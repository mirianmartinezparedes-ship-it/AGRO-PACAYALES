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E60E6947-F42B-DA48-B4CA-864B7315FD29}" xr6:coauthVersionLast="47" xr6:coauthVersionMax="47" xr10:uidLastSave="{00000000-0000-0000-0000-000000000000}"/>
  <bookViews>
    <workbookView xWindow="4320" yWindow="600" windowWidth="24480" windowHeight="17400" tabRatio="500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MOVIMIENTOS!$A$4:$I$484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69" i="1" l="1"/>
  <c r="F464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AG35" i="5" s="1"/>
  <c r="AP35" i="5" s="1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R28" i="5"/>
  <c r="Q28" i="5"/>
  <c r="P28" i="5"/>
  <c r="O28" i="5"/>
  <c r="N28" i="5"/>
  <c r="M28" i="5"/>
  <c r="I28" i="5"/>
  <c r="H28" i="5"/>
  <c r="G28" i="5"/>
  <c r="F28" i="5"/>
  <c r="E28" i="5"/>
  <c r="AJ28" i="5" s="1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AM13" i="5" s="1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G12" i="5" s="1"/>
  <c r="AP12" i="5" s="1"/>
  <c r="D12" i="5"/>
  <c r="AI11" i="5"/>
  <c r="AD11" i="5"/>
  <c r="AC11" i="5"/>
  <c r="AB11" i="5"/>
  <c r="AA11" i="5"/>
  <c r="AN11" i="5" s="1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AG11" i="5" s="1"/>
  <c r="AP11" i="5" s="1"/>
  <c r="D11" i="5"/>
  <c r="AV10" i="5"/>
  <c r="AI10" i="5"/>
  <c r="AD10" i="5"/>
  <c r="AC10" i="5"/>
  <c r="AB10" i="5"/>
  <c r="AA10" i="5"/>
  <c r="AN10" i="5" s="1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AJ10" i="5" s="1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AG9" i="5" s="1"/>
  <c r="AP9" i="5" s="1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G7" i="5" s="1"/>
  <c r="AP7" i="5" s="1"/>
  <c r="D7" i="5"/>
  <c r="AI6" i="5"/>
  <c r="AD6" i="5"/>
  <c r="AC6" i="5"/>
  <c r="AB6" i="5"/>
  <c r="AA6" i="5"/>
  <c r="Z6" i="5"/>
  <c r="AM6" i="5" s="1"/>
  <c r="T6" i="5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8" i="1"/>
  <c r="F467" i="1"/>
  <c r="F466" i="1"/>
  <c r="F465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J432" i="1" s="1"/>
  <c r="F431" i="1"/>
  <c r="J431" i="1" s="1"/>
  <c r="F430" i="1"/>
  <c r="J430" i="1" s="1"/>
  <c r="F429" i="1"/>
  <c r="J429" i="1" s="1"/>
  <c r="F428" i="1"/>
  <c r="J428" i="1" s="1"/>
  <c r="F427" i="1"/>
  <c r="J427" i="1" s="1"/>
  <c r="F426" i="1"/>
  <c r="F425" i="1"/>
  <c r="J425" i="1" s="1"/>
  <c r="F424" i="1"/>
  <c r="J424" i="1" s="1"/>
  <c r="F423" i="1"/>
  <c r="J423" i="1" s="1"/>
  <c r="F422" i="1"/>
  <c r="J422" i="1" s="1"/>
  <c r="F421" i="1"/>
  <c r="J421" i="1" s="1"/>
  <c r="F420" i="1"/>
  <c r="J420" i="1" s="1"/>
  <c r="F419" i="1"/>
  <c r="J419" i="1" s="1"/>
  <c r="F418" i="1"/>
  <c r="J418" i="1" s="1"/>
  <c r="F417" i="1"/>
  <c r="J417" i="1" s="1"/>
  <c r="F416" i="1"/>
  <c r="J416" i="1" s="1"/>
  <c r="F415" i="1"/>
  <c r="J415" i="1" s="1"/>
  <c r="F414" i="1"/>
  <c r="J414" i="1" s="1"/>
  <c r="F413" i="1"/>
  <c r="J413" i="1" s="1"/>
  <c r="F412" i="1"/>
  <c r="J412" i="1" s="1"/>
  <c r="F411" i="1"/>
  <c r="J411" i="1" s="1"/>
  <c r="F410" i="1"/>
  <c r="J410" i="1" s="1"/>
  <c r="F409" i="1"/>
  <c r="J409" i="1" s="1"/>
  <c r="F408" i="1"/>
  <c r="J408" i="1" s="1"/>
  <c r="F407" i="1"/>
  <c r="J407" i="1" s="1"/>
  <c r="F406" i="1"/>
  <c r="J406" i="1" s="1"/>
  <c r="F405" i="1"/>
  <c r="J405" i="1" s="1"/>
  <c r="F404" i="1"/>
  <c r="J404" i="1" s="1"/>
  <c r="F403" i="1"/>
  <c r="J403" i="1" s="1"/>
  <c r="F402" i="1"/>
  <c r="J402" i="1" s="1"/>
  <c r="F401" i="1"/>
  <c r="J401" i="1" s="1"/>
  <c r="F400" i="1"/>
  <c r="J400" i="1" s="1"/>
  <c r="F399" i="1"/>
  <c r="J399" i="1" s="1"/>
  <c r="F398" i="1"/>
  <c r="J398" i="1" s="1"/>
  <c r="F397" i="1"/>
  <c r="J397" i="1" s="1"/>
  <c r="F396" i="1"/>
  <c r="J396" i="1" s="1"/>
  <c r="F395" i="1"/>
  <c r="J395" i="1" s="1"/>
  <c r="F394" i="1"/>
  <c r="J394" i="1" s="1"/>
  <c r="F393" i="1"/>
  <c r="J393" i="1" s="1"/>
  <c r="F392" i="1"/>
  <c r="J392" i="1" s="1"/>
  <c r="F391" i="1"/>
  <c r="J391" i="1" s="1"/>
  <c r="F390" i="1"/>
  <c r="J390" i="1" s="1"/>
  <c r="F389" i="1"/>
  <c r="J389" i="1" s="1"/>
  <c r="F388" i="1"/>
  <c r="J388" i="1" s="1"/>
  <c r="F387" i="1"/>
  <c r="F386" i="1"/>
  <c r="F385" i="1"/>
  <c r="J385" i="1" s="1"/>
  <c r="F384" i="1"/>
  <c r="J384" i="1" s="1"/>
  <c r="F383" i="1"/>
  <c r="J383" i="1" s="1"/>
  <c r="F382" i="1"/>
  <c r="J382" i="1" s="1"/>
  <c r="F381" i="1"/>
  <c r="J381" i="1" s="1"/>
  <c r="F380" i="1"/>
  <c r="J380" i="1" s="1"/>
  <c r="F379" i="1"/>
  <c r="J379" i="1" s="1"/>
  <c r="F378" i="1"/>
  <c r="J378" i="1" s="1"/>
  <c r="F377" i="1"/>
  <c r="J377" i="1" s="1"/>
  <c r="F376" i="1"/>
  <c r="J376" i="1" s="1"/>
  <c r="F375" i="1"/>
  <c r="J375" i="1" s="1"/>
  <c r="F374" i="1"/>
  <c r="J374" i="1" s="1"/>
  <c r="F373" i="1"/>
  <c r="J373" i="1" s="1"/>
  <c r="F372" i="1"/>
  <c r="J372" i="1" s="1"/>
  <c r="F371" i="1"/>
  <c r="J371" i="1" s="1"/>
  <c r="F370" i="1"/>
  <c r="J370" i="1" s="1"/>
  <c r="F369" i="1"/>
  <c r="J369" i="1" s="1"/>
  <c r="F368" i="1"/>
  <c r="J368" i="1" s="1"/>
  <c r="F367" i="1"/>
  <c r="J367" i="1" s="1"/>
  <c r="F366" i="1"/>
  <c r="J366" i="1" s="1"/>
  <c r="F365" i="1"/>
  <c r="F364" i="1"/>
  <c r="J364" i="1" s="1"/>
  <c r="F363" i="1"/>
  <c r="J363" i="1" s="1"/>
  <c r="F362" i="1"/>
  <c r="J362" i="1" s="1"/>
  <c r="F361" i="1"/>
  <c r="J361" i="1" s="1"/>
  <c r="F360" i="1"/>
  <c r="J360" i="1" s="1"/>
  <c r="F359" i="1"/>
  <c r="J359" i="1" s="1"/>
  <c r="F358" i="1"/>
  <c r="J358" i="1" s="1"/>
  <c r="F357" i="1"/>
  <c r="J357" i="1" s="1"/>
  <c r="F356" i="1"/>
  <c r="F354" i="1"/>
  <c r="F353" i="1"/>
  <c r="F352" i="1"/>
  <c r="F351" i="1"/>
  <c r="J351" i="1" s="1"/>
  <c r="F350" i="1"/>
  <c r="J350" i="1" s="1"/>
  <c r="F349" i="1"/>
  <c r="J349" i="1" s="1"/>
  <c r="F348" i="1"/>
  <c r="J348" i="1" s="1"/>
  <c r="F347" i="1"/>
  <c r="J347" i="1" s="1"/>
  <c r="F346" i="1"/>
  <c r="J346" i="1" s="1"/>
  <c r="F345" i="1"/>
  <c r="J345" i="1" s="1"/>
  <c r="F344" i="1"/>
  <c r="J344" i="1" s="1"/>
  <c r="F343" i="1"/>
  <c r="J343" i="1" s="1"/>
  <c r="F342" i="1"/>
  <c r="J342" i="1" s="1"/>
  <c r="F341" i="1"/>
  <c r="J341" i="1" s="1"/>
  <c r="F340" i="1"/>
  <c r="J340" i="1" s="1"/>
  <c r="F339" i="1"/>
  <c r="J339" i="1" s="1"/>
  <c r="F338" i="1"/>
  <c r="J338" i="1" s="1"/>
  <c r="F337" i="1"/>
  <c r="J337" i="1" s="1"/>
  <c r="F336" i="1"/>
  <c r="J336" i="1" s="1"/>
  <c r="F335" i="1"/>
  <c r="J335" i="1" s="1"/>
  <c r="F334" i="1"/>
  <c r="J334" i="1" s="1"/>
  <c r="F333" i="1"/>
  <c r="J333" i="1" s="1"/>
  <c r="F332" i="1"/>
  <c r="J332" i="1" s="1"/>
  <c r="F331" i="1"/>
  <c r="J331" i="1" s="1"/>
  <c r="F330" i="1"/>
  <c r="J330" i="1" s="1"/>
  <c r="F329" i="1"/>
  <c r="J329" i="1" s="1"/>
  <c r="F328" i="1"/>
  <c r="J328" i="1" s="1"/>
  <c r="F327" i="1"/>
  <c r="J327" i="1" s="1"/>
  <c r="F326" i="1"/>
  <c r="J326" i="1" s="1"/>
  <c r="F325" i="1"/>
  <c r="J325" i="1" s="1"/>
  <c r="F324" i="1"/>
  <c r="F323" i="1"/>
  <c r="J323" i="1" s="1"/>
  <c r="F322" i="1"/>
  <c r="J322" i="1" s="1"/>
  <c r="F321" i="1"/>
  <c r="J321" i="1" s="1"/>
  <c r="F320" i="1"/>
  <c r="J320" i="1" s="1"/>
  <c r="F319" i="1"/>
  <c r="F318" i="1"/>
  <c r="F313" i="1"/>
  <c r="J313" i="1" s="1"/>
  <c r="F312" i="1"/>
  <c r="J312" i="1" s="1"/>
  <c r="F311" i="1"/>
  <c r="J311" i="1" s="1"/>
  <c r="F310" i="1"/>
  <c r="F309" i="1"/>
  <c r="F308" i="1"/>
  <c r="J308" i="1" s="1"/>
  <c r="F307" i="1"/>
  <c r="J307" i="1" s="1"/>
  <c r="F306" i="1"/>
  <c r="E39" i="5" s="1"/>
  <c r="F305" i="1"/>
  <c r="F304" i="1"/>
  <c r="AC38" i="5" s="1"/>
  <c r="F303" i="1"/>
  <c r="J303" i="1" s="1"/>
  <c r="F302" i="1"/>
  <c r="J302" i="1" s="1"/>
  <c r="F301" i="1"/>
  <c r="J301" i="1" s="1"/>
  <c r="F300" i="1"/>
  <c r="J300" i="1" s="1"/>
  <c r="F299" i="1"/>
  <c r="AA38" i="5" s="1"/>
  <c r="AN38" i="5" s="1"/>
  <c r="F298" i="1"/>
  <c r="J298" i="1" s="1"/>
  <c r="F297" i="1"/>
  <c r="J297" i="1" s="1"/>
  <c r="F296" i="1"/>
  <c r="J296" i="1" s="1"/>
  <c r="F295" i="1"/>
  <c r="J295" i="1" s="1"/>
  <c r="E294" i="1"/>
  <c r="D38" i="5" s="1"/>
  <c r="F291" i="1"/>
  <c r="J291" i="1" s="1"/>
  <c r="F290" i="1"/>
  <c r="J290" i="1" s="1"/>
  <c r="F289" i="1"/>
  <c r="J289" i="1" s="1"/>
  <c r="F288" i="1"/>
  <c r="J288" i="1" s="1"/>
  <c r="F287" i="1"/>
  <c r="J287" i="1" s="1"/>
  <c r="F286" i="1"/>
  <c r="J286" i="1" s="1"/>
  <c r="F285" i="1"/>
  <c r="J285" i="1" s="1"/>
  <c r="F284" i="1"/>
  <c r="J284" i="1" s="1"/>
  <c r="F283" i="1"/>
  <c r="AA37" i="5" s="1"/>
  <c r="AN37" i="5" s="1"/>
  <c r="F282" i="1"/>
  <c r="J282" i="1" s="1"/>
  <c r="F281" i="1"/>
  <c r="J281" i="1" s="1"/>
  <c r="F280" i="1"/>
  <c r="J280" i="1" s="1"/>
  <c r="F279" i="1"/>
  <c r="J279" i="1" s="1"/>
  <c r="E278" i="1"/>
  <c r="F278" i="1" s="1"/>
  <c r="F277" i="1"/>
  <c r="J277" i="1" s="1"/>
  <c r="F276" i="1"/>
  <c r="J276" i="1" s="1"/>
  <c r="F275" i="1"/>
  <c r="J275" i="1" s="1"/>
  <c r="F274" i="1"/>
  <c r="J274" i="1" s="1"/>
  <c r="F273" i="1"/>
  <c r="AA36" i="5" s="1"/>
  <c r="AN36" i="5" s="1"/>
  <c r="F272" i="1"/>
  <c r="J272" i="1" s="1"/>
  <c r="F271" i="1"/>
  <c r="J271" i="1" s="1"/>
  <c r="F270" i="1"/>
  <c r="J270" i="1" s="1"/>
  <c r="F269" i="1"/>
  <c r="J269" i="1" s="1"/>
  <c r="J268" i="1"/>
  <c r="C156" i="3" s="1"/>
  <c r="F267" i="1"/>
  <c r="J267" i="1" s="1"/>
  <c r="C153" i="3" s="1"/>
  <c r="F266" i="1"/>
  <c r="J266" i="1" s="1"/>
  <c r="F265" i="1"/>
  <c r="J265" i="1" s="1"/>
  <c r="F264" i="1"/>
  <c r="J264" i="1" s="1"/>
  <c r="F263" i="1"/>
  <c r="J263" i="1" s="1"/>
  <c r="F262" i="1"/>
  <c r="F259" i="1"/>
  <c r="J259" i="1" s="1"/>
  <c r="F258" i="1"/>
  <c r="J258" i="1" s="1"/>
  <c r="F257" i="1"/>
  <c r="J257" i="1" s="1"/>
  <c r="F256" i="1"/>
  <c r="F255" i="1"/>
  <c r="AA34" i="5" s="1"/>
  <c r="F254" i="1"/>
  <c r="J254" i="1" s="1"/>
  <c r="F253" i="1"/>
  <c r="J253" i="1" s="1"/>
  <c r="F252" i="1"/>
  <c r="J252" i="1" s="1"/>
  <c r="F251" i="1"/>
  <c r="J251" i="1" s="1"/>
  <c r="J250" i="1"/>
  <c r="C146" i="3" s="1"/>
  <c r="F249" i="1"/>
  <c r="F248" i="1"/>
  <c r="AC33" i="5" s="1"/>
  <c r="F247" i="1"/>
  <c r="L33" i="5" s="1"/>
  <c r="F246" i="1"/>
  <c r="F245" i="1"/>
  <c r="J245" i="1" s="1"/>
  <c r="F244" i="1"/>
  <c r="J244" i="1" s="1"/>
  <c r="F243" i="1"/>
  <c r="J243" i="1" s="1"/>
  <c r="F242" i="1"/>
  <c r="F241" i="1"/>
  <c r="F240" i="1"/>
  <c r="J240" i="1" s="1"/>
  <c r="F239" i="1"/>
  <c r="J239" i="1" s="1"/>
  <c r="F238" i="1"/>
  <c r="J238" i="1" s="1"/>
  <c r="F237" i="1"/>
  <c r="J237" i="1" s="1"/>
  <c r="J236" i="1"/>
  <c r="C139" i="3" s="1"/>
  <c r="F235" i="1"/>
  <c r="L32" i="5" s="1"/>
  <c r="F234" i="1"/>
  <c r="F233" i="1"/>
  <c r="F232" i="1"/>
  <c r="J232" i="1" s="1"/>
  <c r="F231" i="1"/>
  <c r="J231" i="1" s="1"/>
  <c r="F230" i="1"/>
  <c r="J230" i="1" s="1"/>
  <c r="F229" i="1"/>
  <c r="F228" i="1"/>
  <c r="AA32" i="5" s="1"/>
  <c r="AN32" i="5" s="1"/>
  <c r="F227" i="1"/>
  <c r="J227" i="1" s="1"/>
  <c r="F226" i="1"/>
  <c r="J226" i="1" s="1"/>
  <c r="F225" i="1"/>
  <c r="J225" i="1" s="1"/>
  <c r="F224" i="1"/>
  <c r="J224" i="1" s="1"/>
  <c r="F223" i="1"/>
  <c r="E32" i="5" s="1"/>
  <c r="F222" i="1"/>
  <c r="J222" i="1" s="1"/>
  <c r="F221" i="1"/>
  <c r="J221" i="1" s="1"/>
  <c r="F220" i="1"/>
  <c r="J220" i="1" s="1"/>
  <c r="F219" i="1"/>
  <c r="J219" i="1" s="1"/>
  <c r="J218" i="1"/>
  <c r="F217" i="1"/>
  <c r="AA31" i="5" s="1"/>
  <c r="AN31" i="5" s="1"/>
  <c r="F216" i="1"/>
  <c r="J216" i="1" s="1"/>
  <c r="F215" i="1"/>
  <c r="J215" i="1" s="1"/>
  <c r="F214" i="1"/>
  <c r="J214" i="1" s="1"/>
  <c r="F213" i="1"/>
  <c r="J213" i="1" s="1"/>
  <c r="F212" i="1"/>
  <c r="F211" i="1"/>
  <c r="AC30" i="5" s="1"/>
  <c r="F210" i="1"/>
  <c r="J210" i="1" s="1"/>
  <c r="F209" i="1"/>
  <c r="J209" i="1" s="1"/>
  <c r="F208" i="1"/>
  <c r="J208" i="1" s="1"/>
  <c r="F207" i="1"/>
  <c r="J207" i="1" s="1"/>
  <c r="F206" i="1"/>
  <c r="J206" i="1" s="1"/>
  <c r="F205" i="1"/>
  <c r="J205" i="1" s="1"/>
  <c r="F204" i="1"/>
  <c r="J204" i="1" s="1"/>
  <c r="F203" i="1"/>
  <c r="F202" i="1"/>
  <c r="F201" i="1"/>
  <c r="J201" i="1" s="1"/>
  <c r="F200" i="1"/>
  <c r="J200" i="1" s="1"/>
  <c r="F199" i="1"/>
  <c r="J199" i="1" s="1"/>
  <c r="F198" i="1"/>
  <c r="J198" i="1" s="1"/>
  <c r="J197" i="1"/>
  <c r="C119" i="3" s="1"/>
  <c r="F196" i="1"/>
  <c r="L28" i="5" s="1"/>
  <c r="F195" i="1"/>
  <c r="J195" i="1" s="1"/>
  <c r="F194" i="1"/>
  <c r="J194" i="1" s="1"/>
  <c r="F193" i="1"/>
  <c r="J193" i="1" s="1"/>
  <c r="F192" i="1"/>
  <c r="J192" i="1" s="1"/>
  <c r="F191" i="1"/>
  <c r="J191" i="1" s="1"/>
  <c r="F190" i="1"/>
  <c r="J190" i="1" s="1"/>
  <c r="F189" i="1"/>
  <c r="J189" i="1" s="1"/>
  <c r="F188" i="1"/>
  <c r="AA28" i="5" s="1"/>
  <c r="F187" i="1"/>
  <c r="J187" i="1" s="1"/>
  <c r="F186" i="1"/>
  <c r="J186" i="1" s="1"/>
  <c r="F185" i="1"/>
  <c r="J185" i="1" s="1"/>
  <c r="F184" i="1"/>
  <c r="J184" i="1" s="1"/>
  <c r="J183" i="1"/>
  <c r="C109" i="3" s="1"/>
  <c r="F182" i="1"/>
  <c r="J182" i="1" s="1"/>
  <c r="F181" i="1"/>
  <c r="J181" i="1" s="1"/>
  <c r="F180" i="1"/>
  <c r="J180" i="1" s="1"/>
  <c r="F179" i="1"/>
  <c r="AA26" i="5" s="1"/>
  <c r="AN26" i="5" s="1"/>
  <c r="F178" i="1"/>
  <c r="J178" i="1" s="1"/>
  <c r="F177" i="1"/>
  <c r="J177" i="1" s="1"/>
  <c r="F176" i="1"/>
  <c r="J176" i="1" s="1"/>
  <c r="F175" i="1"/>
  <c r="J175" i="1" s="1"/>
  <c r="F174" i="1"/>
  <c r="J174" i="1" s="1"/>
  <c r="F173" i="1"/>
  <c r="J173" i="1" s="1"/>
  <c r="F172" i="1"/>
  <c r="J172" i="1" s="1"/>
  <c r="F171" i="1"/>
  <c r="F170" i="1"/>
  <c r="E26" i="5" s="1"/>
  <c r="F169" i="1"/>
  <c r="J169" i="1" s="1"/>
  <c r="E100" i="3" s="1"/>
  <c r="F168" i="1"/>
  <c r="J168" i="1" s="1"/>
  <c r="F167" i="1"/>
  <c r="F166" i="1"/>
  <c r="J166" i="1" s="1"/>
  <c r="C97" i="3" s="1"/>
  <c r="F165" i="1"/>
  <c r="J165" i="1" s="1"/>
  <c r="F164" i="1"/>
  <c r="F163" i="1"/>
  <c r="J163" i="1" s="1"/>
  <c r="F162" i="1"/>
  <c r="J162" i="1" s="1"/>
  <c r="F161" i="1"/>
  <c r="J161" i="1" s="1"/>
  <c r="F160" i="1"/>
  <c r="J160" i="1" s="1"/>
  <c r="F159" i="1"/>
  <c r="F158" i="1"/>
  <c r="F157" i="1"/>
  <c r="J157" i="1" s="1"/>
  <c r="F156" i="1"/>
  <c r="J156" i="1" s="1"/>
  <c r="F155" i="1"/>
  <c r="J155" i="1" s="1"/>
  <c r="F154" i="1"/>
  <c r="J154" i="1" s="1"/>
  <c r="F153" i="1"/>
  <c r="F152" i="1"/>
  <c r="J152" i="1" s="1"/>
  <c r="F151" i="1"/>
  <c r="J151" i="1" s="1"/>
  <c r="F150" i="1"/>
  <c r="J150" i="1" s="1"/>
  <c r="F149" i="1"/>
  <c r="F148" i="1"/>
  <c r="F147" i="1"/>
  <c r="J147" i="1" s="1"/>
  <c r="F146" i="1"/>
  <c r="J146" i="1" s="1"/>
  <c r="F145" i="1"/>
  <c r="J145" i="1" s="1"/>
  <c r="F144" i="1"/>
  <c r="J144" i="1" s="1"/>
  <c r="F143" i="1"/>
  <c r="F142" i="1"/>
  <c r="F141" i="1"/>
  <c r="J141" i="1" s="1"/>
  <c r="F140" i="1"/>
  <c r="J140" i="1" s="1"/>
  <c r="C81" i="3" s="1"/>
  <c r="F139" i="1"/>
  <c r="J139" i="1" s="1"/>
  <c r="F138" i="1"/>
  <c r="AC23" i="5" s="1"/>
  <c r="F137" i="1"/>
  <c r="J137" i="1" s="1"/>
  <c r="F136" i="1"/>
  <c r="J136" i="1" s="1"/>
  <c r="F135" i="1"/>
  <c r="J135" i="1" s="1"/>
  <c r="F134" i="1"/>
  <c r="J134" i="1" s="1"/>
  <c r="F133" i="1"/>
  <c r="J133" i="1" s="1"/>
  <c r="E77" i="3" s="1"/>
  <c r="F132" i="1"/>
  <c r="AA23" i="5" s="1"/>
  <c r="AN23" i="5" s="1"/>
  <c r="F131" i="1"/>
  <c r="J131" i="1" s="1"/>
  <c r="F130" i="1"/>
  <c r="J130" i="1" s="1"/>
  <c r="F129" i="1"/>
  <c r="J129" i="1" s="1"/>
  <c r="F128" i="1"/>
  <c r="J128" i="1" s="1"/>
  <c r="F127" i="1"/>
  <c r="F126" i="1"/>
  <c r="F125" i="1"/>
  <c r="J125" i="1" s="1"/>
  <c r="F124" i="1"/>
  <c r="J124" i="1" s="1"/>
  <c r="F123" i="1"/>
  <c r="J123" i="1" s="1"/>
  <c r="F122" i="1"/>
  <c r="J122" i="1" s="1"/>
  <c r="F121" i="1"/>
  <c r="J121" i="1" s="1"/>
  <c r="F120" i="1"/>
  <c r="J120" i="1" s="1"/>
  <c r="F119" i="1"/>
  <c r="J119" i="1" s="1"/>
  <c r="F118" i="1"/>
  <c r="F117" i="1"/>
  <c r="J117" i="1" s="1"/>
  <c r="D66" i="3" s="1"/>
  <c r="F116" i="1"/>
  <c r="J116" i="1" s="1"/>
  <c r="F115" i="1"/>
  <c r="J115" i="1" s="1"/>
  <c r="F114" i="1"/>
  <c r="J114" i="1" s="1"/>
  <c r="F113" i="1"/>
  <c r="J113" i="1" s="1"/>
  <c r="F112" i="1"/>
  <c r="F111" i="1"/>
  <c r="J111" i="1" s="1"/>
  <c r="F110" i="1"/>
  <c r="J110" i="1" s="1"/>
  <c r="F109" i="1"/>
  <c r="E22" i="5" s="1"/>
  <c r="F108" i="1"/>
  <c r="J108" i="1" s="1"/>
  <c r="F107" i="1"/>
  <c r="J107" i="1" s="1"/>
  <c r="F106" i="1"/>
  <c r="F105" i="1"/>
  <c r="J105" i="1" s="1"/>
  <c r="F104" i="1"/>
  <c r="J104" i="1" s="1"/>
  <c r="F103" i="1"/>
  <c r="J103" i="1" s="1"/>
  <c r="F102" i="1"/>
  <c r="F101" i="1"/>
  <c r="AA21" i="5" s="1"/>
  <c r="AN21" i="5" s="1"/>
  <c r="F100" i="1"/>
  <c r="J100" i="1" s="1"/>
  <c r="F99" i="1"/>
  <c r="J99" i="1" s="1"/>
  <c r="F98" i="1"/>
  <c r="J98" i="1" s="1"/>
  <c r="F97" i="1"/>
  <c r="J97" i="1" s="1"/>
  <c r="F96" i="1"/>
  <c r="F95" i="1"/>
  <c r="E20" i="5" s="1"/>
  <c r="F94" i="1"/>
  <c r="J94" i="1" s="1"/>
  <c r="F93" i="1"/>
  <c r="J93" i="1" s="1"/>
  <c r="F92" i="1"/>
  <c r="J92" i="1" s="1"/>
  <c r="F91" i="1"/>
  <c r="J91" i="1" s="1"/>
  <c r="F90" i="1"/>
  <c r="F89" i="1"/>
  <c r="J89" i="1" s="1"/>
  <c r="F88" i="1"/>
  <c r="J88" i="1" s="1"/>
  <c r="F87" i="1"/>
  <c r="J87" i="1" s="1"/>
  <c r="F86" i="1"/>
  <c r="J86" i="1" s="1"/>
  <c r="F85" i="1"/>
  <c r="E19" i="5" s="1"/>
  <c r="F84" i="1"/>
  <c r="J84" i="1" s="1"/>
  <c r="F83" i="1"/>
  <c r="AA19" i="5" s="1"/>
  <c r="AN19" i="5" s="1"/>
  <c r="F82" i="1"/>
  <c r="J82" i="1" s="1"/>
  <c r="F81" i="1"/>
  <c r="J81" i="1" s="1"/>
  <c r="F80" i="1"/>
  <c r="J80" i="1" s="1"/>
  <c r="F79" i="1"/>
  <c r="J79" i="1" s="1"/>
  <c r="F78" i="1"/>
  <c r="J78" i="1" s="1"/>
  <c r="F77" i="1"/>
  <c r="J77" i="1" s="1"/>
  <c r="F76" i="1"/>
  <c r="J76" i="1" s="1"/>
  <c r="F75" i="1"/>
  <c r="J75" i="1" s="1"/>
  <c r="F74" i="1"/>
  <c r="J74" i="1" s="1"/>
  <c r="F73" i="1"/>
  <c r="J73" i="1" s="1"/>
  <c r="F72" i="1"/>
  <c r="J72" i="1" s="1"/>
  <c r="F71" i="1"/>
  <c r="J71" i="1" s="1"/>
  <c r="C41" i="3" s="1"/>
  <c r="F70" i="1"/>
  <c r="F69" i="1"/>
  <c r="J69" i="1" s="1"/>
  <c r="F68" i="1"/>
  <c r="J68" i="1" s="1"/>
  <c r="F67" i="1"/>
  <c r="J67" i="1" s="1"/>
  <c r="F66" i="1"/>
  <c r="F65" i="1"/>
  <c r="F64" i="1"/>
  <c r="J64" i="1" s="1"/>
  <c r="F63" i="1"/>
  <c r="J63" i="1" s="1"/>
  <c r="F62" i="1"/>
  <c r="J62" i="1" s="1"/>
  <c r="F61" i="1"/>
  <c r="J61" i="1" s="1"/>
  <c r="F60" i="1"/>
  <c r="F59" i="1"/>
  <c r="J59" i="1" s="1"/>
  <c r="F58" i="1"/>
  <c r="J58" i="1" s="1"/>
  <c r="F57" i="1"/>
  <c r="J57" i="1" s="1"/>
  <c r="F56" i="1"/>
  <c r="F55" i="1"/>
  <c r="AA17" i="5" s="1"/>
  <c r="AN17" i="5" s="1"/>
  <c r="F54" i="1"/>
  <c r="J54" i="1" s="1"/>
  <c r="F53" i="1"/>
  <c r="J53" i="1" s="1"/>
  <c r="F52" i="1"/>
  <c r="J52" i="1" s="1"/>
  <c r="F51" i="1"/>
  <c r="J51" i="1" s="1"/>
  <c r="F50" i="1"/>
  <c r="F49" i="1"/>
  <c r="F48" i="1"/>
  <c r="J48" i="1" s="1"/>
  <c r="F47" i="1"/>
  <c r="J47" i="1" s="1"/>
  <c r="F46" i="1"/>
  <c r="J46" i="1" s="1"/>
  <c r="F45" i="1"/>
  <c r="J45" i="1" s="1"/>
  <c r="F44" i="1"/>
  <c r="F43" i="1"/>
  <c r="J43" i="1" s="1"/>
  <c r="F42" i="1"/>
  <c r="J42" i="1" s="1"/>
  <c r="F41" i="1"/>
  <c r="J41" i="1" s="1"/>
  <c r="F40" i="1"/>
  <c r="J40" i="1" s="1"/>
  <c r="F39" i="1"/>
  <c r="E16" i="5" s="1"/>
  <c r="F38" i="1"/>
  <c r="J38" i="1" s="1"/>
  <c r="F37" i="1"/>
  <c r="J37" i="1" s="1"/>
  <c r="F36" i="1"/>
  <c r="J36" i="1" s="1"/>
  <c r="F35" i="1"/>
  <c r="F34" i="1"/>
  <c r="F33" i="1"/>
  <c r="J33" i="1" s="1"/>
  <c r="F32" i="1"/>
  <c r="J32" i="1" s="1"/>
  <c r="F31" i="1"/>
  <c r="J31" i="1" s="1"/>
  <c r="F30" i="1"/>
  <c r="J30" i="1" s="1"/>
  <c r="F29" i="1"/>
  <c r="E15" i="5" s="1"/>
  <c r="F28" i="1"/>
  <c r="J28" i="1" s="1"/>
  <c r="F27" i="1"/>
  <c r="J27" i="1" s="1"/>
  <c r="F26" i="1"/>
  <c r="J26" i="1" s="1"/>
  <c r="F25" i="1"/>
  <c r="F24" i="1"/>
  <c r="F23" i="1"/>
  <c r="J23" i="1" s="1"/>
  <c r="F22" i="1"/>
  <c r="J22" i="1" s="1"/>
  <c r="F21" i="1"/>
  <c r="J21" i="1" s="1"/>
  <c r="F20" i="1"/>
  <c r="J20" i="1" s="1"/>
  <c r="F19" i="1"/>
  <c r="E14" i="5" s="1"/>
  <c r="F18" i="1"/>
  <c r="J18" i="1" s="1"/>
  <c r="F17" i="1"/>
  <c r="J17" i="1" s="1"/>
  <c r="F16" i="1"/>
  <c r="J16" i="1" s="1"/>
  <c r="F15" i="1"/>
  <c r="J15" i="1" s="1"/>
  <c r="F14" i="1"/>
  <c r="F13" i="1"/>
  <c r="J13" i="1" s="1"/>
  <c r="F12" i="1"/>
  <c r="J12" i="1" s="1"/>
  <c r="F11" i="1"/>
  <c r="J11" i="1" s="1"/>
  <c r="F10" i="1"/>
  <c r="J10" i="1" s="1"/>
  <c r="F9" i="1"/>
  <c r="E13" i="5" s="1"/>
  <c r="F8" i="1"/>
  <c r="J8" i="1" s="1"/>
  <c r="F7" i="1"/>
  <c r="J7" i="1" s="1"/>
  <c r="C8" i="3" s="1"/>
  <c r="J6" i="1"/>
  <c r="F5" i="1"/>
  <c r="J5" i="1" s="1"/>
  <c r="K1000" i="2"/>
  <c r="J1000" i="2"/>
  <c r="K999" i="2"/>
  <c r="J999" i="2"/>
  <c r="K998" i="2"/>
  <c r="J998" i="2"/>
  <c r="K997" i="2"/>
  <c r="J997" i="2"/>
  <c r="K996" i="2"/>
  <c r="J996" i="2"/>
  <c r="K995" i="2"/>
  <c r="J995" i="2"/>
  <c r="K994" i="2"/>
  <c r="J994" i="2"/>
  <c r="K993" i="2"/>
  <c r="J993" i="2"/>
  <c r="K992" i="2"/>
  <c r="J992" i="2"/>
  <c r="K991" i="2"/>
  <c r="J991" i="2"/>
  <c r="K990" i="2"/>
  <c r="J990" i="2"/>
  <c r="K989" i="2"/>
  <c r="J989" i="2"/>
  <c r="K988" i="2"/>
  <c r="J988" i="2"/>
  <c r="K987" i="2"/>
  <c r="J987" i="2"/>
  <c r="K986" i="2"/>
  <c r="J986" i="2"/>
  <c r="K985" i="2"/>
  <c r="J985" i="2"/>
  <c r="K984" i="2"/>
  <c r="J984" i="2"/>
  <c r="K983" i="2"/>
  <c r="J983" i="2"/>
  <c r="K982" i="2"/>
  <c r="J982" i="2"/>
  <c r="K981" i="2"/>
  <c r="J981" i="2"/>
  <c r="K980" i="2"/>
  <c r="J980" i="2"/>
  <c r="K979" i="2"/>
  <c r="J979" i="2"/>
  <c r="K978" i="2"/>
  <c r="J978" i="2"/>
  <c r="K977" i="2"/>
  <c r="J977" i="2"/>
  <c r="K976" i="2"/>
  <c r="J976" i="2"/>
  <c r="K975" i="2"/>
  <c r="J975" i="2"/>
  <c r="K974" i="2"/>
  <c r="J974" i="2"/>
  <c r="K973" i="2"/>
  <c r="J973" i="2"/>
  <c r="K972" i="2"/>
  <c r="J972" i="2"/>
  <c r="K971" i="2"/>
  <c r="J971" i="2"/>
  <c r="K970" i="2"/>
  <c r="J970" i="2"/>
  <c r="K969" i="2"/>
  <c r="J969" i="2"/>
  <c r="K968" i="2"/>
  <c r="J968" i="2"/>
  <c r="K967" i="2"/>
  <c r="J967" i="2"/>
  <c r="K966" i="2"/>
  <c r="J966" i="2"/>
  <c r="K965" i="2"/>
  <c r="J965" i="2"/>
  <c r="K964" i="2"/>
  <c r="J964" i="2"/>
  <c r="K963" i="2"/>
  <c r="J963" i="2"/>
  <c r="K962" i="2"/>
  <c r="J962" i="2"/>
  <c r="K961" i="2"/>
  <c r="J961" i="2"/>
  <c r="K960" i="2"/>
  <c r="J960" i="2"/>
  <c r="K959" i="2"/>
  <c r="J959" i="2"/>
  <c r="K958" i="2"/>
  <c r="J958" i="2"/>
  <c r="K957" i="2"/>
  <c r="J957" i="2"/>
  <c r="K956" i="2"/>
  <c r="J956" i="2"/>
  <c r="K955" i="2"/>
  <c r="J955" i="2"/>
  <c r="K954" i="2"/>
  <c r="J954" i="2"/>
  <c r="K953" i="2"/>
  <c r="J953" i="2"/>
  <c r="K952" i="2"/>
  <c r="J952" i="2"/>
  <c r="K951" i="2"/>
  <c r="J951" i="2"/>
  <c r="K950" i="2"/>
  <c r="J950" i="2"/>
  <c r="K949" i="2"/>
  <c r="J949" i="2"/>
  <c r="K948" i="2"/>
  <c r="J948" i="2"/>
  <c r="K947" i="2"/>
  <c r="J947" i="2"/>
  <c r="K946" i="2"/>
  <c r="J946" i="2"/>
  <c r="K945" i="2"/>
  <c r="J945" i="2"/>
  <c r="K944" i="2"/>
  <c r="J944" i="2"/>
  <c r="K943" i="2"/>
  <c r="J943" i="2"/>
  <c r="K942" i="2"/>
  <c r="J942" i="2"/>
  <c r="K941" i="2"/>
  <c r="J941" i="2"/>
  <c r="K940" i="2"/>
  <c r="J940" i="2"/>
  <c r="K939" i="2"/>
  <c r="J939" i="2"/>
  <c r="K938" i="2"/>
  <c r="J938" i="2"/>
  <c r="K937" i="2"/>
  <c r="J937" i="2"/>
  <c r="K936" i="2"/>
  <c r="J936" i="2"/>
  <c r="K935" i="2"/>
  <c r="J935" i="2"/>
  <c r="K934" i="2"/>
  <c r="J934" i="2"/>
  <c r="K933" i="2"/>
  <c r="J933" i="2"/>
  <c r="K932" i="2"/>
  <c r="J932" i="2"/>
  <c r="K931" i="2"/>
  <c r="J931" i="2"/>
  <c r="K930" i="2"/>
  <c r="J930" i="2"/>
  <c r="K929" i="2"/>
  <c r="J929" i="2"/>
  <c r="K928" i="2"/>
  <c r="J928" i="2"/>
  <c r="K927" i="2"/>
  <c r="J927" i="2"/>
  <c r="K926" i="2"/>
  <c r="J926" i="2"/>
  <c r="K925" i="2"/>
  <c r="J925" i="2"/>
  <c r="K924" i="2"/>
  <c r="J924" i="2"/>
  <c r="K923" i="2"/>
  <c r="J923" i="2"/>
  <c r="K922" i="2"/>
  <c r="J922" i="2"/>
  <c r="K921" i="2"/>
  <c r="J921" i="2"/>
  <c r="K920" i="2"/>
  <c r="J920" i="2"/>
  <c r="K919" i="2"/>
  <c r="J919" i="2"/>
  <c r="K918" i="2"/>
  <c r="J918" i="2"/>
  <c r="K917" i="2"/>
  <c r="J917" i="2"/>
  <c r="K916" i="2"/>
  <c r="J916" i="2"/>
  <c r="K915" i="2"/>
  <c r="J915" i="2"/>
  <c r="K914" i="2"/>
  <c r="J914" i="2"/>
  <c r="K913" i="2"/>
  <c r="J913" i="2"/>
  <c r="K912" i="2"/>
  <c r="J912" i="2"/>
  <c r="K911" i="2"/>
  <c r="J911" i="2"/>
  <c r="K910" i="2"/>
  <c r="J910" i="2"/>
  <c r="K909" i="2"/>
  <c r="J909" i="2"/>
  <c r="K908" i="2"/>
  <c r="J908" i="2"/>
  <c r="K907" i="2"/>
  <c r="J907" i="2"/>
  <c r="K906" i="2"/>
  <c r="J906" i="2"/>
  <c r="K905" i="2"/>
  <c r="J905" i="2"/>
  <c r="K904" i="2"/>
  <c r="J904" i="2"/>
  <c r="K903" i="2"/>
  <c r="J903" i="2"/>
  <c r="K902" i="2"/>
  <c r="J902" i="2"/>
  <c r="K901" i="2"/>
  <c r="J901" i="2"/>
  <c r="K900" i="2"/>
  <c r="J900" i="2"/>
  <c r="K899" i="2"/>
  <c r="J899" i="2"/>
  <c r="K898" i="2"/>
  <c r="J898" i="2"/>
  <c r="K897" i="2"/>
  <c r="J897" i="2"/>
  <c r="K896" i="2"/>
  <c r="J896" i="2"/>
  <c r="K895" i="2"/>
  <c r="J895" i="2"/>
  <c r="K894" i="2"/>
  <c r="J894" i="2"/>
  <c r="K893" i="2"/>
  <c r="J893" i="2"/>
  <c r="K892" i="2"/>
  <c r="J892" i="2"/>
  <c r="K891" i="2"/>
  <c r="J891" i="2"/>
  <c r="K890" i="2"/>
  <c r="J890" i="2"/>
  <c r="K889" i="2"/>
  <c r="J889" i="2"/>
  <c r="K888" i="2"/>
  <c r="J888" i="2"/>
  <c r="K887" i="2"/>
  <c r="J887" i="2"/>
  <c r="K886" i="2"/>
  <c r="J886" i="2"/>
  <c r="K885" i="2"/>
  <c r="J885" i="2"/>
  <c r="K884" i="2"/>
  <c r="J884" i="2"/>
  <c r="K883" i="2"/>
  <c r="J883" i="2"/>
  <c r="K882" i="2"/>
  <c r="J882" i="2"/>
  <c r="K881" i="2"/>
  <c r="J881" i="2"/>
  <c r="K880" i="2"/>
  <c r="J880" i="2"/>
  <c r="K879" i="2"/>
  <c r="J879" i="2"/>
  <c r="K878" i="2"/>
  <c r="J878" i="2"/>
  <c r="K877" i="2"/>
  <c r="J877" i="2"/>
  <c r="K876" i="2"/>
  <c r="J876" i="2"/>
  <c r="K875" i="2"/>
  <c r="J875" i="2"/>
  <c r="K874" i="2"/>
  <c r="J874" i="2"/>
  <c r="K873" i="2"/>
  <c r="J873" i="2"/>
  <c r="K872" i="2"/>
  <c r="J872" i="2"/>
  <c r="K871" i="2"/>
  <c r="J871" i="2"/>
  <c r="K870" i="2"/>
  <c r="J870" i="2"/>
  <c r="K869" i="2"/>
  <c r="J869" i="2"/>
  <c r="K868" i="2"/>
  <c r="J868" i="2"/>
  <c r="K867" i="2"/>
  <c r="J867" i="2"/>
  <c r="K866" i="2"/>
  <c r="J866" i="2"/>
  <c r="K865" i="2"/>
  <c r="J865" i="2"/>
  <c r="K864" i="2"/>
  <c r="J864" i="2"/>
  <c r="K863" i="2"/>
  <c r="J863" i="2"/>
  <c r="K862" i="2"/>
  <c r="J862" i="2"/>
  <c r="K861" i="2"/>
  <c r="J861" i="2"/>
  <c r="K860" i="2"/>
  <c r="J860" i="2"/>
  <c r="K859" i="2"/>
  <c r="J859" i="2"/>
  <c r="K858" i="2"/>
  <c r="J858" i="2"/>
  <c r="K857" i="2"/>
  <c r="J857" i="2"/>
  <c r="K856" i="2"/>
  <c r="J856" i="2"/>
  <c r="K855" i="2"/>
  <c r="J855" i="2"/>
  <c r="K854" i="2"/>
  <c r="J854" i="2"/>
  <c r="K853" i="2"/>
  <c r="J853" i="2"/>
  <c r="K852" i="2"/>
  <c r="J852" i="2"/>
  <c r="K851" i="2"/>
  <c r="J851" i="2"/>
  <c r="K850" i="2"/>
  <c r="J850" i="2"/>
  <c r="K849" i="2"/>
  <c r="J849" i="2"/>
  <c r="K848" i="2"/>
  <c r="J848" i="2"/>
  <c r="K847" i="2"/>
  <c r="J847" i="2"/>
  <c r="K846" i="2"/>
  <c r="J846" i="2"/>
  <c r="K845" i="2"/>
  <c r="J845" i="2"/>
  <c r="K844" i="2"/>
  <c r="J844" i="2"/>
  <c r="K843" i="2"/>
  <c r="J843" i="2"/>
  <c r="K842" i="2"/>
  <c r="J842" i="2"/>
  <c r="K841" i="2"/>
  <c r="J841" i="2"/>
  <c r="K840" i="2"/>
  <c r="J840" i="2"/>
  <c r="K839" i="2"/>
  <c r="J839" i="2"/>
  <c r="K838" i="2"/>
  <c r="J838" i="2"/>
  <c r="K837" i="2"/>
  <c r="J837" i="2"/>
  <c r="K836" i="2"/>
  <c r="J836" i="2"/>
  <c r="K835" i="2"/>
  <c r="J835" i="2"/>
  <c r="K834" i="2"/>
  <c r="J834" i="2"/>
  <c r="K833" i="2"/>
  <c r="J833" i="2"/>
  <c r="K832" i="2"/>
  <c r="J832" i="2"/>
  <c r="K831" i="2"/>
  <c r="J831" i="2"/>
  <c r="K830" i="2"/>
  <c r="J830" i="2"/>
  <c r="K829" i="2"/>
  <c r="J829" i="2"/>
  <c r="K828" i="2"/>
  <c r="J828" i="2"/>
  <c r="K827" i="2"/>
  <c r="J827" i="2"/>
  <c r="K826" i="2"/>
  <c r="J826" i="2"/>
  <c r="K825" i="2"/>
  <c r="J825" i="2"/>
  <c r="K824" i="2"/>
  <c r="J824" i="2"/>
  <c r="K823" i="2"/>
  <c r="J823" i="2"/>
  <c r="K822" i="2"/>
  <c r="J822" i="2"/>
  <c r="K821" i="2"/>
  <c r="J821" i="2"/>
  <c r="K820" i="2"/>
  <c r="J820" i="2"/>
  <c r="K819" i="2"/>
  <c r="J819" i="2"/>
  <c r="K818" i="2"/>
  <c r="J818" i="2"/>
  <c r="K817" i="2"/>
  <c r="J817" i="2"/>
  <c r="K816" i="2"/>
  <c r="J816" i="2"/>
  <c r="K815" i="2"/>
  <c r="J815" i="2"/>
  <c r="K814" i="2"/>
  <c r="J814" i="2"/>
  <c r="K813" i="2"/>
  <c r="J813" i="2"/>
  <c r="K812" i="2"/>
  <c r="J812" i="2"/>
  <c r="K811" i="2"/>
  <c r="J811" i="2"/>
  <c r="K810" i="2"/>
  <c r="J810" i="2"/>
  <c r="K809" i="2"/>
  <c r="J809" i="2"/>
  <c r="K808" i="2"/>
  <c r="J808" i="2"/>
  <c r="K807" i="2"/>
  <c r="J807" i="2"/>
  <c r="K806" i="2"/>
  <c r="J806" i="2"/>
  <c r="K805" i="2"/>
  <c r="J805" i="2"/>
  <c r="K804" i="2"/>
  <c r="J804" i="2"/>
  <c r="K803" i="2"/>
  <c r="J803" i="2"/>
  <c r="K802" i="2"/>
  <c r="J802" i="2"/>
  <c r="K801" i="2"/>
  <c r="J801" i="2"/>
  <c r="K800" i="2"/>
  <c r="J800" i="2"/>
  <c r="K799" i="2"/>
  <c r="J799" i="2"/>
  <c r="K798" i="2"/>
  <c r="J798" i="2"/>
  <c r="K797" i="2"/>
  <c r="J797" i="2"/>
  <c r="K796" i="2"/>
  <c r="J796" i="2"/>
  <c r="K795" i="2"/>
  <c r="J795" i="2"/>
  <c r="K794" i="2"/>
  <c r="J794" i="2"/>
  <c r="K793" i="2"/>
  <c r="J793" i="2"/>
  <c r="K792" i="2"/>
  <c r="J792" i="2"/>
  <c r="K791" i="2"/>
  <c r="J791" i="2"/>
  <c r="K790" i="2"/>
  <c r="J790" i="2"/>
  <c r="K789" i="2"/>
  <c r="J789" i="2"/>
  <c r="K788" i="2"/>
  <c r="J788" i="2"/>
  <c r="K787" i="2"/>
  <c r="J787" i="2"/>
  <c r="K786" i="2"/>
  <c r="J786" i="2"/>
  <c r="K785" i="2"/>
  <c r="J785" i="2"/>
  <c r="K784" i="2"/>
  <c r="J784" i="2"/>
  <c r="K783" i="2"/>
  <c r="J783" i="2"/>
  <c r="K782" i="2"/>
  <c r="J782" i="2"/>
  <c r="K781" i="2"/>
  <c r="J781" i="2"/>
  <c r="K780" i="2"/>
  <c r="J780" i="2"/>
  <c r="K779" i="2"/>
  <c r="J779" i="2"/>
  <c r="K778" i="2"/>
  <c r="J778" i="2"/>
  <c r="K777" i="2"/>
  <c r="J777" i="2"/>
  <c r="K776" i="2"/>
  <c r="J776" i="2"/>
  <c r="K775" i="2"/>
  <c r="J775" i="2"/>
  <c r="K774" i="2"/>
  <c r="J774" i="2"/>
  <c r="K773" i="2"/>
  <c r="J773" i="2"/>
  <c r="K772" i="2"/>
  <c r="J772" i="2"/>
  <c r="K771" i="2"/>
  <c r="J771" i="2"/>
  <c r="K770" i="2"/>
  <c r="J770" i="2"/>
  <c r="K769" i="2"/>
  <c r="J769" i="2"/>
  <c r="K768" i="2"/>
  <c r="J768" i="2"/>
  <c r="K767" i="2"/>
  <c r="J767" i="2"/>
  <c r="K766" i="2"/>
  <c r="J766" i="2"/>
  <c r="K765" i="2"/>
  <c r="J765" i="2"/>
  <c r="K764" i="2"/>
  <c r="J764" i="2"/>
  <c r="K763" i="2"/>
  <c r="J763" i="2"/>
  <c r="K762" i="2"/>
  <c r="J762" i="2"/>
  <c r="K761" i="2"/>
  <c r="J761" i="2"/>
  <c r="K760" i="2"/>
  <c r="J760" i="2"/>
  <c r="K759" i="2"/>
  <c r="J759" i="2"/>
  <c r="K758" i="2"/>
  <c r="J758" i="2"/>
  <c r="K757" i="2"/>
  <c r="J757" i="2"/>
  <c r="K756" i="2"/>
  <c r="J756" i="2"/>
  <c r="K755" i="2"/>
  <c r="J755" i="2"/>
  <c r="K754" i="2"/>
  <c r="J754" i="2"/>
  <c r="K753" i="2"/>
  <c r="J753" i="2"/>
  <c r="K752" i="2"/>
  <c r="J752" i="2"/>
  <c r="K751" i="2"/>
  <c r="J751" i="2"/>
  <c r="K750" i="2"/>
  <c r="J750" i="2"/>
  <c r="K749" i="2"/>
  <c r="J749" i="2"/>
  <c r="K748" i="2"/>
  <c r="J748" i="2"/>
  <c r="K747" i="2"/>
  <c r="J747" i="2"/>
  <c r="K746" i="2"/>
  <c r="J746" i="2"/>
  <c r="K745" i="2"/>
  <c r="J745" i="2"/>
  <c r="K744" i="2"/>
  <c r="J744" i="2"/>
  <c r="K743" i="2"/>
  <c r="J743" i="2"/>
  <c r="K742" i="2"/>
  <c r="J742" i="2"/>
  <c r="K741" i="2"/>
  <c r="J741" i="2"/>
  <c r="K740" i="2"/>
  <c r="J740" i="2"/>
  <c r="K739" i="2"/>
  <c r="J739" i="2"/>
  <c r="K738" i="2"/>
  <c r="J738" i="2"/>
  <c r="K737" i="2"/>
  <c r="J737" i="2"/>
  <c r="K736" i="2"/>
  <c r="J736" i="2"/>
  <c r="K735" i="2"/>
  <c r="J735" i="2"/>
  <c r="K734" i="2"/>
  <c r="J734" i="2"/>
  <c r="K733" i="2"/>
  <c r="J733" i="2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K457" i="2"/>
  <c r="J457" i="2"/>
  <c r="K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K6" i="2"/>
  <c r="J6" i="2"/>
  <c r="K5" i="2"/>
  <c r="J5" i="2"/>
  <c r="J299" i="1" l="1"/>
  <c r="E13" i="3"/>
  <c r="E124" i="3"/>
  <c r="J9" i="1"/>
  <c r="C10" i="3" s="1"/>
  <c r="J170" i="1"/>
  <c r="C102" i="3" s="1"/>
  <c r="J83" i="1"/>
  <c r="J109" i="1"/>
  <c r="C63" i="3" s="1"/>
  <c r="J273" i="1"/>
  <c r="T19" i="5"/>
  <c r="AL19" i="5" s="1"/>
  <c r="J55" i="1"/>
  <c r="E52" i="3"/>
  <c r="J283" i="1"/>
  <c r="J19" i="1"/>
  <c r="C15" i="3" s="1"/>
  <c r="J179" i="1"/>
  <c r="J188" i="1"/>
  <c r="J196" i="1"/>
  <c r="C117" i="3" s="1"/>
  <c r="AC40" i="5"/>
  <c r="J39" i="1"/>
  <c r="C25" i="3" s="1"/>
  <c r="J138" i="1"/>
  <c r="F294" i="1"/>
  <c r="T38" i="5"/>
  <c r="AL38" i="5" s="1"/>
  <c r="J304" i="1"/>
  <c r="J217" i="1"/>
  <c r="D129" i="3" s="1"/>
  <c r="J223" i="1"/>
  <c r="C133" i="3" s="1"/>
  <c r="J306" i="1"/>
  <c r="AC34" i="5"/>
  <c r="J29" i="1"/>
  <c r="C20" i="3" s="1"/>
  <c r="T30" i="5"/>
  <c r="AL30" i="5" s="1"/>
  <c r="J255" i="1"/>
  <c r="S8" i="5"/>
  <c r="J16" i="5"/>
  <c r="S17" i="5"/>
  <c r="S39" i="5"/>
  <c r="K36" i="5"/>
  <c r="AK36" i="5" s="1"/>
  <c r="K37" i="5"/>
  <c r="AK37" i="5" s="1"/>
  <c r="S37" i="5"/>
  <c r="J38" i="5"/>
  <c r="K29" i="5"/>
  <c r="AK29" i="5" s="1"/>
  <c r="AW6" i="5"/>
  <c r="AV8" i="5"/>
  <c r="J12" i="5"/>
  <c r="S18" i="5"/>
  <c r="S29" i="5"/>
  <c r="S13" i="5"/>
  <c r="S14" i="5"/>
  <c r="J20" i="5"/>
  <c r="K21" i="5"/>
  <c r="AK21" i="5" s="1"/>
  <c r="AN6" i="5"/>
  <c r="J8" i="5"/>
  <c r="S12" i="5"/>
  <c r="J22" i="5"/>
  <c r="K12" i="5"/>
  <c r="AF12" i="5" s="1"/>
  <c r="AO12" i="5" s="1"/>
  <c r="S21" i="5"/>
  <c r="K23" i="5"/>
  <c r="AK23" i="5" s="1"/>
  <c r="S33" i="5"/>
  <c r="AG6" i="5"/>
  <c r="AP6" i="5" s="1"/>
  <c r="J9" i="5"/>
  <c r="AJ12" i="5"/>
  <c r="K25" i="5"/>
  <c r="AK25" i="5" s="1"/>
  <c r="J31" i="5"/>
  <c r="K38" i="5"/>
  <c r="AK38" i="5" s="1"/>
  <c r="S40" i="5"/>
  <c r="J6" i="5"/>
  <c r="K8" i="5"/>
  <c r="AK8" i="5" s="1"/>
  <c r="K34" i="5"/>
  <c r="AK34" i="5" s="1"/>
  <c r="S34" i="5"/>
  <c r="K19" i="5"/>
  <c r="AK19" i="5" s="1"/>
  <c r="K17" i="5"/>
  <c r="AK17" i="5" s="1"/>
  <c r="J26" i="5"/>
  <c r="J29" i="5"/>
  <c r="J37" i="5"/>
  <c r="AG10" i="5"/>
  <c r="AP10" i="5" s="1"/>
  <c r="S15" i="5"/>
  <c r="S19" i="5"/>
  <c r="J25" i="5"/>
  <c r="AJ35" i="5"/>
  <c r="AU6" i="5"/>
  <c r="AL6" i="5"/>
  <c r="AS6" i="5"/>
  <c r="S23" i="5"/>
  <c r="A5" i="2"/>
  <c r="J7" i="2"/>
  <c r="AC25" i="5"/>
  <c r="J167" i="1"/>
  <c r="T14" i="5"/>
  <c r="AL14" i="5" s="1"/>
  <c r="J25" i="1"/>
  <c r="E18" i="3" s="1"/>
  <c r="AC16" i="5"/>
  <c r="J49" i="1"/>
  <c r="T17" i="5"/>
  <c r="AL17" i="5" s="1"/>
  <c r="J56" i="1"/>
  <c r="E34" i="3" s="1"/>
  <c r="C7" i="3"/>
  <c r="G7" i="3" s="1"/>
  <c r="G8" i="3" s="1"/>
  <c r="E23" i="5"/>
  <c r="J127" i="1"/>
  <c r="C74" i="3" s="1"/>
  <c r="E105" i="3"/>
  <c r="D105" i="3"/>
  <c r="D111" i="3"/>
  <c r="E111" i="3"/>
  <c r="E44" i="3"/>
  <c r="T13" i="5"/>
  <c r="E158" i="3"/>
  <c r="D158" i="3"/>
  <c r="E37" i="5"/>
  <c r="J278" i="1"/>
  <c r="C161" i="3" s="1"/>
  <c r="AC18" i="5"/>
  <c r="J70" i="1"/>
  <c r="AA33" i="5"/>
  <c r="AN33" i="5" s="1"/>
  <c r="J241" i="1"/>
  <c r="AA18" i="5"/>
  <c r="AN18" i="5" s="1"/>
  <c r="J65" i="1"/>
  <c r="E46" i="3"/>
  <c r="D46" i="3"/>
  <c r="L22" i="5"/>
  <c r="J126" i="1"/>
  <c r="C72" i="3" s="1"/>
  <c r="E25" i="5"/>
  <c r="J153" i="1"/>
  <c r="C90" i="3" s="1"/>
  <c r="AA25" i="5"/>
  <c r="AN25" i="5" s="1"/>
  <c r="J158" i="1"/>
  <c r="L25" i="5"/>
  <c r="J164" i="1"/>
  <c r="C95" i="3" s="1"/>
  <c r="E154" i="3"/>
  <c r="L23" i="5"/>
  <c r="J142" i="1"/>
  <c r="C83" i="3" s="1"/>
  <c r="AA24" i="5"/>
  <c r="AN24" i="5" s="1"/>
  <c r="J148" i="1"/>
  <c r="T34" i="5"/>
  <c r="J256" i="1"/>
  <c r="E149" i="3" s="1"/>
  <c r="AJ13" i="5"/>
  <c r="AA13" i="5"/>
  <c r="J14" i="1"/>
  <c r="J132" i="1"/>
  <c r="E24" i="5"/>
  <c r="J143" i="1"/>
  <c r="C85" i="3" s="1"/>
  <c r="J211" i="1"/>
  <c r="E31" i="5"/>
  <c r="J212" i="1"/>
  <c r="C127" i="3" s="1"/>
  <c r="AJ20" i="5"/>
  <c r="AC21" i="5"/>
  <c r="J106" i="1"/>
  <c r="T25" i="5"/>
  <c r="AL25" i="5" s="1"/>
  <c r="J159" i="1"/>
  <c r="E93" i="3" s="1"/>
  <c r="E159" i="3"/>
  <c r="D163" i="3"/>
  <c r="E163" i="3"/>
  <c r="T15" i="5"/>
  <c r="AL15" i="5" s="1"/>
  <c r="E28" i="3"/>
  <c r="AJ19" i="5"/>
  <c r="AA20" i="5"/>
  <c r="J90" i="1"/>
  <c r="J95" i="1"/>
  <c r="C53" i="3" s="1"/>
  <c r="J101" i="1"/>
  <c r="AA22" i="5"/>
  <c r="AN22" i="5" s="1"/>
  <c r="J112" i="1"/>
  <c r="T26" i="5"/>
  <c r="AL26" i="5" s="1"/>
  <c r="J228" i="1"/>
  <c r="AC32" i="5"/>
  <c r="J233" i="1"/>
  <c r="AJ14" i="5"/>
  <c r="AA14" i="5"/>
  <c r="AN14" i="5" s="1"/>
  <c r="J24" i="1"/>
  <c r="J35" i="1"/>
  <c r="E23" i="3" s="1"/>
  <c r="E42" i="3"/>
  <c r="D42" i="3"/>
  <c r="J85" i="1"/>
  <c r="C48" i="3" s="1"/>
  <c r="T20" i="5"/>
  <c r="E21" i="5"/>
  <c r="J96" i="1"/>
  <c r="C55" i="3" s="1"/>
  <c r="T21" i="5"/>
  <c r="AL21" i="5" s="1"/>
  <c r="J102" i="1"/>
  <c r="E58" i="3" s="1"/>
  <c r="T22" i="5"/>
  <c r="AL22" i="5" s="1"/>
  <c r="J118" i="1"/>
  <c r="E67" i="3" s="1"/>
  <c r="E78" i="3"/>
  <c r="J171" i="1"/>
  <c r="E103" i="3" s="1"/>
  <c r="T32" i="5"/>
  <c r="AL32" i="5" s="1"/>
  <c r="J229" i="1"/>
  <c r="E136" i="3" s="1"/>
  <c r="E38" i="5"/>
  <c r="J294" i="1"/>
  <c r="C170" i="3" s="1"/>
  <c r="D172" i="3"/>
  <c r="E172" i="3"/>
  <c r="E40" i="5"/>
  <c r="J319" i="1"/>
  <c r="AA40" i="5"/>
  <c r="J324" i="1"/>
  <c r="E129" i="3"/>
  <c r="AA39" i="5"/>
  <c r="J309" i="1"/>
  <c r="T40" i="5"/>
  <c r="T33" i="5"/>
  <c r="AL33" i="5" s="1"/>
  <c r="E173" i="3"/>
  <c r="AC39" i="5"/>
  <c r="J305" i="1"/>
  <c r="T39" i="5"/>
  <c r="J310" i="1"/>
  <c r="AJ16" i="5"/>
  <c r="AA16" i="5"/>
  <c r="AN16" i="5" s="1"/>
  <c r="J44" i="1"/>
  <c r="E18" i="5"/>
  <c r="J60" i="1"/>
  <c r="C36" i="3" s="1"/>
  <c r="T23" i="5"/>
  <c r="AL23" i="5" s="1"/>
  <c r="T27" i="5"/>
  <c r="T28" i="5"/>
  <c r="AL28" i="5" s="1"/>
  <c r="AA29" i="5"/>
  <c r="AN29" i="5" s="1"/>
  <c r="J202" i="1"/>
  <c r="J242" i="1"/>
  <c r="E142" i="3" s="1"/>
  <c r="E164" i="3"/>
  <c r="AJ15" i="5"/>
  <c r="AA15" i="5"/>
  <c r="AN15" i="5" s="1"/>
  <c r="J34" i="1"/>
  <c r="F116" i="3" s="1"/>
  <c r="T16" i="5"/>
  <c r="AL16" i="5" s="1"/>
  <c r="E17" i="5"/>
  <c r="J50" i="1"/>
  <c r="C31" i="3" s="1"/>
  <c r="E33" i="3"/>
  <c r="D33" i="3"/>
  <c r="T18" i="5"/>
  <c r="AL18" i="5" s="1"/>
  <c r="J66" i="1"/>
  <c r="E39" i="3" s="1"/>
  <c r="AJ22" i="5"/>
  <c r="E107" i="3"/>
  <c r="E112" i="3"/>
  <c r="T29" i="5"/>
  <c r="AL29" i="5" s="1"/>
  <c r="J203" i="1"/>
  <c r="E122" i="3" s="1"/>
  <c r="E148" i="3"/>
  <c r="D148" i="3"/>
  <c r="AJ26" i="5"/>
  <c r="AN28" i="5"/>
  <c r="AC28" i="5"/>
  <c r="E131" i="3"/>
  <c r="T35" i="5"/>
  <c r="AL35" i="5" s="1"/>
  <c r="T24" i="5"/>
  <c r="AL24" i="5" s="1"/>
  <c r="J149" i="1"/>
  <c r="E88" i="3" s="1"/>
  <c r="E66" i="3"/>
  <c r="AY6" i="5"/>
  <c r="K7" i="5"/>
  <c r="AK7" i="5" s="1"/>
  <c r="K14" i="5"/>
  <c r="AK14" i="5" s="1"/>
  <c r="J14" i="5"/>
  <c r="AM28" i="5"/>
  <c r="AV9" i="5"/>
  <c r="T37" i="5"/>
  <c r="AL37" i="5" s="1"/>
  <c r="AC37" i="5"/>
  <c r="AJ11" i="5"/>
  <c r="S11" i="5"/>
  <c r="AM15" i="5"/>
  <c r="AV7" i="5"/>
  <c r="AV6" i="5"/>
  <c r="K9" i="5"/>
  <c r="AK9" i="5" s="1"/>
  <c r="S9" i="5"/>
  <c r="J11" i="5"/>
  <c r="K11" i="5"/>
  <c r="K13" i="5"/>
  <c r="J13" i="5"/>
  <c r="T31" i="5"/>
  <c r="AL31" i="5" s="1"/>
  <c r="AJ32" i="5"/>
  <c r="AN34" i="5"/>
  <c r="T36" i="5"/>
  <c r="AL36" i="5" s="1"/>
  <c r="D37" i="5"/>
  <c r="F161" i="3"/>
  <c r="F72" i="3"/>
  <c r="AJ7" i="5"/>
  <c r="S7" i="5"/>
  <c r="K10" i="5"/>
  <c r="J10" i="5"/>
  <c r="S10" i="5"/>
  <c r="F170" i="3"/>
  <c r="K6" i="5"/>
  <c r="S6" i="5"/>
  <c r="K15" i="5"/>
  <c r="AK15" i="5" s="1"/>
  <c r="J15" i="5"/>
  <c r="AJ34" i="5"/>
  <c r="AF34" i="5"/>
  <c r="AG34" i="5" s="1"/>
  <c r="AP34" i="5" s="1"/>
  <c r="AJ9" i="5"/>
  <c r="J19" i="5"/>
  <c r="K16" i="5"/>
  <c r="AK16" i="5" s="1"/>
  <c r="S16" i="5"/>
  <c r="J21" i="5"/>
  <c r="S25" i="5"/>
  <c r="S28" i="5"/>
  <c r="K33" i="5"/>
  <c r="J33" i="5"/>
  <c r="K28" i="5"/>
  <c r="J28" i="5"/>
  <c r="J7" i="5"/>
  <c r="AJ8" i="5"/>
  <c r="K18" i="5"/>
  <c r="AK18" i="5" s="1"/>
  <c r="K22" i="5"/>
  <c r="AJ30" i="5"/>
  <c r="AG30" i="5"/>
  <c r="AP30" i="5" s="1"/>
  <c r="J17" i="5"/>
  <c r="J23" i="5"/>
  <c r="K27" i="5"/>
  <c r="S27" i="5"/>
  <c r="K30" i="5"/>
  <c r="AK30" i="5" s="1"/>
  <c r="K32" i="5"/>
  <c r="AK32" i="5" s="1"/>
  <c r="S32" i="5"/>
  <c r="S38" i="5"/>
  <c r="K24" i="5"/>
  <c r="AK24" i="5" s="1"/>
  <c r="S24" i="5"/>
  <c r="S30" i="5"/>
  <c r="S36" i="5"/>
  <c r="K39" i="5"/>
  <c r="J39" i="5"/>
  <c r="K40" i="5"/>
  <c r="J40" i="5"/>
  <c r="J34" i="5"/>
  <c r="AF36" i="5"/>
  <c r="J18" i="5"/>
  <c r="S22" i="5"/>
  <c r="K26" i="5"/>
  <c r="AK26" i="5" s="1"/>
  <c r="J27" i="5"/>
  <c r="J30" i="5"/>
  <c r="K31" i="5"/>
  <c r="AK31" i="5" s="1"/>
  <c r="S31" i="5"/>
  <c r="J32" i="5"/>
  <c r="S35" i="5"/>
  <c r="K20" i="5"/>
  <c r="S20" i="5"/>
  <c r="J24" i="5"/>
  <c r="S26" i="5"/>
  <c r="K35" i="5"/>
  <c r="J35" i="5"/>
  <c r="J36" i="5"/>
  <c r="AG27" i="5"/>
  <c r="AP27" i="5" s="1"/>
  <c r="AF8" i="5" l="1"/>
  <c r="AO8" i="5" s="1"/>
  <c r="D21" i="3"/>
  <c r="E14" i="3"/>
  <c r="AK12" i="5"/>
  <c r="A6" i="2"/>
  <c r="E6" i="2" s="1"/>
  <c r="X12" i="5" s="1"/>
  <c r="AW10" i="5"/>
  <c r="AF39" i="5"/>
  <c r="AG39" i="5" s="1"/>
  <c r="AF20" i="5"/>
  <c r="AO20" i="5" s="1"/>
  <c r="AV11" i="5"/>
  <c r="AF9" i="5"/>
  <c r="AO9" i="5" s="1"/>
  <c r="AF7" i="5"/>
  <c r="AO7" i="5" s="1"/>
  <c r="AW9" i="5"/>
  <c r="AF30" i="5"/>
  <c r="AO30" i="5" s="1"/>
  <c r="AF29" i="5"/>
  <c r="AO29" i="5" s="1"/>
  <c r="AF16" i="5"/>
  <c r="AG16" i="5" s="1"/>
  <c r="AP16" i="5" s="1"/>
  <c r="AF19" i="5"/>
  <c r="AF26" i="5"/>
  <c r="F117" i="3"/>
  <c r="D12" i="3"/>
  <c r="E12" i="3"/>
  <c r="D169" i="3"/>
  <c r="C132" i="3"/>
  <c r="D89" i="3"/>
  <c r="D91" i="3"/>
  <c r="D56" i="3"/>
  <c r="D138" i="3"/>
  <c r="C62" i="3"/>
  <c r="D151" i="3"/>
  <c r="E160" i="3"/>
  <c r="D126" i="3"/>
  <c r="C155" i="3"/>
  <c r="E9" i="3"/>
  <c r="D43" i="3"/>
  <c r="E19" i="3"/>
  <c r="D160" i="3"/>
  <c r="D171" i="3"/>
  <c r="D84" i="3"/>
  <c r="C89" i="3"/>
  <c r="F89" i="3" s="1"/>
  <c r="C54" i="3"/>
  <c r="F54" i="3" s="1"/>
  <c r="D62" i="3"/>
  <c r="D54" i="3"/>
  <c r="E126" i="3"/>
  <c r="D104" i="3"/>
  <c r="D118" i="3"/>
  <c r="E123" i="3"/>
  <c r="D6" i="3"/>
  <c r="E89" i="3"/>
  <c r="E6" i="3"/>
  <c r="F97" i="3"/>
  <c r="C35" i="3"/>
  <c r="D75" i="3"/>
  <c r="F68" i="3"/>
  <c r="D155" i="3"/>
  <c r="D140" i="3"/>
  <c r="D24" i="3"/>
  <c r="D86" i="3"/>
  <c r="C49" i="3"/>
  <c r="E54" i="3"/>
  <c r="D50" i="3"/>
  <c r="C123" i="3"/>
  <c r="F123" i="3" s="1"/>
  <c r="E73" i="3"/>
  <c r="D49" i="3"/>
  <c r="F80" i="3"/>
  <c r="E106" i="3"/>
  <c r="D35" i="3"/>
  <c r="D64" i="3"/>
  <c r="F94" i="3"/>
  <c r="C73" i="3"/>
  <c r="C19" i="3"/>
  <c r="F19" i="3" s="1"/>
  <c r="C30" i="3"/>
  <c r="D144" i="3"/>
  <c r="D134" i="3"/>
  <c r="D19" i="3"/>
  <c r="C84" i="3"/>
  <c r="E43" i="3"/>
  <c r="C43" i="3"/>
  <c r="F43" i="3" s="1"/>
  <c r="E35" i="3"/>
  <c r="C169" i="3"/>
  <c r="D128" i="3"/>
  <c r="E155" i="3"/>
  <c r="D26" i="3"/>
  <c r="E144" i="3"/>
  <c r="D32" i="3"/>
  <c r="D147" i="3"/>
  <c r="E108" i="3"/>
  <c r="D108" i="3"/>
  <c r="C160" i="3"/>
  <c r="F160" i="3" s="1"/>
  <c r="E138" i="3"/>
  <c r="E132" i="3"/>
  <c r="D9" i="3"/>
  <c r="E30" i="3"/>
  <c r="E118" i="3"/>
  <c r="C126" i="3"/>
  <c r="F126" i="3" s="1"/>
  <c r="D73" i="3"/>
  <c r="D14" i="3"/>
  <c r="D16" i="3"/>
  <c r="F96" i="3"/>
  <c r="C9" i="3"/>
  <c r="F9" i="3" s="1"/>
  <c r="F95" i="3"/>
  <c r="C144" i="3"/>
  <c r="D106" i="3"/>
  <c r="C106" i="3"/>
  <c r="F106" i="3" s="1"/>
  <c r="E151" i="3"/>
  <c r="C118" i="3"/>
  <c r="D120" i="3"/>
  <c r="D123" i="3"/>
  <c r="C14" i="3"/>
  <c r="E84" i="3"/>
  <c r="D132" i="3"/>
  <c r="D30" i="3"/>
  <c r="D11" i="3"/>
  <c r="AG36" i="5"/>
  <c r="AP36" i="5" s="1"/>
  <c r="AO36" i="5"/>
  <c r="AK13" i="5"/>
  <c r="AT7" i="5"/>
  <c r="AF17" i="5"/>
  <c r="AO17" i="5" s="1"/>
  <c r="AJ17" i="5"/>
  <c r="AS7" i="5"/>
  <c r="AF13" i="5"/>
  <c r="C24" i="3"/>
  <c r="F24" i="3" s="1"/>
  <c r="D45" i="3"/>
  <c r="C138" i="3"/>
  <c r="F138" i="3" s="1"/>
  <c r="D110" i="3"/>
  <c r="E24" i="3"/>
  <c r="AK11" i="5"/>
  <c r="AF11" i="5"/>
  <c r="AO11" i="5" s="1"/>
  <c r="AJ23" i="5"/>
  <c r="AF23" i="5"/>
  <c r="AO23" i="5" s="1"/>
  <c r="D37" i="3"/>
  <c r="C108" i="3"/>
  <c r="E101" i="3"/>
  <c r="AF15" i="5"/>
  <c r="F83" i="3"/>
  <c r="C151" i="3"/>
  <c r="F151" i="3" s="1"/>
  <c r="E62" i="3"/>
  <c r="D157" i="3"/>
  <c r="AK22" i="5"/>
  <c r="AF22" i="5"/>
  <c r="AK33" i="5"/>
  <c r="AF33" i="5"/>
  <c r="AO34" i="5"/>
  <c r="E49" i="3"/>
  <c r="E169" i="3"/>
  <c r="C101" i="3"/>
  <c r="AL27" i="5"/>
  <c r="AU9" i="5"/>
  <c r="D87" i="3"/>
  <c r="E87" i="3"/>
  <c r="F69" i="3"/>
  <c r="AJ21" i="5"/>
  <c r="AF21" i="5"/>
  <c r="AO21" i="5" s="1"/>
  <c r="AS8" i="5"/>
  <c r="D27" i="3"/>
  <c r="E27" i="3"/>
  <c r="E51" i="3"/>
  <c r="D51" i="3"/>
  <c r="D162" i="3"/>
  <c r="C6" i="3"/>
  <c r="F6" i="3" s="1"/>
  <c r="D101" i="3"/>
  <c r="AK28" i="5"/>
  <c r="AF28" i="5"/>
  <c r="AT6" i="5"/>
  <c r="AK6" i="5"/>
  <c r="AF6" i="5"/>
  <c r="E121" i="3"/>
  <c r="D121" i="3"/>
  <c r="AU8" i="5"/>
  <c r="AL20" i="5"/>
  <c r="AF14" i="5"/>
  <c r="E57" i="3"/>
  <c r="D57" i="3"/>
  <c r="AJ24" i="5"/>
  <c r="AF24" i="5"/>
  <c r="AO24" i="5" s="1"/>
  <c r="AJ37" i="5"/>
  <c r="AF37" i="5"/>
  <c r="AO37" i="5" s="1"/>
  <c r="AS10" i="5"/>
  <c r="AK20" i="5"/>
  <c r="AT8" i="5"/>
  <c r="E22" i="3"/>
  <c r="D22" i="3"/>
  <c r="AF40" i="5"/>
  <c r="AG40" i="5" s="1"/>
  <c r="E76" i="3"/>
  <c r="D76" i="3"/>
  <c r="AL34" i="5"/>
  <c r="AU10" i="5"/>
  <c r="E92" i="3"/>
  <c r="D92" i="3"/>
  <c r="E38" i="3"/>
  <c r="D38" i="3"/>
  <c r="F6" i="2"/>
  <c r="AE12" i="5" s="1"/>
  <c r="B6" i="2"/>
  <c r="U12" i="5" s="1"/>
  <c r="D6" i="2"/>
  <c r="W12" i="5" s="1"/>
  <c r="AN20" i="5"/>
  <c r="AW8" i="5"/>
  <c r="E141" i="3"/>
  <c r="D141" i="3"/>
  <c r="AN13" i="5"/>
  <c r="AW7" i="5"/>
  <c r="AU7" i="5"/>
  <c r="AL13" i="5"/>
  <c r="G10" i="3"/>
  <c r="G11" i="3" s="1"/>
  <c r="G12" i="3" s="1"/>
  <c r="G13" i="3" s="1"/>
  <c r="G6" i="3"/>
  <c r="AK27" i="5"/>
  <c r="AF27" i="5"/>
  <c r="AT9" i="5"/>
  <c r="AK10" i="5"/>
  <c r="AF10" i="5"/>
  <c r="AO10" i="5" s="1"/>
  <c r="E135" i="3"/>
  <c r="D135" i="3"/>
  <c r="AF25" i="5"/>
  <c r="AO25" i="5" s="1"/>
  <c r="AJ25" i="5"/>
  <c r="J9" i="2"/>
  <c r="AK35" i="5"/>
  <c r="AF35" i="5"/>
  <c r="AO35" i="5" s="1"/>
  <c r="AT10" i="5"/>
  <c r="AF32" i="5"/>
  <c r="AJ38" i="5"/>
  <c r="AF38" i="5"/>
  <c r="AO38" i="5" s="1"/>
  <c r="E17" i="3"/>
  <c r="D17" i="3"/>
  <c r="AJ31" i="5"/>
  <c r="AF31" i="5"/>
  <c r="AO31" i="5" s="1"/>
  <c r="AS9" i="5"/>
  <c r="H5" i="2"/>
  <c r="D5" i="2"/>
  <c r="W35" i="5" s="1"/>
  <c r="C5" i="2"/>
  <c r="V35" i="5" s="1"/>
  <c r="E5" i="2"/>
  <c r="X35" i="5" s="1"/>
  <c r="B5" i="2"/>
  <c r="F5" i="2"/>
  <c r="AE35" i="5" s="1"/>
  <c r="AF18" i="5"/>
  <c r="AO18" i="5" s="1"/>
  <c r="AJ18" i="5"/>
  <c r="D65" i="3"/>
  <c r="E65" i="3"/>
  <c r="C6" i="2" l="1"/>
  <c r="V12" i="5" s="1"/>
  <c r="F118" i="3"/>
  <c r="F169" i="3"/>
  <c r="F84" i="3"/>
  <c r="AG29" i="5"/>
  <c r="AP29" i="5" s="1"/>
  <c r="AG20" i="5"/>
  <c r="AP20" i="5" s="1"/>
  <c r="H6" i="2"/>
  <c r="F35" i="3"/>
  <c r="AU11" i="5"/>
  <c r="AW11" i="5"/>
  <c r="F144" i="3"/>
  <c r="F73" i="3"/>
  <c r="F14" i="3"/>
  <c r="F62" i="3"/>
  <c r="F108" i="3"/>
  <c r="AO16" i="5"/>
  <c r="AG18" i="5"/>
  <c r="AP18" i="5" s="1"/>
  <c r="AG37" i="5"/>
  <c r="AP37" i="5" s="1"/>
  <c r="G5" i="2"/>
  <c r="Y35" i="5" s="1"/>
  <c r="AO26" i="5"/>
  <c r="AG26" i="5"/>
  <c r="AP26" i="5" s="1"/>
  <c r="AO19" i="5"/>
  <c r="AG19" i="5"/>
  <c r="AP19" i="5" s="1"/>
  <c r="AO6" i="5"/>
  <c r="AX6" i="5"/>
  <c r="U35" i="5"/>
  <c r="AG38" i="5"/>
  <c r="AP38" i="5" s="1"/>
  <c r="G15" i="3"/>
  <c r="G16" i="3" s="1"/>
  <c r="G17" i="3" s="1"/>
  <c r="G18" i="3" s="1"/>
  <c r="G9" i="3"/>
  <c r="AO22" i="5"/>
  <c r="AG22" i="5"/>
  <c r="AP22" i="5" s="1"/>
  <c r="AG17" i="5"/>
  <c r="AP17" i="5" s="1"/>
  <c r="F30" i="3"/>
  <c r="F132" i="3"/>
  <c r="F101" i="3"/>
  <c r="AG24" i="5"/>
  <c r="AP24" i="5" s="1"/>
  <c r="AO32" i="5"/>
  <c r="AG32" i="5"/>
  <c r="AP32" i="5" s="1"/>
  <c r="AG23" i="5"/>
  <c r="AP23" i="5" s="1"/>
  <c r="AG31" i="5"/>
  <c r="AP31" i="5" s="1"/>
  <c r="A7" i="2"/>
  <c r="J19" i="2"/>
  <c r="AG21" i="5"/>
  <c r="AP21" i="5" s="1"/>
  <c r="AX10" i="5"/>
  <c r="AY10" i="5" s="1"/>
  <c r="F49" i="3"/>
  <c r="AX8" i="5"/>
  <c r="AY8" i="5" s="1"/>
  <c r="AG25" i="5"/>
  <c r="AP25" i="5" s="1"/>
  <c r="AT11" i="5"/>
  <c r="AO33" i="5"/>
  <c r="AG33" i="5"/>
  <c r="AP33" i="5" s="1"/>
  <c r="AO15" i="5"/>
  <c r="AG15" i="5"/>
  <c r="AP15" i="5" s="1"/>
  <c r="AX7" i="5"/>
  <c r="AY7" i="5" s="1"/>
  <c r="AO13" i="5"/>
  <c r="AG13" i="5"/>
  <c r="AP13" i="5" s="1"/>
  <c r="AX9" i="5"/>
  <c r="AY9" i="5" s="1"/>
  <c r="AO27" i="5"/>
  <c r="AO14" i="5"/>
  <c r="AG14" i="5"/>
  <c r="AP14" i="5" s="1"/>
  <c r="AG28" i="5"/>
  <c r="AP28" i="5" s="1"/>
  <c r="AO28" i="5"/>
  <c r="AS11" i="5"/>
  <c r="F155" i="3"/>
  <c r="G6" i="2" l="1"/>
  <c r="Y12" i="5" s="1"/>
  <c r="J29" i="2"/>
  <c r="A9" i="2" s="1"/>
  <c r="A8" i="2"/>
  <c r="G20" i="3"/>
  <c r="G21" i="3" s="1"/>
  <c r="G22" i="3" s="1"/>
  <c r="G23" i="3" s="1"/>
  <c r="G14" i="3"/>
  <c r="D7" i="2"/>
  <c r="W13" i="5" s="1"/>
  <c r="C7" i="2"/>
  <c r="V13" i="5" s="1"/>
  <c r="H7" i="2"/>
  <c r="F7" i="2"/>
  <c r="AE13" i="5" s="1"/>
  <c r="B7" i="2"/>
  <c r="U13" i="5" s="1"/>
  <c r="E7" i="2"/>
  <c r="X13" i="5" s="1"/>
  <c r="AX11" i="5"/>
  <c r="AY11" i="5" s="1"/>
  <c r="J39" i="2" l="1"/>
  <c r="A10" i="2" s="1"/>
  <c r="G7" i="2"/>
  <c r="Y13" i="5" s="1"/>
  <c r="H9" i="2"/>
  <c r="D9" i="2"/>
  <c r="W15" i="5" s="1"/>
  <c r="C9" i="2"/>
  <c r="V15" i="5" s="1"/>
  <c r="E9" i="2"/>
  <c r="X15" i="5" s="1"/>
  <c r="B9" i="2"/>
  <c r="U15" i="5" s="1"/>
  <c r="F9" i="2"/>
  <c r="AE15" i="5" s="1"/>
  <c r="G25" i="3"/>
  <c r="G26" i="3" s="1"/>
  <c r="G27" i="3" s="1"/>
  <c r="G28" i="3" s="1"/>
  <c r="G29" i="3" s="1"/>
  <c r="G19" i="3"/>
  <c r="B8" i="2"/>
  <c r="U14" i="5" s="1"/>
  <c r="F8" i="2"/>
  <c r="AE14" i="5" s="1"/>
  <c r="E8" i="2"/>
  <c r="X14" i="5" s="1"/>
  <c r="C8" i="2"/>
  <c r="V14" i="5" s="1"/>
  <c r="H8" i="2"/>
  <c r="D8" i="2"/>
  <c r="W14" i="5" s="1"/>
  <c r="J50" i="2" l="1"/>
  <c r="G8" i="2"/>
  <c r="Y14" i="5" s="1"/>
  <c r="F10" i="2"/>
  <c r="AE16" i="5" s="1"/>
  <c r="E10" i="2"/>
  <c r="X16" i="5" s="1"/>
  <c r="B10" i="2"/>
  <c r="H10" i="2"/>
  <c r="D10" i="2"/>
  <c r="W16" i="5" s="1"/>
  <c r="C10" i="2"/>
  <c r="V16" i="5" s="1"/>
  <c r="G9" i="2"/>
  <c r="Y15" i="5" s="1"/>
  <c r="G31" i="3"/>
  <c r="G32" i="3" s="1"/>
  <c r="G33" i="3" s="1"/>
  <c r="G34" i="3" s="1"/>
  <c r="G24" i="3"/>
  <c r="J60" i="2" l="1"/>
  <c r="A11" i="2"/>
  <c r="G10" i="2"/>
  <c r="Y16" i="5" s="1"/>
  <c r="G36" i="3"/>
  <c r="G37" i="3" s="1"/>
  <c r="G38" i="3" s="1"/>
  <c r="G39" i="3" s="1"/>
  <c r="G40" i="3" s="1"/>
  <c r="G41" i="3" s="1"/>
  <c r="G42" i="3" s="1"/>
  <c r="G30" i="3"/>
  <c r="U16" i="5"/>
  <c r="F11" i="2" l="1"/>
  <c r="AE17" i="5" s="1"/>
  <c r="E11" i="2"/>
  <c r="X17" i="5" s="1"/>
  <c r="C11" i="2"/>
  <c r="V17" i="5" s="1"/>
  <c r="D11" i="2"/>
  <c r="W17" i="5" s="1"/>
  <c r="H11" i="2"/>
  <c r="B11" i="2"/>
  <c r="A12" i="2"/>
  <c r="J75" i="2"/>
  <c r="G44" i="3"/>
  <c r="G45" i="3" s="1"/>
  <c r="G46" i="3" s="1"/>
  <c r="G47" i="3" s="1"/>
  <c r="G48" i="3" s="1"/>
  <c r="G35" i="3"/>
  <c r="U17" i="5" l="1"/>
  <c r="G11" i="2"/>
  <c r="Y17" i="5" s="1"/>
  <c r="B12" i="2"/>
  <c r="U18" i="5" s="1"/>
  <c r="F12" i="2"/>
  <c r="AE18" i="5" s="1"/>
  <c r="E12" i="2"/>
  <c r="X18" i="5" s="1"/>
  <c r="H12" i="2"/>
  <c r="D12" i="2"/>
  <c r="W18" i="5" s="1"/>
  <c r="C12" i="2"/>
  <c r="V18" i="5" s="1"/>
  <c r="J86" i="2"/>
  <c r="A14" i="2" s="1"/>
  <c r="A13" i="2"/>
  <c r="G50" i="3"/>
  <c r="G51" i="3" s="1"/>
  <c r="G52" i="3" s="1"/>
  <c r="G53" i="3" s="1"/>
  <c r="G43" i="3"/>
  <c r="J96" i="2" l="1"/>
  <c r="A15" i="2" s="1"/>
  <c r="H13" i="2"/>
  <c r="F13" i="2"/>
  <c r="AE19" i="5" s="1"/>
  <c r="B13" i="2"/>
  <c r="E13" i="2"/>
  <c r="X19" i="5" s="1"/>
  <c r="C13" i="2"/>
  <c r="V19" i="5" s="1"/>
  <c r="D13" i="2"/>
  <c r="W19" i="5" s="1"/>
  <c r="F14" i="2"/>
  <c r="AE20" i="5" s="1"/>
  <c r="E14" i="2"/>
  <c r="B14" i="2"/>
  <c r="H14" i="2"/>
  <c r="D14" i="2"/>
  <c r="W20" i="5" s="1"/>
  <c r="C14" i="2"/>
  <c r="V20" i="5" s="1"/>
  <c r="J109" i="2"/>
  <c r="A16" i="2" s="1"/>
  <c r="G12" i="2"/>
  <c r="Y18" i="5" s="1"/>
  <c r="G49" i="3"/>
  <c r="G55" i="3"/>
  <c r="G56" i="3" s="1"/>
  <c r="G57" i="3" s="1"/>
  <c r="G58" i="3" s="1"/>
  <c r="G59" i="3" s="1"/>
  <c r="G60" i="3" s="1"/>
  <c r="G61" i="3" s="1"/>
  <c r="G14" i="2" l="1"/>
  <c r="Y20" i="5" s="1"/>
  <c r="J127" i="2"/>
  <c r="U19" i="5"/>
  <c r="G13" i="2"/>
  <c r="Y19" i="5" s="1"/>
  <c r="D15" i="2"/>
  <c r="C15" i="2"/>
  <c r="V21" i="5" s="1"/>
  <c r="H15" i="2"/>
  <c r="B15" i="2"/>
  <c r="U21" i="5" s="1"/>
  <c r="F15" i="2"/>
  <c r="E15" i="2"/>
  <c r="G54" i="3"/>
  <c r="G63" i="3"/>
  <c r="G64" i="3" s="1"/>
  <c r="G65" i="3" s="1"/>
  <c r="G66" i="3" s="1"/>
  <c r="G67" i="3" s="1"/>
  <c r="G68" i="3" s="1"/>
  <c r="G69" i="3" s="1"/>
  <c r="G70" i="3" s="1"/>
  <c r="G71" i="3" s="1"/>
  <c r="G72" i="3" s="1"/>
  <c r="B16" i="2"/>
  <c r="U22" i="5" s="1"/>
  <c r="F16" i="2"/>
  <c r="AE22" i="5" s="1"/>
  <c r="E16" i="2"/>
  <c r="X22" i="5" s="1"/>
  <c r="C16" i="2"/>
  <c r="V22" i="5" s="1"/>
  <c r="H16" i="2"/>
  <c r="D16" i="2"/>
  <c r="W22" i="5" s="1"/>
  <c r="J143" i="2" l="1"/>
  <c r="A18" i="2" s="1"/>
  <c r="A17" i="2"/>
  <c r="G15" i="2"/>
  <c r="G16" i="2"/>
  <c r="Y22" i="5" s="1"/>
  <c r="X21" i="5"/>
  <c r="X20" i="5"/>
  <c r="G74" i="3"/>
  <c r="G75" i="3" s="1"/>
  <c r="G76" i="3" s="1"/>
  <c r="G77" i="3" s="1"/>
  <c r="G78" i="3" s="1"/>
  <c r="G79" i="3" s="1"/>
  <c r="G80" i="3" s="1"/>
  <c r="G81" i="3" s="1"/>
  <c r="G82" i="3" s="1"/>
  <c r="G83" i="3" s="1"/>
  <c r="G62" i="3"/>
  <c r="C18" i="2" l="1"/>
  <c r="V24" i="5" s="1"/>
  <c r="E18" i="2"/>
  <c r="X24" i="5" s="1"/>
  <c r="B18" i="2"/>
  <c r="U24" i="5" s="1"/>
  <c r="H18" i="2"/>
  <c r="D18" i="2"/>
  <c r="W24" i="5" s="1"/>
  <c r="F18" i="2"/>
  <c r="AE24" i="5" s="1"/>
  <c r="J153" i="2"/>
  <c r="H17" i="2"/>
  <c r="D17" i="2"/>
  <c r="W23" i="5" s="1"/>
  <c r="C17" i="2"/>
  <c r="V23" i="5" s="1"/>
  <c r="E17" i="2"/>
  <c r="X23" i="5" s="1"/>
  <c r="B17" i="2"/>
  <c r="F17" i="2"/>
  <c r="AE23" i="5" s="1"/>
  <c r="G85" i="3"/>
  <c r="G86" i="3" s="1"/>
  <c r="G87" i="3" s="1"/>
  <c r="G88" i="3" s="1"/>
  <c r="G73" i="3"/>
  <c r="G18" i="2" l="1"/>
  <c r="Y24" i="5" s="1"/>
  <c r="G17" i="2"/>
  <c r="Y23" i="5" s="1"/>
  <c r="U23" i="5"/>
  <c r="J170" i="2"/>
  <c r="A20" i="2" s="1"/>
  <c r="A19" i="2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4" i="3"/>
  <c r="C20" i="2" l="1"/>
  <c r="V26" i="5" s="1"/>
  <c r="H20" i="2"/>
  <c r="B20" i="2"/>
  <c r="F20" i="2"/>
  <c r="AE26" i="5" s="1"/>
  <c r="E20" i="2"/>
  <c r="X26" i="5" s="1"/>
  <c r="D20" i="2"/>
  <c r="W26" i="5" s="1"/>
  <c r="J180" i="2"/>
  <c r="D19" i="2"/>
  <c r="W25" i="5" s="1"/>
  <c r="C19" i="2"/>
  <c r="V25" i="5" s="1"/>
  <c r="H19" i="2"/>
  <c r="B19" i="2"/>
  <c r="F19" i="2"/>
  <c r="AE25" i="5" s="1"/>
  <c r="E19" i="2"/>
  <c r="X25" i="5" s="1"/>
  <c r="G89" i="3"/>
  <c r="G102" i="3"/>
  <c r="G103" i="3" s="1"/>
  <c r="G104" i="3" s="1"/>
  <c r="G105" i="3" s="1"/>
  <c r="G19" i="2" l="1"/>
  <c r="Y25" i="5" s="1"/>
  <c r="G20" i="2"/>
  <c r="Y26" i="5" s="1"/>
  <c r="U25" i="5"/>
  <c r="U26" i="5"/>
  <c r="J183" i="2"/>
  <c r="A21" i="2"/>
  <c r="A22" i="2"/>
  <c r="G107" i="3"/>
  <c r="G101" i="3"/>
  <c r="D22" i="2" l="1"/>
  <c r="W28" i="5" s="1"/>
  <c r="C22" i="2"/>
  <c r="V28" i="5" s="1"/>
  <c r="E22" i="2"/>
  <c r="X28" i="5" s="1"/>
  <c r="B22" i="2"/>
  <c r="U28" i="5" s="1"/>
  <c r="H22" i="2"/>
  <c r="F22" i="2"/>
  <c r="AE28" i="5" s="1"/>
  <c r="C21" i="2"/>
  <c r="V27" i="5" s="1"/>
  <c r="E21" i="2"/>
  <c r="X27" i="5" s="1"/>
  <c r="F21" i="2"/>
  <c r="AE27" i="5" s="1"/>
  <c r="B21" i="2"/>
  <c r="H21" i="2"/>
  <c r="D21" i="2"/>
  <c r="W27" i="5" s="1"/>
  <c r="J197" i="2"/>
  <c r="G109" i="3"/>
  <c r="G110" i="3" s="1"/>
  <c r="G111" i="3" s="1"/>
  <c r="G112" i="3" s="1"/>
  <c r="G113" i="3" s="1"/>
  <c r="G114" i="3" s="1"/>
  <c r="G115" i="3" s="1"/>
  <c r="G116" i="3" s="1"/>
  <c r="G117" i="3" s="1"/>
  <c r="G106" i="3"/>
  <c r="G21" i="2" l="1"/>
  <c r="Y27" i="5" s="1"/>
  <c r="U27" i="5"/>
  <c r="G22" i="2"/>
  <c r="Y28" i="5" s="1"/>
  <c r="J207" i="2"/>
  <c r="A24" i="2" s="1"/>
  <c r="A23" i="2"/>
  <c r="G119" i="3"/>
  <c r="G120" i="3" s="1"/>
  <c r="G121" i="3" s="1"/>
  <c r="G122" i="3" s="1"/>
  <c r="G108" i="3"/>
  <c r="J212" i="2" l="1"/>
  <c r="B24" i="2"/>
  <c r="U30" i="5" s="1"/>
  <c r="F24" i="2"/>
  <c r="AE30" i="5" s="1"/>
  <c r="E24" i="2"/>
  <c r="X30" i="5" s="1"/>
  <c r="C24" i="2"/>
  <c r="V30" i="5" s="1"/>
  <c r="H24" i="2"/>
  <c r="D24" i="2"/>
  <c r="W30" i="5" s="1"/>
  <c r="B23" i="2"/>
  <c r="U29" i="5" s="1"/>
  <c r="D23" i="2"/>
  <c r="W29" i="5" s="1"/>
  <c r="E23" i="2"/>
  <c r="X29" i="5" s="1"/>
  <c r="C23" i="2"/>
  <c r="V29" i="5" s="1"/>
  <c r="H23" i="2"/>
  <c r="F23" i="2"/>
  <c r="AE29" i="5" s="1"/>
  <c r="G124" i="3"/>
  <c r="G125" i="3" s="1"/>
  <c r="G118" i="3"/>
  <c r="J223" i="2" l="1"/>
  <c r="J236" i="2" s="1"/>
  <c r="J249" i="2" s="1"/>
  <c r="J269" i="2" s="1"/>
  <c r="J279" i="2" s="1"/>
  <c r="J295" i="2" s="1"/>
  <c r="J306" i="2" s="1"/>
  <c r="J319" i="2" s="1"/>
  <c r="J331" i="2" s="1"/>
  <c r="J342" i="2" s="1"/>
  <c r="J353" i="2" s="1"/>
  <c r="J361" i="2" s="1"/>
  <c r="J375" i="2" s="1"/>
  <c r="J385" i="2" s="1"/>
  <c r="J402" i="2" s="1"/>
  <c r="J419" i="2" s="1"/>
  <c r="J430" i="2" s="1"/>
  <c r="J441" i="2" s="1"/>
  <c r="J456" i="2" s="1"/>
  <c r="J458" i="2" s="1"/>
  <c r="A963" i="2" s="1"/>
  <c r="A25" i="2"/>
  <c r="G23" i="2"/>
  <c r="Y29" i="5" s="1"/>
  <c r="G24" i="2"/>
  <c r="Y30" i="5" s="1"/>
  <c r="G127" i="3"/>
  <c r="G128" i="3" s="1"/>
  <c r="G129" i="3" s="1"/>
  <c r="G130" i="3" s="1"/>
  <c r="G131" i="3" s="1"/>
  <c r="G123" i="3"/>
  <c r="A32" i="2" l="1"/>
  <c r="A38" i="2"/>
  <c r="A39" i="2"/>
  <c r="A36" i="2"/>
  <c r="A28" i="2"/>
  <c r="A880" i="2"/>
  <c r="A696" i="2"/>
  <c r="A236" i="2"/>
  <c r="A641" i="2"/>
  <c r="A719" i="2"/>
  <c r="A250" i="2"/>
  <c r="A171" i="2"/>
  <c r="A829" i="2"/>
  <c r="A296" i="2"/>
  <c r="A512" i="2"/>
  <c r="A705" i="2"/>
  <c r="A330" i="2"/>
  <c r="A952" i="2"/>
  <c r="A359" i="2"/>
  <c r="A805" i="2"/>
  <c r="A870" i="2"/>
  <c r="A676" i="2"/>
  <c r="A716" i="2"/>
  <c r="A342" i="2"/>
  <c r="A111" i="2"/>
  <c r="A221" i="2"/>
  <c r="A685" i="2"/>
  <c r="A509" i="2"/>
  <c r="A648" i="2"/>
  <c r="A183" i="2"/>
  <c r="A329" i="2"/>
  <c r="A877" i="2"/>
  <c r="A158" i="2"/>
  <c r="A392" i="2"/>
  <c r="A384" i="2"/>
  <c r="A850" i="2"/>
  <c r="A911" i="2"/>
  <c r="A729" i="2"/>
  <c r="A415" i="2"/>
  <c r="A42" i="2"/>
  <c r="A993" i="2"/>
  <c r="A456" i="2"/>
  <c r="A571" i="2"/>
  <c r="A818" i="2"/>
  <c r="A394" i="2"/>
  <c r="A917" i="2"/>
  <c r="A921" i="2"/>
  <c r="A81" i="2"/>
  <c r="A765" i="2"/>
  <c r="A849" i="2"/>
  <c r="A245" i="2"/>
  <c r="A107" i="2"/>
  <c r="A690" i="2"/>
  <c r="A261" i="2"/>
  <c r="A160" i="2"/>
  <c r="A479" i="2"/>
  <c r="E479" i="2" s="1"/>
  <c r="A714" i="2"/>
  <c r="A303" i="2"/>
  <c r="A101" i="2"/>
  <c r="A654" i="2"/>
  <c r="A875" i="2"/>
  <c r="A255" i="2"/>
  <c r="A295" i="2"/>
  <c r="A822" i="2"/>
  <c r="H822" i="2" s="1"/>
  <c r="A180" i="2"/>
  <c r="A615" i="2"/>
  <c r="A602" i="2"/>
  <c r="A632" i="2"/>
  <c r="A85" i="2"/>
  <c r="A233" i="2"/>
  <c r="A338" i="2"/>
  <c r="A634" i="2"/>
  <c r="A465" i="2"/>
  <c r="A174" i="2"/>
  <c r="A192" i="2"/>
  <c r="A98" i="2"/>
  <c r="A74" i="2"/>
  <c r="E74" i="2" s="1"/>
  <c r="A418" i="2"/>
  <c r="A106" i="2"/>
  <c r="A97" i="2"/>
  <c r="A988" i="2"/>
  <c r="A973" i="2"/>
  <c r="A152" i="2"/>
  <c r="A40" i="2"/>
  <c r="A144" i="2"/>
  <c r="A662" i="2"/>
  <c r="A700" i="2"/>
  <c r="A970" i="2"/>
  <c r="F970" i="2" s="1"/>
  <c r="A665" i="2"/>
  <c r="A495" i="2"/>
  <c r="A793" i="2"/>
  <c r="A283" i="2"/>
  <c r="A982" i="2"/>
  <c r="A229" i="2"/>
  <c r="A864" i="2"/>
  <c r="A753" i="2"/>
  <c r="C753" i="2" s="1"/>
  <c r="A692" i="2"/>
  <c r="A230" i="2"/>
  <c r="A547" i="2"/>
  <c r="A477" i="2"/>
  <c r="A906" i="2"/>
  <c r="A725" i="2"/>
  <c r="A802" i="2"/>
  <c r="A147" i="2"/>
  <c r="C147" i="2" s="1"/>
  <c r="A655" i="2"/>
  <c r="A347" i="2"/>
  <c r="A276" i="2"/>
  <c r="B276" i="2" s="1"/>
  <c r="A420" i="2"/>
  <c r="A407" i="2"/>
  <c r="E407" i="2" s="1"/>
  <c r="A164" i="2"/>
  <c r="D164" i="2" s="1"/>
  <c r="A288" i="2"/>
  <c r="A932" i="2"/>
  <c r="A524" i="2"/>
  <c r="A971" i="2"/>
  <c r="A198" i="2"/>
  <c r="A31" i="2"/>
  <c r="H31" i="2" s="1"/>
  <c r="A746" i="2"/>
  <c r="B746" i="2" s="1"/>
  <c r="A721" i="2"/>
  <c r="A352" i="2"/>
  <c r="G352" i="2" s="1"/>
  <c r="A811" i="2"/>
  <c r="G811" i="2" s="1"/>
  <c r="A500" i="2"/>
  <c r="A442" i="2"/>
  <c r="A206" i="2"/>
  <c r="A899" i="2"/>
  <c r="F899" i="2" s="1"/>
  <c r="A184" i="2"/>
  <c r="H184" i="2" s="1"/>
  <c r="A145" i="2"/>
  <c r="C145" i="2" s="1"/>
  <c r="A770" i="2"/>
  <c r="F770" i="2" s="1"/>
  <c r="A353" i="2"/>
  <c r="D353" i="2" s="1"/>
  <c r="A890" i="2"/>
  <c r="E890" i="2" s="1"/>
  <c r="A782" i="2"/>
  <c r="A939" i="2"/>
  <c r="F939" i="2" s="1"/>
  <c r="A469" i="2"/>
  <c r="H469" i="2" s="1"/>
  <c r="A657" i="2"/>
  <c r="B657" i="2" s="1"/>
  <c r="A441" i="2"/>
  <c r="A122" i="2"/>
  <c r="A227" i="2"/>
  <c r="A132" i="2"/>
  <c r="A656" i="2"/>
  <c r="A728" i="2"/>
  <c r="A267" i="2"/>
  <c r="A856" i="2"/>
  <c r="A914" i="2"/>
  <c r="A905" i="2"/>
  <c r="A450" i="2"/>
  <c r="A172" i="2"/>
  <c r="A604" i="2"/>
  <c r="A298" i="2"/>
  <c r="A892" i="2"/>
  <c r="H892" i="2" s="1"/>
  <c r="A489" i="2"/>
  <c r="A901" i="2"/>
  <c r="E901" i="2" s="1"/>
  <c r="A224" i="2"/>
  <c r="A118" i="2"/>
  <c r="F118" i="2" s="1"/>
  <c r="A376" i="2"/>
  <c r="A411" i="2"/>
  <c r="A773" i="2"/>
  <c r="H773" i="2" s="1"/>
  <c r="A289" i="2"/>
  <c r="C289" i="2" s="1"/>
  <c r="A434" i="2"/>
  <c r="C434" i="2" s="1"/>
  <c r="A322" i="2"/>
  <c r="A783" i="2"/>
  <c r="E783" i="2" s="1"/>
  <c r="A135" i="2"/>
  <c r="D135" i="2" s="1"/>
  <c r="A539" i="2"/>
  <c r="F539" i="2" s="1"/>
  <c r="A216" i="2"/>
  <c r="E216" i="2" s="1"/>
  <c r="A485" i="2"/>
  <c r="A780" i="2"/>
  <c r="A470" i="2"/>
  <c r="A667" i="2"/>
  <c r="A733" i="2"/>
  <c r="A387" i="2"/>
  <c r="A453" i="2"/>
  <c r="A670" i="2"/>
  <c r="A334" i="2"/>
  <c r="A197" i="2"/>
  <c r="A226" i="2"/>
  <c r="A86" i="2"/>
  <c r="G86" i="2" s="1"/>
  <c r="A1000" i="2"/>
  <c r="A482" i="2"/>
  <c r="C482" i="2" s="1"/>
  <c r="A84" i="2"/>
  <c r="A603" i="2"/>
  <c r="A286" i="2"/>
  <c r="A557" i="2"/>
  <c r="A312" i="2"/>
  <c r="A541" i="2"/>
  <c r="E541" i="2" s="1"/>
  <c r="A841" i="2"/>
  <c r="G841" i="2" s="1"/>
  <c r="A564" i="2"/>
  <c r="A846" i="2"/>
  <c r="E846" i="2" s="1"/>
  <c r="A579" i="2"/>
  <c r="A755" i="2"/>
  <c r="C755" i="2" s="1"/>
  <c r="A671" i="2"/>
  <c r="C671" i="2" s="1"/>
  <c r="A868" i="2"/>
  <c r="G868" i="2" s="1"/>
  <c r="A558" i="2"/>
  <c r="H558" i="2" s="1"/>
  <c r="A948" i="2"/>
  <c r="A889" i="2"/>
  <c r="E889" i="2" s="1"/>
  <c r="A448" i="2"/>
  <c r="H448" i="2" s="1"/>
  <c r="A927" i="2"/>
  <c r="A859" i="2"/>
  <c r="A510" i="2"/>
  <c r="F510" i="2" s="1"/>
  <c r="A319" i="2"/>
  <c r="A990" i="2"/>
  <c r="A513" i="2"/>
  <c r="A675" i="2"/>
  <c r="E675" i="2" s="1"/>
  <c r="A306" i="2"/>
  <c r="A366" i="2"/>
  <c r="A640" i="2"/>
  <c r="B640" i="2" s="1"/>
  <c r="A379" i="2"/>
  <c r="A581" i="2"/>
  <c r="A64" i="2"/>
  <c r="A635" i="2"/>
  <c r="C635" i="2" s="1"/>
  <c r="A974" i="2"/>
  <c r="A869" i="2"/>
  <c r="A399" i="2"/>
  <c r="A894" i="2"/>
  <c r="A809" i="2"/>
  <c r="C809" i="2" s="1"/>
  <c r="A532" i="2"/>
  <c r="F532" i="2" s="1"/>
  <c r="A833" i="2"/>
  <c r="A881" i="2"/>
  <c r="D881" i="2" s="1"/>
  <c r="A365" i="2"/>
  <c r="C365" i="2" s="1"/>
  <c r="A377" i="2"/>
  <c r="D377" i="2" s="1"/>
  <c r="A506" i="2"/>
  <c r="A966" i="2"/>
  <c r="H966" i="2" s="1"/>
  <c r="A173" i="2"/>
  <c r="D173" i="2" s="1"/>
  <c r="A751" i="2"/>
  <c r="C751" i="2" s="1"/>
  <c r="A764" i="2"/>
  <c r="A814" i="2"/>
  <c r="A447" i="2"/>
  <c r="A961" i="2"/>
  <c r="H961" i="2" s="1"/>
  <c r="A810" i="2"/>
  <c r="D810" i="2" s="1"/>
  <c r="A67" i="2"/>
  <c r="B67" i="2" s="1"/>
  <c r="A140" i="2"/>
  <c r="A609" i="2"/>
  <c r="A845" i="2"/>
  <c r="A317" i="2"/>
  <c r="D317" i="2" s="1"/>
  <c r="A747" i="2"/>
  <c r="H747" i="2" s="1"/>
  <c r="A102" i="2"/>
  <c r="A789" i="2"/>
  <c r="A878" i="2"/>
  <c r="E878" i="2" s="1"/>
  <c r="A153" i="2"/>
  <c r="A806" i="2"/>
  <c r="A552" i="2"/>
  <c r="H552" i="2" s="1"/>
  <c r="A651" i="2"/>
  <c r="A630" i="2"/>
  <c r="G630" i="2" s="1"/>
  <c r="A35" i="2"/>
  <c r="A652" i="2"/>
  <c r="E652" i="2" s="1"/>
  <c r="A628" i="2"/>
  <c r="A378" i="2"/>
  <c r="B378" i="2" s="1"/>
  <c r="A94" i="2"/>
  <c r="H94" i="2" s="1"/>
  <c r="A935" i="2"/>
  <c r="E935" i="2" s="1"/>
  <c r="A408" i="2"/>
  <c r="D408" i="2" s="1"/>
  <c r="A253" i="2"/>
  <c r="A29" i="2"/>
  <c r="A687" i="2"/>
  <c r="A117" i="2"/>
  <c r="A613" i="2"/>
  <c r="A220" i="2"/>
  <c r="A885" i="2"/>
  <c r="A239" i="2"/>
  <c r="A548" i="2"/>
  <c r="A460" i="2"/>
  <c r="A736" i="2"/>
  <c r="A593" i="2"/>
  <c r="C593" i="2" s="1"/>
  <c r="A433" i="2"/>
  <c r="A792" i="2"/>
  <c r="D792" i="2" s="1"/>
  <c r="A854" i="2"/>
  <c r="A90" i="2"/>
  <c r="A262" i="2"/>
  <c r="A530" i="2"/>
  <c r="A112" i="2"/>
  <c r="A390" i="2"/>
  <c r="A166" i="2"/>
  <c r="A646" i="2"/>
  <c r="E646" i="2" s="1"/>
  <c r="A879" i="2"/>
  <c r="A669" i="2"/>
  <c r="H669" i="2" s="1"/>
  <c r="A268" i="2"/>
  <c r="C268" i="2" s="1"/>
  <c r="A436" i="2"/>
  <c r="A421" i="2"/>
  <c r="E421" i="2" s="1"/>
  <c r="A179" i="2"/>
  <c r="A737" i="2"/>
  <c r="C737" i="2" s="1"/>
  <c r="A501" i="2"/>
  <c r="A619" i="2"/>
  <c r="E619" i="2" s="1"/>
  <c r="A494" i="2"/>
  <c r="A452" i="2"/>
  <c r="A796" i="2"/>
  <c r="A957" i="2"/>
  <c r="D957" i="2" s="1"/>
  <c r="A416" i="2"/>
  <c r="A617" i="2"/>
  <c r="A590" i="2"/>
  <c r="B590" i="2" s="1"/>
  <c r="A743" i="2"/>
  <c r="D743" i="2" s="1"/>
  <c r="A803" i="2"/>
  <c r="A812" i="2"/>
  <c r="A313" i="2"/>
  <c r="A113" i="2"/>
  <c r="C113" i="2" s="1"/>
  <c r="A57" i="2"/>
  <c r="A643" i="2"/>
  <c r="A270" i="2"/>
  <c r="A606" i="2"/>
  <c r="G606" i="2" s="1"/>
  <c r="A458" i="2"/>
  <c r="A475" i="2"/>
  <c r="A232" i="2"/>
  <c r="A958" i="2"/>
  <c r="A838" i="2"/>
  <c r="A538" i="2"/>
  <c r="A464" i="2"/>
  <c r="C464" i="2" s="1"/>
  <c r="A231" i="2"/>
  <c r="A191" i="2"/>
  <c r="C191" i="2" s="1"/>
  <c r="A598" i="2"/>
  <c r="A348" i="2"/>
  <c r="A704" i="2"/>
  <c r="F704" i="2" s="1"/>
  <c r="A462" i="2"/>
  <c r="B462" i="2" s="1"/>
  <c r="A580" i="2"/>
  <c r="A449" i="2"/>
  <c r="A126" i="2"/>
  <c r="H126" i="2" s="1"/>
  <c r="A994" i="2"/>
  <c r="D994" i="2" s="1"/>
  <c r="A542" i="2"/>
  <c r="A777" i="2"/>
  <c r="A215" i="2"/>
  <c r="B215" i="2" s="1"/>
  <c r="A320" i="2"/>
  <c r="A551" i="2"/>
  <c r="A44" i="2"/>
  <c r="B44" i="2" s="1"/>
  <c r="A404" i="2"/>
  <c r="A167" i="2"/>
  <c r="C167" i="2" s="1"/>
  <c r="A592" i="2"/>
  <c r="A624" i="2"/>
  <c r="A738" i="2"/>
  <c r="A207" i="2"/>
  <c r="H207" i="2" s="1"/>
  <c r="A432" i="2"/>
  <c r="A63" i="2"/>
  <c r="D63" i="2" s="1"/>
  <c r="A583" i="2"/>
  <c r="H583" i="2" s="1"/>
  <c r="A695" i="2"/>
  <c r="D695" i="2" s="1"/>
  <c r="A412" i="2"/>
  <c r="C412" i="2" s="1"/>
  <c r="A819" i="2"/>
  <c r="A830" i="2"/>
  <c r="G830" i="2" s="1"/>
  <c r="A406" i="2"/>
  <c r="C406" i="2" s="1"/>
  <c r="A138" i="2"/>
  <c r="A589" i="2"/>
  <c r="A673" i="2"/>
  <c r="A784" i="2"/>
  <c r="A663" i="2"/>
  <c r="A928" i="2"/>
  <c r="A405" i="2"/>
  <c r="A607" i="2"/>
  <c r="A203" i="2"/>
  <c r="G203" i="2" s="1"/>
  <c r="A205" i="2"/>
  <c r="A967" i="2"/>
  <c r="A195" i="2"/>
  <c r="D195" i="2" s="1"/>
  <c r="A287" i="2"/>
  <c r="A959" i="2"/>
  <c r="A758" i="2"/>
  <c r="C758" i="2" s="1"/>
  <c r="A916" i="2"/>
  <c r="A799" i="2"/>
  <c r="D799" i="2" s="1"/>
  <c r="A817" i="2"/>
  <c r="H817" i="2" s="1"/>
  <c r="A931" i="2"/>
  <c r="G931" i="2" s="1"/>
  <c r="A749" i="2"/>
  <c r="A246" i="2"/>
  <c r="C246" i="2" s="1"/>
  <c r="A855" i="2"/>
  <c r="A385" i="2"/>
  <c r="C385" i="2" s="1"/>
  <c r="A350" i="2"/>
  <c r="A242" i="2"/>
  <c r="F242" i="2" s="1"/>
  <c r="A332" i="2"/>
  <c r="A968" i="2"/>
  <c r="E968" i="2" s="1"/>
  <c r="A779" i="2"/>
  <c r="D779" i="2" s="1"/>
  <c r="A578" i="2"/>
  <c r="A661" i="2"/>
  <c r="A487" i="2"/>
  <c r="A423" i="2"/>
  <c r="A827" i="2"/>
  <c r="H827" i="2" s="1"/>
  <c r="A614" i="2"/>
  <c r="A154" i="2"/>
  <c r="G154" i="2" s="1"/>
  <c r="A459" i="2"/>
  <c r="H459" i="2" s="1"/>
  <c r="A768" i="2"/>
  <c r="A34" i="2"/>
  <c r="A649" i="2"/>
  <c r="F649" i="2" s="1"/>
  <c r="A707" i="2"/>
  <c r="F707" i="2" s="1"/>
  <c r="A58" i="2"/>
  <c r="A903" i="2"/>
  <c r="A912" i="2"/>
  <c r="G912" i="2" s="1"/>
  <c r="A642" i="2"/>
  <c r="A41" i="2"/>
  <c r="B41" i="2" s="1"/>
  <c r="A476" i="2"/>
  <c r="A717" i="2"/>
  <c r="C717" i="2" s="1"/>
  <c r="A826" i="2"/>
  <c r="A923" i="2"/>
  <c r="A445" i="2"/>
  <c r="A808" i="2"/>
  <c r="H808" i="2" s="1"/>
  <c r="A481" i="2"/>
  <c r="A920" i="2"/>
  <c r="D920" i="2" s="1"/>
  <c r="A882" i="2"/>
  <c r="A844" i="2"/>
  <c r="G844" i="2" s="1"/>
  <c r="A468" i="2"/>
  <c r="A271" i="2"/>
  <c r="G271" i="2" s="1"/>
  <c r="A316" i="2"/>
  <c r="A133" i="2"/>
  <c r="C133" i="2" s="1"/>
  <c r="A883" i="2"/>
  <c r="A127" i="2"/>
  <c r="G127" i="2" s="1"/>
  <c r="A735" i="2"/>
  <c r="A975" i="2"/>
  <c r="E975" i="2" s="1"/>
  <c r="A832" i="2"/>
  <c r="A874" i="2"/>
  <c r="A554" i="2"/>
  <c r="A199" i="2"/>
  <c r="A981" i="2"/>
  <c r="A196" i="2"/>
  <c r="A887" i="2"/>
  <c r="A750" i="2"/>
  <c r="F750" i="2" s="1"/>
  <c r="A638" i="2"/>
  <c r="A33" i="2"/>
  <c r="A588" i="2"/>
  <c r="A43" i="2"/>
  <c r="D43" i="2" s="1"/>
  <c r="A937" i="2"/>
  <c r="H937" i="2" s="1"/>
  <c r="A800" i="2"/>
  <c r="D800" i="2" s="1"/>
  <c r="A182" i="2"/>
  <c r="H182" i="2" s="1"/>
  <c r="A202" i="2"/>
  <c r="G202" i="2" s="1"/>
  <c r="A531" i="2"/>
  <c r="A62" i="2"/>
  <c r="C62" i="2" s="1"/>
  <c r="A311" i="2"/>
  <c r="F311" i="2" s="1"/>
  <c r="A52" i="2"/>
  <c r="F52" i="2" s="1"/>
  <c r="A645" i="2"/>
  <c r="H645" i="2" s="1"/>
  <c r="A136" i="2"/>
  <c r="A862" i="2"/>
  <c r="C963" i="2"/>
  <c r="G963" i="2"/>
  <c r="F963" i="2"/>
  <c r="D963" i="2"/>
  <c r="B963" i="2"/>
  <c r="E963" i="2"/>
  <c r="H963" i="2"/>
  <c r="D74" i="2"/>
  <c r="H74" i="2"/>
  <c r="G74" i="2"/>
  <c r="C74" i="2"/>
  <c r="B74" i="2"/>
  <c r="F74" i="2"/>
  <c r="H173" i="2"/>
  <c r="A45" i="2"/>
  <c r="A992" i="2"/>
  <c r="A863" i="2"/>
  <c r="A194" i="2"/>
  <c r="A989" i="2"/>
  <c r="A71" i="2"/>
  <c r="A222" i="2"/>
  <c r="A536" i="2"/>
  <c r="A257" i="2"/>
  <c r="A984" i="2"/>
  <c r="A116" i="2"/>
  <c r="A996" i="2"/>
  <c r="A647" i="2"/>
  <c r="A566" i="2"/>
  <c r="D174" i="2"/>
  <c r="G174" i="2"/>
  <c r="E174" i="2"/>
  <c r="H174" i="2"/>
  <c r="F174" i="2"/>
  <c r="C174" i="2"/>
  <c r="B174" i="2"/>
  <c r="H652" i="2"/>
  <c r="D652" i="2"/>
  <c r="G652" i="2"/>
  <c r="F202" i="2"/>
  <c r="D202" i="2"/>
  <c r="B202" i="2"/>
  <c r="G377" i="2"/>
  <c r="H377" i="2"/>
  <c r="E377" i="2"/>
  <c r="B377" i="2"/>
  <c r="F377" i="2"/>
  <c r="F890" i="2"/>
  <c r="D890" i="2"/>
  <c r="C890" i="2"/>
  <c r="B890" i="2"/>
  <c r="H890" i="2"/>
  <c r="G890" i="2"/>
  <c r="H106" i="2"/>
  <c r="F106" i="2"/>
  <c r="D106" i="2"/>
  <c r="G106" i="2"/>
  <c r="E106" i="2"/>
  <c r="B106" i="2"/>
  <c r="C106" i="2"/>
  <c r="B216" i="2"/>
  <c r="F216" i="2"/>
  <c r="D216" i="2"/>
  <c r="F406" i="2"/>
  <c r="G406" i="2"/>
  <c r="A121" i="2"/>
  <c r="A96" i="2"/>
  <c r="A213" i="2"/>
  <c r="A419" i="2"/>
  <c r="A214" i="2"/>
  <c r="A936" i="2"/>
  <c r="A601" i="2"/>
  <c r="A742" i="2"/>
  <c r="A163" i="2"/>
  <c r="A354" i="2"/>
  <c r="A843" i="2"/>
  <c r="A341" i="2"/>
  <c r="A626" i="2"/>
  <c r="B899" i="2"/>
  <c r="B207" i="2"/>
  <c r="G207" i="2"/>
  <c r="B846" i="2"/>
  <c r="F846" i="2"/>
  <c r="H846" i="2"/>
  <c r="G846" i="2"/>
  <c r="C846" i="2"/>
  <c r="H145" i="2"/>
  <c r="E755" i="2"/>
  <c r="C98" i="2"/>
  <c r="F98" i="2"/>
  <c r="D98" i="2"/>
  <c r="E98" i="2"/>
  <c r="B98" i="2"/>
  <c r="H98" i="2"/>
  <c r="G98" i="2"/>
  <c r="G966" i="2"/>
  <c r="H830" i="2"/>
  <c r="B830" i="2"/>
  <c r="E830" i="2"/>
  <c r="C830" i="2"/>
  <c r="A123" i="2"/>
  <c r="A168" i="2"/>
  <c r="A66" i="2"/>
  <c r="A876" i="2"/>
  <c r="A321" i="2"/>
  <c r="A382" i="2"/>
  <c r="A496" i="2"/>
  <c r="A490" i="2"/>
  <c r="A836" i="2"/>
  <c r="A871" i="2"/>
  <c r="A254" i="2"/>
  <c r="A739" i="2"/>
  <c r="A633" i="2"/>
  <c r="A950" i="2"/>
  <c r="C182" i="2"/>
  <c r="D182" i="2"/>
  <c r="G182" i="2"/>
  <c r="B182" i="2"/>
  <c r="E182" i="2"/>
  <c r="H353" i="2"/>
  <c r="H418" i="2"/>
  <c r="G418" i="2"/>
  <c r="E418" i="2"/>
  <c r="D418" i="2"/>
  <c r="C418" i="2"/>
  <c r="F418" i="2"/>
  <c r="B418" i="2"/>
  <c r="D539" i="2"/>
  <c r="C539" i="2"/>
  <c r="H539" i="2"/>
  <c r="B539" i="2"/>
  <c r="G539" i="2"/>
  <c r="B448" i="2"/>
  <c r="E448" i="2"/>
  <c r="D448" i="2"/>
  <c r="G448" i="2"/>
  <c r="F448" i="2"/>
  <c r="A105" i="2"/>
  <c r="A187" i="2"/>
  <c r="A744" i="2"/>
  <c r="A918" i="2"/>
  <c r="A265" i="2"/>
  <c r="A260" i="2"/>
  <c r="A83" i="2"/>
  <c r="A176" i="2"/>
  <c r="A75" i="2"/>
  <c r="A540" i="2"/>
  <c r="A908" i="2"/>
  <c r="E961" i="2"/>
  <c r="G961" i="2"/>
  <c r="C961" i="2"/>
  <c r="B961" i="2"/>
  <c r="D961" i="2"/>
  <c r="B810" i="2"/>
  <c r="F810" i="2"/>
  <c r="G810" i="2"/>
  <c r="C810" i="2"/>
  <c r="E810" i="2"/>
  <c r="D758" i="2"/>
  <c r="B758" i="2"/>
  <c r="E758" i="2"/>
  <c r="C67" i="2"/>
  <c r="D675" i="2"/>
  <c r="F811" i="2"/>
  <c r="B233" i="2"/>
  <c r="H233" i="2"/>
  <c r="F233" i="2"/>
  <c r="E233" i="2"/>
  <c r="D233" i="2"/>
  <c r="G233" i="2"/>
  <c r="C233" i="2"/>
  <c r="C32" i="2"/>
  <c r="H32" i="2"/>
  <c r="D32" i="2"/>
  <c r="F32" i="2"/>
  <c r="E32" i="2"/>
  <c r="B32" i="2"/>
  <c r="D646" i="2"/>
  <c r="F646" i="2"/>
  <c r="C646" i="2"/>
  <c r="D669" i="2"/>
  <c r="F669" i="2"/>
  <c r="C669" i="2"/>
  <c r="G669" i="2"/>
  <c r="E268" i="2"/>
  <c r="G268" i="2"/>
  <c r="D268" i="2"/>
  <c r="F268" i="2"/>
  <c r="B421" i="2"/>
  <c r="H421" i="2"/>
  <c r="G421" i="2"/>
  <c r="D421" i="2"/>
  <c r="C421" i="2"/>
  <c r="F421" i="2"/>
  <c r="H779" i="2"/>
  <c r="E779" i="2"/>
  <c r="F779" i="2"/>
  <c r="G779" i="2"/>
  <c r="F661" i="2"/>
  <c r="D661" i="2"/>
  <c r="B661" i="2"/>
  <c r="H661" i="2"/>
  <c r="C661" i="2"/>
  <c r="G661" i="2"/>
  <c r="E661" i="2"/>
  <c r="H317" i="2"/>
  <c r="G317" i="2"/>
  <c r="B317" i="2"/>
  <c r="F317" i="2"/>
  <c r="E317" i="2"/>
  <c r="F640" i="2"/>
  <c r="D640" i="2"/>
  <c r="G640" i="2"/>
  <c r="E640" i="2"/>
  <c r="H640" i="2"/>
  <c r="C746" i="2"/>
  <c r="H746" i="2"/>
  <c r="F746" i="2"/>
  <c r="D746" i="2"/>
  <c r="F878" i="2"/>
  <c r="D878" i="2"/>
  <c r="B878" i="2"/>
  <c r="H878" i="2"/>
  <c r="G878" i="2"/>
  <c r="C841" i="2"/>
  <c r="F841" i="2"/>
  <c r="B841" i="2"/>
  <c r="D841" i="2"/>
  <c r="E590" i="2"/>
  <c r="D590" i="2"/>
  <c r="G590" i="2"/>
  <c r="F590" i="2"/>
  <c r="F313" i="2"/>
  <c r="D313" i="2"/>
  <c r="C313" i="2"/>
  <c r="B313" i="2"/>
  <c r="H313" i="2"/>
  <c r="E313" i="2"/>
  <c r="G313" i="2"/>
  <c r="D606" i="2"/>
  <c r="F606" i="2"/>
  <c r="C606" i="2"/>
  <c r="H606" i="2"/>
  <c r="G838" i="2"/>
  <c r="B838" i="2"/>
  <c r="F838" i="2"/>
  <c r="E838" i="2"/>
  <c r="D838" i="2"/>
  <c r="H838" i="2"/>
  <c r="C838" i="2"/>
  <c r="H191" i="2"/>
  <c r="D191" i="2"/>
  <c r="B191" i="2"/>
  <c r="G191" i="2"/>
  <c r="C462" i="2"/>
  <c r="H462" i="2"/>
  <c r="F462" i="2"/>
  <c r="E462" i="2"/>
  <c r="D462" i="2"/>
  <c r="C994" i="2"/>
  <c r="B994" i="2"/>
  <c r="E994" i="2"/>
  <c r="G994" i="2"/>
  <c r="F994" i="2"/>
  <c r="E172" i="2"/>
  <c r="G172" i="2"/>
  <c r="D172" i="2"/>
  <c r="C172" i="2"/>
  <c r="F172" i="2"/>
  <c r="B172" i="2"/>
  <c r="H172" i="2"/>
  <c r="F635" i="2"/>
  <c r="E635" i="2"/>
  <c r="G635" i="2"/>
  <c r="F809" i="2"/>
  <c r="B809" i="2"/>
  <c r="E809" i="2"/>
  <c r="G809" i="2"/>
  <c r="D809" i="2"/>
  <c r="B459" i="2"/>
  <c r="G459" i="2"/>
  <c r="F459" i="2"/>
  <c r="E707" i="2"/>
  <c r="C707" i="2"/>
  <c r="B707" i="2"/>
  <c r="G707" i="2"/>
  <c r="D707" i="2"/>
  <c r="H707" i="2"/>
  <c r="H476" i="2"/>
  <c r="F476" i="2"/>
  <c r="E476" i="2"/>
  <c r="D476" i="2"/>
  <c r="B476" i="2"/>
  <c r="G476" i="2"/>
  <c r="C476" i="2"/>
  <c r="D39" i="2"/>
  <c r="C39" i="2"/>
  <c r="H39" i="2"/>
  <c r="B39" i="2"/>
  <c r="F39" i="2"/>
  <c r="E39" i="2"/>
  <c r="H805" i="2"/>
  <c r="G805" i="2"/>
  <c r="F805" i="2"/>
  <c r="E805" i="2"/>
  <c r="C805" i="2"/>
  <c r="D805" i="2"/>
  <c r="B805" i="2"/>
  <c r="B392" i="2"/>
  <c r="E392" i="2"/>
  <c r="D392" i="2"/>
  <c r="G392" i="2"/>
  <c r="F392" i="2"/>
  <c r="H392" i="2"/>
  <c r="C392" i="2"/>
  <c r="H696" i="2"/>
  <c r="C696" i="2"/>
  <c r="G696" i="2"/>
  <c r="E696" i="2"/>
  <c r="D696" i="2"/>
  <c r="B696" i="2"/>
  <c r="F696" i="2"/>
  <c r="C849" i="2"/>
  <c r="H849" i="2"/>
  <c r="G849" i="2"/>
  <c r="F849" i="2"/>
  <c r="B849" i="2"/>
  <c r="D849" i="2"/>
  <c r="E849" i="2"/>
  <c r="D245" i="2"/>
  <c r="G245" i="2"/>
  <c r="C245" i="2"/>
  <c r="B245" i="2"/>
  <c r="H245" i="2"/>
  <c r="F245" i="2"/>
  <c r="E245" i="2"/>
  <c r="H107" i="2"/>
  <c r="E107" i="2"/>
  <c r="D107" i="2"/>
  <c r="B107" i="2"/>
  <c r="G107" i="2"/>
  <c r="F107" i="2"/>
  <c r="C107" i="2"/>
  <c r="B690" i="2"/>
  <c r="H690" i="2"/>
  <c r="F690" i="2"/>
  <c r="E690" i="2"/>
  <c r="D690" i="2"/>
  <c r="G690" i="2"/>
  <c r="C690" i="2"/>
  <c r="B261" i="2"/>
  <c r="E261" i="2"/>
  <c r="H261" i="2"/>
  <c r="F261" i="2"/>
  <c r="G261" i="2"/>
  <c r="C261" i="2"/>
  <c r="D261" i="2"/>
  <c r="E160" i="2"/>
  <c r="G160" i="2"/>
  <c r="D160" i="2"/>
  <c r="C160" i="2"/>
  <c r="H160" i="2"/>
  <c r="F160" i="2"/>
  <c r="B160" i="2"/>
  <c r="C479" i="2"/>
  <c r="H479" i="2"/>
  <c r="G479" i="2"/>
  <c r="F479" i="2"/>
  <c r="B479" i="2"/>
  <c r="D479" i="2"/>
  <c r="B714" i="2"/>
  <c r="C714" i="2"/>
  <c r="H714" i="2"/>
  <c r="G714" i="2"/>
  <c r="F714" i="2"/>
  <c r="D714" i="2"/>
  <c r="E714" i="2"/>
  <c r="C303" i="2"/>
  <c r="D303" i="2"/>
  <c r="B303" i="2"/>
  <c r="F303" i="2"/>
  <c r="E303" i="2"/>
  <c r="H303" i="2"/>
  <c r="G303" i="2"/>
  <c r="E101" i="2"/>
  <c r="D101" i="2"/>
  <c r="C101" i="2"/>
  <c r="B101" i="2"/>
  <c r="H101" i="2"/>
  <c r="F101" i="2"/>
  <c r="G101" i="2"/>
  <c r="E654" i="2"/>
  <c r="C654" i="2"/>
  <c r="B654" i="2"/>
  <c r="H654" i="2"/>
  <c r="F654" i="2"/>
  <c r="D654" i="2"/>
  <c r="G654" i="2"/>
  <c r="A284" i="2"/>
  <c r="A502" i="2"/>
  <c r="A241" i="2"/>
  <c r="A872" i="2"/>
  <c r="A715" i="2"/>
  <c r="C31" i="2"/>
  <c r="F31" i="2"/>
  <c r="E31" i="2"/>
  <c r="D31" i="2"/>
  <c r="B31" i="2"/>
  <c r="A778" i="2"/>
  <c r="A995" i="2"/>
  <c r="A274" i="2"/>
  <c r="A200" i="2"/>
  <c r="A356" i="2"/>
  <c r="A272" i="2"/>
  <c r="A772" i="2"/>
  <c r="A446" i="2"/>
  <c r="A522" i="2"/>
  <c r="A91" i="2"/>
  <c r="A50" i="2"/>
  <c r="A361" i="2"/>
  <c r="A678" i="2"/>
  <c r="A238" i="2"/>
  <c r="A151" i="2"/>
  <c r="A866" i="2"/>
  <c r="A498" i="2"/>
  <c r="A925" i="2"/>
  <c r="A393" i="2"/>
  <c r="A969" i="2"/>
  <c r="A435" i="2"/>
  <c r="A401" i="2"/>
  <c r="A697" i="2"/>
  <c r="A611" i="2"/>
  <c r="A599" i="2"/>
  <c r="A219" i="2"/>
  <c r="A851" i="2"/>
  <c r="A217" i="2"/>
  <c r="A815" i="2"/>
  <c r="A605" i="2"/>
  <c r="A549" i="2"/>
  <c r="A491" i="2"/>
  <c r="A309" i="2"/>
  <c r="A658" i="2"/>
  <c r="A474" i="2"/>
  <c r="A54" i="2"/>
  <c r="A748" i="2"/>
  <c r="A149" i="2"/>
  <c r="A372" i="2"/>
  <c r="A776" i="2"/>
  <c r="E510" i="2"/>
  <c r="C510" i="2"/>
  <c r="B510" i="2"/>
  <c r="D510" i="2"/>
  <c r="H510" i="2"/>
  <c r="G510" i="2"/>
  <c r="E593" i="2"/>
  <c r="D593" i="2"/>
  <c r="H593" i="2"/>
  <c r="F593" i="2"/>
  <c r="B593" i="2"/>
  <c r="G593" i="2"/>
  <c r="B792" i="2"/>
  <c r="C792" i="2"/>
  <c r="F792" i="2"/>
  <c r="G792" i="2"/>
  <c r="E792" i="2"/>
  <c r="H792" i="2"/>
  <c r="F959" i="2"/>
  <c r="E959" i="2"/>
  <c r="H959" i="2"/>
  <c r="D959" i="2"/>
  <c r="B959" i="2"/>
  <c r="G959" i="2"/>
  <c r="C959" i="2"/>
  <c r="E262" i="2"/>
  <c r="C262" i="2"/>
  <c r="D262" i="2"/>
  <c r="B262" i="2"/>
  <c r="H262" i="2"/>
  <c r="G262" i="2"/>
  <c r="F262" i="2"/>
  <c r="B799" i="2"/>
  <c r="E799" i="2"/>
  <c r="C799" i="2"/>
  <c r="H799" i="2"/>
  <c r="F799" i="2"/>
  <c r="G799" i="2"/>
  <c r="C931" i="2"/>
  <c r="F931" i="2"/>
  <c r="H931" i="2"/>
  <c r="D931" i="2"/>
  <c r="B931" i="2"/>
  <c r="E931" i="2"/>
  <c r="E524" i="2"/>
  <c r="C524" i="2"/>
  <c r="G524" i="2"/>
  <c r="F524" i="2"/>
  <c r="B524" i="2"/>
  <c r="H524" i="2"/>
  <c r="D524" i="2"/>
  <c r="G827" i="2"/>
  <c r="E827" i="2"/>
  <c r="B827" i="2"/>
  <c r="D827" i="2"/>
  <c r="F827" i="2"/>
  <c r="C827" i="2"/>
  <c r="E102" i="2"/>
  <c r="C102" i="2"/>
  <c r="H102" i="2"/>
  <c r="B102" i="2"/>
  <c r="F102" i="2"/>
  <c r="D102" i="2"/>
  <c r="G102" i="2"/>
  <c r="B167" i="2"/>
  <c r="G167" i="2"/>
  <c r="F167" i="2"/>
  <c r="H167" i="2"/>
  <c r="D167" i="2"/>
  <c r="E167" i="2"/>
  <c r="G552" i="2"/>
  <c r="F552" i="2"/>
  <c r="B552" i="2"/>
  <c r="D552" i="2"/>
  <c r="E552" i="2"/>
  <c r="C552" i="2"/>
  <c r="B140" i="2"/>
  <c r="H140" i="2"/>
  <c r="E140" i="2"/>
  <c r="C140" i="2"/>
  <c r="G140" i="2"/>
  <c r="D140" i="2"/>
  <c r="F140" i="2"/>
  <c r="B246" i="2"/>
  <c r="F246" i="2"/>
  <c r="D246" i="2"/>
  <c r="G246" i="2"/>
  <c r="E246" i="2"/>
  <c r="H246" i="2"/>
  <c r="D385" i="2"/>
  <c r="H385" i="2"/>
  <c r="B385" i="2"/>
  <c r="F385" i="2"/>
  <c r="E385" i="2"/>
  <c r="G385" i="2"/>
  <c r="B242" i="2"/>
  <c r="C242" i="2"/>
  <c r="H242" i="2"/>
  <c r="D242" i="2"/>
  <c r="G242" i="2"/>
  <c r="E242" i="2"/>
  <c r="G968" i="2"/>
  <c r="B968" i="2"/>
  <c r="F968" i="2"/>
  <c r="D968" i="2"/>
  <c r="C968" i="2"/>
  <c r="H968" i="2"/>
  <c r="E737" i="2"/>
  <c r="H737" i="2"/>
  <c r="G737" i="2"/>
  <c r="F737" i="2"/>
  <c r="B737" i="2"/>
  <c r="D737" i="2"/>
  <c r="H619" i="2"/>
  <c r="F619" i="2"/>
  <c r="D619" i="2"/>
  <c r="C619" i="2"/>
  <c r="G619" i="2"/>
  <c r="B619" i="2"/>
  <c r="D306" i="2"/>
  <c r="C306" i="2"/>
  <c r="B306" i="2"/>
  <c r="G306" i="2"/>
  <c r="E306" i="2"/>
  <c r="F306" i="2"/>
  <c r="H306" i="2"/>
  <c r="D320" i="2"/>
  <c r="C320" i="2"/>
  <c r="H320" i="2"/>
  <c r="E320" i="2"/>
  <c r="G320" i="2"/>
  <c r="F320" i="2"/>
  <c r="B320" i="2"/>
  <c r="F44" i="2"/>
  <c r="E44" i="2"/>
  <c r="C44" i="2"/>
  <c r="H44" i="2"/>
  <c r="D44" i="2"/>
  <c r="B901" i="2"/>
  <c r="C901" i="2"/>
  <c r="G901" i="2"/>
  <c r="D901" i="2"/>
  <c r="H901" i="2"/>
  <c r="F901" i="2"/>
  <c r="F442" i="2"/>
  <c r="B442" i="2"/>
  <c r="H442" i="2"/>
  <c r="G442" i="2"/>
  <c r="E442" i="2"/>
  <c r="D442" i="2"/>
  <c r="C442" i="2"/>
  <c r="G957" i="2"/>
  <c r="H957" i="2"/>
  <c r="B957" i="2"/>
  <c r="E957" i="2"/>
  <c r="C957" i="2"/>
  <c r="F957" i="2"/>
  <c r="B743" i="2"/>
  <c r="G743" i="2"/>
  <c r="H743" i="2"/>
  <c r="F743" i="2"/>
  <c r="C743" i="2"/>
  <c r="E743" i="2"/>
  <c r="H113" i="2"/>
  <c r="F113" i="2"/>
  <c r="E113" i="2"/>
  <c r="B113" i="2"/>
  <c r="D113" i="2"/>
  <c r="G113" i="2"/>
  <c r="D270" i="2"/>
  <c r="H270" i="2"/>
  <c r="G270" i="2"/>
  <c r="B270" i="2"/>
  <c r="C270" i="2"/>
  <c r="E270" i="2"/>
  <c r="F270" i="2"/>
  <c r="B232" i="2"/>
  <c r="H232" i="2"/>
  <c r="F232" i="2"/>
  <c r="G232" i="2"/>
  <c r="D232" i="2"/>
  <c r="C232" i="2"/>
  <c r="E232" i="2"/>
  <c r="D464" i="2"/>
  <c r="G464" i="2"/>
  <c r="H464" i="2"/>
  <c r="B464" i="2"/>
  <c r="E464" i="2"/>
  <c r="F464" i="2"/>
  <c r="C704" i="2"/>
  <c r="G704" i="2"/>
  <c r="E704" i="2"/>
  <c r="D704" i="2"/>
  <c r="B704" i="2"/>
  <c r="H704" i="2"/>
  <c r="D126" i="2"/>
  <c r="G126" i="2"/>
  <c r="E126" i="2"/>
  <c r="B126" i="2"/>
  <c r="F126" i="2"/>
  <c r="C126" i="2"/>
  <c r="H255" i="2"/>
  <c r="D255" i="2"/>
  <c r="C255" i="2"/>
  <c r="G255" i="2"/>
  <c r="F255" i="2"/>
  <c r="E255" i="2"/>
  <c r="B255" i="2"/>
  <c r="F747" i="2"/>
  <c r="E747" i="2"/>
  <c r="C747" i="2"/>
  <c r="D747" i="2"/>
  <c r="G747" i="2"/>
  <c r="B747" i="2"/>
  <c r="B352" i="2"/>
  <c r="F352" i="2"/>
  <c r="H352" i="2"/>
  <c r="E352" i="2"/>
  <c r="D352" i="2"/>
  <c r="C352" i="2"/>
  <c r="B85" i="2"/>
  <c r="G85" i="2"/>
  <c r="H85" i="2"/>
  <c r="C85" i="2"/>
  <c r="F85" i="2"/>
  <c r="E85" i="2"/>
  <c r="D85" i="2"/>
  <c r="D118" i="2"/>
  <c r="G118" i="2"/>
  <c r="C118" i="2"/>
  <c r="H118" i="2"/>
  <c r="B118" i="2"/>
  <c r="E118" i="2"/>
  <c r="D154" i="2"/>
  <c r="E154" i="2"/>
  <c r="B154" i="2"/>
  <c r="F154" i="2"/>
  <c r="H154" i="2"/>
  <c r="C154" i="2"/>
  <c r="D649" i="2"/>
  <c r="B649" i="2"/>
  <c r="E649" i="2"/>
  <c r="C649" i="2"/>
  <c r="H649" i="2"/>
  <c r="G649" i="2"/>
  <c r="B912" i="2"/>
  <c r="H912" i="2"/>
  <c r="F912" i="2"/>
  <c r="E912" i="2"/>
  <c r="D912" i="2"/>
  <c r="C912" i="2"/>
  <c r="H41" i="2"/>
  <c r="D41" i="2"/>
  <c r="F41" i="2"/>
  <c r="C41" i="2"/>
  <c r="E41" i="2"/>
  <c r="B717" i="2"/>
  <c r="H717" i="2"/>
  <c r="G717" i="2"/>
  <c r="F717" i="2"/>
  <c r="E717" i="2"/>
  <c r="D717" i="2"/>
  <c r="C923" i="2"/>
  <c r="D923" i="2"/>
  <c r="H923" i="2"/>
  <c r="G923" i="2"/>
  <c r="F923" i="2"/>
  <c r="B923" i="2"/>
  <c r="E923" i="2"/>
  <c r="E808" i="2"/>
  <c r="D808" i="2"/>
  <c r="B808" i="2"/>
  <c r="C808" i="2"/>
  <c r="F808" i="2"/>
  <c r="G808" i="2"/>
  <c r="F920" i="2"/>
  <c r="G920" i="2"/>
  <c r="E920" i="2"/>
  <c r="H920" i="2"/>
  <c r="C920" i="2"/>
  <c r="B920" i="2"/>
  <c r="B844" i="2"/>
  <c r="H844" i="2"/>
  <c r="F844" i="2"/>
  <c r="E844" i="2"/>
  <c r="D844" i="2"/>
  <c r="C844" i="2"/>
  <c r="C271" i="2"/>
  <c r="D271" i="2"/>
  <c r="B271" i="2"/>
  <c r="F271" i="2"/>
  <c r="E271" i="2"/>
  <c r="H271" i="2"/>
  <c r="H133" i="2"/>
  <c r="F133" i="2"/>
  <c r="E133" i="2"/>
  <c r="D133" i="2"/>
  <c r="B133" i="2"/>
  <c r="G133" i="2"/>
  <c r="E127" i="2"/>
  <c r="C127" i="2"/>
  <c r="H127" i="2"/>
  <c r="D127" i="2"/>
  <c r="B127" i="2"/>
  <c r="F127" i="2"/>
  <c r="H975" i="2"/>
  <c r="D975" i="2"/>
  <c r="B975" i="2"/>
  <c r="G975" i="2"/>
  <c r="C975" i="2"/>
  <c r="F975" i="2"/>
  <c r="B366" i="2"/>
  <c r="E366" i="2"/>
  <c r="D366" i="2"/>
  <c r="H366" i="2"/>
  <c r="G366" i="2"/>
  <c r="F366" i="2"/>
  <c r="C366" i="2"/>
  <c r="G215" i="2"/>
  <c r="E215" i="2"/>
  <c r="F215" i="2"/>
  <c r="H215" i="2"/>
  <c r="D215" i="2"/>
  <c r="C215" i="2"/>
  <c r="G822" i="2"/>
  <c r="E822" i="2"/>
  <c r="F822" i="2"/>
  <c r="D822" i="2"/>
  <c r="C822" i="2"/>
  <c r="B822" i="2"/>
  <c r="B84" i="2"/>
  <c r="H84" i="2"/>
  <c r="F84" i="2"/>
  <c r="G84" i="2"/>
  <c r="D84" i="2"/>
  <c r="C84" i="2"/>
  <c r="E84" i="2"/>
  <c r="C789" i="2"/>
  <c r="F789" i="2"/>
  <c r="B789" i="2"/>
  <c r="H789" i="2"/>
  <c r="G789" i="2"/>
  <c r="E789" i="2"/>
  <c r="D789" i="2"/>
  <c r="C750" i="2"/>
  <c r="B750" i="2"/>
  <c r="D750" i="2"/>
  <c r="H750" i="2"/>
  <c r="G750" i="2"/>
  <c r="E750" i="2"/>
  <c r="F500" i="2"/>
  <c r="E500" i="2"/>
  <c r="D500" i="2"/>
  <c r="G500" i="2"/>
  <c r="C500" i="2"/>
  <c r="H500" i="2"/>
  <c r="B500" i="2"/>
  <c r="H541" i="2"/>
  <c r="G541" i="2"/>
  <c r="F541" i="2"/>
  <c r="B541" i="2"/>
  <c r="D541" i="2"/>
  <c r="C541" i="2"/>
  <c r="H411" i="2"/>
  <c r="D411" i="2"/>
  <c r="G411" i="2"/>
  <c r="F411" i="2"/>
  <c r="E411" i="2"/>
  <c r="C411" i="2"/>
  <c r="B411" i="2"/>
  <c r="B289" i="2"/>
  <c r="H289" i="2"/>
  <c r="E289" i="2"/>
  <c r="F289" i="2"/>
  <c r="D289" i="2"/>
  <c r="G289" i="2"/>
  <c r="B236" i="2"/>
  <c r="H236" i="2"/>
  <c r="F236" i="2"/>
  <c r="G236" i="2"/>
  <c r="C236" i="2"/>
  <c r="D236" i="2"/>
  <c r="E236" i="2"/>
  <c r="D171" i="2"/>
  <c r="B171" i="2"/>
  <c r="G171" i="2"/>
  <c r="F171" i="2"/>
  <c r="C171" i="2"/>
  <c r="E171" i="2"/>
  <c r="H171" i="2"/>
  <c r="H571" i="2"/>
  <c r="G571" i="2"/>
  <c r="C571" i="2"/>
  <c r="E571" i="2"/>
  <c r="D571" i="2"/>
  <c r="B571" i="2"/>
  <c r="F571" i="2"/>
  <c r="F111" i="2"/>
  <c r="C111" i="2"/>
  <c r="H111" i="2"/>
  <c r="E111" i="2"/>
  <c r="D111" i="2"/>
  <c r="B111" i="2"/>
  <c r="G111" i="2"/>
  <c r="D729" i="2"/>
  <c r="B729" i="2"/>
  <c r="F729" i="2"/>
  <c r="C729" i="2"/>
  <c r="E729" i="2"/>
  <c r="H729" i="2"/>
  <c r="G729" i="2"/>
  <c r="D952" i="2"/>
  <c r="G952" i="2"/>
  <c r="F952" i="2"/>
  <c r="C952" i="2"/>
  <c r="E952" i="2"/>
  <c r="B952" i="2"/>
  <c r="H952" i="2"/>
  <c r="H877" i="2"/>
  <c r="C877" i="2"/>
  <c r="E877" i="2"/>
  <c r="F877" i="2"/>
  <c r="B877" i="2"/>
  <c r="G877" i="2"/>
  <c r="D877" i="2"/>
  <c r="B850" i="2"/>
  <c r="D850" i="2"/>
  <c r="C850" i="2"/>
  <c r="F850" i="2"/>
  <c r="H850" i="2"/>
  <c r="G850" i="2"/>
  <c r="E850" i="2"/>
  <c r="G685" i="2"/>
  <c r="E685" i="2"/>
  <c r="D685" i="2"/>
  <c r="B685" i="2"/>
  <c r="H685" i="2"/>
  <c r="F685" i="2"/>
  <c r="C685" i="2"/>
  <c r="D359" i="2"/>
  <c r="G359" i="2"/>
  <c r="F359" i="2"/>
  <c r="E359" i="2"/>
  <c r="C359" i="2"/>
  <c r="B359" i="2"/>
  <c r="H359" i="2"/>
  <c r="G158" i="2"/>
  <c r="E158" i="2"/>
  <c r="C158" i="2"/>
  <c r="H158" i="2"/>
  <c r="B158" i="2"/>
  <c r="F158" i="2"/>
  <c r="D158" i="2"/>
  <c r="E829" i="2"/>
  <c r="C829" i="2"/>
  <c r="B829" i="2"/>
  <c r="H829" i="2"/>
  <c r="G829" i="2"/>
  <c r="F829" i="2"/>
  <c r="D829" i="2"/>
  <c r="G152" i="2"/>
  <c r="D152" i="2"/>
  <c r="C152" i="2"/>
  <c r="H152" i="2"/>
  <c r="F152" i="2"/>
  <c r="E152" i="2"/>
  <c r="B152" i="2"/>
  <c r="E40" i="2"/>
  <c r="C40" i="2"/>
  <c r="B40" i="2"/>
  <c r="F40" i="2"/>
  <c r="H40" i="2"/>
  <c r="D40" i="2"/>
  <c r="G144" i="2"/>
  <c r="D144" i="2"/>
  <c r="C144" i="2"/>
  <c r="B144" i="2"/>
  <c r="H144" i="2"/>
  <c r="F144" i="2"/>
  <c r="E144" i="2"/>
  <c r="D662" i="2"/>
  <c r="E662" i="2"/>
  <c r="C662" i="2"/>
  <c r="G662" i="2"/>
  <c r="B662" i="2"/>
  <c r="H662" i="2"/>
  <c r="F662" i="2"/>
  <c r="G700" i="2"/>
  <c r="F700" i="2"/>
  <c r="E700" i="2"/>
  <c r="C700" i="2"/>
  <c r="D700" i="2"/>
  <c r="B700" i="2"/>
  <c r="H700" i="2"/>
  <c r="B970" i="2"/>
  <c r="D970" i="2"/>
  <c r="G970" i="2"/>
  <c r="E970" i="2"/>
  <c r="H970" i="2"/>
  <c r="C970" i="2"/>
  <c r="G665" i="2"/>
  <c r="F665" i="2"/>
  <c r="D665" i="2"/>
  <c r="B665" i="2"/>
  <c r="H665" i="2"/>
  <c r="E665" i="2"/>
  <c r="C665" i="2"/>
  <c r="D495" i="2"/>
  <c r="C495" i="2"/>
  <c r="H495" i="2"/>
  <c r="E495" i="2"/>
  <c r="B495" i="2"/>
  <c r="G495" i="2"/>
  <c r="F495" i="2"/>
  <c r="E793" i="2"/>
  <c r="G793" i="2"/>
  <c r="H793" i="2"/>
  <c r="D793" i="2"/>
  <c r="F793" i="2"/>
  <c r="C793" i="2"/>
  <c r="B793" i="2"/>
  <c r="D283" i="2"/>
  <c r="B283" i="2"/>
  <c r="C283" i="2"/>
  <c r="F283" i="2"/>
  <c r="H283" i="2"/>
  <c r="G283" i="2"/>
  <c r="E283" i="2"/>
  <c r="C982" i="2"/>
  <c r="E982" i="2"/>
  <c r="G982" i="2"/>
  <c r="B982" i="2"/>
  <c r="H982" i="2"/>
  <c r="D982" i="2"/>
  <c r="F982" i="2"/>
  <c r="G229" i="2"/>
  <c r="C229" i="2"/>
  <c r="B229" i="2"/>
  <c r="H229" i="2"/>
  <c r="F229" i="2"/>
  <c r="E229" i="2"/>
  <c r="D229" i="2"/>
  <c r="E864" i="2"/>
  <c r="H864" i="2"/>
  <c r="F864" i="2"/>
  <c r="C864" i="2"/>
  <c r="G864" i="2"/>
  <c r="D864" i="2"/>
  <c r="B864" i="2"/>
  <c r="G753" i="2"/>
  <c r="D753" i="2"/>
  <c r="F753" i="2"/>
  <c r="B753" i="2"/>
  <c r="E753" i="2"/>
  <c r="H753" i="2"/>
  <c r="E692" i="2"/>
  <c r="D692" i="2"/>
  <c r="B692" i="2"/>
  <c r="H692" i="2"/>
  <c r="F692" i="2"/>
  <c r="C692" i="2"/>
  <c r="G692" i="2"/>
  <c r="G230" i="2"/>
  <c r="E230" i="2"/>
  <c r="H230" i="2"/>
  <c r="C230" i="2"/>
  <c r="F230" i="2"/>
  <c r="D230" i="2"/>
  <c r="B230" i="2"/>
  <c r="D547" i="2"/>
  <c r="G547" i="2"/>
  <c r="F547" i="2"/>
  <c r="E547" i="2"/>
  <c r="C547" i="2"/>
  <c r="H547" i="2"/>
  <c r="B547" i="2"/>
  <c r="F477" i="2"/>
  <c r="D477" i="2"/>
  <c r="C477" i="2"/>
  <c r="B477" i="2"/>
  <c r="E477" i="2"/>
  <c r="G477" i="2"/>
  <c r="H477" i="2"/>
  <c r="E906" i="2"/>
  <c r="B906" i="2"/>
  <c r="D906" i="2"/>
  <c r="C906" i="2"/>
  <c r="G906" i="2"/>
  <c r="H906" i="2"/>
  <c r="F906" i="2"/>
  <c r="C725" i="2"/>
  <c r="B725" i="2"/>
  <c r="H725" i="2"/>
  <c r="G725" i="2"/>
  <c r="E725" i="2"/>
  <c r="D725" i="2"/>
  <c r="F725" i="2"/>
  <c r="G802" i="2"/>
  <c r="C802" i="2"/>
  <c r="E802" i="2"/>
  <c r="H802" i="2"/>
  <c r="F802" i="2"/>
  <c r="D802" i="2"/>
  <c r="B802" i="2"/>
  <c r="F147" i="2"/>
  <c r="E147" i="2"/>
  <c r="H147" i="2"/>
  <c r="D147" i="2"/>
  <c r="B147" i="2"/>
  <c r="G147" i="2"/>
  <c r="H655" i="2"/>
  <c r="F655" i="2"/>
  <c r="D655" i="2"/>
  <c r="E655" i="2"/>
  <c r="B655" i="2"/>
  <c r="G655" i="2"/>
  <c r="C655" i="2"/>
  <c r="H347" i="2"/>
  <c r="G347" i="2"/>
  <c r="D347" i="2"/>
  <c r="B347" i="2"/>
  <c r="C347" i="2"/>
  <c r="F347" i="2"/>
  <c r="E347" i="2"/>
  <c r="F276" i="2"/>
  <c r="E276" i="2"/>
  <c r="H276" i="2"/>
  <c r="G276" i="2"/>
  <c r="D276" i="2"/>
  <c r="C276" i="2"/>
  <c r="F420" i="2"/>
  <c r="D420" i="2"/>
  <c r="C420" i="2"/>
  <c r="G420" i="2"/>
  <c r="E420" i="2"/>
  <c r="B420" i="2"/>
  <c r="H420" i="2"/>
  <c r="B407" i="2"/>
  <c r="H407" i="2"/>
  <c r="G407" i="2"/>
  <c r="C407" i="2"/>
  <c r="D407" i="2"/>
  <c r="F407" i="2"/>
  <c r="G164" i="2"/>
  <c r="B164" i="2"/>
  <c r="H164" i="2"/>
  <c r="F164" i="2"/>
  <c r="E164" i="2"/>
  <c r="C164" i="2"/>
  <c r="E288" i="2"/>
  <c r="D288" i="2"/>
  <c r="H288" i="2"/>
  <c r="C288" i="2"/>
  <c r="G288" i="2"/>
  <c r="F288" i="2"/>
  <c r="B288" i="2"/>
  <c r="A375" i="2"/>
  <c r="A383" i="2"/>
  <c r="A562" i="2"/>
  <c r="A976" i="2"/>
  <c r="A756" i="2"/>
  <c r="A786" i="2"/>
  <c r="A873" i="2"/>
  <c r="A904" i="2"/>
  <c r="A960" i="2"/>
  <c r="A252" i="2"/>
  <c r="A898" i="2"/>
  <c r="A533" i="2"/>
  <c r="A78" i="2"/>
  <c r="A114" i="2"/>
  <c r="A861" i="2"/>
  <c r="A726" i="2"/>
  <c r="A698" i="2"/>
  <c r="A807" i="2"/>
  <c r="A985" i="2"/>
  <c r="A949" i="2"/>
  <c r="A488" i="2"/>
  <c r="D35" i="2"/>
  <c r="C35" i="2"/>
  <c r="H35" i="2"/>
  <c r="F35" i="2"/>
  <c r="B35" i="2"/>
  <c r="E35" i="2"/>
  <c r="A486" i="2"/>
  <c r="A251" i="2"/>
  <c r="A680" i="2"/>
  <c r="A95" i="2"/>
  <c r="A618" i="2"/>
  <c r="A682" i="2"/>
  <c r="A847" i="2"/>
  <c r="A520" i="2"/>
  <c r="A644" i="2"/>
  <c r="A228" i="2"/>
  <c r="A732" i="2"/>
  <c r="A346" i="2"/>
  <c r="A368" i="2"/>
  <c r="A339" i="2"/>
  <c r="C29" i="2"/>
  <c r="E29" i="2"/>
  <c r="B29" i="2"/>
  <c r="F29" i="2"/>
  <c r="H29" i="2"/>
  <c r="D29" i="2"/>
  <c r="A141" i="2"/>
  <c r="A244" i="2"/>
  <c r="A839" i="2"/>
  <c r="A360" i="2"/>
  <c r="A429" i="2"/>
  <c r="A953" i="2"/>
  <c r="A550" i="2"/>
  <c r="A825" i="2"/>
  <c r="A279" i="2"/>
  <c r="A569" i="2"/>
  <c r="E736" i="2"/>
  <c r="D736" i="2"/>
  <c r="C736" i="2"/>
  <c r="G736" i="2"/>
  <c r="H736" i="2"/>
  <c r="F736" i="2"/>
  <c r="B736" i="2"/>
  <c r="F967" i="2"/>
  <c r="E967" i="2"/>
  <c r="H967" i="2"/>
  <c r="D967" i="2"/>
  <c r="B967" i="2"/>
  <c r="G967" i="2"/>
  <c r="C967" i="2"/>
  <c r="G319" i="2"/>
  <c r="E319" i="2"/>
  <c r="H319" i="2"/>
  <c r="C319" i="2"/>
  <c r="D319" i="2"/>
  <c r="F319" i="2"/>
  <c r="B319" i="2"/>
  <c r="H854" i="2"/>
  <c r="G854" i="2"/>
  <c r="B854" i="2"/>
  <c r="F854" i="2"/>
  <c r="E854" i="2"/>
  <c r="C854" i="2"/>
  <c r="D854" i="2"/>
  <c r="F990" i="2"/>
  <c r="H990" i="2"/>
  <c r="D990" i="2"/>
  <c r="B990" i="2"/>
  <c r="E990" i="2"/>
  <c r="G990" i="2"/>
  <c r="C990" i="2"/>
  <c r="G530" i="2"/>
  <c r="D530" i="2"/>
  <c r="C530" i="2"/>
  <c r="F530" i="2"/>
  <c r="E530" i="2"/>
  <c r="H530" i="2"/>
  <c r="B530" i="2"/>
  <c r="B513" i="2"/>
  <c r="H513" i="2"/>
  <c r="F513" i="2"/>
  <c r="D513" i="2"/>
  <c r="C513" i="2"/>
  <c r="E513" i="2"/>
  <c r="G513" i="2"/>
  <c r="C197" i="2"/>
  <c r="H197" i="2"/>
  <c r="F197" i="2"/>
  <c r="E197" i="2"/>
  <c r="D197" i="2"/>
  <c r="B197" i="2"/>
  <c r="G197" i="2"/>
  <c r="C295" i="2"/>
  <c r="H295" i="2"/>
  <c r="D295" i="2"/>
  <c r="B295" i="2"/>
  <c r="G295" i="2"/>
  <c r="F295" i="2"/>
  <c r="E295" i="2"/>
  <c r="B180" i="2"/>
  <c r="H180" i="2"/>
  <c r="F180" i="2"/>
  <c r="G180" i="2"/>
  <c r="C180" i="2"/>
  <c r="D180" i="2"/>
  <c r="E180" i="2"/>
  <c r="F887" i="2"/>
  <c r="E887" i="2"/>
  <c r="G887" i="2"/>
  <c r="D887" i="2"/>
  <c r="C887" i="2"/>
  <c r="H887" i="2"/>
  <c r="B887" i="2"/>
  <c r="C312" i="2"/>
  <c r="E312" i="2"/>
  <c r="H312" i="2"/>
  <c r="D312" i="2"/>
  <c r="G312" i="2"/>
  <c r="F312" i="2"/>
  <c r="B312" i="2"/>
  <c r="F376" i="2"/>
  <c r="B376" i="2"/>
  <c r="H376" i="2"/>
  <c r="D376" i="2"/>
  <c r="C376" i="2"/>
  <c r="G376" i="2"/>
  <c r="E376" i="2"/>
  <c r="G166" i="2"/>
  <c r="E166" i="2"/>
  <c r="C166" i="2"/>
  <c r="H166" i="2"/>
  <c r="F166" i="2"/>
  <c r="D166" i="2"/>
  <c r="B166" i="2"/>
  <c r="G879" i="2"/>
  <c r="B879" i="2"/>
  <c r="D879" i="2"/>
  <c r="F879" i="2"/>
  <c r="C879" i="2"/>
  <c r="H879" i="2"/>
  <c r="E879" i="2"/>
  <c r="G609" i="2"/>
  <c r="F609" i="2"/>
  <c r="B609" i="2"/>
  <c r="E609" i="2"/>
  <c r="D609" i="2"/>
  <c r="H609" i="2"/>
  <c r="C609" i="2"/>
  <c r="E436" i="2"/>
  <c r="D436" i="2"/>
  <c r="C436" i="2"/>
  <c r="B436" i="2"/>
  <c r="H436" i="2"/>
  <c r="G436" i="2"/>
  <c r="F436" i="2"/>
  <c r="C179" i="2"/>
  <c r="E179" i="2"/>
  <c r="D179" i="2"/>
  <c r="G179" i="2"/>
  <c r="H179" i="2"/>
  <c r="B179" i="2"/>
  <c r="F179" i="2"/>
  <c r="F578" i="2"/>
  <c r="E578" i="2"/>
  <c r="D578" i="2"/>
  <c r="C578" i="2"/>
  <c r="B578" i="2"/>
  <c r="H578" i="2"/>
  <c r="G578" i="2"/>
  <c r="D494" i="2"/>
  <c r="B494" i="2"/>
  <c r="G494" i="2"/>
  <c r="E494" i="2"/>
  <c r="C494" i="2"/>
  <c r="H494" i="2"/>
  <c r="F494" i="2"/>
  <c r="D905" i="2"/>
  <c r="H905" i="2"/>
  <c r="F905" i="2"/>
  <c r="E905" i="2"/>
  <c r="G905" i="2"/>
  <c r="C905" i="2"/>
  <c r="B905" i="2"/>
  <c r="C198" i="2"/>
  <c r="B198" i="2"/>
  <c r="F198" i="2"/>
  <c r="D198" i="2"/>
  <c r="G198" i="2"/>
  <c r="E198" i="2"/>
  <c r="H198" i="2"/>
  <c r="F603" i="2"/>
  <c r="C603" i="2"/>
  <c r="B603" i="2"/>
  <c r="E603" i="2"/>
  <c r="G603" i="2"/>
  <c r="D603" i="2"/>
  <c r="H603" i="2"/>
  <c r="D638" i="2"/>
  <c r="G638" i="2"/>
  <c r="F638" i="2"/>
  <c r="C638" i="2"/>
  <c r="B638" i="2"/>
  <c r="H638" i="2"/>
  <c r="E638" i="2"/>
  <c r="F624" i="2"/>
  <c r="D624" i="2"/>
  <c r="E624" i="2"/>
  <c r="B624" i="2"/>
  <c r="C624" i="2"/>
  <c r="H624" i="2"/>
  <c r="G624" i="2"/>
  <c r="G416" i="2"/>
  <c r="F416" i="2"/>
  <c r="C416" i="2"/>
  <c r="B416" i="2"/>
  <c r="E416" i="2"/>
  <c r="D416" i="2"/>
  <c r="H416" i="2"/>
  <c r="D803" i="2"/>
  <c r="H803" i="2"/>
  <c r="G803" i="2"/>
  <c r="F803" i="2"/>
  <c r="C803" i="2"/>
  <c r="E803" i="2"/>
  <c r="B803" i="2"/>
  <c r="F57" i="2"/>
  <c r="E57" i="2"/>
  <c r="B57" i="2"/>
  <c r="G57" i="2"/>
  <c r="D57" i="2"/>
  <c r="C57" i="2"/>
  <c r="H57" i="2"/>
  <c r="E458" i="2"/>
  <c r="F458" i="2"/>
  <c r="B458" i="2"/>
  <c r="C458" i="2"/>
  <c r="H458" i="2"/>
  <c r="G458" i="2"/>
  <c r="D458" i="2"/>
  <c r="B958" i="2"/>
  <c r="F958" i="2"/>
  <c r="E958" i="2"/>
  <c r="G958" i="2"/>
  <c r="C958" i="2"/>
  <c r="H958" i="2"/>
  <c r="D958" i="2"/>
  <c r="D231" i="2"/>
  <c r="B231" i="2"/>
  <c r="G231" i="2"/>
  <c r="C231" i="2"/>
  <c r="E231" i="2"/>
  <c r="H231" i="2"/>
  <c r="F231" i="2"/>
  <c r="H348" i="2"/>
  <c r="G348" i="2"/>
  <c r="D348" i="2"/>
  <c r="E348" i="2"/>
  <c r="C348" i="2"/>
  <c r="B348" i="2"/>
  <c r="F348" i="2"/>
  <c r="G449" i="2"/>
  <c r="H449" i="2"/>
  <c r="C449" i="2"/>
  <c r="E449" i="2"/>
  <c r="F449" i="2"/>
  <c r="D449" i="2"/>
  <c r="B449" i="2"/>
  <c r="D226" i="2"/>
  <c r="B226" i="2"/>
  <c r="G226" i="2"/>
  <c r="E226" i="2"/>
  <c r="H226" i="2"/>
  <c r="F226" i="2"/>
  <c r="C226" i="2"/>
  <c r="G199" i="2"/>
  <c r="F199" i="2"/>
  <c r="E199" i="2"/>
  <c r="C199" i="2"/>
  <c r="D199" i="2"/>
  <c r="B199" i="2"/>
  <c r="H199" i="2"/>
  <c r="G196" i="2"/>
  <c r="F196" i="2"/>
  <c r="E196" i="2"/>
  <c r="C196" i="2"/>
  <c r="D196" i="2"/>
  <c r="B196" i="2"/>
  <c r="H196" i="2"/>
  <c r="D557" i="2"/>
  <c r="C557" i="2"/>
  <c r="H557" i="2"/>
  <c r="G557" i="2"/>
  <c r="F557" i="2"/>
  <c r="B557" i="2"/>
  <c r="E557" i="2"/>
  <c r="H806" i="2"/>
  <c r="C806" i="2"/>
  <c r="F806" i="2"/>
  <c r="E806" i="2"/>
  <c r="B806" i="2"/>
  <c r="D806" i="2"/>
  <c r="G806" i="2"/>
  <c r="G614" i="2"/>
  <c r="F614" i="2"/>
  <c r="C614" i="2"/>
  <c r="B614" i="2"/>
  <c r="H614" i="2"/>
  <c r="E614" i="2"/>
  <c r="D614" i="2"/>
  <c r="B34" i="2"/>
  <c r="H34" i="2"/>
  <c r="C34" i="2"/>
  <c r="F34" i="2"/>
  <c r="D34" i="2"/>
  <c r="E34" i="2"/>
  <c r="E58" i="2"/>
  <c r="B58" i="2"/>
  <c r="C58" i="2"/>
  <c r="G58" i="2"/>
  <c r="F58" i="2"/>
  <c r="H58" i="2"/>
  <c r="D58" i="2"/>
  <c r="G642" i="2"/>
  <c r="F642" i="2"/>
  <c r="C642" i="2"/>
  <c r="H642" i="2"/>
  <c r="E642" i="2"/>
  <c r="D642" i="2"/>
  <c r="B642" i="2"/>
  <c r="C826" i="2"/>
  <c r="E826" i="2"/>
  <c r="B826" i="2"/>
  <c r="H826" i="2"/>
  <c r="G826" i="2"/>
  <c r="F826" i="2"/>
  <c r="D826" i="2"/>
  <c r="D445" i="2"/>
  <c r="C445" i="2"/>
  <c r="B445" i="2"/>
  <c r="G445" i="2"/>
  <c r="F445" i="2"/>
  <c r="E445" i="2"/>
  <c r="H445" i="2"/>
  <c r="G481" i="2"/>
  <c r="F481" i="2"/>
  <c r="E481" i="2"/>
  <c r="D481" i="2"/>
  <c r="H481" i="2"/>
  <c r="B481" i="2"/>
  <c r="C481" i="2"/>
  <c r="D882" i="2"/>
  <c r="F882" i="2"/>
  <c r="H882" i="2"/>
  <c r="G882" i="2"/>
  <c r="E882" i="2"/>
  <c r="B882" i="2"/>
  <c r="C882" i="2"/>
  <c r="E468" i="2"/>
  <c r="C468" i="2"/>
  <c r="D468" i="2"/>
  <c r="B468" i="2"/>
  <c r="H468" i="2"/>
  <c r="G468" i="2"/>
  <c r="F468" i="2"/>
  <c r="H316" i="2"/>
  <c r="C316" i="2"/>
  <c r="B316" i="2"/>
  <c r="E316" i="2"/>
  <c r="G316" i="2"/>
  <c r="F316" i="2"/>
  <c r="D316" i="2"/>
  <c r="E883" i="2"/>
  <c r="G883" i="2"/>
  <c r="B883" i="2"/>
  <c r="D883" i="2"/>
  <c r="C883" i="2"/>
  <c r="H883" i="2"/>
  <c r="F883" i="2"/>
  <c r="E735" i="2"/>
  <c r="D735" i="2"/>
  <c r="H735" i="2"/>
  <c r="C735" i="2"/>
  <c r="B735" i="2"/>
  <c r="G735" i="2"/>
  <c r="F735" i="2"/>
  <c r="G542" i="2"/>
  <c r="D542" i="2"/>
  <c r="C542" i="2"/>
  <c r="F542" i="2"/>
  <c r="E542" i="2"/>
  <c r="H542" i="2"/>
  <c r="B542" i="2"/>
  <c r="E971" i="2"/>
  <c r="H971" i="2"/>
  <c r="G971" i="2"/>
  <c r="F971" i="2"/>
  <c r="D971" i="2"/>
  <c r="B971" i="2"/>
  <c r="C971" i="2"/>
  <c r="B1000" i="2"/>
  <c r="U20" i="5" s="1"/>
  <c r="H1000" i="2"/>
  <c r="E1000" i="2"/>
  <c r="G1000" i="2"/>
  <c r="Y21" i="5" s="1"/>
  <c r="F1000" i="2"/>
  <c r="AE21" i="5" s="1"/>
  <c r="D1000" i="2"/>
  <c r="W21" i="5" s="1"/>
  <c r="C1000" i="2"/>
  <c r="E551" i="2"/>
  <c r="C551" i="2"/>
  <c r="D551" i="2"/>
  <c r="H551" i="2"/>
  <c r="B551" i="2"/>
  <c r="G551" i="2"/>
  <c r="F551" i="2"/>
  <c r="G615" i="2"/>
  <c r="H615" i="2"/>
  <c r="F615" i="2"/>
  <c r="C615" i="2"/>
  <c r="E615" i="2"/>
  <c r="B615" i="2"/>
  <c r="D615" i="2"/>
  <c r="G489" i="2"/>
  <c r="C489" i="2"/>
  <c r="F489" i="2"/>
  <c r="D489" i="2"/>
  <c r="B489" i="2"/>
  <c r="H489" i="2"/>
  <c r="E489" i="2"/>
  <c r="F869" i="2"/>
  <c r="E869" i="2"/>
  <c r="C869" i="2"/>
  <c r="B869" i="2"/>
  <c r="D869" i="2"/>
  <c r="H869" i="2"/>
  <c r="G869" i="2"/>
  <c r="G592" i="2"/>
  <c r="H592" i="2"/>
  <c r="E592" i="2"/>
  <c r="D592" i="2"/>
  <c r="F592" i="2"/>
  <c r="B592" i="2"/>
  <c r="C592" i="2"/>
  <c r="H338" i="2"/>
  <c r="B338" i="2"/>
  <c r="G338" i="2"/>
  <c r="F338" i="2"/>
  <c r="E338" i="2"/>
  <c r="D338" i="2"/>
  <c r="C338" i="2"/>
  <c r="G651" i="2"/>
  <c r="E651" i="2"/>
  <c r="C651" i="2"/>
  <c r="B651" i="2"/>
  <c r="H651" i="2"/>
  <c r="F651" i="2"/>
  <c r="D651" i="2"/>
  <c r="G833" i="2"/>
  <c r="F833" i="2"/>
  <c r="E833" i="2"/>
  <c r="D833" i="2"/>
  <c r="B833" i="2"/>
  <c r="H833" i="2"/>
  <c r="C833" i="2"/>
  <c r="B456" i="2"/>
  <c r="E456" i="2"/>
  <c r="D456" i="2"/>
  <c r="H456" i="2"/>
  <c r="C456" i="2"/>
  <c r="G456" i="2"/>
  <c r="F456" i="2"/>
  <c r="H648" i="2"/>
  <c r="G648" i="2"/>
  <c r="B648" i="2"/>
  <c r="F648" i="2"/>
  <c r="D648" i="2"/>
  <c r="E648" i="2"/>
  <c r="C648" i="2"/>
  <c r="H509" i="2"/>
  <c r="E509" i="2"/>
  <c r="G509" i="2"/>
  <c r="F509" i="2"/>
  <c r="D509" i="2"/>
  <c r="C509" i="2"/>
  <c r="B509" i="2"/>
  <c r="H818" i="2"/>
  <c r="G818" i="2"/>
  <c r="C818" i="2"/>
  <c r="E818" i="2"/>
  <c r="F818" i="2"/>
  <c r="D818" i="2"/>
  <c r="B818" i="2"/>
  <c r="H415" i="2"/>
  <c r="G415" i="2"/>
  <c r="D415" i="2"/>
  <c r="F415" i="2"/>
  <c r="E415" i="2"/>
  <c r="B415" i="2"/>
  <c r="C415" i="2"/>
  <c r="F329" i="2"/>
  <c r="D329" i="2"/>
  <c r="C329" i="2"/>
  <c r="B329" i="2"/>
  <c r="E329" i="2"/>
  <c r="G329" i="2"/>
  <c r="H329" i="2"/>
  <c r="E221" i="2"/>
  <c r="D221" i="2"/>
  <c r="C221" i="2"/>
  <c r="B221" i="2"/>
  <c r="H221" i="2"/>
  <c r="F221" i="2"/>
  <c r="G221" i="2"/>
  <c r="G330" i="2"/>
  <c r="E330" i="2"/>
  <c r="H330" i="2"/>
  <c r="F330" i="2"/>
  <c r="D330" i="2"/>
  <c r="C330" i="2"/>
  <c r="B330" i="2"/>
  <c r="E917" i="2"/>
  <c r="C917" i="2"/>
  <c r="F917" i="2"/>
  <c r="B917" i="2"/>
  <c r="D917" i="2"/>
  <c r="H917" i="2"/>
  <c r="G917" i="2"/>
  <c r="B38" i="2"/>
  <c r="H38" i="2"/>
  <c r="D38" i="2"/>
  <c r="C38" i="2"/>
  <c r="F38" i="2"/>
  <c r="E38" i="2"/>
  <c r="C512" i="2"/>
  <c r="G512" i="2"/>
  <c r="B512" i="2"/>
  <c r="H512" i="2"/>
  <c r="F512" i="2"/>
  <c r="E512" i="2"/>
  <c r="D512" i="2"/>
  <c r="C993" i="2"/>
  <c r="F993" i="2"/>
  <c r="E993" i="2"/>
  <c r="H993" i="2"/>
  <c r="G993" i="2"/>
  <c r="D993" i="2"/>
  <c r="B993" i="2"/>
  <c r="F921" i="2"/>
  <c r="C921" i="2"/>
  <c r="E921" i="2"/>
  <c r="D921" i="2"/>
  <c r="G921" i="2"/>
  <c r="H921" i="2"/>
  <c r="B921" i="2"/>
  <c r="F911" i="2"/>
  <c r="E911" i="2"/>
  <c r="H911" i="2"/>
  <c r="G911" i="2"/>
  <c r="C911" i="2"/>
  <c r="D911" i="2"/>
  <c r="B911" i="2"/>
  <c r="H42" i="2"/>
  <c r="D42" i="2"/>
  <c r="F42" i="2"/>
  <c r="E42" i="2"/>
  <c r="B42" i="2"/>
  <c r="C42" i="2"/>
  <c r="B183" i="2"/>
  <c r="G183" i="2"/>
  <c r="F183" i="2"/>
  <c r="E183" i="2"/>
  <c r="D183" i="2"/>
  <c r="H183" i="2"/>
  <c r="C183" i="2"/>
  <c r="D81" i="2"/>
  <c r="B81" i="2"/>
  <c r="G81" i="2"/>
  <c r="C81" i="2"/>
  <c r="H81" i="2"/>
  <c r="F81" i="2"/>
  <c r="E81" i="2"/>
  <c r="E880" i="2"/>
  <c r="B880" i="2"/>
  <c r="D880" i="2"/>
  <c r="C880" i="2"/>
  <c r="G880" i="2"/>
  <c r="H880" i="2"/>
  <c r="F880" i="2"/>
  <c r="E719" i="2"/>
  <c r="D719" i="2"/>
  <c r="H719" i="2"/>
  <c r="F719" i="2"/>
  <c r="C719" i="2"/>
  <c r="B719" i="2"/>
  <c r="G719" i="2"/>
  <c r="G716" i="2"/>
  <c r="E716" i="2"/>
  <c r="D716" i="2"/>
  <c r="B716" i="2"/>
  <c r="H716" i="2"/>
  <c r="C716" i="2"/>
  <c r="F716" i="2"/>
  <c r="E765" i="2"/>
  <c r="D765" i="2"/>
  <c r="B765" i="2"/>
  <c r="C765" i="2"/>
  <c r="H765" i="2"/>
  <c r="F765" i="2"/>
  <c r="G765" i="2"/>
  <c r="C641" i="2"/>
  <c r="H641" i="2"/>
  <c r="G641" i="2"/>
  <c r="F641" i="2"/>
  <c r="E641" i="2"/>
  <c r="D641" i="2"/>
  <c r="B641" i="2"/>
  <c r="D250" i="2"/>
  <c r="F250" i="2"/>
  <c r="E250" i="2"/>
  <c r="B250" i="2"/>
  <c r="H250" i="2"/>
  <c r="G250" i="2"/>
  <c r="C250" i="2"/>
  <c r="G870" i="2"/>
  <c r="B870" i="2"/>
  <c r="F870" i="2"/>
  <c r="E870" i="2"/>
  <c r="D870" i="2"/>
  <c r="H870" i="2"/>
  <c r="C870" i="2"/>
  <c r="H342" i="2"/>
  <c r="G342" i="2"/>
  <c r="F342" i="2"/>
  <c r="C342" i="2"/>
  <c r="D342" i="2"/>
  <c r="B342" i="2"/>
  <c r="E342" i="2"/>
  <c r="E122" i="2"/>
  <c r="B122" i="2"/>
  <c r="H122" i="2"/>
  <c r="C122" i="2"/>
  <c r="F122" i="2"/>
  <c r="D122" i="2"/>
  <c r="G122" i="2"/>
  <c r="C227" i="2"/>
  <c r="D227" i="2"/>
  <c r="G227" i="2"/>
  <c r="F227" i="2"/>
  <c r="H227" i="2"/>
  <c r="E227" i="2"/>
  <c r="B227" i="2"/>
  <c r="E132" i="2"/>
  <c r="C132" i="2"/>
  <c r="G132" i="2"/>
  <c r="D132" i="2"/>
  <c r="B132" i="2"/>
  <c r="H132" i="2"/>
  <c r="F132" i="2"/>
  <c r="C656" i="2"/>
  <c r="H656" i="2"/>
  <c r="E656" i="2"/>
  <c r="G656" i="2"/>
  <c r="F656" i="2"/>
  <c r="D656" i="2"/>
  <c r="B656" i="2"/>
  <c r="C728" i="2"/>
  <c r="B728" i="2"/>
  <c r="G728" i="2"/>
  <c r="H728" i="2"/>
  <c r="E728" i="2"/>
  <c r="D728" i="2"/>
  <c r="F728" i="2"/>
  <c r="F267" i="2"/>
  <c r="G267" i="2"/>
  <c r="E267" i="2"/>
  <c r="D267" i="2"/>
  <c r="H267" i="2"/>
  <c r="B267" i="2"/>
  <c r="C267" i="2"/>
  <c r="B856" i="2"/>
  <c r="H856" i="2"/>
  <c r="G856" i="2"/>
  <c r="F856" i="2"/>
  <c r="E856" i="2"/>
  <c r="D856" i="2"/>
  <c r="C856" i="2"/>
  <c r="E932" i="2"/>
  <c r="D932" i="2"/>
  <c r="C932" i="2"/>
  <c r="H932" i="2"/>
  <c r="F932" i="2"/>
  <c r="G932" i="2"/>
  <c r="B932" i="2"/>
  <c r="H832" i="2"/>
  <c r="F832" i="2"/>
  <c r="C832" i="2"/>
  <c r="G832" i="2"/>
  <c r="E832" i="2"/>
  <c r="D832" i="2"/>
  <c r="B832" i="2"/>
  <c r="A397" i="2"/>
  <c r="A302" i="2"/>
  <c r="A713" i="2"/>
  <c r="A730" i="2"/>
  <c r="A597" i="2"/>
  <c r="A942" i="2"/>
  <c r="A493" i="2"/>
  <c r="A933" i="2"/>
  <c r="A248" i="2"/>
  <c r="A858" i="2"/>
  <c r="A659" i="2"/>
  <c r="A853" i="2"/>
  <c r="A142" i="2"/>
  <c r="A991" i="2"/>
  <c r="A584" i="2"/>
  <c r="A517" i="2"/>
  <c r="A457" i="2"/>
  <c r="A828" i="2"/>
  <c r="A910" i="2"/>
  <c r="A308" i="2"/>
  <c r="A88" i="2"/>
  <c r="A499" i="2"/>
  <c r="A139" i="2"/>
  <c r="A902" i="2"/>
  <c r="A328" i="2"/>
  <c r="A402" i="2"/>
  <c r="A754" i="2"/>
  <c r="A65" i="2"/>
  <c r="A79" i="2"/>
  <c r="A574" i="2"/>
  <c r="A709" i="2"/>
  <c r="A712" i="2"/>
  <c r="A159" i="2"/>
  <c r="A358" i="2"/>
  <c r="A294" i="2"/>
  <c r="A679" i="2"/>
  <c r="A774" i="2"/>
  <c r="A946" i="2"/>
  <c r="A767" i="2"/>
  <c r="A363" i="2"/>
  <c r="A391" i="2"/>
  <c r="A77" i="2"/>
  <c r="A170" i="2"/>
  <c r="A627" i="2"/>
  <c r="F205" i="2"/>
  <c r="E205" i="2"/>
  <c r="D205" i="2"/>
  <c r="C205" i="2"/>
  <c r="H205" i="2"/>
  <c r="B205" i="2"/>
  <c r="G205" i="2"/>
  <c r="B433" i="2"/>
  <c r="F433" i="2"/>
  <c r="C433" i="2"/>
  <c r="G433" i="2"/>
  <c r="E433" i="2"/>
  <c r="D433" i="2"/>
  <c r="H433" i="2"/>
  <c r="B287" i="2"/>
  <c r="G287" i="2"/>
  <c r="F287" i="2"/>
  <c r="E287" i="2"/>
  <c r="C287" i="2"/>
  <c r="D287" i="2"/>
  <c r="H287" i="2"/>
  <c r="G90" i="2"/>
  <c r="E90" i="2"/>
  <c r="B90" i="2"/>
  <c r="H90" i="2"/>
  <c r="F90" i="2"/>
  <c r="D90" i="2"/>
  <c r="C90" i="2"/>
  <c r="B916" i="2"/>
  <c r="C916" i="2"/>
  <c r="F916" i="2"/>
  <c r="D916" i="2"/>
  <c r="E916" i="2"/>
  <c r="H916" i="2"/>
  <c r="G916" i="2"/>
  <c r="D112" i="2"/>
  <c r="C112" i="2"/>
  <c r="B112" i="2"/>
  <c r="F112" i="2"/>
  <c r="E112" i="2"/>
  <c r="G112" i="2"/>
  <c r="H112" i="2"/>
  <c r="F390" i="2"/>
  <c r="G390" i="2"/>
  <c r="D390" i="2"/>
  <c r="E390" i="2"/>
  <c r="H390" i="2"/>
  <c r="B390" i="2"/>
  <c r="C390" i="2"/>
  <c r="C777" i="2"/>
  <c r="B777" i="2"/>
  <c r="E777" i="2"/>
  <c r="G777" i="2"/>
  <c r="F777" i="2"/>
  <c r="H777" i="2"/>
  <c r="D777" i="2"/>
  <c r="E974" i="2"/>
  <c r="F974" i="2"/>
  <c r="D974" i="2"/>
  <c r="C974" i="2"/>
  <c r="H974" i="2"/>
  <c r="G974" i="2"/>
  <c r="B974" i="2"/>
  <c r="H749" i="2"/>
  <c r="G749" i="2"/>
  <c r="E749" i="2"/>
  <c r="C749" i="2"/>
  <c r="F749" i="2"/>
  <c r="D749" i="2"/>
  <c r="B749" i="2"/>
  <c r="D855" i="2"/>
  <c r="C855" i="2"/>
  <c r="E855" i="2"/>
  <c r="F855" i="2"/>
  <c r="B855" i="2"/>
  <c r="H855" i="2"/>
  <c r="G855" i="2"/>
  <c r="B350" i="2"/>
  <c r="E350" i="2"/>
  <c r="C350" i="2"/>
  <c r="D350" i="2"/>
  <c r="H350" i="2"/>
  <c r="G350" i="2"/>
  <c r="F350" i="2"/>
  <c r="F332" i="2"/>
  <c r="H332" i="2"/>
  <c r="G332" i="2"/>
  <c r="D332" i="2"/>
  <c r="E332" i="2"/>
  <c r="C332" i="2"/>
  <c r="B332" i="2"/>
  <c r="D845" i="2"/>
  <c r="H845" i="2"/>
  <c r="G845" i="2"/>
  <c r="F845" i="2"/>
  <c r="B845" i="2"/>
  <c r="E845" i="2"/>
  <c r="C845" i="2"/>
  <c r="H501" i="2"/>
  <c r="E501" i="2"/>
  <c r="F501" i="2"/>
  <c r="D501" i="2"/>
  <c r="C501" i="2"/>
  <c r="B501" i="2"/>
  <c r="G501" i="2"/>
  <c r="F487" i="2"/>
  <c r="E487" i="2"/>
  <c r="B487" i="2"/>
  <c r="G487" i="2"/>
  <c r="D487" i="2"/>
  <c r="C487" i="2"/>
  <c r="H487" i="2"/>
  <c r="F874" i="2"/>
  <c r="E874" i="2"/>
  <c r="H874" i="2"/>
  <c r="B874" i="2"/>
  <c r="D874" i="2"/>
  <c r="C874" i="2"/>
  <c r="G874" i="2"/>
  <c r="G581" i="2"/>
  <c r="D581" i="2"/>
  <c r="F581" i="2"/>
  <c r="E581" i="2"/>
  <c r="B581" i="2"/>
  <c r="C581" i="2"/>
  <c r="H581" i="2"/>
  <c r="C602" i="2"/>
  <c r="B602" i="2"/>
  <c r="H602" i="2"/>
  <c r="F602" i="2"/>
  <c r="E602" i="2"/>
  <c r="G602" i="2"/>
  <c r="D602" i="2"/>
  <c r="G399" i="2"/>
  <c r="C399" i="2"/>
  <c r="D399" i="2"/>
  <c r="F399" i="2"/>
  <c r="E399" i="2"/>
  <c r="B399" i="2"/>
  <c r="H399" i="2"/>
  <c r="B634" i="2"/>
  <c r="H634" i="2"/>
  <c r="E634" i="2"/>
  <c r="D634" i="2"/>
  <c r="C634" i="2"/>
  <c r="G634" i="2"/>
  <c r="F634" i="2"/>
  <c r="D617" i="2"/>
  <c r="B617" i="2"/>
  <c r="E617" i="2"/>
  <c r="C617" i="2"/>
  <c r="F617" i="2"/>
  <c r="H617" i="2"/>
  <c r="G617" i="2"/>
  <c r="E812" i="2"/>
  <c r="B812" i="2"/>
  <c r="C812" i="2"/>
  <c r="D812" i="2"/>
  <c r="H812" i="2"/>
  <c r="G812" i="2"/>
  <c r="F812" i="2"/>
  <c r="H643" i="2"/>
  <c r="E643" i="2"/>
  <c r="G643" i="2"/>
  <c r="F643" i="2"/>
  <c r="B643" i="2"/>
  <c r="D643" i="2"/>
  <c r="C643" i="2"/>
  <c r="B475" i="2"/>
  <c r="D475" i="2"/>
  <c r="H475" i="2"/>
  <c r="G475" i="2"/>
  <c r="F475" i="2"/>
  <c r="E475" i="2"/>
  <c r="C475" i="2"/>
  <c r="E538" i="2"/>
  <c r="H538" i="2"/>
  <c r="B538" i="2"/>
  <c r="G538" i="2"/>
  <c r="F538" i="2"/>
  <c r="D538" i="2"/>
  <c r="C538" i="2"/>
  <c r="B598" i="2"/>
  <c r="E598" i="2"/>
  <c r="G598" i="2"/>
  <c r="D598" i="2"/>
  <c r="H598" i="2"/>
  <c r="F598" i="2"/>
  <c r="C598" i="2"/>
  <c r="G580" i="2"/>
  <c r="E580" i="2"/>
  <c r="H580" i="2"/>
  <c r="B580" i="2"/>
  <c r="C580" i="2"/>
  <c r="F580" i="2"/>
  <c r="D580" i="2"/>
  <c r="E423" i="2"/>
  <c r="B423" i="2"/>
  <c r="D423" i="2"/>
  <c r="H423" i="2"/>
  <c r="C423" i="2"/>
  <c r="F423" i="2"/>
  <c r="G423" i="2"/>
  <c r="D796" i="2"/>
  <c r="G796" i="2"/>
  <c r="B796" i="2"/>
  <c r="E796" i="2"/>
  <c r="H796" i="2"/>
  <c r="F796" i="2"/>
  <c r="C796" i="2"/>
  <c r="F298" i="2"/>
  <c r="D298" i="2"/>
  <c r="C298" i="2"/>
  <c r="G298" i="2"/>
  <c r="E298" i="2"/>
  <c r="H298" i="2"/>
  <c r="B298" i="2"/>
  <c r="H25" i="2"/>
  <c r="D25" i="2"/>
  <c r="W31" i="5" s="1"/>
  <c r="C25" i="2"/>
  <c r="V31" i="5" s="1"/>
  <c r="E25" i="2"/>
  <c r="X31" i="5" s="1"/>
  <c r="B25" i="2"/>
  <c r="U31" i="5" s="1"/>
  <c r="F25" i="2"/>
  <c r="AE31" i="5" s="1"/>
  <c r="E588" i="2"/>
  <c r="H588" i="2"/>
  <c r="D588" i="2"/>
  <c r="C588" i="2"/>
  <c r="F588" i="2"/>
  <c r="G588" i="2"/>
  <c r="B588" i="2"/>
  <c r="B768" i="2"/>
  <c r="H768" i="2"/>
  <c r="C768" i="2"/>
  <c r="F768" i="2"/>
  <c r="G768" i="2"/>
  <c r="E768" i="2"/>
  <c r="D768" i="2"/>
  <c r="D903" i="2"/>
  <c r="F903" i="2"/>
  <c r="E903" i="2"/>
  <c r="B903" i="2"/>
  <c r="G903" i="2"/>
  <c r="C903" i="2"/>
  <c r="H903" i="2"/>
  <c r="D384" i="2"/>
  <c r="C384" i="2"/>
  <c r="E384" i="2"/>
  <c r="F384" i="2"/>
  <c r="B384" i="2"/>
  <c r="H384" i="2"/>
  <c r="G384" i="2"/>
  <c r="H705" i="2"/>
  <c r="G705" i="2"/>
  <c r="F705" i="2"/>
  <c r="E705" i="2"/>
  <c r="D705" i="2"/>
  <c r="C705" i="2"/>
  <c r="B705" i="2"/>
  <c r="C394" i="2"/>
  <c r="H394" i="2"/>
  <c r="G394" i="2"/>
  <c r="E394" i="2"/>
  <c r="F394" i="2"/>
  <c r="B394" i="2"/>
  <c r="D394" i="2"/>
  <c r="C296" i="2"/>
  <c r="B296" i="2"/>
  <c r="G296" i="2"/>
  <c r="F296" i="2"/>
  <c r="H296" i="2"/>
  <c r="E296" i="2"/>
  <c r="D296" i="2"/>
  <c r="B676" i="2"/>
  <c r="H676" i="2"/>
  <c r="E676" i="2"/>
  <c r="G676" i="2"/>
  <c r="F676" i="2"/>
  <c r="D676" i="2"/>
  <c r="C676" i="2"/>
  <c r="B117" i="2"/>
  <c r="G117" i="2"/>
  <c r="H117" i="2"/>
  <c r="F117" i="2"/>
  <c r="E117" i="2"/>
  <c r="D117" i="2"/>
  <c r="C117" i="2"/>
  <c r="C673" i="2"/>
  <c r="G673" i="2"/>
  <c r="F673" i="2"/>
  <c r="D673" i="2"/>
  <c r="B673" i="2"/>
  <c r="H673" i="2"/>
  <c r="E673" i="2"/>
  <c r="H613" i="2"/>
  <c r="G613" i="2"/>
  <c r="B613" i="2"/>
  <c r="D613" i="2"/>
  <c r="F613" i="2"/>
  <c r="E613" i="2"/>
  <c r="C613" i="2"/>
  <c r="G859" i="2"/>
  <c r="D859" i="2"/>
  <c r="C859" i="2"/>
  <c r="H859" i="2"/>
  <c r="F859" i="2"/>
  <c r="E859" i="2"/>
  <c r="B859" i="2"/>
  <c r="D784" i="2"/>
  <c r="C784" i="2"/>
  <c r="B784" i="2"/>
  <c r="E784" i="2"/>
  <c r="F784" i="2"/>
  <c r="H784" i="2"/>
  <c r="G784" i="2"/>
  <c r="G220" i="2"/>
  <c r="D220" i="2"/>
  <c r="C220" i="2"/>
  <c r="F220" i="2"/>
  <c r="E220" i="2"/>
  <c r="B220" i="2"/>
  <c r="H220" i="2"/>
  <c r="F470" i="2"/>
  <c r="G470" i="2"/>
  <c r="E470" i="2"/>
  <c r="D470" i="2"/>
  <c r="C470" i="2"/>
  <c r="B470" i="2"/>
  <c r="H470" i="2"/>
  <c r="H663" i="2"/>
  <c r="G663" i="2"/>
  <c r="F663" i="2"/>
  <c r="D663" i="2"/>
  <c r="E663" i="2"/>
  <c r="C663" i="2"/>
  <c r="B663" i="2"/>
  <c r="C447" i="2"/>
  <c r="B447" i="2"/>
  <c r="D447" i="2"/>
  <c r="F447" i="2"/>
  <c r="E447" i="2"/>
  <c r="H447" i="2"/>
  <c r="G447" i="2"/>
  <c r="D885" i="2"/>
  <c r="C885" i="2"/>
  <c r="F885" i="2"/>
  <c r="H885" i="2"/>
  <c r="B885" i="2"/>
  <c r="G885" i="2"/>
  <c r="E885" i="2"/>
  <c r="H928" i="2"/>
  <c r="E928" i="2"/>
  <c r="D928" i="2"/>
  <c r="C928" i="2"/>
  <c r="B928" i="2"/>
  <c r="F928" i="2"/>
  <c r="G928" i="2"/>
  <c r="E239" i="2"/>
  <c r="C239" i="2"/>
  <c r="D239" i="2"/>
  <c r="G239" i="2"/>
  <c r="H239" i="2"/>
  <c r="B239" i="2"/>
  <c r="F239" i="2"/>
  <c r="D36" i="2"/>
  <c r="H36" i="2"/>
  <c r="F36" i="2"/>
  <c r="E36" i="2"/>
  <c r="C36" i="2"/>
  <c r="B36" i="2"/>
  <c r="F405" i="2"/>
  <c r="D405" i="2"/>
  <c r="E405" i="2"/>
  <c r="C405" i="2"/>
  <c r="B405" i="2"/>
  <c r="H405" i="2"/>
  <c r="G405" i="2"/>
  <c r="C667" i="2"/>
  <c r="H667" i="2"/>
  <c r="F667" i="2"/>
  <c r="D667" i="2"/>
  <c r="G667" i="2"/>
  <c r="E667" i="2"/>
  <c r="B667" i="2"/>
  <c r="B548" i="2"/>
  <c r="H548" i="2"/>
  <c r="D548" i="2"/>
  <c r="E548" i="2"/>
  <c r="C548" i="2"/>
  <c r="G548" i="2"/>
  <c r="F548" i="2"/>
  <c r="D28" i="2"/>
  <c r="C28" i="2"/>
  <c r="B28" i="2"/>
  <c r="F28" i="2"/>
  <c r="E28" i="2"/>
  <c r="H28" i="2"/>
  <c r="H607" i="2"/>
  <c r="C607" i="2"/>
  <c r="B607" i="2"/>
  <c r="E607" i="2"/>
  <c r="D607" i="2"/>
  <c r="G607" i="2"/>
  <c r="F607" i="2"/>
  <c r="H460" i="2"/>
  <c r="G460" i="2"/>
  <c r="F460" i="2"/>
  <c r="E460" i="2"/>
  <c r="C460" i="2"/>
  <c r="D460" i="2"/>
  <c r="B460" i="2"/>
  <c r="E733" i="2"/>
  <c r="H733" i="2"/>
  <c r="G733" i="2"/>
  <c r="D733" i="2"/>
  <c r="C733" i="2"/>
  <c r="B733" i="2"/>
  <c r="F733" i="2"/>
  <c r="B387" i="2"/>
  <c r="G387" i="2"/>
  <c r="F387" i="2"/>
  <c r="E387" i="2"/>
  <c r="C387" i="2"/>
  <c r="H387" i="2"/>
  <c r="D387" i="2"/>
  <c r="C453" i="2"/>
  <c r="D453" i="2"/>
  <c r="G453" i="2"/>
  <c r="F453" i="2"/>
  <c r="E453" i="2"/>
  <c r="B453" i="2"/>
  <c r="H453" i="2"/>
  <c r="H670" i="2"/>
  <c r="F670" i="2"/>
  <c r="G670" i="2"/>
  <c r="D670" i="2"/>
  <c r="B670" i="2"/>
  <c r="E670" i="2"/>
  <c r="C670" i="2"/>
  <c r="D334" i="2"/>
  <c r="H334" i="2"/>
  <c r="G334" i="2"/>
  <c r="F334" i="2"/>
  <c r="B334" i="2"/>
  <c r="E334" i="2"/>
  <c r="C334" i="2"/>
  <c r="B914" i="2"/>
  <c r="C914" i="2"/>
  <c r="H914" i="2"/>
  <c r="F914" i="2"/>
  <c r="D914" i="2"/>
  <c r="E914" i="2"/>
  <c r="G914" i="2"/>
  <c r="C875" i="2"/>
  <c r="F875" i="2"/>
  <c r="E875" i="2"/>
  <c r="G875" i="2"/>
  <c r="B875" i="2"/>
  <c r="H875" i="2"/>
  <c r="D875" i="2"/>
  <c r="B452" i="2"/>
  <c r="H452" i="2"/>
  <c r="G452" i="2"/>
  <c r="C452" i="2"/>
  <c r="E452" i="2"/>
  <c r="D452" i="2"/>
  <c r="F452" i="2"/>
  <c r="H450" i="2"/>
  <c r="C450" i="2"/>
  <c r="D450" i="2"/>
  <c r="E450" i="2"/>
  <c r="G450" i="2"/>
  <c r="F450" i="2"/>
  <c r="B450" i="2"/>
  <c r="C554" i="2"/>
  <c r="F554" i="2"/>
  <c r="E554" i="2"/>
  <c r="G554" i="2"/>
  <c r="D554" i="2"/>
  <c r="H554" i="2"/>
  <c r="B554" i="2"/>
  <c r="D379" i="2"/>
  <c r="E379" i="2"/>
  <c r="C379" i="2"/>
  <c r="G379" i="2"/>
  <c r="F379" i="2"/>
  <c r="H379" i="2"/>
  <c r="B379" i="2"/>
  <c r="C604" i="2"/>
  <c r="B604" i="2"/>
  <c r="F604" i="2"/>
  <c r="G604" i="2"/>
  <c r="E604" i="2"/>
  <c r="D604" i="2"/>
  <c r="H604" i="2"/>
  <c r="H981" i="2"/>
  <c r="F981" i="2"/>
  <c r="E981" i="2"/>
  <c r="C981" i="2"/>
  <c r="D981" i="2"/>
  <c r="G981" i="2"/>
  <c r="B981" i="2"/>
  <c r="F64" i="2"/>
  <c r="E64" i="2"/>
  <c r="G64" i="2"/>
  <c r="D64" i="2"/>
  <c r="H64" i="2"/>
  <c r="B64" i="2"/>
  <c r="C64" i="2"/>
  <c r="B721" i="2"/>
  <c r="E721" i="2"/>
  <c r="H721" i="2"/>
  <c r="G721" i="2"/>
  <c r="D721" i="2"/>
  <c r="F721" i="2"/>
  <c r="C721" i="2"/>
  <c r="B404" i="2"/>
  <c r="H404" i="2"/>
  <c r="F404" i="2"/>
  <c r="G404" i="2"/>
  <c r="E404" i="2"/>
  <c r="D404" i="2"/>
  <c r="C404" i="2"/>
  <c r="F286" i="2"/>
  <c r="B286" i="2"/>
  <c r="C286" i="2"/>
  <c r="E286" i="2"/>
  <c r="D286" i="2"/>
  <c r="H286" i="2"/>
  <c r="G286" i="2"/>
  <c r="E632" i="2"/>
  <c r="C632" i="2"/>
  <c r="H632" i="2"/>
  <c r="G632" i="2"/>
  <c r="F632" i="2"/>
  <c r="D632" i="2"/>
  <c r="B632" i="2"/>
  <c r="F153" i="2"/>
  <c r="E153" i="2"/>
  <c r="D153" i="2"/>
  <c r="G153" i="2"/>
  <c r="B153" i="2"/>
  <c r="H153" i="2"/>
  <c r="C153" i="2"/>
  <c r="F224" i="2"/>
  <c r="E224" i="2"/>
  <c r="G224" i="2"/>
  <c r="D224" i="2"/>
  <c r="B224" i="2"/>
  <c r="H224" i="2"/>
  <c r="C224" i="2"/>
  <c r="H33" i="2"/>
  <c r="D33" i="2"/>
  <c r="C33" i="2"/>
  <c r="B33" i="2"/>
  <c r="E33" i="2"/>
  <c r="F33" i="2"/>
  <c r="H894" i="2"/>
  <c r="G894" i="2"/>
  <c r="E894" i="2"/>
  <c r="C894" i="2"/>
  <c r="B894" i="2"/>
  <c r="F894" i="2"/>
  <c r="D894" i="2"/>
  <c r="C206" i="2"/>
  <c r="B206" i="2"/>
  <c r="F206" i="2"/>
  <c r="G206" i="2"/>
  <c r="E206" i="2"/>
  <c r="H206" i="2"/>
  <c r="D206" i="2"/>
  <c r="G738" i="2"/>
  <c r="B738" i="2"/>
  <c r="C738" i="2"/>
  <c r="H738" i="2"/>
  <c r="F738" i="2"/>
  <c r="D738" i="2"/>
  <c r="E738" i="2"/>
  <c r="D564" i="2"/>
  <c r="E564" i="2"/>
  <c r="C564" i="2"/>
  <c r="G564" i="2"/>
  <c r="B564" i="2"/>
  <c r="H564" i="2"/>
  <c r="F564" i="2"/>
  <c r="G465" i="2"/>
  <c r="E465" i="2"/>
  <c r="F465" i="2"/>
  <c r="D465" i="2"/>
  <c r="H465" i="2"/>
  <c r="C465" i="2"/>
  <c r="B465" i="2"/>
  <c r="H432" i="2"/>
  <c r="G432" i="2"/>
  <c r="F432" i="2"/>
  <c r="C432" i="2"/>
  <c r="B432" i="2"/>
  <c r="E432" i="2"/>
  <c r="D432" i="2"/>
  <c r="C579" i="2"/>
  <c r="B579" i="2"/>
  <c r="H579" i="2"/>
  <c r="G579" i="2"/>
  <c r="F579" i="2"/>
  <c r="E579" i="2"/>
  <c r="D579" i="2"/>
  <c r="B192" i="2"/>
  <c r="H192" i="2"/>
  <c r="F192" i="2"/>
  <c r="E192" i="2"/>
  <c r="D192" i="2"/>
  <c r="C192" i="2"/>
  <c r="G192" i="2"/>
  <c r="D628" i="2"/>
  <c r="F628" i="2"/>
  <c r="E628" i="2"/>
  <c r="C628" i="2"/>
  <c r="H628" i="2"/>
  <c r="G628" i="2"/>
  <c r="B628" i="2"/>
  <c r="B322" i="2"/>
  <c r="G322" i="2"/>
  <c r="H322" i="2"/>
  <c r="E322" i="2"/>
  <c r="D322" i="2"/>
  <c r="C322" i="2"/>
  <c r="F322" i="2"/>
  <c r="B531" i="2"/>
  <c r="G531" i="2"/>
  <c r="F531" i="2"/>
  <c r="E531" i="2"/>
  <c r="D531" i="2"/>
  <c r="C531" i="2"/>
  <c r="H531" i="2"/>
  <c r="F506" i="2"/>
  <c r="B506" i="2"/>
  <c r="H506" i="2"/>
  <c r="G506" i="2"/>
  <c r="E506" i="2"/>
  <c r="D506" i="2"/>
  <c r="C506" i="2"/>
  <c r="G782" i="2"/>
  <c r="H782" i="2"/>
  <c r="E782" i="2"/>
  <c r="F782" i="2"/>
  <c r="C782" i="2"/>
  <c r="D782" i="2"/>
  <c r="B782" i="2"/>
  <c r="E819" i="2"/>
  <c r="D819" i="2"/>
  <c r="H819" i="2"/>
  <c r="C819" i="2"/>
  <c r="B819" i="2"/>
  <c r="G819" i="2"/>
  <c r="F819" i="2"/>
  <c r="H948" i="2"/>
  <c r="B948" i="2"/>
  <c r="E948" i="2"/>
  <c r="D948" i="2"/>
  <c r="C948" i="2"/>
  <c r="G948" i="2"/>
  <c r="F948" i="2"/>
  <c r="E97" i="2"/>
  <c r="D97" i="2"/>
  <c r="G97" i="2"/>
  <c r="C97" i="2"/>
  <c r="H97" i="2"/>
  <c r="F97" i="2"/>
  <c r="B97" i="2"/>
  <c r="D253" i="2"/>
  <c r="B253" i="2"/>
  <c r="H253" i="2"/>
  <c r="F253" i="2"/>
  <c r="E253" i="2"/>
  <c r="C253" i="2"/>
  <c r="G253" i="2"/>
  <c r="B988" i="2"/>
  <c r="C988" i="2"/>
  <c r="E988" i="2"/>
  <c r="D988" i="2"/>
  <c r="H988" i="2"/>
  <c r="G988" i="2"/>
  <c r="F988" i="2"/>
  <c r="C485" i="2"/>
  <c r="B485" i="2"/>
  <c r="G485" i="2"/>
  <c r="F485" i="2"/>
  <c r="H485" i="2"/>
  <c r="E485" i="2"/>
  <c r="D485" i="2"/>
  <c r="C764" i="2"/>
  <c r="D764" i="2"/>
  <c r="H764" i="2"/>
  <c r="G764" i="2"/>
  <c r="F764" i="2"/>
  <c r="E764" i="2"/>
  <c r="B764" i="2"/>
  <c r="E138" i="2"/>
  <c r="C138" i="2"/>
  <c r="D138" i="2"/>
  <c r="G138" i="2"/>
  <c r="B138" i="2"/>
  <c r="H138" i="2"/>
  <c r="F138" i="2"/>
  <c r="G136" i="2"/>
  <c r="D136" i="2"/>
  <c r="C136" i="2"/>
  <c r="B136" i="2"/>
  <c r="H136" i="2"/>
  <c r="F136" i="2"/>
  <c r="E136" i="2"/>
  <c r="E973" i="2"/>
  <c r="D973" i="2"/>
  <c r="B973" i="2"/>
  <c r="G973" i="2"/>
  <c r="H973" i="2"/>
  <c r="F973" i="2"/>
  <c r="C973" i="2"/>
  <c r="D441" i="2"/>
  <c r="G441" i="2"/>
  <c r="H441" i="2"/>
  <c r="C441" i="2"/>
  <c r="B441" i="2"/>
  <c r="F441" i="2"/>
  <c r="E441" i="2"/>
  <c r="F780" i="2"/>
  <c r="B780" i="2"/>
  <c r="E780" i="2"/>
  <c r="C780" i="2"/>
  <c r="D780" i="2"/>
  <c r="H780" i="2"/>
  <c r="G780" i="2"/>
  <c r="G927" i="2"/>
  <c r="D927" i="2"/>
  <c r="B927" i="2"/>
  <c r="F927" i="2"/>
  <c r="E927" i="2"/>
  <c r="H927" i="2"/>
  <c r="C927" i="2"/>
  <c r="F814" i="2"/>
  <c r="E814" i="2"/>
  <c r="D814" i="2"/>
  <c r="C814" i="2"/>
  <c r="G814" i="2"/>
  <c r="H814" i="2"/>
  <c r="B814" i="2"/>
  <c r="H687" i="2"/>
  <c r="D687" i="2"/>
  <c r="E687" i="2"/>
  <c r="F687" i="2"/>
  <c r="B687" i="2"/>
  <c r="C687" i="2"/>
  <c r="G687" i="2"/>
  <c r="B589" i="2"/>
  <c r="D589" i="2"/>
  <c r="F589" i="2"/>
  <c r="E589" i="2"/>
  <c r="H589" i="2"/>
  <c r="G589" i="2"/>
  <c r="C589" i="2"/>
  <c r="B862" i="2"/>
  <c r="F862" i="2"/>
  <c r="E862" i="2"/>
  <c r="D862" i="2"/>
  <c r="C862" i="2"/>
  <c r="H862" i="2"/>
  <c r="G862" i="2"/>
  <c r="A555" i="2"/>
  <c r="A703" i="2"/>
  <c r="A596" i="2"/>
  <c r="A337" i="2"/>
  <c r="A625" i="2"/>
  <c r="A934" i="2"/>
  <c r="A345" i="2"/>
  <c r="A897" i="2"/>
  <c r="A108" i="2"/>
  <c r="A740" i="2"/>
  <c r="A263" i="2"/>
  <c r="A155" i="2"/>
  <c r="A115" i="2"/>
  <c r="A585" i="2"/>
  <c r="A983" i="2"/>
  <c r="A565" i="2"/>
  <c r="A781" i="2"/>
  <c r="A301" i="2"/>
  <c r="A929" i="2"/>
  <c r="A26" i="2"/>
  <c r="A693" i="2"/>
  <c r="A175" i="2"/>
  <c r="A535" i="2"/>
  <c r="A556" i="2"/>
  <c r="A986" i="2"/>
  <c r="A300" i="2"/>
  <c r="A720" i="2"/>
  <c r="A710" i="2"/>
  <c r="A516" i="2"/>
  <c r="A218" i="2"/>
  <c r="A595" i="2"/>
  <c r="A425" i="2"/>
  <c r="A907" i="2"/>
  <c r="A72" i="2"/>
  <c r="A463" i="2"/>
  <c r="A235" i="2"/>
  <c r="A293" i="2"/>
  <c r="A454" i="2"/>
  <c r="A752" i="2"/>
  <c r="A840" i="2"/>
  <c r="A519" i="2"/>
  <c r="A639" i="2"/>
  <c r="A514" i="2"/>
  <c r="A823" i="2"/>
  <c r="A269" i="2"/>
  <c r="A977" i="2"/>
  <c r="A708" i="2"/>
  <c r="A664" i="2"/>
  <c r="A208" i="2"/>
  <c r="A560" i="2"/>
  <c r="A323" i="2"/>
  <c r="A331" i="2"/>
  <c r="A527" i="2"/>
  <c r="A900" i="2"/>
  <c r="A259" i="2"/>
  <c r="A891" i="2"/>
  <c r="A999" i="2"/>
  <c r="A945" i="2"/>
  <c r="A165" i="2"/>
  <c r="A340" i="2"/>
  <c r="A181" i="2"/>
  <c r="A572" i="2"/>
  <c r="A576" i="2"/>
  <c r="A428" i="2"/>
  <c r="A169" i="2"/>
  <c r="A240" i="2"/>
  <c r="A70" i="2"/>
  <c r="A275" i="2"/>
  <c r="A631" i="2"/>
  <c r="A964" i="2"/>
  <c r="A212" i="2"/>
  <c r="A731" i="2"/>
  <c r="A370" i="2"/>
  <c r="A120" i="2"/>
  <c r="A616" i="2"/>
  <c r="A505" i="2"/>
  <c r="A734" i="2"/>
  <c r="A529" i="2"/>
  <c r="A92" i="2"/>
  <c r="A55" i="2"/>
  <c r="A439" i="2"/>
  <c r="A567" i="2"/>
  <c r="A941" i="2"/>
  <c r="A46" i="2"/>
  <c r="A403" i="2"/>
  <c r="A125" i="2"/>
  <c r="A186" i="2"/>
  <c r="A727" i="2"/>
  <c r="A972" i="2"/>
  <c r="A586" i="2"/>
  <c r="A865" i="2"/>
  <c r="A177" i="2"/>
  <c r="A472" i="2"/>
  <c r="A437" i="2"/>
  <c r="A763" i="2"/>
  <c r="A600" i="2"/>
  <c r="A896" i="2"/>
  <c r="A59" i="2"/>
  <c r="A400" i="2"/>
  <c r="A791" i="2"/>
  <c r="A395" i="2"/>
  <c r="A61" i="2"/>
  <c r="A857" i="2"/>
  <c r="A831" i="2"/>
  <c r="A443" i="2"/>
  <c r="A281" i="2"/>
  <c r="A56" i="2"/>
  <c r="A785" i="2"/>
  <c r="A528" i="2"/>
  <c r="A553" i="2"/>
  <c r="A723" i="2"/>
  <c r="A769" i="2"/>
  <c r="A413" i="2"/>
  <c r="A546" i="2"/>
  <c r="A987" i="2"/>
  <c r="A344" i="2"/>
  <c r="A888" i="2"/>
  <c r="A944" i="2"/>
  <c r="A143" i="2"/>
  <c r="A587" i="2"/>
  <c r="A909" i="2"/>
  <c r="A318" i="2"/>
  <c r="A89" i="2"/>
  <c r="A409" i="2"/>
  <c r="A150" i="2"/>
  <c r="A430" i="2"/>
  <c r="A956" i="2"/>
  <c r="A37" i="2"/>
  <c r="A349" i="2"/>
  <c r="A835" i="2"/>
  <c r="A53" i="2"/>
  <c r="A623" i="2"/>
  <c r="A689" i="2"/>
  <c r="A373" i="2"/>
  <c r="A718" i="2"/>
  <c r="A128" i="2"/>
  <c r="A209" i="2"/>
  <c r="A930" i="2"/>
  <c r="A324" i="2"/>
  <c r="A277" i="2"/>
  <c r="A256" i="2"/>
  <c r="A87" i="2"/>
  <c r="A185" i="2"/>
  <c r="A357" i="2"/>
  <c r="A292" i="2"/>
  <c r="A998" i="2"/>
  <c r="A266" i="2"/>
  <c r="A650" i="2"/>
  <c r="A484" i="2"/>
  <c r="A636" i="2"/>
  <c r="A674" i="2"/>
  <c r="A69" i="2"/>
  <c r="A414" i="2"/>
  <c r="A867" i="2"/>
  <c r="A427" i="2"/>
  <c r="A573" i="2"/>
  <c r="A575" i="2"/>
  <c r="A223" i="2"/>
  <c r="A915" i="2"/>
  <c r="A594" i="2"/>
  <c r="A511" i="2"/>
  <c r="A525" i="2"/>
  <c r="A369" i="2"/>
  <c r="A424" i="2"/>
  <c r="A410" i="2"/>
  <c r="A336" i="2"/>
  <c r="A471" i="2"/>
  <c r="A741" i="2"/>
  <c r="A162" i="2"/>
  <c r="A834" i="2"/>
  <c r="A797" i="2"/>
  <c r="A134" i="2"/>
  <c r="A48" i="2"/>
  <c r="A110" i="2"/>
  <c r="A315" i="2"/>
  <c r="A761" i="2"/>
  <c r="A146" i="2"/>
  <c r="A893" i="2"/>
  <c r="A842" i="2"/>
  <c r="A886" i="2"/>
  <c r="A467" i="2"/>
  <c r="A204" i="2"/>
  <c r="A610" i="2"/>
  <c r="A978" i="2"/>
  <c r="A73" i="2"/>
  <c r="A188" i="2"/>
  <c r="A848" i="2"/>
  <c r="A913" i="2"/>
  <c r="A273" i="2"/>
  <c r="A307" i="2"/>
  <c r="A722" i="2"/>
  <c r="A884" i="2"/>
  <c r="A398" i="2"/>
  <c r="A926" i="2"/>
  <c r="A249" i="2"/>
  <c r="A305" i="2"/>
  <c r="A852" i="2"/>
  <c r="A466" i="2"/>
  <c r="A526" i="2"/>
  <c r="A225" i="2"/>
  <c r="A211" i="2"/>
  <c r="A666" i="2"/>
  <c r="A702" i="2"/>
  <c r="A258" i="2"/>
  <c r="A677" i="2"/>
  <c r="A431" i="2"/>
  <c r="A193" i="2"/>
  <c r="A504" i="2"/>
  <c r="A389" i="2"/>
  <c r="A965" i="2"/>
  <c r="A388" i="2"/>
  <c r="A694" i="2"/>
  <c r="A771" i="2"/>
  <c r="A299" i="2"/>
  <c r="A355" i="2"/>
  <c r="A568" i="2"/>
  <c r="A798" i="2"/>
  <c r="A161" i="2"/>
  <c r="A775" i="2"/>
  <c r="A503" i="2"/>
  <c r="A148" i="2"/>
  <c r="A438" i="2"/>
  <c r="A76" i="2"/>
  <c r="A451" i="2"/>
  <c r="A51" i="2"/>
  <c r="A711" i="2"/>
  <c r="A745" i="2"/>
  <c r="A515" i="2"/>
  <c r="A99" i="2"/>
  <c r="A374" i="2"/>
  <c r="A653" i="2"/>
  <c r="A724" i="2"/>
  <c r="A577" i="2"/>
  <c r="A980" i="2"/>
  <c r="A940" i="2"/>
  <c r="A759" i="2"/>
  <c r="A386" i="2"/>
  <c r="A591" i="2"/>
  <c r="A178" i="2"/>
  <c r="A824" i="2"/>
  <c r="A837" i="2"/>
  <c r="A291" i="2"/>
  <c r="A130" i="2"/>
  <c r="A943" i="2"/>
  <c r="A461" i="2"/>
  <c r="A683" i="2"/>
  <c r="A938" i="2"/>
  <c r="A668" i="2"/>
  <c r="A304" i="2"/>
  <c r="A234" i="2"/>
  <c r="A570" i="2"/>
  <c r="A757" i="2"/>
  <c r="A47" i="2"/>
  <c r="A497" i="2"/>
  <c r="A922" i="2"/>
  <c r="A478" i="2"/>
  <c r="A333" i="2"/>
  <c r="A622" i="2"/>
  <c r="A492" i="2"/>
  <c r="A947" i="2"/>
  <c r="A440" i="2"/>
  <c r="A699" i="2"/>
  <c r="A701" i="2"/>
  <c r="A612" i="2"/>
  <c r="A480" i="2"/>
  <c r="A521" i="2"/>
  <c r="A343" i="2"/>
  <c r="A417" i="2"/>
  <c r="A608" i="2"/>
  <c r="A371" i="2"/>
  <c r="A264" i="2"/>
  <c r="A684" i="2"/>
  <c r="A951" i="2"/>
  <c r="A473" i="2"/>
  <c r="A637" i="2"/>
  <c r="A335" i="2"/>
  <c r="A534" i="2"/>
  <c r="A364" i="2"/>
  <c r="A93" i="2"/>
  <c r="A327" i="2"/>
  <c r="A422" i="2"/>
  <c r="A49" i="2"/>
  <c r="A954" i="2"/>
  <c r="A508" i="2"/>
  <c r="A816" i="2"/>
  <c r="A104" i="2"/>
  <c r="A100" i="2"/>
  <c r="A157" i="2"/>
  <c r="A801" i="2"/>
  <c r="A979" i="2"/>
  <c r="A189" i="2"/>
  <c r="A813" i="2"/>
  <c r="A326" i="2"/>
  <c r="A537" i="2"/>
  <c r="A821" i="2"/>
  <c r="A310" i="2"/>
  <c r="A124" i="2"/>
  <c r="A681" i="2"/>
  <c r="A794" i="2"/>
  <c r="A660" i="2"/>
  <c r="A787" i="2"/>
  <c r="A795" i="2"/>
  <c r="A278" i="2"/>
  <c r="A243" i="2"/>
  <c r="A30" i="2"/>
  <c r="A895" i="2"/>
  <c r="A672" i="2"/>
  <c r="A103" i="2"/>
  <c r="A790" i="2"/>
  <c r="A426" i="2"/>
  <c r="A314" i="2"/>
  <c r="A559" i="2"/>
  <c r="A621" i="2"/>
  <c r="A955" i="2"/>
  <c r="A27" i="2"/>
  <c r="A285" i="2"/>
  <c r="A381" i="2"/>
  <c r="A691" i="2"/>
  <c r="A620" i="2"/>
  <c r="A380" i="2"/>
  <c r="A924" i="2"/>
  <c r="A523" i="2"/>
  <c r="A396" i="2"/>
  <c r="A760" i="2"/>
  <c r="A290" i="2"/>
  <c r="A688" i="2"/>
  <c r="A804" i="2"/>
  <c r="A362" i="2"/>
  <c r="A82" i="2"/>
  <c r="A325" i="2"/>
  <c r="A109" i="2"/>
  <c r="A563" i="2"/>
  <c r="A119" i="2"/>
  <c r="A820" i="2"/>
  <c r="A137" i="2"/>
  <c r="A297" i="2"/>
  <c r="A582" i="2"/>
  <c r="A686" i="2"/>
  <c r="A561" i="2"/>
  <c r="A766" i="2"/>
  <c r="A237" i="2"/>
  <c r="A190" i="2"/>
  <c r="A544" i="2"/>
  <c r="A68" i="2"/>
  <c r="A629" i="2"/>
  <c r="A997" i="2"/>
  <c r="A210" i="2"/>
  <c r="A131" i="2"/>
  <c r="A762" i="2"/>
  <c r="A201" i="2"/>
  <c r="A60" i="2"/>
  <c r="A507" i="2"/>
  <c r="A545" i="2"/>
  <c r="A518" i="2"/>
  <c r="A962" i="2"/>
  <c r="A455" i="2"/>
  <c r="A247" i="2"/>
  <c r="A860" i="2"/>
  <c r="A444" i="2"/>
  <c r="A80" i="2"/>
  <c r="A543" i="2"/>
  <c r="A280" i="2"/>
  <c r="A483" i="2"/>
  <c r="A282" i="2"/>
  <c r="A706" i="2"/>
  <c r="A129" i="2"/>
  <c r="A351" i="2"/>
  <c r="A788" i="2"/>
  <c r="A156" i="2"/>
  <c r="A919" i="2"/>
  <c r="A367" i="2"/>
  <c r="G133" i="3"/>
  <c r="G134" i="3" s="1"/>
  <c r="G135" i="3" s="1"/>
  <c r="G136" i="3" s="1"/>
  <c r="G137" i="3" s="1"/>
  <c r="G126" i="3"/>
  <c r="H811" i="2" l="1"/>
  <c r="G889" i="2"/>
  <c r="E63" i="2"/>
  <c r="E135" i="2"/>
  <c r="H675" i="2"/>
  <c r="C353" i="2"/>
  <c r="G899" i="2"/>
  <c r="C675" i="2"/>
  <c r="H365" i="2"/>
  <c r="E203" i="2"/>
  <c r="F365" i="2"/>
  <c r="B811" i="2"/>
  <c r="E939" i="2"/>
  <c r="F408" i="2"/>
  <c r="B773" i="2"/>
  <c r="E173" i="2"/>
  <c r="E459" i="2"/>
  <c r="B635" i="2"/>
  <c r="G462" i="2"/>
  <c r="E191" i="2"/>
  <c r="B606" i="2"/>
  <c r="E841" i="2"/>
  <c r="C878" i="2"/>
  <c r="C640" i="2"/>
  <c r="C317" i="2"/>
  <c r="B268" i="2"/>
  <c r="B646" i="2"/>
  <c r="E811" i="2"/>
  <c r="F758" i="2"/>
  <c r="H195" i="2"/>
  <c r="F966" i="2"/>
  <c r="E630" i="2"/>
  <c r="F173" i="2"/>
  <c r="H268" i="2"/>
  <c r="F675" i="2"/>
  <c r="F630" i="2"/>
  <c r="C811" i="2"/>
  <c r="B145" i="2"/>
  <c r="E406" i="2"/>
  <c r="B408" i="2"/>
  <c r="H135" i="2"/>
  <c r="F881" i="2"/>
  <c r="B482" i="2"/>
  <c r="H695" i="2"/>
  <c r="C408" i="2"/>
  <c r="H881" i="2"/>
  <c r="H482" i="2"/>
  <c r="H203" i="2"/>
  <c r="F353" i="2"/>
  <c r="C966" i="2"/>
  <c r="H406" i="2"/>
  <c r="C773" i="2"/>
  <c r="B800" i="2"/>
  <c r="G675" i="2"/>
  <c r="G758" i="2"/>
  <c r="C195" i="2"/>
  <c r="D203" i="2"/>
  <c r="G353" i="2"/>
  <c r="H889" i="2"/>
  <c r="E966" i="2"/>
  <c r="C216" i="2"/>
  <c r="D773" i="2"/>
  <c r="G800" i="2"/>
  <c r="C459" i="2"/>
  <c r="H635" i="2"/>
  <c r="F191" i="2"/>
  <c r="H590" i="2"/>
  <c r="G746" i="2"/>
  <c r="B779" i="2"/>
  <c r="E669" i="2"/>
  <c r="G646" i="2"/>
  <c r="D751" i="2"/>
  <c r="B695" i="2"/>
  <c r="G937" i="2"/>
  <c r="E378" i="2"/>
  <c r="F434" i="2"/>
  <c r="B173" i="2"/>
  <c r="E881" i="2"/>
  <c r="C558" i="2"/>
  <c r="F657" i="2"/>
  <c r="B783" i="2"/>
  <c r="D558" i="2"/>
  <c r="H800" i="2"/>
  <c r="D482" i="2"/>
  <c r="E67" i="2"/>
  <c r="F645" i="2"/>
  <c r="B935" i="2"/>
  <c r="D365" i="2"/>
  <c r="B939" i="2"/>
  <c r="C378" i="2"/>
  <c r="D412" i="2"/>
  <c r="D434" i="2"/>
  <c r="F773" i="2"/>
  <c r="C94" i="2"/>
  <c r="C184" i="2"/>
  <c r="D811" i="2"/>
  <c r="F482" i="2"/>
  <c r="F67" i="2"/>
  <c r="B751" i="2"/>
  <c r="C935" i="2"/>
  <c r="C695" i="2"/>
  <c r="G365" i="2"/>
  <c r="C937" i="2"/>
  <c r="F889" i="2"/>
  <c r="H939" i="2"/>
  <c r="D378" i="2"/>
  <c r="F412" i="2"/>
  <c r="E434" i="2"/>
  <c r="D630" i="2"/>
  <c r="E94" i="2"/>
  <c r="C770" i="2"/>
  <c r="D184" i="2"/>
  <c r="B892" i="2"/>
  <c r="D86" i="2"/>
  <c r="C817" i="2"/>
  <c r="E195" i="2"/>
  <c r="B203" i="2"/>
  <c r="E645" i="2"/>
  <c r="G695" i="2"/>
  <c r="G783" i="2"/>
  <c r="F63" i="2"/>
  <c r="H899" i="2"/>
  <c r="B434" i="2"/>
  <c r="C469" i="2"/>
  <c r="E770" i="2"/>
  <c r="B63" i="2"/>
  <c r="G28" i="2"/>
  <c r="Y34" i="5" s="1"/>
  <c r="G38" i="2"/>
  <c r="G40" i="2"/>
  <c r="H52" i="2"/>
  <c r="F937" i="2"/>
  <c r="G94" i="2"/>
  <c r="G184" i="2"/>
  <c r="C86" i="2"/>
  <c r="G657" i="2"/>
  <c r="B52" i="2"/>
  <c r="G935" i="2"/>
  <c r="H868" i="2"/>
  <c r="D62" i="2"/>
  <c r="G378" i="2"/>
  <c r="G145" i="2"/>
  <c r="B311" i="2"/>
  <c r="D94" i="2"/>
  <c r="E671" i="2"/>
  <c r="E184" i="2"/>
  <c r="B86" i="2"/>
  <c r="D817" i="2"/>
  <c r="C657" i="2"/>
  <c r="B868" i="2"/>
  <c r="B889" i="2"/>
  <c r="G939" i="2"/>
  <c r="H783" i="2"/>
  <c r="D755" i="2"/>
  <c r="D145" i="2"/>
  <c r="D207" i="2"/>
  <c r="E412" i="2"/>
  <c r="B630" i="2"/>
  <c r="G135" i="2"/>
  <c r="D671" i="2"/>
  <c r="E800" i="2"/>
  <c r="H532" i="2"/>
  <c r="H86" i="2"/>
  <c r="F817" i="2"/>
  <c r="H758" i="2"/>
  <c r="H810" i="2"/>
  <c r="G645" i="2"/>
  <c r="C868" i="2"/>
  <c r="B353" i="2"/>
  <c r="D889" i="2"/>
  <c r="D939" i="2"/>
  <c r="F783" i="2"/>
  <c r="H755" i="2"/>
  <c r="D899" i="2"/>
  <c r="H216" i="2"/>
  <c r="G412" i="2"/>
  <c r="C202" i="2"/>
  <c r="B652" i="2"/>
  <c r="E773" i="2"/>
  <c r="C630" i="2"/>
  <c r="B469" i="2"/>
  <c r="C135" i="2"/>
  <c r="D770" i="2"/>
  <c r="C800" i="2"/>
  <c r="E43" i="2"/>
  <c r="D459" i="2"/>
  <c r="H809" i="2"/>
  <c r="D635" i="2"/>
  <c r="H994" i="2"/>
  <c r="E606" i="2"/>
  <c r="C590" i="2"/>
  <c r="H841" i="2"/>
  <c r="E746" i="2"/>
  <c r="C779" i="2"/>
  <c r="B669" i="2"/>
  <c r="H646" i="2"/>
  <c r="D892" i="2"/>
  <c r="E817" i="2"/>
  <c r="F195" i="2"/>
  <c r="D657" i="2"/>
  <c r="C645" i="2"/>
  <c r="G52" i="2"/>
  <c r="F935" i="2"/>
  <c r="F695" i="2"/>
  <c r="G62" i="2"/>
  <c r="F378" i="2"/>
  <c r="F145" i="2"/>
  <c r="C899" i="2"/>
  <c r="E408" i="2"/>
  <c r="E558" i="2"/>
  <c r="H434" i="2"/>
  <c r="G173" i="2"/>
  <c r="G311" i="2"/>
  <c r="B671" i="2"/>
  <c r="E583" i="2"/>
  <c r="G770" i="2"/>
  <c r="B184" i="2"/>
  <c r="E532" i="2"/>
  <c r="F583" i="2"/>
  <c r="C52" i="2"/>
  <c r="G583" i="2"/>
  <c r="F43" i="2"/>
  <c r="G42" i="2"/>
  <c r="D52" i="2"/>
  <c r="B937" i="2"/>
  <c r="F558" i="2"/>
  <c r="D583" i="2"/>
  <c r="G881" i="2"/>
  <c r="B43" i="2"/>
  <c r="E892" i="2"/>
  <c r="E482" i="2"/>
  <c r="F86" i="2"/>
  <c r="B675" i="2"/>
  <c r="G195" i="2"/>
  <c r="C203" i="2"/>
  <c r="B645" i="2"/>
  <c r="E751" i="2"/>
  <c r="E52" i="2"/>
  <c r="D935" i="2"/>
  <c r="D868" i="2"/>
  <c r="E695" i="2"/>
  <c r="B365" i="2"/>
  <c r="E937" i="2"/>
  <c r="H62" i="2"/>
  <c r="C783" i="2"/>
  <c r="H378" i="2"/>
  <c r="G63" i="2"/>
  <c r="E145" i="2"/>
  <c r="G408" i="2"/>
  <c r="G558" i="2"/>
  <c r="H412" i="2"/>
  <c r="D469" i="2"/>
  <c r="D311" i="2"/>
  <c r="F135" i="2"/>
  <c r="F94" i="2"/>
  <c r="F671" i="2"/>
  <c r="B583" i="2"/>
  <c r="B770" i="2"/>
  <c r="B881" i="2"/>
  <c r="F800" i="2"/>
  <c r="D532" i="2"/>
  <c r="H43" i="2"/>
  <c r="G892" i="2"/>
  <c r="G482" i="2"/>
  <c r="E86" i="2"/>
  <c r="G67" i="2"/>
  <c r="B195" i="2"/>
  <c r="E657" i="2"/>
  <c r="D645" i="2"/>
  <c r="F751" i="2"/>
  <c r="H935" i="2"/>
  <c r="E868" i="2"/>
  <c r="E353" i="2"/>
  <c r="E365" i="2"/>
  <c r="D937" i="2"/>
  <c r="C889" i="2"/>
  <c r="B62" i="2"/>
  <c r="D783" i="2"/>
  <c r="F755" i="2"/>
  <c r="H63" i="2"/>
  <c r="C207" i="2"/>
  <c r="B406" i="2"/>
  <c r="H408" i="2"/>
  <c r="B558" i="2"/>
  <c r="B412" i="2"/>
  <c r="H630" i="2"/>
  <c r="E469" i="2"/>
  <c r="H311" i="2"/>
  <c r="B135" i="2"/>
  <c r="H671" i="2"/>
  <c r="C583" i="2"/>
  <c r="H770" i="2"/>
  <c r="C881" i="2"/>
  <c r="F184" i="2"/>
  <c r="G532" i="2"/>
  <c r="C43" i="2"/>
  <c r="G44" i="2"/>
  <c r="C892" i="2"/>
  <c r="G817" i="2"/>
  <c r="H67" i="2"/>
  <c r="H657" i="2"/>
  <c r="H751" i="2"/>
  <c r="F830" i="2"/>
  <c r="B966" i="2"/>
  <c r="E62" i="2"/>
  <c r="B755" i="2"/>
  <c r="F207" i="2"/>
  <c r="H202" i="2"/>
  <c r="F652" i="2"/>
  <c r="F469" i="2"/>
  <c r="C311" i="2"/>
  <c r="G671" i="2"/>
  <c r="C532" i="2"/>
  <c r="G34" i="2"/>
  <c r="G32" i="2"/>
  <c r="Y39" i="5" s="1"/>
  <c r="G33" i="2"/>
  <c r="G36" i="2"/>
  <c r="G41" i="2"/>
  <c r="G35" i="2"/>
  <c r="G39" i="2"/>
  <c r="F892" i="2"/>
  <c r="B817" i="2"/>
  <c r="D67" i="2"/>
  <c r="F961" i="2"/>
  <c r="F203" i="2"/>
  <c r="C448" i="2"/>
  <c r="G751" i="2"/>
  <c r="E539" i="2"/>
  <c r="F868" i="2"/>
  <c r="F182" i="2"/>
  <c r="D830" i="2"/>
  <c r="C939" i="2"/>
  <c r="D966" i="2"/>
  <c r="F62" i="2"/>
  <c r="G755" i="2"/>
  <c r="C63" i="2"/>
  <c r="D846" i="2"/>
  <c r="E207" i="2"/>
  <c r="E899" i="2"/>
  <c r="D406" i="2"/>
  <c r="G216" i="2"/>
  <c r="C377" i="2"/>
  <c r="E202" i="2"/>
  <c r="G434" i="2"/>
  <c r="C652" i="2"/>
  <c r="G773" i="2"/>
  <c r="G469" i="2"/>
  <c r="C173" i="2"/>
  <c r="E311" i="2"/>
  <c r="B94" i="2"/>
  <c r="B532" i="2"/>
  <c r="G31" i="2"/>
  <c r="Y38" i="5" s="1"/>
  <c r="U10" i="5"/>
  <c r="U34" i="5"/>
  <c r="V38" i="5"/>
  <c r="U8" i="5"/>
  <c r="W7" i="5"/>
  <c r="U11" i="5"/>
  <c r="Y40" i="5"/>
  <c r="E767" i="2"/>
  <c r="G767" i="2"/>
  <c r="F767" i="2"/>
  <c r="C767" i="2"/>
  <c r="B767" i="2"/>
  <c r="H767" i="2"/>
  <c r="D767" i="2"/>
  <c r="E709" i="2"/>
  <c r="D709" i="2"/>
  <c r="C709" i="2"/>
  <c r="B709" i="2"/>
  <c r="F709" i="2"/>
  <c r="H709" i="2"/>
  <c r="G709" i="2"/>
  <c r="D139" i="2"/>
  <c r="F139" i="2"/>
  <c r="B139" i="2"/>
  <c r="G139" i="2"/>
  <c r="H139" i="2"/>
  <c r="E139" i="2"/>
  <c r="C139" i="2"/>
  <c r="D584" i="2"/>
  <c r="F584" i="2"/>
  <c r="E584" i="2"/>
  <c r="B584" i="2"/>
  <c r="C584" i="2"/>
  <c r="H584" i="2"/>
  <c r="G584" i="2"/>
  <c r="D493" i="2"/>
  <c r="C493" i="2"/>
  <c r="H493" i="2"/>
  <c r="E493" i="2"/>
  <c r="B493" i="2"/>
  <c r="G493" i="2"/>
  <c r="F493" i="2"/>
  <c r="F569" i="2"/>
  <c r="C569" i="2"/>
  <c r="B569" i="2"/>
  <c r="D569" i="2"/>
  <c r="E569" i="2"/>
  <c r="G569" i="2"/>
  <c r="H569" i="2"/>
  <c r="H244" i="2"/>
  <c r="F244" i="2"/>
  <c r="E244" i="2"/>
  <c r="C244" i="2"/>
  <c r="G244" i="2"/>
  <c r="B244" i="2"/>
  <c r="D244" i="2"/>
  <c r="V36" i="5"/>
  <c r="C847" i="2"/>
  <c r="F847" i="2"/>
  <c r="E847" i="2"/>
  <c r="B847" i="2"/>
  <c r="H847" i="2"/>
  <c r="G847" i="2"/>
  <c r="D847" i="2"/>
  <c r="D985" i="2"/>
  <c r="G985" i="2"/>
  <c r="H985" i="2"/>
  <c r="F985" i="2"/>
  <c r="E985" i="2"/>
  <c r="C985" i="2"/>
  <c r="B985" i="2"/>
  <c r="E898" i="2"/>
  <c r="D898" i="2"/>
  <c r="H898" i="2"/>
  <c r="G898" i="2"/>
  <c r="F898" i="2"/>
  <c r="C898" i="2"/>
  <c r="B898" i="2"/>
  <c r="D562" i="2"/>
  <c r="B562" i="2"/>
  <c r="G562" i="2"/>
  <c r="C562" i="2"/>
  <c r="F562" i="2"/>
  <c r="E562" i="2"/>
  <c r="H562" i="2"/>
  <c r="G149" i="2"/>
  <c r="B149" i="2"/>
  <c r="H149" i="2"/>
  <c r="E149" i="2"/>
  <c r="D149" i="2"/>
  <c r="C149" i="2"/>
  <c r="F149" i="2"/>
  <c r="H605" i="2"/>
  <c r="G605" i="2"/>
  <c r="C605" i="2"/>
  <c r="D605" i="2"/>
  <c r="F605" i="2"/>
  <c r="E605" i="2"/>
  <c r="B605" i="2"/>
  <c r="D401" i="2"/>
  <c r="B401" i="2"/>
  <c r="F401" i="2"/>
  <c r="H401" i="2"/>
  <c r="C401" i="2"/>
  <c r="E401" i="2"/>
  <c r="G401" i="2"/>
  <c r="H238" i="2"/>
  <c r="F238" i="2"/>
  <c r="D238" i="2"/>
  <c r="G238" i="2"/>
  <c r="E238" i="2"/>
  <c r="C238" i="2"/>
  <c r="B238" i="2"/>
  <c r="H272" i="2"/>
  <c r="E272" i="2"/>
  <c r="D272" i="2"/>
  <c r="C272" i="2"/>
  <c r="G272" i="2"/>
  <c r="F272" i="2"/>
  <c r="B272" i="2"/>
  <c r="G502" i="2"/>
  <c r="E502" i="2"/>
  <c r="C502" i="2"/>
  <c r="B502" i="2"/>
  <c r="H502" i="2"/>
  <c r="F502" i="2"/>
  <c r="D502" i="2"/>
  <c r="G176" i="2"/>
  <c r="D176" i="2"/>
  <c r="B176" i="2"/>
  <c r="C176" i="2"/>
  <c r="H176" i="2"/>
  <c r="F176" i="2"/>
  <c r="E176" i="2"/>
  <c r="D490" i="2"/>
  <c r="H490" i="2"/>
  <c r="E490" i="2"/>
  <c r="C490" i="2"/>
  <c r="B490" i="2"/>
  <c r="G490" i="2"/>
  <c r="F490" i="2"/>
  <c r="D601" i="2"/>
  <c r="H601" i="2"/>
  <c r="E601" i="2"/>
  <c r="F601" i="2"/>
  <c r="C601" i="2"/>
  <c r="B601" i="2"/>
  <c r="G601" i="2"/>
  <c r="H222" i="2"/>
  <c r="D222" i="2"/>
  <c r="C222" i="2"/>
  <c r="B222" i="2"/>
  <c r="E222" i="2"/>
  <c r="F222" i="2"/>
  <c r="G222" i="2"/>
  <c r="B279" i="2"/>
  <c r="G279" i="2"/>
  <c r="F279" i="2"/>
  <c r="E279" i="2"/>
  <c r="C279" i="2"/>
  <c r="H279" i="2"/>
  <c r="D279" i="2"/>
  <c r="C141" i="2"/>
  <c r="G141" i="2"/>
  <c r="B141" i="2"/>
  <c r="H141" i="2"/>
  <c r="F141" i="2"/>
  <c r="E141" i="2"/>
  <c r="D141" i="2"/>
  <c r="D339" i="2"/>
  <c r="H339" i="2"/>
  <c r="G339" i="2"/>
  <c r="E339" i="2"/>
  <c r="B339" i="2"/>
  <c r="C339" i="2"/>
  <c r="F339" i="2"/>
  <c r="E682" i="2"/>
  <c r="F682" i="2"/>
  <c r="D682" i="2"/>
  <c r="B682" i="2"/>
  <c r="H682" i="2"/>
  <c r="G682" i="2"/>
  <c r="C682" i="2"/>
  <c r="C807" i="2"/>
  <c r="E807" i="2"/>
  <c r="G807" i="2"/>
  <c r="H807" i="2"/>
  <c r="F807" i="2"/>
  <c r="D807" i="2"/>
  <c r="B807" i="2"/>
  <c r="C252" i="2"/>
  <c r="B252" i="2"/>
  <c r="H252" i="2"/>
  <c r="F252" i="2"/>
  <c r="D252" i="2"/>
  <c r="E252" i="2"/>
  <c r="G252" i="2"/>
  <c r="E383" i="2"/>
  <c r="C383" i="2"/>
  <c r="F383" i="2"/>
  <c r="H383" i="2"/>
  <c r="D383" i="2"/>
  <c r="G383" i="2"/>
  <c r="B383" i="2"/>
  <c r="H748" i="2"/>
  <c r="G748" i="2"/>
  <c r="E748" i="2"/>
  <c r="D748" i="2"/>
  <c r="C748" i="2"/>
  <c r="F748" i="2"/>
  <c r="B748" i="2"/>
  <c r="G815" i="2"/>
  <c r="B815" i="2"/>
  <c r="C815" i="2"/>
  <c r="H815" i="2"/>
  <c r="E815" i="2"/>
  <c r="D815" i="2"/>
  <c r="F815" i="2"/>
  <c r="C435" i="2"/>
  <c r="B435" i="2"/>
  <c r="F435" i="2"/>
  <c r="D435" i="2"/>
  <c r="H435" i="2"/>
  <c r="G435" i="2"/>
  <c r="E435" i="2"/>
  <c r="C678" i="2"/>
  <c r="H678" i="2"/>
  <c r="E678" i="2"/>
  <c r="B678" i="2"/>
  <c r="F678" i="2"/>
  <c r="G678" i="2"/>
  <c r="D678" i="2"/>
  <c r="G356" i="2"/>
  <c r="D356" i="2"/>
  <c r="E356" i="2"/>
  <c r="C356" i="2"/>
  <c r="F356" i="2"/>
  <c r="H356" i="2"/>
  <c r="B356" i="2"/>
  <c r="X38" i="5"/>
  <c r="G284" i="2"/>
  <c r="D284" i="2"/>
  <c r="F284" i="2"/>
  <c r="C284" i="2"/>
  <c r="E284" i="2"/>
  <c r="H284" i="2"/>
  <c r="B284" i="2"/>
  <c r="G83" i="2"/>
  <c r="F83" i="2"/>
  <c r="H83" i="2"/>
  <c r="E83" i="2"/>
  <c r="D83" i="2"/>
  <c r="B83" i="2"/>
  <c r="C83" i="2"/>
  <c r="E496" i="2"/>
  <c r="H496" i="2"/>
  <c r="F496" i="2"/>
  <c r="B496" i="2"/>
  <c r="C496" i="2"/>
  <c r="G496" i="2"/>
  <c r="D496" i="2"/>
  <c r="B936" i="2"/>
  <c r="E936" i="2"/>
  <c r="D936" i="2"/>
  <c r="H936" i="2"/>
  <c r="C936" i="2"/>
  <c r="G936" i="2"/>
  <c r="F936" i="2"/>
  <c r="F566" i="2"/>
  <c r="E566" i="2"/>
  <c r="H566" i="2"/>
  <c r="B566" i="2"/>
  <c r="G566" i="2"/>
  <c r="D566" i="2"/>
  <c r="C566" i="2"/>
  <c r="G71" i="2"/>
  <c r="F71" i="2"/>
  <c r="E71" i="2"/>
  <c r="B71" i="2"/>
  <c r="D71" i="2"/>
  <c r="C71" i="2"/>
  <c r="H71" i="2"/>
  <c r="W10" i="5"/>
  <c r="X8" i="5"/>
  <c r="AE7" i="5"/>
  <c r="X9" i="5"/>
  <c r="X34" i="5"/>
  <c r="X40" i="5"/>
  <c r="F919" i="2"/>
  <c r="E919" i="2"/>
  <c r="D919" i="2"/>
  <c r="G919" i="2"/>
  <c r="C919" i="2"/>
  <c r="H919" i="2"/>
  <c r="B919" i="2"/>
  <c r="D280" i="2"/>
  <c r="C280" i="2"/>
  <c r="H280" i="2"/>
  <c r="E280" i="2"/>
  <c r="G280" i="2"/>
  <c r="B280" i="2"/>
  <c r="F280" i="2"/>
  <c r="C518" i="2"/>
  <c r="H518" i="2"/>
  <c r="F518" i="2"/>
  <c r="E518" i="2"/>
  <c r="B518" i="2"/>
  <c r="G518" i="2"/>
  <c r="D518" i="2"/>
  <c r="G997" i="2"/>
  <c r="C997" i="2"/>
  <c r="F997" i="2"/>
  <c r="E997" i="2"/>
  <c r="H997" i="2"/>
  <c r="D997" i="2"/>
  <c r="B997" i="2"/>
  <c r="E686" i="2"/>
  <c r="C686" i="2"/>
  <c r="B686" i="2"/>
  <c r="G686" i="2"/>
  <c r="D686" i="2"/>
  <c r="H686" i="2"/>
  <c r="F686" i="2"/>
  <c r="G325" i="2"/>
  <c r="C325" i="2"/>
  <c r="E325" i="2"/>
  <c r="D325" i="2"/>
  <c r="F325" i="2"/>
  <c r="H325" i="2"/>
  <c r="B325" i="2"/>
  <c r="E523" i="2"/>
  <c r="D523" i="2"/>
  <c r="C523" i="2"/>
  <c r="H523" i="2"/>
  <c r="B523" i="2"/>
  <c r="G523" i="2"/>
  <c r="F523" i="2"/>
  <c r="B955" i="2"/>
  <c r="H955" i="2"/>
  <c r="C955" i="2"/>
  <c r="D955" i="2"/>
  <c r="G955" i="2"/>
  <c r="E955" i="2"/>
  <c r="F955" i="2"/>
  <c r="G895" i="2"/>
  <c r="D895" i="2"/>
  <c r="C895" i="2"/>
  <c r="B895" i="2"/>
  <c r="F895" i="2"/>
  <c r="E895" i="2"/>
  <c r="H895" i="2"/>
  <c r="B681" i="2"/>
  <c r="H681" i="2"/>
  <c r="E681" i="2"/>
  <c r="C681" i="2"/>
  <c r="D681" i="2"/>
  <c r="G681" i="2"/>
  <c r="F681" i="2"/>
  <c r="H979" i="2"/>
  <c r="F979" i="2"/>
  <c r="D979" i="2"/>
  <c r="C979" i="2"/>
  <c r="B979" i="2"/>
  <c r="E979" i="2"/>
  <c r="G979" i="2"/>
  <c r="C49" i="2"/>
  <c r="E49" i="2"/>
  <c r="B49" i="2"/>
  <c r="F49" i="2"/>
  <c r="H49" i="2"/>
  <c r="G49" i="2"/>
  <c r="D49" i="2"/>
  <c r="B473" i="2"/>
  <c r="G473" i="2"/>
  <c r="F473" i="2"/>
  <c r="E473" i="2"/>
  <c r="H473" i="2"/>
  <c r="C473" i="2"/>
  <c r="D473" i="2"/>
  <c r="F521" i="2"/>
  <c r="B521" i="2"/>
  <c r="E521" i="2"/>
  <c r="D521" i="2"/>
  <c r="H521" i="2"/>
  <c r="G521" i="2"/>
  <c r="C521" i="2"/>
  <c r="D622" i="2"/>
  <c r="G622" i="2"/>
  <c r="F622" i="2"/>
  <c r="C622" i="2"/>
  <c r="B622" i="2"/>
  <c r="H622" i="2"/>
  <c r="E622" i="2"/>
  <c r="E234" i="2"/>
  <c r="C234" i="2"/>
  <c r="B234" i="2"/>
  <c r="H234" i="2"/>
  <c r="F234" i="2"/>
  <c r="D234" i="2"/>
  <c r="G234" i="2"/>
  <c r="G291" i="2"/>
  <c r="E291" i="2"/>
  <c r="D291" i="2"/>
  <c r="C291" i="2"/>
  <c r="F291" i="2"/>
  <c r="H291" i="2"/>
  <c r="B291" i="2"/>
  <c r="B980" i="2"/>
  <c r="E980" i="2"/>
  <c r="C980" i="2"/>
  <c r="G980" i="2"/>
  <c r="F980" i="2"/>
  <c r="D980" i="2"/>
  <c r="H980" i="2"/>
  <c r="E711" i="2"/>
  <c r="G711" i="2"/>
  <c r="C711" i="2"/>
  <c r="H711" i="2"/>
  <c r="F711" i="2"/>
  <c r="D711" i="2"/>
  <c r="B711" i="2"/>
  <c r="C161" i="2"/>
  <c r="B161" i="2"/>
  <c r="E161" i="2"/>
  <c r="D161" i="2"/>
  <c r="G161" i="2"/>
  <c r="F161" i="2"/>
  <c r="H161" i="2"/>
  <c r="D965" i="2"/>
  <c r="C965" i="2"/>
  <c r="B965" i="2"/>
  <c r="G965" i="2"/>
  <c r="H965" i="2"/>
  <c r="F965" i="2"/>
  <c r="E965" i="2"/>
  <c r="F666" i="2"/>
  <c r="E666" i="2"/>
  <c r="D666" i="2"/>
  <c r="G666" i="2"/>
  <c r="B666" i="2"/>
  <c r="H666" i="2"/>
  <c r="C666" i="2"/>
  <c r="C926" i="2"/>
  <c r="H926" i="2"/>
  <c r="D926" i="2"/>
  <c r="B926" i="2"/>
  <c r="E926" i="2"/>
  <c r="G926" i="2"/>
  <c r="F926" i="2"/>
  <c r="B188" i="2"/>
  <c r="H188" i="2"/>
  <c r="G188" i="2"/>
  <c r="D188" i="2"/>
  <c r="F188" i="2"/>
  <c r="E188" i="2"/>
  <c r="C188" i="2"/>
  <c r="H893" i="2"/>
  <c r="E893" i="2"/>
  <c r="B893" i="2"/>
  <c r="G893" i="2"/>
  <c r="D893" i="2"/>
  <c r="C893" i="2"/>
  <c r="F893" i="2"/>
  <c r="G834" i="2"/>
  <c r="C834" i="2"/>
  <c r="E834" i="2"/>
  <c r="D834" i="2"/>
  <c r="H834" i="2"/>
  <c r="F834" i="2"/>
  <c r="B834" i="2"/>
  <c r="C525" i="2"/>
  <c r="H525" i="2"/>
  <c r="G525" i="2"/>
  <c r="B525" i="2"/>
  <c r="E525" i="2"/>
  <c r="D525" i="2"/>
  <c r="F525" i="2"/>
  <c r="C867" i="2"/>
  <c r="H867" i="2"/>
  <c r="F867" i="2"/>
  <c r="B867" i="2"/>
  <c r="G867" i="2"/>
  <c r="D867" i="2"/>
  <c r="E867" i="2"/>
  <c r="D998" i="2"/>
  <c r="B998" i="2"/>
  <c r="C998" i="2"/>
  <c r="E998" i="2"/>
  <c r="G998" i="2"/>
  <c r="F998" i="2"/>
  <c r="H998" i="2"/>
  <c r="G930" i="2"/>
  <c r="D930" i="2"/>
  <c r="H930" i="2"/>
  <c r="C930" i="2"/>
  <c r="B930" i="2"/>
  <c r="F930" i="2"/>
  <c r="E930" i="2"/>
  <c r="B835" i="2"/>
  <c r="C835" i="2"/>
  <c r="G835" i="2"/>
  <c r="F835" i="2"/>
  <c r="E835" i="2"/>
  <c r="D835" i="2"/>
  <c r="H835" i="2"/>
  <c r="C318" i="2"/>
  <c r="E318" i="2"/>
  <c r="D318" i="2"/>
  <c r="G318" i="2"/>
  <c r="F318" i="2"/>
  <c r="B318" i="2"/>
  <c r="H318" i="2"/>
  <c r="F546" i="2"/>
  <c r="E546" i="2"/>
  <c r="H546" i="2"/>
  <c r="B546" i="2"/>
  <c r="G546" i="2"/>
  <c r="D546" i="2"/>
  <c r="C546" i="2"/>
  <c r="F281" i="2"/>
  <c r="D281" i="2"/>
  <c r="C281" i="2"/>
  <c r="B281" i="2"/>
  <c r="H281" i="2"/>
  <c r="E281" i="2"/>
  <c r="G281" i="2"/>
  <c r="H59" i="2"/>
  <c r="G59" i="2"/>
  <c r="E59" i="2"/>
  <c r="F59" i="2"/>
  <c r="B59" i="2"/>
  <c r="D59" i="2"/>
  <c r="C59" i="2"/>
  <c r="D586" i="2"/>
  <c r="C586" i="2"/>
  <c r="F586" i="2"/>
  <c r="G586" i="2"/>
  <c r="B586" i="2"/>
  <c r="H586" i="2"/>
  <c r="E586" i="2"/>
  <c r="G567" i="2"/>
  <c r="F567" i="2"/>
  <c r="E567" i="2"/>
  <c r="C567" i="2"/>
  <c r="H567" i="2"/>
  <c r="B567" i="2"/>
  <c r="D567" i="2"/>
  <c r="F120" i="2"/>
  <c r="E120" i="2"/>
  <c r="G120" i="2"/>
  <c r="D120" i="2"/>
  <c r="B120" i="2"/>
  <c r="H120" i="2"/>
  <c r="C120" i="2"/>
  <c r="H240" i="2"/>
  <c r="F240" i="2"/>
  <c r="E240" i="2"/>
  <c r="G240" i="2"/>
  <c r="B240" i="2"/>
  <c r="D240" i="2"/>
  <c r="C240" i="2"/>
  <c r="F945" i="2"/>
  <c r="E945" i="2"/>
  <c r="D945" i="2"/>
  <c r="H945" i="2"/>
  <c r="G945" i="2"/>
  <c r="C945" i="2"/>
  <c r="B945" i="2"/>
  <c r="H560" i="2"/>
  <c r="D560" i="2"/>
  <c r="E560" i="2"/>
  <c r="C560" i="2"/>
  <c r="B560" i="2"/>
  <c r="G560" i="2"/>
  <c r="F560" i="2"/>
  <c r="D639" i="2"/>
  <c r="C639" i="2"/>
  <c r="E639" i="2"/>
  <c r="B639" i="2"/>
  <c r="H639" i="2"/>
  <c r="F639" i="2"/>
  <c r="G639" i="2"/>
  <c r="F72" i="2"/>
  <c r="E72" i="2"/>
  <c r="G72" i="2"/>
  <c r="D72" i="2"/>
  <c r="H72" i="2"/>
  <c r="B72" i="2"/>
  <c r="C72" i="2"/>
  <c r="B300" i="2"/>
  <c r="G300" i="2"/>
  <c r="D300" i="2"/>
  <c r="H300" i="2"/>
  <c r="F300" i="2"/>
  <c r="C300" i="2"/>
  <c r="E300" i="2"/>
  <c r="H301" i="2"/>
  <c r="B301" i="2"/>
  <c r="G301" i="2"/>
  <c r="C301" i="2"/>
  <c r="D301" i="2"/>
  <c r="F301" i="2"/>
  <c r="E301" i="2"/>
  <c r="G740" i="2"/>
  <c r="E740" i="2"/>
  <c r="D740" i="2"/>
  <c r="C740" i="2"/>
  <c r="H740" i="2"/>
  <c r="F740" i="2"/>
  <c r="B740" i="2"/>
  <c r="C703" i="2"/>
  <c r="B703" i="2"/>
  <c r="H703" i="2"/>
  <c r="G703" i="2"/>
  <c r="F703" i="2"/>
  <c r="D703" i="2"/>
  <c r="E703" i="2"/>
  <c r="W6" i="5"/>
  <c r="U40" i="5"/>
  <c r="X11" i="5"/>
  <c r="V11" i="5"/>
  <c r="U39" i="5"/>
  <c r="W11" i="5"/>
  <c r="D774" i="2"/>
  <c r="B774" i="2"/>
  <c r="G774" i="2"/>
  <c r="H774" i="2"/>
  <c r="F774" i="2"/>
  <c r="E774" i="2"/>
  <c r="C774" i="2"/>
  <c r="H79" i="2"/>
  <c r="G79" i="2"/>
  <c r="F79" i="2"/>
  <c r="E79" i="2"/>
  <c r="C79" i="2"/>
  <c r="B79" i="2"/>
  <c r="D79" i="2"/>
  <c r="E88" i="2"/>
  <c r="G88" i="2"/>
  <c r="D88" i="2"/>
  <c r="C88" i="2"/>
  <c r="B88" i="2"/>
  <c r="H88" i="2"/>
  <c r="F88" i="2"/>
  <c r="G142" i="2"/>
  <c r="E142" i="2"/>
  <c r="C142" i="2"/>
  <c r="F142" i="2"/>
  <c r="D142" i="2"/>
  <c r="H142" i="2"/>
  <c r="B142" i="2"/>
  <c r="G597" i="2"/>
  <c r="C597" i="2"/>
  <c r="B597" i="2"/>
  <c r="H597" i="2"/>
  <c r="D597" i="2"/>
  <c r="F597" i="2"/>
  <c r="E597" i="2"/>
  <c r="F825" i="2"/>
  <c r="E825" i="2"/>
  <c r="G825" i="2"/>
  <c r="B825" i="2"/>
  <c r="D825" i="2"/>
  <c r="C825" i="2"/>
  <c r="H825" i="2"/>
  <c r="G29" i="2"/>
  <c r="Y36" i="5" s="1"/>
  <c r="G368" i="2"/>
  <c r="H368" i="2"/>
  <c r="E368" i="2"/>
  <c r="D368" i="2"/>
  <c r="C368" i="2"/>
  <c r="F368" i="2"/>
  <c r="B368" i="2"/>
  <c r="F618" i="2"/>
  <c r="C618" i="2"/>
  <c r="B618" i="2"/>
  <c r="H618" i="2"/>
  <c r="E618" i="2"/>
  <c r="D618" i="2"/>
  <c r="G618" i="2"/>
  <c r="C698" i="2"/>
  <c r="H698" i="2"/>
  <c r="F698" i="2"/>
  <c r="E698" i="2"/>
  <c r="D698" i="2"/>
  <c r="G698" i="2"/>
  <c r="B698" i="2"/>
  <c r="B960" i="2"/>
  <c r="E960" i="2"/>
  <c r="D960" i="2"/>
  <c r="C960" i="2"/>
  <c r="H960" i="2"/>
  <c r="G960" i="2"/>
  <c r="F960" i="2"/>
  <c r="C375" i="2"/>
  <c r="H375" i="2"/>
  <c r="D375" i="2"/>
  <c r="B375" i="2"/>
  <c r="G375" i="2"/>
  <c r="F375" i="2"/>
  <c r="E375" i="2"/>
  <c r="D54" i="2"/>
  <c r="H54" i="2"/>
  <c r="F54" i="2"/>
  <c r="E54" i="2"/>
  <c r="B54" i="2"/>
  <c r="G54" i="2"/>
  <c r="C54" i="2"/>
  <c r="D217" i="2"/>
  <c r="G217" i="2"/>
  <c r="C217" i="2"/>
  <c r="B217" i="2"/>
  <c r="H217" i="2"/>
  <c r="F217" i="2"/>
  <c r="E217" i="2"/>
  <c r="H969" i="2"/>
  <c r="E969" i="2"/>
  <c r="G969" i="2"/>
  <c r="D969" i="2"/>
  <c r="C969" i="2"/>
  <c r="B969" i="2"/>
  <c r="F969" i="2"/>
  <c r="B361" i="2"/>
  <c r="E361" i="2"/>
  <c r="G361" i="2"/>
  <c r="H361" i="2"/>
  <c r="F361" i="2"/>
  <c r="D361" i="2"/>
  <c r="C361" i="2"/>
  <c r="E200" i="2"/>
  <c r="G200" i="2"/>
  <c r="D200" i="2"/>
  <c r="C200" i="2"/>
  <c r="B200" i="2"/>
  <c r="H200" i="2"/>
  <c r="F200" i="2"/>
  <c r="AE38" i="5"/>
  <c r="D260" i="2"/>
  <c r="H260" i="2"/>
  <c r="E260" i="2"/>
  <c r="C260" i="2"/>
  <c r="G260" i="2"/>
  <c r="F260" i="2"/>
  <c r="B260" i="2"/>
  <c r="F950" i="2"/>
  <c r="B950" i="2"/>
  <c r="D950" i="2"/>
  <c r="C950" i="2"/>
  <c r="E950" i="2"/>
  <c r="G950" i="2"/>
  <c r="H950" i="2"/>
  <c r="E382" i="2"/>
  <c r="D382" i="2"/>
  <c r="H382" i="2"/>
  <c r="G382" i="2"/>
  <c r="F382" i="2"/>
  <c r="C382" i="2"/>
  <c r="B382" i="2"/>
  <c r="H626" i="2"/>
  <c r="E626" i="2"/>
  <c r="D626" i="2"/>
  <c r="G626" i="2"/>
  <c r="C626" i="2"/>
  <c r="B626" i="2"/>
  <c r="F626" i="2"/>
  <c r="F214" i="2"/>
  <c r="D214" i="2"/>
  <c r="G214" i="2"/>
  <c r="E214" i="2"/>
  <c r="C214" i="2"/>
  <c r="B214" i="2"/>
  <c r="H214" i="2"/>
  <c r="D647" i="2"/>
  <c r="C647" i="2"/>
  <c r="E647" i="2"/>
  <c r="B647" i="2"/>
  <c r="F647" i="2"/>
  <c r="G647" i="2"/>
  <c r="H647" i="2"/>
  <c r="C989" i="2"/>
  <c r="B989" i="2"/>
  <c r="E989" i="2"/>
  <c r="G989" i="2"/>
  <c r="H989" i="2"/>
  <c r="F989" i="2"/>
  <c r="D989" i="2"/>
  <c r="E946" i="2"/>
  <c r="B946" i="2"/>
  <c r="G946" i="2"/>
  <c r="C946" i="2"/>
  <c r="H946" i="2"/>
  <c r="D946" i="2"/>
  <c r="F946" i="2"/>
  <c r="D574" i="2"/>
  <c r="G574" i="2"/>
  <c r="B574" i="2"/>
  <c r="E574" i="2"/>
  <c r="F574" i="2"/>
  <c r="C574" i="2"/>
  <c r="H574" i="2"/>
  <c r="H499" i="2"/>
  <c r="C499" i="2"/>
  <c r="G499" i="2"/>
  <c r="F499" i="2"/>
  <c r="E499" i="2"/>
  <c r="B499" i="2"/>
  <c r="D499" i="2"/>
  <c r="G991" i="2"/>
  <c r="B991" i="2"/>
  <c r="F991" i="2"/>
  <c r="E991" i="2"/>
  <c r="H991" i="2"/>
  <c r="D991" i="2"/>
  <c r="C991" i="2"/>
  <c r="E942" i="2"/>
  <c r="G942" i="2"/>
  <c r="F942" i="2"/>
  <c r="D942" i="2"/>
  <c r="C942" i="2"/>
  <c r="H942" i="2"/>
  <c r="B942" i="2"/>
  <c r="D156" i="2"/>
  <c r="B156" i="2"/>
  <c r="H156" i="2"/>
  <c r="F156" i="2"/>
  <c r="E156" i="2"/>
  <c r="C156" i="2"/>
  <c r="G156" i="2"/>
  <c r="D543" i="2"/>
  <c r="C543" i="2"/>
  <c r="H543" i="2"/>
  <c r="B543" i="2"/>
  <c r="G543" i="2"/>
  <c r="F543" i="2"/>
  <c r="E543" i="2"/>
  <c r="D545" i="2"/>
  <c r="C545" i="2"/>
  <c r="H545" i="2"/>
  <c r="G545" i="2"/>
  <c r="F545" i="2"/>
  <c r="B545" i="2"/>
  <c r="E545" i="2"/>
  <c r="F629" i="2"/>
  <c r="E629" i="2"/>
  <c r="C629" i="2"/>
  <c r="H629" i="2"/>
  <c r="D629" i="2"/>
  <c r="B629" i="2"/>
  <c r="G629" i="2"/>
  <c r="G582" i="2"/>
  <c r="H582" i="2"/>
  <c r="F582" i="2"/>
  <c r="C582" i="2"/>
  <c r="B582" i="2"/>
  <c r="E582" i="2"/>
  <c r="D582" i="2"/>
  <c r="F82" i="2"/>
  <c r="D82" i="2"/>
  <c r="B82" i="2"/>
  <c r="G82" i="2"/>
  <c r="E82" i="2"/>
  <c r="C82" i="2"/>
  <c r="H82" i="2"/>
  <c r="H924" i="2"/>
  <c r="C924" i="2"/>
  <c r="G924" i="2"/>
  <c r="E924" i="2"/>
  <c r="B924" i="2"/>
  <c r="F924" i="2"/>
  <c r="D924" i="2"/>
  <c r="D621" i="2"/>
  <c r="B621" i="2"/>
  <c r="F621" i="2"/>
  <c r="E621" i="2"/>
  <c r="H621" i="2"/>
  <c r="G621" i="2"/>
  <c r="C621" i="2"/>
  <c r="F30" i="2"/>
  <c r="AE37" i="5" s="1"/>
  <c r="E30" i="2"/>
  <c r="X37" i="5" s="1"/>
  <c r="B30" i="2"/>
  <c r="U37" i="5" s="1"/>
  <c r="H30" i="2"/>
  <c r="D30" i="2"/>
  <c r="C30" i="2"/>
  <c r="V37" i="5" s="1"/>
  <c r="H124" i="2"/>
  <c r="F124" i="2"/>
  <c r="E124" i="2"/>
  <c r="D124" i="2"/>
  <c r="G124" i="2"/>
  <c r="B124" i="2"/>
  <c r="C124" i="2"/>
  <c r="G801" i="2"/>
  <c r="F801" i="2"/>
  <c r="C801" i="2"/>
  <c r="B801" i="2"/>
  <c r="E801" i="2"/>
  <c r="H801" i="2"/>
  <c r="D801" i="2"/>
  <c r="F422" i="2"/>
  <c r="G422" i="2"/>
  <c r="E422" i="2"/>
  <c r="H422" i="2"/>
  <c r="D422" i="2"/>
  <c r="B422" i="2"/>
  <c r="C422" i="2"/>
  <c r="G951" i="2"/>
  <c r="H951" i="2"/>
  <c r="B951" i="2"/>
  <c r="F951" i="2"/>
  <c r="E951" i="2"/>
  <c r="D951" i="2"/>
  <c r="C951" i="2"/>
  <c r="B480" i="2"/>
  <c r="C480" i="2"/>
  <c r="H480" i="2"/>
  <c r="E480" i="2"/>
  <c r="D480" i="2"/>
  <c r="G480" i="2"/>
  <c r="F480" i="2"/>
  <c r="E333" i="2"/>
  <c r="D333" i="2"/>
  <c r="F333" i="2"/>
  <c r="G333" i="2"/>
  <c r="B333" i="2"/>
  <c r="H333" i="2"/>
  <c r="C333" i="2"/>
  <c r="D304" i="2"/>
  <c r="C304" i="2"/>
  <c r="G304" i="2"/>
  <c r="F304" i="2"/>
  <c r="H304" i="2"/>
  <c r="E304" i="2"/>
  <c r="B304" i="2"/>
  <c r="H837" i="2"/>
  <c r="G837" i="2"/>
  <c r="F837" i="2"/>
  <c r="E837" i="2"/>
  <c r="B837" i="2"/>
  <c r="D837" i="2"/>
  <c r="C837" i="2"/>
  <c r="B577" i="2"/>
  <c r="E577" i="2"/>
  <c r="C577" i="2"/>
  <c r="D577" i="2"/>
  <c r="H577" i="2"/>
  <c r="G577" i="2"/>
  <c r="F577" i="2"/>
  <c r="B51" i="2"/>
  <c r="E51" i="2"/>
  <c r="F51" i="2"/>
  <c r="D51" i="2"/>
  <c r="C51" i="2"/>
  <c r="H51" i="2"/>
  <c r="G51" i="2"/>
  <c r="D798" i="2"/>
  <c r="G798" i="2"/>
  <c r="H798" i="2"/>
  <c r="B798" i="2"/>
  <c r="C798" i="2"/>
  <c r="F798" i="2"/>
  <c r="E798" i="2"/>
  <c r="F389" i="2"/>
  <c r="C389" i="2"/>
  <c r="B389" i="2"/>
  <c r="H389" i="2"/>
  <c r="G389" i="2"/>
  <c r="E389" i="2"/>
  <c r="D389" i="2"/>
  <c r="F211" i="2"/>
  <c r="C211" i="2"/>
  <c r="H211" i="2"/>
  <c r="E211" i="2"/>
  <c r="D211" i="2"/>
  <c r="B211" i="2"/>
  <c r="G211" i="2"/>
  <c r="D398" i="2"/>
  <c r="B398" i="2"/>
  <c r="F398" i="2"/>
  <c r="H398" i="2"/>
  <c r="G398" i="2"/>
  <c r="E398" i="2"/>
  <c r="C398" i="2"/>
  <c r="G73" i="2"/>
  <c r="D73" i="2"/>
  <c r="C73" i="2"/>
  <c r="F73" i="2"/>
  <c r="H73" i="2"/>
  <c r="E73" i="2"/>
  <c r="B73" i="2"/>
  <c r="H146" i="2"/>
  <c r="C146" i="2"/>
  <c r="F146" i="2"/>
  <c r="D146" i="2"/>
  <c r="G146" i="2"/>
  <c r="E146" i="2"/>
  <c r="B146" i="2"/>
  <c r="F162" i="2"/>
  <c r="D162" i="2"/>
  <c r="G162" i="2"/>
  <c r="E162" i="2"/>
  <c r="B162" i="2"/>
  <c r="H162" i="2"/>
  <c r="C162" i="2"/>
  <c r="D511" i="2"/>
  <c r="C511" i="2"/>
  <c r="H511" i="2"/>
  <c r="G511" i="2"/>
  <c r="F511" i="2"/>
  <c r="E511" i="2"/>
  <c r="B511" i="2"/>
  <c r="F414" i="2"/>
  <c r="G414" i="2"/>
  <c r="E414" i="2"/>
  <c r="C414" i="2"/>
  <c r="D414" i="2"/>
  <c r="B414" i="2"/>
  <c r="H414" i="2"/>
  <c r="E292" i="2"/>
  <c r="H292" i="2"/>
  <c r="G292" i="2"/>
  <c r="C292" i="2"/>
  <c r="B292" i="2"/>
  <c r="F292" i="2"/>
  <c r="D292" i="2"/>
  <c r="H209" i="2"/>
  <c r="F209" i="2"/>
  <c r="E209" i="2"/>
  <c r="D209" i="2"/>
  <c r="G209" i="2"/>
  <c r="C209" i="2"/>
  <c r="B209" i="2"/>
  <c r="F349" i="2"/>
  <c r="H349" i="2"/>
  <c r="G349" i="2"/>
  <c r="C349" i="2"/>
  <c r="E349" i="2"/>
  <c r="D349" i="2"/>
  <c r="B349" i="2"/>
  <c r="C909" i="2"/>
  <c r="E909" i="2"/>
  <c r="G909" i="2"/>
  <c r="H909" i="2"/>
  <c r="F909" i="2"/>
  <c r="D909" i="2"/>
  <c r="B909" i="2"/>
  <c r="F413" i="2"/>
  <c r="D413" i="2"/>
  <c r="E413" i="2"/>
  <c r="C413" i="2"/>
  <c r="H413" i="2"/>
  <c r="G413" i="2"/>
  <c r="B413" i="2"/>
  <c r="D443" i="2"/>
  <c r="H443" i="2"/>
  <c r="G443" i="2"/>
  <c r="F443" i="2"/>
  <c r="E443" i="2"/>
  <c r="C443" i="2"/>
  <c r="B443" i="2"/>
  <c r="F896" i="2"/>
  <c r="G896" i="2"/>
  <c r="D896" i="2"/>
  <c r="C896" i="2"/>
  <c r="H896" i="2"/>
  <c r="B896" i="2"/>
  <c r="E896" i="2"/>
  <c r="B972" i="2"/>
  <c r="F972" i="2"/>
  <c r="C972" i="2"/>
  <c r="G972" i="2"/>
  <c r="E972" i="2"/>
  <c r="H972" i="2"/>
  <c r="D972" i="2"/>
  <c r="F439" i="2"/>
  <c r="E439" i="2"/>
  <c r="B439" i="2"/>
  <c r="H439" i="2"/>
  <c r="G439" i="2"/>
  <c r="C439" i="2"/>
  <c r="D439" i="2"/>
  <c r="D370" i="2"/>
  <c r="C370" i="2"/>
  <c r="B370" i="2"/>
  <c r="H370" i="2"/>
  <c r="G370" i="2"/>
  <c r="F370" i="2"/>
  <c r="E370" i="2"/>
  <c r="H169" i="2"/>
  <c r="F169" i="2"/>
  <c r="E169" i="2"/>
  <c r="D169" i="2"/>
  <c r="G169" i="2"/>
  <c r="C169" i="2"/>
  <c r="B169" i="2"/>
  <c r="C999" i="2"/>
  <c r="G999" i="2"/>
  <c r="F999" i="2"/>
  <c r="H999" i="2"/>
  <c r="D999" i="2"/>
  <c r="B999" i="2"/>
  <c r="E999" i="2"/>
  <c r="F208" i="2"/>
  <c r="E208" i="2"/>
  <c r="G208" i="2"/>
  <c r="D208" i="2"/>
  <c r="B208" i="2"/>
  <c r="H208" i="2"/>
  <c r="C208" i="2"/>
  <c r="H519" i="2"/>
  <c r="B519" i="2"/>
  <c r="G519" i="2"/>
  <c r="F519" i="2"/>
  <c r="D519" i="2"/>
  <c r="C519" i="2"/>
  <c r="E519" i="2"/>
  <c r="B907" i="2"/>
  <c r="C907" i="2"/>
  <c r="E907" i="2"/>
  <c r="D907" i="2"/>
  <c r="G907" i="2"/>
  <c r="F907" i="2"/>
  <c r="H907" i="2"/>
  <c r="E986" i="2"/>
  <c r="B986" i="2"/>
  <c r="H986" i="2"/>
  <c r="D986" i="2"/>
  <c r="G986" i="2"/>
  <c r="F986" i="2"/>
  <c r="C986" i="2"/>
  <c r="G781" i="2"/>
  <c r="E781" i="2"/>
  <c r="F781" i="2"/>
  <c r="D781" i="2"/>
  <c r="B781" i="2"/>
  <c r="C781" i="2"/>
  <c r="H781" i="2"/>
  <c r="D108" i="2"/>
  <c r="C108" i="2"/>
  <c r="G108" i="2"/>
  <c r="H108" i="2"/>
  <c r="F108" i="2"/>
  <c r="E108" i="2"/>
  <c r="B108" i="2"/>
  <c r="F555" i="2"/>
  <c r="E555" i="2"/>
  <c r="G555" i="2"/>
  <c r="C555" i="2"/>
  <c r="H555" i="2"/>
  <c r="B555" i="2"/>
  <c r="D555" i="2"/>
  <c r="X7" i="5"/>
  <c r="V10" i="5"/>
  <c r="V6" i="5"/>
  <c r="V39" i="5"/>
  <c r="V34" i="5"/>
  <c r="AE36" i="5"/>
  <c r="U6" i="5"/>
  <c r="G25" i="2"/>
  <c r="Y31" i="5" s="1"/>
  <c r="G627" i="2"/>
  <c r="H627" i="2"/>
  <c r="F627" i="2"/>
  <c r="D627" i="2"/>
  <c r="C627" i="2"/>
  <c r="E627" i="2"/>
  <c r="B627" i="2"/>
  <c r="C679" i="2"/>
  <c r="B679" i="2"/>
  <c r="H679" i="2"/>
  <c r="F679" i="2"/>
  <c r="D679" i="2"/>
  <c r="E679" i="2"/>
  <c r="G679" i="2"/>
  <c r="F65" i="2"/>
  <c r="B65" i="2"/>
  <c r="E65" i="2"/>
  <c r="H65" i="2"/>
  <c r="G65" i="2"/>
  <c r="D65" i="2"/>
  <c r="C65" i="2"/>
  <c r="D308" i="2"/>
  <c r="C308" i="2"/>
  <c r="B308" i="2"/>
  <c r="H308" i="2"/>
  <c r="G308" i="2"/>
  <c r="F308" i="2"/>
  <c r="E308" i="2"/>
  <c r="D853" i="2"/>
  <c r="H853" i="2"/>
  <c r="G853" i="2"/>
  <c r="F853" i="2"/>
  <c r="E853" i="2"/>
  <c r="C853" i="2"/>
  <c r="B853" i="2"/>
  <c r="G730" i="2"/>
  <c r="F730" i="2"/>
  <c r="D730" i="2"/>
  <c r="E730" i="2"/>
  <c r="C730" i="2"/>
  <c r="H730" i="2"/>
  <c r="B730" i="2"/>
  <c r="F550" i="2"/>
  <c r="E550" i="2"/>
  <c r="H550" i="2"/>
  <c r="B550" i="2"/>
  <c r="D550" i="2"/>
  <c r="C550" i="2"/>
  <c r="G550" i="2"/>
  <c r="W36" i="5"/>
  <c r="D346" i="2"/>
  <c r="C346" i="2"/>
  <c r="B346" i="2"/>
  <c r="G346" i="2"/>
  <c r="F346" i="2"/>
  <c r="E346" i="2"/>
  <c r="H346" i="2"/>
  <c r="D95" i="2"/>
  <c r="B95" i="2"/>
  <c r="G95" i="2"/>
  <c r="F95" i="2"/>
  <c r="E95" i="2"/>
  <c r="C95" i="2"/>
  <c r="H95" i="2"/>
  <c r="H726" i="2"/>
  <c r="G726" i="2"/>
  <c r="F726" i="2"/>
  <c r="E726" i="2"/>
  <c r="B726" i="2"/>
  <c r="C726" i="2"/>
  <c r="D726" i="2"/>
  <c r="G904" i="2"/>
  <c r="C904" i="2"/>
  <c r="E904" i="2"/>
  <c r="F904" i="2"/>
  <c r="D904" i="2"/>
  <c r="H904" i="2"/>
  <c r="B904" i="2"/>
  <c r="B474" i="2"/>
  <c r="F474" i="2"/>
  <c r="H474" i="2"/>
  <c r="G474" i="2"/>
  <c r="E474" i="2"/>
  <c r="D474" i="2"/>
  <c r="C474" i="2"/>
  <c r="F851" i="2"/>
  <c r="E851" i="2"/>
  <c r="B851" i="2"/>
  <c r="G851" i="2"/>
  <c r="D851" i="2"/>
  <c r="C851" i="2"/>
  <c r="H851" i="2"/>
  <c r="E393" i="2"/>
  <c r="D393" i="2"/>
  <c r="G393" i="2"/>
  <c r="F393" i="2"/>
  <c r="H393" i="2"/>
  <c r="C393" i="2"/>
  <c r="B393" i="2"/>
  <c r="F50" i="2"/>
  <c r="E50" i="2"/>
  <c r="B50" i="2"/>
  <c r="H50" i="2"/>
  <c r="G50" i="2"/>
  <c r="D50" i="2"/>
  <c r="C50" i="2"/>
  <c r="G274" i="2"/>
  <c r="H274" i="2"/>
  <c r="E274" i="2"/>
  <c r="F274" i="2"/>
  <c r="D274" i="2"/>
  <c r="C274" i="2"/>
  <c r="B274" i="2"/>
  <c r="C265" i="2"/>
  <c r="B265" i="2"/>
  <c r="H265" i="2"/>
  <c r="G265" i="2"/>
  <c r="F265" i="2"/>
  <c r="D265" i="2"/>
  <c r="E265" i="2"/>
  <c r="H633" i="2"/>
  <c r="G633" i="2"/>
  <c r="D633" i="2"/>
  <c r="C633" i="2"/>
  <c r="B633" i="2"/>
  <c r="F633" i="2"/>
  <c r="E633" i="2"/>
  <c r="B321" i="2"/>
  <c r="D321" i="2"/>
  <c r="C321" i="2"/>
  <c r="H321" i="2"/>
  <c r="E321" i="2"/>
  <c r="F321" i="2"/>
  <c r="G321" i="2"/>
  <c r="E341" i="2"/>
  <c r="D341" i="2"/>
  <c r="B341" i="2"/>
  <c r="H341" i="2"/>
  <c r="G341" i="2"/>
  <c r="C341" i="2"/>
  <c r="F341" i="2"/>
  <c r="B419" i="2"/>
  <c r="G419" i="2"/>
  <c r="H419" i="2"/>
  <c r="F419" i="2"/>
  <c r="E419" i="2"/>
  <c r="D419" i="2"/>
  <c r="C419" i="2"/>
  <c r="E996" i="2"/>
  <c r="G996" i="2"/>
  <c r="F996" i="2"/>
  <c r="D996" i="2"/>
  <c r="C996" i="2"/>
  <c r="H996" i="2"/>
  <c r="B996" i="2"/>
  <c r="H194" i="2"/>
  <c r="C194" i="2"/>
  <c r="F194" i="2"/>
  <c r="D194" i="2"/>
  <c r="G194" i="2"/>
  <c r="E194" i="2"/>
  <c r="B194" i="2"/>
  <c r="F788" i="2"/>
  <c r="G788" i="2"/>
  <c r="E788" i="2"/>
  <c r="B788" i="2"/>
  <c r="D788" i="2"/>
  <c r="H788" i="2"/>
  <c r="C788" i="2"/>
  <c r="F80" i="2"/>
  <c r="H80" i="2"/>
  <c r="E80" i="2"/>
  <c r="D80" i="2"/>
  <c r="B80" i="2"/>
  <c r="C80" i="2"/>
  <c r="G80" i="2"/>
  <c r="F507" i="2"/>
  <c r="D507" i="2"/>
  <c r="H507" i="2"/>
  <c r="C507" i="2"/>
  <c r="E507" i="2"/>
  <c r="B507" i="2"/>
  <c r="G507" i="2"/>
  <c r="C68" i="2"/>
  <c r="H68" i="2"/>
  <c r="B68" i="2"/>
  <c r="F68" i="2"/>
  <c r="E68" i="2"/>
  <c r="G68" i="2"/>
  <c r="D68" i="2"/>
  <c r="F297" i="2"/>
  <c r="D297" i="2"/>
  <c r="C297" i="2"/>
  <c r="B297" i="2"/>
  <c r="H297" i="2"/>
  <c r="E297" i="2"/>
  <c r="G297" i="2"/>
  <c r="C362" i="2"/>
  <c r="B362" i="2"/>
  <c r="H362" i="2"/>
  <c r="G362" i="2"/>
  <c r="E362" i="2"/>
  <c r="D362" i="2"/>
  <c r="F362" i="2"/>
  <c r="H380" i="2"/>
  <c r="G380" i="2"/>
  <c r="E380" i="2"/>
  <c r="D380" i="2"/>
  <c r="F380" i="2"/>
  <c r="B380" i="2"/>
  <c r="C380" i="2"/>
  <c r="E559" i="2"/>
  <c r="D559" i="2"/>
  <c r="C559" i="2"/>
  <c r="H559" i="2"/>
  <c r="B559" i="2"/>
  <c r="G559" i="2"/>
  <c r="F559" i="2"/>
  <c r="C243" i="2"/>
  <c r="D243" i="2"/>
  <c r="B243" i="2"/>
  <c r="F243" i="2"/>
  <c r="H243" i="2"/>
  <c r="E243" i="2"/>
  <c r="G243" i="2"/>
  <c r="E310" i="2"/>
  <c r="D310" i="2"/>
  <c r="H310" i="2"/>
  <c r="G310" i="2"/>
  <c r="F310" i="2"/>
  <c r="B310" i="2"/>
  <c r="C310" i="2"/>
  <c r="C157" i="2"/>
  <c r="G157" i="2"/>
  <c r="B157" i="2"/>
  <c r="F157" i="2"/>
  <c r="E157" i="2"/>
  <c r="D157" i="2"/>
  <c r="H157" i="2"/>
  <c r="F327" i="2"/>
  <c r="E327" i="2"/>
  <c r="B327" i="2"/>
  <c r="G327" i="2"/>
  <c r="C327" i="2"/>
  <c r="D327" i="2"/>
  <c r="H327" i="2"/>
  <c r="G684" i="2"/>
  <c r="C684" i="2"/>
  <c r="F684" i="2"/>
  <c r="D684" i="2"/>
  <c r="B684" i="2"/>
  <c r="H684" i="2"/>
  <c r="E684" i="2"/>
  <c r="G612" i="2"/>
  <c r="E612" i="2"/>
  <c r="H612" i="2"/>
  <c r="B612" i="2"/>
  <c r="D612" i="2"/>
  <c r="C612" i="2"/>
  <c r="F612" i="2"/>
  <c r="F478" i="2"/>
  <c r="D478" i="2"/>
  <c r="H478" i="2"/>
  <c r="G478" i="2"/>
  <c r="E478" i="2"/>
  <c r="C478" i="2"/>
  <c r="B478" i="2"/>
  <c r="C668" i="2"/>
  <c r="F668" i="2"/>
  <c r="D668" i="2"/>
  <c r="H668" i="2"/>
  <c r="E668" i="2"/>
  <c r="G668" i="2"/>
  <c r="B668" i="2"/>
  <c r="D824" i="2"/>
  <c r="C824" i="2"/>
  <c r="F824" i="2"/>
  <c r="E824" i="2"/>
  <c r="B824" i="2"/>
  <c r="H824" i="2"/>
  <c r="G824" i="2"/>
  <c r="G724" i="2"/>
  <c r="E724" i="2"/>
  <c r="D724" i="2"/>
  <c r="C724" i="2"/>
  <c r="B724" i="2"/>
  <c r="F724" i="2"/>
  <c r="H724" i="2"/>
  <c r="G451" i="2"/>
  <c r="C451" i="2"/>
  <c r="F451" i="2"/>
  <c r="E451" i="2"/>
  <c r="D451" i="2"/>
  <c r="H451" i="2"/>
  <c r="B451" i="2"/>
  <c r="B568" i="2"/>
  <c r="D568" i="2"/>
  <c r="C568" i="2"/>
  <c r="H568" i="2"/>
  <c r="G568" i="2"/>
  <c r="F568" i="2"/>
  <c r="E568" i="2"/>
  <c r="B504" i="2"/>
  <c r="C504" i="2"/>
  <c r="G504" i="2"/>
  <c r="F504" i="2"/>
  <c r="E504" i="2"/>
  <c r="D504" i="2"/>
  <c r="H504" i="2"/>
  <c r="E225" i="2"/>
  <c r="C225" i="2"/>
  <c r="B225" i="2"/>
  <c r="H225" i="2"/>
  <c r="F225" i="2"/>
  <c r="D225" i="2"/>
  <c r="G225" i="2"/>
  <c r="B884" i="2"/>
  <c r="D884" i="2"/>
  <c r="G884" i="2"/>
  <c r="E884" i="2"/>
  <c r="H884" i="2"/>
  <c r="F884" i="2"/>
  <c r="C884" i="2"/>
  <c r="B978" i="2"/>
  <c r="C978" i="2"/>
  <c r="F978" i="2"/>
  <c r="H978" i="2"/>
  <c r="D978" i="2"/>
  <c r="E978" i="2"/>
  <c r="G978" i="2"/>
  <c r="E761" i="2"/>
  <c r="H761" i="2"/>
  <c r="G761" i="2"/>
  <c r="B761" i="2"/>
  <c r="F761" i="2"/>
  <c r="C761" i="2"/>
  <c r="D761" i="2"/>
  <c r="F741" i="2"/>
  <c r="E741" i="2"/>
  <c r="D741" i="2"/>
  <c r="C741" i="2"/>
  <c r="B741" i="2"/>
  <c r="H741" i="2"/>
  <c r="G741" i="2"/>
  <c r="H594" i="2"/>
  <c r="C594" i="2"/>
  <c r="F594" i="2"/>
  <c r="G594" i="2"/>
  <c r="E594" i="2"/>
  <c r="D594" i="2"/>
  <c r="B594" i="2"/>
  <c r="H69" i="2"/>
  <c r="G69" i="2"/>
  <c r="D69" i="2"/>
  <c r="C69" i="2"/>
  <c r="F69" i="2"/>
  <c r="E69" i="2"/>
  <c r="B69" i="2"/>
  <c r="H357" i="2"/>
  <c r="G357" i="2"/>
  <c r="C357" i="2"/>
  <c r="E357" i="2"/>
  <c r="B357" i="2"/>
  <c r="F357" i="2"/>
  <c r="D357" i="2"/>
  <c r="B128" i="2"/>
  <c r="F128" i="2"/>
  <c r="E128" i="2"/>
  <c r="G128" i="2"/>
  <c r="D128" i="2"/>
  <c r="C128" i="2"/>
  <c r="H128" i="2"/>
  <c r="B37" i="2"/>
  <c r="F37" i="2"/>
  <c r="H37" i="2"/>
  <c r="D37" i="2"/>
  <c r="C37" i="2"/>
  <c r="E37" i="2"/>
  <c r="B587" i="2"/>
  <c r="E587" i="2"/>
  <c r="H587" i="2"/>
  <c r="G587" i="2"/>
  <c r="F587" i="2"/>
  <c r="D587" i="2"/>
  <c r="C587" i="2"/>
  <c r="E769" i="2"/>
  <c r="F769" i="2"/>
  <c r="G769" i="2"/>
  <c r="B769" i="2"/>
  <c r="D769" i="2"/>
  <c r="C769" i="2"/>
  <c r="H769" i="2"/>
  <c r="E831" i="2"/>
  <c r="G831" i="2"/>
  <c r="B831" i="2"/>
  <c r="H831" i="2"/>
  <c r="D831" i="2"/>
  <c r="C831" i="2"/>
  <c r="F831" i="2"/>
  <c r="B600" i="2"/>
  <c r="G600" i="2"/>
  <c r="H600" i="2"/>
  <c r="E600" i="2"/>
  <c r="D600" i="2"/>
  <c r="C600" i="2"/>
  <c r="F600" i="2"/>
  <c r="G727" i="2"/>
  <c r="C727" i="2"/>
  <c r="B727" i="2"/>
  <c r="H727" i="2"/>
  <c r="F727" i="2"/>
  <c r="D727" i="2"/>
  <c r="E727" i="2"/>
  <c r="D55" i="2"/>
  <c r="C55" i="2"/>
  <c r="H55" i="2"/>
  <c r="G55" i="2"/>
  <c r="E55" i="2"/>
  <c r="F55" i="2"/>
  <c r="B55" i="2"/>
  <c r="G731" i="2"/>
  <c r="F731" i="2"/>
  <c r="E731" i="2"/>
  <c r="C731" i="2"/>
  <c r="H731" i="2"/>
  <c r="B731" i="2"/>
  <c r="D731" i="2"/>
  <c r="G428" i="2"/>
  <c r="F428" i="2"/>
  <c r="E428" i="2"/>
  <c r="D428" i="2"/>
  <c r="B428" i="2"/>
  <c r="H428" i="2"/>
  <c r="C428" i="2"/>
  <c r="F891" i="2"/>
  <c r="E891" i="2"/>
  <c r="G891" i="2"/>
  <c r="B891" i="2"/>
  <c r="H891" i="2"/>
  <c r="D891" i="2"/>
  <c r="C891" i="2"/>
  <c r="H664" i="2"/>
  <c r="G664" i="2"/>
  <c r="E664" i="2"/>
  <c r="F664" i="2"/>
  <c r="D664" i="2"/>
  <c r="B664" i="2"/>
  <c r="C664" i="2"/>
  <c r="C840" i="2"/>
  <c r="B840" i="2"/>
  <c r="H840" i="2"/>
  <c r="G840" i="2"/>
  <c r="D840" i="2"/>
  <c r="F840" i="2"/>
  <c r="E840" i="2"/>
  <c r="C425" i="2"/>
  <c r="F425" i="2"/>
  <c r="E425" i="2"/>
  <c r="H425" i="2"/>
  <c r="B425" i="2"/>
  <c r="D425" i="2"/>
  <c r="G425" i="2"/>
  <c r="B556" i="2"/>
  <c r="H556" i="2"/>
  <c r="D556" i="2"/>
  <c r="E556" i="2"/>
  <c r="C556" i="2"/>
  <c r="G556" i="2"/>
  <c r="F556" i="2"/>
  <c r="H565" i="2"/>
  <c r="G565" i="2"/>
  <c r="F565" i="2"/>
  <c r="B565" i="2"/>
  <c r="D565" i="2"/>
  <c r="C565" i="2"/>
  <c r="E565" i="2"/>
  <c r="E897" i="2"/>
  <c r="D897" i="2"/>
  <c r="B897" i="2"/>
  <c r="G897" i="2"/>
  <c r="H897" i="2"/>
  <c r="F897" i="2"/>
  <c r="C897" i="2"/>
  <c r="G170" i="2"/>
  <c r="E170" i="2"/>
  <c r="B170" i="2"/>
  <c r="C170" i="2"/>
  <c r="H170" i="2"/>
  <c r="F170" i="2"/>
  <c r="D170" i="2"/>
  <c r="C294" i="2"/>
  <c r="F294" i="2"/>
  <c r="B294" i="2"/>
  <c r="H294" i="2"/>
  <c r="G294" i="2"/>
  <c r="E294" i="2"/>
  <c r="D294" i="2"/>
  <c r="B754" i="2"/>
  <c r="C754" i="2"/>
  <c r="H754" i="2"/>
  <c r="G754" i="2"/>
  <c r="F754" i="2"/>
  <c r="D754" i="2"/>
  <c r="E754" i="2"/>
  <c r="B910" i="2"/>
  <c r="H910" i="2"/>
  <c r="C910" i="2"/>
  <c r="E910" i="2"/>
  <c r="G910" i="2"/>
  <c r="F910" i="2"/>
  <c r="D910" i="2"/>
  <c r="F659" i="2"/>
  <c r="D659" i="2"/>
  <c r="C659" i="2"/>
  <c r="G659" i="2"/>
  <c r="B659" i="2"/>
  <c r="H659" i="2"/>
  <c r="E659" i="2"/>
  <c r="B713" i="2"/>
  <c r="F713" i="2"/>
  <c r="C713" i="2"/>
  <c r="E713" i="2"/>
  <c r="H713" i="2"/>
  <c r="G713" i="2"/>
  <c r="D713" i="2"/>
  <c r="G953" i="2"/>
  <c r="C953" i="2"/>
  <c r="B953" i="2"/>
  <c r="H953" i="2"/>
  <c r="F953" i="2"/>
  <c r="D953" i="2"/>
  <c r="E953" i="2"/>
  <c r="G732" i="2"/>
  <c r="E732" i="2"/>
  <c r="D732" i="2"/>
  <c r="C732" i="2"/>
  <c r="F732" i="2"/>
  <c r="B732" i="2"/>
  <c r="H732" i="2"/>
  <c r="B680" i="2"/>
  <c r="C680" i="2"/>
  <c r="H680" i="2"/>
  <c r="G680" i="2"/>
  <c r="F680" i="2"/>
  <c r="D680" i="2"/>
  <c r="E680" i="2"/>
  <c r="C861" i="2"/>
  <c r="B861" i="2"/>
  <c r="D861" i="2"/>
  <c r="F861" i="2"/>
  <c r="E861" i="2"/>
  <c r="H861" i="2"/>
  <c r="G861" i="2"/>
  <c r="F873" i="2"/>
  <c r="H873" i="2"/>
  <c r="G873" i="2"/>
  <c r="D873" i="2"/>
  <c r="E873" i="2"/>
  <c r="C873" i="2"/>
  <c r="B873" i="2"/>
  <c r="H658" i="2"/>
  <c r="F658" i="2"/>
  <c r="E658" i="2"/>
  <c r="D658" i="2"/>
  <c r="G658" i="2"/>
  <c r="B658" i="2"/>
  <c r="C658" i="2"/>
  <c r="C219" i="2"/>
  <c r="D219" i="2"/>
  <c r="B219" i="2"/>
  <c r="G219" i="2"/>
  <c r="F219" i="2"/>
  <c r="H219" i="2"/>
  <c r="E219" i="2"/>
  <c r="E925" i="2"/>
  <c r="C925" i="2"/>
  <c r="G925" i="2"/>
  <c r="D925" i="2"/>
  <c r="H925" i="2"/>
  <c r="F925" i="2"/>
  <c r="B925" i="2"/>
  <c r="F91" i="2"/>
  <c r="H91" i="2"/>
  <c r="E91" i="2"/>
  <c r="C91" i="2"/>
  <c r="D91" i="2"/>
  <c r="B91" i="2"/>
  <c r="G91" i="2"/>
  <c r="B995" i="2"/>
  <c r="H995" i="2"/>
  <c r="C995" i="2"/>
  <c r="F995" i="2"/>
  <c r="E995" i="2"/>
  <c r="D995" i="2"/>
  <c r="G995" i="2"/>
  <c r="E918" i="2"/>
  <c r="G918" i="2"/>
  <c r="F918" i="2"/>
  <c r="B918" i="2"/>
  <c r="C918" i="2"/>
  <c r="H918" i="2"/>
  <c r="D918" i="2"/>
  <c r="E739" i="2"/>
  <c r="C739" i="2"/>
  <c r="H739" i="2"/>
  <c r="D739" i="2"/>
  <c r="G739" i="2"/>
  <c r="F739" i="2"/>
  <c r="B739" i="2"/>
  <c r="B876" i="2"/>
  <c r="D876" i="2"/>
  <c r="C876" i="2"/>
  <c r="G876" i="2"/>
  <c r="E876" i="2"/>
  <c r="H876" i="2"/>
  <c r="F876" i="2"/>
  <c r="B843" i="2"/>
  <c r="G843" i="2"/>
  <c r="D843" i="2"/>
  <c r="C843" i="2"/>
  <c r="F843" i="2"/>
  <c r="E843" i="2"/>
  <c r="H843" i="2"/>
  <c r="F213" i="2"/>
  <c r="E213" i="2"/>
  <c r="D213" i="2"/>
  <c r="C213" i="2"/>
  <c r="H213" i="2"/>
  <c r="G213" i="2"/>
  <c r="B213" i="2"/>
  <c r="B116" i="2"/>
  <c r="H116" i="2"/>
  <c r="F116" i="2"/>
  <c r="E116" i="2"/>
  <c r="D116" i="2"/>
  <c r="C116" i="2"/>
  <c r="G116" i="2"/>
  <c r="F863" i="2"/>
  <c r="E863" i="2"/>
  <c r="B863" i="2"/>
  <c r="C863" i="2"/>
  <c r="D863" i="2"/>
  <c r="H863" i="2"/>
  <c r="G863" i="2"/>
  <c r="F367" i="2"/>
  <c r="E367" i="2"/>
  <c r="C367" i="2"/>
  <c r="B367" i="2"/>
  <c r="G367" i="2"/>
  <c r="H367" i="2"/>
  <c r="D367" i="2"/>
  <c r="B483" i="2"/>
  <c r="D483" i="2"/>
  <c r="H483" i="2"/>
  <c r="G483" i="2"/>
  <c r="F483" i="2"/>
  <c r="E483" i="2"/>
  <c r="C483" i="2"/>
  <c r="D962" i="2"/>
  <c r="C962" i="2"/>
  <c r="H962" i="2"/>
  <c r="F962" i="2"/>
  <c r="E962" i="2"/>
  <c r="B962" i="2"/>
  <c r="G962" i="2"/>
  <c r="G210" i="2"/>
  <c r="E210" i="2"/>
  <c r="B210" i="2"/>
  <c r="C210" i="2"/>
  <c r="H210" i="2"/>
  <c r="F210" i="2"/>
  <c r="D210" i="2"/>
  <c r="E561" i="2"/>
  <c r="D561" i="2"/>
  <c r="H561" i="2"/>
  <c r="C561" i="2"/>
  <c r="G561" i="2"/>
  <c r="F561" i="2"/>
  <c r="B561" i="2"/>
  <c r="C109" i="2"/>
  <c r="B109" i="2"/>
  <c r="G109" i="2"/>
  <c r="D109" i="2"/>
  <c r="H109" i="2"/>
  <c r="F109" i="2"/>
  <c r="E109" i="2"/>
  <c r="C396" i="2"/>
  <c r="G396" i="2"/>
  <c r="E396" i="2"/>
  <c r="B396" i="2"/>
  <c r="H396" i="2"/>
  <c r="F396" i="2"/>
  <c r="D396" i="2"/>
  <c r="H27" i="2"/>
  <c r="D27" i="2"/>
  <c r="C27" i="2"/>
  <c r="B27" i="2"/>
  <c r="U33" i="5" s="1"/>
  <c r="F27" i="2"/>
  <c r="AE33" i="5" s="1"/>
  <c r="E27" i="2"/>
  <c r="B672" i="2"/>
  <c r="H672" i="2"/>
  <c r="G672" i="2"/>
  <c r="E672" i="2"/>
  <c r="F672" i="2"/>
  <c r="D672" i="2"/>
  <c r="C672" i="2"/>
  <c r="D794" i="2"/>
  <c r="G794" i="2"/>
  <c r="C794" i="2"/>
  <c r="E794" i="2"/>
  <c r="F794" i="2"/>
  <c r="H794" i="2"/>
  <c r="B794" i="2"/>
  <c r="D189" i="2"/>
  <c r="H189" i="2"/>
  <c r="F189" i="2"/>
  <c r="E189" i="2"/>
  <c r="C189" i="2"/>
  <c r="G189" i="2"/>
  <c r="B189" i="2"/>
  <c r="D954" i="2"/>
  <c r="G954" i="2"/>
  <c r="E954" i="2"/>
  <c r="B954" i="2"/>
  <c r="C954" i="2"/>
  <c r="H954" i="2"/>
  <c r="F954" i="2"/>
  <c r="D637" i="2"/>
  <c r="B637" i="2"/>
  <c r="F637" i="2"/>
  <c r="E637" i="2"/>
  <c r="C637" i="2"/>
  <c r="H637" i="2"/>
  <c r="G637" i="2"/>
  <c r="G343" i="2"/>
  <c r="F343" i="2"/>
  <c r="E343" i="2"/>
  <c r="D343" i="2"/>
  <c r="B343" i="2"/>
  <c r="C343" i="2"/>
  <c r="H343" i="2"/>
  <c r="H492" i="2"/>
  <c r="F492" i="2"/>
  <c r="E492" i="2"/>
  <c r="D492" i="2"/>
  <c r="B492" i="2"/>
  <c r="G492" i="2"/>
  <c r="C492" i="2"/>
  <c r="F570" i="2"/>
  <c r="E570" i="2"/>
  <c r="B570" i="2"/>
  <c r="D570" i="2"/>
  <c r="C570" i="2"/>
  <c r="H570" i="2"/>
  <c r="G570" i="2"/>
  <c r="D130" i="2"/>
  <c r="G130" i="2"/>
  <c r="E130" i="2"/>
  <c r="B130" i="2"/>
  <c r="H130" i="2"/>
  <c r="C130" i="2"/>
  <c r="F130" i="2"/>
  <c r="H940" i="2"/>
  <c r="D940" i="2"/>
  <c r="E940" i="2"/>
  <c r="G940" i="2"/>
  <c r="C940" i="2"/>
  <c r="F940" i="2"/>
  <c r="B940" i="2"/>
  <c r="D745" i="2"/>
  <c r="B745" i="2"/>
  <c r="F745" i="2"/>
  <c r="C745" i="2"/>
  <c r="E745" i="2"/>
  <c r="H745" i="2"/>
  <c r="G745" i="2"/>
  <c r="F775" i="2"/>
  <c r="H775" i="2"/>
  <c r="C775" i="2"/>
  <c r="D775" i="2"/>
  <c r="B775" i="2"/>
  <c r="E775" i="2"/>
  <c r="G775" i="2"/>
  <c r="G388" i="2"/>
  <c r="C388" i="2"/>
  <c r="F388" i="2"/>
  <c r="E388" i="2"/>
  <c r="D388" i="2"/>
  <c r="B388" i="2"/>
  <c r="H388" i="2"/>
  <c r="D702" i="2"/>
  <c r="C702" i="2"/>
  <c r="G702" i="2"/>
  <c r="B702" i="2"/>
  <c r="H702" i="2"/>
  <c r="F702" i="2"/>
  <c r="E702" i="2"/>
  <c r="B249" i="2"/>
  <c r="C249" i="2"/>
  <c r="H249" i="2"/>
  <c r="D249" i="2"/>
  <c r="G249" i="2"/>
  <c r="F249" i="2"/>
  <c r="E249" i="2"/>
  <c r="H848" i="2"/>
  <c r="D848" i="2"/>
  <c r="C848" i="2"/>
  <c r="G848" i="2"/>
  <c r="F848" i="2"/>
  <c r="E848" i="2"/>
  <c r="B848" i="2"/>
  <c r="F842" i="2"/>
  <c r="H842" i="2"/>
  <c r="E842" i="2"/>
  <c r="B842" i="2"/>
  <c r="D842" i="2"/>
  <c r="C842" i="2"/>
  <c r="G842" i="2"/>
  <c r="E797" i="2"/>
  <c r="B797" i="2"/>
  <c r="H797" i="2"/>
  <c r="C797" i="2"/>
  <c r="D797" i="2"/>
  <c r="G797" i="2"/>
  <c r="F797" i="2"/>
  <c r="H369" i="2"/>
  <c r="G369" i="2"/>
  <c r="E369" i="2"/>
  <c r="D369" i="2"/>
  <c r="C369" i="2"/>
  <c r="B369" i="2"/>
  <c r="F369" i="2"/>
  <c r="D427" i="2"/>
  <c r="H427" i="2"/>
  <c r="G427" i="2"/>
  <c r="F427" i="2"/>
  <c r="E427" i="2"/>
  <c r="C427" i="2"/>
  <c r="B427" i="2"/>
  <c r="B266" i="2"/>
  <c r="G266" i="2"/>
  <c r="H266" i="2"/>
  <c r="F266" i="2"/>
  <c r="E266" i="2"/>
  <c r="D266" i="2"/>
  <c r="C266" i="2"/>
  <c r="D324" i="2"/>
  <c r="H324" i="2"/>
  <c r="C324" i="2"/>
  <c r="B324" i="2"/>
  <c r="F324" i="2"/>
  <c r="G324" i="2"/>
  <c r="E324" i="2"/>
  <c r="D53" i="2"/>
  <c r="C53" i="2"/>
  <c r="F53" i="2"/>
  <c r="E53" i="2"/>
  <c r="B53" i="2"/>
  <c r="H53" i="2"/>
  <c r="G53" i="2"/>
  <c r="D89" i="2"/>
  <c r="G89" i="2"/>
  <c r="C89" i="2"/>
  <c r="B89" i="2"/>
  <c r="H89" i="2"/>
  <c r="F89" i="2"/>
  <c r="E89" i="2"/>
  <c r="C987" i="2"/>
  <c r="H987" i="2"/>
  <c r="F987" i="2"/>
  <c r="D987" i="2"/>
  <c r="B987" i="2"/>
  <c r="G987" i="2"/>
  <c r="E987" i="2"/>
  <c r="F56" i="2"/>
  <c r="E56" i="2"/>
  <c r="D56" i="2"/>
  <c r="C56" i="2"/>
  <c r="B56" i="2"/>
  <c r="H56" i="2"/>
  <c r="G56" i="2"/>
  <c r="H400" i="2"/>
  <c r="G400" i="2"/>
  <c r="B400" i="2"/>
  <c r="D400" i="2"/>
  <c r="F400" i="2"/>
  <c r="C400" i="2"/>
  <c r="E400" i="2"/>
  <c r="B865" i="2"/>
  <c r="D865" i="2"/>
  <c r="E865" i="2"/>
  <c r="C865" i="2"/>
  <c r="H865" i="2"/>
  <c r="G865" i="2"/>
  <c r="F865" i="2"/>
  <c r="B941" i="2"/>
  <c r="G941" i="2"/>
  <c r="H941" i="2"/>
  <c r="F941" i="2"/>
  <c r="C941" i="2"/>
  <c r="E941" i="2"/>
  <c r="D941" i="2"/>
  <c r="H616" i="2"/>
  <c r="G616" i="2"/>
  <c r="B616" i="2"/>
  <c r="D616" i="2"/>
  <c r="E616" i="2"/>
  <c r="C616" i="2"/>
  <c r="F616" i="2"/>
  <c r="C70" i="2"/>
  <c r="F70" i="2"/>
  <c r="E70" i="2"/>
  <c r="B70" i="2"/>
  <c r="D70" i="2"/>
  <c r="H70" i="2"/>
  <c r="G70" i="2"/>
  <c r="H165" i="2"/>
  <c r="F165" i="2"/>
  <c r="E165" i="2"/>
  <c r="D165" i="2"/>
  <c r="B165" i="2"/>
  <c r="G165" i="2"/>
  <c r="C165" i="2"/>
  <c r="D323" i="2"/>
  <c r="B323" i="2"/>
  <c r="C323" i="2"/>
  <c r="F323" i="2"/>
  <c r="H323" i="2"/>
  <c r="G323" i="2"/>
  <c r="E323" i="2"/>
  <c r="B514" i="2"/>
  <c r="G514" i="2"/>
  <c r="E514" i="2"/>
  <c r="C514" i="2"/>
  <c r="F514" i="2"/>
  <c r="D514" i="2"/>
  <c r="H514" i="2"/>
  <c r="E463" i="2"/>
  <c r="C463" i="2"/>
  <c r="B463" i="2"/>
  <c r="H463" i="2"/>
  <c r="D463" i="2"/>
  <c r="F463" i="2"/>
  <c r="G463" i="2"/>
  <c r="D720" i="2"/>
  <c r="C720" i="2"/>
  <c r="B720" i="2"/>
  <c r="G720" i="2"/>
  <c r="H720" i="2"/>
  <c r="E720" i="2"/>
  <c r="F720" i="2"/>
  <c r="H929" i="2"/>
  <c r="D929" i="2"/>
  <c r="G929" i="2"/>
  <c r="C929" i="2"/>
  <c r="B929" i="2"/>
  <c r="E929" i="2"/>
  <c r="F929" i="2"/>
  <c r="F263" i="2"/>
  <c r="E263" i="2"/>
  <c r="B263" i="2"/>
  <c r="G263" i="2"/>
  <c r="H263" i="2"/>
  <c r="D263" i="2"/>
  <c r="C263" i="2"/>
  <c r="F596" i="2"/>
  <c r="G596" i="2"/>
  <c r="E596" i="2"/>
  <c r="C596" i="2"/>
  <c r="B596" i="2"/>
  <c r="H596" i="2"/>
  <c r="D596" i="2"/>
  <c r="F429" i="2"/>
  <c r="C429" i="2"/>
  <c r="B429" i="2"/>
  <c r="E429" i="2"/>
  <c r="D429" i="2"/>
  <c r="H429" i="2"/>
  <c r="G429" i="2"/>
  <c r="F228" i="2"/>
  <c r="E228" i="2"/>
  <c r="G228" i="2"/>
  <c r="C228" i="2"/>
  <c r="B228" i="2"/>
  <c r="H228" i="2"/>
  <c r="D228" i="2"/>
  <c r="D251" i="2"/>
  <c r="C251" i="2"/>
  <c r="B251" i="2"/>
  <c r="G251" i="2"/>
  <c r="H251" i="2"/>
  <c r="F251" i="2"/>
  <c r="E251" i="2"/>
  <c r="C114" i="2"/>
  <c r="F114" i="2"/>
  <c r="D114" i="2"/>
  <c r="G114" i="2"/>
  <c r="E114" i="2"/>
  <c r="B114" i="2"/>
  <c r="H114" i="2"/>
  <c r="H786" i="2"/>
  <c r="G786" i="2"/>
  <c r="C786" i="2"/>
  <c r="E786" i="2"/>
  <c r="F786" i="2"/>
  <c r="D786" i="2"/>
  <c r="B786" i="2"/>
  <c r="B309" i="2"/>
  <c r="F309" i="2"/>
  <c r="H309" i="2"/>
  <c r="G309" i="2"/>
  <c r="C309" i="2"/>
  <c r="E309" i="2"/>
  <c r="D309" i="2"/>
  <c r="F599" i="2"/>
  <c r="E599" i="2"/>
  <c r="D599" i="2"/>
  <c r="B599" i="2"/>
  <c r="G599" i="2"/>
  <c r="H599" i="2"/>
  <c r="C599" i="2"/>
  <c r="F498" i="2"/>
  <c r="D498" i="2"/>
  <c r="G498" i="2"/>
  <c r="E498" i="2"/>
  <c r="C498" i="2"/>
  <c r="B498" i="2"/>
  <c r="H498" i="2"/>
  <c r="D522" i="2"/>
  <c r="C522" i="2"/>
  <c r="G522" i="2"/>
  <c r="F522" i="2"/>
  <c r="E522" i="2"/>
  <c r="H522" i="2"/>
  <c r="B522" i="2"/>
  <c r="H778" i="2"/>
  <c r="B778" i="2"/>
  <c r="F778" i="2"/>
  <c r="D778" i="2"/>
  <c r="G778" i="2"/>
  <c r="C778" i="2"/>
  <c r="E778" i="2"/>
  <c r="H715" i="2"/>
  <c r="B715" i="2"/>
  <c r="G715" i="2"/>
  <c r="C715" i="2"/>
  <c r="D715" i="2"/>
  <c r="F715" i="2"/>
  <c r="E715" i="2"/>
  <c r="X39" i="5"/>
  <c r="E908" i="2"/>
  <c r="G908" i="2"/>
  <c r="H908" i="2"/>
  <c r="D908" i="2"/>
  <c r="C908" i="2"/>
  <c r="B908" i="2"/>
  <c r="F908" i="2"/>
  <c r="G744" i="2"/>
  <c r="H744" i="2"/>
  <c r="E744" i="2"/>
  <c r="D744" i="2"/>
  <c r="F744" i="2"/>
  <c r="C744" i="2"/>
  <c r="B744" i="2"/>
  <c r="C254" i="2"/>
  <c r="F254" i="2"/>
  <c r="E254" i="2"/>
  <c r="D254" i="2"/>
  <c r="G254" i="2"/>
  <c r="H254" i="2"/>
  <c r="B254" i="2"/>
  <c r="B66" i="2"/>
  <c r="D66" i="2"/>
  <c r="C66" i="2"/>
  <c r="H66" i="2"/>
  <c r="F66" i="2"/>
  <c r="E66" i="2"/>
  <c r="G66" i="2"/>
  <c r="C354" i="2"/>
  <c r="B354" i="2"/>
  <c r="G354" i="2"/>
  <c r="F354" i="2"/>
  <c r="D354" i="2"/>
  <c r="E354" i="2"/>
  <c r="H354" i="2"/>
  <c r="E96" i="2"/>
  <c r="G96" i="2"/>
  <c r="D96" i="2"/>
  <c r="B96" i="2"/>
  <c r="H96" i="2"/>
  <c r="F96" i="2"/>
  <c r="C96" i="2"/>
  <c r="D984" i="2"/>
  <c r="G984" i="2"/>
  <c r="F984" i="2"/>
  <c r="C984" i="2"/>
  <c r="H984" i="2"/>
  <c r="E984" i="2"/>
  <c r="B984" i="2"/>
  <c r="H992" i="2"/>
  <c r="E992" i="2"/>
  <c r="G992" i="2"/>
  <c r="D992" i="2"/>
  <c r="C992" i="2"/>
  <c r="B992" i="2"/>
  <c r="F992" i="2"/>
  <c r="Y8" i="5"/>
  <c r="W9" i="5"/>
  <c r="W40" i="5"/>
  <c r="V40" i="5"/>
  <c r="AE6" i="5"/>
  <c r="AE10" i="5"/>
  <c r="Y10" i="5"/>
  <c r="F351" i="2"/>
  <c r="E351" i="2"/>
  <c r="D351" i="2"/>
  <c r="C351" i="2"/>
  <c r="B351" i="2"/>
  <c r="G351" i="2"/>
  <c r="H351" i="2"/>
  <c r="B444" i="2"/>
  <c r="H444" i="2"/>
  <c r="G444" i="2"/>
  <c r="F444" i="2"/>
  <c r="C444" i="2"/>
  <c r="E444" i="2"/>
  <c r="D444" i="2"/>
  <c r="G60" i="2"/>
  <c r="B60" i="2"/>
  <c r="F60" i="2"/>
  <c r="D60" i="2"/>
  <c r="C60" i="2"/>
  <c r="H60" i="2"/>
  <c r="E60" i="2"/>
  <c r="F544" i="2"/>
  <c r="B544" i="2"/>
  <c r="H544" i="2"/>
  <c r="C544" i="2"/>
  <c r="G544" i="2"/>
  <c r="D544" i="2"/>
  <c r="E544" i="2"/>
  <c r="G137" i="2"/>
  <c r="H137" i="2"/>
  <c r="C137" i="2"/>
  <c r="F137" i="2"/>
  <c r="E137" i="2"/>
  <c r="D137" i="2"/>
  <c r="B137" i="2"/>
  <c r="D804" i="2"/>
  <c r="H804" i="2"/>
  <c r="G804" i="2"/>
  <c r="F804" i="2"/>
  <c r="E804" i="2"/>
  <c r="B804" i="2"/>
  <c r="C804" i="2"/>
  <c r="C620" i="2"/>
  <c r="H620" i="2"/>
  <c r="G620" i="2"/>
  <c r="B620" i="2"/>
  <c r="F620" i="2"/>
  <c r="D620" i="2"/>
  <c r="E620" i="2"/>
  <c r="G314" i="2"/>
  <c r="E314" i="2"/>
  <c r="B314" i="2"/>
  <c r="H314" i="2"/>
  <c r="F314" i="2"/>
  <c r="C314" i="2"/>
  <c r="D314" i="2"/>
  <c r="F278" i="2"/>
  <c r="B278" i="2"/>
  <c r="C278" i="2"/>
  <c r="E278" i="2"/>
  <c r="D278" i="2"/>
  <c r="H278" i="2"/>
  <c r="G278" i="2"/>
  <c r="G821" i="2"/>
  <c r="E821" i="2"/>
  <c r="D821" i="2"/>
  <c r="B821" i="2"/>
  <c r="C821" i="2"/>
  <c r="H821" i="2"/>
  <c r="F821" i="2"/>
  <c r="H100" i="2"/>
  <c r="F100" i="2"/>
  <c r="E100" i="2"/>
  <c r="D100" i="2"/>
  <c r="C100" i="2"/>
  <c r="B100" i="2"/>
  <c r="G100" i="2"/>
  <c r="F93" i="2"/>
  <c r="B93" i="2"/>
  <c r="E93" i="2"/>
  <c r="D93" i="2"/>
  <c r="G93" i="2"/>
  <c r="H93" i="2"/>
  <c r="C93" i="2"/>
  <c r="F264" i="2"/>
  <c r="B264" i="2"/>
  <c r="G264" i="2"/>
  <c r="C264" i="2"/>
  <c r="H264" i="2"/>
  <c r="E264" i="2"/>
  <c r="D264" i="2"/>
  <c r="D701" i="2"/>
  <c r="C701" i="2"/>
  <c r="B701" i="2"/>
  <c r="H701" i="2"/>
  <c r="G701" i="2"/>
  <c r="F701" i="2"/>
  <c r="E701" i="2"/>
  <c r="G922" i="2"/>
  <c r="F922" i="2"/>
  <c r="H922" i="2"/>
  <c r="D922" i="2"/>
  <c r="E922" i="2"/>
  <c r="B922" i="2"/>
  <c r="C922" i="2"/>
  <c r="C938" i="2"/>
  <c r="H938" i="2"/>
  <c r="G938" i="2"/>
  <c r="F938" i="2"/>
  <c r="E938" i="2"/>
  <c r="B938" i="2"/>
  <c r="D938" i="2"/>
  <c r="F178" i="2"/>
  <c r="D178" i="2"/>
  <c r="G178" i="2"/>
  <c r="E178" i="2"/>
  <c r="H178" i="2"/>
  <c r="C178" i="2"/>
  <c r="B178" i="2"/>
  <c r="D653" i="2"/>
  <c r="B653" i="2"/>
  <c r="H653" i="2"/>
  <c r="C653" i="2"/>
  <c r="E653" i="2"/>
  <c r="G653" i="2"/>
  <c r="F653" i="2"/>
  <c r="H76" i="2"/>
  <c r="B76" i="2"/>
  <c r="F76" i="2"/>
  <c r="D76" i="2"/>
  <c r="C76" i="2"/>
  <c r="E76" i="2"/>
  <c r="G76" i="2"/>
  <c r="F355" i="2"/>
  <c r="D355" i="2"/>
  <c r="H355" i="2"/>
  <c r="G355" i="2"/>
  <c r="B355" i="2"/>
  <c r="C355" i="2"/>
  <c r="E355" i="2"/>
  <c r="D193" i="2"/>
  <c r="B193" i="2"/>
  <c r="F193" i="2"/>
  <c r="G193" i="2"/>
  <c r="C193" i="2"/>
  <c r="H193" i="2"/>
  <c r="E193" i="2"/>
  <c r="F526" i="2"/>
  <c r="E526" i="2"/>
  <c r="H526" i="2"/>
  <c r="B526" i="2"/>
  <c r="G526" i="2"/>
  <c r="D526" i="2"/>
  <c r="C526" i="2"/>
  <c r="E722" i="2"/>
  <c r="B722" i="2"/>
  <c r="H722" i="2"/>
  <c r="C722" i="2"/>
  <c r="G722" i="2"/>
  <c r="F722" i="2"/>
  <c r="D722" i="2"/>
  <c r="D610" i="2"/>
  <c r="C610" i="2"/>
  <c r="B610" i="2"/>
  <c r="G610" i="2"/>
  <c r="F610" i="2"/>
  <c r="E610" i="2"/>
  <c r="H610" i="2"/>
  <c r="B315" i="2"/>
  <c r="F315" i="2"/>
  <c r="H315" i="2"/>
  <c r="G315" i="2"/>
  <c r="E315" i="2"/>
  <c r="C315" i="2"/>
  <c r="D315" i="2"/>
  <c r="B471" i="2"/>
  <c r="H471" i="2"/>
  <c r="G471" i="2"/>
  <c r="D471" i="2"/>
  <c r="F471" i="2"/>
  <c r="E471" i="2"/>
  <c r="C471" i="2"/>
  <c r="C915" i="2"/>
  <c r="B915" i="2"/>
  <c r="H915" i="2"/>
  <c r="G915" i="2"/>
  <c r="F915" i="2"/>
  <c r="D915" i="2"/>
  <c r="E915" i="2"/>
  <c r="H674" i="2"/>
  <c r="F674" i="2"/>
  <c r="E674" i="2"/>
  <c r="D674" i="2"/>
  <c r="B674" i="2"/>
  <c r="G674" i="2"/>
  <c r="C674" i="2"/>
  <c r="G185" i="2"/>
  <c r="C185" i="2"/>
  <c r="H185" i="2"/>
  <c r="F185" i="2"/>
  <c r="E185" i="2"/>
  <c r="D185" i="2"/>
  <c r="B185" i="2"/>
  <c r="F718" i="2"/>
  <c r="G718" i="2"/>
  <c r="H718" i="2"/>
  <c r="E718" i="2"/>
  <c r="C718" i="2"/>
  <c r="D718" i="2"/>
  <c r="B718" i="2"/>
  <c r="E956" i="2"/>
  <c r="H956" i="2"/>
  <c r="D956" i="2"/>
  <c r="B956" i="2"/>
  <c r="F956" i="2"/>
  <c r="C956" i="2"/>
  <c r="G956" i="2"/>
  <c r="C143" i="2"/>
  <c r="H143" i="2"/>
  <c r="B143" i="2"/>
  <c r="D143" i="2"/>
  <c r="G143" i="2"/>
  <c r="F143" i="2"/>
  <c r="E143" i="2"/>
  <c r="B723" i="2"/>
  <c r="G723" i="2"/>
  <c r="F723" i="2"/>
  <c r="C723" i="2"/>
  <c r="H723" i="2"/>
  <c r="D723" i="2"/>
  <c r="E723" i="2"/>
  <c r="H857" i="2"/>
  <c r="C857" i="2"/>
  <c r="F857" i="2"/>
  <c r="G857" i="2"/>
  <c r="B857" i="2"/>
  <c r="E857" i="2"/>
  <c r="D857" i="2"/>
  <c r="E763" i="2"/>
  <c r="B763" i="2"/>
  <c r="H763" i="2"/>
  <c r="G763" i="2"/>
  <c r="D763" i="2"/>
  <c r="C763" i="2"/>
  <c r="F763" i="2"/>
  <c r="C186" i="2"/>
  <c r="H186" i="2"/>
  <c r="F186" i="2"/>
  <c r="D186" i="2"/>
  <c r="G186" i="2"/>
  <c r="E186" i="2"/>
  <c r="B186" i="2"/>
  <c r="C92" i="2"/>
  <c r="B92" i="2"/>
  <c r="H92" i="2"/>
  <c r="E92" i="2"/>
  <c r="D92" i="2"/>
  <c r="G92" i="2"/>
  <c r="F92" i="2"/>
  <c r="G212" i="2"/>
  <c r="D212" i="2"/>
  <c r="B212" i="2"/>
  <c r="E212" i="2"/>
  <c r="C212" i="2"/>
  <c r="H212" i="2"/>
  <c r="F212" i="2"/>
  <c r="E576" i="2"/>
  <c r="D576" i="2"/>
  <c r="C576" i="2"/>
  <c r="F576" i="2"/>
  <c r="B576" i="2"/>
  <c r="H576" i="2"/>
  <c r="G576" i="2"/>
  <c r="G259" i="2"/>
  <c r="F259" i="2"/>
  <c r="B259" i="2"/>
  <c r="E259" i="2"/>
  <c r="H259" i="2"/>
  <c r="D259" i="2"/>
  <c r="C259" i="2"/>
  <c r="E708" i="2"/>
  <c r="D708" i="2"/>
  <c r="G708" i="2"/>
  <c r="F708" i="2"/>
  <c r="B708" i="2"/>
  <c r="H708" i="2"/>
  <c r="C708" i="2"/>
  <c r="G752" i="2"/>
  <c r="H752" i="2"/>
  <c r="E752" i="2"/>
  <c r="F752" i="2"/>
  <c r="C752" i="2"/>
  <c r="B752" i="2"/>
  <c r="D752" i="2"/>
  <c r="G595" i="2"/>
  <c r="F595" i="2"/>
  <c r="B595" i="2"/>
  <c r="C595" i="2"/>
  <c r="H595" i="2"/>
  <c r="E595" i="2"/>
  <c r="D595" i="2"/>
  <c r="C535" i="2"/>
  <c r="H535" i="2"/>
  <c r="B535" i="2"/>
  <c r="G535" i="2"/>
  <c r="F535" i="2"/>
  <c r="E535" i="2"/>
  <c r="D535" i="2"/>
  <c r="B983" i="2"/>
  <c r="H983" i="2"/>
  <c r="G983" i="2"/>
  <c r="C983" i="2"/>
  <c r="F983" i="2"/>
  <c r="E983" i="2"/>
  <c r="D983" i="2"/>
  <c r="C345" i="2"/>
  <c r="B345" i="2"/>
  <c r="F345" i="2"/>
  <c r="H345" i="2"/>
  <c r="E345" i="2"/>
  <c r="D345" i="2"/>
  <c r="G345" i="2"/>
  <c r="G77" i="2"/>
  <c r="D77" i="2"/>
  <c r="C77" i="2"/>
  <c r="F77" i="2"/>
  <c r="E77" i="2"/>
  <c r="B77" i="2"/>
  <c r="H77" i="2"/>
  <c r="H358" i="2"/>
  <c r="G358" i="2"/>
  <c r="F358" i="2"/>
  <c r="B358" i="2"/>
  <c r="C358" i="2"/>
  <c r="D358" i="2"/>
  <c r="E358" i="2"/>
  <c r="B402" i="2"/>
  <c r="H402" i="2"/>
  <c r="G402" i="2"/>
  <c r="E402" i="2"/>
  <c r="C402" i="2"/>
  <c r="F402" i="2"/>
  <c r="D402" i="2"/>
  <c r="C828" i="2"/>
  <c r="B828" i="2"/>
  <c r="E828" i="2"/>
  <c r="H828" i="2"/>
  <c r="G828" i="2"/>
  <c r="F828" i="2"/>
  <c r="D828" i="2"/>
  <c r="F858" i="2"/>
  <c r="E858" i="2"/>
  <c r="H858" i="2"/>
  <c r="G858" i="2"/>
  <c r="B858" i="2"/>
  <c r="D858" i="2"/>
  <c r="C858" i="2"/>
  <c r="E302" i="2"/>
  <c r="D302" i="2"/>
  <c r="H302" i="2"/>
  <c r="G302" i="2"/>
  <c r="F302" i="2"/>
  <c r="B302" i="2"/>
  <c r="C302" i="2"/>
  <c r="H129" i="2"/>
  <c r="F129" i="2"/>
  <c r="E129" i="2"/>
  <c r="D129" i="2"/>
  <c r="G129" i="2"/>
  <c r="B129" i="2"/>
  <c r="C129" i="2"/>
  <c r="F860" i="2"/>
  <c r="E860" i="2"/>
  <c r="D860" i="2"/>
  <c r="C860" i="2"/>
  <c r="B860" i="2"/>
  <c r="H860" i="2"/>
  <c r="G860" i="2"/>
  <c r="H201" i="2"/>
  <c r="F201" i="2"/>
  <c r="E201" i="2"/>
  <c r="D201" i="2"/>
  <c r="C201" i="2"/>
  <c r="B201" i="2"/>
  <c r="G201" i="2"/>
  <c r="B190" i="2"/>
  <c r="E190" i="2"/>
  <c r="C190" i="2"/>
  <c r="F190" i="2"/>
  <c r="D190" i="2"/>
  <c r="G190" i="2"/>
  <c r="H190" i="2"/>
  <c r="B820" i="2"/>
  <c r="G820" i="2"/>
  <c r="E820" i="2"/>
  <c r="D820" i="2"/>
  <c r="H820" i="2"/>
  <c r="F820" i="2"/>
  <c r="C820" i="2"/>
  <c r="B688" i="2"/>
  <c r="C688" i="2"/>
  <c r="H688" i="2"/>
  <c r="G688" i="2"/>
  <c r="E688" i="2"/>
  <c r="F688" i="2"/>
  <c r="D688" i="2"/>
  <c r="E691" i="2"/>
  <c r="B691" i="2"/>
  <c r="C691" i="2"/>
  <c r="H691" i="2"/>
  <c r="G691" i="2"/>
  <c r="F691" i="2"/>
  <c r="D691" i="2"/>
  <c r="C426" i="2"/>
  <c r="F426" i="2"/>
  <c r="B426" i="2"/>
  <c r="D426" i="2"/>
  <c r="H426" i="2"/>
  <c r="G426" i="2"/>
  <c r="E426" i="2"/>
  <c r="H795" i="2"/>
  <c r="F795" i="2"/>
  <c r="C795" i="2"/>
  <c r="G795" i="2"/>
  <c r="D795" i="2"/>
  <c r="E795" i="2"/>
  <c r="B795" i="2"/>
  <c r="E537" i="2"/>
  <c r="D537" i="2"/>
  <c r="C537" i="2"/>
  <c r="G537" i="2"/>
  <c r="F537" i="2"/>
  <c r="B537" i="2"/>
  <c r="H537" i="2"/>
  <c r="E104" i="2"/>
  <c r="G104" i="2"/>
  <c r="D104" i="2"/>
  <c r="C104" i="2"/>
  <c r="B104" i="2"/>
  <c r="H104" i="2"/>
  <c r="F104" i="2"/>
  <c r="H364" i="2"/>
  <c r="G364" i="2"/>
  <c r="E364" i="2"/>
  <c r="D364" i="2"/>
  <c r="C364" i="2"/>
  <c r="B364" i="2"/>
  <c r="F364" i="2"/>
  <c r="F371" i="2"/>
  <c r="B371" i="2"/>
  <c r="C371" i="2"/>
  <c r="G371" i="2"/>
  <c r="E371" i="2"/>
  <c r="D371" i="2"/>
  <c r="H371" i="2"/>
  <c r="E699" i="2"/>
  <c r="C699" i="2"/>
  <c r="B699" i="2"/>
  <c r="H699" i="2"/>
  <c r="G699" i="2"/>
  <c r="F699" i="2"/>
  <c r="D699" i="2"/>
  <c r="D497" i="2"/>
  <c r="C497" i="2"/>
  <c r="B497" i="2"/>
  <c r="G497" i="2"/>
  <c r="H497" i="2"/>
  <c r="E497" i="2"/>
  <c r="F497" i="2"/>
  <c r="C683" i="2"/>
  <c r="H683" i="2"/>
  <c r="F683" i="2"/>
  <c r="B683" i="2"/>
  <c r="D683" i="2"/>
  <c r="G683" i="2"/>
  <c r="E683" i="2"/>
  <c r="H591" i="2"/>
  <c r="C591" i="2"/>
  <c r="B591" i="2"/>
  <c r="G591" i="2"/>
  <c r="F591" i="2"/>
  <c r="D591" i="2"/>
  <c r="E591" i="2"/>
  <c r="D374" i="2"/>
  <c r="H374" i="2"/>
  <c r="G374" i="2"/>
  <c r="F374" i="2"/>
  <c r="C374" i="2"/>
  <c r="B374" i="2"/>
  <c r="E374" i="2"/>
  <c r="F438" i="2"/>
  <c r="G438" i="2"/>
  <c r="E438" i="2"/>
  <c r="C438" i="2"/>
  <c r="B438" i="2"/>
  <c r="H438" i="2"/>
  <c r="D438" i="2"/>
  <c r="D299" i="2"/>
  <c r="B299" i="2"/>
  <c r="C299" i="2"/>
  <c r="F299" i="2"/>
  <c r="H299" i="2"/>
  <c r="G299" i="2"/>
  <c r="E299" i="2"/>
  <c r="D431" i="2"/>
  <c r="F431" i="2"/>
  <c r="E431" i="2"/>
  <c r="C431" i="2"/>
  <c r="B431" i="2"/>
  <c r="H431" i="2"/>
  <c r="G431" i="2"/>
  <c r="F466" i="2"/>
  <c r="B466" i="2"/>
  <c r="H466" i="2"/>
  <c r="G466" i="2"/>
  <c r="D466" i="2"/>
  <c r="E466" i="2"/>
  <c r="C466" i="2"/>
  <c r="H307" i="2"/>
  <c r="G307" i="2"/>
  <c r="E307" i="2"/>
  <c r="D307" i="2"/>
  <c r="B307" i="2"/>
  <c r="C307" i="2"/>
  <c r="F307" i="2"/>
  <c r="B204" i="2"/>
  <c r="H204" i="2"/>
  <c r="C204" i="2"/>
  <c r="F204" i="2"/>
  <c r="E204" i="2"/>
  <c r="G204" i="2"/>
  <c r="D204" i="2"/>
  <c r="C110" i="2"/>
  <c r="B110" i="2"/>
  <c r="F110" i="2"/>
  <c r="G110" i="2"/>
  <c r="E110" i="2"/>
  <c r="H110" i="2"/>
  <c r="D110" i="2"/>
  <c r="E336" i="2"/>
  <c r="D336" i="2"/>
  <c r="C336" i="2"/>
  <c r="G336" i="2"/>
  <c r="H336" i="2"/>
  <c r="F336" i="2"/>
  <c r="B336" i="2"/>
  <c r="B223" i="2"/>
  <c r="G223" i="2"/>
  <c r="F223" i="2"/>
  <c r="H223" i="2"/>
  <c r="D223" i="2"/>
  <c r="C223" i="2"/>
  <c r="E223" i="2"/>
  <c r="E636" i="2"/>
  <c r="C636" i="2"/>
  <c r="F636" i="2"/>
  <c r="D636" i="2"/>
  <c r="H636" i="2"/>
  <c r="G636" i="2"/>
  <c r="B636" i="2"/>
  <c r="H87" i="2"/>
  <c r="E87" i="2"/>
  <c r="D87" i="2"/>
  <c r="B87" i="2"/>
  <c r="G87" i="2"/>
  <c r="F87" i="2"/>
  <c r="C87" i="2"/>
  <c r="C373" i="2"/>
  <c r="E373" i="2"/>
  <c r="B373" i="2"/>
  <c r="F373" i="2"/>
  <c r="H373" i="2"/>
  <c r="G373" i="2"/>
  <c r="D373" i="2"/>
  <c r="F430" i="2"/>
  <c r="G430" i="2"/>
  <c r="E430" i="2"/>
  <c r="D430" i="2"/>
  <c r="C430" i="2"/>
  <c r="H430" i="2"/>
  <c r="B430" i="2"/>
  <c r="H944" i="2"/>
  <c r="B944" i="2"/>
  <c r="E944" i="2"/>
  <c r="D944" i="2"/>
  <c r="C944" i="2"/>
  <c r="G944" i="2"/>
  <c r="F944" i="2"/>
  <c r="H553" i="2"/>
  <c r="G553" i="2"/>
  <c r="F553" i="2"/>
  <c r="B553" i="2"/>
  <c r="E553" i="2"/>
  <c r="D553" i="2"/>
  <c r="C553" i="2"/>
  <c r="F61" i="2"/>
  <c r="E61" i="2"/>
  <c r="B61" i="2"/>
  <c r="H61" i="2"/>
  <c r="G61" i="2"/>
  <c r="D61" i="2"/>
  <c r="C61" i="2"/>
  <c r="G437" i="2"/>
  <c r="F437" i="2"/>
  <c r="E437" i="2"/>
  <c r="D437" i="2"/>
  <c r="B437" i="2"/>
  <c r="H437" i="2"/>
  <c r="C437" i="2"/>
  <c r="H125" i="2"/>
  <c r="F125" i="2"/>
  <c r="E125" i="2"/>
  <c r="D125" i="2"/>
  <c r="C125" i="2"/>
  <c r="B125" i="2"/>
  <c r="G125" i="2"/>
  <c r="H529" i="2"/>
  <c r="G529" i="2"/>
  <c r="F529" i="2"/>
  <c r="B529" i="2"/>
  <c r="E529" i="2"/>
  <c r="D529" i="2"/>
  <c r="C529" i="2"/>
  <c r="H964" i="2"/>
  <c r="F964" i="2"/>
  <c r="G964" i="2"/>
  <c r="D964" i="2"/>
  <c r="C964" i="2"/>
  <c r="E964" i="2"/>
  <c r="B964" i="2"/>
  <c r="B572" i="2"/>
  <c r="F572" i="2"/>
  <c r="G572" i="2"/>
  <c r="D572" i="2"/>
  <c r="H572" i="2"/>
  <c r="C572" i="2"/>
  <c r="E572" i="2"/>
  <c r="D900" i="2"/>
  <c r="B900" i="2"/>
  <c r="C900" i="2"/>
  <c r="E900" i="2"/>
  <c r="F900" i="2"/>
  <c r="G900" i="2"/>
  <c r="H900" i="2"/>
  <c r="G977" i="2"/>
  <c r="C977" i="2"/>
  <c r="B977" i="2"/>
  <c r="H977" i="2"/>
  <c r="F977" i="2"/>
  <c r="E977" i="2"/>
  <c r="D977" i="2"/>
  <c r="E454" i="2"/>
  <c r="D454" i="2"/>
  <c r="B454" i="2"/>
  <c r="H454" i="2"/>
  <c r="C454" i="2"/>
  <c r="F454" i="2"/>
  <c r="G454" i="2"/>
  <c r="H218" i="2"/>
  <c r="C218" i="2"/>
  <c r="F218" i="2"/>
  <c r="D218" i="2"/>
  <c r="G218" i="2"/>
  <c r="E218" i="2"/>
  <c r="B218" i="2"/>
  <c r="F175" i="2"/>
  <c r="D175" i="2"/>
  <c r="E175" i="2"/>
  <c r="C175" i="2"/>
  <c r="H175" i="2"/>
  <c r="B175" i="2"/>
  <c r="G175" i="2"/>
  <c r="C585" i="2"/>
  <c r="H585" i="2"/>
  <c r="D585" i="2"/>
  <c r="F585" i="2"/>
  <c r="G585" i="2"/>
  <c r="E585" i="2"/>
  <c r="B585" i="2"/>
  <c r="C934" i="2"/>
  <c r="D934" i="2"/>
  <c r="H934" i="2"/>
  <c r="B934" i="2"/>
  <c r="E934" i="2"/>
  <c r="G934" i="2"/>
  <c r="F934" i="2"/>
  <c r="V8" i="5"/>
  <c r="U9" i="5"/>
  <c r="W34" i="5"/>
  <c r="W8" i="5"/>
  <c r="Y6" i="5"/>
  <c r="W37" i="5"/>
  <c r="G391" i="2"/>
  <c r="F391" i="2"/>
  <c r="D391" i="2"/>
  <c r="H391" i="2"/>
  <c r="C391" i="2"/>
  <c r="B391" i="2"/>
  <c r="E391" i="2"/>
  <c r="G159" i="2"/>
  <c r="F159" i="2"/>
  <c r="E159" i="2"/>
  <c r="C159" i="2"/>
  <c r="D159" i="2"/>
  <c r="B159" i="2"/>
  <c r="H159" i="2"/>
  <c r="G328" i="2"/>
  <c r="F328" i="2"/>
  <c r="B328" i="2"/>
  <c r="D328" i="2"/>
  <c r="C328" i="2"/>
  <c r="H328" i="2"/>
  <c r="E328" i="2"/>
  <c r="B457" i="2"/>
  <c r="G457" i="2"/>
  <c r="E457" i="2"/>
  <c r="F457" i="2"/>
  <c r="H457" i="2"/>
  <c r="C457" i="2"/>
  <c r="D457" i="2"/>
  <c r="G248" i="2"/>
  <c r="D248" i="2"/>
  <c r="C248" i="2"/>
  <c r="B248" i="2"/>
  <c r="H248" i="2"/>
  <c r="F248" i="2"/>
  <c r="E248" i="2"/>
  <c r="E397" i="2"/>
  <c r="C397" i="2"/>
  <c r="G397" i="2"/>
  <c r="F397" i="2"/>
  <c r="D397" i="2"/>
  <c r="B397" i="2"/>
  <c r="H397" i="2"/>
  <c r="H360" i="2"/>
  <c r="E360" i="2"/>
  <c r="D360" i="2"/>
  <c r="G360" i="2"/>
  <c r="F360" i="2"/>
  <c r="B360" i="2"/>
  <c r="C360" i="2"/>
  <c r="U36" i="5"/>
  <c r="D644" i="2"/>
  <c r="E644" i="2"/>
  <c r="C644" i="2"/>
  <c r="H644" i="2"/>
  <c r="F644" i="2"/>
  <c r="G644" i="2"/>
  <c r="B644" i="2"/>
  <c r="F486" i="2"/>
  <c r="D486" i="2"/>
  <c r="E486" i="2"/>
  <c r="C486" i="2"/>
  <c r="B486" i="2"/>
  <c r="H486" i="2"/>
  <c r="G486" i="2"/>
  <c r="H488" i="2"/>
  <c r="F488" i="2"/>
  <c r="E488" i="2"/>
  <c r="D488" i="2"/>
  <c r="B488" i="2"/>
  <c r="C488" i="2"/>
  <c r="G488" i="2"/>
  <c r="F78" i="2"/>
  <c r="E78" i="2"/>
  <c r="B78" i="2"/>
  <c r="D78" i="2"/>
  <c r="H78" i="2"/>
  <c r="G78" i="2"/>
  <c r="C78" i="2"/>
  <c r="G756" i="2"/>
  <c r="E756" i="2"/>
  <c r="D756" i="2"/>
  <c r="C756" i="2"/>
  <c r="H756" i="2"/>
  <c r="B756" i="2"/>
  <c r="F756" i="2"/>
  <c r="C776" i="2"/>
  <c r="F776" i="2"/>
  <c r="H776" i="2"/>
  <c r="G776" i="2"/>
  <c r="D776" i="2"/>
  <c r="E776" i="2"/>
  <c r="B776" i="2"/>
  <c r="C491" i="2"/>
  <c r="G491" i="2"/>
  <c r="F491" i="2"/>
  <c r="E491" i="2"/>
  <c r="B491" i="2"/>
  <c r="D491" i="2"/>
  <c r="H491" i="2"/>
  <c r="B611" i="2"/>
  <c r="H611" i="2"/>
  <c r="G611" i="2"/>
  <c r="E611" i="2"/>
  <c r="D611" i="2"/>
  <c r="C611" i="2"/>
  <c r="F611" i="2"/>
  <c r="E866" i="2"/>
  <c r="H866" i="2"/>
  <c r="G866" i="2"/>
  <c r="C866" i="2"/>
  <c r="F866" i="2"/>
  <c r="B866" i="2"/>
  <c r="D866" i="2"/>
  <c r="D446" i="2"/>
  <c r="C446" i="2"/>
  <c r="H446" i="2"/>
  <c r="B446" i="2"/>
  <c r="F446" i="2"/>
  <c r="G446" i="2"/>
  <c r="E446" i="2"/>
  <c r="H872" i="2"/>
  <c r="G872" i="2"/>
  <c r="F872" i="2"/>
  <c r="E872" i="2"/>
  <c r="B872" i="2"/>
  <c r="D872" i="2"/>
  <c r="C872" i="2"/>
  <c r="AE39" i="5"/>
  <c r="D540" i="2"/>
  <c r="B540" i="2"/>
  <c r="E540" i="2"/>
  <c r="H540" i="2"/>
  <c r="C540" i="2"/>
  <c r="G540" i="2"/>
  <c r="F540" i="2"/>
  <c r="F187" i="2"/>
  <c r="C187" i="2"/>
  <c r="H187" i="2"/>
  <c r="E187" i="2"/>
  <c r="D187" i="2"/>
  <c r="B187" i="2"/>
  <c r="G187" i="2"/>
  <c r="F871" i="2"/>
  <c r="E871" i="2"/>
  <c r="B871" i="2"/>
  <c r="G871" i="2"/>
  <c r="D871" i="2"/>
  <c r="C871" i="2"/>
  <c r="H871" i="2"/>
  <c r="E168" i="2"/>
  <c r="G168" i="2"/>
  <c r="D168" i="2"/>
  <c r="C168" i="2"/>
  <c r="F168" i="2"/>
  <c r="B168" i="2"/>
  <c r="H168" i="2"/>
  <c r="B163" i="2"/>
  <c r="G163" i="2"/>
  <c r="F163" i="2"/>
  <c r="C163" i="2"/>
  <c r="H163" i="2"/>
  <c r="E163" i="2"/>
  <c r="D163" i="2"/>
  <c r="F121" i="2"/>
  <c r="E121" i="2"/>
  <c r="D121" i="2"/>
  <c r="G121" i="2"/>
  <c r="B121" i="2"/>
  <c r="H121" i="2"/>
  <c r="C121" i="2"/>
  <c r="B257" i="2"/>
  <c r="D257" i="2"/>
  <c r="E257" i="2"/>
  <c r="H257" i="2"/>
  <c r="G257" i="2"/>
  <c r="F257" i="2"/>
  <c r="C257" i="2"/>
  <c r="F45" i="2"/>
  <c r="H45" i="2"/>
  <c r="D45" i="2"/>
  <c r="C45" i="2"/>
  <c r="G45" i="2" s="1"/>
  <c r="E45" i="2"/>
  <c r="B45" i="2"/>
  <c r="B282" i="2"/>
  <c r="G282" i="2"/>
  <c r="E282" i="2"/>
  <c r="H282" i="2"/>
  <c r="D282" i="2"/>
  <c r="C282" i="2"/>
  <c r="F282" i="2"/>
  <c r="D455" i="2"/>
  <c r="F455" i="2"/>
  <c r="E455" i="2"/>
  <c r="C455" i="2"/>
  <c r="B455" i="2"/>
  <c r="H455" i="2"/>
  <c r="G455" i="2"/>
  <c r="H131" i="2"/>
  <c r="E131" i="2"/>
  <c r="C131" i="2"/>
  <c r="D131" i="2"/>
  <c r="B131" i="2"/>
  <c r="G131" i="2"/>
  <c r="F131" i="2"/>
  <c r="D766" i="2"/>
  <c r="B766" i="2"/>
  <c r="C766" i="2"/>
  <c r="H766" i="2"/>
  <c r="F766" i="2"/>
  <c r="G766" i="2"/>
  <c r="E766" i="2"/>
  <c r="F563" i="2"/>
  <c r="E563" i="2"/>
  <c r="D563" i="2"/>
  <c r="H563" i="2"/>
  <c r="B563" i="2"/>
  <c r="G563" i="2"/>
  <c r="C563" i="2"/>
  <c r="B760" i="2"/>
  <c r="F760" i="2"/>
  <c r="C760" i="2"/>
  <c r="G760" i="2"/>
  <c r="H760" i="2"/>
  <c r="E760" i="2"/>
  <c r="D760" i="2"/>
  <c r="B285" i="2"/>
  <c r="F285" i="2"/>
  <c r="H285" i="2"/>
  <c r="G285" i="2"/>
  <c r="C285" i="2"/>
  <c r="E285" i="2"/>
  <c r="D285" i="2"/>
  <c r="D103" i="2"/>
  <c r="B103" i="2"/>
  <c r="G103" i="2"/>
  <c r="F103" i="2"/>
  <c r="E103" i="2"/>
  <c r="H103" i="2"/>
  <c r="C103" i="2"/>
  <c r="B660" i="2"/>
  <c r="H660" i="2"/>
  <c r="C660" i="2"/>
  <c r="G660" i="2"/>
  <c r="D660" i="2"/>
  <c r="E660" i="2"/>
  <c r="F660" i="2"/>
  <c r="F813" i="2"/>
  <c r="E813" i="2"/>
  <c r="D813" i="2"/>
  <c r="C813" i="2"/>
  <c r="B813" i="2"/>
  <c r="H813" i="2"/>
  <c r="G813" i="2"/>
  <c r="D508" i="2"/>
  <c r="B508" i="2"/>
  <c r="G508" i="2"/>
  <c r="C508" i="2"/>
  <c r="F508" i="2"/>
  <c r="E508" i="2"/>
  <c r="H508" i="2"/>
  <c r="G335" i="2"/>
  <c r="F335" i="2"/>
  <c r="E335" i="2"/>
  <c r="D335" i="2"/>
  <c r="C335" i="2"/>
  <c r="H335" i="2"/>
  <c r="B335" i="2"/>
  <c r="G417" i="2"/>
  <c r="F417" i="2"/>
  <c r="E417" i="2"/>
  <c r="D417" i="2"/>
  <c r="B417" i="2"/>
  <c r="H417" i="2"/>
  <c r="C417" i="2"/>
  <c r="C947" i="2"/>
  <c r="E947" i="2"/>
  <c r="B947" i="2"/>
  <c r="H947" i="2"/>
  <c r="F947" i="2"/>
  <c r="D947" i="2"/>
  <c r="G947" i="2"/>
  <c r="E757" i="2"/>
  <c r="D757" i="2"/>
  <c r="C757" i="2"/>
  <c r="B757" i="2"/>
  <c r="H757" i="2"/>
  <c r="G757" i="2"/>
  <c r="F757" i="2"/>
  <c r="B943" i="2"/>
  <c r="E943" i="2"/>
  <c r="C943" i="2"/>
  <c r="H943" i="2"/>
  <c r="D943" i="2"/>
  <c r="G943" i="2"/>
  <c r="F943" i="2"/>
  <c r="F759" i="2"/>
  <c r="D759" i="2"/>
  <c r="E759" i="2"/>
  <c r="B759" i="2"/>
  <c r="G759" i="2"/>
  <c r="H759" i="2"/>
  <c r="C759" i="2"/>
  <c r="D515" i="2"/>
  <c r="H515" i="2"/>
  <c r="C515" i="2"/>
  <c r="G515" i="2"/>
  <c r="F515" i="2"/>
  <c r="E515" i="2"/>
  <c r="B515" i="2"/>
  <c r="D503" i="2"/>
  <c r="C503" i="2"/>
  <c r="H503" i="2"/>
  <c r="F503" i="2"/>
  <c r="E503" i="2"/>
  <c r="B503" i="2"/>
  <c r="G503" i="2"/>
  <c r="B694" i="2"/>
  <c r="H694" i="2"/>
  <c r="F694" i="2"/>
  <c r="E694" i="2"/>
  <c r="G694" i="2"/>
  <c r="C694" i="2"/>
  <c r="D694" i="2"/>
  <c r="B258" i="2"/>
  <c r="C258" i="2"/>
  <c r="F258" i="2"/>
  <c r="G258" i="2"/>
  <c r="E258" i="2"/>
  <c r="D258" i="2"/>
  <c r="H258" i="2"/>
  <c r="F305" i="2"/>
  <c r="D305" i="2"/>
  <c r="C305" i="2"/>
  <c r="B305" i="2"/>
  <c r="H305" i="2"/>
  <c r="E305" i="2"/>
  <c r="G305" i="2"/>
  <c r="G913" i="2"/>
  <c r="H913" i="2"/>
  <c r="C913" i="2"/>
  <c r="B913" i="2"/>
  <c r="E913" i="2"/>
  <c r="F913" i="2"/>
  <c r="D913" i="2"/>
  <c r="C886" i="2"/>
  <c r="B886" i="2"/>
  <c r="F886" i="2"/>
  <c r="D886" i="2"/>
  <c r="H886" i="2"/>
  <c r="G886" i="2"/>
  <c r="E886" i="2"/>
  <c r="G134" i="2"/>
  <c r="E134" i="2"/>
  <c r="C134" i="2"/>
  <c r="H134" i="2"/>
  <c r="F134" i="2"/>
  <c r="D134" i="2"/>
  <c r="B134" i="2"/>
  <c r="D424" i="2"/>
  <c r="F424" i="2"/>
  <c r="E424" i="2"/>
  <c r="C424" i="2"/>
  <c r="B424" i="2"/>
  <c r="H424" i="2"/>
  <c r="G424" i="2"/>
  <c r="D573" i="2"/>
  <c r="F573" i="2"/>
  <c r="E573" i="2"/>
  <c r="H573" i="2"/>
  <c r="G573" i="2"/>
  <c r="C573" i="2"/>
  <c r="B573" i="2"/>
  <c r="B650" i="2"/>
  <c r="H650" i="2"/>
  <c r="F650" i="2"/>
  <c r="E650" i="2"/>
  <c r="D650" i="2"/>
  <c r="G650" i="2"/>
  <c r="C650" i="2"/>
  <c r="B277" i="2"/>
  <c r="D277" i="2"/>
  <c r="F277" i="2"/>
  <c r="H277" i="2"/>
  <c r="G277" i="2"/>
  <c r="C277" i="2"/>
  <c r="E277" i="2"/>
  <c r="B623" i="2"/>
  <c r="G623" i="2"/>
  <c r="H623" i="2"/>
  <c r="D623" i="2"/>
  <c r="C623" i="2"/>
  <c r="E623" i="2"/>
  <c r="F623" i="2"/>
  <c r="C409" i="2"/>
  <c r="B409" i="2"/>
  <c r="D409" i="2"/>
  <c r="G409" i="2"/>
  <c r="E409" i="2"/>
  <c r="F409" i="2"/>
  <c r="H409" i="2"/>
  <c r="H344" i="2"/>
  <c r="E344" i="2"/>
  <c r="D344" i="2"/>
  <c r="C344" i="2"/>
  <c r="G344" i="2"/>
  <c r="F344" i="2"/>
  <c r="B344" i="2"/>
  <c r="D785" i="2"/>
  <c r="E785" i="2"/>
  <c r="G785" i="2"/>
  <c r="C785" i="2"/>
  <c r="B785" i="2"/>
  <c r="H785" i="2"/>
  <c r="F785" i="2"/>
  <c r="G791" i="2"/>
  <c r="F791" i="2"/>
  <c r="D791" i="2"/>
  <c r="C791" i="2"/>
  <c r="B791" i="2"/>
  <c r="H791" i="2"/>
  <c r="E791" i="2"/>
  <c r="E177" i="2"/>
  <c r="D177" i="2"/>
  <c r="G177" i="2"/>
  <c r="C177" i="2"/>
  <c r="H177" i="2"/>
  <c r="F177" i="2"/>
  <c r="B177" i="2"/>
  <c r="F46" i="2"/>
  <c r="E46" i="2"/>
  <c r="B46" i="2"/>
  <c r="H46" i="2"/>
  <c r="D46" i="2"/>
  <c r="G46" i="2"/>
  <c r="C46" i="2"/>
  <c r="G505" i="2"/>
  <c r="F505" i="2"/>
  <c r="D505" i="2"/>
  <c r="H505" i="2"/>
  <c r="E505" i="2"/>
  <c r="C505" i="2"/>
  <c r="B505" i="2"/>
  <c r="D275" i="2"/>
  <c r="H275" i="2"/>
  <c r="G275" i="2"/>
  <c r="E275" i="2"/>
  <c r="B275" i="2"/>
  <c r="F275" i="2"/>
  <c r="C275" i="2"/>
  <c r="B340" i="2"/>
  <c r="F340" i="2"/>
  <c r="H340" i="2"/>
  <c r="G340" i="2"/>
  <c r="D340" i="2"/>
  <c r="E340" i="2"/>
  <c r="C340" i="2"/>
  <c r="G331" i="2"/>
  <c r="E331" i="2"/>
  <c r="D331" i="2"/>
  <c r="B331" i="2"/>
  <c r="C331" i="2"/>
  <c r="F331" i="2"/>
  <c r="H331" i="2"/>
  <c r="F823" i="2"/>
  <c r="H823" i="2"/>
  <c r="D823" i="2"/>
  <c r="C823" i="2"/>
  <c r="E823" i="2"/>
  <c r="G823" i="2"/>
  <c r="B823" i="2"/>
  <c r="F235" i="2"/>
  <c r="H235" i="2"/>
  <c r="E235" i="2"/>
  <c r="C235" i="2"/>
  <c r="D235" i="2"/>
  <c r="B235" i="2"/>
  <c r="G235" i="2"/>
  <c r="C710" i="2"/>
  <c r="D710" i="2"/>
  <c r="B710" i="2"/>
  <c r="H710" i="2"/>
  <c r="G710" i="2"/>
  <c r="F710" i="2"/>
  <c r="E710" i="2"/>
  <c r="F26" i="2"/>
  <c r="D26" i="2"/>
  <c r="W32" i="5" s="1"/>
  <c r="E26" i="2"/>
  <c r="X32" i="5" s="1"/>
  <c r="B26" i="2"/>
  <c r="H26" i="2"/>
  <c r="C26" i="2"/>
  <c r="V32" i="5" s="1"/>
  <c r="H155" i="2"/>
  <c r="E155" i="2"/>
  <c r="C155" i="2"/>
  <c r="G155" i="2"/>
  <c r="F155" i="2"/>
  <c r="D155" i="2"/>
  <c r="B155" i="2"/>
  <c r="F337" i="2"/>
  <c r="D337" i="2"/>
  <c r="C337" i="2"/>
  <c r="B337" i="2"/>
  <c r="H337" i="2"/>
  <c r="G337" i="2"/>
  <c r="E337" i="2"/>
  <c r="AE11" i="5"/>
  <c r="Y7" i="5"/>
  <c r="V7" i="5"/>
  <c r="W38" i="5"/>
  <c r="AE9" i="5"/>
  <c r="Y9" i="5"/>
  <c r="AE34" i="5"/>
  <c r="B706" i="2"/>
  <c r="H706" i="2"/>
  <c r="F706" i="2"/>
  <c r="E706" i="2"/>
  <c r="D706" i="2"/>
  <c r="C706" i="2"/>
  <c r="G706" i="2"/>
  <c r="E247" i="2"/>
  <c r="C247" i="2"/>
  <c r="H247" i="2"/>
  <c r="B247" i="2"/>
  <c r="G247" i="2"/>
  <c r="F247" i="2"/>
  <c r="D247" i="2"/>
  <c r="C762" i="2"/>
  <c r="E762" i="2"/>
  <c r="H762" i="2"/>
  <c r="F762" i="2"/>
  <c r="B762" i="2"/>
  <c r="G762" i="2"/>
  <c r="D762" i="2"/>
  <c r="C237" i="2"/>
  <c r="B237" i="2"/>
  <c r="F237" i="2"/>
  <c r="H237" i="2"/>
  <c r="E237" i="2"/>
  <c r="D237" i="2"/>
  <c r="G237" i="2"/>
  <c r="E119" i="2"/>
  <c r="B119" i="2"/>
  <c r="G119" i="2"/>
  <c r="D119" i="2"/>
  <c r="F119" i="2"/>
  <c r="H119" i="2"/>
  <c r="C119" i="2"/>
  <c r="E290" i="2"/>
  <c r="G290" i="2"/>
  <c r="F290" i="2"/>
  <c r="B290" i="2"/>
  <c r="C290" i="2"/>
  <c r="H290" i="2"/>
  <c r="D290" i="2"/>
  <c r="F381" i="2"/>
  <c r="H381" i="2"/>
  <c r="G381" i="2"/>
  <c r="D381" i="2"/>
  <c r="C381" i="2"/>
  <c r="E381" i="2"/>
  <c r="B381" i="2"/>
  <c r="C790" i="2"/>
  <c r="B790" i="2"/>
  <c r="F790" i="2"/>
  <c r="D790" i="2"/>
  <c r="G790" i="2"/>
  <c r="H790" i="2"/>
  <c r="E790" i="2"/>
  <c r="G787" i="2"/>
  <c r="F787" i="2"/>
  <c r="E787" i="2"/>
  <c r="B787" i="2"/>
  <c r="D787" i="2"/>
  <c r="C787" i="2"/>
  <c r="H787" i="2"/>
  <c r="F326" i="2"/>
  <c r="B326" i="2"/>
  <c r="C326" i="2"/>
  <c r="E326" i="2"/>
  <c r="D326" i="2"/>
  <c r="H326" i="2"/>
  <c r="G326" i="2"/>
  <c r="F816" i="2"/>
  <c r="H816" i="2"/>
  <c r="C816" i="2"/>
  <c r="B816" i="2"/>
  <c r="G816" i="2"/>
  <c r="E816" i="2"/>
  <c r="D816" i="2"/>
  <c r="C534" i="2"/>
  <c r="F534" i="2"/>
  <c r="E534" i="2"/>
  <c r="H534" i="2"/>
  <c r="B534" i="2"/>
  <c r="G534" i="2"/>
  <c r="D534" i="2"/>
  <c r="H608" i="2"/>
  <c r="G608" i="2"/>
  <c r="E608" i="2"/>
  <c r="D608" i="2"/>
  <c r="F608" i="2"/>
  <c r="B608" i="2"/>
  <c r="C608" i="2"/>
  <c r="B440" i="2"/>
  <c r="F440" i="2"/>
  <c r="H440" i="2"/>
  <c r="G440" i="2"/>
  <c r="E440" i="2"/>
  <c r="D440" i="2"/>
  <c r="C440" i="2"/>
  <c r="B47" i="2"/>
  <c r="E47" i="2"/>
  <c r="D47" i="2"/>
  <c r="H47" i="2"/>
  <c r="G47" i="2"/>
  <c r="F47" i="2"/>
  <c r="C47" i="2"/>
  <c r="H461" i="2"/>
  <c r="G461" i="2"/>
  <c r="F461" i="2"/>
  <c r="E461" i="2"/>
  <c r="D461" i="2"/>
  <c r="C461" i="2"/>
  <c r="B461" i="2"/>
  <c r="H386" i="2"/>
  <c r="B386" i="2"/>
  <c r="D386" i="2"/>
  <c r="C386" i="2"/>
  <c r="E386" i="2"/>
  <c r="G386" i="2"/>
  <c r="F386" i="2"/>
  <c r="E99" i="2"/>
  <c r="D99" i="2"/>
  <c r="B99" i="2"/>
  <c r="F99" i="2"/>
  <c r="H99" i="2"/>
  <c r="C99" i="2"/>
  <c r="G99" i="2"/>
  <c r="B148" i="2"/>
  <c r="H148" i="2"/>
  <c r="F148" i="2"/>
  <c r="C148" i="2"/>
  <c r="G148" i="2"/>
  <c r="D148" i="2"/>
  <c r="E148" i="2"/>
  <c r="E771" i="2"/>
  <c r="B771" i="2"/>
  <c r="D771" i="2"/>
  <c r="F771" i="2"/>
  <c r="C771" i="2"/>
  <c r="H771" i="2"/>
  <c r="G771" i="2"/>
  <c r="B677" i="2"/>
  <c r="H677" i="2"/>
  <c r="E677" i="2"/>
  <c r="C677" i="2"/>
  <c r="G677" i="2"/>
  <c r="D677" i="2"/>
  <c r="F677" i="2"/>
  <c r="D852" i="2"/>
  <c r="C852" i="2"/>
  <c r="B852" i="2"/>
  <c r="H852" i="2"/>
  <c r="G852" i="2"/>
  <c r="F852" i="2"/>
  <c r="E852" i="2"/>
  <c r="F273" i="2"/>
  <c r="D273" i="2"/>
  <c r="C273" i="2"/>
  <c r="B273" i="2"/>
  <c r="G273" i="2"/>
  <c r="H273" i="2"/>
  <c r="E273" i="2"/>
  <c r="H467" i="2"/>
  <c r="G467" i="2"/>
  <c r="C467" i="2"/>
  <c r="E467" i="2"/>
  <c r="B467" i="2"/>
  <c r="D467" i="2"/>
  <c r="F467" i="2"/>
  <c r="C48" i="2"/>
  <c r="H48" i="2"/>
  <c r="G48" i="2"/>
  <c r="D48" i="2"/>
  <c r="B48" i="2"/>
  <c r="F48" i="2"/>
  <c r="E48" i="2"/>
  <c r="B410" i="2"/>
  <c r="H410" i="2"/>
  <c r="D410" i="2"/>
  <c r="C410" i="2"/>
  <c r="F410" i="2"/>
  <c r="G410" i="2"/>
  <c r="E410" i="2"/>
  <c r="C575" i="2"/>
  <c r="B575" i="2"/>
  <c r="F575" i="2"/>
  <c r="E575" i="2"/>
  <c r="H575" i="2"/>
  <c r="D575" i="2"/>
  <c r="G575" i="2"/>
  <c r="B484" i="2"/>
  <c r="G484" i="2"/>
  <c r="C484" i="2"/>
  <c r="D484" i="2"/>
  <c r="H484" i="2"/>
  <c r="F484" i="2"/>
  <c r="E484" i="2"/>
  <c r="F256" i="2"/>
  <c r="D256" i="2"/>
  <c r="B256" i="2"/>
  <c r="H256" i="2"/>
  <c r="E256" i="2"/>
  <c r="C256" i="2"/>
  <c r="G256" i="2"/>
  <c r="E689" i="2"/>
  <c r="C689" i="2"/>
  <c r="G689" i="2"/>
  <c r="F689" i="2"/>
  <c r="D689" i="2"/>
  <c r="B689" i="2"/>
  <c r="H689" i="2"/>
  <c r="F150" i="2"/>
  <c r="D150" i="2"/>
  <c r="G150" i="2"/>
  <c r="E150" i="2"/>
  <c r="H150" i="2"/>
  <c r="C150" i="2"/>
  <c r="B150" i="2"/>
  <c r="F888" i="2"/>
  <c r="E888" i="2"/>
  <c r="B888" i="2"/>
  <c r="C888" i="2"/>
  <c r="G888" i="2"/>
  <c r="H888" i="2"/>
  <c r="D888" i="2"/>
  <c r="C528" i="2"/>
  <c r="E528" i="2"/>
  <c r="H528" i="2"/>
  <c r="D528" i="2"/>
  <c r="G528" i="2"/>
  <c r="F528" i="2"/>
  <c r="B528" i="2"/>
  <c r="D395" i="2"/>
  <c r="E395" i="2"/>
  <c r="C395" i="2"/>
  <c r="H395" i="2"/>
  <c r="G395" i="2"/>
  <c r="F395" i="2"/>
  <c r="B395" i="2"/>
  <c r="B472" i="2"/>
  <c r="E472" i="2"/>
  <c r="D472" i="2"/>
  <c r="C472" i="2"/>
  <c r="H472" i="2"/>
  <c r="G472" i="2"/>
  <c r="F472" i="2"/>
  <c r="D403" i="2"/>
  <c r="E403" i="2"/>
  <c r="G403" i="2"/>
  <c r="H403" i="2"/>
  <c r="F403" i="2"/>
  <c r="C403" i="2"/>
  <c r="B403" i="2"/>
  <c r="C734" i="2"/>
  <c r="D734" i="2"/>
  <c r="B734" i="2"/>
  <c r="H734" i="2"/>
  <c r="G734" i="2"/>
  <c r="E734" i="2"/>
  <c r="F734" i="2"/>
  <c r="F631" i="2"/>
  <c r="D631" i="2"/>
  <c r="C631" i="2"/>
  <c r="E631" i="2"/>
  <c r="H631" i="2"/>
  <c r="B631" i="2"/>
  <c r="G631" i="2"/>
  <c r="D181" i="2"/>
  <c r="C181" i="2"/>
  <c r="B181" i="2"/>
  <c r="G181" i="2"/>
  <c r="H181" i="2"/>
  <c r="F181" i="2"/>
  <c r="E181" i="2"/>
  <c r="D527" i="2"/>
  <c r="C527" i="2"/>
  <c r="H527" i="2"/>
  <c r="B527" i="2"/>
  <c r="G527" i="2"/>
  <c r="F527" i="2"/>
  <c r="E527" i="2"/>
  <c r="F269" i="2"/>
  <c r="H269" i="2"/>
  <c r="G269" i="2"/>
  <c r="C269" i="2"/>
  <c r="D269" i="2"/>
  <c r="B269" i="2"/>
  <c r="E269" i="2"/>
  <c r="B293" i="2"/>
  <c r="F293" i="2"/>
  <c r="H293" i="2"/>
  <c r="G293" i="2"/>
  <c r="C293" i="2"/>
  <c r="E293" i="2"/>
  <c r="D293" i="2"/>
  <c r="B516" i="2"/>
  <c r="H516" i="2"/>
  <c r="D516" i="2"/>
  <c r="E516" i="2"/>
  <c r="C516" i="2"/>
  <c r="G516" i="2"/>
  <c r="F516" i="2"/>
  <c r="D693" i="2"/>
  <c r="C693" i="2"/>
  <c r="B693" i="2"/>
  <c r="G693" i="2"/>
  <c r="F693" i="2"/>
  <c r="E693" i="2"/>
  <c r="H693" i="2"/>
  <c r="D115" i="2"/>
  <c r="B115" i="2"/>
  <c r="G115" i="2"/>
  <c r="H115" i="2"/>
  <c r="E115" i="2"/>
  <c r="C115" i="2"/>
  <c r="F115" i="2"/>
  <c r="B625" i="2"/>
  <c r="F625" i="2"/>
  <c r="E625" i="2"/>
  <c r="C625" i="2"/>
  <c r="G625" i="2"/>
  <c r="D625" i="2"/>
  <c r="H625" i="2"/>
  <c r="U7" i="5"/>
  <c r="AE40" i="5"/>
  <c r="AE8" i="5"/>
  <c r="X10" i="5"/>
  <c r="X6" i="5"/>
  <c r="V9" i="5"/>
  <c r="Y11" i="5"/>
  <c r="C363" i="2"/>
  <c r="G363" i="2"/>
  <c r="F363" i="2"/>
  <c r="H363" i="2"/>
  <c r="D363" i="2"/>
  <c r="B363" i="2"/>
  <c r="E363" i="2"/>
  <c r="G712" i="2"/>
  <c r="H712" i="2"/>
  <c r="E712" i="2"/>
  <c r="D712" i="2"/>
  <c r="F712" i="2"/>
  <c r="C712" i="2"/>
  <c r="B712" i="2"/>
  <c r="G902" i="2"/>
  <c r="E902" i="2"/>
  <c r="C902" i="2"/>
  <c r="B902" i="2"/>
  <c r="D902" i="2"/>
  <c r="H902" i="2"/>
  <c r="F902" i="2"/>
  <c r="B517" i="2"/>
  <c r="E517" i="2"/>
  <c r="C517" i="2"/>
  <c r="D517" i="2"/>
  <c r="H517" i="2"/>
  <c r="G517" i="2"/>
  <c r="F517" i="2"/>
  <c r="F933" i="2"/>
  <c r="E933" i="2"/>
  <c r="D933" i="2"/>
  <c r="C933" i="2"/>
  <c r="B933" i="2"/>
  <c r="G933" i="2"/>
  <c r="H933" i="2"/>
  <c r="F839" i="2"/>
  <c r="E839" i="2"/>
  <c r="B839" i="2"/>
  <c r="H839" i="2"/>
  <c r="D839" i="2"/>
  <c r="C839" i="2"/>
  <c r="G839" i="2"/>
  <c r="X36" i="5"/>
  <c r="B520" i="2"/>
  <c r="H520" i="2"/>
  <c r="D520" i="2"/>
  <c r="C520" i="2"/>
  <c r="G520" i="2"/>
  <c r="F520" i="2"/>
  <c r="E520" i="2"/>
  <c r="G949" i="2"/>
  <c r="H949" i="2"/>
  <c r="F949" i="2"/>
  <c r="B949" i="2"/>
  <c r="C949" i="2"/>
  <c r="E949" i="2"/>
  <c r="D949" i="2"/>
  <c r="B533" i="2"/>
  <c r="E533" i="2"/>
  <c r="D533" i="2"/>
  <c r="C533" i="2"/>
  <c r="H533" i="2"/>
  <c r="G533" i="2"/>
  <c r="F533" i="2"/>
  <c r="E976" i="2"/>
  <c r="D976" i="2"/>
  <c r="G976" i="2"/>
  <c r="C976" i="2"/>
  <c r="B976" i="2"/>
  <c r="H976" i="2"/>
  <c r="F976" i="2"/>
  <c r="H372" i="2"/>
  <c r="G372" i="2"/>
  <c r="E372" i="2"/>
  <c r="B372" i="2"/>
  <c r="C372" i="2"/>
  <c r="D372" i="2"/>
  <c r="F372" i="2"/>
  <c r="C549" i="2"/>
  <c r="H549" i="2"/>
  <c r="G549" i="2"/>
  <c r="F549" i="2"/>
  <c r="B549" i="2"/>
  <c r="E549" i="2"/>
  <c r="D549" i="2"/>
  <c r="D697" i="2"/>
  <c r="C697" i="2"/>
  <c r="B697" i="2"/>
  <c r="H697" i="2"/>
  <c r="G697" i="2"/>
  <c r="F697" i="2"/>
  <c r="E697" i="2"/>
  <c r="C151" i="2"/>
  <c r="H151" i="2"/>
  <c r="D151" i="2"/>
  <c r="G151" i="2"/>
  <c r="F151" i="2"/>
  <c r="E151" i="2"/>
  <c r="B151" i="2"/>
  <c r="C772" i="2"/>
  <c r="D772" i="2"/>
  <c r="F772" i="2"/>
  <c r="B772" i="2"/>
  <c r="E772" i="2"/>
  <c r="H772" i="2"/>
  <c r="G772" i="2"/>
  <c r="U38" i="5"/>
  <c r="D241" i="2"/>
  <c r="G241" i="2"/>
  <c r="B241" i="2"/>
  <c r="C241" i="2"/>
  <c r="H241" i="2"/>
  <c r="F241" i="2"/>
  <c r="E241" i="2"/>
  <c r="W39" i="5"/>
  <c r="C75" i="2"/>
  <c r="H75" i="2"/>
  <c r="G75" i="2"/>
  <c r="F75" i="2"/>
  <c r="E75" i="2"/>
  <c r="B75" i="2"/>
  <c r="D75" i="2"/>
  <c r="B105" i="2"/>
  <c r="C105" i="2"/>
  <c r="F105" i="2"/>
  <c r="H105" i="2"/>
  <c r="E105" i="2"/>
  <c r="D105" i="2"/>
  <c r="G105" i="2"/>
  <c r="C836" i="2"/>
  <c r="D836" i="2"/>
  <c r="H836" i="2"/>
  <c r="G836" i="2"/>
  <c r="F836" i="2"/>
  <c r="E836" i="2"/>
  <c r="B836" i="2"/>
  <c r="F123" i="2"/>
  <c r="H123" i="2"/>
  <c r="C123" i="2"/>
  <c r="E123" i="2"/>
  <c r="D123" i="2"/>
  <c r="B123" i="2"/>
  <c r="G123" i="2"/>
  <c r="G742" i="2"/>
  <c r="F742" i="2"/>
  <c r="E742" i="2"/>
  <c r="C742" i="2"/>
  <c r="D742" i="2"/>
  <c r="B742" i="2"/>
  <c r="H742" i="2"/>
  <c r="E536" i="2"/>
  <c r="C536" i="2"/>
  <c r="G536" i="2"/>
  <c r="F536" i="2"/>
  <c r="B536" i="2"/>
  <c r="H536" i="2"/>
  <c r="D536" i="2"/>
  <c r="G139" i="3"/>
  <c r="G140" i="3" s="1"/>
  <c r="G141" i="3" s="1"/>
  <c r="G142" i="3" s="1"/>
  <c r="G143" i="3" s="1"/>
  <c r="G132" i="3"/>
  <c r="G43" i="2" l="1"/>
  <c r="G26" i="2"/>
  <c r="Y32" i="5" s="1"/>
  <c r="G30" i="2"/>
  <c r="Y37" i="5" s="1"/>
  <c r="V33" i="5"/>
  <c r="AE32" i="5"/>
  <c r="X33" i="5"/>
  <c r="U32" i="5"/>
  <c r="G37" i="2"/>
  <c r="W33" i="5"/>
  <c r="G27" i="2"/>
  <c r="Y33" i="5" s="1"/>
  <c r="G138" i="3"/>
  <c r="G145" i="3"/>
  <c r="G146" i="3" s="1"/>
  <c r="G147" i="3" s="1"/>
  <c r="G148" i="3" s="1"/>
  <c r="G149" i="3" s="1"/>
  <c r="G150" i="3" s="1"/>
  <c r="G152" i="3" l="1"/>
  <c r="G153" i="3" s="1"/>
  <c r="G154" i="3" s="1"/>
  <c r="G144" i="3"/>
  <c r="G156" i="3" l="1"/>
  <c r="G157" i="3" s="1"/>
  <c r="G158" i="3" s="1"/>
  <c r="G159" i="3" s="1"/>
  <c r="G151" i="3"/>
  <c r="G155" i="3" l="1"/>
  <c r="G161" i="3"/>
  <c r="G162" i="3" s="1"/>
  <c r="G163" i="3" s="1"/>
  <c r="G164" i="3" s="1"/>
  <c r="G165" i="3" s="1"/>
  <c r="G166" i="3" s="1"/>
  <c r="G167" i="3" s="1"/>
  <c r="G168" i="3" s="1"/>
  <c r="G170" i="3" l="1"/>
  <c r="G171" i="3" s="1"/>
  <c r="G172" i="3" s="1"/>
  <c r="G173" i="3" s="1"/>
  <c r="G174" i="3" s="1"/>
  <c r="G169" i="3" s="1"/>
  <c r="G16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290" authorId="0" shapeId="0" xr:uid="{00000000-0006-0000-0000-000001000000}">
      <text>
        <r>
          <rPr>
            <sz val="10"/>
            <rFont val="Arial"/>
            <family val="2"/>
          </rPr>
          <t>Mirian Martinez Paredes:
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<sst xmlns="http://schemas.openxmlformats.org/spreadsheetml/2006/main" count="1955" uniqueCount="266">
  <si>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</si>
  <si>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</si>
  <si>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</si>
  <si>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</si>
  <si>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</si>
  <si>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</si>
  <si>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</si>
  <si>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</si>
  <si>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</si>
  <si>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LOTE/PROVEEDOR</t>
  </si>
  <si>
    <t>Observación</t>
  </si>
  <si>
    <t>PROCESO</t>
  </si>
  <si>
    <t>C</t>
  </si>
  <si>
    <t>jabas</t>
  </si>
  <si>
    <t>Restituido: registro de Calidad C del 03/08 eliminado por error (detectado 19/08); el ENVÍO de ese día quedaba sin cobertura (-1)</t>
  </si>
  <si>
    <t>SALDO INICIAL</t>
  </si>
  <si>
    <t>M</t>
  </si>
  <si>
    <t>Chancho</t>
  </si>
  <si>
    <t>sacos</t>
  </si>
  <si>
    <t>COMPRA</t>
  </si>
  <si>
    <t>—</t>
  </si>
  <si>
    <t>peso aprox 95 kg/saco</t>
  </si>
  <si>
    <t>A</t>
  </si>
  <si>
    <t>P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</si>
  <si>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</si>
  <si>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</si>
  <si>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</si>
  <si>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</si>
  <si>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</si>
  <si>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</si>
  <si>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</si>
  <si>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</si>
  <si>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</si>
  <si>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</si>
  <si>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</si>
  <si>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</si>
  <si>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</si>
  <si>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</si>
  <si>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</si>
  <si>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</si>
  <si>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</si>
  <si>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</si>
  <si>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</si>
  <si>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</si>
  <si>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</si>
  <si>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</si>
  <si>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</si>
  <si>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</si>
  <si>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</si>
  <si>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FALTA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</si>
  <si>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</si>
  <si>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</si>
  <si>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</si>
  <si>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</si>
  <si>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</si>
  <si>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</si>
  <si>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</si>
  <si>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</si>
  <si>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</si>
  <si>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</si>
  <si>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</si>
  <si>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</si>
  <si>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</si>
  <si>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</si>
  <si>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</si>
  <si>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</si>
  <si>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</si>
  <si>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</si>
  <si>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</si>
  <si>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</si>
  <si>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</si>
  <si>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</si>
  <si>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</si>
  <si>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</si>
  <si>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</si>
  <si>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</si>
  <si>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</si>
  <si>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</si>
  <si>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</si>
  <si>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</si>
  <si>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</si>
  <si>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</si>
  <si>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</si>
  <si>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</si>
  <si>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</si>
  <si>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</si>
  <si>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</si>
  <si>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</si>
  <si>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</si>
  <si>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</si>
  <si>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PENDIENTE</t>
  </si>
  <si>
    <t>regalo para el señor de la Uva. Ticket pendiente</t>
  </si>
  <si>
    <t>JEISON DE LA CRUZ MANRIQUE</t>
  </si>
  <si>
    <t xml:space="preserve">Se compró el 08-08 / 101 sacos , solo se procesó </t>
  </si>
  <si>
    <t>TCK002-744</t>
  </si>
  <si>
    <t>Carlos Gonzales</t>
  </si>
  <si>
    <t>Diferencia de los 101 sacos comprados el dia Sab08-08</t>
  </si>
  <si>
    <t>TCK002-745</t>
  </si>
  <si>
    <t>CAMPOS PROPIOS</t>
  </si>
  <si>
    <t>CASAS_2026</t>
  </si>
  <si>
    <t>Ticket Pendiente</t>
  </si>
  <si>
    <t>SE COMPRÓ 103 SACOS</t>
  </si>
  <si>
    <t>saldo de los 103 quedan aún 38 sacos</t>
  </si>
  <si>
    <t>TCK002-749</t>
  </si>
  <si>
    <t>Lourdes Quispe</t>
  </si>
  <si>
    <t>Se terminó de procesar los 103 sacos</t>
  </si>
  <si>
    <t>COMPRARON 50 SACOS</t>
  </si>
  <si>
    <t>SALDO DE LOS 50 SACOS</t>
  </si>
  <si>
    <t>ENRIQUE YACTAYO SARAVIA</t>
  </si>
  <si>
    <t>COMPRARON 36 SACOS 35I Y 1 DE II</t>
  </si>
  <si>
    <t>SALDO DE LOS 36 SACOS</t>
  </si>
  <si>
    <t>Vta José luis falta ticket</t>
  </si>
  <si>
    <t>Vta Cesar falta ticket</t>
  </si>
  <si>
    <t>Vta a Ruddy Falta ticket</t>
  </si>
  <si>
    <t>100 sacos comprados, se procesaron 36</t>
  </si>
  <si>
    <t>SALDO DE LOS 100 SACOS.</t>
  </si>
  <si>
    <t>LITO</t>
  </si>
  <si>
    <t>BETTY</t>
  </si>
  <si>
    <t>AJUSTE</t>
  </si>
  <si>
    <t>Ajuste: de las 10 jabas devueltas (Tottus), solo 5 salieron buenas del reproceso; se descuentan las 5 malogradas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</si>
  <si>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</si>
  <si>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</si>
  <si>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</si>
  <si>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</si>
  <si>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</si>
  <si>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</si>
  <si>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</si>
  <si>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</si>
  <si>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</si>
  <si>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</si>
  <si>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</si>
  <si>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</si>
  <si>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</si>
  <si>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</si>
  <si>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</si>
  <si>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</si>
  <si>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</si>
  <si>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</si>
  <si>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</si>
  <si>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</si>
  <si>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</si>
  <si>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</si>
  <si>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</si>
  <si>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</si>
  <si>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</si>
  <si>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</si>
  <si>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</si>
  <si>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</si>
  <si>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</si>
  <si>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</si>
  <si>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</si>
  <si>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</si>
  <si>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</si>
  <si>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</si>
  <si>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</si>
  <si>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</si>
  <si>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</si>
  <si>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</si>
  <si>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</si>
  <si>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</si>
  <si>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</si>
  <si>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</si>
  <si>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</si>
  <si>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</si>
  <si>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</si>
  <si>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</si>
  <si>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</si>
  <si>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</si>
  <si>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</si>
  <si>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</si>
  <si>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</si>
  <si>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</si>
  <si>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</si>
  <si>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</si>
  <si>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</si>
  <si>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</si>
  <si>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</si>
  <si>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</si>
  <si>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</si>
  <si>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</si>
  <si>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</si>
  <si>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</si>
  <si>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</si>
  <si>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</si>
  <si>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</si>
  <si>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</si>
  <si>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</si>
  <si>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</si>
  <si>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</si>
  <si>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</si>
  <si>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</si>
  <si>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</si>
  <si>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</si>
  <si>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</si>
  <si>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</si>
  <si>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</si>
  <si>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</si>
  <si>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</si>
  <si>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</si>
  <si>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</si>
  <si>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</si>
  <si>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</si>
  <si>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</si>
  <si>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</si>
  <si>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</si>
  <si>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</si>
  <si>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</si>
  <si>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</si>
  <si>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</si>
  <si>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</si>
  <si>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</si>
  <si>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</si>
  <si>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</si>
  <si>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</si>
  <si>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</si>
  <si>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</si>
  <si>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</si>
  <si>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</si>
  <si>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</si>
  <si>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</si>
  <si>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</si>
  <si>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</si>
  <si>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</si>
  <si>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</si>
  <si>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</si>
  <si>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</si>
  <si>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</si>
  <si>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</si>
  <si>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</si>
  <si>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</si>
  <si>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</si>
  <si>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</si>
  <si>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</si>
  <si>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</si>
  <si>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</si>
  <si>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</si>
  <si>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</si>
  <si>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</si>
  <si>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</si>
  <si>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</si>
  <si>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</si>
  <si>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</si>
  <si>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</si>
  <si>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</si>
  <si>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</si>
  <si>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</si>
  <si>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</si>
  <si>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</si>
  <si>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</si>
  <si>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</si>
  <si>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</si>
  <si>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</si>
  <si>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</si>
  <si>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</si>
  <si>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</si>
  <si>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</si>
  <si>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</si>
  <si>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</si>
  <si>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</si>
  <si>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</si>
  <si>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</si>
  <si>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</si>
  <si>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</si>
  <si>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</si>
  <si>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</si>
  <si>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 xml:space="preserve">SE COMPRÓ 115 SACOS,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</si>
</sst>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C0A]ddd\ dd\-mm"/>
    <numFmt numFmtId="165" formatCode="#,##0.#;\(#,##0.#\);\-"/>
    <numFmt numFmtId="166" formatCode="#,##0.0"/>
    <numFmt numFmtId="167" formatCode="dd/mm/yyyy"/>
    <numFmt numFmtId="168" formatCode="0.0\%"/>
  </numFmts>
  <fonts count="3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1"/>
      <name val="Arial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4" borderId="1" xfId="0" applyNumberFormat="1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165" fontId="6" fillId="4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65" fontId="7" fillId="5" borderId="1" xfId="0" applyNumberFormat="1" applyFont="1" applyFill="1" applyBorder="1" applyAlignment="1">
      <alignment horizontal="right" vertical="center"/>
    </xf>
    <xf numFmtId="164" fontId="8" fillId="6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165" fontId="8" fillId="6" borderId="1" xfId="0" applyNumberFormat="1" applyFont="1" applyFill="1" applyBorder="1" applyAlignment="1">
      <alignment horizontal="right" vertical="center"/>
    </xf>
    <xf numFmtId="164" fontId="9" fillId="7" borderId="1" xfId="0" applyNumberFormat="1" applyFont="1" applyFill="1" applyBorder="1" applyAlignment="1">
      <alignment horizontal="left" vertical="center"/>
    </xf>
    <xf numFmtId="0" fontId="9" fillId="7" borderId="1" xfId="0" applyFont="1" applyFill="1" applyBorder="1" applyAlignment="1">
      <alignment horizontal="left" vertical="center"/>
    </xf>
    <xf numFmtId="165" fontId="9" fillId="7" borderId="1" xfId="0" applyNumberFormat="1" applyFont="1" applyFill="1" applyBorder="1" applyAlignment="1">
      <alignment horizontal="right" vertical="center"/>
    </xf>
    <xf numFmtId="164" fontId="10" fillId="8" borderId="1" xfId="0" applyNumberFormat="1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left" vertical="center"/>
    </xf>
    <xf numFmtId="165" fontId="10" fillId="8" borderId="1" xfId="0" applyNumberFormat="1" applyFont="1" applyFill="1" applyBorder="1" applyAlignment="1">
      <alignment horizontal="right" vertical="center"/>
    </xf>
    <xf numFmtId="164" fontId="11" fillId="9" borderId="1" xfId="0" applyNumberFormat="1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left" vertical="center"/>
    </xf>
    <xf numFmtId="165" fontId="11" fillId="9" borderId="1" xfId="0" applyNumberFormat="1" applyFont="1" applyFill="1" applyBorder="1" applyAlignment="1">
      <alignment horizontal="right" vertical="center"/>
    </xf>
    <xf numFmtId="164" fontId="12" fillId="10" borderId="1" xfId="0" applyNumberFormat="1" applyFont="1" applyFill="1" applyBorder="1" applyAlignment="1">
      <alignment horizontal="left" vertical="center"/>
    </xf>
    <xf numFmtId="0" fontId="12" fillId="10" borderId="1" xfId="0" applyFont="1" applyFill="1" applyBorder="1" applyAlignment="1">
      <alignment horizontal="left" vertical="center"/>
    </xf>
    <xf numFmtId="165" fontId="12" fillId="10" borderId="1" xfId="0" applyNumberFormat="1" applyFont="1" applyFill="1" applyBorder="1" applyAlignment="1">
      <alignment horizontal="right" vertical="center"/>
    </xf>
    <xf numFmtId="164" fontId="13" fillId="11" borderId="1" xfId="0" applyNumberFormat="1" applyFont="1" applyFill="1" applyBorder="1" applyAlignment="1">
      <alignment horizontal="left" vertical="center"/>
    </xf>
    <xf numFmtId="0" fontId="13" fillId="11" borderId="1" xfId="0" applyFont="1" applyFill="1" applyBorder="1" applyAlignment="1">
      <alignment horizontal="left" vertical="center"/>
    </xf>
    <xf numFmtId="165" fontId="13" fillId="11" borderId="1" xfId="0" applyNumberFormat="1" applyFont="1" applyFill="1" applyBorder="1" applyAlignment="1">
      <alignment horizontal="right" vertical="center"/>
    </xf>
    <xf numFmtId="164" fontId="14" fillId="12" borderId="1" xfId="0" applyNumberFormat="1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left" vertical="center"/>
    </xf>
    <xf numFmtId="165" fontId="14" fillId="12" borderId="1" xfId="0" applyNumberFormat="1" applyFont="1" applyFill="1" applyBorder="1" applyAlignment="1">
      <alignment horizontal="right" vertical="center"/>
    </xf>
    <xf numFmtId="164" fontId="15" fillId="10" borderId="1" xfId="0" applyNumberFormat="1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left" vertical="center"/>
    </xf>
    <xf numFmtId="165" fontId="15" fillId="10" borderId="1" xfId="0" applyNumberFormat="1" applyFont="1" applyFill="1" applyBorder="1" applyAlignment="1">
      <alignment horizontal="right" vertical="center"/>
    </xf>
    <xf numFmtId="164" fontId="16" fillId="13" borderId="1" xfId="0" applyNumberFormat="1" applyFont="1" applyFill="1" applyBorder="1" applyAlignment="1">
      <alignment horizontal="left" vertical="center"/>
    </xf>
    <xf numFmtId="0" fontId="16" fillId="13" borderId="1" xfId="0" applyFont="1" applyFill="1" applyBorder="1" applyAlignment="1">
      <alignment horizontal="left" vertical="center"/>
    </xf>
    <xf numFmtId="165" fontId="16" fillId="13" borderId="1" xfId="0" applyNumberFormat="1" applyFont="1" applyFill="1" applyBorder="1" applyAlignment="1">
      <alignment horizontal="right" vertical="center"/>
    </xf>
    <xf numFmtId="0" fontId="17" fillId="8" borderId="1" xfId="0" applyFont="1" applyFill="1" applyBorder="1" applyAlignment="1">
      <alignment horizontal="left" vertical="center"/>
    </xf>
    <xf numFmtId="164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right" vertical="center"/>
    </xf>
    <xf numFmtId="4" fontId="0" fillId="0" borderId="0" xfId="0" applyNumberFormat="1" applyAlignment="1">
      <alignment horizontal="center"/>
    </xf>
    <xf numFmtId="4" fontId="0" fillId="0" borderId="0" xfId="0" applyNumberFormat="1"/>
    <xf numFmtId="164" fontId="18" fillId="0" borderId="0" xfId="0" applyNumberFormat="1" applyFont="1" applyAlignment="1">
      <alignment horizontal="left" vertical="center"/>
    </xf>
    <xf numFmtId="0" fontId="9" fillId="7" borderId="0" xfId="0" applyFont="1" applyFill="1" applyAlignment="1">
      <alignment horizontal="left" vertical="center"/>
    </xf>
    <xf numFmtId="165" fontId="9" fillId="7" borderId="0" xfId="0" applyNumberFormat="1" applyFont="1" applyFill="1" applyAlignment="1">
      <alignment horizontal="right" vertical="center"/>
    </xf>
    <xf numFmtId="0" fontId="18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164" fontId="18" fillId="0" borderId="2" xfId="0" applyNumberFormat="1" applyFont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/>
    </xf>
    <xf numFmtId="165" fontId="9" fillId="7" borderId="2" xfId="0" applyNumberFormat="1" applyFont="1" applyFill="1" applyBorder="1" applyAlignment="1">
      <alignment horizontal="right" vertical="center"/>
    </xf>
    <xf numFmtId="0" fontId="18" fillId="0" borderId="2" xfId="0" applyFont="1" applyBorder="1" applyAlignment="1">
      <alignment horizontal="left" vertical="center"/>
    </xf>
    <xf numFmtId="165" fontId="18" fillId="0" borderId="0" xfId="0" applyNumberFormat="1" applyFont="1" applyAlignment="1">
      <alignment horizontal="right" vertical="center"/>
    </xf>
    <xf numFmtId="0" fontId="18" fillId="13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166" fontId="0" fillId="0" borderId="0" xfId="0" applyNumberFormat="1"/>
    <xf numFmtId="166" fontId="0" fillId="0" borderId="0" xfId="0" applyNumberFormat="1" applyAlignment="1">
      <alignment horizontal="center"/>
    </xf>
    <xf numFmtId="0" fontId="9" fillId="13" borderId="1" xfId="0" applyFont="1" applyFill="1" applyBorder="1" applyAlignment="1">
      <alignment horizontal="left" vertical="center"/>
    </xf>
    <xf numFmtId="0" fontId="9" fillId="13" borderId="0" xfId="0" applyFont="1" applyFill="1" applyAlignment="1">
      <alignment horizontal="left" vertical="center"/>
    </xf>
    <xf numFmtId="165" fontId="18" fillId="13" borderId="1" xfId="0" applyNumberFormat="1" applyFont="1" applyFill="1" applyBorder="1" applyAlignment="1">
      <alignment horizontal="right" vertical="center"/>
    </xf>
    <xf numFmtId="0" fontId="20" fillId="0" borderId="0" xfId="0" applyFont="1"/>
    <xf numFmtId="0" fontId="21" fillId="0" borderId="0" xfId="0" applyFont="1"/>
    <xf numFmtId="164" fontId="16" fillId="0" borderId="1" xfId="0" applyNumberFormat="1" applyFont="1" applyBorder="1" applyAlignment="1">
      <alignment horizontal="left" vertical="center"/>
    </xf>
    <xf numFmtId="165" fontId="16" fillId="0" borderId="1" xfId="0" applyNumberFormat="1" applyFont="1" applyBorder="1" applyAlignment="1">
      <alignment horizontal="right" vertical="center"/>
    </xf>
    <xf numFmtId="164" fontId="21" fillId="0" borderId="0" xfId="0" applyNumberFormat="1" applyFont="1"/>
    <xf numFmtId="164" fontId="0" fillId="0" borderId="0" xfId="0" applyNumberFormat="1"/>
    <xf numFmtId="0" fontId="22" fillId="14" borderId="0" xfId="0" applyFont="1" applyFill="1" applyAlignment="1">
      <alignment horizontal="center"/>
    </xf>
    <xf numFmtId="0" fontId="22" fillId="15" borderId="0" xfId="0" applyFont="1" applyFill="1" applyAlignment="1">
      <alignment horizontal="center"/>
    </xf>
    <xf numFmtId="0" fontId="22" fillId="16" borderId="0" xfId="0" applyFont="1" applyFill="1" applyAlignment="1">
      <alignment horizontal="center"/>
    </xf>
    <xf numFmtId="164" fontId="4" fillId="0" borderId="3" xfId="0" applyNumberFormat="1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165" fontId="4" fillId="0" borderId="3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center" wrapText="1"/>
    </xf>
    <xf numFmtId="164" fontId="23" fillId="0" borderId="1" xfId="0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center" wrapText="1"/>
    </xf>
    <xf numFmtId="165" fontId="23" fillId="0" borderId="1" xfId="0" applyNumberFormat="1" applyFont="1" applyBorder="1" applyAlignment="1">
      <alignment horizontal="right" vertical="center"/>
    </xf>
    <xf numFmtId="164" fontId="24" fillId="0" borderId="1" xfId="0" applyNumberFormat="1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 wrapText="1"/>
    </xf>
    <xf numFmtId="165" fontId="24" fillId="0" borderId="1" xfId="0" applyNumberFormat="1" applyFont="1" applyBorder="1" applyAlignment="1">
      <alignment horizontal="right" vertical="center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30" fillId="22" borderId="4" xfId="0" applyFont="1" applyFill="1" applyBorder="1" applyAlignment="1">
      <alignment horizontal="center" vertical="center" wrapText="1"/>
    </xf>
    <xf numFmtId="0" fontId="30" fillId="23" borderId="4" xfId="0" applyFont="1" applyFill="1" applyBorder="1" applyAlignment="1">
      <alignment horizontal="center" vertical="center" wrapText="1"/>
    </xf>
    <xf numFmtId="0" fontId="30" fillId="24" borderId="4" xfId="0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31" fillId="23" borderId="4" xfId="0" applyFont="1" applyFill="1" applyBorder="1" applyAlignment="1">
      <alignment horizontal="center"/>
    </xf>
    <xf numFmtId="168" fontId="32" fillId="0" borderId="4" xfId="0" applyNumberFormat="1" applyFon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0" fontId="31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3" fillId="0" borderId="0" xfId="0" applyFont="1"/>
    <xf numFmtId="0" fontId="2" fillId="2" borderId="0" xfId="0" applyFont="1" applyFill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29" fillId="21" borderId="0" xfId="0" applyFont="1" applyFill="1" applyAlignment="1">
      <alignment horizontal="center" vertical="center"/>
    </xf>
    <xf numFmtId="0" fontId="28" fillId="14" borderId="0" xfId="0" applyFont="1" applyFill="1" applyAlignment="1">
      <alignment horizontal="center" vertical="center"/>
    </xf>
    <xf numFmtId="0" fontId="28" fillId="17" borderId="0" xfId="0" applyFont="1" applyFill="1" applyAlignment="1">
      <alignment horizontal="center" vertical="center"/>
    </xf>
    <xf numFmtId="0" fontId="28" fillId="18" borderId="0" xfId="0" applyFont="1" applyFill="1" applyAlignment="1">
      <alignment horizontal="center" vertical="center"/>
    </xf>
    <xf numFmtId="0" fontId="28" fillId="19" borderId="0" xfId="0" applyFont="1" applyFill="1" applyAlignment="1">
      <alignment horizontal="center" vertical="center"/>
    </xf>
    <xf numFmtId="0" fontId="28" fillId="20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/>
        <color rgb="FF33691E"/>
      </font>
      <fill>
        <patternFill>
          <bgColor rgb="FFFFF9C4"/>
        </patternFill>
      </fill>
      <border diagonalUp="0" diagonalDown="0"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4"/>
  <sheetViews>
    <sheetView showGridLines="0" tabSelected="1" zoomScaleNormal="100" workbookViewId="0">
      <pane ySplit="4" topLeftCell="A438" activePane="bottomLeft" state="frozen"/>
      <selection pane="bottomLeft" activeCell="E447" sqref="E447:E450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8" width="16" customWidth="1"/>
    <col min="9" max="9" width="38" customWidth="1"/>
    <col min="10" max="10" width="13" hidden="1" customWidth="1"/>
    <col min="11" max="11" width="6.1640625" customWidth="1"/>
    <col min="13" max="14" width="8.6640625" style="1"/>
  </cols>
  <sheetData>
    <row r="1" spans="1:10" ht="21.75" customHeight="1" x14ac:dyDescent="0.2">
      <c r="A1" s="96" t="s">
        <v>0</v>
      </c>
      <c r="B1" s="96"/>
      <c r="C1" s="96"/>
      <c r="D1" s="96"/>
      <c r="E1" s="96"/>
      <c r="F1" s="96"/>
      <c r="G1" s="96"/>
      <c r="H1" s="96"/>
      <c r="I1" s="96"/>
    </row>
    <row r="2" spans="1:10" ht="15" customHeight="1" x14ac:dyDescent="0.2">
      <c r="A2" s="97" t="s">
        <v>1</v>
      </c>
      <c r="B2" s="97"/>
      <c r="C2" s="97"/>
      <c r="D2" s="97"/>
      <c r="E2" s="97"/>
      <c r="F2" s="97"/>
      <c r="G2" s="97"/>
      <c r="H2" s="97"/>
      <c r="I2" s="97"/>
    </row>
    <row r="4" spans="1:10" ht="30" customHeight="1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10" ht="15" customHeight="1" x14ac:dyDescent="0.2">
      <c r="A5" s="3">
        <v>46237</v>
      </c>
      <c r="B5" s="4" t="s">
        <v>11</v>
      </c>
      <c r="C5" s="4" t="s">
        <v>12</v>
      </c>
      <c r="D5" s="4" t="s">
        <v>13</v>
      </c>
      <c r="E5" s="5">
        <v>1</v>
      </c>
      <c r="F5" s="5">
        <f>IF($B5="","",IF($D5="kg",N($E5),IF($D5="sacos",N($E5)*97,IF($D5="jabas",N($E5)*IFERROR(VLOOKUP($C5,LISTAS!$A$2:$B$12,2,0),0),""))))</f>
        <v>17</v>
      </c>
      <c r="G5" s="4"/>
      <c r="H5" s="4"/>
      <c r="I5" s="4" t="s">
        <v>14</v>
      </c>
      <c r="J5">
        <f t="shared" ref="J5:J68" si="0">N($F5)</f>
        <v>17</v>
      </c>
    </row>
    <row r="6" spans="1:10" ht="15" customHeight="1" x14ac:dyDescent="0.2">
      <c r="A6" s="3"/>
      <c r="B6" s="4"/>
      <c r="C6" s="4"/>
      <c r="D6" s="4"/>
      <c r="E6" s="5"/>
      <c r="F6" s="5"/>
      <c r="G6" s="4"/>
      <c r="H6" s="4"/>
      <c r="I6" s="4"/>
      <c r="J6">
        <f t="shared" si="0"/>
        <v>0</v>
      </c>
    </row>
    <row r="7" spans="1:10" ht="15" customHeight="1" x14ac:dyDescent="0.2">
      <c r="A7" s="6">
        <v>46214</v>
      </c>
      <c r="B7" s="7" t="s">
        <v>15</v>
      </c>
      <c r="C7" s="7" t="s">
        <v>16</v>
      </c>
      <c r="D7" s="7" t="s">
        <v>13</v>
      </c>
      <c r="E7" s="8">
        <v>7</v>
      </c>
      <c r="F7" s="8">
        <f>IF($B7="","",IF($D7="kg",N($E7),IF($D7="sacos",N($E7)*97,IF($D7="jabas",N($E7)*IFERROR(VLOOKUP($C7,LISTAS!$A$2:$B$12,2,0),0),""))))</f>
        <v>119</v>
      </c>
      <c r="G7" s="7"/>
      <c r="H7" s="7"/>
      <c r="I7" s="7"/>
      <c r="J7">
        <f t="shared" si="0"/>
        <v>119</v>
      </c>
    </row>
    <row r="8" spans="1:10" ht="15" customHeight="1" x14ac:dyDescent="0.2">
      <c r="A8" s="6">
        <v>46214</v>
      </c>
      <c r="B8" s="7" t="s">
        <v>15</v>
      </c>
      <c r="C8" s="7" t="s">
        <v>17</v>
      </c>
      <c r="D8" s="7" t="s">
        <v>18</v>
      </c>
      <c r="E8" s="8">
        <v>20</v>
      </c>
      <c r="F8" s="8">
        <f>IF($B8="","",IF($D8="kg",N($E8),IF($D8="sacos",N($E8)*97,IF($D8="jabas",N($E8)*IFERROR(VLOOKUP($C8,LISTAS!$A$2:$B$12,2,0),0),""))))</f>
        <v>1940</v>
      </c>
      <c r="G8" s="7"/>
      <c r="H8" s="7"/>
      <c r="I8" s="7"/>
      <c r="J8">
        <f t="shared" si="0"/>
        <v>1940</v>
      </c>
    </row>
    <row r="9" spans="1:10" ht="15" customHeight="1" x14ac:dyDescent="0.2">
      <c r="A9" s="9">
        <v>46215</v>
      </c>
      <c r="B9" s="10" t="s">
        <v>19</v>
      </c>
      <c r="C9" s="10" t="s">
        <v>20</v>
      </c>
      <c r="D9" s="10" t="s">
        <v>18</v>
      </c>
      <c r="E9" s="11">
        <v>30</v>
      </c>
      <c r="F9" s="11">
        <f>IF($B9="","",IF($D9="kg",N($E9),IF($D9="sacos",N($E9)*97,IF($D9="jabas",N($E9)*IFERROR(VLOOKUP($C9,LISTAS!$A$2:$B$12,2,0),0),""))))</f>
        <v>2910</v>
      </c>
      <c r="G9" s="10"/>
      <c r="H9" s="10"/>
      <c r="I9" s="10" t="s">
        <v>21</v>
      </c>
      <c r="J9">
        <f t="shared" si="0"/>
        <v>2910</v>
      </c>
    </row>
    <row r="10" spans="1:10" ht="15" customHeight="1" x14ac:dyDescent="0.2">
      <c r="A10" s="12">
        <v>46215</v>
      </c>
      <c r="B10" s="13" t="s">
        <v>11</v>
      </c>
      <c r="C10" s="13" t="s">
        <v>22</v>
      </c>
      <c r="D10" s="13" t="s">
        <v>13</v>
      </c>
      <c r="E10" s="14">
        <v>59</v>
      </c>
      <c r="F10" s="14">
        <f>IF($B10="","",IF($D10="kg",N($E10),IF($D10="sacos",N($E10)*97,IF($D10="jabas",N($E10)*IFERROR(VLOOKUP($C10,LISTAS!$A$2:$B$12,2,0),0),""))))</f>
        <v>885</v>
      </c>
      <c r="G10" s="13"/>
      <c r="H10" s="13"/>
      <c r="I10" s="13"/>
      <c r="J10">
        <f t="shared" si="0"/>
        <v>885</v>
      </c>
    </row>
    <row r="11" spans="1:10" ht="15" customHeight="1" x14ac:dyDescent="0.2">
      <c r="A11" s="12">
        <v>46215</v>
      </c>
      <c r="B11" s="13" t="s">
        <v>11</v>
      </c>
      <c r="C11" s="13" t="s">
        <v>23</v>
      </c>
      <c r="D11" s="13" t="s">
        <v>13</v>
      </c>
      <c r="E11" s="14">
        <v>11</v>
      </c>
      <c r="F11" s="14">
        <f>IF($B11="","",IF($D11="kg",N($E11),IF($D11="sacos",N($E11)*97,IF($D11="jabas",N($E11)*IFERROR(VLOOKUP($C11,LISTAS!$A$2:$B$12,2,0),0),""))))</f>
        <v>198</v>
      </c>
      <c r="G11" s="13"/>
      <c r="H11" s="13"/>
      <c r="I11" s="13"/>
      <c r="J11">
        <f t="shared" si="0"/>
        <v>198</v>
      </c>
    </row>
    <row r="12" spans="1:10" ht="15" customHeight="1" x14ac:dyDescent="0.2">
      <c r="A12" s="12">
        <v>46215</v>
      </c>
      <c r="B12" s="13" t="s">
        <v>11</v>
      </c>
      <c r="C12" s="13" t="s">
        <v>12</v>
      </c>
      <c r="D12" s="13" t="s">
        <v>13</v>
      </c>
      <c r="E12" s="14">
        <v>12</v>
      </c>
      <c r="F12" s="14">
        <f>IF($B12="","",IF($D12="kg",N($E12),IF($D12="sacos",N($E12)*97,IF($D12="jabas",N($E12)*IFERROR(VLOOKUP($C12,LISTAS!$A$2:$B$12,2,0),0),""))))</f>
        <v>204</v>
      </c>
      <c r="G12" s="13"/>
      <c r="H12" s="13"/>
      <c r="I12" s="13"/>
      <c r="J12">
        <f t="shared" si="0"/>
        <v>204</v>
      </c>
    </row>
    <row r="13" spans="1:10" ht="15" customHeight="1" x14ac:dyDescent="0.2">
      <c r="A13" s="12">
        <v>46215</v>
      </c>
      <c r="B13" s="13" t="s">
        <v>11</v>
      </c>
      <c r="C13" s="13" t="s">
        <v>16</v>
      </c>
      <c r="D13" s="13" t="s">
        <v>13</v>
      </c>
      <c r="E13" s="14">
        <v>64</v>
      </c>
      <c r="F13" s="14">
        <f>IF($B13="","",IF($D13="kg",N($E13),IF($D13="sacos",N($E13)*97,IF($D13="jabas",N($E13)*IFERROR(VLOOKUP($C13,LISTAS!$A$2:$B$12,2,0),0),""))))</f>
        <v>1088</v>
      </c>
      <c r="G13" s="13"/>
      <c r="H13" s="13"/>
      <c r="I13" s="13"/>
      <c r="J13">
        <f t="shared" si="0"/>
        <v>1088</v>
      </c>
    </row>
    <row r="14" spans="1:10" ht="15" customHeight="1" x14ac:dyDescent="0.2">
      <c r="A14" s="12">
        <v>46215</v>
      </c>
      <c r="B14" s="13" t="s">
        <v>11</v>
      </c>
      <c r="C14" s="13" t="s">
        <v>17</v>
      </c>
      <c r="D14" s="13" t="s">
        <v>18</v>
      </c>
      <c r="E14" s="14">
        <v>6</v>
      </c>
      <c r="F14" s="14">
        <f>IF($B14="","",IF($D14="kg",N($E14),IF($D14="sacos",N($E14)*97,IF($D14="jabas",N($E14)*IFERROR(VLOOKUP($C14,LISTAS!$A$2:$B$12,2,0),0),""))))</f>
        <v>582</v>
      </c>
      <c r="G14" s="13"/>
      <c r="H14" s="13"/>
      <c r="I14" s="13"/>
      <c r="J14">
        <f t="shared" si="0"/>
        <v>582</v>
      </c>
    </row>
    <row r="15" spans="1:10" ht="15" customHeight="1" x14ac:dyDescent="0.2">
      <c r="A15" s="15">
        <v>46215</v>
      </c>
      <c r="B15" s="16" t="s">
        <v>24</v>
      </c>
      <c r="C15" s="16" t="s">
        <v>22</v>
      </c>
      <c r="D15" s="16" t="s">
        <v>13</v>
      </c>
      <c r="E15" s="17">
        <v>67</v>
      </c>
      <c r="F15" s="17">
        <f>IF($B15="","",IF($D15="kg",N($E15),IF($D15="sacos",N($E15)*97,IF($D15="jabas",N($E15)*IFERROR(VLOOKUP($C15,LISTAS!$A$2:$B$12,2,0),0),""))))</f>
        <v>1005</v>
      </c>
      <c r="G15" s="16" t="s">
        <v>25</v>
      </c>
      <c r="H15" s="16"/>
      <c r="I15" s="16"/>
      <c r="J15">
        <f t="shared" si="0"/>
        <v>1005</v>
      </c>
    </row>
    <row r="16" spans="1:10" ht="15" customHeight="1" x14ac:dyDescent="0.2">
      <c r="A16" s="15">
        <v>46215</v>
      </c>
      <c r="B16" s="16" t="s">
        <v>24</v>
      </c>
      <c r="C16" s="16" t="s">
        <v>23</v>
      </c>
      <c r="D16" s="16" t="s">
        <v>13</v>
      </c>
      <c r="E16" s="17">
        <v>11</v>
      </c>
      <c r="F16" s="17">
        <f>IF($B16="","",IF($D16="kg",N($E16),IF($D16="sacos",N($E16)*97,IF($D16="jabas",N($E16)*IFERROR(VLOOKUP($C16,LISTAS!$A$2:$B$12,2,0),0),""))))</f>
        <v>198</v>
      </c>
      <c r="G16" s="16" t="s">
        <v>25</v>
      </c>
      <c r="H16" s="16"/>
      <c r="I16" s="16"/>
      <c r="J16">
        <f t="shared" si="0"/>
        <v>198</v>
      </c>
    </row>
    <row r="17" spans="1:10" ht="15" customHeight="1" x14ac:dyDescent="0.2">
      <c r="A17" s="15">
        <v>46215</v>
      </c>
      <c r="B17" s="16" t="s">
        <v>24</v>
      </c>
      <c r="C17" s="16" t="s">
        <v>12</v>
      </c>
      <c r="D17" s="16" t="s">
        <v>13</v>
      </c>
      <c r="E17" s="17">
        <v>12</v>
      </c>
      <c r="F17" s="17">
        <f>IF($B17="","",IF($D17="kg",N($E17),IF($D17="sacos",N($E17)*97,IF($D17="jabas",N($E17)*IFERROR(VLOOKUP($C17,LISTAS!$A$2:$B$12,2,0),0),""))))</f>
        <v>204</v>
      </c>
      <c r="G17" s="16" t="s">
        <v>25</v>
      </c>
      <c r="H17" s="16"/>
      <c r="I17" s="16"/>
      <c r="J17">
        <f t="shared" si="0"/>
        <v>204</v>
      </c>
    </row>
    <row r="18" spans="1:10" ht="15" customHeight="1" x14ac:dyDescent="0.2">
      <c r="A18" s="15">
        <v>46215</v>
      </c>
      <c r="B18" s="16" t="s">
        <v>24</v>
      </c>
      <c r="C18" s="16" t="s">
        <v>16</v>
      </c>
      <c r="D18" s="16" t="s">
        <v>13</v>
      </c>
      <c r="E18" s="17">
        <v>42</v>
      </c>
      <c r="F18" s="17">
        <f>IF($B18="","",IF($D18="kg",N($E18),IF($D18="sacos",N($E18)*97,IF($D18="jabas",N($E18)*IFERROR(VLOOKUP($C18,LISTAS!$A$2:$B$12,2,0),0),""))))</f>
        <v>714</v>
      </c>
      <c r="G18" s="16" t="s">
        <v>25</v>
      </c>
      <c r="H18" s="16"/>
      <c r="I18" s="16"/>
      <c r="J18">
        <f t="shared" si="0"/>
        <v>714</v>
      </c>
    </row>
    <row r="19" spans="1:10" ht="15" customHeight="1" x14ac:dyDescent="0.2">
      <c r="A19" s="9">
        <v>46216</v>
      </c>
      <c r="B19" s="10" t="s">
        <v>19</v>
      </c>
      <c r="C19" s="10" t="s">
        <v>20</v>
      </c>
      <c r="D19" s="10" t="s">
        <v>18</v>
      </c>
      <c r="E19" s="11">
        <v>40</v>
      </c>
      <c r="F19" s="11">
        <f>IF($B19="","",IF($D19="kg",N($E19),IF($D19="sacos",N($E19)*97,IF($D19="jabas",N($E19)*IFERROR(VLOOKUP($C19,LISTAS!$A$2:$B$12,2,0),0),""))))</f>
        <v>3880</v>
      </c>
      <c r="G19" s="10"/>
      <c r="H19" s="10"/>
      <c r="I19" s="10" t="s">
        <v>21</v>
      </c>
      <c r="J19">
        <f t="shared" si="0"/>
        <v>3880</v>
      </c>
    </row>
    <row r="20" spans="1:10" ht="15" customHeight="1" x14ac:dyDescent="0.2">
      <c r="A20" s="12">
        <v>46216</v>
      </c>
      <c r="B20" s="13" t="s">
        <v>11</v>
      </c>
      <c r="C20" s="13" t="s">
        <v>22</v>
      </c>
      <c r="D20" s="13" t="s">
        <v>13</v>
      </c>
      <c r="E20" s="14">
        <v>107</v>
      </c>
      <c r="F20" s="14">
        <f>IF($B20="","",IF($D20="kg",N($E20),IF($D20="sacos",N($E20)*97,IF($D20="jabas",N($E20)*IFERROR(VLOOKUP($C20,LISTAS!$A$2:$B$12,2,0),0),""))))</f>
        <v>1605</v>
      </c>
      <c r="G20" s="13"/>
      <c r="H20" s="13"/>
      <c r="I20" s="13"/>
      <c r="J20">
        <f t="shared" si="0"/>
        <v>1605</v>
      </c>
    </row>
    <row r="21" spans="1:10" ht="15" customHeight="1" x14ac:dyDescent="0.2">
      <c r="A21" s="12">
        <v>46216</v>
      </c>
      <c r="B21" s="13" t="s">
        <v>11</v>
      </c>
      <c r="C21" s="13" t="s">
        <v>23</v>
      </c>
      <c r="D21" s="13" t="s">
        <v>13</v>
      </c>
      <c r="E21" s="14">
        <v>11</v>
      </c>
      <c r="F21" s="14">
        <f>IF($B21="","",IF($D21="kg",N($E21),IF($D21="sacos",N($E21)*97,IF($D21="jabas",N($E21)*IFERROR(VLOOKUP($C21,LISTAS!$A$2:$B$12,2,0),0),""))))</f>
        <v>198</v>
      </c>
      <c r="G21" s="13"/>
      <c r="H21" s="13"/>
      <c r="I21" s="13"/>
      <c r="J21">
        <f t="shared" si="0"/>
        <v>198</v>
      </c>
    </row>
    <row r="22" spans="1:10" ht="15" customHeight="1" x14ac:dyDescent="0.2">
      <c r="A22" s="12">
        <v>46216</v>
      </c>
      <c r="B22" s="13" t="s">
        <v>11</v>
      </c>
      <c r="C22" s="13" t="s">
        <v>12</v>
      </c>
      <c r="D22" s="13" t="s">
        <v>13</v>
      </c>
      <c r="E22" s="14">
        <v>12</v>
      </c>
      <c r="F22" s="14">
        <f>IF($B22="","",IF($D22="kg",N($E22),IF($D22="sacos",N($E22)*97,IF($D22="jabas",N($E22)*IFERROR(VLOOKUP($C22,LISTAS!$A$2:$B$12,2,0),0),""))))</f>
        <v>204</v>
      </c>
      <c r="G22" s="13"/>
      <c r="H22" s="13"/>
      <c r="I22" s="13"/>
      <c r="J22">
        <f t="shared" si="0"/>
        <v>204</v>
      </c>
    </row>
    <row r="23" spans="1:10" ht="15" customHeight="1" x14ac:dyDescent="0.2">
      <c r="A23" s="12">
        <v>46216</v>
      </c>
      <c r="B23" s="13" t="s">
        <v>11</v>
      </c>
      <c r="C23" s="13" t="s">
        <v>16</v>
      </c>
      <c r="D23" s="13" t="s">
        <v>13</v>
      </c>
      <c r="E23" s="14">
        <v>110</v>
      </c>
      <c r="F23" s="14">
        <f>IF($B23="","",IF($D23="kg",N($E23),IF($D23="sacos",N($E23)*97,IF($D23="jabas",N($E23)*IFERROR(VLOOKUP($C23,LISTAS!$A$2:$B$12,2,0),0),""))))</f>
        <v>1870</v>
      </c>
      <c r="G23" s="13"/>
      <c r="H23" s="13"/>
      <c r="I23" s="13"/>
      <c r="J23">
        <f t="shared" si="0"/>
        <v>1870</v>
      </c>
    </row>
    <row r="24" spans="1:10" ht="15" customHeight="1" x14ac:dyDescent="0.2">
      <c r="A24" s="12">
        <v>46216</v>
      </c>
      <c r="B24" s="13" t="s">
        <v>11</v>
      </c>
      <c r="C24" s="13" t="s">
        <v>17</v>
      </c>
      <c r="D24" s="13" t="s">
        <v>18</v>
      </c>
      <c r="E24" s="14">
        <v>2</v>
      </c>
      <c r="F24" s="14">
        <f>IF($B24="","",IF($D24="kg",N($E24),IF($D24="sacos",N($E24)*97,IF($D24="jabas",N($E24)*IFERROR(VLOOKUP($C24,LISTAS!$A$2:$B$12,2,0),0),""))))</f>
        <v>194</v>
      </c>
      <c r="G24" s="13"/>
      <c r="H24" s="13"/>
      <c r="I24" s="13"/>
      <c r="J24">
        <f t="shared" si="0"/>
        <v>194</v>
      </c>
    </row>
    <row r="25" spans="1:10" ht="15" customHeight="1" x14ac:dyDescent="0.2">
      <c r="A25" s="15">
        <v>46216</v>
      </c>
      <c r="B25" s="16" t="s">
        <v>24</v>
      </c>
      <c r="C25" s="16" t="s">
        <v>22</v>
      </c>
      <c r="D25" s="16" t="s">
        <v>13</v>
      </c>
      <c r="E25" s="17">
        <v>67</v>
      </c>
      <c r="F25" s="17">
        <f>IF($B25="","",IF($D25="kg",N($E25),IF($D25="sacos",N($E25)*97,IF($D25="jabas",N($E25)*IFERROR(VLOOKUP($C25,LISTAS!$A$2:$B$12,2,0),0),""))))</f>
        <v>1005</v>
      </c>
      <c r="G25" s="16" t="s">
        <v>26</v>
      </c>
      <c r="H25" s="16"/>
      <c r="I25" s="16"/>
      <c r="J25">
        <f t="shared" si="0"/>
        <v>1005</v>
      </c>
    </row>
    <row r="26" spans="1:10" ht="15" customHeight="1" x14ac:dyDescent="0.2">
      <c r="A26" s="15">
        <v>46216</v>
      </c>
      <c r="B26" s="16" t="s">
        <v>24</v>
      </c>
      <c r="C26" s="16" t="s">
        <v>23</v>
      </c>
      <c r="D26" s="16" t="s">
        <v>13</v>
      </c>
      <c r="E26" s="17">
        <v>11</v>
      </c>
      <c r="F26" s="17">
        <f>IF($B26="","",IF($D26="kg",N($E26),IF($D26="sacos",N($E26)*97,IF($D26="jabas",N($E26)*IFERROR(VLOOKUP($C26,LISTAS!$A$2:$B$12,2,0),0),""))))</f>
        <v>198</v>
      </c>
      <c r="G26" s="16" t="s">
        <v>26</v>
      </c>
      <c r="H26" s="16"/>
      <c r="I26" s="16"/>
      <c r="J26">
        <f t="shared" si="0"/>
        <v>198</v>
      </c>
    </row>
    <row r="27" spans="1:10" ht="15" customHeight="1" x14ac:dyDescent="0.2">
      <c r="A27" s="15">
        <v>46216</v>
      </c>
      <c r="B27" s="16" t="s">
        <v>24</v>
      </c>
      <c r="C27" s="16" t="s">
        <v>12</v>
      </c>
      <c r="D27" s="16" t="s">
        <v>13</v>
      </c>
      <c r="E27" s="17">
        <v>12</v>
      </c>
      <c r="F27" s="17">
        <f>IF($B27="","",IF($D27="kg",N($E27),IF($D27="sacos",N($E27)*97,IF($D27="jabas",N($E27)*IFERROR(VLOOKUP($C27,LISTAS!$A$2:$B$12,2,0),0),""))))</f>
        <v>204</v>
      </c>
      <c r="G27" s="16" t="s">
        <v>26</v>
      </c>
      <c r="H27" s="16"/>
      <c r="I27" s="16"/>
      <c r="J27">
        <f t="shared" si="0"/>
        <v>204</v>
      </c>
    </row>
    <row r="28" spans="1:10" ht="15" customHeight="1" x14ac:dyDescent="0.2">
      <c r="A28" s="15">
        <v>46216</v>
      </c>
      <c r="B28" s="16" t="s">
        <v>24</v>
      </c>
      <c r="C28" s="16" t="s">
        <v>16</v>
      </c>
      <c r="D28" s="16" t="s">
        <v>13</v>
      </c>
      <c r="E28" s="17">
        <v>97</v>
      </c>
      <c r="F28" s="17">
        <f>IF($B28="","",IF($D28="kg",N($E28),IF($D28="sacos",N($E28)*97,IF($D28="jabas",N($E28)*IFERROR(VLOOKUP($C28,LISTAS!$A$2:$B$12,2,0),0),""))))</f>
        <v>1649</v>
      </c>
      <c r="G28" s="16" t="s">
        <v>26</v>
      </c>
      <c r="H28" s="16"/>
      <c r="I28" s="16"/>
      <c r="J28">
        <f t="shared" si="0"/>
        <v>1649</v>
      </c>
    </row>
    <row r="29" spans="1:10" ht="15" customHeight="1" x14ac:dyDescent="0.2">
      <c r="A29" s="9">
        <v>46217</v>
      </c>
      <c r="B29" s="10" t="s">
        <v>19</v>
      </c>
      <c r="C29" s="10" t="s">
        <v>20</v>
      </c>
      <c r="D29" s="10" t="s">
        <v>18</v>
      </c>
      <c r="E29" s="11">
        <v>40</v>
      </c>
      <c r="F29" s="11">
        <f>IF($B29="","",IF($D29="kg",N($E29),IF($D29="sacos",N($E29)*97,IF($D29="jabas",N($E29)*IFERROR(VLOOKUP($C29,LISTAS!$A$2:$B$12,2,0),0),""))))</f>
        <v>3880</v>
      </c>
      <c r="G29" s="10"/>
      <c r="H29" s="10"/>
      <c r="I29" s="10" t="s">
        <v>21</v>
      </c>
      <c r="J29">
        <f t="shared" si="0"/>
        <v>3880</v>
      </c>
    </row>
    <row r="30" spans="1:10" ht="15" customHeight="1" x14ac:dyDescent="0.2">
      <c r="A30" s="12">
        <v>46217</v>
      </c>
      <c r="B30" s="13" t="s">
        <v>11</v>
      </c>
      <c r="C30" s="13" t="s">
        <v>22</v>
      </c>
      <c r="D30" s="13" t="s">
        <v>13</v>
      </c>
      <c r="E30" s="14">
        <v>45</v>
      </c>
      <c r="F30" s="14">
        <f>IF($B30="","",IF($D30="kg",N($E30),IF($D30="sacos",N($E30)*97,IF($D30="jabas",N($E30)*IFERROR(VLOOKUP($C30,LISTAS!$A$2:$B$12,2,0),0),""))))</f>
        <v>675</v>
      </c>
      <c r="G30" s="13"/>
      <c r="H30" s="13"/>
      <c r="I30" s="13"/>
      <c r="J30">
        <f t="shared" si="0"/>
        <v>675</v>
      </c>
    </row>
    <row r="31" spans="1:10" ht="15" customHeight="1" x14ac:dyDescent="0.2">
      <c r="A31" s="12">
        <v>46217</v>
      </c>
      <c r="B31" s="13" t="s">
        <v>11</v>
      </c>
      <c r="C31" s="13" t="s">
        <v>23</v>
      </c>
      <c r="D31" s="13" t="s">
        <v>13</v>
      </c>
      <c r="E31" s="14">
        <v>11</v>
      </c>
      <c r="F31" s="14">
        <f>IF($B31="","",IF($D31="kg",N($E31),IF($D31="sacos",N($E31)*97,IF($D31="jabas",N($E31)*IFERROR(VLOOKUP($C31,LISTAS!$A$2:$B$12,2,0),0),""))))</f>
        <v>198</v>
      </c>
      <c r="G31" s="13"/>
      <c r="H31" s="13"/>
      <c r="I31" s="13"/>
      <c r="J31">
        <f t="shared" si="0"/>
        <v>198</v>
      </c>
    </row>
    <row r="32" spans="1:10" ht="15" customHeight="1" x14ac:dyDescent="0.2">
      <c r="A32" s="12">
        <v>46217</v>
      </c>
      <c r="B32" s="13" t="s">
        <v>11</v>
      </c>
      <c r="C32" s="13" t="s">
        <v>12</v>
      </c>
      <c r="D32" s="13" t="s">
        <v>13</v>
      </c>
      <c r="E32" s="14">
        <v>12</v>
      </c>
      <c r="F32" s="14">
        <f>IF($B32="","",IF($D32="kg",N($E32),IF($D32="sacos",N($E32)*97,IF($D32="jabas",N($E32)*IFERROR(VLOOKUP($C32,LISTAS!$A$2:$B$12,2,0),0),""))))</f>
        <v>204</v>
      </c>
      <c r="G32" s="13"/>
      <c r="H32" s="13"/>
      <c r="I32" s="13"/>
      <c r="J32">
        <f t="shared" si="0"/>
        <v>204</v>
      </c>
    </row>
    <row r="33" spans="1:10" ht="15" customHeight="1" x14ac:dyDescent="0.2">
      <c r="A33" s="12">
        <v>46217</v>
      </c>
      <c r="B33" s="13" t="s">
        <v>11</v>
      </c>
      <c r="C33" s="13" t="s">
        <v>16</v>
      </c>
      <c r="D33" s="13" t="s">
        <v>13</v>
      </c>
      <c r="E33" s="14">
        <v>121</v>
      </c>
      <c r="F33" s="14">
        <f>IF($B33="","",IF($D33="kg",N($E33),IF($D33="sacos",N($E33)*97,IF($D33="jabas",N($E33)*IFERROR(VLOOKUP($C33,LISTAS!$A$2:$B$12,2,0),0),""))))</f>
        <v>2057</v>
      </c>
      <c r="G33" s="13"/>
      <c r="H33" s="13"/>
      <c r="I33" s="13"/>
      <c r="J33">
        <f t="shared" si="0"/>
        <v>2057</v>
      </c>
    </row>
    <row r="34" spans="1:10" ht="15" customHeight="1" x14ac:dyDescent="0.2">
      <c r="A34" s="12">
        <v>46217</v>
      </c>
      <c r="B34" s="13" t="s">
        <v>11</v>
      </c>
      <c r="C34" s="13" t="s">
        <v>17</v>
      </c>
      <c r="D34" s="13" t="s">
        <v>18</v>
      </c>
      <c r="E34" s="14">
        <v>7</v>
      </c>
      <c r="F34" s="14">
        <f>IF($B34="","",IF($D34="kg",N($E34),IF($D34="sacos",N($E34)*97,IF($D34="jabas",N($E34)*IFERROR(VLOOKUP($C34,LISTAS!$A$2:$B$12,2,0),0),""))))</f>
        <v>679</v>
      </c>
      <c r="G34" s="13"/>
      <c r="H34" s="13"/>
      <c r="I34" s="13"/>
      <c r="J34">
        <f t="shared" si="0"/>
        <v>679</v>
      </c>
    </row>
    <row r="35" spans="1:10" ht="15" customHeight="1" x14ac:dyDescent="0.2">
      <c r="A35" s="15">
        <v>46217</v>
      </c>
      <c r="B35" s="16" t="s">
        <v>24</v>
      </c>
      <c r="C35" s="16" t="s">
        <v>22</v>
      </c>
      <c r="D35" s="16" t="s">
        <v>13</v>
      </c>
      <c r="E35" s="17">
        <v>67</v>
      </c>
      <c r="F35" s="17">
        <f>IF($B35="","",IF($D35="kg",N($E35),IF($D35="sacos",N($E35)*97,IF($D35="jabas",N($E35)*IFERROR(VLOOKUP($C35,LISTAS!$A$2:$B$12,2,0),0),""))))</f>
        <v>1005</v>
      </c>
      <c r="G35" s="16" t="s">
        <v>27</v>
      </c>
      <c r="H35" s="16"/>
      <c r="I35" s="16"/>
      <c r="J35">
        <f t="shared" si="0"/>
        <v>1005</v>
      </c>
    </row>
    <row r="36" spans="1:10" ht="15" customHeight="1" x14ac:dyDescent="0.2">
      <c r="A36" s="15">
        <v>46217</v>
      </c>
      <c r="B36" s="16" t="s">
        <v>24</v>
      </c>
      <c r="C36" s="16" t="s">
        <v>23</v>
      </c>
      <c r="D36" s="16" t="s">
        <v>13</v>
      </c>
      <c r="E36" s="17">
        <v>11</v>
      </c>
      <c r="F36" s="17">
        <f>IF($B36="","",IF($D36="kg",N($E36),IF($D36="sacos",N($E36)*97,IF($D36="jabas",N($E36)*IFERROR(VLOOKUP($C36,LISTAS!$A$2:$B$12,2,0),0),""))))</f>
        <v>198</v>
      </c>
      <c r="G36" s="16" t="s">
        <v>27</v>
      </c>
      <c r="H36" s="16"/>
      <c r="I36" s="16"/>
      <c r="J36">
        <f t="shared" si="0"/>
        <v>198</v>
      </c>
    </row>
    <row r="37" spans="1:10" ht="15" customHeight="1" x14ac:dyDescent="0.2">
      <c r="A37" s="15">
        <v>46217</v>
      </c>
      <c r="B37" s="16" t="s">
        <v>24</v>
      </c>
      <c r="C37" s="16" t="s">
        <v>12</v>
      </c>
      <c r="D37" s="16" t="s">
        <v>13</v>
      </c>
      <c r="E37" s="17">
        <v>12</v>
      </c>
      <c r="F37" s="17">
        <f>IF($B37="","",IF($D37="kg",N($E37),IF($D37="sacos",N($E37)*97,IF($D37="jabas",N($E37)*IFERROR(VLOOKUP($C37,LISTAS!$A$2:$B$12,2,0),0),""))))</f>
        <v>204</v>
      </c>
      <c r="G37" s="16" t="s">
        <v>27</v>
      </c>
      <c r="H37" s="16"/>
      <c r="I37" s="16"/>
      <c r="J37">
        <f t="shared" si="0"/>
        <v>204</v>
      </c>
    </row>
    <row r="38" spans="1:10" ht="15" customHeight="1" x14ac:dyDescent="0.2">
      <c r="A38" s="15">
        <v>46217</v>
      </c>
      <c r="B38" s="16" t="s">
        <v>24</v>
      </c>
      <c r="C38" s="16" t="s">
        <v>16</v>
      </c>
      <c r="D38" s="16" t="s">
        <v>13</v>
      </c>
      <c r="E38" s="17">
        <v>116</v>
      </c>
      <c r="F38" s="17">
        <f>IF($B38="","",IF($D38="kg",N($E38),IF($D38="sacos",N($E38)*97,IF($D38="jabas",N($E38)*IFERROR(VLOOKUP($C38,LISTAS!$A$2:$B$12,2,0),0),""))))</f>
        <v>1972</v>
      </c>
      <c r="G38" s="16" t="s">
        <v>27</v>
      </c>
      <c r="H38" s="16"/>
      <c r="I38" s="16"/>
      <c r="J38">
        <f t="shared" si="0"/>
        <v>1972</v>
      </c>
    </row>
    <row r="39" spans="1:10" ht="15" customHeight="1" x14ac:dyDescent="0.2">
      <c r="A39" s="9">
        <v>46218</v>
      </c>
      <c r="B39" s="10" t="s">
        <v>19</v>
      </c>
      <c r="C39" s="10" t="s">
        <v>20</v>
      </c>
      <c r="D39" s="10" t="s">
        <v>18</v>
      </c>
      <c r="E39" s="11">
        <v>40</v>
      </c>
      <c r="F39" s="11">
        <f>IF($B39="","",IF($D39="kg",N($E39),IF($D39="sacos",N($E39)*97,IF($D39="jabas",N($E39)*IFERROR(VLOOKUP($C39,LISTAS!$A$2:$B$12,2,0),0),""))))</f>
        <v>3880</v>
      </c>
      <c r="G39" s="10"/>
      <c r="H39" s="10"/>
      <c r="I39" s="10" t="s">
        <v>21</v>
      </c>
      <c r="J39">
        <f t="shared" si="0"/>
        <v>3880</v>
      </c>
    </row>
    <row r="40" spans="1:10" ht="15" customHeight="1" x14ac:dyDescent="0.2">
      <c r="A40" s="12">
        <v>46218</v>
      </c>
      <c r="B40" s="13" t="s">
        <v>11</v>
      </c>
      <c r="C40" s="13" t="s">
        <v>22</v>
      </c>
      <c r="D40" s="13" t="s">
        <v>13</v>
      </c>
      <c r="E40" s="14">
        <v>79</v>
      </c>
      <c r="F40" s="14">
        <f>IF($B40="","",IF($D40="kg",N($E40),IF($D40="sacos",N($E40)*97,IF($D40="jabas",N($E40)*IFERROR(VLOOKUP($C40,LISTAS!$A$2:$B$12,2,0),0),""))))</f>
        <v>1185</v>
      </c>
      <c r="G40" s="13"/>
      <c r="H40" s="13"/>
      <c r="I40" s="13"/>
      <c r="J40">
        <f t="shared" si="0"/>
        <v>1185</v>
      </c>
    </row>
    <row r="41" spans="1:10" ht="15" customHeight="1" x14ac:dyDescent="0.2">
      <c r="A41" s="12">
        <v>46218</v>
      </c>
      <c r="B41" s="13" t="s">
        <v>11</v>
      </c>
      <c r="C41" s="13" t="s">
        <v>23</v>
      </c>
      <c r="D41" s="13" t="s">
        <v>13</v>
      </c>
      <c r="E41" s="14">
        <v>22</v>
      </c>
      <c r="F41" s="14">
        <f>IF($B41="","",IF($D41="kg",N($E41),IF($D41="sacos",N($E41)*97,IF($D41="jabas",N($E41)*IFERROR(VLOOKUP($C41,LISTAS!$A$2:$B$12,2,0),0),""))))</f>
        <v>396</v>
      </c>
      <c r="G41" s="13"/>
      <c r="H41" s="13"/>
      <c r="I41" s="13"/>
      <c r="J41">
        <f t="shared" si="0"/>
        <v>396</v>
      </c>
    </row>
    <row r="42" spans="1:10" ht="15" customHeight="1" x14ac:dyDescent="0.2">
      <c r="A42" s="12">
        <v>46218</v>
      </c>
      <c r="B42" s="13" t="s">
        <v>11</v>
      </c>
      <c r="C42" s="13" t="s">
        <v>12</v>
      </c>
      <c r="D42" s="13" t="s">
        <v>13</v>
      </c>
      <c r="E42" s="14">
        <v>21</v>
      </c>
      <c r="F42" s="14">
        <f>IF($B42="","",IF($D42="kg",N($E42),IF($D42="sacos",N($E42)*97,IF($D42="jabas",N($E42)*IFERROR(VLOOKUP($C42,LISTAS!$A$2:$B$12,2,0),0),""))))</f>
        <v>357</v>
      </c>
      <c r="G42" s="13"/>
      <c r="H42" s="13"/>
      <c r="I42" s="13"/>
      <c r="J42">
        <f t="shared" si="0"/>
        <v>357</v>
      </c>
    </row>
    <row r="43" spans="1:10" ht="15" customHeight="1" x14ac:dyDescent="0.2">
      <c r="A43" s="12">
        <v>46218</v>
      </c>
      <c r="B43" s="13" t="s">
        <v>11</v>
      </c>
      <c r="C43" s="13" t="s">
        <v>16</v>
      </c>
      <c r="D43" s="13" t="s">
        <v>13</v>
      </c>
      <c r="E43" s="14">
        <v>83</v>
      </c>
      <c r="F43" s="14">
        <f>IF($B43="","",IF($D43="kg",N($E43),IF($D43="sacos",N($E43)*97,IF($D43="jabas",N($E43)*IFERROR(VLOOKUP($C43,LISTAS!$A$2:$B$12,2,0),0),""))))</f>
        <v>1411</v>
      </c>
      <c r="G43" s="13"/>
      <c r="H43" s="13"/>
      <c r="I43" s="13"/>
      <c r="J43">
        <f t="shared" si="0"/>
        <v>1411</v>
      </c>
    </row>
    <row r="44" spans="1:10" ht="15" customHeight="1" x14ac:dyDescent="0.2">
      <c r="A44" s="12">
        <v>46218</v>
      </c>
      <c r="B44" s="13" t="s">
        <v>11</v>
      </c>
      <c r="C44" s="13" t="s">
        <v>17</v>
      </c>
      <c r="D44" s="13" t="s">
        <v>18</v>
      </c>
      <c r="E44" s="14">
        <v>5</v>
      </c>
      <c r="F44" s="14">
        <f>IF($B44="","",IF($D44="kg",N($E44),IF($D44="sacos",N($E44)*97,IF($D44="jabas",N($E44)*IFERROR(VLOOKUP($C44,LISTAS!$A$2:$B$12,2,0),0),""))))</f>
        <v>485</v>
      </c>
      <c r="G44" s="13"/>
      <c r="H44" s="13"/>
      <c r="I44" s="13"/>
      <c r="J44">
        <f t="shared" si="0"/>
        <v>485</v>
      </c>
    </row>
    <row r="45" spans="1:10" ht="15" customHeight="1" x14ac:dyDescent="0.2">
      <c r="A45" s="15">
        <v>46218</v>
      </c>
      <c r="B45" s="16" t="s">
        <v>24</v>
      </c>
      <c r="C45" s="16" t="s">
        <v>22</v>
      </c>
      <c r="D45" s="16" t="s">
        <v>13</v>
      </c>
      <c r="E45" s="17">
        <v>67</v>
      </c>
      <c r="F45" s="17">
        <f>IF($B45="","",IF($D45="kg",N($E45),IF($D45="sacos",N($E45)*97,IF($D45="jabas",N($E45)*IFERROR(VLOOKUP($C45,LISTAS!$A$2:$B$12,2,0),0),""))))</f>
        <v>1005</v>
      </c>
      <c r="G45" s="16" t="s">
        <v>28</v>
      </c>
      <c r="H45" s="16"/>
      <c r="I45" s="16"/>
      <c r="J45">
        <f t="shared" si="0"/>
        <v>1005</v>
      </c>
    </row>
    <row r="46" spans="1:10" ht="15" customHeight="1" x14ac:dyDescent="0.2">
      <c r="A46" s="15">
        <v>46218</v>
      </c>
      <c r="B46" s="16" t="s">
        <v>24</v>
      </c>
      <c r="C46" s="16" t="s">
        <v>23</v>
      </c>
      <c r="D46" s="16" t="s">
        <v>13</v>
      </c>
      <c r="E46" s="17">
        <v>11</v>
      </c>
      <c r="F46" s="17">
        <f>IF($B46="","",IF($D46="kg",N($E46),IF($D46="sacos",N($E46)*97,IF($D46="jabas",N($E46)*IFERROR(VLOOKUP($C46,LISTAS!$A$2:$B$12,2,0),0),""))))</f>
        <v>198</v>
      </c>
      <c r="G46" s="16" t="s">
        <v>28</v>
      </c>
      <c r="H46" s="16"/>
      <c r="I46" s="16"/>
      <c r="J46">
        <f t="shared" si="0"/>
        <v>198</v>
      </c>
    </row>
    <row r="47" spans="1:10" ht="15" customHeight="1" x14ac:dyDescent="0.2">
      <c r="A47" s="15">
        <v>46218</v>
      </c>
      <c r="B47" s="16" t="s">
        <v>24</v>
      </c>
      <c r="C47" s="16" t="s">
        <v>12</v>
      </c>
      <c r="D47" s="16" t="s">
        <v>13</v>
      </c>
      <c r="E47" s="17">
        <v>9</v>
      </c>
      <c r="F47" s="17">
        <f>IF($B47="","",IF($D47="kg",N($E47),IF($D47="sacos",N($E47)*97,IF($D47="jabas",N($E47)*IFERROR(VLOOKUP($C47,LISTAS!$A$2:$B$12,2,0),0),""))))</f>
        <v>153</v>
      </c>
      <c r="G47" s="16" t="s">
        <v>28</v>
      </c>
      <c r="H47" s="16"/>
      <c r="I47" s="16"/>
      <c r="J47">
        <f t="shared" si="0"/>
        <v>153</v>
      </c>
    </row>
    <row r="48" spans="1:10" ht="15" customHeight="1" x14ac:dyDescent="0.2">
      <c r="A48" s="15">
        <v>46218</v>
      </c>
      <c r="B48" s="16" t="s">
        <v>24</v>
      </c>
      <c r="C48" s="16" t="s">
        <v>16</v>
      </c>
      <c r="D48" s="16" t="s">
        <v>13</v>
      </c>
      <c r="E48" s="17">
        <v>95</v>
      </c>
      <c r="F48" s="17">
        <f>IF($B48="","",IF($D48="kg",N($E48),IF($D48="sacos",N($E48)*97,IF($D48="jabas",N($E48)*IFERROR(VLOOKUP($C48,LISTAS!$A$2:$B$12,2,0),0),""))))</f>
        <v>1615</v>
      </c>
      <c r="G48" s="16" t="s">
        <v>28</v>
      </c>
      <c r="H48" s="16"/>
      <c r="I48" s="16"/>
      <c r="J48">
        <f t="shared" si="0"/>
        <v>1615</v>
      </c>
    </row>
    <row r="49" spans="1:10" ht="15" customHeight="1" x14ac:dyDescent="0.2">
      <c r="A49" s="18">
        <v>46218</v>
      </c>
      <c r="B49" s="19" t="s">
        <v>29</v>
      </c>
      <c r="C49" s="19" t="s">
        <v>17</v>
      </c>
      <c r="D49" s="19" t="s">
        <v>18</v>
      </c>
      <c r="E49" s="20">
        <v>35</v>
      </c>
      <c r="F49" s="20">
        <f>IF($B49="","",IF($D49="kg",N($E49),IF($D49="sacos",N($E49)*97,IF($D49="jabas",N($E49)*IFERROR(VLOOKUP($C49,LISTAS!$A$2:$B$12,2,0),0),""))))</f>
        <v>3395</v>
      </c>
      <c r="G49" s="19" t="s">
        <v>30</v>
      </c>
      <c r="H49" s="19"/>
      <c r="I49" s="19"/>
      <c r="J49">
        <f t="shared" si="0"/>
        <v>3395</v>
      </c>
    </row>
    <row r="50" spans="1:10" ht="15" customHeight="1" x14ac:dyDescent="0.2">
      <c r="A50" s="9">
        <v>46219</v>
      </c>
      <c r="B50" s="10" t="s">
        <v>19</v>
      </c>
      <c r="C50" s="10" t="s">
        <v>20</v>
      </c>
      <c r="D50" s="10" t="s">
        <v>18</v>
      </c>
      <c r="E50" s="11">
        <v>40</v>
      </c>
      <c r="F50" s="11">
        <f>IF($B50="","",IF($D50="kg",N($E50),IF($D50="sacos",N($E50)*97,IF($D50="jabas",N($E50)*IFERROR(VLOOKUP($C50,LISTAS!$A$2:$B$12,2,0),0),""))))</f>
        <v>3880</v>
      </c>
      <c r="G50" s="10"/>
      <c r="H50" s="10"/>
      <c r="I50" s="10" t="s">
        <v>21</v>
      </c>
      <c r="J50">
        <f t="shared" si="0"/>
        <v>3880</v>
      </c>
    </row>
    <row r="51" spans="1:10" ht="15" customHeight="1" x14ac:dyDescent="0.2">
      <c r="A51" s="12">
        <v>46219</v>
      </c>
      <c r="B51" s="13" t="s">
        <v>11</v>
      </c>
      <c r="C51" s="13" t="s">
        <v>22</v>
      </c>
      <c r="D51" s="13" t="s">
        <v>13</v>
      </c>
      <c r="E51" s="14">
        <v>68</v>
      </c>
      <c r="F51" s="14">
        <f>IF($B51="","",IF($D51="kg",N($E51),IF($D51="sacos",N($E51)*97,IF($D51="jabas",N($E51)*IFERROR(VLOOKUP($C51,LISTAS!$A$2:$B$12,2,0),0),""))))</f>
        <v>1020</v>
      </c>
      <c r="G51" s="13"/>
      <c r="H51" s="13"/>
      <c r="I51" s="13"/>
      <c r="J51">
        <f t="shared" si="0"/>
        <v>1020</v>
      </c>
    </row>
    <row r="52" spans="1:10" ht="15" customHeight="1" x14ac:dyDescent="0.2">
      <c r="A52" s="12">
        <v>46219</v>
      </c>
      <c r="B52" s="13" t="s">
        <v>11</v>
      </c>
      <c r="C52" s="13" t="s">
        <v>23</v>
      </c>
      <c r="D52" s="13" t="s">
        <v>13</v>
      </c>
      <c r="E52" s="14">
        <v>11</v>
      </c>
      <c r="F52" s="14">
        <f>IF($B52="","",IF($D52="kg",N($E52),IF($D52="sacos",N($E52)*97,IF($D52="jabas",N($E52)*IFERROR(VLOOKUP($C52,LISTAS!$A$2:$B$12,2,0),0),""))))</f>
        <v>198</v>
      </c>
      <c r="G52" s="13"/>
      <c r="H52" s="13"/>
      <c r="I52" s="13"/>
      <c r="J52">
        <f t="shared" si="0"/>
        <v>198</v>
      </c>
    </row>
    <row r="53" spans="1:10" ht="15" customHeight="1" x14ac:dyDescent="0.2">
      <c r="A53" s="12">
        <v>46219</v>
      </c>
      <c r="B53" s="13" t="s">
        <v>11</v>
      </c>
      <c r="C53" s="13" t="s">
        <v>12</v>
      </c>
      <c r="D53" s="13" t="s">
        <v>13</v>
      </c>
      <c r="E53" s="14">
        <v>12</v>
      </c>
      <c r="F53" s="14">
        <f>IF($B53="","",IF($D53="kg",N($E53),IF($D53="sacos",N($E53)*97,IF($D53="jabas",N($E53)*IFERROR(VLOOKUP($C53,LISTAS!$A$2:$B$12,2,0),0),""))))</f>
        <v>204</v>
      </c>
      <c r="G53" s="13"/>
      <c r="H53" s="13"/>
      <c r="I53" s="13"/>
      <c r="J53">
        <f t="shared" si="0"/>
        <v>204</v>
      </c>
    </row>
    <row r="54" spans="1:10" ht="15" customHeight="1" x14ac:dyDescent="0.2">
      <c r="A54" s="12">
        <v>46219</v>
      </c>
      <c r="B54" s="13" t="s">
        <v>11</v>
      </c>
      <c r="C54" s="13" t="s">
        <v>16</v>
      </c>
      <c r="D54" s="13" t="s">
        <v>13</v>
      </c>
      <c r="E54" s="14">
        <v>116</v>
      </c>
      <c r="F54" s="14">
        <f>IF($B54="","",IF($D54="kg",N($E54),IF($D54="sacos",N($E54)*97,IF($D54="jabas",N($E54)*IFERROR(VLOOKUP($C54,LISTAS!$A$2:$B$12,2,0),0),""))))</f>
        <v>1972</v>
      </c>
      <c r="G54" s="13"/>
      <c r="H54" s="13"/>
      <c r="I54" s="13"/>
      <c r="J54">
        <f t="shared" si="0"/>
        <v>1972</v>
      </c>
    </row>
    <row r="55" spans="1:10" ht="15" customHeight="1" x14ac:dyDescent="0.2">
      <c r="A55" s="12">
        <v>46219</v>
      </c>
      <c r="B55" s="13" t="s">
        <v>11</v>
      </c>
      <c r="C55" s="13" t="s">
        <v>17</v>
      </c>
      <c r="D55" s="13" t="s">
        <v>18</v>
      </c>
      <c r="E55" s="14">
        <v>4</v>
      </c>
      <c r="F55" s="14">
        <f>IF($B55="","",IF($D55="kg",N($E55),IF($D55="sacos",N($E55)*97,IF($D55="jabas",N($E55)*IFERROR(VLOOKUP($C55,LISTAS!$A$2:$B$12,2,0),0),""))))</f>
        <v>388</v>
      </c>
      <c r="G55" s="13"/>
      <c r="H55" s="13"/>
      <c r="I55" s="13"/>
      <c r="J55">
        <f t="shared" si="0"/>
        <v>388</v>
      </c>
    </row>
    <row r="56" spans="1:10" ht="15" customHeight="1" x14ac:dyDescent="0.2">
      <c r="A56" s="15">
        <v>46219</v>
      </c>
      <c r="B56" s="16" t="s">
        <v>24</v>
      </c>
      <c r="C56" s="16" t="s">
        <v>22</v>
      </c>
      <c r="D56" s="16" t="s">
        <v>13</v>
      </c>
      <c r="E56" s="17">
        <v>63</v>
      </c>
      <c r="F56" s="17">
        <f>IF($B56="","",IF($D56="kg",N($E56),IF($D56="sacos",N($E56)*97,IF($D56="jabas",N($E56)*IFERROR(VLOOKUP($C56,LISTAS!$A$2:$B$12,2,0),0),""))))</f>
        <v>945</v>
      </c>
      <c r="G56" s="16" t="s">
        <v>31</v>
      </c>
      <c r="H56" s="16"/>
      <c r="I56" s="16"/>
      <c r="J56">
        <f t="shared" si="0"/>
        <v>945</v>
      </c>
    </row>
    <row r="57" spans="1:10" ht="15" customHeight="1" x14ac:dyDescent="0.2">
      <c r="A57" s="15">
        <v>46219</v>
      </c>
      <c r="B57" s="16" t="s">
        <v>24</v>
      </c>
      <c r="C57" s="16" t="s">
        <v>23</v>
      </c>
      <c r="D57" s="16" t="s">
        <v>13</v>
      </c>
      <c r="E57" s="17">
        <v>11</v>
      </c>
      <c r="F57" s="17">
        <f>IF($B57="","",IF($D57="kg",N($E57),IF($D57="sacos",N($E57)*97,IF($D57="jabas",N($E57)*IFERROR(VLOOKUP($C57,LISTAS!$A$2:$B$12,2,0),0),""))))</f>
        <v>198</v>
      </c>
      <c r="G57" s="16" t="s">
        <v>31</v>
      </c>
      <c r="H57" s="16"/>
      <c r="I57" s="16"/>
      <c r="J57">
        <f t="shared" si="0"/>
        <v>198</v>
      </c>
    </row>
    <row r="58" spans="1:10" ht="15" customHeight="1" x14ac:dyDescent="0.2">
      <c r="A58" s="15">
        <v>46219</v>
      </c>
      <c r="B58" s="16" t="s">
        <v>24</v>
      </c>
      <c r="C58" s="16" t="s">
        <v>12</v>
      </c>
      <c r="D58" s="16" t="s">
        <v>13</v>
      </c>
      <c r="E58" s="17">
        <v>12</v>
      </c>
      <c r="F58" s="17">
        <f>IF($B58="","",IF($D58="kg",N($E58),IF($D58="sacos",N($E58)*97,IF($D58="jabas",N($E58)*IFERROR(VLOOKUP($C58,LISTAS!$A$2:$B$12,2,0),0),""))))</f>
        <v>204</v>
      </c>
      <c r="G58" s="16" t="s">
        <v>31</v>
      </c>
      <c r="H58" s="16"/>
      <c r="I58" s="16"/>
      <c r="J58">
        <f t="shared" si="0"/>
        <v>204</v>
      </c>
    </row>
    <row r="59" spans="1:10" ht="15" customHeight="1" x14ac:dyDescent="0.2">
      <c r="A59" s="15">
        <v>46219</v>
      </c>
      <c r="B59" s="16" t="s">
        <v>24</v>
      </c>
      <c r="C59" s="16" t="s">
        <v>16</v>
      </c>
      <c r="D59" s="16" t="s">
        <v>13</v>
      </c>
      <c r="E59" s="17">
        <v>115</v>
      </c>
      <c r="F59" s="17">
        <f>IF($B59="","",IF($D59="kg",N($E59),IF($D59="sacos",N($E59)*97,IF($D59="jabas",N($E59)*IFERROR(VLOOKUP($C59,LISTAS!$A$2:$B$12,2,0),0),""))))</f>
        <v>1955</v>
      </c>
      <c r="G59" s="16" t="s">
        <v>31</v>
      </c>
      <c r="H59" s="16"/>
      <c r="I59" s="16"/>
      <c r="J59">
        <f t="shared" si="0"/>
        <v>1955</v>
      </c>
    </row>
    <row r="60" spans="1:10" ht="15" customHeight="1" x14ac:dyDescent="0.2">
      <c r="A60" s="9">
        <v>46220</v>
      </c>
      <c r="B60" s="10" t="s">
        <v>19</v>
      </c>
      <c r="C60" s="10" t="s">
        <v>20</v>
      </c>
      <c r="D60" s="10" t="s">
        <v>18</v>
      </c>
      <c r="E60" s="11">
        <v>60</v>
      </c>
      <c r="F60" s="11">
        <f>IF($B60="","",IF($D60="kg",N($E60),IF($D60="sacos",N($E60)*97,IF($D60="jabas",N($E60)*IFERROR(VLOOKUP($C60,LISTAS!$A$2:$B$12,2,0),0),""))))</f>
        <v>5820</v>
      </c>
      <c r="G60" s="10"/>
      <c r="H60" s="10"/>
      <c r="I60" s="10" t="s">
        <v>21</v>
      </c>
      <c r="J60">
        <f t="shared" si="0"/>
        <v>5820</v>
      </c>
    </row>
    <row r="61" spans="1:10" ht="15" customHeight="1" x14ac:dyDescent="0.2">
      <c r="A61" s="12">
        <v>46220</v>
      </c>
      <c r="B61" s="13" t="s">
        <v>11</v>
      </c>
      <c r="C61" s="13" t="s">
        <v>22</v>
      </c>
      <c r="D61" s="13" t="s">
        <v>13</v>
      </c>
      <c r="E61" s="14">
        <v>99</v>
      </c>
      <c r="F61" s="14">
        <f>IF($B61="","",IF($D61="kg",N($E61),IF($D61="sacos",N($E61)*97,IF($D61="jabas",N($E61)*IFERROR(VLOOKUP($C61,LISTAS!$A$2:$B$12,2,0),0),""))))</f>
        <v>1485</v>
      </c>
      <c r="G61" s="13"/>
      <c r="H61" s="13"/>
      <c r="I61" s="13"/>
      <c r="J61">
        <f t="shared" si="0"/>
        <v>1485</v>
      </c>
    </row>
    <row r="62" spans="1:10" ht="15" customHeight="1" x14ac:dyDescent="0.2">
      <c r="A62" s="12">
        <v>46220</v>
      </c>
      <c r="B62" s="13" t="s">
        <v>11</v>
      </c>
      <c r="C62" s="13" t="s">
        <v>23</v>
      </c>
      <c r="D62" s="13" t="s">
        <v>13</v>
      </c>
      <c r="E62" s="14">
        <v>4</v>
      </c>
      <c r="F62" s="14">
        <f>IF($B62="","",IF($D62="kg",N($E62),IF($D62="sacos",N($E62)*97,IF($D62="jabas",N($E62)*IFERROR(VLOOKUP($C62,LISTAS!$A$2:$B$12,2,0),0),""))))</f>
        <v>72</v>
      </c>
      <c r="G62" s="13"/>
      <c r="H62" s="13"/>
      <c r="I62" s="13"/>
      <c r="J62">
        <f t="shared" si="0"/>
        <v>72</v>
      </c>
    </row>
    <row r="63" spans="1:10" ht="15" customHeight="1" x14ac:dyDescent="0.2">
      <c r="A63" s="12">
        <v>46220</v>
      </c>
      <c r="B63" s="13" t="s">
        <v>11</v>
      </c>
      <c r="C63" s="13" t="s">
        <v>12</v>
      </c>
      <c r="D63" s="13" t="s">
        <v>13</v>
      </c>
      <c r="E63" s="14">
        <v>9</v>
      </c>
      <c r="F63" s="14">
        <f>IF($B63="","",IF($D63="kg",N($E63),IF($D63="sacos",N($E63)*97,IF($D63="jabas",N($E63)*IFERROR(VLOOKUP($C63,LISTAS!$A$2:$B$12,2,0),0),""))))</f>
        <v>153</v>
      </c>
      <c r="G63" s="13"/>
      <c r="H63" s="13"/>
      <c r="I63" s="13"/>
      <c r="J63">
        <f t="shared" si="0"/>
        <v>153</v>
      </c>
    </row>
    <row r="64" spans="1:10" ht="15" customHeight="1" x14ac:dyDescent="0.2">
      <c r="A64" s="12">
        <v>46220</v>
      </c>
      <c r="B64" s="13" t="s">
        <v>11</v>
      </c>
      <c r="C64" s="13" t="s">
        <v>16</v>
      </c>
      <c r="D64" s="13" t="s">
        <v>13</v>
      </c>
      <c r="E64" s="14">
        <v>178</v>
      </c>
      <c r="F64" s="14">
        <f>IF($B64="","",IF($D64="kg",N($E64),IF($D64="sacos",N($E64)*97,IF($D64="jabas",N($E64)*IFERROR(VLOOKUP($C64,LISTAS!$A$2:$B$12,2,0),0),""))))</f>
        <v>3026</v>
      </c>
      <c r="G64" s="13"/>
      <c r="H64" s="13"/>
      <c r="I64" s="13"/>
      <c r="J64">
        <f t="shared" si="0"/>
        <v>3026</v>
      </c>
    </row>
    <row r="65" spans="1:10" ht="15" customHeight="1" x14ac:dyDescent="0.2">
      <c r="A65" s="12">
        <v>46220</v>
      </c>
      <c r="B65" s="13" t="s">
        <v>11</v>
      </c>
      <c r="C65" s="13" t="s">
        <v>17</v>
      </c>
      <c r="D65" s="13" t="s">
        <v>18</v>
      </c>
      <c r="E65" s="14">
        <v>10</v>
      </c>
      <c r="F65" s="14">
        <f>IF($B65="","",IF($D65="kg",N($E65),IF($D65="sacos",N($E65)*97,IF($D65="jabas",N($E65)*IFERROR(VLOOKUP($C65,LISTAS!$A$2:$B$12,2,0),0),""))))</f>
        <v>970</v>
      </c>
      <c r="G65" s="13"/>
      <c r="H65" s="13"/>
      <c r="I65" s="13"/>
      <c r="J65">
        <f t="shared" si="0"/>
        <v>970</v>
      </c>
    </row>
    <row r="66" spans="1:10" ht="15" customHeight="1" x14ac:dyDescent="0.2">
      <c r="A66" s="15">
        <v>46220</v>
      </c>
      <c r="B66" s="16" t="s">
        <v>24</v>
      </c>
      <c r="C66" s="16" t="s">
        <v>22</v>
      </c>
      <c r="D66" s="16" t="s">
        <v>13</v>
      </c>
      <c r="E66" s="17">
        <v>67</v>
      </c>
      <c r="F66" s="17">
        <f>IF($B66="","",IF($D66="kg",N($E66),IF($D66="sacos",N($E66)*97,IF($D66="jabas",N($E66)*IFERROR(VLOOKUP($C66,LISTAS!$A$2:$B$12,2,0),0),""))))</f>
        <v>1005</v>
      </c>
      <c r="G66" s="16" t="s">
        <v>32</v>
      </c>
      <c r="H66" s="16"/>
      <c r="I66" s="16"/>
      <c r="J66">
        <f t="shared" si="0"/>
        <v>1005</v>
      </c>
    </row>
    <row r="67" spans="1:10" ht="15" customHeight="1" x14ac:dyDescent="0.2">
      <c r="A67" s="15">
        <v>46220</v>
      </c>
      <c r="B67" s="16" t="s">
        <v>24</v>
      </c>
      <c r="C67" s="16" t="s">
        <v>23</v>
      </c>
      <c r="D67" s="16" t="s">
        <v>13</v>
      </c>
      <c r="E67" s="17">
        <v>11</v>
      </c>
      <c r="F67" s="17">
        <f>IF($B67="","",IF($D67="kg",N($E67),IF($D67="sacos",N($E67)*97,IF($D67="jabas",N($E67)*IFERROR(VLOOKUP($C67,LISTAS!$A$2:$B$12,2,0),0),""))))</f>
        <v>198</v>
      </c>
      <c r="G67" s="16" t="s">
        <v>32</v>
      </c>
      <c r="H67" s="16"/>
      <c r="I67" s="16"/>
      <c r="J67">
        <f t="shared" si="0"/>
        <v>198</v>
      </c>
    </row>
    <row r="68" spans="1:10" ht="15" customHeight="1" x14ac:dyDescent="0.2">
      <c r="A68" s="15">
        <v>46220</v>
      </c>
      <c r="B68" s="16" t="s">
        <v>24</v>
      </c>
      <c r="C68" s="16" t="s">
        <v>12</v>
      </c>
      <c r="D68" s="16" t="s">
        <v>13</v>
      </c>
      <c r="E68" s="17">
        <v>12</v>
      </c>
      <c r="F68" s="17">
        <f>IF($B68="","",IF($D68="kg",N($E68),IF($D68="sacos",N($E68)*97,IF($D68="jabas",N($E68)*IFERROR(VLOOKUP($C68,LISTAS!$A$2:$B$12,2,0),0),""))))</f>
        <v>204</v>
      </c>
      <c r="G68" s="16" t="s">
        <v>32</v>
      </c>
      <c r="H68" s="16"/>
      <c r="I68" s="16"/>
      <c r="J68">
        <f t="shared" si="0"/>
        <v>204</v>
      </c>
    </row>
    <row r="69" spans="1:10" ht="15" customHeight="1" x14ac:dyDescent="0.2">
      <c r="A69" s="15">
        <v>46220</v>
      </c>
      <c r="B69" s="16" t="s">
        <v>24</v>
      </c>
      <c r="C69" s="16" t="s">
        <v>16</v>
      </c>
      <c r="D69" s="16" t="s">
        <v>13</v>
      </c>
      <c r="E69" s="17">
        <v>118</v>
      </c>
      <c r="F69" s="17">
        <f>IF($B69="","",IF($D69="kg",N($E69),IF($D69="sacos",N($E69)*97,IF($D69="jabas",N($E69)*IFERROR(VLOOKUP($C69,LISTAS!$A$2:$B$12,2,0),0),""))))</f>
        <v>2006</v>
      </c>
      <c r="G69" s="16" t="s">
        <v>32</v>
      </c>
      <c r="H69" s="16"/>
      <c r="I69" s="16"/>
      <c r="J69">
        <f t="shared" ref="J69:J132" si="1">N($F69)</f>
        <v>2006</v>
      </c>
    </row>
    <row r="70" spans="1:10" ht="15" customHeight="1" x14ac:dyDescent="0.2">
      <c r="A70" s="18">
        <v>46220</v>
      </c>
      <c r="B70" s="19" t="s">
        <v>29</v>
      </c>
      <c r="C70" s="19" t="s">
        <v>17</v>
      </c>
      <c r="D70" s="19" t="s">
        <v>18</v>
      </c>
      <c r="E70" s="20">
        <v>15</v>
      </c>
      <c r="F70" s="20">
        <f>IF($B70="","",IF($D70="kg",N($E70),IF($D70="sacos",N($E70)*97,IF($D70="jabas",N($E70)*IFERROR(VLOOKUP($C70,LISTAS!$A$2:$B$12,2,0),0),""))))</f>
        <v>1455</v>
      </c>
      <c r="G70" s="19" t="s">
        <v>33</v>
      </c>
      <c r="H70" s="19"/>
      <c r="I70" s="19"/>
      <c r="J70">
        <f t="shared" si="1"/>
        <v>1455</v>
      </c>
    </row>
    <row r="71" spans="1:10" ht="15" customHeight="1" x14ac:dyDescent="0.2">
      <c r="A71" s="9">
        <v>46220</v>
      </c>
      <c r="B71" s="10" t="s">
        <v>19</v>
      </c>
      <c r="C71" s="10" t="s">
        <v>20</v>
      </c>
      <c r="D71" s="10" t="s">
        <v>18</v>
      </c>
      <c r="E71" s="11">
        <v>5</v>
      </c>
      <c r="F71" s="11">
        <f>IF($B71="","",IF($D71="kg",N($E71),IF($D71="sacos",N($E71)*97,IF($D71="jabas",N($E71)*IFERROR(VLOOKUP($C71,LISTAS!$A$2:$B$12,2,0),0),""))))</f>
        <v>485</v>
      </c>
      <c r="G71" s="10"/>
      <c r="H71" s="10"/>
      <c r="I71" s="10" t="s">
        <v>21</v>
      </c>
      <c r="J71">
        <f t="shared" si="1"/>
        <v>485</v>
      </c>
    </row>
    <row r="72" spans="1:10" ht="15" customHeight="1" x14ac:dyDescent="0.2">
      <c r="A72" s="12">
        <v>46220</v>
      </c>
      <c r="B72" s="13" t="s">
        <v>11</v>
      </c>
      <c r="C72" s="13" t="s">
        <v>22</v>
      </c>
      <c r="D72" s="13" t="s">
        <v>13</v>
      </c>
      <c r="E72" s="14">
        <v>4</v>
      </c>
      <c r="F72" s="14">
        <f>IF($B72="","",IF($D72="kg",N($E72),IF($D72="sacos",N($E72)*97,IF($D72="jabas",N($E72)*IFERROR(VLOOKUP($C72,LISTAS!$A$2:$B$12,2,0),0),""))))</f>
        <v>60</v>
      </c>
      <c r="G72" s="13"/>
      <c r="H72" s="13"/>
      <c r="I72" s="13"/>
      <c r="J72">
        <f t="shared" si="1"/>
        <v>60</v>
      </c>
    </row>
    <row r="73" spans="1:10" ht="15" customHeight="1" x14ac:dyDescent="0.2">
      <c r="A73" s="12">
        <v>46220</v>
      </c>
      <c r="B73" s="13" t="s">
        <v>11</v>
      </c>
      <c r="C73" s="13" t="s">
        <v>16</v>
      </c>
      <c r="D73" s="13" t="s">
        <v>13</v>
      </c>
      <c r="E73" s="14">
        <v>18</v>
      </c>
      <c r="F73" s="14">
        <f>IF($B73="","",IF($D73="kg",N($E73),IF($D73="sacos",N($E73)*97,IF($D73="jabas",N($E73)*IFERROR(VLOOKUP($C73,LISTAS!$A$2:$B$12,2,0),0),""))))</f>
        <v>306</v>
      </c>
      <c r="G73" s="13"/>
      <c r="H73" s="13"/>
      <c r="I73" s="13"/>
      <c r="J73">
        <f t="shared" si="1"/>
        <v>306</v>
      </c>
    </row>
    <row r="74" spans="1:10" ht="15" customHeight="1" x14ac:dyDescent="0.2">
      <c r="A74" s="12">
        <v>46220</v>
      </c>
      <c r="B74" s="13" t="s">
        <v>11</v>
      </c>
      <c r="C74" s="13" t="s">
        <v>17</v>
      </c>
      <c r="D74" s="13" t="s">
        <v>18</v>
      </c>
      <c r="E74" s="14">
        <v>1</v>
      </c>
      <c r="F74" s="14">
        <f>IF($B74="","",IF($D74="kg",N($E74),IF($D74="sacos",N($E74)*97,IF($D74="jabas",N($E74)*IFERROR(VLOOKUP($C74,LISTAS!$A$2:$B$12,2,0),0),""))))</f>
        <v>97</v>
      </c>
      <c r="G74" s="13"/>
      <c r="H74" s="13"/>
      <c r="I74" s="13"/>
      <c r="J74">
        <f t="shared" si="1"/>
        <v>97</v>
      </c>
    </row>
    <row r="75" spans="1:10" ht="15" customHeight="1" x14ac:dyDescent="0.2">
      <c r="A75" s="15">
        <v>46221</v>
      </c>
      <c r="B75" s="16" t="s">
        <v>24</v>
      </c>
      <c r="C75" s="16" t="s">
        <v>22</v>
      </c>
      <c r="D75" s="16" t="s">
        <v>13</v>
      </c>
      <c r="E75" s="17">
        <v>67</v>
      </c>
      <c r="F75" s="17">
        <f>IF($B75="","",IF($D75="kg",N($E75),IF($D75="sacos",N($E75)*97,IF($D75="jabas",N($E75)*IFERROR(VLOOKUP($C75,LISTAS!$A$2:$B$12,2,0),0),""))))</f>
        <v>1005</v>
      </c>
      <c r="G75" s="16" t="s">
        <v>34</v>
      </c>
      <c r="H75" s="16"/>
      <c r="I75" s="16"/>
      <c r="J75">
        <f t="shared" si="1"/>
        <v>1005</v>
      </c>
    </row>
    <row r="76" spans="1:10" ht="15" customHeight="1" x14ac:dyDescent="0.2">
      <c r="A76" s="15">
        <v>46221</v>
      </c>
      <c r="B76" s="16" t="s">
        <v>24</v>
      </c>
      <c r="C76" s="16" t="s">
        <v>23</v>
      </c>
      <c r="D76" s="16" t="s">
        <v>13</v>
      </c>
      <c r="E76" s="17">
        <v>4</v>
      </c>
      <c r="F76" s="17">
        <f>IF($B76="","",IF($D76="kg",N($E76),IF($D76="sacos",N($E76)*97,IF($D76="jabas",N($E76)*IFERROR(VLOOKUP($C76,LISTAS!$A$2:$B$12,2,0),0),""))))</f>
        <v>72</v>
      </c>
      <c r="G76" s="16" t="s">
        <v>34</v>
      </c>
      <c r="H76" s="16"/>
      <c r="I76" s="16"/>
      <c r="J76">
        <f t="shared" si="1"/>
        <v>72</v>
      </c>
    </row>
    <row r="77" spans="1:10" ht="15" customHeight="1" x14ac:dyDescent="0.2">
      <c r="A77" s="15">
        <v>46221</v>
      </c>
      <c r="B77" s="16" t="s">
        <v>24</v>
      </c>
      <c r="C77" s="16" t="s">
        <v>12</v>
      </c>
      <c r="D77" s="16" t="s">
        <v>13</v>
      </c>
      <c r="E77" s="17">
        <v>9</v>
      </c>
      <c r="F77" s="17">
        <f>IF($B77="","",IF($D77="kg",N($E77),IF($D77="sacos",N($E77)*97,IF($D77="jabas",N($E77)*IFERROR(VLOOKUP($C77,LISTAS!$A$2:$B$12,2,0),0),""))))</f>
        <v>153</v>
      </c>
      <c r="G77" s="16" t="s">
        <v>34</v>
      </c>
      <c r="H77" s="16"/>
      <c r="I77" s="16"/>
      <c r="J77">
        <f t="shared" si="1"/>
        <v>153</v>
      </c>
    </row>
    <row r="78" spans="1:10" ht="15" customHeight="1" x14ac:dyDescent="0.2">
      <c r="A78" s="15">
        <v>46221</v>
      </c>
      <c r="B78" s="16" t="s">
        <v>24</v>
      </c>
      <c r="C78" s="16" t="s">
        <v>16</v>
      </c>
      <c r="D78" s="16" t="s">
        <v>13</v>
      </c>
      <c r="E78" s="17">
        <v>114</v>
      </c>
      <c r="F78" s="17">
        <f>IF($B78="","",IF($D78="kg",N($E78),IF($D78="sacos",N($E78)*97,IF($D78="jabas",N($E78)*IFERROR(VLOOKUP($C78,LISTAS!$A$2:$B$12,2,0),0),""))))</f>
        <v>1938</v>
      </c>
      <c r="G78" s="16" t="s">
        <v>34</v>
      </c>
      <c r="H78" s="16"/>
      <c r="I78" s="16"/>
      <c r="J78">
        <f t="shared" si="1"/>
        <v>1938</v>
      </c>
    </row>
    <row r="79" spans="1:10" ht="15" customHeight="1" x14ac:dyDescent="0.2">
      <c r="A79" s="12">
        <v>46221</v>
      </c>
      <c r="B79" s="13" t="s">
        <v>11</v>
      </c>
      <c r="C79" s="13" t="s">
        <v>22</v>
      </c>
      <c r="D79" s="13" t="s">
        <v>13</v>
      </c>
      <c r="E79" s="14">
        <v>67</v>
      </c>
      <c r="F79" s="14">
        <f>IF($B79="","",IF($D79="kg",N($E79),IF($D79="sacos",N($E79)*97,IF($D79="jabas",N($E79)*IFERROR(VLOOKUP($C79,LISTAS!$A$2:$B$12,2,0),0),""))))</f>
        <v>1005</v>
      </c>
      <c r="G79" s="13"/>
      <c r="H79" s="13"/>
      <c r="I79" s="13"/>
      <c r="J79">
        <f t="shared" si="1"/>
        <v>1005</v>
      </c>
    </row>
    <row r="80" spans="1:10" ht="15" customHeight="1" x14ac:dyDescent="0.2">
      <c r="A80" s="12">
        <v>46221</v>
      </c>
      <c r="B80" s="13" t="s">
        <v>11</v>
      </c>
      <c r="C80" s="13" t="s">
        <v>23</v>
      </c>
      <c r="D80" s="13" t="s">
        <v>13</v>
      </c>
      <c r="E80" s="14">
        <v>11</v>
      </c>
      <c r="F80" s="14">
        <f>IF($B80="","",IF($D80="kg",N($E80),IF($D80="sacos",N($E80)*97,IF($D80="jabas",N($E80)*IFERROR(VLOOKUP($C80,LISTAS!$A$2:$B$12,2,0),0),""))))</f>
        <v>198</v>
      </c>
      <c r="G80" s="13"/>
      <c r="H80" s="13"/>
      <c r="I80" s="13"/>
      <c r="J80">
        <f t="shared" si="1"/>
        <v>198</v>
      </c>
    </row>
    <row r="81" spans="1:10" ht="15" customHeight="1" x14ac:dyDescent="0.2">
      <c r="A81" s="12">
        <v>46221</v>
      </c>
      <c r="B81" s="13" t="s">
        <v>11</v>
      </c>
      <c r="C81" s="13" t="s">
        <v>12</v>
      </c>
      <c r="D81" s="13" t="s">
        <v>13</v>
      </c>
      <c r="E81" s="14">
        <v>12</v>
      </c>
      <c r="F81" s="14">
        <f>IF($B81="","",IF($D81="kg",N($E81),IF($D81="sacos",N($E81)*97,IF($D81="jabas",N($E81)*IFERROR(VLOOKUP($C81,LISTAS!$A$2:$B$12,2,0),0),""))))</f>
        <v>204</v>
      </c>
      <c r="G81" s="13"/>
      <c r="H81" s="13"/>
      <c r="I81" s="13"/>
      <c r="J81">
        <f t="shared" si="1"/>
        <v>204</v>
      </c>
    </row>
    <row r="82" spans="1:10" ht="15" customHeight="1" x14ac:dyDescent="0.2">
      <c r="A82" s="12">
        <v>46221</v>
      </c>
      <c r="B82" s="13" t="s">
        <v>11</v>
      </c>
      <c r="C82" s="13" t="s">
        <v>16</v>
      </c>
      <c r="D82" s="13" t="s">
        <v>13</v>
      </c>
      <c r="E82" s="14">
        <v>54</v>
      </c>
      <c r="F82" s="14">
        <f>IF($B82="","",IF($D82="kg",N($E82),IF($D82="sacos",N($E82)*97,IF($D82="jabas",N($E82)*IFERROR(VLOOKUP($C82,LISTAS!$A$2:$B$12,2,0),0),""))))</f>
        <v>918</v>
      </c>
      <c r="G82" s="13"/>
      <c r="H82" s="13"/>
      <c r="I82" s="13"/>
      <c r="J82">
        <f t="shared" si="1"/>
        <v>918</v>
      </c>
    </row>
    <row r="83" spans="1:10" ht="15" customHeight="1" x14ac:dyDescent="0.2">
      <c r="A83" s="12">
        <v>46221</v>
      </c>
      <c r="B83" s="13" t="s">
        <v>11</v>
      </c>
      <c r="C83" s="13" t="s">
        <v>17</v>
      </c>
      <c r="D83" s="13" t="s">
        <v>18</v>
      </c>
      <c r="E83" s="14">
        <v>10</v>
      </c>
      <c r="F83" s="14">
        <f>IF($B83="","",IF($D83="kg",N($E83),IF($D83="sacos",N($E83)*97,IF($D83="jabas",N($E83)*IFERROR(VLOOKUP($C83,LISTAS!$A$2:$B$12,2,0),0),""))))</f>
        <v>970</v>
      </c>
      <c r="G83" s="13"/>
      <c r="H83" s="13"/>
      <c r="I83" s="13"/>
      <c r="J83">
        <f t="shared" si="1"/>
        <v>970</v>
      </c>
    </row>
    <row r="84" spans="1:10" ht="15" customHeight="1" x14ac:dyDescent="0.2">
      <c r="A84" s="21">
        <v>46221</v>
      </c>
      <c r="B84" s="22" t="s">
        <v>35</v>
      </c>
      <c r="C84" s="22" t="s">
        <v>22</v>
      </c>
      <c r="D84" s="22" t="s">
        <v>13</v>
      </c>
      <c r="E84" s="23">
        <v>1</v>
      </c>
      <c r="F84" s="23">
        <f>IF($B84="","",IF($D84="kg",N($E84),IF($D84="sacos",N($E84)*97,IF($D84="jabas",N($E84)*IFERROR(VLOOKUP($C84,LISTAS!$A$2:$B$12,2,0),0),""))))</f>
        <v>15</v>
      </c>
      <c r="G84" s="22"/>
      <c r="H84" s="22"/>
      <c r="I84" s="22"/>
      <c r="J84">
        <f t="shared" si="1"/>
        <v>15</v>
      </c>
    </row>
    <row r="85" spans="1:10" ht="15" customHeight="1" x14ac:dyDescent="0.2">
      <c r="A85" s="9">
        <v>46221</v>
      </c>
      <c r="B85" s="10" t="s">
        <v>19</v>
      </c>
      <c r="C85" s="10" t="s">
        <v>20</v>
      </c>
      <c r="D85" s="10" t="s">
        <v>18</v>
      </c>
      <c r="E85" s="11">
        <v>33</v>
      </c>
      <c r="F85" s="11">
        <f>IF($B85="","",IF($D85="kg",N($E85),IF($D85="sacos",N($E85)*97,IF($D85="jabas",N($E85)*IFERROR(VLOOKUP($C85,LISTAS!$A$2:$B$12,2,0),0),""))))</f>
        <v>3201</v>
      </c>
      <c r="G85" s="10"/>
      <c r="H85" s="10"/>
      <c r="I85" s="10" t="s">
        <v>36</v>
      </c>
      <c r="J85">
        <f t="shared" si="1"/>
        <v>3201</v>
      </c>
    </row>
    <row r="86" spans="1:10" ht="15" customHeight="1" x14ac:dyDescent="0.2">
      <c r="A86" s="12">
        <v>46222</v>
      </c>
      <c r="B86" s="13" t="s">
        <v>11</v>
      </c>
      <c r="C86" s="13" t="s">
        <v>22</v>
      </c>
      <c r="D86" s="13" t="s">
        <v>13</v>
      </c>
      <c r="E86" s="14">
        <v>40</v>
      </c>
      <c r="F86" s="14">
        <f>IF($B86="","",IF($D86="kg",N($E86),IF($D86="sacos",N($E86)*97,IF($D86="jabas",N($E86)*IFERROR(VLOOKUP($C86,LISTAS!$A$2:$B$12,2,0),0),""))))</f>
        <v>600</v>
      </c>
      <c r="G86" s="13"/>
      <c r="H86" s="13"/>
      <c r="I86" s="13"/>
      <c r="J86">
        <f t="shared" si="1"/>
        <v>600</v>
      </c>
    </row>
    <row r="87" spans="1:10" ht="15" customHeight="1" x14ac:dyDescent="0.2">
      <c r="A87" s="12">
        <v>46222</v>
      </c>
      <c r="B87" s="13" t="s">
        <v>11</v>
      </c>
      <c r="C87" s="13" t="s">
        <v>23</v>
      </c>
      <c r="D87" s="13" t="s">
        <v>13</v>
      </c>
      <c r="E87" s="14">
        <v>0</v>
      </c>
      <c r="F87" s="14">
        <f>IF($B87="","",IF($D87="kg",N($E87),IF($D87="sacos",N($E87)*97,IF($D87="jabas",N($E87)*IFERROR(VLOOKUP($C87,LISTAS!$A$2:$B$12,2,0),0),""))))</f>
        <v>0</v>
      </c>
      <c r="G87" s="13"/>
      <c r="H87" s="13"/>
      <c r="I87" s="13"/>
      <c r="J87">
        <f t="shared" si="1"/>
        <v>0</v>
      </c>
    </row>
    <row r="88" spans="1:10" ht="15" customHeight="1" x14ac:dyDescent="0.2">
      <c r="A88" s="12">
        <v>46222</v>
      </c>
      <c r="B88" s="13" t="s">
        <v>11</v>
      </c>
      <c r="C88" s="13" t="s">
        <v>12</v>
      </c>
      <c r="D88" s="13" t="s">
        <v>13</v>
      </c>
      <c r="E88" s="14">
        <v>0</v>
      </c>
      <c r="F88" s="14">
        <f>IF($B88="","",IF($D88="kg",N($E88),IF($D88="sacos",N($E88)*97,IF($D88="jabas",N($E88)*IFERROR(VLOOKUP($C88,LISTAS!$A$2:$B$12,2,0),0),""))))</f>
        <v>0</v>
      </c>
      <c r="G88" s="13"/>
      <c r="H88" s="13"/>
      <c r="I88" s="13"/>
      <c r="J88">
        <f t="shared" si="1"/>
        <v>0</v>
      </c>
    </row>
    <row r="89" spans="1:10" ht="15" customHeight="1" x14ac:dyDescent="0.2">
      <c r="A89" s="12">
        <v>46222</v>
      </c>
      <c r="B89" s="13" t="s">
        <v>11</v>
      </c>
      <c r="C89" s="13" t="s">
        <v>16</v>
      </c>
      <c r="D89" s="13" t="s">
        <v>13</v>
      </c>
      <c r="E89" s="14">
        <v>34</v>
      </c>
      <c r="F89" s="14">
        <f>IF($B89="","",IF($D89="kg",N($E89),IF($D89="sacos",N($E89)*97,IF($D89="jabas",N($E89)*IFERROR(VLOOKUP($C89,LISTAS!$A$2:$B$12,2,0),0),""))))</f>
        <v>578</v>
      </c>
      <c r="G89" s="13"/>
      <c r="H89" s="13"/>
      <c r="I89" s="13"/>
      <c r="J89">
        <f t="shared" si="1"/>
        <v>578</v>
      </c>
    </row>
    <row r="90" spans="1:10" ht="15" customHeight="1" x14ac:dyDescent="0.2">
      <c r="A90" s="12">
        <v>46222</v>
      </c>
      <c r="B90" s="13" t="s">
        <v>11</v>
      </c>
      <c r="C90" s="13" t="s">
        <v>17</v>
      </c>
      <c r="D90" s="13" t="s">
        <v>18</v>
      </c>
      <c r="E90" s="14">
        <v>3</v>
      </c>
      <c r="F90" s="14">
        <f>IF($B90="","",IF($D90="kg",N($E90),IF($D90="sacos",N($E90)*97,IF($D90="jabas",N($E90)*IFERROR(VLOOKUP($C90,LISTAS!$A$2:$B$12,2,0),0),""))))</f>
        <v>291</v>
      </c>
      <c r="G90" s="13"/>
      <c r="H90" s="13"/>
      <c r="I90" s="13"/>
      <c r="J90">
        <f t="shared" si="1"/>
        <v>291</v>
      </c>
    </row>
    <row r="91" spans="1:10" ht="15" customHeight="1" x14ac:dyDescent="0.2">
      <c r="A91" s="15">
        <v>46222</v>
      </c>
      <c r="B91" s="16" t="s">
        <v>24</v>
      </c>
      <c r="C91" s="16" t="s">
        <v>22</v>
      </c>
      <c r="D91" s="16" t="s">
        <v>13</v>
      </c>
      <c r="E91" s="17">
        <v>67</v>
      </c>
      <c r="F91" s="17">
        <f>IF($B91="","",IF($D91="kg",N($E91),IF($D91="sacos",N($E91)*97,IF($D91="jabas",N($E91)*IFERROR(VLOOKUP($C91,LISTAS!$A$2:$B$12,2,0),0),""))))</f>
        <v>1005</v>
      </c>
      <c r="G91" s="16" t="s">
        <v>37</v>
      </c>
      <c r="H91" s="16"/>
      <c r="I91" s="16"/>
      <c r="J91">
        <f t="shared" si="1"/>
        <v>1005</v>
      </c>
    </row>
    <row r="92" spans="1:10" ht="15" customHeight="1" x14ac:dyDescent="0.2">
      <c r="A92" s="15">
        <v>46222</v>
      </c>
      <c r="B92" s="16" t="s">
        <v>24</v>
      </c>
      <c r="C92" s="16" t="s">
        <v>23</v>
      </c>
      <c r="D92" s="16" t="s">
        <v>13</v>
      </c>
      <c r="E92" s="17">
        <v>11</v>
      </c>
      <c r="F92" s="17">
        <f>IF($B92="","",IF($D92="kg",N($E92),IF($D92="sacos",N($E92)*97,IF($D92="jabas",N($E92)*IFERROR(VLOOKUP($C92,LISTAS!$A$2:$B$12,2,0),0),""))))</f>
        <v>198</v>
      </c>
      <c r="G92" s="16" t="s">
        <v>37</v>
      </c>
      <c r="H92" s="16"/>
      <c r="I92" s="16"/>
      <c r="J92">
        <f t="shared" si="1"/>
        <v>198</v>
      </c>
    </row>
    <row r="93" spans="1:10" ht="15" customHeight="1" x14ac:dyDescent="0.2">
      <c r="A93" s="15">
        <v>46222</v>
      </c>
      <c r="B93" s="16" t="s">
        <v>24</v>
      </c>
      <c r="C93" s="16" t="s">
        <v>12</v>
      </c>
      <c r="D93" s="16" t="s">
        <v>13</v>
      </c>
      <c r="E93" s="17">
        <v>12</v>
      </c>
      <c r="F93" s="17">
        <f>IF($B93="","",IF($D93="kg",N($E93),IF($D93="sacos",N($E93)*97,IF($D93="jabas",N($E93)*IFERROR(VLOOKUP($C93,LISTAS!$A$2:$B$12,2,0),0),""))))</f>
        <v>204</v>
      </c>
      <c r="G93" s="16" t="s">
        <v>37</v>
      </c>
      <c r="H93" s="16"/>
      <c r="I93" s="16"/>
      <c r="J93">
        <f t="shared" si="1"/>
        <v>204</v>
      </c>
    </row>
    <row r="94" spans="1:10" ht="15" customHeight="1" x14ac:dyDescent="0.2">
      <c r="A94" s="15">
        <v>46222</v>
      </c>
      <c r="B94" s="16" t="s">
        <v>24</v>
      </c>
      <c r="C94" s="16" t="s">
        <v>16</v>
      </c>
      <c r="D94" s="16" t="s">
        <v>13</v>
      </c>
      <c r="E94" s="17">
        <v>28</v>
      </c>
      <c r="F94" s="17">
        <f>IF($B94="","",IF($D94="kg",N($E94),IF($D94="sacos",N($E94)*97,IF($D94="jabas",N($E94)*IFERROR(VLOOKUP($C94,LISTAS!$A$2:$B$12,2,0),0),""))))</f>
        <v>476</v>
      </c>
      <c r="G94" s="16" t="s">
        <v>37</v>
      </c>
      <c r="H94" s="16"/>
      <c r="I94" s="16"/>
      <c r="J94">
        <f t="shared" si="1"/>
        <v>476</v>
      </c>
    </row>
    <row r="95" spans="1:10" ht="15" customHeight="1" x14ac:dyDescent="0.2">
      <c r="A95" s="9">
        <v>46222</v>
      </c>
      <c r="B95" s="10" t="s">
        <v>19</v>
      </c>
      <c r="C95" s="10" t="s">
        <v>20</v>
      </c>
      <c r="D95" s="10" t="s">
        <v>18</v>
      </c>
      <c r="E95" s="11">
        <v>17</v>
      </c>
      <c r="F95" s="11">
        <f>IF($B95="","",IF($D95="kg",N($E95),IF($D95="sacos",N($E95)*97,IF($D95="jabas",N($E95)*IFERROR(VLOOKUP($C95,LISTAS!$A$2:$B$12,2,0),0),""))))</f>
        <v>1649</v>
      </c>
      <c r="G95" s="10"/>
      <c r="H95" s="10"/>
      <c r="I95" s="10" t="s">
        <v>38</v>
      </c>
      <c r="J95">
        <f t="shared" si="1"/>
        <v>1649</v>
      </c>
    </row>
    <row r="96" spans="1:10" ht="15" customHeight="1" x14ac:dyDescent="0.2">
      <c r="A96" s="9">
        <v>46223</v>
      </c>
      <c r="B96" s="10" t="s">
        <v>19</v>
      </c>
      <c r="C96" s="10" t="s">
        <v>20</v>
      </c>
      <c r="D96" s="10" t="s">
        <v>18</v>
      </c>
      <c r="E96" s="11">
        <v>48</v>
      </c>
      <c r="F96" s="11">
        <f>IF($B96="","",IF($D96="kg",N($E96),IF($D96="sacos",N($E96)*97,IF($D96="jabas",N($E96)*IFERROR(VLOOKUP($C96,LISTAS!$A$2:$B$12,2,0),0),""))))</f>
        <v>4656</v>
      </c>
      <c r="G96" s="10"/>
      <c r="H96" s="10"/>
      <c r="I96" s="10" t="s">
        <v>39</v>
      </c>
      <c r="J96">
        <f t="shared" si="1"/>
        <v>4656</v>
      </c>
    </row>
    <row r="97" spans="1:10" ht="15" customHeight="1" x14ac:dyDescent="0.2">
      <c r="A97" s="12">
        <v>46223</v>
      </c>
      <c r="B97" s="13" t="s">
        <v>11</v>
      </c>
      <c r="C97" s="13" t="s">
        <v>22</v>
      </c>
      <c r="D97" s="13" t="s">
        <v>13</v>
      </c>
      <c r="E97" s="14">
        <v>68</v>
      </c>
      <c r="F97" s="14">
        <f>IF($B97="","",IF($D97="kg",N($E97),IF($D97="sacos",N($E97)*97,IF($D97="jabas",N($E97)*IFERROR(VLOOKUP($C97,LISTAS!$A$2:$B$12,2,0),0),""))))</f>
        <v>1020</v>
      </c>
      <c r="G97" s="13"/>
      <c r="H97" s="13"/>
      <c r="I97" s="13"/>
      <c r="J97">
        <f t="shared" si="1"/>
        <v>1020</v>
      </c>
    </row>
    <row r="98" spans="1:10" ht="15" customHeight="1" x14ac:dyDescent="0.2">
      <c r="A98" s="12">
        <v>46223</v>
      </c>
      <c r="B98" s="13" t="s">
        <v>11</v>
      </c>
      <c r="C98" s="13" t="s">
        <v>23</v>
      </c>
      <c r="D98" s="13" t="s">
        <v>13</v>
      </c>
      <c r="E98" s="14">
        <v>23</v>
      </c>
      <c r="F98" s="14">
        <f>IF($B98="","",IF($D98="kg",N($E98),IF($D98="sacos",N($E98)*97,IF($D98="jabas",N($E98)*IFERROR(VLOOKUP($C98,LISTAS!$A$2:$B$12,2,0),0),""))))</f>
        <v>414</v>
      </c>
      <c r="G98" s="13"/>
      <c r="H98" s="13"/>
      <c r="I98" s="13"/>
      <c r="J98">
        <f t="shared" si="1"/>
        <v>414</v>
      </c>
    </row>
    <row r="99" spans="1:10" ht="15" customHeight="1" x14ac:dyDescent="0.2">
      <c r="A99" s="12">
        <v>46223</v>
      </c>
      <c r="B99" s="13" t="s">
        <v>11</v>
      </c>
      <c r="C99" s="13" t="s">
        <v>12</v>
      </c>
      <c r="D99" s="13" t="s">
        <v>13</v>
      </c>
      <c r="E99" s="14">
        <v>23</v>
      </c>
      <c r="F99" s="14">
        <f>IF($B99="","",IF($D99="kg",N($E99),IF($D99="sacos",N($E99)*97,IF($D99="jabas",N($E99)*IFERROR(VLOOKUP($C99,LISTAS!$A$2:$B$12,2,0),0),""))))</f>
        <v>391</v>
      </c>
      <c r="G99" s="13"/>
      <c r="H99" s="13"/>
      <c r="I99" s="13"/>
      <c r="J99">
        <f t="shared" si="1"/>
        <v>391</v>
      </c>
    </row>
    <row r="100" spans="1:10" ht="15" customHeight="1" x14ac:dyDescent="0.2">
      <c r="A100" s="12">
        <v>46223</v>
      </c>
      <c r="B100" s="13" t="s">
        <v>11</v>
      </c>
      <c r="C100" s="13" t="s">
        <v>16</v>
      </c>
      <c r="D100" s="13" t="s">
        <v>13</v>
      </c>
      <c r="E100" s="14">
        <v>129</v>
      </c>
      <c r="F100" s="14">
        <f>IF($B100="","",IF($D100="kg",N($E100),IF($D100="sacos",N($E100)*97,IF($D100="jabas",N($E100)*IFERROR(VLOOKUP($C100,LISTAS!$A$2:$B$12,2,0),0),""))))</f>
        <v>2193</v>
      </c>
      <c r="G100" s="13"/>
      <c r="H100" s="13"/>
      <c r="I100" s="13"/>
      <c r="J100">
        <f t="shared" si="1"/>
        <v>2193</v>
      </c>
    </row>
    <row r="101" spans="1:10" ht="15" customHeight="1" x14ac:dyDescent="0.2">
      <c r="A101" s="12">
        <v>46223</v>
      </c>
      <c r="B101" s="13" t="s">
        <v>11</v>
      </c>
      <c r="C101" s="13" t="s">
        <v>17</v>
      </c>
      <c r="D101" s="13" t="s">
        <v>18</v>
      </c>
      <c r="E101" s="14">
        <v>6.5</v>
      </c>
      <c r="F101" s="14">
        <f>IF($B101="","",IF($D101="kg",N($E101),IF($D101="sacos",N($E101)*97,IF($D101="jabas",N($E101)*IFERROR(VLOOKUP($C101,LISTAS!$A$2:$B$12,2,0),0),""))))</f>
        <v>630.5</v>
      </c>
      <c r="G101" s="13"/>
      <c r="H101" s="13"/>
      <c r="I101" s="13"/>
      <c r="J101">
        <f t="shared" si="1"/>
        <v>630.5</v>
      </c>
    </row>
    <row r="102" spans="1:10" ht="15" customHeight="1" x14ac:dyDescent="0.2">
      <c r="A102" s="15">
        <v>46223</v>
      </c>
      <c r="B102" s="16" t="s">
        <v>24</v>
      </c>
      <c r="C102" s="16" t="s">
        <v>22</v>
      </c>
      <c r="D102" s="16" t="s">
        <v>13</v>
      </c>
      <c r="E102" s="17">
        <v>67</v>
      </c>
      <c r="F102" s="17">
        <f>IF($B102="","",IF($D102="kg",N($E102),IF($D102="sacos",N($E102)*97,IF($D102="jabas",N($E102)*IFERROR(VLOOKUP($C102,LISTAS!$A$2:$B$12,2,0),0),""))))</f>
        <v>1005</v>
      </c>
      <c r="G102" s="16" t="s">
        <v>40</v>
      </c>
      <c r="H102" s="16"/>
      <c r="I102" s="16"/>
      <c r="J102">
        <f t="shared" si="1"/>
        <v>1005</v>
      </c>
    </row>
    <row r="103" spans="1:10" ht="15" customHeight="1" x14ac:dyDescent="0.2">
      <c r="A103" s="15">
        <v>46223</v>
      </c>
      <c r="B103" s="16" t="s">
        <v>24</v>
      </c>
      <c r="C103" s="16" t="s">
        <v>23</v>
      </c>
      <c r="D103" s="16" t="s">
        <v>13</v>
      </c>
      <c r="E103" s="17">
        <v>11</v>
      </c>
      <c r="F103" s="17">
        <f>IF($B103="","",IF($D103="kg",N($E103),IF($D103="sacos",N($E103)*97,IF($D103="jabas",N($E103)*IFERROR(VLOOKUP($C103,LISTAS!$A$2:$B$12,2,0),0),""))))</f>
        <v>198</v>
      </c>
      <c r="G103" s="16" t="s">
        <v>40</v>
      </c>
      <c r="H103" s="16"/>
      <c r="I103" s="16"/>
      <c r="J103">
        <f t="shared" si="1"/>
        <v>198</v>
      </c>
    </row>
    <row r="104" spans="1:10" ht="15" customHeight="1" x14ac:dyDescent="0.2">
      <c r="A104" s="15">
        <v>46223</v>
      </c>
      <c r="B104" s="16" t="s">
        <v>24</v>
      </c>
      <c r="C104" s="16" t="s">
        <v>12</v>
      </c>
      <c r="D104" s="16" t="s">
        <v>13</v>
      </c>
      <c r="E104" s="17">
        <v>12</v>
      </c>
      <c r="F104" s="17">
        <f>IF($B104="","",IF($D104="kg",N($E104),IF($D104="sacos",N($E104)*97,IF($D104="jabas",N($E104)*IFERROR(VLOOKUP($C104,LISTAS!$A$2:$B$12,2,0),0),""))))</f>
        <v>204</v>
      </c>
      <c r="G104" s="16" t="s">
        <v>40</v>
      </c>
      <c r="H104" s="16"/>
      <c r="I104" s="16"/>
      <c r="J104">
        <f t="shared" si="1"/>
        <v>204</v>
      </c>
    </row>
    <row r="105" spans="1:10" ht="15" customHeight="1" x14ac:dyDescent="0.2">
      <c r="A105" s="15">
        <v>46223</v>
      </c>
      <c r="B105" s="16" t="s">
        <v>24</v>
      </c>
      <c r="C105" s="16" t="s">
        <v>16</v>
      </c>
      <c r="D105" s="16" t="s">
        <v>13</v>
      </c>
      <c r="E105" s="17">
        <v>111</v>
      </c>
      <c r="F105" s="17">
        <f>IF($B105="","",IF($D105="kg",N($E105),IF($D105="sacos",N($E105)*97,IF($D105="jabas",N($E105)*IFERROR(VLOOKUP($C105,LISTAS!$A$2:$B$12,2,0),0),""))))</f>
        <v>1887</v>
      </c>
      <c r="G105" s="16" t="s">
        <v>40</v>
      </c>
      <c r="H105" s="16"/>
      <c r="I105" s="16"/>
      <c r="J105">
        <f t="shared" si="1"/>
        <v>1887</v>
      </c>
    </row>
    <row r="106" spans="1:10" ht="15" customHeight="1" x14ac:dyDescent="0.2">
      <c r="A106" s="18">
        <v>46223</v>
      </c>
      <c r="B106" s="19" t="s">
        <v>29</v>
      </c>
      <c r="C106" s="19" t="s">
        <v>17</v>
      </c>
      <c r="D106" s="19" t="s">
        <v>18</v>
      </c>
      <c r="E106" s="20">
        <v>18</v>
      </c>
      <c r="F106" s="20">
        <f>IF($B106="","",IF($D106="kg",N($E106),IF($D106="sacos",N($E106)*97,IF($D106="jabas",N($E106)*IFERROR(VLOOKUP($C106,LISTAS!$A$2:$B$12,2,0),0),""))))</f>
        <v>1746</v>
      </c>
      <c r="G106" s="19" t="s">
        <v>41</v>
      </c>
      <c r="H106" s="19"/>
      <c r="I106" s="19"/>
      <c r="J106">
        <f t="shared" si="1"/>
        <v>1746</v>
      </c>
    </row>
    <row r="107" spans="1:10" ht="15" customHeight="1" x14ac:dyDescent="0.2">
      <c r="A107" s="21">
        <v>46223</v>
      </c>
      <c r="B107" s="22" t="s">
        <v>35</v>
      </c>
      <c r="C107" s="22" t="s">
        <v>23</v>
      </c>
      <c r="D107" s="22" t="s">
        <v>13</v>
      </c>
      <c r="E107" s="23">
        <v>1</v>
      </c>
      <c r="F107" s="23">
        <f>IF($B107="","",IF($D107="kg",N($E107),IF($D107="sacos",N($E107)*97,IF($D107="jabas",N($E107)*IFERROR(VLOOKUP($C107,LISTAS!$A$2:$B$12,2,0),0),""))))</f>
        <v>18</v>
      </c>
      <c r="G107" s="22"/>
      <c r="H107" s="22"/>
      <c r="I107" s="22"/>
      <c r="J107">
        <f t="shared" si="1"/>
        <v>18</v>
      </c>
    </row>
    <row r="108" spans="1:10" ht="15" customHeight="1" x14ac:dyDescent="0.2">
      <c r="A108" s="21">
        <v>46223</v>
      </c>
      <c r="B108" s="22" t="s">
        <v>35</v>
      </c>
      <c r="C108" s="22" t="s">
        <v>12</v>
      </c>
      <c r="D108" s="22" t="s">
        <v>13</v>
      </c>
      <c r="E108" s="23">
        <v>1</v>
      </c>
      <c r="F108" s="23">
        <f>IF($B108="","",IF($D108="kg",N($E108),IF($D108="sacos",N($E108)*97,IF($D108="jabas",N($E108)*IFERROR(VLOOKUP($C108,LISTAS!$A$2:$B$12,2,0),0),""))))</f>
        <v>17</v>
      </c>
      <c r="G108" s="22"/>
      <c r="H108" s="22"/>
      <c r="I108" s="22"/>
      <c r="J108">
        <f t="shared" si="1"/>
        <v>17</v>
      </c>
    </row>
    <row r="109" spans="1:10" ht="15" customHeight="1" x14ac:dyDescent="0.2">
      <c r="A109" s="9">
        <v>46224</v>
      </c>
      <c r="B109" s="10" t="s">
        <v>19</v>
      </c>
      <c r="C109" s="10" t="s">
        <v>20</v>
      </c>
      <c r="D109" s="10" t="s">
        <v>18</v>
      </c>
      <c r="E109" s="11">
        <v>22</v>
      </c>
      <c r="F109" s="11">
        <f>IF($B109="","",IF($D109="kg",N($E109),IF($D109="sacos",N($E109)*97,IF($D109="jabas",N($E109)*IFERROR(VLOOKUP($C109,LISTAS!$A$2:$B$12,2,0),0),""))))</f>
        <v>2134</v>
      </c>
      <c r="G109" s="10"/>
      <c r="H109" s="10"/>
      <c r="I109" s="10" t="s">
        <v>21</v>
      </c>
      <c r="J109">
        <f t="shared" si="1"/>
        <v>2134</v>
      </c>
    </row>
    <row r="110" spans="1:10" ht="15" customHeight="1" x14ac:dyDescent="0.2">
      <c r="A110" s="12">
        <v>46224</v>
      </c>
      <c r="B110" s="13" t="s">
        <v>11</v>
      </c>
      <c r="C110" s="13" t="s">
        <v>22</v>
      </c>
      <c r="D110" s="13" t="s">
        <v>13</v>
      </c>
      <c r="E110" s="14">
        <v>43</v>
      </c>
      <c r="F110" s="14">
        <f>IF($B110="","",IF($D110="kg",N($E110),IF($D110="sacos",N($E110)*97,IF($D110="jabas",N($E110)*IFERROR(VLOOKUP($C110,LISTAS!$A$2:$B$12,2,0),0),""))))</f>
        <v>645</v>
      </c>
      <c r="G110" s="13"/>
      <c r="H110" s="13"/>
      <c r="I110" s="13"/>
      <c r="J110">
        <f t="shared" si="1"/>
        <v>645</v>
      </c>
    </row>
    <row r="111" spans="1:10" ht="15" customHeight="1" x14ac:dyDescent="0.2">
      <c r="A111" s="12">
        <v>46224</v>
      </c>
      <c r="B111" s="13" t="s">
        <v>11</v>
      </c>
      <c r="C111" s="13" t="s">
        <v>16</v>
      </c>
      <c r="D111" s="13" t="s">
        <v>13</v>
      </c>
      <c r="E111" s="14">
        <v>72</v>
      </c>
      <c r="F111" s="14">
        <f>IF($B111="","",IF($D111="kg",N($E111),IF($D111="sacos",N($E111)*97,IF($D111="jabas",N($E111)*IFERROR(VLOOKUP($C111,LISTAS!$A$2:$B$12,2,0),0),""))))</f>
        <v>1224</v>
      </c>
      <c r="G111" s="13"/>
      <c r="H111" s="13"/>
      <c r="I111" s="13"/>
      <c r="J111">
        <f t="shared" si="1"/>
        <v>1224</v>
      </c>
    </row>
    <row r="112" spans="1:10" ht="15" customHeight="1" x14ac:dyDescent="0.2">
      <c r="A112" s="12">
        <v>46224</v>
      </c>
      <c r="B112" s="13" t="s">
        <v>11</v>
      </c>
      <c r="C112" s="13" t="s">
        <v>17</v>
      </c>
      <c r="D112" s="13" t="s">
        <v>18</v>
      </c>
      <c r="E112" s="14">
        <v>3</v>
      </c>
      <c r="F112" s="14">
        <f>IF($B112="","",IF($D112="kg",N($E112),IF($D112="sacos",N($E112)*97,IF($D112="jabas",N($E112)*IFERROR(VLOOKUP($C112,LISTAS!$A$2:$B$12,2,0),0),""))))</f>
        <v>291</v>
      </c>
      <c r="G112" s="13"/>
      <c r="H112" s="13"/>
      <c r="I112" s="13"/>
      <c r="J112">
        <f t="shared" si="1"/>
        <v>291</v>
      </c>
    </row>
    <row r="113" spans="1:10" ht="15" customHeight="1" x14ac:dyDescent="0.2">
      <c r="A113" s="12">
        <v>46224</v>
      </c>
      <c r="B113" s="13" t="s">
        <v>11</v>
      </c>
      <c r="C113" s="13" t="s">
        <v>22</v>
      </c>
      <c r="D113" s="13" t="s">
        <v>13</v>
      </c>
      <c r="E113" s="14">
        <v>47</v>
      </c>
      <c r="F113" s="14">
        <f>IF($B113="","",IF($D113="kg",N($E113),IF($D113="sacos",N($E113)*97,IF($D113="jabas",N($E113)*IFERROR(VLOOKUP($C113,LISTAS!$A$2:$B$12,2,0),0),""))))</f>
        <v>705</v>
      </c>
      <c r="G113" s="13"/>
      <c r="H113" s="13"/>
      <c r="I113" s="13"/>
      <c r="J113">
        <f t="shared" si="1"/>
        <v>705</v>
      </c>
    </row>
    <row r="114" spans="1:10" ht="15" customHeight="1" x14ac:dyDescent="0.2">
      <c r="A114" s="12">
        <v>46224</v>
      </c>
      <c r="B114" s="13" t="s">
        <v>11</v>
      </c>
      <c r="C114" s="13" t="s">
        <v>23</v>
      </c>
      <c r="D114" s="13" t="s">
        <v>13</v>
      </c>
      <c r="E114" s="14">
        <v>11</v>
      </c>
      <c r="F114" s="14">
        <f>IF($B114="","",IF($D114="kg",N($E114),IF($D114="sacos",N($E114)*97,IF($D114="jabas",N($E114)*IFERROR(VLOOKUP($C114,LISTAS!$A$2:$B$12,2,0),0),""))))</f>
        <v>198</v>
      </c>
      <c r="G114" s="13"/>
      <c r="H114" s="13"/>
      <c r="I114" s="13"/>
      <c r="J114">
        <f t="shared" si="1"/>
        <v>198</v>
      </c>
    </row>
    <row r="115" spans="1:10" ht="15" customHeight="1" x14ac:dyDescent="0.2">
      <c r="A115" s="12">
        <v>46224</v>
      </c>
      <c r="B115" s="13" t="s">
        <v>11</v>
      </c>
      <c r="C115" s="13" t="s">
        <v>12</v>
      </c>
      <c r="D115" s="13" t="s">
        <v>13</v>
      </c>
      <c r="E115" s="14">
        <v>12</v>
      </c>
      <c r="F115" s="14">
        <f>IF($B115="","",IF($D115="kg",N($E115),IF($D115="sacos",N($E115)*97,IF($D115="jabas",N($E115)*IFERROR(VLOOKUP($C115,LISTAS!$A$2:$B$12,2,0),0),""))))</f>
        <v>204</v>
      </c>
      <c r="G115" s="13"/>
      <c r="H115" s="13"/>
      <c r="I115" s="13"/>
      <c r="J115">
        <f t="shared" si="1"/>
        <v>204</v>
      </c>
    </row>
    <row r="116" spans="1:10" ht="15" customHeight="1" x14ac:dyDescent="0.2">
      <c r="A116" s="12">
        <v>46224</v>
      </c>
      <c r="B116" s="13" t="s">
        <v>11</v>
      </c>
      <c r="C116" s="13" t="s">
        <v>16</v>
      </c>
      <c r="D116" s="13" t="s">
        <v>13</v>
      </c>
      <c r="E116" s="14">
        <v>72</v>
      </c>
      <c r="F116" s="14">
        <f>IF($B116="","",IF($D116="kg",N($E116),IF($D116="sacos",N($E116)*97,IF($D116="jabas",N($E116)*IFERROR(VLOOKUP($C116,LISTAS!$A$2:$B$12,2,0),0),""))))</f>
        <v>1224</v>
      </c>
      <c r="G116" s="13"/>
      <c r="H116" s="13"/>
      <c r="I116" s="13"/>
      <c r="J116">
        <f t="shared" si="1"/>
        <v>1224</v>
      </c>
    </row>
    <row r="117" spans="1:10" ht="15" customHeight="1" x14ac:dyDescent="0.2">
      <c r="A117" s="12">
        <v>46224</v>
      </c>
      <c r="B117" s="13" t="s">
        <v>11</v>
      </c>
      <c r="C117" s="13" t="s">
        <v>17</v>
      </c>
      <c r="D117" s="13" t="s">
        <v>18</v>
      </c>
      <c r="E117" s="14">
        <v>4</v>
      </c>
      <c r="F117" s="14">
        <f>IF($B117="","",IF($D117="kg",N($E117),IF($D117="sacos",N($E117)*97,IF($D117="jabas",N($E117)*IFERROR(VLOOKUP($C117,LISTAS!$A$2:$B$12,2,0),0),""))))</f>
        <v>388</v>
      </c>
      <c r="G117" s="13"/>
      <c r="H117" s="13"/>
      <c r="I117" s="13"/>
      <c r="J117">
        <f t="shared" si="1"/>
        <v>388</v>
      </c>
    </row>
    <row r="118" spans="1:10" ht="15" customHeight="1" x14ac:dyDescent="0.2">
      <c r="A118" s="15">
        <v>46224</v>
      </c>
      <c r="B118" s="16" t="s">
        <v>24</v>
      </c>
      <c r="C118" s="16" t="s">
        <v>22</v>
      </c>
      <c r="D118" s="16" t="s">
        <v>13</v>
      </c>
      <c r="E118" s="17">
        <v>67</v>
      </c>
      <c r="F118" s="17">
        <f>IF($B118="","",IF($D118="kg",N($E118),IF($D118="sacos",N($E118)*97,IF($D118="jabas",N($E118)*IFERROR(VLOOKUP($C118,LISTAS!$A$2:$B$12,2,0),0),""))))</f>
        <v>1005</v>
      </c>
      <c r="G118" s="16" t="s">
        <v>42</v>
      </c>
      <c r="H118" s="16"/>
      <c r="I118" s="16"/>
      <c r="J118">
        <f t="shared" si="1"/>
        <v>1005</v>
      </c>
    </row>
    <row r="119" spans="1:10" ht="15" customHeight="1" x14ac:dyDescent="0.2">
      <c r="A119" s="15">
        <v>46224</v>
      </c>
      <c r="B119" s="16" t="s">
        <v>24</v>
      </c>
      <c r="C119" s="16" t="s">
        <v>23</v>
      </c>
      <c r="D119" s="16" t="s">
        <v>13</v>
      </c>
      <c r="E119" s="17">
        <v>11</v>
      </c>
      <c r="F119" s="17">
        <f>IF($B119="","",IF($D119="kg",N($E119),IF($D119="sacos",N($E119)*97,IF($D119="jabas",N($E119)*IFERROR(VLOOKUP($C119,LISTAS!$A$2:$B$12,2,0),0),""))))</f>
        <v>198</v>
      </c>
      <c r="G119" s="16" t="s">
        <v>42</v>
      </c>
      <c r="H119" s="16"/>
      <c r="I119" s="16"/>
      <c r="J119">
        <f t="shared" si="1"/>
        <v>198</v>
      </c>
    </row>
    <row r="120" spans="1:10" ht="15" customHeight="1" x14ac:dyDescent="0.2">
      <c r="A120" s="15">
        <v>46224</v>
      </c>
      <c r="B120" s="16" t="s">
        <v>24</v>
      </c>
      <c r="C120" s="16" t="s">
        <v>12</v>
      </c>
      <c r="D120" s="16" t="s">
        <v>13</v>
      </c>
      <c r="E120" s="17">
        <v>10</v>
      </c>
      <c r="F120" s="17">
        <f>IF($B120="","",IF($D120="kg",N($E120),IF($D120="sacos",N($E120)*97,IF($D120="jabas",N($E120)*IFERROR(VLOOKUP($C120,LISTAS!$A$2:$B$12,2,0),0),""))))</f>
        <v>170</v>
      </c>
      <c r="G120" s="16" t="s">
        <v>42</v>
      </c>
      <c r="H120" s="16"/>
      <c r="I120" s="16"/>
      <c r="J120">
        <f t="shared" si="1"/>
        <v>170</v>
      </c>
    </row>
    <row r="121" spans="1:10" ht="15" customHeight="1" x14ac:dyDescent="0.2">
      <c r="A121" s="15">
        <v>46224</v>
      </c>
      <c r="B121" s="16" t="s">
        <v>24</v>
      </c>
      <c r="C121" s="16" t="s">
        <v>16</v>
      </c>
      <c r="D121" s="16" t="s">
        <v>13</v>
      </c>
      <c r="E121" s="17">
        <v>111</v>
      </c>
      <c r="F121" s="17">
        <f>IF($B121="","",IF($D121="kg",N($E121),IF($D121="sacos",N($E121)*97,IF($D121="jabas",N($E121)*IFERROR(VLOOKUP($C121,LISTAS!$A$2:$B$12,2,0),0),""))))</f>
        <v>1887</v>
      </c>
      <c r="G121" s="16" t="s">
        <v>42</v>
      </c>
      <c r="H121" s="16"/>
      <c r="I121" s="16"/>
      <c r="J121">
        <f t="shared" si="1"/>
        <v>1887</v>
      </c>
    </row>
    <row r="122" spans="1:10" ht="15" customHeight="1" x14ac:dyDescent="0.2">
      <c r="A122" s="24">
        <v>46224</v>
      </c>
      <c r="B122" s="25" t="s">
        <v>43</v>
      </c>
      <c r="C122" s="25" t="s">
        <v>22</v>
      </c>
      <c r="D122" s="25" t="s">
        <v>13</v>
      </c>
      <c r="E122" s="26">
        <v>1</v>
      </c>
      <c r="F122" s="26">
        <f>IF($B122="","",IF($D122="kg",N($E122),IF($D122="sacos",N($E122)*97,IF($D122="jabas",N($E122)*IFERROR(VLOOKUP($C122,LISTAS!$A$2:$B$12,2,0),0),""))))</f>
        <v>15</v>
      </c>
      <c r="G122" s="25"/>
      <c r="H122" s="25"/>
      <c r="I122" s="25"/>
      <c r="J122">
        <f t="shared" si="1"/>
        <v>15</v>
      </c>
    </row>
    <row r="123" spans="1:10" ht="15" customHeight="1" x14ac:dyDescent="0.2">
      <c r="A123" s="24">
        <v>46224</v>
      </c>
      <c r="B123" s="25" t="s">
        <v>43</v>
      </c>
      <c r="C123" s="25" t="s">
        <v>16</v>
      </c>
      <c r="D123" s="25" t="s">
        <v>13</v>
      </c>
      <c r="E123" s="26">
        <v>1</v>
      </c>
      <c r="F123" s="26">
        <f>IF($B123="","",IF($D123="kg",N($E123),IF($D123="sacos",N($E123)*97,IF($D123="jabas",N($E123)*IFERROR(VLOOKUP($C123,LISTAS!$A$2:$B$12,2,0),0),""))))</f>
        <v>17</v>
      </c>
      <c r="G123" s="25"/>
      <c r="H123" s="25"/>
      <c r="I123" s="25"/>
      <c r="J123">
        <f t="shared" si="1"/>
        <v>17</v>
      </c>
    </row>
    <row r="124" spans="1:10" ht="15" customHeight="1" x14ac:dyDescent="0.2">
      <c r="A124" s="21">
        <v>46224</v>
      </c>
      <c r="B124" s="22" t="s">
        <v>35</v>
      </c>
      <c r="C124" s="22" t="s">
        <v>22</v>
      </c>
      <c r="D124" s="22" t="s">
        <v>13</v>
      </c>
      <c r="E124" s="23">
        <v>1</v>
      </c>
      <c r="F124" s="23">
        <f>IF($B124="","",IF($D124="kg",N($E124),IF($D124="sacos",N($E124)*97,IF($D124="jabas",N($E124)*IFERROR(VLOOKUP($C124,LISTAS!$A$2:$B$12,2,0),0),""))))</f>
        <v>15</v>
      </c>
      <c r="G124" s="22"/>
      <c r="H124" s="22"/>
      <c r="I124" s="22"/>
      <c r="J124">
        <f t="shared" si="1"/>
        <v>15</v>
      </c>
    </row>
    <row r="125" spans="1:10" ht="15" customHeight="1" x14ac:dyDescent="0.2">
      <c r="A125" s="21">
        <v>46224</v>
      </c>
      <c r="B125" s="22" t="s">
        <v>35</v>
      </c>
      <c r="C125" s="22" t="s">
        <v>16</v>
      </c>
      <c r="D125" s="22" t="s">
        <v>13</v>
      </c>
      <c r="E125" s="23">
        <v>1</v>
      </c>
      <c r="F125" s="23">
        <f>IF($B125="","",IF($D125="kg",N($E125),IF($D125="sacos",N($E125)*97,IF($D125="jabas",N($E125)*IFERROR(VLOOKUP($C125,LISTAS!$A$2:$B$12,2,0),0),""))))</f>
        <v>17</v>
      </c>
      <c r="G125" s="22"/>
      <c r="H125" s="22"/>
      <c r="I125" s="22"/>
      <c r="J125">
        <f t="shared" si="1"/>
        <v>17</v>
      </c>
    </row>
    <row r="126" spans="1:10" ht="15" customHeight="1" x14ac:dyDescent="0.2">
      <c r="A126" s="27">
        <v>46224</v>
      </c>
      <c r="B126" s="28" t="s">
        <v>44</v>
      </c>
      <c r="C126" s="28" t="s">
        <v>20</v>
      </c>
      <c r="D126" s="28" t="s">
        <v>45</v>
      </c>
      <c r="E126" s="29">
        <v>17</v>
      </c>
      <c r="F126" s="29">
        <f>IF($B126="","",IF($D126="kg",N($E126),IF($D126="sacos",N($E126)*97,IF($D126="jabas",N($E126)*IFERROR(VLOOKUP($C126,LISTAS!$A$2:$B$12,2,0),0),""))))</f>
        <v>17</v>
      </c>
      <c r="G126" s="28"/>
      <c r="H126" s="28"/>
      <c r="I126" s="28" t="s">
        <v>46</v>
      </c>
      <c r="J126">
        <f t="shared" si="1"/>
        <v>17</v>
      </c>
    </row>
    <row r="127" spans="1:10" ht="15" customHeight="1" x14ac:dyDescent="0.2">
      <c r="A127" s="9">
        <v>46225</v>
      </c>
      <c r="B127" s="10" t="s">
        <v>19</v>
      </c>
      <c r="C127" s="10" t="s">
        <v>20</v>
      </c>
      <c r="D127" s="10" t="s">
        <v>18</v>
      </c>
      <c r="E127" s="11">
        <v>70</v>
      </c>
      <c r="F127" s="11">
        <f>IF($B127="","",IF($D127="kg",N($E127),IF($D127="sacos",N($E127)*97,IF($D127="jabas",N($E127)*IFERROR(VLOOKUP($C127,LISTAS!$A$2:$B$12,2,0),0),""))))</f>
        <v>6790</v>
      </c>
      <c r="G127" s="10"/>
      <c r="H127" s="10"/>
      <c r="I127" s="10" t="s">
        <v>21</v>
      </c>
      <c r="J127">
        <f t="shared" si="1"/>
        <v>6790</v>
      </c>
    </row>
    <row r="128" spans="1:10" ht="15" customHeight="1" x14ac:dyDescent="0.2">
      <c r="A128" s="12">
        <v>46225</v>
      </c>
      <c r="B128" s="13" t="s">
        <v>11</v>
      </c>
      <c r="C128" s="13" t="s">
        <v>22</v>
      </c>
      <c r="D128" s="13" t="s">
        <v>13</v>
      </c>
      <c r="E128" s="14">
        <v>64</v>
      </c>
      <c r="F128" s="14">
        <f>IF($B128="","",IF($D128="kg",N($E128),IF($D128="sacos",N($E128)*97,IF($D128="jabas",N($E128)*IFERROR(VLOOKUP($C128,LISTAS!$A$2:$B$12,2,0),0),""))))</f>
        <v>960</v>
      </c>
      <c r="G128" s="13"/>
      <c r="H128" s="13"/>
      <c r="I128" s="13"/>
      <c r="J128">
        <f t="shared" si="1"/>
        <v>960</v>
      </c>
    </row>
    <row r="129" spans="1:10" ht="15" customHeight="1" x14ac:dyDescent="0.2">
      <c r="A129" s="12">
        <v>46225</v>
      </c>
      <c r="B129" s="13" t="s">
        <v>11</v>
      </c>
      <c r="C129" s="13" t="s">
        <v>23</v>
      </c>
      <c r="D129" s="13" t="s">
        <v>13</v>
      </c>
      <c r="E129" s="14">
        <v>11</v>
      </c>
      <c r="F129" s="14">
        <f>IF($B129="","",IF($D129="kg",N($E129),IF($D129="sacos",N($E129)*97,IF($D129="jabas",N($E129)*IFERROR(VLOOKUP($C129,LISTAS!$A$2:$B$12,2,0),0),""))))</f>
        <v>198</v>
      </c>
      <c r="G129" s="13"/>
      <c r="H129" s="13"/>
      <c r="I129" s="13"/>
      <c r="J129">
        <f t="shared" si="1"/>
        <v>198</v>
      </c>
    </row>
    <row r="130" spans="1:10" ht="15" customHeight="1" x14ac:dyDescent="0.2">
      <c r="A130" s="12">
        <v>46225</v>
      </c>
      <c r="B130" s="13" t="s">
        <v>11</v>
      </c>
      <c r="C130" s="13" t="s">
        <v>12</v>
      </c>
      <c r="D130" s="13" t="s">
        <v>13</v>
      </c>
      <c r="E130" s="14">
        <v>12</v>
      </c>
      <c r="F130" s="14">
        <f>IF($B130="","",IF($D130="kg",N($E130),IF($D130="sacos",N($E130)*97,IF($D130="jabas",N($E130)*IFERROR(VLOOKUP($C130,LISTAS!$A$2:$B$12,2,0),0),""))))</f>
        <v>204</v>
      </c>
      <c r="G130" s="13"/>
      <c r="H130" s="13"/>
      <c r="I130" s="13"/>
      <c r="J130">
        <f t="shared" si="1"/>
        <v>204</v>
      </c>
    </row>
    <row r="131" spans="1:10" ht="15" customHeight="1" x14ac:dyDescent="0.2">
      <c r="A131" s="12">
        <v>46225</v>
      </c>
      <c r="B131" s="13" t="s">
        <v>11</v>
      </c>
      <c r="C131" s="13" t="s">
        <v>16</v>
      </c>
      <c r="D131" s="13" t="s">
        <v>13</v>
      </c>
      <c r="E131" s="14">
        <v>111</v>
      </c>
      <c r="F131" s="14">
        <f>IF($B131="","",IF($D131="kg",N($E131),IF($D131="sacos",N($E131)*97,IF($D131="jabas",N($E131)*IFERROR(VLOOKUP($C131,LISTAS!$A$2:$B$12,2,0),0),""))))</f>
        <v>1887</v>
      </c>
      <c r="G131" s="13"/>
      <c r="H131" s="13"/>
      <c r="I131" s="13"/>
      <c r="J131">
        <f t="shared" si="1"/>
        <v>1887</v>
      </c>
    </row>
    <row r="132" spans="1:10" ht="15" customHeight="1" x14ac:dyDescent="0.2">
      <c r="A132" s="12">
        <v>46225</v>
      </c>
      <c r="B132" s="13" t="s">
        <v>11</v>
      </c>
      <c r="C132" s="13" t="s">
        <v>17</v>
      </c>
      <c r="D132" s="13" t="s">
        <v>18</v>
      </c>
      <c r="E132" s="14">
        <v>8</v>
      </c>
      <c r="F132" s="14">
        <f>IF($B132="","",IF($D132="kg",N($E132),IF($D132="sacos",N($E132)*97,IF($D132="jabas",N($E132)*IFERROR(VLOOKUP($C132,LISTAS!$A$2:$B$12,2,0),0),""))))</f>
        <v>776</v>
      </c>
      <c r="G132" s="13"/>
      <c r="H132" s="13"/>
      <c r="I132" s="13"/>
      <c r="J132">
        <f t="shared" si="1"/>
        <v>776</v>
      </c>
    </row>
    <row r="133" spans="1:10" ht="15" customHeight="1" x14ac:dyDescent="0.2">
      <c r="A133" s="30">
        <v>46225</v>
      </c>
      <c r="B133" s="31" t="s">
        <v>47</v>
      </c>
      <c r="C133" s="31" t="s">
        <v>20</v>
      </c>
      <c r="D133" s="31" t="s">
        <v>45</v>
      </c>
      <c r="E133" s="32">
        <v>50</v>
      </c>
      <c r="F133" s="32">
        <f>IF($B133="","",IF($D133="kg",N($E133),IF($D133="sacos",N($E133)*97,IF($D133="jabas",N($E133)*IFERROR(VLOOKUP($C133,LISTAS!$A$2:$B$12,2,0),0),""))))</f>
        <v>50</v>
      </c>
      <c r="G133" s="31"/>
      <c r="H133" s="31"/>
      <c r="I133" s="31"/>
      <c r="J133">
        <f t="shared" ref="J133:J196" si="2">N($F133)</f>
        <v>50</v>
      </c>
    </row>
    <row r="134" spans="1:10" ht="15" customHeight="1" x14ac:dyDescent="0.2">
      <c r="A134" s="15">
        <v>46225</v>
      </c>
      <c r="B134" s="16" t="s">
        <v>24</v>
      </c>
      <c r="C134" s="16" t="s">
        <v>22</v>
      </c>
      <c r="D134" s="16" t="s">
        <v>13</v>
      </c>
      <c r="E134" s="17">
        <v>67</v>
      </c>
      <c r="F134" s="17">
        <f>IF($B134="","",IF($D134="kg",N($E134),IF($D134="sacos",N($E134)*97,IF($D134="jabas",N($E134)*IFERROR(VLOOKUP($C134,LISTAS!$A$2:$B$12,2,0),0),""))))</f>
        <v>1005</v>
      </c>
      <c r="G134" s="16" t="s">
        <v>48</v>
      </c>
      <c r="H134" s="16"/>
      <c r="I134" s="16"/>
      <c r="J134">
        <f t="shared" si="2"/>
        <v>1005</v>
      </c>
    </row>
    <row r="135" spans="1:10" ht="15" customHeight="1" x14ac:dyDescent="0.2">
      <c r="A135" s="15">
        <v>46225</v>
      </c>
      <c r="B135" s="16" t="s">
        <v>24</v>
      </c>
      <c r="C135" s="16" t="s">
        <v>23</v>
      </c>
      <c r="D135" s="16" t="s">
        <v>13</v>
      </c>
      <c r="E135" s="17">
        <v>11</v>
      </c>
      <c r="F135" s="17">
        <f>IF($B135="","",IF($D135="kg",N($E135),IF($D135="sacos",N($E135)*97,IF($D135="jabas",N($E135)*IFERROR(VLOOKUP($C135,LISTAS!$A$2:$B$12,2,0),0),""))))</f>
        <v>198</v>
      </c>
      <c r="G135" s="16" t="s">
        <v>48</v>
      </c>
      <c r="H135" s="16"/>
      <c r="I135" s="16"/>
      <c r="J135">
        <f t="shared" si="2"/>
        <v>198</v>
      </c>
    </row>
    <row r="136" spans="1:10" ht="15" customHeight="1" x14ac:dyDescent="0.2">
      <c r="A136" s="15">
        <v>46225</v>
      </c>
      <c r="B136" s="16" t="s">
        <v>24</v>
      </c>
      <c r="C136" s="16" t="s">
        <v>12</v>
      </c>
      <c r="D136" s="16" t="s">
        <v>13</v>
      </c>
      <c r="E136" s="17">
        <v>12</v>
      </c>
      <c r="F136" s="17">
        <f>IF($B136="","",IF($D136="kg",N($E136),IF($D136="sacos",N($E136)*97,IF($D136="jabas",N($E136)*IFERROR(VLOOKUP($C136,LISTAS!$A$2:$B$12,2,0),0),""))))</f>
        <v>204</v>
      </c>
      <c r="G136" s="16" t="s">
        <v>48</v>
      </c>
      <c r="H136" s="16"/>
      <c r="I136" s="16"/>
      <c r="J136">
        <f t="shared" si="2"/>
        <v>204</v>
      </c>
    </row>
    <row r="137" spans="1:10" ht="15" customHeight="1" x14ac:dyDescent="0.2">
      <c r="A137" s="15">
        <v>46225</v>
      </c>
      <c r="B137" s="16" t="s">
        <v>24</v>
      </c>
      <c r="C137" s="16" t="s">
        <v>16</v>
      </c>
      <c r="D137" s="16" t="s">
        <v>13</v>
      </c>
      <c r="E137" s="17">
        <v>111</v>
      </c>
      <c r="F137" s="17">
        <f>IF($B137="","",IF($D137="kg",N($E137),IF($D137="sacos",N($E137)*97,IF($D137="jabas",N($E137)*IFERROR(VLOOKUP($C137,LISTAS!$A$2:$B$12,2,0),0),""))))</f>
        <v>1887</v>
      </c>
      <c r="G137" s="16" t="s">
        <v>48</v>
      </c>
      <c r="H137" s="16"/>
      <c r="I137" s="16"/>
      <c r="J137">
        <f t="shared" si="2"/>
        <v>1887</v>
      </c>
    </row>
    <row r="138" spans="1:10" ht="15" customHeight="1" x14ac:dyDescent="0.2">
      <c r="A138" s="18">
        <v>46225</v>
      </c>
      <c r="B138" s="19" t="s">
        <v>29</v>
      </c>
      <c r="C138" s="19" t="s">
        <v>17</v>
      </c>
      <c r="D138" s="19" t="s">
        <v>18</v>
      </c>
      <c r="E138" s="20">
        <v>10</v>
      </c>
      <c r="F138" s="20">
        <f>IF($B138="","",IF($D138="kg",N($E138),IF($D138="sacos",N($E138)*97,IF($D138="jabas",N($E138)*IFERROR(VLOOKUP($C138,LISTAS!$A$2:$B$12,2,0),0),""))))</f>
        <v>970</v>
      </c>
      <c r="G138" s="19" t="s">
        <v>49</v>
      </c>
      <c r="H138" s="19"/>
      <c r="I138" s="19" t="s">
        <v>49</v>
      </c>
      <c r="J138">
        <f t="shared" si="2"/>
        <v>970</v>
      </c>
    </row>
    <row r="139" spans="1:10" ht="15" customHeight="1" x14ac:dyDescent="0.2">
      <c r="A139" s="24">
        <v>46225</v>
      </c>
      <c r="B139" s="25" t="s">
        <v>43</v>
      </c>
      <c r="C139" s="25" t="s">
        <v>22</v>
      </c>
      <c r="D139" s="25" t="s">
        <v>13</v>
      </c>
      <c r="E139" s="26">
        <v>1</v>
      </c>
      <c r="F139" s="26">
        <f>IF($B139="","",IF($D139="kg",N($E139),IF($D139="sacos",N($E139)*97,IF($D139="jabas",N($E139)*IFERROR(VLOOKUP($C139,LISTAS!$A$2:$B$12,2,0),0),""))))</f>
        <v>15</v>
      </c>
      <c r="G139" s="25"/>
      <c r="H139" s="25"/>
      <c r="I139" s="25"/>
      <c r="J139">
        <f t="shared" si="2"/>
        <v>15</v>
      </c>
    </row>
    <row r="140" spans="1:10" ht="15" customHeight="1" x14ac:dyDescent="0.2">
      <c r="A140" s="33">
        <v>46225</v>
      </c>
      <c r="B140" s="34" t="s">
        <v>50</v>
      </c>
      <c r="C140" s="34" t="s">
        <v>16</v>
      </c>
      <c r="D140" s="34" t="s">
        <v>13</v>
      </c>
      <c r="E140" s="35">
        <v>9</v>
      </c>
      <c r="F140" s="35">
        <f>IF($B140="","",IF($D140="kg",N($E140),IF($D140="sacos",N($E140)*97,IF($D140="jabas",N($E140)*IFERROR(VLOOKUP($C140,LISTAS!$A$2:$B$12,2,0),0),""))))</f>
        <v>153</v>
      </c>
      <c r="G140" s="34"/>
      <c r="H140" s="34"/>
      <c r="I140" s="34" t="s">
        <v>51</v>
      </c>
      <c r="J140">
        <f t="shared" si="2"/>
        <v>153</v>
      </c>
    </row>
    <row r="141" spans="1:10" ht="15" customHeight="1" x14ac:dyDescent="0.2">
      <c r="A141" s="21">
        <v>46225</v>
      </c>
      <c r="B141" s="22" t="s">
        <v>35</v>
      </c>
      <c r="C141" s="22" t="s">
        <v>22</v>
      </c>
      <c r="D141" s="22" t="s">
        <v>13</v>
      </c>
      <c r="E141" s="23">
        <v>1</v>
      </c>
      <c r="F141" s="23">
        <f>IF($B141="","",IF($D141="kg",N($E141),IF($D141="sacos",N($E141)*97,IF($D141="jabas",N($E141)*IFERROR(VLOOKUP($C141,LISTAS!$A$2:$B$12,2,0),0),""))))</f>
        <v>15</v>
      </c>
      <c r="G141" s="22"/>
      <c r="H141" s="22"/>
      <c r="I141" s="22"/>
      <c r="J141">
        <f t="shared" si="2"/>
        <v>15</v>
      </c>
    </row>
    <row r="142" spans="1:10" ht="15" customHeight="1" x14ac:dyDescent="0.2">
      <c r="A142" s="27">
        <v>46225</v>
      </c>
      <c r="B142" s="28" t="s">
        <v>44</v>
      </c>
      <c r="C142" s="28" t="s">
        <v>20</v>
      </c>
      <c r="D142" s="28" t="s">
        <v>45</v>
      </c>
      <c r="E142" s="29">
        <v>9</v>
      </c>
      <c r="F142" s="29">
        <f>IF($B142="","",IF($D142="kg",N($E142),IF($D142="sacos",N($E142)*97,IF($D142="jabas",N($E142)*IFERROR(VLOOKUP($C142,LISTAS!$A$2:$B$12,2,0),0),""))))</f>
        <v>9</v>
      </c>
      <c r="G142" s="28"/>
      <c r="H142" s="28"/>
      <c r="I142" s="28" t="s">
        <v>52</v>
      </c>
      <c r="J142">
        <f t="shared" si="2"/>
        <v>9</v>
      </c>
    </row>
    <row r="143" spans="1:10" ht="15" customHeight="1" x14ac:dyDescent="0.2">
      <c r="A143" s="9">
        <v>46226</v>
      </c>
      <c r="B143" s="10" t="s">
        <v>19</v>
      </c>
      <c r="C143" s="10" t="s">
        <v>20</v>
      </c>
      <c r="D143" s="10" t="s">
        <v>18</v>
      </c>
      <c r="E143" s="11">
        <v>40</v>
      </c>
      <c r="F143" s="11">
        <f>IF($B143="","",IF($D143="kg",N($E143),IF($D143="sacos",N($E143)*97,IF($D143="jabas",N($E143)*IFERROR(VLOOKUP($C143,LISTAS!$A$2:$B$12,2,0),0),""))))</f>
        <v>3880</v>
      </c>
      <c r="G143" s="10"/>
      <c r="H143" s="10"/>
      <c r="I143" s="10" t="s">
        <v>21</v>
      </c>
      <c r="J143">
        <f t="shared" si="2"/>
        <v>3880</v>
      </c>
    </row>
    <row r="144" spans="1:10" ht="15" customHeight="1" x14ac:dyDescent="0.2">
      <c r="A144" s="12">
        <v>46226</v>
      </c>
      <c r="B144" s="13" t="s">
        <v>11</v>
      </c>
      <c r="C144" s="13" t="s">
        <v>22</v>
      </c>
      <c r="D144" s="13" t="s">
        <v>13</v>
      </c>
      <c r="E144" s="14">
        <v>78</v>
      </c>
      <c r="F144" s="14">
        <f>IF($B144="","",IF($D144="kg",N($E144),IF($D144="sacos",N($E144)*97,IF($D144="jabas",N($E144)*IFERROR(VLOOKUP($C144,LISTAS!$A$2:$B$12,2,0),0),""))))</f>
        <v>1170</v>
      </c>
      <c r="G144" s="13"/>
      <c r="H144" s="13"/>
      <c r="I144" s="13"/>
      <c r="J144">
        <f t="shared" si="2"/>
        <v>1170</v>
      </c>
    </row>
    <row r="145" spans="1:10" ht="15" customHeight="1" x14ac:dyDescent="0.2">
      <c r="A145" s="12">
        <v>46226</v>
      </c>
      <c r="B145" s="13" t="s">
        <v>11</v>
      </c>
      <c r="C145" s="13" t="s">
        <v>23</v>
      </c>
      <c r="D145" s="13" t="s">
        <v>13</v>
      </c>
      <c r="E145" s="14">
        <v>11</v>
      </c>
      <c r="F145" s="14">
        <f>IF($B145="","",IF($D145="kg",N($E145),IF($D145="sacos",N($E145)*97,IF($D145="jabas",N($E145)*IFERROR(VLOOKUP($C145,LISTAS!$A$2:$B$12,2,0),0),""))))</f>
        <v>198</v>
      </c>
      <c r="G145" s="13"/>
      <c r="H145" s="13"/>
      <c r="I145" s="13"/>
      <c r="J145">
        <f t="shared" si="2"/>
        <v>198</v>
      </c>
    </row>
    <row r="146" spans="1:10" ht="15" customHeight="1" x14ac:dyDescent="0.2">
      <c r="A146" s="12">
        <v>46226</v>
      </c>
      <c r="B146" s="13" t="s">
        <v>11</v>
      </c>
      <c r="C146" s="13" t="s">
        <v>12</v>
      </c>
      <c r="D146" s="13" t="s">
        <v>13</v>
      </c>
      <c r="E146" s="14">
        <v>12</v>
      </c>
      <c r="F146" s="14">
        <f>IF($B146="","",IF($D146="kg",N($E146),IF($D146="sacos",N($E146)*97,IF($D146="jabas",N($E146)*IFERROR(VLOOKUP($C146,LISTAS!$A$2:$B$12,2,0),0),""))))</f>
        <v>204</v>
      </c>
      <c r="G146" s="13"/>
      <c r="H146" s="13"/>
      <c r="I146" s="13"/>
      <c r="J146">
        <f t="shared" si="2"/>
        <v>204</v>
      </c>
    </row>
    <row r="147" spans="1:10" ht="15" customHeight="1" x14ac:dyDescent="0.2">
      <c r="A147" s="12">
        <v>46226</v>
      </c>
      <c r="B147" s="13" t="s">
        <v>11</v>
      </c>
      <c r="C147" s="13" t="s">
        <v>16</v>
      </c>
      <c r="D147" s="13" t="s">
        <v>13</v>
      </c>
      <c r="E147" s="14">
        <v>94</v>
      </c>
      <c r="F147" s="14">
        <f>IF($B147="","",IF($D147="kg",N($E147),IF($D147="sacos",N($E147)*97,IF($D147="jabas",N($E147)*IFERROR(VLOOKUP($C147,LISTAS!$A$2:$B$12,2,0),0),""))))</f>
        <v>1598</v>
      </c>
      <c r="G147" s="13"/>
      <c r="H147" s="13"/>
      <c r="I147" s="13"/>
      <c r="J147">
        <f t="shared" si="2"/>
        <v>1598</v>
      </c>
    </row>
    <row r="148" spans="1:10" ht="15" customHeight="1" x14ac:dyDescent="0.2">
      <c r="A148" s="12">
        <v>46226</v>
      </c>
      <c r="B148" s="13" t="s">
        <v>11</v>
      </c>
      <c r="C148" s="13" t="s">
        <v>17</v>
      </c>
      <c r="D148" s="13" t="s">
        <v>18</v>
      </c>
      <c r="E148" s="14">
        <v>6.5</v>
      </c>
      <c r="F148" s="14">
        <f>IF($B148="","",IF($D148="kg",N($E148),IF($D148="sacos",N($E148)*97,IF($D148="jabas",N($E148)*IFERROR(VLOOKUP($C148,LISTAS!$A$2:$B$12,2,0),0),""))))</f>
        <v>630.5</v>
      </c>
      <c r="G148" s="13"/>
      <c r="H148" s="13"/>
      <c r="I148" s="13"/>
      <c r="J148">
        <f t="shared" si="2"/>
        <v>630.5</v>
      </c>
    </row>
    <row r="149" spans="1:10" ht="15" customHeight="1" x14ac:dyDescent="0.2">
      <c r="A149" s="15">
        <v>46226</v>
      </c>
      <c r="B149" s="16" t="s">
        <v>24</v>
      </c>
      <c r="C149" s="16" t="s">
        <v>22</v>
      </c>
      <c r="D149" s="16" t="s">
        <v>13</v>
      </c>
      <c r="E149" s="17">
        <v>67</v>
      </c>
      <c r="F149" s="17">
        <f>IF($B149="","",IF($D149="kg",N($E149),IF($D149="sacos",N($E149)*97,IF($D149="jabas",N($E149)*IFERROR(VLOOKUP($C149,LISTAS!$A$2:$B$12,2,0),0),""))))</f>
        <v>1005</v>
      </c>
      <c r="G149" s="16" t="s">
        <v>53</v>
      </c>
      <c r="H149" s="16"/>
      <c r="I149" s="16"/>
      <c r="J149">
        <f t="shared" si="2"/>
        <v>1005</v>
      </c>
    </row>
    <row r="150" spans="1:10" ht="15" customHeight="1" x14ac:dyDescent="0.2">
      <c r="A150" s="15">
        <v>46226</v>
      </c>
      <c r="B150" s="16" t="s">
        <v>24</v>
      </c>
      <c r="C150" s="16" t="s">
        <v>23</v>
      </c>
      <c r="D150" s="16" t="s">
        <v>13</v>
      </c>
      <c r="E150" s="17">
        <v>11</v>
      </c>
      <c r="F150" s="17">
        <f>IF($B150="","",IF($D150="kg",N($E150),IF($D150="sacos",N($E150)*97,IF($D150="jabas",N($E150)*IFERROR(VLOOKUP($C150,LISTAS!$A$2:$B$12,2,0),0),""))))</f>
        <v>198</v>
      </c>
      <c r="G150" s="16" t="s">
        <v>53</v>
      </c>
      <c r="H150" s="16"/>
      <c r="I150" s="16"/>
      <c r="J150">
        <f t="shared" si="2"/>
        <v>198</v>
      </c>
    </row>
    <row r="151" spans="1:10" ht="15" customHeight="1" x14ac:dyDescent="0.2">
      <c r="A151" s="15">
        <v>46226</v>
      </c>
      <c r="B151" s="16" t="s">
        <v>24</v>
      </c>
      <c r="C151" s="16" t="s">
        <v>12</v>
      </c>
      <c r="D151" s="16" t="s">
        <v>13</v>
      </c>
      <c r="E151" s="17">
        <v>12</v>
      </c>
      <c r="F151" s="17">
        <f>IF($B151="","",IF($D151="kg",N($E151),IF($D151="sacos",N($E151)*97,IF($D151="jabas",N($E151)*IFERROR(VLOOKUP($C151,LISTAS!$A$2:$B$12,2,0),0),""))))</f>
        <v>204</v>
      </c>
      <c r="G151" s="16" t="s">
        <v>53</v>
      </c>
      <c r="H151" s="16"/>
      <c r="I151" s="16"/>
      <c r="J151">
        <f t="shared" si="2"/>
        <v>204</v>
      </c>
    </row>
    <row r="152" spans="1:10" ht="15" customHeight="1" x14ac:dyDescent="0.2">
      <c r="A152" s="15">
        <v>46226</v>
      </c>
      <c r="B152" s="16" t="s">
        <v>24</v>
      </c>
      <c r="C152" s="16" t="s">
        <v>16</v>
      </c>
      <c r="D152" s="16" t="s">
        <v>13</v>
      </c>
      <c r="E152" s="17">
        <v>118</v>
      </c>
      <c r="F152" s="17">
        <f>IF($B152="","",IF($D152="kg",N($E152),IF($D152="sacos",N($E152)*97,IF($D152="jabas",N($E152)*IFERROR(VLOOKUP($C152,LISTAS!$A$2:$B$12,2,0),0),""))))</f>
        <v>2006</v>
      </c>
      <c r="G152" s="16" t="s">
        <v>53</v>
      </c>
      <c r="H152" s="16"/>
      <c r="I152" s="16"/>
      <c r="J152">
        <f t="shared" si="2"/>
        <v>2006</v>
      </c>
    </row>
    <row r="153" spans="1:10" ht="15" customHeight="1" x14ac:dyDescent="0.2">
      <c r="A153" s="9">
        <v>46227</v>
      </c>
      <c r="B153" s="10" t="s">
        <v>19</v>
      </c>
      <c r="C153" s="10" t="s">
        <v>20</v>
      </c>
      <c r="D153" s="10" t="s">
        <v>18</v>
      </c>
      <c r="E153" s="11">
        <v>43</v>
      </c>
      <c r="F153" s="11">
        <f>IF($B153="","",IF($D153="kg",N($E153),IF($D153="sacos",N($E153)*97,IF($D153="jabas",N($E153)*IFERROR(VLOOKUP($C153,LISTAS!$A$2:$B$12,2,0),0),""))))</f>
        <v>4171</v>
      </c>
      <c r="G153" s="10"/>
      <c r="H153" s="10"/>
      <c r="I153" s="10" t="s">
        <v>54</v>
      </c>
      <c r="J153">
        <f t="shared" si="2"/>
        <v>4171</v>
      </c>
    </row>
    <row r="154" spans="1:10" ht="15" customHeight="1" x14ac:dyDescent="0.2">
      <c r="A154" s="12">
        <v>46227</v>
      </c>
      <c r="B154" s="13" t="s">
        <v>11</v>
      </c>
      <c r="C154" s="13" t="s">
        <v>22</v>
      </c>
      <c r="D154" s="13" t="s">
        <v>13</v>
      </c>
      <c r="E154" s="14">
        <v>48</v>
      </c>
      <c r="F154" s="14">
        <f>IF($B154="","",IF($D154="kg",N($E154),IF($D154="sacos",N($E154)*97,IF($D154="jabas",N($E154)*IFERROR(VLOOKUP($C154,LISTAS!$A$2:$B$12,2,0),0),""))))</f>
        <v>720</v>
      </c>
      <c r="G154" s="13"/>
      <c r="H154" s="13"/>
      <c r="I154" s="13"/>
      <c r="J154">
        <f t="shared" si="2"/>
        <v>720</v>
      </c>
    </row>
    <row r="155" spans="1:10" ht="15" customHeight="1" x14ac:dyDescent="0.2">
      <c r="A155" s="12">
        <v>46227</v>
      </c>
      <c r="B155" s="13" t="s">
        <v>11</v>
      </c>
      <c r="C155" s="13" t="s">
        <v>23</v>
      </c>
      <c r="D155" s="13" t="s">
        <v>13</v>
      </c>
      <c r="E155" s="14">
        <v>3</v>
      </c>
      <c r="F155" s="14">
        <f>IF($B155="","",IF($D155="kg",N($E155),IF($D155="sacos",N($E155)*97,IF($D155="jabas",N($E155)*IFERROR(VLOOKUP($C155,LISTAS!$A$2:$B$12,2,0),0),""))))</f>
        <v>54</v>
      </c>
      <c r="G155" s="13"/>
      <c r="H155" s="13"/>
      <c r="I155" s="13"/>
      <c r="J155">
        <f t="shared" si="2"/>
        <v>54</v>
      </c>
    </row>
    <row r="156" spans="1:10" ht="15" customHeight="1" x14ac:dyDescent="0.2">
      <c r="A156" s="12">
        <v>46227</v>
      </c>
      <c r="B156" s="13" t="s">
        <v>11</v>
      </c>
      <c r="C156" s="13" t="s">
        <v>12</v>
      </c>
      <c r="D156" s="13" t="s">
        <v>13</v>
      </c>
      <c r="E156" s="14">
        <v>5</v>
      </c>
      <c r="F156" s="14">
        <f>IF($B156="","",IF($D156="kg",N($E156),IF($D156="sacos",N($E156)*97,IF($D156="jabas",N($E156)*IFERROR(VLOOKUP($C156,LISTAS!$A$2:$B$12,2,0),0),""))))</f>
        <v>85</v>
      </c>
      <c r="G156" s="13"/>
      <c r="H156" s="13"/>
      <c r="I156" s="13"/>
      <c r="J156">
        <f t="shared" si="2"/>
        <v>85</v>
      </c>
    </row>
    <row r="157" spans="1:10" ht="15" customHeight="1" x14ac:dyDescent="0.2">
      <c r="A157" s="12">
        <v>46227</v>
      </c>
      <c r="B157" s="13" t="s">
        <v>11</v>
      </c>
      <c r="C157" s="13" t="s">
        <v>16</v>
      </c>
      <c r="D157" s="13" t="s">
        <v>13</v>
      </c>
      <c r="E157" s="14">
        <v>95</v>
      </c>
      <c r="F157" s="14">
        <f>IF($B157="","",IF($D157="kg",N($E157),IF($D157="sacos",N($E157)*97,IF($D157="jabas",N($E157)*IFERROR(VLOOKUP($C157,LISTAS!$A$2:$B$12,2,0),0),""))))</f>
        <v>1615</v>
      </c>
      <c r="G157" s="13"/>
      <c r="H157" s="13"/>
      <c r="I157" s="13"/>
      <c r="J157">
        <f t="shared" si="2"/>
        <v>1615</v>
      </c>
    </row>
    <row r="158" spans="1:10" ht="15" customHeight="1" x14ac:dyDescent="0.2">
      <c r="A158" s="12">
        <v>46227</v>
      </c>
      <c r="B158" s="13" t="s">
        <v>11</v>
      </c>
      <c r="C158" s="13" t="s">
        <v>17</v>
      </c>
      <c r="D158" s="13" t="s">
        <v>18</v>
      </c>
      <c r="E158" s="14">
        <v>6</v>
      </c>
      <c r="F158" s="14">
        <f>IF($B158="","",IF($D158="kg",N($E158),IF($D158="sacos",N($E158)*97,IF($D158="jabas",N($E158)*IFERROR(VLOOKUP($C158,LISTAS!$A$2:$B$12,2,0),0),""))))</f>
        <v>582</v>
      </c>
      <c r="G158" s="13"/>
      <c r="H158" s="13"/>
      <c r="I158" s="13"/>
      <c r="J158">
        <f t="shared" si="2"/>
        <v>582</v>
      </c>
    </row>
    <row r="159" spans="1:10" ht="15" customHeight="1" x14ac:dyDescent="0.2">
      <c r="A159" s="15">
        <v>46227</v>
      </c>
      <c r="B159" s="16" t="s">
        <v>24</v>
      </c>
      <c r="C159" s="16" t="s">
        <v>22</v>
      </c>
      <c r="D159" s="16" t="s">
        <v>13</v>
      </c>
      <c r="E159" s="17">
        <v>67</v>
      </c>
      <c r="F159" s="17">
        <f>IF($B159="","",IF($D159="kg",N($E159),IF($D159="sacos",N($E159)*97,IF($D159="jabas",N($E159)*IFERROR(VLOOKUP($C159,LISTAS!$A$2:$B$12,2,0),0),""))))</f>
        <v>1005</v>
      </c>
      <c r="G159" s="16" t="s">
        <v>55</v>
      </c>
      <c r="H159" s="16"/>
      <c r="I159" s="16"/>
      <c r="J159">
        <f t="shared" si="2"/>
        <v>1005</v>
      </c>
    </row>
    <row r="160" spans="1:10" ht="15" customHeight="1" x14ac:dyDescent="0.2">
      <c r="A160" s="15">
        <v>46227</v>
      </c>
      <c r="B160" s="16" t="s">
        <v>24</v>
      </c>
      <c r="C160" s="16" t="s">
        <v>23</v>
      </c>
      <c r="D160" s="16" t="s">
        <v>13</v>
      </c>
      <c r="E160" s="17">
        <v>11</v>
      </c>
      <c r="F160" s="17">
        <f>IF($B160="","",IF($D160="kg",N($E160),IF($D160="sacos",N($E160)*97,IF($D160="jabas",N($E160)*IFERROR(VLOOKUP($C160,LISTAS!$A$2:$B$12,2,0),0),""))))</f>
        <v>198</v>
      </c>
      <c r="G160" s="16" t="s">
        <v>55</v>
      </c>
      <c r="H160" s="16"/>
      <c r="I160" s="16"/>
      <c r="J160">
        <f t="shared" si="2"/>
        <v>198</v>
      </c>
    </row>
    <row r="161" spans="1:10" ht="15" customHeight="1" x14ac:dyDescent="0.2">
      <c r="A161" s="15">
        <v>46227</v>
      </c>
      <c r="B161" s="16" t="s">
        <v>24</v>
      </c>
      <c r="C161" s="16" t="s">
        <v>12</v>
      </c>
      <c r="D161" s="16" t="s">
        <v>13</v>
      </c>
      <c r="E161" s="17">
        <v>12</v>
      </c>
      <c r="F161" s="17">
        <f>IF($B161="","",IF($D161="kg",N($E161),IF($D161="sacos",N($E161)*97,IF($D161="jabas",N($E161)*IFERROR(VLOOKUP($C161,LISTAS!$A$2:$B$12,2,0),0),""))))</f>
        <v>204</v>
      </c>
      <c r="G161" s="16" t="s">
        <v>55</v>
      </c>
      <c r="H161" s="16"/>
      <c r="I161" s="16"/>
      <c r="J161">
        <f t="shared" si="2"/>
        <v>204</v>
      </c>
    </row>
    <row r="162" spans="1:10" ht="15" customHeight="1" x14ac:dyDescent="0.2">
      <c r="A162" s="15">
        <v>46227</v>
      </c>
      <c r="B162" s="16" t="s">
        <v>24</v>
      </c>
      <c r="C162" s="16" t="s">
        <v>16</v>
      </c>
      <c r="D162" s="16" t="s">
        <v>13</v>
      </c>
      <c r="E162" s="17">
        <v>118</v>
      </c>
      <c r="F162" s="17">
        <f>IF($B162="","",IF($D162="kg",N($E162),IF($D162="sacos",N($E162)*97,IF($D162="jabas",N($E162)*IFERROR(VLOOKUP($C162,LISTAS!$A$2:$B$12,2,0),0),""))))</f>
        <v>2006</v>
      </c>
      <c r="G162" s="16" t="s">
        <v>55</v>
      </c>
      <c r="H162" s="16"/>
      <c r="I162" s="16"/>
      <c r="J162">
        <f t="shared" si="2"/>
        <v>2006</v>
      </c>
    </row>
    <row r="163" spans="1:10" ht="15" customHeight="1" x14ac:dyDescent="0.2">
      <c r="A163" s="24">
        <v>46227</v>
      </c>
      <c r="B163" s="25" t="s">
        <v>43</v>
      </c>
      <c r="C163" s="25" t="s">
        <v>22</v>
      </c>
      <c r="D163" s="25" t="s">
        <v>13</v>
      </c>
      <c r="E163" s="26">
        <v>1</v>
      </c>
      <c r="F163" s="26">
        <f>IF($B163="","",IF($D163="kg",N($E163),IF($D163="sacos",N($E163)*97,IF($D163="jabas",N($E163)*IFERROR(VLOOKUP($C163,LISTAS!$A$2:$B$12,2,0),0),""))))</f>
        <v>15</v>
      </c>
      <c r="G163" s="25"/>
      <c r="H163" s="25"/>
      <c r="I163" s="25"/>
      <c r="J163">
        <f t="shared" si="2"/>
        <v>15</v>
      </c>
    </row>
    <row r="164" spans="1:10" ht="15" customHeight="1" x14ac:dyDescent="0.2">
      <c r="A164" s="27">
        <v>46227</v>
      </c>
      <c r="B164" s="28" t="s">
        <v>44</v>
      </c>
      <c r="C164" s="28" t="s">
        <v>22</v>
      </c>
      <c r="D164" s="28" t="s">
        <v>45</v>
      </c>
      <c r="E164" s="29">
        <v>11</v>
      </c>
      <c r="F164" s="29">
        <f>IF($B164="","",IF($D164="kg",N($E164),IF($D164="sacos",N($E164)*97,IF($D164="jabas",N($E164)*IFERROR(VLOOKUP($C164,LISTAS!$A$2:$B$12,2,0),0),""))))</f>
        <v>11</v>
      </c>
      <c r="G164" s="28"/>
      <c r="H164" s="28"/>
      <c r="I164" s="28"/>
      <c r="J164">
        <f t="shared" si="2"/>
        <v>11</v>
      </c>
    </row>
    <row r="165" spans="1:10" ht="15" customHeight="1" x14ac:dyDescent="0.2">
      <c r="A165" s="24">
        <v>46227</v>
      </c>
      <c r="B165" s="25" t="s">
        <v>43</v>
      </c>
      <c r="C165" s="25" t="s">
        <v>16</v>
      </c>
      <c r="D165" s="25" t="s">
        <v>13</v>
      </c>
      <c r="E165" s="26">
        <v>1</v>
      </c>
      <c r="F165" s="26">
        <f>IF($B165="","",IF($D165="kg",N($E165),IF($D165="sacos",N($E165)*97,IF($D165="jabas",N($E165)*IFERROR(VLOOKUP($C165,LISTAS!$A$2:$B$12,2,0),0),""))))</f>
        <v>17</v>
      </c>
      <c r="G165" s="25"/>
      <c r="H165" s="25"/>
      <c r="I165" s="25"/>
      <c r="J165">
        <f t="shared" si="2"/>
        <v>17</v>
      </c>
    </row>
    <row r="166" spans="1:10" ht="15" customHeight="1" x14ac:dyDescent="0.2">
      <c r="A166" s="27">
        <v>46227</v>
      </c>
      <c r="B166" s="28" t="s">
        <v>44</v>
      </c>
      <c r="C166" s="28" t="s">
        <v>16</v>
      </c>
      <c r="D166" s="28" t="s">
        <v>45</v>
      </c>
      <c r="E166" s="29">
        <v>10</v>
      </c>
      <c r="F166" s="29">
        <f>IF($B166="","",IF($D166="kg",N($E166),IF($D166="sacos",N($E166)*97,IF($D166="jabas",N($E166)*IFERROR(VLOOKUP($C166,LISTAS!$A$2:$B$12,2,0),0),""))))</f>
        <v>10</v>
      </c>
      <c r="G166" s="28"/>
      <c r="H166" s="28"/>
      <c r="I166" s="28"/>
      <c r="J166">
        <f t="shared" si="2"/>
        <v>10</v>
      </c>
    </row>
    <row r="167" spans="1:10" ht="15" customHeight="1" x14ac:dyDescent="0.2">
      <c r="A167" s="18">
        <v>46227</v>
      </c>
      <c r="B167" s="19" t="s">
        <v>29</v>
      </c>
      <c r="C167" s="19" t="s">
        <v>17</v>
      </c>
      <c r="D167" s="19" t="s">
        <v>18</v>
      </c>
      <c r="E167" s="20">
        <v>9</v>
      </c>
      <c r="F167" s="20">
        <f>IF($B167="","",IF($D167="kg",N($E167),IF($D167="sacos",N($E167)*97,IF($D167="jabas",N($E167)*IFERROR(VLOOKUP($C167,LISTAS!$A$2:$B$12,2,0),0),""))))</f>
        <v>873</v>
      </c>
      <c r="G167" s="19" t="s">
        <v>56</v>
      </c>
      <c r="H167" s="19"/>
      <c r="I167" s="19"/>
      <c r="J167">
        <f t="shared" si="2"/>
        <v>873</v>
      </c>
    </row>
    <row r="168" spans="1:10" ht="15" customHeight="1" x14ac:dyDescent="0.2">
      <c r="A168" s="18">
        <v>46227</v>
      </c>
      <c r="B168" s="19" t="s">
        <v>29</v>
      </c>
      <c r="C168" s="19" t="s">
        <v>17</v>
      </c>
      <c r="D168" s="19" t="s">
        <v>18</v>
      </c>
      <c r="E168" s="20">
        <v>1</v>
      </c>
      <c r="F168" s="20">
        <f>IF($B168="","",IF($D168="kg",N($E168),IF($D168="sacos",N($E168)*97,IF($D168="jabas",N($E168)*IFERROR(VLOOKUP($C168,LISTAS!$A$2:$B$12,2,0),0),""))))</f>
        <v>97</v>
      </c>
      <c r="G168" s="19" t="s">
        <v>57</v>
      </c>
      <c r="H168" s="19"/>
      <c r="I168" s="19"/>
      <c r="J168">
        <f t="shared" si="2"/>
        <v>97</v>
      </c>
    </row>
    <row r="169" spans="1:10" ht="15" customHeight="1" x14ac:dyDescent="0.2">
      <c r="A169" s="36">
        <v>46227</v>
      </c>
      <c r="B169" s="37" t="s">
        <v>58</v>
      </c>
      <c r="C169" s="37" t="s">
        <v>59</v>
      </c>
      <c r="D169" s="37" t="s">
        <v>45</v>
      </c>
      <c r="E169" s="38">
        <v>48</v>
      </c>
      <c r="F169" s="38">
        <f>IF($B169="","",IF($D169="kg",N($E169),IF($D169="sacos",N($E169)*97,IF($D169="jabas",N($E169)*IFERROR(VLOOKUP($C169,LISTAS!$A$2:$B$12,2,0),0),""))))</f>
        <v>48</v>
      </c>
      <c r="G169" s="37"/>
      <c r="H169" s="37"/>
      <c r="I169" s="37" t="s">
        <v>60</v>
      </c>
      <c r="J169">
        <f t="shared" si="2"/>
        <v>48</v>
      </c>
    </row>
    <row r="170" spans="1:10" ht="15" customHeight="1" x14ac:dyDescent="0.2">
      <c r="A170" s="9">
        <v>46228</v>
      </c>
      <c r="B170" s="10" t="s">
        <v>19</v>
      </c>
      <c r="C170" s="10" t="s">
        <v>20</v>
      </c>
      <c r="D170" s="10" t="s">
        <v>18</v>
      </c>
      <c r="E170" s="11">
        <v>37</v>
      </c>
      <c r="F170" s="11">
        <f>IF($B170="","",IF($D170="kg",N($E170),IF($D170="sacos",N($E170)*97,IF($D170="jabas",N($E170)*IFERROR(VLOOKUP($C170,LISTAS!$A$2:$B$12,2,0),0),""))))</f>
        <v>3589</v>
      </c>
      <c r="G170" s="10"/>
      <c r="H170" s="10"/>
      <c r="I170" s="10" t="s">
        <v>21</v>
      </c>
      <c r="J170">
        <f t="shared" si="2"/>
        <v>3589</v>
      </c>
    </row>
    <row r="171" spans="1:10" ht="15" customHeight="1" x14ac:dyDescent="0.2">
      <c r="A171" s="15">
        <v>46228</v>
      </c>
      <c r="B171" s="16" t="s">
        <v>24</v>
      </c>
      <c r="C171" s="16" t="s">
        <v>22</v>
      </c>
      <c r="D171" s="16" t="s">
        <v>13</v>
      </c>
      <c r="E171" s="17">
        <v>67</v>
      </c>
      <c r="F171" s="17">
        <f>IF($B171="","",IF($D171="kg",N($E171),IF($D171="sacos",N($E171)*97,IF($D171="jabas",N($E171)*IFERROR(VLOOKUP($C171,LISTAS!$A$2:$B$12,2,0),0),""))))</f>
        <v>1005</v>
      </c>
      <c r="G171" s="16">
        <v>3014</v>
      </c>
      <c r="H171" s="16"/>
      <c r="I171" s="16"/>
      <c r="J171">
        <f t="shared" si="2"/>
        <v>1005</v>
      </c>
    </row>
    <row r="172" spans="1:10" ht="15" customHeight="1" x14ac:dyDescent="0.2">
      <c r="A172" s="15">
        <v>46228</v>
      </c>
      <c r="B172" s="16" t="s">
        <v>24</v>
      </c>
      <c r="C172" s="16" t="s">
        <v>23</v>
      </c>
      <c r="D172" s="16" t="s">
        <v>13</v>
      </c>
      <c r="E172" s="17">
        <v>4</v>
      </c>
      <c r="F172" s="17">
        <f>IF($B172="","",IF($D172="kg",N($E172),IF($D172="sacos",N($E172)*97,IF($D172="jabas",N($E172)*IFERROR(VLOOKUP($C172,LISTAS!$A$2:$B$12,2,0),0),""))))</f>
        <v>72</v>
      </c>
      <c r="G172" s="16">
        <v>3014</v>
      </c>
      <c r="H172" s="16"/>
      <c r="I172" s="16"/>
      <c r="J172">
        <f t="shared" si="2"/>
        <v>72</v>
      </c>
    </row>
    <row r="173" spans="1:10" ht="15" customHeight="1" x14ac:dyDescent="0.2">
      <c r="A173" s="15">
        <v>46228</v>
      </c>
      <c r="B173" s="16" t="s">
        <v>24</v>
      </c>
      <c r="C173" s="16" t="s">
        <v>12</v>
      </c>
      <c r="D173" s="16" t="s">
        <v>13</v>
      </c>
      <c r="E173" s="17">
        <v>5</v>
      </c>
      <c r="F173" s="17">
        <f>IF($B173="","",IF($D173="kg",N($E173),IF($D173="sacos",N($E173)*97,IF($D173="jabas",N($E173)*IFERROR(VLOOKUP($C173,LISTAS!$A$2:$B$12,2,0),0),""))))</f>
        <v>85</v>
      </c>
      <c r="G173" s="16">
        <v>3014</v>
      </c>
      <c r="H173" s="16"/>
      <c r="I173" s="16"/>
      <c r="J173">
        <f t="shared" si="2"/>
        <v>85</v>
      </c>
    </row>
    <row r="174" spans="1:10" ht="15" customHeight="1" x14ac:dyDescent="0.2">
      <c r="A174" s="15">
        <v>46228</v>
      </c>
      <c r="B174" s="16" t="s">
        <v>24</v>
      </c>
      <c r="C174" s="16" t="s">
        <v>16</v>
      </c>
      <c r="D174" s="16" t="s">
        <v>13</v>
      </c>
      <c r="E174" s="17">
        <v>118</v>
      </c>
      <c r="F174" s="17">
        <f>IF($B174="","",IF($D174="kg",N($E174),IF($D174="sacos",N($E174)*97,IF($D174="jabas",N($E174)*IFERROR(VLOOKUP($C174,LISTAS!$A$2:$B$12,2,0),0),""))))</f>
        <v>2006</v>
      </c>
      <c r="G174" s="16">
        <v>3014</v>
      </c>
      <c r="H174" s="16"/>
      <c r="I174" s="16"/>
      <c r="J174">
        <f t="shared" si="2"/>
        <v>2006</v>
      </c>
    </row>
    <row r="175" spans="1:10" ht="15" customHeight="1" x14ac:dyDescent="0.2">
      <c r="A175" s="12">
        <v>46228</v>
      </c>
      <c r="B175" s="13" t="s">
        <v>11</v>
      </c>
      <c r="C175" s="13" t="s">
        <v>22</v>
      </c>
      <c r="D175" s="13" t="s">
        <v>13</v>
      </c>
      <c r="E175" s="14">
        <v>96</v>
      </c>
      <c r="F175" s="14">
        <f>IF($B175="","",IF($D175="kg",N($E175),IF($D175="sacos",N($E175)*97,IF($D175="jabas",N($E175)*IFERROR(VLOOKUP($C175,LISTAS!$A$2:$B$12,2,0),0),""))))</f>
        <v>1440</v>
      </c>
      <c r="G175" s="13"/>
      <c r="H175" s="13"/>
      <c r="I175" s="13" t="s">
        <v>61</v>
      </c>
      <c r="J175">
        <f t="shared" si="2"/>
        <v>1440</v>
      </c>
    </row>
    <row r="176" spans="1:10" ht="15" customHeight="1" x14ac:dyDescent="0.2">
      <c r="A176" s="12">
        <v>46228</v>
      </c>
      <c r="B176" s="13" t="s">
        <v>11</v>
      </c>
      <c r="C176" s="13" t="s">
        <v>23</v>
      </c>
      <c r="D176" s="13" t="s">
        <v>13</v>
      </c>
      <c r="E176" s="14">
        <v>21</v>
      </c>
      <c r="F176" s="14">
        <f>IF($B176="","",IF($D176="kg",N($E176),IF($D176="sacos",N($E176)*97,IF($D176="jabas",N($E176)*IFERROR(VLOOKUP($C176,LISTAS!$A$2:$B$12,2,0),0),""))))</f>
        <v>378</v>
      </c>
      <c r="G176" s="13"/>
      <c r="H176" s="13"/>
      <c r="I176" s="13"/>
      <c r="J176">
        <f t="shared" si="2"/>
        <v>378</v>
      </c>
    </row>
    <row r="177" spans="1:10" ht="15" customHeight="1" x14ac:dyDescent="0.2">
      <c r="A177" s="12">
        <v>46228</v>
      </c>
      <c r="B177" s="13" t="s">
        <v>11</v>
      </c>
      <c r="C177" s="13" t="s">
        <v>12</v>
      </c>
      <c r="D177" s="13" t="s">
        <v>13</v>
      </c>
      <c r="E177" s="14">
        <v>12</v>
      </c>
      <c r="F177" s="14">
        <f>IF($B177="","",IF($D177="kg",N($E177),IF($D177="sacos",N($E177)*97,IF($D177="jabas",N($E177)*IFERROR(VLOOKUP($C177,LISTAS!$A$2:$B$12,2,0),0),""))))</f>
        <v>204</v>
      </c>
      <c r="G177" s="13"/>
      <c r="H177" s="13"/>
      <c r="I177" s="13"/>
      <c r="J177">
        <f t="shared" si="2"/>
        <v>204</v>
      </c>
    </row>
    <row r="178" spans="1:10" ht="15" customHeight="1" x14ac:dyDescent="0.2">
      <c r="A178" s="12">
        <v>46228</v>
      </c>
      <c r="B178" s="13" t="s">
        <v>11</v>
      </c>
      <c r="C178" s="13" t="s">
        <v>16</v>
      </c>
      <c r="D178" s="13" t="s">
        <v>13</v>
      </c>
      <c r="E178" s="14">
        <v>110</v>
      </c>
      <c r="F178" s="14">
        <f>IF($B178="","",IF($D178="kg",N($E178),IF($D178="sacos",N($E178)*97,IF($D178="jabas",N($E178)*IFERROR(VLOOKUP($C178,LISTAS!$A$2:$B$12,2,0),0),""))))</f>
        <v>1870</v>
      </c>
      <c r="G178" s="13"/>
      <c r="H178" s="13"/>
      <c r="I178" s="13"/>
      <c r="J178">
        <f t="shared" si="2"/>
        <v>1870</v>
      </c>
    </row>
    <row r="179" spans="1:10" ht="15" customHeight="1" x14ac:dyDescent="0.2">
      <c r="A179" s="12">
        <v>46228</v>
      </c>
      <c r="B179" s="13" t="s">
        <v>11</v>
      </c>
      <c r="C179" s="13" t="s">
        <v>17</v>
      </c>
      <c r="D179" s="13" t="s">
        <v>18</v>
      </c>
      <c r="E179" s="14">
        <v>9.5</v>
      </c>
      <c r="F179" s="14">
        <f>IF($B179="","",IF($D179="kg",N($E179),IF($D179="sacos",N($E179)*97,IF($D179="jabas",N($E179)*IFERROR(VLOOKUP($C179,LISTAS!$A$2:$B$12,2,0),0),""))))</f>
        <v>921.5</v>
      </c>
      <c r="G179" s="13"/>
      <c r="H179" s="13"/>
      <c r="I179" s="13"/>
      <c r="J179">
        <f t="shared" si="2"/>
        <v>921.5</v>
      </c>
    </row>
    <row r="180" spans="1:10" ht="15" customHeight="1" x14ac:dyDescent="0.2">
      <c r="A180" s="15">
        <v>46229</v>
      </c>
      <c r="B180" s="16" t="s">
        <v>24</v>
      </c>
      <c r="C180" s="16" t="s">
        <v>22</v>
      </c>
      <c r="D180" s="16" t="s">
        <v>13</v>
      </c>
      <c r="E180" s="17">
        <v>67</v>
      </c>
      <c r="F180" s="17">
        <f>IF($B180="","",IF($D180="kg",N($E180),IF($D180="sacos",N($E180)*97,IF($D180="jabas",N($E180)*IFERROR(VLOOKUP($C180,LISTAS!$A$2:$B$12,2,0),0),""))))</f>
        <v>1005</v>
      </c>
      <c r="G180" s="16">
        <v>3018</v>
      </c>
      <c r="H180" s="16"/>
      <c r="I180" s="16"/>
      <c r="J180">
        <f t="shared" si="2"/>
        <v>1005</v>
      </c>
    </row>
    <row r="181" spans="1:10" ht="15" customHeight="1" x14ac:dyDescent="0.2">
      <c r="A181" s="15">
        <v>46229</v>
      </c>
      <c r="B181" s="16" t="s">
        <v>24</v>
      </c>
      <c r="C181" s="16" t="s">
        <v>23</v>
      </c>
      <c r="D181" s="16" t="s">
        <v>13</v>
      </c>
      <c r="E181" s="17">
        <v>11</v>
      </c>
      <c r="F181" s="17">
        <f>IF($B181="","",IF($D181="kg",N($E181),IF($D181="sacos",N($E181)*97,IF($D181="jabas",N($E181)*IFERROR(VLOOKUP($C181,LISTAS!$A$2:$B$12,2,0),0),""))))</f>
        <v>198</v>
      </c>
      <c r="G181" s="16">
        <v>3018</v>
      </c>
      <c r="H181" s="16"/>
      <c r="I181" s="16"/>
      <c r="J181">
        <f t="shared" si="2"/>
        <v>198</v>
      </c>
    </row>
    <row r="182" spans="1:10" ht="15" customHeight="1" x14ac:dyDescent="0.2">
      <c r="A182" s="15">
        <v>46229</v>
      </c>
      <c r="B182" s="16" t="s">
        <v>24</v>
      </c>
      <c r="C182" s="16" t="s">
        <v>12</v>
      </c>
      <c r="D182" s="16" t="s">
        <v>13</v>
      </c>
      <c r="E182" s="17">
        <v>12</v>
      </c>
      <c r="F182" s="17">
        <f>IF($B182="","",IF($D182="kg",N($E182),IF($D182="sacos",N($E182)*97,IF($D182="jabas",N($E182)*IFERROR(VLOOKUP($C182,LISTAS!$A$2:$B$12,2,0),0),""))))</f>
        <v>204</v>
      </c>
      <c r="G182" s="16">
        <v>3018</v>
      </c>
      <c r="H182" s="16"/>
      <c r="I182" s="16"/>
      <c r="J182">
        <f t="shared" si="2"/>
        <v>204</v>
      </c>
    </row>
    <row r="183" spans="1:10" ht="15" customHeight="1" x14ac:dyDescent="0.2">
      <c r="A183" s="9">
        <v>46230</v>
      </c>
      <c r="B183" s="10" t="s">
        <v>19</v>
      </c>
      <c r="C183" s="10" t="s">
        <v>20</v>
      </c>
      <c r="D183" s="10" t="s">
        <v>18</v>
      </c>
      <c r="E183" s="11">
        <v>45</v>
      </c>
      <c r="F183" s="11">
        <v>4459</v>
      </c>
      <c r="G183" s="10"/>
      <c r="H183" s="10"/>
      <c r="I183" s="10" t="s">
        <v>62</v>
      </c>
      <c r="J183">
        <f t="shared" si="2"/>
        <v>4459</v>
      </c>
    </row>
    <row r="184" spans="1:10" ht="15" customHeight="1" x14ac:dyDescent="0.2">
      <c r="A184" s="12">
        <v>46230</v>
      </c>
      <c r="B184" s="13" t="s">
        <v>11</v>
      </c>
      <c r="C184" s="13" t="s">
        <v>22</v>
      </c>
      <c r="D184" s="13" t="s">
        <v>13</v>
      </c>
      <c r="E184" s="14">
        <v>97</v>
      </c>
      <c r="F184" s="14">
        <f>IF($B184="","",IF($D184="kg",N($E184),IF($D184="sacos",N($E184)*97,IF($D184="jabas",N($E184)*IFERROR(VLOOKUP($C184,LISTAS!$A$2:$B$12,2,0),0),""))))</f>
        <v>1455</v>
      </c>
      <c r="G184" s="13"/>
      <c r="H184" s="13"/>
      <c r="I184" s="13"/>
      <c r="J184">
        <f t="shared" si="2"/>
        <v>1455</v>
      </c>
    </row>
    <row r="185" spans="1:10" ht="15" customHeight="1" x14ac:dyDescent="0.2">
      <c r="A185" s="12">
        <v>46230</v>
      </c>
      <c r="B185" s="13" t="s">
        <v>11</v>
      </c>
      <c r="C185" s="13" t="s">
        <v>23</v>
      </c>
      <c r="D185" s="13" t="s">
        <v>13</v>
      </c>
      <c r="E185" s="14">
        <v>13</v>
      </c>
      <c r="F185" s="14">
        <f>IF($B185="","",IF($D185="kg",N($E185),IF($D185="sacos",N($E185)*97,IF($D185="jabas",N($E185)*IFERROR(VLOOKUP($C185,LISTAS!$A$2:$B$12,2,0),0),""))))</f>
        <v>234</v>
      </c>
      <c r="G185" s="13"/>
      <c r="H185" s="13"/>
      <c r="I185" s="13"/>
      <c r="J185">
        <f t="shared" si="2"/>
        <v>234</v>
      </c>
    </row>
    <row r="186" spans="1:10" ht="15" customHeight="1" x14ac:dyDescent="0.2">
      <c r="A186" s="12">
        <v>46230</v>
      </c>
      <c r="B186" s="13" t="s">
        <v>11</v>
      </c>
      <c r="C186" s="13" t="s">
        <v>12</v>
      </c>
      <c r="D186" s="13" t="s">
        <v>13</v>
      </c>
      <c r="E186" s="14">
        <v>18</v>
      </c>
      <c r="F186" s="14">
        <f>IF($B186="","",IF($D186="kg",N($E186),IF($D186="sacos",N($E186)*97,IF($D186="jabas",N($E186)*IFERROR(VLOOKUP($C186,LISTAS!$A$2:$B$12,2,0),0),""))))</f>
        <v>306</v>
      </c>
      <c r="G186" s="13"/>
      <c r="H186" s="13"/>
      <c r="I186" s="13"/>
      <c r="J186">
        <f t="shared" si="2"/>
        <v>306</v>
      </c>
    </row>
    <row r="187" spans="1:10" ht="15" customHeight="1" x14ac:dyDescent="0.2">
      <c r="A187" s="12">
        <v>46230</v>
      </c>
      <c r="B187" s="13" t="s">
        <v>11</v>
      </c>
      <c r="C187" s="13" t="s">
        <v>16</v>
      </c>
      <c r="D187" s="13" t="s">
        <v>13</v>
      </c>
      <c r="E187" s="14">
        <v>77</v>
      </c>
      <c r="F187" s="14">
        <f>IF($B187="","",IF($D187="kg",N($E187),IF($D187="sacos",N($E187)*97,IF($D187="jabas",N($E187)*IFERROR(VLOOKUP($C187,LISTAS!$A$2:$B$12,2,0),0),""))))</f>
        <v>1309</v>
      </c>
      <c r="G187" s="13"/>
      <c r="H187" s="13"/>
      <c r="I187" s="13"/>
      <c r="J187">
        <f t="shared" si="2"/>
        <v>1309</v>
      </c>
    </row>
    <row r="188" spans="1:10" ht="15" customHeight="1" x14ac:dyDescent="0.2">
      <c r="A188" s="12">
        <v>46230</v>
      </c>
      <c r="B188" s="13" t="s">
        <v>11</v>
      </c>
      <c r="C188" s="13" t="s">
        <v>17</v>
      </c>
      <c r="D188" s="13" t="s">
        <v>18</v>
      </c>
      <c r="E188" s="14">
        <v>8.5</v>
      </c>
      <c r="F188" s="14">
        <f>IF($B188="","",IF($D188="kg",N($E188),IF($D188="sacos",N($E188)*97,IF($D188="jabas",N($E188)*IFERROR(VLOOKUP($C188,LISTAS!$A$2:$B$12,2,0),0),""))))</f>
        <v>824.5</v>
      </c>
      <c r="G188" s="13"/>
      <c r="H188" s="13"/>
      <c r="I188" s="13"/>
      <c r="J188">
        <f t="shared" si="2"/>
        <v>824.5</v>
      </c>
    </row>
    <row r="189" spans="1:10" ht="15" customHeight="1" x14ac:dyDescent="0.2">
      <c r="A189" s="15">
        <v>46230</v>
      </c>
      <c r="B189" s="16" t="s">
        <v>24</v>
      </c>
      <c r="C189" s="16" t="s">
        <v>22</v>
      </c>
      <c r="D189" s="16" t="s">
        <v>13</v>
      </c>
      <c r="E189" s="17">
        <v>67</v>
      </c>
      <c r="F189" s="17">
        <f>IF($B189="","",IF($D189="kg",N($E189),IF($D189="sacos",N($E189)*97,IF($D189="jabas",N($E189)*IFERROR(VLOOKUP($C189,LISTAS!$A$2:$B$12,2,0),0),""))))</f>
        <v>1005</v>
      </c>
      <c r="G189" s="16">
        <v>3021</v>
      </c>
      <c r="H189" s="16"/>
      <c r="I189" s="16"/>
      <c r="J189">
        <f t="shared" si="2"/>
        <v>1005</v>
      </c>
    </row>
    <row r="190" spans="1:10" ht="15" customHeight="1" x14ac:dyDescent="0.2">
      <c r="A190" s="15">
        <v>46230</v>
      </c>
      <c r="B190" s="16" t="s">
        <v>24</v>
      </c>
      <c r="C190" s="16" t="s">
        <v>23</v>
      </c>
      <c r="D190" s="16" t="s">
        <v>13</v>
      </c>
      <c r="E190" s="17">
        <v>11</v>
      </c>
      <c r="F190" s="17">
        <f>IF($B190="","",IF($D190="kg",N($E190),IF($D190="sacos",N($E190)*97,IF($D190="jabas",N($E190)*IFERROR(VLOOKUP($C190,LISTAS!$A$2:$B$12,2,0),0),""))))</f>
        <v>198</v>
      </c>
      <c r="G190" s="16">
        <v>3021</v>
      </c>
      <c r="H190" s="16"/>
      <c r="I190" s="16"/>
      <c r="J190">
        <f t="shared" si="2"/>
        <v>198</v>
      </c>
    </row>
    <row r="191" spans="1:10" ht="15" customHeight="1" x14ac:dyDescent="0.2">
      <c r="A191" s="15">
        <v>46230</v>
      </c>
      <c r="B191" s="16" t="s">
        <v>24</v>
      </c>
      <c r="C191" s="16" t="s">
        <v>12</v>
      </c>
      <c r="D191" s="16" t="s">
        <v>13</v>
      </c>
      <c r="E191" s="17">
        <v>8</v>
      </c>
      <c r="F191" s="17">
        <f>IF($B191="","",IF($D191="kg",N($E191),IF($D191="sacos",N($E191)*97,IF($D191="jabas",N($E191)*IFERROR(VLOOKUP($C191,LISTAS!$A$2:$B$12,2,0),0),""))))</f>
        <v>136</v>
      </c>
      <c r="G191" s="16">
        <v>3021</v>
      </c>
      <c r="H191" s="16"/>
      <c r="I191" s="16"/>
      <c r="J191">
        <f t="shared" si="2"/>
        <v>136</v>
      </c>
    </row>
    <row r="192" spans="1:10" ht="15" customHeight="1" x14ac:dyDescent="0.2">
      <c r="A192" s="18">
        <v>46230</v>
      </c>
      <c r="B192" s="19" t="s">
        <v>29</v>
      </c>
      <c r="C192" s="19" t="s">
        <v>17</v>
      </c>
      <c r="D192" s="19" t="s">
        <v>18</v>
      </c>
      <c r="E192" s="20">
        <v>16</v>
      </c>
      <c r="F192" s="20">
        <f>IF($B192="","",IF($D192="kg",N($E192),IF($D192="sacos",N($E192)*97,IF($D192="jabas",N($E192)*IFERROR(VLOOKUP($C192,LISTAS!$A$2:$B$12,2,0),0),""))))</f>
        <v>1552</v>
      </c>
      <c r="G192" s="19" t="s">
        <v>63</v>
      </c>
      <c r="H192" s="19"/>
      <c r="I192" s="19"/>
      <c r="J192">
        <f t="shared" si="2"/>
        <v>1552</v>
      </c>
    </row>
    <row r="193" spans="1:10" ht="15" customHeight="1" x14ac:dyDescent="0.2">
      <c r="A193" s="18">
        <v>46230</v>
      </c>
      <c r="B193" s="19" t="s">
        <v>29</v>
      </c>
      <c r="C193" s="19" t="s">
        <v>17</v>
      </c>
      <c r="D193" s="19" t="s">
        <v>18</v>
      </c>
      <c r="E193" s="20">
        <v>7</v>
      </c>
      <c r="F193" s="20">
        <f>IF($B193="","",IF($D193="kg",N($E193),IF($D193="sacos",N($E193)*97,IF($D193="jabas",N($E193)*IFERROR(VLOOKUP($C193,LISTAS!$A$2:$B$12,2,0),0),""))))</f>
        <v>679</v>
      </c>
      <c r="G193" s="19" t="s">
        <v>64</v>
      </c>
      <c r="H193" s="19"/>
      <c r="I193" s="19"/>
      <c r="J193">
        <f t="shared" si="2"/>
        <v>679</v>
      </c>
    </row>
    <row r="194" spans="1:10" ht="15" customHeight="1" x14ac:dyDescent="0.2">
      <c r="A194" s="18">
        <v>46230</v>
      </c>
      <c r="B194" s="19" t="s">
        <v>29</v>
      </c>
      <c r="C194" s="19" t="s">
        <v>17</v>
      </c>
      <c r="D194" s="19" t="s">
        <v>18</v>
      </c>
      <c r="E194" s="20">
        <v>2</v>
      </c>
      <c r="F194" s="20">
        <f>IF($B194="","",IF($D194="kg",N($E194),IF($D194="sacos",N($E194)*97,IF($D194="jabas",N($E194)*IFERROR(VLOOKUP($C194,LISTAS!$A$2:$B$12,2,0),0),""))))</f>
        <v>194</v>
      </c>
      <c r="G194" s="19" t="s">
        <v>49</v>
      </c>
      <c r="H194" s="19"/>
      <c r="I194" s="39" t="s">
        <v>49</v>
      </c>
      <c r="J194">
        <f t="shared" si="2"/>
        <v>194</v>
      </c>
    </row>
    <row r="195" spans="1:10" ht="15" customHeight="1" x14ac:dyDescent="0.2">
      <c r="A195" s="24">
        <v>46230</v>
      </c>
      <c r="B195" s="25" t="s">
        <v>43</v>
      </c>
      <c r="C195" s="25" t="s">
        <v>22</v>
      </c>
      <c r="D195" s="25" t="s">
        <v>13</v>
      </c>
      <c r="E195" s="26">
        <v>1</v>
      </c>
      <c r="F195" s="26">
        <f>IF($B195="","",IF($D195="kg",N($E195),IF($D195="sacos",N($E195)*97,IF($D195="jabas",N($E195)*IFERROR(VLOOKUP($C195,LISTAS!$A$2:$B$12,2,0),0),""))))</f>
        <v>15</v>
      </c>
      <c r="G195" s="25"/>
      <c r="H195" s="25"/>
      <c r="I195" s="25"/>
      <c r="J195">
        <f t="shared" si="2"/>
        <v>15</v>
      </c>
    </row>
    <row r="196" spans="1:10" ht="15" customHeight="1" x14ac:dyDescent="0.2">
      <c r="A196" s="27">
        <v>46230</v>
      </c>
      <c r="B196" s="28" t="s">
        <v>44</v>
      </c>
      <c r="C196" s="28" t="s">
        <v>22</v>
      </c>
      <c r="D196" s="28" t="s">
        <v>45</v>
      </c>
      <c r="E196" s="29">
        <v>7</v>
      </c>
      <c r="F196" s="29">
        <f>IF($B196="","",IF($D196="kg",N($E196),IF($D196="sacos",N($E196)*97,IF($D196="jabas",N($E196)*IFERROR(VLOOKUP($C196,LISTAS!$A$2:$B$12,2,0),0),""))))</f>
        <v>7</v>
      </c>
      <c r="G196" s="28"/>
      <c r="H196" s="28"/>
      <c r="I196" s="28"/>
      <c r="J196">
        <f t="shared" si="2"/>
        <v>7</v>
      </c>
    </row>
    <row r="197" spans="1:10" ht="15" customHeight="1" x14ac:dyDescent="0.2">
      <c r="A197" s="9">
        <v>46231</v>
      </c>
      <c r="B197" s="10" t="s">
        <v>19</v>
      </c>
      <c r="C197" s="10" t="s">
        <v>20</v>
      </c>
      <c r="D197" s="10" t="s">
        <v>18</v>
      </c>
      <c r="E197" s="11">
        <v>55</v>
      </c>
      <c r="F197" s="11">
        <v>5451</v>
      </c>
      <c r="G197" s="10"/>
      <c r="H197" s="10"/>
      <c r="I197" s="10"/>
      <c r="J197">
        <f t="shared" ref="J197:J233" si="3">N($F197)</f>
        <v>5451</v>
      </c>
    </row>
    <row r="198" spans="1:10" ht="15" customHeight="1" x14ac:dyDescent="0.2">
      <c r="A198" s="12">
        <v>46231</v>
      </c>
      <c r="B198" s="13" t="s">
        <v>11</v>
      </c>
      <c r="C198" s="13" t="s">
        <v>22</v>
      </c>
      <c r="D198" s="13" t="s">
        <v>13</v>
      </c>
      <c r="E198" s="14">
        <v>133</v>
      </c>
      <c r="F198" s="14">
        <f>IF($B198="","",IF($D198="kg",N($E198),IF($D198="sacos",N($E198)*97,IF($D198="jabas",N($E198)*IFERROR(VLOOKUP($C198,LISTAS!$A$2:$B$12,2,0),0),""))))</f>
        <v>1995</v>
      </c>
      <c r="G198" s="13"/>
      <c r="H198" s="13"/>
      <c r="I198" s="13"/>
      <c r="J198">
        <f t="shared" si="3"/>
        <v>1995</v>
      </c>
    </row>
    <row r="199" spans="1:10" ht="15" customHeight="1" x14ac:dyDescent="0.2">
      <c r="A199" s="12">
        <v>46231</v>
      </c>
      <c r="B199" s="13" t="s">
        <v>11</v>
      </c>
      <c r="C199" s="13" t="s">
        <v>23</v>
      </c>
      <c r="D199" s="13" t="s">
        <v>13</v>
      </c>
      <c r="E199" s="14">
        <v>4</v>
      </c>
      <c r="F199" s="14">
        <f>IF($B199="","",IF($D199="kg",N($E199),IF($D199="sacos",N($E199)*97,IF($D199="jabas",N($E199)*IFERROR(VLOOKUP($C199,LISTAS!$A$2:$B$12,2,0),0),""))))</f>
        <v>72</v>
      </c>
      <c r="G199" s="13"/>
      <c r="H199" s="13"/>
      <c r="I199" s="13"/>
      <c r="J199">
        <f t="shared" si="3"/>
        <v>72</v>
      </c>
    </row>
    <row r="200" spans="1:10" ht="15" customHeight="1" x14ac:dyDescent="0.2">
      <c r="A200" s="12">
        <v>46231</v>
      </c>
      <c r="B200" s="13" t="s">
        <v>11</v>
      </c>
      <c r="C200" s="13" t="s">
        <v>12</v>
      </c>
      <c r="D200" s="13" t="s">
        <v>13</v>
      </c>
      <c r="E200" s="14">
        <v>12</v>
      </c>
      <c r="F200" s="14">
        <f>IF($B200="","",IF($D200="kg",N($E200),IF($D200="sacos",N($E200)*97,IF($D200="jabas",N($E200)*IFERROR(VLOOKUP($C200,LISTAS!$A$2:$B$12,2,0),0),""))))</f>
        <v>204</v>
      </c>
      <c r="G200" s="13"/>
      <c r="H200" s="13"/>
      <c r="I200" s="13"/>
      <c r="J200">
        <f t="shared" si="3"/>
        <v>204</v>
      </c>
    </row>
    <row r="201" spans="1:10" ht="15" customHeight="1" x14ac:dyDescent="0.2">
      <c r="A201" s="12">
        <v>46231</v>
      </c>
      <c r="B201" s="13" t="s">
        <v>11</v>
      </c>
      <c r="C201" s="13" t="s">
        <v>16</v>
      </c>
      <c r="D201" s="13" t="s">
        <v>13</v>
      </c>
      <c r="E201" s="14">
        <v>94</v>
      </c>
      <c r="F201" s="14">
        <f>IF($B201="","",IF($D201="kg",N($E201),IF($D201="sacos",N($E201)*97,IF($D201="jabas",N($E201)*IFERROR(VLOOKUP($C201,LISTAS!$A$2:$B$12,2,0),0),""))))</f>
        <v>1598</v>
      </c>
      <c r="G201" s="13"/>
      <c r="H201" s="13"/>
      <c r="I201" s="13"/>
      <c r="J201">
        <f t="shared" si="3"/>
        <v>1598</v>
      </c>
    </row>
    <row r="202" spans="1:10" ht="15" customHeight="1" x14ac:dyDescent="0.2">
      <c r="A202" s="12">
        <v>46231</v>
      </c>
      <c r="B202" s="13" t="s">
        <v>11</v>
      </c>
      <c r="C202" s="13" t="s">
        <v>17</v>
      </c>
      <c r="D202" s="13" t="s">
        <v>18</v>
      </c>
      <c r="E202" s="14">
        <v>14.5</v>
      </c>
      <c r="F202" s="14">
        <f>IF($B202="","",IF($D202="kg",N($E202),IF($D202="sacos",N($E202)*97,IF($D202="jabas",N($E202)*IFERROR(VLOOKUP($C202,LISTAS!$A$2:$B$12,2,0),0),""))))</f>
        <v>1406.5</v>
      </c>
      <c r="G202" s="13"/>
      <c r="H202" s="13"/>
      <c r="I202" s="13"/>
      <c r="J202">
        <f t="shared" si="3"/>
        <v>1406.5</v>
      </c>
    </row>
    <row r="203" spans="1:10" ht="15" customHeight="1" x14ac:dyDescent="0.2">
      <c r="A203" s="15">
        <v>46231</v>
      </c>
      <c r="B203" s="16" t="s">
        <v>24</v>
      </c>
      <c r="C203" s="16" t="s">
        <v>22</v>
      </c>
      <c r="D203" s="16" t="s">
        <v>13</v>
      </c>
      <c r="E203" s="17">
        <v>67</v>
      </c>
      <c r="F203" s="17">
        <f>IF($B203="","",IF($D203="kg",N($E203),IF($D203="sacos",N($E203)*97,IF($D203="jabas",N($E203)*IFERROR(VLOOKUP($C203,LISTAS!$A$2:$B$12,2,0),0),""))))</f>
        <v>1005</v>
      </c>
      <c r="G203" s="16">
        <v>3023</v>
      </c>
      <c r="H203" s="16"/>
      <c r="I203" s="16"/>
      <c r="J203">
        <f t="shared" si="3"/>
        <v>1005</v>
      </c>
    </row>
    <row r="204" spans="1:10" ht="15" customHeight="1" x14ac:dyDescent="0.2">
      <c r="A204" s="15">
        <v>46231</v>
      </c>
      <c r="B204" s="16" t="s">
        <v>24</v>
      </c>
      <c r="C204" s="16" t="s">
        <v>23</v>
      </c>
      <c r="D204" s="16" t="s">
        <v>13</v>
      </c>
      <c r="E204" s="17">
        <v>11</v>
      </c>
      <c r="F204" s="17">
        <f>IF($B204="","",IF($D204="kg",N($E204),IF($D204="sacos",N($E204)*97,IF($D204="jabas",N($E204)*IFERROR(VLOOKUP($C204,LISTAS!$A$2:$B$12,2,0),0),""))))</f>
        <v>198</v>
      </c>
      <c r="G204" s="16">
        <v>3023</v>
      </c>
      <c r="H204" s="16"/>
      <c r="I204" s="16"/>
      <c r="J204">
        <f t="shared" si="3"/>
        <v>198</v>
      </c>
    </row>
    <row r="205" spans="1:10" ht="15" customHeight="1" x14ac:dyDescent="0.2">
      <c r="A205" s="15">
        <v>46231</v>
      </c>
      <c r="B205" s="16" t="s">
        <v>24</v>
      </c>
      <c r="C205" s="16" t="s">
        <v>12</v>
      </c>
      <c r="D205" s="16" t="s">
        <v>13</v>
      </c>
      <c r="E205" s="17">
        <v>10</v>
      </c>
      <c r="F205" s="17">
        <f>IF($B205="","",IF($D205="kg",N($E205),IF($D205="sacos",N($E205)*97,IF($D205="jabas",N($E205)*IFERROR(VLOOKUP($C205,LISTAS!$A$2:$B$12,2,0),0),""))))</f>
        <v>170</v>
      </c>
      <c r="G205" s="16">
        <v>3023</v>
      </c>
      <c r="H205" s="16"/>
      <c r="I205" s="16"/>
      <c r="J205">
        <f t="shared" si="3"/>
        <v>170</v>
      </c>
    </row>
    <row r="206" spans="1:10" ht="15" customHeight="1" x14ac:dyDescent="0.2">
      <c r="A206" s="15">
        <v>46231</v>
      </c>
      <c r="B206" s="16" t="s">
        <v>24</v>
      </c>
      <c r="C206" s="16" t="s">
        <v>16</v>
      </c>
      <c r="D206" s="16" t="s">
        <v>13</v>
      </c>
      <c r="E206" s="17">
        <v>118</v>
      </c>
      <c r="F206" s="17">
        <f>IF($B206="","",IF($D206="kg",N($E206),IF($D206="sacos",N($E206)*97,IF($D206="jabas",N($E206)*IFERROR(VLOOKUP($C206,LISTAS!$A$2:$B$12,2,0),0),""))))</f>
        <v>2006</v>
      </c>
      <c r="G206" s="16">
        <v>3023</v>
      </c>
      <c r="H206" s="16"/>
      <c r="I206" s="16"/>
      <c r="J206">
        <f t="shared" si="3"/>
        <v>2006</v>
      </c>
    </row>
    <row r="207" spans="1:10" ht="15" customHeight="1" x14ac:dyDescent="0.2">
      <c r="A207" s="15">
        <v>46232</v>
      </c>
      <c r="B207" s="16" t="s">
        <v>24</v>
      </c>
      <c r="C207" s="16" t="s">
        <v>22</v>
      </c>
      <c r="D207" s="16" t="s">
        <v>13</v>
      </c>
      <c r="E207" s="17">
        <v>67</v>
      </c>
      <c r="F207" s="17">
        <f>IF($B207="","",IF($D207="kg",N($E207),IF($D207="sacos",N($E207)*97,IF($D207="jabas",N($E207)*IFERROR(VLOOKUP($C207,LISTAS!$A$2:$B$12,2,0),0),""))))</f>
        <v>1005</v>
      </c>
      <c r="G207" s="16">
        <v>3025</v>
      </c>
      <c r="H207" s="16"/>
      <c r="I207" s="16"/>
      <c r="J207">
        <f t="shared" si="3"/>
        <v>1005</v>
      </c>
    </row>
    <row r="208" spans="1:10" ht="15" customHeight="1" x14ac:dyDescent="0.2">
      <c r="A208" s="15">
        <v>46232</v>
      </c>
      <c r="B208" s="16" t="s">
        <v>24</v>
      </c>
      <c r="C208" s="16" t="s">
        <v>23</v>
      </c>
      <c r="D208" s="16" t="s">
        <v>13</v>
      </c>
      <c r="E208" s="17">
        <v>4</v>
      </c>
      <c r="F208" s="17">
        <f>IF($B208="","",IF($D208="kg",N($E208),IF($D208="sacos",N($E208)*97,IF($D208="jabas",N($E208)*IFERROR(VLOOKUP($C208,LISTAS!$A$2:$B$12,2,0),0),""))))</f>
        <v>72</v>
      </c>
      <c r="G208" s="16">
        <v>3025</v>
      </c>
      <c r="H208" s="16"/>
      <c r="I208" s="16"/>
      <c r="J208">
        <f t="shared" si="3"/>
        <v>72</v>
      </c>
    </row>
    <row r="209" spans="1:15" ht="15" customHeight="1" x14ac:dyDescent="0.2">
      <c r="A209" s="15">
        <v>46232</v>
      </c>
      <c r="B209" s="16" t="s">
        <v>24</v>
      </c>
      <c r="C209" s="16" t="s">
        <v>12</v>
      </c>
      <c r="D209" s="16" t="s">
        <v>13</v>
      </c>
      <c r="E209" s="17">
        <v>12</v>
      </c>
      <c r="F209" s="17">
        <f>IF($B209="","",IF($D209="kg",N($E209),IF($D209="sacos",N($E209)*97,IF($D209="jabas",N($E209)*IFERROR(VLOOKUP($C209,LISTAS!$A$2:$B$12,2,0),0),""))))</f>
        <v>204</v>
      </c>
      <c r="G209" s="16">
        <v>3025</v>
      </c>
      <c r="H209" s="16"/>
      <c r="I209" s="16"/>
      <c r="J209">
        <f t="shared" si="3"/>
        <v>204</v>
      </c>
    </row>
    <row r="210" spans="1:15" ht="15" customHeight="1" x14ac:dyDescent="0.2">
      <c r="A210" s="15">
        <v>46232</v>
      </c>
      <c r="B210" s="16" t="s">
        <v>24</v>
      </c>
      <c r="C210" s="16" t="s">
        <v>16</v>
      </c>
      <c r="D210" s="16" t="s">
        <v>13</v>
      </c>
      <c r="E210" s="17">
        <v>89</v>
      </c>
      <c r="F210" s="17">
        <f>IF($B210="","",IF($D210="kg",N($E210),IF($D210="sacos",N($E210)*97,IF($D210="jabas",N($E210)*IFERROR(VLOOKUP($C210,LISTAS!$A$2:$B$12,2,0),0),""))))</f>
        <v>1513</v>
      </c>
      <c r="G210" s="16">
        <v>3025</v>
      </c>
      <c r="H210" s="16"/>
      <c r="I210" s="16"/>
      <c r="J210">
        <f t="shared" si="3"/>
        <v>1513</v>
      </c>
      <c r="O210">
        <v>100</v>
      </c>
    </row>
    <row r="211" spans="1:15" ht="15" customHeight="1" x14ac:dyDescent="0.2">
      <c r="A211" s="18">
        <v>46232</v>
      </c>
      <c r="B211" s="19" t="s">
        <v>29</v>
      </c>
      <c r="C211" s="19" t="s">
        <v>17</v>
      </c>
      <c r="D211" s="19" t="s">
        <v>18</v>
      </c>
      <c r="E211" s="20">
        <v>10</v>
      </c>
      <c r="F211" s="20">
        <f>IF($B211="","",IF($D211="kg",N($E211),IF($D211="sacos",N($E211)*97,IF($D211="jabas",N($E211)*IFERROR(VLOOKUP($C211,LISTAS!$A$2:$B$12,2,0),0),""))))</f>
        <v>970</v>
      </c>
      <c r="G211" s="19" t="s">
        <v>65</v>
      </c>
      <c r="H211" s="19"/>
      <c r="I211" s="19"/>
      <c r="J211">
        <f t="shared" si="3"/>
        <v>970</v>
      </c>
    </row>
    <row r="212" spans="1:15" ht="15" customHeight="1" x14ac:dyDescent="0.2">
      <c r="A212" s="9">
        <v>46233</v>
      </c>
      <c r="B212" s="10" t="s">
        <v>19</v>
      </c>
      <c r="C212" s="10" t="s">
        <v>20</v>
      </c>
      <c r="D212" s="10" t="s">
        <v>18</v>
      </c>
      <c r="E212" s="11">
        <v>30</v>
      </c>
      <c r="F212" s="11">
        <f>IF($B212="","",IF($D212="kg",N($E212),IF($D212="sacos",N($E212)*97,IF($D212="jabas",N($E212)*IFERROR(VLOOKUP($C212,LISTAS!$A$2:$B$12,2,0),0),""))))</f>
        <v>2910</v>
      </c>
      <c r="G212" s="10"/>
      <c r="H212" s="10"/>
      <c r="I212" s="10" t="s">
        <v>66</v>
      </c>
      <c r="J212">
        <f t="shared" si="3"/>
        <v>2910</v>
      </c>
    </row>
    <row r="213" spans="1:15" ht="15" customHeight="1" x14ac:dyDescent="0.2">
      <c r="A213" s="12">
        <v>46233</v>
      </c>
      <c r="B213" s="13" t="s">
        <v>11</v>
      </c>
      <c r="C213" s="13" t="s">
        <v>22</v>
      </c>
      <c r="D213" s="13" t="s">
        <v>13</v>
      </c>
      <c r="E213" s="14">
        <v>46</v>
      </c>
      <c r="F213" s="14">
        <f>IF($B213="","",IF($D213="kg",N($E213),IF($D213="sacos",N($E213)*97,IF($D213="jabas",N($E213)*IFERROR(VLOOKUP($C213,LISTAS!$A$2:$B$12,2,0),0),""))))</f>
        <v>690</v>
      </c>
      <c r="G213" s="13"/>
      <c r="H213" s="13"/>
      <c r="I213" s="13"/>
      <c r="J213">
        <f t="shared" si="3"/>
        <v>690</v>
      </c>
    </row>
    <row r="214" spans="1:15" ht="15" customHeight="1" x14ac:dyDescent="0.2">
      <c r="A214" s="12">
        <v>46233</v>
      </c>
      <c r="B214" s="13" t="s">
        <v>11</v>
      </c>
      <c r="C214" s="13" t="s">
        <v>23</v>
      </c>
      <c r="D214" s="13" t="s">
        <v>13</v>
      </c>
      <c r="E214" s="14">
        <v>11</v>
      </c>
      <c r="F214" s="14">
        <f>IF($B214="","",IF($D214="kg",N($E214),IF($D214="sacos",N($E214)*97,IF($D214="jabas",N($E214)*IFERROR(VLOOKUP($C214,LISTAS!$A$2:$B$12,2,0),0),""))))</f>
        <v>198</v>
      </c>
      <c r="G214" s="13"/>
      <c r="H214" s="13"/>
      <c r="I214" s="13"/>
      <c r="J214">
        <f t="shared" si="3"/>
        <v>198</v>
      </c>
    </row>
    <row r="215" spans="1:15" ht="15" customHeight="1" x14ac:dyDescent="0.2">
      <c r="A215" s="12">
        <v>46233</v>
      </c>
      <c r="B215" s="13" t="s">
        <v>11</v>
      </c>
      <c r="C215" s="13" t="s">
        <v>12</v>
      </c>
      <c r="D215" s="13" t="s">
        <v>13</v>
      </c>
      <c r="E215" s="14">
        <v>5</v>
      </c>
      <c r="F215" s="14">
        <f>IF($B215="","",IF($D215="kg",N($E215),IF($D215="sacos",N($E215)*97,IF($D215="jabas",N($E215)*IFERROR(VLOOKUP($C215,LISTAS!$A$2:$B$12,2,0),0),""))))</f>
        <v>85</v>
      </c>
      <c r="G215" s="13"/>
      <c r="H215" s="13"/>
      <c r="I215" s="13"/>
      <c r="J215">
        <f t="shared" si="3"/>
        <v>85</v>
      </c>
    </row>
    <row r="216" spans="1:15" ht="15" customHeight="1" x14ac:dyDescent="0.2">
      <c r="A216" s="12">
        <v>46233</v>
      </c>
      <c r="B216" s="13" t="s">
        <v>11</v>
      </c>
      <c r="C216" s="13" t="s">
        <v>16</v>
      </c>
      <c r="D216" s="13" t="s">
        <v>13</v>
      </c>
      <c r="E216" s="14">
        <v>90</v>
      </c>
      <c r="F216" s="14">
        <f>IF($B216="","",IF($D216="kg",N($E216),IF($D216="sacos",N($E216)*97,IF($D216="jabas",N($E216)*IFERROR(VLOOKUP($C216,LISTAS!$A$2:$B$12,2,0),0),""))))</f>
        <v>1530</v>
      </c>
      <c r="G216" s="13"/>
      <c r="H216" s="13"/>
      <c r="I216" s="13"/>
      <c r="J216">
        <f t="shared" si="3"/>
        <v>1530</v>
      </c>
    </row>
    <row r="217" spans="1:15" ht="15" customHeight="1" x14ac:dyDescent="0.2">
      <c r="A217" s="12">
        <v>46233</v>
      </c>
      <c r="B217" s="13" t="s">
        <v>11</v>
      </c>
      <c r="C217" s="13" t="s">
        <v>17</v>
      </c>
      <c r="D217" s="13" t="s">
        <v>18</v>
      </c>
      <c r="E217" s="14">
        <v>5</v>
      </c>
      <c r="F217" s="14">
        <f>IF($B217="","",IF($D217="kg",N($E217),IF($D217="sacos",N($E217)*97,IF($D217="jabas",N($E217)*IFERROR(VLOOKUP($C217,LISTAS!$A$2:$B$12,2,0),0),""))))</f>
        <v>485</v>
      </c>
      <c r="G217" s="13"/>
      <c r="H217" s="13"/>
      <c r="I217" s="13"/>
      <c r="J217">
        <f t="shared" si="3"/>
        <v>485</v>
      </c>
    </row>
    <row r="218" spans="1:15" ht="15" customHeight="1" x14ac:dyDescent="0.2">
      <c r="A218" s="21">
        <v>46233</v>
      </c>
      <c r="B218" s="22" t="s">
        <v>35</v>
      </c>
      <c r="C218" s="22" t="s">
        <v>16</v>
      </c>
      <c r="D218" s="22" t="s">
        <v>13</v>
      </c>
      <c r="E218" s="23">
        <v>1</v>
      </c>
      <c r="F218" s="23">
        <v>17</v>
      </c>
      <c r="G218" s="22"/>
      <c r="H218" s="22"/>
      <c r="I218" s="22"/>
      <c r="J218">
        <f t="shared" si="3"/>
        <v>17</v>
      </c>
    </row>
    <row r="219" spans="1:15" ht="15" customHeight="1" x14ac:dyDescent="0.2">
      <c r="A219" s="15">
        <v>46233</v>
      </c>
      <c r="B219" s="16" t="s">
        <v>24</v>
      </c>
      <c r="C219" s="16" t="s">
        <v>22</v>
      </c>
      <c r="D219" s="16" t="s">
        <v>13</v>
      </c>
      <c r="E219" s="17">
        <v>67</v>
      </c>
      <c r="F219" s="17">
        <f>IF($B219="","",IF($D219="kg",N($E219),IF($D219="sacos",N($E219)*97,IF($D219="jabas",N($E219)*IFERROR(VLOOKUP($C219,LISTAS!$A$2:$B$12,2,0),0),""))))</f>
        <v>1005</v>
      </c>
      <c r="G219" s="16">
        <v>3031</v>
      </c>
      <c r="H219" s="16"/>
      <c r="I219" s="16"/>
      <c r="J219">
        <f t="shared" si="3"/>
        <v>1005</v>
      </c>
    </row>
    <row r="220" spans="1:15" ht="15" customHeight="1" x14ac:dyDescent="0.2">
      <c r="A220" s="15">
        <v>46233</v>
      </c>
      <c r="B220" s="16" t="s">
        <v>24</v>
      </c>
      <c r="C220" s="16" t="s">
        <v>23</v>
      </c>
      <c r="D220" s="16" t="s">
        <v>13</v>
      </c>
      <c r="E220" s="17">
        <v>11</v>
      </c>
      <c r="F220" s="17">
        <f>IF($B220="","",IF($D220="kg",N($E220),IF($D220="sacos",N($E220)*97,IF($D220="jabas",N($E220)*IFERROR(VLOOKUP($C220,LISTAS!$A$2:$B$12,2,0),0),""))))</f>
        <v>198</v>
      </c>
      <c r="G220" s="16">
        <v>3031</v>
      </c>
      <c r="H220" s="16"/>
      <c r="I220" s="16"/>
      <c r="J220">
        <f t="shared" si="3"/>
        <v>198</v>
      </c>
    </row>
    <row r="221" spans="1:15" ht="15" customHeight="1" x14ac:dyDescent="0.2">
      <c r="A221" s="15">
        <v>46233</v>
      </c>
      <c r="B221" s="16" t="s">
        <v>24</v>
      </c>
      <c r="C221" s="16" t="s">
        <v>12</v>
      </c>
      <c r="D221" s="16" t="s">
        <v>13</v>
      </c>
      <c r="E221" s="17">
        <v>5</v>
      </c>
      <c r="F221" s="17">
        <f>IF($B221="","",IF($D221="kg",N($E221),IF($D221="sacos",N($E221)*97,IF($D221="jabas",N($E221)*IFERROR(VLOOKUP($C221,LISTAS!$A$2:$B$12,2,0),0),""))))</f>
        <v>85</v>
      </c>
      <c r="G221" s="16">
        <v>3031</v>
      </c>
      <c r="H221" s="16"/>
      <c r="I221" s="16"/>
      <c r="J221">
        <f t="shared" si="3"/>
        <v>85</v>
      </c>
    </row>
    <row r="222" spans="1:15" ht="15" customHeight="1" x14ac:dyDescent="0.2">
      <c r="A222" s="15">
        <v>46233</v>
      </c>
      <c r="B222" s="16" t="s">
        <v>24</v>
      </c>
      <c r="C222" s="16" t="s">
        <v>16</v>
      </c>
      <c r="D222" s="16" t="s">
        <v>13</v>
      </c>
      <c r="E222" s="17">
        <v>118</v>
      </c>
      <c r="F222" s="17">
        <f>IF($B222="","",IF($D222="kg",N($E222),IF($D222="sacos",N($E222)*97,IF($D222="jabas",N($E222)*IFERROR(VLOOKUP($C222,LISTAS!$A$2:$B$12,2,0),0),""))))</f>
        <v>2006</v>
      </c>
      <c r="G222" s="16">
        <v>3031</v>
      </c>
      <c r="H222" s="16"/>
      <c r="I222" s="16"/>
      <c r="J222">
        <f t="shared" si="3"/>
        <v>2006</v>
      </c>
    </row>
    <row r="223" spans="1:15" ht="15" customHeight="1" x14ac:dyDescent="0.2">
      <c r="A223" s="9">
        <v>46234</v>
      </c>
      <c r="B223" s="10" t="s">
        <v>19</v>
      </c>
      <c r="C223" s="10" t="s">
        <v>20</v>
      </c>
      <c r="D223" s="10" t="s">
        <v>18</v>
      </c>
      <c r="E223" s="11">
        <v>70</v>
      </c>
      <c r="F223" s="11">
        <f>IF($B223="","",IF($D223="kg",N($E223),IF($D223="sacos",N($E223)*97,IF($D223="jabas",N($E223)*IFERROR(VLOOKUP($C223,LISTAS!$A$2:$B$12,2,0),0),""))))</f>
        <v>6790</v>
      </c>
      <c r="G223" s="10"/>
      <c r="H223" s="10"/>
      <c r="I223" s="10" t="s">
        <v>67</v>
      </c>
      <c r="J223">
        <f t="shared" si="3"/>
        <v>6790</v>
      </c>
    </row>
    <row r="224" spans="1:15" ht="15" customHeight="1" x14ac:dyDescent="0.2">
      <c r="A224" s="12">
        <v>46234</v>
      </c>
      <c r="B224" s="13" t="s">
        <v>11</v>
      </c>
      <c r="C224" s="13" t="s">
        <v>22</v>
      </c>
      <c r="D224" s="13" t="s">
        <v>13</v>
      </c>
      <c r="E224" s="14">
        <v>137</v>
      </c>
      <c r="F224" s="14">
        <f>IF($B224="","",IF($D224="kg",N($E224),IF($D224="sacos",N($E224)*97,IF($D224="jabas",N($E224)*IFERROR(VLOOKUP($C224,LISTAS!$A$2:$B$12,2,0),0),""))))</f>
        <v>2055</v>
      </c>
      <c r="G224" s="13"/>
      <c r="H224" s="13"/>
      <c r="I224" s="13"/>
      <c r="J224">
        <f t="shared" si="3"/>
        <v>2055</v>
      </c>
    </row>
    <row r="225" spans="1:16" ht="15" customHeight="1" x14ac:dyDescent="0.2">
      <c r="A225" s="12">
        <v>46234</v>
      </c>
      <c r="B225" s="13" t="s">
        <v>11</v>
      </c>
      <c r="C225" s="13" t="s">
        <v>23</v>
      </c>
      <c r="D225" s="13" t="s">
        <v>13</v>
      </c>
      <c r="E225" s="14">
        <v>11</v>
      </c>
      <c r="F225" s="14">
        <f>IF($B225="","",IF($D225="kg",N($E225),IF($D225="sacos",N($E225)*97,IF($D225="jabas",N($E225)*IFERROR(VLOOKUP($C225,LISTAS!$A$2:$B$12,2,0),0),""))))</f>
        <v>198</v>
      </c>
      <c r="G225" s="13"/>
      <c r="H225" s="13"/>
      <c r="I225" s="13"/>
      <c r="J225">
        <f t="shared" si="3"/>
        <v>198</v>
      </c>
    </row>
    <row r="226" spans="1:16" ht="15" customHeight="1" x14ac:dyDescent="0.2">
      <c r="A226" s="12">
        <v>46234</v>
      </c>
      <c r="B226" s="13" t="s">
        <v>11</v>
      </c>
      <c r="C226" s="13" t="s">
        <v>12</v>
      </c>
      <c r="D226" s="13" t="s">
        <v>13</v>
      </c>
      <c r="E226" s="14">
        <v>12</v>
      </c>
      <c r="F226" s="14">
        <f>IF($B226="","",IF($D226="kg",N($E226),IF($D226="sacos",N($E226)*97,IF($D226="jabas",N($E226)*IFERROR(VLOOKUP($C226,LISTAS!$A$2:$B$12,2,0),0),""))))</f>
        <v>204</v>
      </c>
      <c r="G226" s="13"/>
      <c r="H226" s="13"/>
      <c r="I226" s="13"/>
      <c r="J226">
        <f t="shared" si="3"/>
        <v>204</v>
      </c>
    </row>
    <row r="227" spans="1:16" ht="15" customHeight="1" x14ac:dyDescent="0.2">
      <c r="A227" s="12">
        <v>46234</v>
      </c>
      <c r="B227" s="13" t="s">
        <v>11</v>
      </c>
      <c r="C227" s="13" t="s">
        <v>16</v>
      </c>
      <c r="D227" s="13" t="s">
        <v>13</v>
      </c>
      <c r="E227" s="14">
        <v>182</v>
      </c>
      <c r="F227" s="14">
        <f>IF($B227="","",IF($D227="kg",N($E227),IF($D227="sacos",N($E227)*97,IF($D227="jabas",N($E227)*IFERROR(VLOOKUP($C227,LISTAS!$A$2:$B$12,2,0),0),""))))</f>
        <v>3094</v>
      </c>
      <c r="G227" s="13"/>
      <c r="H227" s="13"/>
      <c r="I227" s="13"/>
      <c r="J227">
        <f t="shared" si="3"/>
        <v>3094</v>
      </c>
    </row>
    <row r="228" spans="1:16" ht="15" customHeight="1" x14ac:dyDescent="0.2">
      <c r="A228" s="12">
        <v>46234</v>
      </c>
      <c r="B228" s="13" t="s">
        <v>11</v>
      </c>
      <c r="C228" s="13" t="s">
        <v>17</v>
      </c>
      <c r="D228" s="13" t="s">
        <v>18</v>
      </c>
      <c r="E228" s="14">
        <v>14.5</v>
      </c>
      <c r="F228" s="14">
        <f>IF($B228="","",IF($D228="kg",N($E228),IF($D228="sacos",N($E228)*97,IF($D228="jabas",N($E228)*IFERROR(VLOOKUP($C228,LISTAS!$A$2:$B$12,2,0),0),""))))</f>
        <v>1406.5</v>
      </c>
      <c r="G228" s="13"/>
      <c r="H228" s="13"/>
      <c r="I228" s="13"/>
      <c r="J228">
        <f t="shared" si="3"/>
        <v>1406.5</v>
      </c>
      <c r="O228">
        <v>97</v>
      </c>
      <c r="P228">
        <v>9815.82</v>
      </c>
    </row>
    <row r="229" spans="1:16" ht="15" customHeight="1" x14ac:dyDescent="0.2">
      <c r="A229" s="15">
        <v>46234</v>
      </c>
      <c r="B229" s="16" t="s">
        <v>24</v>
      </c>
      <c r="C229" s="16" t="s">
        <v>22</v>
      </c>
      <c r="D229" s="16" t="s">
        <v>13</v>
      </c>
      <c r="E229" s="17">
        <v>67</v>
      </c>
      <c r="F229" s="17">
        <f>IF($B229="","",IF($D229="kg",N($E229),IF($D229="sacos",N($E229)*97,IF($D229="jabas",N($E229)*IFERROR(VLOOKUP($C229,LISTAS!$A$2:$B$12,2,0),0),""))))</f>
        <v>1005</v>
      </c>
      <c r="G229" s="16">
        <v>3035</v>
      </c>
      <c r="H229" s="16"/>
      <c r="I229" s="16"/>
      <c r="J229">
        <f t="shared" si="3"/>
        <v>1005</v>
      </c>
    </row>
    <row r="230" spans="1:16" ht="15" customHeight="1" x14ac:dyDescent="0.2">
      <c r="A230" s="15">
        <v>46234</v>
      </c>
      <c r="B230" s="16" t="s">
        <v>24</v>
      </c>
      <c r="C230" s="16" t="s">
        <v>23</v>
      </c>
      <c r="D230" s="16" t="s">
        <v>13</v>
      </c>
      <c r="E230" s="17">
        <v>11</v>
      </c>
      <c r="F230" s="17">
        <f>IF($B230="","",IF($D230="kg",N($E230),IF($D230="sacos",N($E230)*97,IF($D230="jabas",N($E230)*IFERROR(VLOOKUP($C230,LISTAS!$A$2:$B$12,2,0),0),""))))</f>
        <v>198</v>
      </c>
      <c r="G230" s="16">
        <v>3035</v>
      </c>
      <c r="H230" s="16"/>
      <c r="I230" s="16"/>
      <c r="J230">
        <f t="shared" si="3"/>
        <v>198</v>
      </c>
    </row>
    <row r="231" spans="1:16" ht="15" customHeight="1" x14ac:dyDescent="0.2">
      <c r="A231" s="15">
        <v>46234</v>
      </c>
      <c r="B231" s="16" t="s">
        <v>24</v>
      </c>
      <c r="C231" s="16" t="s">
        <v>12</v>
      </c>
      <c r="D231" s="16" t="s">
        <v>13</v>
      </c>
      <c r="E231" s="17">
        <v>12</v>
      </c>
      <c r="F231" s="17">
        <f>IF($B231="","",IF($D231="kg",N($E231),IF($D231="sacos",N($E231)*97,IF($D231="jabas",N($E231)*IFERROR(VLOOKUP($C231,LISTAS!$A$2:$B$12,2,0),0),""))))</f>
        <v>204</v>
      </c>
      <c r="G231" s="16">
        <v>3035</v>
      </c>
      <c r="H231" s="16"/>
      <c r="I231" s="16"/>
      <c r="J231">
        <f t="shared" si="3"/>
        <v>204</v>
      </c>
    </row>
    <row r="232" spans="1:16" ht="15" customHeight="1" x14ac:dyDescent="0.2">
      <c r="A232" s="15">
        <v>46234</v>
      </c>
      <c r="B232" s="16" t="s">
        <v>24</v>
      </c>
      <c r="C232" s="16" t="s">
        <v>16</v>
      </c>
      <c r="D232" s="16" t="s">
        <v>13</v>
      </c>
      <c r="E232" s="17">
        <v>118</v>
      </c>
      <c r="F232" s="17">
        <f>IF($B232="","",IF($D232="kg",N($E232),IF($D232="sacos",N($E232)*97,IF($D232="jabas",N($E232)*IFERROR(VLOOKUP($C232,LISTAS!$A$2:$B$12,2,0),0),""))))</f>
        <v>2006</v>
      </c>
      <c r="G232" s="16">
        <v>3035</v>
      </c>
      <c r="H232" s="16"/>
      <c r="I232" s="16"/>
      <c r="J232">
        <f t="shared" si="3"/>
        <v>2006</v>
      </c>
    </row>
    <row r="233" spans="1:16" ht="15" customHeight="1" x14ac:dyDescent="0.2">
      <c r="A233" s="18">
        <v>46234</v>
      </c>
      <c r="B233" s="19" t="s">
        <v>29</v>
      </c>
      <c r="C233" s="19" t="s">
        <v>17</v>
      </c>
      <c r="D233" s="19" t="s">
        <v>18</v>
      </c>
      <c r="E233" s="20">
        <v>8</v>
      </c>
      <c r="F233" s="20">
        <f>IF($B233="","",IF($D233="kg",N($E233),IF($D233="sacos",N($E233)*97,IF($D233="jabas",N($E233)*IFERROR(VLOOKUP($C233,LISTAS!$A$2:$B$12,2,0),0),""))))</f>
        <v>776</v>
      </c>
      <c r="G233" s="19" t="s">
        <v>68</v>
      </c>
      <c r="H233" s="19"/>
      <c r="I233" s="19"/>
      <c r="J233">
        <f t="shared" si="3"/>
        <v>776</v>
      </c>
    </row>
    <row r="234" spans="1:16" ht="15" customHeight="1" x14ac:dyDescent="0.2">
      <c r="A234" s="24">
        <v>46234</v>
      </c>
      <c r="B234" s="25" t="s">
        <v>43</v>
      </c>
      <c r="C234" s="25" t="s">
        <v>16</v>
      </c>
      <c r="D234" s="25" t="s">
        <v>13</v>
      </c>
      <c r="E234" s="26">
        <v>1</v>
      </c>
      <c r="F234" s="26">
        <f>IF($B234="","",IF($D234="kg",N($E234),IF($D234="sacos",N($E234)*97,IF($D234="jabas",N($E234)*IFERROR(VLOOKUP($C234,LISTAS!$A$2:$B$12,2,0),0),""))))</f>
        <v>17</v>
      </c>
      <c r="G234" s="19"/>
      <c r="H234" s="19"/>
      <c r="I234" s="19" t="s">
        <v>69</v>
      </c>
    </row>
    <row r="235" spans="1:16" ht="15" customHeight="1" x14ac:dyDescent="0.2">
      <c r="A235" s="27">
        <v>46234</v>
      </c>
      <c r="B235" s="28" t="s">
        <v>44</v>
      </c>
      <c r="C235" s="28" t="s">
        <v>16</v>
      </c>
      <c r="D235" s="28" t="s">
        <v>45</v>
      </c>
      <c r="E235" s="29">
        <v>5</v>
      </c>
      <c r="F235" s="29">
        <f>IF($B235="","",IF($D235="kg",N($E235),IF($D235="sacos",N($E235)*97,IF($D235="jabas",N($E235)*IFERROR(VLOOKUP($C235,LISTAS!$A$2:$B$12,2,0),0),""))))</f>
        <v>5</v>
      </c>
      <c r="G235" s="19"/>
      <c r="H235" s="19"/>
      <c r="I235" s="19"/>
    </row>
    <row r="236" spans="1:16" ht="15" customHeight="1" x14ac:dyDescent="0.2">
      <c r="A236" s="40">
        <v>46235</v>
      </c>
      <c r="B236" s="41" t="s">
        <v>19</v>
      </c>
      <c r="C236" s="41"/>
      <c r="D236" s="41" t="s">
        <v>18</v>
      </c>
      <c r="E236" s="42">
        <v>38</v>
      </c>
      <c r="F236" s="42">
        <v>3850</v>
      </c>
      <c r="G236" s="41"/>
      <c r="H236" s="41"/>
      <c r="I236" s="41" t="s">
        <v>70</v>
      </c>
      <c r="J236">
        <f t="shared" ref="J236:J245" si="4">N($F236)</f>
        <v>3850</v>
      </c>
      <c r="N236" s="43"/>
    </row>
    <row r="237" spans="1:16" ht="15" customHeight="1" x14ac:dyDescent="0.2">
      <c r="A237" s="40">
        <v>46235</v>
      </c>
      <c r="B237" s="13" t="s">
        <v>11</v>
      </c>
      <c r="C237" s="13" t="s">
        <v>22</v>
      </c>
      <c r="D237" s="13" t="s">
        <v>13</v>
      </c>
      <c r="E237" s="14">
        <v>46</v>
      </c>
      <c r="F237" s="14">
        <f>IF($B237="","",IF($D237="kg",N($E237),IF($D237="sacos",N($E237)*97,IF($D237="jabas",N($E237)*IFERROR(VLOOKUP($C237,LISTAS!$A$2:$B$12,2,0),0),""))))</f>
        <v>690</v>
      </c>
      <c r="G237" s="41"/>
      <c r="H237" s="41"/>
      <c r="I237" s="41"/>
      <c r="J237">
        <f t="shared" si="4"/>
        <v>690</v>
      </c>
      <c r="L237" s="44"/>
    </row>
    <row r="238" spans="1:16" ht="15" customHeight="1" x14ac:dyDescent="0.2">
      <c r="A238" s="40">
        <v>46235</v>
      </c>
      <c r="B238" s="13" t="s">
        <v>11</v>
      </c>
      <c r="C238" s="13" t="s">
        <v>23</v>
      </c>
      <c r="D238" s="13" t="s">
        <v>13</v>
      </c>
      <c r="E238" s="14">
        <v>14</v>
      </c>
      <c r="F238" s="14">
        <f>IF($B238="","",IF($D238="kg",N($E238),IF($D238="sacos",N($E238)*97,IF($D238="jabas",N($E238)*IFERROR(VLOOKUP($C238,LISTAS!$A$2:$B$12,2,0),0),""))))</f>
        <v>252</v>
      </c>
      <c r="G238" s="41"/>
      <c r="H238" s="41"/>
      <c r="I238" s="41"/>
      <c r="J238">
        <f t="shared" si="4"/>
        <v>252</v>
      </c>
    </row>
    <row r="239" spans="1:16" ht="15" customHeight="1" x14ac:dyDescent="0.2">
      <c r="A239" s="40">
        <v>46235</v>
      </c>
      <c r="B239" s="13" t="s">
        <v>11</v>
      </c>
      <c r="C239" s="13" t="s">
        <v>12</v>
      </c>
      <c r="D239" s="13" t="s">
        <v>13</v>
      </c>
      <c r="E239" s="14">
        <v>10</v>
      </c>
      <c r="F239" s="14">
        <f>IF($B239="","",IF($D239="kg",N($E239),IF($D239="sacos",N($E239)*97,IF($D239="jabas",N($E239)*IFERROR(VLOOKUP($C239,LISTAS!$A$2:$B$12,2,0),0),""))))</f>
        <v>170</v>
      </c>
      <c r="G239" s="41"/>
      <c r="H239" s="41"/>
      <c r="I239" s="41"/>
      <c r="J239">
        <f t="shared" si="4"/>
        <v>170</v>
      </c>
    </row>
    <row r="240" spans="1:16" ht="15" customHeight="1" x14ac:dyDescent="0.2">
      <c r="A240" s="40">
        <v>46235</v>
      </c>
      <c r="B240" s="13" t="s">
        <v>11</v>
      </c>
      <c r="C240" s="13" t="s">
        <v>16</v>
      </c>
      <c r="D240" s="13" t="s">
        <v>13</v>
      </c>
      <c r="E240" s="14">
        <v>108</v>
      </c>
      <c r="F240" s="14">
        <f>IF($B240="","",IF($D240="kg",N($E240),IF($D240="sacos",N($E240)*97,IF($D240="jabas",N($E240)*IFERROR(VLOOKUP($C240,LISTAS!$A$2:$B$12,2,0),0),""))))</f>
        <v>1836</v>
      </c>
      <c r="G240" s="41"/>
      <c r="H240" s="41"/>
      <c r="I240" s="41"/>
      <c r="J240">
        <f t="shared" si="4"/>
        <v>1836</v>
      </c>
    </row>
    <row r="241" spans="1:12" ht="15" customHeight="1" x14ac:dyDescent="0.2">
      <c r="A241" s="40">
        <v>46235</v>
      </c>
      <c r="B241" s="13" t="s">
        <v>11</v>
      </c>
      <c r="C241" s="13" t="s">
        <v>17</v>
      </c>
      <c r="D241" s="13" t="s">
        <v>18</v>
      </c>
      <c r="E241" s="14">
        <v>8</v>
      </c>
      <c r="F241" s="14">
        <f>IF($B241="","",IF($D241="kg",N($E241),IF($D241="sacos",N($E241)*97,IF($D241="jabas",N($E241)*IFERROR(VLOOKUP($C241,LISTAS!$A$2:$B$12,2,0),0),""))))</f>
        <v>776</v>
      </c>
      <c r="G241" s="41"/>
      <c r="H241" s="41"/>
      <c r="I241" s="41"/>
      <c r="J241">
        <f t="shared" si="4"/>
        <v>776</v>
      </c>
    </row>
    <row r="242" spans="1:12" ht="15" customHeight="1" x14ac:dyDescent="0.2">
      <c r="A242" s="40">
        <v>46235</v>
      </c>
      <c r="B242" s="16" t="s">
        <v>24</v>
      </c>
      <c r="C242" s="16" t="s">
        <v>22</v>
      </c>
      <c r="D242" s="16" t="s">
        <v>13</v>
      </c>
      <c r="E242" s="17">
        <v>67</v>
      </c>
      <c r="F242" s="17">
        <f>IF($B242="","",IF($D242="kg",N($E242),IF($D242="sacos",N($E242)*97,IF($D242="jabas",N($E242)*IFERROR(VLOOKUP($C242,LISTAS!$A$2:$B$12,2,0),0),""))))</f>
        <v>1005</v>
      </c>
      <c r="G242" s="41">
        <v>3042</v>
      </c>
      <c r="H242" s="41"/>
      <c r="I242" s="41"/>
      <c r="J242">
        <f t="shared" si="4"/>
        <v>1005</v>
      </c>
    </row>
    <row r="243" spans="1:12" ht="15" customHeight="1" x14ac:dyDescent="0.2">
      <c r="A243" s="40">
        <v>46235</v>
      </c>
      <c r="B243" s="16" t="s">
        <v>24</v>
      </c>
      <c r="C243" s="16" t="s">
        <v>23</v>
      </c>
      <c r="D243" s="16" t="s">
        <v>13</v>
      </c>
      <c r="E243" s="17">
        <v>6</v>
      </c>
      <c r="F243" s="17">
        <f>IF($B243="","",IF($D243="kg",N($E243),IF($D243="sacos",N($E243)*97,IF($D243="jabas",N($E243)*IFERROR(VLOOKUP($C243,LISTAS!$A$2:$B$12,2,0),0),""))))</f>
        <v>108</v>
      </c>
      <c r="G243" s="41">
        <v>3042</v>
      </c>
      <c r="H243" s="41"/>
      <c r="I243" s="41"/>
      <c r="J243">
        <f t="shared" si="4"/>
        <v>108</v>
      </c>
    </row>
    <row r="244" spans="1:12" ht="15" customHeight="1" x14ac:dyDescent="0.2">
      <c r="A244" s="40">
        <v>46235</v>
      </c>
      <c r="B244" s="16" t="s">
        <v>24</v>
      </c>
      <c r="C244" s="16" t="s">
        <v>12</v>
      </c>
      <c r="D244" s="16" t="s">
        <v>13</v>
      </c>
      <c r="E244" s="17">
        <v>10</v>
      </c>
      <c r="F244" s="17">
        <f>IF($B244="","",IF($D244="kg",N($E244),IF($D244="sacos",N($E244)*97,IF($D244="jabas",N($E244)*IFERROR(VLOOKUP($C244,LISTAS!$A$2:$B$12,2,0),0),""))))</f>
        <v>170</v>
      </c>
      <c r="G244" s="41">
        <v>3042</v>
      </c>
      <c r="H244" s="41"/>
      <c r="I244" s="41"/>
      <c r="J244">
        <f t="shared" si="4"/>
        <v>170</v>
      </c>
    </row>
    <row r="245" spans="1:12" ht="15" customHeight="1" x14ac:dyDescent="0.2">
      <c r="A245" s="40">
        <v>46235</v>
      </c>
      <c r="B245" s="16" t="s">
        <v>24</v>
      </c>
      <c r="C245" s="16" t="s">
        <v>16</v>
      </c>
      <c r="D245" s="16" t="s">
        <v>13</v>
      </c>
      <c r="E245" s="17">
        <v>118</v>
      </c>
      <c r="F245" s="17">
        <f>IF($B245="","",IF($D245="kg",N($E245),IF($D245="sacos",N($E245)*97,IF($D245="jabas",N($E245)*IFERROR(VLOOKUP($C245,LISTAS!$A$2:$B$12,2,0),0),""))))</f>
        <v>2006</v>
      </c>
      <c r="G245" s="41">
        <v>3042</v>
      </c>
      <c r="H245" s="41"/>
      <c r="I245" s="41"/>
      <c r="J245">
        <f t="shared" si="4"/>
        <v>2006</v>
      </c>
      <c r="L245" s="44"/>
    </row>
    <row r="246" spans="1:12" ht="15" customHeight="1" x14ac:dyDescent="0.2">
      <c r="A246" s="24">
        <v>46235</v>
      </c>
      <c r="B246" s="25" t="s">
        <v>43</v>
      </c>
      <c r="C246" s="25" t="s">
        <v>23</v>
      </c>
      <c r="D246" s="25" t="s">
        <v>13</v>
      </c>
      <c r="E246" s="26">
        <v>1</v>
      </c>
      <c r="F246" s="26">
        <f>IF($B246="","",IF($D246="kg",N($E246),IF($D246="sacos",N($E246)*97,IF($D246="jabas",N($E246)*IFERROR(VLOOKUP($C246,LISTAS!$A$2:$B$12,2,0),0),""))))</f>
        <v>18</v>
      </c>
      <c r="G246" s="41"/>
      <c r="H246" s="41"/>
      <c r="I246" s="41"/>
    </row>
    <row r="247" spans="1:12" ht="15" customHeight="1" x14ac:dyDescent="0.2">
      <c r="A247" s="24">
        <v>46235</v>
      </c>
      <c r="B247" s="28" t="s">
        <v>44</v>
      </c>
      <c r="C247" s="28" t="s">
        <v>16</v>
      </c>
      <c r="D247" s="28" t="s">
        <v>45</v>
      </c>
      <c r="E247" s="29">
        <v>9</v>
      </c>
      <c r="F247" s="29">
        <f>IF($B247="","",IF($D247="kg",N($E247),IF($D247="sacos",N($E247)*97,IF($D247="jabas",N($E247)*IFERROR(VLOOKUP($C247,LISTAS!$A$2:$B$12,2,0),0),""))))</f>
        <v>9</v>
      </c>
      <c r="G247" s="41"/>
      <c r="H247" s="41"/>
      <c r="I247" s="41"/>
    </row>
    <row r="248" spans="1:12" ht="15" customHeight="1" x14ac:dyDescent="0.2">
      <c r="A248" s="18">
        <v>46235</v>
      </c>
      <c r="B248" s="19" t="s">
        <v>29</v>
      </c>
      <c r="C248" s="19" t="s">
        <v>17</v>
      </c>
      <c r="D248" s="19" t="s">
        <v>18</v>
      </c>
      <c r="E248" s="20">
        <v>5</v>
      </c>
      <c r="F248" s="20">
        <f>IF($B248="","",IF($D248="kg",N($E248),IF($D248="sacos",N($E248)*97,IF($D248="jabas",N($E248)*IFERROR(VLOOKUP($C248,LISTAS!$A$2:$B$12,2,0),0),""))))</f>
        <v>485</v>
      </c>
      <c r="G248" s="19" t="s">
        <v>71</v>
      </c>
      <c r="H248" s="19"/>
      <c r="I248" s="41" t="s">
        <v>72</v>
      </c>
      <c r="L248" s="44"/>
    </row>
    <row r="249" spans="1:12" ht="15" customHeight="1" x14ac:dyDescent="0.2">
      <c r="A249" s="18">
        <v>46236</v>
      </c>
      <c r="B249" s="19" t="s">
        <v>29</v>
      </c>
      <c r="C249" s="19" t="s">
        <v>17</v>
      </c>
      <c r="D249" s="19" t="s">
        <v>18</v>
      </c>
      <c r="E249" s="20">
        <v>5</v>
      </c>
      <c r="F249" s="20">
        <f>IF($B249="","",IF($D249="kg",N($E249),IF($D249="sacos",N($E249)*97,IF($D249="jabas",N($E249)*IFERROR(VLOOKUP($C249,LISTAS!$A$2:$B$12,2,0),0),""))))</f>
        <v>485</v>
      </c>
      <c r="G249" s="19" t="s">
        <v>73</v>
      </c>
      <c r="H249" s="19"/>
      <c r="I249" s="41"/>
    </row>
    <row r="250" spans="1:12" ht="15" customHeight="1" x14ac:dyDescent="0.2">
      <c r="A250" s="40">
        <v>46236</v>
      </c>
      <c r="B250" s="41" t="s">
        <v>19</v>
      </c>
      <c r="C250" s="41"/>
      <c r="D250" s="41" t="s">
        <v>18</v>
      </c>
      <c r="E250" s="42">
        <v>59</v>
      </c>
      <c r="F250" s="42">
        <v>5965.82</v>
      </c>
      <c r="G250" s="41"/>
      <c r="H250" s="41"/>
      <c r="I250" s="41" t="s">
        <v>74</v>
      </c>
      <c r="J250">
        <f t="shared" ref="J250:J259" si="5">N($F250)</f>
        <v>5965.82</v>
      </c>
      <c r="L250" s="44"/>
    </row>
    <row r="251" spans="1:12" ht="15" customHeight="1" x14ac:dyDescent="0.2">
      <c r="A251" s="40">
        <v>46236</v>
      </c>
      <c r="B251" s="13" t="s">
        <v>11</v>
      </c>
      <c r="C251" s="13" t="s">
        <v>22</v>
      </c>
      <c r="D251" s="13" t="s">
        <v>13</v>
      </c>
      <c r="E251" s="14">
        <v>98</v>
      </c>
      <c r="F251" s="14">
        <f>IF($B251="","",IF($D251="kg",N($E251),IF($D251="sacos",N($E251)*97,IF($D251="jabas",N($E251)*IFERROR(VLOOKUP($C251,LISTAS!$A$2:$B$12,2,0),0),""))))</f>
        <v>1470</v>
      </c>
      <c r="G251" s="41"/>
      <c r="H251" s="41"/>
      <c r="I251" s="41"/>
      <c r="J251">
        <f t="shared" si="5"/>
        <v>1470</v>
      </c>
    </row>
    <row r="252" spans="1:12" ht="15" customHeight="1" x14ac:dyDescent="0.2">
      <c r="A252" s="40">
        <v>46236</v>
      </c>
      <c r="B252" s="13" t="s">
        <v>11</v>
      </c>
      <c r="C252" s="13" t="s">
        <v>23</v>
      </c>
      <c r="D252" s="13" t="s">
        <v>13</v>
      </c>
      <c r="E252" s="14">
        <v>14</v>
      </c>
      <c r="F252" s="14">
        <f>IF($B252="","",IF($D252="kg",N($E252),IF($D252="sacos",N($E252)*97,IF($D252="jabas",N($E252)*IFERROR(VLOOKUP($C252,LISTAS!$A$2:$B$12,2,0),0),""))))</f>
        <v>252</v>
      </c>
      <c r="G252" s="41"/>
      <c r="H252" s="41"/>
      <c r="I252" s="41"/>
      <c r="J252">
        <f t="shared" si="5"/>
        <v>252</v>
      </c>
    </row>
    <row r="253" spans="1:12" ht="15" customHeight="1" x14ac:dyDescent="0.2">
      <c r="A253" s="40">
        <v>46236</v>
      </c>
      <c r="B253" s="13" t="s">
        <v>11</v>
      </c>
      <c r="C253" s="13" t="s">
        <v>12</v>
      </c>
      <c r="D253" s="13" t="s">
        <v>13</v>
      </c>
      <c r="E253" s="14">
        <v>23</v>
      </c>
      <c r="F253" s="14">
        <f>IF($B253="","",IF($D253="kg",N($E253),IF($D253="sacos",N($E253)*97,IF($D253="jabas",N($E253)*IFERROR(VLOOKUP($C253,LISTAS!$A$2:$B$12,2,0),0),""))))</f>
        <v>391</v>
      </c>
      <c r="G253" s="41"/>
      <c r="H253" s="41"/>
      <c r="I253" s="41"/>
      <c r="J253">
        <f t="shared" si="5"/>
        <v>391</v>
      </c>
    </row>
    <row r="254" spans="1:12" ht="15" customHeight="1" x14ac:dyDescent="0.2">
      <c r="A254" s="40">
        <v>46236</v>
      </c>
      <c r="B254" s="13" t="s">
        <v>11</v>
      </c>
      <c r="C254" s="13" t="s">
        <v>16</v>
      </c>
      <c r="D254" s="13" t="s">
        <v>13</v>
      </c>
      <c r="E254" s="14">
        <v>152</v>
      </c>
      <c r="F254" s="14">
        <f>IF($B254="","",IF($D254="kg",N($E254),IF($D254="sacos",N($E254)*97,IF($D254="jabas",N($E254)*IFERROR(VLOOKUP($C254,LISTAS!$A$2:$B$12,2,0),0),""))))</f>
        <v>2584</v>
      </c>
      <c r="G254" s="41"/>
      <c r="H254" s="41"/>
      <c r="I254" s="41"/>
      <c r="J254">
        <f t="shared" si="5"/>
        <v>2584</v>
      </c>
    </row>
    <row r="255" spans="1:12" ht="15" customHeight="1" x14ac:dyDescent="0.2">
      <c r="A255" s="40">
        <v>46236</v>
      </c>
      <c r="B255" s="13" t="s">
        <v>11</v>
      </c>
      <c r="C255" s="13" t="s">
        <v>17</v>
      </c>
      <c r="D255" s="13" t="s">
        <v>18</v>
      </c>
      <c r="E255" s="14">
        <v>10.5</v>
      </c>
      <c r="F255" s="14">
        <f>IF($B255="","",IF($D255="kg",N($E255),IF($D255="sacos",N($E255)*97,IF($D255="jabas",N($E255)*IFERROR(VLOOKUP($C255,LISTAS!$A$2:$B$12,2,0),0),""))))</f>
        <v>1018.5</v>
      </c>
      <c r="G255" s="41"/>
      <c r="H255" s="41"/>
      <c r="I255" s="41"/>
      <c r="J255">
        <f t="shared" si="5"/>
        <v>1018.5</v>
      </c>
    </row>
    <row r="256" spans="1:12" ht="15" customHeight="1" x14ac:dyDescent="0.2">
      <c r="A256" s="40">
        <v>46236</v>
      </c>
      <c r="B256" s="16" t="s">
        <v>24</v>
      </c>
      <c r="C256" s="16" t="s">
        <v>22</v>
      </c>
      <c r="D256" s="16" t="s">
        <v>13</v>
      </c>
      <c r="E256" s="17">
        <v>67</v>
      </c>
      <c r="F256" s="17">
        <f>IF($B256="","",IF($D256="kg",N($E256),IF($D256="sacos",N($E256)*97,IF($D256="jabas",N($E256)*IFERROR(VLOOKUP($C256,LISTAS!$A$2:$B$12,2,0),0),""))))</f>
        <v>1005</v>
      </c>
      <c r="G256" s="41">
        <v>3040</v>
      </c>
      <c r="H256" s="41"/>
      <c r="I256" s="41"/>
      <c r="J256">
        <f t="shared" si="5"/>
        <v>1005</v>
      </c>
    </row>
    <row r="257" spans="1:10" ht="15" customHeight="1" x14ac:dyDescent="0.2">
      <c r="A257" s="40">
        <v>46236</v>
      </c>
      <c r="B257" s="16" t="s">
        <v>24</v>
      </c>
      <c r="C257" s="16" t="s">
        <v>23</v>
      </c>
      <c r="D257" s="16" t="s">
        <v>13</v>
      </c>
      <c r="E257" s="17">
        <v>11</v>
      </c>
      <c r="F257" s="17">
        <f>IF($B257="","",IF($D257="kg",N($E257),IF($D257="sacos",N($E257)*97,IF($D257="jabas",N($E257)*IFERROR(VLOOKUP($C257,LISTAS!$A$2:$B$12,2,0),0),""))))</f>
        <v>198</v>
      </c>
      <c r="G257" s="41">
        <v>3040</v>
      </c>
      <c r="H257" s="41"/>
      <c r="I257" s="41"/>
      <c r="J257">
        <f t="shared" si="5"/>
        <v>198</v>
      </c>
    </row>
    <row r="258" spans="1:10" ht="15" customHeight="1" x14ac:dyDescent="0.2">
      <c r="A258" s="40">
        <v>46236</v>
      </c>
      <c r="B258" s="16" t="s">
        <v>24</v>
      </c>
      <c r="C258" s="16" t="s">
        <v>12</v>
      </c>
      <c r="D258" s="16" t="s">
        <v>13</v>
      </c>
      <c r="E258" s="17">
        <v>12</v>
      </c>
      <c r="F258" s="17">
        <f>IF($B258="","",IF($D258="kg",N($E258),IF($D258="sacos",N($E258)*97,IF($D258="jabas",N($E258)*IFERROR(VLOOKUP($C258,LISTAS!$A$2:$B$12,2,0),0),""))))</f>
        <v>204</v>
      </c>
      <c r="G258" s="41">
        <v>3040</v>
      </c>
      <c r="H258" s="41"/>
      <c r="I258" s="41"/>
      <c r="J258">
        <f t="shared" si="5"/>
        <v>204</v>
      </c>
    </row>
    <row r="259" spans="1:10" ht="15" customHeight="1" x14ac:dyDescent="0.2">
      <c r="A259" s="45">
        <v>46236</v>
      </c>
      <c r="B259" s="46" t="s">
        <v>24</v>
      </c>
      <c r="C259" s="46" t="s">
        <v>16</v>
      </c>
      <c r="D259" s="46" t="s">
        <v>13</v>
      </c>
      <c r="E259" s="47">
        <v>32</v>
      </c>
      <c r="F259" s="47">
        <f>IF($B259="","",IF($D259="kg",N($E259),IF($D259="sacos",N($E259)*97,IF($D259="jabas",N($E259)*IFERROR(VLOOKUP($C259,LISTAS!$A$2:$B$12,2,0),0),""))))</f>
        <v>544</v>
      </c>
      <c r="G259" s="41">
        <v>3040</v>
      </c>
      <c r="H259" s="48"/>
      <c r="I259" s="48"/>
      <c r="J259">
        <f t="shared" si="5"/>
        <v>544</v>
      </c>
    </row>
    <row r="260" spans="1:10" ht="15" customHeight="1" x14ac:dyDescent="0.2">
      <c r="A260" s="45">
        <v>46236</v>
      </c>
      <c r="B260" s="46" t="s">
        <v>43</v>
      </c>
      <c r="C260" s="46" t="s">
        <v>16</v>
      </c>
      <c r="D260" s="46" t="s">
        <v>13</v>
      </c>
      <c r="E260" s="47">
        <v>1</v>
      </c>
      <c r="F260" s="47"/>
      <c r="G260" s="48"/>
      <c r="H260" s="48"/>
      <c r="I260" s="48"/>
    </row>
    <row r="261" spans="1:10" ht="15" customHeight="1" x14ac:dyDescent="0.2">
      <c r="A261" s="45">
        <v>46236</v>
      </c>
      <c r="B261" s="46" t="s">
        <v>43</v>
      </c>
      <c r="C261" s="46" t="s">
        <v>23</v>
      </c>
      <c r="D261" s="46" t="s">
        <v>13</v>
      </c>
      <c r="E261" s="47">
        <v>1</v>
      </c>
      <c r="F261" s="47"/>
      <c r="G261" s="48"/>
      <c r="H261" s="48"/>
      <c r="I261" s="48"/>
    </row>
    <row r="262" spans="1:10" ht="15" customHeight="1" x14ac:dyDescent="0.2">
      <c r="A262" s="18">
        <v>46236</v>
      </c>
      <c r="B262" s="19" t="s">
        <v>29</v>
      </c>
      <c r="C262" s="19" t="s">
        <v>17</v>
      </c>
      <c r="D262" s="19" t="s">
        <v>18</v>
      </c>
      <c r="E262" s="20">
        <v>12</v>
      </c>
      <c r="F262" s="20">
        <f>IF($B262="","",IF($D262="kg",N($E262),IF($D262="sacos",N($E262)*97,IF($D262="jabas",N($E262)*IFERROR(VLOOKUP($C262,LISTAS!$A$2:$B$12,2,0),0),""))))</f>
        <v>1164</v>
      </c>
      <c r="G262" s="19" t="s">
        <v>75</v>
      </c>
      <c r="H262" s="49"/>
      <c r="I262" s="48" t="s">
        <v>76</v>
      </c>
    </row>
    <row r="263" spans="1:10" ht="15" customHeight="1" x14ac:dyDescent="0.2">
      <c r="A263" s="50">
        <v>46237</v>
      </c>
      <c r="B263" s="51" t="s">
        <v>24</v>
      </c>
      <c r="C263" s="51" t="s">
        <v>22</v>
      </c>
      <c r="D263" s="51" t="s">
        <v>13</v>
      </c>
      <c r="E263" s="52">
        <v>67</v>
      </c>
      <c r="F263" s="52">
        <f>IF($B263="","",IF($D263="kg",N($E263),IF($D263="sacos",N($E263)*97,IF($D263="jabas",N($E263)*IFERROR(VLOOKUP($C263,LISTAS!$A$2:$B$12,2,0),0),""))))</f>
        <v>1005</v>
      </c>
      <c r="G263" s="53">
        <v>3046</v>
      </c>
      <c r="H263" s="53"/>
      <c r="I263" s="53"/>
      <c r="J263">
        <f t="shared" ref="J263:J291" si="6">N($F263)</f>
        <v>1005</v>
      </c>
    </row>
    <row r="264" spans="1:10" ht="15" customHeight="1" x14ac:dyDescent="0.2">
      <c r="A264" s="40">
        <v>46237</v>
      </c>
      <c r="B264" s="16" t="s">
        <v>24</v>
      </c>
      <c r="C264" s="16" t="s">
        <v>23</v>
      </c>
      <c r="D264" s="16" t="s">
        <v>13</v>
      </c>
      <c r="E264" s="17">
        <v>11</v>
      </c>
      <c r="F264" s="17">
        <f>IF($B264="","",IF($D264="kg",N($E264),IF($D264="sacos",N($E264)*97,IF($D264="jabas",N($E264)*IFERROR(VLOOKUP($C264,LISTAS!$A$2:$B$12,2,0),0),""))))</f>
        <v>198</v>
      </c>
      <c r="G264" s="53">
        <v>3046</v>
      </c>
      <c r="H264" s="41"/>
      <c r="I264" s="41"/>
      <c r="J264">
        <f t="shared" si="6"/>
        <v>198</v>
      </c>
    </row>
    <row r="265" spans="1:10" ht="15" customHeight="1" x14ac:dyDescent="0.2">
      <c r="A265" s="40">
        <v>46237</v>
      </c>
      <c r="B265" s="16" t="s">
        <v>24</v>
      </c>
      <c r="C265" s="16" t="s">
        <v>12</v>
      </c>
      <c r="D265" s="16" t="s">
        <v>13</v>
      </c>
      <c r="E265" s="17">
        <v>12</v>
      </c>
      <c r="F265" s="17">
        <f>IF($B265="","",IF($D265="kg",N($E265),IF($D265="sacos",N($E265)*97,IF($D265="jabas",N($E265)*IFERROR(VLOOKUP($C265,LISTAS!$A$2:$B$12,2,0),0),""))))</f>
        <v>204</v>
      </c>
      <c r="G265" s="53">
        <v>3046</v>
      </c>
      <c r="H265" s="41"/>
      <c r="I265" s="41"/>
      <c r="J265">
        <f t="shared" si="6"/>
        <v>204</v>
      </c>
    </row>
    <row r="266" spans="1:10" ht="15" customHeight="1" x14ac:dyDescent="0.2">
      <c r="A266" s="40">
        <v>46237</v>
      </c>
      <c r="B266" s="16" t="s">
        <v>24</v>
      </c>
      <c r="C266" s="16" t="s">
        <v>16</v>
      </c>
      <c r="D266" s="16" t="s">
        <v>13</v>
      </c>
      <c r="E266" s="17">
        <v>118</v>
      </c>
      <c r="F266" s="17">
        <f>IF($B266="","",IF($D266="kg",N($E266),IF($D266="sacos",N($E266)*97,IF($D266="jabas",N($E266)*IFERROR(VLOOKUP($C266,LISTAS!$A$2:$B$12,2,0),0),""))))</f>
        <v>2006</v>
      </c>
      <c r="G266" s="53">
        <v>3046</v>
      </c>
      <c r="H266" s="41"/>
      <c r="I266" s="41"/>
      <c r="J266">
        <f t="shared" si="6"/>
        <v>2006</v>
      </c>
    </row>
    <row r="267" spans="1:10" ht="15" customHeight="1" x14ac:dyDescent="0.2">
      <c r="A267" s="40">
        <v>46237</v>
      </c>
      <c r="B267" s="41" t="s">
        <v>50</v>
      </c>
      <c r="C267" s="41" t="s">
        <v>22</v>
      </c>
      <c r="D267" s="41" t="s">
        <v>13</v>
      </c>
      <c r="E267" s="42">
        <v>20</v>
      </c>
      <c r="F267" s="42">
        <f>IF($B267="","",IF($D267="kg",N($E267),IF($D267="sacos",N($E267)*97,IF($D267="jabas",N($E267)*IFERROR(VLOOKUP($C267,LISTAS!$A$2:$B$12,2,0),0),""))))</f>
        <v>300</v>
      </c>
      <c r="G267" s="41"/>
      <c r="H267" s="41"/>
      <c r="I267" s="41" t="s">
        <v>77</v>
      </c>
      <c r="J267">
        <f t="shared" si="6"/>
        <v>300</v>
      </c>
    </row>
    <row r="268" spans="1:10" ht="15" customHeight="1" x14ac:dyDescent="0.2">
      <c r="A268" s="40">
        <v>46238</v>
      </c>
      <c r="B268" s="41" t="s">
        <v>19</v>
      </c>
      <c r="C268" s="41"/>
      <c r="D268" s="41" t="s">
        <v>18</v>
      </c>
      <c r="E268" s="42">
        <v>34</v>
      </c>
      <c r="F268" s="42">
        <v>3450</v>
      </c>
      <c r="G268" s="41"/>
      <c r="H268" s="41"/>
      <c r="I268" s="41" t="s">
        <v>78</v>
      </c>
      <c r="J268">
        <f t="shared" si="6"/>
        <v>3450</v>
      </c>
    </row>
    <row r="269" spans="1:10" ht="15" customHeight="1" x14ac:dyDescent="0.2">
      <c r="A269" s="40">
        <v>46238</v>
      </c>
      <c r="B269" s="13" t="s">
        <v>11</v>
      </c>
      <c r="C269" s="13" t="s">
        <v>22</v>
      </c>
      <c r="D269" s="13" t="s">
        <v>13</v>
      </c>
      <c r="E269" s="14">
        <v>37</v>
      </c>
      <c r="F269" s="14">
        <f>IF($B269="","",IF($D269="kg",N($E269),IF($D269="sacos",N($E269)*97,IF($D269="jabas",N($E269)*IFERROR(VLOOKUP($C269,LISTAS!$A$2:$B$12,2,0),0),""))))</f>
        <v>555</v>
      </c>
      <c r="G269" s="41"/>
      <c r="H269" s="41"/>
      <c r="I269" s="41"/>
      <c r="J269">
        <f t="shared" si="6"/>
        <v>555</v>
      </c>
    </row>
    <row r="270" spans="1:10" ht="15" customHeight="1" x14ac:dyDescent="0.2">
      <c r="A270" s="40">
        <v>46238</v>
      </c>
      <c r="B270" s="13" t="s">
        <v>11</v>
      </c>
      <c r="C270" s="13" t="s">
        <v>23</v>
      </c>
      <c r="D270" s="13" t="s">
        <v>13</v>
      </c>
      <c r="E270" s="14">
        <v>11</v>
      </c>
      <c r="F270" s="14">
        <f>IF($B270="","",IF($D270="kg",N($E270),IF($D270="sacos",N($E270)*97,IF($D270="jabas",N($E270)*IFERROR(VLOOKUP($C270,LISTAS!$A$2:$B$12,2,0),0),""))))</f>
        <v>198</v>
      </c>
      <c r="G270" s="41"/>
      <c r="H270" s="41"/>
      <c r="I270" s="41"/>
      <c r="J270">
        <f t="shared" si="6"/>
        <v>198</v>
      </c>
    </row>
    <row r="271" spans="1:10" ht="15" customHeight="1" x14ac:dyDescent="0.2">
      <c r="A271" s="40">
        <v>46238</v>
      </c>
      <c r="B271" s="13" t="s">
        <v>11</v>
      </c>
      <c r="C271" s="13" t="s">
        <v>12</v>
      </c>
      <c r="D271" s="13" t="s">
        <v>13</v>
      </c>
      <c r="E271" s="14">
        <v>12</v>
      </c>
      <c r="F271" s="14">
        <f>IF($B271="","",IF($D271="kg",N($E271),IF($D271="sacos",N($E271)*97,IF($D271="jabas",N($E271)*IFERROR(VLOOKUP($C271,LISTAS!$A$2:$B$12,2,0),0),""))))</f>
        <v>204</v>
      </c>
      <c r="G271" s="41"/>
      <c r="H271" s="41"/>
      <c r="I271" s="41"/>
      <c r="J271">
        <f t="shared" si="6"/>
        <v>204</v>
      </c>
    </row>
    <row r="272" spans="1:10" ht="15" customHeight="1" x14ac:dyDescent="0.2">
      <c r="A272" s="40">
        <v>46238</v>
      </c>
      <c r="B272" s="13" t="s">
        <v>11</v>
      </c>
      <c r="C272" s="13" t="s">
        <v>16</v>
      </c>
      <c r="D272" s="13" t="s">
        <v>13</v>
      </c>
      <c r="E272" s="14">
        <v>78</v>
      </c>
      <c r="F272" s="14">
        <f>IF($B272="","",IF($D272="kg",N($E272),IF($D272="sacos",N($E272)*97,IF($D272="jabas",N($E272)*IFERROR(VLOOKUP($C272,LISTAS!$A$2:$B$12,2,0),0),""))))</f>
        <v>1326</v>
      </c>
      <c r="G272" s="41"/>
      <c r="H272" s="41"/>
      <c r="I272" s="41"/>
      <c r="J272">
        <f t="shared" si="6"/>
        <v>1326</v>
      </c>
    </row>
    <row r="273" spans="1:10" ht="15" customHeight="1" x14ac:dyDescent="0.2">
      <c r="A273" s="40">
        <v>46238</v>
      </c>
      <c r="B273" s="13" t="s">
        <v>11</v>
      </c>
      <c r="C273" s="13" t="s">
        <v>17</v>
      </c>
      <c r="D273" s="13" t="s">
        <v>18</v>
      </c>
      <c r="E273" s="14">
        <v>12</v>
      </c>
      <c r="F273" s="14">
        <f>IF($B273="","",IF($D273="kg",N($E273),IF($D273="sacos",N($E273)*97,IF($D273="jabas",N($E273)*IFERROR(VLOOKUP($C273,LISTAS!$A$2:$B$12,2,0),0),""))))</f>
        <v>1164</v>
      </c>
      <c r="G273" s="41"/>
      <c r="H273" s="41"/>
      <c r="I273" s="41"/>
      <c r="J273">
        <f t="shared" si="6"/>
        <v>1164</v>
      </c>
    </row>
    <row r="274" spans="1:10" ht="15" customHeight="1" x14ac:dyDescent="0.2">
      <c r="A274" s="40">
        <v>46238</v>
      </c>
      <c r="B274" s="16" t="s">
        <v>24</v>
      </c>
      <c r="C274" s="16" t="s">
        <v>22</v>
      </c>
      <c r="D274" s="16" t="s">
        <v>13</v>
      </c>
      <c r="E274" s="17">
        <v>67</v>
      </c>
      <c r="F274" s="17">
        <f>IF($B274="","",IF($D274="kg",N($E274),IF($D274="sacos",N($E274)*97,IF($D274="jabas",N($E274)*IFERROR(VLOOKUP($C274,LISTAS!$A$2:$B$12,2,0),0),""))))</f>
        <v>1005</v>
      </c>
      <c r="G274" s="41">
        <v>3051</v>
      </c>
      <c r="H274" s="41"/>
      <c r="I274" s="41"/>
      <c r="J274">
        <f t="shared" si="6"/>
        <v>1005</v>
      </c>
    </row>
    <row r="275" spans="1:10" ht="15" customHeight="1" x14ac:dyDescent="0.2">
      <c r="A275" s="40">
        <v>46238</v>
      </c>
      <c r="B275" s="16" t="s">
        <v>24</v>
      </c>
      <c r="C275" s="16" t="s">
        <v>23</v>
      </c>
      <c r="D275" s="16" t="s">
        <v>13</v>
      </c>
      <c r="E275" s="17">
        <v>11</v>
      </c>
      <c r="F275" s="17">
        <f>IF($B275="","",IF($D275="kg",N($E275),IF($D275="sacos",N($E275)*97,IF($D275="jabas",N($E275)*IFERROR(VLOOKUP($C275,LISTAS!$A$2:$B$12,2,0),0),""))))</f>
        <v>198</v>
      </c>
      <c r="G275" s="41">
        <v>3051</v>
      </c>
      <c r="H275" s="41"/>
      <c r="I275" s="41"/>
      <c r="J275">
        <f t="shared" si="6"/>
        <v>198</v>
      </c>
    </row>
    <row r="276" spans="1:10" ht="15" customHeight="1" x14ac:dyDescent="0.2">
      <c r="A276" s="40">
        <v>46238</v>
      </c>
      <c r="B276" s="16" t="s">
        <v>24</v>
      </c>
      <c r="C276" s="16" t="s">
        <v>12</v>
      </c>
      <c r="D276" s="16" t="s">
        <v>13</v>
      </c>
      <c r="E276" s="17">
        <v>12</v>
      </c>
      <c r="F276" s="17">
        <f>IF($B276="","",IF($D276="kg",N($E276),IF($D276="sacos",N($E276)*97,IF($D276="jabas",N($E276)*IFERROR(VLOOKUP($C276,LISTAS!$A$2:$B$12,2,0),0),""))))</f>
        <v>204</v>
      </c>
      <c r="G276" s="41">
        <v>3051</v>
      </c>
      <c r="H276" s="41"/>
      <c r="I276" s="41"/>
      <c r="J276">
        <f t="shared" si="6"/>
        <v>204</v>
      </c>
    </row>
    <row r="277" spans="1:10" ht="15" customHeight="1" x14ac:dyDescent="0.2">
      <c r="A277" s="40">
        <v>46238</v>
      </c>
      <c r="B277" s="46" t="s">
        <v>24</v>
      </c>
      <c r="C277" s="46" t="s">
        <v>16</v>
      </c>
      <c r="D277" s="46" t="s">
        <v>13</v>
      </c>
      <c r="E277" s="47">
        <v>118</v>
      </c>
      <c r="F277" s="47">
        <f>IF($B277="","",IF($D277="kg",N($E277),IF($D277="sacos",N($E277)*97,IF($D277="jabas",N($E277)*IFERROR(VLOOKUP($C277,LISTAS!$A$2:$B$12,2,0),0),""))))</f>
        <v>2006</v>
      </c>
      <c r="G277" s="41">
        <v>3051</v>
      </c>
      <c r="H277" s="41"/>
      <c r="I277" s="41"/>
      <c r="J277">
        <f t="shared" si="6"/>
        <v>2006</v>
      </c>
    </row>
    <row r="278" spans="1:10" ht="15" customHeight="1" x14ac:dyDescent="0.2">
      <c r="A278" s="40">
        <v>46239</v>
      </c>
      <c r="B278" s="46" t="s">
        <v>19</v>
      </c>
      <c r="C278" s="46"/>
      <c r="D278" s="46" t="s">
        <v>18</v>
      </c>
      <c r="E278" s="47">
        <f>100-48</f>
        <v>52</v>
      </c>
      <c r="F278" s="47">
        <f>IF($B278="","",IF($D278="kg",N($E278),IF($D278="sacos",N($E278)*97,IF($D278="jabas",N($E278)*IFERROR(VLOOKUP($C278,LISTAS!$A$2:$B$12,2,0),0),""))))</f>
        <v>5044</v>
      </c>
      <c r="G278" s="41"/>
      <c r="H278" s="41"/>
      <c r="I278" s="41" t="s">
        <v>79</v>
      </c>
      <c r="J278">
        <f t="shared" si="6"/>
        <v>5044</v>
      </c>
    </row>
    <row r="279" spans="1:10" ht="15" customHeight="1" x14ac:dyDescent="0.2">
      <c r="A279" s="40">
        <v>46239</v>
      </c>
      <c r="B279" s="13" t="s">
        <v>11</v>
      </c>
      <c r="C279" s="13" t="s">
        <v>22</v>
      </c>
      <c r="D279" s="13" t="s">
        <v>13</v>
      </c>
      <c r="E279" s="14">
        <v>96</v>
      </c>
      <c r="F279" s="14">
        <f>IF($B279="","",IF($D279="kg",N($E279),IF($D279="sacos",N($E279)*97,IF($D279="jabas",N($E279)*IFERROR(VLOOKUP($C279,LISTAS!$A$2:$B$12,2,0),0),""))))</f>
        <v>1440</v>
      </c>
      <c r="G279" s="41"/>
      <c r="H279" s="41"/>
      <c r="I279" s="41"/>
      <c r="J279">
        <f t="shared" si="6"/>
        <v>1440</v>
      </c>
    </row>
    <row r="280" spans="1:10" ht="15" customHeight="1" x14ac:dyDescent="0.2">
      <c r="A280" s="40">
        <v>46239</v>
      </c>
      <c r="B280" s="13" t="s">
        <v>11</v>
      </c>
      <c r="C280" s="13" t="s">
        <v>23</v>
      </c>
      <c r="D280" s="13" t="s">
        <v>13</v>
      </c>
      <c r="E280" s="14">
        <v>22</v>
      </c>
      <c r="F280" s="14">
        <f>IF($B280="","",IF($D280="kg",N($E280),IF($D280="sacos",N($E280)*97,IF($D280="jabas",N($E280)*IFERROR(VLOOKUP($C280,LISTAS!$A$2:$B$12,2,0),0),""))))</f>
        <v>396</v>
      </c>
      <c r="G280" s="41"/>
      <c r="H280" s="41"/>
      <c r="I280" s="41"/>
      <c r="J280">
        <f t="shared" si="6"/>
        <v>396</v>
      </c>
    </row>
    <row r="281" spans="1:10" ht="15" customHeight="1" x14ac:dyDescent="0.2">
      <c r="A281" s="40">
        <v>46239</v>
      </c>
      <c r="B281" s="13" t="s">
        <v>11</v>
      </c>
      <c r="C281" s="13" t="s">
        <v>12</v>
      </c>
      <c r="D281" s="13" t="s">
        <v>13</v>
      </c>
      <c r="E281" s="14">
        <v>23</v>
      </c>
      <c r="F281" s="14">
        <f>IF($B281="","",IF($D281="kg",N($E281),IF($D281="sacos",N($E281)*97,IF($D281="jabas",N($E281)*IFERROR(VLOOKUP($C281,LISTAS!$A$2:$B$12,2,0),0),""))))</f>
        <v>391</v>
      </c>
      <c r="G281" s="41"/>
      <c r="H281" s="41"/>
      <c r="I281" s="41"/>
      <c r="J281">
        <f t="shared" si="6"/>
        <v>391</v>
      </c>
    </row>
    <row r="282" spans="1:10" ht="15" customHeight="1" x14ac:dyDescent="0.2">
      <c r="A282" s="40">
        <v>46239</v>
      </c>
      <c r="B282" s="13" t="s">
        <v>11</v>
      </c>
      <c r="C282" s="13" t="s">
        <v>16</v>
      </c>
      <c r="D282" s="13" t="s">
        <v>13</v>
      </c>
      <c r="E282" s="14">
        <v>153</v>
      </c>
      <c r="F282" s="14">
        <f>IF($B282="","",IF($D282="kg",N($E282),IF($D282="sacos",N($E282)*97,IF($D282="jabas",N($E282)*IFERROR(VLOOKUP($C282,LISTAS!$A$2:$B$12,2,0),0),""))))</f>
        <v>2601</v>
      </c>
      <c r="G282" s="41"/>
      <c r="H282" s="41"/>
      <c r="I282" s="41"/>
      <c r="J282">
        <f t="shared" si="6"/>
        <v>2601</v>
      </c>
    </row>
    <row r="283" spans="1:10" ht="15" customHeight="1" x14ac:dyDescent="0.2">
      <c r="A283" s="40">
        <v>46239</v>
      </c>
      <c r="B283" s="13" t="s">
        <v>11</v>
      </c>
      <c r="C283" s="13" t="s">
        <v>17</v>
      </c>
      <c r="D283" s="13" t="s">
        <v>18</v>
      </c>
      <c r="E283" s="14">
        <v>5.5</v>
      </c>
      <c r="F283" s="14">
        <f>IF($B283="","",IF($D283="kg",N($E283),IF($D283="sacos",N($E283)*97,IF($D283="jabas",N($E283)*IFERROR(VLOOKUP($C283,LISTAS!$A$2:$B$12,2,0),0),""))))</f>
        <v>533.5</v>
      </c>
      <c r="G283" s="41"/>
      <c r="H283" s="41"/>
      <c r="I283" s="41"/>
      <c r="J283">
        <f t="shared" si="6"/>
        <v>533.5</v>
      </c>
    </row>
    <row r="284" spans="1:10" ht="15" customHeight="1" x14ac:dyDescent="0.2">
      <c r="A284" s="40">
        <v>46239</v>
      </c>
      <c r="B284" s="16" t="s">
        <v>24</v>
      </c>
      <c r="C284" s="16" t="s">
        <v>22</v>
      </c>
      <c r="D284" s="16" t="s">
        <v>13</v>
      </c>
      <c r="E284" s="17">
        <v>67</v>
      </c>
      <c r="F284" s="17">
        <f>IF($B284="","",IF($D284="kg",N($E284),IF($D284="sacos",N($E284)*97,IF($D284="jabas",N($E284)*IFERROR(VLOOKUP($C284,LISTAS!$A$2:$B$12,2,0),0),""))))</f>
        <v>1005</v>
      </c>
      <c r="G284" s="41">
        <v>3054</v>
      </c>
      <c r="H284" s="41"/>
      <c r="I284" s="41"/>
      <c r="J284">
        <f t="shared" si="6"/>
        <v>1005</v>
      </c>
    </row>
    <row r="285" spans="1:10" ht="15" customHeight="1" x14ac:dyDescent="0.2">
      <c r="A285" s="40">
        <v>46239</v>
      </c>
      <c r="B285" s="16" t="s">
        <v>24</v>
      </c>
      <c r="C285" s="16" t="s">
        <v>23</v>
      </c>
      <c r="D285" s="16" t="s">
        <v>13</v>
      </c>
      <c r="E285" s="17">
        <v>11</v>
      </c>
      <c r="F285" s="17">
        <f>IF($B285="","",IF($D285="kg",N($E285),IF($D285="sacos",N($E285)*97,IF($D285="jabas",N($E285)*IFERROR(VLOOKUP($C285,LISTAS!$A$2:$B$12,2,0),0),""))))</f>
        <v>198</v>
      </c>
      <c r="G285" s="41">
        <v>3054</v>
      </c>
      <c r="H285" s="41"/>
      <c r="I285" s="41"/>
      <c r="J285">
        <f t="shared" si="6"/>
        <v>198</v>
      </c>
    </row>
    <row r="286" spans="1:10" ht="15" customHeight="1" x14ac:dyDescent="0.2">
      <c r="A286" s="40">
        <v>46239</v>
      </c>
      <c r="B286" s="16" t="s">
        <v>24</v>
      </c>
      <c r="C286" s="16" t="s">
        <v>12</v>
      </c>
      <c r="D286" s="16" t="s">
        <v>13</v>
      </c>
      <c r="E286" s="17">
        <v>11</v>
      </c>
      <c r="F286" s="17">
        <f>IF($B286="","",IF($D286="kg",N($E286),IF($D286="sacos",N($E286)*97,IF($D286="jabas",N($E286)*IFERROR(VLOOKUP($C286,LISTAS!$A$2:$B$12,2,0),0),""))))</f>
        <v>187</v>
      </c>
      <c r="G286" s="41">
        <v>3054</v>
      </c>
      <c r="H286" s="41"/>
      <c r="I286" s="41"/>
      <c r="J286">
        <f t="shared" si="6"/>
        <v>187</v>
      </c>
    </row>
    <row r="287" spans="1:10" ht="15" customHeight="1" x14ac:dyDescent="0.2">
      <c r="A287" s="40">
        <v>46239</v>
      </c>
      <c r="B287" s="46" t="s">
        <v>24</v>
      </c>
      <c r="C287" s="46" t="s">
        <v>16</v>
      </c>
      <c r="D287" s="46" t="s">
        <v>13</v>
      </c>
      <c r="E287" s="47">
        <v>104</v>
      </c>
      <c r="F287" s="47">
        <f>IF($B287="","",IF($D287="kg",N($E287),IF($D287="sacos",N($E287)*97,IF($D287="jabas",N($E287)*IFERROR(VLOOKUP($C287,LISTAS!$A$2:$B$12,2,0),0),""))))</f>
        <v>1768</v>
      </c>
      <c r="G287" s="41">
        <v>3054</v>
      </c>
      <c r="H287" s="41"/>
      <c r="I287" s="41"/>
      <c r="J287">
        <f t="shared" si="6"/>
        <v>1768</v>
      </c>
    </row>
    <row r="288" spans="1:10" ht="15" customHeight="1" x14ac:dyDescent="0.2">
      <c r="A288" s="40">
        <v>46239</v>
      </c>
      <c r="B288" s="19" t="s">
        <v>29</v>
      </c>
      <c r="C288" s="19" t="s">
        <v>17</v>
      </c>
      <c r="D288" s="19" t="s">
        <v>18</v>
      </c>
      <c r="E288" s="42">
        <v>2</v>
      </c>
      <c r="F288" s="42">
        <f>IF($B288="","",IF($D288="kg",N($E288),IF($D288="sacos",N($E288)*97,IF($D288="jabas",N($E288)*IFERROR(VLOOKUP($C288,LISTAS!$A$2:$B$12,2,0),0),""))))</f>
        <v>194</v>
      </c>
      <c r="G288" s="41" t="s">
        <v>80</v>
      </c>
      <c r="H288" s="41"/>
      <c r="I288" s="41"/>
      <c r="J288">
        <f t="shared" si="6"/>
        <v>194</v>
      </c>
    </row>
    <row r="289" spans="1:10" ht="15" customHeight="1" x14ac:dyDescent="0.2">
      <c r="A289" s="40">
        <v>46239</v>
      </c>
      <c r="B289" s="19" t="s">
        <v>29</v>
      </c>
      <c r="C289" s="19" t="s">
        <v>17</v>
      </c>
      <c r="D289" s="19" t="s">
        <v>18</v>
      </c>
      <c r="E289" s="42">
        <v>2</v>
      </c>
      <c r="F289" s="42">
        <f>IF($B289="","",IF($D289="kg",N($E289),IF($D289="sacos",N($E289)*97,IF($D289="jabas",N($E289)*IFERROR(VLOOKUP($C289,LISTAS!$A$2:$B$12,2,0),0),""))))</f>
        <v>194</v>
      </c>
      <c r="G289" s="41" t="s">
        <v>81</v>
      </c>
      <c r="H289" s="41"/>
      <c r="I289" s="41"/>
      <c r="J289">
        <f t="shared" si="6"/>
        <v>194</v>
      </c>
    </row>
    <row r="290" spans="1:10" ht="15" customHeight="1" x14ac:dyDescent="0.2">
      <c r="A290" s="40">
        <v>46239</v>
      </c>
      <c r="B290" s="19" t="s">
        <v>29</v>
      </c>
      <c r="C290" s="19" t="s">
        <v>17</v>
      </c>
      <c r="D290" s="19" t="s">
        <v>18</v>
      </c>
      <c r="E290" s="42">
        <v>15</v>
      </c>
      <c r="F290" s="54">
        <f>IF($B290="","",IF($D290="kg",N($E290),IF($D290="sacos",N($E290)*97,IF($D290="jabas",N($E290)*IFERROR(VLOOKUP($C290,LISTAS!$A$2:$B$12,2,0),0),""))))</f>
        <v>1455</v>
      </c>
      <c r="G290" s="41" t="s">
        <v>82</v>
      </c>
      <c r="H290" s="41"/>
      <c r="I290" s="41" t="s">
        <v>83</v>
      </c>
      <c r="J290">
        <f t="shared" si="6"/>
        <v>1455</v>
      </c>
    </row>
    <row r="291" spans="1:10" ht="15" customHeight="1" x14ac:dyDescent="0.2">
      <c r="A291" s="40">
        <v>46239</v>
      </c>
      <c r="B291" s="19" t="s">
        <v>29</v>
      </c>
      <c r="C291" s="19" t="s">
        <v>17</v>
      </c>
      <c r="D291" s="19" t="s">
        <v>18</v>
      </c>
      <c r="E291" s="42">
        <v>1</v>
      </c>
      <c r="F291" s="54">
        <f>IF($B291="","",IF($D291="kg",N($E291),IF($D291="sacos",N($E291)*97,IF($D291="jabas",N($E291)*IFERROR(VLOOKUP($C291,LISTAS!$A$2:$B$12,2,0),0),""))))</f>
        <v>97</v>
      </c>
      <c r="G291" s="41" t="s">
        <v>49</v>
      </c>
      <c r="H291" s="41"/>
      <c r="I291" s="41" t="s">
        <v>49</v>
      </c>
      <c r="J291">
        <f t="shared" si="6"/>
        <v>97</v>
      </c>
    </row>
    <row r="292" spans="1:10" ht="15" customHeight="1" x14ac:dyDescent="0.2">
      <c r="A292" s="45">
        <v>46239</v>
      </c>
      <c r="B292" s="46" t="s">
        <v>43</v>
      </c>
      <c r="C292" s="46" t="s">
        <v>22</v>
      </c>
      <c r="D292" s="46" t="s">
        <v>13</v>
      </c>
      <c r="E292" s="47">
        <v>1</v>
      </c>
      <c r="F292" s="47"/>
      <c r="G292" s="48"/>
      <c r="H292" s="48"/>
      <c r="I292" s="41"/>
    </row>
    <row r="293" spans="1:10" ht="15" customHeight="1" x14ac:dyDescent="0.2">
      <c r="A293" s="45">
        <v>46239</v>
      </c>
      <c r="B293" s="46" t="s">
        <v>44</v>
      </c>
      <c r="C293" s="46" t="s">
        <v>22</v>
      </c>
      <c r="D293" s="46" t="s">
        <v>45</v>
      </c>
      <c r="E293" s="47">
        <v>5</v>
      </c>
      <c r="F293" s="47">
        <v>5</v>
      </c>
      <c r="G293" s="48"/>
      <c r="H293" s="48"/>
      <c r="I293" s="41"/>
    </row>
    <row r="294" spans="1:10" ht="15" customHeight="1" x14ac:dyDescent="0.2">
      <c r="A294" s="40">
        <v>46240</v>
      </c>
      <c r="B294" s="46" t="s">
        <v>19</v>
      </c>
      <c r="C294" s="46"/>
      <c r="D294" s="46" t="s">
        <v>18</v>
      </c>
      <c r="E294" s="47">
        <f>100-52</f>
        <v>48</v>
      </c>
      <c r="F294" s="47">
        <f>IF($B294="","",IF($D294="kg",N($E294),IF($D294="sacos",N($E294)*97,IF($D294="jabas",N($E294)*IFERROR(VLOOKUP($C294,LISTAS!$A$2:$B$12,2,0),0),""))))</f>
        <v>4656</v>
      </c>
      <c r="G294" s="41"/>
      <c r="H294" s="41"/>
      <c r="I294" s="41" t="s">
        <v>84</v>
      </c>
      <c r="J294">
        <f t="shared" ref="J294:J313" si="7">N($F294)</f>
        <v>4656</v>
      </c>
    </row>
    <row r="295" spans="1:10" ht="15" customHeight="1" x14ac:dyDescent="0.2">
      <c r="A295" s="40">
        <v>46240</v>
      </c>
      <c r="B295" s="13" t="s">
        <v>11</v>
      </c>
      <c r="C295" s="13" t="s">
        <v>22</v>
      </c>
      <c r="D295" s="13" t="s">
        <v>13</v>
      </c>
      <c r="E295" s="14">
        <v>79</v>
      </c>
      <c r="F295" s="14">
        <f>IF($B295="","",IF($D295="kg",N($E295),IF($D295="sacos",N($E295)*97,IF($D295="jabas",N($E295)*IFERROR(VLOOKUP($C295,LISTAS!$A$2:$B$12,2,0),0),""))))</f>
        <v>1185</v>
      </c>
      <c r="G295" s="41"/>
      <c r="H295" s="41"/>
      <c r="I295" s="41"/>
      <c r="J295">
        <f t="shared" si="7"/>
        <v>1185</v>
      </c>
    </row>
    <row r="296" spans="1:10" ht="15" customHeight="1" x14ac:dyDescent="0.2">
      <c r="A296" s="40">
        <v>46240</v>
      </c>
      <c r="B296" s="13" t="s">
        <v>11</v>
      </c>
      <c r="C296" s="13" t="s">
        <v>23</v>
      </c>
      <c r="D296" s="13" t="s">
        <v>13</v>
      </c>
      <c r="E296" s="14">
        <v>11</v>
      </c>
      <c r="F296" s="14">
        <f>IF($B296="","",IF($D296="kg",N($E296),IF($D296="sacos",N($E296)*97,IF($D296="jabas",N($E296)*IFERROR(VLOOKUP($C296,LISTAS!$A$2:$B$12,2,0),0),""))))</f>
        <v>198</v>
      </c>
      <c r="G296" s="41"/>
      <c r="H296" s="41"/>
      <c r="I296" s="41"/>
      <c r="J296">
        <f t="shared" si="7"/>
        <v>198</v>
      </c>
    </row>
    <row r="297" spans="1:10" ht="15" customHeight="1" x14ac:dyDescent="0.2">
      <c r="A297" s="40">
        <v>46240</v>
      </c>
      <c r="B297" s="13" t="s">
        <v>11</v>
      </c>
      <c r="C297" s="13" t="s">
        <v>12</v>
      </c>
      <c r="D297" s="13" t="s">
        <v>13</v>
      </c>
      <c r="E297" s="14">
        <v>12</v>
      </c>
      <c r="F297" s="14">
        <f>IF($B297="","",IF($D297="kg",N($E297),IF($D297="sacos",N($E297)*97,IF($D297="jabas",N($E297)*IFERROR(VLOOKUP($C297,LISTAS!$A$2:$B$12,2,0),0),""))))</f>
        <v>204</v>
      </c>
      <c r="G297" s="41"/>
      <c r="H297" s="41"/>
      <c r="I297" s="41"/>
      <c r="J297">
        <f t="shared" si="7"/>
        <v>204</v>
      </c>
    </row>
    <row r="298" spans="1:10" ht="15" customHeight="1" x14ac:dyDescent="0.2">
      <c r="A298" s="40">
        <v>46240</v>
      </c>
      <c r="B298" s="13" t="s">
        <v>11</v>
      </c>
      <c r="C298" s="13" t="s">
        <v>16</v>
      </c>
      <c r="D298" s="13" t="s">
        <v>13</v>
      </c>
      <c r="E298" s="14">
        <v>147</v>
      </c>
      <c r="F298" s="14">
        <f>IF($B298="","",IF($D298="kg",N($E298),IF($D298="sacos",N($E298)*97,IF($D298="jabas",N($E298)*IFERROR(VLOOKUP($C298,LISTAS!$A$2:$B$12,2,0),0),""))))</f>
        <v>2499</v>
      </c>
      <c r="G298" s="41"/>
      <c r="H298" s="41"/>
      <c r="I298" s="41"/>
      <c r="J298">
        <f t="shared" si="7"/>
        <v>2499</v>
      </c>
    </row>
    <row r="299" spans="1:10" ht="15" customHeight="1" x14ac:dyDescent="0.2">
      <c r="A299" s="40">
        <v>46240</v>
      </c>
      <c r="B299" s="13" t="s">
        <v>11</v>
      </c>
      <c r="C299" s="13" t="s">
        <v>17</v>
      </c>
      <c r="D299" s="13" t="s">
        <v>18</v>
      </c>
      <c r="E299" s="14">
        <v>6.5</v>
      </c>
      <c r="F299" s="14">
        <f>IF($B299="","",IF($D299="kg",N($E299),IF($D299="sacos",N($E299)*97,IF($D299="jabas",N($E299)*IFERROR(VLOOKUP($C299,LISTAS!$A$2:$B$12,2,0),0),""))))</f>
        <v>630.5</v>
      </c>
      <c r="G299" s="41"/>
      <c r="H299" s="41"/>
      <c r="I299" s="41"/>
      <c r="J299">
        <f t="shared" si="7"/>
        <v>630.5</v>
      </c>
    </row>
    <row r="300" spans="1:10" ht="15" customHeight="1" x14ac:dyDescent="0.2">
      <c r="A300" s="40">
        <v>46240</v>
      </c>
      <c r="B300" s="16" t="s">
        <v>24</v>
      </c>
      <c r="C300" s="16" t="s">
        <v>22</v>
      </c>
      <c r="D300" s="16" t="s">
        <v>13</v>
      </c>
      <c r="E300" s="17">
        <v>67</v>
      </c>
      <c r="F300" s="17">
        <f>IF($B300="","",IF($D300="kg",N($E300),IF($D300="sacos",N($E300)*97,IF($D300="jabas",N($E300)*IFERROR(VLOOKUP($C300,LISTAS!$A$2:$B$12,2,0),0),""))))</f>
        <v>1005</v>
      </c>
      <c r="G300" s="41">
        <v>3058</v>
      </c>
      <c r="H300" s="41"/>
      <c r="I300" s="41"/>
      <c r="J300">
        <f t="shared" si="7"/>
        <v>1005</v>
      </c>
    </row>
    <row r="301" spans="1:10" ht="15" customHeight="1" x14ac:dyDescent="0.2">
      <c r="A301" s="40">
        <v>46240</v>
      </c>
      <c r="B301" s="16" t="s">
        <v>24</v>
      </c>
      <c r="C301" s="16" t="s">
        <v>23</v>
      </c>
      <c r="D301" s="16" t="s">
        <v>13</v>
      </c>
      <c r="E301" s="17">
        <v>11</v>
      </c>
      <c r="F301" s="17">
        <f>IF($B301="","",IF($D301="kg",N($E301),IF($D301="sacos",N($E301)*97,IF($D301="jabas",N($E301)*IFERROR(VLOOKUP($C301,LISTAS!$A$2:$B$12,2,0),0),""))))</f>
        <v>198</v>
      </c>
      <c r="G301" s="41">
        <v>3058</v>
      </c>
      <c r="H301" s="41"/>
      <c r="I301" s="41"/>
      <c r="J301">
        <f t="shared" si="7"/>
        <v>198</v>
      </c>
    </row>
    <row r="302" spans="1:10" ht="15" customHeight="1" x14ac:dyDescent="0.2">
      <c r="A302" s="40">
        <v>46240</v>
      </c>
      <c r="B302" s="16" t="s">
        <v>24</v>
      </c>
      <c r="C302" s="16" t="s">
        <v>12</v>
      </c>
      <c r="D302" s="16" t="s">
        <v>13</v>
      </c>
      <c r="E302" s="17">
        <v>12</v>
      </c>
      <c r="F302" s="17">
        <f>IF($B302="","",IF($D302="kg",N($E302),IF($D302="sacos",N($E302)*97,IF($D302="jabas",N($E302)*IFERROR(VLOOKUP($C302,LISTAS!$A$2:$B$12,2,0),0),""))))</f>
        <v>204</v>
      </c>
      <c r="G302" s="41">
        <v>3058</v>
      </c>
      <c r="H302" s="41"/>
      <c r="I302" s="41"/>
      <c r="J302">
        <f t="shared" si="7"/>
        <v>204</v>
      </c>
    </row>
    <row r="303" spans="1:10" ht="15" customHeight="1" x14ac:dyDescent="0.2">
      <c r="A303" s="40">
        <v>46240</v>
      </c>
      <c r="B303" s="46" t="s">
        <v>24</v>
      </c>
      <c r="C303" s="46" t="s">
        <v>16</v>
      </c>
      <c r="D303" s="46" t="s">
        <v>13</v>
      </c>
      <c r="E303" s="47">
        <v>118</v>
      </c>
      <c r="F303" s="47">
        <f>IF($B303="","",IF($D303="kg",N($E303),IF($D303="sacos",N($E303)*97,IF($D303="jabas",N($E303)*IFERROR(VLOOKUP($C303,LISTAS!$A$2:$B$12,2,0),0),""))))</f>
        <v>2006</v>
      </c>
      <c r="G303" s="41">
        <v>3058</v>
      </c>
      <c r="H303" s="41"/>
      <c r="I303" s="41"/>
      <c r="J303">
        <f t="shared" si="7"/>
        <v>2006</v>
      </c>
    </row>
    <row r="304" spans="1:10" ht="15" customHeight="1" x14ac:dyDescent="0.2">
      <c r="A304" s="40">
        <v>46240</v>
      </c>
      <c r="B304" s="19" t="s">
        <v>29</v>
      </c>
      <c r="C304" s="19" t="s">
        <v>17</v>
      </c>
      <c r="D304" s="19" t="s">
        <v>18</v>
      </c>
      <c r="E304" s="42">
        <v>17</v>
      </c>
      <c r="F304" s="54">
        <f>IF($B304="","",IF($D304="kg",N($E304),IF($D304="sacos",N($E304)*97,IF($D304="jabas",N($E304)*IFERROR(VLOOKUP($C304,LISTAS!$A$2:$B$12,2,0),0),""))))</f>
        <v>1649</v>
      </c>
      <c r="G304" s="41" t="s">
        <v>85</v>
      </c>
      <c r="H304" s="41"/>
      <c r="I304" s="41"/>
      <c r="J304">
        <f t="shared" si="7"/>
        <v>1649</v>
      </c>
    </row>
    <row r="305" spans="1:10" ht="15" customHeight="1" x14ac:dyDescent="0.2">
      <c r="A305" s="40">
        <v>46241</v>
      </c>
      <c r="B305" s="19" t="s">
        <v>29</v>
      </c>
      <c r="C305" s="19" t="s">
        <v>17</v>
      </c>
      <c r="D305" s="19" t="s">
        <v>18</v>
      </c>
      <c r="E305" s="42">
        <v>6</v>
      </c>
      <c r="F305" s="54">
        <f>IF($B305="","",IF($D305="kg",N($E305),IF($D305="sacos",N($E305)*97,IF($D305="jabas",N($E305)*IFERROR(VLOOKUP($C305,LISTAS!$A$2:$B$12,2,0),0),""))))</f>
        <v>582</v>
      </c>
      <c r="G305" s="41" t="s">
        <v>82</v>
      </c>
      <c r="H305" s="41"/>
      <c r="I305" s="41" t="s">
        <v>86</v>
      </c>
      <c r="J305">
        <f t="shared" si="7"/>
        <v>582</v>
      </c>
    </row>
    <row r="306" spans="1:10" ht="15" customHeight="1" x14ac:dyDescent="0.2">
      <c r="A306" s="40">
        <v>46241</v>
      </c>
      <c r="B306" s="46" t="s">
        <v>19</v>
      </c>
      <c r="C306" s="46"/>
      <c r="D306" s="46" t="s">
        <v>18</v>
      </c>
      <c r="E306" s="47">
        <v>12</v>
      </c>
      <c r="F306" s="47">
        <f>IF($B306="","",IF($D306="kg",N($E306),IF($D306="sacos",N($E306)*97,IF($D306="jabas",N($E306)*IFERROR(VLOOKUP($C306,LISTAS!$A$2:$B$12,2,0),0),""))))</f>
        <v>1164</v>
      </c>
      <c r="G306" s="41"/>
      <c r="H306" s="41"/>
      <c r="I306" s="55" t="s">
        <v>87</v>
      </c>
      <c r="J306">
        <f t="shared" si="7"/>
        <v>1164</v>
      </c>
    </row>
    <row r="307" spans="1:10" ht="15" customHeight="1" x14ac:dyDescent="0.2">
      <c r="A307" s="40">
        <v>46241</v>
      </c>
      <c r="B307" s="13" t="s">
        <v>11</v>
      </c>
      <c r="C307" s="13" t="s">
        <v>22</v>
      </c>
      <c r="D307" s="13" t="s">
        <v>13</v>
      </c>
      <c r="E307" s="14">
        <v>17</v>
      </c>
      <c r="F307" s="14">
        <f>IF($B307="","",IF($D307="kg",N($E307),IF($D307="sacos",N($E307)*97,IF($D307="jabas",N($E307)*IFERROR(VLOOKUP($C307,LISTAS!$A$2:$B$12,2,0),0),""))))</f>
        <v>255</v>
      </c>
      <c r="G307" s="41"/>
      <c r="H307" s="41"/>
      <c r="I307" s="55"/>
      <c r="J307">
        <f t="shared" si="7"/>
        <v>255</v>
      </c>
    </row>
    <row r="308" spans="1:10" ht="15" customHeight="1" x14ac:dyDescent="0.2">
      <c r="A308" s="40">
        <v>46241</v>
      </c>
      <c r="B308" s="13" t="s">
        <v>11</v>
      </c>
      <c r="C308" s="13" t="s">
        <v>16</v>
      </c>
      <c r="D308" s="13" t="s">
        <v>13</v>
      </c>
      <c r="E308" s="14">
        <v>37</v>
      </c>
      <c r="F308" s="14">
        <f>IF($B308="","",IF($D308="kg",N($E308),IF($D308="sacos",N($E308)*97,IF($D308="jabas",N($E308)*IFERROR(VLOOKUP($C308,LISTAS!$A$2:$B$12,2,0),0),""))))</f>
        <v>629</v>
      </c>
      <c r="G308" s="41"/>
      <c r="H308" s="41"/>
      <c r="I308" s="41"/>
      <c r="J308">
        <f t="shared" si="7"/>
        <v>629</v>
      </c>
    </row>
    <row r="309" spans="1:10" ht="15" customHeight="1" x14ac:dyDescent="0.2">
      <c r="A309" s="40">
        <v>46241</v>
      </c>
      <c r="B309" s="13" t="s">
        <v>11</v>
      </c>
      <c r="C309" s="13" t="s">
        <v>17</v>
      </c>
      <c r="D309" s="13" t="s">
        <v>18</v>
      </c>
      <c r="E309" s="14">
        <v>4</v>
      </c>
      <c r="F309" s="14">
        <f>IF($B309="","",IF($D309="kg",N($E309),IF($D309="sacos",N($E309)*97,IF($D309="jabas",N($E309)*IFERROR(VLOOKUP($C309,LISTAS!$A$2:$B$12,2,0),0),""))))</f>
        <v>388</v>
      </c>
      <c r="G309" s="41"/>
      <c r="H309" s="41"/>
      <c r="I309" s="41"/>
      <c r="J309">
        <f t="shared" si="7"/>
        <v>388</v>
      </c>
    </row>
    <row r="310" spans="1:10" ht="15" customHeight="1" x14ac:dyDescent="0.2">
      <c r="A310" s="40">
        <v>46241</v>
      </c>
      <c r="B310" s="16" t="s">
        <v>24</v>
      </c>
      <c r="C310" s="16" t="s">
        <v>22</v>
      </c>
      <c r="D310" s="16" t="s">
        <v>13</v>
      </c>
      <c r="E310" s="17">
        <v>67</v>
      </c>
      <c r="F310" s="17">
        <f>IF($B310="","",IF($D310="kg",N($E310),IF($D310="sacos",N($E310)*97,IF($D310="jabas",N($E310)*IFERROR(VLOOKUP($C310,LISTAS!$A$2:$B$12,2,0),0),""))))</f>
        <v>1005</v>
      </c>
      <c r="G310" s="41">
        <v>3060</v>
      </c>
      <c r="H310" s="41"/>
      <c r="I310" s="41"/>
      <c r="J310">
        <f t="shared" si="7"/>
        <v>1005</v>
      </c>
    </row>
    <row r="311" spans="1:10" ht="15" customHeight="1" x14ac:dyDescent="0.2">
      <c r="A311" s="40">
        <v>46241</v>
      </c>
      <c r="B311" s="16" t="s">
        <v>24</v>
      </c>
      <c r="C311" s="16" t="s">
        <v>23</v>
      </c>
      <c r="D311" s="16" t="s">
        <v>13</v>
      </c>
      <c r="E311" s="17">
        <v>11</v>
      </c>
      <c r="F311" s="17">
        <f>IF($B311="","",IF($D311="kg",N($E311),IF($D311="sacos",N($E311)*97,IF($D311="jabas",N($E311)*IFERROR(VLOOKUP($C311,LISTAS!$A$2:$B$12,2,0),0),""))))</f>
        <v>198</v>
      </c>
      <c r="G311" s="41">
        <v>3060</v>
      </c>
      <c r="H311" s="41"/>
      <c r="I311" s="41"/>
      <c r="J311">
        <f t="shared" si="7"/>
        <v>198</v>
      </c>
    </row>
    <row r="312" spans="1:10" ht="15" customHeight="1" x14ac:dyDescent="0.2">
      <c r="A312" s="40">
        <v>46241</v>
      </c>
      <c r="B312" s="16" t="s">
        <v>24</v>
      </c>
      <c r="C312" s="16" t="s">
        <v>12</v>
      </c>
      <c r="D312" s="16" t="s">
        <v>13</v>
      </c>
      <c r="E312" s="17">
        <v>12</v>
      </c>
      <c r="F312" s="17">
        <f>IF($B312="","",IF($D312="kg",N($E312),IF($D312="sacos",N($E312)*97,IF($D312="jabas",N($E312)*IFERROR(VLOOKUP($C312,LISTAS!$A$2:$B$12,2,0),0),""))))</f>
        <v>204</v>
      </c>
      <c r="G312" s="41">
        <v>3060</v>
      </c>
      <c r="H312" s="41"/>
      <c r="I312" s="41"/>
      <c r="J312">
        <f t="shared" si="7"/>
        <v>204</v>
      </c>
    </row>
    <row r="313" spans="1:10" ht="15" customHeight="1" x14ac:dyDescent="0.2">
      <c r="A313" s="40">
        <v>46241</v>
      </c>
      <c r="B313" s="46" t="s">
        <v>24</v>
      </c>
      <c r="C313" s="46" t="s">
        <v>16</v>
      </c>
      <c r="D313" s="46" t="s">
        <v>13</v>
      </c>
      <c r="E313" s="47">
        <v>118</v>
      </c>
      <c r="F313" s="47">
        <f>IF($B313="","",IF($D313="kg",N($E313),IF($D313="sacos",N($E313)*97,IF($D313="jabas",N($E313)*IFERROR(VLOOKUP($C313,LISTAS!$A$2:$B$12,2,0),0),""))))</f>
        <v>2006</v>
      </c>
      <c r="G313" s="41">
        <v>3060</v>
      </c>
      <c r="H313" s="41"/>
      <c r="I313" s="41"/>
      <c r="J313">
        <f t="shared" si="7"/>
        <v>2006</v>
      </c>
    </row>
    <row r="314" spans="1:10" ht="15" customHeight="1" x14ac:dyDescent="0.2">
      <c r="A314" s="45">
        <v>46241</v>
      </c>
      <c r="B314" s="46" t="s">
        <v>43</v>
      </c>
      <c r="C314" s="46" t="s">
        <v>22</v>
      </c>
      <c r="D314" s="46" t="s">
        <v>13</v>
      </c>
      <c r="E314" s="47">
        <v>2</v>
      </c>
      <c r="F314" s="47">
        <v>15</v>
      </c>
      <c r="G314" s="41"/>
      <c r="H314" s="41"/>
      <c r="I314" s="41"/>
    </row>
    <row r="315" spans="1:10" ht="15" customHeight="1" x14ac:dyDescent="0.2">
      <c r="A315" s="45">
        <v>46241</v>
      </c>
      <c r="B315" s="46" t="s">
        <v>44</v>
      </c>
      <c r="C315" s="46" t="s">
        <v>22</v>
      </c>
      <c r="D315" s="46" t="s">
        <v>45</v>
      </c>
      <c r="E315" s="47">
        <v>15</v>
      </c>
      <c r="F315" s="47">
        <v>15</v>
      </c>
      <c r="G315" s="41"/>
      <c r="H315" s="41"/>
      <c r="I315" s="41"/>
    </row>
    <row r="316" spans="1:10" ht="15" customHeight="1" x14ac:dyDescent="0.2">
      <c r="A316" s="45">
        <v>46241</v>
      </c>
      <c r="B316" s="46" t="s">
        <v>43</v>
      </c>
      <c r="C316" s="46" t="s">
        <v>16</v>
      </c>
      <c r="D316" s="46" t="s">
        <v>13</v>
      </c>
      <c r="E316" s="47">
        <v>1</v>
      </c>
      <c r="F316" s="47">
        <v>18</v>
      </c>
      <c r="G316" s="41"/>
      <c r="H316" s="41"/>
      <c r="I316" s="41"/>
    </row>
    <row r="317" spans="1:10" ht="15" customHeight="1" x14ac:dyDescent="0.2">
      <c r="A317" s="45">
        <v>46241</v>
      </c>
      <c r="B317" s="46" t="s">
        <v>44</v>
      </c>
      <c r="C317" s="46" t="s">
        <v>16</v>
      </c>
      <c r="D317" s="46" t="s">
        <v>45</v>
      </c>
      <c r="E317" s="47">
        <v>6</v>
      </c>
      <c r="F317" s="47">
        <v>6</v>
      </c>
      <c r="G317" s="41"/>
      <c r="H317" s="41"/>
      <c r="I317" s="41"/>
    </row>
    <row r="318" spans="1:10" ht="15" customHeight="1" x14ac:dyDescent="0.2">
      <c r="A318" s="40">
        <v>46242</v>
      </c>
      <c r="B318" s="19" t="s">
        <v>29</v>
      </c>
      <c r="C318" s="19" t="s">
        <v>17</v>
      </c>
      <c r="D318" s="19" t="s">
        <v>18</v>
      </c>
      <c r="E318" s="42">
        <v>4</v>
      </c>
      <c r="F318" s="54">
        <f>IF($B318="","",IF($D318="kg",N($E318),IF($D318="sacos",N($E318)*97,IF($D318="jabas",N($E318)*IFERROR(VLOOKUP($C318,LISTAS!$A$2:$B$12,2,0),0),""))))</f>
        <v>388</v>
      </c>
      <c r="G318" s="41" t="s">
        <v>88</v>
      </c>
      <c r="H318" s="41"/>
      <c r="I318" s="41"/>
    </row>
    <row r="319" spans="1:10" ht="15" customHeight="1" x14ac:dyDescent="0.2">
      <c r="A319" s="40">
        <v>46242</v>
      </c>
      <c r="B319" s="46" t="s">
        <v>19</v>
      </c>
      <c r="C319" s="46"/>
      <c r="D319" s="46" t="s">
        <v>18</v>
      </c>
      <c r="E319" s="47">
        <v>38</v>
      </c>
      <c r="F319" s="47">
        <f>IF($B319="","",IF($D319="kg",N($E319),IF($D319="sacos",N($E319)*97,IF($D319="jabas",N($E319)*IFERROR(VLOOKUP($C319,LISTAS!$A$2:$B$12,2,0),0),""))))</f>
        <v>3686</v>
      </c>
      <c r="G319" s="41"/>
      <c r="H319" s="41"/>
      <c r="I319" s="41" t="s">
        <v>89</v>
      </c>
      <c r="J319">
        <f t="shared" ref="J319:J351" si="8">N($F319)</f>
        <v>3686</v>
      </c>
    </row>
    <row r="320" spans="1:10" ht="15" customHeight="1" x14ac:dyDescent="0.2">
      <c r="A320" s="40">
        <v>46242</v>
      </c>
      <c r="B320" s="13" t="s">
        <v>11</v>
      </c>
      <c r="C320" s="13" t="s">
        <v>22</v>
      </c>
      <c r="D320" s="13" t="s">
        <v>13</v>
      </c>
      <c r="E320" s="14">
        <v>55</v>
      </c>
      <c r="F320" s="14">
        <f>IF($B320="","",IF($D320="kg",N($E320),IF($D320="sacos",N($E320)*97,IF($D320="jabas",N($E320)*IFERROR(VLOOKUP($C320,LISTAS!$A$2:$B$12,2,0),0),""))))</f>
        <v>825</v>
      </c>
      <c r="G320" s="41"/>
      <c r="H320" s="41"/>
      <c r="I320" s="41"/>
      <c r="J320">
        <f t="shared" si="8"/>
        <v>825</v>
      </c>
    </row>
    <row r="321" spans="1:10" ht="15" customHeight="1" x14ac:dyDescent="0.2">
      <c r="A321" s="40">
        <v>46242</v>
      </c>
      <c r="B321" s="13" t="s">
        <v>11</v>
      </c>
      <c r="C321" s="13" t="s">
        <v>23</v>
      </c>
      <c r="D321" s="13" t="s">
        <v>13</v>
      </c>
      <c r="E321" s="14">
        <v>4</v>
      </c>
      <c r="F321" s="14">
        <f>IF($B321="","",IF($D321="kg",N($E321),IF($D321="sacos",N($E321)*97,IF($D321="jabas",N($E321)*IFERROR(VLOOKUP($C321,LISTAS!$A$2:$B$12,2,0),0),""))))</f>
        <v>72</v>
      </c>
      <c r="G321" s="41"/>
      <c r="H321" s="41"/>
      <c r="I321" s="41"/>
      <c r="J321">
        <f t="shared" si="8"/>
        <v>72</v>
      </c>
    </row>
    <row r="322" spans="1:10" ht="15" customHeight="1" x14ac:dyDescent="0.2">
      <c r="A322" s="40">
        <v>46242</v>
      </c>
      <c r="B322" s="13" t="s">
        <v>11</v>
      </c>
      <c r="C322" s="13" t="s">
        <v>12</v>
      </c>
      <c r="D322" s="13" t="s">
        <v>13</v>
      </c>
      <c r="E322" s="14">
        <v>8</v>
      </c>
      <c r="F322" s="14">
        <f>IF($B322="","",IF($D322="kg",N($E322),IF($D322="sacos",N($E322)*97,IF($D322="jabas",N($E322)*IFERROR(VLOOKUP($C322,LISTAS!$A$2:$B$12,2,0),0),""))))</f>
        <v>136</v>
      </c>
      <c r="G322" s="41"/>
      <c r="H322" s="41"/>
      <c r="I322" s="41"/>
      <c r="J322">
        <f t="shared" si="8"/>
        <v>136</v>
      </c>
    </row>
    <row r="323" spans="1:10" ht="15" customHeight="1" x14ac:dyDescent="0.2">
      <c r="A323" s="40">
        <v>46242</v>
      </c>
      <c r="B323" s="13" t="s">
        <v>11</v>
      </c>
      <c r="C323" s="13" t="s">
        <v>16</v>
      </c>
      <c r="D323" s="13" t="s">
        <v>13</v>
      </c>
      <c r="E323" s="14">
        <v>109</v>
      </c>
      <c r="F323" s="14">
        <f>IF($B323="","",IF($D323="kg",N($E323),IF($D323="sacos",N($E323)*97,IF($D323="jabas",N($E323)*IFERROR(VLOOKUP($C323,LISTAS!$A$2:$B$12,2,0),0),""))))</f>
        <v>1853</v>
      </c>
      <c r="G323" s="41"/>
      <c r="H323" s="41"/>
      <c r="I323" s="41"/>
      <c r="J323">
        <f t="shared" si="8"/>
        <v>1853</v>
      </c>
    </row>
    <row r="324" spans="1:10" ht="15" customHeight="1" x14ac:dyDescent="0.2">
      <c r="A324" s="40">
        <v>46242</v>
      </c>
      <c r="B324" s="13" t="s">
        <v>11</v>
      </c>
      <c r="C324" s="13" t="s">
        <v>17</v>
      </c>
      <c r="D324" s="13" t="s">
        <v>18</v>
      </c>
      <c r="E324" s="14">
        <v>9.5</v>
      </c>
      <c r="F324" s="14">
        <f>IF($B324="","",IF($D324="kg",N($E324),IF($D324="sacos",N($E324)*97,IF($D324="jabas",N($E324)*IFERROR(VLOOKUP($C324,LISTAS!$A$2:$B$12,2,0),0),""))))</f>
        <v>921.5</v>
      </c>
      <c r="G324" s="41"/>
      <c r="H324" s="41"/>
      <c r="I324" s="41"/>
      <c r="J324">
        <f t="shared" si="8"/>
        <v>921.5</v>
      </c>
    </row>
    <row r="325" spans="1:10" ht="15" customHeight="1" x14ac:dyDescent="0.2">
      <c r="A325" s="40">
        <v>46242</v>
      </c>
      <c r="B325" s="16" t="s">
        <v>24</v>
      </c>
      <c r="C325" s="16" t="s">
        <v>22</v>
      </c>
      <c r="D325" s="16" t="s">
        <v>13</v>
      </c>
      <c r="E325" s="17">
        <v>67</v>
      </c>
      <c r="F325" s="17">
        <f>IF($B325="","",IF($D325="kg",N($E325),IF($D325="sacos",N($E325)*97,IF($D325="jabas",N($E325)*IFERROR(VLOOKUP($C325,LISTAS!$A$2:$B$12,2,0),0),""))))</f>
        <v>1005</v>
      </c>
      <c r="G325" s="56">
        <v>3064</v>
      </c>
      <c r="H325" s="56"/>
      <c r="I325" s="41"/>
      <c r="J325">
        <f t="shared" si="8"/>
        <v>1005</v>
      </c>
    </row>
    <row r="326" spans="1:10" ht="15" customHeight="1" x14ac:dyDescent="0.2">
      <c r="A326" s="40">
        <v>46242</v>
      </c>
      <c r="B326" s="16" t="s">
        <v>24</v>
      </c>
      <c r="C326" s="16" t="s">
        <v>23</v>
      </c>
      <c r="D326" s="16" t="s">
        <v>13</v>
      </c>
      <c r="E326" s="17">
        <v>4</v>
      </c>
      <c r="F326" s="17">
        <f>IF($B326="","",IF($D326="kg",N($E326),IF($D326="sacos",N($E326)*97,IF($D326="jabas",N($E326)*IFERROR(VLOOKUP($C326,LISTAS!$A$2:$B$12,2,0),0),""))))</f>
        <v>72</v>
      </c>
      <c r="G326" s="56">
        <v>3064</v>
      </c>
      <c r="H326" s="56"/>
      <c r="I326" s="41"/>
      <c r="J326">
        <f t="shared" si="8"/>
        <v>72</v>
      </c>
    </row>
    <row r="327" spans="1:10" ht="15" customHeight="1" x14ac:dyDescent="0.2">
      <c r="A327" s="40">
        <v>46242</v>
      </c>
      <c r="B327" s="16" t="s">
        <v>24</v>
      </c>
      <c r="C327" s="16" t="s">
        <v>12</v>
      </c>
      <c r="D327" s="16" t="s">
        <v>13</v>
      </c>
      <c r="E327" s="17">
        <v>8</v>
      </c>
      <c r="F327" s="17">
        <f>IF($B327="","",IF($D327="kg",N($E327),IF($D327="sacos",N($E327)*97,IF($D327="jabas",N($E327)*IFERROR(VLOOKUP($C327,LISTAS!$A$2:$B$12,2,0),0),""))))</f>
        <v>136</v>
      </c>
      <c r="G327" s="56">
        <v>3064</v>
      </c>
      <c r="H327" s="56"/>
      <c r="I327" s="41"/>
      <c r="J327">
        <f t="shared" si="8"/>
        <v>136</v>
      </c>
    </row>
    <row r="328" spans="1:10" ht="15" customHeight="1" x14ac:dyDescent="0.2">
      <c r="A328" s="40">
        <v>46242</v>
      </c>
      <c r="B328" s="46" t="s">
        <v>24</v>
      </c>
      <c r="C328" s="46" t="s">
        <v>16</v>
      </c>
      <c r="D328" s="46" t="s">
        <v>13</v>
      </c>
      <c r="E328" s="47">
        <v>118</v>
      </c>
      <c r="F328" s="47">
        <f>IF($B328="","",IF($D328="kg",N($E328),IF($D328="sacos",N($E328)*97,IF($D328="jabas",N($E328)*IFERROR(VLOOKUP($C328,LISTAS!$A$2:$B$12,2,0),0),""))))</f>
        <v>2006</v>
      </c>
      <c r="G328" s="56">
        <v>3064</v>
      </c>
      <c r="H328" s="56"/>
      <c r="I328" s="41"/>
      <c r="J328">
        <f t="shared" si="8"/>
        <v>2006</v>
      </c>
    </row>
    <row r="329" spans="1:10" ht="15" customHeight="1" x14ac:dyDescent="0.2">
      <c r="A329" s="40">
        <v>46242</v>
      </c>
      <c r="B329" s="41" t="s">
        <v>29</v>
      </c>
      <c r="C329" s="41" t="s">
        <v>17</v>
      </c>
      <c r="D329" s="41" t="s">
        <v>18</v>
      </c>
      <c r="E329" s="42">
        <v>0.5</v>
      </c>
      <c r="F329" s="42">
        <f>IF($B329="","",IF($D329="kg",N($E329),IF($D329="sacos",N($E329)*97,IF($D329="jabas",N($E329)*IFERROR(VLOOKUP($C329,LISTAS!$A$2:$B$12,2,0),0),""))))</f>
        <v>48.5</v>
      </c>
      <c r="G329" s="41" t="s">
        <v>90</v>
      </c>
      <c r="H329" s="41"/>
      <c r="I329" s="41" t="s">
        <v>91</v>
      </c>
      <c r="J329">
        <f t="shared" si="8"/>
        <v>48.5</v>
      </c>
    </row>
    <row r="330" spans="1:10" ht="15" customHeight="1" x14ac:dyDescent="0.2">
      <c r="A330" s="40">
        <v>46243</v>
      </c>
      <c r="B330" s="46" t="s">
        <v>19</v>
      </c>
      <c r="C330" s="46">
        <v>115</v>
      </c>
      <c r="D330" s="46" t="s">
        <v>18</v>
      </c>
      <c r="E330" s="47">
        <v>39</v>
      </c>
      <c r="F330" s="47">
        <f>IF($B330="","",IF($D330="kg",N($E330),IF($D330="sacos",N($E330)*97,IF($D330="jabas",N($E330)*IFERROR(VLOOKUP($C330,LISTAS!$A$2:$B$12,2,0),0),""))))</f>
        <v>3783</v>
      </c>
      <c r="G330" s="41"/>
      <c r="H330" s="41" t="s">
        <v>92</v>
      </c>
      <c r="I330" s="41" t="s">
        <v>93</v>
      </c>
      <c r="J330">
        <f t="shared" si="8"/>
        <v>3783</v>
      </c>
    </row>
    <row r="331" spans="1:10" ht="15" customHeight="1" x14ac:dyDescent="0.2">
      <c r="A331" s="40">
        <v>46243</v>
      </c>
      <c r="B331" s="13" t="s">
        <v>11</v>
      </c>
      <c r="C331" s="13" t="s">
        <v>22</v>
      </c>
      <c r="D331" s="13" t="s">
        <v>13</v>
      </c>
      <c r="E331" s="14">
        <v>74</v>
      </c>
      <c r="F331" s="14">
        <f>IF($B331="","",IF($D331="kg",N($E331),IF($D331="sacos",N($E331)*97,IF($D331="jabas",N($E331)*IFERROR(VLOOKUP($C331,LISTAS!$A$2:$B$12,2,0),0),""))))</f>
        <v>1110</v>
      </c>
      <c r="G331" s="41"/>
      <c r="H331" s="41"/>
      <c r="I331" s="41"/>
      <c r="J331">
        <f t="shared" si="8"/>
        <v>1110</v>
      </c>
    </row>
    <row r="332" spans="1:10" ht="15" customHeight="1" x14ac:dyDescent="0.2">
      <c r="A332" s="40">
        <v>46243</v>
      </c>
      <c r="B332" s="13" t="s">
        <v>11</v>
      </c>
      <c r="C332" s="13" t="s">
        <v>23</v>
      </c>
      <c r="D332" s="13" t="s">
        <v>13</v>
      </c>
      <c r="E332" s="14">
        <v>11</v>
      </c>
      <c r="F332" s="14">
        <f>IF($B332="","",IF($D332="kg",N($E332),IF($D332="sacos",N($E332)*97,IF($D332="jabas",N($E332)*IFERROR(VLOOKUP($C332,LISTAS!$A$2:$B$12,2,0),0),""))))</f>
        <v>198</v>
      </c>
      <c r="G332" s="41"/>
      <c r="H332" s="41"/>
      <c r="I332" s="41"/>
      <c r="J332">
        <f t="shared" si="8"/>
        <v>198</v>
      </c>
    </row>
    <row r="333" spans="1:10" ht="15" customHeight="1" x14ac:dyDescent="0.2">
      <c r="A333" s="40">
        <v>46243</v>
      </c>
      <c r="B333" s="13" t="s">
        <v>11</v>
      </c>
      <c r="C333" s="13" t="s">
        <v>12</v>
      </c>
      <c r="D333" s="13" t="s">
        <v>13</v>
      </c>
      <c r="E333" s="14">
        <v>12</v>
      </c>
      <c r="F333" s="14">
        <f>IF($B333="","",IF($D333="kg",N($E333),IF($D333="sacos",N($E333)*97,IF($D333="jabas",N($E333)*IFERROR(VLOOKUP($C333,LISTAS!$A$2:$B$12,2,0),0),""))))</f>
        <v>204</v>
      </c>
      <c r="G333" s="41"/>
      <c r="H333" s="41"/>
      <c r="I333" s="41"/>
      <c r="J333">
        <f t="shared" si="8"/>
        <v>204</v>
      </c>
    </row>
    <row r="334" spans="1:10" ht="15" customHeight="1" x14ac:dyDescent="0.2">
      <c r="A334" s="40">
        <v>46243</v>
      </c>
      <c r="B334" s="13" t="s">
        <v>11</v>
      </c>
      <c r="C334" s="13" t="s">
        <v>16</v>
      </c>
      <c r="D334" s="13" t="s">
        <v>13</v>
      </c>
      <c r="E334" s="14">
        <v>96</v>
      </c>
      <c r="F334" s="14">
        <f>IF($B334="","",IF($D334="kg",N($E334),IF($D334="sacos",N($E334)*97,IF($D334="jabas",N($E334)*IFERROR(VLOOKUP($C334,LISTAS!$A$2:$B$12,2,0),0),""))))</f>
        <v>1632</v>
      </c>
      <c r="G334" s="41"/>
      <c r="H334" s="41"/>
      <c r="I334" s="41"/>
      <c r="J334">
        <f t="shared" si="8"/>
        <v>1632</v>
      </c>
    </row>
    <row r="335" spans="1:10" ht="15" customHeight="1" x14ac:dyDescent="0.2">
      <c r="A335" s="40">
        <v>46243</v>
      </c>
      <c r="B335" s="13" t="s">
        <v>11</v>
      </c>
      <c r="C335" s="13" t="s">
        <v>17</v>
      </c>
      <c r="D335" s="13" t="s">
        <v>18</v>
      </c>
      <c r="E335" s="14">
        <v>8.5</v>
      </c>
      <c r="F335" s="14">
        <f>IF($B335="","",IF($D335="kg",N($E335),IF($D335="sacos",N($E335)*97,IF($D335="jabas",N($E335)*IFERROR(VLOOKUP($C335,LISTAS!$A$2:$B$12,2,0),0),""))))</f>
        <v>824.5</v>
      </c>
      <c r="G335" s="41"/>
      <c r="H335" s="41"/>
      <c r="I335" s="41"/>
      <c r="J335">
        <f t="shared" si="8"/>
        <v>824.5</v>
      </c>
    </row>
    <row r="336" spans="1:10" ht="15" customHeight="1" x14ac:dyDescent="0.2">
      <c r="A336" s="40">
        <v>46243</v>
      </c>
      <c r="B336" s="16" t="s">
        <v>24</v>
      </c>
      <c r="C336" s="16" t="s">
        <v>22</v>
      </c>
      <c r="D336" s="16" t="s">
        <v>13</v>
      </c>
      <c r="E336" s="17">
        <v>67</v>
      </c>
      <c r="F336" s="17">
        <f>IF($B336="","",IF($D336="kg",N($E336),IF($D336="sacos",N($E336)*97,IF($D336="jabas",N($E336)*IFERROR(VLOOKUP($C336,LISTAS!$A$2:$B$12,2,0),0),""))))</f>
        <v>1005</v>
      </c>
      <c r="G336" s="56">
        <v>3066</v>
      </c>
      <c r="H336" s="56"/>
      <c r="I336" s="41"/>
      <c r="J336">
        <f t="shared" si="8"/>
        <v>1005</v>
      </c>
    </row>
    <row r="337" spans="1:10" ht="15" customHeight="1" x14ac:dyDescent="0.2">
      <c r="A337" s="40">
        <v>46243</v>
      </c>
      <c r="B337" s="16" t="s">
        <v>24</v>
      </c>
      <c r="C337" s="16" t="s">
        <v>23</v>
      </c>
      <c r="D337" s="16" t="s">
        <v>13</v>
      </c>
      <c r="E337" s="17">
        <v>11</v>
      </c>
      <c r="F337" s="17">
        <f>IF($B337="","",IF($D337="kg",N($E337),IF($D337="sacos",N($E337)*97,IF($D337="jabas",N($E337)*IFERROR(VLOOKUP($C337,LISTAS!$A$2:$B$12,2,0),0),""))))</f>
        <v>198</v>
      </c>
      <c r="G337" s="56">
        <v>3066</v>
      </c>
      <c r="H337" s="56"/>
      <c r="I337" s="41"/>
      <c r="J337">
        <f t="shared" si="8"/>
        <v>198</v>
      </c>
    </row>
    <row r="338" spans="1:10" ht="15" customHeight="1" x14ac:dyDescent="0.2">
      <c r="A338" s="40">
        <v>46243</v>
      </c>
      <c r="B338" s="16" t="s">
        <v>24</v>
      </c>
      <c r="C338" s="16" t="s">
        <v>12</v>
      </c>
      <c r="D338" s="16" t="s">
        <v>13</v>
      </c>
      <c r="E338" s="17">
        <v>12</v>
      </c>
      <c r="F338" s="17">
        <f>IF($B338="","",IF($D338="kg",N($E338),IF($D338="sacos",N($E338)*97,IF($D338="jabas",N($E338)*IFERROR(VLOOKUP($C338,LISTAS!$A$2:$B$12,2,0),0),""))))</f>
        <v>204</v>
      </c>
      <c r="G338" s="56">
        <v>3066</v>
      </c>
      <c r="H338" s="56"/>
      <c r="I338" s="41"/>
      <c r="J338">
        <f t="shared" si="8"/>
        <v>204</v>
      </c>
    </row>
    <row r="339" spans="1:10" ht="15" customHeight="1" x14ac:dyDescent="0.2">
      <c r="A339" s="40">
        <v>46243</v>
      </c>
      <c r="B339" s="46" t="s">
        <v>24</v>
      </c>
      <c r="C339" s="46" t="s">
        <v>16</v>
      </c>
      <c r="D339" s="46" t="s">
        <v>13</v>
      </c>
      <c r="E339" s="47">
        <v>52</v>
      </c>
      <c r="F339" s="47">
        <f>IF($B339="","",IF($D339="kg",N($E339),IF($D339="sacos",N($E339)*97,IF($D339="jabas",N($E339)*IFERROR(VLOOKUP($C339,LISTAS!$A$2:$B$12,2,0),0),""))))</f>
        <v>884</v>
      </c>
      <c r="G339" s="56">
        <v>3066</v>
      </c>
      <c r="H339" s="56"/>
      <c r="I339" s="41"/>
      <c r="J339">
        <f t="shared" si="8"/>
        <v>884</v>
      </c>
    </row>
    <row r="340" spans="1:10" ht="15" customHeight="1" x14ac:dyDescent="0.2">
      <c r="A340" s="40">
        <v>46243</v>
      </c>
      <c r="B340" s="41" t="s">
        <v>29</v>
      </c>
      <c r="C340" s="41" t="s">
        <v>17</v>
      </c>
      <c r="D340" s="41" t="s">
        <v>18</v>
      </c>
      <c r="E340" s="42">
        <v>9</v>
      </c>
      <c r="F340" s="42">
        <f>IF($B340="","",IF($D340="kg",N($E340),IF($D340="sacos",N($E340)*97,IF($D340="jabas",N($E340)*IFERROR(VLOOKUP($C340,LISTAS!$A$2:$B$12,2,0),0),""))))</f>
        <v>873</v>
      </c>
      <c r="G340" s="41" t="s">
        <v>94</v>
      </c>
      <c r="H340" s="41"/>
      <c r="I340" s="41" t="s">
        <v>95</v>
      </c>
      <c r="J340">
        <f t="shared" si="8"/>
        <v>873</v>
      </c>
    </row>
    <row r="341" spans="1:10" ht="15" customHeight="1" x14ac:dyDescent="0.2">
      <c r="A341" s="40">
        <v>46244</v>
      </c>
      <c r="B341" s="46" t="s">
        <v>19</v>
      </c>
      <c r="C341" s="46">
        <v>115</v>
      </c>
      <c r="D341" s="46" t="s">
        <v>18</v>
      </c>
      <c r="E341" s="47">
        <v>62</v>
      </c>
      <c r="F341" s="47">
        <f>IF($B341="","",IF($D341="kg",N($E341),IF($D341="sacos",N($E341)*97,IF($D341="jabas",N($E341)*IFERROR(VLOOKUP($C341,LISTAS!$A$2:$B$12,2,0),0),""))))</f>
        <v>6014</v>
      </c>
      <c r="G341" s="41"/>
      <c r="H341" s="41" t="s">
        <v>92</v>
      </c>
      <c r="I341" s="41" t="s">
        <v>96</v>
      </c>
      <c r="J341">
        <f t="shared" si="8"/>
        <v>6014</v>
      </c>
    </row>
    <row r="342" spans="1:10" ht="15" customHeight="1" x14ac:dyDescent="0.2">
      <c r="A342" s="40">
        <v>46244</v>
      </c>
      <c r="B342" s="13" t="s">
        <v>11</v>
      </c>
      <c r="C342" s="13" t="s">
        <v>22</v>
      </c>
      <c r="D342" s="13" t="s">
        <v>13</v>
      </c>
      <c r="E342" s="14">
        <v>128</v>
      </c>
      <c r="F342" s="14">
        <f>IF($B342="","",IF($D342="kg",N($E342),IF($D342="sacos",N($E342)*97,IF($D342="jabas",N($E342)*IFERROR(VLOOKUP($C342,LISTAS!$A$2:$B$12,2,0),0),""))))</f>
        <v>1920</v>
      </c>
      <c r="G342" s="41"/>
      <c r="H342" s="41"/>
      <c r="I342" s="41"/>
      <c r="J342">
        <f t="shared" si="8"/>
        <v>1920</v>
      </c>
    </row>
    <row r="343" spans="1:10" ht="15" customHeight="1" x14ac:dyDescent="0.2">
      <c r="A343" s="40">
        <v>46244</v>
      </c>
      <c r="B343" s="13" t="s">
        <v>11</v>
      </c>
      <c r="C343" s="13" t="s">
        <v>23</v>
      </c>
      <c r="D343" s="13" t="s">
        <v>13</v>
      </c>
      <c r="E343" s="14">
        <v>22</v>
      </c>
      <c r="F343" s="14">
        <f>IF($B343="","",IF($D343="kg",N($E343),IF($D343="sacos",N($E343)*97,IF($D343="jabas",N($E343)*IFERROR(VLOOKUP($C343,LISTAS!$A$2:$B$12,2,0),0),""))))</f>
        <v>396</v>
      </c>
      <c r="G343" s="41"/>
      <c r="H343" s="41"/>
      <c r="I343" s="41"/>
      <c r="J343">
        <f t="shared" si="8"/>
        <v>396</v>
      </c>
    </row>
    <row r="344" spans="1:10" ht="15" customHeight="1" x14ac:dyDescent="0.2">
      <c r="A344" s="40">
        <v>46244</v>
      </c>
      <c r="B344" s="13" t="s">
        <v>11</v>
      </c>
      <c r="C344" s="13" t="s">
        <v>12</v>
      </c>
      <c r="D344" s="13" t="s">
        <v>13</v>
      </c>
      <c r="E344" s="14">
        <v>17</v>
      </c>
      <c r="F344" s="14">
        <f>IF($B344="","",IF($D344="kg",N($E344),IF($D344="sacos",N($E344)*97,IF($D344="jabas",N($E344)*IFERROR(VLOOKUP($C344,LISTAS!$A$2:$B$12,2,0),0),""))))</f>
        <v>289</v>
      </c>
      <c r="G344" s="41"/>
      <c r="H344" s="41"/>
      <c r="I344" s="41"/>
      <c r="J344">
        <f t="shared" si="8"/>
        <v>289</v>
      </c>
    </row>
    <row r="345" spans="1:10" ht="15" customHeight="1" x14ac:dyDescent="0.2">
      <c r="A345" s="40">
        <v>46244</v>
      </c>
      <c r="B345" s="13" t="s">
        <v>11</v>
      </c>
      <c r="C345" s="13" t="s">
        <v>16</v>
      </c>
      <c r="D345" s="13" t="s">
        <v>13</v>
      </c>
      <c r="E345" s="14">
        <v>132</v>
      </c>
      <c r="F345" s="14">
        <f>IF($B345="","",IF($D345="kg",N($E345),IF($D345="sacos",N($E345)*97,IF($D345="jabas",N($E345)*IFERROR(VLOOKUP($C345,LISTAS!$A$2:$B$12,2,0),0),""))))</f>
        <v>2244</v>
      </c>
      <c r="G345" s="41"/>
      <c r="H345" s="41"/>
      <c r="I345" s="41"/>
      <c r="J345">
        <f t="shared" si="8"/>
        <v>2244</v>
      </c>
    </row>
    <row r="346" spans="1:10" ht="15" customHeight="1" x14ac:dyDescent="0.2">
      <c r="A346" s="40">
        <v>46244</v>
      </c>
      <c r="B346" s="13" t="s">
        <v>11</v>
      </c>
      <c r="C346" s="13" t="s">
        <v>17</v>
      </c>
      <c r="D346" s="13" t="s">
        <v>18</v>
      </c>
      <c r="E346" s="14">
        <v>12.5</v>
      </c>
      <c r="F346" s="14">
        <f>IF($B346="","",IF($D346="kg",N($E346),IF($D346="sacos",N($E346)*97,IF($D346="jabas",N($E346)*IFERROR(VLOOKUP($C346,LISTAS!$A$2:$B$12,2,0),0),""))))</f>
        <v>1212.5</v>
      </c>
      <c r="G346" s="41"/>
      <c r="H346" s="41"/>
      <c r="I346" s="41"/>
      <c r="J346">
        <f t="shared" si="8"/>
        <v>1212.5</v>
      </c>
    </row>
    <row r="347" spans="1:10" ht="15" customHeight="1" x14ac:dyDescent="0.2">
      <c r="A347" s="40">
        <v>46244</v>
      </c>
      <c r="B347" s="16" t="s">
        <v>24</v>
      </c>
      <c r="C347" s="16" t="s">
        <v>22</v>
      </c>
      <c r="D347" s="16" t="s">
        <v>13</v>
      </c>
      <c r="E347" s="17">
        <v>67</v>
      </c>
      <c r="F347" s="17">
        <f>IF($B347="","",IF($D347="kg",N($E347),IF($D347="sacos",N($E347)*97,IF($D347="jabas",N($E347)*IFERROR(VLOOKUP($C347,LISTAS!$A$2:$B$12,2,0),0),""))))</f>
        <v>1005</v>
      </c>
      <c r="G347" s="56">
        <v>3069</v>
      </c>
      <c r="H347" s="56"/>
      <c r="I347" s="41"/>
      <c r="J347">
        <f t="shared" si="8"/>
        <v>1005</v>
      </c>
    </row>
    <row r="348" spans="1:10" ht="15" customHeight="1" x14ac:dyDescent="0.2">
      <c r="A348" s="40">
        <v>46244</v>
      </c>
      <c r="B348" s="16" t="s">
        <v>24</v>
      </c>
      <c r="C348" s="16" t="s">
        <v>23</v>
      </c>
      <c r="D348" s="16" t="s">
        <v>13</v>
      </c>
      <c r="E348" s="17">
        <v>11</v>
      </c>
      <c r="F348" s="17">
        <f>IF($B348="","",IF($D348="kg",N($E348),IF($D348="sacos",N($E348)*97,IF($D348="jabas",N($E348)*IFERROR(VLOOKUP($C348,LISTAS!$A$2:$B$12,2,0),0),""))))</f>
        <v>198</v>
      </c>
      <c r="G348" s="56">
        <v>3069</v>
      </c>
      <c r="H348" s="56"/>
      <c r="I348" s="41"/>
      <c r="J348">
        <f t="shared" si="8"/>
        <v>198</v>
      </c>
    </row>
    <row r="349" spans="1:10" ht="15" customHeight="1" x14ac:dyDescent="0.2">
      <c r="A349" s="40">
        <v>46244</v>
      </c>
      <c r="B349" s="16" t="s">
        <v>24</v>
      </c>
      <c r="C349" s="16" t="s">
        <v>12</v>
      </c>
      <c r="D349" s="16" t="s">
        <v>13</v>
      </c>
      <c r="E349" s="17">
        <v>8</v>
      </c>
      <c r="F349" s="17">
        <f>IF($B349="","",IF($D349="kg",N($E349),IF($D349="sacos",N($E349)*97,IF($D349="jabas",N($E349)*IFERROR(VLOOKUP($C349,LISTAS!$A$2:$B$12,2,0),0),""))))</f>
        <v>136</v>
      </c>
      <c r="G349" s="56">
        <v>3069</v>
      </c>
      <c r="H349" s="56"/>
      <c r="I349" s="41"/>
      <c r="J349">
        <f t="shared" si="8"/>
        <v>136</v>
      </c>
    </row>
    <row r="350" spans="1:10" ht="15" customHeight="1" x14ac:dyDescent="0.2">
      <c r="A350" s="40">
        <v>46244</v>
      </c>
      <c r="B350" s="46" t="s">
        <v>24</v>
      </c>
      <c r="C350" s="46" t="s">
        <v>16</v>
      </c>
      <c r="D350" s="46" t="s">
        <v>13</v>
      </c>
      <c r="E350" s="47">
        <v>118</v>
      </c>
      <c r="F350" s="47">
        <f>IF($B350="","",IF($D350="kg",N($E350),IF($D350="sacos",N($E350)*97,IF($D350="jabas",N($E350)*IFERROR(VLOOKUP($C350,LISTAS!$A$2:$B$12,2,0),0),""))))</f>
        <v>2006</v>
      </c>
      <c r="G350" s="56">
        <v>3069</v>
      </c>
      <c r="H350" s="56"/>
      <c r="I350" s="41"/>
      <c r="J350">
        <f t="shared" si="8"/>
        <v>2006</v>
      </c>
    </row>
    <row r="351" spans="1:10" ht="15" customHeight="1" x14ac:dyDescent="0.2">
      <c r="A351" s="40">
        <v>46244</v>
      </c>
      <c r="B351" s="41" t="s">
        <v>29</v>
      </c>
      <c r="C351" s="41" t="s">
        <v>17</v>
      </c>
      <c r="D351" s="41" t="s">
        <v>18</v>
      </c>
      <c r="E351" s="42">
        <v>11</v>
      </c>
      <c r="F351" s="42">
        <f>IF($B351="","",IF($D351="kg",N($E351),IF($D351="sacos",N($E351)*97,IF($D351="jabas",N($E351)*IFERROR(VLOOKUP($C351,LISTAS!$A$2:$B$12,2,0),0),""))))</f>
        <v>1067</v>
      </c>
      <c r="G351" s="41" t="s">
        <v>97</v>
      </c>
      <c r="H351" s="41"/>
      <c r="I351" s="41" t="s">
        <v>95</v>
      </c>
      <c r="J351">
        <f t="shared" si="8"/>
        <v>1067</v>
      </c>
    </row>
    <row r="352" spans="1:10" ht="15" customHeight="1" x14ac:dyDescent="0.2">
      <c r="A352" s="40">
        <v>46244</v>
      </c>
      <c r="B352" s="41" t="s">
        <v>50</v>
      </c>
      <c r="C352" s="41" t="s">
        <v>16</v>
      </c>
      <c r="D352" s="41" t="s">
        <v>13</v>
      </c>
      <c r="E352" s="42">
        <v>1</v>
      </c>
      <c r="F352" s="42">
        <f>IF($B352="","",IF($D352="kg",N($E352),IF($D352="sacos",N($E352)*97,IF($D352="jabas",N($E352)*IFERROR(VLOOKUP($C352,LISTAS!$A$2:$B$12,2,0),0),""))))</f>
        <v>17</v>
      </c>
      <c r="G352" s="41"/>
      <c r="H352" s="41"/>
      <c r="I352" s="41"/>
    </row>
    <row r="353" spans="1:10" ht="15" customHeight="1" x14ac:dyDescent="0.2">
      <c r="A353" s="40">
        <v>46244</v>
      </c>
      <c r="B353" s="41" t="s">
        <v>50</v>
      </c>
      <c r="C353" s="41" t="s">
        <v>22</v>
      </c>
      <c r="D353" s="41" t="s">
        <v>13</v>
      </c>
      <c r="E353" s="42">
        <v>1</v>
      </c>
      <c r="F353" s="42">
        <f>IF($B353="","",IF($D353="kg",N($E353),IF($D353="sacos",N($E353)*97,IF($D353="jabas",N($E353)*IFERROR(VLOOKUP($C353,LISTAS!$A$2:$B$12,2,0),0),""))))</f>
        <v>15</v>
      </c>
      <c r="G353" s="41"/>
      <c r="H353" s="41"/>
      <c r="I353" s="41"/>
    </row>
    <row r="354" spans="1:10" ht="15" customHeight="1" x14ac:dyDescent="0.2">
      <c r="A354" s="40">
        <v>46245</v>
      </c>
      <c r="B354" s="41" t="s">
        <v>35</v>
      </c>
      <c r="C354" s="16" t="s">
        <v>22</v>
      </c>
      <c r="D354" s="16" t="s">
        <v>13</v>
      </c>
      <c r="E354" s="17">
        <v>1</v>
      </c>
      <c r="F354" s="17">
        <f>IF($B354="","",IF($D354="kg",N($E354),IF($D354="sacos",N($E354)*97,IF($D354="jabas",N($E354)*IFERROR(VLOOKUP($C354,LISTAS!$A$2:$B$12,2,0),0),""))))</f>
        <v>15</v>
      </c>
      <c r="G354" s="41"/>
      <c r="H354" s="41"/>
      <c r="I354" s="41"/>
    </row>
    <row r="355" spans="1:10" ht="15" customHeight="1" x14ac:dyDescent="0.2">
      <c r="A355" s="40">
        <v>46245</v>
      </c>
      <c r="B355" s="41" t="s">
        <v>98</v>
      </c>
      <c r="C355" s="41"/>
      <c r="D355" s="41" t="s">
        <v>18</v>
      </c>
      <c r="E355" s="42">
        <v>8</v>
      </c>
      <c r="F355" s="42">
        <v>633</v>
      </c>
      <c r="G355" s="41"/>
      <c r="H355" s="41"/>
      <c r="I355" s="41" t="s">
        <v>99</v>
      </c>
    </row>
    <row r="356" spans="1:10" ht="15" customHeight="1" x14ac:dyDescent="0.2">
      <c r="A356" s="40">
        <v>46245</v>
      </c>
      <c r="B356" s="13" t="s">
        <v>11</v>
      </c>
      <c r="C356" s="13" t="s">
        <v>16</v>
      </c>
      <c r="D356" s="13" t="s">
        <v>13</v>
      </c>
      <c r="E356" s="14">
        <v>37</v>
      </c>
      <c r="F356" s="14">
        <f>IF($B356="","",IF($D356="kg",N($E356),IF($D356="sacos",N($E356)*97,IF($D356="jabas",N($E356)*IFERROR(VLOOKUP($C356,LISTAS!$A$2:$B$12,2,0),0),""))))</f>
        <v>629</v>
      </c>
      <c r="G356" s="41"/>
      <c r="H356" s="41"/>
      <c r="I356" s="41"/>
    </row>
    <row r="357" spans="1:10" ht="15" customHeight="1" x14ac:dyDescent="0.2">
      <c r="A357" s="40">
        <v>46245</v>
      </c>
      <c r="B357" s="16" t="s">
        <v>24</v>
      </c>
      <c r="C357" s="16" t="s">
        <v>22</v>
      </c>
      <c r="D357" s="16" t="s">
        <v>13</v>
      </c>
      <c r="E357" s="17">
        <v>67</v>
      </c>
      <c r="F357" s="17">
        <f>IF($B357="","",IF($D357="kg",N($E357),IF($D357="sacos",N($E357)*97,IF($D357="jabas",N($E357)*IFERROR(VLOOKUP($C357,LISTAS!$A$2:$B$12,2,0),0),""))))</f>
        <v>1005</v>
      </c>
      <c r="G357" s="56">
        <v>3069</v>
      </c>
      <c r="H357" s="56"/>
      <c r="I357" s="41"/>
      <c r="J357">
        <f t="shared" ref="J357:J364" si="9">N($F357)</f>
        <v>1005</v>
      </c>
    </row>
    <row r="358" spans="1:10" ht="15" customHeight="1" x14ac:dyDescent="0.2">
      <c r="A358" s="40">
        <v>46245</v>
      </c>
      <c r="B358" s="16" t="s">
        <v>24</v>
      </c>
      <c r="C358" s="16" t="s">
        <v>23</v>
      </c>
      <c r="D358" s="16" t="s">
        <v>13</v>
      </c>
      <c r="E358" s="17">
        <v>11</v>
      </c>
      <c r="F358" s="17">
        <f>IF($B358="","",IF($D358="kg",N($E358),IF($D358="sacos",N($E358)*97,IF($D358="jabas",N($E358)*IFERROR(VLOOKUP($C358,LISTAS!$A$2:$B$12,2,0),0),""))))</f>
        <v>198</v>
      </c>
      <c r="G358" s="56">
        <v>3069</v>
      </c>
      <c r="H358" s="56"/>
      <c r="I358" s="41"/>
      <c r="J358">
        <f t="shared" si="9"/>
        <v>198</v>
      </c>
    </row>
    <row r="359" spans="1:10" ht="15" customHeight="1" x14ac:dyDescent="0.2">
      <c r="A359" s="40">
        <v>46245</v>
      </c>
      <c r="B359" s="16" t="s">
        <v>24</v>
      </c>
      <c r="C359" s="16" t="s">
        <v>12</v>
      </c>
      <c r="D359" s="16" t="s">
        <v>13</v>
      </c>
      <c r="E359" s="17">
        <v>9</v>
      </c>
      <c r="F359" s="17">
        <f>IF($B359="","",IF($D359="kg",N($E359),IF($D359="sacos",N($E359)*97,IF($D359="jabas",N($E359)*IFERROR(VLOOKUP($C359,LISTAS!$A$2:$B$12,2,0),0),""))))</f>
        <v>153</v>
      </c>
      <c r="G359" s="56">
        <v>3069</v>
      </c>
      <c r="H359" s="56"/>
      <c r="I359" s="41"/>
      <c r="J359">
        <f t="shared" si="9"/>
        <v>153</v>
      </c>
    </row>
    <row r="360" spans="1:10" ht="15" customHeight="1" x14ac:dyDescent="0.2">
      <c r="A360" s="40">
        <v>46245</v>
      </c>
      <c r="B360" s="46" t="s">
        <v>24</v>
      </c>
      <c r="C360" s="46" t="s">
        <v>16</v>
      </c>
      <c r="D360" s="46" t="s">
        <v>13</v>
      </c>
      <c r="E360" s="47">
        <v>99</v>
      </c>
      <c r="F360" s="47">
        <f>IF($B360="","",IF($D360="kg",N($E360),IF($D360="sacos",N($E360)*97,IF($D360="jabas",N($E360)*IFERROR(VLOOKUP($C360,LISTAS!$A$2:$B$12,2,0),0),""))))</f>
        <v>1683</v>
      </c>
      <c r="G360" s="56">
        <v>3069</v>
      </c>
      <c r="H360" s="56"/>
      <c r="I360" s="41"/>
      <c r="J360">
        <f t="shared" si="9"/>
        <v>1683</v>
      </c>
    </row>
    <row r="361" spans="1:10" ht="15" customHeight="1" x14ac:dyDescent="0.2">
      <c r="A361" s="40">
        <v>46245</v>
      </c>
      <c r="B361" s="41" t="s">
        <v>29</v>
      </c>
      <c r="C361" s="41" t="s">
        <v>17</v>
      </c>
      <c r="D361" s="41" t="s">
        <v>18</v>
      </c>
      <c r="E361" s="42">
        <v>10.5</v>
      </c>
      <c r="F361" s="42">
        <f>IF($B361="","",IF($D361="kg",N($E361),IF($D361="sacos",N($E361)*97,IF($D361="jabas",N($E361)*IFERROR(VLOOKUP($C361,LISTAS!$A$2:$B$12,2,0),0),""))))</f>
        <v>1018.5</v>
      </c>
      <c r="G361" s="41" t="s">
        <v>90</v>
      </c>
      <c r="H361" s="41"/>
      <c r="I361" s="41" t="s">
        <v>100</v>
      </c>
      <c r="J361">
        <f t="shared" si="9"/>
        <v>1018.5</v>
      </c>
    </row>
    <row r="362" spans="1:10" ht="15" customHeight="1" x14ac:dyDescent="0.2">
      <c r="A362" s="40">
        <v>46246</v>
      </c>
      <c r="B362" s="41" t="s">
        <v>98</v>
      </c>
      <c r="C362" s="41"/>
      <c r="D362" s="41" t="s">
        <v>18</v>
      </c>
      <c r="E362" s="42">
        <v>8</v>
      </c>
      <c r="F362" s="42">
        <f>IF($B362="","",IF($D362="kg",N($E362),IF($D362="sacos",N($E362)*97,IF($D362="jabas",N($E362)*IFERROR(VLOOKUP($C362,LISTAS!$A$2:$B$12,2,0),0),""))))</f>
        <v>776</v>
      </c>
      <c r="G362" s="41"/>
      <c r="H362" s="41"/>
      <c r="I362" s="41" t="s">
        <v>99</v>
      </c>
      <c r="J362">
        <f t="shared" si="9"/>
        <v>776</v>
      </c>
    </row>
    <row r="363" spans="1:10" ht="15" customHeight="1" x14ac:dyDescent="0.2">
      <c r="A363" s="40">
        <v>46246</v>
      </c>
      <c r="B363" s="41" t="s">
        <v>11</v>
      </c>
      <c r="C363" s="41" t="s">
        <v>22</v>
      </c>
      <c r="D363" s="41" t="s">
        <v>13</v>
      </c>
      <c r="E363" s="42">
        <v>7</v>
      </c>
      <c r="F363" s="42">
        <f>IF($B363="","",IF($D363="kg",N($E363),IF($D363="sacos",N($E363)*97,IF($D363="jabas",N($E363)*IFERROR(VLOOKUP($C363,LISTAS!$A$2:$B$12,2,0),0),""))))</f>
        <v>105</v>
      </c>
      <c r="G363" s="41"/>
      <c r="H363" s="41"/>
      <c r="I363" s="41" t="s">
        <v>99</v>
      </c>
      <c r="J363">
        <f t="shared" si="9"/>
        <v>105</v>
      </c>
    </row>
    <row r="364" spans="1:10" ht="15" customHeight="1" x14ac:dyDescent="0.2">
      <c r="A364" s="40">
        <v>46246</v>
      </c>
      <c r="B364" s="41" t="s">
        <v>11</v>
      </c>
      <c r="C364" s="41" t="s">
        <v>16</v>
      </c>
      <c r="D364" s="41" t="s">
        <v>13</v>
      </c>
      <c r="E364" s="42">
        <v>32</v>
      </c>
      <c r="F364" s="42">
        <f>IF($B364="","",IF($D364="kg",N($E364),IF($D364="sacos",N($E364)*97,IF($D364="jabas",N($E364)*IFERROR(VLOOKUP($C364,LISTAS!$A$2:$B$12,2,0),0),""))))</f>
        <v>544</v>
      </c>
      <c r="G364" s="41"/>
      <c r="H364" s="41"/>
      <c r="I364" s="41" t="s">
        <v>99</v>
      </c>
      <c r="J364">
        <f t="shared" si="9"/>
        <v>544</v>
      </c>
    </row>
    <row r="365" spans="1:10" ht="15" customHeight="1" x14ac:dyDescent="0.2">
      <c r="A365" s="40">
        <v>46246</v>
      </c>
      <c r="B365" s="13" t="s">
        <v>11</v>
      </c>
      <c r="C365" s="13" t="s">
        <v>17</v>
      </c>
      <c r="D365" s="13" t="s">
        <v>18</v>
      </c>
      <c r="E365" s="14">
        <v>3</v>
      </c>
      <c r="F365" s="14">
        <f>IF($B365="","",IF($D365="kg",N($E365),IF($D365="sacos",N($E365)*97,IF($D365="jabas",N($E365)*IFERROR(VLOOKUP($C365,LISTAS!$A$2:$B$12,2,0),0),""))))</f>
        <v>291</v>
      </c>
      <c r="G365" s="41"/>
      <c r="H365" s="41"/>
      <c r="I365" s="41" t="s">
        <v>99</v>
      </c>
    </row>
    <row r="366" spans="1:10" ht="15" customHeight="1" x14ac:dyDescent="0.2">
      <c r="A366" s="40">
        <v>46246</v>
      </c>
      <c r="B366" s="41" t="s">
        <v>19</v>
      </c>
      <c r="C366" s="41">
        <v>115</v>
      </c>
      <c r="D366" s="41" t="s">
        <v>18</v>
      </c>
      <c r="E366" s="42">
        <v>25</v>
      </c>
      <c r="F366" s="42">
        <f>IF($B366="","",IF($D366="kg",N($E366),IF($D366="sacos",N($E366)*97,IF($D366="jabas",N($E366)*IFERROR(VLOOKUP($C366,LISTAS!$A$2:$B$12,2,0),0),""))))</f>
        <v>2425</v>
      </c>
      <c r="G366" s="41"/>
      <c r="H366" s="41" t="s">
        <v>92</v>
      </c>
      <c r="I366" s="41" t="s">
        <v>101</v>
      </c>
      <c r="J366">
        <f t="shared" ref="J366:J385" si="10">N($F366)</f>
        <v>2425</v>
      </c>
    </row>
    <row r="367" spans="1:10" ht="15" customHeight="1" x14ac:dyDescent="0.2">
      <c r="A367" s="40">
        <v>46246</v>
      </c>
      <c r="B367" s="13" t="s">
        <v>11</v>
      </c>
      <c r="C367" s="13" t="s">
        <v>22</v>
      </c>
      <c r="D367" s="13" t="s">
        <v>13</v>
      </c>
      <c r="E367" s="14">
        <v>60</v>
      </c>
      <c r="F367" s="42">
        <f>IF($B367="","",IF($D367="kg",N($E367),IF($D367="sacos",N($E367)*97,IF($D367="jabas",N($E367)*IFERROR(VLOOKUP($C367,LISTAS!$A$2:$B$12,2,0),0),""))))</f>
        <v>900</v>
      </c>
      <c r="G367" s="41"/>
      <c r="H367" s="41"/>
      <c r="I367" s="41"/>
      <c r="J367">
        <f t="shared" si="10"/>
        <v>900</v>
      </c>
    </row>
    <row r="368" spans="1:10" ht="15" customHeight="1" x14ac:dyDescent="0.2">
      <c r="A368" s="40">
        <v>46246</v>
      </c>
      <c r="B368" s="13" t="s">
        <v>11</v>
      </c>
      <c r="C368" s="13" t="s">
        <v>23</v>
      </c>
      <c r="D368" s="13" t="s">
        <v>13</v>
      </c>
      <c r="E368" s="14">
        <v>8</v>
      </c>
      <c r="F368" s="42">
        <f>IF($B368="","",IF($D368="kg",N($E368),IF($D368="sacos",N($E368)*97,IF($D368="jabas",N($E368)*IFERROR(VLOOKUP($C368,LISTAS!$A$2:$B$12,2,0),0),""))))</f>
        <v>144</v>
      </c>
      <c r="G368" s="41"/>
      <c r="H368" s="41"/>
      <c r="I368" s="41"/>
      <c r="J368">
        <f t="shared" si="10"/>
        <v>144</v>
      </c>
    </row>
    <row r="369" spans="1:10" ht="15" customHeight="1" x14ac:dyDescent="0.2">
      <c r="A369" s="40">
        <v>46246</v>
      </c>
      <c r="B369" s="13" t="s">
        <v>11</v>
      </c>
      <c r="C369" s="13" t="s">
        <v>12</v>
      </c>
      <c r="D369" s="13" t="s">
        <v>13</v>
      </c>
      <c r="E369" s="14">
        <v>11</v>
      </c>
      <c r="F369" s="42">
        <f>IF($B369="","",IF($D369="kg",N($E369),IF($D369="sacos",N($E369)*97,IF($D369="jabas",N($E369)*IFERROR(VLOOKUP($C369,LISTAS!$A$2:$B$12,2,0),0),""))))</f>
        <v>187</v>
      </c>
      <c r="G369" s="41"/>
      <c r="H369" s="41"/>
      <c r="I369" s="41"/>
      <c r="J369">
        <f t="shared" si="10"/>
        <v>187</v>
      </c>
    </row>
    <row r="370" spans="1:10" ht="15" customHeight="1" x14ac:dyDescent="0.2">
      <c r="A370" s="40">
        <v>46246</v>
      </c>
      <c r="B370" s="13" t="s">
        <v>11</v>
      </c>
      <c r="C370" s="13" t="s">
        <v>16</v>
      </c>
      <c r="D370" s="13" t="s">
        <v>13</v>
      </c>
      <c r="E370" s="14">
        <v>86</v>
      </c>
      <c r="F370" s="42">
        <f>IF($B370="","",IF($D370="kg",N($E370),IF($D370="sacos",N($E370)*97,IF($D370="jabas",N($E370)*IFERROR(VLOOKUP($C370,LISTAS!$A$2:$B$12,2,0),0),""))))</f>
        <v>1462</v>
      </c>
      <c r="G370" s="41"/>
      <c r="H370" s="41"/>
      <c r="I370" s="41"/>
      <c r="J370">
        <f t="shared" si="10"/>
        <v>1462</v>
      </c>
    </row>
    <row r="371" spans="1:10" ht="15" customHeight="1" x14ac:dyDescent="0.2">
      <c r="A371" s="40">
        <v>46246</v>
      </c>
      <c r="B371" s="13" t="s">
        <v>11</v>
      </c>
      <c r="C371" s="13" t="s">
        <v>17</v>
      </c>
      <c r="D371" s="13" t="s">
        <v>18</v>
      </c>
      <c r="E371" s="14">
        <v>2</v>
      </c>
      <c r="F371" s="42">
        <f>IF($B371="","",IF($D371="kg",N($E371),IF($D371="sacos",N($E371)*97,IF($D371="jabas",N($E371)*IFERROR(VLOOKUP($C371,LISTAS!$A$2:$B$12,2,0),0),""))))</f>
        <v>194</v>
      </c>
      <c r="G371" s="41"/>
      <c r="H371" s="41"/>
      <c r="I371" s="41"/>
      <c r="J371">
        <f t="shared" si="10"/>
        <v>194</v>
      </c>
    </row>
    <row r="372" spans="1:10" ht="15" customHeight="1" x14ac:dyDescent="0.2">
      <c r="A372" s="40">
        <v>46246</v>
      </c>
      <c r="B372" s="16" t="s">
        <v>24</v>
      </c>
      <c r="C372" s="16" t="s">
        <v>22</v>
      </c>
      <c r="D372" s="16" t="s">
        <v>13</v>
      </c>
      <c r="E372" s="17">
        <v>67</v>
      </c>
      <c r="F372" s="42">
        <f>IF($B372="","",IF($D372="kg",N($E372),IF($D372="sacos",N($E372)*97,IF($D372="jabas",N($E372)*IFERROR(VLOOKUP($C372,LISTAS!$A$2:$B$12,2,0),0),""))))</f>
        <v>1005</v>
      </c>
      <c r="G372" s="41">
        <v>3074</v>
      </c>
      <c r="H372" s="41"/>
      <c r="I372" s="41"/>
      <c r="J372">
        <f t="shared" si="10"/>
        <v>1005</v>
      </c>
    </row>
    <row r="373" spans="1:10" ht="15" customHeight="1" x14ac:dyDescent="0.2">
      <c r="A373" s="40">
        <v>46246</v>
      </c>
      <c r="B373" s="16" t="s">
        <v>24</v>
      </c>
      <c r="C373" s="16" t="s">
        <v>23</v>
      </c>
      <c r="D373" s="16" t="s">
        <v>13</v>
      </c>
      <c r="E373" s="17">
        <v>8</v>
      </c>
      <c r="F373" s="42">
        <f>IF($B373="","",IF($D373="kg",N($E373),IF($D373="sacos",N($E373)*97,IF($D373="jabas",N($E373)*IFERROR(VLOOKUP($C373,LISTAS!$A$2:$B$12,2,0),0),""))))</f>
        <v>144</v>
      </c>
      <c r="G373" s="41"/>
      <c r="H373" s="41"/>
      <c r="I373" s="41"/>
      <c r="J373">
        <f t="shared" si="10"/>
        <v>144</v>
      </c>
    </row>
    <row r="374" spans="1:10" ht="15" customHeight="1" x14ac:dyDescent="0.2">
      <c r="A374" s="40">
        <v>46246</v>
      </c>
      <c r="B374" s="16" t="s">
        <v>24</v>
      </c>
      <c r="C374" s="16" t="s">
        <v>12</v>
      </c>
      <c r="D374" s="16" t="s">
        <v>13</v>
      </c>
      <c r="E374" s="17">
        <v>11</v>
      </c>
      <c r="F374" s="42">
        <f>IF($B374="","",IF($D374="kg",N($E374),IF($D374="sacos",N($E374)*97,IF($D374="jabas",N($E374)*IFERROR(VLOOKUP($C374,LISTAS!$A$2:$B$12,2,0),0),""))))</f>
        <v>187</v>
      </c>
      <c r="G374" s="41"/>
      <c r="H374" s="41"/>
      <c r="I374" s="41"/>
      <c r="J374">
        <f t="shared" si="10"/>
        <v>187</v>
      </c>
    </row>
    <row r="375" spans="1:10" ht="15" customHeight="1" x14ac:dyDescent="0.2">
      <c r="A375" s="40">
        <v>46246</v>
      </c>
      <c r="B375" s="46" t="s">
        <v>24</v>
      </c>
      <c r="C375" s="46" t="s">
        <v>16</v>
      </c>
      <c r="D375" s="46" t="s">
        <v>13</v>
      </c>
      <c r="E375" s="47">
        <v>118</v>
      </c>
      <c r="F375" s="42">
        <f>IF($B375="","",IF($D375="kg",N($E375),IF($D375="sacos",N($E375)*97,IF($D375="jabas",N($E375)*IFERROR(VLOOKUP($C375,LISTAS!$A$2:$B$12,2,0),0),""))))</f>
        <v>2006</v>
      </c>
      <c r="G375" s="41"/>
      <c r="H375" s="41"/>
      <c r="I375" s="41"/>
      <c r="J375">
        <f t="shared" si="10"/>
        <v>2006</v>
      </c>
    </row>
    <row r="376" spans="1:10" ht="15" customHeight="1" x14ac:dyDescent="0.2">
      <c r="A376" s="40">
        <v>46247</v>
      </c>
      <c r="B376" s="41" t="s">
        <v>19</v>
      </c>
      <c r="C376" s="41">
        <v>115</v>
      </c>
      <c r="D376" s="41" t="s">
        <v>18</v>
      </c>
      <c r="E376" s="42">
        <v>40</v>
      </c>
      <c r="F376" s="42">
        <f>IF($B376="","",IF($D376="kg",N($E376),IF($D376="sacos",N($E376)*97,IF($D376="jabas",N($E376)*IFERROR(VLOOKUP($C376,LISTAS!$A$2:$B$12,2,0),0),""))))</f>
        <v>3880</v>
      </c>
      <c r="G376" s="41"/>
      <c r="H376" s="41" t="s">
        <v>92</v>
      </c>
      <c r="I376" s="41" t="s">
        <v>102</v>
      </c>
      <c r="J376">
        <f t="shared" si="10"/>
        <v>3880</v>
      </c>
    </row>
    <row r="377" spans="1:10" ht="15" customHeight="1" x14ac:dyDescent="0.2">
      <c r="A377" s="40">
        <v>46247</v>
      </c>
      <c r="B377" s="13" t="s">
        <v>11</v>
      </c>
      <c r="C377" s="13" t="s">
        <v>22</v>
      </c>
      <c r="D377" s="13" t="s">
        <v>13</v>
      </c>
      <c r="E377" s="14">
        <v>67</v>
      </c>
      <c r="F377" s="42">
        <f>IF($B377="","",IF($D377="kg",N($E377),IF($D377="sacos",N($E377)*97,IF($D377="jabas",N($E377)*IFERROR(VLOOKUP($C377,LISTAS!$A$2:$B$12,2,0),0),""))))</f>
        <v>1005</v>
      </c>
      <c r="G377" s="41"/>
      <c r="H377" s="41"/>
      <c r="I377" s="41"/>
      <c r="J377">
        <f t="shared" si="10"/>
        <v>1005</v>
      </c>
    </row>
    <row r="378" spans="1:10" ht="15" customHeight="1" x14ac:dyDescent="0.2">
      <c r="A378" s="40">
        <v>46247</v>
      </c>
      <c r="B378" s="13" t="s">
        <v>11</v>
      </c>
      <c r="C378" s="13" t="s">
        <v>23</v>
      </c>
      <c r="D378" s="13" t="s">
        <v>13</v>
      </c>
      <c r="E378" s="14">
        <v>11</v>
      </c>
      <c r="F378" s="42">
        <f>IF($B378="","",IF($D378="kg",N($E378),IF($D378="sacos",N($E378)*97,IF($D378="jabas",N($E378)*IFERROR(VLOOKUP($C378,LISTAS!$A$2:$B$12,2,0),0),""))))</f>
        <v>198</v>
      </c>
      <c r="G378" s="41"/>
      <c r="H378" s="41"/>
      <c r="I378" s="41"/>
      <c r="J378">
        <f t="shared" si="10"/>
        <v>198</v>
      </c>
    </row>
    <row r="379" spans="1:10" ht="15" customHeight="1" x14ac:dyDescent="0.2">
      <c r="A379" s="40">
        <v>46247</v>
      </c>
      <c r="B379" s="13" t="s">
        <v>11</v>
      </c>
      <c r="C379" s="13" t="s">
        <v>12</v>
      </c>
      <c r="D379" s="13" t="s">
        <v>13</v>
      </c>
      <c r="E379" s="14">
        <v>12</v>
      </c>
      <c r="F379" s="42">
        <f>IF($B379="","",IF($D379="kg",N($E379),IF($D379="sacos",N($E379)*97,IF($D379="jabas",N($E379)*IFERROR(VLOOKUP($C379,LISTAS!$A$2:$B$12,2,0),0),""))))</f>
        <v>204</v>
      </c>
      <c r="G379" s="41"/>
      <c r="H379" s="41"/>
      <c r="I379" s="41"/>
      <c r="J379">
        <f t="shared" si="10"/>
        <v>204</v>
      </c>
    </row>
    <row r="380" spans="1:10" ht="15" customHeight="1" x14ac:dyDescent="0.2">
      <c r="A380" s="40">
        <v>46247</v>
      </c>
      <c r="B380" s="13" t="s">
        <v>11</v>
      </c>
      <c r="C380" s="13" t="s">
        <v>16</v>
      </c>
      <c r="D380" s="13" t="s">
        <v>13</v>
      </c>
      <c r="E380" s="14">
        <v>118</v>
      </c>
      <c r="F380" s="42">
        <f>IF($B380="","",IF($D380="kg",N($E380),IF($D380="sacos",N($E380)*97,IF($D380="jabas",N($E380)*IFERROR(VLOOKUP($C380,LISTAS!$A$2:$B$12,2,0),0),""))))</f>
        <v>2006</v>
      </c>
      <c r="G380" s="41"/>
      <c r="H380" s="41"/>
      <c r="I380" s="41"/>
      <c r="J380">
        <f t="shared" si="10"/>
        <v>2006</v>
      </c>
    </row>
    <row r="381" spans="1:10" ht="15" customHeight="1" x14ac:dyDescent="0.2">
      <c r="A381" s="40">
        <v>46247</v>
      </c>
      <c r="B381" s="13" t="s">
        <v>11</v>
      </c>
      <c r="C381" s="13" t="s">
        <v>17</v>
      </c>
      <c r="D381" s="13" t="s">
        <v>18</v>
      </c>
      <c r="E381" s="14">
        <v>3</v>
      </c>
      <c r="F381" s="42">
        <f>IF($B381="","",IF($D381="kg",N($E381),IF($D381="sacos",N($E381)*97,IF($D381="jabas",N($E381)*IFERROR(VLOOKUP($C381,LISTAS!$A$2:$B$12,2,0),0),""))))</f>
        <v>291</v>
      </c>
      <c r="G381" s="41"/>
      <c r="H381" s="41"/>
      <c r="I381" s="41"/>
      <c r="J381">
        <f t="shared" si="10"/>
        <v>291</v>
      </c>
    </row>
    <row r="382" spans="1:10" ht="15" customHeight="1" x14ac:dyDescent="0.2">
      <c r="A382" s="40">
        <v>46247</v>
      </c>
      <c r="B382" s="16" t="s">
        <v>24</v>
      </c>
      <c r="C382" s="16" t="s">
        <v>22</v>
      </c>
      <c r="D382" s="16" t="s">
        <v>13</v>
      </c>
      <c r="E382" s="14">
        <v>67</v>
      </c>
      <c r="F382" s="42">
        <f>IF($B382="","",IF($D382="kg",N($E382),IF($D382="sacos",N($E382)*97,IF($D382="jabas",N($E382)*IFERROR(VLOOKUP($C382,LISTAS!$A$2:$B$12,2,0),0),""))))</f>
        <v>1005</v>
      </c>
      <c r="G382" s="41">
        <v>3078</v>
      </c>
      <c r="H382" s="41"/>
      <c r="I382" s="41"/>
      <c r="J382">
        <f t="shared" si="10"/>
        <v>1005</v>
      </c>
    </row>
    <row r="383" spans="1:10" ht="15" customHeight="1" x14ac:dyDescent="0.2">
      <c r="A383" s="40">
        <v>46247</v>
      </c>
      <c r="B383" s="16" t="s">
        <v>24</v>
      </c>
      <c r="C383" s="16" t="s">
        <v>23</v>
      </c>
      <c r="D383" s="16" t="s">
        <v>13</v>
      </c>
      <c r="E383" s="14">
        <v>11</v>
      </c>
      <c r="F383" s="42">
        <f>IF($B383="","",IF($D383="kg",N($E383),IF($D383="sacos",N($E383)*97,IF($D383="jabas",N($E383)*IFERROR(VLOOKUP($C383,LISTAS!$A$2:$B$12,2,0),0),""))))</f>
        <v>198</v>
      </c>
      <c r="G383" s="41"/>
      <c r="H383" s="41"/>
      <c r="I383" s="41"/>
      <c r="J383">
        <f t="shared" si="10"/>
        <v>198</v>
      </c>
    </row>
    <row r="384" spans="1:10" ht="15" customHeight="1" x14ac:dyDescent="0.2">
      <c r="A384" s="40">
        <v>46247</v>
      </c>
      <c r="B384" s="16" t="s">
        <v>24</v>
      </c>
      <c r="C384" s="16" t="s">
        <v>12</v>
      </c>
      <c r="D384" s="16" t="s">
        <v>13</v>
      </c>
      <c r="E384" s="14">
        <v>12</v>
      </c>
      <c r="F384" s="42">
        <f>IF($B384="","",IF($D384="kg",N($E384),IF($D384="sacos",N($E384)*97,IF($D384="jabas",N($E384)*IFERROR(VLOOKUP($C384,LISTAS!$A$2:$B$12,2,0),0),""))))</f>
        <v>204</v>
      </c>
      <c r="G384" s="41"/>
      <c r="H384" s="41"/>
      <c r="I384" s="41"/>
      <c r="J384">
        <f t="shared" si="10"/>
        <v>204</v>
      </c>
    </row>
    <row r="385" spans="1:10" ht="15" customHeight="1" x14ac:dyDescent="0.2">
      <c r="A385" s="40">
        <v>46247</v>
      </c>
      <c r="B385" s="46" t="s">
        <v>24</v>
      </c>
      <c r="C385" s="46" t="s">
        <v>16</v>
      </c>
      <c r="D385" s="46" t="s">
        <v>13</v>
      </c>
      <c r="E385" s="14">
        <v>118</v>
      </c>
      <c r="F385" s="42">
        <f>IF($B385="","",IF($D385="kg",N($E385),IF($D385="sacos",N($E385)*97,IF($D385="jabas",N($E385)*IFERROR(VLOOKUP($C385,LISTAS!$A$2:$B$12,2,0),0),""))))</f>
        <v>2006</v>
      </c>
      <c r="G385" s="41"/>
      <c r="H385" s="41"/>
      <c r="I385" s="41"/>
      <c r="J385">
        <f t="shared" si="10"/>
        <v>2006</v>
      </c>
    </row>
    <row r="386" spans="1:10" ht="15" customHeight="1" x14ac:dyDescent="0.2">
      <c r="A386" s="40">
        <v>46247</v>
      </c>
      <c r="B386" s="41" t="s">
        <v>50</v>
      </c>
      <c r="C386" s="41" t="s">
        <v>22</v>
      </c>
      <c r="D386" s="41" t="s">
        <v>13</v>
      </c>
      <c r="E386" s="42">
        <v>1</v>
      </c>
      <c r="F386" s="42">
        <f>IF($B386="","",IF($D386="kg",N($E386),IF($D386="sacos",N($E386)*97,IF($D386="jabas",N($E386)*IFERROR(VLOOKUP($C386,LISTAS!$A$2:$B$12,2,0),0),""))))</f>
        <v>15</v>
      </c>
      <c r="G386" s="41"/>
      <c r="H386" s="41"/>
      <c r="I386" s="41"/>
    </row>
    <row r="387" spans="1:10" ht="15" customHeight="1" x14ac:dyDescent="0.2">
      <c r="A387" s="24">
        <v>46247</v>
      </c>
      <c r="B387" s="28" t="s">
        <v>44</v>
      </c>
      <c r="C387" s="28" t="s">
        <v>16</v>
      </c>
      <c r="D387" s="28" t="s">
        <v>45</v>
      </c>
      <c r="E387" s="29">
        <v>10</v>
      </c>
      <c r="F387" s="29">
        <f>IF($B387="","",IF($D387="kg",N($E387),IF($D387="sacos",N($E387)*97,IF($D387="jabas",N($E387)*IFERROR(VLOOKUP($C387,LISTAS!$A$2:$B$12,2,0),0),""))))</f>
        <v>10</v>
      </c>
      <c r="G387" s="41"/>
      <c r="H387" s="41"/>
      <c r="I387" s="41"/>
    </row>
    <row r="388" spans="1:10" ht="15" customHeight="1" x14ac:dyDescent="0.2">
      <c r="A388" s="40">
        <v>46248</v>
      </c>
      <c r="B388" s="41" t="s">
        <v>29</v>
      </c>
      <c r="C388" s="41" t="s">
        <v>17</v>
      </c>
      <c r="D388" s="41" t="s">
        <v>18</v>
      </c>
      <c r="E388" s="42">
        <v>5</v>
      </c>
      <c r="F388" s="42">
        <f>IF($B388="","",IF($D388="kg",N($E388),IF($D388="sacos",N($E388)*97,IF($D388="jabas",N($E388)*IFERROR(VLOOKUP($C388,LISTAS!$A$2:$B$12,2,0),0),""))))</f>
        <v>485</v>
      </c>
      <c r="G388" s="41" t="s">
        <v>103</v>
      </c>
      <c r="H388" s="41"/>
      <c r="I388" s="41" t="s">
        <v>104</v>
      </c>
      <c r="J388">
        <f t="shared" ref="J388:J425" si="11">N($F388)</f>
        <v>485</v>
      </c>
    </row>
    <row r="389" spans="1:10" ht="15" customHeight="1" x14ac:dyDescent="0.2">
      <c r="A389" s="40">
        <v>46248</v>
      </c>
      <c r="B389" s="41" t="s">
        <v>19</v>
      </c>
      <c r="C389" s="41">
        <v>115</v>
      </c>
      <c r="D389" s="41" t="s">
        <v>18</v>
      </c>
      <c r="E389" s="42">
        <v>38</v>
      </c>
      <c r="F389" s="42">
        <f>IF($B389="","",IF($D389="kg",N($E389),IF($D389="sacos",N($E389)*97,IF($D389="jabas",N($E389)*IFERROR(VLOOKUP($C389,LISTAS!$A$2:$B$12,2,0),0),""))))</f>
        <v>3686</v>
      </c>
      <c r="G389" s="41"/>
      <c r="H389" s="41" t="s">
        <v>92</v>
      </c>
      <c r="I389" s="41" t="s">
        <v>105</v>
      </c>
      <c r="J389">
        <f t="shared" si="11"/>
        <v>3686</v>
      </c>
    </row>
    <row r="390" spans="1:10" ht="15" customHeight="1" x14ac:dyDescent="0.2">
      <c r="A390" s="40">
        <v>46248</v>
      </c>
      <c r="B390" s="13" t="s">
        <v>11</v>
      </c>
      <c r="C390" s="13" t="s">
        <v>22</v>
      </c>
      <c r="D390" s="13" t="s">
        <v>13</v>
      </c>
      <c r="E390" s="14">
        <v>60</v>
      </c>
      <c r="F390" s="42">
        <f>IF($B390="","",IF($D390="kg",N($E390),IF($D390="sacos",N($E390)*97,IF($D390="jabas",N($E390)*IFERROR(VLOOKUP($C390,LISTAS!$A$2:$B$12,2,0),0),""))))</f>
        <v>900</v>
      </c>
      <c r="G390" s="41"/>
      <c r="H390" s="41"/>
      <c r="I390" s="41"/>
      <c r="J390">
        <f t="shared" si="11"/>
        <v>900</v>
      </c>
    </row>
    <row r="391" spans="1:10" ht="15" customHeight="1" x14ac:dyDescent="0.2">
      <c r="A391" s="40">
        <v>46248</v>
      </c>
      <c r="B391" s="13" t="s">
        <v>11</v>
      </c>
      <c r="C391" s="13" t="s">
        <v>23</v>
      </c>
      <c r="D391" s="13" t="s">
        <v>13</v>
      </c>
      <c r="E391" s="14">
        <v>11</v>
      </c>
      <c r="F391" s="42">
        <f>IF($B391="","",IF($D391="kg",N($E391),IF($D391="sacos",N($E391)*97,IF($D391="jabas",N($E391)*IFERROR(VLOOKUP($C391,LISTAS!$A$2:$B$12,2,0),0),""))))</f>
        <v>198</v>
      </c>
      <c r="G391" s="41"/>
      <c r="H391" s="41"/>
      <c r="I391" s="41"/>
      <c r="J391">
        <f t="shared" si="11"/>
        <v>198</v>
      </c>
    </row>
    <row r="392" spans="1:10" ht="15" customHeight="1" x14ac:dyDescent="0.2">
      <c r="A392" s="40">
        <v>46248</v>
      </c>
      <c r="B392" s="13" t="s">
        <v>11</v>
      </c>
      <c r="C392" s="13" t="s">
        <v>12</v>
      </c>
      <c r="D392" s="13" t="s">
        <v>13</v>
      </c>
      <c r="E392" s="14">
        <v>12</v>
      </c>
      <c r="F392" s="42">
        <f>IF($B392="","",IF($D392="kg",N($E392),IF($D392="sacos",N($E392)*97,IF($D392="jabas",N($E392)*IFERROR(VLOOKUP($C392,LISTAS!$A$2:$B$12,2,0),0),""))))</f>
        <v>204</v>
      </c>
      <c r="G392" s="41"/>
      <c r="H392" s="41"/>
      <c r="I392" s="41"/>
      <c r="J392">
        <f t="shared" si="11"/>
        <v>204</v>
      </c>
    </row>
    <row r="393" spans="1:10" ht="15" customHeight="1" x14ac:dyDescent="0.2">
      <c r="A393" s="40">
        <v>46248</v>
      </c>
      <c r="B393" s="13" t="s">
        <v>11</v>
      </c>
      <c r="C393" s="13" t="s">
        <v>16</v>
      </c>
      <c r="D393" s="13" t="s">
        <v>13</v>
      </c>
      <c r="E393" s="14">
        <v>108</v>
      </c>
      <c r="F393" s="42">
        <f>IF($B393="","",IF($D393="kg",N($E393),IF($D393="sacos",N($E393)*97,IF($D393="jabas",N($E393)*IFERROR(VLOOKUP($C393,LISTAS!$A$2:$B$12,2,0),0),""))))</f>
        <v>1836</v>
      </c>
      <c r="G393" s="41"/>
      <c r="H393" s="41"/>
      <c r="I393" s="41"/>
      <c r="J393">
        <f t="shared" si="11"/>
        <v>1836</v>
      </c>
    </row>
    <row r="394" spans="1:10" ht="15" customHeight="1" x14ac:dyDescent="0.2">
      <c r="A394" s="40">
        <v>46248</v>
      </c>
      <c r="B394" s="13" t="s">
        <v>11</v>
      </c>
      <c r="C394" s="13" t="s">
        <v>17</v>
      </c>
      <c r="D394" s="13" t="s">
        <v>18</v>
      </c>
      <c r="E394" s="14">
        <v>3</v>
      </c>
      <c r="F394" s="42">
        <f>IF($B394="","",IF($D394="kg",N($E394),IF($D394="sacos",N($E394)*97,IF($D394="jabas",N($E394)*IFERROR(VLOOKUP($C394,LISTAS!$A$2:$B$12,2,0),0),""))))</f>
        <v>291</v>
      </c>
      <c r="G394" s="41"/>
      <c r="H394" s="41"/>
      <c r="I394" s="41"/>
      <c r="J394">
        <f t="shared" si="11"/>
        <v>291</v>
      </c>
    </row>
    <row r="395" spans="1:10" ht="15" customHeight="1" x14ac:dyDescent="0.2">
      <c r="A395" s="40">
        <v>46248</v>
      </c>
      <c r="B395" s="16" t="s">
        <v>24</v>
      </c>
      <c r="C395" s="16" t="s">
        <v>22</v>
      </c>
      <c r="D395" s="16" t="s">
        <v>13</v>
      </c>
      <c r="E395" s="17">
        <v>67</v>
      </c>
      <c r="F395" s="42">
        <f>IF($B395="","",IF($D395="kg",N($E395),IF($D395="sacos",N($E395)*97,IF($D395="jabas",N($E395)*IFERROR(VLOOKUP($C395,LISTAS!$A$2:$B$12,2,0),0),""))))</f>
        <v>1005</v>
      </c>
      <c r="G395" s="41">
        <v>3084</v>
      </c>
      <c r="H395" s="41"/>
      <c r="I395" s="41"/>
      <c r="J395">
        <f t="shared" si="11"/>
        <v>1005</v>
      </c>
    </row>
    <row r="396" spans="1:10" ht="15" customHeight="1" x14ac:dyDescent="0.2">
      <c r="A396" s="40">
        <v>46248</v>
      </c>
      <c r="B396" s="16" t="s">
        <v>24</v>
      </c>
      <c r="C396" s="16" t="s">
        <v>23</v>
      </c>
      <c r="D396" s="16" t="s">
        <v>13</v>
      </c>
      <c r="E396" s="17">
        <v>11</v>
      </c>
      <c r="F396" s="42">
        <f>IF($B396="","",IF($D396="kg",N($E396),IF($D396="sacos",N($E396)*97,IF($D396="jabas",N($E396)*IFERROR(VLOOKUP($C396,LISTAS!$A$2:$B$12,2,0),0),""))))</f>
        <v>198</v>
      </c>
      <c r="G396" s="41"/>
      <c r="H396" s="41"/>
      <c r="I396" s="41"/>
      <c r="J396">
        <f t="shared" si="11"/>
        <v>198</v>
      </c>
    </row>
    <row r="397" spans="1:10" ht="15" customHeight="1" x14ac:dyDescent="0.2">
      <c r="A397" s="40">
        <v>46248</v>
      </c>
      <c r="B397" s="16" t="s">
        <v>24</v>
      </c>
      <c r="C397" s="16" t="s">
        <v>12</v>
      </c>
      <c r="D397" s="16" t="s">
        <v>13</v>
      </c>
      <c r="E397" s="17">
        <v>12</v>
      </c>
      <c r="F397" s="42">
        <f>IF($B397="","",IF($D397="kg",N($E397),IF($D397="sacos",N($E397)*97,IF($D397="jabas",N($E397)*IFERROR(VLOOKUP($C397,LISTAS!$A$2:$B$12,2,0),0),""))))</f>
        <v>204</v>
      </c>
      <c r="G397" s="41"/>
      <c r="H397" s="41"/>
      <c r="I397" s="41"/>
      <c r="J397">
        <f t="shared" si="11"/>
        <v>204</v>
      </c>
    </row>
    <row r="398" spans="1:10" ht="15" customHeight="1" x14ac:dyDescent="0.2">
      <c r="A398" s="40">
        <v>46248</v>
      </c>
      <c r="B398" s="46" t="s">
        <v>24</v>
      </c>
      <c r="C398" s="46" t="s">
        <v>16</v>
      </c>
      <c r="D398" s="46" t="s">
        <v>13</v>
      </c>
      <c r="E398" s="47">
        <v>118</v>
      </c>
      <c r="F398" s="42">
        <f>IF($B398="","",IF($D398="kg",N($E398),IF($D398="sacos",N($E398)*97,IF($D398="jabas",N($E398)*IFERROR(VLOOKUP($C398,LISTAS!$A$2:$B$12,2,0),0),""))))</f>
        <v>2006</v>
      </c>
      <c r="G398" s="41"/>
      <c r="H398" s="41"/>
      <c r="I398" s="41"/>
      <c r="J398">
        <f t="shared" si="11"/>
        <v>2006</v>
      </c>
    </row>
    <row r="399" spans="1:10" ht="15" customHeight="1" x14ac:dyDescent="0.2">
      <c r="A399" s="40">
        <v>46248</v>
      </c>
      <c r="B399" s="41" t="s">
        <v>19</v>
      </c>
      <c r="C399" s="41">
        <v>115</v>
      </c>
      <c r="D399" s="41" t="s">
        <v>18</v>
      </c>
      <c r="E399" s="42">
        <v>24</v>
      </c>
      <c r="F399" s="42">
        <f>IF($B399="","",IF($D399="kg",N($E399),IF($D399="sacos",N($E399)*97,IF($D399="jabas",N($E399)*IFERROR(VLOOKUP($C399,LISTAS!$A$2:$B$12,2,0),0),""))))</f>
        <v>2328</v>
      </c>
      <c r="G399" s="41"/>
      <c r="H399" s="41" t="s">
        <v>92</v>
      </c>
      <c r="I399" s="41" t="s">
        <v>106</v>
      </c>
      <c r="J399">
        <f t="shared" si="11"/>
        <v>2328</v>
      </c>
    </row>
    <row r="400" spans="1:10" ht="15" customHeight="1" x14ac:dyDescent="0.2">
      <c r="A400" s="40">
        <v>46248</v>
      </c>
      <c r="B400" s="13" t="s">
        <v>11</v>
      </c>
      <c r="C400" s="13" t="s">
        <v>22</v>
      </c>
      <c r="D400" s="13" t="s">
        <v>13</v>
      </c>
      <c r="E400" s="14">
        <v>51</v>
      </c>
      <c r="F400" s="42">
        <f>IF($B400="","",IF($D400="kg",N($E400),IF($D400="sacos",N($E400)*97,IF($D400="jabas",N($E400)*IFERROR(VLOOKUP($C400,LISTAS!$A$2:$B$12,2,0),0),""))))</f>
        <v>765</v>
      </c>
      <c r="G400" s="41"/>
      <c r="H400" s="41"/>
      <c r="I400" s="41"/>
      <c r="J400">
        <f t="shared" si="11"/>
        <v>765</v>
      </c>
    </row>
    <row r="401" spans="1:12" ht="15" customHeight="1" x14ac:dyDescent="0.2">
      <c r="A401" s="40">
        <v>46248</v>
      </c>
      <c r="B401" s="13" t="s">
        <v>11</v>
      </c>
      <c r="C401" s="13" t="s">
        <v>23</v>
      </c>
      <c r="D401" s="13" t="s">
        <v>13</v>
      </c>
      <c r="E401" s="14">
        <v>6</v>
      </c>
      <c r="F401" s="42">
        <f>IF($B401="","",IF($D401="kg",N($E401),IF($D401="sacos",N($E401)*97,IF($D401="jabas",N($E401)*IFERROR(VLOOKUP($C401,LISTAS!$A$2:$B$12,2,0),0),""))))</f>
        <v>108</v>
      </c>
      <c r="G401" s="41"/>
      <c r="H401" s="41"/>
      <c r="I401" s="41"/>
      <c r="J401">
        <f t="shared" si="11"/>
        <v>108</v>
      </c>
    </row>
    <row r="402" spans="1:12" ht="15" customHeight="1" x14ac:dyDescent="0.2">
      <c r="A402" s="40">
        <v>46248</v>
      </c>
      <c r="B402" s="13" t="s">
        <v>11</v>
      </c>
      <c r="C402" s="13" t="s">
        <v>12</v>
      </c>
      <c r="D402" s="13" t="s">
        <v>13</v>
      </c>
      <c r="E402" s="14">
        <v>10</v>
      </c>
      <c r="F402" s="42">
        <f>IF($B402="","",IF($D402="kg",N($E402),IF($D402="sacos",N($E402)*97,IF($D402="jabas",N($E402)*IFERROR(VLOOKUP($C402,LISTAS!$A$2:$B$12,2,0),0),""))))</f>
        <v>170</v>
      </c>
      <c r="G402" s="41"/>
      <c r="H402" s="41"/>
      <c r="I402" s="41"/>
      <c r="J402">
        <f t="shared" si="11"/>
        <v>170</v>
      </c>
    </row>
    <row r="403" spans="1:12" ht="15" customHeight="1" x14ac:dyDescent="0.2">
      <c r="A403" s="40">
        <v>46248</v>
      </c>
      <c r="B403" s="13" t="s">
        <v>11</v>
      </c>
      <c r="C403" s="13" t="s">
        <v>16</v>
      </c>
      <c r="D403" s="13" t="s">
        <v>13</v>
      </c>
      <c r="E403" s="14">
        <v>74</v>
      </c>
      <c r="F403" s="42">
        <f>IF($B403="","",IF($D403="kg",N($E403),IF($D403="sacos",N($E403)*97,IF($D403="jabas",N($E403)*IFERROR(VLOOKUP($C403,LISTAS!$A$2:$B$12,2,0),0),""))))</f>
        <v>1258</v>
      </c>
      <c r="G403" s="41"/>
      <c r="H403" s="41"/>
      <c r="I403" s="41"/>
      <c r="J403">
        <f t="shared" si="11"/>
        <v>1258</v>
      </c>
    </row>
    <row r="404" spans="1:12" ht="15" customHeight="1" x14ac:dyDescent="0.2">
      <c r="A404" s="40">
        <v>46248</v>
      </c>
      <c r="B404" s="13" t="s">
        <v>11</v>
      </c>
      <c r="C404" s="13" t="s">
        <v>17</v>
      </c>
      <c r="D404" s="13" t="s">
        <v>18</v>
      </c>
      <c r="E404" s="14">
        <v>1</v>
      </c>
      <c r="F404" s="42">
        <f>IF($B404="","",IF($D404="kg",N($E404),IF($D404="sacos",N($E404)*97,IF($D404="jabas",N($E404)*IFERROR(VLOOKUP($C404,LISTAS!$A$2:$B$12,2,0),0),""))))</f>
        <v>97</v>
      </c>
      <c r="G404" s="41"/>
      <c r="H404" s="41"/>
      <c r="I404" s="41"/>
      <c r="J404">
        <f t="shared" si="11"/>
        <v>97</v>
      </c>
    </row>
    <row r="405" spans="1:12" ht="15" customHeight="1" x14ac:dyDescent="0.2">
      <c r="A405" s="40">
        <v>46249</v>
      </c>
      <c r="B405" s="41" t="s">
        <v>19</v>
      </c>
      <c r="C405" s="41">
        <v>115</v>
      </c>
      <c r="D405" s="41" t="s">
        <v>18</v>
      </c>
      <c r="E405" s="42">
        <v>26</v>
      </c>
      <c r="F405" s="42">
        <f>IF($B405="","",IF($D405="kg",N($E405),IF($D405="sacos",N($E405)*97,IF($D405="jabas",N($E405)*IFERROR(VLOOKUP($C405,LISTAS!$A$2:$B$12,2,0),0),""))))</f>
        <v>2522</v>
      </c>
      <c r="G405" s="41"/>
      <c r="H405" s="41" t="s">
        <v>92</v>
      </c>
      <c r="I405" s="41" t="s">
        <v>107</v>
      </c>
      <c r="J405">
        <f t="shared" si="11"/>
        <v>2522</v>
      </c>
    </row>
    <row r="406" spans="1:12" ht="15" customHeight="1" x14ac:dyDescent="0.2">
      <c r="A406" s="40">
        <v>46249</v>
      </c>
      <c r="B406" s="13" t="s">
        <v>11</v>
      </c>
      <c r="C406" s="41" t="s">
        <v>22</v>
      </c>
      <c r="D406" s="41" t="s">
        <v>13</v>
      </c>
      <c r="E406" s="42">
        <v>53</v>
      </c>
      <c r="F406" s="42">
        <f>IF($B406="","",IF($D406="kg",N($E406),IF($D406="sacos",N($E406)*97,IF($D406="jabas",N($E406)*IFERROR(VLOOKUP($C406,LISTAS!$A$2:$B$12,2,0),0),""))))</f>
        <v>795</v>
      </c>
      <c r="G406" s="41"/>
      <c r="H406" s="41"/>
      <c r="I406" s="41"/>
      <c r="J406">
        <f t="shared" si="11"/>
        <v>795</v>
      </c>
      <c r="L406" s="57"/>
    </row>
    <row r="407" spans="1:12" ht="15" customHeight="1" x14ac:dyDescent="0.2">
      <c r="A407" s="40">
        <v>46249</v>
      </c>
      <c r="B407" s="13" t="s">
        <v>11</v>
      </c>
      <c r="C407" s="41" t="s">
        <v>16</v>
      </c>
      <c r="D407" s="41" t="s">
        <v>13</v>
      </c>
      <c r="E407" s="42">
        <v>80</v>
      </c>
      <c r="F407" s="42">
        <f>IF($B407="","",IF($D407="kg",N($E407),IF($D407="sacos",N($E407)*97,IF($D407="jabas",N($E407)*IFERROR(VLOOKUP($C407,LISTAS!$A$2:$B$12,2,0),0),""))))</f>
        <v>1360</v>
      </c>
      <c r="G407" s="41"/>
      <c r="H407" s="41"/>
      <c r="I407" s="41"/>
      <c r="J407">
        <f t="shared" si="11"/>
        <v>1360</v>
      </c>
    </row>
    <row r="408" spans="1:12" ht="15" customHeight="1" x14ac:dyDescent="0.2">
      <c r="A408" s="40">
        <v>46249</v>
      </c>
      <c r="B408" s="41" t="s">
        <v>11</v>
      </c>
      <c r="C408" s="41" t="s">
        <v>17</v>
      </c>
      <c r="D408" s="41" t="s">
        <v>18</v>
      </c>
      <c r="E408" s="42">
        <v>3</v>
      </c>
      <c r="F408" s="42">
        <f>IF($B408="","",IF($D408="kg",N($E408),IF($D408="sacos",N($E408)*97,IF($D408="jabas",N($E408)*IFERROR(VLOOKUP($C408,LISTAS!$A$2:$B$12,2,0),0),""))))</f>
        <v>291</v>
      </c>
      <c r="G408" s="41"/>
      <c r="H408" s="41"/>
      <c r="I408" s="41"/>
      <c r="J408">
        <f t="shared" si="11"/>
        <v>291</v>
      </c>
    </row>
    <row r="409" spans="1:12" ht="15" customHeight="1" x14ac:dyDescent="0.2">
      <c r="A409" s="40">
        <v>46249</v>
      </c>
      <c r="B409" s="41" t="s">
        <v>19</v>
      </c>
      <c r="C409" s="41">
        <v>107.7</v>
      </c>
      <c r="D409" s="41" t="s">
        <v>18</v>
      </c>
      <c r="E409" s="42">
        <v>13</v>
      </c>
      <c r="F409" s="42">
        <f>IF($B409="","",IF($D409="kg",N($E409),IF($D409="sacos",N($E409)*97,IF($D409="jabas",N($E409)*IFERROR(VLOOKUP($C409,LISTAS!$A$2:$B$12,2,0),0),""))))</f>
        <v>1261</v>
      </c>
      <c r="G409" s="41"/>
      <c r="H409" s="41" t="s">
        <v>108</v>
      </c>
      <c r="I409" s="41" t="s">
        <v>109</v>
      </c>
      <c r="J409">
        <f t="shared" si="11"/>
        <v>1261</v>
      </c>
    </row>
    <row r="410" spans="1:12" ht="15" customHeight="1" x14ac:dyDescent="0.2">
      <c r="A410" s="40">
        <v>46249</v>
      </c>
      <c r="B410" s="13" t="s">
        <v>11</v>
      </c>
      <c r="C410" s="13" t="s">
        <v>22</v>
      </c>
      <c r="D410" s="13" t="s">
        <v>13</v>
      </c>
      <c r="E410" s="42">
        <v>21</v>
      </c>
      <c r="F410" s="42">
        <f>IF($B410="","",IF($D410="kg",N($E410),IF($D410="sacos",N($E410)*97,IF($D410="jabas",N($E410)*IFERROR(VLOOKUP($C410,LISTAS!$A$2:$B$12,2,0),0),""))))</f>
        <v>315</v>
      </c>
      <c r="G410" s="41"/>
      <c r="H410" s="41"/>
      <c r="I410" s="41"/>
      <c r="J410">
        <f t="shared" si="11"/>
        <v>315</v>
      </c>
    </row>
    <row r="411" spans="1:12" ht="15" customHeight="1" x14ac:dyDescent="0.2">
      <c r="A411" s="40">
        <v>46249</v>
      </c>
      <c r="B411" s="13" t="s">
        <v>11</v>
      </c>
      <c r="C411" s="13" t="s">
        <v>23</v>
      </c>
      <c r="D411" s="13" t="s">
        <v>13</v>
      </c>
      <c r="E411" s="42">
        <v>11</v>
      </c>
      <c r="F411" s="42">
        <f>IF($B411="","",IF($D411="kg",N($E411),IF($D411="sacos",N($E411)*97,IF($D411="jabas",N($E411)*IFERROR(VLOOKUP($C411,LISTAS!$A$2:$B$12,2,0),0),""))))</f>
        <v>198</v>
      </c>
      <c r="G411" s="41"/>
      <c r="H411" s="41"/>
      <c r="I411" s="41"/>
      <c r="J411">
        <f t="shared" si="11"/>
        <v>198</v>
      </c>
    </row>
    <row r="412" spans="1:12" ht="15" customHeight="1" x14ac:dyDescent="0.2">
      <c r="A412" s="40">
        <v>46249</v>
      </c>
      <c r="B412" s="13" t="s">
        <v>11</v>
      </c>
      <c r="C412" s="13" t="s">
        <v>12</v>
      </c>
      <c r="D412" s="13" t="s">
        <v>13</v>
      </c>
      <c r="E412" s="42">
        <v>12</v>
      </c>
      <c r="F412" s="42">
        <f>IF($B412="","",IF($D412="kg",N($E412),IF($D412="sacos",N($E412)*97,IF($D412="jabas",N($E412)*IFERROR(VLOOKUP($C412,LISTAS!$A$2:$B$12,2,0),0),""))))</f>
        <v>204</v>
      </c>
      <c r="G412" s="41"/>
      <c r="H412" s="41"/>
      <c r="I412" s="41"/>
      <c r="J412">
        <f t="shared" si="11"/>
        <v>204</v>
      </c>
    </row>
    <row r="413" spans="1:12" ht="15" customHeight="1" x14ac:dyDescent="0.2">
      <c r="A413" s="40">
        <v>46249</v>
      </c>
      <c r="B413" s="13" t="s">
        <v>11</v>
      </c>
      <c r="C413" s="13" t="s">
        <v>16</v>
      </c>
      <c r="D413" s="13" t="s">
        <v>13</v>
      </c>
      <c r="E413" s="42">
        <v>27</v>
      </c>
      <c r="F413" s="42">
        <f>IF($B413="","",IF($D413="kg",N($E413),IF($D413="sacos",N($E413)*97,IF($D413="jabas",N($E413)*IFERROR(VLOOKUP($C413,LISTAS!$A$2:$B$12,2,0),0),""))))</f>
        <v>459</v>
      </c>
      <c r="G413" s="41"/>
      <c r="H413" s="41"/>
      <c r="I413" s="41"/>
      <c r="J413">
        <f t="shared" si="11"/>
        <v>459</v>
      </c>
    </row>
    <row r="414" spans="1:12" ht="15" customHeight="1" x14ac:dyDescent="0.2">
      <c r="A414" s="40">
        <v>46249</v>
      </c>
      <c r="B414" s="13" t="s">
        <v>11</v>
      </c>
      <c r="C414" s="13" t="s">
        <v>17</v>
      </c>
      <c r="D414" s="13" t="s">
        <v>18</v>
      </c>
      <c r="E414" s="42">
        <v>3.5</v>
      </c>
      <c r="F414" s="42">
        <f>IF($B414="","",IF($D414="kg",N($E414),IF($D414="sacos",N($E414)*97,IF($D414="jabas",N($E414)*IFERROR(VLOOKUP($C414,LISTAS!$A$2:$B$12,2,0),0),""))))</f>
        <v>339.5</v>
      </c>
      <c r="G414" s="41"/>
      <c r="H414" s="41"/>
      <c r="I414" s="41"/>
      <c r="J414">
        <f t="shared" si="11"/>
        <v>339.5</v>
      </c>
    </row>
    <row r="415" spans="1:12" ht="15" customHeight="1" x14ac:dyDescent="0.2">
      <c r="A415" s="40">
        <v>46249</v>
      </c>
      <c r="B415" s="41" t="s">
        <v>19</v>
      </c>
      <c r="C415" s="41"/>
      <c r="D415" s="41" t="s">
        <v>18</v>
      </c>
      <c r="E415" s="42">
        <v>3</v>
      </c>
      <c r="F415" s="42">
        <f>IF($B415="","",IF($D415="kg",N($E415),IF($D415="sacos",N($E415)*97,IF($D415="jabas",N($E415)*IFERROR(VLOOKUP($C415,LISTAS!$A$2:$B$12,2,0),0),""))))</f>
        <v>291</v>
      </c>
      <c r="G415" s="41"/>
      <c r="H415" s="41" t="s">
        <v>99</v>
      </c>
      <c r="I415" s="41" t="s">
        <v>99</v>
      </c>
      <c r="J415">
        <f t="shared" si="11"/>
        <v>291</v>
      </c>
    </row>
    <row r="416" spans="1:12" ht="15" customHeight="1" x14ac:dyDescent="0.2">
      <c r="A416" s="40">
        <v>46249</v>
      </c>
      <c r="B416" s="13" t="s">
        <v>11</v>
      </c>
      <c r="C416" s="13" t="s">
        <v>16</v>
      </c>
      <c r="D416" s="13" t="s">
        <v>13</v>
      </c>
      <c r="E416" s="42">
        <v>10</v>
      </c>
      <c r="F416" s="42">
        <f>IF($B416="","",IF($D416="kg",N($E416),IF($D416="sacos",N($E416)*97,IF($D416="jabas",N($E416)*IFERROR(VLOOKUP($C416,LISTAS!$A$2:$B$12,2,0),0),""))))</f>
        <v>170</v>
      </c>
      <c r="G416" s="41"/>
      <c r="H416" s="41"/>
      <c r="I416" s="41"/>
      <c r="J416">
        <f t="shared" si="11"/>
        <v>170</v>
      </c>
    </row>
    <row r="417" spans="1:10" ht="15" customHeight="1" x14ac:dyDescent="0.2">
      <c r="A417" s="40">
        <v>46249</v>
      </c>
      <c r="B417" s="13" t="s">
        <v>11</v>
      </c>
      <c r="C417" s="13" t="s">
        <v>17</v>
      </c>
      <c r="D417" s="13" t="s">
        <v>18</v>
      </c>
      <c r="E417" s="42">
        <v>1</v>
      </c>
      <c r="F417" s="42">
        <f>IF($B417="","",IF($D417="kg",N($E417),IF($D417="sacos",N($E417)*97,IF($D417="jabas",N($E417)*IFERROR(VLOOKUP($C417,LISTAS!$A$2:$B$12,2,0),0),""))))</f>
        <v>97</v>
      </c>
      <c r="G417" s="41"/>
      <c r="H417" s="41"/>
      <c r="I417" s="41"/>
      <c r="J417">
        <f t="shared" si="11"/>
        <v>97</v>
      </c>
    </row>
    <row r="418" spans="1:10" ht="15" customHeight="1" x14ac:dyDescent="0.2">
      <c r="A418" s="40">
        <v>46249</v>
      </c>
      <c r="B418" s="16" t="s">
        <v>24</v>
      </c>
      <c r="C418" s="16" t="s">
        <v>22</v>
      </c>
      <c r="D418" s="16" t="s">
        <v>13</v>
      </c>
      <c r="E418" s="42">
        <v>70</v>
      </c>
      <c r="F418" s="42">
        <f>IF($B418="","",IF($D418="kg",N($E418),IF($D418="sacos",N($E418)*97,IF($D418="jabas",N($E418)*IFERROR(VLOOKUP($C418,LISTAS!$A$2:$B$12,2,0),0),""))))</f>
        <v>1050</v>
      </c>
      <c r="G418" s="41">
        <v>3087</v>
      </c>
      <c r="H418" s="41"/>
      <c r="I418" s="41"/>
      <c r="J418">
        <f t="shared" si="11"/>
        <v>1050</v>
      </c>
    </row>
    <row r="419" spans="1:10" ht="15" customHeight="1" x14ac:dyDescent="0.2">
      <c r="A419" s="40">
        <v>46249</v>
      </c>
      <c r="B419" s="16" t="s">
        <v>24</v>
      </c>
      <c r="C419" s="16" t="s">
        <v>23</v>
      </c>
      <c r="D419" s="16" t="s">
        <v>13</v>
      </c>
      <c r="E419" s="42">
        <v>6</v>
      </c>
      <c r="F419" s="42">
        <f>IF($B419="","",IF($D419="kg",N($E419),IF($D419="sacos",N($E419)*97,IF($D419="jabas",N($E419)*IFERROR(VLOOKUP($C419,LISTAS!$A$2:$B$12,2,0),0),""))))</f>
        <v>108</v>
      </c>
      <c r="G419" s="41"/>
      <c r="H419" s="41"/>
      <c r="I419" s="41"/>
      <c r="J419">
        <f t="shared" si="11"/>
        <v>108</v>
      </c>
    </row>
    <row r="420" spans="1:10" ht="15" customHeight="1" x14ac:dyDescent="0.2">
      <c r="A420" s="40">
        <v>46249</v>
      </c>
      <c r="B420" s="16" t="s">
        <v>24</v>
      </c>
      <c r="C420" s="16" t="s">
        <v>12</v>
      </c>
      <c r="D420" s="16" t="s">
        <v>13</v>
      </c>
      <c r="E420" s="42">
        <v>10</v>
      </c>
      <c r="F420" s="42">
        <f>IF($B420="","",IF($D420="kg",N($E420),IF($D420="sacos",N($E420)*97,IF($D420="jabas",N($E420)*IFERROR(VLOOKUP($C420,LISTAS!$A$2:$B$12,2,0),0),""))))</f>
        <v>170</v>
      </c>
      <c r="G420" s="41"/>
      <c r="H420" s="41"/>
      <c r="I420" s="41"/>
      <c r="J420">
        <f t="shared" si="11"/>
        <v>170</v>
      </c>
    </row>
    <row r="421" spans="1:10" ht="15" customHeight="1" x14ac:dyDescent="0.2">
      <c r="A421" s="40">
        <v>46249</v>
      </c>
      <c r="B421" s="46" t="s">
        <v>24</v>
      </c>
      <c r="C421" s="46" t="s">
        <v>16</v>
      </c>
      <c r="D421" s="46" t="s">
        <v>13</v>
      </c>
      <c r="E421" s="42">
        <v>118</v>
      </c>
      <c r="F421" s="42">
        <f>IF($B421="","",IF($D421="kg",N($E421),IF($D421="sacos",N($E421)*97,IF($D421="jabas",N($E421)*IFERROR(VLOOKUP($C421,LISTAS!$A$2:$B$12,2,0),0),""))))</f>
        <v>2006</v>
      </c>
      <c r="G421" s="41"/>
      <c r="H421" s="41"/>
      <c r="I421" s="41"/>
      <c r="J421">
        <f t="shared" si="11"/>
        <v>2006</v>
      </c>
    </row>
    <row r="422" spans="1:10" ht="15" customHeight="1" x14ac:dyDescent="0.2">
      <c r="A422" s="40">
        <v>46250</v>
      </c>
      <c r="B422" s="41" t="s">
        <v>19</v>
      </c>
      <c r="C422" s="41">
        <v>107.7</v>
      </c>
      <c r="D422" s="41" t="s">
        <v>18</v>
      </c>
      <c r="E422" s="42">
        <v>23</v>
      </c>
      <c r="F422" s="42">
        <f>IF($B422="","",IF($D422="kg",N($E422),IF($D422="sacos",N($E422)*97,IF($D422="jabas",N($E422)*IFERROR(VLOOKUP($C422,LISTAS!$A$2:$B$12,2,0),0),""))))</f>
        <v>2231</v>
      </c>
      <c r="G422" s="41"/>
      <c r="H422" s="41" t="s">
        <v>108</v>
      </c>
      <c r="I422" s="41" t="s">
        <v>110</v>
      </c>
      <c r="J422">
        <f t="shared" si="11"/>
        <v>2231</v>
      </c>
    </row>
    <row r="423" spans="1:10" ht="15" customHeight="1" x14ac:dyDescent="0.2">
      <c r="A423" s="40">
        <v>46250</v>
      </c>
      <c r="B423" s="13" t="s">
        <v>11</v>
      </c>
      <c r="C423" s="13" t="s">
        <v>22</v>
      </c>
      <c r="D423" s="13" t="s">
        <v>13</v>
      </c>
      <c r="E423" s="42">
        <v>43</v>
      </c>
      <c r="F423" s="42">
        <f>IF($B423="","",IF($D423="kg",N($E423),IF($D423="sacos",N($E423)*97,IF($D423="jabas",N($E423)*IFERROR(VLOOKUP($C423,LISTAS!$A$2:$B$12,2,0),0),""))))</f>
        <v>645</v>
      </c>
      <c r="G423" s="41"/>
      <c r="H423" s="41"/>
      <c r="I423" s="41"/>
      <c r="J423">
        <f t="shared" si="11"/>
        <v>645</v>
      </c>
    </row>
    <row r="424" spans="1:10" ht="15" customHeight="1" x14ac:dyDescent="0.2">
      <c r="A424" s="40">
        <v>46250</v>
      </c>
      <c r="B424" s="13" t="s">
        <v>11</v>
      </c>
      <c r="C424" s="13" t="s">
        <v>16</v>
      </c>
      <c r="D424" s="13" t="s">
        <v>13</v>
      </c>
      <c r="E424" s="42">
        <v>71</v>
      </c>
      <c r="F424" s="42">
        <f>IF($B424="","",IF($D424="kg",N($E424),IF($D424="sacos",N($E424)*97,IF($D424="jabas",N($E424)*IFERROR(VLOOKUP($C424,LISTAS!$A$2:$B$12,2,0),0),""))))</f>
        <v>1207</v>
      </c>
      <c r="G424" s="41"/>
      <c r="H424" s="41"/>
      <c r="I424" s="41"/>
      <c r="J424">
        <f t="shared" si="11"/>
        <v>1207</v>
      </c>
    </row>
    <row r="425" spans="1:10" ht="15" customHeight="1" x14ac:dyDescent="0.2">
      <c r="A425" s="40">
        <v>46250</v>
      </c>
      <c r="B425" s="41" t="s">
        <v>11</v>
      </c>
      <c r="C425" s="41" t="s">
        <v>17</v>
      </c>
      <c r="D425" s="41" t="s">
        <v>18</v>
      </c>
      <c r="E425" s="42">
        <v>3.5</v>
      </c>
      <c r="F425" s="42">
        <f>IF($B425="","",IF($D425="kg",N($E425),IF($D425="sacos",N($E425)*97,IF($D425="jabas",N($E425)*IFERROR(VLOOKUP($C425,LISTAS!$A$2:$B$12,2,0),0),""))))</f>
        <v>339.5</v>
      </c>
      <c r="G425" s="41"/>
      <c r="H425" s="41"/>
      <c r="I425" s="41"/>
      <c r="J425">
        <f t="shared" si="11"/>
        <v>339.5</v>
      </c>
    </row>
    <row r="426" spans="1:10" ht="15" customHeight="1" x14ac:dyDescent="0.2">
      <c r="A426" s="40">
        <v>46250</v>
      </c>
      <c r="B426" s="41" t="s">
        <v>29</v>
      </c>
      <c r="C426" s="41" t="s">
        <v>17</v>
      </c>
      <c r="D426" s="41" t="s">
        <v>18</v>
      </c>
      <c r="E426" s="42">
        <v>0.5</v>
      </c>
      <c r="F426" s="42">
        <f>IF($B426="","",IF($D426="kg",N($E426),IF($D426="sacos",N($E426)*97,IF($D426="jabas",N($E426)*IFERROR(VLOOKUP($C426,LISTAS!$A$2:$B$12,2,0),0),""))))</f>
        <v>48.5</v>
      </c>
      <c r="G426" s="41"/>
      <c r="H426" s="41"/>
      <c r="I426" s="41" t="s">
        <v>111</v>
      </c>
    </row>
    <row r="427" spans="1:10" ht="15" customHeight="1" x14ac:dyDescent="0.2">
      <c r="A427" s="40">
        <v>46250</v>
      </c>
      <c r="B427" s="41" t="s">
        <v>29</v>
      </c>
      <c r="C427" s="41" t="s">
        <v>17</v>
      </c>
      <c r="D427" s="41" t="s">
        <v>18</v>
      </c>
      <c r="E427" s="42">
        <v>2</v>
      </c>
      <c r="F427" s="42">
        <f>IF($B427="","",IF($D427="kg",N($E427),IF($D427="sacos",N($E427)*97,IF($D427="jabas",N($E427)*IFERROR(VLOOKUP($C427,LISTAS!$A$2:$B$12,2,0),0),""))))</f>
        <v>194</v>
      </c>
      <c r="G427" s="41"/>
      <c r="H427" s="41"/>
      <c r="I427" s="41" t="s">
        <v>112</v>
      </c>
      <c r="J427">
        <f t="shared" ref="J427:J432" si="12">N($F427)</f>
        <v>194</v>
      </c>
    </row>
    <row r="428" spans="1:10" ht="15" customHeight="1" x14ac:dyDescent="0.2">
      <c r="A428" s="40">
        <v>46250</v>
      </c>
      <c r="B428" s="41" t="s">
        <v>29</v>
      </c>
      <c r="C428" s="41" t="s">
        <v>17</v>
      </c>
      <c r="D428" s="41" t="s">
        <v>18</v>
      </c>
      <c r="E428" s="42">
        <v>1</v>
      </c>
      <c r="F428" s="42">
        <f>IF($B428="","",IF($D428="kg",N($E428),IF($D428="sacos",N($E428)*97,IF($D428="jabas",N($E428)*IFERROR(VLOOKUP($C428,LISTAS!$A$2:$B$12,2,0),0),""))))</f>
        <v>97</v>
      </c>
      <c r="G428" s="41"/>
      <c r="H428" s="41"/>
      <c r="I428" s="41" t="s">
        <v>113</v>
      </c>
      <c r="J428">
        <f t="shared" si="12"/>
        <v>97</v>
      </c>
    </row>
    <row r="429" spans="1:10" ht="15" customHeight="1" x14ac:dyDescent="0.2">
      <c r="A429" s="40">
        <v>46250</v>
      </c>
      <c r="B429" s="16" t="s">
        <v>24</v>
      </c>
      <c r="C429" s="16" t="s">
        <v>22</v>
      </c>
      <c r="D429" s="16" t="s">
        <v>13</v>
      </c>
      <c r="E429" s="42">
        <v>67</v>
      </c>
      <c r="F429" s="42">
        <f>IF($B429="","",IF($D429="kg",N($E429),IF($D429="sacos",N($E429)*97,IF($D429="jabas",N($E429)*IFERROR(VLOOKUP($C429,LISTAS!$A$2:$B$12,2,0),0),""))))</f>
        <v>1005</v>
      </c>
      <c r="G429" s="41">
        <v>3090</v>
      </c>
      <c r="H429" s="41"/>
      <c r="I429" s="41"/>
      <c r="J429">
        <f t="shared" si="12"/>
        <v>1005</v>
      </c>
    </row>
    <row r="430" spans="1:10" ht="15" customHeight="1" x14ac:dyDescent="0.2">
      <c r="A430" s="40">
        <v>46250</v>
      </c>
      <c r="B430" s="16" t="s">
        <v>24</v>
      </c>
      <c r="C430" s="16" t="s">
        <v>23</v>
      </c>
      <c r="D430" s="16" t="s">
        <v>13</v>
      </c>
      <c r="E430" s="42">
        <v>11</v>
      </c>
      <c r="F430" s="42">
        <f>IF($B430="","",IF($D430="kg",N($E430),IF($D430="sacos",N($E430)*97,IF($D430="jabas",N($E430)*IFERROR(VLOOKUP($C430,LISTAS!$A$2:$B$12,2,0),0),""))))</f>
        <v>198</v>
      </c>
      <c r="G430" s="41"/>
      <c r="H430" s="41"/>
      <c r="I430" s="41"/>
      <c r="J430">
        <f t="shared" si="12"/>
        <v>198</v>
      </c>
    </row>
    <row r="431" spans="1:10" ht="15" customHeight="1" x14ac:dyDescent="0.2">
      <c r="A431" s="40">
        <v>46250</v>
      </c>
      <c r="B431" s="16" t="s">
        <v>24</v>
      </c>
      <c r="C431" s="16" t="s">
        <v>12</v>
      </c>
      <c r="D431" s="16" t="s">
        <v>13</v>
      </c>
      <c r="E431" s="42">
        <v>12</v>
      </c>
      <c r="F431" s="42">
        <f>IF($B431="","",IF($D431="kg",N($E431),IF($D431="sacos",N($E431)*97,IF($D431="jabas",N($E431)*IFERROR(VLOOKUP($C431,LISTAS!$A$2:$B$12,2,0),0),""))))</f>
        <v>204</v>
      </c>
      <c r="G431" s="41"/>
      <c r="H431" s="41"/>
      <c r="I431" s="41"/>
      <c r="J431">
        <f t="shared" si="12"/>
        <v>204</v>
      </c>
    </row>
    <row r="432" spans="1:10" ht="15" customHeight="1" x14ac:dyDescent="0.2">
      <c r="A432" s="40">
        <v>46250</v>
      </c>
      <c r="B432" s="46" t="s">
        <v>24</v>
      </c>
      <c r="C432" s="46" t="s">
        <v>16</v>
      </c>
      <c r="D432" s="46" t="s">
        <v>13</v>
      </c>
      <c r="E432" s="42">
        <v>94</v>
      </c>
      <c r="F432" s="42">
        <f>IF($B432="","",IF($D432="kg",N($E432),IF($D432="sacos",N($E432)*97,IF($D432="jabas",N($E432)*IFERROR(VLOOKUP($C432,LISTAS!$A$2:$B$12,2,0),0),""))))</f>
        <v>1598</v>
      </c>
      <c r="G432" s="41"/>
      <c r="H432" s="41"/>
      <c r="I432" s="41"/>
      <c r="J432">
        <f t="shared" si="12"/>
        <v>1598</v>
      </c>
    </row>
    <row r="433" spans="1:14" ht="15" customHeight="1" x14ac:dyDescent="0.2">
      <c r="A433" s="40">
        <v>46250</v>
      </c>
      <c r="B433" s="46" t="s">
        <v>43</v>
      </c>
      <c r="C433" s="46" t="s">
        <v>22</v>
      </c>
      <c r="D433" s="46" t="s">
        <v>13</v>
      </c>
      <c r="E433" s="42">
        <v>1</v>
      </c>
      <c r="F433" s="42">
        <f>IF($B433="","",IF($D433="kg",N($E433),IF($D433="sacos",N($E433)*97,IF($D433="jabas",N($E433)*IFERROR(VLOOKUP($C433,LISTAS!$A$2:$B$12,2,0),0),""))))</f>
        <v>15</v>
      </c>
      <c r="G433" s="41"/>
      <c r="H433" s="41"/>
      <c r="I433" s="41"/>
    </row>
    <row r="434" spans="1:14" ht="15" customHeight="1" x14ac:dyDescent="0.2">
      <c r="A434" s="24">
        <v>46247</v>
      </c>
      <c r="B434" s="28" t="s">
        <v>44</v>
      </c>
      <c r="C434" s="28" t="s">
        <v>16</v>
      </c>
      <c r="D434" s="28" t="s">
        <v>45</v>
      </c>
      <c r="E434" s="29">
        <v>7.5</v>
      </c>
      <c r="F434" s="29">
        <f>IF($B434="","",IF($D434="kg",N($E434),IF($D434="sacos",N($E434)*97,IF($D434="jabas",N($E434)*IFERROR(VLOOKUP($C434,LISTAS!$A$2:$B$12,2,0),0),""))))</f>
        <v>7.5</v>
      </c>
      <c r="G434" s="41"/>
      <c r="H434" s="41"/>
      <c r="I434" s="41"/>
    </row>
    <row r="435" spans="1:14" ht="15" customHeight="1" x14ac:dyDescent="0.2">
      <c r="A435" s="40">
        <v>46251</v>
      </c>
      <c r="B435" s="41" t="s">
        <v>19</v>
      </c>
      <c r="C435" s="41">
        <v>107.7</v>
      </c>
      <c r="D435" s="41" t="s">
        <v>18</v>
      </c>
      <c r="E435" s="42">
        <v>36</v>
      </c>
      <c r="F435" s="42">
        <f>IF($B435="","",IF($D435="kg",N($E435),IF($D435="sacos",N($E435)*97,IF($D435="jabas",N($E435)*IFERROR(VLOOKUP($C435,LISTAS!$A$2:$B$12,2,0),0),""))))</f>
        <v>3492</v>
      </c>
      <c r="G435" s="41"/>
      <c r="H435" s="41" t="s">
        <v>92</v>
      </c>
      <c r="I435" s="41" t="s">
        <v>114</v>
      </c>
    </row>
    <row r="436" spans="1:14" ht="15" customHeight="1" x14ac:dyDescent="0.2">
      <c r="A436" s="40">
        <v>46251</v>
      </c>
      <c r="B436" s="13" t="s">
        <v>11</v>
      </c>
      <c r="C436" s="13" t="s">
        <v>22</v>
      </c>
      <c r="D436" s="13" t="s">
        <v>13</v>
      </c>
      <c r="E436" s="42">
        <v>43</v>
      </c>
      <c r="F436" s="42">
        <f>IF($B436="","",IF($D436="kg",N($E436),IF($D436="sacos",N($E436)*97,IF($D436="jabas",N($E436)*IFERROR(VLOOKUP($C436,LISTAS!$A$2:$B$12,2,0),0),""))))</f>
        <v>645</v>
      </c>
      <c r="G436" s="41"/>
      <c r="H436" s="41"/>
      <c r="I436" s="41"/>
    </row>
    <row r="437" spans="1:14" ht="15" customHeight="1" x14ac:dyDescent="0.2">
      <c r="A437" s="40">
        <v>46251</v>
      </c>
      <c r="B437" s="13" t="s">
        <v>11</v>
      </c>
      <c r="C437" s="13" t="s">
        <v>23</v>
      </c>
      <c r="D437" s="13" t="s">
        <v>13</v>
      </c>
      <c r="E437" s="42">
        <v>11</v>
      </c>
      <c r="F437" s="42">
        <f>IF($B437="","",IF($D437="kg",N($E437),IF($D437="sacos",N($E437)*97,IF($D437="jabas",N($E437)*IFERROR(VLOOKUP($C437,LISTAS!$A$2:$B$12,2,0),0),""))))</f>
        <v>198</v>
      </c>
      <c r="G437" s="41"/>
      <c r="H437" s="41"/>
      <c r="I437" s="41"/>
    </row>
    <row r="438" spans="1:14" ht="15" customHeight="1" x14ac:dyDescent="0.2">
      <c r="A438" s="40">
        <v>46251</v>
      </c>
      <c r="B438" s="13" t="s">
        <v>11</v>
      </c>
      <c r="C438" s="13" t="s">
        <v>12</v>
      </c>
      <c r="D438" s="13" t="s">
        <v>13</v>
      </c>
      <c r="E438" s="42">
        <v>12</v>
      </c>
      <c r="F438" s="42">
        <f>IF($B438="","",IF($D438="kg",N($E438),IF($D438="sacos",N($E438)*97,IF($D438="jabas",N($E438)*IFERROR(VLOOKUP($C438,LISTAS!$A$2:$B$12,2,0),0),""))))</f>
        <v>204</v>
      </c>
      <c r="G438" s="41"/>
      <c r="H438" s="41"/>
      <c r="I438" s="41"/>
    </row>
    <row r="439" spans="1:14" ht="15" customHeight="1" x14ac:dyDescent="0.2">
      <c r="A439" s="40">
        <v>46251</v>
      </c>
      <c r="B439" s="13" t="s">
        <v>11</v>
      </c>
      <c r="C439" s="13" t="s">
        <v>16</v>
      </c>
      <c r="D439" s="13" t="s">
        <v>13</v>
      </c>
      <c r="E439" s="42">
        <v>78</v>
      </c>
      <c r="F439" s="42">
        <f>IF($B439="","",IF($D439="kg",N($E439),IF($D439="sacos",N($E439)*97,IF($D439="jabas",N($E439)*IFERROR(VLOOKUP($C439,LISTAS!$A$2:$B$12,2,0),0),""))))</f>
        <v>1326</v>
      </c>
      <c r="G439" s="41"/>
      <c r="H439" s="41"/>
      <c r="I439" s="41"/>
    </row>
    <row r="440" spans="1:14" ht="15" customHeight="1" x14ac:dyDescent="0.2">
      <c r="A440" s="40">
        <v>46251</v>
      </c>
      <c r="B440" s="13" t="s">
        <v>11</v>
      </c>
      <c r="C440" s="13" t="s">
        <v>17</v>
      </c>
      <c r="D440" s="13" t="s">
        <v>18</v>
      </c>
      <c r="E440" s="42">
        <v>2</v>
      </c>
      <c r="F440" s="42">
        <f>IF($B440="","",IF($D440="kg",N($E440),IF($D440="sacos",N($E440)*97,IF($D440="jabas",N($E440)*IFERROR(VLOOKUP($C440,LISTAS!$A$2:$B$12,2,0),0),""))))</f>
        <v>194</v>
      </c>
      <c r="G440" s="41"/>
      <c r="H440" s="41"/>
      <c r="I440" s="41"/>
    </row>
    <row r="441" spans="1:14" ht="15" customHeight="1" x14ac:dyDescent="0.2">
      <c r="A441" s="40">
        <v>46251</v>
      </c>
      <c r="B441" s="16" t="s">
        <v>24</v>
      </c>
      <c r="C441" s="16" t="s">
        <v>22</v>
      </c>
      <c r="D441" s="16" t="s">
        <v>13</v>
      </c>
      <c r="E441" s="42">
        <v>67</v>
      </c>
      <c r="F441" s="42">
        <f>IF($B441="","",IF($D441="kg",N($E441),IF($D441="sacos",N($E441)*97,IF($D441="jabas",N($E441)*IFERROR(VLOOKUP($C441,LISTAS!$A$2:$B$12,2,0),0),""))))</f>
        <v>1005</v>
      </c>
      <c r="G441" s="41">
        <v>3092</v>
      </c>
      <c r="H441" s="41"/>
      <c r="I441" s="41"/>
    </row>
    <row r="442" spans="1:14" ht="15" customHeight="1" x14ac:dyDescent="0.2">
      <c r="A442" s="40">
        <v>46251</v>
      </c>
      <c r="B442" s="16" t="s">
        <v>24</v>
      </c>
      <c r="C442" s="16" t="s">
        <v>23</v>
      </c>
      <c r="D442" s="16" t="s">
        <v>13</v>
      </c>
      <c r="E442" s="42">
        <v>11</v>
      </c>
      <c r="F442" s="42">
        <f>IF($B442="","",IF($D442="kg",N($E442),IF($D442="sacos",N($E442)*97,IF($D442="jabas",N($E442)*IFERROR(VLOOKUP($C442,LISTAS!$A$2:$B$12,2,0),0),""))))</f>
        <v>198</v>
      </c>
      <c r="G442" s="41"/>
      <c r="H442" s="41"/>
      <c r="I442" s="41"/>
    </row>
    <row r="443" spans="1:14" ht="15" customHeight="1" x14ac:dyDescent="0.2">
      <c r="A443" s="40">
        <v>46251</v>
      </c>
      <c r="B443" s="16" t="s">
        <v>24</v>
      </c>
      <c r="C443" s="16" t="s">
        <v>12</v>
      </c>
      <c r="D443" s="16" t="s">
        <v>13</v>
      </c>
      <c r="E443" s="42">
        <v>12</v>
      </c>
      <c r="F443" s="42">
        <f>IF($B443="","",IF($D443="kg",N($E443),IF($D443="sacos",N($E443)*97,IF($D443="jabas",N($E443)*IFERROR(VLOOKUP($C443,LISTAS!$A$2:$B$12,2,0),0),""))))</f>
        <v>204</v>
      </c>
      <c r="G443" s="41"/>
      <c r="H443" s="41"/>
      <c r="I443" s="41"/>
    </row>
    <row r="444" spans="1:14" ht="15" customHeight="1" x14ac:dyDescent="0.2">
      <c r="A444" s="40">
        <v>46251</v>
      </c>
      <c r="B444" s="46" t="s">
        <v>24</v>
      </c>
      <c r="C444" s="46" t="s">
        <v>16</v>
      </c>
      <c r="D444" s="46" t="s">
        <v>13</v>
      </c>
      <c r="E444" s="42">
        <v>118</v>
      </c>
      <c r="F444" s="42">
        <f>IF($B444="","",IF($D444="kg",N($E444),IF($D444="sacos",N($E444)*97,IF($D444="jabas",N($E444)*IFERROR(VLOOKUP($C444,LISTAS!$A$2:$B$12,2,0),0),""))))</f>
        <v>2006</v>
      </c>
      <c r="G444" s="41"/>
      <c r="H444" s="41"/>
      <c r="I444" s="41"/>
    </row>
    <row r="445" spans="1:14" ht="15" customHeight="1" x14ac:dyDescent="0.2">
      <c r="A445" s="40">
        <v>46251</v>
      </c>
      <c r="B445" s="41" t="s">
        <v>29</v>
      </c>
      <c r="C445" s="41" t="s">
        <v>17</v>
      </c>
      <c r="D445" s="41" t="s">
        <v>18</v>
      </c>
      <c r="E445" s="42">
        <v>14.5</v>
      </c>
      <c r="F445" s="42">
        <f>IF($B445="","",IF($D445="kg",N($E445),IF($D445="sacos",N($E445)*97,IF($D445="jabas",N($E445)*IFERROR(VLOOKUP($C445,LISTAS!$A$2:$B$12,2,0),0),""))))</f>
        <v>1406.5</v>
      </c>
      <c r="G445" s="41"/>
      <c r="H445" s="41"/>
      <c r="I445" s="41" t="s">
        <v>49</v>
      </c>
    </row>
    <row r="446" spans="1:14" ht="15" customHeight="1" x14ac:dyDescent="0.2">
      <c r="A446" s="40">
        <v>46252</v>
      </c>
      <c r="B446" s="41" t="s">
        <v>19</v>
      </c>
      <c r="C446" s="41">
        <v>107.7</v>
      </c>
      <c r="D446" s="41" t="s">
        <v>18</v>
      </c>
      <c r="E446" s="42">
        <v>64</v>
      </c>
      <c r="F446" s="42">
        <f>IF($B446="","",IF($D446="kg",N($E446),IF($D446="sacos",N($E446)*97,IF($D446="jabas",N($E446)*IFERROR(VLOOKUP($C446,LISTAS!$A$2:$B$12,2,0),0),""))))</f>
        <v>6208</v>
      </c>
      <c r="G446" s="41"/>
      <c r="H446" s="41" t="s">
        <v>92</v>
      </c>
      <c r="I446" s="41" t="s">
        <v>115</v>
      </c>
      <c r="N446" s="58"/>
    </row>
    <row r="447" spans="1:14" ht="15" customHeight="1" x14ac:dyDescent="0.2">
      <c r="A447" s="40">
        <v>46252</v>
      </c>
      <c r="B447" s="13" t="s">
        <v>11</v>
      </c>
      <c r="C447" s="13" t="s">
        <v>22</v>
      </c>
      <c r="D447" s="13" t="s">
        <v>13</v>
      </c>
      <c r="E447" s="42">
        <v>122</v>
      </c>
      <c r="F447" s="42">
        <f>IF($B447="","",IF($D447="kg",N($E447),IF($D447="sacos",N($E447)*97,IF($D447="jabas",N($E447)*IFERROR(VLOOKUP($C447,LISTAS!$A$2:$B$12,2,0),0),""))))</f>
        <v>1830</v>
      </c>
      <c r="G447" s="41"/>
      <c r="H447" s="41"/>
      <c r="I447" s="41"/>
    </row>
    <row r="448" spans="1:14" ht="15" customHeight="1" x14ac:dyDescent="0.2">
      <c r="A448" s="40">
        <v>46252</v>
      </c>
      <c r="B448" s="13" t="s">
        <v>11</v>
      </c>
      <c r="C448" s="13" t="s">
        <v>23</v>
      </c>
      <c r="D448" s="13" t="s">
        <v>13</v>
      </c>
      <c r="E448" s="42">
        <v>22</v>
      </c>
      <c r="F448" s="42">
        <f>IF($B448="","",IF($D448="kg",N($E448),IF($D448="sacos",N($E448)*97,IF($D448="jabas",N($E448)*IFERROR(VLOOKUP($C448,LISTAS!$A$2:$B$12,2,0),0),""))))</f>
        <v>396</v>
      </c>
      <c r="G448" s="41"/>
      <c r="H448" s="41"/>
      <c r="I448" s="41"/>
    </row>
    <row r="449" spans="1:14" ht="15" customHeight="1" x14ac:dyDescent="0.2">
      <c r="A449" s="40">
        <v>46252</v>
      </c>
      <c r="B449" s="13" t="s">
        <v>11</v>
      </c>
      <c r="C449" s="13" t="s">
        <v>12</v>
      </c>
      <c r="D449" s="13" t="s">
        <v>13</v>
      </c>
      <c r="E449" s="42">
        <v>22</v>
      </c>
      <c r="F449" s="42">
        <f>IF($B449="","",IF($D449="kg",N($E449),IF($D449="sacos",N($E449)*97,IF($D449="jabas",N($E449)*IFERROR(VLOOKUP($C449,LISTAS!$A$2:$B$12,2,0),0),""))))</f>
        <v>374</v>
      </c>
      <c r="G449" s="41"/>
      <c r="H449" s="41"/>
      <c r="I449" s="41"/>
    </row>
    <row r="450" spans="1:14" ht="15" customHeight="1" x14ac:dyDescent="0.2">
      <c r="A450" s="40">
        <v>46252</v>
      </c>
      <c r="B450" s="13" t="s">
        <v>11</v>
      </c>
      <c r="C450" s="13" t="s">
        <v>16</v>
      </c>
      <c r="D450" s="13" t="s">
        <v>13</v>
      </c>
      <c r="E450" s="42">
        <v>192</v>
      </c>
      <c r="F450" s="42">
        <f>IF($B450="","",IF($D450="kg",N($E450),IF($D450="sacos",N($E450)*97,IF($D450="jabas",N($E450)*IFERROR(VLOOKUP($C450,LISTAS!$A$2:$B$12,2,0),0),""))))</f>
        <v>3264</v>
      </c>
      <c r="G450" s="41"/>
      <c r="H450" s="41"/>
      <c r="I450" s="41"/>
      <c r="N450" s="58"/>
    </row>
    <row r="451" spans="1:14" ht="15" customHeight="1" x14ac:dyDescent="0.2">
      <c r="A451" s="40">
        <v>46252</v>
      </c>
      <c r="B451" s="13" t="s">
        <v>11</v>
      </c>
      <c r="C451" s="13" t="s">
        <v>17</v>
      </c>
      <c r="D451" s="13" t="s">
        <v>18</v>
      </c>
      <c r="E451" s="42">
        <v>6</v>
      </c>
      <c r="F451" s="42">
        <f>IF($B451="","",IF($D451="kg",N($E451),IF($D451="sacos",N($E451)*97,IF($D451="jabas",N($E451)*IFERROR(VLOOKUP($C451,LISTAS!$A$2:$B$12,2,0),0),""))))</f>
        <v>582</v>
      </c>
      <c r="G451" s="41"/>
      <c r="H451" s="41"/>
      <c r="I451" s="41"/>
    </row>
    <row r="452" spans="1:14" ht="15" customHeight="1" x14ac:dyDescent="0.2">
      <c r="A452" s="40">
        <v>46252</v>
      </c>
      <c r="B452" s="16" t="s">
        <v>24</v>
      </c>
      <c r="C452" s="16" t="s">
        <v>22</v>
      </c>
      <c r="D452" s="16" t="s">
        <v>13</v>
      </c>
      <c r="E452" s="42">
        <v>67</v>
      </c>
      <c r="F452" s="42">
        <f>IF($B452="","",IF($D452="kg",N($E452),IF($D452="sacos",N($E452)*97,IF($D452="jabas",N($E452)*IFERROR(VLOOKUP($C452,LISTAS!$A$2:$B$12,2,0),0),""))))</f>
        <v>1005</v>
      </c>
      <c r="G452" s="41">
        <v>3094</v>
      </c>
      <c r="H452" s="41"/>
      <c r="I452" s="41"/>
      <c r="M452" s="58"/>
      <c r="N452" s="58"/>
    </row>
    <row r="453" spans="1:14" ht="15" customHeight="1" x14ac:dyDescent="0.2">
      <c r="A453" s="40">
        <v>46252</v>
      </c>
      <c r="B453" s="16" t="s">
        <v>24</v>
      </c>
      <c r="C453" s="16" t="s">
        <v>23</v>
      </c>
      <c r="D453" s="16" t="s">
        <v>13</v>
      </c>
      <c r="E453" s="42">
        <v>11</v>
      </c>
      <c r="F453" s="42">
        <f>IF($B453="","",IF($D453="kg",N($E453),IF($D453="sacos",N($E453)*97,IF($D453="jabas",N($E453)*IFERROR(VLOOKUP($C453,LISTAS!$A$2:$B$12,2,0),0),""))))</f>
        <v>198</v>
      </c>
      <c r="G453" s="41"/>
      <c r="H453" s="41"/>
      <c r="I453" s="41"/>
    </row>
    <row r="454" spans="1:14" ht="15" customHeight="1" x14ac:dyDescent="0.2">
      <c r="A454" s="40">
        <v>46252</v>
      </c>
      <c r="B454" s="16" t="s">
        <v>24</v>
      </c>
      <c r="C454" s="16" t="s">
        <v>12</v>
      </c>
      <c r="D454" s="16" t="s">
        <v>13</v>
      </c>
      <c r="E454" s="42">
        <v>12</v>
      </c>
      <c r="F454" s="42">
        <f>IF($B454="","",IF($D454="kg",N($E454),IF($D454="sacos",N($E454)*97,IF($D454="jabas",N($E454)*IFERROR(VLOOKUP($C454,LISTAS!$A$2:$B$12,2,0),0),""))))</f>
        <v>204</v>
      </c>
      <c r="G454" s="41"/>
      <c r="H454" s="41"/>
      <c r="I454" s="41"/>
    </row>
    <row r="455" spans="1:14" ht="15" customHeight="1" x14ac:dyDescent="0.2">
      <c r="A455" s="40">
        <v>46252</v>
      </c>
      <c r="B455" s="46" t="s">
        <v>24</v>
      </c>
      <c r="C455" s="46" t="s">
        <v>16</v>
      </c>
      <c r="D455" s="46" t="s">
        <v>13</v>
      </c>
      <c r="E455" s="42">
        <v>118</v>
      </c>
      <c r="F455" s="42">
        <f>IF($B455="","",IF($D455="kg",N($E455),IF($D455="sacos",N($E455)*97,IF($D455="jabas",N($E455)*IFERROR(VLOOKUP($C455,LISTAS!$A$2:$B$12,2,0),0),""))))</f>
        <v>2006</v>
      </c>
      <c r="G455" s="41"/>
      <c r="H455" s="41"/>
      <c r="I455" s="41"/>
    </row>
    <row r="456" spans="1:14" ht="15" customHeight="1" x14ac:dyDescent="0.2">
      <c r="A456" s="40">
        <v>46252</v>
      </c>
      <c r="B456" s="16" t="s">
        <v>50</v>
      </c>
      <c r="C456" s="16" t="s">
        <v>22</v>
      </c>
      <c r="D456" s="16" t="s">
        <v>13</v>
      </c>
      <c r="E456" s="42">
        <v>10</v>
      </c>
      <c r="F456" s="42">
        <f>IF($B456="","",IF($D456="kg",N($E456),IF($D456="sacos",N($E456)*97,IF($D456="jabas",N($E456)*IFERROR(VLOOKUP($C456,LISTAS!$A$2:$B$12,2,0),0),""))))</f>
        <v>150</v>
      </c>
      <c r="G456" s="41"/>
      <c r="H456" s="41"/>
      <c r="I456" s="41"/>
    </row>
    <row r="457" spans="1:14" ht="15" customHeight="1" x14ac:dyDescent="0.2">
      <c r="A457" s="40">
        <v>46252</v>
      </c>
      <c r="B457" s="46" t="s">
        <v>44</v>
      </c>
      <c r="C457" s="46" t="s">
        <v>22</v>
      </c>
      <c r="D457" s="46" t="s">
        <v>13</v>
      </c>
      <c r="E457" s="42">
        <v>5</v>
      </c>
      <c r="F457" s="42">
        <f>IF($B457="","",IF($D457="kg",N($E457),IF($D457="sacos",N($E457)*97,IF($D457="jabas",N($E457)*IFERROR(VLOOKUP($C457,LISTAS!$A$2:$B$12,2,0),0),""))))</f>
        <v>75</v>
      </c>
      <c r="G457" s="41"/>
      <c r="H457" s="41"/>
      <c r="I457" s="41"/>
    </row>
    <row r="458" spans="1:14" ht="15" customHeight="1" x14ac:dyDescent="0.2">
      <c r="A458" s="40">
        <v>46252</v>
      </c>
      <c r="B458" s="16" t="s">
        <v>29</v>
      </c>
      <c r="C458" s="16" t="s">
        <v>17</v>
      </c>
      <c r="D458" s="16" t="s">
        <v>45</v>
      </c>
      <c r="E458" s="42">
        <v>10</v>
      </c>
      <c r="F458" s="42">
        <f>IF($B458="","",IF($D458="kg",N($E458),IF($D458="sacos",N($E458)*97,IF($D458="jabas",N($E458)*IFERROR(VLOOKUP($C458,LISTAS!$A$2:$B$12,2,0),0),""))))</f>
        <v>10</v>
      </c>
      <c r="G458" s="41"/>
      <c r="H458" s="41"/>
      <c r="I458" s="41" t="s">
        <v>116</v>
      </c>
    </row>
    <row r="459" spans="1:14" ht="15" customHeight="1" x14ac:dyDescent="0.2">
      <c r="A459" s="40">
        <v>46252</v>
      </c>
      <c r="B459" s="46" t="s">
        <v>29</v>
      </c>
      <c r="C459" s="46" t="s">
        <v>17</v>
      </c>
      <c r="D459" s="46" t="s">
        <v>45</v>
      </c>
      <c r="E459" s="42">
        <v>15</v>
      </c>
      <c r="F459" s="42">
        <f>IF($B459="","",IF($D459="kg",N($E459),IF($D459="sacos",N($E459)*97,IF($D459="jabas",N($E459)*IFERROR(VLOOKUP($C459,LISTAS!$A$2:$B$12,2,0),0),""))))</f>
        <v>15</v>
      </c>
      <c r="G459" s="41"/>
      <c r="H459" s="41"/>
      <c r="I459" s="41" t="s">
        <v>117</v>
      </c>
    </row>
    <row r="460" spans="1:14" ht="15" customHeight="1" x14ac:dyDescent="0.2">
      <c r="A460" s="40">
        <v>46252</v>
      </c>
      <c r="B460" s="46" t="s">
        <v>118</v>
      </c>
      <c r="C460" s="46" t="s">
        <v>22</v>
      </c>
      <c r="D460" s="46" t="s">
        <v>13</v>
      </c>
      <c r="E460" s="42">
        <v>-5</v>
      </c>
      <c r="F460" s="42">
        <f>IF($B460="","",IF($D460="kg",N($E460),IF($D460="sacos",N($E460)*97,IF($D460="jabas",N($E460)*IFERROR(VLOOKUP($C460,LISTAS!$A$2:$B$12,2,0),0),""))))</f>
        <v>-75</v>
      </c>
      <c r="G460" s="41"/>
      <c r="H460" s="41"/>
      <c r="I460" s="41" t="s">
        <v>119</v>
      </c>
    </row>
    <row r="461" spans="1:14" ht="15" customHeight="1" x14ac:dyDescent="0.2">
      <c r="A461" s="40">
        <v>46253</v>
      </c>
      <c r="B461" s="46" t="s">
        <v>19</v>
      </c>
      <c r="C461" s="46"/>
      <c r="D461" s="46" t="s">
        <v>18</v>
      </c>
      <c r="E461" s="42">
        <v>15</v>
      </c>
      <c r="F461" s="42">
        <f>IF($B461="","",IF($D461="kg",N($E461),IF($D461="sacos",N($E461)*97,IF($D461="jabas",N($E461)*IFERROR(VLOOKUP($C461,LISTAS!$A$2:$B$12,2,0),0),""))))</f>
        <v>1455</v>
      </c>
      <c r="G461" s="41"/>
      <c r="H461" s="41" t="s">
        <v>92</v>
      </c>
      <c r="I461" s="41" t="s">
        <v>265</v>
      </c>
    </row>
    <row r="462" spans="1:14" ht="15" customHeight="1" x14ac:dyDescent="0.2">
      <c r="A462" s="40">
        <v>46253</v>
      </c>
      <c r="B462" s="16" t="s">
        <v>11</v>
      </c>
      <c r="C462" s="16" t="s">
        <v>22</v>
      </c>
      <c r="D462" s="16" t="s">
        <v>13</v>
      </c>
      <c r="E462" s="42">
        <v>19</v>
      </c>
      <c r="F462" s="42">
        <f>IF($B462="","",IF($D462="kg",N($E462),IF($D462="sacos",N($E462)*97,IF($D462="jabas",N($E462)*IFERROR(VLOOKUP($C462,LISTAS!$A$2:$B$12,2,0),0),""))))</f>
        <v>285</v>
      </c>
      <c r="G462" s="41"/>
      <c r="H462" s="41"/>
      <c r="I462" s="41"/>
    </row>
    <row r="463" spans="1:14" ht="15" customHeight="1" x14ac:dyDescent="0.2">
      <c r="A463" s="40">
        <v>46253</v>
      </c>
      <c r="B463" s="46" t="s">
        <v>11</v>
      </c>
      <c r="C463" s="46" t="s">
        <v>16</v>
      </c>
      <c r="D463" s="46" t="s">
        <v>13</v>
      </c>
      <c r="E463" s="42">
        <v>53</v>
      </c>
      <c r="F463" s="42">
        <f>IF($B463="","",IF($D463="kg",N($E463),IF($D463="sacos",N($E463)*97,IF($D463="jabas",N($E463)*IFERROR(VLOOKUP($C463,LISTAS!$A$2:$B$12,2,0),0),""))))</f>
        <v>901</v>
      </c>
      <c r="G463" s="41"/>
      <c r="H463" s="41"/>
      <c r="I463" s="41"/>
    </row>
    <row r="464" spans="1:14" ht="15" customHeight="1" x14ac:dyDescent="0.2">
      <c r="A464" s="40">
        <v>46253</v>
      </c>
      <c r="B464" s="13" t="s">
        <v>11</v>
      </c>
      <c r="C464" s="13" t="s">
        <v>17</v>
      </c>
      <c r="D464" s="13" t="s">
        <v>18</v>
      </c>
      <c r="E464" s="42">
        <v>3</v>
      </c>
      <c r="F464" s="42">
        <f>IF($B464="","",IF($D464="kg",N($E464),IF($D464="sacos",N($E464)*97,IF($D464="jabas",N($E464)*IFERROR(VLOOKUP($C464,LISTAS!$A$2:$B$12,2,0),0),""))))</f>
        <v>291</v>
      </c>
      <c r="G464" s="41"/>
      <c r="H464" s="41"/>
      <c r="I464" s="41"/>
    </row>
    <row r="465" spans="1:9" ht="15" customHeight="1" x14ac:dyDescent="0.2">
      <c r="A465" s="40">
        <v>46253</v>
      </c>
      <c r="B465" s="16" t="s">
        <v>24</v>
      </c>
      <c r="C465" s="16" t="s">
        <v>22</v>
      </c>
      <c r="D465" s="16" t="s">
        <v>13</v>
      </c>
      <c r="E465" s="42">
        <v>67</v>
      </c>
      <c r="F465" s="42">
        <f>IF($B465="","",IF($D465="kg",N($E465),IF($D465="sacos",N($E465)*97,IF($D465="jabas",N($E465)*IFERROR(VLOOKUP($C465,LISTAS!$A$2:$B$12,2,0),0),""))))</f>
        <v>1005</v>
      </c>
      <c r="G465" s="41">
        <v>3098</v>
      </c>
      <c r="H465" s="41"/>
      <c r="I465" s="41"/>
    </row>
    <row r="466" spans="1:9" ht="15" customHeight="1" x14ac:dyDescent="0.2">
      <c r="A466" s="40">
        <v>46253</v>
      </c>
      <c r="B466" s="16" t="s">
        <v>24</v>
      </c>
      <c r="C466" s="16" t="s">
        <v>23</v>
      </c>
      <c r="D466" s="16" t="s">
        <v>13</v>
      </c>
      <c r="E466" s="42">
        <v>11</v>
      </c>
      <c r="F466" s="42">
        <f>IF($B466="","",IF($D466="kg",N($E466),IF($D466="sacos",N($E466)*97,IF($D466="jabas",N($E466)*IFERROR(VLOOKUP($C466,LISTAS!$A$2:$B$12,2,0),0),""))))</f>
        <v>198</v>
      </c>
      <c r="G466" s="41"/>
      <c r="H466" s="41"/>
      <c r="I466" s="41"/>
    </row>
    <row r="467" spans="1:9" ht="15" customHeight="1" x14ac:dyDescent="0.2">
      <c r="A467" s="40">
        <v>46253</v>
      </c>
      <c r="B467" s="16" t="s">
        <v>24</v>
      </c>
      <c r="C467" s="16" t="s">
        <v>12</v>
      </c>
      <c r="D467" s="16" t="s">
        <v>13</v>
      </c>
      <c r="E467" s="42">
        <v>10</v>
      </c>
      <c r="F467" s="42">
        <f>IF($B467="","",IF($D467="kg",N($E467),IF($D467="sacos",N($E467)*97,IF($D467="jabas",N($E467)*IFERROR(VLOOKUP($C467,LISTAS!$A$2:$B$12,2,0),0),""))))</f>
        <v>170</v>
      </c>
      <c r="G467" s="41"/>
      <c r="H467" s="41"/>
      <c r="I467" s="41"/>
    </row>
    <row r="468" spans="1:9" ht="15" customHeight="1" x14ac:dyDescent="0.2">
      <c r="A468" s="40">
        <v>46253</v>
      </c>
      <c r="B468" s="46" t="s">
        <v>24</v>
      </c>
      <c r="C468" s="46" t="s">
        <v>16</v>
      </c>
      <c r="D468" s="46" t="s">
        <v>13</v>
      </c>
      <c r="E468" s="42">
        <v>118</v>
      </c>
      <c r="F468" s="42">
        <f>IF($B468="","",IF($D468="kg",N($E468),IF($D468="sacos",N($E468)*97,IF($D468="jabas",N($E468)*IFERROR(VLOOKUP($C468,LISTAS!$A$2:$B$12,2,0),0),""))))</f>
        <v>2006</v>
      </c>
      <c r="G468" s="41"/>
      <c r="H468" s="41"/>
      <c r="I468" s="41"/>
    </row>
    <row r="469" spans="1:9" ht="15" customHeight="1" x14ac:dyDescent="0.2">
      <c r="A469" s="40">
        <v>46253</v>
      </c>
      <c r="B469" s="46" t="s">
        <v>29</v>
      </c>
      <c r="C469" s="46" t="s">
        <v>17</v>
      </c>
      <c r="D469" s="46" t="s">
        <v>18</v>
      </c>
      <c r="E469" s="42">
        <v>8</v>
      </c>
      <c r="F469" s="42">
        <f>IF($B469="","",IF($D469="kg",N($E469),IF($D469="sacos",N($E469)*97,IF($D469="jabas",N($E469)*IFERROR(VLOOKUP($C469,LISTAS!$A$2:$B$12,2,0),0),""))))</f>
        <v>776</v>
      </c>
      <c r="G469" s="41" t="s">
        <v>103</v>
      </c>
      <c r="H469" s="41"/>
      <c r="I469" s="41"/>
    </row>
    <row r="470" spans="1:9" ht="15" customHeight="1" x14ac:dyDescent="0.2">
      <c r="A470" s="40"/>
      <c r="B470" s="59"/>
      <c r="C470" s="59"/>
      <c r="D470" s="59"/>
      <c r="E470" s="42"/>
      <c r="F470" s="42" t="str">
        <f>IF($B470="","",IF($D470="kg",N($E470),IF($D470="sacos",N($E470)*97,IF($D470="jabas",N($E470)*IFERROR(VLOOKUP($C470,LISTAS!$A$2:$B$12,2,0),0),""))))</f>
        <v/>
      </c>
      <c r="G470" s="41"/>
      <c r="H470" s="41"/>
      <c r="I470" s="41"/>
    </row>
    <row r="471" spans="1:9" ht="15" customHeight="1" x14ac:dyDescent="0.2">
      <c r="A471" s="40"/>
      <c r="B471" s="60"/>
      <c r="C471" s="60"/>
      <c r="D471" s="60"/>
      <c r="E471" s="42"/>
      <c r="F471" s="42" t="str">
        <f>IF($B471="","",IF($D471="kg",N($E471),IF($D471="sacos",N($E471)*97,IF($D471="jabas",N($E471)*IFERROR(VLOOKUP($C471,LISTAS!$A$2:$B$12,2,0),0),""))))</f>
        <v/>
      </c>
      <c r="G471" s="41"/>
      <c r="H471" s="41"/>
      <c r="I471" s="41"/>
    </row>
    <row r="472" spans="1:9" ht="15" customHeight="1" x14ac:dyDescent="0.2">
      <c r="A472" s="40"/>
      <c r="B472" s="59"/>
      <c r="C472" s="59"/>
      <c r="D472" s="59"/>
      <c r="E472" s="42"/>
      <c r="F472" s="42" t="str">
        <f>IF($B472="","",IF($D472="kg",N($E472),IF($D472="sacos",N($E472)*97,IF($D472="jabas",N($E472)*IFERROR(VLOOKUP($C472,LISTAS!$A$2:$B$12,2,0),0),""))))</f>
        <v/>
      </c>
      <c r="G472" s="41"/>
      <c r="H472" s="41"/>
      <c r="I472" s="41"/>
    </row>
    <row r="473" spans="1:9" ht="15" customHeight="1" x14ac:dyDescent="0.2">
      <c r="A473" s="40"/>
      <c r="B473" s="60"/>
      <c r="C473" s="60"/>
      <c r="D473" s="60"/>
      <c r="E473" s="42"/>
      <c r="F473" s="42" t="str">
        <f>IF($B473="","",IF($D473="kg",N($E473),IF($D473="sacos",N($E473)*97,IF($D473="jabas",N($E473)*IFERROR(VLOOKUP($C473,LISTAS!$A$2:$B$12,2,0),0),""))))</f>
        <v/>
      </c>
      <c r="G473" s="41"/>
      <c r="H473" s="41"/>
      <c r="I473" s="41"/>
    </row>
    <row r="474" spans="1:9" ht="15" customHeight="1" x14ac:dyDescent="0.2">
      <c r="A474" s="40"/>
      <c r="B474" s="59"/>
      <c r="C474" s="59"/>
      <c r="D474" s="59"/>
      <c r="E474" s="42"/>
      <c r="F474" s="42" t="str">
        <f>IF($B474="","",IF($D474="kg",N($E474),IF($D474="sacos",N($E474)*97,IF($D474="jabas",N($E474)*IFERROR(VLOOKUP($C474,LISTAS!$A$2:$B$12,2,0),0),""))))</f>
        <v/>
      </c>
      <c r="G474" s="41"/>
      <c r="H474" s="41"/>
      <c r="I474" s="41"/>
    </row>
    <row r="475" spans="1:9" ht="15" customHeight="1" x14ac:dyDescent="0.2">
      <c r="A475" s="40"/>
      <c r="B475" s="60"/>
      <c r="C475" s="60"/>
      <c r="D475" s="60"/>
      <c r="E475" s="61"/>
      <c r="F475" s="42" t="str">
        <f>IF($B475="","",IF($D475="kg",N($E475),IF($D475="sacos",N($E475)*97,IF($D475="jabas",N($E475)*IFERROR(VLOOKUP($C475,LISTAS!$A$2:$B$12,2,0),0),""))))</f>
        <v/>
      </c>
      <c r="G475" s="41"/>
      <c r="H475" s="41"/>
      <c r="I475" s="41"/>
    </row>
    <row r="476" spans="1:9" ht="15" customHeight="1" x14ac:dyDescent="0.2">
      <c r="A476" s="40"/>
      <c r="B476" s="59"/>
      <c r="C476" s="59"/>
      <c r="D476" s="59"/>
      <c r="E476" s="61"/>
      <c r="F476" s="42" t="str">
        <f>IF($B476="","",IF($D476="kg",N($E476),IF($D476="sacos",N($E476)*97,IF($D476="jabas",N($E476)*IFERROR(VLOOKUP($C476,LISTAS!$A$2:$B$12,2,0),0),""))))</f>
        <v/>
      </c>
      <c r="G476" s="41"/>
      <c r="H476" s="41"/>
      <c r="I476" s="41"/>
    </row>
    <row r="477" spans="1:9" ht="15" customHeight="1" x14ac:dyDescent="0.2">
      <c r="A477" s="40"/>
      <c r="B477" s="60"/>
      <c r="C477" s="60"/>
      <c r="D477" s="60"/>
      <c r="E477" s="61"/>
      <c r="F477" s="42" t="str">
        <f>IF($B477="","",IF($D477="kg",N($E477),IF($D477="sacos",N($E477)*97,IF($D477="jabas",N($E477)*IFERROR(VLOOKUP($C477,LISTAS!$A$2:$B$12,2,0),0),""))))</f>
        <v/>
      </c>
      <c r="G477" s="41"/>
      <c r="H477" s="41"/>
      <c r="I477" s="41"/>
    </row>
    <row r="478" spans="1:9" ht="15" customHeight="1" x14ac:dyDescent="0.2">
      <c r="A478" s="40"/>
      <c r="B478" s="59"/>
      <c r="C478" s="59"/>
      <c r="D478" s="59"/>
      <c r="E478" s="61"/>
      <c r="F478" s="42" t="str">
        <f>IF($B478="","",IF($D478="kg",N($E478),IF($D478="sacos",N($E478)*97,IF($D478="jabas",N($E478)*IFERROR(VLOOKUP($C478,LISTAS!$A$2:$B$12,2,0),0),""))))</f>
        <v/>
      </c>
      <c r="G478" s="41"/>
      <c r="H478" s="41"/>
      <c r="I478" s="41"/>
    </row>
    <row r="479" spans="1:9" ht="15" customHeight="1" x14ac:dyDescent="0.2">
      <c r="A479" s="40"/>
      <c r="B479" s="60"/>
      <c r="C479" s="60"/>
      <c r="D479" s="60"/>
      <c r="E479" s="61"/>
      <c r="F479" s="42" t="str">
        <f>IF($B479="","",IF($D479="kg",N($E479),IF($D479="sacos",N($E479)*97,IF($D479="jabas",N($E479)*IFERROR(VLOOKUP($C479,LISTAS!$A$2:$B$12,2,0),0),""))))</f>
        <v/>
      </c>
      <c r="G479" s="41"/>
      <c r="H479" s="41"/>
      <c r="I479" s="41"/>
    </row>
    <row r="480" spans="1:9" ht="15" customHeight="1" x14ac:dyDescent="0.2">
      <c r="A480" s="40"/>
      <c r="B480" s="59"/>
      <c r="C480" s="59"/>
      <c r="D480" s="59"/>
      <c r="E480" s="61"/>
      <c r="F480" s="42" t="str">
        <f>IF($B480="","",IF($D480="kg",N($E480),IF($D480="sacos",N($E480)*97,IF($D480="jabas",N($E480)*IFERROR(VLOOKUP($C480,LISTAS!$A$2:$B$12,2,0),0),""))))</f>
        <v/>
      </c>
      <c r="G480" s="41"/>
      <c r="H480" s="41"/>
      <c r="I480" s="41"/>
    </row>
    <row r="481" spans="1:9" ht="15" customHeight="1" x14ac:dyDescent="0.2">
      <c r="A481" s="40"/>
      <c r="B481" s="60"/>
      <c r="C481" s="60"/>
      <c r="D481" s="60"/>
      <c r="E481" s="61"/>
      <c r="F481" s="42" t="str">
        <f>IF($B481="","",IF($D481="kg",N($E481),IF($D481="sacos",N($E481)*97,IF($D481="jabas",N($E481)*IFERROR(VLOOKUP($C481,LISTAS!$A$2:$B$12,2,0),0),""))))</f>
        <v/>
      </c>
      <c r="G481" s="41"/>
      <c r="H481" s="41"/>
      <c r="I481" s="41"/>
    </row>
    <row r="482" spans="1:9" ht="15" customHeight="1" x14ac:dyDescent="0.2">
      <c r="A482" s="40"/>
      <c r="B482" s="59"/>
      <c r="C482" s="59"/>
      <c r="D482" s="59"/>
      <c r="E482" s="61"/>
      <c r="F482" s="42" t="str">
        <f>IF($B482="","",IF($D482="kg",N($E482),IF($D482="sacos",N($E482)*97,IF($D482="jabas",N($E482)*IFERROR(VLOOKUP($C482,LISTAS!$A$2:$B$12,2,0),0),""))))</f>
        <v/>
      </c>
      <c r="G482" s="41"/>
      <c r="H482" s="41"/>
      <c r="I482" s="41"/>
    </row>
    <row r="483" spans="1:9" ht="15" customHeight="1" x14ac:dyDescent="0.2">
      <c r="A483" s="40"/>
      <c r="B483" s="60"/>
      <c r="C483" s="60"/>
      <c r="D483" s="60"/>
      <c r="E483" s="61"/>
      <c r="F483" s="42" t="str">
        <f>IF($B483="","",IF($D483="kg",N($E483),IF($D483="sacos",N($E483)*97,IF($D483="jabas",N($E483)*IFERROR(VLOOKUP($C483,LISTAS!$A$2:$B$12,2,0),0),""))))</f>
        <v/>
      </c>
      <c r="G483" s="41"/>
      <c r="H483" s="41"/>
      <c r="I483" s="41"/>
    </row>
    <row r="484" spans="1:9" ht="15" customHeight="1" x14ac:dyDescent="0.2">
      <c r="A484" s="40"/>
      <c r="B484" s="59"/>
      <c r="C484" s="59"/>
      <c r="D484" s="59"/>
      <c r="E484" s="61"/>
      <c r="F484" s="42" t="str">
        <f>IF($B484="","",IF($D484="kg",N($E484),IF($D484="sacos",N($E484)*97,IF($D484="jabas",N($E484)*IFERROR(VLOOKUP($C484,LISTAS!$A$2:$B$12,2,0),0),""))))</f>
        <v/>
      </c>
      <c r="G484" s="41"/>
      <c r="H484" s="41"/>
      <c r="I484" s="41"/>
    </row>
  </sheetData>
  <autoFilter ref="A4:I484" xr:uid="{00000000-0009-0000-0000-000000000000}"/>
  <mergeCells count="2">
    <mergeCell ref="A1:I1"/>
    <mergeCell ref="A2:I2"/>
  </mergeCells>
  <conditionalFormatting sqref="A5:I484">
    <cfRule type="expression" dxfId="14" priority="3">
      <formula>$B5="COMPRA"</formula>
    </cfRule>
    <cfRule type="expression" dxfId="13" priority="4">
      <formula>$B5="PROCESO"</formula>
    </cfRule>
    <cfRule type="expression" dxfId="12" priority="5">
      <formula>$B5="ENVÍO A SUPESA"</formula>
    </cfRule>
    <cfRule type="expression" dxfId="11" priority="6">
      <formula>$B5="VENTA"</formula>
    </cfRule>
    <cfRule type="expression" dxfId="10" priority="7">
      <formula>$B5="VENTA CHANCHO"</formula>
    </cfRule>
    <cfRule type="expression" dxfId="9" priority="8">
      <formula>$B5="DEVOLUCIÓN"</formula>
    </cfRule>
    <cfRule type="expression" dxfId="8" priority="9">
      <formula>$B5="REPROCESO"</formula>
    </cfRule>
    <cfRule type="expression" dxfId="7" priority="10">
      <formula>$B5="MALOGRADO"</formula>
    </cfRule>
    <cfRule type="expression" dxfId="6" priority="11">
      <formula>$B5="OTRA SALIDA"</formula>
    </cfRule>
    <cfRule type="expression" dxfId="5" priority="12">
      <formula>$B5="TRASIEGO"</formula>
    </cfRule>
    <cfRule type="expression" dxfId="4" priority="13">
      <formula>$B5="AJUSTE"</formula>
    </cfRule>
    <cfRule type="expression" dxfId="3" priority="14">
      <formula>$B5="REGALO"</formula>
    </cfRule>
    <cfRule type="expression" dxfId="2" priority="15">
      <formula>$B5="SALDO INICIAL"</formula>
    </cfRule>
  </conditionalFormatting>
  <conditionalFormatting sqref="E5:I484">
    <cfRule type="expression" dxfId="1" priority="2">
      <formula>ISNUMBER(SEARCH("FALTA",$I5))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1000"/>
  <sheetViews>
    <sheetView showGridLines="0" zoomScaleNormal="100" workbookViewId="0">
      <pane ySplit="4" topLeftCell="A10" activePane="bottomLeft" state="frozen"/>
      <selection pane="bottomLeft" activeCell="D43" sqref="D43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62" customWidth="1"/>
    <col min="7" max="7" width="9" style="62" customWidth="1"/>
    <col min="8" max="8" width="11" customWidth="1"/>
    <col min="10" max="12" width="13" hidden="1" customWidth="1"/>
  </cols>
  <sheetData>
    <row r="1" spans="1:14" ht="21.75" customHeight="1" x14ac:dyDescent="0.2">
      <c r="A1" s="96" t="s">
        <v>120</v>
      </c>
      <c r="B1" s="96"/>
      <c r="C1" s="96"/>
      <c r="D1" s="96"/>
      <c r="E1" s="96"/>
      <c r="F1" s="96"/>
      <c r="G1" s="96"/>
      <c r="H1" s="96"/>
      <c r="I1" s="63"/>
      <c r="J1" s="63"/>
      <c r="K1" s="63"/>
      <c r="L1" s="63"/>
      <c r="M1" s="63"/>
      <c r="N1" s="63"/>
    </row>
    <row r="2" spans="1:14" ht="15" customHeight="1" x14ac:dyDescent="0.2">
      <c r="A2" s="97" t="s">
        <v>121</v>
      </c>
      <c r="B2" s="97"/>
      <c r="C2" s="97"/>
      <c r="D2" s="97"/>
      <c r="E2" s="97"/>
      <c r="F2" s="97"/>
      <c r="G2" s="97"/>
      <c r="H2" s="97"/>
      <c r="I2" s="63"/>
      <c r="J2" s="63"/>
      <c r="K2" s="63"/>
      <c r="L2" s="63"/>
      <c r="M2" s="63"/>
      <c r="N2" s="63"/>
    </row>
    <row r="3" spans="1:14" ht="15" customHeight="1" x14ac:dyDescent="0.2">
      <c r="A3" s="63"/>
      <c r="B3" s="63"/>
      <c r="C3" s="63"/>
      <c r="D3" s="63"/>
      <c r="E3" s="63"/>
      <c r="F3" s="63"/>
      <c r="G3" s="95"/>
      <c r="H3" s="63"/>
      <c r="I3" s="63"/>
      <c r="J3" s="63"/>
      <c r="K3" s="63"/>
      <c r="L3" s="63"/>
      <c r="M3" s="63"/>
      <c r="N3" s="63"/>
    </row>
    <row r="4" spans="1:14" ht="30" customHeight="1" x14ac:dyDescent="0.2">
      <c r="A4" s="2" t="s">
        <v>2</v>
      </c>
      <c r="B4" s="2" t="s">
        <v>122</v>
      </c>
      <c r="C4" s="2" t="s">
        <v>123</v>
      </c>
      <c r="D4" s="2" t="s">
        <v>124</v>
      </c>
      <c r="E4" s="2" t="s">
        <v>125</v>
      </c>
      <c r="F4" s="2" t="s">
        <v>126</v>
      </c>
      <c r="G4" s="2" t="s">
        <v>127</v>
      </c>
      <c r="H4" s="2" t="s">
        <v>128</v>
      </c>
      <c r="I4" s="63"/>
      <c r="J4" s="63"/>
      <c r="K4" s="63"/>
      <c r="L4" s="63"/>
      <c r="M4" s="63"/>
      <c r="N4" s="63"/>
    </row>
    <row r="5" spans="1:14" ht="15" customHeight="1" x14ac:dyDescent="0.2">
      <c r="A5" s="64">
        <f t="shared" ref="A5:A68" si="0">IFERROR(INDEX(K$5:K$1000,MATCH(ROW()-4,J$5:J$1000,0)),"")</f>
        <v>46237</v>
      </c>
      <c r="B5" s="65">
        <f>IF($A5="","",SUMPRODUCT((MOVIMIENTOS!$B$5:$B$1005="SALDO INICIAL")*(MOVIMIENTOS!$C$5:$C$1005="A")*(MOVIMIENTOS!$D$5:$D$1005="jabas")*(MOVIMIENTOS!$A$5:$A$1005&lt;&gt;"")*(MOVIMIENTOS!$A$5:$A$1005&lt;=$A5)*MOVIMIENTOS!$E$5:$E$1005)+SUMPRODUCT((MOVIMIENTOS!$B$5:$B$1005="PROCESO")*(MOVIMIENTOS!$C$5:$C$1005="A")*(MOVIMIENTOS!$D$5:$D$1005="jabas")*(MOVIMIENTOS!$A$5:$A$1005&lt;&gt;"")*(MOVIMIENTOS!$A$5:$A$1005&lt;=$A5)*MOVIMIENTOS!$E$5:$E$1005)-SUMPRODUCT((MOVIMIENTOS!$B$5:$B$1005="ENVÍO A SUPESA")*(MOVIMIENTOS!$C$5:$C$1005="A")*(MOVIMIENTOS!$D$5:$D$1005="jabas")*(MOVIMIENTOS!$A$5:$A$1005&lt;&gt;"")*(MOVIMIENTOS!$A$5:$A$1005&lt;=$A5)*MOVIMIENTOS!$E$5:$E$1005)+SUMPRODUCT((MOVIMIENTOS!$B$5:$B$1005="DEVOLUCIÓN")*(MOVIMIENTOS!$C$5:$C$1005="A")*(MOVIMIENTOS!$D$5:$D$1005="jabas")*(MOVIMIENTOS!$A$5:$A$1005&lt;&gt;"")*(MOVIMIENTOS!$A$5:$A$1005&lt;=$A5)*MOVIMIENTOS!$E$5:$E$1005)-SUMPRODUCT((MOVIMIENTOS!$B$5:$B$1005="TRASIEGO")*(MOVIMIENTOS!$C$5:$C$1005="A")*(MOVIMIENTOS!$D$5:$D$1005="jabas")*(MOVIMIENTOS!$A$5:$A$1005&lt;&gt;"")*(MOVIMIENTOS!$A$5:$A$1005&lt;=$A5)*MOVIMIENTOS!$E$5:$E$1005)-SUMPRODUCT((MOVIMIENTOS!$B$5:$B$1005="REGALO")*(MOVIMIENTOS!$C$5:$C$1005="A")*(MOVIMIENTOS!$D$5:$D$1005="jabas")*(MOVIMIENTOS!$A$5:$A$1005&lt;&gt;"")*(MOVIMIENTOS!$A$5:$A$1005&lt;=$A5)*MOVIMIENTOS!$E$5:$E$1005)-SUMPRODUCT((MOVIMIENTOS!$B$5:$B$1005="VENTA")*(MOVIMIENTOS!$C$5:$C$1005="A")*(MOVIMIENTOS!$D$5:$D$1005="jabas")*(MOVIMIENTOS!$A$5:$A$1005&lt;&gt;"")*(MOVIMIENTOS!$A$5:$A$1005&lt;=$A5)*MOVIMIENTOS!$E$5:$E$1005)+SUMPRODUCT((MOVIMIENTOS!$B$5:$B$1005="AJUSTE")*(MOVIMIENTOS!$C$5:$C$1005="A")*(MOVIMIENTOS!$D$5:$D$1005="jabas")*(MOVIMIENTOS!$A$5:$A$1005&lt;&gt;"")*(MOVIMIENTOS!$A$5:$A$1005&lt;=$A5)*MOVIMIENTOS!$E$5:$E$1005))</f>
        <v>49</v>
      </c>
      <c r="C5" s="65">
        <f>IF($A5="","",SUMPRODUCT((MOVIMIENTOS!$B$5:$B$1005="SALDO INICIAL")*(MOVIMIENTOS!$C$5:$C$1005="P")*(MOVIMIENTOS!$D$5:$D$1005="jabas")*(MOVIMIENTOS!$A$5:$A$1005&lt;&gt;"")*(MOVIMIENTOS!$A$5:$A$1005&lt;=$A5)*MOVIMIENTOS!$E$5:$E$1005)+SUMPRODUCT((MOVIMIENTOS!$B$5:$B$1005="PROCESO")*(MOVIMIENTOS!$C$5:$C$1005="P")*(MOVIMIENTOS!$D$5:$D$1005="jabas")*(MOVIMIENTOS!$A$5:$A$1005&lt;&gt;"")*(MOVIMIENTOS!$A$5:$A$1005&lt;=$A5)*MOVIMIENTOS!$E$5:$E$1005)-SUMPRODUCT((MOVIMIENTOS!$B$5:$B$1005="ENVÍO A SUPESA")*(MOVIMIENTOS!$C$5:$C$1005="P")*(MOVIMIENTOS!$D$5:$D$1005="jabas")*(MOVIMIENTOS!$A$5:$A$1005&lt;&gt;"")*(MOVIMIENTOS!$A$5:$A$1005&lt;=$A5)*MOVIMIENTOS!$E$5:$E$1005)+SUMPRODUCT((MOVIMIENTOS!$B$5:$B$1005="DEVOLUCIÓN")*(MOVIMIENTOS!$C$5:$C$1005="P")*(MOVIMIENTOS!$D$5:$D$1005="jabas")*(MOVIMIENTOS!$A$5:$A$1005&lt;&gt;"")*(MOVIMIENTOS!$A$5:$A$1005&lt;=$A5)*MOVIMIENTOS!$E$5:$E$1005)-SUMPRODUCT((MOVIMIENTOS!$B$5:$B$1005="TRASIEGO")*(MOVIMIENTOS!$C$5:$C$1005="P")*(MOVIMIENTOS!$D$5:$D$1005="jabas")*(MOVIMIENTOS!$A$5:$A$1005&lt;&gt;"")*(MOVIMIENTOS!$A$5:$A$1005&lt;=$A5)*MOVIMIENTOS!$E$5:$E$1005)-SUMPRODUCT((MOVIMIENTOS!$B$5:$B$1005="REGALO")*(MOVIMIENTOS!$C$5:$C$1005="P")*(MOVIMIENTOS!$D$5:$D$1005="jabas")*(MOVIMIENTOS!$A$5:$A$1005&lt;&gt;"")*(MOVIMIENTOS!$A$5:$A$1005&lt;=$A5)*MOVIMIENTOS!$E$5:$E$1005)-SUMPRODUCT((MOVIMIENTOS!$B$5:$B$1005="VENTA")*(MOVIMIENTOS!$C$5:$C$1005="P")*(MOVIMIENTOS!$D$5:$D$1005="jabas")*(MOVIMIENTOS!$A$5:$A$1005&lt;&gt;"")*(MOVIMIENTOS!$A$5:$A$1005&lt;=$A5)*MOVIMIENTOS!$E$5:$E$1005)+SUMPRODUCT((MOVIMIENTOS!$B$5:$B$1005="AJUSTE")*(MOVIMIENTOS!$C$5:$C$1005="P")*(MOVIMIENTOS!$D$5:$D$1005="jabas")*(MOVIMIENTOS!$A$5:$A$1005&lt;&gt;"")*(MOVIMIENTOS!$A$5:$A$1005&lt;=$A5)*MOVIMIENTOS!$E$5:$E$1005))</f>
        <v>0</v>
      </c>
      <c r="D5" s="65">
        <f>IF($A5="","",SUMPRODUCT((MOVIMIENTOS!$B$5:$B$1005="SALDO INICIAL")*(MOVIMIENTOS!$C$5:$C$1005="C")*(MOVIMIENTOS!$D$5:$D$1005="jabas")*(MOVIMIENTOS!$A$5:$A$1005&lt;&gt;"")*(MOVIMIENTOS!$A$5:$A$1005&lt;=$A5)*MOVIMIENTOS!$E$5:$E$1005)+SUMPRODUCT((MOVIMIENTOS!$B$5:$B$1005="PROCESO")*(MOVIMIENTOS!$C$5:$C$1005="C")*(MOVIMIENTOS!$D$5:$D$1005="jabas")*(MOVIMIENTOS!$A$5:$A$1005&lt;&gt;"")*(MOVIMIENTOS!$A$5:$A$1005&lt;=$A5)*MOVIMIENTOS!$E$5:$E$1005)-SUMPRODUCT((MOVIMIENTOS!$B$5:$B$1005="ENVÍO A SUPESA")*(MOVIMIENTOS!$C$5:$C$1005="C")*(MOVIMIENTOS!$D$5:$D$1005="jabas")*(MOVIMIENTOS!$A$5:$A$1005&lt;&gt;"")*(MOVIMIENTOS!$A$5:$A$1005&lt;=$A5)*MOVIMIENTOS!$E$5:$E$1005)+SUMPRODUCT((MOVIMIENTOS!$B$5:$B$1005="DEVOLUCIÓN")*(MOVIMIENTOS!$C$5:$C$1005="C")*(MOVIMIENTOS!$D$5:$D$1005="jabas")*(MOVIMIENTOS!$A$5:$A$1005&lt;&gt;"")*(MOVIMIENTOS!$A$5:$A$1005&lt;=$A5)*MOVIMIENTOS!$E$5:$E$1005)-SUMPRODUCT((MOVIMIENTOS!$B$5:$B$1005="TRASIEGO")*(MOVIMIENTOS!$C$5:$C$1005="C")*(MOVIMIENTOS!$D$5:$D$1005="jabas")*(MOVIMIENTOS!$A$5:$A$1005&lt;&gt;"")*(MOVIMIENTOS!$A$5:$A$1005&lt;=$A5)*MOVIMIENTOS!$E$5:$E$1005)-SUMPRODUCT((MOVIMIENTOS!$B$5:$B$1005="REGALO")*(MOVIMIENTOS!$C$5:$C$1005="C")*(MOVIMIENTOS!$D$5:$D$1005="jabas")*(MOVIMIENTOS!$A$5:$A$1005&lt;&gt;"")*(MOVIMIENTOS!$A$5:$A$1005&lt;=$A5)*MOVIMIENTOS!$E$5:$E$1005)-SUMPRODUCT((MOVIMIENTOS!$B$5:$B$1005="VENTA")*(MOVIMIENTOS!$C$5:$C$1005="C")*(MOVIMIENTOS!$D$5:$D$1005="jabas")*(MOVIMIENTOS!$A$5:$A$1005&lt;&gt;"")*(MOVIMIENTOS!$A$5:$A$1005&lt;=$A5)*MOVIMIENTOS!$E$5:$E$1005)+SUMPRODUCT((MOVIMIENTOS!$B$5:$B$1005="AJUSTE")*(MOVIMIENTOS!$C$5:$C$1005="C")*(MOVIMIENTOS!$D$5:$D$1005="jabas")*(MOVIMIENTOS!$A$5:$A$1005&lt;&gt;"")*(MOVIMIENTOS!$A$5:$A$1005&lt;=$A5)*MOVIMIENTOS!$E$5:$E$1005))</f>
        <v>0</v>
      </c>
      <c r="E5" s="65">
        <f>IF($A5="","",SUMPRODUCT((MOVIMIENTOS!$B$5:$B$1005="SALDO INICIAL")*(MOVIMIENTOS!$C$5:$C$1005="M")*(MOVIMIENTOS!$D$5:$D$1005="jabas")*(MOVIMIENTOS!$A$5:$A$1005&lt;&gt;"")*(MOVIMIENTOS!$A$5:$A$1005&lt;=$A5)*MOVIMIENTOS!$E$5:$E$1005)+SUMPRODUCT((MOVIMIENTOS!$B$5:$B$1005="PROCESO")*(MOVIMIENTOS!$C$5:$C$1005="M")*(MOVIMIENTOS!$D$5:$D$1005="jabas")*(MOVIMIENTOS!$A$5:$A$1005&lt;&gt;"")*(MOVIMIENTOS!$A$5:$A$1005&lt;=$A5)*MOVIMIENTOS!$E$5:$E$1005)-SUMPRODUCT((MOVIMIENTOS!$B$5:$B$1005="ENVÍO A SUPESA")*(MOVIMIENTOS!$C$5:$C$1005="M")*(MOVIMIENTOS!$D$5:$D$1005="jabas")*(MOVIMIENTOS!$A$5:$A$1005&lt;&gt;"")*(MOVIMIENTOS!$A$5:$A$1005&lt;=$A5)*MOVIMIENTOS!$E$5:$E$1005)+SUMPRODUCT((MOVIMIENTOS!$B$5:$B$1005="DEVOLUCIÓN")*(MOVIMIENTOS!$C$5:$C$1005="M")*(MOVIMIENTOS!$D$5:$D$1005="jabas")*(MOVIMIENTOS!$A$5:$A$1005&lt;&gt;"")*(MOVIMIENTOS!$A$5:$A$1005&lt;=$A5)*MOVIMIENTOS!$E$5:$E$1005)-SUMPRODUCT((MOVIMIENTOS!$B$5:$B$1005="TRASIEGO")*(MOVIMIENTOS!$C$5:$C$1005="M")*(MOVIMIENTOS!$D$5:$D$1005="jabas")*(MOVIMIENTOS!$A$5:$A$1005&lt;&gt;"")*(MOVIMIENTOS!$A$5:$A$1005&lt;=$A5)*MOVIMIENTOS!$E$5:$E$1005)-SUMPRODUCT((MOVIMIENTOS!$B$5:$B$1005="REGALO")*(MOVIMIENTOS!$C$5:$C$1005="M")*(MOVIMIENTOS!$D$5:$D$1005="jabas")*(MOVIMIENTOS!$A$5:$A$1005&lt;&gt;"")*(MOVIMIENTOS!$A$5:$A$1005&lt;=$A5)*MOVIMIENTOS!$E$5:$E$1005)-SUMPRODUCT((MOVIMIENTOS!$B$5:$B$1005="VENTA")*(MOVIMIENTOS!$C$5:$C$1005="M")*(MOVIMIENTOS!$D$5:$D$1005="jabas")*(MOVIMIENTOS!$A$5:$A$1005&lt;&gt;"")*(MOVIMIENTOS!$A$5:$A$1005&lt;=$A5)*MOVIMIENTOS!$E$5:$E$1005)+SUMPRODUCT((MOVIMIENTOS!$B$5:$B$1005="AJUSTE")*(MOVIMIENTOS!$C$5:$C$1005="M")*(MOVIMIENTOS!$D$5:$D$1005="jabas")*(MOVIMIENTOS!$A$5:$A$1005&lt;&gt;"")*(MOVIMIENTOS!$A$5:$A$1005&lt;=$A5)*MOVIMIENTOS!$E$5:$E$1005))</f>
        <v>55</v>
      </c>
      <c r="F5" s="65">
        <f>IF($A5="","",SUMPRODUCT((MOVIMIENTOS!$B$5:$B$1005="SALDO INICIAL")*(MOVIMIENTOS!$C$5:$C$1005="Chancho")*(MOVIMIENTOS!$D$5:$D$1005="sacos")*(MOVIMIENTOS!$A$5:$A$1005&lt;&gt;"")*(MOVIMIENTOS!$A$5:$A$1005&lt;=$A5)*MOVIMIENTOS!$E$5:$E$1005)+SUMPRODUCT((MOVIMIENTOS!$B$5:$B$1005="PROCESO")*(MOVIMIENTOS!$C$5:$C$1005="Chancho")*(MOVIMIENTOS!$D$5:$D$1005="sacos")*(MOVIMIENTOS!$A$5:$A$1005&lt;&gt;"")*(MOVIMIENTOS!$A$5:$A$1005&lt;=$A5)*MOVIMIENTOS!$E$5:$E$1005)-SUMPRODUCT((MOVIMIENTOS!$B$5:$B$1005="VENTA CHANCHO")*(MOVIMIENTOS!$C$5:$C$1005="Chancho")*(MOVIMIENTOS!$D$5:$D$1005="sacos")*(MOVIMIENTOS!$A$5:$A$1005&lt;&gt;"")*(MOVIMIENTOS!$A$5:$A$1005&lt;=$A5)*MOVIMIENTOS!$E$5:$E$1005)-SUMPRODUCT((MOVIMIENTOS!$B$5:$B$1005="REGALO")*(MOVIMIENTOS!$C$5:$C$1005="Chancho")*(MOVIMIENTOS!$D$5:$D$1005="sacos")*(MOVIMIENTOS!$A$5:$A$1005&lt;&gt;"")*(MOVIMIENTOS!$A$5:$A$1005&lt;=$A5)*MOVIMIENTOS!$E$5:$E$1005)-SUMPRODUCT((MOVIMIENTOS!$B$5:$B$1005="VENTA")*(MOVIMIENTOS!$C$5:$C$1005="Chancho")*(MOVIMIENTOS!$D$5:$D$1005="sacos")*(MOVIMIENTOS!$A$5:$A$1005&lt;&gt;"")*(MOVIMIENTOS!$A$5:$A$1005&lt;=$A5)*MOVIMIENTOS!$E$5:$E$1005)+SUMPRODUCT((MOVIMIENTOS!$B$5:$B$1005="AJUSTE")*(MOVIMIENTOS!$C$5:$C$1005="Chancho")*(MOVIMIENTOS!$D$5:$D$1005="sacos")*(MOVIMIENTOS!$A$5:$A$1005&lt;&gt;"")*(MOVIMIENTOS!$A$5:$A$1005&lt;=$A5)*MOVIMIENTOS!$E$5:$E$1005))</f>
        <v>19.5</v>
      </c>
      <c r="G5" s="77">
        <f t="shared" ref="G5:G68" si="1">IF($A5="","",SUM(B5:E5))</f>
        <v>104</v>
      </c>
      <c r="H5" s="65">
        <f>IF($A5="","",SUMPRODUCT((((MOVIMIENTOS!$B$5:$B$1005="SALDO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5)*MOVIMIENTOS!$J$5:$J$1005))</f>
        <v>2552.320000000007</v>
      </c>
      <c r="I5" s="63"/>
      <c r="J5" s="63">
        <f>IF(MOVIMIENTOS!$A5&lt;&gt;"",1,"")</f>
        <v>1</v>
      </c>
      <c r="K5" s="66">
        <f>MOVIMIENTOS!$A5</f>
        <v>46237</v>
      </c>
      <c r="L5" s="63"/>
      <c r="M5" s="63"/>
      <c r="N5" s="63"/>
    </row>
    <row r="6" spans="1:14" ht="15" customHeight="1" x14ac:dyDescent="0.2">
      <c r="A6" s="64">
        <f t="shared" si="0"/>
        <v>46214</v>
      </c>
      <c r="B6" s="65">
        <f>IF($A6="","",SUMPRODUCT((MOVIMIENTOS!$B$5:$B$1005="SALDO INICIAL")*(MOVIMIENTOS!$C$5:$C$1005="A")*(MOVIMIENTOS!$D$5:$D$1005="jabas")*(MOVIMIENTOS!$A$5:$A$1005&lt;&gt;"")*(MOVIMIENTOS!$A$5:$A$1005&lt;=$A6)*MOVIMIENTOS!$E$5:$E$1005)+SUMPRODUCT((MOVIMIENTOS!$B$5:$B$1005="PROCESO")*(MOVIMIENTOS!$C$5:$C$1005="A")*(MOVIMIENTOS!$D$5:$D$1005="jabas")*(MOVIMIENTOS!$A$5:$A$1005&lt;&gt;"")*(MOVIMIENTOS!$A$5:$A$1005&lt;=$A6)*MOVIMIENTOS!$E$5:$E$1005)-SUMPRODUCT((MOVIMIENTOS!$B$5:$B$1005="ENVÍO A SUPESA")*(MOVIMIENTOS!$C$5:$C$1005="A")*(MOVIMIENTOS!$D$5:$D$1005="jabas")*(MOVIMIENTOS!$A$5:$A$1005&lt;&gt;"")*(MOVIMIENTOS!$A$5:$A$1005&lt;=$A6)*MOVIMIENTOS!$E$5:$E$1005)+SUMPRODUCT((MOVIMIENTOS!$B$5:$B$1005="DEVOLUCIÓN")*(MOVIMIENTOS!$C$5:$C$1005="A")*(MOVIMIENTOS!$D$5:$D$1005="jabas")*(MOVIMIENTOS!$A$5:$A$1005&lt;&gt;"")*(MOVIMIENTOS!$A$5:$A$1005&lt;=$A6)*MOVIMIENTOS!$E$5:$E$1005)-SUMPRODUCT((MOVIMIENTOS!$B$5:$B$1005="TRASIEGO")*(MOVIMIENTOS!$C$5:$C$1005="A")*(MOVIMIENTOS!$D$5:$D$1005="jabas")*(MOVIMIENTOS!$A$5:$A$1005&lt;&gt;"")*(MOVIMIENTOS!$A$5:$A$1005&lt;=$A6)*MOVIMIENTOS!$E$5:$E$1005)-SUMPRODUCT((MOVIMIENTOS!$B$5:$B$1005="REGALO")*(MOVIMIENTOS!$C$5:$C$1005="A")*(MOVIMIENTOS!$D$5:$D$1005="jabas")*(MOVIMIENTOS!$A$5:$A$1005&lt;&gt;"")*(MOVIMIENTOS!$A$5:$A$1005&lt;=$A6)*MOVIMIENTOS!$E$5:$E$1005)-SUMPRODUCT((MOVIMIENTOS!$B$5:$B$1005="VENTA")*(MOVIMIENTOS!$C$5:$C$1005="A")*(MOVIMIENTOS!$D$5:$D$1005="jabas")*(MOVIMIENTOS!$A$5:$A$1005&lt;&gt;"")*(MOVIMIENTOS!$A$5:$A$1005&lt;=$A6)*MOVIMIENTOS!$E$5:$E$1005)+SUMPRODUCT((MOVIMIENTOS!$B$5:$B$1005="AJUSTE")*(MOVIMIENTOS!$C$5:$C$1005="A")*(MOVIMIENTOS!$D$5:$D$1005="jabas")*(MOVIMIENTOS!$A$5:$A$1005&lt;&gt;"")*(MOVIMIENTOS!$A$5:$A$1005&lt;=$A6)*MOVIMIENTOS!$E$5:$E$1005))</f>
        <v>0</v>
      </c>
      <c r="C6" s="65">
        <f>IF($A6="","",SUMPRODUCT((MOVIMIENTOS!$B$5:$B$1005="SALDO INICIAL")*(MOVIMIENTOS!$C$5:$C$1005="P")*(MOVIMIENTOS!$D$5:$D$1005="jabas")*(MOVIMIENTOS!$A$5:$A$1005&lt;&gt;"")*(MOVIMIENTOS!$A$5:$A$1005&lt;=$A6)*MOVIMIENTOS!$E$5:$E$1005)+SUMPRODUCT((MOVIMIENTOS!$B$5:$B$1005="PROCESO")*(MOVIMIENTOS!$C$5:$C$1005="P")*(MOVIMIENTOS!$D$5:$D$1005="jabas")*(MOVIMIENTOS!$A$5:$A$1005&lt;&gt;"")*(MOVIMIENTOS!$A$5:$A$1005&lt;=$A6)*MOVIMIENTOS!$E$5:$E$1005)-SUMPRODUCT((MOVIMIENTOS!$B$5:$B$1005="ENVÍO A SUPESA")*(MOVIMIENTOS!$C$5:$C$1005="P")*(MOVIMIENTOS!$D$5:$D$1005="jabas")*(MOVIMIENTOS!$A$5:$A$1005&lt;&gt;"")*(MOVIMIENTOS!$A$5:$A$1005&lt;=$A6)*MOVIMIENTOS!$E$5:$E$1005)+SUMPRODUCT((MOVIMIENTOS!$B$5:$B$1005="DEVOLUCIÓN")*(MOVIMIENTOS!$C$5:$C$1005="P")*(MOVIMIENTOS!$D$5:$D$1005="jabas")*(MOVIMIENTOS!$A$5:$A$1005&lt;&gt;"")*(MOVIMIENTOS!$A$5:$A$1005&lt;=$A6)*MOVIMIENTOS!$E$5:$E$1005)-SUMPRODUCT((MOVIMIENTOS!$B$5:$B$1005="TRASIEGO")*(MOVIMIENTOS!$C$5:$C$1005="P")*(MOVIMIENTOS!$D$5:$D$1005="jabas")*(MOVIMIENTOS!$A$5:$A$1005&lt;&gt;"")*(MOVIMIENTOS!$A$5:$A$1005&lt;=$A6)*MOVIMIENTOS!$E$5:$E$1005)-SUMPRODUCT((MOVIMIENTOS!$B$5:$B$1005="REGALO")*(MOVIMIENTOS!$C$5:$C$1005="P")*(MOVIMIENTOS!$D$5:$D$1005="jabas")*(MOVIMIENTOS!$A$5:$A$1005&lt;&gt;"")*(MOVIMIENTOS!$A$5:$A$1005&lt;=$A6)*MOVIMIENTOS!$E$5:$E$1005)-SUMPRODUCT((MOVIMIENTOS!$B$5:$B$1005="VENTA")*(MOVIMIENTOS!$C$5:$C$1005="P")*(MOVIMIENTOS!$D$5:$D$1005="jabas")*(MOVIMIENTOS!$A$5:$A$1005&lt;&gt;"")*(MOVIMIENTOS!$A$5:$A$1005&lt;=$A6)*MOVIMIENTOS!$E$5:$E$1005)+SUMPRODUCT((MOVIMIENTOS!$B$5:$B$1005="AJUSTE")*(MOVIMIENTOS!$C$5:$C$1005="P")*(MOVIMIENTOS!$D$5:$D$1005="jabas")*(MOVIMIENTOS!$A$5:$A$1005&lt;&gt;"")*(MOVIMIENTOS!$A$5:$A$1005&lt;=$A6)*MOVIMIENTOS!$E$5:$E$1005))</f>
        <v>0</v>
      </c>
      <c r="D6" s="65">
        <f>IF($A6="","",SUMPRODUCT((MOVIMIENTOS!$B$5:$B$1005="SALDO INICIAL")*(MOVIMIENTOS!$C$5:$C$1005="C")*(MOVIMIENTOS!$D$5:$D$1005="jabas")*(MOVIMIENTOS!$A$5:$A$1005&lt;&gt;"")*(MOVIMIENTOS!$A$5:$A$1005&lt;=$A6)*MOVIMIENTOS!$E$5:$E$1005)+SUMPRODUCT((MOVIMIENTOS!$B$5:$B$1005="PROCESO")*(MOVIMIENTOS!$C$5:$C$1005="C")*(MOVIMIENTOS!$D$5:$D$1005="jabas")*(MOVIMIENTOS!$A$5:$A$1005&lt;&gt;"")*(MOVIMIENTOS!$A$5:$A$1005&lt;=$A6)*MOVIMIENTOS!$E$5:$E$1005)-SUMPRODUCT((MOVIMIENTOS!$B$5:$B$1005="ENVÍO A SUPESA")*(MOVIMIENTOS!$C$5:$C$1005="C")*(MOVIMIENTOS!$D$5:$D$1005="jabas")*(MOVIMIENTOS!$A$5:$A$1005&lt;&gt;"")*(MOVIMIENTOS!$A$5:$A$1005&lt;=$A6)*MOVIMIENTOS!$E$5:$E$1005)+SUMPRODUCT((MOVIMIENTOS!$B$5:$B$1005="DEVOLUCIÓN")*(MOVIMIENTOS!$C$5:$C$1005="C")*(MOVIMIENTOS!$D$5:$D$1005="jabas")*(MOVIMIENTOS!$A$5:$A$1005&lt;&gt;"")*(MOVIMIENTOS!$A$5:$A$1005&lt;=$A6)*MOVIMIENTOS!$E$5:$E$1005)-SUMPRODUCT((MOVIMIENTOS!$B$5:$B$1005="TRASIEGO")*(MOVIMIENTOS!$C$5:$C$1005="C")*(MOVIMIENTOS!$D$5:$D$1005="jabas")*(MOVIMIENTOS!$A$5:$A$1005&lt;&gt;"")*(MOVIMIENTOS!$A$5:$A$1005&lt;=$A6)*MOVIMIENTOS!$E$5:$E$1005)-SUMPRODUCT((MOVIMIENTOS!$B$5:$B$1005="REGALO")*(MOVIMIENTOS!$C$5:$C$1005="C")*(MOVIMIENTOS!$D$5:$D$1005="jabas")*(MOVIMIENTOS!$A$5:$A$1005&lt;&gt;"")*(MOVIMIENTOS!$A$5:$A$1005&lt;=$A6)*MOVIMIENTOS!$E$5:$E$1005)-SUMPRODUCT((MOVIMIENTOS!$B$5:$B$1005="VENTA")*(MOVIMIENTOS!$C$5:$C$1005="C")*(MOVIMIENTOS!$D$5:$D$1005="jabas")*(MOVIMIENTOS!$A$5:$A$1005&lt;&gt;"")*(MOVIMIENTOS!$A$5:$A$1005&lt;=$A6)*MOVIMIENTOS!$E$5:$E$1005)+SUMPRODUCT((MOVIMIENTOS!$B$5:$B$1005="AJUSTE")*(MOVIMIENTOS!$C$5:$C$1005="C")*(MOVIMIENTOS!$D$5:$D$1005="jabas")*(MOVIMIENTOS!$A$5:$A$1005&lt;&gt;"")*(MOVIMIENTOS!$A$5:$A$1005&lt;=$A6)*MOVIMIENTOS!$E$5:$E$1005))</f>
        <v>0</v>
      </c>
      <c r="E6" s="65">
        <f>IF($A6="","",SUMPRODUCT((MOVIMIENTOS!$B$5:$B$1005="SALDO INICIAL")*(MOVIMIENTOS!$C$5:$C$1005="M")*(MOVIMIENTOS!$D$5:$D$1005="jabas")*(MOVIMIENTOS!$A$5:$A$1005&lt;&gt;"")*(MOVIMIENTOS!$A$5:$A$1005&lt;=$A6)*MOVIMIENTOS!$E$5:$E$1005)+SUMPRODUCT((MOVIMIENTOS!$B$5:$B$1005="PROCESO")*(MOVIMIENTOS!$C$5:$C$1005="M")*(MOVIMIENTOS!$D$5:$D$1005="jabas")*(MOVIMIENTOS!$A$5:$A$1005&lt;&gt;"")*(MOVIMIENTOS!$A$5:$A$1005&lt;=$A6)*MOVIMIENTOS!$E$5:$E$1005)-SUMPRODUCT((MOVIMIENTOS!$B$5:$B$1005="ENVÍO A SUPESA")*(MOVIMIENTOS!$C$5:$C$1005="M")*(MOVIMIENTOS!$D$5:$D$1005="jabas")*(MOVIMIENTOS!$A$5:$A$1005&lt;&gt;"")*(MOVIMIENTOS!$A$5:$A$1005&lt;=$A6)*MOVIMIENTOS!$E$5:$E$1005)+SUMPRODUCT((MOVIMIENTOS!$B$5:$B$1005="DEVOLUCIÓN")*(MOVIMIENTOS!$C$5:$C$1005="M")*(MOVIMIENTOS!$D$5:$D$1005="jabas")*(MOVIMIENTOS!$A$5:$A$1005&lt;&gt;"")*(MOVIMIENTOS!$A$5:$A$1005&lt;=$A6)*MOVIMIENTOS!$E$5:$E$1005)-SUMPRODUCT((MOVIMIENTOS!$B$5:$B$1005="TRASIEGO")*(MOVIMIENTOS!$C$5:$C$1005="M")*(MOVIMIENTOS!$D$5:$D$1005="jabas")*(MOVIMIENTOS!$A$5:$A$1005&lt;&gt;"")*(MOVIMIENTOS!$A$5:$A$1005&lt;=$A6)*MOVIMIENTOS!$E$5:$E$1005)-SUMPRODUCT((MOVIMIENTOS!$B$5:$B$1005="REGALO")*(MOVIMIENTOS!$C$5:$C$1005="M")*(MOVIMIENTOS!$D$5:$D$1005="jabas")*(MOVIMIENTOS!$A$5:$A$1005&lt;&gt;"")*(MOVIMIENTOS!$A$5:$A$1005&lt;=$A6)*MOVIMIENTOS!$E$5:$E$1005)-SUMPRODUCT((MOVIMIENTOS!$B$5:$B$1005="VENTA")*(MOVIMIENTOS!$C$5:$C$1005="M")*(MOVIMIENTOS!$D$5:$D$1005="jabas")*(MOVIMIENTOS!$A$5:$A$1005&lt;&gt;"")*(MOVIMIENTOS!$A$5:$A$1005&lt;=$A6)*MOVIMIENTOS!$E$5:$E$1005)+SUMPRODUCT((MOVIMIENTOS!$B$5:$B$1005="AJUSTE")*(MOVIMIENTOS!$C$5:$C$1005="M")*(MOVIMIENTOS!$D$5:$D$1005="jabas")*(MOVIMIENTOS!$A$5:$A$1005&lt;&gt;"")*(MOVIMIENTOS!$A$5:$A$1005&lt;=$A6)*MOVIMIENTOS!$E$5:$E$1005))</f>
        <v>7</v>
      </c>
      <c r="F6" s="65">
        <f>IF($A6="","",SUMPRODUCT((MOVIMIENTOS!$B$5:$B$1005="SALDO INICIAL")*(MOVIMIENTOS!$C$5:$C$1005="Chancho")*(MOVIMIENTOS!$D$5:$D$1005="sacos")*(MOVIMIENTOS!$A$5:$A$1005&lt;&gt;"")*(MOVIMIENTOS!$A$5:$A$1005&lt;=$A6)*MOVIMIENTOS!$E$5:$E$1005)+SUMPRODUCT((MOVIMIENTOS!$B$5:$B$1005="PROCESO")*(MOVIMIENTOS!$C$5:$C$1005="Chancho")*(MOVIMIENTOS!$D$5:$D$1005="sacos")*(MOVIMIENTOS!$A$5:$A$1005&lt;&gt;"")*(MOVIMIENTOS!$A$5:$A$1005&lt;=$A6)*MOVIMIENTOS!$E$5:$E$1005)-SUMPRODUCT((MOVIMIENTOS!$B$5:$B$1005="VENTA CHANCHO")*(MOVIMIENTOS!$C$5:$C$1005="Chancho")*(MOVIMIENTOS!$D$5:$D$1005="sacos")*(MOVIMIENTOS!$A$5:$A$1005&lt;&gt;"")*(MOVIMIENTOS!$A$5:$A$1005&lt;=$A6)*MOVIMIENTOS!$E$5:$E$1005)-SUMPRODUCT((MOVIMIENTOS!$B$5:$B$1005="REGALO")*(MOVIMIENTOS!$C$5:$C$1005="Chancho")*(MOVIMIENTOS!$D$5:$D$1005="sacos")*(MOVIMIENTOS!$A$5:$A$1005&lt;&gt;"")*(MOVIMIENTOS!$A$5:$A$1005&lt;=$A6)*MOVIMIENTOS!$E$5:$E$1005)-SUMPRODUCT((MOVIMIENTOS!$B$5:$B$1005="VENTA")*(MOVIMIENTOS!$C$5:$C$1005="Chancho")*(MOVIMIENTOS!$D$5:$D$1005="sacos")*(MOVIMIENTOS!$A$5:$A$1005&lt;&gt;"")*(MOVIMIENTOS!$A$5:$A$1005&lt;=$A6)*MOVIMIENTOS!$E$5:$E$1005)+SUMPRODUCT((MOVIMIENTOS!$B$5:$B$1005="AJUSTE")*(MOVIMIENTOS!$C$5:$C$1005="Chancho")*(MOVIMIENTOS!$D$5:$D$1005="sacos")*(MOVIMIENTOS!$A$5:$A$1005&lt;&gt;"")*(MOVIMIENTOS!$A$5:$A$1005&lt;=$A6)*MOVIMIENTOS!$E$5:$E$1005))</f>
        <v>20</v>
      </c>
      <c r="G6" s="77">
        <f t="shared" si="1"/>
        <v>7</v>
      </c>
      <c r="H6" s="65">
        <f>IF($A6="","",SUMPRODUCT((((MOVIMIENTOS!$B$5:$B$1005="SALDO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6)*MOVIMIENTOS!$J$5:$J$1005))</f>
        <v>119</v>
      </c>
      <c r="I6" s="63"/>
      <c r="J6" s="63" t="str">
        <f>IF(AND(MOVIMIENTOS!$A6&lt;&gt;"",COUNTIF(MOVIMIENTOS!$A$5:$A5,MOVIMIENTOS!$A6)=0),COUNT(J$4:J5)+1,"")</f>
        <v/>
      </c>
      <c r="K6" s="66">
        <f>MOVIMIENTOS!$A6</f>
        <v>0</v>
      </c>
      <c r="L6" s="63"/>
      <c r="M6" s="63"/>
      <c r="N6" s="63"/>
    </row>
    <row r="7" spans="1:14" ht="15" customHeight="1" x14ac:dyDescent="0.2">
      <c r="A7" s="64">
        <f t="shared" si="0"/>
        <v>46215</v>
      </c>
      <c r="B7" s="65">
        <f>IF($A7="","",SUMPRODUCT((MOVIMIENTOS!$B$5:$B$1005="SALDO INICIAL")*(MOVIMIENTOS!$C$5:$C$1005="A")*(MOVIMIENTOS!$D$5:$D$1005="jabas")*(MOVIMIENTOS!$A$5:$A$1005&lt;&gt;"")*(MOVIMIENTOS!$A$5:$A$1005&lt;=$A7)*MOVIMIENTOS!$E$5:$E$1005)+SUMPRODUCT((MOVIMIENTOS!$B$5:$B$1005="PROCESO")*(MOVIMIENTOS!$C$5:$C$1005="A")*(MOVIMIENTOS!$D$5:$D$1005="jabas")*(MOVIMIENTOS!$A$5:$A$1005&lt;&gt;"")*(MOVIMIENTOS!$A$5:$A$1005&lt;=$A7)*MOVIMIENTOS!$E$5:$E$1005)-SUMPRODUCT((MOVIMIENTOS!$B$5:$B$1005="ENVÍO A SUPESA")*(MOVIMIENTOS!$C$5:$C$1005="A")*(MOVIMIENTOS!$D$5:$D$1005="jabas")*(MOVIMIENTOS!$A$5:$A$1005&lt;&gt;"")*(MOVIMIENTOS!$A$5:$A$1005&lt;=$A7)*MOVIMIENTOS!$E$5:$E$1005)+SUMPRODUCT((MOVIMIENTOS!$B$5:$B$1005="DEVOLUCIÓN")*(MOVIMIENTOS!$C$5:$C$1005="A")*(MOVIMIENTOS!$D$5:$D$1005="jabas")*(MOVIMIENTOS!$A$5:$A$1005&lt;&gt;"")*(MOVIMIENTOS!$A$5:$A$1005&lt;=$A7)*MOVIMIENTOS!$E$5:$E$1005)-SUMPRODUCT((MOVIMIENTOS!$B$5:$B$1005="TRASIEGO")*(MOVIMIENTOS!$C$5:$C$1005="A")*(MOVIMIENTOS!$D$5:$D$1005="jabas")*(MOVIMIENTOS!$A$5:$A$1005&lt;&gt;"")*(MOVIMIENTOS!$A$5:$A$1005&lt;=$A7)*MOVIMIENTOS!$E$5:$E$1005)-SUMPRODUCT((MOVIMIENTOS!$B$5:$B$1005="REGALO")*(MOVIMIENTOS!$C$5:$C$1005="A")*(MOVIMIENTOS!$D$5:$D$1005="jabas")*(MOVIMIENTOS!$A$5:$A$1005&lt;&gt;"")*(MOVIMIENTOS!$A$5:$A$1005&lt;=$A7)*MOVIMIENTOS!$E$5:$E$1005)-SUMPRODUCT((MOVIMIENTOS!$B$5:$B$1005="VENTA")*(MOVIMIENTOS!$C$5:$C$1005="A")*(MOVIMIENTOS!$D$5:$D$1005="jabas")*(MOVIMIENTOS!$A$5:$A$1005&lt;&gt;"")*(MOVIMIENTOS!$A$5:$A$1005&lt;=$A7)*MOVIMIENTOS!$E$5:$E$1005)+SUMPRODUCT((MOVIMIENTOS!$B$5:$B$1005="AJUSTE")*(MOVIMIENTOS!$C$5:$C$1005="A")*(MOVIMIENTOS!$D$5:$D$1005="jabas")*(MOVIMIENTOS!$A$5:$A$1005&lt;&gt;"")*(MOVIMIENTOS!$A$5:$A$1005&lt;=$A7)*MOVIMIENTOS!$E$5:$E$1005))</f>
        <v>-8</v>
      </c>
      <c r="C7" s="65">
        <f>IF($A7="","",SUMPRODUCT((MOVIMIENTOS!$B$5:$B$1005="SALDO INICIAL")*(MOVIMIENTOS!$C$5:$C$1005="P")*(MOVIMIENTOS!$D$5:$D$1005="jabas")*(MOVIMIENTOS!$A$5:$A$1005&lt;&gt;"")*(MOVIMIENTOS!$A$5:$A$1005&lt;=$A7)*MOVIMIENTOS!$E$5:$E$1005)+SUMPRODUCT((MOVIMIENTOS!$B$5:$B$1005="PROCESO")*(MOVIMIENTOS!$C$5:$C$1005="P")*(MOVIMIENTOS!$D$5:$D$1005="jabas")*(MOVIMIENTOS!$A$5:$A$1005&lt;&gt;"")*(MOVIMIENTOS!$A$5:$A$1005&lt;=$A7)*MOVIMIENTOS!$E$5:$E$1005)-SUMPRODUCT((MOVIMIENTOS!$B$5:$B$1005="ENVÍO A SUPESA")*(MOVIMIENTOS!$C$5:$C$1005="P")*(MOVIMIENTOS!$D$5:$D$1005="jabas")*(MOVIMIENTOS!$A$5:$A$1005&lt;&gt;"")*(MOVIMIENTOS!$A$5:$A$1005&lt;=$A7)*MOVIMIENTOS!$E$5:$E$1005)+SUMPRODUCT((MOVIMIENTOS!$B$5:$B$1005="DEVOLUCIÓN")*(MOVIMIENTOS!$C$5:$C$1005="P")*(MOVIMIENTOS!$D$5:$D$1005="jabas")*(MOVIMIENTOS!$A$5:$A$1005&lt;&gt;"")*(MOVIMIENTOS!$A$5:$A$1005&lt;=$A7)*MOVIMIENTOS!$E$5:$E$1005)-SUMPRODUCT((MOVIMIENTOS!$B$5:$B$1005="TRASIEGO")*(MOVIMIENTOS!$C$5:$C$1005="P")*(MOVIMIENTOS!$D$5:$D$1005="jabas")*(MOVIMIENTOS!$A$5:$A$1005&lt;&gt;"")*(MOVIMIENTOS!$A$5:$A$1005&lt;=$A7)*MOVIMIENTOS!$E$5:$E$1005)-SUMPRODUCT((MOVIMIENTOS!$B$5:$B$1005="REGALO")*(MOVIMIENTOS!$C$5:$C$1005="P")*(MOVIMIENTOS!$D$5:$D$1005="jabas")*(MOVIMIENTOS!$A$5:$A$1005&lt;&gt;"")*(MOVIMIENTOS!$A$5:$A$1005&lt;=$A7)*MOVIMIENTOS!$E$5:$E$1005)-SUMPRODUCT((MOVIMIENTOS!$B$5:$B$1005="VENTA")*(MOVIMIENTOS!$C$5:$C$1005="P")*(MOVIMIENTOS!$D$5:$D$1005="jabas")*(MOVIMIENTOS!$A$5:$A$1005&lt;&gt;"")*(MOVIMIENTOS!$A$5:$A$1005&lt;=$A7)*MOVIMIENTOS!$E$5:$E$1005)+SUMPRODUCT((MOVIMIENTOS!$B$5:$B$1005="AJUSTE")*(MOVIMIENTOS!$C$5:$C$1005="P")*(MOVIMIENTOS!$D$5:$D$1005="jabas")*(MOVIMIENTOS!$A$5:$A$1005&lt;&gt;"")*(MOVIMIENTOS!$A$5:$A$1005&lt;=$A7)*MOVIMIENTOS!$E$5:$E$1005))</f>
        <v>0</v>
      </c>
      <c r="D7" s="65">
        <f>IF($A7="","",SUMPRODUCT((MOVIMIENTOS!$B$5:$B$1005="SALDO INICIAL")*(MOVIMIENTOS!$C$5:$C$1005="C")*(MOVIMIENTOS!$D$5:$D$1005="jabas")*(MOVIMIENTOS!$A$5:$A$1005&lt;&gt;"")*(MOVIMIENTOS!$A$5:$A$1005&lt;=$A7)*MOVIMIENTOS!$E$5:$E$1005)+SUMPRODUCT((MOVIMIENTOS!$B$5:$B$1005="PROCESO")*(MOVIMIENTOS!$C$5:$C$1005="C")*(MOVIMIENTOS!$D$5:$D$1005="jabas")*(MOVIMIENTOS!$A$5:$A$1005&lt;&gt;"")*(MOVIMIENTOS!$A$5:$A$1005&lt;=$A7)*MOVIMIENTOS!$E$5:$E$1005)-SUMPRODUCT((MOVIMIENTOS!$B$5:$B$1005="ENVÍO A SUPESA")*(MOVIMIENTOS!$C$5:$C$1005="C")*(MOVIMIENTOS!$D$5:$D$1005="jabas")*(MOVIMIENTOS!$A$5:$A$1005&lt;&gt;"")*(MOVIMIENTOS!$A$5:$A$1005&lt;=$A7)*MOVIMIENTOS!$E$5:$E$1005)+SUMPRODUCT((MOVIMIENTOS!$B$5:$B$1005="DEVOLUCIÓN")*(MOVIMIENTOS!$C$5:$C$1005="C")*(MOVIMIENTOS!$D$5:$D$1005="jabas")*(MOVIMIENTOS!$A$5:$A$1005&lt;&gt;"")*(MOVIMIENTOS!$A$5:$A$1005&lt;=$A7)*MOVIMIENTOS!$E$5:$E$1005)-SUMPRODUCT((MOVIMIENTOS!$B$5:$B$1005="TRASIEGO")*(MOVIMIENTOS!$C$5:$C$1005="C")*(MOVIMIENTOS!$D$5:$D$1005="jabas")*(MOVIMIENTOS!$A$5:$A$1005&lt;&gt;"")*(MOVIMIENTOS!$A$5:$A$1005&lt;=$A7)*MOVIMIENTOS!$E$5:$E$1005)-SUMPRODUCT((MOVIMIENTOS!$B$5:$B$1005="REGALO")*(MOVIMIENTOS!$C$5:$C$1005="C")*(MOVIMIENTOS!$D$5:$D$1005="jabas")*(MOVIMIENTOS!$A$5:$A$1005&lt;&gt;"")*(MOVIMIENTOS!$A$5:$A$1005&lt;=$A7)*MOVIMIENTOS!$E$5:$E$1005)-SUMPRODUCT((MOVIMIENTOS!$B$5:$B$1005="VENTA")*(MOVIMIENTOS!$C$5:$C$1005="C")*(MOVIMIENTOS!$D$5:$D$1005="jabas")*(MOVIMIENTOS!$A$5:$A$1005&lt;&gt;"")*(MOVIMIENTOS!$A$5:$A$1005&lt;=$A7)*MOVIMIENTOS!$E$5:$E$1005)+SUMPRODUCT((MOVIMIENTOS!$B$5:$B$1005="AJUSTE")*(MOVIMIENTOS!$C$5:$C$1005="C")*(MOVIMIENTOS!$D$5:$D$1005="jabas")*(MOVIMIENTOS!$A$5:$A$1005&lt;&gt;"")*(MOVIMIENTOS!$A$5:$A$1005&lt;=$A7)*MOVIMIENTOS!$E$5:$E$1005))</f>
        <v>0</v>
      </c>
      <c r="E7" s="65">
        <f>IF($A7="","",SUMPRODUCT((MOVIMIENTOS!$B$5:$B$1005="SALDO INICIAL")*(MOVIMIENTOS!$C$5:$C$1005="M")*(MOVIMIENTOS!$D$5:$D$1005="jabas")*(MOVIMIENTOS!$A$5:$A$1005&lt;&gt;"")*(MOVIMIENTOS!$A$5:$A$1005&lt;=$A7)*MOVIMIENTOS!$E$5:$E$1005)+SUMPRODUCT((MOVIMIENTOS!$B$5:$B$1005="PROCESO")*(MOVIMIENTOS!$C$5:$C$1005="M")*(MOVIMIENTOS!$D$5:$D$1005="jabas")*(MOVIMIENTOS!$A$5:$A$1005&lt;&gt;"")*(MOVIMIENTOS!$A$5:$A$1005&lt;=$A7)*MOVIMIENTOS!$E$5:$E$1005)-SUMPRODUCT((MOVIMIENTOS!$B$5:$B$1005="ENVÍO A SUPESA")*(MOVIMIENTOS!$C$5:$C$1005="M")*(MOVIMIENTOS!$D$5:$D$1005="jabas")*(MOVIMIENTOS!$A$5:$A$1005&lt;&gt;"")*(MOVIMIENTOS!$A$5:$A$1005&lt;=$A7)*MOVIMIENTOS!$E$5:$E$1005)+SUMPRODUCT((MOVIMIENTOS!$B$5:$B$1005="DEVOLUCIÓN")*(MOVIMIENTOS!$C$5:$C$1005="M")*(MOVIMIENTOS!$D$5:$D$1005="jabas")*(MOVIMIENTOS!$A$5:$A$1005&lt;&gt;"")*(MOVIMIENTOS!$A$5:$A$1005&lt;=$A7)*MOVIMIENTOS!$E$5:$E$1005)-SUMPRODUCT((MOVIMIENTOS!$B$5:$B$1005="TRASIEGO")*(MOVIMIENTOS!$C$5:$C$1005="M")*(MOVIMIENTOS!$D$5:$D$1005="jabas")*(MOVIMIENTOS!$A$5:$A$1005&lt;&gt;"")*(MOVIMIENTOS!$A$5:$A$1005&lt;=$A7)*MOVIMIENTOS!$E$5:$E$1005)-SUMPRODUCT((MOVIMIENTOS!$B$5:$B$1005="REGALO")*(MOVIMIENTOS!$C$5:$C$1005="M")*(MOVIMIENTOS!$D$5:$D$1005="jabas")*(MOVIMIENTOS!$A$5:$A$1005&lt;&gt;"")*(MOVIMIENTOS!$A$5:$A$1005&lt;=$A7)*MOVIMIENTOS!$E$5:$E$1005)-SUMPRODUCT((MOVIMIENTOS!$B$5:$B$1005="VENTA")*(MOVIMIENTOS!$C$5:$C$1005="M")*(MOVIMIENTOS!$D$5:$D$1005="jabas")*(MOVIMIENTOS!$A$5:$A$1005&lt;&gt;"")*(MOVIMIENTOS!$A$5:$A$1005&lt;=$A7)*MOVIMIENTOS!$E$5:$E$1005)+SUMPRODUCT((MOVIMIENTOS!$B$5:$B$1005="AJUSTE")*(MOVIMIENTOS!$C$5:$C$1005="M")*(MOVIMIENTOS!$D$5:$D$1005="jabas")*(MOVIMIENTOS!$A$5:$A$1005&lt;&gt;"")*(MOVIMIENTOS!$A$5:$A$1005&lt;=$A7)*MOVIMIENTOS!$E$5:$E$1005))</f>
        <v>29</v>
      </c>
      <c r="F7" s="65">
        <f>IF($A7="","",SUMPRODUCT((MOVIMIENTOS!$B$5:$B$1005="SALDO INICIAL")*(MOVIMIENTOS!$C$5:$C$1005="Chancho")*(MOVIMIENTOS!$D$5:$D$1005="sacos")*(MOVIMIENTOS!$A$5:$A$1005&lt;&gt;"")*(MOVIMIENTOS!$A$5:$A$1005&lt;=$A7)*MOVIMIENTOS!$E$5:$E$1005)+SUMPRODUCT((MOVIMIENTOS!$B$5:$B$1005="PROCESO")*(MOVIMIENTOS!$C$5:$C$1005="Chancho")*(MOVIMIENTOS!$D$5:$D$1005="sacos")*(MOVIMIENTOS!$A$5:$A$1005&lt;&gt;"")*(MOVIMIENTOS!$A$5:$A$1005&lt;=$A7)*MOVIMIENTOS!$E$5:$E$1005)-SUMPRODUCT((MOVIMIENTOS!$B$5:$B$1005="VENTA CHANCHO")*(MOVIMIENTOS!$C$5:$C$1005="Chancho")*(MOVIMIENTOS!$D$5:$D$1005="sacos")*(MOVIMIENTOS!$A$5:$A$1005&lt;&gt;"")*(MOVIMIENTOS!$A$5:$A$1005&lt;=$A7)*MOVIMIENTOS!$E$5:$E$1005)-SUMPRODUCT((MOVIMIENTOS!$B$5:$B$1005="REGALO")*(MOVIMIENTOS!$C$5:$C$1005="Chancho")*(MOVIMIENTOS!$D$5:$D$1005="sacos")*(MOVIMIENTOS!$A$5:$A$1005&lt;&gt;"")*(MOVIMIENTOS!$A$5:$A$1005&lt;=$A7)*MOVIMIENTOS!$E$5:$E$1005)-SUMPRODUCT((MOVIMIENTOS!$B$5:$B$1005="VENTA")*(MOVIMIENTOS!$C$5:$C$1005="Chancho")*(MOVIMIENTOS!$D$5:$D$1005="sacos")*(MOVIMIENTOS!$A$5:$A$1005&lt;&gt;"")*(MOVIMIENTOS!$A$5:$A$1005&lt;=$A7)*MOVIMIENTOS!$E$5:$E$1005)+SUMPRODUCT((MOVIMIENTOS!$B$5:$B$1005="AJUSTE")*(MOVIMIENTOS!$C$5:$C$1005="Chancho")*(MOVIMIENTOS!$D$5:$D$1005="sacos")*(MOVIMIENTOS!$A$5:$A$1005&lt;&gt;"")*(MOVIMIENTOS!$A$5:$A$1005&lt;=$A7)*MOVIMIENTOS!$E$5:$E$1005))</f>
        <v>26</v>
      </c>
      <c r="G7" s="77">
        <f t="shared" si="1"/>
        <v>21</v>
      </c>
      <c r="H7" s="65">
        <f>IF($A7="","",SUMPRODUCT((((MOVIMIENTOS!$B$5:$B$1005="SALDO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7)*MOVIMIENTOS!$J$5:$J$1005))</f>
        <v>326</v>
      </c>
      <c r="I7" s="63"/>
      <c r="J7" s="63">
        <f>IF(AND(MOVIMIENTOS!$A7&lt;&gt;"",COUNTIF(MOVIMIENTOS!$A$5:$A6,MOVIMIENTOS!$A7)=0),COUNT(J$4:J6)+1,"")</f>
        <v>2</v>
      </c>
      <c r="K7" s="66">
        <f>MOVIMIENTOS!$A7</f>
        <v>46214</v>
      </c>
      <c r="L7" s="63"/>
      <c r="M7" s="63"/>
      <c r="N7" s="63"/>
    </row>
    <row r="8" spans="1:14" ht="15" customHeight="1" x14ac:dyDescent="0.2">
      <c r="A8" s="64">
        <f t="shared" si="0"/>
        <v>46216</v>
      </c>
      <c r="B8" s="65">
        <f>IF($A8="","",SUMPRODUCT((MOVIMIENTOS!$B$5:$B$1005="SALDO INICIAL")*(MOVIMIENTOS!$C$5:$C$1005="A")*(MOVIMIENTOS!$D$5:$D$1005="jabas")*(MOVIMIENTOS!$A$5:$A$1005&lt;&gt;"")*(MOVIMIENTOS!$A$5:$A$1005&lt;=$A8)*MOVIMIENTOS!$E$5:$E$1005)+SUMPRODUCT((MOVIMIENTOS!$B$5:$B$1005="PROCESO")*(MOVIMIENTOS!$C$5:$C$1005="A")*(MOVIMIENTOS!$D$5:$D$1005="jabas")*(MOVIMIENTOS!$A$5:$A$1005&lt;&gt;"")*(MOVIMIENTOS!$A$5:$A$1005&lt;=$A8)*MOVIMIENTOS!$E$5:$E$1005)-SUMPRODUCT((MOVIMIENTOS!$B$5:$B$1005="ENVÍO A SUPESA")*(MOVIMIENTOS!$C$5:$C$1005="A")*(MOVIMIENTOS!$D$5:$D$1005="jabas")*(MOVIMIENTOS!$A$5:$A$1005&lt;&gt;"")*(MOVIMIENTOS!$A$5:$A$1005&lt;=$A8)*MOVIMIENTOS!$E$5:$E$1005)+SUMPRODUCT((MOVIMIENTOS!$B$5:$B$1005="DEVOLUCIÓN")*(MOVIMIENTOS!$C$5:$C$1005="A")*(MOVIMIENTOS!$D$5:$D$1005="jabas")*(MOVIMIENTOS!$A$5:$A$1005&lt;&gt;"")*(MOVIMIENTOS!$A$5:$A$1005&lt;=$A8)*MOVIMIENTOS!$E$5:$E$1005)-SUMPRODUCT((MOVIMIENTOS!$B$5:$B$1005="TRASIEGO")*(MOVIMIENTOS!$C$5:$C$1005="A")*(MOVIMIENTOS!$D$5:$D$1005="jabas")*(MOVIMIENTOS!$A$5:$A$1005&lt;&gt;"")*(MOVIMIENTOS!$A$5:$A$1005&lt;=$A8)*MOVIMIENTOS!$E$5:$E$1005)-SUMPRODUCT((MOVIMIENTOS!$B$5:$B$1005="REGALO")*(MOVIMIENTOS!$C$5:$C$1005="A")*(MOVIMIENTOS!$D$5:$D$1005="jabas")*(MOVIMIENTOS!$A$5:$A$1005&lt;&gt;"")*(MOVIMIENTOS!$A$5:$A$1005&lt;=$A8)*MOVIMIENTOS!$E$5:$E$1005)-SUMPRODUCT((MOVIMIENTOS!$B$5:$B$1005="VENTA")*(MOVIMIENTOS!$C$5:$C$1005="A")*(MOVIMIENTOS!$D$5:$D$1005="jabas")*(MOVIMIENTOS!$A$5:$A$1005&lt;&gt;"")*(MOVIMIENTOS!$A$5:$A$1005&lt;=$A8)*MOVIMIENTOS!$E$5:$E$1005)+SUMPRODUCT((MOVIMIENTOS!$B$5:$B$1005="AJUSTE")*(MOVIMIENTOS!$C$5:$C$1005="A")*(MOVIMIENTOS!$D$5:$D$1005="jabas")*(MOVIMIENTOS!$A$5:$A$1005&lt;&gt;"")*(MOVIMIENTOS!$A$5:$A$1005&lt;=$A8)*MOVIMIENTOS!$E$5:$E$1005))</f>
        <v>32</v>
      </c>
      <c r="C8" s="65">
        <f>IF($A8="","",SUMPRODUCT((MOVIMIENTOS!$B$5:$B$1005="SALDO INICIAL")*(MOVIMIENTOS!$C$5:$C$1005="P")*(MOVIMIENTOS!$D$5:$D$1005="jabas")*(MOVIMIENTOS!$A$5:$A$1005&lt;&gt;"")*(MOVIMIENTOS!$A$5:$A$1005&lt;=$A8)*MOVIMIENTOS!$E$5:$E$1005)+SUMPRODUCT((MOVIMIENTOS!$B$5:$B$1005="PROCESO")*(MOVIMIENTOS!$C$5:$C$1005="P")*(MOVIMIENTOS!$D$5:$D$1005="jabas")*(MOVIMIENTOS!$A$5:$A$1005&lt;&gt;"")*(MOVIMIENTOS!$A$5:$A$1005&lt;=$A8)*MOVIMIENTOS!$E$5:$E$1005)-SUMPRODUCT((MOVIMIENTOS!$B$5:$B$1005="ENVÍO A SUPESA")*(MOVIMIENTOS!$C$5:$C$1005="P")*(MOVIMIENTOS!$D$5:$D$1005="jabas")*(MOVIMIENTOS!$A$5:$A$1005&lt;&gt;"")*(MOVIMIENTOS!$A$5:$A$1005&lt;=$A8)*MOVIMIENTOS!$E$5:$E$1005)+SUMPRODUCT((MOVIMIENTOS!$B$5:$B$1005="DEVOLUCIÓN")*(MOVIMIENTOS!$C$5:$C$1005="P")*(MOVIMIENTOS!$D$5:$D$1005="jabas")*(MOVIMIENTOS!$A$5:$A$1005&lt;&gt;"")*(MOVIMIENTOS!$A$5:$A$1005&lt;=$A8)*MOVIMIENTOS!$E$5:$E$1005)-SUMPRODUCT((MOVIMIENTOS!$B$5:$B$1005="TRASIEGO")*(MOVIMIENTOS!$C$5:$C$1005="P")*(MOVIMIENTOS!$D$5:$D$1005="jabas")*(MOVIMIENTOS!$A$5:$A$1005&lt;&gt;"")*(MOVIMIENTOS!$A$5:$A$1005&lt;=$A8)*MOVIMIENTOS!$E$5:$E$1005)-SUMPRODUCT((MOVIMIENTOS!$B$5:$B$1005="REGALO")*(MOVIMIENTOS!$C$5:$C$1005="P")*(MOVIMIENTOS!$D$5:$D$1005="jabas")*(MOVIMIENTOS!$A$5:$A$1005&lt;&gt;"")*(MOVIMIENTOS!$A$5:$A$1005&lt;=$A8)*MOVIMIENTOS!$E$5:$E$1005)-SUMPRODUCT((MOVIMIENTOS!$B$5:$B$1005="VENTA")*(MOVIMIENTOS!$C$5:$C$1005="P")*(MOVIMIENTOS!$D$5:$D$1005="jabas")*(MOVIMIENTOS!$A$5:$A$1005&lt;&gt;"")*(MOVIMIENTOS!$A$5:$A$1005&lt;=$A8)*MOVIMIENTOS!$E$5:$E$1005)+SUMPRODUCT((MOVIMIENTOS!$B$5:$B$1005="AJUSTE")*(MOVIMIENTOS!$C$5:$C$1005="P")*(MOVIMIENTOS!$D$5:$D$1005="jabas")*(MOVIMIENTOS!$A$5:$A$1005&lt;&gt;"")*(MOVIMIENTOS!$A$5:$A$1005&lt;=$A8)*MOVIMIENTOS!$E$5:$E$1005))</f>
        <v>0</v>
      </c>
      <c r="D8" s="65">
        <f>IF($A8="","",SUMPRODUCT((MOVIMIENTOS!$B$5:$B$1005="SALDO INICIAL")*(MOVIMIENTOS!$C$5:$C$1005="C")*(MOVIMIENTOS!$D$5:$D$1005="jabas")*(MOVIMIENTOS!$A$5:$A$1005&lt;&gt;"")*(MOVIMIENTOS!$A$5:$A$1005&lt;=$A8)*MOVIMIENTOS!$E$5:$E$1005)+SUMPRODUCT((MOVIMIENTOS!$B$5:$B$1005="PROCESO")*(MOVIMIENTOS!$C$5:$C$1005="C")*(MOVIMIENTOS!$D$5:$D$1005="jabas")*(MOVIMIENTOS!$A$5:$A$1005&lt;&gt;"")*(MOVIMIENTOS!$A$5:$A$1005&lt;=$A8)*MOVIMIENTOS!$E$5:$E$1005)-SUMPRODUCT((MOVIMIENTOS!$B$5:$B$1005="ENVÍO A SUPESA")*(MOVIMIENTOS!$C$5:$C$1005="C")*(MOVIMIENTOS!$D$5:$D$1005="jabas")*(MOVIMIENTOS!$A$5:$A$1005&lt;&gt;"")*(MOVIMIENTOS!$A$5:$A$1005&lt;=$A8)*MOVIMIENTOS!$E$5:$E$1005)+SUMPRODUCT((MOVIMIENTOS!$B$5:$B$1005="DEVOLUCIÓN")*(MOVIMIENTOS!$C$5:$C$1005="C")*(MOVIMIENTOS!$D$5:$D$1005="jabas")*(MOVIMIENTOS!$A$5:$A$1005&lt;&gt;"")*(MOVIMIENTOS!$A$5:$A$1005&lt;=$A8)*MOVIMIENTOS!$E$5:$E$1005)-SUMPRODUCT((MOVIMIENTOS!$B$5:$B$1005="TRASIEGO")*(MOVIMIENTOS!$C$5:$C$1005="C")*(MOVIMIENTOS!$D$5:$D$1005="jabas")*(MOVIMIENTOS!$A$5:$A$1005&lt;&gt;"")*(MOVIMIENTOS!$A$5:$A$1005&lt;=$A8)*MOVIMIENTOS!$E$5:$E$1005)-SUMPRODUCT((MOVIMIENTOS!$B$5:$B$1005="REGALO")*(MOVIMIENTOS!$C$5:$C$1005="C")*(MOVIMIENTOS!$D$5:$D$1005="jabas")*(MOVIMIENTOS!$A$5:$A$1005&lt;&gt;"")*(MOVIMIENTOS!$A$5:$A$1005&lt;=$A8)*MOVIMIENTOS!$E$5:$E$1005)-SUMPRODUCT((MOVIMIENTOS!$B$5:$B$1005="VENTA")*(MOVIMIENTOS!$C$5:$C$1005="C")*(MOVIMIENTOS!$D$5:$D$1005="jabas")*(MOVIMIENTOS!$A$5:$A$1005&lt;&gt;"")*(MOVIMIENTOS!$A$5:$A$1005&lt;=$A8)*MOVIMIENTOS!$E$5:$E$1005)+SUMPRODUCT((MOVIMIENTOS!$B$5:$B$1005="AJUSTE")*(MOVIMIENTOS!$C$5:$C$1005="C")*(MOVIMIENTOS!$D$5:$D$1005="jabas")*(MOVIMIENTOS!$A$5:$A$1005&lt;&gt;"")*(MOVIMIENTOS!$A$5:$A$1005&lt;=$A8)*MOVIMIENTOS!$E$5:$E$1005))</f>
        <v>0</v>
      </c>
      <c r="E8" s="65">
        <f>IF($A8="","",SUMPRODUCT((MOVIMIENTOS!$B$5:$B$1005="SALDO INICIAL")*(MOVIMIENTOS!$C$5:$C$1005="M")*(MOVIMIENTOS!$D$5:$D$1005="jabas")*(MOVIMIENTOS!$A$5:$A$1005&lt;&gt;"")*(MOVIMIENTOS!$A$5:$A$1005&lt;=$A8)*MOVIMIENTOS!$E$5:$E$1005)+SUMPRODUCT((MOVIMIENTOS!$B$5:$B$1005="PROCESO")*(MOVIMIENTOS!$C$5:$C$1005="M")*(MOVIMIENTOS!$D$5:$D$1005="jabas")*(MOVIMIENTOS!$A$5:$A$1005&lt;&gt;"")*(MOVIMIENTOS!$A$5:$A$1005&lt;=$A8)*MOVIMIENTOS!$E$5:$E$1005)-SUMPRODUCT((MOVIMIENTOS!$B$5:$B$1005="ENVÍO A SUPESA")*(MOVIMIENTOS!$C$5:$C$1005="M")*(MOVIMIENTOS!$D$5:$D$1005="jabas")*(MOVIMIENTOS!$A$5:$A$1005&lt;&gt;"")*(MOVIMIENTOS!$A$5:$A$1005&lt;=$A8)*MOVIMIENTOS!$E$5:$E$1005)+SUMPRODUCT((MOVIMIENTOS!$B$5:$B$1005="DEVOLUCIÓN")*(MOVIMIENTOS!$C$5:$C$1005="M")*(MOVIMIENTOS!$D$5:$D$1005="jabas")*(MOVIMIENTOS!$A$5:$A$1005&lt;&gt;"")*(MOVIMIENTOS!$A$5:$A$1005&lt;=$A8)*MOVIMIENTOS!$E$5:$E$1005)-SUMPRODUCT((MOVIMIENTOS!$B$5:$B$1005="TRASIEGO")*(MOVIMIENTOS!$C$5:$C$1005="M")*(MOVIMIENTOS!$D$5:$D$1005="jabas")*(MOVIMIENTOS!$A$5:$A$1005&lt;&gt;"")*(MOVIMIENTOS!$A$5:$A$1005&lt;=$A8)*MOVIMIENTOS!$E$5:$E$1005)-SUMPRODUCT((MOVIMIENTOS!$B$5:$B$1005="REGALO")*(MOVIMIENTOS!$C$5:$C$1005="M")*(MOVIMIENTOS!$D$5:$D$1005="jabas")*(MOVIMIENTOS!$A$5:$A$1005&lt;&gt;"")*(MOVIMIENTOS!$A$5:$A$1005&lt;=$A8)*MOVIMIENTOS!$E$5:$E$1005)-SUMPRODUCT((MOVIMIENTOS!$B$5:$B$1005="VENTA")*(MOVIMIENTOS!$C$5:$C$1005="M")*(MOVIMIENTOS!$D$5:$D$1005="jabas")*(MOVIMIENTOS!$A$5:$A$1005&lt;&gt;"")*(MOVIMIENTOS!$A$5:$A$1005&lt;=$A8)*MOVIMIENTOS!$E$5:$E$1005)+SUMPRODUCT((MOVIMIENTOS!$B$5:$B$1005="AJUSTE")*(MOVIMIENTOS!$C$5:$C$1005="M")*(MOVIMIENTOS!$D$5:$D$1005="jabas")*(MOVIMIENTOS!$A$5:$A$1005&lt;&gt;"")*(MOVIMIENTOS!$A$5:$A$1005&lt;=$A8)*MOVIMIENTOS!$E$5:$E$1005))</f>
        <v>42</v>
      </c>
      <c r="F8" s="65">
        <f>IF($A8="","",SUMPRODUCT((MOVIMIENTOS!$B$5:$B$1005="SALDO INICIAL")*(MOVIMIENTOS!$C$5:$C$1005="Chancho")*(MOVIMIENTOS!$D$5:$D$1005="sacos")*(MOVIMIENTOS!$A$5:$A$1005&lt;&gt;"")*(MOVIMIENTOS!$A$5:$A$1005&lt;=$A8)*MOVIMIENTOS!$E$5:$E$1005)+SUMPRODUCT((MOVIMIENTOS!$B$5:$B$1005="PROCESO")*(MOVIMIENTOS!$C$5:$C$1005="Chancho")*(MOVIMIENTOS!$D$5:$D$1005="sacos")*(MOVIMIENTOS!$A$5:$A$1005&lt;&gt;"")*(MOVIMIENTOS!$A$5:$A$1005&lt;=$A8)*MOVIMIENTOS!$E$5:$E$1005)-SUMPRODUCT((MOVIMIENTOS!$B$5:$B$1005="VENTA CHANCHO")*(MOVIMIENTOS!$C$5:$C$1005="Chancho")*(MOVIMIENTOS!$D$5:$D$1005="sacos")*(MOVIMIENTOS!$A$5:$A$1005&lt;&gt;"")*(MOVIMIENTOS!$A$5:$A$1005&lt;=$A8)*MOVIMIENTOS!$E$5:$E$1005)-SUMPRODUCT((MOVIMIENTOS!$B$5:$B$1005="REGALO")*(MOVIMIENTOS!$C$5:$C$1005="Chancho")*(MOVIMIENTOS!$D$5:$D$1005="sacos")*(MOVIMIENTOS!$A$5:$A$1005&lt;&gt;"")*(MOVIMIENTOS!$A$5:$A$1005&lt;=$A8)*MOVIMIENTOS!$E$5:$E$1005)-SUMPRODUCT((MOVIMIENTOS!$B$5:$B$1005="VENTA")*(MOVIMIENTOS!$C$5:$C$1005="Chancho")*(MOVIMIENTOS!$D$5:$D$1005="sacos")*(MOVIMIENTOS!$A$5:$A$1005&lt;&gt;"")*(MOVIMIENTOS!$A$5:$A$1005&lt;=$A8)*MOVIMIENTOS!$E$5:$E$1005)+SUMPRODUCT((MOVIMIENTOS!$B$5:$B$1005="AJUSTE")*(MOVIMIENTOS!$C$5:$C$1005="Chancho")*(MOVIMIENTOS!$D$5:$D$1005="sacos")*(MOVIMIENTOS!$A$5:$A$1005&lt;&gt;"")*(MOVIMIENTOS!$A$5:$A$1005&lt;=$A8)*MOVIMIENTOS!$E$5:$E$1005))</f>
        <v>28</v>
      </c>
      <c r="G8" s="77">
        <f t="shared" si="1"/>
        <v>74</v>
      </c>
      <c r="H8" s="65">
        <f>IF($A8="","",SUMPRODUCT((((MOVIMIENTOS!$B$5:$B$1005="SALDO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8)*MOVIMIENTOS!$J$5:$J$1005))</f>
        <v>956</v>
      </c>
      <c r="I8" s="63"/>
      <c r="J8" s="63" t="str">
        <f>IF(AND(MOVIMIENTOS!$A8&lt;&gt;"",COUNTIF(MOVIMIENTOS!$A$5:$A7,MOVIMIENTOS!$A8)=0),COUNT(J$4:J7)+1,"")</f>
        <v/>
      </c>
      <c r="K8" s="66">
        <f>MOVIMIENTOS!$A8</f>
        <v>46214</v>
      </c>
      <c r="L8" s="63"/>
      <c r="M8" s="63"/>
      <c r="N8" s="63"/>
    </row>
    <row r="9" spans="1:14" ht="15" customHeight="1" x14ac:dyDescent="0.2">
      <c r="A9" s="64">
        <f t="shared" si="0"/>
        <v>46217</v>
      </c>
      <c r="B9" s="65">
        <f>IF($A9="","",SUMPRODUCT((MOVIMIENTOS!$B$5:$B$1005="SALDO INICIAL")*(MOVIMIENTOS!$C$5:$C$1005="A")*(MOVIMIENTOS!$D$5:$D$1005="jabas")*(MOVIMIENTOS!$A$5:$A$1005&lt;&gt;"")*(MOVIMIENTOS!$A$5:$A$1005&lt;=$A9)*MOVIMIENTOS!$E$5:$E$1005)+SUMPRODUCT((MOVIMIENTOS!$B$5:$B$1005="PROCESO")*(MOVIMIENTOS!$C$5:$C$1005="A")*(MOVIMIENTOS!$D$5:$D$1005="jabas")*(MOVIMIENTOS!$A$5:$A$1005&lt;&gt;"")*(MOVIMIENTOS!$A$5:$A$1005&lt;=$A9)*MOVIMIENTOS!$E$5:$E$1005)-SUMPRODUCT((MOVIMIENTOS!$B$5:$B$1005="ENVÍO A SUPESA")*(MOVIMIENTOS!$C$5:$C$1005="A")*(MOVIMIENTOS!$D$5:$D$1005="jabas")*(MOVIMIENTOS!$A$5:$A$1005&lt;&gt;"")*(MOVIMIENTOS!$A$5:$A$1005&lt;=$A9)*MOVIMIENTOS!$E$5:$E$1005)+SUMPRODUCT((MOVIMIENTOS!$B$5:$B$1005="DEVOLUCIÓN")*(MOVIMIENTOS!$C$5:$C$1005="A")*(MOVIMIENTOS!$D$5:$D$1005="jabas")*(MOVIMIENTOS!$A$5:$A$1005&lt;&gt;"")*(MOVIMIENTOS!$A$5:$A$1005&lt;=$A9)*MOVIMIENTOS!$E$5:$E$1005)-SUMPRODUCT((MOVIMIENTOS!$B$5:$B$1005="TRASIEGO")*(MOVIMIENTOS!$C$5:$C$1005="A")*(MOVIMIENTOS!$D$5:$D$1005="jabas")*(MOVIMIENTOS!$A$5:$A$1005&lt;&gt;"")*(MOVIMIENTOS!$A$5:$A$1005&lt;=$A9)*MOVIMIENTOS!$E$5:$E$1005)-SUMPRODUCT((MOVIMIENTOS!$B$5:$B$1005="REGALO")*(MOVIMIENTOS!$C$5:$C$1005="A")*(MOVIMIENTOS!$D$5:$D$1005="jabas")*(MOVIMIENTOS!$A$5:$A$1005&lt;&gt;"")*(MOVIMIENTOS!$A$5:$A$1005&lt;=$A9)*MOVIMIENTOS!$E$5:$E$1005)-SUMPRODUCT((MOVIMIENTOS!$B$5:$B$1005="VENTA")*(MOVIMIENTOS!$C$5:$C$1005="A")*(MOVIMIENTOS!$D$5:$D$1005="jabas")*(MOVIMIENTOS!$A$5:$A$1005&lt;&gt;"")*(MOVIMIENTOS!$A$5:$A$1005&lt;=$A9)*MOVIMIENTOS!$E$5:$E$1005)+SUMPRODUCT((MOVIMIENTOS!$B$5:$B$1005="AJUSTE")*(MOVIMIENTOS!$C$5:$C$1005="A")*(MOVIMIENTOS!$D$5:$D$1005="jabas")*(MOVIMIENTOS!$A$5:$A$1005&lt;&gt;"")*(MOVIMIENTOS!$A$5:$A$1005&lt;=$A9)*MOVIMIENTOS!$E$5:$E$1005))</f>
        <v>10</v>
      </c>
      <c r="C9" s="65">
        <f>IF($A9="","",SUMPRODUCT((MOVIMIENTOS!$B$5:$B$1005="SALDO INICIAL")*(MOVIMIENTOS!$C$5:$C$1005="P")*(MOVIMIENTOS!$D$5:$D$1005="jabas")*(MOVIMIENTOS!$A$5:$A$1005&lt;&gt;"")*(MOVIMIENTOS!$A$5:$A$1005&lt;=$A9)*MOVIMIENTOS!$E$5:$E$1005)+SUMPRODUCT((MOVIMIENTOS!$B$5:$B$1005="PROCESO")*(MOVIMIENTOS!$C$5:$C$1005="P")*(MOVIMIENTOS!$D$5:$D$1005="jabas")*(MOVIMIENTOS!$A$5:$A$1005&lt;&gt;"")*(MOVIMIENTOS!$A$5:$A$1005&lt;=$A9)*MOVIMIENTOS!$E$5:$E$1005)-SUMPRODUCT((MOVIMIENTOS!$B$5:$B$1005="ENVÍO A SUPESA")*(MOVIMIENTOS!$C$5:$C$1005="P")*(MOVIMIENTOS!$D$5:$D$1005="jabas")*(MOVIMIENTOS!$A$5:$A$1005&lt;&gt;"")*(MOVIMIENTOS!$A$5:$A$1005&lt;=$A9)*MOVIMIENTOS!$E$5:$E$1005)+SUMPRODUCT((MOVIMIENTOS!$B$5:$B$1005="DEVOLUCIÓN")*(MOVIMIENTOS!$C$5:$C$1005="P")*(MOVIMIENTOS!$D$5:$D$1005="jabas")*(MOVIMIENTOS!$A$5:$A$1005&lt;&gt;"")*(MOVIMIENTOS!$A$5:$A$1005&lt;=$A9)*MOVIMIENTOS!$E$5:$E$1005)-SUMPRODUCT((MOVIMIENTOS!$B$5:$B$1005="TRASIEGO")*(MOVIMIENTOS!$C$5:$C$1005="P")*(MOVIMIENTOS!$D$5:$D$1005="jabas")*(MOVIMIENTOS!$A$5:$A$1005&lt;&gt;"")*(MOVIMIENTOS!$A$5:$A$1005&lt;=$A9)*MOVIMIENTOS!$E$5:$E$1005)-SUMPRODUCT((MOVIMIENTOS!$B$5:$B$1005="REGALO")*(MOVIMIENTOS!$C$5:$C$1005="P")*(MOVIMIENTOS!$D$5:$D$1005="jabas")*(MOVIMIENTOS!$A$5:$A$1005&lt;&gt;"")*(MOVIMIENTOS!$A$5:$A$1005&lt;=$A9)*MOVIMIENTOS!$E$5:$E$1005)-SUMPRODUCT((MOVIMIENTOS!$B$5:$B$1005="VENTA")*(MOVIMIENTOS!$C$5:$C$1005="P")*(MOVIMIENTOS!$D$5:$D$1005="jabas")*(MOVIMIENTOS!$A$5:$A$1005&lt;&gt;"")*(MOVIMIENTOS!$A$5:$A$1005&lt;=$A9)*MOVIMIENTOS!$E$5:$E$1005)+SUMPRODUCT((MOVIMIENTOS!$B$5:$B$1005="AJUSTE")*(MOVIMIENTOS!$C$5:$C$1005="P")*(MOVIMIENTOS!$D$5:$D$1005="jabas")*(MOVIMIENTOS!$A$5:$A$1005&lt;&gt;"")*(MOVIMIENTOS!$A$5:$A$1005&lt;=$A9)*MOVIMIENTOS!$E$5:$E$1005))</f>
        <v>0</v>
      </c>
      <c r="D9" s="65">
        <f>IF($A9="","",SUMPRODUCT((MOVIMIENTOS!$B$5:$B$1005="SALDO INICIAL")*(MOVIMIENTOS!$C$5:$C$1005="C")*(MOVIMIENTOS!$D$5:$D$1005="jabas")*(MOVIMIENTOS!$A$5:$A$1005&lt;&gt;"")*(MOVIMIENTOS!$A$5:$A$1005&lt;=$A9)*MOVIMIENTOS!$E$5:$E$1005)+SUMPRODUCT((MOVIMIENTOS!$B$5:$B$1005="PROCESO")*(MOVIMIENTOS!$C$5:$C$1005="C")*(MOVIMIENTOS!$D$5:$D$1005="jabas")*(MOVIMIENTOS!$A$5:$A$1005&lt;&gt;"")*(MOVIMIENTOS!$A$5:$A$1005&lt;=$A9)*MOVIMIENTOS!$E$5:$E$1005)-SUMPRODUCT((MOVIMIENTOS!$B$5:$B$1005="ENVÍO A SUPESA")*(MOVIMIENTOS!$C$5:$C$1005="C")*(MOVIMIENTOS!$D$5:$D$1005="jabas")*(MOVIMIENTOS!$A$5:$A$1005&lt;&gt;"")*(MOVIMIENTOS!$A$5:$A$1005&lt;=$A9)*MOVIMIENTOS!$E$5:$E$1005)+SUMPRODUCT((MOVIMIENTOS!$B$5:$B$1005="DEVOLUCIÓN")*(MOVIMIENTOS!$C$5:$C$1005="C")*(MOVIMIENTOS!$D$5:$D$1005="jabas")*(MOVIMIENTOS!$A$5:$A$1005&lt;&gt;"")*(MOVIMIENTOS!$A$5:$A$1005&lt;=$A9)*MOVIMIENTOS!$E$5:$E$1005)-SUMPRODUCT((MOVIMIENTOS!$B$5:$B$1005="TRASIEGO")*(MOVIMIENTOS!$C$5:$C$1005="C")*(MOVIMIENTOS!$D$5:$D$1005="jabas")*(MOVIMIENTOS!$A$5:$A$1005&lt;&gt;"")*(MOVIMIENTOS!$A$5:$A$1005&lt;=$A9)*MOVIMIENTOS!$E$5:$E$1005)-SUMPRODUCT((MOVIMIENTOS!$B$5:$B$1005="REGALO")*(MOVIMIENTOS!$C$5:$C$1005="C")*(MOVIMIENTOS!$D$5:$D$1005="jabas")*(MOVIMIENTOS!$A$5:$A$1005&lt;&gt;"")*(MOVIMIENTOS!$A$5:$A$1005&lt;=$A9)*MOVIMIENTOS!$E$5:$E$1005)-SUMPRODUCT((MOVIMIENTOS!$B$5:$B$1005="VENTA")*(MOVIMIENTOS!$C$5:$C$1005="C")*(MOVIMIENTOS!$D$5:$D$1005="jabas")*(MOVIMIENTOS!$A$5:$A$1005&lt;&gt;"")*(MOVIMIENTOS!$A$5:$A$1005&lt;=$A9)*MOVIMIENTOS!$E$5:$E$1005)+SUMPRODUCT((MOVIMIENTOS!$B$5:$B$1005="AJUSTE")*(MOVIMIENTOS!$C$5:$C$1005="C")*(MOVIMIENTOS!$D$5:$D$1005="jabas")*(MOVIMIENTOS!$A$5:$A$1005&lt;&gt;"")*(MOVIMIENTOS!$A$5:$A$1005&lt;=$A9)*MOVIMIENTOS!$E$5:$E$1005))</f>
        <v>0</v>
      </c>
      <c r="E9" s="65">
        <f>IF($A9="","",SUMPRODUCT((MOVIMIENTOS!$B$5:$B$1005="SALDO INICIAL")*(MOVIMIENTOS!$C$5:$C$1005="M")*(MOVIMIENTOS!$D$5:$D$1005="jabas")*(MOVIMIENTOS!$A$5:$A$1005&lt;&gt;"")*(MOVIMIENTOS!$A$5:$A$1005&lt;=$A9)*MOVIMIENTOS!$E$5:$E$1005)+SUMPRODUCT((MOVIMIENTOS!$B$5:$B$1005="PROCESO")*(MOVIMIENTOS!$C$5:$C$1005="M")*(MOVIMIENTOS!$D$5:$D$1005="jabas")*(MOVIMIENTOS!$A$5:$A$1005&lt;&gt;"")*(MOVIMIENTOS!$A$5:$A$1005&lt;=$A9)*MOVIMIENTOS!$E$5:$E$1005)-SUMPRODUCT((MOVIMIENTOS!$B$5:$B$1005="ENVÍO A SUPESA")*(MOVIMIENTOS!$C$5:$C$1005="M")*(MOVIMIENTOS!$D$5:$D$1005="jabas")*(MOVIMIENTOS!$A$5:$A$1005&lt;&gt;"")*(MOVIMIENTOS!$A$5:$A$1005&lt;=$A9)*MOVIMIENTOS!$E$5:$E$1005)+SUMPRODUCT((MOVIMIENTOS!$B$5:$B$1005="DEVOLUCIÓN")*(MOVIMIENTOS!$C$5:$C$1005="M")*(MOVIMIENTOS!$D$5:$D$1005="jabas")*(MOVIMIENTOS!$A$5:$A$1005&lt;&gt;"")*(MOVIMIENTOS!$A$5:$A$1005&lt;=$A9)*MOVIMIENTOS!$E$5:$E$1005)-SUMPRODUCT((MOVIMIENTOS!$B$5:$B$1005="TRASIEGO")*(MOVIMIENTOS!$C$5:$C$1005="M")*(MOVIMIENTOS!$D$5:$D$1005="jabas")*(MOVIMIENTOS!$A$5:$A$1005&lt;&gt;"")*(MOVIMIENTOS!$A$5:$A$1005&lt;=$A9)*MOVIMIENTOS!$E$5:$E$1005)-SUMPRODUCT((MOVIMIENTOS!$B$5:$B$1005="REGALO")*(MOVIMIENTOS!$C$5:$C$1005="M")*(MOVIMIENTOS!$D$5:$D$1005="jabas")*(MOVIMIENTOS!$A$5:$A$1005&lt;&gt;"")*(MOVIMIENTOS!$A$5:$A$1005&lt;=$A9)*MOVIMIENTOS!$E$5:$E$1005)-SUMPRODUCT((MOVIMIENTOS!$B$5:$B$1005="VENTA")*(MOVIMIENTOS!$C$5:$C$1005="M")*(MOVIMIENTOS!$D$5:$D$1005="jabas")*(MOVIMIENTOS!$A$5:$A$1005&lt;&gt;"")*(MOVIMIENTOS!$A$5:$A$1005&lt;=$A9)*MOVIMIENTOS!$E$5:$E$1005)+SUMPRODUCT((MOVIMIENTOS!$B$5:$B$1005="AJUSTE")*(MOVIMIENTOS!$C$5:$C$1005="M")*(MOVIMIENTOS!$D$5:$D$1005="jabas")*(MOVIMIENTOS!$A$5:$A$1005&lt;&gt;"")*(MOVIMIENTOS!$A$5:$A$1005&lt;=$A9)*MOVIMIENTOS!$E$5:$E$1005))</f>
        <v>47</v>
      </c>
      <c r="F9" s="65">
        <f>IF($A9="","",SUMPRODUCT((MOVIMIENTOS!$B$5:$B$1005="SALDO INICIAL")*(MOVIMIENTOS!$C$5:$C$1005="Chancho")*(MOVIMIENTOS!$D$5:$D$1005="sacos")*(MOVIMIENTOS!$A$5:$A$1005&lt;&gt;"")*(MOVIMIENTOS!$A$5:$A$1005&lt;=$A9)*MOVIMIENTOS!$E$5:$E$1005)+SUMPRODUCT((MOVIMIENTOS!$B$5:$B$1005="PROCESO")*(MOVIMIENTOS!$C$5:$C$1005="Chancho")*(MOVIMIENTOS!$D$5:$D$1005="sacos")*(MOVIMIENTOS!$A$5:$A$1005&lt;&gt;"")*(MOVIMIENTOS!$A$5:$A$1005&lt;=$A9)*MOVIMIENTOS!$E$5:$E$1005)-SUMPRODUCT((MOVIMIENTOS!$B$5:$B$1005="VENTA CHANCHO")*(MOVIMIENTOS!$C$5:$C$1005="Chancho")*(MOVIMIENTOS!$D$5:$D$1005="sacos")*(MOVIMIENTOS!$A$5:$A$1005&lt;&gt;"")*(MOVIMIENTOS!$A$5:$A$1005&lt;=$A9)*MOVIMIENTOS!$E$5:$E$1005)-SUMPRODUCT((MOVIMIENTOS!$B$5:$B$1005="REGALO")*(MOVIMIENTOS!$C$5:$C$1005="Chancho")*(MOVIMIENTOS!$D$5:$D$1005="sacos")*(MOVIMIENTOS!$A$5:$A$1005&lt;&gt;"")*(MOVIMIENTOS!$A$5:$A$1005&lt;=$A9)*MOVIMIENTOS!$E$5:$E$1005)-SUMPRODUCT((MOVIMIENTOS!$B$5:$B$1005="VENTA")*(MOVIMIENTOS!$C$5:$C$1005="Chancho")*(MOVIMIENTOS!$D$5:$D$1005="sacos")*(MOVIMIENTOS!$A$5:$A$1005&lt;&gt;"")*(MOVIMIENTOS!$A$5:$A$1005&lt;=$A9)*MOVIMIENTOS!$E$5:$E$1005)+SUMPRODUCT((MOVIMIENTOS!$B$5:$B$1005="AJUSTE")*(MOVIMIENTOS!$C$5:$C$1005="Chancho")*(MOVIMIENTOS!$D$5:$D$1005="sacos")*(MOVIMIENTOS!$A$5:$A$1005&lt;&gt;"")*(MOVIMIENTOS!$A$5:$A$1005&lt;=$A9)*MOVIMIENTOS!$E$5:$E$1005))</f>
        <v>35</v>
      </c>
      <c r="G9" s="77">
        <f t="shared" si="1"/>
        <v>57</v>
      </c>
      <c r="H9" s="65">
        <f>IF($A9="","",SUMPRODUCT((((MOVIMIENTOS!$B$5:$B$1005="SALDO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9)*MOVIMIENTOS!$J$5:$J$1005))</f>
        <v>778</v>
      </c>
      <c r="I9" s="63"/>
      <c r="J9" s="63">
        <f>IF(AND(MOVIMIENTOS!$A9&lt;&gt;"",COUNTIF(MOVIMIENTOS!$A$5:$A8,MOVIMIENTOS!$A9)=0),COUNT(J$4:J8)+1,"")</f>
        <v>3</v>
      </c>
      <c r="K9" s="66">
        <f>MOVIMIENTOS!$A9</f>
        <v>46215</v>
      </c>
      <c r="L9" s="63"/>
      <c r="M9" s="63"/>
      <c r="N9" s="63"/>
    </row>
    <row r="10" spans="1:14" ht="15" customHeight="1" x14ac:dyDescent="0.2">
      <c r="A10" s="64">
        <f t="shared" si="0"/>
        <v>46218</v>
      </c>
      <c r="B10" s="65">
        <f>IF($A10="","",SUMPRODUCT((MOVIMIENTOS!$B$5:$B$1005="SALDO INICIAL")*(MOVIMIENTOS!$C$5:$C$1005="A")*(MOVIMIENTOS!$D$5:$D$1005="jabas")*(MOVIMIENTOS!$A$5:$A$1005&lt;&gt;"")*(MOVIMIENTOS!$A$5:$A$1005&lt;=$A10)*MOVIMIENTOS!$E$5:$E$1005)+SUMPRODUCT((MOVIMIENTOS!$B$5:$B$1005="PROCESO")*(MOVIMIENTOS!$C$5:$C$1005="A")*(MOVIMIENTOS!$D$5:$D$1005="jabas")*(MOVIMIENTOS!$A$5:$A$1005&lt;&gt;"")*(MOVIMIENTOS!$A$5:$A$1005&lt;=$A10)*MOVIMIENTOS!$E$5:$E$1005)-SUMPRODUCT((MOVIMIENTOS!$B$5:$B$1005="ENVÍO A SUPESA")*(MOVIMIENTOS!$C$5:$C$1005="A")*(MOVIMIENTOS!$D$5:$D$1005="jabas")*(MOVIMIENTOS!$A$5:$A$1005&lt;&gt;"")*(MOVIMIENTOS!$A$5:$A$1005&lt;=$A10)*MOVIMIENTOS!$E$5:$E$1005)+SUMPRODUCT((MOVIMIENTOS!$B$5:$B$1005="DEVOLUCIÓN")*(MOVIMIENTOS!$C$5:$C$1005="A")*(MOVIMIENTOS!$D$5:$D$1005="jabas")*(MOVIMIENTOS!$A$5:$A$1005&lt;&gt;"")*(MOVIMIENTOS!$A$5:$A$1005&lt;=$A10)*MOVIMIENTOS!$E$5:$E$1005)-SUMPRODUCT((MOVIMIENTOS!$B$5:$B$1005="TRASIEGO")*(MOVIMIENTOS!$C$5:$C$1005="A")*(MOVIMIENTOS!$D$5:$D$1005="jabas")*(MOVIMIENTOS!$A$5:$A$1005&lt;&gt;"")*(MOVIMIENTOS!$A$5:$A$1005&lt;=$A10)*MOVIMIENTOS!$E$5:$E$1005)-SUMPRODUCT((MOVIMIENTOS!$B$5:$B$1005="REGALO")*(MOVIMIENTOS!$C$5:$C$1005="A")*(MOVIMIENTOS!$D$5:$D$1005="jabas")*(MOVIMIENTOS!$A$5:$A$1005&lt;&gt;"")*(MOVIMIENTOS!$A$5:$A$1005&lt;=$A10)*MOVIMIENTOS!$E$5:$E$1005)-SUMPRODUCT((MOVIMIENTOS!$B$5:$B$1005="VENTA")*(MOVIMIENTOS!$C$5:$C$1005="A")*(MOVIMIENTOS!$D$5:$D$1005="jabas")*(MOVIMIENTOS!$A$5:$A$1005&lt;&gt;"")*(MOVIMIENTOS!$A$5:$A$1005&lt;=$A10)*MOVIMIENTOS!$E$5:$E$1005)+SUMPRODUCT((MOVIMIENTOS!$B$5:$B$1005="AJUSTE")*(MOVIMIENTOS!$C$5:$C$1005="A")*(MOVIMIENTOS!$D$5:$D$1005="jabas")*(MOVIMIENTOS!$A$5:$A$1005&lt;&gt;"")*(MOVIMIENTOS!$A$5:$A$1005&lt;=$A10)*MOVIMIENTOS!$E$5:$E$1005))</f>
        <v>22</v>
      </c>
      <c r="C10" s="65">
        <f>IF($A10="","",SUMPRODUCT((MOVIMIENTOS!$B$5:$B$1005="SALDO INICIAL")*(MOVIMIENTOS!$C$5:$C$1005="P")*(MOVIMIENTOS!$D$5:$D$1005="jabas")*(MOVIMIENTOS!$A$5:$A$1005&lt;&gt;"")*(MOVIMIENTOS!$A$5:$A$1005&lt;=$A10)*MOVIMIENTOS!$E$5:$E$1005)+SUMPRODUCT((MOVIMIENTOS!$B$5:$B$1005="PROCESO")*(MOVIMIENTOS!$C$5:$C$1005="P")*(MOVIMIENTOS!$D$5:$D$1005="jabas")*(MOVIMIENTOS!$A$5:$A$1005&lt;&gt;"")*(MOVIMIENTOS!$A$5:$A$1005&lt;=$A10)*MOVIMIENTOS!$E$5:$E$1005)-SUMPRODUCT((MOVIMIENTOS!$B$5:$B$1005="ENVÍO A SUPESA")*(MOVIMIENTOS!$C$5:$C$1005="P")*(MOVIMIENTOS!$D$5:$D$1005="jabas")*(MOVIMIENTOS!$A$5:$A$1005&lt;&gt;"")*(MOVIMIENTOS!$A$5:$A$1005&lt;=$A10)*MOVIMIENTOS!$E$5:$E$1005)+SUMPRODUCT((MOVIMIENTOS!$B$5:$B$1005="DEVOLUCIÓN")*(MOVIMIENTOS!$C$5:$C$1005="P")*(MOVIMIENTOS!$D$5:$D$1005="jabas")*(MOVIMIENTOS!$A$5:$A$1005&lt;&gt;"")*(MOVIMIENTOS!$A$5:$A$1005&lt;=$A10)*MOVIMIENTOS!$E$5:$E$1005)-SUMPRODUCT((MOVIMIENTOS!$B$5:$B$1005="TRASIEGO")*(MOVIMIENTOS!$C$5:$C$1005="P")*(MOVIMIENTOS!$D$5:$D$1005="jabas")*(MOVIMIENTOS!$A$5:$A$1005&lt;&gt;"")*(MOVIMIENTOS!$A$5:$A$1005&lt;=$A10)*MOVIMIENTOS!$E$5:$E$1005)-SUMPRODUCT((MOVIMIENTOS!$B$5:$B$1005="REGALO")*(MOVIMIENTOS!$C$5:$C$1005="P")*(MOVIMIENTOS!$D$5:$D$1005="jabas")*(MOVIMIENTOS!$A$5:$A$1005&lt;&gt;"")*(MOVIMIENTOS!$A$5:$A$1005&lt;=$A10)*MOVIMIENTOS!$E$5:$E$1005)-SUMPRODUCT((MOVIMIENTOS!$B$5:$B$1005="VENTA")*(MOVIMIENTOS!$C$5:$C$1005="P")*(MOVIMIENTOS!$D$5:$D$1005="jabas")*(MOVIMIENTOS!$A$5:$A$1005&lt;&gt;"")*(MOVIMIENTOS!$A$5:$A$1005&lt;=$A10)*MOVIMIENTOS!$E$5:$E$1005)+SUMPRODUCT((MOVIMIENTOS!$B$5:$B$1005="AJUSTE")*(MOVIMIENTOS!$C$5:$C$1005="P")*(MOVIMIENTOS!$D$5:$D$1005="jabas")*(MOVIMIENTOS!$A$5:$A$1005&lt;&gt;"")*(MOVIMIENTOS!$A$5:$A$1005&lt;=$A10)*MOVIMIENTOS!$E$5:$E$1005))</f>
        <v>11</v>
      </c>
      <c r="D10" s="65">
        <f>IF($A10="","",SUMPRODUCT((MOVIMIENTOS!$B$5:$B$1005="SALDO INICIAL")*(MOVIMIENTOS!$C$5:$C$1005="C")*(MOVIMIENTOS!$D$5:$D$1005="jabas")*(MOVIMIENTOS!$A$5:$A$1005&lt;&gt;"")*(MOVIMIENTOS!$A$5:$A$1005&lt;=$A10)*MOVIMIENTOS!$E$5:$E$1005)+SUMPRODUCT((MOVIMIENTOS!$B$5:$B$1005="PROCESO")*(MOVIMIENTOS!$C$5:$C$1005="C")*(MOVIMIENTOS!$D$5:$D$1005="jabas")*(MOVIMIENTOS!$A$5:$A$1005&lt;&gt;"")*(MOVIMIENTOS!$A$5:$A$1005&lt;=$A10)*MOVIMIENTOS!$E$5:$E$1005)-SUMPRODUCT((MOVIMIENTOS!$B$5:$B$1005="ENVÍO A SUPESA")*(MOVIMIENTOS!$C$5:$C$1005="C")*(MOVIMIENTOS!$D$5:$D$1005="jabas")*(MOVIMIENTOS!$A$5:$A$1005&lt;&gt;"")*(MOVIMIENTOS!$A$5:$A$1005&lt;=$A10)*MOVIMIENTOS!$E$5:$E$1005)+SUMPRODUCT((MOVIMIENTOS!$B$5:$B$1005="DEVOLUCIÓN")*(MOVIMIENTOS!$C$5:$C$1005="C")*(MOVIMIENTOS!$D$5:$D$1005="jabas")*(MOVIMIENTOS!$A$5:$A$1005&lt;&gt;"")*(MOVIMIENTOS!$A$5:$A$1005&lt;=$A10)*MOVIMIENTOS!$E$5:$E$1005)-SUMPRODUCT((MOVIMIENTOS!$B$5:$B$1005="TRASIEGO")*(MOVIMIENTOS!$C$5:$C$1005="C")*(MOVIMIENTOS!$D$5:$D$1005="jabas")*(MOVIMIENTOS!$A$5:$A$1005&lt;&gt;"")*(MOVIMIENTOS!$A$5:$A$1005&lt;=$A10)*MOVIMIENTOS!$E$5:$E$1005)-SUMPRODUCT((MOVIMIENTOS!$B$5:$B$1005="REGALO")*(MOVIMIENTOS!$C$5:$C$1005="C")*(MOVIMIENTOS!$D$5:$D$1005="jabas")*(MOVIMIENTOS!$A$5:$A$1005&lt;&gt;"")*(MOVIMIENTOS!$A$5:$A$1005&lt;=$A10)*MOVIMIENTOS!$E$5:$E$1005)-SUMPRODUCT((MOVIMIENTOS!$B$5:$B$1005="VENTA")*(MOVIMIENTOS!$C$5:$C$1005="C")*(MOVIMIENTOS!$D$5:$D$1005="jabas")*(MOVIMIENTOS!$A$5:$A$1005&lt;&gt;"")*(MOVIMIENTOS!$A$5:$A$1005&lt;=$A10)*MOVIMIENTOS!$E$5:$E$1005)+SUMPRODUCT((MOVIMIENTOS!$B$5:$B$1005="AJUSTE")*(MOVIMIENTOS!$C$5:$C$1005="C")*(MOVIMIENTOS!$D$5:$D$1005="jabas")*(MOVIMIENTOS!$A$5:$A$1005&lt;&gt;"")*(MOVIMIENTOS!$A$5:$A$1005&lt;=$A10)*MOVIMIENTOS!$E$5:$E$1005))</f>
        <v>12</v>
      </c>
      <c r="E10" s="65">
        <f>IF($A10="","",SUMPRODUCT((MOVIMIENTOS!$B$5:$B$1005="SALDO INICIAL")*(MOVIMIENTOS!$C$5:$C$1005="M")*(MOVIMIENTOS!$D$5:$D$1005="jabas")*(MOVIMIENTOS!$A$5:$A$1005&lt;&gt;"")*(MOVIMIENTOS!$A$5:$A$1005&lt;=$A10)*MOVIMIENTOS!$E$5:$E$1005)+SUMPRODUCT((MOVIMIENTOS!$B$5:$B$1005="PROCESO")*(MOVIMIENTOS!$C$5:$C$1005="M")*(MOVIMIENTOS!$D$5:$D$1005="jabas")*(MOVIMIENTOS!$A$5:$A$1005&lt;&gt;"")*(MOVIMIENTOS!$A$5:$A$1005&lt;=$A10)*MOVIMIENTOS!$E$5:$E$1005)-SUMPRODUCT((MOVIMIENTOS!$B$5:$B$1005="ENVÍO A SUPESA")*(MOVIMIENTOS!$C$5:$C$1005="M")*(MOVIMIENTOS!$D$5:$D$1005="jabas")*(MOVIMIENTOS!$A$5:$A$1005&lt;&gt;"")*(MOVIMIENTOS!$A$5:$A$1005&lt;=$A10)*MOVIMIENTOS!$E$5:$E$1005)+SUMPRODUCT((MOVIMIENTOS!$B$5:$B$1005="DEVOLUCIÓN")*(MOVIMIENTOS!$C$5:$C$1005="M")*(MOVIMIENTOS!$D$5:$D$1005="jabas")*(MOVIMIENTOS!$A$5:$A$1005&lt;&gt;"")*(MOVIMIENTOS!$A$5:$A$1005&lt;=$A10)*MOVIMIENTOS!$E$5:$E$1005)-SUMPRODUCT((MOVIMIENTOS!$B$5:$B$1005="TRASIEGO")*(MOVIMIENTOS!$C$5:$C$1005="M")*(MOVIMIENTOS!$D$5:$D$1005="jabas")*(MOVIMIENTOS!$A$5:$A$1005&lt;&gt;"")*(MOVIMIENTOS!$A$5:$A$1005&lt;=$A10)*MOVIMIENTOS!$E$5:$E$1005)-SUMPRODUCT((MOVIMIENTOS!$B$5:$B$1005="REGALO")*(MOVIMIENTOS!$C$5:$C$1005="M")*(MOVIMIENTOS!$D$5:$D$1005="jabas")*(MOVIMIENTOS!$A$5:$A$1005&lt;&gt;"")*(MOVIMIENTOS!$A$5:$A$1005&lt;=$A10)*MOVIMIENTOS!$E$5:$E$1005)-SUMPRODUCT((MOVIMIENTOS!$B$5:$B$1005="VENTA")*(MOVIMIENTOS!$C$5:$C$1005="M")*(MOVIMIENTOS!$D$5:$D$1005="jabas")*(MOVIMIENTOS!$A$5:$A$1005&lt;&gt;"")*(MOVIMIENTOS!$A$5:$A$1005&lt;=$A10)*MOVIMIENTOS!$E$5:$E$1005)+SUMPRODUCT((MOVIMIENTOS!$B$5:$B$1005="AJUSTE")*(MOVIMIENTOS!$C$5:$C$1005="M")*(MOVIMIENTOS!$D$5:$D$1005="jabas")*(MOVIMIENTOS!$A$5:$A$1005&lt;&gt;"")*(MOVIMIENTOS!$A$5:$A$1005&lt;=$A10)*MOVIMIENTOS!$E$5:$E$1005))</f>
        <v>35</v>
      </c>
      <c r="F10" s="65">
        <f>IF($A10="","",SUMPRODUCT((MOVIMIENTOS!$B$5:$B$1005="SALDO INICIAL")*(MOVIMIENTOS!$C$5:$C$1005="Chancho")*(MOVIMIENTOS!$D$5:$D$1005="sacos")*(MOVIMIENTOS!$A$5:$A$1005&lt;&gt;"")*(MOVIMIENTOS!$A$5:$A$1005&lt;=$A10)*MOVIMIENTOS!$E$5:$E$1005)+SUMPRODUCT((MOVIMIENTOS!$B$5:$B$1005="PROCESO")*(MOVIMIENTOS!$C$5:$C$1005="Chancho")*(MOVIMIENTOS!$D$5:$D$1005="sacos")*(MOVIMIENTOS!$A$5:$A$1005&lt;&gt;"")*(MOVIMIENTOS!$A$5:$A$1005&lt;=$A10)*MOVIMIENTOS!$E$5:$E$1005)-SUMPRODUCT((MOVIMIENTOS!$B$5:$B$1005="VENTA CHANCHO")*(MOVIMIENTOS!$C$5:$C$1005="Chancho")*(MOVIMIENTOS!$D$5:$D$1005="sacos")*(MOVIMIENTOS!$A$5:$A$1005&lt;&gt;"")*(MOVIMIENTOS!$A$5:$A$1005&lt;=$A10)*MOVIMIENTOS!$E$5:$E$1005)-SUMPRODUCT((MOVIMIENTOS!$B$5:$B$1005="REGALO")*(MOVIMIENTOS!$C$5:$C$1005="Chancho")*(MOVIMIENTOS!$D$5:$D$1005="sacos")*(MOVIMIENTOS!$A$5:$A$1005&lt;&gt;"")*(MOVIMIENTOS!$A$5:$A$1005&lt;=$A10)*MOVIMIENTOS!$E$5:$E$1005)-SUMPRODUCT((MOVIMIENTOS!$B$5:$B$1005="VENTA")*(MOVIMIENTOS!$C$5:$C$1005="Chancho")*(MOVIMIENTOS!$D$5:$D$1005="sacos")*(MOVIMIENTOS!$A$5:$A$1005&lt;&gt;"")*(MOVIMIENTOS!$A$5:$A$1005&lt;=$A10)*MOVIMIENTOS!$E$5:$E$1005)+SUMPRODUCT((MOVIMIENTOS!$B$5:$B$1005="AJUSTE")*(MOVIMIENTOS!$C$5:$C$1005="Chancho")*(MOVIMIENTOS!$D$5:$D$1005="sacos")*(MOVIMIENTOS!$A$5:$A$1005&lt;&gt;"")*(MOVIMIENTOS!$A$5:$A$1005&lt;=$A10)*MOVIMIENTOS!$E$5:$E$1005))</f>
        <v>5</v>
      </c>
      <c r="G10" s="77">
        <f t="shared" si="1"/>
        <v>80</v>
      </c>
      <c r="H10" s="65">
        <f>IF($A10="","",SUMPRODUCT((((MOVIMIENTOS!$B$5:$B$1005="SALDO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10)*MOVIMIENTOS!$J$5:$J$1005))</f>
        <v>1202</v>
      </c>
      <c r="I10" s="63"/>
      <c r="J10" s="63" t="str">
        <f>IF(AND(MOVIMIENTOS!$A10&lt;&gt;"",COUNTIF(MOVIMIENTOS!$A$5:$A9,MOVIMIENTOS!$A10)=0),COUNT(J$4:J9)+1,"")</f>
        <v/>
      </c>
      <c r="K10" s="66">
        <f>MOVIMIENTOS!$A10</f>
        <v>46215</v>
      </c>
      <c r="L10" s="63"/>
      <c r="M10" s="63"/>
      <c r="N10" s="63"/>
    </row>
    <row r="11" spans="1:14" ht="15" customHeight="1" x14ac:dyDescent="0.2">
      <c r="A11" s="64">
        <f t="shared" si="0"/>
        <v>46219</v>
      </c>
      <c r="B11" s="65">
        <f>IF($A11="","",SUMPRODUCT((MOVIMIENTOS!$B$5:$B$1005="SALDO INICIAL")*(MOVIMIENTOS!$C$5:$C$1005="A")*(MOVIMIENTOS!$D$5:$D$1005="jabas")*(MOVIMIENTOS!$A$5:$A$1005&lt;&gt;"")*(MOVIMIENTOS!$A$5:$A$1005&lt;=$A11)*MOVIMIENTOS!$E$5:$E$1005)+SUMPRODUCT((MOVIMIENTOS!$B$5:$B$1005="PROCESO")*(MOVIMIENTOS!$C$5:$C$1005="A")*(MOVIMIENTOS!$D$5:$D$1005="jabas")*(MOVIMIENTOS!$A$5:$A$1005&lt;&gt;"")*(MOVIMIENTOS!$A$5:$A$1005&lt;=$A11)*MOVIMIENTOS!$E$5:$E$1005)-SUMPRODUCT((MOVIMIENTOS!$B$5:$B$1005="ENVÍO A SUPESA")*(MOVIMIENTOS!$C$5:$C$1005="A")*(MOVIMIENTOS!$D$5:$D$1005="jabas")*(MOVIMIENTOS!$A$5:$A$1005&lt;&gt;"")*(MOVIMIENTOS!$A$5:$A$1005&lt;=$A11)*MOVIMIENTOS!$E$5:$E$1005)+SUMPRODUCT((MOVIMIENTOS!$B$5:$B$1005="DEVOLUCIÓN")*(MOVIMIENTOS!$C$5:$C$1005="A")*(MOVIMIENTOS!$D$5:$D$1005="jabas")*(MOVIMIENTOS!$A$5:$A$1005&lt;&gt;"")*(MOVIMIENTOS!$A$5:$A$1005&lt;=$A11)*MOVIMIENTOS!$E$5:$E$1005)-SUMPRODUCT((MOVIMIENTOS!$B$5:$B$1005="TRASIEGO")*(MOVIMIENTOS!$C$5:$C$1005="A")*(MOVIMIENTOS!$D$5:$D$1005="jabas")*(MOVIMIENTOS!$A$5:$A$1005&lt;&gt;"")*(MOVIMIENTOS!$A$5:$A$1005&lt;=$A11)*MOVIMIENTOS!$E$5:$E$1005)-SUMPRODUCT((MOVIMIENTOS!$B$5:$B$1005="REGALO")*(MOVIMIENTOS!$C$5:$C$1005="A")*(MOVIMIENTOS!$D$5:$D$1005="jabas")*(MOVIMIENTOS!$A$5:$A$1005&lt;&gt;"")*(MOVIMIENTOS!$A$5:$A$1005&lt;=$A11)*MOVIMIENTOS!$E$5:$E$1005)-SUMPRODUCT((MOVIMIENTOS!$B$5:$B$1005="VENTA")*(MOVIMIENTOS!$C$5:$C$1005="A")*(MOVIMIENTOS!$D$5:$D$1005="jabas")*(MOVIMIENTOS!$A$5:$A$1005&lt;&gt;"")*(MOVIMIENTOS!$A$5:$A$1005&lt;=$A11)*MOVIMIENTOS!$E$5:$E$1005)+SUMPRODUCT((MOVIMIENTOS!$B$5:$B$1005="AJUSTE")*(MOVIMIENTOS!$C$5:$C$1005="A")*(MOVIMIENTOS!$D$5:$D$1005="jabas")*(MOVIMIENTOS!$A$5:$A$1005&lt;&gt;"")*(MOVIMIENTOS!$A$5:$A$1005&lt;=$A11)*MOVIMIENTOS!$E$5:$E$1005))</f>
        <v>27</v>
      </c>
      <c r="C11" s="65">
        <f>IF($A11="","",SUMPRODUCT((MOVIMIENTOS!$B$5:$B$1005="SALDO INICIAL")*(MOVIMIENTOS!$C$5:$C$1005="P")*(MOVIMIENTOS!$D$5:$D$1005="jabas")*(MOVIMIENTOS!$A$5:$A$1005&lt;&gt;"")*(MOVIMIENTOS!$A$5:$A$1005&lt;=$A11)*MOVIMIENTOS!$E$5:$E$1005)+SUMPRODUCT((MOVIMIENTOS!$B$5:$B$1005="PROCESO")*(MOVIMIENTOS!$C$5:$C$1005="P")*(MOVIMIENTOS!$D$5:$D$1005="jabas")*(MOVIMIENTOS!$A$5:$A$1005&lt;&gt;"")*(MOVIMIENTOS!$A$5:$A$1005&lt;=$A11)*MOVIMIENTOS!$E$5:$E$1005)-SUMPRODUCT((MOVIMIENTOS!$B$5:$B$1005="ENVÍO A SUPESA")*(MOVIMIENTOS!$C$5:$C$1005="P")*(MOVIMIENTOS!$D$5:$D$1005="jabas")*(MOVIMIENTOS!$A$5:$A$1005&lt;&gt;"")*(MOVIMIENTOS!$A$5:$A$1005&lt;=$A11)*MOVIMIENTOS!$E$5:$E$1005)+SUMPRODUCT((MOVIMIENTOS!$B$5:$B$1005="DEVOLUCIÓN")*(MOVIMIENTOS!$C$5:$C$1005="P")*(MOVIMIENTOS!$D$5:$D$1005="jabas")*(MOVIMIENTOS!$A$5:$A$1005&lt;&gt;"")*(MOVIMIENTOS!$A$5:$A$1005&lt;=$A11)*MOVIMIENTOS!$E$5:$E$1005)-SUMPRODUCT((MOVIMIENTOS!$B$5:$B$1005="TRASIEGO")*(MOVIMIENTOS!$C$5:$C$1005="P")*(MOVIMIENTOS!$D$5:$D$1005="jabas")*(MOVIMIENTOS!$A$5:$A$1005&lt;&gt;"")*(MOVIMIENTOS!$A$5:$A$1005&lt;=$A11)*MOVIMIENTOS!$E$5:$E$1005)-SUMPRODUCT((MOVIMIENTOS!$B$5:$B$1005="REGALO")*(MOVIMIENTOS!$C$5:$C$1005="P")*(MOVIMIENTOS!$D$5:$D$1005="jabas")*(MOVIMIENTOS!$A$5:$A$1005&lt;&gt;"")*(MOVIMIENTOS!$A$5:$A$1005&lt;=$A11)*MOVIMIENTOS!$E$5:$E$1005)-SUMPRODUCT((MOVIMIENTOS!$B$5:$B$1005="VENTA")*(MOVIMIENTOS!$C$5:$C$1005="P")*(MOVIMIENTOS!$D$5:$D$1005="jabas")*(MOVIMIENTOS!$A$5:$A$1005&lt;&gt;"")*(MOVIMIENTOS!$A$5:$A$1005&lt;=$A11)*MOVIMIENTOS!$E$5:$E$1005)+SUMPRODUCT((MOVIMIENTOS!$B$5:$B$1005="AJUSTE")*(MOVIMIENTOS!$C$5:$C$1005="P")*(MOVIMIENTOS!$D$5:$D$1005="jabas")*(MOVIMIENTOS!$A$5:$A$1005&lt;&gt;"")*(MOVIMIENTOS!$A$5:$A$1005&lt;=$A11)*MOVIMIENTOS!$E$5:$E$1005))</f>
        <v>11</v>
      </c>
      <c r="D11" s="65">
        <f>IF($A11="","",SUMPRODUCT((MOVIMIENTOS!$B$5:$B$1005="SALDO INICIAL")*(MOVIMIENTOS!$C$5:$C$1005="C")*(MOVIMIENTOS!$D$5:$D$1005="jabas")*(MOVIMIENTOS!$A$5:$A$1005&lt;&gt;"")*(MOVIMIENTOS!$A$5:$A$1005&lt;=$A11)*MOVIMIENTOS!$E$5:$E$1005)+SUMPRODUCT((MOVIMIENTOS!$B$5:$B$1005="PROCESO")*(MOVIMIENTOS!$C$5:$C$1005="C")*(MOVIMIENTOS!$D$5:$D$1005="jabas")*(MOVIMIENTOS!$A$5:$A$1005&lt;&gt;"")*(MOVIMIENTOS!$A$5:$A$1005&lt;=$A11)*MOVIMIENTOS!$E$5:$E$1005)-SUMPRODUCT((MOVIMIENTOS!$B$5:$B$1005="ENVÍO A SUPESA")*(MOVIMIENTOS!$C$5:$C$1005="C")*(MOVIMIENTOS!$D$5:$D$1005="jabas")*(MOVIMIENTOS!$A$5:$A$1005&lt;&gt;"")*(MOVIMIENTOS!$A$5:$A$1005&lt;=$A11)*MOVIMIENTOS!$E$5:$E$1005)+SUMPRODUCT((MOVIMIENTOS!$B$5:$B$1005="DEVOLUCIÓN")*(MOVIMIENTOS!$C$5:$C$1005="C")*(MOVIMIENTOS!$D$5:$D$1005="jabas")*(MOVIMIENTOS!$A$5:$A$1005&lt;&gt;"")*(MOVIMIENTOS!$A$5:$A$1005&lt;=$A11)*MOVIMIENTOS!$E$5:$E$1005)-SUMPRODUCT((MOVIMIENTOS!$B$5:$B$1005="TRASIEGO")*(MOVIMIENTOS!$C$5:$C$1005="C")*(MOVIMIENTOS!$D$5:$D$1005="jabas")*(MOVIMIENTOS!$A$5:$A$1005&lt;&gt;"")*(MOVIMIENTOS!$A$5:$A$1005&lt;=$A11)*MOVIMIENTOS!$E$5:$E$1005)-SUMPRODUCT((MOVIMIENTOS!$B$5:$B$1005="REGALO")*(MOVIMIENTOS!$C$5:$C$1005="C")*(MOVIMIENTOS!$D$5:$D$1005="jabas")*(MOVIMIENTOS!$A$5:$A$1005&lt;&gt;"")*(MOVIMIENTOS!$A$5:$A$1005&lt;=$A11)*MOVIMIENTOS!$E$5:$E$1005)-SUMPRODUCT((MOVIMIENTOS!$B$5:$B$1005="VENTA")*(MOVIMIENTOS!$C$5:$C$1005="C")*(MOVIMIENTOS!$D$5:$D$1005="jabas")*(MOVIMIENTOS!$A$5:$A$1005&lt;&gt;"")*(MOVIMIENTOS!$A$5:$A$1005&lt;=$A11)*MOVIMIENTOS!$E$5:$E$1005)+SUMPRODUCT((MOVIMIENTOS!$B$5:$B$1005="AJUSTE")*(MOVIMIENTOS!$C$5:$C$1005="C")*(MOVIMIENTOS!$D$5:$D$1005="jabas")*(MOVIMIENTOS!$A$5:$A$1005&lt;&gt;"")*(MOVIMIENTOS!$A$5:$A$1005&lt;=$A11)*MOVIMIENTOS!$E$5:$E$1005))</f>
        <v>12</v>
      </c>
      <c r="E11" s="65">
        <f>IF($A11="","",SUMPRODUCT((MOVIMIENTOS!$B$5:$B$1005="SALDO INICIAL")*(MOVIMIENTOS!$C$5:$C$1005="M")*(MOVIMIENTOS!$D$5:$D$1005="jabas")*(MOVIMIENTOS!$A$5:$A$1005&lt;&gt;"")*(MOVIMIENTOS!$A$5:$A$1005&lt;=$A11)*MOVIMIENTOS!$E$5:$E$1005)+SUMPRODUCT((MOVIMIENTOS!$B$5:$B$1005="PROCESO")*(MOVIMIENTOS!$C$5:$C$1005="M")*(MOVIMIENTOS!$D$5:$D$1005="jabas")*(MOVIMIENTOS!$A$5:$A$1005&lt;&gt;"")*(MOVIMIENTOS!$A$5:$A$1005&lt;=$A11)*MOVIMIENTOS!$E$5:$E$1005)-SUMPRODUCT((MOVIMIENTOS!$B$5:$B$1005="ENVÍO A SUPESA")*(MOVIMIENTOS!$C$5:$C$1005="M")*(MOVIMIENTOS!$D$5:$D$1005="jabas")*(MOVIMIENTOS!$A$5:$A$1005&lt;&gt;"")*(MOVIMIENTOS!$A$5:$A$1005&lt;=$A11)*MOVIMIENTOS!$E$5:$E$1005)+SUMPRODUCT((MOVIMIENTOS!$B$5:$B$1005="DEVOLUCIÓN")*(MOVIMIENTOS!$C$5:$C$1005="M")*(MOVIMIENTOS!$D$5:$D$1005="jabas")*(MOVIMIENTOS!$A$5:$A$1005&lt;&gt;"")*(MOVIMIENTOS!$A$5:$A$1005&lt;=$A11)*MOVIMIENTOS!$E$5:$E$1005)-SUMPRODUCT((MOVIMIENTOS!$B$5:$B$1005="TRASIEGO")*(MOVIMIENTOS!$C$5:$C$1005="M")*(MOVIMIENTOS!$D$5:$D$1005="jabas")*(MOVIMIENTOS!$A$5:$A$1005&lt;&gt;"")*(MOVIMIENTOS!$A$5:$A$1005&lt;=$A11)*MOVIMIENTOS!$E$5:$E$1005)-SUMPRODUCT((MOVIMIENTOS!$B$5:$B$1005="REGALO")*(MOVIMIENTOS!$C$5:$C$1005="M")*(MOVIMIENTOS!$D$5:$D$1005="jabas")*(MOVIMIENTOS!$A$5:$A$1005&lt;&gt;"")*(MOVIMIENTOS!$A$5:$A$1005&lt;=$A11)*MOVIMIENTOS!$E$5:$E$1005)-SUMPRODUCT((MOVIMIENTOS!$B$5:$B$1005="VENTA")*(MOVIMIENTOS!$C$5:$C$1005="M")*(MOVIMIENTOS!$D$5:$D$1005="jabas")*(MOVIMIENTOS!$A$5:$A$1005&lt;&gt;"")*(MOVIMIENTOS!$A$5:$A$1005&lt;=$A11)*MOVIMIENTOS!$E$5:$E$1005)+SUMPRODUCT((MOVIMIENTOS!$B$5:$B$1005="AJUSTE")*(MOVIMIENTOS!$C$5:$C$1005="M")*(MOVIMIENTOS!$D$5:$D$1005="jabas")*(MOVIMIENTOS!$A$5:$A$1005&lt;&gt;"")*(MOVIMIENTOS!$A$5:$A$1005&lt;=$A11)*MOVIMIENTOS!$E$5:$E$1005))</f>
        <v>36</v>
      </c>
      <c r="F11" s="65">
        <f>IF($A11="","",SUMPRODUCT((MOVIMIENTOS!$B$5:$B$1005="SALDO INICIAL")*(MOVIMIENTOS!$C$5:$C$1005="Chancho")*(MOVIMIENTOS!$D$5:$D$1005="sacos")*(MOVIMIENTOS!$A$5:$A$1005&lt;&gt;"")*(MOVIMIENTOS!$A$5:$A$1005&lt;=$A11)*MOVIMIENTOS!$E$5:$E$1005)+SUMPRODUCT((MOVIMIENTOS!$B$5:$B$1005="PROCESO")*(MOVIMIENTOS!$C$5:$C$1005="Chancho")*(MOVIMIENTOS!$D$5:$D$1005="sacos")*(MOVIMIENTOS!$A$5:$A$1005&lt;&gt;"")*(MOVIMIENTOS!$A$5:$A$1005&lt;=$A11)*MOVIMIENTOS!$E$5:$E$1005)-SUMPRODUCT((MOVIMIENTOS!$B$5:$B$1005="VENTA CHANCHO")*(MOVIMIENTOS!$C$5:$C$1005="Chancho")*(MOVIMIENTOS!$D$5:$D$1005="sacos")*(MOVIMIENTOS!$A$5:$A$1005&lt;&gt;"")*(MOVIMIENTOS!$A$5:$A$1005&lt;=$A11)*MOVIMIENTOS!$E$5:$E$1005)-SUMPRODUCT((MOVIMIENTOS!$B$5:$B$1005="REGALO")*(MOVIMIENTOS!$C$5:$C$1005="Chancho")*(MOVIMIENTOS!$D$5:$D$1005="sacos")*(MOVIMIENTOS!$A$5:$A$1005&lt;&gt;"")*(MOVIMIENTOS!$A$5:$A$1005&lt;=$A11)*MOVIMIENTOS!$E$5:$E$1005)-SUMPRODUCT((MOVIMIENTOS!$B$5:$B$1005="VENTA")*(MOVIMIENTOS!$C$5:$C$1005="Chancho")*(MOVIMIENTOS!$D$5:$D$1005="sacos")*(MOVIMIENTOS!$A$5:$A$1005&lt;&gt;"")*(MOVIMIENTOS!$A$5:$A$1005&lt;=$A11)*MOVIMIENTOS!$E$5:$E$1005)+SUMPRODUCT((MOVIMIENTOS!$B$5:$B$1005="AJUSTE")*(MOVIMIENTOS!$C$5:$C$1005="Chancho")*(MOVIMIENTOS!$D$5:$D$1005="sacos")*(MOVIMIENTOS!$A$5:$A$1005&lt;&gt;"")*(MOVIMIENTOS!$A$5:$A$1005&lt;=$A11)*MOVIMIENTOS!$E$5:$E$1005))</f>
        <v>9</v>
      </c>
      <c r="G11" s="77">
        <f t="shared" si="1"/>
        <v>86</v>
      </c>
      <c r="H11" s="65">
        <f>IF($A11="","",SUMPRODUCT((((MOVIMIENTOS!$B$5:$B$1005="SALDO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11)*MOVIMIENTOS!$J$5:$J$1005))</f>
        <v>1392</v>
      </c>
      <c r="I11" s="63"/>
      <c r="J11" s="63" t="str">
        <f>IF(AND(MOVIMIENTOS!$A11&lt;&gt;"",COUNTIF(MOVIMIENTOS!$A$5:$A10,MOVIMIENTOS!$A11)=0),COUNT(J$4:J10)+1,"")</f>
        <v/>
      </c>
      <c r="K11" s="66">
        <f>MOVIMIENTOS!$A11</f>
        <v>46215</v>
      </c>
      <c r="L11" s="63"/>
      <c r="M11" s="63"/>
      <c r="N11" s="63"/>
    </row>
    <row r="12" spans="1:14" ht="15" customHeight="1" x14ac:dyDescent="0.2">
      <c r="A12" s="64">
        <f t="shared" si="0"/>
        <v>46220</v>
      </c>
      <c r="B12" s="65">
        <f>IF($A12="","",SUMPRODUCT((MOVIMIENTOS!$B$5:$B$1005="SALDO INICIAL")*(MOVIMIENTOS!$C$5:$C$1005="A")*(MOVIMIENTOS!$D$5:$D$1005="jabas")*(MOVIMIENTOS!$A$5:$A$1005&lt;&gt;"")*(MOVIMIENTOS!$A$5:$A$1005&lt;=$A12)*MOVIMIENTOS!$E$5:$E$1005)+SUMPRODUCT((MOVIMIENTOS!$B$5:$B$1005="PROCESO")*(MOVIMIENTOS!$C$5:$C$1005="A")*(MOVIMIENTOS!$D$5:$D$1005="jabas")*(MOVIMIENTOS!$A$5:$A$1005&lt;&gt;"")*(MOVIMIENTOS!$A$5:$A$1005&lt;=$A12)*MOVIMIENTOS!$E$5:$E$1005)-SUMPRODUCT((MOVIMIENTOS!$B$5:$B$1005="ENVÍO A SUPESA")*(MOVIMIENTOS!$C$5:$C$1005="A")*(MOVIMIENTOS!$D$5:$D$1005="jabas")*(MOVIMIENTOS!$A$5:$A$1005&lt;&gt;"")*(MOVIMIENTOS!$A$5:$A$1005&lt;=$A12)*MOVIMIENTOS!$E$5:$E$1005)+SUMPRODUCT((MOVIMIENTOS!$B$5:$B$1005="DEVOLUCIÓN")*(MOVIMIENTOS!$C$5:$C$1005="A")*(MOVIMIENTOS!$D$5:$D$1005="jabas")*(MOVIMIENTOS!$A$5:$A$1005&lt;&gt;"")*(MOVIMIENTOS!$A$5:$A$1005&lt;=$A12)*MOVIMIENTOS!$E$5:$E$1005)-SUMPRODUCT((MOVIMIENTOS!$B$5:$B$1005="TRASIEGO")*(MOVIMIENTOS!$C$5:$C$1005="A")*(MOVIMIENTOS!$D$5:$D$1005="jabas")*(MOVIMIENTOS!$A$5:$A$1005&lt;&gt;"")*(MOVIMIENTOS!$A$5:$A$1005&lt;=$A12)*MOVIMIENTOS!$E$5:$E$1005)-SUMPRODUCT((MOVIMIENTOS!$B$5:$B$1005="REGALO")*(MOVIMIENTOS!$C$5:$C$1005="A")*(MOVIMIENTOS!$D$5:$D$1005="jabas")*(MOVIMIENTOS!$A$5:$A$1005&lt;&gt;"")*(MOVIMIENTOS!$A$5:$A$1005&lt;=$A12)*MOVIMIENTOS!$E$5:$E$1005)-SUMPRODUCT((MOVIMIENTOS!$B$5:$B$1005="VENTA")*(MOVIMIENTOS!$C$5:$C$1005="A")*(MOVIMIENTOS!$D$5:$D$1005="jabas")*(MOVIMIENTOS!$A$5:$A$1005&lt;&gt;"")*(MOVIMIENTOS!$A$5:$A$1005&lt;=$A12)*MOVIMIENTOS!$E$5:$E$1005)+SUMPRODUCT((MOVIMIENTOS!$B$5:$B$1005="AJUSTE")*(MOVIMIENTOS!$C$5:$C$1005="A")*(MOVIMIENTOS!$D$5:$D$1005="jabas")*(MOVIMIENTOS!$A$5:$A$1005&lt;&gt;"")*(MOVIMIENTOS!$A$5:$A$1005&lt;=$A12)*MOVIMIENTOS!$E$5:$E$1005))</f>
        <v>63</v>
      </c>
      <c r="C12" s="65">
        <f>IF($A12="","",SUMPRODUCT((MOVIMIENTOS!$B$5:$B$1005="SALDO INICIAL")*(MOVIMIENTOS!$C$5:$C$1005="P")*(MOVIMIENTOS!$D$5:$D$1005="jabas")*(MOVIMIENTOS!$A$5:$A$1005&lt;&gt;"")*(MOVIMIENTOS!$A$5:$A$1005&lt;=$A12)*MOVIMIENTOS!$E$5:$E$1005)+SUMPRODUCT((MOVIMIENTOS!$B$5:$B$1005="PROCESO")*(MOVIMIENTOS!$C$5:$C$1005="P")*(MOVIMIENTOS!$D$5:$D$1005="jabas")*(MOVIMIENTOS!$A$5:$A$1005&lt;&gt;"")*(MOVIMIENTOS!$A$5:$A$1005&lt;=$A12)*MOVIMIENTOS!$E$5:$E$1005)-SUMPRODUCT((MOVIMIENTOS!$B$5:$B$1005="ENVÍO A SUPESA")*(MOVIMIENTOS!$C$5:$C$1005="P")*(MOVIMIENTOS!$D$5:$D$1005="jabas")*(MOVIMIENTOS!$A$5:$A$1005&lt;&gt;"")*(MOVIMIENTOS!$A$5:$A$1005&lt;=$A12)*MOVIMIENTOS!$E$5:$E$1005)+SUMPRODUCT((MOVIMIENTOS!$B$5:$B$1005="DEVOLUCIÓN")*(MOVIMIENTOS!$C$5:$C$1005="P")*(MOVIMIENTOS!$D$5:$D$1005="jabas")*(MOVIMIENTOS!$A$5:$A$1005&lt;&gt;"")*(MOVIMIENTOS!$A$5:$A$1005&lt;=$A12)*MOVIMIENTOS!$E$5:$E$1005)-SUMPRODUCT((MOVIMIENTOS!$B$5:$B$1005="TRASIEGO")*(MOVIMIENTOS!$C$5:$C$1005="P")*(MOVIMIENTOS!$D$5:$D$1005="jabas")*(MOVIMIENTOS!$A$5:$A$1005&lt;&gt;"")*(MOVIMIENTOS!$A$5:$A$1005&lt;=$A12)*MOVIMIENTOS!$E$5:$E$1005)-SUMPRODUCT((MOVIMIENTOS!$B$5:$B$1005="REGALO")*(MOVIMIENTOS!$C$5:$C$1005="P")*(MOVIMIENTOS!$D$5:$D$1005="jabas")*(MOVIMIENTOS!$A$5:$A$1005&lt;&gt;"")*(MOVIMIENTOS!$A$5:$A$1005&lt;=$A12)*MOVIMIENTOS!$E$5:$E$1005)-SUMPRODUCT((MOVIMIENTOS!$B$5:$B$1005="VENTA")*(MOVIMIENTOS!$C$5:$C$1005="P")*(MOVIMIENTOS!$D$5:$D$1005="jabas")*(MOVIMIENTOS!$A$5:$A$1005&lt;&gt;"")*(MOVIMIENTOS!$A$5:$A$1005&lt;=$A12)*MOVIMIENTOS!$E$5:$E$1005)+SUMPRODUCT((MOVIMIENTOS!$B$5:$B$1005="AJUSTE")*(MOVIMIENTOS!$C$5:$C$1005="P")*(MOVIMIENTOS!$D$5:$D$1005="jabas")*(MOVIMIENTOS!$A$5:$A$1005&lt;&gt;"")*(MOVIMIENTOS!$A$5:$A$1005&lt;=$A12)*MOVIMIENTOS!$E$5:$E$1005))</f>
        <v>4</v>
      </c>
      <c r="D12" s="65">
        <f>IF($A12="","",SUMPRODUCT((MOVIMIENTOS!$B$5:$B$1005="SALDO INICIAL")*(MOVIMIENTOS!$C$5:$C$1005="C")*(MOVIMIENTOS!$D$5:$D$1005="jabas")*(MOVIMIENTOS!$A$5:$A$1005&lt;&gt;"")*(MOVIMIENTOS!$A$5:$A$1005&lt;=$A12)*MOVIMIENTOS!$E$5:$E$1005)+SUMPRODUCT((MOVIMIENTOS!$B$5:$B$1005="PROCESO")*(MOVIMIENTOS!$C$5:$C$1005="C")*(MOVIMIENTOS!$D$5:$D$1005="jabas")*(MOVIMIENTOS!$A$5:$A$1005&lt;&gt;"")*(MOVIMIENTOS!$A$5:$A$1005&lt;=$A12)*MOVIMIENTOS!$E$5:$E$1005)-SUMPRODUCT((MOVIMIENTOS!$B$5:$B$1005="ENVÍO A SUPESA")*(MOVIMIENTOS!$C$5:$C$1005="C")*(MOVIMIENTOS!$D$5:$D$1005="jabas")*(MOVIMIENTOS!$A$5:$A$1005&lt;&gt;"")*(MOVIMIENTOS!$A$5:$A$1005&lt;=$A12)*MOVIMIENTOS!$E$5:$E$1005)+SUMPRODUCT((MOVIMIENTOS!$B$5:$B$1005="DEVOLUCIÓN")*(MOVIMIENTOS!$C$5:$C$1005="C")*(MOVIMIENTOS!$D$5:$D$1005="jabas")*(MOVIMIENTOS!$A$5:$A$1005&lt;&gt;"")*(MOVIMIENTOS!$A$5:$A$1005&lt;=$A12)*MOVIMIENTOS!$E$5:$E$1005)-SUMPRODUCT((MOVIMIENTOS!$B$5:$B$1005="TRASIEGO")*(MOVIMIENTOS!$C$5:$C$1005="C")*(MOVIMIENTOS!$D$5:$D$1005="jabas")*(MOVIMIENTOS!$A$5:$A$1005&lt;&gt;"")*(MOVIMIENTOS!$A$5:$A$1005&lt;=$A12)*MOVIMIENTOS!$E$5:$E$1005)-SUMPRODUCT((MOVIMIENTOS!$B$5:$B$1005="REGALO")*(MOVIMIENTOS!$C$5:$C$1005="C")*(MOVIMIENTOS!$D$5:$D$1005="jabas")*(MOVIMIENTOS!$A$5:$A$1005&lt;&gt;"")*(MOVIMIENTOS!$A$5:$A$1005&lt;=$A12)*MOVIMIENTOS!$E$5:$E$1005)-SUMPRODUCT((MOVIMIENTOS!$B$5:$B$1005="VENTA")*(MOVIMIENTOS!$C$5:$C$1005="C")*(MOVIMIENTOS!$D$5:$D$1005="jabas")*(MOVIMIENTOS!$A$5:$A$1005&lt;&gt;"")*(MOVIMIENTOS!$A$5:$A$1005&lt;=$A12)*MOVIMIENTOS!$E$5:$E$1005)+SUMPRODUCT((MOVIMIENTOS!$B$5:$B$1005="AJUSTE")*(MOVIMIENTOS!$C$5:$C$1005="C")*(MOVIMIENTOS!$D$5:$D$1005="jabas")*(MOVIMIENTOS!$A$5:$A$1005&lt;&gt;"")*(MOVIMIENTOS!$A$5:$A$1005&lt;=$A12)*MOVIMIENTOS!$E$5:$E$1005))</f>
        <v>9</v>
      </c>
      <c r="E12" s="65">
        <f>IF($A12="","",SUMPRODUCT((MOVIMIENTOS!$B$5:$B$1005="SALDO INICIAL")*(MOVIMIENTOS!$C$5:$C$1005="M")*(MOVIMIENTOS!$D$5:$D$1005="jabas")*(MOVIMIENTOS!$A$5:$A$1005&lt;&gt;"")*(MOVIMIENTOS!$A$5:$A$1005&lt;=$A12)*MOVIMIENTOS!$E$5:$E$1005)+SUMPRODUCT((MOVIMIENTOS!$B$5:$B$1005="PROCESO")*(MOVIMIENTOS!$C$5:$C$1005="M")*(MOVIMIENTOS!$D$5:$D$1005="jabas")*(MOVIMIENTOS!$A$5:$A$1005&lt;&gt;"")*(MOVIMIENTOS!$A$5:$A$1005&lt;=$A12)*MOVIMIENTOS!$E$5:$E$1005)-SUMPRODUCT((MOVIMIENTOS!$B$5:$B$1005="ENVÍO A SUPESA")*(MOVIMIENTOS!$C$5:$C$1005="M")*(MOVIMIENTOS!$D$5:$D$1005="jabas")*(MOVIMIENTOS!$A$5:$A$1005&lt;&gt;"")*(MOVIMIENTOS!$A$5:$A$1005&lt;=$A12)*MOVIMIENTOS!$E$5:$E$1005)+SUMPRODUCT((MOVIMIENTOS!$B$5:$B$1005="DEVOLUCIÓN")*(MOVIMIENTOS!$C$5:$C$1005="M")*(MOVIMIENTOS!$D$5:$D$1005="jabas")*(MOVIMIENTOS!$A$5:$A$1005&lt;&gt;"")*(MOVIMIENTOS!$A$5:$A$1005&lt;=$A12)*MOVIMIENTOS!$E$5:$E$1005)-SUMPRODUCT((MOVIMIENTOS!$B$5:$B$1005="TRASIEGO")*(MOVIMIENTOS!$C$5:$C$1005="M")*(MOVIMIENTOS!$D$5:$D$1005="jabas")*(MOVIMIENTOS!$A$5:$A$1005&lt;&gt;"")*(MOVIMIENTOS!$A$5:$A$1005&lt;=$A12)*MOVIMIENTOS!$E$5:$E$1005)-SUMPRODUCT((MOVIMIENTOS!$B$5:$B$1005="REGALO")*(MOVIMIENTOS!$C$5:$C$1005="M")*(MOVIMIENTOS!$D$5:$D$1005="jabas")*(MOVIMIENTOS!$A$5:$A$1005&lt;&gt;"")*(MOVIMIENTOS!$A$5:$A$1005&lt;=$A12)*MOVIMIENTOS!$E$5:$E$1005)-SUMPRODUCT((MOVIMIENTOS!$B$5:$B$1005="VENTA")*(MOVIMIENTOS!$C$5:$C$1005="M")*(MOVIMIENTOS!$D$5:$D$1005="jabas")*(MOVIMIENTOS!$A$5:$A$1005&lt;&gt;"")*(MOVIMIENTOS!$A$5:$A$1005&lt;=$A12)*MOVIMIENTOS!$E$5:$E$1005)+SUMPRODUCT((MOVIMIENTOS!$B$5:$B$1005="AJUSTE")*(MOVIMIENTOS!$C$5:$C$1005="M")*(MOVIMIENTOS!$D$5:$D$1005="jabas")*(MOVIMIENTOS!$A$5:$A$1005&lt;&gt;"")*(MOVIMIENTOS!$A$5:$A$1005&lt;=$A12)*MOVIMIENTOS!$E$5:$E$1005))</f>
        <v>114</v>
      </c>
      <c r="F12" s="65">
        <f>IF($A12="","",SUMPRODUCT((MOVIMIENTOS!$B$5:$B$1005="SALDO INICIAL")*(MOVIMIENTOS!$C$5:$C$1005="Chancho")*(MOVIMIENTOS!$D$5:$D$1005="sacos")*(MOVIMIENTOS!$A$5:$A$1005&lt;&gt;"")*(MOVIMIENTOS!$A$5:$A$1005&lt;=$A12)*MOVIMIENTOS!$E$5:$E$1005)+SUMPRODUCT((MOVIMIENTOS!$B$5:$B$1005="PROCESO")*(MOVIMIENTOS!$C$5:$C$1005="Chancho")*(MOVIMIENTOS!$D$5:$D$1005="sacos")*(MOVIMIENTOS!$A$5:$A$1005&lt;&gt;"")*(MOVIMIENTOS!$A$5:$A$1005&lt;=$A12)*MOVIMIENTOS!$E$5:$E$1005)-SUMPRODUCT((MOVIMIENTOS!$B$5:$B$1005="VENTA CHANCHO")*(MOVIMIENTOS!$C$5:$C$1005="Chancho")*(MOVIMIENTOS!$D$5:$D$1005="sacos")*(MOVIMIENTOS!$A$5:$A$1005&lt;&gt;"")*(MOVIMIENTOS!$A$5:$A$1005&lt;=$A12)*MOVIMIENTOS!$E$5:$E$1005)-SUMPRODUCT((MOVIMIENTOS!$B$5:$B$1005="REGALO")*(MOVIMIENTOS!$C$5:$C$1005="Chancho")*(MOVIMIENTOS!$D$5:$D$1005="sacos")*(MOVIMIENTOS!$A$5:$A$1005&lt;&gt;"")*(MOVIMIENTOS!$A$5:$A$1005&lt;=$A12)*MOVIMIENTOS!$E$5:$E$1005)-SUMPRODUCT((MOVIMIENTOS!$B$5:$B$1005="VENTA")*(MOVIMIENTOS!$C$5:$C$1005="Chancho")*(MOVIMIENTOS!$D$5:$D$1005="sacos")*(MOVIMIENTOS!$A$5:$A$1005&lt;&gt;"")*(MOVIMIENTOS!$A$5:$A$1005&lt;=$A12)*MOVIMIENTOS!$E$5:$E$1005)+SUMPRODUCT((MOVIMIENTOS!$B$5:$B$1005="AJUSTE")*(MOVIMIENTOS!$C$5:$C$1005="Chancho")*(MOVIMIENTOS!$D$5:$D$1005="sacos")*(MOVIMIENTOS!$A$5:$A$1005&lt;&gt;"")*(MOVIMIENTOS!$A$5:$A$1005&lt;=$A12)*MOVIMIENTOS!$E$5:$E$1005))</f>
        <v>5</v>
      </c>
      <c r="G12" s="77">
        <f t="shared" si="1"/>
        <v>190</v>
      </c>
      <c r="H12" s="65">
        <f>IF($A12="","",SUMPRODUCT((((MOVIMIENTOS!$B$5:$B$1005="SALDO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12)*MOVIMIENTOS!$J$5:$J$1005))</f>
        <v>3217</v>
      </c>
      <c r="I12" s="63"/>
      <c r="J12" s="63" t="str">
        <f>IF(AND(MOVIMIENTOS!$A12&lt;&gt;"",COUNTIF(MOVIMIENTOS!$A$5:$A11,MOVIMIENTOS!$A12)=0),COUNT(J$4:J11)+1,"")</f>
        <v/>
      </c>
      <c r="K12" s="66">
        <f>MOVIMIENTOS!$A12</f>
        <v>46215</v>
      </c>
      <c r="L12" s="63"/>
      <c r="M12" s="63"/>
      <c r="N12" s="63"/>
    </row>
    <row r="13" spans="1:14" ht="15" customHeight="1" x14ac:dyDescent="0.2">
      <c r="A13" s="64">
        <f t="shared" si="0"/>
        <v>46221</v>
      </c>
      <c r="B13" s="65">
        <f>IF($A13="","",SUMPRODUCT((MOVIMIENTOS!$B$5:$B$1005="SALDO INICIAL")*(MOVIMIENTOS!$C$5:$C$1005="A")*(MOVIMIENTOS!$D$5:$D$1005="jabas")*(MOVIMIENTOS!$A$5:$A$1005&lt;&gt;"")*(MOVIMIENTOS!$A$5:$A$1005&lt;=$A13)*MOVIMIENTOS!$E$5:$E$1005)+SUMPRODUCT((MOVIMIENTOS!$B$5:$B$1005="PROCESO")*(MOVIMIENTOS!$C$5:$C$1005="A")*(MOVIMIENTOS!$D$5:$D$1005="jabas")*(MOVIMIENTOS!$A$5:$A$1005&lt;&gt;"")*(MOVIMIENTOS!$A$5:$A$1005&lt;=$A13)*MOVIMIENTOS!$E$5:$E$1005)-SUMPRODUCT((MOVIMIENTOS!$B$5:$B$1005="ENVÍO A SUPESA")*(MOVIMIENTOS!$C$5:$C$1005="A")*(MOVIMIENTOS!$D$5:$D$1005="jabas")*(MOVIMIENTOS!$A$5:$A$1005&lt;&gt;"")*(MOVIMIENTOS!$A$5:$A$1005&lt;=$A13)*MOVIMIENTOS!$E$5:$E$1005)+SUMPRODUCT((MOVIMIENTOS!$B$5:$B$1005="DEVOLUCIÓN")*(MOVIMIENTOS!$C$5:$C$1005="A")*(MOVIMIENTOS!$D$5:$D$1005="jabas")*(MOVIMIENTOS!$A$5:$A$1005&lt;&gt;"")*(MOVIMIENTOS!$A$5:$A$1005&lt;=$A13)*MOVIMIENTOS!$E$5:$E$1005)-SUMPRODUCT((MOVIMIENTOS!$B$5:$B$1005="TRASIEGO")*(MOVIMIENTOS!$C$5:$C$1005="A")*(MOVIMIENTOS!$D$5:$D$1005="jabas")*(MOVIMIENTOS!$A$5:$A$1005&lt;&gt;"")*(MOVIMIENTOS!$A$5:$A$1005&lt;=$A13)*MOVIMIENTOS!$E$5:$E$1005)-SUMPRODUCT((MOVIMIENTOS!$B$5:$B$1005="REGALO")*(MOVIMIENTOS!$C$5:$C$1005="A")*(MOVIMIENTOS!$D$5:$D$1005="jabas")*(MOVIMIENTOS!$A$5:$A$1005&lt;&gt;"")*(MOVIMIENTOS!$A$5:$A$1005&lt;=$A13)*MOVIMIENTOS!$E$5:$E$1005)-SUMPRODUCT((MOVIMIENTOS!$B$5:$B$1005="VENTA")*(MOVIMIENTOS!$C$5:$C$1005="A")*(MOVIMIENTOS!$D$5:$D$1005="jabas")*(MOVIMIENTOS!$A$5:$A$1005&lt;&gt;"")*(MOVIMIENTOS!$A$5:$A$1005&lt;=$A13)*MOVIMIENTOS!$E$5:$E$1005)+SUMPRODUCT((MOVIMIENTOS!$B$5:$B$1005="AJUSTE")*(MOVIMIENTOS!$C$5:$C$1005="A")*(MOVIMIENTOS!$D$5:$D$1005="jabas")*(MOVIMIENTOS!$A$5:$A$1005&lt;&gt;"")*(MOVIMIENTOS!$A$5:$A$1005&lt;=$A13)*MOVIMIENTOS!$E$5:$E$1005))</f>
        <v>62</v>
      </c>
      <c r="C13" s="65">
        <f>IF($A13="","",SUMPRODUCT((MOVIMIENTOS!$B$5:$B$1005="SALDO INICIAL")*(MOVIMIENTOS!$C$5:$C$1005="P")*(MOVIMIENTOS!$D$5:$D$1005="jabas")*(MOVIMIENTOS!$A$5:$A$1005&lt;&gt;"")*(MOVIMIENTOS!$A$5:$A$1005&lt;=$A13)*MOVIMIENTOS!$E$5:$E$1005)+SUMPRODUCT((MOVIMIENTOS!$B$5:$B$1005="PROCESO")*(MOVIMIENTOS!$C$5:$C$1005="P")*(MOVIMIENTOS!$D$5:$D$1005="jabas")*(MOVIMIENTOS!$A$5:$A$1005&lt;&gt;"")*(MOVIMIENTOS!$A$5:$A$1005&lt;=$A13)*MOVIMIENTOS!$E$5:$E$1005)-SUMPRODUCT((MOVIMIENTOS!$B$5:$B$1005="ENVÍO A SUPESA")*(MOVIMIENTOS!$C$5:$C$1005="P")*(MOVIMIENTOS!$D$5:$D$1005="jabas")*(MOVIMIENTOS!$A$5:$A$1005&lt;&gt;"")*(MOVIMIENTOS!$A$5:$A$1005&lt;=$A13)*MOVIMIENTOS!$E$5:$E$1005)+SUMPRODUCT((MOVIMIENTOS!$B$5:$B$1005="DEVOLUCIÓN")*(MOVIMIENTOS!$C$5:$C$1005="P")*(MOVIMIENTOS!$D$5:$D$1005="jabas")*(MOVIMIENTOS!$A$5:$A$1005&lt;&gt;"")*(MOVIMIENTOS!$A$5:$A$1005&lt;=$A13)*MOVIMIENTOS!$E$5:$E$1005)-SUMPRODUCT((MOVIMIENTOS!$B$5:$B$1005="TRASIEGO")*(MOVIMIENTOS!$C$5:$C$1005="P")*(MOVIMIENTOS!$D$5:$D$1005="jabas")*(MOVIMIENTOS!$A$5:$A$1005&lt;&gt;"")*(MOVIMIENTOS!$A$5:$A$1005&lt;=$A13)*MOVIMIENTOS!$E$5:$E$1005)-SUMPRODUCT((MOVIMIENTOS!$B$5:$B$1005="REGALO")*(MOVIMIENTOS!$C$5:$C$1005="P")*(MOVIMIENTOS!$D$5:$D$1005="jabas")*(MOVIMIENTOS!$A$5:$A$1005&lt;&gt;"")*(MOVIMIENTOS!$A$5:$A$1005&lt;=$A13)*MOVIMIENTOS!$E$5:$E$1005)-SUMPRODUCT((MOVIMIENTOS!$B$5:$B$1005="VENTA")*(MOVIMIENTOS!$C$5:$C$1005="P")*(MOVIMIENTOS!$D$5:$D$1005="jabas")*(MOVIMIENTOS!$A$5:$A$1005&lt;&gt;"")*(MOVIMIENTOS!$A$5:$A$1005&lt;=$A13)*MOVIMIENTOS!$E$5:$E$1005)+SUMPRODUCT((MOVIMIENTOS!$B$5:$B$1005="AJUSTE")*(MOVIMIENTOS!$C$5:$C$1005="P")*(MOVIMIENTOS!$D$5:$D$1005="jabas")*(MOVIMIENTOS!$A$5:$A$1005&lt;&gt;"")*(MOVIMIENTOS!$A$5:$A$1005&lt;=$A13)*MOVIMIENTOS!$E$5:$E$1005))</f>
        <v>11</v>
      </c>
      <c r="D13" s="65">
        <f>IF($A13="","",SUMPRODUCT((MOVIMIENTOS!$B$5:$B$1005="SALDO INICIAL")*(MOVIMIENTOS!$C$5:$C$1005="C")*(MOVIMIENTOS!$D$5:$D$1005="jabas")*(MOVIMIENTOS!$A$5:$A$1005&lt;&gt;"")*(MOVIMIENTOS!$A$5:$A$1005&lt;=$A13)*MOVIMIENTOS!$E$5:$E$1005)+SUMPRODUCT((MOVIMIENTOS!$B$5:$B$1005="PROCESO")*(MOVIMIENTOS!$C$5:$C$1005="C")*(MOVIMIENTOS!$D$5:$D$1005="jabas")*(MOVIMIENTOS!$A$5:$A$1005&lt;&gt;"")*(MOVIMIENTOS!$A$5:$A$1005&lt;=$A13)*MOVIMIENTOS!$E$5:$E$1005)-SUMPRODUCT((MOVIMIENTOS!$B$5:$B$1005="ENVÍO A SUPESA")*(MOVIMIENTOS!$C$5:$C$1005="C")*(MOVIMIENTOS!$D$5:$D$1005="jabas")*(MOVIMIENTOS!$A$5:$A$1005&lt;&gt;"")*(MOVIMIENTOS!$A$5:$A$1005&lt;=$A13)*MOVIMIENTOS!$E$5:$E$1005)+SUMPRODUCT((MOVIMIENTOS!$B$5:$B$1005="DEVOLUCIÓN")*(MOVIMIENTOS!$C$5:$C$1005="C")*(MOVIMIENTOS!$D$5:$D$1005="jabas")*(MOVIMIENTOS!$A$5:$A$1005&lt;&gt;"")*(MOVIMIENTOS!$A$5:$A$1005&lt;=$A13)*MOVIMIENTOS!$E$5:$E$1005)-SUMPRODUCT((MOVIMIENTOS!$B$5:$B$1005="TRASIEGO")*(MOVIMIENTOS!$C$5:$C$1005="C")*(MOVIMIENTOS!$D$5:$D$1005="jabas")*(MOVIMIENTOS!$A$5:$A$1005&lt;&gt;"")*(MOVIMIENTOS!$A$5:$A$1005&lt;=$A13)*MOVIMIENTOS!$E$5:$E$1005)-SUMPRODUCT((MOVIMIENTOS!$B$5:$B$1005="REGALO")*(MOVIMIENTOS!$C$5:$C$1005="C")*(MOVIMIENTOS!$D$5:$D$1005="jabas")*(MOVIMIENTOS!$A$5:$A$1005&lt;&gt;"")*(MOVIMIENTOS!$A$5:$A$1005&lt;=$A13)*MOVIMIENTOS!$E$5:$E$1005)-SUMPRODUCT((MOVIMIENTOS!$B$5:$B$1005="VENTA")*(MOVIMIENTOS!$C$5:$C$1005="C")*(MOVIMIENTOS!$D$5:$D$1005="jabas")*(MOVIMIENTOS!$A$5:$A$1005&lt;&gt;"")*(MOVIMIENTOS!$A$5:$A$1005&lt;=$A13)*MOVIMIENTOS!$E$5:$E$1005)+SUMPRODUCT((MOVIMIENTOS!$B$5:$B$1005="AJUSTE")*(MOVIMIENTOS!$C$5:$C$1005="C")*(MOVIMIENTOS!$D$5:$D$1005="jabas")*(MOVIMIENTOS!$A$5:$A$1005&lt;&gt;"")*(MOVIMIENTOS!$A$5:$A$1005&lt;=$A13)*MOVIMIENTOS!$E$5:$E$1005))</f>
        <v>12</v>
      </c>
      <c r="E13" s="65">
        <f>IF($A13="","",SUMPRODUCT((MOVIMIENTOS!$B$5:$B$1005="SALDO INICIAL")*(MOVIMIENTOS!$C$5:$C$1005="M")*(MOVIMIENTOS!$D$5:$D$1005="jabas")*(MOVIMIENTOS!$A$5:$A$1005&lt;&gt;"")*(MOVIMIENTOS!$A$5:$A$1005&lt;=$A13)*MOVIMIENTOS!$E$5:$E$1005)+SUMPRODUCT((MOVIMIENTOS!$B$5:$B$1005="PROCESO")*(MOVIMIENTOS!$C$5:$C$1005="M")*(MOVIMIENTOS!$D$5:$D$1005="jabas")*(MOVIMIENTOS!$A$5:$A$1005&lt;&gt;"")*(MOVIMIENTOS!$A$5:$A$1005&lt;=$A13)*MOVIMIENTOS!$E$5:$E$1005)-SUMPRODUCT((MOVIMIENTOS!$B$5:$B$1005="ENVÍO A SUPESA")*(MOVIMIENTOS!$C$5:$C$1005="M")*(MOVIMIENTOS!$D$5:$D$1005="jabas")*(MOVIMIENTOS!$A$5:$A$1005&lt;&gt;"")*(MOVIMIENTOS!$A$5:$A$1005&lt;=$A13)*MOVIMIENTOS!$E$5:$E$1005)+SUMPRODUCT((MOVIMIENTOS!$B$5:$B$1005="DEVOLUCIÓN")*(MOVIMIENTOS!$C$5:$C$1005="M")*(MOVIMIENTOS!$D$5:$D$1005="jabas")*(MOVIMIENTOS!$A$5:$A$1005&lt;&gt;"")*(MOVIMIENTOS!$A$5:$A$1005&lt;=$A13)*MOVIMIENTOS!$E$5:$E$1005)-SUMPRODUCT((MOVIMIENTOS!$B$5:$B$1005="TRASIEGO")*(MOVIMIENTOS!$C$5:$C$1005="M")*(MOVIMIENTOS!$D$5:$D$1005="jabas")*(MOVIMIENTOS!$A$5:$A$1005&lt;&gt;"")*(MOVIMIENTOS!$A$5:$A$1005&lt;=$A13)*MOVIMIENTOS!$E$5:$E$1005)-SUMPRODUCT((MOVIMIENTOS!$B$5:$B$1005="REGALO")*(MOVIMIENTOS!$C$5:$C$1005="M")*(MOVIMIENTOS!$D$5:$D$1005="jabas")*(MOVIMIENTOS!$A$5:$A$1005&lt;&gt;"")*(MOVIMIENTOS!$A$5:$A$1005&lt;=$A13)*MOVIMIENTOS!$E$5:$E$1005)-SUMPRODUCT((MOVIMIENTOS!$B$5:$B$1005="VENTA")*(MOVIMIENTOS!$C$5:$C$1005="M")*(MOVIMIENTOS!$D$5:$D$1005="jabas")*(MOVIMIENTOS!$A$5:$A$1005&lt;&gt;"")*(MOVIMIENTOS!$A$5:$A$1005&lt;=$A13)*MOVIMIENTOS!$E$5:$E$1005)+SUMPRODUCT((MOVIMIENTOS!$B$5:$B$1005="AJUSTE")*(MOVIMIENTOS!$C$5:$C$1005="M")*(MOVIMIENTOS!$D$5:$D$1005="jabas")*(MOVIMIENTOS!$A$5:$A$1005&lt;&gt;"")*(MOVIMIENTOS!$A$5:$A$1005&lt;=$A13)*MOVIMIENTOS!$E$5:$E$1005))</f>
        <v>54</v>
      </c>
      <c r="F13" s="65">
        <f>IF($A13="","",SUMPRODUCT((MOVIMIENTOS!$B$5:$B$1005="SALDO INICIAL")*(MOVIMIENTOS!$C$5:$C$1005="Chancho")*(MOVIMIENTOS!$D$5:$D$1005="sacos")*(MOVIMIENTOS!$A$5:$A$1005&lt;&gt;"")*(MOVIMIENTOS!$A$5:$A$1005&lt;=$A13)*MOVIMIENTOS!$E$5:$E$1005)+SUMPRODUCT((MOVIMIENTOS!$B$5:$B$1005="PROCESO")*(MOVIMIENTOS!$C$5:$C$1005="Chancho")*(MOVIMIENTOS!$D$5:$D$1005="sacos")*(MOVIMIENTOS!$A$5:$A$1005&lt;&gt;"")*(MOVIMIENTOS!$A$5:$A$1005&lt;=$A13)*MOVIMIENTOS!$E$5:$E$1005)-SUMPRODUCT((MOVIMIENTOS!$B$5:$B$1005="VENTA CHANCHO")*(MOVIMIENTOS!$C$5:$C$1005="Chancho")*(MOVIMIENTOS!$D$5:$D$1005="sacos")*(MOVIMIENTOS!$A$5:$A$1005&lt;&gt;"")*(MOVIMIENTOS!$A$5:$A$1005&lt;=$A13)*MOVIMIENTOS!$E$5:$E$1005)-SUMPRODUCT((MOVIMIENTOS!$B$5:$B$1005="REGALO")*(MOVIMIENTOS!$C$5:$C$1005="Chancho")*(MOVIMIENTOS!$D$5:$D$1005="sacos")*(MOVIMIENTOS!$A$5:$A$1005&lt;&gt;"")*(MOVIMIENTOS!$A$5:$A$1005&lt;=$A13)*MOVIMIENTOS!$E$5:$E$1005)-SUMPRODUCT((MOVIMIENTOS!$B$5:$B$1005="VENTA")*(MOVIMIENTOS!$C$5:$C$1005="Chancho")*(MOVIMIENTOS!$D$5:$D$1005="sacos")*(MOVIMIENTOS!$A$5:$A$1005&lt;&gt;"")*(MOVIMIENTOS!$A$5:$A$1005&lt;=$A13)*MOVIMIENTOS!$E$5:$E$1005)+SUMPRODUCT((MOVIMIENTOS!$B$5:$B$1005="AJUSTE")*(MOVIMIENTOS!$C$5:$C$1005="Chancho")*(MOVIMIENTOS!$D$5:$D$1005="sacos")*(MOVIMIENTOS!$A$5:$A$1005&lt;&gt;"")*(MOVIMIENTOS!$A$5:$A$1005&lt;=$A13)*MOVIMIENTOS!$E$5:$E$1005))</f>
        <v>15</v>
      </c>
      <c r="G13" s="77">
        <f t="shared" si="1"/>
        <v>139</v>
      </c>
      <c r="H13" s="65">
        <f>IF($A13="","",SUMPRODUCT((((MOVIMIENTOS!$B$5:$B$1005="SALDO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13)*MOVIMIENTOS!$J$5:$J$1005))</f>
        <v>2280</v>
      </c>
      <c r="I13" s="63"/>
      <c r="J13" s="63" t="str">
        <f>IF(AND(MOVIMIENTOS!$A13&lt;&gt;"",COUNTIF(MOVIMIENTOS!$A$5:$A12,MOVIMIENTOS!$A13)=0),COUNT(J$4:J12)+1,"")</f>
        <v/>
      </c>
      <c r="K13" s="66">
        <f>MOVIMIENTOS!$A13</f>
        <v>46215</v>
      </c>
      <c r="L13" s="63"/>
      <c r="M13" s="63"/>
      <c r="N13" s="63"/>
    </row>
    <row r="14" spans="1:14" ht="15" customHeight="1" x14ac:dyDescent="0.2">
      <c r="A14" s="64">
        <f t="shared" si="0"/>
        <v>46222</v>
      </c>
      <c r="B14" s="65">
        <f>IF($A14="","",SUMPRODUCT((MOVIMIENTOS!$B$5:$B$1005="SALDO INICIAL")*(MOVIMIENTOS!$C$5:$C$1005="A")*(MOVIMIENTOS!$D$5:$D$1005="jabas")*(MOVIMIENTOS!$A$5:$A$1005&lt;&gt;"")*(MOVIMIENTOS!$A$5:$A$1005&lt;=$A14)*MOVIMIENTOS!$E$5:$E$1005)+SUMPRODUCT((MOVIMIENTOS!$B$5:$B$1005="PROCESO")*(MOVIMIENTOS!$C$5:$C$1005="A")*(MOVIMIENTOS!$D$5:$D$1005="jabas")*(MOVIMIENTOS!$A$5:$A$1005&lt;&gt;"")*(MOVIMIENTOS!$A$5:$A$1005&lt;=$A14)*MOVIMIENTOS!$E$5:$E$1005)-SUMPRODUCT((MOVIMIENTOS!$B$5:$B$1005="ENVÍO A SUPESA")*(MOVIMIENTOS!$C$5:$C$1005="A")*(MOVIMIENTOS!$D$5:$D$1005="jabas")*(MOVIMIENTOS!$A$5:$A$1005&lt;&gt;"")*(MOVIMIENTOS!$A$5:$A$1005&lt;=$A14)*MOVIMIENTOS!$E$5:$E$1005)+SUMPRODUCT((MOVIMIENTOS!$B$5:$B$1005="DEVOLUCIÓN")*(MOVIMIENTOS!$C$5:$C$1005="A")*(MOVIMIENTOS!$D$5:$D$1005="jabas")*(MOVIMIENTOS!$A$5:$A$1005&lt;&gt;"")*(MOVIMIENTOS!$A$5:$A$1005&lt;=$A14)*MOVIMIENTOS!$E$5:$E$1005)-SUMPRODUCT((MOVIMIENTOS!$B$5:$B$1005="TRASIEGO")*(MOVIMIENTOS!$C$5:$C$1005="A")*(MOVIMIENTOS!$D$5:$D$1005="jabas")*(MOVIMIENTOS!$A$5:$A$1005&lt;&gt;"")*(MOVIMIENTOS!$A$5:$A$1005&lt;=$A14)*MOVIMIENTOS!$E$5:$E$1005)-SUMPRODUCT((MOVIMIENTOS!$B$5:$B$1005="REGALO")*(MOVIMIENTOS!$C$5:$C$1005="A")*(MOVIMIENTOS!$D$5:$D$1005="jabas")*(MOVIMIENTOS!$A$5:$A$1005&lt;&gt;"")*(MOVIMIENTOS!$A$5:$A$1005&lt;=$A14)*MOVIMIENTOS!$E$5:$E$1005)-SUMPRODUCT((MOVIMIENTOS!$B$5:$B$1005="VENTA")*(MOVIMIENTOS!$C$5:$C$1005="A")*(MOVIMIENTOS!$D$5:$D$1005="jabas")*(MOVIMIENTOS!$A$5:$A$1005&lt;&gt;"")*(MOVIMIENTOS!$A$5:$A$1005&lt;=$A14)*MOVIMIENTOS!$E$5:$E$1005)+SUMPRODUCT((MOVIMIENTOS!$B$5:$B$1005="AJUSTE")*(MOVIMIENTOS!$C$5:$C$1005="A")*(MOVIMIENTOS!$D$5:$D$1005="jabas")*(MOVIMIENTOS!$A$5:$A$1005&lt;&gt;"")*(MOVIMIENTOS!$A$5:$A$1005&lt;=$A14)*MOVIMIENTOS!$E$5:$E$1005))</f>
        <v>35</v>
      </c>
      <c r="C14" s="65">
        <f>IF($A14="","",SUMPRODUCT((MOVIMIENTOS!$B$5:$B$1005="SALDO INICIAL")*(MOVIMIENTOS!$C$5:$C$1005="P")*(MOVIMIENTOS!$D$5:$D$1005="jabas")*(MOVIMIENTOS!$A$5:$A$1005&lt;&gt;"")*(MOVIMIENTOS!$A$5:$A$1005&lt;=$A14)*MOVIMIENTOS!$E$5:$E$1005)+SUMPRODUCT((MOVIMIENTOS!$B$5:$B$1005="PROCESO")*(MOVIMIENTOS!$C$5:$C$1005="P")*(MOVIMIENTOS!$D$5:$D$1005="jabas")*(MOVIMIENTOS!$A$5:$A$1005&lt;&gt;"")*(MOVIMIENTOS!$A$5:$A$1005&lt;=$A14)*MOVIMIENTOS!$E$5:$E$1005)-SUMPRODUCT((MOVIMIENTOS!$B$5:$B$1005="ENVÍO A SUPESA")*(MOVIMIENTOS!$C$5:$C$1005="P")*(MOVIMIENTOS!$D$5:$D$1005="jabas")*(MOVIMIENTOS!$A$5:$A$1005&lt;&gt;"")*(MOVIMIENTOS!$A$5:$A$1005&lt;=$A14)*MOVIMIENTOS!$E$5:$E$1005)+SUMPRODUCT((MOVIMIENTOS!$B$5:$B$1005="DEVOLUCIÓN")*(MOVIMIENTOS!$C$5:$C$1005="P")*(MOVIMIENTOS!$D$5:$D$1005="jabas")*(MOVIMIENTOS!$A$5:$A$1005&lt;&gt;"")*(MOVIMIENTOS!$A$5:$A$1005&lt;=$A14)*MOVIMIENTOS!$E$5:$E$1005)-SUMPRODUCT((MOVIMIENTOS!$B$5:$B$1005="TRASIEGO")*(MOVIMIENTOS!$C$5:$C$1005="P")*(MOVIMIENTOS!$D$5:$D$1005="jabas")*(MOVIMIENTOS!$A$5:$A$1005&lt;&gt;"")*(MOVIMIENTOS!$A$5:$A$1005&lt;=$A14)*MOVIMIENTOS!$E$5:$E$1005)-SUMPRODUCT((MOVIMIENTOS!$B$5:$B$1005="REGALO")*(MOVIMIENTOS!$C$5:$C$1005="P")*(MOVIMIENTOS!$D$5:$D$1005="jabas")*(MOVIMIENTOS!$A$5:$A$1005&lt;&gt;"")*(MOVIMIENTOS!$A$5:$A$1005&lt;=$A14)*MOVIMIENTOS!$E$5:$E$1005)-SUMPRODUCT((MOVIMIENTOS!$B$5:$B$1005="VENTA")*(MOVIMIENTOS!$C$5:$C$1005="P")*(MOVIMIENTOS!$D$5:$D$1005="jabas")*(MOVIMIENTOS!$A$5:$A$1005&lt;&gt;"")*(MOVIMIENTOS!$A$5:$A$1005&lt;=$A14)*MOVIMIENTOS!$E$5:$E$1005)+SUMPRODUCT((MOVIMIENTOS!$B$5:$B$1005="AJUSTE")*(MOVIMIENTOS!$C$5:$C$1005="P")*(MOVIMIENTOS!$D$5:$D$1005="jabas")*(MOVIMIENTOS!$A$5:$A$1005&lt;&gt;"")*(MOVIMIENTOS!$A$5:$A$1005&lt;=$A14)*MOVIMIENTOS!$E$5:$E$1005))</f>
        <v>0</v>
      </c>
      <c r="D14" s="65">
        <f>IF($A14="","",SUMPRODUCT((MOVIMIENTOS!$B$5:$B$1005="SALDO INICIAL")*(MOVIMIENTOS!$C$5:$C$1005="C")*(MOVIMIENTOS!$D$5:$D$1005="jabas")*(MOVIMIENTOS!$A$5:$A$1005&lt;&gt;"")*(MOVIMIENTOS!$A$5:$A$1005&lt;=$A14)*MOVIMIENTOS!$E$5:$E$1005)+SUMPRODUCT((MOVIMIENTOS!$B$5:$B$1005="PROCESO")*(MOVIMIENTOS!$C$5:$C$1005="C")*(MOVIMIENTOS!$D$5:$D$1005="jabas")*(MOVIMIENTOS!$A$5:$A$1005&lt;&gt;"")*(MOVIMIENTOS!$A$5:$A$1005&lt;=$A14)*MOVIMIENTOS!$E$5:$E$1005)-SUMPRODUCT((MOVIMIENTOS!$B$5:$B$1005="ENVÍO A SUPESA")*(MOVIMIENTOS!$C$5:$C$1005="C")*(MOVIMIENTOS!$D$5:$D$1005="jabas")*(MOVIMIENTOS!$A$5:$A$1005&lt;&gt;"")*(MOVIMIENTOS!$A$5:$A$1005&lt;=$A14)*MOVIMIENTOS!$E$5:$E$1005)+SUMPRODUCT((MOVIMIENTOS!$B$5:$B$1005="DEVOLUCIÓN")*(MOVIMIENTOS!$C$5:$C$1005="C")*(MOVIMIENTOS!$D$5:$D$1005="jabas")*(MOVIMIENTOS!$A$5:$A$1005&lt;&gt;"")*(MOVIMIENTOS!$A$5:$A$1005&lt;=$A14)*MOVIMIENTOS!$E$5:$E$1005)-SUMPRODUCT((MOVIMIENTOS!$B$5:$B$1005="TRASIEGO")*(MOVIMIENTOS!$C$5:$C$1005="C")*(MOVIMIENTOS!$D$5:$D$1005="jabas")*(MOVIMIENTOS!$A$5:$A$1005&lt;&gt;"")*(MOVIMIENTOS!$A$5:$A$1005&lt;=$A14)*MOVIMIENTOS!$E$5:$E$1005)-SUMPRODUCT((MOVIMIENTOS!$B$5:$B$1005="REGALO")*(MOVIMIENTOS!$C$5:$C$1005="C")*(MOVIMIENTOS!$D$5:$D$1005="jabas")*(MOVIMIENTOS!$A$5:$A$1005&lt;&gt;"")*(MOVIMIENTOS!$A$5:$A$1005&lt;=$A14)*MOVIMIENTOS!$E$5:$E$1005)-SUMPRODUCT((MOVIMIENTOS!$B$5:$B$1005="VENTA")*(MOVIMIENTOS!$C$5:$C$1005="C")*(MOVIMIENTOS!$D$5:$D$1005="jabas")*(MOVIMIENTOS!$A$5:$A$1005&lt;&gt;"")*(MOVIMIENTOS!$A$5:$A$1005&lt;=$A14)*MOVIMIENTOS!$E$5:$E$1005)+SUMPRODUCT((MOVIMIENTOS!$B$5:$B$1005="AJUSTE")*(MOVIMIENTOS!$C$5:$C$1005="C")*(MOVIMIENTOS!$D$5:$D$1005="jabas")*(MOVIMIENTOS!$A$5:$A$1005&lt;&gt;"")*(MOVIMIENTOS!$A$5:$A$1005&lt;=$A14)*MOVIMIENTOS!$E$5:$E$1005))</f>
        <v>0</v>
      </c>
      <c r="E14" s="65">
        <f>IF($A14="","",SUMPRODUCT((MOVIMIENTOS!$B$5:$B$1005="SALDO INICIAL")*(MOVIMIENTOS!$C$5:$C$1005="M")*(MOVIMIENTOS!$D$5:$D$1005="jabas")*(MOVIMIENTOS!$A$5:$A$1005&lt;&gt;"")*(MOVIMIENTOS!$A$5:$A$1005&lt;=$A14)*MOVIMIENTOS!$E$5:$E$1005)+SUMPRODUCT((MOVIMIENTOS!$B$5:$B$1005="PROCESO")*(MOVIMIENTOS!$C$5:$C$1005="M")*(MOVIMIENTOS!$D$5:$D$1005="jabas")*(MOVIMIENTOS!$A$5:$A$1005&lt;&gt;"")*(MOVIMIENTOS!$A$5:$A$1005&lt;=$A14)*MOVIMIENTOS!$E$5:$E$1005)-SUMPRODUCT((MOVIMIENTOS!$B$5:$B$1005="ENVÍO A SUPESA")*(MOVIMIENTOS!$C$5:$C$1005="M")*(MOVIMIENTOS!$D$5:$D$1005="jabas")*(MOVIMIENTOS!$A$5:$A$1005&lt;&gt;"")*(MOVIMIENTOS!$A$5:$A$1005&lt;=$A14)*MOVIMIENTOS!$E$5:$E$1005)+SUMPRODUCT((MOVIMIENTOS!$B$5:$B$1005="DEVOLUCIÓN")*(MOVIMIENTOS!$C$5:$C$1005="M")*(MOVIMIENTOS!$D$5:$D$1005="jabas")*(MOVIMIENTOS!$A$5:$A$1005&lt;&gt;"")*(MOVIMIENTOS!$A$5:$A$1005&lt;=$A14)*MOVIMIENTOS!$E$5:$E$1005)-SUMPRODUCT((MOVIMIENTOS!$B$5:$B$1005="TRASIEGO")*(MOVIMIENTOS!$C$5:$C$1005="M")*(MOVIMIENTOS!$D$5:$D$1005="jabas")*(MOVIMIENTOS!$A$5:$A$1005&lt;&gt;"")*(MOVIMIENTOS!$A$5:$A$1005&lt;=$A14)*MOVIMIENTOS!$E$5:$E$1005)-SUMPRODUCT((MOVIMIENTOS!$B$5:$B$1005="REGALO")*(MOVIMIENTOS!$C$5:$C$1005="M")*(MOVIMIENTOS!$D$5:$D$1005="jabas")*(MOVIMIENTOS!$A$5:$A$1005&lt;&gt;"")*(MOVIMIENTOS!$A$5:$A$1005&lt;=$A14)*MOVIMIENTOS!$E$5:$E$1005)-SUMPRODUCT((MOVIMIENTOS!$B$5:$B$1005="VENTA")*(MOVIMIENTOS!$C$5:$C$1005="M")*(MOVIMIENTOS!$D$5:$D$1005="jabas")*(MOVIMIENTOS!$A$5:$A$1005&lt;&gt;"")*(MOVIMIENTOS!$A$5:$A$1005&lt;=$A14)*MOVIMIENTOS!$E$5:$E$1005)+SUMPRODUCT((MOVIMIENTOS!$B$5:$B$1005="AJUSTE")*(MOVIMIENTOS!$C$5:$C$1005="M")*(MOVIMIENTOS!$D$5:$D$1005="jabas")*(MOVIMIENTOS!$A$5:$A$1005&lt;&gt;"")*(MOVIMIENTOS!$A$5:$A$1005&lt;=$A14)*MOVIMIENTOS!$E$5:$E$1005))</f>
        <v>60</v>
      </c>
      <c r="F14" s="65">
        <f>IF($A14="","",SUMPRODUCT((MOVIMIENTOS!$B$5:$B$1005="SALDO INICIAL")*(MOVIMIENTOS!$C$5:$C$1005="Chancho")*(MOVIMIENTOS!$D$5:$D$1005="sacos")*(MOVIMIENTOS!$A$5:$A$1005&lt;&gt;"")*(MOVIMIENTOS!$A$5:$A$1005&lt;=$A14)*MOVIMIENTOS!$E$5:$E$1005)+SUMPRODUCT((MOVIMIENTOS!$B$5:$B$1005="PROCESO")*(MOVIMIENTOS!$C$5:$C$1005="Chancho")*(MOVIMIENTOS!$D$5:$D$1005="sacos")*(MOVIMIENTOS!$A$5:$A$1005&lt;&gt;"")*(MOVIMIENTOS!$A$5:$A$1005&lt;=$A14)*MOVIMIENTOS!$E$5:$E$1005)-SUMPRODUCT((MOVIMIENTOS!$B$5:$B$1005="VENTA CHANCHO")*(MOVIMIENTOS!$C$5:$C$1005="Chancho")*(MOVIMIENTOS!$D$5:$D$1005="sacos")*(MOVIMIENTOS!$A$5:$A$1005&lt;&gt;"")*(MOVIMIENTOS!$A$5:$A$1005&lt;=$A14)*MOVIMIENTOS!$E$5:$E$1005)-SUMPRODUCT((MOVIMIENTOS!$B$5:$B$1005="REGALO")*(MOVIMIENTOS!$C$5:$C$1005="Chancho")*(MOVIMIENTOS!$D$5:$D$1005="sacos")*(MOVIMIENTOS!$A$5:$A$1005&lt;&gt;"")*(MOVIMIENTOS!$A$5:$A$1005&lt;=$A14)*MOVIMIENTOS!$E$5:$E$1005)-SUMPRODUCT((MOVIMIENTOS!$B$5:$B$1005="VENTA")*(MOVIMIENTOS!$C$5:$C$1005="Chancho")*(MOVIMIENTOS!$D$5:$D$1005="sacos")*(MOVIMIENTOS!$A$5:$A$1005&lt;&gt;"")*(MOVIMIENTOS!$A$5:$A$1005&lt;=$A14)*MOVIMIENTOS!$E$5:$E$1005)+SUMPRODUCT((MOVIMIENTOS!$B$5:$B$1005="AJUSTE")*(MOVIMIENTOS!$C$5:$C$1005="Chancho")*(MOVIMIENTOS!$D$5:$D$1005="sacos")*(MOVIMIENTOS!$A$5:$A$1005&lt;&gt;"")*(MOVIMIENTOS!$A$5:$A$1005&lt;=$A14)*MOVIMIENTOS!$E$5:$E$1005))</f>
        <v>18</v>
      </c>
      <c r="G14" s="77">
        <f t="shared" si="1"/>
        <v>95</v>
      </c>
      <c r="H14" s="65">
        <f>IF($A14="","",SUMPRODUCT((((MOVIMIENTOS!$B$5:$B$1005="SALDO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14)*MOVIMIENTOS!$J$5:$J$1005))</f>
        <v>1755</v>
      </c>
      <c r="I14" s="63"/>
      <c r="J14" s="63" t="str">
        <f>IF(AND(MOVIMIENTOS!$A14&lt;&gt;"",COUNTIF(MOVIMIENTOS!$A$5:$A13,MOVIMIENTOS!$A14)=0),COUNT(J$4:J13)+1,"")</f>
        <v/>
      </c>
      <c r="K14" s="66">
        <f>MOVIMIENTOS!$A14</f>
        <v>46215</v>
      </c>
      <c r="L14" s="63"/>
      <c r="M14" s="63"/>
      <c r="N14" s="63"/>
    </row>
    <row r="15" spans="1:14" ht="15" customHeight="1" x14ac:dyDescent="0.2">
      <c r="A15" s="64">
        <f t="shared" si="0"/>
        <v>46223</v>
      </c>
      <c r="B15" s="65">
        <f>IF($A15="","",SUMPRODUCT((MOVIMIENTOS!$B$5:$B$1005="SALDO INICIAL")*(MOVIMIENTOS!$C$5:$C$1005="A")*(MOVIMIENTOS!$D$5:$D$1005="jabas")*(MOVIMIENTOS!$A$5:$A$1005&lt;&gt;"")*(MOVIMIENTOS!$A$5:$A$1005&lt;=$A15)*MOVIMIENTOS!$E$5:$E$1005)+SUMPRODUCT((MOVIMIENTOS!$B$5:$B$1005="PROCESO")*(MOVIMIENTOS!$C$5:$C$1005="A")*(MOVIMIENTOS!$D$5:$D$1005="jabas")*(MOVIMIENTOS!$A$5:$A$1005&lt;&gt;"")*(MOVIMIENTOS!$A$5:$A$1005&lt;=$A15)*MOVIMIENTOS!$E$5:$E$1005)-SUMPRODUCT((MOVIMIENTOS!$B$5:$B$1005="ENVÍO A SUPESA")*(MOVIMIENTOS!$C$5:$C$1005="A")*(MOVIMIENTOS!$D$5:$D$1005="jabas")*(MOVIMIENTOS!$A$5:$A$1005&lt;&gt;"")*(MOVIMIENTOS!$A$5:$A$1005&lt;=$A15)*MOVIMIENTOS!$E$5:$E$1005)+SUMPRODUCT((MOVIMIENTOS!$B$5:$B$1005="DEVOLUCIÓN")*(MOVIMIENTOS!$C$5:$C$1005="A")*(MOVIMIENTOS!$D$5:$D$1005="jabas")*(MOVIMIENTOS!$A$5:$A$1005&lt;&gt;"")*(MOVIMIENTOS!$A$5:$A$1005&lt;=$A15)*MOVIMIENTOS!$E$5:$E$1005)-SUMPRODUCT((MOVIMIENTOS!$B$5:$B$1005="TRASIEGO")*(MOVIMIENTOS!$C$5:$C$1005="A")*(MOVIMIENTOS!$D$5:$D$1005="jabas")*(MOVIMIENTOS!$A$5:$A$1005&lt;&gt;"")*(MOVIMIENTOS!$A$5:$A$1005&lt;=$A15)*MOVIMIENTOS!$E$5:$E$1005)-SUMPRODUCT((MOVIMIENTOS!$B$5:$B$1005="REGALO")*(MOVIMIENTOS!$C$5:$C$1005="A")*(MOVIMIENTOS!$D$5:$D$1005="jabas")*(MOVIMIENTOS!$A$5:$A$1005&lt;&gt;"")*(MOVIMIENTOS!$A$5:$A$1005&lt;=$A15)*MOVIMIENTOS!$E$5:$E$1005)-SUMPRODUCT((MOVIMIENTOS!$B$5:$B$1005="VENTA")*(MOVIMIENTOS!$C$5:$C$1005="A")*(MOVIMIENTOS!$D$5:$D$1005="jabas")*(MOVIMIENTOS!$A$5:$A$1005&lt;&gt;"")*(MOVIMIENTOS!$A$5:$A$1005&lt;=$A15)*MOVIMIENTOS!$E$5:$E$1005)+SUMPRODUCT((MOVIMIENTOS!$B$5:$B$1005="AJUSTE")*(MOVIMIENTOS!$C$5:$C$1005="A")*(MOVIMIENTOS!$D$5:$D$1005="jabas")*(MOVIMIENTOS!$A$5:$A$1005&lt;&gt;"")*(MOVIMIENTOS!$A$5:$A$1005&lt;=$A15)*MOVIMIENTOS!$E$5:$E$1005))</f>
        <v>36</v>
      </c>
      <c r="C15" s="65">
        <f>IF($A15="","",SUMPRODUCT((MOVIMIENTOS!$B$5:$B$1005="SALDO INICIAL")*(MOVIMIENTOS!$C$5:$C$1005="P")*(MOVIMIENTOS!$D$5:$D$1005="jabas")*(MOVIMIENTOS!$A$5:$A$1005&lt;&gt;"")*(MOVIMIENTOS!$A$5:$A$1005&lt;=$A15)*MOVIMIENTOS!$E$5:$E$1005)+SUMPRODUCT((MOVIMIENTOS!$B$5:$B$1005="PROCESO")*(MOVIMIENTOS!$C$5:$C$1005="P")*(MOVIMIENTOS!$D$5:$D$1005="jabas")*(MOVIMIENTOS!$A$5:$A$1005&lt;&gt;"")*(MOVIMIENTOS!$A$5:$A$1005&lt;=$A15)*MOVIMIENTOS!$E$5:$E$1005)-SUMPRODUCT((MOVIMIENTOS!$B$5:$B$1005="ENVÍO A SUPESA")*(MOVIMIENTOS!$C$5:$C$1005="P")*(MOVIMIENTOS!$D$5:$D$1005="jabas")*(MOVIMIENTOS!$A$5:$A$1005&lt;&gt;"")*(MOVIMIENTOS!$A$5:$A$1005&lt;=$A15)*MOVIMIENTOS!$E$5:$E$1005)+SUMPRODUCT((MOVIMIENTOS!$B$5:$B$1005="DEVOLUCIÓN")*(MOVIMIENTOS!$C$5:$C$1005="P")*(MOVIMIENTOS!$D$5:$D$1005="jabas")*(MOVIMIENTOS!$A$5:$A$1005&lt;&gt;"")*(MOVIMIENTOS!$A$5:$A$1005&lt;=$A15)*MOVIMIENTOS!$E$5:$E$1005)-SUMPRODUCT((MOVIMIENTOS!$B$5:$B$1005="TRASIEGO")*(MOVIMIENTOS!$C$5:$C$1005="P")*(MOVIMIENTOS!$D$5:$D$1005="jabas")*(MOVIMIENTOS!$A$5:$A$1005&lt;&gt;"")*(MOVIMIENTOS!$A$5:$A$1005&lt;=$A15)*MOVIMIENTOS!$E$5:$E$1005)-SUMPRODUCT((MOVIMIENTOS!$B$5:$B$1005="REGALO")*(MOVIMIENTOS!$C$5:$C$1005="P")*(MOVIMIENTOS!$D$5:$D$1005="jabas")*(MOVIMIENTOS!$A$5:$A$1005&lt;&gt;"")*(MOVIMIENTOS!$A$5:$A$1005&lt;=$A15)*MOVIMIENTOS!$E$5:$E$1005)-SUMPRODUCT((MOVIMIENTOS!$B$5:$B$1005="VENTA")*(MOVIMIENTOS!$C$5:$C$1005="P")*(MOVIMIENTOS!$D$5:$D$1005="jabas")*(MOVIMIENTOS!$A$5:$A$1005&lt;&gt;"")*(MOVIMIENTOS!$A$5:$A$1005&lt;=$A15)*MOVIMIENTOS!$E$5:$E$1005)+SUMPRODUCT((MOVIMIENTOS!$B$5:$B$1005="AJUSTE")*(MOVIMIENTOS!$C$5:$C$1005="P")*(MOVIMIENTOS!$D$5:$D$1005="jabas")*(MOVIMIENTOS!$A$5:$A$1005&lt;&gt;"")*(MOVIMIENTOS!$A$5:$A$1005&lt;=$A15)*MOVIMIENTOS!$E$5:$E$1005))</f>
        <v>11</v>
      </c>
      <c r="D15" s="65">
        <f>IF($A15="","",SUMPRODUCT((MOVIMIENTOS!$B$5:$B$1005="SALDO INICIAL")*(MOVIMIENTOS!$C$5:$C$1005="C")*(MOVIMIENTOS!$D$5:$D$1005="jabas")*(MOVIMIENTOS!$A$5:$A$1005&lt;&gt;"")*(MOVIMIENTOS!$A$5:$A$1005&lt;=$A15)*MOVIMIENTOS!$E$5:$E$1005)+SUMPRODUCT((MOVIMIENTOS!$B$5:$B$1005="PROCESO")*(MOVIMIENTOS!$C$5:$C$1005="C")*(MOVIMIENTOS!$D$5:$D$1005="jabas")*(MOVIMIENTOS!$A$5:$A$1005&lt;&gt;"")*(MOVIMIENTOS!$A$5:$A$1005&lt;=$A15)*MOVIMIENTOS!$E$5:$E$1005)-SUMPRODUCT((MOVIMIENTOS!$B$5:$B$1005="ENVÍO A SUPESA")*(MOVIMIENTOS!$C$5:$C$1005="C")*(MOVIMIENTOS!$D$5:$D$1005="jabas")*(MOVIMIENTOS!$A$5:$A$1005&lt;&gt;"")*(MOVIMIENTOS!$A$5:$A$1005&lt;=$A15)*MOVIMIENTOS!$E$5:$E$1005)+SUMPRODUCT((MOVIMIENTOS!$B$5:$B$1005="DEVOLUCIÓN")*(MOVIMIENTOS!$C$5:$C$1005="C")*(MOVIMIENTOS!$D$5:$D$1005="jabas")*(MOVIMIENTOS!$A$5:$A$1005&lt;&gt;"")*(MOVIMIENTOS!$A$5:$A$1005&lt;=$A15)*MOVIMIENTOS!$E$5:$E$1005)-SUMPRODUCT((MOVIMIENTOS!$B$5:$B$1005="TRASIEGO")*(MOVIMIENTOS!$C$5:$C$1005="C")*(MOVIMIENTOS!$D$5:$D$1005="jabas")*(MOVIMIENTOS!$A$5:$A$1005&lt;&gt;"")*(MOVIMIENTOS!$A$5:$A$1005&lt;=$A15)*MOVIMIENTOS!$E$5:$E$1005)-SUMPRODUCT((MOVIMIENTOS!$B$5:$B$1005="REGALO")*(MOVIMIENTOS!$C$5:$C$1005="C")*(MOVIMIENTOS!$D$5:$D$1005="jabas")*(MOVIMIENTOS!$A$5:$A$1005&lt;&gt;"")*(MOVIMIENTOS!$A$5:$A$1005&lt;=$A15)*MOVIMIENTOS!$E$5:$E$1005)-SUMPRODUCT((MOVIMIENTOS!$B$5:$B$1005="VENTA")*(MOVIMIENTOS!$C$5:$C$1005="C")*(MOVIMIENTOS!$D$5:$D$1005="jabas")*(MOVIMIENTOS!$A$5:$A$1005&lt;&gt;"")*(MOVIMIENTOS!$A$5:$A$1005&lt;=$A15)*MOVIMIENTOS!$E$5:$E$1005)+SUMPRODUCT((MOVIMIENTOS!$B$5:$B$1005="AJUSTE")*(MOVIMIENTOS!$C$5:$C$1005="C")*(MOVIMIENTOS!$D$5:$D$1005="jabas")*(MOVIMIENTOS!$A$5:$A$1005&lt;&gt;"")*(MOVIMIENTOS!$A$5:$A$1005&lt;=$A15)*MOVIMIENTOS!$E$5:$E$1005))</f>
        <v>10</v>
      </c>
      <c r="E15" s="65">
        <f>IF($A15="","",SUMPRODUCT((MOVIMIENTOS!$B$5:$B$1005="SALDO INICIAL")*(MOVIMIENTOS!$C$5:$C$1005="M")*(MOVIMIENTOS!$D$5:$D$1005="jabas")*(MOVIMIENTOS!$A$5:$A$1005&lt;&gt;"")*(MOVIMIENTOS!$A$5:$A$1005&lt;=$A15)*MOVIMIENTOS!$E$5:$E$1005)+SUMPRODUCT((MOVIMIENTOS!$B$5:$B$1005="PROCESO")*(MOVIMIENTOS!$C$5:$C$1005="M")*(MOVIMIENTOS!$D$5:$D$1005="jabas")*(MOVIMIENTOS!$A$5:$A$1005&lt;&gt;"")*(MOVIMIENTOS!$A$5:$A$1005&lt;=$A15)*MOVIMIENTOS!$E$5:$E$1005)-SUMPRODUCT((MOVIMIENTOS!$B$5:$B$1005="ENVÍO A SUPESA")*(MOVIMIENTOS!$C$5:$C$1005="M")*(MOVIMIENTOS!$D$5:$D$1005="jabas")*(MOVIMIENTOS!$A$5:$A$1005&lt;&gt;"")*(MOVIMIENTOS!$A$5:$A$1005&lt;=$A15)*MOVIMIENTOS!$E$5:$E$1005)+SUMPRODUCT((MOVIMIENTOS!$B$5:$B$1005="DEVOLUCIÓN")*(MOVIMIENTOS!$C$5:$C$1005="M")*(MOVIMIENTOS!$D$5:$D$1005="jabas")*(MOVIMIENTOS!$A$5:$A$1005&lt;&gt;"")*(MOVIMIENTOS!$A$5:$A$1005&lt;=$A15)*MOVIMIENTOS!$E$5:$E$1005)-SUMPRODUCT((MOVIMIENTOS!$B$5:$B$1005="TRASIEGO")*(MOVIMIENTOS!$C$5:$C$1005="M")*(MOVIMIENTOS!$D$5:$D$1005="jabas")*(MOVIMIENTOS!$A$5:$A$1005&lt;&gt;"")*(MOVIMIENTOS!$A$5:$A$1005&lt;=$A15)*MOVIMIENTOS!$E$5:$E$1005)-SUMPRODUCT((MOVIMIENTOS!$B$5:$B$1005="REGALO")*(MOVIMIENTOS!$C$5:$C$1005="M")*(MOVIMIENTOS!$D$5:$D$1005="jabas")*(MOVIMIENTOS!$A$5:$A$1005&lt;&gt;"")*(MOVIMIENTOS!$A$5:$A$1005&lt;=$A15)*MOVIMIENTOS!$E$5:$E$1005)-SUMPRODUCT((MOVIMIENTOS!$B$5:$B$1005="VENTA")*(MOVIMIENTOS!$C$5:$C$1005="M")*(MOVIMIENTOS!$D$5:$D$1005="jabas")*(MOVIMIENTOS!$A$5:$A$1005&lt;&gt;"")*(MOVIMIENTOS!$A$5:$A$1005&lt;=$A15)*MOVIMIENTOS!$E$5:$E$1005)+SUMPRODUCT((MOVIMIENTOS!$B$5:$B$1005="AJUSTE")*(MOVIMIENTOS!$C$5:$C$1005="M")*(MOVIMIENTOS!$D$5:$D$1005="jabas")*(MOVIMIENTOS!$A$5:$A$1005&lt;&gt;"")*(MOVIMIENTOS!$A$5:$A$1005&lt;=$A15)*MOVIMIENTOS!$E$5:$E$1005))</f>
        <v>78</v>
      </c>
      <c r="F15" s="65">
        <f>IF($A15="","",SUMPRODUCT((MOVIMIENTOS!$B$5:$B$1005="SALDO INICIAL")*(MOVIMIENTOS!$C$5:$C$1005="Chancho")*(MOVIMIENTOS!$D$5:$D$1005="sacos")*(MOVIMIENTOS!$A$5:$A$1005&lt;&gt;"")*(MOVIMIENTOS!$A$5:$A$1005&lt;=$A15)*MOVIMIENTOS!$E$5:$E$1005)+SUMPRODUCT((MOVIMIENTOS!$B$5:$B$1005="PROCESO")*(MOVIMIENTOS!$C$5:$C$1005="Chancho")*(MOVIMIENTOS!$D$5:$D$1005="sacos")*(MOVIMIENTOS!$A$5:$A$1005&lt;&gt;"")*(MOVIMIENTOS!$A$5:$A$1005&lt;=$A15)*MOVIMIENTOS!$E$5:$E$1005)-SUMPRODUCT((MOVIMIENTOS!$B$5:$B$1005="VENTA CHANCHO")*(MOVIMIENTOS!$C$5:$C$1005="Chancho")*(MOVIMIENTOS!$D$5:$D$1005="sacos")*(MOVIMIENTOS!$A$5:$A$1005&lt;&gt;"")*(MOVIMIENTOS!$A$5:$A$1005&lt;=$A15)*MOVIMIENTOS!$E$5:$E$1005)-SUMPRODUCT((MOVIMIENTOS!$B$5:$B$1005="REGALO")*(MOVIMIENTOS!$C$5:$C$1005="Chancho")*(MOVIMIENTOS!$D$5:$D$1005="sacos")*(MOVIMIENTOS!$A$5:$A$1005&lt;&gt;"")*(MOVIMIENTOS!$A$5:$A$1005&lt;=$A15)*MOVIMIENTOS!$E$5:$E$1005)-SUMPRODUCT((MOVIMIENTOS!$B$5:$B$1005="VENTA")*(MOVIMIENTOS!$C$5:$C$1005="Chancho")*(MOVIMIENTOS!$D$5:$D$1005="sacos")*(MOVIMIENTOS!$A$5:$A$1005&lt;&gt;"")*(MOVIMIENTOS!$A$5:$A$1005&lt;=$A15)*MOVIMIENTOS!$E$5:$E$1005)+SUMPRODUCT((MOVIMIENTOS!$B$5:$B$1005="AJUSTE")*(MOVIMIENTOS!$C$5:$C$1005="Chancho")*(MOVIMIENTOS!$D$5:$D$1005="sacos")*(MOVIMIENTOS!$A$5:$A$1005&lt;&gt;"")*(MOVIMIENTOS!$A$5:$A$1005&lt;=$A15)*MOVIMIENTOS!$E$5:$E$1005))</f>
        <v>6.5</v>
      </c>
      <c r="G15" s="77">
        <f t="shared" si="1"/>
        <v>135</v>
      </c>
      <c r="H15" s="65">
        <f>IF($A15="","",SUMPRODUCT((((MOVIMIENTOS!$B$5:$B$1005="SALDO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15)*MOVIMIENTOS!$J$5:$J$1005))</f>
        <v>2486.5</v>
      </c>
      <c r="I15" s="63"/>
      <c r="J15" s="63" t="str">
        <f>IF(AND(MOVIMIENTOS!$A15&lt;&gt;"",COUNTIF(MOVIMIENTOS!$A$5:$A14,MOVIMIENTOS!$A15)=0),COUNT(J$4:J14)+1,"")</f>
        <v/>
      </c>
      <c r="K15" s="66">
        <f>MOVIMIENTOS!$A15</f>
        <v>46215</v>
      </c>
      <c r="L15" s="63"/>
      <c r="M15" s="63"/>
      <c r="N15" s="63"/>
    </row>
    <row r="16" spans="1:14" ht="15" customHeight="1" x14ac:dyDescent="0.2">
      <c r="A16" s="64">
        <f t="shared" si="0"/>
        <v>46224</v>
      </c>
      <c r="B16" s="65">
        <f>IF($A16="","",SUMPRODUCT((MOVIMIENTOS!$B$5:$B$1005="SALDO INICIAL")*(MOVIMIENTOS!$C$5:$C$1005="A")*(MOVIMIENTOS!$D$5:$D$1005="jabas")*(MOVIMIENTOS!$A$5:$A$1005&lt;&gt;"")*(MOVIMIENTOS!$A$5:$A$1005&lt;=$A16)*MOVIMIENTOS!$E$5:$E$1005)+SUMPRODUCT((MOVIMIENTOS!$B$5:$B$1005="PROCESO")*(MOVIMIENTOS!$C$5:$C$1005="A")*(MOVIMIENTOS!$D$5:$D$1005="jabas")*(MOVIMIENTOS!$A$5:$A$1005&lt;&gt;"")*(MOVIMIENTOS!$A$5:$A$1005&lt;=$A16)*MOVIMIENTOS!$E$5:$E$1005)-SUMPRODUCT((MOVIMIENTOS!$B$5:$B$1005="ENVÍO A SUPESA")*(MOVIMIENTOS!$C$5:$C$1005="A")*(MOVIMIENTOS!$D$5:$D$1005="jabas")*(MOVIMIENTOS!$A$5:$A$1005&lt;&gt;"")*(MOVIMIENTOS!$A$5:$A$1005&lt;=$A16)*MOVIMIENTOS!$E$5:$E$1005)+SUMPRODUCT((MOVIMIENTOS!$B$5:$B$1005="DEVOLUCIÓN")*(MOVIMIENTOS!$C$5:$C$1005="A")*(MOVIMIENTOS!$D$5:$D$1005="jabas")*(MOVIMIENTOS!$A$5:$A$1005&lt;&gt;"")*(MOVIMIENTOS!$A$5:$A$1005&lt;=$A16)*MOVIMIENTOS!$E$5:$E$1005)-SUMPRODUCT((MOVIMIENTOS!$B$5:$B$1005="TRASIEGO")*(MOVIMIENTOS!$C$5:$C$1005="A")*(MOVIMIENTOS!$D$5:$D$1005="jabas")*(MOVIMIENTOS!$A$5:$A$1005&lt;&gt;"")*(MOVIMIENTOS!$A$5:$A$1005&lt;=$A16)*MOVIMIENTOS!$E$5:$E$1005)-SUMPRODUCT((MOVIMIENTOS!$B$5:$B$1005="REGALO")*(MOVIMIENTOS!$C$5:$C$1005="A")*(MOVIMIENTOS!$D$5:$D$1005="jabas")*(MOVIMIENTOS!$A$5:$A$1005&lt;&gt;"")*(MOVIMIENTOS!$A$5:$A$1005&lt;=$A16)*MOVIMIENTOS!$E$5:$E$1005)-SUMPRODUCT((MOVIMIENTOS!$B$5:$B$1005="VENTA")*(MOVIMIENTOS!$C$5:$C$1005="A")*(MOVIMIENTOS!$D$5:$D$1005="jabas")*(MOVIMIENTOS!$A$5:$A$1005&lt;&gt;"")*(MOVIMIENTOS!$A$5:$A$1005&lt;=$A16)*MOVIMIENTOS!$E$5:$E$1005)+SUMPRODUCT((MOVIMIENTOS!$B$5:$B$1005="AJUSTE")*(MOVIMIENTOS!$C$5:$C$1005="A")*(MOVIMIENTOS!$D$5:$D$1005="jabas")*(MOVIMIENTOS!$A$5:$A$1005&lt;&gt;"")*(MOVIMIENTOS!$A$5:$A$1005&lt;=$A16)*MOVIMIENTOS!$E$5:$E$1005))</f>
        <v>58</v>
      </c>
      <c r="C16" s="65">
        <f>IF($A16="","",SUMPRODUCT((MOVIMIENTOS!$B$5:$B$1005="SALDO INICIAL")*(MOVIMIENTOS!$C$5:$C$1005="P")*(MOVIMIENTOS!$D$5:$D$1005="jabas")*(MOVIMIENTOS!$A$5:$A$1005&lt;&gt;"")*(MOVIMIENTOS!$A$5:$A$1005&lt;=$A16)*MOVIMIENTOS!$E$5:$E$1005)+SUMPRODUCT((MOVIMIENTOS!$B$5:$B$1005="PROCESO")*(MOVIMIENTOS!$C$5:$C$1005="P")*(MOVIMIENTOS!$D$5:$D$1005="jabas")*(MOVIMIENTOS!$A$5:$A$1005&lt;&gt;"")*(MOVIMIENTOS!$A$5:$A$1005&lt;=$A16)*MOVIMIENTOS!$E$5:$E$1005)-SUMPRODUCT((MOVIMIENTOS!$B$5:$B$1005="ENVÍO A SUPESA")*(MOVIMIENTOS!$C$5:$C$1005="P")*(MOVIMIENTOS!$D$5:$D$1005="jabas")*(MOVIMIENTOS!$A$5:$A$1005&lt;&gt;"")*(MOVIMIENTOS!$A$5:$A$1005&lt;=$A16)*MOVIMIENTOS!$E$5:$E$1005)+SUMPRODUCT((MOVIMIENTOS!$B$5:$B$1005="DEVOLUCIÓN")*(MOVIMIENTOS!$C$5:$C$1005="P")*(MOVIMIENTOS!$D$5:$D$1005="jabas")*(MOVIMIENTOS!$A$5:$A$1005&lt;&gt;"")*(MOVIMIENTOS!$A$5:$A$1005&lt;=$A16)*MOVIMIENTOS!$E$5:$E$1005)-SUMPRODUCT((MOVIMIENTOS!$B$5:$B$1005="TRASIEGO")*(MOVIMIENTOS!$C$5:$C$1005="P")*(MOVIMIENTOS!$D$5:$D$1005="jabas")*(MOVIMIENTOS!$A$5:$A$1005&lt;&gt;"")*(MOVIMIENTOS!$A$5:$A$1005&lt;=$A16)*MOVIMIENTOS!$E$5:$E$1005)-SUMPRODUCT((MOVIMIENTOS!$B$5:$B$1005="REGALO")*(MOVIMIENTOS!$C$5:$C$1005="P")*(MOVIMIENTOS!$D$5:$D$1005="jabas")*(MOVIMIENTOS!$A$5:$A$1005&lt;&gt;"")*(MOVIMIENTOS!$A$5:$A$1005&lt;=$A16)*MOVIMIENTOS!$E$5:$E$1005)-SUMPRODUCT((MOVIMIENTOS!$B$5:$B$1005="VENTA")*(MOVIMIENTOS!$C$5:$C$1005="P")*(MOVIMIENTOS!$D$5:$D$1005="jabas")*(MOVIMIENTOS!$A$5:$A$1005&lt;&gt;"")*(MOVIMIENTOS!$A$5:$A$1005&lt;=$A16)*MOVIMIENTOS!$E$5:$E$1005)+SUMPRODUCT((MOVIMIENTOS!$B$5:$B$1005="AJUSTE")*(MOVIMIENTOS!$C$5:$C$1005="P")*(MOVIMIENTOS!$D$5:$D$1005="jabas")*(MOVIMIENTOS!$A$5:$A$1005&lt;&gt;"")*(MOVIMIENTOS!$A$5:$A$1005&lt;=$A16)*MOVIMIENTOS!$E$5:$E$1005))</f>
        <v>11</v>
      </c>
      <c r="D16" s="65">
        <f>IF($A16="","",SUMPRODUCT((MOVIMIENTOS!$B$5:$B$1005="SALDO INICIAL")*(MOVIMIENTOS!$C$5:$C$1005="C")*(MOVIMIENTOS!$D$5:$D$1005="jabas")*(MOVIMIENTOS!$A$5:$A$1005&lt;&gt;"")*(MOVIMIENTOS!$A$5:$A$1005&lt;=$A16)*MOVIMIENTOS!$E$5:$E$1005)+SUMPRODUCT((MOVIMIENTOS!$B$5:$B$1005="PROCESO")*(MOVIMIENTOS!$C$5:$C$1005="C")*(MOVIMIENTOS!$D$5:$D$1005="jabas")*(MOVIMIENTOS!$A$5:$A$1005&lt;&gt;"")*(MOVIMIENTOS!$A$5:$A$1005&lt;=$A16)*MOVIMIENTOS!$E$5:$E$1005)-SUMPRODUCT((MOVIMIENTOS!$B$5:$B$1005="ENVÍO A SUPESA")*(MOVIMIENTOS!$C$5:$C$1005="C")*(MOVIMIENTOS!$D$5:$D$1005="jabas")*(MOVIMIENTOS!$A$5:$A$1005&lt;&gt;"")*(MOVIMIENTOS!$A$5:$A$1005&lt;=$A16)*MOVIMIENTOS!$E$5:$E$1005)+SUMPRODUCT((MOVIMIENTOS!$B$5:$B$1005="DEVOLUCIÓN")*(MOVIMIENTOS!$C$5:$C$1005="C")*(MOVIMIENTOS!$D$5:$D$1005="jabas")*(MOVIMIENTOS!$A$5:$A$1005&lt;&gt;"")*(MOVIMIENTOS!$A$5:$A$1005&lt;=$A16)*MOVIMIENTOS!$E$5:$E$1005)-SUMPRODUCT((MOVIMIENTOS!$B$5:$B$1005="TRASIEGO")*(MOVIMIENTOS!$C$5:$C$1005="C")*(MOVIMIENTOS!$D$5:$D$1005="jabas")*(MOVIMIENTOS!$A$5:$A$1005&lt;&gt;"")*(MOVIMIENTOS!$A$5:$A$1005&lt;=$A16)*MOVIMIENTOS!$E$5:$E$1005)-SUMPRODUCT((MOVIMIENTOS!$B$5:$B$1005="REGALO")*(MOVIMIENTOS!$C$5:$C$1005="C")*(MOVIMIENTOS!$D$5:$D$1005="jabas")*(MOVIMIENTOS!$A$5:$A$1005&lt;&gt;"")*(MOVIMIENTOS!$A$5:$A$1005&lt;=$A16)*MOVIMIENTOS!$E$5:$E$1005)-SUMPRODUCT((MOVIMIENTOS!$B$5:$B$1005="VENTA")*(MOVIMIENTOS!$C$5:$C$1005="C")*(MOVIMIENTOS!$D$5:$D$1005="jabas")*(MOVIMIENTOS!$A$5:$A$1005&lt;&gt;"")*(MOVIMIENTOS!$A$5:$A$1005&lt;=$A16)*MOVIMIENTOS!$E$5:$E$1005)+SUMPRODUCT((MOVIMIENTOS!$B$5:$B$1005="AJUSTE")*(MOVIMIENTOS!$C$5:$C$1005="C")*(MOVIMIENTOS!$D$5:$D$1005="jabas")*(MOVIMIENTOS!$A$5:$A$1005&lt;&gt;"")*(MOVIMIENTOS!$A$5:$A$1005&lt;=$A16)*MOVIMIENTOS!$E$5:$E$1005))</f>
        <v>12</v>
      </c>
      <c r="E16" s="65">
        <f>IF($A16="","",SUMPRODUCT((MOVIMIENTOS!$B$5:$B$1005="SALDO INICIAL")*(MOVIMIENTOS!$C$5:$C$1005="M")*(MOVIMIENTOS!$D$5:$D$1005="jabas")*(MOVIMIENTOS!$A$5:$A$1005&lt;&gt;"")*(MOVIMIENTOS!$A$5:$A$1005&lt;=$A16)*MOVIMIENTOS!$E$5:$E$1005)+SUMPRODUCT((MOVIMIENTOS!$B$5:$B$1005="PROCESO")*(MOVIMIENTOS!$C$5:$C$1005="M")*(MOVIMIENTOS!$D$5:$D$1005="jabas")*(MOVIMIENTOS!$A$5:$A$1005&lt;&gt;"")*(MOVIMIENTOS!$A$5:$A$1005&lt;=$A16)*MOVIMIENTOS!$E$5:$E$1005)-SUMPRODUCT((MOVIMIENTOS!$B$5:$B$1005="ENVÍO A SUPESA")*(MOVIMIENTOS!$C$5:$C$1005="M")*(MOVIMIENTOS!$D$5:$D$1005="jabas")*(MOVIMIENTOS!$A$5:$A$1005&lt;&gt;"")*(MOVIMIENTOS!$A$5:$A$1005&lt;=$A16)*MOVIMIENTOS!$E$5:$E$1005)+SUMPRODUCT((MOVIMIENTOS!$B$5:$B$1005="DEVOLUCIÓN")*(MOVIMIENTOS!$C$5:$C$1005="M")*(MOVIMIENTOS!$D$5:$D$1005="jabas")*(MOVIMIENTOS!$A$5:$A$1005&lt;&gt;"")*(MOVIMIENTOS!$A$5:$A$1005&lt;=$A16)*MOVIMIENTOS!$E$5:$E$1005)-SUMPRODUCT((MOVIMIENTOS!$B$5:$B$1005="TRASIEGO")*(MOVIMIENTOS!$C$5:$C$1005="M")*(MOVIMIENTOS!$D$5:$D$1005="jabas")*(MOVIMIENTOS!$A$5:$A$1005&lt;&gt;"")*(MOVIMIENTOS!$A$5:$A$1005&lt;=$A16)*MOVIMIENTOS!$E$5:$E$1005)-SUMPRODUCT((MOVIMIENTOS!$B$5:$B$1005="REGALO")*(MOVIMIENTOS!$C$5:$C$1005="M")*(MOVIMIENTOS!$D$5:$D$1005="jabas")*(MOVIMIENTOS!$A$5:$A$1005&lt;&gt;"")*(MOVIMIENTOS!$A$5:$A$1005&lt;=$A16)*MOVIMIENTOS!$E$5:$E$1005)-SUMPRODUCT((MOVIMIENTOS!$B$5:$B$1005="VENTA")*(MOVIMIENTOS!$C$5:$C$1005="M")*(MOVIMIENTOS!$D$5:$D$1005="jabas")*(MOVIMIENTOS!$A$5:$A$1005&lt;&gt;"")*(MOVIMIENTOS!$A$5:$A$1005&lt;=$A16)*MOVIMIENTOS!$E$5:$E$1005)+SUMPRODUCT((MOVIMIENTOS!$B$5:$B$1005="AJUSTE")*(MOVIMIENTOS!$C$5:$C$1005="M")*(MOVIMIENTOS!$D$5:$D$1005="jabas")*(MOVIMIENTOS!$A$5:$A$1005&lt;&gt;"")*(MOVIMIENTOS!$A$5:$A$1005&lt;=$A16)*MOVIMIENTOS!$E$5:$E$1005))</f>
        <v>110</v>
      </c>
      <c r="F16" s="65">
        <f>IF($A16="","",SUMPRODUCT((MOVIMIENTOS!$B$5:$B$1005="SALDO INICIAL")*(MOVIMIENTOS!$C$5:$C$1005="Chancho")*(MOVIMIENTOS!$D$5:$D$1005="sacos")*(MOVIMIENTOS!$A$5:$A$1005&lt;&gt;"")*(MOVIMIENTOS!$A$5:$A$1005&lt;=$A16)*MOVIMIENTOS!$E$5:$E$1005)+SUMPRODUCT((MOVIMIENTOS!$B$5:$B$1005="PROCESO")*(MOVIMIENTOS!$C$5:$C$1005="Chancho")*(MOVIMIENTOS!$D$5:$D$1005="sacos")*(MOVIMIENTOS!$A$5:$A$1005&lt;&gt;"")*(MOVIMIENTOS!$A$5:$A$1005&lt;=$A16)*MOVIMIENTOS!$E$5:$E$1005)-SUMPRODUCT((MOVIMIENTOS!$B$5:$B$1005="VENTA CHANCHO")*(MOVIMIENTOS!$C$5:$C$1005="Chancho")*(MOVIMIENTOS!$D$5:$D$1005="sacos")*(MOVIMIENTOS!$A$5:$A$1005&lt;&gt;"")*(MOVIMIENTOS!$A$5:$A$1005&lt;=$A16)*MOVIMIENTOS!$E$5:$E$1005)-SUMPRODUCT((MOVIMIENTOS!$B$5:$B$1005="REGALO")*(MOVIMIENTOS!$C$5:$C$1005="Chancho")*(MOVIMIENTOS!$D$5:$D$1005="sacos")*(MOVIMIENTOS!$A$5:$A$1005&lt;&gt;"")*(MOVIMIENTOS!$A$5:$A$1005&lt;=$A16)*MOVIMIENTOS!$E$5:$E$1005)-SUMPRODUCT((MOVIMIENTOS!$B$5:$B$1005="VENTA")*(MOVIMIENTOS!$C$5:$C$1005="Chancho")*(MOVIMIENTOS!$D$5:$D$1005="sacos")*(MOVIMIENTOS!$A$5:$A$1005&lt;&gt;"")*(MOVIMIENTOS!$A$5:$A$1005&lt;=$A16)*MOVIMIENTOS!$E$5:$E$1005)+SUMPRODUCT((MOVIMIENTOS!$B$5:$B$1005="AJUSTE")*(MOVIMIENTOS!$C$5:$C$1005="Chancho")*(MOVIMIENTOS!$D$5:$D$1005="sacos")*(MOVIMIENTOS!$A$5:$A$1005&lt;&gt;"")*(MOVIMIENTOS!$A$5:$A$1005&lt;=$A16)*MOVIMIENTOS!$E$5:$E$1005))</f>
        <v>13.5</v>
      </c>
      <c r="G16" s="77">
        <f t="shared" si="1"/>
        <v>191</v>
      </c>
      <c r="H16" s="65">
        <f>IF($A16="","",SUMPRODUCT((((MOVIMIENTOS!$B$5:$B$1005="SALDO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16)*MOVIMIENTOS!$J$5:$J$1005))</f>
        <v>698.5</v>
      </c>
      <c r="I16" s="63"/>
      <c r="J16" s="63" t="str">
        <f>IF(AND(MOVIMIENTOS!$A16&lt;&gt;"",COUNTIF(MOVIMIENTOS!$A$5:$A15,MOVIMIENTOS!$A16)=0),COUNT(J$4:J15)+1,"")</f>
        <v/>
      </c>
      <c r="K16" s="66">
        <f>MOVIMIENTOS!$A16</f>
        <v>46215</v>
      </c>
      <c r="L16" s="63"/>
      <c r="M16" s="63"/>
      <c r="N16" s="63"/>
    </row>
    <row r="17" spans="1:14" ht="15" customHeight="1" x14ac:dyDescent="0.2">
      <c r="A17" s="64">
        <f t="shared" si="0"/>
        <v>46225</v>
      </c>
      <c r="B17" s="65">
        <f>IF($A17="","",SUMPRODUCT((MOVIMIENTOS!$B$5:$B$1005="SALDO INICIAL")*(MOVIMIENTOS!$C$5:$C$1005="A")*(MOVIMIENTOS!$D$5:$D$1005="jabas")*(MOVIMIENTOS!$A$5:$A$1005&lt;&gt;"")*(MOVIMIENTOS!$A$5:$A$1005&lt;=$A17)*MOVIMIENTOS!$E$5:$E$1005)+SUMPRODUCT((MOVIMIENTOS!$B$5:$B$1005="PROCESO")*(MOVIMIENTOS!$C$5:$C$1005="A")*(MOVIMIENTOS!$D$5:$D$1005="jabas")*(MOVIMIENTOS!$A$5:$A$1005&lt;&gt;"")*(MOVIMIENTOS!$A$5:$A$1005&lt;=$A17)*MOVIMIENTOS!$E$5:$E$1005)-SUMPRODUCT((MOVIMIENTOS!$B$5:$B$1005="ENVÍO A SUPESA")*(MOVIMIENTOS!$C$5:$C$1005="A")*(MOVIMIENTOS!$D$5:$D$1005="jabas")*(MOVIMIENTOS!$A$5:$A$1005&lt;&gt;"")*(MOVIMIENTOS!$A$5:$A$1005&lt;=$A17)*MOVIMIENTOS!$E$5:$E$1005)+SUMPRODUCT((MOVIMIENTOS!$B$5:$B$1005="DEVOLUCIÓN")*(MOVIMIENTOS!$C$5:$C$1005="A")*(MOVIMIENTOS!$D$5:$D$1005="jabas")*(MOVIMIENTOS!$A$5:$A$1005&lt;&gt;"")*(MOVIMIENTOS!$A$5:$A$1005&lt;=$A17)*MOVIMIENTOS!$E$5:$E$1005)-SUMPRODUCT((MOVIMIENTOS!$B$5:$B$1005="TRASIEGO")*(MOVIMIENTOS!$C$5:$C$1005="A")*(MOVIMIENTOS!$D$5:$D$1005="jabas")*(MOVIMIENTOS!$A$5:$A$1005&lt;&gt;"")*(MOVIMIENTOS!$A$5:$A$1005&lt;=$A17)*MOVIMIENTOS!$E$5:$E$1005)-SUMPRODUCT((MOVIMIENTOS!$B$5:$B$1005="REGALO")*(MOVIMIENTOS!$C$5:$C$1005="A")*(MOVIMIENTOS!$D$5:$D$1005="jabas")*(MOVIMIENTOS!$A$5:$A$1005&lt;&gt;"")*(MOVIMIENTOS!$A$5:$A$1005&lt;=$A17)*MOVIMIENTOS!$E$5:$E$1005)-SUMPRODUCT((MOVIMIENTOS!$B$5:$B$1005="VENTA")*(MOVIMIENTOS!$C$5:$C$1005="A")*(MOVIMIENTOS!$D$5:$D$1005="jabas")*(MOVIMIENTOS!$A$5:$A$1005&lt;&gt;"")*(MOVIMIENTOS!$A$5:$A$1005&lt;=$A17)*MOVIMIENTOS!$E$5:$E$1005)+SUMPRODUCT((MOVIMIENTOS!$B$5:$B$1005="AJUSTE")*(MOVIMIENTOS!$C$5:$C$1005="A")*(MOVIMIENTOS!$D$5:$D$1005="jabas")*(MOVIMIENTOS!$A$5:$A$1005&lt;&gt;"")*(MOVIMIENTOS!$A$5:$A$1005&lt;=$A17)*MOVIMIENTOS!$E$5:$E$1005))</f>
        <v>54</v>
      </c>
      <c r="C17" s="65">
        <f>IF($A17="","",SUMPRODUCT((MOVIMIENTOS!$B$5:$B$1005="SALDO INICIAL")*(MOVIMIENTOS!$C$5:$C$1005="P")*(MOVIMIENTOS!$D$5:$D$1005="jabas")*(MOVIMIENTOS!$A$5:$A$1005&lt;&gt;"")*(MOVIMIENTOS!$A$5:$A$1005&lt;=$A17)*MOVIMIENTOS!$E$5:$E$1005)+SUMPRODUCT((MOVIMIENTOS!$B$5:$B$1005="PROCESO")*(MOVIMIENTOS!$C$5:$C$1005="P")*(MOVIMIENTOS!$D$5:$D$1005="jabas")*(MOVIMIENTOS!$A$5:$A$1005&lt;&gt;"")*(MOVIMIENTOS!$A$5:$A$1005&lt;=$A17)*MOVIMIENTOS!$E$5:$E$1005)-SUMPRODUCT((MOVIMIENTOS!$B$5:$B$1005="ENVÍO A SUPESA")*(MOVIMIENTOS!$C$5:$C$1005="P")*(MOVIMIENTOS!$D$5:$D$1005="jabas")*(MOVIMIENTOS!$A$5:$A$1005&lt;&gt;"")*(MOVIMIENTOS!$A$5:$A$1005&lt;=$A17)*MOVIMIENTOS!$E$5:$E$1005)+SUMPRODUCT((MOVIMIENTOS!$B$5:$B$1005="DEVOLUCIÓN")*(MOVIMIENTOS!$C$5:$C$1005="P")*(MOVIMIENTOS!$D$5:$D$1005="jabas")*(MOVIMIENTOS!$A$5:$A$1005&lt;&gt;"")*(MOVIMIENTOS!$A$5:$A$1005&lt;=$A17)*MOVIMIENTOS!$E$5:$E$1005)-SUMPRODUCT((MOVIMIENTOS!$B$5:$B$1005="TRASIEGO")*(MOVIMIENTOS!$C$5:$C$1005="P")*(MOVIMIENTOS!$D$5:$D$1005="jabas")*(MOVIMIENTOS!$A$5:$A$1005&lt;&gt;"")*(MOVIMIENTOS!$A$5:$A$1005&lt;=$A17)*MOVIMIENTOS!$E$5:$E$1005)-SUMPRODUCT((MOVIMIENTOS!$B$5:$B$1005="REGALO")*(MOVIMIENTOS!$C$5:$C$1005="P")*(MOVIMIENTOS!$D$5:$D$1005="jabas")*(MOVIMIENTOS!$A$5:$A$1005&lt;&gt;"")*(MOVIMIENTOS!$A$5:$A$1005&lt;=$A17)*MOVIMIENTOS!$E$5:$E$1005)-SUMPRODUCT((MOVIMIENTOS!$B$5:$B$1005="VENTA")*(MOVIMIENTOS!$C$5:$C$1005="P")*(MOVIMIENTOS!$D$5:$D$1005="jabas")*(MOVIMIENTOS!$A$5:$A$1005&lt;&gt;"")*(MOVIMIENTOS!$A$5:$A$1005&lt;=$A17)*MOVIMIENTOS!$E$5:$E$1005)+SUMPRODUCT((MOVIMIENTOS!$B$5:$B$1005="AJUSTE")*(MOVIMIENTOS!$C$5:$C$1005="P")*(MOVIMIENTOS!$D$5:$D$1005="jabas")*(MOVIMIENTOS!$A$5:$A$1005&lt;&gt;"")*(MOVIMIENTOS!$A$5:$A$1005&lt;=$A17)*MOVIMIENTOS!$E$5:$E$1005))</f>
        <v>11</v>
      </c>
      <c r="D17" s="65">
        <f>IF($A17="","",SUMPRODUCT((MOVIMIENTOS!$B$5:$B$1005="SALDO INICIAL")*(MOVIMIENTOS!$C$5:$C$1005="C")*(MOVIMIENTOS!$D$5:$D$1005="jabas")*(MOVIMIENTOS!$A$5:$A$1005&lt;&gt;"")*(MOVIMIENTOS!$A$5:$A$1005&lt;=$A17)*MOVIMIENTOS!$E$5:$E$1005)+SUMPRODUCT((MOVIMIENTOS!$B$5:$B$1005="PROCESO")*(MOVIMIENTOS!$C$5:$C$1005="C")*(MOVIMIENTOS!$D$5:$D$1005="jabas")*(MOVIMIENTOS!$A$5:$A$1005&lt;&gt;"")*(MOVIMIENTOS!$A$5:$A$1005&lt;=$A17)*MOVIMIENTOS!$E$5:$E$1005)-SUMPRODUCT((MOVIMIENTOS!$B$5:$B$1005="ENVÍO A SUPESA")*(MOVIMIENTOS!$C$5:$C$1005="C")*(MOVIMIENTOS!$D$5:$D$1005="jabas")*(MOVIMIENTOS!$A$5:$A$1005&lt;&gt;"")*(MOVIMIENTOS!$A$5:$A$1005&lt;=$A17)*MOVIMIENTOS!$E$5:$E$1005)+SUMPRODUCT((MOVIMIENTOS!$B$5:$B$1005="DEVOLUCIÓN")*(MOVIMIENTOS!$C$5:$C$1005="C")*(MOVIMIENTOS!$D$5:$D$1005="jabas")*(MOVIMIENTOS!$A$5:$A$1005&lt;&gt;"")*(MOVIMIENTOS!$A$5:$A$1005&lt;=$A17)*MOVIMIENTOS!$E$5:$E$1005)-SUMPRODUCT((MOVIMIENTOS!$B$5:$B$1005="TRASIEGO")*(MOVIMIENTOS!$C$5:$C$1005="C")*(MOVIMIENTOS!$D$5:$D$1005="jabas")*(MOVIMIENTOS!$A$5:$A$1005&lt;&gt;"")*(MOVIMIENTOS!$A$5:$A$1005&lt;=$A17)*MOVIMIENTOS!$E$5:$E$1005)-SUMPRODUCT((MOVIMIENTOS!$B$5:$B$1005="REGALO")*(MOVIMIENTOS!$C$5:$C$1005="C")*(MOVIMIENTOS!$D$5:$D$1005="jabas")*(MOVIMIENTOS!$A$5:$A$1005&lt;&gt;"")*(MOVIMIENTOS!$A$5:$A$1005&lt;=$A17)*MOVIMIENTOS!$E$5:$E$1005)-SUMPRODUCT((MOVIMIENTOS!$B$5:$B$1005="VENTA")*(MOVIMIENTOS!$C$5:$C$1005="C")*(MOVIMIENTOS!$D$5:$D$1005="jabas")*(MOVIMIENTOS!$A$5:$A$1005&lt;&gt;"")*(MOVIMIENTOS!$A$5:$A$1005&lt;=$A17)*MOVIMIENTOS!$E$5:$E$1005)+SUMPRODUCT((MOVIMIENTOS!$B$5:$B$1005="AJUSTE")*(MOVIMIENTOS!$C$5:$C$1005="C")*(MOVIMIENTOS!$D$5:$D$1005="jabas")*(MOVIMIENTOS!$A$5:$A$1005&lt;&gt;"")*(MOVIMIENTOS!$A$5:$A$1005&lt;=$A17)*MOVIMIENTOS!$E$5:$E$1005))</f>
        <v>12</v>
      </c>
      <c r="E17" s="65">
        <f>IF($A17="","",SUMPRODUCT((MOVIMIENTOS!$B$5:$B$1005="SALDO INICIAL")*(MOVIMIENTOS!$C$5:$C$1005="M")*(MOVIMIENTOS!$D$5:$D$1005="jabas")*(MOVIMIENTOS!$A$5:$A$1005&lt;&gt;"")*(MOVIMIENTOS!$A$5:$A$1005&lt;=$A17)*MOVIMIENTOS!$E$5:$E$1005)+SUMPRODUCT((MOVIMIENTOS!$B$5:$B$1005="PROCESO")*(MOVIMIENTOS!$C$5:$C$1005="M")*(MOVIMIENTOS!$D$5:$D$1005="jabas")*(MOVIMIENTOS!$A$5:$A$1005&lt;&gt;"")*(MOVIMIENTOS!$A$5:$A$1005&lt;=$A17)*MOVIMIENTOS!$E$5:$E$1005)-SUMPRODUCT((MOVIMIENTOS!$B$5:$B$1005="ENVÍO A SUPESA")*(MOVIMIENTOS!$C$5:$C$1005="M")*(MOVIMIENTOS!$D$5:$D$1005="jabas")*(MOVIMIENTOS!$A$5:$A$1005&lt;&gt;"")*(MOVIMIENTOS!$A$5:$A$1005&lt;=$A17)*MOVIMIENTOS!$E$5:$E$1005)+SUMPRODUCT((MOVIMIENTOS!$B$5:$B$1005="DEVOLUCIÓN")*(MOVIMIENTOS!$C$5:$C$1005="M")*(MOVIMIENTOS!$D$5:$D$1005="jabas")*(MOVIMIENTOS!$A$5:$A$1005&lt;&gt;"")*(MOVIMIENTOS!$A$5:$A$1005&lt;=$A17)*MOVIMIENTOS!$E$5:$E$1005)-SUMPRODUCT((MOVIMIENTOS!$B$5:$B$1005="TRASIEGO")*(MOVIMIENTOS!$C$5:$C$1005="M")*(MOVIMIENTOS!$D$5:$D$1005="jabas")*(MOVIMIENTOS!$A$5:$A$1005&lt;&gt;"")*(MOVIMIENTOS!$A$5:$A$1005&lt;=$A17)*MOVIMIENTOS!$E$5:$E$1005)-SUMPRODUCT((MOVIMIENTOS!$B$5:$B$1005="REGALO")*(MOVIMIENTOS!$C$5:$C$1005="M")*(MOVIMIENTOS!$D$5:$D$1005="jabas")*(MOVIMIENTOS!$A$5:$A$1005&lt;&gt;"")*(MOVIMIENTOS!$A$5:$A$1005&lt;=$A17)*MOVIMIENTOS!$E$5:$E$1005)-SUMPRODUCT((MOVIMIENTOS!$B$5:$B$1005="VENTA")*(MOVIMIENTOS!$C$5:$C$1005="M")*(MOVIMIENTOS!$D$5:$D$1005="jabas")*(MOVIMIENTOS!$A$5:$A$1005&lt;&gt;"")*(MOVIMIENTOS!$A$5:$A$1005&lt;=$A17)*MOVIMIENTOS!$E$5:$E$1005)+SUMPRODUCT((MOVIMIENTOS!$B$5:$B$1005="AJUSTE")*(MOVIMIENTOS!$C$5:$C$1005="M")*(MOVIMIENTOS!$D$5:$D$1005="jabas")*(MOVIMIENTOS!$A$5:$A$1005&lt;&gt;"")*(MOVIMIENTOS!$A$5:$A$1005&lt;=$A17)*MOVIMIENTOS!$E$5:$E$1005))</f>
        <v>119</v>
      </c>
      <c r="F17" s="65">
        <f>IF($A17="","",SUMPRODUCT((MOVIMIENTOS!$B$5:$B$1005="SALDO INICIAL")*(MOVIMIENTOS!$C$5:$C$1005="Chancho")*(MOVIMIENTOS!$D$5:$D$1005="sacos")*(MOVIMIENTOS!$A$5:$A$1005&lt;&gt;"")*(MOVIMIENTOS!$A$5:$A$1005&lt;=$A17)*MOVIMIENTOS!$E$5:$E$1005)+SUMPRODUCT((MOVIMIENTOS!$B$5:$B$1005="PROCESO")*(MOVIMIENTOS!$C$5:$C$1005="Chancho")*(MOVIMIENTOS!$D$5:$D$1005="sacos")*(MOVIMIENTOS!$A$5:$A$1005&lt;&gt;"")*(MOVIMIENTOS!$A$5:$A$1005&lt;=$A17)*MOVIMIENTOS!$E$5:$E$1005)-SUMPRODUCT((MOVIMIENTOS!$B$5:$B$1005="VENTA CHANCHO")*(MOVIMIENTOS!$C$5:$C$1005="Chancho")*(MOVIMIENTOS!$D$5:$D$1005="sacos")*(MOVIMIENTOS!$A$5:$A$1005&lt;&gt;"")*(MOVIMIENTOS!$A$5:$A$1005&lt;=$A17)*MOVIMIENTOS!$E$5:$E$1005)-SUMPRODUCT((MOVIMIENTOS!$B$5:$B$1005="REGALO")*(MOVIMIENTOS!$C$5:$C$1005="Chancho")*(MOVIMIENTOS!$D$5:$D$1005="sacos")*(MOVIMIENTOS!$A$5:$A$1005&lt;&gt;"")*(MOVIMIENTOS!$A$5:$A$1005&lt;=$A17)*MOVIMIENTOS!$E$5:$E$1005)-SUMPRODUCT((MOVIMIENTOS!$B$5:$B$1005="VENTA")*(MOVIMIENTOS!$C$5:$C$1005="Chancho")*(MOVIMIENTOS!$D$5:$D$1005="sacos")*(MOVIMIENTOS!$A$5:$A$1005&lt;&gt;"")*(MOVIMIENTOS!$A$5:$A$1005&lt;=$A17)*MOVIMIENTOS!$E$5:$E$1005)+SUMPRODUCT((MOVIMIENTOS!$B$5:$B$1005="AJUSTE")*(MOVIMIENTOS!$C$5:$C$1005="Chancho")*(MOVIMIENTOS!$D$5:$D$1005="sacos")*(MOVIMIENTOS!$A$5:$A$1005&lt;&gt;"")*(MOVIMIENTOS!$A$5:$A$1005&lt;=$A17)*MOVIMIENTOS!$E$5:$E$1005))</f>
        <v>11.5</v>
      </c>
      <c r="G17" s="77">
        <f t="shared" si="1"/>
        <v>196</v>
      </c>
      <c r="H17" s="65">
        <f>IF($A17="","",SUMPRODUCT((((MOVIMIENTOS!$B$5:$B$1005="SALDO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17)*MOVIMIENTOS!$J$5:$J$1005))</f>
        <v>3530.5</v>
      </c>
      <c r="I17" s="63"/>
      <c r="J17" s="63" t="str">
        <f>IF(AND(MOVIMIENTOS!$A17&lt;&gt;"",COUNTIF(MOVIMIENTOS!$A$5:$A16,MOVIMIENTOS!$A17)=0),COUNT(J$4:J16)+1,"")</f>
        <v/>
      </c>
      <c r="K17" s="66">
        <f>MOVIMIENTOS!$A17</f>
        <v>46215</v>
      </c>
      <c r="L17" s="63"/>
      <c r="M17" s="63"/>
      <c r="N17" s="63"/>
    </row>
    <row r="18" spans="1:14" ht="15" customHeight="1" x14ac:dyDescent="0.2">
      <c r="A18" s="64">
        <f t="shared" si="0"/>
        <v>46226</v>
      </c>
      <c r="B18" s="65">
        <f>IF($A18="","",SUMPRODUCT((MOVIMIENTOS!$B$5:$B$1005="SALDO INICIAL")*(MOVIMIENTOS!$C$5:$C$1005="A")*(MOVIMIENTOS!$D$5:$D$1005="jabas")*(MOVIMIENTOS!$A$5:$A$1005&lt;&gt;"")*(MOVIMIENTOS!$A$5:$A$1005&lt;=$A18)*MOVIMIENTOS!$E$5:$E$1005)+SUMPRODUCT((MOVIMIENTOS!$B$5:$B$1005="PROCESO")*(MOVIMIENTOS!$C$5:$C$1005="A")*(MOVIMIENTOS!$D$5:$D$1005="jabas")*(MOVIMIENTOS!$A$5:$A$1005&lt;&gt;"")*(MOVIMIENTOS!$A$5:$A$1005&lt;=$A18)*MOVIMIENTOS!$E$5:$E$1005)-SUMPRODUCT((MOVIMIENTOS!$B$5:$B$1005="ENVÍO A SUPESA")*(MOVIMIENTOS!$C$5:$C$1005="A")*(MOVIMIENTOS!$D$5:$D$1005="jabas")*(MOVIMIENTOS!$A$5:$A$1005&lt;&gt;"")*(MOVIMIENTOS!$A$5:$A$1005&lt;=$A18)*MOVIMIENTOS!$E$5:$E$1005)+SUMPRODUCT((MOVIMIENTOS!$B$5:$B$1005="DEVOLUCIÓN")*(MOVIMIENTOS!$C$5:$C$1005="A")*(MOVIMIENTOS!$D$5:$D$1005="jabas")*(MOVIMIENTOS!$A$5:$A$1005&lt;&gt;"")*(MOVIMIENTOS!$A$5:$A$1005&lt;=$A18)*MOVIMIENTOS!$E$5:$E$1005)-SUMPRODUCT((MOVIMIENTOS!$B$5:$B$1005="TRASIEGO")*(MOVIMIENTOS!$C$5:$C$1005="A")*(MOVIMIENTOS!$D$5:$D$1005="jabas")*(MOVIMIENTOS!$A$5:$A$1005&lt;&gt;"")*(MOVIMIENTOS!$A$5:$A$1005&lt;=$A18)*MOVIMIENTOS!$E$5:$E$1005)-SUMPRODUCT((MOVIMIENTOS!$B$5:$B$1005="REGALO")*(MOVIMIENTOS!$C$5:$C$1005="A")*(MOVIMIENTOS!$D$5:$D$1005="jabas")*(MOVIMIENTOS!$A$5:$A$1005&lt;&gt;"")*(MOVIMIENTOS!$A$5:$A$1005&lt;=$A18)*MOVIMIENTOS!$E$5:$E$1005)-SUMPRODUCT((MOVIMIENTOS!$B$5:$B$1005="VENTA")*(MOVIMIENTOS!$C$5:$C$1005="A")*(MOVIMIENTOS!$D$5:$D$1005="jabas")*(MOVIMIENTOS!$A$5:$A$1005&lt;&gt;"")*(MOVIMIENTOS!$A$5:$A$1005&lt;=$A18)*MOVIMIENTOS!$E$5:$E$1005)+SUMPRODUCT((MOVIMIENTOS!$B$5:$B$1005="AJUSTE")*(MOVIMIENTOS!$C$5:$C$1005="A")*(MOVIMIENTOS!$D$5:$D$1005="jabas")*(MOVIMIENTOS!$A$5:$A$1005&lt;&gt;"")*(MOVIMIENTOS!$A$5:$A$1005&lt;=$A18)*MOVIMIENTOS!$E$5:$E$1005))</f>
        <v>65</v>
      </c>
      <c r="C18" s="65">
        <f>IF($A18="","",SUMPRODUCT((MOVIMIENTOS!$B$5:$B$1005="SALDO INICIAL")*(MOVIMIENTOS!$C$5:$C$1005="P")*(MOVIMIENTOS!$D$5:$D$1005="jabas")*(MOVIMIENTOS!$A$5:$A$1005&lt;&gt;"")*(MOVIMIENTOS!$A$5:$A$1005&lt;=$A18)*MOVIMIENTOS!$E$5:$E$1005)+SUMPRODUCT((MOVIMIENTOS!$B$5:$B$1005="PROCESO")*(MOVIMIENTOS!$C$5:$C$1005="P")*(MOVIMIENTOS!$D$5:$D$1005="jabas")*(MOVIMIENTOS!$A$5:$A$1005&lt;&gt;"")*(MOVIMIENTOS!$A$5:$A$1005&lt;=$A18)*MOVIMIENTOS!$E$5:$E$1005)-SUMPRODUCT((MOVIMIENTOS!$B$5:$B$1005="ENVÍO A SUPESA")*(MOVIMIENTOS!$C$5:$C$1005="P")*(MOVIMIENTOS!$D$5:$D$1005="jabas")*(MOVIMIENTOS!$A$5:$A$1005&lt;&gt;"")*(MOVIMIENTOS!$A$5:$A$1005&lt;=$A18)*MOVIMIENTOS!$E$5:$E$1005)+SUMPRODUCT((MOVIMIENTOS!$B$5:$B$1005="DEVOLUCIÓN")*(MOVIMIENTOS!$C$5:$C$1005="P")*(MOVIMIENTOS!$D$5:$D$1005="jabas")*(MOVIMIENTOS!$A$5:$A$1005&lt;&gt;"")*(MOVIMIENTOS!$A$5:$A$1005&lt;=$A18)*MOVIMIENTOS!$E$5:$E$1005)-SUMPRODUCT((MOVIMIENTOS!$B$5:$B$1005="TRASIEGO")*(MOVIMIENTOS!$C$5:$C$1005="P")*(MOVIMIENTOS!$D$5:$D$1005="jabas")*(MOVIMIENTOS!$A$5:$A$1005&lt;&gt;"")*(MOVIMIENTOS!$A$5:$A$1005&lt;=$A18)*MOVIMIENTOS!$E$5:$E$1005)-SUMPRODUCT((MOVIMIENTOS!$B$5:$B$1005="REGALO")*(MOVIMIENTOS!$C$5:$C$1005="P")*(MOVIMIENTOS!$D$5:$D$1005="jabas")*(MOVIMIENTOS!$A$5:$A$1005&lt;&gt;"")*(MOVIMIENTOS!$A$5:$A$1005&lt;=$A18)*MOVIMIENTOS!$E$5:$E$1005)-SUMPRODUCT((MOVIMIENTOS!$B$5:$B$1005="VENTA")*(MOVIMIENTOS!$C$5:$C$1005="P")*(MOVIMIENTOS!$D$5:$D$1005="jabas")*(MOVIMIENTOS!$A$5:$A$1005&lt;&gt;"")*(MOVIMIENTOS!$A$5:$A$1005&lt;=$A18)*MOVIMIENTOS!$E$5:$E$1005)+SUMPRODUCT((MOVIMIENTOS!$B$5:$B$1005="AJUSTE")*(MOVIMIENTOS!$C$5:$C$1005="P")*(MOVIMIENTOS!$D$5:$D$1005="jabas")*(MOVIMIENTOS!$A$5:$A$1005&lt;&gt;"")*(MOVIMIENTOS!$A$5:$A$1005&lt;=$A18)*MOVIMIENTOS!$E$5:$E$1005))</f>
        <v>11</v>
      </c>
      <c r="D18" s="65">
        <f>IF($A18="","",SUMPRODUCT((MOVIMIENTOS!$B$5:$B$1005="SALDO INICIAL")*(MOVIMIENTOS!$C$5:$C$1005="C")*(MOVIMIENTOS!$D$5:$D$1005="jabas")*(MOVIMIENTOS!$A$5:$A$1005&lt;&gt;"")*(MOVIMIENTOS!$A$5:$A$1005&lt;=$A18)*MOVIMIENTOS!$E$5:$E$1005)+SUMPRODUCT((MOVIMIENTOS!$B$5:$B$1005="PROCESO")*(MOVIMIENTOS!$C$5:$C$1005="C")*(MOVIMIENTOS!$D$5:$D$1005="jabas")*(MOVIMIENTOS!$A$5:$A$1005&lt;&gt;"")*(MOVIMIENTOS!$A$5:$A$1005&lt;=$A18)*MOVIMIENTOS!$E$5:$E$1005)-SUMPRODUCT((MOVIMIENTOS!$B$5:$B$1005="ENVÍO A SUPESA")*(MOVIMIENTOS!$C$5:$C$1005="C")*(MOVIMIENTOS!$D$5:$D$1005="jabas")*(MOVIMIENTOS!$A$5:$A$1005&lt;&gt;"")*(MOVIMIENTOS!$A$5:$A$1005&lt;=$A18)*MOVIMIENTOS!$E$5:$E$1005)+SUMPRODUCT((MOVIMIENTOS!$B$5:$B$1005="DEVOLUCIÓN")*(MOVIMIENTOS!$C$5:$C$1005="C")*(MOVIMIENTOS!$D$5:$D$1005="jabas")*(MOVIMIENTOS!$A$5:$A$1005&lt;&gt;"")*(MOVIMIENTOS!$A$5:$A$1005&lt;=$A18)*MOVIMIENTOS!$E$5:$E$1005)-SUMPRODUCT((MOVIMIENTOS!$B$5:$B$1005="TRASIEGO")*(MOVIMIENTOS!$C$5:$C$1005="C")*(MOVIMIENTOS!$D$5:$D$1005="jabas")*(MOVIMIENTOS!$A$5:$A$1005&lt;&gt;"")*(MOVIMIENTOS!$A$5:$A$1005&lt;=$A18)*MOVIMIENTOS!$E$5:$E$1005)-SUMPRODUCT((MOVIMIENTOS!$B$5:$B$1005="REGALO")*(MOVIMIENTOS!$C$5:$C$1005="C")*(MOVIMIENTOS!$D$5:$D$1005="jabas")*(MOVIMIENTOS!$A$5:$A$1005&lt;&gt;"")*(MOVIMIENTOS!$A$5:$A$1005&lt;=$A18)*MOVIMIENTOS!$E$5:$E$1005)-SUMPRODUCT((MOVIMIENTOS!$B$5:$B$1005="VENTA")*(MOVIMIENTOS!$C$5:$C$1005="C")*(MOVIMIENTOS!$D$5:$D$1005="jabas")*(MOVIMIENTOS!$A$5:$A$1005&lt;&gt;"")*(MOVIMIENTOS!$A$5:$A$1005&lt;=$A18)*MOVIMIENTOS!$E$5:$E$1005)+SUMPRODUCT((MOVIMIENTOS!$B$5:$B$1005="AJUSTE")*(MOVIMIENTOS!$C$5:$C$1005="C")*(MOVIMIENTOS!$D$5:$D$1005="jabas")*(MOVIMIENTOS!$A$5:$A$1005&lt;&gt;"")*(MOVIMIENTOS!$A$5:$A$1005&lt;=$A18)*MOVIMIENTOS!$E$5:$E$1005))</f>
        <v>12</v>
      </c>
      <c r="E18" s="65">
        <f>IF($A18="","",SUMPRODUCT((MOVIMIENTOS!$B$5:$B$1005="SALDO INICIAL")*(MOVIMIENTOS!$C$5:$C$1005="M")*(MOVIMIENTOS!$D$5:$D$1005="jabas")*(MOVIMIENTOS!$A$5:$A$1005&lt;&gt;"")*(MOVIMIENTOS!$A$5:$A$1005&lt;=$A18)*MOVIMIENTOS!$E$5:$E$1005)+SUMPRODUCT((MOVIMIENTOS!$B$5:$B$1005="PROCESO")*(MOVIMIENTOS!$C$5:$C$1005="M")*(MOVIMIENTOS!$D$5:$D$1005="jabas")*(MOVIMIENTOS!$A$5:$A$1005&lt;&gt;"")*(MOVIMIENTOS!$A$5:$A$1005&lt;=$A18)*MOVIMIENTOS!$E$5:$E$1005)-SUMPRODUCT((MOVIMIENTOS!$B$5:$B$1005="ENVÍO A SUPESA")*(MOVIMIENTOS!$C$5:$C$1005="M")*(MOVIMIENTOS!$D$5:$D$1005="jabas")*(MOVIMIENTOS!$A$5:$A$1005&lt;&gt;"")*(MOVIMIENTOS!$A$5:$A$1005&lt;=$A18)*MOVIMIENTOS!$E$5:$E$1005)+SUMPRODUCT((MOVIMIENTOS!$B$5:$B$1005="DEVOLUCIÓN")*(MOVIMIENTOS!$C$5:$C$1005="M")*(MOVIMIENTOS!$D$5:$D$1005="jabas")*(MOVIMIENTOS!$A$5:$A$1005&lt;&gt;"")*(MOVIMIENTOS!$A$5:$A$1005&lt;=$A18)*MOVIMIENTOS!$E$5:$E$1005)-SUMPRODUCT((MOVIMIENTOS!$B$5:$B$1005="TRASIEGO")*(MOVIMIENTOS!$C$5:$C$1005="M")*(MOVIMIENTOS!$D$5:$D$1005="jabas")*(MOVIMIENTOS!$A$5:$A$1005&lt;&gt;"")*(MOVIMIENTOS!$A$5:$A$1005&lt;=$A18)*MOVIMIENTOS!$E$5:$E$1005)-SUMPRODUCT((MOVIMIENTOS!$B$5:$B$1005="REGALO")*(MOVIMIENTOS!$C$5:$C$1005="M")*(MOVIMIENTOS!$D$5:$D$1005="jabas")*(MOVIMIENTOS!$A$5:$A$1005&lt;&gt;"")*(MOVIMIENTOS!$A$5:$A$1005&lt;=$A18)*MOVIMIENTOS!$E$5:$E$1005)-SUMPRODUCT((MOVIMIENTOS!$B$5:$B$1005="VENTA")*(MOVIMIENTOS!$C$5:$C$1005="M")*(MOVIMIENTOS!$D$5:$D$1005="jabas")*(MOVIMIENTOS!$A$5:$A$1005&lt;&gt;"")*(MOVIMIENTOS!$A$5:$A$1005&lt;=$A18)*MOVIMIENTOS!$E$5:$E$1005)+SUMPRODUCT((MOVIMIENTOS!$B$5:$B$1005="AJUSTE")*(MOVIMIENTOS!$C$5:$C$1005="M")*(MOVIMIENTOS!$D$5:$D$1005="jabas")*(MOVIMIENTOS!$A$5:$A$1005&lt;&gt;"")*(MOVIMIENTOS!$A$5:$A$1005&lt;=$A18)*MOVIMIENTOS!$E$5:$E$1005))</f>
        <v>95</v>
      </c>
      <c r="F18" s="65">
        <f>IF($A18="","",SUMPRODUCT((MOVIMIENTOS!$B$5:$B$1005="SALDO INICIAL")*(MOVIMIENTOS!$C$5:$C$1005="Chancho")*(MOVIMIENTOS!$D$5:$D$1005="sacos")*(MOVIMIENTOS!$A$5:$A$1005&lt;&gt;"")*(MOVIMIENTOS!$A$5:$A$1005&lt;=$A18)*MOVIMIENTOS!$E$5:$E$1005)+SUMPRODUCT((MOVIMIENTOS!$B$5:$B$1005="PROCESO")*(MOVIMIENTOS!$C$5:$C$1005="Chancho")*(MOVIMIENTOS!$D$5:$D$1005="sacos")*(MOVIMIENTOS!$A$5:$A$1005&lt;&gt;"")*(MOVIMIENTOS!$A$5:$A$1005&lt;=$A18)*MOVIMIENTOS!$E$5:$E$1005)-SUMPRODUCT((MOVIMIENTOS!$B$5:$B$1005="VENTA CHANCHO")*(MOVIMIENTOS!$C$5:$C$1005="Chancho")*(MOVIMIENTOS!$D$5:$D$1005="sacos")*(MOVIMIENTOS!$A$5:$A$1005&lt;&gt;"")*(MOVIMIENTOS!$A$5:$A$1005&lt;=$A18)*MOVIMIENTOS!$E$5:$E$1005)-SUMPRODUCT((MOVIMIENTOS!$B$5:$B$1005="REGALO")*(MOVIMIENTOS!$C$5:$C$1005="Chancho")*(MOVIMIENTOS!$D$5:$D$1005="sacos")*(MOVIMIENTOS!$A$5:$A$1005&lt;&gt;"")*(MOVIMIENTOS!$A$5:$A$1005&lt;=$A18)*MOVIMIENTOS!$E$5:$E$1005)-SUMPRODUCT((MOVIMIENTOS!$B$5:$B$1005="VENTA")*(MOVIMIENTOS!$C$5:$C$1005="Chancho")*(MOVIMIENTOS!$D$5:$D$1005="sacos")*(MOVIMIENTOS!$A$5:$A$1005&lt;&gt;"")*(MOVIMIENTOS!$A$5:$A$1005&lt;=$A18)*MOVIMIENTOS!$E$5:$E$1005)+SUMPRODUCT((MOVIMIENTOS!$B$5:$B$1005="AJUSTE")*(MOVIMIENTOS!$C$5:$C$1005="Chancho")*(MOVIMIENTOS!$D$5:$D$1005="sacos")*(MOVIMIENTOS!$A$5:$A$1005&lt;&gt;"")*(MOVIMIENTOS!$A$5:$A$1005&lt;=$A18)*MOVIMIENTOS!$E$5:$E$1005))</f>
        <v>18</v>
      </c>
      <c r="G18" s="77">
        <f t="shared" si="1"/>
        <v>183</v>
      </c>
      <c r="H18" s="65">
        <f>IF($A18="","",SUMPRODUCT((((MOVIMIENTOS!$B$5:$B$1005="SALDO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18)*MOVIMIENTOS!$J$5:$J$1005))</f>
        <v>3367</v>
      </c>
      <c r="I18" s="63"/>
      <c r="J18" s="63" t="str">
        <f>IF(AND(MOVIMIENTOS!$A18&lt;&gt;"",COUNTIF(MOVIMIENTOS!$A$5:$A17,MOVIMIENTOS!$A18)=0),COUNT(J$4:J17)+1,"")</f>
        <v/>
      </c>
      <c r="K18" s="66">
        <f>MOVIMIENTOS!$A18</f>
        <v>46215</v>
      </c>
      <c r="L18" s="63"/>
      <c r="M18" s="63"/>
      <c r="N18" s="63"/>
    </row>
    <row r="19" spans="1:14" ht="15" customHeight="1" x14ac:dyDescent="0.2">
      <c r="A19" s="64">
        <f t="shared" si="0"/>
        <v>46227</v>
      </c>
      <c r="B19" s="65">
        <f>IF($A19="","",SUMPRODUCT((MOVIMIENTOS!$B$5:$B$1005="SALDO INICIAL")*(MOVIMIENTOS!$C$5:$C$1005="A")*(MOVIMIENTOS!$D$5:$D$1005="jabas")*(MOVIMIENTOS!$A$5:$A$1005&lt;&gt;"")*(MOVIMIENTOS!$A$5:$A$1005&lt;=$A19)*MOVIMIENTOS!$E$5:$E$1005)+SUMPRODUCT((MOVIMIENTOS!$B$5:$B$1005="PROCESO")*(MOVIMIENTOS!$C$5:$C$1005="A")*(MOVIMIENTOS!$D$5:$D$1005="jabas")*(MOVIMIENTOS!$A$5:$A$1005&lt;&gt;"")*(MOVIMIENTOS!$A$5:$A$1005&lt;=$A19)*MOVIMIENTOS!$E$5:$E$1005)-SUMPRODUCT((MOVIMIENTOS!$B$5:$B$1005="ENVÍO A SUPESA")*(MOVIMIENTOS!$C$5:$C$1005="A")*(MOVIMIENTOS!$D$5:$D$1005="jabas")*(MOVIMIENTOS!$A$5:$A$1005&lt;&gt;"")*(MOVIMIENTOS!$A$5:$A$1005&lt;=$A19)*MOVIMIENTOS!$E$5:$E$1005)+SUMPRODUCT((MOVIMIENTOS!$B$5:$B$1005="DEVOLUCIÓN")*(MOVIMIENTOS!$C$5:$C$1005="A")*(MOVIMIENTOS!$D$5:$D$1005="jabas")*(MOVIMIENTOS!$A$5:$A$1005&lt;&gt;"")*(MOVIMIENTOS!$A$5:$A$1005&lt;=$A19)*MOVIMIENTOS!$E$5:$E$1005)-SUMPRODUCT((MOVIMIENTOS!$B$5:$B$1005="TRASIEGO")*(MOVIMIENTOS!$C$5:$C$1005="A")*(MOVIMIENTOS!$D$5:$D$1005="jabas")*(MOVIMIENTOS!$A$5:$A$1005&lt;&gt;"")*(MOVIMIENTOS!$A$5:$A$1005&lt;=$A19)*MOVIMIENTOS!$E$5:$E$1005)-SUMPRODUCT((MOVIMIENTOS!$B$5:$B$1005="REGALO")*(MOVIMIENTOS!$C$5:$C$1005="A")*(MOVIMIENTOS!$D$5:$D$1005="jabas")*(MOVIMIENTOS!$A$5:$A$1005&lt;&gt;"")*(MOVIMIENTOS!$A$5:$A$1005&lt;=$A19)*MOVIMIENTOS!$E$5:$E$1005)-SUMPRODUCT((MOVIMIENTOS!$B$5:$B$1005="VENTA")*(MOVIMIENTOS!$C$5:$C$1005="A")*(MOVIMIENTOS!$D$5:$D$1005="jabas")*(MOVIMIENTOS!$A$5:$A$1005&lt;&gt;"")*(MOVIMIENTOS!$A$5:$A$1005&lt;=$A19)*MOVIMIENTOS!$E$5:$E$1005)+SUMPRODUCT((MOVIMIENTOS!$B$5:$B$1005="AJUSTE")*(MOVIMIENTOS!$C$5:$C$1005="A")*(MOVIMIENTOS!$D$5:$D$1005="jabas")*(MOVIMIENTOS!$A$5:$A$1005&lt;&gt;"")*(MOVIMIENTOS!$A$5:$A$1005&lt;=$A19)*MOVIMIENTOS!$E$5:$E$1005))</f>
        <v>46</v>
      </c>
      <c r="C19" s="65">
        <f>IF($A19="","",SUMPRODUCT((MOVIMIENTOS!$B$5:$B$1005="SALDO INICIAL")*(MOVIMIENTOS!$C$5:$C$1005="P")*(MOVIMIENTOS!$D$5:$D$1005="jabas")*(MOVIMIENTOS!$A$5:$A$1005&lt;&gt;"")*(MOVIMIENTOS!$A$5:$A$1005&lt;=$A19)*MOVIMIENTOS!$E$5:$E$1005)+SUMPRODUCT((MOVIMIENTOS!$B$5:$B$1005="PROCESO")*(MOVIMIENTOS!$C$5:$C$1005="P")*(MOVIMIENTOS!$D$5:$D$1005="jabas")*(MOVIMIENTOS!$A$5:$A$1005&lt;&gt;"")*(MOVIMIENTOS!$A$5:$A$1005&lt;=$A19)*MOVIMIENTOS!$E$5:$E$1005)-SUMPRODUCT((MOVIMIENTOS!$B$5:$B$1005="ENVÍO A SUPESA")*(MOVIMIENTOS!$C$5:$C$1005="P")*(MOVIMIENTOS!$D$5:$D$1005="jabas")*(MOVIMIENTOS!$A$5:$A$1005&lt;&gt;"")*(MOVIMIENTOS!$A$5:$A$1005&lt;=$A19)*MOVIMIENTOS!$E$5:$E$1005)+SUMPRODUCT((MOVIMIENTOS!$B$5:$B$1005="DEVOLUCIÓN")*(MOVIMIENTOS!$C$5:$C$1005="P")*(MOVIMIENTOS!$D$5:$D$1005="jabas")*(MOVIMIENTOS!$A$5:$A$1005&lt;&gt;"")*(MOVIMIENTOS!$A$5:$A$1005&lt;=$A19)*MOVIMIENTOS!$E$5:$E$1005)-SUMPRODUCT((MOVIMIENTOS!$B$5:$B$1005="TRASIEGO")*(MOVIMIENTOS!$C$5:$C$1005="P")*(MOVIMIENTOS!$D$5:$D$1005="jabas")*(MOVIMIENTOS!$A$5:$A$1005&lt;&gt;"")*(MOVIMIENTOS!$A$5:$A$1005&lt;=$A19)*MOVIMIENTOS!$E$5:$E$1005)-SUMPRODUCT((MOVIMIENTOS!$B$5:$B$1005="REGALO")*(MOVIMIENTOS!$C$5:$C$1005="P")*(MOVIMIENTOS!$D$5:$D$1005="jabas")*(MOVIMIENTOS!$A$5:$A$1005&lt;&gt;"")*(MOVIMIENTOS!$A$5:$A$1005&lt;=$A19)*MOVIMIENTOS!$E$5:$E$1005)-SUMPRODUCT((MOVIMIENTOS!$B$5:$B$1005="VENTA")*(MOVIMIENTOS!$C$5:$C$1005="P")*(MOVIMIENTOS!$D$5:$D$1005="jabas")*(MOVIMIENTOS!$A$5:$A$1005&lt;&gt;"")*(MOVIMIENTOS!$A$5:$A$1005&lt;=$A19)*MOVIMIENTOS!$E$5:$E$1005)+SUMPRODUCT((MOVIMIENTOS!$B$5:$B$1005="AJUSTE")*(MOVIMIENTOS!$C$5:$C$1005="P")*(MOVIMIENTOS!$D$5:$D$1005="jabas")*(MOVIMIENTOS!$A$5:$A$1005&lt;&gt;"")*(MOVIMIENTOS!$A$5:$A$1005&lt;=$A19)*MOVIMIENTOS!$E$5:$E$1005))</f>
        <v>3</v>
      </c>
      <c r="D19" s="65">
        <f>IF($A19="","",SUMPRODUCT((MOVIMIENTOS!$B$5:$B$1005="SALDO INICIAL")*(MOVIMIENTOS!$C$5:$C$1005="C")*(MOVIMIENTOS!$D$5:$D$1005="jabas")*(MOVIMIENTOS!$A$5:$A$1005&lt;&gt;"")*(MOVIMIENTOS!$A$5:$A$1005&lt;=$A19)*MOVIMIENTOS!$E$5:$E$1005)+SUMPRODUCT((MOVIMIENTOS!$B$5:$B$1005="PROCESO")*(MOVIMIENTOS!$C$5:$C$1005="C")*(MOVIMIENTOS!$D$5:$D$1005="jabas")*(MOVIMIENTOS!$A$5:$A$1005&lt;&gt;"")*(MOVIMIENTOS!$A$5:$A$1005&lt;=$A19)*MOVIMIENTOS!$E$5:$E$1005)-SUMPRODUCT((MOVIMIENTOS!$B$5:$B$1005="ENVÍO A SUPESA")*(MOVIMIENTOS!$C$5:$C$1005="C")*(MOVIMIENTOS!$D$5:$D$1005="jabas")*(MOVIMIENTOS!$A$5:$A$1005&lt;&gt;"")*(MOVIMIENTOS!$A$5:$A$1005&lt;=$A19)*MOVIMIENTOS!$E$5:$E$1005)+SUMPRODUCT((MOVIMIENTOS!$B$5:$B$1005="DEVOLUCIÓN")*(MOVIMIENTOS!$C$5:$C$1005="C")*(MOVIMIENTOS!$D$5:$D$1005="jabas")*(MOVIMIENTOS!$A$5:$A$1005&lt;&gt;"")*(MOVIMIENTOS!$A$5:$A$1005&lt;=$A19)*MOVIMIENTOS!$E$5:$E$1005)-SUMPRODUCT((MOVIMIENTOS!$B$5:$B$1005="TRASIEGO")*(MOVIMIENTOS!$C$5:$C$1005="C")*(MOVIMIENTOS!$D$5:$D$1005="jabas")*(MOVIMIENTOS!$A$5:$A$1005&lt;&gt;"")*(MOVIMIENTOS!$A$5:$A$1005&lt;=$A19)*MOVIMIENTOS!$E$5:$E$1005)-SUMPRODUCT((MOVIMIENTOS!$B$5:$B$1005="REGALO")*(MOVIMIENTOS!$C$5:$C$1005="C")*(MOVIMIENTOS!$D$5:$D$1005="jabas")*(MOVIMIENTOS!$A$5:$A$1005&lt;&gt;"")*(MOVIMIENTOS!$A$5:$A$1005&lt;=$A19)*MOVIMIENTOS!$E$5:$E$1005)-SUMPRODUCT((MOVIMIENTOS!$B$5:$B$1005="VENTA")*(MOVIMIENTOS!$C$5:$C$1005="C")*(MOVIMIENTOS!$D$5:$D$1005="jabas")*(MOVIMIENTOS!$A$5:$A$1005&lt;&gt;"")*(MOVIMIENTOS!$A$5:$A$1005&lt;=$A19)*MOVIMIENTOS!$E$5:$E$1005)+SUMPRODUCT((MOVIMIENTOS!$B$5:$B$1005="AJUSTE")*(MOVIMIENTOS!$C$5:$C$1005="C")*(MOVIMIENTOS!$D$5:$D$1005="jabas")*(MOVIMIENTOS!$A$5:$A$1005&lt;&gt;"")*(MOVIMIENTOS!$A$5:$A$1005&lt;=$A19)*MOVIMIENTOS!$E$5:$E$1005))</f>
        <v>5</v>
      </c>
      <c r="E19" s="65">
        <f>IF($A19="","",SUMPRODUCT((MOVIMIENTOS!$B$5:$B$1005="SALDO INICIAL")*(MOVIMIENTOS!$C$5:$C$1005="M")*(MOVIMIENTOS!$D$5:$D$1005="jabas")*(MOVIMIENTOS!$A$5:$A$1005&lt;&gt;"")*(MOVIMIENTOS!$A$5:$A$1005&lt;=$A19)*MOVIMIENTOS!$E$5:$E$1005)+SUMPRODUCT((MOVIMIENTOS!$B$5:$B$1005="PROCESO")*(MOVIMIENTOS!$C$5:$C$1005="M")*(MOVIMIENTOS!$D$5:$D$1005="jabas")*(MOVIMIENTOS!$A$5:$A$1005&lt;&gt;"")*(MOVIMIENTOS!$A$5:$A$1005&lt;=$A19)*MOVIMIENTOS!$E$5:$E$1005)-SUMPRODUCT((MOVIMIENTOS!$B$5:$B$1005="ENVÍO A SUPESA")*(MOVIMIENTOS!$C$5:$C$1005="M")*(MOVIMIENTOS!$D$5:$D$1005="jabas")*(MOVIMIENTOS!$A$5:$A$1005&lt;&gt;"")*(MOVIMIENTOS!$A$5:$A$1005&lt;=$A19)*MOVIMIENTOS!$E$5:$E$1005)+SUMPRODUCT((MOVIMIENTOS!$B$5:$B$1005="DEVOLUCIÓN")*(MOVIMIENTOS!$C$5:$C$1005="M")*(MOVIMIENTOS!$D$5:$D$1005="jabas")*(MOVIMIENTOS!$A$5:$A$1005&lt;&gt;"")*(MOVIMIENTOS!$A$5:$A$1005&lt;=$A19)*MOVIMIENTOS!$E$5:$E$1005)-SUMPRODUCT((MOVIMIENTOS!$B$5:$B$1005="TRASIEGO")*(MOVIMIENTOS!$C$5:$C$1005="M")*(MOVIMIENTOS!$D$5:$D$1005="jabas")*(MOVIMIENTOS!$A$5:$A$1005&lt;&gt;"")*(MOVIMIENTOS!$A$5:$A$1005&lt;=$A19)*MOVIMIENTOS!$E$5:$E$1005)-SUMPRODUCT((MOVIMIENTOS!$B$5:$B$1005="REGALO")*(MOVIMIENTOS!$C$5:$C$1005="M")*(MOVIMIENTOS!$D$5:$D$1005="jabas")*(MOVIMIENTOS!$A$5:$A$1005&lt;&gt;"")*(MOVIMIENTOS!$A$5:$A$1005&lt;=$A19)*MOVIMIENTOS!$E$5:$E$1005)-SUMPRODUCT((MOVIMIENTOS!$B$5:$B$1005="VENTA")*(MOVIMIENTOS!$C$5:$C$1005="M")*(MOVIMIENTOS!$D$5:$D$1005="jabas")*(MOVIMIENTOS!$A$5:$A$1005&lt;&gt;"")*(MOVIMIENTOS!$A$5:$A$1005&lt;=$A19)*MOVIMIENTOS!$E$5:$E$1005)+SUMPRODUCT((MOVIMIENTOS!$B$5:$B$1005="AJUSTE")*(MOVIMIENTOS!$C$5:$C$1005="M")*(MOVIMIENTOS!$D$5:$D$1005="jabas")*(MOVIMIENTOS!$A$5:$A$1005&lt;&gt;"")*(MOVIMIENTOS!$A$5:$A$1005&lt;=$A19)*MOVIMIENTOS!$E$5:$E$1005))</f>
        <v>72</v>
      </c>
      <c r="F19" s="65">
        <f>IF($A19="","",SUMPRODUCT((MOVIMIENTOS!$B$5:$B$1005="SALDO INICIAL")*(MOVIMIENTOS!$C$5:$C$1005="Chancho")*(MOVIMIENTOS!$D$5:$D$1005="sacos")*(MOVIMIENTOS!$A$5:$A$1005&lt;&gt;"")*(MOVIMIENTOS!$A$5:$A$1005&lt;=$A19)*MOVIMIENTOS!$E$5:$E$1005)+SUMPRODUCT((MOVIMIENTOS!$B$5:$B$1005="PROCESO")*(MOVIMIENTOS!$C$5:$C$1005="Chancho")*(MOVIMIENTOS!$D$5:$D$1005="sacos")*(MOVIMIENTOS!$A$5:$A$1005&lt;&gt;"")*(MOVIMIENTOS!$A$5:$A$1005&lt;=$A19)*MOVIMIENTOS!$E$5:$E$1005)-SUMPRODUCT((MOVIMIENTOS!$B$5:$B$1005="VENTA CHANCHO")*(MOVIMIENTOS!$C$5:$C$1005="Chancho")*(MOVIMIENTOS!$D$5:$D$1005="sacos")*(MOVIMIENTOS!$A$5:$A$1005&lt;&gt;"")*(MOVIMIENTOS!$A$5:$A$1005&lt;=$A19)*MOVIMIENTOS!$E$5:$E$1005)-SUMPRODUCT((MOVIMIENTOS!$B$5:$B$1005="REGALO")*(MOVIMIENTOS!$C$5:$C$1005="Chancho")*(MOVIMIENTOS!$D$5:$D$1005="sacos")*(MOVIMIENTOS!$A$5:$A$1005&lt;&gt;"")*(MOVIMIENTOS!$A$5:$A$1005&lt;=$A19)*MOVIMIENTOS!$E$5:$E$1005)-SUMPRODUCT((MOVIMIENTOS!$B$5:$B$1005="VENTA")*(MOVIMIENTOS!$C$5:$C$1005="Chancho")*(MOVIMIENTOS!$D$5:$D$1005="sacos")*(MOVIMIENTOS!$A$5:$A$1005&lt;&gt;"")*(MOVIMIENTOS!$A$5:$A$1005&lt;=$A19)*MOVIMIENTOS!$E$5:$E$1005)+SUMPRODUCT((MOVIMIENTOS!$B$5:$B$1005="AJUSTE")*(MOVIMIENTOS!$C$5:$C$1005="Chancho")*(MOVIMIENTOS!$D$5:$D$1005="sacos")*(MOVIMIENTOS!$A$5:$A$1005&lt;&gt;"")*(MOVIMIENTOS!$A$5:$A$1005&lt;=$A19)*MOVIMIENTOS!$E$5:$E$1005))</f>
        <v>14</v>
      </c>
      <c r="G19" s="77">
        <f t="shared" si="1"/>
        <v>126</v>
      </c>
      <c r="H19" s="65">
        <f>IF($A19="","",SUMPRODUCT((((MOVIMIENTOS!$B$5:$B$1005="SALDO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19)*MOVIMIENTOS!$J$5:$J$1005))</f>
        <v>3516</v>
      </c>
      <c r="I19" s="63"/>
      <c r="J19" s="63">
        <f>IF(AND(MOVIMIENTOS!$A19&lt;&gt;"",COUNTIF(MOVIMIENTOS!$A$5:$A18,MOVIMIENTOS!$A19)=0),COUNT(J$4:J18)+1,"")</f>
        <v>4</v>
      </c>
      <c r="K19" s="66">
        <f>MOVIMIENTOS!$A19</f>
        <v>46216</v>
      </c>
      <c r="L19" s="63"/>
      <c r="M19" s="63"/>
      <c r="N19" s="63"/>
    </row>
    <row r="20" spans="1:14" ht="15" customHeight="1" x14ac:dyDescent="0.2">
      <c r="A20" s="64">
        <f t="shared" si="0"/>
        <v>46228</v>
      </c>
      <c r="B20" s="65">
        <f>IF($A20="","",SUMPRODUCT((MOVIMIENTOS!$B$5:$B$1005="SALDO INICIAL")*(MOVIMIENTOS!$C$5:$C$1005="A")*(MOVIMIENTOS!$D$5:$D$1005="jabas")*(MOVIMIENTOS!$A$5:$A$1005&lt;&gt;"")*(MOVIMIENTOS!$A$5:$A$1005&lt;=$A20)*MOVIMIENTOS!$E$5:$E$1005)+SUMPRODUCT((MOVIMIENTOS!$B$5:$B$1005="PROCESO")*(MOVIMIENTOS!$C$5:$C$1005="A")*(MOVIMIENTOS!$D$5:$D$1005="jabas")*(MOVIMIENTOS!$A$5:$A$1005&lt;&gt;"")*(MOVIMIENTOS!$A$5:$A$1005&lt;=$A20)*MOVIMIENTOS!$E$5:$E$1005)-SUMPRODUCT((MOVIMIENTOS!$B$5:$B$1005="ENVÍO A SUPESA")*(MOVIMIENTOS!$C$5:$C$1005="A")*(MOVIMIENTOS!$D$5:$D$1005="jabas")*(MOVIMIENTOS!$A$5:$A$1005&lt;&gt;"")*(MOVIMIENTOS!$A$5:$A$1005&lt;=$A20)*MOVIMIENTOS!$E$5:$E$1005)+SUMPRODUCT((MOVIMIENTOS!$B$5:$B$1005="DEVOLUCIÓN")*(MOVIMIENTOS!$C$5:$C$1005="A")*(MOVIMIENTOS!$D$5:$D$1005="jabas")*(MOVIMIENTOS!$A$5:$A$1005&lt;&gt;"")*(MOVIMIENTOS!$A$5:$A$1005&lt;=$A20)*MOVIMIENTOS!$E$5:$E$1005)-SUMPRODUCT((MOVIMIENTOS!$B$5:$B$1005="TRASIEGO")*(MOVIMIENTOS!$C$5:$C$1005="A")*(MOVIMIENTOS!$D$5:$D$1005="jabas")*(MOVIMIENTOS!$A$5:$A$1005&lt;&gt;"")*(MOVIMIENTOS!$A$5:$A$1005&lt;=$A20)*MOVIMIENTOS!$E$5:$E$1005)-SUMPRODUCT((MOVIMIENTOS!$B$5:$B$1005="REGALO")*(MOVIMIENTOS!$C$5:$C$1005="A")*(MOVIMIENTOS!$D$5:$D$1005="jabas")*(MOVIMIENTOS!$A$5:$A$1005&lt;&gt;"")*(MOVIMIENTOS!$A$5:$A$1005&lt;=$A20)*MOVIMIENTOS!$E$5:$E$1005)-SUMPRODUCT((MOVIMIENTOS!$B$5:$B$1005="VENTA")*(MOVIMIENTOS!$C$5:$C$1005="A")*(MOVIMIENTOS!$D$5:$D$1005="jabas")*(MOVIMIENTOS!$A$5:$A$1005&lt;&gt;"")*(MOVIMIENTOS!$A$5:$A$1005&lt;=$A20)*MOVIMIENTOS!$E$5:$E$1005)+SUMPRODUCT((MOVIMIENTOS!$B$5:$B$1005="AJUSTE")*(MOVIMIENTOS!$C$5:$C$1005="A")*(MOVIMIENTOS!$D$5:$D$1005="jabas")*(MOVIMIENTOS!$A$5:$A$1005&lt;&gt;"")*(MOVIMIENTOS!$A$5:$A$1005&lt;=$A20)*MOVIMIENTOS!$E$5:$E$1005))</f>
        <v>75</v>
      </c>
      <c r="C20" s="65">
        <f>IF($A20="","",SUMPRODUCT((MOVIMIENTOS!$B$5:$B$1005="SALDO INICIAL")*(MOVIMIENTOS!$C$5:$C$1005="P")*(MOVIMIENTOS!$D$5:$D$1005="jabas")*(MOVIMIENTOS!$A$5:$A$1005&lt;&gt;"")*(MOVIMIENTOS!$A$5:$A$1005&lt;=$A20)*MOVIMIENTOS!$E$5:$E$1005)+SUMPRODUCT((MOVIMIENTOS!$B$5:$B$1005="PROCESO")*(MOVIMIENTOS!$C$5:$C$1005="P")*(MOVIMIENTOS!$D$5:$D$1005="jabas")*(MOVIMIENTOS!$A$5:$A$1005&lt;&gt;"")*(MOVIMIENTOS!$A$5:$A$1005&lt;=$A20)*MOVIMIENTOS!$E$5:$E$1005)-SUMPRODUCT((MOVIMIENTOS!$B$5:$B$1005="ENVÍO A SUPESA")*(MOVIMIENTOS!$C$5:$C$1005="P")*(MOVIMIENTOS!$D$5:$D$1005="jabas")*(MOVIMIENTOS!$A$5:$A$1005&lt;&gt;"")*(MOVIMIENTOS!$A$5:$A$1005&lt;=$A20)*MOVIMIENTOS!$E$5:$E$1005)+SUMPRODUCT((MOVIMIENTOS!$B$5:$B$1005="DEVOLUCIÓN")*(MOVIMIENTOS!$C$5:$C$1005="P")*(MOVIMIENTOS!$D$5:$D$1005="jabas")*(MOVIMIENTOS!$A$5:$A$1005&lt;&gt;"")*(MOVIMIENTOS!$A$5:$A$1005&lt;=$A20)*MOVIMIENTOS!$E$5:$E$1005)-SUMPRODUCT((MOVIMIENTOS!$B$5:$B$1005="TRASIEGO")*(MOVIMIENTOS!$C$5:$C$1005="P")*(MOVIMIENTOS!$D$5:$D$1005="jabas")*(MOVIMIENTOS!$A$5:$A$1005&lt;&gt;"")*(MOVIMIENTOS!$A$5:$A$1005&lt;=$A20)*MOVIMIENTOS!$E$5:$E$1005)-SUMPRODUCT((MOVIMIENTOS!$B$5:$B$1005="REGALO")*(MOVIMIENTOS!$C$5:$C$1005="P")*(MOVIMIENTOS!$D$5:$D$1005="jabas")*(MOVIMIENTOS!$A$5:$A$1005&lt;&gt;"")*(MOVIMIENTOS!$A$5:$A$1005&lt;=$A20)*MOVIMIENTOS!$E$5:$E$1005)-SUMPRODUCT((MOVIMIENTOS!$B$5:$B$1005="VENTA")*(MOVIMIENTOS!$C$5:$C$1005="P")*(MOVIMIENTOS!$D$5:$D$1005="jabas")*(MOVIMIENTOS!$A$5:$A$1005&lt;&gt;"")*(MOVIMIENTOS!$A$5:$A$1005&lt;=$A20)*MOVIMIENTOS!$E$5:$E$1005)+SUMPRODUCT((MOVIMIENTOS!$B$5:$B$1005="AJUSTE")*(MOVIMIENTOS!$C$5:$C$1005="P")*(MOVIMIENTOS!$D$5:$D$1005="jabas")*(MOVIMIENTOS!$A$5:$A$1005&lt;&gt;"")*(MOVIMIENTOS!$A$5:$A$1005&lt;=$A20)*MOVIMIENTOS!$E$5:$E$1005))</f>
        <v>20</v>
      </c>
      <c r="D20" s="65">
        <f>IF($A20="","",SUMPRODUCT((MOVIMIENTOS!$B$5:$B$1005="SALDO INICIAL")*(MOVIMIENTOS!$C$5:$C$1005="C")*(MOVIMIENTOS!$D$5:$D$1005="jabas")*(MOVIMIENTOS!$A$5:$A$1005&lt;&gt;"")*(MOVIMIENTOS!$A$5:$A$1005&lt;=$A20)*MOVIMIENTOS!$E$5:$E$1005)+SUMPRODUCT((MOVIMIENTOS!$B$5:$B$1005="PROCESO")*(MOVIMIENTOS!$C$5:$C$1005="C")*(MOVIMIENTOS!$D$5:$D$1005="jabas")*(MOVIMIENTOS!$A$5:$A$1005&lt;&gt;"")*(MOVIMIENTOS!$A$5:$A$1005&lt;=$A20)*MOVIMIENTOS!$E$5:$E$1005)-SUMPRODUCT((MOVIMIENTOS!$B$5:$B$1005="ENVÍO A SUPESA")*(MOVIMIENTOS!$C$5:$C$1005="C")*(MOVIMIENTOS!$D$5:$D$1005="jabas")*(MOVIMIENTOS!$A$5:$A$1005&lt;&gt;"")*(MOVIMIENTOS!$A$5:$A$1005&lt;=$A20)*MOVIMIENTOS!$E$5:$E$1005)+SUMPRODUCT((MOVIMIENTOS!$B$5:$B$1005="DEVOLUCIÓN")*(MOVIMIENTOS!$C$5:$C$1005="C")*(MOVIMIENTOS!$D$5:$D$1005="jabas")*(MOVIMIENTOS!$A$5:$A$1005&lt;&gt;"")*(MOVIMIENTOS!$A$5:$A$1005&lt;=$A20)*MOVIMIENTOS!$E$5:$E$1005)-SUMPRODUCT((MOVIMIENTOS!$B$5:$B$1005="TRASIEGO")*(MOVIMIENTOS!$C$5:$C$1005="C")*(MOVIMIENTOS!$D$5:$D$1005="jabas")*(MOVIMIENTOS!$A$5:$A$1005&lt;&gt;"")*(MOVIMIENTOS!$A$5:$A$1005&lt;=$A20)*MOVIMIENTOS!$E$5:$E$1005)-SUMPRODUCT((MOVIMIENTOS!$B$5:$B$1005="REGALO")*(MOVIMIENTOS!$C$5:$C$1005="C")*(MOVIMIENTOS!$D$5:$D$1005="jabas")*(MOVIMIENTOS!$A$5:$A$1005&lt;&gt;"")*(MOVIMIENTOS!$A$5:$A$1005&lt;=$A20)*MOVIMIENTOS!$E$5:$E$1005)-SUMPRODUCT((MOVIMIENTOS!$B$5:$B$1005="VENTA")*(MOVIMIENTOS!$C$5:$C$1005="C")*(MOVIMIENTOS!$D$5:$D$1005="jabas")*(MOVIMIENTOS!$A$5:$A$1005&lt;&gt;"")*(MOVIMIENTOS!$A$5:$A$1005&lt;=$A20)*MOVIMIENTOS!$E$5:$E$1005)+SUMPRODUCT((MOVIMIENTOS!$B$5:$B$1005="AJUSTE")*(MOVIMIENTOS!$C$5:$C$1005="C")*(MOVIMIENTOS!$D$5:$D$1005="jabas")*(MOVIMIENTOS!$A$5:$A$1005&lt;&gt;"")*(MOVIMIENTOS!$A$5:$A$1005&lt;=$A20)*MOVIMIENTOS!$E$5:$E$1005))</f>
        <v>12</v>
      </c>
      <c r="E20" s="65">
        <f>IF($A20="","",SUMPRODUCT((MOVIMIENTOS!$B$5:$B$1005="SALDO INICIAL")*(MOVIMIENTOS!$C$5:$C$1005="M")*(MOVIMIENTOS!$D$5:$D$1005="jabas")*(MOVIMIENTOS!$A$5:$A$1005&lt;&gt;"")*(MOVIMIENTOS!$A$5:$A$1005&lt;=$A20)*MOVIMIENTOS!$E$5:$E$1005)+SUMPRODUCT((MOVIMIENTOS!$B$5:$B$1005="PROCESO")*(MOVIMIENTOS!$C$5:$C$1005="M")*(MOVIMIENTOS!$D$5:$D$1005="jabas")*(MOVIMIENTOS!$A$5:$A$1005&lt;&gt;"")*(MOVIMIENTOS!$A$5:$A$1005&lt;=$A20)*MOVIMIENTOS!$E$5:$E$1005)-SUMPRODUCT((MOVIMIENTOS!$B$5:$B$1005="ENVÍO A SUPESA")*(MOVIMIENTOS!$C$5:$C$1005="M")*(MOVIMIENTOS!$D$5:$D$1005="jabas")*(MOVIMIENTOS!$A$5:$A$1005&lt;&gt;"")*(MOVIMIENTOS!$A$5:$A$1005&lt;=$A20)*MOVIMIENTOS!$E$5:$E$1005)+SUMPRODUCT((MOVIMIENTOS!$B$5:$B$1005="DEVOLUCIÓN")*(MOVIMIENTOS!$C$5:$C$1005="M")*(MOVIMIENTOS!$D$5:$D$1005="jabas")*(MOVIMIENTOS!$A$5:$A$1005&lt;&gt;"")*(MOVIMIENTOS!$A$5:$A$1005&lt;=$A20)*MOVIMIENTOS!$E$5:$E$1005)-SUMPRODUCT((MOVIMIENTOS!$B$5:$B$1005="TRASIEGO")*(MOVIMIENTOS!$C$5:$C$1005="M")*(MOVIMIENTOS!$D$5:$D$1005="jabas")*(MOVIMIENTOS!$A$5:$A$1005&lt;&gt;"")*(MOVIMIENTOS!$A$5:$A$1005&lt;=$A20)*MOVIMIENTOS!$E$5:$E$1005)-SUMPRODUCT((MOVIMIENTOS!$B$5:$B$1005="REGALO")*(MOVIMIENTOS!$C$5:$C$1005="M")*(MOVIMIENTOS!$D$5:$D$1005="jabas")*(MOVIMIENTOS!$A$5:$A$1005&lt;&gt;"")*(MOVIMIENTOS!$A$5:$A$1005&lt;=$A20)*MOVIMIENTOS!$E$5:$E$1005)-SUMPRODUCT((MOVIMIENTOS!$B$5:$B$1005="VENTA")*(MOVIMIENTOS!$C$5:$C$1005="M")*(MOVIMIENTOS!$D$5:$D$1005="jabas")*(MOVIMIENTOS!$A$5:$A$1005&lt;&gt;"")*(MOVIMIENTOS!$A$5:$A$1005&lt;=$A20)*MOVIMIENTOS!$E$5:$E$1005)+SUMPRODUCT((MOVIMIENTOS!$B$5:$B$1005="AJUSTE")*(MOVIMIENTOS!$C$5:$C$1005="M")*(MOVIMIENTOS!$D$5:$D$1005="jabas")*(MOVIMIENTOS!$A$5:$A$1005&lt;&gt;"")*(MOVIMIENTOS!$A$5:$A$1005&lt;=$A20)*MOVIMIENTOS!$E$5:$E$1005))</f>
        <v>64</v>
      </c>
      <c r="F20" s="65">
        <f>IF($A20="","",SUMPRODUCT((MOVIMIENTOS!$B$5:$B$1005="SALDO INICIAL")*(MOVIMIENTOS!$C$5:$C$1005="Chancho")*(MOVIMIENTOS!$D$5:$D$1005="sacos")*(MOVIMIENTOS!$A$5:$A$1005&lt;&gt;"")*(MOVIMIENTOS!$A$5:$A$1005&lt;=$A20)*MOVIMIENTOS!$E$5:$E$1005)+SUMPRODUCT((MOVIMIENTOS!$B$5:$B$1005="PROCESO")*(MOVIMIENTOS!$C$5:$C$1005="Chancho")*(MOVIMIENTOS!$D$5:$D$1005="sacos")*(MOVIMIENTOS!$A$5:$A$1005&lt;&gt;"")*(MOVIMIENTOS!$A$5:$A$1005&lt;=$A20)*MOVIMIENTOS!$E$5:$E$1005)-SUMPRODUCT((MOVIMIENTOS!$B$5:$B$1005="VENTA CHANCHO")*(MOVIMIENTOS!$C$5:$C$1005="Chancho")*(MOVIMIENTOS!$D$5:$D$1005="sacos")*(MOVIMIENTOS!$A$5:$A$1005&lt;&gt;"")*(MOVIMIENTOS!$A$5:$A$1005&lt;=$A20)*MOVIMIENTOS!$E$5:$E$1005)-SUMPRODUCT((MOVIMIENTOS!$B$5:$B$1005="REGALO")*(MOVIMIENTOS!$C$5:$C$1005="Chancho")*(MOVIMIENTOS!$D$5:$D$1005="sacos")*(MOVIMIENTOS!$A$5:$A$1005&lt;&gt;"")*(MOVIMIENTOS!$A$5:$A$1005&lt;=$A20)*MOVIMIENTOS!$E$5:$E$1005)-SUMPRODUCT((MOVIMIENTOS!$B$5:$B$1005="VENTA")*(MOVIMIENTOS!$C$5:$C$1005="Chancho")*(MOVIMIENTOS!$D$5:$D$1005="sacos")*(MOVIMIENTOS!$A$5:$A$1005&lt;&gt;"")*(MOVIMIENTOS!$A$5:$A$1005&lt;=$A20)*MOVIMIENTOS!$E$5:$E$1005)+SUMPRODUCT((MOVIMIENTOS!$B$5:$B$1005="AJUSTE")*(MOVIMIENTOS!$C$5:$C$1005="Chancho")*(MOVIMIENTOS!$D$5:$D$1005="sacos")*(MOVIMIENTOS!$A$5:$A$1005&lt;&gt;"")*(MOVIMIENTOS!$A$5:$A$1005&lt;=$A20)*MOVIMIENTOS!$E$5:$E$1005))</f>
        <v>23.5</v>
      </c>
      <c r="G20" s="77">
        <f t="shared" si="1"/>
        <v>171</v>
      </c>
      <c r="H20" s="65">
        <f>IF($A20="","",SUMPRODUCT((((MOVIMIENTOS!$B$5:$B$1005="SALDO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20)*MOVIMIENTOS!$J$5:$J$1005))</f>
        <v>3015.5</v>
      </c>
      <c r="I20" s="63"/>
      <c r="J20" s="63" t="str">
        <f>IF(AND(MOVIMIENTOS!$A20&lt;&gt;"",COUNTIF(MOVIMIENTOS!$A$5:$A19,MOVIMIENTOS!$A20)=0),COUNT(J$4:J19)+1,"")</f>
        <v/>
      </c>
      <c r="K20" s="66">
        <f>MOVIMIENTOS!$A20</f>
        <v>46216</v>
      </c>
      <c r="L20" s="63"/>
      <c r="M20" s="63"/>
      <c r="N20" s="63"/>
    </row>
    <row r="21" spans="1:14" ht="15" customHeight="1" x14ac:dyDescent="0.2">
      <c r="A21" s="64">
        <f t="shared" si="0"/>
        <v>46229</v>
      </c>
      <c r="B21" s="65">
        <f>IF($A21="","",SUMPRODUCT((MOVIMIENTOS!$B$5:$B$1005="SALDO INICIAL")*(MOVIMIENTOS!$C$5:$C$1005="A")*(MOVIMIENTOS!$D$5:$D$1005="jabas")*(MOVIMIENTOS!$A$5:$A$1005&lt;&gt;"")*(MOVIMIENTOS!$A$5:$A$1005&lt;=$A21)*MOVIMIENTOS!$E$5:$E$1005)+SUMPRODUCT((MOVIMIENTOS!$B$5:$B$1005="PROCESO")*(MOVIMIENTOS!$C$5:$C$1005="A")*(MOVIMIENTOS!$D$5:$D$1005="jabas")*(MOVIMIENTOS!$A$5:$A$1005&lt;&gt;"")*(MOVIMIENTOS!$A$5:$A$1005&lt;=$A21)*MOVIMIENTOS!$E$5:$E$1005)-SUMPRODUCT((MOVIMIENTOS!$B$5:$B$1005="ENVÍO A SUPESA")*(MOVIMIENTOS!$C$5:$C$1005="A")*(MOVIMIENTOS!$D$5:$D$1005="jabas")*(MOVIMIENTOS!$A$5:$A$1005&lt;&gt;"")*(MOVIMIENTOS!$A$5:$A$1005&lt;=$A21)*MOVIMIENTOS!$E$5:$E$1005)+SUMPRODUCT((MOVIMIENTOS!$B$5:$B$1005="DEVOLUCIÓN")*(MOVIMIENTOS!$C$5:$C$1005="A")*(MOVIMIENTOS!$D$5:$D$1005="jabas")*(MOVIMIENTOS!$A$5:$A$1005&lt;&gt;"")*(MOVIMIENTOS!$A$5:$A$1005&lt;=$A21)*MOVIMIENTOS!$E$5:$E$1005)-SUMPRODUCT((MOVIMIENTOS!$B$5:$B$1005="TRASIEGO")*(MOVIMIENTOS!$C$5:$C$1005="A")*(MOVIMIENTOS!$D$5:$D$1005="jabas")*(MOVIMIENTOS!$A$5:$A$1005&lt;&gt;"")*(MOVIMIENTOS!$A$5:$A$1005&lt;=$A21)*MOVIMIENTOS!$E$5:$E$1005)-SUMPRODUCT((MOVIMIENTOS!$B$5:$B$1005="REGALO")*(MOVIMIENTOS!$C$5:$C$1005="A")*(MOVIMIENTOS!$D$5:$D$1005="jabas")*(MOVIMIENTOS!$A$5:$A$1005&lt;&gt;"")*(MOVIMIENTOS!$A$5:$A$1005&lt;=$A21)*MOVIMIENTOS!$E$5:$E$1005)-SUMPRODUCT((MOVIMIENTOS!$B$5:$B$1005="VENTA")*(MOVIMIENTOS!$C$5:$C$1005="A")*(MOVIMIENTOS!$D$5:$D$1005="jabas")*(MOVIMIENTOS!$A$5:$A$1005&lt;&gt;"")*(MOVIMIENTOS!$A$5:$A$1005&lt;=$A21)*MOVIMIENTOS!$E$5:$E$1005)+SUMPRODUCT((MOVIMIENTOS!$B$5:$B$1005="AJUSTE")*(MOVIMIENTOS!$C$5:$C$1005="A")*(MOVIMIENTOS!$D$5:$D$1005="jabas")*(MOVIMIENTOS!$A$5:$A$1005&lt;&gt;"")*(MOVIMIENTOS!$A$5:$A$1005&lt;=$A21)*MOVIMIENTOS!$E$5:$E$1005))</f>
        <v>8</v>
      </c>
      <c r="C21" s="65">
        <f>IF($A21="","",SUMPRODUCT((MOVIMIENTOS!$B$5:$B$1005="SALDO INICIAL")*(MOVIMIENTOS!$C$5:$C$1005="P")*(MOVIMIENTOS!$D$5:$D$1005="jabas")*(MOVIMIENTOS!$A$5:$A$1005&lt;&gt;"")*(MOVIMIENTOS!$A$5:$A$1005&lt;=$A21)*MOVIMIENTOS!$E$5:$E$1005)+SUMPRODUCT((MOVIMIENTOS!$B$5:$B$1005="PROCESO")*(MOVIMIENTOS!$C$5:$C$1005="P")*(MOVIMIENTOS!$D$5:$D$1005="jabas")*(MOVIMIENTOS!$A$5:$A$1005&lt;&gt;"")*(MOVIMIENTOS!$A$5:$A$1005&lt;=$A21)*MOVIMIENTOS!$E$5:$E$1005)-SUMPRODUCT((MOVIMIENTOS!$B$5:$B$1005="ENVÍO A SUPESA")*(MOVIMIENTOS!$C$5:$C$1005="P")*(MOVIMIENTOS!$D$5:$D$1005="jabas")*(MOVIMIENTOS!$A$5:$A$1005&lt;&gt;"")*(MOVIMIENTOS!$A$5:$A$1005&lt;=$A21)*MOVIMIENTOS!$E$5:$E$1005)+SUMPRODUCT((MOVIMIENTOS!$B$5:$B$1005="DEVOLUCIÓN")*(MOVIMIENTOS!$C$5:$C$1005="P")*(MOVIMIENTOS!$D$5:$D$1005="jabas")*(MOVIMIENTOS!$A$5:$A$1005&lt;&gt;"")*(MOVIMIENTOS!$A$5:$A$1005&lt;=$A21)*MOVIMIENTOS!$E$5:$E$1005)-SUMPRODUCT((MOVIMIENTOS!$B$5:$B$1005="TRASIEGO")*(MOVIMIENTOS!$C$5:$C$1005="P")*(MOVIMIENTOS!$D$5:$D$1005="jabas")*(MOVIMIENTOS!$A$5:$A$1005&lt;&gt;"")*(MOVIMIENTOS!$A$5:$A$1005&lt;=$A21)*MOVIMIENTOS!$E$5:$E$1005)-SUMPRODUCT((MOVIMIENTOS!$B$5:$B$1005="REGALO")*(MOVIMIENTOS!$C$5:$C$1005="P")*(MOVIMIENTOS!$D$5:$D$1005="jabas")*(MOVIMIENTOS!$A$5:$A$1005&lt;&gt;"")*(MOVIMIENTOS!$A$5:$A$1005&lt;=$A21)*MOVIMIENTOS!$E$5:$E$1005)-SUMPRODUCT((MOVIMIENTOS!$B$5:$B$1005="VENTA")*(MOVIMIENTOS!$C$5:$C$1005="P")*(MOVIMIENTOS!$D$5:$D$1005="jabas")*(MOVIMIENTOS!$A$5:$A$1005&lt;&gt;"")*(MOVIMIENTOS!$A$5:$A$1005&lt;=$A21)*MOVIMIENTOS!$E$5:$E$1005)+SUMPRODUCT((MOVIMIENTOS!$B$5:$B$1005="AJUSTE")*(MOVIMIENTOS!$C$5:$C$1005="P")*(MOVIMIENTOS!$D$5:$D$1005="jabas")*(MOVIMIENTOS!$A$5:$A$1005&lt;&gt;"")*(MOVIMIENTOS!$A$5:$A$1005&lt;=$A21)*MOVIMIENTOS!$E$5:$E$1005))</f>
        <v>9</v>
      </c>
      <c r="D21" s="65">
        <f>IF($A21="","",SUMPRODUCT((MOVIMIENTOS!$B$5:$B$1005="SALDO INICIAL")*(MOVIMIENTOS!$C$5:$C$1005="C")*(MOVIMIENTOS!$D$5:$D$1005="jabas")*(MOVIMIENTOS!$A$5:$A$1005&lt;&gt;"")*(MOVIMIENTOS!$A$5:$A$1005&lt;=$A21)*MOVIMIENTOS!$E$5:$E$1005)+SUMPRODUCT((MOVIMIENTOS!$B$5:$B$1005="PROCESO")*(MOVIMIENTOS!$C$5:$C$1005="C")*(MOVIMIENTOS!$D$5:$D$1005="jabas")*(MOVIMIENTOS!$A$5:$A$1005&lt;&gt;"")*(MOVIMIENTOS!$A$5:$A$1005&lt;=$A21)*MOVIMIENTOS!$E$5:$E$1005)-SUMPRODUCT((MOVIMIENTOS!$B$5:$B$1005="ENVÍO A SUPESA")*(MOVIMIENTOS!$C$5:$C$1005="C")*(MOVIMIENTOS!$D$5:$D$1005="jabas")*(MOVIMIENTOS!$A$5:$A$1005&lt;&gt;"")*(MOVIMIENTOS!$A$5:$A$1005&lt;=$A21)*MOVIMIENTOS!$E$5:$E$1005)+SUMPRODUCT((MOVIMIENTOS!$B$5:$B$1005="DEVOLUCIÓN")*(MOVIMIENTOS!$C$5:$C$1005="C")*(MOVIMIENTOS!$D$5:$D$1005="jabas")*(MOVIMIENTOS!$A$5:$A$1005&lt;&gt;"")*(MOVIMIENTOS!$A$5:$A$1005&lt;=$A21)*MOVIMIENTOS!$E$5:$E$1005)-SUMPRODUCT((MOVIMIENTOS!$B$5:$B$1005="TRASIEGO")*(MOVIMIENTOS!$C$5:$C$1005="C")*(MOVIMIENTOS!$D$5:$D$1005="jabas")*(MOVIMIENTOS!$A$5:$A$1005&lt;&gt;"")*(MOVIMIENTOS!$A$5:$A$1005&lt;=$A21)*MOVIMIENTOS!$E$5:$E$1005)-SUMPRODUCT((MOVIMIENTOS!$B$5:$B$1005="REGALO")*(MOVIMIENTOS!$C$5:$C$1005="C")*(MOVIMIENTOS!$D$5:$D$1005="jabas")*(MOVIMIENTOS!$A$5:$A$1005&lt;&gt;"")*(MOVIMIENTOS!$A$5:$A$1005&lt;=$A21)*MOVIMIENTOS!$E$5:$E$1005)-SUMPRODUCT((MOVIMIENTOS!$B$5:$B$1005="VENTA")*(MOVIMIENTOS!$C$5:$C$1005="C")*(MOVIMIENTOS!$D$5:$D$1005="jabas")*(MOVIMIENTOS!$A$5:$A$1005&lt;&gt;"")*(MOVIMIENTOS!$A$5:$A$1005&lt;=$A21)*MOVIMIENTOS!$E$5:$E$1005)+SUMPRODUCT((MOVIMIENTOS!$B$5:$B$1005="AJUSTE")*(MOVIMIENTOS!$C$5:$C$1005="C")*(MOVIMIENTOS!$D$5:$D$1005="jabas")*(MOVIMIENTOS!$A$5:$A$1005&lt;&gt;"")*(MOVIMIENTOS!$A$5:$A$1005&lt;=$A21)*MOVIMIENTOS!$E$5:$E$1005))</f>
        <v>0</v>
      </c>
      <c r="E21" s="65">
        <f>IF($A21="","",SUMPRODUCT((MOVIMIENTOS!$B$5:$B$1005="SALDO INICIAL")*(MOVIMIENTOS!$C$5:$C$1005="M")*(MOVIMIENTOS!$D$5:$D$1005="jabas")*(MOVIMIENTOS!$A$5:$A$1005&lt;&gt;"")*(MOVIMIENTOS!$A$5:$A$1005&lt;=$A21)*MOVIMIENTOS!$E$5:$E$1005)+SUMPRODUCT((MOVIMIENTOS!$B$5:$B$1005="PROCESO")*(MOVIMIENTOS!$C$5:$C$1005="M")*(MOVIMIENTOS!$D$5:$D$1005="jabas")*(MOVIMIENTOS!$A$5:$A$1005&lt;&gt;"")*(MOVIMIENTOS!$A$5:$A$1005&lt;=$A21)*MOVIMIENTOS!$E$5:$E$1005)-SUMPRODUCT((MOVIMIENTOS!$B$5:$B$1005="ENVÍO A SUPESA")*(MOVIMIENTOS!$C$5:$C$1005="M")*(MOVIMIENTOS!$D$5:$D$1005="jabas")*(MOVIMIENTOS!$A$5:$A$1005&lt;&gt;"")*(MOVIMIENTOS!$A$5:$A$1005&lt;=$A21)*MOVIMIENTOS!$E$5:$E$1005)+SUMPRODUCT((MOVIMIENTOS!$B$5:$B$1005="DEVOLUCIÓN")*(MOVIMIENTOS!$C$5:$C$1005="M")*(MOVIMIENTOS!$D$5:$D$1005="jabas")*(MOVIMIENTOS!$A$5:$A$1005&lt;&gt;"")*(MOVIMIENTOS!$A$5:$A$1005&lt;=$A21)*MOVIMIENTOS!$E$5:$E$1005)-SUMPRODUCT((MOVIMIENTOS!$B$5:$B$1005="TRASIEGO")*(MOVIMIENTOS!$C$5:$C$1005="M")*(MOVIMIENTOS!$D$5:$D$1005="jabas")*(MOVIMIENTOS!$A$5:$A$1005&lt;&gt;"")*(MOVIMIENTOS!$A$5:$A$1005&lt;=$A21)*MOVIMIENTOS!$E$5:$E$1005)-SUMPRODUCT((MOVIMIENTOS!$B$5:$B$1005="REGALO")*(MOVIMIENTOS!$C$5:$C$1005="M")*(MOVIMIENTOS!$D$5:$D$1005="jabas")*(MOVIMIENTOS!$A$5:$A$1005&lt;&gt;"")*(MOVIMIENTOS!$A$5:$A$1005&lt;=$A21)*MOVIMIENTOS!$E$5:$E$1005)-SUMPRODUCT((MOVIMIENTOS!$B$5:$B$1005="VENTA")*(MOVIMIENTOS!$C$5:$C$1005="M")*(MOVIMIENTOS!$D$5:$D$1005="jabas")*(MOVIMIENTOS!$A$5:$A$1005&lt;&gt;"")*(MOVIMIENTOS!$A$5:$A$1005&lt;=$A21)*MOVIMIENTOS!$E$5:$E$1005)+SUMPRODUCT((MOVIMIENTOS!$B$5:$B$1005="AJUSTE")*(MOVIMIENTOS!$C$5:$C$1005="M")*(MOVIMIENTOS!$D$5:$D$1005="jabas")*(MOVIMIENTOS!$A$5:$A$1005&lt;&gt;"")*(MOVIMIENTOS!$A$5:$A$1005&lt;=$A21)*MOVIMIENTOS!$E$5:$E$1005))</f>
        <v>64</v>
      </c>
      <c r="F21" s="65">
        <f>IF($A21="","",SUMPRODUCT((MOVIMIENTOS!$B$5:$B$1005="SALDO INICIAL")*(MOVIMIENTOS!$C$5:$C$1005="Chancho")*(MOVIMIENTOS!$D$5:$D$1005="sacos")*(MOVIMIENTOS!$A$5:$A$1005&lt;&gt;"")*(MOVIMIENTOS!$A$5:$A$1005&lt;=$A21)*MOVIMIENTOS!$E$5:$E$1005)+SUMPRODUCT((MOVIMIENTOS!$B$5:$B$1005="PROCESO")*(MOVIMIENTOS!$C$5:$C$1005="Chancho")*(MOVIMIENTOS!$D$5:$D$1005="sacos")*(MOVIMIENTOS!$A$5:$A$1005&lt;&gt;"")*(MOVIMIENTOS!$A$5:$A$1005&lt;=$A21)*MOVIMIENTOS!$E$5:$E$1005)-SUMPRODUCT((MOVIMIENTOS!$B$5:$B$1005="VENTA CHANCHO")*(MOVIMIENTOS!$C$5:$C$1005="Chancho")*(MOVIMIENTOS!$D$5:$D$1005="sacos")*(MOVIMIENTOS!$A$5:$A$1005&lt;&gt;"")*(MOVIMIENTOS!$A$5:$A$1005&lt;=$A21)*MOVIMIENTOS!$E$5:$E$1005)-SUMPRODUCT((MOVIMIENTOS!$B$5:$B$1005="REGALO")*(MOVIMIENTOS!$C$5:$C$1005="Chancho")*(MOVIMIENTOS!$D$5:$D$1005="sacos")*(MOVIMIENTOS!$A$5:$A$1005&lt;&gt;"")*(MOVIMIENTOS!$A$5:$A$1005&lt;=$A21)*MOVIMIENTOS!$E$5:$E$1005)-SUMPRODUCT((MOVIMIENTOS!$B$5:$B$1005="VENTA")*(MOVIMIENTOS!$C$5:$C$1005="Chancho")*(MOVIMIENTOS!$D$5:$D$1005="sacos")*(MOVIMIENTOS!$A$5:$A$1005&lt;&gt;"")*(MOVIMIENTOS!$A$5:$A$1005&lt;=$A21)*MOVIMIENTOS!$E$5:$E$1005)+SUMPRODUCT((MOVIMIENTOS!$B$5:$B$1005="AJUSTE")*(MOVIMIENTOS!$C$5:$C$1005="Chancho")*(MOVIMIENTOS!$D$5:$D$1005="sacos")*(MOVIMIENTOS!$A$5:$A$1005&lt;&gt;"")*(MOVIMIENTOS!$A$5:$A$1005&lt;=$A21)*MOVIMIENTOS!$E$5:$E$1005))</f>
        <v>23.5</v>
      </c>
      <c r="G21" s="77">
        <f t="shared" si="1"/>
        <v>81</v>
      </c>
      <c r="H21" s="65">
        <f>IF($A21="","",SUMPRODUCT((((MOVIMIENTOS!$B$5:$B$1005="SALDO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21)*MOVIMIENTOS!$J$5:$J$1005))</f>
        <v>1608.5</v>
      </c>
      <c r="I21" s="63"/>
      <c r="J21" s="63" t="str">
        <f>IF(AND(MOVIMIENTOS!$A21&lt;&gt;"",COUNTIF(MOVIMIENTOS!$A$5:$A20,MOVIMIENTOS!$A21)=0),COUNT(J$4:J20)+1,"")</f>
        <v/>
      </c>
      <c r="K21" s="66">
        <f>MOVIMIENTOS!$A21</f>
        <v>46216</v>
      </c>
      <c r="L21" s="63"/>
      <c r="M21" s="63"/>
      <c r="N21" s="63"/>
    </row>
    <row r="22" spans="1:14" ht="15" customHeight="1" x14ac:dyDescent="0.2">
      <c r="A22" s="64">
        <f t="shared" si="0"/>
        <v>46230</v>
      </c>
      <c r="B22" s="65">
        <f>IF($A22="","",SUMPRODUCT((MOVIMIENTOS!$B$5:$B$1005="SALDO INICIAL")*(MOVIMIENTOS!$C$5:$C$1005="A")*(MOVIMIENTOS!$D$5:$D$1005="jabas")*(MOVIMIENTOS!$A$5:$A$1005&lt;&gt;"")*(MOVIMIENTOS!$A$5:$A$1005&lt;=$A22)*MOVIMIENTOS!$E$5:$E$1005)+SUMPRODUCT((MOVIMIENTOS!$B$5:$B$1005="PROCESO")*(MOVIMIENTOS!$C$5:$C$1005="A")*(MOVIMIENTOS!$D$5:$D$1005="jabas")*(MOVIMIENTOS!$A$5:$A$1005&lt;&gt;"")*(MOVIMIENTOS!$A$5:$A$1005&lt;=$A22)*MOVIMIENTOS!$E$5:$E$1005)-SUMPRODUCT((MOVIMIENTOS!$B$5:$B$1005="ENVÍO A SUPESA")*(MOVIMIENTOS!$C$5:$C$1005="A")*(MOVIMIENTOS!$D$5:$D$1005="jabas")*(MOVIMIENTOS!$A$5:$A$1005&lt;&gt;"")*(MOVIMIENTOS!$A$5:$A$1005&lt;=$A22)*MOVIMIENTOS!$E$5:$E$1005)+SUMPRODUCT((MOVIMIENTOS!$B$5:$B$1005="DEVOLUCIÓN")*(MOVIMIENTOS!$C$5:$C$1005="A")*(MOVIMIENTOS!$D$5:$D$1005="jabas")*(MOVIMIENTOS!$A$5:$A$1005&lt;&gt;"")*(MOVIMIENTOS!$A$5:$A$1005&lt;=$A22)*MOVIMIENTOS!$E$5:$E$1005)-SUMPRODUCT((MOVIMIENTOS!$B$5:$B$1005="TRASIEGO")*(MOVIMIENTOS!$C$5:$C$1005="A")*(MOVIMIENTOS!$D$5:$D$1005="jabas")*(MOVIMIENTOS!$A$5:$A$1005&lt;&gt;"")*(MOVIMIENTOS!$A$5:$A$1005&lt;=$A22)*MOVIMIENTOS!$E$5:$E$1005)-SUMPRODUCT((MOVIMIENTOS!$B$5:$B$1005="REGALO")*(MOVIMIENTOS!$C$5:$C$1005="A")*(MOVIMIENTOS!$D$5:$D$1005="jabas")*(MOVIMIENTOS!$A$5:$A$1005&lt;&gt;"")*(MOVIMIENTOS!$A$5:$A$1005&lt;=$A22)*MOVIMIENTOS!$E$5:$E$1005)-SUMPRODUCT((MOVIMIENTOS!$B$5:$B$1005="VENTA")*(MOVIMIENTOS!$C$5:$C$1005="A")*(MOVIMIENTOS!$D$5:$D$1005="jabas")*(MOVIMIENTOS!$A$5:$A$1005&lt;&gt;"")*(MOVIMIENTOS!$A$5:$A$1005&lt;=$A22)*MOVIMIENTOS!$E$5:$E$1005)+SUMPRODUCT((MOVIMIENTOS!$B$5:$B$1005="AJUSTE")*(MOVIMIENTOS!$C$5:$C$1005="A")*(MOVIMIENTOS!$D$5:$D$1005="jabas")*(MOVIMIENTOS!$A$5:$A$1005&lt;&gt;"")*(MOVIMIENTOS!$A$5:$A$1005&lt;=$A22)*MOVIMIENTOS!$E$5:$E$1005))</f>
        <v>38</v>
      </c>
      <c r="C22" s="65">
        <f>IF($A22="","",SUMPRODUCT((MOVIMIENTOS!$B$5:$B$1005="SALDO INICIAL")*(MOVIMIENTOS!$C$5:$C$1005="P")*(MOVIMIENTOS!$D$5:$D$1005="jabas")*(MOVIMIENTOS!$A$5:$A$1005&lt;&gt;"")*(MOVIMIENTOS!$A$5:$A$1005&lt;=$A22)*MOVIMIENTOS!$E$5:$E$1005)+SUMPRODUCT((MOVIMIENTOS!$B$5:$B$1005="PROCESO")*(MOVIMIENTOS!$C$5:$C$1005="P")*(MOVIMIENTOS!$D$5:$D$1005="jabas")*(MOVIMIENTOS!$A$5:$A$1005&lt;&gt;"")*(MOVIMIENTOS!$A$5:$A$1005&lt;=$A22)*MOVIMIENTOS!$E$5:$E$1005)-SUMPRODUCT((MOVIMIENTOS!$B$5:$B$1005="ENVÍO A SUPESA")*(MOVIMIENTOS!$C$5:$C$1005="P")*(MOVIMIENTOS!$D$5:$D$1005="jabas")*(MOVIMIENTOS!$A$5:$A$1005&lt;&gt;"")*(MOVIMIENTOS!$A$5:$A$1005&lt;=$A22)*MOVIMIENTOS!$E$5:$E$1005)+SUMPRODUCT((MOVIMIENTOS!$B$5:$B$1005="DEVOLUCIÓN")*(MOVIMIENTOS!$C$5:$C$1005="P")*(MOVIMIENTOS!$D$5:$D$1005="jabas")*(MOVIMIENTOS!$A$5:$A$1005&lt;&gt;"")*(MOVIMIENTOS!$A$5:$A$1005&lt;=$A22)*MOVIMIENTOS!$E$5:$E$1005)-SUMPRODUCT((MOVIMIENTOS!$B$5:$B$1005="TRASIEGO")*(MOVIMIENTOS!$C$5:$C$1005="P")*(MOVIMIENTOS!$D$5:$D$1005="jabas")*(MOVIMIENTOS!$A$5:$A$1005&lt;&gt;"")*(MOVIMIENTOS!$A$5:$A$1005&lt;=$A22)*MOVIMIENTOS!$E$5:$E$1005)-SUMPRODUCT((MOVIMIENTOS!$B$5:$B$1005="REGALO")*(MOVIMIENTOS!$C$5:$C$1005="P")*(MOVIMIENTOS!$D$5:$D$1005="jabas")*(MOVIMIENTOS!$A$5:$A$1005&lt;&gt;"")*(MOVIMIENTOS!$A$5:$A$1005&lt;=$A22)*MOVIMIENTOS!$E$5:$E$1005)-SUMPRODUCT((MOVIMIENTOS!$B$5:$B$1005="VENTA")*(MOVIMIENTOS!$C$5:$C$1005="P")*(MOVIMIENTOS!$D$5:$D$1005="jabas")*(MOVIMIENTOS!$A$5:$A$1005&lt;&gt;"")*(MOVIMIENTOS!$A$5:$A$1005&lt;=$A22)*MOVIMIENTOS!$E$5:$E$1005)+SUMPRODUCT((MOVIMIENTOS!$B$5:$B$1005="AJUSTE")*(MOVIMIENTOS!$C$5:$C$1005="P")*(MOVIMIENTOS!$D$5:$D$1005="jabas")*(MOVIMIENTOS!$A$5:$A$1005&lt;&gt;"")*(MOVIMIENTOS!$A$5:$A$1005&lt;=$A22)*MOVIMIENTOS!$E$5:$E$1005))</f>
        <v>11</v>
      </c>
      <c r="D22" s="65">
        <f>IF($A22="","",SUMPRODUCT((MOVIMIENTOS!$B$5:$B$1005="SALDO INICIAL")*(MOVIMIENTOS!$C$5:$C$1005="C")*(MOVIMIENTOS!$D$5:$D$1005="jabas")*(MOVIMIENTOS!$A$5:$A$1005&lt;&gt;"")*(MOVIMIENTOS!$A$5:$A$1005&lt;=$A22)*MOVIMIENTOS!$E$5:$E$1005)+SUMPRODUCT((MOVIMIENTOS!$B$5:$B$1005="PROCESO")*(MOVIMIENTOS!$C$5:$C$1005="C")*(MOVIMIENTOS!$D$5:$D$1005="jabas")*(MOVIMIENTOS!$A$5:$A$1005&lt;&gt;"")*(MOVIMIENTOS!$A$5:$A$1005&lt;=$A22)*MOVIMIENTOS!$E$5:$E$1005)-SUMPRODUCT((MOVIMIENTOS!$B$5:$B$1005="ENVÍO A SUPESA")*(MOVIMIENTOS!$C$5:$C$1005="C")*(MOVIMIENTOS!$D$5:$D$1005="jabas")*(MOVIMIENTOS!$A$5:$A$1005&lt;&gt;"")*(MOVIMIENTOS!$A$5:$A$1005&lt;=$A22)*MOVIMIENTOS!$E$5:$E$1005)+SUMPRODUCT((MOVIMIENTOS!$B$5:$B$1005="DEVOLUCIÓN")*(MOVIMIENTOS!$C$5:$C$1005="C")*(MOVIMIENTOS!$D$5:$D$1005="jabas")*(MOVIMIENTOS!$A$5:$A$1005&lt;&gt;"")*(MOVIMIENTOS!$A$5:$A$1005&lt;=$A22)*MOVIMIENTOS!$E$5:$E$1005)-SUMPRODUCT((MOVIMIENTOS!$B$5:$B$1005="TRASIEGO")*(MOVIMIENTOS!$C$5:$C$1005="C")*(MOVIMIENTOS!$D$5:$D$1005="jabas")*(MOVIMIENTOS!$A$5:$A$1005&lt;&gt;"")*(MOVIMIENTOS!$A$5:$A$1005&lt;=$A22)*MOVIMIENTOS!$E$5:$E$1005)-SUMPRODUCT((MOVIMIENTOS!$B$5:$B$1005="REGALO")*(MOVIMIENTOS!$C$5:$C$1005="C")*(MOVIMIENTOS!$D$5:$D$1005="jabas")*(MOVIMIENTOS!$A$5:$A$1005&lt;&gt;"")*(MOVIMIENTOS!$A$5:$A$1005&lt;=$A22)*MOVIMIENTOS!$E$5:$E$1005)-SUMPRODUCT((MOVIMIENTOS!$B$5:$B$1005="VENTA")*(MOVIMIENTOS!$C$5:$C$1005="C")*(MOVIMIENTOS!$D$5:$D$1005="jabas")*(MOVIMIENTOS!$A$5:$A$1005&lt;&gt;"")*(MOVIMIENTOS!$A$5:$A$1005&lt;=$A22)*MOVIMIENTOS!$E$5:$E$1005)+SUMPRODUCT((MOVIMIENTOS!$B$5:$B$1005="AJUSTE")*(MOVIMIENTOS!$C$5:$C$1005="C")*(MOVIMIENTOS!$D$5:$D$1005="jabas")*(MOVIMIENTOS!$A$5:$A$1005&lt;&gt;"")*(MOVIMIENTOS!$A$5:$A$1005&lt;=$A22)*MOVIMIENTOS!$E$5:$E$1005))</f>
        <v>10</v>
      </c>
      <c r="E22" s="65">
        <f>IF($A22="","",SUMPRODUCT((MOVIMIENTOS!$B$5:$B$1005="SALDO INICIAL")*(MOVIMIENTOS!$C$5:$C$1005="M")*(MOVIMIENTOS!$D$5:$D$1005="jabas")*(MOVIMIENTOS!$A$5:$A$1005&lt;&gt;"")*(MOVIMIENTOS!$A$5:$A$1005&lt;=$A22)*MOVIMIENTOS!$E$5:$E$1005)+SUMPRODUCT((MOVIMIENTOS!$B$5:$B$1005="PROCESO")*(MOVIMIENTOS!$C$5:$C$1005="M")*(MOVIMIENTOS!$D$5:$D$1005="jabas")*(MOVIMIENTOS!$A$5:$A$1005&lt;&gt;"")*(MOVIMIENTOS!$A$5:$A$1005&lt;=$A22)*MOVIMIENTOS!$E$5:$E$1005)-SUMPRODUCT((MOVIMIENTOS!$B$5:$B$1005="ENVÍO A SUPESA")*(MOVIMIENTOS!$C$5:$C$1005="M")*(MOVIMIENTOS!$D$5:$D$1005="jabas")*(MOVIMIENTOS!$A$5:$A$1005&lt;&gt;"")*(MOVIMIENTOS!$A$5:$A$1005&lt;=$A22)*MOVIMIENTOS!$E$5:$E$1005)+SUMPRODUCT((MOVIMIENTOS!$B$5:$B$1005="DEVOLUCIÓN")*(MOVIMIENTOS!$C$5:$C$1005="M")*(MOVIMIENTOS!$D$5:$D$1005="jabas")*(MOVIMIENTOS!$A$5:$A$1005&lt;&gt;"")*(MOVIMIENTOS!$A$5:$A$1005&lt;=$A22)*MOVIMIENTOS!$E$5:$E$1005)-SUMPRODUCT((MOVIMIENTOS!$B$5:$B$1005="TRASIEGO")*(MOVIMIENTOS!$C$5:$C$1005="M")*(MOVIMIENTOS!$D$5:$D$1005="jabas")*(MOVIMIENTOS!$A$5:$A$1005&lt;&gt;"")*(MOVIMIENTOS!$A$5:$A$1005&lt;=$A22)*MOVIMIENTOS!$E$5:$E$1005)-SUMPRODUCT((MOVIMIENTOS!$B$5:$B$1005="REGALO")*(MOVIMIENTOS!$C$5:$C$1005="M")*(MOVIMIENTOS!$D$5:$D$1005="jabas")*(MOVIMIENTOS!$A$5:$A$1005&lt;&gt;"")*(MOVIMIENTOS!$A$5:$A$1005&lt;=$A22)*MOVIMIENTOS!$E$5:$E$1005)-SUMPRODUCT((MOVIMIENTOS!$B$5:$B$1005="VENTA")*(MOVIMIENTOS!$C$5:$C$1005="M")*(MOVIMIENTOS!$D$5:$D$1005="jabas")*(MOVIMIENTOS!$A$5:$A$1005&lt;&gt;"")*(MOVIMIENTOS!$A$5:$A$1005&lt;=$A22)*MOVIMIENTOS!$E$5:$E$1005)+SUMPRODUCT((MOVIMIENTOS!$B$5:$B$1005="AJUSTE")*(MOVIMIENTOS!$C$5:$C$1005="M")*(MOVIMIENTOS!$D$5:$D$1005="jabas")*(MOVIMIENTOS!$A$5:$A$1005&lt;&gt;"")*(MOVIMIENTOS!$A$5:$A$1005&lt;=$A22)*MOVIMIENTOS!$E$5:$E$1005))</f>
        <v>141</v>
      </c>
      <c r="F22" s="65">
        <f>IF($A22="","",SUMPRODUCT((MOVIMIENTOS!$B$5:$B$1005="SALDO INICIAL")*(MOVIMIENTOS!$C$5:$C$1005="Chancho")*(MOVIMIENTOS!$D$5:$D$1005="sacos")*(MOVIMIENTOS!$A$5:$A$1005&lt;&gt;"")*(MOVIMIENTOS!$A$5:$A$1005&lt;=$A22)*MOVIMIENTOS!$E$5:$E$1005)+SUMPRODUCT((MOVIMIENTOS!$B$5:$B$1005="PROCESO")*(MOVIMIENTOS!$C$5:$C$1005="Chancho")*(MOVIMIENTOS!$D$5:$D$1005="sacos")*(MOVIMIENTOS!$A$5:$A$1005&lt;&gt;"")*(MOVIMIENTOS!$A$5:$A$1005&lt;=$A22)*MOVIMIENTOS!$E$5:$E$1005)-SUMPRODUCT((MOVIMIENTOS!$B$5:$B$1005="VENTA CHANCHO")*(MOVIMIENTOS!$C$5:$C$1005="Chancho")*(MOVIMIENTOS!$D$5:$D$1005="sacos")*(MOVIMIENTOS!$A$5:$A$1005&lt;&gt;"")*(MOVIMIENTOS!$A$5:$A$1005&lt;=$A22)*MOVIMIENTOS!$E$5:$E$1005)-SUMPRODUCT((MOVIMIENTOS!$B$5:$B$1005="REGALO")*(MOVIMIENTOS!$C$5:$C$1005="Chancho")*(MOVIMIENTOS!$D$5:$D$1005="sacos")*(MOVIMIENTOS!$A$5:$A$1005&lt;&gt;"")*(MOVIMIENTOS!$A$5:$A$1005&lt;=$A22)*MOVIMIENTOS!$E$5:$E$1005)-SUMPRODUCT((MOVIMIENTOS!$B$5:$B$1005="VENTA")*(MOVIMIENTOS!$C$5:$C$1005="Chancho")*(MOVIMIENTOS!$D$5:$D$1005="sacos")*(MOVIMIENTOS!$A$5:$A$1005&lt;&gt;"")*(MOVIMIENTOS!$A$5:$A$1005&lt;=$A22)*MOVIMIENTOS!$E$5:$E$1005)+SUMPRODUCT((MOVIMIENTOS!$B$5:$B$1005="AJUSTE")*(MOVIMIENTOS!$C$5:$C$1005="Chancho")*(MOVIMIENTOS!$D$5:$D$1005="sacos")*(MOVIMIENTOS!$A$5:$A$1005&lt;&gt;"")*(MOVIMIENTOS!$A$5:$A$1005&lt;=$A22)*MOVIMIENTOS!$E$5:$E$1005))</f>
        <v>7</v>
      </c>
      <c r="G22" s="77">
        <f t="shared" si="1"/>
        <v>200</v>
      </c>
      <c r="H22" s="65">
        <f>IF($A22="","",SUMPRODUCT((((MOVIMIENTOS!$B$5:$B$1005="SALDO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22)*MOVIMIENTOS!$J$5:$J$1005))</f>
        <v>3911</v>
      </c>
      <c r="I22" s="63"/>
      <c r="J22" s="63" t="str">
        <f>IF(AND(MOVIMIENTOS!$A22&lt;&gt;"",COUNTIF(MOVIMIENTOS!$A$5:$A21,MOVIMIENTOS!$A22)=0),COUNT(J$4:J21)+1,"")</f>
        <v/>
      </c>
      <c r="K22" s="66">
        <f>MOVIMIENTOS!$A22</f>
        <v>46216</v>
      </c>
      <c r="L22" s="63"/>
      <c r="M22" s="63"/>
      <c r="N22" s="63"/>
    </row>
    <row r="23" spans="1:14" ht="15" customHeight="1" x14ac:dyDescent="0.2">
      <c r="A23" s="64">
        <f t="shared" si="0"/>
        <v>46231</v>
      </c>
      <c r="B23" s="65">
        <f>IF($A23="","",SUMPRODUCT((MOVIMIENTOS!$B$5:$B$1005="SALDO INICIAL")*(MOVIMIENTOS!$C$5:$C$1005="A")*(MOVIMIENTOS!$D$5:$D$1005="jabas")*(MOVIMIENTOS!$A$5:$A$1005&lt;&gt;"")*(MOVIMIENTOS!$A$5:$A$1005&lt;=$A23)*MOVIMIENTOS!$E$5:$E$1005)+SUMPRODUCT((MOVIMIENTOS!$B$5:$B$1005="PROCESO")*(MOVIMIENTOS!$C$5:$C$1005="A")*(MOVIMIENTOS!$D$5:$D$1005="jabas")*(MOVIMIENTOS!$A$5:$A$1005&lt;&gt;"")*(MOVIMIENTOS!$A$5:$A$1005&lt;=$A23)*MOVIMIENTOS!$E$5:$E$1005)-SUMPRODUCT((MOVIMIENTOS!$B$5:$B$1005="ENVÍO A SUPESA")*(MOVIMIENTOS!$C$5:$C$1005="A")*(MOVIMIENTOS!$D$5:$D$1005="jabas")*(MOVIMIENTOS!$A$5:$A$1005&lt;&gt;"")*(MOVIMIENTOS!$A$5:$A$1005&lt;=$A23)*MOVIMIENTOS!$E$5:$E$1005)+SUMPRODUCT((MOVIMIENTOS!$B$5:$B$1005="DEVOLUCIÓN")*(MOVIMIENTOS!$C$5:$C$1005="A")*(MOVIMIENTOS!$D$5:$D$1005="jabas")*(MOVIMIENTOS!$A$5:$A$1005&lt;&gt;"")*(MOVIMIENTOS!$A$5:$A$1005&lt;=$A23)*MOVIMIENTOS!$E$5:$E$1005)-SUMPRODUCT((MOVIMIENTOS!$B$5:$B$1005="TRASIEGO")*(MOVIMIENTOS!$C$5:$C$1005="A")*(MOVIMIENTOS!$D$5:$D$1005="jabas")*(MOVIMIENTOS!$A$5:$A$1005&lt;&gt;"")*(MOVIMIENTOS!$A$5:$A$1005&lt;=$A23)*MOVIMIENTOS!$E$5:$E$1005)-SUMPRODUCT((MOVIMIENTOS!$B$5:$B$1005="REGALO")*(MOVIMIENTOS!$C$5:$C$1005="A")*(MOVIMIENTOS!$D$5:$D$1005="jabas")*(MOVIMIENTOS!$A$5:$A$1005&lt;&gt;"")*(MOVIMIENTOS!$A$5:$A$1005&lt;=$A23)*MOVIMIENTOS!$E$5:$E$1005)-SUMPRODUCT((MOVIMIENTOS!$B$5:$B$1005="VENTA")*(MOVIMIENTOS!$C$5:$C$1005="A")*(MOVIMIENTOS!$D$5:$D$1005="jabas")*(MOVIMIENTOS!$A$5:$A$1005&lt;&gt;"")*(MOVIMIENTOS!$A$5:$A$1005&lt;=$A23)*MOVIMIENTOS!$E$5:$E$1005)+SUMPRODUCT((MOVIMIENTOS!$B$5:$B$1005="AJUSTE")*(MOVIMIENTOS!$C$5:$C$1005="A")*(MOVIMIENTOS!$D$5:$D$1005="jabas")*(MOVIMIENTOS!$A$5:$A$1005&lt;&gt;"")*(MOVIMIENTOS!$A$5:$A$1005&lt;=$A23)*MOVIMIENTOS!$E$5:$E$1005))</f>
        <v>104</v>
      </c>
      <c r="C23" s="65">
        <f>IF($A23="","",SUMPRODUCT((MOVIMIENTOS!$B$5:$B$1005="SALDO INICIAL")*(MOVIMIENTOS!$C$5:$C$1005="P")*(MOVIMIENTOS!$D$5:$D$1005="jabas")*(MOVIMIENTOS!$A$5:$A$1005&lt;&gt;"")*(MOVIMIENTOS!$A$5:$A$1005&lt;=$A23)*MOVIMIENTOS!$E$5:$E$1005)+SUMPRODUCT((MOVIMIENTOS!$B$5:$B$1005="PROCESO")*(MOVIMIENTOS!$C$5:$C$1005="P")*(MOVIMIENTOS!$D$5:$D$1005="jabas")*(MOVIMIENTOS!$A$5:$A$1005&lt;&gt;"")*(MOVIMIENTOS!$A$5:$A$1005&lt;=$A23)*MOVIMIENTOS!$E$5:$E$1005)-SUMPRODUCT((MOVIMIENTOS!$B$5:$B$1005="ENVÍO A SUPESA")*(MOVIMIENTOS!$C$5:$C$1005="P")*(MOVIMIENTOS!$D$5:$D$1005="jabas")*(MOVIMIENTOS!$A$5:$A$1005&lt;&gt;"")*(MOVIMIENTOS!$A$5:$A$1005&lt;=$A23)*MOVIMIENTOS!$E$5:$E$1005)+SUMPRODUCT((MOVIMIENTOS!$B$5:$B$1005="DEVOLUCIÓN")*(MOVIMIENTOS!$C$5:$C$1005="P")*(MOVIMIENTOS!$D$5:$D$1005="jabas")*(MOVIMIENTOS!$A$5:$A$1005&lt;&gt;"")*(MOVIMIENTOS!$A$5:$A$1005&lt;=$A23)*MOVIMIENTOS!$E$5:$E$1005)-SUMPRODUCT((MOVIMIENTOS!$B$5:$B$1005="TRASIEGO")*(MOVIMIENTOS!$C$5:$C$1005="P")*(MOVIMIENTOS!$D$5:$D$1005="jabas")*(MOVIMIENTOS!$A$5:$A$1005&lt;&gt;"")*(MOVIMIENTOS!$A$5:$A$1005&lt;=$A23)*MOVIMIENTOS!$E$5:$E$1005)-SUMPRODUCT((MOVIMIENTOS!$B$5:$B$1005="REGALO")*(MOVIMIENTOS!$C$5:$C$1005="P")*(MOVIMIENTOS!$D$5:$D$1005="jabas")*(MOVIMIENTOS!$A$5:$A$1005&lt;&gt;"")*(MOVIMIENTOS!$A$5:$A$1005&lt;=$A23)*MOVIMIENTOS!$E$5:$E$1005)-SUMPRODUCT((MOVIMIENTOS!$B$5:$B$1005="VENTA")*(MOVIMIENTOS!$C$5:$C$1005="P")*(MOVIMIENTOS!$D$5:$D$1005="jabas")*(MOVIMIENTOS!$A$5:$A$1005&lt;&gt;"")*(MOVIMIENTOS!$A$5:$A$1005&lt;=$A23)*MOVIMIENTOS!$E$5:$E$1005)+SUMPRODUCT((MOVIMIENTOS!$B$5:$B$1005="AJUSTE")*(MOVIMIENTOS!$C$5:$C$1005="P")*(MOVIMIENTOS!$D$5:$D$1005="jabas")*(MOVIMIENTOS!$A$5:$A$1005&lt;&gt;"")*(MOVIMIENTOS!$A$5:$A$1005&lt;=$A23)*MOVIMIENTOS!$E$5:$E$1005))</f>
        <v>4</v>
      </c>
      <c r="D23" s="65">
        <f>IF($A23="","",SUMPRODUCT((MOVIMIENTOS!$B$5:$B$1005="SALDO INICIAL")*(MOVIMIENTOS!$C$5:$C$1005="C")*(MOVIMIENTOS!$D$5:$D$1005="jabas")*(MOVIMIENTOS!$A$5:$A$1005&lt;&gt;"")*(MOVIMIENTOS!$A$5:$A$1005&lt;=$A23)*MOVIMIENTOS!$E$5:$E$1005)+SUMPRODUCT((MOVIMIENTOS!$B$5:$B$1005="PROCESO")*(MOVIMIENTOS!$C$5:$C$1005="C")*(MOVIMIENTOS!$D$5:$D$1005="jabas")*(MOVIMIENTOS!$A$5:$A$1005&lt;&gt;"")*(MOVIMIENTOS!$A$5:$A$1005&lt;=$A23)*MOVIMIENTOS!$E$5:$E$1005)-SUMPRODUCT((MOVIMIENTOS!$B$5:$B$1005="ENVÍO A SUPESA")*(MOVIMIENTOS!$C$5:$C$1005="C")*(MOVIMIENTOS!$D$5:$D$1005="jabas")*(MOVIMIENTOS!$A$5:$A$1005&lt;&gt;"")*(MOVIMIENTOS!$A$5:$A$1005&lt;=$A23)*MOVIMIENTOS!$E$5:$E$1005)+SUMPRODUCT((MOVIMIENTOS!$B$5:$B$1005="DEVOLUCIÓN")*(MOVIMIENTOS!$C$5:$C$1005="C")*(MOVIMIENTOS!$D$5:$D$1005="jabas")*(MOVIMIENTOS!$A$5:$A$1005&lt;&gt;"")*(MOVIMIENTOS!$A$5:$A$1005&lt;=$A23)*MOVIMIENTOS!$E$5:$E$1005)-SUMPRODUCT((MOVIMIENTOS!$B$5:$B$1005="TRASIEGO")*(MOVIMIENTOS!$C$5:$C$1005="C")*(MOVIMIENTOS!$D$5:$D$1005="jabas")*(MOVIMIENTOS!$A$5:$A$1005&lt;&gt;"")*(MOVIMIENTOS!$A$5:$A$1005&lt;=$A23)*MOVIMIENTOS!$E$5:$E$1005)-SUMPRODUCT((MOVIMIENTOS!$B$5:$B$1005="REGALO")*(MOVIMIENTOS!$C$5:$C$1005="C")*(MOVIMIENTOS!$D$5:$D$1005="jabas")*(MOVIMIENTOS!$A$5:$A$1005&lt;&gt;"")*(MOVIMIENTOS!$A$5:$A$1005&lt;=$A23)*MOVIMIENTOS!$E$5:$E$1005)-SUMPRODUCT((MOVIMIENTOS!$B$5:$B$1005="VENTA")*(MOVIMIENTOS!$C$5:$C$1005="C")*(MOVIMIENTOS!$D$5:$D$1005="jabas")*(MOVIMIENTOS!$A$5:$A$1005&lt;&gt;"")*(MOVIMIENTOS!$A$5:$A$1005&lt;=$A23)*MOVIMIENTOS!$E$5:$E$1005)+SUMPRODUCT((MOVIMIENTOS!$B$5:$B$1005="AJUSTE")*(MOVIMIENTOS!$C$5:$C$1005="C")*(MOVIMIENTOS!$D$5:$D$1005="jabas")*(MOVIMIENTOS!$A$5:$A$1005&lt;&gt;"")*(MOVIMIENTOS!$A$5:$A$1005&lt;=$A23)*MOVIMIENTOS!$E$5:$E$1005))</f>
        <v>12</v>
      </c>
      <c r="E23" s="65">
        <f>IF($A23="","",SUMPRODUCT((MOVIMIENTOS!$B$5:$B$1005="SALDO INICIAL")*(MOVIMIENTOS!$C$5:$C$1005="M")*(MOVIMIENTOS!$D$5:$D$1005="jabas")*(MOVIMIENTOS!$A$5:$A$1005&lt;&gt;"")*(MOVIMIENTOS!$A$5:$A$1005&lt;=$A23)*MOVIMIENTOS!$E$5:$E$1005)+SUMPRODUCT((MOVIMIENTOS!$B$5:$B$1005="PROCESO")*(MOVIMIENTOS!$C$5:$C$1005="M")*(MOVIMIENTOS!$D$5:$D$1005="jabas")*(MOVIMIENTOS!$A$5:$A$1005&lt;&gt;"")*(MOVIMIENTOS!$A$5:$A$1005&lt;=$A23)*MOVIMIENTOS!$E$5:$E$1005)-SUMPRODUCT((MOVIMIENTOS!$B$5:$B$1005="ENVÍO A SUPESA")*(MOVIMIENTOS!$C$5:$C$1005="M")*(MOVIMIENTOS!$D$5:$D$1005="jabas")*(MOVIMIENTOS!$A$5:$A$1005&lt;&gt;"")*(MOVIMIENTOS!$A$5:$A$1005&lt;=$A23)*MOVIMIENTOS!$E$5:$E$1005)+SUMPRODUCT((MOVIMIENTOS!$B$5:$B$1005="DEVOLUCIÓN")*(MOVIMIENTOS!$C$5:$C$1005="M")*(MOVIMIENTOS!$D$5:$D$1005="jabas")*(MOVIMIENTOS!$A$5:$A$1005&lt;&gt;"")*(MOVIMIENTOS!$A$5:$A$1005&lt;=$A23)*MOVIMIENTOS!$E$5:$E$1005)-SUMPRODUCT((MOVIMIENTOS!$B$5:$B$1005="TRASIEGO")*(MOVIMIENTOS!$C$5:$C$1005="M")*(MOVIMIENTOS!$D$5:$D$1005="jabas")*(MOVIMIENTOS!$A$5:$A$1005&lt;&gt;"")*(MOVIMIENTOS!$A$5:$A$1005&lt;=$A23)*MOVIMIENTOS!$E$5:$E$1005)-SUMPRODUCT((MOVIMIENTOS!$B$5:$B$1005="REGALO")*(MOVIMIENTOS!$C$5:$C$1005="M")*(MOVIMIENTOS!$D$5:$D$1005="jabas")*(MOVIMIENTOS!$A$5:$A$1005&lt;&gt;"")*(MOVIMIENTOS!$A$5:$A$1005&lt;=$A23)*MOVIMIENTOS!$E$5:$E$1005)-SUMPRODUCT((MOVIMIENTOS!$B$5:$B$1005="VENTA")*(MOVIMIENTOS!$C$5:$C$1005="M")*(MOVIMIENTOS!$D$5:$D$1005="jabas")*(MOVIMIENTOS!$A$5:$A$1005&lt;&gt;"")*(MOVIMIENTOS!$A$5:$A$1005&lt;=$A23)*MOVIMIENTOS!$E$5:$E$1005)+SUMPRODUCT((MOVIMIENTOS!$B$5:$B$1005="AJUSTE")*(MOVIMIENTOS!$C$5:$C$1005="M")*(MOVIMIENTOS!$D$5:$D$1005="jabas")*(MOVIMIENTOS!$A$5:$A$1005&lt;&gt;"")*(MOVIMIENTOS!$A$5:$A$1005&lt;=$A23)*MOVIMIENTOS!$E$5:$E$1005))</f>
        <v>117</v>
      </c>
      <c r="F23" s="65">
        <f>IF($A23="","",SUMPRODUCT((MOVIMIENTOS!$B$5:$B$1005="SALDO INICIAL")*(MOVIMIENTOS!$C$5:$C$1005="Chancho")*(MOVIMIENTOS!$D$5:$D$1005="sacos")*(MOVIMIENTOS!$A$5:$A$1005&lt;&gt;"")*(MOVIMIENTOS!$A$5:$A$1005&lt;=$A23)*MOVIMIENTOS!$E$5:$E$1005)+SUMPRODUCT((MOVIMIENTOS!$B$5:$B$1005="PROCESO")*(MOVIMIENTOS!$C$5:$C$1005="Chancho")*(MOVIMIENTOS!$D$5:$D$1005="sacos")*(MOVIMIENTOS!$A$5:$A$1005&lt;&gt;"")*(MOVIMIENTOS!$A$5:$A$1005&lt;=$A23)*MOVIMIENTOS!$E$5:$E$1005)-SUMPRODUCT((MOVIMIENTOS!$B$5:$B$1005="VENTA CHANCHO")*(MOVIMIENTOS!$C$5:$C$1005="Chancho")*(MOVIMIENTOS!$D$5:$D$1005="sacos")*(MOVIMIENTOS!$A$5:$A$1005&lt;&gt;"")*(MOVIMIENTOS!$A$5:$A$1005&lt;=$A23)*MOVIMIENTOS!$E$5:$E$1005)-SUMPRODUCT((MOVIMIENTOS!$B$5:$B$1005="REGALO")*(MOVIMIENTOS!$C$5:$C$1005="Chancho")*(MOVIMIENTOS!$D$5:$D$1005="sacos")*(MOVIMIENTOS!$A$5:$A$1005&lt;&gt;"")*(MOVIMIENTOS!$A$5:$A$1005&lt;=$A23)*MOVIMIENTOS!$E$5:$E$1005)-SUMPRODUCT((MOVIMIENTOS!$B$5:$B$1005="VENTA")*(MOVIMIENTOS!$C$5:$C$1005="Chancho")*(MOVIMIENTOS!$D$5:$D$1005="sacos")*(MOVIMIENTOS!$A$5:$A$1005&lt;&gt;"")*(MOVIMIENTOS!$A$5:$A$1005&lt;=$A23)*MOVIMIENTOS!$E$5:$E$1005)+SUMPRODUCT((MOVIMIENTOS!$B$5:$B$1005="AJUSTE")*(MOVIMIENTOS!$C$5:$C$1005="Chancho")*(MOVIMIENTOS!$D$5:$D$1005="sacos")*(MOVIMIENTOS!$A$5:$A$1005&lt;&gt;"")*(MOVIMIENTOS!$A$5:$A$1005&lt;=$A23)*MOVIMIENTOS!$E$5:$E$1005))</f>
        <v>21.5</v>
      </c>
      <c r="G23" s="77">
        <f t="shared" si="1"/>
        <v>237</v>
      </c>
      <c r="H23" s="65">
        <f>IF($A23="","",SUMPRODUCT((((MOVIMIENTOS!$B$5:$B$1005="SALDO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23)*MOVIMIENTOS!$J$5:$J$1005))</f>
        <v>4576.5</v>
      </c>
      <c r="I23" s="63"/>
      <c r="J23" s="63" t="str">
        <f>IF(AND(MOVIMIENTOS!$A23&lt;&gt;"",COUNTIF(MOVIMIENTOS!$A$5:$A22,MOVIMIENTOS!$A23)=0),COUNT(J$4:J22)+1,"")</f>
        <v/>
      </c>
      <c r="K23" s="66">
        <f>MOVIMIENTOS!$A23</f>
        <v>46216</v>
      </c>
      <c r="L23" s="63"/>
      <c r="M23" s="63"/>
      <c r="N23" s="63"/>
    </row>
    <row r="24" spans="1:14" ht="15" customHeight="1" x14ac:dyDescent="0.2">
      <c r="A24" s="64">
        <f t="shared" si="0"/>
        <v>46232</v>
      </c>
      <c r="B24" s="65">
        <f>IF($A24="","",SUMPRODUCT((MOVIMIENTOS!$B$5:$B$1005="SALDO INICIAL")*(MOVIMIENTOS!$C$5:$C$1005="A")*(MOVIMIENTOS!$D$5:$D$1005="jabas")*(MOVIMIENTOS!$A$5:$A$1005&lt;&gt;"")*(MOVIMIENTOS!$A$5:$A$1005&lt;=$A24)*MOVIMIENTOS!$E$5:$E$1005)+SUMPRODUCT((MOVIMIENTOS!$B$5:$B$1005="PROCESO")*(MOVIMIENTOS!$C$5:$C$1005="A")*(MOVIMIENTOS!$D$5:$D$1005="jabas")*(MOVIMIENTOS!$A$5:$A$1005&lt;&gt;"")*(MOVIMIENTOS!$A$5:$A$1005&lt;=$A24)*MOVIMIENTOS!$E$5:$E$1005)-SUMPRODUCT((MOVIMIENTOS!$B$5:$B$1005="ENVÍO A SUPESA")*(MOVIMIENTOS!$C$5:$C$1005="A")*(MOVIMIENTOS!$D$5:$D$1005="jabas")*(MOVIMIENTOS!$A$5:$A$1005&lt;&gt;"")*(MOVIMIENTOS!$A$5:$A$1005&lt;=$A24)*MOVIMIENTOS!$E$5:$E$1005)+SUMPRODUCT((MOVIMIENTOS!$B$5:$B$1005="DEVOLUCIÓN")*(MOVIMIENTOS!$C$5:$C$1005="A")*(MOVIMIENTOS!$D$5:$D$1005="jabas")*(MOVIMIENTOS!$A$5:$A$1005&lt;&gt;"")*(MOVIMIENTOS!$A$5:$A$1005&lt;=$A24)*MOVIMIENTOS!$E$5:$E$1005)-SUMPRODUCT((MOVIMIENTOS!$B$5:$B$1005="TRASIEGO")*(MOVIMIENTOS!$C$5:$C$1005="A")*(MOVIMIENTOS!$D$5:$D$1005="jabas")*(MOVIMIENTOS!$A$5:$A$1005&lt;&gt;"")*(MOVIMIENTOS!$A$5:$A$1005&lt;=$A24)*MOVIMIENTOS!$E$5:$E$1005)-SUMPRODUCT((MOVIMIENTOS!$B$5:$B$1005="REGALO")*(MOVIMIENTOS!$C$5:$C$1005="A")*(MOVIMIENTOS!$D$5:$D$1005="jabas")*(MOVIMIENTOS!$A$5:$A$1005&lt;&gt;"")*(MOVIMIENTOS!$A$5:$A$1005&lt;=$A24)*MOVIMIENTOS!$E$5:$E$1005)-SUMPRODUCT((MOVIMIENTOS!$B$5:$B$1005="VENTA")*(MOVIMIENTOS!$C$5:$C$1005="A")*(MOVIMIENTOS!$D$5:$D$1005="jabas")*(MOVIMIENTOS!$A$5:$A$1005&lt;&gt;"")*(MOVIMIENTOS!$A$5:$A$1005&lt;=$A24)*MOVIMIENTOS!$E$5:$E$1005)+SUMPRODUCT((MOVIMIENTOS!$B$5:$B$1005="AJUSTE")*(MOVIMIENTOS!$C$5:$C$1005="A")*(MOVIMIENTOS!$D$5:$D$1005="jabas")*(MOVIMIENTOS!$A$5:$A$1005&lt;&gt;"")*(MOVIMIENTOS!$A$5:$A$1005&lt;=$A24)*MOVIMIENTOS!$E$5:$E$1005))</f>
        <v>37</v>
      </c>
      <c r="C24" s="65">
        <f>IF($A24="","",SUMPRODUCT((MOVIMIENTOS!$B$5:$B$1005="SALDO INICIAL")*(MOVIMIENTOS!$C$5:$C$1005="P")*(MOVIMIENTOS!$D$5:$D$1005="jabas")*(MOVIMIENTOS!$A$5:$A$1005&lt;&gt;"")*(MOVIMIENTOS!$A$5:$A$1005&lt;=$A24)*MOVIMIENTOS!$E$5:$E$1005)+SUMPRODUCT((MOVIMIENTOS!$B$5:$B$1005="PROCESO")*(MOVIMIENTOS!$C$5:$C$1005="P")*(MOVIMIENTOS!$D$5:$D$1005="jabas")*(MOVIMIENTOS!$A$5:$A$1005&lt;&gt;"")*(MOVIMIENTOS!$A$5:$A$1005&lt;=$A24)*MOVIMIENTOS!$E$5:$E$1005)-SUMPRODUCT((MOVIMIENTOS!$B$5:$B$1005="ENVÍO A SUPESA")*(MOVIMIENTOS!$C$5:$C$1005="P")*(MOVIMIENTOS!$D$5:$D$1005="jabas")*(MOVIMIENTOS!$A$5:$A$1005&lt;&gt;"")*(MOVIMIENTOS!$A$5:$A$1005&lt;=$A24)*MOVIMIENTOS!$E$5:$E$1005)+SUMPRODUCT((MOVIMIENTOS!$B$5:$B$1005="DEVOLUCIÓN")*(MOVIMIENTOS!$C$5:$C$1005="P")*(MOVIMIENTOS!$D$5:$D$1005="jabas")*(MOVIMIENTOS!$A$5:$A$1005&lt;&gt;"")*(MOVIMIENTOS!$A$5:$A$1005&lt;=$A24)*MOVIMIENTOS!$E$5:$E$1005)-SUMPRODUCT((MOVIMIENTOS!$B$5:$B$1005="TRASIEGO")*(MOVIMIENTOS!$C$5:$C$1005="P")*(MOVIMIENTOS!$D$5:$D$1005="jabas")*(MOVIMIENTOS!$A$5:$A$1005&lt;&gt;"")*(MOVIMIENTOS!$A$5:$A$1005&lt;=$A24)*MOVIMIENTOS!$E$5:$E$1005)-SUMPRODUCT((MOVIMIENTOS!$B$5:$B$1005="REGALO")*(MOVIMIENTOS!$C$5:$C$1005="P")*(MOVIMIENTOS!$D$5:$D$1005="jabas")*(MOVIMIENTOS!$A$5:$A$1005&lt;&gt;"")*(MOVIMIENTOS!$A$5:$A$1005&lt;=$A24)*MOVIMIENTOS!$E$5:$E$1005)-SUMPRODUCT((MOVIMIENTOS!$B$5:$B$1005="VENTA")*(MOVIMIENTOS!$C$5:$C$1005="P")*(MOVIMIENTOS!$D$5:$D$1005="jabas")*(MOVIMIENTOS!$A$5:$A$1005&lt;&gt;"")*(MOVIMIENTOS!$A$5:$A$1005&lt;=$A24)*MOVIMIENTOS!$E$5:$E$1005)+SUMPRODUCT((MOVIMIENTOS!$B$5:$B$1005="AJUSTE")*(MOVIMIENTOS!$C$5:$C$1005="P")*(MOVIMIENTOS!$D$5:$D$1005="jabas")*(MOVIMIENTOS!$A$5:$A$1005&lt;&gt;"")*(MOVIMIENTOS!$A$5:$A$1005&lt;=$A24)*MOVIMIENTOS!$E$5:$E$1005))</f>
        <v>0</v>
      </c>
      <c r="D24" s="65">
        <f>IF($A24="","",SUMPRODUCT((MOVIMIENTOS!$B$5:$B$1005="SALDO INICIAL")*(MOVIMIENTOS!$C$5:$C$1005="C")*(MOVIMIENTOS!$D$5:$D$1005="jabas")*(MOVIMIENTOS!$A$5:$A$1005&lt;&gt;"")*(MOVIMIENTOS!$A$5:$A$1005&lt;=$A24)*MOVIMIENTOS!$E$5:$E$1005)+SUMPRODUCT((MOVIMIENTOS!$B$5:$B$1005="PROCESO")*(MOVIMIENTOS!$C$5:$C$1005="C")*(MOVIMIENTOS!$D$5:$D$1005="jabas")*(MOVIMIENTOS!$A$5:$A$1005&lt;&gt;"")*(MOVIMIENTOS!$A$5:$A$1005&lt;=$A24)*MOVIMIENTOS!$E$5:$E$1005)-SUMPRODUCT((MOVIMIENTOS!$B$5:$B$1005="ENVÍO A SUPESA")*(MOVIMIENTOS!$C$5:$C$1005="C")*(MOVIMIENTOS!$D$5:$D$1005="jabas")*(MOVIMIENTOS!$A$5:$A$1005&lt;&gt;"")*(MOVIMIENTOS!$A$5:$A$1005&lt;=$A24)*MOVIMIENTOS!$E$5:$E$1005)+SUMPRODUCT((MOVIMIENTOS!$B$5:$B$1005="DEVOLUCIÓN")*(MOVIMIENTOS!$C$5:$C$1005="C")*(MOVIMIENTOS!$D$5:$D$1005="jabas")*(MOVIMIENTOS!$A$5:$A$1005&lt;&gt;"")*(MOVIMIENTOS!$A$5:$A$1005&lt;=$A24)*MOVIMIENTOS!$E$5:$E$1005)-SUMPRODUCT((MOVIMIENTOS!$B$5:$B$1005="TRASIEGO")*(MOVIMIENTOS!$C$5:$C$1005="C")*(MOVIMIENTOS!$D$5:$D$1005="jabas")*(MOVIMIENTOS!$A$5:$A$1005&lt;&gt;"")*(MOVIMIENTOS!$A$5:$A$1005&lt;=$A24)*MOVIMIENTOS!$E$5:$E$1005)-SUMPRODUCT((MOVIMIENTOS!$B$5:$B$1005="REGALO")*(MOVIMIENTOS!$C$5:$C$1005="C")*(MOVIMIENTOS!$D$5:$D$1005="jabas")*(MOVIMIENTOS!$A$5:$A$1005&lt;&gt;"")*(MOVIMIENTOS!$A$5:$A$1005&lt;=$A24)*MOVIMIENTOS!$E$5:$E$1005)-SUMPRODUCT((MOVIMIENTOS!$B$5:$B$1005="VENTA")*(MOVIMIENTOS!$C$5:$C$1005="C")*(MOVIMIENTOS!$D$5:$D$1005="jabas")*(MOVIMIENTOS!$A$5:$A$1005&lt;&gt;"")*(MOVIMIENTOS!$A$5:$A$1005&lt;=$A24)*MOVIMIENTOS!$E$5:$E$1005)+SUMPRODUCT((MOVIMIENTOS!$B$5:$B$1005="AJUSTE")*(MOVIMIENTOS!$C$5:$C$1005="C")*(MOVIMIENTOS!$D$5:$D$1005="jabas")*(MOVIMIENTOS!$A$5:$A$1005&lt;&gt;"")*(MOVIMIENTOS!$A$5:$A$1005&lt;=$A24)*MOVIMIENTOS!$E$5:$E$1005))</f>
        <v>0</v>
      </c>
      <c r="E24" s="65">
        <f>IF($A24="","",SUMPRODUCT((MOVIMIENTOS!$B$5:$B$1005="SALDO INICIAL")*(MOVIMIENTOS!$C$5:$C$1005="M")*(MOVIMIENTOS!$D$5:$D$1005="jabas")*(MOVIMIENTOS!$A$5:$A$1005&lt;&gt;"")*(MOVIMIENTOS!$A$5:$A$1005&lt;=$A24)*MOVIMIENTOS!$E$5:$E$1005)+SUMPRODUCT((MOVIMIENTOS!$B$5:$B$1005="PROCESO")*(MOVIMIENTOS!$C$5:$C$1005="M")*(MOVIMIENTOS!$D$5:$D$1005="jabas")*(MOVIMIENTOS!$A$5:$A$1005&lt;&gt;"")*(MOVIMIENTOS!$A$5:$A$1005&lt;=$A24)*MOVIMIENTOS!$E$5:$E$1005)-SUMPRODUCT((MOVIMIENTOS!$B$5:$B$1005="ENVÍO A SUPESA")*(MOVIMIENTOS!$C$5:$C$1005="M")*(MOVIMIENTOS!$D$5:$D$1005="jabas")*(MOVIMIENTOS!$A$5:$A$1005&lt;&gt;"")*(MOVIMIENTOS!$A$5:$A$1005&lt;=$A24)*MOVIMIENTOS!$E$5:$E$1005)+SUMPRODUCT((MOVIMIENTOS!$B$5:$B$1005="DEVOLUCIÓN")*(MOVIMIENTOS!$C$5:$C$1005="M")*(MOVIMIENTOS!$D$5:$D$1005="jabas")*(MOVIMIENTOS!$A$5:$A$1005&lt;&gt;"")*(MOVIMIENTOS!$A$5:$A$1005&lt;=$A24)*MOVIMIENTOS!$E$5:$E$1005)-SUMPRODUCT((MOVIMIENTOS!$B$5:$B$1005="TRASIEGO")*(MOVIMIENTOS!$C$5:$C$1005="M")*(MOVIMIENTOS!$D$5:$D$1005="jabas")*(MOVIMIENTOS!$A$5:$A$1005&lt;&gt;"")*(MOVIMIENTOS!$A$5:$A$1005&lt;=$A24)*MOVIMIENTOS!$E$5:$E$1005)-SUMPRODUCT((MOVIMIENTOS!$B$5:$B$1005="REGALO")*(MOVIMIENTOS!$C$5:$C$1005="M")*(MOVIMIENTOS!$D$5:$D$1005="jabas")*(MOVIMIENTOS!$A$5:$A$1005&lt;&gt;"")*(MOVIMIENTOS!$A$5:$A$1005&lt;=$A24)*MOVIMIENTOS!$E$5:$E$1005)-SUMPRODUCT((MOVIMIENTOS!$B$5:$B$1005="VENTA")*(MOVIMIENTOS!$C$5:$C$1005="M")*(MOVIMIENTOS!$D$5:$D$1005="jabas")*(MOVIMIENTOS!$A$5:$A$1005&lt;&gt;"")*(MOVIMIENTOS!$A$5:$A$1005&lt;=$A24)*MOVIMIENTOS!$E$5:$E$1005)+SUMPRODUCT((MOVIMIENTOS!$B$5:$B$1005="AJUSTE")*(MOVIMIENTOS!$C$5:$C$1005="M")*(MOVIMIENTOS!$D$5:$D$1005="jabas")*(MOVIMIENTOS!$A$5:$A$1005&lt;&gt;"")*(MOVIMIENTOS!$A$5:$A$1005&lt;=$A24)*MOVIMIENTOS!$E$5:$E$1005))</f>
        <v>28</v>
      </c>
      <c r="F24" s="65">
        <f>IF($A24="","",SUMPRODUCT((MOVIMIENTOS!$B$5:$B$1005="SALDO INICIAL")*(MOVIMIENTOS!$C$5:$C$1005="Chancho")*(MOVIMIENTOS!$D$5:$D$1005="sacos")*(MOVIMIENTOS!$A$5:$A$1005&lt;&gt;"")*(MOVIMIENTOS!$A$5:$A$1005&lt;=$A24)*MOVIMIENTOS!$E$5:$E$1005)+SUMPRODUCT((MOVIMIENTOS!$B$5:$B$1005="PROCESO")*(MOVIMIENTOS!$C$5:$C$1005="Chancho")*(MOVIMIENTOS!$D$5:$D$1005="sacos")*(MOVIMIENTOS!$A$5:$A$1005&lt;&gt;"")*(MOVIMIENTOS!$A$5:$A$1005&lt;=$A24)*MOVIMIENTOS!$E$5:$E$1005)-SUMPRODUCT((MOVIMIENTOS!$B$5:$B$1005="VENTA CHANCHO")*(MOVIMIENTOS!$C$5:$C$1005="Chancho")*(MOVIMIENTOS!$D$5:$D$1005="sacos")*(MOVIMIENTOS!$A$5:$A$1005&lt;&gt;"")*(MOVIMIENTOS!$A$5:$A$1005&lt;=$A24)*MOVIMIENTOS!$E$5:$E$1005)-SUMPRODUCT((MOVIMIENTOS!$B$5:$B$1005="REGALO")*(MOVIMIENTOS!$C$5:$C$1005="Chancho")*(MOVIMIENTOS!$D$5:$D$1005="sacos")*(MOVIMIENTOS!$A$5:$A$1005&lt;&gt;"")*(MOVIMIENTOS!$A$5:$A$1005&lt;=$A24)*MOVIMIENTOS!$E$5:$E$1005)-SUMPRODUCT((MOVIMIENTOS!$B$5:$B$1005="VENTA")*(MOVIMIENTOS!$C$5:$C$1005="Chancho")*(MOVIMIENTOS!$D$5:$D$1005="sacos")*(MOVIMIENTOS!$A$5:$A$1005&lt;&gt;"")*(MOVIMIENTOS!$A$5:$A$1005&lt;=$A24)*MOVIMIENTOS!$E$5:$E$1005)+SUMPRODUCT((MOVIMIENTOS!$B$5:$B$1005="AJUSTE")*(MOVIMIENTOS!$C$5:$C$1005="Chancho")*(MOVIMIENTOS!$D$5:$D$1005="sacos")*(MOVIMIENTOS!$A$5:$A$1005&lt;&gt;"")*(MOVIMIENTOS!$A$5:$A$1005&lt;=$A24)*MOVIMIENTOS!$E$5:$E$1005))</f>
        <v>11.5</v>
      </c>
      <c r="G24" s="77">
        <f t="shared" si="1"/>
        <v>65</v>
      </c>
      <c r="H24" s="65">
        <f>IF($A24="","",SUMPRODUCT((((MOVIMIENTOS!$B$5:$B$1005="SALDO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24)*MOVIMIENTOS!$J$5:$J$1005))</f>
        <v>1782.5</v>
      </c>
      <c r="I24" s="63"/>
      <c r="J24" s="63" t="str">
        <f>IF(AND(MOVIMIENTOS!$A24&lt;&gt;"",COUNTIF(MOVIMIENTOS!$A$5:$A23,MOVIMIENTOS!$A24)=0),COUNT(J$4:J23)+1,"")</f>
        <v/>
      </c>
      <c r="K24" s="66">
        <f>MOVIMIENTOS!$A24</f>
        <v>46216</v>
      </c>
      <c r="L24" s="63"/>
      <c r="M24" s="63"/>
      <c r="N24" s="63"/>
    </row>
    <row r="25" spans="1:14" ht="15" customHeight="1" x14ac:dyDescent="0.2">
      <c r="A25" s="64">
        <f t="shared" si="0"/>
        <v>46233</v>
      </c>
      <c r="B25" s="65">
        <f>IF($A25="","",SUMPRODUCT((MOVIMIENTOS!$B$5:$B$1005="SALDO INICIAL")*(MOVIMIENTOS!$C$5:$C$1005="A")*(MOVIMIENTOS!$D$5:$D$1005="jabas")*(MOVIMIENTOS!$A$5:$A$1005&lt;&gt;"")*(MOVIMIENTOS!$A$5:$A$1005&lt;=$A25)*MOVIMIENTOS!$E$5:$E$1005)+SUMPRODUCT((MOVIMIENTOS!$B$5:$B$1005="PROCESO")*(MOVIMIENTOS!$C$5:$C$1005="A")*(MOVIMIENTOS!$D$5:$D$1005="jabas")*(MOVIMIENTOS!$A$5:$A$1005&lt;&gt;"")*(MOVIMIENTOS!$A$5:$A$1005&lt;=$A25)*MOVIMIENTOS!$E$5:$E$1005)-SUMPRODUCT((MOVIMIENTOS!$B$5:$B$1005="ENVÍO A SUPESA")*(MOVIMIENTOS!$C$5:$C$1005="A")*(MOVIMIENTOS!$D$5:$D$1005="jabas")*(MOVIMIENTOS!$A$5:$A$1005&lt;&gt;"")*(MOVIMIENTOS!$A$5:$A$1005&lt;=$A25)*MOVIMIENTOS!$E$5:$E$1005)+SUMPRODUCT((MOVIMIENTOS!$B$5:$B$1005="DEVOLUCIÓN")*(MOVIMIENTOS!$C$5:$C$1005="A")*(MOVIMIENTOS!$D$5:$D$1005="jabas")*(MOVIMIENTOS!$A$5:$A$1005&lt;&gt;"")*(MOVIMIENTOS!$A$5:$A$1005&lt;=$A25)*MOVIMIENTOS!$E$5:$E$1005)-SUMPRODUCT((MOVIMIENTOS!$B$5:$B$1005="TRASIEGO")*(MOVIMIENTOS!$C$5:$C$1005="A")*(MOVIMIENTOS!$D$5:$D$1005="jabas")*(MOVIMIENTOS!$A$5:$A$1005&lt;&gt;"")*(MOVIMIENTOS!$A$5:$A$1005&lt;=$A25)*MOVIMIENTOS!$E$5:$E$1005)-SUMPRODUCT((MOVIMIENTOS!$B$5:$B$1005="REGALO")*(MOVIMIENTOS!$C$5:$C$1005="A")*(MOVIMIENTOS!$D$5:$D$1005="jabas")*(MOVIMIENTOS!$A$5:$A$1005&lt;&gt;"")*(MOVIMIENTOS!$A$5:$A$1005&lt;=$A25)*MOVIMIENTOS!$E$5:$E$1005)-SUMPRODUCT((MOVIMIENTOS!$B$5:$B$1005="VENTA")*(MOVIMIENTOS!$C$5:$C$1005="A")*(MOVIMIENTOS!$D$5:$D$1005="jabas")*(MOVIMIENTOS!$A$5:$A$1005&lt;&gt;"")*(MOVIMIENTOS!$A$5:$A$1005&lt;=$A25)*MOVIMIENTOS!$E$5:$E$1005)+SUMPRODUCT((MOVIMIENTOS!$B$5:$B$1005="AJUSTE")*(MOVIMIENTOS!$C$5:$C$1005="A")*(MOVIMIENTOS!$D$5:$D$1005="jabas")*(MOVIMIENTOS!$A$5:$A$1005&lt;&gt;"")*(MOVIMIENTOS!$A$5:$A$1005&lt;=$A25)*MOVIMIENTOS!$E$5:$E$1005))</f>
        <v>16</v>
      </c>
      <c r="C25" s="65">
        <f>IF($A25="","",SUMPRODUCT((MOVIMIENTOS!$B$5:$B$1005="SALDO INICIAL")*(MOVIMIENTOS!$C$5:$C$1005="P")*(MOVIMIENTOS!$D$5:$D$1005="jabas")*(MOVIMIENTOS!$A$5:$A$1005&lt;&gt;"")*(MOVIMIENTOS!$A$5:$A$1005&lt;=$A25)*MOVIMIENTOS!$E$5:$E$1005)+SUMPRODUCT((MOVIMIENTOS!$B$5:$B$1005="PROCESO")*(MOVIMIENTOS!$C$5:$C$1005="P")*(MOVIMIENTOS!$D$5:$D$1005="jabas")*(MOVIMIENTOS!$A$5:$A$1005&lt;&gt;"")*(MOVIMIENTOS!$A$5:$A$1005&lt;=$A25)*MOVIMIENTOS!$E$5:$E$1005)-SUMPRODUCT((MOVIMIENTOS!$B$5:$B$1005="ENVÍO A SUPESA")*(MOVIMIENTOS!$C$5:$C$1005="P")*(MOVIMIENTOS!$D$5:$D$1005="jabas")*(MOVIMIENTOS!$A$5:$A$1005&lt;&gt;"")*(MOVIMIENTOS!$A$5:$A$1005&lt;=$A25)*MOVIMIENTOS!$E$5:$E$1005)+SUMPRODUCT((MOVIMIENTOS!$B$5:$B$1005="DEVOLUCIÓN")*(MOVIMIENTOS!$C$5:$C$1005="P")*(MOVIMIENTOS!$D$5:$D$1005="jabas")*(MOVIMIENTOS!$A$5:$A$1005&lt;&gt;"")*(MOVIMIENTOS!$A$5:$A$1005&lt;=$A25)*MOVIMIENTOS!$E$5:$E$1005)-SUMPRODUCT((MOVIMIENTOS!$B$5:$B$1005="TRASIEGO")*(MOVIMIENTOS!$C$5:$C$1005="P")*(MOVIMIENTOS!$D$5:$D$1005="jabas")*(MOVIMIENTOS!$A$5:$A$1005&lt;&gt;"")*(MOVIMIENTOS!$A$5:$A$1005&lt;=$A25)*MOVIMIENTOS!$E$5:$E$1005)-SUMPRODUCT((MOVIMIENTOS!$B$5:$B$1005="REGALO")*(MOVIMIENTOS!$C$5:$C$1005="P")*(MOVIMIENTOS!$D$5:$D$1005="jabas")*(MOVIMIENTOS!$A$5:$A$1005&lt;&gt;"")*(MOVIMIENTOS!$A$5:$A$1005&lt;=$A25)*MOVIMIENTOS!$E$5:$E$1005)-SUMPRODUCT((MOVIMIENTOS!$B$5:$B$1005="VENTA")*(MOVIMIENTOS!$C$5:$C$1005="P")*(MOVIMIENTOS!$D$5:$D$1005="jabas")*(MOVIMIENTOS!$A$5:$A$1005&lt;&gt;"")*(MOVIMIENTOS!$A$5:$A$1005&lt;=$A25)*MOVIMIENTOS!$E$5:$E$1005)+SUMPRODUCT((MOVIMIENTOS!$B$5:$B$1005="AJUSTE")*(MOVIMIENTOS!$C$5:$C$1005="P")*(MOVIMIENTOS!$D$5:$D$1005="jabas")*(MOVIMIENTOS!$A$5:$A$1005&lt;&gt;"")*(MOVIMIENTOS!$A$5:$A$1005&lt;=$A25)*MOVIMIENTOS!$E$5:$E$1005))</f>
        <v>0</v>
      </c>
      <c r="D25" s="65">
        <f>IF($A25="","",SUMPRODUCT((MOVIMIENTOS!$B$5:$B$1005="SALDO INICIAL")*(MOVIMIENTOS!$C$5:$C$1005="C")*(MOVIMIENTOS!$D$5:$D$1005="jabas")*(MOVIMIENTOS!$A$5:$A$1005&lt;&gt;"")*(MOVIMIENTOS!$A$5:$A$1005&lt;=$A25)*MOVIMIENTOS!$E$5:$E$1005)+SUMPRODUCT((MOVIMIENTOS!$B$5:$B$1005="PROCESO")*(MOVIMIENTOS!$C$5:$C$1005="C")*(MOVIMIENTOS!$D$5:$D$1005="jabas")*(MOVIMIENTOS!$A$5:$A$1005&lt;&gt;"")*(MOVIMIENTOS!$A$5:$A$1005&lt;=$A25)*MOVIMIENTOS!$E$5:$E$1005)-SUMPRODUCT((MOVIMIENTOS!$B$5:$B$1005="ENVÍO A SUPESA")*(MOVIMIENTOS!$C$5:$C$1005="C")*(MOVIMIENTOS!$D$5:$D$1005="jabas")*(MOVIMIENTOS!$A$5:$A$1005&lt;&gt;"")*(MOVIMIENTOS!$A$5:$A$1005&lt;=$A25)*MOVIMIENTOS!$E$5:$E$1005)+SUMPRODUCT((MOVIMIENTOS!$B$5:$B$1005="DEVOLUCIÓN")*(MOVIMIENTOS!$C$5:$C$1005="C")*(MOVIMIENTOS!$D$5:$D$1005="jabas")*(MOVIMIENTOS!$A$5:$A$1005&lt;&gt;"")*(MOVIMIENTOS!$A$5:$A$1005&lt;=$A25)*MOVIMIENTOS!$E$5:$E$1005)-SUMPRODUCT((MOVIMIENTOS!$B$5:$B$1005="TRASIEGO")*(MOVIMIENTOS!$C$5:$C$1005="C")*(MOVIMIENTOS!$D$5:$D$1005="jabas")*(MOVIMIENTOS!$A$5:$A$1005&lt;&gt;"")*(MOVIMIENTOS!$A$5:$A$1005&lt;=$A25)*MOVIMIENTOS!$E$5:$E$1005)-SUMPRODUCT((MOVIMIENTOS!$B$5:$B$1005="REGALO")*(MOVIMIENTOS!$C$5:$C$1005="C")*(MOVIMIENTOS!$D$5:$D$1005="jabas")*(MOVIMIENTOS!$A$5:$A$1005&lt;&gt;"")*(MOVIMIENTOS!$A$5:$A$1005&lt;=$A25)*MOVIMIENTOS!$E$5:$E$1005)-SUMPRODUCT((MOVIMIENTOS!$B$5:$B$1005="VENTA")*(MOVIMIENTOS!$C$5:$C$1005="C")*(MOVIMIENTOS!$D$5:$D$1005="jabas")*(MOVIMIENTOS!$A$5:$A$1005&lt;&gt;"")*(MOVIMIENTOS!$A$5:$A$1005&lt;=$A25)*MOVIMIENTOS!$E$5:$E$1005)+SUMPRODUCT((MOVIMIENTOS!$B$5:$B$1005="AJUSTE")*(MOVIMIENTOS!$C$5:$C$1005="C")*(MOVIMIENTOS!$D$5:$D$1005="jabas")*(MOVIMIENTOS!$A$5:$A$1005&lt;&gt;"")*(MOVIMIENTOS!$A$5:$A$1005&lt;=$A25)*MOVIMIENTOS!$E$5:$E$1005))</f>
        <v>0</v>
      </c>
      <c r="E25" s="65">
        <f>IF($A25="","",SUMPRODUCT((MOVIMIENTOS!$B$5:$B$1005="SALDO INICIAL")*(MOVIMIENTOS!$C$5:$C$1005="M")*(MOVIMIENTOS!$D$5:$D$1005="jabas")*(MOVIMIENTOS!$A$5:$A$1005&lt;&gt;"")*(MOVIMIENTOS!$A$5:$A$1005&lt;=$A25)*MOVIMIENTOS!$E$5:$E$1005)+SUMPRODUCT((MOVIMIENTOS!$B$5:$B$1005="PROCESO")*(MOVIMIENTOS!$C$5:$C$1005="M")*(MOVIMIENTOS!$D$5:$D$1005="jabas")*(MOVIMIENTOS!$A$5:$A$1005&lt;&gt;"")*(MOVIMIENTOS!$A$5:$A$1005&lt;=$A25)*MOVIMIENTOS!$E$5:$E$1005)-SUMPRODUCT((MOVIMIENTOS!$B$5:$B$1005="ENVÍO A SUPESA")*(MOVIMIENTOS!$C$5:$C$1005="M")*(MOVIMIENTOS!$D$5:$D$1005="jabas")*(MOVIMIENTOS!$A$5:$A$1005&lt;&gt;"")*(MOVIMIENTOS!$A$5:$A$1005&lt;=$A25)*MOVIMIENTOS!$E$5:$E$1005)+SUMPRODUCT((MOVIMIENTOS!$B$5:$B$1005="DEVOLUCIÓN")*(MOVIMIENTOS!$C$5:$C$1005="M")*(MOVIMIENTOS!$D$5:$D$1005="jabas")*(MOVIMIENTOS!$A$5:$A$1005&lt;&gt;"")*(MOVIMIENTOS!$A$5:$A$1005&lt;=$A25)*MOVIMIENTOS!$E$5:$E$1005)-SUMPRODUCT((MOVIMIENTOS!$B$5:$B$1005="TRASIEGO")*(MOVIMIENTOS!$C$5:$C$1005="M")*(MOVIMIENTOS!$D$5:$D$1005="jabas")*(MOVIMIENTOS!$A$5:$A$1005&lt;&gt;"")*(MOVIMIENTOS!$A$5:$A$1005&lt;=$A25)*MOVIMIENTOS!$E$5:$E$1005)-SUMPRODUCT((MOVIMIENTOS!$B$5:$B$1005="REGALO")*(MOVIMIENTOS!$C$5:$C$1005="M")*(MOVIMIENTOS!$D$5:$D$1005="jabas")*(MOVIMIENTOS!$A$5:$A$1005&lt;&gt;"")*(MOVIMIENTOS!$A$5:$A$1005&lt;=$A25)*MOVIMIENTOS!$E$5:$E$1005)-SUMPRODUCT((MOVIMIENTOS!$B$5:$B$1005="VENTA")*(MOVIMIENTOS!$C$5:$C$1005="M")*(MOVIMIENTOS!$D$5:$D$1005="jabas")*(MOVIMIENTOS!$A$5:$A$1005&lt;&gt;"")*(MOVIMIENTOS!$A$5:$A$1005&lt;=$A25)*MOVIMIENTOS!$E$5:$E$1005)+SUMPRODUCT((MOVIMIENTOS!$B$5:$B$1005="AJUSTE")*(MOVIMIENTOS!$C$5:$C$1005="M")*(MOVIMIENTOS!$D$5:$D$1005="jabas")*(MOVIMIENTOS!$A$5:$A$1005&lt;&gt;"")*(MOVIMIENTOS!$A$5:$A$1005&lt;=$A25)*MOVIMIENTOS!$E$5:$E$1005))</f>
        <v>-1</v>
      </c>
      <c r="F25" s="65">
        <f>IF($A25="","",SUMPRODUCT((MOVIMIENTOS!$B$5:$B$1005="SALDO INICIAL")*(MOVIMIENTOS!$C$5:$C$1005="Chancho")*(MOVIMIENTOS!$D$5:$D$1005="sacos")*(MOVIMIENTOS!$A$5:$A$1005&lt;&gt;"")*(MOVIMIENTOS!$A$5:$A$1005&lt;=$A25)*MOVIMIENTOS!$E$5:$E$1005)+SUMPRODUCT((MOVIMIENTOS!$B$5:$B$1005="PROCESO")*(MOVIMIENTOS!$C$5:$C$1005="Chancho")*(MOVIMIENTOS!$D$5:$D$1005="sacos")*(MOVIMIENTOS!$A$5:$A$1005&lt;&gt;"")*(MOVIMIENTOS!$A$5:$A$1005&lt;=$A25)*MOVIMIENTOS!$E$5:$E$1005)-SUMPRODUCT((MOVIMIENTOS!$B$5:$B$1005="VENTA CHANCHO")*(MOVIMIENTOS!$C$5:$C$1005="Chancho")*(MOVIMIENTOS!$D$5:$D$1005="sacos")*(MOVIMIENTOS!$A$5:$A$1005&lt;&gt;"")*(MOVIMIENTOS!$A$5:$A$1005&lt;=$A25)*MOVIMIENTOS!$E$5:$E$1005)-SUMPRODUCT((MOVIMIENTOS!$B$5:$B$1005="REGALO")*(MOVIMIENTOS!$C$5:$C$1005="Chancho")*(MOVIMIENTOS!$D$5:$D$1005="sacos")*(MOVIMIENTOS!$A$5:$A$1005&lt;&gt;"")*(MOVIMIENTOS!$A$5:$A$1005&lt;=$A25)*MOVIMIENTOS!$E$5:$E$1005)-SUMPRODUCT((MOVIMIENTOS!$B$5:$B$1005="VENTA")*(MOVIMIENTOS!$C$5:$C$1005="Chancho")*(MOVIMIENTOS!$D$5:$D$1005="sacos")*(MOVIMIENTOS!$A$5:$A$1005&lt;&gt;"")*(MOVIMIENTOS!$A$5:$A$1005&lt;=$A25)*MOVIMIENTOS!$E$5:$E$1005)+SUMPRODUCT((MOVIMIENTOS!$B$5:$B$1005="AJUSTE")*(MOVIMIENTOS!$C$5:$C$1005="Chancho")*(MOVIMIENTOS!$D$5:$D$1005="sacos")*(MOVIMIENTOS!$A$5:$A$1005&lt;&gt;"")*(MOVIMIENTOS!$A$5:$A$1005&lt;=$A25)*MOVIMIENTOS!$E$5:$E$1005))</f>
        <v>16.5</v>
      </c>
      <c r="G25" s="77">
        <f t="shared" si="1"/>
        <v>15</v>
      </c>
      <c r="H25" s="65">
        <f>IF($A25="","",SUMPRODUCT((((MOVIMIENTOS!$B$5:$B$1005="SALDO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25)*MOVIMIENTOS!$J$5:$J$1005))</f>
        <v>913.5</v>
      </c>
      <c r="I25" s="63"/>
      <c r="J25" s="63" t="str">
        <f>IF(AND(MOVIMIENTOS!$A25&lt;&gt;"",COUNTIF(MOVIMIENTOS!$A$5:$A24,MOVIMIENTOS!$A25)=0),COUNT(J$4:J24)+1,"")</f>
        <v/>
      </c>
      <c r="K25" s="66">
        <f>MOVIMIENTOS!$A25</f>
        <v>46216</v>
      </c>
      <c r="L25" s="63"/>
      <c r="M25" s="63"/>
      <c r="N25" s="63"/>
    </row>
    <row r="26" spans="1:14" ht="15" customHeight="1" x14ac:dyDescent="0.2">
      <c r="A26" s="64">
        <f t="shared" si="0"/>
        <v>46234</v>
      </c>
      <c r="B26" s="65">
        <f>IF($A26="","",SUMPRODUCT((MOVIMIENTOS!$B$5:$B$1005="SALDO INICIAL")*(MOVIMIENTOS!$C$5:$C$1005="A")*(MOVIMIENTOS!$D$5:$D$1005="jabas")*(MOVIMIENTOS!$A$5:$A$1005&lt;&gt;"")*(MOVIMIENTOS!$A$5:$A$1005&lt;=$A26)*MOVIMIENTOS!$E$5:$E$1005)+SUMPRODUCT((MOVIMIENTOS!$B$5:$B$1005="PROCESO")*(MOVIMIENTOS!$C$5:$C$1005="A")*(MOVIMIENTOS!$D$5:$D$1005="jabas")*(MOVIMIENTOS!$A$5:$A$1005&lt;&gt;"")*(MOVIMIENTOS!$A$5:$A$1005&lt;=$A26)*MOVIMIENTOS!$E$5:$E$1005)-SUMPRODUCT((MOVIMIENTOS!$B$5:$B$1005="ENVÍO A SUPESA")*(MOVIMIENTOS!$C$5:$C$1005="A")*(MOVIMIENTOS!$D$5:$D$1005="jabas")*(MOVIMIENTOS!$A$5:$A$1005&lt;&gt;"")*(MOVIMIENTOS!$A$5:$A$1005&lt;=$A26)*MOVIMIENTOS!$E$5:$E$1005)+SUMPRODUCT((MOVIMIENTOS!$B$5:$B$1005="DEVOLUCIÓN")*(MOVIMIENTOS!$C$5:$C$1005="A")*(MOVIMIENTOS!$D$5:$D$1005="jabas")*(MOVIMIENTOS!$A$5:$A$1005&lt;&gt;"")*(MOVIMIENTOS!$A$5:$A$1005&lt;=$A26)*MOVIMIENTOS!$E$5:$E$1005)-SUMPRODUCT((MOVIMIENTOS!$B$5:$B$1005="TRASIEGO")*(MOVIMIENTOS!$C$5:$C$1005="A")*(MOVIMIENTOS!$D$5:$D$1005="jabas")*(MOVIMIENTOS!$A$5:$A$1005&lt;&gt;"")*(MOVIMIENTOS!$A$5:$A$1005&lt;=$A26)*MOVIMIENTOS!$E$5:$E$1005)-SUMPRODUCT((MOVIMIENTOS!$B$5:$B$1005="REGALO")*(MOVIMIENTOS!$C$5:$C$1005="A")*(MOVIMIENTOS!$D$5:$D$1005="jabas")*(MOVIMIENTOS!$A$5:$A$1005&lt;&gt;"")*(MOVIMIENTOS!$A$5:$A$1005&lt;=$A26)*MOVIMIENTOS!$E$5:$E$1005)-SUMPRODUCT((MOVIMIENTOS!$B$5:$B$1005="VENTA")*(MOVIMIENTOS!$C$5:$C$1005="A")*(MOVIMIENTOS!$D$5:$D$1005="jabas")*(MOVIMIENTOS!$A$5:$A$1005&lt;&gt;"")*(MOVIMIENTOS!$A$5:$A$1005&lt;=$A26)*MOVIMIENTOS!$E$5:$E$1005)+SUMPRODUCT((MOVIMIENTOS!$B$5:$B$1005="AJUSTE")*(MOVIMIENTOS!$C$5:$C$1005="A")*(MOVIMIENTOS!$D$5:$D$1005="jabas")*(MOVIMIENTOS!$A$5:$A$1005&lt;&gt;"")*(MOVIMIENTOS!$A$5:$A$1005&lt;=$A26)*MOVIMIENTOS!$E$5:$E$1005))</f>
        <v>86</v>
      </c>
      <c r="C26" s="65">
        <f>IF($A26="","",SUMPRODUCT((MOVIMIENTOS!$B$5:$B$1005="SALDO INICIAL")*(MOVIMIENTOS!$C$5:$C$1005="P")*(MOVIMIENTOS!$D$5:$D$1005="jabas")*(MOVIMIENTOS!$A$5:$A$1005&lt;&gt;"")*(MOVIMIENTOS!$A$5:$A$1005&lt;=$A26)*MOVIMIENTOS!$E$5:$E$1005)+SUMPRODUCT((MOVIMIENTOS!$B$5:$B$1005="PROCESO")*(MOVIMIENTOS!$C$5:$C$1005="P")*(MOVIMIENTOS!$D$5:$D$1005="jabas")*(MOVIMIENTOS!$A$5:$A$1005&lt;&gt;"")*(MOVIMIENTOS!$A$5:$A$1005&lt;=$A26)*MOVIMIENTOS!$E$5:$E$1005)-SUMPRODUCT((MOVIMIENTOS!$B$5:$B$1005="ENVÍO A SUPESA")*(MOVIMIENTOS!$C$5:$C$1005="P")*(MOVIMIENTOS!$D$5:$D$1005="jabas")*(MOVIMIENTOS!$A$5:$A$1005&lt;&gt;"")*(MOVIMIENTOS!$A$5:$A$1005&lt;=$A26)*MOVIMIENTOS!$E$5:$E$1005)+SUMPRODUCT((MOVIMIENTOS!$B$5:$B$1005="DEVOLUCIÓN")*(MOVIMIENTOS!$C$5:$C$1005="P")*(MOVIMIENTOS!$D$5:$D$1005="jabas")*(MOVIMIENTOS!$A$5:$A$1005&lt;&gt;"")*(MOVIMIENTOS!$A$5:$A$1005&lt;=$A26)*MOVIMIENTOS!$E$5:$E$1005)-SUMPRODUCT((MOVIMIENTOS!$B$5:$B$1005="TRASIEGO")*(MOVIMIENTOS!$C$5:$C$1005="P")*(MOVIMIENTOS!$D$5:$D$1005="jabas")*(MOVIMIENTOS!$A$5:$A$1005&lt;&gt;"")*(MOVIMIENTOS!$A$5:$A$1005&lt;=$A26)*MOVIMIENTOS!$E$5:$E$1005)-SUMPRODUCT((MOVIMIENTOS!$B$5:$B$1005="REGALO")*(MOVIMIENTOS!$C$5:$C$1005="P")*(MOVIMIENTOS!$D$5:$D$1005="jabas")*(MOVIMIENTOS!$A$5:$A$1005&lt;&gt;"")*(MOVIMIENTOS!$A$5:$A$1005&lt;=$A26)*MOVIMIENTOS!$E$5:$E$1005)-SUMPRODUCT((MOVIMIENTOS!$B$5:$B$1005="VENTA")*(MOVIMIENTOS!$C$5:$C$1005="P")*(MOVIMIENTOS!$D$5:$D$1005="jabas")*(MOVIMIENTOS!$A$5:$A$1005&lt;&gt;"")*(MOVIMIENTOS!$A$5:$A$1005&lt;=$A26)*MOVIMIENTOS!$E$5:$E$1005)+SUMPRODUCT((MOVIMIENTOS!$B$5:$B$1005="AJUSTE")*(MOVIMIENTOS!$C$5:$C$1005="P")*(MOVIMIENTOS!$D$5:$D$1005="jabas")*(MOVIMIENTOS!$A$5:$A$1005&lt;&gt;"")*(MOVIMIENTOS!$A$5:$A$1005&lt;=$A26)*MOVIMIENTOS!$E$5:$E$1005))</f>
        <v>0</v>
      </c>
      <c r="D26" s="65">
        <f>IF($A26="","",SUMPRODUCT((MOVIMIENTOS!$B$5:$B$1005="SALDO INICIAL")*(MOVIMIENTOS!$C$5:$C$1005="C")*(MOVIMIENTOS!$D$5:$D$1005="jabas")*(MOVIMIENTOS!$A$5:$A$1005&lt;&gt;"")*(MOVIMIENTOS!$A$5:$A$1005&lt;=$A26)*MOVIMIENTOS!$E$5:$E$1005)+SUMPRODUCT((MOVIMIENTOS!$B$5:$B$1005="PROCESO")*(MOVIMIENTOS!$C$5:$C$1005="C")*(MOVIMIENTOS!$D$5:$D$1005="jabas")*(MOVIMIENTOS!$A$5:$A$1005&lt;&gt;"")*(MOVIMIENTOS!$A$5:$A$1005&lt;=$A26)*MOVIMIENTOS!$E$5:$E$1005)-SUMPRODUCT((MOVIMIENTOS!$B$5:$B$1005="ENVÍO A SUPESA")*(MOVIMIENTOS!$C$5:$C$1005="C")*(MOVIMIENTOS!$D$5:$D$1005="jabas")*(MOVIMIENTOS!$A$5:$A$1005&lt;&gt;"")*(MOVIMIENTOS!$A$5:$A$1005&lt;=$A26)*MOVIMIENTOS!$E$5:$E$1005)+SUMPRODUCT((MOVIMIENTOS!$B$5:$B$1005="DEVOLUCIÓN")*(MOVIMIENTOS!$C$5:$C$1005="C")*(MOVIMIENTOS!$D$5:$D$1005="jabas")*(MOVIMIENTOS!$A$5:$A$1005&lt;&gt;"")*(MOVIMIENTOS!$A$5:$A$1005&lt;=$A26)*MOVIMIENTOS!$E$5:$E$1005)-SUMPRODUCT((MOVIMIENTOS!$B$5:$B$1005="TRASIEGO")*(MOVIMIENTOS!$C$5:$C$1005="C")*(MOVIMIENTOS!$D$5:$D$1005="jabas")*(MOVIMIENTOS!$A$5:$A$1005&lt;&gt;"")*(MOVIMIENTOS!$A$5:$A$1005&lt;=$A26)*MOVIMIENTOS!$E$5:$E$1005)-SUMPRODUCT((MOVIMIENTOS!$B$5:$B$1005="REGALO")*(MOVIMIENTOS!$C$5:$C$1005="C")*(MOVIMIENTOS!$D$5:$D$1005="jabas")*(MOVIMIENTOS!$A$5:$A$1005&lt;&gt;"")*(MOVIMIENTOS!$A$5:$A$1005&lt;=$A26)*MOVIMIENTOS!$E$5:$E$1005)-SUMPRODUCT((MOVIMIENTOS!$B$5:$B$1005="VENTA")*(MOVIMIENTOS!$C$5:$C$1005="C")*(MOVIMIENTOS!$D$5:$D$1005="jabas")*(MOVIMIENTOS!$A$5:$A$1005&lt;&gt;"")*(MOVIMIENTOS!$A$5:$A$1005&lt;=$A26)*MOVIMIENTOS!$E$5:$E$1005)+SUMPRODUCT((MOVIMIENTOS!$B$5:$B$1005="AJUSTE")*(MOVIMIENTOS!$C$5:$C$1005="C")*(MOVIMIENTOS!$D$5:$D$1005="jabas")*(MOVIMIENTOS!$A$5:$A$1005&lt;&gt;"")*(MOVIMIENTOS!$A$5:$A$1005&lt;=$A26)*MOVIMIENTOS!$E$5:$E$1005))</f>
        <v>0</v>
      </c>
      <c r="E26" s="65">
        <f>IF($A26="","",SUMPRODUCT((MOVIMIENTOS!$B$5:$B$1005="SALDO INICIAL")*(MOVIMIENTOS!$C$5:$C$1005="M")*(MOVIMIENTOS!$D$5:$D$1005="jabas")*(MOVIMIENTOS!$A$5:$A$1005&lt;&gt;"")*(MOVIMIENTOS!$A$5:$A$1005&lt;=$A26)*MOVIMIENTOS!$E$5:$E$1005)+SUMPRODUCT((MOVIMIENTOS!$B$5:$B$1005="PROCESO")*(MOVIMIENTOS!$C$5:$C$1005="M")*(MOVIMIENTOS!$D$5:$D$1005="jabas")*(MOVIMIENTOS!$A$5:$A$1005&lt;&gt;"")*(MOVIMIENTOS!$A$5:$A$1005&lt;=$A26)*MOVIMIENTOS!$E$5:$E$1005)-SUMPRODUCT((MOVIMIENTOS!$B$5:$B$1005="ENVÍO A SUPESA")*(MOVIMIENTOS!$C$5:$C$1005="M")*(MOVIMIENTOS!$D$5:$D$1005="jabas")*(MOVIMIENTOS!$A$5:$A$1005&lt;&gt;"")*(MOVIMIENTOS!$A$5:$A$1005&lt;=$A26)*MOVIMIENTOS!$E$5:$E$1005)+SUMPRODUCT((MOVIMIENTOS!$B$5:$B$1005="DEVOLUCIÓN")*(MOVIMIENTOS!$C$5:$C$1005="M")*(MOVIMIENTOS!$D$5:$D$1005="jabas")*(MOVIMIENTOS!$A$5:$A$1005&lt;&gt;"")*(MOVIMIENTOS!$A$5:$A$1005&lt;=$A26)*MOVIMIENTOS!$E$5:$E$1005)-SUMPRODUCT((MOVIMIENTOS!$B$5:$B$1005="TRASIEGO")*(MOVIMIENTOS!$C$5:$C$1005="M")*(MOVIMIENTOS!$D$5:$D$1005="jabas")*(MOVIMIENTOS!$A$5:$A$1005&lt;&gt;"")*(MOVIMIENTOS!$A$5:$A$1005&lt;=$A26)*MOVIMIENTOS!$E$5:$E$1005)-SUMPRODUCT((MOVIMIENTOS!$B$5:$B$1005="REGALO")*(MOVIMIENTOS!$C$5:$C$1005="M")*(MOVIMIENTOS!$D$5:$D$1005="jabas")*(MOVIMIENTOS!$A$5:$A$1005&lt;&gt;"")*(MOVIMIENTOS!$A$5:$A$1005&lt;=$A26)*MOVIMIENTOS!$E$5:$E$1005)-SUMPRODUCT((MOVIMIENTOS!$B$5:$B$1005="VENTA")*(MOVIMIENTOS!$C$5:$C$1005="M")*(MOVIMIENTOS!$D$5:$D$1005="jabas")*(MOVIMIENTOS!$A$5:$A$1005&lt;&gt;"")*(MOVIMIENTOS!$A$5:$A$1005&lt;=$A26)*MOVIMIENTOS!$E$5:$E$1005)+SUMPRODUCT((MOVIMIENTOS!$B$5:$B$1005="AJUSTE")*(MOVIMIENTOS!$C$5:$C$1005="M")*(MOVIMIENTOS!$D$5:$D$1005="jabas")*(MOVIMIENTOS!$A$5:$A$1005&lt;&gt;"")*(MOVIMIENTOS!$A$5:$A$1005&lt;=$A26)*MOVIMIENTOS!$E$5:$E$1005))</f>
        <v>63</v>
      </c>
      <c r="F26" s="65">
        <f>IF($A26="","",SUMPRODUCT((MOVIMIENTOS!$B$5:$B$1005="SALDO INICIAL")*(MOVIMIENTOS!$C$5:$C$1005="Chancho")*(MOVIMIENTOS!$D$5:$D$1005="sacos")*(MOVIMIENTOS!$A$5:$A$1005&lt;&gt;"")*(MOVIMIENTOS!$A$5:$A$1005&lt;=$A26)*MOVIMIENTOS!$E$5:$E$1005)+SUMPRODUCT((MOVIMIENTOS!$B$5:$B$1005="PROCESO")*(MOVIMIENTOS!$C$5:$C$1005="Chancho")*(MOVIMIENTOS!$D$5:$D$1005="sacos")*(MOVIMIENTOS!$A$5:$A$1005&lt;&gt;"")*(MOVIMIENTOS!$A$5:$A$1005&lt;=$A26)*MOVIMIENTOS!$E$5:$E$1005)-SUMPRODUCT((MOVIMIENTOS!$B$5:$B$1005="VENTA CHANCHO")*(MOVIMIENTOS!$C$5:$C$1005="Chancho")*(MOVIMIENTOS!$D$5:$D$1005="sacos")*(MOVIMIENTOS!$A$5:$A$1005&lt;&gt;"")*(MOVIMIENTOS!$A$5:$A$1005&lt;=$A26)*MOVIMIENTOS!$E$5:$E$1005)-SUMPRODUCT((MOVIMIENTOS!$B$5:$B$1005="REGALO")*(MOVIMIENTOS!$C$5:$C$1005="Chancho")*(MOVIMIENTOS!$D$5:$D$1005="sacos")*(MOVIMIENTOS!$A$5:$A$1005&lt;&gt;"")*(MOVIMIENTOS!$A$5:$A$1005&lt;=$A26)*MOVIMIENTOS!$E$5:$E$1005)-SUMPRODUCT((MOVIMIENTOS!$B$5:$B$1005="VENTA")*(MOVIMIENTOS!$C$5:$C$1005="Chancho")*(MOVIMIENTOS!$D$5:$D$1005="sacos")*(MOVIMIENTOS!$A$5:$A$1005&lt;&gt;"")*(MOVIMIENTOS!$A$5:$A$1005&lt;=$A26)*MOVIMIENTOS!$E$5:$E$1005)+SUMPRODUCT((MOVIMIENTOS!$B$5:$B$1005="AJUSTE")*(MOVIMIENTOS!$C$5:$C$1005="Chancho")*(MOVIMIENTOS!$D$5:$D$1005="sacos")*(MOVIMIENTOS!$A$5:$A$1005&lt;&gt;"")*(MOVIMIENTOS!$A$5:$A$1005&lt;=$A26)*MOVIMIENTOS!$E$5:$E$1005))</f>
        <v>23</v>
      </c>
      <c r="G26" s="77">
        <f t="shared" si="1"/>
        <v>149</v>
      </c>
      <c r="H26" s="65">
        <f>IF($A26="","",SUMPRODUCT((((MOVIMIENTOS!$B$5:$B$1005="SALDO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26)*MOVIMIENTOS!$J$5:$J$1005))</f>
        <v>2884</v>
      </c>
      <c r="I26" s="63"/>
      <c r="J26" s="63" t="str">
        <f>IF(AND(MOVIMIENTOS!$A26&lt;&gt;"",COUNTIF(MOVIMIENTOS!$A$5:$A25,MOVIMIENTOS!$A26)=0),COUNT(J$4:J25)+1,"")</f>
        <v/>
      </c>
      <c r="K26" s="66">
        <f>MOVIMIENTOS!$A26</f>
        <v>46216</v>
      </c>
      <c r="L26" s="63"/>
      <c r="M26" s="63"/>
      <c r="N26" s="63"/>
    </row>
    <row r="27" spans="1:14" ht="15" customHeight="1" x14ac:dyDescent="0.2">
      <c r="A27" s="64">
        <f t="shared" si="0"/>
        <v>46235</v>
      </c>
      <c r="B27" s="65">
        <f>IF($A27="","",SUMPRODUCT((MOVIMIENTOS!$B$5:$B$1005="SALDO INICIAL")*(MOVIMIENTOS!$C$5:$C$1005="A")*(MOVIMIENTOS!$D$5:$D$1005="jabas")*(MOVIMIENTOS!$A$5:$A$1005&lt;&gt;"")*(MOVIMIENTOS!$A$5:$A$1005&lt;=$A27)*MOVIMIENTOS!$E$5:$E$1005)+SUMPRODUCT((MOVIMIENTOS!$B$5:$B$1005="PROCESO")*(MOVIMIENTOS!$C$5:$C$1005="A")*(MOVIMIENTOS!$D$5:$D$1005="jabas")*(MOVIMIENTOS!$A$5:$A$1005&lt;&gt;"")*(MOVIMIENTOS!$A$5:$A$1005&lt;=$A27)*MOVIMIENTOS!$E$5:$E$1005)-SUMPRODUCT((MOVIMIENTOS!$B$5:$B$1005="ENVÍO A SUPESA")*(MOVIMIENTOS!$C$5:$C$1005="A")*(MOVIMIENTOS!$D$5:$D$1005="jabas")*(MOVIMIENTOS!$A$5:$A$1005&lt;&gt;"")*(MOVIMIENTOS!$A$5:$A$1005&lt;=$A27)*MOVIMIENTOS!$E$5:$E$1005)+SUMPRODUCT((MOVIMIENTOS!$B$5:$B$1005="DEVOLUCIÓN")*(MOVIMIENTOS!$C$5:$C$1005="A")*(MOVIMIENTOS!$D$5:$D$1005="jabas")*(MOVIMIENTOS!$A$5:$A$1005&lt;&gt;"")*(MOVIMIENTOS!$A$5:$A$1005&lt;=$A27)*MOVIMIENTOS!$E$5:$E$1005)-SUMPRODUCT((MOVIMIENTOS!$B$5:$B$1005="TRASIEGO")*(MOVIMIENTOS!$C$5:$C$1005="A")*(MOVIMIENTOS!$D$5:$D$1005="jabas")*(MOVIMIENTOS!$A$5:$A$1005&lt;&gt;"")*(MOVIMIENTOS!$A$5:$A$1005&lt;=$A27)*MOVIMIENTOS!$E$5:$E$1005)-SUMPRODUCT((MOVIMIENTOS!$B$5:$B$1005="REGALO")*(MOVIMIENTOS!$C$5:$C$1005="A")*(MOVIMIENTOS!$D$5:$D$1005="jabas")*(MOVIMIENTOS!$A$5:$A$1005&lt;&gt;"")*(MOVIMIENTOS!$A$5:$A$1005&lt;=$A27)*MOVIMIENTOS!$E$5:$E$1005)-SUMPRODUCT((MOVIMIENTOS!$B$5:$B$1005="VENTA")*(MOVIMIENTOS!$C$5:$C$1005="A")*(MOVIMIENTOS!$D$5:$D$1005="jabas")*(MOVIMIENTOS!$A$5:$A$1005&lt;&gt;"")*(MOVIMIENTOS!$A$5:$A$1005&lt;=$A27)*MOVIMIENTOS!$E$5:$E$1005)+SUMPRODUCT((MOVIMIENTOS!$B$5:$B$1005="AJUSTE")*(MOVIMIENTOS!$C$5:$C$1005="A")*(MOVIMIENTOS!$D$5:$D$1005="jabas")*(MOVIMIENTOS!$A$5:$A$1005&lt;&gt;"")*(MOVIMIENTOS!$A$5:$A$1005&lt;=$A27)*MOVIMIENTOS!$E$5:$E$1005))</f>
        <v>65</v>
      </c>
      <c r="C27" s="65">
        <f>IF($A27="","",SUMPRODUCT((MOVIMIENTOS!$B$5:$B$1005="SALDO INICIAL")*(MOVIMIENTOS!$C$5:$C$1005="P")*(MOVIMIENTOS!$D$5:$D$1005="jabas")*(MOVIMIENTOS!$A$5:$A$1005&lt;&gt;"")*(MOVIMIENTOS!$A$5:$A$1005&lt;=$A27)*MOVIMIENTOS!$E$5:$E$1005)+SUMPRODUCT((MOVIMIENTOS!$B$5:$B$1005="PROCESO")*(MOVIMIENTOS!$C$5:$C$1005="P")*(MOVIMIENTOS!$D$5:$D$1005="jabas")*(MOVIMIENTOS!$A$5:$A$1005&lt;&gt;"")*(MOVIMIENTOS!$A$5:$A$1005&lt;=$A27)*MOVIMIENTOS!$E$5:$E$1005)-SUMPRODUCT((MOVIMIENTOS!$B$5:$B$1005="ENVÍO A SUPESA")*(MOVIMIENTOS!$C$5:$C$1005="P")*(MOVIMIENTOS!$D$5:$D$1005="jabas")*(MOVIMIENTOS!$A$5:$A$1005&lt;&gt;"")*(MOVIMIENTOS!$A$5:$A$1005&lt;=$A27)*MOVIMIENTOS!$E$5:$E$1005)+SUMPRODUCT((MOVIMIENTOS!$B$5:$B$1005="DEVOLUCIÓN")*(MOVIMIENTOS!$C$5:$C$1005="P")*(MOVIMIENTOS!$D$5:$D$1005="jabas")*(MOVIMIENTOS!$A$5:$A$1005&lt;&gt;"")*(MOVIMIENTOS!$A$5:$A$1005&lt;=$A27)*MOVIMIENTOS!$E$5:$E$1005)-SUMPRODUCT((MOVIMIENTOS!$B$5:$B$1005="TRASIEGO")*(MOVIMIENTOS!$C$5:$C$1005="P")*(MOVIMIENTOS!$D$5:$D$1005="jabas")*(MOVIMIENTOS!$A$5:$A$1005&lt;&gt;"")*(MOVIMIENTOS!$A$5:$A$1005&lt;=$A27)*MOVIMIENTOS!$E$5:$E$1005)-SUMPRODUCT((MOVIMIENTOS!$B$5:$B$1005="REGALO")*(MOVIMIENTOS!$C$5:$C$1005="P")*(MOVIMIENTOS!$D$5:$D$1005="jabas")*(MOVIMIENTOS!$A$5:$A$1005&lt;&gt;"")*(MOVIMIENTOS!$A$5:$A$1005&lt;=$A27)*MOVIMIENTOS!$E$5:$E$1005)-SUMPRODUCT((MOVIMIENTOS!$B$5:$B$1005="VENTA")*(MOVIMIENTOS!$C$5:$C$1005="P")*(MOVIMIENTOS!$D$5:$D$1005="jabas")*(MOVIMIENTOS!$A$5:$A$1005&lt;&gt;"")*(MOVIMIENTOS!$A$5:$A$1005&lt;=$A27)*MOVIMIENTOS!$E$5:$E$1005)+SUMPRODUCT((MOVIMIENTOS!$B$5:$B$1005="AJUSTE")*(MOVIMIENTOS!$C$5:$C$1005="P")*(MOVIMIENTOS!$D$5:$D$1005="jabas")*(MOVIMIENTOS!$A$5:$A$1005&lt;&gt;"")*(MOVIMIENTOS!$A$5:$A$1005&lt;=$A27)*MOVIMIENTOS!$E$5:$E$1005))</f>
        <v>8</v>
      </c>
      <c r="D27" s="65">
        <f>IF($A27="","",SUMPRODUCT((MOVIMIENTOS!$B$5:$B$1005="SALDO INICIAL")*(MOVIMIENTOS!$C$5:$C$1005="C")*(MOVIMIENTOS!$D$5:$D$1005="jabas")*(MOVIMIENTOS!$A$5:$A$1005&lt;&gt;"")*(MOVIMIENTOS!$A$5:$A$1005&lt;=$A27)*MOVIMIENTOS!$E$5:$E$1005)+SUMPRODUCT((MOVIMIENTOS!$B$5:$B$1005="PROCESO")*(MOVIMIENTOS!$C$5:$C$1005="C")*(MOVIMIENTOS!$D$5:$D$1005="jabas")*(MOVIMIENTOS!$A$5:$A$1005&lt;&gt;"")*(MOVIMIENTOS!$A$5:$A$1005&lt;=$A27)*MOVIMIENTOS!$E$5:$E$1005)-SUMPRODUCT((MOVIMIENTOS!$B$5:$B$1005="ENVÍO A SUPESA")*(MOVIMIENTOS!$C$5:$C$1005="C")*(MOVIMIENTOS!$D$5:$D$1005="jabas")*(MOVIMIENTOS!$A$5:$A$1005&lt;&gt;"")*(MOVIMIENTOS!$A$5:$A$1005&lt;=$A27)*MOVIMIENTOS!$E$5:$E$1005)+SUMPRODUCT((MOVIMIENTOS!$B$5:$B$1005="DEVOLUCIÓN")*(MOVIMIENTOS!$C$5:$C$1005="C")*(MOVIMIENTOS!$D$5:$D$1005="jabas")*(MOVIMIENTOS!$A$5:$A$1005&lt;&gt;"")*(MOVIMIENTOS!$A$5:$A$1005&lt;=$A27)*MOVIMIENTOS!$E$5:$E$1005)-SUMPRODUCT((MOVIMIENTOS!$B$5:$B$1005="TRASIEGO")*(MOVIMIENTOS!$C$5:$C$1005="C")*(MOVIMIENTOS!$D$5:$D$1005="jabas")*(MOVIMIENTOS!$A$5:$A$1005&lt;&gt;"")*(MOVIMIENTOS!$A$5:$A$1005&lt;=$A27)*MOVIMIENTOS!$E$5:$E$1005)-SUMPRODUCT((MOVIMIENTOS!$B$5:$B$1005="REGALO")*(MOVIMIENTOS!$C$5:$C$1005="C")*(MOVIMIENTOS!$D$5:$D$1005="jabas")*(MOVIMIENTOS!$A$5:$A$1005&lt;&gt;"")*(MOVIMIENTOS!$A$5:$A$1005&lt;=$A27)*MOVIMIENTOS!$E$5:$E$1005)-SUMPRODUCT((MOVIMIENTOS!$B$5:$B$1005="VENTA")*(MOVIMIENTOS!$C$5:$C$1005="C")*(MOVIMIENTOS!$D$5:$D$1005="jabas")*(MOVIMIENTOS!$A$5:$A$1005&lt;&gt;"")*(MOVIMIENTOS!$A$5:$A$1005&lt;=$A27)*MOVIMIENTOS!$E$5:$E$1005)+SUMPRODUCT((MOVIMIENTOS!$B$5:$B$1005="AJUSTE")*(MOVIMIENTOS!$C$5:$C$1005="C")*(MOVIMIENTOS!$D$5:$D$1005="jabas")*(MOVIMIENTOS!$A$5:$A$1005&lt;&gt;"")*(MOVIMIENTOS!$A$5:$A$1005&lt;=$A27)*MOVIMIENTOS!$E$5:$E$1005))</f>
        <v>0</v>
      </c>
      <c r="E27" s="65">
        <f>IF($A27="","",SUMPRODUCT((MOVIMIENTOS!$B$5:$B$1005="SALDO INICIAL")*(MOVIMIENTOS!$C$5:$C$1005="M")*(MOVIMIENTOS!$D$5:$D$1005="jabas")*(MOVIMIENTOS!$A$5:$A$1005&lt;&gt;"")*(MOVIMIENTOS!$A$5:$A$1005&lt;=$A27)*MOVIMIENTOS!$E$5:$E$1005)+SUMPRODUCT((MOVIMIENTOS!$B$5:$B$1005="PROCESO")*(MOVIMIENTOS!$C$5:$C$1005="M")*(MOVIMIENTOS!$D$5:$D$1005="jabas")*(MOVIMIENTOS!$A$5:$A$1005&lt;&gt;"")*(MOVIMIENTOS!$A$5:$A$1005&lt;=$A27)*MOVIMIENTOS!$E$5:$E$1005)-SUMPRODUCT((MOVIMIENTOS!$B$5:$B$1005="ENVÍO A SUPESA")*(MOVIMIENTOS!$C$5:$C$1005="M")*(MOVIMIENTOS!$D$5:$D$1005="jabas")*(MOVIMIENTOS!$A$5:$A$1005&lt;&gt;"")*(MOVIMIENTOS!$A$5:$A$1005&lt;=$A27)*MOVIMIENTOS!$E$5:$E$1005)+SUMPRODUCT((MOVIMIENTOS!$B$5:$B$1005="DEVOLUCIÓN")*(MOVIMIENTOS!$C$5:$C$1005="M")*(MOVIMIENTOS!$D$5:$D$1005="jabas")*(MOVIMIENTOS!$A$5:$A$1005&lt;&gt;"")*(MOVIMIENTOS!$A$5:$A$1005&lt;=$A27)*MOVIMIENTOS!$E$5:$E$1005)-SUMPRODUCT((MOVIMIENTOS!$B$5:$B$1005="TRASIEGO")*(MOVIMIENTOS!$C$5:$C$1005="M")*(MOVIMIENTOS!$D$5:$D$1005="jabas")*(MOVIMIENTOS!$A$5:$A$1005&lt;&gt;"")*(MOVIMIENTOS!$A$5:$A$1005&lt;=$A27)*MOVIMIENTOS!$E$5:$E$1005)-SUMPRODUCT((MOVIMIENTOS!$B$5:$B$1005="REGALO")*(MOVIMIENTOS!$C$5:$C$1005="M")*(MOVIMIENTOS!$D$5:$D$1005="jabas")*(MOVIMIENTOS!$A$5:$A$1005&lt;&gt;"")*(MOVIMIENTOS!$A$5:$A$1005&lt;=$A27)*MOVIMIENTOS!$E$5:$E$1005)-SUMPRODUCT((MOVIMIENTOS!$B$5:$B$1005="VENTA")*(MOVIMIENTOS!$C$5:$C$1005="M")*(MOVIMIENTOS!$D$5:$D$1005="jabas")*(MOVIMIENTOS!$A$5:$A$1005&lt;&gt;"")*(MOVIMIENTOS!$A$5:$A$1005&lt;=$A27)*MOVIMIENTOS!$E$5:$E$1005)+SUMPRODUCT((MOVIMIENTOS!$B$5:$B$1005="AJUSTE")*(MOVIMIENTOS!$C$5:$C$1005="M")*(MOVIMIENTOS!$D$5:$D$1005="jabas")*(MOVIMIENTOS!$A$5:$A$1005&lt;&gt;"")*(MOVIMIENTOS!$A$5:$A$1005&lt;=$A27)*MOVIMIENTOS!$E$5:$E$1005))</f>
        <v>53</v>
      </c>
      <c r="F27" s="65">
        <f>IF($A27="","",SUMPRODUCT((MOVIMIENTOS!$B$5:$B$1005="SALDO INICIAL")*(MOVIMIENTOS!$C$5:$C$1005="Chancho")*(MOVIMIENTOS!$D$5:$D$1005="sacos")*(MOVIMIENTOS!$A$5:$A$1005&lt;&gt;"")*(MOVIMIENTOS!$A$5:$A$1005&lt;=$A27)*MOVIMIENTOS!$E$5:$E$1005)+SUMPRODUCT((MOVIMIENTOS!$B$5:$B$1005="PROCESO")*(MOVIMIENTOS!$C$5:$C$1005="Chancho")*(MOVIMIENTOS!$D$5:$D$1005="sacos")*(MOVIMIENTOS!$A$5:$A$1005&lt;&gt;"")*(MOVIMIENTOS!$A$5:$A$1005&lt;=$A27)*MOVIMIENTOS!$E$5:$E$1005)-SUMPRODUCT((MOVIMIENTOS!$B$5:$B$1005="VENTA CHANCHO")*(MOVIMIENTOS!$C$5:$C$1005="Chancho")*(MOVIMIENTOS!$D$5:$D$1005="sacos")*(MOVIMIENTOS!$A$5:$A$1005&lt;&gt;"")*(MOVIMIENTOS!$A$5:$A$1005&lt;=$A27)*MOVIMIENTOS!$E$5:$E$1005)-SUMPRODUCT((MOVIMIENTOS!$B$5:$B$1005="REGALO")*(MOVIMIENTOS!$C$5:$C$1005="Chancho")*(MOVIMIENTOS!$D$5:$D$1005="sacos")*(MOVIMIENTOS!$A$5:$A$1005&lt;&gt;"")*(MOVIMIENTOS!$A$5:$A$1005&lt;=$A27)*MOVIMIENTOS!$E$5:$E$1005)-SUMPRODUCT((MOVIMIENTOS!$B$5:$B$1005="VENTA")*(MOVIMIENTOS!$C$5:$C$1005="Chancho")*(MOVIMIENTOS!$D$5:$D$1005="sacos")*(MOVIMIENTOS!$A$5:$A$1005&lt;&gt;"")*(MOVIMIENTOS!$A$5:$A$1005&lt;=$A27)*MOVIMIENTOS!$E$5:$E$1005)+SUMPRODUCT((MOVIMIENTOS!$B$5:$B$1005="AJUSTE")*(MOVIMIENTOS!$C$5:$C$1005="Chancho")*(MOVIMIENTOS!$D$5:$D$1005="sacos")*(MOVIMIENTOS!$A$5:$A$1005&lt;&gt;"")*(MOVIMIENTOS!$A$5:$A$1005&lt;=$A27)*MOVIMIENTOS!$E$5:$E$1005))</f>
        <v>26</v>
      </c>
      <c r="G27" s="77">
        <f t="shared" si="1"/>
        <v>126</v>
      </c>
      <c r="H27" s="65">
        <f>IF($A27="","",SUMPRODUCT((((MOVIMIENTOS!$B$5:$B$1005="SALDO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27)*MOVIMIENTOS!$J$5:$J$1005))</f>
        <v>2669</v>
      </c>
      <c r="I27" s="63"/>
      <c r="J27" s="63" t="str">
        <f>IF(AND(MOVIMIENTOS!$A27&lt;&gt;"",COUNTIF(MOVIMIENTOS!$A$5:$A26,MOVIMIENTOS!$A27)=0),COUNT(J$4:J26)+1,"")</f>
        <v/>
      </c>
      <c r="K27" s="66">
        <f>MOVIMIENTOS!$A27</f>
        <v>46216</v>
      </c>
      <c r="L27" s="63"/>
      <c r="M27" s="63"/>
      <c r="N27" s="63"/>
    </row>
    <row r="28" spans="1:14" ht="15" customHeight="1" x14ac:dyDescent="0.2">
      <c r="A28" s="64">
        <f t="shared" si="0"/>
        <v>46236</v>
      </c>
      <c r="B28" s="65">
        <f>IF($A28="","",SUMPRODUCT((MOVIMIENTOS!$B$5:$B$1005="SALDO INICIAL")*(MOVIMIENTOS!$C$5:$C$1005="A")*(MOVIMIENTOS!$D$5:$D$1005="jabas")*(MOVIMIENTOS!$A$5:$A$1005&lt;&gt;"")*(MOVIMIENTOS!$A$5:$A$1005&lt;=$A28)*MOVIMIENTOS!$E$5:$E$1005)+SUMPRODUCT((MOVIMIENTOS!$B$5:$B$1005="PROCESO")*(MOVIMIENTOS!$C$5:$C$1005="A")*(MOVIMIENTOS!$D$5:$D$1005="jabas")*(MOVIMIENTOS!$A$5:$A$1005&lt;&gt;"")*(MOVIMIENTOS!$A$5:$A$1005&lt;=$A28)*MOVIMIENTOS!$E$5:$E$1005)-SUMPRODUCT((MOVIMIENTOS!$B$5:$B$1005="ENVÍO A SUPESA")*(MOVIMIENTOS!$C$5:$C$1005="A")*(MOVIMIENTOS!$D$5:$D$1005="jabas")*(MOVIMIENTOS!$A$5:$A$1005&lt;&gt;"")*(MOVIMIENTOS!$A$5:$A$1005&lt;=$A28)*MOVIMIENTOS!$E$5:$E$1005)+SUMPRODUCT((MOVIMIENTOS!$B$5:$B$1005="DEVOLUCIÓN")*(MOVIMIENTOS!$C$5:$C$1005="A")*(MOVIMIENTOS!$D$5:$D$1005="jabas")*(MOVIMIENTOS!$A$5:$A$1005&lt;&gt;"")*(MOVIMIENTOS!$A$5:$A$1005&lt;=$A28)*MOVIMIENTOS!$E$5:$E$1005)-SUMPRODUCT((MOVIMIENTOS!$B$5:$B$1005="TRASIEGO")*(MOVIMIENTOS!$C$5:$C$1005="A")*(MOVIMIENTOS!$D$5:$D$1005="jabas")*(MOVIMIENTOS!$A$5:$A$1005&lt;&gt;"")*(MOVIMIENTOS!$A$5:$A$1005&lt;=$A28)*MOVIMIENTOS!$E$5:$E$1005)-SUMPRODUCT((MOVIMIENTOS!$B$5:$B$1005="REGALO")*(MOVIMIENTOS!$C$5:$C$1005="A")*(MOVIMIENTOS!$D$5:$D$1005="jabas")*(MOVIMIENTOS!$A$5:$A$1005&lt;&gt;"")*(MOVIMIENTOS!$A$5:$A$1005&lt;=$A28)*MOVIMIENTOS!$E$5:$E$1005)-SUMPRODUCT((MOVIMIENTOS!$B$5:$B$1005="VENTA")*(MOVIMIENTOS!$C$5:$C$1005="A")*(MOVIMIENTOS!$D$5:$D$1005="jabas")*(MOVIMIENTOS!$A$5:$A$1005&lt;&gt;"")*(MOVIMIENTOS!$A$5:$A$1005&lt;=$A28)*MOVIMIENTOS!$E$5:$E$1005)+SUMPRODUCT((MOVIMIENTOS!$B$5:$B$1005="AJUSTE")*(MOVIMIENTOS!$C$5:$C$1005="A")*(MOVIMIENTOS!$D$5:$D$1005="jabas")*(MOVIMIENTOS!$A$5:$A$1005&lt;&gt;"")*(MOVIMIENTOS!$A$5:$A$1005&lt;=$A28)*MOVIMIENTOS!$E$5:$E$1005))</f>
        <v>96</v>
      </c>
      <c r="C28" s="65">
        <f>IF($A28="","",SUMPRODUCT((MOVIMIENTOS!$B$5:$B$1005="SALDO INICIAL")*(MOVIMIENTOS!$C$5:$C$1005="P")*(MOVIMIENTOS!$D$5:$D$1005="jabas")*(MOVIMIENTOS!$A$5:$A$1005&lt;&gt;"")*(MOVIMIENTOS!$A$5:$A$1005&lt;=$A28)*MOVIMIENTOS!$E$5:$E$1005)+SUMPRODUCT((MOVIMIENTOS!$B$5:$B$1005="PROCESO")*(MOVIMIENTOS!$C$5:$C$1005="P")*(MOVIMIENTOS!$D$5:$D$1005="jabas")*(MOVIMIENTOS!$A$5:$A$1005&lt;&gt;"")*(MOVIMIENTOS!$A$5:$A$1005&lt;=$A28)*MOVIMIENTOS!$E$5:$E$1005)-SUMPRODUCT((MOVIMIENTOS!$B$5:$B$1005="ENVÍO A SUPESA")*(MOVIMIENTOS!$C$5:$C$1005="P")*(MOVIMIENTOS!$D$5:$D$1005="jabas")*(MOVIMIENTOS!$A$5:$A$1005&lt;&gt;"")*(MOVIMIENTOS!$A$5:$A$1005&lt;=$A28)*MOVIMIENTOS!$E$5:$E$1005)+SUMPRODUCT((MOVIMIENTOS!$B$5:$B$1005="DEVOLUCIÓN")*(MOVIMIENTOS!$C$5:$C$1005="P")*(MOVIMIENTOS!$D$5:$D$1005="jabas")*(MOVIMIENTOS!$A$5:$A$1005&lt;&gt;"")*(MOVIMIENTOS!$A$5:$A$1005&lt;=$A28)*MOVIMIENTOS!$E$5:$E$1005)-SUMPRODUCT((MOVIMIENTOS!$B$5:$B$1005="TRASIEGO")*(MOVIMIENTOS!$C$5:$C$1005="P")*(MOVIMIENTOS!$D$5:$D$1005="jabas")*(MOVIMIENTOS!$A$5:$A$1005&lt;&gt;"")*(MOVIMIENTOS!$A$5:$A$1005&lt;=$A28)*MOVIMIENTOS!$E$5:$E$1005)-SUMPRODUCT((MOVIMIENTOS!$B$5:$B$1005="REGALO")*(MOVIMIENTOS!$C$5:$C$1005="P")*(MOVIMIENTOS!$D$5:$D$1005="jabas")*(MOVIMIENTOS!$A$5:$A$1005&lt;&gt;"")*(MOVIMIENTOS!$A$5:$A$1005&lt;=$A28)*MOVIMIENTOS!$E$5:$E$1005)-SUMPRODUCT((MOVIMIENTOS!$B$5:$B$1005="VENTA")*(MOVIMIENTOS!$C$5:$C$1005="P")*(MOVIMIENTOS!$D$5:$D$1005="jabas")*(MOVIMIENTOS!$A$5:$A$1005&lt;&gt;"")*(MOVIMIENTOS!$A$5:$A$1005&lt;=$A28)*MOVIMIENTOS!$E$5:$E$1005)+SUMPRODUCT((MOVIMIENTOS!$B$5:$B$1005="AJUSTE")*(MOVIMIENTOS!$C$5:$C$1005="P")*(MOVIMIENTOS!$D$5:$D$1005="jabas")*(MOVIMIENTOS!$A$5:$A$1005&lt;&gt;"")*(MOVIMIENTOS!$A$5:$A$1005&lt;=$A28)*MOVIMIENTOS!$E$5:$E$1005))</f>
        <v>11</v>
      </c>
      <c r="D28" s="65">
        <f>IF($A28="","",SUMPRODUCT((MOVIMIENTOS!$B$5:$B$1005="SALDO INICIAL")*(MOVIMIENTOS!$C$5:$C$1005="C")*(MOVIMIENTOS!$D$5:$D$1005="jabas")*(MOVIMIENTOS!$A$5:$A$1005&lt;&gt;"")*(MOVIMIENTOS!$A$5:$A$1005&lt;=$A28)*MOVIMIENTOS!$E$5:$E$1005)+SUMPRODUCT((MOVIMIENTOS!$B$5:$B$1005="PROCESO")*(MOVIMIENTOS!$C$5:$C$1005="C")*(MOVIMIENTOS!$D$5:$D$1005="jabas")*(MOVIMIENTOS!$A$5:$A$1005&lt;&gt;"")*(MOVIMIENTOS!$A$5:$A$1005&lt;=$A28)*MOVIMIENTOS!$E$5:$E$1005)-SUMPRODUCT((MOVIMIENTOS!$B$5:$B$1005="ENVÍO A SUPESA")*(MOVIMIENTOS!$C$5:$C$1005="C")*(MOVIMIENTOS!$D$5:$D$1005="jabas")*(MOVIMIENTOS!$A$5:$A$1005&lt;&gt;"")*(MOVIMIENTOS!$A$5:$A$1005&lt;=$A28)*MOVIMIENTOS!$E$5:$E$1005)+SUMPRODUCT((MOVIMIENTOS!$B$5:$B$1005="DEVOLUCIÓN")*(MOVIMIENTOS!$C$5:$C$1005="C")*(MOVIMIENTOS!$D$5:$D$1005="jabas")*(MOVIMIENTOS!$A$5:$A$1005&lt;&gt;"")*(MOVIMIENTOS!$A$5:$A$1005&lt;=$A28)*MOVIMIENTOS!$E$5:$E$1005)-SUMPRODUCT((MOVIMIENTOS!$B$5:$B$1005="TRASIEGO")*(MOVIMIENTOS!$C$5:$C$1005="C")*(MOVIMIENTOS!$D$5:$D$1005="jabas")*(MOVIMIENTOS!$A$5:$A$1005&lt;&gt;"")*(MOVIMIENTOS!$A$5:$A$1005&lt;=$A28)*MOVIMIENTOS!$E$5:$E$1005)-SUMPRODUCT((MOVIMIENTOS!$B$5:$B$1005="REGALO")*(MOVIMIENTOS!$C$5:$C$1005="C")*(MOVIMIENTOS!$D$5:$D$1005="jabas")*(MOVIMIENTOS!$A$5:$A$1005&lt;&gt;"")*(MOVIMIENTOS!$A$5:$A$1005&lt;=$A28)*MOVIMIENTOS!$E$5:$E$1005)-SUMPRODUCT((MOVIMIENTOS!$B$5:$B$1005="VENTA")*(MOVIMIENTOS!$C$5:$C$1005="C")*(MOVIMIENTOS!$D$5:$D$1005="jabas")*(MOVIMIENTOS!$A$5:$A$1005&lt;&gt;"")*(MOVIMIENTOS!$A$5:$A$1005&lt;=$A28)*MOVIMIENTOS!$E$5:$E$1005)+SUMPRODUCT((MOVIMIENTOS!$B$5:$B$1005="AJUSTE")*(MOVIMIENTOS!$C$5:$C$1005="C")*(MOVIMIENTOS!$D$5:$D$1005="jabas")*(MOVIMIENTOS!$A$5:$A$1005&lt;&gt;"")*(MOVIMIENTOS!$A$5:$A$1005&lt;=$A28)*MOVIMIENTOS!$E$5:$E$1005))</f>
        <v>11</v>
      </c>
      <c r="E28" s="65">
        <f>IF($A28="","",SUMPRODUCT((MOVIMIENTOS!$B$5:$B$1005="SALDO INICIAL")*(MOVIMIENTOS!$C$5:$C$1005="M")*(MOVIMIENTOS!$D$5:$D$1005="jabas")*(MOVIMIENTOS!$A$5:$A$1005&lt;&gt;"")*(MOVIMIENTOS!$A$5:$A$1005&lt;=$A28)*MOVIMIENTOS!$E$5:$E$1005)+SUMPRODUCT((MOVIMIENTOS!$B$5:$B$1005="PROCESO")*(MOVIMIENTOS!$C$5:$C$1005="M")*(MOVIMIENTOS!$D$5:$D$1005="jabas")*(MOVIMIENTOS!$A$5:$A$1005&lt;&gt;"")*(MOVIMIENTOS!$A$5:$A$1005&lt;=$A28)*MOVIMIENTOS!$E$5:$E$1005)-SUMPRODUCT((MOVIMIENTOS!$B$5:$B$1005="ENVÍO A SUPESA")*(MOVIMIENTOS!$C$5:$C$1005="M")*(MOVIMIENTOS!$D$5:$D$1005="jabas")*(MOVIMIENTOS!$A$5:$A$1005&lt;&gt;"")*(MOVIMIENTOS!$A$5:$A$1005&lt;=$A28)*MOVIMIENTOS!$E$5:$E$1005)+SUMPRODUCT((MOVIMIENTOS!$B$5:$B$1005="DEVOLUCIÓN")*(MOVIMIENTOS!$C$5:$C$1005="M")*(MOVIMIENTOS!$D$5:$D$1005="jabas")*(MOVIMIENTOS!$A$5:$A$1005&lt;&gt;"")*(MOVIMIENTOS!$A$5:$A$1005&lt;=$A28)*MOVIMIENTOS!$E$5:$E$1005)-SUMPRODUCT((MOVIMIENTOS!$B$5:$B$1005="TRASIEGO")*(MOVIMIENTOS!$C$5:$C$1005="M")*(MOVIMIENTOS!$D$5:$D$1005="jabas")*(MOVIMIENTOS!$A$5:$A$1005&lt;&gt;"")*(MOVIMIENTOS!$A$5:$A$1005&lt;=$A28)*MOVIMIENTOS!$E$5:$E$1005)-SUMPRODUCT((MOVIMIENTOS!$B$5:$B$1005="REGALO")*(MOVIMIENTOS!$C$5:$C$1005="M")*(MOVIMIENTOS!$D$5:$D$1005="jabas")*(MOVIMIENTOS!$A$5:$A$1005&lt;&gt;"")*(MOVIMIENTOS!$A$5:$A$1005&lt;=$A28)*MOVIMIENTOS!$E$5:$E$1005)-SUMPRODUCT((MOVIMIENTOS!$B$5:$B$1005="VENTA")*(MOVIMIENTOS!$C$5:$C$1005="M")*(MOVIMIENTOS!$D$5:$D$1005="jabas")*(MOVIMIENTOS!$A$5:$A$1005&lt;&gt;"")*(MOVIMIENTOS!$A$5:$A$1005&lt;=$A28)*MOVIMIENTOS!$E$5:$E$1005)+SUMPRODUCT((MOVIMIENTOS!$B$5:$B$1005="AJUSTE")*(MOVIMIENTOS!$C$5:$C$1005="M")*(MOVIMIENTOS!$D$5:$D$1005="jabas")*(MOVIMIENTOS!$A$5:$A$1005&lt;&gt;"")*(MOVIMIENTOS!$A$5:$A$1005&lt;=$A28)*MOVIMIENTOS!$E$5:$E$1005))</f>
        <v>173</v>
      </c>
      <c r="F28" s="65">
        <f>IF($A28="","",SUMPRODUCT((MOVIMIENTOS!$B$5:$B$1005="SALDO INICIAL")*(MOVIMIENTOS!$C$5:$C$1005="Chancho")*(MOVIMIENTOS!$D$5:$D$1005="sacos")*(MOVIMIENTOS!$A$5:$A$1005&lt;&gt;"")*(MOVIMIENTOS!$A$5:$A$1005&lt;=$A28)*MOVIMIENTOS!$E$5:$E$1005)+SUMPRODUCT((MOVIMIENTOS!$B$5:$B$1005="PROCESO")*(MOVIMIENTOS!$C$5:$C$1005="Chancho")*(MOVIMIENTOS!$D$5:$D$1005="sacos")*(MOVIMIENTOS!$A$5:$A$1005&lt;&gt;"")*(MOVIMIENTOS!$A$5:$A$1005&lt;=$A28)*MOVIMIENTOS!$E$5:$E$1005)-SUMPRODUCT((MOVIMIENTOS!$B$5:$B$1005="VENTA CHANCHO")*(MOVIMIENTOS!$C$5:$C$1005="Chancho")*(MOVIMIENTOS!$D$5:$D$1005="sacos")*(MOVIMIENTOS!$A$5:$A$1005&lt;&gt;"")*(MOVIMIENTOS!$A$5:$A$1005&lt;=$A28)*MOVIMIENTOS!$E$5:$E$1005)-SUMPRODUCT((MOVIMIENTOS!$B$5:$B$1005="REGALO")*(MOVIMIENTOS!$C$5:$C$1005="Chancho")*(MOVIMIENTOS!$D$5:$D$1005="sacos")*(MOVIMIENTOS!$A$5:$A$1005&lt;&gt;"")*(MOVIMIENTOS!$A$5:$A$1005&lt;=$A28)*MOVIMIENTOS!$E$5:$E$1005)-SUMPRODUCT((MOVIMIENTOS!$B$5:$B$1005="VENTA")*(MOVIMIENTOS!$C$5:$C$1005="Chancho")*(MOVIMIENTOS!$D$5:$D$1005="sacos")*(MOVIMIENTOS!$A$5:$A$1005&lt;&gt;"")*(MOVIMIENTOS!$A$5:$A$1005&lt;=$A28)*MOVIMIENTOS!$E$5:$E$1005)+SUMPRODUCT((MOVIMIENTOS!$B$5:$B$1005="AJUSTE")*(MOVIMIENTOS!$C$5:$C$1005="Chancho")*(MOVIMIENTOS!$D$5:$D$1005="sacos")*(MOVIMIENTOS!$A$5:$A$1005&lt;&gt;"")*(MOVIMIENTOS!$A$5:$A$1005&lt;=$A28)*MOVIMIENTOS!$E$5:$E$1005))</f>
        <v>19.5</v>
      </c>
      <c r="G28" s="77">
        <f t="shared" si="1"/>
        <v>291</v>
      </c>
      <c r="H28" s="65">
        <f>IF($A28="","",SUMPRODUCT((((MOVIMIENTOS!$B$5:$B$1005="SALDO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28)*MOVIMIENTOS!$J$5:$J$1005))</f>
        <v>5665.320000000007</v>
      </c>
      <c r="I28" s="63"/>
      <c r="J28" s="63" t="str">
        <f>IF(AND(MOVIMIENTOS!$A28&lt;&gt;"",COUNTIF(MOVIMIENTOS!$A$5:$A27,MOVIMIENTOS!$A28)=0),COUNT(J$4:J27)+1,"")</f>
        <v/>
      </c>
      <c r="K28" s="66">
        <f>MOVIMIENTOS!$A28</f>
        <v>46216</v>
      </c>
      <c r="L28" s="63"/>
      <c r="M28" s="63"/>
      <c r="N28" s="63"/>
    </row>
    <row r="29" spans="1:14" ht="15" customHeight="1" x14ac:dyDescent="0.2">
      <c r="A29" s="64">
        <f t="shared" si="0"/>
        <v>46238</v>
      </c>
      <c r="B29" s="65">
        <f>IF($A29="","",SUMPRODUCT((MOVIMIENTOS!$B$5:$B$1005="SALDO INICIAL")*(MOVIMIENTOS!$C$5:$C$1005="A")*(MOVIMIENTOS!$D$5:$D$1005="jabas")*(MOVIMIENTOS!$A$5:$A$1005&lt;&gt;"")*(MOVIMIENTOS!$A$5:$A$1005&lt;=$A29)*MOVIMIENTOS!$E$5:$E$1005)+SUMPRODUCT((MOVIMIENTOS!$B$5:$B$1005="PROCESO")*(MOVIMIENTOS!$C$5:$C$1005="A")*(MOVIMIENTOS!$D$5:$D$1005="jabas")*(MOVIMIENTOS!$A$5:$A$1005&lt;&gt;"")*(MOVIMIENTOS!$A$5:$A$1005&lt;=$A29)*MOVIMIENTOS!$E$5:$E$1005)-SUMPRODUCT((MOVIMIENTOS!$B$5:$B$1005="ENVÍO A SUPESA")*(MOVIMIENTOS!$C$5:$C$1005="A")*(MOVIMIENTOS!$D$5:$D$1005="jabas")*(MOVIMIENTOS!$A$5:$A$1005&lt;&gt;"")*(MOVIMIENTOS!$A$5:$A$1005&lt;=$A29)*MOVIMIENTOS!$E$5:$E$1005)+SUMPRODUCT((MOVIMIENTOS!$B$5:$B$1005="DEVOLUCIÓN")*(MOVIMIENTOS!$C$5:$C$1005="A")*(MOVIMIENTOS!$D$5:$D$1005="jabas")*(MOVIMIENTOS!$A$5:$A$1005&lt;&gt;"")*(MOVIMIENTOS!$A$5:$A$1005&lt;=$A29)*MOVIMIENTOS!$E$5:$E$1005)-SUMPRODUCT((MOVIMIENTOS!$B$5:$B$1005="TRASIEGO")*(MOVIMIENTOS!$C$5:$C$1005="A")*(MOVIMIENTOS!$D$5:$D$1005="jabas")*(MOVIMIENTOS!$A$5:$A$1005&lt;&gt;"")*(MOVIMIENTOS!$A$5:$A$1005&lt;=$A29)*MOVIMIENTOS!$E$5:$E$1005)-SUMPRODUCT((MOVIMIENTOS!$B$5:$B$1005="REGALO")*(MOVIMIENTOS!$C$5:$C$1005="A")*(MOVIMIENTOS!$D$5:$D$1005="jabas")*(MOVIMIENTOS!$A$5:$A$1005&lt;&gt;"")*(MOVIMIENTOS!$A$5:$A$1005&lt;=$A29)*MOVIMIENTOS!$E$5:$E$1005)-SUMPRODUCT((MOVIMIENTOS!$B$5:$B$1005="VENTA")*(MOVIMIENTOS!$C$5:$C$1005="A")*(MOVIMIENTOS!$D$5:$D$1005="jabas")*(MOVIMIENTOS!$A$5:$A$1005&lt;&gt;"")*(MOVIMIENTOS!$A$5:$A$1005&lt;=$A29)*MOVIMIENTOS!$E$5:$E$1005)+SUMPRODUCT((MOVIMIENTOS!$B$5:$B$1005="AJUSTE")*(MOVIMIENTOS!$C$5:$C$1005="A")*(MOVIMIENTOS!$D$5:$D$1005="jabas")*(MOVIMIENTOS!$A$5:$A$1005&lt;&gt;"")*(MOVIMIENTOS!$A$5:$A$1005&lt;=$A29)*MOVIMIENTOS!$E$5:$E$1005))</f>
        <v>19</v>
      </c>
      <c r="C29" s="65">
        <f>IF($A29="","",SUMPRODUCT((MOVIMIENTOS!$B$5:$B$1005="SALDO INICIAL")*(MOVIMIENTOS!$C$5:$C$1005="P")*(MOVIMIENTOS!$D$5:$D$1005="jabas")*(MOVIMIENTOS!$A$5:$A$1005&lt;&gt;"")*(MOVIMIENTOS!$A$5:$A$1005&lt;=$A29)*MOVIMIENTOS!$E$5:$E$1005)+SUMPRODUCT((MOVIMIENTOS!$B$5:$B$1005="PROCESO")*(MOVIMIENTOS!$C$5:$C$1005="P")*(MOVIMIENTOS!$D$5:$D$1005="jabas")*(MOVIMIENTOS!$A$5:$A$1005&lt;&gt;"")*(MOVIMIENTOS!$A$5:$A$1005&lt;=$A29)*MOVIMIENTOS!$E$5:$E$1005)-SUMPRODUCT((MOVIMIENTOS!$B$5:$B$1005="ENVÍO A SUPESA")*(MOVIMIENTOS!$C$5:$C$1005="P")*(MOVIMIENTOS!$D$5:$D$1005="jabas")*(MOVIMIENTOS!$A$5:$A$1005&lt;&gt;"")*(MOVIMIENTOS!$A$5:$A$1005&lt;=$A29)*MOVIMIENTOS!$E$5:$E$1005)+SUMPRODUCT((MOVIMIENTOS!$B$5:$B$1005="DEVOLUCIÓN")*(MOVIMIENTOS!$C$5:$C$1005="P")*(MOVIMIENTOS!$D$5:$D$1005="jabas")*(MOVIMIENTOS!$A$5:$A$1005&lt;&gt;"")*(MOVIMIENTOS!$A$5:$A$1005&lt;=$A29)*MOVIMIENTOS!$E$5:$E$1005)-SUMPRODUCT((MOVIMIENTOS!$B$5:$B$1005="TRASIEGO")*(MOVIMIENTOS!$C$5:$C$1005="P")*(MOVIMIENTOS!$D$5:$D$1005="jabas")*(MOVIMIENTOS!$A$5:$A$1005&lt;&gt;"")*(MOVIMIENTOS!$A$5:$A$1005&lt;=$A29)*MOVIMIENTOS!$E$5:$E$1005)-SUMPRODUCT((MOVIMIENTOS!$B$5:$B$1005="REGALO")*(MOVIMIENTOS!$C$5:$C$1005="P")*(MOVIMIENTOS!$D$5:$D$1005="jabas")*(MOVIMIENTOS!$A$5:$A$1005&lt;&gt;"")*(MOVIMIENTOS!$A$5:$A$1005&lt;=$A29)*MOVIMIENTOS!$E$5:$E$1005)-SUMPRODUCT((MOVIMIENTOS!$B$5:$B$1005="VENTA")*(MOVIMIENTOS!$C$5:$C$1005="P")*(MOVIMIENTOS!$D$5:$D$1005="jabas")*(MOVIMIENTOS!$A$5:$A$1005&lt;&gt;"")*(MOVIMIENTOS!$A$5:$A$1005&lt;=$A29)*MOVIMIENTOS!$E$5:$E$1005)+SUMPRODUCT((MOVIMIENTOS!$B$5:$B$1005="AJUSTE")*(MOVIMIENTOS!$C$5:$C$1005="P")*(MOVIMIENTOS!$D$5:$D$1005="jabas")*(MOVIMIENTOS!$A$5:$A$1005&lt;&gt;"")*(MOVIMIENTOS!$A$5:$A$1005&lt;=$A29)*MOVIMIENTOS!$E$5:$E$1005))</f>
        <v>0</v>
      </c>
      <c r="D29" s="65">
        <f>IF($A29="","",SUMPRODUCT((MOVIMIENTOS!$B$5:$B$1005="SALDO INICIAL")*(MOVIMIENTOS!$C$5:$C$1005="C")*(MOVIMIENTOS!$D$5:$D$1005="jabas")*(MOVIMIENTOS!$A$5:$A$1005&lt;&gt;"")*(MOVIMIENTOS!$A$5:$A$1005&lt;=$A29)*MOVIMIENTOS!$E$5:$E$1005)+SUMPRODUCT((MOVIMIENTOS!$B$5:$B$1005="PROCESO")*(MOVIMIENTOS!$C$5:$C$1005="C")*(MOVIMIENTOS!$D$5:$D$1005="jabas")*(MOVIMIENTOS!$A$5:$A$1005&lt;&gt;"")*(MOVIMIENTOS!$A$5:$A$1005&lt;=$A29)*MOVIMIENTOS!$E$5:$E$1005)-SUMPRODUCT((MOVIMIENTOS!$B$5:$B$1005="ENVÍO A SUPESA")*(MOVIMIENTOS!$C$5:$C$1005="C")*(MOVIMIENTOS!$D$5:$D$1005="jabas")*(MOVIMIENTOS!$A$5:$A$1005&lt;&gt;"")*(MOVIMIENTOS!$A$5:$A$1005&lt;=$A29)*MOVIMIENTOS!$E$5:$E$1005)+SUMPRODUCT((MOVIMIENTOS!$B$5:$B$1005="DEVOLUCIÓN")*(MOVIMIENTOS!$C$5:$C$1005="C")*(MOVIMIENTOS!$D$5:$D$1005="jabas")*(MOVIMIENTOS!$A$5:$A$1005&lt;&gt;"")*(MOVIMIENTOS!$A$5:$A$1005&lt;=$A29)*MOVIMIENTOS!$E$5:$E$1005)-SUMPRODUCT((MOVIMIENTOS!$B$5:$B$1005="TRASIEGO")*(MOVIMIENTOS!$C$5:$C$1005="C")*(MOVIMIENTOS!$D$5:$D$1005="jabas")*(MOVIMIENTOS!$A$5:$A$1005&lt;&gt;"")*(MOVIMIENTOS!$A$5:$A$1005&lt;=$A29)*MOVIMIENTOS!$E$5:$E$1005)-SUMPRODUCT((MOVIMIENTOS!$B$5:$B$1005="REGALO")*(MOVIMIENTOS!$C$5:$C$1005="C")*(MOVIMIENTOS!$D$5:$D$1005="jabas")*(MOVIMIENTOS!$A$5:$A$1005&lt;&gt;"")*(MOVIMIENTOS!$A$5:$A$1005&lt;=$A29)*MOVIMIENTOS!$E$5:$E$1005)-SUMPRODUCT((MOVIMIENTOS!$B$5:$B$1005="VENTA")*(MOVIMIENTOS!$C$5:$C$1005="C")*(MOVIMIENTOS!$D$5:$D$1005="jabas")*(MOVIMIENTOS!$A$5:$A$1005&lt;&gt;"")*(MOVIMIENTOS!$A$5:$A$1005&lt;=$A29)*MOVIMIENTOS!$E$5:$E$1005)+SUMPRODUCT((MOVIMIENTOS!$B$5:$B$1005="AJUSTE")*(MOVIMIENTOS!$C$5:$C$1005="C")*(MOVIMIENTOS!$D$5:$D$1005="jabas")*(MOVIMIENTOS!$A$5:$A$1005&lt;&gt;"")*(MOVIMIENTOS!$A$5:$A$1005&lt;=$A29)*MOVIMIENTOS!$E$5:$E$1005))</f>
        <v>0</v>
      </c>
      <c r="E29" s="65">
        <f>IF($A29="","",SUMPRODUCT((MOVIMIENTOS!$B$5:$B$1005="SALDO INICIAL")*(MOVIMIENTOS!$C$5:$C$1005="M")*(MOVIMIENTOS!$D$5:$D$1005="jabas")*(MOVIMIENTOS!$A$5:$A$1005&lt;&gt;"")*(MOVIMIENTOS!$A$5:$A$1005&lt;=$A29)*MOVIMIENTOS!$E$5:$E$1005)+SUMPRODUCT((MOVIMIENTOS!$B$5:$B$1005="PROCESO")*(MOVIMIENTOS!$C$5:$C$1005="M")*(MOVIMIENTOS!$D$5:$D$1005="jabas")*(MOVIMIENTOS!$A$5:$A$1005&lt;&gt;"")*(MOVIMIENTOS!$A$5:$A$1005&lt;=$A29)*MOVIMIENTOS!$E$5:$E$1005)-SUMPRODUCT((MOVIMIENTOS!$B$5:$B$1005="ENVÍO A SUPESA")*(MOVIMIENTOS!$C$5:$C$1005="M")*(MOVIMIENTOS!$D$5:$D$1005="jabas")*(MOVIMIENTOS!$A$5:$A$1005&lt;&gt;"")*(MOVIMIENTOS!$A$5:$A$1005&lt;=$A29)*MOVIMIENTOS!$E$5:$E$1005)+SUMPRODUCT((MOVIMIENTOS!$B$5:$B$1005="DEVOLUCIÓN")*(MOVIMIENTOS!$C$5:$C$1005="M")*(MOVIMIENTOS!$D$5:$D$1005="jabas")*(MOVIMIENTOS!$A$5:$A$1005&lt;&gt;"")*(MOVIMIENTOS!$A$5:$A$1005&lt;=$A29)*MOVIMIENTOS!$E$5:$E$1005)-SUMPRODUCT((MOVIMIENTOS!$B$5:$B$1005="TRASIEGO")*(MOVIMIENTOS!$C$5:$C$1005="M")*(MOVIMIENTOS!$D$5:$D$1005="jabas")*(MOVIMIENTOS!$A$5:$A$1005&lt;&gt;"")*(MOVIMIENTOS!$A$5:$A$1005&lt;=$A29)*MOVIMIENTOS!$E$5:$E$1005)-SUMPRODUCT((MOVIMIENTOS!$B$5:$B$1005="REGALO")*(MOVIMIENTOS!$C$5:$C$1005="M")*(MOVIMIENTOS!$D$5:$D$1005="jabas")*(MOVIMIENTOS!$A$5:$A$1005&lt;&gt;"")*(MOVIMIENTOS!$A$5:$A$1005&lt;=$A29)*MOVIMIENTOS!$E$5:$E$1005)-SUMPRODUCT((MOVIMIENTOS!$B$5:$B$1005="VENTA")*(MOVIMIENTOS!$C$5:$C$1005="M")*(MOVIMIENTOS!$D$5:$D$1005="jabas")*(MOVIMIENTOS!$A$5:$A$1005&lt;&gt;"")*(MOVIMIENTOS!$A$5:$A$1005&lt;=$A29)*MOVIMIENTOS!$E$5:$E$1005)+SUMPRODUCT((MOVIMIENTOS!$B$5:$B$1005="AJUSTE")*(MOVIMIENTOS!$C$5:$C$1005="M")*(MOVIMIENTOS!$D$5:$D$1005="jabas")*(MOVIMIENTOS!$A$5:$A$1005&lt;&gt;"")*(MOVIMIENTOS!$A$5:$A$1005&lt;=$A29)*MOVIMIENTOS!$E$5:$E$1005))</f>
        <v>15</v>
      </c>
      <c r="F29" s="65">
        <f>IF($A29="","",SUMPRODUCT((MOVIMIENTOS!$B$5:$B$1005="SALDO INICIAL")*(MOVIMIENTOS!$C$5:$C$1005="Chancho")*(MOVIMIENTOS!$D$5:$D$1005="sacos")*(MOVIMIENTOS!$A$5:$A$1005&lt;&gt;"")*(MOVIMIENTOS!$A$5:$A$1005&lt;=$A29)*MOVIMIENTOS!$E$5:$E$1005)+SUMPRODUCT((MOVIMIENTOS!$B$5:$B$1005="PROCESO")*(MOVIMIENTOS!$C$5:$C$1005="Chancho")*(MOVIMIENTOS!$D$5:$D$1005="sacos")*(MOVIMIENTOS!$A$5:$A$1005&lt;&gt;"")*(MOVIMIENTOS!$A$5:$A$1005&lt;=$A29)*MOVIMIENTOS!$E$5:$E$1005)-SUMPRODUCT((MOVIMIENTOS!$B$5:$B$1005="VENTA CHANCHO")*(MOVIMIENTOS!$C$5:$C$1005="Chancho")*(MOVIMIENTOS!$D$5:$D$1005="sacos")*(MOVIMIENTOS!$A$5:$A$1005&lt;&gt;"")*(MOVIMIENTOS!$A$5:$A$1005&lt;=$A29)*MOVIMIENTOS!$E$5:$E$1005)-SUMPRODUCT((MOVIMIENTOS!$B$5:$B$1005="REGALO")*(MOVIMIENTOS!$C$5:$C$1005="Chancho")*(MOVIMIENTOS!$D$5:$D$1005="sacos")*(MOVIMIENTOS!$A$5:$A$1005&lt;&gt;"")*(MOVIMIENTOS!$A$5:$A$1005&lt;=$A29)*MOVIMIENTOS!$E$5:$E$1005)-SUMPRODUCT((MOVIMIENTOS!$B$5:$B$1005="VENTA")*(MOVIMIENTOS!$C$5:$C$1005="Chancho")*(MOVIMIENTOS!$D$5:$D$1005="sacos")*(MOVIMIENTOS!$A$5:$A$1005&lt;&gt;"")*(MOVIMIENTOS!$A$5:$A$1005&lt;=$A29)*MOVIMIENTOS!$E$5:$E$1005)+SUMPRODUCT((MOVIMIENTOS!$B$5:$B$1005="AJUSTE")*(MOVIMIENTOS!$C$5:$C$1005="Chancho")*(MOVIMIENTOS!$D$5:$D$1005="sacos")*(MOVIMIENTOS!$A$5:$A$1005&lt;&gt;"")*(MOVIMIENTOS!$A$5:$A$1005&lt;=$A29)*MOVIMIENTOS!$E$5:$E$1005))</f>
        <v>31.5</v>
      </c>
      <c r="G29" s="77">
        <f t="shared" si="1"/>
        <v>34</v>
      </c>
      <c r="H29" s="65">
        <f>IF($A29="","",SUMPRODUCT((((MOVIMIENTOS!$B$5:$B$1005="SALDO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29)*MOVIMIENTOS!$J$5:$J$1005))</f>
        <v>1425.320000000007</v>
      </c>
      <c r="I29" s="63"/>
      <c r="J29" s="63">
        <f>IF(AND(MOVIMIENTOS!$A29&lt;&gt;"",COUNTIF(MOVIMIENTOS!$A$5:$A28,MOVIMIENTOS!$A29)=0),COUNT(J$4:J28)+1,"")</f>
        <v>5</v>
      </c>
      <c r="K29" s="66">
        <f>MOVIMIENTOS!$A29</f>
        <v>46217</v>
      </c>
      <c r="L29" s="63"/>
      <c r="M29" s="63"/>
      <c r="N29" s="63"/>
    </row>
    <row r="30" spans="1:14" ht="15" customHeight="1" x14ac:dyDescent="0.2">
      <c r="A30" s="64">
        <f t="shared" si="0"/>
        <v>46239</v>
      </c>
      <c r="B30" s="65">
        <f>IF($A30="","",SUMPRODUCT((MOVIMIENTOS!$B$5:$B$1005="SALDO INICIAL")*(MOVIMIENTOS!$C$5:$C$1005="A")*(MOVIMIENTOS!$D$5:$D$1005="jabas")*(MOVIMIENTOS!$A$5:$A$1005&lt;&gt;"")*(MOVIMIENTOS!$A$5:$A$1005&lt;=$A30)*MOVIMIENTOS!$E$5:$E$1005)+SUMPRODUCT((MOVIMIENTOS!$B$5:$B$1005="PROCESO")*(MOVIMIENTOS!$C$5:$C$1005="A")*(MOVIMIENTOS!$D$5:$D$1005="jabas")*(MOVIMIENTOS!$A$5:$A$1005&lt;&gt;"")*(MOVIMIENTOS!$A$5:$A$1005&lt;=$A30)*MOVIMIENTOS!$E$5:$E$1005)-SUMPRODUCT((MOVIMIENTOS!$B$5:$B$1005="ENVÍO A SUPESA")*(MOVIMIENTOS!$C$5:$C$1005="A")*(MOVIMIENTOS!$D$5:$D$1005="jabas")*(MOVIMIENTOS!$A$5:$A$1005&lt;&gt;"")*(MOVIMIENTOS!$A$5:$A$1005&lt;=$A30)*MOVIMIENTOS!$E$5:$E$1005)+SUMPRODUCT((MOVIMIENTOS!$B$5:$B$1005="DEVOLUCIÓN")*(MOVIMIENTOS!$C$5:$C$1005="A")*(MOVIMIENTOS!$D$5:$D$1005="jabas")*(MOVIMIENTOS!$A$5:$A$1005&lt;&gt;"")*(MOVIMIENTOS!$A$5:$A$1005&lt;=$A30)*MOVIMIENTOS!$E$5:$E$1005)-SUMPRODUCT((MOVIMIENTOS!$B$5:$B$1005="TRASIEGO")*(MOVIMIENTOS!$C$5:$C$1005="A")*(MOVIMIENTOS!$D$5:$D$1005="jabas")*(MOVIMIENTOS!$A$5:$A$1005&lt;&gt;"")*(MOVIMIENTOS!$A$5:$A$1005&lt;=$A30)*MOVIMIENTOS!$E$5:$E$1005)-SUMPRODUCT((MOVIMIENTOS!$B$5:$B$1005="REGALO")*(MOVIMIENTOS!$C$5:$C$1005="A")*(MOVIMIENTOS!$D$5:$D$1005="jabas")*(MOVIMIENTOS!$A$5:$A$1005&lt;&gt;"")*(MOVIMIENTOS!$A$5:$A$1005&lt;=$A30)*MOVIMIENTOS!$E$5:$E$1005)-SUMPRODUCT((MOVIMIENTOS!$B$5:$B$1005="VENTA")*(MOVIMIENTOS!$C$5:$C$1005="A")*(MOVIMIENTOS!$D$5:$D$1005="jabas")*(MOVIMIENTOS!$A$5:$A$1005&lt;&gt;"")*(MOVIMIENTOS!$A$5:$A$1005&lt;=$A30)*MOVIMIENTOS!$E$5:$E$1005)+SUMPRODUCT((MOVIMIENTOS!$B$5:$B$1005="AJUSTE")*(MOVIMIENTOS!$C$5:$C$1005="A")*(MOVIMIENTOS!$D$5:$D$1005="jabas")*(MOVIMIENTOS!$A$5:$A$1005&lt;&gt;"")*(MOVIMIENTOS!$A$5:$A$1005&lt;=$A30)*MOVIMIENTOS!$E$5:$E$1005))</f>
        <v>48</v>
      </c>
      <c r="C30" s="65">
        <f>IF($A30="","",SUMPRODUCT((MOVIMIENTOS!$B$5:$B$1005="SALDO INICIAL")*(MOVIMIENTOS!$C$5:$C$1005="P")*(MOVIMIENTOS!$D$5:$D$1005="jabas")*(MOVIMIENTOS!$A$5:$A$1005&lt;&gt;"")*(MOVIMIENTOS!$A$5:$A$1005&lt;=$A30)*MOVIMIENTOS!$E$5:$E$1005)+SUMPRODUCT((MOVIMIENTOS!$B$5:$B$1005="PROCESO")*(MOVIMIENTOS!$C$5:$C$1005="P")*(MOVIMIENTOS!$D$5:$D$1005="jabas")*(MOVIMIENTOS!$A$5:$A$1005&lt;&gt;"")*(MOVIMIENTOS!$A$5:$A$1005&lt;=$A30)*MOVIMIENTOS!$E$5:$E$1005)-SUMPRODUCT((MOVIMIENTOS!$B$5:$B$1005="ENVÍO A SUPESA")*(MOVIMIENTOS!$C$5:$C$1005="P")*(MOVIMIENTOS!$D$5:$D$1005="jabas")*(MOVIMIENTOS!$A$5:$A$1005&lt;&gt;"")*(MOVIMIENTOS!$A$5:$A$1005&lt;=$A30)*MOVIMIENTOS!$E$5:$E$1005)+SUMPRODUCT((MOVIMIENTOS!$B$5:$B$1005="DEVOLUCIÓN")*(MOVIMIENTOS!$C$5:$C$1005="P")*(MOVIMIENTOS!$D$5:$D$1005="jabas")*(MOVIMIENTOS!$A$5:$A$1005&lt;&gt;"")*(MOVIMIENTOS!$A$5:$A$1005&lt;=$A30)*MOVIMIENTOS!$E$5:$E$1005)-SUMPRODUCT((MOVIMIENTOS!$B$5:$B$1005="TRASIEGO")*(MOVIMIENTOS!$C$5:$C$1005="P")*(MOVIMIENTOS!$D$5:$D$1005="jabas")*(MOVIMIENTOS!$A$5:$A$1005&lt;&gt;"")*(MOVIMIENTOS!$A$5:$A$1005&lt;=$A30)*MOVIMIENTOS!$E$5:$E$1005)-SUMPRODUCT((MOVIMIENTOS!$B$5:$B$1005="REGALO")*(MOVIMIENTOS!$C$5:$C$1005="P")*(MOVIMIENTOS!$D$5:$D$1005="jabas")*(MOVIMIENTOS!$A$5:$A$1005&lt;&gt;"")*(MOVIMIENTOS!$A$5:$A$1005&lt;=$A30)*MOVIMIENTOS!$E$5:$E$1005)-SUMPRODUCT((MOVIMIENTOS!$B$5:$B$1005="VENTA")*(MOVIMIENTOS!$C$5:$C$1005="P")*(MOVIMIENTOS!$D$5:$D$1005="jabas")*(MOVIMIENTOS!$A$5:$A$1005&lt;&gt;"")*(MOVIMIENTOS!$A$5:$A$1005&lt;=$A30)*MOVIMIENTOS!$E$5:$E$1005)+SUMPRODUCT((MOVIMIENTOS!$B$5:$B$1005="AJUSTE")*(MOVIMIENTOS!$C$5:$C$1005="P")*(MOVIMIENTOS!$D$5:$D$1005="jabas")*(MOVIMIENTOS!$A$5:$A$1005&lt;&gt;"")*(MOVIMIENTOS!$A$5:$A$1005&lt;=$A30)*MOVIMIENTOS!$E$5:$E$1005))</f>
        <v>11</v>
      </c>
      <c r="D30" s="65">
        <f>IF($A30="","",SUMPRODUCT((MOVIMIENTOS!$B$5:$B$1005="SALDO INICIAL")*(MOVIMIENTOS!$C$5:$C$1005="C")*(MOVIMIENTOS!$D$5:$D$1005="jabas")*(MOVIMIENTOS!$A$5:$A$1005&lt;&gt;"")*(MOVIMIENTOS!$A$5:$A$1005&lt;=$A30)*MOVIMIENTOS!$E$5:$E$1005)+SUMPRODUCT((MOVIMIENTOS!$B$5:$B$1005="PROCESO")*(MOVIMIENTOS!$C$5:$C$1005="C")*(MOVIMIENTOS!$D$5:$D$1005="jabas")*(MOVIMIENTOS!$A$5:$A$1005&lt;&gt;"")*(MOVIMIENTOS!$A$5:$A$1005&lt;=$A30)*MOVIMIENTOS!$E$5:$E$1005)-SUMPRODUCT((MOVIMIENTOS!$B$5:$B$1005="ENVÍO A SUPESA")*(MOVIMIENTOS!$C$5:$C$1005="C")*(MOVIMIENTOS!$D$5:$D$1005="jabas")*(MOVIMIENTOS!$A$5:$A$1005&lt;&gt;"")*(MOVIMIENTOS!$A$5:$A$1005&lt;=$A30)*MOVIMIENTOS!$E$5:$E$1005)+SUMPRODUCT((MOVIMIENTOS!$B$5:$B$1005="DEVOLUCIÓN")*(MOVIMIENTOS!$C$5:$C$1005="C")*(MOVIMIENTOS!$D$5:$D$1005="jabas")*(MOVIMIENTOS!$A$5:$A$1005&lt;&gt;"")*(MOVIMIENTOS!$A$5:$A$1005&lt;=$A30)*MOVIMIENTOS!$E$5:$E$1005)-SUMPRODUCT((MOVIMIENTOS!$B$5:$B$1005="TRASIEGO")*(MOVIMIENTOS!$C$5:$C$1005="C")*(MOVIMIENTOS!$D$5:$D$1005="jabas")*(MOVIMIENTOS!$A$5:$A$1005&lt;&gt;"")*(MOVIMIENTOS!$A$5:$A$1005&lt;=$A30)*MOVIMIENTOS!$E$5:$E$1005)-SUMPRODUCT((MOVIMIENTOS!$B$5:$B$1005="REGALO")*(MOVIMIENTOS!$C$5:$C$1005="C")*(MOVIMIENTOS!$D$5:$D$1005="jabas")*(MOVIMIENTOS!$A$5:$A$1005&lt;&gt;"")*(MOVIMIENTOS!$A$5:$A$1005&lt;=$A30)*MOVIMIENTOS!$E$5:$E$1005)-SUMPRODUCT((MOVIMIENTOS!$B$5:$B$1005="VENTA")*(MOVIMIENTOS!$C$5:$C$1005="C")*(MOVIMIENTOS!$D$5:$D$1005="jabas")*(MOVIMIENTOS!$A$5:$A$1005&lt;&gt;"")*(MOVIMIENTOS!$A$5:$A$1005&lt;=$A30)*MOVIMIENTOS!$E$5:$E$1005)+SUMPRODUCT((MOVIMIENTOS!$B$5:$B$1005="AJUSTE")*(MOVIMIENTOS!$C$5:$C$1005="C")*(MOVIMIENTOS!$D$5:$D$1005="jabas")*(MOVIMIENTOS!$A$5:$A$1005&lt;&gt;"")*(MOVIMIENTOS!$A$5:$A$1005&lt;=$A30)*MOVIMIENTOS!$E$5:$E$1005))</f>
        <v>12</v>
      </c>
      <c r="E30" s="65">
        <f>IF($A30="","",SUMPRODUCT((MOVIMIENTOS!$B$5:$B$1005="SALDO INICIAL")*(MOVIMIENTOS!$C$5:$C$1005="M")*(MOVIMIENTOS!$D$5:$D$1005="jabas")*(MOVIMIENTOS!$A$5:$A$1005&lt;&gt;"")*(MOVIMIENTOS!$A$5:$A$1005&lt;=$A30)*MOVIMIENTOS!$E$5:$E$1005)+SUMPRODUCT((MOVIMIENTOS!$B$5:$B$1005="PROCESO")*(MOVIMIENTOS!$C$5:$C$1005="M")*(MOVIMIENTOS!$D$5:$D$1005="jabas")*(MOVIMIENTOS!$A$5:$A$1005&lt;&gt;"")*(MOVIMIENTOS!$A$5:$A$1005&lt;=$A30)*MOVIMIENTOS!$E$5:$E$1005)-SUMPRODUCT((MOVIMIENTOS!$B$5:$B$1005="ENVÍO A SUPESA")*(MOVIMIENTOS!$C$5:$C$1005="M")*(MOVIMIENTOS!$D$5:$D$1005="jabas")*(MOVIMIENTOS!$A$5:$A$1005&lt;&gt;"")*(MOVIMIENTOS!$A$5:$A$1005&lt;=$A30)*MOVIMIENTOS!$E$5:$E$1005)+SUMPRODUCT((MOVIMIENTOS!$B$5:$B$1005="DEVOLUCIÓN")*(MOVIMIENTOS!$C$5:$C$1005="M")*(MOVIMIENTOS!$D$5:$D$1005="jabas")*(MOVIMIENTOS!$A$5:$A$1005&lt;&gt;"")*(MOVIMIENTOS!$A$5:$A$1005&lt;=$A30)*MOVIMIENTOS!$E$5:$E$1005)-SUMPRODUCT((MOVIMIENTOS!$B$5:$B$1005="TRASIEGO")*(MOVIMIENTOS!$C$5:$C$1005="M")*(MOVIMIENTOS!$D$5:$D$1005="jabas")*(MOVIMIENTOS!$A$5:$A$1005&lt;&gt;"")*(MOVIMIENTOS!$A$5:$A$1005&lt;=$A30)*MOVIMIENTOS!$E$5:$E$1005)-SUMPRODUCT((MOVIMIENTOS!$B$5:$B$1005="REGALO")*(MOVIMIENTOS!$C$5:$C$1005="M")*(MOVIMIENTOS!$D$5:$D$1005="jabas")*(MOVIMIENTOS!$A$5:$A$1005&lt;&gt;"")*(MOVIMIENTOS!$A$5:$A$1005&lt;=$A30)*MOVIMIENTOS!$E$5:$E$1005)-SUMPRODUCT((MOVIMIENTOS!$B$5:$B$1005="VENTA")*(MOVIMIENTOS!$C$5:$C$1005="M")*(MOVIMIENTOS!$D$5:$D$1005="jabas")*(MOVIMIENTOS!$A$5:$A$1005&lt;&gt;"")*(MOVIMIENTOS!$A$5:$A$1005&lt;=$A30)*MOVIMIENTOS!$E$5:$E$1005)+SUMPRODUCT((MOVIMIENTOS!$B$5:$B$1005="AJUSTE")*(MOVIMIENTOS!$C$5:$C$1005="M")*(MOVIMIENTOS!$D$5:$D$1005="jabas")*(MOVIMIENTOS!$A$5:$A$1005&lt;&gt;"")*(MOVIMIENTOS!$A$5:$A$1005&lt;=$A30)*MOVIMIENTOS!$E$5:$E$1005))</f>
        <v>64</v>
      </c>
      <c r="F30" s="65">
        <f>IF($A30="","",SUMPRODUCT((MOVIMIENTOS!$B$5:$B$1005="SALDO INICIAL")*(MOVIMIENTOS!$C$5:$C$1005="Chancho")*(MOVIMIENTOS!$D$5:$D$1005="sacos")*(MOVIMIENTOS!$A$5:$A$1005&lt;&gt;"")*(MOVIMIENTOS!$A$5:$A$1005&lt;=$A30)*MOVIMIENTOS!$E$5:$E$1005)+SUMPRODUCT((MOVIMIENTOS!$B$5:$B$1005="PROCESO")*(MOVIMIENTOS!$C$5:$C$1005="Chancho")*(MOVIMIENTOS!$D$5:$D$1005="sacos")*(MOVIMIENTOS!$A$5:$A$1005&lt;&gt;"")*(MOVIMIENTOS!$A$5:$A$1005&lt;=$A30)*MOVIMIENTOS!$E$5:$E$1005)-SUMPRODUCT((MOVIMIENTOS!$B$5:$B$1005="VENTA CHANCHO")*(MOVIMIENTOS!$C$5:$C$1005="Chancho")*(MOVIMIENTOS!$D$5:$D$1005="sacos")*(MOVIMIENTOS!$A$5:$A$1005&lt;&gt;"")*(MOVIMIENTOS!$A$5:$A$1005&lt;=$A30)*MOVIMIENTOS!$E$5:$E$1005)-SUMPRODUCT((MOVIMIENTOS!$B$5:$B$1005="REGALO")*(MOVIMIENTOS!$C$5:$C$1005="Chancho")*(MOVIMIENTOS!$D$5:$D$1005="sacos")*(MOVIMIENTOS!$A$5:$A$1005&lt;&gt;"")*(MOVIMIENTOS!$A$5:$A$1005&lt;=$A30)*MOVIMIENTOS!$E$5:$E$1005)-SUMPRODUCT((MOVIMIENTOS!$B$5:$B$1005="VENTA")*(MOVIMIENTOS!$C$5:$C$1005="Chancho")*(MOVIMIENTOS!$D$5:$D$1005="sacos")*(MOVIMIENTOS!$A$5:$A$1005&lt;&gt;"")*(MOVIMIENTOS!$A$5:$A$1005&lt;=$A30)*MOVIMIENTOS!$E$5:$E$1005)+SUMPRODUCT((MOVIMIENTOS!$B$5:$B$1005="AJUSTE")*(MOVIMIENTOS!$C$5:$C$1005="Chancho")*(MOVIMIENTOS!$D$5:$D$1005="sacos")*(MOVIMIENTOS!$A$5:$A$1005&lt;&gt;"")*(MOVIMIENTOS!$A$5:$A$1005&lt;=$A30)*MOVIMIENTOS!$E$5:$E$1005))</f>
        <v>17</v>
      </c>
      <c r="G30" s="77">
        <f t="shared" si="1"/>
        <v>135</v>
      </c>
      <c r="H30" s="65">
        <f>IF($A30="","",SUMPRODUCT((((MOVIMIENTOS!$B$5:$B$1005="SALDO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30)*MOVIMIENTOS!$J$5:$J$1005))</f>
        <v>2777.820000000007</v>
      </c>
      <c r="I30" s="63"/>
      <c r="J30" s="63" t="str">
        <f>IF(AND(MOVIMIENTOS!$A30&lt;&gt;"",COUNTIF(MOVIMIENTOS!$A$5:$A29,MOVIMIENTOS!$A30)=0),COUNT(J$4:J29)+1,"")</f>
        <v/>
      </c>
      <c r="K30" s="66">
        <f>MOVIMIENTOS!$A30</f>
        <v>46217</v>
      </c>
      <c r="L30" s="63"/>
      <c r="M30" s="63"/>
      <c r="N30" s="63"/>
    </row>
    <row r="31" spans="1:14" ht="15" customHeight="1" x14ac:dyDescent="0.2">
      <c r="A31" s="64">
        <f t="shared" si="0"/>
        <v>46240</v>
      </c>
      <c r="B31" s="65">
        <f>IF($A31="","",SUMPRODUCT((MOVIMIENTOS!$B$5:$B$1005="SALDO INICIAL")*(MOVIMIENTOS!$C$5:$C$1005="A")*(MOVIMIENTOS!$D$5:$D$1005="jabas")*(MOVIMIENTOS!$A$5:$A$1005&lt;&gt;"")*(MOVIMIENTOS!$A$5:$A$1005&lt;=$A31)*MOVIMIENTOS!$E$5:$E$1005)+SUMPRODUCT((MOVIMIENTOS!$B$5:$B$1005="PROCESO")*(MOVIMIENTOS!$C$5:$C$1005="A")*(MOVIMIENTOS!$D$5:$D$1005="jabas")*(MOVIMIENTOS!$A$5:$A$1005&lt;&gt;"")*(MOVIMIENTOS!$A$5:$A$1005&lt;=$A31)*MOVIMIENTOS!$E$5:$E$1005)-SUMPRODUCT((MOVIMIENTOS!$B$5:$B$1005="ENVÍO A SUPESA")*(MOVIMIENTOS!$C$5:$C$1005="A")*(MOVIMIENTOS!$D$5:$D$1005="jabas")*(MOVIMIENTOS!$A$5:$A$1005&lt;&gt;"")*(MOVIMIENTOS!$A$5:$A$1005&lt;=$A31)*MOVIMIENTOS!$E$5:$E$1005)+SUMPRODUCT((MOVIMIENTOS!$B$5:$B$1005="DEVOLUCIÓN")*(MOVIMIENTOS!$C$5:$C$1005="A")*(MOVIMIENTOS!$D$5:$D$1005="jabas")*(MOVIMIENTOS!$A$5:$A$1005&lt;&gt;"")*(MOVIMIENTOS!$A$5:$A$1005&lt;=$A31)*MOVIMIENTOS!$E$5:$E$1005)-SUMPRODUCT((MOVIMIENTOS!$B$5:$B$1005="TRASIEGO")*(MOVIMIENTOS!$C$5:$C$1005="A")*(MOVIMIENTOS!$D$5:$D$1005="jabas")*(MOVIMIENTOS!$A$5:$A$1005&lt;&gt;"")*(MOVIMIENTOS!$A$5:$A$1005&lt;=$A31)*MOVIMIENTOS!$E$5:$E$1005)-SUMPRODUCT((MOVIMIENTOS!$B$5:$B$1005="REGALO")*(MOVIMIENTOS!$C$5:$C$1005="A")*(MOVIMIENTOS!$D$5:$D$1005="jabas")*(MOVIMIENTOS!$A$5:$A$1005&lt;&gt;"")*(MOVIMIENTOS!$A$5:$A$1005&lt;=$A31)*MOVIMIENTOS!$E$5:$E$1005)-SUMPRODUCT((MOVIMIENTOS!$B$5:$B$1005="VENTA")*(MOVIMIENTOS!$C$5:$C$1005="A")*(MOVIMIENTOS!$D$5:$D$1005="jabas")*(MOVIMIENTOS!$A$5:$A$1005&lt;&gt;"")*(MOVIMIENTOS!$A$5:$A$1005&lt;=$A31)*MOVIMIENTOS!$E$5:$E$1005)+SUMPRODUCT((MOVIMIENTOS!$B$5:$B$1005="AJUSTE")*(MOVIMIENTOS!$C$5:$C$1005="A")*(MOVIMIENTOS!$D$5:$D$1005="jabas")*(MOVIMIENTOS!$A$5:$A$1005&lt;&gt;"")*(MOVIMIENTOS!$A$5:$A$1005&lt;=$A31)*MOVIMIENTOS!$E$5:$E$1005))</f>
        <v>60</v>
      </c>
      <c r="C31" s="65">
        <f>IF($A31="","",SUMPRODUCT((MOVIMIENTOS!$B$5:$B$1005="SALDO INICIAL")*(MOVIMIENTOS!$C$5:$C$1005="P")*(MOVIMIENTOS!$D$5:$D$1005="jabas")*(MOVIMIENTOS!$A$5:$A$1005&lt;&gt;"")*(MOVIMIENTOS!$A$5:$A$1005&lt;=$A31)*MOVIMIENTOS!$E$5:$E$1005)+SUMPRODUCT((MOVIMIENTOS!$B$5:$B$1005="PROCESO")*(MOVIMIENTOS!$C$5:$C$1005="P")*(MOVIMIENTOS!$D$5:$D$1005="jabas")*(MOVIMIENTOS!$A$5:$A$1005&lt;&gt;"")*(MOVIMIENTOS!$A$5:$A$1005&lt;=$A31)*MOVIMIENTOS!$E$5:$E$1005)-SUMPRODUCT((MOVIMIENTOS!$B$5:$B$1005="ENVÍO A SUPESA")*(MOVIMIENTOS!$C$5:$C$1005="P")*(MOVIMIENTOS!$D$5:$D$1005="jabas")*(MOVIMIENTOS!$A$5:$A$1005&lt;&gt;"")*(MOVIMIENTOS!$A$5:$A$1005&lt;=$A31)*MOVIMIENTOS!$E$5:$E$1005)+SUMPRODUCT((MOVIMIENTOS!$B$5:$B$1005="DEVOLUCIÓN")*(MOVIMIENTOS!$C$5:$C$1005="P")*(MOVIMIENTOS!$D$5:$D$1005="jabas")*(MOVIMIENTOS!$A$5:$A$1005&lt;&gt;"")*(MOVIMIENTOS!$A$5:$A$1005&lt;=$A31)*MOVIMIENTOS!$E$5:$E$1005)-SUMPRODUCT((MOVIMIENTOS!$B$5:$B$1005="TRASIEGO")*(MOVIMIENTOS!$C$5:$C$1005="P")*(MOVIMIENTOS!$D$5:$D$1005="jabas")*(MOVIMIENTOS!$A$5:$A$1005&lt;&gt;"")*(MOVIMIENTOS!$A$5:$A$1005&lt;=$A31)*MOVIMIENTOS!$E$5:$E$1005)-SUMPRODUCT((MOVIMIENTOS!$B$5:$B$1005="REGALO")*(MOVIMIENTOS!$C$5:$C$1005="P")*(MOVIMIENTOS!$D$5:$D$1005="jabas")*(MOVIMIENTOS!$A$5:$A$1005&lt;&gt;"")*(MOVIMIENTOS!$A$5:$A$1005&lt;=$A31)*MOVIMIENTOS!$E$5:$E$1005)-SUMPRODUCT((MOVIMIENTOS!$B$5:$B$1005="VENTA")*(MOVIMIENTOS!$C$5:$C$1005="P")*(MOVIMIENTOS!$D$5:$D$1005="jabas")*(MOVIMIENTOS!$A$5:$A$1005&lt;&gt;"")*(MOVIMIENTOS!$A$5:$A$1005&lt;=$A31)*MOVIMIENTOS!$E$5:$E$1005)+SUMPRODUCT((MOVIMIENTOS!$B$5:$B$1005="AJUSTE")*(MOVIMIENTOS!$C$5:$C$1005="P")*(MOVIMIENTOS!$D$5:$D$1005="jabas")*(MOVIMIENTOS!$A$5:$A$1005&lt;&gt;"")*(MOVIMIENTOS!$A$5:$A$1005&lt;=$A31)*MOVIMIENTOS!$E$5:$E$1005))</f>
        <v>11</v>
      </c>
      <c r="D31" s="65">
        <f>IF($A31="","",SUMPRODUCT((MOVIMIENTOS!$B$5:$B$1005="SALDO INICIAL")*(MOVIMIENTOS!$C$5:$C$1005="C")*(MOVIMIENTOS!$D$5:$D$1005="jabas")*(MOVIMIENTOS!$A$5:$A$1005&lt;&gt;"")*(MOVIMIENTOS!$A$5:$A$1005&lt;=$A31)*MOVIMIENTOS!$E$5:$E$1005)+SUMPRODUCT((MOVIMIENTOS!$B$5:$B$1005="PROCESO")*(MOVIMIENTOS!$C$5:$C$1005="C")*(MOVIMIENTOS!$D$5:$D$1005="jabas")*(MOVIMIENTOS!$A$5:$A$1005&lt;&gt;"")*(MOVIMIENTOS!$A$5:$A$1005&lt;=$A31)*MOVIMIENTOS!$E$5:$E$1005)-SUMPRODUCT((MOVIMIENTOS!$B$5:$B$1005="ENVÍO A SUPESA")*(MOVIMIENTOS!$C$5:$C$1005="C")*(MOVIMIENTOS!$D$5:$D$1005="jabas")*(MOVIMIENTOS!$A$5:$A$1005&lt;&gt;"")*(MOVIMIENTOS!$A$5:$A$1005&lt;=$A31)*MOVIMIENTOS!$E$5:$E$1005)+SUMPRODUCT((MOVIMIENTOS!$B$5:$B$1005="DEVOLUCIÓN")*(MOVIMIENTOS!$C$5:$C$1005="C")*(MOVIMIENTOS!$D$5:$D$1005="jabas")*(MOVIMIENTOS!$A$5:$A$1005&lt;&gt;"")*(MOVIMIENTOS!$A$5:$A$1005&lt;=$A31)*MOVIMIENTOS!$E$5:$E$1005)-SUMPRODUCT((MOVIMIENTOS!$B$5:$B$1005="TRASIEGO")*(MOVIMIENTOS!$C$5:$C$1005="C")*(MOVIMIENTOS!$D$5:$D$1005="jabas")*(MOVIMIENTOS!$A$5:$A$1005&lt;&gt;"")*(MOVIMIENTOS!$A$5:$A$1005&lt;=$A31)*MOVIMIENTOS!$E$5:$E$1005)-SUMPRODUCT((MOVIMIENTOS!$B$5:$B$1005="REGALO")*(MOVIMIENTOS!$C$5:$C$1005="C")*(MOVIMIENTOS!$D$5:$D$1005="jabas")*(MOVIMIENTOS!$A$5:$A$1005&lt;&gt;"")*(MOVIMIENTOS!$A$5:$A$1005&lt;=$A31)*MOVIMIENTOS!$E$5:$E$1005)-SUMPRODUCT((MOVIMIENTOS!$B$5:$B$1005="VENTA")*(MOVIMIENTOS!$C$5:$C$1005="C")*(MOVIMIENTOS!$D$5:$D$1005="jabas")*(MOVIMIENTOS!$A$5:$A$1005&lt;&gt;"")*(MOVIMIENTOS!$A$5:$A$1005&lt;=$A31)*MOVIMIENTOS!$E$5:$E$1005)+SUMPRODUCT((MOVIMIENTOS!$B$5:$B$1005="AJUSTE")*(MOVIMIENTOS!$C$5:$C$1005="C")*(MOVIMIENTOS!$D$5:$D$1005="jabas")*(MOVIMIENTOS!$A$5:$A$1005&lt;&gt;"")*(MOVIMIENTOS!$A$5:$A$1005&lt;=$A31)*MOVIMIENTOS!$E$5:$E$1005))</f>
        <v>12</v>
      </c>
      <c r="E31" s="65">
        <f>IF($A31="","",SUMPRODUCT((MOVIMIENTOS!$B$5:$B$1005="SALDO INICIAL")*(MOVIMIENTOS!$C$5:$C$1005="M")*(MOVIMIENTOS!$D$5:$D$1005="jabas")*(MOVIMIENTOS!$A$5:$A$1005&lt;&gt;"")*(MOVIMIENTOS!$A$5:$A$1005&lt;=$A31)*MOVIMIENTOS!$E$5:$E$1005)+SUMPRODUCT((MOVIMIENTOS!$B$5:$B$1005="PROCESO")*(MOVIMIENTOS!$C$5:$C$1005="M")*(MOVIMIENTOS!$D$5:$D$1005="jabas")*(MOVIMIENTOS!$A$5:$A$1005&lt;&gt;"")*(MOVIMIENTOS!$A$5:$A$1005&lt;=$A31)*MOVIMIENTOS!$E$5:$E$1005)-SUMPRODUCT((MOVIMIENTOS!$B$5:$B$1005="ENVÍO A SUPESA")*(MOVIMIENTOS!$C$5:$C$1005="M")*(MOVIMIENTOS!$D$5:$D$1005="jabas")*(MOVIMIENTOS!$A$5:$A$1005&lt;&gt;"")*(MOVIMIENTOS!$A$5:$A$1005&lt;=$A31)*MOVIMIENTOS!$E$5:$E$1005)+SUMPRODUCT((MOVIMIENTOS!$B$5:$B$1005="DEVOLUCIÓN")*(MOVIMIENTOS!$C$5:$C$1005="M")*(MOVIMIENTOS!$D$5:$D$1005="jabas")*(MOVIMIENTOS!$A$5:$A$1005&lt;&gt;"")*(MOVIMIENTOS!$A$5:$A$1005&lt;=$A31)*MOVIMIENTOS!$E$5:$E$1005)-SUMPRODUCT((MOVIMIENTOS!$B$5:$B$1005="TRASIEGO")*(MOVIMIENTOS!$C$5:$C$1005="M")*(MOVIMIENTOS!$D$5:$D$1005="jabas")*(MOVIMIENTOS!$A$5:$A$1005&lt;&gt;"")*(MOVIMIENTOS!$A$5:$A$1005&lt;=$A31)*MOVIMIENTOS!$E$5:$E$1005)-SUMPRODUCT((MOVIMIENTOS!$B$5:$B$1005="REGALO")*(MOVIMIENTOS!$C$5:$C$1005="M")*(MOVIMIENTOS!$D$5:$D$1005="jabas")*(MOVIMIENTOS!$A$5:$A$1005&lt;&gt;"")*(MOVIMIENTOS!$A$5:$A$1005&lt;=$A31)*MOVIMIENTOS!$E$5:$E$1005)-SUMPRODUCT((MOVIMIENTOS!$B$5:$B$1005="VENTA")*(MOVIMIENTOS!$C$5:$C$1005="M")*(MOVIMIENTOS!$D$5:$D$1005="jabas")*(MOVIMIENTOS!$A$5:$A$1005&lt;&gt;"")*(MOVIMIENTOS!$A$5:$A$1005&lt;=$A31)*MOVIMIENTOS!$E$5:$E$1005)+SUMPRODUCT((MOVIMIENTOS!$B$5:$B$1005="AJUSTE")*(MOVIMIENTOS!$C$5:$C$1005="M")*(MOVIMIENTOS!$D$5:$D$1005="jabas")*(MOVIMIENTOS!$A$5:$A$1005&lt;&gt;"")*(MOVIMIENTOS!$A$5:$A$1005&lt;=$A31)*MOVIMIENTOS!$E$5:$E$1005))</f>
        <v>93</v>
      </c>
      <c r="F31" s="65">
        <f>IF($A31="","",SUMPRODUCT((MOVIMIENTOS!$B$5:$B$1005="SALDO INICIAL")*(MOVIMIENTOS!$C$5:$C$1005="Chancho")*(MOVIMIENTOS!$D$5:$D$1005="sacos")*(MOVIMIENTOS!$A$5:$A$1005&lt;&gt;"")*(MOVIMIENTOS!$A$5:$A$1005&lt;=$A31)*MOVIMIENTOS!$E$5:$E$1005)+SUMPRODUCT((MOVIMIENTOS!$B$5:$B$1005="PROCESO")*(MOVIMIENTOS!$C$5:$C$1005="Chancho")*(MOVIMIENTOS!$D$5:$D$1005="sacos")*(MOVIMIENTOS!$A$5:$A$1005&lt;&gt;"")*(MOVIMIENTOS!$A$5:$A$1005&lt;=$A31)*MOVIMIENTOS!$E$5:$E$1005)-SUMPRODUCT((MOVIMIENTOS!$B$5:$B$1005="VENTA CHANCHO")*(MOVIMIENTOS!$C$5:$C$1005="Chancho")*(MOVIMIENTOS!$D$5:$D$1005="sacos")*(MOVIMIENTOS!$A$5:$A$1005&lt;&gt;"")*(MOVIMIENTOS!$A$5:$A$1005&lt;=$A31)*MOVIMIENTOS!$E$5:$E$1005)-SUMPRODUCT((MOVIMIENTOS!$B$5:$B$1005="REGALO")*(MOVIMIENTOS!$C$5:$C$1005="Chancho")*(MOVIMIENTOS!$D$5:$D$1005="sacos")*(MOVIMIENTOS!$A$5:$A$1005&lt;&gt;"")*(MOVIMIENTOS!$A$5:$A$1005&lt;=$A31)*MOVIMIENTOS!$E$5:$E$1005)-SUMPRODUCT((MOVIMIENTOS!$B$5:$B$1005="VENTA")*(MOVIMIENTOS!$C$5:$C$1005="Chancho")*(MOVIMIENTOS!$D$5:$D$1005="sacos")*(MOVIMIENTOS!$A$5:$A$1005&lt;&gt;"")*(MOVIMIENTOS!$A$5:$A$1005&lt;=$A31)*MOVIMIENTOS!$E$5:$E$1005)+SUMPRODUCT((MOVIMIENTOS!$B$5:$B$1005="AJUSTE")*(MOVIMIENTOS!$C$5:$C$1005="Chancho")*(MOVIMIENTOS!$D$5:$D$1005="sacos")*(MOVIMIENTOS!$A$5:$A$1005&lt;&gt;"")*(MOVIMIENTOS!$A$5:$A$1005&lt;=$A31)*MOVIMIENTOS!$E$5:$E$1005))</f>
        <v>6.5</v>
      </c>
      <c r="G31" s="77">
        <f t="shared" si="1"/>
        <v>176</v>
      </c>
      <c r="H31" s="65">
        <f>IF($A31="","",SUMPRODUCT((((MOVIMIENTOS!$B$5:$B$1005="SALDO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31)*MOVIMIENTOS!$J$5:$J$1005))</f>
        <v>3390.320000000007</v>
      </c>
      <c r="I31" s="63"/>
      <c r="J31" s="63" t="str">
        <f>IF(AND(MOVIMIENTOS!$A31&lt;&gt;"",COUNTIF(MOVIMIENTOS!$A$5:$A30,MOVIMIENTOS!$A31)=0),COUNT(J$4:J30)+1,"")</f>
        <v/>
      </c>
      <c r="K31" s="66">
        <f>MOVIMIENTOS!$A31</f>
        <v>46217</v>
      </c>
      <c r="L31" s="63"/>
      <c r="M31" s="63"/>
      <c r="N31" s="63"/>
    </row>
    <row r="32" spans="1:14" ht="15" customHeight="1" x14ac:dyDescent="0.2">
      <c r="A32" s="64">
        <f t="shared" si="0"/>
        <v>46241</v>
      </c>
      <c r="B32" s="65">
        <f>IF($A32="","",SUMPRODUCT((MOVIMIENTOS!$B$5:$B$1005="SALDO INICIAL")*(MOVIMIENTOS!$C$5:$C$1005="A")*(MOVIMIENTOS!$D$5:$D$1005="jabas")*(MOVIMIENTOS!$A$5:$A$1005&lt;&gt;"")*(MOVIMIENTOS!$A$5:$A$1005&lt;=$A32)*MOVIMIENTOS!$E$5:$E$1005)+SUMPRODUCT((MOVIMIENTOS!$B$5:$B$1005="PROCESO")*(MOVIMIENTOS!$C$5:$C$1005="A")*(MOVIMIENTOS!$D$5:$D$1005="jabas")*(MOVIMIENTOS!$A$5:$A$1005&lt;&gt;"")*(MOVIMIENTOS!$A$5:$A$1005&lt;=$A32)*MOVIMIENTOS!$E$5:$E$1005)-SUMPRODUCT((MOVIMIENTOS!$B$5:$B$1005="ENVÍO A SUPESA")*(MOVIMIENTOS!$C$5:$C$1005="A")*(MOVIMIENTOS!$D$5:$D$1005="jabas")*(MOVIMIENTOS!$A$5:$A$1005&lt;&gt;"")*(MOVIMIENTOS!$A$5:$A$1005&lt;=$A32)*MOVIMIENTOS!$E$5:$E$1005)+SUMPRODUCT((MOVIMIENTOS!$B$5:$B$1005="DEVOLUCIÓN")*(MOVIMIENTOS!$C$5:$C$1005="A")*(MOVIMIENTOS!$D$5:$D$1005="jabas")*(MOVIMIENTOS!$A$5:$A$1005&lt;&gt;"")*(MOVIMIENTOS!$A$5:$A$1005&lt;=$A32)*MOVIMIENTOS!$E$5:$E$1005)-SUMPRODUCT((MOVIMIENTOS!$B$5:$B$1005="TRASIEGO")*(MOVIMIENTOS!$C$5:$C$1005="A")*(MOVIMIENTOS!$D$5:$D$1005="jabas")*(MOVIMIENTOS!$A$5:$A$1005&lt;&gt;"")*(MOVIMIENTOS!$A$5:$A$1005&lt;=$A32)*MOVIMIENTOS!$E$5:$E$1005)-SUMPRODUCT((MOVIMIENTOS!$B$5:$B$1005="REGALO")*(MOVIMIENTOS!$C$5:$C$1005="A")*(MOVIMIENTOS!$D$5:$D$1005="jabas")*(MOVIMIENTOS!$A$5:$A$1005&lt;&gt;"")*(MOVIMIENTOS!$A$5:$A$1005&lt;=$A32)*MOVIMIENTOS!$E$5:$E$1005)-SUMPRODUCT((MOVIMIENTOS!$B$5:$B$1005="VENTA")*(MOVIMIENTOS!$C$5:$C$1005="A")*(MOVIMIENTOS!$D$5:$D$1005="jabas")*(MOVIMIENTOS!$A$5:$A$1005&lt;&gt;"")*(MOVIMIENTOS!$A$5:$A$1005&lt;=$A32)*MOVIMIENTOS!$E$5:$E$1005)+SUMPRODUCT((MOVIMIENTOS!$B$5:$B$1005="AJUSTE")*(MOVIMIENTOS!$C$5:$C$1005="A")*(MOVIMIENTOS!$D$5:$D$1005="jabas")*(MOVIMIENTOS!$A$5:$A$1005&lt;&gt;"")*(MOVIMIENTOS!$A$5:$A$1005&lt;=$A32)*MOVIMIENTOS!$E$5:$E$1005))</f>
        <v>10</v>
      </c>
      <c r="C32" s="65">
        <f>IF($A32="","",SUMPRODUCT((MOVIMIENTOS!$B$5:$B$1005="SALDO INICIAL")*(MOVIMIENTOS!$C$5:$C$1005="P")*(MOVIMIENTOS!$D$5:$D$1005="jabas")*(MOVIMIENTOS!$A$5:$A$1005&lt;&gt;"")*(MOVIMIENTOS!$A$5:$A$1005&lt;=$A32)*MOVIMIENTOS!$E$5:$E$1005)+SUMPRODUCT((MOVIMIENTOS!$B$5:$B$1005="PROCESO")*(MOVIMIENTOS!$C$5:$C$1005="P")*(MOVIMIENTOS!$D$5:$D$1005="jabas")*(MOVIMIENTOS!$A$5:$A$1005&lt;&gt;"")*(MOVIMIENTOS!$A$5:$A$1005&lt;=$A32)*MOVIMIENTOS!$E$5:$E$1005)-SUMPRODUCT((MOVIMIENTOS!$B$5:$B$1005="ENVÍO A SUPESA")*(MOVIMIENTOS!$C$5:$C$1005="P")*(MOVIMIENTOS!$D$5:$D$1005="jabas")*(MOVIMIENTOS!$A$5:$A$1005&lt;&gt;"")*(MOVIMIENTOS!$A$5:$A$1005&lt;=$A32)*MOVIMIENTOS!$E$5:$E$1005)+SUMPRODUCT((MOVIMIENTOS!$B$5:$B$1005="DEVOLUCIÓN")*(MOVIMIENTOS!$C$5:$C$1005="P")*(MOVIMIENTOS!$D$5:$D$1005="jabas")*(MOVIMIENTOS!$A$5:$A$1005&lt;&gt;"")*(MOVIMIENTOS!$A$5:$A$1005&lt;=$A32)*MOVIMIENTOS!$E$5:$E$1005)-SUMPRODUCT((MOVIMIENTOS!$B$5:$B$1005="TRASIEGO")*(MOVIMIENTOS!$C$5:$C$1005="P")*(MOVIMIENTOS!$D$5:$D$1005="jabas")*(MOVIMIENTOS!$A$5:$A$1005&lt;&gt;"")*(MOVIMIENTOS!$A$5:$A$1005&lt;=$A32)*MOVIMIENTOS!$E$5:$E$1005)-SUMPRODUCT((MOVIMIENTOS!$B$5:$B$1005="REGALO")*(MOVIMIENTOS!$C$5:$C$1005="P")*(MOVIMIENTOS!$D$5:$D$1005="jabas")*(MOVIMIENTOS!$A$5:$A$1005&lt;&gt;"")*(MOVIMIENTOS!$A$5:$A$1005&lt;=$A32)*MOVIMIENTOS!$E$5:$E$1005)-SUMPRODUCT((MOVIMIENTOS!$B$5:$B$1005="VENTA")*(MOVIMIENTOS!$C$5:$C$1005="P")*(MOVIMIENTOS!$D$5:$D$1005="jabas")*(MOVIMIENTOS!$A$5:$A$1005&lt;&gt;"")*(MOVIMIENTOS!$A$5:$A$1005&lt;=$A32)*MOVIMIENTOS!$E$5:$E$1005)+SUMPRODUCT((MOVIMIENTOS!$B$5:$B$1005="AJUSTE")*(MOVIMIENTOS!$C$5:$C$1005="P")*(MOVIMIENTOS!$D$5:$D$1005="jabas")*(MOVIMIENTOS!$A$5:$A$1005&lt;&gt;"")*(MOVIMIENTOS!$A$5:$A$1005&lt;=$A32)*MOVIMIENTOS!$E$5:$E$1005))</f>
        <v>0</v>
      </c>
      <c r="D32" s="65">
        <f>IF($A32="","",SUMPRODUCT((MOVIMIENTOS!$B$5:$B$1005="SALDO INICIAL")*(MOVIMIENTOS!$C$5:$C$1005="C")*(MOVIMIENTOS!$D$5:$D$1005="jabas")*(MOVIMIENTOS!$A$5:$A$1005&lt;&gt;"")*(MOVIMIENTOS!$A$5:$A$1005&lt;=$A32)*MOVIMIENTOS!$E$5:$E$1005)+SUMPRODUCT((MOVIMIENTOS!$B$5:$B$1005="PROCESO")*(MOVIMIENTOS!$C$5:$C$1005="C")*(MOVIMIENTOS!$D$5:$D$1005="jabas")*(MOVIMIENTOS!$A$5:$A$1005&lt;&gt;"")*(MOVIMIENTOS!$A$5:$A$1005&lt;=$A32)*MOVIMIENTOS!$E$5:$E$1005)-SUMPRODUCT((MOVIMIENTOS!$B$5:$B$1005="ENVÍO A SUPESA")*(MOVIMIENTOS!$C$5:$C$1005="C")*(MOVIMIENTOS!$D$5:$D$1005="jabas")*(MOVIMIENTOS!$A$5:$A$1005&lt;&gt;"")*(MOVIMIENTOS!$A$5:$A$1005&lt;=$A32)*MOVIMIENTOS!$E$5:$E$1005)+SUMPRODUCT((MOVIMIENTOS!$B$5:$B$1005="DEVOLUCIÓN")*(MOVIMIENTOS!$C$5:$C$1005="C")*(MOVIMIENTOS!$D$5:$D$1005="jabas")*(MOVIMIENTOS!$A$5:$A$1005&lt;&gt;"")*(MOVIMIENTOS!$A$5:$A$1005&lt;=$A32)*MOVIMIENTOS!$E$5:$E$1005)-SUMPRODUCT((MOVIMIENTOS!$B$5:$B$1005="TRASIEGO")*(MOVIMIENTOS!$C$5:$C$1005="C")*(MOVIMIENTOS!$D$5:$D$1005="jabas")*(MOVIMIENTOS!$A$5:$A$1005&lt;&gt;"")*(MOVIMIENTOS!$A$5:$A$1005&lt;=$A32)*MOVIMIENTOS!$E$5:$E$1005)-SUMPRODUCT((MOVIMIENTOS!$B$5:$B$1005="REGALO")*(MOVIMIENTOS!$C$5:$C$1005="C")*(MOVIMIENTOS!$D$5:$D$1005="jabas")*(MOVIMIENTOS!$A$5:$A$1005&lt;&gt;"")*(MOVIMIENTOS!$A$5:$A$1005&lt;=$A32)*MOVIMIENTOS!$E$5:$E$1005)-SUMPRODUCT((MOVIMIENTOS!$B$5:$B$1005="VENTA")*(MOVIMIENTOS!$C$5:$C$1005="C")*(MOVIMIENTOS!$D$5:$D$1005="jabas")*(MOVIMIENTOS!$A$5:$A$1005&lt;&gt;"")*(MOVIMIENTOS!$A$5:$A$1005&lt;=$A32)*MOVIMIENTOS!$E$5:$E$1005)+SUMPRODUCT((MOVIMIENTOS!$B$5:$B$1005="AJUSTE")*(MOVIMIENTOS!$C$5:$C$1005="C")*(MOVIMIENTOS!$D$5:$D$1005="jabas")*(MOVIMIENTOS!$A$5:$A$1005&lt;&gt;"")*(MOVIMIENTOS!$A$5:$A$1005&lt;=$A32)*MOVIMIENTOS!$E$5:$E$1005))</f>
        <v>0</v>
      </c>
      <c r="E32" s="65">
        <f>IF($A32="","",SUMPRODUCT((MOVIMIENTOS!$B$5:$B$1005="SALDO INICIAL")*(MOVIMIENTOS!$C$5:$C$1005="M")*(MOVIMIENTOS!$D$5:$D$1005="jabas")*(MOVIMIENTOS!$A$5:$A$1005&lt;&gt;"")*(MOVIMIENTOS!$A$5:$A$1005&lt;=$A32)*MOVIMIENTOS!$E$5:$E$1005)+SUMPRODUCT((MOVIMIENTOS!$B$5:$B$1005="PROCESO")*(MOVIMIENTOS!$C$5:$C$1005="M")*(MOVIMIENTOS!$D$5:$D$1005="jabas")*(MOVIMIENTOS!$A$5:$A$1005&lt;&gt;"")*(MOVIMIENTOS!$A$5:$A$1005&lt;=$A32)*MOVIMIENTOS!$E$5:$E$1005)-SUMPRODUCT((MOVIMIENTOS!$B$5:$B$1005="ENVÍO A SUPESA")*(MOVIMIENTOS!$C$5:$C$1005="M")*(MOVIMIENTOS!$D$5:$D$1005="jabas")*(MOVIMIENTOS!$A$5:$A$1005&lt;&gt;"")*(MOVIMIENTOS!$A$5:$A$1005&lt;=$A32)*MOVIMIENTOS!$E$5:$E$1005)+SUMPRODUCT((MOVIMIENTOS!$B$5:$B$1005="DEVOLUCIÓN")*(MOVIMIENTOS!$C$5:$C$1005="M")*(MOVIMIENTOS!$D$5:$D$1005="jabas")*(MOVIMIENTOS!$A$5:$A$1005&lt;&gt;"")*(MOVIMIENTOS!$A$5:$A$1005&lt;=$A32)*MOVIMIENTOS!$E$5:$E$1005)-SUMPRODUCT((MOVIMIENTOS!$B$5:$B$1005="TRASIEGO")*(MOVIMIENTOS!$C$5:$C$1005="M")*(MOVIMIENTOS!$D$5:$D$1005="jabas")*(MOVIMIENTOS!$A$5:$A$1005&lt;&gt;"")*(MOVIMIENTOS!$A$5:$A$1005&lt;=$A32)*MOVIMIENTOS!$E$5:$E$1005)-SUMPRODUCT((MOVIMIENTOS!$B$5:$B$1005="REGALO")*(MOVIMIENTOS!$C$5:$C$1005="M")*(MOVIMIENTOS!$D$5:$D$1005="jabas")*(MOVIMIENTOS!$A$5:$A$1005&lt;&gt;"")*(MOVIMIENTOS!$A$5:$A$1005&lt;=$A32)*MOVIMIENTOS!$E$5:$E$1005)-SUMPRODUCT((MOVIMIENTOS!$B$5:$B$1005="VENTA")*(MOVIMIENTOS!$C$5:$C$1005="M")*(MOVIMIENTOS!$D$5:$D$1005="jabas")*(MOVIMIENTOS!$A$5:$A$1005&lt;&gt;"")*(MOVIMIENTOS!$A$5:$A$1005&lt;=$A32)*MOVIMIENTOS!$E$5:$E$1005)+SUMPRODUCT((MOVIMIENTOS!$B$5:$B$1005="AJUSTE")*(MOVIMIENTOS!$C$5:$C$1005="M")*(MOVIMIENTOS!$D$5:$D$1005="jabas")*(MOVIMIENTOS!$A$5:$A$1005&lt;&gt;"")*(MOVIMIENTOS!$A$5:$A$1005&lt;=$A32)*MOVIMIENTOS!$E$5:$E$1005))</f>
        <v>12</v>
      </c>
      <c r="F32" s="65">
        <f>IF($A32="","",SUMPRODUCT((MOVIMIENTOS!$B$5:$B$1005="SALDO INICIAL")*(MOVIMIENTOS!$C$5:$C$1005="Chancho")*(MOVIMIENTOS!$D$5:$D$1005="sacos")*(MOVIMIENTOS!$A$5:$A$1005&lt;&gt;"")*(MOVIMIENTOS!$A$5:$A$1005&lt;=$A32)*MOVIMIENTOS!$E$5:$E$1005)+SUMPRODUCT((MOVIMIENTOS!$B$5:$B$1005="PROCESO")*(MOVIMIENTOS!$C$5:$C$1005="Chancho")*(MOVIMIENTOS!$D$5:$D$1005="sacos")*(MOVIMIENTOS!$A$5:$A$1005&lt;&gt;"")*(MOVIMIENTOS!$A$5:$A$1005&lt;=$A32)*MOVIMIENTOS!$E$5:$E$1005)-SUMPRODUCT((MOVIMIENTOS!$B$5:$B$1005="VENTA CHANCHO")*(MOVIMIENTOS!$C$5:$C$1005="Chancho")*(MOVIMIENTOS!$D$5:$D$1005="sacos")*(MOVIMIENTOS!$A$5:$A$1005&lt;&gt;"")*(MOVIMIENTOS!$A$5:$A$1005&lt;=$A32)*MOVIMIENTOS!$E$5:$E$1005)-SUMPRODUCT((MOVIMIENTOS!$B$5:$B$1005="REGALO")*(MOVIMIENTOS!$C$5:$C$1005="Chancho")*(MOVIMIENTOS!$D$5:$D$1005="sacos")*(MOVIMIENTOS!$A$5:$A$1005&lt;&gt;"")*(MOVIMIENTOS!$A$5:$A$1005&lt;=$A32)*MOVIMIENTOS!$E$5:$E$1005)-SUMPRODUCT((MOVIMIENTOS!$B$5:$B$1005="VENTA")*(MOVIMIENTOS!$C$5:$C$1005="Chancho")*(MOVIMIENTOS!$D$5:$D$1005="sacos")*(MOVIMIENTOS!$A$5:$A$1005&lt;&gt;"")*(MOVIMIENTOS!$A$5:$A$1005&lt;=$A32)*MOVIMIENTOS!$E$5:$E$1005)+SUMPRODUCT((MOVIMIENTOS!$B$5:$B$1005="AJUSTE")*(MOVIMIENTOS!$C$5:$C$1005="Chancho")*(MOVIMIENTOS!$D$5:$D$1005="sacos")*(MOVIMIENTOS!$A$5:$A$1005&lt;&gt;"")*(MOVIMIENTOS!$A$5:$A$1005&lt;=$A32)*MOVIMIENTOS!$E$5:$E$1005))</f>
        <v>4.5</v>
      </c>
      <c r="G32" s="77">
        <f t="shared" si="1"/>
        <v>22</v>
      </c>
      <c r="H32" s="65">
        <f>IF($A32="","",SUMPRODUCT((((MOVIMIENTOS!$B$5:$B$1005="SALDO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32)*MOVIMIENTOS!$J$5:$J$1005))</f>
        <v>753.32000000000698</v>
      </c>
      <c r="I32" s="63"/>
      <c r="J32" s="63" t="str">
        <f>IF(AND(MOVIMIENTOS!$A32&lt;&gt;"",COUNTIF(MOVIMIENTOS!$A$5:$A31,MOVIMIENTOS!$A32)=0),COUNT(J$4:J31)+1,"")</f>
        <v/>
      </c>
      <c r="K32" s="66">
        <f>MOVIMIENTOS!$A32</f>
        <v>46217</v>
      </c>
      <c r="L32" s="63"/>
      <c r="M32" s="63"/>
      <c r="N32" s="63"/>
    </row>
    <row r="33" spans="1:14" ht="15" customHeight="1" x14ac:dyDescent="0.2">
      <c r="A33" s="64">
        <f t="shared" si="0"/>
        <v>46242</v>
      </c>
      <c r="B33" s="65">
        <f>IF($A33="","",SUMPRODUCT((MOVIMIENTOS!$B$5:$B$1005="SALDO INICIAL")*(MOVIMIENTOS!$C$5:$C$1005="A")*(MOVIMIENTOS!$D$5:$D$1005="jabas")*(MOVIMIENTOS!$A$5:$A$1005&lt;&gt;"")*(MOVIMIENTOS!$A$5:$A$1005&lt;=$A33)*MOVIMIENTOS!$E$5:$E$1005)+SUMPRODUCT((MOVIMIENTOS!$B$5:$B$1005="PROCESO")*(MOVIMIENTOS!$C$5:$C$1005="A")*(MOVIMIENTOS!$D$5:$D$1005="jabas")*(MOVIMIENTOS!$A$5:$A$1005&lt;&gt;"")*(MOVIMIENTOS!$A$5:$A$1005&lt;=$A33)*MOVIMIENTOS!$E$5:$E$1005)-SUMPRODUCT((MOVIMIENTOS!$B$5:$B$1005="ENVÍO A SUPESA")*(MOVIMIENTOS!$C$5:$C$1005="A")*(MOVIMIENTOS!$D$5:$D$1005="jabas")*(MOVIMIENTOS!$A$5:$A$1005&lt;&gt;"")*(MOVIMIENTOS!$A$5:$A$1005&lt;=$A33)*MOVIMIENTOS!$E$5:$E$1005)+SUMPRODUCT((MOVIMIENTOS!$B$5:$B$1005="DEVOLUCIÓN")*(MOVIMIENTOS!$C$5:$C$1005="A")*(MOVIMIENTOS!$D$5:$D$1005="jabas")*(MOVIMIENTOS!$A$5:$A$1005&lt;&gt;"")*(MOVIMIENTOS!$A$5:$A$1005&lt;=$A33)*MOVIMIENTOS!$E$5:$E$1005)-SUMPRODUCT((MOVIMIENTOS!$B$5:$B$1005="TRASIEGO")*(MOVIMIENTOS!$C$5:$C$1005="A")*(MOVIMIENTOS!$D$5:$D$1005="jabas")*(MOVIMIENTOS!$A$5:$A$1005&lt;&gt;"")*(MOVIMIENTOS!$A$5:$A$1005&lt;=$A33)*MOVIMIENTOS!$E$5:$E$1005)-SUMPRODUCT((MOVIMIENTOS!$B$5:$B$1005="REGALO")*(MOVIMIENTOS!$C$5:$C$1005="A")*(MOVIMIENTOS!$D$5:$D$1005="jabas")*(MOVIMIENTOS!$A$5:$A$1005&lt;&gt;"")*(MOVIMIENTOS!$A$5:$A$1005&lt;=$A33)*MOVIMIENTOS!$E$5:$E$1005)-SUMPRODUCT((MOVIMIENTOS!$B$5:$B$1005="VENTA")*(MOVIMIENTOS!$C$5:$C$1005="A")*(MOVIMIENTOS!$D$5:$D$1005="jabas")*(MOVIMIENTOS!$A$5:$A$1005&lt;&gt;"")*(MOVIMIENTOS!$A$5:$A$1005&lt;=$A33)*MOVIMIENTOS!$E$5:$E$1005)+SUMPRODUCT((MOVIMIENTOS!$B$5:$B$1005="AJUSTE")*(MOVIMIENTOS!$C$5:$C$1005="A")*(MOVIMIENTOS!$D$5:$D$1005="jabas")*(MOVIMIENTOS!$A$5:$A$1005&lt;&gt;"")*(MOVIMIENTOS!$A$5:$A$1005&lt;=$A33)*MOVIMIENTOS!$E$5:$E$1005))</f>
        <v>-2</v>
      </c>
      <c r="C33" s="65">
        <f>IF($A33="","",SUMPRODUCT((MOVIMIENTOS!$B$5:$B$1005="SALDO INICIAL")*(MOVIMIENTOS!$C$5:$C$1005="P")*(MOVIMIENTOS!$D$5:$D$1005="jabas")*(MOVIMIENTOS!$A$5:$A$1005&lt;&gt;"")*(MOVIMIENTOS!$A$5:$A$1005&lt;=$A33)*MOVIMIENTOS!$E$5:$E$1005)+SUMPRODUCT((MOVIMIENTOS!$B$5:$B$1005="PROCESO")*(MOVIMIENTOS!$C$5:$C$1005="P")*(MOVIMIENTOS!$D$5:$D$1005="jabas")*(MOVIMIENTOS!$A$5:$A$1005&lt;&gt;"")*(MOVIMIENTOS!$A$5:$A$1005&lt;=$A33)*MOVIMIENTOS!$E$5:$E$1005)-SUMPRODUCT((MOVIMIENTOS!$B$5:$B$1005="ENVÍO A SUPESA")*(MOVIMIENTOS!$C$5:$C$1005="P")*(MOVIMIENTOS!$D$5:$D$1005="jabas")*(MOVIMIENTOS!$A$5:$A$1005&lt;&gt;"")*(MOVIMIENTOS!$A$5:$A$1005&lt;=$A33)*MOVIMIENTOS!$E$5:$E$1005)+SUMPRODUCT((MOVIMIENTOS!$B$5:$B$1005="DEVOLUCIÓN")*(MOVIMIENTOS!$C$5:$C$1005="P")*(MOVIMIENTOS!$D$5:$D$1005="jabas")*(MOVIMIENTOS!$A$5:$A$1005&lt;&gt;"")*(MOVIMIENTOS!$A$5:$A$1005&lt;=$A33)*MOVIMIENTOS!$E$5:$E$1005)-SUMPRODUCT((MOVIMIENTOS!$B$5:$B$1005="TRASIEGO")*(MOVIMIENTOS!$C$5:$C$1005="P")*(MOVIMIENTOS!$D$5:$D$1005="jabas")*(MOVIMIENTOS!$A$5:$A$1005&lt;&gt;"")*(MOVIMIENTOS!$A$5:$A$1005&lt;=$A33)*MOVIMIENTOS!$E$5:$E$1005)-SUMPRODUCT((MOVIMIENTOS!$B$5:$B$1005="REGALO")*(MOVIMIENTOS!$C$5:$C$1005="P")*(MOVIMIENTOS!$D$5:$D$1005="jabas")*(MOVIMIENTOS!$A$5:$A$1005&lt;&gt;"")*(MOVIMIENTOS!$A$5:$A$1005&lt;=$A33)*MOVIMIENTOS!$E$5:$E$1005)-SUMPRODUCT((MOVIMIENTOS!$B$5:$B$1005="VENTA")*(MOVIMIENTOS!$C$5:$C$1005="P")*(MOVIMIENTOS!$D$5:$D$1005="jabas")*(MOVIMIENTOS!$A$5:$A$1005&lt;&gt;"")*(MOVIMIENTOS!$A$5:$A$1005&lt;=$A33)*MOVIMIENTOS!$E$5:$E$1005)+SUMPRODUCT((MOVIMIENTOS!$B$5:$B$1005="AJUSTE")*(MOVIMIENTOS!$C$5:$C$1005="P")*(MOVIMIENTOS!$D$5:$D$1005="jabas")*(MOVIMIENTOS!$A$5:$A$1005&lt;&gt;"")*(MOVIMIENTOS!$A$5:$A$1005&lt;=$A33)*MOVIMIENTOS!$E$5:$E$1005))</f>
        <v>0</v>
      </c>
      <c r="D33" s="65">
        <f>IF($A33="","",SUMPRODUCT((MOVIMIENTOS!$B$5:$B$1005="SALDO INICIAL")*(MOVIMIENTOS!$C$5:$C$1005="C")*(MOVIMIENTOS!$D$5:$D$1005="jabas")*(MOVIMIENTOS!$A$5:$A$1005&lt;&gt;"")*(MOVIMIENTOS!$A$5:$A$1005&lt;=$A33)*MOVIMIENTOS!$E$5:$E$1005)+SUMPRODUCT((MOVIMIENTOS!$B$5:$B$1005="PROCESO")*(MOVIMIENTOS!$C$5:$C$1005="C")*(MOVIMIENTOS!$D$5:$D$1005="jabas")*(MOVIMIENTOS!$A$5:$A$1005&lt;&gt;"")*(MOVIMIENTOS!$A$5:$A$1005&lt;=$A33)*MOVIMIENTOS!$E$5:$E$1005)-SUMPRODUCT((MOVIMIENTOS!$B$5:$B$1005="ENVÍO A SUPESA")*(MOVIMIENTOS!$C$5:$C$1005="C")*(MOVIMIENTOS!$D$5:$D$1005="jabas")*(MOVIMIENTOS!$A$5:$A$1005&lt;&gt;"")*(MOVIMIENTOS!$A$5:$A$1005&lt;=$A33)*MOVIMIENTOS!$E$5:$E$1005)+SUMPRODUCT((MOVIMIENTOS!$B$5:$B$1005="DEVOLUCIÓN")*(MOVIMIENTOS!$C$5:$C$1005="C")*(MOVIMIENTOS!$D$5:$D$1005="jabas")*(MOVIMIENTOS!$A$5:$A$1005&lt;&gt;"")*(MOVIMIENTOS!$A$5:$A$1005&lt;=$A33)*MOVIMIENTOS!$E$5:$E$1005)-SUMPRODUCT((MOVIMIENTOS!$B$5:$B$1005="TRASIEGO")*(MOVIMIENTOS!$C$5:$C$1005="C")*(MOVIMIENTOS!$D$5:$D$1005="jabas")*(MOVIMIENTOS!$A$5:$A$1005&lt;&gt;"")*(MOVIMIENTOS!$A$5:$A$1005&lt;=$A33)*MOVIMIENTOS!$E$5:$E$1005)-SUMPRODUCT((MOVIMIENTOS!$B$5:$B$1005="REGALO")*(MOVIMIENTOS!$C$5:$C$1005="C")*(MOVIMIENTOS!$D$5:$D$1005="jabas")*(MOVIMIENTOS!$A$5:$A$1005&lt;&gt;"")*(MOVIMIENTOS!$A$5:$A$1005&lt;=$A33)*MOVIMIENTOS!$E$5:$E$1005)-SUMPRODUCT((MOVIMIENTOS!$B$5:$B$1005="VENTA")*(MOVIMIENTOS!$C$5:$C$1005="C")*(MOVIMIENTOS!$D$5:$D$1005="jabas")*(MOVIMIENTOS!$A$5:$A$1005&lt;&gt;"")*(MOVIMIENTOS!$A$5:$A$1005&lt;=$A33)*MOVIMIENTOS!$E$5:$E$1005)+SUMPRODUCT((MOVIMIENTOS!$B$5:$B$1005="AJUSTE")*(MOVIMIENTOS!$C$5:$C$1005="C")*(MOVIMIENTOS!$D$5:$D$1005="jabas")*(MOVIMIENTOS!$A$5:$A$1005&lt;&gt;"")*(MOVIMIENTOS!$A$5:$A$1005&lt;=$A33)*MOVIMIENTOS!$E$5:$E$1005))</f>
        <v>0</v>
      </c>
      <c r="E33" s="65">
        <f>IF($A33="","",SUMPRODUCT((MOVIMIENTOS!$B$5:$B$1005="SALDO INICIAL")*(MOVIMIENTOS!$C$5:$C$1005="M")*(MOVIMIENTOS!$D$5:$D$1005="jabas")*(MOVIMIENTOS!$A$5:$A$1005&lt;&gt;"")*(MOVIMIENTOS!$A$5:$A$1005&lt;=$A33)*MOVIMIENTOS!$E$5:$E$1005)+SUMPRODUCT((MOVIMIENTOS!$B$5:$B$1005="PROCESO")*(MOVIMIENTOS!$C$5:$C$1005="M")*(MOVIMIENTOS!$D$5:$D$1005="jabas")*(MOVIMIENTOS!$A$5:$A$1005&lt;&gt;"")*(MOVIMIENTOS!$A$5:$A$1005&lt;=$A33)*MOVIMIENTOS!$E$5:$E$1005)-SUMPRODUCT((MOVIMIENTOS!$B$5:$B$1005="ENVÍO A SUPESA")*(MOVIMIENTOS!$C$5:$C$1005="M")*(MOVIMIENTOS!$D$5:$D$1005="jabas")*(MOVIMIENTOS!$A$5:$A$1005&lt;&gt;"")*(MOVIMIENTOS!$A$5:$A$1005&lt;=$A33)*MOVIMIENTOS!$E$5:$E$1005)+SUMPRODUCT((MOVIMIENTOS!$B$5:$B$1005="DEVOLUCIÓN")*(MOVIMIENTOS!$C$5:$C$1005="M")*(MOVIMIENTOS!$D$5:$D$1005="jabas")*(MOVIMIENTOS!$A$5:$A$1005&lt;&gt;"")*(MOVIMIENTOS!$A$5:$A$1005&lt;=$A33)*MOVIMIENTOS!$E$5:$E$1005)-SUMPRODUCT((MOVIMIENTOS!$B$5:$B$1005="TRASIEGO")*(MOVIMIENTOS!$C$5:$C$1005="M")*(MOVIMIENTOS!$D$5:$D$1005="jabas")*(MOVIMIENTOS!$A$5:$A$1005&lt;&gt;"")*(MOVIMIENTOS!$A$5:$A$1005&lt;=$A33)*MOVIMIENTOS!$E$5:$E$1005)-SUMPRODUCT((MOVIMIENTOS!$B$5:$B$1005="REGALO")*(MOVIMIENTOS!$C$5:$C$1005="M")*(MOVIMIENTOS!$D$5:$D$1005="jabas")*(MOVIMIENTOS!$A$5:$A$1005&lt;&gt;"")*(MOVIMIENTOS!$A$5:$A$1005&lt;=$A33)*MOVIMIENTOS!$E$5:$E$1005)-SUMPRODUCT((MOVIMIENTOS!$B$5:$B$1005="VENTA")*(MOVIMIENTOS!$C$5:$C$1005="M")*(MOVIMIENTOS!$D$5:$D$1005="jabas")*(MOVIMIENTOS!$A$5:$A$1005&lt;&gt;"")*(MOVIMIENTOS!$A$5:$A$1005&lt;=$A33)*MOVIMIENTOS!$E$5:$E$1005)+SUMPRODUCT((MOVIMIENTOS!$B$5:$B$1005="AJUSTE")*(MOVIMIENTOS!$C$5:$C$1005="M")*(MOVIMIENTOS!$D$5:$D$1005="jabas")*(MOVIMIENTOS!$A$5:$A$1005&lt;&gt;"")*(MOVIMIENTOS!$A$5:$A$1005&lt;=$A33)*MOVIMIENTOS!$E$5:$E$1005))</f>
        <v>3</v>
      </c>
      <c r="F33" s="65">
        <f>IF($A33="","",SUMPRODUCT((MOVIMIENTOS!$B$5:$B$1005="SALDO INICIAL")*(MOVIMIENTOS!$C$5:$C$1005="Chancho")*(MOVIMIENTOS!$D$5:$D$1005="sacos")*(MOVIMIENTOS!$A$5:$A$1005&lt;&gt;"")*(MOVIMIENTOS!$A$5:$A$1005&lt;=$A33)*MOVIMIENTOS!$E$5:$E$1005)+SUMPRODUCT((MOVIMIENTOS!$B$5:$B$1005="PROCESO")*(MOVIMIENTOS!$C$5:$C$1005="Chancho")*(MOVIMIENTOS!$D$5:$D$1005="sacos")*(MOVIMIENTOS!$A$5:$A$1005&lt;&gt;"")*(MOVIMIENTOS!$A$5:$A$1005&lt;=$A33)*MOVIMIENTOS!$E$5:$E$1005)-SUMPRODUCT((MOVIMIENTOS!$B$5:$B$1005="VENTA CHANCHO")*(MOVIMIENTOS!$C$5:$C$1005="Chancho")*(MOVIMIENTOS!$D$5:$D$1005="sacos")*(MOVIMIENTOS!$A$5:$A$1005&lt;&gt;"")*(MOVIMIENTOS!$A$5:$A$1005&lt;=$A33)*MOVIMIENTOS!$E$5:$E$1005)-SUMPRODUCT((MOVIMIENTOS!$B$5:$B$1005="REGALO")*(MOVIMIENTOS!$C$5:$C$1005="Chancho")*(MOVIMIENTOS!$D$5:$D$1005="sacos")*(MOVIMIENTOS!$A$5:$A$1005&lt;&gt;"")*(MOVIMIENTOS!$A$5:$A$1005&lt;=$A33)*MOVIMIENTOS!$E$5:$E$1005)-SUMPRODUCT((MOVIMIENTOS!$B$5:$B$1005="VENTA")*(MOVIMIENTOS!$C$5:$C$1005="Chancho")*(MOVIMIENTOS!$D$5:$D$1005="sacos")*(MOVIMIENTOS!$A$5:$A$1005&lt;&gt;"")*(MOVIMIENTOS!$A$5:$A$1005&lt;=$A33)*MOVIMIENTOS!$E$5:$E$1005)+SUMPRODUCT((MOVIMIENTOS!$B$5:$B$1005="AJUSTE")*(MOVIMIENTOS!$C$5:$C$1005="Chancho")*(MOVIMIENTOS!$D$5:$D$1005="sacos")*(MOVIMIENTOS!$A$5:$A$1005&lt;&gt;"")*(MOVIMIENTOS!$A$5:$A$1005&lt;=$A33)*MOVIMIENTOS!$E$5:$E$1005))</f>
        <v>9.5</v>
      </c>
      <c r="G33" s="77">
        <f t="shared" si="1"/>
        <v>1</v>
      </c>
      <c r="H33" s="65">
        <f>IF($A33="","",SUMPRODUCT((((MOVIMIENTOS!$B$5:$B$1005="SALDO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33)*MOVIMIENTOS!$J$5:$J$1005))</f>
        <v>298.82000000000698</v>
      </c>
      <c r="I33" s="63"/>
      <c r="J33" s="63" t="str">
        <f>IF(AND(MOVIMIENTOS!$A33&lt;&gt;"",COUNTIF(MOVIMIENTOS!$A$5:$A32,MOVIMIENTOS!$A33)=0),COUNT(J$4:J32)+1,"")</f>
        <v/>
      </c>
      <c r="K33" s="66">
        <f>MOVIMIENTOS!$A33</f>
        <v>46217</v>
      </c>
      <c r="L33" s="63"/>
      <c r="M33" s="63"/>
      <c r="N33" s="63"/>
    </row>
    <row r="34" spans="1:14" ht="15" customHeight="1" x14ac:dyDescent="0.2">
      <c r="A34" s="64">
        <f t="shared" si="0"/>
        <v>46243</v>
      </c>
      <c r="B34" s="65">
        <f>IF($A34="","",SUMPRODUCT((MOVIMIENTOS!$B$5:$B$1005="SALDO INICIAL")*(MOVIMIENTOS!$C$5:$C$1005="A")*(MOVIMIENTOS!$D$5:$D$1005="jabas")*(MOVIMIENTOS!$A$5:$A$1005&lt;&gt;"")*(MOVIMIENTOS!$A$5:$A$1005&lt;=$A34)*MOVIMIENTOS!$E$5:$E$1005)+SUMPRODUCT((MOVIMIENTOS!$B$5:$B$1005="PROCESO")*(MOVIMIENTOS!$C$5:$C$1005="A")*(MOVIMIENTOS!$D$5:$D$1005="jabas")*(MOVIMIENTOS!$A$5:$A$1005&lt;&gt;"")*(MOVIMIENTOS!$A$5:$A$1005&lt;=$A34)*MOVIMIENTOS!$E$5:$E$1005)-SUMPRODUCT((MOVIMIENTOS!$B$5:$B$1005="ENVÍO A SUPESA")*(MOVIMIENTOS!$C$5:$C$1005="A")*(MOVIMIENTOS!$D$5:$D$1005="jabas")*(MOVIMIENTOS!$A$5:$A$1005&lt;&gt;"")*(MOVIMIENTOS!$A$5:$A$1005&lt;=$A34)*MOVIMIENTOS!$E$5:$E$1005)+SUMPRODUCT((MOVIMIENTOS!$B$5:$B$1005="DEVOLUCIÓN")*(MOVIMIENTOS!$C$5:$C$1005="A")*(MOVIMIENTOS!$D$5:$D$1005="jabas")*(MOVIMIENTOS!$A$5:$A$1005&lt;&gt;"")*(MOVIMIENTOS!$A$5:$A$1005&lt;=$A34)*MOVIMIENTOS!$E$5:$E$1005)-SUMPRODUCT((MOVIMIENTOS!$B$5:$B$1005="TRASIEGO")*(MOVIMIENTOS!$C$5:$C$1005="A")*(MOVIMIENTOS!$D$5:$D$1005="jabas")*(MOVIMIENTOS!$A$5:$A$1005&lt;&gt;"")*(MOVIMIENTOS!$A$5:$A$1005&lt;=$A34)*MOVIMIENTOS!$E$5:$E$1005)-SUMPRODUCT((MOVIMIENTOS!$B$5:$B$1005="REGALO")*(MOVIMIENTOS!$C$5:$C$1005="A")*(MOVIMIENTOS!$D$5:$D$1005="jabas")*(MOVIMIENTOS!$A$5:$A$1005&lt;&gt;"")*(MOVIMIENTOS!$A$5:$A$1005&lt;=$A34)*MOVIMIENTOS!$E$5:$E$1005)-SUMPRODUCT((MOVIMIENTOS!$B$5:$B$1005="VENTA")*(MOVIMIENTOS!$C$5:$C$1005="A")*(MOVIMIENTOS!$D$5:$D$1005="jabas")*(MOVIMIENTOS!$A$5:$A$1005&lt;&gt;"")*(MOVIMIENTOS!$A$5:$A$1005&lt;=$A34)*MOVIMIENTOS!$E$5:$E$1005)+SUMPRODUCT((MOVIMIENTOS!$B$5:$B$1005="AJUSTE")*(MOVIMIENTOS!$C$5:$C$1005="A")*(MOVIMIENTOS!$D$5:$D$1005="jabas")*(MOVIMIENTOS!$A$5:$A$1005&lt;&gt;"")*(MOVIMIENTOS!$A$5:$A$1005&lt;=$A34)*MOVIMIENTOS!$E$5:$E$1005))</f>
        <v>5</v>
      </c>
      <c r="C34" s="65">
        <f>IF($A34="","",SUMPRODUCT((MOVIMIENTOS!$B$5:$B$1005="SALDO INICIAL")*(MOVIMIENTOS!$C$5:$C$1005="P")*(MOVIMIENTOS!$D$5:$D$1005="jabas")*(MOVIMIENTOS!$A$5:$A$1005&lt;&gt;"")*(MOVIMIENTOS!$A$5:$A$1005&lt;=$A34)*MOVIMIENTOS!$E$5:$E$1005)+SUMPRODUCT((MOVIMIENTOS!$B$5:$B$1005="PROCESO")*(MOVIMIENTOS!$C$5:$C$1005="P")*(MOVIMIENTOS!$D$5:$D$1005="jabas")*(MOVIMIENTOS!$A$5:$A$1005&lt;&gt;"")*(MOVIMIENTOS!$A$5:$A$1005&lt;=$A34)*MOVIMIENTOS!$E$5:$E$1005)-SUMPRODUCT((MOVIMIENTOS!$B$5:$B$1005="ENVÍO A SUPESA")*(MOVIMIENTOS!$C$5:$C$1005="P")*(MOVIMIENTOS!$D$5:$D$1005="jabas")*(MOVIMIENTOS!$A$5:$A$1005&lt;&gt;"")*(MOVIMIENTOS!$A$5:$A$1005&lt;=$A34)*MOVIMIENTOS!$E$5:$E$1005)+SUMPRODUCT((MOVIMIENTOS!$B$5:$B$1005="DEVOLUCIÓN")*(MOVIMIENTOS!$C$5:$C$1005="P")*(MOVIMIENTOS!$D$5:$D$1005="jabas")*(MOVIMIENTOS!$A$5:$A$1005&lt;&gt;"")*(MOVIMIENTOS!$A$5:$A$1005&lt;=$A34)*MOVIMIENTOS!$E$5:$E$1005)-SUMPRODUCT((MOVIMIENTOS!$B$5:$B$1005="TRASIEGO")*(MOVIMIENTOS!$C$5:$C$1005="P")*(MOVIMIENTOS!$D$5:$D$1005="jabas")*(MOVIMIENTOS!$A$5:$A$1005&lt;&gt;"")*(MOVIMIENTOS!$A$5:$A$1005&lt;=$A34)*MOVIMIENTOS!$E$5:$E$1005)-SUMPRODUCT((MOVIMIENTOS!$B$5:$B$1005="REGALO")*(MOVIMIENTOS!$C$5:$C$1005="P")*(MOVIMIENTOS!$D$5:$D$1005="jabas")*(MOVIMIENTOS!$A$5:$A$1005&lt;&gt;"")*(MOVIMIENTOS!$A$5:$A$1005&lt;=$A34)*MOVIMIENTOS!$E$5:$E$1005)-SUMPRODUCT((MOVIMIENTOS!$B$5:$B$1005="VENTA")*(MOVIMIENTOS!$C$5:$C$1005="P")*(MOVIMIENTOS!$D$5:$D$1005="jabas")*(MOVIMIENTOS!$A$5:$A$1005&lt;&gt;"")*(MOVIMIENTOS!$A$5:$A$1005&lt;=$A34)*MOVIMIENTOS!$E$5:$E$1005)+SUMPRODUCT((MOVIMIENTOS!$B$5:$B$1005="AJUSTE")*(MOVIMIENTOS!$C$5:$C$1005="P")*(MOVIMIENTOS!$D$5:$D$1005="jabas")*(MOVIMIENTOS!$A$5:$A$1005&lt;&gt;"")*(MOVIMIENTOS!$A$5:$A$1005&lt;=$A34)*MOVIMIENTOS!$E$5:$E$1005))</f>
        <v>0</v>
      </c>
      <c r="D34" s="65">
        <f>IF($A34="","",SUMPRODUCT((MOVIMIENTOS!$B$5:$B$1005="SALDO INICIAL")*(MOVIMIENTOS!$C$5:$C$1005="C")*(MOVIMIENTOS!$D$5:$D$1005="jabas")*(MOVIMIENTOS!$A$5:$A$1005&lt;&gt;"")*(MOVIMIENTOS!$A$5:$A$1005&lt;=$A34)*MOVIMIENTOS!$E$5:$E$1005)+SUMPRODUCT((MOVIMIENTOS!$B$5:$B$1005="PROCESO")*(MOVIMIENTOS!$C$5:$C$1005="C")*(MOVIMIENTOS!$D$5:$D$1005="jabas")*(MOVIMIENTOS!$A$5:$A$1005&lt;&gt;"")*(MOVIMIENTOS!$A$5:$A$1005&lt;=$A34)*MOVIMIENTOS!$E$5:$E$1005)-SUMPRODUCT((MOVIMIENTOS!$B$5:$B$1005="ENVÍO A SUPESA")*(MOVIMIENTOS!$C$5:$C$1005="C")*(MOVIMIENTOS!$D$5:$D$1005="jabas")*(MOVIMIENTOS!$A$5:$A$1005&lt;&gt;"")*(MOVIMIENTOS!$A$5:$A$1005&lt;=$A34)*MOVIMIENTOS!$E$5:$E$1005)+SUMPRODUCT((MOVIMIENTOS!$B$5:$B$1005="DEVOLUCIÓN")*(MOVIMIENTOS!$C$5:$C$1005="C")*(MOVIMIENTOS!$D$5:$D$1005="jabas")*(MOVIMIENTOS!$A$5:$A$1005&lt;&gt;"")*(MOVIMIENTOS!$A$5:$A$1005&lt;=$A34)*MOVIMIENTOS!$E$5:$E$1005)-SUMPRODUCT((MOVIMIENTOS!$B$5:$B$1005="TRASIEGO")*(MOVIMIENTOS!$C$5:$C$1005="C")*(MOVIMIENTOS!$D$5:$D$1005="jabas")*(MOVIMIENTOS!$A$5:$A$1005&lt;&gt;"")*(MOVIMIENTOS!$A$5:$A$1005&lt;=$A34)*MOVIMIENTOS!$E$5:$E$1005)-SUMPRODUCT((MOVIMIENTOS!$B$5:$B$1005="REGALO")*(MOVIMIENTOS!$C$5:$C$1005="C")*(MOVIMIENTOS!$D$5:$D$1005="jabas")*(MOVIMIENTOS!$A$5:$A$1005&lt;&gt;"")*(MOVIMIENTOS!$A$5:$A$1005&lt;=$A34)*MOVIMIENTOS!$E$5:$E$1005)-SUMPRODUCT((MOVIMIENTOS!$B$5:$B$1005="VENTA")*(MOVIMIENTOS!$C$5:$C$1005="C")*(MOVIMIENTOS!$D$5:$D$1005="jabas")*(MOVIMIENTOS!$A$5:$A$1005&lt;&gt;"")*(MOVIMIENTOS!$A$5:$A$1005&lt;=$A34)*MOVIMIENTOS!$E$5:$E$1005)+SUMPRODUCT((MOVIMIENTOS!$B$5:$B$1005="AJUSTE")*(MOVIMIENTOS!$C$5:$C$1005="C")*(MOVIMIENTOS!$D$5:$D$1005="jabas")*(MOVIMIENTOS!$A$5:$A$1005&lt;&gt;"")*(MOVIMIENTOS!$A$5:$A$1005&lt;=$A34)*MOVIMIENTOS!$E$5:$E$1005))</f>
        <v>0</v>
      </c>
      <c r="E34" s="65">
        <f>IF($A34="","",SUMPRODUCT((MOVIMIENTOS!$B$5:$B$1005="SALDO INICIAL")*(MOVIMIENTOS!$C$5:$C$1005="M")*(MOVIMIENTOS!$D$5:$D$1005="jabas")*(MOVIMIENTOS!$A$5:$A$1005&lt;&gt;"")*(MOVIMIENTOS!$A$5:$A$1005&lt;=$A34)*MOVIMIENTOS!$E$5:$E$1005)+SUMPRODUCT((MOVIMIENTOS!$B$5:$B$1005="PROCESO")*(MOVIMIENTOS!$C$5:$C$1005="M")*(MOVIMIENTOS!$D$5:$D$1005="jabas")*(MOVIMIENTOS!$A$5:$A$1005&lt;&gt;"")*(MOVIMIENTOS!$A$5:$A$1005&lt;=$A34)*MOVIMIENTOS!$E$5:$E$1005)-SUMPRODUCT((MOVIMIENTOS!$B$5:$B$1005="ENVÍO A SUPESA")*(MOVIMIENTOS!$C$5:$C$1005="M")*(MOVIMIENTOS!$D$5:$D$1005="jabas")*(MOVIMIENTOS!$A$5:$A$1005&lt;&gt;"")*(MOVIMIENTOS!$A$5:$A$1005&lt;=$A34)*MOVIMIENTOS!$E$5:$E$1005)+SUMPRODUCT((MOVIMIENTOS!$B$5:$B$1005="DEVOLUCIÓN")*(MOVIMIENTOS!$C$5:$C$1005="M")*(MOVIMIENTOS!$D$5:$D$1005="jabas")*(MOVIMIENTOS!$A$5:$A$1005&lt;&gt;"")*(MOVIMIENTOS!$A$5:$A$1005&lt;=$A34)*MOVIMIENTOS!$E$5:$E$1005)-SUMPRODUCT((MOVIMIENTOS!$B$5:$B$1005="TRASIEGO")*(MOVIMIENTOS!$C$5:$C$1005="M")*(MOVIMIENTOS!$D$5:$D$1005="jabas")*(MOVIMIENTOS!$A$5:$A$1005&lt;&gt;"")*(MOVIMIENTOS!$A$5:$A$1005&lt;=$A34)*MOVIMIENTOS!$E$5:$E$1005)-SUMPRODUCT((MOVIMIENTOS!$B$5:$B$1005="REGALO")*(MOVIMIENTOS!$C$5:$C$1005="M")*(MOVIMIENTOS!$D$5:$D$1005="jabas")*(MOVIMIENTOS!$A$5:$A$1005&lt;&gt;"")*(MOVIMIENTOS!$A$5:$A$1005&lt;=$A34)*MOVIMIENTOS!$E$5:$E$1005)-SUMPRODUCT((MOVIMIENTOS!$B$5:$B$1005="VENTA")*(MOVIMIENTOS!$C$5:$C$1005="M")*(MOVIMIENTOS!$D$5:$D$1005="jabas")*(MOVIMIENTOS!$A$5:$A$1005&lt;&gt;"")*(MOVIMIENTOS!$A$5:$A$1005&lt;=$A34)*MOVIMIENTOS!$E$5:$E$1005)+SUMPRODUCT((MOVIMIENTOS!$B$5:$B$1005="AJUSTE")*(MOVIMIENTOS!$C$5:$C$1005="M")*(MOVIMIENTOS!$D$5:$D$1005="jabas")*(MOVIMIENTOS!$A$5:$A$1005&lt;&gt;"")*(MOVIMIENTOS!$A$5:$A$1005&lt;=$A34)*MOVIMIENTOS!$E$5:$E$1005))</f>
        <v>47</v>
      </c>
      <c r="F34" s="65">
        <f>IF($A34="","",SUMPRODUCT((MOVIMIENTOS!$B$5:$B$1005="SALDO INICIAL")*(MOVIMIENTOS!$C$5:$C$1005="Chancho")*(MOVIMIENTOS!$D$5:$D$1005="sacos")*(MOVIMIENTOS!$A$5:$A$1005&lt;&gt;"")*(MOVIMIENTOS!$A$5:$A$1005&lt;=$A34)*MOVIMIENTOS!$E$5:$E$1005)+SUMPRODUCT((MOVIMIENTOS!$B$5:$B$1005="PROCESO")*(MOVIMIENTOS!$C$5:$C$1005="Chancho")*(MOVIMIENTOS!$D$5:$D$1005="sacos")*(MOVIMIENTOS!$A$5:$A$1005&lt;&gt;"")*(MOVIMIENTOS!$A$5:$A$1005&lt;=$A34)*MOVIMIENTOS!$E$5:$E$1005)-SUMPRODUCT((MOVIMIENTOS!$B$5:$B$1005="VENTA CHANCHO")*(MOVIMIENTOS!$C$5:$C$1005="Chancho")*(MOVIMIENTOS!$D$5:$D$1005="sacos")*(MOVIMIENTOS!$A$5:$A$1005&lt;&gt;"")*(MOVIMIENTOS!$A$5:$A$1005&lt;=$A34)*MOVIMIENTOS!$E$5:$E$1005)-SUMPRODUCT((MOVIMIENTOS!$B$5:$B$1005="REGALO")*(MOVIMIENTOS!$C$5:$C$1005="Chancho")*(MOVIMIENTOS!$D$5:$D$1005="sacos")*(MOVIMIENTOS!$A$5:$A$1005&lt;&gt;"")*(MOVIMIENTOS!$A$5:$A$1005&lt;=$A34)*MOVIMIENTOS!$E$5:$E$1005)-SUMPRODUCT((MOVIMIENTOS!$B$5:$B$1005="VENTA")*(MOVIMIENTOS!$C$5:$C$1005="Chancho")*(MOVIMIENTOS!$D$5:$D$1005="sacos")*(MOVIMIENTOS!$A$5:$A$1005&lt;&gt;"")*(MOVIMIENTOS!$A$5:$A$1005&lt;=$A34)*MOVIMIENTOS!$E$5:$E$1005)+SUMPRODUCT((MOVIMIENTOS!$B$5:$B$1005="AJUSTE")*(MOVIMIENTOS!$C$5:$C$1005="Chancho")*(MOVIMIENTOS!$D$5:$D$1005="sacos")*(MOVIMIENTOS!$A$5:$A$1005&lt;&gt;"")*(MOVIMIENTOS!$A$5:$A$1005&lt;=$A34)*MOVIMIENTOS!$E$5:$E$1005))</f>
        <v>9</v>
      </c>
      <c r="G34" s="77">
        <f t="shared" si="1"/>
        <v>52</v>
      </c>
      <c r="H34" s="65">
        <f>IF($A34="","",SUMPRODUCT((((MOVIMIENTOS!$B$5:$B$1005="SALDO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34)*MOVIMIENTOS!$J$5:$J$1005))</f>
        <v>966.32000000000698</v>
      </c>
      <c r="I34" s="63"/>
      <c r="J34" s="63" t="str">
        <f>IF(AND(MOVIMIENTOS!$A34&lt;&gt;"",COUNTIF(MOVIMIENTOS!$A$5:$A33,MOVIMIENTOS!$A34)=0),COUNT(J$4:J33)+1,"")</f>
        <v/>
      </c>
      <c r="K34" s="66">
        <f>MOVIMIENTOS!$A34</f>
        <v>46217</v>
      </c>
      <c r="L34" s="63"/>
      <c r="M34" s="63"/>
      <c r="N34" s="63"/>
    </row>
    <row r="35" spans="1:14" ht="15" customHeight="1" x14ac:dyDescent="0.2">
      <c r="A35" s="64">
        <f t="shared" si="0"/>
        <v>46244</v>
      </c>
      <c r="B35" s="65">
        <f>IF($A35="","",SUMPRODUCT((MOVIMIENTOS!$B$5:$B$1005="SALDO INICIAL")*(MOVIMIENTOS!$C$5:$C$1005="A")*(MOVIMIENTOS!$D$5:$D$1005="jabas")*(MOVIMIENTOS!$A$5:$A$1005&lt;&gt;"")*(MOVIMIENTOS!$A$5:$A$1005&lt;=$A35)*MOVIMIENTOS!$E$5:$E$1005)+SUMPRODUCT((MOVIMIENTOS!$B$5:$B$1005="PROCESO")*(MOVIMIENTOS!$C$5:$C$1005="A")*(MOVIMIENTOS!$D$5:$D$1005="jabas")*(MOVIMIENTOS!$A$5:$A$1005&lt;&gt;"")*(MOVIMIENTOS!$A$5:$A$1005&lt;=$A35)*MOVIMIENTOS!$E$5:$E$1005)-SUMPRODUCT((MOVIMIENTOS!$B$5:$B$1005="ENVÍO A SUPESA")*(MOVIMIENTOS!$C$5:$C$1005="A")*(MOVIMIENTOS!$D$5:$D$1005="jabas")*(MOVIMIENTOS!$A$5:$A$1005&lt;&gt;"")*(MOVIMIENTOS!$A$5:$A$1005&lt;=$A35)*MOVIMIENTOS!$E$5:$E$1005)+SUMPRODUCT((MOVIMIENTOS!$B$5:$B$1005="DEVOLUCIÓN")*(MOVIMIENTOS!$C$5:$C$1005="A")*(MOVIMIENTOS!$D$5:$D$1005="jabas")*(MOVIMIENTOS!$A$5:$A$1005&lt;&gt;"")*(MOVIMIENTOS!$A$5:$A$1005&lt;=$A35)*MOVIMIENTOS!$E$5:$E$1005)-SUMPRODUCT((MOVIMIENTOS!$B$5:$B$1005="TRASIEGO")*(MOVIMIENTOS!$C$5:$C$1005="A")*(MOVIMIENTOS!$D$5:$D$1005="jabas")*(MOVIMIENTOS!$A$5:$A$1005&lt;&gt;"")*(MOVIMIENTOS!$A$5:$A$1005&lt;=$A35)*MOVIMIENTOS!$E$5:$E$1005)-SUMPRODUCT((MOVIMIENTOS!$B$5:$B$1005="REGALO")*(MOVIMIENTOS!$C$5:$C$1005="A")*(MOVIMIENTOS!$D$5:$D$1005="jabas")*(MOVIMIENTOS!$A$5:$A$1005&lt;&gt;"")*(MOVIMIENTOS!$A$5:$A$1005&lt;=$A35)*MOVIMIENTOS!$E$5:$E$1005)-SUMPRODUCT((MOVIMIENTOS!$B$5:$B$1005="VENTA")*(MOVIMIENTOS!$C$5:$C$1005="A")*(MOVIMIENTOS!$D$5:$D$1005="jabas")*(MOVIMIENTOS!$A$5:$A$1005&lt;&gt;"")*(MOVIMIENTOS!$A$5:$A$1005&lt;=$A35)*MOVIMIENTOS!$E$5:$E$1005)+SUMPRODUCT((MOVIMIENTOS!$B$5:$B$1005="AJUSTE")*(MOVIMIENTOS!$C$5:$C$1005="A")*(MOVIMIENTOS!$D$5:$D$1005="jabas")*(MOVIMIENTOS!$A$5:$A$1005&lt;&gt;"")*(MOVIMIENTOS!$A$5:$A$1005&lt;=$A35)*MOVIMIENTOS!$E$5:$E$1005))</f>
        <v>67</v>
      </c>
      <c r="C35" s="65">
        <f>IF($A35="","",SUMPRODUCT((MOVIMIENTOS!$B$5:$B$1005="SALDO INICIAL")*(MOVIMIENTOS!$C$5:$C$1005="P")*(MOVIMIENTOS!$D$5:$D$1005="jabas")*(MOVIMIENTOS!$A$5:$A$1005&lt;&gt;"")*(MOVIMIENTOS!$A$5:$A$1005&lt;=$A35)*MOVIMIENTOS!$E$5:$E$1005)+SUMPRODUCT((MOVIMIENTOS!$B$5:$B$1005="PROCESO")*(MOVIMIENTOS!$C$5:$C$1005="P")*(MOVIMIENTOS!$D$5:$D$1005="jabas")*(MOVIMIENTOS!$A$5:$A$1005&lt;&gt;"")*(MOVIMIENTOS!$A$5:$A$1005&lt;=$A35)*MOVIMIENTOS!$E$5:$E$1005)-SUMPRODUCT((MOVIMIENTOS!$B$5:$B$1005="ENVÍO A SUPESA")*(MOVIMIENTOS!$C$5:$C$1005="P")*(MOVIMIENTOS!$D$5:$D$1005="jabas")*(MOVIMIENTOS!$A$5:$A$1005&lt;&gt;"")*(MOVIMIENTOS!$A$5:$A$1005&lt;=$A35)*MOVIMIENTOS!$E$5:$E$1005)+SUMPRODUCT((MOVIMIENTOS!$B$5:$B$1005="DEVOLUCIÓN")*(MOVIMIENTOS!$C$5:$C$1005="P")*(MOVIMIENTOS!$D$5:$D$1005="jabas")*(MOVIMIENTOS!$A$5:$A$1005&lt;&gt;"")*(MOVIMIENTOS!$A$5:$A$1005&lt;=$A35)*MOVIMIENTOS!$E$5:$E$1005)-SUMPRODUCT((MOVIMIENTOS!$B$5:$B$1005="TRASIEGO")*(MOVIMIENTOS!$C$5:$C$1005="P")*(MOVIMIENTOS!$D$5:$D$1005="jabas")*(MOVIMIENTOS!$A$5:$A$1005&lt;&gt;"")*(MOVIMIENTOS!$A$5:$A$1005&lt;=$A35)*MOVIMIENTOS!$E$5:$E$1005)-SUMPRODUCT((MOVIMIENTOS!$B$5:$B$1005="REGALO")*(MOVIMIENTOS!$C$5:$C$1005="P")*(MOVIMIENTOS!$D$5:$D$1005="jabas")*(MOVIMIENTOS!$A$5:$A$1005&lt;&gt;"")*(MOVIMIENTOS!$A$5:$A$1005&lt;=$A35)*MOVIMIENTOS!$E$5:$E$1005)-SUMPRODUCT((MOVIMIENTOS!$B$5:$B$1005="VENTA")*(MOVIMIENTOS!$C$5:$C$1005="P")*(MOVIMIENTOS!$D$5:$D$1005="jabas")*(MOVIMIENTOS!$A$5:$A$1005&lt;&gt;"")*(MOVIMIENTOS!$A$5:$A$1005&lt;=$A35)*MOVIMIENTOS!$E$5:$E$1005)+SUMPRODUCT((MOVIMIENTOS!$B$5:$B$1005="AJUSTE")*(MOVIMIENTOS!$C$5:$C$1005="P")*(MOVIMIENTOS!$D$5:$D$1005="jabas")*(MOVIMIENTOS!$A$5:$A$1005&lt;&gt;"")*(MOVIMIENTOS!$A$5:$A$1005&lt;=$A35)*MOVIMIENTOS!$E$5:$E$1005))</f>
        <v>11</v>
      </c>
      <c r="D35" s="65">
        <f>IF($A35="","",SUMPRODUCT((MOVIMIENTOS!$B$5:$B$1005="SALDO INICIAL")*(MOVIMIENTOS!$C$5:$C$1005="C")*(MOVIMIENTOS!$D$5:$D$1005="jabas")*(MOVIMIENTOS!$A$5:$A$1005&lt;&gt;"")*(MOVIMIENTOS!$A$5:$A$1005&lt;=$A35)*MOVIMIENTOS!$E$5:$E$1005)+SUMPRODUCT((MOVIMIENTOS!$B$5:$B$1005="PROCESO")*(MOVIMIENTOS!$C$5:$C$1005="C")*(MOVIMIENTOS!$D$5:$D$1005="jabas")*(MOVIMIENTOS!$A$5:$A$1005&lt;&gt;"")*(MOVIMIENTOS!$A$5:$A$1005&lt;=$A35)*MOVIMIENTOS!$E$5:$E$1005)-SUMPRODUCT((MOVIMIENTOS!$B$5:$B$1005="ENVÍO A SUPESA")*(MOVIMIENTOS!$C$5:$C$1005="C")*(MOVIMIENTOS!$D$5:$D$1005="jabas")*(MOVIMIENTOS!$A$5:$A$1005&lt;&gt;"")*(MOVIMIENTOS!$A$5:$A$1005&lt;=$A35)*MOVIMIENTOS!$E$5:$E$1005)+SUMPRODUCT((MOVIMIENTOS!$B$5:$B$1005="DEVOLUCIÓN")*(MOVIMIENTOS!$C$5:$C$1005="C")*(MOVIMIENTOS!$D$5:$D$1005="jabas")*(MOVIMIENTOS!$A$5:$A$1005&lt;&gt;"")*(MOVIMIENTOS!$A$5:$A$1005&lt;=$A35)*MOVIMIENTOS!$E$5:$E$1005)-SUMPRODUCT((MOVIMIENTOS!$B$5:$B$1005="TRASIEGO")*(MOVIMIENTOS!$C$5:$C$1005="C")*(MOVIMIENTOS!$D$5:$D$1005="jabas")*(MOVIMIENTOS!$A$5:$A$1005&lt;&gt;"")*(MOVIMIENTOS!$A$5:$A$1005&lt;=$A35)*MOVIMIENTOS!$E$5:$E$1005)-SUMPRODUCT((MOVIMIENTOS!$B$5:$B$1005="REGALO")*(MOVIMIENTOS!$C$5:$C$1005="C")*(MOVIMIENTOS!$D$5:$D$1005="jabas")*(MOVIMIENTOS!$A$5:$A$1005&lt;&gt;"")*(MOVIMIENTOS!$A$5:$A$1005&lt;=$A35)*MOVIMIENTOS!$E$5:$E$1005)-SUMPRODUCT((MOVIMIENTOS!$B$5:$B$1005="VENTA")*(MOVIMIENTOS!$C$5:$C$1005="C")*(MOVIMIENTOS!$D$5:$D$1005="jabas")*(MOVIMIENTOS!$A$5:$A$1005&lt;&gt;"")*(MOVIMIENTOS!$A$5:$A$1005&lt;=$A35)*MOVIMIENTOS!$E$5:$E$1005)+SUMPRODUCT((MOVIMIENTOS!$B$5:$B$1005="AJUSTE")*(MOVIMIENTOS!$C$5:$C$1005="C")*(MOVIMIENTOS!$D$5:$D$1005="jabas")*(MOVIMIENTOS!$A$5:$A$1005&lt;&gt;"")*(MOVIMIENTOS!$A$5:$A$1005&lt;=$A35)*MOVIMIENTOS!$E$5:$E$1005))</f>
        <v>9</v>
      </c>
      <c r="E35" s="65">
        <f>IF($A35="","",SUMPRODUCT((MOVIMIENTOS!$B$5:$B$1005="SALDO INICIAL")*(MOVIMIENTOS!$C$5:$C$1005="M")*(MOVIMIENTOS!$D$5:$D$1005="jabas")*(MOVIMIENTOS!$A$5:$A$1005&lt;&gt;"")*(MOVIMIENTOS!$A$5:$A$1005&lt;=$A35)*MOVIMIENTOS!$E$5:$E$1005)+SUMPRODUCT((MOVIMIENTOS!$B$5:$B$1005="PROCESO")*(MOVIMIENTOS!$C$5:$C$1005="M")*(MOVIMIENTOS!$D$5:$D$1005="jabas")*(MOVIMIENTOS!$A$5:$A$1005&lt;&gt;"")*(MOVIMIENTOS!$A$5:$A$1005&lt;=$A35)*MOVIMIENTOS!$E$5:$E$1005)-SUMPRODUCT((MOVIMIENTOS!$B$5:$B$1005="ENVÍO A SUPESA")*(MOVIMIENTOS!$C$5:$C$1005="M")*(MOVIMIENTOS!$D$5:$D$1005="jabas")*(MOVIMIENTOS!$A$5:$A$1005&lt;&gt;"")*(MOVIMIENTOS!$A$5:$A$1005&lt;=$A35)*MOVIMIENTOS!$E$5:$E$1005)+SUMPRODUCT((MOVIMIENTOS!$B$5:$B$1005="DEVOLUCIÓN")*(MOVIMIENTOS!$C$5:$C$1005="M")*(MOVIMIENTOS!$D$5:$D$1005="jabas")*(MOVIMIENTOS!$A$5:$A$1005&lt;&gt;"")*(MOVIMIENTOS!$A$5:$A$1005&lt;=$A35)*MOVIMIENTOS!$E$5:$E$1005)-SUMPRODUCT((MOVIMIENTOS!$B$5:$B$1005="TRASIEGO")*(MOVIMIENTOS!$C$5:$C$1005="M")*(MOVIMIENTOS!$D$5:$D$1005="jabas")*(MOVIMIENTOS!$A$5:$A$1005&lt;&gt;"")*(MOVIMIENTOS!$A$5:$A$1005&lt;=$A35)*MOVIMIENTOS!$E$5:$E$1005)-SUMPRODUCT((MOVIMIENTOS!$B$5:$B$1005="REGALO")*(MOVIMIENTOS!$C$5:$C$1005="M")*(MOVIMIENTOS!$D$5:$D$1005="jabas")*(MOVIMIENTOS!$A$5:$A$1005&lt;&gt;"")*(MOVIMIENTOS!$A$5:$A$1005&lt;=$A35)*MOVIMIENTOS!$E$5:$E$1005)-SUMPRODUCT((MOVIMIENTOS!$B$5:$B$1005="VENTA")*(MOVIMIENTOS!$C$5:$C$1005="M")*(MOVIMIENTOS!$D$5:$D$1005="jabas")*(MOVIMIENTOS!$A$5:$A$1005&lt;&gt;"")*(MOVIMIENTOS!$A$5:$A$1005&lt;=$A35)*MOVIMIENTOS!$E$5:$E$1005)+SUMPRODUCT((MOVIMIENTOS!$B$5:$B$1005="AJUSTE")*(MOVIMIENTOS!$C$5:$C$1005="M")*(MOVIMIENTOS!$D$5:$D$1005="jabas")*(MOVIMIENTOS!$A$5:$A$1005&lt;&gt;"")*(MOVIMIENTOS!$A$5:$A$1005&lt;=$A35)*MOVIMIENTOS!$E$5:$E$1005))</f>
        <v>62</v>
      </c>
      <c r="F35" s="65">
        <f>IF($A35="","",SUMPRODUCT((MOVIMIENTOS!$B$5:$B$1005="SALDO INICIAL")*(MOVIMIENTOS!$C$5:$C$1005="Chancho")*(MOVIMIENTOS!$D$5:$D$1005="sacos")*(MOVIMIENTOS!$A$5:$A$1005&lt;&gt;"")*(MOVIMIENTOS!$A$5:$A$1005&lt;=$A35)*MOVIMIENTOS!$E$5:$E$1005)+SUMPRODUCT((MOVIMIENTOS!$B$5:$B$1005="PROCESO")*(MOVIMIENTOS!$C$5:$C$1005="Chancho")*(MOVIMIENTOS!$D$5:$D$1005="sacos")*(MOVIMIENTOS!$A$5:$A$1005&lt;&gt;"")*(MOVIMIENTOS!$A$5:$A$1005&lt;=$A35)*MOVIMIENTOS!$E$5:$E$1005)-SUMPRODUCT((MOVIMIENTOS!$B$5:$B$1005="VENTA CHANCHO")*(MOVIMIENTOS!$C$5:$C$1005="Chancho")*(MOVIMIENTOS!$D$5:$D$1005="sacos")*(MOVIMIENTOS!$A$5:$A$1005&lt;&gt;"")*(MOVIMIENTOS!$A$5:$A$1005&lt;=$A35)*MOVIMIENTOS!$E$5:$E$1005)-SUMPRODUCT((MOVIMIENTOS!$B$5:$B$1005="REGALO")*(MOVIMIENTOS!$C$5:$C$1005="Chancho")*(MOVIMIENTOS!$D$5:$D$1005="sacos")*(MOVIMIENTOS!$A$5:$A$1005&lt;&gt;"")*(MOVIMIENTOS!$A$5:$A$1005&lt;=$A35)*MOVIMIENTOS!$E$5:$E$1005)-SUMPRODUCT((MOVIMIENTOS!$B$5:$B$1005="VENTA")*(MOVIMIENTOS!$C$5:$C$1005="Chancho")*(MOVIMIENTOS!$D$5:$D$1005="sacos")*(MOVIMIENTOS!$A$5:$A$1005&lt;&gt;"")*(MOVIMIENTOS!$A$5:$A$1005&lt;=$A35)*MOVIMIENTOS!$E$5:$E$1005)+SUMPRODUCT((MOVIMIENTOS!$B$5:$B$1005="AJUSTE")*(MOVIMIENTOS!$C$5:$C$1005="Chancho")*(MOVIMIENTOS!$D$5:$D$1005="sacos")*(MOVIMIENTOS!$A$5:$A$1005&lt;&gt;"")*(MOVIMIENTOS!$A$5:$A$1005&lt;=$A35)*MOVIMIENTOS!$E$5:$E$1005))</f>
        <v>10.5</v>
      </c>
      <c r="G35" s="77">
        <f t="shared" si="1"/>
        <v>149</v>
      </c>
      <c r="H35" s="65">
        <f>IF($A35="","",SUMPRODUCT((((MOVIMIENTOS!$B$5:$B$1005="SALDO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35)*MOVIMIENTOS!$J$5:$J$1005))</f>
        <v>2422.820000000007</v>
      </c>
      <c r="I35" s="63"/>
      <c r="J35" s="63" t="str">
        <f>IF(AND(MOVIMIENTOS!$A35&lt;&gt;"",COUNTIF(MOVIMIENTOS!$A$5:$A34,MOVIMIENTOS!$A35)=0),COUNT(J$4:J34)+1,"")</f>
        <v/>
      </c>
      <c r="K35" s="66">
        <f>MOVIMIENTOS!$A35</f>
        <v>46217</v>
      </c>
      <c r="L35" s="63"/>
      <c r="M35" s="63"/>
      <c r="N35" s="63"/>
    </row>
    <row r="36" spans="1:14" ht="15" customHeight="1" x14ac:dyDescent="0.2">
      <c r="A36" s="64">
        <f t="shared" si="0"/>
        <v>46245</v>
      </c>
      <c r="B36" s="65">
        <f>IF($A36="","",SUMPRODUCT((MOVIMIENTOS!$B$5:$B$1005="SALDO INICIAL")*(MOVIMIENTOS!$C$5:$C$1005="A")*(MOVIMIENTOS!$D$5:$D$1005="jabas")*(MOVIMIENTOS!$A$5:$A$1005&lt;&gt;"")*(MOVIMIENTOS!$A$5:$A$1005&lt;=$A36)*MOVIMIENTOS!$E$5:$E$1005)+SUMPRODUCT((MOVIMIENTOS!$B$5:$B$1005="PROCESO")*(MOVIMIENTOS!$C$5:$C$1005="A")*(MOVIMIENTOS!$D$5:$D$1005="jabas")*(MOVIMIENTOS!$A$5:$A$1005&lt;&gt;"")*(MOVIMIENTOS!$A$5:$A$1005&lt;=$A36)*MOVIMIENTOS!$E$5:$E$1005)-SUMPRODUCT((MOVIMIENTOS!$B$5:$B$1005="ENVÍO A SUPESA")*(MOVIMIENTOS!$C$5:$C$1005="A")*(MOVIMIENTOS!$D$5:$D$1005="jabas")*(MOVIMIENTOS!$A$5:$A$1005&lt;&gt;"")*(MOVIMIENTOS!$A$5:$A$1005&lt;=$A36)*MOVIMIENTOS!$E$5:$E$1005)+SUMPRODUCT((MOVIMIENTOS!$B$5:$B$1005="DEVOLUCIÓN")*(MOVIMIENTOS!$C$5:$C$1005="A")*(MOVIMIENTOS!$D$5:$D$1005="jabas")*(MOVIMIENTOS!$A$5:$A$1005&lt;&gt;"")*(MOVIMIENTOS!$A$5:$A$1005&lt;=$A36)*MOVIMIENTOS!$E$5:$E$1005)-SUMPRODUCT((MOVIMIENTOS!$B$5:$B$1005="TRASIEGO")*(MOVIMIENTOS!$C$5:$C$1005="A")*(MOVIMIENTOS!$D$5:$D$1005="jabas")*(MOVIMIENTOS!$A$5:$A$1005&lt;&gt;"")*(MOVIMIENTOS!$A$5:$A$1005&lt;=$A36)*MOVIMIENTOS!$E$5:$E$1005)-SUMPRODUCT((MOVIMIENTOS!$B$5:$B$1005="REGALO")*(MOVIMIENTOS!$C$5:$C$1005="A")*(MOVIMIENTOS!$D$5:$D$1005="jabas")*(MOVIMIENTOS!$A$5:$A$1005&lt;&gt;"")*(MOVIMIENTOS!$A$5:$A$1005&lt;=$A36)*MOVIMIENTOS!$E$5:$E$1005)-SUMPRODUCT((MOVIMIENTOS!$B$5:$B$1005="VENTA")*(MOVIMIENTOS!$C$5:$C$1005="A")*(MOVIMIENTOS!$D$5:$D$1005="jabas")*(MOVIMIENTOS!$A$5:$A$1005&lt;&gt;"")*(MOVIMIENTOS!$A$5:$A$1005&lt;=$A36)*MOVIMIENTOS!$E$5:$E$1005)+SUMPRODUCT((MOVIMIENTOS!$B$5:$B$1005="AJUSTE")*(MOVIMIENTOS!$C$5:$C$1005="A")*(MOVIMIENTOS!$D$5:$D$1005="jabas")*(MOVIMIENTOS!$A$5:$A$1005&lt;&gt;"")*(MOVIMIENTOS!$A$5:$A$1005&lt;=$A36)*MOVIMIENTOS!$E$5:$E$1005))</f>
        <v>-1</v>
      </c>
      <c r="C36" s="65">
        <f>IF($A36="","",SUMPRODUCT((MOVIMIENTOS!$B$5:$B$1005="SALDO INICIAL")*(MOVIMIENTOS!$C$5:$C$1005="P")*(MOVIMIENTOS!$D$5:$D$1005="jabas")*(MOVIMIENTOS!$A$5:$A$1005&lt;&gt;"")*(MOVIMIENTOS!$A$5:$A$1005&lt;=$A36)*MOVIMIENTOS!$E$5:$E$1005)+SUMPRODUCT((MOVIMIENTOS!$B$5:$B$1005="PROCESO")*(MOVIMIENTOS!$C$5:$C$1005="P")*(MOVIMIENTOS!$D$5:$D$1005="jabas")*(MOVIMIENTOS!$A$5:$A$1005&lt;&gt;"")*(MOVIMIENTOS!$A$5:$A$1005&lt;=$A36)*MOVIMIENTOS!$E$5:$E$1005)-SUMPRODUCT((MOVIMIENTOS!$B$5:$B$1005="ENVÍO A SUPESA")*(MOVIMIENTOS!$C$5:$C$1005="P")*(MOVIMIENTOS!$D$5:$D$1005="jabas")*(MOVIMIENTOS!$A$5:$A$1005&lt;&gt;"")*(MOVIMIENTOS!$A$5:$A$1005&lt;=$A36)*MOVIMIENTOS!$E$5:$E$1005)+SUMPRODUCT((MOVIMIENTOS!$B$5:$B$1005="DEVOLUCIÓN")*(MOVIMIENTOS!$C$5:$C$1005="P")*(MOVIMIENTOS!$D$5:$D$1005="jabas")*(MOVIMIENTOS!$A$5:$A$1005&lt;&gt;"")*(MOVIMIENTOS!$A$5:$A$1005&lt;=$A36)*MOVIMIENTOS!$E$5:$E$1005)-SUMPRODUCT((MOVIMIENTOS!$B$5:$B$1005="TRASIEGO")*(MOVIMIENTOS!$C$5:$C$1005="P")*(MOVIMIENTOS!$D$5:$D$1005="jabas")*(MOVIMIENTOS!$A$5:$A$1005&lt;&gt;"")*(MOVIMIENTOS!$A$5:$A$1005&lt;=$A36)*MOVIMIENTOS!$E$5:$E$1005)-SUMPRODUCT((MOVIMIENTOS!$B$5:$B$1005="REGALO")*(MOVIMIENTOS!$C$5:$C$1005="P")*(MOVIMIENTOS!$D$5:$D$1005="jabas")*(MOVIMIENTOS!$A$5:$A$1005&lt;&gt;"")*(MOVIMIENTOS!$A$5:$A$1005&lt;=$A36)*MOVIMIENTOS!$E$5:$E$1005)-SUMPRODUCT((MOVIMIENTOS!$B$5:$B$1005="VENTA")*(MOVIMIENTOS!$C$5:$C$1005="P")*(MOVIMIENTOS!$D$5:$D$1005="jabas")*(MOVIMIENTOS!$A$5:$A$1005&lt;&gt;"")*(MOVIMIENTOS!$A$5:$A$1005&lt;=$A36)*MOVIMIENTOS!$E$5:$E$1005)+SUMPRODUCT((MOVIMIENTOS!$B$5:$B$1005="AJUSTE")*(MOVIMIENTOS!$C$5:$C$1005="P")*(MOVIMIENTOS!$D$5:$D$1005="jabas")*(MOVIMIENTOS!$A$5:$A$1005&lt;&gt;"")*(MOVIMIENTOS!$A$5:$A$1005&lt;=$A36)*MOVIMIENTOS!$E$5:$E$1005))</f>
        <v>0</v>
      </c>
      <c r="D36" s="65">
        <f>IF($A36="","",SUMPRODUCT((MOVIMIENTOS!$B$5:$B$1005="SALDO INICIAL")*(MOVIMIENTOS!$C$5:$C$1005="C")*(MOVIMIENTOS!$D$5:$D$1005="jabas")*(MOVIMIENTOS!$A$5:$A$1005&lt;&gt;"")*(MOVIMIENTOS!$A$5:$A$1005&lt;=$A36)*MOVIMIENTOS!$E$5:$E$1005)+SUMPRODUCT((MOVIMIENTOS!$B$5:$B$1005="PROCESO")*(MOVIMIENTOS!$C$5:$C$1005="C")*(MOVIMIENTOS!$D$5:$D$1005="jabas")*(MOVIMIENTOS!$A$5:$A$1005&lt;&gt;"")*(MOVIMIENTOS!$A$5:$A$1005&lt;=$A36)*MOVIMIENTOS!$E$5:$E$1005)-SUMPRODUCT((MOVIMIENTOS!$B$5:$B$1005="ENVÍO A SUPESA")*(MOVIMIENTOS!$C$5:$C$1005="C")*(MOVIMIENTOS!$D$5:$D$1005="jabas")*(MOVIMIENTOS!$A$5:$A$1005&lt;&gt;"")*(MOVIMIENTOS!$A$5:$A$1005&lt;=$A36)*MOVIMIENTOS!$E$5:$E$1005)+SUMPRODUCT((MOVIMIENTOS!$B$5:$B$1005="DEVOLUCIÓN")*(MOVIMIENTOS!$C$5:$C$1005="C")*(MOVIMIENTOS!$D$5:$D$1005="jabas")*(MOVIMIENTOS!$A$5:$A$1005&lt;&gt;"")*(MOVIMIENTOS!$A$5:$A$1005&lt;=$A36)*MOVIMIENTOS!$E$5:$E$1005)-SUMPRODUCT((MOVIMIENTOS!$B$5:$B$1005="TRASIEGO")*(MOVIMIENTOS!$C$5:$C$1005="C")*(MOVIMIENTOS!$D$5:$D$1005="jabas")*(MOVIMIENTOS!$A$5:$A$1005&lt;&gt;"")*(MOVIMIENTOS!$A$5:$A$1005&lt;=$A36)*MOVIMIENTOS!$E$5:$E$1005)-SUMPRODUCT((MOVIMIENTOS!$B$5:$B$1005="REGALO")*(MOVIMIENTOS!$C$5:$C$1005="C")*(MOVIMIENTOS!$D$5:$D$1005="jabas")*(MOVIMIENTOS!$A$5:$A$1005&lt;&gt;"")*(MOVIMIENTOS!$A$5:$A$1005&lt;=$A36)*MOVIMIENTOS!$E$5:$E$1005)-SUMPRODUCT((MOVIMIENTOS!$B$5:$B$1005="VENTA")*(MOVIMIENTOS!$C$5:$C$1005="C")*(MOVIMIENTOS!$D$5:$D$1005="jabas")*(MOVIMIENTOS!$A$5:$A$1005&lt;&gt;"")*(MOVIMIENTOS!$A$5:$A$1005&lt;=$A36)*MOVIMIENTOS!$E$5:$E$1005)+SUMPRODUCT((MOVIMIENTOS!$B$5:$B$1005="AJUSTE")*(MOVIMIENTOS!$C$5:$C$1005="C")*(MOVIMIENTOS!$D$5:$D$1005="jabas")*(MOVIMIENTOS!$A$5:$A$1005&lt;&gt;"")*(MOVIMIENTOS!$A$5:$A$1005&lt;=$A36)*MOVIMIENTOS!$E$5:$E$1005))</f>
        <v>0</v>
      </c>
      <c r="E36" s="65">
        <f>IF($A36="","",SUMPRODUCT((MOVIMIENTOS!$B$5:$B$1005="SALDO INICIAL")*(MOVIMIENTOS!$C$5:$C$1005="M")*(MOVIMIENTOS!$D$5:$D$1005="jabas")*(MOVIMIENTOS!$A$5:$A$1005&lt;&gt;"")*(MOVIMIENTOS!$A$5:$A$1005&lt;=$A36)*MOVIMIENTOS!$E$5:$E$1005)+SUMPRODUCT((MOVIMIENTOS!$B$5:$B$1005="PROCESO")*(MOVIMIENTOS!$C$5:$C$1005="M")*(MOVIMIENTOS!$D$5:$D$1005="jabas")*(MOVIMIENTOS!$A$5:$A$1005&lt;&gt;"")*(MOVIMIENTOS!$A$5:$A$1005&lt;=$A36)*MOVIMIENTOS!$E$5:$E$1005)-SUMPRODUCT((MOVIMIENTOS!$B$5:$B$1005="ENVÍO A SUPESA")*(MOVIMIENTOS!$C$5:$C$1005="M")*(MOVIMIENTOS!$D$5:$D$1005="jabas")*(MOVIMIENTOS!$A$5:$A$1005&lt;&gt;"")*(MOVIMIENTOS!$A$5:$A$1005&lt;=$A36)*MOVIMIENTOS!$E$5:$E$1005)+SUMPRODUCT((MOVIMIENTOS!$B$5:$B$1005="DEVOLUCIÓN")*(MOVIMIENTOS!$C$5:$C$1005="M")*(MOVIMIENTOS!$D$5:$D$1005="jabas")*(MOVIMIENTOS!$A$5:$A$1005&lt;&gt;"")*(MOVIMIENTOS!$A$5:$A$1005&lt;=$A36)*MOVIMIENTOS!$E$5:$E$1005)-SUMPRODUCT((MOVIMIENTOS!$B$5:$B$1005="TRASIEGO")*(MOVIMIENTOS!$C$5:$C$1005="M")*(MOVIMIENTOS!$D$5:$D$1005="jabas")*(MOVIMIENTOS!$A$5:$A$1005&lt;&gt;"")*(MOVIMIENTOS!$A$5:$A$1005&lt;=$A36)*MOVIMIENTOS!$E$5:$E$1005)-SUMPRODUCT((MOVIMIENTOS!$B$5:$B$1005="REGALO")*(MOVIMIENTOS!$C$5:$C$1005="M")*(MOVIMIENTOS!$D$5:$D$1005="jabas")*(MOVIMIENTOS!$A$5:$A$1005&lt;&gt;"")*(MOVIMIENTOS!$A$5:$A$1005&lt;=$A36)*MOVIMIENTOS!$E$5:$E$1005)-SUMPRODUCT((MOVIMIENTOS!$B$5:$B$1005="VENTA")*(MOVIMIENTOS!$C$5:$C$1005="M")*(MOVIMIENTOS!$D$5:$D$1005="jabas")*(MOVIMIENTOS!$A$5:$A$1005&lt;&gt;"")*(MOVIMIENTOS!$A$5:$A$1005&lt;=$A36)*MOVIMIENTOS!$E$5:$E$1005)+SUMPRODUCT((MOVIMIENTOS!$B$5:$B$1005="AJUSTE")*(MOVIMIENTOS!$C$5:$C$1005="M")*(MOVIMIENTOS!$D$5:$D$1005="jabas")*(MOVIMIENTOS!$A$5:$A$1005&lt;&gt;"")*(MOVIMIENTOS!$A$5:$A$1005&lt;=$A36)*MOVIMIENTOS!$E$5:$E$1005))</f>
        <v>0</v>
      </c>
      <c r="F36" s="65">
        <f>IF($A36="","",SUMPRODUCT((MOVIMIENTOS!$B$5:$B$1005="SALDO INICIAL")*(MOVIMIENTOS!$C$5:$C$1005="Chancho")*(MOVIMIENTOS!$D$5:$D$1005="sacos")*(MOVIMIENTOS!$A$5:$A$1005&lt;&gt;"")*(MOVIMIENTOS!$A$5:$A$1005&lt;=$A36)*MOVIMIENTOS!$E$5:$E$1005)+SUMPRODUCT((MOVIMIENTOS!$B$5:$B$1005="PROCESO")*(MOVIMIENTOS!$C$5:$C$1005="Chancho")*(MOVIMIENTOS!$D$5:$D$1005="sacos")*(MOVIMIENTOS!$A$5:$A$1005&lt;&gt;"")*(MOVIMIENTOS!$A$5:$A$1005&lt;=$A36)*MOVIMIENTOS!$E$5:$E$1005)-SUMPRODUCT((MOVIMIENTOS!$B$5:$B$1005="VENTA CHANCHO")*(MOVIMIENTOS!$C$5:$C$1005="Chancho")*(MOVIMIENTOS!$D$5:$D$1005="sacos")*(MOVIMIENTOS!$A$5:$A$1005&lt;&gt;"")*(MOVIMIENTOS!$A$5:$A$1005&lt;=$A36)*MOVIMIENTOS!$E$5:$E$1005)-SUMPRODUCT((MOVIMIENTOS!$B$5:$B$1005="REGALO")*(MOVIMIENTOS!$C$5:$C$1005="Chancho")*(MOVIMIENTOS!$D$5:$D$1005="sacos")*(MOVIMIENTOS!$A$5:$A$1005&lt;&gt;"")*(MOVIMIENTOS!$A$5:$A$1005&lt;=$A36)*MOVIMIENTOS!$E$5:$E$1005)-SUMPRODUCT((MOVIMIENTOS!$B$5:$B$1005="VENTA")*(MOVIMIENTOS!$C$5:$C$1005="Chancho")*(MOVIMIENTOS!$D$5:$D$1005="sacos")*(MOVIMIENTOS!$A$5:$A$1005&lt;&gt;"")*(MOVIMIENTOS!$A$5:$A$1005&lt;=$A36)*MOVIMIENTOS!$E$5:$E$1005)+SUMPRODUCT((MOVIMIENTOS!$B$5:$B$1005="AJUSTE")*(MOVIMIENTOS!$C$5:$C$1005="Chancho")*(MOVIMIENTOS!$D$5:$D$1005="sacos")*(MOVIMIENTOS!$A$5:$A$1005&lt;&gt;"")*(MOVIMIENTOS!$A$5:$A$1005&lt;=$A36)*MOVIMIENTOS!$E$5:$E$1005))</f>
        <v>0</v>
      </c>
      <c r="G36" s="77">
        <f t="shared" si="1"/>
        <v>-1</v>
      </c>
      <c r="H36" s="65">
        <f>IF($A36="","",SUMPRODUCT((((MOVIMIENTOS!$B$5:$B$1005="SALDO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36)*MOVIMIENTOS!$J$5:$J$1005))</f>
        <v>-616.17999999999302</v>
      </c>
      <c r="I36" s="63"/>
      <c r="J36" s="63" t="str">
        <f>IF(AND(MOVIMIENTOS!$A36&lt;&gt;"",COUNTIF(MOVIMIENTOS!$A$5:$A35,MOVIMIENTOS!$A36)=0),COUNT(J$4:J35)+1,"")</f>
        <v/>
      </c>
      <c r="K36" s="66">
        <f>MOVIMIENTOS!$A36</f>
        <v>46217</v>
      </c>
      <c r="L36" s="63"/>
      <c r="M36" s="63"/>
      <c r="N36" s="63"/>
    </row>
    <row r="37" spans="1:14" ht="15" customHeight="1" x14ac:dyDescent="0.2">
      <c r="A37" s="64">
        <f t="shared" si="0"/>
        <v>46246</v>
      </c>
      <c r="B37" s="65">
        <f>IF($A37="","",SUMPRODUCT((MOVIMIENTOS!$B$5:$B$1005="SALDO INICIAL")*(MOVIMIENTOS!$C$5:$C$1005="A")*(MOVIMIENTOS!$D$5:$D$1005="jabas")*(MOVIMIENTOS!$A$5:$A$1005&lt;&gt;"")*(MOVIMIENTOS!$A$5:$A$1005&lt;=$A37)*MOVIMIENTOS!$E$5:$E$1005)+SUMPRODUCT((MOVIMIENTOS!$B$5:$B$1005="PROCESO")*(MOVIMIENTOS!$C$5:$C$1005="A")*(MOVIMIENTOS!$D$5:$D$1005="jabas")*(MOVIMIENTOS!$A$5:$A$1005&lt;&gt;"")*(MOVIMIENTOS!$A$5:$A$1005&lt;=$A37)*MOVIMIENTOS!$E$5:$E$1005)-SUMPRODUCT((MOVIMIENTOS!$B$5:$B$1005="ENVÍO A SUPESA")*(MOVIMIENTOS!$C$5:$C$1005="A")*(MOVIMIENTOS!$D$5:$D$1005="jabas")*(MOVIMIENTOS!$A$5:$A$1005&lt;&gt;"")*(MOVIMIENTOS!$A$5:$A$1005&lt;=$A37)*MOVIMIENTOS!$E$5:$E$1005)+SUMPRODUCT((MOVIMIENTOS!$B$5:$B$1005="DEVOLUCIÓN")*(MOVIMIENTOS!$C$5:$C$1005="A")*(MOVIMIENTOS!$D$5:$D$1005="jabas")*(MOVIMIENTOS!$A$5:$A$1005&lt;&gt;"")*(MOVIMIENTOS!$A$5:$A$1005&lt;=$A37)*MOVIMIENTOS!$E$5:$E$1005)-SUMPRODUCT((MOVIMIENTOS!$B$5:$B$1005="TRASIEGO")*(MOVIMIENTOS!$C$5:$C$1005="A")*(MOVIMIENTOS!$D$5:$D$1005="jabas")*(MOVIMIENTOS!$A$5:$A$1005&lt;&gt;"")*(MOVIMIENTOS!$A$5:$A$1005&lt;=$A37)*MOVIMIENTOS!$E$5:$E$1005)-SUMPRODUCT((MOVIMIENTOS!$B$5:$B$1005="REGALO")*(MOVIMIENTOS!$C$5:$C$1005="A")*(MOVIMIENTOS!$D$5:$D$1005="jabas")*(MOVIMIENTOS!$A$5:$A$1005&lt;&gt;"")*(MOVIMIENTOS!$A$5:$A$1005&lt;=$A37)*MOVIMIENTOS!$E$5:$E$1005)-SUMPRODUCT((MOVIMIENTOS!$B$5:$B$1005="VENTA")*(MOVIMIENTOS!$C$5:$C$1005="A")*(MOVIMIENTOS!$D$5:$D$1005="jabas")*(MOVIMIENTOS!$A$5:$A$1005&lt;&gt;"")*(MOVIMIENTOS!$A$5:$A$1005&lt;=$A37)*MOVIMIENTOS!$E$5:$E$1005)+SUMPRODUCT((MOVIMIENTOS!$B$5:$B$1005="AJUSTE")*(MOVIMIENTOS!$C$5:$C$1005="A")*(MOVIMIENTOS!$D$5:$D$1005="jabas")*(MOVIMIENTOS!$A$5:$A$1005&lt;&gt;"")*(MOVIMIENTOS!$A$5:$A$1005&lt;=$A37)*MOVIMIENTOS!$E$5:$E$1005))</f>
        <v>-1</v>
      </c>
      <c r="C37" s="65">
        <f>IF($A37="","",SUMPRODUCT((MOVIMIENTOS!$B$5:$B$1005="SALDO INICIAL")*(MOVIMIENTOS!$C$5:$C$1005="P")*(MOVIMIENTOS!$D$5:$D$1005="jabas")*(MOVIMIENTOS!$A$5:$A$1005&lt;&gt;"")*(MOVIMIENTOS!$A$5:$A$1005&lt;=$A37)*MOVIMIENTOS!$E$5:$E$1005)+SUMPRODUCT((MOVIMIENTOS!$B$5:$B$1005="PROCESO")*(MOVIMIENTOS!$C$5:$C$1005="P")*(MOVIMIENTOS!$D$5:$D$1005="jabas")*(MOVIMIENTOS!$A$5:$A$1005&lt;&gt;"")*(MOVIMIENTOS!$A$5:$A$1005&lt;=$A37)*MOVIMIENTOS!$E$5:$E$1005)-SUMPRODUCT((MOVIMIENTOS!$B$5:$B$1005="ENVÍO A SUPESA")*(MOVIMIENTOS!$C$5:$C$1005="P")*(MOVIMIENTOS!$D$5:$D$1005="jabas")*(MOVIMIENTOS!$A$5:$A$1005&lt;&gt;"")*(MOVIMIENTOS!$A$5:$A$1005&lt;=$A37)*MOVIMIENTOS!$E$5:$E$1005)+SUMPRODUCT((MOVIMIENTOS!$B$5:$B$1005="DEVOLUCIÓN")*(MOVIMIENTOS!$C$5:$C$1005="P")*(MOVIMIENTOS!$D$5:$D$1005="jabas")*(MOVIMIENTOS!$A$5:$A$1005&lt;&gt;"")*(MOVIMIENTOS!$A$5:$A$1005&lt;=$A37)*MOVIMIENTOS!$E$5:$E$1005)-SUMPRODUCT((MOVIMIENTOS!$B$5:$B$1005="TRASIEGO")*(MOVIMIENTOS!$C$5:$C$1005="P")*(MOVIMIENTOS!$D$5:$D$1005="jabas")*(MOVIMIENTOS!$A$5:$A$1005&lt;&gt;"")*(MOVIMIENTOS!$A$5:$A$1005&lt;=$A37)*MOVIMIENTOS!$E$5:$E$1005)-SUMPRODUCT((MOVIMIENTOS!$B$5:$B$1005="REGALO")*(MOVIMIENTOS!$C$5:$C$1005="P")*(MOVIMIENTOS!$D$5:$D$1005="jabas")*(MOVIMIENTOS!$A$5:$A$1005&lt;&gt;"")*(MOVIMIENTOS!$A$5:$A$1005&lt;=$A37)*MOVIMIENTOS!$E$5:$E$1005)-SUMPRODUCT((MOVIMIENTOS!$B$5:$B$1005="VENTA")*(MOVIMIENTOS!$C$5:$C$1005="P")*(MOVIMIENTOS!$D$5:$D$1005="jabas")*(MOVIMIENTOS!$A$5:$A$1005&lt;&gt;"")*(MOVIMIENTOS!$A$5:$A$1005&lt;=$A37)*MOVIMIENTOS!$E$5:$E$1005)+SUMPRODUCT((MOVIMIENTOS!$B$5:$B$1005="AJUSTE")*(MOVIMIENTOS!$C$5:$C$1005="P")*(MOVIMIENTOS!$D$5:$D$1005="jabas")*(MOVIMIENTOS!$A$5:$A$1005&lt;&gt;"")*(MOVIMIENTOS!$A$5:$A$1005&lt;=$A37)*MOVIMIENTOS!$E$5:$E$1005))</f>
        <v>0</v>
      </c>
      <c r="D37" s="65">
        <f>IF($A37="","",SUMPRODUCT((MOVIMIENTOS!$B$5:$B$1005="SALDO INICIAL")*(MOVIMIENTOS!$C$5:$C$1005="C")*(MOVIMIENTOS!$D$5:$D$1005="jabas")*(MOVIMIENTOS!$A$5:$A$1005&lt;&gt;"")*(MOVIMIENTOS!$A$5:$A$1005&lt;=$A37)*MOVIMIENTOS!$E$5:$E$1005)+SUMPRODUCT((MOVIMIENTOS!$B$5:$B$1005="PROCESO")*(MOVIMIENTOS!$C$5:$C$1005="C")*(MOVIMIENTOS!$D$5:$D$1005="jabas")*(MOVIMIENTOS!$A$5:$A$1005&lt;&gt;"")*(MOVIMIENTOS!$A$5:$A$1005&lt;=$A37)*MOVIMIENTOS!$E$5:$E$1005)-SUMPRODUCT((MOVIMIENTOS!$B$5:$B$1005="ENVÍO A SUPESA")*(MOVIMIENTOS!$C$5:$C$1005="C")*(MOVIMIENTOS!$D$5:$D$1005="jabas")*(MOVIMIENTOS!$A$5:$A$1005&lt;&gt;"")*(MOVIMIENTOS!$A$5:$A$1005&lt;=$A37)*MOVIMIENTOS!$E$5:$E$1005)+SUMPRODUCT((MOVIMIENTOS!$B$5:$B$1005="DEVOLUCIÓN")*(MOVIMIENTOS!$C$5:$C$1005="C")*(MOVIMIENTOS!$D$5:$D$1005="jabas")*(MOVIMIENTOS!$A$5:$A$1005&lt;&gt;"")*(MOVIMIENTOS!$A$5:$A$1005&lt;=$A37)*MOVIMIENTOS!$E$5:$E$1005)-SUMPRODUCT((MOVIMIENTOS!$B$5:$B$1005="TRASIEGO")*(MOVIMIENTOS!$C$5:$C$1005="C")*(MOVIMIENTOS!$D$5:$D$1005="jabas")*(MOVIMIENTOS!$A$5:$A$1005&lt;&gt;"")*(MOVIMIENTOS!$A$5:$A$1005&lt;=$A37)*MOVIMIENTOS!$E$5:$E$1005)-SUMPRODUCT((MOVIMIENTOS!$B$5:$B$1005="REGALO")*(MOVIMIENTOS!$C$5:$C$1005="C")*(MOVIMIENTOS!$D$5:$D$1005="jabas")*(MOVIMIENTOS!$A$5:$A$1005&lt;&gt;"")*(MOVIMIENTOS!$A$5:$A$1005&lt;=$A37)*MOVIMIENTOS!$E$5:$E$1005)-SUMPRODUCT((MOVIMIENTOS!$B$5:$B$1005="VENTA")*(MOVIMIENTOS!$C$5:$C$1005="C")*(MOVIMIENTOS!$D$5:$D$1005="jabas")*(MOVIMIENTOS!$A$5:$A$1005&lt;&gt;"")*(MOVIMIENTOS!$A$5:$A$1005&lt;=$A37)*MOVIMIENTOS!$E$5:$E$1005)+SUMPRODUCT((MOVIMIENTOS!$B$5:$B$1005="AJUSTE")*(MOVIMIENTOS!$C$5:$C$1005="C")*(MOVIMIENTOS!$D$5:$D$1005="jabas")*(MOVIMIENTOS!$A$5:$A$1005&lt;&gt;"")*(MOVIMIENTOS!$A$5:$A$1005&lt;=$A37)*MOVIMIENTOS!$E$5:$E$1005))</f>
        <v>0</v>
      </c>
      <c r="E37" s="65">
        <f>IF($A37="","",SUMPRODUCT((MOVIMIENTOS!$B$5:$B$1005="SALDO INICIAL")*(MOVIMIENTOS!$C$5:$C$1005="M")*(MOVIMIENTOS!$D$5:$D$1005="jabas")*(MOVIMIENTOS!$A$5:$A$1005&lt;&gt;"")*(MOVIMIENTOS!$A$5:$A$1005&lt;=$A37)*MOVIMIENTOS!$E$5:$E$1005)+SUMPRODUCT((MOVIMIENTOS!$B$5:$B$1005="PROCESO")*(MOVIMIENTOS!$C$5:$C$1005="M")*(MOVIMIENTOS!$D$5:$D$1005="jabas")*(MOVIMIENTOS!$A$5:$A$1005&lt;&gt;"")*(MOVIMIENTOS!$A$5:$A$1005&lt;=$A37)*MOVIMIENTOS!$E$5:$E$1005)-SUMPRODUCT((MOVIMIENTOS!$B$5:$B$1005="ENVÍO A SUPESA")*(MOVIMIENTOS!$C$5:$C$1005="M")*(MOVIMIENTOS!$D$5:$D$1005="jabas")*(MOVIMIENTOS!$A$5:$A$1005&lt;&gt;"")*(MOVIMIENTOS!$A$5:$A$1005&lt;=$A37)*MOVIMIENTOS!$E$5:$E$1005)+SUMPRODUCT((MOVIMIENTOS!$B$5:$B$1005="DEVOLUCIÓN")*(MOVIMIENTOS!$C$5:$C$1005="M")*(MOVIMIENTOS!$D$5:$D$1005="jabas")*(MOVIMIENTOS!$A$5:$A$1005&lt;&gt;"")*(MOVIMIENTOS!$A$5:$A$1005&lt;=$A37)*MOVIMIENTOS!$E$5:$E$1005)-SUMPRODUCT((MOVIMIENTOS!$B$5:$B$1005="TRASIEGO")*(MOVIMIENTOS!$C$5:$C$1005="M")*(MOVIMIENTOS!$D$5:$D$1005="jabas")*(MOVIMIENTOS!$A$5:$A$1005&lt;&gt;"")*(MOVIMIENTOS!$A$5:$A$1005&lt;=$A37)*MOVIMIENTOS!$E$5:$E$1005)-SUMPRODUCT((MOVIMIENTOS!$B$5:$B$1005="REGALO")*(MOVIMIENTOS!$C$5:$C$1005="M")*(MOVIMIENTOS!$D$5:$D$1005="jabas")*(MOVIMIENTOS!$A$5:$A$1005&lt;&gt;"")*(MOVIMIENTOS!$A$5:$A$1005&lt;=$A37)*MOVIMIENTOS!$E$5:$E$1005)-SUMPRODUCT((MOVIMIENTOS!$B$5:$B$1005="VENTA")*(MOVIMIENTOS!$C$5:$C$1005="M")*(MOVIMIENTOS!$D$5:$D$1005="jabas")*(MOVIMIENTOS!$A$5:$A$1005&lt;&gt;"")*(MOVIMIENTOS!$A$5:$A$1005&lt;=$A37)*MOVIMIENTOS!$E$5:$E$1005)+SUMPRODUCT((MOVIMIENTOS!$B$5:$B$1005="AJUSTE")*(MOVIMIENTOS!$C$5:$C$1005="M")*(MOVIMIENTOS!$D$5:$D$1005="jabas")*(MOVIMIENTOS!$A$5:$A$1005&lt;&gt;"")*(MOVIMIENTOS!$A$5:$A$1005&lt;=$A37)*MOVIMIENTOS!$E$5:$E$1005))</f>
        <v>0</v>
      </c>
      <c r="F37" s="65">
        <f>IF($A37="","",SUMPRODUCT((MOVIMIENTOS!$B$5:$B$1005="SALDO INICIAL")*(MOVIMIENTOS!$C$5:$C$1005="Chancho")*(MOVIMIENTOS!$D$5:$D$1005="sacos")*(MOVIMIENTOS!$A$5:$A$1005&lt;&gt;"")*(MOVIMIENTOS!$A$5:$A$1005&lt;=$A37)*MOVIMIENTOS!$E$5:$E$1005)+SUMPRODUCT((MOVIMIENTOS!$B$5:$B$1005="PROCESO")*(MOVIMIENTOS!$C$5:$C$1005="Chancho")*(MOVIMIENTOS!$D$5:$D$1005="sacos")*(MOVIMIENTOS!$A$5:$A$1005&lt;&gt;"")*(MOVIMIENTOS!$A$5:$A$1005&lt;=$A37)*MOVIMIENTOS!$E$5:$E$1005)-SUMPRODUCT((MOVIMIENTOS!$B$5:$B$1005="VENTA CHANCHO")*(MOVIMIENTOS!$C$5:$C$1005="Chancho")*(MOVIMIENTOS!$D$5:$D$1005="sacos")*(MOVIMIENTOS!$A$5:$A$1005&lt;&gt;"")*(MOVIMIENTOS!$A$5:$A$1005&lt;=$A37)*MOVIMIENTOS!$E$5:$E$1005)-SUMPRODUCT((MOVIMIENTOS!$B$5:$B$1005="REGALO")*(MOVIMIENTOS!$C$5:$C$1005="Chancho")*(MOVIMIENTOS!$D$5:$D$1005="sacos")*(MOVIMIENTOS!$A$5:$A$1005&lt;&gt;"")*(MOVIMIENTOS!$A$5:$A$1005&lt;=$A37)*MOVIMIENTOS!$E$5:$E$1005)-SUMPRODUCT((MOVIMIENTOS!$B$5:$B$1005="VENTA")*(MOVIMIENTOS!$C$5:$C$1005="Chancho")*(MOVIMIENTOS!$D$5:$D$1005="sacos")*(MOVIMIENTOS!$A$5:$A$1005&lt;&gt;"")*(MOVIMIENTOS!$A$5:$A$1005&lt;=$A37)*MOVIMIENTOS!$E$5:$E$1005)+SUMPRODUCT((MOVIMIENTOS!$B$5:$B$1005="AJUSTE")*(MOVIMIENTOS!$C$5:$C$1005="Chancho")*(MOVIMIENTOS!$D$5:$D$1005="sacos")*(MOVIMIENTOS!$A$5:$A$1005&lt;&gt;"")*(MOVIMIENTOS!$A$5:$A$1005&lt;=$A37)*MOVIMIENTOS!$E$5:$E$1005))</f>
        <v>5</v>
      </c>
      <c r="G37" s="77">
        <f t="shared" si="1"/>
        <v>-1</v>
      </c>
      <c r="H37" s="65">
        <f>IF($A37="","",SUMPRODUCT((((MOVIMIENTOS!$B$5:$B$1005="SALDO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37)*MOVIMIENTOS!$J$5:$J$1005))</f>
        <v>-1727.179999999993</v>
      </c>
      <c r="I37" s="63"/>
      <c r="J37" s="63" t="str">
        <f>IF(AND(MOVIMIENTOS!$A37&lt;&gt;"",COUNTIF(MOVIMIENTOS!$A$5:$A36,MOVIMIENTOS!$A37)=0),COUNT(J$4:J36)+1,"")</f>
        <v/>
      </c>
      <c r="K37" s="66">
        <f>MOVIMIENTOS!$A37</f>
        <v>46217</v>
      </c>
      <c r="L37" s="63"/>
      <c r="M37" s="63"/>
      <c r="N37" s="63"/>
    </row>
    <row r="38" spans="1:14" ht="15" customHeight="1" x14ac:dyDescent="0.2">
      <c r="A38" s="64">
        <f t="shared" si="0"/>
        <v>46247</v>
      </c>
      <c r="B38" s="65">
        <f>IF($A38="","",SUMPRODUCT((MOVIMIENTOS!$B$5:$B$1005="SALDO INICIAL")*(MOVIMIENTOS!$C$5:$C$1005="A")*(MOVIMIENTOS!$D$5:$D$1005="jabas")*(MOVIMIENTOS!$A$5:$A$1005&lt;&gt;"")*(MOVIMIENTOS!$A$5:$A$1005&lt;=$A38)*MOVIMIENTOS!$E$5:$E$1005)+SUMPRODUCT((MOVIMIENTOS!$B$5:$B$1005="PROCESO")*(MOVIMIENTOS!$C$5:$C$1005="A")*(MOVIMIENTOS!$D$5:$D$1005="jabas")*(MOVIMIENTOS!$A$5:$A$1005&lt;&gt;"")*(MOVIMIENTOS!$A$5:$A$1005&lt;=$A38)*MOVIMIENTOS!$E$5:$E$1005)-SUMPRODUCT((MOVIMIENTOS!$B$5:$B$1005="ENVÍO A SUPESA")*(MOVIMIENTOS!$C$5:$C$1005="A")*(MOVIMIENTOS!$D$5:$D$1005="jabas")*(MOVIMIENTOS!$A$5:$A$1005&lt;&gt;"")*(MOVIMIENTOS!$A$5:$A$1005&lt;=$A38)*MOVIMIENTOS!$E$5:$E$1005)+SUMPRODUCT((MOVIMIENTOS!$B$5:$B$1005="DEVOLUCIÓN")*(MOVIMIENTOS!$C$5:$C$1005="A")*(MOVIMIENTOS!$D$5:$D$1005="jabas")*(MOVIMIENTOS!$A$5:$A$1005&lt;&gt;"")*(MOVIMIENTOS!$A$5:$A$1005&lt;=$A38)*MOVIMIENTOS!$E$5:$E$1005)-SUMPRODUCT((MOVIMIENTOS!$B$5:$B$1005="TRASIEGO")*(MOVIMIENTOS!$C$5:$C$1005="A")*(MOVIMIENTOS!$D$5:$D$1005="jabas")*(MOVIMIENTOS!$A$5:$A$1005&lt;&gt;"")*(MOVIMIENTOS!$A$5:$A$1005&lt;=$A38)*MOVIMIENTOS!$E$5:$E$1005)-SUMPRODUCT((MOVIMIENTOS!$B$5:$B$1005="REGALO")*(MOVIMIENTOS!$C$5:$C$1005="A")*(MOVIMIENTOS!$D$5:$D$1005="jabas")*(MOVIMIENTOS!$A$5:$A$1005&lt;&gt;"")*(MOVIMIENTOS!$A$5:$A$1005&lt;=$A38)*MOVIMIENTOS!$E$5:$E$1005)-SUMPRODUCT((MOVIMIENTOS!$B$5:$B$1005="VENTA")*(MOVIMIENTOS!$C$5:$C$1005="A")*(MOVIMIENTOS!$D$5:$D$1005="jabas")*(MOVIMIENTOS!$A$5:$A$1005&lt;&gt;"")*(MOVIMIENTOS!$A$5:$A$1005&lt;=$A38)*MOVIMIENTOS!$E$5:$E$1005)+SUMPRODUCT((MOVIMIENTOS!$B$5:$B$1005="AJUSTE")*(MOVIMIENTOS!$C$5:$C$1005="A")*(MOVIMIENTOS!$D$5:$D$1005="jabas")*(MOVIMIENTOS!$A$5:$A$1005&lt;&gt;"")*(MOVIMIENTOS!$A$5:$A$1005&lt;=$A38)*MOVIMIENTOS!$E$5:$E$1005))</f>
        <v>0</v>
      </c>
      <c r="C38" s="65">
        <f>IF($A38="","",SUMPRODUCT((MOVIMIENTOS!$B$5:$B$1005="SALDO INICIAL")*(MOVIMIENTOS!$C$5:$C$1005="P")*(MOVIMIENTOS!$D$5:$D$1005="jabas")*(MOVIMIENTOS!$A$5:$A$1005&lt;&gt;"")*(MOVIMIENTOS!$A$5:$A$1005&lt;=$A38)*MOVIMIENTOS!$E$5:$E$1005)+SUMPRODUCT((MOVIMIENTOS!$B$5:$B$1005="PROCESO")*(MOVIMIENTOS!$C$5:$C$1005="P")*(MOVIMIENTOS!$D$5:$D$1005="jabas")*(MOVIMIENTOS!$A$5:$A$1005&lt;&gt;"")*(MOVIMIENTOS!$A$5:$A$1005&lt;=$A38)*MOVIMIENTOS!$E$5:$E$1005)-SUMPRODUCT((MOVIMIENTOS!$B$5:$B$1005="ENVÍO A SUPESA")*(MOVIMIENTOS!$C$5:$C$1005="P")*(MOVIMIENTOS!$D$5:$D$1005="jabas")*(MOVIMIENTOS!$A$5:$A$1005&lt;&gt;"")*(MOVIMIENTOS!$A$5:$A$1005&lt;=$A38)*MOVIMIENTOS!$E$5:$E$1005)+SUMPRODUCT((MOVIMIENTOS!$B$5:$B$1005="DEVOLUCIÓN")*(MOVIMIENTOS!$C$5:$C$1005="P")*(MOVIMIENTOS!$D$5:$D$1005="jabas")*(MOVIMIENTOS!$A$5:$A$1005&lt;&gt;"")*(MOVIMIENTOS!$A$5:$A$1005&lt;=$A38)*MOVIMIENTOS!$E$5:$E$1005)-SUMPRODUCT((MOVIMIENTOS!$B$5:$B$1005="TRASIEGO")*(MOVIMIENTOS!$C$5:$C$1005="P")*(MOVIMIENTOS!$D$5:$D$1005="jabas")*(MOVIMIENTOS!$A$5:$A$1005&lt;&gt;"")*(MOVIMIENTOS!$A$5:$A$1005&lt;=$A38)*MOVIMIENTOS!$E$5:$E$1005)-SUMPRODUCT((MOVIMIENTOS!$B$5:$B$1005="REGALO")*(MOVIMIENTOS!$C$5:$C$1005="P")*(MOVIMIENTOS!$D$5:$D$1005="jabas")*(MOVIMIENTOS!$A$5:$A$1005&lt;&gt;"")*(MOVIMIENTOS!$A$5:$A$1005&lt;=$A38)*MOVIMIENTOS!$E$5:$E$1005)-SUMPRODUCT((MOVIMIENTOS!$B$5:$B$1005="VENTA")*(MOVIMIENTOS!$C$5:$C$1005="P")*(MOVIMIENTOS!$D$5:$D$1005="jabas")*(MOVIMIENTOS!$A$5:$A$1005&lt;&gt;"")*(MOVIMIENTOS!$A$5:$A$1005&lt;=$A38)*MOVIMIENTOS!$E$5:$E$1005)+SUMPRODUCT((MOVIMIENTOS!$B$5:$B$1005="AJUSTE")*(MOVIMIENTOS!$C$5:$C$1005="P")*(MOVIMIENTOS!$D$5:$D$1005="jabas")*(MOVIMIENTOS!$A$5:$A$1005&lt;&gt;"")*(MOVIMIENTOS!$A$5:$A$1005&lt;=$A38)*MOVIMIENTOS!$E$5:$E$1005))</f>
        <v>0</v>
      </c>
      <c r="D38" s="65">
        <f>IF($A38="","",SUMPRODUCT((MOVIMIENTOS!$B$5:$B$1005="SALDO INICIAL")*(MOVIMIENTOS!$C$5:$C$1005="C")*(MOVIMIENTOS!$D$5:$D$1005="jabas")*(MOVIMIENTOS!$A$5:$A$1005&lt;&gt;"")*(MOVIMIENTOS!$A$5:$A$1005&lt;=$A38)*MOVIMIENTOS!$E$5:$E$1005)+SUMPRODUCT((MOVIMIENTOS!$B$5:$B$1005="PROCESO")*(MOVIMIENTOS!$C$5:$C$1005="C")*(MOVIMIENTOS!$D$5:$D$1005="jabas")*(MOVIMIENTOS!$A$5:$A$1005&lt;&gt;"")*(MOVIMIENTOS!$A$5:$A$1005&lt;=$A38)*MOVIMIENTOS!$E$5:$E$1005)-SUMPRODUCT((MOVIMIENTOS!$B$5:$B$1005="ENVÍO A SUPESA")*(MOVIMIENTOS!$C$5:$C$1005="C")*(MOVIMIENTOS!$D$5:$D$1005="jabas")*(MOVIMIENTOS!$A$5:$A$1005&lt;&gt;"")*(MOVIMIENTOS!$A$5:$A$1005&lt;=$A38)*MOVIMIENTOS!$E$5:$E$1005)+SUMPRODUCT((MOVIMIENTOS!$B$5:$B$1005="DEVOLUCIÓN")*(MOVIMIENTOS!$C$5:$C$1005="C")*(MOVIMIENTOS!$D$5:$D$1005="jabas")*(MOVIMIENTOS!$A$5:$A$1005&lt;&gt;"")*(MOVIMIENTOS!$A$5:$A$1005&lt;=$A38)*MOVIMIENTOS!$E$5:$E$1005)-SUMPRODUCT((MOVIMIENTOS!$B$5:$B$1005="TRASIEGO")*(MOVIMIENTOS!$C$5:$C$1005="C")*(MOVIMIENTOS!$D$5:$D$1005="jabas")*(MOVIMIENTOS!$A$5:$A$1005&lt;&gt;"")*(MOVIMIENTOS!$A$5:$A$1005&lt;=$A38)*MOVIMIENTOS!$E$5:$E$1005)-SUMPRODUCT((MOVIMIENTOS!$B$5:$B$1005="REGALO")*(MOVIMIENTOS!$C$5:$C$1005="C")*(MOVIMIENTOS!$D$5:$D$1005="jabas")*(MOVIMIENTOS!$A$5:$A$1005&lt;&gt;"")*(MOVIMIENTOS!$A$5:$A$1005&lt;=$A38)*MOVIMIENTOS!$E$5:$E$1005)-SUMPRODUCT((MOVIMIENTOS!$B$5:$B$1005="VENTA")*(MOVIMIENTOS!$C$5:$C$1005="C")*(MOVIMIENTOS!$D$5:$D$1005="jabas")*(MOVIMIENTOS!$A$5:$A$1005&lt;&gt;"")*(MOVIMIENTOS!$A$5:$A$1005&lt;=$A38)*MOVIMIENTOS!$E$5:$E$1005)+SUMPRODUCT((MOVIMIENTOS!$B$5:$B$1005="AJUSTE")*(MOVIMIENTOS!$C$5:$C$1005="C")*(MOVIMIENTOS!$D$5:$D$1005="jabas")*(MOVIMIENTOS!$A$5:$A$1005&lt;&gt;"")*(MOVIMIENTOS!$A$5:$A$1005&lt;=$A38)*MOVIMIENTOS!$E$5:$E$1005))</f>
        <v>0</v>
      </c>
      <c r="E38" s="65">
        <f>IF($A38="","",SUMPRODUCT((MOVIMIENTOS!$B$5:$B$1005="SALDO INICIAL")*(MOVIMIENTOS!$C$5:$C$1005="M")*(MOVIMIENTOS!$D$5:$D$1005="jabas")*(MOVIMIENTOS!$A$5:$A$1005&lt;&gt;"")*(MOVIMIENTOS!$A$5:$A$1005&lt;=$A38)*MOVIMIENTOS!$E$5:$E$1005)+SUMPRODUCT((MOVIMIENTOS!$B$5:$B$1005="PROCESO")*(MOVIMIENTOS!$C$5:$C$1005="M")*(MOVIMIENTOS!$D$5:$D$1005="jabas")*(MOVIMIENTOS!$A$5:$A$1005&lt;&gt;"")*(MOVIMIENTOS!$A$5:$A$1005&lt;=$A38)*MOVIMIENTOS!$E$5:$E$1005)-SUMPRODUCT((MOVIMIENTOS!$B$5:$B$1005="ENVÍO A SUPESA")*(MOVIMIENTOS!$C$5:$C$1005="M")*(MOVIMIENTOS!$D$5:$D$1005="jabas")*(MOVIMIENTOS!$A$5:$A$1005&lt;&gt;"")*(MOVIMIENTOS!$A$5:$A$1005&lt;=$A38)*MOVIMIENTOS!$E$5:$E$1005)+SUMPRODUCT((MOVIMIENTOS!$B$5:$B$1005="DEVOLUCIÓN")*(MOVIMIENTOS!$C$5:$C$1005="M")*(MOVIMIENTOS!$D$5:$D$1005="jabas")*(MOVIMIENTOS!$A$5:$A$1005&lt;&gt;"")*(MOVIMIENTOS!$A$5:$A$1005&lt;=$A38)*MOVIMIENTOS!$E$5:$E$1005)-SUMPRODUCT((MOVIMIENTOS!$B$5:$B$1005="TRASIEGO")*(MOVIMIENTOS!$C$5:$C$1005="M")*(MOVIMIENTOS!$D$5:$D$1005="jabas")*(MOVIMIENTOS!$A$5:$A$1005&lt;&gt;"")*(MOVIMIENTOS!$A$5:$A$1005&lt;=$A38)*MOVIMIENTOS!$E$5:$E$1005)-SUMPRODUCT((MOVIMIENTOS!$B$5:$B$1005="REGALO")*(MOVIMIENTOS!$C$5:$C$1005="M")*(MOVIMIENTOS!$D$5:$D$1005="jabas")*(MOVIMIENTOS!$A$5:$A$1005&lt;&gt;"")*(MOVIMIENTOS!$A$5:$A$1005&lt;=$A38)*MOVIMIENTOS!$E$5:$E$1005)-SUMPRODUCT((MOVIMIENTOS!$B$5:$B$1005="VENTA")*(MOVIMIENTOS!$C$5:$C$1005="M")*(MOVIMIENTOS!$D$5:$D$1005="jabas")*(MOVIMIENTOS!$A$5:$A$1005&lt;&gt;"")*(MOVIMIENTOS!$A$5:$A$1005&lt;=$A38)*MOVIMIENTOS!$E$5:$E$1005)+SUMPRODUCT((MOVIMIENTOS!$B$5:$B$1005="AJUSTE")*(MOVIMIENTOS!$C$5:$C$1005="M")*(MOVIMIENTOS!$D$5:$D$1005="jabas")*(MOVIMIENTOS!$A$5:$A$1005&lt;&gt;"")*(MOVIMIENTOS!$A$5:$A$1005&lt;=$A38)*MOVIMIENTOS!$E$5:$E$1005))</f>
        <v>0</v>
      </c>
      <c r="F38" s="65">
        <f>IF($A38="","",SUMPRODUCT((MOVIMIENTOS!$B$5:$B$1005="SALDO INICIAL")*(MOVIMIENTOS!$C$5:$C$1005="Chancho")*(MOVIMIENTOS!$D$5:$D$1005="sacos")*(MOVIMIENTOS!$A$5:$A$1005&lt;&gt;"")*(MOVIMIENTOS!$A$5:$A$1005&lt;=$A38)*MOVIMIENTOS!$E$5:$E$1005)+SUMPRODUCT((MOVIMIENTOS!$B$5:$B$1005="PROCESO")*(MOVIMIENTOS!$C$5:$C$1005="Chancho")*(MOVIMIENTOS!$D$5:$D$1005="sacos")*(MOVIMIENTOS!$A$5:$A$1005&lt;&gt;"")*(MOVIMIENTOS!$A$5:$A$1005&lt;=$A38)*MOVIMIENTOS!$E$5:$E$1005)-SUMPRODUCT((MOVIMIENTOS!$B$5:$B$1005="VENTA CHANCHO")*(MOVIMIENTOS!$C$5:$C$1005="Chancho")*(MOVIMIENTOS!$D$5:$D$1005="sacos")*(MOVIMIENTOS!$A$5:$A$1005&lt;&gt;"")*(MOVIMIENTOS!$A$5:$A$1005&lt;=$A38)*MOVIMIENTOS!$E$5:$E$1005)-SUMPRODUCT((MOVIMIENTOS!$B$5:$B$1005="REGALO")*(MOVIMIENTOS!$C$5:$C$1005="Chancho")*(MOVIMIENTOS!$D$5:$D$1005="sacos")*(MOVIMIENTOS!$A$5:$A$1005&lt;&gt;"")*(MOVIMIENTOS!$A$5:$A$1005&lt;=$A38)*MOVIMIENTOS!$E$5:$E$1005)-SUMPRODUCT((MOVIMIENTOS!$B$5:$B$1005="VENTA")*(MOVIMIENTOS!$C$5:$C$1005="Chancho")*(MOVIMIENTOS!$D$5:$D$1005="sacos")*(MOVIMIENTOS!$A$5:$A$1005&lt;&gt;"")*(MOVIMIENTOS!$A$5:$A$1005&lt;=$A38)*MOVIMIENTOS!$E$5:$E$1005)+SUMPRODUCT((MOVIMIENTOS!$B$5:$B$1005="AJUSTE")*(MOVIMIENTOS!$C$5:$C$1005="Chancho")*(MOVIMIENTOS!$D$5:$D$1005="sacos")*(MOVIMIENTOS!$A$5:$A$1005&lt;&gt;"")*(MOVIMIENTOS!$A$5:$A$1005&lt;=$A38)*MOVIMIENTOS!$E$5:$E$1005))</f>
        <v>8</v>
      </c>
      <c r="G38" s="77">
        <f t="shared" si="1"/>
        <v>0</v>
      </c>
      <c r="H38" s="65">
        <f>IF($A38="","",SUMPRODUCT((((MOVIMIENTOS!$B$5:$B$1005="SALDO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38)*MOVIMIENTOS!$J$5:$J$1005))</f>
        <v>-1551.179999999993</v>
      </c>
      <c r="I38" s="63"/>
      <c r="J38" s="63" t="str">
        <f>IF(AND(MOVIMIENTOS!$A38&lt;&gt;"",COUNTIF(MOVIMIENTOS!$A$5:$A37,MOVIMIENTOS!$A38)=0),COUNT(J$4:J37)+1,"")</f>
        <v/>
      </c>
      <c r="K38" s="66">
        <f>MOVIMIENTOS!$A38</f>
        <v>46217</v>
      </c>
      <c r="L38" s="63"/>
      <c r="M38" s="63"/>
      <c r="N38" s="63"/>
    </row>
    <row r="39" spans="1:14" ht="15" customHeight="1" x14ac:dyDescent="0.2">
      <c r="A39" s="64">
        <f t="shared" si="0"/>
        <v>46248</v>
      </c>
      <c r="B39" s="65">
        <f>IF($A39="","",SUMPRODUCT((MOVIMIENTOS!$B$5:$B$1005="SALDO INICIAL")*(MOVIMIENTOS!$C$5:$C$1005="A")*(MOVIMIENTOS!$D$5:$D$1005="jabas")*(MOVIMIENTOS!$A$5:$A$1005&lt;&gt;"")*(MOVIMIENTOS!$A$5:$A$1005&lt;=$A39)*MOVIMIENTOS!$E$5:$E$1005)+SUMPRODUCT((MOVIMIENTOS!$B$5:$B$1005="PROCESO")*(MOVIMIENTOS!$C$5:$C$1005="A")*(MOVIMIENTOS!$D$5:$D$1005="jabas")*(MOVIMIENTOS!$A$5:$A$1005&lt;&gt;"")*(MOVIMIENTOS!$A$5:$A$1005&lt;=$A39)*MOVIMIENTOS!$E$5:$E$1005)-SUMPRODUCT((MOVIMIENTOS!$B$5:$B$1005="ENVÍO A SUPESA")*(MOVIMIENTOS!$C$5:$C$1005="A")*(MOVIMIENTOS!$D$5:$D$1005="jabas")*(MOVIMIENTOS!$A$5:$A$1005&lt;&gt;"")*(MOVIMIENTOS!$A$5:$A$1005&lt;=$A39)*MOVIMIENTOS!$E$5:$E$1005)+SUMPRODUCT((MOVIMIENTOS!$B$5:$B$1005="DEVOLUCIÓN")*(MOVIMIENTOS!$C$5:$C$1005="A")*(MOVIMIENTOS!$D$5:$D$1005="jabas")*(MOVIMIENTOS!$A$5:$A$1005&lt;&gt;"")*(MOVIMIENTOS!$A$5:$A$1005&lt;=$A39)*MOVIMIENTOS!$E$5:$E$1005)-SUMPRODUCT((MOVIMIENTOS!$B$5:$B$1005="TRASIEGO")*(MOVIMIENTOS!$C$5:$C$1005="A")*(MOVIMIENTOS!$D$5:$D$1005="jabas")*(MOVIMIENTOS!$A$5:$A$1005&lt;&gt;"")*(MOVIMIENTOS!$A$5:$A$1005&lt;=$A39)*MOVIMIENTOS!$E$5:$E$1005)-SUMPRODUCT((MOVIMIENTOS!$B$5:$B$1005="REGALO")*(MOVIMIENTOS!$C$5:$C$1005="A")*(MOVIMIENTOS!$D$5:$D$1005="jabas")*(MOVIMIENTOS!$A$5:$A$1005&lt;&gt;"")*(MOVIMIENTOS!$A$5:$A$1005&lt;=$A39)*MOVIMIENTOS!$E$5:$E$1005)-SUMPRODUCT((MOVIMIENTOS!$B$5:$B$1005="VENTA")*(MOVIMIENTOS!$C$5:$C$1005="A")*(MOVIMIENTOS!$D$5:$D$1005="jabas")*(MOVIMIENTOS!$A$5:$A$1005&lt;&gt;"")*(MOVIMIENTOS!$A$5:$A$1005&lt;=$A39)*MOVIMIENTOS!$E$5:$E$1005)+SUMPRODUCT((MOVIMIENTOS!$B$5:$B$1005="AJUSTE")*(MOVIMIENTOS!$C$5:$C$1005="A")*(MOVIMIENTOS!$D$5:$D$1005="jabas")*(MOVIMIENTOS!$A$5:$A$1005&lt;&gt;"")*(MOVIMIENTOS!$A$5:$A$1005&lt;=$A39)*MOVIMIENTOS!$E$5:$E$1005))</f>
        <v>44</v>
      </c>
      <c r="C39" s="65">
        <f>IF($A39="","",SUMPRODUCT((MOVIMIENTOS!$B$5:$B$1005="SALDO INICIAL")*(MOVIMIENTOS!$C$5:$C$1005="P")*(MOVIMIENTOS!$D$5:$D$1005="jabas")*(MOVIMIENTOS!$A$5:$A$1005&lt;&gt;"")*(MOVIMIENTOS!$A$5:$A$1005&lt;=$A39)*MOVIMIENTOS!$E$5:$E$1005)+SUMPRODUCT((MOVIMIENTOS!$B$5:$B$1005="PROCESO")*(MOVIMIENTOS!$C$5:$C$1005="P")*(MOVIMIENTOS!$D$5:$D$1005="jabas")*(MOVIMIENTOS!$A$5:$A$1005&lt;&gt;"")*(MOVIMIENTOS!$A$5:$A$1005&lt;=$A39)*MOVIMIENTOS!$E$5:$E$1005)-SUMPRODUCT((MOVIMIENTOS!$B$5:$B$1005="ENVÍO A SUPESA")*(MOVIMIENTOS!$C$5:$C$1005="P")*(MOVIMIENTOS!$D$5:$D$1005="jabas")*(MOVIMIENTOS!$A$5:$A$1005&lt;&gt;"")*(MOVIMIENTOS!$A$5:$A$1005&lt;=$A39)*MOVIMIENTOS!$E$5:$E$1005)+SUMPRODUCT((MOVIMIENTOS!$B$5:$B$1005="DEVOLUCIÓN")*(MOVIMIENTOS!$C$5:$C$1005="P")*(MOVIMIENTOS!$D$5:$D$1005="jabas")*(MOVIMIENTOS!$A$5:$A$1005&lt;&gt;"")*(MOVIMIENTOS!$A$5:$A$1005&lt;=$A39)*MOVIMIENTOS!$E$5:$E$1005)-SUMPRODUCT((MOVIMIENTOS!$B$5:$B$1005="TRASIEGO")*(MOVIMIENTOS!$C$5:$C$1005="P")*(MOVIMIENTOS!$D$5:$D$1005="jabas")*(MOVIMIENTOS!$A$5:$A$1005&lt;&gt;"")*(MOVIMIENTOS!$A$5:$A$1005&lt;=$A39)*MOVIMIENTOS!$E$5:$E$1005)-SUMPRODUCT((MOVIMIENTOS!$B$5:$B$1005="REGALO")*(MOVIMIENTOS!$C$5:$C$1005="P")*(MOVIMIENTOS!$D$5:$D$1005="jabas")*(MOVIMIENTOS!$A$5:$A$1005&lt;&gt;"")*(MOVIMIENTOS!$A$5:$A$1005&lt;=$A39)*MOVIMIENTOS!$E$5:$E$1005)-SUMPRODUCT((MOVIMIENTOS!$B$5:$B$1005="VENTA")*(MOVIMIENTOS!$C$5:$C$1005="P")*(MOVIMIENTOS!$D$5:$D$1005="jabas")*(MOVIMIENTOS!$A$5:$A$1005&lt;&gt;"")*(MOVIMIENTOS!$A$5:$A$1005&lt;=$A39)*MOVIMIENTOS!$E$5:$E$1005)+SUMPRODUCT((MOVIMIENTOS!$B$5:$B$1005="AJUSTE")*(MOVIMIENTOS!$C$5:$C$1005="P")*(MOVIMIENTOS!$D$5:$D$1005="jabas")*(MOVIMIENTOS!$A$5:$A$1005&lt;&gt;"")*(MOVIMIENTOS!$A$5:$A$1005&lt;=$A39)*MOVIMIENTOS!$E$5:$E$1005))</f>
        <v>6</v>
      </c>
      <c r="D39" s="65">
        <f>IF($A39="","",SUMPRODUCT((MOVIMIENTOS!$B$5:$B$1005="SALDO INICIAL")*(MOVIMIENTOS!$C$5:$C$1005="C")*(MOVIMIENTOS!$D$5:$D$1005="jabas")*(MOVIMIENTOS!$A$5:$A$1005&lt;&gt;"")*(MOVIMIENTOS!$A$5:$A$1005&lt;=$A39)*MOVIMIENTOS!$E$5:$E$1005)+SUMPRODUCT((MOVIMIENTOS!$B$5:$B$1005="PROCESO")*(MOVIMIENTOS!$C$5:$C$1005="C")*(MOVIMIENTOS!$D$5:$D$1005="jabas")*(MOVIMIENTOS!$A$5:$A$1005&lt;&gt;"")*(MOVIMIENTOS!$A$5:$A$1005&lt;=$A39)*MOVIMIENTOS!$E$5:$E$1005)-SUMPRODUCT((MOVIMIENTOS!$B$5:$B$1005="ENVÍO A SUPESA")*(MOVIMIENTOS!$C$5:$C$1005="C")*(MOVIMIENTOS!$D$5:$D$1005="jabas")*(MOVIMIENTOS!$A$5:$A$1005&lt;&gt;"")*(MOVIMIENTOS!$A$5:$A$1005&lt;=$A39)*MOVIMIENTOS!$E$5:$E$1005)+SUMPRODUCT((MOVIMIENTOS!$B$5:$B$1005="DEVOLUCIÓN")*(MOVIMIENTOS!$C$5:$C$1005="C")*(MOVIMIENTOS!$D$5:$D$1005="jabas")*(MOVIMIENTOS!$A$5:$A$1005&lt;&gt;"")*(MOVIMIENTOS!$A$5:$A$1005&lt;=$A39)*MOVIMIENTOS!$E$5:$E$1005)-SUMPRODUCT((MOVIMIENTOS!$B$5:$B$1005="TRASIEGO")*(MOVIMIENTOS!$C$5:$C$1005="C")*(MOVIMIENTOS!$D$5:$D$1005="jabas")*(MOVIMIENTOS!$A$5:$A$1005&lt;&gt;"")*(MOVIMIENTOS!$A$5:$A$1005&lt;=$A39)*MOVIMIENTOS!$E$5:$E$1005)-SUMPRODUCT((MOVIMIENTOS!$B$5:$B$1005="REGALO")*(MOVIMIENTOS!$C$5:$C$1005="C")*(MOVIMIENTOS!$D$5:$D$1005="jabas")*(MOVIMIENTOS!$A$5:$A$1005&lt;&gt;"")*(MOVIMIENTOS!$A$5:$A$1005&lt;=$A39)*MOVIMIENTOS!$E$5:$E$1005)-SUMPRODUCT((MOVIMIENTOS!$B$5:$B$1005="VENTA")*(MOVIMIENTOS!$C$5:$C$1005="C")*(MOVIMIENTOS!$D$5:$D$1005="jabas")*(MOVIMIENTOS!$A$5:$A$1005&lt;&gt;"")*(MOVIMIENTOS!$A$5:$A$1005&lt;=$A39)*MOVIMIENTOS!$E$5:$E$1005)+SUMPRODUCT((MOVIMIENTOS!$B$5:$B$1005="AJUSTE")*(MOVIMIENTOS!$C$5:$C$1005="C")*(MOVIMIENTOS!$D$5:$D$1005="jabas")*(MOVIMIENTOS!$A$5:$A$1005&lt;&gt;"")*(MOVIMIENTOS!$A$5:$A$1005&lt;=$A39)*MOVIMIENTOS!$E$5:$E$1005))</f>
        <v>10</v>
      </c>
      <c r="E39" s="65">
        <f>IF($A39="","",SUMPRODUCT((MOVIMIENTOS!$B$5:$B$1005="SALDO INICIAL")*(MOVIMIENTOS!$C$5:$C$1005="M")*(MOVIMIENTOS!$D$5:$D$1005="jabas")*(MOVIMIENTOS!$A$5:$A$1005&lt;&gt;"")*(MOVIMIENTOS!$A$5:$A$1005&lt;=$A39)*MOVIMIENTOS!$E$5:$E$1005)+SUMPRODUCT((MOVIMIENTOS!$B$5:$B$1005="PROCESO")*(MOVIMIENTOS!$C$5:$C$1005="M")*(MOVIMIENTOS!$D$5:$D$1005="jabas")*(MOVIMIENTOS!$A$5:$A$1005&lt;&gt;"")*(MOVIMIENTOS!$A$5:$A$1005&lt;=$A39)*MOVIMIENTOS!$E$5:$E$1005)-SUMPRODUCT((MOVIMIENTOS!$B$5:$B$1005="ENVÍO A SUPESA")*(MOVIMIENTOS!$C$5:$C$1005="M")*(MOVIMIENTOS!$D$5:$D$1005="jabas")*(MOVIMIENTOS!$A$5:$A$1005&lt;&gt;"")*(MOVIMIENTOS!$A$5:$A$1005&lt;=$A39)*MOVIMIENTOS!$E$5:$E$1005)+SUMPRODUCT((MOVIMIENTOS!$B$5:$B$1005="DEVOLUCIÓN")*(MOVIMIENTOS!$C$5:$C$1005="M")*(MOVIMIENTOS!$D$5:$D$1005="jabas")*(MOVIMIENTOS!$A$5:$A$1005&lt;&gt;"")*(MOVIMIENTOS!$A$5:$A$1005&lt;=$A39)*MOVIMIENTOS!$E$5:$E$1005)-SUMPRODUCT((MOVIMIENTOS!$B$5:$B$1005="TRASIEGO")*(MOVIMIENTOS!$C$5:$C$1005="M")*(MOVIMIENTOS!$D$5:$D$1005="jabas")*(MOVIMIENTOS!$A$5:$A$1005&lt;&gt;"")*(MOVIMIENTOS!$A$5:$A$1005&lt;=$A39)*MOVIMIENTOS!$E$5:$E$1005)-SUMPRODUCT((MOVIMIENTOS!$B$5:$B$1005="REGALO")*(MOVIMIENTOS!$C$5:$C$1005="M")*(MOVIMIENTOS!$D$5:$D$1005="jabas")*(MOVIMIENTOS!$A$5:$A$1005&lt;&gt;"")*(MOVIMIENTOS!$A$5:$A$1005&lt;=$A39)*MOVIMIENTOS!$E$5:$E$1005)-SUMPRODUCT((MOVIMIENTOS!$B$5:$B$1005="VENTA")*(MOVIMIENTOS!$C$5:$C$1005="M")*(MOVIMIENTOS!$D$5:$D$1005="jabas")*(MOVIMIENTOS!$A$5:$A$1005&lt;&gt;"")*(MOVIMIENTOS!$A$5:$A$1005&lt;=$A39)*MOVIMIENTOS!$E$5:$E$1005)+SUMPRODUCT((MOVIMIENTOS!$B$5:$B$1005="AJUSTE")*(MOVIMIENTOS!$C$5:$C$1005="M")*(MOVIMIENTOS!$D$5:$D$1005="jabas")*(MOVIMIENTOS!$A$5:$A$1005&lt;&gt;"")*(MOVIMIENTOS!$A$5:$A$1005&lt;=$A39)*MOVIMIENTOS!$E$5:$E$1005))</f>
        <v>64</v>
      </c>
      <c r="F39" s="65">
        <f>IF($A39="","",SUMPRODUCT((MOVIMIENTOS!$B$5:$B$1005="SALDO INICIAL")*(MOVIMIENTOS!$C$5:$C$1005="Chancho")*(MOVIMIENTOS!$D$5:$D$1005="sacos")*(MOVIMIENTOS!$A$5:$A$1005&lt;&gt;"")*(MOVIMIENTOS!$A$5:$A$1005&lt;=$A39)*MOVIMIENTOS!$E$5:$E$1005)+SUMPRODUCT((MOVIMIENTOS!$B$5:$B$1005="PROCESO")*(MOVIMIENTOS!$C$5:$C$1005="Chancho")*(MOVIMIENTOS!$D$5:$D$1005="sacos")*(MOVIMIENTOS!$A$5:$A$1005&lt;&gt;"")*(MOVIMIENTOS!$A$5:$A$1005&lt;=$A39)*MOVIMIENTOS!$E$5:$E$1005)-SUMPRODUCT((MOVIMIENTOS!$B$5:$B$1005="VENTA CHANCHO")*(MOVIMIENTOS!$C$5:$C$1005="Chancho")*(MOVIMIENTOS!$D$5:$D$1005="sacos")*(MOVIMIENTOS!$A$5:$A$1005&lt;&gt;"")*(MOVIMIENTOS!$A$5:$A$1005&lt;=$A39)*MOVIMIENTOS!$E$5:$E$1005)-SUMPRODUCT((MOVIMIENTOS!$B$5:$B$1005="REGALO")*(MOVIMIENTOS!$C$5:$C$1005="Chancho")*(MOVIMIENTOS!$D$5:$D$1005="sacos")*(MOVIMIENTOS!$A$5:$A$1005&lt;&gt;"")*(MOVIMIENTOS!$A$5:$A$1005&lt;=$A39)*MOVIMIENTOS!$E$5:$E$1005)-SUMPRODUCT((MOVIMIENTOS!$B$5:$B$1005="VENTA")*(MOVIMIENTOS!$C$5:$C$1005="Chancho")*(MOVIMIENTOS!$D$5:$D$1005="sacos")*(MOVIMIENTOS!$A$5:$A$1005&lt;&gt;"")*(MOVIMIENTOS!$A$5:$A$1005&lt;=$A39)*MOVIMIENTOS!$E$5:$E$1005)+SUMPRODUCT((MOVIMIENTOS!$B$5:$B$1005="AJUSTE")*(MOVIMIENTOS!$C$5:$C$1005="Chancho")*(MOVIMIENTOS!$D$5:$D$1005="sacos")*(MOVIMIENTOS!$A$5:$A$1005&lt;&gt;"")*(MOVIMIENTOS!$A$5:$A$1005&lt;=$A39)*MOVIMIENTOS!$E$5:$E$1005))</f>
        <v>7</v>
      </c>
      <c r="G39" s="77">
        <f t="shared" si="1"/>
        <v>124</v>
      </c>
      <c r="H39" s="65">
        <f>IF($A39="","",SUMPRODUCT((((MOVIMIENTOS!$B$5:$B$1005="SALDO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39)*MOVIMIENTOS!$J$5:$J$1005))</f>
        <v>661.82000000000698</v>
      </c>
      <c r="I39" s="63"/>
      <c r="J39" s="63">
        <f>IF(AND(MOVIMIENTOS!$A39&lt;&gt;"",COUNTIF(MOVIMIENTOS!$A$5:$A38,MOVIMIENTOS!$A39)=0),COUNT(J$4:J38)+1,"")</f>
        <v>6</v>
      </c>
      <c r="K39" s="66">
        <f>MOVIMIENTOS!$A39</f>
        <v>46218</v>
      </c>
      <c r="L39" s="63"/>
      <c r="M39" s="63"/>
      <c r="N39" s="63"/>
    </row>
    <row r="40" spans="1:14" ht="15" customHeight="1" x14ac:dyDescent="0.2">
      <c r="A40" s="64">
        <f t="shared" si="0"/>
        <v>46249</v>
      </c>
      <c r="B40" s="65">
        <f>IF($A40="","",SUMPRODUCT((MOVIMIENTOS!$B$5:$B$1005="SALDO INICIAL")*(MOVIMIENTOS!$C$5:$C$1005="A")*(MOVIMIENTOS!$D$5:$D$1005="jabas")*(MOVIMIENTOS!$A$5:$A$1005&lt;&gt;"")*(MOVIMIENTOS!$A$5:$A$1005&lt;=$A40)*MOVIMIENTOS!$E$5:$E$1005)+SUMPRODUCT((MOVIMIENTOS!$B$5:$B$1005="PROCESO")*(MOVIMIENTOS!$C$5:$C$1005="A")*(MOVIMIENTOS!$D$5:$D$1005="jabas")*(MOVIMIENTOS!$A$5:$A$1005&lt;&gt;"")*(MOVIMIENTOS!$A$5:$A$1005&lt;=$A40)*MOVIMIENTOS!$E$5:$E$1005)-SUMPRODUCT((MOVIMIENTOS!$B$5:$B$1005="ENVÍO A SUPESA")*(MOVIMIENTOS!$C$5:$C$1005="A")*(MOVIMIENTOS!$D$5:$D$1005="jabas")*(MOVIMIENTOS!$A$5:$A$1005&lt;&gt;"")*(MOVIMIENTOS!$A$5:$A$1005&lt;=$A40)*MOVIMIENTOS!$E$5:$E$1005)+SUMPRODUCT((MOVIMIENTOS!$B$5:$B$1005="DEVOLUCIÓN")*(MOVIMIENTOS!$C$5:$C$1005="A")*(MOVIMIENTOS!$D$5:$D$1005="jabas")*(MOVIMIENTOS!$A$5:$A$1005&lt;&gt;"")*(MOVIMIENTOS!$A$5:$A$1005&lt;=$A40)*MOVIMIENTOS!$E$5:$E$1005)-SUMPRODUCT((MOVIMIENTOS!$B$5:$B$1005="TRASIEGO")*(MOVIMIENTOS!$C$5:$C$1005="A")*(MOVIMIENTOS!$D$5:$D$1005="jabas")*(MOVIMIENTOS!$A$5:$A$1005&lt;&gt;"")*(MOVIMIENTOS!$A$5:$A$1005&lt;=$A40)*MOVIMIENTOS!$E$5:$E$1005)-SUMPRODUCT((MOVIMIENTOS!$B$5:$B$1005="REGALO")*(MOVIMIENTOS!$C$5:$C$1005="A")*(MOVIMIENTOS!$D$5:$D$1005="jabas")*(MOVIMIENTOS!$A$5:$A$1005&lt;&gt;"")*(MOVIMIENTOS!$A$5:$A$1005&lt;=$A40)*MOVIMIENTOS!$E$5:$E$1005)-SUMPRODUCT((MOVIMIENTOS!$B$5:$B$1005="VENTA")*(MOVIMIENTOS!$C$5:$C$1005="A")*(MOVIMIENTOS!$D$5:$D$1005="jabas")*(MOVIMIENTOS!$A$5:$A$1005&lt;&gt;"")*(MOVIMIENTOS!$A$5:$A$1005&lt;=$A40)*MOVIMIENTOS!$E$5:$E$1005)+SUMPRODUCT((MOVIMIENTOS!$B$5:$B$1005="AJUSTE")*(MOVIMIENTOS!$C$5:$C$1005="A")*(MOVIMIENTOS!$D$5:$D$1005="jabas")*(MOVIMIENTOS!$A$5:$A$1005&lt;&gt;"")*(MOVIMIENTOS!$A$5:$A$1005&lt;=$A40)*MOVIMIENTOS!$E$5:$E$1005))</f>
        <v>48</v>
      </c>
      <c r="C40" s="65">
        <f>IF($A40="","",SUMPRODUCT((MOVIMIENTOS!$B$5:$B$1005="SALDO INICIAL")*(MOVIMIENTOS!$C$5:$C$1005="P")*(MOVIMIENTOS!$D$5:$D$1005="jabas")*(MOVIMIENTOS!$A$5:$A$1005&lt;&gt;"")*(MOVIMIENTOS!$A$5:$A$1005&lt;=$A40)*MOVIMIENTOS!$E$5:$E$1005)+SUMPRODUCT((MOVIMIENTOS!$B$5:$B$1005="PROCESO")*(MOVIMIENTOS!$C$5:$C$1005="P")*(MOVIMIENTOS!$D$5:$D$1005="jabas")*(MOVIMIENTOS!$A$5:$A$1005&lt;&gt;"")*(MOVIMIENTOS!$A$5:$A$1005&lt;=$A40)*MOVIMIENTOS!$E$5:$E$1005)-SUMPRODUCT((MOVIMIENTOS!$B$5:$B$1005="ENVÍO A SUPESA")*(MOVIMIENTOS!$C$5:$C$1005="P")*(MOVIMIENTOS!$D$5:$D$1005="jabas")*(MOVIMIENTOS!$A$5:$A$1005&lt;&gt;"")*(MOVIMIENTOS!$A$5:$A$1005&lt;=$A40)*MOVIMIENTOS!$E$5:$E$1005)+SUMPRODUCT((MOVIMIENTOS!$B$5:$B$1005="DEVOLUCIÓN")*(MOVIMIENTOS!$C$5:$C$1005="P")*(MOVIMIENTOS!$D$5:$D$1005="jabas")*(MOVIMIENTOS!$A$5:$A$1005&lt;&gt;"")*(MOVIMIENTOS!$A$5:$A$1005&lt;=$A40)*MOVIMIENTOS!$E$5:$E$1005)-SUMPRODUCT((MOVIMIENTOS!$B$5:$B$1005="TRASIEGO")*(MOVIMIENTOS!$C$5:$C$1005="P")*(MOVIMIENTOS!$D$5:$D$1005="jabas")*(MOVIMIENTOS!$A$5:$A$1005&lt;&gt;"")*(MOVIMIENTOS!$A$5:$A$1005&lt;=$A40)*MOVIMIENTOS!$E$5:$E$1005)-SUMPRODUCT((MOVIMIENTOS!$B$5:$B$1005="REGALO")*(MOVIMIENTOS!$C$5:$C$1005="P")*(MOVIMIENTOS!$D$5:$D$1005="jabas")*(MOVIMIENTOS!$A$5:$A$1005&lt;&gt;"")*(MOVIMIENTOS!$A$5:$A$1005&lt;=$A40)*MOVIMIENTOS!$E$5:$E$1005)-SUMPRODUCT((MOVIMIENTOS!$B$5:$B$1005="VENTA")*(MOVIMIENTOS!$C$5:$C$1005="P")*(MOVIMIENTOS!$D$5:$D$1005="jabas")*(MOVIMIENTOS!$A$5:$A$1005&lt;&gt;"")*(MOVIMIENTOS!$A$5:$A$1005&lt;=$A40)*MOVIMIENTOS!$E$5:$E$1005)+SUMPRODUCT((MOVIMIENTOS!$B$5:$B$1005="AJUSTE")*(MOVIMIENTOS!$C$5:$C$1005="P")*(MOVIMIENTOS!$D$5:$D$1005="jabas")*(MOVIMIENTOS!$A$5:$A$1005&lt;&gt;"")*(MOVIMIENTOS!$A$5:$A$1005&lt;=$A40)*MOVIMIENTOS!$E$5:$E$1005))</f>
        <v>11</v>
      </c>
      <c r="D40" s="65">
        <f>IF($A40="","",SUMPRODUCT((MOVIMIENTOS!$B$5:$B$1005="SALDO INICIAL")*(MOVIMIENTOS!$C$5:$C$1005="C")*(MOVIMIENTOS!$D$5:$D$1005="jabas")*(MOVIMIENTOS!$A$5:$A$1005&lt;&gt;"")*(MOVIMIENTOS!$A$5:$A$1005&lt;=$A40)*MOVIMIENTOS!$E$5:$E$1005)+SUMPRODUCT((MOVIMIENTOS!$B$5:$B$1005="PROCESO")*(MOVIMIENTOS!$C$5:$C$1005="C")*(MOVIMIENTOS!$D$5:$D$1005="jabas")*(MOVIMIENTOS!$A$5:$A$1005&lt;&gt;"")*(MOVIMIENTOS!$A$5:$A$1005&lt;=$A40)*MOVIMIENTOS!$E$5:$E$1005)-SUMPRODUCT((MOVIMIENTOS!$B$5:$B$1005="ENVÍO A SUPESA")*(MOVIMIENTOS!$C$5:$C$1005="C")*(MOVIMIENTOS!$D$5:$D$1005="jabas")*(MOVIMIENTOS!$A$5:$A$1005&lt;&gt;"")*(MOVIMIENTOS!$A$5:$A$1005&lt;=$A40)*MOVIMIENTOS!$E$5:$E$1005)+SUMPRODUCT((MOVIMIENTOS!$B$5:$B$1005="DEVOLUCIÓN")*(MOVIMIENTOS!$C$5:$C$1005="C")*(MOVIMIENTOS!$D$5:$D$1005="jabas")*(MOVIMIENTOS!$A$5:$A$1005&lt;&gt;"")*(MOVIMIENTOS!$A$5:$A$1005&lt;=$A40)*MOVIMIENTOS!$E$5:$E$1005)-SUMPRODUCT((MOVIMIENTOS!$B$5:$B$1005="TRASIEGO")*(MOVIMIENTOS!$C$5:$C$1005="C")*(MOVIMIENTOS!$D$5:$D$1005="jabas")*(MOVIMIENTOS!$A$5:$A$1005&lt;&gt;"")*(MOVIMIENTOS!$A$5:$A$1005&lt;=$A40)*MOVIMIENTOS!$E$5:$E$1005)-SUMPRODUCT((MOVIMIENTOS!$B$5:$B$1005="REGALO")*(MOVIMIENTOS!$C$5:$C$1005="C")*(MOVIMIENTOS!$D$5:$D$1005="jabas")*(MOVIMIENTOS!$A$5:$A$1005&lt;&gt;"")*(MOVIMIENTOS!$A$5:$A$1005&lt;=$A40)*MOVIMIENTOS!$E$5:$E$1005)-SUMPRODUCT((MOVIMIENTOS!$B$5:$B$1005="VENTA")*(MOVIMIENTOS!$C$5:$C$1005="C")*(MOVIMIENTOS!$D$5:$D$1005="jabas")*(MOVIMIENTOS!$A$5:$A$1005&lt;&gt;"")*(MOVIMIENTOS!$A$5:$A$1005&lt;=$A40)*MOVIMIENTOS!$E$5:$E$1005)+SUMPRODUCT((MOVIMIENTOS!$B$5:$B$1005="AJUSTE")*(MOVIMIENTOS!$C$5:$C$1005="C")*(MOVIMIENTOS!$D$5:$D$1005="jabas")*(MOVIMIENTOS!$A$5:$A$1005&lt;&gt;"")*(MOVIMIENTOS!$A$5:$A$1005&lt;=$A40)*MOVIMIENTOS!$E$5:$E$1005))</f>
        <v>12</v>
      </c>
      <c r="E40" s="65">
        <f>IF($A40="","",SUMPRODUCT((MOVIMIENTOS!$B$5:$B$1005="SALDO INICIAL")*(MOVIMIENTOS!$C$5:$C$1005="M")*(MOVIMIENTOS!$D$5:$D$1005="jabas")*(MOVIMIENTOS!$A$5:$A$1005&lt;&gt;"")*(MOVIMIENTOS!$A$5:$A$1005&lt;=$A40)*MOVIMIENTOS!$E$5:$E$1005)+SUMPRODUCT((MOVIMIENTOS!$B$5:$B$1005="PROCESO")*(MOVIMIENTOS!$C$5:$C$1005="M")*(MOVIMIENTOS!$D$5:$D$1005="jabas")*(MOVIMIENTOS!$A$5:$A$1005&lt;&gt;"")*(MOVIMIENTOS!$A$5:$A$1005&lt;=$A40)*MOVIMIENTOS!$E$5:$E$1005)-SUMPRODUCT((MOVIMIENTOS!$B$5:$B$1005="ENVÍO A SUPESA")*(MOVIMIENTOS!$C$5:$C$1005="M")*(MOVIMIENTOS!$D$5:$D$1005="jabas")*(MOVIMIENTOS!$A$5:$A$1005&lt;&gt;"")*(MOVIMIENTOS!$A$5:$A$1005&lt;=$A40)*MOVIMIENTOS!$E$5:$E$1005)+SUMPRODUCT((MOVIMIENTOS!$B$5:$B$1005="DEVOLUCIÓN")*(MOVIMIENTOS!$C$5:$C$1005="M")*(MOVIMIENTOS!$D$5:$D$1005="jabas")*(MOVIMIENTOS!$A$5:$A$1005&lt;&gt;"")*(MOVIMIENTOS!$A$5:$A$1005&lt;=$A40)*MOVIMIENTOS!$E$5:$E$1005)-SUMPRODUCT((MOVIMIENTOS!$B$5:$B$1005="TRASIEGO")*(MOVIMIENTOS!$C$5:$C$1005="M")*(MOVIMIENTOS!$D$5:$D$1005="jabas")*(MOVIMIENTOS!$A$5:$A$1005&lt;&gt;"")*(MOVIMIENTOS!$A$5:$A$1005&lt;=$A40)*MOVIMIENTOS!$E$5:$E$1005)-SUMPRODUCT((MOVIMIENTOS!$B$5:$B$1005="REGALO")*(MOVIMIENTOS!$C$5:$C$1005="M")*(MOVIMIENTOS!$D$5:$D$1005="jabas")*(MOVIMIENTOS!$A$5:$A$1005&lt;&gt;"")*(MOVIMIENTOS!$A$5:$A$1005&lt;=$A40)*MOVIMIENTOS!$E$5:$E$1005)-SUMPRODUCT((MOVIMIENTOS!$B$5:$B$1005="VENTA")*(MOVIMIENTOS!$C$5:$C$1005="M")*(MOVIMIENTOS!$D$5:$D$1005="jabas")*(MOVIMIENTOS!$A$5:$A$1005&lt;&gt;"")*(MOVIMIENTOS!$A$5:$A$1005&lt;=$A40)*MOVIMIENTOS!$E$5:$E$1005)+SUMPRODUCT((MOVIMIENTOS!$B$5:$B$1005="AJUSTE")*(MOVIMIENTOS!$C$5:$C$1005="M")*(MOVIMIENTOS!$D$5:$D$1005="jabas")*(MOVIMIENTOS!$A$5:$A$1005&lt;&gt;"")*(MOVIMIENTOS!$A$5:$A$1005&lt;=$A40)*MOVIMIENTOS!$E$5:$E$1005))</f>
        <v>63</v>
      </c>
      <c r="F40" s="65">
        <f>IF($A40="","",SUMPRODUCT((MOVIMIENTOS!$B$5:$B$1005="SALDO INICIAL")*(MOVIMIENTOS!$C$5:$C$1005="Chancho")*(MOVIMIENTOS!$D$5:$D$1005="sacos")*(MOVIMIENTOS!$A$5:$A$1005&lt;&gt;"")*(MOVIMIENTOS!$A$5:$A$1005&lt;=$A40)*MOVIMIENTOS!$E$5:$E$1005)+SUMPRODUCT((MOVIMIENTOS!$B$5:$B$1005="PROCESO")*(MOVIMIENTOS!$C$5:$C$1005="Chancho")*(MOVIMIENTOS!$D$5:$D$1005="sacos")*(MOVIMIENTOS!$A$5:$A$1005&lt;&gt;"")*(MOVIMIENTOS!$A$5:$A$1005&lt;=$A40)*MOVIMIENTOS!$E$5:$E$1005)-SUMPRODUCT((MOVIMIENTOS!$B$5:$B$1005="VENTA CHANCHO")*(MOVIMIENTOS!$C$5:$C$1005="Chancho")*(MOVIMIENTOS!$D$5:$D$1005="sacos")*(MOVIMIENTOS!$A$5:$A$1005&lt;&gt;"")*(MOVIMIENTOS!$A$5:$A$1005&lt;=$A40)*MOVIMIENTOS!$E$5:$E$1005)-SUMPRODUCT((MOVIMIENTOS!$B$5:$B$1005="REGALO")*(MOVIMIENTOS!$C$5:$C$1005="Chancho")*(MOVIMIENTOS!$D$5:$D$1005="sacos")*(MOVIMIENTOS!$A$5:$A$1005&lt;&gt;"")*(MOVIMIENTOS!$A$5:$A$1005&lt;=$A40)*MOVIMIENTOS!$E$5:$E$1005)-SUMPRODUCT((MOVIMIENTOS!$B$5:$B$1005="VENTA")*(MOVIMIENTOS!$C$5:$C$1005="Chancho")*(MOVIMIENTOS!$D$5:$D$1005="sacos")*(MOVIMIENTOS!$A$5:$A$1005&lt;&gt;"")*(MOVIMIENTOS!$A$5:$A$1005&lt;=$A40)*MOVIMIENTOS!$E$5:$E$1005)+SUMPRODUCT((MOVIMIENTOS!$B$5:$B$1005="AJUSTE")*(MOVIMIENTOS!$C$5:$C$1005="Chancho")*(MOVIMIENTOS!$D$5:$D$1005="sacos")*(MOVIMIENTOS!$A$5:$A$1005&lt;&gt;"")*(MOVIMIENTOS!$A$5:$A$1005&lt;=$A40)*MOVIMIENTOS!$E$5:$E$1005))</f>
        <v>14.5</v>
      </c>
      <c r="G40" s="77">
        <f t="shared" si="1"/>
        <v>134</v>
      </c>
      <c r="H40" s="65">
        <f>IF($A40="","",SUMPRODUCT((((MOVIMIENTOS!$B$5:$B$1005="SALDO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40)*MOVIMIENTOS!$J$5:$J$1005))</f>
        <v>674.32000000000698</v>
      </c>
      <c r="I40" s="63"/>
      <c r="J40" s="63" t="str">
        <f>IF(AND(MOVIMIENTOS!$A40&lt;&gt;"",COUNTIF(MOVIMIENTOS!$A$5:$A39,MOVIMIENTOS!$A40)=0),COUNT(J$4:J39)+1,"")</f>
        <v/>
      </c>
      <c r="K40" s="66">
        <f>MOVIMIENTOS!$A40</f>
        <v>46218</v>
      </c>
      <c r="L40" s="63"/>
      <c r="M40" s="63"/>
      <c r="N40" s="63"/>
    </row>
    <row r="41" spans="1:14" ht="15" customHeight="1" x14ac:dyDescent="0.2">
      <c r="A41" s="64">
        <f t="shared" si="0"/>
        <v>46250</v>
      </c>
      <c r="B41" s="65">
        <f>IF($A41="","",SUMPRODUCT((MOVIMIENTOS!$B$5:$B$1005="SALDO INICIAL")*(MOVIMIENTOS!$C$5:$C$1005="A")*(MOVIMIENTOS!$D$5:$D$1005="jabas")*(MOVIMIENTOS!$A$5:$A$1005&lt;&gt;"")*(MOVIMIENTOS!$A$5:$A$1005&lt;=$A41)*MOVIMIENTOS!$E$5:$E$1005)+SUMPRODUCT((MOVIMIENTOS!$B$5:$B$1005="PROCESO")*(MOVIMIENTOS!$C$5:$C$1005="A")*(MOVIMIENTOS!$D$5:$D$1005="jabas")*(MOVIMIENTOS!$A$5:$A$1005&lt;&gt;"")*(MOVIMIENTOS!$A$5:$A$1005&lt;=$A41)*MOVIMIENTOS!$E$5:$E$1005)-SUMPRODUCT((MOVIMIENTOS!$B$5:$B$1005="ENVÍO A SUPESA")*(MOVIMIENTOS!$C$5:$C$1005="A")*(MOVIMIENTOS!$D$5:$D$1005="jabas")*(MOVIMIENTOS!$A$5:$A$1005&lt;&gt;"")*(MOVIMIENTOS!$A$5:$A$1005&lt;=$A41)*MOVIMIENTOS!$E$5:$E$1005)+SUMPRODUCT((MOVIMIENTOS!$B$5:$B$1005="DEVOLUCIÓN")*(MOVIMIENTOS!$C$5:$C$1005="A")*(MOVIMIENTOS!$D$5:$D$1005="jabas")*(MOVIMIENTOS!$A$5:$A$1005&lt;&gt;"")*(MOVIMIENTOS!$A$5:$A$1005&lt;=$A41)*MOVIMIENTOS!$E$5:$E$1005)-SUMPRODUCT((MOVIMIENTOS!$B$5:$B$1005="TRASIEGO")*(MOVIMIENTOS!$C$5:$C$1005="A")*(MOVIMIENTOS!$D$5:$D$1005="jabas")*(MOVIMIENTOS!$A$5:$A$1005&lt;&gt;"")*(MOVIMIENTOS!$A$5:$A$1005&lt;=$A41)*MOVIMIENTOS!$E$5:$E$1005)-SUMPRODUCT((MOVIMIENTOS!$B$5:$B$1005="REGALO")*(MOVIMIENTOS!$C$5:$C$1005="A")*(MOVIMIENTOS!$D$5:$D$1005="jabas")*(MOVIMIENTOS!$A$5:$A$1005&lt;&gt;"")*(MOVIMIENTOS!$A$5:$A$1005&lt;=$A41)*MOVIMIENTOS!$E$5:$E$1005)-SUMPRODUCT((MOVIMIENTOS!$B$5:$B$1005="VENTA")*(MOVIMIENTOS!$C$5:$C$1005="A")*(MOVIMIENTOS!$D$5:$D$1005="jabas")*(MOVIMIENTOS!$A$5:$A$1005&lt;&gt;"")*(MOVIMIENTOS!$A$5:$A$1005&lt;=$A41)*MOVIMIENTOS!$E$5:$E$1005)+SUMPRODUCT((MOVIMIENTOS!$B$5:$B$1005="AJUSTE")*(MOVIMIENTOS!$C$5:$C$1005="A")*(MOVIMIENTOS!$D$5:$D$1005="jabas")*(MOVIMIENTOS!$A$5:$A$1005&lt;&gt;"")*(MOVIMIENTOS!$A$5:$A$1005&lt;=$A41)*MOVIMIENTOS!$E$5:$E$1005))</f>
        <v>24</v>
      </c>
      <c r="C41" s="65">
        <f>IF($A41="","",SUMPRODUCT((MOVIMIENTOS!$B$5:$B$1005="SALDO INICIAL")*(MOVIMIENTOS!$C$5:$C$1005="P")*(MOVIMIENTOS!$D$5:$D$1005="jabas")*(MOVIMIENTOS!$A$5:$A$1005&lt;&gt;"")*(MOVIMIENTOS!$A$5:$A$1005&lt;=$A41)*MOVIMIENTOS!$E$5:$E$1005)+SUMPRODUCT((MOVIMIENTOS!$B$5:$B$1005="PROCESO")*(MOVIMIENTOS!$C$5:$C$1005="P")*(MOVIMIENTOS!$D$5:$D$1005="jabas")*(MOVIMIENTOS!$A$5:$A$1005&lt;&gt;"")*(MOVIMIENTOS!$A$5:$A$1005&lt;=$A41)*MOVIMIENTOS!$E$5:$E$1005)-SUMPRODUCT((MOVIMIENTOS!$B$5:$B$1005="ENVÍO A SUPESA")*(MOVIMIENTOS!$C$5:$C$1005="P")*(MOVIMIENTOS!$D$5:$D$1005="jabas")*(MOVIMIENTOS!$A$5:$A$1005&lt;&gt;"")*(MOVIMIENTOS!$A$5:$A$1005&lt;=$A41)*MOVIMIENTOS!$E$5:$E$1005)+SUMPRODUCT((MOVIMIENTOS!$B$5:$B$1005="DEVOLUCIÓN")*(MOVIMIENTOS!$C$5:$C$1005="P")*(MOVIMIENTOS!$D$5:$D$1005="jabas")*(MOVIMIENTOS!$A$5:$A$1005&lt;&gt;"")*(MOVIMIENTOS!$A$5:$A$1005&lt;=$A41)*MOVIMIENTOS!$E$5:$E$1005)-SUMPRODUCT((MOVIMIENTOS!$B$5:$B$1005="TRASIEGO")*(MOVIMIENTOS!$C$5:$C$1005="P")*(MOVIMIENTOS!$D$5:$D$1005="jabas")*(MOVIMIENTOS!$A$5:$A$1005&lt;&gt;"")*(MOVIMIENTOS!$A$5:$A$1005&lt;=$A41)*MOVIMIENTOS!$E$5:$E$1005)-SUMPRODUCT((MOVIMIENTOS!$B$5:$B$1005="REGALO")*(MOVIMIENTOS!$C$5:$C$1005="P")*(MOVIMIENTOS!$D$5:$D$1005="jabas")*(MOVIMIENTOS!$A$5:$A$1005&lt;&gt;"")*(MOVIMIENTOS!$A$5:$A$1005&lt;=$A41)*MOVIMIENTOS!$E$5:$E$1005)-SUMPRODUCT((MOVIMIENTOS!$B$5:$B$1005="VENTA")*(MOVIMIENTOS!$C$5:$C$1005="P")*(MOVIMIENTOS!$D$5:$D$1005="jabas")*(MOVIMIENTOS!$A$5:$A$1005&lt;&gt;"")*(MOVIMIENTOS!$A$5:$A$1005&lt;=$A41)*MOVIMIENTOS!$E$5:$E$1005)+SUMPRODUCT((MOVIMIENTOS!$B$5:$B$1005="AJUSTE")*(MOVIMIENTOS!$C$5:$C$1005="P")*(MOVIMIENTOS!$D$5:$D$1005="jabas")*(MOVIMIENTOS!$A$5:$A$1005&lt;&gt;"")*(MOVIMIENTOS!$A$5:$A$1005&lt;=$A41)*MOVIMIENTOS!$E$5:$E$1005))</f>
        <v>0</v>
      </c>
      <c r="D41" s="65">
        <f>IF($A41="","",SUMPRODUCT((MOVIMIENTOS!$B$5:$B$1005="SALDO INICIAL")*(MOVIMIENTOS!$C$5:$C$1005="C")*(MOVIMIENTOS!$D$5:$D$1005="jabas")*(MOVIMIENTOS!$A$5:$A$1005&lt;&gt;"")*(MOVIMIENTOS!$A$5:$A$1005&lt;=$A41)*MOVIMIENTOS!$E$5:$E$1005)+SUMPRODUCT((MOVIMIENTOS!$B$5:$B$1005="PROCESO")*(MOVIMIENTOS!$C$5:$C$1005="C")*(MOVIMIENTOS!$D$5:$D$1005="jabas")*(MOVIMIENTOS!$A$5:$A$1005&lt;&gt;"")*(MOVIMIENTOS!$A$5:$A$1005&lt;=$A41)*MOVIMIENTOS!$E$5:$E$1005)-SUMPRODUCT((MOVIMIENTOS!$B$5:$B$1005="ENVÍO A SUPESA")*(MOVIMIENTOS!$C$5:$C$1005="C")*(MOVIMIENTOS!$D$5:$D$1005="jabas")*(MOVIMIENTOS!$A$5:$A$1005&lt;&gt;"")*(MOVIMIENTOS!$A$5:$A$1005&lt;=$A41)*MOVIMIENTOS!$E$5:$E$1005)+SUMPRODUCT((MOVIMIENTOS!$B$5:$B$1005="DEVOLUCIÓN")*(MOVIMIENTOS!$C$5:$C$1005="C")*(MOVIMIENTOS!$D$5:$D$1005="jabas")*(MOVIMIENTOS!$A$5:$A$1005&lt;&gt;"")*(MOVIMIENTOS!$A$5:$A$1005&lt;=$A41)*MOVIMIENTOS!$E$5:$E$1005)-SUMPRODUCT((MOVIMIENTOS!$B$5:$B$1005="TRASIEGO")*(MOVIMIENTOS!$C$5:$C$1005="C")*(MOVIMIENTOS!$D$5:$D$1005="jabas")*(MOVIMIENTOS!$A$5:$A$1005&lt;&gt;"")*(MOVIMIENTOS!$A$5:$A$1005&lt;=$A41)*MOVIMIENTOS!$E$5:$E$1005)-SUMPRODUCT((MOVIMIENTOS!$B$5:$B$1005="REGALO")*(MOVIMIENTOS!$C$5:$C$1005="C")*(MOVIMIENTOS!$D$5:$D$1005="jabas")*(MOVIMIENTOS!$A$5:$A$1005&lt;&gt;"")*(MOVIMIENTOS!$A$5:$A$1005&lt;=$A41)*MOVIMIENTOS!$E$5:$E$1005)-SUMPRODUCT((MOVIMIENTOS!$B$5:$B$1005="VENTA")*(MOVIMIENTOS!$C$5:$C$1005="C")*(MOVIMIENTOS!$D$5:$D$1005="jabas")*(MOVIMIENTOS!$A$5:$A$1005&lt;&gt;"")*(MOVIMIENTOS!$A$5:$A$1005&lt;=$A41)*MOVIMIENTOS!$E$5:$E$1005)+SUMPRODUCT((MOVIMIENTOS!$B$5:$B$1005="AJUSTE")*(MOVIMIENTOS!$C$5:$C$1005="C")*(MOVIMIENTOS!$D$5:$D$1005="jabas")*(MOVIMIENTOS!$A$5:$A$1005&lt;&gt;"")*(MOVIMIENTOS!$A$5:$A$1005&lt;=$A41)*MOVIMIENTOS!$E$5:$E$1005))</f>
        <v>0</v>
      </c>
      <c r="E41" s="65">
        <f>IF($A41="","",SUMPRODUCT((MOVIMIENTOS!$B$5:$B$1005="SALDO INICIAL")*(MOVIMIENTOS!$C$5:$C$1005="M")*(MOVIMIENTOS!$D$5:$D$1005="jabas")*(MOVIMIENTOS!$A$5:$A$1005&lt;&gt;"")*(MOVIMIENTOS!$A$5:$A$1005&lt;=$A41)*MOVIMIENTOS!$E$5:$E$1005)+SUMPRODUCT((MOVIMIENTOS!$B$5:$B$1005="PROCESO")*(MOVIMIENTOS!$C$5:$C$1005="M")*(MOVIMIENTOS!$D$5:$D$1005="jabas")*(MOVIMIENTOS!$A$5:$A$1005&lt;&gt;"")*(MOVIMIENTOS!$A$5:$A$1005&lt;=$A41)*MOVIMIENTOS!$E$5:$E$1005)-SUMPRODUCT((MOVIMIENTOS!$B$5:$B$1005="ENVÍO A SUPESA")*(MOVIMIENTOS!$C$5:$C$1005="M")*(MOVIMIENTOS!$D$5:$D$1005="jabas")*(MOVIMIENTOS!$A$5:$A$1005&lt;&gt;"")*(MOVIMIENTOS!$A$5:$A$1005&lt;=$A41)*MOVIMIENTOS!$E$5:$E$1005)+SUMPRODUCT((MOVIMIENTOS!$B$5:$B$1005="DEVOLUCIÓN")*(MOVIMIENTOS!$C$5:$C$1005="M")*(MOVIMIENTOS!$D$5:$D$1005="jabas")*(MOVIMIENTOS!$A$5:$A$1005&lt;&gt;"")*(MOVIMIENTOS!$A$5:$A$1005&lt;=$A41)*MOVIMIENTOS!$E$5:$E$1005)-SUMPRODUCT((MOVIMIENTOS!$B$5:$B$1005="TRASIEGO")*(MOVIMIENTOS!$C$5:$C$1005="M")*(MOVIMIENTOS!$D$5:$D$1005="jabas")*(MOVIMIENTOS!$A$5:$A$1005&lt;&gt;"")*(MOVIMIENTOS!$A$5:$A$1005&lt;=$A41)*MOVIMIENTOS!$E$5:$E$1005)-SUMPRODUCT((MOVIMIENTOS!$B$5:$B$1005="REGALO")*(MOVIMIENTOS!$C$5:$C$1005="M")*(MOVIMIENTOS!$D$5:$D$1005="jabas")*(MOVIMIENTOS!$A$5:$A$1005&lt;&gt;"")*(MOVIMIENTOS!$A$5:$A$1005&lt;=$A41)*MOVIMIENTOS!$E$5:$E$1005)-SUMPRODUCT((MOVIMIENTOS!$B$5:$B$1005="VENTA")*(MOVIMIENTOS!$C$5:$C$1005="M")*(MOVIMIENTOS!$D$5:$D$1005="jabas")*(MOVIMIENTOS!$A$5:$A$1005&lt;&gt;"")*(MOVIMIENTOS!$A$5:$A$1005&lt;=$A41)*MOVIMIENTOS!$E$5:$E$1005)+SUMPRODUCT((MOVIMIENTOS!$B$5:$B$1005="AJUSTE")*(MOVIMIENTOS!$C$5:$C$1005="M")*(MOVIMIENTOS!$D$5:$D$1005="jabas")*(MOVIMIENTOS!$A$5:$A$1005&lt;&gt;"")*(MOVIMIENTOS!$A$5:$A$1005&lt;=$A41)*MOVIMIENTOS!$E$5:$E$1005))</f>
        <v>40</v>
      </c>
      <c r="F41" s="65">
        <f>IF($A41="","",SUMPRODUCT((MOVIMIENTOS!$B$5:$B$1005="SALDO INICIAL")*(MOVIMIENTOS!$C$5:$C$1005="Chancho")*(MOVIMIENTOS!$D$5:$D$1005="sacos")*(MOVIMIENTOS!$A$5:$A$1005&lt;&gt;"")*(MOVIMIENTOS!$A$5:$A$1005&lt;=$A41)*MOVIMIENTOS!$E$5:$E$1005)+SUMPRODUCT((MOVIMIENTOS!$B$5:$B$1005="PROCESO")*(MOVIMIENTOS!$C$5:$C$1005="Chancho")*(MOVIMIENTOS!$D$5:$D$1005="sacos")*(MOVIMIENTOS!$A$5:$A$1005&lt;&gt;"")*(MOVIMIENTOS!$A$5:$A$1005&lt;=$A41)*MOVIMIENTOS!$E$5:$E$1005)-SUMPRODUCT((MOVIMIENTOS!$B$5:$B$1005="VENTA CHANCHO")*(MOVIMIENTOS!$C$5:$C$1005="Chancho")*(MOVIMIENTOS!$D$5:$D$1005="sacos")*(MOVIMIENTOS!$A$5:$A$1005&lt;&gt;"")*(MOVIMIENTOS!$A$5:$A$1005&lt;=$A41)*MOVIMIENTOS!$E$5:$E$1005)-SUMPRODUCT((MOVIMIENTOS!$B$5:$B$1005="REGALO")*(MOVIMIENTOS!$C$5:$C$1005="Chancho")*(MOVIMIENTOS!$D$5:$D$1005="sacos")*(MOVIMIENTOS!$A$5:$A$1005&lt;&gt;"")*(MOVIMIENTOS!$A$5:$A$1005&lt;=$A41)*MOVIMIENTOS!$E$5:$E$1005)-SUMPRODUCT((MOVIMIENTOS!$B$5:$B$1005="VENTA")*(MOVIMIENTOS!$C$5:$C$1005="Chancho")*(MOVIMIENTOS!$D$5:$D$1005="sacos")*(MOVIMIENTOS!$A$5:$A$1005&lt;&gt;"")*(MOVIMIENTOS!$A$5:$A$1005&lt;=$A41)*MOVIMIENTOS!$E$5:$E$1005)+SUMPRODUCT((MOVIMIENTOS!$B$5:$B$1005="AJUSTE")*(MOVIMIENTOS!$C$5:$C$1005="Chancho")*(MOVIMIENTOS!$D$5:$D$1005="sacos")*(MOVIMIENTOS!$A$5:$A$1005&lt;&gt;"")*(MOVIMIENTOS!$A$5:$A$1005&lt;=$A41)*MOVIMIENTOS!$E$5:$E$1005))</f>
        <v>14.5</v>
      </c>
      <c r="G41" s="77">
        <f t="shared" si="1"/>
        <v>64</v>
      </c>
      <c r="H41" s="65">
        <f>IF($A41="","",SUMPRODUCT((((MOVIMIENTOS!$B$5:$B$1005="SALDO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41)*MOVIMIENTOS!$J$5:$J$1005))</f>
        <v>-439.17999999999302</v>
      </c>
      <c r="I41" s="63"/>
      <c r="J41" s="63" t="str">
        <f>IF(AND(MOVIMIENTOS!$A41&lt;&gt;"",COUNTIF(MOVIMIENTOS!$A$5:$A40,MOVIMIENTOS!$A41)=0),COUNT(J$4:J40)+1,"")</f>
        <v/>
      </c>
      <c r="K41" s="66">
        <f>MOVIMIENTOS!$A41</f>
        <v>46218</v>
      </c>
      <c r="L41" s="63"/>
      <c r="M41" s="63"/>
      <c r="N41" s="63"/>
    </row>
    <row r="42" spans="1:14" ht="15" customHeight="1" x14ac:dyDescent="0.2">
      <c r="A42" s="64">
        <f t="shared" si="0"/>
        <v>46251</v>
      </c>
      <c r="B42" s="65">
        <f>IF($A42="","",SUMPRODUCT((MOVIMIENTOS!$B$5:$B$1005="SALDO INICIAL")*(MOVIMIENTOS!$C$5:$C$1005="A")*(MOVIMIENTOS!$D$5:$D$1005="jabas")*(MOVIMIENTOS!$A$5:$A$1005&lt;&gt;"")*(MOVIMIENTOS!$A$5:$A$1005&lt;=$A42)*MOVIMIENTOS!$E$5:$E$1005)+SUMPRODUCT((MOVIMIENTOS!$B$5:$B$1005="PROCESO")*(MOVIMIENTOS!$C$5:$C$1005="A")*(MOVIMIENTOS!$D$5:$D$1005="jabas")*(MOVIMIENTOS!$A$5:$A$1005&lt;&gt;"")*(MOVIMIENTOS!$A$5:$A$1005&lt;=$A42)*MOVIMIENTOS!$E$5:$E$1005)-SUMPRODUCT((MOVIMIENTOS!$B$5:$B$1005="ENVÍO A SUPESA")*(MOVIMIENTOS!$C$5:$C$1005="A")*(MOVIMIENTOS!$D$5:$D$1005="jabas")*(MOVIMIENTOS!$A$5:$A$1005&lt;&gt;"")*(MOVIMIENTOS!$A$5:$A$1005&lt;=$A42)*MOVIMIENTOS!$E$5:$E$1005)+SUMPRODUCT((MOVIMIENTOS!$B$5:$B$1005="DEVOLUCIÓN")*(MOVIMIENTOS!$C$5:$C$1005="A")*(MOVIMIENTOS!$D$5:$D$1005="jabas")*(MOVIMIENTOS!$A$5:$A$1005&lt;&gt;"")*(MOVIMIENTOS!$A$5:$A$1005&lt;=$A42)*MOVIMIENTOS!$E$5:$E$1005)-SUMPRODUCT((MOVIMIENTOS!$B$5:$B$1005="TRASIEGO")*(MOVIMIENTOS!$C$5:$C$1005="A")*(MOVIMIENTOS!$D$5:$D$1005="jabas")*(MOVIMIENTOS!$A$5:$A$1005&lt;&gt;"")*(MOVIMIENTOS!$A$5:$A$1005&lt;=$A42)*MOVIMIENTOS!$E$5:$E$1005)-SUMPRODUCT((MOVIMIENTOS!$B$5:$B$1005="REGALO")*(MOVIMIENTOS!$C$5:$C$1005="A")*(MOVIMIENTOS!$D$5:$D$1005="jabas")*(MOVIMIENTOS!$A$5:$A$1005&lt;&gt;"")*(MOVIMIENTOS!$A$5:$A$1005&lt;=$A42)*MOVIMIENTOS!$E$5:$E$1005)-SUMPRODUCT((MOVIMIENTOS!$B$5:$B$1005="VENTA")*(MOVIMIENTOS!$C$5:$C$1005="A")*(MOVIMIENTOS!$D$5:$D$1005="jabas")*(MOVIMIENTOS!$A$5:$A$1005&lt;&gt;"")*(MOVIMIENTOS!$A$5:$A$1005&lt;=$A42)*MOVIMIENTOS!$E$5:$E$1005)+SUMPRODUCT((MOVIMIENTOS!$B$5:$B$1005="AJUSTE")*(MOVIMIENTOS!$C$5:$C$1005="A")*(MOVIMIENTOS!$D$5:$D$1005="jabas")*(MOVIMIENTOS!$A$5:$A$1005&lt;&gt;"")*(MOVIMIENTOS!$A$5:$A$1005&lt;=$A42)*MOVIMIENTOS!$E$5:$E$1005))</f>
        <v>0</v>
      </c>
      <c r="C42" s="65">
        <f>IF($A42="","",SUMPRODUCT((MOVIMIENTOS!$B$5:$B$1005="SALDO INICIAL")*(MOVIMIENTOS!$C$5:$C$1005="P")*(MOVIMIENTOS!$D$5:$D$1005="jabas")*(MOVIMIENTOS!$A$5:$A$1005&lt;&gt;"")*(MOVIMIENTOS!$A$5:$A$1005&lt;=$A42)*MOVIMIENTOS!$E$5:$E$1005)+SUMPRODUCT((MOVIMIENTOS!$B$5:$B$1005="PROCESO")*(MOVIMIENTOS!$C$5:$C$1005="P")*(MOVIMIENTOS!$D$5:$D$1005="jabas")*(MOVIMIENTOS!$A$5:$A$1005&lt;&gt;"")*(MOVIMIENTOS!$A$5:$A$1005&lt;=$A42)*MOVIMIENTOS!$E$5:$E$1005)-SUMPRODUCT((MOVIMIENTOS!$B$5:$B$1005="ENVÍO A SUPESA")*(MOVIMIENTOS!$C$5:$C$1005="P")*(MOVIMIENTOS!$D$5:$D$1005="jabas")*(MOVIMIENTOS!$A$5:$A$1005&lt;&gt;"")*(MOVIMIENTOS!$A$5:$A$1005&lt;=$A42)*MOVIMIENTOS!$E$5:$E$1005)+SUMPRODUCT((MOVIMIENTOS!$B$5:$B$1005="DEVOLUCIÓN")*(MOVIMIENTOS!$C$5:$C$1005="P")*(MOVIMIENTOS!$D$5:$D$1005="jabas")*(MOVIMIENTOS!$A$5:$A$1005&lt;&gt;"")*(MOVIMIENTOS!$A$5:$A$1005&lt;=$A42)*MOVIMIENTOS!$E$5:$E$1005)-SUMPRODUCT((MOVIMIENTOS!$B$5:$B$1005="TRASIEGO")*(MOVIMIENTOS!$C$5:$C$1005="P")*(MOVIMIENTOS!$D$5:$D$1005="jabas")*(MOVIMIENTOS!$A$5:$A$1005&lt;&gt;"")*(MOVIMIENTOS!$A$5:$A$1005&lt;=$A42)*MOVIMIENTOS!$E$5:$E$1005)-SUMPRODUCT((MOVIMIENTOS!$B$5:$B$1005="REGALO")*(MOVIMIENTOS!$C$5:$C$1005="P")*(MOVIMIENTOS!$D$5:$D$1005="jabas")*(MOVIMIENTOS!$A$5:$A$1005&lt;&gt;"")*(MOVIMIENTOS!$A$5:$A$1005&lt;=$A42)*MOVIMIENTOS!$E$5:$E$1005)-SUMPRODUCT((MOVIMIENTOS!$B$5:$B$1005="VENTA")*(MOVIMIENTOS!$C$5:$C$1005="P")*(MOVIMIENTOS!$D$5:$D$1005="jabas")*(MOVIMIENTOS!$A$5:$A$1005&lt;&gt;"")*(MOVIMIENTOS!$A$5:$A$1005&lt;=$A42)*MOVIMIENTOS!$E$5:$E$1005)+SUMPRODUCT((MOVIMIENTOS!$B$5:$B$1005="AJUSTE")*(MOVIMIENTOS!$C$5:$C$1005="P")*(MOVIMIENTOS!$D$5:$D$1005="jabas")*(MOVIMIENTOS!$A$5:$A$1005&lt;&gt;"")*(MOVIMIENTOS!$A$5:$A$1005&lt;=$A42)*MOVIMIENTOS!$E$5:$E$1005))</f>
        <v>0</v>
      </c>
      <c r="D42" s="65">
        <f>IF($A42="","",SUMPRODUCT((MOVIMIENTOS!$B$5:$B$1005="SALDO INICIAL")*(MOVIMIENTOS!$C$5:$C$1005="C")*(MOVIMIENTOS!$D$5:$D$1005="jabas")*(MOVIMIENTOS!$A$5:$A$1005&lt;&gt;"")*(MOVIMIENTOS!$A$5:$A$1005&lt;=$A42)*MOVIMIENTOS!$E$5:$E$1005)+SUMPRODUCT((MOVIMIENTOS!$B$5:$B$1005="PROCESO")*(MOVIMIENTOS!$C$5:$C$1005="C")*(MOVIMIENTOS!$D$5:$D$1005="jabas")*(MOVIMIENTOS!$A$5:$A$1005&lt;&gt;"")*(MOVIMIENTOS!$A$5:$A$1005&lt;=$A42)*MOVIMIENTOS!$E$5:$E$1005)-SUMPRODUCT((MOVIMIENTOS!$B$5:$B$1005="ENVÍO A SUPESA")*(MOVIMIENTOS!$C$5:$C$1005="C")*(MOVIMIENTOS!$D$5:$D$1005="jabas")*(MOVIMIENTOS!$A$5:$A$1005&lt;&gt;"")*(MOVIMIENTOS!$A$5:$A$1005&lt;=$A42)*MOVIMIENTOS!$E$5:$E$1005)+SUMPRODUCT((MOVIMIENTOS!$B$5:$B$1005="DEVOLUCIÓN")*(MOVIMIENTOS!$C$5:$C$1005="C")*(MOVIMIENTOS!$D$5:$D$1005="jabas")*(MOVIMIENTOS!$A$5:$A$1005&lt;&gt;"")*(MOVIMIENTOS!$A$5:$A$1005&lt;=$A42)*MOVIMIENTOS!$E$5:$E$1005)-SUMPRODUCT((MOVIMIENTOS!$B$5:$B$1005="TRASIEGO")*(MOVIMIENTOS!$C$5:$C$1005="C")*(MOVIMIENTOS!$D$5:$D$1005="jabas")*(MOVIMIENTOS!$A$5:$A$1005&lt;&gt;"")*(MOVIMIENTOS!$A$5:$A$1005&lt;=$A42)*MOVIMIENTOS!$E$5:$E$1005)-SUMPRODUCT((MOVIMIENTOS!$B$5:$B$1005="REGALO")*(MOVIMIENTOS!$C$5:$C$1005="C")*(MOVIMIENTOS!$D$5:$D$1005="jabas")*(MOVIMIENTOS!$A$5:$A$1005&lt;&gt;"")*(MOVIMIENTOS!$A$5:$A$1005&lt;=$A42)*MOVIMIENTOS!$E$5:$E$1005)-SUMPRODUCT((MOVIMIENTOS!$B$5:$B$1005="VENTA")*(MOVIMIENTOS!$C$5:$C$1005="C")*(MOVIMIENTOS!$D$5:$D$1005="jabas")*(MOVIMIENTOS!$A$5:$A$1005&lt;&gt;"")*(MOVIMIENTOS!$A$5:$A$1005&lt;=$A42)*MOVIMIENTOS!$E$5:$E$1005)+SUMPRODUCT((MOVIMIENTOS!$B$5:$B$1005="AJUSTE")*(MOVIMIENTOS!$C$5:$C$1005="C")*(MOVIMIENTOS!$D$5:$D$1005="jabas")*(MOVIMIENTOS!$A$5:$A$1005&lt;&gt;"")*(MOVIMIENTOS!$A$5:$A$1005&lt;=$A42)*MOVIMIENTOS!$E$5:$E$1005))</f>
        <v>0</v>
      </c>
      <c r="E42" s="65">
        <f>IF($A42="","",SUMPRODUCT((MOVIMIENTOS!$B$5:$B$1005="SALDO INICIAL")*(MOVIMIENTOS!$C$5:$C$1005="M")*(MOVIMIENTOS!$D$5:$D$1005="jabas")*(MOVIMIENTOS!$A$5:$A$1005&lt;&gt;"")*(MOVIMIENTOS!$A$5:$A$1005&lt;=$A42)*MOVIMIENTOS!$E$5:$E$1005)+SUMPRODUCT((MOVIMIENTOS!$B$5:$B$1005="PROCESO")*(MOVIMIENTOS!$C$5:$C$1005="M")*(MOVIMIENTOS!$D$5:$D$1005="jabas")*(MOVIMIENTOS!$A$5:$A$1005&lt;&gt;"")*(MOVIMIENTOS!$A$5:$A$1005&lt;=$A42)*MOVIMIENTOS!$E$5:$E$1005)-SUMPRODUCT((MOVIMIENTOS!$B$5:$B$1005="ENVÍO A SUPESA")*(MOVIMIENTOS!$C$5:$C$1005="M")*(MOVIMIENTOS!$D$5:$D$1005="jabas")*(MOVIMIENTOS!$A$5:$A$1005&lt;&gt;"")*(MOVIMIENTOS!$A$5:$A$1005&lt;=$A42)*MOVIMIENTOS!$E$5:$E$1005)+SUMPRODUCT((MOVIMIENTOS!$B$5:$B$1005="DEVOLUCIÓN")*(MOVIMIENTOS!$C$5:$C$1005="M")*(MOVIMIENTOS!$D$5:$D$1005="jabas")*(MOVIMIENTOS!$A$5:$A$1005&lt;&gt;"")*(MOVIMIENTOS!$A$5:$A$1005&lt;=$A42)*MOVIMIENTOS!$E$5:$E$1005)-SUMPRODUCT((MOVIMIENTOS!$B$5:$B$1005="TRASIEGO")*(MOVIMIENTOS!$C$5:$C$1005="M")*(MOVIMIENTOS!$D$5:$D$1005="jabas")*(MOVIMIENTOS!$A$5:$A$1005&lt;&gt;"")*(MOVIMIENTOS!$A$5:$A$1005&lt;=$A42)*MOVIMIENTOS!$E$5:$E$1005)-SUMPRODUCT((MOVIMIENTOS!$B$5:$B$1005="REGALO")*(MOVIMIENTOS!$C$5:$C$1005="M")*(MOVIMIENTOS!$D$5:$D$1005="jabas")*(MOVIMIENTOS!$A$5:$A$1005&lt;&gt;"")*(MOVIMIENTOS!$A$5:$A$1005&lt;=$A42)*MOVIMIENTOS!$E$5:$E$1005)-SUMPRODUCT((MOVIMIENTOS!$B$5:$B$1005="VENTA")*(MOVIMIENTOS!$C$5:$C$1005="M")*(MOVIMIENTOS!$D$5:$D$1005="jabas")*(MOVIMIENTOS!$A$5:$A$1005&lt;&gt;"")*(MOVIMIENTOS!$A$5:$A$1005&lt;=$A42)*MOVIMIENTOS!$E$5:$E$1005)+SUMPRODUCT((MOVIMIENTOS!$B$5:$B$1005="AJUSTE")*(MOVIMIENTOS!$C$5:$C$1005="M")*(MOVIMIENTOS!$D$5:$D$1005="jabas")*(MOVIMIENTOS!$A$5:$A$1005&lt;&gt;"")*(MOVIMIENTOS!$A$5:$A$1005&lt;=$A42)*MOVIMIENTOS!$E$5:$E$1005))</f>
        <v>0</v>
      </c>
      <c r="F42" s="65">
        <f>IF($A42="","",SUMPRODUCT((MOVIMIENTOS!$B$5:$B$1005="SALDO INICIAL")*(MOVIMIENTOS!$C$5:$C$1005="Chancho")*(MOVIMIENTOS!$D$5:$D$1005="sacos")*(MOVIMIENTOS!$A$5:$A$1005&lt;&gt;"")*(MOVIMIENTOS!$A$5:$A$1005&lt;=$A42)*MOVIMIENTOS!$E$5:$E$1005)+SUMPRODUCT((MOVIMIENTOS!$B$5:$B$1005="PROCESO")*(MOVIMIENTOS!$C$5:$C$1005="Chancho")*(MOVIMIENTOS!$D$5:$D$1005="sacos")*(MOVIMIENTOS!$A$5:$A$1005&lt;&gt;"")*(MOVIMIENTOS!$A$5:$A$1005&lt;=$A42)*MOVIMIENTOS!$E$5:$E$1005)-SUMPRODUCT((MOVIMIENTOS!$B$5:$B$1005="VENTA CHANCHO")*(MOVIMIENTOS!$C$5:$C$1005="Chancho")*(MOVIMIENTOS!$D$5:$D$1005="sacos")*(MOVIMIENTOS!$A$5:$A$1005&lt;&gt;"")*(MOVIMIENTOS!$A$5:$A$1005&lt;=$A42)*MOVIMIENTOS!$E$5:$E$1005)-SUMPRODUCT((MOVIMIENTOS!$B$5:$B$1005="REGALO")*(MOVIMIENTOS!$C$5:$C$1005="Chancho")*(MOVIMIENTOS!$D$5:$D$1005="sacos")*(MOVIMIENTOS!$A$5:$A$1005&lt;&gt;"")*(MOVIMIENTOS!$A$5:$A$1005&lt;=$A42)*MOVIMIENTOS!$E$5:$E$1005)-SUMPRODUCT((MOVIMIENTOS!$B$5:$B$1005="VENTA")*(MOVIMIENTOS!$C$5:$C$1005="Chancho")*(MOVIMIENTOS!$D$5:$D$1005="sacos")*(MOVIMIENTOS!$A$5:$A$1005&lt;&gt;"")*(MOVIMIENTOS!$A$5:$A$1005&lt;=$A42)*MOVIMIENTOS!$E$5:$E$1005)+SUMPRODUCT((MOVIMIENTOS!$B$5:$B$1005="AJUSTE")*(MOVIMIENTOS!$C$5:$C$1005="Chancho")*(MOVIMIENTOS!$D$5:$D$1005="sacos")*(MOVIMIENTOS!$A$5:$A$1005&lt;&gt;"")*(MOVIMIENTOS!$A$5:$A$1005&lt;=$A42)*MOVIMIENTOS!$E$5:$E$1005))</f>
        <v>2</v>
      </c>
      <c r="G42" s="77">
        <f t="shared" si="1"/>
        <v>0</v>
      </c>
      <c r="H42" s="65">
        <f>IF($A42="","",SUMPRODUCT((((MOVIMIENTOS!$B$5:$B$1005="SALDO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42)*MOVIMIENTOS!$J$5:$J$1005))</f>
        <v>-439.17999999999302</v>
      </c>
      <c r="I42" s="63"/>
      <c r="J42" s="63" t="str">
        <f>IF(AND(MOVIMIENTOS!$A42&lt;&gt;"",COUNTIF(MOVIMIENTOS!$A$5:$A41,MOVIMIENTOS!$A42)=0),COUNT(J$4:J41)+1,"")</f>
        <v/>
      </c>
      <c r="K42" s="66">
        <f>MOVIMIENTOS!$A42</f>
        <v>46218</v>
      </c>
      <c r="L42" s="63"/>
      <c r="M42" s="63"/>
      <c r="N42" s="63"/>
    </row>
    <row r="43" spans="1:14" ht="15" customHeight="1" x14ac:dyDescent="0.2">
      <c r="A43" s="64">
        <f t="shared" si="0"/>
        <v>46252</v>
      </c>
      <c r="B43" s="65">
        <f>IF($A43="","",SUMPRODUCT((MOVIMIENTOS!$B$5:$B$1005="SALDO INICIAL")*(MOVIMIENTOS!$C$5:$C$1005="A")*(MOVIMIENTOS!$D$5:$D$1005="jabas")*(MOVIMIENTOS!$A$5:$A$1005&lt;&gt;"")*(MOVIMIENTOS!$A$5:$A$1005&lt;=$A43)*MOVIMIENTOS!$E$5:$E$1005)+SUMPRODUCT((MOVIMIENTOS!$B$5:$B$1005="PROCESO")*(MOVIMIENTOS!$C$5:$C$1005="A")*(MOVIMIENTOS!$D$5:$D$1005="jabas")*(MOVIMIENTOS!$A$5:$A$1005&lt;&gt;"")*(MOVIMIENTOS!$A$5:$A$1005&lt;=$A43)*MOVIMIENTOS!$E$5:$E$1005)-SUMPRODUCT((MOVIMIENTOS!$B$5:$B$1005="ENVÍO A SUPESA")*(MOVIMIENTOS!$C$5:$C$1005="A")*(MOVIMIENTOS!$D$5:$D$1005="jabas")*(MOVIMIENTOS!$A$5:$A$1005&lt;&gt;"")*(MOVIMIENTOS!$A$5:$A$1005&lt;=$A43)*MOVIMIENTOS!$E$5:$E$1005)+SUMPRODUCT((MOVIMIENTOS!$B$5:$B$1005="DEVOLUCIÓN")*(MOVIMIENTOS!$C$5:$C$1005="A")*(MOVIMIENTOS!$D$5:$D$1005="jabas")*(MOVIMIENTOS!$A$5:$A$1005&lt;&gt;"")*(MOVIMIENTOS!$A$5:$A$1005&lt;=$A43)*MOVIMIENTOS!$E$5:$E$1005)-SUMPRODUCT((MOVIMIENTOS!$B$5:$B$1005="TRASIEGO")*(MOVIMIENTOS!$C$5:$C$1005="A")*(MOVIMIENTOS!$D$5:$D$1005="jabas")*(MOVIMIENTOS!$A$5:$A$1005&lt;&gt;"")*(MOVIMIENTOS!$A$5:$A$1005&lt;=$A43)*MOVIMIENTOS!$E$5:$E$1005)-SUMPRODUCT((MOVIMIENTOS!$B$5:$B$1005="REGALO")*(MOVIMIENTOS!$C$5:$C$1005="A")*(MOVIMIENTOS!$D$5:$D$1005="jabas")*(MOVIMIENTOS!$A$5:$A$1005&lt;&gt;"")*(MOVIMIENTOS!$A$5:$A$1005&lt;=$A43)*MOVIMIENTOS!$E$5:$E$1005)-SUMPRODUCT((MOVIMIENTOS!$B$5:$B$1005="VENTA")*(MOVIMIENTOS!$C$5:$C$1005="A")*(MOVIMIENTOS!$D$5:$D$1005="jabas")*(MOVIMIENTOS!$A$5:$A$1005&lt;&gt;"")*(MOVIMIENTOS!$A$5:$A$1005&lt;=$A43)*MOVIMIENTOS!$E$5:$E$1005)+SUMPRODUCT((MOVIMIENTOS!$B$5:$B$1005="AJUSTE")*(MOVIMIENTOS!$C$5:$C$1005="A")*(MOVIMIENTOS!$D$5:$D$1005="jabas")*(MOVIMIENTOS!$A$5:$A$1005&lt;&gt;"")*(MOVIMIENTOS!$A$5:$A$1005&lt;=$A43)*MOVIMIENTOS!$E$5:$E$1005))</f>
        <v>60</v>
      </c>
      <c r="C43" s="65">
        <f>IF($A43="","",SUMPRODUCT((MOVIMIENTOS!$B$5:$B$1005="SALDO INICIAL")*(MOVIMIENTOS!$C$5:$C$1005="P")*(MOVIMIENTOS!$D$5:$D$1005="jabas")*(MOVIMIENTOS!$A$5:$A$1005&lt;&gt;"")*(MOVIMIENTOS!$A$5:$A$1005&lt;=$A43)*MOVIMIENTOS!$E$5:$E$1005)+SUMPRODUCT((MOVIMIENTOS!$B$5:$B$1005="PROCESO")*(MOVIMIENTOS!$C$5:$C$1005="P")*(MOVIMIENTOS!$D$5:$D$1005="jabas")*(MOVIMIENTOS!$A$5:$A$1005&lt;&gt;"")*(MOVIMIENTOS!$A$5:$A$1005&lt;=$A43)*MOVIMIENTOS!$E$5:$E$1005)-SUMPRODUCT((MOVIMIENTOS!$B$5:$B$1005="ENVÍO A SUPESA")*(MOVIMIENTOS!$C$5:$C$1005="P")*(MOVIMIENTOS!$D$5:$D$1005="jabas")*(MOVIMIENTOS!$A$5:$A$1005&lt;&gt;"")*(MOVIMIENTOS!$A$5:$A$1005&lt;=$A43)*MOVIMIENTOS!$E$5:$E$1005)+SUMPRODUCT((MOVIMIENTOS!$B$5:$B$1005="DEVOLUCIÓN")*(MOVIMIENTOS!$C$5:$C$1005="P")*(MOVIMIENTOS!$D$5:$D$1005="jabas")*(MOVIMIENTOS!$A$5:$A$1005&lt;&gt;"")*(MOVIMIENTOS!$A$5:$A$1005&lt;=$A43)*MOVIMIENTOS!$E$5:$E$1005)-SUMPRODUCT((MOVIMIENTOS!$B$5:$B$1005="TRASIEGO")*(MOVIMIENTOS!$C$5:$C$1005="P")*(MOVIMIENTOS!$D$5:$D$1005="jabas")*(MOVIMIENTOS!$A$5:$A$1005&lt;&gt;"")*(MOVIMIENTOS!$A$5:$A$1005&lt;=$A43)*MOVIMIENTOS!$E$5:$E$1005)-SUMPRODUCT((MOVIMIENTOS!$B$5:$B$1005="REGALO")*(MOVIMIENTOS!$C$5:$C$1005="P")*(MOVIMIENTOS!$D$5:$D$1005="jabas")*(MOVIMIENTOS!$A$5:$A$1005&lt;&gt;"")*(MOVIMIENTOS!$A$5:$A$1005&lt;=$A43)*MOVIMIENTOS!$E$5:$E$1005)-SUMPRODUCT((MOVIMIENTOS!$B$5:$B$1005="VENTA")*(MOVIMIENTOS!$C$5:$C$1005="P")*(MOVIMIENTOS!$D$5:$D$1005="jabas")*(MOVIMIENTOS!$A$5:$A$1005&lt;&gt;"")*(MOVIMIENTOS!$A$5:$A$1005&lt;=$A43)*MOVIMIENTOS!$E$5:$E$1005)+SUMPRODUCT((MOVIMIENTOS!$B$5:$B$1005="AJUSTE")*(MOVIMIENTOS!$C$5:$C$1005="P")*(MOVIMIENTOS!$D$5:$D$1005="jabas")*(MOVIMIENTOS!$A$5:$A$1005&lt;&gt;"")*(MOVIMIENTOS!$A$5:$A$1005&lt;=$A43)*MOVIMIENTOS!$E$5:$E$1005))</f>
        <v>11</v>
      </c>
      <c r="D43" s="65">
        <f>IF($A43="","",SUMPRODUCT((MOVIMIENTOS!$B$5:$B$1005="SALDO INICIAL")*(MOVIMIENTOS!$C$5:$C$1005="C")*(MOVIMIENTOS!$D$5:$D$1005="jabas")*(MOVIMIENTOS!$A$5:$A$1005&lt;&gt;"")*(MOVIMIENTOS!$A$5:$A$1005&lt;=$A43)*MOVIMIENTOS!$E$5:$E$1005)+SUMPRODUCT((MOVIMIENTOS!$B$5:$B$1005="PROCESO")*(MOVIMIENTOS!$C$5:$C$1005="C")*(MOVIMIENTOS!$D$5:$D$1005="jabas")*(MOVIMIENTOS!$A$5:$A$1005&lt;&gt;"")*(MOVIMIENTOS!$A$5:$A$1005&lt;=$A43)*MOVIMIENTOS!$E$5:$E$1005)-SUMPRODUCT((MOVIMIENTOS!$B$5:$B$1005="ENVÍO A SUPESA")*(MOVIMIENTOS!$C$5:$C$1005="C")*(MOVIMIENTOS!$D$5:$D$1005="jabas")*(MOVIMIENTOS!$A$5:$A$1005&lt;&gt;"")*(MOVIMIENTOS!$A$5:$A$1005&lt;=$A43)*MOVIMIENTOS!$E$5:$E$1005)+SUMPRODUCT((MOVIMIENTOS!$B$5:$B$1005="DEVOLUCIÓN")*(MOVIMIENTOS!$C$5:$C$1005="C")*(MOVIMIENTOS!$D$5:$D$1005="jabas")*(MOVIMIENTOS!$A$5:$A$1005&lt;&gt;"")*(MOVIMIENTOS!$A$5:$A$1005&lt;=$A43)*MOVIMIENTOS!$E$5:$E$1005)-SUMPRODUCT((MOVIMIENTOS!$B$5:$B$1005="TRASIEGO")*(MOVIMIENTOS!$C$5:$C$1005="C")*(MOVIMIENTOS!$D$5:$D$1005="jabas")*(MOVIMIENTOS!$A$5:$A$1005&lt;&gt;"")*(MOVIMIENTOS!$A$5:$A$1005&lt;=$A43)*MOVIMIENTOS!$E$5:$E$1005)-SUMPRODUCT((MOVIMIENTOS!$B$5:$B$1005="REGALO")*(MOVIMIENTOS!$C$5:$C$1005="C")*(MOVIMIENTOS!$D$5:$D$1005="jabas")*(MOVIMIENTOS!$A$5:$A$1005&lt;&gt;"")*(MOVIMIENTOS!$A$5:$A$1005&lt;=$A43)*MOVIMIENTOS!$E$5:$E$1005)-SUMPRODUCT((MOVIMIENTOS!$B$5:$B$1005="VENTA")*(MOVIMIENTOS!$C$5:$C$1005="C")*(MOVIMIENTOS!$D$5:$D$1005="jabas")*(MOVIMIENTOS!$A$5:$A$1005&lt;&gt;"")*(MOVIMIENTOS!$A$5:$A$1005&lt;=$A43)*MOVIMIENTOS!$E$5:$E$1005)+SUMPRODUCT((MOVIMIENTOS!$B$5:$B$1005="AJUSTE")*(MOVIMIENTOS!$C$5:$C$1005="C")*(MOVIMIENTOS!$D$5:$D$1005="jabas")*(MOVIMIENTOS!$A$5:$A$1005&lt;&gt;"")*(MOVIMIENTOS!$A$5:$A$1005&lt;=$A43)*MOVIMIENTOS!$E$5:$E$1005))</f>
        <v>10</v>
      </c>
      <c r="E43" s="65">
        <f>IF($A43="","",SUMPRODUCT((MOVIMIENTOS!$B$5:$B$1005="SALDO INICIAL")*(MOVIMIENTOS!$C$5:$C$1005="M")*(MOVIMIENTOS!$D$5:$D$1005="jabas")*(MOVIMIENTOS!$A$5:$A$1005&lt;&gt;"")*(MOVIMIENTOS!$A$5:$A$1005&lt;=$A43)*MOVIMIENTOS!$E$5:$E$1005)+SUMPRODUCT((MOVIMIENTOS!$B$5:$B$1005="PROCESO")*(MOVIMIENTOS!$C$5:$C$1005="M")*(MOVIMIENTOS!$D$5:$D$1005="jabas")*(MOVIMIENTOS!$A$5:$A$1005&lt;&gt;"")*(MOVIMIENTOS!$A$5:$A$1005&lt;=$A43)*MOVIMIENTOS!$E$5:$E$1005)-SUMPRODUCT((MOVIMIENTOS!$B$5:$B$1005="ENVÍO A SUPESA")*(MOVIMIENTOS!$C$5:$C$1005="M")*(MOVIMIENTOS!$D$5:$D$1005="jabas")*(MOVIMIENTOS!$A$5:$A$1005&lt;&gt;"")*(MOVIMIENTOS!$A$5:$A$1005&lt;=$A43)*MOVIMIENTOS!$E$5:$E$1005)+SUMPRODUCT((MOVIMIENTOS!$B$5:$B$1005="DEVOLUCIÓN")*(MOVIMIENTOS!$C$5:$C$1005="M")*(MOVIMIENTOS!$D$5:$D$1005="jabas")*(MOVIMIENTOS!$A$5:$A$1005&lt;&gt;"")*(MOVIMIENTOS!$A$5:$A$1005&lt;=$A43)*MOVIMIENTOS!$E$5:$E$1005)-SUMPRODUCT((MOVIMIENTOS!$B$5:$B$1005="TRASIEGO")*(MOVIMIENTOS!$C$5:$C$1005="M")*(MOVIMIENTOS!$D$5:$D$1005="jabas")*(MOVIMIENTOS!$A$5:$A$1005&lt;&gt;"")*(MOVIMIENTOS!$A$5:$A$1005&lt;=$A43)*MOVIMIENTOS!$E$5:$E$1005)-SUMPRODUCT((MOVIMIENTOS!$B$5:$B$1005="REGALO")*(MOVIMIENTOS!$C$5:$C$1005="M")*(MOVIMIENTOS!$D$5:$D$1005="jabas")*(MOVIMIENTOS!$A$5:$A$1005&lt;&gt;"")*(MOVIMIENTOS!$A$5:$A$1005&lt;=$A43)*MOVIMIENTOS!$E$5:$E$1005)-SUMPRODUCT((MOVIMIENTOS!$B$5:$B$1005="VENTA")*(MOVIMIENTOS!$C$5:$C$1005="M")*(MOVIMIENTOS!$D$5:$D$1005="jabas")*(MOVIMIENTOS!$A$5:$A$1005&lt;&gt;"")*(MOVIMIENTOS!$A$5:$A$1005&lt;=$A43)*MOVIMIENTOS!$E$5:$E$1005)+SUMPRODUCT((MOVIMIENTOS!$B$5:$B$1005="AJUSTE")*(MOVIMIENTOS!$C$5:$C$1005="M")*(MOVIMIENTOS!$D$5:$D$1005="jabas")*(MOVIMIENTOS!$A$5:$A$1005&lt;&gt;"")*(MOVIMIENTOS!$A$5:$A$1005&lt;=$A43)*MOVIMIENTOS!$E$5:$E$1005))</f>
        <v>74</v>
      </c>
      <c r="F43" s="65">
        <f>IF($A43="","",SUMPRODUCT((MOVIMIENTOS!$B$5:$B$1005="SALDO INICIAL")*(MOVIMIENTOS!$C$5:$C$1005="Chancho")*(MOVIMIENTOS!$D$5:$D$1005="sacos")*(MOVIMIENTOS!$A$5:$A$1005&lt;&gt;"")*(MOVIMIENTOS!$A$5:$A$1005&lt;=$A43)*MOVIMIENTOS!$E$5:$E$1005)+SUMPRODUCT((MOVIMIENTOS!$B$5:$B$1005="PROCESO")*(MOVIMIENTOS!$C$5:$C$1005="Chancho")*(MOVIMIENTOS!$D$5:$D$1005="sacos")*(MOVIMIENTOS!$A$5:$A$1005&lt;&gt;"")*(MOVIMIENTOS!$A$5:$A$1005&lt;=$A43)*MOVIMIENTOS!$E$5:$E$1005)-SUMPRODUCT((MOVIMIENTOS!$B$5:$B$1005="VENTA CHANCHO")*(MOVIMIENTOS!$C$5:$C$1005="Chancho")*(MOVIMIENTOS!$D$5:$D$1005="sacos")*(MOVIMIENTOS!$A$5:$A$1005&lt;&gt;"")*(MOVIMIENTOS!$A$5:$A$1005&lt;=$A43)*MOVIMIENTOS!$E$5:$E$1005)-SUMPRODUCT((MOVIMIENTOS!$B$5:$B$1005="REGALO")*(MOVIMIENTOS!$C$5:$C$1005="Chancho")*(MOVIMIENTOS!$D$5:$D$1005="sacos")*(MOVIMIENTOS!$A$5:$A$1005&lt;&gt;"")*(MOVIMIENTOS!$A$5:$A$1005&lt;=$A43)*MOVIMIENTOS!$E$5:$E$1005)-SUMPRODUCT((MOVIMIENTOS!$B$5:$B$1005="VENTA")*(MOVIMIENTOS!$C$5:$C$1005="Chancho")*(MOVIMIENTOS!$D$5:$D$1005="sacos")*(MOVIMIENTOS!$A$5:$A$1005&lt;&gt;"")*(MOVIMIENTOS!$A$5:$A$1005&lt;=$A43)*MOVIMIENTOS!$E$5:$E$1005)+SUMPRODUCT((MOVIMIENTOS!$B$5:$B$1005="AJUSTE")*(MOVIMIENTOS!$C$5:$C$1005="Chancho")*(MOVIMIENTOS!$D$5:$D$1005="sacos")*(MOVIMIENTOS!$A$5:$A$1005&lt;&gt;"")*(MOVIMIENTOS!$A$5:$A$1005&lt;=$A43)*MOVIMIENTOS!$E$5:$E$1005))</f>
        <v>8</v>
      </c>
      <c r="G43" s="77">
        <f t="shared" si="1"/>
        <v>155</v>
      </c>
      <c r="H43" s="65">
        <f>IF($A43="","",SUMPRODUCT((((MOVIMIENTOS!$B$5:$B$1005="SALDO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43)*MOVIMIENTOS!$J$5:$J$1005))</f>
        <v>-439.17999999999302</v>
      </c>
      <c r="I43" s="63"/>
      <c r="J43" s="63" t="str">
        <f>IF(AND(MOVIMIENTOS!$A43&lt;&gt;"",COUNTIF(MOVIMIENTOS!$A$5:$A42,MOVIMIENTOS!$A43)=0),COUNT(J$4:J42)+1,"")</f>
        <v/>
      </c>
      <c r="K43" s="66">
        <f>MOVIMIENTOS!$A43</f>
        <v>46218</v>
      </c>
      <c r="L43" s="63"/>
      <c r="M43" s="63"/>
      <c r="N43" s="63"/>
    </row>
    <row r="44" spans="1:14" ht="15" customHeight="1" x14ac:dyDescent="0.2">
      <c r="A44" s="64">
        <f t="shared" si="0"/>
        <v>46253</v>
      </c>
      <c r="B44" s="65">
        <f>IF($A44="","",SUMPRODUCT((MOVIMIENTOS!$B$5:$B$1005="SALDO INICIAL")*(MOVIMIENTOS!$C$5:$C$1005="A")*(MOVIMIENTOS!$D$5:$D$1005="jabas")*(MOVIMIENTOS!$A$5:$A$1005&lt;&gt;"")*(MOVIMIENTOS!$A$5:$A$1005&lt;=$A44)*MOVIMIENTOS!$E$5:$E$1005)+SUMPRODUCT((MOVIMIENTOS!$B$5:$B$1005="PROCESO")*(MOVIMIENTOS!$C$5:$C$1005="A")*(MOVIMIENTOS!$D$5:$D$1005="jabas")*(MOVIMIENTOS!$A$5:$A$1005&lt;&gt;"")*(MOVIMIENTOS!$A$5:$A$1005&lt;=$A44)*MOVIMIENTOS!$E$5:$E$1005)-SUMPRODUCT((MOVIMIENTOS!$B$5:$B$1005="ENVÍO A SUPESA")*(MOVIMIENTOS!$C$5:$C$1005="A")*(MOVIMIENTOS!$D$5:$D$1005="jabas")*(MOVIMIENTOS!$A$5:$A$1005&lt;&gt;"")*(MOVIMIENTOS!$A$5:$A$1005&lt;=$A44)*MOVIMIENTOS!$E$5:$E$1005)+SUMPRODUCT((MOVIMIENTOS!$B$5:$B$1005="DEVOLUCIÓN")*(MOVIMIENTOS!$C$5:$C$1005="A")*(MOVIMIENTOS!$D$5:$D$1005="jabas")*(MOVIMIENTOS!$A$5:$A$1005&lt;&gt;"")*(MOVIMIENTOS!$A$5:$A$1005&lt;=$A44)*MOVIMIENTOS!$E$5:$E$1005)-SUMPRODUCT((MOVIMIENTOS!$B$5:$B$1005="TRASIEGO")*(MOVIMIENTOS!$C$5:$C$1005="A")*(MOVIMIENTOS!$D$5:$D$1005="jabas")*(MOVIMIENTOS!$A$5:$A$1005&lt;&gt;"")*(MOVIMIENTOS!$A$5:$A$1005&lt;=$A44)*MOVIMIENTOS!$E$5:$E$1005)-SUMPRODUCT((MOVIMIENTOS!$B$5:$B$1005="REGALO")*(MOVIMIENTOS!$C$5:$C$1005="A")*(MOVIMIENTOS!$D$5:$D$1005="jabas")*(MOVIMIENTOS!$A$5:$A$1005&lt;&gt;"")*(MOVIMIENTOS!$A$5:$A$1005&lt;=$A44)*MOVIMIENTOS!$E$5:$E$1005)-SUMPRODUCT((MOVIMIENTOS!$B$5:$B$1005="VENTA")*(MOVIMIENTOS!$C$5:$C$1005="A")*(MOVIMIENTOS!$D$5:$D$1005="jabas")*(MOVIMIENTOS!$A$5:$A$1005&lt;&gt;"")*(MOVIMIENTOS!$A$5:$A$1005&lt;=$A44)*MOVIMIENTOS!$E$5:$E$1005)+SUMPRODUCT((MOVIMIENTOS!$B$5:$B$1005="AJUSTE")*(MOVIMIENTOS!$C$5:$C$1005="A")*(MOVIMIENTOS!$D$5:$D$1005="jabas")*(MOVIMIENTOS!$A$5:$A$1005&lt;&gt;"")*(MOVIMIENTOS!$A$5:$A$1005&lt;=$A44)*MOVIMIENTOS!$E$5:$E$1005))</f>
        <v>12</v>
      </c>
      <c r="C44" s="65">
        <f>IF($A44="","",SUMPRODUCT((MOVIMIENTOS!$B$5:$B$1005="SALDO INICIAL")*(MOVIMIENTOS!$C$5:$C$1005="P")*(MOVIMIENTOS!$D$5:$D$1005="jabas")*(MOVIMIENTOS!$A$5:$A$1005&lt;&gt;"")*(MOVIMIENTOS!$A$5:$A$1005&lt;=$A44)*MOVIMIENTOS!$E$5:$E$1005)+SUMPRODUCT((MOVIMIENTOS!$B$5:$B$1005="PROCESO")*(MOVIMIENTOS!$C$5:$C$1005="P")*(MOVIMIENTOS!$D$5:$D$1005="jabas")*(MOVIMIENTOS!$A$5:$A$1005&lt;&gt;"")*(MOVIMIENTOS!$A$5:$A$1005&lt;=$A44)*MOVIMIENTOS!$E$5:$E$1005)-SUMPRODUCT((MOVIMIENTOS!$B$5:$B$1005="ENVÍO A SUPESA")*(MOVIMIENTOS!$C$5:$C$1005="P")*(MOVIMIENTOS!$D$5:$D$1005="jabas")*(MOVIMIENTOS!$A$5:$A$1005&lt;&gt;"")*(MOVIMIENTOS!$A$5:$A$1005&lt;=$A44)*MOVIMIENTOS!$E$5:$E$1005)+SUMPRODUCT((MOVIMIENTOS!$B$5:$B$1005="DEVOLUCIÓN")*(MOVIMIENTOS!$C$5:$C$1005="P")*(MOVIMIENTOS!$D$5:$D$1005="jabas")*(MOVIMIENTOS!$A$5:$A$1005&lt;&gt;"")*(MOVIMIENTOS!$A$5:$A$1005&lt;=$A44)*MOVIMIENTOS!$E$5:$E$1005)-SUMPRODUCT((MOVIMIENTOS!$B$5:$B$1005="TRASIEGO")*(MOVIMIENTOS!$C$5:$C$1005="P")*(MOVIMIENTOS!$D$5:$D$1005="jabas")*(MOVIMIENTOS!$A$5:$A$1005&lt;&gt;"")*(MOVIMIENTOS!$A$5:$A$1005&lt;=$A44)*MOVIMIENTOS!$E$5:$E$1005)-SUMPRODUCT((MOVIMIENTOS!$B$5:$B$1005="REGALO")*(MOVIMIENTOS!$C$5:$C$1005="P")*(MOVIMIENTOS!$D$5:$D$1005="jabas")*(MOVIMIENTOS!$A$5:$A$1005&lt;&gt;"")*(MOVIMIENTOS!$A$5:$A$1005&lt;=$A44)*MOVIMIENTOS!$E$5:$E$1005)-SUMPRODUCT((MOVIMIENTOS!$B$5:$B$1005="VENTA")*(MOVIMIENTOS!$C$5:$C$1005="P")*(MOVIMIENTOS!$D$5:$D$1005="jabas")*(MOVIMIENTOS!$A$5:$A$1005&lt;&gt;"")*(MOVIMIENTOS!$A$5:$A$1005&lt;=$A44)*MOVIMIENTOS!$E$5:$E$1005)+SUMPRODUCT((MOVIMIENTOS!$B$5:$B$1005="AJUSTE")*(MOVIMIENTOS!$C$5:$C$1005="P")*(MOVIMIENTOS!$D$5:$D$1005="jabas")*(MOVIMIENTOS!$A$5:$A$1005&lt;&gt;"")*(MOVIMIENTOS!$A$5:$A$1005&lt;=$A44)*MOVIMIENTOS!$E$5:$E$1005))</f>
        <v>0</v>
      </c>
      <c r="D44" s="65">
        <f>IF($A44="","",SUMPRODUCT((MOVIMIENTOS!$B$5:$B$1005="SALDO INICIAL")*(MOVIMIENTOS!$C$5:$C$1005="C")*(MOVIMIENTOS!$D$5:$D$1005="jabas")*(MOVIMIENTOS!$A$5:$A$1005&lt;&gt;"")*(MOVIMIENTOS!$A$5:$A$1005&lt;=$A44)*MOVIMIENTOS!$E$5:$E$1005)+SUMPRODUCT((MOVIMIENTOS!$B$5:$B$1005="PROCESO")*(MOVIMIENTOS!$C$5:$C$1005="C")*(MOVIMIENTOS!$D$5:$D$1005="jabas")*(MOVIMIENTOS!$A$5:$A$1005&lt;&gt;"")*(MOVIMIENTOS!$A$5:$A$1005&lt;=$A44)*MOVIMIENTOS!$E$5:$E$1005)-SUMPRODUCT((MOVIMIENTOS!$B$5:$B$1005="ENVÍO A SUPESA")*(MOVIMIENTOS!$C$5:$C$1005="C")*(MOVIMIENTOS!$D$5:$D$1005="jabas")*(MOVIMIENTOS!$A$5:$A$1005&lt;&gt;"")*(MOVIMIENTOS!$A$5:$A$1005&lt;=$A44)*MOVIMIENTOS!$E$5:$E$1005)+SUMPRODUCT((MOVIMIENTOS!$B$5:$B$1005="DEVOLUCIÓN")*(MOVIMIENTOS!$C$5:$C$1005="C")*(MOVIMIENTOS!$D$5:$D$1005="jabas")*(MOVIMIENTOS!$A$5:$A$1005&lt;&gt;"")*(MOVIMIENTOS!$A$5:$A$1005&lt;=$A44)*MOVIMIENTOS!$E$5:$E$1005)-SUMPRODUCT((MOVIMIENTOS!$B$5:$B$1005="TRASIEGO")*(MOVIMIENTOS!$C$5:$C$1005="C")*(MOVIMIENTOS!$D$5:$D$1005="jabas")*(MOVIMIENTOS!$A$5:$A$1005&lt;&gt;"")*(MOVIMIENTOS!$A$5:$A$1005&lt;=$A44)*MOVIMIENTOS!$E$5:$E$1005)-SUMPRODUCT((MOVIMIENTOS!$B$5:$B$1005="REGALO")*(MOVIMIENTOS!$C$5:$C$1005="C")*(MOVIMIENTOS!$D$5:$D$1005="jabas")*(MOVIMIENTOS!$A$5:$A$1005&lt;&gt;"")*(MOVIMIENTOS!$A$5:$A$1005&lt;=$A44)*MOVIMIENTOS!$E$5:$E$1005)-SUMPRODUCT((MOVIMIENTOS!$B$5:$B$1005="VENTA")*(MOVIMIENTOS!$C$5:$C$1005="C")*(MOVIMIENTOS!$D$5:$D$1005="jabas")*(MOVIMIENTOS!$A$5:$A$1005&lt;&gt;"")*(MOVIMIENTOS!$A$5:$A$1005&lt;=$A44)*MOVIMIENTOS!$E$5:$E$1005)+SUMPRODUCT((MOVIMIENTOS!$B$5:$B$1005="AJUSTE")*(MOVIMIENTOS!$C$5:$C$1005="C")*(MOVIMIENTOS!$D$5:$D$1005="jabas")*(MOVIMIENTOS!$A$5:$A$1005&lt;&gt;"")*(MOVIMIENTOS!$A$5:$A$1005&lt;=$A44)*MOVIMIENTOS!$E$5:$E$1005))</f>
        <v>0</v>
      </c>
      <c r="E44" s="65">
        <f>IF($A44="","",SUMPRODUCT((MOVIMIENTOS!$B$5:$B$1005="SALDO INICIAL")*(MOVIMIENTOS!$C$5:$C$1005="M")*(MOVIMIENTOS!$D$5:$D$1005="jabas")*(MOVIMIENTOS!$A$5:$A$1005&lt;&gt;"")*(MOVIMIENTOS!$A$5:$A$1005&lt;=$A44)*MOVIMIENTOS!$E$5:$E$1005)+SUMPRODUCT((MOVIMIENTOS!$B$5:$B$1005="PROCESO")*(MOVIMIENTOS!$C$5:$C$1005="M")*(MOVIMIENTOS!$D$5:$D$1005="jabas")*(MOVIMIENTOS!$A$5:$A$1005&lt;&gt;"")*(MOVIMIENTOS!$A$5:$A$1005&lt;=$A44)*MOVIMIENTOS!$E$5:$E$1005)-SUMPRODUCT((MOVIMIENTOS!$B$5:$B$1005="ENVÍO A SUPESA")*(MOVIMIENTOS!$C$5:$C$1005="M")*(MOVIMIENTOS!$D$5:$D$1005="jabas")*(MOVIMIENTOS!$A$5:$A$1005&lt;&gt;"")*(MOVIMIENTOS!$A$5:$A$1005&lt;=$A44)*MOVIMIENTOS!$E$5:$E$1005)+SUMPRODUCT((MOVIMIENTOS!$B$5:$B$1005="DEVOLUCIÓN")*(MOVIMIENTOS!$C$5:$C$1005="M")*(MOVIMIENTOS!$D$5:$D$1005="jabas")*(MOVIMIENTOS!$A$5:$A$1005&lt;&gt;"")*(MOVIMIENTOS!$A$5:$A$1005&lt;=$A44)*MOVIMIENTOS!$E$5:$E$1005)-SUMPRODUCT((MOVIMIENTOS!$B$5:$B$1005="TRASIEGO")*(MOVIMIENTOS!$C$5:$C$1005="M")*(MOVIMIENTOS!$D$5:$D$1005="jabas")*(MOVIMIENTOS!$A$5:$A$1005&lt;&gt;"")*(MOVIMIENTOS!$A$5:$A$1005&lt;=$A44)*MOVIMIENTOS!$E$5:$E$1005)-SUMPRODUCT((MOVIMIENTOS!$B$5:$B$1005="REGALO")*(MOVIMIENTOS!$C$5:$C$1005="M")*(MOVIMIENTOS!$D$5:$D$1005="jabas")*(MOVIMIENTOS!$A$5:$A$1005&lt;&gt;"")*(MOVIMIENTOS!$A$5:$A$1005&lt;=$A44)*MOVIMIENTOS!$E$5:$E$1005)-SUMPRODUCT((MOVIMIENTOS!$B$5:$B$1005="VENTA")*(MOVIMIENTOS!$C$5:$C$1005="M")*(MOVIMIENTOS!$D$5:$D$1005="jabas")*(MOVIMIENTOS!$A$5:$A$1005&lt;&gt;"")*(MOVIMIENTOS!$A$5:$A$1005&lt;=$A44)*MOVIMIENTOS!$E$5:$E$1005)+SUMPRODUCT((MOVIMIENTOS!$B$5:$B$1005="AJUSTE")*(MOVIMIENTOS!$C$5:$C$1005="M")*(MOVIMIENTOS!$D$5:$D$1005="jabas")*(MOVIMIENTOS!$A$5:$A$1005&lt;&gt;"")*(MOVIMIENTOS!$A$5:$A$1005&lt;=$A44)*MOVIMIENTOS!$E$5:$E$1005))</f>
        <v>9</v>
      </c>
      <c r="F44" s="65">
        <f>IF($A44="","",SUMPRODUCT((MOVIMIENTOS!$B$5:$B$1005="SALDO INICIAL")*(MOVIMIENTOS!$C$5:$C$1005="Chancho")*(MOVIMIENTOS!$D$5:$D$1005="sacos")*(MOVIMIENTOS!$A$5:$A$1005&lt;&gt;"")*(MOVIMIENTOS!$A$5:$A$1005&lt;=$A44)*MOVIMIENTOS!$E$5:$E$1005)+SUMPRODUCT((MOVIMIENTOS!$B$5:$B$1005="PROCESO")*(MOVIMIENTOS!$C$5:$C$1005="Chancho")*(MOVIMIENTOS!$D$5:$D$1005="sacos")*(MOVIMIENTOS!$A$5:$A$1005&lt;&gt;"")*(MOVIMIENTOS!$A$5:$A$1005&lt;=$A44)*MOVIMIENTOS!$E$5:$E$1005)-SUMPRODUCT((MOVIMIENTOS!$B$5:$B$1005="VENTA CHANCHO")*(MOVIMIENTOS!$C$5:$C$1005="Chancho")*(MOVIMIENTOS!$D$5:$D$1005="sacos")*(MOVIMIENTOS!$A$5:$A$1005&lt;&gt;"")*(MOVIMIENTOS!$A$5:$A$1005&lt;=$A44)*MOVIMIENTOS!$E$5:$E$1005)-SUMPRODUCT((MOVIMIENTOS!$B$5:$B$1005="REGALO")*(MOVIMIENTOS!$C$5:$C$1005="Chancho")*(MOVIMIENTOS!$D$5:$D$1005="sacos")*(MOVIMIENTOS!$A$5:$A$1005&lt;&gt;"")*(MOVIMIENTOS!$A$5:$A$1005&lt;=$A44)*MOVIMIENTOS!$E$5:$E$1005)-SUMPRODUCT((MOVIMIENTOS!$B$5:$B$1005="VENTA")*(MOVIMIENTOS!$C$5:$C$1005="Chancho")*(MOVIMIENTOS!$D$5:$D$1005="sacos")*(MOVIMIENTOS!$A$5:$A$1005&lt;&gt;"")*(MOVIMIENTOS!$A$5:$A$1005&lt;=$A44)*MOVIMIENTOS!$E$5:$E$1005)+SUMPRODUCT((MOVIMIENTOS!$B$5:$B$1005="AJUSTE")*(MOVIMIENTOS!$C$5:$C$1005="Chancho")*(MOVIMIENTOS!$D$5:$D$1005="sacos")*(MOVIMIENTOS!$A$5:$A$1005&lt;&gt;"")*(MOVIMIENTOS!$A$5:$A$1005&lt;=$A44)*MOVIMIENTOS!$E$5:$E$1005))</f>
        <v>3</v>
      </c>
      <c r="G44" s="77">
        <f t="shared" si="1"/>
        <v>21</v>
      </c>
      <c r="H44" s="65">
        <f>IF($A44="","",SUMPRODUCT((((MOVIMIENTOS!$B$5:$B$1005="SALDO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44)*MOVIMIENTOS!$J$5:$J$1005))</f>
        <v>-439.17999999999302</v>
      </c>
      <c r="I44" s="63"/>
      <c r="J44" s="63" t="str">
        <f>IF(AND(MOVIMIENTOS!$A44&lt;&gt;"",COUNTIF(MOVIMIENTOS!$A$5:$A43,MOVIMIENTOS!$A44)=0),COUNT(J$4:J43)+1,"")</f>
        <v/>
      </c>
      <c r="K44" s="66">
        <f>MOVIMIENTOS!$A44</f>
        <v>46218</v>
      </c>
      <c r="L44" s="63"/>
      <c r="M44" s="63"/>
      <c r="N44" s="63"/>
    </row>
    <row r="45" spans="1:14" ht="15" customHeight="1" x14ac:dyDescent="0.2">
      <c r="A45" s="64" t="str">
        <f t="shared" si="0"/>
        <v/>
      </c>
      <c r="B45" s="65" t="str">
        <f>IF($A45="","",SUMPRODUCT((MOVIMIENTOS!$B$5:$B$1005="SALDO INICIAL")*(MOVIMIENTOS!$C$5:$C$1005="A")*(MOVIMIENTOS!$D$5:$D$1005="jabas")*(MOVIMIENTOS!$A$5:$A$1005&lt;&gt;"")*(MOVIMIENTOS!$A$5:$A$1005&lt;=$A45)*MOVIMIENTOS!$E$5:$E$1005)+SUMPRODUCT((MOVIMIENTOS!$B$5:$B$1005="PROCESO")*(MOVIMIENTOS!$C$5:$C$1005="A")*(MOVIMIENTOS!$D$5:$D$1005="jabas")*(MOVIMIENTOS!$A$5:$A$1005&lt;&gt;"")*(MOVIMIENTOS!$A$5:$A$1005&lt;=$A45)*MOVIMIENTOS!$E$5:$E$1005)-SUMPRODUCT((MOVIMIENTOS!$B$5:$B$1005="ENVÍO A SUPESA")*(MOVIMIENTOS!$C$5:$C$1005="A")*(MOVIMIENTOS!$D$5:$D$1005="jabas")*(MOVIMIENTOS!$A$5:$A$1005&lt;&gt;"")*(MOVIMIENTOS!$A$5:$A$1005&lt;=$A45)*MOVIMIENTOS!$E$5:$E$1005)+SUMPRODUCT((MOVIMIENTOS!$B$5:$B$1005="DEVOLUCIÓN")*(MOVIMIENTOS!$C$5:$C$1005="A")*(MOVIMIENTOS!$D$5:$D$1005="jabas")*(MOVIMIENTOS!$A$5:$A$1005&lt;&gt;"")*(MOVIMIENTOS!$A$5:$A$1005&lt;=$A45)*MOVIMIENTOS!$E$5:$E$1005)-SUMPRODUCT((MOVIMIENTOS!$B$5:$B$1005="TRASIEGO")*(MOVIMIENTOS!$C$5:$C$1005="A")*(MOVIMIENTOS!$D$5:$D$1005="jabas")*(MOVIMIENTOS!$A$5:$A$1005&lt;&gt;"")*(MOVIMIENTOS!$A$5:$A$1005&lt;=$A45)*MOVIMIENTOS!$E$5:$E$1005)-SUMPRODUCT((MOVIMIENTOS!$B$5:$B$1005="REGALO")*(MOVIMIENTOS!$C$5:$C$1005="A")*(MOVIMIENTOS!$D$5:$D$1005="jabas")*(MOVIMIENTOS!$A$5:$A$1005&lt;&gt;"")*(MOVIMIENTOS!$A$5:$A$1005&lt;=$A45)*MOVIMIENTOS!$E$5:$E$1005)-SUMPRODUCT((MOVIMIENTOS!$B$5:$B$1005="VENTA")*(MOVIMIENTOS!$C$5:$C$1005="A")*(MOVIMIENTOS!$D$5:$D$1005="jabas")*(MOVIMIENTOS!$A$5:$A$1005&lt;&gt;"")*(MOVIMIENTOS!$A$5:$A$1005&lt;=$A45)*MOVIMIENTOS!$E$5:$E$1005)+SUMPRODUCT((MOVIMIENTOS!$B$5:$B$1005="AJUSTE")*(MOVIMIENTOS!$C$5:$C$1005="A")*(MOVIMIENTOS!$D$5:$D$1005="jabas")*(MOVIMIENTOS!$A$5:$A$1005&lt;&gt;"")*(MOVIMIENTOS!$A$5:$A$1005&lt;=$A45)*MOVIMIENTOS!$E$5:$E$1005))</f>
        <v/>
      </c>
      <c r="C45" s="65" t="str">
        <f>IF($A45="","",SUMPRODUCT((MOVIMIENTOS!$B$5:$B$1005="SALDO INICIAL")*(MOVIMIENTOS!$C$5:$C$1005="P")*(MOVIMIENTOS!$D$5:$D$1005="jabas")*(MOVIMIENTOS!$A$5:$A$1005&lt;&gt;"")*(MOVIMIENTOS!$A$5:$A$1005&lt;=$A45)*MOVIMIENTOS!$E$5:$E$1005)+SUMPRODUCT((MOVIMIENTOS!$B$5:$B$1005="PROCESO")*(MOVIMIENTOS!$C$5:$C$1005="P")*(MOVIMIENTOS!$D$5:$D$1005="jabas")*(MOVIMIENTOS!$A$5:$A$1005&lt;&gt;"")*(MOVIMIENTOS!$A$5:$A$1005&lt;=$A45)*MOVIMIENTOS!$E$5:$E$1005)-SUMPRODUCT((MOVIMIENTOS!$B$5:$B$1005="ENVÍO A SUPESA")*(MOVIMIENTOS!$C$5:$C$1005="P")*(MOVIMIENTOS!$D$5:$D$1005="jabas")*(MOVIMIENTOS!$A$5:$A$1005&lt;&gt;"")*(MOVIMIENTOS!$A$5:$A$1005&lt;=$A45)*MOVIMIENTOS!$E$5:$E$1005)+SUMPRODUCT((MOVIMIENTOS!$B$5:$B$1005="DEVOLUCIÓN")*(MOVIMIENTOS!$C$5:$C$1005="P")*(MOVIMIENTOS!$D$5:$D$1005="jabas")*(MOVIMIENTOS!$A$5:$A$1005&lt;&gt;"")*(MOVIMIENTOS!$A$5:$A$1005&lt;=$A45)*MOVIMIENTOS!$E$5:$E$1005)-SUMPRODUCT((MOVIMIENTOS!$B$5:$B$1005="TRASIEGO")*(MOVIMIENTOS!$C$5:$C$1005="P")*(MOVIMIENTOS!$D$5:$D$1005="jabas")*(MOVIMIENTOS!$A$5:$A$1005&lt;&gt;"")*(MOVIMIENTOS!$A$5:$A$1005&lt;=$A45)*MOVIMIENTOS!$E$5:$E$1005)-SUMPRODUCT((MOVIMIENTOS!$B$5:$B$1005="REGALO")*(MOVIMIENTOS!$C$5:$C$1005="P")*(MOVIMIENTOS!$D$5:$D$1005="jabas")*(MOVIMIENTOS!$A$5:$A$1005&lt;&gt;"")*(MOVIMIENTOS!$A$5:$A$1005&lt;=$A45)*MOVIMIENTOS!$E$5:$E$1005)-SUMPRODUCT((MOVIMIENTOS!$B$5:$B$1005="VENTA")*(MOVIMIENTOS!$C$5:$C$1005="P")*(MOVIMIENTOS!$D$5:$D$1005="jabas")*(MOVIMIENTOS!$A$5:$A$1005&lt;&gt;"")*(MOVIMIENTOS!$A$5:$A$1005&lt;=$A45)*MOVIMIENTOS!$E$5:$E$1005)+SUMPRODUCT((MOVIMIENTOS!$B$5:$B$1005="AJUSTE")*(MOVIMIENTOS!$C$5:$C$1005="P")*(MOVIMIENTOS!$D$5:$D$1005="jabas")*(MOVIMIENTOS!$A$5:$A$1005&lt;&gt;"")*(MOVIMIENTOS!$A$5:$A$1005&lt;=$A45)*MOVIMIENTOS!$E$5:$E$1005))</f>
        <v/>
      </c>
      <c r="D45" s="65" t="str">
        <f>IF($A45="","",SUMPRODUCT((MOVIMIENTOS!$B$5:$B$1005="SALDO INICIAL")*(MOVIMIENTOS!$C$5:$C$1005="C")*(MOVIMIENTOS!$D$5:$D$1005="jabas")*(MOVIMIENTOS!$A$5:$A$1005&lt;&gt;"")*(MOVIMIENTOS!$A$5:$A$1005&lt;=$A45)*MOVIMIENTOS!$E$5:$E$1005)+SUMPRODUCT((MOVIMIENTOS!$B$5:$B$1005="PROCESO")*(MOVIMIENTOS!$C$5:$C$1005="C")*(MOVIMIENTOS!$D$5:$D$1005="jabas")*(MOVIMIENTOS!$A$5:$A$1005&lt;&gt;"")*(MOVIMIENTOS!$A$5:$A$1005&lt;=$A45)*MOVIMIENTOS!$E$5:$E$1005)-SUMPRODUCT((MOVIMIENTOS!$B$5:$B$1005="ENVÍO A SUPESA")*(MOVIMIENTOS!$C$5:$C$1005="C")*(MOVIMIENTOS!$D$5:$D$1005="jabas")*(MOVIMIENTOS!$A$5:$A$1005&lt;&gt;"")*(MOVIMIENTOS!$A$5:$A$1005&lt;=$A45)*MOVIMIENTOS!$E$5:$E$1005)+SUMPRODUCT((MOVIMIENTOS!$B$5:$B$1005="DEVOLUCIÓN")*(MOVIMIENTOS!$C$5:$C$1005="C")*(MOVIMIENTOS!$D$5:$D$1005="jabas")*(MOVIMIENTOS!$A$5:$A$1005&lt;&gt;"")*(MOVIMIENTOS!$A$5:$A$1005&lt;=$A45)*MOVIMIENTOS!$E$5:$E$1005)-SUMPRODUCT((MOVIMIENTOS!$B$5:$B$1005="TRASIEGO")*(MOVIMIENTOS!$C$5:$C$1005="C")*(MOVIMIENTOS!$D$5:$D$1005="jabas")*(MOVIMIENTOS!$A$5:$A$1005&lt;&gt;"")*(MOVIMIENTOS!$A$5:$A$1005&lt;=$A45)*MOVIMIENTOS!$E$5:$E$1005)-SUMPRODUCT((MOVIMIENTOS!$B$5:$B$1005="REGALO")*(MOVIMIENTOS!$C$5:$C$1005="C")*(MOVIMIENTOS!$D$5:$D$1005="jabas")*(MOVIMIENTOS!$A$5:$A$1005&lt;&gt;"")*(MOVIMIENTOS!$A$5:$A$1005&lt;=$A45)*MOVIMIENTOS!$E$5:$E$1005)-SUMPRODUCT((MOVIMIENTOS!$B$5:$B$1005="VENTA")*(MOVIMIENTOS!$C$5:$C$1005="C")*(MOVIMIENTOS!$D$5:$D$1005="jabas")*(MOVIMIENTOS!$A$5:$A$1005&lt;&gt;"")*(MOVIMIENTOS!$A$5:$A$1005&lt;=$A45)*MOVIMIENTOS!$E$5:$E$1005)+SUMPRODUCT((MOVIMIENTOS!$B$5:$B$1005="AJUSTE")*(MOVIMIENTOS!$C$5:$C$1005="C")*(MOVIMIENTOS!$D$5:$D$1005="jabas")*(MOVIMIENTOS!$A$5:$A$1005&lt;&gt;"")*(MOVIMIENTOS!$A$5:$A$1005&lt;=$A45)*MOVIMIENTOS!$E$5:$E$1005))</f>
        <v/>
      </c>
      <c r="E45" s="65" t="str">
        <f>IF($A45="","",SUMPRODUCT((MOVIMIENTOS!$B$5:$B$1005="SALDO INICIAL")*(MOVIMIENTOS!$C$5:$C$1005="M")*(MOVIMIENTOS!$D$5:$D$1005="jabas")*(MOVIMIENTOS!$A$5:$A$1005&lt;&gt;"")*(MOVIMIENTOS!$A$5:$A$1005&lt;=$A45)*MOVIMIENTOS!$E$5:$E$1005)+SUMPRODUCT((MOVIMIENTOS!$B$5:$B$1005="PROCESO")*(MOVIMIENTOS!$C$5:$C$1005="M")*(MOVIMIENTOS!$D$5:$D$1005="jabas")*(MOVIMIENTOS!$A$5:$A$1005&lt;&gt;"")*(MOVIMIENTOS!$A$5:$A$1005&lt;=$A45)*MOVIMIENTOS!$E$5:$E$1005)-SUMPRODUCT((MOVIMIENTOS!$B$5:$B$1005="ENVÍO A SUPESA")*(MOVIMIENTOS!$C$5:$C$1005="M")*(MOVIMIENTOS!$D$5:$D$1005="jabas")*(MOVIMIENTOS!$A$5:$A$1005&lt;&gt;"")*(MOVIMIENTOS!$A$5:$A$1005&lt;=$A45)*MOVIMIENTOS!$E$5:$E$1005)+SUMPRODUCT((MOVIMIENTOS!$B$5:$B$1005="DEVOLUCIÓN")*(MOVIMIENTOS!$C$5:$C$1005="M")*(MOVIMIENTOS!$D$5:$D$1005="jabas")*(MOVIMIENTOS!$A$5:$A$1005&lt;&gt;"")*(MOVIMIENTOS!$A$5:$A$1005&lt;=$A45)*MOVIMIENTOS!$E$5:$E$1005)-SUMPRODUCT((MOVIMIENTOS!$B$5:$B$1005="TRASIEGO")*(MOVIMIENTOS!$C$5:$C$1005="M")*(MOVIMIENTOS!$D$5:$D$1005="jabas")*(MOVIMIENTOS!$A$5:$A$1005&lt;&gt;"")*(MOVIMIENTOS!$A$5:$A$1005&lt;=$A45)*MOVIMIENTOS!$E$5:$E$1005)-SUMPRODUCT((MOVIMIENTOS!$B$5:$B$1005="REGALO")*(MOVIMIENTOS!$C$5:$C$1005="M")*(MOVIMIENTOS!$D$5:$D$1005="jabas")*(MOVIMIENTOS!$A$5:$A$1005&lt;&gt;"")*(MOVIMIENTOS!$A$5:$A$1005&lt;=$A45)*MOVIMIENTOS!$E$5:$E$1005)-SUMPRODUCT((MOVIMIENTOS!$B$5:$B$1005="VENTA")*(MOVIMIENTOS!$C$5:$C$1005="M")*(MOVIMIENTOS!$D$5:$D$1005="jabas")*(MOVIMIENTOS!$A$5:$A$1005&lt;&gt;"")*(MOVIMIENTOS!$A$5:$A$1005&lt;=$A45)*MOVIMIENTOS!$E$5:$E$1005)+SUMPRODUCT((MOVIMIENTOS!$B$5:$B$1005="AJUSTE")*(MOVIMIENTOS!$C$5:$C$1005="M")*(MOVIMIENTOS!$D$5:$D$1005="jabas")*(MOVIMIENTOS!$A$5:$A$1005&lt;&gt;"")*(MOVIMIENTOS!$A$5:$A$1005&lt;=$A45)*MOVIMIENTOS!$E$5:$E$1005))</f>
        <v/>
      </c>
      <c r="F45" s="65" t="str">
        <f>IF($A45="","",SUMPRODUCT((MOVIMIENTOS!$B$5:$B$1005="SALDO INICIAL")*(MOVIMIENTOS!$C$5:$C$1005="Chancho")*(MOVIMIENTOS!$D$5:$D$1005="sacos")*(MOVIMIENTOS!$A$5:$A$1005&lt;&gt;"")*(MOVIMIENTOS!$A$5:$A$1005&lt;=$A45)*MOVIMIENTOS!$E$5:$E$1005)+SUMPRODUCT((MOVIMIENTOS!$B$5:$B$1005="PROCESO")*(MOVIMIENTOS!$C$5:$C$1005="Chancho")*(MOVIMIENTOS!$D$5:$D$1005="sacos")*(MOVIMIENTOS!$A$5:$A$1005&lt;&gt;"")*(MOVIMIENTOS!$A$5:$A$1005&lt;=$A45)*MOVIMIENTOS!$E$5:$E$1005)-SUMPRODUCT((MOVIMIENTOS!$B$5:$B$1005="VENTA CHANCHO")*(MOVIMIENTOS!$C$5:$C$1005="Chancho")*(MOVIMIENTOS!$D$5:$D$1005="sacos")*(MOVIMIENTOS!$A$5:$A$1005&lt;&gt;"")*(MOVIMIENTOS!$A$5:$A$1005&lt;=$A45)*MOVIMIENTOS!$E$5:$E$1005)-SUMPRODUCT((MOVIMIENTOS!$B$5:$B$1005="REGALO")*(MOVIMIENTOS!$C$5:$C$1005="Chancho")*(MOVIMIENTOS!$D$5:$D$1005="sacos")*(MOVIMIENTOS!$A$5:$A$1005&lt;&gt;"")*(MOVIMIENTOS!$A$5:$A$1005&lt;=$A45)*MOVIMIENTOS!$E$5:$E$1005)-SUMPRODUCT((MOVIMIENTOS!$B$5:$B$1005="VENTA")*(MOVIMIENTOS!$C$5:$C$1005="Chancho")*(MOVIMIENTOS!$D$5:$D$1005="sacos")*(MOVIMIENTOS!$A$5:$A$1005&lt;&gt;"")*(MOVIMIENTOS!$A$5:$A$1005&lt;=$A45)*MOVIMIENTOS!$E$5:$E$1005)+SUMPRODUCT((MOVIMIENTOS!$B$5:$B$1005="AJUSTE")*(MOVIMIENTOS!$C$5:$C$1005="Chancho")*(MOVIMIENTOS!$D$5:$D$1005="sacos")*(MOVIMIENTOS!$A$5:$A$1005&lt;&gt;"")*(MOVIMIENTOS!$A$5:$A$1005&lt;=$A45)*MOVIMIENTOS!$E$5:$E$1005))</f>
        <v/>
      </c>
      <c r="G45" s="77" t="str">
        <f t="shared" si="1"/>
        <v/>
      </c>
      <c r="H45" s="65" t="str">
        <f>IF($A45="","",SUMPRODUCT((((MOVIMIENTOS!$B$5:$B$1005="SALDO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45)*MOVIMIENTOS!$J$5:$J$1005))</f>
        <v/>
      </c>
      <c r="I45" s="63"/>
      <c r="J45" s="63" t="str">
        <f>IF(AND(MOVIMIENTOS!$A45&lt;&gt;"",COUNTIF(MOVIMIENTOS!$A$5:$A44,MOVIMIENTOS!$A45)=0),COUNT(J$4:J44)+1,"")</f>
        <v/>
      </c>
      <c r="K45" s="66">
        <f>MOVIMIENTOS!$A45</f>
        <v>46218</v>
      </c>
      <c r="L45" s="63"/>
      <c r="M45" s="63"/>
      <c r="N45" s="63"/>
    </row>
    <row r="46" spans="1:14" ht="15" customHeight="1" x14ac:dyDescent="0.2">
      <c r="A46" s="64" t="str">
        <f t="shared" si="0"/>
        <v/>
      </c>
      <c r="B46" s="65" t="str">
        <f>IF($A46="","",SUMPRODUCT((MOVIMIENTOS!$B$5:$B$1005="SALDO INICIAL")*(MOVIMIENTOS!$C$5:$C$1005="A")*(MOVIMIENTOS!$D$5:$D$1005="jabas")*(MOVIMIENTOS!$A$5:$A$1005&lt;&gt;"")*(MOVIMIENTOS!$A$5:$A$1005&lt;=$A46)*MOVIMIENTOS!$E$5:$E$1005)+SUMPRODUCT((MOVIMIENTOS!$B$5:$B$1005="PROCESO")*(MOVIMIENTOS!$C$5:$C$1005="A")*(MOVIMIENTOS!$D$5:$D$1005="jabas")*(MOVIMIENTOS!$A$5:$A$1005&lt;&gt;"")*(MOVIMIENTOS!$A$5:$A$1005&lt;=$A46)*MOVIMIENTOS!$E$5:$E$1005)-SUMPRODUCT((MOVIMIENTOS!$B$5:$B$1005="ENVÍO A SUPESA")*(MOVIMIENTOS!$C$5:$C$1005="A")*(MOVIMIENTOS!$D$5:$D$1005="jabas")*(MOVIMIENTOS!$A$5:$A$1005&lt;&gt;"")*(MOVIMIENTOS!$A$5:$A$1005&lt;=$A46)*MOVIMIENTOS!$E$5:$E$1005)+SUMPRODUCT((MOVIMIENTOS!$B$5:$B$1005="DEVOLUCIÓN")*(MOVIMIENTOS!$C$5:$C$1005="A")*(MOVIMIENTOS!$D$5:$D$1005="jabas")*(MOVIMIENTOS!$A$5:$A$1005&lt;&gt;"")*(MOVIMIENTOS!$A$5:$A$1005&lt;=$A46)*MOVIMIENTOS!$E$5:$E$1005)-SUMPRODUCT((MOVIMIENTOS!$B$5:$B$1005="TRASIEGO")*(MOVIMIENTOS!$C$5:$C$1005="A")*(MOVIMIENTOS!$D$5:$D$1005="jabas")*(MOVIMIENTOS!$A$5:$A$1005&lt;&gt;"")*(MOVIMIENTOS!$A$5:$A$1005&lt;=$A46)*MOVIMIENTOS!$E$5:$E$1005)-SUMPRODUCT((MOVIMIENTOS!$B$5:$B$1005="REGALO")*(MOVIMIENTOS!$C$5:$C$1005="A")*(MOVIMIENTOS!$D$5:$D$1005="jabas")*(MOVIMIENTOS!$A$5:$A$1005&lt;&gt;"")*(MOVIMIENTOS!$A$5:$A$1005&lt;=$A46)*MOVIMIENTOS!$E$5:$E$1005)-SUMPRODUCT((MOVIMIENTOS!$B$5:$B$1005="VENTA")*(MOVIMIENTOS!$C$5:$C$1005="A")*(MOVIMIENTOS!$D$5:$D$1005="jabas")*(MOVIMIENTOS!$A$5:$A$1005&lt;&gt;"")*(MOVIMIENTOS!$A$5:$A$1005&lt;=$A46)*MOVIMIENTOS!$E$5:$E$1005)+SUMPRODUCT((MOVIMIENTOS!$B$5:$B$1005="AJUSTE")*(MOVIMIENTOS!$C$5:$C$1005="A")*(MOVIMIENTOS!$D$5:$D$1005="jabas")*(MOVIMIENTOS!$A$5:$A$1005&lt;&gt;"")*(MOVIMIENTOS!$A$5:$A$1005&lt;=$A46)*MOVIMIENTOS!$E$5:$E$1005))</f>
        <v/>
      </c>
      <c r="C46" s="65" t="str">
        <f>IF($A46="","",SUMPRODUCT((MOVIMIENTOS!$B$5:$B$1005="SALDO INICIAL")*(MOVIMIENTOS!$C$5:$C$1005="P")*(MOVIMIENTOS!$D$5:$D$1005="jabas")*(MOVIMIENTOS!$A$5:$A$1005&lt;&gt;"")*(MOVIMIENTOS!$A$5:$A$1005&lt;=$A46)*MOVIMIENTOS!$E$5:$E$1005)+SUMPRODUCT((MOVIMIENTOS!$B$5:$B$1005="PROCESO")*(MOVIMIENTOS!$C$5:$C$1005="P")*(MOVIMIENTOS!$D$5:$D$1005="jabas")*(MOVIMIENTOS!$A$5:$A$1005&lt;&gt;"")*(MOVIMIENTOS!$A$5:$A$1005&lt;=$A46)*MOVIMIENTOS!$E$5:$E$1005)-SUMPRODUCT((MOVIMIENTOS!$B$5:$B$1005="ENVÍO A SUPESA")*(MOVIMIENTOS!$C$5:$C$1005="P")*(MOVIMIENTOS!$D$5:$D$1005="jabas")*(MOVIMIENTOS!$A$5:$A$1005&lt;&gt;"")*(MOVIMIENTOS!$A$5:$A$1005&lt;=$A46)*MOVIMIENTOS!$E$5:$E$1005)+SUMPRODUCT((MOVIMIENTOS!$B$5:$B$1005="DEVOLUCIÓN")*(MOVIMIENTOS!$C$5:$C$1005="P")*(MOVIMIENTOS!$D$5:$D$1005="jabas")*(MOVIMIENTOS!$A$5:$A$1005&lt;&gt;"")*(MOVIMIENTOS!$A$5:$A$1005&lt;=$A46)*MOVIMIENTOS!$E$5:$E$1005)-SUMPRODUCT((MOVIMIENTOS!$B$5:$B$1005="TRASIEGO")*(MOVIMIENTOS!$C$5:$C$1005="P")*(MOVIMIENTOS!$D$5:$D$1005="jabas")*(MOVIMIENTOS!$A$5:$A$1005&lt;&gt;"")*(MOVIMIENTOS!$A$5:$A$1005&lt;=$A46)*MOVIMIENTOS!$E$5:$E$1005)-SUMPRODUCT((MOVIMIENTOS!$B$5:$B$1005="REGALO")*(MOVIMIENTOS!$C$5:$C$1005="P")*(MOVIMIENTOS!$D$5:$D$1005="jabas")*(MOVIMIENTOS!$A$5:$A$1005&lt;&gt;"")*(MOVIMIENTOS!$A$5:$A$1005&lt;=$A46)*MOVIMIENTOS!$E$5:$E$1005)-SUMPRODUCT((MOVIMIENTOS!$B$5:$B$1005="VENTA")*(MOVIMIENTOS!$C$5:$C$1005="P")*(MOVIMIENTOS!$D$5:$D$1005="jabas")*(MOVIMIENTOS!$A$5:$A$1005&lt;&gt;"")*(MOVIMIENTOS!$A$5:$A$1005&lt;=$A46)*MOVIMIENTOS!$E$5:$E$1005)+SUMPRODUCT((MOVIMIENTOS!$B$5:$B$1005="AJUSTE")*(MOVIMIENTOS!$C$5:$C$1005="P")*(MOVIMIENTOS!$D$5:$D$1005="jabas")*(MOVIMIENTOS!$A$5:$A$1005&lt;&gt;"")*(MOVIMIENTOS!$A$5:$A$1005&lt;=$A46)*MOVIMIENTOS!$E$5:$E$1005))</f>
        <v/>
      </c>
      <c r="D46" s="65" t="str">
        <f>IF($A46="","",SUMPRODUCT((MOVIMIENTOS!$B$5:$B$1005="SALDO INICIAL")*(MOVIMIENTOS!$C$5:$C$1005="C")*(MOVIMIENTOS!$D$5:$D$1005="jabas")*(MOVIMIENTOS!$A$5:$A$1005&lt;&gt;"")*(MOVIMIENTOS!$A$5:$A$1005&lt;=$A46)*MOVIMIENTOS!$E$5:$E$1005)+SUMPRODUCT((MOVIMIENTOS!$B$5:$B$1005="PROCESO")*(MOVIMIENTOS!$C$5:$C$1005="C")*(MOVIMIENTOS!$D$5:$D$1005="jabas")*(MOVIMIENTOS!$A$5:$A$1005&lt;&gt;"")*(MOVIMIENTOS!$A$5:$A$1005&lt;=$A46)*MOVIMIENTOS!$E$5:$E$1005)-SUMPRODUCT((MOVIMIENTOS!$B$5:$B$1005="ENVÍO A SUPESA")*(MOVIMIENTOS!$C$5:$C$1005="C")*(MOVIMIENTOS!$D$5:$D$1005="jabas")*(MOVIMIENTOS!$A$5:$A$1005&lt;&gt;"")*(MOVIMIENTOS!$A$5:$A$1005&lt;=$A46)*MOVIMIENTOS!$E$5:$E$1005)+SUMPRODUCT((MOVIMIENTOS!$B$5:$B$1005="DEVOLUCIÓN")*(MOVIMIENTOS!$C$5:$C$1005="C")*(MOVIMIENTOS!$D$5:$D$1005="jabas")*(MOVIMIENTOS!$A$5:$A$1005&lt;&gt;"")*(MOVIMIENTOS!$A$5:$A$1005&lt;=$A46)*MOVIMIENTOS!$E$5:$E$1005)-SUMPRODUCT((MOVIMIENTOS!$B$5:$B$1005="TRASIEGO")*(MOVIMIENTOS!$C$5:$C$1005="C")*(MOVIMIENTOS!$D$5:$D$1005="jabas")*(MOVIMIENTOS!$A$5:$A$1005&lt;&gt;"")*(MOVIMIENTOS!$A$5:$A$1005&lt;=$A46)*MOVIMIENTOS!$E$5:$E$1005)-SUMPRODUCT((MOVIMIENTOS!$B$5:$B$1005="REGALO")*(MOVIMIENTOS!$C$5:$C$1005="C")*(MOVIMIENTOS!$D$5:$D$1005="jabas")*(MOVIMIENTOS!$A$5:$A$1005&lt;&gt;"")*(MOVIMIENTOS!$A$5:$A$1005&lt;=$A46)*MOVIMIENTOS!$E$5:$E$1005)-SUMPRODUCT((MOVIMIENTOS!$B$5:$B$1005="VENTA")*(MOVIMIENTOS!$C$5:$C$1005="C")*(MOVIMIENTOS!$D$5:$D$1005="jabas")*(MOVIMIENTOS!$A$5:$A$1005&lt;&gt;"")*(MOVIMIENTOS!$A$5:$A$1005&lt;=$A46)*MOVIMIENTOS!$E$5:$E$1005)+SUMPRODUCT((MOVIMIENTOS!$B$5:$B$1005="AJUSTE")*(MOVIMIENTOS!$C$5:$C$1005="C")*(MOVIMIENTOS!$D$5:$D$1005="jabas")*(MOVIMIENTOS!$A$5:$A$1005&lt;&gt;"")*(MOVIMIENTOS!$A$5:$A$1005&lt;=$A46)*MOVIMIENTOS!$E$5:$E$1005))</f>
        <v/>
      </c>
      <c r="E46" s="65" t="str">
        <f>IF($A46="","",SUMPRODUCT((MOVIMIENTOS!$B$5:$B$1005="SALDO INICIAL")*(MOVIMIENTOS!$C$5:$C$1005="M")*(MOVIMIENTOS!$D$5:$D$1005="jabas")*(MOVIMIENTOS!$A$5:$A$1005&lt;&gt;"")*(MOVIMIENTOS!$A$5:$A$1005&lt;=$A46)*MOVIMIENTOS!$E$5:$E$1005)+SUMPRODUCT((MOVIMIENTOS!$B$5:$B$1005="PROCESO")*(MOVIMIENTOS!$C$5:$C$1005="M")*(MOVIMIENTOS!$D$5:$D$1005="jabas")*(MOVIMIENTOS!$A$5:$A$1005&lt;&gt;"")*(MOVIMIENTOS!$A$5:$A$1005&lt;=$A46)*MOVIMIENTOS!$E$5:$E$1005)-SUMPRODUCT((MOVIMIENTOS!$B$5:$B$1005="ENVÍO A SUPESA")*(MOVIMIENTOS!$C$5:$C$1005="M")*(MOVIMIENTOS!$D$5:$D$1005="jabas")*(MOVIMIENTOS!$A$5:$A$1005&lt;&gt;"")*(MOVIMIENTOS!$A$5:$A$1005&lt;=$A46)*MOVIMIENTOS!$E$5:$E$1005)+SUMPRODUCT((MOVIMIENTOS!$B$5:$B$1005="DEVOLUCIÓN")*(MOVIMIENTOS!$C$5:$C$1005="M")*(MOVIMIENTOS!$D$5:$D$1005="jabas")*(MOVIMIENTOS!$A$5:$A$1005&lt;&gt;"")*(MOVIMIENTOS!$A$5:$A$1005&lt;=$A46)*MOVIMIENTOS!$E$5:$E$1005)-SUMPRODUCT((MOVIMIENTOS!$B$5:$B$1005="TRASIEGO")*(MOVIMIENTOS!$C$5:$C$1005="M")*(MOVIMIENTOS!$D$5:$D$1005="jabas")*(MOVIMIENTOS!$A$5:$A$1005&lt;&gt;"")*(MOVIMIENTOS!$A$5:$A$1005&lt;=$A46)*MOVIMIENTOS!$E$5:$E$1005)-SUMPRODUCT((MOVIMIENTOS!$B$5:$B$1005="REGALO")*(MOVIMIENTOS!$C$5:$C$1005="M")*(MOVIMIENTOS!$D$5:$D$1005="jabas")*(MOVIMIENTOS!$A$5:$A$1005&lt;&gt;"")*(MOVIMIENTOS!$A$5:$A$1005&lt;=$A46)*MOVIMIENTOS!$E$5:$E$1005)-SUMPRODUCT((MOVIMIENTOS!$B$5:$B$1005="VENTA")*(MOVIMIENTOS!$C$5:$C$1005="M")*(MOVIMIENTOS!$D$5:$D$1005="jabas")*(MOVIMIENTOS!$A$5:$A$1005&lt;&gt;"")*(MOVIMIENTOS!$A$5:$A$1005&lt;=$A46)*MOVIMIENTOS!$E$5:$E$1005)+SUMPRODUCT((MOVIMIENTOS!$B$5:$B$1005="AJUSTE")*(MOVIMIENTOS!$C$5:$C$1005="M")*(MOVIMIENTOS!$D$5:$D$1005="jabas")*(MOVIMIENTOS!$A$5:$A$1005&lt;&gt;"")*(MOVIMIENTOS!$A$5:$A$1005&lt;=$A46)*MOVIMIENTOS!$E$5:$E$1005))</f>
        <v/>
      </c>
      <c r="F46" s="65" t="str">
        <f>IF($A46="","",SUMPRODUCT((MOVIMIENTOS!$B$5:$B$1005="SALDO INICIAL")*(MOVIMIENTOS!$C$5:$C$1005="Chancho")*(MOVIMIENTOS!$D$5:$D$1005="sacos")*(MOVIMIENTOS!$A$5:$A$1005&lt;&gt;"")*(MOVIMIENTOS!$A$5:$A$1005&lt;=$A46)*MOVIMIENTOS!$E$5:$E$1005)+SUMPRODUCT((MOVIMIENTOS!$B$5:$B$1005="PROCESO")*(MOVIMIENTOS!$C$5:$C$1005="Chancho")*(MOVIMIENTOS!$D$5:$D$1005="sacos")*(MOVIMIENTOS!$A$5:$A$1005&lt;&gt;"")*(MOVIMIENTOS!$A$5:$A$1005&lt;=$A46)*MOVIMIENTOS!$E$5:$E$1005)-SUMPRODUCT((MOVIMIENTOS!$B$5:$B$1005="VENTA CHANCHO")*(MOVIMIENTOS!$C$5:$C$1005="Chancho")*(MOVIMIENTOS!$D$5:$D$1005="sacos")*(MOVIMIENTOS!$A$5:$A$1005&lt;&gt;"")*(MOVIMIENTOS!$A$5:$A$1005&lt;=$A46)*MOVIMIENTOS!$E$5:$E$1005)-SUMPRODUCT((MOVIMIENTOS!$B$5:$B$1005="REGALO")*(MOVIMIENTOS!$C$5:$C$1005="Chancho")*(MOVIMIENTOS!$D$5:$D$1005="sacos")*(MOVIMIENTOS!$A$5:$A$1005&lt;&gt;"")*(MOVIMIENTOS!$A$5:$A$1005&lt;=$A46)*MOVIMIENTOS!$E$5:$E$1005)-SUMPRODUCT((MOVIMIENTOS!$B$5:$B$1005="VENTA")*(MOVIMIENTOS!$C$5:$C$1005="Chancho")*(MOVIMIENTOS!$D$5:$D$1005="sacos")*(MOVIMIENTOS!$A$5:$A$1005&lt;&gt;"")*(MOVIMIENTOS!$A$5:$A$1005&lt;=$A46)*MOVIMIENTOS!$E$5:$E$1005)+SUMPRODUCT((MOVIMIENTOS!$B$5:$B$1005="AJUSTE")*(MOVIMIENTOS!$C$5:$C$1005="Chancho")*(MOVIMIENTOS!$D$5:$D$1005="sacos")*(MOVIMIENTOS!$A$5:$A$1005&lt;&gt;"")*(MOVIMIENTOS!$A$5:$A$1005&lt;=$A46)*MOVIMIENTOS!$E$5:$E$1005))</f>
        <v/>
      </c>
      <c r="G46" s="77" t="str">
        <f t="shared" si="1"/>
        <v/>
      </c>
      <c r="H46" s="65" t="str">
        <f>IF($A46="","",SUMPRODUCT((((MOVIMIENTOS!$B$5:$B$1005="SALDO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46)*MOVIMIENTOS!$J$5:$J$1005))</f>
        <v/>
      </c>
      <c r="I46" s="63"/>
      <c r="J46" s="63" t="str">
        <f>IF(AND(MOVIMIENTOS!$A46&lt;&gt;"",COUNTIF(MOVIMIENTOS!$A$5:$A45,MOVIMIENTOS!$A46)=0),COUNT(J$4:J45)+1,"")</f>
        <v/>
      </c>
      <c r="K46" s="66">
        <f>MOVIMIENTOS!$A46</f>
        <v>46218</v>
      </c>
      <c r="L46" s="63"/>
      <c r="M46" s="63"/>
      <c r="N46" s="63"/>
    </row>
    <row r="47" spans="1:14" ht="15" customHeight="1" x14ac:dyDescent="0.2">
      <c r="A47" s="64" t="str">
        <f t="shared" si="0"/>
        <v/>
      </c>
      <c r="B47" s="65" t="str">
        <f>IF($A47="","",SUMPRODUCT((MOVIMIENTOS!$B$5:$B$1005="SALDO INICIAL")*(MOVIMIENTOS!$C$5:$C$1005="A")*(MOVIMIENTOS!$D$5:$D$1005="jabas")*(MOVIMIENTOS!$A$5:$A$1005&lt;&gt;"")*(MOVIMIENTOS!$A$5:$A$1005&lt;=$A47)*MOVIMIENTOS!$E$5:$E$1005)+SUMPRODUCT((MOVIMIENTOS!$B$5:$B$1005="PROCESO")*(MOVIMIENTOS!$C$5:$C$1005="A")*(MOVIMIENTOS!$D$5:$D$1005="jabas")*(MOVIMIENTOS!$A$5:$A$1005&lt;&gt;"")*(MOVIMIENTOS!$A$5:$A$1005&lt;=$A47)*MOVIMIENTOS!$E$5:$E$1005)-SUMPRODUCT((MOVIMIENTOS!$B$5:$B$1005="ENVÍO A SUPESA")*(MOVIMIENTOS!$C$5:$C$1005="A")*(MOVIMIENTOS!$D$5:$D$1005="jabas")*(MOVIMIENTOS!$A$5:$A$1005&lt;&gt;"")*(MOVIMIENTOS!$A$5:$A$1005&lt;=$A47)*MOVIMIENTOS!$E$5:$E$1005)+SUMPRODUCT((MOVIMIENTOS!$B$5:$B$1005="DEVOLUCIÓN")*(MOVIMIENTOS!$C$5:$C$1005="A")*(MOVIMIENTOS!$D$5:$D$1005="jabas")*(MOVIMIENTOS!$A$5:$A$1005&lt;&gt;"")*(MOVIMIENTOS!$A$5:$A$1005&lt;=$A47)*MOVIMIENTOS!$E$5:$E$1005)-SUMPRODUCT((MOVIMIENTOS!$B$5:$B$1005="TRASIEGO")*(MOVIMIENTOS!$C$5:$C$1005="A")*(MOVIMIENTOS!$D$5:$D$1005="jabas")*(MOVIMIENTOS!$A$5:$A$1005&lt;&gt;"")*(MOVIMIENTOS!$A$5:$A$1005&lt;=$A47)*MOVIMIENTOS!$E$5:$E$1005)-SUMPRODUCT((MOVIMIENTOS!$B$5:$B$1005="REGALO")*(MOVIMIENTOS!$C$5:$C$1005="A")*(MOVIMIENTOS!$D$5:$D$1005="jabas")*(MOVIMIENTOS!$A$5:$A$1005&lt;&gt;"")*(MOVIMIENTOS!$A$5:$A$1005&lt;=$A47)*MOVIMIENTOS!$E$5:$E$1005)-SUMPRODUCT((MOVIMIENTOS!$B$5:$B$1005="VENTA")*(MOVIMIENTOS!$C$5:$C$1005="A")*(MOVIMIENTOS!$D$5:$D$1005="jabas")*(MOVIMIENTOS!$A$5:$A$1005&lt;&gt;"")*(MOVIMIENTOS!$A$5:$A$1005&lt;=$A47)*MOVIMIENTOS!$E$5:$E$1005)+SUMPRODUCT((MOVIMIENTOS!$B$5:$B$1005="AJUSTE")*(MOVIMIENTOS!$C$5:$C$1005="A")*(MOVIMIENTOS!$D$5:$D$1005="jabas")*(MOVIMIENTOS!$A$5:$A$1005&lt;&gt;"")*(MOVIMIENTOS!$A$5:$A$1005&lt;=$A47)*MOVIMIENTOS!$E$5:$E$1005))</f>
        <v/>
      </c>
      <c r="C47" s="65" t="str">
        <f>IF($A47="","",SUMPRODUCT((MOVIMIENTOS!$B$5:$B$1005="SALDO INICIAL")*(MOVIMIENTOS!$C$5:$C$1005="P")*(MOVIMIENTOS!$D$5:$D$1005="jabas")*(MOVIMIENTOS!$A$5:$A$1005&lt;&gt;"")*(MOVIMIENTOS!$A$5:$A$1005&lt;=$A47)*MOVIMIENTOS!$E$5:$E$1005)+SUMPRODUCT((MOVIMIENTOS!$B$5:$B$1005="PROCESO")*(MOVIMIENTOS!$C$5:$C$1005="P")*(MOVIMIENTOS!$D$5:$D$1005="jabas")*(MOVIMIENTOS!$A$5:$A$1005&lt;&gt;"")*(MOVIMIENTOS!$A$5:$A$1005&lt;=$A47)*MOVIMIENTOS!$E$5:$E$1005)-SUMPRODUCT((MOVIMIENTOS!$B$5:$B$1005="ENVÍO A SUPESA")*(MOVIMIENTOS!$C$5:$C$1005="P")*(MOVIMIENTOS!$D$5:$D$1005="jabas")*(MOVIMIENTOS!$A$5:$A$1005&lt;&gt;"")*(MOVIMIENTOS!$A$5:$A$1005&lt;=$A47)*MOVIMIENTOS!$E$5:$E$1005)+SUMPRODUCT((MOVIMIENTOS!$B$5:$B$1005="DEVOLUCIÓN")*(MOVIMIENTOS!$C$5:$C$1005="P")*(MOVIMIENTOS!$D$5:$D$1005="jabas")*(MOVIMIENTOS!$A$5:$A$1005&lt;&gt;"")*(MOVIMIENTOS!$A$5:$A$1005&lt;=$A47)*MOVIMIENTOS!$E$5:$E$1005)-SUMPRODUCT((MOVIMIENTOS!$B$5:$B$1005="TRASIEGO")*(MOVIMIENTOS!$C$5:$C$1005="P")*(MOVIMIENTOS!$D$5:$D$1005="jabas")*(MOVIMIENTOS!$A$5:$A$1005&lt;&gt;"")*(MOVIMIENTOS!$A$5:$A$1005&lt;=$A47)*MOVIMIENTOS!$E$5:$E$1005)-SUMPRODUCT((MOVIMIENTOS!$B$5:$B$1005="REGALO")*(MOVIMIENTOS!$C$5:$C$1005="P")*(MOVIMIENTOS!$D$5:$D$1005="jabas")*(MOVIMIENTOS!$A$5:$A$1005&lt;&gt;"")*(MOVIMIENTOS!$A$5:$A$1005&lt;=$A47)*MOVIMIENTOS!$E$5:$E$1005)-SUMPRODUCT((MOVIMIENTOS!$B$5:$B$1005="VENTA")*(MOVIMIENTOS!$C$5:$C$1005="P")*(MOVIMIENTOS!$D$5:$D$1005="jabas")*(MOVIMIENTOS!$A$5:$A$1005&lt;&gt;"")*(MOVIMIENTOS!$A$5:$A$1005&lt;=$A47)*MOVIMIENTOS!$E$5:$E$1005)+SUMPRODUCT((MOVIMIENTOS!$B$5:$B$1005="AJUSTE")*(MOVIMIENTOS!$C$5:$C$1005="P")*(MOVIMIENTOS!$D$5:$D$1005="jabas")*(MOVIMIENTOS!$A$5:$A$1005&lt;&gt;"")*(MOVIMIENTOS!$A$5:$A$1005&lt;=$A47)*MOVIMIENTOS!$E$5:$E$1005))</f>
        <v/>
      </c>
      <c r="D47" s="65" t="str">
        <f>IF($A47="","",SUMPRODUCT((MOVIMIENTOS!$B$5:$B$1005="SALDO INICIAL")*(MOVIMIENTOS!$C$5:$C$1005="C")*(MOVIMIENTOS!$D$5:$D$1005="jabas")*(MOVIMIENTOS!$A$5:$A$1005&lt;&gt;"")*(MOVIMIENTOS!$A$5:$A$1005&lt;=$A47)*MOVIMIENTOS!$E$5:$E$1005)+SUMPRODUCT((MOVIMIENTOS!$B$5:$B$1005="PROCESO")*(MOVIMIENTOS!$C$5:$C$1005="C")*(MOVIMIENTOS!$D$5:$D$1005="jabas")*(MOVIMIENTOS!$A$5:$A$1005&lt;&gt;"")*(MOVIMIENTOS!$A$5:$A$1005&lt;=$A47)*MOVIMIENTOS!$E$5:$E$1005)-SUMPRODUCT((MOVIMIENTOS!$B$5:$B$1005="ENVÍO A SUPESA")*(MOVIMIENTOS!$C$5:$C$1005="C")*(MOVIMIENTOS!$D$5:$D$1005="jabas")*(MOVIMIENTOS!$A$5:$A$1005&lt;&gt;"")*(MOVIMIENTOS!$A$5:$A$1005&lt;=$A47)*MOVIMIENTOS!$E$5:$E$1005)+SUMPRODUCT((MOVIMIENTOS!$B$5:$B$1005="DEVOLUCIÓN")*(MOVIMIENTOS!$C$5:$C$1005="C")*(MOVIMIENTOS!$D$5:$D$1005="jabas")*(MOVIMIENTOS!$A$5:$A$1005&lt;&gt;"")*(MOVIMIENTOS!$A$5:$A$1005&lt;=$A47)*MOVIMIENTOS!$E$5:$E$1005)-SUMPRODUCT((MOVIMIENTOS!$B$5:$B$1005="TRASIEGO")*(MOVIMIENTOS!$C$5:$C$1005="C")*(MOVIMIENTOS!$D$5:$D$1005="jabas")*(MOVIMIENTOS!$A$5:$A$1005&lt;&gt;"")*(MOVIMIENTOS!$A$5:$A$1005&lt;=$A47)*MOVIMIENTOS!$E$5:$E$1005)-SUMPRODUCT((MOVIMIENTOS!$B$5:$B$1005="REGALO")*(MOVIMIENTOS!$C$5:$C$1005="C")*(MOVIMIENTOS!$D$5:$D$1005="jabas")*(MOVIMIENTOS!$A$5:$A$1005&lt;&gt;"")*(MOVIMIENTOS!$A$5:$A$1005&lt;=$A47)*MOVIMIENTOS!$E$5:$E$1005)-SUMPRODUCT((MOVIMIENTOS!$B$5:$B$1005="VENTA")*(MOVIMIENTOS!$C$5:$C$1005="C")*(MOVIMIENTOS!$D$5:$D$1005="jabas")*(MOVIMIENTOS!$A$5:$A$1005&lt;&gt;"")*(MOVIMIENTOS!$A$5:$A$1005&lt;=$A47)*MOVIMIENTOS!$E$5:$E$1005)+SUMPRODUCT((MOVIMIENTOS!$B$5:$B$1005="AJUSTE")*(MOVIMIENTOS!$C$5:$C$1005="C")*(MOVIMIENTOS!$D$5:$D$1005="jabas")*(MOVIMIENTOS!$A$5:$A$1005&lt;&gt;"")*(MOVIMIENTOS!$A$5:$A$1005&lt;=$A47)*MOVIMIENTOS!$E$5:$E$1005))</f>
        <v/>
      </c>
      <c r="E47" s="65" t="str">
        <f>IF($A47="","",SUMPRODUCT((MOVIMIENTOS!$B$5:$B$1005="SALDO INICIAL")*(MOVIMIENTOS!$C$5:$C$1005="M")*(MOVIMIENTOS!$D$5:$D$1005="jabas")*(MOVIMIENTOS!$A$5:$A$1005&lt;&gt;"")*(MOVIMIENTOS!$A$5:$A$1005&lt;=$A47)*MOVIMIENTOS!$E$5:$E$1005)+SUMPRODUCT((MOVIMIENTOS!$B$5:$B$1005="PROCESO")*(MOVIMIENTOS!$C$5:$C$1005="M")*(MOVIMIENTOS!$D$5:$D$1005="jabas")*(MOVIMIENTOS!$A$5:$A$1005&lt;&gt;"")*(MOVIMIENTOS!$A$5:$A$1005&lt;=$A47)*MOVIMIENTOS!$E$5:$E$1005)-SUMPRODUCT((MOVIMIENTOS!$B$5:$B$1005="ENVÍO A SUPESA")*(MOVIMIENTOS!$C$5:$C$1005="M")*(MOVIMIENTOS!$D$5:$D$1005="jabas")*(MOVIMIENTOS!$A$5:$A$1005&lt;&gt;"")*(MOVIMIENTOS!$A$5:$A$1005&lt;=$A47)*MOVIMIENTOS!$E$5:$E$1005)+SUMPRODUCT((MOVIMIENTOS!$B$5:$B$1005="DEVOLUCIÓN")*(MOVIMIENTOS!$C$5:$C$1005="M")*(MOVIMIENTOS!$D$5:$D$1005="jabas")*(MOVIMIENTOS!$A$5:$A$1005&lt;&gt;"")*(MOVIMIENTOS!$A$5:$A$1005&lt;=$A47)*MOVIMIENTOS!$E$5:$E$1005)-SUMPRODUCT((MOVIMIENTOS!$B$5:$B$1005="TRASIEGO")*(MOVIMIENTOS!$C$5:$C$1005="M")*(MOVIMIENTOS!$D$5:$D$1005="jabas")*(MOVIMIENTOS!$A$5:$A$1005&lt;&gt;"")*(MOVIMIENTOS!$A$5:$A$1005&lt;=$A47)*MOVIMIENTOS!$E$5:$E$1005)-SUMPRODUCT((MOVIMIENTOS!$B$5:$B$1005="REGALO")*(MOVIMIENTOS!$C$5:$C$1005="M")*(MOVIMIENTOS!$D$5:$D$1005="jabas")*(MOVIMIENTOS!$A$5:$A$1005&lt;&gt;"")*(MOVIMIENTOS!$A$5:$A$1005&lt;=$A47)*MOVIMIENTOS!$E$5:$E$1005)-SUMPRODUCT((MOVIMIENTOS!$B$5:$B$1005="VENTA")*(MOVIMIENTOS!$C$5:$C$1005="M")*(MOVIMIENTOS!$D$5:$D$1005="jabas")*(MOVIMIENTOS!$A$5:$A$1005&lt;&gt;"")*(MOVIMIENTOS!$A$5:$A$1005&lt;=$A47)*MOVIMIENTOS!$E$5:$E$1005)+SUMPRODUCT((MOVIMIENTOS!$B$5:$B$1005="AJUSTE")*(MOVIMIENTOS!$C$5:$C$1005="M")*(MOVIMIENTOS!$D$5:$D$1005="jabas")*(MOVIMIENTOS!$A$5:$A$1005&lt;&gt;"")*(MOVIMIENTOS!$A$5:$A$1005&lt;=$A47)*MOVIMIENTOS!$E$5:$E$1005))</f>
        <v/>
      </c>
      <c r="F47" s="65" t="str">
        <f>IF($A47="","",SUMPRODUCT((MOVIMIENTOS!$B$5:$B$1005="SALDO INICIAL")*(MOVIMIENTOS!$C$5:$C$1005="Chancho")*(MOVIMIENTOS!$D$5:$D$1005="sacos")*(MOVIMIENTOS!$A$5:$A$1005&lt;&gt;"")*(MOVIMIENTOS!$A$5:$A$1005&lt;=$A47)*MOVIMIENTOS!$E$5:$E$1005)+SUMPRODUCT((MOVIMIENTOS!$B$5:$B$1005="PROCESO")*(MOVIMIENTOS!$C$5:$C$1005="Chancho")*(MOVIMIENTOS!$D$5:$D$1005="sacos")*(MOVIMIENTOS!$A$5:$A$1005&lt;&gt;"")*(MOVIMIENTOS!$A$5:$A$1005&lt;=$A47)*MOVIMIENTOS!$E$5:$E$1005)-SUMPRODUCT((MOVIMIENTOS!$B$5:$B$1005="VENTA CHANCHO")*(MOVIMIENTOS!$C$5:$C$1005="Chancho")*(MOVIMIENTOS!$D$5:$D$1005="sacos")*(MOVIMIENTOS!$A$5:$A$1005&lt;&gt;"")*(MOVIMIENTOS!$A$5:$A$1005&lt;=$A47)*MOVIMIENTOS!$E$5:$E$1005)-SUMPRODUCT((MOVIMIENTOS!$B$5:$B$1005="REGALO")*(MOVIMIENTOS!$C$5:$C$1005="Chancho")*(MOVIMIENTOS!$D$5:$D$1005="sacos")*(MOVIMIENTOS!$A$5:$A$1005&lt;&gt;"")*(MOVIMIENTOS!$A$5:$A$1005&lt;=$A47)*MOVIMIENTOS!$E$5:$E$1005)-SUMPRODUCT((MOVIMIENTOS!$B$5:$B$1005="VENTA")*(MOVIMIENTOS!$C$5:$C$1005="Chancho")*(MOVIMIENTOS!$D$5:$D$1005="sacos")*(MOVIMIENTOS!$A$5:$A$1005&lt;&gt;"")*(MOVIMIENTOS!$A$5:$A$1005&lt;=$A47)*MOVIMIENTOS!$E$5:$E$1005)+SUMPRODUCT((MOVIMIENTOS!$B$5:$B$1005="AJUSTE")*(MOVIMIENTOS!$C$5:$C$1005="Chancho")*(MOVIMIENTOS!$D$5:$D$1005="sacos")*(MOVIMIENTOS!$A$5:$A$1005&lt;&gt;"")*(MOVIMIENTOS!$A$5:$A$1005&lt;=$A47)*MOVIMIENTOS!$E$5:$E$1005))</f>
        <v/>
      </c>
      <c r="G47" s="77" t="str">
        <f t="shared" si="1"/>
        <v/>
      </c>
      <c r="H47" s="65" t="str">
        <f>IF($A47="","",SUMPRODUCT((((MOVIMIENTOS!$B$5:$B$1005="SALDO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47)*MOVIMIENTOS!$J$5:$J$1005))</f>
        <v/>
      </c>
      <c r="I47" s="63"/>
      <c r="J47" s="63" t="str">
        <f>IF(AND(MOVIMIENTOS!$A47&lt;&gt;"",COUNTIF(MOVIMIENTOS!$A$5:$A46,MOVIMIENTOS!$A47)=0),COUNT(J$4:J46)+1,"")</f>
        <v/>
      </c>
      <c r="K47" s="66">
        <f>MOVIMIENTOS!$A47</f>
        <v>46218</v>
      </c>
      <c r="L47" s="63"/>
      <c r="M47" s="63"/>
      <c r="N47" s="63"/>
    </row>
    <row r="48" spans="1:14" ht="15" customHeight="1" x14ac:dyDescent="0.2">
      <c r="A48" s="64" t="str">
        <f t="shared" si="0"/>
        <v/>
      </c>
      <c r="B48" s="65" t="str">
        <f>IF($A48="","",SUMPRODUCT((MOVIMIENTOS!$B$5:$B$1005="SALDO INICIAL")*(MOVIMIENTOS!$C$5:$C$1005="A")*(MOVIMIENTOS!$D$5:$D$1005="jabas")*(MOVIMIENTOS!$A$5:$A$1005&lt;&gt;"")*(MOVIMIENTOS!$A$5:$A$1005&lt;=$A48)*MOVIMIENTOS!$E$5:$E$1005)+SUMPRODUCT((MOVIMIENTOS!$B$5:$B$1005="PROCESO")*(MOVIMIENTOS!$C$5:$C$1005="A")*(MOVIMIENTOS!$D$5:$D$1005="jabas")*(MOVIMIENTOS!$A$5:$A$1005&lt;&gt;"")*(MOVIMIENTOS!$A$5:$A$1005&lt;=$A48)*MOVIMIENTOS!$E$5:$E$1005)-SUMPRODUCT((MOVIMIENTOS!$B$5:$B$1005="ENVÍO A SUPESA")*(MOVIMIENTOS!$C$5:$C$1005="A")*(MOVIMIENTOS!$D$5:$D$1005="jabas")*(MOVIMIENTOS!$A$5:$A$1005&lt;&gt;"")*(MOVIMIENTOS!$A$5:$A$1005&lt;=$A48)*MOVIMIENTOS!$E$5:$E$1005)+SUMPRODUCT((MOVIMIENTOS!$B$5:$B$1005="DEVOLUCIÓN")*(MOVIMIENTOS!$C$5:$C$1005="A")*(MOVIMIENTOS!$D$5:$D$1005="jabas")*(MOVIMIENTOS!$A$5:$A$1005&lt;&gt;"")*(MOVIMIENTOS!$A$5:$A$1005&lt;=$A48)*MOVIMIENTOS!$E$5:$E$1005)-SUMPRODUCT((MOVIMIENTOS!$B$5:$B$1005="TRASIEGO")*(MOVIMIENTOS!$C$5:$C$1005="A")*(MOVIMIENTOS!$D$5:$D$1005="jabas")*(MOVIMIENTOS!$A$5:$A$1005&lt;&gt;"")*(MOVIMIENTOS!$A$5:$A$1005&lt;=$A48)*MOVIMIENTOS!$E$5:$E$1005)-SUMPRODUCT((MOVIMIENTOS!$B$5:$B$1005="REGALO")*(MOVIMIENTOS!$C$5:$C$1005="A")*(MOVIMIENTOS!$D$5:$D$1005="jabas")*(MOVIMIENTOS!$A$5:$A$1005&lt;&gt;"")*(MOVIMIENTOS!$A$5:$A$1005&lt;=$A48)*MOVIMIENTOS!$E$5:$E$1005)-SUMPRODUCT((MOVIMIENTOS!$B$5:$B$1005="VENTA")*(MOVIMIENTOS!$C$5:$C$1005="A")*(MOVIMIENTOS!$D$5:$D$1005="jabas")*(MOVIMIENTOS!$A$5:$A$1005&lt;&gt;"")*(MOVIMIENTOS!$A$5:$A$1005&lt;=$A48)*MOVIMIENTOS!$E$5:$E$1005)+SUMPRODUCT((MOVIMIENTOS!$B$5:$B$1005="AJUSTE")*(MOVIMIENTOS!$C$5:$C$1005="A")*(MOVIMIENTOS!$D$5:$D$1005="jabas")*(MOVIMIENTOS!$A$5:$A$1005&lt;&gt;"")*(MOVIMIENTOS!$A$5:$A$1005&lt;=$A48)*MOVIMIENTOS!$E$5:$E$1005))</f>
        <v/>
      </c>
      <c r="C48" s="65" t="str">
        <f>IF($A48="","",SUMPRODUCT((MOVIMIENTOS!$B$5:$B$1005="SALDO INICIAL")*(MOVIMIENTOS!$C$5:$C$1005="P")*(MOVIMIENTOS!$D$5:$D$1005="jabas")*(MOVIMIENTOS!$A$5:$A$1005&lt;&gt;"")*(MOVIMIENTOS!$A$5:$A$1005&lt;=$A48)*MOVIMIENTOS!$E$5:$E$1005)+SUMPRODUCT((MOVIMIENTOS!$B$5:$B$1005="PROCESO")*(MOVIMIENTOS!$C$5:$C$1005="P")*(MOVIMIENTOS!$D$5:$D$1005="jabas")*(MOVIMIENTOS!$A$5:$A$1005&lt;&gt;"")*(MOVIMIENTOS!$A$5:$A$1005&lt;=$A48)*MOVIMIENTOS!$E$5:$E$1005)-SUMPRODUCT((MOVIMIENTOS!$B$5:$B$1005="ENVÍO A SUPESA")*(MOVIMIENTOS!$C$5:$C$1005="P")*(MOVIMIENTOS!$D$5:$D$1005="jabas")*(MOVIMIENTOS!$A$5:$A$1005&lt;&gt;"")*(MOVIMIENTOS!$A$5:$A$1005&lt;=$A48)*MOVIMIENTOS!$E$5:$E$1005)+SUMPRODUCT((MOVIMIENTOS!$B$5:$B$1005="DEVOLUCIÓN")*(MOVIMIENTOS!$C$5:$C$1005="P")*(MOVIMIENTOS!$D$5:$D$1005="jabas")*(MOVIMIENTOS!$A$5:$A$1005&lt;&gt;"")*(MOVIMIENTOS!$A$5:$A$1005&lt;=$A48)*MOVIMIENTOS!$E$5:$E$1005)-SUMPRODUCT((MOVIMIENTOS!$B$5:$B$1005="TRASIEGO")*(MOVIMIENTOS!$C$5:$C$1005="P")*(MOVIMIENTOS!$D$5:$D$1005="jabas")*(MOVIMIENTOS!$A$5:$A$1005&lt;&gt;"")*(MOVIMIENTOS!$A$5:$A$1005&lt;=$A48)*MOVIMIENTOS!$E$5:$E$1005)-SUMPRODUCT((MOVIMIENTOS!$B$5:$B$1005="REGALO")*(MOVIMIENTOS!$C$5:$C$1005="P")*(MOVIMIENTOS!$D$5:$D$1005="jabas")*(MOVIMIENTOS!$A$5:$A$1005&lt;&gt;"")*(MOVIMIENTOS!$A$5:$A$1005&lt;=$A48)*MOVIMIENTOS!$E$5:$E$1005)-SUMPRODUCT((MOVIMIENTOS!$B$5:$B$1005="VENTA")*(MOVIMIENTOS!$C$5:$C$1005="P")*(MOVIMIENTOS!$D$5:$D$1005="jabas")*(MOVIMIENTOS!$A$5:$A$1005&lt;&gt;"")*(MOVIMIENTOS!$A$5:$A$1005&lt;=$A48)*MOVIMIENTOS!$E$5:$E$1005)+SUMPRODUCT((MOVIMIENTOS!$B$5:$B$1005="AJUSTE")*(MOVIMIENTOS!$C$5:$C$1005="P")*(MOVIMIENTOS!$D$5:$D$1005="jabas")*(MOVIMIENTOS!$A$5:$A$1005&lt;&gt;"")*(MOVIMIENTOS!$A$5:$A$1005&lt;=$A48)*MOVIMIENTOS!$E$5:$E$1005))</f>
        <v/>
      </c>
      <c r="D48" s="65" t="str">
        <f>IF($A48="","",SUMPRODUCT((MOVIMIENTOS!$B$5:$B$1005="SALDO INICIAL")*(MOVIMIENTOS!$C$5:$C$1005="C")*(MOVIMIENTOS!$D$5:$D$1005="jabas")*(MOVIMIENTOS!$A$5:$A$1005&lt;&gt;"")*(MOVIMIENTOS!$A$5:$A$1005&lt;=$A48)*MOVIMIENTOS!$E$5:$E$1005)+SUMPRODUCT((MOVIMIENTOS!$B$5:$B$1005="PROCESO")*(MOVIMIENTOS!$C$5:$C$1005="C")*(MOVIMIENTOS!$D$5:$D$1005="jabas")*(MOVIMIENTOS!$A$5:$A$1005&lt;&gt;"")*(MOVIMIENTOS!$A$5:$A$1005&lt;=$A48)*MOVIMIENTOS!$E$5:$E$1005)-SUMPRODUCT((MOVIMIENTOS!$B$5:$B$1005="ENVÍO A SUPESA")*(MOVIMIENTOS!$C$5:$C$1005="C")*(MOVIMIENTOS!$D$5:$D$1005="jabas")*(MOVIMIENTOS!$A$5:$A$1005&lt;&gt;"")*(MOVIMIENTOS!$A$5:$A$1005&lt;=$A48)*MOVIMIENTOS!$E$5:$E$1005)+SUMPRODUCT((MOVIMIENTOS!$B$5:$B$1005="DEVOLUCIÓN")*(MOVIMIENTOS!$C$5:$C$1005="C")*(MOVIMIENTOS!$D$5:$D$1005="jabas")*(MOVIMIENTOS!$A$5:$A$1005&lt;&gt;"")*(MOVIMIENTOS!$A$5:$A$1005&lt;=$A48)*MOVIMIENTOS!$E$5:$E$1005)-SUMPRODUCT((MOVIMIENTOS!$B$5:$B$1005="TRASIEGO")*(MOVIMIENTOS!$C$5:$C$1005="C")*(MOVIMIENTOS!$D$5:$D$1005="jabas")*(MOVIMIENTOS!$A$5:$A$1005&lt;&gt;"")*(MOVIMIENTOS!$A$5:$A$1005&lt;=$A48)*MOVIMIENTOS!$E$5:$E$1005)-SUMPRODUCT((MOVIMIENTOS!$B$5:$B$1005="REGALO")*(MOVIMIENTOS!$C$5:$C$1005="C")*(MOVIMIENTOS!$D$5:$D$1005="jabas")*(MOVIMIENTOS!$A$5:$A$1005&lt;&gt;"")*(MOVIMIENTOS!$A$5:$A$1005&lt;=$A48)*MOVIMIENTOS!$E$5:$E$1005)-SUMPRODUCT((MOVIMIENTOS!$B$5:$B$1005="VENTA")*(MOVIMIENTOS!$C$5:$C$1005="C")*(MOVIMIENTOS!$D$5:$D$1005="jabas")*(MOVIMIENTOS!$A$5:$A$1005&lt;&gt;"")*(MOVIMIENTOS!$A$5:$A$1005&lt;=$A48)*MOVIMIENTOS!$E$5:$E$1005)+SUMPRODUCT((MOVIMIENTOS!$B$5:$B$1005="AJUSTE")*(MOVIMIENTOS!$C$5:$C$1005="C")*(MOVIMIENTOS!$D$5:$D$1005="jabas")*(MOVIMIENTOS!$A$5:$A$1005&lt;&gt;"")*(MOVIMIENTOS!$A$5:$A$1005&lt;=$A48)*MOVIMIENTOS!$E$5:$E$1005))</f>
        <v/>
      </c>
      <c r="E48" s="65" t="str">
        <f>IF($A48="","",SUMPRODUCT((MOVIMIENTOS!$B$5:$B$1005="SALDO INICIAL")*(MOVIMIENTOS!$C$5:$C$1005="M")*(MOVIMIENTOS!$D$5:$D$1005="jabas")*(MOVIMIENTOS!$A$5:$A$1005&lt;&gt;"")*(MOVIMIENTOS!$A$5:$A$1005&lt;=$A48)*MOVIMIENTOS!$E$5:$E$1005)+SUMPRODUCT((MOVIMIENTOS!$B$5:$B$1005="PROCESO")*(MOVIMIENTOS!$C$5:$C$1005="M")*(MOVIMIENTOS!$D$5:$D$1005="jabas")*(MOVIMIENTOS!$A$5:$A$1005&lt;&gt;"")*(MOVIMIENTOS!$A$5:$A$1005&lt;=$A48)*MOVIMIENTOS!$E$5:$E$1005)-SUMPRODUCT((MOVIMIENTOS!$B$5:$B$1005="ENVÍO A SUPESA")*(MOVIMIENTOS!$C$5:$C$1005="M")*(MOVIMIENTOS!$D$5:$D$1005="jabas")*(MOVIMIENTOS!$A$5:$A$1005&lt;&gt;"")*(MOVIMIENTOS!$A$5:$A$1005&lt;=$A48)*MOVIMIENTOS!$E$5:$E$1005)+SUMPRODUCT((MOVIMIENTOS!$B$5:$B$1005="DEVOLUCIÓN")*(MOVIMIENTOS!$C$5:$C$1005="M")*(MOVIMIENTOS!$D$5:$D$1005="jabas")*(MOVIMIENTOS!$A$5:$A$1005&lt;&gt;"")*(MOVIMIENTOS!$A$5:$A$1005&lt;=$A48)*MOVIMIENTOS!$E$5:$E$1005)-SUMPRODUCT((MOVIMIENTOS!$B$5:$B$1005="TRASIEGO")*(MOVIMIENTOS!$C$5:$C$1005="M")*(MOVIMIENTOS!$D$5:$D$1005="jabas")*(MOVIMIENTOS!$A$5:$A$1005&lt;&gt;"")*(MOVIMIENTOS!$A$5:$A$1005&lt;=$A48)*MOVIMIENTOS!$E$5:$E$1005)-SUMPRODUCT((MOVIMIENTOS!$B$5:$B$1005="REGALO")*(MOVIMIENTOS!$C$5:$C$1005="M")*(MOVIMIENTOS!$D$5:$D$1005="jabas")*(MOVIMIENTOS!$A$5:$A$1005&lt;&gt;"")*(MOVIMIENTOS!$A$5:$A$1005&lt;=$A48)*MOVIMIENTOS!$E$5:$E$1005)-SUMPRODUCT((MOVIMIENTOS!$B$5:$B$1005="VENTA")*(MOVIMIENTOS!$C$5:$C$1005="M")*(MOVIMIENTOS!$D$5:$D$1005="jabas")*(MOVIMIENTOS!$A$5:$A$1005&lt;&gt;"")*(MOVIMIENTOS!$A$5:$A$1005&lt;=$A48)*MOVIMIENTOS!$E$5:$E$1005)+SUMPRODUCT((MOVIMIENTOS!$B$5:$B$1005="AJUSTE")*(MOVIMIENTOS!$C$5:$C$1005="M")*(MOVIMIENTOS!$D$5:$D$1005="jabas")*(MOVIMIENTOS!$A$5:$A$1005&lt;&gt;"")*(MOVIMIENTOS!$A$5:$A$1005&lt;=$A48)*MOVIMIENTOS!$E$5:$E$1005))</f>
        <v/>
      </c>
      <c r="F48" s="65" t="str">
        <f>IF($A48="","",SUMPRODUCT((MOVIMIENTOS!$B$5:$B$1005="SALDO INICIAL")*(MOVIMIENTOS!$C$5:$C$1005="Chancho")*(MOVIMIENTOS!$D$5:$D$1005="sacos")*(MOVIMIENTOS!$A$5:$A$1005&lt;&gt;"")*(MOVIMIENTOS!$A$5:$A$1005&lt;=$A48)*MOVIMIENTOS!$E$5:$E$1005)+SUMPRODUCT((MOVIMIENTOS!$B$5:$B$1005="PROCESO")*(MOVIMIENTOS!$C$5:$C$1005="Chancho")*(MOVIMIENTOS!$D$5:$D$1005="sacos")*(MOVIMIENTOS!$A$5:$A$1005&lt;&gt;"")*(MOVIMIENTOS!$A$5:$A$1005&lt;=$A48)*MOVIMIENTOS!$E$5:$E$1005)-SUMPRODUCT((MOVIMIENTOS!$B$5:$B$1005="VENTA CHANCHO")*(MOVIMIENTOS!$C$5:$C$1005="Chancho")*(MOVIMIENTOS!$D$5:$D$1005="sacos")*(MOVIMIENTOS!$A$5:$A$1005&lt;&gt;"")*(MOVIMIENTOS!$A$5:$A$1005&lt;=$A48)*MOVIMIENTOS!$E$5:$E$1005)-SUMPRODUCT((MOVIMIENTOS!$B$5:$B$1005="REGALO")*(MOVIMIENTOS!$C$5:$C$1005="Chancho")*(MOVIMIENTOS!$D$5:$D$1005="sacos")*(MOVIMIENTOS!$A$5:$A$1005&lt;&gt;"")*(MOVIMIENTOS!$A$5:$A$1005&lt;=$A48)*MOVIMIENTOS!$E$5:$E$1005)-SUMPRODUCT((MOVIMIENTOS!$B$5:$B$1005="VENTA")*(MOVIMIENTOS!$C$5:$C$1005="Chancho")*(MOVIMIENTOS!$D$5:$D$1005="sacos")*(MOVIMIENTOS!$A$5:$A$1005&lt;&gt;"")*(MOVIMIENTOS!$A$5:$A$1005&lt;=$A48)*MOVIMIENTOS!$E$5:$E$1005)+SUMPRODUCT((MOVIMIENTOS!$B$5:$B$1005="AJUSTE")*(MOVIMIENTOS!$C$5:$C$1005="Chancho")*(MOVIMIENTOS!$D$5:$D$1005="sacos")*(MOVIMIENTOS!$A$5:$A$1005&lt;&gt;"")*(MOVIMIENTOS!$A$5:$A$1005&lt;=$A48)*MOVIMIENTOS!$E$5:$E$1005))</f>
        <v/>
      </c>
      <c r="G48" s="77" t="str">
        <f t="shared" si="1"/>
        <v/>
      </c>
      <c r="H48" s="65" t="str">
        <f>IF($A48="","",SUMPRODUCT((((MOVIMIENTOS!$B$5:$B$1005="SALDO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48)*MOVIMIENTOS!$J$5:$J$1005))</f>
        <v/>
      </c>
      <c r="I48" s="63"/>
      <c r="J48" s="63" t="str">
        <f>IF(AND(MOVIMIENTOS!$A48&lt;&gt;"",COUNTIF(MOVIMIENTOS!$A$5:$A47,MOVIMIENTOS!$A48)=0),COUNT(J$4:J47)+1,"")</f>
        <v/>
      </c>
      <c r="K48" s="66">
        <f>MOVIMIENTOS!$A48</f>
        <v>46218</v>
      </c>
      <c r="L48" s="63"/>
      <c r="M48" s="63"/>
      <c r="N48" s="63"/>
    </row>
    <row r="49" spans="1:14" ht="15" customHeight="1" x14ac:dyDescent="0.2">
      <c r="A49" s="64" t="str">
        <f t="shared" si="0"/>
        <v/>
      </c>
      <c r="B49" s="65" t="str">
        <f>IF($A49="","",SUMPRODUCT((MOVIMIENTOS!$B$5:$B$1005="SALDO INICIAL")*(MOVIMIENTOS!$C$5:$C$1005="A")*(MOVIMIENTOS!$D$5:$D$1005="jabas")*(MOVIMIENTOS!$A$5:$A$1005&lt;&gt;"")*(MOVIMIENTOS!$A$5:$A$1005&lt;=$A49)*MOVIMIENTOS!$E$5:$E$1005)+SUMPRODUCT((MOVIMIENTOS!$B$5:$B$1005="PROCESO")*(MOVIMIENTOS!$C$5:$C$1005="A")*(MOVIMIENTOS!$D$5:$D$1005="jabas")*(MOVIMIENTOS!$A$5:$A$1005&lt;&gt;"")*(MOVIMIENTOS!$A$5:$A$1005&lt;=$A49)*MOVIMIENTOS!$E$5:$E$1005)-SUMPRODUCT((MOVIMIENTOS!$B$5:$B$1005="ENVÍO A SUPESA")*(MOVIMIENTOS!$C$5:$C$1005="A")*(MOVIMIENTOS!$D$5:$D$1005="jabas")*(MOVIMIENTOS!$A$5:$A$1005&lt;&gt;"")*(MOVIMIENTOS!$A$5:$A$1005&lt;=$A49)*MOVIMIENTOS!$E$5:$E$1005)+SUMPRODUCT((MOVIMIENTOS!$B$5:$B$1005="DEVOLUCIÓN")*(MOVIMIENTOS!$C$5:$C$1005="A")*(MOVIMIENTOS!$D$5:$D$1005="jabas")*(MOVIMIENTOS!$A$5:$A$1005&lt;&gt;"")*(MOVIMIENTOS!$A$5:$A$1005&lt;=$A49)*MOVIMIENTOS!$E$5:$E$1005)-SUMPRODUCT((MOVIMIENTOS!$B$5:$B$1005="TRASIEGO")*(MOVIMIENTOS!$C$5:$C$1005="A")*(MOVIMIENTOS!$D$5:$D$1005="jabas")*(MOVIMIENTOS!$A$5:$A$1005&lt;&gt;"")*(MOVIMIENTOS!$A$5:$A$1005&lt;=$A49)*MOVIMIENTOS!$E$5:$E$1005)-SUMPRODUCT((MOVIMIENTOS!$B$5:$B$1005="REGALO")*(MOVIMIENTOS!$C$5:$C$1005="A")*(MOVIMIENTOS!$D$5:$D$1005="jabas")*(MOVIMIENTOS!$A$5:$A$1005&lt;&gt;"")*(MOVIMIENTOS!$A$5:$A$1005&lt;=$A49)*MOVIMIENTOS!$E$5:$E$1005)-SUMPRODUCT((MOVIMIENTOS!$B$5:$B$1005="VENTA")*(MOVIMIENTOS!$C$5:$C$1005="A")*(MOVIMIENTOS!$D$5:$D$1005="jabas")*(MOVIMIENTOS!$A$5:$A$1005&lt;&gt;"")*(MOVIMIENTOS!$A$5:$A$1005&lt;=$A49)*MOVIMIENTOS!$E$5:$E$1005)+SUMPRODUCT((MOVIMIENTOS!$B$5:$B$1005="AJUSTE")*(MOVIMIENTOS!$C$5:$C$1005="A")*(MOVIMIENTOS!$D$5:$D$1005="jabas")*(MOVIMIENTOS!$A$5:$A$1005&lt;&gt;"")*(MOVIMIENTOS!$A$5:$A$1005&lt;=$A49)*MOVIMIENTOS!$E$5:$E$1005))</f>
        <v/>
      </c>
      <c r="C49" s="65" t="str">
        <f>IF($A49="","",SUMPRODUCT((MOVIMIENTOS!$B$5:$B$1005="SALDO INICIAL")*(MOVIMIENTOS!$C$5:$C$1005="P")*(MOVIMIENTOS!$D$5:$D$1005="jabas")*(MOVIMIENTOS!$A$5:$A$1005&lt;&gt;"")*(MOVIMIENTOS!$A$5:$A$1005&lt;=$A49)*MOVIMIENTOS!$E$5:$E$1005)+SUMPRODUCT((MOVIMIENTOS!$B$5:$B$1005="PROCESO")*(MOVIMIENTOS!$C$5:$C$1005="P")*(MOVIMIENTOS!$D$5:$D$1005="jabas")*(MOVIMIENTOS!$A$5:$A$1005&lt;&gt;"")*(MOVIMIENTOS!$A$5:$A$1005&lt;=$A49)*MOVIMIENTOS!$E$5:$E$1005)-SUMPRODUCT((MOVIMIENTOS!$B$5:$B$1005="ENVÍO A SUPESA")*(MOVIMIENTOS!$C$5:$C$1005="P")*(MOVIMIENTOS!$D$5:$D$1005="jabas")*(MOVIMIENTOS!$A$5:$A$1005&lt;&gt;"")*(MOVIMIENTOS!$A$5:$A$1005&lt;=$A49)*MOVIMIENTOS!$E$5:$E$1005)+SUMPRODUCT((MOVIMIENTOS!$B$5:$B$1005="DEVOLUCIÓN")*(MOVIMIENTOS!$C$5:$C$1005="P")*(MOVIMIENTOS!$D$5:$D$1005="jabas")*(MOVIMIENTOS!$A$5:$A$1005&lt;&gt;"")*(MOVIMIENTOS!$A$5:$A$1005&lt;=$A49)*MOVIMIENTOS!$E$5:$E$1005)-SUMPRODUCT((MOVIMIENTOS!$B$5:$B$1005="TRASIEGO")*(MOVIMIENTOS!$C$5:$C$1005="P")*(MOVIMIENTOS!$D$5:$D$1005="jabas")*(MOVIMIENTOS!$A$5:$A$1005&lt;&gt;"")*(MOVIMIENTOS!$A$5:$A$1005&lt;=$A49)*MOVIMIENTOS!$E$5:$E$1005)-SUMPRODUCT((MOVIMIENTOS!$B$5:$B$1005="REGALO")*(MOVIMIENTOS!$C$5:$C$1005="P")*(MOVIMIENTOS!$D$5:$D$1005="jabas")*(MOVIMIENTOS!$A$5:$A$1005&lt;&gt;"")*(MOVIMIENTOS!$A$5:$A$1005&lt;=$A49)*MOVIMIENTOS!$E$5:$E$1005)-SUMPRODUCT((MOVIMIENTOS!$B$5:$B$1005="VENTA")*(MOVIMIENTOS!$C$5:$C$1005="P")*(MOVIMIENTOS!$D$5:$D$1005="jabas")*(MOVIMIENTOS!$A$5:$A$1005&lt;&gt;"")*(MOVIMIENTOS!$A$5:$A$1005&lt;=$A49)*MOVIMIENTOS!$E$5:$E$1005)+SUMPRODUCT((MOVIMIENTOS!$B$5:$B$1005="AJUSTE")*(MOVIMIENTOS!$C$5:$C$1005="P")*(MOVIMIENTOS!$D$5:$D$1005="jabas")*(MOVIMIENTOS!$A$5:$A$1005&lt;&gt;"")*(MOVIMIENTOS!$A$5:$A$1005&lt;=$A49)*MOVIMIENTOS!$E$5:$E$1005))</f>
        <v/>
      </c>
      <c r="D49" s="65" t="str">
        <f>IF($A49="","",SUMPRODUCT((MOVIMIENTOS!$B$5:$B$1005="SALDO INICIAL")*(MOVIMIENTOS!$C$5:$C$1005="C")*(MOVIMIENTOS!$D$5:$D$1005="jabas")*(MOVIMIENTOS!$A$5:$A$1005&lt;&gt;"")*(MOVIMIENTOS!$A$5:$A$1005&lt;=$A49)*MOVIMIENTOS!$E$5:$E$1005)+SUMPRODUCT((MOVIMIENTOS!$B$5:$B$1005="PROCESO")*(MOVIMIENTOS!$C$5:$C$1005="C")*(MOVIMIENTOS!$D$5:$D$1005="jabas")*(MOVIMIENTOS!$A$5:$A$1005&lt;&gt;"")*(MOVIMIENTOS!$A$5:$A$1005&lt;=$A49)*MOVIMIENTOS!$E$5:$E$1005)-SUMPRODUCT((MOVIMIENTOS!$B$5:$B$1005="ENVÍO A SUPESA")*(MOVIMIENTOS!$C$5:$C$1005="C")*(MOVIMIENTOS!$D$5:$D$1005="jabas")*(MOVIMIENTOS!$A$5:$A$1005&lt;&gt;"")*(MOVIMIENTOS!$A$5:$A$1005&lt;=$A49)*MOVIMIENTOS!$E$5:$E$1005)+SUMPRODUCT((MOVIMIENTOS!$B$5:$B$1005="DEVOLUCIÓN")*(MOVIMIENTOS!$C$5:$C$1005="C")*(MOVIMIENTOS!$D$5:$D$1005="jabas")*(MOVIMIENTOS!$A$5:$A$1005&lt;&gt;"")*(MOVIMIENTOS!$A$5:$A$1005&lt;=$A49)*MOVIMIENTOS!$E$5:$E$1005)-SUMPRODUCT((MOVIMIENTOS!$B$5:$B$1005="TRASIEGO")*(MOVIMIENTOS!$C$5:$C$1005="C")*(MOVIMIENTOS!$D$5:$D$1005="jabas")*(MOVIMIENTOS!$A$5:$A$1005&lt;&gt;"")*(MOVIMIENTOS!$A$5:$A$1005&lt;=$A49)*MOVIMIENTOS!$E$5:$E$1005)-SUMPRODUCT((MOVIMIENTOS!$B$5:$B$1005="REGALO")*(MOVIMIENTOS!$C$5:$C$1005="C")*(MOVIMIENTOS!$D$5:$D$1005="jabas")*(MOVIMIENTOS!$A$5:$A$1005&lt;&gt;"")*(MOVIMIENTOS!$A$5:$A$1005&lt;=$A49)*MOVIMIENTOS!$E$5:$E$1005)-SUMPRODUCT((MOVIMIENTOS!$B$5:$B$1005="VENTA")*(MOVIMIENTOS!$C$5:$C$1005="C")*(MOVIMIENTOS!$D$5:$D$1005="jabas")*(MOVIMIENTOS!$A$5:$A$1005&lt;&gt;"")*(MOVIMIENTOS!$A$5:$A$1005&lt;=$A49)*MOVIMIENTOS!$E$5:$E$1005)+SUMPRODUCT((MOVIMIENTOS!$B$5:$B$1005="AJUSTE")*(MOVIMIENTOS!$C$5:$C$1005="C")*(MOVIMIENTOS!$D$5:$D$1005="jabas")*(MOVIMIENTOS!$A$5:$A$1005&lt;&gt;"")*(MOVIMIENTOS!$A$5:$A$1005&lt;=$A49)*MOVIMIENTOS!$E$5:$E$1005))</f>
        <v/>
      </c>
      <c r="E49" s="65" t="str">
        <f>IF($A49="","",SUMPRODUCT((MOVIMIENTOS!$B$5:$B$1005="SALDO INICIAL")*(MOVIMIENTOS!$C$5:$C$1005="M")*(MOVIMIENTOS!$D$5:$D$1005="jabas")*(MOVIMIENTOS!$A$5:$A$1005&lt;&gt;"")*(MOVIMIENTOS!$A$5:$A$1005&lt;=$A49)*MOVIMIENTOS!$E$5:$E$1005)+SUMPRODUCT((MOVIMIENTOS!$B$5:$B$1005="PROCESO")*(MOVIMIENTOS!$C$5:$C$1005="M")*(MOVIMIENTOS!$D$5:$D$1005="jabas")*(MOVIMIENTOS!$A$5:$A$1005&lt;&gt;"")*(MOVIMIENTOS!$A$5:$A$1005&lt;=$A49)*MOVIMIENTOS!$E$5:$E$1005)-SUMPRODUCT((MOVIMIENTOS!$B$5:$B$1005="ENVÍO A SUPESA")*(MOVIMIENTOS!$C$5:$C$1005="M")*(MOVIMIENTOS!$D$5:$D$1005="jabas")*(MOVIMIENTOS!$A$5:$A$1005&lt;&gt;"")*(MOVIMIENTOS!$A$5:$A$1005&lt;=$A49)*MOVIMIENTOS!$E$5:$E$1005)+SUMPRODUCT((MOVIMIENTOS!$B$5:$B$1005="DEVOLUCIÓN")*(MOVIMIENTOS!$C$5:$C$1005="M")*(MOVIMIENTOS!$D$5:$D$1005="jabas")*(MOVIMIENTOS!$A$5:$A$1005&lt;&gt;"")*(MOVIMIENTOS!$A$5:$A$1005&lt;=$A49)*MOVIMIENTOS!$E$5:$E$1005)-SUMPRODUCT((MOVIMIENTOS!$B$5:$B$1005="TRASIEGO")*(MOVIMIENTOS!$C$5:$C$1005="M")*(MOVIMIENTOS!$D$5:$D$1005="jabas")*(MOVIMIENTOS!$A$5:$A$1005&lt;&gt;"")*(MOVIMIENTOS!$A$5:$A$1005&lt;=$A49)*MOVIMIENTOS!$E$5:$E$1005)-SUMPRODUCT((MOVIMIENTOS!$B$5:$B$1005="REGALO")*(MOVIMIENTOS!$C$5:$C$1005="M")*(MOVIMIENTOS!$D$5:$D$1005="jabas")*(MOVIMIENTOS!$A$5:$A$1005&lt;&gt;"")*(MOVIMIENTOS!$A$5:$A$1005&lt;=$A49)*MOVIMIENTOS!$E$5:$E$1005)-SUMPRODUCT((MOVIMIENTOS!$B$5:$B$1005="VENTA")*(MOVIMIENTOS!$C$5:$C$1005="M")*(MOVIMIENTOS!$D$5:$D$1005="jabas")*(MOVIMIENTOS!$A$5:$A$1005&lt;&gt;"")*(MOVIMIENTOS!$A$5:$A$1005&lt;=$A49)*MOVIMIENTOS!$E$5:$E$1005)+SUMPRODUCT((MOVIMIENTOS!$B$5:$B$1005="AJUSTE")*(MOVIMIENTOS!$C$5:$C$1005="M")*(MOVIMIENTOS!$D$5:$D$1005="jabas")*(MOVIMIENTOS!$A$5:$A$1005&lt;&gt;"")*(MOVIMIENTOS!$A$5:$A$1005&lt;=$A49)*MOVIMIENTOS!$E$5:$E$1005))</f>
        <v/>
      </c>
      <c r="F49" s="65" t="str">
        <f>IF($A49="","",SUMPRODUCT((MOVIMIENTOS!$B$5:$B$1005="SALDO INICIAL")*(MOVIMIENTOS!$C$5:$C$1005="Chancho")*(MOVIMIENTOS!$D$5:$D$1005="sacos")*(MOVIMIENTOS!$A$5:$A$1005&lt;&gt;"")*(MOVIMIENTOS!$A$5:$A$1005&lt;=$A49)*MOVIMIENTOS!$E$5:$E$1005)+SUMPRODUCT((MOVIMIENTOS!$B$5:$B$1005="PROCESO")*(MOVIMIENTOS!$C$5:$C$1005="Chancho")*(MOVIMIENTOS!$D$5:$D$1005="sacos")*(MOVIMIENTOS!$A$5:$A$1005&lt;&gt;"")*(MOVIMIENTOS!$A$5:$A$1005&lt;=$A49)*MOVIMIENTOS!$E$5:$E$1005)-SUMPRODUCT((MOVIMIENTOS!$B$5:$B$1005="VENTA CHANCHO")*(MOVIMIENTOS!$C$5:$C$1005="Chancho")*(MOVIMIENTOS!$D$5:$D$1005="sacos")*(MOVIMIENTOS!$A$5:$A$1005&lt;&gt;"")*(MOVIMIENTOS!$A$5:$A$1005&lt;=$A49)*MOVIMIENTOS!$E$5:$E$1005)-SUMPRODUCT((MOVIMIENTOS!$B$5:$B$1005="REGALO")*(MOVIMIENTOS!$C$5:$C$1005="Chancho")*(MOVIMIENTOS!$D$5:$D$1005="sacos")*(MOVIMIENTOS!$A$5:$A$1005&lt;&gt;"")*(MOVIMIENTOS!$A$5:$A$1005&lt;=$A49)*MOVIMIENTOS!$E$5:$E$1005)-SUMPRODUCT((MOVIMIENTOS!$B$5:$B$1005="VENTA")*(MOVIMIENTOS!$C$5:$C$1005="Chancho")*(MOVIMIENTOS!$D$5:$D$1005="sacos")*(MOVIMIENTOS!$A$5:$A$1005&lt;&gt;"")*(MOVIMIENTOS!$A$5:$A$1005&lt;=$A49)*MOVIMIENTOS!$E$5:$E$1005)+SUMPRODUCT((MOVIMIENTOS!$B$5:$B$1005="AJUSTE")*(MOVIMIENTOS!$C$5:$C$1005="Chancho")*(MOVIMIENTOS!$D$5:$D$1005="sacos")*(MOVIMIENTOS!$A$5:$A$1005&lt;&gt;"")*(MOVIMIENTOS!$A$5:$A$1005&lt;=$A49)*MOVIMIENTOS!$E$5:$E$1005))</f>
        <v/>
      </c>
      <c r="G49" s="77" t="str">
        <f t="shared" si="1"/>
        <v/>
      </c>
      <c r="H49" s="65" t="str">
        <f>IF($A49="","",SUMPRODUCT((((MOVIMIENTOS!$B$5:$B$1005="SALDO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49)*MOVIMIENTOS!$J$5:$J$1005))</f>
        <v/>
      </c>
      <c r="I49" s="63"/>
      <c r="J49" s="63" t="str">
        <f>IF(AND(MOVIMIENTOS!$A49&lt;&gt;"",COUNTIF(MOVIMIENTOS!$A$5:$A48,MOVIMIENTOS!$A49)=0),COUNT(J$4:J48)+1,"")</f>
        <v/>
      </c>
      <c r="K49" s="66">
        <f>MOVIMIENTOS!$A49</f>
        <v>46218</v>
      </c>
      <c r="L49" s="63"/>
      <c r="M49" s="63"/>
      <c r="N49" s="63"/>
    </row>
    <row r="50" spans="1:14" ht="15" customHeight="1" x14ac:dyDescent="0.2">
      <c r="A50" s="64" t="str">
        <f t="shared" si="0"/>
        <v/>
      </c>
      <c r="B50" s="65" t="str">
        <f>IF($A50="","",SUMPRODUCT((MOVIMIENTOS!$B$5:$B$1005="SALDO INICIAL")*(MOVIMIENTOS!$C$5:$C$1005="A")*(MOVIMIENTOS!$D$5:$D$1005="jabas")*(MOVIMIENTOS!$A$5:$A$1005&lt;&gt;"")*(MOVIMIENTOS!$A$5:$A$1005&lt;=$A50)*MOVIMIENTOS!$E$5:$E$1005)+SUMPRODUCT((MOVIMIENTOS!$B$5:$B$1005="PROCESO")*(MOVIMIENTOS!$C$5:$C$1005="A")*(MOVIMIENTOS!$D$5:$D$1005="jabas")*(MOVIMIENTOS!$A$5:$A$1005&lt;&gt;"")*(MOVIMIENTOS!$A$5:$A$1005&lt;=$A50)*MOVIMIENTOS!$E$5:$E$1005)-SUMPRODUCT((MOVIMIENTOS!$B$5:$B$1005="ENVÍO A SUPESA")*(MOVIMIENTOS!$C$5:$C$1005="A")*(MOVIMIENTOS!$D$5:$D$1005="jabas")*(MOVIMIENTOS!$A$5:$A$1005&lt;&gt;"")*(MOVIMIENTOS!$A$5:$A$1005&lt;=$A50)*MOVIMIENTOS!$E$5:$E$1005)+SUMPRODUCT((MOVIMIENTOS!$B$5:$B$1005="DEVOLUCIÓN")*(MOVIMIENTOS!$C$5:$C$1005="A")*(MOVIMIENTOS!$D$5:$D$1005="jabas")*(MOVIMIENTOS!$A$5:$A$1005&lt;&gt;"")*(MOVIMIENTOS!$A$5:$A$1005&lt;=$A50)*MOVIMIENTOS!$E$5:$E$1005)-SUMPRODUCT((MOVIMIENTOS!$B$5:$B$1005="TRASIEGO")*(MOVIMIENTOS!$C$5:$C$1005="A")*(MOVIMIENTOS!$D$5:$D$1005="jabas")*(MOVIMIENTOS!$A$5:$A$1005&lt;&gt;"")*(MOVIMIENTOS!$A$5:$A$1005&lt;=$A50)*MOVIMIENTOS!$E$5:$E$1005)-SUMPRODUCT((MOVIMIENTOS!$B$5:$B$1005="REGALO")*(MOVIMIENTOS!$C$5:$C$1005="A")*(MOVIMIENTOS!$D$5:$D$1005="jabas")*(MOVIMIENTOS!$A$5:$A$1005&lt;&gt;"")*(MOVIMIENTOS!$A$5:$A$1005&lt;=$A50)*MOVIMIENTOS!$E$5:$E$1005)-SUMPRODUCT((MOVIMIENTOS!$B$5:$B$1005="VENTA")*(MOVIMIENTOS!$C$5:$C$1005="A")*(MOVIMIENTOS!$D$5:$D$1005="jabas")*(MOVIMIENTOS!$A$5:$A$1005&lt;&gt;"")*(MOVIMIENTOS!$A$5:$A$1005&lt;=$A50)*MOVIMIENTOS!$E$5:$E$1005)+SUMPRODUCT((MOVIMIENTOS!$B$5:$B$1005="AJUSTE")*(MOVIMIENTOS!$C$5:$C$1005="A")*(MOVIMIENTOS!$D$5:$D$1005="jabas")*(MOVIMIENTOS!$A$5:$A$1005&lt;&gt;"")*(MOVIMIENTOS!$A$5:$A$1005&lt;=$A50)*MOVIMIENTOS!$E$5:$E$1005))</f>
        <v/>
      </c>
      <c r="C50" s="65" t="str">
        <f>IF($A50="","",SUMPRODUCT((MOVIMIENTOS!$B$5:$B$1005="SALDO INICIAL")*(MOVIMIENTOS!$C$5:$C$1005="P")*(MOVIMIENTOS!$D$5:$D$1005="jabas")*(MOVIMIENTOS!$A$5:$A$1005&lt;&gt;"")*(MOVIMIENTOS!$A$5:$A$1005&lt;=$A50)*MOVIMIENTOS!$E$5:$E$1005)+SUMPRODUCT((MOVIMIENTOS!$B$5:$B$1005="PROCESO")*(MOVIMIENTOS!$C$5:$C$1005="P")*(MOVIMIENTOS!$D$5:$D$1005="jabas")*(MOVIMIENTOS!$A$5:$A$1005&lt;&gt;"")*(MOVIMIENTOS!$A$5:$A$1005&lt;=$A50)*MOVIMIENTOS!$E$5:$E$1005)-SUMPRODUCT((MOVIMIENTOS!$B$5:$B$1005="ENVÍO A SUPESA")*(MOVIMIENTOS!$C$5:$C$1005="P")*(MOVIMIENTOS!$D$5:$D$1005="jabas")*(MOVIMIENTOS!$A$5:$A$1005&lt;&gt;"")*(MOVIMIENTOS!$A$5:$A$1005&lt;=$A50)*MOVIMIENTOS!$E$5:$E$1005)+SUMPRODUCT((MOVIMIENTOS!$B$5:$B$1005="DEVOLUCIÓN")*(MOVIMIENTOS!$C$5:$C$1005="P")*(MOVIMIENTOS!$D$5:$D$1005="jabas")*(MOVIMIENTOS!$A$5:$A$1005&lt;&gt;"")*(MOVIMIENTOS!$A$5:$A$1005&lt;=$A50)*MOVIMIENTOS!$E$5:$E$1005)-SUMPRODUCT((MOVIMIENTOS!$B$5:$B$1005="TRASIEGO")*(MOVIMIENTOS!$C$5:$C$1005="P")*(MOVIMIENTOS!$D$5:$D$1005="jabas")*(MOVIMIENTOS!$A$5:$A$1005&lt;&gt;"")*(MOVIMIENTOS!$A$5:$A$1005&lt;=$A50)*MOVIMIENTOS!$E$5:$E$1005)-SUMPRODUCT((MOVIMIENTOS!$B$5:$B$1005="REGALO")*(MOVIMIENTOS!$C$5:$C$1005="P")*(MOVIMIENTOS!$D$5:$D$1005="jabas")*(MOVIMIENTOS!$A$5:$A$1005&lt;&gt;"")*(MOVIMIENTOS!$A$5:$A$1005&lt;=$A50)*MOVIMIENTOS!$E$5:$E$1005)-SUMPRODUCT((MOVIMIENTOS!$B$5:$B$1005="VENTA")*(MOVIMIENTOS!$C$5:$C$1005="P")*(MOVIMIENTOS!$D$5:$D$1005="jabas")*(MOVIMIENTOS!$A$5:$A$1005&lt;&gt;"")*(MOVIMIENTOS!$A$5:$A$1005&lt;=$A50)*MOVIMIENTOS!$E$5:$E$1005)+SUMPRODUCT((MOVIMIENTOS!$B$5:$B$1005="AJUSTE")*(MOVIMIENTOS!$C$5:$C$1005="P")*(MOVIMIENTOS!$D$5:$D$1005="jabas")*(MOVIMIENTOS!$A$5:$A$1005&lt;&gt;"")*(MOVIMIENTOS!$A$5:$A$1005&lt;=$A50)*MOVIMIENTOS!$E$5:$E$1005))</f>
        <v/>
      </c>
      <c r="D50" s="65" t="str">
        <f>IF($A50="","",SUMPRODUCT((MOVIMIENTOS!$B$5:$B$1005="SALDO INICIAL")*(MOVIMIENTOS!$C$5:$C$1005="C")*(MOVIMIENTOS!$D$5:$D$1005="jabas")*(MOVIMIENTOS!$A$5:$A$1005&lt;&gt;"")*(MOVIMIENTOS!$A$5:$A$1005&lt;=$A50)*MOVIMIENTOS!$E$5:$E$1005)+SUMPRODUCT((MOVIMIENTOS!$B$5:$B$1005="PROCESO")*(MOVIMIENTOS!$C$5:$C$1005="C")*(MOVIMIENTOS!$D$5:$D$1005="jabas")*(MOVIMIENTOS!$A$5:$A$1005&lt;&gt;"")*(MOVIMIENTOS!$A$5:$A$1005&lt;=$A50)*MOVIMIENTOS!$E$5:$E$1005)-SUMPRODUCT((MOVIMIENTOS!$B$5:$B$1005="ENVÍO A SUPESA")*(MOVIMIENTOS!$C$5:$C$1005="C")*(MOVIMIENTOS!$D$5:$D$1005="jabas")*(MOVIMIENTOS!$A$5:$A$1005&lt;&gt;"")*(MOVIMIENTOS!$A$5:$A$1005&lt;=$A50)*MOVIMIENTOS!$E$5:$E$1005)+SUMPRODUCT((MOVIMIENTOS!$B$5:$B$1005="DEVOLUCIÓN")*(MOVIMIENTOS!$C$5:$C$1005="C")*(MOVIMIENTOS!$D$5:$D$1005="jabas")*(MOVIMIENTOS!$A$5:$A$1005&lt;&gt;"")*(MOVIMIENTOS!$A$5:$A$1005&lt;=$A50)*MOVIMIENTOS!$E$5:$E$1005)-SUMPRODUCT((MOVIMIENTOS!$B$5:$B$1005="TRASIEGO")*(MOVIMIENTOS!$C$5:$C$1005="C")*(MOVIMIENTOS!$D$5:$D$1005="jabas")*(MOVIMIENTOS!$A$5:$A$1005&lt;&gt;"")*(MOVIMIENTOS!$A$5:$A$1005&lt;=$A50)*MOVIMIENTOS!$E$5:$E$1005)-SUMPRODUCT((MOVIMIENTOS!$B$5:$B$1005="REGALO")*(MOVIMIENTOS!$C$5:$C$1005="C")*(MOVIMIENTOS!$D$5:$D$1005="jabas")*(MOVIMIENTOS!$A$5:$A$1005&lt;&gt;"")*(MOVIMIENTOS!$A$5:$A$1005&lt;=$A50)*MOVIMIENTOS!$E$5:$E$1005)-SUMPRODUCT((MOVIMIENTOS!$B$5:$B$1005="VENTA")*(MOVIMIENTOS!$C$5:$C$1005="C")*(MOVIMIENTOS!$D$5:$D$1005="jabas")*(MOVIMIENTOS!$A$5:$A$1005&lt;&gt;"")*(MOVIMIENTOS!$A$5:$A$1005&lt;=$A50)*MOVIMIENTOS!$E$5:$E$1005)+SUMPRODUCT((MOVIMIENTOS!$B$5:$B$1005="AJUSTE")*(MOVIMIENTOS!$C$5:$C$1005="C")*(MOVIMIENTOS!$D$5:$D$1005="jabas")*(MOVIMIENTOS!$A$5:$A$1005&lt;&gt;"")*(MOVIMIENTOS!$A$5:$A$1005&lt;=$A50)*MOVIMIENTOS!$E$5:$E$1005))</f>
        <v/>
      </c>
      <c r="E50" s="65" t="str">
        <f>IF($A50="","",SUMPRODUCT((MOVIMIENTOS!$B$5:$B$1005="SALDO INICIAL")*(MOVIMIENTOS!$C$5:$C$1005="M")*(MOVIMIENTOS!$D$5:$D$1005="jabas")*(MOVIMIENTOS!$A$5:$A$1005&lt;&gt;"")*(MOVIMIENTOS!$A$5:$A$1005&lt;=$A50)*MOVIMIENTOS!$E$5:$E$1005)+SUMPRODUCT((MOVIMIENTOS!$B$5:$B$1005="PROCESO")*(MOVIMIENTOS!$C$5:$C$1005="M")*(MOVIMIENTOS!$D$5:$D$1005="jabas")*(MOVIMIENTOS!$A$5:$A$1005&lt;&gt;"")*(MOVIMIENTOS!$A$5:$A$1005&lt;=$A50)*MOVIMIENTOS!$E$5:$E$1005)-SUMPRODUCT((MOVIMIENTOS!$B$5:$B$1005="ENVÍO A SUPESA")*(MOVIMIENTOS!$C$5:$C$1005="M")*(MOVIMIENTOS!$D$5:$D$1005="jabas")*(MOVIMIENTOS!$A$5:$A$1005&lt;&gt;"")*(MOVIMIENTOS!$A$5:$A$1005&lt;=$A50)*MOVIMIENTOS!$E$5:$E$1005)+SUMPRODUCT((MOVIMIENTOS!$B$5:$B$1005="DEVOLUCIÓN")*(MOVIMIENTOS!$C$5:$C$1005="M")*(MOVIMIENTOS!$D$5:$D$1005="jabas")*(MOVIMIENTOS!$A$5:$A$1005&lt;&gt;"")*(MOVIMIENTOS!$A$5:$A$1005&lt;=$A50)*MOVIMIENTOS!$E$5:$E$1005)-SUMPRODUCT((MOVIMIENTOS!$B$5:$B$1005="TRASIEGO")*(MOVIMIENTOS!$C$5:$C$1005="M")*(MOVIMIENTOS!$D$5:$D$1005="jabas")*(MOVIMIENTOS!$A$5:$A$1005&lt;&gt;"")*(MOVIMIENTOS!$A$5:$A$1005&lt;=$A50)*MOVIMIENTOS!$E$5:$E$1005)-SUMPRODUCT((MOVIMIENTOS!$B$5:$B$1005="REGALO")*(MOVIMIENTOS!$C$5:$C$1005="M")*(MOVIMIENTOS!$D$5:$D$1005="jabas")*(MOVIMIENTOS!$A$5:$A$1005&lt;&gt;"")*(MOVIMIENTOS!$A$5:$A$1005&lt;=$A50)*MOVIMIENTOS!$E$5:$E$1005)-SUMPRODUCT((MOVIMIENTOS!$B$5:$B$1005="VENTA")*(MOVIMIENTOS!$C$5:$C$1005="M")*(MOVIMIENTOS!$D$5:$D$1005="jabas")*(MOVIMIENTOS!$A$5:$A$1005&lt;&gt;"")*(MOVIMIENTOS!$A$5:$A$1005&lt;=$A50)*MOVIMIENTOS!$E$5:$E$1005)+SUMPRODUCT((MOVIMIENTOS!$B$5:$B$1005="AJUSTE")*(MOVIMIENTOS!$C$5:$C$1005="M")*(MOVIMIENTOS!$D$5:$D$1005="jabas")*(MOVIMIENTOS!$A$5:$A$1005&lt;&gt;"")*(MOVIMIENTOS!$A$5:$A$1005&lt;=$A50)*MOVIMIENTOS!$E$5:$E$1005))</f>
        <v/>
      </c>
      <c r="F50" s="65" t="str">
        <f>IF($A50="","",SUMPRODUCT((MOVIMIENTOS!$B$5:$B$1005="SALDO INICIAL")*(MOVIMIENTOS!$C$5:$C$1005="Chancho")*(MOVIMIENTOS!$D$5:$D$1005="sacos")*(MOVIMIENTOS!$A$5:$A$1005&lt;&gt;"")*(MOVIMIENTOS!$A$5:$A$1005&lt;=$A50)*MOVIMIENTOS!$E$5:$E$1005)+SUMPRODUCT((MOVIMIENTOS!$B$5:$B$1005="PROCESO")*(MOVIMIENTOS!$C$5:$C$1005="Chancho")*(MOVIMIENTOS!$D$5:$D$1005="sacos")*(MOVIMIENTOS!$A$5:$A$1005&lt;&gt;"")*(MOVIMIENTOS!$A$5:$A$1005&lt;=$A50)*MOVIMIENTOS!$E$5:$E$1005)-SUMPRODUCT((MOVIMIENTOS!$B$5:$B$1005="VENTA CHANCHO")*(MOVIMIENTOS!$C$5:$C$1005="Chancho")*(MOVIMIENTOS!$D$5:$D$1005="sacos")*(MOVIMIENTOS!$A$5:$A$1005&lt;&gt;"")*(MOVIMIENTOS!$A$5:$A$1005&lt;=$A50)*MOVIMIENTOS!$E$5:$E$1005)-SUMPRODUCT((MOVIMIENTOS!$B$5:$B$1005="REGALO")*(MOVIMIENTOS!$C$5:$C$1005="Chancho")*(MOVIMIENTOS!$D$5:$D$1005="sacos")*(MOVIMIENTOS!$A$5:$A$1005&lt;&gt;"")*(MOVIMIENTOS!$A$5:$A$1005&lt;=$A50)*MOVIMIENTOS!$E$5:$E$1005)-SUMPRODUCT((MOVIMIENTOS!$B$5:$B$1005="VENTA")*(MOVIMIENTOS!$C$5:$C$1005="Chancho")*(MOVIMIENTOS!$D$5:$D$1005="sacos")*(MOVIMIENTOS!$A$5:$A$1005&lt;&gt;"")*(MOVIMIENTOS!$A$5:$A$1005&lt;=$A50)*MOVIMIENTOS!$E$5:$E$1005)+SUMPRODUCT((MOVIMIENTOS!$B$5:$B$1005="AJUSTE")*(MOVIMIENTOS!$C$5:$C$1005="Chancho")*(MOVIMIENTOS!$D$5:$D$1005="sacos")*(MOVIMIENTOS!$A$5:$A$1005&lt;&gt;"")*(MOVIMIENTOS!$A$5:$A$1005&lt;=$A50)*MOVIMIENTOS!$E$5:$E$1005))</f>
        <v/>
      </c>
      <c r="G50" s="77" t="str">
        <f t="shared" si="1"/>
        <v/>
      </c>
      <c r="H50" s="65" t="str">
        <f>IF($A50="","",SUMPRODUCT((((MOVIMIENTOS!$B$5:$B$1005="SALDO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50)*MOVIMIENTOS!$J$5:$J$1005))</f>
        <v/>
      </c>
      <c r="I50" s="63"/>
      <c r="J50" s="63">
        <f>IF(AND(MOVIMIENTOS!$A50&lt;&gt;"",COUNTIF(MOVIMIENTOS!$A$5:$A49,MOVIMIENTOS!$A50)=0),COUNT(J$4:J49)+1,"")</f>
        <v>7</v>
      </c>
      <c r="K50" s="66">
        <f>MOVIMIENTOS!$A50</f>
        <v>46219</v>
      </c>
      <c r="L50" s="63"/>
      <c r="M50" s="63"/>
      <c r="N50" s="63"/>
    </row>
    <row r="51" spans="1:14" ht="15" customHeight="1" x14ac:dyDescent="0.2">
      <c r="A51" s="64" t="str">
        <f t="shared" si="0"/>
        <v/>
      </c>
      <c r="B51" s="65" t="str">
        <f>IF($A51="","",SUMPRODUCT((MOVIMIENTOS!$B$5:$B$1005="SALDO INICIAL")*(MOVIMIENTOS!$C$5:$C$1005="A")*(MOVIMIENTOS!$D$5:$D$1005="jabas")*(MOVIMIENTOS!$A$5:$A$1005&lt;&gt;"")*(MOVIMIENTOS!$A$5:$A$1005&lt;=$A51)*MOVIMIENTOS!$E$5:$E$1005)+SUMPRODUCT((MOVIMIENTOS!$B$5:$B$1005="PROCESO")*(MOVIMIENTOS!$C$5:$C$1005="A")*(MOVIMIENTOS!$D$5:$D$1005="jabas")*(MOVIMIENTOS!$A$5:$A$1005&lt;&gt;"")*(MOVIMIENTOS!$A$5:$A$1005&lt;=$A51)*MOVIMIENTOS!$E$5:$E$1005)-SUMPRODUCT((MOVIMIENTOS!$B$5:$B$1005="ENVÍO A SUPESA")*(MOVIMIENTOS!$C$5:$C$1005="A")*(MOVIMIENTOS!$D$5:$D$1005="jabas")*(MOVIMIENTOS!$A$5:$A$1005&lt;&gt;"")*(MOVIMIENTOS!$A$5:$A$1005&lt;=$A51)*MOVIMIENTOS!$E$5:$E$1005)+SUMPRODUCT((MOVIMIENTOS!$B$5:$B$1005="DEVOLUCIÓN")*(MOVIMIENTOS!$C$5:$C$1005="A")*(MOVIMIENTOS!$D$5:$D$1005="jabas")*(MOVIMIENTOS!$A$5:$A$1005&lt;&gt;"")*(MOVIMIENTOS!$A$5:$A$1005&lt;=$A51)*MOVIMIENTOS!$E$5:$E$1005)-SUMPRODUCT((MOVIMIENTOS!$B$5:$B$1005="TRASIEGO")*(MOVIMIENTOS!$C$5:$C$1005="A")*(MOVIMIENTOS!$D$5:$D$1005="jabas")*(MOVIMIENTOS!$A$5:$A$1005&lt;&gt;"")*(MOVIMIENTOS!$A$5:$A$1005&lt;=$A51)*MOVIMIENTOS!$E$5:$E$1005)-SUMPRODUCT((MOVIMIENTOS!$B$5:$B$1005="REGALO")*(MOVIMIENTOS!$C$5:$C$1005="A")*(MOVIMIENTOS!$D$5:$D$1005="jabas")*(MOVIMIENTOS!$A$5:$A$1005&lt;&gt;"")*(MOVIMIENTOS!$A$5:$A$1005&lt;=$A51)*MOVIMIENTOS!$E$5:$E$1005)-SUMPRODUCT((MOVIMIENTOS!$B$5:$B$1005="VENTA")*(MOVIMIENTOS!$C$5:$C$1005="A")*(MOVIMIENTOS!$D$5:$D$1005="jabas")*(MOVIMIENTOS!$A$5:$A$1005&lt;&gt;"")*(MOVIMIENTOS!$A$5:$A$1005&lt;=$A51)*MOVIMIENTOS!$E$5:$E$1005)+SUMPRODUCT((MOVIMIENTOS!$B$5:$B$1005="AJUSTE")*(MOVIMIENTOS!$C$5:$C$1005="A")*(MOVIMIENTOS!$D$5:$D$1005="jabas")*(MOVIMIENTOS!$A$5:$A$1005&lt;&gt;"")*(MOVIMIENTOS!$A$5:$A$1005&lt;=$A51)*MOVIMIENTOS!$E$5:$E$1005))</f>
        <v/>
      </c>
      <c r="C51" s="65" t="str">
        <f>IF($A51="","",SUMPRODUCT((MOVIMIENTOS!$B$5:$B$1005="SALDO INICIAL")*(MOVIMIENTOS!$C$5:$C$1005="P")*(MOVIMIENTOS!$D$5:$D$1005="jabas")*(MOVIMIENTOS!$A$5:$A$1005&lt;&gt;"")*(MOVIMIENTOS!$A$5:$A$1005&lt;=$A51)*MOVIMIENTOS!$E$5:$E$1005)+SUMPRODUCT((MOVIMIENTOS!$B$5:$B$1005="PROCESO")*(MOVIMIENTOS!$C$5:$C$1005="P")*(MOVIMIENTOS!$D$5:$D$1005="jabas")*(MOVIMIENTOS!$A$5:$A$1005&lt;&gt;"")*(MOVIMIENTOS!$A$5:$A$1005&lt;=$A51)*MOVIMIENTOS!$E$5:$E$1005)-SUMPRODUCT((MOVIMIENTOS!$B$5:$B$1005="ENVÍO A SUPESA")*(MOVIMIENTOS!$C$5:$C$1005="P")*(MOVIMIENTOS!$D$5:$D$1005="jabas")*(MOVIMIENTOS!$A$5:$A$1005&lt;&gt;"")*(MOVIMIENTOS!$A$5:$A$1005&lt;=$A51)*MOVIMIENTOS!$E$5:$E$1005)+SUMPRODUCT((MOVIMIENTOS!$B$5:$B$1005="DEVOLUCIÓN")*(MOVIMIENTOS!$C$5:$C$1005="P")*(MOVIMIENTOS!$D$5:$D$1005="jabas")*(MOVIMIENTOS!$A$5:$A$1005&lt;&gt;"")*(MOVIMIENTOS!$A$5:$A$1005&lt;=$A51)*MOVIMIENTOS!$E$5:$E$1005)-SUMPRODUCT((MOVIMIENTOS!$B$5:$B$1005="TRASIEGO")*(MOVIMIENTOS!$C$5:$C$1005="P")*(MOVIMIENTOS!$D$5:$D$1005="jabas")*(MOVIMIENTOS!$A$5:$A$1005&lt;&gt;"")*(MOVIMIENTOS!$A$5:$A$1005&lt;=$A51)*MOVIMIENTOS!$E$5:$E$1005)-SUMPRODUCT((MOVIMIENTOS!$B$5:$B$1005="REGALO")*(MOVIMIENTOS!$C$5:$C$1005="P")*(MOVIMIENTOS!$D$5:$D$1005="jabas")*(MOVIMIENTOS!$A$5:$A$1005&lt;&gt;"")*(MOVIMIENTOS!$A$5:$A$1005&lt;=$A51)*MOVIMIENTOS!$E$5:$E$1005)-SUMPRODUCT((MOVIMIENTOS!$B$5:$B$1005="VENTA")*(MOVIMIENTOS!$C$5:$C$1005="P")*(MOVIMIENTOS!$D$5:$D$1005="jabas")*(MOVIMIENTOS!$A$5:$A$1005&lt;&gt;"")*(MOVIMIENTOS!$A$5:$A$1005&lt;=$A51)*MOVIMIENTOS!$E$5:$E$1005)+SUMPRODUCT((MOVIMIENTOS!$B$5:$B$1005="AJUSTE")*(MOVIMIENTOS!$C$5:$C$1005="P")*(MOVIMIENTOS!$D$5:$D$1005="jabas")*(MOVIMIENTOS!$A$5:$A$1005&lt;&gt;"")*(MOVIMIENTOS!$A$5:$A$1005&lt;=$A51)*MOVIMIENTOS!$E$5:$E$1005))</f>
        <v/>
      </c>
      <c r="D51" s="65" t="str">
        <f>IF($A51="","",SUMPRODUCT((MOVIMIENTOS!$B$5:$B$1005="SALDO INICIAL")*(MOVIMIENTOS!$C$5:$C$1005="C")*(MOVIMIENTOS!$D$5:$D$1005="jabas")*(MOVIMIENTOS!$A$5:$A$1005&lt;&gt;"")*(MOVIMIENTOS!$A$5:$A$1005&lt;=$A51)*MOVIMIENTOS!$E$5:$E$1005)+SUMPRODUCT((MOVIMIENTOS!$B$5:$B$1005="PROCESO")*(MOVIMIENTOS!$C$5:$C$1005="C")*(MOVIMIENTOS!$D$5:$D$1005="jabas")*(MOVIMIENTOS!$A$5:$A$1005&lt;&gt;"")*(MOVIMIENTOS!$A$5:$A$1005&lt;=$A51)*MOVIMIENTOS!$E$5:$E$1005)-SUMPRODUCT((MOVIMIENTOS!$B$5:$B$1005="ENVÍO A SUPESA")*(MOVIMIENTOS!$C$5:$C$1005="C")*(MOVIMIENTOS!$D$5:$D$1005="jabas")*(MOVIMIENTOS!$A$5:$A$1005&lt;&gt;"")*(MOVIMIENTOS!$A$5:$A$1005&lt;=$A51)*MOVIMIENTOS!$E$5:$E$1005)+SUMPRODUCT((MOVIMIENTOS!$B$5:$B$1005="DEVOLUCIÓN")*(MOVIMIENTOS!$C$5:$C$1005="C")*(MOVIMIENTOS!$D$5:$D$1005="jabas")*(MOVIMIENTOS!$A$5:$A$1005&lt;&gt;"")*(MOVIMIENTOS!$A$5:$A$1005&lt;=$A51)*MOVIMIENTOS!$E$5:$E$1005)-SUMPRODUCT((MOVIMIENTOS!$B$5:$B$1005="TRASIEGO")*(MOVIMIENTOS!$C$5:$C$1005="C")*(MOVIMIENTOS!$D$5:$D$1005="jabas")*(MOVIMIENTOS!$A$5:$A$1005&lt;&gt;"")*(MOVIMIENTOS!$A$5:$A$1005&lt;=$A51)*MOVIMIENTOS!$E$5:$E$1005)-SUMPRODUCT((MOVIMIENTOS!$B$5:$B$1005="REGALO")*(MOVIMIENTOS!$C$5:$C$1005="C")*(MOVIMIENTOS!$D$5:$D$1005="jabas")*(MOVIMIENTOS!$A$5:$A$1005&lt;&gt;"")*(MOVIMIENTOS!$A$5:$A$1005&lt;=$A51)*MOVIMIENTOS!$E$5:$E$1005)-SUMPRODUCT((MOVIMIENTOS!$B$5:$B$1005="VENTA")*(MOVIMIENTOS!$C$5:$C$1005="C")*(MOVIMIENTOS!$D$5:$D$1005="jabas")*(MOVIMIENTOS!$A$5:$A$1005&lt;&gt;"")*(MOVIMIENTOS!$A$5:$A$1005&lt;=$A51)*MOVIMIENTOS!$E$5:$E$1005)+SUMPRODUCT((MOVIMIENTOS!$B$5:$B$1005="AJUSTE")*(MOVIMIENTOS!$C$5:$C$1005="C")*(MOVIMIENTOS!$D$5:$D$1005="jabas")*(MOVIMIENTOS!$A$5:$A$1005&lt;&gt;"")*(MOVIMIENTOS!$A$5:$A$1005&lt;=$A51)*MOVIMIENTOS!$E$5:$E$1005))</f>
        <v/>
      </c>
      <c r="E51" s="65" t="str">
        <f>IF($A51="","",SUMPRODUCT((MOVIMIENTOS!$B$5:$B$1005="SALDO INICIAL")*(MOVIMIENTOS!$C$5:$C$1005="M")*(MOVIMIENTOS!$D$5:$D$1005="jabas")*(MOVIMIENTOS!$A$5:$A$1005&lt;&gt;"")*(MOVIMIENTOS!$A$5:$A$1005&lt;=$A51)*MOVIMIENTOS!$E$5:$E$1005)+SUMPRODUCT((MOVIMIENTOS!$B$5:$B$1005="PROCESO")*(MOVIMIENTOS!$C$5:$C$1005="M")*(MOVIMIENTOS!$D$5:$D$1005="jabas")*(MOVIMIENTOS!$A$5:$A$1005&lt;&gt;"")*(MOVIMIENTOS!$A$5:$A$1005&lt;=$A51)*MOVIMIENTOS!$E$5:$E$1005)-SUMPRODUCT((MOVIMIENTOS!$B$5:$B$1005="ENVÍO A SUPESA")*(MOVIMIENTOS!$C$5:$C$1005="M")*(MOVIMIENTOS!$D$5:$D$1005="jabas")*(MOVIMIENTOS!$A$5:$A$1005&lt;&gt;"")*(MOVIMIENTOS!$A$5:$A$1005&lt;=$A51)*MOVIMIENTOS!$E$5:$E$1005)+SUMPRODUCT((MOVIMIENTOS!$B$5:$B$1005="DEVOLUCIÓN")*(MOVIMIENTOS!$C$5:$C$1005="M")*(MOVIMIENTOS!$D$5:$D$1005="jabas")*(MOVIMIENTOS!$A$5:$A$1005&lt;&gt;"")*(MOVIMIENTOS!$A$5:$A$1005&lt;=$A51)*MOVIMIENTOS!$E$5:$E$1005)-SUMPRODUCT((MOVIMIENTOS!$B$5:$B$1005="TRASIEGO")*(MOVIMIENTOS!$C$5:$C$1005="M")*(MOVIMIENTOS!$D$5:$D$1005="jabas")*(MOVIMIENTOS!$A$5:$A$1005&lt;&gt;"")*(MOVIMIENTOS!$A$5:$A$1005&lt;=$A51)*MOVIMIENTOS!$E$5:$E$1005)-SUMPRODUCT((MOVIMIENTOS!$B$5:$B$1005="REGALO")*(MOVIMIENTOS!$C$5:$C$1005="M")*(MOVIMIENTOS!$D$5:$D$1005="jabas")*(MOVIMIENTOS!$A$5:$A$1005&lt;&gt;"")*(MOVIMIENTOS!$A$5:$A$1005&lt;=$A51)*MOVIMIENTOS!$E$5:$E$1005)-SUMPRODUCT((MOVIMIENTOS!$B$5:$B$1005="VENTA")*(MOVIMIENTOS!$C$5:$C$1005="M")*(MOVIMIENTOS!$D$5:$D$1005="jabas")*(MOVIMIENTOS!$A$5:$A$1005&lt;&gt;"")*(MOVIMIENTOS!$A$5:$A$1005&lt;=$A51)*MOVIMIENTOS!$E$5:$E$1005)+SUMPRODUCT((MOVIMIENTOS!$B$5:$B$1005="AJUSTE")*(MOVIMIENTOS!$C$5:$C$1005="M")*(MOVIMIENTOS!$D$5:$D$1005="jabas")*(MOVIMIENTOS!$A$5:$A$1005&lt;&gt;"")*(MOVIMIENTOS!$A$5:$A$1005&lt;=$A51)*MOVIMIENTOS!$E$5:$E$1005))</f>
        <v/>
      </c>
      <c r="F51" s="65" t="str">
        <f>IF($A51="","",SUMPRODUCT((MOVIMIENTOS!$B$5:$B$1005="SALDO INICIAL")*(MOVIMIENTOS!$C$5:$C$1005="Chancho")*(MOVIMIENTOS!$D$5:$D$1005="sacos")*(MOVIMIENTOS!$A$5:$A$1005&lt;&gt;"")*(MOVIMIENTOS!$A$5:$A$1005&lt;=$A51)*MOVIMIENTOS!$E$5:$E$1005)+SUMPRODUCT((MOVIMIENTOS!$B$5:$B$1005="PROCESO")*(MOVIMIENTOS!$C$5:$C$1005="Chancho")*(MOVIMIENTOS!$D$5:$D$1005="sacos")*(MOVIMIENTOS!$A$5:$A$1005&lt;&gt;"")*(MOVIMIENTOS!$A$5:$A$1005&lt;=$A51)*MOVIMIENTOS!$E$5:$E$1005)-SUMPRODUCT((MOVIMIENTOS!$B$5:$B$1005="VENTA CHANCHO")*(MOVIMIENTOS!$C$5:$C$1005="Chancho")*(MOVIMIENTOS!$D$5:$D$1005="sacos")*(MOVIMIENTOS!$A$5:$A$1005&lt;&gt;"")*(MOVIMIENTOS!$A$5:$A$1005&lt;=$A51)*MOVIMIENTOS!$E$5:$E$1005)-SUMPRODUCT((MOVIMIENTOS!$B$5:$B$1005="REGALO")*(MOVIMIENTOS!$C$5:$C$1005="Chancho")*(MOVIMIENTOS!$D$5:$D$1005="sacos")*(MOVIMIENTOS!$A$5:$A$1005&lt;&gt;"")*(MOVIMIENTOS!$A$5:$A$1005&lt;=$A51)*MOVIMIENTOS!$E$5:$E$1005)-SUMPRODUCT((MOVIMIENTOS!$B$5:$B$1005="VENTA")*(MOVIMIENTOS!$C$5:$C$1005="Chancho")*(MOVIMIENTOS!$D$5:$D$1005="sacos")*(MOVIMIENTOS!$A$5:$A$1005&lt;&gt;"")*(MOVIMIENTOS!$A$5:$A$1005&lt;=$A51)*MOVIMIENTOS!$E$5:$E$1005)+SUMPRODUCT((MOVIMIENTOS!$B$5:$B$1005="AJUSTE")*(MOVIMIENTOS!$C$5:$C$1005="Chancho")*(MOVIMIENTOS!$D$5:$D$1005="sacos")*(MOVIMIENTOS!$A$5:$A$1005&lt;&gt;"")*(MOVIMIENTOS!$A$5:$A$1005&lt;=$A51)*MOVIMIENTOS!$E$5:$E$1005))</f>
        <v/>
      </c>
      <c r="G51" s="77" t="str">
        <f t="shared" si="1"/>
        <v/>
      </c>
      <c r="H51" s="65" t="str">
        <f>IF($A51="","",SUMPRODUCT((((MOVIMIENTOS!$B$5:$B$1005="SALDO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51)*MOVIMIENTOS!$J$5:$J$1005))</f>
        <v/>
      </c>
      <c r="I51" s="63"/>
      <c r="J51" s="63" t="str">
        <f>IF(AND(MOVIMIENTOS!$A51&lt;&gt;"",COUNTIF(MOVIMIENTOS!$A$5:$A50,MOVIMIENTOS!$A51)=0),COUNT(J$4:J50)+1,"")</f>
        <v/>
      </c>
      <c r="K51" s="66">
        <f>MOVIMIENTOS!$A51</f>
        <v>46219</v>
      </c>
      <c r="L51" s="63"/>
      <c r="M51" s="63"/>
      <c r="N51" s="63"/>
    </row>
    <row r="52" spans="1:14" ht="15" customHeight="1" x14ac:dyDescent="0.2">
      <c r="A52" s="64" t="str">
        <f t="shared" si="0"/>
        <v/>
      </c>
      <c r="B52" s="65" t="str">
        <f>IF($A52="","",SUMPRODUCT((MOVIMIENTOS!$B$5:$B$1005="SALDO INICIAL")*(MOVIMIENTOS!$C$5:$C$1005="A")*(MOVIMIENTOS!$D$5:$D$1005="jabas")*(MOVIMIENTOS!$A$5:$A$1005&lt;&gt;"")*(MOVIMIENTOS!$A$5:$A$1005&lt;=$A52)*MOVIMIENTOS!$E$5:$E$1005)+SUMPRODUCT((MOVIMIENTOS!$B$5:$B$1005="PROCESO")*(MOVIMIENTOS!$C$5:$C$1005="A")*(MOVIMIENTOS!$D$5:$D$1005="jabas")*(MOVIMIENTOS!$A$5:$A$1005&lt;&gt;"")*(MOVIMIENTOS!$A$5:$A$1005&lt;=$A52)*MOVIMIENTOS!$E$5:$E$1005)-SUMPRODUCT((MOVIMIENTOS!$B$5:$B$1005="ENVÍO A SUPESA")*(MOVIMIENTOS!$C$5:$C$1005="A")*(MOVIMIENTOS!$D$5:$D$1005="jabas")*(MOVIMIENTOS!$A$5:$A$1005&lt;&gt;"")*(MOVIMIENTOS!$A$5:$A$1005&lt;=$A52)*MOVIMIENTOS!$E$5:$E$1005)+SUMPRODUCT((MOVIMIENTOS!$B$5:$B$1005="DEVOLUCIÓN")*(MOVIMIENTOS!$C$5:$C$1005="A")*(MOVIMIENTOS!$D$5:$D$1005="jabas")*(MOVIMIENTOS!$A$5:$A$1005&lt;&gt;"")*(MOVIMIENTOS!$A$5:$A$1005&lt;=$A52)*MOVIMIENTOS!$E$5:$E$1005)-SUMPRODUCT((MOVIMIENTOS!$B$5:$B$1005="TRASIEGO")*(MOVIMIENTOS!$C$5:$C$1005="A")*(MOVIMIENTOS!$D$5:$D$1005="jabas")*(MOVIMIENTOS!$A$5:$A$1005&lt;&gt;"")*(MOVIMIENTOS!$A$5:$A$1005&lt;=$A52)*MOVIMIENTOS!$E$5:$E$1005)-SUMPRODUCT((MOVIMIENTOS!$B$5:$B$1005="REGALO")*(MOVIMIENTOS!$C$5:$C$1005="A")*(MOVIMIENTOS!$D$5:$D$1005="jabas")*(MOVIMIENTOS!$A$5:$A$1005&lt;&gt;"")*(MOVIMIENTOS!$A$5:$A$1005&lt;=$A52)*MOVIMIENTOS!$E$5:$E$1005)-SUMPRODUCT((MOVIMIENTOS!$B$5:$B$1005="VENTA")*(MOVIMIENTOS!$C$5:$C$1005="A")*(MOVIMIENTOS!$D$5:$D$1005="jabas")*(MOVIMIENTOS!$A$5:$A$1005&lt;&gt;"")*(MOVIMIENTOS!$A$5:$A$1005&lt;=$A52)*MOVIMIENTOS!$E$5:$E$1005)+SUMPRODUCT((MOVIMIENTOS!$B$5:$B$1005="AJUSTE")*(MOVIMIENTOS!$C$5:$C$1005="A")*(MOVIMIENTOS!$D$5:$D$1005="jabas")*(MOVIMIENTOS!$A$5:$A$1005&lt;&gt;"")*(MOVIMIENTOS!$A$5:$A$1005&lt;=$A52)*MOVIMIENTOS!$E$5:$E$1005))</f>
        <v/>
      </c>
      <c r="C52" s="65" t="str">
        <f>IF($A52="","",SUMPRODUCT((MOVIMIENTOS!$B$5:$B$1005="SALDO INICIAL")*(MOVIMIENTOS!$C$5:$C$1005="P")*(MOVIMIENTOS!$D$5:$D$1005="jabas")*(MOVIMIENTOS!$A$5:$A$1005&lt;&gt;"")*(MOVIMIENTOS!$A$5:$A$1005&lt;=$A52)*MOVIMIENTOS!$E$5:$E$1005)+SUMPRODUCT((MOVIMIENTOS!$B$5:$B$1005="PROCESO")*(MOVIMIENTOS!$C$5:$C$1005="P")*(MOVIMIENTOS!$D$5:$D$1005="jabas")*(MOVIMIENTOS!$A$5:$A$1005&lt;&gt;"")*(MOVIMIENTOS!$A$5:$A$1005&lt;=$A52)*MOVIMIENTOS!$E$5:$E$1005)-SUMPRODUCT((MOVIMIENTOS!$B$5:$B$1005="ENVÍO A SUPESA")*(MOVIMIENTOS!$C$5:$C$1005="P")*(MOVIMIENTOS!$D$5:$D$1005="jabas")*(MOVIMIENTOS!$A$5:$A$1005&lt;&gt;"")*(MOVIMIENTOS!$A$5:$A$1005&lt;=$A52)*MOVIMIENTOS!$E$5:$E$1005)+SUMPRODUCT((MOVIMIENTOS!$B$5:$B$1005="DEVOLUCIÓN")*(MOVIMIENTOS!$C$5:$C$1005="P")*(MOVIMIENTOS!$D$5:$D$1005="jabas")*(MOVIMIENTOS!$A$5:$A$1005&lt;&gt;"")*(MOVIMIENTOS!$A$5:$A$1005&lt;=$A52)*MOVIMIENTOS!$E$5:$E$1005)-SUMPRODUCT((MOVIMIENTOS!$B$5:$B$1005="TRASIEGO")*(MOVIMIENTOS!$C$5:$C$1005="P")*(MOVIMIENTOS!$D$5:$D$1005="jabas")*(MOVIMIENTOS!$A$5:$A$1005&lt;&gt;"")*(MOVIMIENTOS!$A$5:$A$1005&lt;=$A52)*MOVIMIENTOS!$E$5:$E$1005)-SUMPRODUCT((MOVIMIENTOS!$B$5:$B$1005="REGALO")*(MOVIMIENTOS!$C$5:$C$1005="P")*(MOVIMIENTOS!$D$5:$D$1005="jabas")*(MOVIMIENTOS!$A$5:$A$1005&lt;&gt;"")*(MOVIMIENTOS!$A$5:$A$1005&lt;=$A52)*MOVIMIENTOS!$E$5:$E$1005)-SUMPRODUCT((MOVIMIENTOS!$B$5:$B$1005="VENTA")*(MOVIMIENTOS!$C$5:$C$1005="P")*(MOVIMIENTOS!$D$5:$D$1005="jabas")*(MOVIMIENTOS!$A$5:$A$1005&lt;&gt;"")*(MOVIMIENTOS!$A$5:$A$1005&lt;=$A52)*MOVIMIENTOS!$E$5:$E$1005)+SUMPRODUCT((MOVIMIENTOS!$B$5:$B$1005="AJUSTE")*(MOVIMIENTOS!$C$5:$C$1005="P")*(MOVIMIENTOS!$D$5:$D$1005="jabas")*(MOVIMIENTOS!$A$5:$A$1005&lt;&gt;"")*(MOVIMIENTOS!$A$5:$A$1005&lt;=$A52)*MOVIMIENTOS!$E$5:$E$1005))</f>
        <v/>
      </c>
      <c r="D52" s="65" t="str">
        <f>IF($A52="","",SUMPRODUCT((MOVIMIENTOS!$B$5:$B$1005="SALDO INICIAL")*(MOVIMIENTOS!$C$5:$C$1005="C")*(MOVIMIENTOS!$D$5:$D$1005="jabas")*(MOVIMIENTOS!$A$5:$A$1005&lt;&gt;"")*(MOVIMIENTOS!$A$5:$A$1005&lt;=$A52)*MOVIMIENTOS!$E$5:$E$1005)+SUMPRODUCT((MOVIMIENTOS!$B$5:$B$1005="PROCESO")*(MOVIMIENTOS!$C$5:$C$1005="C")*(MOVIMIENTOS!$D$5:$D$1005="jabas")*(MOVIMIENTOS!$A$5:$A$1005&lt;&gt;"")*(MOVIMIENTOS!$A$5:$A$1005&lt;=$A52)*MOVIMIENTOS!$E$5:$E$1005)-SUMPRODUCT((MOVIMIENTOS!$B$5:$B$1005="ENVÍO A SUPESA")*(MOVIMIENTOS!$C$5:$C$1005="C")*(MOVIMIENTOS!$D$5:$D$1005="jabas")*(MOVIMIENTOS!$A$5:$A$1005&lt;&gt;"")*(MOVIMIENTOS!$A$5:$A$1005&lt;=$A52)*MOVIMIENTOS!$E$5:$E$1005)+SUMPRODUCT((MOVIMIENTOS!$B$5:$B$1005="DEVOLUCIÓN")*(MOVIMIENTOS!$C$5:$C$1005="C")*(MOVIMIENTOS!$D$5:$D$1005="jabas")*(MOVIMIENTOS!$A$5:$A$1005&lt;&gt;"")*(MOVIMIENTOS!$A$5:$A$1005&lt;=$A52)*MOVIMIENTOS!$E$5:$E$1005)-SUMPRODUCT((MOVIMIENTOS!$B$5:$B$1005="TRASIEGO")*(MOVIMIENTOS!$C$5:$C$1005="C")*(MOVIMIENTOS!$D$5:$D$1005="jabas")*(MOVIMIENTOS!$A$5:$A$1005&lt;&gt;"")*(MOVIMIENTOS!$A$5:$A$1005&lt;=$A52)*MOVIMIENTOS!$E$5:$E$1005)-SUMPRODUCT((MOVIMIENTOS!$B$5:$B$1005="REGALO")*(MOVIMIENTOS!$C$5:$C$1005="C")*(MOVIMIENTOS!$D$5:$D$1005="jabas")*(MOVIMIENTOS!$A$5:$A$1005&lt;&gt;"")*(MOVIMIENTOS!$A$5:$A$1005&lt;=$A52)*MOVIMIENTOS!$E$5:$E$1005)-SUMPRODUCT((MOVIMIENTOS!$B$5:$B$1005="VENTA")*(MOVIMIENTOS!$C$5:$C$1005="C")*(MOVIMIENTOS!$D$5:$D$1005="jabas")*(MOVIMIENTOS!$A$5:$A$1005&lt;&gt;"")*(MOVIMIENTOS!$A$5:$A$1005&lt;=$A52)*MOVIMIENTOS!$E$5:$E$1005)+SUMPRODUCT((MOVIMIENTOS!$B$5:$B$1005="AJUSTE")*(MOVIMIENTOS!$C$5:$C$1005="C")*(MOVIMIENTOS!$D$5:$D$1005="jabas")*(MOVIMIENTOS!$A$5:$A$1005&lt;&gt;"")*(MOVIMIENTOS!$A$5:$A$1005&lt;=$A52)*MOVIMIENTOS!$E$5:$E$1005))</f>
        <v/>
      </c>
      <c r="E52" s="65" t="str">
        <f>IF($A52="","",SUMPRODUCT((MOVIMIENTOS!$B$5:$B$1005="SALDO INICIAL")*(MOVIMIENTOS!$C$5:$C$1005="M")*(MOVIMIENTOS!$D$5:$D$1005="jabas")*(MOVIMIENTOS!$A$5:$A$1005&lt;&gt;"")*(MOVIMIENTOS!$A$5:$A$1005&lt;=$A52)*MOVIMIENTOS!$E$5:$E$1005)+SUMPRODUCT((MOVIMIENTOS!$B$5:$B$1005="PROCESO")*(MOVIMIENTOS!$C$5:$C$1005="M")*(MOVIMIENTOS!$D$5:$D$1005="jabas")*(MOVIMIENTOS!$A$5:$A$1005&lt;&gt;"")*(MOVIMIENTOS!$A$5:$A$1005&lt;=$A52)*MOVIMIENTOS!$E$5:$E$1005)-SUMPRODUCT((MOVIMIENTOS!$B$5:$B$1005="ENVÍO A SUPESA")*(MOVIMIENTOS!$C$5:$C$1005="M")*(MOVIMIENTOS!$D$5:$D$1005="jabas")*(MOVIMIENTOS!$A$5:$A$1005&lt;&gt;"")*(MOVIMIENTOS!$A$5:$A$1005&lt;=$A52)*MOVIMIENTOS!$E$5:$E$1005)+SUMPRODUCT((MOVIMIENTOS!$B$5:$B$1005="DEVOLUCIÓN")*(MOVIMIENTOS!$C$5:$C$1005="M")*(MOVIMIENTOS!$D$5:$D$1005="jabas")*(MOVIMIENTOS!$A$5:$A$1005&lt;&gt;"")*(MOVIMIENTOS!$A$5:$A$1005&lt;=$A52)*MOVIMIENTOS!$E$5:$E$1005)-SUMPRODUCT((MOVIMIENTOS!$B$5:$B$1005="TRASIEGO")*(MOVIMIENTOS!$C$5:$C$1005="M")*(MOVIMIENTOS!$D$5:$D$1005="jabas")*(MOVIMIENTOS!$A$5:$A$1005&lt;&gt;"")*(MOVIMIENTOS!$A$5:$A$1005&lt;=$A52)*MOVIMIENTOS!$E$5:$E$1005)-SUMPRODUCT((MOVIMIENTOS!$B$5:$B$1005="REGALO")*(MOVIMIENTOS!$C$5:$C$1005="M")*(MOVIMIENTOS!$D$5:$D$1005="jabas")*(MOVIMIENTOS!$A$5:$A$1005&lt;&gt;"")*(MOVIMIENTOS!$A$5:$A$1005&lt;=$A52)*MOVIMIENTOS!$E$5:$E$1005)-SUMPRODUCT((MOVIMIENTOS!$B$5:$B$1005="VENTA")*(MOVIMIENTOS!$C$5:$C$1005="M")*(MOVIMIENTOS!$D$5:$D$1005="jabas")*(MOVIMIENTOS!$A$5:$A$1005&lt;&gt;"")*(MOVIMIENTOS!$A$5:$A$1005&lt;=$A52)*MOVIMIENTOS!$E$5:$E$1005)+SUMPRODUCT((MOVIMIENTOS!$B$5:$B$1005="AJUSTE")*(MOVIMIENTOS!$C$5:$C$1005="M")*(MOVIMIENTOS!$D$5:$D$1005="jabas")*(MOVIMIENTOS!$A$5:$A$1005&lt;&gt;"")*(MOVIMIENTOS!$A$5:$A$1005&lt;=$A52)*MOVIMIENTOS!$E$5:$E$1005))</f>
        <v/>
      </c>
      <c r="F52" s="65" t="str">
        <f>IF($A52="","",SUMPRODUCT((MOVIMIENTOS!$B$5:$B$1005="SALDO INICIAL")*(MOVIMIENTOS!$C$5:$C$1005="Chancho")*(MOVIMIENTOS!$D$5:$D$1005="sacos")*(MOVIMIENTOS!$A$5:$A$1005&lt;&gt;"")*(MOVIMIENTOS!$A$5:$A$1005&lt;=$A52)*MOVIMIENTOS!$E$5:$E$1005)+SUMPRODUCT((MOVIMIENTOS!$B$5:$B$1005="PROCESO")*(MOVIMIENTOS!$C$5:$C$1005="Chancho")*(MOVIMIENTOS!$D$5:$D$1005="sacos")*(MOVIMIENTOS!$A$5:$A$1005&lt;&gt;"")*(MOVIMIENTOS!$A$5:$A$1005&lt;=$A52)*MOVIMIENTOS!$E$5:$E$1005)-SUMPRODUCT((MOVIMIENTOS!$B$5:$B$1005="VENTA CHANCHO")*(MOVIMIENTOS!$C$5:$C$1005="Chancho")*(MOVIMIENTOS!$D$5:$D$1005="sacos")*(MOVIMIENTOS!$A$5:$A$1005&lt;&gt;"")*(MOVIMIENTOS!$A$5:$A$1005&lt;=$A52)*MOVIMIENTOS!$E$5:$E$1005)-SUMPRODUCT((MOVIMIENTOS!$B$5:$B$1005="REGALO")*(MOVIMIENTOS!$C$5:$C$1005="Chancho")*(MOVIMIENTOS!$D$5:$D$1005="sacos")*(MOVIMIENTOS!$A$5:$A$1005&lt;&gt;"")*(MOVIMIENTOS!$A$5:$A$1005&lt;=$A52)*MOVIMIENTOS!$E$5:$E$1005)-SUMPRODUCT((MOVIMIENTOS!$B$5:$B$1005="VENTA")*(MOVIMIENTOS!$C$5:$C$1005="Chancho")*(MOVIMIENTOS!$D$5:$D$1005="sacos")*(MOVIMIENTOS!$A$5:$A$1005&lt;&gt;"")*(MOVIMIENTOS!$A$5:$A$1005&lt;=$A52)*MOVIMIENTOS!$E$5:$E$1005)+SUMPRODUCT((MOVIMIENTOS!$B$5:$B$1005="AJUSTE")*(MOVIMIENTOS!$C$5:$C$1005="Chancho")*(MOVIMIENTOS!$D$5:$D$1005="sacos")*(MOVIMIENTOS!$A$5:$A$1005&lt;&gt;"")*(MOVIMIENTOS!$A$5:$A$1005&lt;=$A52)*MOVIMIENTOS!$E$5:$E$1005))</f>
        <v/>
      </c>
      <c r="G52" s="77" t="str">
        <f t="shared" si="1"/>
        <v/>
      </c>
      <c r="H52" s="65" t="str">
        <f>IF($A52="","",SUMPRODUCT((((MOVIMIENTOS!$B$5:$B$1005="SALDO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52)*MOVIMIENTOS!$J$5:$J$1005))</f>
        <v/>
      </c>
      <c r="I52" s="63"/>
      <c r="J52" s="63" t="str">
        <f>IF(AND(MOVIMIENTOS!$A52&lt;&gt;"",COUNTIF(MOVIMIENTOS!$A$5:$A51,MOVIMIENTOS!$A52)=0),COUNT(J$4:J51)+1,"")</f>
        <v/>
      </c>
      <c r="K52" s="66">
        <f>MOVIMIENTOS!$A52</f>
        <v>46219</v>
      </c>
      <c r="L52" s="63"/>
      <c r="M52" s="63"/>
      <c r="N52" s="63"/>
    </row>
    <row r="53" spans="1:14" ht="15" customHeight="1" x14ac:dyDescent="0.2">
      <c r="A53" s="64" t="str">
        <f t="shared" si="0"/>
        <v/>
      </c>
      <c r="B53" s="65" t="str">
        <f>IF($A53="","",SUMPRODUCT((MOVIMIENTOS!$B$5:$B$1005="SALDO INICIAL")*(MOVIMIENTOS!$C$5:$C$1005="A")*(MOVIMIENTOS!$D$5:$D$1005="jabas")*(MOVIMIENTOS!$A$5:$A$1005&lt;&gt;"")*(MOVIMIENTOS!$A$5:$A$1005&lt;=$A53)*MOVIMIENTOS!$E$5:$E$1005)+SUMPRODUCT((MOVIMIENTOS!$B$5:$B$1005="PROCESO")*(MOVIMIENTOS!$C$5:$C$1005="A")*(MOVIMIENTOS!$D$5:$D$1005="jabas")*(MOVIMIENTOS!$A$5:$A$1005&lt;&gt;"")*(MOVIMIENTOS!$A$5:$A$1005&lt;=$A53)*MOVIMIENTOS!$E$5:$E$1005)-SUMPRODUCT((MOVIMIENTOS!$B$5:$B$1005="ENVÍO A SUPESA")*(MOVIMIENTOS!$C$5:$C$1005="A")*(MOVIMIENTOS!$D$5:$D$1005="jabas")*(MOVIMIENTOS!$A$5:$A$1005&lt;&gt;"")*(MOVIMIENTOS!$A$5:$A$1005&lt;=$A53)*MOVIMIENTOS!$E$5:$E$1005)+SUMPRODUCT((MOVIMIENTOS!$B$5:$B$1005="DEVOLUCIÓN")*(MOVIMIENTOS!$C$5:$C$1005="A")*(MOVIMIENTOS!$D$5:$D$1005="jabas")*(MOVIMIENTOS!$A$5:$A$1005&lt;&gt;"")*(MOVIMIENTOS!$A$5:$A$1005&lt;=$A53)*MOVIMIENTOS!$E$5:$E$1005)-SUMPRODUCT((MOVIMIENTOS!$B$5:$B$1005="TRASIEGO")*(MOVIMIENTOS!$C$5:$C$1005="A")*(MOVIMIENTOS!$D$5:$D$1005="jabas")*(MOVIMIENTOS!$A$5:$A$1005&lt;&gt;"")*(MOVIMIENTOS!$A$5:$A$1005&lt;=$A53)*MOVIMIENTOS!$E$5:$E$1005)-SUMPRODUCT((MOVIMIENTOS!$B$5:$B$1005="REGALO")*(MOVIMIENTOS!$C$5:$C$1005="A")*(MOVIMIENTOS!$D$5:$D$1005="jabas")*(MOVIMIENTOS!$A$5:$A$1005&lt;&gt;"")*(MOVIMIENTOS!$A$5:$A$1005&lt;=$A53)*MOVIMIENTOS!$E$5:$E$1005)-SUMPRODUCT((MOVIMIENTOS!$B$5:$B$1005="VENTA")*(MOVIMIENTOS!$C$5:$C$1005="A")*(MOVIMIENTOS!$D$5:$D$1005="jabas")*(MOVIMIENTOS!$A$5:$A$1005&lt;&gt;"")*(MOVIMIENTOS!$A$5:$A$1005&lt;=$A53)*MOVIMIENTOS!$E$5:$E$1005)+SUMPRODUCT((MOVIMIENTOS!$B$5:$B$1005="AJUSTE")*(MOVIMIENTOS!$C$5:$C$1005="A")*(MOVIMIENTOS!$D$5:$D$1005="jabas")*(MOVIMIENTOS!$A$5:$A$1005&lt;&gt;"")*(MOVIMIENTOS!$A$5:$A$1005&lt;=$A53)*MOVIMIENTOS!$E$5:$E$1005))</f>
        <v/>
      </c>
      <c r="C53" s="65" t="str">
        <f>IF($A53="","",SUMPRODUCT((MOVIMIENTOS!$B$5:$B$1005="SALDO INICIAL")*(MOVIMIENTOS!$C$5:$C$1005="P")*(MOVIMIENTOS!$D$5:$D$1005="jabas")*(MOVIMIENTOS!$A$5:$A$1005&lt;&gt;"")*(MOVIMIENTOS!$A$5:$A$1005&lt;=$A53)*MOVIMIENTOS!$E$5:$E$1005)+SUMPRODUCT((MOVIMIENTOS!$B$5:$B$1005="PROCESO")*(MOVIMIENTOS!$C$5:$C$1005="P")*(MOVIMIENTOS!$D$5:$D$1005="jabas")*(MOVIMIENTOS!$A$5:$A$1005&lt;&gt;"")*(MOVIMIENTOS!$A$5:$A$1005&lt;=$A53)*MOVIMIENTOS!$E$5:$E$1005)-SUMPRODUCT((MOVIMIENTOS!$B$5:$B$1005="ENVÍO A SUPESA")*(MOVIMIENTOS!$C$5:$C$1005="P")*(MOVIMIENTOS!$D$5:$D$1005="jabas")*(MOVIMIENTOS!$A$5:$A$1005&lt;&gt;"")*(MOVIMIENTOS!$A$5:$A$1005&lt;=$A53)*MOVIMIENTOS!$E$5:$E$1005)+SUMPRODUCT((MOVIMIENTOS!$B$5:$B$1005="DEVOLUCIÓN")*(MOVIMIENTOS!$C$5:$C$1005="P")*(MOVIMIENTOS!$D$5:$D$1005="jabas")*(MOVIMIENTOS!$A$5:$A$1005&lt;&gt;"")*(MOVIMIENTOS!$A$5:$A$1005&lt;=$A53)*MOVIMIENTOS!$E$5:$E$1005)-SUMPRODUCT((MOVIMIENTOS!$B$5:$B$1005="TRASIEGO")*(MOVIMIENTOS!$C$5:$C$1005="P")*(MOVIMIENTOS!$D$5:$D$1005="jabas")*(MOVIMIENTOS!$A$5:$A$1005&lt;&gt;"")*(MOVIMIENTOS!$A$5:$A$1005&lt;=$A53)*MOVIMIENTOS!$E$5:$E$1005)-SUMPRODUCT((MOVIMIENTOS!$B$5:$B$1005="REGALO")*(MOVIMIENTOS!$C$5:$C$1005="P")*(MOVIMIENTOS!$D$5:$D$1005="jabas")*(MOVIMIENTOS!$A$5:$A$1005&lt;&gt;"")*(MOVIMIENTOS!$A$5:$A$1005&lt;=$A53)*MOVIMIENTOS!$E$5:$E$1005)-SUMPRODUCT((MOVIMIENTOS!$B$5:$B$1005="VENTA")*(MOVIMIENTOS!$C$5:$C$1005="P")*(MOVIMIENTOS!$D$5:$D$1005="jabas")*(MOVIMIENTOS!$A$5:$A$1005&lt;&gt;"")*(MOVIMIENTOS!$A$5:$A$1005&lt;=$A53)*MOVIMIENTOS!$E$5:$E$1005)+SUMPRODUCT((MOVIMIENTOS!$B$5:$B$1005="AJUSTE")*(MOVIMIENTOS!$C$5:$C$1005="P")*(MOVIMIENTOS!$D$5:$D$1005="jabas")*(MOVIMIENTOS!$A$5:$A$1005&lt;&gt;"")*(MOVIMIENTOS!$A$5:$A$1005&lt;=$A53)*MOVIMIENTOS!$E$5:$E$1005))</f>
        <v/>
      </c>
      <c r="D53" s="65" t="str">
        <f>IF($A53="","",SUMPRODUCT((MOVIMIENTOS!$B$5:$B$1005="SALDO INICIAL")*(MOVIMIENTOS!$C$5:$C$1005="C")*(MOVIMIENTOS!$D$5:$D$1005="jabas")*(MOVIMIENTOS!$A$5:$A$1005&lt;&gt;"")*(MOVIMIENTOS!$A$5:$A$1005&lt;=$A53)*MOVIMIENTOS!$E$5:$E$1005)+SUMPRODUCT((MOVIMIENTOS!$B$5:$B$1005="PROCESO")*(MOVIMIENTOS!$C$5:$C$1005="C")*(MOVIMIENTOS!$D$5:$D$1005="jabas")*(MOVIMIENTOS!$A$5:$A$1005&lt;&gt;"")*(MOVIMIENTOS!$A$5:$A$1005&lt;=$A53)*MOVIMIENTOS!$E$5:$E$1005)-SUMPRODUCT((MOVIMIENTOS!$B$5:$B$1005="ENVÍO A SUPESA")*(MOVIMIENTOS!$C$5:$C$1005="C")*(MOVIMIENTOS!$D$5:$D$1005="jabas")*(MOVIMIENTOS!$A$5:$A$1005&lt;&gt;"")*(MOVIMIENTOS!$A$5:$A$1005&lt;=$A53)*MOVIMIENTOS!$E$5:$E$1005)+SUMPRODUCT((MOVIMIENTOS!$B$5:$B$1005="DEVOLUCIÓN")*(MOVIMIENTOS!$C$5:$C$1005="C")*(MOVIMIENTOS!$D$5:$D$1005="jabas")*(MOVIMIENTOS!$A$5:$A$1005&lt;&gt;"")*(MOVIMIENTOS!$A$5:$A$1005&lt;=$A53)*MOVIMIENTOS!$E$5:$E$1005)-SUMPRODUCT((MOVIMIENTOS!$B$5:$B$1005="TRASIEGO")*(MOVIMIENTOS!$C$5:$C$1005="C")*(MOVIMIENTOS!$D$5:$D$1005="jabas")*(MOVIMIENTOS!$A$5:$A$1005&lt;&gt;"")*(MOVIMIENTOS!$A$5:$A$1005&lt;=$A53)*MOVIMIENTOS!$E$5:$E$1005)-SUMPRODUCT((MOVIMIENTOS!$B$5:$B$1005="REGALO")*(MOVIMIENTOS!$C$5:$C$1005="C")*(MOVIMIENTOS!$D$5:$D$1005="jabas")*(MOVIMIENTOS!$A$5:$A$1005&lt;&gt;"")*(MOVIMIENTOS!$A$5:$A$1005&lt;=$A53)*MOVIMIENTOS!$E$5:$E$1005)-SUMPRODUCT((MOVIMIENTOS!$B$5:$B$1005="VENTA")*(MOVIMIENTOS!$C$5:$C$1005="C")*(MOVIMIENTOS!$D$5:$D$1005="jabas")*(MOVIMIENTOS!$A$5:$A$1005&lt;&gt;"")*(MOVIMIENTOS!$A$5:$A$1005&lt;=$A53)*MOVIMIENTOS!$E$5:$E$1005)+SUMPRODUCT((MOVIMIENTOS!$B$5:$B$1005="AJUSTE")*(MOVIMIENTOS!$C$5:$C$1005="C")*(MOVIMIENTOS!$D$5:$D$1005="jabas")*(MOVIMIENTOS!$A$5:$A$1005&lt;&gt;"")*(MOVIMIENTOS!$A$5:$A$1005&lt;=$A53)*MOVIMIENTOS!$E$5:$E$1005))</f>
        <v/>
      </c>
      <c r="E53" s="65" t="str">
        <f>IF($A53="","",SUMPRODUCT((MOVIMIENTOS!$B$5:$B$1005="SALDO INICIAL")*(MOVIMIENTOS!$C$5:$C$1005="M")*(MOVIMIENTOS!$D$5:$D$1005="jabas")*(MOVIMIENTOS!$A$5:$A$1005&lt;&gt;"")*(MOVIMIENTOS!$A$5:$A$1005&lt;=$A53)*MOVIMIENTOS!$E$5:$E$1005)+SUMPRODUCT((MOVIMIENTOS!$B$5:$B$1005="PROCESO")*(MOVIMIENTOS!$C$5:$C$1005="M")*(MOVIMIENTOS!$D$5:$D$1005="jabas")*(MOVIMIENTOS!$A$5:$A$1005&lt;&gt;"")*(MOVIMIENTOS!$A$5:$A$1005&lt;=$A53)*MOVIMIENTOS!$E$5:$E$1005)-SUMPRODUCT((MOVIMIENTOS!$B$5:$B$1005="ENVÍO A SUPESA")*(MOVIMIENTOS!$C$5:$C$1005="M")*(MOVIMIENTOS!$D$5:$D$1005="jabas")*(MOVIMIENTOS!$A$5:$A$1005&lt;&gt;"")*(MOVIMIENTOS!$A$5:$A$1005&lt;=$A53)*MOVIMIENTOS!$E$5:$E$1005)+SUMPRODUCT((MOVIMIENTOS!$B$5:$B$1005="DEVOLUCIÓN")*(MOVIMIENTOS!$C$5:$C$1005="M")*(MOVIMIENTOS!$D$5:$D$1005="jabas")*(MOVIMIENTOS!$A$5:$A$1005&lt;&gt;"")*(MOVIMIENTOS!$A$5:$A$1005&lt;=$A53)*MOVIMIENTOS!$E$5:$E$1005)-SUMPRODUCT((MOVIMIENTOS!$B$5:$B$1005="TRASIEGO")*(MOVIMIENTOS!$C$5:$C$1005="M")*(MOVIMIENTOS!$D$5:$D$1005="jabas")*(MOVIMIENTOS!$A$5:$A$1005&lt;&gt;"")*(MOVIMIENTOS!$A$5:$A$1005&lt;=$A53)*MOVIMIENTOS!$E$5:$E$1005)-SUMPRODUCT((MOVIMIENTOS!$B$5:$B$1005="REGALO")*(MOVIMIENTOS!$C$5:$C$1005="M")*(MOVIMIENTOS!$D$5:$D$1005="jabas")*(MOVIMIENTOS!$A$5:$A$1005&lt;&gt;"")*(MOVIMIENTOS!$A$5:$A$1005&lt;=$A53)*MOVIMIENTOS!$E$5:$E$1005)-SUMPRODUCT((MOVIMIENTOS!$B$5:$B$1005="VENTA")*(MOVIMIENTOS!$C$5:$C$1005="M")*(MOVIMIENTOS!$D$5:$D$1005="jabas")*(MOVIMIENTOS!$A$5:$A$1005&lt;&gt;"")*(MOVIMIENTOS!$A$5:$A$1005&lt;=$A53)*MOVIMIENTOS!$E$5:$E$1005)+SUMPRODUCT((MOVIMIENTOS!$B$5:$B$1005="AJUSTE")*(MOVIMIENTOS!$C$5:$C$1005="M")*(MOVIMIENTOS!$D$5:$D$1005="jabas")*(MOVIMIENTOS!$A$5:$A$1005&lt;&gt;"")*(MOVIMIENTOS!$A$5:$A$1005&lt;=$A53)*MOVIMIENTOS!$E$5:$E$1005))</f>
        <v/>
      </c>
      <c r="F53" s="65" t="str">
        <f>IF($A53="","",SUMPRODUCT((MOVIMIENTOS!$B$5:$B$1005="SALDO INICIAL")*(MOVIMIENTOS!$C$5:$C$1005="Chancho")*(MOVIMIENTOS!$D$5:$D$1005="sacos")*(MOVIMIENTOS!$A$5:$A$1005&lt;&gt;"")*(MOVIMIENTOS!$A$5:$A$1005&lt;=$A53)*MOVIMIENTOS!$E$5:$E$1005)+SUMPRODUCT((MOVIMIENTOS!$B$5:$B$1005="PROCESO")*(MOVIMIENTOS!$C$5:$C$1005="Chancho")*(MOVIMIENTOS!$D$5:$D$1005="sacos")*(MOVIMIENTOS!$A$5:$A$1005&lt;&gt;"")*(MOVIMIENTOS!$A$5:$A$1005&lt;=$A53)*MOVIMIENTOS!$E$5:$E$1005)-SUMPRODUCT((MOVIMIENTOS!$B$5:$B$1005="VENTA CHANCHO")*(MOVIMIENTOS!$C$5:$C$1005="Chancho")*(MOVIMIENTOS!$D$5:$D$1005="sacos")*(MOVIMIENTOS!$A$5:$A$1005&lt;&gt;"")*(MOVIMIENTOS!$A$5:$A$1005&lt;=$A53)*MOVIMIENTOS!$E$5:$E$1005)-SUMPRODUCT((MOVIMIENTOS!$B$5:$B$1005="REGALO")*(MOVIMIENTOS!$C$5:$C$1005="Chancho")*(MOVIMIENTOS!$D$5:$D$1005="sacos")*(MOVIMIENTOS!$A$5:$A$1005&lt;&gt;"")*(MOVIMIENTOS!$A$5:$A$1005&lt;=$A53)*MOVIMIENTOS!$E$5:$E$1005)-SUMPRODUCT((MOVIMIENTOS!$B$5:$B$1005="VENTA")*(MOVIMIENTOS!$C$5:$C$1005="Chancho")*(MOVIMIENTOS!$D$5:$D$1005="sacos")*(MOVIMIENTOS!$A$5:$A$1005&lt;&gt;"")*(MOVIMIENTOS!$A$5:$A$1005&lt;=$A53)*MOVIMIENTOS!$E$5:$E$1005)+SUMPRODUCT((MOVIMIENTOS!$B$5:$B$1005="AJUSTE")*(MOVIMIENTOS!$C$5:$C$1005="Chancho")*(MOVIMIENTOS!$D$5:$D$1005="sacos")*(MOVIMIENTOS!$A$5:$A$1005&lt;&gt;"")*(MOVIMIENTOS!$A$5:$A$1005&lt;=$A53)*MOVIMIENTOS!$E$5:$E$1005))</f>
        <v/>
      </c>
      <c r="G53" s="77" t="str">
        <f t="shared" si="1"/>
        <v/>
      </c>
      <c r="H53" s="65" t="str">
        <f>IF($A53="","",SUMPRODUCT((((MOVIMIENTOS!$B$5:$B$1005="SALDO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53)*MOVIMIENTOS!$J$5:$J$1005))</f>
        <v/>
      </c>
      <c r="I53" s="63"/>
      <c r="J53" s="63" t="str">
        <f>IF(AND(MOVIMIENTOS!$A53&lt;&gt;"",COUNTIF(MOVIMIENTOS!$A$5:$A52,MOVIMIENTOS!$A53)=0),COUNT(J$4:J52)+1,"")</f>
        <v/>
      </c>
      <c r="K53" s="66">
        <f>MOVIMIENTOS!$A53</f>
        <v>46219</v>
      </c>
      <c r="L53" s="63"/>
      <c r="M53" s="63"/>
      <c r="N53" s="63"/>
    </row>
    <row r="54" spans="1:14" ht="15" customHeight="1" x14ac:dyDescent="0.2">
      <c r="A54" s="64" t="str">
        <f t="shared" si="0"/>
        <v/>
      </c>
      <c r="B54" s="65" t="str">
        <f>IF($A54="","",SUMPRODUCT((MOVIMIENTOS!$B$5:$B$1005="SALDO INICIAL")*(MOVIMIENTOS!$C$5:$C$1005="A")*(MOVIMIENTOS!$D$5:$D$1005="jabas")*(MOVIMIENTOS!$A$5:$A$1005&lt;&gt;"")*(MOVIMIENTOS!$A$5:$A$1005&lt;=$A54)*MOVIMIENTOS!$E$5:$E$1005)+SUMPRODUCT((MOVIMIENTOS!$B$5:$B$1005="PROCESO")*(MOVIMIENTOS!$C$5:$C$1005="A")*(MOVIMIENTOS!$D$5:$D$1005="jabas")*(MOVIMIENTOS!$A$5:$A$1005&lt;&gt;"")*(MOVIMIENTOS!$A$5:$A$1005&lt;=$A54)*MOVIMIENTOS!$E$5:$E$1005)-SUMPRODUCT((MOVIMIENTOS!$B$5:$B$1005="ENVÍO A SUPESA")*(MOVIMIENTOS!$C$5:$C$1005="A")*(MOVIMIENTOS!$D$5:$D$1005="jabas")*(MOVIMIENTOS!$A$5:$A$1005&lt;&gt;"")*(MOVIMIENTOS!$A$5:$A$1005&lt;=$A54)*MOVIMIENTOS!$E$5:$E$1005)+SUMPRODUCT((MOVIMIENTOS!$B$5:$B$1005="DEVOLUCIÓN")*(MOVIMIENTOS!$C$5:$C$1005="A")*(MOVIMIENTOS!$D$5:$D$1005="jabas")*(MOVIMIENTOS!$A$5:$A$1005&lt;&gt;"")*(MOVIMIENTOS!$A$5:$A$1005&lt;=$A54)*MOVIMIENTOS!$E$5:$E$1005)-SUMPRODUCT((MOVIMIENTOS!$B$5:$B$1005="TRASIEGO")*(MOVIMIENTOS!$C$5:$C$1005="A")*(MOVIMIENTOS!$D$5:$D$1005="jabas")*(MOVIMIENTOS!$A$5:$A$1005&lt;&gt;"")*(MOVIMIENTOS!$A$5:$A$1005&lt;=$A54)*MOVIMIENTOS!$E$5:$E$1005)-SUMPRODUCT((MOVIMIENTOS!$B$5:$B$1005="REGALO")*(MOVIMIENTOS!$C$5:$C$1005="A")*(MOVIMIENTOS!$D$5:$D$1005="jabas")*(MOVIMIENTOS!$A$5:$A$1005&lt;&gt;"")*(MOVIMIENTOS!$A$5:$A$1005&lt;=$A54)*MOVIMIENTOS!$E$5:$E$1005)-SUMPRODUCT((MOVIMIENTOS!$B$5:$B$1005="VENTA")*(MOVIMIENTOS!$C$5:$C$1005="A")*(MOVIMIENTOS!$D$5:$D$1005="jabas")*(MOVIMIENTOS!$A$5:$A$1005&lt;&gt;"")*(MOVIMIENTOS!$A$5:$A$1005&lt;=$A54)*MOVIMIENTOS!$E$5:$E$1005)+SUMPRODUCT((MOVIMIENTOS!$B$5:$B$1005="AJUSTE")*(MOVIMIENTOS!$C$5:$C$1005="A")*(MOVIMIENTOS!$D$5:$D$1005="jabas")*(MOVIMIENTOS!$A$5:$A$1005&lt;&gt;"")*(MOVIMIENTOS!$A$5:$A$1005&lt;=$A54)*MOVIMIENTOS!$E$5:$E$1005))</f>
        <v/>
      </c>
      <c r="C54" s="65" t="str">
        <f>IF($A54="","",SUMPRODUCT((MOVIMIENTOS!$B$5:$B$1005="SALDO INICIAL")*(MOVIMIENTOS!$C$5:$C$1005="P")*(MOVIMIENTOS!$D$5:$D$1005="jabas")*(MOVIMIENTOS!$A$5:$A$1005&lt;&gt;"")*(MOVIMIENTOS!$A$5:$A$1005&lt;=$A54)*MOVIMIENTOS!$E$5:$E$1005)+SUMPRODUCT((MOVIMIENTOS!$B$5:$B$1005="PROCESO")*(MOVIMIENTOS!$C$5:$C$1005="P")*(MOVIMIENTOS!$D$5:$D$1005="jabas")*(MOVIMIENTOS!$A$5:$A$1005&lt;&gt;"")*(MOVIMIENTOS!$A$5:$A$1005&lt;=$A54)*MOVIMIENTOS!$E$5:$E$1005)-SUMPRODUCT((MOVIMIENTOS!$B$5:$B$1005="ENVÍO A SUPESA")*(MOVIMIENTOS!$C$5:$C$1005="P")*(MOVIMIENTOS!$D$5:$D$1005="jabas")*(MOVIMIENTOS!$A$5:$A$1005&lt;&gt;"")*(MOVIMIENTOS!$A$5:$A$1005&lt;=$A54)*MOVIMIENTOS!$E$5:$E$1005)+SUMPRODUCT((MOVIMIENTOS!$B$5:$B$1005="DEVOLUCIÓN")*(MOVIMIENTOS!$C$5:$C$1005="P")*(MOVIMIENTOS!$D$5:$D$1005="jabas")*(MOVIMIENTOS!$A$5:$A$1005&lt;&gt;"")*(MOVIMIENTOS!$A$5:$A$1005&lt;=$A54)*MOVIMIENTOS!$E$5:$E$1005)-SUMPRODUCT((MOVIMIENTOS!$B$5:$B$1005="TRASIEGO")*(MOVIMIENTOS!$C$5:$C$1005="P")*(MOVIMIENTOS!$D$5:$D$1005="jabas")*(MOVIMIENTOS!$A$5:$A$1005&lt;&gt;"")*(MOVIMIENTOS!$A$5:$A$1005&lt;=$A54)*MOVIMIENTOS!$E$5:$E$1005)-SUMPRODUCT((MOVIMIENTOS!$B$5:$B$1005="REGALO")*(MOVIMIENTOS!$C$5:$C$1005="P")*(MOVIMIENTOS!$D$5:$D$1005="jabas")*(MOVIMIENTOS!$A$5:$A$1005&lt;&gt;"")*(MOVIMIENTOS!$A$5:$A$1005&lt;=$A54)*MOVIMIENTOS!$E$5:$E$1005)-SUMPRODUCT((MOVIMIENTOS!$B$5:$B$1005="VENTA")*(MOVIMIENTOS!$C$5:$C$1005="P")*(MOVIMIENTOS!$D$5:$D$1005="jabas")*(MOVIMIENTOS!$A$5:$A$1005&lt;&gt;"")*(MOVIMIENTOS!$A$5:$A$1005&lt;=$A54)*MOVIMIENTOS!$E$5:$E$1005)+SUMPRODUCT((MOVIMIENTOS!$B$5:$B$1005="AJUSTE")*(MOVIMIENTOS!$C$5:$C$1005="P")*(MOVIMIENTOS!$D$5:$D$1005="jabas")*(MOVIMIENTOS!$A$5:$A$1005&lt;&gt;"")*(MOVIMIENTOS!$A$5:$A$1005&lt;=$A54)*MOVIMIENTOS!$E$5:$E$1005))</f>
        <v/>
      </c>
      <c r="D54" s="65" t="str">
        <f>IF($A54="","",SUMPRODUCT((MOVIMIENTOS!$B$5:$B$1005="SALDO INICIAL")*(MOVIMIENTOS!$C$5:$C$1005="C")*(MOVIMIENTOS!$D$5:$D$1005="jabas")*(MOVIMIENTOS!$A$5:$A$1005&lt;&gt;"")*(MOVIMIENTOS!$A$5:$A$1005&lt;=$A54)*MOVIMIENTOS!$E$5:$E$1005)+SUMPRODUCT((MOVIMIENTOS!$B$5:$B$1005="PROCESO")*(MOVIMIENTOS!$C$5:$C$1005="C")*(MOVIMIENTOS!$D$5:$D$1005="jabas")*(MOVIMIENTOS!$A$5:$A$1005&lt;&gt;"")*(MOVIMIENTOS!$A$5:$A$1005&lt;=$A54)*MOVIMIENTOS!$E$5:$E$1005)-SUMPRODUCT((MOVIMIENTOS!$B$5:$B$1005="ENVÍO A SUPESA")*(MOVIMIENTOS!$C$5:$C$1005="C")*(MOVIMIENTOS!$D$5:$D$1005="jabas")*(MOVIMIENTOS!$A$5:$A$1005&lt;&gt;"")*(MOVIMIENTOS!$A$5:$A$1005&lt;=$A54)*MOVIMIENTOS!$E$5:$E$1005)+SUMPRODUCT((MOVIMIENTOS!$B$5:$B$1005="DEVOLUCIÓN")*(MOVIMIENTOS!$C$5:$C$1005="C")*(MOVIMIENTOS!$D$5:$D$1005="jabas")*(MOVIMIENTOS!$A$5:$A$1005&lt;&gt;"")*(MOVIMIENTOS!$A$5:$A$1005&lt;=$A54)*MOVIMIENTOS!$E$5:$E$1005)-SUMPRODUCT((MOVIMIENTOS!$B$5:$B$1005="TRASIEGO")*(MOVIMIENTOS!$C$5:$C$1005="C")*(MOVIMIENTOS!$D$5:$D$1005="jabas")*(MOVIMIENTOS!$A$5:$A$1005&lt;&gt;"")*(MOVIMIENTOS!$A$5:$A$1005&lt;=$A54)*MOVIMIENTOS!$E$5:$E$1005)-SUMPRODUCT((MOVIMIENTOS!$B$5:$B$1005="REGALO")*(MOVIMIENTOS!$C$5:$C$1005="C")*(MOVIMIENTOS!$D$5:$D$1005="jabas")*(MOVIMIENTOS!$A$5:$A$1005&lt;&gt;"")*(MOVIMIENTOS!$A$5:$A$1005&lt;=$A54)*MOVIMIENTOS!$E$5:$E$1005)-SUMPRODUCT((MOVIMIENTOS!$B$5:$B$1005="VENTA")*(MOVIMIENTOS!$C$5:$C$1005="C")*(MOVIMIENTOS!$D$5:$D$1005="jabas")*(MOVIMIENTOS!$A$5:$A$1005&lt;&gt;"")*(MOVIMIENTOS!$A$5:$A$1005&lt;=$A54)*MOVIMIENTOS!$E$5:$E$1005)+SUMPRODUCT((MOVIMIENTOS!$B$5:$B$1005="AJUSTE")*(MOVIMIENTOS!$C$5:$C$1005="C")*(MOVIMIENTOS!$D$5:$D$1005="jabas")*(MOVIMIENTOS!$A$5:$A$1005&lt;&gt;"")*(MOVIMIENTOS!$A$5:$A$1005&lt;=$A54)*MOVIMIENTOS!$E$5:$E$1005))</f>
        <v/>
      </c>
      <c r="E54" s="65" t="str">
        <f>IF($A54="","",SUMPRODUCT((MOVIMIENTOS!$B$5:$B$1005="SALDO INICIAL")*(MOVIMIENTOS!$C$5:$C$1005="M")*(MOVIMIENTOS!$D$5:$D$1005="jabas")*(MOVIMIENTOS!$A$5:$A$1005&lt;&gt;"")*(MOVIMIENTOS!$A$5:$A$1005&lt;=$A54)*MOVIMIENTOS!$E$5:$E$1005)+SUMPRODUCT((MOVIMIENTOS!$B$5:$B$1005="PROCESO")*(MOVIMIENTOS!$C$5:$C$1005="M")*(MOVIMIENTOS!$D$5:$D$1005="jabas")*(MOVIMIENTOS!$A$5:$A$1005&lt;&gt;"")*(MOVIMIENTOS!$A$5:$A$1005&lt;=$A54)*MOVIMIENTOS!$E$5:$E$1005)-SUMPRODUCT((MOVIMIENTOS!$B$5:$B$1005="ENVÍO A SUPESA")*(MOVIMIENTOS!$C$5:$C$1005="M")*(MOVIMIENTOS!$D$5:$D$1005="jabas")*(MOVIMIENTOS!$A$5:$A$1005&lt;&gt;"")*(MOVIMIENTOS!$A$5:$A$1005&lt;=$A54)*MOVIMIENTOS!$E$5:$E$1005)+SUMPRODUCT((MOVIMIENTOS!$B$5:$B$1005="DEVOLUCIÓN")*(MOVIMIENTOS!$C$5:$C$1005="M")*(MOVIMIENTOS!$D$5:$D$1005="jabas")*(MOVIMIENTOS!$A$5:$A$1005&lt;&gt;"")*(MOVIMIENTOS!$A$5:$A$1005&lt;=$A54)*MOVIMIENTOS!$E$5:$E$1005)-SUMPRODUCT((MOVIMIENTOS!$B$5:$B$1005="TRASIEGO")*(MOVIMIENTOS!$C$5:$C$1005="M")*(MOVIMIENTOS!$D$5:$D$1005="jabas")*(MOVIMIENTOS!$A$5:$A$1005&lt;&gt;"")*(MOVIMIENTOS!$A$5:$A$1005&lt;=$A54)*MOVIMIENTOS!$E$5:$E$1005)-SUMPRODUCT((MOVIMIENTOS!$B$5:$B$1005="REGALO")*(MOVIMIENTOS!$C$5:$C$1005="M")*(MOVIMIENTOS!$D$5:$D$1005="jabas")*(MOVIMIENTOS!$A$5:$A$1005&lt;&gt;"")*(MOVIMIENTOS!$A$5:$A$1005&lt;=$A54)*MOVIMIENTOS!$E$5:$E$1005)-SUMPRODUCT((MOVIMIENTOS!$B$5:$B$1005="VENTA")*(MOVIMIENTOS!$C$5:$C$1005="M")*(MOVIMIENTOS!$D$5:$D$1005="jabas")*(MOVIMIENTOS!$A$5:$A$1005&lt;&gt;"")*(MOVIMIENTOS!$A$5:$A$1005&lt;=$A54)*MOVIMIENTOS!$E$5:$E$1005)+SUMPRODUCT((MOVIMIENTOS!$B$5:$B$1005="AJUSTE")*(MOVIMIENTOS!$C$5:$C$1005="M")*(MOVIMIENTOS!$D$5:$D$1005="jabas")*(MOVIMIENTOS!$A$5:$A$1005&lt;&gt;"")*(MOVIMIENTOS!$A$5:$A$1005&lt;=$A54)*MOVIMIENTOS!$E$5:$E$1005))</f>
        <v/>
      </c>
      <c r="F54" s="65" t="str">
        <f>IF($A54="","",SUMPRODUCT((MOVIMIENTOS!$B$5:$B$1005="SALDO INICIAL")*(MOVIMIENTOS!$C$5:$C$1005="Chancho")*(MOVIMIENTOS!$D$5:$D$1005="sacos")*(MOVIMIENTOS!$A$5:$A$1005&lt;&gt;"")*(MOVIMIENTOS!$A$5:$A$1005&lt;=$A54)*MOVIMIENTOS!$E$5:$E$1005)+SUMPRODUCT((MOVIMIENTOS!$B$5:$B$1005="PROCESO")*(MOVIMIENTOS!$C$5:$C$1005="Chancho")*(MOVIMIENTOS!$D$5:$D$1005="sacos")*(MOVIMIENTOS!$A$5:$A$1005&lt;&gt;"")*(MOVIMIENTOS!$A$5:$A$1005&lt;=$A54)*MOVIMIENTOS!$E$5:$E$1005)-SUMPRODUCT((MOVIMIENTOS!$B$5:$B$1005="VENTA CHANCHO")*(MOVIMIENTOS!$C$5:$C$1005="Chancho")*(MOVIMIENTOS!$D$5:$D$1005="sacos")*(MOVIMIENTOS!$A$5:$A$1005&lt;&gt;"")*(MOVIMIENTOS!$A$5:$A$1005&lt;=$A54)*MOVIMIENTOS!$E$5:$E$1005)-SUMPRODUCT((MOVIMIENTOS!$B$5:$B$1005="REGALO")*(MOVIMIENTOS!$C$5:$C$1005="Chancho")*(MOVIMIENTOS!$D$5:$D$1005="sacos")*(MOVIMIENTOS!$A$5:$A$1005&lt;&gt;"")*(MOVIMIENTOS!$A$5:$A$1005&lt;=$A54)*MOVIMIENTOS!$E$5:$E$1005)-SUMPRODUCT((MOVIMIENTOS!$B$5:$B$1005="VENTA")*(MOVIMIENTOS!$C$5:$C$1005="Chancho")*(MOVIMIENTOS!$D$5:$D$1005="sacos")*(MOVIMIENTOS!$A$5:$A$1005&lt;&gt;"")*(MOVIMIENTOS!$A$5:$A$1005&lt;=$A54)*MOVIMIENTOS!$E$5:$E$1005)+SUMPRODUCT((MOVIMIENTOS!$B$5:$B$1005="AJUSTE")*(MOVIMIENTOS!$C$5:$C$1005="Chancho")*(MOVIMIENTOS!$D$5:$D$1005="sacos")*(MOVIMIENTOS!$A$5:$A$1005&lt;&gt;"")*(MOVIMIENTOS!$A$5:$A$1005&lt;=$A54)*MOVIMIENTOS!$E$5:$E$1005))</f>
        <v/>
      </c>
      <c r="G54" s="77" t="str">
        <f t="shared" si="1"/>
        <v/>
      </c>
      <c r="H54" s="65" t="str">
        <f>IF($A54="","",SUMPRODUCT((((MOVIMIENTOS!$B$5:$B$1005="SALDO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54)*MOVIMIENTOS!$J$5:$J$1005))</f>
        <v/>
      </c>
      <c r="I54" s="63"/>
      <c r="J54" s="63" t="str">
        <f>IF(AND(MOVIMIENTOS!$A54&lt;&gt;"",COUNTIF(MOVIMIENTOS!$A$5:$A53,MOVIMIENTOS!$A54)=0),COUNT(J$4:J53)+1,"")</f>
        <v/>
      </c>
      <c r="K54" s="66">
        <f>MOVIMIENTOS!$A54</f>
        <v>46219</v>
      </c>
      <c r="L54" s="63"/>
      <c r="M54" s="63"/>
      <c r="N54" s="63"/>
    </row>
    <row r="55" spans="1:14" ht="15" customHeight="1" x14ac:dyDescent="0.2">
      <c r="A55" s="64" t="str">
        <f t="shared" si="0"/>
        <v/>
      </c>
      <c r="B55" s="65" t="str">
        <f>IF($A55="","",SUMPRODUCT((MOVIMIENTOS!$B$5:$B$1005="SALDO INICIAL")*(MOVIMIENTOS!$C$5:$C$1005="A")*(MOVIMIENTOS!$D$5:$D$1005="jabas")*(MOVIMIENTOS!$A$5:$A$1005&lt;&gt;"")*(MOVIMIENTOS!$A$5:$A$1005&lt;=$A55)*MOVIMIENTOS!$E$5:$E$1005)+SUMPRODUCT((MOVIMIENTOS!$B$5:$B$1005="PROCESO")*(MOVIMIENTOS!$C$5:$C$1005="A")*(MOVIMIENTOS!$D$5:$D$1005="jabas")*(MOVIMIENTOS!$A$5:$A$1005&lt;&gt;"")*(MOVIMIENTOS!$A$5:$A$1005&lt;=$A55)*MOVIMIENTOS!$E$5:$E$1005)-SUMPRODUCT((MOVIMIENTOS!$B$5:$B$1005="ENVÍO A SUPESA")*(MOVIMIENTOS!$C$5:$C$1005="A")*(MOVIMIENTOS!$D$5:$D$1005="jabas")*(MOVIMIENTOS!$A$5:$A$1005&lt;&gt;"")*(MOVIMIENTOS!$A$5:$A$1005&lt;=$A55)*MOVIMIENTOS!$E$5:$E$1005)+SUMPRODUCT((MOVIMIENTOS!$B$5:$B$1005="DEVOLUCIÓN")*(MOVIMIENTOS!$C$5:$C$1005="A")*(MOVIMIENTOS!$D$5:$D$1005="jabas")*(MOVIMIENTOS!$A$5:$A$1005&lt;&gt;"")*(MOVIMIENTOS!$A$5:$A$1005&lt;=$A55)*MOVIMIENTOS!$E$5:$E$1005)-SUMPRODUCT((MOVIMIENTOS!$B$5:$B$1005="TRASIEGO")*(MOVIMIENTOS!$C$5:$C$1005="A")*(MOVIMIENTOS!$D$5:$D$1005="jabas")*(MOVIMIENTOS!$A$5:$A$1005&lt;&gt;"")*(MOVIMIENTOS!$A$5:$A$1005&lt;=$A55)*MOVIMIENTOS!$E$5:$E$1005)-SUMPRODUCT((MOVIMIENTOS!$B$5:$B$1005="REGALO")*(MOVIMIENTOS!$C$5:$C$1005="A")*(MOVIMIENTOS!$D$5:$D$1005="jabas")*(MOVIMIENTOS!$A$5:$A$1005&lt;&gt;"")*(MOVIMIENTOS!$A$5:$A$1005&lt;=$A55)*MOVIMIENTOS!$E$5:$E$1005)-SUMPRODUCT((MOVIMIENTOS!$B$5:$B$1005="VENTA")*(MOVIMIENTOS!$C$5:$C$1005="A")*(MOVIMIENTOS!$D$5:$D$1005="jabas")*(MOVIMIENTOS!$A$5:$A$1005&lt;&gt;"")*(MOVIMIENTOS!$A$5:$A$1005&lt;=$A55)*MOVIMIENTOS!$E$5:$E$1005)+SUMPRODUCT((MOVIMIENTOS!$B$5:$B$1005="AJUSTE")*(MOVIMIENTOS!$C$5:$C$1005="A")*(MOVIMIENTOS!$D$5:$D$1005="jabas")*(MOVIMIENTOS!$A$5:$A$1005&lt;&gt;"")*(MOVIMIENTOS!$A$5:$A$1005&lt;=$A55)*MOVIMIENTOS!$E$5:$E$1005))</f>
        <v/>
      </c>
      <c r="C55" s="65" t="str">
        <f>IF($A55="","",SUMPRODUCT((MOVIMIENTOS!$B$5:$B$1005="SALDO INICIAL")*(MOVIMIENTOS!$C$5:$C$1005="P")*(MOVIMIENTOS!$D$5:$D$1005="jabas")*(MOVIMIENTOS!$A$5:$A$1005&lt;&gt;"")*(MOVIMIENTOS!$A$5:$A$1005&lt;=$A55)*MOVIMIENTOS!$E$5:$E$1005)+SUMPRODUCT((MOVIMIENTOS!$B$5:$B$1005="PROCESO")*(MOVIMIENTOS!$C$5:$C$1005="P")*(MOVIMIENTOS!$D$5:$D$1005="jabas")*(MOVIMIENTOS!$A$5:$A$1005&lt;&gt;"")*(MOVIMIENTOS!$A$5:$A$1005&lt;=$A55)*MOVIMIENTOS!$E$5:$E$1005)-SUMPRODUCT((MOVIMIENTOS!$B$5:$B$1005="ENVÍO A SUPESA")*(MOVIMIENTOS!$C$5:$C$1005="P")*(MOVIMIENTOS!$D$5:$D$1005="jabas")*(MOVIMIENTOS!$A$5:$A$1005&lt;&gt;"")*(MOVIMIENTOS!$A$5:$A$1005&lt;=$A55)*MOVIMIENTOS!$E$5:$E$1005)+SUMPRODUCT((MOVIMIENTOS!$B$5:$B$1005="DEVOLUCIÓN")*(MOVIMIENTOS!$C$5:$C$1005="P")*(MOVIMIENTOS!$D$5:$D$1005="jabas")*(MOVIMIENTOS!$A$5:$A$1005&lt;&gt;"")*(MOVIMIENTOS!$A$5:$A$1005&lt;=$A55)*MOVIMIENTOS!$E$5:$E$1005)-SUMPRODUCT((MOVIMIENTOS!$B$5:$B$1005="TRASIEGO")*(MOVIMIENTOS!$C$5:$C$1005="P")*(MOVIMIENTOS!$D$5:$D$1005="jabas")*(MOVIMIENTOS!$A$5:$A$1005&lt;&gt;"")*(MOVIMIENTOS!$A$5:$A$1005&lt;=$A55)*MOVIMIENTOS!$E$5:$E$1005)-SUMPRODUCT((MOVIMIENTOS!$B$5:$B$1005="REGALO")*(MOVIMIENTOS!$C$5:$C$1005="P")*(MOVIMIENTOS!$D$5:$D$1005="jabas")*(MOVIMIENTOS!$A$5:$A$1005&lt;&gt;"")*(MOVIMIENTOS!$A$5:$A$1005&lt;=$A55)*MOVIMIENTOS!$E$5:$E$1005)-SUMPRODUCT((MOVIMIENTOS!$B$5:$B$1005="VENTA")*(MOVIMIENTOS!$C$5:$C$1005="P")*(MOVIMIENTOS!$D$5:$D$1005="jabas")*(MOVIMIENTOS!$A$5:$A$1005&lt;&gt;"")*(MOVIMIENTOS!$A$5:$A$1005&lt;=$A55)*MOVIMIENTOS!$E$5:$E$1005)+SUMPRODUCT((MOVIMIENTOS!$B$5:$B$1005="AJUSTE")*(MOVIMIENTOS!$C$5:$C$1005="P")*(MOVIMIENTOS!$D$5:$D$1005="jabas")*(MOVIMIENTOS!$A$5:$A$1005&lt;&gt;"")*(MOVIMIENTOS!$A$5:$A$1005&lt;=$A55)*MOVIMIENTOS!$E$5:$E$1005))</f>
        <v/>
      </c>
      <c r="D55" s="65" t="str">
        <f>IF($A55="","",SUMPRODUCT((MOVIMIENTOS!$B$5:$B$1005="SALDO INICIAL")*(MOVIMIENTOS!$C$5:$C$1005="C")*(MOVIMIENTOS!$D$5:$D$1005="jabas")*(MOVIMIENTOS!$A$5:$A$1005&lt;&gt;"")*(MOVIMIENTOS!$A$5:$A$1005&lt;=$A55)*MOVIMIENTOS!$E$5:$E$1005)+SUMPRODUCT((MOVIMIENTOS!$B$5:$B$1005="PROCESO")*(MOVIMIENTOS!$C$5:$C$1005="C")*(MOVIMIENTOS!$D$5:$D$1005="jabas")*(MOVIMIENTOS!$A$5:$A$1005&lt;&gt;"")*(MOVIMIENTOS!$A$5:$A$1005&lt;=$A55)*MOVIMIENTOS!$E$5:$E$1005)-SUMPRODUCT((MOVIMIENTOS!$B$5:$B$1005="ENVÍO A SUPESA")*(MOVIMIENTOS!$C$5:$C$1005="C")*(MOVIMIENTOS!$D$5:$D$1005="jabas")*(MOVIMIENTOS!$A$5:$A$1005&lt;&gt;"")*(MOVIMIENTOS!$A$5:$A$1005&lt;=$A55)*MOVIMIENTOS!$E$5:$E$1005)+SUMPRODUCT((MOVIMIENTOS!$B$5:$B$1005="DEVOLUCIÓN")*(MOVIMIENTOS!$C$5:$C$1005="C")*(MOVIMIENTOS!$D$5:$D$1005="jabas")*(MOVIMIENTOS!$A$5:$A$1005&lt;&gt;"")*(MOVIMIENTOS!$A$5:$A$1005&lt;=$A55)*MOVIMIENTOS!$E$5:$E$1005)-SUMPRODUCT((MOVIMIENTOS!$B$5:$B$1005="TRASIEGO")*(MOVIMIENTOS!$C$5:$C$1005="C")*(MOVIMIENTOS!$D$5:$D$1005="jabas")*(MOVIMIENTOS!$A$5:$A$1005&lt;&gt;"")*(MOVIMIENTOS!$A$5:$A$1005&lt;=$A55)*MOVIMIENTOS!$E$5:$E$1005)-SUMPRODUCT((MOVIMIENTOS!$B$5:$B$1005="REGALO")*(MOVIMIENTOS!$C$5:$C$1005="C")*(MOVIMIENTOS!$D$5:$D$1005="jabas")*(MOVIMIENTOS!$A$5:$A$1005&lt;&gt;"")*(MOVIMIENTOS!$A$5:$A$1005&lt;=$A55)*MOVIMIENTOS!$E$5:$E$1005)-SUMPRODUCT((MOVIMIENTOS!$B$5:$B$1005="VENTA")*(MOVIMIENTOS!$C$5:$C$1005="C")*(MOVIMIENTOS!$D$5:$D$1005="jabas")*(MOVIMIENTOS!$A$5:$A$1005&lt;&gt;"")*(MOVIMIENTOS!$A$5:$A$1005&lt;=$A55)*MOVIMIENTOS!$E$5:$E$1005)+SUMPRODUCT((MOVIMIENTOS!$B$5:$B$1005="AJUSTE")*(MOVIMIENTOS!$C$5:$C$1005="C")*(MOVIMIENTOS!$D$5:$D$1005="jabas")*(MOVIMIENTOS!$A$5:$A$1005&lt;&gt;"")*(MOVIMIENTOS!$A$5:$A$1005&lt;=$A55)*MOVIMIENTOS!$E$5:$E$1005))</f>
        <v/>
      </c>
      <c r="E55" s="65" t="str">
        <f>IF($A55="","",SUMPRODUCT((MOVIMIENTOS!$B$5:$B$1005="SALDO INICIAL")*(MOVIMIENTOS!$C$5:$C$1005="M")*(MOVIMIENTOS!$D$5:$D$1005="jabas")*(MOVIMIENTOS!$A$5:$A$1005&lt;&gt;"")*(MOVIMIENTOS!$A$5:$A$1005&lt;=$A55)*MOVIMIENTOS!$E$5:$E$1005)+SUMPRODUCT((MOVIMIENTOS!$B$5:$B$1005="PROCESO")*(MOVIMIENTOS!$C$5:$C$1005="M")*(MOVIMIENTOS!$D$5:$D$1005="jabas")*(MOVIMIENTOS!$A$5:$A$1005&lt;&gt;"")*(MOVIMIENTOS!$A$5:$A$1005&lt;=$A55)*MOVIMIENTOS!$E$5:$E$1005)-SUMPRODUCT((MOVIMIENTOS!$B$5:$B$1005="ENVÍO A SUPESA")*(MOVIMIENTOS!$C$5:$C$1005="M")*(MOVIMIENTOS!$D$5:$D$1005="jabas")*(MOVIMIENTOS!$A$5:$A$1005&lt;&gt;"")*(MOVIMIENTOS!$A$5:$A$1005&lt;=$A55)*MOVIMIENTOS!$E$5:$E$1005)+SUMPRODUCT((MOVIMIENTOS!$B$5:$B$1005="DEVOLUCIÓN")*(MOVIMIENTOS!$C$5:$C$1005="M")*(MOVIMIENTOS!$D$5:$D$1005="jabas")*(MOVIMIENTOS!$A$5:$A$1005&lt;&gt;"")*(MOVIMIENTOS!$A$5:$A$1005&lt;=$A55)*MOVIMIENTOS!$E$5:$E$1005)-SUMPRODUCT((MOVIMIENTOS!$B$5:$B$1005="TRASIEGO")*(MOVIMIENTOS!$C$5:$C$1005="M")*(MOVIMIENTOS!$D$5:$D$1005="jabas")*(MOVIMIENTOS!$A$5:$A$1005&lt;&gt;"")*(MOVIMIENTOS!$A$5:$A$1005&lt;=$A55)*MOVIMIENTOS!$E$5:$E$1005)-SUMPRODUCT((MOVIMIENTOS!$B$5:$B$1005="REGALO")*(MOVIMIENTOS!$C$5:$C$1005="M")*(MOVIMIENTOS!$D$5:$D$1005="jabas")*(MOVIMIENTOS!$A$5:$A$1005&lt;&gt;"")*(MOVIMIENTOS!$A$5:$A$1005&lt;=$A55)*MOVIMIENTOS!$E$5:$E$1005)-SUMPRODUCT((MOVIMIENTOS!$B$5:$B$1005="VENTA")*(MOVIMIENTOS!$C$5:$C$1005="M")*(MOVIMIENTOS!$D$5:$D$1005="jabas")*(MOVIMIENTOS!$A$5:$A$1005&lt;&gt;"")*(MOVIMIENTOS!$A$5:$A$1005&lt;=$A55)*MOVIMIENTOS!$E$5:$E$1005)+SUMPRODUCT((MOVIMIENTOS!$B$5:$B$1005="AJUSTE")*(MOVIMIENTOS!$C$5:$C$1005="M")*(MOVIMIENTOS!$D$5:$D$1005="jabas")*(MOVIMIENTOS!$A$5:$A$1005&lt;&gt;"")*(MOVIMIENTOS!$A$5:$A$1005&lt;=$A55)*MOVIMIENTOS!$E$5:$E$1005))</f>
        <v/>
      </c>
      <c r="F55" s="65" t="str">
        <f>IF($A55="","",SUMPRODUCT((MOVIMIENTOS!$B$5:$B$1005="SALDO INICIAL")*(MOVIMIENTOS!$C$5:$C$1005="Chancho")*(MOVIMIENTOS!$D$5:$D$1005="sacos")*(MOVIMIENTOS!$A$5:$A$1005&lt;&gt;"")*(MOVIMIENTOS!$A$5:$A$1005&lt;=$A55)*MOVIMIENTOS!$E$5:$E$1005)+SUMPRODUCT((MOVIMIENTOS!$B$5:$B$1005="PROCESO")*(MOVIMIENTOS!$C$5:$C$1005="Chancho")*(MOVIMIENTOS!$D$5:$D$1005="sacos")*(MOVIMIENTOS!$A$5:$A$1005&lt;&gt;"")*(MOVIMIENTOS!$A$5:$A$1005&lt;=$A55)*MOVIMIENTOS!$E$5:$E$1005)-SUMPRODUCT((MOVIMIENTOS!$B$5:$B$1005="VENTA CHANCHO")*(MOVIMIENTOS!$C$5:$C$1005="Chancho")*(MOVIMIENTOS!$D$5:$D$1005="sacos")*(MOVIMIENTOS!$A$5:$A$1005&lt;&gt;"")*(MOVIMIENTOS!$A$5:$A$1005&lt;=$A55)*MOVIMIENTOS!$E$5:$E$1005)-SUMPRODUCT((MOVIMIENTOS!$B$5:$B$1005="REGALO")*(MOVIMIENTOS!$C$5:$C$1005="Chancho")*(MOVIMIENTOS!$D$5:$D$1005="sacos")*(MOVIMIENTOS!$A$5:$A$1005&lt;&gt;"")*(MOVIMIENTOS!$A$5:$A$1005&lt;=$A55)*MOVIMIENTOS!$E$5:$E$1005)-SUMPRODUCT((MOVIMIENTOS!$B$5:$B$1005="VENTA")*(MOVIMIENTOS!$C$5:$C$1005="Chancho")*(MOVIMIENTOS!$D$5:$D$1005="sacos")*(MOVIMIENTOS!$A$5:$A$1005&lt;&gt;"")*(MOVIMIENTOS!$A$5:$A$1005&lt;=$A55)*MOVIMIENTOS!$E$5:$E$1005)+SUMPRODUCT((MOVIMIENTOS!$B$5:$B$1005="AJUSTE")*(MOVIMIENTOS!$C$5:$C$1005="Chancho")*(MOVIMIENTOS!$D$5:$D$1005="sacos")*(MOVIMIENTOS!$A$5:$A$1005&lt;&gt;"")*(MOVIMIENTOS!$A$5:$A$1005&lt;=$A55)*MOVIMIENTOS!$E$5:$E$1005))</f>
        <v/>
      </c>
      <c r="G55" s="77" t="str">
        <f t="shared" si="1"/>
        <v/>
      </c>
      <c r="H55" s="65" t="str">
        <f>IF($A55="","",SUMPRODUCT((((MOVIMIENTOS!$B$5:$B$1005="SALDO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55)*MOVIMIENTOS!$J$5:$J$1005))</f>
        <v/>
      </c>
      <c r="I55" s="63"/>
      <c r="J55" s="63" t="str">
        <f>IF(AND(MOVIMIENTOS!$A55&lt;&gt;"",COUNTIF(MOVIMIENTOS!$A$5:$A54,MOVIMIENTOS!$A55)=0),COUNT(J$4:J54)+1,"")</f>
        <v/>
      </c>
      <c r="K55" s="66">
        <f>MOVIMIENTOS!$A55</f>
        <v>46219</v>
      </c>
      <c r="L55" s="63"/>
      <c r="M55" s="63"/>
      <c r="N55" s="63"/>
    </row>
    <row r="56" spans="1:14" ht="15" customHeight="1" x14ac:dyDescent="0.2">
      <c r="A56" s="64" t="str">
        <f t="shared" si="0"/>
        <v/>
      </c>
      <c r="B56" s="65" t="str">
        <f>IF($A56="","",SUMPRODUCT((MOVIMIENTOS!$B$5:$B$1005="SALDO INICIAL")*(MOVIMIENTOS!$C$5:$C$1005="A")*(MOVIMIENTOS!$D$5:$D$1005="jabas")*(MOVIMIENTOS!$A$5:$A$1005&lt;&gt;"")*(MOVIMIENTOS!$A$5:$A$1005&lt;=$A56)*MOVIMIENTOS!$E$5:$E$1005)+SUMPRODUCT((MOVIMIENTOS!$B$5:$B$1005="PROCESO")*(MOVIMIENTOS!$C$5:$C$1005="A")*(MOVIMIENTOS!$D$5:$D$1005="jabas")*(MOVIMIENTOS!$A$5:$A$1005&lt;&gt;"")*(MOVIMIENTOS!$A$5:$A$1005&lt;=$A56)*MOVIMIENTOS!$E$5:$E$1005)-SUMPRODUCT((MOVIMIENTOS!$B$5:$B$1005="ENVÍO A SUPESA")*(MOVIMIENTOS!$C$5:$C$1005="A")*(MOVIMIENTOS!$D$5:$D$1005="jabas")*(MOVIMIENTOS!$A$5:$A$1005&lt;&gt;"")*(MOVIMIENTOS!$A$5:$A$1005&lt;=$A56)*MOVIMIENTOS!$E$5:$E$1005)+SUMPRODUCT((MOVIMIENTOS!$B$5:$B$1005="DEVOLUCIÓN")*(MOVIMIENTOS!$C$5:$C$1005="A")*(MOVIMIENTOS!$D$5:$D$1005="jabas")*(MOVIMIENTOS!$A$5:$A$1005&lt;&gt;"")*(MOVIMIENTOS!$A$5:$A$1005&lt;=$A56)*MOVIMIENTOS!$E$5:$E$1005)-SUMPRODUCT((MOVIMIENTOS!$B$5:$B$1005="TRASIEGO")*(MOVIMIENTOS!$C$5:$C$1005="A")*(MOVIMIENTOS!$D$5:$D$1005="jabas")*(MOVIMIENTOS!$A$5:$A$1005&lt;&gt;"")*(MOVIMIENTOS!$A$5:$A$1005&lt;=$A56)*MOVIMIENTOS!$E$5:$E$1005)-SUMPRODUCT((MOVIMIENTOS!$B$5:$B$1005="REGALO")*(MOVIMIENTOS!$C$5:$C$1005="A")*(MOVIMIENTOS!$D$5:$D$1005="jabas")*(MOVIMIENTOS!$A$5:$A$1005&lt;&gt;"")*(MOVIMIENTOS!$A$5:$A$1005&lt;=$A56)*MOVIMIENTOS!$E$5:$E$1005)-SUMPRODUCT((MOVIMIENTOS!$B$5:$B$1005="VENTA")*(MOVIMIENTOS!$C$5:$C$1005="A")*(MOVIMIENTOS!$D$5:$D$1005="jabas")*(MOVIMIENTOS!$A$5:$A$1005&lt;&gt;"")*(MOVIMIENTOS!$A$5:$A$1005&lt;=$A56)*MOVIMIENTOS!$E$5:$E$1005)+SUMPRODUCT((MOVIMIENTOS!$B$5:$B$1005="AJUSTE")*(MOVIMIENTOS!$C$5:$C$1005="A")*(MOVIMIENTOS!$D$5:$D$1005="jabas")*(MOVIMIENTOS!$A$5:$A$1005&lt;&gt;"")*(MOVIMIENTOS!$A$5:$A$1005&lt;=$A56)*MOVIMIENTOS!$E$5:$E$1005))</f>
        <v/>
      </c>
      <c r="C56" s="65" t="str">
        <f>IF($A56="","",SUMPRODUCT((MOVIMIENTOS!$B$5:$B$1005="SALDO INICIAL")*(MOVIMIENTOS!$C$5:$C$1005="P")*(MOVIMIENTOS!$D$5:$D$1005="jabas")*(MOVIMIENTOS!$A$5:$A$1005&lt;&gt;"")*(MOVIMIENTOS!$A$5:$A$1005&lt;=$A56)*MOVIMIENTOS!$E$5:$E$1005)+SUMPRODUCT((MOVIMIENTOS!$B$5:$B$1005="PROCESO")*(MOVIMIENTOS!$C$5:$C$1005="P")*(MOVIMIENTOS!$D$5:$D$1005="jabas")*(MOVIMIENTOS!$A$5:$A$1005&lt;&gt;"")*(MOVIMIENTOS!$A$5:$A$1005&lt;=$A56)*MOVIMIENTOS!$E$5:$E$1005)-SUMPRODUCT((MOVIMIENTOS!$B$5:$B$1005="ENVÍO A SUPESA")*(MOVIMIENTOS!$C$5:$C$1005="P")*(MOVIMIENTOS!$D$5:$D$1005="jabas")*(MOVIMIENTOS!$A$5:$A$1005&lt;&gt;"")*(MOVIMIENTOS!$A$5:$A$1005&lt;=$A56)*MOVIMIENTOS!$E$5:$E$1005)+SUMPRODUCT((MOVIMIENTOS!$B$5:$B$1005="DEVOLUCIÓN")*(MOVIMIENTOS!$C$5:$C$1005="P")*(MOVIMIENTOS!$D$5:$D$1005="jabas")*(MOVIMIENTOS!$A$5:$A$1005&lt;&gt;"")*(MOVIMIENTOS!$A$5:$A$1005&lt;=$A56)*MOVIMIENTOS!$E$5:$E$1005)-SUMPRODUCT((MOVIMIENTOS!$B$5:$B$1005="TRASIEGO")*(MOVIMIENTOS!$C$5:$C$1005="P")*(MOVIMIENTOS!$D$5:$D$1005="jabas")*(MOVIMIENTOS!$A$5:$A$1005&lt;&gt;"")*(MOVIMIENTOS!$A$5:$A$1005&lt;=$A56)*MOVIMIENTOS!$E$5:$E$1005)-SUMPRODUCT((MOVIMIENTOS!$B$5:$B$1005="REGALO")*(MOVIMIENTOS!$C$5:$C$1005="P")*(MOVIMIENTOS!$D$5:$D$1005="jabas")*(MOVIMIENTOS!$A$5:$A$1005&lt;&gt;"")*(MOVIMIENTOS!$A$5:$A$1005&lt;=$A56)*MOVIMIENTOS!$E$5:$E$1005)-SUMPRODUCT((MOVIMIENTOS!$B$5:$B$1005="VENTA")*(MOVIMIENTOS!$C$5:$C$1005="P")*(MOVIMIENTOS!$D$5:$D$1005="jabas")*(MOVIMIENTOS!$A$5:$A$1005&lt;&gt;"")*(MOVIMIENTOS!$A$5:$A$1005&lt;=$A56)*MOVIMIENTOS!$E$5:$E$1005)+SUMPRODUCT((MOVIMIENTOS!$B$5:$B$1005="AJUSTE")*(MOVIMIENTOS!$C$5:$C$1005="P")*(MOVIMIENTOS!$D$5:$D$1005="jabas")*(MOVIMIENTOS!$A$5:$A$1005&lt;&gt;"")*(MOVIMIENTOS!$A$5:$A$1005&lt;=$A56)*MOVIMIENTOS!$E$5:$E$1005))</f>
        <v/>
      </c>
      <c r="D56" s="65" t="str">
        <f>IF($A56="","",SUMPRODUCT((MOVIMIENTOS!$B$5:$B$1005="SALDO INICIAL")*(MOVIMIENTOS!$C$5:$C$1005="C")*(MOVIMIENTOS!$D$5:$D$1005="jabas")*(MOVIMIENTOS!$A$5:$A$1005&lt;&gt;"")*(MOVIMIENTOS!$A$5:$A$1005&lt;=$A56)*MOVIMIENTOS!$E$5:$E$1005)+SUMPRODUCT((MOVIMIENTOS!$B$5:$B$1005="PROCESO")*(MOVIMIENTOS!$C$5:$C$1005="C")*(MOVIMIENTOS!$D$5:$D$1005="jabas")*(MOVIMIENTOS!$A$5:$A$1005&lt;&gt;"")*(MOVIMIENTOS!$A$5:$A$1005&lt;=$A56)*MOVIMIENTOS!$E$5:$E$1005)-SUMPRODUCT((MOVIMIENTOS!$B$5:$B$1005="ENVÍO A SUPESA")*(MOVIMIENTOS!$C$5:$C$1005="C")*(MOVIMIENTOS!$D$5:$D$1005="jabas")*(MOVIMIENTOS!$A$5:$A$1005&lt;&gt;"")*(MOVIMIENTOS!$A$5:$A$1005&lt;=$A56)*MOVIMIENTOS!$E$5:$E$1005)+SUMPRODUCT((MOVIMIENTOS!$B$5:$B$1005="DEVOLUCIÓN")*(MOVIMIENTOS!$C$5:$C$1005="C")*(MOVIMIENTOS!$D$5:$D$1005="jabas")*(MOVIMIENTOS!$A$5:$A$1005&lt;&gt;"")*(MOVIMIENTOS!$A$5:$A$1005&lt;=$A56)*MOVIMIENTOS!$E$5:$E$1005)-SUMPRODUCT((MOVIMIENTOS!$B$5:$B$1005="TRASIEGO")*(MOVIMIENTOS!$C$5:$C$1005="C")*(MOVIMIENTOS!$D$5:$D$1005="jabas")*(MOVIMIENTOS!$A$5:$A$1005&lt;&gt;"")*(MOVIMIENTOS!$A$5:$A$1005&lt;=$A56)*MOVIMIENTOS!$E$5:$E$1005)-SUMPRODUCT((MOVIMIENTOS!$B$5:$B$1005="REGALO")*(MOVIMIENTOS!$C$5:$C$1005="C")*(MOVIMIENTOS!$D$5:$D$1005="jabas")*(MOVIMIENTOS!$A$5:$A$1005&lt;&gt;"")*(MOVIMIENTOS!$A$5:$A$1005&lt;=$A56)*MOVIMIENTOS!$E$5:$E$1005)-SUMPRODUCT((MOVIMIENTOS!$B$5:$B$1005="VENTA")*(MOVIMIENTOS!$C$5:$C$1005="C")*(MOVIMIENTOS!$D$5:$D$1005="jabas")*(MOVIMIENTOS!$A$5:$A$1005&lt;&gt;"")*(MOVIMIENTOS!$A$5:$A$1005&lt;=$A56)*MOVIMIENTOS!$E$5:$E$1005)+SUMPRODUCT((MOVIMIENTOS!$B$5:$B$1005="AJUSTE")*(MOVIMIENTOS!$C$5:$C$1005="C")*(MOVIMIENTOS!$D$5:$D$1005="jabas")*(MOVIMIENTOS!$A$5:$A$1005&lt;&gt;"")*(MOVIMIENTOS!$A$5:$A$1005&lt;=$A56)*MOVIMIENTOS!$E$5:$E$1005))</f>
        <v/>
      </c>
      <c r="E56" s="65" t="str">
        <f>IF($A56="","",SUMPRODUCT((MOVIMIENTOS!$B$5:$B$1005="SALDO INICIAL")*(MOVIMIENTOS!$C$5:$C$1005="M")*(MOVIMIENTOS!$D$5:$D$1005="jabas")*(MOVIMIENTOS!$A$5:$A$1005&lt;&gt;"")*(MOVIMIENTOS!$A$5:$A$1005&lt;=$A56)*MOVIMIENTOS!$E$5:$E$1005)+SUMPRODUCT((MOVIMIENTOS!$B$5:$B$1005="PROCESO")*(MOVIMIENTOS!$C$5:$C$1005="M")*(MOVIMIENTOS!$D$5:$D$1005="jabas")*(MOVIMIENTOS!$A$5:$A$1005&lt;&gt;"")*(MOVIMIENTOS!$A$5:$A$1005&lt;=$A56)*MOVIMIENTOS!$E$5:$E$1005)-SUMPRODUCT((MOVIMIENTOS!$B$5:$B$1005="ENVÍO A SUPESA")*(MOVIMIENTOS!$C$5:$C$1005="M")*(MOVIMIENTOS!$D$5:$D$1005="jabas")*(MOVIMIENTOS!$A$5:$A$1005&lt;&gt;"")*(MOVIMIENTOS!$A$5:$A$1005&lt;=$A56)*MOVIMIENTOS!$E$5:$E$1005)+SUMPRODUCT((MOVIMIENTOS!$B$5:$B$1005="DEVOLUCIÓN")*(MOVIMIENTOS!$C$5:$C$1005="M")*(MOVIMIENTOS!$D$5:$D$1005="jabas")*(MOVIMIENTOS!$A$5:$A$1005&lt;&gt;"")*(MOVIMIENTOS!$A$5:$A$1005&lt;=$A56)*MOVIMIENTOS!$E$5:$E$1005)-SUMPRODUCT((MOVIMIENTOS!$B$5:$B$1005="TRASIEGO")*(MOVIMIENTOS!$C$5:$C$1005="M")*(MOVIMIENTOS!$D$5:$D$1005="jabas")*(MOVIMIENTOS!$A$5:$A$1005&lt;&gt;"")*(MOVIMIENTOS!$A$5:$A$1005&lt;=$A56)*MOVIMIENTOS!$E$5:$E$1005)-SUMPRODUCT((MOVIMIENTOS!$B$5:$B$1005="REGALO")*(MOVIMIENTOS!$C$5:$C$1005="M")*(MOVIMIENTOS!$D$5:$D$1005="jabas")*(MOVIMIENTOS!$A$5:$A$1005&lt;&gt;"")*(MOVIMIENTOS!$A$5:$A$1005&lt;=$A56)*MOVIMIENTOS!$E$5:$E$1005)-SUMPRODUCT((MOVIMIENTOS!$B$5:$B$1005="VENTA")*(MOVIMIENTOS!$C$5:$C$1005="M")*(MOVIMIENTOS!$D$5:$D$1005="jabas")*(MOVIMIENTOS!$A$5:$A$1005&lt;&gt;"")*(MOVIMIENTOS!$A$5:$A$1005&lt;=$A56)*MOVIMIENTOS!$E$5:$E$1005)+SUMPRODUCT((MOVIMIENTOS!$B$5:$B$1005="AJUSTE")*(MOVIMIENTOS!$C$5:$C$1005="M")*(MOVIMIENTOS!$D$5:$D$1005="jabas")*(MOVIMIENTOS!$A$5:$A$1005&lt;&gt;"")*(MOVIMIENTOS!$A$5:$A$1005&lt;=$A56)*MOVIMIENTOS!$E$5:$E$1005))</f>
        <v/>
      </c>
      <c r="F56" s="65" t="str">
        <f>IF($A56="","",SUMPRODUCT((MOVIMIENTOS!$B$5:$B$1005="SALDO INICIAL")*(MOVIMIENTOS!$C$5:$C$1005="Chancho")*(MOVIMIENTOS!$D$5:$D$1005="sacos")*(MOVIMIENTOS!$A$5:$A$1005&lt;&gt;"")*(MOVIMIENTOS!$A$5:$A$1005&lt;=$A56)*MOVIMIENTOS!$E$5:$E$1005)+SUMPRODUCT((MOVIMIENTOS!$B$5:$B$1005="PROCESO")*(MOVIMIENTOS!$C$5:$C$1005="Chancho")*(MOVIMIENTOS!$D$5:$D$1005="sacos")*(MOVIMIENTOS!$A$5:$A$1005&lt;&gt;"")*(MOVIMIENTOS!$A$5:$A$1005&lt;=$A56)*MOVIMIENTOS!$E$5:$E$1005)-SUMPRODUCT((MOVIMIENTOS!$B$5:$B$1005="VENTA CHANCHO")*(MOVIMIENTOS!$C$5:$C$1005="Chancho")*(MOVIMIENTOS!$D$5:$D$1005="sacos")*(MOVIMIENTOS!$A$5:$A$1005&lt;&gt;"")*(MOVIMIENTOS!$A$5:$A$1005&lt;=$A56)*MOVIMIENTOS!$E$5:$E$1005)-SUMPRODUCT((MOVIMIENTOS!$B$5:$B$1005="REGALO")*(MOVIMIENTOS!$C$5:$C$1005="Chancho")*(MOVIMIENTOS!$D$5:$D$1005="sacos")*(MOVIMIENTOS!$A$5:$A$1005&lt;&gt;"")*(MOVIMIENTOS!$A$5:$A$1005&lt;=$A56)*MOVIMIENTOS!$E$5:$E$1005)-SUMPRODUCT((MOVIMIENTOS!$B$5:$B$1005="VENTA")*(MOVIMIENTOS!$C$5:$C$1005="Chancho")*(MOVIMIENTOS!$D$5:$D$1005="sacos")*(MOVIMIENTOS!$A$5:$A$1005&lt;&gt;"")*(MOVIMIENTOS!$A$5:$A$1005&lt;=$A56)*MOVIMIENTOS!$E$5:$E$1005)+SUMPRODUCT((MOVIMIENTOS!$B$5:$B$1005="AJUSTE")*(MOVIMIENTOS!$C$5:$C$1005="Chancho")*(MOVIMIENTOS!$D$5:$D$1005="sacos")*(MOVIMIENTOS!$A$5:$A$1005&lt;&gt;"")*(MOVIMIENTOS!$A$5:$A$1005&lt;=$A56)*MOVIMIENTOS!$E$5:$E$1005))</f>
        <v/>
      </c>
      <c r="G56" s="77" t="str">
        <f t="shared" si="1"/>
        <v/>
      </c>
      <c r="H56" s="65" t="str">
        <f>IF($A56="","",SUMPRODUCT((((MOVIMIENTOS!$B$5:$B$1005="SALDO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56)*MOVIMIENTOS!$J$5:$J$1005))</f>
        <v/>
      </c>
      <c r="I56" s="63"/>
      <c r="J56" s="63" t="str">
        <f>IF(AND(MOVIMIENTOS!$A56&lt;&gt;"",COUNTIF(MOVIMIENTOS!$A$5:$A55,MOVIMIENTOS!$A56)=0),COUNT(J$4:J55)+1,"")</f>
        <v/>
      </c>
      <c r="K56" s="66">
        <f>MOVIMIENTOS!$A56</f>
        <v>46219</v>
      </c>
      <c r="L56" s="63"/>
      <c r="M56" s="63"/>
      <c r="N56" s="63"/>
    </row>
    <row r="57" spans="1:14" ht="15" customHeight="1" x14ac:dyDescent="0.2">
      <c r="A57" s="64" t="str">
        <f t="shared" si="0"/>
        <v/>
      </c>
      <c r="B57" s="65" t="str">
        <f>IF($A57="","",SUMPRODUCT((MOVIMIENTOS!$B$5:$B$1005="SALDO INICIAL")*(MOVIMIENTOS!$C$5:$C$1005="A")*(MOVIMIENTOS!$D$5:$D$1005="jabas")*(MOVIMIENTOS!$A$5:$A$1005&lt;&gt;"")*(MOVIMIENTOS!$A$5:$A$1005&lt;=$A57)*MOVIMIENTOS!$E$5:$E$1005)+SUMPRODUCT((MOVIMIENTOS!$B$5:$B$1005="PROCESO")*(MOVIMIENTOS!$C$5:$C$1005="A")*(MOVIMIENTOS!$D$5:$D$1005="jabas")*(MOVIMIENTOS!$A$5:$A$1005&lt;&gt;"")*(MOVIMIENTOS!$A$5:$A$1005&lt;=$A57)*MOVIMIENTOS!$E$5:$E$1005)-SUMPRODUCT((MOVIMIENTOS!$B$5:$B$1005="ENVÍO A SUPESA")*(MOVIMIENTOS!$C$5:$C$1005="A")*(MOVIMIENTOS!$D$5:$D$1005="jabas")*(MOVIMIENTOS!$A$5:$A$1005&lt;&gt;"")*(MOVIMIENTOS!$A$5:$A$1005&lt;=$A57)*MOVIMIENTOS!$E$5:$E$1005)+SUMPRODUCT((MOVIMIENTOS!$B$5:$B$1005="DEVOLUCIÓN")*(MOVIMIENTOS!$C$5:$C$1005="A")*(MOVIMIENTOS!$D$5:$D$1005="jabas")*(MOVIMIENTOS!$A$5:$A$1005&lt;&gt;"")*(MOVIMIENTOS!$A$5:$A$1005&lt;=$A57)*MOVIMIENTOS!$E$5:$E$1005)-SUMPRODUCT((MOVIMIENTOS!$B$5:$B$1005="TRASIEGO")*(MOVIMIENTOS!$C$5:$C$1005="A")*(MOVIMIENTOS!$D$5:$D$1005="jabas")*(MOVIMIENTOS!$A$5:$A$1005&lt;&gt;"")*(MOVIMIENTOS!$A$5:$A$1005&lt;=$A57)*MOVIMIENTOS!$E$5:$E$1005)-SUMPRODUCT((MOVIMIENTOS!$B$5:$B$1005="REGALO")*(MOVIMIENTOS!$C$5:$C$1005="A")*(MOVIMIENTOS!$D$5:$D$1005="jabas")*(MOVIMIENTOS!$A$5:$A$1005&lt;&gt;"")*(MOVIMIENTOS!$A$5:$A$1005&lt;=$A57)*MOVIMIENTOS!$E$5:$E$1005)-SUMPRODUCT((MOVIMIENTOS!$B$5:$B$1005="VENTA")*(MOVIMIENTOS!$C$5:$C$1005="A")*(MOVIMIENTOS!$D$5:$D$1005="jabas")*(MOVIMIENTOS!$A$5:$A$1005&lt;&gt;"")*(MOVIMIENTOS!$A$5:$A$1005&lt;=$A57)*MOVIMIENTOS!$E$5:$E$1005)+SUMPRODUCT((MOVIMIENTOS!$B$5:$B$1005="AJUSTE")*(MOVIMIENTOS!$C$5:$C$1005="A")*(MOVIMIENTOS!$D$5:$D$1005="jabas")*(MOVIMIENTOS!$A$5:$A$1005&lt;&gt;"")*(MOVIMIENTOS!$A$5:$A$1005&lt;=$A57)*MOVIMIENTOS!$E$5:$E$1005))</f>
        <v/>
      </c>
      <c r="C57" s="65" t="str">
        <f>IF($A57="","",SUMPRODUCT((MOVIMIENTOS!$B$5:$B$1005="SALDO INICIAL")*(MOVIMIENTOS!$C$5:$C$1005="P")*(MOVIMIENTOS!$D$5:$D$1005="jabas")*(MOVIMIENTOS!$A$5:$A$1005&lt;&gt;"")*(MOVIMIENTOS!$A$5:$A$1005&lt;=$A57)*MOVIMIENTOS!$E$5:$E$1005)+SUMPRODUCT((MOVIMIENTOS!$B$5:$B$1005="PROCESO")*(MOVIMIENTOS!$C$5:$C$1005="P")*(MOVIMIENTOS!$D$5:$D$1005="jabas")*(MOVIMIENTOS!$A$5:$A$1005&lt;&gt;"")*(MOVIMIENTOS!$A$5:$A$1005&lt;=$A57)*MOVIMIENTOS!$E$5:$E$1005)-SUMPRODUCT((MOVIMIENTOS!$B$5:$B$1005="ENVÍO A SUPESA")*(MOVIMIENTOS!$C$5:$C$1005="P")*(MOVIMIENTOS!$D$5:$D$1005="jabas")*(MOVIMIENTOS!$A$5:$A$1005&lt;&gt;"")*(MOVIMIENTOS!$A$5:$A$1005&lt;=$A57)*MOVIMIENTOS!$E$5:$E$1005)+SUMPRODUCT((MOVIMIENTOS!$B$5:$B$1005="DEVOLUCIÓN")*(MOVIMIENTOS!$C$5:$C$1005="P")*(MOVIMIENTOS!$D$5:$D$1005="jabas")*(MOVIMIENTOS!$A$5:$A$1005&lt;&gt;"")*(MOVIMIENTOS!$A$5:$A$1005&lt;=$A57)*MOVIMIENTOS!$E$5:$E$1005)-SUMPRODUCT((MOVIMIENTOS!$B$5:$B$1005="TRASIEGO")*(MOVIMIENTOS!$C$5:$C$1005="P")*(MOVIMIENTOS!$D$5:$D$1005="jabas")*(MOVIMIENTOS!$A$5:$A$1005&lt;&gt;"")*(MOVIMIENTOS!$A$5:$A$1005&lt;=$A57)*MOVIMIENTOS!$E$5:$E$1005)-SUMPRODUCT((MOVIMIENTOS!$B$5:$B$1005="REGALO")*(MOVIMIENTOS!$C$5:$C$1005="P")*(MOVIMIENTOS!$D$5:$D$1005="jabas")*(MOVIMIENTOS!$A$5:$A$1005&lt;&gt;"")*(MOVIMIENTOS!$A$5:$A$1005&lt;=$A57)*MOVIMIENTOS!$E$5:$E$1005)-SUMPRODUCT((MOVIMIENTOS!$B$5:$B$1005="VENTA")*(MOVIMIENTOS!$C$5:$C$1005="P")*(MOVIMIENTOS!$D$5:$D$1005="jabas")*(MOVIMIENTOS!$A$5:$A$1005&lt;&gt;"")*(MOVIMIENTOS!$A$5:$A$1005&lt;=$A57)*MOVIMIENTOS!$E$5:$E$1005)+SUMPRODUCT((MOVIMIENTOS!$B$5:$B$1005="AJUSTE")*(MOVIMIENTOS!$C$5:$C$1005="P")*(MOVIMIENTOS!$D$5:$D$1005="jabas")*(MOVIMIENTOS!$A$5:$A$1005&lt;&gt;"")*(MOVIMIENTOS!$A$5:$A$1005&lt;=$A57)*MOVIMIENTOS!$E$5:$E$1005))</f>
        <v/>
      </c>
      <c r="D57" s="65" t="str">
        <f>IF($A57="","",SUMPRODUCT((MOVIMIENTOS!$B$5:$B$1005="SALDO INICIAL")*(MOVIMIENTOS!$C$5:$C$1005="C")*(MOVIMIENTOS!$D$5:$D$1005="jabas")*(MOVIMIENTOS!$A$5:$A$1005&lt;&gt;"")*(MOVIMIENTOS!$A$5:$A$1005&lt;=$A57)*MOVIMIENTOS!$E$5:$E$1005)+SUMPRODUCT((MOVIMIENTOS!$B$5:$B$1005="PROCESO")*(MOVIMIENTOS!$C$5:$C$1005="C")*(MOVIMIENTOS!$D$5:$D$1005="jabas")*(MOVIMIENTOS!$A$5:$A$1005&lt;&gt;"")*(MOVIMIENTOS!$A$5:$A$1005&lt;=$A57)*MOVIMIENTOS!$E$5:$E$1005)-SUMPRODUCT((MOVIMIENTOS!$B$5:$B$1005="ENVÍO A SUPESA")*(MOVIMIENTOS!$C$5:$C$1005="C")*(MOVIMIENTOS!$D$5:$D$1005="jabas")*(MOVIMIENTOS!$A$5:$A$1005&lt;&gt;"")*(MOVIMIENTOS!$A$5:$A$1005&lt;=$A57)*MOVIMIENTOS!$E$5:$E$1005)+SUMPRODUCT((MOVIMIENTOS!$B$5:$B$1005="DEVOLUCIÓN")*(MOVIMIENTOS!$C$5:$C$1005="C")*(MOVIMIENTOS!$D$5:$D$1005="jabas")*(MOVIMIENTOS!$A$5:$A$1005&lt;&gt;"")*(MOVIMIENTOS!$A$5:$A$1005&lt;=$A57)*MOVIMIENTOS!$E$5:$E$1005)-SUMPRODUCT((MOVIMIENTOS!$B$5:$B$1005="TRASIEGO")*(MOVIMIENTOS!$C$5:$C$1005="C")*(MOVIMIENTOS!$D$5:$D$1005="jabas")*(MOVIMIENTOS!$A$5:$A$1005&lt;&gt;"")*(MOVIMIENTOS!$A$5:$A$1005&lt;=$A57)*MOVIMIENTOS!$E$5:$E$1005)-SUMPRODUCT((MOVIMIENTOS!$B$5:$B$1005="REGALO")*(MOVIMIENTOS!$C$5:$C$1005="C")*(MOVIMIENTOS!$D$5:$D$1005="jabas")*(MOVIMIENTOS!$A$5:$A$1005&lt;&gt;"")*(MOVIMIENTOS!$A$5:$A$1005&lt;=$A57)*MOVIMIENTOS!$E$5:$E$1005)-SUMPRODUCT((MOVIMIENTOS!$B$5:$B$1005="VENTA")*(MOVIMIENTOS!$C$5:$C$1005="C")*(MOVIMIENTOS!$D$5:$D$1005="jabas")*(MOVIMIENTOS!$A$5:$A$1005&lt;&gt;"")*(MOVIMIENTOS!$A$5:$A$1005&lt;=$A57)*MOVIMIENTOS!$E$5:$E$1005)+SUMPRODUCT((MOVIMIENTOS!$B$5:$B$1005="AJUSTE")*(MOVIMIENTOS!$C$5:$C$1005="C")*(MOVIMIENTOS!$D$5:$D$1005="jabas")*(MOVIMIENTOS!$A$5:$A$1005&lt;&gt;"")*(MOVIMIENTOS!$A$5:$A$1005&lt;=$A57)*MOVIMIENTOS!$E$5:$E$1005))</f>
        <v/>
      </c>
      <c r="E57" s="65" t="str">
        <f>IF($A57="","",SUMPRODUCT((MOVIMIENTOS!$B$5:$B$1005="SALDO INICIAL")*(MOVIMIENTOS!$C$5:$C$1005="M")*(MOVIMIENTOS!$D$5:$D$1005="jabas")*(MOVIMIENTOS!$A$5:$A$1005&lt;&gt;"")*(MOVIMIENTOS!$A$5:$A$1005&lt;=$A57)*MOVIMIENTOS!$E$5:$E$1005)+SUMPRODUCT((MOVIMIENTOS!$B$5:$B$1005="PROCESO")*(MOVIMIENTOS!$C$5:$C$1005="M")*(MOVIMIENTOS!$D$5:$D$1005="jabas")*(MOVIMIENTOS!$A$5:$A$1005&lt;&gt;"")*(MOVIMIENTOS!$A$5:$A$1005&lt;=$A57)*MOVIMIENTOS!$E$5:$E$1005)-SUMPRODUCT((MOVIMIENTOS!$B$5:$B$1005="ENVÍO A SUPESA")*(MOVIMIENTOS!$C$5:$C$1005="M")*(MOVIMIENTOS!$D$5:$D$1005="jabas")*(MOVIMIENTOS!$A$5:$A$1005&lt;&gt;"")*(MOVIMIENTOS!$A$5:$A$1005&lt;=$A57)*MOVIMIENTOS!$E$5:$E$1005)+SUMPRODUCT((MOVIMIENTOS!$B$5:$B$1005="DEVOLUCIÓN")*(MOVIMIENTOS!$C$5:$C$1005="M")*(MOVIMIENTOS!$D$5:$D$1005="jabas")*(MOVIMIENTOS!$A$5:$A$1005&lt;&gt;"")*(MOVIMIENTOS!$A$5:$A$1005&lt;=$A57)*MOVIMIENTOS!$E$5:$E$1005)-SUMPRODUCT((MOVIMIENTOS!$B$5:$B$1005="TRASIEGO")*(MOVIMIENTOS!$C$5:$C$1005="M")*(MOVIMIENTOS!$D$5:$D$1005="jabas")*(MOVIMIENTOS!$A$5:$A$1005&lt;&gt;"")*(MOVIMIENTOS!$A$5:$A$1005&lt;=$A57)*MOVIMIENTOS!$E$5:$E$1005)-SUMPRODUCT((MOVIMIENTOS!$B$5:$B$1005="REGALO")*(MOVIMIENTOS!$C$5:$C$1005="M")*(MOVIMIENTOS!$D$5:$D$1005="jabas")*(MOVIMIENTOS!$A$5:$A$1005&lt;&gt;"")*(MOVIMIENTOS!$A$5:$A$1005&lt;=$A57)*MOVIMIENTOS!$E$5:$E$1005)-SUMPRODUCT((MOVIMIENTOS!$B$5:$B$1005="VENTA")*(MOVIMIENTOS!$C$5:$C$1005="M")*(MOVIMIENTOS!$D$5:$D$1005="jabas")*(MOVIMIENTOS!$A$5:$A$1005&lt;&gt;"")*(MOVIMIENTOS!$A$5:$A$1005&lt;=$A57)*MOVIMIENTOS!$E$5:$E$1005)+SUMPRODUCT((MOVIMIENTOS!$B$5:$B$1005="AJUSTE")*(MOVIMIENTOS!$C$5:$C$1005="M")*(MOVIMIENTOS!$D$5:$D$1005="jabas")*(MOVIMIENTOS!$A$5:$A$1005&lt;&gt;"")*(MOVIMIENTOS!$A$5:$A$1005&lt;=$A57)*MOVIMIENTOS!$E$5:$E$1005))</f>
        <v/>
      </c>
      <c r="F57" s="65" t="str">
        <f>IF($A57="","",SUMPRODUCT((MOVIMIENTOS!$B$5:$B$1005="SALDO INICIAL")*(MOVIMIENTOS!$C$5:$C$1005="Chancho")*(MOVIMIENTOS!$D$5:$D$1005="sacos")*(MOVIMIENTOS!$A$5:$A$1005&lt;&gt;"")*(MOVIMIENTOS!$A$5:$A$1005&lt;=$A57)*MOVIMIENTOS!$E$5:$E$1005)+SUMPRODUCT((MOVIMIENTOS!$B$5:$B$1005="PROCESO")*(MOVIMIENTOS!$C$5:$C$1005="Chancho")*(MOVIMIENTOS!$D$5:$D$1005="sacos")*(MOVIMIENTOS!$A$5:$A$1005&lt;&gt;"")*(MOVIMIENTOS!$A$5:$A$1005&lt;=$A57)*MOVIMIENTOS!$E$5:$E$1005)-SUMPRODUCT((MOVIMIENTOS!$B$5:$B$1005="VENTA CHANCHO")*(MOVIMIENTOS!$C$5:$C$1005="Chancho")*(MOVIMIENTOS!$D$5:$D$1005="sacos")*(MOVIMIENTOS!$A$5:$A$1005&lt;&gt;"")*(MOVIMIENTOS!$A$5:$A$1005&lt;=$A57)*MOVIMIENTOS!$E$5:$E$1005)-SUMPRODUCT((MOVIMIENTOS!$B$5:$B$1005="REGALO")*(MOVIMIENTOS!$C$5:$C$1005="Chancho")*(MOVIMIENTOS!$D$5:$D$1005="sacos")*(MOVIMIENTOS!$A$5:$A$1005&lt;&gt;"")*(MOVIMIENTOS!$A$5:$A$1005&lt;=$A57)*MOVIMIENTOS!$E$5:$E$1005)-SUMPRODUCT((MOVIMIENTOS!$B$5:$B$1005="VENTA")*(MOVIMIENTOS!$C$5:$C$1005="Chancho")*(MOVIMIENTOS!$D$5:$D$1005="sacos")*(MOVIMIENTOS!$A$5:$A$1005&lt;&gt;"")*(MOVIMIENTOS!$A$5:$A$1005&lt;=$A57)*MOVIMIENTOS!$E$5:$E$1005)+SUMPRODUCT((MOVIMIENTOS!$B$5:$B$1005="AJUSTE")*(MOVIMIENTOS!$C$5:$C$1005="Chancho")*(MOVIMIENTOS!$D$5:$D$1005="sacos")*(MOVIMIENTOS!$A$5:$A$1005&lt;&gt;"")*(MOVIMIENTOS!$A$5:$A$1005&lt;=$A57)*MOVIMIENTOS!$E$5:$E$1005))</f>
        <v/>
      </c>
      <c r="G57" s="77" t="str">
        <f t="shared" si="1"/>
        <v/>
      </c>
      <c r="H57" s="65" t="str">
        <f>IF($A57="","",SUMPRODUCT((((MOVIMIENTOS!$B$5:$B$1005="SALDO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57)*MOVIMIENTOS!$J$5:$J$1005))</f>
        <v/>
      </c>
      <c r="I57" s="63"/>
      <c r="J57" s="63" t="str">
        <f>IF(AND(MOVIMIENTOS!$A57&lt;&gt;"",COUNTIF(MOVIMIENTOS!$A$5:$A56,MOVIMIENTOS!$A57)=0),COUNT(J$4:J56)+1,"")</f>
        <v/>
      </c>
      <c r="K57" s="66">
        <f>MOVIMIENTOS!$A57</f>
        <v>46219</v>
      </c>
      <c r="L57" s="63"/>
      <c r="M57" s="63"/>
      <c r="N57" s="63"/>
    </row>
    <row r="58" spans="1:14" ht="15" customHeight="1" x14ac:dyDescent="0.2">
      <c r="A58" s="64" t="str">
        <f t="shared" si="0"/>
        <v/>
      </c>
      <c r="B58" s="65" t="str">
        <f>IF($A58="","",SUMPRODUCT((MOVIMIENTOS!$B$5:$B$1005="SALDO INICIAL")*(MOVIMIENTOS!$C$5:$C$1005="A")*(MOVIMIENTOS!$D$5:$D$1005="jabas")*(MOVIMIENTOS!$A$5:$A$1005&lt;&gt;"")*(MOVIMIENTOS!$A$5:$A$1005&lt;=$A58)*MOVIMIENTOS!$E$5:$E$1005)+SUMPRODUCT((MOVIMIENTOS!$B$5:$B$1005="PROCESO")*(MOVIMIENTOS!$C$5:$C$1005="A")*(MOVIMIENTOS!$D$5:$D$1005="jabas")*(MOVIMIENTOS!$A$5:$A$1005&lt;&gt;"")*(MOVIMIENTOS!$A$5:$A$1005&lt;=$A58)*MOVIMIENTOS!$E$5:$E$1005)-SUMPRODUCT((MOVIMIENTOS!$B$5:$B$1005="ENVÍO A SUPESA")*(MOVIMIENTOS!$C$5:$C$1005="A")*(MOVIMIENTOS!$D$5:$D$1005="jabas")*(MOVIMIENTOS!$A$5:$A$1005&lt;&gt;"")*(MOVIMIENTOS!$A$5:$A$1005&lt;=$A58)*MOVIMIENTOS!$E$5:$E$1005)+SUMPRODUCT((MOVIMIENTOS!$B$5:$B$1005="DEVOLUCIÓN")*(MOVIMIENTOS!$C$5:$C$1005="A")*(MOVIMIENTOS!$D$5:$D$1005="jabas")*(MOVIMIENTOS!$A$5:$A$1005&lt;&gt;"")*(MOVIMIENTOS!$A$5:$A$1005&lt;=$A58)*MOVIMIENTOS!$E$5:$E$1005)-SUMPRODUCT((MOVIMIENTOS!$B$5:$B$1005="TRASIEGO")*(MOVIMIENTOS!$C$5:$C$1005="A")*(MOVIMIENTOS!$D$5:$D$1005="jabas")*(MOVIMIENTOS!$A$5:$A$1005&lt;&gt;"")*(MOVIMIENTOS!$A$5:$A$1005&lt;=$A58)*MOVIMIENTOS!$E$5:$E$1005)-SUMPRODUCT((MOVIMIENTOS!$B$5:$B$1005="REGALO")*(MOVIMIENTOS!$C$5:$C$1005="A")*(MOVIMIENTOS!$D$5:$D$1005="jabas")*(MOVIMIENTOS!$A$5:$A$1005&lt;&gt;"")*(MOVIMIENTOS!$A$5:$A$1005&lt;=$A58)*MOVIMIENTOS!$E$5:$E$1005)-SUMPRODUCT((MOVIMIENTOS!$B$5:$B$1005="VENTA")*(MOVIMIENTOS!$C$5:$C$1005="A")*(MOVIMIENTOS!$D$5:$D$1005="jabas")*(MOVIMIENTOS!$A$5:$A$1005&lt;&gt;"")*(MOVIMIENTOS!$A$5:$A$1005&lt;=$A58)*MOVIMIENTOS!$E$5:$E$1005)+SUMPRODUCT((MOVIMIENTOS!$B$5:$B$1005="AJUSTE")*(MOVIMIENTOS!$C$5:$C$1005="A")*(MOVIMIENTOS!$D$5:$D$1005="jabas")*(MOVIMIENTOS!$A$5:$A$1005&lt;&gt;"")*(MOVIMIENTOS!$A$5:$A$1005&lt;=$A58)*MOVIMIENTOS!$E$5:$E$1005))</f>
        <v/>
      </c>
      <c r="C58" s="65" t="str">
        <f>IF($A58="","",SUMPRODUCT((MOVIMIENTOS!$B$5:$B$1005="SALDO INICIAL")*(MOVIMIENTOS!$C$5:$C$1005="P")*(MOVIMIENTOS!$D$5:$D$1005="jabas")*(MOVIMIENTOS!$A$5:$A$1005&lt;&gt;"")*(MOVIMIENTOS!$A$5:$A$1005&lt;=$A58)*MOVIMIENTOS!$E$5:$E$1005)+SUMPRODUCT((MOVIMIENTOS!$B$5:$B$1005="PROCESO")*(MOVIMIENTOS!$C$5:$C$1005="P")*(MOVIMIENTOS!$D$5:$D$1005="jabas")*(MOVIMIENTOS!$A$5:$A$1005&lt;&gt;"")*(MOVIMIENTOS!$A$5:$A$1005&lt;=$A58)*MOVIMIENTOS!$E$5:$E$1005)-SUMPRODUCT((MOVIMIENTOS!$B$5:$B$1005="ENVÍO A SUPESA")*(MOVIMIENTOS!$C$5:$C$1005="P")*(MOVIMIENTOS!$D$5:$D$1005="jabas")*(MOVIMIENTOS!$A$5:$A$1005&lt;&gt;"")*(MOVIMIENTOS!$A$5:$A$1005&lt;=$A58)*MOVIMIENTOS!$E$5:$E$1005)+SUMPRODUCT((MOVIMIENTOS!$B$5:$B$1005="DEVOLUCIÓN")*(MOVIMIENTOS!$C$5:$C$1005="P")*(MOVIMIENTOS!$D$5:$D$1005="jabas")*(MOVIMIENTOS!$A$5:$A$1005&lt;&gt;"")*(MOVIMIENTOS!$A$5:$A$1005&lt;=$A58)*MOVIMIENTOS!$E$5:$E$1005)-SUMPRODUCT((MOVIMIENTOS!$B$5:$B$1005="TRASIEGO")*(MOVIMIENTOS!$C$5:$C$1005="P")*(MOVIMIENTOS!$D$5:$D$1005="jabas")*(MOVIMIENTOS!$A$5:$A$1005&lt;&gt;"")*(MOVIMIENTOS!$A$5:$A$1005&lt;=$A58)*MOVIMIENTOS!$E$5:$E$1005)-SUMPRODUCT((MOVIMIENTOS!$B$5:$B$1005="REGALO")*(MOVIMIENTOS!$C$5:$C$1005="P")*(MOVIMIENTOS!$D$5:$D$1005="jabas")*(MOVIMIENTOS!$A$5:$A$1005&lt;&gt;"")*(MOVIMIENTOS!$A$5:$A$1005&lt;=$A58)*MOVIMIENTOS!$E$5:$E$1005)-SUMPRODUCT((MOVIMIENTOS!$B$5:$B$1005="VENTA")*(MOVIMIENTOS!$C$5:$C$1005="P")*(MOVIMIENTOS!$D$5:$D$1005="jabas")*(MOVIMIENTOS!$A$5:$A$1005&lt;&gt;"")*(MOVIMIENTOS!$A$5:$A$1005&lt;=$A58)*MOVIMIENTOS!$E$5:$E$1005)+SUMPRODUCT((MOVIMIENTOS!$B$5:$B$1005="AJUSTE")*(MOVIMIENTOS!$C$5:$C$1005="P")*(MOVIMIENTOS!$D$5:$D$1005="jabas")*(MOVIMIENTOS!$A$5:$A$1005&lt;&gt;"")*(MOVIMIENTOS!$A$5:$A$1005&lt;=$A58)*MOVIMIENTOS!$E$5:$E$1005))</f>
        <v/>
      </c>
      <c r="D58" s="65" t="str">
        <f>IF($A58="","",SUMPRODUCT((MOVIMIENTOS!$B$5:$B$1005="SALDO INICIAL")*(MOVIMIENTOS!$C$5:$C$1005="C")*(MOVIMIENTOS!$D$5:$D$1005="jabas")*(MOVIMIENTOS!$A$5:$A$1005&lt;&gt;"")*(MOVIMIENTOS!$A$5:$A$1005&lt;=$A58)*MOVIMIENTOS!$E$5:$E$1005)+SUMPRODUCT((MOVIMIENTOS!$B$5:$B$1005="PROCESO")*(MOVIMIENTOS!$C$5:$C$1005="C")*(MOVIMIENTOS!$D$5:$D$1005="jabas")*(MOVIMIENTOS!$A$5:$A$1005&lt;&gt;"")*(MOVIMIENTOS!$A$5:$A$1005&lt;=$A58)*MOVIMIENTOS!$E$5:$E$1005)-SUMPRODUCT((MOVIMIENTOS!$B$5:$B$1005="ENVÍO A SUPESA")*(MOVIMIENTOS!$C$5:$C$1005="C")*(MOVIMIENTOS!$D$5:$D$1005="jabas")*(MOVIMIENTOS!$A$5:$A$1005&lt;&gt;"")*(MOVIMIENTOS!$A$5:$A$1005&lt;=$A58)*MOVIMIENTOS!$E$5:$E$1005)+SUMPRODUCT((MOVIMIENTOS!$B$5:$B$1005="DEVOLUCIÓN")*(MOVIMIENTOS!$C$5:$C$1005="C")*(MOVIMIENTOS!$D$5:$D$1005="jabas")*(MOVIMIENTOS!$A$5:$A$1005&lt;&gt;"")*(MOVIMIENTOS!$A$5:$A$1005&lt;=$A58)*MOVIMIENTOS!$E$5:$E$1005)-SUMPRODUCT((MOVIMIENTOS!$B$5:$B$1005="TRASIEGO")*(MOVIMIENTOS!$C$5:$C$1005="C")*(MOVIMIENTOS!$D$5:$D$1005="jabas")*(MOVIMIENTOS!$A$5:$A$1005&lt;&gt;"")*(MOVIMIENTOS!$A$5:$A$1005&lt;=$A58)*MOVIMIENTOS!$E$5:$E$1005)-SUMPRODUCT((MOVIMIENTOS!$B$5:$B$1005="REGALO")*(MOVIMIENTOS!$C$5:$C$1005="C")*(MOVIMIENTOS!$D$5:$D$1005="jabas")*(MOVIMIENTOS!$A$5:$A$1005&lt;&gt;"")*(MOVIMIENTOS!$A$5:$A$1005&lt;=$A58)*MOVIMIENTOS!$E$5:$E$1005)-SUMPRODUCT((MOVIMIENTOS!$B$5:$B$1005="VENTA")*(MOVIMIENTOS!$C$5:$C$1005="C")*(MOVIMIENTOS!$D$5:$D$1005="jabas")*(MOVIMIENTOS!$A$5:$A$1005&lt;&gt;"")*(MOVIMIENTOS!$A$5:$A$1005&lt;=$A58)*MOVIMIENTOS!$E$5:$E$1005)+SUMPRODUCT((MOVIMIENTOS!$B$5:$B$1005="AJUSTE")*(MOVIMIENTOS!$C$5:$C$1005="C")*(MOVIMIENTOS!$D$5:$D$1005="jabas")*(MOVIMIENTOS!$A$5:$A$1005&lt;&gt;"")*(MOVIMIENTOS!$A$5:$A$1005&lt;=$A58)*MOVIMIENTOS!$E$5:$E$1005))</f>
        <v/>
      </c>
      <c r="E58" s="65" t="str">
        <f>IF($A58="","",SUMPRODUCT((MOVIMIENTOS!$B$5:$B$1005="SALDO INICIAL")*(MOVIMIENTOS!$C$5:$C$1005="M")*(MOVIMIENTOS!$D$5:$D$1005="jabas")*(MOVIMIENTOS!$A$5:$A$1005&lt;&gt;"")*(MOVIMIENTOS!$A$5:$A$1005&lt;=$A58)*MOVIMIENTOS!$E$5:$E$1005)+SUMPRODUCT((MOVIMIENTOS!$B$5:$B$1005="PROCESO")*(MOVIMIENTOS!$C$5:$C$1005="M")*(MOVIMIENTOS!$D$5:$D$1005="jabas")*(MOVIMIENTOS!$A$5:$A$1005&lt;&gt;"")*(MOVIMIENTOS!$A$5:$A$1005&lt;=$A58)*MOVIMIENTOS!$E$5:$E$1005)-SUMPRODUCT((MOVIMIENTOS!$B$5:$B$1005="ENVÍO A SUPESA")*(MOVIMIENTOS!$C$5:$C$1005="M")*(MOVIMIENTOS!$D$5:$D$1005="jabas")*(MOVIMIENTOS!$A$5:$A$1005&lt;&gt;"")*(MOVIMIENTOS!$A$5:$A$1005&lt;=$A58)*MOVIMIENTOS!$E$5:$E$1005)+SUMPRODUCT((MOVIMIENTOS!$B$5:$B$1005="DEVOLUCIÓN")*(MOVIMIENTOS!$C$5:$C$1005="M")*(MOVIMIENTOS!$D$5:$D$1005="jabas")*(MOVIMIENTOS!$A$5:$A$1005&lt;&gt;"")*(MOVIMIENTOS!$A$5:$A$1005&lt;=$A58)*MOVIMIENTOS!$E$5:$E$1005)-SUMPRODUCT((MOVIMIENTOS!$B$5:$B$1005="TRASIEGO")*(MOVIMIENTOS!$C$5:$C$1005="M")*(MOVIMIENTOS!$D$5:$D$1005="jabas")*(MOVIMIENTOS!$A$5:$A$1005&lt;&gt;"")*(MOVIMIENTOS!$A$5:$A$1005&lt;=$A58)*MOVIMIENTOS!$E$5:$E$1005)-SUMPRODUCT((MOVIMIENTOS!$B$5:$B$1005="REGALO")*(MOVIMIENTOS!$C$5:$C$1005="M")*(MOVIMIENTOS!$D$5:$D$1005="jabas")*(MOVIMIENTOS!$A$5:$A$1005&lt;&gt;"")*(MOVIMIENTOS!$A$5:$A$1005&lt;=$A58)*MOVIMIENTOS!$E$5:$E$1005)-SUMPRODUCT((MOVIMIENTOS!$B$5:$B$1005="VENTA")*(MOVIMIENTOS!$C$5:$C$1005="M")*(MOVIMIENTOS!$D$5:$D$1005="jabas")*(MOVIMIENTOS!$A$5:$A$1005&lt;&gt;"")*(MOVIMIENTOS!$A$5:$A$1005&lt;=$A58)*MOVIMIENTOS!$E$5:$E$1005)+SUMPRODUCT((MOVIMIENTOS!$B$5:$B$1005="AJUSTE")*(MOVIMIENTOS!$C$5:$C$1005="M")*(MOVIMIENTOS!$D$5:$D$1005="jabas")*(MOVIMIENTOS!$A$5:$A$1005&lt;&gt;"")*(MOVIMIENTOS!$A$5:$A$1005&lt;=$A58)*MOVIMIENTOS!$E$5:$E$1005))</f>
        <v/>
      </c>
      <c r="F58" s="65" t="str">
        <f>IF($A58="","",SUMPRODUCT((MOVIMIENTOS!$B$5:$B$1005="SALDO INICIAL")*(MOVIMIENTOS!$C$5:$C$1005="Chancho")*(MOVIMIENTOS!$D$5:$D$1005="sacos")*(MOVIMIENTOS!$A$5:$A$1005&lt;&gt;"")*(MOVIMIENTOS!$A$5:$A$1005&lt;=$A58)*MOVIMIENTOS!$E$5:$E$1005)+SUMPRODUCT((MOVIMIENTOS!$B$5:$B$1005="PROCESO")*(MOVIMIENTOS!$C$5:$C$1005="Chancho")*(MOVIMIENTOS!$D$5:$D$1005="sacos")*(MOVIMIENTOS!$A$5:$A$1005&lt;&gt;"")*(MOVIMIENTOS!$A$5:$A$1005&lt;=$A58)*MOVIMIENTOS!$E$5:$E$1005)-SUMPRODUCT((MOVIMIENTOS!$B$5:$B$1005="VENTA CHANCHO")*(MOVIMIENTOS!$C$5:$C$1005="Chancho")*(MOVIMIENTOS!$D$5:$D$1005="sacos")*(MOVIMIENTOS!$A$5:$A$1005&lt;&gt;"")*(MOVIMIENTOS!$A$5:$A$1005&lt;=$A58)*MOVIMIENTOS!$E$5:$E$1005)-SUMPRODUCT((MOVIMIENTOS!$B$5:$B$1005="REGALO")*(MOVIMIENTOS!$C$5:$C$1005="Chancho")*(MOVIMIENTOS!$D$5:$D$1005="sacos")*(MOVIMIENTOS!$A$5:$A$1005&lt;&gt;"")*(MOVIMIENTOS!$A$5:$A$1005&lt;=$A58)*MOVIMIENTOS!$E$5:$E$1005)-SUMPRODUCT((MOVIMIENTOS!$B$5:$B$1005="VENTA")*(MOVIMIENTOS!$C$5:$C$1005="Chancho")*(MOVIMIENTOS!$D$5:$D$1005="sacos")*(MOVIMIENTOS!$A$5:$A$1005&lt;&gt;"")*(MOVIMIENTOS!$A$5:$A$1005&lt;=$A58)*MOVIMIENTOS!$E$5:$E$1005)+SUMPRODUCT((MOVIMIENTOS!$B$5:$B$1005="AJUSTE")*(MOVIMIENTOS!$C$5:$C$1005="Chancho")*(MOVIMIENTOS!$D$5:$D$1005="sacos")*(MOVIMIENTOS!$A$5:$A$1005&lt;&gt;"")*(MOVIMIENTOS!$A$5:$A$1005&lt;=$A58)*MOVIMIENTOS!$E$5:$E$1005))</f>
        <v/>
      </c>
      <c r="G58" s="77" t="str">
        <f t="shared" si="1"/>
        <v/>
      </c>
      <c r="H58" s="65" t="str">
        <f>IF($A58="","",SUMPRODUCT((((MOVIMIENTOS!$B$5:$B$1005="SALDO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58)*MOVIMIENTOS!$J$5:$J$1005))</f>
        <v/>
      </c>
      <c r="I58" s="63"/>
      <c r="J58" s="63" t="str">
        <f>IF(AND(MOVIMIENTOS!$A58&lt;&gt;"",COUNTIF(MOVIMIENTOS!$A$5:$A57,MOVIMIENTOS!$A58)=0),COUNT(J$4:J57)+1,"")</f>
        <v/>
      </c>
      <c r="K58" s="66">
        <f>MOVIMIENTOS!$A58</f>
        <v>46219</v>
      </c>
      <c r="L58" s="63"/>
      <c r="M58" s="63"/>
      <c r="N58" s="63"/>
    </row>
    <row r="59" spans="1:14" ht="15" customHeight="1" x14ac:dyDescent="0.2">
      <c r="A59" s="64" t="str">
        <f t="shared" si="0"/>
        <v/>
      </c>
      <c r="B59" s="65" t="str">
        <f>IF($A59="","",SUMPRODUCT((MOVIMIENTOS!$B$5:$B$1005="SALDO INICIAL")*(MOVIMIENTOS!$C$5:$C$1005="A")*(MOVIMIENTOS!$D$5:$D$1005="jabas")*(MOVIMIENTOS!$A$5:$A$1005&lt;&gt;"")*(MOVIMIENTOS!$A$5:$A$1005&lt;=$A59)*MOVIMIENTOS!$E$5:$E$1005)+SUMPRODUCT((MOVIMIENTOS!$B$5:$B$1005="PROCESO")*(MOVIMIENTOS!$C$5:$C$1005="A")*(MOVIMIENTOS!$D$5:$D$1005="jabas")*(MOVIMIENTOS!$A$5:$A$1005&lt;&gt;"")*(MOVIMIENTOS!$A$5:$A$1005&lt;=$A59)*MOVIMIENTOS!$E$5:$E$1005)-SUMPRODUCT((MOVIMIENTOS!$B$5:$B$1005="ENVÍO A SUPESA")*(MOVIMIENTOS!$C$5:$C$1005="A")*(MOVIMIENTOS!$D$5:$D$1005="jabas")*(MOVIMIENTOS!$A$5:$A$1005&lt;&gt;"")*(MOVIMIENTOS!$A$5:$A$1005&lt;=$A59)*MOVIMIENTOS!$E$5:$E$1005)+SUMPRODUCT((MOVIMIENTOS!$B$5:$B$1005="DEVOLUCIÓN")*(MOVIMIENTOS!$C$5:$C$1005="A")*(MOVIMIENTOS!$D$5:$D$1005="jabas")*(MOVIMIENTOS!$A$5:$A$1005&lt;&gt;"")*(MOVIMIENTOS!$A$5:$A$1005&lt;=$A59)*MOVIMIENTOS!$E$5:$E$1005)-SUMPRODUCT((MOVIMIENTOS!$B$5:$B$1005="TRASIEGO")*(MOVIMIENTOS!$C$5:$C$1005="A")*(MOVIMIENTOS!$D$5:$D$1005="jabas")*(MOVIMIENTOS!$A$5:$A$1005&lt;&gt;"")*(MOVIMIENTOS!$A$5:$A$1005&lt;=$A59)*MOVIMIENTOS!$E$5:$E$1005)-SUMPRODUCT((MOVIMIENTOS!$B$5:$B$1005="REGALO")*(MOVIMIENTOS!$C$5:$C$1005="A")*(MOVIMIENTOS!$D$5:$D$1005="jabas")*(MOVIMIENTOS!$A$5:$A$1005&lt;&gt;"")*(MOVIMIENTOS!$A$5:$A$1005&lt;=$A59)*MOVIMIENTOS!$E$5:$E$1005)-SUMPRODUCT((MOVIMIENTOS!$B$5:$B$1005="VENTA")*(MOVIMIENTOS!$C$5:$C$1005="A")*(MOVIMIENTOS!$D$5:$D$1005="jabas")*(MOVIMIENTOS!$A$5:$A$1005&lt;&gt;"")*(MOVIMIENTOS!$A$5:$A$1005&lt;=$A59)*MOVIMIENTOS!$E$5:$E$1005)+SUMPRODUCT((MOVIMIENTOS!$B$5:$B$1005="AJUSTE")*(MOVIMIENTOS!$C$5:$C$1005="A")*(MOVIMIENTOS!$D$5:$D$1005="jabas")*(MOVIMIENTOS!$A$5:$A$1005&lt;&gt;"")*(MOVIMIENTOS!$A$5:$A$1005&lt;=$A59)*MOVIMIENTOS!$E$5:$E$1005))</f>
        <v/>
      </c>
      <c r="C59" s="65" t="str">
        <f>IF($A59="","",SUMPRODUCT((MOVIMIENTOS!$B$5:$B$1005="SALDO INICIAL")*(MOVIMIENTOS!$C$5:$C$1005="P")*(MOVIMIENTOS!$D$5:$D$1005="jabas")*(MOVIMIENTOS!$A$5:$A$1005&lt;&gt;"")*(MOVIMIENTOS!$A$5:$A$1005&lt;=$A59)*MOVIMIENTOS!$E$5:$E$1005)+SUMPRODUCT((MOVIMIENTOS!$B$5:$B$1005="PROCESO")*(MOVIMIENTOS!$C$5:$C$1005="P")*(MOVIMIENTOS!$D$5:$D$1005="jabas")*(MOVIMIENTOS!$A$5:$A$1005&lt;&gt;"")*(MOVIMIENTOS!$A$5:$A$1005&lt;=$A59)*MOVIMIENTOS!$E$5:$E$1005)-SUMPRODUCT((MOVIMIENTOS!$B$5:$B$1005="ENVÍO A SUPESA")*(MOVIMIENTOS!$C$5:$C$1005="P")*(MOVIMIENTOS!$D$5:$D$1005="jabas")*(MOVIMIENTOS!$A$5:$A$1005&lt;&gt;"")*(MOVIMIENTOS!$A$5:$A$1005&lt;=$A59)*MOVIMIENTOS!$E$5:$E$1005)+SUMPRODUCT((MOVIMIENTOS!$B$5:$B$1005="DEVOLUCIÓN")*(MOVIMIENTOS!$C$5:$C$1005="P")*(MOVIMIENTOS!$D$5:$D$1005="jabas")*(MOVIMIENTOS!$A$5:$A$1005&lt;&gt;"")*(MOVIMIENTOS!$A$5:$A$1005&lt;=$A59)*MOVIMIENTOS!$E$5:$E$1005)-SUMPRODUCT((MOVIMIENTOS!$B$5:$B$1005="TRASIEGO")*(MOVIMIENTOS!$C$5:$C$1005="P")*(MOVIMIENTOS!$D$5:$D$1005="jabas")*(MOVIMIENTOS!$A$5:$A$1005&lt;&gt;"")*(MOVIMIENTOS!$A$5:$A$1005&lt;=$A59)*MOVIMIENTOS!$E$5:$E$1005)-SUMPRODUCT((MOVIMIENTOS!$B$5:$B$1005="REGALO")*(MOVIMIENTOS!$C$5:$C$1005="P")*(MOVIMIENTOS!$D$5:$D$1005="jabas")*(MOVIMIENTOS!$A$5:$A$1005&lt;&gt;"")*(MOVIMIENTOS!$A$5:$A$1005&lt;=$A59)*MOVIMIENTOS!$E$5:$E$1005)-SUMPRODUCT((MOVIMIENTOS!$B$5:$B$1005="VENTA")*(MOVIMIENTOS!$C$5:$C$1005="P")*(MOVIMIENTOS!$D$5:$D$1005="jabas")*(MOVIMIENTOS!$A$5:$A$1005&lt;&gt;"")*(MOVIMIENTOS!$A$5:$A$1005&lt;=$A59)*MOVIMIENTOS!$E$5:$E$1005)+SUMPRODUCT((MOVIMIENTOS!$B$5:$B$1005="AJUSTE")*(MOVIMIENTOS!$C$5:$C$1005="P")*(MOVIMIENTOS!$D$5:$D$1005="jabas")*(MOVIMIENTOS!$A$5:$A$1005&lt;&gt;"")*(MOVIMIENTOS!$A$5:$A$1005&lt;=$A59)*MOVIMIENTOS!$E$5:$E$1005))</f>
        <v/>
      </c>
      <c r="D59" s="65" t="str">
        <f>IF($A59="","",SUMPRODUCT((MOVIMIENTOS!$B$5:$B$1005="SALDO INICIAL")*(MOVIMIENTOS!$C$5:$C$1005="C")*(MOVIMIENTOS!$D$5:$D$1005="jabas")*(MOVIMIENTOS!$A$5:$A$1005&lt;&gt;"")*(MOVIMIENTOS!$A$5:$A$1005&lt;=$A59)*MOVIMIENTOS!$E$5:$E$1005)+SUMPRODUCT((MOVIMIENTOS!$B$5:$B$1005="PROCESO")*(MOVIMIENTOS!$C$5:$C$1005="C")*(MOVIMIENTOS!$D$5:$D$1005="jabas")*(MOVIMIENTOS!$A$5:$A$1005&lt;&gt;"")*(MOVIMIENTOS!$A$5:$A$1005&lt;=$A59)*MOVIMIENTOS!$E$5:$E$1005)-SUMPRODUCT((MOVIMIENTOS!$B$5:$B$1005="ENVÍO A SUPESA")*(MOVIMIENTOS!$C$5:$C$1005="C")*(MOVIMIENTOS!$D$5:$D$1005="jabas")*(MOVIMIENTOS!$A$5:$A$1005&lt;&gt;"")*(MOVIMIENTOS!$A$5:$A$1005&lt;=$A59)*MOVIMIENTOS!$E$5:$E$1005)+SUMPRODUCT((MOVIMIENTOS!$B$5:$B$1005="DEVOLUCIÓN")*(MOVIMIENTOS!$C$5:$C$1005="C")*(MOVIMIENTOS!$D$5:$D$1005="jabas")*(MOVIMIENTOS!$A$5:$A$1005&lt;&gt;"")*(MOVIMIENTOS!$A$5:$A$1005&lt;=$A59)*MOVIMIENTOS!$E$5:$E$1005)-SUMPRODUCT((MOVIMIENTOS!$B$5:$B$1005="TRASIEGO")*(MOVIMIENTOS!$C$5:$C$1005="C")*(MOVIMIENTOS!$D$5:$D$1005="jabas")*(MOVIMIENTOS!$A$5:$A$1005&lt;&gt;"")*(MOVIMIENTOS!$A$5:$A$1005&lt;=$A59)*MOVIMIENTOS!$E$5:$E$1005)-SUMPRODUCT((MOVIMIENTOS!$B$5:$B$1005="REGALO")*(MOVIMIENTOS!$C$5:$C$1005="C")*(MOVIMIENTOS!$D$5:$D$1005="jabas")*(MOVIMIENTOS!$A$5:$A$1005&lt;&gt;"")*(MOVIMIENTOS!$A$5:$A$1005&lt;=$A59)*MOVIMIENTOS!$E$5:$E$1005)-SUMPRODUCT((MOVIMIENTOS!$B$5:$B$1005="VENTA")*(MOVIMIENTOS!$C$5:$C$1005="C")*(MOVIMIENTOS!$D$5:$D$1005="jabas")*(MOVIMIENTOS!$A$5:$A$1005&lt;&gt;"")*(MOVIMIENTOS!$A$5:$A$1005&lt;=$A59)*MOVIMIENTOS!$E$5:$E$1005)+SUMPRODUCT((MOVIMIENTOS!$B$5:$B$1005="AJUSTE")*(MOVIMIENTOS!$C$5:$C$1005="C")*(MOVIMIENTOS!$D$5:$D$1005="jabas")*(MOVIMIENTOS!$A$5:$A$1005&lt;&gt;"")*(MOVIMIENTOS!$A$5:$A$1005&lt;=$A59)*MOVIMIENTOS!$E$5:$E$1005))</f>
        <v/>
      </c>
      <c r="E59" s="65" t="str">
        <f>IF($A59="","",SUMPRODUCT((MOVIMIENTOS!$B$5:$B$1005="SALDO INICIAL")*(MOVIMIENTOS!$C$5:$C$1005="M")*(MOVIMIENTOS!$D$5:$D$1005="jabas")*(MOVIMIENTOS!$A$5:$A$1005&lt;&gt;"")*(MOVIMIENTOS!$A$5:$A$1005&lt;=$A59)*MOVIMIENTOS!$E$5:$E$1005)+SUMPRODUCT((MOVIMIENTOS!$B$5:$B$1005="PROCESO")*(MOVIMIENTOS!$C$5:$C$1005="M")*(MOVIMIENTOS!$D$5:$D$1005="jabas")*(MOVIMIENTOS!$A$5:$A$1005&lt;&gt;"")*(MOVIMIENTOS!$A$5:$A$1005&lt;=$A59)*MOVIMIENTOS!$E$5:$E$1005)-SUMPRODUCT((MOVIMIENTOS!$B$5:$B$1005="ENVÍO A SUPESA")*(MOVIMIENTOS!$C$5:$C$1005="M")*(MOVIMIENTOS!$D$5:$D$1005="jabas")*(MOVIMIENTOS!$A$5:$A$1005&lt;&gt;"")*(MOVIMIENTOS!$A$5:$A$1005&lt;=$A59)*MOVIMIENTOS!$E$5:$E$1005)+SUMPRODUCT((MOVIMIENTOS!$B$5:$B$1005="DEVOLUCIÓN")*(MOVIMIENTOS!$C$5:$C$1005="M")*(MOVIMIENTOS!$D$5:$D$1005="jabas")*(MOVIMIENTOS!$A$5:$A$1005&lt;&gt;"")*(MOVIMIENTOS!$A$5:$A$1005&lt;=$A59)*MOVIMIENTOS!$E$5:$E$1005)-SUMPRODUCT((MOVIMIENTOS!$B$5:$B$1005="TRASIEGO")*(MOVIMIENTOS!$C$5:$C$1005="M")*(MOVIMIENTOS!$D$5:$D$1005="jabas")*(MOVIMIENTOS!$A$5:$A$1005&lt;&gt;"")*(MOVIMIENTOS!$A$5:$A$1005&lt;=$A59)*MOVIMIENTOS!$E$5:$E$1005)-SUMPRODUCT((MOVIMIENTOS!$B$5:$B$1005="REGALO")*(MOVIMIENTOS!$C$5:$C$1005="M")*(MOVIMIENTOS!$D$5:$D$1005="jabas")*(MOVIMIENTOS!$A$5:$A$1005&lt;&gt;"")*(MOVIMIENTOS!$A$5:$A$1005&lt;=$A59)*MOVIMIENTOS!$E$5:$E$1005)-SUMPRODUCT((MOVIMIENTOS!$B$5:$B$1005="VENTA")*(MOVIMIENTOS!$C$5:$C$1005="M")*(MOVIMIENTOS!$D$5:$D$1005="jabas")*(MOVIMIENTOS!$A$5:$A$1005&lt;&gt;"")*(MOVIMIENTOS!$A$5:$A$1005&lt;=$A59)*MOVIMIENTOS!$E$5:$E$1005)+SUMPRODUCT((MOVIMIENTOS!$B$5:$B$1005="AJUSTE")*(MOVIMIENTOS!$C$5:$C$1005="M")*(MOVIMIENTOS!$D$5:$D$1005="jabas")*(MOVIMIENTOS!$A$5:$A$1005&lt;&gt;"")*(MOVIMIENTOS!$A$5:$A$1005&lt;=$A59)*MOVIMIENTOS!$E$5:$E$1005))</f>
        <v/>
      </c>
      <c r="F59" s="65" t="str">
        <f>IF($A59="","",SUMPRODUCT((MOVIMIENTOS!$B$5:$B$1005="SALDO INICIAL")*(MOVIMIENTOS!$C$5:$C$1005="Chancho")*(MOVIMIENTOS!$D$5:$D$1005="sacos")*(MOVIMIENTOS!$A$5:$A$1005&lt;&gt;"")*(MOVIMIENTOS!$A$5:$A$1005&lt;=$A59)*MOVIMIENTOS!$E$5:$E$1005)+SUMPRODUCT((MOVIMIENTOS!$B$5:$B$1005="PROCESO")*(MOVIMIENTOS!$C$5:$C$1005="Chancho")*(MOVIMIENTOS!$D$5:$D$1005="sacos")*(MOVIMIENTOS!$A$5:$A$1005&lt;&gt;"")*(MOVIMIENTOS!$A$5:$A$1005&lt;=$A59)*MOVIMIENTOS!$E$5:$E$1005)-SUMPRODUCT((MOVIMIENTOS!$B$5:$B$1005="VENTA CHANCHO")*(MOVIMIENTOS!$C$5:$C$1005="Chancho")*(MOVIMIENTOS!$D$5:$D$1005="sacos")*(MOVIMIENTOS!$A$5:$A$1005&lt;&gt;"")*(MOVIMIENTOS!$A$5:$A$1005&lt;=$A59)*MOVIMIENTOS!$E$5:$E$1005)-SUMPRODUCT((MOVIMIENTOS!$B$5:$B$1005="REGALO")*(MOVIMIENTOS!$C$5:$C$1005="Chancho")*(MOVIMIENTOS!$D$5:$D$1005="sacos")*(MOVIMIENTOS!$A$5:$A$1005&lt;&gt;"")*(MOVIMIENTOS!$A$5:$A$1005&lt;=$A59)*MOVIMIENTOS!$E$5:$E$1005)-SUMPRODUCT((MOVIMIENTOS!$B$5:$B$1005="VENTA")*(MOVIMIENTOS!$C$5:$C$1005="Chancho")*(MOVIMIENTOS!$D$5:$D$1005="sacos")*(MOVIMIENTOS!$A$5:$A$1005&lt;&gt;"")*(MOVIMIENTOS!$A$5:$A$1005&lt;=$A59)*MOVIMIENTOS!$E$5:$E$1005)+SUMPRODUCT((MOVIMIENTOS!$B$5:$B$1005="AJUSTE")*(MOVIMIENTOS!$C$5:$C$1005="Chancho")*(MOVIMIENTOS!$D$5:$D$1005="sacos")*(MOVIMIENTOS!$A$5:$A$1005&lt;&gt;"")*(MOVIMIENTOS!$A$5:$A$1005&lt;=$A59)*MOVIMIENTOS!$E$5:$E$1005))</f>
        <v/>
      </c>
      <c r="G59" s="77" t="str">
        <f t="shared" si="1"/>
        <v/>
      </c>
      <c r="H59" s="65" t="str">
        <f>IF($A59="","",SUMPRODUCT((((MOVIMIENTOS!$B$5:$B$1005="SALDO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59)*MOVIMIENTOS!$J$5:$J$1005))</f>
        <v/>
      </c>
      <c r="I59" s="63"/>
      <c r="J59" s="63" t="str">
        <f>IF(AND(MOVIMIENTOS!$A59&lt;&gt;"",COUNTIF(MOVIMIENTOS!$A$5:$A58,MOVIMIENTOS!$A59)=0),COUNT(J$4:J58)+1,"")</f>
        <v/>
      </c>
      <c r="K59" s="66">
        <f>MOVIMIENTOS!$A59</f>
        <v>46219</v>
      </c>
      <c r="L59" s="63"/>
      <c r="M59" s="63"/>
      <c r="N59" s="63"/>
    </row>
    <row r="60" spans="1:14" ht="15" customHeight="1" x14ac:dyDescent="0.2">
      <c r="A60" s="64" t="str">
        <f t="shared" si="0"/>
        <v/>
      </c>
      <c r="B60" s="65" t="str">
        <f>IF($A60="","",SUMPRODUCT((MOVIMIENTOS!$B$5:$B$1005="SALDO INICIAL")*(MOVIMIENTOS!$C$5:$C$1005="A")*(MOVIMIENTOS!$D$5:$D$1005="jabas")*(MOVIMIENTOS!$A$5:$A$1005&lt;&gt;"")*(MOVIMIENTOS!$A$5:$A$1005&lt;=$A60)*MOVIMIENTOS!$E$5:$E$1005)+SUMPRODUCT((MOVIMIENTOS!$B$5:$B$1005="PROCESO")*(MOVIMIENTOS!$C$5:$C$1005="A")*(MOVIMIENTOS!$D$5:$D$1005="jabas")*(MOVIMIENTOS!$A$5:$A$1005&lt;&gt;"")*(MOVIMIENTOS!$A$5:$A$1005&lt;=$A60)*MOVIMIENTOS!$E$5:$E$1005)-SUMPRODUCT((MOVIMIENTOS!$B$5:$B$1005="ENVÍO A SUPESA")*(MOVIMIENTOS!$C$5:$C$1005="A")*(MOVIMIENTOS!$D$5:$D$1005="jabas")*(MOVIMIENTOS!$A$5:$A$1005&lt;&gt;"")*(MOVIMIENTOS!$A$5:$A$1005&lt;=$A60)*MOVIMIENTOS!$E$5:$E$1005)+SUMPRODUCT((MOVIMIENTOS!$B$5:$B$1005="DEVOLUCIÓN")*(MOVIMIENTOS!$C$5:$C$1005="A")*(MOVIMIENTOS!$D$5:$D$1005="jabas")*(MOVIMIENTOS!$A$5:$A$1005&lt;&gt;"")*(MOVIMIENTOS!$A$5:$A$1005&lt;=$A60)*MOVIMIENTOS!$E$5:$E$1005)-SUMPRODUCT((MOVIMIENTOS!$B$5:$B$1005="TRASIEGO")*(MOVIMIENTOS!$C$5:$C$1005="A")*(MOVIMIENTOS!$D$5:$D$1005="jabas")*(MOVIMIENTOS!$A$5:$A$1005&lt;&gt;"")*(MOVIMIENTOS!$A$5:$A$1005&lt;=$A60)*MOVIMIENTOS!$E$5:$E$1005)-SUMPRODUCT((MOVIMIENTOS!$B$5:$B$1005="REGALO")*(MOVIMIENTOS!$C$5:$C$1005="A")*(MOVIMIENTOS!$D$5:$D$1005="jabas")*(MOVIMIENTOS!$A$5:$A$1005&lt;&gt;"")*(MOVIMIENTOS!$A$5:$A$1005&lt;=$A60)*MOVIMIENTOS!$E$5:$E$1005)-SUMPRODUCT((MOVIMIENTOS!$B$5:$B$1005="VENTA")*(MOVIMIENTOS!$C$5:$C$1005="A")*(MOVIMIENTOS!$D$5:$D$1005="jabas")*(MOVIMIENTOS!$A$5:$A$1005&lt;&gt;"")*(MOVIMIENTOS!$A$5:$A$1005&lt;=$A60)*MOVIMIENTOS!$E$5:$E$1005)+SUMPRODUCT((MOVIMIENTOS!$B$5:$B$1005="AJUSTE")*(MOVIMIENTOS!$C$5:$C$1005="A")*(MOVIMIENTOS!$D$5:$D$1005="jabas")*(MOVIMIENTOS!$A$5:$A$1005&lt;&gt;"")*(MOVIMIENTOS!$A$5:$A$1005&lt;=$A60)*MOVIMIENTOS!$E$5:$E$1005))</f>
        <v/>
      </c>
      <c r="C60" s="65" t="str">
        <f>IF($A60="","",SUMPRODUCT((MOVIMIENTOS!$B$5:$B$1005="SALDO INICIAL")*(MOVIMIENTOS!$C$5:$C$1005="P")*(MOVIMIENTOS!$D$5:$D$1005="jabas")*(MOVIMIENTOS!$A$5:$A$1005&lt;&gt;"")*(MOVIMIENTOS!$A$5:$A$1005&lt;=$A60)*MOVIMIENTOS!$E$5:$E$1005)+SUMPRODUCT((MOVIMIENTOS!$B$5:$B$1005="PROCESO")*(MOVIMIENTOS!$C$5:$C$1005="P")*(MOVIMIENTOS!$D$5:$D$1005="jabas")*(MOVIMIENTOS!$A$5:$A$1005&lt;&gt;"")*(MOVIMIENTOS!$A$5:$A$1005&lt;=$A60)*MOVIMIENTOS!$E$5:$E$1005)-SUMPRODUCT((MOVIMIENTOS!$B$5:$B$1005="ENVÍO A SUPESA")*(MOVIMIENTOS!$C$5:$C$1005="P")*(MOVIMIENTOS!$D$5:$D$1005="jabas")*(MOVIMIENTOS!$A$5:$A$1005&lt;&gt;"")*(MOVIMIENTOS!$A$5:$A$1005&lt;=$A60)*MOVIMIENTOS!$E$5:$E$1005)+SUMPRODUCT((MOVIMIENTOS!$B$5:$B$1005="DEVOLUCIÓN")*(MOVIMIENTOS!$C$5:$C$1005="P")*(MOVIMIENTOS!$D$5:$D$1005="jabas")*(MOVIMIENTOS!$A$5:$A$1005&lt;&gt;"")*(MOVIMIENTOS!$A$5:$A$1005&lt;=$A60)*MOVIMIENTOS!$E$5:$E$1005)-SUMPRODUCT((MOVIMIENTOS!$B$5:$B$1005="TRASIEGO")*(MOVIMIENTOS!$C$5:$C$1005="P")*(MOVIMIENTOS!$D$5:$D$1005="jabas")*(MOVIMIENTOS!$A$5:$A$1005&lt;&gt;"")*(MOVIMIENTOS!$A$5:$A$1005&lt;=$A60)*MOVIMIENTOS!$E$5:$E$1005)-SUMPRODUCT((MOVIMIENTOS!$B$5:$B$1005="REGALO")*(MOVIMIENTOS!$C$5:$C$1005="P")*(MOVIMIENTOS!$D$5:$D$1005="jabas")*(MOVIMIENTOS!$A$5:$A$1005&lt;&gt;"")*(MOVIMIENTOS!$A$5:$A$1005&lt;=$A60)*MOVIMIENTOS!$E$5:$E$1005)-SUMPRODUCT((MOVIMIENTOS!$B$5:$B$1005="VENTA")*(MOVIMIENTOS!$C$5:$C$1005="P")*(MOVIMIENTOS!$D$5:$D$1005="jabas")*(MOVIMIENTOS!$A$5:$A$1005&lt;&gt;"")*(MOVIMIENTOS!$A$5:$A$1005&lt;=$A60)*MOVIMIENTOS!$E$5:$E$1005)+SUMPRODUCT((MOVIMIENTOS!$B$5:$B$1005="AJUSTE")*(MOVIMIENTOS!$C$5:$C$1005="P")*(MOVIMIENTOS!$D$5:$D$1005="jabas")*(MOVIMIENTOS!$A$5:$A$1005&lt;&gt;"")*(MOVIMIENTOS!$A$5:$A$1005&lt;=$A60)*MOVIMIENTOS!$E$5:$E$1005))</f>
        <v/>
      </c>
      <c r="D60" s="65" t="str">
        <f>IF($A60="","",SUMPRODUCT((MOVIMIENTOS!$B$5:$B$1005="SALDO INICIAL")*(MOVIMIENTOS!$C$5:$C$1005="C")*(MOVIMIENTOS!$D$5:$D$1005="jabas")*(MOVIMIENTOS!$A$5:$A$1005&lt;&gt;"")*(MOVIMIENTOS!$A$5:$A$1005&lt;=$A60)*MOVIMIENTOS!$E$5:$E$1005)+SUMPRODUCT((MOVIMIENTOS!$B$5:$B$1005="PROCESO")*(MOVIMIENTOS!$C$5:$C$1005="C")*(MOVIMIENTOS!$D$5:$D$1005="jabas")*(MOVIMIENTOS!$A$5:$A$1005&lt;&gt;"")*(MOVIMIENTOS!$A$5:$A$1005&lt;=$A60)*MOVIMIENTOS!$E$5:$E$1005)-SUMPRODUCT((MOVIMIENTOS!$B$5:$B$1005="ENVÍO A SUPESA")*(MOVIMIENTOS!$C$5:$C$1005="C")*(MOVIMIENTOS!$D$5:$D$1005="jabas")*(MOVIMIENTOS!$A$5:$A$1005&lt;&gt;"")*(MOVIMIENTOS!$A$5:$A$1005&lt;=$A60)*MOVIMIENTOS!$E$5:$E$1005)+SUMPRODUCT((MOVIMIENTOS!$B$5:$B$1005="DEVOLUCIÓN")*(MOVIMIENTOS!$C$5:$C$1005="C")*(MOVIMIENTOS!$D$5:$D$1005="jabas")*(MOVIMIENTOS!$A$5:$A$1005&lt;&gt;"")*(MOVIMIENTOS!$A$5:$A$1005&lt;=$A60)*MOVIMIENTOS!$E$5:$E$1005)-SUMPRODUCT((MOVIMIENTOS!$B$5:$B$1005="TRASIEGO")*(MOVIMIENTOS!$C$5:$C$1005="C")*(MOVIMIENTOS!$D$5:$D$1005="jabas")*(MOVIMIENTOS!$A$5:$A$1005&lt;&gt;"")*(MOVIMIENTOS!$A$5:$A$1005&lt;=$A60)*MOVIMIENTOS!$E$5:$E$1005)-SUMPRODUCT((MOVIMIENTOS!$B$5:$B$1005="REGALO")*(MOVIMIENTOS!$C$5:$C$1005="C")*(MOVIMIENTOS!$D$5:$D$1005="jabas")*(MOVIMIENTOS!$A$5:$A$1005&lt;&gt;"")*(MOVIMIENTOS!$A$5:$A$1005&lt;=$A60)*MOVIMIENTOS!$E$5:$E$1005)-SUMPRODUCT((MOVIMIENTOS!$B$5:$B$1005="VENTA")*(MOVIMIENTOS!$C$5:$C$1005="C")*(MOVIMIENTOS!$D$5:$D$1005="jabas")*(MOVIMIENTOS!$A$5:$A$1005&lt;&gt;"")*(MOVIMIENTOS!$A$5:$A$1005&lt;=$A60)*MOVIMIENTOS!$E$5:$E$1005)+SUMPRODUCT((MOVIMIENTOS!$B$5:$B$1005="AJUSTE")*(MOVIMIENTOS!$C$5:$C$1005="C")*(MOVIMIENTOS!$D$5:$D$1005="jabas")*(MOVIMIENTOS!$A$5:$A$1005&lt;&gt;"")*(MOVIMIENTOS!$A$5:$A$1005&lt;=$A60)*MOVIMIENTOS!$E$5:$E$1005))</f>
        <v/>
      </c>
      <c r="E60" s="65" t="str">
        <f>IF($A60="","",SUMPRODUCT((MOVIMIENTOS!$B$5:$B$1005="SALDO INICIAL")*(MOVIMIENTOS!$C$5:$C$1005="M")*(MOVIMIENTOS!$D$5:$D$1005="jabas")*(MOVIMIENTOS!$A$5:$A$1005&lt;&gt;"")*(MOVIMIENTOS!$A$5:$A$1005&lt;=$A60)*MOVIMIENTOS!$E$5:$E$1005)+SUMPRODUCT((MOVIMIENTOS!$B$5:$B$1005="PROCESO")*(MOVIMIENTOS!$C$5:$C$1005="M")*(MOVIMIENTOS!$D$5:$D$1005="jabas")*(MOVIMIENTOS!$A$5:$A$1005&lt;&gt;"")*(MOVIMIENTOS!$A$5:$A$1005&lt;=$A60)*MOVIMIENTOS!$E$5:$E$1005)-SUMPRODUCT((MOVIMIENTOS!$B$5:$B$1005="ENVÍO A SUPESA")*(MOVIMIENTOS!$C$5:$C$1005="M")*(MOVIMIENTOS!$D$5:$D$1005="jabas")*(MOVIMIENTOS!$A$5:$A$1005&lt;&gt;"")*(MOVIMIENTOS!$A$5:$A$1005&lt;=$A60)*MOVIMIENTOS!$E$5:$E$1005)+SUMPRODUCT((MOVIMIENTOS!$B$5:$B$1005="DEVOLUCIÓN")*(MOVIMIENTOS!$C$5:$C$1005="M")*(MOVIMIENTOS!$D$5:$D$1005="jabas")*(MOVIMIENTOS!$A$5:$A$1005&lt;&gt;"")*(MOVIMIENTOS!$A$5:$A$1005&lt;=$A60)*MOVIMIENTOS!$E$5:$E$1005)-SUMPRODUCT((MOVIMIENTOS!$B$5:$B$1005="TRASIEGO")*(MOVIMIENTOS!$C$5:$C$1005="M")*(MOVIMIENTOS!$D$5:$D$1005="jabas")*(MOVIMIENTOS!$A$5:$A$1005&lt;&gt;"")*(MOVIMIENTOS!$A$5:$A$1005&lt;=$A60)*MOVIMIENTOS!$E$5:$E$1005)-SUMPRODUCT((MOVIMIENTOS!$B$5:$B$1005="REGALO")*(MOVIMIENTOS!$C$5:$C$1005="M")*(MOVIMIENTOS!$D$5:$D$1005="jabas")*(MOVIMIENTOS!$A$5:$A$1005&lt;&gt;"")*(MOVIMIENTOS!$A$5:$A$1005&lt;=$A60)*MOVIMIENTOS!$E$5:$E$1005)-SUMPRODUCT((MOVIMIENTOS!$B$5:$B$1005="VENTA")*(MOVIMIENTOS!$C$5:$C$1005="M")*(MOVIMIENTOS!$D$5:$D$1005="jabas")*(MOVIMIENTOS!$A$5:$A$1005&lt;&gt;"")*(MOVIMIENTOS!$A$5:$A$1005&lt;=$A60)*MOVIMIENTOS!$E$5:$E$1005)+SUMPRODUCT((MOVIMIENTOS!$B$5:$B$1005="AJUSTE")*(MOVIMIENTOS!$C$5:$C$1005="M")*(MOVIMIENTOS!$D$5:$D$1005="jabas")*(MOVIMIENTOS!$A$5:$A$1005&lt;&gt;"")*(MOVIMIENTOS!$A$5:$A$1005&lt;=$A60)*MOVIMIENTOS!$E$5:$E$1005))</f>
        <v/>
      </c>
      <c r="F60" s="65" t="str">
        <f>IF($A60="","",SUMPRODUCT((MOVIMIENTOS!$B$5:$B$1005="SALDO INICIAL")*(MOVIMIENTOS!$C$5:$C$1005="Chancho")*(MOVIMIENTOS!$D$5:$D$1005="sacos")*(MOVIMIENTOS!$A$5:$A$1005&lt;&gt;"")*(MOVIMIENTOS!$A$5:$A$1005&lt;=$A60)*MOVIMIENTOS!$E$5:$E$1005)+SUMPRODUCT((MOVIMIENTOS!$B$5:$B$1005="PROCESO")*(MOVIMIENTOS!$C$5:$C$1005="Chancho")*(MOVIMIENTOS!$D$5:$D$1005="sacos")*(MOVIMIENTOS!$A$5:$A$1005&lt;&gt;"")*(MOVIMIENTOS!$A$5:$A$1005&lt;=$A60)*MOVIMIENTOS!$E$5:$E$1005)-SUMPRODUCT((MOVIMIENTOS!$B$5:$B$1005="VENTA CHANCHO")*(MOVIMIENTOS!$C$5:$C$1005="Chancho")*(MOVIMIENTOS!$D$5:$D$1005="sacos")*(MOVIMIENTOS!$A$5:$A$1005&lt;&gt;"")*(MOVIMIENTOS!$A$5:$A$1005&lt;=$A60)*MOVIMIENTOS!$E$5:$E$1005)-SUMPRODUCT((MOVIMIENTOS!$B$5:$B$1005="REGALO")*(MOVIMIENTOS!$C$5:$C$1005="Chancho")*(MOVIMIENTOS!$D$5:$D$1005="sacos")*(MOVIMIENTOS!$A$5:$A$1005&lt;&gt;"")*(MOVIMIENTOS!$A$5:$A$1005&lt;=$A60)*MOVIMIENTOS!$E$5:$E$1005)-SUMPRODUCT((MOVIMIENTOS!$B$5:$B$1005="VENTA")*(MOVIMIENTOS!$C$5:$C$1005="Chancho")*(MOVIMIENTOS!$D$5:$D$1005="sacos")*(MOVIMIENTOS!$A$5:$A$1005&lt;&gt;"")*(MOVIMIENTOS!$A$5:$A$1005&lt;=$A60)*MOVIMIENTOS!$E$5:$E$1005)+SUMPRODUCT((MOVIMIENTOS!$B$5:$B$1005="AJUSTE")*(MOVIMIENTOS!$C$5:$C$1005="Chancho")*(MOVIMIENTOS!$D$5:$D$1005="sacos")*(MOVIMIENTOS!$A$5:$A$1005&lt;&gt;"")*(MOVIMIENTOS!$A$5:$A$1005&lt;=$A60)*MOVIMIENTOS!$E$5:$E$1005))</f>
        <v/>
      </c>
      <c r="G60" s="77" t="str">
        <f t="shared" si="1"/>
        <v/>
      </c>
      <c r="H60" s="65" t="str">
        <f>IF($A60="","",SUMPRODUCT((((MOVIMIENTOS!$B$5:$B$1005="SALDO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60)*MOVIMIENTOS!$J$5:$J$1005))</f>
        <v/>
      </c>
      <c r="I60" s="63"/>
      <c r="J60" s="63">
        <f>IF(AND(MOVIMIENTOS!$A60&lt;&gt;"",COUNTIF(MOVIMIENTOS!$A$5:$A59,MOVIMIENTOS!$A60)=0),COUNT(J$4:J59)+1,"")</f>
        <v>8</v>
      </c>
      <c r="K60" s="66">
        <f>MOVIMIENTOS!$A60</f>
        <v>46220</v>
      </c>
      <c r="L60" s="63"/>
      <c r="M60" s="63"/>
      <c r="N60" s="63"/>
    </row>
    <row r="61" spans="1:14" ht="15" customHeight="1" x14ac:dyDescent="0.2">
      <c r="A61" s="64" t="str">
        <f t="shared" si="0"/>
        <v/>
      </c>
      <c r="B61" s="65" t="str">
        <f>IF($A61="","",SUMPRODUCT((MOVIMIENTOS!$B$5:$B$1005="SALDO INICIAL")*(MOVIMIENTOS!$C$5:$C$1005="A")*(MOVIMIENTOS!$D$5:$D$1005="jabas")*(MOVIMIENTOS!$A$5:$A$1005&lt;&gt;"")*(MOVIMIENTOS!$A$5:$A$1005&lt;=$A61)*MOVIMIENTOS!$E$5:$E$1005)+SUMPRODUCT((MOVIMIENTOS!$B$5:$B$1005="PROCESO")*(MOVIMIENTOS!$C$5:$C$1005="A")*(MOVIMIENTOS!$D$5:$D$1005="jabas")*(MOVIMIENTOS!$A$5:$A$1005&lt;&gt;"")*(MOVIMIENTOS!$A$5:$A$1005&lt;=$A61)*MOVIMIENTOS!$E$5:$E$1005)-SUMPRODUCT((MOVIMIENTOS!$B$5:$B$1005="ENVÍO A SUPESA")*(MOVIMIENTOS!$C$5:$C$1005="A")*(MOVIMIENTOS!$D$5:$D$1005="jabas")*(MOVIMIENTOS!$A$5:$A$1005&lt;&gt;"")*(MOVIMIENTOS!$A$5:$A$1005&lt;=$A61)*MOVIMIENTOS!$E$5:$E$1005)+SUMPRODUCT((MOVIMIENTOS!$B$5:$B$1005="DEVOLUCIÓN")*(MOVIMIENTOS!$C$5:$C$1005="A")*(MOVIMIENTOS!$D$5:$D$1005="jabas")*(MOVIMIENTOS!$A$5:$A$1005&lt;&gt;"")*(MOVIMIENTOS!$A$5:$A$1005&lt;=$A61)*MOVIMIENTOS!$E$5:$E$1005)-SUMPRODUCT((MOVIMIENTOS!$B$5:$B$1005="TRASIEGO")*(MOVIMIENTOS!$C$5:$C$1005="A")*(MOVIMIENTOS!$D$5:$D$1005="jabas")*(MOVIMIENTOS!$A$5:$A$1005&lt;&gt;"")*(MOVIMIENTOS!$A$5:$A$1005&lt;=$A61)*MOVIMIENTOS!$E$5:$E$1005)-SUMPRODUCT((MOVIMIENTOS!$B$5:$B$1005="REGALO")*(MOVIMIENTOS!$C$5:$C$1005="A")*(MOVIMIENTOS!$D$5:$D$1005="jabas")*(MOVIMIENTOS!$A$5:$A$1005&lt;&gt;"")*(MOVIMIENTOS!$A$5:$A$1005&lt;=$A61)*MOVIMIENTOS!$E$5:$E$1005)-SUMPRODUCT((MOVIMIENTOS!$B$5:$B$1005="VENTA")*(MOVIMIENTOS!$C$5:$C$1005="A")*(MOVIMIENTOS!$D$5:$D$1005="jabas")*(MOVIMIENTOS!$A$5:$A$1005&lt;&gt;"")*(MOVIMIENTOS!$A$5:$A$1005&lt;=$A61)*MOVIMIENTOS!$E$5:$E$1005)+SUMPRODUCT((MOVIMIENTOS!$B$5:$B$1005="AJUSTE")*(MOVIMIENTOS!$C$5:$C$1005="A")*(MOVIMIENTOS!$D$5:$D$1005="jabas")*(MOVIMIENTOS!$A$5:$A$1005&lt;&gt;"")*(MOVIMIENTOS!$A$5:$A$1005&lt;=$A61)*MOVIMIENTOS!$E$5:$E$1005))</f>
        <v/>
      </c>
      <c r="C61" s="65" t="str">
        <f>IF($A61="","",SUMPRODUCT((MOVIMIENTOS!$B$5:$B$1005="SALDO INICIAL")*(MOVIMIENTOS!$C$5:$C$1005="P")*(MOVIMIENTOS!$D$5:$D$1005="jabas")*(MOVIMIENTOS!$A$5:$A$1005&lt;&gt;"")*(MOVIMIENTOS!$A$5:$A$1005&lt;=$A61)*MOVIMIENTOS!$E$5:$E$1005)+SUMPRODUCT((MOVIMIENTOS!$B$5:$B$1005="PROCESO")*(MOVIMIENTOS!$C$5:$C$1005="P")*(MOVIMIENTOS!$D$5:$D$1005="jabas")*(MOVIMIENTOS!$A$5:$A$1005&lt;&gt;"")*(MOVIMIENTOS!$A$5:$A$1005&lt;=$A61)*MOVIMIENTOS!$E$5:$E$1005)-SUMPRODUCT((MOVIMIENTOS!$B$5:$B$1005="ENVÍO A SUPESA")*(MOVIMIENTOS!$C$5:$C$1005="P")*(MOVIMIENTOS!$D$5:$D$1005="jabas")*(MOVIMIENTOS!$A$5:$A$1005&lt;&gt;"")*(MOVIMIENTOS!$A$5:$A$1005&lt;=$A61)*MOVIMIENTOS!$E$5:$E$1005)+SUMPRODUCT((MOVIMIENTOS!$B$5:$B$1005="DEVOLUCIÓN")*(MOVIMIENTOS!$C$5:$C$1005="P")*(MOVIMIENTOS!$D$5:$D$1005="jabas")*(MOVIMIENTOS!$A$5:$A$1005&lt;&gt;"")*(MOVIMIENTOS!$A$5:$A$1005&lt;=$A61)*MOVIMIENTOS!$E$5:$E$1005)-SUMPRODUCT((MOVIMIENTOS!$B$5:$B$1005="TRASIEGO")*(MOVIMIENTOS!$C$5:$C$1005="P")*(MOVIMIENTOS!$D$5:$D$1005="jabas")*(MOVIMIENTOS!$A$5:$A$1005&lt;&gt;"")*(MOVIMIENTOS!$A$5:$A$1005&lt;=$A61)*MOVIMIENTOS!$E$5:$E$1005)-SUMPRODUCT((MOVIMIENTOS!$B$5:$B$1005="REGALO")*(MOVIMIENTOS!$C$5:$C$1005="P")*(MOVIMIENTOS!$D$5:$D$1005="jabas")*(MOVIMIENTOS!$A$5:$A$1005&lt;&gt;"")*(MOVIMIENTOS!$A$5:$A$1005&lt;=$A61)*MOVIMIENTOS!$E$5:$E$1005)-SUMPRODUCT((MOVIMIENTOS!$B$5:$B$1005="VENTA")*(MOVIMIENTOS!$C$5:$C$1005="P")*(MOVIMIENTOS!$D$5:$D$1005="jabas")*(MOVIMIENTOS!$A$5:$A$1005&lt;&gt;"")*(MOVIMIENTOS!$A$5:$A$1005&lt;=$A61)*MOVIMIENTOS!$E$5:$E$1005)+SUMPRODUCT((MOVIMIENTOS!$B$5:$B$1005="AJUSTE")*(MOVIMIENTOS!$C$5:$C$1005="P")*(MOVIMIENTOS!$D$5:$D$1005="jabas")*(MOVIMIENTOS!$A$5:$A$1005&lt;&gt;"")*(MOVIMIENTOS!$A$5:$A$1005&lt;=$A61)*MOVIMIENTOS!$E$5:$E$1005))</f>
        <v/>
      </c>
      <c r="D61" s="65" t="str">
        <f>IF($A61="","",SUMPRODUCT((MOVIMIENTOS!$B$5:$B$1005="SALDO INICIAL")*(MOVIMIENTOS!$C$5:$C$1005="C")*(MOVIMIENTOS!$D$5:$D$1005="jabas")*(MOVIMIENTOS!$A$5:$A$1005&lt;&gt;"")*(MOVIMIENTOS!$A$5:$A$1005&lt;=$A61)*MOVIMIENTOS!$E$5:$E$1005)+SUMPRODUCT((MOVIMIENTOS!$B$5:$B$1005="PROCESO")*(MOVIMIENTOS!$C$5:$C$1005="C")*(MOVIMIENTOS!$D$5:$D$1005="jabas")*(MOVIMIENTOS!$A$5:$A$1005&lt;&gt;"")*(MOVIMIENTOS!$A$5:$A$1005&lt;=$A61)*MOVIMIENTOS!$E$5:$E$1005)-SUMPRODUCT((MOVIMIENTOS!$B$5:$B$1005="ENVÍO A SUPESA")*(MOVIMIENTOS!$C$5:$C$1005="C")*(MOVIMIENTOS!$D$5:$D$1005="jabas")*(MOVIMIENTOS!$A$5:$A$1005&lt;&gt;"")*(MOVIMIENTOS!$A$5:$A$1005&lt;=$A61)*MOVIMIENTOS!$E$5:$E$1005)+SUMPRODUCT((MOVIMIENTOS!$B$5:$B$1005="DEVOLUCIÓN")*(MOVIMIENTOS!$C$5:$C$1005="C")*(MOVIMIENTOS!$D$5:$D$1005="jabas")*(MOVIMIENTOS!$A$5:$A$1005&lt;&gt;"")*(MOVIMIENTOS!$A$5:$A$1005&lt;=$A61)*MOVIMIENTOS!$E$5:$E$1005)-SUMPRODUCT((MOVIMIENTOS!$B$5:$B$1005="TRASIEGO")*(MOVIMIENTOS!$C$5:$C$1005="C")*(MOVIMIENTOS!$D$5:$D$1005="jabas")*(MOVIMIENTOS!$A$5:$A$1005&lt;&gt;"")*(MOVIMIENTOS!$A$5:$A$1005&lt;=$A61)*MOVIMIENTOS!$E$5:$E$1005)-SUMPRODUCT((MOVIMIENTOS!$B$5:$B$1005="REGALO")*(MOVIMIENTOS!$C$5:$C$1005="C")*(MOVIMIENTOS!$D$5:$D$1005="jabas")*(MOVIMIENTOS!$A$5:$A$1005&lt;&gt;"")*(MOVIMIENTOS!$A$5:$A$1005&lt;=$A61)*MOVIMIENTOS!$E$5:$E$1005)-SUMPRODUCT((MOVIMIENTOS!$B$5:$B$1005="VENTA")*(MOVIMIENTOS!$C$5:$C$1005="C")*(MOVIMIENTOS!$D$5:$D$1005="jabas")*(MOVIMIENTOS!$A$5:$A$1005&lt;&gt;"")*(MOVIMIENTOS!$A$5:$A$1005&lt;=$A61)*MOVIMIENTOS!$E$5:$E$1005)+SUMPRODUCT((MOVIMIENTOS!$B$5:$B$1005="AJUSTE")*(MOVIMIENTOS!$C$5:$C$1005="C")*(MOVIMIENTOS!$D$5:$D$1005="jabas")*(MOVIMIENTOS!$A$5:$A$1005&lt;&gt;"")*(MOVIMIENTOS!$A$5:$A$1005&lt;=$A61)*MOVIMIENTOS!$E$5:$E$1005))</f>
        <v/>
      </c>
      <c r="E61" s="65" t="str">
        <f>IF($A61="","",SUMPRODUCT((MOVIMIENTOS!$B$5:$B$1005="SALDO INICIAL")*(MOVIMIENTOS!$C$5:$C$1005="M")*(MOVIMIENTOS!$D$5:$D$1005="jabas")*(MOVIMIENTOS!$A$5:$A$1005&lt;&gt;"")*(MOVIMIENTOS!$A$5:$A$1005&lt;=$A61)*MOVIMIENTOS!$E$5:$E$1005)+SUMPRODUCT((MOVIMIENTOS!$B$5:$B$1005="PROCESO")*(MOVIMIENTOS!$C$5:$C$1005="M")*(MOVIMIENTOS!$D$5:$D$1005="jabas")*(MOVIMIENTOS!$A$5:$A$1005&lt;&gt;"")*(MOVIMIENTOS!$A$5:$A$1005&lt;=$A61)*MOVIMIENTOS!$E$5:$E$1005)-SUMPRODUCT((MOVIMIENTOS!$B$5:$B$1005="ENVÍO A SUPESA")*(MOVIMIENTOS!$C$5:$C$1005="M")*(MOVIMIENTOS!$D$5:$D$1005="jabas")*(MOVIMIENTOS!$A$5:$A$1005&lt;&gt;"")*(MOVIMIENTOS!$A$5:$A$1005&lt;=$A61)*MOVIMIENTOS!$E$5:$E$1005)+SUMPRODUCT((MOVIMIENTOS!$B$5:$B$1005="DEVOLUCIÓN")*(MOVIMIENTOS!$C$5:$C$1005="M")*(MOVIMIENTOS!$D$5:$D$1005="jabas")*(MOVIMIENTOS!$A$5:$A$1005&lt;&gt;"")*(MOVIMIENTOS!$A$5:$A$1005&lt;=$A61)*MOVIMIENTOS!$E$5:$E$1005)-SUMPRODUCT((MOVIMIENTOS!$B$5:$B$1005="TRASIEGO")*(MOVIMIENTOS!$C$5:$C$1005="M")*(MOVIMIENTOS!$D$5:$D$1005="jabas")*(MOVIMIENTOS!$A$5:$A$1005&lt;&gt;"")*(MOVIMIENTOS!$A$5:$A$1005&lt;=$A61)*MOVIMIENTOS!$E$5:$E$1005)-SUMPRODUCT((MOVIMIENTOS!$B$5:$B$1005="REGALO")*(MOVIMIENTOS!$C$5:$C$1005="M")*(MOVIMIENTOS!$D$5:$D$1005="jabas")*(MOVIMIENTOS!$A$5:$A$1005&lt;&gt;"")*(MOVIMIENTOS!$A$5:$A$1005&lt;=$A61)*MOVIMIENTOS!$E$5:$E$1005)-SUMPRODUCT((MOVIMIENTOS!$B$5:$B$1005="VENTA")*(MOVIMIENTOS!$C$5:$C$1005="M")*(MOVIMIENTOS!$D$5:$D$1005="jabas")*(MOVIMIENTOS!$A$5:$A$1005&lt;&gt;"")*(MOVIMIENTOS!$A$5:$A$1005&lt;=$A61)*MOVIMIENTOS!$E$5:$E$1005)+SUMPRODUCT((MOVIMIENTOS!$B$5:$B$1005="AJUSTE")*(MOVIMIENTOS!$C$5:$C$1005="M")*(MOVIMIENTOS!$D$5:$D$1005="jabas")*(MOVIMIENTOS!$A$5:$A$1005&lt;&gt;"")*(MOVIMIENTOS!$A$5:$A$1005&lt;=$A61)*MOVIMIENTOS!$E$5:$E$1005))</f>
        <v/>
      </c>
      <c r="F61" s="65" t="str">
        <f>IF($A61="","",SUMPRODUCT((MOVIMIENTOS!$B$5:$B$1005="SALDO INICIAL")*(MOVIMIENTOS!$C$5:$C$1005="Chancho")*(MOVIMIENTOS!$D$5:$D$1005="sacos")*(MOVIMIENTOS!$A$5:$A$1005&lt;&gt;"")*(MOVIMIENTOS!$A$5:$A$1005&lt;=$A61)*MOVIMIENTOS!$E$5:$E$1005)+SUMPRODUCT((MOVIMIENTOS!$B$5:$B$1005="PROCESO")*(MOVIMIENTOS!$C$5:$C$1005="Chancho")*(MOVIMIENTOS!$D$5:$D$1005="sacos")*(MOVIMIENTOS!$A$5:$A$1005&lt;&gt;"")*(MOVIMIENTOS!$A$5:$A$1005&lt;=$A61)*MOVIMIENTOS!$E$5:$E$1005)-SUMPRODUCT((MOVIMIENTOS!$B$5:$B$1005="VENTA CHANCHO")*(MOVIMIENTOS!$C$5:$C$1005="Chancho")*(MOVIMIENTOS!$D$5:$D$1005="sacos")*(MOVIMIENTOS!$A$5:$A$1005&lt;&gt;"")*(MOVIMIENTOS!$A$5:$A$1005&lt;=$A61)*MOVIMIENTOS!$E$5:$E$1005)-SUMPRODUCT((MOVIMIENTOS!$B$5:$B$1005="REGALO")*(MOVIMIENTOS!$C$5:$C$1005="Chancho")*(MOVIMIENTOS!$D$5:$D$1005="sacos")*(MOVIMIENTOS!$A$5:$A$1005&lt;&gt;"")*(MOVIMIENTOS!$A$5:$A$1005&lt;=$A61)*MOVIMIENTOS!$E$5:$E$1005)-SUMPRODUCT((MOVIMIENTOS!$B$5:$B$1005="VENTA")*(MOVIMIENTOS!$C$5:$C$1005="Chancho")*(MOVIMIENTOS!$D$5:$D$1005="sacos")*(MOVIMIENTOS!$A$5:$A$1005&lt;&gt;"")*(MOVIMIENTOS!$A$5:$A$1005&lt;=$A61)*MOVIMIENTOS!$E$5:$E$1005)+SUMPRODUCT((MOVIMIENTOS!$B$5:$B$1005="AJUSTE")*(MOVIMIENTOS!$C$5:$C$1005="Chancho")*(MOVIMIENTOS!$D$5:$D$1005="sacos")*(MOVIMIENTOS!$A$5:$A$1005&lt;&gt;"")*(MOVIMIENTOS!$A$5:$A$1005&lt;=$A61)*MOVIMIENTOS!$E$5:$E$1005))</f>
        <v/>
      </c>
      <c r="G61" s="77" t="str">
        <f t="shared" si="1"/>
        <v/>
      </c>
      <c r="H61" s="65" t="str">
        <f>IF($A61="","",SUMPRODUCT((((MOVIMIENTOS!$B$5:$B$1005="SALDO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61)*MOVIMIENTOS!$J$5:$J$1005))</f>
        <v/>
      </c>
      <c r="I61" s="63"/>
      <c r="J61" s="63" t="str">
        <f>IF(AND(MOVIMIENTOS!$A61&lt;&gt;"",COUNTIF(MOVIMIENTOS!$A$5:$A60,MOVIMIENTOS!$A61)=0),COUNT(J$4:J60)+1,"")</f>
        <v/>
      </c>
      <c r="K61" s="66">
        <f>MOVIMIENTOS!$A61</f>
        <v>46220</v>
      </c>
      <c r="L61" s="63"/>
      <c r="M61" s="63"/>
      <c r="N61" s="63"/>
    </row>
    <row r="62" spans="1:14" ht="15" customHeight="1" x14ac:dyDescent="0.2">
      <c r="A62" s="64" t="str">
        <f t="shared" si="0"/>
        <v/>
      </c>
      <c r="B62" s="65" t="str">
        <f>IF($A62="","",SUMPRODUCT((MOVIMIENTOS!$B$5:$B$1005="SALDO INICIAL")*(MOVIMIENTOS!$C$5:$C$1005="A")*(MOVIMIENTOS!$D$5:$D$1005="jabas")*(MOVIMIENTOS!$A$5:$A$1005&lt;&gt;"")*(MOVIMIENTOS!$A$5:$A$1005&lt;=$A62)*MOVIMIENTOS!$E$5:$E$1005)+SUMPRODUCT((MOVIMIENTOS!$B$5:$B$1005="PROCESO")*(MOVIMIENTOS!$C$5:$C$1005="A")*(MOVIMIENTOS!$D$5:$D$1005="jabas")*(MOVIMIENTOS!$A$5:$A$1005&lt;&gt;"")*(MOVIMIENTOS!$A$5:$A$1005&lt;=$A62)*MOVIMIENTOS!$E$5:$E$1005)-SUMPRODUCT((MOVIMIENTOS!$B$5:$B$1005="ENVÍO A SUPESA")*(MOVIMIENTOS!$C$5:$C$1005="A")*(MOVIMIENTOS!$D$5:$D$1005="jabas")*(MOVIMIENTOS!$A$5:$A$1005&lt;&gt;"")*(MOVIMIENTOS!$A$5:$A$1005&lt;=$A62)*MOVIMIENTOS!$E$5:$E$1005)+SUMPRODUCT((MOVIMIENTOS!$B$5:$B$1005="DEVOLUCIÓN")*(MOVIMIENTOS!$C$5:$C$1005="A")*(MOVIMIENTOS!$D$5:$D$1005="jabas")*(MOVIMIENTOS!$A$5:$A$1005&lt;&gt;"")*(MOVIMIENTOS!$A$5:$A$1005&lt;=$A62)*MOVIMIENTOS!$E$5:$E$1005)-SUMPRODUCT((MOVIMIENTOS!$B$5:$B$1005="TRASIEGO")*(MOVIMIENTOS!$C$5:$C$1005="A")*(MOVIMIENTOS!$D$5:$D$1005="jabas")*(MOVIMIENTOS!$A$5:$A$1005&lt;&gt;"")*(MOVIMIENTOS!$A$5:$A$1005&lt;=$A62)*MOVIMIENTOS!$E$5:$E$1005)-SUMPRODUCT((MOVIMIENTOS!$B$5:$B$1005="REGALO")*(MOVIMIENTOS!$C$5:$C$1005="A")*(MOVIMIENTOS!$D$5:$D$1005="jabas")*(MOVIMIENTOS!$A$5:$A$1005&lt;&gt;"")*(MOVIMIENTOS!$A$5:$A$1005&lt;=$A62)*MOVIMIENTOS!$E$5:$E$1005)-SUMPRODUCT((MOVIMIENTOS!$B$5:$B$1005="VENTA")*(MOVIMIENTOS!$C$5:$C$1005="A")*(MOVIMIENTOS!$D$5:$D$1005="jabas")*(MOVIMIENTOS!$A$5:$A$1005&lt;&gt;"")*(MOVIMIENTOS!$A$5:$A$1005&lt;=$A62)*MOVIMIENTOS!$E$5:$E$1005)+SUMPRODUCT((MOVIMIENTOS!$B$5:$B$1005="AJUSTE")*(MOVIMIENTOS!$C$5:$C$1005="A")*(MOVIMIENTOS!$D$5:$D$1005="jabas")*(MOVIMIENTOS!$A$5:$A$1005&lt;&gt;"")*(MOVIMIENTOS!$A$5:$A$1005&lt;=$A62)*MOVIMIENTOS!$E$5:$E$1005))</f>
        <v/>
      </c>
      <c r="C62" s="65" t="str">
        <f>IF($A62="","",SUMPRODUCT((MOVIMIENTOS!$B$5:$B$1005="SALDO INICIAL")*(MOVIMIENTOS!$C$5:$C$1005="P")*(MOVIMIENTOS!$D$5:$D$1005="jabas")*(MOVIMIENTOS!$A$5:$A$1005&lt;&gt;"")*(MOVIMIENTOS!$A$5:$A$1005&lt;=$A62)*MOVIMIENTOS!$E$5:$E$1005)+SUMPRODUCT((MOVIMIENTOS!$B$5:$B$1005="PROCESO")*(MOVIMIENTOS!$C$5:$C$1005="P")*(MOVIMIENTOS!$D$5:$D$1005="jabas")*(MOVIMIENTOS!$A$5:$A$1005&lt;&gt;"")*(MOVIMIENTOS!$A$5:$A$1005&lt;=$A62)*MOVIMIENTOS!$E$5:$E$1005)-SUMPRODUCT((MOVIMIENTOS!$B$5:$B$1005="ENVÍO A SUPESA")*(MOVIMIENTOS!$C$5:$C$1005="P")*(MOVIMIENTOS!$D$5:$D$1005="jabas")*(MOVIMIENTOS!$A$5:$A$1005&lt;&gt;"")*(MOVIMIENTOS!$A$5:$A$1005&lt;=$A62)*MOVIMIENTOS!$E$5:$E$1005)+SUMPRODUCT((MOVIMIENTOS!$B$5:$B$1005="DEVOLUCIÓN")*(MOVIMIENTOS!$C$5:$C$1005="P")*(MOVIMIENTOS!$D$5:$D$1005="jabas")*(MOVIMIENTOS!$A$5:$A$1005&lt;&gt;"")*(MOVIMIENTOS!$A$5:$A$1005&lt;=$A62)*MOVIMIENTOS!$E$5:$E$1005)-SUMPRODUCT((MOVIMIENTOS!$B$5:$B$1005="TRASIEGO")*(MOVIMIENTOS!$C$5:$C$1005="P")*(MOVIMIENTOS!$D$5:$D$1005="jabas")*(MOVIMIENTOS!$A$5:$A$1005&lt;&gt;"")*(MOVIMIENTOS!$A$5:$A$1005&lt;=$A62)*MOVIMIENTOS!$E$5:$E$1005)-SUMPRODUCT((MOVIMIENTOS!$B$5:$B$1005="REGALO")*(MOVIMIENTOS!$C$5:$C$1005="P")*(MOVIMIENTOS!$D$5:$D$1005="jabas")*(MOVIMIENTOS!$A$5:$A$1005&lt;&gt;"")*(MOVIMIENTOS!$A$5:$A$1005&lt;=$A62)*MOVIMIENTOS!$E$5:$E$1005)-SUMPRODUCT((MOVIMIENTOS!$B$5:$B$1005="VENTA")*(MOVIMIENTOS!$C$5:$C$1005="P")*(MOVIMIENTOS!$D$5:$D$1005="jabas")*(MOVIMIENTOS!$A$5:$A$1005&lt;&gt;"")*(MOVIMIENTOS!$A$5:$A$1005&lt;=$A62)*MOVIMIENTOS!$E$5:$E$1005)+SUMPRODUCT((MOVIMIENTOS!$B$5:$B$1005="AJUSTE")*(MOVIMIENTOS!$C$5:$C$1005="P")*(MOVIMIENTOS!$D$5:$D$1005="jabas")*(MOVIMIENTOS!$A$5:$A$1005&lt;&gt;"")*(MOVIMIENTOS!$A$5:$A$1005&lt;=$A62)*MOVIMIENTOS!$E$5:$E$1005))</f>
        <v/>
      </c>
      <c r="D62" s="65" t="str">
        <f>IF($A62="","",SUMPRODUCT((MOVIMIENTOS!$B$5:$B$1005="SALDO INICIAL")*(MOVIMIENTOS!$C$5:$C$1005="C")*(MOVIMIENTOS!$D$5:$D$1005="jabas")*(MOVIMIENTOS!$A$5:$A$1005&lt;&gt;"")*(MOVIMIENTOS!$A$5:$A$1005&lt;=$A62)*MOVIMIENTOS!$E$5:$E$1005)+SUMPRODUCT((MOVIMIENTOS!$B$5:$B$1005="PROCESO")*(MOVIMIENTOS!$C$5:$C$1005="C")*(MOVIMIENTOS!$D$5:$D$1005="jabas")*(MOVIMIENTOS!$A$5:$A$1005&lt;&gt;"")*(MOVIMIENTOS!$A$5:$A$1005&lt;=$A62)*MOVIMIENTOS!$E$5:$E$1005)-SUMPRODUCT((MOVIMIENTOS!$B$5:$B$1005="ENVÍO A SUPESA")*(MOVIMIENTOS!$C$5:$C$1005="C")*(MOVIMIENTOS!$D$5:$D$1005="jabas")*(MOVIMIENTOS!$A$5:$A$1005&lt;&gt;"")*(MOVIMIENTOS!$A$5:$A$1005&lt;=$A62)*MOVIMIENTOS!$E$5:$E$1005)+SUMPRODUCT((MOVIMIENTOS!$B$5:$B$1005="DEVOLUCIÓN")*(MOVIMIENTOS!$C$5:$C$1005="C")*(MOVIMIENTOS!$D$5:$D$1005="jabas")*(MOVIMIENTOS!$A$5:$A$1005&lt;&gt;"")*(MOVIMIENTOS!$A$5:$A$1005&lt;=$A62)*MOVIMIENTOS!$E$5:$E$1005)-SUMPRODUCT((MOVIMIENTOS!$B$5:$B$1005="TRASIEGO")*(MOVIMIENTOS!$C$5:$C$1005="C")*(MOVIMIENTOS!$D$5:$D$1005="jabas")*(MOVIMIENTOS!$A$5:$A$1005&lt;&gt;"")*(MOVIMIENTOS!$A$5:$A$1005&lt;=$A62)*MOVIMIENTOS!$E$5:$E$1005)-SUMPRODUCT((MOVIMIENTOS!$B$5:$B$1005="REGALO")*(MOVIMIENTOS!$C$5:$C$1005="C")*(MOVIMIENTOS!$D$5:$D$1005="jabas")*(MOVIMIENTOS!$A$5:$A$1005&lt;&gt;"")*(MOVIMIENTOS!$A$5:$A$1005&lt;=$A62)*MOVIMIENTOS!$E$5:$E$1005)-SUMPRODUCT((MOVIMIENTOS!$B$5:$B$1005="VENTA")*(MOVIMIENTOS!$C$5:$C$1005="C")*(MOVIMIENTOS!$D$5:$D$1005="jabas")*(MOVIMIENTOS!$A$5:$A$1005&lt;&gt;"")*(MOVIMIENTOS!$A$5:$A$1005&lt;=$A62)*MOVIMIENTOS!$E$5:$E$1005)+SUMPRODUCT((MOVIMIENTOS!$B$5:$B$1005="AJUSTE")*(MOVIMIENTOS!$C$5:$C$1005="C")*(MOVIMIENTOS!$D$5:$D$1005="jabas")*(MOVIMIENTOS!$A$5:$A$1005&lt;&gt;"")*(MOVIMIENTOS!$A$5:$A$1005&lt;=$A62)*MOVIMIENTOS!$E$5:$E$1005))</f>
        <v/>
      </c>
      <c r="E62" s="65" t="str">
        <f>IF($A62="","",SUMPRODUCT((MOVIMIENTOS!$B$5:$B$1005="SALDO INICIAL")*(MOVIMIENTOS!$C$5:$C$1005="M")*(MOVIMIENTOS!$D$5:$D$1005="jabas")*(MOVIMIENTOS!$A$5:$A$1005&lt;&gt;"")*(MOVIMIENTOS!$A$5:$A$1005&lt;=$A62)*MOVIMIENTOS!$E$5:$E$1005)+SUMPRODUCT((MOVIMIENTOS!$B$5:$B$1005="PROCESO")*(MOVIMIENTOS!$C$5:$C$1005="M")*(MOVIMIENTOS!$D$5:$D$1005="jabas")*(MOVIMIENTOS!$A$5:$A$1005&lt;&gt;"")*(MOVIMIENTOS!$A$5:$A$1005&lt;=$A62)*MOVIMIENTOS!$E$5:$E$1005)-SUMPRODUCT((MOVIMIENTOS!$B$5:$B$1005="ENVÍO A SUPESA")*(MOVIMIENTOS!$C$5:$C$1005="M")*(MOVIMIENTOS!$D$5:$D$1005="jabas")*(MOVIMIENTOS!$A$5:$A$1005&lt;&gt;"")*(MOVIMIENTOS!$A$5:$A$1005&lt;=$A62)*MOVIMIENTOS!$E$5:$E$1005)+SUMPRODUCT((MOVIMIENTOS!$B$5:$B$1005="DEVOLUCIÓN")*(MOVIMIENTOS!$C$5:$C$1005="M")*(MOVIMIENTOS!$D$5:$D$1005="jabas")*(MOVIMIENTOS!$A$5:$A$1005&lt;&gt;"")*(MOVIMIENTOS!$A$5:$A$1005&lt;=$A62)*MOVIMIENTOS!$E$5:$E$1005)-SUMPRODUCT((MOVIMIENTOS!$B$5:$B$1005="TRASIEGO")*(MOVIMIENTOS!$C$5:$C$1005="M")*(MOVIMIENTOS!$D$5:$D$1005="jabas")*(MOVIMIENTOS!$A$5:$A$1005&lt;&gt;"")*(MOVIMIENTOS!$A$5:$A$1005&lt;=$A62)*MOVIMIENTOS!$E$5:$E$1005)-SUMPRODUCT((MOVIMIENTOS!$B$5:$B$1005="REGALO")*(MOVIMIENTOS!$C$5:$C$1005="M")*(MOVIMIENTOS!$D$5:$D$1005="jabas")*(MOVIMIENTOS!$A$5:$A$1005&lt;&gt;"")*(MOVIMIENTOS!$A$5:$A$1005&lt;=$A62)*MOVIMIENTOS!$E$5:$E$1005)-SUMPRODUCT((MOVIMIENTOS!$B$5:$B$1005="VENTA")*(MOVIMIENTOS!$C$5:$C$1005="M")*(MOVIMIENTOS!$D$5:$D$1005="jabas")*(MOVIMIENTOS!$A$5:$A$1005&lt;&gt;"")*(MOVIMIENTOS!$A$5:$A$1005&lt;=$A62)*MOVIMIENTOS!$E$5:$E$1005)+SUMPRODUCT((MOVIMIENTOS!$B$5:$B$1005="AJUSTE")*(MOVIMIENTOS!$C$5:$C$1005="M")*(MOVIMIENTOS!$D$5:$D$1005="jabas")*(MOVIMIENTOS!$A$5:$A$1005&lt;&gt;"")*(MOVIMIENTOS!$A$5:$A$1005&lt;=$A62)*MOVIMIENTOS!$E$5:$E$1005))</f>
        <v/>
      </c>
      <c r="F62" s="65" t="str">
        <f>IF($A62="","",SUMPRODUCT((MOVIMIENTOS!$B$5:$B$1005="SALDO INICIAL")*(MOVIMIENTOS!$C$5:$C$1005="Chancho")*(MOVIMIENTOS!$D$5:$D$1005="sacos")*(MOVIMIENTOS!$A$5:$A$1005&lt;&gt;"")*(MOVIMIENTOS!$A$5:$A$1005&lt;=$A62)*MOVIMIENTOS!$E$5:$E$1005)+SUMPRODUCT((MOVIMIENTOS!$B$5:$B$1005="PROCESO")*(MOVIMIENTOS!$C$5:$C$1005="Chancho")*(MOVIMIENTOS!$D$5:$D$1005="sacos")*(MOVIMIENTOS!$A$5:$A$1005&lt;&gt;"")*(MOVIMIENTOS!$A$5:$A$1005&lt;=$A62)*MOVIMIENTOS!$E$5:$E$1005)-SUMPRODUCT((MOVIMIENTOS!$B$5:$B$1005="VENTA CHANCHO")*(MOVIMIENTOS!$C$5:$C$1005="Chancho")*(MOVIMIENTOS!$D$5:$D$1005="sacos")*(MOVIMIENTOS!$A$5:$A$1005&lt;&gt;"")*(MOVIMIENTOS!$A$5:$A$1005&lt;=$A62)*MOVIMIENTOS!$E$5:$E$1005)-SUMPRODUCT((MOVIMIENTOS!$B$5:$B$1005="REGALO")*(MOVIMIENTOS!$C$5:$C$1005="Chancho")*(MOVIMIENTOS!$D$5:$D$1005="sacos")*(MOVIMIENTOS!$A$5:$A$1005&lt;&gt;"")*(MOVIMIENTOS!$A$5:$A$1005&lt;=$A62)*MOVIMIENTOS!$E$5:$E$1005)-SUMPRODUCT((MOVIMIENTOS!$B$5:$B$1005="VENTA")*(MOVIMIENTOS!$C$5:$C$1005="Chancho")*(MOVIMIENTOS!$D$5:$D$1005="sacos")*(MOVIMIENTOS!$A$5:$A$1005&lt;&gt;"")*(MOVIMIENTOS!$A$5:$A$1005&lt;=$A62)*MOVIMIENTOS!$E$5:$E$1005)+SUMPRODUCT((MOVIMIENTOS!$B$5:$B$1005="AJUSTE")*(MOVIMIENTOS!$C$5:$C$1005="Chancho")*(MOVIMIENTOS!$D$5:$D$1005="sacos")*(MOVIMIENTOS!$A$5:$A$1005&lt;&gt;"")*(MOVIMIENTOS!$A$5:$A$1005&lt;=$A62)*MOVIMIENTOS!$E$5:$E$1005))</f>
        <v/>
      </c>
      <c r="G62" s="77" t="str">
        <f t="shared" si="1"/>
        <v/>
      </c>
      <c r="H62" s="65" t="str">
        <f>IF($A62="","",SUMPRODUCT((((MOVIMIENTOS!$B$5:$B$1005="SALDO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62)*MOVIMIENTOS!$J$5:$J$1005))</f>
        <v/>
      </c>
      <c r="I62" s="63"/>
      <c r="J62" s="63" t="str">
        <f>IF(AND(MOVIMIENTOS!$A62&lt;&gt;"",COUNTIF(MOVIMIENTOS!$A$5:$A61,MOVIMIENTOS!$A62)=0),COUNT(J$4:J61)+1,"")</f>
        <v/>
      </c>
      <c r="K62" s="66">
        <f>MOVIMIENTOS!$A62</f>
        <v>46220</v>
      </c>
      <c r="L62" s="63"/>
      <c r="M62" s="63"/>
      <c r="N62" s="63"/>
    </row>
    <row r="63" spans="1:14" ht="15" customHeight="1" x14ac:dyDescent="0.2">
      <c r="A63" s="64" t="str">
        <f t="shared" si="0"/>
        <v/>
      </c>
      <c r="B63" s="65" t="str">
        <f>IF($A63="","",SUMPRODUCT((MOVIMIENTOS!$B$5:$B$1005="SALDO INICIAL")*(MOVIMIENTOS!$C$5:$C$1005="A")*(MOVIMIENTOS!$D$5:$D$1005="jabas")*(MOVIMIENTOS!$A$5:$A$1005&lt;&gt;"")*(MOVIMIENTOS!$A$5:$A$1005&lt;=$A63)*MOVIMIENTOS!$E$5:$E$1005)+SUMPRODUCT((MOVIMIENTOS!$B$5:$B$1005="PROCESO")*(MOVIMIENTOS!$C$5:$C$1005="A")*(MOVIMIENTOS!$D$5:$D$1005="jabas")*(MOVIMIENTOS!$A$5:$A$1005&lt;&gt;"")*(MOVIMIENTOS!$A$5:$A$1005&lt;=$A63)*MOVIMIENTOS!$E$5:$E$1005)-SUMPRODUCT((MOVIMIENTOS!$B$5:$B$1005="ENVÍO A SUPESA")*(MOVIMIENTOS!$C$5:$C$1005="A")*(MOVIMIENTOS!$D$5:$D$1005="jabas")*(MOVIMIENTOS!$A$5:$A$1005&lt;&gt;"")*(MOVIMIENTOS!$A$5:$A$1005&lt;=$A63)*MOVIMIENTOS!$E$5:$E$1005)+SUMPRODUCT((MOVIMIENTOS!$B$5:$B$1005="DEVOLUCIÓN")*(MOVIMIENTOS!$C$5:$C$1005="A")*(MOVIMIENTOS!$D$5:$D$1005="jabas")*(MOVIMIENTOS!$A$5:$A$1005&lt;&gt;"")*(MOVIMIENTOS!$A$5:$A$1005&lt;=$A63)*MOVIMIENTOS!$E$5:$E$1005)-SUMPRODUCT((MOVIMIENTOS!$B$5:$B$1005="TRASIEGO")*(MOVIMIENTOS!$C$5:$C$1005="A")*(MOVIMIENTOS!$D$5:$D$1005="jabas")*(MOVIMIENTOS!$A$5:$A$1005&lt;&gt;"")*(MOVIMIENTOS!$A$5:$A$1005&lt;=$A63)*MOVIMIENTOS!$E$5:$E$1005)-SUMPRODUCT((MOVIMIENTOS!$B$5:$B$1005="REGALO")*(MOVIMIENTOS!$C$5:$C$1005="A")*(MOVIMIENTOS!$D$5:$D$1005="jabas")*(MOVIMIENTOS!$A$5:$A$1005&lt;&gt;"")*(MOVIMIENTOS!$A$5:$A$1005&lt;=$A63)*MOVIMIENTOS!$E$5:$E$1005)-SUMPRODUCT((MOVIMIENTOS!$B$5:$B$1005="VENTA")*(MOVIMIENTOS!$C$5:$C$1005="A")*(MOVIMIENTOS!$D$5:$D$1005="jabas")*(MOVIMIENTOS!$A$5:$A$1005&lt;&gt;"")*(MOVIMIENTOS!$A$5:$A$1005&lt;=$A63)*MOVIMIENTOS!$E$5:$E$1005)+SUMPRODUCT((MOVIMIENTOS!$B$5:$B$1005="AJUSTE")*(MOVIMIENTOS!$C$5:$C$1005="A")*(MOVIMIENTOS!$D$5:$D$1005="jabas")*(MOVIMIENTOS!$A$5:$A$1005&lt;&gt;"")*(MOVIMIENTOS!$A$5:$A$1005&lt;=$A63)*MOVIMIENTOS!$E$5:$E$1005))</f>
        <v/>
      </c>
      <c r="C63" s="65" t="str">
        <f>IF($A63="","",SUMPRODUCT((MOVIMIENTOS!$B$5:$B$1005="SALDO INICIAL")*(MOVIMIENTOS!$C$5:$C$1005="P")*(MOVIMIENTOS!$D$5:$D$1005="jabas")*(MOVIMIENTOS!$A$5:$A$1005&lt;&gt;"")*(MOVIMIENTOS!$A$5:$A$1005&lt;=$A63)*MOVIMIENTOS!$E$5:$E$1005)+SUMPRODUCT((MOVIMIENTOS!$B$5:$B$1005="PROCESO")*(MOVIMIENTOS!$C$5:$C$1005="P")*(MOVIMIENTOS!$D$5:$D$1005="jabas")*(MOVIMIENTOS!$A$5:$A$1005&lt;&gt;"")*(MOVIMIENTOS!$A$5:$A$1005&lt;=$A63)*MOVIMIENTOS!$E$5:$E$1005)-SUMPRODUCT((MOVIMIENTOS!$B$5:$B$1005="ENVÍO A SUPESA")*(MOVIMIENTOS!$C$5:$C$1005="P")*(MOVIMIENTOS!$D$5:$D$1005="jabas")*(MOVIMIENTOS!$A$5:$A$1005&lt;&gt;"")*(MOVIMIENTOS!$A$5:$A$1005&lt;=$A63)*MOVIMIENTOS!$E$5:$E$1005)+SUMPRODUCT((MOVIMIENTOS!$B$5:$B$1005="DEVOLUCIÓN")*(MOVIMIENTOS!$C$5:$C$1005="P")*(MOVIMIENTOS!$D$5:$D$1005="jabas")*(MOVIMIENTOS!$A$5:$A$1005&lt;&gt;"")*(MOVIMIENTOS!$A$5:$A$1005&lt;=$A63)*MOVIMIENTOS!$E$5:$E$1005)-SUMPRODUCT((MOVIMIENTOS!$B$5:$B$1005="TRASIEGO")*(MOVIMIENTOS!$C$5:$C$1005="P")*(MOVIMIENTOS!$D$5:$D$1005="jabas")*(MOVIMIENTOS!$A$5:$A$1005&lt;&gt;"")*(MOVIMIENTOS!$A$5:$A$1005&lt;=$A63)*MOVIMIENTOS!$E$5:$E$1005)-SUMPRODUCT((MOVIMIENTOS!$B$5:$B$1005="REGALO")*(MOVIMIENTOS!$C$5:$C$1005="P")*(MOVIMIENTOS!$D$5:$D$1005="jabas")*(MOVIMIENTOS!$A$5:$A$1005&lt;&gt;"")*(MOVIMIENTOS!$A$5:$A$1005&lt;=$A63)*MOVIMIENTOS!$E$5:$E$1005)-SUMPRODUCT((MOVIMIENTOS!$B$5:$B$1005="VENTA")*(MOVIMIENTOS!$C$5:$C$1005="P")*(MOVIMIENTOS!$D$5:$D$1005="jabas")*(MOVIMIENTOS!$A$5:$A$1005&lt;&gt;"")*(MOVIMIENTOS!$A$5:$A$1005&lt;=$A63)*MOVIMIENTOS!$E$5:$E$1005)+SUMPRODUCT((MOVIMIENTOS!$B$5:$B$1005="AJUSTE")*(MOVIMIENTOS!$C$5:$C$1005="P")*(MOVIMIENTOS!$D$5:$D$1005="jabas")*(MOVIMIENTOS!$A$5:$A$1005&lt;&gt;"")*(MOVIMIENTOS!$A$5:$A$1005&lt;=$A63)*MOVIMIENTOS!$E$5:$E$1005))</f>
        <v/>
      </c>
      <c r="D63" s="65" t="str">
        <f>IF($A63="","",SUMPRODUCT((MOVIMIENTOS!$B$5:$B$1005="SALDO INICIAL")*(MOVIMIENTOS!$C$5:$C$1005="C")*(MOVIMIENTOS!$D$5:$D$1005="jabas")*(MOVIMIENTOS!$A$5:$A$1005&lt;&gt;"")*(MOVIMIENTOS!$A$5:$A$1005&lt;=$A63)*MOVIMIENTOS!$E$5:$E$1005)+SUMPRODUCT((MOVIMIENTOS!$B$5:$B$1005="PROCESO")*(MOVIMIENTOS!$C$5:$C$1005="C")*(MOVIMIENTOS!$D$5:$D$1005="jabas")*(MOVIMIENTOS!$A$5:$A$1005&lt;&gt;"")*(MOVIMIENTOS!$A$5:$A$1005&lt;=$A63)*MOVIMIENTOS!$E$5:$E$1005)-SUMPRODUCT((MOVIMIENTOS!$B$5:$B$1005="ENVÍO A SUPESA")*(MOVIMIENTOS!$C$5:$C$1005="C")*(MOVIMIENTOS!$D$5:$D$1005="jabas")*(MOVIMIENTOS!$A$5:$A$1005&lt;&gt;"")*(MOVIMIENTOS!$A$5:$A$1005&lt;=$A63)*MOVIMIENTOS!$E$5:$E$1005)+SUMPRODUCT((MOVIMIENTOS!$B$5:$B$1005="DEVOLUCIÓN")*(MOVIMIENTOS!$C$5:$C$1005="C")*(MOVIMIENTOS!$D$5:$D$1005="jabas")*(MOVIMIENTOS!$A$5:$A$1005&lt;&gt;"")*(MOVIMIENTOS!$A$5:$A$1005&lt;=$A63)*MOVIMIENTOS!$E$5:$E$1005)-SUMPRODUCT((MOVIMIENTOS!$B$5:$B$1005="TRASIEGO")*(MOVIMIENTOS!$C$5:$C$1005="C")*(MOVIMIENTOS!$D$5:$D$1005="jabas")*(MOVIMIENTOS!$A$5:$A$1005&lt;&gt;"")*(MOVIMIENTOS!$A$5:$A$1005&lt;=$A63)*MOVIMIENTOS!$E$5:$E$1005)-SUMPRODUCT((MOVIMIENTOS!$B$5:$B$1005="REGALO")*(MOVIMIENTOS!$C$5:$C$1005="C")*(MOVIMIENTOS!$D$5:$D$1005="jabas")*(MOVIMIENTOS!$A$5:$A$1005&lt;&gt;"")*(MOVIMIENTOS!$A$5:$A$1005&lt;=$A63)*MOVIMIENTOS!$E$5:$E$1005)-SUMPRODUCT((MOVIMIENTOS!$B$5:$B$1005="VENTA")*(MOVIMIENTOS!$C$5:$C$1005="C")*(MOVIMIENTOS!$D$5:$D$1005="jabas")*(MOVIMIENTOS!$A$5:$A$1005&lt;&gt;"")*(MOVIMIENTOS!$A$5:$A$1005&lt;=$A63)*MOVIMIENTOS!$E$5:$E$1005)+SUMPRODUCT((MOVIMIENTOS!$B$5:$B$1005="AJUSTE")*(MOVIMIENTOS!$C$5:$C$1005="C")*(MOVIMIENTOS!$D$5:$D$1005="jabas")*(MOVIMIENTOS!$A$5:$A$1005&lt;&gt;"")*(MOVIMIENTOS!$A$5:$A$1005&lt;=$A63)*MOVIMIENTOS!$E$5:$E$1005))</f>
        <v/>
      </c>
      <c r="E63" s="65" t="str">
        <f>IF($A63="","",SUMPRODUCT((MOVIMIENTOS!$B$5:$B$1005="SALDO INICIAL")*(MOVIMIENTOS!$C$5:$C$1005="M")*(MOVIMIENTOS!$D$5:$D$1005="jabas")*(MOVIMIENTOS!$A$5:$A$1005&lt;&gt;"")*(MOVIMIENTOS!$A$5:$A$1005&lt;=$A63)*MOVIMIENTOS!$E$5:$E$1005)+SUMPRODUCT((MOVIMIENTOS!$B$5:$B$1005="PROCESO")*(MOVIMIENTOS!$C$5:$C$1005="M")*(MOVIMIENTOS!$D$5:$D$1005="jabas")*(MOVIMIENTOS!$A$5:$A$1005&lt;&gt;"")*(MOVIMIENTOS!$A$5:$A$1005&lt;=$A63)*MOVIMIENTOS!$E$5:$E$1005)-SUMPRODUCT((MOVIMIENTOS!$B$5:$B$1005="ENVÍO A SUPESA")*(MOVIMIENTOS!$C$5:$C$1005="M")*(MOVIMIENTOS!$D$5:$D$1005="jabas")*(MOVIMIENTOS!$A$5:$A$1005&lt;&gt;"")*(MOVIMIENTOS!$A$5:$A$1005&lt;=$A63)*MOVIMIENTOS!$E$5:$E$1005)+SUMPRODUCT((MOVIMIENTOS!$B$5:$B$1005="DEVOLUCIÓN")*(MOVIMIENTOS!$C$5:$C$1005="M")*(MOVIMIENTOS!$D$5:$D$1005="jabas")*(MOVIMIENTOS!$A$5:$A$1005&lt;&gt;"")*(MOVIMIENTOS!$A$5:$A$1005&lt;=$A63)*MOVIMIENTOS!$E$5:$E$1005)-SUMPRODUCT((MOVIMIENTOS!$B$5:$B$1005="TRASIEGO")*(MOVIMIENTOS!$C$5:$C$1005="M")*(MOVIMIENTOS!$D$5:$D$1005="jabas")*(MOVIMIENTOS!$A$5:$A$1005&lt;&gt;"")*(MOVIMIENTOS!$A$5:$A$1005&lt;=$A63)*MOVIMIENTOS!$E$5:$E$1005)-SUMPRODUCT((MOVIMIENTOS!$B$5:$B$1005="REGALO")*(MOVIMIENTOS!$C$5:$C$1005="M")*(MOVIMIENTOS!$D$5:$D$1005="jabas")*(MOVIMIENTOS!$A$5:$A$1005&lt;&gt;"")*(MOVIMIENTOS!$A$5:$A$1005&lt;=$A63)*MOVIMIENTOS!$E$5:$E$1005)-SUMPRODUCT((MOVIMIENTOS!$B$5:$B$1005="VENTA")*(MOVIMIENTOS!$C$5:$C$1005="M")*(MOVIMIENTOS!$D$5:$D$1005="jabas")*(MOVIMIENTOS!$A$5:$A$1005&lt;&gt;"")*(MOVIMIENTOS!$A$5:$A$1005&lt;=$A63)*MOVIMIENTOS!$E$5:$E$1005)+SUMPRODUCT((MOVIMIENTOS!$B$5:$B$1005="AJUSTE")*(MOVIMIENTOS!$C$5:$C$1005="M")*(MOVIMIENTOS!$D$5:$D$1005="jabas")*(MOVIMIENTOS!$A$5:$A$1005&lt;&gt;"")*(MOVIMIENTOS!$A$5:$A$1005&lt;=$A63)*MOVIMIENTOS!$E$5:$E$1005))</f>
        <v/>
      </c>
      <c r="F63" s="65" t="str">
        <f>IF($A63="","",SUMPRODUCT((MOVIMIENTOS!$B$5:$B$1005="SALDO INICIAL")*(MOVIMIENTOS!$C$5:$C$1005="Chancho")*(MOVIMIENTOS!$D$5:$D$1005="sacos")*(MOVIMIENTOS!$A$5:$A$1005&lt;&gt;"")*(MOVIMIENTOS!$A$5:$A$1005&lt;=$A63)*MOVIMIENTOS!$E$5:$E$1005)+SUMPRODUCT((MOVIMIENTOS!$B$5:$B$1005="PROCESO")*(MOVIMIENTOS!$C$5:$C$1005="Chancho")*(MOVIMIENTOS!$D$5:$D$1005="sacos")*(MOVIMIENTOS!$A$5:$A$1005&lt;&gt;"")*(MOVIMIENTOS!$A$5:$A$1005&lt;=$A63)*MOVIMIENTOS!$E$5:$E$1005)-SUMPRODUCT((MOVIMIENTOS!$B$5:$B$1005="VENTA CHANCHO")*(MOVIMIENTOS!$C$5:$C$1005="Chancho")*(MOVIMIENTOS!$D$5:$D$1005="sacos")*(MOVIMIENTOS!$A$5:$A$1005&lt;&gt;"")*(MOVIMIENTOS!$A$5:$A$1005&lt;=$A63)*MOVIMIENTOS!$E$5:$E$1005)-SUMPRODUCT((MOVIMIENTOS!$B$5:$B$1005="REGALO")*(MOVIMIENTOS!$C$5:$C$1005="Chancho")*(MOVIMIENTOS!$D$5:$D$1005="sacos")*(MOVIMIENTOS!$A$5:$A$1005&lt;&gt;"")*(MOVIMIENTOS!$A$5:$A$1005&lt;=$A63)*MOVIMIENTOS!$E$5:$E$1005)-SUMPRODUCT((MOVIMIENTOS!$B$5:$B$1005="VENTA")*(MOVIMIENTOS!$C$5:$C$1005="Chancho")*(MOVIMIENTOS!$D$5:$D$1005="sacos")*(MOVIMIENTOS!$A$5:$A$1005&lt;&gt;"")*(MOVIMIENTOS!$A$5:$A$1005&lt;=$A63)*MOVIMIENTOS!$E$5:$E$1005)+SUMPRODUCT((MOVIMIENTOS!$B$5:$B$1005="AJUSTE")*(MOVIMIENTOS!$C$5:$C$1005="Chancho")*(MOVIMIENTOS!$D$5:$D$1005="sacos")*(MOVIMIENTOS!$A$5:$A$1005&lt;&gt;"")*(MOVIMIENTOS!$A$5:$A$1005&lt;=$A63)*MOVIMIENTOS!$E$5:$E$1005))</f>
        <v/>
      </c>
      <c r="G63" s="77" t="str">
        <f t="shared" si="1"/>
        <v/>
      </c>
      <c r="H63" s="65" t="str">
        <f>IF($A63="","",SUMPRODUCT((((MOVIMIENTOS!$B$5:$B$1005="SALDO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63)*MOVIMIENTOS!$J$5:$J$1005))</f>
        <v/>
      </c>
      <c r="I63" s="63"/>
      <c r="J63" s="63" t="str">
        <f>IF(AND(MOVIMIENTOS!$A63&lt;&gt;"",COUNTIF(MOVIMIENTOS!$A$5:$A62,MOVIMIENTOS!$A63)=0),COUNT(J$4:J62)+1,"")</f>
        <v/>
      </c>
      <c r="K63" s="66">
        <f>MOVIMIENTOS!$A63</f>
        <v>46220</v>
      </c>
      <c r="L63" s="63"/>
      <c r="M63" s="63"/>
      <c r="N63" s="63"/>
    </row>
    <row r="64" spans="1:14" ht="15" customHeight="1" x14ac:dyDescent="0.2">
      <c r="A64" s="64" t="str">
        <f t="shared" si="0"/>
        <v/>
      </c>
      <c r="B64" s="65" t="str">
        <f>IF($A64="","",SUMPRODUCT((MOVIMIENTOS!$B$5:$B$1005="SALDO INICIAL")*(MOVIMIENTOS!$C$5:$C$1005="A")*(MOVIMIENTOS!$D$5:$D$1005="jabas")*(MOVIMIENTOS!$A$5:$A$1005&lt;&gt;"")*(MOVIMIENTOS!$A$5:$A$1005&lt;=$A64)*MOVIMIENTOS!$E$5:$E$1005)+SUMPRODUCT((MOVIMIENTOS!$B$5:$B$1005="PROCESO")*(MOVIMIENTOS!$C$5:$C$1005="A")*(MOVIMIENTOS!$D$5:$D$1005="jabas")*(MOVIMIENTOS!$A$5:$A$1005&lt;&gt;"")*(MOVIMIENTOS!$A$5:$A$1005&lt;=$A64)*MOVIMIENTOS!$E$5:$E$1005)-SUMPRODUCT((MOVIMIENTOS!$B$5:$B$1005="ENVÍO A SUPESA")*(MOVIMIENTOS!$C$5:$C$1005="A")*(MOVIMIENTOS!$D$5:$D$1005="jabas")*(MOVIMIENTOS!$A$5:$A$1005&lt;&gt;"")*(MOVIMIENTOS!$A$5:$A$1005&lt;=$A64)*MOVIMIENTOS!$E$5:$E$1005)+SUMPRODUCT((MOVIMIENTOS!$B$5:$B$1005="DEVOLUCIÓN")*(MOVIMIENTOS!$C$5:$C$1005="A")*(MOVIMIENTOS!$D$5:$D$1005="jabas")*(MOVIMIENTOS!$A$5:$A$1005&lt;&gt;"")*(MOVIMIENTOS!$A$5:$A$1005&lt;=$A64)*MOVIMIENTOS!$E$5:$E$1005)-SUMPRODUCT((MOVIMIENTOS!$B$5:$B$1005="TRASIEGO")*(MOVIMIENTOS!$C$5:$C$1005="A")*(MOVIMIENTOS!$D$5:$D$1005="jabas")*(MOVIMIENTOS!$A$5:$A$1005&lt;&gt;"")*(MOVIMIENTOS!$A$5:$A$1005&lt;=$A64)*MOVIMIENTOS!$E$5:$E$1005)-SUMPRODUCT((MOVIMIENTOS!$B$5:$B$1005="REGALO")*(MOVIMIENTOS!$C$5:$C$1005="A")*(MOVIMIENTOS!$D$5:$D$1005="jabas")*(MOVIMIENTOS!$A$5:$A$1005&lt;&gt;"")*(MOVIMIENTOS!$A$5:$A$1005&lt;=$A64)*MOVIMIENTOS!$E$5:$E$1005)-SUMPRODUCT((MOVIMIENTOS!$B$5:$B$1005="VENTA")*(MOVIMIENTOS!$C$5:$C$1005="A")*(MOVIMIENTOS!$D$5:$D$1005="jabas")*(MOVIMIENTOS!$A$5:$A$1005&lt;&gt;"")*(MOVIMIENTOS!$A$5:$A$1005&lt;=$A64)*MOVIMIENTOS!$E$5:$E$1005)+SUMPRODUCT((MOVIMIENTOS!$B$5:$B$1005="AJUSTE")*(MOVIMIENTOS!$C$5:$C$1005="A")*(MOVIMIENTOS!$D$5:$D$1005="jabas")*(MOVIMIENTOS!$A$5:$A$1005&lt;&gt;"")*(MOVIMIENTOS!$A$5:$A$1005&lt;=$A64)*MOVIMIENTOS!$E$5:$E$1005))</f>
        <v/>
      </c>
      <c r="C64" s="65" t="str">
        <f>IF($A64="","",SUMPRODUCT((MOVIMIENTOS!$B$5:$B$1005="SALDO INICIAL")*(MOVIMIENTOS!$C$5:$C$1005="P")*(MOVIMIENTOS!$D$5:$D$1005="jabas")*(MOVIMIENTOS!$A$5:$A$1005&lt;&gt;"")*(MOVIMIENTOS!$A$5:$A$1005&lt;=$A64)*MOVIMIENTOS!$E$5:$E$1005)+SUMPRODUCT((MOVIMIENTOS!$B$5:$B$1005="PROCESO")*(MOVIMIENTOS!$C$5:$C$1005="P")*(MOVIMIENTOS!$D$5:$D$1005="jabas")*(MOVIMIENTOS!$A$5:$A$1005&lt;&gt;"")*(MOVIMIENTOS!$A$5:$A$1005&lt;=$A64)*MOVIMIENTOS!$E$5:$E$1005)-SUMPRODUCT((MOVIMIENTOS!$B$5:$B$1005="ENVÍO A SUPESA")*(MOVIMIENTOS!$C$5:$C$1005="P")*(MOVIMIENTOS!$D$5:$D$1005="jabas")*(MOVIMIENTOS!$A$5:$A$1005&lt;&gt;"")*(MOVIMIENTOS!$A$5:$A$1005&lt;=$A64)*MOVIMIENTOS!$E$5:$E$1005)+SUMPRODUCT((MOVIMIENTOS!$B$5:$B$1005="DEVOLUCIÓN")*(MOVIMIENTOS!$C$5:$C$1005="P")*(MOVIMIENTOS!$D$5:$D$1005="jabas")*(MOVIMIENTOS!$A$5:$A$1005&lt;&gt;"")*(MOVIMIENTOS!$A$5:$A$1005&lt;=$A64)*MOVIMIENTOS!$E$5:$E$1005)-SUMPRODUCT((MOVIMIENTOS!$B$5:$B$1005="TRASIEGO")*(MOVIMIENTOS!$C$5:$C$1005="P")*(MOVIMIENTOS!$D$5:$D$1005="jabas")*(MOVIMIENTOS!$A$5:$A$1005&lt;&gt;"")*(MOVIMIENTOS!$A$5:$A$1005&lt;=$A64)*MOVIMIENTOS!$E$5:$E$1005)-SUMPRODUCT((MOVIMIENTOS!$B$5:$B$1005="REGALO")*(MOVIMIENTOS!$C$5:$C$1005="P")*(MOVIMIENTOS!$D$5:$D$1005="jabas")*(MOVIMIENTOS!$A$5:$A$1005&lt;&gt;"")*(MOVIMIENTOS!$A$5:$A$1005&lt;=$A64)*MOVIMIENTOS!$E$5:$E$1005)-SUMPRODUCT((MOVIMIENTOS!$B$5:$B$1005="VENTA")*(MOVIMIENTOS!$C$5:$C$1005="P")*(MOVIMIENTOS!$D$5:$D$1005="jabas")*(MOVIMIENTOS!$A$5:$A$1005&lt;&gt;"")*(MOVIMIENTOS!$A$5:$A$1005&lt;=$A64)*MOVIMIENTOS!$E$5:$E$1005)+SUMPRODUCT((MOVIMIENTOS!$B$5:$B$1005="AJUSTE")*(MOVIMIENTOS!$C$5:$C$1005="P")*(MOVIMIENTOS!$D$5:$D$1005="jabas")*(MOVIMIENTOS!$A$5:$A$1005&lt;&gt;"")*(MOVIMIENTOS!$A$5:$A$1005&lt;=$A64)*MOVIMIENTOS!$E$5:$E$1005))</f>
        <v/>
      </c>
      <c r="D64" s="65" t="str">
        <f>IF($A64="","",SUMPRODUCT((MOVIMIENTOS!$B$5:$B$1005="SALDO INICIAL")*(MOVIMIENTOS!$C$5:$C$1005="C")*(MOVIMIENTOS!$D$5:$D$1005="jabas")*(MOVIMIENTOS!$A$5:$A$1005&lt;&gt;"")*(MOVIMIENTOS!$A$5:$A$1005&lt;=$A64)*MOVIMIENTOS!$E$5:$E$1005)+SUMPRODUCT((MOVIMIENTOS!$B$5:$B$1005="PROCESO")*(MOVIMIENTOS!$C$5:$C$1005="C")*(MOVIMIENTOS!$D$5:$D$1005="jabas")*(MOVIMIENTOS!$A$5:$A$1005&lt;&gt;"")*(MOVIMIENTOS!$A$5:$A$1005&lt;=$A64)*MOVIMIENTOS!$E$5:$E$1005)-SUMPRODUCT((MOVIMIENTOS!$B$5:$B$1005="ENVÍO A SUPESA")*(MOVIMIENTOS!$C$5:$C$1005="C")*(MOVIMIENTOS!$D$5:$D$1005="jabas")*(MOVIMIENTOS!$A$5:$A$1005&lt;&gt;"")*(MOVIMIENTOS!$A$5:$A$1005&lt;=$A64)*MOVIMIENTOS!$E$5:$E$1005)+SUMPRODUCT((MOVIMIENTOS!$B$5:$B$1005="DEVOLUCIÓN")*(MOVIMIENTOS!$C$5:$C$1005="C")*(MOVIMIENTOS!$D$5:$D$1005="jabas")*(MOVIMIENTOS!$A$5:$A$1005&lt;&gt;"")*(MOVIMIENTOS!$A$5:$A$1005&lt;=$A64)*MOVIMIENTOS!$E$5:$E$1005)-SUMPRODUCT((MOVIMIENTOS!$B$5:$B$1005="TRASIEGO")*(MOVIMIENTOS!$C$5:$C$1005="C")*(MOVIMIENTOS!$D$5:$D$1005="jabas")*(MOVIMIENTOS!$A$5:$A$1005&lt;&gt;"")*(MOVIMIENTOS!$A$5:$A$1005&lt;=$A64)*MOVIMIENTOS!$E$5:$E$1005)-SUMPRODUCT((MOVIMIENTOS!$B$5:$B$1005="REGALO")*(MOVIMIENTOS!$C$5:$C$1005="C")*(MOVIMIENTOS!$D$5:$D$1005="jabas")*(MOVIMIENTOS!$A$5:$A$1005&lt;&gt;"")*(MOVIMIENTOS!$A$5:$A$1005&lt;=$A64)*MOVIMIENTOS!$E$5:$E$1005)-SUMPRODUCT((MOVIMIENTOS!$B$5:$B$1005="VENTA")*(MOVIMIENTOS!$C$5:$C$1005="C")*(MOVIMIENTOS!$D$5:$D$1005="jabas")*(MOVIMIENTOS!$A$5:$A$1005&lt;&gt;"")*(MOVIMIENTOS!$A$5:$A$1005&lt;=$A64)*MOVIMIENTOS!$E$5:$E$1005)+SUMPRODUCT((MOVIMIENTOS!$B$5:$B$1005="AJUSTE")*(MOVIMIENTOS!$C$5:$C$1005="C")*(MOVIMIENTOS!$D$5:$D$1005="jabas")*(MOVIMIENTOS!$A$5:$A$1005&lt;&gt;"")*(MOVIMIENTOS!$A$5:$A$1005&lt;=$A64)*MOVIMIENTOS!$E$5:$E$1005))</f>
        <v/>
      </c>
      <c r="E64" s="65" t="str">
        <f>IF($A64="","",SUMPRODUCT((MOVIMIENTOS!$B$5:$B$1005="SALDO INICIAL")*(MOVIMIENTOS!$C$5:$C$1005="M")*(MOVIMIENTOS!$D$5:$D$1005="jabas")*(MOVIMIENTOS!$A$5:$A$1005&lt;&gt;"")*(MOVIMIENTOS!$A$5:$A$1005&lt;=$A64)*MOVIMIENTOS!$E$5:$E$1005)+SUMPRODUCT((MOVIMIENTOS!$B$5:$B$1005="PROCESO")*(MOVIMIENTOS!$C$5:$C$1005="M")*(MOVIMIENTOS!$D$5:$D$1005="jabas")*(MOVIMIENTOS!$A$5:$A$1005&lt;&gt;"")*(MOVIMIENTOS!$A$5:$A$1005&lt;=$A64)*MOVIMIENTOS!$E$5:$E$1005)-SUMPRODUCT((MOVIMIENTOS!$B$5:$B$1005="ENVÍO A SUPESA")*(MOVIMIENTOS!$C$5:$C$1005="M")*(MOVIMIENTOS!$D$5:$D$1005="jabas")*(MOVIMIENTOS!$A$5:$A$1005&lt;&gt;"")*(MOVIMIENTOS!$A$5:$A$1005&lt;=$A64)*MOVIMIENTOS!$E$5:$E$1005)+SUMPRODUCT((MOVIMIENTOS!$B$5:$B$1005="DEVOLUCIÓN")*(MOVIMIENTOS!$C$5:$C$1005="M")*(MOVIMIENTOS!$D$5:$D$1005="jabas")*(MOVIMIENTOS!$A$5:$A$1005&lt;&gt;"")*(MOVIMIENTOS!$A$5:$A$1005&lt;=$A64)*MOVIMIENTOS!$E$5:$E$1005)-SUMPRODUCT((MOVIMIENTOS!$B$5:$B$1005="TRASIEGO")*(MOVIMIENTOS!$C$5:$C$1005="M")*(MOVIMIENTOS!$D$5:$D$1005="jabas")*(MOVIMIENTOS!$A$5:$A$1005&lt;&gt;"")*(MOVIMIENTOS!$A$5:$A$1005&lt;=$A64)*MOVIMIENTOS!$E$5:$E$1005)-SUMPRODUCT((MOVIMIENTOS!$B$5:$B$1005="REGALO")*(MOVIMIENTOS!$C$5:$C$1005="M")*(MOVIMIENTOS!$D$5:$D$1005="jabas")*(MOVIMIENTOS!$A$5:$A$1005&lt;&gt;"")*(MOVIMIENTOS!$A$5:$A$1005&lt;=$A64)*MOVIMIENTOS!$E$5:$E$1005)-SUMPRODUCT((MOVIMIENTOS!$B$5:$B$1005="VENTA")*(MOVIMIENTOS!$C$5:$C$1005="M")*(MOVIMIENTOS!$D$5:$D$1005="jabas")*(MOVIMIENTOS!$A$5:$A$1005&lt;&gt;"")*(MOVIMIENTOS!$A$5:$A$1005&lt;=$A64)*MOVIMIENTOS!$E$5:$E$1005)+SUMPRODUCT((MOVIMIENTOS!$B$5:$B$1005="AJUSTE")*(MOVIMIENTOS!$C$5:$C$1005="M")*(MOVIMIENTOS!$D$5:$D$1005="jabas")*(MOVIMIENTOS!$A$5:$A$1005&lt;&gt;"")*(MOVIMIENTOS!$A$5:$A$1005&lt;=$A64)*MOVIMIENTOS!$E$5:$E$1005))</f>
        <v/>
      </c>
      <c r="F64" s="65" t="str">
        <f>IF($A64="","",SUMPRODUCT((MOVIMIENTOS!$B$5:$B$1005="SALDO INICIAL")*(MOVIMIENTOS!$C$5:$C$1005="Chancho")*(MOVIMIENTOS!$D$5:$D$1005="sacos")*(MOVIMIENTOS!$A$5:$A$1005&lt;&gt;"")*(MOVIMIENTOS!$A$5:$A$1005&lt;=$A64)*MOVIMIENTOS!$E$5:$E$1005)+SUMPRODUCT((MOVIMIENTOS!$B$5:$B$1005="PROCESO")*(MOVIMIENTOS!$C$5:$C$1005="Chancho")*(MOVIMIENTOS!$D$5:$D$1005="sacos")*(MOVIMIENTOS!$A$5:$A$1005&lt;&gt;"")*(MOVIMIENTOS!$A$5:$A$1005&lt;=$A64)*MOVIMIENTOS!$E$5:$E$1005)-SUMPRODUCT((MOVIMIENTOS!$B$5:$B$1005="VENTA CHANCHO")*(MOVIMIENTOS!$C$5:$C$1005="Chancho")*(MOVIMIENTOS!$D$5:$D$1005="sacos")*(MOVIMIENTOS!$A$5:$A$1005&lt;&gt;"")*(MOVIMIENTOS!$A$5:$A$1005&lt;=$A64)*MOVIMIENTOS!$E$5:$E$1005)-SUMPRODUCT((MOVIMIENTOS!$B$5:$B$1005="REGALO")*(MOVIMIENTOS!$C$5:$C$1005="Chancho")*(MOVIMIENTOS!$D$5:$D$1005="sacos")*(MOVIMIENTOS!$A$5:$A$1005&lt;&gt;"")*(MOVIMIENTOS!$A$5:$A$1005&lt;=$A64)*MOVIMIENTOS!$E$5:$E$1005)-SUMPRODUCT((MOVIMIENTOS!$B$5:$B$1005="VENTA")*(MOVIMIENTOS!$C$5:$C$1005="Chancho")*(MOVIMIENTOS!$D$5:$D$1005="sacos")*(MOVIMIENTOS!$A$5:$A$1005&lt;&gt;"")*(MOVIMIENTOS!$A$5:$A$1005&lt;=$A64)*MOVIMIENTOS!$E$5:$E$1005)+SUMPRODUCT((MOVIMIENTOS!$B$5:$B$1005="AJUSTE")*(MOVIMIENTOS!$C$5:$C$1005="Chancho")*(MOVIMIENTOS!$D$5:$D$1005="sacos")*(MOVIMIENTOS!$A$5:$A$1005&lt;&gt;"")*(MOVIMIENTOS!$A$5:$A$1005&lt;=$A64)*MOVIMIENTOS!$E$5:$E$1005))</f>
        <v/>
      </c>
      <c r="G64" s="77" t="str">
        <f t="shared" si="1"/>
        <v/>
      </c>
      <c r="H64" s="65" t="str">
        <f>IF($A64="","",SUMPRODUCT((((MOVIMIENTOS!$B$5:$B$1005="SALDO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64)*MOVIMIENTOS!$J$5:$J$1005))</f>
        <v/>
      </c>
      <c r="I64" s="63"/>
      <c r="J64" s="63" t="str">
        <f>IF(AND(MOVIMIENTOS!$A64&lt;&gt;"",COUNTIF(MOVIMIENTOS!$A$5:$A63,MOVIMIENTOS!$A64)=0),COUNT(J$4:J63)+1,"")</f>
        <v/>
      </c>
      <c r="K64" s="66">
        <f>MOVIMIENTOS!$A64</f>
        <v>46220</v>
      </c>
      <c r="L64" s="63"/>
      <c r="M64" s="63"/>
      <c r="N64" s="63"/>
    </row>
    <row r="65" spans="1:14" ht="15" customHeight="1" x14ac:dyDescent="0.2">
      <c r="A65" s="64" t="str">
        <f t="shared" si="0"/>
        <v/>
      </c>
      <c r="B65" s="65" t="str">
        <f>IF($A65="","",SUMPRODUCT((MOVIMIENTOS!$B$5:$B$1005="SALDO INICIAL")*(MOVIMIENTOS!$C$5:$C$1005="A")*(MOVIMIENTOS!$D$5:$D$1005="jabas")*(MOVIMIENTOS!$A$5:$A$1005&lt;&gt;"")*(MOVIMIENTOS!$A$5:$A$1005&lt;=$A65)*MOVIMIENTOS!$E$5:$E$1005)+SUMPRODUCT((MOVIMIENTOS!$B$5:$B$1005="PROCESO")*(MOVIMIENTOS!$C$5:$C$1005="A")*(MOVIMIENTOS!$D$5:$D$1005="jabas")*(MOVIMIENTOS!$A$5:$A$1005&lt;&gt;"")*(MOVIMIENTOS!$A$5:$A$1005&lt;=$A65)*MOVIMIENTOS!$E$5:$E$1005)-SUMPRODUCT((MOVIMIENTOS!$B$5:$B$1005="ENVÍO A SUPESA")*(MOVIMIENTOS!$C$5:$C$1005="A")*(MOVIMIENTOS!$D$5:$D$1005="jabas")*(MOVIMIENTOS!$A$5:$A$1005&lt;&gt;"")*(MOVIMIENTOS!$A$5:$A$1005&lt;=$A65)*MOVIMIENTOS!$E$5:$E$1005)+SUMPRODUCT((MOVIMIENTOS!$B$5:$B$1005="DEVOLUCIÓN")*(MOVIMIENTOS!$C$5:$C$1005="A")*(MOVIMIENTOS!$D$5:$D$1005="jabas")*(MOVIMIENTOS!$A$5:$A$1005&lt;&gt;"")*(MOVIMIENTOS!$A$5:$A$1005&lt;=$A65)*MOVIMIENTOS!$E$5:$E$1005)-SUMPRODUCT((MOVIMIENTOS!$B$5:$B$1005="TRASIEGO")*(MOVIMIENTOS!$C$5:$C$1005="A")*(MOVIMIENTOS!$D$5:$D$1005="jabas")*(MOVIMIENTOS!$A$5:$A$1005&lt;&gt;"")*(MOVIMIENTOS!$A$5:$A$1005&lt;=$A65)*MOVIMIENTOS!$E$5:$E$1005)-SUMPRODUCT((MOVIMIENTOS!$B$5:$B$1005="REGALO")*(MOVIMIENTOS!$C$5:$C$1005="A")*(MOVIMIENTOS!$D$5:$D$1005="jabas")*(MOVIMIENTOS!$A$5:$A$1005&lt;&gt;"")*(MOVIMIENTOS!$A$5:$A$1005&lt;=$A65)*MOVIMIENTOS!$E$5:$E$1005)-SUMPRODUCT((MOVIMIENTOS!$B$5:$B$1005="VENTA")*(MOVIMIENTOS!$C$5:$C$1005="A")*(MOVIMIENTOS!$D$5:$D$1005="jabas")*(MOVIMIENTOS!$A$5:$A$1005&lt;&gt;"")*(MOVIMIENTOS!$A$5:$A$1005&lt;=$A65)*MOVIMIENTOS!$E$5:$E$1005)+SUMPRODUCT((MOVIMIENTOS!$B$5:$B$1005="AJUSTE")*(MOVIMIENTOS!$C$5:$C$1005="A")*(MOVIMIENTOS!$D$5:$D$1005="jabas")*(MOVIMIENTOS!$A$5:$A$1005&lt;&gt;"")*(MOVIMIENTOS!$A$5:$A$1005&lt;=$A65)*MOVIMIENTOS!$E$5:$E$1005))</f>
        <v/>
      </c>
      <c r="C65" s="65" t="str">
        <f>IF($A65="","",SUMPRODUCT((MOVIMIENTOS!$B$5:$B$1005="SALDO INICIAL")*(MOVIMIENTOS!$C$5:$C$1005="P")*(MOVIMIENTOS!$D$5:$D$1005="jabas")*(MOVIMIENTOS!$A$5:$A$1005&lt;&gt;"")*(MOVIMIENTOS!$A$5:$A$1005&lt;=$A65)*MOVIMIENTOS!$E$5:$E$1005)+SUMPRODUCT((MOVIMIENTOS!$B$5:$B$1005="PROCESO")*(MOVIMIENTOS!$C$5:$C$1005="P")*(MOVIMIENTOS!$D$5:$D$1005="jabas")*(MOVIMIENTOS!$A$5:$A$1005&lt;&gt;"")*(MOVIMIENTOS!$A$5:$A$1005&lt;=$A65)*MOVIMIENTOS!$E$5:$E$1005)-SUMPRODUCT((MOVIMIENTOS!$B$5:$B$1005="ENVÍO A SUPESA")*(MOVIMIENTOS!$C$5:$C$1005="P")*(MOVIMIENTOS!$D$5:$D$1005="jabas")*(MOVIMIENTOS!$A$5:$A$1005&lt;&gt;"")*(MOVIMIENTOS!$A$5:$A$1005&lt;=$A65)*MOVIMIENTOS!$E$5:$E$1005)+SUMPRODUCT((MOVIMIENTOS!$B$5:$B$1005="DEVOLUCIÓN")*(MOVIMIENTOS!$C$5:$C$1005="P")*(MOVIMIENTOS!$D$5:$D$1005="jabas")*(MOVIMIENTOS!$A$5:$A$1005&lt;&gt;"")*(MOVIMIENTOS!$A$5:$A$1005&lt;=$A65)*MOVIMIENTOS!$E$5:$E$1005)-SUMPRODUCT((MOVIMIENTOS!$B$5:$B$1005="TRASIEGO")*(MOVIMIENTOS!$C$5:$C$1005="P")*(MOVIMIENTOS!$D$5:$D$1005="jabas")*(MOVIMIENTOS!$A$5:$A$1005&lt;&gt;"")*(MOVIMIENTOS!$A$5:$A$1005&lt;=$A65)*MOVIMIENTOS!$E$5:$E$1005)-SUMPRODUCT((MOVIMIENTOS!$B$5:$B$1005="REGALO")*(MOVIMIENTOS!$C$5:$C$1005="P")*(MOVIMIENTOS!$D$5:$D$1005="jabas")*(MOVIMIENTOS!$A$5:$A$1005&lt;&gt;"")*(MOVIMIENTOS!$A$5:$A$1005&lt;=$A65)*MOVIMIENTOS!$E$5:$E$1005)-SUMPRODUCT((MOVIMIENTOS!$B$5:$B$1005="VENTA")*(MOVIMIENTOS!$C$5:$C$1005="P")*(MOVIMIENTOS!$D$5:$D$1005="jabas")*(MOVIMIENTOS!$A$5:$A$1005&lt;&gt;"")*(MOVIMIENTOS!$A$5:$A$1005&lt;=$A65)*MOVIMIENTOS!$E$5:$E$1005)+SUMPRODUCT((MOVIMIENTOS!$B$5:$B$1005="AJUSTE")*(MOVIMIENTOS!$C$5:$C$1005="P")*(MOVIMIENTOS!$D$5:$D$1005="jabas")*(MOVIMIENTOS!$A$5:$A$1005&lt;&gt;"")*(MOVIMIENTOS!$A$5:$A$1005&lt;=$A65)*MOVIMIENTOS!$E$5:$E$1005))</f>
        <v/>
      </c>
      <c r="D65" s="65" t="str">
        <f>IF($A65="","",SUMPRODUCT((MOVIMIENTOS!$B$5:$B$1005="SALDO INICIAL")*(MOVIMIENTOS!$C$5:$C$1005="C")*(MOVIMIENTOS!$D$5:$D$1005="jabas")*(MOVIMIENTOS!$A$5:$A$1005&lt;&gt;"")*(MOVIMIENTOS!$A$5:$A$1005&lt;=$A65)*MOVIMIENTOS!$E$5:$E$1005)+SUMPRODUCT((MOVIMIENTOS!$B$5:$B$1005="PROCESO")*(MOVIMIENTOS!$C$5:$C$1005="C")*(MOVIMIENTOS!$D$5:$D$1005="jabas")*(MOVIMIENTOS!$A$5:$A$1005&lt;&gt;"")*(MOVIMIENTOS!$A$5:$A$1005&lt;=$A65)*MOVIMIENTOS!$E$5:$E$1005)-SUMPRODUCT((MOVIMIENTOS!$B$5:$B$1005="ENVÍO A SUPESA")*(MOVIMIENTOS!$C$5:$C$1005="C")*(MOVIMIENTOS!$D$5:$D$1005="jabas")*(MOVIMIENTOS!$A$5:$A$1005&lt;&gt;"")*(MOVIMIENTOS!$A$5:$A$1005&lt;=$A65)*MOVIMIENTOS!$E$5:$E$1005)+SUMPRODUCT((MOVIMIENTOS!$B$5:$B$1005="DEVOLUCIÓN")*(MOVIMIENTOS!$C$5:$C$1005="C")*(MOVIMIENTOS!$D$5:$D$1005="jabas")*(MOVIMIENTOS!$A$5:$A$1005&lt;&gt;"")*(MOVIMIENTOS!$A$5:$A$1005&lt;=$A65)*MOVIMIENTOS!$E$5:$E$1005)-SUMPRODUCT((MOVIMIENTOS!$B$5:$B$1005="TRASIEGO")*(MOVIMIENTOS!$C$5:$C$1005="C")*(MOVIMIENTOS!$D$5:$D$1005="jabas")*(MOVIMIENTOS!$A$5:$A$1005&lt;&gt;"")*(MOVIMIENTOS!$A$5:$A$1005&lt;=$A65)*MOVIMIENTOS!$E$5:$E$1005)-SUMPRODUCT((MOVIMIENTOS!$B$5:$B$1005="REGALO")*(MOVIMIENTOS!$C$5:$C$1005="C")*(MOVIMIENTOS!$D$5:$D$1005="jabas")*(MOVIMIENTOS!$A$5:$A$1005&lt;&gt;"")*(MOVIMIENTOS!$A$5:$A$1005&lt;=$A65)*MOVIMIENTOS!$E$5:$E$1005)-SUMPRODUCT((MOVIMIENTOS!$B$5:$B$1005="VENTA")*(MOVIMIENTOS!$C$5:$C$1005="C")*(MOVIMIENTOS!$D$5:$D$1005="jabas")*(MOVIMIENTOS!$A$5:$A$1005&lt;&gt;"")*(MOVIMIENTOS!$A$5:$A$1005&lt;=$A65)*MOVIMIENTOS!$E$5:$E$1005)+SUMPRODUCT((MOVIMIENTOS!$B$5:$B$1005="AJUSTE")*(MOVIMIENTOS!$C$5:$C$1005="C")*(MOVIMIENTOS!$D$5:$D$1005="jabas")*(MOVIMIENTOS!$A$5:$A$1005&lt;&gt;"")*(MOVIMIENTOS!$A$5:$A$1005&lt;=$A65)*MOVIMIENTOS!$E$5:$E$1005))</f>
        <v/>
      </c>
      <c r="E65" s="65" t="str">
        <f>IF($A65="","",SUMPRODUCT((MOVIMIENTOS!$B$5:$B$1005="SALDO INICIAL")*(MOVIMIENTOS!$C$5:$C$1005="M")*(MOVIMIENTOS!$D$5:$D$1005="jabas")*(MOVIMIENTOS!$A$5:$A$1005&lt;&gt;"")*(MOVIMIENTOS!$A$5:$A$1005&lt;=$A65)*MOVIMIENTOS!$E$5:$E$1005)+SUMPRODUCT((MOVIMIENTOS!$B$5:$B$1005="PROCESO")*(MOVIMIENTOS!$C$5:$C$1005="M")*(MOVIMIENTOS!$D$5:$D$1005="jabas")*(MOVIMIENTOS!$A$5:$A$1005&lt;&gt;"")*(MOVIMIENTOS!$A$5:$A$1005&lt;=$A65)*MOVIMIENTOS!$E$5:$E$1005)-SUMPRODUCT((MOVIMIENTOS!$B$5:$B$1005="ENVÍO A SUPESA")*(MOVIMIENTOS!$C$5:$C$1005="M")*(MOVIMIENTOS!$D$5:$D$1005="jabas")*(MOVIMIENTOS!$A$5:$A$1005&lt;&gt;"")*(MOVIMIENTOS!$A$5:$A$1005&lt;=$A65)*MOVIMIENTOS!$E$5:$E$1005)+SUMPRODUCT((MOVIMIENTOS!$B$5:$B$1005="DEVOLUCIÓN")*(MOVIMIENTOS!$C$5:$C$1005="M")*(MOVIMIENTOS!$D$5:$D$1005="jabas")*(MOVIMIENTOS!$A$5:$A$1005&lt;&gt;"")*(MOVIMIENTOS!$A$5:$A$1005&lt;=$A65)*MOVIMIENTOS!$E$5:$E$1005)-SUMPRODUCT((MOVIMIENTOS!$B$5:$B$1005="TRASIEGO")*(MOVIMIENTOS!$C$5:$C$1005="M")*(MOVIMIENTOS!$D$5:$D$1005="jabas")*(MOVIMIENTOS!$A$5:$A$1005&lt;&gt;"")*(MOVIMIENTOS!$A$5:$A$1005&lt;=$A65)*MOVIMIENTOS!$E$5:$E$1005)-SUMPRODUCT((MOVIMIENTOS!$B$5:$B$1005="REGALO")*(MOVIMIENTOS!$C$5:$C$1005="M")*(MOVIMIENTOS!$D$5:$D$1005="jabas")*(MOVIMIENTOS!$A$5:$A$1005&lt;&gt;"")*(MOVIMIENTOS!$A$5:$A$1005&lt;=$A65)*MOVIMIENTOS!$E$5:$E$1005)-SUMPRODUCT((MOVIMIENTOS!$B$5:$B$1005="VENTA")*(MOVIMIENTOS!$C$5:$C$1005="M")*(MOVIMIENTOS!$D$5:$D$1005="jabas")*(MOVIMIENTOS!$A$5:$A$1005&lt;&gt;"")*(MOVIMIENTOS!$A$5:$A$1005&lt;=$A65)*MOVIMIENTOS!$E$5:$E$1005)+SUMPRODUCT((MOVIMIENTOS!$B$5:$B$1005="AJUSTE")*(MOVIMIENTOS!$C$5:$C$1005="M")*(MOVIMIENTOS!$D$5:$D$1005="jabas")*(MOVIMIENTOS!$A$5:$A$1005&lt;&gt;"")*(MOVIMIENTOS!$A$5:$A$1005&lt;=$A65)*MOVIMIENTOS!$E$5:$E$1005))</f>
        <v/>
      </c>
      <c r="F65" s="65" t="str">
        <f>IF($A65="","",SUMPRODUCT((MOVIMIENTOS!$B$5:$B$1005="SALDO INICIAL")*(MOVIMIENTOS!$C$5:$C$1005="Chancho")*(MOVIMIENTOS!$D$5:$D$1005="sacos")*(MOVIMIENTOS!$A$5:$A$1005&lt;&gt;"")*(MOVIMIENTOS!$A$5:$A$1005&lt;=$A65)*MOVIMIENTOS!$E$5:$E$1005)+SUMPRODUCT((MOVIMIENTOS!$B$5:$B$1005="PROCESO")*(MOVIMIENTOS!$C$5:$C$1005="Chancho")*(MOVIMIENTOS!$D$5:$D$1005="sacos")*(MOVIMIENTOS!$A$5:$A$1005&lt;&gt;"")*(MOVIMIENTOS!$A$5:$A$1005&lt;=$A65)*MOVIMIENTOS!$E$5:$E$1005)-SUMPRODUCT((MOVIMIENTOS!$B$5:$B$1005="VENTA CHANCHO")*(MOVIMIENTOS!$C$5:$C$1005="Chancho")*(MOVIMIENTOS!$D$5:$D$1005="sacos")*(MOVIMIENTOS!$A$5:$A$1005&lt;&gt;"")*(MOVIMIENTOS!$A$5:$A$1005&lt;=$A65)*MOVIMIENTOS!$E$5:$E$1005)-SUMPRODUCT((MOVIMIENTOS!$B$5:$B$1005="REGALO")*(MOVIMIENTOS!$C$5:$C$1005="Chancho")*(MOVIMIENTOS!$D$5:$D$1005="sacos")*(MOVIMIENTOS!$A$5:$A$1005&lt;&gt;"")*(MOVIMIENTOS!$A$5:$A$1005&lt;=$A65)*MOVIMIENTOS!$E$5:$E$1005)-SUMPRODUCT((MOVIMIENTOS!$B$5:$B$1005="VENTA")*(MOVIMIENTOS!$C$5:$C$1005="Chancho")*(MOVIMIENTOS!$D$5:$D$1005="sacos")*(MOVIMIENTOS!$A$5:$A$1005&lt;&gt;"")*(MOVIMIENTOS!$A$5:$A$1005&lt;=$A65)*MOVIMIENTOS!$E$5:$E$1005)+SUMPRODUCT((MOVIMIENTOS!$B$5:$B$1005="AJUSTE")*(MOVIMIENTOS!$C$5:$C$1005="Chancho")*(MOVIMIENTOS!$D$5:$D$1005="sacos")*(MOVIMIENTOS!$A$5:$A$1005&lt;&gt;"")*(MOVIMIENTOS!$A$5:$A$1005&lt;=$A65)*MOVIMIENTOS!$E$5:$E$1005))</f>
        <v/>
      </c>
      <c r="G65" s="77" t="str">
        <f t="shared" si="1"/>
        <v/>
      </c>
      <c r="H65" s="65" t="str">
        <f>IF($A65="","",SUMPRODUCT((((MOVIMIENTOS!$B$5:$B$1005="SALDO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65)*MOVIMIENTOS!$J$5:$J$1005))</f>
        <v/>
      </c>
      <c r="I65" s="63"/>
      <c r="J65" s="63" t="str">
        <f>IF(AND(MOVIMIENTOS!$A65&lt;&gt;"",COUNTIF(MOVIMIENTOS!$A$5:$A64,MOVIMIENTOS!$A65)=0),COUNT(J$4:J64)+1,"")</f>
        <v/>
      </c>
      <c r="K65" s="66">
        <f>MOVIMIENTOS!$A65</f>
        <v>46220</v>
      </c>
      <c r="L65" s="63"/>
      <c r="M65" s="63"/>
      <c r="N65" s="63"/>
    </row>
    <row r="66" spans="1:14" ht="15" customHeight="1" x14ac:dyDescent="0.2">
      <c r="A66" s="64" t="str">
        <f t="shared" si="0"/>
        <v/>
      </c>
      <c r="B66" s="65" t="str">
        <f>IF($A66="","",SUMPRODUCT((MOVIMIENTOS!$B$5:$B$1005="SALDO INICIAL")*(MOVIMIENTOS!$C$5:$C$1005="A")*(MOVIMIENTOS!$D$5:$D$1005="jabas")*(MOVIMIENTOS!$A$5:$A$1005&lt;&gt;"")*(MOVIMIENTOS!$A$5:$A$1005&lt;=$A66)*MOVIMIENTOS!$E$5:$E$1005)+SUMPRODUCT((MOVIMIENTOS!$B$5:$B$1005="PROCESO")*(MOVIMIENTOS!$C$5:$C$1005="A")*(MOVIMIENTOS!$D$5:$D$1005="jabas")*(MOVIMIENTOS!$A$5:$A$1005&lt;&gt;"")*(MOVIMIENTOS!$A$5:$A$1005&lt;=$A66)*MOVIMIENTOS!$E$5:$E$1005)-SUMPRODUCT((MOVIMIENTOS!$B$5:$B$1005="ENVÍO A SUPESA")*(MOVIMIENTOS!$C$5:$C$1005="A")*(MOVIMIENTOS!$D$5:$D$1005="jabas")*(MOVIMIENTOS!$A$5:$A$1005&lt;&gt;"")*(MOVIMIENTOS!$A$5:$A$1005&lt;=$A66)*MOVIMIENTOS!$E$5:$E$1005)+SUMPRODUCT((MOVIMIENTOS!$B$5:$B$1005="DEVOLUCIÓN")*(MOVIMIENTOS!$C$5:$C$1005="A")*(MOVIMIENTOS!$D$5:$D$1005="jabas")*(MOVIMIENTOS!$A$5:$A$1005&lt;&gt;"")*(MOVIMIENTOS!$A$5:$A$1005&lt;=$A66)*MOVIMIENTOS!$E$5:$E$1005)-SUMPRODUCT((MOVIMIENTOS!$B$5:$B$1005="TRASIEGO")*(MOVIMIENTOS!$C$5:$C$1005="A")*(MOVIMIENTOS!$D$5:$D$1005="jabas")*(MOVIMIENTOS!$A$5:$A$1005&lt;&gt;"")*(MOVIMIENTOS!$A$5:$A$1005&lt;=$A66)*MOVIMIENTOS!$E$5:$E$1005)-SUMPRODUCT((MOVIMIENTOS!$B$5:$B$1005="REGALO")*(MOVIMIENTOS!$C$5:$C$1005="A")*(MOVIMIENTOS!$D$5:$D$1005="jabas")*(MOVIMIENTOS!$A$5:$A$1005&lt;&gt;"")*(MOVIMIENTOS!$A$5:$A$1005&lt;=$A66)*MOVIMIENTOS!$E$5:$E$1005)-SUMPRODUCT((MOVIMIENTOS!$B$5:$B$1005="VENTA")*(MOVIMIENTOS!$C$5:$C$1005="A")*(MOVIMIENTOS!$D$5:$D$1005="jabas")*(MOVIMIENTOS!$A$5:$A$1005&lt;&gt;"")*(MOVIMIENTOS!$A$5:$A$1005&lt;=$A66)*MOVIMIENTOS!$E$5:$E$1005)+SUMPRODUCT((MOVIMIENTOS!$B$5:$B$1005="AJUSTE")*(MOVIMIENTOS!$C$5:$C$1005="A")*(MOVIMIENTOS!$D$5:$D$1005="jabas")*(MOVIMIENTOS!$A$5:$A$1005&lt;&gt;"")*(MOVIMIENTOS!$A$5:$A$1005&lt;=$A66)*MOVIMIENTOS!$E$5:$E$1005))</f>
        <v/>
      </c>
      <c r="C66" s="65" t="str">
        <f>IF($A66="","",SUMPRODUCT((MOVIMIENTOS!$B$5:$B$1005="SALDO INICIAL")*(MOVIMIENTOS!$C$5:$C$1005="P")*(MOVIMIENTOS!$D$5:$D$1005="jabas")*(MOVIMIENTOS!$A$5:$A$1005&lt;&gt;"")*(MOVIMIENTOS!$A$5:$A$1005&lt;=$A66)*MOVIMIENTOS!$E$5:$E$1005)+SUMPRODUCT((MOVIMIENTOS!$B$5:$B$1005="PROCESO")*(MOVIMIENTOS!$C$5:$C$1005="P")*(MOVIMIENTOS!$D$5:$D$1005="jabas")*(MOVIMIENTOS!$A$5:$A$1005&lt;&gt;"")*(MOVIMIENTOS!$A$5:$A$1005&lt;=$A66)*MOVIMIENTOS!$E$5:$E$1005)-SUMPRODUCT((MOVIMIENTOS!$B$5:$B$1005="ENVÍO A SUPESA")*(MOVIMIENTOS!$C$5:$C$1005="P")*(MOVIMIENTOS!$D$5:$D$1005="jabas")*(MOVIMIENTOS!$A$5:$A$1005&lt;&gt;"")*(MOVIMIENTOS!$A$5:$A$1005&lt;=$A66)*MOVIMIENTOS!$E$5:$E$1005)+SUMPRODUCT((MOVIMIENTOS!$B$5:$B$1005="DEVOLUCIÓN")*(MOVIMIENTOS!$C$5:$C$1005="P")*(MOVIMIENTOS!$D$5:$D$1005="jabas")*(MOVIMIENTOS!$A$5:$A$1005&lt;&gt;"")*(MOVIMIENTOS!$A$5:$A$1005&lt;=$A66)*MOVIMIENTOS!$E$5:$E$1005)-SUMPRODUCT((MOVIMIENTOS!$B$5:$B$1005="TRASIEGO")*(MOVIMIENTOS!$C$5:$C$1005="P")*(MOVIMIENTOS!$D$5:$D$1005="jabas")*(MOVIMIENTOS!$A$5:$A$1005&lt;&gt;"")*(MOVIMIENTOS!$A$5:$A$1005&lt;=$A66)*MOVIMIENTOS!$E$5:$E$1005)-SUMPRODUCT((MOVIMIENTOS!$B$5:$B$1005="REGALO")*(MOVIMIENTOS!$C$5:$C$1005="P")*(MOVIMIENTOS!$D$5:$D$1005="jabas")*(MOVIMIENTOS!$A$5:$A$1005&lt;&gt;"")*(MOVIMIENTOS!$A$5:$A$1005&lt;=$A66)*MOVIMIENTOS!$E$5:$E$1005)-SUMPRODUCT((MOVIMIENTOS!$B$5:$B$1005="VENTA")*(MOVIMIENTOS!$C$5:$C$1005="P")*(MOVIMIENTOS!$D$5:$D$1005="jabas")*(MOVIMIENTOS!$A$5:$A$1005&lt;&gt;"")*(MOVIMIENTOS!$A$5:$A$1005&lt;=$A66)*MOVIMIENTOS!$E$5:$E$1005)+SUMPRODUCT((MOVIMIENTOS!$B$5:$B$1005="AJUSTE")*(MOVIMIENTOS!$C$5:$C$1005="P")*(MOVIMIENTOS!$D$5:$D$1005="jabas")*(MOVIMIENTOS!$A$5:$A$1005&lt;&gt;"")*(MOVIMIENTOS!$A$5:$A$1005&lt;=$A66)*MOVIMIENTOS!$E$5:$E$1005))</f>
        <v/>
      </c>
      <c r="D66" s="65" t="str">
        <f>IF($A66="","",SUMPRODUCT((MOVIMIENTOS!$B$5:$B$1005="SALDO INICIAL")*(MOVIMIENTOS!$C$5:$C$1005="C")*(MOVIMIENTOS!$D$5:$D$1005="jabas")*(MOVIMIENTOS!$A$5:$A$1005&lt;&gt;"")*(MOVIMIENTOS!$A$5:$A$1005&lt;=$A66)*MOVIMIENTOS!$E$5:$E$1005)+SUMPRODUCT((MOVIMIENTOS!$B$5:$B$1005="PROCESO")*(MOVIMIENTOS!$C$5:$C$1005="C")*(MOVIMIENTOS!$D$5:$D$1005="jabas")*(MOVIMIENTOS!$A$5:$A$1005&lt;&gt;"")*(MOVIMIENTOS!$A$5:$A$1005&lt;=$A66)*MOVIMIENTOS!$E$5:$E$1005)-SUMPRODUCT((MOVIMIENTOS!$B$5:$B$1005="ENVÍO A SUPESA")*(MOVIMIENTOS!$C$5:$C$1005="C")*(MOVIMIENTOS!$D$5:$D$1005="jabas")*(MOVIMIENTOS!$A$5:$A$1005&lt;&gt;"")*(MOVIMIENTOS!$A$5:$A$1005&lt;=$A66)*MOVIMIENTOS!$E$5:$E$1005)+SUMPRODUCT((MOVIMIENTOS!$B$5:$B$1005="DEVOLUCIÓN")*(MOVIMIENTOS!$C$5:$C$1005="C")*(MOVIMIENTOS!$D$5:$D$1005="jabas")*(MOVIMIENTOS!$A$5:$A$1005&lt;&gt;"")*(MOVIMIENTOS!$A$5:$A$1005&lt;=$A66)*MOVIMIENTOS!$E$5:$E$1005)-SUMPRODUCT((MOVIMIENTOS!$B$5:$B$1005="TRASIEGO")*(MOVIMIENTOS!$C$5:$C$1005="C")*(MOVIMIENTOS!$D$5:$D$1005="jabas")*(MOVIMIENTOS!$A$5:$A$1005&lt;&gt;"")*(MOVIMIENTOS!$A$5:$A$1005&lt;=$A66)*MOVIMIENTOS!$E$5:$E$1005)-SUMPRODUCT((MOVIMIENTOS!$B$5:$B$1005="REGALO")*(MOVIMIENTOS!$C$5:$C$1005="C")*(MOVIMIENTOS!$D$5:$D$1005="jabas")*(MOVIMIENTOS!$A$5:$A$1005&lt;&gt;"")*(MOVIMIENTOS!$A$5:$A$1005&lt;=$A66)*MOVIMIENTOS!$E$5:$E$1005)-SUMPRODUCT((MOVIMIENTOS!$B$5:$B$1005="VENTA")*(MOVIMIENTOS!$C$5:$C$1005="C")*(MOVIMIENTOS!$D$5:$D$1005="jabas")*(MOVIMIENTOS!$A$5:$A$1005&lt;&gt;"")*(MOVIMIENTOS!$A$5:$A$1005&lt;=$A66)*MOVIMIENTOS!$E$5:$E$1005)+SUMPRODUCT((MOVIMIENTOS!$B$5:$B$1005="AJUSTE")*(MOVIMIENTOS!$C$5:$C$1005="C")*(MOVIMIENTOS!$D$5:$D$1005="jabas")*(MOVIMIENTOS!$A$5:$A$1005&lt;&gt;"")*(MOVIMIENTOS!$A$5:$A$1005&lt;=$A66)*MOVIMIENTOS!$E$5:$E$1005))</f>
        <v/>
      </c>
      <c r="E66" s="65" t="str">
        <f>IF($A66="","",SUMPRODUCT((MOVIMIENTOS!$B$5:$B$1005="SALDO INICIAL")*(MOVIMIENTOS!$C$5:$C$1005="M")*(MOVIMIENTOS!$D$5:$D$1005="jabas")*(MOVIMIENTOS!$A$5:$A$1005&lt;&gt;"")*(MOVIMIENTOS!$A$5:$A$1005&lt;=$A66)*MOVIMIENTOS!$E$5:$E$1005)+SUMPRODUCT((MOVIMIENTOS!$B$5:$B$1005="PROCESO")*(MOVIMIENTOS!$C$5:$C$1005="M")*(MOVIMIENTOS!$D$5:$D$1005="jabas")*(MOVIMIENTOS!$A$5:$A$1005&lt;&gt;"")*(MOVIMIENTOS!$A$5:$A$1005&lt;=$A66)*MOVIMIENTOS!$E$5:$E$1005)-SUMPRODUCT((MOVIMIENTOS!$B$5:$B$1005="ENVÍO A SUPESA")*(MOVIMIENTOS!$C$5:$C$1005="M")*(MOVIMIENTOS!$D$5:$D$1005="jabas")*(MOVIMIENTOS!$A$5:$A$1005&lt;&gt;"")*(MOVIMIENTOS!$A$5:$A$1005&lt;=$A66)*MOVIMIENTOS!$E$5:$E$1005)+SUMPRODUCT((MOVIMIENTOS!$B$5:$B$1005="DEVOLUCIÓN")*(MOVIMIENTOS!$C$5:$C$1005="M")*(MOVIMIENTOS!$D$5:$D$1005="jabas")*(MOVIMIENTOS!$A$5:$A$1005&lt;&gt;"")*(MOVIMIENTOS!$A$5:$A$1005&lt;=$A66)*MOVIMIENTOS!$E$5:$E$1005)-SUMPRODUCT((MOVIMIENTOS!$B$5:$B$1005="TRASIEGO")*(MOVIMIENTOS!$C$5:$C$1005="M")*(MOVIMIENTOS!$D$5:$D$1005="jabas")*(MOVIMIENTOS!$A$5:$A$1005&lt;&gt;"")*(MOVIMIENTOS!$A$5:$A$1005&lt;=$A66)*MOVIMIENTOS!$E$5:$E$1005)-SUMPRODUCT((MOVIMIENTOS!$B$5:$B$1005="REGALO")*(MOVIMIENTOS!$C$5:$C$1005="M")*(MOVIMIENTOS!$D$5:$D$1005="jabas")*(MOVIMIENTOS!$A$5:$A$1005&lt;&gt;"")*(MOVIMIENTOS!$A$5:$A$1005&lt;=$A66)*MOVIMIENTOS!$E$5:$E$1005)-SUMPRODUCT((MOVIMIENTOS!$B$5:$B$1005="VENTA")*(MOVIMIENTOS!$C$5:$C$1005="M")*(MOVIMIENTOS!$D$5:$D$1005="jabas")*(MOVIMIENTOS!$A$5:$A$1005&lt;&gt;"")*(MOVIMIENTOS!$A$5:$A$1005&lt;=$A66)*MOVIMIENTOS!$E$5:$E$1005)+SUMPRODUCT((MOVIMIENTOS!$B$5:$B$1005="AJUSTE")*(MOVIMIENTOS!$C$5:$C$1005="M")*(MOVIMIENTOS!$D$5:$D$1005="jabas")*(MOVIMIENTOS!$A$5:$A$1005&lt;&gt;"")*(MOVIMIENTOS!$A$5:$A$1005&lt;=$A66)*MOVIMIENTOS!$E$5:$E$1005))</f>
        <v/>
      </c>
      <c r="F66" s="65" t="str">
        <f>IF($A66="","",SUMPRODUCT((MOVIMIENTOS!$B$5:$B$1005="SALDO INICIAL")*(MOVIMIENTOS!$C$5:$C$1005="Chancho")*(MOVIMIENTOS!$D$5:$D$1005="sacos")*(MOVIMIENTOS!$A$5:$A$1005&lt;&gt;"")*(MOVIMIENTOS!$A$5:$A$1005&lt;=$A66)*MOVIMIENTOS!$E$5:$E$1005)+SUMPRODUCT((MOVIMIENTOS!$B$5:$B$1005="PROCESO")*(MOVIMIENTOS!$C$5:$C$1005="Chancho")*(MOVIMIENTOS!$D$5:$D$1005="sacos")*(MOVIMIENTOS!$A$5:$A$1005&lt;&gt;"")*(MOVIMIENTOS!$A$5:$A$1005&lt;=$A66)*MOVIMIENTOS!$E$5:$E$1005)-SUMPRODUCT((MOVIMIENTOS!$B$5:$B$1005="VENTA CHANCHO")*(MOVIMIENTOS!$C$5:$C$1005="Chancho")*(MOVIMIENTOS!$D$5:$D$1005="sacos")*(MOVIMIENTOS!$A$5:$A$1005&lt;&gt;"")*(MOVIMIENTOS!$A$5:$A$1005&lt;=$A66)*MOVIMIENTOS!$E$5:$E$1005)-SUMPRODUCT((MOVIMIENTOS!$B$5:$B$1005="REGALO")*(MOVIMIENTOS!$C$5:$C$1005="Chancho")*(MOVIMIENTOS!$D$5:$D$1005="sacos")*(MOVIMIENTOS!$A$5:$A$1005&lt;&gt;"")*(MOVIMIENTOS!$A$5:$A$1005&lt;=$A66)*MOVIMIENTOS!$E$5:$E$1005)-SUMPRODUCT((MOVIMIENTOS!$B$5:$B$1005="VENTA")*(MOVIMIENTOS!$C$5:$C$1005="Chancho")*(MOVIMIENTOS!$D$5:$D$1005="sacos")*(MOVIMIENTOS!$A$5:$A$1005&lt;&gt;"")*(MOVIMIENTOS!$A$5:$A$1005&lt;=$A66)*MOVIMIENTOS!$E$5:$E$1005)+SUMPRODUCT((MOVIMIENTOS!$B$5:$B$1005="AJUSTE")*(MOVIMIENTOS!$C$5:$C$1005="Chancho")*(MOVIMIENTOS!$D$5:$D$1005="sacos")*(MOVIMIENTOS!$A$5:$A$1005&lt;&gt;"")*(MOVIMIENTOS!$A$5:$A$1005&lt;=$A66)*MOVIMIENTOS!$E$5:$E$1005))</f>
        <v/>
      </c>
      <c r="G66" s="77" t="str">
        <f t="shared" si="1"/>
        <v/>
      </c>
      <c r="H66" s="65" t="str">
        <f>IF($A66="","",SUMPRODUCT((((MOVIMIENTOS!$B$5:$B$1005="SALDO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66)*MOVIMIENTOS!$J$5:$J$1005))</f>
        <v/>
      </c>
      <c r="I66" s="63"/>
      <c r="J66" s="63" t="str">
        <f>IF(AND(MOVIMIENTOS!$A66&lt;&gt;"",COUNTIF(MOVIMIENTOS!$A$5:$A65,MOVIMIENTOS!$A66)=0),COUNT(J$4:J65)+1,"")</f>
        <v/>
      </c>
      <c r="K66" s="66">
        <f>MOVIMIENTOS!$A66</f>
        <v>46220</v>
      </c>
      <c r="L66" s="63"/>
      <c r="M66" s="63"/>
      <c r="N66" s="63"/>
    </row>
    <row r="67" spans="1:14" ht="15" customHeight="1" x14ac:dyDescent="0.2">
      <c r="A67" s="64" t="str">
        <f t="shared" si="0"/>
        <v/>
      </c>
      <c r="B67" s="65" t="str">
        <f>IF($A67="","",SUMPRODUCT((MOVIMIENTOS!$B$5:$B$1005="SALDO INICIAL")*(MOVIMIENTOS!$C$5:$C$1005="A")*(MOVIMIENTOS!$D$5:$D$1005="jabas")*(MOVIMIENTOS!$A$5:$A$1005&lt;&gt;"")*(MOVIMIENTOS!$A$5:$A$1005&lt;=$A67)*MOVIMIENTOS!$E$5:$E$1005)+SUMPRODUCT((MOVIMIENTOS!$B$5:$B$1005="PROCESO")*(MOVIMIENTOS!$C$5:$C$1005="A")*(MOVIMIENTOS!$D$5:$D$1005="jabas")*(MOVIMIENTOS!$A$5:$A$1005&lt;&gt;"")*(MOVIMIENTOS!$A$5:$A$1005&lt;=$A67)*MOVIMIENTOS!$E$5:$E$1005)-SUMPRODUCT((MOVIMIENTOS!$B$5:$B$1005="ENVÍO A SUPESA")*(MOVIMIENTOS!$C$5:$C$1005="A")*(MOVIMIENTOS!$D$5:$D$1005="jabas")*(MOVIMIENTOS!$A$5:$A$1005&lt;&gt;"")*(MOVIMIENTOS!$A$5:$A$1005&lt;=$A67)*MOVIMIENTOS!$E$5:$E$1005)+SUMPRODUCT((MOVIMIENTOS!$B$5:$B$1005="DEVOLUCIÓN")*(MOVIMIENTOS!$C$5:$C$1005="A")*(MOVIMIENTOS!$D$5:$D$1005="jabas")*(MOVIMIENTOS!$A$5:$A$1005&lt;&gt;"")*(MOVIMIENTOS!$A$5:$A$1005&lt;=$A67)*MOVIMIENTOS!$E$5:$E$1005)-SUMPRODUCT((MOVIMIENTOS!$B$5:$B$1005="TRASIEGO")*(MOVIMIENTOS!$C$5:$C$1005="A")*(MOVIMIENTOS!$D$5:$D$1005="jabas")*(MOVIMIENTOS!$A$5:$A$1005&lt;&gt;"")*(MOVIMIENTOS!$A$5:$A$1005&lt;=$A67)*MOVIMIENTOS!$E$5:$E$1005)-SUMPRODUCT((MOVIMIENTOS!$B$5:$B$1005="REGALO")*(MOVIMIENTOS!$C$5:$C$1005="A")*(MOVIMIENTOS!$D$5:$D$1005="jabas")*(MOVIMIENTOS!$A$5:$A$1005&lt;&gt;"")*(MOVIMIENTOS!$A$5:$A$1005&lt;=$A67)*MOVIMIENTOS!$E$5:$E$1005)-SUMPRODUCT((MOVIMIENTOS!$B$5:$B$1005="VENTA")*(MOVIMIENTOS!$C$5:$C$1005="A")*(MOVIMIENTOS!$D$5:$D$1005="jabas")*(MOVIMIENTOS!$A$5:$A$1005&lt;&gt;"")*(MOVIMIENTOS!$A$5:$A$1005&lt;=$A67)*MOVIMIENTOS!$E$5:$E$1005)+SUMPRODUCT((MOVIMIENTOS!$B$5:$B$1005="AJUSTE")*(MOVIMIENTOS!$C$5:$C$1005="A")*(MOVIMIENTOS!$D$5:$D$1005="jabas")*(MOVIMIENTOS!$A$5:$A$1005&lt;&gt;"")*(MOVIMIENTOS!$A$5:$A$1005&lt;=$A67)*MOVIMIENTOS!$E$5:$E$1005))</f>
        <v/>
      </c>
      <c r="C67" s="65" t="str">
        <f>IF($A67="","",SUMPRODUCT((MOVIMIENTOS!$B$5:$B$1005="SALDO INICIAL")*(MOVIMIENTOS!$C$5:$C$1005="P")*(MOVIMIENTOS!$D$5:$D$1005="jabas")*(MOVIMIENTOS!$A$5:$A$1005&lt;&gt;"")*(MOVIMIENTOS!$A$5:$A$1005&lt;=$A67)*MOVIMIENTOS!$E$5:$E$1005)+SUMPRODUCT((MOVIMIENTOS!$B$5:$B$1005="PROCESO")*(MOVIMIENTOS!$C$5:$C$1005="P")*(MOVIMIENTOS!$D$5:$D$1005="jabas")*(MOVIMIENTOS!$A$5:$A$1005&lt;&gt;"")*(MOVIMIENTOS!$A$5:$A$1005&lt;=$A67)*MOVIMIENTOS!$E$5:$E$1005)-SUMPRODUCT((MOVIMIENTOS!$B$5:$B$1005="ENVÍO A SUPESA")*(MOVIMIENTOS!$C$5:$C$1005="P")*(MOVIMIENTOS!$D$5:$D$1005="jabas")*(MOVIMIENTOS!$A$5:$A$1005&lt;&gt;"")*(MOVIMIENTOS!$A$5:$A$1005&lt;=$A67)*MOVIMIENTOS!$E$5:$E$1005)+SUMPRODUCT((MOVIMIENTOS!$B$5:$B$1005="DEVOLUCIÓN")*(MOVIMIENTOS!$C$5:$C$1005="P")*(MOVIMIENTOS!$D$5:$D$1005="jabas")*(MOVIMIENTOS!$A$5:$A$1005&lt;&gt;"")*(MOVIMIENTOS!$A$5:$A$1005&lt;=$A67)*MOVIMIENTOS!$E$5:$E$1005)-SUMPRODUCT((MOVIMIENTOS!$B$5:$B$1005="TRASIEGO")*(MOVIMIENTOS!$C$5:$C$1005="P")*(MOVIMIENTOS!$D$5:$D$1005="jabas")*(MOVIMIENTOS!$A$5:$A$1005&lt;&gt;"")*(MOVIMIENTOS!$A$5:$A$1005&lt;=$A67)*MOVIMIENTOS!$E$5:$E$1005)-SUMPRODUCT((MOVIMIENTOS!$B$5:$B$1005="REGALO")*(MOVIMIENTOS!$C$5:$C$1005="P")*(MOVIMIENTOS!$D$5:$D$1005="jabas")*(MOVIMIENTOS!$A$5:$A$1005&lt;&gt;"")*(MOVIMIENTOS!$A$5:$A$1005&lt;=$A67)*MOVIMIENTOS!$E$5:$E$1005)-SUMPRODUCT((MOVIMIENTOS!$B$5:$B$1005="VENTA")*(MOVIMIENTOS!$C$5:$C$1005="P")*(MOVIMIENTOS!$D$5:$D$1005="jabas")*(MOVIMIENTOS!$A$5:$A$1005&lt;&gt;"")*(MOVIMIENTOS!$A$5:$A$1005&lt;=$A67)*MOVIMIENTOS!$E$5:$E$1005)+SUMPRODUCT((MOVIMIENTOS!$B$5:$B$1005="AJUSTE")*(MOVIMIENTOS!$C$5:$C$1005="P")*(MOVIMIENTOS!$D$5:$D$1005="jabas")*(MOVIMIENTOS!$A$5:$A$1005&lt;&gt;"")*(MOVIMIENTOS!$A$5:$A$1005&lt;=$A67)*MOVIMIENTOS!$E$5:$E$1005))</f>
        <v/>
      </c>
      <c r="D67" s="65" t="str">
        <f>IF($A67="","",SUMPRODUCT((MOVIMIENTOS!$B$5:$B$1005="SALDO INICIAL")*(MOVIMIENTOS!$C$5:$C$1005="C")*(MOVIMIENTOS!$D$5:$D$1005="jabas")*(MOVIMIENTOS!$A$5:$A$1005&lt;&gt;"")*(MOVIMIENTOS!$A$5:$A$1005&lt;=$A67)*MOVIMIENTOS!$E$5:$E$1005)+SUMPRODUCT((MOVIMIENTOS!$B$5:$B$1005="PROCESO")*(MOVIMIENTOS!$C$5:$C$1005="C")*(MOVIMIENTOS!$D$5:$D$1005="jabas")*(MOVIMIENTOS!$A$5:$A$1005&lt;&gt;"")*(MOVIMIENTOS!$A$5:$A$1005&lt;=$A67)*MOVIMIENTOS!$E$5:$E$1005)-SUMPRODUCT((MOVIMIENTOS!$B$5:$B$1005="ENVÍO A SUPESA")*(MOVIMIENTOS!$C$5:$C$1005="C")*(MOVIMIENTOS!$D$5:$D$1005="jabas")*(MOVIMIENTOS!$A$5:$A$1005&lt;&gt;"")*(MOVIMIENTOS!$A$5:$A$1005&lt;=$A67)*MOVIMIENTOS!$E$5:$E$1005)+SUMPRODUCT((MOVIMIENTOS!$B$5:$B$1005="DEVOLUCIÓN")*(MOVIMIENTOS!$C$5:$C$1005="C")*(MOVIMIENTOS!$D$5:$D$1005="jabas")*(MOVIMIENTOS!$A$5:$A$1005&lt;&gt;"")*(MOVIMIENTOS!$A$5:$A$1005&lt;=$A67)*MOVIMIENTOS!$E$5:$E$1005)-SUMPRODUCT((MOVIMIENTOS!$B$5:$B$1005="TRASIEGO")*(MOVIMIENTOS!$C$5:$C$1005="C")*(MOVIMIENTOS!$D$5:$D$1005="jabas")*(MOVIMIENTOS!$A$5:$A$1005&lt;&gt;"")*(MOVIMIENTOS!$A$5:$A$1005&lt;=$A67)*MOVIMIENTOS!$E$5:$E$1005)-SUMPRODUCT((MOVIMIENTOS!$B$5:$B$1005="REGALO")*(MOVIMIENTOS!$C$5:$C$1005="C")*(MOVIMIENTOS!$D$5:$D$1005="jabas")*(MOVIMIENTOS!$A$5:$A$1005&lt;&gt;"")*(MOVIMIENTOS!$A$5:$A$1005&lt;=$A67)*MOVIMIENTOS!$E$5:$E$1005)-SUMPRODUCT((MOVIMIENTOS!$B$5:$B$1005="VENTA")*(MOVIMIENTOS!$C$5:$C$1005="C")*(MOVIMIENTOS!$D$5:$D$1005="jabas")*(MOVIMIENTOS!$A$5:$A$1005&lt;&gt;"")*(MOVIMIENTOS!$A$5:$A$1005&lt;=$A67)*MOVIMIENTOS!$E$5:$E$1005)+SUMPRODUCT((MOVIMIENTOS!$B$5:$B$1005="AJUSTE")*(MOVIMIENTOS!$C$5:$C$1005="C")*(MOVIMIENTOS!$D$5:$D$1005="jabas")*(MOVIMIENTOS!$A$5:$A$1005&lt;&gt;"")*(MOVIMIENTOS!$A$5:$A$1005&lt;=$A67)*MOVIMIENTOS!$E$5:$E$1005))</f>
        <v/>
      </c>
      <c r="E67" s="65" t="str">
        <f>IF($A67="","",SUMPRODUCT((MOVIMIENTOS!$B$5:$B$1005="SALDO INICIAL")*(MOVIMIENTOS!$C$5:$C$1005="M")*(MOVIMIENTOS!$D$5:$D$1005="jabas")*(MOVIMIENTOS!$A$5:$A$1005&lt;&gt;"")*(MOVIMIENTOS!$A$5:$A$1005&lt;=$A67)*MOVIMIENTOS!$E$5:$E$1005)+SUMPRODUCT((MOVIMIENTOS!$B$5:$B$1005="PROCESO")*(MOVIMIENTOS!$C$5:$C$1005="M")*(MOVIMIENTOS!$D$5:$D$1005="jabas")*(MOVIMIENTOS!$A$5:$A$1005&lt;&gt;"")*(MOVIMIENTOS!$A$5:$A$1005&lt;=$A67)*MOVIMIENTOS!$E$5:$E$1005)-SUMPRODUCT((MOVIMIENTOS!$B$5:$B$1005="ENVÍO A SUPESA")*(MOVIMIENTOS!$C$5:$C$1005="M")*(MOVIMIENTOS!$D$5:$D$1005="jabas")*(MOVIMIENTOS!$A$5:$A$1005&lt;&gt;"")*(MOVIMIENTOS!$A$5:$A$1005&lt;=$A67)*MOVIMIENTOS!$E$5:$E$1005)+SUMPRODUCT((MOVIMIENTOS!$B$5:$B$1005="DEVOLUCIÓN")*(MOVIMIENTOS!$C$5:$C$1005="M")*(MOVIMIENTOS!$D$5:$D$1005="jabas")*(MOVIMIENTOS!$A$5:$A$1005&lt;&gt;"")*(MOVIMIENTOS!$A$5:$A$1005&lt;=$A67)*MOVIMIENTOS!$E$5:$E$1005)-SUMPRODUCT((MOVIMIENTOS!$B$5:$B$1005="TRASIEGO")*(MOVIMIENTOS!$C$5:$C$1005="M")*(MOVIMIENTOS!$D$5:$D$1005="jabas")*(MOVIMIENTOS!$A$5:$A$1005&lt;&gt;"")*(MOVIMIENTOS!$A$5:$A$1005&lt;=$A67)*MOVIMIENTOS!$E$5:$E$1005)-SUMPRODUCT((MOVIMIENTOS!$B$5:$B$1005="REGALO")*(MOVIMIENTOS!$C$5:$C$1005="M")*(MOVIMIENTOS!$D$5:$D$1005="jabas")*(MOVIMIENTOS!$A$5:$A$1005&lt;&gt;"")*(MOVIMIENTOS!$A$5:$A$1005&lt;=$A67)*MOVIMIENTOS!$E$5:$E$1005)-SUMPRODUCT((MOVIMIENTOS!$B$5:$B$1005="VENTA")*(MOVIMIENTOS!$C$5:$C$1005="M")*(MOVIMIENTOS!$D$5:$D$1005="jabas")*(MOVIMIENTOS!$A$5:$A$1005&lt;&gt;"")*(MOVIMIENTOS!$A$5:$A$1005&lt;=$A67)*MOVIMIENTOS!$E$5:$E$1005)+SUMPRODUCT((MOVIMIENTOS!$B$5:$B$1005="AJUSTE")*(MOVIMIENTOS!$C$5:$C$1005="M")*(MOVIMIENTOS!$D$5:$D$1005="jabas")*(MOVIMIENTOS!$A$5:$A$1005&lt;&gt;"")*(MOVIMIENTOS!$A$5:$A$1005&lt;=$A67)*MOVIMIENTOS!$E$5:$E$1005))</f>
        <v/>
      </c>
      <c r="F67" s="65" t="str">
        <f>IF($A67="","",SUMPRODUCT((MOVIMIENTOS!$B$5:$B$1005="SALDO INICIAL")*(MOVIMIENTOS!$C$5:$C$1005="Chancho")*(MOVIMIENTOS!$D$5:$D$1005="sacos")*(MOVIMIENTOS!$A$5:$A$1005&lt;&gt;"")*(MOVIMIENTOS!$A$5:$A$1005&lt;=$A67)*MOVIMIENTOS!$E$5:$E$1005)+SUMPRODUCT((MOVIMIENTOS!$B$5:$B$1005="PROCESO")*(MOVIMIENTOS!$C$5:$C$1005="Chancho")*(MOVIMIENTOS!$D$5:$D$1005="sacos")*(MOVIMIENTOS!$A$5:$A$1005&lt;&gt;"")*(MOVIMIENTOS!$A$5:$A$1005&lt;=$A67)*MOVIMIENTOS!$E$5:$E$1005)-SUMPRODUCT((MOVIMIENTOS!$B$5:$B$1005="VENTA CHANCHO")*(MOVIMIENTOS!$C$5:$C$1005="Chancho")*(MOVIMIENTOS!$D$5:$D$1005="sacos")*(MOVIMIENTOS!$A$5:$A$1005&lt;&gt;"")*(MOVIMIENTOS!$A$5:$A$1005&lt;=$A67)*MOVIMIENTOS!$E$5:$E$1005)-SUMPRODUCT((MOVIMIENTOS!$B$5:$B$1005="REGALO")*(MOVIMIENTOS!$C$5:$C$1005="Chancho")*(MOVIMIENTOS!$D$5:$D$1005="sacos")*(MOVIMIENTOS!$A$5:$A$1005&lt;&gt;"")*(MOVIMIENTOS!$A$5:$A$1005&lt;=$A67)*MOVIMIENTOS!$E$5:$E$1005)-SUMPRODUCT((MOVIMIENTOS!$B$5:$B$1005="VENTA")*(MOVIMIENTOS!$C$5:$C$1005="Chancho")*(MOVIMIENTOS!$D$5:$D$1005="sacos")*(MOVIMIENTOS!$A$5:$A$1005&lt;&gt;"")*(MOVIMIENTOS!$A$5:$A$1005&lt;=$A67)*MOVIMIENTOS!$E$5:$E$1005)+SUMPRODUCT((MOVIMIENTOS!$B$5:$B$1005="AJUSTE")*(MOVIMIENTOS!$C$5:$C$1005="Chancho")*(MOVIMIENTOS!$D$5:$D$1005="sacos")*(MOVIMIENTOS!$A$5:$A$1005&lt;&gt;"")*(MOVIMIENTOS!$A$5:$A$1005&lt;=$A67)*MOVIMIENTOS!$E$5:$E$1005))</f>
        <v/>
      </c>
      <c r="G67" s="77" t="str">
        <f t="shared" si="1"/>
        <v/>
      </c>
      <c r="H67" s="65" t="str">
        <f>IF($A67="","",SUMPRODUCT((((MOVIMIENTOS!$B$5:$B$1005="SALDO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67)*MOVIMIENTOS!$J$5:$J$1005))</f>
        <v/>
      </c>
      <c r="I67" s="63"/>
      <c r="J67" s="63" t="str">
        <f>IF(AND(MOVIMIENTOS!$A67&lt;&gt;"",COUNTIF(MOVIMIENTOS!$A$5:$A66,MOVIMIENTOS!$A67)=0),COUNT(J$4:J66)+1,"")</f>
        <v/>
      </c>
      <c r="K67" s="66">
        <f>MOVIMIENTOS!$A67</f>
        <v>46220</v>
      </c>
      <c r="L67" s="63"/>
      <c r="M67" s="63"/>
      <c r="N67" s="63"/>
    </row>
    <row r="68" spans="1:14" ht="15" customHeight="1" x14ac:dyDescent="0.2">
      <c r="A68" s="64" t="str">
        <f t="shared" si="0"/>
        <v/>
      </c>
      <c r="B68" s="65" t="str">
        <f>IF($A68="","",SUMPRODUCT((MOVIMIENTOS!$B$5:$B$1005="SALDO INICIAL")*(MOVIMIENTOS!$C$5:$C$1005="A")*(MOVIMIENTOS!$D$5:$D$1005="jabas")*(MOVIMIENTOS!$A$5:$A$1005&lt;&gt;"")*(MOVIMIENTOS!$A$5:$A$1005&lt;=$A68)*MOVIMIENTOS!$E$5:$E$1005)+SUMPRODUCT((MOVIMIENTOS!$B$5:$B$1005="PROCESO")*(MOVIMIENTOS!$C$5:$C$1005="A")*(MOVIMIENTOS!$D$5:$D$1005="jabas")*(MOVIMIENTOS!$A$5:$A$1005&lt;&gt;"")*(MOVIMIENTOS!$A$5:$A$1005&lt;=$A68)*MOVIMIENTOS!$E$5:$E$1005)-SUMPRODUCT((MOVIMIENTOS!$B$5:$B$1005="ENVÍO A SUPESA")*(MOVIMIENTOS!$C$5:$C$1005="A")*(MOVIMIENTOS!$D$5:$D$1005="jabas")*(MOVIMIENTOS!$A$5:$A$1005&lt;&gt;"")*(MOVIMIENTOS!$A$5:$A$1005&lt;=$A68)*MOVIMIENTOS!$E$5:$E$1005)+SUMPRODUCT((MOVIMIENTOS!$B$5:$B$1005="DEVOLUCIÓN")*(MOVIMIENTOS!$C$5:$C$1005="A")*(MOVIMIENTOS!$D$5:$D$1005="jabas")*(MOVIMIENTOS!$A$5:$A$1005&lt;&gt;"")*(MOVIMIENTOS!$A$5:$A$1005&lt;=$A68)*MOVIMIENTOS!$E$5:$E$1005)-SUMPRODUCT((MOVIMIENTOS!$B$5:$B$1005="TRASIEGO")*(MOVIMIENTOS!$C$5:$C$1005="A")*(MOVIMIENTOS!$D$5:$D$1005="jabas")*(MOVIMIENTOS!$A$5:$A$1005&lt;&gt;"")*(MOVIMIENTOS!$A$5:$A$1005&lt;=$A68)*MOVIMIENTOS!$E$5:$E$1005)-SUMPRODUCT((MOVIMIENTOS!$B$5:$B$1005="REGALO")*(MOVIMIENTOS!$C$5:$C$1005="A")*(MOVIMIENTOS!$D$5:$D$1005="jabas")*(MOVIMIENTOS!$A$5:$A$1005&lt;&gt;"")*(MOVIMIENTOS!$A$5:$A$1005&lt;=$A68)*MOVIMIENTOS!$E$5:$E$1005)-SUMPRODUCT((MOVIMIENTOS!$B$5:$B$1005="VENTA")*(MOVIMIENTOS!$C$5:$C$1005="A")*(MOVIMIENTOS!$D$5:$D$1005="jabas")*(MOVIMIENTOS!$A$5:$A$1005&lt;&gt;"")*(MOVIMIENTOS!$A$5:$A$1005&lt;=$A68)*MOVIMIENTOS!$E$5:$E$1005)+SUMPRODUCT((MOVIMIENTOS!$B$5:$B$1005="AJUSTE")*(MOVIMIENTOS!$C$5:$C$1005="A")*(MOVIMIENTOS!$D$5:$D$1005="jabas")*(MOVIMIENTOS!$A$5:$A$1005&lt;&gt;"")*(MOVIMIENTOS!$A$5:$A$1005&lt;=$A68)*MOVIMIENTOS!$E$5:$E$1005))</f>
        <v/>
      </c>
      <c r="C68" s="65" t="str">
        <f>IF($A68="","",SUMPRODUCT((MOVIMIENTOS!$B$5:$B$1005="SALDO INICIAL")*(MOVIMIENTOS!$C$5:$C$1005="P")*(MOVIMIENTOS!$D$5:$D$1005="jabas")*(MOVIMIENTOS!$A$5:$A$1005&lt;&gt;"")*(MOVIMIENTOS!$A$5:$A$1005&lt;=$A68)*MOVIMIENTOS!$E$5:$E$1005)+SUMPRODUCT((MOVIMIENTOS!$B$5:$B$1005="PROCESO")*(MOVIMIENTOS!$C$5:$C$1005="P")*(MOVIMIENTOS!$D$5:$D$1005="jabas")*(MOVIMIENTOS!$A$5:$A$1005&lt;&gt;"")*(MOVIMIENTOS!$A$5:$A$1005&lt;=$A68)*MOVIMIENTOS!$E$5:$E$1005)-SUMPRODUCT((MOVIMIENTOS!$B$5:$B$1005="ENVÍO A SUPESA")*(MOVIMIENTOS!$C$5:$C$1005="P")*(MOVIMIENTOS!$D$5:$D$1005="jabas")*(MOVIMIENTOS!$A$5:$A$1005&lt;&gt;"")*(MOVIMIENTOS!$A$5:$A$1005&lt;=$A68)*MOVIMIENTOS!$E$5:$E$1005)+SUMPRODUCT((MOVIMIENTOS!$B$5:$B$1005="DEVOLUCIÓN")*(MOVIMIENTOS!$C$5:$C$1005="P")*(MOVIMIENTOS!$D$5:$D$1005="jabas")*(MOVIMIENTOS!$A$5:$A$1005&lt;&gt;"")*(MOVIMIENTOS!$A$5:$A$1005&lt;=$A68)*MOVIMIENTOS!$E$5:$E$1005)-SUMPRODUCT((MOVIMIENTOS!$B$5:$B$1005="TRASIEGO")*(MOVIMIENTOS!$C$5:$C$1005="P")*(MOVIMIENTOS!$D$5:$D$1005="jabas")*(MOVIMIENTOS!$A$5:$A$1005&lt;&gt;"")*(MOVIMIENTOS!$A$5:$A$1005&lt;=$A68)*MOVIMIENTOS!$E$5:$E$1005)-SUMPRODUCT((MOVIMIENTOS!$B$5:$B$1005="REGALO")*(MOVIMIENTOS!$C$5:$C$1005="P")*(MOVIMIENTOS!$D$5:$D$1005="jabas")*(MOVIMIENTOS!$A$5:$A$1005&lt;&gt;"")*(MOVIMIENTOS!$A$5:$A$1005&lt;=$A68)*MOVIMIENTOS!$E$5:$E$1005)-SUMPRODUCT((MOVIMIENTOS!$B$5:$B$1005="VENTA")*(MOVIMIENTOS!$C$5:$C$1005="P")*(MOVIMIENTOS!$D$5:$D$1005="jabas")*(MOVIMIENTOS!$A$5:$A$1005&lt;&gt;"")*(MOVIMIENTOS!$A$5:$A$1005&lt;=$A68)*MOVIMIENTOS!$E$5:$E$1005)+SUMPRODUCT((MOVIMIENTOS!$B$5:$B$1005="AJUSTE")*(MOVIMIENTOS!$C$5:$C$1005="P")*(MOVIMIENTOS!$D$5:$D$1005="jabas")*(MOVIMIENTOS!$A$5:$A$1005&lt;&gt;"")*(MOVIMIENTOS!$A$5:$A$1005&lt;=$A68)*MOVIMIENTOS!$E$5:$E$1005))</f>
        <v/>
      </c>
      <c r="D68" s="65" t="str">
        <f>IF($A68="","",SUMPRODUCT((MOVIMIENTOS!$B$5:$B$1005="SALDO INICIAL")*(MOVIMIENTOS!$C$5:$C$1005="C")*(MOVIMIENTOS!$D$5:$D$1005="jabas")*(MOVIMIENTOS!$A$5:$A$1005&lt;&gt;"")*(MOVIMIENTOS!$A$5:$A$1005&lt;=$A68)*MOVIMIENTOS!$E$5:$E$1005)+SUMPRODUCT((MOVIMIENTOS!$B$5:$B$1005="PROCESO")*(MOVIMIENTOS!$C$5:$C$1005="C")*(MOVIMIENTOS!$D$5:$D$1005="jabas")*(MOVIMIENTOS!$A$5:$A$1005&lt;&gt;"")*(MOVIMIENTOS!$A$5:$A$1005&lt;=$A68)*MOVIMIENTOS!$E$5:$E$1005)-SUMPRODUCT((MOVIMIENTOS!$B$5:$B$1005="ENVÍO A SUPESA")*(MOVIMIENTOS!$C$5:$C$1005="C")*(MOVIMIENTOS!$D$5:$D$1005="jabas")*(MOVIMIENTOS!$A$5:$A$1005&lt;&gt;"")*(MOVIMIENTOS!$A$5:$A$1005&lt;=$A68)*MOVIMIENTOS!$E$5:$E$1005)+SUMPRODUCT((MOVIMIENTOS!$B$5:$B$1005="DEVOLUCIÓN")*(MOVIMIENTOS!$C$5:$C$1005="C")*(MOVIMIENTOS!$D$5:$D$1005="jabas")*(MOVIMIENTOS!$A$5:$A$1005&lt;&gt;"")*(MOVIMIENTOS!$A$5:$A$1005&lt;=$A68)*MOVIMIENTOS!$E$5:$E$1005)-SUMPRODUCT((MOVIMIENTOS!$B$5:$B$1005="TRASIEGO")*(MOVIMIENTOS!$C$5:$C$1005="C")*(MOVIMIENTOS!$D$5:$D$1005="jabas")*(MOVIMIENTOS!$A$5:$A$1005&lt;&gt;"")*(MOVIMIENTOS!$A$5:$A$1005&lt;=$A68)*MOVIMIENTOS!$E$5:$E$1005)-SUMPRODUCT((MOVIMIENTOS!$B$5:$B$1005="REGALO")*(MOVIMIENTOS!$C$5:$C$1005="C")*(MOVIMIENTOS!$D$5:$D$1005="jabas")*(MOVIMIENTOS!$A$5:$A$1005&lt;&gt;"")*(MOVIMIENTOS!$A$5:$A$1005&lt;=$A68)*MOVIMIENTOS!$E$5:$E$1005)-SUMPRODUCT((MOVIMIENTOS!$B$5:$B$1005="VENTA")*(MOVIMIENTOS!$C$5:$C$1005="C")*(MOVIMIENTOS!$D$5:$D$1005="jabas")*(MOVIMIENTOS!$A$5:$A$1005&lt;&gt;"")*(MOVIMIENTOS!$A$5:$A$1005&lt;=$A68)*MOVIMIENTOS!$E$5:$E$1005)+SUMPRODUCT((MOVIMIENTOS!$B$5:$B$1005="AJUSTE")*(MOVIMIENTOS!$C$5:$C$1005="C")*(MOVIMIENTOS!$D$5:$D$1005="jabas")*(MOVIMIENTOS!$A$5:$A$1005&lt;&gt;"")*(MOVIMIENTOS!$A$5:$A$1005&lt;=$A68)*MOVIMIENTOS!$E$5:$E$1005))</f>
        <v/>
      </c>
      <c r="E68" s="65" t="str">
        <f>IF($A68="","",SUMPRODUCT((MOVIMIENTOS!$B$5:$B$1005="SALDO INICIAL")*(MOVIMIENTOS!$C$5:$C$1005="M")*(MOVIMIENTOS!$D$5:$D$1005="jabas")*(MOVIMIENTOS!$A$5:$A$1005&lt;&gt;"")*(MOVIMIENTOS!$A$5:$A$1005&lt;=$A68)*MOVIMIENTOS!$E$5:$E$1005)+SUMPRODUCT((MOVIMIENTOS!$B$5:$B$1005="PROCESO")*(MOVIMIENTOS!$C$5:$C$1005="M")*(MOVIMIENTOS!$D$5:$D$1005="jabas")*(MOVIMIENTOS!$A$5:$A$1005&lt;&gt;"")*(MOVIMIENTOS!$A$5:$A$1005&lt;=$A68)*MOVIMIENTOS!$E$5:$E$1005)-SUMPRODUCT((MOVIMIENTOS!$B$5:$B$1005="ENVÍO A SUPESA")*(MOVIMIENTOS!$C$5:$C$1005="M")*(MOVIMIENTOS!$D$5:$D$1005="jabas")*(MOVIMIENTOS!$A$5:$A$1005&lt;&gt;"")*(MOVIMIENTOS!$A$5:$A$1005&lt;=$A68)*MOVIMIENTOS!$E$5:$E$1005)+SUMPRODUCT((MOVIMIENTOS!$B$5:$B$1005="DEVOLUCIÓN")*(MOVIMIENTOS!$C$5:$C$1005="M")*(MOVIMIENTOS!$D$5:$D$1005="jabas")*(MOVIMIENTOS!$A$5:$A$1005&lt;&gt;"")*(MOVIMIENTOS!$A$5:$A$1005&lt;=$A68)*MOVIMIENTOS!$E$5:$E$1005)-SUMPRODUCT((MOVIMIENTOS!$B$5:$B$1005="TRASIEGO")*(MOVIMIENTOS!$C$5:$C$1005="M")*(MOVIMIENTOS!$D$5:$D$1005="jabas")*(MOVIMIENTOS!$A$5:$A$1005&lt;&gt;"")*(MOVIMIENTOS!$A$5:$A$1005&lt;=$A68)*MOVIMIENTOS!$E$5:$E$1005)-SUMPRODUCT((MOVIMIENTOS!$B$5:$B$1005="REGALO")*(MOVIMIENTOS!$C$5:$C$1005="M")*(MOVIMIENTOS!$D$5:$D$1005="jabas")*(MOVIMIENTOS!$A$5:$A$1005&lt;&gt;"")*(MOVIMIENTOS!$A$5:$A$1005&lt;=$A68)*MOVIMIENTOS!$E$5:$E$1005)-SUMPRODUCT((MOVIMIENTOS!$B$5:$B$1005="VENTA")*(MOVIMIENTOS!$C$5:$C$1005="M")*(MOVIMIENTOS!$D$5:$D$1005="jabas")*(MOVIMIENTOS!$A$5:$A$1005&lt;&gt;"")*(MOVIMIENTOS!$A$5:$A$1005&lt;=$A68)*MOVIMIENTOS!$E$5:$E$1005)+SUMPRODUCT((MOVIMIENTOS!$B$5:$B$1005="AJUSTE")*(MOVIMIENTOS!$C$5:$C$1005="M")*(MOVIMIENTOS!$D$5:$D$1005="jabas")*(MOVIMIENTOS!$A$5:$A$1005&lt;&gt;"")*(MOVIMIENTOS!$A$5:$A$1005&lt;=$A68)*MOVIMIENTOS!$E$5:$E$1005))</f>
        <v/>
      </c>
      <c r="F68" s="65" t="str">
        <f>IF($A68="","",SUMPRODUCT((MOVIMIENTOS!$B$5:$B$1005="SALDO INICIAL")*(MOVIMIENTOS!$C$5:$C$1005="Chancho")*(MOVIMIENTOS!$D$5:$D$1005="sacos")*(MOVIMIENTOS!$A$5:$A$1005&lt;&gt;"")*(MOVIMIENTOS!$A$5:$A$1005&lt;=$A68)*MOVIMIENTOS!$E$5:$E$1005)+SUMPRODUCT((MOVIMIENTOS!$B$5:$B$1005="PROCESO")*(MOVIMIENTOS!$C$5:$C$1005="Chancho")*(MOVIMIENTOS!$D$5:$D$1005="sacos")*(MOVIMIENTOS!$A$5:$A$1005&lt;&gt;"")*(MOVIMIENTOS!$A$5:$A$1005&lt;=$A68)*MOVIMIENTOS!$E$5:$E$1005)-SUMPRODUCT((MOVIMIENTOS!$B$5:$B$1005="VENTA CHANCHO")*(MOVIMIENTOS!$C$5:$C$1005="Chancho")*(MOVIMIENTOS!$D$5:$D$1005="sacos")*(MOVIMIENTOS!$A$5:$A$1005&lt;&gt;"")*(MOVIMIENTOS!$A$5:$A$1005&lt;=$A68)*MOVIMIENTOS!$E$5:$E$1005)-SUMPRODUCT((MOVIMIENTOS!$B$5:$B$1005="REGALO")*(MOVIMIENTOS!$C$5:$C$1005="Chancho")*(MOVIMIENTOS!$D$5:$D$1005="sacos")*(MOVIMIENTOS!$A$5:$A$1005&lt;&gt;"")*(MOVIMIENTOS!$A$5:$A$1005&lt;=$A68)*MOVIMIENTOS!$E$5:$E$1005)-SUMPRODUCT((MOVIMIENTOS!$B$5:$B$1005="VENTA")*(MOVIMIENTOS!$C$5:$C$1005="Chancho")*(MOVIMIENTOS!$D$5:$D$1005="sacos")*(MOVIMIENTOS!$A$5:$A$1005&lt;&gt;"")*(MOVIMIENTOS!$A$5:$A$1005&lt;=$A68)*MOVIMIENTOS!$E$5:$E$1005)+SUMPRODUCT((MOVIMIENTOS!$B$5:$B$1005="AJUSTE")*(MOVIMIENTOS!$C$5:$C$1005="Chancho")*(MOVIMIENTOS!$D$5:$D$1005="sacos")*(MOVIMIENTOS!$A$5:$A$1005&lt;&gt;"")*(MOVIMIENTOS!$A$5:$A$1005&lt;=$A68)*MOVIMIENTOS!$E$5:$E$1005))</f>
        <v/>
      </c>
      <c r="G68" s="77" t="str">
        <f t="shared" si="1"/>
        <v/>
      </c>
      <c r="H68" s="65" t="str">
        <f>IF($A68="","",SUMPRODUCT((((MOVIMIENTOS!$B$5:$B$1005="SALDO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68)*MOVIMIENTOS!$J$5:$J$1005))</f>
        <v/>
      </c>
      <c r="I68" s="63"/>
      <c r="J68" s="63" t="str">
        <f>IF(AND(MOVIMIENTOS!$A68&lt;&gt;"",COUNTIF(MOVIMIENTOS!$A$5:$A67,MOVIMIENTOS!$A68)=0),COUNT(J$4:J67)+1,"")</f>
        <v/>
      </c>
      <c r="K68" s="66">
        <f>MOVIMIENTOS!$A68</f>
        <v>46220</v>
      </c>
      <c r="L68" s="63"/>
      <c r="M68" s="63"/>
      <c r="N68" s="63"/>
    </row>
    <row r="69" spans="1:14" ht="15" customHeight="1" x14ac:dyDescent="0.2">
      <c r="A69" s="64" t="str">
        <f t="shared" ref="A69:A132" si="2">IFERROR(INDEX(K$5:K$1000,MATCH(ROW()-4,J$5:J$1000,0)),"")</f>
        <v/>
      </c>
      <c r="B69" s="65" t="str">
        <f>IF($A69="","",SUMPRODUCT((MOVIMIENTOS!$B$5:$B$1005="SALDO INICIAL")*(MOVIMIENTOS!$C$5:$C$1005="A")*(MOVIMIENTOS!$D$5:$D$1005="jabas")*(MOVIMIENTOS!$A$5:$A$1005&lt;&gt;"")*(MOVIMIENTOS!$A$5:$A$1005&lt;=$A69)*MOVIMIENTOS!$E$5:$E$1005)+SUMPRODUCT((MOVIMIENTOS!$B$5:$B$1005="PROCESO")*(MOVIMIENTOS!$C$5:$C$1005="A")*(MOVIMIENTOS!$D$5:$D$1005="jabas")*(MOVIMIENTOS!$A$5:$A$1005&lt;&gt;"")*(MOVIMIENTOS!$A$5:$A$1005&lt;=$A69)*MOVIMIENTOS!$E$5:$E$1005)-SUMPRODUCT((MOVIMIENTOS!$B$5:$B$1005="ENVÍO A SUPESA")*(MOVIMIENTOS!$C$5:$C$1005="A")*(MOVIMIENTOS!$D$5:$D$1005="jabas")*(MOVIMIENTOS!$A$5:$A$1005&lt;&gt;"")*(MOVIMIENTOS!$A$5:$A$1005&lt;=$A69)*MOVIMIENTOS!$E$5:$E$1005)+SUMPRODUCT((MOVIMIENTOS!$B$5:$B$1005="DEVOLUCIÓN")*(MOVIMIENTOS!$C$5:$C$1005="A")*(MOVIMIENTOS!$D$5:$D$1005="jabas")*(MOVIMIENTOS!$A$5:$A$1005&lt;&gt;"")*(MOVIMIENTOS!$A$5:$A$1005&lt;=$A69)*MOVIMIENTOS!$E$5:$E$1005)-SUMPRODUCT((MOVIMIENTOS!$B$5:$B$1005="TRASIEGO")*(MOVIMIENTOS!$C$5:$C$1005="A")*(MOVIMIENTOS!$D$5:$D$1005="jabas")*(MOVIMIENTOS!$A$5:$A$1005&lt;&gt;"")*(MOVIMIENTOS!$A$5:$A$1005&lt;=$A69)*MOVIMIENTOS!$E$5:$E$1005)-SUMPRODUCT((MOVIMIENTOS!$B$5:$B$1005="REGALO")*(MOVIMIENTOS!$C$5:$C$1005="A")*(MOVIMIENTOS!$D$5:$D$1005="jabas")*(MOVIMIENTOS!$A$5:$A$1005&lt;&gt;"")*(MOVIMIENTOS!$A$5:$A$1005&lt;=$A69)*MOVIMIENTOS!$E$5:$E$1005)-SUMPRODUCT((MOVIMIENTOS!$B$5:$B$1005="VENTA")*(MOVIMIENTOS!$C$5:$C$1005="A")*(MOVIMIENTOS!$D$5:$D$1005="jabas")*(MOVIMIENTOS!$A$5:$A$1005&lt;&gt;"")*(MOVIMIENTOS!$A$5:$A$1005&lt;=$A69)*MOVIMIENTOS!$E$5:$E$1005)+SUMPRODUCT((MOVIMIENTOS!$B$5:$B$1005="AJUSTE")*(MOVIMIENTOS!$C$5:$C$1005="A")*(MOVIMIENTOS!$D$5:$D$1005="jabas")*(MOVIMIENTOS!$A$5:$A$1005&lt;&gt;"")*(MOVIMIENTOS!$A$5:$A$1005&lt;=$A69)*MOVIMIENTOS!$E$5:$E$1005))</f>
        <v/>
      </c>
      <c r="C69" s="65" t="str">
        <f>IF($A69="","",SUMPRODUCT((MOVIMIENTOS!$B$5:$B$1005="SALDO INICIAL")*(MOVIMIENTOS!$C$5:$C$1005="P")*(MOVIMIENTOS!$D$5:$D$1005="jabas")*(MOVIMIENTOS!$A$5:$A$1005&lt;&gt;"")*(MOVIMIENTOS!$A$5:$A$1005&lt;=$A69)*MOVIMIENTOS!$E$5:$E$1005)+SUMPRODUCT((MOVIMIENTOS!$B$5:$B$1005="PROCESO")*(MOVIMIENTOS!$C$5:$C$1005="P")*(MOVIMIENTOS!$D$5:$D$1005="jabas")*(MOVIMIENTOS!$A$5:$A$1005&lt;&gt;"")*(MOVIMIENTOS!$A$5:$A$1005&lt;=$A69)*MOVIMIENTOS!$E$5:$E$1005)-SUMPRODUCT((MOVIMIENTOS!$B$5:$B$1005="ENVÍO A SUPESA")*(MOVIMIENTOS!$C$5:$C$1005="P")*(MOVIMIENTOS!$D$5:$D$1005="jabas")*(MOVIMIENTOS!$A$5:$A$1005&lt;&gt;"")*(MOVIMIENTOS!$A$5:$A$1005&lt;=$A69)*MOVIMIENTOS!$E$5:$E$1005)+SUMPRODUCT((MOVIMIENTOS!$B$5:$B$1005="DEVOLUCIÓN")*(MOVIMIENTOS!$C$5:$C$1005="P")*(MOVIMIENTOS!$D$5:$D$1005="jabas")*(MOVIMIENTOS!$A$5:$A$1005&lt;&gt;"")*(MOVIMIENTOS!$A$5:$A$1005&lt;=$A69)*MOVIMIENTOS!$E$5:$E$1005)-SUMPRODUCT((MOVIMIENTOS!$B$5:$B$1005="TRASIEGO")*(MOVIMIENTOS!$C$5:$C$1005="P")*(MOVIMIENTOS!$D$5:$D$1005="jabas")*(MOVIMIENTOS!$A$5:$A$1005&lt;&gt;"")*(MOVIMIENTOS!$A$5:$A$1005&lt;=$A69)*MOVIMIENTOS!$E$5:$E$1005)-SUMPRODUCT((MOVIMIENTOS!$B$5:$B$1005="REGALO")*(MOVIMIENTOS!$C$5:$C$1005="P")*(MOVIMIENTOS!$D$5:$D$1005="jabas")*(MOVIMIENTOS!$A$5:$A$1005&lt;&gt;"")*(MOVIMIENTOS!$A$5:$A$1005&lt;=$A69)*MOVIMIENTOS!$E$5:$E$1005)-SUMPRODUCT((MOVIMIENTOS!$B$5:$B$1005="VENTA")*(MOVIMIENTOS!$C$5:$C$1005="P")*(MOVIMIENTOS!$D$5:$D$1005="jabas")*(MOVIMIENTOS!$A$5:$A$1005&lt;&gt;"")*(MOVIMIENTOS!$A$5:$A$1005&lt;=$A69)*MOVIMIENTOS!$E$5:$E$1005)+SUMPRODUCT((MOVIMIENTOS!$B$5:$B$1005="AJUSTE")*(MOVIMIENTOS!$C$5:$C$1005="P")*(MOVIMIENTOS!$D$5:$D$1005="jabas")*(MOVIMIENTOS!$A$5:$A$1005&lt;&gt;"")*(MOVIMIENTOS!$A$5:$A$1005&lt;=$A69)*MOVIMIENTOS!$E$5:$E$1005))</f>
        <v/>
      </c>
      <c r="D69" s="65" t="str">
        <f>IF($A69="","",SUMPRODUCT((MOVIMIENTOS!$B$5:$B$1005="SALDO INICIAL")*(MOVIMIENTOS!$C$5:$C$1005="C")*(MOVIMIENTOS!$D$5:$D$1005="jabas")*(MOVIMIENTOS!$A$5:$A$1005&lt;&gt;"")*(MOVIMIENTOS!$A$5:$A$1005&lt;=$A69)*MOVIMIENTOS!$E$5:$E$1005)+SUMPRODUCT((MOVIMIENTOS!$B$5:$B$1005="PROCESO")*(MOVIMIENTOS!$C$5:$C$1005="C")*(MOVIMIENTOS!$D$5:$D$1005="jabas")*(MOVIMIENTOS!$A$5:$A$1005&lt;&gt;"")*(MOVIMIENTOS!$A$5:$A$1005&lt;=$A69)*MOVIMIENTOS!$E$5:$E$1005)-SUMPRODUCT((MOVIMIENTOS!$B$5:$B$1005="ENVÍO A SUPESA")*(MOVIMIENTOS!$C$5:$C$1005="C")*(MOVIMIENTOS!$D$5:$D$1005="jabas")*(MOVIMIENTOS!$A$5:$A$1005&lt;&gt;"")*(MOVIMIENTOS!$A$5:$A$1005&lt;=$A69)*MOVIMIENTOS!$E$5:$E$1005)+SUMPRODUCT((MOVIMIENTOS!$B$5:$B$1005="DEVOLUCIÓN")*(MOVIMIENTOS!$C$5:$C$1005="C")*(MOVIMIENTOS!$D$5:$D$1005="jabas")*(MOVIMIENTOS!$A$5:$A$1005&lt;&gt;"")*(MOVIMIENTOS!$A$5:$A$1005&lt;=$A69)*MOVIMIENTOS!$E$5:$E$1005)-SUMPRODUCT((MOVIMIENTOS!$B$5:$B$1005="TRASIEGO")*(MOVIMIENTOS!$C$5:$C$1005="C")*(MOVIMIENTOS!$D$5:$D$1005="jabas")*(MOVIMIENTOS!$A$5:$A$1005&lt;&gt;"")*(MOVIMIENTOS!$A$5:$A$1005&lt;=$A69)*MOVIMIENTOS!$E$5:$E$1005)-SUMPRODUCT((MOVIMIENTOS!$B$5:$B$1005="REGALO")*(MOVIMIENTOS!$C$5:$C$1005="C")*(MOVIMIENTOS!$D$5:$D$1005="jabas")*(MOVIMIENTOS!$A$5:$A$1005&lt;&gt;"")*(MOVIMIENTOS!$A$5:$A$1005&lt;=$A69)*MOVIMIENTOS!$E$5:$E$1005)-SUMPRODUCT((MOVIMIENTOS!$B$5:$B$1005="VENTA")*(MOVIMIENTOS!$C$5:$C$1005="C")*(MOVIMIENTOS!$D$5:$D$1005="jabas")*(MOVIMIENTOS!$A$5:$A$1005&lt;&gt;"")*(MOVIMIENTOS!$A$5:$A$1005&lt;=$A69)*MOVIMIENTOS!$E$5:$E$1005)+SUMPRODUCT((MOVIMIENTOS!$B$5:$B$1005="AJUSTE")*(MOVIMIENTOS!$C$5:$C$1005="C")*(MOVIMIENTOS!$D$5:$D$1005="jabas")*(MOVIMIENTOS!$A$5:$A$1005&lt;&gt;"")*(MOVIMIENTOS!$A$5:$A$1005&lt;=$A69)*MOVIMIENTOS!$E$5:$E$1005))</f>
        <v/>
      </c>
      <c r="E69" s="65" t="str">
        <f>IF($A69="","",SUMPRODUCT((MOVIMIENTOS!$B$5:$B$1005="SALDO INICIAL")*(MOVIMIENTOS!$C$5:$C$1005="M")*(MOVIMIENTOS!$D$5:$D$1005="jabas")*(MOVIMIENTOS!$A$5:$A$1005&lt;&gt;"")*(MOVIMIENTOS!$A$5:$A$1005&lt;=$A69)*MOVIMIENTOS!$E$5:$E$1005)+SUMPRODUCT((MOVIMIENTOS!$B$5:$B$1005="PROCESO")*(MOVIMIENTOS!$C$5:$C$1005="M")*(MOVIMIENTOS!$D$5:$D$1005="jabas")*(MOVIMIENTOS!$A$5:$A$1005&lt;&gt;"")*(MOVIMIENTOS!$A$5:$A$1005&lt;=$A69)*MOVIMIENTOS!$E$5:$E$1005)-SUMPRODUCT((MOVIMIENTOS!$B$5:$B$1005="ENVÍO A SUPESA")*(MOVIMIENTOS!$C$5:$C$1005="M")*(MOVIMIENTOS!$D$5:$D$1005="jabas")*(MOVIMIENTOS!$A$5:$A$1005&lt;&gt;"")*(MOVIMIENTOS!$A$5:$A$1005&lt;=$A69)*MOVIMIENTOS!$E$5:$E$1005)+SUMPRODUCT((MOVIMIENTOS!$B$5:$B$1005="DEVOLUCIÓN")*(MOVIMIENTOS!$C$5:$C$1005="M")*(MOVIMIENTOS!$D$5:$D$1005="jabas")*(MOVIMIENTOS!$A$5:$A$1005&lt;&gt;"")*(MOVIMIENTOS!$A$5:$A$1005&lt;=$A69)*MOVIMIENTOS!$E$5:$E$1005)-SUMPRODUCT((MOVIMIENTOS!$B$5:$B$1005="TRASIEGO")*(MOVIMIENTOS!$C$5:$C$1005="M")*(MOVIMIENTOS!$D$5:$D$1005="jabas")*(MOVIMIENTOS!$A$5:$A$1005&lt;&gt;"")*(MOVIMIENTOS!$A$5:$A$1005&lt;=$A69)*MOVIMIENTOS!$E$5:$E$1005)-SUMPRODUCT((MOVIMIENTOS!$B$5:$B$1005="REGALO")*(MOVIMIENTOS!$C$5:$C$1005="M")*(MOVIMIENTOS!$D$5:$D$1005="jabas")*(MOVIMIENTOS!$A$5:$A$1005&lt;&gt;"")*(MOVIMIENTOS!$A$5:$A$1005&lt;=$A69)*MOVIMIENTOS!$E$5:$E$1005)-SUMPRODUCT((MOVIMIENTOS!$B$5:$B$1005="VENTA")*(MOVIMIENTOS!$C$5:$C$1005="M")*(MOVIMIENTOS!$D$5:$D$1005="jabas")*(MOVIMIENTOS!$A$5:$A$1005&lt;&gt;"")*(MOVIMIENTOS!$A$5:$A$1005&lt;=$A69)*MOVIMIENTOS!$E$5:$E$1005)+SUMPRODUCT((MOVIMIENTOS!$B$5:$B$1005="AJUSTE")*(MOVIMIENTOS!$C$5:$C$1005="M")*(MOVIMIENTOS!$D$5:$D$1005="jabas")*(MOVIMIENTOS!$A$5:$A$1005&lt;&gt;"")*(MOVIMIENTOS!$A$5:$A$1005&lt;=$A69)*MOVIMIENTOS!$E$5:$E$1005))</f>
        <v/>
      </c>
      <c r="F69" s="65" t="str">
        <f>IF($A69="","",SUMPRODUCT((MOVIMIENTOS!$B$5:$B$1005="SALDO INICIAL")*(MOVIMIENTOS!$C$5:$C$1005="Chancho")*(MOVIMIENTOS!$D$5:$D$1005="sacos")*(MOVIMIENTOS!$A$5:$A$1005&lt;&gt;"")*(MOVIMIENTOS!$A$5:$A$1005&lt;=$A69)*MOVIMIENTOS!$E$5:$E$1005)+SUMPRODUCT((MOVIMIENTOS!$B$5:$B$1005="PROCESO")*(MOVIMIENTOS!$C$5:$C$1005="Chancho")*(MOVIMIENTOS!$D$5:$D$1005="sacos")*(MOVIMIENTOS!$A$5:$A$1005&lt;&gt;"")*(MOVIMIENTOS!$A$5:$A$1005&lt;=$A69)*MOVIMIENTOS!$E$5:$E$1005)-SUMPRODUCT((MOVIMIENTOS!$B$5:$B$1005="VENTA CHANCHO")*(MOVIMIENTOS!$C$5:$C$1005="Chancho")*(MOVIMIENTOS!$D$5:$D$1005="sacos")*(MOVIMIENTOS!$A$5:$A$1005&lt;&gt;"")*(MOVIMIENTOS!$A$5:$A$1005&lt;=$A69)*MOVIMIENTOS!$E$5:$E$1005)-SUMPRODUCT((MOVIMIENTOS!$B$5:$B$1005="REGALO")*(MOVIMIENTOS!$C$5:$C$1005="Chancho")*(MOVIMIENTOS!$D$5:$D$1005="sacos")*(MOVIMIENTOS!$A$5:$A$1005&lt;&gt;"")*(MOVIMIENTOS!$A$5:$A$1005&lt;=$A69)*MOVIMIENTOS!$E$5:$E$1005)-SUMPRODUCT((MOVIMIENTOS!$B$5:$B$1005="VENTA")*(MOVIMIENTOS!$C$5:$C$1005="Chancho")*(MOVIMIENTOS!$D$5:$D$1005="sacos")*(MOVIMIENTOS!$A$5:$A$1005&lt;&gt;"")*(MOVIMIENTOS!$A$5:$A$1005&lt;=$A69)*MOVIMIENTOS!$E$5:$E$1005)+SUMPRODUCT((MOVIMIENTOS!$B$5:$B$1005="AJUSTE")*(MOVIMIENTOS!$C$5:$C$1005="Chancho")*(MOVIMIENTOS!$D$5:$D$1005="sacos")*(MOVIMIENTOS!$A$5:$A$1005&lt;&gt;"")*(MOVIMIENTOS!$A$5:$A$1005&lt;=$A69)*MOVIMIENTOS!$E$5:$E$1005))</f>
        <v/>
      </c>
      <c r="G69" s="77" t="str">
        <f t="shared" ref="G69:G132" si="3">IF($A69="","",SUM(B69:E69))</f>
        <v/>
      </c>
      <c r="H69" s="65" t="str">
        <f>IF($A69="","",SUMPRODUCT((((MOVIMIENTOS!$B$5:$B$1005="SALDO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69)*MOVIMIENTOS!$J$5:$J$1005))</f>
        <v/>
      </c>
      <c r="I69" s="63"/>
      <c r="J69" s="63" t="str">
        <f>IF(AND(MOVIMIENTOS!$A69&lt;&gt;"",COUNTIF(MOVIMIENTOS!$A$5:$A68,MOVIMIENTOS!$A69)=0),COUNT(J$4:J68)+1,"")</f>
        <v/>
      </c>
      <c r="K69" s="66">
        <f>MOVIMIENTOS!$A69</f>
        <v>46220</v>
      </c>
      <c r="L69" s="63"/>
      <c r="M69" s="63"/>
      <c r="N69" s="63"/>
    </row>
    <row r="70" spans="1:14" ht="15" customHeight="1" x14ac:dyDescent="0.2">
      <c r="A70" s="63" t="str">
        <f t="shared" si="2"/>
        <v/>
      </c>
      <c r="B70" s="63" t="str">
        <f>IF($A70="","",SUMPRODUCT((MOVIMIENTOS!$B$5:$B$1005="SALDO INICIAL")*(MOVIMIENTOS!$C$5:$C$1005="A")*(MOVIMIENTOS!$D$5:$D$1005="jabas")*(MOVIMIENTOS!$A$5:$A$1005&lt;&gt;"")*(MOVIMIENTOS!$A$5:$A$1005&lt;=$A70)*MOVIMIENTOS!$E$5:$E$1005)+SUMPRODUCT((MOVIMIENTOS!$B$5:$B$1005="PROCESO")*(MOVIMIENTOS!$C$5:$C$1005="A")*(MOVIMIENTOS!$D$5:$D$1005="jabas")*(MOVIMIENTOS!$A$5:$A$1005&lt;&gt;"")*(MOVIMIENTOS!$A$5:$A$1005&lt;=$A70)*MOVIMIENTOS!$E$5:$E$1005)-SUMPRODUCT((MOVIMIENTOS!$B$5:$B$1005="ENVÍO A SUPESA")*(MOVIMIENTOS!$C$5:$C$1005="A")*(MOVIMIENTOS!$D$5:$D$1005="jabas")*(MOVIMIENTOS!$A$5:$A$1005&lt;&gt;"")*(MOVIMIENTOS!$A$5:$A$1005&lt;=$A70)*MOVIMIENTOS!$E$5:$E$1005)+SUMPRODUCT((MOVIMIENTOS!$B$5:$B$1005="DEVOLUCIÓN")*(MOVIMIENTOS!$C$5:$C$1005="A")*(MOVIMIENTOS!$D$5:$D$1005="jabas")*(MOVIMIENTOS!$A$5:$A$1005&lt;&gt;"")*(MOVIMIENTOS!$A$5:$A$1005&lt;=$A70)*MOVIMIENTOS!$E$5:$E$1005)-SUMPRODUCT((MOVIMIENTOS!$B$5:$B$1005="TRASIEGO")*(MOVIMIENTOS!$C$5:$C$1005="A")*(MOVIMIENTOS!$D$5:$D$1005="jabas")*(MOVIMIENTOS!$A$5:$A$1005&lt;&gt;"")*(MOVIMIENTOS!$A$5:$A$1005&lt;=$A70)*MOVIMIENTOS!$E$5:$E$1005)-SUMPRODUCT((MOVIMIENTOS!$B$5:$B$1005="REGALO")*(MOVIMIENTOS!$C$5:$C$1005="A")*(MOVIMIENTOS!$D$5:$D$1005="jabas")*(MOVIMIENTOS!$A$5:$A$1005&lt;&gt;"")*(MOVIMIENTOS!$A$5:$A$1005&lt;=$A70)*MOVIMIENTOS!$E$5:$E$1005)-SUMPRODUCT((MOVIMIENTOS!$B$5:$B$1005="VENTA")*(MOVIMIENTOS!$C$5:$C$1005="A")*(MOVIMIENTOS!$D$5:$D$1005="jabas")*(MOVIMIENTOS!$A$5:$A$1005&lt;&gt;"")*(MOVIMIENTOS!$A$5:$A$1005&lt;=$A70)*MOVIMIENTOS!$E$5:$E$1005)+SUMPRODUCT((MOVIMIENTOS!$B$5:$B$1005="AJUSTE")*(MOVIMIENTOS!$C$5:$C$1005="A")*(MOVIMIENTOS!$D$5:$D$1005="jabas")*(MOVIMIENTOS!$A$5:$A$1005&lt;&gt;"")*(MOVIMIENTOS!$A$5:$A$1005&lt;=$A70)*MOVIMIENTOS!$E$5:$E$1005))</f>
        <v/>
      </c>
      <c r="C70" s="63" t="str">
        <f>IF($A70="","",SUMPRODUCT((MOVIMIENTOS!$B$5:$B$1005="SALDO INICIAL")*(MOVIMIENTOS!$C$5:$C$1005="P")*(MOVIMIENTOS!$D$5:$D$1005="jabas")*(MOVIMIENTOS!$A$5:$A$1005&lt;&gt;"")*(MOVIMIENTOS!$A$5:$A$1005&lt;=$A70)*MOVIMIENTOS!$E$5:$E$1005)+SUMPRODUCT((MOVIMIENTOS!$B$5:$B$1005="PROCESO")*(MOVIMIENTOS!$C$5:$C$1005="P")*(MOVIMIENTOS!$D$5:$D$1005="jabas")*(MOVIMIENTOS!$A$5:$A$1005&lt;&gt;"")*(MOVIMIENTOS!$A$5:$A$1005&lt;=$A70)*MOVIMIENTOS!$E$5:$E$1005)-SUMPRODUCT((MOVIMIENTOS!$B$5:$B$1005="ENVÍO A SUPESA")*(MOVIMIENTOS!$C$5:$C$1005="P")*(MOVIMIENTOS!$D$5:$D$1005="jabas")*(MOVIMIENTOS!$A$5:$A$1005&lt;&gt;"")*(MOVIMIENTOS!$A$5:$A$1005&lt;=$A70)*MOVIMIENTOS!$E$5:$E$1005)+SUMPRODUCT((MOVIMIENTOS!$B$5:$B$1005="DEVOLUCIÓN")*(MOVIMIENTOS!$C$5:$C$1005="P")*(MOVIMIENTOS!$D$5:$D$1005="jabas")*(MOVIMIENTOS!$A$5:$A$1005&lt;&gt;"")*(MOVIMIENTOS!$A$5:$A$1005&lt;=$A70)*MOVIMIENTOS!$E$5:$E$1005)-SUMPRODUCT((MOVIMIENTOS!$B$5:$B$1005="TRASIEGO")*(MOVIMIENTOS!$C$5:$C$1005="P")*(MOVIMIENTOS!$D$5:$D$1005="jabas")*(MOVIMIENTOS!$A$5:$A$1005&lt;&gt;"")*(MOVIMIENTOS!$A$5:$A$1005&lt;=$A70)*MOVIMIENTOS!$E$5:$E$1005)-SUMPRODUCT((MOVIMIENTOS!$B$5:$B$1005="REGALO")*(MOVIMIENTOS!$C$5:$C$1005="P")*(MOVIMIENTOS!$D$5:$D$1005="jabas")*(MOVIMIENTOS!$A$5:$A$1005&lt;&gt;"")*(MOVIMIENTOS!$A$5:$A$1005&lt;=$A70)*MOVIMIENTOS!$E$5:$E$1005)-SUMPRODUCT((MOVIMIENTOS!$B$5:$B$1005="VENTA")*(MOVIMIENTOS!$C$5:$C$1005="P")*(MOVIMIENTOS!$D$5:$D$1005="jabas")*(MOVIMIENTOS!$A$5:$A$1005&lt;&gt;"")*(MOVIMIENTOS!$A$5:$A$1005&lt;=$A70)*MOVIMIENTOS!$E$5:$E$1005)+SUMPRODUCT((MOVIMIENTOS!$B$5:$B$1005="AJUSTE")*(MOVIMIENTOS!$C$5:$C$1005="P")*(MOVIMIENTOS!$D$5:$D$1005="jabas")*(MOVIMIENTOS!$A$5:$A$1005&lt;&gt;"")*(MOVIMIENTOS!$A$5:$A$1005&lt;=$A70)*MOVIMIENTOS!$E$5:$E$1005))</f>
        <v/>
      </c>
      <c r="D70" s="63" t="str">
        <f>IF($A70="","",SUMPRODUCT((MOVIMIENTOS!$B$5:$B$1005="SALDO INICIAL")*(MOVIMIENTOS!$C$5:$C$1005="C")*(MOVIMIENTOS!$D$5:$D$1005="jabas")*(MOVIMIENTOS!$A$5:$A$1005&lt;&gt;"")*(MOVIMIENTOS!$A$5:$A$1005&lt;=$A70)*MOVIMIENTOS!$E$5:$E$1005)+SUMPRODUCT((MOVIMIENTOS!$B$5:$B$1005="PROCESO")*(MOVIMIENTOS!$C$5:$C$1005="C")*(MOVIMIENTOS!$D$5:$D$1005="jabas")*(MOVIMIENTOS!$A$5:$A$1005&lt;&gt;"")*(MOVIMIENTOS!$A$5:$A$1005&lt;=$A70)*MOVIMIENTOS!$E$5:$E$1005)-SUMPRODUCT((MOVIMIENTOS!$B$5:$B$1005="ENVÍO A SUPESA")*(MOVIMIENTOS!$C$5:$C$1005="C")*(MOVIMIENTOS!$D$5:$D$1005="jabas")*(MOVIMIENTOS!$A$5:$A$1005&lt;&gt;"")*(MOVIMIENTOS!$A$5:$A$1005&lt;=$A70)*MOVIMIENTOS!$E$5:$E$1005)+SUMPRODUCT((MOVIMIENTOS!$B$5:$B$1005="DEVOLUCIÓN")*(MOVIMIENTOS!$C$5:$C$1005="C")*(MOVIMIENTOS!$D$5:$D$1005="jabas")*(MOVIMIENTOS!$A$5:$A$1005&lt;&gt;"")*(MOVIMIENTOS!$A$5:$A$1005&lt;=$A70)*MOVIMIENTOS!$E$5:$E$1005)-SUMPRODUCT((MOVIMIENTOS!$B$5:$B$1005="TRASIEGO")*(MOVIMIENTOS!$C$5:$C$1005="C")*(MOVIMIENTOS!$D$5:$D$1005="jabas")*(MOVIMIENTOS!$A$5:$A$1005&lt;&gt;"")*(MOVIMIENTOS!$A$5:$A$1005&lt;=$A70)*MOVIMIENTOS!$E$5:$E$1005)-SUMPRODUCT((MOVIMIENTOS!$B$5:$B$1005="REGALO")*(MOVIMIENTOS!$C$5:$C$1005="C")*(MOVIMIENTOS!$D$5:$D$1005="jabas")*(MOVIMIENTOS!$A$5:$A$1005&lt;&gt;"")*(MOVIMIENTOS!$A$5:$A$1005&lt;=$A70)*MOVIMIENTOS!$E$5:$E$1005)-SUMPRODUCT((MOVIMIENTOS!$B$5:$B$1005="VENTA")*(MOVIMIENTOS!$C$5:$C$1005="C")*(MOVIMIENTOS!$D$5:$D$1005="jabas")*(MOVIMIENTOS!$A$5:$A$1005&lt;&gt;"")*(MOVIMIENTOS!$A$5:$A$1005&lt;=$A70)*MOVIMIENTOS!$E$5:$E$1005)+SUMPRODUCT((MOVIMIENTOS!$B$5:$B$1005="AJUSTE")*(MOVIMIENTOS!$C$5:$C$1005="C")*(MOVIMIENTOS!$D$5:$D$1005="jabas")*(MOVIMIENTOS!$A$5:$A$1005&lt;&gt;"")*(MOVIMIENTOS!$A$5:$A$1005&lt;=$A70)*MOVIMIENTOS!$E$5:$E$1005))</f>
        <v/>
      </c>
      <c r="E70" s="63" t="str">
        <f>IF($A70="","",SUMPRODUCT((MOVIMIENTOS!$B$5:$B$1005="SALDO INICIAL")*(MOVIMIENTOS!$C$5:$C$1005="M")*(MOVIMIENTOS!$D$5:$D$1005="jabas")*(MOVIMIENTOS!$A$5:$A$1005&lt;&gt;"")*(MOVIMIENTOS!$A$5:$A$1005&lt;=$A70)*MOVIMIENTOS!$E$5:$E$1005)+SUMPRODUCT((MOVIMIENTOS!$B$5:$B$1005="PROCESO")*(MOVIMIENTOS!$C$5:$C$1005="M")*(MOVIMIENTOS!$D$5:$D$1005="jabas")*(MOVIMIENTOS!$A$5:$A$1005&lt;&gt;"")*(MOVIMIENTOS!$A$5:$A$1005&lt;=$A70)*MOVIMIENTOS!$E$5:$E$1005)-SUMPRODUCT((MOVIMIENTOS!$B$5:$B$1005="ENVÍO A SUPESA")*(MOVIMIENTOS!$C$5:$C$1005="M")*(MOVIMIENTOS!$D$5:$D$1005="jabas")*(MOVIMIENTOS!$A$5:$A$1005&lt;&gt;"")*(MOVIMIENTOS!$A$5:$A$1005&lt;=$A70)*MOVIMIENTOS!$E$5:$E$1005)+SUMPRODUCT((MOVIMIENTOS!$B$5:$B$1005="DEVOLUCIÓN")*(MOVIMIENTOS!$C$5:$C$1005="M")*(MOVIMIENTOS!$D$5:$D$1005="jabas")*(MOVIMIENTOS!$A$5:$A$1005&lt;&gt;"")*(MOVIMIENTOS!$A$5:$A$1005&lt;=$A70)*MOVIMIENTOS!$E$5:$E$1005)-SUMPRODUCT((MOVIMIENTOS!$B$5:$B$1005="TRASIEGO")*(MOVIMIENTOS!$C$5:$C$1005="M")*(MOVIMIENTOS!$D$5:$D$1005="jabas")*(MOVIMIENTOS!$A$5:$A$1005&lt;&gt;"")*(MOVIMIENTOS!$A$5:$A$1005&lt;=$A70)*MOVIMIENTOS!$E$5:$E$1005)-SUMPRODUCT((MOVIMIENTOS!$B$5:$B$1005="REGALO")*(MOVIMIENTOS!$C$5:$C$1005="M")*(MOVIMIENTOS!$D$5:$D$1005="jabas")*(MOVIMIENTOS!$A$5:$A$1005&lt;&gt;"")*(MOVIMIENTOS!$A$5:$A$1005&lt;=$A70)*MOVIMIENTOS!$E$5:$E$1005)-SUMPRODUCT((MOVIMIENTOS!$B$5:$B$1005="VENTA")*(MOVIMIENTOS!$C$5:$C$1005="M")*(MOVIMIENTOS!$D$5:$D$1005="jabas")*(MOVIMIENTOS!$A$5:$A$1005&lt;&gt;"")*(MOVIMIENTOS!$A$5:$A$1005&lt;=$A70)*MOVIMIENTOS!$E$5:$E$1005)+SUMPRODUCT((MOVIMIENTOS!$B$5:$B$1005="AJUSTE")*(MOVIMIENTOS!$C$5:$C$1005="M")*(MOVIMIENTOS!$D$5:$D$1005="jabas")*(MOVIMIENTOS!$A$5:$A$1005&lt;&gt;"")*(MOVIMIENTOS!$A$5:$A$1005&lt;=$A70)*MOVIMIENTOS!$E$5:$E$1005))</f>
        <v/>
      </c>
      <c r="F70" s="63" t="str">
        <f>IF($A70="","",SUMPRODUCT((MOVIMIENTOS!$B$5:$B$1005="SALDO INICIAL")*(MOVIMIENTOS!$C$5:$C$1005="Chancho")*(MOVIMIENTOS!$D$5:$D$1005="sacos")*(MOVIMIENTOS!$A$5:$A$1005&lt;&gt;"")*(MOVIMIENTOS!$A$5:$A$1005&lt;=$A70)*MOVIMIENTOS!$E$5:$E$1005)+SUMPRODUCT((MOVIMIENTOS!$B$5:$B$1005="PROCESO")*(MOVIMIENTOS!$C$5:$C$1005="Chancho")*(MOVIMIENTOS!$D$5:$D$1005="sacos")*(MOVIMIENTOS!$A$5:$A$1005&lt;&gt;"")*(MOVIMIENTOS!$A$5:$A$1005&lt;=$A70)*MOVIMIENTOS!$E$5:$E$1005)-SUMPRODUCT((MOVIMIENTOS!$B$5:$B$1005="VENTA CHANCHO")*(MOVIMIENTOS!$C$5:$C$1005="Chancho")*(MOVIMIENTOS!$D$5:$D$1005="sacos")*(MOVIMIENTOS!$A$5:$A$1005&lt;&gt;"")*(MOVIMIENTOS!$A$5:$A$1005&lt;=$A70)*MOVIMIENTOS!$E$5:$E$1005)-SUMPRODUCT((MOVIMIENTOS!$B$5:$B$1005="REGALO")*(MOVIMIENTOS!$C$5:$C$1005="Chancho")*(MOVIMIENTOS!$D$5:$D$1005="sacos")*(MOVIMIENTOS!$A$5:$A$1005&lt;&gt;"")*(MOVIMIENTOS!$A$5:$A$1005&lt;=$A70)*MOVIMIENTOS!$E$5:$E$1005)-SUMPRODUCT((MOVIMIENTOS!$B$5:$B$1005="VENTA")*(MOVIMIENTOS!$C$5:$C$1005="Chancho")*(MOVIMIENTOS!$D$5:$D$1005="sacos")*(MOVIMIENTOS!$A$5:$A$1005&lt;&gt;"")*(MOVIMIENTOS!$A$5:$A$1005&lt;=$A70)*MOVIMIENTOS!$E$5:$E$1005)+SUMPRODUCT((MOVIMIENTOS!$B$5:$B$1005="AJUSTE")*(MOVIMIENTOS!$C$5:$C$1005="Chancho")*(MOVIMIENTOS!$D$5:$D$1005="sacos")*(MOVIMIENTOS!$A$5:$A$1005&lt;&gt;"")*(MOVIMIENTOS!$A$5:$A$1005&lt;=$A70)*MOVIMIENTOS!$E$5:$E$1005))</f>
        <v/>
      </c>
      <c r="G70" s="95" t="str">
        <f t="shared" si="3"/>
        <v/>
      </c>
      <c r="H70" s="63" t="str">
        <f>IF($A70="","",SUMPRODUCT((((MOVIMIENTOS!$B$5:$B$1005="SALDO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70)*MOVIMIENTOS!$J$5:$J$1005))</f>
        <v/>
      </c>
      <c r="I70" s="63"/>
      <c r="J70" s="63" t="str">
        <f>IF(AND(MOVIMIENTOS!$A70&lt;&gt;"",COUNTIF(MOVIMIENTOS!$A$5:$A69,MOVIMIENTOS!$A70)=0),COUNT(J$4:J69)+1,"")</f>
        <v/>
      </c>
      <c r="K70" s="66">
        <f>MOVIMIENTOS!$A70</f>
        <v>46220</v>
      </c>
      <c r="L70" s="63"/>
      <c r="M70" s="63"/>
      <c r="N70" s="63"/>
    </row>
    <row r="71" spans="1:14" ht="15" customHeight="1" x14ac:dyDescent="0.2">
      <c r="A71" s="63" t="str">
        <f t="shared" si="2"/>
        <v/>
      </c>
      <c r="B71" s="63" t="str">
        <f>IF($A71="","",SUMPRODUCT((MOVIMIENTOS!$B$5:$B$1005="SALDO INICIAL")*(MOVIMIENTOS!$C$5:$C$1005="A")*(MOVIMIENTOS!$D$5:$D$1005="jabas")*(MOVIMIENTOS!$A$5:$A$1005&lt;&gt;"")*(MOVIMIENTOS!$A$5:$A$1005&lt;=$A71)*MOVIMIENTOS!$E$5:$E$1005)+SUMPRODUCT((MOVIMIENTOS!$B$5:$B$1005="PROCESO")*(MOVIMIENTOS!$C$5:$C$1005="A")*(MOVIMIENTOS!$D$5:$D$1005="jabas")*(MOVIMIENTOS!$A$5:$A$1005&lt;&gt;"")*(MOVIMIENTOS!$A$5:$A$1005&lt;=$A71)*MOVIMIENTOS!$E$5:$E$1005)-SUMPRODUCT((MOVIMIENTOS!$B$5:$B$1005="ENVÍO A SUPESA")*(MOVIMIENTOS!$C$5:$C$1005="A")*(MOVIMIENTOS!$D$5:$D$1005="jabas")*(MOVIMIENTOS!$A$5:$A$1005&lt;&gt;"")*(MOVIMIENTOS!$A$5:$A$1005&lt;=$A71)*MOVIMIENTOS!$E$5:$E$1005)+SUMPRODUCT((MOVIMIENTOS!$B$5:$B$1005="DEVOLUCIÓN")*(MOVIMIENTOS!$C$5:$C$1005="A")*(MOVIMIENTOS!$D$5:$D$1005="jabas")*(MOVIMIENTOS!$A$5:$A$1005&lt;&gt;"")*(MOVIMIENTOS!$A$5:$A$1005&lt;=$A71)*MOVIMIENTOS!$E$5:$E$1005)-SUMPRODUCT((MOVIMIENTOS!$B$5:$B$1005="TRASIEGO")*(MOVIMIENTOS!$C$5:$C$1005="A")*(MOVIMIENTOS!$D$5:$D$1005="jabas")*(MOVIMIENTOS!$A$5:$A$1005&lt;&gt;"")*(MOVIMIENTOS!$A$5:$A$1005&lt;=$A71)*MOVIMIENTOS!$E$5:$E$1005)-SUMPRODUCT((MOVIMIENTOS!$B$5:$B$1005="REGALO")*(MOVIMIENTOS!$C$5:$C$1005="A")*(MOVIMIENTOS!$D$5:$D$1005="jabas")*(MOVIMIENTOS!$A$5:$A$1005&lt;&gt;"")*(MOVIMIENTOS!$A$5:$A$1005&lt;=$A71)*MOVIMIENTOS!$E$5:$E$1005)-SUMPRODUCT((MOVIMIENTOS!$B$5:$B$1005="VENTA")*(MOVIMIENTOS!$C$5:$C$1005="A")*(MOVIMIENTOS!$D$5:$D$1005="jabas")*(MOVIMIENTOS!$A$5:$A$1005&lt;&gt;"")*(MOVIMIENTOS!$A$5:$A$1005&lt;=$A71)*MOVIMIENTOS!$E$5:$E$1005)+SUMPRODUCT((MOVIMIENTOS!$B$5:$B$1005="AJUSTE")*(MOVIMIENTOS!$C$5:$C$1005="A")*(MOVIMIENTOS!$D$5:$D$1005="jabas")*(MOVIMIENTOS!$A$5:$A$1005&lt;&gt;"")*(MOVIMIENTOS!$A$5:$A$1005&lt;=$A71)*MOVIMIENTOS!$E$5:$E$1005))</f>
        <v/>
      </c>
      <c r="C71" s="63" t="str">
        <f>IF($A71="","",SUMPRODUCT((MOVIMIENTOS!$B$5:$B$1005="SALDO INICIAL")*(MOVIMIENTOS!$C$5:$C$1005="P")*(MOVIMIENTOS!$D$5:$D$1005="jabas")*(MOVIMIENTOS!$A$5:$A$1005&lt;&gt;"")*(MOVIMIENTOS!$A$5:$A$1005&lt;=$A71)*MOVIMIENTOS!$E$5:$E$1005)+SUMPRODUCT((MOVIMIENTOS!$B$5:$B$1005="PROCESO")*(MOVIMIENTOS!$C$5:$C$1005="P")*(MOVIMIENTOS!$D$5:$D$1005="jabas")*(MOVIMIENTOS!$A$5:$A$1005&lt;&gt;"")*(MOVIMIENTOS!$A$5:$A$1005&lt;=$A71)*MOVIMIENTOS!$E$5:$E$1005)-SUMPRODUCT((MOVIMIENTOS!$B$5:$B$1005="ENVÍO A SUPESA")*(MOVIMIENTOS!$C$5:$C$1005="P")*(MOVIMIENTOS!$D$5:$D$1005="jabas")*(MOVIMIENTOS!$A$5:$A$1005&lt;&gt;"")*(MOVIMIENTOS!$A$5:$A$1005&lt;=$A71)*MOVIMIENTOS!$E$5:$E$1005)+SUMPRODUCT((MOVIMIENTOS!$B$5:$B$1005="DEVOLUCIÓN")*(MOVIMIENTOS!$C$5:$C$1005="P")*(MOVIMIENTOS!$D$5:$D$1005="jabas")*(MOVIMIENTOS!$A$5:$A$1005&lt;&gt;"")*(MOVIMIENTOS!$A$5:$A$1005&lt;=$A71)*MOVIMIENTOS!$E$5:$E$1005)-SUMPRODUCT((MOVIMIENTOS!$B$5:$B$1005="TRASIEGO")*(MOVIMIENTOS!$C$5:$C$1005="P")*(MOVIMIENTOS!$D$5:$D$1005="jabas")*(MOVIMIENTOS!$A$5:$A$1005&lt;&gt;"")*(MOVIMIENTOS!$A$5:$A$1005&lt;=$A71)*MOVIMIENTOS!$E$5:$E$1005)-SUMPRODUCT((MOVIMIENTOS!$B$5:$B$1005="REGALO")*(MOVIMIENTOS!$C$5:$C$1005="P")*(MOVIMIENTOS!$D$5:$D$1005="jabas")*(MOVIMIENTOS!$A$5:$A$1005&lt;&gt;"")*(MOVIMIENTOS!$A$5:$A$1005&lt;=$A71)*MOVIMIENTOS!$E$5:$E$1005)-SUMPRODUCT((MOVIMIENTOS!$B$5:$B$1005="VENTA")*(MOVIMIENTOS!$C$5:$C$1005="P")*(MOVIMIENTOS!$D$5:$D$1005="jabas")*(MOVIMIENTOS!$A$5:$A$1005&lt;&gt;"")*(MOVIMIENTOS!$A$5:$A$1005&lt;=$A71)*MOVIMIENTOS!$E$5:$E$1005)+SUMPRODUCT((MOVIMIENTOS!$B$5:$B$1005="AJUSTE")*(MOVIMIENTOS!$C$5:$C$1005="P")*(MOVIMIENTOS!$D$5:$D$1005="jabas")*(MOVIMIENTOS!$A$5:$A$1005&lt;&gt;"")*(MOVIMIENTOS!$A$5:$A$1005&lt;=$A71)*MOVIMIENTOS!$E$5:$E$1005))</f>
        <v/>
      </c>
      <c r="D71" s="63" t="str">
        <f>IF($A71="","",SUMPRODUCT((MOVIMIENTOS!$B$5:$B$1005="SALDO INICIAL")*(MOVIMIENTOS!$C$5:$C$1005="C")*(MOVIMIENTOS!$D$5:$D$1005="jabas")*(MOVIMIENTOS!$A$5:$A$1005&lt;&gt;"")*(MOVIMIENTOS!$A$5:$A$1005&lt;=$A71)*MOVIMIENTOS!$E$5:$E$1005)+SUMPRODUCT((MOVIMIENTOS!$B$5:$B$1005="PROCESO")*(MOVIMIENTOS!$C$5:$C$1005="C")*(MOVIMIENTOS!$D$5:$D$1005="jabas")*(MOVIMIENTOS!$A$5:$A$1005&lt;&gt;"")*(MOVIMIENTOS!$A$5:$A$1005&lt;=$A71)*MOVIMIENTOS!$E$5:$E$1005)-SUMPRODUCT((MOVIMIENTOS!$B$5:$B$1005="ENVÍO A SUPESA")*(MOVIMIENTOS!$C$5:$C$1005="C")*(MOVIMIENTOS!$D$5:$D$1005="jabas")*(MOVIMIENTOS!$A$5:$A$1005&lt;&gt;"")*(MOVIMIENTOS!$A$5:$A$1005&lt;=$A71)*MOVIMIENTOS!$E$5:$E$1005)+SUMPRODUCT((MOVIMIENTOS!$B$5:$B$1005="DEVOLUCIÓN")*(MOVIMIENTOS!$C$5:$C$1005="C")*(MOVIMIENTOS!$D$5:$D$1005="jabas")*(MOVIMIENTOS!$A$5:$A$1005&lt;&gt;"")*(MOVIMIENTOS!$A$5:$A$1005&lt;=$A71)*MOVIMIENTOS!$E$5:$E$1005)-SUMPRODUCT((MOVIMIENTOS!$B$5:$B$1005="TRASIEGO")*(MOVIMIENTOS!$C$5:$C$1005="C")*(MOVIMIENTOS!$D$5:$D$1005="jabas")*(MOVIMIENTOS!$A$5:$A$1005&lt;&gt;"")*(MOVIMIENTOS!$A$5:$A$1005&lt;=$A71)*MOVIMIENTOS!$E$5:$E$1005)-SUMPRODUCT((MOVIMIENTOS!$B$5:$B$1005="REGALO")*(MOVIMIENTOS!$C$5:$C$1005="C")*(MOVIMIENTOS!$D$5:$D$1005="jabas")*(MOVIMIENTOS!$A$5:$A$1005&lt;&gt;"")*(MOVIMIENTOS!$A$5:$A$1005&lt;=$A71)*MOVIMIENTOS!$E$5:$E$1005)-SUMPRODUCT((MOVIMIENTOS!$B$5:$B$1005="VENTA")*(MOVIMIENTOS!$C$5:$C$1005="C")*(MOVIMIENTOS!$D$5:$D$1005="jabas")*(MOVIMIENTOS!$A$5:$A$1005&lt;&gt;"")*(MOVIMIENTOS!$A$5:$A$1005&lt;=$A71)*MOVIMIENTOS!$E$5:$E$1005)+SUMPRODUCT((MOVIMIENTOS!$B$5:$B$1005="AJUSTE")*(MOVIMIENTOS!$C$5:$C$1005="C")*(MOVIMIENTOS!$D$5:$D$1005="jabas")*(MOVIMIENTOS!$A$5:$A$1005&lt;&gt;"")*(MOVIMIENTOS!$A$5:$A$1005&lt;=$A71)*MOVIMIENTOS!$E$5:$E$1005))</f>
        <v/>
      </c>
      <c r="E71" s="63" t="str">
        <f>IF($A71="","",SUMPRODUCT((MOVIMIENTOS!$B$5:$B$1005="SALDO INICIAL")*(MOVIMIENTOS!$C$5:$C$1005="M")*(MOVIMIENTOS!$D$5:$D$1005="jabas")*(MOVIMIENTOS!$A$5:$A$1005&lt;&gt;"")*(MOVIMIENTOS!$A$5:$A$1005&lt;=$A71)*MOVIMIENTOS!$E$5:$E$1005)+SUMPRODUCT((MOVIMIENTOS!$B$5:$B$1005="PROCESO")*(MOVIMIENTOS!$C$5:$C$1005="M")*(MOVIMIENTOS!$D$5:$D$1005="jabas")*(MOVIMIENTOS!$A$5:$A$1005&lt;&gt;"")*(MOVIMIENTOS!$A$5:$A$1005&lt;=$A71)*MOVIMIENTOS!$E$5:$E$1005)-SUMPRODUCT((MOVIMIENTOS!$B$5:$B$1005="ENVÍO A SUPESA")*(MOVIMIENTOS!$C$5:$C$1005="M")*(MOVIMIENTOS!$D$5:$D$1005="jabas")*(MOVIMIENTOS!$A$5:$A$1005&lt;&gt;"")*(MOVIMIENTOS!$A$5:$A$1005&lt;=$A71)*MOVIMIENTOS!$E$5:$E$1005)+SUMPRODUCT((MOVIMIENTOS!$B$5:$B$1005="DEVOLUCIÓN")*(MOVIMIENTOS!$C$5:$C$1005="M")*(MOVIMIENTOS!$D$5:$D$1005="jabas")*(MOVIMIENTOS!$A$5:$A$1005&lt;&gt;"")*(MOVIMIENTOS!$A$5:$A$1005&lt;=$A71)*MOVIMIENTOS!$E$5:$E$1005)-SUMPRODUCT((MOVIMIENTOS!$B$5:$B$1005="TRASIEGO")*(MOVIMIENTOS!$C$5:$C$1005="M")*(MOVIMIENTOS!$D$5:$D$1005="jabas")*(MOVIMIENTOS!$A$5:$A$1005&lt;&gt;"")*(MOVIMIENTOS!$A$5:$A$1005&lt;=$A71)*MOVIMIENTOS!$E$5:$E$1005)-SUMPRODUCT((MOVIMIENTOS!$B$5:$B$1005="REGALO")*(MOVIMIENTOS!$C$5:$C$1005="M")*(MOVIMIENTOS!$D$5:$D$1005="jabas")*(MOVIMIENTOS!$A$5:$A$1005&lt;&gt;"")*(MOVIMIENTOS!$A$5:$A$1005&lt;=$A71)*MOVIMIENTOS!$E$5:$E$1005)-SUMPRODUCT((MOVIMIENTOS!$B$5:$B$1005="VENTA")*(MOVIMIENTOS!$C$5:$C$1005="M")*(MOVIMIENTOS!$D$5:$D$1005="jabas")*(MOVIMIENTOS!$A$5:$A$1005&lt;&gt;"")*(MOVIMIENTOS!$A$5:$A$1005&lt;=$A71)*MOVIMIENTOS!$E$5:$E$1005)+SUMPRODUCT((MOVIMIENTOS!$B$5:$B$1005="AJUSTE")*(MOVIMIENTOS!$C$5:$C$1005="M")*(MOVIMIENTOS!$D$5:$D$1005="jabas")*(MOVIMIENTOS!$A$5:$A$1005&lt;&gt;"")*(MOVIMIENTOS!$A$5:$A$1005&lt;=$A71)*MOVIMIENTOS!$E$5:$E$1005))</f>
        <v/>
      </c>
      <c r="F71" s="63" t="str">
        <f>IF($A71="","",SUMPRODUCT((MOVIMIENTOS!$B$5:$B$1005="SALDO INICIAL")*(MOVIMIENTOS!$C$5:$C$1005="Chancho")*(MOVIMIENTOS!$D$5:$D$1005="sacos")*(MOVIMIENTOS!$A$5:$A$1005&lt;&gt;"")*(MOVIMIENTOS!$A$5:$A$1005&lt;=$A71)*MOVIMIENTOS!$E$5:$E$1005)+SUMPRODUCT((MOVIMIENTOS!$B$5:$B$1005="PROCESO")*(MOVIMIENTOS!$C$5:$C$1005="Chancho")*(MOVIMIENTOS!$D$5:$D$1005="sacos")*(MOVIMIENTOS!$A$5:$A$1005&lt;&gt;"")*(MOVIMIENTOS!$A$5:$A$1005&lt;=$A71)*MOVIMIENTOS!$E$5:$E$1005)-SUMPRODUCT((MOVIMIENTOS!$B$5:$B$1005="VENTA CHANCHO")*(MOVIMIENTOS!$C$5:$C$1005="Chancho")*(MOVIMIENTOS!$D$5:$D$1005="sacos")*(MOVIMIENTOS!$A$5:$A$1005&lt;&gt;"")*(MOVIMIENTOS!$A$5:$A$1005&lt;=$A71)*MOVIMIENTOS!$E$5:$E$1005)-SUMPRODUCT((MOVIMIENTOS!$B$5:$B$1005="REGALO")*(MOVIMIENTOS!$C$5:$C$1005="Chancho")*(MOVIMIENTOS!$D$5:$D$1005="sacos")*(MOVIMIENTOS!$A$5:$A$1005&lt;&gt;"")*(MOVIMIENTOS!$A$5:$A$1005&lt;=$A71)*MOVIMIENTOS!$E$5:$E$1005)-SUMPRODUCT((MOVIMIENTOS!$B$5:$B$1005="VENTA")*(MOVIMIENTOS!$C$5:$C$1005="Chancho")*(MOVIMIENTOS!$D$5:$D$1005="sacos")*(MOVIMIENTOS!$A$5:$A$1005&lt;&gt;"")*(MOVIMIENTOS!$A$5:$A$1005&lt;=$A71)*MOVIMIENTOS!$E$5:$E$1005)+SUMPRODUCT((MOVIMIENTOS!$B$5:$B$1005="AJUSTE")*(MOVIMIENTOS!$C$5:$C$1005="Chancho")*(MOVIMIENTOS!$D$5:$D$1005="sacos")*(MOVIMIENTOS!$A$5:$A$1005&lt;&gt;"")*(MOVIMIENTOS!$A$5:$A$1005&lt;=$A71)*MOVIMIENTOS!$E$5:$E$1005))</f>
        <v/>
      </c>
      <c r="G71" s="95" t="str">
        <f t="shared" si="3"/>
        <v/>
      </c>
      <c r="H71" s="63" t="str">
        <f>IF($A71="","",SUMPRODUCT((((MOVIMIENTOS!$B$5:$B$1005="SALDO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71)*MOVIMIENTOS!$J$5:$J$1005))</f>
        <v/>
      </c>
      <c r="I71" s="63"/>
      <c r="J71" s="63" t="str">
        <f>IF(AND(MOVIMIENTOS!$A71&lt;&gt;"",COUNTIF(MOVIMIENTOS!$A$5:$A70,MOVIMIENTOS!$A71)=0),COUNT(J$4:J70)+1,"")</f>
        <v/>
      </c>
      <c r="K71" s="66">
        <f>MOVIMIENTOS!$A71</f>
        <v>46220</v>
      </c>
      <c r="L71" s="63"/>
      <c r="M71" s="63"/>
      <c r="N71" s="63"/>
    </row>
    <row r="72" spans="1:14" ht="15" customHeight="1" x14ac:dyDescent="0.2">
      <c r="A72" s="63" t="str">
        <f t="shared" si="2"/>
        <v/>
      </c>
      <c r="B72" s="63" t="str">
        <f>IF($A72="","",SUMPRODUCT((MOVIMIENTOS!$B$5:$B$1005="SALDO INICIAL")*(MOVIMIENTOS!$C$5:$C$1005="A")*(MOVIMIENTOS!$D$5:$D$1005="jabas")*(MOVIMIENTOS!$A$5:$A$1005&lt;&gt;"")*(MOVIMIENTOS!$A$5:$A$1005&lt;=$A72)*MOVIMIENTOS!$E$5:$E$1005)+SUMPRODUCT((MOVIMIENTOS!$B$5:$B$1005="PROCESO")*(MOVIMIENTOS!$C$5:$C$1005="A")*(MOVIMIENTOS!$D$5:$D$1005="jabas")*(MOVIMIENTOS!$A$5:$A$1005&lt;&gt;"")*(MOVIMIENTOS!$A$5:$A$1005&lt;=$A72)*MOVIMIENTOS!$E$5:$E$1005)-SUMPRODUCT((MOVIMIENTOS!$B$5:$B$1005="ENVÍO A SUPESA")*(MOVIMIENTOS!$C$5:$C$1005="A")*(MOVIMIENTOS!$D$5:$D$1005="jabas")*(MOVIMIENTOS!$A$5:$A$1005&lt;&gt;"")*(MOVIMIENTOS!$A$5:$A$1005&lt;=$A72)*MOVIMIENTOS!$E$5:$E$1005)+SUMPRODUCT((MOVIMIENTOS!$B$5:$B$1005="DEVOLUCIÓN")*(MOVIMIENTOS!$C$5:$C$1005="A")*(MOVIMIENTOS!$D$5:$D$1005="jabas")*(MOVIMIENTOS!$A$5:$A$1005&lt;&gt;"")*(MOVIMIENTOS!$A$5:$A$1005&lt;=$A72)*MOVIMIENTOS!$E$5:$E$1005)-SUMPRODUCT((MOVIMIENTOS!$B$5:$B$1005="TRASIEGO")*(MOVIMIENTOS!$C$5:$C$1005="A")*(MOVIMIENTOS!$D$5:$D$1005="jabas")*(MOVIMIENTOS!$A$5:$A$1005&lt;&gt;"")*(MOVIMIENTOS!$A$5:$A$1005&lt;=$A72)*MOVIMIENTOS!$E$5:$E$1005)-SUMPRODUCT((MOVIMIENTOS!$B$5:$B$1005="REGALO")*(MOVIMIENTOS!$C$5:$C$1005="A")*(MOVIMIENTOS!$D$5:$D$1005="jabas")*(MOVIMIENTOS!$A$5:$A$1005&lt;&gt;"")*(MOVIMIENTOS!$A$5:$A$1005&lt;=$A72)*MOVIMIENTOS!$E$5:$E$1005)-SUMPRODUCT((MOVIMIENTOS!$B$5:$B$1005="VENTA")*(MOVIMIENTOS!$C$5:$C$1005="A")*(MOVIMIENTOS!$D$5:$D$1005="jabas")*(MOVIMIENTOS!$A$5:$A$1005&lt;&gt;"")*(MOVIMIENTOS!$A$5:$A$1005&lt;=$A72)*MOVIMIENTOS!$E$5:$E$1005)+SUMPRODUCT((MOVIMIENTOS!$B$5:$B$1005="AJUSTE")*(MOVIMIENTOS!$C$5:$C$1005="A")*(MOVIMIENTOS!$D$5:$D$1005="jabas")*(MOVIMIENTOS!$A$5:$A$1005&lt;&gt;"")*(MOVIMIENTOS!$A$5:$A$1005&lt;=$A72)*MOVIMIENTOS!$E$5:$E$1005))</f>
        <v/>
      </c>
      <c r="C72" s="63" t="str">
        <f>IF($A72="","",SUMPRODUCT((MOVIMIENTOS!$B$5:$B$1005="SALDO INICIAL")*(MOVIMIENTOS!$C$5:$C$1005="P")*(MOVIMIENTOS!$D$5:$D$1005="jabas")*(MOVIMIENTOS!$A$5:$A$1005&lt;&gt;"")*(MOVIMIENTOS!$A$5:$A$1005&lt;=$A72)*MOVIMIENTOS!$E$5:$E$1005)+SUMPRODUCT((MOVIMIENTOS!$B$5:$B$1005="PROCESO")*(MOVIMIENTOS!$C$5:$C$1005="P")*(MOVIMIENTOS!$D$5:$D$1005="jabas")*(MOVIMIENTOS!$A$5:$A$1005&lt;&gt;"")*(MOVIMIENTOS!$A$5:$A$1005&lt;=$A72)*MOVIMIENTOS!$E$5:$E$1005)-SUMPRODUCT((MOVIMIENTOS!$B$5:$B$1005="ENVÍO A SUPESA")*(MOVIMIENTOS!$C$5:$C$1005="P")*(MOVIMIENTOS!$D$5:$D$1005="jabas")*(MOVIMIENTOS!$A$5:$A$1005&lt;&gt;"")*(MOVIMIENTOS!$A$5:$A$1005&lt;=$A72)*MOVIMIENTOS!$E$5:$E$1005)+SUMPRODUCT((MOVIMIENTOS!$B$5:$B$1005="DEVOLUCIÓN")*(MOVIMIENTOS!$C$5:$C$1005="P")*(MOVIMIENTOS!$D$5:$D$1005="jabas")*(MOVIMIENTOS!$A$5:$A$1005&lt;&gt;"")*(MOVIMIENTOS!$A$5:$A$1005&lt;=$A72)*MOVIMIENTOS!$E$5:$E$1005)-SUMPRODUCT((MOVIMIENTOS!$B$5:$B$1005="TRASIEGO")*(MOVIMIENTOS!$C$5:$C$1005="P")*(MOVIMIENTOS!$D$5:$D$1005="jabas")*(MOVIMIENTOS!$A$5:$A$1005&lt;&gt;"")*(MOVIMIENTOS!$A$5:$A$1005&lt;=$A72)*MOVIMIENTOS!$E$5:$E$1005)-SUMPRODUCT((MOVIMIENTOS!$B$5:$B$1005="REGALO")*(MOVIMIENTOS!$C$5:$C$1005="P")*(MOVIMIENTOS!$D$5:$D$1005="jabas")*(MOVIMIENTOS!$A$5:$A$1005&lt;&gt;"")*(MOVIMIENTOS!$A$5:$A$1005&lt;=$A72)*MOVIMIENTOS!$E$5:$E$1005)-SUMPRODUCT((MOVIMIENTOS!$B$5:$B$1005="VENTA")*(MOVIMIENTOS!$C$5:$C$1005="P")*(MOVIMIENTOS!$D$5:$D$1005="jabas")*(MOVIMIENTOS!$A$5:$A$1005&lt;&gt;"")*(MOVIMIENTOS!$A$5:$A$1005&lt;=$A72)*MOVIMIENTOS!$E$5:$E$1005)+SUMPRODUCT((MOVIMIENTOS!$B$5:$B$1005="AJUSTE")*(MOVIMIENTOS!$C$5:$C$1005="P")*(MOVIMIENTOS!$D$5:$D$1005="jabas")*(MOVIMIENTOS!$A$5:$A$1005&lt;&gt;"")*(MOVIMIENTOS!$A$5:$A$1005&lt;=$A72)*MOVIMIENTOS!$E$5:$E$1005))</f>
        <v/>
      </c>
      <c r="D72" s="63" t="str">
        <f>IF($A72="","",SUMPRODUCT((MOVIMIENTOS!$B$5:$B$1005="SALDO INICIAL")*(MOVIMIENTOS!$C$5:$C$1005="C")*(MOVIMIENTOS!$D$5:$D$1005="jabas")*(MOVIMIENTOS!$A$5:$A$1005&lt;&gt;"")*(MOVIMIENTOS!$A$5:$A$1005&lt;=$A72)*MOVIMIENTOS!$E$5:$E$1005)+SUMPRODUCT((MOVIMIENTOS!$B$5:$B$1005="PROCESO")*(MOVIMIENTOS!$C$5:$C$1005="C")*(MOVIMIENTOS!$D$5:$D$1005="jabas")*(MOVIMIENTOS!$A$5:$A$1005&lt;&gt;"")*(MOVIMIENTOS!$A$5:$A$1005&lt;=$A72)*MOVIMIENTOS!$E$5:$E$1005)-SUMPRODUCT((MOVIMIENTOS!$B$5:$B$1005="ENVÍO A SUPESA")*(MOVIMIENTOS!$C$5:$C$1005="C")*(MOVIMIENTOS!$D$5:$D$1005="jabas")*(MOVIMIENTOS!$A$5:$A$1005&lt;&gt;"")*(MOVIMIENTOS!$A$5:$A$1005&lt;=$A72)*MOVIMIENTOS!$E$5:$E$1005)+SUMPRODUCT((MOVIMIENTOS!$B$5:$B$1005="DEVOLUCIÓN")*(MOVIMIENTOS!$C$5:$C$1005="C")*(MOVIMIENTOS!$D$5:$D$1005="jabas")*(MOVIMIENTOS!$A$5:$A$1005&lt;&gt;"")*(MOVIMIENTOS!$A$5:$A$1005&lt;=$A72)*MOVIMIENTOS!$E$5:$E$1005)-SUMPRODUCT((MOVIMIENTOS!$B$5:$B$1005="TRASIEGO")*(MOVIMIENTOS!$C$5:$C$1005="C")*(MOVIMIENTOS!$D$5:$D$1005="jabas")*(MOVIMIENTOS!$A$5:$A$1005&lt;&gt;"")*(MOVIMIENTOS!$A$5:$A$1005&lt;=$A72)*MOVIMIENTOS!$E$5:$E$1005)-SUMPRODUCT((MOVIMIENTOS!$B$5:$B$1005="REGALO")*(MOVIMIENTOS!$C$5:$C$1005="C")*(MOVIMIENTOS!$D$5:$D$1005="jabas")*(MOVIMIENTOS!$A$5:$A$1005&lt;&gt;"")*(MOVIMIENTOS!$A$5:$A$1005&lt;=$A72)*MOVIMIENTOS!$E$5:$E$1005)-SUMPRODUCT((MOVIMIENTOS!$B$5:$B$1005="VENTA")*(MOVIMIENTOS!$C$5:$C$1005="C")*(MOVIMIENTOS!$D$5:$D$1005="jabas")*(MOVIMIENTOS!$A$5:$A$1005&lt;&gt;"")*(MOVIMIENTOS!$A$5:$A$1005&lt;=$A72)*MOVIMIENTOS!$E$5:$E$1005)+SUMPRODUCT((MOVIMIENTOS!$B$5:$B$1005="AJUSTE")*(MOVIMIENTOS!$C$5:$C$1005="C")*(MOVIMIENTOS!$D$5:$D$1005="jabas")*(MOVIMIENTOS!$A$5:$A$1005&lt;&gt;"")*(MOVIMIENTOS!$A$5:$A$1005&lt;=$A72)*MOVIMIENTOS!$E$5:$E$1005))</f>
        <v/>
      </c>
      <c r="E72" s="63" t="str">
        <f>IF($A72="","",SUMPRODUCT((MOVIMIENTOS!$B$5:$B$1005="SALDO INICIAL")*(MOVIMIENTOS!$C$5:$C$1005="M")*(MOVIMIENTOS!$D$5:$D$1005="jabas")*(MOVIMIENTOS!$A$5:$A$1005&lt;&gt;"")*(MOVIMIENTOS!$A$5:$A$1005&lt;=$A72)*MOVIMIENTOS!$E$5:$E$1005)+SUMPRODUCT((MOVIMIENTOS!$B$5:$B$1005="PROCESO")*(MOVIMIENTOS!$C$5:$C$1005="M")*(MOVIMIENTOS!$D$5:$D$1005="jabas")*(MOVIMIENTOS!$A$5:$A$1005&lt;&gt;"")*(MOVIMIENTOS!$A$5:$A$1005&lt;=$A72)*MOVIMIENTOS!$E$5:$E$1005)-SUMPRODUCT((MOVIMIENTOS!$B$5:$B$1005="ENVÍO A SUPESA")*(MOVIMIENTOS!$C$5:$C$1005="M")*(MOVIMIENTOS!$D$5:$D$1005="jabas")*(MOVIMIENTOS!$A$5:$A$1005&lt;&gt;"")*(MOVIMIENTOS!$A$5:$A$1005&lt;=$A72)*MOVIMIENTOS!$E$5:$E$1005)+SUMPRODUCT((MOVIMIENTOS!$B$5:$B$1005="DEVOLUCIÓN")*(MOVIMIENTOS!$C$5:$C$1005="M")*(MOVIMIENTOS!$D$5:$D$1005="jabas")*(MOVIMIENTOS!$A$5:$A$1005&lt;&gt;"")*(MOVIMIENTOS!$A$5:$A$1005&lt;=$A72)*MOVIMIENTOS!$E$5:$E$1005)-SUMPRODUCT((MOVIMIENTOS!$B$5:$B$1005="TRASIEGO")*(MOVIMIENTOS!$C$5:$C$1005="M")*(MOVIMIENTOS!$D$5:$D$1005="jabas")*(MOVIMIENTOS!$A$5:$A$1005&lt;&gt;"")*(MOVIMIENTOS!$A$5:$A$1005&lt;=$A72)*MOVIMIENTOS!$E$5:$E$1005)-SUMPRODUCT((MOVIMIENTOS!$B$5:$B$1005="REGALO")*(MOVIMIENTOS!$C$5:$C$1005="M")*(MOVIMIENTOS!$D$5:$D$1005="jabas")*(MOVIMIENTOS!$A$5:$A$1005&lt;&gt;"")*(MOVIMIENTOS!$A$5:$A$1005&lt;=$A72)*MOVIMIENTOS!$E$5:$E$1005)-SUMPRODUCT((MOVIMIENTOS!$B$5:$B$1005="VENTA")*(MOVIMIENTOS!$C$5:$C$1005="M")*(MOVIMIENTOS!$D$5:$D$1005="jabas")*(MOVIMIENTOS!$A$5:$A$1005&lt;&gt;"")*(MOVIMIENTOS!$A$5:$A$1005&lt;=$A72)*MOVIMIENTOS!$E$5:$E$1005)+SUMPRODUCT((MOVIMIENTOS!$B$5:$B$1005="AJUSTE")*(MOVIMIENTOS!$C$5:$C$1005="M")*(MOVIMIENTOS!$D$5:$D$1005="jabas")*(MOVIMIENTOS!$A$5:$A$1005&lt;&gt;"")*(MOVIMIENTOS!$A$5:$A$1005&lt;=$A72)*MOVIMIENTOS!$E$5:$E$1005))</f>
        <v/>
      </c>
      <c r="F72" s="63" t="str">
        <f>IF($A72="","",SUMPRODUCT((MOVIMIENTOS!$B$5:$B$1005="SALDO INICIAL")*(MOVIMIENTOS!$C$5:$C$1005="Chancho")*(MOVIMIENTOS!$D$5:$D$1005="sacos")*(MOVIMIENTOS!$A$5:$A$1005&lt;&gt;"")*(MOVIMIENTOS!$A$5:$A$1005&lt;=$A72)*MOVIMIENTOS!$E$5:$E$1005)+SUMPRODUCT((MOVIMIENTOS!$B$5:$B$1005="PROCESO")*(MOVIMIENTOS!$C$5:$C$1005="Chancho")*(MOVIMIENTOS!$D$5:$D$1005="sacos")*(MOVIMIENTOS!$A$5:$A$1005&lt;&gt;"")*(MOVIMIENTOS!$A$5:$A$1005&lt;=$A72)*MOVIMIENTOS!$E$5:$E$1005)-SUMPRODUCT((MOVIMIENTOS!$B$5:$B$1005="VENTA CHANCHO")*(MOVIMIENTOS!$C$5:$C$1005="Chancho")*(MOVIMIENTOS!$D$5:$D$1005="sacos")*(MOVIMIENTOS!$A$5:$A$1005&lt;&gt;"")*(MOVIMIENTOS!$A$5:$A$1005&lt;=$A72)*MOVIMIENTOS!$E$5:$E$1005)-SUMPRODUCT((MOVIMIENTOS!$B$5:$B$1005="REGALO")*(MOVIMIENTOS!$C$5:$C$1005="Chancho")*(MOVIMIENTOS!$D$5:$D$1005="sacos")*(MOVIMIENTOS!$A$5:$A$1005&lt;&gt;"")*(MOVIMIENTOS!$A$5:$A$1005&lt;=$A72)*MOVIMIENTOS!$E$5:$E$1005)-SUMPRODUCT((MOVIMIENTOS!$B$5:$B$1005="VENTA")*(MOVIMIENTOS!$C$5:$C$1005="Chancho")*(MOVIMIENTOS!$D$5:$D$1005="sacos")*(MOVIMIENTOS!$A$5:$A$1005&lt;&gt;"")*(MOVIMIENTOS!$A$5:$A$1005&lt;=$A72)*MOVIMIENTOS!$E$5:$E$1005)+SUMPRODUCT((MOVIMIENTOS!$B$5:$B$1005="AJUSTE")*(MOVIMIENTOS!$C$5:$C$1005="Chancho")*(MOVIMIENTOS!$D$5:$D$1005="sacos")*(MOVIMIENTOS!$A$5:$A$1005&lt;&gt;"")*(MOVIMIENTOS!$A$5:$A$1005&lt;=$A72)*MOVIMIENTOS!$E$5:$E$1005))</f>
        <v/>
      </c>
      <c r="G72" s="95" t="str">
        <f t="shared" si="3"/>
        <v/>
      </c>
      <c r="H72" s="63" t="str">
        <f>IF($A72="","",SUMPRODUCT((((MOVIMIENTOS!$B$5:$B$1005="SALDO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72)*MOVIMIENTOS!$J$5:$J$1005))</f>
        <v/>
      </c>
      <c r="I72" s="63"/>
      <c r="J72" s="63" t="str">
        <f>IF(AND(MOVIMIENTOS!$A72&lt;&gt;"",COUNTIF(MOVIMIENTOS!$A$5:$A71,MOVIMIENTOS!$A72)=0),COUNT(J$4:J71)+1,"")</f>
        <v/>
      </c>
      <c r="K72" s="66">
        <f>MOVIMIENTOS!$A72</f>
        <v>46220</v>
      </c>
      <c r="L72" s="63"/>
      <c r="M72" s="63"/>
      <c r="N72" s="63"/>
    </row>
    <row r="73" spans="1:14" ht="15" customHeight="1" x14ac:dyDescent="0.2">
      <c r="A73" s="63" t="str">
        <f t="shared" si="2"/>
        <v/>
      </c>
      <c r="B73" s="63" t="str">
        <f>IF($A73="","",SUMPRODUCT((MOVIMIENTOS!$B$5:$B$1005="SALDO INICIAL")*(MOVIMIENTOS!$C$5:$C$1005="A")*(MOVIMIENTOS!$D$5:$D$1005="jabas")*(MOVIMIENTOS!$A$5:$A$1005&lt;&gt;"")*(MOVIMIENTOS!$A$5:$A$1005&lt;=$A73)*MOVIMIENTOS!$E$5:$E$1005)+SUMPRODUCT((MOVIMIENTOS!$B$5:$B$1005="PROCESO")*(MOVIMIENTOS!$C$5:$C$1005="A")*(MOVIMIENTOS!$D$5:$D$1005="jabas")*(MOVIMIENTOS!$A$5:$A$1005&lt;&gt;"")*(MOVIMIENTOS!$A$5:$A$1005&lt;=$A73)*MOVIMIENTOS!$E$5:$E$1005)-SUMPRODUCT((MOVIMIENTOS!$B$5:$B$1005="ENVÍO A SUPESA")*(MOVIMIENTOS!$C$5:$C$1005="A")*(MOVIMIENTOS!$D$5:$D$1005="jabas")*(MOVIMIENTOS!$A$5:$A$1005&lt;&gt;"")*(MOVIMIENTOS!$A$5:$A$1005&lt;=$A73)*MOVIMIENTOS!$E$5:$E$1005)+SUMPRODUCT((MOVIMIENTOS!$B$5:$B$1005="DEVOLUCIÓN")*(MOVIMIENTOS!$C$5:$C$1005="A")*(MOVIMIENTOS!$D$5:$D$1005="jabas")*(MOVIMIENTOS!$A$5:$A$1005&lt;&gt;"")*(MOVIMIENTOS!$A$5:$A$1005&lt;=$A73)*MOVIMIENTOS!$E$5:$E$1005)-SUMPRODUCT((MOVIMIENTOS!$B$5:$B$1005="TRASIEGO")*(MOVIMIENTOS!$C$5:$C$1005="A")*(MOVIMIENTOS!$D$5:$D$1005="jabas")*(MOVIMIENTOS!$A$5:$A$1005&lt;&gt;"")*(MOVIMIENTOS!$A$5:$A$1005&lt;=$A73)*MOVIMIENTOS!$E$5:$E$1005)-SUMPRODUCT((MOVIMIENTOS!$B$5:$B$1005="REGALO")*(MOVIMIENTOS!$C$5:$C$1005="A")*(MOVIMIENTOS!$D$5:$D$1005="jabas")*(MOVIMIENTOS!$A$5:$A$1005&lt;&gt;"")*(MOVIMIENTOS!$A$5:$A$1005&lt;=$A73)*MOVIMIENTOS!$E$5:$E$1005)-SUMPRODUCT((MOVIMIENTOS!$B$5:$B$1005="VENTA")*(MOVIMIENTOS!$C$5:$C$1005="A")*(MOVIMIENTOS!$D$5:$D$1005="jabas")*(MOVIMIENTOS!$A$5:$A$1005&lt;&gt;"")*(MOVIMIENTOS!$A$5:$A$1005&lt;=$A73)*MOVIMIENTOS!$E$5:$E$1005)+SUMPRODUCT((MOVIMIENTOS!$B$5:$B$1005="AJUSTE")*(MOVIMIENTOS!$C$5:$C$1005="A")*(MOVIMIENTOS!$D$5:$D$1005="jabas")*(MOVIMIENTOS!$A$5:$A$1005&lt;&gt;"")*(MOVIMIENTOS!$A$5:$A$1005&lt;=$A73)*MOVIMIENTOS!$E$5:$E$1005))</f>
        <v/>
      </c>
      <c r="C73" s="63" t="str">
        <f>IF($A73="","",SUMPRODUCT((MOVIMIENTOS!$B$5:$B$1005="SALDO INICIAL")*(MOVIMIENTOS!$C$5:$C$1005="P")*(MOVIMIENTOS!$D$5:$D$1005="jabas")*(MOVIMIENTOS!$A$5:$A$1005&lt;&gt;"")*(MOVIMIENTOS!$A$5:$A$1005&lt;=$A73)*MOVIMIENTOS!$E$5:$E$1005)+SUMPRODUCT((MOVIMIENTOS!$B$5:$B$1005="PROCESO")*(MOVIMIENTOS!$C$5:$C$1005="P")*(MOVIMIENTOS!$D$5:$D$1005="jabas")*(MOVIMIENTOS!$A$5:$A$1005&lt;&gt;"")*(MOVIMIENTOS!$A$5:$A$1005&lt;=$A73)*MOVIMIENTOS!$E$5:$E$1005)-SUMPRODUCT((MOVIMIENTOS!$B$5:$B$1005="ENVÍO A SUPESA")*(MOVIMIENTOS!$C$5:$C$1005="P")*(MOVIMIENTOS!$D$5:$D$1005="jabas")*(MOVIMIENTOS!$A$5:$A$1005&lt;&gt;"")*(MOVIMIENTOS!$A$5:$A$1005&lt;=$A73)*MOVIMIENTOS!$E$5:$E$1005)+SUMPRODUCT((MOVIMIENTOS!$B$5:$B$1005="DEVOLUCIÓN")*(MOVIMIENTOS!$C$5:$C$1005="P")*(MOVIMIENTOS!$D$5:$D$1005="jabas")*(MOVIMIENTOS!$A$5:$A$1005&lt;&gt;"")*(MOVIMIENTOS!$A$5:$A$1005&lt;=$A73)*MOVIMIENTOS!$E$5:$E$1005)-SUMPRODUCT((MOVIMIENTOS!$B$5:$B$1005="TRASIEGO")*(MOVIMIENTOS!$C$5:$C$1005="P")*(MOVIMIENTOS!$D$5:$D$1005="jabas")*(MOVIMIENTOS!$A$5:$A$1005&lt;&gt;"")*(MOVIMIENTOS!$A$5:$A$1005&lt;=$A73)*MOVIMIENTOS!$E$5:$E$1005)-SUMPRODUCT((MOVIMIENTOS!$B$5:$B$1005="REGALO")*(MOVIMIENTOS!$C$5:$C$1005="P")*(MOVIMIENTOS!$D$5:$D$1005="jabas")*(MOVIMIENTOS!$A$5:$A$1005&lt;&gt;"")*(MOVIMIENTOS!$A$5:$A$1005&lt;=$A73)*MOVIMIENTOS!$E$5:$E$1005)-SUMPRODUCT((MOVIMIENTOS!$B$5:$B$1005="VENTA")*(MOVIMIENTOS!$C$5:$C$1005="P")*(MOVIMIENTOS!$D$5:$D$1005="jabas")*(MOVIMIENTOS!$A$5:$A$1005&lt;&gt;"")*(MOVIMIENTOS!$A$5:$A$1005&lt;=$A73)*MOVIMIENTOS!$E$5:$E$1005)+SUMPRODUCT((MOVIMIENTOS!$B$5:$B$1005="AJUSTE")*(MOVIMIENTOS!$C$5:$C$1005="P")*(MOVIMIENTOS!$D$5:$D$1005="jabas")*(MOVIMIENTOS!$A$5:$A$1005&lt;&gt;"")*(MOVIMIENTOS!$A$5:$A$1005&lt;=$A73)*MOVIMIENTOS!$E$5:$E$1005))</f>
        <v/>
      </c>
      <c r="D73" s="63" t="str">
        <f>IF($A73="","",SUMPRODUCT((MOVIMIENTOS!$B$5:$B$1005="SALDO INICIAL")*(MOVIMIENTOS!$C$5:$C$1005="C")*(MOVIMIENTOS!$D$5:$D$1005="jabas")*(MOVIMIENTOS!$A$5:$A$1005&lt;&gt;"")*(MOVIMIENTOS!$A$5:$A$1005&lt;=$A73)*MOVIMIENTOS!$E$5:$E$1005)+SUMPRODUCT((MOVIMIENTOS!$B$5:$B$1005="PROCESO")*(MOVIMIENTOS!$C$5:$C$1005="C")*(MOVIMIENTOS!$D$5:$D$1005="jabas")*(MOVIMIENTOS!$A$5:$A$1005&lt;&gt;"")*(MOVIMIENTOS!$A$5:$A$1005&lt;=$A73)*MOVIMIENTOS!$E$5:$E$1005)-SUMPRODUCT((MOVIMIENTOS!$B$5:$B$1005="ENVÍO A SUPESA")*(MOVIMIENTOS!$C$5:$C$1005="C")*(MOVIMIENTOS!$D$5:$D$1005="jabas")*(MOVIMIENTOS!$A$5:$A$1005&lt;&gt;"")*(MOVIMIENTOS!$A$5:$A$1005&lt;=$A73)*MOVIMIENTOS!$E$5:$E$1005)+SUMPRODUCT((MOVIMIENTOS!$B$5:$B$1005="DEVOLUCIÓN")*(MOVIMIENTOS!$C$5:$C$1005="C")*(MOVIMIENTOS!$D$5:$D$1005="jabas")*(MOVIMIENTOS!$A$5:$A$1005&lt;&gt;"")*(MOVIMIENTOS!$A$5:$A$1005&lt;=$A73)*MOVIMIENTOS!$E$5:$E$1005)-SUMPRODUCT((MOVIMIENTOS!$B$5:$B$1005="TRASIEGO")*(MOVIMIENTOS!$C$5:$C$1005="C")*(MOVIMIENTOS!$D$5:$D$1005="jabas")*(MOVIMIENTOS!$A$5:$A$1005&lt;&gt;"")*(MOVIMIENTOS!$A$5:$A$1005&lt;=$A73)*MOVIMIENTOS!$E$5:$E$1005)-SUMPRODUCT((MOVIMIENTOS!$B$5:$B$1005="REGALO")*(MOVIMIENTOS!$C$5:$C$1005="C")*(MOVIMIENTOS!$D$5:$D$1005="jabas")*(MOVIMIENTOS!$A$5:$A$1005&lt;&gt;"")*(MOVIMIENTOS!$A$5:$A$1005&lt;=$A73)*MOVIMIENTOS!$E$5:$E$1005)-SUMPRODUCT((MOVIMIENTOS!$B$5:$B$1005="VENTA")*(MOVIMIENTOS!$C$5:$C$1005="C")*(MOVIMIENTOS!$D$5:$D$1005="jabas")*(MOVIMIENTOS!$A$5:$A$1005&lt;&gt;"")*(MOVIMIENTOS!$A$5:$A$1005&lt;=$A73)*MOVIMIENTOS!$E$5:$E$1005)+SUMPRODUCT((MOVIMIENTOS!$B$5:$B$1005="AJUSTE")*(MOVIMIENTOS!$C$5:$C$1005="C")*(MOVIMIENTOS!$D$5:$D$1005="jabas")*(MOVIMIENTOS!$A$5:$A$1005&lt;&gt;"")*(MOVIMIENTOS!$A$5:$A$1005&lt;=$A73)*MOVIMIENTOS!$E$5:$E$1005))</f>
        <v/>
      </c>
      <c r="E73" s="63" t="str">
        <f>IF($A73="","",SUMPRODUCT((MOVIMIENTOS!$B$5:$B$1005="SALDO INICIAL")*(MOVIMIENTOS!$C$5:$C$1005="M")*(MOVIMIENTOS!$D$5:$D$1005="jabas")*(MOVIMIENTOS!$A$5:$A$1005&lt;&gt;"")*(MOVIMIENTOS!$A$5:$A$1005&lt;=$A73)*MOVIMIENTOS!$E$5:$E$1005)+SUMPRODUCT((MOVIMIENTOS!$B$5:$B$1005="PROCESO")*(MOVIMIENTOS!$C$5:$C$1005="M")*(MOVIMIENTOS!$D$5:$D$1005="jabas")*(MOVIMIENTOS!$A$5:$A$1005&lt;&gt;"")*(MOVIMIENTOS!$A$5:$A$1005&lt;=$A73)*MOVIMIENTOS!$E$5:$E$1005)-SUMPRODUCT((MOVIMIENTOS!$B$5:$B$1005="ENVÍO A SUPESA")*(MOVIMIENTOS!$C$5:$C$1005="M")*(MOVIMIENTOS!$D$5:$D$1005="jabas")*(MOVIMIENTOS!$A$5:$A$1005&lt;&gt;"")*(MOVIMIENTOS!$A$5:$A$1005&lt;=$A73)*MOVIMIENTOS!$E$5:$E$1005)+SUMPRODUCT((MOVIMIENTOS!$B$5:$B$1005="DEVOLUCIÓN")*(MOVIMIENTOS!$C$5:$C$1005="M")*(MOVIMIENTOS!$D$5:$D$1005="jabas")*(MOVIMIENTOS!$A$5:$A$1005&lt;&gt;"")*(MOVIMIENTOS!$A$5:$A$1005&lt;=$A73)*MOVIMIENTOS!$E$5:$E$1005)-SUMPRODUCT((MOVIMIENTOS!$B$5:$B$1005="TRASIEGO")*(MOVIMIENTOS!$C$5:$C$1005="M")*(MOVIMIENTOS!$D$5:$D$1005="jabas")*(MOVIMIENTOS!$A$5:$A$1005&lt;&gt;"")*(MOVIMIENTOS!$A$5:$A$1005&lt;=$A73)*MOVIMIENTOS!$E$5:$E$1005)-SUMPRODUCT((MOVIMIENTOS!$B$5:$B$1005="REGALO")*(MOVIMIENTOS!$C$5:$C$1005="M")*(MOVIMIENTOS!$D$5:$D$1005="jabas")*(MOVIMIENTOS!$A$5:$A$1005&lt;&gt;"")*(MOVIMIENTOS!$A$5:$A$1005&lt;=$A73)*MOVIMIENTOS!$E$5:$E$1005)-SUMPRODUCT((MOVIMIENTOS!$B$5:$B$1005="VENTA")*(MOVIMIENTOS!$C$5:$C$1005="M")*(MOVIMIENTOS!$D$5:$D$1005="jabas")*(MOVIMIENTOS!$A$5:$A$1005&lt;&gt;"")*(MOVIMIENTOS!$A$5:$A$1005&lt;=$A73)*MOVIMIENTOS!$E$5:$E$1005)+SUMPRODUCT((MOVIMIENTOS!$B$5:$B$1005="AJUSTE")*(MOVIMIENTOS!$C$5:$C$1005="M")*(MOVIMIENTOS!$D$5:$D$1005="jabas")*(MOVIMIENTOS!$A$5:$A$1005&lt;&gt;"")*(MOVIMIENTOS!$A$5:$A$1005&lt;=$A73)*MOVIMIENTOS!$E$5:$E$1005))</f>
        <v/>
      </c>
      <c r="F73" s="63" t="str">
        <f>IF($A73="","",SUMPRODUCT((MOVIMIENTOS!$B$5:$B$1005="SALDO INICIAL")*(MOVIMIENTOS!$C$5:$C$1005="Chancho")*(MOVIMIENTOS!$D$5:$D$1005="sacos")*(MOVIMIENTOS!$A$5:$A$1005&lt;&gt;"")*(MOVIMIENTOS!$A$5:$A$1005&lt;=$A73)*MOVIMIENTOS!$E$5:$E$1005)+SUMPRODUCT((MOVIMIENTOS!$B$5:$B$1005="PROCESO")*(MOVIMIENTOS!$C$5:$C$1005="Chancho")*(MOVIMIENTOS!$D$5:$D$1005="sacos")*(MOVIMIENTOS!$A$5:$A$1005&lt;&gt;"")*(MOVIMIENTOS!$A$5:$A$1005&lt;=$A73)*MOVIMIENTOS!$E$5:$E$1005)-SUMPRODUCT((MOVIMIENTOS!$B$5:$B$1005="VENTA CHANCHO")*(MOVIMIENTOS!$C$5:$C$1005="Chancho")*(MOVIMIENTOS!$D$5:$D$1005="sacos")*(MOVIMIENTOS!$A$5:$A$1005&lt;&gt;"")*(MOVIMIENTOS!$A$5:$A$1005&lt;=$A73)*MOVIMIENTOS!$E$5:$E$1005)-SUMPRODUCT((MOVIMIENTOS!$B$5:$B$1005="REGALO")*(MOVIMIENTOS!$C$5:$C$1005="Chancho")*(MOVIMIENTOS!$D$5:$D$1005="sacos")*(MOVIMIENTOS!$A$5:$A$1005&lt;&gt;"")*(MOVIMIENTOS!$A$5:$A$1005&lt;=$A73)*MOVIMIENTOS!$E$5:$E$1005)-SUMPRODUCT((MOVIMIENTOS!$B$5:$B$1005="VENTA")*(MOVIMIENTOS!$C$5:$C$1005="Chancho")*(MOVIMIENTOS!$D$5:$D$1005="sacos")*(MOVIMIENTOS!$A$5:$A$1005&lt;&gt;"")*(MOVIMIENTOS!$A$5:$A$1005&lt;=$A73)*MOVIMIENTOS!$E$5:$E$1005)+SUMPRODUCT((MOVIMIENTOS!$B$5:$B$1005="AJUSTE")*(MOVIMIENTOS!$C$5:$C$1005="Chancho")*(MOVIMIENTOS!$D$5:$D$1005="sacos")*(MOVIMIENTOS!$A$5:$A$1005&lt;&gt;"")*(MOVIMIENTOS!$A$5:$A$1005&lt;=$A73)*MOVIMIENTOS!$E$5:$E$1005))</f>
        <v/>
      </c>
      <c r="G73" s="95" t="str">
        <f t="shared" si="3"/>
        <v/>
      </c>
      <c r="H73" s="63" t="str">
        <f>IF($A73="","",SUMPRODUCT((((MOVIMIENTOS!$B$5:$B$1005="SALDO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73)*MOVIMIENTOS!$J$5:$J$1005))</f>
        <v/>
      </c>
      <c r="I73" s="63"/>
      <c r="J73" s="63" t="str">
        <f>IF(AND(MOVIMIENTOS!$A73&lt;&gt;"",COUNTIF(MOVIMIENTOS!$A$5:$A72,MOVIMIENTOS!$A73)=0),COUNT(J$4:J72)+1,"")</f>
        <v/>
      </c>
      <c r="K73" s="66">
        <f>MOVIMIENTOS!$A73</f>
        <v>46220</v>
      </c>
      <c r="L73" s="63"/>
      <c r="M73" s="63"/>
      <c r="N73" s="63"/>
    </row>
    <row r="74" spans="1:14" ht="15" customHeight="1" x14ac:dyDescent="0.2">
      <c r="A74" s="63" t="str">
        <f t="shared" si="2"/>
        <v/>
      </c>
      <c r="B74" s="63" t="str">
        <f>IF($A74="","",SUMPRODUCT((MOVIMIENTOS!$B$5:$B$1005="SALDO INICIAL")*(MOVIMIENTOS!$C$5:$C$1005="A")*(MOVIMIENTOS!$D$5:$D$1005="jabas")*(MOVIMIENTOS!$A$5:$A$1005&lt;&gt;"")*(MOVIMIENTOS!$A$5:$A$1005&lt;=$A74)*MOVIMIENTOS!$E$5:$E$1005)+SUMPRODUCT((MOVIMIENTOS!$B$5:$B$1005="PROCESO")*(MOVIMIENTOS!$C$5:$C$1005="A")*(MOVIMIENTOS!$D$5:$D$1005="jabas")*(MOVIMIENTOS!$A$5:$A$1005&lt;&gt;"")*(MOVIMIENTOS!$A$5:$A$1005&lt;=$A74)*MOVIMIENTOS!$E$5:$E$1005)-SUMPRODUCT((MOVIMIENTOS!$B$5:$B$1005="ENVÍO A SUPESA")*(MOVIMIENTOS!$C$5:$C$1005="A")*(MOVIMIENTOS!$D$5:$D$1005="jabas")*(MOVIMIENTOS!$A$5:$A$1005&lt;&gt;"")*(MOVIMIENTOS!$A$5:$A$1005&lt;=$A74)*MOVIMIENTOS!$E$5:$E$1005)+SUMPRODUCT((MOVIMIENTOS!$B$5:$B$1005="DEVOLUCIÓN")*(MOVIMIENTOS!$C$5:$C$1005="A")*(MOVIMIENTOS!$D$5:$D$1005="jabas")*(MOVIMIENTOS!$A$5:$A$1005&lt;&gt;"")*(MOVIMIENTOS!$A$5:$A$1005&lt;=$A74)*MOVIMIENTOS!$E$5:$E$1005)-SUMPRODUCT((MOVIMIENTOS!$B$5:$B$1005="TRASIEGO")*(MOVIMIENTOS!$C$5:$C$1005="A")*(MOVIMIENTOS!$D$5:$D$1005="jabas")*(MOVIMIENTOS!$A$5:$A$1005&lt;&gt;"")*(MOVIMIENTOS!$A$5:$A$1005&lt;=$A74)*MOVIMIENTOS!$E$5:$E$1005)-SUMPRODUCT((MOVIMIENTOS!$B$5:$B$1005="REGALO")*(MOVIMIENTOS!$C$5:$C$1005="A")*(MOVIMIENTOS!$D$5:$D$1005="jabas")*(MOVIMIENTOS!$A$5:$A$1005&lt;&gt;"")*(MOVIMIENTOS!$A$5:$A$1005&lt;=$A74)*MOVIMIENTOS!$E$5:$E$1005)-SUMPRODUCT((MOVIMIENTOS!$B$5:$B$1005="VENTA")*(MOVIMIENTOS!$C$5:$C$1005="A")*(MOVIMIENTOS!$D$5:$D$1005="jabas")*(MOVIMIENTOS!$A$5:$A$1005&lt;&gt;"")*(MOVIMIENTOS!$A$5:$A$1005&lt;=$A74)*MOVIMIENTOS!$E$5:$E$1005)+SUMPRODUCT((MOVIMIENTOS!$B$5:$B$1005="AJUSTE")*(MOVIMIENTOS!$C$5:$C$1005="A")*(MOVIMIENTOS!$D$5:$D$1005="jabas")*(MOVIMIENTOS!$A$5:$A$1005&lt;&gt;"")*(MOVIMIENTOS!$A$5:$A$1005&lt;=$A74)*MOVIMIENTOS!$E$5:$E$1005))</f>
        <v/>
      </c>
      <c r="C74" s="63" t="str">
        <f>IF($A74="","",SUMPRODUCT((MOVIMIENTOS!$B$5:$B$1005="SALDO INICIAL")*(MOVIMIENTOS!$C$5:$C$1005="P")*(MOVIMIENTOS!$D$5:$D$1005="jabas")*(MOVIMIENTOS!$A$5:$A$1005&lt;&gt;"")*(MOVIMIENTOS!$A$5:$A$1005&lt;=$A74)*MOVIMIENTOS!$E$5:$E$1005)+SUMPRODUCT((MOVIMIENTOS!$B$5:$B$1005="PROCESO")*(MOVIMIENTOS!$C$5:$C$1005="P")*(MOVIMIENTOS!$D$5:$D$1005="jabas")*(MOVIMIENTOS!$A$5:$A$1005&lt;&gt;"")*(MOVIMIENTOS!$A$5:$A$1005&lt;=$A74)*MOVIMIENTOS!$E$5:$E$1005)-SUMPRODUCT((MOVIMIENTOS!$B$5:$B$1005="ENVÍO A SUPESA")*(MOVIMIENTOS!$C$5:$C$1005="P")*(MOVIMIENTOS!$D$5:$D$1005="jabas")*(MOVIMIENTOS!$A$5:$A$1005&lt;&gt;"")*(MOVIMIENTOS!$A$5:$A$1005&lt;=$A74)*MOVIMIENTOS!$E$5:$E$1005)+SUMPRODUCT((MOVIMIENTOS!$B$5:$B$1005="DEVOLUCIÓN")*(MOVIMIENTOS!$C$5:$C$1005="P")*(MOVIMIENTOS!$D$5:$D$1005="jabas")*(MOVIMIENTOS!$A$5:$A$1005&lt;&gt;"")*(MOVIMIENTOS!$A$5:$A$1005&lt;=$A74)*MOVIMIENTOS!$E$5:$E$1005)-SUMPRODUCT((MOVIMIENTOS!$B$5:$B$1005="TRASIEGO")*(MOVIMIENTOS!$C$5:$C$1005="P")*(MOVIMIENTOS!$D$5:$D$1005="jabas")*(MOVIMIENTOS!$A$5:$A$1005&lt;&gt;"")*(MOVIMIENTOS!$A$5:$A$1005&lt;=$A74)*MOVIMIENTOS!$E$5:$E$1005)-SUMPRODUCT((MOVIMIENTOS!$B$5:$B$1005="REGALO")*(MOVIMIENTOS!$C$5:$C$1005="P")*(MOVIMIENTOS!$D$5:$D$1005="jabas")*(MOVIMIENTOS!$A$5:$A$1005&lt;&gt;"")*(MOVIMIENTOS!$A$5:$A$1005&lt;=$A74)*MOVIMIENTOS!$E$5:$E$1005)-SUMPRODUCT((MOVIMIENTOS!$B$5:$B$1005="VENTA")*(MOVIMIENTOS!$C$5:$C$1005="P")*(MOVIMIENTOS!$D$5:$D$1005="jabas")*(MOVIMIENTOS!$A$5:$A$1005&lt;&gt;"")*(MOVIMIENTOS!$A$5:$A$1005&lt;=$A74)*MOVIMIENTOS!$E$5:$E$1005)+SUMPRODUCT((MOVIMIENTOS!$B$5:$B$1005="AJUSTE")*(MOVIMIENTOS!$C$5:$C$1005="P")*(MOVIMIENTOS!$D$5:$D$1005="jabas")*(MOVIMIENTOS!$A$5:$A$1005&lt;&gt;"")*(MOVIMIENTOS!$A$5:$A$1005&lt;=$A74)*MOVIMIENTOS!$E$5:$E$1005))</f>
        <v/>
      </c>
      <c r="D74" s="63" t="str">
        <f>IF($A74="","",SUMPRODUCT((MOVIMIENTOS!$B$5:$B$1005="SALDO INICIAL")*(MOVIMIENTOS!$C$5:$C$1005="C")*(MOVIMIENTOS!$D$5:$D$1005="jabas")*(MOVIMIENTOS!$A$5:$A$1005&lt;&gt;"")*(MOVIMIENTOS!$A$5:$A$1005&lt;=$A74)*MOVIMIENTOS!$E$5:$E$1005)+SUMPRODUCT((MOVIMIENTOS!$B$5:$B$1005="PROCESO")*(MOVIMIENTOS!$C$5:$C$1005="C")*(MOVIMIENTOS!$D$5:$D$1005="jabas")*(MOVIMIENTOS!$A$5:$A$1005&lt;&gt;"")*(MOVIMIENTOS!$A$5:$A$1005&lt;=$A74)*MOVIMIENTOS!$E$5:$E$1005)-SUMPRODUCT((MOVIMIENTOS!$B$5:$B$1005="ENVÍO A SUPESA")*(MOVIMIENTOS!$C$5:$C$1005="C")*(MOVIMIENTOS!$D$5:$D$1005="jabas")*(MOVIMIENTOS!$A$5:$A$1005&lt;&gt;"")*(MOVIMIENTOS!$A$5:$A$1005&lt;=$A74)*MOVIMIENTOS!$E$5:$E$1005)+SUMPRODUCT((MOVIMIENTOS!$B$5:$B$1005="DEVOLUCIÓN")*(MOVIMIENTOS!$C$5:$C$1005="C")*(MOVIMIENTOS!$D$5:$D$1005="jabas")*(MOVIMIENTOS!$A$5:$A$1005&lt;&gt;"")*(MOVIMIENTOS!$A$5:$A$1005&lt;=$A74)*MOVIMIENTOS!$E$5:$E$1005)-SUMPRODUCT((MOVIMIENTOS!$B$5:$B$1005="TRASIEGO")*(MOVIMIENTOS!$C$5:$C$1005="C")*(MOVIMIENTOS!$D$5:$D$1005="jabas")*(MOVIMIENTOS!$A$5:$A$1005&lt;&gt;"")*(MOVIMIENTOS!$A$5:$A$1005&lt;=$A74)*MOVIMIENTOS!$E$5:$E$1005)-SUMPRODUCT((MOVIMIENTOS!$B$5:$B$1005="REGALO")*(MOVIMIENTOS!$C$5:$C$1005="C")*(MOVIMIENTOS!$D$5:$D$1005="jabas")*(MOVIMIENTOS!$A$5:$A$1005&lt;&gt;"")*(MOVIMIENTOS!$A$5:$A$1005&lt;=$A74)*MOVIMIENTOS!$E$5:$E$1005)-SUMPRODUCT((MOVIMIENTOS!$B$5:$B$1005="VENTA")*(MOVIMIENTOS!$C$5:$C$1005="C")*(MOVIMIENTOS!$D$5:$D$1005="jabas")*(MOVIMIENTOS!$A$5:$A$1005&lt;&gt;"")*(MOVIMIENTOS!$A$5:$A$1005&lt;=$A74)*MOVIMIENTOS!$E$5:$E$1005)+SUMPRODUCT((MOVIMIENTOS!$B$5:$B$1005="AJUSTE")*(MOVIMIENTOS!$C$5:$C$1005="C")*(MOVIMIENTOS!$D$5:$D$1005="jabas")*(MOVIMIENTOS!$A$5:$A$1005&lt;&gt;"")*(MOVIMIENTOS!$A$5:$A$1005&lt;=$A74)*MOVIMIENTOS!$E$5:$E$1005))</f>
        <v/>
      </c>
      <c r="E74" s="63" t="str">
        <f>IF($A74="","",SUMPRODUCT((MOVIMIENTOS!$B$5:$B$1005="SALDO INICIAL")*(MOVIMIENTOS!$C$5:$C$1005="M")*(MOVIMIENTOS!$D$5:$D$1005="jabas")*(MOVIMIENTOS!$A$5:$A$1005&lt;&gt;"")*(MOVIMIENTOS!$A$5:$A$1005&lt;=$A74)*MOVIMIENTOS!$E$5:$E$1005)+SUMPRODUCT((MOVIMIENTOS!$B$5:$B$1005="PROCESO")*(MOVIMIENTOS!$C$5:$C$1005="M")*(MOVIMIENTOS!$D$5:$D$1005="jabas")*(MOVIMIENTOS!$A$5:$A$1005&lt;&gt;"")*(MOVIMIENTOS!$A$5:$A$1005&lt;=$A74)*MOVIMIENTOS!$E$5:$E$1005)-SUMPRODUCT((MOVIMIENTOS!$B$5:$B$1005="ENVÍO A SUPESA")*(MOVIMIENTOS!$C$5:$C$1005="M")*(MOVIMIENTOS!$D$5:$D$1005="jabas")*(MOVIMIENTOS!$A$5:$A$1005&lt;&gt;"")*(MOVIMIENTOS!$A$5:$A$1005&lt;=$A74)*MOVIMIENTOS!$E$5:$E$1005)+SUMPRODUCT((MOVIMIENTOS!$B$5:$B$1005="DEVOLUCIÓN")*(MOVIMIENTOS!$C$5:$C$1005="M")*(MOVIMIENTOS!$D$5:$D$1005="jabas")*(MOVIMIENTOS!$A$5:$A$1005&lt;&gt;"")*(MOVIMIENTOS!$A$5:$A$1005&lt;=$A74)*MOVIMIENTOS!$E$5:$E$1005)-SUMPRODUCT((MOVIMIENTOS!$B$5:$B$1005="TRASIEGO")*(MOVIMIENTOS!$C$5:$C$1005="M")*(MOVIMIENTOS!$D$5:$D$1005="jabas")*(MOVIMIENTOS!$A$5:$A$1005&lt;&gt;"")*(MOVIMIENTOS!$A$5:$A$1005&lt;=$A74)*MOVIMIENTOS!$E$5:$E$1005)-SUMPRODUCT((MOVIMIENTOS!$B$5:$B$1005="REGALO")*(MOVIMIENTOS!$C$5:$C$1005="M")*(MOVIMIENTOS!$D$5:$D$1005="jabas")*(MOVIMIENTOS!$A$5:$A$1005&lt;&gt;"")*(MOVIMIENTOS!$A$5:$A$1005&lt;=$A74)*MOVIMIENTOS!$E$5:$E$1005)-SUMPRODUCT((MOVIMIENTOS!$B$5:$B$1005="VENTA")*(MOVIMIENTOS!$C$5:$C$1005="M")*(MOVIMIENTOS!$D$5:$D$1005="jabas")*(MOVIMIENTOS!$A$5:$A$1005&lt;&gt;"")*(MOVIMIENTOS!$A$5:$A$1005&lt;=$A74)*MOVIMIENTOS!$E$5:$E$1005)+SUMPRODUCT((MOVIMIENTOS!$B$5:$B$1005="AJUSTE")*(MOVIMIENTOS!$C$5:$C$1005="M")*(MOVIMIENTOS!$D$5:$D$1005="jabas")*(MOVIMIENTOS!$A$5:$A$1005&lt;&gt;"")*(MOVIMIENTOS!$A$5:$A$1005&lt;=$A74)*MOVIMIENTOS!$E$5:$E$1005))</f>
        <v/>
      </c>
      <c r="F74" s="63" t="str">
        <f>IF($A74="","",SUMPRODUCT((MOVIMIENTOS!$B$5:$B$1005="SALDO INICIAL")*(MOVIMIENTOS!$C$5:$C$1005="Chancho")*(MOVIMIENTOS!$D$5:$D$1005="sacos")*(MOVIMIENTOS!$A$5:$A$1005&lt;&gt;"")*(MOVIMIENTOS!$A$5:$A$1005&lt;=$A74)*MOVIMIENTOS!$E$5:$E$1005)+SUMPRODUCT((MOVIMIENTOS!$B$5:$B$1005="PROCESO")*(MOVIMIENTOS!$C$5:$C$1005="Chancho")*(MOVIMIENTOS!$D$5:$D$1005="sacos")*(MOVIMIENTOS!$A$5:$A$1005&lt;&gt;"")*(MOVIMIENTOS!$A$5:$A$1005&lt;=$A74)*MOVIMIENTOS!$E$5:$E$1005)-SUMPRODUCT((MOVIMIENTOS!$B$5:$B$1005="VENTA CHANCHO")*(MOVIMIENTOS!$C$5:$C$1005="Chancho")*(MOVIMIENTOS!$D$5:$D$1005="sacos")*(MOVIMIENTOS!$A$5:$A$1005&lt;&gt;"")*(MOVIMIENTOS!$A$5:$A$1005&lt;=$A74)*MOVIMIENTOS!$E$5:$E$1005)-SUMPRODUCT((MOVIMIENTOS!$B$5:$B$1005="REGALO")*(MOVIMIENTOS!$C$5:$C$1005="Chancho")*(MOVIMIENTOS!$D$5:$D$1005="sacos")*(MOVIMIENTOS!$A$5:$A$1005&lt;&gt;"")*(MOVIMIENTOS!$A$5:$A$1005&lt;=$A74)*MOVIMIENTOS!$E$5:$E$1005)-SUMPRODUCT((MOVIMIENTOS!$B$5:$B$1005="VENTA")*(MOVIMIENTOS!$C$5:$C$1005="Chancho")*(MOVIMIENTOS!$D$5:$D$1005="sacos")*(MOVIMIENTOS!$A$5:$A$1005&lt;&gt;"")*(MOVIMIENTOS!$A$5:$A$1005&lt;=$A74)*MOVIMIENTOS!$E$5:$E$1005)+SUMPRODUCT((MOVIMIENTOS!$B$5:$B$1005="AJUSTE")*(MOVIMIENTOS!$C$5:$C$1005="Chancho")*(MOVIMIENTOS!$D$5:$D$1005="sacos")*(MOVIMIENTOS!$A$5:$A$1005&lt;&gt;"")*(MOVIMIENTOS!$A$5:$A$1005&lt;=$A74)*MOVIMIENTOS!$E$5:$E$1005))</f>
        <v/>
      </c>
      <c r="G74" s="95" t="str">
        <f t="shared" si="3"/>
        <v/>
      </c>
      <c r="H74" s="63" t="str">
        <f>IF($A74="","",SUMPRODUCT((((MOVIMIENTOS!$B$5:$B$1005="SALDO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74)*MOVIMIENTOS!$J$5:$J$1005))</f>
        <v/>
      </c>
      <c r="I74" s="63"/>
      <c r="J74" s="63" t="str">
        <f>IF(AND(MOVIMIENTOS!$A74&lt;&gt;"",COUNTIF(MOVIMIENTOS!$A$5:$A73,MOVIMIENTOS!$A74)=0),COUNT(J$4:J73)+1,"")</f>
        <v/>
      </c>
      <c r="K74" s="66">
        <f>MOVIMIENTOS!$A74</f>
        <v>46220</v>
      </c>
      <c r="L74" s="63"/>
      <c r="M74" s="63"/>
      <c r="N74" s="63"/>
    </row>
    <row r="75" spans="1:14" ht="15" customHeight="1" x14ac:dyDescent="0.2">
      <c r="A75" s="63" t="str">
        <f t="shared" si="2"/>
        <v/>
      </c>
      <c r="B75" s="63" t="str">
        <f>IF($A75="","",SUMPRODUCT((MOVIMIENTOS!$B$5:$B$1005="SALDO INICIAL")*(MOVIMIENTOS!$C$5:$C$1005="A")*(MOVIMIENTOS!$D$5:$D$1005="jabas")*(MOVIMIENTOS!$A$5:$A$1005&lt;&gt;"")*(MOVIMIENTOS!$A$5:$A$1005&lt;=$A75)*MOVIMIENTOS!$E$5:$E$1005)+SUMPRODUCT((MOVIMIENTOS!$B$5:$B$1005="PROCESO")*(MOVIMIENTOS!$C$5:$C$1005="A")*(MOVIMIENTOS!$D$5:$D$1005="jabas")*(MOVIMIENTOS!$A$5:$A$1005&lt;&gt;"")*(MOVIMIENTOS!$A$5:$A$1005&lt;=$A75)*MOVIMIENTOS!$E$5:$E$1005)-SUMPRODUCT((MOVIMIENTOS!$B$5:$B$1005="ENVÍO A SUPESA")*(MOVIMIENTOS!$C$5:$C$1005="A")*(MOVIMIENTOS!$D$5:$D$1005="jabas")*(MOVIMIENTOS!$A$5:$A$1005&lt;&gt;"")*(MOVIMIENTOS!$A$5:$A$1005&lt;=$A75)*MOVIMIENTOS!$E$5:$E$1005)+SUMPRODUCT((MOVIMIENTOS!$B$5:$B$1005="DEVOLUCIÓN")*(MOVIMIENTOS!$C$5:$C$1005="A")*(MOVIMIENTOS!$D$5:$D$1005="jabas")*(MOVIMIENTOS!$A$5:$A$1005&lt;&gt;"")*(MOVIMIENTOS!$A$5:$A$1005&lt;=$A75)*MOVIMIENTOS!$E$5:$E$1005)-SUMPRODUCT((MOVIMIENTOS!$B$5:$B$1005="TRASIEGO")*(MOVIMIENTOS!$C$5:$C$1005="A")*(MOVIMIENTOS!$D$5:$D$1005="jabas")*(MOVIMIENTOS!$A$5:$A$1005&lt;&gt;"")*(MOVIMIENTOS!$A$5:$A$1005&lt;=$A75)*MOVIMIENTOS!$E$5:$E$1005)-SUMPRODUCT((MOVIMIENTOS!$B$5:$B$1005="REGALO")*(MOVIMIENTOS!$C$5:$C$1005="A")*(MOVIMIENTOS!$D$5:$D$1005="jabas")*(MOVIMIENTOS!$A$5:$A$1005&lt;&gt;"")*(MOVIMIENTOS!$A$5:$A$1005&lt;=$A75)*MOVIMIENTOS!$E$5:$E$1005)-SUMPRODUCT((MOVIMIENTOS!$B$5:$B$1005="VENTA")*(MOVIMIENTOS!$C$5:$C$1005="A")*(MOVIMIENTOS!$D$5:$D$1005="jabas")*(MOVIMIENTOS!$A$5:$A$1005&lt;&gt;"")*(MOVIMIENTOS!$A$5:$A$1005&lt;=$A75)*MOVIMIENTOS!$E$5:$E$1005)+SUMPRODUCT((MOVIMIENTOS!$B$5:$B$1005="AJUSTE")*(MOVIMIENTOS!$C$5:$C$1005="A")*(MOVIMIENTOS!$D$5:$D$1005="jabas")*(MOVIMIENTOS!$A$5:$A$1005&lt;&gt;"")*(MOVIMIENTOS!$A$5:$A$1005&lt;=$A75)*MOVIMIENTOS!$E$5:$E$1005))</f>
        <v/>
      </c>
      <c r="C75" s="63" t="str">
        <f>IF($A75="","",SUMPRODUCT((MOVIMIENTOS!$B$5:$B$1005="SALDO INICIAL")*(MOVIMIENTOS!$C$5:$C$1005="P")*(MOVIMIENTOS!$D$5:$D$1005="jabas")*(MOVIMIENTOS!$A$5:$A$1005&lt;&gt;"")*(MOVIMIENTOS!$A$5:$A$1005&lt;=$A75)*MOVIMIENTOS!$E$5:$E$1005)+SUMPRODUCT((MOVIMIENTOS!$B$5:$B$1005="PROCESO")*(MOVIMIENTOS!$C$5:$C$1005="P")*(MOVIMIENTOS!$D$5:$D$1005="jabas")*(MOVIMIENTOS!$A$5:$A$1005&lt;&gt;"")*(MOVIMIENTOS!$A$5:$A$1005&lt;=$A75)*MOVIMIENTOS!$E$5:$E$1005)-SUMPRODUCT((MOVIMIENTOS!$B$5:$B$1005="ENVÍO A SUPESA")*(MOVIMIENTOS!$C$5:$C$1005="P")*(MOVIMIENTOS!$D$5:$D$1005="jabas")*(MOVIMIENTOS!$A$5:$A$1005&lt;&gt;"")*(MOVIMIENTOS!$A$5:$A$1005&lt;=$A75)*MOVIMIENTOS!$E$5:$E$1005)+SUMPRODUCT((MOVIMIENTOS!$B$5:$B$1005="DEVOLUCIÓN")*(MOVIMIENTOS!$C$5:$C$1005="P")*(MOVIMIENTOS!$D$5:$D$1005="jabas")*(MOVIMIENTOS!$A$5:$A$1005&lt;&gt;"")*(MOVIMIENTOS!$A$5:$A$1005&lt;=$A75)*MOVIMIENTOS!$E$5:$E$1005)-SUMPRODUCT((MOVIMIENTOS!$B$5:$B$1005="TRASIEGO")*(MOVIMIENTOS!$C$5:$C$1005="P")*(MOVIMIENTOS!$D$5:$D$1005="jabas")*(MOVIMIENTOS!$A$5:$A$1005&lt;&gt;"")*(MOVIMIENTOS!$A$5:$A$1005&lt;=$A75)*MOVIMIENTOS!$E$5:$E$1005)-SUMPRODUCT((MOVIMIENTOS!$B$5:$B$1005="REGALO")*(MOVIMIENTOS!$C$5:$C$1005="P")*(MOVIMIENTOS!$D$5:$D$1005="jabas")*(MOVIMIENTOS!$A$5:$A$1005&lt;&gt;"")*(MOVIMIENTOS!$A$5:$A$1005&lt;=$A75)*MOVIMIENTOS!$E$5:$E$1005)-SUMPRODUCT((MOVIMIENTOS!$B$5:$B$1005="VENTA")*(MOVIMIENTOS!$C$5:$C$1005="P")*(MOVIMIENTOS!$D$5:$D$1005="jabas")*(MOVIMIENTOS!$A$5:$A$1005&lt;&gt;"")*(MOVIMIENTOS!$A$5:$A$1005&lt;=$A75)*MOVIMIENTOS!$E$5:$E$1005)+SUMPRODUCT((MOVIMIENTOS!$B$5:$B$1005="AJUSTE")*(MOVIMIENTOS!$C$5:$C$1005="P")*(MOVIMIENTOS!$D$5:$D$1005="jabas")*(MOVIMIENTOS!$A$5:$A$1005&lt;&gt;"")*(MOVIMIENTOS!$A$5:$A$1005&lt;=$A75)*MOVIMIENTOS!$E$5:$E$1005))</f>
        <v/>
      </c>
      <c r="D75" s="63" t="str">
        <f>IF($A75="","",SUMPRODUCT((MOVIMIENTOS!$B$5:$B$1005="SALDO INICIAL")*(MOVIMIENTOS!$C$5:$C$1005="C")*(MOVIMIENTOS!$D$5:$D$1005="jabas")*(MOVIMIENTOS!$A$5:$A$1005&lt;&gt;"")*(MOVIMIENTOS!$A$5:$A$1005&lt;=$A75)*MOVIMIENTOS!$E$5:$E$1005)+SUMPRODUCT((MOVIMIENTOS!$B$5:$B$1005="PROCESO")*(MOVIMIENTOS!$C$5:$C$1005="C")*(MOVIMIENTOS!$D$5:$D$1005="jabas")*(MOVIMIENTOS!$A$5:$A$1005&lt;&gt;"")*(MOVIMIENTOS!$A$5:$A$1005&lt;=$A75)*MOVIMIENTOS!$E$5:$E$1005)-SUMPRODUCT((MOVIMIENTOS!$B$5:$B$1005="ENVÍO A SUPESA")*(MOVIMIENTOS!$C$5:$C$1005="C")*(MOVIMIENTOS!$D$5:$D$1005="jabas")*(MOVIMIENTOS!$A$5:$A$1005&lt;&gt;"")*(MOVIMIENTOS!$A$5:$A$1005&lt;=$A75)*MOVIMIENTOS!$E$5:$E$1005)+SUMPRODUCT((MOVIMIENTOS!$B$5:$B$1005="DEVOLUCIÓN")*(MOVIMIENTOS!$C$5:$C$1005="C")*(MOVIMIENTOS!$D$5:$D$1005="jabas")*(MOVIMIENTOS!$A$5:$A$1005&lt;&gt;"")*(MOVIMIENTOS!$A$5:$A$1005&lt;=$A75)*MOVIMIENTOS!$E$5:$E$1005)-SUMPRODUCT((MOVIMIENTOS!$B$5:$B$1005="TRASIEGO")*(MOVIMIENTOS!$C$5:$C$1005="C")*(MOVIMIENTOS!$D$5:$D$1005="jabas")*(MOVIMIENTOS!$A$5:$A$1005&lt;&gt;"")*(MOVIMIENTOS!$A$5:$A$1005&lt;=$A75)*MOVIMIENTOS!$E$5:$E$1005)-SUMPRODUCT((MOVIMIENTOS!$B$5:$B$1005="REGALO")*(MOVIMIENTOS!$C$5:$C$1005="C")*(MOVIMIENTOS!$D$5:$D$1005="jabas")*(MOVIMIENTOS!$A$5:$A$1005&lt;&gt;"")*(MOVIMIENTOS!$A$5:$A$1005&lt;=$A75)*MOVIMIENTOS!$E$5:$E$1005)-SUMPRODUCT((MOVIMIENTOS!$B$5:$B$1005="VENTA")*(MOVIMIENTOS!$C$5:$C$1005="C")*(MOVIMIENTOS!$D$5:$D$1005="jabas")*(MOVIMIENTOS!$A$5:$A$1005&lt;&gt;"")*(MOVIMIENTOS!$A$5:$A$1005&lt;=$A75)*MOVIMIENTOS!$E$5:$E$1005)+SUMPRODUCT((MOVIMIENTOS!$B$5:$B$1005="AJUSTE")*(MOVIMIENTOS!$C$5:$C$1005="C")*(MOVIMIENTOS!$D$5:$D$1005="jabas")*(MOVIMIENTOS!$A$5:$A$1005&lt;&gt;"")*(MOVIMIENTOS!$A$5:$A$1005&lt;=$A75)*MOVIMIENTOS!$E$5:$E$1005))</f>
        <v/>
      </c>
      <c r="E75" s="63" t="str">
        <f>IF($A75="","",SUMPRODUCT((MOVIMIENTOS!$B$5:$B$1005="SALDO INICIAL")*(MOVIMIENTOS!$C$5:$C$1005="M")*(MOVIMIENTOS!$D$5:$D$1005="jabas")*(MOVIMIENTOS!$A$5:$A$1005&lt;&gt;"")*(MOVIMIENTOS!$A$5:$A$1005&lt;=$A75)*MOVIMIENTOS!$E$5:$E$1005)+SUMPRODUCT((MOVIMIENTOS!$B$5:$B$1005="PROCESO")*(MOVIMIENTOS!$C$5:$C$1005="M")*(MOVIMIENTOS!$D$5:$D$1005="jabas")*(MOVIMIENTOS!$A$5:$A$1005&lt;&gt;"")*(MOVIMIENTOS!$A$5:$A$1005&lt;=$A75)*MOVIMIENTOS!$E$5:$E$1005)-SUMPRODUCT((MOVIMIENTOS!$B$5:$B$1005="ENVÍO A SUPESA")*(MOVIMIENTOS!$C$5:$C$1005="M")*(MOVIMIENTOS!$D$5:$D$1005="jabas")*(MOVIMIENTOS!$A$5:$A$1005&lt;&gt;"")*(MOVIMIENTOS!$A$5:$A$1005&lt;=$A75)*MOVIMIENTOS!$E$5:$E$1005)+SUMPRODUCT((MOVIMIENTOS!$B$5:$B$1005="DEVOLUCIÓN")*(MOVIMIENTOS!$C$5:$C$1005="M")*(MOVIMIENTOS!$D$5:$D$1005="jabas")*(MOVIMIENTOS!$A$5:$A$1005&lt;&gt;"")*(MOVIMIENTOS!$A$5:$A$1005&lt;=$A75)*MOVIMIENTOS!$E$5:$E$1005)-SUMPRODUCT((MOVIMIENTOS!$B$5:$B$1005="TRASIEGO")*(MOVIMIENTOS!$C$5:$C$1005="M")*(MOVIMIENTOS!$D$5:$D$1005="jabas")*(MOVIMIENTOS!$A$5:$A$1005&lt;&gt;"")*(MOVIMIENTOS!$A$5:$A$1005&lt;=$A75)*MOVIMIENTOS!$E$5:$E$1005)-SUMPRODUCT((MOVIMIENTOS!$B$5:$B$1005="REGALO")*(MOVIMIENTOS!$C$5:$C$1005="M")*(MOVIMIENTOS!$D$5:$D$1005="jabas")*(MOVIMIENTOS!$A$5:$A$1005&lt;&gt;"")*(MOVIMIENTOS!$A$5:$A$1005&lt;=$A75)*MOVIMIENTOS!$E$5:$E$1005)-SUMPRODUCT((MOVIMIENTOS!$B$5:$B$1005="VENTA")*(MOVIMIENTOS!$C$5:$C$1005="M")*(MOVIMIENTOS!$D$5:$D$1005="jabas")*(MOVIMIENTOS!$A$5:$A$1005&lt;&gt;"")*(MOVIMIENTOS!$A$5:$A$1005&lt;=$A75)*MOVIMIENTOS!$E$5:$E$1005)+SUMPRODUCT((MOVIMIENTOS!$B$5:$B$1005="AJUSTE")*(MOVIMIENTOS!$C$5:$C$1005="M")*(MOVIMIENTOS!$D$5:$D$1005="jabas")*(MOVIMIENTOS!$A$5:$A$1005&lt;&gt;"")*(MOVIMIENTOS!$A$5:$A$1005&lt;=$A75)*MOVIMIENTOS!$E$5:$E$1005))</f>
        <v/>
      </c>
      <c r="F75" s="63" t="str">
        <f>IF($A75="","",SUMPRODUCT((MOVIMIENTOS!$B$5:$B$1005="SALDO INICIAL")*(MOVIMIENTOS!$C$5:$C$1005="Chancho")*(MOVIMIENTOS!$D$5:$D$1005="sacos")*(MOVIMIENTOS!$A$5:$A$1005&lt;&gt;"")*(MOVIMIENTOS!$A$5:$A$1005&lt;=$A75)*MOVIMIENTOS!$E$5:$E$1005)+SUMPRODUCT((MOVIMIENTOS!$B$5:$B$1005="PROCESO")*(MOVIMIENTOS!$C$5:$C$1005="Chancho")*(MOVIMIENTOS!$D$5:$D$1005="sacos")*(MOVIMIENTOS!$A$5:$A$1005&lt;&gt;"")*(MOVIMIENTOS!$A$5:$A$1005&lt;=$A75)*MOVIMIENTOS!$E$5:$E$1005)-SUMPRODUCT((MOVIMIENTOS!$B$5:$B$1005="VENTA CHANCHO")*(MOVIMIENTOS!$C$5:$C$1005="Chancho")*(MOVIMIENTOS!$D$5:$D$1005="sacos")*(MOVIMIENTOS!$A$5:$A$1005&lt;&gt;"")*(MOVIMIENTOS!$A$5:$A$1005&lt;=$A75)*MOVIMIENTOS!$E$5:$E$1005)-SUMPRODUCT((MOVIMIENTOS!$B$5:$B$1005="REGALO")*(MOVIMIENTOS!$C$5:$C$1005="Chancho")*(MOVIMIENTOS!$D$5:$D$1005="sacos")*(MOVIMIENTOS!$A$5:$A$1005&lt;&gt;"")*(MOVIMIENTOS!$A$5:$A$1005&lt;=$A75)*MOVIMIENTOS!$E$5:$E$1005)-SUMPRODUCT((MOVIMIENTOS!$B$5:$B$1005="VENTA")*(MOVIMIENTOS!$C$5:$C$1005="Chancho")*(MOVIMIENTOS!$D$5:$D$1005="sacos")*(MOVIMIENTOS!$A$5:$A$1005&lt;&gt;"")*(MOVIMIENTOS!$A$5:$A$1005&lt;=$A75)*MOVIMIENTOS!$E$5:$E$1005)+SUMPRODUCT((MOVIMIENTOS!$B$5:$B$1005="AJUSTE")*(MOVIMIENTOS!$C$5:$C$1005="Chancho")*(MOVIMIENTOS!$D$5:$D$1005="sacos")*(MOVIMIENTOS!$A$5:$A$1005&lt;&gt;"")*(MOVIMIENTOS!$A$5:$A$1005&lt;=$A75)*MOVIMIENTOS!$E$5:$E$1005))</f>
        <v/>
      </c>
      <c r="G75" s="95" t="str">
        <f t="shared" si="3"/>
        <v/>
      </c>
      <c r="H75" s="63" t="str">
        <f>IF($A75="","",SUMPRODUCT((((MOVIMIENTOS!$B$5:$B$1005="SALDO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75)*MOVIMIENTOS!$J$5:$J$1005))</f>
        <v/>
      </c>
      <c r="I75" s="63"/>
      <c r="J75" s="63">
        <f>IF(AND(MOVIMIENTOS!$A75&lt;&gt;"",COUNTIF(MOVIMIENTOS!$A$5:$A74,MOVIMIENTOS!$A75)=0),COUNT(J$4:J74)+1,"")</f>
        <v>9</v>
      </c>
      <c r="K75" s="66">
        <f>MOVIMIENTOS!$A75</f>
        <v>46221</v>
      </c>
      <c r="L75" s="63"/>
      <c r="M75" s="63"/>
      <c r="N75" s="63"/>
    </row>
    <row r="76" spans="1:14" ht="15" customHeight="1" x14ac:dyDescent="0.2">
      <c r="A76" s="63" t="str">
        <f t="shared" si="2"/>
        <v/>
      </c>
      <c r="B76" s="63" t="str">
        <f>IF($A76="","",SUMPRODUCT((MOVIMIENTOS!$B$5:$B$1005="SALDO INICIAL")*(MOVIMIENTOS!$C$5:$C$1005="A")*(MOVIMIENTOS!$D$5:$D$1005="jabas")*(MOVIMIENTOS!$A$5:$A$1005&lt;&gt;"")*(MOVIMIENTOS!$A$5:$A$1005&lt;=$A76)*MOVIMIENTOS!$E$5:$E$1005)+SUMPRODUCT((MOVIMIENTOS!$B$5:$B$1005="PROCESO")*(MOVIMIENTOS!$C$5:$C$1005="A")*(MOVIMIENTOS!$D$5:$D$1005="jabas")*(MOVIMIENTOS!$A$5:$A$1005&lt;&gt;"")*(MOVIMIENTOS!$A$5:$A$1005&lt;=$A76)*MOVIMIENTOS!$E$5:$E$1005)-SUMPRODUCT((MOVIMIENTOS!$B$5:$B$1005="ENVÍO A SUPESA")*(MOVIMIENTOS!$C$5:$C$1005="A")*(MOVIMIENTOS!$D$5:$D$1005="jabas")*(MOVIMIENTOS!$A$5:$A$1005&lt;&gt;"")*(MOVIMIENTOS!$A$5:$A$1005&lt;=$A76)*MOVIMIENTOS!$E$5:$E$1005)+SUMPRODUCT((MOVIMIENTOS!$B$5:$B$1005="DEVOLUCIÓN")*(MOVIMIENTOS!$C$5:$C$1005="A")*(MOVIMIENTOS!$D$5:$D$1005="jabas")*(MOVIMIENTOS!$A$5:$A$1005&lt;&gt;"")*(MOVIMIENTOS!$A$5:$A$1005&lt;=$A76)*MOVIMIENTOS!$E$5:$E$1005)-SUMPRODUCT((MOVIMIENTOS!$B$5:$B$1005="TRASIEGO")*(MOVIMIENTOS!$C$5:$C$1005="A")*(MOVIMIENTOS!$D$5:$D$1005="jabas")*(MOVIMIENTOS!$A$5:$A$1005&lt;&gt;"")*(MOVIMIENTOS!$A$5:$A$1005&lt;=$A76)*MOVIMIENTOS!$E$5:$E$1005)-SUMPRODUCT((MOVIMIENTOS!$B$5:$B$1005="REGALO")*(MOVIMIENTOS!$C$5:$C$1005="A")*(MOVIMIENTOS!$D$5:$D$1005="jabas")*(MOVIMIENTOS!$A$5:$A$1005&lt;&gt;"")*(MOVIMIENTOS!$A$5:$A$1005&lt;=$A76)*MOVIMIENTOS!$E$5:$E$1005)-SUMPRODUCT((MOVIMIENTOS!$B$5:$B$1005="VENTA")*(MOVIMIENTOS!$C$5:$C$1005="A")*(MOVIMIENTOS!$D$5:$D$1005="jabas")*(MOVIMIENTOS!$A$5:$A$1005&lt;&gt;"")*(MOVIMIENTOS!$A$5:$A$1005&lt;=$A76)*MOVIMIENTOS!$E$5:$E$1005)+SUMPRODUCT((MOVIMIENTOS!$B$5:$B$1005="AJUSTE")*(MOVIMIENTOS!$C$5:$C$1005="A")*(MOVIMIENTOS!$D$5:$D$1005="jabas")*(MOVIMIENTOS!$A$5:$A$1005&lt;&gt;"")*(MOVIMIENTOS!$A$5:$A$1005&lt;=$A76)*MOVIMIENTOS!$E$5:$E$1005))</f>
        <v/>
      </c>
      <c r="C76" s="63" t="str">
        <f>IF($A76="","",SUMPRODUCT((MOVIMIENTOS!$B$5:$B$1005="SALDO INICIAL")*(MOVIMIENTOS!$C$5:$C$1005="P")*(MOVIMIENTOS!$D$5:$D$1005="jabas")*(MOVIMIENTOS!$A$5:$A$1005&lt;&gt;"")*(MOVIMIENTOS!$A$5:$A$1005&lt;=$A76)*MOVIMIENTOS!$E$5:$E$1005)+SUMPRODUCT((MOVIMIENTOS!$B$5:$B$1005="PROCESO")*(MOVIMIENTOS!$C$5:$C$1005="P")*(MOVIMIENTOS!$D$5:$D$1005="jabas")*(MOVIMIENTOS!$A$5:$A$1005&lt;&gt;"")*(MOVIMIENTOS!$A$5:$A$1005&lt;=$A76)*MOVIMIENTOS!$E$5:$E$1005)-SUMPRODUCT((MOVIMIENTOS!$B$5:$B$1005="ENVÍO A SUPESA")*(MOVIMIENTOS!$C$5:$C$1005="P")*(MOVIMIENTOS!$D$5:$D$1005="jabas")*(MOVIMIENTOS!$A$5:$A$1005&lt;&gt;"")*(MOVIMIENTOS!$A$5:$A$1005&lt;=$A76)*MOVIMIENTOS!$E$5:$E$1005)+SUMPRODUCT((MOVIMIENTOS!$B$5:$B$1005="DEVOLUCIÓN")*(MOVIMIENTOS!$C$5:$C$1005="P")*(MOVIMIENTOS!$D$5:$D$1005="jabas")*(MOVIMIENTOS!$A$5:$A$1005&lt;&gt;"")*(MOVIMIENTOS!$A$5:$A$1005&lt;=$A76)*MOVIMIENTOS!$E$5:$E$1005)-SUMPRODUCT((MOVIMIENTOS!$B$5:$B$1005="TRASIEGO")*(MOVIMIENTOS!$C$5:$C$1005="P")*(MOVIMIENTOS!$D$5:$D$1005="jabas")*(MOVIMIENTOS!$A$5:$A$1005&lt;&gt;"")*(MOVIMIENTOS!$A$5:$A$1005&lt;=$A76)*MOVIMIENTOS!$E$5:$E$1005)-SUMPRODUCT((MOVIMIENTOS!$B$5:$B$1005="REGALO")*(MOVIMIENTOS!$C$5:$C$1005="P")*(MOVIMIENTOS!$D$5:$D$1005="jabas")*(MOVIMIENTOS!$A$5:$A$1005&lt;&gt;"")*(MOVIMIENTOS!$A$5:$A$1005&lt;=$A76)*MOVIMIENTOS!$E$5:$E$1005)-SUMPRODUCT((MOVIMIENTOS!$B$5:$B$1005="VENTA")*(MOVIMIENTOS!$C$5:$C$1005="P")*(MOVIMIENTOS!$D$5:$D$1005="jabas")*(MOVIMIENTOS!$A$5:$A$1005&lt;&gt;"")*(MOVIMIENTOS!$A$5:$A$1005&lt;=$A76)*MOVIMIENTOS!$E$5:$E$1005)+SUMPRODUCT((MOVIMIENTOS!$B$5:$B$1005="AJUSTE")*(MOVIMIENTOS!$C$5:$C$1005="P")*(MOVIMIENTOS!$D$5:$D$1005="jabas")*(MOVIMIENTOS!$A$5:$A$1005&lt;&gt;"")*(MOVIMIENTOS!$A$5:$A$1005&lt;=$A76)*MOVIMIENTOS!$E$5:$E$1005))</f>
        <v/>
      </c>
      <c r="D76" s="63" t="str">
        <f>IF($A76="","",SUMPRODUCT((MOVIMIENTOS!$B$5:$B$1005="SALDO INICIAL")*(MOVIMIENTOS!$C$5:$C$1005="C")*(MOVIMIENTOS!$D$5:$D$1005="jabas")*(MOVIMIENTOS!$A$5:$A$1005&lt;&gt;"")*(MOVIMIENTOS!$A$5:$A$1005&lt;=$A76)*MOVIMIENTOS!$E$5:$E$1005)+SUMPRODUCT((MOVIMIENTOS!$B$5:$B$1005="PROCESO")*(MOVIMIENTOS!$C$5:$C$1005="C")*(MOVIMIENTOS!$D$5:$D$1005="jabas")*(MOVIMIENTOS!$A$5:$A$1005&lt;&gt;"")*(MOVIMIENTOS!$A$5:$A$1005&lt;=$A76)*MOVIMIENTOS!$E$5:$E$1005)-SUMPRODUCT((MOVIMIENTOS!$B$5:$B$1005="ENVÍO A SUPESA")*(MOVIMIENTOS!$C$5:$C$1005="C")*(MOVIMIENTOS!$D$5:$D$1005="jabas")*(MOVIMIENTOS!$A$5:$A$1005&lt;&gt;"")*(MOVIMIENTOS!$A$5:$A$1005&lt;=$A76)*MOVIMIENTOS!$E$5:$E$1005)+SUMPRODUCT((MOVIMIENTOS!$B$5:$B$1005="DEVOLUCIÓN")*(MOVIMIENTOS!$C$5:$C$1005="C")*(MOVIMIENTOS!$D$5:$D$1005="jabas")*(MOVIMIENTOS!$A$5:$A$1005&lt;&gt;"")*(MOVIMIENTOS!$A$5:$A$1005&lt;=$A76)*MOVIMIENTOS!$E$5:$E$1005)-SUMPRODUCT((MOVIMIENTOS!$B$5:$B$1005="TRASIEGO")*(MOVIMIENTOS!$C$5:$C$1005="C")*(MOVIMIENTOS!$D$5:$D$1005="jabas")*(MOVIMIENTOS!$A$5:$A$1005&lt;&gt;"")*(MOVIMIENTOS!$A$5:$A$1005&lt;=$A76)*MOVIMIENTOS!$E$5:$E$1005)-SUMPRODUCT((MOVIMIENTOS!$B$5:$B$1005="REGALO")*(MOVIMIENTOS!$C$5:$C$1005="C")*(MOVIMIENTOS!$D$5:$D$1005="jabas")*(MOVIMIENTOS!$A$5:$A$1005&lt;&gt;"")*(MOVIMIENTOS!$A$5:$A$1005&lt;=$A76)*MOVIMIENTOS!$E$5:$E$1005)-SUMPRODUCT((MOVIMIENTOS!$B$5:$B$1005="VENTA")*(MOVIMIENTOS!$C$5:$C$1005="C")*(MOVIMIENTOS!$D$5:$D$1005="jabas")*(MOVIMIENTOS!$A$5:$A$1005&lt;&gt;"")*(MOVIMIENTOS!$A$5:$A$1005&lt;=$A76)*MOVIMIENTOS!$E$5:$E$1005)+SUMPRODUCT((MOVIMIENTOS!$B$5:$B$1005="AJUSTE")*(MOVIMIENTOS!$C$5:$C$1005="C")*(MOVIMIENTOS!$D$5:$D$1005="jabas")*(MOVIMIENTOS!$A$5:$A$1005&lt;&gt;"")*(MOVIMIENTOS!$A$5:$A$1005&lt;=$A76)*MOVIMIENTOS!$E$5:$E$1005))</f>
        <v/>
      </c>
      <c r="E76" s="63" t="str">
        <f>IF($A76="","",SUMPRODUCT((MOVIMIENTOS!$B$5:$B$1005="SALDO INICIAL")*(MOVIMIENTOS!$C$5:$C$1005="M")*(MOVIMIENTOS!$D$5:$D$1005="jabas")*(MOVIMIENTOS!$A$5:$A$1005&lt;&gt;"")*(MOVIMIENTOS!$A$5:$A$1005&lt;=$A76)*MOVIMIENTOS!$E$5:$E$1005)+SUMPRODUCT((MOVIMIENTOS!$B$5:$B$1005="PROCESO")*(MOVIMIENTOS!$C$5:$C$1005="M")*(MOVIMIENTOS!$D$5:$D$1005="jabas")*(MOVIMIENTOS!$A$5:$A$1005&lt;&gt;"")*(MOVIMIENTOS!$A$5:$A$1005&lt;=$A76)*MOVIMIENTOS!$E$5:$E$1005)-SUMPRODUCT((MOVIMIENTOS!$B$5:$B$1005="ENVÍO A SUPESA")*(MOVIMIENTOS!$C$5:$C$1005="M")*(MOVIMIENTOS!$D$5:$D$1005="jabas")*(MOVIMIENTOS!$A$5:$A$1005&lt;&gt;"")*(MOVIMIENTOS!$A$5:$A$1005&lt;=$A76)*MOVIMIENTOS!$E$5:$E$1005)+SUMPRODUCT((MOVIMIENTOS!$B$5:$B$1005="DEVOLUCIÓN")*(MOVIMIENTOS!$C$5:$C$1005="M")*(MOVIMIENTOS!$D$5:$D$1005="jabas")*(MOVIMIENTOS!$A$5:$A$1005&lt;&gt;"")*(MOVIMIENTOS!$A$5:$A$1005&lt;=$A76)*MOVIMIENTOS!$E$5:$E$1005)-SUMPRODUCT((MOVIMIENTOS!$B$5:$B$1005="TRASIEGO")*(MOVIMIENTOS!$C$5:$C$1005="M")*(MOVIMIENTOS!$D$5:$D$1005="jabas")*(MOVIMIENTOS!$A$5:$A$1005&lt;&gt;"")*(MOVIMIENTOS!$A$5:$A$1005&lt;=$A76)*MOVIMIENTOS!$E$5:$E$1005)-SUMPRODUCT((MOVIMIENTOS!$B$5:$B$1005="REGALO")*(MOVIMIENTOS!$C$5:$C$1005="M")*(MOVIMIENTOS!$D$5:$D$1005="jabas")*(MOVIMIENTOS!$A$5:$A$1005&lt;&gt;"")*(MOVIMIENTOS!$A$5:$A$1005&lt;=$A76)*MOVIMIENTOS!$E$5:$E$1005)-SUMPRODUCT((MOVIMIENTOS!$B$5:$B$1005="VENTA")*(MOVIMIENTOS!$C$5:$C$1005="M")*(MOVIMIENTOS!$D$5:$D$1005="jabas")*(MOVIMIENTOS!$A$5:$A$1005&lt;&gt;"")*(MOVIMIENTOS!$A$5:$A$1005&lt;=$A76)*MOVIMIENTOS!$E$5:$E$1005)+SUMPRODUCT((MOVIMIENTOS!$B$5:$B$1005="AJUSTE")*(MOVIMIENTOS!$C$5:$C$1005="M")*(MOVIMIENTOS!$D$5:$D$1005="jabas")*(MOVIMIENTOS!$A$5:$A$1005&lt;&gt;"")*(MOVIMIENTOS!$A$5:$A$1005&lt;=$A76)*MOVIMIENTOS!$E$5:$E$1005))</f>
        <v/>
      </c>
      <c r="F76" s="63" t="str">
        <f>IF($A76="","",SUMPRODUCT((MOVIMIENTOS!$B$5:$B$1005="SALDO INICIAL")*(MOVIMIENTOS!$C$5:$C$1005="Chancho")*(MOVIMIENTOS!$D$5:$D$1005="sacos")*(MOVIMIENTOS!$A$5:$A$1005&lt;&gt;"")*(MOVIMIENTOS!$A$5:$A$1005&lt;=$A76)*MOVIMIENTOS!$E$5:$E$1005)+SUMPRODUCT((MOVIMIENTOS!$B$5:$B$1005="PROCESO")*(MOVIMIENTOS!$C$5:$C$1005="Chancho")*(MOVIMIENTOS!$D$5:$D$1005="sacos")*(MOVIMIENTOS!$A$5:$A$1005&lt;&gt;"")*(MOVIMIENTOS!$A$5:$A$1005&lt;=$A76)*MOVIMIENTOS!$E$5:$E$1005)-SUMPRODUCT((MOVIMIENTOS!$B$5:$B$1005="VENTA CHANCHO")*(MOVIMIENTOS!$C$5:$C$1005="Chancho")*(MOVIMIENTOS!$D$5:$D$1005="sacos")*(MOVIMIENTOS!$A$5:$A$1005&lt;&gt;"")*(MOVIMIENTOS!$A$5:$A$1005&lt;=$A76)*MOVIMIENTOS!$E$5:$E$1005)-SUMPRODUCT((MOVIMIENTOS!$B$5:$B$1005="REGALO")*(MOVIMIENTOS!$C$5:$C$1005="Chancho")*(MOVIMIENTOS!$D$5:$D$1005="sacos")*(MOVIMIENTOS!$A$5:$A$1005&lt;&gt;"")*(MOVIMIENTOS!$A$5:$A$1005&lt;=$A76)*MOVIMIENTOS!$E$5:$E$1005)-SUMPRODUCT((MOVIMIENTOS!$B$5:$B$1005="VENTA")*(MOVIMIENTOS!$C$5:$C$1005="Chancho")*(MOVIMIENTOS!$D$5:$D$1005="sacos")*(MOVIMIENTOS!$A$5:$A$1005&lt;&gt;"")*(MOVIMIENTOS!$A$5:$A$1005&lt;=$A76)*MOVIMIENTOS!$E$5:$E$1005)+SUMPRODUCT((MOVIMIENTOS!$B$5:$B$1005="AJUSTE")*(MOVIMIENTOS!$C$5:$C$1005="Chancho")*(MOVIMIENTOS!$D$5:$D$1005="sacos")*(MOVIMIENTOS!$A$5:$A$1005&lt;&gt;"")*(MOVIMIENTOS!$A$5:$A$1005&lt;=$A76)*MOVIMIENTOS!$E$5:$E$1005))</f>
        <v/>
      </c>
      <c r="G76" s="95" t="str">
        <f t="shared" si="3"/>
        <v/>
      </c>
      <c r="H76" s="63" t="str">
        <f>IF($A76="","",SUMPRODUCT((((MOVIMIENTOS!$B$5:$B$1005="SALDO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76)*MOVIMIENTOS!$J$5:$J$1005))</f>
        <v/>
      </c>
      <c r="I76" s="63"/>
      <c r="J76" s="63" t="str">
        <f>IF(AND(MOVIMIENTOS!$A76&lt;&gt;"",COUNTIF(MOVIMIENTOS!$A$5:$A75,MOVIMIENTOS!$A76)=0),COUNT(J$4:J75)+1,"")</f>
        <v/>
      </c>
      <c r="K76" s="66">
        <f>MOVIMIENTOS!$A76</f>
        <v>46221</v>
      </c>
      <c r="L76" s="63"/>
      <c r="M76" s="63"/>
      <c r="N76" s="63"/>
    </row>
    <row r="77" spans="1:14" ht="15" customHeight="1" x14ac:dyDescent="0.2">
      <c r="A77" s="63" t="str">
        <f t="shared" si="2"/>
        <v/>
      </c>
      <c r="B77" s="63" t="str">
        <f>IF($A77="","",SUMPRODUCT((MOVIMIENTOS!$B$5:$B$1005="SALDO INICIAL")*(MOVIMIENTOS!$C$5:$C$1005="A")*(MOVIMIENTOS!$D$5:$D$1005="jabas")*(MOVIMIENTOS!$A$5:$A$1005&lt;&gt;"")*(MOVIMIENTOS!$A$5:$A$1005&lt;=$A77)*MOVIMIENTOS!$E$5:$E$1005)+SUMPRODUCT((MOVIMIENTOS!$B$5:$B$1005="PROCESO")*(MOVIMIENTOS!$C$5:$C$1005="A")*(MOVIMIENTOS!$D$5:$D$1005="jabas")*(MOVIMIENTOS!$A$5:$A$1005&lt;&gt;"")*(MOVIMIENTOS!$A$5:$A$1005&lt;=$A77)*MOVIMIENTOS!$E$5:$E$1005)-SUMPRODUCT((MOVIMIENTOS!$B$5:$B$1005="ENVÍO A SUPESA")*(MOVIMIENTOS!$C$5:$C$1005="A")*(MOVIMIENTOS!$D$5:$D$1005="jabas")*(MOVIMIENTOS!$A$5:$A$1005&lt;&gt;"")*(MOVIMIENTOS!$A$5:$A$1005&lt;=$A77)*MOVIMIENTOS!$E$5:$E$1005)+SUMPRODUCT((MOVIMIENTOS!$B$5:$B$1005="DEVOLUCIÓN")*(MOVIMIENTOS!$C$5:$C$1005="A")*(MOVIMIENTOS!$D$5:$D$1005="jabas")*(MOVIMIENTOS!$A$5:$A$1005&lt;&gt;"")*(MOVIMIENTOS!$A$5:$A$1005&lt;=$A77)*MOVIMIENTOS!$E$5:$E$1005)-SUMPRODUCT((MOVIMIENTOS!$B$5:$B$1005="TRASIEGO")*(MOVIMIENTOS!$C$5:$C$1005="A")*(MOVIMIENTOS!$D$5:$D$1005="jabas")*(MOVIMIENTOS!$A$5:$A$1005&lt;&gt;"")*(MOVIMIENTOS!$A$5:$A$1005&lt;=$A77)*MOVIMIENTOS!$E$5:$E$1005)-SUMPRODUCT((MOVIMIENTOS!$B$5:$B$1005="REGALO")*(MOVIMIENTOS!$C$5:$C$1005="A")*(MOVIMIENTOS!$D$5:$D$1005="jabas")*(MOVIMIENTOS!$A$5:$A$1005&lt;&gt;"")*(MOVIMIENTOS!$A$5:$A$1005&lt;=$A77)*MOVIMIENTOS!$E$5:$E$1005)-SUMPRODUCT((MOVIMIENTOS!$B$5:$B$1005="VENTA")*(MOVIMIENTOS!$C$5:$C$1005="A")*(MOVIMIENTOS!$D$5:$D$1005="jabas")*(MOVIMIENTOS!$A$5:$A$1005&lt;&gt;"")*(MOVIMIENTOS!$A$5:$A$1005&lt;=$A77)*MOVIMIENTOS!$E$5:$E$1005)+SUMPRODUCT((MOVIMIENTOS!$B$5:$B$1005="AJUSTE")*(MOVIMIENTOS!$C$5:$C$1005="A")*(MOVIMIENTOS!$D$5:$D$1005="jabas")*(MOVIMIENTOS!$A$5:$A$1005&lt;&gt;"")*(MOVIMIENTOS!$A$5:$A$1005&lt;=$A77)*MOVIMIENTOS!$E$5:$E$1005))</f>
        <v/>
      </c>
      <c r="C77" s="63" t="str">
        <f>IF($A77="","",SUMPRODUCT((MOVIMIENTOS!$B$5:$B$1005="SALDO INICIAL")*(MOVIMIENTOS!$C$5:$C$1005="P")*(MOVIMIENTOS!$D$5:$D$1005="jabas")*(MOVIMIENTOS!$A$5:$A$1005&lt;&gt;"")*(MOVIMIENTOS!$A$5:$A$1005&lt;=$A77)*MOVIMIENTOS!$E$5:$E$1005)+SUMPRODUCT((MOVIMIENTOS!$B$5:$B$1005="PROCESO")*(MOVIMIENTOS!$C$5:$C$1005="P")*(MOVIMIENTOS!$D$5:$D$1005="jabas")*(MOVIMIENTOS!$A$5:$A$1005&lt;&gt;"")*(MOVIMIENTOS!$A$5:$A$1005&lt;=$A77)*MOVIMIENTOS!$E$5:$E$1005)-SUMPRODUCT((MOVIMIENTOS!$B$5:$B$1005="ENVÍO A SUPESA")*(MOVIMIENTOS!$C$5:$C$1005="P")*(MOVIMIENTOS!$D$5:$D$1005="jabas")*(MOVIMIENTOS!$A$5:$A$1005&lt;&gt;"")*(MOVIMIENTOS!$A$5:$A$1005&lt;=$A77)*MOVIMIENTOS!$E$5:$E$1005)+SUMPRODUCT((MOVIMIENTOS!$B$5:$B$1005="DEVOLUCIÓN")*(MOVIMIENTOS!$C$5:$C$1005="P")*(MOVIMIENTOS!$D$5:$D$1005="jabas")*(MOVIMIENTOS!$A$5:$A$1005&lt;&gt;"")*(MOVIMIENTOS!$A$5:$A$1005&lt;=$A77)*MOVIMIENTOS!$E$5:$E$1005)-SUMPRODUCT((MOVIMIENTOS!$B$5:$B$1005="TRASIEGO")*(MOVIMIENTOS!$C$5:$C$1005="P")*(MOVIMIENTOS!$D$5:$D$1005="jabas")*(MOVIMIENTOS!$A$5:$A$1005&lt;&gt;"")*(MOVIMIENTOS!$A$5:$A$1005&lt;=$A77)*MOVIMIENTOS!$E$5:$E$1005)-SUMPRODUCT((MOVIMIENTOS!$B$5:$B$1005="REGALO")*(MOVIMIENTOS!$C$5:$C$1005="P")*(MOVIMIENTOS!$D$5:$D$1005="jabas")*(MOVIMIENTOS!$A$5:$A$1005&lt;&gt;"")*(MOVIMIENTOS!$A$5:$A$1005&lt;=$A77)*MOVIMIENTOS!$E$5:$E$1005)-SUMPRODUCT((MOVIMIENTOS!$B$5:$B$1005="VENTA")*(MOVIMIENTOS!$C$5:$C$1005="P")*(MOVIMIENTOS!$D$5:$D$1005="jabas")*(MOVIMIENTOS!$A$5:$A$1005&lt;&gt;"")*(MOVIMIENTOS!$A$5:$A$1005&lt;=$A77)*MOVIMIENTOS!$E$5:$E$1005)+SUMPRODUCT((MOVIMIENTOS!$B$5:$B$1005="AJUSTE")*(MOVIMIENTOS!$C$5:$C$1005="P")*(MOVIMIENTOS!$D$5:$D$1005="jabas")*(MOVIMIENTOS!$A$5:$A$1005&lt;&gt;"")*(MOVIMIENTOS!$A$5:$A$1005&lt;=$A77)*MOVIMIENTOS!$E$5:$E$1005))</f>
        <v/>
      </c>
      <c r="D77" s="63" t="str">
        <f>IF($A77="","",SUMPRODUCT((MOVIMIENTOS!$B$5:$B$1005="SALDO INICIAL")*(MOVIMIENTOS!$C$5:$C$1005="C")*(MOVIMIENTOS!$D$5:$D$1005="jabas")*(MOVIMIENTOS!$A$5:$A$1005&lt;&gt;"")*(MOVIMIENTOS!$A$5:$A$1005&lt;=$A77)*MOVIMIENTOS!$E$5:$E$1005)+SUMPRODUCT((MOVIMIENTOS!$B$5:$B$1005="PROCESO")*(MOVIMIENTOS!$C$5:$C$1005="C")*(MOVIMIENTOS!$D$5:$D$1005="jabas")*(MOVIMIENTOS!$A$5:$A$1005&lt;&gt;"")*(MOVIMIENTOS!$A$5:$A$1005&lt;=$A77)*MOVIMIENTOS!$E$5:$E$1005)-SUMPRODUCT((MOVIMIENTOS!$B$5:$B$1005="ENVÍO A SUPESA")*(MOVIMIENTOS!$C$5:$C$1005="C")*(MOVIMIENTOS!$D$5:$D$1005="jabas")*(MOVIMIENTOS!$A$5:$A$1005&lt;&gt;"")*(MOVIMIENTOS!$A$5:$A$1005&lt;=$A77)*MOVIMIENTOS!$E$5:$E$1005)+SUMPRODUCT((MOVIMIENTOS!$B$5:$B$1005="DEVOLUCIÓN")*(MOVIMIENTOS!$C$5:$C$1005="C")*(MOVIMIENTOS!$D$5:$D$1005="jabas")*(MOVIMIENTOS!$A$5:$A$1005&lt;&gt;"")*(MOVIMIENTOS!$A$5:$A$1005&lt;=$A77)*MOVIMIENTOS!$E$5:$E$1005)-SUMPRODUCT((MOVIMIENTOS!$B$5:$B$1005="TRASIEGO")*(MOVIMIENTOS!$C$5:$C$1005="C")*(MOVIMIENTOS!$D$5:$D$1005="jabas")*(MOVIMIENTOS!$A$5:$A$1005&lt;&gt;"")*(MOVIMIENTOS!$A$5:$A$1005&lt;=$A77)*MOVIMIENTOS!$E$5:$E$1005)-SUMPRODUCT((MOVIMIENTOS!$B$5:$B$1005="REGALO")*(MOVIMIENTOS!$C$5:$C$1005="C")*(MOVIMIENTOS!$D$5:$D$1005="jabas")*(MOVIMIENTOS!$A$5:$A$1005&lt;&gt;"")*(MOVIMIENTOS!$A$5:$A$1005&lt;=$A77)*MOVIMIENTOS!$E$5:$E$1005)-SUMPRODUCT((MOVIMIENTOS!$B$5:$B$1005="VENTA")*(MOVIMIENTOS!$C$5:$C$1005="C")*(MOVIMIENTOS!$D$5:$D$1005="jabas")*(MOVIMIENTOS!$A$5:$A$1005&lt;&gt;"")*(MOVIMIENTOS!$A$5:$A$1005&lt;=$A77)*MOVIMIENTOS!$E$5:$E$1005)+SUMPRODUCT((MOVIMIENTOS!$B$5:$B$1005="AJUSTE")*(MOVIMIENTOS!$C$5:$C$1005="C")*(MOVIMIENTOS!$D$5:$D$1005="jabas")*(MOVIMIENTOS!$A$5:$A$1005&lt;&gt;"")*(MOVIMIENTOS!$A$5:$A$1005&lt;=$A77)*MOVIMIENTOS!$E$5:$E$1005))</f>
        <v/>
      </c>
      <c r="E77" s="63" t="str">
        <f>IF($A77="","",SUMPRODUCT((MOVIMIENTOS!$B$5:$B$1005="SALDO INICIAL")*(MOVIMIENTOS!$C$5:$C$1005="M")*(MOVIMIENTOS!$D$5:$D$1005="jabas")*(MOVIMIENTOS!$A$5:$A$1005&lt;&gt;"")*(MOVIMIENTOS!$A$5:$A$1005&lt;=$A77)*MOVIMIENTOS!$E$5:$E$1005)+SUMPRODUCT((MOVIMIENTOS!$B$5:$B$1005="PROCESO")*(MOVIMIENTOS!$C$5:$C$1005="M")*(MOVIMIENTOS!$D$5:$D$1005="jabas")*(MOVIMIENTOS!$A$5:$A$1005&lt;&gt;"")*(MOVIMIENTOS!$A$5:$A$1005&lt;=$A77)*MOVIMIENTOS!$E$5:$E$1005)-SUMPRODUCT((MOVIMIENTOS!$B$5:$B$1005="ENVÍO A SUPESA")*(MOVIMIENTOS!$C$5:$C$1005="M")*(MOVIMIENTOS!$D$5:$D$1005="jabas")*(MOVIMIENTOS!$A$5:$A$1005&lt;&gt;"")*(MOVIMIENTOS!$A$5:$A$1005&lt;=$A77)*MOVIMIENTOS!$E$5:$E$1005)+SUMPRODUCT((MOVIMIENTOS!$B$5:$B$1005="DEVOLUCIÓN")*(MOVIMIENTOS!$C$5:$C$1005="M")*(MOVIMIENTOS!$D$5:$D$1005="jabas")*(MOVIMIENTOS!$A$5:$A$1005&lt;&gt;"")*(MOVIMIENTOS!$A$5:$A$1005&lt;=$A77)*MOVIMIENTOS!$E$5:$E$1005)-SUMPRODUCT((MOVIMIENTOS!$B$5:$B$1005="TRASIEGO")*(MOVIMIENTOS!$C$5:$C$1005="M")*(MOVIMIENTOS!$D$5:$D$1005="jabas")*(MOVIMIENTOS!$A$5:$A$1005&lt;&gt;"")*(MOVIMIENTOS!$A$5:$A$1005&lt;=$A77)*MOVIMIENTOS!$E$5:$E$1005)-SUMPRODUCT((MOVIMIENTOS!$B$5:$B$1005="REGALO")*(MOVIMIENTOS!$C$5:$C$1005="M")*(MOVIMIENTOS!$D$5:$D$1005="jabas")*(MOVIMIENTOS!$A$5:$A$1005&lt;&gt;"")*(MOVIMIENTOS!$A$5:$A$1005&lt;=$A77)*MOVIMIENTOS!$E$5:$E$1005)-SUMPRODUCT((MOVIMIENTOS!$B$5:$B$1005="VENTA")*(MOVIMIENTOS!$C$5:$C$1005="M")*(MOVIMIENTOS!$D$5:$D$1005="jabas")*(MOVIMIENTOS!$A$5:$A$1005&lt;&gt;"")*(MOVIMIENTOS!$A$5:$A$1005&lt;=$A77)*MOVIMIENTOS!$E$5:$E$1005)+SUMPRODUCT((MOVIMIENTOS!$B$5:$B$1005="AJUSTE")*(MOVIMIENTOS!$C$5:$C$1005="M")*(MOVIMIENTOS!$D$5:$D$1005="jabas")*(MOVIMIENTOS!$A$5:$A$1005&lt;&gt;"")*(MOVIMIENTOS!$A$5:$A$1005&lt;=$A77)*MOVIMIENTOS!$E$5:$E$1005))</f>
        <v/>
      </c>
      <c r="F77" s="63" t="str">
        <f>IF($A77="","",SUMPRODUCT((MOVIMIENTOS!$B$5:$B$1005="SALDO INICIAL")*(MOVIMIENTOS!$C$5:$C$1005="Chancho")*(MOVIMIENTOS!$D$5:$D$1005="sacos")*(MOVIMIENTOS!$A$5:$A$1005&lt;&gt;"")*(MOVIMIENTOS!$A$5:$A$1005&lt;=$A77)*MOVIMIENTOS!$E$5:$E$1005)+SUMPRODUCT((MOVIMIENTOS!$B$5:$B$1005="PROCESO")*(MOVIMIENTOS!$C$5:$C$1005="Chancho")*(MOVIMIENTOS!$D$5:$D$1005="sacos")*(MOVIMIENTOS!$A$5:$A$1005&lt;&gt;"")*(MOVIMIENTOS!$A$5:$A$1005&lt;=$A77)*MOVIMIENTOS!$E$5:$E$1005)-SUMPRODUCT((MOVIMIENTOS!$B$5:$B$1005="VENTA CHANCHO")*(MOVIMIENTOS!$C$5:$C$1005="Chancho")*(MOVIMIENTOS!$D$5:$D$1005="sacos")*(MOVIMIENTOS!$A$5:$A$1005&lt;&gt;"")*(MOVIMIENTOS!$A$5:$A$1005&lt;=$A77)*MOVIMIENTOS!$E$5:$E$1005)-SUMPRODUCT((MOVIMIENTOS!$B$5:$B$1005="REGALO")*(MOVIMIENTOS!$C$5:$C$1005="Chancho")*(MOVIMIENTOS!$D$5:$D$1005="sacos")*(MOVIMIENTOS!$A$5:$A$1005&lt;&gt;"")*(MOVIMIENTOS!$A$5:$A$1005&lt;=$A77)*MOVIMIENTOS!$E$5:$E$1005)-SUMPRODUCT((MOVIMIENTOS!$B$5:$B$1005="VENTA")*(MOVIMIENTOS!$C$5:$C$1005="Chancho")*(MOVIMIENTOS!$D$5:$D$1005="sacos")*(MOVIMIENTOS!$A$5:$A$1005&lt;&gt;"")*(MOVIMIENTOS!$A$5:$A$1005&lt;=$A77)*MOVIMIENTOS!$E$5:$E$1005)+SUMPRODUCT((MOVIMIENTOS!$B$5:$B$1005="AJUSTE")*(MOVIMIENTOS!$C$5:$C$1005="Chancho")*(MOVIMIENTOS!$D$5:$D$1005="sacos")*(MOVIMIENTOS!$A$5:$A$1005&lt;&gt;"")*(MOVIMIENTOS!$A$5:$A$1005&lt;=$A77)*MOVIMIENTOS!$E$5:$E$1005))</f>
        <v/>
      </c>
      <c r="G77" s="95" t="str">
        <f t="shared" si="3"/>
        <v/>
      </c>
      <c r="H77" s="63" t="str">
        <f>IF($A77="","",SUMPRODUCT((((MOVIMIENTOS!$B$5:$B$1005="SALDO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77)*MOVIMIENTOS!$J$5:$J$1005))</f>
        <v/>
      </c>
      <c r="I77" s="63"/>
      <c r="J77" s="63" t="str">
        <f>IF(AND(MOVIMIENTOS!$A77&lt;&gt;"",COUNTIF(MOVIMIENTOS!$A$5:$A76,MOVIMIENTOS!$A77)=0),COUNT(J$4:J76)+1,"")</f>
        <v/>
      </c>
      <c r="K77" s="66">
        <f>MOVIMIENTOS!$A77</f>
        <v>46221</v>
      </c>
      <c r="L77" s="63"/>
      <c r="M77" s="63"/>
      <c r="N77" s="63"/>
    </row>
    <row r="78" spans="1:14" ht="15" customHeight="1" x14ac:dyDescent="0.2">
      <c r="A78" s="63" t="str">
        <f t="shared" si="2"/>
        <v/>
      </c>
      <c r="B78" s="63" t="str">
        <f>IF($A78="","",SUMPRODUCT((MOVIMIENTOS!$B$5:$B$1005="SALDO INICIAL")*(MOVIMIENTOS!$C$5:$C$1005="A")*(MOVIMIENTOS!$D$5:$D$1005="jabas")*(MOVIMIENTOS!$A$5:$A$1005&lt;&gt;"")*(MOVIMIENTOS!$A$5:$A$1005&lt;=$A78)*MOVIMIENTOS!$E$5:$E$1005)+SUMPRODUCT((MOVIMIENTOS!$B$5:$B$1005="PROCESO")*(MOVIMIENTOS!$C$5:$C$1005="A")*(MOVIMIENTOS!$D$5:$D$1005="jabas")*(MOVIMIENTOS!$A$5:$A$1005&lt;&gt;"")*(MOVIMIENTOS!$A$5:$A$1005&lt;=$A78)*MOVIMIENTOS!$E$5:$E$1005)-SUMPRODUCT((MOVIMIENTOS!$B$5:$B$1005="ENVÍO A SUPESA")*(MOVIMIENTOS!$C$5:$C$1005="A")*(MOVIMIENTOS!$D$5:$D$1005="jabas")*(MOVIMIENTOS!$A$5:$A$1005&lt;&gt;"")*(MOVIMIENTOS!$A$5:$A$1005&lt;=$A78)*MOVIMIENTOS!$E$5:$E$1005)+SUMPRODUCT((MOVIMIENTOS!$B$5:$B$1005="DEVOLUCIÓN")*(MOVIMIENTOS!$C$5:$C$1005="A")*(MOVIMIENTOS!$D$5:$D$1005="jabas")*(MOVIMIENTOS!$A$5:$A$1005&lt;&gt;"")*(MOVIMIENTOS!$A$5:$A$1005&lt;=$A78)*MOVIMIENTOS!$E$5:$E$1005)-SUMPRODUCT((MOVIMIENTOS!$B$5:$B$1005="TRASIEGO")*(MOVIMIENTOS!$C$5:$C$1005="A")*(MOVIMIENTOS!$D$5:$D$1005="jabas")*(MOVIMIENTOS!$A$5:$A$1005&lt;&gt;"")*(MOVIMIENTOS!$A$5:$A$1005&lt;=$A78)*MOVIMIENTOS!$E$5:$E$1005)-SUMPRODUCT((MOVIMIENTOS!$B$5:$B$1005="REGALO")*(MOVIMIENTOS!$C$5:$C$1005="A")*(MOVIMIENTOS!$D$5:$D$1005="jabas")*(MOVIMIENTOS!$A$5:$A$1005&lt;&gt;"")*(MOVIMIENTOS!$A$5:$A$1005&lt;=$A78)*MOVIMIENTOS!$E$5:$E$1005)-SUMPRODUCT((MOVIMIENTOS!$B$5:$B$1005="VENTA")*(MOVIMIENTOS!$C$5:$C$1005="A")*(MOVIMIENTOS!$D$5:$D$1005="jabas")*(MOVIMIENTOS!$A$5:$A$1005&lt;&gt;"")*(MOVIMIENTOS!$A$5:$A$1005&lt;=$A78)*MOVIMIENTOS!$E$5:$E$1005)+SUMPRODUCT((MOVIMIENTOS!$B$5:$B$1005="AJUSTE")*(MOVIMIENTOS!$C$5:$C$1005="A")*(MOVIMIENTOS!$D$5:$D$1005="jabas")*(MOVIMIENTOS!$A$5:$A$1005&lt;&gt;"")*(MOVIMIENTOS!$A$5:$A$1005&lt;=$A78)*MOVIMIENTOS!$E$5:$E$1005))</f>
        <v/>
      </c>
      <c r="C78" s="63" t="str">
        <f>IF($A78="","",SUMPRODUCT((MOVIMIENTOS!$B$5:$B$1005="SALDO INICIAL")*(MOVIMIENTOS!$C$5:$C$1005="P")*(MOVIMIENTOS!$D$5:$D$1005="jabas")*(MOVIMIENTOS!$A$5:$A$1005&lt;&gt;"")*(MOVIMIENTOS!$A$5:$A$1005&lt;=$A78)*MOVIMIENTOS!$E$5:$E$1005)+SUMPRODUCT((MOVIMIENTOS!$B$5:$B$1005="PROCESO")*(MOVIMIENTOS!$C$5:$C$1005="P")*(MOVIMIENTOS!$D$5:$D$1005="jabas")*(MOVIMIENTOS!$A$5:$A$1005&lt;&gt;"")*(MOVIMIENTOS!$A$5:$A$1005&lt;=$A78)*MOVIMIENTOS!$E$5:$E$1005)-SUMPRODUCT((MOVIMIENTOS!$B$5:$B$1005="ENVÍO A SUPESA")*(MOVIMIENTOS!$C$5:$C$1005="P")*(MOVIMIENTOS!$D$5:$D$1005="jabas")*(MOVIMIENTOS!$A$5:$A$1005&lt;&gt;"")*(MOVIMIENTOS!$A$5:$A$1005&lt;=$A78)*MOVIMIENTOS!$E$5:$E$1005)+SUMPRODUCT((MOVIMIENTOS!$B$5:$B$1005="DEVOLUCIÓN")*(MOVIMIENTOS!$C$5:$C$1005="P")*(MOVIMIENTOS!$D$5:$D$1005="jabas")*(MOVIMIENTOS!$A$5:$A$1005&lt;&gt;"")*(MOVIMIENTOS!$A$5:$A$1005&lt;=$A78)*MOVIMIENTOS!$E$5:$E$1005)-SUMPRODUCT((MOVIMIENTOS!$B$5:$B$1005="TRASIEGO")*(MOVIMIENTOS!$C$5:$C$1005="P")*(MOVIMIENTOS!$D$5:$D$1005="jabas")*(MOVIMIENTOS!$A$5:$A$1005&lt;&gt;"")*(MOVIMIENTOS!$A$5:$A$1005&lt;=$A78)*MOVIMIENTOS!$E$5:$E$1005)-SUMPRODUCT((MOVIMIENTOS!$B$5:$B$1005="REGALO")*(MOVIMIENTOS!$C$5:$C$1005="P")*(MOVIMIENTOS!$D$5:$D$1005="jabas")*(MOVIMIENTOS!$A$5:$A$1005&lt;&gt;"")*(MOVIMIENTOS!$A$5:$A$1005&lt;=$A78)*MOVIMIENTOS!$E$5:$E$1005)-SUMPRODUCT((MOVIMIENTOS!$B$5:$B$1005="VENTA")*(MOVIMIENTOS!$C$5:$C$1005="P")*(MOVIMIENTOS!$D$5:$D$1005="jabas")*(MOVIMIENTOS!$A$5:$A$1005&lt;&gt;"")*(MOVIMIENTOS!$A$5:$A$1005&lt;=$A78)*MOVIMIENTOS!$E$5:$E$1005)+SUMPRODUCT((MOVIMIENTOS!$B$5:$B$1005="AJUSTE")*(MOVIMIENTOS!$C$5:$C$1005="P")*(MOVIMIENTOS!$D$5:$D$1005="jabas")*(MOVIMIENTOS!$A$5:$A$1005&lt;&gt;"")*(MOVIMIENTOS!$A$5:$A$1005&lt;=$A78)*MOVIMIENTOS!$E$5:$E$1005))</f>
        <v/>
      </c>
      <c r="D78" s="63" t="str">
        <f>IF($A78="","",SUMPRODUCT((MOVIMIENTOS!$B$5:$B$1005="SALDO INICIAL")*(MOVIMIENTOS!$C$5:$C$1005="C")*(MOVIMIENTOS!$D$5:$D$1005="jabas")*(MOVIMIENTOS!$A$5:$A$1005&lt;&gt;"")*(MOVIMIENTOS!$A$5:$A$1005&lt;=$A78)*MOVIMIENTOS!$E$5:$E$1005)+SUMPRODUCT((MOVIMIENTOS!$B$5:$B$1005="PROCESO")*(MOVIMIENTOS!$C$5:$C$1005="C")*(MOVIMIENTOS!$D$5:$D$1005="jabas")*(MOVIMIENTOS!$A$5:$A$1005&lt;&gt;"")*(MOVIMIENTOS!$A$5:$A$1005&lt;=$A78)*MOVIMIENTOS!$E$5:$E$1005)-SUMPRODUCT((MOVIMIENTOS!$B$5:$B$1005="ENVÍO A SUPESA")*(MOVIMIENTOS!$C$5:$C$1005="C")*(MOVIMIENTOS!$D$5:$D$1005="jabas")*(MOVIMIENTOS!$A$5:$A$1005&lt;&gt;"")*(MOVIMIENTOS!$A$5:$A$1005&lt;=$A78)*MOVIMIENTOS!$E$5:$E$1005)+SUMPRODUCT((MOVIMIENTOS!$B$5:$B$1005="DEVOLUCIÓN")*(MOVIMIENTOS!$C$5:$C$1005="C")*(MOVIMIENTOS!$D$5:$D$1005="jabas")*(MOVIMIENTOS!$A$5:$A$1005&lt;&gt;"")*(MOVIMIENTOS!$A$5:$A$1005&lt;=$A78)*MOVIMIENTOS!$E$5:$E$1005)-SUMPRODUCT((MOVIMIENTOS!$B$5:$B$1005="TRASIEGO")*(MOVIMIENTOS!$C$5:$C$1005="C")*(MOVIMIENTOS!$D$5:$D$1005="jabas")*(MOVIMIENTOS!$A$5:$A$1005&lt;&gt;"")*(MOVIMIENTOS!$A$5:$A$1005&lt;=$A78)*MOVIMIENTOS!$E$5:$E$1005)-SUMPRODUCT((MOVIMIENTOS!$B$5:$B$1005="REGALO")*(MOVIMIENTOS!$C$5:$C$1005="C")*(MOVIMIENTOS!$D$5:$D$1005="jabas")*(MOVIMIENTOS!$A$5:$A$1005&lt;&gt;"")*(MOVIMIENTOS!$A$5:$A$1005&lt;=$A78)*MOVIMIENTOS!$E$5:$E$1005)-SUMPRODUCT((MOVIMIENTOS!$B$5:$B$1005="VENTA")*(MOVIMIENTOS!$C$5:$C$1005="C")*(MOVIMIENTOS!$D$5:$D$1005="jabas")*(MOVIMIENTOS!$A$5:$A$1005&lt;&gt;"")*(MOVIMIENTOS!$A$5:$A$1005&lt;=$A78)*MOVIMIENTOS!$E$5:$E$1005)+SUMPRODUCT((MOVIMIENTOS!$B$5:$B$1005="AJUSTE")*(MOVIMIENTOS!$C$5:$C$1005="C")*(MOVIMIENTOS!$D$5:$D$1005="jabas")*(MOVIMIENTOS!$A$5:$A$1005&lt;&gt;"")*(MOVIMIENTOS!$A$5:$A$1005&lt;=$A78)*MOVIMIENTOS!$E$5:$E$1005))</f>
        <v/>
      </c>
      <c r="E78" s="63" t="str">
        <f>IF($A78="","",SUMPRODUCT((MOVIMIENTOS!$B$5:$B$1005="SALDO INICIAL")*(MOVIMIENTOS!$C$5:$C$1005="M")*(MOVIMIENTOS!$D$5:$D$1005="jabas")*(MOVIMIENTOS!$A$5:$A$1005&lt;&gt;"")*(MOVIMIENTOS!$A$5:$A$1005&lt;=$A78)*MOVIMIENTOS!$E$5:$E$1005)+SUMPRODUCT((MOVIMIENTOS!$B$5:$B$1005="PROCESO")*(MOVIMIENTOS!$C$5:$C$1005="M")*(MOVIMIENTOS!$D$5:$D$1005="jabas")*(MOVIMIENTOS!$A$5:$A$1005&lt;&gt;"")*(MOVIMIENTOS!$A$5:$A$1005&lt;=$A78)*MOVIMIENTOS!$E$5:$E$1005)-SUMPRODUCT((MOVIMIENTOS!$B$5:$B$1005="ENVÍO A SUPESA")*(MOVIMIENTOS!$C$5:$C$1005="M")*(MOVIMIENTOS!$D$5:$D$1005="jabas")*(MOVIMIENTOS!$A$5:$A$1005&lt;&gt;"")*(MOVIMIENTOS!$A$5:$A$1005&lt;=$A78)*MOVIMIENTOS!$E$5:$E$1005)+SUMPRODUCT((MOVIMIENTOS!$B$5:$B$1005="DEVOLUCIÓN")*(MOVIMIENTOS!$C$5:$C$1005="M")*(MOVIMIENTOS!$D$5:$D$1005="jabas")*(MOVIMIENTOS!$A$5:$A$1005&lt;&gt;"")*(MOVIMIENTOS!$A$5:$A$1005&lt;=$A78)*MOVIMIENTOS!$E$5:$E$1005)-SUMPRODUCT((MOVIMIENTOS!$B$5:$B$1005="TRASIEGO")*(MOVIMIENTOS!$C$5:$C$1005="M")*(MOVIMIENTOS!$D$5:$D$1005="jabas")*(MOVIMIENTOS!$A$5:$A$1005&lt;&gt;"")*(MOVIMIENTOS!$A$5:$A$1005&lt;=$A78)*MOVIMIENTOS!$E$5:$E$1005)-SUMPRODUCT((MOVIMIENTOS!$B$5:$B$1005="REGALO")*(MOVIMIENTOS!$C$5:$C$1005="M")*(MOVIMIENTOS!$D$5:$D$1005="jabas")*(MOVIMIENTOS!$A$5:$A$1005&lt;&gt;"")*(MOVIMIENTOS!$A$5:$A$1005&lt;=$A78)*MOVIMIENTOS!$E$5:$E$1005)-SUMPRODUCT((MOVIMIENTOS!$B$5:$B$1005="VENTA")*(MOVIMIENTOS!$C$5:$C$1005="M")*(MOVIMIENTOS!$D$5:$D$1005="jabas")*(MOVIMIENTOS!$A$5:$A$1005&lt;&gt;"")*(MOVIMIENTOS!$A$5:$A$1005&lt;=$A78)*MOVIMIENTOS!$E$5:$E$1005)+SUMPRODUCT((MOVIMIENTOS!$B$5:$B$1005="AJUSTE")*(MOVIMIENTOS!$C$5:$C$1005="M")*(MOVIMIENTOS!$D$5:$D$1005="jabas")*(MOVIMIENTOS!$A$5:$A$1005&lt;&gt;"")*(MOVIMIENTOS!$A$5:$A$1005&lt;=$A78)*MOVIMIENTOS!$E$5:$E$1005))</f>
        <v/>
      </c>
      <c r="F78" s="63" t="str">
        <f>IF($A78="","",SUMPRODUCT((MOVIMIENTOS!$B$5:$B$1005="SALDO INICIAL")*(MOVIMIENTOS!$C$5:$C$1005="Chancho")*(MOVIMIENTOS!$D$5:$D$1005="sacos")*(MOVIMIENTOS!$A$5:$A$1005&lt;&gt;"")*(MOVIMIENTOS!$A$5:$A$1005&lt;=$A78)*MOVIMIENTOS!$E$5:$E$1005)+SUMPRODUCT((MOVIMIENTOS!$B$5:$B$1005="PROCESO")*(MOVIMIENTOS!$C$5:$C$1005="Chancho")*(MOVIMIENTOS!$D$5:$D$1005="sacos")*(MOVIMIENTOS!$A$5:$A$1005&lt;&gt;"")*(MOVIMIENTOS!$A$5:$A$1005&lt;=$A78)*MOVIMIENTOS!$E$5:$E$1005)-SUMPRODUCT((MOVIMIENTOS!$B$5:$B$1005="VENTA CHANCHO")*(MOVIMIENTOS!$C$5:$C$1005="Chancho")*(MOVIMIENTOS!$D$5:$D$1005="sacos")*(MOVIMIENTOS!$A$5:$A$1005&lt;&gt;"")*(MOVIMIENTOS!$A$5:$A$1005&lt;=$A78)*MOVIMIENTOS!$E$5:$E$1005)-SUMPRODUCT((MOVIMIENTOS!$B$5:$B$1005="REGALO")*(MOVIMIENTOS!$C$5:$C$1005="Chancho")*(MOVIMIENTOS!$D$5:$D$1005="sacos")*(MOVIMIENTOS!$A$5:$A$1005&lt;&gt;"")*(MOVIMIENTOS!$A$5:$A$1005&lt;=$A78)*MOVIMIENTOS!$E$5:$E$1005)-SUMPRODUCT((MOVIMIENTOS!$B$5:$B$1005="VENTA")*(MOVIMIENTOS!$C$5:$C$1005="Chancho")*(MOVIMIENTOS!$D$5:$D$1005="sacos")*(MOVIMIENTOS!$A$5:$A$1005&lt;&gt;"")*(MOVIMIENTOS!$A$5:$A$1005&lt;=$A78)*MOVIMIENTOS!$E$5:$E$1005)+SUMPRODUCT((MOVIMIENTOS!$B$5:$B$1005="AJUSTE")*(MOVIMIENTOS!$C$5:$C$1005="Chancho")*(MOVIMIENTOS!$D$5:$D$1005="sacos")*(MOVIMIENTOS!$A$5:$A$1005&lt;&gt;"")*(MOVIMIENTOS!$A$5:$A$1005&lt;=$A78)*MOVIMIENTOS!$E$5:$E$1005))</f>
        <v/>
      </c>
      <c r="G78" s="95" t="str">
        <f t="shared" si="3"/>
        <v/>
      </c>
      <c r="H78" s="63" t="str">
        <f>IF($A78="","",SUMPRODUCT((((MOVIMIENTOS!$B$5:$B$1005="SALDO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78)*MOVIMIENTOS!$J$5:$J$1005))</f>
        <v/>
      </c>
      <c r="I78" s="63"/>
      <c r="J78" s="63" t="str">
        <f>IF(AND(MOVIMIENTOS!$A78&lt;&gt;"",COUNTIF(MOVIMIENTOS!$A$5:$A77,MOVIMIENTOS!$A78)=0),COUNT(J$4:J77)+1,"")</f>
        <v/>
      </c>
      <c r="K78" s="66">
        <f>MOVIMIENTOS!$A78</f>
        <v>46221</v>
      </c>
      <c r="L78" s="63"/>
      <c r="M78" s="63"/>
      <c r="N78" s="63"/>
    </row>
    <row r="79" spans="1:14" ht="15" customHeight="1" x14ac:dyDescent="0.2">
      <c r="A79" s="63" t="str">
        <f t="shared" si="2"/>
        <v/>
      </c>
      <c r="B79" s="63" t="str">
        <f>IF($A79="","",SUMPRODUCT((MOVIMIENTOS!$B$5:$B$1005="SALDO INICIAL")*(MOVIMIENTOS!$C$5:$C$1005="A")*(MOVIMIENTOS!$D$5:$D$1005="jabas")*(MOVIMIENTOS!$A$5:$A$1005&lt;&gt;"")*(MOVIMIENTOS!$A$5:$A$1005&lt;=$A79)*MOVIMIENTOS!$E$5:$E$1005)+SUMPRODUCT((MOVIMIENTOS!$B$5:$B$1005="PROCESO")*(MOVIMIENTOS!$C$5:$C$1005="A")*(MOVIMIENTOS!$D$5:$D$1005="jabas")*(MOVIMIENTOS!$A$5:$A$1005&lt;&gt;"")*(MOVIMIENTOS!$A$5:$A$1005&lt;=$A79)*MOVIMIENTOS!$E$5:$E$1005)-SUMPRODUCT((MOVIMIENTOS!$B$5:$B$1005="ENVÍO A SUPESA")*(MOVIMIENTOS!$C$5:$C$1005="A")*(MOVIMIENTOS!$D$5:$D$1005="jabas")*(MOVIMIENTOS!$A$5:$A$1005&lt;&gt;"")*(MOVIMIENTOS!$A$5:$A$1005&lt;=$A79)*MOVIMIENTOS!$E$5:$E$1005)+SUMPRODUCT((MOVIMIENTOS!$B$5:$B$1005="DEVOLUCIÓN")*(MOVIMIENTOS!$C$5:$C$1005="A")*(MOVIMIENTOS!$D$5:$D$1005="jabas")*(MOVIMIENTOS!$A$5:$A$1005&lt;&gt;"")*(MOVIMIENTOS!$A$5:$A$1005&lt;=$A79)*MOVIMIENTOS!$E$5:$E$1005)-SUMPRODUCT((MOVIMIENTOS!$B$5:$B$1005="TRASIEGO")*(MOVIMIENTOS!$C$5:$C$1005="A")*(MOVIMIENTOS!$D$5:$D$1005="jabas")*(MOVIMIENTOS!$A$5:$A$1005&lt;&gt;"")*(MOVIMIENTOS!$A$5:$A$1005&lt;=$A79)*MOVIMIENTOS!$E$5:$E$1005)-SUMPRODUCT((MOVIMIENTOS!$B$5:$B$1005="REGALO")*(MOVIMIENTOS!$C$5:$C$1005="A")*(MOVIMIENTOS!$D$5:$D$1005="jabas")*(MOVIMIENTOS!$A$5:$A$1005&lt;&gt;"")*(MOVIMIENTOS!$A$5:$A$1005&lt;=$A79)*MOVIMIENTOS!$E$5:$E$1005)-SUMPRODUCT((MOVIMIENTOS!$B$5:$B$1005="VENTA")*(MOVIMIENTOS!$C$5:$C$1005="A")*(MOVIMIENTOS!$D$5:$D$1005="jabas")*(MOVIMIENTOS!$A$5:$A$1005&lt;&gt;"")*(MOVIMIENTOS!$A$5:$A$1005&lt;=$A79)*MOVIMIENTOS!$E$5:$E$1005)+SUMPRODUCT((MOVIMIENTOS!$B$5:$B$1005="AJUSTE")*(MOVIMIENTOS!$C$5:$C$1005="A")*(MOVIMIENTOS!$D$5:$D$1005="jabas")*(MOVIMIENTOS!$A$5:$A$1005&lt;&gt;"")*(MOVIMIENTOS!$A$5:$A$1005&lt;=$A79)*MOVIMIENTOS!$E$5:$E$1005))</f>
        <v/>
      </c>
      <c r="C79" s="63" t="str">
        <f>IF($A79="","",SUMPRODUCT((MOVIMIENTOS!$B$5:$B$1005="SALDO INICIAL")*(MOVIMIENTOS!$C$5:$C$1005="P")*(MOVIMIENTOS!$D$5:$D$1005="jabas")*(MOVIMIENTOS!$A$5:$A$1005&lt;&gt;"")*(MOVIMIENTOS!$A$5:$A$1005&lt;=$A79)*MOVIMIENTOS!$E$5:$E$1005)+SUMPRODUCT((MOVIMIENTOS!$B$5:$B$1005="PROCESO")*(MOVIMIENTOS!$C$5:$C$1005="P")*(MOVIMIENTOS!$D$5:$D$1005="jabas")*(MOVIMIENTOS!$A$5:$A$1005&lt;&gt;"")*(MOVIMIENTOS!$A$5:$A$1005&lt;=$A79)*MOVIMIENTOS!$E$5:$E$1005)-SUMPRODUCT((MOVIMIENTOS!$B$5:$B$1005="ENVÍO A SUPESA")*(MOVIMIENTOS!$C$5:$C$1005="P")*(MOVIMIENTOS!$D$5:$D$1005="jabas")*(MOVIMIENTOS!$A$5:$A$1005&lt;&gt;"")*(MOVIMIENTOS!$A$5:$A$1005&lt;=$A79)*MOVIMIENTOS!$E$5:$E$1005)+SUMPRODUCT((MOVIMIENTOS!$B$5:$B$1005="DEVOLUCIÓN")*(MOVIMIENTOS!$C$5:$C$1005="P")*(MOVIMIENTOS!$D$5:$D$1005="jabas")*(MOVIMIENTOS!$A$5:$A$1005&lt;&gt;"")*(MOVIMIENTOS!$A$5:$A$1005&lt;=$A79)*MOVIMIENTOS!$E$5:$E$1005)-SUMPRODUCT((MOVIMIENTOS!$B$5:$B$1005="TRASIEGO")*(MOVIMIENTOS!$C$5:$C$1005="P")*(MOVIMIENTOS!$D$5:$D$1005="jabas")*(MOVIMIENTOS!$A$5:$A$1005&lt;&gt;"")*(MOVIMIENTOS!$A$5:$A$1005&lt;=$A79)*MOVIMIENTOS!$E$5:$E$1005)-SUMPRODUCT((MOVIMIENTOS!$B$5:$B$1005="REGALO")*(MOVIMIENTOS!$C$5:$C$1005="P")*(MOVIMIENTOS!$D$5:$D$1005="jabas")*(MOVIMIENTOS!$A$5:$A$1005&lt;&gt;"")*(MOVIMIENTOS!$A$5:$A$1005&lt;=$A79)*MOVIMIENTOS!$E$5:$E$1005)-SUMPRODUCT((MOVIMIENTOS!$B$5:$B$1005="VENTA")*(MOVIMIENTOS!$C$5:$C$1005="P")*(MOVIMIENTOS!$D$5:$D$1005="jabas")*(MOVIMIENTOS!$A$5:$A$1005&lt;&gt;"")*(MOVIMIENTOS!$A$5:$A$1005&lt;=$A79)*MOVIMIENTOS!$E$5:$E$1005)+SUMPRODUCT((MOVIMIENTOS!$B$5:$B$1005="AJUSTE")*(MOVIMIENTOS!$C$5:$C$1005="P")*(MOVIMIENTOS!$D$5:$D$1005="jabas")*(MOVIMIENTOS!$A$5:$A$1005&lt;&gt;"")*(MOVIMIENTOS!$A$5:$A$1005&lt;=$A79)*MOVIMIENTOS!$E$5:$E$1005))</f>
        <v/>
      </c>
      <c r="D79" s="63" t="str">
        <f>IF($A79="","",SUMPRODUCT((MOVIMIENTOS!$B$5:$B$1005="SALDO INICIAL")*(MOVIMIENTOS!$C$5:$C$1005="C")*(MOVIMIENTOS!$D$5:$D$1005="jabas")*(MOVIMIENTOS!$A$5:$A$1005&lt;&gt;"")*(MOVIMIENTOS!$A$5:$A$1005&lt;=$A79)*MOVIMIENTOS!$E$5:$E$1005)+SUMPRODUCT((MOVIMIENTOS!$B$5:$B$1005="PROCESO")*(MOVIMIENTOS!$C$5:$C$1005="C")*(MOVIMIENTOS!$D$5:$D$1005="jabas")*(MOVIMIENTOS!$A$5:$A$1005&lt;&gt;"")*(MOVIMIENTOS!$A$5:$A$1005&lt;=$A79)*MOVIMIENTOS!$E$5:$E$1005)-SUMPRODUCT((MOVIMIENTOS!$B$5:$B$1005="ENVÍO A SUPESA")*(MOVIMIENTOS!$C$5:$C$1005="C")*(MOVIMIENTOS!$D$5:$D$1005="jabas")*(MOVIMIENTOS!$A$5:$A$1005&lt;&gt;"")*(MOVIMIENTOS!$A$5:$A$1005&lt;=$A79)*MOVIMIENTOS!$E$5:$E$1005)+SUMPRODUCT((MOVIMIENTOS!$B$5:$B$1005="DEVOLUCIÓN")*(MOVIMIENTOS!$C$5:$C$1005="C")*(MOVIMIENTOS!$D$5:$D$1005="jabas")*(MOVIMIENTOS!$A$5:$A$1005&lt;&gt;"")*(MOVIMIENTOS!$A$5:$A$1005&lt;=$A79)*MOVIMIENTOS!$E$5:$E$1005)-SUMPRODUCT((MOVIMIENTOS!$B$5:$B$1005="TRASIEGO")*(MOVIMIENTOS!$C$5:$C$1005="C")*(MOVIMIENTOS!$D$5:$D$1005="jabas")*(MOVIMIENTOS!$A$5:$A$1005&lt;&gt;"")*(MOVIMIENTOS!$A$5:$A$1005&lt;=$A79)*MOVIMIENTOS!$E$5:$E$1005)-SUMPRODUCT((MOVIMIENTOS!$B$5:$B$1005="REGALO")*(MOVIMIENTOS!$C$5:$C$1005="C")*(MOVIMIENTOS!$D$5:$D$1005="jabas")*(MOVIMIENTOS!$A$5:$A$1005&lt;&gt;"")*(MOVIMIENTOS!$A$5:$A$1005&lt;=$A79)*MOVIMIENTOS!$E$5:$E$1005)-SUMPRODUCT((MOVIMIENTOS!$B$5:$B$1005="VENTA")*(MOVIMIENTOS!$C$5:$C$1005="C")*(MOVIMIENTOS!$D$5:$D$1005="jabas")*(MOVIMIENTOS!$A$5:$A$1005&lt;&gt;"")*(MOVIMIENTOS!$A$5:$A$1005&lt;=$A79)*MOVIMIENTOS!$E$5:$E$1005)+SUMPRODUCT((MOVIMIENTOS!$B$5:$B$1005="AJUSTE")*(MOVIMIENTOS!$C$5:$C$1005="C")*(MOVIMIENTOS!$D$5:$D$1005="jabas")*(MOVIMIENTOS!$A$5:$A$1005&lt;&gt;"")*(MOVIMIENTOS!$A$5:$A$1005&lt;=$A79)*MOVIMIENTOS!$E$5:$E$1005))</f>
        <v/>
      </c>
      <c r="E79" s="63" t="str">
        <f>IF($A79="","",SUMPRODUCT((MOVIMIENTOS!$B$5:$B$1005="SALDO INICIAL")*(MOVIMIENTOS!$C$5:$C$1005="M")*(MOVIMIENTOS!$D$5:$D$1005="jabas")*(MOVIMIENTOS!$A$5:$A$1005&lt;&gt;"")*(MOVIMIENTOS!$A$5:$A$1005&lt;=$A79)*MOVIMIENTOS!$E$5:$E$1005)+SUMPRODUCT((MOVIMIENTOS!$B$5:$B$1005="PROCESO")*(MOVIMIENTOS!$C$5:$C$1005="M")*(MOVIMIENTOS!$D$5:$D$1005="jabas")*(MOVIMIENTOS!$A$5:$A$1005&lt;&gt;"")*(MOVIMIENTOS!$A$5:$A$1005&lt;=$A79)*MOVIMIENTOS!$E$5:$E$1005)-SUMPRODUCT((MOVIMIENTOS!$B$5:$B$1005="ENVÍO A SUPESA")*(MOVIMIENTOS!$C$5:$C$1005="M")*(MOVIMIENTOS!$D$5:$D$1005="jabas")*(MOVIMIENTOS!$A$5:$A$1005&lt;&gt;"")*(MOVIMIENTOS!$A$5:$A$1005&lt;=$A79)*MOVIMIENTOS!$E$5:$E$1005)+SUMPRODUCT((MOVIMIENTOS!$B$5:$B$1005="DEVOLUCIÓN")*(MOVIMIENTOS!$C$5:$C$1005="M")*(MOVIMIENTOS!$D$5:$D$1005="jabas")*(MOVIMIENTOS!$A$5:$A$1005&lt;&gt;"")*(MOVIMIENTOS!$A$5:$A$1005&lt;=$A79)*MOVIMIENTOS!$E$5:$E$1005)-SUMPRODUCT((MOVIMIENTOS!$B$5:$B$1005="TRASIEGO")*(MOVIMIENTOS!$C$5:$C$1005="M")*(MOVIMIENTOS!$D$5:$D$1005="jabas")*(MOVIMIENTOS!$A$5:$A$1005&lt;&gt;"")*(MOVIMIENTOS!$A$5:$A$1005&lt;=$A79)*MOVIMIENTOS!$E$5:$E$1005)-SUMPRODUCT((MOVIMIENTOS!$B$5:$B$1005="REGALO")*(MOVIMIENTOS!$C$5:$C$1005="M")*(MOVIMIENTOS!$D$5:$D$1005="jabas")*(MOVIMIENTOS!$A$5:$A$1005&lt;&gt;"")*(MOVIMIENTOS!$A$5:$A$1005&lt;=$A79)*MOVIMIENTOS!$E$5:$E$1005)-SUMPRODUCT((MOVIMIENTOS!$B$5:$B$1005="VENTA")*(MOVIMIENTOS!$C$5:$C$1005="M")*(MOVIMIENTOS!$D$5:$D$1005="jabas")*(MOVIMIENTOS!$A$5:$A$1005&lt;&gt;"")*(MOVIMIENTOS!$A$5:$A$1005&lt;=$A79)*MOVIMIENTOS!$E$5:$E$1005)+SUMPRODUCT((MOVIMIENTOS!$B$5:$B$1005="AJUSTE")*(MOVIMIENTOS!$C$5:$C$1005="M")*(MOVIMIENTOS!$D$5:$D$1005="jabas")*(MOVIMIENTOS!$A$5:$A$1005&lt;&gt;"")*(MOVIMIENTOS!$A$5:$A$1005&lt;=$A79)*MOVIMIENTOS!$E$5:$E$1005))</f>
        <v/>
      </c>
      <c r="F79" s="63" t="str">
        <f>IF($A79="","",SUMPRODUCT((MOVIMIENTOS!$B$5:$B$1005="SALDO INICIAL")*(MOVIMIENTOS!$C$5:$C$1005="Chancho")*(MOVIMIENTOS!$D$5:$D$1005="sacos")*(MOVIMIENTOS!$A$5:$A$1005&lt;&gt;"")*(MOVIMIENTOS!$A$5:$A$1005&lt;=$A79)*MOVIMIENTOS!$E$5:$E$1005)+SUMPRODUCT((MOVIMIENTOS!$B$5:$B$1005="PROCESO")*(MOVIMIENTOS!$C$5:$C$1005="Chancho")*(MOVIMIENTOS!$D$5:$D$1005="sacos")*(MOVIMIENTOS!$A$5:$A$1005&lt;&gt;"")*(MOVIMIENTOS!$A$5:$A$1005&lt;=$A79)*MOVIMIENTOS!$E$5:$E$1005)-SUMPRODUCT((MOVIMIENTOS!$B$5:$B$1005="VENTA CHANCHO")*(MOVIMIENTOS!$C$5:$C$1005="Chancho")*(MOVIMIENTOS!$D$5:$D$1005="sacos")*(MOVIMIENTOS!$A$5:$A$1005&lt;&gt;"")*(MOVIMIENTOS!$A$5:$A$1005&lt;=$A79)*MOVIMIENTOS!$E$5:$E$1005)-SUMPRODUCT((MOVIMIENTOS!$B$5:$B$1005="REGALO")*(MOVIMIENTOS!$C$5:$C$1005="Chancho")*(MOVIMIENTOS!$D$5:$D$1005="sacos")*(MOVIMIENTOS!$A$5:$A$1005&lt;&gt;"")*(MOVIMIENTOS!$A$5:$A$1005&lt;=$A79)*MOVIMIENTOS!$E$5:$E$1005)-SUMPRODUCT((MOVIMIENTOS!$B$5:$B$1005="VENTA")*(MOVIMIENTOS!$C$5:$C$1005="Chancho")*(MOVIMIENTOS!$D$5:$D$1005="sacos")*(MOVIMIENTOS!$A$5:$A$1005&lt;&gt;"")*(MOVIMIENTOS!$A$5:$A$1005&lt;=$A79)*MOVIMIENTOS!$E$5:$E$1005)+SUMPRODUCT((MOVIMIENTOS!$B$5:$B$1005="AJUSTE")*(MOVIMIENTOS!$C$5:$C$1005="Chancho")*(MOVIMIENTOS!$D$5:$D$1005="sacos")*(MOVIMIENTOS!$A$5:$A$1005&lt;&gt;"")*(MOVIMIENTOS!$A$5:$A$1005&lt;=$A79)*MOVIMIENTOS!$E$5:$E$1005))</f>
        <v/>
      </c>
      <c r="G79" s="95" t="str">
        <f t="shared" si="3"/>
        <v/>
      </c>
      <c r="H79" s="63" t="str">
        <f>IF($A79="","",SUMPRODUCT((((MOVIMIENTOS!$B$5:$B$1005="SALDO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79)*MOVIMIENTOS!$J$5:$J$1005))</f>
        <v/>
      </c>
      <c r="I79" s="63"/>
      <c r="J79" s="63" t="str">
        <f>IF(AND(MOVIMIENTOS!$A79&lt;&gt;"",COUNTIF(MOVIMIENTOS!$A$5:$A78,MOVIMIENTOS!$A79)=0),COUNT(J$4:J78)+1,"")</f>
        <v/>
      </c>
      <c r="K79" s="66">
        <f>MOVIMIENTOS!$A79</f>
        <v>46221</v>
      </c>
      <c r="L79" s="63"/>
      <c r="M79" s="63"/>
      <c r="N79" s="63"/>
    </row>
    <row r="80" spans="1:14" ht="15" customHeight="1" x14ac:dyDescent="0.2">
      <c r="A80" s="63" t="str">
        <f t="shared" si="2"/>
        <v/>
      </c>
      <c r="B80" s="63" t="str">
        <f>IF($A80="","",SUMPRODUCT((MOVIMIENTOS!$B$5:$B$1005="SALDO INICIAL")*(MOVIMIENTOS!$C$5:$C$1005="A")*(MOVIMIENTOS!$D$5:$D$1005="jabas")*(MOVIMIENTOS!$A$5:$A$1005&lt;&gt;"")*(MOVIMIENTOS!$A$5:$A$1005&lt;=$A80)*MOVIMIENTOS!$E$5:$E$1005)+SUMPRODUCT((MOVIMIENTOS!$B$5:$B$1005="PROCESO")*(MOVIMIENTOS!$C$5:$C$1005="A")*(MOVIMIENTOS!$D$5:$D$1005="jabas")*(MOVIMIENTOS!$A$5:$A$1005&lt;&gt;"")*(MOVIMIENTOS!$A$5:$A$1005&lt;=$A80)*MOVIMIENTOS!$E$5:$E$1005)-SUMPRODUCT((MOVIMIENTOS!$B$5:$B$1005="ENVÍO A SUPESA")*(MOVIMIENTOS!$C$5:$C$1005="A")*(MOVIMIENTOS!$D$5:$D$1005="jabas")*(MOVIMIENTOS!$A$5:$A$1005&lt;&gt;"")*(MOVIMIENTOS!$A$5:$A$1005&lt;=$A80)*MOVIMIENTOS!$E$5:$E$1005)+SUMPRODUCT((MOVIMIENTOS!$B$5:$B$1005="DEVOLUCIÓN")*(MOVIMIENTOS!$C$5:$C$1005="A")*(MOVIMIENTOS!$D$5:$D$1005="jabas")*(MOVIMIENTOS!$A$5:$A$1005&lt;&gt;"")*(MOVIMIENTOS!$A$5:$A$1005&lt;=$A80)*MOVIMIENTOS!$E$5:$E$1005)-SUMPRODUCT((MOVIMIENTOS!$B$5:$B$1005="TRASIEGO")*(MOVIMIENTOS!$C$5:$C$1005="A")*(MOVIMIENTOS!$D$5:$D$1005="jabas")*(MOVIMIENTOS!$A$5:$A$1005&lt;&gt;"")*(MOVIMIENTOS!$A$5:$A$1005&lt;=$A80)*MOVIMIENTOS!$E$5:$E$1005)-SUMPRODUCT((MOVIMIENTOS!$B$5:$B$1005="REGALO")*(MOVIMIENTOS!$C$5:$C$1005="A")*(MOVIMIENTOS!$D$5:$D$1005="jabas")*(MOVIMIENTOS!$A$5:$A$1005&lt;&gt;"")*(MOVIMIENTOS!$A$5:$A$1005&lt;=$A80)*MOVIMIENTOS!$E$5:$E$1005)-SUMPRODUCT((MOVIMIENTOS!$B$5:$B$1005="VENTA")*(MOVIMIENTOS!$C$5:$C$1005="A")*(MOVIMIENTOS!$D$5:$D$1005="jabas")*(MOVIMIENTOS!$A$5:$A$1005&lt;&gt;"")*(MOVIMIENTOS!$A$5:$A$1005&lt;=$A80)*MOVIMIENTOS!$E$5:$E$1005)+SUMPRODUCT((MOVIMIENTOS!$B$5:$B$1005="AJUSTE")*(MOVIMIENTOS!$C$5:$C$1005="A")*(MOVIMIENTOS!$D$5:$D$1005="jabas")*(MOVIMIENTOS!$A$5:$A$1005&lt;&gt;"")*(MOVIMIENTOS!$A$5:$A$1005&lt;=$A80)*MOVIMIENTOS!$E$5:$E$1005))</f>
        <v/>
      </c>
      <c r="C80" s="63" t="str">
        <f>IF($A80="","",SUMPRODUCT((MOVIMIENTOS!$B$5:$B$1005="SALDO INICIAL")*(MOVIMIENTOS!$C$5:$C$1005="P")*(MOVIMIENTOS!$D$5:$D$1005="jabas")*(MOVIMIENTOS!$A$5:$A$1005&lt;&gt;"")*(MOVIMIENTOS!$A$5:$A$1005&lt;=$A80)*MOVIMIENTOS!$E$5:$E$1005)+SUMPRODUCT((MOVIMIENTOS!$B$5:$B$1005="PROCESO")*(MOVIMIENTOS!$C$5:$C$1005="P")*(MOVIMIENTOS!$D$5:$D$1005="jabas")*(MOVIMIENTOS!$A$5:$A$1005&lt;&gt;"")*(MOVIMIENTOS!$A$5:$A$1005&lt;=$A80)*MOVIMIENTOS!$E$5:$E$1005)-SUMPRODUCT((MOVIMIENTOS!$B$5:$B$1005="ENVÍO A SUPESA")*(MOVIMIENTOS!$C$5:$C$1005="P")*(MOVIMIENTOS!$D$5:$D$1005="jabas")*(MOVIMIENTOS!$A$5:$A$1005&lt;&gt;"")*(MOVIMIENTOS!$A$5:$A$1005&lt;=$A80)*MOVIMIENTOS!$E$5:$E$1005)+SUMPRODUCT((MOVIMIENTOS!$B$5:$B$1005="DEVOLUCIÓN")*(MOVIMIENTOS!$C$5:$C$1005="P")*(MOVIMIENTOS!$D$5:$D$1005="jabas")*(MOVIMIENTOS!$A$5:$A$1005&lt;&gt;"")*(MOVIMIENTOS!$A$5:$A$1005&lt;=$A80)*MOVIMIENTOS!$E$5:$E$1005)-SUMPRODUCT((MOVIMIENTOS!$B$5:$B$1005="TRASIEGO")*(MOVIMIENTOS!$C$5:$C$1005="P")*(MOVIMIENTOS!$D$5:$D$1005="jabas")*(MOVIMIENTOS!$A$5:$A$1005&lt;&gt;"")*(MOVIMIENTOS!$A$5:$A$1005&lt;=$A80)*MOVIMIENTOS!$E$5:$E$1005)-SUMPRODUCT((MOVIMIENTOS!$B$5:$B$1005="REGALO")*(MOVIMIENTOS!$C$5:$C$1005="P")*(MOVIMIENTOS!$D$5:$D$1005="jabas")*(MOVIMIENTOS!$A$5:$A$1005&lt;&gt;"")*(MOVIMIENTOS!$A$5:$A$1005&lt;=$A80)*MOVIMIENTOS!$E$5:$E$1005)-SUMPRODUCT((MOVIMIENTOS!$B$5:$B$1005="VENTA")*(MOVIMIENTOS!$C$5:$C$1005="P")*(MOVIMIENTOS!$D$5:$D$1005="jabas")*(MOVIMIENTOS!$A$5:$A$1005&lt;&gt;"")*(MOVIMIENTOS!$A$5:$A$1005&lt;=$A80)*MOVIMIENTOS!$E$5:$E$1005)+SUMPRODUCT((MOVIMIENTOS!$B$5:$B$1005="AJUSTE")*(MOVIMIENTOS!$C$5:$C$1005="P")*(MOVIMIENTOS!$D$5:$D$1005="jabas")*(MOVIMIENTOS!$A$5:$A$1005&lt;&gt;"")*(MOVIMIENTOS!$A$5:$A$1005&lt;=$A80)*MOVIMIENTOS!$E$5:$E$1005))</f>
        <v/>
      </c>
      <c r="D80" s="63" t="str">
        <f>IF($A80="","",SUMPRODUCT((MOVIMIENTOS!$B$5:$B$1005="SALDO INICIAL")*(MOVIMIENTOS!$C$5:$C$1005="C")*(MOVIMIENTOS!$D$5:$D$1005="jabas")*(MOVIMIENTOS!$A$5:$A$1005&lt;&gt;"")*(MOVIMIENTOS!$A$5:$A$1005&lt;=$A80)*MOVIMIENTOS!$E$5:$E$1005)+SUMPRODUCT((MOVIMIENTOS!$B$5:$B$1005="PROCESO")*(MOVIMIENTOS!$C$5:$C$1005="C")*(MOVIMIENTOS!$D$5:$D$1005="jabas")*(MOVIMIENTOS!$A$5:$A$1005&lt;&gt;"")*(MOVIMIENTOS!$A$5:$A$1005&lt;=$A80)*MOVIMIENTOS!$E$5:$E$1005)-SUMPRODUCT((MOVIMIENTOS!$B$5:$B$1005="ENVÍO A SUPESA")*(MOVIMIENTOS!$C$5:$C$1005="C")*(MOVIMIENTOS!$D$5:$D$1005="jabas")*(MOVIMIENTOS!$A$5:$A$1005&lt;&gt;"")*(MOVIMIENTOS!$A$5:$A$1005&lt;=$A80)*MOVIMIENTOS!$E$5:$E$1005)+SUMPRODUCT((MOVIMIENTOS!$B$5:$B$1005="DEVOLUCIÓN")*(MOVIMIENTOS!$C$5:$C$1005="C")*(MOVIMIENTOS!$D$5:$D$1005="jabas")*(MOVIMIENTOS!$A$5:$A$1005&lt;&gt;"")*(MOVIMIENTOS!$A$5:$A$1005&lt;=$A80)*MOVIMIENTOS!$E$5:$E$1005)-SUMPRODUCT((MOVIMIENTOS!$B$5:$B$1005="TRASIEGO")*(MOVIMIENTOS!$C$5:$C$1005="C")*(MOVIMIENTOS!$D$5:$D$1005="jabas")*(MOVIMIENTOS!$A$5:$A$1005&lt;&gt;"")*(MOVIMIENTOS!$A$5:$A$1005&lt;=$A80)*MOVIMIENTOS!$E$5:$E$1005)-SUMPRODUCT((MOVIMIENTOS!$B$5:$B$1005="REGALO")*(MOVIMIENTOS!$C$5:$C$1005="C")*(MOVIMIENTOS!$D$5:$D$1005="jabas")*(MOVIMIENTOS!$A$5:$A$1005&lt;&gt;"")*(MOVIMIENTOS!$A$5:$A$1005&lt;=$A80)*MOVIMIENTOS!$E$5:$E$1005)-SUMPRODUCT((MOVIMIENTOS!$B$5:$B$1005="VENTA")*(MOVIMIENTOS!$C$5:$C$1005="C")*(MOVIMIENTOS!$D$5:$D$1005="jabas")*(MOVIMIENTOS!$A$5:$A$1005&lt;&gt;"")*(MOVIMIENTOS!$A$5:$A$1005&lt;=$A80)*MOVIMIENTOS!$E$5:$E$1005)+SUMPRODUCT((MOVIMIENTOS!$B$5:$B$1005="AJUSTE")*(MOVIMIENTOS!$C$5:$C$1005="C")*(MOVIMIENTOS!$D$5:$D$1005="jabas")*(MOVIMIENTOS!$A$5:$A$1005&lt;&gt;"")*(MOVIMIENTOS!$A$5:$A$1005&lt;=$A80)*MOVIMIENTOS!$E$5:$E$1005))</f>
        <v/>
      </c>
      <c r="E80" s="63" t="str">
        <f>IF($A80="","",SUMPRODUCT((MOVIMIENTOS!$B$5:$B$1005="SALDO INICIAL")*(MOVIMIENTOS!$C$5:$C$1005="M")*(MOVIMIENTOS!$D$5:$D$1005="jabas")*(MOVIMIENTOS!$A$5:$A$1005&lt;&gt;"")*(MOVIMIENTOS!$A$5:$A$1005&lt;=$A80)*MOVIMIENTOS!$E$5:$E$1005)+SUMPRODUCT((MOVIMIENTOS!$B$5:$B$1005="PROCESO")*(MOVIMIENTOS!$C$5:$C$1005="M")*(MOVIMIENTOS!$D$5:$D$1005="jabas")*(MOVIMIENTOS!$A$5:$A$1005&lt;&gt;"")*(MOVIMIENTOS!$A$5:$A$1005&lt;=$A80)*MOVIMIENTOS!$E$5:$E$1005)-SUMPRODUCT((MOVIMIENTOS!$B$5:$B$1005="ENVÍO A SUPESA")*(MOVIMIENTOS!$C$5:$C$1005="M")*(MOVIMIENTOS!$D$5:$D$1005="jabas")*(MOVIMIENTOS!$A$5:$A$1005&lt;&gt;"")*(MOVIMIENTOS!$A$5:$A$1005&lt;=$A80)*MOVIMIENTOS!$E$5:$E$1005)+SUMPRODUCT((MOVIMIENTOS!$B$5:$B$1005="DEVOLUCIÓN")*(MOVIMIENTOS!$C$5:$C$1005="M")*(MOVIMIENTOS!$D$5:$D$1005="jabas")*(MOVIMIENTOS!$A$5:$A$1005&lt;&gt;"")*(MOVIMIENTOS!$A$5:$A$1005&lt;=$A80)*MOVIMIENTOS!$E$5:$E$1005)-SUMPRODUCT((MOVIMIENTOS!$B$5:$B$1005="TRASIEGO")*(MOVIMIENTOS!$C$5:$C$1005="M")*(MOVIMIENTOS!$D$5:$D$1005="jabas")*(MOVIMIENTOS!$A$5:$A$1005&lt;&gt;"")*(MOVIMIENTOS!$A$5:$A$1005&lt;=$A80)*MOVIMIENTOS!$E$5:$E$1005)-SUMPRODUCT((MOVIMIENTOS!$B$5:$B$1005="REGALO")*(MOVIMIENTOS!$C$5:$C$1005="M")*(MOVIMIENTOS!$D$5:$D$1005="jabas")*(MOVIMIENTOS!$A$5:$A$1005&lt;&gt;"")*(MOVIMIENTOS!$A$5:$A$1005&lt;=$A80)*MOVIMIENTOS!$E$5:$E$1005)-SUMPRODUCT((MOVIMIENTOS!$B$5:$B$1005="VENTA")*(MOVIMIENTOS!$C$5:$C$1005="M")*(MOVIMIENTOS!$D$5:$D$1005="jabas")*(MOVIMIENTOS!$A$5:$A$1005&lt;&gt;"")*(MOVIMIENTOS!$A$5:$A$1005&lt;=$A80)*MOVIMIENTOS!$E$5:$E$1005)+SUMPRODUCT((MOVIMIENTOS!$B$5:$B$1005="AJUSTE")*(MOVIMIENTOS!$C$5:$C$1005="M")*(MOVIMIENTOS!$D$5:$D$1005="jabas")*(MOVIMIENTOS!$A$5:$A$1005&lt;&gt;"")*(MOVIMIENTOS!$A$5:$A$1005&lt;=$A80)*MOVIMIENTOS!$E$5:$E$1005))</f>
        <v/>
      </c>
      <c r="F80" s="63" t="str">
        <f>IF($A80="","",SUMPRODUCT((MOVIMIENTOS!$B$5:$B$1005="SALDO INICIAL")*(MOVIMIENTOS!$C$5:$C$1005="Chancho")*(MOVIMIENTOS!$D$5:$D$1005="sacos")*(MOVIMIENTOS!$A$5:$A$1005&lt;&gt;"")*(MOVIMIENTOS!$A$5:$A$1005&lt;=$A80)*MOVIMIENTOS!$E$5:$E$1005)+SUMPRODUCT((MOVIMIENTOS!$B$5:$B$1005="PROCESO")*(MOVIMIENTOS!$C$5:$C$1005="Chancho")*(MOVIMIENTOS!$D$5:$D$1005="sacos")*(MOVIMIENTOS!$A$5:$A$1005&lt;&gt;"")*(MOVIMIENTOS!$A$5:$A$1005&lt;=$A80)*MOVIMIENTOS!$E$5:$E$1005)-SUMPRODUCT((MOVIMIENTOS!$B$5:$B$1005="VENTA CHANCHO")*(MOVIMIENTOS!$C$5:$C$1005="Chancho")*(MOVIMIENTOS!$D$5:$D$1005="sacos")*(MOVIMIENTOS!$A$5:$A$1005&lt;&gt;"")*(MOVIMIENTOS!$A$5:$A$1005&lt;=$A80)*MOVIMIENTOS!$E$5:$E$1005)-SUMPRODUCT((MOVIMIENTOS!$B$5:$B$1005="REGALO")*(MOVIMIENTOS!$C$5:$C$1005="Chancho")*(MOVIMIENTOS!$D$5:$D$1005="sacos")*(MOVIMIENTOS!$A$5:$A$1005&lt;&gt;"")*(MOVIMIENTOS!$A$5:$A$1005&lt;=$A80)*MOVIMIENTOS!$E$5:$E$1005)-SUMPRODUCT((MOVIMIENTOS!$B$5:$B$1005="VENTA")*(MOVIMIENTOS!$C$5:$C$1005="Chancho")*(MOVIMIENTOS!$D$5:$D$1005="sacos")*(MOVIMIENTOS!$A$5:$A$1005&lt;&gt;"")*(MOVIMIENTOS!$A$5:$A$1005&lt;=$A80)*MOVIMIENTOS!$E$5:$E$1005)+SUMPRODUCT((MOVIMIENTOS!$B$5:$B$1005="AJUSTE")*(MOVIMIENTOS!$C$5:$C$1005="Chancho")*(MOVIMIENTOS!$D$5:$D$1005="sacos")*(MOVIMIENTOS!$A$5:$A$1005&lt;&gt;"")*(MOVIMIENTOS!$A$5:$A$1005&lt;=$A80)*MOVIMIENTOS!$E$5:$E$1005))</f>
        <v/>
      </c>
      <c r="G80" s="95" t="str">
        <f t="shared" si="3"/>
        <v/>
      </c>
      <c r="H80" s="63" t="str">
        <f>IF($A80="","",SUMPRODUCT((((MOVIMIENTOS!$B$5:$B$1005="SALDO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80)*MOVIMIENTOS!$J$5:$J$1005))</f>
        <v/>
      </c>
      <c r="I80" s="63"/>
      <c r="J80" s="63" t="str">
        <f>IF(AND(MOVIMIENTOS!$A80&lt;&gt;"",COUNTIF(MOVIMIENTOS!$A$5:$A79,MOVIMIENTOS!$A80)=0),COUNT(J$4:J79)+1,"")</f>
        <v/>
      </c>
      <c r="K80" s="66">
        <f>MOVIMIENTOS!$A80</f>
        <v>46221</v>
      </c>
      <c r="L80" s="63"/>
      <c r="M80" s="63"/>
      <c r="N80" s="63"/>
    </row>
    <row r="81" spans="1:14" ht="15" customHeight="1" x14ac:dyDescent="0.2">
      <c r="A81" s="63" t="str">
        <f t="shared" si="2"/>
        <v/>
      </c>
      <c r="B81" s="63" t="str">
        <f>IF($A81="","",SUMPRODUCT((MOVIMIENTOS!$B$5:$B$1005="SALDO INICIAL")*(MOVIMIENTOS!$C$5:$C$1005="A")*(MOVIMIENTOS!$D$5:$D$1005="jabas")*(MOVIMIENTOS!$A$5:$A$1005&lt;&gt;"")*(MOVIMIENTOS!$A$5:$A$1005&lt;=$A81)*MOVIMIENTOS!$E$5:$E$1005)+SUMPRODUCT((MOVIMIENTOS!$B$5:$B$1005="PROCESO")*(MOVIMIENTOS!$C$5:$C$1005="A")*(MOVIMIENTOS!$D$5:$D$1005="jabas")*(MOVIMIENTOS!$A$5:$A$1005&lt;&gt;"")*(MOVIMIENTOS!$A$5:$A$1005&lt;=$A81)*MOVIMIENTOS!$E$5:$E$1005)-SUMPRODUCT((MOVIMIENTOS!$B$5:$B$1005="ENVÍO A SUPESA")*(MOVIMIENTOS!$C$5:$C$1005="A")*(MOVIMIENTOS!$D$5:$D$1005="jabas")*(MOVIMIENTOS!$A$5:$A$1005&lt;&gt;"")*(MOVIMIENTOS!$A$5:$A$1005&lt;=$A81)*MOVIMIENTOS!$E$5:$E$1005)+SUMPRODUCT((MOVIMIENTOS!$B$5:$B$1005="DEVOLUCIÓN")*(MOVIMIENTOS!$C$5:$C$1005="A")*(MOVIMIENTOS!$D$5:$D$1005="jabas")*(MOVIMIENTOS!$A$5:$A$1005&lt;&gt;"")*(MOVIMIENTOS!$A$5:$A$1005&lt;=$A81)*MOVIMIENTOS!$E$5:$E$1005)-SUMPRODUCT((MOVIMIENTOS!$B$5:$B$1005="TRASIEGO")*(MOVIMIENTOS!$C$5:$C$1005="A")*(MOVIMIENTOS!$D$5:$D$1005="jabas")*(MOVIMIENTOS!$A$5:$A$1005&lt;&gt;"")*(MOVIMIENTOS!$A$5:$A$1005&lt;=$A81)*MOVIMIENTOS!$E$5:$E$1005)-SUMPRODUCT((MOVIMIENTOS!$B$5:$B$1005="REGALO")*(MOVIMIENTOS!$C$5:$C$1005="A")*(MOVIMIENTOS!$D$5:$D$1005="jabas")*(MOVIMIENTOS!$A$5:$A$1005&lt;&gt;"")*(MOVIMIENTOS!$A$5:$A$1005&lt;=$A81)*MOVIMIENTOS!$E$5:$E$1005)-SUMPRODUCT((MOVIMIENTOS!$B$5:$B$1005="VENTA")*(MOVIMIENTOS!$C$5:$C$1005="A")*(MOVIMIENTOS!$D$5:$D$1005="jabas")*(MOVIMIENTOS!$A$5:$A$1005&lt;&gt;"")*(MOVIMIENTOS!$A$5:$A$1005&lt;=$A81)*MOVIMIENTOS!$E$5:$E$1005)+SUMPRODUCT((MOVIMIENTOS!$B$5:$B$1005="AJUSTE")*(MOVIMIENTOS!$C$5:$C$1005="A")*(MOVIMIENTOS!$D$5:$D$1005="jabas")*(MOVIMIENTOS!$A$5:$A$1005&lt;&gt;"")*(MOVIMIENTOS!$A$5:$A$1005&lt;=$A81)*MOVIMIENTOS!$E$5:$E$1005))</f>
        <v/>
      </c>
      <c r="C81" s="63" t="str">
        <f>IF($A81="","",SUMPRODUCT((MOVIMIENTOS!$B$5:$B$1005="SALDO INICIAL")*(MOVIMIENTOS!$C$5:$C$1005="P")*(MOVIMIENTOS!$D$5:$D$1005="jabas")*(MOVIMIENTOS!$A$5:$A$1005&lt;&gt;"")*(MOVIMIENTOS!$A$5:$A$1005&lt;=$A81)*MOVIMIENTOS!$E$5:$E$1005)+SUMPRODUCT((MOVIMIENTOS!$B$5:$B$1005="PROCESO")*(MOVIMIENTOS!$C$5:$C$1005="P")*(MOVIMIENTOS!$D$5:$D$1005="jabas")*(MOVIMIENTOS!$A$5:$A$1005&lt;&gt;"")*(MOVIMIENTOS!$A$5:$A$1005&lt;=$A81)*MOVIMIENTOS!$E$5:$E$1005)-SUMPRODUCT((MOVIMIENTOS!$B$5:$B$1005="ENVÍO A SUPESA")*(MOVIMIENTOS!$C$5:$C$1005="P")*(MOVIMIENTOS!$D$5:$D$1005="jabas")*(MOVIMIENTOS!$A$5:$A$1005&lt;&gt;"")*(MOVIMIENTOS!$A$5:$A$1005&lt;=$A81)*MOVIMIENTOS!$E$5:$E$1005)+SUMPRODUCT((MOVIMIENTOS!$B$5:$B$1005="DEVOLUCIÓN")*(MOVIMIENTOS!$C$5:$C$1005="P")*(MOVIMIENTOS!$D$5:$D$1005="jabas")*(MOVIMIENTOS!$A$5:$A$1005&lt;&gt;"")*(MOVIMIENTOS!$A$5:$A$1005&lt;=$A81)*MOVIMIENTOS!$E$5:$E$1005)-SUMPRODUCT((MOVIMIENTOS!$B$5:$B$1005="TRASIEGO")*(MOVIMIENTOS!$C$5:$C$1005="P")*(MOVIMIENTOS!$D$5:$D$1005="jabas")*(MOVIMIENTOS!$A$5:$A$1005&lt;&gt;"")*(MOVIMIENTOS!$A$5:$A$1005&lt;=$A81)*MOVIMIENTOS!$E$5:$E$1005)-SUMPRODUCT((MOVIMIENTOS!$B$5:$B$1005="REGALO")*(MOVIMIENTOS!$C$5:$C$1005="P")*(MOVIMIENTOS!$D$5:$D$1005="jabas")*(MOVIMIENTOS!$A$5:$A$1005&lt;&gt;"")*(MOVIMIENTOS!$A$5:$A$1005&lt;=$A81)*MOVIMIENTOS!$E$5:$E$1005)-SUMPRODUCT((MOVIMIENTOS!$B$5:$B$1005="VENTA")*(MOVIMIENTOS!$C$5:$C$1005="P")*(MOVIMIENTOS!$D$5:$D$1005="jabas")*(MOVIMIENTOS!$A$5:$A$1005&lt;&gt;"")*(MOVIMIENTOS!$A$5:$A$1005&lt;=$A81)*MOVIMIENTOS!$E$5:$E$1005)+SUMPRODUCT((MOVIMIENTOS!$B$5:$B$1005="AJUSTE")*(MOVIMIENTOS!$C$5:$C$1005="P")*(MOVIMIENTOS!$D$5:$D$1005="jabas")*(MOVIMIENTOS!$A$5:$A$1005&lt;&gt;"")*(MOVIMIENTOS!$A$5:$A$1005&lt;=$A81)*MOVIMIENTOS!$E$5:$E$1005))</f>
        <v/>
      </c>
      <c r="D81" s="63" t="str">
        <f>IF($A81="","",SUMPRODUCT((MOVIMIENTOS!$B$5:$B$1005="SALDO INICIAL")*(MOVIMIENTOS!$C$5:$C$1005="C")*(MOVIMIENTOS!$D$5:$D$1005="jabas")*(MOVIMIENTOS!$A$5:$A$1005&lt;&gt;"")*(MOVIMIENTOS!$A$5:$A$1005&lt;=$A81)*MOVIMIENTOS!$E$5:$E$1005)+SUMPRODUCT((MOVIMIENTOS!$B$5:$B$1005="PROCESO")*(MOVIMIENTOS!$C$5:$C$1005="C")*(MOVIMIENTOS!$D$5:$D$1005="jabas")*(MOVIMIENTOS!$A$5:$A$1005&lt;&gt;"")*(MOVIMIENTOS!$A$5:$A$1005&lt;=$A81)*MOVIMIENTOS!$E$5:$E$1005)-SUMPRODUCT((MOVIMIENTOS!$B$5:$B$1005="ENVÍO A SUPESA")*(MOVIMIENTOS!$C$5:$C$1005="C")*(MOVIMIENTOS!$D$5:$D$1005="jabas")*(MOVIMIENTOS!$A$5:$A$1005&lt;&gt;"")*(MOVIMIENTOS!$A$5:$A$1005&lt;=$A81)*MOVIMIENTOS!$E$5:$E$1005)+SUMPRODUCT((MOVIMIENTOS!$B$5:$B$1005="DEVOLUCIÓN")*(MOVIMIENTOS!$C$5:$C$1005="C")*(MOVIMIENTOS!$D$5:$D$1005="jabas")*(MOVIMIENTOS!$A$5:$A$1005&lt;&gt;"")*(MOVIMIENTOS!$A$5:$A$1005&lt;=$A81)*MOVIMIENTOS!$E$5:$E$1005)-SUMPRODUCT((MOVIMIENTOS!$B$5:$B$1005="TRASIEGO")*(MOVIMIENTOS!$C$5:$C$1005="C")*(MOVIMIENTOS!$D$5:$D$1005="jabas")*(MOVIMIENTOS!$A$5:$A$1005&lt;&gt;"")*(MOVIMIENTOS!$A$5:$A$1005&lt;=$A81)*MOVIMIENTOS!$E$5:$E$1005)-SUMPRODUCT((MOVIMIENTOS!$B$5:$B$1005="REGALO")*(MOVIMIENTOS!$C$5:$C$1005="C")*(MOVIMIENTOS!$D$5:$D$1005="jabas")*(MOVIMIENTOS!$A$5:$A$1005&lt;&gt;"")*(MOVIMIENTOS!$A$5:$A$1005&lt;=$A81)*MOVIMIENTOS!$E$5:$E$1005)-SUMPRODUCT((MOVIMIENTOS!$B$5:$B$1005="VENTA")*(MOVIMIENTOS!$C$5:$C$1005="C")*(MOVIMIENTOS!$D$5:$D$1005="jabas")*(MOVIMIENTOS!$A$5:$A$1005&lt;&gt;"")*(MOVIMIENTOS!$A$5:$A$1005&lt;=$A81)*MOVIMIENTOS!$E$5:$E$1005)+SUMPRODUCT((MOVIMIENTOS!$B$5:$B$1005="AJUSTE")*(MOVIMIENTOS!$C$5:$C$1005="C")*(MOVIMIENTOS!$D$5:$D$1005="jabas")*(MOVIMIENTOS!$A$5:$A$1005&lt;&gt;"")*(MOVIMIENTOS!$A$5:$A$1005&lt;=$A81)*MOVIMIENTOS!$E$5:$E$1005))</f>
        <v/>
      </c>
      <c r="E81" s="63" t="str">
        <f>IF($A81="","",SUMPRODUCT((MOVIMIENTOS!$B$5:$B$1005="SALDO INICIAL")*(MOVIMIENTOS!$C$5:$C$1005="M")*(MOVIMIENTOS!$D$5:$D$1005="jabas")*(MOVIMIENTOS!$A$5:$A$1005&lt;&gt;"")*(MOVIMIENTOS!$A$5:$A$1005&lt;=$A81)*MOVIMIENTOS!$E$5:$E$1005)+SUMPRODUCT((MOVIMIENTOS!$B$5:$B$1005="PROCESO")*(MOVIMIENTOS!$C$5:$C$1005="M")*(MOVIMIENTOS!$D$5:$D$1005="jabas")*(MOVIMIENTOS!$A$5:$A$1005&lt;&gt;"")*(MOVIMIENTOS!$A$5:$A$1005&lt;=$A81)*MOVIMIENTOS!$E$5:$E$1005)-SUMPRODUCT((MOVIMIENTOS!$B$5:$B$1005="ENVÍO A SUPESA")*(MOVIMIENTOS!$C$5:$C$1005="M")*(MOVIMIENTOS!$D$5:$D$1005="jabas")*(MOVIMIENTOS!$A$5:$A$1005&lt;&gt;"")*(MOVIMIENTOS!$A$5:$A$1005&lt;=$A81)*MOVIMIENTOS!$E$5:$E$1005)+SUMPRODUCT((MOVIMIENTOS!$B$5:$B$1005="DEVOLUCIÓN")*(MOVIMIENTOS!$C$5:$C$1005="M")*(MOVIMIENTOS!$D$5:$D$1005="jabas")*(MOVIMIENTOS!$A$5:$A$1005&lt;&gt;"")*(MOVIMIENTOS!$A$5:$A$1005&lt;=$A81)*MOVIMIENTOS!$E$5:$E$1005)-SUMPRODUCT((MOVIMIENTOS!$B$5:$B$1005="TRASIEGO")*(MOVIMIENTOS!$C$5:$C$1005="M")*(MOVIMIENTOS!$D$5:$D$1005="jabas")*(MOVIMIENTOS!$A$5:$A$1005&lt;&gt;"")*(MOVIMIENTOS!$A$5:$A$1005&lt;=$A81)*MOVIMIENTOS!$E$5:$E$1005)-SUMPRODUCT((MOVIMIENTOS!$B$5:$B$1005="REGALO")*(MOVIMIENTOS!$C$5:$C$1005="M")*(MOVIMIENTOS!$D$5:$D$1005="jabas")*(MOVIMIENTOS!$A$5:$A$1005&lt;&gt;"")*(MOVIMIENTOS!$A$5:$A$1005&lt;=$A81)*MOVIMIENTOS!$E$5:$E$1005)-SUMPRODUCT((MOVIMIENTOS!$B$5:$B$1005="VENTA")*(MOVIMIENTOS!$C$5:$C$1005="M")*(MOVIMIENTOS!$D$5:$D$1005="jabas")*(MOVIMIENTOS!$A$5:$A$1005&lt;&gt;"")*(MOVIMIENTOS!$A$5:$A$1005&lt;=$A81)*MOVIMIENTOS!$E$5:$E$1005)+SUMPRODUCT((MOVIMIENTOS!$B$5:$B$1005="AJUSTE")*(MOVIMIENTOS!$C$5:$C$1005="M")*(MOVIMIENTOS!$D$5:$D$1005="jabas")*(MOVIMIENTOS!$A$5:$A$1005&lt;&gt;"")*(MOVIMIENTOS!$A$5:$A$1005&lt;=$A81)*MOVIMIENTOS!$E$5:$E$1005))</f>
        <v/>
      </c>
      <c r="F81" s="63" t="str">
        <f>IF($A81="","",SUMPRODUCT((MOVIMIENTOS!$B$5:$B$1005="SALDO INICIAL")*(MOVIMIENTOS!$C$5:$C$1005="Chancho")*(MOVIMIENTOS!$D$5:$D$1005="sacos")*(MOVIMIENTOS!$A$5:$A$1005&lt;&gt;"")*(MOVIMIENTOS!$A$5:$A$1005&lt;=$A81)*MOVIMIENTOS!$E$5:$E$1005)+SUMPRODUCT((MOVIMIENTOS!$B$5:$B$1005="PROCESO")*(MOVIMIENTOS!$C$5:$C$1005="Chancho")*(MOVIMIENTOS!$D$5:$D$1005="sacos")*(MOVIMIENTOS!$A$5:$A$1005&lt;&gt;"")*(MOVIMIENTOS!$A$5:$A$1005&lt;=$A81)*MOVIMIENTOS!$E$5:$E$1005)-SUMPRODUCT((MOVIMIENTOS!$B$5:$B$1005="VENTA CHANCHO")*(MOVIMIENTOS!$C$5:$C$1005="Chancho")*(MOVIMIENTOS!$D$5:$D$1005="sacos")*(MOVIMIENTOS!$A$5:$A$1005&lt;&gt;"")*(MOVIMIENTOS!$A$5:$A$1005&lt;=$A81)*MOVIMIENTOS!$E$5:$E$1005)-SUMPRODUCT((MOVIMIENTOS!$B$5:$B$1005="REGALO")*(MOVIMIENTOS!$C$5:$C$1005="Chancho")*(MOVIMIENTOS!$D$5:$D$1005="sacos")*(MOVIMIENTOS!$A$5:$A$1005&lt;&gt;"")*(MOVIMIENTOS!$A$5:$A$1005&lt;=$A81)*MOVIMIENTOS!$E$5:$E$1005)-SUMPRODUCT((MOVIMIENTOS!$B$5:$B$1005="VENTA")*(MOVIMIENTOS!$C$5:$C$1005="Chancho")*(MOVIMIENTOS!$D$5:$D$1005="sacos")*(MOVIMIENTOS!$A$5:$A$1005&lt;&gt;"")*(MOVIMIENTOS!$A$5:$A$1005&lt;=$A81)*MOVIMIENTOS!$E$5:$E$1005)+SUMPRODUCT((MOVIMIENTOS!$B$5:$B$1005="AJUSTE")*(MOVIMIENTOS!$C$5:$C$1005="Chancho")*(MOVIMIENTOS!$D$5:$D$1005="sacos")*(MOVIMIENTOS!$A$5:$A$1005&lt;&gt;"")*(MOVIMIENTOS!$A$5:$A$1005&lt;=$A81)*MOVIMIENTOS!$E$5:$E$1005))</f>
        <v/>
      </c>
      <c r="G81" s="95" t="str">
        <f t="shared" si="3"/>
        <v/>
      </c>
      <c r="H81" s="63" t="str">
        <f>IF($A81="","",SUMPRODUCT((((MOVIMIENTOS!$B$5:$B$1005="SALDO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81)*MOVIMIENTOS!$J$5:$J$1005))</f>
        <v/>
      </c>
      <c r="I81" s="63"/>
      <c r="J81" s="63" t="str">
        <f>IF(AND(MOVIMIENTOS!$A81&lt;&gt;"",COUNTIF(MOVIMIENTOS!$A$5:$A80,MOVIMIENTOS!$A81)=0),COUNT(J$4:J80)+1,"")</f>
        <v/>
      </c>
      <c r="K81" s="66">
        <f>MOVIMIENTOS!$A81</f>
        <v>46221</v>
      </c>
      <c r="L81" s="63"/>
      <c r="M81" s="63"/>
      <c r="N81" s="63"/>
    </row>
    <row r="82" spans="1:14" ht="15" customHeight="1" x14ac:dyDescent="0.2">
      <c r="A82" s="63" t="str">
        <f t="shared" si="2"/>
        <v/>
      </c>
      <c r="B82" s="63" t="str">
        <f>IF($A82="","",SUMPRODUCT((MOVIMIENTOS!$B$5:$B$1005="SALDO INICIAL")*(MOVIMIENTOS!$C$5:$C$1005="A")*(MOVIMIENTOS!$D$5:$D$1005="jabas")*(MOVIMIENTOS!$A$5:$A$1005&lt;&gt;"")*(MOVIMIENTOS!$A$5:$A$1005&lt;=$A82)*MOVIMIENTOS!$E$5:$E$1005)+SUMPRODUCT((MOVIMIENTOS!$B$5:$B$1005="PROCESO")*(MOVIMIENTOS!$C$5:$C$1005="A")*(MOVIMIENTOS!$D$5:$D$1005="jabas")*(MOVIMIENTOS!$A$5:$A$1005&lt;&gt;"")*(MOVIMIENTOS!$A$5:$A$1005&lt;=$A82)*MOVIMIENTOS!$E$5:$E$1005)-SUMPRODUCT((MOVIMIENTOS!$B$5:$B$1005="ENVÍO A SUPESA")*(MOVIMIENTOS!$C$5:$C$1005="A")*(MOVIMIENTOS!$D$5:$D$1005="jabas")*(MOVIMIENTOS!$A$5:$A$1005&lt;&gt;"")*(MOVIMIENTOS!$A$5:$A$1005&lt;=$A82)*MOVIMIENTOS!$E$5:$E$1005)+SUMPRODUCT((MOVIMIENTOS!$B$5:$B$1005="DEVOLUCIÓN")*(MOVIMIENTOS!$C$5:$C$1005="A")*(MOVIMIENTOS!$D$5:$D$1005="jabas")*(MOVIMIENTOS!$A$5:$A$1005&lt;&gt;"")*(MOVIMIENTOS!$A$5:$A$1005&lt;=$A82)*MOVIMIENTOS!$E$5:$E$1005)-SUMPRODUCT((MOVIMIENTOS!$B$5:$B$1005="TRASIEGO")*(MOVIMIENTOS!$C$5:$C$1005="A")*(MOVIMIENTOS!$D$5:$D$1005="jabas")*(MOVIMIENTOS!$A$5:$A$1005&lt;&gt;"")*(MOVIMIENTOS!$A$5:$A$1005&lt;=$A82)*MOVIMIENTOS!$E$5:$E$1005)-SUMPRODUCT((MOVIMIENTOS!$B$5:$B$1005="REGALO")*(MOVIMIENTOS!$C$5:$C$1005="A")*(MOVIMIENTOS!$D$5:$D$1005="jabas")*(MOVIMIENTOS!$A$5:$A$1005&lt;&gt;"")*(MOVIMIENTOS!$A$5:$A$1005&lt;=$A82)*MOVIMIENTOS!$E$5:$E$1005)-SUMPRODUCT((MOVIMIENTOS!$B$5:$B$1005="VENTA")*(MOVIMIENTOS!$C$5:$C$1005="A")*(MOVIMIENTOS!$D$5:$D$1005="jabas")*(MOVIMIENTOS!$A$5:$A$1005&lt;&gt;"")*(MOVIMIENTOS!$A$5:$A$1005&lt;=$A82)*MOVIMIENTOS!$E$5:$E$1005)+SUMPRODUCT((MOVIMIENTOS!$B$5:$B$1005="AJUSTE")*(MOVIMIENTOS!$C$5:$C$1005="A")*(MOVIMIENTOS!$D$5:$D$1005="jabas")*(MOVIMIENTOS!$A$5:$A$1005&lt;&gt;"")*(MOVIMIENTOS!$A$5:$A$1005&lt;=$A82)*MOVIMIENTOS!$E$5:$E$1005))</f>
        <v/>
      </c>
      <c r="C82" s="63" t="str">
        <f>IF($A82="","",SUMPRODUCT((MOVIMIENTOS!$B$5:$B$1005="SALDO INICIAL")*(MOVIMIENTOS!$C$5:$C$1005="P")*(MOVIMIENTOS!$D$5:$D$1005="jabas")*(MOVIMIENTOS!$A$5:$A$1005&lt;&gt;"")*(MOVIMIENTOS!$A$5:$A$1005&lt;=$A82)*MOVIMIENTOS!$E$5:$E$1005)+SUMPRODUCT((MOVIMIENTOS!$B$5:$B$1005="PROCESO")*(MOVIMIENTOS!$C$5:$C$1005="P")*(MOVIMIENTOS!$D$5:$D$1005="jabas")*(MOVIMIENTOS!$A$5:$A$1005&lt;&gt;"")*(MOVIMIENTOS!$A$5:$A$1005&lt;=$A82)*MOVIMIENTOS!$E$5:$E$1005)-SUMPRODUCT((MOVIMIENTOS!$B$5:$B$1005="ENVÍO A SUPESA")*(MOVIMIENTOS!$C$5:$C$1005="P")*(MOVIMIENTOS!$D$5:$D$1005="jabas")*(MOVIMIENTOS!$A$5:$A$1005&lt;&gt;"")*(MOVIMIENTOS!$A$5:$A$1005&lt;=$A82)*MOVIMIENTOS!$E$5:$E$1005)+SUMPRODUCT((MOVIMIENTOS!$B$5:$B$1005="DEVOLUCIÓN")*(MOVIMIENTOS!$C$5:$C$1005="P")*(MOVIMIENTOS!$D$5:$D$1005="jabas")*(MOVIMIENTOS!$A$5:$A$1005&lt;&gt;"")*(MOVIMIENTOS!$A$5:$A$1005&lt;=$A82)*MOVIMIENTOS!$E$5:$E$1005)-SUMPRODUCT((MOVIMIENTOS!$B$5:$B$1005="TRASIEGO")*(MOVIMIENTOS!$C$5:$C$1005="P")*(MOVIMIENTOS!$D$5:$D$1005="jabas")*(MOVIMIENTOS!$A$5:$A$1005&lt;&gt;"")*(MOVIMIENTOS!$A$5:$A$1005&lt;=$A82)*MOVIMIENTOS!$E$5:$E$1005)-SUMPRODUCT((MOVIMIENTOS!$B$5:$B$1005="REGALO")*(MOVIMIENTOS!$C$5:$C$1005="P")*(MOVIMIENTOS!$D$5:$D$1005="jabas")*(MOVIMIENTOS!$A$5:$A$1005&lt;&gt;"")*(MOVIMIENTOS!$A$5:$A$1005&lt;=$A82)*MOVIMIENTOS!$E$5:$E$1005)-SUMPRODUCT((MOVIMIENTOS!$B$5:$B$1005="VENTA")*(MOVIMIENTOS!$C$5:$C$1005="P")*(MOVIMIENTOS!$D$5:$D$1005="jabas")*(MOVIMIENTOS!$A$5:$A$1005&lt;&gt;"")*(MOVIMIENTOS!$A$5:$A$1005&lt;=$A82)*MOVIMIENTOS!$E$5:$E$1005)+SUMPRODUCT((MOVIMIENTOS!$B$5:$B$1005="AJUSTE")*(MOVIMIENTOS!$C$5:$C$1005="P")*(MOVIMIENTOS!$D$5:$D$1005="jabas")*(MOVIMIENTOS!$A$5:$A$1005&lt;&gt;"")*(MOVIMIENTOS!$A$5:$A$1005&lt;=$A82)*MOVIMIENTOS!$E$5:$E$1005))</f>
        <v/>
      </c>
      <c r="D82" s="63" t="str">
        <f>IF($A82="","",SUMPRODUCT((MOVIMIENTOS!$B$5:$B$1005="SALDO INICIAL")*(MOVIMIENTOS!$C$5:$C$1005="C")*(MOVIMIENTOS!$D$5:$D$1005="jabas")*(MOVIMIENTOS!$A$5:$A$1005&lt;&gt;"")*(MOVIMIENTOS!$A$5:$A$1005&lt;=$A82)*MOVIMIENTOS!$E$5:$E$1005)+SUMPRODUCT((MOVIMIENTOS!$B$5:$B$1005="PROCESO")*(MOVIMIENTOS!$C$5:$C$1005="C")*(MOVIMIENTOS!$D$5:$D$1005="jabas")*(MOVIMIENTOS!$A$5:$A$1005&lt;&gt;"")*(MOVIMIENTOS!$A$5:$A$1005&lt;=$A82)*MOVIMIENTOS!$E$5:$E$1005)-SUMPRODUCT((MOVIMIENTOS!$B$5:$B$1005="ENVÍO A SUPESA")*(MOVIMIENTOS!$C$5:$C$1005="C")*(MOVIMIENTOS!$D$5:$D$1005="jabas")*(MOVIMIENTOS!$A$5:$A$1005&lt;&gt;"")*(MOVIMIENTOS!$A$5:$A$1005&lt;=$A82)*MOVIMIENTOS!$E$5:$E$1005)+SUMPRODUCT((MOVIMIENTOS!$B$5:$B$1005="DEVOLUCIÓN")*(MOVIMIENTOS!$C$5:$C$1005="C")*(MOVIMIENTOS!$D$5:$D$1005="jabas")*(MOVIMIENTOS!$A$5:$A$1005&lt;&gt;"")*(MOVIMIENTOS!$A$5:$A$1005&lt;=$A82)*MOVIMIENTOS!$E$5:$E$1005)-SUMPRODUCT((MOVIMIENTOS!$B$5:$B$1005="TRASIEGO")*(MOVIMIENTOS!$C$5:$C$1005="C")*(MOVIMIENTOS!$D$5:$D$1005="jabas")*(MOVIMIENTOS!$A$5:$A$1005&lt;&gt;"")*(MOVIMIENTOS!$A$5:$A$1005&lt;=$A82)*MOVIMIENTOS!$E$5:$E$1005)-SUMPRODUCT((MOVIMIENTOS!$B$5:$B$1005="REGALO")*(MOVIMIENTOS!$C$5:$C$1005="C")*(MOVIMIENTOS!$D$5:$D$1005="jabas")*(MOVIMIENTOS!$A$5:$A$1005&lt;&gt;"")*(MOVIMIENTOS!$A$5:$A$1005&lt;=$A82)*MOVIMIENTOS!$E$5:$E$1005)-SUMPRODUCT((MOVIMIENTOS!$B$5:$B$1005="VENTA")*(MOVIMIENTOS!$C$5:$C$1005="C")*(MOVIMIENTOS!$D$5:$D$1005="jabas")*(MOVIMIENTOS!$A$5:$A$1005&lt;&gt;"")*(MOVIMIENTOS!$A$5:$A$1005&lt;=$A82)*MOVIMIENTOS!$E$5:$E$1005)+SUMPRODUCT((MOVIMIENTOS!$B$5:$B$1005="AJUSTE")*(MOVIMIENTOS!$C$5:$C$1005="C")*(MOVIMIENTOS!$D$5:$D$1005="jabas")*(MOVIMIENTOS!$A$5:$A$1005&lt;&gt;"")*(MOVIMIENTOS!$A$5:$A$1005&lt;=$A82)*MOVIMIENTOS!$E$5:$E$1005))</f>
        <v/>
      </c>
      <c r="E82" s="63" t="str">
        <f>IF($A82="","",SUMPRODUCT((MOVIMIENTOS!$B$5:$B$1005="SALDO INICIAL")*(MOVIMIENTOS!$C$5:$C$1005="M")*(MOVIMIENTOS!$D$5:$D$1005="jabas")*(MOVIMIENTOS!$A$5:$A$1005&lt;&gt;"")*(MOVIMIENTOS!$A$5:$A$1005&lt;=$A82)*MOVIMIENTOS!$E$5:$E$1005)+SUMPRODUCT((MOVIMIENTOS!$B$5:$B$1005="PROCESO")*(MOVIMIENTOS!$C$5:$C$1005="M")*(MOVIMIENTOS!$D$5:$D$1005="jabas")*(MOVIMIENTOS!$A$5:$A$1005&lt;&gt;"")*(MOVIMIENTOS!$A$5:$A$1005&lt;=$A82)*MOVIMIENTOS!$E$5:$E$1005)-SUMPRODUCT((MOVIMIENTOS!$B$5:$B$1005="ENVÍO A SUPESA")*(MOVIMIENTOS!$C$5:$C$1005="M")*(MOVIMIENTOS!$D$5:$D$1005="jabas")*(MOVIMIENTOS!$A$5:$A$1005&lt;&gt;"")*(MOVIMIENTOS!$A$5:$A$1005&lt;=$A82)*MOVIMIENTOS!$E$5:$E$1005)+SUMPRODUCT((MOVIMIENTOS!$B$5:$B$1005="DEVOLUCIÓN")*(MOVIMIENTOS!$C$5:$C$1005="M")*(MOVIMIENTOS!$D$5:$D$1005="jabas")*(MOVIMIENTOS!$A$5:$A$1005&lt;&gt;"")*(MOVIMIENTOS!$A$5:$A$1005&lt;=$A82)*MOVIMIENTOS!$E$5:$E$1005)-SUMPRODUCT((MOVIMIENTOS!$B$5:$B$1005="TRASIEGO")*(MOVIMIENTOS!$C$5:$C$1005="M")*(MOVIMIENTOS!$D$5:$D$1005="jabas")*(MOVIMIENTOS!$A$5:$A$1005&lt;&gt;"")*(MOVIMIENTOS!$A$5:$A$1005&lt;=$A82)*MOVIMIENTOS!$E$5:$E$1005)-SUMPRODUCT((MOVIMIENTOS!$B$5:$B$1005="REGALO")*(MOVIMIENTOS!$C$5:$C$1005="M")*(MOVIMIENTOS!$D$5:$D$1005="jabas")*(MOVIMIENTOS!$A$5:$A$1005&lt;&gt;"")*(MOVIMIENTOS!$A$5:$A$1005&lt;=$A82)*MOVIMIENTOS!$E$5:$E$1005)-SUMPRODUCT((MOVIMIENTOS!$B$5:$B$1005="VENTA")*(MOVIMIENTOS!$C$5:$C$1005="M")*(MOVIMIENTOS!$D$5:$D$1005="jabas")*(MOVIMIENTOS!$A$5:$A$1005&lt;&gt;"")*(MOVIMIENTOS!$A$5:$A$1005&lt;=$A82)*MOVIMIENTOS!$E$5:$E$1005)+SUMPRODUCT((MOVIMIENTOS!$B$5:$B$1005="AJUSTE")*(MOVIMIENTOS!$C$5:$C$1005="M")*(MOVIMIENTOS!$D$5:$D$1005="jabas")*(MOVIMIENTOS!$A$5:$A$1005&lt;&gt;"")*(MOVIMIENTOS!$A$5:$A$1005&lt;=$A82)*MOVIMIENTOS!$E$5:$E$1005))</f>
        <v/>
      </c>
      <c r="F82" s="63" t="str">
        <f>IF($A82="","",SUMPRODUCT((MOVIMIENTOS!$B$5:$B$1005="SALDO INICIAL")*(MOVIMIENTOS!$C$5:$C$1005="Chancho")*(MOVIMIENTOS!$D$5:$D$1005="sacos")*(MOVIMIENTOS!$A$5:$A$1005&lt;&gt;"")*(MOVIMIENTOS!$A$5:$A$1005&lt;=$A82)*MOVIMIENTOS!$E$5:$E$1005)+SUMPRODUCT((MOVIMIENTOS!$B$5:$B$1005="PROCESO")*(MOVIMIENTOS!$C$5:$C$1005="Chancho")*(MOVIMIENTOS!$D$5:$D$1005="sacos")*(MOVIMIENTOS!$A$5:$A$1005&lt;&gt;"")*(MOVIMIENTOS!$A$5:$A$1005&lt;=$A82)*MOVIMIENTOS!$E$5:$E$1005)-SUMPRODUCT((MOVIMIENTOS!$B$5:$B$1005="VENTA CHANCHO")*(MOVIMIENTOS!$C$5:$C$1005="Chancho")*(MOVIMIENTOS!$D$5:$D$1005="sacos")*(MOVIMIENTOS!$A$5:$A$1005&lt;&gt;"")*(MOVIMIENTOS!$A$5:$A$1005&lt;=$A82)*MOVIMIENTOS!$E$5:$E$1005)-SUMPRODUCT((MOVIMIENTOS!$B$5:$B$1005="REGALO")*(MOVIMIENTOS!$C$5:$C$1005="Chancho")*(MOVIMIENTOS!$D$5:$D$1005="sacos")*(MOVIMIENTOS!$A$5:$A$1005&lt;&gt;"")*(MOVIMIENTOS!$A$5:$A$1005&lt;=$A82)*MOVIMIENTOS!$E$5:$E$1005)-SUMPRODUCT((MOVIMIENTOS!$B$5:$B$1005="VENTA")*(MOVIMIENTOS!$C$5:$C$1005="Chancho")*(MOVIMIENTOS!$D$5:$D$1005="sacos")*(MOVIMIENTOS!$A$5:$A$1005&lt;&gt;"")*(MOVIMIENTOS!$A$5:$A$1005&lt;=$A82)*MOVIMIENTOS!$E$5:$E$1005)+SUMPRODUCT((MOVIMIENTOS!$B$5:$B$1005="AJUSTE")*(MOVIMIENTOS!$C$5:$C$1005="Chancho")*(MOVIMIENTOS!$D$5:$D$1005="sacos")*(MOVIMIENTOS!$A$5:$A$1005&lt;&gt;"")*(MOVIMIENTOS!$A$5:$A$1005&lt;=$A82)*MOVIMIENTOS!$E$5:$E$1005))</f>
        <v/>
      </c>
      <c r="G82" s="95" t="str">
        <f t="shared" si="3"/>
        <v/>
      </c>
      <c r="H82" s="63" t="str">
        <f>IF($A82="","",SUMPRODUCT((((MOVIMIENTOS!$B$5:$B$1005="SALDO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82)*MOVIMIENTOS!$J$5:$J$1005))</f>
        <v/>
      </c>
      <c r="I82" s="63"/>
      <c r="J82" s="63" t="str">
        <f>IF(AND(MOVIMIENTOS!$A82&lt;&gt;"",COUNTIF(MOVIMIENTOS!$A$5:$A81,MOVIMIENTOS!$A82)=0),COUNT(J$4:J81)+1,"")</f>
        <v/>
      </c>
      <c r="K82" s="66">
        <f>MOVIMIENTOS!$A82</f>
        <v>46221</v>
      </c>
      <c r="L82" s="63"/>
      <c r="M82" s="63"/>
      <c r="N82" s="63"/>
    </row>
    <row r="83" spans="1:14" ht="15" customHeight="1" x14ac:dyDescent="0.2">
      <c r="A83" s="63" t="str">
        <f t="shared" si="2"/>
        <v/>
      </c>
      <c r="B83" s="63" t="str">
        <f>IF($A83="","",SUMPRODUCT((MOVIMIENTOS!$B$5:$B$1005="SALDO INICIAL")*(MOVIMIENTOS!$C$5:$C$1005="A")*(MOVIMIENTOS!$D$5:$D$1005="jabas")*(MOVIMIENTOS!$A$5:$A$1005&lt;&gt;"")*(MOVIMIENTOS!$A$5:$A$1005&lt;=$A83)*MOVIMIENTOS!$E$5:$E$1005)+SUMPRODUCT((MOVIMIENTOS!$B$5:$B$1005="PROCESO")*(MOVIMIENTOS!$C$5:$C$1005="A")*(MOVIMIENTOS!$D$5:$D$1005="jabas")*(MOVIMIENTOS!$A$5:$A$1005&lt;&gt;"")*(MOVIMIENTOS!$A$5:$A$1005&lt;=$A83)*MOVIMIENTOS!$E$5:$E$1005)-SUMPRODUCT((MOVIMIENTOS!$B$5:$B$1005="ENVÍO A SUPESA")*(MOVIMIENTOS!$C$5:$C$1005="A")*(MOVIMIENTOS!$D$5:$D$1005="jabas")*(MOVIMIENTOS!$A$5:$A$1005&lt;&gt;"")*(MOVIMIENTOS!$A$5:$A$1005&lt;=$A83)*MOVIMIENTOS!$E$5:$E$1005)+SUMPRODUCT((MOVIMIENTOS!$B$5:$B$1005="DEVOLUCIÓN")*(MOVIMIENTOS!$C$5:$C$1005="A")*(MOVIMIENTOS!$D$5:$D$1005="jabas")*(MOVIMIENTOS!$A$5:$A$1005&lt;&gt;"")*(MOVIMIENTOS!$A$5:$A$1005&lt;=$A83)*MOVIMIENTOS!$E$5:$E$1005)-SUMPRODUCT((MOVIMIENTOS!$B$5:$B$1005="TRASIEGO")*(MOVIMIENTOS!$C$5:$C$1005="A")*(MOVIMIENTOS!$D$5:$D$1005="jabas")*(MOVIMIENTOS!$A$5:$A$1005&lt;&gt;"")*(MOVIMIENTOS!$A$5:$A$1005&lt;=$A83)*MOVIMIENTOS!$E$5:$E$1005)-SUMPRODUCT((MOVIMIENTOS!$B$5:$B$1005="REGALO")*(MOVIMIENTOS!$C$5:$C$1005="A")*(MOVIMIENTOS!$D$5:$D$1005="jabas")*(MOVIMIENTOS!$A$5:$A$1005&lt;&gt;"")*(MOVIMIENTOS!$A$5:$A$1005&lt;=$A83)*MOVIMIENTOS!$E$5:$E$1005)-SUMPRODUCT((MOVIMIENTOS!$B$5:$B$1005="VENTA")*(MOVIMIENTOS!$C$5:$C$1005="A")*(MOVIMIENTOS!$D$5:$D$1005="jabas")*(MOVIMIENTOS!$A$5:$A$1005&lt;&gt;"")*(MOVIMIENTOS!$A$5:$A$1005&lt;=$A83)*MOVIMIENTOS!$E$5:$E$1005)+SUMPRODUCT((MOVIMIENTOS!$B$5:$B$1005="AJUSTE")*(MOVIMIENTOS!$C$5:$C$1005="A")*(MOVIMIENTOS!$D$5:$D$1005="jabas")*(MOVIMIENTOS!$A$5:$A$1005&lt;&gt;"")*(MOVIMIENTOS!$A$5:$A$1005&lt;=$A83)*MOVIMIENTOS!$E$5:$E$1005))</f>
        <v/>
      </c>
      <c r="C83" s="63" t="str">
        <f>IF($A83="","",SUMPRODUCT((MOVIMIENTOS!$B$5:$B$1005="SALDO INICIAL")*(MOVIMIENTOS!$C$5:$C$1005="P")*(MOVIMIENTOS!$D$5:$D$1005="jabas")*(MOVIMIENTOS!$A$5:$A$1005&lt;&gt;"")*(MOVIMIENTOS!$A$5:$A$1005&lt;=$A83)*MOVIMIENTOS!$E$5:$E$1005)+SUMPRODUCT((MOVIMIENTOS!$B$5:$B$1005="PROCESO")*(MOVIMIENTOS!$C$5:$C$1005="P")*(MOVIMIENTOS!$D$5:$D$1005="jabas")*(MOVIMIENTOS!$A$5:$A$1005&lt;&gt;"")*(MOVIMIENTOS!$A$5:$A$1005&lt;=$A83)*MOVIMIENTOS!$E$5:$E$1005)-SUMPRODUCT((MOVIMIENTOS!$B$5:$B$1005="ENVÍO A SUPESA")*(MOVIMIENTOS!$C$5:$C$1005="P")*(MOVIMIENTOS!$D$5:$D$1005="jabas")*(MOVIMIENTOS!$A$5:$A$1005&lt;&gt;"")*(MOVIMIENTOS!$A$5:$A$1005&lt;=$A83)*MOVIMIENTOS!$E$5:$E$1005)+SUMPRODUCT((MOVIMIENTOS!$B$5:$B$1005="DEVOLUCIÓN")*(MOVIMIENTOS!$C$5:$C$1005="P")*(MOVIMIENTOS!$D$5:$D$1005="jabas")*(MOVIMIENTOS!$A$5:$A$1005&lt;&gt;"")*(MOVIMIENTOS!$A$5:$A$1005&lt;=$A83)*MOVIMIENTOS!$E$5:$E$1005)-SUMPRODUCT((MOVIMIENTOS!$B$5:$B$1005="TRASIEGO")*(MOVIMIENTOS!$C$5:$C$1005="P")*(MOVIMIENTOS!$D$5:$D$1005="jabas")*(MOVIMIENTOS!$A$5:$A$1005&lt;&gt;"")*(MOVIMIENTOS!$A$5:$A$1005&lt;=$A83)*MOVIMIENTOS!$E$5:$E$1005)-SUMPRODUCT((MOVIMIENTOS!$B$5:$B$1005="REGALO")*(MOVIMIENTOS!$C$5:$C$1005="P")*(MOVIMIENTOS!$D$5:$D$1005="jabas")*(MOVIMIENTOS!$A$5:$A$1005&lt;&gt;"")*(MOVIMIENTOS!$A$5:$A$1005&lt;=$A83)*MOVIMIENTOS!$E$5:$E$1005)-SUMPRODUCT((MOVIMIENTOS!$B$5:$B$1005="VENTA")*(MOVIMIENTOS!$C$5:$C$1005="P")*(MOVIMIENTOS!$D$5:$D$1005="jabas")*(MOVIMIENTOS!$A$5:$A$1005&lt;&gt;"")*(MOVIMIENTOS!$A$5:$A$1005&lt;=$A83)*MOVIMIENTOS!$E$5:$E$1005)+SUMPRODUCT((MOVIMIENTOS!$B$5:$B$1005="AJUSTE")*(MOVIMIENTOS!$C$5:$C$1005="P")*(MOVIMIENTOS!$D$5:$D$1005="jabas")*(MOVIMIENTOS!$A$5:$A$1005&lt;&gt;"")*(MOVIMIENTOS!$A$5:$A$1005&lt;=$A83)*MOVIMIENTOS!$E$5:$E$1005))</f>
        <v/>
      </c>
      <c r="D83" s="63" t="str">
        <f>IF($A83="","",SUMPRODUCT((MOVIMIENTOS!$B$5:$B$1005="SALDO INICIAL")*(MOVIMIENTOS!$C$5:$C$1005="C")*(MOVIMIENTOS!$D$5:$D$1005="jabas")*(MOVIMIENTOS!$A$5:$A$1005&lt;&gt;"")*(MOVIMIENTOS!$A$5:$A$1005&lt;=$A83)*MOVIMIENTOS!$E$5:$E$1005)+SUMPRODUCT((MOVIMIENTOS!$B$5:$B$1005="PROCESO")*(MOVIMIENTOS!$C$5:$C$1005="C")*(MOVIMIENTOS!$D$5:$D$1005="jabas")*(MOVIMIENTOS!$A$5:$A$1005&lt;&gt;"")*(MOVIMIENTOS!$A$5:$A$1005&lt;=$A83)*MOVIMIENTOS!$E$5:$E$1005)-SUMPRODUCT((MOVIMIENTOS!$B$5:$B$1005="ENVÍO A SUPESA")*(MOVIMIENTOS!$C$5:$C$1005="C")*(MOVIMIENTOS!$D$5:$D$1005="jabas")*(MOVIMIENTOS!$A$5:$A$1005&lt;&gt;"")*(MOVIMIENTOS!$A$5:$A$1005&lt;=$A83)*MOVIMIENTOS!$E$5:$E$1005)+SUMPRODUCT((MOVIMIENTOS!$B$5:$B$1005="DEVOLUCIÓN")*(MOVIMIENTOS!$C$5:$C$1005="C")*(MOVIMIENTOS!$D$5:$D$1005="jabas")*(MOVIMIENTOS!$A$5:$A$1005&lt;&gt;"")*(MOVIMIENTOS!$A$5:$A$1005&lt;=$A83)*MOVIMIENTOS!$E$5:$E$1005)-SUMPRODUCT((MOVIMIENTOS!$B$5:$B$1005="TRASIEGO")*(MOVIMIENTOS!$C$5:$C$1005="C")*(MOVIMIENTOS!$D$5:$D$1005="jabas")*(MOVIMIENTOS!$A$5:$A$1005&lt;&gt;"")*(MOVIMIENTOS!$A$5:$A$1005&lt;=$A83)*MOVIMIENTOS!$E$5:$E$1005)-SUMPRODUCT((MOVIMIENTOS!$B$5:$B$1005="REGALO")*(MOVIMIENTOS!$C$5:$C$1005="C")*(MOVIMIENTOS!$D$5:$D$1005="jabas")*(MOVIMIENTOS!$A$5:$A$1005&lt;&gt;"")*(MOVIMIENTOS!$A$5:$A$1005&lt;=$A83)*MOVIMIENTOS!$E$5:$E$1005)-SUMPRODUCT((MOVIMIENTOS!$B$5:$B$1005="VENTA")*(MOVIMIENTOS!$C$5:$C$1005="C")*(MOVIMIENTOS!$D$5:$D$1005="jabas")*(MOVIMIENTOS!$A$5:$A$1005&lt;&gt;"")*(MOVIMIENTOS!$A$5:$A$1005&lt;=$A83)*MOVIMIENTOS!$E$5:$E$1005)+SUMPRODUCT((MOVIMIENTOS!$B$5:$B$1005="AJUSTE")*(MOVIMIENTOS!$C$5:$C$1005="C")*(MOVIMIENTOS!$D$5:$D$1005="jabas")*(MOVIMIENTOS!$A$5:$A$1005&lt;&gt;"")*(MOVIMIENTOS!$A$5:$A$1005&lt;=$A83)*MOVIMIENTOS!$E$5:$E$1005))</f>
        <v/>
      </c>
      <c r="E83" s="63" t="str">
        <f>IF($A83="","",SUMPRODUCT((MOVIMIENTOS!$B$5:$B$1005="SALDO INICIAL")*(MOVIMIENTOS!$C$5:$C$1005="M")*(MOVIMIENTOS!$D$5:$D$1005="jabas")*(MOVIMIENTOS!$A$5:$A$1005&lt;&gt;"")*(MOVIMIENTOS!$A$5:$A$1005&lt;=$A83)*MOVIMIENTOS!$E$5:$E$1005)+SUMPRODUCT((MOVIMIENTOS!$B$5:$B$1005="PROCESO")*(MOVIMIENTOS!$C$5:$C$1005="M")*(MOVIMIENTOS!$D$5:$D$1005="jabas")*(MOVIMIENTOS!$A$5:$A$1005&lt;&gt;"")*(MOVIMIENTOS!$A$5:$A$1005&lt;=$A83)*MOVIMIENTOS!$E$5:$E$1005)-SUMPRODUCT((MOVIMIENTOS!$B$5:$B$1005="ENVÍO A SUPESA")*(MOVIMIENTOS!$C$5:$C$1005="M")*(MOVIMIENTOS!$D$5:$D$1005="jabas")*(MOVIMIENTOS!$A$5:$A$1005&lt;&gt;"")*(MOVIMIENTOS!$A$5:$A$1005&lt;=$A83)*MOVIMIENTOS!$E$5:$E$1005)+SUMPRODUCT((MOVIMIENTOS!$B$5:$B$1005="DEVOLUCIÓN")*(MOVIMIENTOS!$C$5:$C$1005="M")*(MOVIMIENTOS!$D$5:$D$1005="jabas")*(MOVIMIENTOS!$A$5:$A$1005&lt;&gt;"")*(MOVIMIENTOS!$A$5:$A$1005&lt;=$A83)*MOVIMIENTOS!$E$5:$E$1005)-SUMPRODUCT((MOVIMIENTOS!$B$5:$B$1005="TRASIEGO")*(MOVIMIENTOS!$C$5:$C$1005="M")*(MOVIMIENTOS!$D$5:$D$1005="jabas")*(MOVIMIENTOS!$A$5:$A$1005&lt;&gt;"")*(MOVIMIENTOS!$A$5:$A$1005&lt;=$A83)*MOVIMIENTOS!$E$5:$E$1005)-SUMPRODUCT((MOVIMIENTOS!$B$5:$B$1005="REGALO")*(MOVIMIENTOS!$C$5:$C$1005="M")*(MOVIMIENTOS!$D$5:$D$1005="jabas")*(MOVIMIENTOS!$A$5:$A$1005&lt;&gt;"")*(MOVIMIENTOS!$A$5:$A$1005&lt;=$A83)*MOVIMIENTOS!$E$5:$E$1005)-SUMPRODUCT((MOVIMIENTOS!$B$5:$B$1005="VENTA")*(MOVIMIENTOS!$C$5:$C$1005="M")*(MOVIMIENTOS!$D$5:$D$1005="jabas")*(MOVIMIENTOS!$A$5:$A$1005&lt;&gt;"")*(MOVIMIENTOS!$A$5:$A$1005&lt;=$A83)*MOVIMIENTOS!$E$5:$E$1005)+SUMPRODUCT((MOVIMIENTOS!$B$5:$B$1005="AJUSTE")*(MOVIMIENTOS!$C$5:$C$1005="M")*(MOVIMIENTOS!$D$5:$D$1005="jabas")*(MOVIMIENTOS!$A$5:$A$1005&lt;&gt;"")*(MOVIMIENTOS!$A$5:$A$1005&lt;=$A83)*MOVIMIENTOS!$E$5:$E$1005))</f>
        <v/>
      </c>
      <c r="F83" s="63" t="str">
        <f>IF($A83="","",SUMPRODUCT((MOVIMIENTOS!$B$5:$B$1005="SALDO INICIAL")*(MOVIMIENTOS!$C$5:$C$1005="Chancho")*(MOVIMIENTOS!$D$5:$D$1005="sacos")*(MOVIMIENTOS!$A$5:$A$1005&lt;&gt;"")*(MOVIMIENTOS!$A$5:$A$1005&lt;=$A83)*MOVIMIENTOS!$E$5:$E$1005)+SUMPRODUCT((MOVIMIENTOS!$B$5:$B$1005="PROCESO")*(MOVIMIENTOS!$C$5:$C$1005="Chancho")*(MOVIMIENTOS!$D$5:$D$1005="sacos")*(MOVIMIENTOS!$A$5:$A$1005&lt;&gt;"")*(MOVIMIENTOS!$A$5:$A$1005&lt;=$A83)*MOVIMIENTOS!$E$5:$E$1005)-SUMPRODUCT((MOVIMIENTOS!$B$5:$B$1005="VENTA CHANCHO")*(MOVIMIENTOS!$C$5:$C$1005="Chancho")*(MOVIMIENTOS!$D$5:$D$1005="sacos")*(MOVIMIENTOS!$A$5:$A$1005&lt;&gt;"")*(MOVIMIENTOS!$A$5:$A$1005&lt;=$A83)*MOVIMIENTOS!$E$5:$E$1005)-SUMPRODUCT((MOVIMIENTOS!$B$5:$B$1005="REGALO")*(MOVIMIENTOS!$C$5:$C$1005="Chancho")*(MOVIMIENTOS!$D$5:$D$1005="sacos")*(MOVIMIENTOS!$A$5:$A$1005&lt;&gt;"")*(MOVIMIENTOS!$A$5:$A$1005&lt;=$A83)*MOVIMIENTOS!$E$5:$E$1005)-SUMPRODUCT((MOVIMIENTOS!$B$5:$B$1005="VENTA")*(MOVIMIENTOS!$C$5:$C$1005="Chancho")*(MOVIMIENTOS!$D$5:$D$1005="sacos")*(MOVIMIENTOS!$A$5:$A$1005&lt;&gt;"")*(MOVIMIENTOS!$A$5:$A$1005&lt;=$A83)*MOVIMIENTOS!$E$5:$E$1005)+SUMPRODUCT((MOVIMIENTOS!$B$5:$B$1005="AJUSTE")*(MOVIMIENTOS!$C$5:$C$1005="Chancho")*(MOVIMIENTOS!$D$5:$D$1005="sacos")*(MOVIMIENTOS!$A$5:$A$1005&lt;&gt;"")*(MOVIMIENTOS!$A$5:$A$1005&lt;=$A83)*MOVIMIENTOS!$E$5:$E$1005))</f>
        <v/>
      </c>
      <c r="G83" s="95" t="str">
        <f t="shared" si="3"/>
        <v/>
      </c>
      <c r="H83" s="63" t="str">
        <f>IF($A83="","",SUMPRODUCT((((MOVIMIENTOS!$B$5:$B$1005="SALDO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83)*MOVIMIENTOS!$J$5:$J$1005))</f>
        <v/>
      </c>
      <c r="I83" s="63"/>
      <c r="J83" s="63" t="str">
        <f>IF(AND(MOVIMIENTOS!$A83&lt;&gt;"",COUNTIF(MOVIMIENTOS!$A$5:$A82,MOVIMIENTOS!$A83)=0),COUNT(J$4:J82)+1,"")</f>
        <v/>
      </c>
      <c r="K83" s="66">
        <f>MOVIMIENTOS!$A83</f>
        <v>46221</v>
      </c>
      <c r="L83" s="63"/>
      <c r="M83" s="63"/>
      <c r="N83" s="63"/>
    </row>
    <row r="84" spans="1:14" ht="15" customHeight="1" x14ac:dyDescent="0.2">
      <c r="A84" s="63" t="str">
        <f t="shared" si="2"/>
        <v/>
      </c>
      <c r="B84" s="63" t="str">
        <f>IF($A84="","",SUMPRODUCT((MOVIMIENTOS!$B$5:$B$1005="SALDO INICIAL")*(MOVIMIENTOS!$C$5:$C$1005="A")*(MOVIMIENTOS!$D$5:$D$1005="jabas")*(MOVIMIENTOS!$A$5:$A$1005&lt;&gt;"")*(MOVIMIENTOS!$A$5:$A$1005&lt;=$A84)*MOVIMIENTOS!$E$5:$E$1005)+SUMPRODUCT((MOVIMIENTOS!$B$5:$B$1005="PROCESO")*(MOVIMIENTOS!$C$5:$C$1005="A")*(MOVIMIENTOS!$D$5:$D$1005="jabas")*(MOVIMIENTOS!$A$5:$A$1005&lt;&gt;"")*(MOVIMIENTOS!$A$5:$A$1005&lt;=$A84)*MOVIMIENTOS!$E$5:$E$1005)-SUMPRODUCT((MOVIMIENTOS!$B$5:$B$1005="ENVÍO A SUPESA")*(MOVIMIENTOS!$C$5:$C$1005="A")*(MOVIMIENTOS!$D$5:$D$1005="jabas")*(MOVIMIENTOS!$A$5:$A$1005&lt;&gt;"")*(MOVIMIENTOS!$A$5:$A$1005&lt;=$A84)*MOVIMIENTOS!$E$5:$E$1005)+SUMPRODUCT((MOVIMIENTOS!$B$5:$B$1005="DEVOLUCIÓN")*(MOVIMIENTOS!$C$5:$C$1005="A")*(MOVIMIENTOS!$D$5:$D$1005="jabas")*(MOVIMIENTOS!$A$5:$A$1005&lt;&gt;"")*(MOVIMIENTOS!$A$5:$A$1005&lt;=$A84)*MOVIMIENTOS!$E$5:$E$1005)-SUMPRODUCT((MOVIMIENTOS!$B$5:$B$1005="TRASIEGO")*(MOVIMIENTOS!$C$5:$C$1005="A")*(MOVIMIENTOS!$D$5:$D$1005="jabas")*(MOVIMIENTOS!$A$5:$A$1005&lt;&gt;"")*(MOVIMIENTOS!$A$5:$A$1005&lt;=$A84)*MOVIMIENTOS!$E$5:$E$1005)-SUMPRODUCT((MOVIMIENTOS!$B$5:$B$1005="REGALO")*(MOVIMIENTOS!$C$5:$C$1005="A")*(MOVIMIENTOS!$D$5:$D$1005="jabas")*(MOVIMIENTOS!$A$5:$A$1005&lt;&gt;"")*(MOVIMIENTOS!$A$5:$A$1005&lt;=$A84)*MOVIMIENTOS!$E$5:$E$1005)-SUMPRODUCT((MOVIMIENTOS!$B$5:$B$1005="VENTA")*(MOVIMIENTOS!$C$5:$C$1005="A")*(MOVIMIENTOS!$D$5:$D$1005="jabas")*(MOVIMIENTOS!$A$5:$A$1005&lt;&gt;"")*(MOVIMIENTOS!$A$5:$A$1005&lt;=$A84)*MOVIMIENTOS!$E$5:$E$1005)+SUMPRODUCT((MOVIMIENTOS!$B$5:$B$1005="AJUSTE")*(MOVIMIENTOS!$C$5:$C$1005="A")*(MOVIMIENTOS!$D$5:$D$1005="jabas")*(MOVIMIENTOS!$A$5:$A$1005&lt;&gt;"")*(MOVIMIENTOS!$A$5:$A$1005&lt;=$A84)*MOVIMIENTOS!$E$5:$E$1005))</f>
        <v/>
      </c>
      <c r="C84" s="63" t="str">
        <f>IF($A84="","",SUMPRODUCT((MOVIMIENTOS!$B$5:$B$1005="SALDO INICIAL")*(MOVIMIENTOS!$C$5:$C$1005="P")*(MOVIMIENTOS!$D$5:$D$1005="jabas")*(MOVIMIENTOS!$A$5:$A$1005&lt;&gt;"")*(MOVIMIENTOS!$A$5:$A$1005&lt;=$A84)*MOVIMIENTOS!$E$5:$E$1005)+SUMPRODUCT((MOVIMIENTOS!$B$5:$B$1005="PROCESO")*(MOVIMIENTOS!$C$5:$C$1005="P")*(MOVIMIENTOS!$D$5:$D$1005="jabas")*(MOVIMIENTOS!$A$5:$A$1005&lt;&gt;"")*(MOVIMIENTOS!$A$5:$A$1005&lt;=$A84)*MOVIMIENTOS!$E$5:$E$1005)-SUMPRODUCT((MOVIMIENTOS!$B$5:$B$1005="ENVÍO A SUPESA")*(MOVIMIENTOS!$C$5:$C$1005="P")*(MOVIMIENTOS!$D$5:$D$1005="jabas")*(MOVIMIENTOS!$A$5:$A$1005&lt;&gt;"")*(MOVIMIENTOS!$A$5:$A$1005&lt;=$A84)*MOVIMIENTOS!$E$5:$E$1005)+SUMPRODUCT((MOVIMIENTOS!$B$5:$B$1005="DEVOLUCIÓN")*(MOVIMIENTOS!$C$5:$C$1005="P")*(MOVIMIENTOS!$D$5:$D$1005="jabas")*(MOVIMIENTOS!$A$5:$A$1005&lt;&gt;"")*(MOVIMIENTOS!$A$5:$A$1005&lt;=$A84)*MOVIMIENTOS!$E$5:$E$1005)-SUMPRODUCT((MOVIMIENTOS!$B$5:$B$1005="TRASIEGO")*(MOVIMIENTOS!$C$5:$C$1005="P")*(MOVIMIENTOS!$D$5:$D$1005="jabas")*(MOVIMIENTOS!$A$5:$A$1005&lt;&gt;"")*(MOVIMIENTOS!$A$5:$A$1005&lt;=$A84)*MOVIMIENTOS!$E$5:$E$1005)-SUMPRODUCT((MOVIMIENTOS!$B$5:$B$1005="REGALO")*(MOVIMIENTOS!$C$5:$C$1005="P")*(MOVIMIENTOS!$D$5:$D$1005="jabas")*(MOVIMIENTOS!$A$5:$A$1005&lt;&gt;"")*(MOVIMIENTOS!$A$5:$A$1005&lt;=$A84)*MOVIMIENTOS!$E$5:$E$1005)-SUMPRODUCT((MOVIMIENTOS!$B$5:$B$1005="VENTA")*(MOVIMIENTOS!$C$5:$C$1005="P")*(MOVIMIENTOS!$D$5:$D$1005="jabas")*(MOVIMIENTOS!$A$5:$A$1005&lt;&gt;"")*(MOVIMIENTOS!$A$5:$A$1005&lt;=$A84)*MOVIMIENTOS!$E$5:$E$1005)+SUMPRODUCT((MOVIMIENTOS!$B$5:$B$1005="AJUSTE")*(MOVIMIENTOS!$C$5:$C$1005="P")*(MOVIMIENTOS!$D$5:$D$1005="jabas")*(MOVIMIENTOS!$A$5:$A$1005&lt;&gt;"")*(MOVIMIENTOS!$A$5:$A$1005&lt;=$A84)*MOVIMIENTOS!$E$5:$E$1005))</f>
        <v/>
      </c>
      <c r="D84" s="63" t="str">
        <f>IF($A84="","",SUMPRODUCT((MOVIMIENTOS!$B$5:$B$1005="SALDO INICIAL")*(MOVIMIENTOS!$C$5:$C$1005="C")*(MOVIMIENTOS!$D$5:$D$1005="jabas")*(MOVIMIENTOS!$A$5:$A$1005&lt;&gt;"")*(MOVIMIENTOS!$A$5:$A$1005&lt;=$A84)*MOVIMIENTOS!$E$5:$E$1005)+SUMPRODUCT((MOVIMIENTOS!$B$5:$B$1005="PROCESO")*(MOVIMIENTOS!$C$5:$C$1005="C")*(MOVIMIENTOS!$D$5:$D$1005="jabas")*(MOVIMIENTOS!$A$5:$A$1005&lt;&gt;"")*(MOVIMIENTOS!$A$5:$A$1005&lt;=$A84)*MOVIMIENTOS!$E$5:$E$1005)-SUMPRODUCT((MOVIMIENTOS!$B$5:$B$1005="ENVÍO A SUPESA")*(MOVIMIENTOS!$C$5:$C$1005="C")*(MOVIMIENTOS!$D$5:$D$1005="jabas")*(MOVIMIENTOS!$A$5:$A$1005&lt;&gt;"")*(MOVIMIENTOS!$A$5:$A$1005&lt;=$A84)*MOVIMIENTOS!$E$5:$E$1005)+SUMPRODUCT((MOVIMIENTOS!$B$5:$B$1005="DEVOLUCIÓN")*(MOVIMIENTOS!$C$5:$C$1005="C")*(MOVIMIENTOS!$D$5:$D$1005="jabas")*(MOVIMIENTOS!$A$5:$A$1005&lt;&gt;"")*(MOVIMIENTOS!$A$5:$A$1005&lt;=$A84)*MOVIMIENTOS!$E$5:$E$1005)-SUMPRODUCT((MOVIMIENTOS!$B$5:$B$1005="TRASIEGO")*(MOVIMIENTOS!$C$5:$C$1005="C")*(MOVIMIENTOS!$D$5:$D$1005="jabas")*(MOVIMIENTOS!$A$5:$A$1005&lt;&gt;"")*(MOVIMIENTOS!$A$5:$A$1005&lt;=$A84)*MOVIMIENTOS!$E$5:$E$1005)-SUMPRODUCT((MOVIMIENTOS!$B$5:$B$1005="REGALO")*(MOVIMIENTOS!$C$5:$C$1005="C")*(MOVIMIENTOS!$D$5:$D$1005="jabas")*(MOVIMIENTOS!$A$5:$A$1005&lt;&gt;"")*(MOVIMIENTOS!$A$5:$A$1005&lt;=$A84)*MOVIMIENTOS!$E$5:$E$1005)-SUMPRODUCT((MOVIMIENTOS!$B$5:$B$1005="VENTA")*(MOVIMIENTOS!$C$5:$C$1005="C")*(MOVIMIENTOS!$D$5:$D$1005="jabas")*(MOVIMIENTOS!$A$5:$A$1005&lt;&gt;"")*(MOVIMIENTOS!$A$5:$A$1005&lt;=$A84)*MOVIMIENTOS!$E$5:$E$1005)+SUMPRODUCT((MOVIMIENTOS!$B$5:$B$1005="AJUSTE")*(MOVIMIENTOS!$C$5:$C$1005="C")*(MOVIMIENTOS!$D$5:$D$1005="jabas")*(MOVIMIENTOS!$A$5:$A$1005&lt;&gt;"")*(MOVIMIENTOS!$A$5:$A$1005&lt;=$A84)*MOVIMIENTOS!$E$5:$E$1005))</f>
        <v/>
      </c>
      <c r="E84" s="63" t="str">
        <f>IF($A84="","",SUMPRODUCT((MOVIMIENTOS!$B$5:$B$1005="SALDO INICIAL")*(MOVIMIENTOS!$C$5:$C$1005="M")*(MOVIMIENTOS!$D$5:$D$1005="jabas")*(MOVIMIENTOS!$A$5:$A$1005&lt;&gt;"")*(MOVIMIENTOS!$A$5:$A$1005&lt;=$A84)*MOVIMIENTOS!$E$5:$E$1005)+SUMPRODUCT((MOVIMIENTOS!$B$5:$B$1005="PROCESO")*(MOVIMIENTOS!$C$5:$C$1005="M")*(MOVIMIENTOS!$D$5:$D$1005="jabas")*(MOVIMIENTOS!$A$5:$A$1005&lt;&gt;"")*(MOVIMIENTOS!$A$5:$A$1005&lt;=$A84)*MOVIMIENTOS!$E$5:$E$1005)-SUMPRODUCT((MOVIMIENTOS!$B$5:$B$1005="ENVÍO A SUPESA")*(MOVIMIENTOS!$C$5:$C$1005="M")*(MOVIMIENTOS!$D$5:$D$1005="jabas")*(MOVIMIENTOS!$A$5:$A$1005&lt;&gt;"")*(MOVIMIENTOS!$A$5:$A$1005&lt;=$A84)*MOVIMIENTOS!$E$5:$E$1005)+SUMPRODUCT((MOVIMIENTOS!$B$5:$B$1005="DEVOLUCIÓN")*(MOVIMIENTOS!$C$5:$C$1005="M")*(MOVIMIENTOS!$D$5:$D$1005="jabas")*(MOVIMIENTOS!$A$5:$A$1005&lt;&gt;"")*(MOVIMIENTOS!$A$5:$A$1005&lt;=$A84)*MOVIMIENTOS!$E$5:$E$1005)-SUMPRODUCT((MOVIMIENTOS!$B$5:$B$1005="TRASIEGO")*(MOVIMIENTOS!$C$5:$C$1005="M")*(MOVIMIENTOS!$D$5:$D$1005="jabas")*(MOVIMIENTOS!$A$5:$A$1005&lt;&gt;"")*(MOVIMIENTOS!$A$5:$A$1005&lt;=$A84)*MOVIMIENTOS!$E$5:$E$1005)-SUMPRODUCT((MOVIMIENTOS!$B$5:$B$1005="REGALO")*(MOVIMIENTOS!$C$5:$C$1005="M")*(MOVIMIENTOS!$D$5:$D$1005="jabas")*(MOVIMIENTOS!$A$5:$A$1005&lt;&gt;"")*(MOVIMIENTOS!$A$5:$A$1005&lt;=$A84)*MOVIMIENTOS!$E$5:$E$1005)-SUMPRODUCT((MOVIMIENTOS!$B$5:$B$1005="VENTA")*(MOVIMIENTOS!$C$5:$C$1005="M")*(MOVIMIENTOS!$D$5:$D$1005="jabas")*(MOVIMIENTOS!$A$5:$A$1005&lt;&gt;"")*(MOVIMIENTOS!$A$5:$A$1005&lt;=$A84)*MOVIMIENTOS!$E$5:$E$1005)+SUMPRODUCT((MOVIMIENTOS!$B$5:$B$1005="AJUSTE")*(MOVIMIENTOS!$C$5:$C$1005="M")*(MOVIMIENTOS!$D$5:$D$1005="jabas")*(MOVIMIENTOS!$A$5:$A$1005&lt;&gt;"")*(MOVIMIENTOS!$A$5:$A$1005&lt;=$A84)*MOVIMIENTOS!$E$5:$E$1005))</f>
        <v/>
      </c>
      <c r="F84" s="63" t="str">
        <f>IF($A84="","",SUMPRODUCT((MOVIMIENTOS!$B$5:$B$1005="SALDO INICIAL")*(MOVIMIENTOS!$C$5:$C$1005="Chancho")*(MOVIMIENTOS!$D$5:$D$1005="sacos")*(MOVIMIENTOS!$A$5:$A$1005&lt;&gt;"")*(MOVIMIENTOS!$A$5:$A$1005&lt;=$A84)*MOVIMIENTOS!$E$5:$E$1005)+SUMPRODUCT((MOVIMIENTOS!$B$5:$B$1005="PROCESO")*(MOVIMIENTOS!$C$5:$C$1005="Chancho")*(MOVIMIENTOS!$D$5:$D$1005="sacos")*(MOVIMIENTOS!$A$5:$A$1005&lt;&gt;"")*(MOVIMIENTOS!$A$5:$A$1005&lt;=$A84)*MOVIMIENTOS!$E$5:$E$1005)-SUMPRODUCT((MOVIMIENTOS!$B$5:$B$1005="VENTA CHANCHO")*(MOVIMIENTOS!$C$5:$C$1005="Chancho")*(MOVIMIENTOS!$D$5:$D$1005="sacos")*(MOVIMIENTOS!$A$5:$A$1005&lt;&gt;"")*(MOVIMIENTOS!$A$5:$A$1005&lt;=$A84)*MOVIMIENTOS!$E$5:$E$1005)-SUMPRODUCT((MOVIMIENTOS!$B$5:$B$1005="REGALO")*(MOVIMIENTOS!$C$5:$C$1005="Chancho")*(MOVIMIENTOS!$D$5:$D$1005="sacos")*(MOVIMIENTOS!$A$5:$A$1005&lt;&gt;"")*(MOVIMIENTOS!$A$5:$A$1005&lt;=$A84)*MOVIMIENTOS!$E$5:$E$1005)-SUMPRODUCT((MOVIMIENTOS!$B$5:$B$1005="VENTA")*(MOVIMIENTOS!$C$5:$C$1005="Chancho")*(MOVIMIENTOS!$D$5:$D$1005="sacos")*(MOVIMIENTOS!$A$5:$A$1005&lt;&gt;"")*(MOVIMIENTOS!$A$5:$A$1005&lt;=$A84)*MOVIMIENTOS!$E$5:$E$1005)+SUMPRODUCT((MOVIMIENTOS!$B$5:$B$1005="AJUSTE")*(MOVIMIENTOS!$C$5:$C$1005="Chancho")*(MOVIMIENTOS!$D$5:$D$1005="sacos")*(MOVIMIENTOS!$A$5:$A$1005&lt;&gt;"")*(MOVIMIENTOS!$A$5:$A$1005&lt;=$A84)*MOVIMIENTOS!$E$5:$E$1005))</f>
        <v/>
      </c>
      <c r="G84" s="95" t="str">
        <f t="shared" si="3"/>
        <v/>
      </c>
      <c r="H84" s="63" t="str">
        <f>IF($A84="","",SUMPRODUCT((((MOVIMIENTOS!$B$5:$B$1005="SALDO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84)*MOVIMIENTOS!$J$5:$J$1005))</f>
        <v/>
      </c>
      <c r="I84" s="63"/>
      <c r="J84" s="63" t="str">
        <f>IF(AND(MOVIMIENTOS!$A84&lt;&gt;"",COUNTIF(MOVIMIENTOS!$A$5:$A83,MOVIMIENTOS!$A84)=0),COUNT(J$4:J83)+1,"")</f>
        <v/>
      </c>
      <c r="K84" s="66">
        <f>MOVIMIENTOS!$A84</f>
        <v>46221</v>
      </c>
      <c r="L84" s="63"/>
      <c r="M84" s="63"/>
      <c r="N84" s="63"/>
    </row>
    <row r="85" spans="1:14" ht="15" customHeight="1" x14ac:dyDescent="0.2">
      <c r="A85" s="63" t="str">
        <f t="shared" si="2"/>
        <v/>
      </c>
      <c r="B85" s="63" t="str">
        <f>IF($A85="","",SUMPRODUCT((MOVIMIENTOS!$B$5:$B$1005="SALDO INICIAL")*(MOVIMIENTOS!$C$5:$C$1005="A")*(MOVIMIENTOS!$D$5:$D$1005="jabas")*(MOVIMIENTOS!$A$5:$A$1005&lt;&gt;"")*(MOVIMIENTOS!$A$5:$A$1005&lt;=$A85)*MOVIMIENTOS!$E$5:$E$1005)+SUMPRODUCT((MOVIMIENTOS!$B$5:$B$1005="PROCESO")*(MOVIMIENTOS!$C$5:$C$1005="A")*(MOVIMIENTOS!$D$5:$D$1005="jabas")*(MOVIMIENTOS!$A$5:$A$1005&lt;&gt;"")*(MOVIMIENTOS!$A$5:$A$1005&lt;=$A85)*MOVIMIENTOS!$E$5:$E$1005)-SUMPRODUCT((MOVIMIENTOS!$B$5:$B$1005="ENVÍO A SUPESA")*(MOVIMIENTOS!$C$5:$C$1005="A")*(MOVIMIENTOS!$D$5:$D$1005="jabas")*(MOVIMIENTOS!$A$5:$A$1005&lt;&gt;"")*(MOVIMIENTOS!$A$5:$A$1005&lt;=$A85)*MOVIMIENTOS!$E$5:$E$1005)+SUMPRODUCT((MOVIMIENTOS!$B$5:$B$1005="DEVOLUCIÓN")*(MOVIMIENTOS!$C$5:$C$1005="A")*(MOVIMIENTOS!$D$5:$D$1005="jabas")*(MOVIMIENTOS!$A$5:$A$1005&lt;&gt;"")*(MOVIMIENTOS!$A$5:$A$1005&lt;=$A85)*MOVIMIENTOS!$E$5:$E$1005)-SUMPRODUCT((MOVIMIENTOS!$B$5:$B$1005="TRASIEGO")*(MOVIMIENTOS!$C$5:$C$1005="A")*(MOVIMIENTOS!$D$5:$D$1005="jabas")*(MOVIMIENTOS!$A$5:$A$1005&lt;&gt;"")*(MOVIMIENTOS!$A$5:$A$1005&lt;=$A85)*MOVIMIENTOS!$E$5:$E$1005)-SUMPRODUCT((MOVIMIENTOS!$B$5:$B$1005="REGALO")*(MOVIMIENTOS!$C$5:$C$1005="A")*(MOVIMIENTOS!$D$5:$D$1005="jabas")*(MOVIMIENTOS!$A$5:$A$1005&lt;&gt;"")*(MOVIMIENTOS!$A$5:$A$1005&lt;=$A85)*MOVIMIENTOS!$E$5:$E$1005)-SUMPRODUCT((MOVIMIENTOS!$B$5:$B$1005="VENTA")*(MOVIMIENTOS!$C$5:$C$1005="A")*(MOVIMIENTOS!$D$5:$D$1005="jabas")*(MOVIMIENTOS!$A$5:$A$1005&lt;&gt;"")*(MOVIMIENTOS!$A$5:$A$1005&lt;=$A85)*MOVIMIENTOS!$E$5:$E$1005)+SUMPRODUCT((MOVIMIENTOS!$B$5:$B$1005="AJUSTE")*(MOVIMIENTOS!$C$5:$C$1005="A")*(MOVIMIENTOS!$D$5:$D$1005="jabas")*(MOVIMIENTOS!$A$5:$A$1005&lt;&gt;"")*(MOVIMIENTOS!$A$5:$A$1005&lt;=$A85)*MOVIMIENTOS!$E$5:$E$1005))</f>
        <v/>
      </c>
      <c r="C85" s="63" t="str">
        <f>IF($A85="","",SUMPRODUCT((MOVIMIENTOS!$B$5:$B$1005="SALDO INICIAL")*(MOVIMIENTOS!$C$5:$C$1005="P")*(MOVIMIENTOS!$D$5:$D$1005="jabas")*(MOVIMIENTOS!$A$5:$A$1005&lt;&gt;"")*(MOVIMIENTOS!$A$5:$A$1005&lt;=$A85)*MOVIMIENTOS!$E$5:$E$1005)+SUMPRODUCT((MOVIMIENTOS!$B$5:$B$1005="PROCESO")*(MOVIMIENTOS!$C$5:$C$1005="P")*(MOVIMIENTOS!$D$5:$D$1005="jabas")*(MOVIMIENTOS!$A$5:$A$1005&lt;&gt;"")*(MOVIMIENTOS!$A$5:$A$1005&lt;=$A85)*MOVIMIENTOS!$E$5:$E$1005)-SUMPRODUCT((MOVIMIENTOS!$B$5:$B$1005="ENVÍO A SUPESA")*(MOVIMIENTOS!$C$5:$C$1005="P")*(MOVIMIENTOS!$D$5:$D$1005="jabas")*(MOVIMIENTOS!$A$5:$A$1005&lt;&gt;"")*(MOVIMIENTOS!$A$5:$A$1005&lt;=$A85)*MOVIMIENTOS!$E$5:$E$1005)+SUMPRODUCT((MOVIMIENTOS!$B$5:$B$1005="DEVOLUCIÓN")*(MOVIMIENTOS!$C$5:$C$1005="P")*(MOVIMIENTOS!$D$5:$D$1005="jabas")*(MOVIMIENTOS!$A$5:$A$1005&lt;&gt;"")*(MOVIMIENTOS!$A$5:$A$1005&lt;=$A85)*MOVIMIENTOS!$E$5:$E$1005)-SUMPRODUCT((MOVIMIENTOS!$B$5:$B$1005="TRASIEGO")*(MOVIMIENTOS!$C$5:$C$1005="P")*(MOVIMIENTOS!$D$5:$D$1005="jabas")*(MOVIMIENTOS!$A$5:$A$1005&lt;&gt;"")*(MOVIMIENTOS!$A$5:$A$1005&lt;=$A85)*MOVIMIENTOS!$E$5:$E$1005)-SUMPRODUCT((MOVIMIENTOS!$B$5:$B$1005="REGALO")*(MOVIMIENTOS!$C$5:$C$1005="P")*(MOVIMIENTOS!$D$5:$D$1005="jabas")*(MOVIMIENTOS!$A$5:$A$1005&lt;&gt;"")*(MOVIMIENTOS!$A$5:$A$1005&lt;=$A85)*MOVIMIENTOS!$E$5:$E$1005)-SUMPRODUCT((MOVIMIENTOS!$B$5:$B$1005="VENTA")*(MOVIMIENTOS!$C$5:$C$1005="P")*(MOVIMIENTOS!$D$5:$D$1005="jabas")*(MOVIMIENTOS!$A$5:$A$1005&lt;&gt;"")*(MOVIMIENTOS!$A$5:$A$1005&lt;=$A85)*MOVIMIENTOS!$E$5:$E$1005)+SUMPRODUCT((MOVIMIENTOS!$B$5:$B$1005="AJUSTE")*(MOVIMIENTOS!$C$5:$C$1005="P")*(MOVIMIENTOS!$D$5:$D$1005="jabas")*(MOVIMIENTOS!$A$5:$A$1005&lt;&gt;"")*(MOVIMIENTOS!$A$5:$A$1005&lt;=$A85)*MOVIMIENTOS!$E$5:$E$1005))</f>
        <v/>
      </c>
      <c r="D85" s="63" t="str">
        <f>IF($A85="","",SUMPRODUCT((MOVIMIENTOS!$B$5:$B$1005="SALDO INICIAL")*(MOVIMIENTOS!$C$5:$C$1005="C")*(MOVIMIENTOS!$D$5:$D$1005="jabas")*(MOVIMIENTOS!$A$5:$A$1005&lt;&gt;"")*(MOVIMIENTOS!$A$5:$A$1005&lt;=$A85)*MOVIMIENTOS!$E$5:$E$1005)+SUMPRODUCT((MOVIMIENTOS!$B$5:$B$1005="PROCESO")*(MOVIMIENTOS!$C$5:$C$1005="C")*(MOVIMIENTOS!$D$5:$D$1005="jabas")*(MOVIMIENTOS!$A$5:$A$1005&lt;&gt;"")*(MOVIMIENTOS!$A$5:$A$1005&lt;=$A85)*MOVIMIENTOS!$E$5:$E$1005)-SUMPRODUCT((MOVIMIENTOS!$B$5:$B$1005="ENVÍO A SUPESA")*(MOVIMIENTOS!$C$5:$C$1005="C")*(MOVIMIENTOS!$D$5:$D$1005="jabas")*(MOVIMIENTOS!$A$5:$A$1005&lt;&gt;"")*(MOVIMIENTOS!$A$5:$A$1005&lt;=$A85)*MOVIMIENTOS!$E$5:$E$1005)+SUMPRODUCT((MOVIMIENTOS!$B$5:$B$1005="DEVOLUCIÓN")*(MOVIMIENTOS!$C$5:$C$1005="C")*(MOVIMIENTOS!$D$5:$D$1005="jabas")*(MOVIMIENTOS!$A$5:$A$1005&lt;&gt;"")*(MOVIMIENTOS!$A$5:$A$1005&lt;=$A85)*MOVIMIENTOS!$E$5:$E$1005)-SUMPRODUCT((MOVIMIENTOS!$B$5:$B$1005="TRASIEGO")*(MOVIMIENTOS!$C$5:$C$1005="C")*(MOVIMIENTOS!$D$5:$D$1005="jabas")*(MOVIMIENTOS!$A$5:$A$1005&lt;&gt;"")*(MOVIMIENTOS!$A$5:$A$1005&lt;=$A85)*MOVIMIENTOS!$E$5:$E$1005)-SUMPRODUCT((MOVIMIENTOS!$B$5:$B$1005="REGALO")*(MOVIMIENTOS!$C$5:$C$1005="C")*(MOVIMIENTOS!$D$5:$D$1005="jabas")*(MOVIMIENTOS!$A$5:$A$1005&lt;&gt;"")*(MOVIMIENTOS!$A$5:$A$1005&lt;=$A85)*MOVIMIENTOS!$E$5:$E$1005)-SUMPRODUCT((MOVIMIENTOS!$B$5:$B$1005="VENTA")*(MOVIMIENTOS!$C$5:$C$1005="C")*(MOVIMIENTOS!$D$5:$D$1005="jabas")*(MOVIMIENTOS!$A$5:$A$1005&lt;&gt;"")*(MOVIMIENTOS!$A$5:$A$1005&lt;=$A85)*MOVIMIENTOS!$E$5:$E$1005)+SUMPRODUCT((MOVIMIENTOS!$B$5:$B$1005="AJUSTE")*(MOVIMIENTOS!$C$5:$C$1005="C")*(MOVIMIENTOS!$D$5:$D$1005="jabas")*(MOVIMIENTOS!$A$5:$A$1005&lt;&gt;"")*(MOVIMIENTOS!$A$5:$A$1005&lt;=$A85)*MOVIMIENTOS!$E$5:$E$1005))</f>
        <v/>
      </c>
      <c r="E85" s="63" t="str">
        <f>IF($A85="","",SUMPRODUCT((MOVIMIENTOS!$B$5:$B$1005="SALDO INICIAL")*(MOVIMIENTOS!$C$5:$C$1005="M")*(MOVIMIENTOS!$D$5:$D$1005="jabas")*(MOVIMIENTOS!$A$5:$A$1005&lt;&gt;"")*(MOVIMIENTOS!$A$5:$A$1005&lt;=$A85)*MOVIMIENTOS!$E$5:$E$1005)+SUMPRODUCT((MOVIMIENTOS!$B$5:$B$1005="PROCESO")*(MOVIMIENTOS!$C$5:$C$1005="M")*(MOVIMIENTOS!$D$5:$D$1005="jabas")*(MOVIMIENTOS!$A$5:$A$1005&lt;&gt;"")*(MOVIMIENTOS!$A$5:$A$1005&lt;=$A85)*MOVIMIENTOS!$E$5:$E$1005)-SUMPRODUCT((MOVIMIENTOS!$B$5:$B$1005="ENVÍO A SUPESA")*(MOVIMIENTOS!$C$5:$C$1005="M")*(MOVIMIENTOS!$D$5:$D$1005="jabas")*(MOVIMIENTOS!$A$5:$A$1005&lt;&gt;"")*(MOVIMIENTOS!$A$5:$A$1005&lt;=$A85)*MOVIMIENTOS!$E$5:$E$1005)+SUMPRODUCT((MOVIMIENTOS!$B$5:$B$1005="DEVOLUCIÓN")*(MOVIMIENTOS!$C$5:$C$1005="M")*(MOVIMIENTOS!$D$5:$D$1005="jabas")*(MOVIMIENTOS!$A$5:$A$1005&lt;&gt;"")*(MOVIMIENTOS!$A$5:$A$1005&lt;=$A85)*MOVIMIENTOS!$E$5:$E$1005)-SUMPRODUCT((MOVIMIENTOS!$B$5:$B$1005="TRASIEGO")*(MOVIMIENTOS!$C$5:$C$1005="M")*(MOVIMIENTOS!$D$5:$D$1005="jabas")*(MOVIMIENTOS!$A$5:$A$1005&lt;&gt;"")*(MOVIMIENTOS!$A$5:$A$1005&lt;=$A85)*MOVIMIENTOS!$E$5:$E$1005)-SUMPRODUCT((MOVIMIENTOS!$B$5:$B$1005="REGALO")*(MOVIMIENTOS!$C$5:$C$1005="M")*(MOVIMIENTOS!$D$5:$D$1005="jabas")*(MOVIMIENTOS!$A$5:$A$1005&lt;&gt;"")*(MOVIMIENTOS!$A$5:$A$1005&lt;=$A85)*MOVIMIENTOS!$E$5:$E$1005)-SUMPRODUCT((MOVIMIENTOS!$B$5:$B$1005="VENTA")*(MOVIMIENTOS!$C$5:$C$1005="M")*(MOVIMIENTOS!$D$5:$D$1005="jabas")*(MOVIMIENTOS!$A$5:$A$1005&lt;&gt;"")*(MOVIMIENTOS!$A$5:$A$1005&lt;=$A85)*MOVIMIENTOS!$E$5:$E$1005)+SUMPRODUCT((MOVIMIENTOS!$B$5:$B$1005="AJUSTE")*(MOVIMIENTOS!$C$5:$C$1005="M")*(MOVIMIENTOS!$D$5:$D$1005="jabas")*(MOVIMIENTOS!$A$5:$A$1005&lt;&gt;"")*(MOVIMIENTOS!$A$5:$A$1005&lt;=$A85)*MOVIMIENTOS!$E$5:$E$1005))</f>
        <v/>
      </c>
      <c r="F85" s="63" t="str">
        <f>IF($A85="","",SUMPRODUCT((MOVIMIENTOS!$B$5:$B$1005="SALDO INICIAL")*(MOVIMIENTOS!$C$5:$C$1005="Chancho")*(MOVIMIENTOS!$D$5:$D$1005="sacos")*(MOVIMIENTOS!$A$5:$A$1005&lt;&gt;"")*(MOVIMIENTOS!$A$5:$A$1005&lt;=$A85)*MOVIMIENTOS!$E$5:$E$1005)+SUMPRODUCT((MOVIMIENTOS!$B$5:$B$1005="PROCESO")*(MOVIMIENTOS!$C$5:$C$1005="Chancho")*(MOVIMIENTOS!$D$5:$D$1005="sacos")*(MOVIMIENTOS!$A$5:$A$1005&lt;&gt;"")*(MOVIMIENTOS!$A$5:$A$1005&lt;=$A85)*MOVIMIENTOS!$E$5:$E$1005)-SUMPRODUCT((MOVIMIENTOS!$B$5:$B$1005="VENTA CHANCHO")*(MOVIMIENTOS!$C$5:$C$1005="Chancho")*(MOVIMIENTOS!$D$5:$D$1005="sacos")*(MOVIMIENTOS!$A$5:$A$1005&lt;&gt;"")*(MOVIMIENTOS!$A$5:$A$1005&lt;=$A85)*MOVIMIENTOS!$E$5:$E$1005)-SUMPRODUCT((MOVIMIENTOS!$B$5:$B$1005="REGALO")*(MOVIMIENTOS!$C$5:$C$1005="Chancho")*(MOVIMIENTOS!$D$5:$D$1005="sacos")*(MOVIMIENTOS!$A$5:$A$1005&lt;&gt;"")*(MOVIMIENTOS!$A$5:$A$1005&lt;=$A85)*MOVIMIENTOS!$E$5:$E$1005)-SUMPRODUCT((MOVIMIENTOS!$B$5:$B$1005="VENTA")*(MOVIMIENTOS!$C$5:$C$1005="Chancho")*(MOVIMIENTOS!$D$5:$D$1005="sacos")*(MOVIMIENTOS!$A$5:$A$1005&lt;&gt;"")*(MOVIMIENTOS!$A$5:$A$1005&lt;=$A85)*MOVIMIENTOS!$E$5:$E$1005)+SUMPRODUCT((MOVIMIENTOS!$B$5:$B$1005="AJUSTE")*(MOVIMIENTOS!$C$5:$C$1005="Chancho")*(MOVIMIENTOS!$D$5:$D$1005="sacos")*(MOVIMIENTOS!$A$5:$A$1005&lt;&gt;"")*(MOVIMIENTOS!$A$5:$A$1005&lt;=$A85)*MOVIMIENTOS!$E$5:$E$1005))</f>
        <v/>
      </c>
      <c r="G85" s="95" t="str">
        <f t="shared" si="3"/>
        <v/>
      </c>
      <c r="H85" s="63" t="str">
        <f>IF($A85="","",SUMPRODUCT((((MOVIMIENTOS!$B$5:$B$1005="SALDO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85)*MOVIMIENTOS!$J$5:$J$1005))</f>
        <v/>
      </c>
      <c r="I85" s="63"/>
      <c r="J85" s="63" t="str">
        <f>IF(AND(MOVIMIENTOS!$A85&lt;&gt;"",COUNTIF(MOVIMIENTOS!$A$5:$A84,MOVIMIENTOS!$A85)=0),COUNT(J$4:J84)+1,"")</f>
        <v/>
      </c>
      <c r="K85" s="66">
        <f>MOVIMIENTOS!$A85</f>
        <v>46221</v>
      </c>
      <c r="L85" s="63"/>
      <c r="M85" s="63"/>
      <c r="N85" s="63"/>
    </row>
    <row r="86" spans="1:14" ht="15" customHeight="1" x14ac:dyDescent="0.2">
      <c r="A86" s="63" t="str">
        <f t="shared" si="2"/>
        <v/>
      </c>
      <c r="B86" s="63" t="str">
        <f>IF($A86="","",SUMPRODUCT((MOVIMIENTOS!$B$5:$B$1005="SALDO INICIAL")*(MOVIMIENTOS!$C$5:$C$1005="A")*(MOVIMIENTOS!$D$5:$D$1005="jabas")*(MOVIMIENTOS!$A$5:$A$1005&lt;&gt;"")*(MOVIMIENTOS!$A$5:$A$1005&lt;=$A86)*MOVIMIENTOS!$E$5:$E$1005)+SUMPRODUCT((MOVIMIENTOS!$B$5:$B$1005="PROCESO")*(MOVIMIENTOS!$C$5:$C$1005="A")*(MOVIMIENTOS!$D$5:$D$1005="jabas")*(MOVIMIENTOS!$A$5:$A$1005&lt;&gt;"")*(MOVIMIENTOS!$A$5:$A$1005&lt;=$A86)*MOVIMIENTOS!$E$5:$E$1005)-SUMPRODUCT((MOVIMIENTOS!$B$5:$B$1005="ENVÍO A SUPESA")*(MOVIMIENTOS!$C$5:$C$1005="A")*(MOVIMIENTOS!$D$5:$D$1005="jabas")*(MOVIMIENTOS!$A$5:$A$1005&lt;&gt;"")*(MOVIMIENTOS!$A$5:$A$1005&lt;=$A86)*MOVIMIENTOS!$E$5:$E$1005)+SUMPRODUCT((MOVIMIENTOS!$B$5:$B$1005="DEVOLUCIÓN")*(MOVIMIENTOS!$C$5:$C$1005="A")*(MOVIMIENTOS!$D$5:$D$1005="jabas")*(MOVIMIENTOS!$A$5:$A$1005&lt;&gt;"")*(MOVIMIENTOS!$A$5:$A$1005&lt;=$A86)*MOVIMIENTOS!$E$5:$E$1005)-SUMPRODUCT((MOVIMIENTOS!$B$5:$B$1005="TRASIEGO")*(MOVIMIENTOS!$C$5:$C$1005="A")*(MOVIMIENTOS!$D$5:$D$1005="jabas")*(MOVIMIENTOS!$A$5:$A$1005&lt;&gt;"")*(MOVIMIENTOS!$A$5:$A$1005&lt;=$A86)*MOVIMIENTOS!$E$5:$E$1005)-SUMPRODUCT((MOVIMIENTOS!$B$5:$B$1005="REGALO")*(MOVIMIENTOS!$C$5:$C$1005="A")*(MOVIMIENTOS!$D$5:$D$1005="jabas")*(MOVIMIENTOS!$A$5:$A$1005&lt;&gt;"")*(MOVIMIENTOS!$A$5:$A$1005&lt;=$A86)*MOVIMIENTOS!$E$5:$E$1005)-SUMPRODUCT((MOVIMIENTOS!$B$5:$B$1005="VENTA")*(MOVIMIENTOS!$C$5:$C$1005="A")*(MOVIMIENTOS!$D$5:$D$1005="jabas")*(MOVIMIENTOS!$A$5:$A$1005&lt;&gt;"")*(MOVIMIENTOS!$A$5:$A$1005&lt;=$A86)*MOVIMIENTOS!$E$5:$E$1005)+SUMPRODUCT((MOVIMIENTOS!$B$5:$B$1005="AJUSTE")*(MOVIMIENTOS!$C$5:$C$1005="A")*(MOVIMIENTOS!$D$5:$D$1005="jabas")*(MOVIMIENTOS!$A$5:$A$1005&lt;&gt;"")*(MOVIMIENTOS!$A$5:$A$1005&lt;=$A86)*MOVIMIENTOS!$E$5:$E$1005))</f>
        <v/>
      </c>
      <c r="C86" s="63" t="str">
        <f>IF($A86="","",SUMPRODUCT((MOVIMIENTOS!$B$5:$B$1005="SALDO INICIAL")*(MOVIMIENTOS!$C$5:$C$1005="P")*(MOVIMIENTOS!$D$5:$D$1005="jabas")*(MOVIMIENTOS!$A$5:$A$1005&lt;&gt;"")*(MOVIMIENTOS!$A$5:$A$1005&lt;=$A86)*MOVIMIENTOS!$E$5:$E$1005)+SUMPRODUCT((MOVIMIENTOS!$B$5:$B$1005="PROCESO")*(MOVIMIENTOS!$C$5:$C$1005="P")*(MOVIMIENTOS!$D$5:$D$1005="jabas")*(MOVIMIENTOS!$A$5:$A$1005&lt;&gt;"")*(MOVIMIENTOS!$A$5:$A$1005&lt;=$A86)*MOVIMIENTOS!$E$5:$E$1005)-SUMPRODUCT((MOVIMIENTOS!$B$5:$B$1005="ENVÍO A SUPESA")*(MOVIMIENTOS!$C$5:$C$1005="P")*(MOVIMIENTOS!$D$5:$D$1005="jabas")*(MOVIMIENTOS!$A$5:$A$1005&lt;&gt;"")*(MOVIMIENTOS!$A$5:$A$1005&lt;=$A86)*MOVIMIENTOS!$E$5:$E$1005)+SUMPRODUCT((MOVIMIENTOS!$B$5:$B$1005="DEVOLUCIÓN")*(MOVIMIENTOS!$C$5:$C$1005="P")*(MOVIMIENTOS!$D$5:$D$1005="jabas")*(MOVIMIENTOS!$A$5:$A$1005&lt;&gt;"")*(MOVIMIENTOS!$A$5:$A$1005&lt;=$A86)*MOVIMIENTOS!$E$5:$E$1005)-SUMPRODUCT((MOVIMIENTOS!$B$5:$B$1005="TRASIEGO")*(MOVIMIENTOS!$C$5:$C$1005="P")*(MOVIMIENTOS!$D$5:$D$1005="jabas")*(MOVIMIENTOS!$A$5:$A$1005&lt;&gt;"")*(MOVIMIENTOS!$A$5:$A$1005&lt;=$A86)*MOVIMIENTOS!$E$5:$E$1005)-SUMPRODUCT((MOVIMIENTOS!$B$5:$B$1005="REGALO")*(MOVIMIENTOS!$C$5:$C$1005="P")*(MOVIMIENTOS!$D$5:$D$1005="jabas")*(MOVIMIENTOS!$A$5:$A$1005&lt;&gt;"")*(MOVIMIENTOS!$A$5:$A$1005&lt;=$A86)*MOVIMIENTOS!$E$5:$E$1005)-SUMPRODUCT((MOVIMIENTOS!$B$5:$B$1005="VENTA")*(MOVIMIENTOS!$C$5:$C$1005="P")*(MOVIMIENTOS!$D$5:$D$1005="jabas")*(MOVIMIENTOS!$A$5:$A$1005&lt;&gt;"")*(MOVIMIENTOS!$A$5:$A$1005&lt;=$A86)*MOVIMIENTOS!$E$5:$E$1005)+SUMPRODUCT((MOVIMIENTOS!$B$5:$B$1005="AJUSTE")*(MOVIMIENTOS!$C$5:$C$1005="P")*(MOVIMIENTOS!$D$5:$D$1005="jabas")*(MOVIMIENTOS!$A$5:$A$1005&lt;&gt;"")*(MOVIMIENTOS!$A$5:$A$1005&lt;=$A86)*MOVIMIENTOS!$E$5:$E$1005))</f>
        <v/>
      </c>
      <c r="D86" s="63" t="str">
        <f>IF($A86="","",SUMPRODUCT((MOVIMIENTOS!$B$5:$B$1005="SALDO INICIAL")*(MOVIMIENTOS!$C$5:$C$1005="C")*(MOVIMIENTOS!$D$5:$D$1005="jabas")*(MOVIMIENTOS!$A$5:$A$1005&lt;&gt;"")*(MOVIMIENTOS!$A$5:$A$1005&lt;=$A86)*MOVIMIENTOS!$E$5:$E$1005)+SUMPRODUCT((MOVIMIENTOS!$B$5:$B$1005="PROCESO")*(MOVIMIENTOS!$C$5:$C$1005="C")*(MOVIMIENTOS!$D$5:$D$1005="jabas")*(MOVIMIENTOS!$A$5:$A$1005&lt;&gt;"")*(MOVIMIENTOS!$A$5:$A$1005&lt;=$A86)*MOVIMIENTOS!$E$5:$E$1005)-SUMPRODUCT((MOVIMIENTOS!$B$5:$B$1005="ENVÍO A SUPESA")*(MOVIMIENTOS!$C$5:$C$1005="C")*(MOVIMIENTOS!$D$5:$D$1005="jabas")*(MOVIMIENTOS!$A$5:$A$1005&lt;&gt;"")*(MOVIMIENTOS!$A$5:$A$1005&lt;=$A86)*MOVIMIENTOS!$E$5:$E$1005)+SUMPRODUCT((MOVIMIENTOS!$B$5:$B$1005="DEVOLUCIÓN")*(MOVIMIENTOS!$C$5:$C$1005="C")*(MOVIMIENTOS!$D$5:$D$1005="jabas")*(MOVIMIENTOS!$A$5:$A$1005&lt;&gt;"")*(MOVIMIENTOS!$A$5:$A$1005&lt;=$A86)*MOVIMIENTOS!$E$5:$E$1005)-SUMPRODUCT((MOVIMIENTOS!$B$5:$B$1005="TRASIEGO")*(MOVIMIENTOS!$C$5:$C$1005="C")*(MOVIMIENTOS!$D$5:$D$1005="jabas")*(MOVIMIENTOS!$A$5:$A$1005&lt;&gt;"")*(MOVIMIENTOS!$A$5:$A$1005&lt;=$A86)*MOVIMIENTOS!$E$5:$E$1005)-SUMPRODUCT((MOVIMIENTOS!$B$5:$B$1005="REGALO")*(MOVIMIENTOS!$C$5:$C$1005="C")*(MOVIMIENTOS!$D$5:$D$1005="jabas")*(MOVIMIENTOS!$A$5:$A$1005&lt;&gt;"")*(MOVIMIENTOS!$A$5:$A$1005&lt;=$A86)*MOVIMIENTOS!$E$5:$E$1005)-SUMPRODUCT((MOVIMIENTOS!$B$5:$B$1005="VENTA")*(MOVIMIENTOS!$C$5:$C$1005="C")*(MOVIMIENTOS!$D$5:$D$1005="jabas")*(MOVIMIENTOS!$A$5:$A$1005&lt;&gt;"")*(MOVIMIENTOS!$A$5:$A$1005&lt;=$A86)*MOVIMIENTOS!$E$5:$E$1005)+SUMPRODUCT((MOVIMIENTOS!$B$5:$B$1005="AJUSTE")*(MOVIMIENTOS!$C$5:$C$1005="C")*(MOVIMIENTOS!$D$5:$D$1005="jabas")*(MOVIMIENTOS!$A$5:$A$1005&lt;&gt;"")*(MOVIMIENTOS!$A$5:$A$1005&lt;=$A86)*MOVIMIENTOS!$E$5:$E$1005))</f>
        <v/>
      </c>
      <c r="E86" s="63" t="str">
        <f>IF($A86="","",SUMPRODUCT((MOVIMIENTOS!$B$5:$B$1005="SALDO INICIAL")*(MOVIMIENTOS!$C$5:$C$1005="M")*(MOVIMIENTOS!$D$5:$D$1005="jabas")*(MOVIMIENTOS!$A$5:$A$1005&lt;&gt;"")*(MOVIMIENTOS!$A$5:$A$1005&lt;=$A86)*MOVIMIENTOS!$E$5:$E$1005)+SUMPRODUCT((MOVIMIENTOS!$B$5:$B$1005="PROCESO")*(MOVIMIENTOS!$C$5:$C$1005="M")*(MOVIMIENTOS!$D$5:$D$1005="jabas")*(MOVIMIENTOS!$A$5:$A$1005&lt;&gt;"")*(MOVIMIENTOS!$A$5:$A$1005&lt;=$A86)*MOVIMIENTOS!$E$5:$E$1005)-SUMPRODUCT((MOVIMIENTOS!$B$5:$B$1005="ENVÍO A SUPESA")*(MOVIMIENTOS!$C$5:$C$1005="M")*(MOVIMIENTOS!$D$5:$D$1005="jabas")*(MOVIMIENTOS!$A$5:$A$1005&lt;&gt;"")*(MOVIMIENTOS!$A$5:$A$1005&lt;=$A86)*MOVIMIENTOS!$E$5:$E$1005)+SUMPRODUCT((MOVIMIENTOS!$B$5:$B$1005="DEVOLUCIÓN")*(MOVIMIENTOS!$C$5:$C$1005="M")*(MOVIMIENTOS!$D$5:$D$1005="jabas")*(MOVIMIENTOS!$A$5:$A$1005&lt;&gt;"")*(MOVIMIENTOS!$A$5:$A$1005&lt;=$A86)*MOVIMIENTOS!$E$5:$E$1005)-SUMPRODUCT((MOVIMIENTOS!$B$5:$B$1005="TRASIEGO")*(MOVIMIENTOS!$C$5:$C$1005="M")*(MOVIMIENTOS!$D$5:$D$1005="jabas")*(MOVIMIENTOS!$A$5:$A$1005&lt;&gt;"")*(MOVIMIENTOS!$A$5:$A$1005&lt;=$A86)*MOVIMIENTOS!$E$5:$E$1005)-SUMPRODUCT((MOVIMIENTOS!$B$5:$B$1005="REGALO")*(MOVIMIENTOS!$C$5:$C$1005="M")*(MOVIMIENTOS!$D$5:$D$1005="jabas")*(MOVIMIENTOS!$A$5:$A$1005&lt;&gt;"")*(MOVIMIENTOS!$A$5:$A$1005&lt;=$A86)*MOVIMIENTOS!$E$5:$E$1005)-SUMPRODUCT((MOVIMIENTOS!$B$5:$B$1005="VENTA")*(MOVIMIENTOS!$C$5:$C$1005="M")*(MOVIMIENTOS!$D$5:$D$1005="jabas")*(MOVIMIENTOS!$A$5:$A$1005&lt;&gt;"")*(MOVIMIENTOS!$A$5:$A$1005&lt;=$A86)*MOVIMIENTOS!$E$5:$E$1005)+SUMPRODUCT((MOVIMIENTOS!$B$5:$B$1005="AJUSTE")*(MOVIMIENTOS!$C$5:$C$1005="M")*(MOVIMIENTOS!$D$5:$D$1005="jabas")*(MOVIMIENTOS!$A$5:$A$1005&lt;&gt;"")*(MOVIMIENTOS!$A$5:$A$1005&lt;=$A86)*MOVIMIENTOS!$E$5:$E$1005))</f>
        <v/>
      </c>
      <c r="F86" s="63" t="str">
        <f>IF($A86="","",SUMPRODUCT((MOVIMIENTOS!$B$5:$B$1005="SALDO INICIAL")*(MOVIMIENTOS!$C$5:$C$1005="Chancho")*(MOVIMIENTOS!$D$5:$D$1005="sacos")*(MOVIMIENTOS!$A$5:$A$1005&lt;&gt;"")*(MOVIMIENTOS!$A$5:$A$1005&lt;=$A86)*MOVIMIENTOS!$E$5:$E$1005)+SUMPRODUCT((MOVIMIENTOS!$B$5:$B$1005="PROCESO")*(MOVIMIENTOS!$C$5:$C$1005="Chancho")*(MOVIMIENTOS!$D$5:$D$1005="sacos")*(MOVIMIENTOS!$A$5:$A$1005&lt;&gt;"")*(MOVIMIENTOS!$A$5:$A$1005&lt;=$A86)*MOVIMIENTOS!$E$5:$E$1005)-SUMPRODUCT((MOVIMIENTOS!$B$5:$B$1005="VENTA CHANCHO")*(MOVIMIENTOS!$C$5:$C$1005="Chancho")*(MOVIMIENTOS!$D$5:$D$1005="sacos")*(MOVIMIENTOS!$A$5:$A$1005&lt;&gt;"")*(MOVIMIENTOS!$A$5:$A$1005&lt;=$A86)*MOVIMIENTOS!$E$5:$E$1005)-SUMPRODUCT((MOVIMIENTOS!$B$5:$B$1005="REGALO")*(MOVIMIENTOS!$C$5:$C$1005="Chancho")*(MOVIMIENTOS!$D$5:$D$1005="sacos")*(MOVIMIENTOS!$A$5:$A$1005&lt;&gt;"")*(MOVIMIENTOS!$A$5:$A$1005&lt;=$A86)*MOVIMIENTOS!$E$5:$E$1005)-SUMPRODUCT((MOVIMIENTOS!$B$5:$B$1005="VENTA")*(MOVIMIENTOS!$C$5:$C$1005="Chancho")*(MOVIMIENTOS!$D$5:$D$1005="sacos")*(MOVIMIENTOS!$A$5:$A$1005&lt;&gt;"")*(MOVIMIENTOS!$A$5:$A$1005&lt;=$A86)*MOVIMIENTOS!$E$5:$E$1005)+SUMPRODUCT((MOVIMIENTOS!$B$5:$B$1005="AJUSTE")*(MOVIMIENTOS!$C$5:$C$1005="Chancho")*(MOVIMIENTOS!$D$5:$D$1005="sacos")*(MOVIMIENTOS!$A$5:$A$1005&lt;&gt;"")*(MOVIMIENTOS!$A$5:$A$1005&lt;=$A86)*MOVIMIENTOS!$E$5:$E$1005))</f>
        <v/>
      </c>
      <c r="G86" s="95" t="str">
        <f t="shared" si="3"/>
        <v/>
      </c>
      <c r="H86" s="63" t="str">
        <f>IF($A86="","",SUMPRODUCT((((MOVIMIENTOS!$B$5:$B$1005="SALDO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86)*MOVIMIENTOS!$J$5:$J$1005))</f>
        <v/>
      </c>
      <c r="I86" s="63"/>
      <c r="J86" s="63">
        <f>IF(AND(MOVIMIENTOS!$A86&lt;&gt;"",COUNTIF(MOVIMIENTOS!$A$5:$A85,MOVIMIENTOS!$A86)=0),COUNT(J$4:J85)+1,"")</f>
        <v>10</v>
      </c>
      <c r="K86" s="66">
        <f>MOVIMIENTOS!$A86</f>
        <v>46222</v>
      </c>
      <c r="L86" s="63"/>
      <c r="M86" s="63"/>
      <c r="N86" s="63"/>
    </row>
    <row r="87" spans="1:14" ht="15" customHeight="1" x14ac:dyDescent="0.2">
      <c r="A87" s="63" t="str">
        <f t="shared" si="2"/>
        <v/>
      </c>
      <c r="B87" s="63" t="str">
        <f>IF($A87="","",SUMPRODUCT((MOVIMIENTOS!$B$5:$B$1005="SALDO INICIAL")*(MOVIMIENTOS!$C$5:$C$1005="A")*(MOVIMIENTOS!$D$5:$D$1005="jabas")*(MOVIMIENTOS!$A$5:$A$1005&lt;&gt;"")*(MOVIMIENTOS!$A$5:$A$1005&lt;=$A87)*MOVIMIENTOS!$E$5:$E$1005)+SUMPRODUCT((MOVIMIENTOS!$B$5:$B$1005="PROCESO")*(MOVIMIENTOS!$C$5:$C$1005="A")*(MOVIMIENTOS!$D$5:$D$1005="jabas")*(MOVIMIENTOS!$A$5:$A$1005&lt;&gt;"")*(MOVIMIENTOS!$A$5:$A$1005&lt;=$A87)*MOVIMIENTOS!$E$5:$E$1005)-SUMPRODUCT((MOVIMIENTOS!$B$5:$B$1005="ENVÍO A SUPESA")*(MOVIMIENTOS!$C$5:$C$1005="A")*(MOVIMIENTOS!$D$5:$D$1005="jabas")*(MOVIMIENTOS!$A$5:$A$1005&lt;&gt;"")*(MOVIMIENTOS!$A$5:$A$1005&lt;=$A87)*MOVIMIENTOS!$E$5:$E$1005)+SUMPRODUCT((MOVIMIENTOS!$B$5:$B$1005="DEVOLUCIÓN")*(MOVIMIENTOS!$C$5:$C$1005="A")*(MOVIMIENTOS!$D$5:$D$1005="jabas")*(MOVIMIENTOS!$A$5:$A$1005&lt;&gt;"")*(MOVIMIENTOS!$A$5:$A$1005&lt;=$A87)*MOVIMIENTOS!$E$5:$E$1005)-SUMPRODUCT((MOVIMIENTOS!$B$5:$B$1005="TRASIEGO")*(MOVIMIENTOS!$C$5:$C$1005="A")*(MOVIMIENTOS!$D$5:$D$1005="jabas")*(MOVIMIENTOS!$A$5:$A$1005&lt;&gt;"")*(MOVIMIENTOS!$A$5:$A$1005&lt;=$A87)*MOVIMIENTOS!$E$5:$E$1005)-SUMPRODUCT((MOVIMIENTOS!$B$5:$B$1005="REGALO")*(MOVIMIENTOS!$C$5:$C$1005="A")*(MOVIMIENTOS!$D$5:$D$1005="jabas")*(MOVIMIENTOS!$A$5:$A$1005&lt;&gt;"")*(MOVIMIENTOS!$A$5:$A$1005&lt;=$A87)*MOVIMIENTOS!$E$5:$E$1005)-SUMPRODUCT((MOVIMIENTOS!$B$5:$B$1005="VENTA")*(MOVIMIENTOS!$C$5:$C$1005="A")*(MOVIMIENTOS!$D$5:$D$1005="jabas")*(MOVIMIENTOS!$A$5:$A$1005&lt;&gt;"")*(MOVIMIENTOS!$A$5:$A$1005&lt;=$A87)*MOVIMIENTOS!$E$5:$E$1005)+SUMPRODUCT((MOVIMIENTOS!$B$5:$B$1005="AJUSTE")*(MOVIMIENTOS!$C$5:$C$1005="A")*(MOVIMIENTOS!$D$5:$D$1005="jabas")*(MOVIMIENTOS!$A$5:$A$1005&lt;&gt;"")*(MOVIMIENTOS!$A$5:$A$1005&lt;=$A87)*MOVIMIENTOS!$E$5:$E$1005))</f>
        <v/>
      </c>
      <c r="C87" s="63" t="str">
        <f>IF($A87="","",SUMPRODUCT((MOVIMIENTOS!$B$5:$B$1005="SALDO INICIAL")*(MOVIMIENTOS!$C$5:$C$1005="P")*(MOVIMIENTOS!$D$5:$D$1005="jabas")*(MOVIMIENTOS!$A$5:$A$1005&lt;&gt;"")*(MOVIMIENTOS!$A$5:$A$1005&lt;=$A87)*MOVIMIENTOS!$E$5:$E$1005)+SUMPRODUCT((MOVIMIENTOS!$B$5:$B$1005="PROCESO")*(MOVIMIENTOS!$C$5:$C$1005="P")*(MOVIMIENTOS!$D$5:$D$1005="jabas")*(MOVIMIENTOS!$A$5:$A$1005&lt;&gt;"")*(MOVIMIENTOS!$A$5:$A$1005&lt;=$A87)*MOVIMIENTOS!$E$5:$E$1005)-SUMPRODUCT((MOVIMIENTOS!$B$5:$B$1005="ENVÍO A SUPESA")*(MOVIMIENTOS!$C$5:$C$1005="P")*(MOVIMIENTOS!$D$5:$D$1005="jabas")*(MOVIMIENTOS!$A$5:$A$1005&lt;&gt;"")*(MOVIMIENTOS!$A$5:$A$1005&lt;=$A87)*MOVIMIENTOS!$E$5:$E$1005)+SUMPRODUCT((MOVIMIENTOS!$B$5:$B$1005="DEVOLUCIÓN")*(MOVIMIENTOS!$C$5:$C$1005="P")*(MOVIMIENTOS!$D$5:$D$1005="jabas")*(MOVIMIENTOS!$A$5:$A$1005&lt;&gt;"")*(MOVIMIENTOS!$A$5:$A$1005&lt;=$A87)*MOVIMIENTOS!$E$5:$E$1005)-SUMPRODUCT((MOVIMIENTOS!$B$5:$B$1005="TRASIEGO")*(MOVIMIENTOS!$C$5:$C$1005="P")*(MOVIMIENTOS!$D$5:$D$1005="jabas")*(MOVIMIENTOS!$A$5:$A$1005&lt;&gt;"")*(MOVIMIENTOS!$A$5:$A$1005&lt;=$A87)*MOVIMIENTOS!$E$5:$E$1005)-SUMPRODUCT((MOVIMIENTOS!$B$5:$B$1005="REGALO")*(MOVIMIENTOS!$C$5:$C$1005="P")*(MOVIMIENTOS!$D$5:$D$1005="jabas")*(MOVIMIENTOS!$A$5:$A$1005&lt;&gt;"")*(MOVIMIENTOS!$A$5:$A$1005&lt;=$A87)*MOVIMIENTOS!$E$5:$E$1005)-SUMPRODUCT((MOVIMIENTOS!$B$5:$B$1005="VENTA")*(MOVIMIENTOS!$C$5:$C$1005="P")*(MOVIMIENTOS!$D$5:$D$1005="jabas")*(MOVIMIENTOS!$A$5:$A$1005&lt;&gt;"")*(MOVIMIENTOS!$A$5:$A$1005&lt;=$A87)*MOVIMIENTOS!$E$5:$E$1005)+SUMPRODUCT((MOVIMIENTOS!$B$5:$B$1005="AJUSTE")*(MOVIMIENTOS!$C$5:$C$1005="P")*(MOVIMIENTOS!$D$5:$D$1005="jabas")*(MOVIMIENTOS!$A$5:$A$1005&lt;&gt;"")*(MOVIMIENTOS!$A$5:$A$1005&lt;=$A87)*MOVIMIENTOS!$E$5:$E$1005))</f>
        <v/>
      </c>
      <c r="D87" s="63" t="str">
        <f>IF($A87="","",SUMPRODUCT((MOVIMIENTOS!$B$5:$B$1005="SALDO INICIAL")*(MOVIMIENTOS!$C$5:$C$1005="C")*(MOVIMIENTOS!$D$5:$D$1005="jabas")*(MOVIMIENTOS!$A$5:$A$1005&lt;&gt;"")*(MOVIMIENTOS!$A$5:$A$1005&lt;=$A87)*MOVIMIENTOS!$E$5:$E$1005)+SUMPRODUCT((MOVIMIENTOS!$B$5:$B$1005="PROCESO")*(MOVIMIENTOS!$C$5:$C$1005="C")*(MOVIMIENTOS!$D$5:$D$1005="jabas")*(MOVIMIENTOS!$A$5:$A$1005&lt;&gt;"")*(MOVIMIENTOS!$A$5:$A$1005&lt;=$A87)*MOVIMIENTOS!$E$5:$E$1005)-SUMPRODUCT((MOVIMIENTOS!$B$5:$B$1005="ENVÍO A SUPESA")*(MOVIMIENTOS!$C$5:$C$1005="C")*(MOVIMIENTOS!$D$5:$D$1005="jabas")*(MOVIMIENTOS!$A$5:$A$1005&lt;&gt;"")*(MOVIMIENTOS!$A$5:$A$1005&lt;=$A87)*MOVIMIENTOS!$E$5:$E$1005)+SUMPRODUCT((MOVIMIENTOS!$B$5:$B$1005="DEVOLUCIÓN")*(MOVIMIENTOS!$C$5:$C$1005="C")*(MOVIMIENTOS!$D$5:$D$1005="jabas")*(MOVIMIENTOS!$A$5:$A$1005&lt;&gt;"")*(MOVIMIENTOS!$A$5:$A$1005&lt;=$A87)*MOVIMIENTOS!$E$5:$E$1005)-SUMPRODUCT((MOVIMIENTOS!$B$5:$B$1005="TRASIEGO")*(MOVIMIENTOS!$C$5:$C$1005="C")*(MOVIMIENTOS!$D$5:$D$1005="jabas")*(MOVIMIENTOS!$A$5:$A$1005&lt;&gt;"")*(MOVIMIENTOS!$A$5:$A$1005&lt;=$A87)*MOVIMIENTOS!$E$5:$E$1005)-SUMPRODUCT((MOVIMIENTOS!$B$5:$B$1005="REGALO")*(MOVIMIENTOS!$C$5:$C$1005="C")*(MOVIMIENTOS!$D$5:$D$1005="jabas")*(MOVIMIENTOS!$A$5:$A$1005&lt;&gt;"")*(MOVIMIENTOS!$A$5:$A$1005&lt;=$A87)*MOVIMIENTOS!$E$5:$E$1005)-SUMPRODUCT((MOVIMIENTOS!$B$5:$B$1005="VENTA")*(MOVIMIENTOS!$C$5:$C$1005="C")*(MOVIMIENTOS!$D$5:$D$1005="jabas")*(MOVIMIENTOS!$A$5:$A$1005&lt;&gt;"")*(MOVIMIENTOS!$A$5:$A$1005&lt;=$A87)*MOVIMIENTOS!$E$5:$E$1005)+SUMPRODUCT((MOVIMIENTOS!$B$5:$B$1005="AJUSTE")*(MOVIMIENTOS!$C$5:$C$1005="C")*(MOVIMIENTOS!$D$5:$D$1005="jabas")*(MOVIMIENTOS!$A$5:$A$1005&lt;&gt;"")*(MOVIMIENTOS!$A$5:$A$1005&lt;=$A87)*MOVIMIENTOS!$E$5:$E$1005))</f>
        <v/>
      </c>
      <c r="E87" s="63" t="str">
        <f>IF($A87="","",SUMPRODUCT((MOVIMIENTOS!$B$5:$B$1005="SALDO INICIAL")*(MOVIMIENTOS!$C$5:$C$1005="M")*(MOVIMIENTOS!$D$5:$D$1005="jabas")*(MOVIMIENTOS!$A$5:$A$1005&lt;&gt;"")*(MOVIMIENTOS!$A$5:$A$1005&lt;=$A87)*MOVIMIENTOS!$E$5:$E$1005)+SUMPRODUCT((MOVIMIENTOS!$B$5:$B$1005="PROCESO")*(MOVIMIENTOS!$C$5:$C$1005="M")*(MOVIMIENTOS!$D$5:$D$1005="jabas")*(MOVIMIENTOS!$A$5:$A$1005&lt;&gt;"")*(MOVIMIENTOS!$A$5:$A$1005&lt;=$A87)*MOVIMIENTOS!$E$5:$E$1005)-SUMPRODUCT((MOVIMIENTOS!$B$5:$B$1005="ENVÍO A SUPESA")*(MOVIMIENTOS!$C$5:$C$1005="M")*(MOVIMIENTOS!$D$5:$D$1005="jabas")*(MOVIMIENTOS!$A$5:$A$1005&lt;&gt;"")*(MOVIMIENTOS!$A$5:$A$1005&lt;=$A87)*MOVIMIENTOS!$E$5:$E$1005)+SUMPRODUCT((MOVIMIENTOS!$B$5:$B$1005="DEVOLUCIÓN")*(MOVIMIENTOS!$C$5:$C$1005="M")*(MOVIMIENTOS!$D$5:$D$1005="jabas")*(MOVIMIENTOS!$A$5:$A$1005&lt;&gt;"")*(MOVIMIENTOS!$A$5:$A$1005&lt;=$A87)*MOVIMIENTOS!$E$5:$E$1005)-SUMPRODUCT((MOVIMIENTOS!$B$5:$B$1005="TRASIEGO")*(MOVIMIENTOS!$C$5:$C$1005="M")*(MOVIMIENTOS!$D$5:$D$1005="jabas")*(MOVIMIENTOS!$A$5:$A$1005&lt;&gt;"")*(MOVIMIENTOS!$A$5:$A$1005&lt;=$A87)*MOVIMIENTOS!$E$5:$E$1005)-SUMPRODUCT((MOVIMIENTOS!$B$5:$B$1005="REGALO")*(MOVIMIENTOS!$C$5:$C$1005="M")*(MOVIMIENTOS!$D$5:$D$1005="jabas")*(MOVIMIENTOS!$A$5:$A$1005&lt;&gt;"")*(MOVIMIENTOS!$A$5:$A$1005&lt;=$A87)*MOVIMIENTOS!$E$5:$E$1005)-SUMPRODUCT((MOVIMIENTOS!$B$5:$B$1005="VENTA")*(MOVIMIENTOS!$C$5:$C$1005="M")*(MOVIMIENTOS!$D$5:$D$1005="jabas")*(MOVIMIENTOS!$A$5:$A$1005&lt;&gt;"")*(MOVIMIENTOS!$A$5:$A$1005&lt;=$A87)*MOVIMIENTOS!$E$5:$E$1005)+SUMPRODUCT((MOVIMIENTOS!$B$5:$B$1005="AJUSTE")*(MOVIMIENTOS!$C$5:$C$1005="M")*(MOVIMIENTOS!$D$5:$D$1005="jabas")*(MOVIMIENTOS!$A$5:$A$1005&lt;&gt;"")*(MOVIMIENTOS!$A$5:$A$1005&lt;=$A87)*MOVIMIENTOS!$E$5:$E$1005))</f>
        <v/>
      </c>
      <c r="F87" s="63" t="str">
        <f>IF($A87="","",SUMPRODUCT((MOVIMIENTOS!$B$5:$B$1005="SALDO INICIAL")*(MOVIMIENTOS!$C$5:$C$1005="Chancho")*(MOVIMIENTOS!$D$5:$D$1005="sacos")*(MOVIMIENTOS!$A$5:$A$1005&lt;&gt;"")*(MOVIMIENTOS!$A$5:$A$1005&lt;=$A87)*MOVIMIENTOS!$E$5:$E$1005)+SUMPRODUCT((MOVIMIENTOS!$B$5:$B$1005="PROCESO")*(MOVIMIENTOS!$C$5:$C$1005="Chancho")*(MOVIMIENTOS!$D$5:$D$1005="sacos")*(MOVIMIENTOS!$A$5:$A$1005&lt;&gt;"")*(MOVIMIENTOS!$A$5:$A$1005&lt;=$A87)*MOVIMIENTOS!$E$5:$E$1005)-SUMPRODUCT((MOVIMIENTOS!$B$5:$B$1005="VENTA CHANCHO")*(MOVIMIENTOS!$C$5:$C$1005="Chancho")*(MOVIMIENTOS!$D$5:$D$1005="sacos")*(MOVIMIENTOS!$A$5:$A$1005&lt;&gt;"")*(MOVIMIENTOS!$A$5:$A$1005&lt;=$A87)*MOVIMIENTOS!$E$5:$E$1005)-SUMPRODUCT((MOVIMIENTOS!$B$5:$B$1005="REGALO")*(MOVIMIENTOS!$C$5:$C$1005="Chancho")*(MOVIMIENTOS!$D$5:$D$1005="sacos")*(MOVIMIENTOS!$A$5:$A$1005&lt;&gt;"")*(MOVIMIENTOS!$A$5:$A$1005&lt;=$A87)*MOVIMIENTOS!$E$5:$E$1005)-SUMPRODUCT((MOVIMIENTOS!$B$5:$B$1005="VENTA")*(MOVIMIENTOS!$C$5:$C$1005="Chancho")*(MOVIMIENTOS!$D$5:$D$1005="sacos")*(MOVIMIENTOS!$A$5:$A$1005&lt;&gt;"")*(MOVIMIENTOS!$A$5:$A$1005&lt;=$A87)*MOVIMIENTOS!$E$5:$E$1005)+SUMPRODUCT((MOVIMIENTOS!$B$5:$B$1005="AJUSTE")*(MOVIMIENTOS!$C$5:$C$1005="Chancho")*(MOVIMIENTOS!$D$5:$D$1005="sacos")*(MOVIMIENTOS!$A$5:$A$1005&lt;&gt;"")*(MOVIMIENTOS!$A$5:$A$1005&lt;=$A87)*MOVIMIENTOS!$E$5:$E$1005))</f>
        <v/>
      </c>
      <c r="G87" s="95" t="str">
        <f t="shared" si="3"/>
        <v/>
      </c>
      <c r="H87" s="63" t="str">
        <f>IF($A87="","",SUMPRODUCT((((MOVIMIENTOS!$B$5:$B$1005="SALDO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87)*MOVIMIENTOS!$J$5:$J$1005))</f>
        <v/>
      </c>
      <c r="I87" s="63"/>
      <c r="J87" s="63" t="str">
        <f>IF(AND(MOVIMIENTOS!$A87&lt;&gt;"",COUNTIF(MOVIMIENTOS!$A$5:$A86,MOVIMIENTOS!$A87)=0),COUNT(J$4:J86)+1,"")</f>
        <v/>
      </c>
      <c r="K87" s="66">
        <f>MOVIMIENTOS!$A87</f>
        <v>46222</v>
      </c>
      <c r="L87" s="63"/>
      <c r="M87" s="63"/>
      <c r="N87" s="63"/>
    </row>
    <row r="88" spans="1:14" ht="15" customHeight="1" x14ac:dyDescent="0.2">
      <c r="A88" s="63" t="str">
        <f t="shared" si="2"/>
        <v/>
      </c>
      <c r="B88" s="63" t="str">
        <f>IF($A88="","",SUMPRODUCT((MOVIMIENTOS!$B$5:$B$1005="SALDO INICIAL")*(MOVIMIENTOS!$C$5:$C$1005="A")*(MOVIMIENTOS!$D$5:$D$1005="jabas")*(MOVIMIENTOS!$A$5:$A$1005&lt;&gt;"")*(MOVIMIENTOS!$A$5:$A$1005&lt;=$A88)*MOVIMIENTOS!$E$5:$E$1005)+SUMPRODUCT((MOVIMIENTOS!$B$5:$B$1005="PROCESO")*(MOVIMIENTOS!$C$5:$C$1005="A")*(MOVIMIENTOS!$D$5:$D$1005="jabas")*(MOVIMIENTOS!$A$5:$A$1005&lt;&gt;"")*(MOVIMIENTOS!$A$5:$A$1005&lt;=$A88)*MOVIMIENTOS!$E$5:$E$1005)-SUMPRODUCT((MOVIMIENTOS!$B$5:$B$1005="ENVÍO A SUPESA")*(MOVIMIENTOS!$C$5:$C$1005="A")*(MOVIMIENTOS!$D$5:$D$1005="jabas")*(MOVIMIENTOS!$A$5:$A$1005&lt;&gt;"")*(MOVIMIENTOS!$A$5:$A$1005&lt;=$A88)*MOVIMIENTOS!$E$5:$E$1005)+SUMPRODUCT((MOVIMIENTOS!$B$5:$B$1005="DEVOLUCIÓN")*(MOVIMIENTOS!$C$5:$C$1005="A")*(MOVIMIENTOS!$D$5:$D$1005="jabas")*(MOVIMIENTOS!$A$5:$A$1005&lt;&gt;"")*(MOVIMIENTOS!$A$5:$A$1005&lt;=$A88)*MOVIMIENTOS!$E$5:$E$1005)-SUMPRODUCT((MOVIMIENTOS!$B$5:$B$1005="TRASIEGO")*(MOVIMIENTOS!$C$5:$C$1005="A")*(MOVIMIENTOS!$D$5:$D$1005="jabas")*(MOVIMIENTOS!$A$5:$A$1005&lt;&gt;"")*(MOVIMIENTOS!$A$5:$A$1005&lt;=$A88)*MOVIMIENTOS!$E$5:$E$1005)-SUMPRODUCT((MOVIMIENTOS!$B$5:$B$1005="REGALO")*(MOVIMIENTOS!$C$5:$C$1005="A")*(MOVIMIENTOS!$D$5:$D$1005="jabas")*(MOVIMIENTOS!$A$5:$A$1005&lt;&gt;"")*(MOVIMIENTOS!$A$5:$A$1005&lt;=$A88)*MOVIMIENTOS!$E$5:$E$1005)-SUMPRODUCT((MOVIMIENTOS!$B$5:$B$1005="VENTA")*(MOVIMIENTOS!$C$5:$C$1005="A")*(MOVIMIENTOS!$D$5:$D$1005="jabas")*(MOVIMIENTOS!$A$5:$A$1005&lt;&gt;"")*(MOVIMIENTOS!$A$5:$A$1005&lt;=$A88)*MOVIMIENTOS!$E$5:$E$1005)+SUMPRODUCT((MOVIMIENTOS!$B$5:$B$1005="AJUSTE")*(MOVIMIENTOS!$C$5:$C$1005="A")*(MOVIMIENTOS!$D$5:$D$1005="jabas")*(MOVIMIENTOS!$A$5:$A$1005&lt;&gt;"")*(MOVIMIENTOS!$A$5:$A$1005&lt;=$A88)*MOVIMIENTOS!$E$5:$E$1005))</f>
        <v/>
      </c>
      <c r="C88" s="63" t="str">
        <f>IF($A88="","",SUMPRODUCT((MOVIMIENTOS!$B$5:$B$1005="SALDO INICIAL")*(MOVIMIENTOS!$C$5:$C$1005="P")*(MOVIMIENTOS!$D$5:$D$1005="jabas")*(MOVIMIENTOS!$A$5:$A$1005&lt;&gt;"")*(MOVIMIENTOS!$A$5:$A$1005&lt;=$A88)*MOVIMIENTOS!$E$5:$E$1005)+SUMPRODUCT((MOVIMIENTOS!$B$5:$B$1005="PROCESO")*(MOVIMIENTOS!$C$5:$C$1005="P")*(MOVIMIENTOS!$D$5:$D$1005="jabas")*(MOVIMIENTOS!$A$5:$A$1005&lt;&gt;"")*(MOVIMIENTOS!$A$5:$A$1005&lt;=$A88)*MOVIMIENTOS!$E$5:$E$1005)-SUMPRODUCT((MOVIMIENTOS!$B$5:$B$1005="ENVÍO A SUPESA")*(MOVIMIENTOS!$C$5:$C$1005="P")*(MOVIMIENTOS!$D$5:$D$1005="jabas")*(MOVIMIENTOS!$A$5:$A$1005&lt;&gt;"")*(MOVIMIENTOS!$A$5:$A$1005&lt;=$A88)*MOVIMIENTOS!$E$5:$E$1005)+SUMPRODUCT((MOVIMIENTOS!$B$5:$B$1005="DEVOLUCIÓN")*(MOVIMIENTOS!$C$5:$C$1005="P")*(MOVIMIENTOS!$D$5:$D$1005="jabas")*(MOVIMIENTOS!$A$5:$A$1005&lt;&gt;"")*(MOVIMIENTOS!$A$5:$A$1005&lt;=$A88)*MOVIMIENTOS!$E$5:$E$1005)-SUMPRODUCT((MOVIMIENTOS!$B$5:$B$1005="TRASIEGO")*(MOVIMIENTOS!$C$5:$C$1005="P")*(MOVIMIENTOS!$D$5:$D$1005="jabas")*(MOVIMIENTOS!$A$5:$A$1005&lt;&gt;"")*(MOVIMIENTOS!$A$5:$A$1005&lt;=$A88)*MOVIMIENTOS!$E$5:$E$1005)-SUMPRODUCT((MOVIMIENTOS!$B$5:$B$1005="REGALO")*(MOVIMIENTOS!$C$5:$C$1005="P")*(MOVIMIENTOS!$D$5:$D$1005="jabas")*(MOVIMIENTOS!$A$5:$A$1005&lt;&gt;"")*(MOVIMIENTOS!$A$5:$A$1005&lt;=$A88)*MOVIMIENTOS!$E$5:$E$1005)-SUMPRODUCT((MOVIMIENTOS!$B$5:$B$1005="VENTA")*(MOVIMIENTOS!$C$5:$C$1005="P")*(MOVIMIENTOS!$D$5:$D$1005="jabas")*(MOVIMIENTOS!$A$5:$A$1005&lt;&gt;"")*(MOVIMIENTOS!$A$5:$A$1005&lt;=$A88)*MOVIMIENTOS!$E$5:$E$1005)+SUMPRODUCT((MOVIMIENTOS!$B$5:$B$1005="AJUSTE")*(MOVIMIENTOS!$C$5:$C$1005="P")*(MOVIMIENTOS!$D$5:$D$1005="jabas")*(MOVIMIENTOS!$A$5:$A$1005&lt;&gt;"")*(MOVIMIENTOS!$A$5:$A$1005&lt;=$A88)*MOVIMIENTOS!$E$5:$E$1005))</f>
        <v/>
      </c>
      <c r="D88" s="63" t="str">
        <f>IF($A88="","",SUMPRODUCT((MOVIMIENTOS!$B$5:$B$1005="SALDO INICIAL")*(MOVIMIENTOS!$C$5:$C$1005="C")*(MOVIMIENTOS!$D$5:$D$1005="jabas")*(MOVIMIENTOS!$A$5:$A$1005&lt;&gt;"")*(MOVIMIENTOS!$A$5:$A$1005&lt;=$A88)*MOVIMIENTOS!$E$5:$E$1005)+SUMPRODUCT((MOVIMIENTOS!$B$5:$B$1005="PROCESO")*(MOVIMIENTOS!$C$5:$C$1005="C")*(MOVIMIENTOS!$D$5:$D$1005="jabas")*(MOVIMIENTOS!$A$5:$A$1005&lt;&gt;"")*(MOVIMIENTOS!$A$5:$A$1005&lt;=$A88)*MOVIMIENTOS!$E$5:$E$1005)-SUMPRODUCT((MOVIMIENTOS!$B$5:$B$1005="ENVÍO A SUPESA")*(MOVIMIENTOS!$C$5:$C$1005="C")*(MOVIMIENTOS!$D$5:$D$1005="jabas")*(MOVIMIENTOS!$A$5:$A$1005&lt;&gt;"")*(MOVIMIENTOS!$A$5:$A$1005&lt;=$A88)*MOVIMIENTOS!$E$5:$E$1005)+SUMPRODUCT((MOVIMIENTOS!$B$5:$B$1005="DEVOLUCIÓN")*(MOVIMIENTOS!$C$5:$C$1005="C")*(MOVIMIENTOS!$D$5:$D$1005="jabas")*(MOVIMIENTOS!$A$5:$A$1005&lt;&gt;"")*(MOVIMIENTOS!$A$5:$A$1005&lt;=$A88)*MOVIMIENTOS!$E$5:$E$1005)-SUMPRODUCT((MOVIMIENTOS!$B$5:$B$1005="TRASIEGO")*(MOVIMIENTOS!$C$5:$C$1005="C")*(MOVIMIENTOS!$D$5:$D$1005="jabas")*(MOVIMIENTOS!$A$5:$A$1005&lt;&gt;"")*(MOVIMIENTOS!$A$5:$A$1005&lt;=$A88)*MOVIMIENTOS!$E$5:$E$1005)-SUMPRODUCT((MOVIMIENTOS!$B$5:$B$1005="REGALO")*(MOVIMIENTOS!$C$5:$C$1005="C")*(MOVIMIENTOS!$D$5:$D$1005="jabas")*(MOVIMIENTOS!$A$5:$A$1005&lt;&gt;"")*(MOVIMIENTOS!$A$5:$A$1005&lt;=$A88)*MOVIMIENTOS!$E$5:$E$1005)-SUMPRODUCT((MOVIMIENTOS!$B$5:$B$1005="VENTA")*(MOVIMIENTOS!$C$5:$C$1005="C")*(MOVIMIENTOS!$D$5:$D$1005="jabas")*(MOVIMIENTOS!$A$5:$A$1005&lt;&gt;"")*(MOVIMIENTOS!$A$5:$A$1005&lt;=$A88)*MOVIMIENTOS!$E$5:$E$1005)+SUMPRODUCT((MOVIMIENTOS!$B$5:$B$1005="AJUSTE")*(MOVIMIENTOS!$C$5:$C$1005="C")*(MOVIMIENTOS!$D$5:$D$1005="jabas")*(MOVIMIENTOS!$A$5:$A$1005&lt;&gt;"")*(MOVIMIENTOS!$A$5:$A$1005&lt;=$A88)*MOVIMIENTOS!$E$5:$E$1005))</f>
        <v/>
      </c>
      <c r="E88" s="63" t="str">
        <f>IF($A88="","",SUMPRODUCT((MOVIMIENTOS!$B$5:$B$1005="SALDO INICIAL")*(MOVIMIENTOS!$C$5:$C$1005="M")*(MOVIMIENTOS!$D$5:$D$1005="jabas")*(MOVIMIENTOS!$A$5:$A$1005&lt;&gt;"")*(MOVIMIENTOS!$A$5:$A$1005&lt;=$A88)*MOVIMIENTOS!$E$5:$E$1005)+SUMPRODUCT((MOVIMIENTOS!$B$5:$B$1005="PROCESO")*(MOVIMIENTOS!$C$5:$C$1005="M")*(MOVIMIENTOS!$D$5:$D$1005="jabas")*(MOVIMIENTOS!$A$5:$A$1005&lt;&gt;"")*(MOVIMIENTOS!$A$5:$A$1005&lt;=$A88)*MOVIMIENTOS!$E$5:$E$1005)-SUMPRODUCT((MOVIMIENTOS!$B$5:$B$1005="ENVÍO A SUPESA")*(MOVIMIENTOS!$C$5:$C$1005="M")*(MOVIMIENTOS!$D$5:$D$1005="jabas")*(MOVIMIENTOS!$A$5:$A$1005&lt;&gt;"")*(MOVIMIENTOS!$A$5:$A$1005&lt;=$A88)*MOVIMIENTOS!$E$5:$E$1005)+SUMPRODUCT((MOVIMIENTOS!$B$5:$B$1005="DEVOLUCIÓN")*(MOVIMIENTOS!$C$5:$C$1005="M")*(MOVIMIENTOS!$D$5:$D$1005="jabas")*(MOVIMIENTOS!$A$5:$A$1005&lt;&gt;"")*(MOVIMIENTOS!$A$5:$A$1005&lt;=$A88)*MOVIMIENTOS!$E$5:$E$1005)-SUMPRODUCT((MOVIMIENTOS!$B$5:$B$1005="TRASIEGO")*(MOVIMIENTOS!$C$5:$C$1005="M")*(MOVIMIENTOS!$D$5:$D$1005="jabas")*(MOVIMIENTOS!$A$5:$A$1005&lt;&gt;"")*(MOVIMIENTOS!$A$5:$A$1005&lt;=$A88)*MOVIMIENTOS!$E$5:$E$1005)-SUMPRODUCT((MOVIMIENTOS!$B$5:$B$1005="REGALO")*(MOVIMIENTOS!$C$5:$C$1005="M")*(MOVIMIENTOS!$D$5:$D$1005="jabas")*(MOVIMIENTOS!$A$5:$A$1005&lt;&gt;"")*(MOVIMIENTOS!$A$5:$A$1005&lt;=$A88)*MOVIMIENTOS!$E$5:$E$1005)-SUMPRODUCT((MOVIMIENTOS!$B$5:$B$1005="VENTA")*(MOVIMIENTOS!$C$5:$C$1005="M")*(MOVIMIENTOS!$D$5:$D$1005="jabas")*(MOVIMIENTOS!$A$5:$A$1005&lt;&gt;"")*(MOVIMIENTOS!$A$5:$A$1005&lt;=$A88)*MOVIMIENTOS!$E$5:$E$1005)+SUMPRODUCT((MOVIMIENTOS!$B$5:$B$1005="AJUSTE")*(MOVIMIENTOS!$C$5:$C$1005="M")*(MOVIMIENTOS!$D$5:$D$1005="jabas")*(MOVIMIENTOS!$A$5:$A$1005&lt;&gt;"")*(MOVIMIENTOS!$A$5:$A$1005&lt;=$A88)*MOVIMIENTOS!$E$5:$E$1005))</f>
        <v/>
      </c>
      <c r="F88" s="63" t="str">
        <f>IF($A88="","",SUMPRODUCT((MOVIMIENTOS!$B$5:$B$1005="SALDO INICIAL")*(MOVIMIENTOS!$C$5:$C$1005="Chancho")*(MOVIMIENTOS!$D$5:$D$1005="sacos")*(MOVIMIENTOS!$A$5:$A$1005&lt;&gt;"")*(MOVIMIENTOS!$A$5:$A$1005&lt;=$A88)*MOVIMIENTOS!$E$5:$E$1005)+SUMPRODUCT((MOVIMIENTOS!$B$5:$B$1005="PROCESO")*(MOVIMIENTOS!$C$5:$C$1005="Chancho")*(MOVIMIENTOS!$D$5:$D$1005="sacos")*(MOVIMIENTOS!$A$5:$A$1005&lt;&gt;"")*(MOVIMIENTOS!$A$5:$A$1005&lt;=$A88)*MOVIMIENTOS!$E$5:$E$1005)-SUMPRODUCT((MOVIMIENTOS!$B$5:$B$1005="VENTA CHANCHO")*(MOVIMIENTOS!$C$5:$C$1005="Chancho")*(MOVIMIENTOS!$D$5:$D$1005="sacos")*(MOVIMIENTOS!$A$5:$A$1005&lt;&gt;"")*(MOVIMIENTOS!$A$5:$A$1005&lt;=$A88)*MOVIMIENTOS!$E$5:$E$1005)-SUMPRODUCT((MOVIMIENTOS!$B$5:$B$1005="REGALO")*(MOVIMIENTOS!$C$5:$C$1005="Chancho")*(MOVIMIENTOS!$D$5:$D$1005="sacos")*(MOVIMIENTOS!$A$5:$A$1005&lt;&gt;"")*(MOVIMIENTOS!$A$5:$A$1005&lt;=$A88)*MOVIMIENTOS!$E$5:$E$1005)-SUMPRODUCT((MOVIMIENTOS!$B$5:$B$1005="VENTA")*(MOVIMIENTOS!$C$5:$C$1005="Chancho")*(MOVIMIENTOS!$D$5:$D$1005="sacos")*(MOVIMIENTOS!$A$5:$A$1005&lt;&gt;"")*(MOVIMIENTOS!$A$5:$A$1005&lt;=$A88)*MOVIMIENTOS!$E$5:$E$1005)+SUMPRODUCT((MOVIMIENTOS!$B$5:$B$1005="AJUSTE")*(MOVIMIENTOS!$C$5:$C$1005="Chancho")*(MOVIMIENTOS!$D$5:$D$1005="sacos")*(MOVIMIENTOS!$A$5:$A$1005&lt;&gt;"")*(MOVIMIENTOS!$A$5:$A$1005&lt;=$A88)*MOVIMIENTOS!$E$5:$E$1005))</f>
        <v/>
      </c>
      <c r="G88" s="95" t="str">
        <f t="shared" si="3"/>
        <v/>
      </c>
      <c r="H88" s="63" t="str">
        <f>IF($A88="","",SUMPRODUCT((((MOVIMIENTOS!$B$5:$B$1005="SALDO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88)*MOVIMIENTOS!$J$5:$J$1005))</f>
        <v/>
      </c>
      <c r="I88" s="63"/>
      <c r="J88" s="63" t="str">
        <f>IF(AND(MOVIMIENTOS!$A88&lt;&gt;"",COUNTIF(MOVIMIENTOS!$A$5:$A87,MOVIMIENTOS!$A88)=0),COUNT(J$4:J87)+1,"")</f>
        <v/>
      </c>
      <c r="K88" s="66">
        <f>MOVIMIENTOS!$A88</f>
        <v>46222</v>
      </c>
      <c r="L88" s="63"/>
      <c r="M88" s="63"/>
      <c r="N88" s="63"/>
    </row>
    <row r="89" spans="1:14" ht="15" customHeight="1" x14ac:dyDescent="0.2">
      <c r="A89" s="63" t="str">
        <f t="shared" si="2"/>
        <v/>
      </c>
      <c r="B89" s="63" t="str">
        <f>IF($A89="","",SUMPRODUCT((MOVIMIENTOS!$B$5:$B$1005="SALDO INICIAL")*(MOVIMIENTOS!$C$5:$C$1005="A")*(MOVIMIENTOS!$D$5:$D$1005="jabas")*(MOVIMIENTOS!$A$5:$A$1005&lt;&gt;"")*(MOVIMIENTOS!$A$5:$A$1005&lt;=$A89)*MOVIMIENTOS!$E$5:$E$1005)+SUMPRODUCT((MOVIMIENTOS!$B$5:$B$1005="PROCESO")*(MOVIMIENTOS!$C$5:$C$1005="A")*(MOVIMIENTOS!$D$5:$D$1005="jabas")*(MOVIMIENTOS!$A$5:$A$1005&lt;&gt;"")*(MOVIMIENTOS!$A$5:$A$1005&lt;=$A89)*MOVIMIENTOS!$E$5:$E$1005)-SUMPRODUCT((MOVIMIENTOS!$B$5:$B$1005="ENVÍO A SUPESA")*(MOVIMIENTOS!$C$5:$C$1005="A")*(MOVIMIENTOS!$D$5:$D$1005="jabas")*(MOVIMIENTOS!$A$5:$A$1005&lt;&gt;"")*(MOVIMIENTOS!$A$5:$A$1005&lt;=$A89)*MOVIMIENTOS!$E$5:$E$1005)+SUMPRODUCT((MOVIMIENTOS!$B$5:$B$1005="DEVOLUCIÓN")*(MOVIMIENTOS!$C$5:$C$1005="A")*(MOVIMIENTOS!$D$5:$D$1005="jabas")*(MOVIMIENTOS!$A$5:$A$1005&lt;&gt;"")*(MOVIMIENTOS!$A$5:$A$1005&lt;=$A89)*MOVIMIENTOS!$E$5:$E$1005)-SUMPRODUCT((MOVIMIENTOS!$B$5:$B$1005="TRASIEGO")*(MOVIMIENTOS!$C$5:$C$1005="A")*(MOVIMIENTOS!$D$5:$D$1005="jabas")*(MOVIMIENTOS!$A$5:$A$1005&lt;&gt;"")*(MOVIMIENTOS!$A$5:$A$1005&lt;=$A89)*MOVIMIENTOS!$E$5:$E$1005)-SUMPRODUCT((MOVIMIENTOS!$B$5:$B$1005="REGALO")*(MOVIMIENTOS!$C$5:$C$1005="A")*(MOVIMIENTOS!$D$5:$D$1005="jabas")*(MOVIMIENTOS!$A$5:$A$1005&lt;&gt;"")*(MOVIMIENTOS!$A$5:$A$1005&lt;=$A89)*MOVIMIENTOS!$E$5:$E$1005)-SUMPRODUCT((MOVIMIENTOS!$B$5:$B$1005="VENTA")*(MOVIMIENTOS!$C$5:$C$1005="A")*(MOVIMIENTOS!$D$5:$D$1005="jabas")*(MOVIMIENTOS!$A$5:$A$1005&lt;&gt;"")*(MOVIMIENTOS!$A$5:$A$1005&lt;=$A89)*MOVIMIENTOS!$E$5:$E$1005)+SUMPRODUCT((MOVIMIENTOS!$B$5:$B$1005="AJUSTE")*(MOVIMIENTOS!$C$5:$C$1005="A")*(MOVIMIENTOS!$D$5:$D$1005="jabas")*(MOVIMIENTOS!$A$5:$A$1005&lt;&gt;"")*(MOVIMIENTOS!$A$5:$A$1005&lt;=$A89)*MOVIMIENTOS!$E$5:$E$1005))</f>
        <v/>
      </c>
      <c r="C89" s="63" t="str">
        <f>IF($A89="","",SUMPRODUCT((MOVIMIENTOS!$B$5:$B$1005="SALDO INICIAL")*(MOVIMIENTOS!$C$5:$C$1005="P")*(MOVIMIENTOS!$D$5:$D$1005="jabas")*(MOVIMIENTOS!$A$5:$A$1005&lt;&gt;"")*(MOVIMIENTOS!$A$5:$A$1005&lt;=$A89)*MOVIMIENTOS!$E$5:$E$1005)+SUMPRODUCT((MOVIMIENTOS!$B$5:$B$1005="PROCESO")*(MOVIMIENTOS!$C$5:$C$1005="P")*(MOVIMIENTOS!$D$5:$D$1005="jabas")*(MOVIMIENTOS!$A$5:$A$1005&lt;&gt;"")*(MOVIMIENTOS!$A$5:$A$1005&lt;=$A89)*MOVIMIENTOS!$E$5:$E$1005)-SUMPRODUCT((MOVIMIENTOS!$B$5:$B$1005="ENVÍO A SUPESA")*(MOVIMIENTOS!$C$5:$C$1005="P")*(MOVIMIENTOS!$D$5:$D$1005="jabas")*(MOVIMIENTOS!$A$5:$A$1005&lt;&gt;"")*(MOVIMIENTOS!$A$5:$A$1005&lt;=$A89)*MOVIMIENTOS!$E$5:$E$1005)+SUMPRODUCT((MOVIMIENTOS!$B$5:$B$1005="DEVOLUCIÓN")*(MOVIMIENTOS!$C$5:$C$1005="P")*(MOVIMIENTOS!$D$5:$D$1005="jabas")*(MOVIMIENTOS!$A$5:$A$1005&lt;&gt;"")*(MOVIMIENTOS!$A$5:$A$1005&lt;=$A89)*MOVIMIENTOS!$E$5:$E$1005)-SUMPRODUCT((MOVIMIENTOS!$B$5:$B$1005="TRASIEGO")*(MOVIMIENTOS!$C$5:$C$1005="P")*(MOVIMIENTOS!$D$5:$D$1005="jabas")*(MOVIMIENTOS!$A$5:$A$1005&lt;&gt;"")*(MOVIMIENTOS!$A$5:$A$1005&lt;=$A89)*MOVIMIENTOS!$E$5:$E$1005)-SUMPRODUCT((MOVIMIENTOS!$B$5:$B$1005="REGALO")*(MOVIMIENTOS!$C$5:$C$1005="P")*(MOVIMIENTOS!$D$5:$D$1005="jabas")*(MOVIMIENTOS!$A$5:$A$1005&lt;&gt;"")*(MOVIMIENTOS!$A$5:$A$1005&lt;=$A89)*MOVIMIENTOS!$E$5:$E$1005)-SUMPRODUCT((MOVIMIENTOS!$B$5:$B$1005="VENTA")*(MOVIMIENTOS!$C$5:$C$1005="P")*(MOVIMIENTOS!$D$5:$D$1005="jabas")*(MOVIMIENTOS!$A$5:$A$1005&lt;&gt;"")*(MOVIMIENTOS!$A$5:$A$1005&lt;=$A89)*MOVIMIENTOS!$E$5:$E$1005)+SUMPRODUCT((MOVIMIENTOS!$B$5:$B$1005="AJUSTE")*(MOVIMIENTOS!$C$5:$C$1005="P")*(MOVIMIENTOS!$D$5:$D$1005="jabas")*(MOVIMIENTOS!$A$5:$A$1005&lt;&gt;"")*(MOVIMIENTOS!$A$5:$A$1005&lt;=$A89)*MOVIMIENTOS!$E$5:$E$1005))</f>
        <v/>
      </c>
      <c r="D89" s="63" t="str">
        <f>IF($A89="","",SUMPRODUCT((MOVIMIENTOS!$B$5:$B$1005="SALDO INICIAL")*(MOVIMIENTOS!$C$5:$C$1005="C")*(MOVIMIENTOS!$D$5:$D$1005="jabas")*(MOVIMIENTOS!$A$5:$A$1005&lt;&gt;"")*(MOVIMIENTOS!$A$5:$A$1005&lt;=$A89)*MOVIMIENTOS!$E$5:$E$1005)+SUMPRODUCT((MOVIMIENTOS!$B$5:$B$1005="PROCESO")*(MOVIMIENTOS!$C$5:$C$1005="C")*(MOVIMIENTOS!$D$5:$D$1005="jabas")*(MOVIMIENTOS!$A$5:$A$1005&lt;&gt;"")*(MOVIMIENTOS!$A$5:$A$1005&lt;=$A89)*MOVIMIENTOS!$E$5:$E$1005)-SUMPRODUCT((MOVIMIENTOS!$B$5:$B$1005="ENVÍO A SUPESA")*(MOVIMIENTOS!$C$5:$C$1005="C")*(MOVIMIENTOS!$D$5:$D$1005="jabas")*(MOVIMIENTOS!$A$5:$A$1005&lt;&gt;"")*(MOVIMIENTOS!$A$5:$A$1005&lt;=$A89)*MOVIMIENTOS!$E$5:$E$1005)+SUMPRODUCT((MOVIMIENTOS!$B$5:$B$1005="DEVOLUCIÓN")*(MOVIMIENTOS!$C$5:$C$1005="C")*(MOVIMIENTOS!$D$5:$D$1005="jabas")*(MOVIMIENTOS!$A$5:$A$1005&lt;&gt;"")*(MOVIMIENTOS!$A$5:$A$1005&lt;=$A89)*MOVIMIENTOS!$E$5:$E$1005)-SUMPRODUCT((MOVIMIENTOS!$B$5:$B$1005="TRASIEGO")*(MOVIMIENTOS!$C$5:$C$1005="C")*(MOVIMIENTOS!$D$5:$D$1005="jabas")*(MOVIMIENTOS!$A$5:$A$1005&lt;&gt;"")*(MOVIMIENTOS!$A$5:$A$1005&lt;=$A89)*MOVIMIENTOS!$E$5:$E$1005)-SUMPRODUCT((MOVIMIENTOS!$B$5:$B$1005="REGALO")*(MOVIMIENTOS!$C$5:$C$1005="C")*(MOVIMIENTOS!$D$5:$D$1005="jabas")*(MOVIMIENTOS!$A$5:$A$1005&lt;&gt;"")*(MOVIMIENTOS!$A$5:$A$1005&lt;=$A89)*MOVIMIENTOS!$E$5:$E$1005)-SUMPRODUCT((MOVIMIENTOS!$B$5:$B$1005="VENTA")*(MOVIMIENTOS!$C$5:$C$1005="C")*(MOVIMIENTOS!$D$5:$D$1005="jabas")*(MOVIMIENTOS!$A$5:$A$1005&lt;&gt;"")*(MOVIMIENTOS!$A$5:$A$1005&lt;=$A89)*MOVIMIENTOS!$E$5:$E$1005)+SUMPRODUCT((MOVIMIENTOS!$B$5:$B$1005="AJUSTE")*(MOVIMIENTOS!$C$5:$C$1005="C")*(MOVIMIENTOS!$D$5:$D$1005="jabas")*(MOVIMIENTOS!$A$5:$A$1005&lt;&gt;"")*(MOVIMIENTOS!$A$5:$A$1005&lt;=$A89)*MOVIMIENTOS!$E$5:$E$1005))</f>
        <v/>
      </c>
      <c r="E89" s="63" t="str">
        <f>IF($A89="","",SUMPRODUCT((MOVIMIENTOS!$B$5:$B$1005="SALDO INICIAL")*(MOVIMIENTOS!$C$5:$C$1005="M")*(MOVIMIENTOS!$D$5:$D$1005="jabas")*(MOVIMIENTOS!$A$5:$A$1005&lt;&gt;"")*(MOVIMIENTOS!$A$5:$A$1005&lt;=$A89)*MOVIMIENTOS!$E$5:$E$1005)+SUMPRODUCT((MOVIMIENTOS!$B$5:$B$1005="PROCESO")*(MOVIMIENTOS!$C$5:$C$1005="M")*(MOVIMIENTOS!$D$5:$D$1005="jabas")*(MOVIMIENTOS!$A$5:$A$1005&lt;&gt;"")*(MOVIMIENTOS!$A$5:$A$1005&lt;=$A89)*MOVIMIENTOS!$E$5:$E$1005)-SUMPRODUCT((MOVIMIENTOS!$B$5:$B$1005="ENVÍO A SUPESA")*(MOVIMIENTOS!$C$5:$C$1005="M")*(MOVIMIENTOS!$D$5:$D$1005="jabas")*(MOVIMIENTOS!$A$5:$A$1005&lt;&gt;"")*(MOVIMIENTOS!$A$5:$A$1005&lt;=$A89)*MOVIMIENTOS!$E$5:$E$1005)+SUMPRODUCT((MOVIMIENTOS!$B$5:$B$1005="DEVOLUCIÓN")*(MOVIMIENTOS!$C$5:$C$1005="M")*(MOVIMIENTOS!$D$5:$D$1005="jabas")*(MOVIMIENTOS!$A$5:$A$1005&lt;&gt;"")*(MOVIMIENTOS!$A$5:$A$1005&lt;=$A89)*MOVIMIENTOS!$E$5:$E$1005)-SUMPRODUCT((MOVIMIENTOS!$B$5:$B$1005="TRASIEGO")*(MOVIMIENTOS!$C$5:$C$1005="M")*(MOVIMIENTOS!$D$5:$D$1005="jabas")*(MOVIMIENTOS!$A$5:$A$1005&lt;&gt;"")*(MOVIMIENTOS!$A$5:$A$1005&lt;=$A89)*MOVIMIENTOS!$E$5:$E$1005)-SUMPRODUCT((MOVIMIENTOS!$B$5:$B$1005="REGALO")*(MOVIMIENTOS!$C$5:$C$1005="M")*(MOVIMIENTOS!$D$5:$D$1005="jabas")*(MOVIMIENTOS!$A$5:$A$1005&lt;&gt;"")*(MOVIMIENTOS!$A$5:$A$1005&lt;=$A89)*MOVIMIENTOS!$E$5:$E$1005)-SUMPRODUCT((MOVIMIENTOS!$B$5:$B$1005="VENTA")*(MOVIMIENTOS!$C$5:$C$1005="M")*(MOVIMIENTOS!$D$5:$D$1005="jabas")*(MOVIMIENTOS!$A$5:$A$1005&lt;&gt;"")*(MOVIMIENTOS!$A$5:$A$1005&lt;=$A89)*MOVIMIENTOS!$E$5:$E$1005)+SUMPRODUCT((MOVIMIENTOS!$B$5:$B$1005="AJUSTE")*(MOVIMIENTOS!$C$5:$C$1005="M")*(MOVIMIENTOS!$D$5:$D$1005="jabas")*(MOVIMIENTOS!$A$5:$A$1005&lt;&gt;"")*(MOVIMIENTOS!$A$5:$A$1005&lt;=$A89)*MOVIMIENTOS!$E$5:$E$1005))</f>
        <v/>
      </c>
      <c r="F89" s="63" t="str">
        <f>IF($A89="","",SUMPRODUCT((MOVIMIENTOS!$B$5:$B$1005="SALDO INICIAL")*(MOVIMIENTOS!$C$5:$C$1005="Chancho")*(MOVIMIENTOS!$D$5:$D$1005="sacos")*(MOVIMIENTOS!$A$5:$A$1005&lt;&gt;"")*(MOVIMIENTOS!$A$5:$A$1005&lt;=$A89)*MOVIMIENTOS!$E$5:$E$1005)+SUMPRODUCT((MOVIMIENTOS!$B$5:$B$1005="PROCESO")*(MOVIMIENTOS!$C$5:$C$1005="Chancho")*(MOVIMIENTOS!$D$5:$D$1005="sacos")*(MOVIMIENTOS!$A$5:$A$1005&lt;&gt;"")*(MOVIMIENTOS!$A$5:$A$1005&lt;=$A89)*MOVIMIENTOS!$E$5:$E$1005)-SUMPRODUCT((MOVIMIENTOS!$B$5:$B$1005="VENTA CHANCHO")*(MOVIMIENTOS!$C$5:$C$1005="Chancho")*(MOVIMIENTOS!$D$5:$D$1005="sacos")*(MOVIMIENTOS!$A$5:$A$1005&lt;&gt;"")*(MOVIMIENTOS!$A$5:$A$1005&lt;=$A89)*MOVIMIENTOS!$E$5:$E$1005)-SUMPRODUCT((MOVIMIENTOS!$B$5:$B$1005="REGALO")*(MOVIMIENTOS!$C$5:$C$1005="Chancho")*(MOVIMIENTOS!$D$5:$D$1005="sacos")*(MOVIMIENTOS!$A$5:$A$1005&lt;&gt;"")*(MOVIMIENTOS!$A$5:$A$1005&lt;=$A89)*MOVIMIENTOS!$E$5:$E$1005)-SUMPRODUCT((MOVIMIENTOS!$B$5:$B$1005="VENTA")*(MOVIMIENTOS!$C$5:$C$1005="Chancho")*(MOVIMIENTOS!$D$5:$D$1005="sacos")*(MOVIMIENTOS!$A$5:$A$1005&lt;&gt;"")*(MOVIMIENTOS!$A$5:$A$1005&lt;=$A89)*MOVIMIENTOS!$E$5:$E$1005)+SUMPRODUCT((MOVIMIENTOS!$B$5:$B$1005="AJUSTE")*(MOVIMIENTOS!$C$5:$C$1005="Chancho")*(MOVIMIENTOS!$D$5:$D$1005="sacos")*(MOVIMIENTOS!$A$5:$A$1005&lt;&gt;"")*(MOVIMIENTOS!$A$5:$A$1005&lt;=$A89)*MOVIMIENTOS!$E$5:$E$1005))</f>
        <v/>
      </c>
      <c r="G89" s="95" t="str">
        <f t="shared" si="3"/>
        <v/>
      </c>
      <c r="H89" s="63" t="str">
        <f>IF($A89="","",SUMPRODUCT((((MOVIMIENTOS!$B$5:$B$1005="SALDO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89)*MOVIMIENTOS!$J$5:$J$1005))</f>
        <v/>
      </c>
      <c r="I89" s="63"/>
      <c r="J89" s="63" t="str">
        <f>IF(AND(MOVIMIENTOS!$A89&lt;&gt;"",COUNTIF(MOVIMIENTOS!$A$5:$A88,MOVIMIENTOS!$A89)=0),COUNT(J$4:J88)+1,"")</f>
        <v/>
      </c>
      <c r="K89" s="66">
        <f>MOVIMIENTOS!$A89</f>
        <v>46222</v>
      </c>
      <c r="L89" s="63"/>
      <c r="M89" s="63"/>
      <c r="N89" s="63"/>
    </row>
    <row r="90" spans="1:14" ht="15" customHeight="1" x14ac:dyDescent="0.2">
      <c r="A90" s="63" t="str">
        <f t="shared" si="2"/>
        <v/>
      </c>
      <c r="B90" s="63" t="str">
        <f>IF($A90="","",SUMPRODUCT((MOVIMIENTOS!$B$5:$B$1005="SALDO INICIAL")*(MOVIMIENTOS!$C$5:$C$1005="A")*(MOVIMIENTOS!$D$5:$D$1005="jabas")*(MOVIMIENTOS!$A$5:$A$1005&lt;&gt;"")*(MOVIMIENTOS!$A$5:$A$1005&lt;=$A90)*MOVIMIENTOS!$E$5:$E$1005)+SUMPRODUCT((MOVIMIENTOS!$B$5:$B$1005="PROCESO")*(MOVIMIENTOS!$C$5:$C$1005="A")*(MOVIMIENTOS!$D$5:$D$1005="jabas")*(MOVIMIENTOS!$A$5:$A$1005&lt;&gt;"")*(MOVIMIENTOS!$A$5:$A$1005&lt;=$A90)*MOVIMIENTOS!$E$5:$E$1005)-SUMPRODUCT((MOVIMIENTOS!$B$5:$B$1005="ENVÍO A SUPESA")*(MOVIMIENTOS!$C$5:$C$1005="A")*(MOVIMIENTOS!$D$5:$D$1005="jabas")*(MOVIMIENTOS!$A$5:$A$1005&lt;&gt;"")*(MOVIMIENTOS!$A$5:$A$1005&lt;=$A90)*MOVIMIENTOS!$E$5:$E$1005)+SUMPRODUCT((MOVIMIENTOS!$B$5:$B$1005="DEVOLUCIÓN")*(MOVIMIENTOS!$C$5:$C$1005="A")*(MOVIMIENTOS!$D$5:$D$1005="jabas")*(MOVIMIENTOS!$A$5:$A$1005&lt;&gt;"")*(MOVIMIENTOS!$A$5:$A$1005&lt;=$A90)*MOVIMIENTOS!$E$5:$E$1005)-SUMPRODUCT((MOVIMIENTOS!$B$5:$B$1005="TRASIEGO")*(MOVIMIENTOS!$C$5:$C$1005="A")*(MOVIMIENTOS!$D$5:$D$1005="jabas")*(MOVIMIENTOS!$A$5:$A$1005&lt;&gt;"")*(MOVIMIENTOS!$A$5:$A$1005&lt;=$A90)*MOVIMIENTOS!$E$5:$E$1005)-SUMPRODUCT((MOVIMIENTOS!$B$5:$B$1005="REGALO")*(MOVIMIENTOS!$C$5:$C$1005="A")*(MOVIMIENTOS!$D$5:$D$1005="jabas")*(MOVIMIENTOS!$A$5:$A$1005&lt;&gt;"")*(MOVIMIENTOS!$A$5:$A$1005&lt;=$A90)*MOVIMIENTOS!$E$5:$E$1005)-SUMPRODUCT((MOVIMIENTOS!$B$5:$B$1005="VENTA")*(MOVIMIENTOS!$C$5:$C$1005="A")*(MOVIMIENTOS!$D$5:$D$1005="jabas")*(MOVIMIENTOS!$A$5:$A$1005&lt;&gt;"")*(MOVIMIENTOS!$A$5:$A$1005&lt;=$A90)*MOVIMIENTOS!$E$5:$E$1005)+SUMPRODUCT((MOVIMIENTOS!$B$5:$B$1005="AJUSTE")*(MOVIMIENTOS!$C$5:$C$1005="A")*(MOVIMIENTOS!$D$5:$D$1005="jabas")*(MOVIMIENTOS!$A$5:$A$1005&lt;&gt;"")*(MOVIMIENTOS!$A$5:$A$1005&lt;=$A90)*MOVIMIENTOS!$E$5:$E$1005))</f>
        <v/>
      </c>
      <c r="C90" s="63" t="str">
        <f>IF($A90="","",SUMPRODUCT((MOVIMIENTOS!$B$5:$B$1005="SALDO INICIAL")*(MOVIMIENTOS!$C$5:$C$1005="P")*(MOVIMIENTOS!$D$5:$D$1005="jabas")*(MOVIMIENTOS!$A$5:$A$1005&lt;&gt;"")*(MOVIMIENTOS!$A$5:$A$1005&lt;=$A90)*MOVIMIENTOS!$E$5:$E$1005)+SUMPRODUCT((MOVIMIENTOS!$B$5:$B$1005="PROCESO")*(MOVIMIENTOS!$C$5:$C$1005="P")*(MOVIMIENTOS!$D$5:$D$1005="jabas")*(MOVIMIENTOS!$A$5:$A$1005&lt;&gt;"")*(MOVIMIENTOS!$A$5:$A$1005&lt;=$A90)*MOVIMIENTOS!$E$5:$E$1005)-SUMPRODUCT((MOVIMIENTOS!$B$5:$B$1005="ENVÍO A SUPESA")*(MOVIMIENTOS!$C$5:$C$1005="P")*(MOVIMIENTOS!$D$5:$D$1005="jabas")*(MOVIMIENTOS!$A$5:$A$1005&lt;&gt;"")*(MOVIMIENTOS!$A$5:$A$1005&lt;=$A90)*MOVIMIENTOS!$E$5:$E$1005)+SUMPRODUCT((MOVIMIENTOS!$B$5:$B$1005="DEVOLUCIÓN")*(MOVIMIENTOS!$C$5:$C$1005="P")*(MOVIMIENTOS!$D$5:$D$1005="jabas")*(MOVIMIENTOS!$A$5:$A$1005&lt;&gt;"")*(MOVIMIENTOS!$A$5:$A$1005&lt;=$A90)*MOVIMIENTOS!$E$5:$E$1005)-SUMPRODUCT((MOVIMIENTOS!$B$5:$B$1005="TRASIEGO")*(MOVIMIENTOS!$C$5:$C$1005="P")*(MOVIMIENTOS!$D$5:$D$1005="jabas")*(MOVIMIENTOS!$A$5:$A$1005&lt;&gt;"")*(MOVIMIENTOS!$A$5:$A$1005&lt;=$A90)*MOVIMIENTOS!$E$5:$E$1005)-SUMPRODUCT((MOVIMIENTOS!$B$5:$B$1005="REGALO")*(MOVIMIENTOS!$C$5:$C$1005="P")*(MOVIMIENTOS!$D$5:$D$1005="jabas")*(MOVIMIENTOS!$A$5:$A$1005&lt;&gt;"")*(MOVIMIENTOS!$A$5:$A$1005&lt;=$A90)*MOVIMIENTOS!$E$5:$E$1005)-SUMPRODUCT((MOVIMIENTOS!$B$5:$B$1005="VENTA")*(MOVIMIENTOS!$C$5:$C$1005="P")*(MOVIMIENTOS!$D$5:$D$1005="jabas")*(MOVIMIENTOS!$A$5:$A$1005&lt;&gt;"")*(MOVIMIENTOS!$A$5:$A$1005&lt;=$A90)*MOVIMIENTOS!$E$5:$E$1005)+SUMPRODUCT((MOVIMIENTOS!$B$5:$B$1005="AJUSTE")*(MOVIMIENTOS!$C$5:$C$1005="P")*(MOVIMIENTOS!$D$5:$D$1005="jabas")*(MOVIMIENTOS!$A$5:$A$1005&lt;&gt;"")*(MOVIMIENTOS!$A$5:$A$1005&lt;=$A90)*MOVIMIENTOS!$E$5:$E$1005))</f>
        <v/>
      </c>
      <c r="D90" s="63" t="str">
        <f>IF($A90="","",SUMPRODUCT((MOVIMIENTOS!$B$5:$B$1005="SALDO INICIAL")*(MOVIMIENTOS!$C$5:$C$1005="C")*(MOVIMIENTOS!$D$5:$D$1005="jabas")*(MOVIMIENTOS!$A$5:$A$1005&lt;&gt;"")*(MOVIMIENTOS!$A$5:$A$1005&lt;=$A90)*MOVIMIENTOS!$E$5:$E$1005)+SUMPRODUCT((MOVIMIENTOS!$B$5:$B$1005="PROCESO")*(MOVIMIENTOS!$C$5:$C$1005="C")*(MOVIMIENTOS!$D$5:$D$1005="jabas")*(MOVIMIENTOS!$A$5:$A$1005&lt;&gt;"")*(MOVIMIENTOS!$A$5:$A$1005&lt;=$A90)*MOVIMIENTOS!$E$5:$E$1005)-SUMPRODUCT((MOVIMIENTOS!$B$5:$B$1005="ENVÍO A SUPESA")*(MOVIMIENTOS!$C$5:$C$1005="C")*(MOVIMIENTOS!$D$5:$D$1005="jabas")*(MOVIMIENTOS!$A$5:$A$1005&lt;&gt;"")*(MOVIMIENTOS!$A$5:$A$1005&lt;=$A90)*MOVIMIENTOS!$E$5:$E$1005)+SUMPRODUCT((MOVIMIENTOS!$B$5:$B$1005="DEVOLUCIÓN")*(MOVIMIENTOS!$C$5:$C$1005="C")*(MOVIMIENTOS!$D$5:$D$1005="jabas")*(MOVIMIENTOS!$A$5:$A$1005&lt;&gt;"")*(MOVIMIENTOS!$A$5:$A$1005&lt;=$A90)*MOVIMIENTOS!$E$5:$E$1005)-SUMPRODUCT((MOVIMIENTOS!$B$5:$B$1005="TRASIEGO")*(MOVIMIENTOS!$C$5:$C$1005="C")*(MOVIMIENTOS!$D$5:$D$1005="jabas")*(MOVIMIENTOS!$A$5:$A$1005&lt;&gt;"")*(MOVIMIENTOS!$A$5:$A$1005&lt;=$A90)*MOVIMIENTOS!$E$5:$E$1005)-SUMPRODUCT((MOVIMIENTOS!$B$5:$B$1005="REGALO")*(MOVIMIENTOS!$C$5:$C$1005="C")*(MOVIMIENTOS!$D$5:$D$1005="jabas")*(MOVIMIENTOS!$A$5:$A$1005&lt;&gt;"")*(MOVIMIENTOS!$A$5:$A$1005&lt;=$A90)*MOVIMIENTOS!$E$5:$E$1005)-SUMPRODUCT((MOVIMIENTOS!$B$5:$B$1005="VENTA")*(MOVIMIENTOS!$C$5:$C$1005="C")*(MOVIMIENTOS!$D$5:$D$1005="jabas")*(MOVIMIENTOS!$A$5:$A$1005&lt;&gt;"")*(MOVIMIENTOS!$A$5:$A$1005&lt;=$A90)*MOVIMIENTOS!$E$5:$E$1005)+SUMPRODUCT((MOVIMIENTOS!$B$5:$B$1005="AJUSTE")*(MOVIMIENTOS!$C$5:$C$1005="C")*(MOVIMIENTOS!$D$5:$D$1005="jabas")*(MOVIMIENTOS!$A$5:$A$1005&lt;&gt;"")*(MOVIMIENTOS!$A$5:$A$1005&lt;=$A90)*MOVIMIENTOS!$E$5:$E$1005))</f>
        <v/>
      </c>
      <c r="E90" s="63" t="str">
        <f>IF($A90="","",SUMPRODUCT((MOVIMIENTOS!$B$5:$B$1005="SALDO INICIAL")*(MOVIMIENTOS!$C$5:$C$1005="M")*(MOVIMIENTOS!$D$5:$D$1005="jabas")*(MOVIMIENTOS!$A$5:$A$1005&lt;&gt;"")*(MOVIMIENTOS!$A$5:$A$1005&lt;=$A90)*MOVIMIENTOS!$E$5:$E$1005)+SUMPRODUCT((MOVIMIENTOS!$B$5:$B$1005="PROCESO")*(MOVIMIENTOS!$C$5:$C$1005="M")*(MOVIMIENTOS!$D$5:$D$1005="jabas")*(MOVIMIENTOS!$A$5:$A$1005&lt;&gt;"")*(MOVIMIENTOS!$A$5:$A$1005&lt;=$A90)*MOVIMIENTOS!$E$5:$E$1005)-SUMPRODUCT((MOVIMIENTOS!$B$5:$B$1005="ENVÍO A SUPESA")*(MOVIMIENTOS!$C$5:$C$1005="M")*(MOVIMIENTOS!$D$5:$D$1005="jabas")*(MOVIMIENTOS!$A$5:$A$1005&lt;&gt;"")*(MOVIMIENTOS!$A$5:$A$1005&lt;=$A90)*MOVIMIENTOS!$E$5:$E$1005)+SUMPRODUCT((MOVIMIENTOS!$B$5:$B$1005="DEVOLUCIÓN")*(MOVIMIENTOS!$C$5:$C$1005="M")*(MOVIMIENTOS!$D$5:$D$1005="jabas")*(MOVIMIENTOS!$A$5:$A$1005&lt;&gt;"")*(MOVIMIENTOS!$A$5:$A$1005&lt;=$A90)*MOVIMIENTOS!$E$5:$E$1005)-SUMPRODUCT((MOVIMIENTOS!$B$5:$B$1005="TRASIEGO")*(MOVIMIENTOS!$C$5:$C$1005="M")*(MOVIMIENTOS!$D$5:$D$1005="jabas")*(MOVIMIENTOS!$A$5:$A$1005&lt;&gt;"")*(MOVIMIENTOS!$A$5:$A$1005&lt;=$A90)*MOVIMIENTOS!$E$5:$E$1005)-SUMPRODUCT((MOVIMIENTOS!$B$5:$B$1005="REGALO")*(MOVIMIENTOS!$C$5:$C$1005="M")*(MOVIMIENTOS!$D$5:$D$1005="jabas")*(MOVIMIENTOS!$A$5:$A$1005&lt;&gt;"")*(MOVIMIENTOS!$A$5:$A$1005&lt;=$A90)*MOVIMIENTOS!$E$5:$E$1005)-SUMPRODUCT((MOVIMIENTOS!$B$5:$B$1005="VENTA")*(MOVIMIENTOS!$C$5:$C$1005="M")*(MOVIMIENTOS!$D$5:$D$1005="jabas")*(MOVIMIENTOS!$A$5:$A$1005&lt;&gt;"")*(MOVIMIENTOS!$A$5:$A$1005&lt;=$A90)*MOVIMIENTOS!$E$5:$E$1005)+SUMPRODUCT((MOVIMIENTOS!$B$5:$B$1005="AJUSTE")*(MOVIMIENTOS!$C$5:$C$1005="M")*(MOVIMIENTOS!$D$5:$D$1005="jabas")*(MOVIMIENTOS!$A$5:$A$1005&lt;&gt;"")*(MOVIMIENTOS!$A$5:$A$1005&lt;=$A90)*MOVIMIENTOS!$E$5:$E$1005))</f>
        <v/>
      </c>
      <c r="F90" s="63" t="str">
        <f>IF($A90="","",SUMPRODUCT((MOVIMIENTOS!$B$5:$B$1005="SALDO INICIAL")*(MOVIMIENTOS!$C$5:$C$1005="Chancho")*(MOVIMIENTOS!$D$5:$D$1005="sacos")*(MOVIMIENTOS!$A$5:$A$1005&lt;&gt;"")*(MOVIMIENTOS!$A$5:$A$1005&lt;=$A90)*MOVIMIENTOS!$E$5:$E$1005)+SUMPRODUCT((MOVIMIENTOS!$B$5:$B$1005="PROCESO")*(MOVIMIENTOS!$C$5:$C$1005="Chancho")*(MOVIMIENTOS!$D$5:$D$1005="sacos")*(MOVIMIENTOS!$A$5:$A$1005&lt;&gt;"")*(MOVIMIENTOS!$A$5:$A$1005&lt;=$A90)*MOVIMIENTOS!$E$5:$E$1005)-SUMPRODUCT((MOVIMIENTOS!$B$5:$B$1005="VENTA CHANCHO")*(MOVIMIENTOS!$C$5:$C$1005="Chancho")*(MOVIMIENTOS!$D$5:$D$1005="sacos")*(MOVIMIENTOS!$A$5:$A$1005&lt;&gt;"")*(MOVIMIENTOS!$A$5:$A$1005&lt;=$A90)*MOVIMIENTOS!$E$5:$E$1005)-SUMPRODUCT((MOVIMIENTOS!$B$5:$B$1005="REGALO")*(MOVIMIENTOS!$C$5:$C$1005="Chancho")*(MOVIMIENTOS!$D$5:$D$1005="sacos")*(MOVIMIENTOS!$A$5:$A$1005&lt;&gt;"")*(MOVIMIENTOS!$A$5:$A$1005&lt;=$A90)*MOVIMIENTOS!$E$5:$E$1005)-SUMPRODUCT((MOVIMIENTOS!$B$5:$B$1005="VENTA")*(MOVIMIENTOS!$C$5:$C$1005="Chancho")*(MOVIMIENTOS!$D$5:$D$1005="sacos")*(MOVIMIENTOS!$A$5:$A$1005&lt;&gt;"")*(MOVIMIENTOS!$A$5:$A$1005&lt;=$A90)*MOVIMIENTOS!$E$5:$E$1005)+SUMPRODUCT((MOVIMIENTOS!$B$5:$B$1005="AJUSTE")*(MOVIMIENTOS!$C$5:$C$1005="Chancho")*(MOVIMIENTOS!$D$5:$D$1005="sacos")*(MOVIMIENTOS!$A$5:$A$1005&lt;&gt;"")*(MOVIMIENTOS!$A$5:$A$1005&lt;=$A90)*MOVIMIENTOS!$E$5:$E$1005))</f>
        <v/>
      </c>
      <c r="G90" s="95" t="str">
        <f t="shared" si="3"/>
        <v/>
      </c>
      <c r="H90" s="63" t="str">
        <f>IF($A90="","",SUMPRODUCT((((MOVIMIENTOS!$B$5:$B$1005="SALDO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90)*MOVIMIENTOS!$J$5:$J$1005))</f>
        <v/>
      </c>
      <c r="I90" s="63"/>
      <c r="J90" s="63" t="str">
        <f>IF(AND(MOVIMIENTOS!$A90&lt;&gt;"",COUNTIF(MOVIMIENTOS!$A$5:$A89,MOVIMIENTOS!$A90)=0),COUNT(J$4:J89)+1,"")</f>
        <v/>
      </c>
      <c r="K90" s="66">
        <f>MOVIMIENTOS!$A90</f>
        <v>46222</v>
      </c>
      <c r="L90" s="63"/>
      <c r="M90" s="63"/>
      <c r="N90" s="63"/>
    </row>
    <row r="91" spans="1:14" ht="15" customHeight="1" x14ac:dyDescent="0.2">
      <c r="A91" s="63" t="str">
        <f t="shared" si="2"/>
        <v/>
      </c>
      <c r="B91" s="63" t="str">
        <f>IF($A91="","",SUMPRODUCT((MOVIMIENTOS!$B$5:$B$1005="SALDO INICIAL")*(MOVIMIENTOS!$C$5:$C$1005="A")*(MOVIMIENTOS!$D$5:$D$1005="jabas")*(MOVIMIENTOS!$A$5:$A$1005&lt;&gt;"")*(MOVIMIENTOS!$A$5:$A$1005&lt;=$A91)*MOVIMIENTOS!$E$5:$E$1005)+SUMPRODUCT((MOVIMIENTOS!$B$5:$B$1005="PROCESO")*(MOVIMIENTOS!$C$5:$C$1005="A")*(MOVIMIENTOS!$D$5:$D$1005="jabas")*(MOVIMIENTOS!$A$5:$A$1005&lt;&gt;"")*(MOVIMIENTOS!$A$5:$A$1005&lt;=$A91)*MOVIMIENTOS!$E$5:$E$1005)-SUMPRODUCT((MOVIMIENTOS!$B$5:$B$1005="ENVÍO A SUPESA")*(MOVIMIENTOS!$C$5:$C$1005="A")*(MOVIMIENTOS!$D$5:$D$1005="jabas")*(MOVIMIENTOS!$A$5:$A$1005&lt;&gt;"")*(MOVIMIENTOS!$A$5:$A$1005&lt;=$A91)*MOVIMIENTOS!$E$5:$E$1005)+SUMPRODUCT((MOVIMIENTOS!$B$5:$B$1005="DEVOLUCIÓN")*(MOVIMIENTOS!$C$5:$C$1005="A")*(MOVIMIENTOS!$D$5:$D$1005="jabas")*(MOVIMIENTOS!$A$5:$A$1005&lt;&gt;"")*(MOVIMIENTOS!$A$5:$A$1005&lt;=$A91)*MOVIMIENTOS!$E$5:$E$1005)-SUMPRODUCT((MOVIMIENTOS!$B$5:$B$1005="TRASIEGO")*(MOVIMIENTOS!$C$5:$C$1005="A")*(MOVIMIENTOS!$D$5:$D$1005="jabas")*(MOVIMIENTOS!$A$5:$A$1005&lt;&gt;"")*(MOVIMIENTOS!$A$5:$A$1005&lt;=$A91)*MOVIMIENTOS!$E$5:$E$1005)-SUMPRODUCT((MOVIMIENTOS!$B$5:$B$1005="REGALO")*(MOVIMIENTOS!$C$5:$C$1005="A")*(MOVIMIENTOS!$D$5:$D$1005="jabas")*(MOVIMIENTOS!$A$5:$A$1005&lt;&gt;"")*(MOVIMIENTOS!$A$5:$A$1005&lt;=$A91)*MOVIMIENTOS!$E$5:$E$1005)-SUMPRODUCT((MOVIMIENTOS!$B$5:$B$1005="VENTA")*(MOVIMIENTOS!$C$5:$C$1005="A")*(MOVIMIENTOS!$D$5:$D$1005="jabas")*(MOVIMIENTOS!$A$5:$A$1005&lt;&gt;"")*(MOVIMIENTOS!$A$5:$A$1005&lt;=$A91)*MOVIMIENTOS!$E$5:$E$1005)+SUMPRODUCT((MOVIMIENTOS!$B$5:$B$1005="AJUSTE")*(MOVIMIENTOS!$C$5:$C$1005="A")*(MOVIMIENTOS!$D$5:$D$1005="jabas")*(MOVIMIENTOS!$A$5:$A$1005&lt;&gt;"")*(MOVIMIENTOS!$A$5:$A$1005&lt;=$A91)*MOVIMIENTOS!$E$5:$E$1005))</f>
        <v/>
      </c>
      <c r="C91" s="63" t="str">
        <f>IF($A91="","",SUMPRODUCT((MOVIMIENTOS!$B$5:$B$1005="SALDO INICIAL")*(MOVIMIENTOS!$C$5:$C$1005="P")*(MOVIMIENTOS!$D$5:$D$1005="jabas")*(MOVIMIENTOS!$A$5:$A$1005&lt;&gt;"")*(MOVIMIENTOS!$A$5:$A$1005&lt;=$A91)*MOVIMIENTOS!$E$5:$E$1005)+SUMPRODUCT((MOVIMIENTOS!$B$5:$B$1005="PROCESO")*(MOVIMIENTOS!$C$5:$C$1005="P")*(MOVIMIENTOS!$D$5:$D$1005="jabas")*(MOVIMIENTOS!$A$5:$A$1005&lt;&gt;"")*(MOVIMIENTOS!$A$5:$A$1005&lt;=$A91)*MOVIMIENTOS!$E$5:$E$1005)-SUMPRODUCT((MOVIMIENTOS!$B$5:$B$1005="ENVÍO A SUPESA")*(MOVIMIENTOS!$C$5:$C$1005="P")*(MOVIMIENTOS!$D$5:$D$1005="jabas")*(MOVIMIENTOS!$A$5:$A$1005&lt;&gt;"")*(MOVIMIENTOS!$A$5:$A$1005&lt;=$A91)*MOVIMIENTOS!$E$5:$E$1005)+SUMPRODUCT((MOVIMIENTOS!$B$5:$B$1005="DEVOLUCIÓN")*(MOVIMIENTOS!$C$5:$C$1005="P")*(MOVIMIENTOS!$D$5:$D$1005="jabas")*(MOVIMIENTOS!$A$5:$A$1005&lt;&gt;"")*(MOVIMIENTOS!$A$5:$A$1005&lt;=$A91)*MOVIMIENTOS!$E$5:$E$1005)-SUMPRODUCT((MOVIMIENTOS!$B$5:$B$1005="TRASIEGO")*(MOVIMIENTOS!$C$5:$C$1005="P")*(MOVIMIENTOS!$D$5:$D$1005="jabas")*(MOVIMIENTOS!$A$5:$A$1005&lt;&gt;"")*(MOVIMIENTOS!$A$5:$A$1005&lt;=$A91)*MOVIMIENTOS!$E$5:$E$1005)-SUMPRODUCT((MOVIMIENTOS!$B$5:$B$1005="REGALO")*(MOVIMIENTOS!$C$5:$C$1005="P")*(MOVIMIENTOS!$D$5:$D$1005="jabas")*(MOVIMIENTOS!$A$5:$A$1005&lt;&gt;"")*(MOVIMIENTOS!$A$5:$A$1005&lt;=$A91)*MOVIMIENTOS!$E$5:$E$1005)-SUMPRODUCT((MOVIMIENTOS!$B$5:$B$1005="VENTA")*(MOVIMIENTOS!$C$5:$C$1005="P")*(MOVIMIENTOS!$D$5:$D$1005="jabas")*(MOVIMIENTOS!$A$5:$A$1005&lt;&gt;"")*(MOVIMIENTOS!$A$5:$A$1005&lt;=$A91)*MOVIMIENTOS!$E$5:$E$1005)+SUMPRODUCT((MOVIMIENTOS!$B$5:$B$1005="AJUSTE")*(MOVIMIENTOS!$C$5:$C$1005="P")*(MOVIMIENTOS!$D$5:$D$1005="jabas")*(MOVIMIENTOS!$A$5:$A$1005&lt;&gt;"")*(MOVIMIENTOS!$A$5:$A$1005&lt;=$A91)*MOVIMIENTOS!$E$5:$E$1005))</f>
        <v/>
      </c>
      <c r="D91" s="63" t="str">
        <f>IF($A91="","",SUMPRODUCT((MOVIMIENTOS!$B$5:$B$1005="SALDO INICIAL")*(MOVIMIENTOS!$C$5:$C$1005="C")*(MOVIMIENTOS!$D$5:$D$1005="jabas")*(MOVIMIENTOS!$A$5:$A$1005&lt;&gt;"")*(MOVIMIENTOS!$A$5:$A$1005&lt;=$A91)*MOVIMIENTOS!$E$5:$E$1005)+SUMPRODUCT((MOVIMIENTOS!$B$5:$B$1005="PROCESO")*(MOVIMIENTOS!$C$5:$C$1005="C")*(MOVIMIENTOS!$D$5:$D$1005="jabas")*(MOVIMIENTOS!$A$5:$A$1005&lt;&gt;"")*(MOVIMIENTOS!$A$5:$A$1005&lt;=$A91)*MOVIMIENTOS!$E$5:$E$1005)-SUMPRODUCT((MOVIMIENTOS!$B$5:$B$1005="ENVÍO A SUPESA")*(MOVIMIENTOS!$C$5:$C$1005="C")*(MOVIMIENTOS!$D$5:$D$1005="jabas")*(MOVIMIENTOS!$A$5:$A$1005&lt;&gt;"")*(MOVIMIENTOS!$A$5:$A$1005&lt;=$A91)*MOVIMIENTOS!$E$5:$E$1005)+SUMPRODUCT((MOVIMIENTOS!$B$5:$B$1005="DEVOLUCIÓN")*(MOVIMIENTOS!$C$5:$C$1005="C")*(MOVIMIENTOS!$D$5:$D$1005="jabas")*(MOVIMIENTOS!$A$5:$A$1005&lt;&gt;"")*(MOVIMIENTOS!$A$5:$A$1005&lt;=$A91)*MOVIMIENTOS!$E$5:$E$1005)-SUMPRODUCT((MOVIMIENTOS!$B$5:$B$1005="TRASIEGO")*(MOVIMIENTOS!$C$5:$C$1005="C")*(MOVIMIENTOS!$D$5:$D$1005="jabas")*(MOVIMIENTOS!$A$5:$A$1005&lt;&gt;"")*(MOVIMIENTOS!$A$5:$A$1005&lt;=$A91)*MOVIMIENTOS!$E$5:$E$1005)-SUMPRODUCT((MOVIMIENTOS!$B$5:$B$1005="REGALO")*(MOVIMIENTOS!$C$5:$C$1005="C")*(MOVIMIENTOS!$D$5:$D$1005="jabas")*(MOVIMIENTOS!$A$5:$A$1005&lt;&gt;"")*(MOVIMIENTOS!$A$5:$A$1005&lt;=$A91)*MOVIMIENTOS!$E$5:$E$1005)-SUMPRODUCT((MOVIMIENTOS!$B$5:$B$1005="VENTA")*(MOVIMIENTOS!$C$5:$C$1005="C")*(MOVIMIENTOS!$D$5:$D$1005="jabas")*(MOVIMIENTOS!$A$5:$A$1005&lt;&gt;"")*(MOVIMIENTOS!$A$5:$A$1005&lt;=$A91)*MOVIMIENTOS!$E$5:$E$1005)+SUMPRODUCT((MOVIMIENTOS!$B$5:$B$1005="AJUSTE")*(MOVIMIENTOS!$C$5:$C$1005="C")*(MOVIMIENTOS!$D$5:$D$1005="jabas")*(MOVIMIENTOS!$A$5:$A$1005&lt;&gt;"")*(MOVIMIENTOS!$A$5:$A$1005&lt;=$A91)*MOVIMIENTOS!$E$5:$E$1005))</f>
        <v/>
      </c>
      <c r="E91" s="63" t="str">
        <f>IF($A91="","",SUMPRODUCT((MOVIMIENTOS!$B$5:$B$1005="SALDO INICIAL")*(MOVIMIENTOS!$C$5:$C$1005="M")*(MOVIMIENTOS!$D$5:$D$1005="jabas")*(MOVIMIENTOS!$A$5:$A$1005&lt;&gt;"")*(MOVIMIENTOS!$A$5:$A$1005&lt;=$A91)*MOVIMIENTOS!$E$5:$E$1005)+SUMPRODUCT((MOVIMIENTOS!$B$5:$B$1005="PROCESO")*(MOVIMIENTOS!$C$5:$C$1005="M")*(MOVIMIENTOS!$D$5:$D$1005="jabas")*(MOVIMIENTOS!$A$5:$A$1005&lt;&gt;"")*(MOVIMIENTOS!$A$5:$A$1005&lt;=$A91)*MOVIMIENTOS!$E$5:$E$1005)-SUMPRODUCT((MOVIMIENTOS!$B$5:$B$1005="ENVÍO A SUPESA")*(MOVIMIENTOS!$C$5:$C$1005="M")*(MOVIMIENTOS!$D$5:$D$1005="jabas")*(MOVIMIENTOS!$A$5:$A$1005&lt;&gt;"")*(MOVIMIENTOS!$A$5:$A$1005&lt;=$A91)*MOVIMIENTOS!$E$5:$E$1005)+SUMPRODUCT((MOVIMIENTOS!$B$5:$B$1005="DEVOLUCIÓN")*(MOVIMIENTOS!$C$5:$C$1005="M")*(MOVIMIENTOS!$D$5:$D$1005="jabas")*(MOVIMIENTOS!$A$5:$A$1005&lt;&gt;"")*(MOVIMIENTOS!$A$5:$A$1005&lt;=$A91)*MOVIMIENTOS!$E$5:$E$1005)-SUMPRODUCT((MOVIMIENTOS!$B$5:$B$1005="TRASIEGO")*(MOVIMIENTOS!$C$5:$C$1005="M")*(MOVIMIENTOS!$D$5:$D$1005="jabas")*(MOVIMIENTOS!$A$5:$A$1005&lt;&gt;"")*(MOVIMIENTOS!$A$5:$A$1005&lt;=$A91)*MOVIMIENTOS!$E$5:$E$1005)-SUMPRODUCT((MOVIMIENTOS!$B$5:$B$1005="REGALO")*(MOVIMIENTOS!$C$5:$C$1005="M")*(MOVIMIENTOS!$D$5:$D$1005="jabas")*(MOVIMIENTOS!$A$5:$A$1005&lt;&gt;"")*(MOVIMIENTOS!$A$5:$A$1005&lt;=$A91)*MOVIMIENTOS!$E$5:$E$1005)-SUMPRODUCT((MOVIMIENTOS!$B$5:$B$1005="VENTA")*(MOVIMIENTOS!$C$5:$C$1005="M")*(MOVIMIENTOS!$D$5:$D$1005="jabas")*(MOVIMIENTOS!$A$5:$A$1005&lt;&gt;"")*(MOVIMIENTOS!$A$5:$A$1005&lt;=$A91)*MOVIMIENTOS!$E$5:$E$1005)+SUMPRODUCT((MOVIMIENTOS!$B$5:$B$1005="AJUSTE")*(MOVIMIENTOS!$C$5:$C$1005="M")*(MOVIMIENTOS!$D$5:$D$1005="jabas")*(MOVIMIENTOS!$A$5:$A$1005&lt;&gt;"")*(MOVIMIENTOS!$A$5:$A$1005&lt;=$A91)*MOVIMIENTOS!$E$5:$E$1005))</f>
        <v/>
      </c>
      <c r="F91" s="63" t="str">
        <f>IF($A91="","",SUMPRODUCT((MOVIMIENTOS!$B$5:$B$1005="SALDO INICIAL")*(MOVIMIENTOS!$C$5:$C$1005="Chancho")*(MOVIMIENTOS!$D$5:$D$1005="sacos")*(MOVIMIENTOS!$A$5:$A$1005&lt;&gt;"")*(MOVIMIENTOS!$A$5:$A$1005&lt;=$A91)*MOVIMIENTOS!$E$5:$E$1005)+SUMPRODUCT((MOVIMIENTOS!$B$5:$B$1005="PROCESO")*(MOVIMIENTOS!$C$5:$C$1005="Chancho")*(MOVIMIENTOS!$D$5:$D$1005="sacos")*(MOVIMIENTOS!$A$5:$A$1005&lt;&gt;"")*(MOVIMIENTOS!$A$5:$A$1005&lt;=$A91)*MOVIMIENTOS!$E$5:$E$1005)-SUMPRODUCT((MOVIMIENTOS!$B$5:$B$1005="VENTA CHANCHO")*(MOVIMIENTOS!$C$5:$C$1005="Chancho")*(MOVIMIENTOS!$D$5:$D$1005="sacos")*(MOVIMIENTOS!$A$5:$A$1005&lt;&gt;"")*(MOVIMIENTOS!$A$5:$A$1005&lt;=$A91)*MOVIMIENTOS!$E$5:$E$1005)-SUMPRODUCT((MOVIMIENTOS!$B$5:$B$1005="REGALO")*(MOVIMIENTOS!$C$5:$C$1005="Chancho")*(MOVIMIENTOS!$D$5:$D$1005="sacos")*(MOVIMIENTOS!$A$5:$A$1005&lt;&gt;"")*(MOVIMIENTOS!$A$5:$A$1005&lt;=$A91)*MOVIMIENTOS!$E$5:$E$1005)-SUMPRODUCT((MOVIMIENTOS!$B$5:$B$1005="VENTA")*(MOVIMIENTOS!$C$5:$C$1005="Chancho")*(MOVIMIENTOS!$D$5:$D$1005="sacos")*(MOVIMIENTOS!$A$5:$A$1005&lt;&gt;"")*(MOVIMIENTOS!$A$5:$A$1005&lt;=$A91)*MOVIMIENTOS!$E$5:$E$1005)+SUMPRODUCT((MOVIMIENTOS!$B$5:$B$1005="AJUSTE")*(MOVIMIENTOS!$C$5:$C$1005="Chancho")*(MOVIMIENTOS!$D$5:$D$1005="sacos")*(MOVIMIENTOS!$A$5:$A$1005&lt;&gt;"")*(MOVIMIENTOS!$A$5:$A$1005&lt;=$A91)*MOVIMIENTOS!$E$5:$E$1005))</f>
        <v/>
      </c>
      <c r="G91" s="95" t="str">
        <f t="shared" si="3"/>
        <v/>
      </c>
      <c r="H91" s="63" t="str">
        <f>IF($A91="","",SUMPRODUCT((((MOVIMIENTOS!$B$5:$B$1005="SALDO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91)*MOVIMIENTOS!$J$5:$J$1005))</f>
        <v/>
      </c>
      <c r="I91" s="63"/>
      <c r="J91" s="63" t="str">
        <f>IF(AND(MOVIMIENTOS!$A91&lt;&gt;"",COUNTIF(MOVIMIENTOS!$A$5:$A90,MOVIMIENTOS!$A91)=0),COUNT(J$4:J90)+1,"")</f>
        <v/>
      </c>
      <c r="K91" s="66">
        <f>MOVIMIENTOS!$A91</f>
        <v>46222</v>
      </c>
      <c r="L91" s="63"/>
      <c r="M91" s="63"/>
      <c r="N91" s="63"/>
    </row>
    <row r="92" spans="1:14" ht="15" customHeight="1" x14ac:dyDescent="0.2">
      <c r="A92" s="63" t="str">
        <f t="shared" si="2"/>
        <v/>
      </c>
      <c r="B92" s="63" t="str">
        <f>IF($A92="","",SUMPRODUCT((MOVIMIENTOS!$B$5:$B$1005="SALDO INICIAL")*(MOVIMIENTOS!$C$5:$C$1005="A")*(MOVIMIENTOS!$D$5:$D$1005="jabas")*(MOVIMIENTOS!$A$5:$A$1005&lt;&gt;"")*(MOVIMIENTOS!$A$5:$A$1005&lt;=$A92)*MOVIMIENTOS!$E$5:$E$1005)+SUMPRODUCT((MOVIMIENTOS!$B$5:$B$1005="PROCESO")*(MOVIMIENTOS!$C$5:$C$1005="A")*(MOVIMIENTOS!$D$5:$D$1005="jabas")*(MOVIMIENTOS!$A$5:$A$1005&lt;&gt;"")*(MOVIMIENTOS!$A$5:$A$1005&lt;=$A92)*MOVIMIENTOS!$E$5:$E$1005)-SUMPRODUCT((MOVIMIENTOS!$B$5:$B$1005="ENVÍO A SUPESA")*(MOVIMIENTOS!$C$5:$C$1005="A")*(MOVIMIENTOS!$D$5:$D$1005="jabas")*(MOVIMIENTOS!$A$5:$A$1005&lt;&gt;"")*(MOVIMIENTOS!$A$5:$A$1005&lt;=$A92)*MOVIMIENTOS!$E$5:$E$1005)+SUMPRODUCT((MOVIMIENTOS!$B$5:$B$1005="DEVOLUCIÓN")*(MOVIMIENTOS!$C$5:$C$1005="A")*(MOVIMIENTOS!$D$5:$D$1005="jabas")*(MOVIMIENTOS!$A$5:$A$1005&lt;&gt;"")*(MOVIMIENTOS!$A$5:$A$1005&lt;=$A92)*MOVIMIENTOS!$E$5:$E$1005)-SUMPRODUCT((MOVIMIENTOS!$B$5:$B$1005="TRASIEGO")*(MOVIMIENTOS!$C$5:$C$1005="A")*(MOVIMIENTOS!$D$5:$D$1005="jabas")*(MOVIMIENTOS!$A$5:$A$1005&lt;&gt;"")*(MOVIMIENTOS!$A$5:$A$1005&lt;=$A92)*MOVIMIENTOS!$E$5:$E$1005)-SUMPRODUCT((MOVIMIENTOS!$B$5:$B$1005="REGALO")*(MOVIMIENTOS!$C$5:$C$1005="A")*(MOVIMIENTOS!$D$5:$D$1005="jabas")*(MOVIMIENTOS!$A$5:$A$1005&lt;&gt;"")*(MOVIMIENTOS!$A$5:$A$1005&lt;=$A92)*MOVIMIENTOS!$E$5:$E$1005)-SUMPRODUCT((MOVIMIENTOS!$B$5:$B$1005="VENTA")*(MOVIMIENTOS!$C$5:$C$1005="A")*(MOVIMIENTOS!$D$5:$D$1005="jabas")*(MOVIMIENTOS!$A$5:$A$1005&lt;&gt;"")*(MOVIMIENTOS!$A$5:$A$1005&lt;=$A92)*MOVIMIENTOS!$E$5:$E$1005)+SUMPRODUCT((MOVIMIENTOS!$B$5:$B$1005="AJUSTE")*(MOVIMIENTOS!$C$5:$C$1005="A")*(MOVIMIENTOS!$D$5:$D$1005="jabas")*(MOVIMIENTOS!$A$5:$A$1005&lt;&gt;"")*(MOVIMIENTOS!$A$5:$A$1005&lt;=$A92)*MOVIMIENTOS!$E$5:$E$1005))</f>
        <v/>
      </c>
      <c r="C92" s="63" t="str">
        <f>IF($A92="","",SUMPRODUCT((MOVIMIENTOS!$B$5:$B$1005="SALDO INICIAL")*(MOVIMIENTOS!$C$5:$C$1005="P")*(MOVIMIENTOS!$D$5:$D$1005="jabas")*(MOVIMIENTOS!$A$5:$A$1005&lt;&gt;"")*(MOVIMIENTOS!$A$5:$A$1005&lt;=$A92)*MOVIMIENTOS!$E$5:$E$1005)+SUMPRODUCT((MOVIMIENTOS!$B$5:$B$1005="PROCESO")*(MOVIMIENTOS!$C$5:$C$1005="P")*(MOVIMIENTOS!$D$5:$D$1005="jabas")*(MOVIMIENTOS!$A$5:$A$1005&lt;&gt;"")*(MOVIMIENTOS!$A$5:$A$1005&lt;=$A92)*MOVIMIENTOS!$E$5:$E$1005)-SUMPRODUCT((MOVIMIENTOS!$B$5:$B$1005="ENVÍO A SUPESA")*(MOVIMIENTOS!$C$5:$C$1005="P")*(MOVIMIENTOS!$D$5:$D$1005="jabas")*(MOVIMIENTOS!$A$5:$A$1005&lt;&gt;"")*(MOVIMIENTOS!$A$5:$A$1005&lt;=$A92)*MOVIMIENTOS!$E$5:$E$1005)+SUMPRODUCT((MOVIMIENTOS!$B$5:$B$1005="DEVOLUCIÓN")*(MOVIMIENTOS!$C$5:$C$1005="P")*(MOVIMIENTOS!$D$5:$D$1005="jabas")*(MOVIMIENTOS!$A$5:$A$1005&lt;&gt;"")*(MOVIMIENTOS!$A$5:$A$1005&lt;=$A92)*MOVIMIENTOS!$E$5:$E$1005)-SUMPRODUCT((MOVIMIENTOS!$B$5:$B$1005="TRASIEGO")*(MOVIMIENTOS!$C$5:$C$1005="P")*(MOVIMIENTOS!$D$5:$D$1005="jabas")*(MOVIMIENTOS!$A$5:$A$1005&lt;&gt;"")*(MOVIMIENTOS!$A$5:$A$1005&lt;=$A92)*MOVIMIENTOS!$E$5:$E$1005)-SUMPRODUCT((MOVIMIENTOS!$B$5:$B$1005="REGALO")*(MOVIMIENTOS!$C$5:$C$1005="P")*(MOVIMIENTOS!$D$5:$D$1005="jabas")*(MOVIMIENTOS!$A$5:$A$1005&lt;&gt;"")*(MOVIMIENTOS!$A$5:$A$1005&lt;=$A92)*MOVIMIENTOS!$E$5:$E$1005)-SUMPRODUCT((MOVIMIENTOS!$B$5:$B$1005="VENTA")*(MOVIMIENTOS!$C$5:$C$1005="P")*(MOVIMIENTOS!$D$5:$D$1005="jabas")*(MOVIMIENTOS!$A$5:$A$1005&lt;&gt;"")*(MOVIMIENTOS!$A$5:$A$1005&lt;=$A92)*MOVIMIENTOS!$E$5:$E$1005)+SUMPRODUCT((MOVIMIENTOS!$B$5:$B$1005="AJUSTE")*(MOVIMIENTOS!$C$5:$C$1005="P")*(MOVIMIENTOS!$D$5:$D$1005="jabas")*(MOVIMIENTOS!$A$5:$A$1005&lt;&gt;"")*(MOVIMIENTOS!$A$5:$A$1005&lt;=$A92)*MOVIMIENTOS!$E$5:$E$1005))</f>
        <v/>
      </c>
      <c r="D92" s="63" t="str">
        <f>IF($A92="","",SUMPRODUCT((MOVIMIENTOS!$B$5:$B$1005="SALDO INICIAL")*(MOVIMIENTOS!$C$5:$C$1005="C")*(MOVIMIENTOS!$D$5:$D$1005="jabas")*(MOVIMIENTOS!$A$5:$A$1005&lt;&gt;"")*(MOVIMIENTOS!$A$5:$A$1005&lt;=$A92)*MOVIMIENTOS!$E$5:$E$1005)+SUMPRODUCT((MOVIMIENTOS!$B$5:$B$1005="PROCESO")*(MOVIMIENTOS!$C$5:$C$1005="C")*(MOVIMIENTOS!$D$5:$D$1005="jabas")*(MOVIMIENTOS!$A$5:$A$1005&lt;&gt;"")*(MOVIMIENTOS!$A$5:$A$1005&lt;=$A92)*MOVIMIENTOS!$E$5:$E$1005)-SUMPRODUCT((MOVIMIENTOS!$B$5:$B$1005="ENVÍO A SUPESA")*(MOVIMIENTOS!$C$5:$C$1005="C")*(MOVIMIENTOS!$D$5:$D$1005="jabas")*(MOVIMIENTOS!$A$5:$A$1005&lt;&gt;"")*(MOVIMIENTOS!$A$5:$A$1005&lt;=$A92)*MOVIMIENTOS!$E$5:$E$1005)+SUMPRODUCT((MOVIMIENTOS!$B$5:$B$1005="DEVOLUCIÓN")*(MOVIMIENTOS!$C$5:$C$1005="C")*(MOVIMIENTOS!$D$5:$D$1005="jabas")*(MOVIMIENTOS!$A$5:$A$1005&lt;&gt;"")*(MOVIMIENTOS!$A$5:$A$1005&lt;=$A92)*MOVIMIENTOS!$E$5:$E$1005)-SUMPRODUCT((MOVIMIENTOS!$B$5:$B$1005="TRASIEGO")*(MOVIMIENTOS!$C$5:$C$1005="C")*(MOVIMIENTOS!$D$5:$D$1005="jabas")*(MOVIMIENTOS!$A$5:$A$1005&lt;&gt;"")*(MOVIMIENTOS!$A$5:$A$1005&lt;=$A92)*MOVIMIENTOS!$E$5:$E$1005)-SUMPRODUCT((MOVIMIENTOS!$B$5:$B$1005="REGALO")*(MOVIMIENTOS!$C$5:$C$1005="C")*(MOVIMIENTOS!$D$5:$D$1005="jabas")*(MOVIMIENTOS!$A$5:$A$1005&lt;&gt;"")*(MOVIMIENTOS!$A$5:$A$1005&lt;=$A92)*MOVIMIENTOS!$E$5:$E$1005)-SUMPRODUCT((MOVIMIENTOS!$B$5:$B$1005="VENTA")*(MOVIMIENTOS!$C$5:$C$1005="C")*(MOVIMIENTOS!$D$5:$D$1005="jabas")*(MOVIMIENTOS!$A$5:$A$1005&lt;&gt;"")*(MOVIMIENTOS!$A$5:$A$1005&lt;=$A92)*MOVIMIENTOS!$E$5:$E$1005)+SUMPRODUCT((MOVIMIENTOS!$B$5:$B$1005="AJUSTE")*(MOVIMIENTOS!$C$5:$C$1005="C")*(MOVIMIENTOS!$D$5:$D$1005="jabas")*(MOVIMIENTOS!$A$5:$A$1005&lt;&gt;"")*(MOVIMIENTOS!$A$5:$A$1005&lt;=$A92)*MOVIMIENTOS!$E$5:$E$1005))</f>
        <v/>
      </c>
      <c r="E92" s="63" t="str">
        <f>IF($A92="","",SUMPRODUCT((MOVIMIENTOS!$B$5:$B$1005="SALDO INICIAL")*(MOVIMIENTOS!$C$5:$C$1005="M")*(MOVIMIENTOS!$D$5:$D$1005="jabas")*(MOVIMIENTOS!$A$5:$A$1005&lt;&gt;"")*(MOVIMIENTOS!$A$5:$A$1005&lt;=$A92)*MOVIMIENTOS!$E$5:$E$1005)+SUMPRODUCT((MOVIMIENTOS!$B$5:$B$1005="PROCESO")*(MOVIMIENTOS!$C$5:$C$1005="M")*(MOVIMIENTOS!$D$5:$D$1005="jabas")*(MOVIMIENTOS!$A$5:$A$1005&lt;&gt;"")*(MOVIMIENTOS!$A$5:$A$1005&lt;=$A92)*MOVIMIENTOS!$E$5:$E$1005)-SUMPRODUCT((MOVIMIENTOS!$B$5:$B$1005="ENVÍO A SUPESA")*(MOVIMIENTOS!$C$5:$C$1005="M")*(MOVIMIENTOS!$D$5:$D$1005="jabas")*(MOVIMIENTOS!$A$5:$A$1005&lt;&gt;"")*(MOVIMIENTOS!$A$5:$A$1005&lt;=$A92)*MOVIMIENTOS!$E$5:$E$1005)+SUMPRODUCT((MOVIMIENTOS!$B$5:$B$1005="DEVOLUCIÓN")*(MOVIMIENTOS!$C$5:$C$1005="M")*(MOVIMIENTOS!$D$5:$D$1005="jabas")*(MOVIMIENTOS!$A$5:$A$1005&lt;&gt;"")*(MOVIMIENTOS!$A$5:$A$1005&lt;=$A92)*MOVIMIENTOS!$E$5:$E$1005)-SUMPRODUCT((MOVIMIENTOS!$B$5:$B$1005="TRASIEGO")*(MOVIMIENTOS!$C$5:$C$1005="M")*(MOVIMIENTOS!$D$5:$D$1005="jabas")*(MOVIMIENTOS!$A$5:$A$1005&lt;&gt;"")*(MOVIMIENTOS!$A$5:$A$1005&lt;=$A92)*MOVIMIENTOS!$E$5:$E$1005)-SUMPRODUCT((MOVIMIENTOS!$B$5:$B$1005="REGALO")*(MOVIMIENTOS!$C$5:$C$1005="M")*(MOVIMIENTOS!$D$5:$D$1005="jabas")*(MOVIMIENTOS!$A$5:$A$1005&lt;&gt;"")*(MOVIMIENTOS!$A$5:$A$1005&lt;=$A92)*MOVIMIENTOS!$E$5:$E$1005)-SUMPRODUCT((MOVIMIENTOS!$B$5:$B$1005="VENTA")*(MOVIMIENTOS!$C$5:$C$1005="M")*(MOVIMIENTOS!$D$5:$D$1005="jabas")*(MOVIMIENTOS!$A$5:$A$1005&lt;&gt;"")*(MOVIMIENTOS!$A$5:$A$1005&lt;=$A92)*MOVIMIENTOS!$E$5:$E$1005)+SUMPRODUCT((MOVIMIENTOS!$B$5:$B$1005="AJUSTE")*(MOVIMIENTOS!$C$5:$C$1005="M")*(MOVIMIENTOS!$D$5:$D$1005="jabas")*(MOVIMIENTOS!$A$5:$A$1005&lt;&gt;"")*(MOVIMIENTOS!$A$5:$A$1005&lt;=$A92)*MOVIMIENTOS!$E$5:$E$1005))</f>
        <v/>
      </c>
      <c r="F92" s="63" t="str">
        <f>IF($A92="","",SUMPRODUCT((MOVIMIENTOS!$B$5:$B$1005="SALDO INICIAL")*(MOVIMIENTOS!$C$5:$C$1005="Chancho")*(MOVIMIENTOS!$D$5:$D$1005="sacos")*(MOVIMIENTOS!$A$5:$A$1005&lt;&gt;"")*(MOVIMIENTOS!$A$5:$A$1005&lt;=$A92)*MOVIMIENTOS!$E$5:$E$1005)+SUMPRODUCT((MOVIMIENTOS!$B$5:$B$1005="PROCESO")*(MOVIMIENTOS!$C$5:$C$1005="Chancho")*(MOVIMIENTOS!$D$5:$D$1005="sacos")*(MOVIMIENTOS!$A$5:$A$1005&lt;&gt;"")*(MOVIMIENTOS!$A$5:$A$1005&lt;=$A92)*MOVIMIENTOS!$E$5:$E$1005)-SUMPRODUCT((MOVIMIENTOS!$B$5:$B$1005="VENTA CHANCHO")*(MOVIMIENTOS!$C$5:$C$1005="Chancho")*(MOVIMIENTOS!$D$5:$D$1005="sacos")*(MOVIMIENTOS!$A$5:$A$1005&lt;&gt;"")*(MOVIMIENTOS!$A$5:$A$1005&lt;=$A92)*MOVIMIENTOS!$E$5:$E$1005)-SUMPRODUCT((MOVIMIENTOS!$B$5:$B$1005="REGALO")*(MOVIMIENTOS!$C$5:$C$1005="Chancho")*(MOVIMIENTOS!$D$5:$D$1005="sacos")*(MOVIMIENTOS!$A$5:$A$1005&lt;&gt;"")*(MOVIMIENTOS!$A$5:$A$1005&lt;=$A92)*MOVIMIENTOS!$E$5:$E$1005)-SUMPRODUCT((MOVIMIENTOS!$B$5:$B$1005="VENTA")*(MOVIMIENTOS!$C$5:$C$1005="Chancho")*(MOVIMIENTOS!$D$5:$D$1005="sacos")*(MOVIMIENTOS!$A$5:$A$1005&lt;&gt;"")*(MOVIMIENTOS!$A$5:$A$1005&lt;=$A92)*MOVIMIENTOS!$E$5:$E$1005)+SUMPRODUCT((MOVIMIENTOS!$B$5:$B$1005="AJUSTE")*(MOVIMIENTOS!$C$5:$C$1005="Chancho")*(MOVIMIENTOS!$D$5:$D$1005="sacos")*(MOVIMIENTOS!$A$5:$A$1005&lt;&gt;"")*(MOVIMIENTOS!$A$5:$A$1005&lt;=$A92)*MOVIMIENTOS!$E$5:$E$1005))</f>
        <v/>
      </c>
      <c r="G92" s="95" t="str">
        <f t="shared" si="3"/>
        <v/>
      </c>
      <c r="H92" s="63" t="str">
        <f>IF($A92="","",SUMPRODUCT((((MOVIMIENTOS!$B$5:$B$1005="SALDO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92)*MOVIMIENTOS!$J$5:$J$1005))</f>
        <v/>
      </c>
      <c r="I92" s="63"/>
      <c r="J92" s="63" t="str">
        <f>IF(AND(MOVIMIENTOS!$A92&lt;&gt;"",COUNTIF(MOVIMIENTOS!$A$5:$A91,MOVIMIENTOS!$A92)=0),COUNT(J$4:J91)+1,"")</f>
        <v/>
      </c>
      <c r="K92" s="66">
        <f>MOVIMIENTOS!$A92</f>
        <v>46222</v>
      </c>
      <c r="L92" s="63"/>
      <c r="M92" s="63"/>
      <c r="N92" s="63"/>
    </row>
    <row r="93" spans="1:14" ht="15" customHeight="1" x14ac:dyDescent="0.2">
      <c r="A93" s="63" t="str">
        <f t="shared" si="2"/>
        <v/>
      </c>
      <c r="B93" s="63" t="str">
        <f>IF($A93="","",SUMPRODUCT((MOVIMIENTOS!$B$5:$B$1005="SALDO INICIAL")*(MOVIMIENTOS!$C$5:$C$1005="A")*(MOVIMIENTOS!$D$5:$D$1005="jabas")*(MOVIMIENTOS!$A$5:$A$1005&lt;&gt;"")*(MOVIMIENTOS!$A$5:$A$1005&lt;=$A93)*MOVIMIENTOS!$E$5:$E$1005)+SUMPRODUCT((MOVIMIENTOS!$B$5:$B$1005="PROCESO")*(MOVIMIENTOS!$C$5:$C$1005="A")*(MOVIMIENTOS!$D$5:$D$1005="jabas")*(MOVIMIENTOS!$A$5:$A$1005&lt;&gt;"")*(MOVIMIENTOS!$A$5:$A$1005&lt;=$A93)*MOVIMIENTOS!$E$5:$E$1005)-SUMPRODUCT((MOVIMIENTOS!$B$5:$B$1005="ENVÍO A SUPESA")*(MOVIMIENTOS!$C$5:$C$1005="A")*(MOVIMIENTOS!$D$5:$D$1005="jabas")*(MOVIMIENTOS!$A$5:$A$1005&lt;&gt;"")*(MOVIMIENTOS!$A$5:$A$1005&lt;=$A93)*MOVIMIENTOS!$E$5:$E$1005)+SUMPRODUCT((MOVIMIENTOS!$B$5:$B$1005="DEVOLUCIÓN")*(MOVIMIENTOS!$C$5:$C$1005="A")*(MOVIMIENTOS!$D$5:$D$1005="jabas")*(MOVIMIENTOS!$A$5:$A$1005&lt;&gt;"")*(MOVIMIENTOS!$A$5:$A$1005&lt;=$A93)*MOVIMIENTOS!$E$5:$E$1005)-SUMPRODUCT((MOVIMIENTOS!$B$5:$B$1005="TRASIEGO")*(MOVIMIENTOS!$C$5:$C$1005="A")*(MOVIMIENTOS!$D$5:$D$1005="jabas")*(MOVIMIENTOS!$A$5:$A$1005&lt;&gt;"")*(MOVIMIENTOS!$A$5:$A$1005&lt;=$A93)*MOVIMIENTOS!$E$5:$E$1005)-SUMPRODUCT((MOVIMIENTOS!$B$5:$B$1005="REGALO")*(MOVIMIENTOS!$C$5:$C$1005="A")*(MOVIMIENTOS!$D$5:$D$1005="jabas")*(MOVIMIENTOS!$A$5:$A$1005&lt;&gt;"")*(MOVIMIENTOS!$A$5:$A$1005&lt;=$A93)*MOVIMIENTOS!$E$5:$E$1005)-SUMPRODUCT((MOVIMIENTOS!$B$5:$B$1005="VENTA")*(MOVIMIENTOS!$C$5:$C$1005="A")*(MOVIMIENTOS!$D$5:$D$1005="jabas")*(MOVIMIENTOS!$A$5:$A$1005&lt;&gt;"")*(MOVIMIENTOS!$A$5:$A$1005&lt;=$A93)*MOVIMIENTOS!$E$5:$E$1005)+SUMPRODUCT((MOVIMIENTOS!$B$5:$B$1005="AJUSTE")*(MOVIMIENTOS!$C$5:$C$1005="A")*(MOVIMIENTOS!$D$5:$D$1005="jabas")*(MOVIMIENTOS!$A$5:$A$1005&lt;&gt;"")*(MOVIMIENTOS!$A$5:$A$1005&lt;=$A93)*MOVIMIENTOS!$E$5:$E$1005))</f>
        <v/>
      </c>
      <c r="C93" s="63" t="str">
        <f>IF($A93="","",SUMPRODUCT((MOVIMIENTOS!$B$5:$B$1005="SALDO INICIAL")*(MOVIMIENTOS!$C$5:$C$1005="P")*(MOVIMIENTOS!$D$5:$D$1005="jabas")*(MOVIMIENTOS!$A$5:$A$1005&lt;&gt;"")*(MOVIMIENTOS!$A$5:$A$1005&lt;=$A93)*MOVIMIENTOS!$E$5:$E$1005)+SUMPRODUCT((MOVIMIENTOS!$B$5:$B$1005="PROCESO")*(MOVIMIENTOS!$C$5:$C$1005="P")*(MOVIMIENTOS!$D$5:$D$1005="jabas")*(MOVIMIENTOS!$A$5:$A$1005&lt;&gt;"")*(MOVIMIENTOS!$A$5:$A$1005&lt;=$A93)*MOVIMIENTOS!$E$5:$E$1005)-SUMPRODUCT((MOVIMIENTOS!$B$5:$B$1005="ENVÍO A SUPESA")*(MOVIMIENTOS!$C$5:$C$1005="P")*(MOVIMIENTOS!$D$5:$D$1005="jabas")*(MOVIMIENTOS!$A$5:$A$1005&lt;&gt;"")*(MOVIMIENTOS!$A$5:$A$1005&lt;=$A93)*MOVIMIENTOS!$E$5:$E$1005)+SUMPRODUCT((MOVIMIENTOS!$B$5:$B$1005="DEVOLUCIÓN")*(MOVIMIENTOS!$C$5:$C$1005="P")*(MOVIMIENTOS!$D$5:$D$1005="jabas")*(MOVIMIENTOS!$A$5:$A$1005&lt;&gt;"")*(MOVIMIENTOS!$A$5:$A$1005&lt;=$A93)*MOVIMIENTOS!$E$5:$E$1005)-SUMPRODUCT((MOVIMIENTOS!$B$5:$B$1005="TRASIEGO")*(MOVIMIENTOS!$C$5:$C$1005="P")*(MOVIMIENTOS!$D$5:$D$1005="jabas")*(MOVIMIENTOS!$A$5:$A$1005&lt;&gt;"")*(MOVIMIENTOS!$A$5:$A$1005&lt;=$A93)*MOVIMIENTOS!$E$5:$E$1005)-SUMPRODUCT((MOVIMIENTOS!$B$5:$B$1005="REGALO")*(MOVIMIENTOS!$C$5:$C$1005="P")*(MOVIMIENTOS!$D$5:$D$1005="jabas")*(MOVIMIENTOS!$A$5:$A$1005&lt;&gt;"")*(MOVIMIENTOS!$A$5:$A$1005&lt;=$A93)*MOVIMIENTOS!$E$5:$E$1005)-SUMPRODUCT((MOVIMIENTOS!$B$5:$B$1005="VENTA")*(MOVIMIENTOS!$C$5:$C$1005="P")*(MOVIMIENTOS!$D$5:$D$1005="jabas")*(MOVIMIENTOS!$A$5:$A$1005&lt;&gt;"")*(MOVIMIENTOS!$A$5:$A$1005&lt;=$A93)*MOVIMIENTOS!$E$5:$E$1005)+SUMPRODUCT((MOVIMIENTOS!$B$5:$B$1005="AJUSTE")*(MOVIMIENTOS!$C$5:$C$1005="P")*(MOVIMIENTOS!$D$5:$D$1005="jabas")*(MOVIMIENTOS!$A$5:$A$1005&lt;&gt;"")*(MOVIMIENTOS!$A$5:$A$1005&lt;=$A93)*MOVIMIENTOS!$E$5:$E$1005))</f>
        <v/>
      </c>
      <c r="D93" s="63" t="str">
        <f>IF($A93="","",SUMPRODUCT((MOVIMIENTOS!$B$5:$B$1005="SALDO INICIAL")*(MOVIMIENTOS!$C$5:$C$1005="C")*(MOVIMIENTOS!$D$5:$D$1005="jabas")*(MOVIMIENTOS!$A$5:$A$1005&lt;&gt;"")*(MOVIMIENTOS!$A$5:$A$1005&lt;=$A93)*MOVIMIENTOS!$E$5:$E$1005)+SUMPRODUCT((MOVIMIENTOS!$B$5:$B$1005="PROCESO")*(MOVIMIENTOS!$C$5:$C$1005="C")*(MOVIMIENTOS!$D$5:$D$1005="jabas")*(MOVIMIENTOS!$A$5:$A$1005&lt;&gt;"")*(MOVIMIENTOS!$A$5:$A$1005&lt;=$A93)*MOVIMIENTOS!$E$5:$E$1005)-SUMPRODUCT((MOVIMIENTOS!$B$5:$B$1005="ENVÍO A SUPESA")*(MOVIMIENTOS!$C$5:$C$1005="C")*(MOVIMIENTOS!$D$5:$D$1005="jabas")*(MOVIMIENTOS!$A$5:$A$1005&lt;&gt;"")*(MOVIMIENTOS!$A$5:$A$1005&lt;=$A93)*MOVIMIENTOS!$E$5:$E$1005)+SUMPRODUCT((MOVIMIENTOS!$B$5:$B$1005="DEVOLUCIÓN")*(MOVIMIENTOS!$C$5:$C$1005="C")*(MOVIMIENTOS!$D$5:$D$1005="jabas")*(MOVIMIENTOS!$A$5:$A$1005&lt;&gt;"")*(MOVIMIENTOS!$A$5:$A$1005&lt;=$A93)*MOVIMIENTOS!$E$5:$E$1005)-SUMPRODUCT((MOVIMIENTOS!$B$5:$B$1005="TRASIEGO")*(MOVIMIENTOS!$C$5:$C$1005="C")*(MOVIMIENTOS!$D$5:$D$1005="jabas")*(MOVIMIENTOS!$A$5:$A$1005&lt;&gt;"")*(MOVIMIENTOS!$A$5:$A$1005&lt;=$A93)*MOVIMIENTOS!$E$5:$E$1005)-SUMPRODUCT((MOVIMIENTOS!$B$5:$B$1005="REGALO")*(MOVIMIENTOS!$C$5:$C$1005="C")*(MOVIMIENTOS!$D$5:$D$1005="jabas")*(MOVIMIENTOS!$A$5:$A$1005&lt;&gt;"")*(MOVIMIENTOS!$A$5:$A$1005&lt;=$A93)*MOVIMIENTOS!$E$5:$E$1005)-SUMPRODUCT((MOVIMIENTOS!$B$5:$B$1005="VENTA")*(MOVIMIENTOS!$C$5:$C$1005="C")*(MOVIMIENTOS!$D$5:$D$1005="jabas")*(MOVIMIENTOS!$A$5:$A$1005&lt;&gt;"")*(MOVIMIENTOS!$A$5:$A$1005&lt;=$A93)*MOVIMIENTOS!$E$5:$E$1005)+SUMPRODUCT((MOVIMIENTOS!$B$5:$B$1005="AJUSTE")*(MOVIMIENTOS!$C$5:$C$1005="C")*(MOVIMIENTOS!$D$5:$D$1005="jabas")*(MOVIMIENTOS!$A$5:$A$1005&lt;&gt;"")*(MOVIMIENTOS!$A$5:$A$1005&lt;=$A93)*MOVIMIENTOS!$E$5:$E$1005))</f>
        <v/>
      </c>
      <c r="E93" s="63" t="str">
        <f>IF($A93="","",SUMPRODUCT((MOVIMIENTOS!$B$5:$B$1005="SALDO INICIAL")*(MOVIMIENTOS!$C$5:$C$1005="M")*(MOVIMIENTOS!$D$5:$D$1005="jabas")*(MOVIMIENTOS!$A$5:$A$1005&lt;&gt;"")*(MOVIMIENTOS!$A$5:$A$1005&lt;=$A93)*MOVIMIENTOS!$E$5:$E$1005)+SUMPRODUCT((MOVIMIENTOS!$B$5:$B$1005="PROCESO")*(MOVIMIENTOS!$C$5:$C$1005="M")*(MOVIMIENTOS!$D$5:$D$1005="jabas")*(MOVIMIENTOS!$A$5:$A$1005&lt;&gt;"")*(MOVIMIENTOS!$A$5:$A$1005&lt;=$A93)*MOVIMIENTOS!$E$5:$E$1005)-SUMPRODUCT((MOVIMIENTOS!$B$5:$B$1005="ENVÍO A SUPESA")*(MOVIMIENTOS!$C$5:$C$1005="M")*(MOVIMIENTOS!$D$5:$D$1005="jabas")*(MOVIMIENTOS!$A$5:$A$1005&lt;&gt;"")*(MOVIMIENTOS!$A$5:$A$1005&lt;=$A93)*MOVIMIENTOS!$E$5:$E$1005)+SUMPRODUCT((MOVIMIENTOS!$B$5:$B$1005="DEVOLUCIÓN")*(MOVIMIENTOS!$C$5:$C$1005="M")*(MOVIMIENTOS!$D$5:$D$1005="jabas")*(MOVIMIENTOS!$A$5:$A$1005&lt;&gt;"")*(MOVIMIENTOS!$A$5:$A$1005&lt;=$A93)*MOVIMIENTOS!$E$5:$E$1005)-SUMPRODUCT((MOVIMIENTOS!$B$5:$B$1005="TRASIEGO")*(MOVIMIENTOS!$C$5:$C$1005="M")*(MOVIMIENTOS!$D$5:$D$1005="jabas")*(MOVIMIENTOS!$A$5:$A$1005&lt;&gt;"")*(MOVIMIENTOS!$A$5:$A$1005&lt;=$A93)*MOVIMIENTOS!$E$5:$E$1005)-SUMPRODUCT((MOVIMIENTOS!$B$5:$B$1005="REGALO")*(MOVIMIENTOS!$C$5:$C$1005="M")*(MOVIMIENTOS!$D$5:$D$1005="jabas")*(MOVIMIENTOS!$A$5:$A$1005&lt;&gt;"")*(MOVIMIENTOS!$A$5:$A$1005&lt;=$A93)*MOVIMIENTOS!$E$5:$E$1005)-SUMPRODUCT((MOVIMIENTOS!$B$5:$B$1005="VENTA")*(MOVIMIENTOS!$C$5:$C$1005="M")*(MOVIMIENTOS!$D$5:$D$1005="jabas")*(MOVIMIENTOS!$A$5:$A$1005&lt;&gt;"")*(MOVIMIENTOS!$A$5:$A$1005&lt;=$A93)*MOVIMIENTOS!$E$5:$E$1005)+SUMPRODUCT((MOVIMIENTOS!$B$5:$B$1005="AJUSTE")*(MOVIMIENTOS!$C$5:$C$1005="M")*(MOVIMIENTOS!$D$5:$D$1005="jabas")*(MOVIMIENTOS!$A$5:$A$1005&lt;&gt;"")*(MOVIMIENTOS!$A$5:$A$1005&lt;=$A93)*MOVIMIENTOS!$E$5:$E$1005))</f>
        <v/>
      </c>
      <c r="F93" s="63" t="str">
        <f>IF($A93="","",SUMPRODUCT((MOVIMIENTOS!$B$5:$B$1005="SALDO INICIAL")*(MOVIMIENTOS!$C$5:$C$1005="Chancho")*(MOVIMIENTOS!$D$5:$D$1005="sacos")*(MOVIMIENTOS!$A$5:$A$1005&lt;&gt;"")*(MOVIMIENTOS!$A$5:$A$1005&lt;=$A93)*MOVIMIENTOS!$E$5:$E$1005)+SUMPRODUCT((MOVIMIENTOS!$B$5:$B$1005="PROCESO")*(MOVIMIENTOS!$C$5:$C$1005="Chancho")*(MOVIMIENTOS!$D$5:$D$1005="sacos")*(MOVIMIENTOS!$A$5:$A$1005&lt;&gt;"")*(MOVIMIENTOS!$A$5:$A$1005&lt;=$A93)*MOVIMIENTOS!$E$5:$E$1005)-SUMPRODUCT((MOVIMIENTOS!$B$5:$B$1005="VENTA CHANCHO")*(MOVIMIENTOS!$C$5:$C$1005="Chancho")*(MOVIMIENTOS!$D$5:$D$1005="sacos")*(MOVIMIENTOS!$A$5:$A$1005&lt;&gt;"")*(MOVIMIENTOS!$A$5:$A$1005&lt;=$A93)*MOVIMIENTOS!$E$5:$E$1005)-SUMPRODUCT((MOVIMIENTOS!$B$5:$B$1005="REGALO")*(MOVIMIENTOS!$C$5:$C$1005="Chancho")*(MOVIMIENTOS!$D$5:$D$1005="sacos")*(MOVIMIENTOS!$A$5:$A$1005&lt;&gt;"")*(MOVIMIENTOS!$A$5:$A$1005&lt;=$A93)*MOVIMIENTOS!$E$5:$E$1005)-SUMPRODUCT((MOVIMIENTOS!$B$5:$B$1005="VENTA")*(MOVIMIENTOS!$C$5:$C$1005="Chancho")*(MOVIMIENTOS!$D$5:$D$1005="sacos")*(MOVIMIENTOS!$A$5:$A$1005&lt;&gt;"")*(MOVIMIENTOS!$A$5:$A$1005&lt;=$A93)*MOVIMIENTOS!$E$5:$E$1005)+SUMPRODUCT((MOVIMIENTOS!$B$5:$B$1005="AJUSTE")*(MOVIMIENTOS!$C$5:$C$1005="Chancho")*(MOVIMIENTOS!$D$5:$D$1005="sacos")*(MOVIMIENTOS!$A$5:$A$1005&lt;&gt;"")*(MOVIMIENTOS!$A$5:$A$1005&lt;=$A93)*MOVIMIENTOS!$E$5:$E$1005))</f>
        <v/>
      </c>
      <c r="G93" s="95" t="str">
        <f t="shared" si="3"/>
        <v/>
      </c>
      <c r="H93" s="63" t="str">
        <f>IF($A93="","",SUMPRODUCT((((MOVIMIENTOS!$B$5:$B$1005="SALDO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93)*MOVIMIENTOS!$J$5:$J$1005))</f>
        <v/>
      </c>
      <c r="I93" s="63"/>
      <c r="J93" s="63" t="str">
        <f>IF(AND(MOVIMIENTOS!$A93&lt;&gt;"",COUNTIF(MOVIMIENTOS!$A$5:$A92,MOVIMIENTOS!$A93)=0),COUNT(J$4:J92)+1,"")</f>
        <v/>
      </c>
      <c r="K93" s="66">
        <f>MOVIMIENTOS!$A93</f>
        <v>46222</v>
      </c>
      <c r="L93" s="63"/>
      <c r="M93" s="63"/>
      <c r="N93" s="63"/>
    </row>
    <row r="94" spans="1:14" ht="15" customHeight="1" x14ac:dyDescent="0.2">
      <c r="A94" s="63" t="str">
        <f t="shared" si="2"/>
        <v/>
      </c>
      <c r="B94" s="63" t="str">
        <f>IF($A94="","",SUMPRODUCT((MOVIMIENTOS!$B$5:$B$1005="SALDO INICIAL")*(MOVIMIENTOS!$C$5:$C$1005="A")*(MOVIMIENTOS!$D$5:$D$1005="jabas")*(MOVIMIENTOS!$A$5:$A$1005&lt;&gt;"")*(MOVIMIENTOS!$A$5:$A$1005&lt;=$A94)*MOVIMIENTOS!$E$5:$E$1005)+SUMPRODUCT((MOVIMIENTOS!$B$5:$B$1005="PROCESO")*(MOVIMIENTOS!$C$5:$C$1005="A")*(MOVIMIENTOS!$D$5:$D$1005="jabas")*(MOVIMIENTOS!$A$5:$A$1005&lt;&gt;"")*(MOVIMIENTOS!$A$5:$A$1005&lt;=$A94)*MOVIMIENTOS!$E$5:$E$1005)-SUMPRODUCT((MOVIMIENTOS!$B$5:$B$1005="ENVÍO A SUPESA")*(MOVIMIENTOS!$C$5:$C$1005="A")*(MOVIMIENTOS!$D$5:$D$1005="jabas")*(MOVIMIENTOS!$A$5:$A$1005&lt;&gt;"")*(MOVIMIENTOS!$A$5:$A$1005&lt;=$A94)*MOVIMIENTOS!$E$5:$E$1005)+SUMPRODUCT((MOVIMIENTOS!$B$5:$B$1005="DEVOLUCIÓN")*(MOVIMIENTOS!$C$5:$C$1005="A")*(MOVIMIENTOS!$D$5:$D$1005="jabas")*(MOVIMIENTOS!$A$5:$A$1005&lt;&gt;"")*(MOVIMIENTOS!$A$5:$A$1005&lt;=$A94)*MOVIMIENTOS!$E$5:$E$1005)-SUMPRODUCT((MOVIMIENTOS!$B$5:$B$1005="TRASIEGO")*(MOVIMIENTOS!$C$5:$C$1005="A")*(MOVIMIENTOS!$D$5:$D$1005="jabas")*(MOVIMIENTOS!$A$5:$A$1005&lt;&gt;"")*(MOVIMIENTOS!$A$5:$A$1005&lt;=$A94)*MOVIMIENTOS!$E$5:$E$1005)-SUMPRODUCT((MOVIMIENTOS!$B$5:$B$1005="REGALO")*(MOVIMIENTOS!$C$5:$C$1005="A")*(MOVIMIENTOS!$D$5:$D$1005="jabas")*(MOVIMIENTOS!$A$5:$A$1005&lt;&gt;"")*(MOVIMIENTOS!$A$5:$A$1005&lt;=$A94)*MOVIMIENTOS!$E$5:$E$1005)-SUMPRODUCT((MOVIMIENTOS!$B$5:$B$1005="VENTA")*(MOVIMIENTOS!$C$5:$C$1005="A")*(MOVIMIENTOS!$D$5:$D$1005="jabas")*(MOVIMIENTOS!$A$5:$A$1005&lt;&gt;"")*(MOVIMIENTOS!$A$5:$A$1005&lt;=$A94)*MOVIMIENTOS!$E$5:$E$1005)+SUMPRODUCT((MOVIMIENTOS!$B$5:$B$1005="AJUSTE")*(MOVIMIENTOS!$C$5:$C$1005="A")*(MOVIMIENTOS!$D$5:$D$1005="jabas")*(MOVIMIENTOS!$A$5:$A$1005&lt;&gt;"")*(MOVIMIENTOS!$A$5:$A$1005&lt;=$A94)*MOVIMIENTOS!$E$5:$E$1005))</f>
        <v/>
      </c>
      <c r="C94" s="63" t="str">
        <f>IF($A94="","",SUMPRODUCT((MOVIMIENTOS!$B$5:$B$1005="SALDO INICIAL")*(MOVIMIENTOS!$C$5:$C$1005="P")*(MOVIMIENTOS!$D$5:$D$1005="jabas")*(MOVIMIENTOS!$A$5:$A$1005&lt;&gt;"")*(MOVIMIENTOS!$A$5:$A$1005&lt;=$A94)*MOVIMIENTOS!$E$5:$E$1005)+SUMPRODUCT((MOVIMIENTOS!$B$5:$B$1005="PROCESO")*(MOVIMIENTOS!$C$5:$C$1005="P")*(MOVIMIENTOS!$D$5:$D$1005="jabas")*(MOVIMIENTOS!$A$5:$A$1005&lt;&gt;"")*(MOVIMIENTOS!$A$5:$A$1005&lt;=$A94)*MOVIMIENTOS!$E$5:$E$1005)-SUMPRODUCT((MOVIMIENTOS!$B$5:$B$1005="ENVÍO A SUPESA")*(MOVIMIENTOS!$C$5:$C$1005="P")*(MOVIMIENTOS!$D$5:$D$1005="jabas")*(MOVIMIENTOS!$A$5:$A$1005&lt;&gt;"")*(MOVIMIENTOS!$A$5:$A$1005&lt;=$A94)*MOVIMIENTOS!$E$5:$E$1005)+SUMPRODUCT((MOVIMIENTOS!$B$5:$B$1005="DEVOLUCIÓN")*(MOVIMIENTOS!$C$5:$C$1005="P")*(MOVIMIENTOS!$D$5:$D$1005="jabas")*(MOVIMIENTOS!$A$5:$A$1005&lt;&gt;"")*(MOVIMIENTOS!$A$5:$A$1005&lt;=$A94)*MOVIMIENTOS!$E$5:$E$1005)-SUMPRODUCT((MOVIMIENTOS!$B$5:$B$1005="TRASIEGO")*(MOVIMIENTOS!$C$5:$C$1005="P")*(MOVIMIENTOS!$D$5:$D$1005="jabas")*(MOVIMIENTOS!$A$5:$A$1005&lt;&gt;"")*(MOVIMIENTOS!$A$5:$A$1005&lt;=$A94)*MOVIMIENTOS!$E$5:$E$1005)-SUMPRODUCT((MOVIMIENTOS!$B$5:$B$1005="REGALO")*(MOVIMIENTOS!$C$5:$C$1005="P")*(MOVIMIENTOS!$D$5:$D$1005="jabas")*(MOVIMIENTOS!$A$5:$A$1005&lt;&gt;"")*(MOVIMIENTOS!$A$5:$A$1005&lt;=$A94)*MOVIMIENTOS!$E$5:$E$1005)-SUMPRODUCT((MOVIMIENTOS!$B$5:$B$1005="VENTA")*(MOVIMIENTOS!$C$5:$C$1005="P")*(MOVIMIENTOS!$D$5:$D$1005="jabas")*(MOVIMIENTOS!$A$5:$A$1005&lt;&gt;"")*(MOVIMIENTOS!$A$5:$A$1005&lt;=$A94)*MOVIMIENTOS!$E$5:$E$1005)+SUMPRODUCT((MOVIMIENTOS!$B$5:$B$1005="AJUSTE")*(MOVIMIENTOS!$C$5:$C$1005="P")*(MOVIMIENTOS!$D$5:$D$1005="jabas")*(MOVIMIENTOS!$A$5:$A$1005&lt;&gt;"")*(MOVIMIENTOS!$A$5:$A$1005&lt;=$A94)*MOVIMIENTOS!$E$5:$E$1005))</f>
        <v/>
      </c>
      <c r="D94" s="63" t="str">
        <f>IF($A94="","",SUMPRODUCT((MOVIMIENTOS!$B$5:$B$1005="SALDO INICIAL")*(MOVIMIENTOS!$C$5:$C$1005="C")*(MOVIMIENTOS!$D$5:$D$1005="jabas")*(MOVIMIENTOS!$A$5:$A$1005&lt;&gt;"")*(MOVIMIENTOS!$A$5:$A$1005&lt;=$A94)*MOVIMIENTOS!$E$5:$E$1005)+SUMPRODUCT((MOVIMIENTOS!$B$5:$B$1005="PROCESO")*(MOVIMIENTOS!$C$5:$C$1005="C")*(MOVIMIENTOS!$D$5:$D$1005="jabas")*(MOVIMIENTOS!$A$5:$A$1005&lt;&gt;"")*(MOVIMIENTOS!$A$5:$A$1005&lt;=$A94)*MOVIMIENTOS!$E$5:$E$1005)-SUMPRODUCT((MOVIMIENTOS!$B$5:$B$1005="ENVÍO A SUPESA")*(MOVIMIENTOS!$C$5:$C$1005="C")*(MOVIMIENTOS!$D$5:$D$1005="jabas")*(MOVIMIENTOS!$A$5:$A$1005&lt;&gt;"")*(MOVIMIENTOS!$A$5:$A$1005&lt;=$A94)*MOVIMIENTOS!$E$5:$E$1005)+SUMPRODUCT((MOVIMIENTOS!$B$5:$B$1005="DEVOLUCIÓN")*(MOVIMIENTOS!$C$5:$C$1005="C")*(MOVIMIENTOS!$D$5:$D$1005="jabas")*(MOVIMIENTOS!$A$5:$A$1005&lt;&gt;"")*(MOVIMIENTOS!$A$5:$A$1005&lt;=$A94)*MOVIMIENTOS!$E$5:$E$1005)-SUMPRODUCT((MOVIMIENTOS!$B$5:$B$1005="TRASIEGO")*(MOVIMIENTOS!$C$5:$C$1005="C")*(MOVIMIENTOS!$D$5:$D$1005="jabas")*(MOVIMIENTOS!$A$5:$A$1005&lt;&gt;"")*(MOVIMIENTOS!$A$5:$A$1005&lt;=$A94)*MOVIMIENTOS!$E$5:$E$1005)-SUMPRODUCT((MOVIMIENTOS!$B$5:$B$1005="REGALO")*(MOVIMIENTOS!$C$5:$C$1005="C")*(MOVIMIENTOS!$D$5:$D$1005="jabas")*(MOVIMIENTOS!$A$5:$A$1005&lt;&gt;"")*(MOVIMIENTOS!$A$5:$A$1005&lt;=$A94)*MOVIMIENTOS!$E$5:$E$1005)-SUMPRODUCT((MOVIMIENTOS!$B$5:$B$1005="VENTA")*(MOVIMIENTOS!$C$5:$C$1005="C")*(MOVIMIENTOS!$D$5:$D$1005="jabas")*(MOVIMIENTOS!$A$5:$A$1005&lt;&gt;"")*(MOVIMIENTOS!$A$5:$A$1005&lt;=$A94)*MOVIMIENTOS!$E$5:$E$1005)+SUMPRODUCT((MOVIMIENTOS!$B$5:$B$1005="AJUSTE")*(MOVIMIENTOS!$C$5:$C$1005="C")*(MOVIMIENTOS!$D$5:$D$1005="jabas")*(MOVIMIENTOS!$A$5:$A$1005&lt;&gt;"")*(MOVIMIENTOS!$A$5:$A$1005&lt;=$A94)*MOVIMIENTOS!$E$5:$E$1005))</f>
        <v/>
      </c>
      <c r="E94" s="63" t="str">
        <f>IF($A94="","",SUMPRODUCT((MOVIMIENTOS!$B$5:$B$1005="SALDO INICIAL")*(MOVIMIENTOS!$C$5:$C$1005="M")*(MOVIMIENTOS!$D$5:$D$1005="jabas")*(MOVIMIENTOS!$A$5:$A$1005&lt;&gt;"")*(MOVIMIENTOS!$A$5:$A$1005&lt;=$A94)*MOVIMIENTOS!$E$5:$E$1005)+SUMPRODUCT((MOVIMIENTOS!$B$5:$B$1005="PROCESO")*(MOVIMIENTOS!$C$5:$C$1005="M")*(MOVIMIENTOS!$D$5:$D$1005="jabas")*(MOVIMIENTOS!$A$5:$A$1005&lt;&gt;"")*(MOVIMIENTOS!$A$5:$A$1005&lt;=$A94)*MOVIMIENTOS!$E$5:$E$1005)-SUMPRODUCT((MOVIMIENTOS!$B$5:$B$1005="ENVÍO A SUPESA")*(MOVIMIENTOS!$C$5:$C$1005="M")*(MOVIMIENTOS!$D$5:$D$1005="jabas")*(MOVIMIENTOS!$A$5:$A$1005&lt;&gt;"")*(MOVIMIENTOS!$A$5:$A$1005&lt;=$A94)*MOVIMIENTOS!$E$5:$E$1005)+SUMPRODUCT((MOVIMIENTOS!$B$5:$B$1005="DEVOLUCIÓN")*(MOVIMIENTOS!$C$5:$C$1005="M")*(MOVIMIENTOS!$D$5:$D$1005="jabas")*(MOVIMIENTOS!$A$5:$A$1005&lt;&gt;"")*(MOVIMIENTOS!$A$5:$A$1005&lt;=$A94)*MOVIMIENTOS!$E$5:$E$1005)-SUMPRODUCT((MOVIMIENTOS!$B$5:$B$1005="TRASIEGO")*(MOVIMIENTOS!$C$5:$C$1005="M")*(MOVIMIENTOS!$D$5:$D$1005="jabas")*(MOVIMIENTOS!$A$5:$A$1005&lt;&gt;"")*(MOVIMIENTOS!$A$5:$A$1005&lt;=$A94)*MOVIMIENTOS!$E$5:$E$1005)-SUMPRODUCT((MOVIMIENTOS!$B$5:$B$1005="REGALO")*(MOVIMIENTOS!$C$5:$C$1005="M")*(MOVIMIENTOS!$D$5:$D$1005="jabas")*(MOVIMIENTOS!$A$5:$A$1005&lt;&gt;"")*(MOVIMIENTOS!$A$5:$A$1005&lt;=$A94)*MOVIMIENTOS!$E$5:$E$1005)-SUMPRODUCT((MOVIMIENTOS!$B$5:$B$1005="VENTA")*(MOVIMIENTOS!$C$5:$C$1005="M")*(MOVIMIENTOS!$D$5:$D$1005="jabas")*(MOVIMIENTOS!$A$5:$A$1005&lt;&gt;"")*(MOVIMIENTOS!$A$5:$A$1005&lt;=$A94)*MOVIMIENTOS!$E$5:$E$1005)+SUMPRODUCT((MOVIMIENTOS!$B$5:$B$1005="AJUSTE")*(MOVIMIENTOS!$C$5:$C$1005="M")*(MOVIMIENTOS!$D$5:$D$1005="jabas")*(MOVIMIENTOS!$A$5:$A$1005&lt;&gt;"")*(MOVIMIENTOS!$A$5:$A$1005&lt;=$A94)*MOVIMIENTOS!$E$5:$E$1005))</f>
        <v/>
      </c>
      <c r="F94" s="63" t="str">
        <f>IF($A94="","",SUMPRODUCT((MOVIMIENTOS!$B$5:$B$1005="SALDO INICIAL")*(MOVIMIENTOS!$C$5:$C$1005="Chancho")*(MOVIMIENTOS!$D$5:$D$1005="sacos")*(MOVIMIENTOS!$A$5:$A$1005&lt;&gt;"")*(MOVIMIENTOS!$A$5:$A$1005&lt;=$A94)*MOVIMIENTOS!$E$5:$E$1005)+SUMPRODUCT((MOVIMIENTOS!$B$5:$B$1005="PROCESO")*(MOVIMIENTOS!$C$5:$C$1005="Chancho")*(MOVIMIENTOS!$D$5:$D$1005="sacos")*(MOVIMIENTOS!$A$5:$A$1005&lt;&gt;"")*(MOVIMIENTOS!$A$5:$A$1005&lt;=$A94)*MOVIMIENTOS!$E$5:$E$1005)-SUMPRODUCT((MOVIMIENTOS!$B$5:$B$1005="VENTA CHANCHO")*(MOVIMIENTOS!$C$5:$C$1005="Chancho")*(MOVIMIENTOS!$D$5:$D$1005="sacos")*(MOVIMIENTOS!$A$5:$A$1005&lt;&gt;"")*(MOVIMIENTOS!$A$5:$A$1005&lt;=$A94)*MOVIMIENTOS!$E$5:$E$1005)-SUMPRODUCT((MOVIMIENTOS!$B$5:$B$1005="REGALO")*(MOVIMIENTOS!$C$5:$C$1005="Chancho")*(MOVIMIENTOS!$D$5:$D$1005="sacos")*(MOVIMIENTOS!$A$5:$A$1005&lt;&gt;"")*(MOVIMIENTOS!$A$5:$A$1005&lt;=$A94)*MOVIMIENTOS!$E$5:$E$1005)-SUMPRODUCT((MOVIMIENTOS!$B$5:$B$1005="VENTA")*(MOVIMIENTOS!$C$5:$C$1005="Chancho")*(MOVIMIENTOS!$D$5:$D$1005="sacos")*(MOVIMIENTOS!$A$5:$A$1005&lt;&gt;"")*(MOVIMIENTOS!$A$5:$A$1005&lt;=$A94)*MOVIMIENTOS!$E$5:$E$1005)+SUMPRODUCT((MOVIMIENTOS!$B$5:$B$1005="AJUSTE")*(MOVIMIENTOS!$C$5:$C$1005="Chancho")*(MOVIMIENTOS!$D$5:$D$1005="sacos")*(MOVIMIENTOS!$A$5:$A$1005&lt;&gt;"")*(MOVIMIENTOS!$A$5:$A$1005&lt;=$A94)*MOVIMIENTOS!$E$5:$E$1005))</f>
        <v/>
      </c>
      <c r="G94" s="95" t="str">
        <f t="shared" si="3"/>
        <v/>
      </c>
      <c r="H94" s="63" t="str">
        <f>IF($A94="","",SUMPRODUCT((((MOVIMIENTOS!$B$5:$B$1005="SALDO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94)*MOVIMIENTOS!$J$5:$J$1005))</f>
        <v/>
      </c>
      <c r="I94" s="63"/>
      <c r="J94" s="63" t="str">
        <f>IF(AND(MOVIMIENTOS!$A94&lt;&gt;"",COUNTIF(MOVIMIENTOS!$A$5:$A93,MOVIMIENTOS!$A94)=0),COUNT(J$4:J93)+1,"")</f>
        <v/>
      </c>
      <c r="K94" s="66">
        <f>MOVIMIENTOS!$A94</f>
        <v>46222</v>
      </c>
      <c r="L94" s="63"/>
      <c r="M94" s="63"/>
      <c r="N94" s="63"/>
    </row>
    <row r="95" spans="1:14" ht="15" customHeight="1" x14ac:dyDescent="0.2">
      <c r="A95" s="63" t="str">
        <f t="shared" si="2"/>
        <v/>
      </c>
      <c r="B95" s="63" t="str">
        <f>IF($A95="","",SUMPRODUCT((MOVIMIENTOS!$B$5:$B$1005="SALDO INICIAL")*(MOVIMIENTOS!$C$5:$C$1005="A")*(MOVIMIENTOS!$D$5:$D$1005="jabas")*(MOVIMIENTOS!$A$5:$A$1005&lt;&gt;"")*(MOVIMIENTOS!$A$5:$A$1005&lt;=$A95)*MOVIMIENTOS!$E$5:$E$1005)+SUMPRODUCT((MOVIMIENTOS!$B$5:$B$1005="PROCESO")*(MOVIMIENTOS!$C$5:$C$1005="A")*(MOVIMIENTOS!$D$5:$D$1005="jabas")*(MOVIMIENTOS!$A$5:$A$1005&lt;&gt;"")*(MOVIMIENTOS!$A$5:$A$1005&lt;=$A95)*MOVIMIENTOS!$E$5:$E$1005)-SUMPRODUCT((MOVIMIENTOS!$B$5:$B$1005="ENVÍO A SUPESA")*(MOVIMIENTOS!$C$5:$C$1005="A")*(MOVIMIENTOS!$D$5:$D$1005="jabas")*(MOVIMIENTOS!$A$5:$A$1005&lt;&gt;"")*(MOVIMIENTOS!$A$5:$A$1005&lt;=$A95)*MOVIMIENTOS!$E$5:$E$1005)+SUMPRODUCT((MOVIMIENTOS!$B$5:$B$1005="DEVOLUCIÓN")*(MOVIMIENTOS!$C$5:$C$1005="A")*(MOVIMIENTOS!$D$5:$D$1005="jabas")*(MOVIMIENTOS!$A$5:$A$1005&lt;&gt;"")*(MOVIMIENTOS!$A$5:$A$1005&lt;=$A95)*MOVIMIENTOS!$E$5:$E$1005)-SUMPRODUCT((MOVIMIENTOS!$B$5:$B$1005="TRASIEGO")*(MOVIMIENTOS!$C$5:$C$1005="A")*(MOVIMIENTOS!$D$5:$D$1005="jabas")*(MOVIMIENTOS!$A$5:$A$1005&lt;&gt;"")*(MOVIMIENTOS!$A$5:$A$1005&lt;=$A95)*MOVIMIENTOS!$E$5:$E$1005)-SUMPRODUCT((MOVIMIENTOS!$B$5:$B$1005="REGALO")*(MOVIMIENTOS!$C$5:$C$1005="A")*(MOVIMIENTOS!$D$5:$D$1005="jabas")*(MOVIMIENTOS!$A$5:$A$1005&lt;&gt;"")*(MOVIMIENTOS!$A$5:$A$1005&lt;=$A95)*MOVIMIENTOS!$E$5:$E$1005)-SUMPRODUCT((MOVIMIENTOS!$B$5:$B$1005="VENTA")*(MOVIMIENTOS!$C$5:$C$1005="A")*(MOVIMIENTOS!$D$5:$D$1005="jabas")*(MOVIMIENTOS!$A$5:$A$1005&lt;&gt;"")*(MOVIMIENTOS!$A$5:$A$1005&lt;=$A95)*MOVIMIENTOS!$E$5:$E$1005)+SUMPRODUCT((MOVIMIENTOS!$B$5:$B$1005="AJUSTE")*(MOVIMIENTOS!$C$5:$C$1005="A")*(MOVIMIENTOS!$D$5:$D$1005="jabas")*(MOVIMIENTOS!$A$5:$A$1005&lt;&gt;"")*(MOVIMIENTOS!$A$5:$A$1005&lt;=$A95)*MOVIMIENTOS!$E$5:$E$1005))</f>
        <v/>
      </c>
      <c r="C95" s="63" t="str">
        <f>IF($A95="","",SUMPRODUCT((MOVIMIENTOS!$B$5:$B$1005="SALDO INICIAL")*(MOVIMIENTOS!$C$5:$C$1005="P")*(MOVIMIENTOS!$D$5:$D$1005="jabas")*(MOVIMIENTOS!$A$5:$A$1005&lt;&gt;"")*(MOVIMIENTOS!$A$5:$A$1005&lt;=$A95)*MOVIMIENTOS!$E$5:$E$1005)+SUMPRODUCT((MOVIMIENTOS!$B$5:$B$1005="PROCESO")*(MOVIMIENTOS!$C$5:$C$1005="P")*(MOVIMIENTOS!$D$5:$D$1005="jabas")*(MOVIMIENTOS!$A$5:$A$1005&lt;&gt;"")*(MOVIMIENTOS!$A$5:$A$1005&lt;=$A95)*MOVIMIENTOS!$E$5:$E$1005)-SUMPRODUCT((MOVIMIENTOS!$B$5:$B$1005="ENVÍO A SUPESA")*(MOVIMIENTOS!$C$5:$C$1005="P")*(MOVIMIENTOS!$D$5:$D$1005="jabas")*(MOVIMIENTOS!$A$5:$A$1005&lt;&gt;"")*(MOVIMIENTOS!$A$5:$A$1005&lt;=$A95)*MOVIMIENTOS!$E$5:$E$1005)+SUMPRODUCT((MOVIMIENTOS!$B$5:$B$1005="DEVOLUCIÓN")*(MOVIMIENTOS!$C$5:$C$1005="P")*(MOVIMIENTOS!$D$5:$D$1005="jabas")*(MOVIMIENTOS!$A$5:$A$1005&lt;&gt;"")*(MOVIMIENTOS!$A$5:$A$1005&lt;=$A95)*MOVIMIENTOS!$E$5:$E$1005)-SUMPRODUCT((MOVIMIENTOS!$B$5:$B$1005="TRASIEGO")*(MOVIMIENTOS!$C$5:$C$1005="P")*(MOVIMIENTOS!$D$5:$D$1005="jabas")*(MOVIMIENTOS!$A$5:$A$1005&lt;&gt;"")*(MOVIMIENTOS!$A$5:$A$1005&lt;=$A95)*MOVIMIENTOS!$E$5:$E$1005)-SUMPRODUCT((MOVIMIENTOS!$B$5:$B$1005="REGALO")*(MOVIMIENTOS!$C$5:$C$1005="P")*(MOVIMIENTOS!$D$5:$D$1005="jabas")*(MOVIMIENTOS!$A$5:$A$1005&lt;&gt;"")*(MOVIMIENTOS!$A$5:$A$1005&lt;=$A95)*MOVIMIENTOS!$E$5:$E$1005)-SUMPRODUCT((MOVIMIENTOS!$B$5:$B$1005="VENTA")*(MOVIMIENTOS!$C$5:$C$1005="P")*(MOVIMIENTOS!$D$5:$D$1005="jabas")*(MOVIMIENTOS!$A$5:$A$1005&lt;&gt;"")*(MOVIMIENTOS!$A$5:$A$1005&lt;=$A95)*MOVIMIENTOS!$E$5:$E$1005)+SUMPRODUCT((MOVIMIENTOS!$B$5:$B$1005="AJUSTE")*(MOVIMIENTOS!$C$5:$C$1005="P")*(MOVIMIENTOS!$D$5:$D$1005="jabas")*(MOVIMIENTOS!$A$5:$A$1005&lt;&gt;"")*(MOVIMIENTOS!$A$5:$A$1005&lt;=$A95)*MOVIMIENTOS!$E$5:$E$1005))</f>
        <v/>
      </c>
      <c r="D95" s="63" t="str">
        <f>IF($A95="","",SUMPRODUCT((MOVIMIENTOS!$B$5:$B$1005="SALDO INICIAL")*(MOVIMIENTOS!$C$5:$C$1005="C")*(MOVIMIENTOS!$D$5:$D$1005="jabas")*(MOVIMIENTOS!$A$5:$A$1005&lt;&gt;"")*(MOVIMIENTOS!$A$5:$A$1005&lt;=$A95)*MOVIMIENTOS!$E$5:$E$1005)+SUMPRODUCT((MOVIMIENTOS!$B$5:$B$1005="PROCESO")*(MOVIMIENTOS!$C$5:$C$1005="C")*(MOVIMIENTOS!$D$5:$D$1005="jabas")*(MOVIMIENTOS!$A$5:$A$1005&lt;&gt;"")*(MOVIMIENTOS!$A$5:$A$1005&lt;=$A95)*MOVIMIENTOS!$E$5:$E$1005)-SUMPRODUCT((MOVIMIENTOS!$B$5:$B$1005="ENVÍO A SUPESA")*(MOVIMIENTOS!$C$5:$C$1005="C")*(MOVIMIENTOS!$D$5:$D$1005="jabas")*(MOVIMIENTOS!$A$5:$A$1005&lt;&gt;"")*(MOVIMIENTOS!$A$5:$A$1005&lt;=$A95)*MOVIMIENTOS!$E$5:$E$1005)+SUMPRODUCT((MOVIMIENTOS!$B$5:$B$1005="DEVOLUCIÓN")*(MOVIMIENTOS!$C$5:$C$1005="C")*(MOVIMIENTOS!$D$5:$D$1005="jabas")*(MOVIMIENTOS!$A$5:$A$1005&lt;&gt;"")*(MOVIMIENTOS!$A$5:$A$1005&lt;=$A95)*MOVIMIENTOS!$E$5:$E$1005)-SUMPRODUCT((MOVIMIENTOS!$B$5:$B$1005="TRASIEGO")*(MOVIMIENTOS!$C$5:$C$1005="C")*(MOVIMIENTOS!$D$5:$D$1005="jabas")*(MOVIMIENTOS!$A$5:$A$1005&lt;&gt;"")*(MOVIMIENTOS!$A$5:$A$1005&lt;=$A95)*MOVIMIENTOS!$E$5:$E$1005)-SUMPRODUCT((MOVIMIENTOS!$B$5:$B$1005="REGALO")*(MOVIMIENTOS!$C$5:$C$1005="C")*(MOVIMIENTOS!$D$5:$D$1005="jabas")*(MOVIMIENTOS!$A$5:$A$1005&lt;&gt;"")*(MOVIMIENTOS!$A$5:$A$1005&lt;=$A95)*MOVIMIENTOS!$E$5:$E$1005)-SUMPRODUCT((MOVIMIENTOS!$B$5:$B$1005="VENTA")*(MOVIMIENTOS!$C$5:$C$1005="C")*(MOVIMIENTOS!$D$5:$D$1005="jabas")*(MOVIMIENTOS!$A$5:$A$1005&lt;&gt;"")*(MOVIMIENTOS!$A$5:$A$1005&lt;=$A95)*MOVIMIENTOS!$E$5:$E$1005)+SUMPRODUCT((MOVIMIENTOS!$B$5:$B$1005="AJUSTE")*(MOVIMIENTOS!$C$5:$C$1005="C")*(MOVIMIENTOS!$D$5:$D$1005="jabas")*(MOVIMIENTOS!$A$5:$A$1005&lt;&gt;"")*(MOVIMIENTOS!$A$5:$A$1005&lt;=$A95)*MOVIMIENTOS!$E$5:$E$1005))</f>
        <v/>
      </c>
      <c r="E95" s="63" t="str">
        <f>IF($A95="","",SUMPRODUCT((MOVIMIENTOS!$B$5:$B$1005="SALDO INICIAL")*(MOVIMIENTOS!$C$5:$C$1005="M")*(MOVIMIENTOS!$D$5:$D$1005="jabas")*(MOVIMIENTOS!$A$5:$A$1005&lt;&gt;"")*(MOVIMIENTOS!$A$5:$A$1005&lt;=$A95)*MOVIMIENTOS!$E$5:$E$1005)+SUMPRODUCT((MOVIMIENTOS!$B$5:$B$1005="PROCESO")*(MOVIMIENTOS!$C$5:$C$1005="M")*(MOVIMIENTOS!$D$5:$D$1005="jabas")*(MOVIMIENTOS!$A$5:$A$1005&lt;&gt;"")*(MOVIMIENTOS!$A$5:$A$1005&lt;=$A95)*MOVIMIENTOS!$E$5:$E$1005)-SUMPRODUCT((MOVIMIENTOS!$B$5:$B$1005="ENVÍO A SUPESA")*(MOVIMIENTOS!$C$5:$C$1005="M")*(MOVIMIENTOS!$D$5:$D$1005="jabas")*(MOVIMIENTOS!$A$5:$A$1005&lt;&gt;"")*(MOVIMIENTOS!$A$5:$A$1005&lt;=$A95)*MOVIMIENTOS!$E$5:$E$1005)+SUMPRODUCT((MOVIMIENTOS!$B$5:$B$1005="DEVOLUCIÓN")*(MOVIMIENTOS!$C$5:$C$1005="M")*(MOVIMIENTOS!$D$5:$D$1005="jabas")*(MOVIMIENTOS!$A$5:$A$1005&lt;&gt;"")*(MOVIMIENTOS!$A$5:$A$1005&lt;=$A95)*MOVIMIENTOS!$E$5:$E$1005)-SUMPRODUCT((MOVIMIENTOS!$B$5:$B$1005="TRASIEGO")*(MOVIMIENTOS!$C$5:$C$1005="M")*(MOVIMIENTOS!$D$5:$D$1005="jabas")*(MOVIMIENTOS!$A$5:$A$1005&lt;&gt;"")*(MOVIMIENTOS!$A$5:$A$1005&lt;=$A95)*MOVIMIENTOS!$E$5:$E$1005)-SUMPRODUCT((MOVIMIENTOS!$B$5:$B$1005="REGALO")*(MOVIMIENTOS!$C$5:$C$1005="M")*(MOVIMIENTOS!$D$5:$D$1005="jabas")*(MOVIMIENTOS!$A$5:$A$1005&lt;&gt;"")*(MOVIMIENTOS!$A$5:$A$1005&lt;=$A95)*MOVIMIENTOS!$E$5:$E$1005)-SUMPRODUCT((MOVIMIENTOS!$B$5:$B$1005="VENTA")*(MOVIMIENTOS!$C$5:$C$1005="M")*(MOVIMIENTOS!$D$5:$D$1005="jabas")*(MOVIMIENTOS!$A$5:$A$1005&lt;&gt;"")*(MOVIMIENTOS!$A$5:$A$1005&lt;=$A95)*MOVIMIENTOS!$E$5:$E$1005)+SUMPRODUCT((MOVIMIENTOS!$B$5:$B$1005="AJUSTE")*(MOVIMIENTOS!$C$5:$C$1005="M")*(MOVIMIENTOS!$D$5:$D$1005="jabas")*(MOVIMIENTOS!$A$5:$A$1005&lt;&gt;"")*(MOVIMIENTOS!$A$5:$A$1005&lt;=$A95)*MOVIMIENTOS!$E$5:$E$1005))</f>
        <v/>
      </c>
      <c r="F95" s="63" t="str">
        <f>IF($A95="","",SUMPRODUCT((MOVIMIENTOS!$B$5:$B$1005="SALDO INICIAL")*(MOVIMIENTOS!$C$5:$C$1005="Chancho")*(MOVIMIENTOS!$D$5:$D$1005="sacos")*(MOVIMIENTOS!$A$5:$A$1005&lt;&gt;"")*(MOVIMIENTOS!$A$5:$A$1005&lt;=$A95)*MOVIMIENTOS!$E$5:$E$1005)+SUMPRODUCT((MOVIMIENTOS!$B$5:$B$1005="PROCESO")*(MOVIMIENTOS!$C$5:$C$1005="Chancho")*(MOVIMIENTOS!$D$5:$D$1005="sacos")*(MOVIMIENTOS!$A$5:$A$1005&lt;&gt;"")*(MOVIMIENTOS!$A$5:$A$1005&lt;=$A95)*MOVIMIENTOS!$E$5:$E$1005)-SUMPRODUCT((MOVIMIENTOS!$B$5:$B$1005="VENTA CHANCHO")*(MOVIMIENTOS!$C$5:$C$1005="Chancho")*(MOVIMIENTOS!$D$5:$D$1005="sacos")*(MOVIMIENTOS!$A$5:$A$1005&lt;&gt;"")*(MOVIMIENTOS!$A$5:$A$1005&lt;=$A95)*MOVIMIENTOS!$E$5:$E$1005)-SUMPRODUCT((MOVIMIENTOS!$B$5:$B$1005="REGALO")*(MOVIMIENTOS!$C$5:$C$1005="Chancho")*(MOVIMIENTOS!$D$5:$D$1005="sacos")*(MOVIMIENTOS!$A$5:$A$1005&lt;&gt;"")*(MOVIMIENTOS!$A$5:$A$1005&lt;=$A95)*MOVIMIENTOS!$E$5:$E$1005)-SUMPRODUCT((MOVIMIENTOS!$B$5:$B$1005="VENTA")*(MOVIMIENTOS!$C$5:$C$1005="Chancho")*(MOVIMIENTOS!$D$5:$D$1005="sacos")*(MOVIMIENTOS!$A$5:$A$1005&lt;&gt;"")*(MOVIMIENTOS!$A$5:$A$1005&lt;=$A95)*MOVIMIENTOS!$E$5:$E$1005)+SUMPRODUCT((MOVIMIENTOS!$B$5:$B$1005="AJUSTE")*(MOVIMIENTOS!$C$5:$C$1005="Chancho")*(MOVIMIENTOS!$D$5:$D$1005="sacos")*(MOVIMIENTOS!$A$5:$A$1005&lt;&gt;"")*(MOVIMIENTOS!$A$5:$A$1005&lt;=$A95)*MOVIMIENTOS!$E$5:$E$1005))</f>
        <v/>
      </c>
      <c r="G95" s="95" t="str">
        <f t="shared" si="3"/>
        <v/>
      </c>
      <c r="H95" s="63" t="str">
        <f>IF($A95="","",SUMPRODUCT((((MOVIMIENTOS!$B$5:$B$1005="SALDO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95)*MOVIMIENTOS!$J$5:$J$1005))</f>
        <v/>
      </c>
      <c r="I95" s="63"/>
      <c r="J95" s="63" t="str">
        <f>IF(AND(MOVIMIENTOS!$A95&lt;&gt;"",COUNTIF(MOVIMIENTOS!$A$5:$A94,MOVIMIENTOS!$A95)=0),COUNT(J$4:J94)+1,"")</f>
        <v/>
      </c>
      <c r="K95" s="66">
        <f>MOVIMIENTOS!$A95</f>
        <v>46222</v>
      </c>
      <c r="L95" s="63"/>
      <c r="M95" s="63"/>
      <c r="N95" s="63"/>
    </row>
    <row r="96" spans="1:14" ht="15" customHeight="1" x14ac:dyDescent="0.2">
      <c r="A96" s="63" t="str">
        <f t="shared" si="2"/>
        <v/>
      </c>
      <c r="B96" s="63" t="str">
        <f>IF($A96="","",SUMPRODUCT((MOVIMIENTOS!$B$5:$B$1005="SALDO INICIAL")*(MOVIMIENTOS!$C$5:$C$1005="A")*(MOVIMIENTOS!$D$5:$D$1005="jabas")*(MOVIMIENTOS!$A$5:$A$1005&lt;&gt;"")*(MOVIMIENTOS!$A$5:$A$1005&lt;=$A96)*MOVIMIENTOS!$E$5:$E$1005)+SUMPRODUCT((MOVIMIENTOS!$B$5:$B$1005="PROCESO")*(MOVIMIENTOS!$C$5:$C$1005="A")*(MOVIMIENTOS!$D$5:$D$1005="jabas")*(MOVIMIENTOS!$A$5:$A$1005&lt;&gt;"")*(MOVIMIENTOS!$A$5:$A$1005&lt;=$A96)*MOVIMIENTOS!$E$5:$E$1005)-SUMPRODUCT((MOVIMIENTOS!$B$5:$B$1005="ENVÍO A SUPESA")*(MOVIMIENTOS!$C$5:$C$1005="A")*(MOVIMIENTOS!$D$5:$D$1005="jabas")*(MOVIMIENTOS!$A$5:$A$1005&lt;&gt;"")*(MOVIMIENTOS!$A$5:$A$1005&lt;=$A96)*MOVIMIENTOS!$E$5:$E$1005)+SUMPRODUCT((MOVIMIENTOS!$B$5:$B$1005="DEVOLUCIÓN")*(MOVIMIENTOS!$C$5:$C$1005="A")*(MOVIMIENTOS!$D$5:$D$1005="jabas")*(MOVIMIENTOS!$A$5:$A$1005&lt;&gt;"")*(MOVIMIENTOS!$A$5:$A$1005&lt;=$A96)*MOVIMIENTOS!$E$5:$E$1005)-SUMPRODUCT((MOVIMIENTOS!$B$5:$B$1005="TRASIEGO")*(MOVIMIENTOS!$C$5:$C$1005="A")*(MOVIMIENTOS!$D$5:$D$1005="jabas")*(MOVIMIENTOS!$A$5:$A$1005&lt;&gt;"")*(MOVIMIENTOS!$A$5:$A$1005&lt;=$A96)*MOVIMIENTOS!$E$5:$E$1005)-SUMPRODUCT((MOVIMIENTOS!$B$5:$B$1005="REGALO")*(MOVIMIENTOS!$C$5:$C$1005="A")*(MOVIMIENTOS!$D$5:$D$1005="jabas")*(MOVIMIENTOS!$A$5:$A$1005&lt;&gt;"")*(MOVIMIENTOS!$A$5:$A$1005&lt;=$A96)*MOVIMIENTOS!$E$5:$E$1005)-SUMPRODUCT((MOVIMIENTOS!$B$5:$B$1005="VENTA")*(MOVIMIENTOS!$C$5:$C$1005="A")*(MOVIMIENTOS!$D$5:$D$1005="jabas")*(MOVIMIENTOS!$A$5:$A$1005&lt;&gt;"")*(MOVIMIENTOS!$A$5:$A$1005&lt;=$A96)*MOVIMIENTOS!$E$5:$E$1005)+SUMPRODUCT((MOVIMIENTOS!$B$5:$B$1005="AJUSTE")*(MOVIMIENTOS!$C$5:$C$1005="A")*(MOVIMIENTOS!$D$5:$D$1005="jabas")*(MOVIMIENTOS!$A$5:$A$1005&lt;&gt;"")*(MOVIMIENTOS!$A$5:$A$1005&lt;=$A96)*MOVIMIENTOS!$E$5:$E$1005))</f>
        <v/>
      </c>
      <c r="C96" s="63" t="str">
        <f>IF($A96="","",SUMPRODUCT((MOVIMIENTOS!$B$5:$B$1005="SALDO INICIAL")*(MOVIMIENTOS!$C$5:$C$1005="P")*(MOVIMIENTOS!$D$5:$D$1005="jabas")*(MOVIMIENTOS!$A$5:$A$1005&lt;&gt;"")*(MOVIMIENTOS!$A$5:$A$1005&lt;=$A96)*MOVIMIENTOS!$E$5:$E$1005)+SUMPRODUCT((MOVIMIENTOS!$B$5:$B$1005="PROCESO")*(MOVIMIENTOS!$C$5:$C$1005="P")*(MOVIMIENTOS!$D$5:$D$1005="jabas")*(MOVIMIENTOS!$A$5:$A$1005&lt;&gt;"")*(MOVIMIENTOS!$A$5:$A$1005&lt;=$A96)*MOVIMIENTOS!$E$5:$E$1005)-SUMPRODUCT((MOVIMIENTOS!$B$5:$B$1005="ENVÍO A SUPESA")*(MOVIMIENTOS!$C$5:$C$1005="P")*(MOVIMIENTOS!$D$5:$D$1005="jabas")*(MOVIMIENTOS!$A$5:$A$1005&lt;&gt;"")*(MOVIMIENTOS!$A$5:$A$1005&lt;=$A96)*MOVIMIENTOS!$E$5:$E$1005)+SUMPRODUCT((MOVIMIENTOS!$B$5:$B$1005="DEVOLUCIÓN")*(MOVIMIENTOS!$C$5:$C$1005="P")*(MOVIMIENTOS!$D$5:$D$1005="jabas")*(MOVIMIENTOS!$A$5:$A$1005&lt;&gt;"")*(MOVIMIENTOS!$A$5:$A$1005&lt;=$A96)*MOVIMIENTOS!$E$5:$E$1005)-SUMPRODUCT((MOVIMIENTOS!$B$5:$B$1005="TRASIEGO")*(MOVIMIENTOS!$C$5:$C$1005="P")*(MOVIMIENTOS!$D$5:$D$1005="jabas")*(MOVIMIENTOS!$A$5:$A$1005&lt;&gt;"")*(MOVIMIENTOS!$A$5:$A$1005&lt;=$A96)*MOVIMIENTOS!$E$5:$E$1005)-SUMPRODUCT((MOVIMIENTOS!$B$5:$B$1005="REGALO")*(MOVIMIENTOS!$C$5:$C$1005="P")*(MOVIMIENTOS!$D$5:$D$1005="jabas")*(MOVIMIENTOS!$A$5:$A$1005&lt;&gt;"")*(MOVIMIENTOS!$A$5:$A$1005&lt;=$A96)*MOVIMIENTOS!$E$5:$E$1005)-SUMPRODUCT((MOVIMIENTOS!$B$5:$B$1005="VENTA")*(MOVIMIENTOS!$C$5:$C$1005="P")*(MOVIMIENTOS!$D$5:$D$1005="jabas")*(MOVIMIENTOS!$A$5:$A$1005&lt;&gt;"")*(MOVIMIENTOS!$A$5:$A$1005&lt;=$A96)*MOVIMIENTOS!$E$5:$E$1005)+SUMPRODUCT((MOVIMIENTOS!$B$5:$B$1005="AJUSTE")*(MOVIMIENTOS!$C$5:$C$1005="P")*(MOVIMIENTOS!$D$5:$D$1005="jabas")*(MOVIMIENTOS!$A$5:$A$1005&lt;&gt;"")*(MOVIMIENTOS!$A$5:$A$1005&lt;=$A96)*MOVIMIENTOS!$E$5:$E$1005))</f>
        <v/>
      </c>
      <c r="D96" s="63" t="str">
        <f>IF($A96="","",SUMPRODUCT((MOVIMIENTOS!$B$5:$B$1005="SALDO INICIAL")*(MOVIMIENTOS!$C$5:$C$1005="C")*(MOVIMIENTOS!$D$5:$D$1005="jabas")*(MOVIMIENTOS!$A$5:$A$1005&lt;&gt;"")*(MOVIMIENTOS!$A$5:$A$1005&lt;=$A96)*MOVIMIENTOS!$E$5:$E$1005)+SUMPRODUCT((MOVIMIENTOS!$B$5:$B$1005="PROCESO")*(MOVIMIENTOS!$C$5:$C$1005="C")*(MOVIMIENTOS!$D$5:$D$1005="jabas")*(MOVIMIENTOS!$A$5:$A$1005&lt;&gt;"")*(MOVIMIENTOS!$A$5:$A$1005&lt;=$A96)*MOVIMIENTOS!$E$5:$E$1005)-SUMPRODUCT((MOVIMIENTOS!$B$5:$B$1005="ENVÍO A SUPESA")*(MOVIMIENTOS!$C$5:$C$1005="C")*(MOVIMIENTOS!$D$5:$D$1005="jabas")*(MOVIMIENTOS!$A$5:$A$1005&lt;&gt;"")*(MOVIMIENTOS!$A$5:$A$1005&lt;=$A96)*MOVIMIENTOS!$E$5:$E$1005)+SUMPRODUCT((MOVIMIENTOS!$B$5:$B$1005="DEVOLUCIÓN")*(MOVIMIENTOS!$C$5:$C$1005="C")*(MOVIMIENTOS!$D$5:$D$1005="jabas")*(MOVIMIENTOS!$A$5:$A$1005&lt;&gt;"")*(MOVIMIENTOS!$A$5:$A$1005&lt;=$A96)*MOVIMIENTOS!$E$5:$E$1005)-SUMPRODUCT((MOVIMIENTOS!$B$5:$B$1005="TRASIEGO")*(MOVIMIENTOS!$C$5:$C$1005="C")*(MOVIMIENTOS!$D$5:$D$1005="jabas")*(MOVIMIENTOS!$A$5:$A$1005&lt;&gt;"")*(MOVIMIENTOS!$A$5:$A$1005&lt;=$A96)*MOVIMIENTOS!$E$5:$E$1005)-SUMPRODUCT((MOVIMIENTOS!$B$5:$B$1005="REGALO")*(MOVIMIENTOS!$C$5:$C$1005="C")*(MOVIMIENTOS!$D$5:$D$1005="jabas")*(MOVIMIENTOS!$A$5:$A$1005&lt;&gt;"")*(MOVIMIENTOS!$A$5:$A$1005&lt;=$A96)*MOVIMIENTOS!$E$5:$E$1005)-SUMPRODUCT((MOVIMIENTOS!$B$5:$B$1005="VENTA")*(MOVIMIENTOS!$C$5:$C$1005="C")*(MOVIMIENTOS!$D$5:$D$1005="jabas")*(MOVIMIENTOS!$A$5:$A$1005&lt;&gt;"")*(MOVIMIENTOS!$A$5:$A$1005&lt;=$A96)*MOVIMIENTOS!$E$5:$E$1005)+SUMPRODUCT((MOVIMIENTOS!$B$5:$B$1005="AJUSTE")*(MOVIMIENTOS!$C$5:$C$1005="C")*(MOVIMIENTOS!$D$5:$D$1005="jabas")*(MOVIMIENTOS!$A$5:$A$1005&lt;&gt;"")*(MOVIMIENTOS!$A$5:$A$1005&lt;=$A96)*MOVIMIENTOS!$E$5:$E$1005))</f>
        <v/>
      </c>
      <c r="E96" s="63" t="str">
        <f>IF($A96="","",SUMPRODUCT((MOVIMIENTOS!$B$5:$B$1005="SALDO INICIAL")*(MOVIMIENTOS!$C$5:$C$1005="M")*(MOVIMIENTOS!$D$5:$D$1005="jabas")*(MOVIMIENTOS!$A$5:$A$1005&lt;&gt;"")*(MOVIMIENTOS!$A$5:$A$1005&lt;=$A96)*MOVIMIENTOS!$E$5:$E$1005)+SUMPRODUCT((MOVIMIENTOS!$B$5:$B$1005="PROCESO")*(MOVIMIENTOS!$C$5:$C$1005="M")*(MOVIMIENTOS!$D$5:$D$1005="jabas")*(MOVIMIENTOS!$A$5:$A$1005&lt;&gt;"")*(MOVIMIENTOS!$A$5:$A$1005&lt;=$A96)*MOVIMIENTOS!$E$5:$E$1005)-SUMPRODUCT((MOVIMIENTOS!$B$5:$B$1005="ENVÍO A SUPESA")*(MOVIMIENTOS!$C$5:$C$1005="M")*(MOVIMIENTOS!$D$5:$D$1005="jabas")*(MOVIMIENTOS!$A$5:$A$1005&lt;&gt;"")*(MOVIMIENTOS!$A$5:$A$1005&lt;=$A96)*MOVIMIENTOS!$E$5:$E$1005)+SUMPRODUCT((MOVIMIENTOS!$B$5:$B$1005="DEVOLUCIÓN")*(MOVIMIENTOS!$C$5:$C$1005="M")*(MOVIMIENTOS!$D$5:$D$1005="jabas")*(MOVIMIENTOS!$A$5:$A$1005&lt;&gt;"")*(MOVIMIENTOS!$A$5:$A$1005&lt;=$A96)*MOVIMIENTOS!$E$5:$E$1005)-SUMPRODUCT((MOVIMIENTOS!$B$5:$B$1005="TRASIEGO")*(MOVIMIENTOS!$C$5:$C$1005="M")*(MOVIMIENTOS!$D$5:$D$1005="jabas")*(MOVIMIENTOS!$A$5:$A$1005&lt;&gt;"")*(MOVIMIENTOS!$A$5:$A$1005&lt;=$A96)*MOVIMIENTOS!$E$5:$E$1005)-SUMPRODUCT((MOVIMIENTOS!$B$5:$B$1005="REGALO")*(MOVIMIENTOS!$C$5:$C$1005="M")*(MOVIMIENTOS!$D$5:$D$1005="jabas")*(MOVIMIENTOS!$A$5:$A$1005&lt;&gt;"")*(MOVIMIENTOS!$A$5:$A$1005&lt;=$A96)*MOVIMIENTOS!$E$5:$E$1005)-SUMPRODUCT((MOVIMIENTOS!$B$5:$B$1005="VENTA")*(MOVIMIENTOS!$C$5:$C$1005="M")*(MOVIMIENTOS!$D$5:$D$1005="jabas")*(MOVIMIENTOS!$A$5:$A$1005&lt;&gt;"")*(MOVIMIENTOS!$A$5:$A$1005&lt;=$A96)*MOVIMIENTOS!$E$5:$E$1005)+SUMPRODUCT((MOVIMIENTOS!$B$5:$B$1005="AJUSTE")*(MOVIMIENTOS!$C$5:$C$1005="M")*(MOVIMIENTOS!$D$5:$D$1005="jabas")*(MOVIMIENTOS!$A$5:$A$1005&lt;&gt;"")*(MOVIMIENTOS!$A$5:$A$1005&lt;=$A96)*MOVIMIENTOS!$E$5:$E$1005))</f>
        <v/>
      </c>
      <c r="F96" s="63" t="str">
        <f>IF($A96="","",SUMPRODUCT((MOVIMIENTOS!$B$5:$B$1005="SALDO INICIAL")*(MOVIMIENTOS!$C$5:$C$1005="Chancho")*(MOVIMIENTOS!$D$5:$D$1005="sacos")*(MOVIMIENTOS!$A$5:$A$1005&lt;&gt;"")*(MOVIMIENTOS!$A$5:$A$1005&lt;=$A96)*MOVIMIENTOS!$E$5:$E$1005)+SUMPRODUCT((MOVIMIENTOS!$B$5:$B$1005="PROCESO")*(MOVIMIENTOS!$C$5:$C$1005="Chancho")*(MOVIMIENTOS!$D$5:$D$1005="sacos")*(MOVIMIENTOS!$A$5:$A$1005&lt;&gt;"")*(MOVIMIENTOS!$A$5:$A$1005&lt;=$A96)*MOVIMIENTOS!$E$5:$E$1005)-SUMPRODUCT((MOVIMIENTOS!$B$5:$B$1005="VENTA CHANCHO")*(MOVIMIENTOS!$C$5:$C$1005="Chancho")*(MOVIMIENTOS!$D$5:$D$1005="sacos")*(MOVIMIENTOS!$A$5:$A$1005&lt;&gt;"")*(MOVIMIENTOS!$A$5:$A$1005&lt;=$A96)*MOVIMIENTOS!$E$5:$E$1005)-SUMPRODUCT((MOVIMIENTOS!$B$5:$B$1005="REGALO")*(MOVIMIENTOS!$C$5:$C$1005="Chancho")*(MOVIMIENTOS!$D$5:$D$1005="sacos")*(MOVIMIENTOS!$A$5:$A$1005&lt;&gt;"")*(MOVIMIENTOS!$A$5:$A$1005&lt;=$A96)*MOVIMIENTOS!$E$5:$E$1005)-SUMPRODUCT((MOVIMIENTOS!$B$5:$B$1005="VENTA")*(MOVIMIENTOS!$C$5:$C$1005="Chancho")*(MOVIMIENTOS!$D$5:$D$1005="sacos")*(MOVIMIENTOS!$A$5:$A$1005&lt;&gt;"")*(MOVIMIENTOS!$A$5:$A$1005&lt;=$A96)*MOVIMIENTOS!$E$5:$E$1005)+SUMPRODUCT((MOVIMIENTOS!$B$5:$B$1005="AJUSTE")*(MOVIMIENTOS!$C$5:$C$1005="Chancho")*(MOVIMIENTOS!$D$5:$D$1005="sacos")*(MOVIMIENTOS!$A$5:$A$1005&lt;&gt;"")*(MOVIMIENTOS!$A$5:$A$1005&lt;=$A96)*MOVIMIENTOS!$E$5:$E$1005))</f>
        <v/>
      </c>
      <c r="G96" s="95" t="str">
        <f t="shared" si="3"/>
        <v/>
      </c>
      <c r="H96" s="63" t="str">
        <f>IF($A96="","",SUMPRODUCT((((MOVIMIENTOS!$B$5:$B$1005="SALDO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96)*MOVIMIENTOS!$J$5:$J$1005))</f>
        <v/>
      </c>
      <c r="I96" s="63"/>
      <c r="J96" s="63">
        <f>IF(AND(MOVIMIENTOS!$A96&lt;&gt;"",COUNTIF(MOVIMIENTOS!$A$5:$A95,MOVIMIENTOS!$A96)=0),COUNT(J$4:J95)+1,"")</f>
        <v>11</v>
      </c>
      <c r="K96" s="66">
        <f>MOVIMIENTOS!$A96</f>
        <v>46223</v>
      </c>
      <c r="L96" s="63"/>
      <c r="M96" s="63"/>
      <c r="N96" s="63"/>
    </row>
    <row r="97" spans="1:14" ht="15" customHeight="1" x14ac:dyDescent="0.2">
      <c r="A97" s="63" t="str">
        <f t="shared" si="2"/>
        <v/>
      </c>
      <c r="B97" s="63" t="str">
        <f>IF($A97="","",SUMPRODUCT((MOVIMIENTOS!$B$5:$B$1005="SALDO INICIAL")*(MOVIMIENTOS!$C$5:$C$1005="A")*(MOVIMIENTOS!$D$5:$D$1005="jabas")*(MOVIMIENTOS!$A$5:$A$1005&lt;&gt;"")*(MOVIMIENTOS!$A$5:$A$1005&lt;=$A97)*MOVIMIENTOS!$E$5:$E$1005)+SUMPRODUCT((MOVIMIENTOS!$B$5:$B$1005="PROCESO")*(MOVIMIENTOS!$C$5:$C$1005="A")*(MOVIMIENTOS!$D$5:$D$1005="jabas")*(MOVIMIENTOS!$A$5:$A$1005&lt;&gt;"")*(MOVIMIENTOS!$A$5:$A$1005&lt;=$A97)*MOVIMIENTOS!$E$5:$E$1005)-SUMPRODUCT((MOVIMIENTOS!$B$5:$B$1005="ENVÍO A SUPESA")*(MOVIMIENTOS!$C$5:$C$1005="A")*(MOVIMIENTOS!$D$5:$D$1005="jabas")*(MOVIMIENTOS!$A$5:$A$1005&lt;&gt;"")*(MOVIMIENTOS!$A$5:$A$1005&lt;=$A97)*MOVIMIENTOS!$E$5:$E$1005)+SUMPRODUCT((MOVIMIENTOS!$B$5:$B$1005="DEVOLUCIÓN")*(MOVIMIENTOS!$C$5:$C$1005="A")*(MOVIMIENTOS!$D$5:$D$1005="jabas")*(MOVIMIENTOS!$A$5:$A$1005&lt;&gt;"")*(MOVIMIENTOS!$A$5:$A$1005&lt;=$A97)*MOVIMIENTOS!$E$5:$E$1005)-SUMPRODUCT((MOVIMIENTOS!$B$5:$B$1005="TRASIEGO")*(MOVIMIENTOS!$C$5:$C$1005="A")*(MOVIMIENTOS!$D$5:$D$1005="jabas")*(MOVIMIENTOS!$A$5:$A$1005&lt;&gt;"")*(MOVIMIENTOS!$A$5:$A$1005&lt;=$A97)*MOVIMIENTOS!$E$5:$E$1005)-SUMPRODUCT((MOVIMIENTOS!$B$5:$B$1005="REGALO")*(MOVIMIENTOS!$C$5:$C$1005="A")*(MOVIMIENTOS!$D$5:$D$1005="jabas")*(MOVIMIENTOS!$A$5:$A$1005&lt;&gt;"")*(MOVIMIENTOS!$A$5:$A$1005&lt;=$A97)*MOVIMIENTOS!$E$5:$E$1005)-SUMPRODUCT((MOVIMIENTOS!$B$5:$B$1005="VENTA")*(MOVIMIENTOS!$C$5:$C$1005="A")*(MOVIMIENTOS!$D$5:$D$1005="jabas")*(MOVIMIENTOS!$A$5:$A$1005&lt;&gt;"")*(MOVIMIENTOS!$A$5:$A$1005&lt;=$A97)*MOVIMIENTOS!$E$5:$E$1005)+SUMPRODUCT((MOVIMIENTOS!$B$5:$B$1005="AJUSTE")*(MOVIMIENTOS!$C$5:$C$1005="A")*(MOVIMIENTOS!$D$5:$D$1005="jabas")*(MOVIMIENTOS!$A$5:$A$1005&lt;&gt;"")*(MOVIMIENTOS!$A$5:$A$1005&lt;=$A97)*MOVIMIENTOS!$E$5:$E$1005))</f>
        <v/>
      </c>
      <c r="C97" s="63" t="str">
        <f>IF($A97="","",SUMPRODUCT((MOVIMIENTOS!$B$5:$B$1005="SALDO INICIAL")*(MOVIMIENTOS!$C$5:$C$1005="P")*(MOVIMIENTOS!$D$5:$D$1005="jabas")*(MOVIMIENTOS!$A$5:$A$1005&lt;&gt;"")*(MOVIMIENTOS!$A$5:$A$1005&lt;=$A97)*MOVIMIENTOS!$E$5:$E$1005)+SUMPRODUCT((MOVIMIENTOS!$B$5:$B$1005="PROCESO")*(MOVIMIENTOS!$C$5:$C$1005="P")*(MOVIMIENTOS!$D$5:$D$1005="jabas")*(MOVIMIENTOS!$A$5:$A$1005&lt;&gt;"")*(MOVIMIENTOS!$A$5:$A$1005&lt;=$A97)*MOVIMIENTOS!$E$5:$E$1005)-SUMPRODUCT((MOVIMIENTOS!$B$5:$B$1005="ENVÍO A SUPESA")*(MOVIMIENTOS!$C$5:$C$1005="P")*(MOVIMIENTOS!$D$5:$D$1005="jabas")*(MOVIMIENTOS!$A$5:$A$1005&lt;&gt;"")*(MOVIMIENTOS!$A$5:$A$1005&lt;=$A97)*MOVIMIENTOS!$E$5:$E$1005)+SUMPRODUCT((MOVIMIENTOS!$B$5:$B$1005="DEVOLUCIÓN")*(MOVIMIENTOS!$C$5:$C$1005="P")*(MOVIMIENTOS!$D$5:$D$1005="jabas")*(MOVIMIENTOS!$A$5:$A$1005&lt;&gt;"")*(MOVIMIENTOS!$A$5:$A$1005&lt;=$A97)*MOVIMIENTOS!$E$5:$E$1005)-SUMPRODUCT((MOVIMIENTOS!$B$5:$B$1005="TRASIEGO")*(MOVIMIENTOS!$C$5:$C$1005="P")*(MOVIMIENTOS!$D$5:$D$1005="jabas")*(MOVIMIENTOS!$A$5:$A$1005&lt;&gt;"")*(MOVIMIENTOS!$A$5:$A$1005&lt;=$A97)*MOVIMIENTOS!$E$5:$E$1005)-SUMPRODUCT((MOVIMIENTOS!$B$5:$B$1005="REGALO")*(MOVIMIENTOS!$C$5:$C$1005="P")*(MOVIMIENTOS!$D$5:$D$1005="jabas")*(MOVIMIENTOS!$A$5:$A$1005&lt;&gt;"")*(MOVIMIENTOS!$A$5:$A$1005&lt;=$A97)*MOVIMIENTOS!$E$5:$E$1005)-SUMPRODUCT((MOVIMIENTOS!$B$5:$B$1005="VENTA")*(MOVIMIENTOS!$C$5:$C$1005="P")*(MOVIMIENTOS!$D$5:$D$1005="jabas")*(MOVIMIENTOS!$A$5:$A$1005&lt;&gt;"")*(MOVIMIENTOS!$A$5:$A$1005&lt;=$A97)*MOVIMIENTOS!$E$5:$E$1005)+SUMPRODUCT((MOVIMIENTOS!$B$5:$B$1005="AJUSTE")*(MOVIMIENTOS!$C$5:$C$1005="P")*(MOVIMIENTOS!$D$5:$D$1005="jabas")*(MOVIMIENTOS!$A$5:$A$1005&lt;&gt;"")*(MOVIMIENTOS!$A$5:$A$1005&lt;=$A97)*MOVIMIENTOS!$E$5:$E$1005))</f>
        <v/>
      </c>
      <c r="D97" s="63" t="str">
        <f>IF($A97="","",SUMPRODUCT((MOVIMIENTOS!$B$5:$B$1005="SALDO INICIAL")*(MOVIMIENTOS!$C$5:$C$1005="C")*(MOVIMIENTOS!$D$5:$D$1005="jabas")*(MOVIMIENTOS!$A$5:$A$1005&lt;&gt;"")*(MOVIMIENTOS!$A$5:$A$1005&lt;=$A97)*MOVIMIENTOS!$E$5:$E$1005)+SUMPRODUCT((MOVIMIENTOS!$B$5:$B$1005="PROCESO")*(MOVIMIENTOS!$C$5:$C$1005="C")*(MOVIMIENTOS!$D$5:$D$1005="jabas")*(MOVIMIENTOS!$A$5:$A$1005&lt;&gt;"")*(MOVIMIENTOS!$A$5:$A$1005&lt;=$A97)*MOVIMIENTOS!$E$5:$E$1005)-SUMPRODUCT((MOVIMIENTOS!$B$5:$B$1005="ENVÍO A SUPESA")*(MOVIMIENTOS!$C$5:$C$1005="C")*(MOVIMIENTOS!$D$5:$D$1005="jabas")*(MOVIMIENTOS!$A$5:$A$1005&lt;&gt;"")*(MOVIMIENTOS!$A$5:$A$1005&lt;=$A97)*MOVIMIENTOS!$E$5:$E$1005)+SUMPRODUCT((MOVIMIENTOS!$B$5:$B$1005="DEVOLUCIÓN")*(MOVIMIENTOS!$C$5:$C$1005="C")*(MOVIMIENTOS!$D$5:$D$1005="jabas")*(MOVIMIENTOS!$A$5:$A$1005&lt;&gt;"")*(MOVIMIENTOS!$A$5:$A$1005&lt;=$A97)*MOVIMIENTOS!$E$5:$E$1005)-SUMPRODUCT((MOVIMIENTOS!$B$5:$B$1005="TRASIEGO")*(MOVIMIENTOS!$C$5:$C$1005="C")*(MOVIMIENTOS!$D$5:$D$1005="jabas")*(MOVIMIENTOS!$A$5:$A$1005&lt;&gt;"")*(MOVIMIENTOS!$A$5:$A$1005&lt;=$A97)*MOVIMIENTOS!$E$5:$E$1005)-SUMPRODUCT((MOVIMIENTOS!$B$5:$B$1005="REGALO")*(MOVIMIENTOS!$C$5:$C$1005="C")*(MOVIMIENTOS!$D$5:$D$1005="jabas")*(MOVIMIENTOS!$A$5:$A$1005&lt;&gt;"")*(MOVIMIENTOS!$A$5:$A$1005&lt;=$A97)*MOVIMIENTOS!$E$5:$E$1005)-SUMPRODUCT((MOVIMIENTOS!$B$5:$B$1005="VENTA")*(MOVIMIENTOS!$C$5:$C$1005="C")*(MOVIMIENTOS!$D$5:$D$1005="jabas")*(MOVIMIENTOS!$A$5:$A$1005&lt;&gt;"")*(MOVIMIENTOS!$A$5:$A$1005&lt;=$A97)*MOVIMIENTOS!$E$5:$E$1005)+SUMPRODUCT((MOVIMIENTOS!$B$5:$B$1005="AJUSTE")*(MOVIMIENTOS!$C$5:$C$1005="C")*(MOVIMIENTOS!$D$5:$D$1005="jabas")*(MOVIMIENTOS!$A$5:$A$1005&lt;&gt;"")*(MOVIMIENTOS!$A$5:$A$1005&lt;=$A97)*MOVIMIENTOS!$E$5:$E$1005))</f>
        <v/>
      </c>
      <c r="E97" s="63" t="str">
        <f>IF($A97="","",SUMPRODUCT((MOVIMIENTOS!$B$5:$B$1005="SALDO INICIAL")*(MOVIMIENTOS!$C$5:$C$1005="M")*(MOVIMIENTOS!$D$5:$D$1005="jabas")*(MOVIMIENTOS!$A$5:$A$1005&lt;&gt;"")*(MOVIMIENTOS!$A$5:$A$1005&lt;=$A97)*MOVIMIENTOS!$E$5:$E$1005)+SUMPRODUCT((MOVIMIENTOS!$B$5:$B$1005="PROCESO")*(MOVIMIENTOS!$C$5:$C$1005="M")*(MOVIMIENTOS!$D$5:$D$1005="jabas")*(MOVIMIENTOS!$A$5:$A$1005&lt;&gt;"")*(MOVIMIENTOS!$A$5:$A$1005&lt;=$A97)*MOVIMIENTOS!$E$5:$E$1005)-SUMPRODUCT((MOVIMIENTOS!$B$5:$B$1005="ENVÍO A SUPESA")*(MOVIMIENTOS!$C$5:$C$1005="M")*(MOVIMIENTOS!$D$5:$D$1005="jabas")*(MOVIMIENTOS!$A$5:$A$1005&lt;&gt;"")*(MOVIMIENTOS!$A$5:$A$1005&lt;=$A97)*MOVIMIENTOS!$E$5:$E$1005)+SUMPRODUCT((MOVIMIENTOS!$B$5:$B$1005="DEVOLUCIÓN")*(MOVIMIENTOS!$C$5:$C$1005="M")*(MOVIMIENTOS!$D$5:$D$1005="jabas")*(MOVIMIENTOS!$A$5:$A$1005&lt;&gt;"")*(MOVIMIENTOS!$A$5:$A$1005&lt;=$A97)*MOVIMIENTOS!$E$5:$E$1005)-SUMPRODUCT((MOVIMIENTOS!$B$5:$B$1005="TRASIEGO")*(MOVIMIENTOS!$C$5:$C$1005="M")*(MOVIMIENTOS!$D$5:$D$1005="jabas")*(MOVIMIENTOS!$A$5:$A$1005&lt;&gt;"")*(MOVIMIENTOS!$A$5:$A$1005&lt;=$A97)*MOVIMIENTOS!$E$5:$E$1005)-SUMPRODUCT((MOVIMIENTOS!$B$5:$B$1005="REGALO")*(MOVIMIENTOS!$C$5:$C$1005="M")*(MOVIMIENTOS!$D$5:$D$1005="jabas")*(MOVIMIENTOS!$A$5:$A$1005&lt;&gt;"")*(MOVIMIENTOS!$A$5:$A$1005&lt;=$A97)*MOVIMIENTOS!$E$5:$E$1005)-SUMPRODUCT((MOVIMIENTOS!$B$5:$B$1005="VENTA")*(MOVIMIENTOS!$C$5:$C$1005="M")*(MOVIMIENTOS!$D$5:$D$1005="jabas")*(MOVIMIENTOS!$A$5:$A$1005&lt;&gt;"")*(MOVIMIENTOS!$A$5:$A$1005&lt;=$A97)*MOVIMIENTOS!$E$5:$E$1005)+SUMPRODUCT((MOVIMIENTOS!$B$5:$B$1005="AJUSTE")*(MOVIMIENTOS!$C$5:$C$1005="M")*(MOVIMIENTOS!$D$5:$D$1005="jabas")*(MOVIMIENTOS!$A$5:$A$1005&lt;&gt;"")*(MOVIMIENTOS!$A$5:$A$1005&lt;=$A97)*MOVIMIENTOS!$E$5:$E$1005))</f>
        <v/>
      </c>
      <c r="F97" s="63" t="str">
        <f>IF($A97="","",SUMPRODUCT((MOVIMIENTOS!$B$5:$B$1005="SALDO INICIAL")*(MOVIMIENTOS!$C$5:$C$1005="Chancho")*(MOVIMIENTOS!$D$5:$D$1005="sacos")*(MOVIMIENTOS!$A$5:$A$1005&lt;&gt;"")*(MOVIMIENTOS!$A$5:$A$1005&lt;=$A97)*MOVIMIENTOS!$E$5:$E$1005)+SUMPRODUCT((MOVIMIENTOS!$B$5:$B$1005="PROCESO")*(MOVIMIENTOS!$C$5:$C$1005="Chancho")*(MOVIMIENTOS!$D$5:$D$1005="sacos")*(MOVIMIENTOS!$A$5:$A$1005&lt;&gt;"")*(MOVIMIENTOS!$A$5:$A$1005&lt;=$A97)*MOVIMIENTOS!$E$5:$E$1005)-SUMPRODUCT((MOVIMIENTOS!$B$5:$B$1005="VENTA CHANCHO")*(MOVIMIENTOS!$C$5:$C$1005="Chancho")*(MOVIMIENTOS!$D$5:$D$1005="sacos")*(MOVIMIENTOS!$A$5:$A$1005&lt;&gt;"")*(MOVIMIENTOS!$A$5:$A$1005&lt;=$A97)*MOVIMIENTOS!$E$5:$E$1005)-SUMPRODUCT((MOVIMIENTOS!$B$5:$B$1005="REGALO")*(MOVIMIENTOS!$C$5:$C$1005="Chancho")*(MOVIMIENTOS!$D$5:$D$1005="sacos")*(MOVIMIENTOS!$A$5:$A$1005&lt;&gt;"")*(MOVIMIENTOS!$A$5:$A$1005&lt;=$A97)*MOVIMIENTOS!$E$5:$E$1005)-SUMPRODUCT((MOVIMIENTOS!$B$5:$B$1005="VENTA")*(MOVIMIENTOS!$C$5:$C$1005="Chancho")*(MOVIMIENTOS!$D$5:$D$1005="sacos")*(MOVIMIENTOS!$A$5:$A$1005&lt;&gt;"")*(MOVIMIENTOS!$A$5:$A$1005&lt;=$A97)*MOVIMIENTOS!$E$5:$E$1005)+SUMPRODUCT((MOVIMIENTOS!$B$5:$B$1005="AJUSTE")*(MOVIMIENTOS!$C$5:$C$1005="Chancho")*(MOVIMIENTOS!$D$5:$D$1005="sacos")*(MOVIMIENTOS!$A$5:$A$1005&lt;&gt;"")*(MOVIMIENTOS!$A$5:$A$1005&lt;=$A97)*MOVIMIENTOS!$E$5:$E$1005))</f>
        <v/>
      </c>
      <c r="G97" s="95" t="str">
        <f t="shared" si="3"/>
        <v/>
      </c>
      <c r="H97" s="63" t="str">
        <f>IF($A97="","",SUMPRODUCT((((MOVIMIENTOS!$B$5:$B$1005="SALDO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97)*MOVIMIENTOS!$J$5:$J$1005))</f>
        <v/>
      </c>
      <c r="I97" s="63"/>
      <c r="J97" s="63" t="str">
        <f>IF(AND(MOVIMIENTOS!$A97&lt;&gt;"",COUNTIF(MOVIMIENTOS!$A$5:$A96,MOVIMIENTOS!$A97)=0),COUNT(J$4:J96)+1,"")</f>
        <v/>
      </c>
      <c r="K97" s="66">
        <f>MOVIMIENTOS!$A97</f>
        <v>46223</v>
      </c>
      <c r="L97" s="63"/>
      <c r="M97" s="63"/>
      <c r="N97" s="63"/>
    </row>
    <row r="98" spans="1:14" ht="15" customHeight="1" x14ac:dyDescent="0.2">
      <c r="A98" s="63" t="str">
        <f t="shared" si="2"/>
        <v/>
      </c>
      <c r="B98" s="63" t="str">
        <f>IF($A98="","",SUMPRODUCT((MOVIMIENTOS!$B$5:$B$1005="SALDO INICIAL")*(MOVIMIENTOS!$C$5:$C$1005="A")*(MOVIMIENTOS!$D$5:$D$1005="jabas")*(MOVIMIENTOS!$A$5:$A$1005&lt;&gt;"")*(MOVIMIENTOS!$A$5:$A$1005&lt;=$A98)*MOVIMIENTOS!$E$5:$E$1005)+SUMPRODUCT((MOVIMIENTOS!$B$5:$B$1005="PROCESO")*(MOVIMIENTOS!$C$5:$C$1005="A")*(MOVIMIENTOS!$D$5:$D$1005="jabas")*(MOVIMIENTOS!$A$5:$A$1005&lt;&gt;"")*(MOVIMIENTOS!$A$5:$A$1005&lt;=$A98)*MOVIMIENTOS!$E$5:$E$1005)-SUMPRODUCT((MOVIMIENTOS!$B$5:$B$1005="ENVÍO A SUPESA")*(MOVIMIENTOS!$C$5:$C$1005="A")*(MOVIMIENTOS!$D$5:$D$1005="jabas")*(MOVIMIENTOS!$A$5:$A$1005&lt;&gt;"")*(MOVIMIENTOS!$A$5:$A$1005&lt;=$A98)*MOVIMIENTOS!$E$5:$E$1005)+SUMPRODUCT((MOVIMIENTOS!$B$5:$B$1005="DEVOLUCIÓN")*(MOVIMIENTOS!$C$5:$C$1005="A")*(MOVIMIENTOS!$D$5:$D$1005="jabas")*(MOVIMIENTOS!$A$5:$A$1005&lt;&gt;"")*(MOVIMIENTOS!$A$5:$A$1005&lt;=$A98)*MOVIMIENTOS!$E$5:$E$1005)-SUMPRODUCT((MOVIMIENTOS!$B$5:$B$1005="TRASIEGO")*(MOVIMIENTOS!$C$5:$C$1005="A")*(MOVIMIENTOS!$D$5:$D$1005="jabas")*(MOVIMIENTOS!$A$5:$A$1005&lt;&gt;"")*(MOVIMIENTOS!$A$5:$A$1005&lt;=$A98)*MOVIMIENTOS!$E$5:$E$1005)-SUMPRODUCT((MOVIMIENTOS!$B$5:$B$1005="REGALO")*(MOVIMIENTOS!$C$5:$C$1005="A")*(MOVIMIENTOS!$D$5:$D$1005="jabas")*(MOVIMIENTOS!$A$5:$A$1005&lt;&gt;"")*(MOVIMIENTOS!$A$5:$A$1005&lt;=$A98)*MOVIMIENTOS!$E$5:$E$1005)-SUMPRODUCT((MOVIMIENTOS!$B$5:$B$1005="VENTA")*(MOVIMIENTOS!$C$5:$C$1005="A")*(MOVIMIENTOS!$D$5:$D$1005="jabas")*(MOVIMIENTOS!$A$5:$A$1005&lt;&gt;"")*(MOVIMIENTOS!$A$5:$A$1005&lt;=$A98)*MOVIMIENTOS!$E$5:$E$1005)+SUMPRODUCT((MOVIMIENTOS!$B$5:$B$1005="AJUSTE")*(MOVIMIENTOS!$C$5:$C$1005="A")*(MOVIMIENTOS!$D$5:$D$1005="jabas")*(MOVIMIENTOS!$A$5:$A$1005&lt;&gt;"")*(MOVIMIENTOS!$A$5:$A$1005&lt;=$A98)*MOVIMIENTOS!$E$5:$E$1005))</f>
        <v/>
      </c>
      <c r="C98" s="63" t="str">
        <f>IF($A98="","",SUMPRODUCT((MOVIMIENTOS!$B$5:$B$1005="SALDO INICIAL")*(MOVIMIENTOS!$C$5:$C$1005="P")*(MOVIMIENTOS!$D$5:$D$1005="jabas")*(MOVIMIENTOS!$A$5:$A$1005&lt;&gt;"")*(MOVIMIENTOS!$A$5:$A$1005&lt;=$A98)*MOVIMIENTOS!$E$5:$E$1005)+SUMPRODUCT((MOVIMIENTOS!$B$5:$B$1005="PROCESO")*(MOVIMIENTOS!$C$5:$C$1005="P")*(MOVIMIENTOS!$D$5:$D$1005="jabas")*(MOVIMIENTOS!$A$5:$A$1005&lt;&gt;"")*(MOVIMIENTOS!$A$5:$A$1005&lt;=$A98)*MOVIMIENTOS!$E$5:$E$1005)-SUMPRODUCT((MOVIMIENTOS!$B$5:$B$1005="ENVÍO A SUPESA")*(MOVIMIENTOS!$C$5:$C$1005="P")*(MOVIMIENTOS!$D$5:$D$1005="jabas")*(MOVIMIENTOS!$A$5:$A$1005&lt;&gt;"")*(MOVIMIENTOS!$A$5:$A$1005&lt;=$A98)*MOVIMIENTOS!$E$5:$E$1005)+SUMPRODUCT((MOVIMIENTOS!$B$5:$B$1005="DEVOLUCIÓN")*(MOVIMIENTOS!$C$5:$C$1005="P")*(MOVIMIENTOS!$D$5:$D$1005="jabas")*(MOVIMIENTOS!$A$5:$A$1005&lt;&gt;"")*(MOVIMIENTOS!$A$5:$A$1005&lt;=$A98)*MOVIMIENTOS!$E$5:$E$1005)-SUMPRODUCT((MOVIMIENTOS!$B$5:$B$1005="TRASIEGO")*(MOVIMIENTOS!$C$5:$C$1005="P")*(MOVIMIENTOS!$D$5:$D$1005="jabas")*(MOVIMIENTOS!$A$5:$A$1005&lt;&gt;"")*(MOVIMIENTOS!$A$5:$A$1005&lt;=$A98)*MOVIMIENTOS!$E$5:$E$1005)-SUMPRODUCT((MOVIMIENTOS!$B$5:$B$1005="REGALO")*(MOVIMIENTOS!$C$5:$C$1005="P")*(MOVIMIENTOS!$D$5:$D$1005="jabas")*(MOVIMIENTOS!$A$5:$A$1005&lt;&gt;"")*(MOVIMIENTOS!$A$5:$A$1005&lt;=$A98)*MOVIMIENTOS!$E$5:$E$1005)-SUMPRODUCT((MOVIMIENTOS!$B$5:$B$1005="VENTA")*(MOVIMIENTOS!$C$5:$C$1005="P")*(MOVIMIENTOS!$D$5:$D$1005="jabas")*(MOVIMIENTOS!$A$5:$A$1005&lt;&gt;"")*(MOVIMIENTOS!$A$5:$A$1005&lt;=$A98)*MOVIMIENTOS!$E$5:$E$1005)+SUMPRODUCT((MOVIMIENTOS!$B$5:$B$1005="AJUSTE")*(MOVIMIENTOS!$C$5:$C$1005="P")*(MOVIMIENTOS!$D$5:$D$1005="jabas")*(MOVIMIENTOS!$A$5:$A$1005&lt;&gt;"")*(MOVIMIENTOS!$A$5:$A$1005&lt;=$A98)*MOVIMIENTOS!$E$5:$E$1005))</f>
        <v/>
      </c>
      <c r="D98" s="63" t="str">
        <f>IF($A98="","",SUMPRODUCT((MOVIMIENTOS!$B$5:$B$1005="SALDO INICIAL")*(MOVIMIENTOS!$C$5:$C$1005="C")*(MOVIMIENTOS!$D$5:$D$1005="jabas")*(MOVIMIENTOS!$A$5:$A$1005&lt;&gt;"")*(MOVIMIENTOS!$A$5:$A$1005&lt;=$A98)*MOVIMIENTOS!$E$5:$E$1005)+SUMPRODUCT((MOVIMIENTOS!$B$5:$B$1005="PROCESO")*(MOVIMIENTOS!$C$5:$C$1005="C")*(MOVIMIENTOS!$D$5:$D$1005="jabas")*(MOVIMIENTOS!$A$5:$A$1005&lt;&gt;"")*(MOVIMIENTOS!$A$5:$A$1005&lt;=$A98)*MOVIMIENTOS!$E$5:$E$1005)-SUMPRODUCT((MOVIMIENTOS!$B$5:$B$1005="ENVÍO A SUPESA")*(MOVIMIENTOS!$C$5:$C$1005="C")*(MOVIMIENTOS!$D$5:$D$1005="jabas")*(MOVIMIENTOS!$A$5:$A$1005&lt;&gt;"")*(MOVIMIENTOS!$A$5:$A$1005&lt;=$A98)*MOVIMIENTOS!$E$5:$E$1005)+SUMPRODUCT((MOVIMIENTOS!$B$5:$B$1005="DEVOLUCIÓN")*(MOVIMIENTOS!$C$5:$C$1005="C")*(MOVIMIENTOS!$D$5:$D$1005="jabas")*(MOVIMIENTOS!$A$5:$A$1005&lt;&gt;"")*(MOVIMIENTOS!$A$5:$A$1005&lt;=$A98)*MOVIMIENTOS!$E$5:$E$1005)-SUMPRODUCT((MOVIMIENTOS!$B$5:$B$1005="TRASIEGO")*(MOVIMIENTOS!$C$5:$C$1005="C")*(MOVIMIENTOS!$D$5:$D$1005="jabas")*(MOVIMIENTOS!$A$5:$A$1005&lt;&gt;"")*(MOVIMIENTOS!$A$5:$A$1005&lt;=$A98)*MOVIMIENTOS!$E$5:$E$1005)-SUMPRODUCT((MOVIMIENTOS!$B$5:$B$1005="REGALO")*(MOVIMIENTOS!$C$5:$C$1005="C")*(MOVIMIENTOS!$D$5:$D$1005="jabas")*(MOVIMIENTOS!$A$5:$A$1005&lt;&gt;"")*(MOVIMIENTOS!$A$5:$A$1005&lt;=$A98)*MOVIMIENTOS!$E$5:$E$1005)-SUMPRODUCT((MOVIMIENTOS!$B$5:$B$1005="VENTA")*(MOVIMIENTOS!$C$5:$C$1005="C")*(MOVIMIENTOS!$D$5:$D$1005="jabas")*(MOVIMIENTOS!$A$5:$A$1005&lt;&gt;"")*(MOVIMIENTOS!$A$5:$A$1005&lt;=$A98)*MOVIMIENTOS!$E$5:$E$1005)+SUMPRODUCT((MOVIMIENTOS!$B$5:$B$1005="AJUSTE")*(MOVIMIENTOS!$C$5:$C$1005="C")*(MOVIMIENTOS!$D$5:$D$1005="jabas")*(MOVIMIENTOS!$A$5:$A$1005&lt;&gt;"")*(MOVIMIENTOS!$A$5:$A$1005&lt;=$A98)*MOVIMIENTOS!$E$5:$E$1005))</f>
        <v/>
      </c>
      <c r="E98" s="63" t="str">
        <f>IF($A98="","",SUMPRODUCT((MOVIMIENTOS!$B$5:$B$1005="SALDO INICIAL")*(MOVIMIENTOS!$C$5:$C$1005="M")*(MOVIMIENTOS!$D$5:$D$1005="jabas")*(MOVIMIENTOS!$A$5:$A$1005&lt;&gt;"")*(MOVIMIENTOS!$A$5:$A$1005&lt;=$A98)*MOVIMIENTOS!$E$5:$E$1005)+SUMPRODUCT((MOVIMIENTOS!$B$5:$B$1005="PROCESO")*(MOVIMIENTOS!$C$5:$C$1005="M")*(MOVIMIENTOS!$D$5:$D$1005="jabas")*(MOVIMIENTOS!$A$5:$A$1005&lt;&gt;"")*(MOVIMIENTOS!$A$5:$A$1005&lt;=$A98)*MOVIMIENTOS!$E$5:$E$1005)-SUMPRODUCT((MOVIMIENTOS!$B$5:$B$1005="ENVÍO A SUPESA")*(MOVIMIENTOS!$C$5:$C$1005="M")*(MOVIMIENTOS!$D$5:$D$1005="jabas")*(MOVIMIENTOS!$A$5:$A$1005&lt;&gt;"")*(MOVIMIENTOS!$A$5:$A$1005&lt;=$A98)*MOVIMIENTOS!$E$5:$E$1005)+SUMPRODUCT((MOVIMIENTOS!$B$5:$B$1005="DEVOLUCIÓN")*(MOVIMIENTOS!$C$5:$C$1005="M")*(MOVIMIENTOS!$D$5:$D$1005="jabas")*(MOVIMIENTOS!$A$5:$A$1005&lt;&gt;"")*(MOVIMIENTOS!$A$5:$A$1005&lt;=$A98)*MOVIMIENTOS!$E$5:$E$1005)-SUMPRODUCT((MOVIMIENTOS!$B$5:$B$1005="TRASIEGO")*(MOVIMIENTOS!$C$5:$C$1005="M")*(MOVIMIENTOS!$D$5:$D$1005="jabas")*(MOVIMIENTOS!$A$5:$A$1005&lt;&gt;"")*(MOVIMIENTOS!$A$5:$A$1005&lt;=$A98)*MOVIMIENTOS!$E$5:$E$1005)-SUMPRODUCT((MOVIMIENTOS!$B$5:$B$1005="REGALO")*(MOVIMIENTOS!$C$5:$C$1005="M")*(MOVIMIENTOS!$D$5:$D$1005="jabas")*(MOVIMIENTOS!$A$5:$A$1005&lt;&gt;"")*(MOVIMIENTOS!$A$5:$A$1005&lt;=$A98)*MOVIMIENTOS!$E$5:$E$1005)-SUMPRODUCT((MOVIMIENTOS!$B$5:$B$1005="VENTA")*(MOVIMIENTOS!$C$5:$C$1005="M")*(MOVIMIENTOS!$D$5:$D$1005="jabas")*(MOVIMIENTOS!$A$5:$A$1005&lt;&gt;"")*(MOVIMIENTOS!$A$5:$A$1005&lt;=$A98)*MOVIMIENTOS!$E$5:$E$1005)+SUMPRODUCT((MOVIMIENTOS!$B$5:$B$1005="AJUSTE")*(MOVIMIENTOS!$C$5:$C$1005="M")*(MOVIMIENTOS!$D$5:$D$1005="jabas")*(MOVIMIENTOS!$A$5:$A$1005&lt;&gt;"")*(MOVIMIENTOS!$A$5:$A$1005&lt;=$A98)*MOVIMIENTOS!$E$5:$E$1005))</f>
        <v/>
      </c>
      <c r="F98" s="63" t="str">
        <f>IF($A98="","",SUMPRODUCT((MOVIMIENTOS!$B$5:$B$1005="SALDO INICIAL")*(MOVIMIENTOS!$C$5:$C$1005="Chancho")*(MOVIMIENTOS!$D$5:$D$1005="sacos")*(MOVIMIENTOS!$A$5:$A$1005&lt;&gt;"")*(MOVIMIENTOS!$A$5:$A$1005&lt;=$A98)*MOVIMIENTOS!$E$5:$E$1005)+SUMPRODUCT((MOVIMIENTOS!$B$5:$B$1005="PROCESO")*(MOVIMIENTOS!$C$5:$C$1005="Chancho")*(MOVIMIENTOS!$D$5:$D$1005="sacos")*(MOVIMIENTOS!$A$5:$A$1005&lt;&gt;"")*(MOVIMIENTOS!$A$5:$A$1005&lt;=$A98)*MOVIMIENTOS!$E$5:$E$1005)-SUMPRODUCT((MOVIMIENTOS!$B$5:$B$1005="VENTA CHANCHO")*(MOVIMIENTOS!$C$5:$C$1005="Chancho")*(MOVIMIENTOS!$D$5:$D$1005="sacos")*(MOVIMIENTOS!$A$5:$A$1005&lt;&gt;"")*(MOVIMIENTOS!$A$5:$A$1005&lt;=$A98)*MOVIMIENTOS!$E$5:$E$1005)-SUMPRODUCT((MOVIMIENTOS!$B$5:$B$1005="REGALO")*(MOVIMIENTOS!$C$5:$C$1005="Chancho")*(MOVIMIENTOS!$D$5:$D$1005="sacos")*(MOVIMIENTOS!$A$5:$A$1005&lt;&gt;"")*(MOVIMIENTOS!$A$5:$A$1005&lt;=$A98)*MOVIMIENTOS!$E$5:$E$1005)-SUMPRODUCT((MOVIMIENTOS!$B$5:$B$1005="VENTA")*(MOVIMIENTOS!$C$5:$C$1005="Chancho")*(MOVIMIENTOS!$D$5:$D$1005="sacos")*(MOVIMIENTOS!$A$5:$A$1005&lt;&gt;"")*(MOVIMIENTOS!$A$5:$A$1005&lt;=$A98)*MOVIMIENTOS!$E$5:$E$1005)+SUMPRODUCT((MOVIMIENTOS!$B$5:$B$1005="AJUSTE")*(MOVIMIENTOS!$C$5:$C$1005="Chancho")*(MOVIMIENTOS!$D$5:$D$1005="sacos")*(MOVIMIENTOS!$A$5:$A$1005&lt;&gt;"")*(MOVIMIENTOS!$A$5:$A$1005&lt;=$A98)*MOVIMIENTOS!$E$5:$E$1005))</f>
        <v/>
      </c>
      <c r="G98" s="95" t="str">
        <f t="shared" si="3"/>
        <v/>
      </c>
      <c r="H98" s="63" t="str">
        <f>IF($A98="","",SUMPRODUCT((((MOVIMIENTOS!$B$5:$B$1005="SALDO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98)*MOVIMIENTOS!$J$5:$J$1005))</f>
        <v/>
      </c>
      <c r="I98" s="63"/>
      <c r="J98" s="63" t="str">
        <f>IF(AND(MOVIMIENTOS!$A98&lt;&gt;"",COUNTIF(MOVIMIENTOS!$A$5:$A97,MOVIMIENTOS!$A98)=0),COUNT(J$4:J97)+1,"")</f>
        <v/>
      </c>
      <c r="K98" s="66">
        <f>MOVIMIENTOS!$A98</f>
        <v>46223</v>
      </c>
      <c r="L98" s="63"/>
      <c r="M98" s="63"/>
      <c r="N98" s="63"/>
    </row>
    <row r="99" spans="1:14" ht="15" customHeight="1" x14ac:dyDescent="0.2">
      <c r="A99" s="63" t="str">
        <f t="shared" si="2"/>
        <v/>
      </c>
      <c r="B99" s="63" t="str">
        <f>IF($A99="","",SUMPRODUCT((MOVIMIENTOS!$B$5:$B$1005="SALDO INICIAL")*(MOVIMIENTOS!$C$5:$C$1005="A")*(MOVIMIENTOS!$D$5:$D$1005="jabas")*(MOVIMIENTOS!$A$5:$A$1005&lt;&gt;"")*(MOVIMIENTOS!$A$5:$A$1005&lt;=$A99)*MOVIMIENTOS!$E$5:$E$1005)+SUMPRODUCT((MOVIMIENTOS!$B$5:$B$1005="PROCESO")*(MOVIMIENTOS!$C$5:$C$1005="A")*(MOVIMIENTOS!$D$5:$D$1005="jabas")*(MOVIMIENTOS!$A$5:$A$1005&lt;&gt;"")*(MOVIMIENTOS!$A$5:$A$1005&lt;=$A99)*MOVIMIENTOS!$E$5:$E$1005)-SUMPRODUCT((MOVIMIENTOS!$B$5:$B$1005="ENVÍO A SUPESA")*(MOVIMIENTOS!$C$5:$C$1005="A")*(MOVIMIENTOS!$D$5:$D$1005="jabas")*(MOVIMIENTOS!$A$5:$A$1005&lt;&gt;"")*(MOVIMIENTOS!$A$5:$A$1005&lt;=$A99)*MOVIMIENTOS!$E$5:$E$1005)+SUMPRODUCT((MOVIMIENTOS!$B$5:$B$1005="DEVOLUCIÓN")*(MOVIMIENTOS!$C$5:$C$1005="A")*(MOVIMIENTOS!$D$5:$D$1005="jabas")*(MOVIMIENTOS!$A$5:$A$1005&lt;&gt;"")*(MOVIMIENTOS!$A$5:$A$1005&lt;=$A99)*MOVIMIENTOS!$E$5:$E$1005)-SUMPRODUCT((MOVIMIENTOS!$B$5:$B$1005="TRASIEGO")*(MOVIMIENTOS!$C$5:$C$1005="A")*(MOVIMIENTOS!$D$5:$D$1005="jabas")*(MOVIMIENTOS!$A$5:$A$1005&lt;&gt;"")*(MOVIMIENTOS!$A$5:$A$1005&lt;=$A99)*MOVIMIENTOS!$E$5:$E$1005)-SUMPRODUCT((MOVIMIENTOS!$B$5:$B$1005="REGALO")*(MOVIMIENTOS!$C$5:$C$1005="A")*(MOVIMIENTOS!$D$5:$D$1005="jabas")*(MOVIMIENTOS!$A$5:$A$1005&lt;&gt;"")*(MOVIMIENTOS!$A$5:$A$1005&lt;=$A99)*MOVIMIENTOS!$E$5:$E$1005)-SUMPRODUCT((MOVIMIENTOS!$B$5:$B$1005="VENTA")*(MOVIMIENTOS!$C$5:$C$1005="A")*(MOVIMIENTOS!$D$5:$D$1005="jabas")*(MOVIMIENTOS!$A$5:$A$1005&lt;&gt;"")*(MOVIMIENTOS!$A$5:$A$1005&lt;=$A99)*MOVIMIENTOS!$E$5:$E$1005)+SUMPRODUCT((MOVIMIENTOS!$B$5:$B$1005="AJUSTE")*(MOVIMIENTOS!$C$5:$C$1005="A")*(MOVIMIENTOS!$D$5:$D$1005="jabas")*(MOVIMIENTOS!$A$5:$A$1005&lt;&gt;"")*(MOVIMIENTOS!$A$5:$A$1005&lt;=$A99)*MOVIMIENTOS!$E$5:$E$1005))</f>
        <v/>
      </c>
      <c r="C99" s="63" t="str">
        <f>IF($A99="","",SUMPRODUCT((MOVIMIENTOS!$B$5:$B$1005="SALDO INICIAL")*(MOVIMIENTOS!$C$5:$C$1005="P")*(MOVIMIENTOS!$D$5:$D$1005="jabas")*(MOVIMIENTOS!$A$5:$A$1005&lt;&gt;"")*(MOVIMIENTOS!$A$5:$A$1005&lt;=$A99)*MOVIMIENTOS!$E$5:$E$1005)+SUMPRODUCT((MOVIMIENTOS!$B$5:$B$1005="PROCESO")*(MOVIMIENTOS!$C$5:$C$1005="P")*(MOVIMIENTOS!$D$5:$D$1005="jabas")*(MOVIMIENTOS!$A$5:$A$1005&lt;&gt;"")*(MOVIMIENTOS!$A$5:$A$1005&lt;=$A99)*MOVIMIENTOS!$E$5:$E$1005)-SUMPRODUCT((MOVIMIENTOS!$B$5:$B$1005="ENVÍO A SUPESA")*(MOVIMIENTOS!$C$5:$C$1005="P")*(MOVIMIENTOS!$D$5:$D$1005="jabas")*(MOVIMIENTOS!$A$5:$A$1005&lt;&gt;"")*(MOVIMIENTOS!$A$5:$A$1005&lt;=$A99)*MOVIMIENTOS!$E$5:$E$1005)+SUMPRODUCT((MOVIMIENTOS!$B$5:$B$1005="DEVOLUCIÓN")*(MOVIMIENTOS!$C$5:$C$1005="P")*(MOVIMIENTOS!$D$5:$D$1005="jabas")*(MOVIMIENTOS!$A$5:$A$1005&lt;&gt;"")*(MOVIMIENTOS!$A$5:$A$1005&lt;=$A99)*MOVIMIENTOS!$E$5:$E$1005)-SUMPRODUCT((MOVIMIENTOS!$B$5:$B$1005="TRASIEGO")*(MOVIMIENTOS!$C$5:$C$1005="P")*(MOVIMIENTOS!$D$5:$D$1005="jabas")*(MOVIMIENTOS!$A$5:$A$1005&lt;&gt;"")*(MOVIMIENTOS!$A$5:$A$1005&lt;=$A99)*MOVIMIENTOS!$E$5:$E$1005)-SUMPRODUCT((MOVIMIENTOS!$B$5:$B$1005="REGALO")*(MOVIMIENTOS!$C$5:$C$1005="P")*(MOVIMIENTOS!$D$5:$D$1005="jabas")*(MOVIMIENTOS!$A$5:$A$1005&lt;&gt;"")*(MOVIMIENTOS!$A$5:$A$1005&lt;=$A99)*MOVIMIENTOS!$E$5:$E$1005)-SUMPRODUCT((MOVIMIENTOS!$B$5:$B$1005="VENTA")*(MOVIMIENTOS!$C$5:$C$1005="P")*(MOVIMIENTOS!$D$5:$D$1005="jabas")*(MOVIMIENTOS!$A$5:$A$1005&lt;&gt;"")*(MOVIMIENTOS!$A$5:$A$1005&lt;=$A99)*MOVIMIENTOS!$E$5:$E$1005)+SUMPRODUCT((MOVIMIENTOS!$B$5:$B$1005="AJUSTE")*(MOVIMIENTOS!$C$5:$C$1005="P")*(MOVIMIENTOS!$D$5:$D$1005="jabas")*(MOVIMIENTOS!$A$5:$A$1005&lt;&gt;"")*(MOVIMIENTOS!$A$5:$A$1005&lt;=$A99)*MOVIMIENTOS!$E$5:$E$1005))</f>
        <v/>
      </c>
      <c r="D99" s="63" t="str">
        <f>IF($A99="","",SUMPRODUCT((MOVIMIENTOS!$B$5:$B$1005="SALDO INICIAL")*(MOVIMIENTOS!$C$5:$C$1005="C")*(MOVIMIENTOS!$D$5:$D$1005="jabas")*(MOVIMIENTOS!$A$5:$A$1005&lt;&gt;"")*(MOVIMIENTOS!$A$5:$A$1005&lt;=$A99)*MOVIMIENTOS!$E$5:$E$1005)+SUMPRODUCT((MOVIMIENTOS!$B$5:$B$1005="PROCESO")*(MOVIMIENTOS!$C$5:$C$1005="C")*(MOVIMIENTOS!$D$5:$D$1005="jabas")*(MOVIMIENTOS!$A$5:$A$1005&lt;&gt;"")*(MOVIMIENTOS!$A$5:$A$1005&lt;=$A99)*MOVIMIENTOS!$E$5:$E$1005)-SUMPRODUCT((MOVIMIENTOS!$B$5:$B$1005="ENVÍO A SUPESA")*(MOVIMIENTOS!$C$5:$C$1005="C")*(MOVIMIENTOS!$D$5:$D$1005="jabas")*(MOVIMIENTOS!$A$5:$A$1005&lt;&gt;"")*(MOVIMIENTOS!$A$5:$A$1005&lt;=$A99)*MOVIMIENTOS!$E$5:$E$1005)+SUMPRODUCT((MOVIMIENTOS!$B$5:$B$1005="DEVOLUCIÓN")*(MOVIMIENTOS!$C$5:$C$1005="C")*(MOVIMIENTOS!$D$5:$D$1005="jabas")*(MOVIMIENTOS!$A$5:$A$1005&lt;&gt;"")*(MOVIMIENTOS!$A$5:$A$1005&lt;=$A99)*MOVIMIENTOS!$E$5:$E$1005)-SUMPRODUCT((MOVIMIENTOS!$B$5:$B$1005="TRASIEGO")*(MOVIMIENTOS!$C$5:$C$1005="C")*(MOVIMIENTOS!$D$5:$D$1005="jabas")*(MOVIMIENTOS!$A$5:$A$1005&lt;&gt;"")*(MOVIMIENTOS!$A$5:$A$1005&lt;=$A99)*MOVIMIENTOS!$E$5:$E$1005)-SUMPRODUCT((MOVIMIENTOS!$B$5:$B$1005="REGALO")*(MOVIMIENTOS!$C$5:$C$1005="C")*(MOVIMIENTOS!$D$5:$D$1005="jabas")*(MOVIMIENTOS!$A$5:$A$1005&lt;&gt;"")*(MOVIMIENTOS!$A$5:$A$1005&lt;=$A99)*MOVIMIENTOS!$E$5:$E$1005)-SUMPRODUCT((MOVIMIENTOS!$B$5:$B$1005="VENTA")*(MOVIMIENTOS!$C$5:$C$1005="C")*(MOVIMIENTOS!$D$5:$D$1005="jabas")*(MOVIMIENTOS!$A$5:$A$1005&lt;&gt;"")*(MOVIMIENTOS!$A$5:$A$1005&lt;=$A99)*MOVIMIENTOS!$E$5:$E$1005)+SUMPRODUCT((MOVIMIENTOS!$B$5:$B$1005="AJUSTE")*(MOVIMIENTOS!$C$5:$C$1005="C")*(MOVIMIENTOS!$D$5:$D$1005="jabas")*(MOVIMIENTOS!$A$5:$A$1005&lt;&gt;"")*(MOVIMIENTOS!$A$5:$A$1005&lt;=$A99)*MOVIMIENTOS!$E$5:$E$1005))</f>
        <v/>
      </c>
      <c r="E99" s="63" t="str">
        <f>IF($A99="","",SUMPRODUCT((MOVIMIENTOS!$B$5:$B$1005="SALDO INICIAL")*(MOVIMIENTOS!$C$5:$C$1005="M")*(MOVIMIENTOS!$D$5:$D$1005="jabas")*(MOVIMIENTOS!$A$5:$A$1005&lt;&gt;"")*(MOVIMIENTOS!$A$5:$A$1005&lt;=$A99)*MOVIMIENTOS!$E$5:$E$1005)+SUMPRODUCT((MOVIMIENTOS!$B$5:$B$1005="PROCESO")*(MOVIMIENTOS!$C$5:$C$1005="M")*(MOVIMIENTOS!$D$5:$D$1005="jabas")*(MOVIMIENTOS!$A$5:$A$1005&lt;&gt;"")*(MOVIMIENTOS!$A$5:$A$1005&lt;=$A99)*MOVIMIENTOS!$E$5:$E$1005)-SUMPRODUCT((MOVIMIENTOS!$B$5:$B$1005="ENVÍO A SUPESA")*(MOVIMIENTOS!$C$5:$C$1005="M")*(MOVIMIENTOS!$D$5:$D$1005="jabas")*(MOVIMIENTOS!$A$5:$A$1005&lt;&gt;"")*(MOVIMIENTOS!$A$5:$A$1005&lt;=$A99)*MOVIMIENTOS!$E$5:$E$1005)+SUMPRODUCT((MOVIMIENTOS!$B$5:$B$1005="DEVOLUCIÓN")*(MOVIMIENTOS!$C$5:$C$1005="M")*(MOVIMIENTOS!$D$5:$D$1005="jabas")*(MOVIMIENTOS!$A$5:$A$1005&lt;&gt;"")*(MOVIMIENTOS!$A$5:$A$1005&lt;=$A99)*MOVIMIENTOS!$E$5:$E$1005)-SUMPRODUCT((MOVIMIENTOS!$B$5:$B$1005="TRASIEGO")*(MOVIMIENTOS!$C$5:$C$1005="M")*(MOVIMIENTOS!$D$5:$D$1005="jabas")*(MOVIMIENTOS!$A$5:$A$1005&lt;&gt;"")*(MOVIMIENTOS!$A$5:$A$1005&lt;=$A99)*MOVIMIENTOS!$E$5:$E$1005)-SUMPRODUCT((MOVIMIENTOS!$B$5:$B$1005="REGALO")*(MOVIMIENTOS!$C$5:$C$1005="M")*(MOVIMIENTOS!$D$5:$D$1005="jabas")*(MOVIMIENTOS!$A$5:$A$1005&lt;&gt;"")*(MOVIMIENTOS!$A$5:$A$1005&lt;=$A99)*MOVIMIENTOS!$E$5:$E$1005)-SUMPRODUCT((MOVIMIENTOS!$B$5:$B$1005="VENTA")*(MOVIMIENTOS!$C$5:$C$1005="M")*(MOVIMIENTOS!$D$5:$D$1005="jabas")*(MOVIMIENTOS!$A$5:$A$1005&lt;&gt;"")*(MOVIMIENTOS!$A$5:$A$1005&lt;=$A99)*MOVIMIENTOS!$E$5:$E$1005)+SUMPRODUCT((MOVIMIENTOS!$B$5:$B$1005="AJUSTE")*(MOVIMIENTOS!$C$5:$C$1005="M")*(MOVIMIENTOS!$D$5:$D$1005="jabas")*(MOVIMIENTOS!$A$5:$A$1005&lt;&gt;"")*(MOVIMIENTOS!$A$5:$A$1005&lt;=$A99)*MOVIMIENTOS!$E$5:$E$1005))</f>
        <v/>
      </c>
      <c r="F99" s="63" t="str">
        <f>IF($A99="","",SUMPRODUCT((MOVIMIENTOS!$B$5:$B$1005="SALDO INICIAL")*(MOVIMIENTOS!$C$5:$C$1005="Chancho")*(MOVIMIENTOS!$D$5:$D$1005="sacos")*(MOVIMIENTOS!$A$5:$A$1005&lt;&gt;"")*(MOVIMIENTOS!$A$5:$A$1005&lt;=$A99)*MOVIMIENTOS!$E$5:$E$1005)+SUMPRODUCT((MOVIMIENTOS!$B$5:$B$1005="PROCESO")*(MOVIMIENTOS!$C$5:$C$1005="Chancho")*(MOVIMIENTOS!$D$5:$D$1005="sacos")*(MOVIMIENTOS!$A$5:$A$1005&lt;&gt;"")*(MOVIMIENTOS!$A$5:$A$1005&lt;=$A99)*MOVIMIENTOS!$E$5:$E$1005)-SUMPRODUCT((MOVIMIENTOS!$B$5:$B$1005="VENTA CHANCHO")*(MOVIMIENTOS!$C$5:$C$1005="Chancho")*(MOVIMIENTOS!$D$5:$D$1005="sacos")*(MOVIMIENTOS!$A$5:$A$1005&lt;&gt;"")*(MOVIMIENTOS!$A$5:$A$1005&lt;=$A99)*MOVIMIENTOS!$E$5:$E$1005)-SUMPRODUCT((MOVIMIENTOS!$B$5:$B$1005="REGALO")*(MOVIMIENTOS!$C$5:$C$1005="Chancho")*(MOVIMIENTOS!$D$5:$D$1005="sacos")*(MOVIMIENTOS!$A$5:$A$1005&lt;&gt;"")*(MOVIMIENTOS!$A$5:$A$1005&lt;=$A99)*MOVIMIENTOS!$E$5:$E$1005)-SUMPRODUCT((MOVIMIENTOS!$B$5:$B$1005="VENTA")*(MOVIMIENTOS!$C$5:$C$1005="Chancho")*(MOVIMIENTOS!$D$5:$D$1005="sacos")*(MOVIMIENTOS!$A$5:$A$1005&lt;&gt;"")*(MOVIMIENTOS!$A$5:$A$1005&lt;=$A99)*MOVIMIENTOS!$E$5:$E$1005)+SUMPRODUCT((MOVIMIENTOS!$B$5:$B$1005="AJUSTE")*(MOVIMIENTOS!$C$5:$C$1005="Chancho")*(MOVIMIENTOS!$D$5:$D$1005="sacos")*(MOVIMIENTOS!$A$5:$A$1005&lt;&gt;"")*(MOVIMIENTOS!$A$5:$A$1005&lt;=$A99)*MOVIMIENTOS!$E$5:$E$1005))</f>
        <v/>
      </c>
      <c r="G99" s="95" t="str">
        <f t="shared" si="3"/>
        <v/>
      </c>
      <c r="H99" s="63" t="str">
        <f>IF($A99="","",SUMPRODUCT((((MOVIMIENTOS!$B$5:$B$1005="SALDO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99)*MOVIMIENTOS!$J$5:$J$1005))</f>
        <v/>
      </c>
      <c r="I99" s="63"/>
      <c r="J99" s="63" t="str">
        <f>IF(AND(MOVIMIENTOS!$A99&lt;&gt;"",COUNTIF(MOVIMIENTOS!$A$5:$A98,MOVIMIENTOS!$A99)=0),COUNT(J$4:J98)+1,"")</f>
        <v/>
      </c>
      <c r="K99" s="66">
        <f>MOVIMIENTOS!$A99</f>
        <v>46223</v>
      </c>
      <c r="L99" s="63"/>
      <c r="M99" s="63"/>
      <c r="N99" s="63"/>
    </row>
    <row r="100" spans="1:14" ht="15" customHeight="1" x14ac:dyDescent="0.2">
      <c r="A100" s="63" t="str">
        <f t="shared" si="2"/>
        <v/>
      </c>
      <c r="B100" s="63" t="str">
        <f>IF($A100="","",SUMPRODUCT((MOVIMIENTOS!$B$5:$B$1005="SALDO INICIAL")*(MOVIMIENTOS!$C$5:$C$1005="A")*(MOVIMIENTOS!$D$5:$D$1005="jabas")*(MOVIMIENTOS!$A$5:$A$1005&lt;&gt;"")*(MOVIMIENTOS!$A$5:$A$1005&lt;=$A100)*MOVIMIENTOS!$E$5:$E$1005)+SUMPRODUCT((MOVIMIENTOS!$B$5:$B$1005="PROCESO")*(MOVIMIENTOS!$C$5:$C$1005="A")*(MOVIMIENTOS!$D$5:$D$1005="jabas")*(MOVIMIENTOS!$A$5:$A$1005&lt;&gt;"")*(MOVIMIENTOS!$A$5:$A$1005&lt;=$A100)*MOVIMIENTOS!$E$5:$E$1005)-SUMPRODUCT((MOVIMIENTOS!$B$5:$B$1005="ENVÍO A SUPESA")*(MOVIMIENTOS!$C$5:$C$1005="A")*(MOVIMIENTOS!$D$5:$D$1005="jabas")*(MOVIMIENTOS!$A$5:$A$1005&lt;&gt;"")*(MOVIMIENTOS!$A$5:$A$1005&lt;=$A100)*MOVIMIENTOS!$E$5:$E$1005)+SUMPRODUCT((MOVIMIENTOS!$B$5:$B$1005="DEVOLUCIÓN")*(MOVIMIENTOS!$C$5:$C$1005="A")*(MOVIMIENTOS!$D$5:$D$1005="jabas")*(MOVIMIENTOS!$A$5:$A$1005&lt;&gt;"")*(MOVIMIENTOS!$A$5:$A$1005&lt;=$A100)*MOVIMIENTOS!$E$5:$E$1005)-SUMPRODUCT((MOVIMIENTOS!$B$5:$B$1005="TRASIEGO")*(MOVIMIENTOS!$C$5:$C$1005="A")*(MOVIMIENTOS!$D$5:$D$1005="jabas")*(MOVIMIENTOS!$A$5:$A$1005&lt;&gt;"")*(MOVIMIENTOS!$A$5:$A$1005&lt;=$A100)*MOVIMIENTOS!$E$5:$E$1005)-SUMPRODUCT((MOVIMIENTOS!$B$5:$B$1005="REGALO")*(MOVIMIENTOS!$C$5:$C$1005="A")*(MOVIMIENTOS!$D$5:$D$1005="jabas")*(MOVIMIENTOS!$A$5:$A$1005&lt;&gt;"")*(MOVIMIENTOS!$A$5:$A$1005&lt;=$A100)*MOVIMIENTOS!$E$5:$E$1005)-SUMPRODUCT((MOVIMIENTOS!$B$5:$B$1005="VENTA")*(MOVIMIENTOS!$C$5:$C$1005="A")*(MOVIMIENTOS!$D$5:$D$1005="jabas")*(MOVIMIENTOS!$A$5:$A$1005&lt;&gt;"")*(MOVIMIENTOS!$A$5:$A$1005&lt;=$A100)*MOVIMIENTOS!$E$5:$E$1005)+SUMPRODUCT((MOVIMIENTOS!$B$5:$B$1005="AJUSTE")*(MOVIMIENTOS!$C$5:$C$1005="A")*(MOVIMIENTOS!$D$5:$D$1005="jabas")*(MOVIMIENTOS!$A$5:$A$1005&lt;&gt;"")*(MOVIMIENTOS!$A$5:$A$1005&lt;=$A100)*MOVIMIENTOS!$E$5:$E$1005))</f>
        <v/>
      </c>
      <c r="C100" s="63" t="str">
        <f>IF($A100="","",SUMPRODUCT((MOVIMIENTOS!$B$5:$B$1005="SALDO INICIAL")*(MOVIMIENTOS!$C$5:$C$1005="P")*(MOVIMIENTOS!$D$5:$D$1005="jabas")*(MOVIMIENTOS!$A$5:$A$1005&lt;&gt;"")*(MOVIMIENTOS!$A$5:$A$1005&lt;=$A100)*MOVIMIENTOS!$E$5:$E$1005)+SUMPRODUCT((MOVIMIENTOS!$B$5:$B$1005="PROCESO")*(MOVIMIENTOS!$C$5:$C$1005="P")*(MOVIMIENTOS!$D$5:$D$1005="jabas")*(MOVIMIENTOS!$A$5:$A$1005&lt;&gt;"")*(MOVIMIENTOS!$A$5:$A$1005&lt;=$A100)*MOVIMIENTOS!$E$5:$E$1005)-SUMPRODUCT((MOVIMIENTOS!$B$5:$B$1005="ENVÍO A SUPESA")*(MOVIMIENTOS!$C$5:$C$1005="P")*(MOVIMIENTOS!$D$5:$D$1005="jabas")*(MOVIMIENTOS!$A$5:$A$1005&lt;&gt;"")*(MOVIMIENTOS!$A$5:$A$1005&lt;=$A100)*MOVIMIENTOS!$E$5:$E$1005)+SUMPRODUCT((MOVIMIENTOS!$B$5:$B$1005="DEVOLUCIÓN")*(MOVIMIENTOS!$C$5:$C$1005="P")*(MOVIMIENTOS!$D$5:$D$1005="jabas")*(MOVIMIENTOS!$A$5:$A$1005&lt;&gt;"")*(MOVIMIENTOS!$A$5:$A$1005&lt;=$A100)*MOVIMIENTOS!$E$5:$E$1005)-SUMPRODUCT((MOVIMIENTOS!$B$5:$B$1005="TRASIEGO")*(MOVIMIENTOS!$C$5:$C$1005="P")*(MOVIMIENTOS!$D$5:$D$1005="jabas")*(MOVIMIENTOS!$A$5:$A$1005&lt;&gt;"")*(MOVIMIENTOS!$A$5:$A$1005&lt;=$A100)*MOVIMIENTOS!$E$5:$E$1005)-SUMPRODUCT((MOVIMIENTOS!$B$5:$B$1005="REGALO")*(MOVIMIENTOS!$C$5:$C$1005="P")*(MOVIMIENTOS!$D$5:$D$1005="jabas")*(MOVIMIENTOS!$A$5:$A$1005&lt;&gt;"")*(MOVIMIENTOS!$A$5:$A$1005&lt;=$A100)*MOVIMIENTOS!$E$5:$E$1005)-SUMPRODUCT((MOVIMIENTOS!$B$5:$B$1005="VENTA")*(MOVIMIENTOS!$C$5:$C$1005="P")*(MOVIMIENTOS!$D$5:$D$1005="jabas")*(MOVIMIENTOS!$A$5:$A$1005&lt;&gt;"")*(MOVIMIENTOS!$A$5:$A$1005&lt;=$A100)*MOVIMIENTOS!$E$5:$E$1005)+SUMPRODUCT((MOVIMIENTOS!$B$5:$B$1005="AJUSTE")*(MOVIMIENTOS!$C$5:$C$1005="P")*(MOVIMIENTOS!$D$5:$D$1005="jabas")*(MOVIMIENTOS!$A$5:$A$1005&lt;&gt;"")*(MOVIMIENTOS!$A$5:$A$1005&lt;=$A100)*MOVIMIENTOS!$E$5:$E$1005))</f>
        <v/>
      </c>
      <c r="D100" s="63" t="str">
        <f>IF($A100="","",SUMPRODUCT((MOVIMIENTOS!$B$5:$B$1005="SALDO INICIAL")*(MOVIMIENTOS!$C$5:$C$1005="C")*(MOVIMIENTOS!$D$5:$D$1005="jabas")*(MOVIMIENTOS!$A$5:$A$1005&lt;&gt;"")*(MOVIMIENTOS!$A$5:$A$1005&lt;=$A100)*MOVIMIENTOS!$E$5:$E$1005)+SUMPRODUCT((MOVIMIENTOS!$B$5:$B$1005="PROCESO")*(MOVIMIENTOS!$C$5:$C$1005="C")*(MOVIMIENTOS!$D$5:$D$1005="jabas")*(MOVIMIENTOS!$A$5:$A$1005&lt;&gt;"")*(MOVIMIENTOS!$A$5:$A$1005&lt;=$A100)*MOVIMIENTOS!$E$5:$E$1005)-SUMPRODUCT((MOVIMIENTOS!$B$5:$B$1005="ENVÍO A SUPESA")*(MOVIMIENTOS!$C$5:$C$1005="C")*(MOVIMIENTOS!$D$5:$D$1005="jabas")*(MOVIMIENTOS!$A$5:$A$1005&lt;&gt;"")*(MOVIMIENTOS!$A$5:$A$1005&lt;=$A100)*MOVIMIENTOS!$E$5:$E$1005)+SUMPRODUCT((MOVIMIENTOS!$B$5:$B$1005="DEVOLUCIÓN")*(MOVIMIENTOS!$C$5:$C$1005="C")*(MOVIMIENTOS!$D$5:$D$1005="jabas")*(MOVIMIENTOS!$A$5:$A$1005&lt;&gt;"")*(MOVIMIENTOS!$A$5:$A$1005&lt;=$A100)*MOVIMIENTOS!$E$5:$E$1005)-SUMPRODUCT((MOVIMIENTOS!$B$5:$B$1005="TRASIEGO")*(MOVIMIENTOS!$C$5:$C$1005="C")*(MOVIMIENTOS!$D$5:$D$1005="jabas")*(MOVIMIENTOS!$A$5:$A$1005&lt;&gt;"")*(MOVIMIENTOS!$A$5:$A$1005&lt;=$A100)*MOVIMIENTOS!$E$5:$E$1005)-SUMPRODUCT((MOVIMIENTOS!$B$5:$B$1005="REGALO")*(MOVIMIENTOS!$C$5:$C$1005="C")*(MOVIMIENTOS!$D$5:$D$1005="jabas")*(MOVIMIENTOS!$A$5:$A$1005&lt;&gt;"")*(MOVIMIENTOS!$A$5:$A$1005&lt;=$A100)*MOVIMIENTOS!$E$5:$E$1005)-SUMPRODUCT((MOVIMIENTOS!$B$5:$B$1005="VENTA")*(MOVIMIENTOS!$C$5:$C$1005="C")*(MOVIMIENTOS!$D$5:$D$1005="jabas")*(MOVIMIENTOS!$A$5:$A$1005&lt;&gt;"")*(MOVIMIENTOS!$A$5:$A$1005&lt;=$A100)*MOVIMIENTOS!$E$5:$E$1005)+SUMPRODUCT((MOVIMIENTOS!$B$5:$B$1005="AJUSTE")*(MOVIMIENTOS!$C$5:$C$1005="C")*(MOVIMIENTOS!$D$5:$D$1005="jabas")*(MOVIMIENTOS!$A$5:$A$1005&lt;&gt;"")*(MOVIMIENTOS!$A$5:$A$1005&lt;=$A100)*MOVIMIENTOS!$E$5:$E$1005))</f>
        <v/>
      </c>
      <c r="E100" s="63" t="str">
        <f>IF($A100="","",SUMPRODUCT((MOVIMIENTOS!$B$5:$B$1005="SALDO INICIAL")*(MOVIMIENTOS!$C$5:$C$1005="M")*(MOVIMIENTOS!$D$5:$D$1005="jabas")*(MOVIMIENTOS!$A$5:$A$1005&lt;&gt;"")*(MOVIMIENTOS!$A$5:$A$1005&lt;=$A100)*MOVIMIENTOS!$E$5:$E$1005)+SUMPRODUCT((MOVIMIENTOS!$B$5:$B$1005="PROCESO")*(MOVIMIENTOS!$C$5:$C$1005="M")*(MOVIMIENTOS!$D$5:$D$1005="jabas")*(MOVIMIENTOS!$A$5:$A$1005&lt;&gt;"")*(MOVIMIENTOS!$A$5:$A$1005&lt;=$A100)*MOVIMIENTOS!$E$5:$E$1005)-SUMPRODUCT((MOVIMIENTOS!$B$5:$B$1005="ENVÍO A SUPESA")*(MOVIMIENTOS!$C$5:$C$1005="M")*(MOVIMIENTOS!$D$5:$D$1005="jabas")*(MOVIMIENTOS!$A$5:$A$1005&lt;&gt;"")*(MOVIMIENTOS!$A$5:$A$1005&lt;=$A100)*MOVIMIENTOS!$E$5:$E$1005)+SUMPRODUCT((MOVIMIENTOS!$B$5:$B$1005="DEVOLUCIÓN")*(MOVIMIENTOS!$C$5:$C$1005="M")*(MOVIMIENTOS!$D$5:$D$1005="jabas")*(MOVIMIENTOS!$A$5:$A$1005&lt;&gt;"")*(MOVIMIENTOS!$A$5:$A$1005&lt;=$A100)*MOVIMIENTOS!$E$5:$E$1005)-SUMPRODUCT((MOVIMIENTOS!$B$5:$B$1005="TRASIEGO")*(MOVIMIENTOS!$C$5:$C$1005="M")*(MOVIMIENTOS!$D$5:$D$1005="jabas")*(MOVIMIENTOS!$A$5:$A$1005&lt;&gt;"")*(MOVIMIENTOS!$A$5:$A$1005&lt;=$A100)*MOVIMIENTOS!$E$5:$E$1005)-SUMPRODUCT((MOVIMIENTOS!$B$5:$B$1005="REGALO")*(MOVIMIENTOS!$C$5:$C$1005="M")*(MOVIMIENTOS!$D$5:$D$1005="jabas")*(MOVIMIENTOS!$A$5:$A$1005&lt;&gt;"")*(MOVIMIENTOS!$A$5:$A$1005&lt;=$A100)*MOVIMIENTOS!$E$5:$E$1005)-SUMPRODUCT((MOVIMIENTOS!$B$5:$B$1005="VENTA")*(MOVIMIENTOS!$C$5:$C$1005="M")*(MOVIMIENTOS!$D$5:$D$1005="jabas")*(MOVIMIENTOS!$A$5:$A$1005&lt;&gt;"")*(MOVIMIENTOS!$A$5:$A$1005&lt;=$A100)*MOVIMIENTOS!$E$5:$E$1005)+SUMPRODUCT((MOVIMIENTOS!$B$5:$B$1005="AJUSTE")*(MOVIMIENTOS!$C$5:$C$1005="M")*(MOVIMIENTOS!$D$5:$D$1005="jabas")*(MOVIMIENTOS!$A$5:$A$1005&lt;&gt;"")*(MOVIMIENTOS!$A$5:$A$1005&lt;=$A100)*MOVIMIENTOS!$E$5:$E$1005))</f>
        <v/>
      </c>
      <c r="F100" s="63" t="str">
        <f>IF($A100="","",SUMPRODUCT((MOVIMIENTOS!$B$5:$B$1005="SALDO INICIAL")*(MOVIMIENTOS!$C$5:$C$1005="Chancho")*(MOVIMIENTOS!$D$5:$D$1005="sacos")*(MOVIMIENTOS!$A$5:$A$1005&lt;&gt;"")*(MOVIMIENTOS!$A$5:$A$1005&lt;=$A100)*MOVIMIENTOS!$E$5:$E$1005)+SUMPRODUCT((MOVIMIENTOS!$B$5:$B$1005="PROCESO")*(MOVIMIENTOS!$C$5:$C$1005="Chancho")*(MOVIMIENTOS!$D$5:$D$1005="sacos")*(MOVIMIENTOS!$A$5:$A$1005&lt;&gt;"")*(MOVIMIENTOS!$A$5:$A$1005&lt;=$A100)*MOVIMIENTOS!$E$5:$E$1005)-SUMPRODUCT((MOVIMIENTOS!$B$5:$B$1005="VENTA CHANCHO")*(MOVIMIENTOS!$C$5:$C$1005="Chancho")*(MOVIMIENTOS!$D$5:$D$1005="sacos")*(MOVIMIENTOS!$A$5:$A$1005&lt;&gt;"")*(MOVIMIENTOS!$A$5:$A$1005&lt;=$A100)*MOVIMIENTOS!$E$5:$E$1005)-SUMPRODUCT((MOVIMIENTOS!$B$5:$B$1005="REGALO")*(MOVIMIENTOS!$C$5:$C$1005="Chancho")*(MOVIMIENTOS!$D$5:$D$1005="sacos")*(MOVIMIENTOS!$A$5:$A$1005&lt;&gt;"")*(MOVIMIENTOS!$A$5:$A$1005&lt;=$A100)*MOVIMIENTOS!$E$5:$E$1005)-SUMPRODUCT((MOVIMIENTOS!$B$5:$B$1005="VENTA")*(MOVIMIENTOS!$C$5:$C$1005="Chancho")*(MOVIMIENTOS!$D$5:$D$1005="sacos")*(MOVIMIENTOS!$A$5:$A$1005&lt;&gt;"")*(MOVIMIENTOS!$A$5:$A$1005&lt;=$A100)*MOVIMIENTOS!$E$5:$E$1005)+SUMPRODUCT((MOVIMIENTOS!$B$5:$B$1005="AJUSTE")*(MOVIMIENTOS!$C$5:$C$1005="Chancho")*(MOVIMIENTOS!$D$5:$D$1005="sacos")*(MOVIMIENTOS!$A$5:$A$1005&lt;&gt;"")*(MOVIMIENTOS!$A$5:$A$1005&lt;=$A100)*MOVIMIENTOS!$E$5:$E$1005))</f>
        <v/>
      </c>
      <c r="G100" s="95" t="str">
        <f t="shared" si="3"/>
        <v/>
      </c>
      <c r="H100" s="63" t="str">
        <f>IF($A100="","",SUMPRODUCT((((MOVIMIENTOS!$B$5:$B$1005="SALDO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100)*MOVIMIENTOS!$J$5:$J$1005))</f>
        <v/>
      </c>
      <c r="I100" s="63"/>
      <c r="J100" s="63" t="str">
        <f>IF(AND(MOVIMIENTOS!$A100&lt;&gt;"",COUNTIF(MOVIMIENTOS!$A$5:$A99,MOVIMIENTOS!$A100)=0),COUNT(J$4:J99)+1,"")</f>
        <v/>
      </c>
      <c r="K100" s="66">
        <f>MOVIMIENTOS!$A100</f>
        <v>46223</v>
      </c>
      <c r="L100" s="63"/>
      <c r="M100" s="63"/>
      <c r="N100" s="63"/>
    </row>
    <row r="101" spans="1:14" ht="15" customHeight="1" x14ac:dyDescent="0.2">
      <c r="A101" s="63" t="str">
        <f t="shared" si="2"/>
        <v/>
      </c>
      <c r="B101" s="63" t="str">
        <f>IF($A101="","",SUMPRODUCT((MOVIMIENTOS!$B$5:$B$1005="SALDO INICIAL")*(MOVIMIENTOS!$C$5:$C$1005="A")*(MOVIMIENTOS!$D$5:$D$1005="jabas")*(MOVIMIENTOS!$A$5:$A$1005&lt;&gt;"")*(MOVIMIENTOS!$A$5:$A$1005&lt;=$A101)*MOVIMIENTOS!$E$5:$E$1005)+SUMPRODUCT((MOVIMIENTOS!$B$5:$B$1005="PROCESO")*(MOVIMIENTOS!$C$5:$C$1005="A")*(MOVIMIENTOS!$D$5:$D$1005="jabas")*(MOVIMIENTOS!$A$5:$A$1005&lt;&gt;"")*(MOVIMIENTOS!$A$5:$A$1005&lt;=$A101)*MOVIMIENTOS!$E$5:$E$1005)-SUMPRODUCT((MOVIMIENTOS!$B$5:$B$1005="ENVÍO A SUPESA")*(MOVIMIENTOS!$C$5:$C$1005="A")*(MOVIMIENTOS!$D$5:$D$1005="jabas")*(MOVIMIENTOS!$A$5:$A$1005&lt;&gt;"")*(MOVIMIENTOS!$A$5:$A$1005&lt;=$A101)*MOVIMIENTOS!$E$5:$E$1005)+SUMPRODUCT((MOVIMIENTOS!$B$5:$B$1005="DEVOLUCIÓN")*(MOVIMIENTOS!$C$5:$C$1005="A")*(MOVIMIENTOS!$D$5:$D$1005="jabas")*(MOVIMIENTOS!$A$5:$A$1005&lt;&gt;"")*(MOVIMIENTOS!$A$5:$A$1005&lt;=$A101)*MOVIMIENTOS!$E$5:$E$1005)-SUMPRODUCT((MOVIMIENTOS!$B$5:$B$1005="TRASIEGO")*(MOVIMIENTOS!$C$5:$C$1005="A")*(MOVIMIENTOS!$D$5:$D$1005="jabas")*(MOVIMIENTOS!$A$5:$A$1005&lt;&gt;"")*(MOVIMIENTOS!$A$5:$A$1005&lt;=$A101)*MOVIMIENTOS!$E$5:$E$1005)-SUMPRODUCT((MOVIMIENTOS!$B$5:$B$1005="REGALO")*(MOVIMIENTOS!$C$5:$C$1005="A")*(MOVIMIENTOS!$D$5:$D$1005="jabas")*(MOVIMIENTOS!$A$5:$A$1005&lt;&gt;"")*(MOVIMIENTOS!$A$5:$A$1005&lt;=$A101)*MOVIMIENTOS!$E$5:$E$1005)-SUMPRODUCT((MOVIMIENTOS!$B$5:$B$1005="VENTA")*(MOVIMIENTOS!$C$5:$C$1005="A")*(MOVIMIENTOS!$D$5:$D$1005="jabas")*(MOVIMIENTOS!$A$5:$A$1005&lt;&gt;"")*(MOVIMIENTOS!$A$5:$A$1005&lt;=$A101)*MOVIMIENTOS!$E$5:$E$1005)+SUMPRODUCT((MOVIMIENTOS!$B$5:$B$1005="AJUSTE")*(MOVIMIENTOS!$C$5:$C$1005="A")*(MOVIMIENTOS!$D$5:$D$1005="jabas")*(MOVIMIENTOS!$A$5:$A$1005&lt;&gt;"")*(MOVIMIENTOS!$A$5:$A$1005&lt;=$A101)*MOVIMIENTOS!$E$5:$E$1005))</f>
        <v/>
      </c>
      <c r="C101" s="63" t="str">
        <f>IF($A101="","",SUMPRODUCT((MOVIMIENTOS!$B$5:$B$1005="SALDO INICIAL")*(MOVIMIENTOS!$C$5:$C$1005="P")*(MOVIMIENTOS!$D$5:$D$1005="jabas")*(MOVIMIENTOS!$A$5:$A$1005&lt;&gt;"")*(MOVIMIENTOS!$A$5:$A$1005&lt;=$A101)*MOVIMIENTOS!$E$5:$E$1005)+SUMPRODUCT((MOVIMIENTOS!$B$5:$B$1005="PROCESO")*(MOVIMIENTOS!$C$5:$C$1005="P")*(MOVIMIENTOS!$D$5:$D$1005="jabas")*(MOVIMIENTOS!$A$5:$A$1005&lt;&gt;"")*(MOVIMIENTOS!$A$5:$A$1005&lt;=$A101)*MOVIMIENTOS!$E$5:$E$1005)-SUMPRODUCT((MOVIMIENTOS!$B$5:$B$1005="ENVÍO A SUPESA")*(MOVIMIENTOS!$C$5:$C$1005="P")*(MOVIMIENTOS!$D$5:$D$1005="jabas")*(MOVIMIENTOS!$A$5:$A$1005&lt;&gt;"")*(MOVIMIENTOS!$A$5:$A$1005&lt;=$A101)*MOVIMIENTOS!$E$5:$E$1005)+SUMPRODUCT((MOVIMIENTOS!$B$5:$B$1005="DEVOLUCIÓN")*(MOVIMIENTOS!$C$5:$C$1005="P")*(MOVIMIENTOS!$D$5:$D$1005="jabas")*(MOVIMIENTOS!$A$5:$A$1005&lt;&gt;"")*(MOVIMIENTOS!$A$5:$A$1005&lt;=$A101)*MOVIMIENTOS!$E$5:$E$1005)-SUMPRODUCT((MOVIMIENTOS!$B$5:$B$1005="TRASIEGO")*(MOVIMIENTOS!$C$5:$C$1005="P")*(MOVIMIENTOS!$D$5:$D$1005="jabas")*(MOVIMIENTOS!$A$5:$A$1005&lt;&gt;"")*(MOVIMIENTOS!$A$5:$A$1005&lt;=$A101)*MOVIMIENTOS!$E$5:$E$1005)-SUMPRODUCT((MOVIMIENTOS!$B$5:$B$1005="REGALO")*(MOVIMIENTOS!$C$5:$C$1005="P")*(MOVIMIENTOS!$D$5:$D$1005="jabas")*(MOVIMIENTOS!$A$5:$A$1005&lt;&gt;"")*(MOVIMIENTOS!$A$5:$A$1005&lt;=$A101)*MOVIMIENTOS!$E$5:$E$1005)-SUMPRODUCT((MOVIMIENTOS!$B$5:$B$1005="VENTA")*(MOVIMIENTOS!$C$5:$C$1005="P")*(MOVIMIENTOS!$D$5:$D$1005="jabas")*(MOVIMIENTOS!$A$5:$A$1005&lt;&gt;"")*(MOVIMIENTOS!$A$5:$A$1005&lt;=$A101)*MOVIMIENTOS!$E$5:$E$1005)+SUMPRODUCT((MOVIMIENTOS!$B$5:$B$1005="AJUSTE")*(MOVIMIENTOS!$C$5:$C$1005="P")*(MOVIMIENTOS!$D$5:$D$1005="jabas")*(MOVIMIENTOS!$A$5:$A$1005&lt;&gt;"")*(MOVIMIENTOS!$A$5:$A$1005&lt;=$A101)*MOVIMIENTOS!$E$5:$E$1005))</f>
        <v/>
      </c>
      <c r="D101" s="63" t="str">
        <f>IF($A101="","",SUMPRODUCT((MOVIMIENTOS!$B$5:$B$1005="SALDO INICIAL")*(MOVIMIENTOS!$C$5:$C$1005="C")*(MOVIMIENTOS!$D$5:$D$1005="jabas")*(MOVIMIENTOS!$A$5:$A$1005&lt;&gt;"")*(MOVIMIENTOS!$A$5:$A$1005&lt;=$A101)*MOVIMIENTOS!$E$5:$E$1005)+SUMPRODUCT((MOVIMIENTOS!$B$5:$B$1005="PROCESO")*(MOVIMIENTOS!$C$5:$C$1005="C")*(MOVIMIENTOS!$D$5:$D$1005="jabas")*(MOVIMIENTOS!$A$5:$A$1005&lt;&gt;"")*(MOVIMIENTOS!$A$5:$A$1005&lt;=$A101)*MOVIMIENTOS!$E$5:$E$1005)-SUMPRODUCT((MOVIMIENTOS!$B$5:$B$1005="ENVÍO A SUPESA")*(MOVIMIENTOS!$C$5:$C$1005="C")*(MOVIMIENTOS!$D$5:$D$1005="jabas")*(MOVIMIENTOS!$A$5:$A$1005&lt;&gt;"")*(MOVIMIENTOS!$A$5:$A$1005&lt;=$A101)*MOVIMIENTOS!$E$5:$E$1005)+SUMPRODUCT((MOVIMIENTOS!$B$5:$B$1005="DEVOLUCIÓN")*(MOVIMIENTOS!$C$5:$C$1005="C")*(MOVIMIENTOS!$D$5:$D$1005="jabas")*(MOVIMIENTOS!$A$5:$A$1005&lt;&gt;"")*(MOVIMIENTOS!$A$5:$A$1005&lt;=$A101)*MOVIMIENTOS!$E$5:$E$1005)-SUMPRODUCT((MOVIMIENTOS!$B$5:$B$1005="TRASIEGO")*(MOVIMIENTOS!$C$5:$C$1005="C")*(MOVIMIENTOS!$D$5:$D$1005="jabas")*(MOVIMIENTOS!$A$5:$A$1005&lt;&gt;"")*(MOVIMIENTOS!$A$5:$A$1005&lt;=$A101)*MOVIMIENTOS!$E$5:$E$1005)-SUMPRODUCT((MOVIMIENTOS!$B$5:$B$1005="REGALO")*(MOVIMIENTOS!$C$5:$C$1005="C")*(MOVIMIENTOS!$D$5:$D$1005="jabas")*(MOVIMIENTOS!$A$5:$A$1005&lt;&gt;"")*(MOVIMIENTOS!$A$5:$A$1005&lt;=$A101)*MOVIMIENTOS!$E$5:$E$1005)-SUMPRODUCT((MOVIMIENTOS!$B$5:$B$1005="VENTA")*(MOVIMIENTOS!$C$5:$C$1005="C")*(MOVIMIENTOS!$D$5:$D$1005="jabas")*(MOVIMIENTOS!$A$5:$A$1005&lt;&gt;"")*(MOVIMIENTOS!$A$5:$A$1005&lt;=$A101)*MOVIMIENTOS!$E$5:$E$1005)+SUMPRODUCT((MOVIMIENTOS!$B$5:$B$1005="AJUSTE")*(MOVIMIENTOS!$C$5:$C$1005="C")*(MOVIMIENTOS!$D$5:$D$1005="jabas")*(MOVIMIENTOS!$A$5:$A$1005&lt;&gt;"")*(MOVIMIENTOS!$A$5:$A$1005&lt;=$A101)*MOVIMIENTOS!$E$5:$E$1005))</f>
        <v/>
      </c>
      <c r="E101" s="63" t="str">
        <f>IF($A101="","",SUMPRODUCT((MOVIMIENTOS!$B$5:$B$1005="SALDO INICIAL")*(MOVIMIENTOS!$C$5:$C$1005="M")*(MOVIMIENTOS!$D$5:$D$1005="jabas")*(MOVIMIENTOS!$A$5:$A$1005&lt;&gt;"")*(MOVIMIENTOS!$A$5:$A$1005&lt;=$A101)*MOVIMIENTOS!$E$5:$E$1005)+SUMPRODUCT((MOVIMIENTOS!$B$5:$B$1005="PROCESO")*(MOVIMIENTOS!$C$5:$C$1005="M")*(MOVIMIENTOS!$D$5:$D$1005="jabas")*(MOVIMIENTOS!$A$5:$A$1005&lt;&gt;"")*(MOVIMIENTOS!$A$5:$A$1005&lt;=$A101)*MOVIMIENTOS!$E$5:$E$1005)-SUMPRODUCT((MOVIMIENTOS!$B$5:$B$1005="ENVÍO A SUPESA")*(MOVIMIENTOS!$C$5:$C$1005="M")*(MOVIMIENTOS!$D$5:$D$1005="jabas")*(MOVIMIENTOS!$A$5:$A$1005&lt;&gt;"")*(MOVIMIENTOS!$A$5:$A$1005&lt;=$A101)*MOVIMIENTOS!$E$5:$E$1005)+SUMPRODUCT((MOVIMIENTOS!$B$5:$B$1005="DEVOLUCIÓN")*(MOVIMIENTOS!$C$5:$C$1005="M")*(MOVIMIENTOS!$D$5:$D$1005="jabas")*(MOVIMIENTOS!$A$5:$A$1005&lt;&gt;"")*(MOVIMIENTOS!$A$5:$A$1005&lt;=$A101)*MOVIMIENTOS!$E$5:$E$1005)-SUMPRODUCT((MOVIMIENTOS!$B$5:$B$1005="TRASIEGO")*(MOVIMIENTOS!$C$5:$C$1005="M")*(MOVIMIENTOS!$D$5:$D$1005="jabas")*(MOVIMIENTOS!$A$5:$A$1005&lt;&gt;"")*(MOVIMIENTOS!$A$5:$A$1005&lt;=$A101)*MOVIMIENTOS!$E$5:$E$1005)-SUMPRODUCT((MOVIMIENTOS!$B$5:$B$1005="REGALO")*(MOVIMIENTOS!$C$5:$C$1005="M")*(MOVIMIENTOS!$D$5:$D$1005="jabas")*(MOVIMIENTOS!$A$5:$A$1005&lt;&gt;"")*(MOVIMIENTOS!$A$5:$A$1005&lt;=$A101)*MOVIMIENTOS!$E$5:$E$1005)-SUMPRODUCT((MOVIMIENTOS!$B$5:$B$1005="VENTA")*(MOVIMIENTOS!$C$5:$C$1005="M")*(MOVIMIENTOS!$D$5:$D$1005="jabas")*(MOVIMIENTOS!$A$5:$A$1005&lt;&gt;"")*(MOVIMIENTOS!$A$5:$A$1005&lt;=$A101)*MOVIMIENTOS!$E$5:$E$1005)+SUMPRODUCT((MOVIMIENTOS!$B$5:$B$1005="AJUSTE")*(MOVIMIENTOS!$C$5:$C$1005="M")*(MOVIMIENTOS!$D$5:$D$1005="jabas")*(MOVIMIENTOS!$A$5:$A$1005&lt;&gt;"")*(MOVIMIENTOS!$A$5:$A$1005&lt;=$A101)*MOVIMIENTOS!$E$5:$E$1005))</f>
        <v/>
      </c>
      <c r="F101" s="63" t="str">
        <f>IF($A101="","",SUMPRODUCT((MOVIMIENTOS!$B$5:$B$1005="SALDO INICIAL")*(MOVIMIENTOS!$C$5:$C$1005="Chancho")*(MOVIMIENTOS!$D$5:$D$1005="sacos")*(MOVIMIENTOS!$A$5:$A$1005&lt;&gt;"")*(MOVIMIENTOS!$A$5:$A$1005&lt;=$A101)*MOVIMIENTOS!$E$5:$E$1005)+SUMPRODUCT((MOVIMIENTOS!$B$5:$B$1005="PROCESO")*(MOVIMIENTOS!$C$5:$C$1005="Chancho")*(MOVIMIENTOS!$D$5:$D$1005="sacos")*(MOVIMIENTOS!$A$5:$A$1005&lt;&gt;"")*(MOVIMIENTOS!$A$5:$A$1005&lt;=$A101)*MOVIMIENTOS!$E$5:$E$1005)-SUMPRODUCT((MOVIMIENTOS!$B$5:$B$1005="VENTA CHANCHO")*(MOVIMIENTOS!$C$5:$C$1005="Chancho")*(MOVIMIENTOS!$D$5:$D$1005="sacos")*(MOVIMIENTOS!$A$5:$A$1005&lt;&gt;"")*(MOVIMIENTOS!$A$5:$A$1005&lt;=$A101)*MOVIMIENTOS!$E$5:$E$1005)-SUMPRODUCT((MOVIMIENTOS!$B$5:$B$1005="REGALO")*(MOVIMIENTOS!$C$5:$C$1005="Chancho")*(MOVIMIENTOS!$D$5:$D$1005="sacos")*(MOVIMIENTOS!$A$5:$A$1005&lt;&gt;"")*(MOVIMIENTOS!$A$5:$A$1005&lt;=$A101)*MOVIMIENTOS!$E$5:$E$1005)-SUMPRODUCT((MOVIMIENTOS!$B$5:$B$1005="VENTA")*(MOVIMIENTOS!$C$5:$C$1005="Chancho")*(MOVIMIENTOS!$D$5:$D$1005="sacos")*(MOVIMIENTOS!$A$5:$A$1005&lt;&gt;"")*(MOVIMIENTOS!$A$5:$A$1005&lt;=$A101)*MOVIMIENTOS!$E$5:$E$1005)+SUMPRODUCT((MOVIMIENTOS!$B$5:$B$1005="AJUSTE")*(MOVIMIENTOS!$C$5:$C$1005="Chancho")*(MOVIMIENTOS!$D$5:$D$1005="sacos")*(MOVIMIENTOS!$A$5:$A$1005&lt;&gt;"")*(MOVIMIENTOS!$A$5:$A$1005&lt;=$A101)*MOVIMIENTOS!$E$5:$E$1005))</f>
        <v/>
      </c>
      <c r="G101" s="95" t="str">
        <f t="shared" si="3"/>
        <v/>
      </c>
      <c r="H101" s="63" t="str">
        <f>IF($A101="","",SUMPRODUCT((((MOVIMIENTOS!$B$5:$B$1005="SALDO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101)*MOVIMIENTOS!$J$5:$J$1005))</f>
        <v/>
      </c>
      <c r="I101" s="63"/>
      <c r="J101" s="63" t="str">
        <f>IF(AND(MOVIMIENTOS!$A101&lt;&gt;"",COUNTIF(MOVIMIENTOS!$A$5:$A100,MOVIMIENTOS!$A101)=0),COUNT(J$4:J100)+1,"")</f>
        <v/>
      </c>
      <c r="K101" s="66">
        <f>MOVIMIENTOS!$A101</f>
        <v>46223</v>
      </c>
      <c r="L101" s="63"/>
      <c r="M101" s="63"/>
      <c r="N101" s="63"/>
    </row>
    <row r="102" spans="1:14" ht="15" customHeight="1" x14ac:dyDescent="0.2">
      <c r="A102" s="63" t="str">
        <f t="shared" si="2"/>
        <v/>
      </c>
      <c r="B102" s="63" t="str">
        <f>IF($A102="","",SUMPRODUCT((MOVIMIENTOS!$B$5:$B$1005="SALDO INICIAL")*(MOVIMIENTOS!$C$5:$C$1005="A")*(MOVIMIENTOS!$D$5:$D$1005="jabas")*(MOVIMIENTOS!$A$5:$A$1005&lt;&gt;"")*(MOVIMIENTOS!$A$5:$A$1005&lt;=$A102)*MOVIMIENTOS!$E$5:$E$1005)+SUMPRODUCT((MOVIMIENTOS!$B$5:$B$1005="PROCESO")*(MOVIMIENTOS!$C$5:$C$1005="A")*(MOVIMIENTOS!$D$5:$D$1005="jabas")*(MOVIMIENTOS!$A$5:$A$1005&lt;&gt;"")*(MOVIMIENTOS!$A$5:$A$1005&lt;=$A102)*MOVIMIENTOS!$E$5:$E$1005)-SUMPRODUCT((MOVIMIENTOS!$B$5:$B$1005="ENVÍO A SUPESA")*(MOVIMIENTOS!$C$5:$C$1005="A")*(MOVIMIENTOS!$D$5:$D$1005="jabas")*(MOVIMIENTOS!$A$5:$A$1005&lt;&gt;"")*(MOVIMIENTOS!$A$5:$A$1005&lt;=$A102)*MOVIMIENTOS!$E$5:$E$1005)+SUMPRODUCT((MOVIMIENTOS!$B$5:$B$1005="DEVOLUCIÓN")*(MOVIMIENTOS!$C$5:$C$1005="A")*(MOVIMIENTOS!$D$5:$D$1005="jabas")*(MOVIMIENTOS!$A$5:$A$1005&lt;&gt;"")*(MOVIMIENTOS!$A$5:$A$1005&lt;=$A102)*MOVIMIENTOS!$E$5:$E$1005)-SUMPRODUCT((MOVIMIENTOS!$B$5:$B$1005="TRASIEGO")*(MOVIMIENTOS!$C$5:$C$1005="A")*(MOVIMIENTOS!$D$5:$D$1005="jabas")*(MOVIMIENTOS!$A$5:$A$1005&lt;&gt;"")*(MOVIMIENTOS!$A$5:$A$1005&lt;=$A102)*MOVIMIENTOS!$E$5:$E$1005)-SUMPRODUCT((MOVIMIENTOS!$B$5:$B$1005="REGALO")*(MOVIMIENTOS!$C$5:$C$1005="A")*(MOVIMIENTOS!$D$5:$D$1005="jabas")*(MOVIMIENTOS!$A$5:$A$1005&lt;&gt;"")*(MOVIMIENTOS!$A$5:$A$1005&lt;=$A102)*MOVIMIENTOS!$E$5:$E$1005)-SUMPRODUCT((MOVIMIENTOS!$B$5:$B$1005="VENTA")*(MOVIMIENTOS!$C$5:$C$1005="A")*(MOVIMIENTOS!$D$5:$D$1005="jabas")*(MOVIMIENTOS!$A$5:$A$1005&lt;&gt;"")*(MOVIMIENTOS!$A$5:$A$1005&lt;=$A102)*MOVIMIENTOS!$E$5:$E$1005)+SUMPRODUCT((MOVIMIENTOS!$B$5:$B$1005="AJUSTE")*(MOVIMIENTOS!$C$5:$C$1005="A")*(MOVIMIENTOS!$D$5:$D$1005="jabas")*(MOVIMIENTOS!$A$5:$A$1005&lt;&gt;"")*(MOVIMIENTOS!$A$5:$A$1005&lt;=$A102)*MOVIMIENTOS!$E$5:$E$1005))</f>
        <v/>
      </c>
      <c r="C102" s="63" t="str">
        <f>IF($A102="","",SUMPRODUCT((MOVIMIENTOS!$B$5:$B$1005="SALDO INICIAL")*(MOVIMIENTOS!$C$5:$C$1005="P")*(MOVIMIENTOS!$D$5:$D$1005="jabas")*(MOVIMIENTOS!$A$5:$A$1005&lt;&gt;"")*(MOVIMIENTOS!$A$5:$A$1005&lt;=$A102)*MOVIMIENTOS!$E$5:$E$1005)+SUMPRODUCT((MOVIMIENTOS!$B$5:$B$1005="PROCESO")*(MOVIMIENTOS!$C$5:$C$1005="P")*(MOVIMIENTOS!$D$5:$D$1005="jabas")*(MOVIMIENTOS!$A$5:$A$1005&lt;&gt;"")*(MOVIMIENTOS!$A$5:$A$1005&lt;=$A102)*MOVIMIENTOS!$E$5:$E$1005)-SUMPRODUCT((MOVIMIENTOS!$B$5:$B$1005="ENVÍO A SUPESA")*(MOVIMIENTOS!$C$5:$C$1005="P")*(MOVIMIENTOS!$D$5:$D$1005="jabas")*(MOVIMIENTOS!$A$5:$A$1005&lt;&gt;"")*(MOVIMIENTOS!$A$5:$A$1005&lt;=$A102)*MOVIMIENTOS!$E$5:$E$1005)+SUMPRODUCT((MOVIMIENTOS!$B$5:$B$1005="DEVOLUCIÓN")*(MOVIMIENTOS!$C$5:$C$1005="P")*(MOVIMIENTOS!$D$5:$D$1005="jabas")*(MOVIMIENTOS!$A$5:$A$1005&lt;&gt;"")*(MOVIMIENTOS!$A$5:$A$1005&lt;=$A102)*MOVIMIENTOS!$E$5:$E$1005)-SUMPRODUCT((MOVIMIENTOS!$B$5:$B$1005="TRASIEGO")*(MOVIMIENTOS!$C$5:$C$1005="P")*(MOVIMIENTOS!$D$5:$D$1005="jabas")*(MOVIMIENTOS!$A$5:$A$1005&lt;&gt;"")*(MOVIMIENTOS!$A$5:$A$1005&lt;=$A102)*MOVIMIENTOS!$E$5:$E$1005)-SUMPRODUCT((MOVIMIENTOS!$B$5:$B$1005="REGALO")*(MOVIMIENTOS!$C$5:$C$1005="P")*(MOVIMIENTOS!$D$5:$D$1005="jabas")*(MOVIMIENTOS!$A$5:$A$1005&lt;&gt;"")*(MOVIMIENTOS!$A$5:$A$1005&lt;=$A102)*MOVIMIENTOS!$E$5:$E$1005)-SUMPRODUCT((MOVIMIENTOS!$B$5:$B$1005="VENTA")*(MOVIMIENTOS!$C$5:$C$1005="P")*(MOVIMIENTOS!$D$5:$D$1005="jabas")*(MOVIMIENTOS!$A$5:$A$1005&lt;&gt;"")*(MOVIMIENTOS!$A$5:$A$1005&lt;=$A102)*MOVIMIENTOS!$E$5:$E$1005)+SUMPRODUCT((MOVIMIENTOS!$B$5:$B$1005="AJUSTE")*(MOVIMIENTOS!$C$5:$C$1005="P")*(MOVIMIENTOS!$D$5:$D$1005="jabas")*(MOVIMIENTOS!$A$5:$A$1005&lt;&gt;"")*(MOVIMIENTOS!$A$5:$A$1005&lt;=$A102)*MOVIMIENTOS!$E$5:$E$1005))</f>
        <v/>
      </c>
      <c r="D102" s="63" t="str">
        <f>IF($A102="","",SUMPRODUCT((MOVIMIENTOS!$B$5:$B$1005="SALDO INICIAL")*(MOVIMIENTOS!$C$5:$C$1005="C")*(MOVIMIENTOS!$D$5:$D$1005="jabas")*(MOVIMIENTOS!$A$5:$A$1005&lt;&gt;"")*(MOVIMIENTOS!$A$5:$A$1005&lt;=$A102)*MOVIMIENTOS!$E$5:$E$1005)+SUMPRODUCT((MOVIMIENTOS!$B$5:$B$1005="PROCESO")*(MOVIMIENTOS!$C$5:$C$1005="C")*(MOVIMIENTOS!$D$5:$D$1005="jabas")*(MOVIMIENTOS!$A$5:$A$1005&lt;&gt;"")*(MOVIMIENTOS!$A$5:$A$1005&lt;=$A102)*MOVIMIENTOS!$E$5:$E$1005)-SUMPRODUCT((MOVIMIENTOS!$B$5:$B$1005="ENVÍO A SUPESA")*(MOVIMIENTOS!$C$5:$C$1005="C")*(MOVIMIENTOS!$D$5:$D$1005="jabas")*(MOVIMIENTOS!$A$5:$A$1005&lt;&gt;"")*(MOVIMIENTOS!$A$5:$A$1005&lt;=$A102)*MOVIMIENTOS!$E$5:$E$1005)+SUMPRODUCT((MOVIMIENTOS!$B$5:$B$1005="DEVOLUCIÓN")*(MOVIMIENTOS!$C$5:$C$1005="C")*(MOVIMIENTOS!$D$5:$D$1005="jabas")*(MOVIMIENTOS!$A$5:$A$1005&lt;&gt;"")*(MOVIMIENTOS!$A$5:$A$1005&lt;=$A102)*MOVIMIENTOS!$E$5:$E$1005)-SUMPRODUCT((MOVIMIENTOS!$B$5:$B$1005="TRASIEGO")*(MOVIMIENTOS!$C$5:$C$1005="C")*(MOVIMIENTOS!$D$5:$D$1005="jabas")*(MOVIMIENTOS!$A$5:$A$1005&lt;&gt;"")*(MOVIMIENTOS!$A$5:$A$1005&lt;=$A102)*MOVIMIENTOS!$E$5:$E$1005)-SUMPRODUCT((MOVIMIENTOS!$B$5:$B$1005="REGALO")*(MOVIMIENTOS!$C$5:$C$1005="C")*(MOVIMIENTOS!$D$5:$D$1005="jabas")*(MOVIMIENTOS!$A$5:$A$1005&lt;&gt;"")*(MOVIMIENTOS!$A$5:$A$1005&lt;=$A102)*MOVIMIENTOS!$E$5:$E$1005)-SUMPRODUCT((MOVIMIENTOS!$B$5:$B$1005="VENTA")*(MOVIMIENTOS!$C$5:$C$1005="C")*(MOVIMIENTOS!$D$5:$D$1005="jabas")*(MOVIMIENTOS!$A$5:$A$1005&lt;&gt;"")*(MOVIMIENTOS!$A$5:$A$1005&lt;=$A102)*MOVIMIENTOS!$E$5:$E$1005)+SUMPRODUCT((MOVIMIENTOS!$B$5:$B$1005="AJUSTE")*(MOVIMIENTOS!$C$5:$C$1005="C")*(MOVIMIENTOS!$D$5:$D$1005="jabas")*(MOVIMIENTOS!$A$5:$A$1005&lt;&gt;"")*(MOVIMIENTOS!$A$5:$A$1005&lt;=$A102)*MOVIMIENTOS!$E$5:$E$1005))</f>
        <v/>
      </c>
      <c r="E102" s="63" t="str">
        <f>IF($A102="","",SUMPRODUCT((MOVIMIENTOS!$B$5:$B$1005="SALDO INICIAL")*(MOVIMIENTOS!$C$5:$C$1005="M")*(MOVIMIENTOS!$D$5:$D$1005="jabas")*(MOVIMIENTOS!$A$5:$A$1005&lt;&gt;"")*(MOVIMIENTOS!$A$5:$A$1005&lt;=$A102)*MOVIMIENTOS!$E$5:$E$1005)+SUMPRODUCT((MOVIMIENTOS!$B$5:$B$1005="PROCESO")*(MOVIMIENTOS!$C$5:$C$1005="M")*(MOVIMIENTOS!$D$5:$D$1005="jabas")*(MOVIMIENTOS!$A$5:$A$1005&lt;&gt;"")*(MOVIMIENTOS!$A$5:$A$1005&lt;=$A102)*MOVIMIENTOS!$E$5:$E$1005)-SUMPRODUCT((MOVIMIENTOS!$B$5:$B$1005="ENVÍO A SUPESA")*(MOVIMIENTOS!$C$5:$C$1005="M")*(MOVIMIENTOS!$D$5:$D$1005="jabas")*(MOVIMIENTOS!$A$5:$A$1005&lt;&gt;"")*(MOVIMIENTOS!$A$5:$A$1005&lt;=$A102)*MOVIMIENTOS!$E$5:$E$1005)+SUMPRODUCT((MOVIMIENTOS!$B$5:$B$1005="DEVOLUCIÓN")*(MOVIMIENTOS!$C$5:$C$1005="M")*(MOVIMIENTOS!$D$5:$D$1005="jabas")*(MOVIMIENTOS!$A$5:$A$1005&lt;&gt;"")*(MOVIMIENTOS!$A$5:$A$1005&lt;=$A102)*MOVIMIENTOS!$E$5:$E$1005)-SUMPRODUCT((MOVIMIENTOS!$B$5:$B$1005="TRASIEGO")*(MOVIMIENTOS!$C$5:$C$1005="M")*(MOVIMIENTOS!$D$5:$D$1005="jabas")*(MOVIMIENTOS!$A$5:$A$1005&lt;&gt;"")*(MOVIMIENTOS!$A$5:$A$1005&lt;=$A102)*MOVIMIENTOS!$E$5:$E$1005)-SUMPRODUCT((MOVIMIENTOS!$B$5:$B$1005="REGALO")*(MOVIMIENTOS!$C$5:$C$1005="M")*(MOVIMIENTOS!$D$5:$D$1005="jabas")*(MOVIMIENTOS!$A$5:$A$1005&lt;&gt;"")*(MOVIMIENTOS!$A$5:$A$1005&lt;=$A102)*MOVIMIENTOS!$E$5:$E$1005)-SUMPRODUCT((MOVIMIENTOS!$B$5:$B$1005="VENTA")*(MOVIMIENTOS!$C$5:$C$1005="M")*(MOVIMIENTOS!$D$5:$D$1005="jabas")*(MOVIMIENTOS!$A$5:$A$1005&lt;&gt;"")*(MOVIMIENTOS!$A$5:$A$1005&lt;=$A102)*MOVIMIENTOS!$E$5:$E$1005)+SUMPRODUCT((MOVIMIENTOS!$B$5:$B$1005="AJUSTE")*(MOVIMIENTOS!$C$5:$C$1005="M")*(MOVIMIENTOS!$D$5:$D$1005="jabas")*(MOVIMIENTOS!$A$5:$A$1005&lt;&gt;"")*(MOVIMIENTOS!$A$5:$A$1005&lt;=$A102)*MOVIMIENTOS!$E$5:$E$1005))</f>
        <v/>
      </c>
      <c r="F102" s="63" t="str">
        <f>IF($A102="","",SUMPRODUCT((MOVIMIENTOS!$B$5:$B$1005="SALDO INICIAL")*(MOVIMIENTOS!$C$5:$C$1005="Chancho")*(MOVIMIENTOS!$D$5:$D$1005="sacos")*(MOVIMIENTOS!$A$5:$A$1005&lt;&gt;"")*(MOVIMIENTOS!$A$5:$A$1005&lt;=$A102)*MOVIMIENTOS!$E$5:$E$1005)+SUMPRODUCT((MOVIMIENTOS!$B$5:$B$1005="PROCESO")*(MOVIMIENTOS!$C$5:$C$1005="Chancho")*(MOVIMIENTOS!$D$5:$D$1005="sacos")*(MOVIMIENTOS!$A$5:$A$1005&lt;&gt;"")*(MOVIMIENTOS!$A$5:$A$1005&lt;=$A102)*MOVIMIENTOS!$E$5:$E$1005)-SUMPRODUCT((MOVIMIENTOS!$B$5:$B$1005="VENTA CHANCHO")*(MOVIMIENTOS!$C$5:$C$1005="Chancho")*(MOVIMIENTOS!$D$5:$D$1005="sacos")*(MOVIMIENTOS!$A$5:$A$1005&lt;&gt;"")*(MOVIMIENTOS!$A$5:$A$1005&lt;=$A102)*MOVIMIENTOS!$E$5:$E$1005)-SUMPRODUCT((MOVIMIENTOS!$B$5:$B$1005="REGALO")*(MOVIMIENTOS!$C$5:$C$1005="Chancho")*(MOVIMIENTOS!$D$5:$D$1005="sacos")*(MOVIMIENTOS!$A$5:$A$1005&lt;&gt;"")*(MOVIMIENTOS!$A$5:$A$1005&lt;=$A102)*MOVIMIENTOS!$E$5:$E$1005)-SUMPRODUCT((MOVIMIENTOS!$B$5:$B$1005="VENTA")*(MOVIMIENTOS!$C$5:$C$1005="Chancho")*(MOVIMIENTOS!$D$5:$D$1005="sacos")*(MOVIMIENTOS!$A$5:$A$1005&lt;&gt;"")*(MOVIMIENTOS!$A$5:$A$1005&lt;=$A102)*MOVIMIENTOS!$E$5:$E$1005)+SUMPRODUCT((MOVIMIENTOS!$B$5:$B$1005="AJUSTE")*(MOVIMIENTOS!$C$5:$C$1005="Chancho")*(MOVIMIENTOS!$D$5:$D$1005="sacos")*(MOVIMIENTOS!$A$5:$A$1005&lt;&gt;"")*(MOVIMIENTOS!$A$5:$A$1005&lt;=$A102)*MOVIMIENTOS!$E$5:$E$1005))</f>
        <v/>
      </c>
      <c r="G102" s="95" t="str">
        <f t="shared" si="3"/>
        <v/>
      </c>
      <c r="H102" s="63" t="str">
        <f>IF($A102="","",SUMPRODUCT((((MOVIMIENTOS!$B$5:$B$1005="SALDO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102)*MOVIMIENTOS!$J$5:$J$1005))</f>
        <v/>
      </c>
      <c r="I102" s="63"/>
      <c r="J102" s="63" t="str">
        <f>IF(AND(MOVIMIENTOS!$A102&lt;&gt;"",COUNTIF(MOVIMIENTOS!$A$5:$A101,MOVIMIENTOS!$A102)=0),COUNT(J$4:J101)+1,"")</f>
        <v/>
      </c>
      <c r="K102" s="66">
        <f>MOVIMIENTOS!$A102</f>
        <v>46223</v>
      </c>
      <c r="L102" s="63"/>
      <c r="M102" s="63"/>
      <c r="N102" s="63"/>
    </row>
    <row r="103" spans="1:14" ht="15" customHeight="1" x14ac:dyDescent="0.2">
      <c r="A103" s="63" t="str">
        <f t="shared" si="2"/>
        <v/>
      </c>
      <c r="B103" s="63" t="str">
        <f>IF($A103="","",SUMPRODUCT((MOVIMIENTOS!$B$5:$B$1005="SALDO INICIAL")*(MOVIMIENTOS!$C$5:$C$1005="A")*(MOVIMIENTOS!$D$5:$D$1005="jabas")*(MOVIMIENTOS!$A$5:$A$1005&lt;&gt;"")*(MOVIMIENTOS!$A$5:$A$1005&lt;=$A103)*MOVIMIENTOS!$E$5:$E$1005)+SUMPRODUCT((MOVIMIENTOS!$B$5:$B$1005="PROCESO")*(MOVIMIENTOS!$C$5:$C$1005="A")*(MOVIMIENTOS!$D$5:$D$1005="jabas")*(MOVIMIENTOS!$A$5:$A$1005&lt;&gt;"")*(MOVIMIENTOS!$A$5:$A$1005&lt;=$A103)*MOVIMIENTOS!$E$5:$E$1005)-SUMPRODUCT((MOVIMIENTOS!$B$5:$B$1005="ENVÍO A SUPESA")*(MOVIMIENTOS!$C$5:$C$1005="A")*(MOVIMIENTOS!$D$5:$D$1005="jabas")*(MOVIMIENTOS!$A$5:$A$1005&lt;&gt;"")*(MOVIMIENTOS!$A$5:$A$1005&lt;=$A103)*MOVIMIENTOS!$E$5:$E$1005)+SUMPRODUCT((MOVIMIENTOS!$B$5:$B$1005="DEVOLUCIÓN")*(MOVIMIENTOS!$C$5:$C$1005="A")*(MOVIMIENTOS!$D$5:$D$1005="jabas")*(MOVIMIENTOS!$A$5:$A$1005&lt;&gt;"")*(MOVIMIENTOS!$A$5:$A$1005&lt;=$A103)*MOVIMIENTOS!$E$5:$E$1005)-SUMPRODUCT((MOVIMIENTOS!$B$5:$B$1005="TRASIEGO")*(MOVIMIENTOS!$C$5:$C$1005="A")*(MOVIMIENTOS!$D$5:$D$1005="jabas")*(MOVIMIENTOS!$A$5:$A$1005&lt;&gt;"")*(MOVIMIENTOS!$A$5:$A$1005&lt;=$A103)*MOVIMIENTOS!$E$5:$E$1005)-SUMPRODUCT((MOVIMIENTOS!$B$5:$B$1005="REGALO")*(MOVIMIENTOS!$C$5:$C$1005="A")*(MOVIMIENTOS!$D$5:$D$1005="jabas")*(MOVIMIENTOS!$A$5:$A$1005&lt;&gt;"")*(MOVIMIENTOS!$A$5:$A$1005&lt;=$A103)*MOVIMIENTOS!$E$5:$E$1005)-SUMPRODUCT((MOVIMIENTOS!$B$5:$B$1005="VENTA")*(MOVIMIENTOS!$C$5:$C$1005="A")*(MOVIMIENTOS!$D$5:$D$1005="jabas")*(MOVIMIENTOS!$A$5:$A$1005&lt;&gt;"")*(MOVIMIENTOS!$A$5:$A$1005&lt;=$A103)*MOVIMIENTOS!$E$5:$E$1005)+SUMPRODUCT((MOVIMIENTOS!$B$5:$B$1005="AJUSTE")*(MOVIMIENTOS!$C$5:$C$1005="A")*(MOVIMIENTOS!$D$5:$D$1005="jabas")*(MOVIMIENTOS!$A$5:$A$1005&lt;&gt;"")*(MOVIMIENTOS!$A$5:$A$1005&lt;=$A103)*MOVIMIENTOS!$E$5:$E$1005))</f>
        <v/>
      </c>
      <c r="C103" s="63" t="str">
        <f>IF($A103="","",SUMPRODUCT((MOVIMIENTOS!$B$5:$B$1005="SALDO INICIAL")*(MOVIMIENTOS!$C$5:$C$1005="P")*(MOVIMIENTOS!$D$5:$D$1005="jabas")*(MOVIMIENTOS!$A$5:$A$1005&lt;&gt;"")*(MOVIMIENTOS!$A$5:$A$1005&lt;=$A103)*MOVIMIENTOS!$E$5:$E$1005)+SUMPRODUCT((MOVIMIENTOS!$B$5:$B$1005="PROCESO")*(MOVIMIENTOS!$C$5:$C$1005="P")*(MOVIMIENTOS!$D$5:$D$1005="jabas")*(MOVIMIENTOS!$A$5:$A$1005&lt;&gt;"")*(MOVIMIENTOS!$A$5:$A$1005&lt;=$A103)*MOVIMIENTOS!$E$5:$E$1005)-SUMPRODUCT((MOVIMIENTOS!$B$5:$B$1005="ENVÍO A SUPESA")*(MOVIMIENTOS!$C$5:$C$1005="P")*(MOVIMIENTOS!$D$5:$D$1005="jabas")*(MOVIMIENTOS!$A$5:$A$1005&lt;&gt;"")*(MOVIMIENTOS!$A$5:$A$1005&lt;=$A103)*MOVIMIENTOS!$E$5:$E$1005)+SUMPRODUCT((MOVIMIENTOS!$B$5:$B$1005="DEVOLUCIÓN")*(MOVIMIENTOS!$C$5:$C$1005="P")*(MOVIMIENTOS!$D$5:$D$1005="jabas")*(MOVIMIENTOS!$A$5:$A$1005&lt;&gt;"")*(MOVIMIENTOS!$A$5:$A$1005&lt;=$A103)*MOVIMIENTOS!$E$5:$E$1005)-SUMPRODUCT((MOVIMIENTOS!$B$5:$B$1005="TRASIEGO")*(MOVIMIENTOS!$C$5:$C$1005="P")*(MOVIMIENTOS!$D$5:$D$1005="jabas")*(MOVIMIENTOS!$A$5:$A$1005&lt;&gt;"")*(MOVIMIENTOS!$A$5:$A$1005&lt;=$A103)*MOVIMIENTOS!$E$5:$E$1005)-SUMPRODUCT((MOVIMIENTOS!$B$5:$B$1005="REGALO")*(MOVIMIENTOS!$C$5:$C$1005="P")*(MOVIMIENTOS!$D$5:$D$1005="jabas")*(MOVIMIENTOS!$A$5:$A$1005&lt;&gt;"")*(MOVIMIENTOS!$A$5:$A$1005&lt;=$A103)*MOVIMIENTOS!$E$5:$E$1005)-SUMPRODUCT((MOVIMIENTOS!$B$5:$B$1005="VENTA")*(MOVIMIENTOS!$C$5:$C$1005="P")*(MOVIMIENTOS!$D$5:$D$1005="jabas")*(MOVIMIENTOS!$A$5:$A$1005&lt;&gt;"")*(MOVIMIENTOS!$A$5:$A$1005&lt;=$A103)*MOVIMIENTOS!$E$5:$E$1005)+SUMPRODUCT((MOVIMIENTOS!$B$5:$B$1005="AJUSTE")*(MOVIMIENTOS!$C$5:$C$1005="P")*(MOVIMIENTOS!$D$5:$D$1005="jabas")*(MOVIMIENTOS!$A$5:$A$1005&lt;&gt;"")*(MOVIMIENTOS!$A$5:$A$1005&lt;=$A103)*MOVIMIENTOS!$E$5:$E$1005))</f>
        <v/>
      </c>
      <c r="D103" s="63" t="str">
        <f>IF($A103="","",SUMPRODUCT((MOVIMIENTOS!$B$5:$B$1005="SALDO INICIAL")*(MOVIMIENTOS!$C$5:$C$1005="C")*(MOVIMIENTOS!$D$5:$D$1005="jabas")*(MOVIMIENTOS!$A$5:$A$1005&lt;&gt;"")*(MOVIMIENTOS!$A$5:$A$1005&lt;=$A103)*MOVIMIENTOS!$E$5:$E$1005)+SUMPRODUCT((MOVIMIENTOS!$B$5:$B$1005="PROCESO")*(MOVIMIENTOS!$C$5:$C$1005="C")*(MOVIMIENTOS!$D$5:$D$1005="jabas")*(MOVIMIENTOS!$A$5:$A$1005&lt;&gt;"")*(MOVIMIENTOS!$A$5:$A$1005&lt;=$A103)*MOVIMIENTOS!$E$5:$E$1005)-SUMPRODUCT((MOVIMIENTOS!$B$5:$B$1005="ENVÍO A SUPESA")*(MOVIMIENTOS!$C$5:$C$1005="C")*(MOVIMIENTOS!$D$5:$D$1005="jabas")*(MOVIMIENTOS!$A$5:$A$1005&lt;&gt;"")*(MOVIMIENTOS!$A$5:$A$1005&lt;=$A103)*MOVIMIENTOS!$E$5:$E$1005)+SUMPRODUCT((MOVIMIENTOS!$B$5:$B$1005="DEVOLUCIÓN")*(MOVIMIENTOS!$C$5:$C$1005="C")*(MOVIMIENTOS!$D$5:$D$1005="jabas")*(MOVIMIENTOS!$A$5:$A$1005&lt;&gt;"")*(MOVIMIENTOS!$A$5:$A$1005&lt;=$A103)*MOVIMIENTOS!$E$5:$E$1005)-SUMPRODUCT((MOVIMIENTOS!$B$5:$B$1005="TRASIEGO")*(MOVIMIENTOS!$C$5:$C$1005="C")*(MOVIMIENTOS!$D$5:$D$1005="jabas")*(MOVIMIENTOS!$A$5:$A$1005&lt;&gt;"")*(MOVIMIENTOS!$A$5:$A$1005&lt;=$A103)*MOVIMIENTOS!$E$5:$E$1005)-SUMPRODUCT((MOVIMIENTOS!$B$5:$B$1005="REGALO")*(MOVIMIENTOS!$C$5:$C$1005="C")*(MOVIMIENTOS!$D$5:$D$1005="jabas")*(MOVIMIENTOS!$A$5:$A$1005&lt;&gt;"")*(MOVIMIENTOS!$A$5:$A$1005&lt;=$A103)*MOVIMIENTOS!$E$5:$E$1005)-SUMPRODUCT((MOVIMIENTOS!$B$5:$B$1005="VENTA")*(MOVIMIENTOS!$C$5:$C$1005="C")*(MOVIMIENTOS!$D$5:$D$1005="jabas")*(MOVIMIENTOS!$A$5:$A$1005&lt;&gt;"")*(MOVIMIENTOS!$A$5:$A$1005&lt;=$A103)*MOVIMIENTOS!$E$5:$E$1005)+SUMPRODUCT((MOVIMIENTOS!$B$5:$B$1005="AJUSTE")*(MOVIMIENTOS!$C$5:$C$1005="C")*(MOVIMIENTOS!$D$5:$D$1005="jabas")*(MOVIMIENTOS!$A$5:$A$1005&lt;&gt;"")*(MOVIMIENTOS!$A$5:$A$1005&lt;=$A103)*MOVIMIENTOS!$E$5:$E$1005))</f>
        <v/>
      </c>
      <c r="E103" s="63" t="str">
        <f>IF($A103="","",SUMPRODUCT((MOVIMIENTOS!$B$5:$B$1005="SALDO INICIAL")*(MOVIMIENTOS!$C$5:$C$1005="M")*(MOVIMIENTOS!$D$5:$D$1005="jabas")*(MOVIMIENTOS!$A$5:$A$1005&lt;&gt;"")*(MOVIMIENTOS!$A$5:$A$1005&lt;=$A103)*MOVIMIENTOS!$E$5:$E$1005)+SUMPRODUCT((MOVIMIENTOS!$B$5:$B$1005="PROCESO")*(MOVIMIENTOS!$C$5:$C$1005="M")*(MOVIMIENTOS!$D$5:$D$1005="jabas")*(MOVIMIENTOS!$A$5:$A$1005&lt;&gt;"")*(MOVIMIENTOS!$A$5:$A$1005&lt;=$A103)*MOVIMIENTOS!$E$5:$E$1005)-SUMPRODUCT((MOVIMIENTOS!$B$5:$B$1005="ENVÍO A SUPESA")*(MOVIMIENTOS!$C$5:$C$1005="M")*(MOVIMIENTOS!$D$5:$D$1005="jabas")*(MOVIMIENTOS!$A$5:$A$1005&lt;&gt;"")*(MOVIMIENTOS!$A$5:$A$1005&lt;=$A103)*MOVIMIENTOS!$E$5:$E$1005)+SUMPRODUCT((MOVIMIENTOS!$B$5:$B$1005="DEVOLUCIÓN")*(MOVIMIENTOS!$C$5:$C$1005="M")*(MOVIMIENTOS!$D$5:$D$1005="jabas")*(MOVIMIENTOS!$A$5:$A$1005&lt;&gt;"")*(MOVIMIENTOS!$A$5:$A$1005&lt;=$A103)*MOVIMIENTOS!$E$5:$E$1005)-SUMPRODUCT((MOVIMIENTOS!$B$5:$B$1005="TRASIEGO")*(MOVIMIENTOS!$C$5:$C$1005="M")*(MOVIMIENTOS!$D$5:$D$1005="jabas")*(MOVIMIENTOS!$A$5:$A$1005&lt;&gt;"")*(MOVIMIENTOS!$A$5:$A$1005&lt;=$A103)*MOVIMIENTOS!$E$5:$E$1005)-SUMPRODUCT((MOVIMIENTOS!$B$5:$B$1005="REGALO")*(MOVIMIENTOS!$C$5:$C$1005="M")*(MOVIMIENTOS!$D$5:$D$1005="jabas")*(MOVIMIENTOS!$A$5:$A$1005&lt;&gt;"")*(MOVIMIENTOS!$A$5:$A$1005&lt;=$A103)*MOVIMIENTOS!$E$5:$E$1005)-SUMPRODUCT((MOVIMIENTOS!$B$5:$B$1005="VENTA")*(MOVIMIENTOS!$C$5:$C$1005="M")*(MOVIMIENTOS!$D$5:$D$1005="jabas")*(MOVIMIENTOS!$A$5:$A$1005&lt;&gt;"")*(MOVIMIENTOS!$A$5:$A$1005&lt;=$A103)*MOVIMIENTOS!$E$5:$E$1005)+SUMPRODUCT((MOVIMIENTOS!$B$5:$B$1005="AJUSTE")*(MOVIMIENTOS!$C$5:$C$1005="M")*(MOVIMIENTOS!$D$5:$D$1005="jabas")*(MOVIMIENTOS!$A$5:$A$1005&lt;&gt;"")*(MOVIMIENTOS!$A$5:$A$1005&lt;=$A103)*MOVIMIENTOS!$E$5:$E$1005))</f>
        <v/>
      </c>
      <c r="F103" s="63" t="str">
        <f>IF($A103="","",SUMPRODUCT((MOVIMIENTOS!$B$5:$B$1005="SALDO INICIAL")*(MOVIMIENTOS!$C$5:$C$1005="Chancho")*(MOVIMIENTOS!$D$5:$D$1005="sacos")*(MOVIMIENTOS!$A$5:$A$1005&lt;&gt;"")*(MOVIMIENTOS!$A$5:$A$1005&lt;=$A103)*MOVIMIENTOS!$E$5:$E$1005)+SUMPRODUCT((MOVIMIENTOS!$B$5:$B$1005="PROCESO")*(MOVIMIENTOS!$C$5:$C$1005="Chancho")*(MOVIMIENTOS!$D$5:$D$1005="sacos")*(MOVIMIENTOS!$A$5:$A$1005&lt;&gt;"")*(MOVIMIENTOS!$A$5:$A$1005&lt;=$A103)*MOVIMIENTOS!$E$5:$E$1005)-SUMPRODUCT((MOVIMIENTOS!$B$5:$B$1005="VENTA CHANCHO")*(MOVIMIENTOS!$C$5:$C$1005="Chancho")*(MOVIMIENTOS!$D$5:$D$1005="sacos")*(MOVIMIENTOS!$A$5:$A$1005&lt;&gt;"")*(MOVIMIENTOS!$A$5:$A$1005&lt;=$A103)*MOVIMIENTOS!$E$5:$E$1005)-SUMPRODUCT((MOVIMIENTOS!$B$5:$B$1005="REGALO")*(MOVIMIENTOS!$C$5:$C$1005="Chancho")*(MOVIMIENTOS!$D$5:$D$1005="sacos")*(MOVIMIENTOS!$A$5:$A$1005&lt;&gt;"")*(MOVIMIENTOS!$A$5:$A$1005&lt;=$A103)*MOVIMIENTOS!$E$5:$E$1005)-SUMPRODUCT((MOVIMIENTOS!$B$5:$B$1005="VENTA")*(MOVIMIENTOS!$C$5:$C$1005="Chancho")*(MOVIMIENTOS!$D$5:$D$1005="sacos")*(MOVIMIENTOS!$A$5:$A$1005&lt;&gt;"")*(MOVIMIENTOS!$A$5:$A$1005&lt;=$A103)*MOVIMIENTOS!$E$5:$E$1005)+SUMPRODUCT((MOVIMIENTOS!$B$5:$B$1005="AJUSTE")*(MOVIMIENTOS!$C$5:$C$1005="Chancho")*(MOVIMIENTOS!$D$5:$D$1005="sacos")*(MOVIMIENTOS!$A$5:$A$1005&lt;&gt;"")*(MOVIMIENTOS!$A$5:$A$1005&lt;=$A103)*MOVIMIENTOS!$E$5:$E$1005))</f>
        <v/>
      </c>
      <c r="G103" s="95" t="str">
        <f t="shared" si="3"/>
        <v/>
      </c>
      <c r="H103" s="63" t="str">
        <f>IF($A103="","",SUMPRODUCT((((MOVIMIENTOS!$B$5:$B$1005="SALDO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103)*MOVIMIENTOS!$J$5:$J$1005))</f>
        <v/>
      </c>
      <c r="I103" s="63"/>
      <c r="J103" s="63" t="str">
        <f>IF(AND(MOVIMIENTOS!$A103&lt;&gt;"",COUNTIF(MOVIMIENTOS!$A$5:$A102,MOVIMIENTOS!$A103)=0),COUNT(J$4:J102)+1,"")</f>
        <v/>
      </c>
      <c r="K103" s="66">
        <f>MOVIMIENTOS!$A103</f>
        <v>46223</v>
      </c>
      <c r="L103" s="63"/>
      <c r="M103" s="63"/>
      <c r="N103" s="63"/>
    </row>
    <row r="104" spans="1:14" ht="15" customHeight="1" x14ac:dyDescent="0.2">
      <c r="A104" s="63" t="str">
        <f t="shared" si="2"/>
        <v/>
      </c>
      <c r="B104" s="63" t="str">
        <f>IF($A104="","",SUMPRODUCT((MOVIMIENTOS!$B$5:$B$1005="SALDO INICIAL")*(MOVIMIENTOS!$C$5:$C$1005="A")*(MOVIMIENTOS!$D$5:$D$1005="jabas")*(MOVIMIENTOS!$A$5:$A$1005&lt;&gt;"")*(MOVIMIENTOS!$A$5:$A$1005&lt;=$A104)*MOVIMIENTOS!$E$5:$E$1005)+SUMPRODUCT((MOVIMIENTOS!$B$5:$B$1005="PROCESO")*(MOVIMIENTOS!$C$5:$C$1005="A")*(MOVIMIENTOS!$D$5:$D$1005="jabas")*(MOVIMIENTOS!$A$5:$A$1005&lt;&gt;"")*(MOVIMIENTOS!$A$5:$A$1005&lt;=$A104)*MOVIMIENTOS!$E$5:$E$1005)-SUMPRODUCT((MOVIMIENTOS!$B$5:$B$1005="ENVÍO A SUPESA")*(MOVIMIENTOS!$C$5:$C$1005="A")*(MOVIMIENTOS!$D$5:$D$1005="jabas")*(MOVIMIENTOS!$A$5:$A$1005&lt;&gt;"")*(MOVIMIENTOS!$A$5:$A$1005&lt;=$A104)*MOVIMIENTOS!$E$5:$E$1005)+SUMPRODUCT((MOVIMIENTOS!$B$5:$B$1005="DEVOLUCIÓN")*(MOVIMIENTOS!$C$5:$C$1005="A")*(MOVIMIENTOS!$D$5:$D$1005="jabas")*(MOVIMIENTOS!$A$5:$A$1005&lt;&gt;"")*(MOVIMIENTOS!$A$5:$A$1005&lt;=$A104)*MOVIMIENTOS!$E$5:$E$1005)-SUMPRODUCT((MOVIMIENTOS!$B$5:$B$1005="TRASIEGO")*(MOVIMIENTOS!$C$5:$C$1005="A")*(MOVIMIENTOS!$D$5:$D$1005="jabas")*(MOVIMIENTOS!$A$5:$A$1005&lt;&gt;"")*(MOVIMIENTOS!$A$5:$A$1005&lt;=$A104)*MOVIMIENTOS!$E$5:$E$1005)-SUMPRODUCT((MOVIMIENTOS!$B$5:$B$1005="REGALO")*(MOVIMIENTOS!$C$5:$C$1005="A")*(MOVIMIENTOS!$D$5:$D$1005="jabas")*(MOVIMIENTOS!$A$5:$A$1005&lt;&gt;"")*(MOVIMIENTOS!$A$5:$A$1005&lt;=$A104)*MOVIMIENTOS!$E$5:$E$1005)-SUMPRODUCT((MOVIMIENTOS!$B$5:$B$1005="VENTA")*(MOVIMIENTOS!$C$5:$C$1005="A")*(MOVIMIENTOS!$D$5:$D$1005="jabas")*(MOVIMIENTOS!$A$5:$A$1005&lt;&gt;"")*(MOVIMIENTOS!$A$5:$A$1005&lt;=$A104)*MOVIMIENTOS!$E$5:$E$1005)+SUMPRODUCT((MOVIMIENTOS!$B$5:$B$1005="AJUSTE")*(MOVIMIENTOS!$C$5:$C$1005="A")*(MOVIMIENTOS!$D$5:$D$1005="jabas")*(MOVIMIENTOS!$A$5:$A$1005&lt;&gt;"")*(MOVIMIENTOS!$A$5:$A$1005&lt;=$A104)*MOVIMIENTOS!$E$5:$E$1005))</f>
        <v/>
      </c>
      <c r="C104" s="63" t="str">
        <f>IF($A104="","",SUMPRODUCT((MOVIMIENTOS!$B$5:$B$1005="SALDO INICIAL")*(MOVIMIENTOS!$C$5:$C$1005="P")*(MOVIMIENTOS!$D$5:$D$1005="jabas")*(MOVIMIENTOS!$A$5:$A$1005&lt;&gt;"")*(MOVIMIENTOS!$A$5:$A$1005&lt;=$A104)*MOVIMIENTOS!$E$5:$E$1005)+SUMPRODUCT((MOVIMIENTOS!$B$5:$B$1005="PROCESO")*(MOVIMIENTOS!$C$5:$C$1005="P")*(MOVIMIENTOS!$D$5:$D$1005="jabas")*(MOVIMIENTOS!$A$5:$A$1005&lt;&gt;"")*(MOVIMIENTOS!$A$5:$A$1005&lt;=$A104)*MOVIMIENTOS!$E$5:$E$1005)-SUMPRODUCT((MOVIMIENTOS!$B$5:$B$1005="ENVÍO A SUPESA")*(MOVIMIENTOS!$C$5:$C$1005="P")*(MOVIMIENTOS!$D$5:$D$1005="jabas")*(MOVIMIENTOS!$A$5:$A$1005&lt;&gt;"")*(MOVIMIENTOS!$A$5:$A$1005&lt;=$A104)*MOVIMIENTOS!$E$5:$E$1005)+SUMPRODUCT((MOVIMIENTOS!$B$5:$B$1005="DEVOLUCIÓN")*(MOVIMIENTOS!$C$5:$C$1005="P")*(MOVIMIENTOS!$D$5:$D$1005="jabas")*(MOVIMIENTOS!$A$5:$A$1005&lt;&gt;"")*(MOVIMIENTOS!$A$5:$A$1005&lt;=$A104)*MOVIMIENTOS!$E$5:$E$1005)-SUMPRODUCT((MOVIMIENTOS!$B$5:$B$1005="TRASIEGO")*(MOVIMIENTOS!$C$5:$C$1005="P")*(MOVIMIENTOS!$D$5:$D$1005="jabas")*(MOVIMIENTOS!$A$5:$A$1005&lt;&gt;"")*(MOVIMIENTOS!$A$5:$A$1005&lt;=$A104)*MOVIMIENTOS!$E$5:$E$1005)-SUMPRODUCT((MOVIMIENTOS!$B$5:$B$1005="REGALO")*(MOVIMIENTOS!$C$5:$C$1005="P")*(MOVIMIENTOS!$D$5:$D$1005="jabas")*(MOVIMIENTOS!$A$5:$A$1005&lt;&gt;"")*(MOVIMIENTOS!$A$5:$A$1005&lt;=$A104)*MOVIMIENTOS!$E$5:$E$1005)-SUMPRODUCT((MOVIMIENTOS!$B$5:$B$1005="VENTA")*(MOVIMIENTOS!$C$5:$C$1005="P")*(MOVIMIENTOS!$D$5:$D$1005="jabas")*(MOVIMIENTOS!$A$5:$A$1005&lt;&gt;"")*(MOVIMIENTOS!$A$5:$A$1005&lt;=$A104)*MOVIMIENTOS!$E$5:$E$1005)+SUMPRODUCT((MOVIMIENTOS!$B$5:$B$1005="AJUSTE")*(MOVIMIENTOS!$C$5:$C$1005="P")*(MOVIMIENTOS!$D$5:$D$1005="jabas")*(MOVIMIENTOS!$A$5:$A$1005&lt;&gt;"")*(MOVIMIENTOS!$A$5:$A$1005&lt;=$A104)*MOVIMIENTOS!$E$5:$E$1005))</f>
        <v/>
      </c>
      <c r="D104" s="63" t="str">
        <f>IF($A104="","",SUMPRODUCT((MOVIMIENTOS!$B$5:$B$1005="SALDO INICIAL")*(MOVIMIENTOS!$C$5:$C$1005="C")*(MOVIMIENTOS!$D$5:$D$1005="jabas")*(MOVIMIENTOS!$A$5:$A$1005&lt;&gt;"")*(MOVIMIENTOS!$A$5:$A$1005&lt;=$A104)*MOVIMIENTOS!$E$5:$E$1005)+SUMPRODUCT((MOVIMIENTOS!$B$5:$B$1005="PROCESO")*(MOVIMIENTOS!$C$5:$C$1005="C")*(MOVIMIENTOS!$D$5:$D$1005="jabas")*(MOVIMIENTOS!$A$5:$A$1005&lt;&gt;"")*(MOVIMIENTOS!$A$5:$A$1005&lt;=$A104)*MOVIMIENTOS!$E$5:$E$1005)-SUMPRODUCT((MOVIMIENTOS!$B$5:$B$1005="ENVÍO A SUPESA")*(MOVIMIENTOS!$C$5:$C$1005="C")*(MOVIMIENTOS!$D$5:$D$1005="jabas")*(MOVIMIENTOS!$A$5:$A$1005&lt;&gt;"")*(MOVIMIENTOS!$A$5:$A$1005&lt;=$A104)*MOVIMIENTOS!$E$5:$E$1005)+SUMPRODUCT((MOVIMIENTOS!$B$5:$B$1005="DEVOLUCIÓN")*(MOVIMIENTOS!$C$5:$C$1005="C")*(MOVIMIENTOS!$D$5:$D$1005="jabas")*(MOVIMIENTOS!$A$5:$A$1005&lt;&gt;"")*(MOVIMIENTOS!$A$5:$A$1005&lt;=$A104)*MOVIMIENTOS!$E$5:$E$1005)-SUMPRODUCT((MOVIMIENTOS!$B$5:$B$1005="TRASIEGO")*(MOVIMIENTOS!$C$5:$C$1005="C")*(MOVIMIENTOS!$D$5:$D$1005="jabas")*(MOVIMIENTOS!$A$5:$A$1005&lt;&gt;"")*(MOVIMIENTOS!$A$5:$A$1005&lt;=$A104)*MOVIMIENTOS!$E$5:$E$1005)-SUMPRODUCT((MOVIMIENTOS!$B$5:$B$1005="REGALO")*(MOVIMIENTOS!$C$5:$C$1005="C")*(MOVIMIENTOS!$D$5:$D$1005="jabas")*(MOVIMIENTOS!$A$5:$A$1005&lt;&gt;"")*(MOVIMIENTOS!$A$5:$A$1005&lt;=$A104)*MOVIMIENTOS!$E$5:$E$1005)-SUMPRODUCT((MOVIMIENTOS!$B$5:$B$1005="VENTA")*(MOVIMIENTOS!$C$5:$C$1005="C")*(MOVIMIENTOS!$D$5:$D$1005="jabas")*(MOVIMIENTOS!$A$5:$A$1005&lt;&gt;"")*(MOVIMIENTOS!$A$5:$A$1005&lt;=$A104)*MOVIMIENTOS!$E$5:$E$1005)+SUMPRODUCT((MOVIMIENTOS!$B$5:$B$1005="AJUSTE")*(MOVIMIENTOS!$C$5:$C$1005="C")*(MOVIMIENTOS!$D$5:$D$1005="jabas")*(MOVIMIENTOS!$A$5:$A$1005&lt;&gt;"")*(MOVIMIENTOS!$A$5:$A$1005&lt;=$A104)*MOVIMIENTOS!$E$5:$E$1005))</f>
        <v/>
      </c>
      <c r="E104" s="63" t="str">
        <f>IF($A104="","",SUMPRODUCT((MOVIMIENTOS!$B$5:$B$1005="SALDO INICIAL")*(MOVIMIENTOS!$C$5:$C$1005="M")*(MOVIMIENTOS!$D$5:$D$1005="jabas")*(MOVIMIENTOS!$A$5:$A$1005&lt;&gt;"")*(MOVIMIENTOS!$A$5:$A$1005&lt;=$A104)*MOVIMIENTOS!$E$5:$E$1005)+SUMPRODUCT((MOVIMIENTOS!$B$5:$B$1005="PROCESO")*(MOVIMIENTOS!$C$5:$C$1005="M")*(MOVIMIENTOS!$D$5:$D$1005="jabas")*(MOVIMIENTOS!$A$5:$A$1005&lt;&gt;"")*(MOVIMIENTOS!$A$5:$A$1005&lt;=$A104)*MOVIMIENTOS!$E$5:$E$1005)-SUMPRODUCT((MOVIMIENTOS!$B$5:$B$1005="ENVÍO A SUPESA")*(MOVIMIENTOS!$C$5:$C$1005="M")*(MOVIMIENTOS!$D$5:$D$1005="jabas")*(MOVIMIENTOS!$A$5:$A$1005&lt;&gt;"")*(MOVIMIENTOS!$A$5:$A$1005&lt;=$A104)*MOVIMIENTOS!$E$5:$E$1005)+SUMPRODUCT((MOVIMIENTOS!$B$5:$B$1005="DEVOLUCIÓN")*(MOVIMIENTOS!$C$5:$C$1005="M")*(MOVIMIENTOS!$D$5:$D$1005="jabas")*(MOVIMIENTOS!$A$5:$A$1005&lt;&gt;"")*(MOVIMIENTOS!$A$5:$A$1005&lt;=$A104)*MOVIMIENTOS!$E$5:$E$1005)-SUMPRODUCT((MOVIMIENTOS!$B$5:$B$1005="TRASIEGO")*(MOVIMIENTOS!$C$5:$C$1005="M")*(MOVIMIENTOS!$D$5:$D$1005="jabas")*(MOVIMIENTOS!$A$5:$A$1005&lt;&gt;"")*(MOVIMIENTOS!$A$5:$A$1005&lt;=$A104)*MOVIMIENTOS!$E$5:$E$1005)-SUMPRODUCT((MOVIMIENTOS!$B$5:$B$1005="REGALO")*(MOVIMIENTOS!$C$5:$C$1005="M")*(MOVIMIENTOS!$D$5:$D$1005="jabas")*(MOVIMIENTOS!$A$5:$A$1005&lt;&gt;"")*(MOVIMIENTOS!$A$5:$A$1005&lt;=$A104)*MOVIMIENTOS!$E$5:$E$1005)-SUMPRODUCT((MOVIMIENTOS!$B$5:$B$1005="VENTA")*(MOVIMIENTOS!$C$5:$C$1005="M")*(MOVIMIENTOS!$D$5:$D$1005="jabas")*(MOVIMIENTOS!$A$5:$A$1005&lt;&gt;"")*(MOVIMIENTOS!$A$5:$A$1005&lt;=$A104)*MOVIMIENTOS!$E$5:$E$1005)+SUMPRODUCT((MOVIMIENTOS!$B$5:$B$1005="AJUSTE")*(MOVIMIENTOS!$C$5:$C$1005="M")*(MOVIMIENTOS!$D$5:$D$1005="jabas")*(MOVIMIENTOS!$A$5:$A$1005&lt;&gt;"")*(MOVIMIENTOS!$A$5:$A$1005&lt;=$A104)*MOVIMIENTOS!$E$5:$E$1005))</f>
        <v/>
      </c>
      <c r="F104" s="63" t="str">
        <f>IF($A104="","",SUMPRODUCT((MOVIMIENTOS!$B$5:$B$1005="SALDO INICIAL")*(MOVIMIENTOS!$C$5:$C$1005="Chancho")*(MOVIMIENTOS!$D$5:$D$1005="sacos")*(MOVIMIENTOS!$A$5:$A$1005&lt;&gt;"")*(MOVIMIENTOS!$A$5:$A$1005&lt;=$A104)*MOVIMIENTOS!$E$5:$E$1005)+SUMPRODUCT((MOVIMIENTOS!$B$5:$B$1005="PROCESO")*(MOVIMIENTOS!$C$5:$C$1005="Chancho")*(MOVIMIENTOS!$D$5:$D$1005="sacos")*(MOVIMIENTOS!$A$5:$A$1005&lt;&gt;"")*(MOVIMIENTOS!$A$5:$A$1005&lt;=$A104)*MOVIMIENTOS!$E$5:$E$1005)-SUMPRODUCT((MOVIMIENTOS!$B$5:$B$1005="VENTA CHANCHO")*(MOVIMIENTOS!$C$5:$C$1005="Chancho")*(MOVIMIENTOS!$D$5:$D$1005="sacos")*(MOVIMIENTOS!$A$5:$A$1005&lt;&gt;"")*(MOVIMIENTOS!$A$5:$A$1005&lt;=$A104)*MOVIMIENTOS!$E$5:$E$1005)-SUMPRODUCT((MOVIMIENTOS!$B$5:$B$1005="REGALO")*(MOVIMIENTOS!$C$5:$C$1005="Chancho")*(MOVIMIENTOS!$D$5:$D$1005="sacos")*(MOVIMIENTOS!$A$5:$A$1005&lt;&gt;"")*(MOVIMIENTOS!$A$5:$A$1005&lt;=$A104)*MOVIMIENTOS!$E$5:$E$1005)-SUMPRODUCT((MOVIMIENTOS!$B$5:$B$1005="VENTA")*(MOVIMIENTOS!$C$5:$C$1005="Chancho")*(MOVIMIENTOS!$D$5:$D$1005="sacos")*(MOVIMIENTOS!$A$5:$A$1005&lt;&gt;"")*(MOVIMIENTOS!$A$5:$A$1005&lt;=$A104)*MOVIMIENTOS!$E$5:$E$1005)+SUMPRODUCT((MOVIMIENTOS!$B$5:$B$1005="AJUSTE")*(MOVIMIENTOS!$C$5:$C$1005="Chancho")*(MOVIMIENTOS!$D$5:$D$1005="sacos")*(MOVIMIENTOS!$A$5:$A$1005&lt;&gt;"")*(MOVIMIENTOS!$A$5:$A$1005&lt;=$A104)*MOVIMIENTOS!$E$5:$E$1005))</f>
        <v/>
      </c>
      <c r="G104" s="95" t="str">
        <f t="shared" si="3"/>
        <v/>
      </c>
      <c r="H104" s="63" t="str">
        <f>IF($A104="","",SUMPRODUCT((((MOVIMIENTOS!$B$5:$B$1005="SALDO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104)*MOVIMIENTOS!$J$5:$J$1005))</f>
        <v/>
      </c>
      <c r="I104" s="63"/>
      <c r="J104" s="63" t="str">
        <f>IF(AND(MOVIMIENTOS!$A104&lt;&gt;"",COUNTIF(MOVIMIENTOS!$A$5:$A103,MOVIMIENTOS!$A104)=0),COUNT(J$4:J103)+1,"")</f>
        <v/>
      </c>
      <c r="K104" s="66">
        <f>MOVIMIENTOS!$A104</f>
        <v>46223</v>
      </c>
      <c r="L104" s="63"/>
      <c r="M104" s="63"/>
      <c r="N104" s="63"/>
    </row>
    <row r="105" spans="1:14" ht="15" customHeight="1" x14ac:dyDescent="0.2">
      <c r="A105" s="63" t="str">
        <f t="shared" si="2"/>
        <v/>
      </c>
      <c r="B105" s="63" t="str">
        <f>IF($A105="","",SUMPRODUCT((MOVIMIENTOS!$B$5:$B$1005="SALDO INICIAL")*(MOVIMIENTOS!$C$5:$C$1005="A")*(MOVIMIENTOS!$D$5:$D$1005="jabas")*(MOVIMIENTOS!$A$5:$A$1005&lt;&gt;"")*(MOVIMIENTOS!$A$5:$A$1005&lt;=$A105)*MOVIMIENTOS!$E$5:$E$1005)+SUMPRODUCT((MOVIMIENTOS!$B$5:$B$1005="PROCESO")*(MOVIMIENTOS!$C$5:$C$1005="A")*(MOVIMIENTOS!$D$5:$D$1005="jabas")*(MOVIMIENTOS!$A$5:$A$1005&lt;&gt;"")*(MOVIMIENTOS!$A$5:$A$1005&lt;=$A105)*MOVIMIENTOS!$E$5:$E$1005)-SUMPRODUCT((MOVIMIENTOS!$B$5:$B$1005="ENVÍO A SUPESA")*(MOVIMIENTOS!$C$5:$C$1005="A")*(MOVIMIENTOS!$D$5:$D$1005="jabas")*(MOVIMIENTOS!$A$5:$A$1005&lt;&gt;"")*(MOVIMIENTOS!$A$5:$A$1005&lt;=$A105)*MOVIMIENTOS!$E$5:$E$1005)+SUMPRODUCT((MOVIMIENTOS!$B$5:$B$1005="DEVOLUCIÓN")*(MOVIMIENTOS!$C$5:$C$1005="A")*(MOVIMIENTOS!$D$5:$D$1005="jabas")*(MOVIMIENTOS!$A$5:$A$1005&lt;&gt;"")*(MOVIMIENTOS!$A$5:$A$1005&lt;=$A105)*MOVIMIENTOS!$E$5:$E$1005)-SUMPRODUCT((MOVIMIENTOS!$B$5:$B$1005="TRASIEGO")*(MOVIMIENTOS!$C$5:$C$1005="A")*(MOVIMIENTOS!$D$5:$D$1005="jabas")*(MOVIMIENTOS!$A$5:$A$1005&lt;&gt;"")*(MOVIMIENTOS!$A$5:$A$1005&lt;=$A105)*MOVIMIENTOS!$E$5:$E$1005)-SUMPRODUCT((MOVIMIENTOS!$B$5:$B$1005="REGALO")*(MOVIMIENTOS!$C$5:$C$1005="A")*(MOVIMIENTOS!$D$5:$D$1005="jabas")*(MOVIMIENTOS!$A$5:$A$1005&lt;&gt;"")*(MOVIMIENTOS!$A$5:$A$1005&lt;=$A105)*MOVIMIENTOS!$E$5:$E$1005)-SUMPRODUCT((MOVIMIENTOS!$B$5:$B$1005="VENTA")*(MOVIMIENTOS!$C$5:$C$1005="A")*(MOVIMIENTOS!$D$5:$D$1005="jabas")*(MOVIMIENTOS!$A$5:$A$1005&lt;&gt;"")*(MOVIMIENTOS!$A$5:$A$1005&lt;=$A105)*MOVIMIENTOS!$E$5:$E$1005)+SUMPRODUCT((MOVIMIENTOS!$B$5:$B$1005="AJUSTE")*(MOVIMIENTOS!$C$5:$C$1005="A")*(MOVIMIENTOS!$D$5:$D$1005="jabas")*(MOVIMIENTOS!$A$5:$A$1005&lt;&gt;"")*(MOVIMIENTOS!$A$5:$A$1005&lt;=$A105)*MOVIMIENTOS!$E$5:$E$1005))</f>
        <v/>
      </c>
      <c r="C105" s="63" t="str">
        <f>IF($A105="","",SUMPRODUCT((MOVIMIENTOS!$B$5:$B$1005="SALDO INICIAL")*(MOVIMIENTOS!$C$5:$C$1005="P")*(MOVIMIENTOS!$D$5:$D$1005="jabas")*(MOVIMIENTOS!$A$5:$A$1005&lt;&gt;"")*(MOVIMIENTOS!$A$5:$A$1005&lt;=$A105)*MOVIMIENTOS!$E$5:$E$1005)+SUMPRODUCT((MOVIMIENTOS!$B$5:$B$1005="PROCESO")*(MOVIMIENTOS!$C$5:$C$1005="P")*(MOVIMIENTOS!$D$5:$D$1005="jabas")*(MOVIMIENTOS!$A$5:$A$1005&lt;&gt;"")*(MOVIMIENTOS!$A$5:$A$1005&lt;=$A105)*MOVIMIENTOS!$E$5:$E$1005)-SUMPRODUCT((MOVIMIENTOS!$B$5:$B$1005="ENVÍO A SUPESA")*(MOVIMIENTOS!$C$5:$C$1005="P")*(MOVIMIENTOS!$D$5:$D$1005="jabas")*(MOVIMIENTOS!$A$5:$A$1005&lt;&gt;"")*(MOVIMIENTOS!$A$5:$A$1005&lt;=$A105)*MOVIMIENTOS!$E$5:$E$1005)+SUMPRODUCT((MOVIMIENTOS!$B$5:$B$1005="DEVOLUCIÓN")*(MOVIMIENTOS!$C$5:$C$1005="P")*(MOVIMIENTOS!$D$5:$D$1005="jabas")*(MOVIMIENTOS!$A$5:$A$1005&lt;&gt;"")*(MOVIMIENTOS!$A$5:$A$1005&lt;=$A105)*MOVIMIENTOS!$E$5:$E$1005)-SUMPRODUCT((MOVIMIENTOS!$B$5:$B$1005="TRASIEGO")*(MOVIMIENTOS!$C$5:$C$1005="P")*(MOVIMIENTOS!$D$5:$D$1005="jabas")*(MOVIMIENTOS!$A$5:$A$1005&lt;&gt;"")*(MOVIMIENTOS!$A$5:$A$1005&lt;=$A105)*MOVIMIENTOS!$E$5:$E$1005)-SUMPRODUCT((MOVIMIENTOS!$B$5:$B$1005="REGALO")*(MOVIMIENTOS!$C$5:$C$1005="P")*(MOVIMIENTOS!$D$5:$D$1005="jabas")*(MOVIMIENTOS!$A$5:$A$1005&lt;&gt;"")*(MOVIMIENTOS!$A$5:$A$1005&lt;=$A105)*MOVIMIENTOS!$E$5:$E$1005)-SUMPRODUCT((MOVIMIENTOS!$B$5:$B$1005="VENTA")*(MOVIMIENTOS!$C$5:$C$1005="P")*(MOVIMIENTOS!$D$5:$D$1005="jabas")*(MOVIMIENTOS!$A$5:$A$1005&lt;&gt;"")*(MOVIMIENTOS!$A$5:$A$1005&lt;=$A105)*MOVIMIENTOS!$E$5:$E$1005)+SUMPRODUCT((MOVIMIENTOS!$B$5:$B$1005="AJUSTE")*(MOVIMIENTOS!$C$5:$C$1005="P")*(MOVIMIENTOS!$D$5:$D$1005="jabas")*(MOVIMIENTOS!$A$5:$A$1005&lt;&gt;"")*(MOVIMIENTOS!$A$5:$A$1005&lt;=$A105)*MOVIMIENTOS!$E$5:$E$1005))</f>
        <v/>
      </c>
      <c r="D105" s="63" t="str">
        <f>IF($A105="","",SUMPRODUCT((MOVIMIENTOS!$B$5:$B$1005="SALDO INICIAL")*(MOVIMIENTOS!$C$5:$C$1005="C")*(MOVIMIENTOS!$D$5:$D$1005="jabas")*(MOVIMIENTOS!$A$5:$A$1005&lt;&gt;"")*(MOVIMIENTOS!$A$5:$A$1005&lt;=$A105)*MOVIMIENTOS!$E$5:$E$1005)+SUMPRODUCT((MOVIMIENTOS!$B$5:$B$1005="PROCESO")*(MOVIMIENTOS!$C$5:$C$1005="C")*(MOVIMIENTOS!$D$5:$D$1005="jabas")*(MOVIMIENTOS!$A$5:$A$1005&lt;&gt;"")*(MOVIMIENTOS!$A$5:$A$1005&lt;=$A105)*MOVIMIENTOS!$E$5:$E$1005)-SUMPRODUCT((MOVIMIENTOS!$B$5:$B$1005="ENVÍO A SUPESA")*(MOVIMIENTOS!$C$5:$C$1005="C")*(MOVIMIENTOS!$D$5:$D$1005="jabas")*(MOVIMIENTOS!$A$5:$A$1005&lt;&gt;"")*(MOVIMIENTOS!$A$5:$A$1005&lt;=$A105)*MOVIMIENTOS!$E$5:$E$1005)+SUMPRODUCT((MOVIMIENTOS!$B$5:$B$1005="DEVOLUCIÓN")*(MOVIMIENTOS!$C$5:$C$1005="C")*(MOVIMIENTOS!$D$5:$D$1005="jabas")*(MOVIMIENTOS!$A$5:$A$1005&lt;&gt;"")*(MOVIMIENTOS!$A$5:$A$1005&lt;=$A105)*MOVIMIENTOS!$E$5:$E$1005)-SUMPRODUCT((MOVIMIENTOS!$B$5:$B$1005="TRASIEGO")*(MOVIMIENTOS!$C$5:$C$1005="C")*(MOVIMIENTOS!$D$5:$D$1005="jabas")*(MOVIMIENTOS!$A$5:$A$1005&lt;&gt;"")*(MOVIMIENTOS!$A$5:$A$1005&lt;=$A105)*MOVIMIENTOS!$E$5:$E$1005)-SUMPRODUCT((MOVIMIENTOS!$B$5:$B$1005="REGALO")*(MOVIMIENTOS!$C$5:$C$1005="C")*(MOVIMIENTOS!$D$5:$D$1005="jabas")*(MOVIMIENTOS!$A$5:$A$1005&lt;&gt;"")*(MOVIMIENTOS!$A$5:$A$1005&lt;=$A105)*MOVIMIENTOS!$E$5:$E$1005)-SUMPRODUCT((MOVIMIENTOS!$B$5:$B$1005="VENTA")*(MOVIMIENTOS!$C$5:$C$1005="C")*(MOVIMIENTOS!$D$5:$D$1005="jabas")*(MOVIMIENTOS!$A$5:$A$1005&lt;&gt;"")*(MOVIMIENTOS!$A$5:$A$1005&lt;=$A105)*MOVIMIENTOS!$E$5:$E$1005)+SUMPRODUCT((MOVIMIENTOS!$B$5:$B$1005="AJUSTE")*(MOVIMIENTOS!$C$5:$C$1005="C")*(MOVIMIENTOS!$D$5:$D$1005="jabas")*(MOVIMIENTOS!$A$5:$A$1005&lt;&gt;"")*(MOVIMIENTOS!$A$5:$A$1005&lt;=$A105)*MOVIMIENTOS!$E$5:$E$1005))</f>
        <v/>
      </c>
      <c r="E105" s="63" t="str">
        <f>IF($A105="","",SUMPRODUCT((MOVIMIENTOS!$B$5:$B$1005="SALDO INICIAL")*(MOVIMIENTOS!$C$5:$C$1005="M")*(MOVIMIENTOS!$D$5:$D$1005="jabas")*(MOVIMIENTOS!$A$5:$A$1005&lt;&gt;"")*(MOVIMIENTOS!$A$5:$A$1005&lt;=$A105)*MOVIMIENTOS!$E$5:$E$1005)+SUMPRODUCT((MOVIMIENTOS!$B$5:$B$1005="PROCESO")*(MOVIMIENTOS!$C$5:$C$1005="M")*(MOVIMIENTOS!$D$5:$D$1005="jabas")*(MOVIMIENTOS!$A$5:$A$1005&lt;&gt;"")*(MOVIMIENTOS!$A$5:$A$1005&lt;=$A105)*MOVIMIENTOS!$E$5:$E$1005)-SUMPRODUCT((MOVIMIENTOS!$B$5:$B$1005="ENVÍO A SUPESA")*(MOVIMIENTOS!$C$5:$C$1005="M")*(MOVIMIENTOS!$D$5:$D$1005="jabas")*(MOVIMIENTOS!$A$5:$A$1005&lt;&gt;"")*(MOVIMIENTOS!$A$5:$A$1005&lt;=$A105)*MOVIMIENTOS!$E$5:$E$1005)+SUMPRODUCT((MOVIMIENTOS!$B$5:$B$1005="DEVOLUCIÓN")*(MOVIMIENTOS!$C$5:$C$1005="M")*(MOVIMIENTOS!$D$5:$D$1005="jabas")*(MOVIMIENTOS!$A$5:$A$1005&lt;&gt;"")*(MOVIMIENTOS!$A$5:$A$1005&lt;=$A105)*MOVIMIENTOS!$E$5:$E$1005)-SUMPRODUCT((MOVIMIENTOS!$B$5:$B$1005="TRASIEGO")*(MOVIMIENTOS!$C$5:$C$1005="M")*(MOVIMIENTOS!$D$5:$D$1005="jabas")*(MOVIMIENTOS!$A$5:$A$1005&lt;&gt;"")*(MOVIMIENTOS!$A$5:$A$1005&lt;=$A105)*MOVIMIENTOS!$E$5:$E$1005)-SUMPRODUCT((MOVIMIENTOS!$B$5:$B$1005="REGALO")*(MOVIMIENTOS!$C$5:$C$1005="M")*(MOVIMIENTOS!$D$5:$D$1005="jabas")*(MOVIMIENTOS!$A$5:$A$1005&lt;&gt;"")*(MOVIMIENTOS!$A$5:$A$1005&lt;=$A105)*MOVIMIENTOS!$E$5:$E$1005)-SUMPRODUCT((MOVIMIENTOS!$B$5:$B$1005="VENTA")*(MOVIMIENTOS!$C$5:$C$1005="M")*(MOVIMIENTOS!$D$5:$D$1005="jabas")*(MOVIMIENTOS!$A$5:$A$1005&lt;&gt;"")*(MOVIMIENTOS!$A$5:$A$1005&lt;=$A105)*MOVIMIENTOS!$E$5:$E$1005)+SUMPRODUCT((MOVIMIENTOS!$B$5:$B$1005="AJUSTE")*(MOVIMIENTOS!$C$5:$C$1005="M")*(MOVIMIENTOS!$D$5:$D$1005="jabas")*(MOVIMIENTOS!$A$5:$A$1005&lt;&gt;"")*(MOVIMIENTOS!$A$5:$A$1005&lt;=$A105)*MOVIMIENTOS!$E$5:$E$1005))</f>
        <v/>
      </c>
      <c r="F105" s="63" t="str">
        <f>IF($A105="","",SUMPRODUCT((MOVIMIENTOS!$B$5:$B$1005="SALDO INICIAL")*(MOVIMIENTOS!$C$5:$C$1005="Chancho")*(MOVIMIENTOS!$D$5:$D$1005="sacos")*(MOVIMIENTOS!$A$5:$A$1005&lt;&gt;"")*(MOVIMIENTOS!$A$5:$A$1005&lt;=$A105)*MOVIMIENTOS!$E$5:$E$1005)+SUMPRODUCT((MOVIMIENTOS!$B$5:$B$1005="PROCESO")*(MOVIMIENTOS!$C$5:$C$1005="Chancho")*(MOVIMIENTOS!$D$5:$D$1005="sacos")*(MOVIMIENTOS!$A$5:$A$1005&lt;&gt;"")*(MOVIMIENTOS!$A$5:$A$1005&lt;=$A105)*MOVIMIENTOS!$E$5:$E$1005)-SUMPRODUCT((MOVIMIENTOS!$B$5:$B$1005="VENTA CHANCHO")*(MOVIMIENTOS!$C$5:$C$1005="Chancho")*(MOVIMIENTOS!$D$5:$D$1005="sacos")*(MOVIMIENTOS!$A$5:$A$1005&lt;&gt;"")*(MOVIMIENTOS!$A$5:$A$1005&lt;=$A105)*MOVIMIENTOS!$E$5:$E$1005)-SUMPRODUCT((MOVIMIENTOS!$B$5:$B$1005="REGALO")*(MOVIMIENTOS!$C$5:$C$1005="Chancho")*(MOVIMIENTOS!$D$5:$D$1005="sacos")*(MOVIMIENTOS!$A$5:$A$1005&lt;&gt;"")*(MOVIMIENTOS!$A$5:$A$1005&lt;=$A105)*MOVIMIENTOS!$E$5:$E$1005)-SUMPRODUCT((MOVIMIENTOS!$B$5:$B$1005="VENTA")*(MOVIMIENTOS!$C$5:$C$1005="Chancho")*(MOVIMIENTOS!$D$5:$D$1005="sacos")*(MOVIMIENTOS!$A$5:$A$1005&lt;&gt;"")*(MOVIMIENTOS!$A$5:$A$1005&lt;=$A105)*MOVIMIENTOS!$E$5:$E$1005)+SUMPRODUCT((MOVIMIENTOS!$B$5:$B$1005="AJUSTE")*(MOVIMIENTOS!$C$5:$C$1005="Chancho")*(MOVIMIENTOS!$D$5:$D$1005="sacos")*(MOVIMIENTOS!$A$5:$A$1005&lt;&gt;"")*(MOVIMIENTOS!$A$5:$A$1005&lt;=$A105)*MOVIMIENTOS!$E$5:$E$1005))</f>
        <v/>
      </c>
      <c r="G105" s="95" t="str">
        <f t="shared" si="3"/>
        <v/>
      </c>
      <c r="H105" s="63" t="str">
        <f>IF($A105="","",SUMPRODUCT((((MOVIMIENTOS!$B$5:$B$1005="SALDO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105)*MOVIMIENTOS!$J$5:$J$1005))</f>
        <v/>
      </c>
      <c r="I105" s="63"/>
      <c r="J105" s="63" t="str">
        <f>IF(AND(MOVIMIENTOS!$A105&lt;&gt;"",COUNTIF(MOVIMIENTOS!$A$5:$A104,MOVIMIENTOS!$A105)=0),COUNT(J$4:J104)+1,"")</f>
        <v/>
      </c>
      <c r="K105" s="66">
        <f>MOVIMIENTOS!$A105</f>
        <v>46223</v>
      </c>
      <c r="L105" s="63"/>
      <c r="M105" s="63"/>
      <c r="N105" s="63"/>
    </row>
    <row r="106" spans="1:14" ht="15" customHeight="1" x14ac:dyDescent="0.2">
      <c r="A106" s="63" t="str">
        <f t="shared" si="2"/>
        <v/>
      </c>
      <c r="B106" s="63" t="str">
        <f>IF($A106="","",SUMPRODUCT((MOVIMIENTOS!$B$5:$B$1005="SALDO INICIAL")*(MOVIMIENTOS!$C$5:$C$1005="A")*(MOVIMIENTOS!$D$5:$D$1005="jabas")*(MOVIMIENTOS!$A$5:$A$1005&lt;&gt;"")*(MOVIMIENTOS!$A$5:$A$1005&lt;=$A106)*MOVIMIENTOS!$E$5:$E$1005)+SUMPRODUCT((MOVIMIENTOS!$B$5:$B$1005="PROCESO")*(MOVIMIENTOS!$C$5:$C$1005="A")*(MOVIMIENTOS!$D$5:$D$1005="jabas")*(MOVIMIENTOS!$A$5:$A$1005&lt;&gt;"")*(MOVIMIENTOS!$A$5:$A$1005&lt;=$A106)*MOVIMIENTOS!$E$5:$E$1005)-SUMPRODUCT((MOVIMIENTOS!$B$5:$B$1005="ENVÍO A SUPESA")*(MOVIMIENTOS!$C$5:$C$1005="A")*(MOVIMIENTOS!$D$5:$D$1005="jabas")*(MOVIMIENTOS!$A$5:$A$1005&lt;&gt;"")*(MOVIMIENTOS!$A$5:$A$1005&lt;=$A106)*MOVIMIENTOS!$E$5:$E$1005)+SUMPRODUCT((MOVIMIENTOS!$B$5:$B$1005="DEVOLUCIÓN")*(MOVIMIENTOS!$C$5:$C$1005="A")*(MOVIMIENTOS!$D$5:$D$1005="jabas")*(MOVIMIENTOS!$A$5:$A$1005&lt;&gt;"")*(MOVIMIENTOS!$A$5:$A$1005&lt;=$A106)*MOVIMIENTOS!$E$5:$E$1005)-SUMPRODUCT((MOVIMIENTOS!$B$5:$B$1005="TRASIEGO")*(MOVIMIENTOS!$C$5:$C$1005="A")*(MOVIMIENTOS!$D$5:$D$1005="jabas")*(MOVIMIENTOS!$A$5:$A$1005&lt;&gt;"")*(MOVIMIENTOS!$A$5:$A$1005&lt;=$A106)*MOVIMIENTOS!$E$5:$E$1005)-SUMPRODUCT((MOVIMIENTOS!$B$5:$B$1005="REGALO")*(MOVIMIENTOS!$C$5:$C$1005="A")*(MOVIMIENTOS!$D$5:$D$1005="jabas")*(MOVIMIENTOS!$A$5:$A$1005&lt;&gt;"")*(MOVIMIENTOS!$A$5:$A$1005&lt;=$A106)*MOVIMIENTOS!$E$5:$E$1005)-SUMPRODUCT((MOVIMIENTOS!$B$5:$B$1005="VENTA")*(MOVIMIENTOS!$C$5:$C$1005="A")*(MOVIMIENTOS!$D$5:$D$1005="jabas")*(MOVIMIENTOS!$A$5:$A$1005&lt;&gt;"")*(MOVIMIENTOS!$A$5:$A$1005&lt;=$A106)*MOVIMIENTOS!$E$5:$E$1005)+SUMPRODUCT((MOVIMIENTOS!$B$5:$B$1005="AJUSTE")*(MOVIMIENTOS!$C$5:$C$1005="A")*(MOVIMIENTOS!$D$5:$D$1005="jabas")*(MOVIMIENTOS!$A$5:$A$1005&lt;&gt;"")*(MOVIMIENTOS!$A$5:$A$1005&lt;=$A106)*MOVIMIENTOS!$E$5:$E$1005))</f>
        <v/>
      </c>
      <c r="C106" s="63" t="str">
        <f>IF($A106="","",SUMPRODUCT((MOVIMIENTOS!$B$5:$B$1005="SALDO INICIAL")*(MOVIMIENTOS!$C$5:$C$1005="P")*(MOVIMIENTOS!$D$5:$D$1005="jabas")*(MOVIMIENTOS!$A$5:$A$1005&lt;&gt;"")*(MOVIMIENTOS!$A$5:$A$1005&lt;=$A106)*MOVIMIENTOS!$E$5:$E$1005)+SUMPRODUCT((MOVIMIENTOS!$B$5:$B$1005="PROCESO")*(MOVIMIENTOS!$C$5:$C$1005="P")*(MOVIMIENTOS!$D$5:$D$1005="jabas")*(MOVIMIENTOS!$A$5:$A$1005&lt;&gt;"")*(MOVIMIENTOS!$A$5:$A$1005&lt;=$A106)*MOVIMIENTOS!$E$5:$E$1005)-SUMPRODUCT((MOVIMIENTOS!$B$5:$B$1005="ENVÍO A SUPESA")*(MOVIMIENTOS!$C$5:$C$1005="P")*(MOVIMIENTOS!$D$5:$D$1005="jabas")*(MOVIMIENTOS!$A$5:$A$1005&lt;&gt;"")*(MOVIMIENTOS!$A$5:$A$1005&lt;=$A106)*MOVIMIENTOS!$E$5:$E$1005)+SUMPRODUCT((MOVIMIENTOS!$B$5:$B$1005="DEVOLUCIÓN")*(MOVIMIENTOS!$C$5:$C$1005="P")*(MOVIMIENTOS!$D$5:$D$1005="jabas")*(MOVIMIENTOS!$A$5:$A$1005&lt;&gt;"")*(MOVIMIENTOS!$A$5:$A$1005&lt;=$A106)*MOVIMIENTOS!$E$5:$E$1005)-SUMPRODUCT((MOVIMIENTOS!$B$5:$B$1005="TRASIEGO")*(MOVIMIENTOS!$C$5:$C$1005="P")*(MOVIMIENTOS!$D$5:$D$1005="jabas")*(MOVIMIENTOS!$A$5:$A$1005&lt;&gt;"")*(MOVIMIENTOS!$A$5:$A$1005&lt;=$A106)*MOVIMIENTOS!$E$5:$E$1005)-SUMPRODUCT((MOVIMIENTOS!$B$5:$B$1005="REGALO")*(MOVIMIENTOS!$C$5:$C$1005="P")*(MOVIMIENTOS!$D$5:$D$1005="jabas")*(MOVIMIENTOS!$A$5:$A$1005&lt;&gt;"")*(MOVIMIENTOS!$A$5:$A$1005&lt;=$A106)*MOVIMIENTOS!$E$5:$E$1005)-SUMPRODUCT((MOVIMIENTOS!$B$5:$B$1005="VENTA")*(MOVIMIENTOS!$C$5:$C$1005="P")*(MOVIMIENTOS!$D$5:$D$1005="jabas")*(MOVIMIENTOS!$A$5:$A$1005&lt;&gt;"")*(MOVIMIENTOS!$A$5:$A$1005&lt;=$A106)*MOVIMIENTOS!$E$5:$E$1005)+SUMPRODUCT((MOVIMIENTOS!$B$5:$B$1005="AJUSTE")*(MOVIMIENTOS!$C$5:$C$1005="P")*(MOVIMIENTOS!$D$5:$D$1005="jabas")*(MOVIMIENTOS!$A$5:$A$1005&lt;&gt;"")*(MOVIMIENTOS!$A$5:$A$1005&lt;=$A106)*MOVIMIENTOS!$E$5:$E$1005))</f>
        <v/>
      </c>
      <c r="D106" s="63" t="str">
        <f>IF($A106="","",SUMPRODUCT((MOVIMIENTOS!$B$5:$B$1005="SALDO INICIAL")*(MOVIMIENTOS!$C$5:$C$1005="C")*(MOVIMIENTOS!$D$5:$D$1005="jabas")*(MOVIMIENTOS!$A$5:$A$1005&lt;&gt;"")*(MOVIMIENTOS!$A$5:$A$1005&lt;=$A106)*MOVIMIENTOS!$E$5:$E$1005)+SUMPRODUCT((MOVIMIENTOS!$B$5:$B$1005="PROCESO")*(MOVIMIENTOS!$C$5:$C$1005="C")*(MOVIMIENTOS!$D$5:$D$1005="jabas")*(MOVIMIENTOS!$A$5:$A$1005&lt;&gt;"")*(MOVIMIENTOS!$A$5:$A$1005&lt;=$A106)*MOVIMIENTOS!$E$5:$E$1005)-SUMPRODUCT((MOVIMIENTOS!$B$5:$B$1005="ENVÍO A SUPESA")*(MOVIMIENTOS!$C$5:$C$1005="C")*(MOVIMIENTOS!$D$5:$D$1005="jabas")*(MOVIMIENTOS!$A$5:$A$1005&lt;&gt;"")*(MOVIMIENTOS!$A$5:$A$1005&lt;=$A106)*MOVIMIENTOS!$E$5:$E$1005)+SUMPRODUCT((MOVIMIENTOS!$B$5:$B$1005="DEVOLUCIÓN")*(MOVIMIENTOS!$C$5:$C$1005="C")*(MOVIMIENTOS!$D$5:$D$1005="jabas")*(MOVIMIENTOS!$A$5:$A$1005&lt;&gt;"")*(MOVIMIENTOS!$A$5:$A$1005&lt;=$A106)*MOVIMIENTOS!$E$5:$E$1005)-SUMPRODUCT((MOVIMIENTOS!$B$5:$B$1005="TRASIEGO")*(MOVIMIENTOS!$C$5:$C$1005="C")*(MOVIMIENTOS!$D$5:$D$1005="jabas")*(MOVIMIENTOS!$A$5:$A$1005&lt;&gt;"")*(MOVIMIENTOS!$A$5:$A$1005&lt;=$A106)*MOVIMIENTOS!$E$5:$E$1005)-SUMPRODUCT((MOVIMIENTOS!$B$5:$B$1005="REGALO")*(MOVIMIENTOS!$C$5:$C$1005="C")*(MOVIMIENTOS!$D$5:$D$1005="jabas")*(MOVIMIENTOS!$A$5:$A$1005&lt;&gt;"")*(MOVIMIENTOS!$A$5:$A$1005&lt;=$A106)*MOVIMIENTOS!$E$5:$E$1005)-SUMPRODUCT((MOVIMIENTOS!$B$5:$B$1005="VENTA")*(MOVIMIENTOS!$C$5:$C$1005="C")*(MOVIMIENTOS!$D$5:$D$1005="jabas")*(MOVIMIENTOS!$A$5:$A$1005&lt;&gt;"")*(MOVIMIENTOS!$A$5:$A$1005&lt;=$A106)*MOVIMIENTOS!$E$5:$E$1005)+SUMPRODUCT((MOVIMIENTOS!$B$5:$B$1005="AJUSTE")*(MOVIMIENTOS!$C$5:$C$1005="C")*(MOVIMIENTOS!$D$5:$D$1005="jabas")*(MOVIMIENTOS!$A$5:$A$1005&lt;&gt;"")*(MOVIMIENTOS!$A$5:$A$1005&lt;=$A106)*MOVIMIENTOS!$E$5:$E$1005))</f>
        <v/>
      </c>
      <c r="E106" s="63" t="str">
        <f>IF($A106="","",SUMPRODUCT((MOVIMIENTOS!$B$5:$B$1005="SALDO INICIAL")*(MOVIMIENTOS!$C$5:$C$1005="M")*(MOVIMIENTOS!$D$5:$D$1005="jabas")*(MOVIMIENTOS!$A$5:$A$1005&lt;&gt;"")*(MOVIMIENTOS!$A$5:$A$1005&lt;=$A106)*MOVIMIENTOS!$E$5:$E$1005)+SUMPRODUCT((MOVIMIENTOS!$B$5:$B$1005="PROCESO")*(MOVIMIENTOS!$C$5:$C$1005="M")*(MOVIMIENTOS!$D$5:$D$1005="jabas")*(MOVIMIENTOS!$A$5:$A$1005&lt;&gt;"")*(MOVIMIENTOS!$A$5:$A$1005&lt;=$A106)*MOVIMIENTOS!$E$5:$E$1005)-SUMPRODUCT((MOVIMIENTOS!$B$5:$B$1005="ENVÍO A SUPESA")*(MOVIMIENTOS!$C$5:$C$1005="M")*(MOVIMIENTOS!$D$5:$D$1005="jabas")*(MOVIMIENTOS!$A$5:$A$1005&lt;&gt;"")*(MOVIMIENTOS!$A$5:$A$1005&lt;=$A106)*MOVIMIENTOS!$E$5:$E$1005)+SUMPRODUCT((MOVIMIENTOS!$B$5:$B$1005="DEVOLUCIÓN")*(MOVIMIENTOS!$C$5:$C$1005="M")*(MOVIMIENTOS!$D$5:$D$1005="jabas")*(MOVIMIENTOS!$A$5:$A$1005&lt;&gt;"")*(MOVIMIENTOS!$A$5:$A$1005&lt;=$A106)*MOVIMIENTOS!$E$5:$E$1005)-SUMPRODUCT((MOVIMIENTOS!$B$5:$B$1005="TRASIEGO")*(MOVIMIENTOS!$C$5:$C$1005="M")*(MOVIMIENTOS!$D$5:$D$1005="jabas")*(MOVIMIENTOS!$A$5:$A$1005&lt;&gt;"")*(MOVIMIENTOS!$A$5:$A$1005&lt;=$A106)*MOVIMIENTOS!$E$5:$E$1005)-SUMPRODUCT((MOVIMIENTOS!$B$5:$B$1005="REGALO")*(MOVIMIENTOS!$C$5:$C$1005="M")*(MOVIMIENTOS!$D$5:$D$1005="jabas")*(MOVIMIENTOS!$A$5:$A$1005&lt;&gt;"")*(MOVIMIENTOS!$A$5:$A$1005&lt;=$A106)*MOVIMIENTOS!$E$5:$E$1005)-SUMPRODUCT((MOVIMIENTOS!$B$5:$B$1005="VENTA")*(MOVIMIENTOS!$C$5:$C$1005="M")*(MOVIMIENTOS!$D$5:$D$1005="jabas")*(MOVIMIENTOS!$A$5:$A$1005&lt;&gt;"")*(MOVIMIENTOS!$A$5:$A$1005&lt;=$A106)*MOVIMIENTOS!$E$5:$E$1005)+SUMPRODUCT((MOVIMIENTOS!$B$5:$B$1005="AJUSTE")*(MOVIMIENTOS!$C$5:$C$1005="M")*(MOVIMIENTOS!$D$5:$D$1005="jabas")*(MOVIMIENTOS!$A$5:$A$1005&lt;&gt;"")*(MOVIMIENTOS!$A$5:$A$1005&lt;=$A106)*MOVIMIENTOS!$E$5:$E$1005))</f>
        <v/>
      </c>
      <c r="F106" s="63" t="str">
        <f>IF($A106="","",SUMPRODUCT((MOVIMIENTOS!$B$5:$B$1005="SALDO INICIAL")*(MOVIMIENTOS!$C$5:$C$1005="Chancho")*(MOVIMIENTOS!$D$5:$D$1005="sacos")*(MOVIMIENTOS!$A$5:$A$1005&lt;&gt;"")*(MOVIMIENTOS!$A$5:$A$1005&lt;=$A106)*MOVIMIENTOS!$E$5:$E$1005)+SUMPRODUCT((MOVIMIENTOS!$B$5:$B$1005="PROCESO")*(MOVIMIENTOS!$C$5:$C$1005="Chancho")*(MOVIMIENTOS!$D$5:$D$1005="sacos")*(MOVIMIENTOS!$A$5:$A$1005&lt;&gt;"")*(MOVIMIENTOS!$A$5:$A$1005&lt;=$A106)*MOVIMIENTOS!$E$5:$E$1005)-SUMPRODUCT((MOVIMIENTOS!$B$5:$B$1005="VENTA CHANCHO")*(MOVIMIENTOS!$C$5:$C$1005="Chancho")*(MOVIMIENTOS!$D$5:$D$1005="sacos")*(MOVIMIENTOS!$A$5:$A$1005&lt;&gt;"")*(MOVIMIENTOS!$A$5:$A$1005&lt;=$A106)*MOVIMIENTOS!$E$5:$E$1005)-SUMPRODUCT((MOVIMIENTOS!$B$5:$B$1005="REGALO")*(MOVIMIENTOS!$C$5:$C$1005="Chancho")*(MOVIMIENTOS!$D$5:$D$1005="sacos")*(MOVIMIENTOS!$A$5:$A$1005&lt;&gt;"")*(MOVIMIENTOS!$A$5:$A$1005&lt;=$A106)*MOVIMIENTOS!$E$5:$E$1005)-SUMPRODUCT((MOVIMIENTOS!$B$5:$B$1005="VENTA")*(MOVIMIENTOS!$C$5:$C$1005="Chancho")*(MOVIMIENTOS!$D$5:$D$1005="sacos")*(MOVIMIENTOS!$A$5:$A$1005&lt;&gt;"")*(MOVIMIENTOS!$A$5:$A$1005&lt;=$A106)*MOVIMIENTOS!$E$5:$E$1005)+SUMPRODUCT((MOVIMIENTOS!$B$5:$B$1005="AJUSTE")*(MOVIMIENTOS!$C$5:$C$1005="Chancho")*(MOVIMIENTOS!$D$5:$D$1005="sacos")*(MOVIMIENTOS!$A$5:$A$1005&lt;&gt;"")*(MOVIMIENTOS!$A$5:$A$1005&lt;=$A106)*MOVIMIENTOS!$E$5:$E$1005))</f>
        <v/>
      </c>
      <c r="G106" s="95" t="str">
        <f t="shared" si="3"/>
        <v/>
      </c>
      <c r="H106" s="63" t="str">
        <f>IF($A106="","",SUMPRODUCT((((MOVIMIENTOS!$B$5:$B$1005="SALDO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106)*MOVIMIENTOS!$J$5:$J$1005))</f>
        <v/>
      </c>
      <c r="I106" s="63"/>
      <c r="J106" s="63" t="str">
        <f>IF(AND(MOVIMIENTOS!$A106&lt;&gt;"",COUNTIF(MOVIMIENTOS!$A$5:$A105,MOVIMIENTOS!$A106)=0),COUNT(J$4:J105)+1,"")</f>
        <v/>
      </c>
      <c r="K106" s="66">
        <f>MOVIMIENTOS!$A106</f>
        <v>46223</v>
      </c>
      <c r="L106" s="63"/>
      <c r="M106" s="63"/>
      <c r="N106" s="63"/>
    </row>
    <row r="107" spans="1:14" ht="15" customHeight="1" x14ac:dyDescent="0.2">
      <c r="A107" s="63" t="str">
        <f t="shared" si="2"/>
        <v/>
      </c>
      <c r="B107" s="63" t="str">
        <f>IF($A107="","",SUMPRODUCT((MOVIMIENTOS!$B$5:$B$1005="SALDO INICIAL")*(MOVIMIENTOS!$C$5:$C$1005="A")*(MOVIMIENTOS!$D$5:$D$1005="jabas")*(MOVIMIENTOS!$A$5:$A$1005&lt;&gt;"")*(MOVIMIENTOS!$A$5:$A$1005&lt;=$A107)*MOVIMIENTOS!$E$5:$E$1005)+SUMPRODUCT((MOVIMIENTOS!$B$5:$B$1005="PROCESO")*(MOVIMIENTOS!$C$5:$C$1005="A")*(MOVIMIENTOS!$D$5:$D$1005="jabas")*(MOVIMIENTOS!$A$5:$A$1005&lt;&gt;"")*(MOVIMIENTOS!$A$5:$A$1005&lt;=$A107)*MOVIMIENTOS!$E$5:$E$1005)-SUMPRODUCT((MOVIMIENTOS!$B$5:$B$1005="ENVÍO A SUPESA")*(MOVIMIENTOS!$C$5:$C$1005="A")*(MOVIMIENTOS!$D$5:$D$1005="jabas")*(MOVIMIENTOS!$A$5:$A$1005&lt;&gt;"")*(MOVIMIENTOS!$A$5:$A$1005&lt;=$A107)*MOVIMIENTOS!$E$5:$E$1005)+SUMPRODUCT((MOVIMIENTOS!$B$5:$B$1005="DEVOLUCIÓN")*(MOVIMIENTOS!$C$5:$C$1005="A")*(MOVIMIENTOS!$D$5:$D$1005="jabas")*(MOVIMIENTOS!$A$5:$A$1005&lt;&gt;"")*(MOVIMIENTOS!$A$5:$A$1005&lt;=$A107)*MOVIMIENTOS!$E$5:$E$1005)-SUMPRODUCT((MOVIMIENTOS!$B$5:$B$1005="TRASIEGO")*(MOVIMIENTOS!$C$5:$C$1005="A")*(MOVIMIENTOS!$D$5:$D$1005="jabas")*(MOVIMIENTOS!$A$5:$A$1005&lt;&gt;"")*(MOVIMIENTOS!$A$5:$A$1005&lt;=$A107)*MOVIMIENTOS!$E$5:$E$1005)-SUMPRODUCT((MOVIMIENTOS!$B$5:$B$1005="REGALO")*(MOVIMIENTOS!$C$5:$C$1005="A")*(MOVIMIENTOS!$D$5:$D$1005="jabas")*(MOVIMIENTOS!$A$5:$A$1005&lt;&gt;"")*(MOVIMIENTOS!$A$5:$A$1005&lt;=$A107)*MOVIMIENTOS!$E$5:$E$1005)-SUMPRODUCT((MOVIMIENTOS!$B$5:$B$1005="VENTA")*(MOVIMIENTOS!$C$5:$C$1005="A")*(MOVIMIENTOS!$D$5:$D$1005="jabas")*(MOVIMIENTOS!$A$5:$A$1005&lt;&gt;"")*(MOVIMIENTOS!$A$5:$A$1005&lt;=$A107)*MOVIMIENTOS!$E$5:$E$1005)+SUMPRODUCT((MOVIMIENTOS!$B$5:$B$1005="AJUSTE")*(MOVIMIENTOS!$C$5:$C$1005="A")*(MOVIMIENTOS!$D$5:$D$1005="jabas")*(MOVIMIENTOS!$A$5:$A$1005&lt;&gt;"")*(MOVIMIENTOS!$A$5:$A$1005&lt;=$A107)*MOVIMIENTOS!$E$5:$E$1005))</f>
        <v/>
      </c>
      <c r="C107" s="63" t="str">
        <f>IF($A107="","",SUMPRODUCT((MOVIMIENTOS!$B$5:$B$1005="SALDO INICIAL")*(MOVIMIENTOS!$C$5:$C$1005="P")*(MOVIMIENTOS!$D$5:$D$1005="jabas")*(MOVIMIENTOS!$A$5:$A$1005&lt;&gt;"")*(MOVIMIENTOS!$A$5:$A$1005&lt;=$A107)*MOVIMIENTOS!$E$5:$E$1005)+SUMPRODUCT((MOVIMIENTOS!$B$5:$B$1005="PROCESO")*(MOVIMIENTOS!$C$5:$C$1005="P")*(MOVIMIENTOS!$D$5:$D$1005="jabas")*(MOVIMIENTOS!$A$5:$A$1005&lt;&gt;"")*(MOVIMIENTOS!$A$5:$A$1005&lt;=$A107)*MOVIMIENTOS!$E$5:$E$1005)-SUMPRODUCT((MOVIMIENTOS!$B$5:$B$1005="ENVÍO A SUPESA")*(MOVIMIENTOS!$C$5:$C$1005="P")*(MOVIMIENTOS!$D$5:$D$1005="jabas")*(MOVIMIENTOS!$A$5:$A$1005&lt;&gt;"")*(MOVIMIENTOS!$A$5:$A$1005&lt;=$A107)*MOVIMIENTOS!$E$5:$E$1005)+SUMPRODUCT((MOVIMIENTOS!$B$5:$B$1005="DEVOLUCIÓN")*(MOVIMIENTOS!$C$5:$C$1005="P")*(MOVIMIENTOS!$D$5:$D$1005="jabas")*(MOVIMIENTOS!$A$5:$A$1005&lt;&gt;"")*(MOVIMIENTOS!$A$5:$A$1005&lt;=$A107)*MOVIMIENTOS!$E$5:$E$1005)-SUMPRODUCT((MOVIMIENTOS!$B$5:$B$1005="TRASIEGO")*(MOVIMIENTOS!$C$5:$C$1005="P")*(MOVIMIENTOS!$D$5:$D$1005="jabas")*(MOVIMIENTOS!$A$5:$A$1005&lt;&gt;"")*(MOVIMIENTOS!$A$5:$A$1005&lt;=$A107)*MOVIMIENTOS!$E$5:$E$1005)-SUMPRODUCT((MOVIMIENTOS!$B$5:$B$1005="REGALO")*(MOVIMIENTOS!$C$5:$C$1005="P")*(MOVIMIENTOS!$D$5:$D$1005="jabas")*(MOVIMIENTOS!$A$5:$A$1005&lt;&gt;"")*(MOVIMIENTOS!$A$5:$A$1005&lt;=$A107)*MOVIMIENTOS!$E$5:$E$1005)-SUMPRODUCT((MOVIMIENTOS!$B$5:$B$1005="VENTA")*(MOVIMIENTOS!$C$5:$C$1005="P")*(MOVIMIENTOS!$D$5:$D$1005="jabas")*(MOVIMIENTOS!$A$5:$A$1005&lt;&gt;"")*(MOVIMIENTOS!$A$5:$A$1005&lt;=$A107)*MOVIMIENTOS!$E$5:$E$1005)+SUMPRODUCT((MOVIMIENTOS!$B$5:$B$1005="AJUSTE")*(MOVIMIENTOS!$C$5:$C$1005="P")*(MOVIMIENTOS!$D$5:$D$1005="jabas")*(MOVIMIENTOS!$A$5:$A$1005&lt;&gt;"")*(MOVIMIENTOS!$A$5:$A$1005&lt;=$A107)*MOVIMIENTOS!$E$5:$E$1005))</f>
        <v/>
      </c>
      <c r="D107" s="63" t="str">
        <f>IF($A107="","",SUMPRODUCT((MOVIMIENTOS!$B$5:$B$1005="SALDO INICIAL")*(MOVIMIENTOS!$C$5:$C$1005="C")*(MOVIMIENTOS!$D$5:$D$1005="jabas")*(MOVIMIENTOS!$A$5:$A$1005&lt;&gt;"")*(MOVIMIENTOS!$A$5:$A$1005&lt;=$A107)*MOVIMIENTOS!$E$5:$E$1005)+SUMPRODUCT((MOVIMIENTOS!$B$5:$B$1005="PROCESO")*(MOVIMIENTOS!$C$5:$C$1005="C")*(MOVIMIENTOS!$D$5:$D$1005="jabas")*(MOVIMIENTOS!$A$5:$A$1005&lt;&gt;"")*(MOVIMIENTOS!$A$5:$A$1005&lt;=$A107)*MOVIMIENTOS!$E$5:$E$1005)-SUMPRODUCT((MOVIMIENTOS!$B$5:$B$1005="ENVÍO A SUPESA")*(MOVIMIENTOS!$C$5:$C$1005="C")*(MOVIMIENTOS!$D$5:$D$1005="jabas")*(MOVIMIENTOS!$A$5:$A$1005&lt;&gt;"")*(MOVIMIENTOS!$A$5:$A$1005&lt;=$A107)*MOVIMIENTOS!$E$5:$E$1005)+SUMPRODUCT((MOVIMIENTOS!$B$5:$B$1005="DEVOLUCIÓN")*(MOVIMIENTOS!$C$5:$C$1005="C")*(MOVIMIENTOS!$D$5:$D$1005="jabas")*(MOVIMIENTOS!$A$5:$A$1005&lt;&gt;"")*(MOVIMIENTOS!$A$5:$A$1005&lt;=$A107)*MOVIMIENTOS!$E$5:$E$1005)-SUMPRODUCT((MOVIMIENTOS!$B$5:$B$1005="TRASIEGO")*(MOVIMIENTOS!$C$5:$C$1005="C")*(MOVIMIENTOS!$D$5:$D$1005="jabas")*(MOVIMIENTOS!$A$5:$A$1005&lt;&gt;"")*(MOVIMIENTOS!$A$5:$A$1005&lt;=$A107)*MOVIMIENTOS!$E$5:$E$1005)-SUMPRODUCT((MOVIMIENTOS!$B$5:$B$1005="REGALO")*(MOVIMIENTOS!$C$5:$C$1005="C")*(MOVIMIENTOS!$D$5:$D$1005="jabas")*(MOVIMIENTOS!$A$5:$A$1005&lt;&gt;"")*(MOVIMIENTOS!$A$5:$A$1005&lt;=$A107)*MOVIMIENTOS!$E$5:$E$1005)-SUMPRODUCT((MOVIMIENTOS!$B$5:$B$1005="VENTA")*(MOVIMIENTOS!$C$5:$C$1005="C")*(MOVIMIENTOS!$D$5:$D$1005="jabas")*(MOVIMIENTOS!$A$5:$A$1005&lt;&gt;"")*(MOVIMIENTOS!$A$5:$A$1005&lt;=$A107)*MOVIMIENTOS!$E$5:$E$1005)+SUMPRODUCT((MOVIMIENTOS!$B$5:$B$1005="AJUSTE")*(MOVIMIENTOS!$C$5:$C$1005="C")*(MOVIMIENTOS!$D$5:$D$1005="jabas")*(MOVIMIENTOS!$A$5:$A$1005&lt;&gt;"")*(MOVIMIENTOS!$A$5:$A$1005&lt;=$A107)*MOVIMIENTOS!$E$5:$E$1005))</f>
        <v/>
      </c>
      <c r="E107" s="63" t="str">
        <f>IF($A107="","",SUMPRODUCT((MOVIMIENTOS!$B$5:$B$1005="SALDO INICIAL")*(MOVIMIENTOS!$C$5:$C$1005="M")*(MOVIMIENTOS!$D$5:$D$1005="jabas")*(MOVIMIENTOS!$A$5:$A$1005&lt;&gt;"")*(MOVIMIENTOS!$A$5:$A$1005&lt;=$A107)*MOVIMIENTOS!$E$5:$E$1005)+SUMPRODUCT((MOVIMIENTOS!$B$5:$B$1005="PROCESO")*(MOVIMIENTOS!$C$5:$C$1005="M")*(MOVIMIENTOS!$D$5:$D$1005="jabas")*(MOVIMIENTOS!$A$5:$A$1005&lt;&gt;"")*(MOVIMIENTOS!$A$5:$A$1005&lt;=$A107)*MOVIMIENTOS!$E$5:$E$1005)-SUMPRODUCT((MOVIMIENTOS!$B$5:$B$1005="ENVÍO A SUPESA")*(MOVIMIENTOS!$C$5:$C$1005="M")*(MOVIMIENTOS!$D$5:$D$1005="jabas")*(MOVIMIENTOS!$A$5:$A$1005&lt;&gt;"")*(MOVIMIENTOS!$A$5:$A$1005&lt;=$A107)*MOVIMIENTOS!$E$5:$E$1005)+SUMPRODUCT((MOVIMIENTOS!$B$5:$B$1005="DEVOLUCIÓN")*(MOVIMIENTOS!$C$5:$C$1005="M")*(MOVIMIENTOS!$D$5:$D$1005="jabas")*(MOVIMIENTOS!$A$5:$A$1005&lt;&gt;"")*(MOVIMIENTOS!$A$5:$A$1005&lt;=$A107)*MOVIMIENTOS!$E$5:$E$1005)-SUMPRODUCT((MOVIMIENTOS!$B$5:$B$1005="TRASIEGO")*(MOVIMIENTOS!$C$5:$C$1005="M")*(MOVIMIENTOS!$D$5:$D$1005="jabas")*(MOVIMIENTOS!$A$5:$A$1005&lt;&gt;"")*(MOVIMIENTOS!$A$5:$A$1005&lt;=$A107)*MOVIMIENTOS!$E$5:$E$1005)-SUMPRODUCT((MOVIMIENTOS!$B$5:$B$1005="REGALO")*(MOVIMIENTOS!$C$5:$C$1005="M")*(MOVIMIENTOS!$D$5:$D$1005="jabas")*(MOVIMIENTOS!$A$5:$A$1005&lt;&gt;"")*(MOVIMIENTOS!$A$5:$A$1005&lt;=$A107)*MOVIMIENTOS!$E$5:$E$1005)-SUMPRODUCT((MOVIMIENTOS!$B$5:$B$1005="VENTA")*(MOVIMIENTOS!$C$5:$C$1005="M")*(MOVIMIENTOS!$D$5:$D$1005="jabas")*(MOVIMIENTOS!$A$5:$A$1005&lt;&gt;"")*(MOVIMIENTOS!$A$5:$A$1005&lt;=$A107)*MOVIMIENTOS!$E$5:$E$1005)+SUMPRODUCT((MOVIMIENTOS!$B$5:$B$1005="AJUSTE")*(MOVIMIENTOS!$C$5:$C$1005="M")*(MOVIMIENTOS!$D$5:$D$1005="jabas")*(MOVIMIENTOS!$A$5:$A$1005&lt;&gt;"")*(MOVIMIENTOS!$A$5:$A$1005&lt;=$A107)*MOVIMIENTOS!$E$5:$E$1005))</f>
        <v/>
      </c>
      <c r="F107" s="63" t="str">
        <f>IF($A107="","",SUMPRODUCT((MOVIMIENTOS!$B$5:$B$1005="SALDO INICIAL")*(MOVIMIENTOS!$C$5:$C$1005="Chancho")*(MOVIMIENTOS!$D$5:$D$1005="sacos")*(MOVIMIENTOS!$A$5:$A$1005&lt;&gt;"")*(MOVIMIENTOS!$A$5:$A$1005&lt;=$A107)*MOVIMIENTOS!$E$5:$E$1005)+SUMPRODUCT((MOVIMIENTOS!$B$5:$B$1005="PROCESO")*(MOVIMIENTOS!$C$5:$C$1005="Chancho")*(MOVIMIENTOS!$D$5:$D$1005="sacos")*(MOVIMIENTOS!$A$5:$A$1005&lt;&gt;"")*(MOVIMIENTOS!$A$5:$A$1005&lt;=$A107)*MOVIMIENTOS!$E$5:$E$1005)-SUMPRODUCT((MOVIMIENTOS!$B$5:$B$1005="VENTA CHANCHO")*(MOVIMIENTOS!$C$5:$C$1005="Chancho")*(MOVIMIENTOS!$D$5:$D$1005="sacos")*(MOVIMIENTOS!$A$5:$A$1005&lt;&gt;"")*(MOVIMIENTOS!$A$5:$A$1005&lt;=$A107)*MOVIMIENTOS!$E$5:$E$1005)-SUMPRODUCT((MOVIMIENTOS!$B$5:$B$1005="REGALO")*(MOVIMIENTOS!$C$5:$C$1005="Chancho")*(MOVIMIENTOS!$D$5:$D$1005="sacos")*(MOVIMIENTOS!$A$5:$A$1005&lt;&gt;"")*(MOVIMIENTOS!$A$5:$A$1005&lt;=$A107)*MOVIMIENTOS!$E$5:$E$1005)-SUMPRODUCT((MOVIMIENTOS!$B$5:$B$1005="VENTA")*(MOVIMIENTOS!$C$5:$C$1005="Chancho")*(MOVIMIENTOS!$D$5:$D$1005="sacos")*(MOVIMIENTOS!$A$5:$A$1005&lt;&gt;"")*(MOVIMIENTOS!$A$5:$A$1005&lt;=$A107)*MOVIMIENTOS!$E$5:$E$1005)+SUMPRODUCT((MOVIMIENTOS!$B$5:$B$1005="AJUSTE")*(MOVIMIENTOS!$C$5:$C$1005="Chancho")*(MOVIMIENTOS!$D$5:$D$1005="sacos")*(MOVIMIENTOS!$A$5:$A$1005&lt;&gt;"")*(MOVIMIENTOS!$A$5:$A$1005&lt;=$A107)*MOVIMIENTOS!$E$5:$E$1005))</f>
        <v/>
      </c>
      <c r="G107" s="95" t="str">
        <f t="shared" si="3"/>
        <v/>
      </c>
      <c r="H107" s="63" t="str">
        <f>IF($A107="","",SUMPRODUCT((((MOVIMIENTOS!$B$5:$B$1005="SALDO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107)*MOVIMIENTOS!$J$5:$J$1005))</f>
        <v/>
      </c>
      <c r="I107" s="63"/>
      <c r="J107" s="63" t="str">
        <f>IF(AND(MOVIMIENTOS!$A107&lt;&gt;"",COUNTIF(MOVIMIENTOS!$A$5:$A106,MOVIMIENTOS!$A107)=0),COUNT(J$4:J106)+1,"")</f>
        <v/>
      </c>
      <c r="K107" s="66">
        <f>MOVIMIENTOS!$A107</f>
        <v>46223</v>
      </c>
      <c r="L107" s="63"/>
      <c r="M107" s="63"/>
      <c r="N107" s="63"/>
    </row>
    <row r="108" spans="1:14" ht="15" customHeight="1" x14ac:dyDescent="0.2">
      <c r="A108" s="63" t="str">
        <f t="shared" si="2"/>
        <v/>
      </c>
      <c r="B108" s="63" t="str">
        <f>IF($A108="","",SUMPRODUCT((MOVIMIENTOS!$B$5:$B$1005="SALDO INICIAL")*(MOVIMIENTOS!$C$5:$C$1005="A")*(MOVIMIENTOS!$D$5:$D$1005="jabas")*(MOVIMIENTOS!$A$5:$A$1005&lt;&gt;"")*(MOVIMIENTOS!$A$5:$A$1005&lt;=$A108)*MOVIMIENTOS!$E$5:$E$1005)+SUMPRODUCT((MOVIMIENTOS!$B$5:$B$1005="PROCESO")*(MOVIMIENTOS!$C$5:$C$1005="A")*(MOVIMIENTOS!$D$5:$D$1005="jabas")*(MOVIMIENTOS!$A$5:$A$1005&lt;&gt;"")*(MOVIMIENTOS!$A$5:$A$1005&lt;=$A108)*MOVIMIENTOS!$E$5:$E$1005)-SUMPRODUCT((MOVIMIENTOS!$B$5:$B$1005="ENVÍO A SUPESA")*(MOVIMIENTOS!$C$5:$C$1005="A")*(MOVIMIENTOS!$D$5:$D$1005="jabas")*(MOVIMIENTOS!$A$5:$A$1005&lt;&gt;"")*(MOVIMIENTOS!$A$5:$A$1005&lt;=$A108)*MOVIMIENTOS!$E$5:$E$1005)+SUMPRODUCT((MOVIMIENTOS!$B$5:$B$1005="DEVOLUCIÓN")*(MOVIMIENTOS!$C$5:$C$1005="A")*(MOVIMIENTOS!$D$5:$D$1005="jabas")*(MOVIMIENTOS!$A$5:$A$1005&lt;&gt;"")*(MOVIMIENTOS!$A$5:$A$1005&lt;=$A108)*MOVIMIENTOS!$E$5:$E$1005)-SUMPRODUCT((MOVIMIENTOS!$B$5:$B$1005="TRASIEGO")*(MOVIMIENTOS!$C$5:$C$1005="A")*(MOVIMIENTOS!$D$5:$D$1005="jabas")*(MOVIMIENTOS!$A$5:$A$1005&lt;&gt;"")*(MOVIMIENTOS!$A$5:$A$1005&lt;=$A108)*MOVIMIENTOS!$E$5:$E$1005)-SUMPRODUCT((MOVIMIENTOS!$B$5:$B$1005="REGALO")*(MOVIMIENTOS!$C$5:$C$1005="A")*(MOVIMIENTOS!$D$5:$D$1005="jabas")*(MOVIMIENTOS!$A$5:$A$1005&lt;&gt;"")*(MOVIMIENTOS!$A$5:$A$1005&lt;=$A108)*MOVIMIENTOS!$E$5:$E$1005)-SUMPRODUCT((MOVIMIENTOS!$B$5:$B$1005="VENTA")*(MOVIMIENTOS!$C$5:$C$1005="A")*(MOVIMIENTOS!$D$5:$D$1005="jabas")*(MOVIMIENTOS!$A$5:$A$1005&lt;&gt;"")*(MOVIMIENTOS!$A$5:$A$1005&lt;=$A108)*MOVIMIENTOS!$E$5:$E$1005)+SUMPRODUCT((MOVIMIENTOS!$B$5:$B$1005="AJUSTE")*(MOVIMIENTOS!$C$5:$C$1005="A")*(MOVIMIENTOS!$D$5:$D$1005="jabas")*(MOVIMIENTOS!$A$5:$A$1005&lt;&gt;"")*(MOVIMIENTOS!$A$5:$A$1005&lt;=$A108)*MOVIMIENTOS!$E$5:$E$1005))</f>
        <v/>
      </c>
      <c r="C108" s="63" t="str">
        <f>IF($A108="","",SUMPRODUCT((MOVIMIENTOS!$B$5:$B$1005="SALDO INICIAL")*(MOVIMIENTOS!$C$5:$C$1005="P")*(MOVIMIENTOS!$D$5:$D$1005="jabas")*(MOVIMIENTOS!$A$5:$A$1005&lt;&gt;"")*(MOVIMIENTOS!$A$5:$A$1005&lt;=$A108)*MOVIMIENTOS!$E$5:$E$1005)+SUMPRODUCT((MOVIMIENTOS!$B$5:$B$1005="PROCESO")*(MOVIMIENTOS!$C$5:$C$1005="P")*(MOVIMIENTOS!$D$5:$D$1005="jabas")*(MOVIMIENTOS!$A$5:$A$1005&lt;&gt;"")*(MOVIMIENTOS!$A$5:$A$1005&lt;=$A108)*MOVIMIENTOS!$E$5:$E$1005)-SUMPRODUCT((MOVIMIENTOS!$B$5:$B$1005="ENVÍO A SUPESA")*(MOVIMIENTOS!$C$5:$C$1005="P")*(MOVIMIENTOS!$D$5:$D$1005="jabas")*(MOVIMIENTOS!$A$5:$A$1005&lt;&gt;"")*(MOVIMIENTOS!$A$5:$A$1005&lt;=$A108)*MOVIMIENTOS!$E$5:$E$1005)+SUMPRODUCT((MOVIMIENTOS!$B$5:$B$1005="DEVOLUCIÓN")*(MOVIMIENTOS!$C$5:$C$1005="P")*(MOVIMIENTOS!$D$5:$D$1005="jabas")*(MOVIMIENTOS!$A$5:$A$1005&lt;&gt;"")*(MOVIMIENTOS!$A$5:$A$1005&lt;=$A108)*MOVIMIENTOS!$E$5:$E$1005)-SUMPRODUCT((MOVIMIENTOS!$B$5:$B$1005="TRASIEGO")*(MOVIMIENTOS!$C$5:$C$1005="P")*(MOVIMIENTOS!$D$5:$D$1005="jabas")*(MOVIMIENTOS!$A$5:$A$1005&lt;&gt;"")*(MOVIMIENTOS!$A$5:$A$1005&lt;=$A108)*MOVIMIENTOS!$E$5:$E$1005)-SUMPRODUCT((MOVIMIENTOS!$B$5:$B$1005="REGALO")*(MOVIMIENTOS!$C$5:$C$1005="P")*(MOVIMIENTOS!$D$5:$D$1005="jabas")*(MOVIMIENTOS!$A$5:$A$1005&lt;&gt;"")*(MOVIMIENTOS!$A$5:$A$1005&lt;=$A108)*MOVIMIENTOS!$E$5:$E$1005)-SUMPRODUCT((MOVIMIENTOS!$B$5:$B$1005="VENTA")*(MOVIMIENTOS!$C$5:$C$1005="P")*(MOVIMIENTOS!$D$5:$D$1005="jabas")*(MOVIMIENTOS!$A$5:$A$1005&lt;&gt;"")*(MOVIMIENTOS!$A$5:$A$1005&lt;=$A108)*MOVIMIENTOS!$E$5:$E$1005)+SUMPRODUCT((MOVIMIENTOS!$B$5:$B$1005="AJUSTE")*(MOVIMIENTOS!$C$5:$C$1005="P")*(MOVIMIENTOS!$D$5:$D$1005="jabas")*(MOVIMIENTOS!$A$5:$A$1005&lt;&gt;"")*(MOVIMIENTOS!$A$5:$A$1005&lt;=$A108)*MOVIMIENTOS!$E$5:$E$1005))</f>
        <v/>
      </c>
      <c r="D108" s="63" t="str">
        <f>IF($A108="","",SUMPRODUCT((MOVIMIENTOS!$B$5:$B$1005="SALDO INICIAL")*(MOVIMIENTOS!$C$5:$C$1005="C")*(MOVIMIENTOS!$D$5:$D$1005="jabas")*(MOVIMIENTOS!$A$5:$A$1005&lt;&gt;"")*(MOVIMIENTOS!$A$5:$A$1005&lt;=$A108)*MOVIMIENTOS!$E$5:$E$1005)+SUMPRODUCT((MOVIMIENTOS!$B$5:$B$1005="PROCESO")*(MOVIMIENTOS!$C$5:$C$1005="C")*(MOVIMIENTOS!$D$5:$D$1005="jabas")*(MOVIMIENTOS!$A$5:$A$1005&lt;&gt;"")*(MOVIMIENTOS!$A$5:$A$1005&lt;=$A108)*MOVIMIENTOS!$E$5:$E$1005)-SUMPRODUCT((MOVIMIENTOS!$B$5:$B$1005="ENVÍO A SUPESA")*(MOVIMIENTOS!$C$5:$C$1005="C")*(MOVIMIENTOS!$D$5:$D$1005="jabas")*(MOVIMIENTOS!$A$5:$A$1005&lt;&gt;"")*(MOVIMIENTOS!$A$5:$A$1005&lt;=$A108)*MOVIMIENTOS!$E$5:$E$1005)+SUMPRODUCT((MOVIMIENTOS!$B$5:$B$1005="DEVOLUCIÓN")*(MOVIMIENTOS!$C$5:$C$1005="C")*(MOVIMIENTOS!$D$5:$D$1005="jabas")*(MOVIMIENTOS!$A$5:$A$1005&lt;&gt;"")*(MOVIMIENTOS!$A$5:$A$1005&lt;=$A108)*MOVIMIENTOS!$E$5:$E$1005)-SUMPRODUCT((MOVIMIENTOS!$B$5:$B$1005="TRASIEGO")*(MOVIMIENTOS!$C$5:$C$1005="C")*(MOVIMIENTOS!$D$5:$D$1005="jabas")*(MOVIMIENTOS!$A$5:$A$1005&lt;&gt;"")*(MOVIMIENTOS!$A$5:$A$1005&lt;=$A108)*MOVIMIENTOS!$E$5:$E$1005)-SUMPRODUCT((MOVIMIENTOS!$B$5:$B$1005="REGALO")*(MOVIMIENTOS!$C$5:$C$1005="C")*(MOVIMIENTOS!$D$5:$D$1005="jabas")*(MOVIMIENTOS!$A$5:$A$1005&lt;&gt;"")*(MOVIMIENTOS!$A$5:$A$1005&lt;=$A108)*MOVIMIENTOS!$E$5:$E$1005)-SUMPRODUCT((MOVIMIENTOS!$B$5:$B$1005="VENTA")*(MOVIMIENTOS!$C$5:$C$1005="C")*(MOVIMIENTOS!$D$5:$D$1005="jabas")*(MOVIMIENTOS!$A$5:$A$1005&lt;&gt;"")*(MOVIMIENTOS!$A$5:$A$1005&lt;=$A108)*MOVIMIENTOS!$E$5:$E$1005)+SUMPRODUCT((MOVIMIENTOS!$B$5:$B$1005="AJUSTE")*(MOVIMIENTOS!$C$5:$C$1005="C")*(MOVIMIENTOS!$D$5:$D$1005="jabas")*(MOVIMIENTOS!$A$5:$A$1005&lt;&gt;"")*(MOVIMIENTOS!$A$5:$A$1005&lt;=$A108)*MOVIMIENTOS!$E$5:$E$1005))</f>
        <v/>
      </c>
      <c r="E108" s="63" t="str">
        <f>IF($A108="","",SUMPRODUCT((MOVIMIENTOS!$B$5:$B$1005="SALDO INICIAL")*(MOVIMIENTOS!$C$5:$C$1005="M")*(MOVIMIENTOS!$D$5:$D$1005="jabas")*(MOVIMIENTOS!$A$5:$A$1005&lt;&gt;"")*(MOVIMIENTOS!$A$5:$A$1005&lt;=$A108)*MOVIMIENTOS!$E$5:$E$1005)+SUMPRODUCT((MOVIMIENTOS!$B$5:$B$1005="PROCESO")*(MOVIMIENTOS!$C$5:$C$1005="M")*(MOVIMIENTOS!$D$5:$D$1005="jabas")*(MOVIMIENTOS!$A$5:$A$1005&lt;&gt;"")*(MOVIMIENTOS!$A$5:$A$1005&lt;=$A108)*MOVIMIENTOS!$E$5:$E$1005)-SUMPRODUCT((MOVIMIENTOS!$B$5:$B$1005="ENVÍO A SUPESA")*(MOVIMIENTOS!$C$5:$C$1005="M")*(MOVIMIENTOS!$D$5:$D$1005="jabas")*(MOVIMIENTOS!$A$5:$A$1005&lt;&gt;"")*(MOVIMIENTOS!$A$5:$A$1005&lt;=$A108)*MOVIMIENTOS!$E$5:$E$1005)+SUMPRODUCT((MOVIMIENTOS!$B$5:$B$1005="DEVOLUCIÓN")*(MOVIMIENTOS!$C$5:$C$1005="M")*(MOVIMIENTOS!$D$5:$D$1005="jabas")*(MOVIMIENTOS!$A$5:$A$1005&lt;&gt;"")*(MOVIMIENTOS!$A$5:$A$1005&lt;=$A108)*MOVIMIENTOS!$E$5:$E$1005)-SUMPRODUCT((MOVIMIENTOS!$B$5:$B$1005="TRASIEGO")*(MOVIMIENTOS!$C$5:$C$1005="M")*(MOVIMIENTOS!$D$5:$D$1005="jabas")*(MOVIMIENTOS!$A$5:$A$1005&lt;&gt;"")*(MOVIMIENTOS!$A$5:$A$1005&lt;=$A108)*MOVIMIENTOS!$E$5:$E$1005)-SUMPRODUCT((MOVIMIENTOS!$B$5:$B$1005="REGALO")*(MOVIMIENTOS!$C$5:$C$1005="M")*(MOVIMIENTOS!$D$5:$D$1005="jabas")*(MOVIMIENTOS!$A$5:$A$1005&lt;&gt;"")*(MOVIMIENTOS!$A$5:$A$1005&lt;=$A108)*MOVIMIENTOS!$E$5:$E$1005)-SUMPRODUCT((MOVIMIENTOS!$B$5:$B$1005="VENTA")*(MOVIMIENTOS!$C$5:$C$1005="M")*(MOVIMIENTOS!$D$5:$D$1005="jabas")*(MOVIMIENTOS!$A$5:$A$1005&lt;&gt;"")*(MOVIMIENTOS!$A$5:$A$1005&lt;=$A108)*MOVIMIENTOS!$E$5:$E$1005)+SUMPRODUCT((MOVIMIENTOS!$B$5:$B$1005="AJUSTE")*(MOVIMIENTOS!$C$5:$C$1005="M")*(MOVIMIENTOS!$D$5:$D$1005="jabas")*(MOVIMIENTOS!$A$5:$A$1005&lt;&gt;"")*(MOVIMIENTOS!$A$5:$A$1005&lt;=$A108)*MOVIMIENTOS!$E$5:$E$1005))</f>
        <v/>
      </c>
      <c r="F108" s="63" t="str">
        <f>IF($A108="","",SUMPRODUCT((MOVIMIENTOS!$B$5:$B$1005="SALDO INICIAL")*(MOVIMIENTOS!$C$5:$C$1005="Chancho")*(MOVIMIENTOS!$D$5:$D$1005="sacos")*(MOVIMIENTOS!$A$5:$A$1005&lt;&gt;"")*(MOVIMIENTOS!$A$5:$A$1005&lt;=$A108)*MOVIMIENTOS!$E$5:$E$1005)+SUMPRODUCT((MOVIMIENTOS!$B$5:$B$1005="PROCESO")*(MOVIMIENTOS!$C$5:$C$1005="Chancho")*(MOVIMIENTOS!$D$5:$D$1005="sacos")*(MOVIMIENTOS!$A$5:$A$1005&lt;&gt;"")*(MOVIMIENTOS!$A$5:$A$1005&lt;=$A108)*MOVIMIENTOS!$E$5:$E$1005)-SUMPRODUCT((MOVIMIENTOS!$B$5:$B$1005="VENTA CHANCHO")*(MOVIMIENTOS!$C$5:$C$1005="Chancho")*(MOVIMIENTOS!$D$5:$D$1005="sacos")*(MOVIMIENTOS!$A$5:$A$1005&lt;&gt;"")*(MOVIMIENTOS!$A$5:$A$1005&lt;=$A108)*MOVIMIENTOS!$E$5:$E$1005)-SUMPRODUCT((MOVIMIENTOS!$B$5:$B$1005="REGALO")*(MOVIMIENTOS!$C$5:$C$1005="Chancho")*(MOVIMIENTOS!$D$5:$D$1005="sacos")*(MOVIMIENTOS!$A$5:$A$1005&lt;&gt;"")*(MOVIMIENTOS!$A$5:$A$1005&lt;=$A108)*MOVIMIENTOS!$E$5:$E$1005)-SUMPRODUCT((MOVIMIENTOS!$B$5:$B$1005="VENTA")*(MOVIMIENTOS!$C$5:$C$1005="Chancho")*(MOVIMIENTOS!$D$5:$D$1005="sacos")*(MOVIMIENTOS!$A$5:$A$1005&lt;&gt;"")*(MOVIMIENTOS!$A$5:$A$1005&lt;=$A108)*MOVIMIENTOS!$E$5:$E$1005)+SUMPRODUCT((MOVIMIENTOS!$B$5:$B$1005="AJUSTE")*(MOVIMIENTOS!$C$5:$C$1005="Chancho")*(MOVIMIENTOS!$D$5:$D$1005="sacos")*(MOVIMIENTOS!$A$5:$A$1005&lt;&gt;"")*(MOVIMIENTOS!$A$5:$A$1005&lt;=$A108)*MOVIMIENTOS!$E$5:$E$1005))</f>
        <v/>
      </c>
      <c r="G108" s="95" t="str">
        <f t="shared" si="3"/>
        <v/>
      </c>
      <c r="H108" s="63" t="str">
        <f>IF($A108="","",SUMPRODUCT((((MOVIMIENTOS!$B$5:$B$1005="SALDO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108)*MOVIMIENTOS!$J$5:$J$1005))</f>
        <v/>
      </c>
      <c r="I108" s="63"/>
      <c r="J108" s="63" t="str">
        <f>IF(AND(MOVIMIENTOS!$A108&lt;&gt;"",COUNTIF(MOVIMIENTOS!$A$5:$A107,MOVIMIENTOS!$A108)=0),COUNT(J$4:J107)+1,"")</f>
        <v/>
      </c>
      <c r="K108" s="66">
        <f>MOVIMIENTOS!$A108</f>
        <v>46223</v>
      </c>
      <c r="L108" s="63"/>
      <c r="M108" s="63"/>
      <c r="N108" s="63"/>
    </row>
    <row r="109" spans="1:14" ht="15" customHeight="1" x14ac:dyDescent="0.2">
      <c r="A109" s="63" t="str">
        <f t="shared" si="2"/>
        <v/>
      </c>
      <c r="B109" s="63" t="str">
        <f>IF($A109="","",SUMPRODUCT((MOVIMIENTOS!$B$5:$B$1005="SALDO INICIAL")*(MOVIMIENTOS!$C$5:$C$1005="A")*(MOVIMIENTOS!$D$5:$D$1005="jabas")*(MOVIMIENTOS!$A$5:$A$1005&lt;&gt;"")*(MOVIMIENTOS!$A$5:$A$1005&lt;=$A109)*MOVIMIENTOS!$E$5:$E$1005)+SUMPRODUCT((MOVIMIENTOS!$B$5:$B$1005="PROCESO")*(MOVIMIENTOS!$C$5:$C$1005="A")*(MOVIMIENTOS!$D$5:$D$1005="jabas")*(MOVIMIENTOS!$A$5:$A$1005&lt;&gt;"")*(MOVIMIENTOS!$A$5:$A$1005&lt;=$A109)*MOVIMIENTOS!$E$5:$E$1005)-SUMPRODUCT((MOVIMIENTOS!$B$5:$B$1005="ENVÍO A SUPESA")*(MOVIMIENTOS!$C$5:$C$1005="A")*(MOVIMIENTOS!$D$5:$D$1005="jabas")*(MOVIMIENTOS!$A$5:$A$1005&lt;&gt;"")*(MOVIMIENTOS!$A$5:$A$1005&lt;=$A109)*MOVIMIENTOS!$E$5:$E$1005)+SUMPRODUCT((MOVIMIENTOS!$B$5:$B$1005="DEVOLUCIÓN")*(MOVIMIENTOS!$C$5:$C$1005="A")*(MOVIMIENTOS!$D$5:$D$1005="jabas")*(MOVIMIENTOS!$A$5:$A$1005&lt;&gt;"")*(MOVIMIENTOS!$A$5:$A$1005&lt;=$A109)*MOVIMIENTOS!$E$5:$E$1005)-SUMPRODUCT((MOVIMIENTOS!$B$5:$B$1005="TRASIEGO")*(MOVIMIENTOS!$C$5:$C$1005="A")*(MOVIMIENTOS!$D$5:$D$1005="jabas")*(MOVIMIENTOS!$A$5:$A$1005&lt;&gt;"")*(MOVIMIENTOS!$A$5:$A$1005&lt;=$A109)*MOVIMIENTOS!$E$5:$E$1005)-SUMPRODUCT((MOVIMIENTOS!$B$5:$B$1005="REGALO")*(MOVIMIENTOS!$C$5:$C$1005="A")*(MOVIMIENTOS!$D$5:$D$1005="jabas")*(MOVIMIENTOS!$A$5:$A$1005&lt;&gt;"")*(MOVIMIENTOS!$A$5:$A$1005&lt;=$A109)*MOVIMIENTOS!$E$5:$E$1005)-SUMPRODUCT((MOVIMIENTOS!$B$5:$B$1005="VENTA")*(MOVIMIENTOS!$C$5:$C$1005="A")*(MOVIMIENTOS!$D$5:$D$1005="jabas")*(MOVIMIENTOS!$A$5:$A$1005&lt;&gt;"")*(MOVIMIENTOS!$A$5:$A$1005&lt;=$A109)*MOVIMIENTOS!$E$5:$E$1005)+SUMPRODUCT((MOVIMIENTOS!$B$5:$B$1005="AJUSTE")*(MOVIMIENTOS!$C$5:$C$1005="A")*(MOVIMIENTOS!$D$5:$D$1005="jabas")*(MOVIMIENTOS!$A$5:$A$1005&lt;&gt;"")*(MOVIMIENTOS!$A$5:$A$1005&lt;=$A109)*MOVIMIENTOS!$E$5:$E$1005))</f>
        <v/>
      </c>
      <c r="C109" s="63" t="str">
        <f>IF($A109="","",SUMPRODUCT((MOVIMIENTOS!$B$5:$B$1005="SALDO INICIAL")*(MOVIMIENTOS!$C$5:$C$1005="P")*(MOVIMIENTOS!$D$5:$D$1005="jabas")*(MOVIMIENTOS!$A$5:$A$1005&lt;&gt;"")*(MOVIMIENTOS!$A$5:$A$1005&lt;=$A109)*MOVIMIENTOS!$E$5:$E$1005)+SUMPRODUCT((MOVIMIENTOS!$B$5:$B$1005="PROCESO")*(MOVIMIENTOS!$C$5:$C$1005="P")*(MOVIMIENTOS!$D$5:$D$1005="jabas")*(MOVIMIENTOS!$A$5:$A$1005&lt;&gt;"")*(MOVIMIENTOS!$A$5:$A$1005&lt;=$A109)*MOVIMIENTOS!$E$5:$E$1005)-SUMPRODUCT((MOVIMIENTOS!$B$5:$B$1005="ENVÍO A SUPESA")*(MOVIMIENTOS!$C$5:$C$1005="P")*(MOVIMIENTOS!$D$5:$D$1005="jabas")*(MOVIMIENTOS!$A$5:$A$1005&lt;&gt;"")*(MOVIMIENTOS!$A$5:$A$1005&lt;=$A109)*MOVIMIENTOS!$E$5:$E$1005)+SUMPRODUCT((MOVIMIENTOS!$B$5:$B$1005="DEVOLUCIÓN")*(MOVIMIENTOS!$C$5:$C$1005="P")*(MOVIMIENTOS!$D$5:$D$1005="jabas")*(MOVIMIENTOS!$A$5:$A$1005&lt;&gt;"")*(MOVIMIENTOS!$A$5:$A$1005&lt;=$A109)*MOVIMIENTOS!$E$5:$E$1005)-SUMPRODUCT((MOVIMIENTOS!$B$5:$B$1005="TRASIEGO")*(MOVIMIENTOS!$C$5:$C$1005="P")*(MOVIMIENTOS!$D$5:$D$1005="jabas")*(MOVIMIENTOS!$A$5:$A$1005&lt;&gt;"")*(MOVIMIENTOS!$A$5:$A$1005&lt;=$A109)*MOVIMIENTOS!$E$5:$E$1005)-SUMPRODUCT((MOVIMIENTOS!$B$5:$B$1005="REGALO")*(MOVIMIENTOS!$C$5:$C$1005="P")*(MOVIMIENTOS!$D$5:$D$1005="jabas")*(MOVIMIENTOS!$A$5:$A$1005&lt;&gt;"")*(MOVIMIENTOS!$A$5:$A$1005&lt;=$A109)*MOVIMIENTOS!$E$5:$E$1005)-SUMPRODUCT((MOVIMIENTOS!$B$5:$B$1005="VENTA")*(MOVIMIENTOS!$C$5:$C$1005="P")*(MOVIMIENTOS!$D$5:$D$1005="jabas")*(MOVIMIENTOS!$A$5:$A$1005&lt;&gt;"")*(MOVIMIENTOS!$A$5:$A$1005&lt;=$A109)*MOVIMIENTOS!$E$5:$E$1005)+SUMPRODUCT((MOVIMIENTOS!$B$5:$B$1005="AJUSTE")*(MOVIMIENTOS!$C$5:$C$1005="P")*(MOVIMIENTOS!$D$5:$D$1005="jabas")*(MOVIMIENTOS!$A$5:$A$1005&lt;&gt;"")*(MOVIMIENTOS!$A$5:$A$1005&lt;=$A109)*MOVIMIENTOS!$E$5:$E$1005))</f>
        <v/>
      </c>
      <c r="D109" s="63" t="str">
        <f>IF($A109="","",SUMPRODUCT((MOVIMIENTOS!$B$5:$B$1005="SALDO INICIAL")*(MOVIMIENTOS!$C$5:$C$1005="C")*(MOVIMIENTOS!$D$5:$D$1005="jabas")*(MOVIMIENTOS!$A$5:$A$1005&lt;&gt;"")*(MOVIMIENTOS!$A$5:$A$1005&lt;=$A109)*MOVIMIENTOS!$E$5:$E$1005)+SUMPRODUCT((MOVIMIENTOS!$B$5:$B$1005="PROCESO")*(MOVIMIENTOS!$C$5:$C$1005="C")*(MOVIMIENTOS!$D$5:$D$1005="jabas")*(MOVIMIENTOS!$A$5:$A$1005&lt;&gt;"")*(MOVIMIENTOS!$A$5:$A$1005&lt;=$A109)*MOVIMIENTOS!$E$5:$E$1005)-SUMPRODUCT((MOVIMIENTOS!$B$5:$B$1005="ENVÍO A SUPESA")*(MOVIMIENTOS!$C$5:$C$1005="C")*(MOVIMIENTOS!$D$5:$D$1005="jabas")*(MOVIMIENTOS!$A$5:$A$1005&lt;&gt;"")*(MOVIMIENTOS!$A$5:$A$1005&lt;=$A109)*MOVIMIENTOS!$E$5:$E$1005)+SUMPRODUCT((MOVIMIENTOS!$B$5:$B$1005="DEVOLUCIÓN")*(MOVIMIENTOS!$C$5:$C$1005="C")*(MOVIMIENTOS!$D$5:$D$1005="jabas")*(MOVIMIENTOS!$A$5:$A$1005&lt;&gt;"")*(MOVIMIENTOS!$A$5:$A$1005&lt;=$A109)*MOVIMIENTOS!$E$5:$E$1005)-SUMPRODUCT((MOVIMIENTOS!$B$5:$B$1005="TRASIEGO")*(MOVIMIENTOS!$C$5:$C$1005="C")*(MOVIMIENTOS!$D$5:$D$1005="jabas")*(MOVIMIENTOS!$A$5:$A$1005&lt;&gt;"")*(MOVIMIENTOS!$A$5:$A$1005&lt;=$A109)*MOVIMIENTOS!$E$5:$E$1005)-SUMPRODUCT((MOVIMIENTOS!$B$5:$B$1005="REGALO")*(MOVIMIENTOS!$C$5:$C$1005="C")*(MOVIMIENTOS!$D$5:$D$1005="jabas")*(MOVIMIENTOS!$A$5:$A$1005&lt;&gt;"")*(MOVIMIENTOS!$A$5:$A$1005&lt;=$A109)*MOVIMIENTOS!$E$5:$E$1005)-SUMPRODUCT((MOVIMIENTOS!$B$5:$B$1005="VENTA")*(MOVIMIENTOS!$C$5:$C$1005="C")*(MOVIMIENTOS!$D$5:$D$1005="jabas")*(MOVIMIENTOS!$A$5:$A$1005&lt;&gt;"")*(MOVIMIENTOS!$A$5:$A$1005&lt;=$A109)*MOVIMIENTOS!$E$5:$E$1005)+SUMPRODUCT((MOVIMIENTOS!$B$5:$B$1005="AJUSTE")*(MOVIMIENTOS!$C$5:$C$1005="C")*(MOVIMIENTOS!$D$5:$D$1005="jabas")*(MOVIMIENTOS!$A$5:$A$1005&lt;&gt;"")*(MOVIMIENTOS!$A$5:$A$1005&lt;=$A109)*MOVIMIENTOS!$E$5:$E$1005))</f>
        <v/>
      </c>
      <c r="E109" s="63" t="str">
        <f>IF($A109="","",SUMPRODUCT((MOVIMIENTOS!$B$5:$B$1005="SALDO INICIAL")*(MOVIMIENTOS!$C$5:$C$1005="M")*(MOVIMIENTOS!$D$5:$D$1005="jabas")*(MOVIMIENTOS!$A$5:$A$1005&lt;&gt;"")*(MOVIMIENTOS!$A$5:$A$1005&lt;=$A109)*MOVIMIENTOS!$E$5:$E$1005)+SUMPRODUCT((MOVIMIENTOS!$B$5:$B$1005="PROCESO")*(MOVIMIENTOS!$C$5:$C$1005="M")*(MOVIMIENTOS!$D$5:$D$1005="jabas")*(MOVIMIENTOS!$A$5:$A$1005&lt;&gt;"")*(MOVIMIENTOS!$A$5:$A$1005&lt;=$A109)*MOVIMIENTOS!$E$5:$E$1005)-SUMPRODUCT((MOVIMIENTOS!$B$5:$B$1005="ENVÍO A SUPESA")*(MOVIMIENTOS!$C$5:$C$1005="M")*(MOVIMIENTOS!$D$5:$D$1005="jabas")*(MOVIMIENTOS!$A$5:$A$1005&lt;&gt;"")*(MOVIMIENTOS!$A$5:$A$1005&lt;=$A109)*MOVIMIENTOS!$E$5:$E$1005)+SUMPRODUCT((MOVIMIENTOS!$B$5:$B$1005="DEVOLUCIÓN")*(MOVIMIENTOS!$C$5:$C$1005="M")*(MOVIMIENTOS!$D$5:$D$1005="jabas")*(MOVIMIENTOS!$A$5:$A$1005&lt;&gt;"")*(MOVIMIENTOS!$A$5:$A$1005&lt;=$A109)*MOVIMIENTOS!$E$5:$E$1005)-SUMPRODUCT((MOVIMIENTOS!$B$5:$B$1005="TRASIEGO")*(MOVIMIENTOS!$C$5:$C$1005="M")*(MOVIMIENTOS!$D$5:$D$1005="jabas")*(MOVIMIENTOS!$A$5:$A$1005&lt;&gt;"")*(MOVIMIENTOS!$A$5:$A$1005&lt;=$A109)*MOVIMIENTOS!$E$5:$E$1005)-SUMPRODUCT((MOVIMIENTOS!$B$5:$B$1005="REGALO")*(MOVIMIENTOS!$C$5:$C$1005="M")*(MOVIMIENTOS!$D$5:$D$1005="jabas")*(MOVIMIENTOS!$A$5:$A$1005&lt;&gt;"")*(MOVIMIENTOS!$A$5:$A$1005&lt;=$A109)*MOVIMIENTOS!$E$5:$E$1005)-SUMPRODUCT((MOVIMIENTOS!$B$5:$B$1005="VENTA")*(MOVIMIENTOS!$C$5:$C$1005="M")*(MOVIMIENTOS!$D$5:$D$1005="jabas")*(MOVIMIENTOS!$A$5:$A$1005&lt;&gt;"")*(MOVIMIENTOS!$A$5:$A$1005&lt;=$A109)*MOVIMIENTOS!$E$5:$E$1005)+SUMPRODUCT((MOVIMIENTOS!$B$5:$B$1005="AJUSTE")*(MOVIMIENTOS!$C$5:$C$1005="M")*(MOVIMIENTOS!$D$5:$D$1005="jabas")*(MOVIMIENTOS!$A$5:$A$1005&lt;&gt;"")*(MOVIMIENTOS!$A$5:$A$1005&lt;=$A109)*MOVIMIENTOS!$E$5:$E$1005))</f>
        <v/>
      </c>
      <c r="F109" s="63" t="str">
        <f>IF($A109="","",SUMPRODUCT((MOVIMIENTOS!$B$5:$B$1005="SALDO INICIAL")*(MOVIMIENTOS!$C$5:$C$1005="Chancho")*(MOVIMIENTOS!$D$5:$D$1005="sacos")*(MOVIMIENTOS!$A$5:$A$1005&lt;&gt;"")*(MOVIMIENTOS!$A$5:$A$1005&lt;=$A109)*MOVIMIENTOS!$E$5:$E$1005)+SUMPRODUCT((MOVIMIENTOS!$B$5:$B$1005="PROCESO")*(MOVIMIENTOS!$C$5:$C$1005="Chancho")*(MOVIMIENTOS!$D$5:$D$1005="sacos")*(MOVIMIENTOS!$A$5:$A$1005&lt;&gt;"")*(MOVIMIENTOS!$A$5:$A$1005&lt;=$A109)*MOVIMIENTOS!$E$5:$E$1005)-SUMPRODUCT((MOVIMIENTOS!$B$5:$B$1005="VENTA CHANCHO")*(MOVIMIENTOS!$C$5:$C$1005="Chancho")*(MOVIMIENTOS!$D$5:$D$1005="sacos")*(MOVIMIENTOS!$A$5:$A$1005&lt;&gt;"")*(MOVIMIENTOS!$A$5:$A$1005&lt;=$A109)*MOVIMIENTOS!$E$5:$E$1005)-SUMPRODUCT((MOVIMIENTOS!$B$5:$B$1005="REGALO")*(MOVIMIENTOS!$C$5:$C$1005="Chancho")*(MOVIMIENTOS!$D$5:$D$1005="sacos")*(MOVIMIENTOS!$A$5:$A$1005&lt;&gt;"")*(MOVIMIENTOS!$A$5:$A$1005&lt;=$A109)*MOVIMIENTOS!$E$5:$E$1005)-SUMPRODUCT((MOVIMIENTOS!$B$5:$B$1005="VENTA")*(MOVIMIENTOS!$C$5:$C$1005="Chancho")*(MOVIMIENTOS!$D$5:$D$1005="sacos")*(MOVIMIENTOS!$A$5:$A$1005&lt;&gt;"")*(MOVIMIENTOS!$A$5:$A$1005&lt;=$A109)*MOVIMIENTOS!$E$5:$E$1005)+SUMPRODUCT((MOVIMIENTOS!$B$5:$B$1005="AJUSTE")*(MOVIMIENTOS!$C$5:$C$1005="Chancho")*(MOVIMIENTOS!$D$5:$D$1005="sacos")*(MOVIMIENTOS!$A$5:$A$1005&lt;&gt;"")*(MOVIMIENTOS!$A$5:$A$1005&lt;=$A109)*MOVIMIENTOS!$E$5:$E$1005))</f>
        <v/>
      </c>
      <c r="G109" s="95" t="str">
        <f t="shared" si="3"/>
        <v/>
      </c>
      <c r="H109" s="63" t="str">
        <f>IF($A109="","",SUMPRODUCT((((MOVIMIENTOS!$B$5:$B$1005="SALDO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109)*MOVIMIENTOS!$J$5:$J$1005))</f>
        <v/>
      </c>
      <c r="I109" s="63"/>
      <c r="J109" s="63">
        <f>IF(AND(MOVIMIENTOS!$A109&lt;&gt;"",COUNTIF(MOVIMIENTOS!$A$5:$A108,MOVIMIENTOS!$A109)=0),COUNT(J$4:J108)+1,"")</f>
        <v>12</v>
      </c>
      <c r="K109" s="66">
        <f>MOVIMIENTOS!$A109</f>
        <v>46224</v>
      </c>
      <c r="L109" s="63"/>
      <c r="M109" s="63"/>
      <c r="N109" s="63"/>
    </row>
    <row r="110" spans="1:14" ht="15" customHeight="1" x14ac:dyDescent="0.2">
      <c r="A110" s="63" t="str">
        <f t="shared" si="2"/>
        <v/>
      </c>
      <c r="B110" s="63" t="str">
        <f>IF($A110="","",SUMPRODUCT((MOVIMIENTOS!$B$5:$B$1005="SALDO INICIAL")*(MOVIMIENTOS!$C$5:$C$1005="A")*(MOVIMIENTOS!$D$5:$D$1005="jabas")*(MOVIMIENTOS!$A$5:$A$1005&lt;&gt;"")*(MOVIMIENTOS!$A$5:$A$1005&lt;=$A110)*MOVIMIENTOS!$E$5:$E$1005)+SUMPRODUCT((MOVIMIENTOS!$B$5:$B$1005="PROCESO")*(MOVIMIENTOS!$C$5:$C$1005="A")*(MOVIMIENTOS!$D$5:$D$1005="jabas")*(MOVIMIENTOS!$A$5:$A$1005&lt;&gt;"")*(MOVIMIENTOS!$A$5:$A$1005&lt;=$A110)*MOVIMIENTOS!$E$5:$E$1005)-SUMPRODUCT((MOVIMIENTOS!$B$5:$B$1005="ENVÍO A SUPESA")*(MOVIMIENTOS!$C$5:$C$1005="A")*(MOVIMIENTOS!$D$5:$D$1005="jabas")*(MOVIMIENTOS!$A$5:$A$1005&lt;&gt;"")*(MOVIMIENTOS!$A$5:$A$1005&lt;=$A110)*MOVIMIENTOS!$E$5:$E$1005)+SUMPRODUCT((MOVIMIENTOS!$B$5:$B$1005="DEVOLUCIÓN")*(MOVIMIENTOS!$C$5:$C$1005="A")*(MOVIMIENTOS!$D$5:$D$1005="jabas")*(MOVIMIENTOS!$A$5:$A$1005&lt;&gt;"")*(MOVIMIENTOS!$A$5:$A$1005&lt;=$A110)*MOVIMIENTOS!$E$5:$E$1005)-SUMPRODUCT((MOVIMIENTOS!$B$5:$B$1005="TRASIEGO")*(MOVIMIENTOS!$C$5:$C$1005="A")*(MOVIMIENTOS!$D$5:$D$1005="jabas")*(MOVIMIENTOS!$A$5:$A$1005&lt;&gt;"")*(MOVIMIENTOS!$A$5:$A$1005&lt;=$A110)*MOVIMIENTOS!$E$5:$E$1005)-SUMPRODUCT((MOVIMIENTOS!$B$5:$B$1005="REGALO")*(MOVIMIENTOS!$C$5:$C$1005="A")*(MOVIMIENTOS!$D$5:$D$1005="jabas")*(MOVIMIENTOS!$A$5:$A$1005&lt;&gt;"")*(MOVIMIENTOS!$A$5:$A$1005&lt;=$A110)*MOVIMIENTOS!$E$5:$E$1005)-SUMPRODUCT((MOVIMIENTOS!$B$5:$B$1005="VENTA")*(MOVIMIENTOS!$C$5:$C$1005="A")*(MOVIMIENTOS!$D$5:$D$1005="jabas")*(MOVIMIENTOS!$A$5:$A$1005&lt;&gt;"")*(MOVIMIENTOS!$A$5:$A$1005&lt;=$A110)*MOVIMIENTOS!$E$5:$E$1005)+SUMPRODUCT((MOVIMIENTOS!$B$5:$B$1005="AJUSTE")*(MOVIMIENTOS!$C$5:$C$1005="A")*(MOVIMIENTOS!$D$5:$D$1005="jabas")*(MOVIMIENTOS!$A$5:$A$1005&lt;&gt;"")*(MOVIMIENTOS!$A$5:$A$1005&lt;=$A110)*MOVIMIENTOS!$E$5:$E$1005))</f>
        <v/>
      </c>
      <c r="C110" s="63" t="str">
        <f>IF($A110="","",SUMPRODUCT((MOVIMIENTOS!$B$5:$B$1005="SALDO INICIAL")*(MOVIMIENTOS!$C$5:$C$1005="P")*(MOVIMIENTOS!$D$5:$D$1005="jabas")*(MOVIMIENTOS!$A$5:$A$1005&lt;&gt;"")*(MOVIMIENTOS!$A$5:$A$1005&lt;=$A110)*MOVIMIENTOS!$E$5:$E$1005)+SUMPRODUCT((MOVIMIENTOS!$B$5:$B$1005="PROCESO")*(MOVIMIENTOS!$C$5:$C$1005="P")*(MOVIMIENTOS!$D$5:$D$1005="jabas")*(MOVIMIENTOS!$A$5:$A$1005&lt;&gt;"")*(MOVIMIENTOS!$A$5:$A$1005&lt;=$A110)*MOVIMIENTOS!$E$5:$E$1005)-SUMPRODUCT((MOVIMIENTOS!$B$5:$B$1005="ENVÍO A SUPESA")*(MOVIMIENTOS!$C$5:$C$1005="P")*(MOVIMIENTOS!$D$5:$D$1005="jabas")*(MOVIMIENTOS!$A$5:$A$1005&lt;&gt;"")*(MOVIMIENTOS!$A$5:$A$1005&lt;=$A110)*MOVIMIENTOS!$E$5:$E$1005)+SUMPRODUCT((MOVIMIENTOS!$B$5:$B$1005="DEVOLUCIÓN")*(MOVIMIENTOS!$C$5:$C$1005="P")*(MOVIMIENTOS!$D$5:$D$1005="jabas")*(MOVIMIENTOS!$A$5:$A$1005&lt;&gt;"")*(MOVIMIENTOS!$A$5:$A$1005&lt;=$A110)*MOVIMIENTOS!$E$5:$E$1005)-SUMPRODUCT((MOVIMIENTOS!$B$5:$B$1005="TRASIEGO")*(MOVIMIENTOS!$C$5:$C$1005="P")*(MOVIMIENTOS!$D$5:$D$1005="jabas")*(MOVIMIENTOS!$A$5:$A$1005&lt;&gt;"")*(MOVIMIENTOS!$A$5:$A$1005&lt;=$A110)*MOVIMIENTOS!$E$5:$E$1005)-SUMPRODUCT((MOVIMIENTOS!$B$5:$B$1005="REGALO")*(MOVIMIENTOS!$C$5:$C$1005="P")*(MOVIMIENTOS!$D$5:$D$1005="jabas")*(MOVIMIENTOS!$A$5:$A$1005&lt;&gt;"")*(MOVIMIENTOS!$A$5:$A$1005&lt;=$A110)*MOVIMIENTOS!$E$5:$E$1005)-SUMPRODUCT((MOVIMIENTOS!$B$5:$B$1005="VENTA")*(MOVIMIENTOS!$C$5:$C$1005="P")*(MOVIMIENTOS!$D$5:$D$1005="jabas")*(MOVIMIENTOS!$A$5:$A$1005&lt;&gt;"")*(MOVIMIENTOS!$A$5:$A$1005&lt;=$A110)*MOVIMIENTOS!$E$5:$E$1005)+SUMPRODUCT((MOVIMIENTOS!$B$5:$B$1005="AJUSTE")*(MOVIMIENTOS!$C$5:$C$1005="P")*(MOVIMIENTOS!$D$5:$D$1005="jabas")*(MOVIMIENTOS!$A$5:$A$1005&lt;&gt;"")*(MOVIMIENTOS!$A$5:$A$1005&lt;=$A110)*MOVIMIENTOS!$E$5:$E$1005))</f>
        <v/>
      </c>
      <c r="D110" s="63" t="str">
        <f>IF($A110="","",SUMPRODUCT((MOVIMIENTOS!$B$5:$B$1005="SALDO INICIAL")*(MOVIMIENTOS!$C$5:$C$1005="C")*(MOVIMIENTOS!$D$5:$D$1005="jabas")*(MOVIMIENTOS!$A$5:$A$1005&lt;&gt;"")*(MOVIMIENTOS!$A$5:$A$1005&lt;=$A110)*MOVIMIENTOS!$E$5:$E$1005)+SUMPRODUCT((MOVIMIENTOS!$B$5:$B$1005="PROCESO")*(MOVIMIENTOS!$C$5:$C$1005="C")*(MOVIMIENTOS!$D$5:$D$1005="jabas")*(MOVIMIENTOS!$A$5:$A$1005&lt;&gt;"")*(MOVIMIENTOS!$A$5:$A$1005&lt;=$A110)*MOVIMIENTOS!$E$5:$E$1005)-SUMPRODUCT((MOVIMIENTOS!$B$5:$B$1005="ENVÍO A SUPESA")*(MOVIMIENTOS!$C$5:$C$1005="C")*(MOVIMIENTOS!$D$5:$D$1005="jabas")*(MOVIMIENTOS!$A$5:$A$1005&lt;&gt;"")*(MOVIMIENTOS!$A$5:$A$1005&lt;=$A110)*MOVIMIENTOS!$E$5:$E$1005)+SUMPRODUCT((MOVIMIENTOS!$B$5:$B$1005="DEVOLUCIÓN")*(MOVIMIENTOS!$C$5:$C$1005="C")*(MOVIMIENTOS!$D$5:$D$1005="jabas")*(MOVIMIENTOS!$A$5:$A$1005&lt;&gt;"")*(MOVIMIENTOS!$A$5:$A$1005&lt;=$A110)*MOVIMIENTOS!$E$5:$E$1005)-SUMPRODUCT((MOVIMIENTOS!$B$5:$B$1005="TRASIEGO")*(MOVIMIENTOS!$C$5:$C$1005="C")*(MOVIMIENTOS!$D$5:$D$1005="jabas")*(MOVIMIENTOS!$A$5:$A$1005&lt;&gt;"")*(MOVIMIENTOS!$A$5:$A$1005&lt;=$A110)*MOVIMIENTOS!$E$5:$E$1005)-SUMPRODUCT((MOVIMIENTOS!$B$5:$B$1005="REGALO")*(MOVIMIENTOS!$C$5:$C$1005="C")*(MOVIMIENTOS!$D$5:$D$1005="jabas")*(MOVIMIENTOS!$A$5:$A$1005&lt;&gt;"")*(MOVIMIENTOS!$A$5:$A$1005&lt;=$A110)*MOVIMIENTOS!$E$5:$E$1005)-SUMPRODUCT((MOVIMIENTOS!$B$5:$B$1005="VENTA")*(MOVIMIENTOS!$C$5:$C$1005="C")*(MOVIMIENTOS!$D$5:$D$1005="jabas")*(MOVIMIENTOS!$A$5:$A$1005&lt;&gt;"")*(MOVIMIENTOS!$A$5:$A$1005&lt;=$A110)*MOVIMIENTOS!$E$5:$E$1005)+SUMPRODUCT((MOVIMIENTOS!$B$5:$B$1005="AJUSTE")*(MOVIMIENTOS!$C$5:$C$1005="C")*(MOVIMIENTOS!$D$5:$D$1005="jabas")*(MOVIMIENTOS!$A$5:$A$1005&lt;&gt;"")*(MOVIMIENTOS!$A$5:$A$1005&lt;=$A110)*MOVIMIENTOS!$E$5:$E$1005))</f>
        <v/>
      </c>
      <c r="E110" s="63" t="str">
        <f>IF($A110="","",SUMPRODUCT((MOVIMIENTOS!$B$5:$B$1005="SALDO INICIAL")*(MOVIMIENTOS!$C$5:$C$1005="M")*(MOVIMIENTOS!$D$5:$D$1005="jabas")*(MOVIMIENTOS!$A$5:$A$1005&lt;&gt;"")*(MOVIMIENTOS!$A$5:$A$1005&lt;=$A110)*MOVIMIENTOS!$E$5:$E$1005)+SUMPRODUCT((MOVIMIENTOS!$B$5:$B$1005="PROCESO")*(MOVIMIENTOS!$C$5:$C$1005="M")*(MOVIMIENTOS!$D$5:$D$1005="jabas")*(MOVIMIENTOS!$A$5:$A$1005&lt;&gt;"")*(MOVIMIENTOS!$A$5:$A$1005&lt;=$A110)*MOVIMIENTOS!$E$5:$E$1005)-SUMPRODUCT((MOVIMIENTOS!$B$5:$B$1005="ENVÍO A SUPESA")*(MOVIMIENTOS!$C$5:$C$1005="M")*(MOVIMIENTOS!$D$5:$D$1005="jabas")*(MOVIMIENTOS!$A$5:$A$1005&lt;&gt;"")*(MOVIMIENTOS!$A$5:$A$1005&lt;=$A110)*MOVIMIENTOS!$E$5:$E$1005)+SUMPRODUCT((MOVIMIENTOS!$B$5:$B$1005="DEVOLUCIÓN")*(MOVIMIENTOS!$C$5:$C$1005="M")*(MOVIMIENTOS!$D$5:$D$1005="jabas")*(MOVIMIENTOS!$A$5:$A$1005&lt;&gt;"")*(MOVIMIENTOS!$A$5:$A$1005&lt;=$A110)*MOVIMIENTOS!$E$5:$E$1005)-SUMPRODUCT((MOVIMIENTOS!$B$5:$B$1005="TRASIEGO")*(MOVIMIENTOS!$C$5:$C$1005="M")*(MOVIMIENTOS!$D$5:$D$1005="jabas")*(MOVIMIENTOS!$A$5:$A$1005&lt;&gt;"")*(MOVIMIENTOS!$A$5:$A$1005&lt;=$A110)*MOVIMIENTOS!$E$5:$E$1005)-SUMPRODUCT((MOVIMIENTOS!$B$5:$B$1005="REGALO")*(MOVIMIENTOS!$C$5:$C$1005="M")*(MOVIMIENTOS!$D$5:$D$1005="jabas")*(MOVIMIENTOS!$A$5:$A$1005&lt;&gt;"")*(MOVIMIENTOS!$A$5:$A$1005&lt;=$A110)*MOVIMIENTOS!$E$5:$E$1005)-SUMPRODUCT((MOVIMIENTOS!$B$5:$B$1005="VENTA")*(MOVIMIENTOS!$C$5:$C$1005="M")*(MOVIMIENTOS!$D$5:$D$1005="jabas")*(MOVIMIENTOS!$A$5:$A$1005&lt;&gt;"")*(MOVIMIENTOS!$A$5:$A$1005&lt;=$A110)*MOVIMIENTOS!$E$5:$E$1005)+SUMPRODUCT((MOVIMIENTOS!$B$5:$B$1005="AJUSTE")*(MOVIMIENTOS!$C$5:$C$1005="M")*(MOVIMIENTOS!$D$5:$D$1005="jabas")*(MOVIMIENTOS!$A$5:$A$1005&lt;&gt;"")*(MOVIMIENTOS!$A$5:$A$1005&lt;=$A110)*MOVIMIENTOS!$E$5:$E$1005))</f>
        <v/>
      </c>
      <c r="F110" s="63" t="str">
        <f>IF($A110="","",SUMPRODUCT((MOVIMIENTOS!$B$5:$B$1005="SALDO INICIAL")*(MOVIMIENTOS!$C$5:$C$1005="Chancho")*(MOVIMIENTOS!$D$5:$D$1005="sacos")*(MOVIMIENTOS!$A$5:$A$1005&lt;&gt;"")*(MOVIMIENTOS!$A$5:$A$1005&lt;=$A110)*MOVIMIENTOS!$E$5:$E$1005)+SUMPRODUCT((MOVIMIENTOS!$B$5:$B$1005="PROCESO")*(MOVIMIENTOS!$C$5:$C$1005="Chancho")*(MOVIMIENTOS!$D$5:$D$1005="sacos")*(MOVIMIENTOS!$A$5:$A$1005&lt;&gt;"")*(MOVIMIENTOS!$A$5:$A$1005&lt;=$A110)*MOVIMIENTOS!$E$5:$E$1005)-SUMPRODUCT((MOVIMIENTOS!$B$5:$B$1005="VENTA CHANCHO")*(MOVIMIENTOS!$C$5:$C$1005="Chancho")*(MOVIMIENTOS!$D$5:$D$1005="sacos")*(MOVIMIENTOS!$A$5:$A$1005&lt;&gt;"")*(MOVIMIENTOS!$A$5:$A$1005&lt;=$A110)*MOVIMIENTOS!$E$5:$E$1005)-SUMPRODUCT((MOVIMIENTOS!$B$5:$B$1005="REGALO")*(MOVIMIENTOS!$C$5:$C$1005="Chancho")*(MOVIMIENTOS!$D$5:$D$1005="sacos")*(MOVIMIENTOS!$A$5:$A$1005&lt;&gt;"")*(MOVIMIENTOS!$A$5:$A$1005&lt;=$A110)*MOVIMIENTOS!$E$5:$E$1005)-SUMPRODUCT((MOVIMIENTOS!$B$5:$B$1005="VENTA")*(MOVIMIENTOS!$C$5:$C$1005="Chancho")*(MOVIMIENTOS!$D$5:$D$1005="sacos")*(MOVIMIENTOS!$A$5:$A$1005&lt;&gt;"")*(MOVIMIENTOS!$A$5:$A$1005&lt;=$A110)*MOVIMIENTOS!$E$5:$E$1005)+SUMPRODUCT((MOVIMIENTOS!$B$5:$B$1005="AJUSTE")*(MOVIMIENTOS!$C$5:$C$1005="Chancho")*(MOVIMIENTOS!$D$5:$D$1005="sacos")*(MOVIMIENTOS!$A$5:$A$1005&lt;&gt;"")*(MOVIMIENTOS!$A$5:$A$1005&lt;=$A110)*MOVIMIENTOS!$E$5:$E$1005))</f>
        <v/>
      </c>
      <c r="G110" s="95" t="str">
        <f t="shared" si="3"/>
        <v/>
      </c>
      <c r="H110" s="63" t="str">
        <f>IF($A110="","",SUMPRODUCT((((MOVIMIENTOS!$B$5:$B$1005="SALDO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110)*MOVIMIENTOS!$J$5:$J$1005))</f>
        <v/>
      </c>
      <c r="I110" s="63"/>
      <c r="J110" s="63" t="str">
        <f>IF(AND(MOVIMIENTOS!$A110&lt;&gt;"",COUNTIF(MOVIMIENTOS!$A$5:$A109,MOVIMIENTOS!$A110)=0),COUNT(J$4:J109)+1,"")</f>
        <v/>
      </c>
      <c r="K110" s="66">
        <f>MOVIMIENTOS!$A110</f>
        <v>46224</v>
      </c>
      <c r="L110" s="63"/>
      <c r="M110" s="63"/>
      <c r="N110" s="63"/>
    </row>
    <row r="111" spans="1:14" ht="15" customHeight="1" x14ac:dyDescent="0.2">
      <c r="A111" s="63" t="str">
        <f t="shared" si="2"/>
        <v/>
      </c>
      <c r="B111" s="63" t="str">
        <f>IF($A111="","",SUMPRODUCT((MOVIMIENTOS!$B$5:$B$1005="SALDO INICIAL")*(MOVIMIENTOS!$C$5:$C$1005="A")*(MOVIMIENTOS!$D$5:$D$1005="jabas")*(MOVIMIENTOS!$A$5:$A$1005&lt;&gt;"")*(MOVIMIENTOS!$A$5:$A$1005&lt;=$A111)*MOVIMIENTOS!$E$5:$E$1005)+SUMPRODUCT((MOVIMIENTOS!$B$5:$B$1005="PROCESO")*(MOVIMIENTOS!$C$5:$C$1005="A")*(MOVIMIENTOS!$D$5:$D$1005="jabas")*(MOVIMIENTOS!$A$5:$A$1005&lt;&gt;"")*(MOVIMIENTOS!$A$5:$A$1005&lt;=$A111)*MOVIMIENTOS!$E$5:$E$1005)-SUMPRODUCT((MOVIMIENTOS!$B$5:$B$1005="ENVÍO A SUPESA")*(MOVIMIENTOS!$C$5:$C$1005="A")*(MOVIMIENTOS!$D$5:$D$1005="jabas")*(MOVIMIENTOS!$A$5:$A$1005&lt;&gt;"")*(MOVIMIENTOS!$A$5:$A$1005&lt;=$A111)*MOVIMIENTOS!$E$5:$E$1005)+SUMPRODUCT((MOVIMIENTOS!$B$5:$B$1005="DEVOLUCIÓN")*(MOVIMIENTOS!$C$5:$C$1005="A")*(MOVIMIENTOS!$D$5:$D$1005="jabas")*(MOVIMIENTOS!$A$5:$A$1005&lt;&gt;"")*(MOVIMIENTOS!$A$5:$A$1005&lt;=$A111)*MOVIMIENTOS!$E$5:$E$1005)-SUMPRODUCT((MOVIMIENTOS!$B$5:$B$1005="TRASIEGO")*(MOVIMIENTOS!$C$5:$C$1005="A")*(MOVIMIENTOS!$D$5:$D$1005="jabas")*(MOVIMIENTOS!$A$5:$A$1005&lt;&gt;"")*(MOVIMIENTOS!$A$5:$A$1005&lt;=$A111)*MOVIMIENTOS!$E$5:$E$1005)-SUMPRODUCT((MOVIMIENTOS!$B$5:$B$1005="REGALO")*(MOVIMIENTOS!$C$5:$C$1005="A")*(MOVIMIENTOS!$D$5:$D$1005="jabas")*(MOVIMIENTOS!$A$5:$A$1005&lt;&gt;"")*(MOVIMIENTOS!$A$5:$A$1005&lt;=$A111)*MOVIMIENTOS!$E$5:$E$1005)-SUMPRODUCT((MOVIMIENTOS!$B$5:$B$1005="VENTA")*(MOVIMIENTOS!$C$5:$C$1005="A")*(MOVIMIENTOS!$D$5:$D$1005="jabas")*(MOVIMIENTOS!$A$5:$A$1005&lt;&gt;"")*(MOVIMIENTOS!$A$5:$A$1005&lt;=$A111)*MOVIMIENTOS!$E$5:$E$1005)+SUMPRODUCT((MOVIMIENTOS!$B$5:$B$1005="AJUSTE")*(MOVIMIENTOS!$C$5:$C$1005="A")*(MOVIMIENTOS!$D$5:$D$1005="jabas")*(MOVIMIENTOS!$A$5:$A$1005&lt;&gt;"")*(MOVIMIENTOS!$A$5:$A$1005&lt;=$A111)*MOVIMIENTOS!$E$5:$E$1005))</f>
        <v/>
      </c>
      <c r="C111" s="63" t="str">
        <f>IF($A111="","",SUMPRODUCT((MOVIMIENTOS!$B$5:$B$1005="SALDO INICIAL")*(MOVIMIENTOS!$C$5:$C$1005="P")*(MOVIMIENTOS!$D$5:$D$1005="jabas")*(MOVIMIENTOS!$A$5:$A$1005&lt;&gt;"")*(MOVIMIENTOS!$A$5:$A$1005&lt;=$A111)*MOVIMIENTOS!$E$5:$E$1005)+SUMPRODUCT((MOVIMIENTOS!$B$5:$B$1005="PROCESO")*(MOVIMIENTOS!$C$5:$C$1005="P")*(MOVIMIENTOS!$D$5:$D$1005="jabas")*(MOVIMIENTOS!$A$5:$A$1005&lt;&gt;"")*(MOVIMIENTOS!$A$5:$A$1005&lt;=$A111)*MOVIMIENTOS!$E$5:$E$1005)-SUMPRODUCT((MOVIMIENTOS!$B$5:$B$1005="ENVÍO A SUPESA")*(MOVIMIENTOS!$C$5:$C$1005="P")*(MOVIMIENTOS!$D$5:$D$1005="jabas")*(MOVIMIENTOS!$A$5:$A$1005&lt;&gt;"")*(MOVIMIENTOS!$A$5:$A$1005&lt;=$A111)*MOVIMIENTOS!$E$5:$E$1005)+SUMPRODUCT((MOVIMIENTOS!$B$5:$B$1005="DEVOLUCIÓN")*(MOVIMIENTOS!$C$5:$C$1005="P")*(MOVIMIENTOS!$D$5:$D$1005="jabas")*(MOVIMIENTOS!$A$5:$A$1005&lt;&gt;"")*(MOVIMIENTOS!$A$5:$A$1005&lt;=$A111)*MOVIMIENTOS!$E$5:$E$1005)-SUMPRODUCT((MOVIMIENTOS!$B$5:$B$1005="TRASIEGO")*(MOVIMIENTOS!$C$5:$C$1005="P")*(MOVIMIENTOS!$D$5:$D$1005="jabas")*(MOVIMIENTOS!$A$5:$A$1005&lt;&gt;"")*(MOVIMIENTOS!$A$5:$A$1005&lt;=$A111)*MOVIMIENTOS!$E$5:$E$1005)-SUMPRODUCT((MOVIMIENTOS!$B$5:$B$1005="REGALO")*(MOVIMIENTOS!$C$5:$C$1005="P")*(MOVIMIENTOS!$D$5:$D$1005="jabas")*(MOVIMIENTOS!$A$5:$A$1005&lt;&gt;"")*(MOVIMIENTOS!$A$5:$A$1005&lt;=$A111)*MOVIMIENTOS!$E$5:$E$1005)-SUMPRODUCT((MOVIMIENTOS!$B$5:$B$1005="VENTA")*(MOVIMIENTOS!$C$5:$C$1005="P")*(MOVIMIENTOS!$D$5:$D$1005="jabas")*(MOVIMIENTOS!$A$5:$A$1005&lt;&gt;"")*(MOVIMIENTOS!$A$5:$A$1005&lt;=$A111)*MOVIMIENTOS!$E$5:$E$1005)+SUMPRODUCT((MOVIMIENTOS!$B$5:$B$1005="AJUSTE")*(MOVIMIENTOS!$C$5:$C$1005="P")*(MOVIMIENTOS!$D$5:$D$1005="jabas")*(MOVIMIENTOS!$A$5:$A$1005&lt;&gt;"")*(MOVIMIENTOS!$A$5:$A$1005&lt;=$A111)*MOVIMIENTOS!$E$5:$E$1005))</f>
        <v/>
      </c>
      <c r="D111" s="63" t="str">
        <f>IF($A111="","",SUMPRODUCT((MOVIMIENTOS!$B$5:$B$1005="SALDO INICIAL")*(MOVIMIENTOS!$C$5:$C$1005="C")*(MOVIMIENTOS!$D$5:$D$1005="jabas")*(MOVIMIENTOS!$A$5:$A$1005&lt;&gt;"")*(MOVIMIENTOS!$A$5:$A$1005&lt;=$A111)*MOVIMIENTOS!$E$5:$E$1005)+SUMPRODUCT((MOVIMIENTOS!$B$5:$B$1005="PROCESO")*(MOVIMIENTOS!$C$5:$C$1005="C")*(MOVIMIENTOS!$D$5:$D$1005="jabas")*(MOVIMIENTOS!$A$5:$A$1005&lt;&gt;"")*(MOVIMIENTOS!$A$5:$A$1005&lt;=$A111)*MOVIMIENTOS!$E$5:$E$1005)-SUMPRODUCT((MOVIMIENTOS!$B$5:$B$1005="ENVÍO A SUPESA")*(MOVIMIENTOS!$C$5:$C$1005="C")*(MOVIMIENTOS!$D$5:$D$1005="jabas")*(MOVIMIENTOS!$A$5:$A$1005&lt;&gt;"")*(MOVIMIENTOS!$A$5:$A$1005&lt;=$A111)*MOVIMIENTOS!$E$5:$E$1005)+SUMPRODUCT((MOVIMIENTOS!$B$5:$B$1005="DEVOLUCIÓN")*(MOVIMIENTOS!$C$5:$C$1005="C")*(MOVIMIENTOS!$D$5:$D$1005="jabas")*(MOVIMIENTOS!$A$5:$A$1005&lt;&gt;"")*(MOVIMIENTOS!$A$5:$A$1005&lt;=$A111)*MOVIMIENTOS!$E$5:$E$1005)-SUMPRODUCT((MOVIMIENTOS!$B$5:$B$1005="TRASIEGO")*(MOVIMIENTOS!$C$5:$C$1005="C")*(MOVIMIENTOS!$D$5:$D$1005="jabas")*(MOVIMIENTOS!$A$5:$A$1005&lt;&gt;"")*(MOVIMIENTOS!$A$5:$A$1005&lt;=$A111)*MOVIMIENTOS!$E$5:$E$1005)-SUMPRODUCT((MOVIMIENTOS!$B$5:$B$1005="REGALO")*(MOVIMIENTOS!$C$5:$C$1005="C")*(MOVIMIENTOS!$D$5:$D$1005="jabas")*(MOVIMIENTOS!$A$5:$A$1005&lt;&gt;"")*(MOVIMIENTOS!$A$5:$A$1005&lt;=$A111)*MOVIMIENTOS!$E$5:$E$1005)-SUMPRODUCT((MOVIMIENTOS!$B$5:$B$1005="VENTA")*(MOVIMIENTOS!$C$5:$C$1005="C")*(MOVIMIENTOS!$D$5:$D$1005="jabas")*(MOVIMIENTOS!$A$5:$A$1005&lt;&gt;"")*(MOVIMIENTOS!$A$5:$A$1005&lt;=$A111)*MOVIMIENTOS!$E$5:$E$1005)+SUMPRODUCT((MOVIMIENTOS!$B$5:$B$1005="AJUSTE")*(MOVIMIENTOS!$C$5:$C$1005="C")*(MOVIMIENTOS!$D$5:$D$1005="jabas")*(MOVIMIENTOS!$A$5:$A$1005&lt;&gt;"")*(MOVIMIENTOS!$A$5:$A$1005&lt;=$A111)*MOVIMIENTOS!$E$5:$E$1005))</f>
        <v/>
      </c>
      <c r="E111" s="63" t="str">
        <f>IF($A111="","",SUMPRODUCT((MOVIMIENTOS!$B$5:$B$1005="SALDO INICIAL")*(MOVIMIENTOS!$C$5:$C$1005="M")*(MOVIMIENTOS!$D$5:$D$1005="jabas")*(MOVIMIENTOS!$A$5:$A$1005&lt;&gt;"")*(MOVIMIENTOS!$A$5:$A$1005&lt;=$A111)*MOVIMIENTOS!$E$5:$E$1005)+SUMPRODUCT((MOVIMIENTOS!$B$5:$B$1005="PROCESO")*(MOVIMIENTOS!$C$5:$C$1005="M")*(MOVIMIENTOS!$D$5:$D$1005="jabas")*(MOVIMIENTOS!$A$5:$A$1005&lt;&gt;"")*(MOVIMIENTOS!$A$5:$A$1005&lt;=$A111)*MOVIMIENTOS!$E$5:$E$1005)-SUMPRODUCT((MOVIMIENTOS!$B$5:$B$1005="ENVÍO A SUPESA")*(MOVIMIENTOS!$C$5:$C$1005="M")*(MOVIMIENTOS!$D$5:$D$1005="jabas")*(MOVIMIENTOS!$A$5:$A$1005&lt;&gt;"")*(MOVIMIENTOS!$A$5:$A$1005&lt;=$A111)*MOVIMIENTOS!$E$5:$E$1005)+SUMPRODUCT((MOVIMIENTOS!$B$5:$B$1005="DEVOLUCIÓN")*(MOVIMIENTOS!$C$5:$C$1005="M")*(MOVIMIENTOS!$D$5:$D$1005="jabas")*(MOVIMIENTOS!$A$5:$A$1005&lt;&gt;"")*(MOVIMIENTOS!$A$5:$A$1005&lt;=$A111)*MOVIMIENTOS!$E$5:$E$1005)-SUMPRODUCT((MOVIMIENTOS!$B$5:$B$1005="TRASIEGO")*(MOVIMIENTOS!$C$5:$C$1005="M")*(MOVIMIENTOS!$D$5:$D$1005="jabas")*(MOVIMIENTOS!$A$5:$A$1005&lt;&gt;"")*(MOVIMIENTOS!$A$5:$A$1005&lt;=$A111)*MOVIMIENTOS!$E$5:$E$1005)-SUMPRODUCT((MOVIMIENTOS!$B$5:$B$1005="REGALO")*(MOVIMIENTOS!$C$5:$C$1005="M")*(MOVIMIENTOS!$D$5:$D$1005="jabas")*(MOVIMIENTOS!$A$5:$A$1005&lt;&gt;"")*(MOVIMIENTOS!$A$5:$A$1005&lt;=$A111)*MOVIMIENTOS!$E$5:$E$1005)-SUMPRODUCT((MOVIMIENTOS!$B$5:$B$1005="VENTA")*(MOVIMIENTOS!$C$5:$C$1005="M")*(MOVIMIENTOS!$D$5:$D$1005="jabas")*(MOVIMIENTOS!$A$5:$A$1005&lt;&gt;"")*(MOVIMIENTOS!$A$5:$A$1005&lt;=$A111)*MOVIMIENTOS!$E$5:$E$1005)+SUMPRODUCT((MOVIMIENTOS!$B$5:$B$1005="AJUSTE")*(MOVIMIENTOS!$C$5:$C$1005="M")*(MOVIMIENTOS!$D$5:$D$1005="jabas")*(MOVIMIENTOS!$A$5:$A$1005&lt;&gt;"")*(MOVIMIENTOS!$A$5:$A$1005&lt;=$A111)*MOVIMIENTOS!$E$5:$E$1005))</f>
        <v/>
      </c>
      <c r="F111" s="63" t="str">
        <f>IF($A111="","",SUMPRODUCT((MOVIMIENTOS!$B$5:$B$1005="SALDO INICIAL")*(MOVIMIENTOS!$C$5:$C$1005="Chancho")*(MOVIMIENTOS!$D$5:$D$1005="sacos")*(MOVIMIENTOS!$A$5:$A$1005&lt;&gt;"")*(MOVIMIENTOS!$A$5:$A$1005&lt;=$A111)*MOVIMIENTOS!$E$5:$E$1005)+SUMPRODUCT((MOVIMIENTOS!$B$5:$B$1005="PROCESO")*(MOVIMIENTOS!$C$5:$C$1005="Chancho")*(MOVIMIENTOS!$D$5:$D$1005="sacos")*(MOVIMIENTOS!$A$5:$A$1005&lt;&gt;"")*(MOVIMIENTOS!$A$5:$A$1005&lt;=$A111)*MOVIMIENTOS!$E$5:$E$1005)-SUMPRODUCT((MOVIMIENTOS!$B$5:$B$1005="VENTA CHANCHO")*(MOVIMIENTOS!$C$5:$C$1005="Chancho")*(MOVIMIENTOS!$D$5:$D$1005="sacos")*(MOVIMIENTOS!$A$5:$A$1005&lt;&gt;"")*(MOVIMIENTOS!$A$5:$A$1005&lt;=$A111)*MOVIMIENTOS!$E$5:$E$1005)-SUMPRODUCT((MOVIMIENTOS!$B$5:$B$1005="REGALO")*(MOVIMIENTOS!$C$5:$C$1005="Chancho")*(MOVIMIENTOS!$D$5:$D$1005="sacos")*(MOVIMIENTOS!$A$5:$A$1005&lt;&gt;"")*(MOVIMIENTOS!$A$5:$A$1005&lt;=$A111)*MOVIMIENTOS!$E$5:$E$1005)-SUMPRODUCT((MOVIMIENTOS!$B$5:$B$1005="VENTA")*(MOVIMIENTOS!$C$5:$C$1005="Chancho")*(MOVIMIENTOS!$D$5:$D$1005="sacos")*(MOVIMIENTOS!$A$5:$A$1005&lt;&gt;"")*(MOVIMIENTOS!$A$5:$A$1005&lt;=$A111)*MOVIMIENTOS!$E$5:$E$1005)+SUMPRODUCT((MOVIMIENTOS!$B$5:$B$1005="AJUSTE")*(MOVIMIENTOS!$C$5:$C$1005="Chancho")*(MOVIMIENTOS!$D$5:$D$1005="sacos")*(MOVIMIENTOS!$A$5:$A$1005&lt;&gt;"")*(MOVIMIENTOS!$A$5:$A$1005&lt;=$A111)*MOVIMIENTOS!$E$5:$E$1005))</f>
        <v/>
      </c>
      <c r="G111" s="95" t="str">
        <f t="shared" si="3"/>
        <v/>
      </c>
      <c r="H111" s="63" t="str">
        <f>IF($A111="","",SUMPRODUCT((((MOVIMIENTOS!$B$5:$B$1005="SALDO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111)*MOVIMIENTOS!$J$5:$J$1005))</f>
        <v/>
      </c>
      <c r="I111" s="63"/>
      <c r="J111" s="63" t="str">
        <f>IF(AND(MOVIMIENTOS!$A111&lt;&gt;"",COUNTIF(MOVIMIENTOS!$A$5:$A110,MOVIMIENTOS!$A111)=0),COUNT(J$4:J110)+1,"")</f>
        <v/>
      </c>
      <c r="K111" s="66">
        <f>MOVIMIENTOS!$A111</f>
        <v>46224</v>
      </c>
      <c r="L111" s="63"/>
      <c r="M111" s="63"/>
      <c r="N111" s="63"/>
    </row>
    <row r="112" spans="1:14" ht="15" customHeight="1" x14ac:dyDescent="0.2">
      <c r="A112" s="63" t="str">
        <f t="shared" si="2"/>
        <v/>
      </c>
      <c r="B112" s="63" t="str">
        <f>IF($A112="","",SUMPRODUCT((MOVIMIENTOS!$B$5:$B$1005="SALDO INICIAL")*(MOVIMIENTOS!$C$5:$C$1005="A")*(MOVIMIENTOS!$D$5:$D$1005="jabas")*(MOVIMIENTOS!$A$5:$A$1005&lt;&gt;"")*(MOVIMIENTOS!$A$5:$A$1005&lt;=$A112)*MOVIMIENTOS!$E$5:$E$1005)+SUMPRODUCT((MOVIMIENTOS!$B$5:$B$1005="PROCESO")*(MOVIMIENTOS!$C$5:$C$1005="A")*(MOVIMIENTOS!$D$5:$D$1005="jabas")*(MOVIMIENTOS!$A$5:$A$1005&lt;&gt;"")*(MOVIMIENTOS!$A$5:$A$1005&lt;=$A112)*MOVIMIENTOS!$E$5:$E$1005)-SUMPRODUCT((MOVIMIENTOS!$B$5:$B$1005="ENVÍO A SUPESA")*(MOVIMIENTOS!$C$5:$C$1005="A")*(MOVIMIENTOS!$D$5:$D$1005="jabas")*(MOVIMIENTOS!$A$5:$A$1005&lt;&gt;"")*(MOVIMIENTOS!$A$5:$A$1005&lt;=$A112)*MOVIMIENTOS!$E$5:$E$1005)+SUMPRODUCT((MOVIMIENTOS!$B$5:$B$1005="DEVOLUCIÓN")*(MOVIMIENTOS!$C$5:$C$1005="A")*(MOVIMIENTOS!$D$5:$D$1005="jabas")*(MOVIMIENTOS!$A$5:$A$1005&lt;&gt;"")*(MOVIMIENTOS!$A$5:$A$1005&lt;=$A112)*MOVIMIENTOS!$E$5:$E$1005)-SUMPRODUCT((MOVIMIENTOS!$B$5:$B$1005="TRASIEGO")*(MOVIMIENTOS!$C$5:$C$1005="A")*(MOVIMIENTOS!$D$5:$D$1005="jabas")*(MOVIMIENTOS!$A$5:$A$1005&lt;&gt;"")*(MOVIMIENTOS!$A$5:$A$1005&lt;=$A112)*MOVIMIENTOS!$E$5:$E$1005)-SUMPRODUCT((MOVIMIENTOS!$B$5:$B$1005="REGALO")*(MOVIMIENTOS!$C$5:$C$1005="A")*(MOVIMIENTOS!$D$5:$D$1005="jabas")*(MOVIMIENTOS!$A$5:$A$1005&lt;&gt;"")*(MOVIMIENTOS!$A$5:$A$1005&lt;=$A112)*MOVIMIENTOS!$E$5:$E$1005)-SUMPRODUCT((MOVIMIENTOS!$B$5:$B$1005="VENTA")*(MOVIMIENTOS!$C$5:$C$1005="A")*(MOVIMIENTOS!$D$5:$D$1005="jabas")*(MOVIMIENTOS!$A$5:$A$1005&lt;&gt;"")*(MOVIMIENTOS!$A$5:$A$1005&lt;=$A112)*MOVIMIENTOS!$E$5:$E$1005)+SUMPRODUCT((MOVIMIENTOS!$B$5:$B$1005="AJUSTE")*(MOVIMIENTOS!$C$5:$C$1005="A")*(MOVIMIENTOS!$D$5:$D$1005="jabas")*(MOVIMIENTOS!$A$5:$A$1005&lt;&gt;"")*(MOVIMIENTOS!$A$5:$A$1005&lt;=$A112)*MOVIMIENTOS!$E$5:$E$1005))</f>
        <v/>
      </c>
      <c r="C112" s="63" t="str">
        <f>IF($A112="","",SUMPRODUCT((MOVIMIENTOS!$B$5:$B$1005="SALDO INICIAL")*(MOVIMIENTOS!$C$5:$C$1005="P")*(MOVIMIENTOS!$D$5:$D$1005="jabas")*(MOVIMIENTOS!$A$5:$A$1005&lt;&gt;"")*(MOVIMIENTOS!$A$5:$A$1005&lt;=$A112)*MOVIMIENTOS!$E$5:$E$1005)+SUMPRODUCT((MOVIMIENTOS!$B$5:$B$1005="PROCESO")*(MOVIMIENTOS!$C$5:$C$1005="P")*(MOVIMIENTOS!$D$5:$D$1005="jabas")*(MOVIMIENTOS!$A$5:$A$1005&lt;&gt;"")*(MOVIMIENTOS!$A$5:$A$1005&lt;=$A112)*MOVIMIENTOS!$E$5:$E$1005)-SUMPRODUCT((MOVIMIENTOS!$B$5:$B$1005="ENVÍO A SUPESA")*(MOVIMIENTOS!$C$5:$C$1005="P")*(MOVIMIENTOS!$D$5:$D$1005="jabas")*(MOVIMIENTOS!$A$5:$A$1005&lt;&gt;"")*(MOVIMIENTOS!$A$5:$A$1005&lt;=$A112)*MOVIMIENTOS!$E$5:$E$1005)+SUMPRODUCT((MOVIMIENTOS!$B$5:$B$1005="DEVOLUCIÓN")*(MOVIMIENTOS!$C$5:$C$1005="P")*(MOVIMIENTOS!$D$5:$D$1005="jabas")*(MOVIMIENTOS!$A$5:$A$1005&lt;&gt;"")*(MOVIMIENTOS!$A$5:$A$1005&lt;=$A112)*MOVIMIENTOS!$E$5:$E$1005)-SUMPRODUCT((MOVIMIENTOS!$B$5:$B$1005="TRASIEGO")*(MOVIMIENTOS!$C$5:$C$1005="P")*(MOVIMIENTOS!$D$5:$D$1005="jabas")*(MOVIMIENTOS!$A$5:$A$1005&lt;&gt;"")*(MOVIMIENTOS!$A$5:$A$1005&lt;=$A112)*MOVIMIENTOS!$E$5:$E$1005)-SUMPRODUCT((MOVIMIENTOS!$B$5:$B$1005="REGALO")*(MOVIMIENTOS!$C$5:$C$1005="P")*(MOVIMIENTOS!$D$5:$D$1005="jabas")*(MOVIMIENTOS!$A$5:$A$1005&lt;&gt;"")*(MOVIMIENTOS!$A$5:$A$1005&lt;=$A112)*MOVIMIENTOS!$E$5:$E$1005)-SUMPRODUCT((MOVIMIENTOS!$B$5:$B$1005="VENTA")*(MOVIMIENTOS!$C$5:$C$1005="P")*(MOVIMIENTOS!$D$5:$D$1005="jabas")*(MOVIMIENTOS!$A$5:$A$1005&lt;&gt;"")*(MOVIMIENTOS!$A$5:$A$1005&lt;=$A112)*MOVIMIENTOS!$E$5:$E$1005)+SUMPRODUCT((MOVIMIENTOS!$B$5:$B$1005="AJUSTE")*(MOVIMIENTOS!$C$5:$C$1005="P")*(MOVIMIENTOS!$D$5:$D$1005="jabas")*(MOVIMIENTOS!$A$5:$A$1005&lt;&gt;"")*(MOVIMIENTOS!$A$5:$A$1005&lt;=$A112)*MOVIMIENTOS!$E$5:$E$1005))</f>
        <v/>
      </c>
      <c r="D112" s="63" t="str">
        <f>IF($A112="","",SUMPRODUCT((MOVIMIENTOS!$B$5:$B$1005="SALDO INICIAL")*(MOVIMIENTOS!$C$5:$C$1005="C")*(MOVIMIENTOS!$D$5:$D$1005="jabas")*(MOVIMIENTOS!$A$5:$A$1005&lt;&gt;"")*(MOVIMIENTOS!$A$5:$A$1005&lt;=$A112)*MOVIMIENTOS!$E$5:$E$1005)+SUMPRODUCT((MOVIMIENTOS!$B$5:$B$1005="PROCESO")*(MOVIMIENTOS!$C$5:$C$1005="C")*(MOVIMIENTOS!$D$5:$D$1005="jabas")*(MOVIMIENTOS!$A$5:$A$1005&lt;&gt;"")*(MOVIMIENTOS!$A$5:$A$1005&lt;=$A112)*MOVIMIENTOS!$E$5:$E$1005)-SUMPRODUCT((MOVIMIENTOS!$B$5:$B$1005="ENVÍO A SUPESA")*(MOVIMIENTOS!$C$5:$C$1005="C")*(MOVIMIENTOS!$D$5:$D$1005="jabas")*(MOVIMIENTOS!$A$5:$A$1005&lt;&gt;"")*(MOVIMIENTOS!$A$5:$A$1005&lt;=$A112)*MOVIMIENTOS!$E$5:$E$1005)+SUMPRODUCT((MOVIMIENTOS!$B$5:$B$1005="DEVOLUCIÓN")*(MOVIMIENTOS!$C$5:$C$1005="C")*(MOVIMIENTOS!$D$5:$D$1005="jabas")*(MOVIMIENTOS!$A$5:$A$1005&lt;&gt;"")*(MOVIMIENTOS!$A$5:$A$1005&lt;=$A112)*MOVIMIENTOS!$E$5:$E$1005)-SUMPRODUCT((MOVIMIENTOS!$B$5:$B$1005="TRASIEGO")*(MOVIMIENTOS!$C$5:$C$1005="C")*(MOVIMIENTOS!$D$5:$D$1005="jabas")*(MOVIMIENTOS!$A$5:$A$1005&lt;&gt;"")*(MOVIMIENTOS!$A$5:$A$1005&lt;=$A112)*MOVIMIENTOS!$E$5:$E$1005)-SUMPRODUCT((MOVIMIENTOS!$B$5:$B$1005="REGALO")*(MOVIMIENTOS!$C$5:$C$1005="C")*(MOVIMIENTOS!$D$5:$D$1005="jabas")*(MOVIMIENTOS!$A$5:$A$1005&lt;&gt;"")*(MOVIMIENTOS!$A$5:$A$1005&lt;=$A112)*MOVIMIENTOS!$E$5:$E$1005)-SUMPRODUCT((MOVIMIENTOS!$B$5:$B$1005="VENTA")*(MOVIMIENTOS!$C$5:$C$1005="C")*(MOVIMIENTOS!$D$5:$D$1005="jabas")*(MOVIMIENTOS!$A$5:$A$1005&lt;&gt;"")*(MOVIMIENTOS!$A$5:$A$1005&lt;=$A112)*MOVIMIENTOS!$E$5:$E$1005)+SUMPRODUCT((MOVIMIENTOS!$B$5:$B$1005="AJUSTE")*(MOVIMIENTOS!$C$5:$C$1005="C")*(MOVIMIENTOS!$D$5:$D$1005="jabas")*(MOVIMIENTOS!$A$5:$A$1005&lt;&gt;"")*(MOVIMIENTOS!$A$5:$A$1005&lt;=$A112)*MOVIMIENTOS!$E$5:$E$1005))</f>
        <v/>
      </c>
      <c r="E112" s="63" t="str">
        <f>IF($A112="","",SUMPRODUCT((MOVIMIENTOS!$B$5:$B$1005="SALDO INICIAL")*(MOVIMIENTOS!$C$5:$C$1005="M")*(MOVIMIENTOS!$D$5:$D$1005="jabas")*(MOVIMIENTOS!$A$5:$A$1005&lt;&gt;"")*(MOVIMIENTOS!$A$5:$A$1005&lt;=$A112)*MOVIMIENTOS!$E$5:$E$1005)+SUMPRODUCT((MOVIMIENTOS!$B$5:$B$1005="PROCESO")*(MOVIMIENTOS!$C$5:$C$1005="M")*(MOVIMIENTOS!$D$5:$D$1005="jabas")*(MOVIMIENTOS!$A$5:$A$1005&lt;&gt;"")*(MOVIMIENTOS!$A$5:$A$1005&lt;=$A112)*MOVIMIENTOS!$E$5:$E$1005)-SUMPRODUCT((MOVIMIENTOS!$B$5:$B$1005="ENVÍO A SUPESA")*(MOVIMIENTOS!$C$5:$C$1005="M")*(MOVIMIENTOS!$D$5:$D$1005="jabas")*(MOVIMIENTOS!$A$5:$A$1005&lt;&gt;"")*(MOVIMIENTOS!$A$5:$A$1005&lt;=$A112)*MOVIMIENTOS!$E$5:$E$1005)+SUMPRODUCT((MOVIMIENTOS!$B$5:$B$1005="DEVOLUCIÓN")*(MOVIMIENTOS!$C$5:$C$1005="M")*(MOVIMIENTOS!$D$5:$D$1005="jabas")*(MOVIMIENTOS!$A$5:$A$1005&lt;&gt;"")*(MOVIMIENTOS!$A$5:$A$1005&lt;=$A112)*MOVIMIENTOS!$E$5:$E$1005)-SUMPRODUCT((MOVIMIENTOS!$B$5:$B$1005="TRASIEGO")*(MOVIMIENTOS!$C$5:$C$1005="M")*(MOVIMIENTOS!$D$5:$D$1005="jabas")*(MOVIMIENTOS!$A$5:$A$1005&lt;&gt;"")*(MOVIMIENTOS!$A$5:$A$1005&lt;=$A112)*MOVIMIENTOS!$E$5:$E$1005)-SUMPRODUCT((MOVIMIENTOS!$B$5:$B$1005="REGALO")*(MOVIMIENTOS!$C$5:$C$1005="M")*(MOVIMIENTOS!$D$5:$D$1005="jabas")*(MOVIMIENTOS!$A$5:$A$1005&lt;&gt;"")*(MOVIMIENTOS!$A$5:$A$1005&lt;=$A112)*MOVIMIENTOS!$E$5:$E$1005)-SUMPRODUCT((MOVIMIENTOS!$B$5:$B$1005="VENTA")*(MOVIMIENTOS!$C$5:$C$1005="M")*(MOVIMIENTOS!$D$5:$D$1005="jabas")*(MOVIMIENTOS!$A$5:$A$1005&lt;&gt;"")*(MOVIMIENTOS!$A$5:$A$1005&lt;=$A112)*MOVIMIENTOS!$E$5:$E$1005)+SUMPRODUCT((MOVIMIENTOS!$B$5:$B$1005="AJUSTE")*(MOVIMIENTOS!$C$5:$C$1005="M")*(MOVIMIENTOS!$D$5:$D$1005="jabas")*(MOVIMIENTOS!$A$5:$A$1005&lt;&gt;"")*(MOVIMIENTOS!$A$5:$A$1005&lt;=$A112)*MOVIMIENTOS!$E$5:$E$1005))</f>
        <v/>
      </c>
      <c r="F112" s="63" t="str">
        <f>IF($A112="","",SUMPRODUCT((MOVIMIENTOS!$B$5:$B$1005="SALDO INICIAL")*(MOVIMIENTOS!$C$5:$C$1005="Chancho")*(MOVIMIENTOS!$D$5:$D$1005="sacos")*(MOVIMIENTOS!$A$5:$A$1005&lt;&gt;"")*(MOVIMIENTOS!$A$5:$A$1005&lt;=$A112)*MOVIMIENTOS!$E$5:$E$1005)+SUMPRODUCT((MOVIMIENTOS!$B$5:$B$1005="PROCESO")*(MOVIMIENTOS!$C$5:$C$1005="Chancho")*(MOVIMIENTOS!$D$5:$D$1005="sacos")*(MOVIMIENTOS!$A$5:$A$1005&lt;&gt;"")*(MOVIMIENTOS!$A$5:$A$1005&lt;=$A112)*MOVIMIENTOS!$E$5:$E$1005)-SUMPRODUCT((MOVIMIENTOS!$B$5:$B$1005="VENTA CHANCHO")*(MOVIMIENTOS!$C$5:$C$1005="Chancho")*(MOVIMIENTOS!$D$5:$D$1005="sacos")*(MOVIMIENTOS!$A$5:$A$1005&lt;&gt;"")*(MOVIMIENTOS!$A$5:$A$1005&lt;=$A112)*MOVIMIENTOS!$E$5:$E$1005)-SUMPRODUCT((MOVIMIENTOS!$B$5:$B$1005="REGALO")*(MOVIMIENTOS!$C$5:$C$1005="Chancho")*(MOVIMIENTOS!$D$5:$D$1005="sacos")*(MOVIMIENTOS!$A$5:$A$1005&lt;&gt;"")*(MOVIMIENTOS!$A$5:$A$1005&lt;=$A112)*MOVIMIENTOS!$E$5:$E$1005)-SUMPRODUCT((MOVIMIENTOS!$B$5:$B$1005="VENTA")*(MOVIMIENTOS!$C$5:$C$1005="Chancho")*(MOVIMIENTOS!$D$5:$D$1005="sacos")*(MOVIMIENTOS!$A$5:$A$1005&lt;&gt;"")*(MOVIMIENTOS!$A$5:$A$1005&lt;=$A112)*MOVIMIENTOS!$E$5:$E$1005)+SUMPRODUCT((MOVIMIENTOS!$B$5:$B$1005="AJUSTE")*(MOVIMIENTOS!$C$5:$C$1005="Chancho")*(MOVIMIENTOS!$D$5:$D$1005="sacos")*(MOVIMIENTOS!$A$5:$A$1005&lt;&gt;"")*(MOVIMIENTOS!$A$5:$A$1005&lt;=$A112)*MOVIMIENTOS!$E$5:$E$1005))</f>
        <v/>
      </c>
      <c r="G112" s="95" t="str">
        <f t="shared" si="3"/>
        <v/>
      </c>
      <c r="H112" s="63" t="str">
        <f>IF($A112="","",SUMPRODUCT((((MOVIMIENTOS!$B$5:$B$1005="SALDO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112)*MOVIMIENTOS!$J$5:$J$1005))</f>
        <v/>
      </c>
      <c r="I112" s="63"/>
      <c r="J112" s="63" t="str">
        <f>IF(AND(MOVIMIENTOS!$A112&lt;&gt;"",COUNTIF(MOVIMIENTOS!$A$5:$A111,MOVIMIENTOS!$A112)=0),COUNT(J$4:J111)+1,"")</f>
        <v/>
      </c>
      <c r="K112" s="66">
        <f>MOVIMIENTOS!$A112</f>
        <v>46224</v>
      </c>
      <c r="L112" s="63"/>
      <c r="M112" s="63"/>
      <c r="N112" s="63"/>
    </row>
    <row r="113" spans="1:14" ht="15" customHeight="1" x14ac:dyDescent="0.2">
      <c r="A113" s="63" t="str">
        <f t="shared" si="2"/>
        <v/>
      </c>
      <c r="B113" s="63" t="str">
        <f>IF($A113="","",SUMPRODUCT((MOVIMIENTOS!$B$5:$B$1005="SALDO INICIAL")*(MOVIMIENTOS!$C$5:$C$1005="A")*(MOVIMIENTOS!$D$5:$D$1005="jabas")*(MOVIMIENTOS!$A$5:$A$1005&lt;&gt;"")*(MOVIMIENTOS!$A$5:$A$1005&lt;=$A113)*MOVIMIENTOS!$E$5:$E$1005)+SUMPRODUCT((MOVIMIENTOS!$B$5:$B$1005="PROCESO")*(MOVIMIENTOS!$C$5:$C$1005="A")*(MOVIMIENTOS!$D$5:$D$1005="jabas")*(MOVIMIENTOS!$A$5:$A$1005&lt;&gt;"")*(MOVIMIENTOS!$A$5:$A$1005&lt;=$A113)*MOVIMIENTOS!$E$5:$E$1005)-SUMPRODUCT((MOVIMIENTOS!$B$5:$B$1005="ENVÍO A SUPESA")*(MOVIMIENTOS!$C$5:$C$1005="A")*(MOVIMIENTOS!$D$5:$D$1005="jabas")*(MOVIMIENTOS!$A$5:$A$1005&lt;&gt;"")*(MOVIMIENTOS!$A$5:$A$1005&lt;=$A113)*MOVIMIENTOS!$E$5:$E$1005)+SUMPRODUCT((MOVIMIENTOS!$B$5:$B$1005="DEVOLUCIÓN")*(MOVIMIENTOS!$C$5:$C$1005="A")*(MOVIMIENTOS!$D$5:$D$1005="jabas")*(MOVIMIENTOS!$A$5:$A$1005&lt;&gt;"")*(MOVIMIENTOS!$A$5:$A$1005&lt;=$A113)*MOVIMIENTOS!$E$5:$E$1005)-SUMPRODUCT((MOVIMIENTOS!$B$5:$B$1005="TRASIEGO")*(MOVIMIENTOS!$C$5:$C$1005="A")*(MOVIMIENTOS!$D$5:$D$1005="jabas")*(MOVIMIENTOS!$A$5:$A$1005&lt;&gt;"")*(MOVIMIENTOS!$A$5:$A$1005&lt;=$A113)*MOVIMIENTOS!$E$5:$E$1005)-SUMPRODUCT((MOVIMIENTOS!$B$5:$B$1005="REGALO")*(MOVIMIENTOS!$C$5:$C$1005="A")*(MOVIMIENTOS!$D$5:$D$1005="jabas")*(MOVIMIENTOS!$A$5:$A$1005&lt;&gt;"")*(MOVIMIENTOS!$A$5:$A$1005&lt;=$A113)*MOVIMIENTOS!$E$5:$E$1005)-SUMPRODUCT((MOVIMIENTOS!$B$5:$B$1005="VENTA")*(MOVIMIENTOS!$C$5:$C$1005="A")*(MOVIMIENTOS!$D$5:$D$1005="jabas")*(MOVIMIENTOS!$A$5:$A$1005&lt;&gt;"")*(MOVIMIENTOS!$A$5:$A$1005&lt;=$A113)*MOVIMIENTOS!$E$5:$E$1005)+SUMPRODUCT((MOVIMIENTOS!$B$5:$B$1005="AJUSTE")*(MOVIMIENTOS!$C$5:$C$1005="A")*(MOVIMIENTOS!$D$5:$D$1005="jabas")*(MOVIMIENTOS!$A$5:$A$1005&lt;&gt;"")*(MOVIMIENTOS!$A$5:$A$1005&lt;=$A113)*MOVIMIENTOS!$E$5:$E$1005))</f>
        <v/>
      </c>
      <c r="C113" s="63" t="str">
        <f>IF($A113="","",SUMPRODUCT((MOVIMIENTOS!$B$5:$B$1005="SALDO INICIAL")*(MOVIMIENTOS!$C$5:$C$1005="P")*(MOVIMIENTOS!$D$5:$D$1005="jabas")*(MOVIMIENTOS!$A$5:$A$1005&lt;&gt;"")*(MOVIMIENTOS!$A$5:$A$1005&lt;=$A113)*MOVIMIENTOS!$E$5:$E$1005)+SUMPRODUCT((MOVIMIENTOS!$B$5:$B$1005="PROCESO")*(MOVIMIENTOS!$C$5:$C$1005="P")*(MOVIMIENTOS!$D$5:$D$1005="jabas")*(MOVIMIENTOS!$A$5:$A$1005&lt;&gt;"")*(MOVIMIENTOS!$A$5:$A$1005&lt;=$A113)*MOVIMIENTOS!$E$5:$E$1005)-SUMPRODUCT((MOVIMIENTOS!$B$5:$B$1005="ENVÍO A SUPESA")*(MOVIMIENTOS!$C$5:$C$1005="P")*(MOVIMIENTOS!$D$5:$D$1005="jabas")*(MOVIMIENTOS!$A$5:$A$1005&lt;&gt;"")*(MOVIMIENTOS!$A$5:$A$1005&lt;=$A113)*MOVIMIENTOS!$E$5:$E$1005)+SUMPRODUCT((MOVIMIENTOS!$B$5:$B$1005="DEVOLUCIÓN")*(MOVIMIENTOS!$C$5:$C$1005="P")*(MOVIMIENTOS!$D$5:$D$1005="jabas")*(MOVIMIENTOS!$A$5:$A$1005&lt;&gt;"")*(MOVIMIENTOS!$A$5:$A$1005&lt;=$A113)*MOVIMIENTOS!$E$5:$E$1005)-SUMPRODUCT((MOVIMIENTOS!$B$5:$B$1005="TRASIEGO")*(MOVIMIENTOS!$C$5:$C$1005="P")*(MOVIMIENTOS!$D$5:$D$1005="jabas")*(MOVIMIENTOS!$A$5:$A$1005&lt;&gt;"")*(MOVIMIENTOS!$A$5:$A$1005&lt;=$A113)*MOVIMIENTOS!$E$5:$E$1005)-SUMPRODUCT((MOVIMIENTOS!$B$5:$B$1005="REGALO")*(MOVIMIENTOS!$C$5:$C$1005="P")*(MOVIMIENTOS!$D$5:$D$1005="jabas")*(MOVIMIENTOS!$A$5:$A$1005&lt;&gt;"")*(MOVIMIENTOS!$A$5:$A$1005&lt;=$A113)*MOVIMIENTOS!$E$5:$E$1005)-SUMPRODUCT((MOVIMIENTOS!$B$5:$B$1005="VENTA")*(MOVIMIENTOS!$C$5:$C$1005="P")*(MOVIMIENTOS!$D$5:$D$1005="jabas")*(MOVIMIENTOS!$A$5:$A$1005&lt;&gt;"")*(MOVIMIENTOS!$A$5:$A$1005&lt;=$A113)*MOVIMIENTOS!$E$5:$E$1005)+SUMPRODUCT((MOVIMIENTOS!$B$5:$B$1005="AJUSTE")*(MOVIMIENTOS!$C$5:$C$1005="P")*(MOVIMIENTOS!$D$5:$D$1005="jabas")*(MOVIMIENTOS!$A$5:$A$1005&lt;&gt;"")*(MOVIMIENTOS!$A$5:$A$1005&lt;=$A113)*MOVIMIENTOS!$E$5:$E$1005))</f>
        <v/>
      </c>
      <c r="D113" s="63" t="str">
        <f>IF($A113="","",SUMPRODUCT((MOVIMIENTOS!$B$5:$B$1005="SALDO INICIAL")*(MOVIMIENTOS!$C$5:$C$1005="C")*(MOVIMIENTOS!$D$5:$D$1005="jabas")*(MOVIMIENTOS!$A$5:$A$1005&lt;&gt;"")*(MOVIMIENTOS!$A$5:$A$1005&lt;=$A113)*MOVIMIENTOS!$E$5:$E$1005)+SUMPRODUCT((MOVIMIENTOS!$B$5:$B$1005="PROCESO")*(MOVIMIENTOS!$C$5:$C$1005="C")*(MOVIMIENTOS!$D$5:$D$1005="jabas")*(MOVIMIENTOS!$A$5:$A$1005&lt;&gt;"")*(MOVIMIENTOS!$A$5:$A$1005&lt;=$A113)*MOVIMIENTOS!$E$5:$E$1005)-SUMPRODUCT((MOVIMIENTOS!$B$5:$B$1005="ENVÍO A SUPESA")*(MOVIMIENTOS!$C$5:$C$1005="C")*(MOVIMIENTOS!$D$5:$D$1005="jabas")*(MOVIMIENTOS!$A$5:$A$1005&lt;&gt;"")*(MOVIMIENTOS!$A$5:$A$1005&lt;=$A113)*MOVIMIENTOS!$E$5:$E$1005)+SUMPRODUCT((MOVIMIENTOS!$B$5:$B$1005="DEVOLUCIÓN")*(MOVIMIENTOS!$C$5:$C$1005="C")*(MOVIMIENTOS!$D$5:$D$1005="jabas")*(MOVIMIENTOS!$A$5:$A$1005&lt;&gt;"")*(MOVIMIENTOS!$A$5:$A$1005&lt;=$A113)*MOVIMIENTOS!$E$5:$E$1005)-SUMPRODUCT((MOVIMIENTOS!$B$5:$B$1005="TRASIEGO")*(MOVIMIENTOS!$C$5:$C$1005="C")*(MOVIMIENTOS!$D$5:$D$1005="jabas")*(MOVIMIENTOS!$A$5:$A$1005&lt;&gt;"")*(MOVIMIENTOS!$A$5:$A$1005&lt;=$A113)*MOVIMIENTOS!$E$5:$E$1005)-SUMPRODUCT((MOVIMIENTOS!$B$5:$B$1005="REGALO")*(MOVIMIENTOS!$C$5:$C$1005="C")*(MOVIMIENTOS!$D$5:$D$1005="jabas")*(MOVIMIENTOS!$A$5:$A$1005&lt;&gt;"")*(MOVIMIENTOS!$A$5:$A$1005&lt;=$A113)*MOVIMIENTOS!$E$5:$E$1005)-SUMPRODUCT((MOVIMIENTOS!$B$5:$B$1005="VENTA")*(MOVIMIENTOS!$C$5:$C$1005="C")*(MOVIMIENTOS!$D$5:$D$1005="jabas")*(MOVIMIENTOS!$A$5:$A$1005&lt;&gt;"")*(MOVIMIENTOS!$A$5:$A$1005&lt;=$A113)*MOVIMIENTOS!$E$5:$E$1005)+SUMPRODUCT((MOVIMIENTOS!$B$5:$B$1005="AJUSTE")*(MOVIMIENTOS!$C$5:$C$1005="C")*(MOVIMIENTOS!$D$5:$D$1005="jabas")*(MOVIMIENTOS!$A$5:$A$1005&lt;&gt;"")*(MOVIMIENTOS!$A$5:$A$1005&lt;=$A113)*MOVIMIENTOS!$E$5:$E$1005))</f>
        <v/>
      </c>
      <c r="E113" s="63" t="str">
        <f>IF($A113="","",SUMPRODUCT((MOVIMIENTOS!$B$5:$B$1005="SALDO INICIAL")*(MOVIMIENTOS!$C$5:$C$1005="M")*(MOVIMIENTOS!$D$5:$D$1005="jabas")*(MOVIMIENTOS!$A$5:$A$1005&lt;&gt;"")*(MOVIMIENTOS!$A$5:$A$1005&lt;=$A113)*MOVIMIENTOS!$E$5:$E$1005)+SUMPRODUCT((MOVIMIENTOS!$B$5:$B$1005="PROCESO")*(MOVIMIENTOS!$C$5:$C$1005="M")*(MOVIMIENTOS!$D$5:$D$1005="jabas")*(MOVIMIENTOS!$A$5:$A$1005&lt;&gt;"")*(MOVIMIENTOS!$A$5:$A$1005&lt;=$A113)*MOVIMIENTOS!$E$5:$E$1005)-SUMPRODUCT((MOVIMIENTOS!$B$5:$B$1005="ENVÍO A SUPESA")*(MOVIMIENTOS!$C$5:$C$1005="M")*(MOVIMIENTOS!$D$5:$D$1005="jabas")*(MOVIMIENTOS!$A$5:$A$1005&lt;&gt;"")*(MOVIMIENTOS!$A$5:$A$1005&lt;=$A113)*MOVIMIENTOS!$E$5:$E$1005)+SUMPRODUCT((MOVIMIENTOS!$B$5:$B$1005="DEVOLUCIÓN")*(MOVIMIENTOS!$C$5:$C$1005="M")*(MOVIMIENTOS!$D$5:$D$1005="jabas")*(MOVIMIENTOS!$A$5:$A$1005&lt;&gt;"")*(MOVIMIENTOS!$A$5:$A$1005&lt;=$A113)*MOVIMIENTOS!$E$5:$E$1005)-SUMPRODUCT((MOVIMIENTOS!$B$5:$B$1005="TRASIEGO")*(MOVIMIENTOS!$C$5:$C$1005="M")*(MOVIMIENTOS!$D$5:$D$1005="jabas")*(MOVIMIENTOS!$A$5:$A$1005&lt;&gt;"")*(MOVIMIENTOS!$A$5:$A$1005&lt;=$A113)*MOVIMIENTOS!$E$5:$E$1005)-SUMPRODUCT((MOVIMIENTOS!$B$5:$B$1005="REGALO")*(MOVIMIENTOS!$C$5:$C$1005="M")*(MOVIMIENTOS!$D$5:$D$1005="jabas")*(MOVIMIENTOS!$A$5:$A$1005&lt;&gt;"")*(MOVIMIENTOS!$A$5:$A$1005&lt;=$A113)*MOVIMIENTOS!$E$5:$E$1005)-SUMPRODUCT((MOVIMIENTOS!$B$5:$B$1005="VENTA")*(MOVIMIENTOS!$C$5:$C$1005="M")*(MOVIMIENTOS!$D$5:$D$1005="jabas")*(MOVIMIENTOS!$A$5:$A$1005&lt;&gt;"")*(MOVIMIENTOS!$A$5:$A$1005&lt;=$A113)*MOVIMIENTOS!$E$5:$E$1005)+SUMPRODUCT((MOVIMIENTOS!$B$5:$B$1005="AJUSTE")*(MOVIMIENTOS!$C$5:$C$1005="M")*(MOVIMIENTOS!$D$5:$D$1005="jabas")*(MOVIMIENTOS!$A$5:$A$1005&lt;&gt;"")*(MOVIMIENTOS!$A$5:$A$1005&lt;=$A113)*MOVIMIENTOS!$E$5:$E$1005))</f>
        <v/>
      </c>
      <c r="F113" s="63" t="str">
        <f>IF($A113="","",SUMPRODUCT((MOVIMIENTOS!$B$5:$B$1005="SALDO INICIAL")*(MOVIMIENTOS!$C$5:$C$1005="Chancho")*(MOVIMIENTOS!$D$5:$D$1005="sacos")*(MOVIMIENTOS!$A$5:$A$1005&lt;&gt;"")*(MOVIMIENTOS!$A$5:$A$1005&lt;=$A113)*MOVIMIENTOS!$E$5:$E$1005)+SUMPRODUCT((MOVIMIENTOS!$B$5:$B$1005="PROCESO")*(MOVIMIENTOS!$C$5:$C$1005="Chancho")*(MOVIMIENTOS!$D$5:$D$1005="sacos")*(MOVIMIENTOS!$A$5:$A$1005&lt;&gt;"")*(MOVIMIENTOS!$A$5:$A$1005&lt;=$A113)*MOVIMIENTOS!$E$5:$E$1005)-SUMPRODUCT((MOVIMIENTOS!$B$5:$B$1005="VENTA CHANCHO")*(MOVIMIENTOS!$C$5:$C$1005="Chancho")*(MOVIMIENTOS!$D$5:$D$1005="sacos")*(MOVIMIENTOS!$A$5:$A$1005&lt;&gt;"")*(MOVIMIENTOS!$A$5:$A$1005&lt;=$A113)*MOVIMIENTOS!$E$5:$E$1005)-SUMPRODUCT((MOVIMIENTOS!$B$5:$B$1005="REGALO")*(MOVIMIENTOS!$C$5:$C$1005="Chancho")*(MOVIMIENTOS!$D$5:$D$1005="sacos")*(MOVIMIENTOS!$A$5:$A$1005&lt;&gt;"")*(MOVIMIENTOS!$A$5:$A$1005&lt;=$A113)*MOVIMIENTOS!$E$5:$E$1005)-SUMPRODUCT((MOVIMIENTOS!$B$5:$B$1005="VENTA")*(MOVIMIENTOS!$C$5:$C$1005="Chancho")*(MOVIMIENTOS!$D$5:$D$1005="sacos")*(MOVIMIENTOS!$A$5:$A$1005&lt;&gt;"")*(MOVIMIENTOS!$A$5:$A$1005&lt;=$A113)*MOVIMIENTOS!$E$5:$E$1005)+SUMPRODUCT((MOVIMIENTOS!$B$5:$B$1005="AJUSTE")*(MOVIMIENTOS!$C$5:$C$1005="Chancho")*(MOVIMIENTOS!$D$5:$D$1005="sacos")*(MOVIMIENTOS!$A$5:$A$1005&lt;&gt;"")*(MOVIMIENTOS!$A$5:$A$1005&lt;=$A113)*MOVIMIENTOS!$E$5:$E$1005))</f>
        <v/>
      </c>
      <c r="G113" s="95" t="str">
        <f t="shared" si="3"/>
        <v/>
      </c>
      <c r="H113" s="63" t="str">
        <f>IF($A113="","",SUMPRODUCT((((MOVIMIENTOS!$B$5:$B$1005="SALDO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113)*MOVIMIENTOS!$J$5:$J$1005))</f>
        <v/>
      </c>
      <c r="I113" s="63"/>
      <c r="J113" s="63" t="str">
        <f>IF(AND(MOVIMIENTOS!$A113&lt;&gt;"",COUNTIF(MOVIMIENTOS!$A$5:$A112,MOVIMIENTOS!$A113)=0),COUNT(J$4:J112)+1,"")</f>
        <v/>
      </c>
      <c r="K113" s="66">
        <f>MOVIMIENTOS!$A113</f>
        <v>46224</v>
      </c>
      <c r="L113" s="63"/>
      <c r="M113" s="63"/>
      <c r="N113" s="63"/>
    </row>
    <row r="114" spans="1:14" ht="15" customHeight="1" x14ac:dyDescent="0.2">
      <c r="A114" s="63" t="str">
        <f t="shared" si="2"/>
        <v/>
      </c>
      <c r="B114" s="63" t="str">
        <f>IF($A114="","",SUMPRODUCT((MOVIMIENTOS!$B$5:$B$1005="SALDO INICIAL")*(MOVIMIENTOS!$C$5:$C$1005="A")*(MOVIMIENTOS!$D$5:$D$1005="jabas")*(MOVIMIENTOS!$A$5:$A$1005&lt;&gt;"")*(MOVIMIENTOS!$A$5:$A$1005&lt;=$A114)*MOVIMIENTOS!$E$5:$E$1005)+SUMPRODUCT((MOVIMIENTOS!$B$5:$B$1005="PROCESO")*(MOVIMIENTOS!$C$5:$C$1005="A")*(MOVIMIENTOS!$D$5:$D$1005="jabas")*(MOVIMIENTOS!$A$5:$A$1005&lt;&gt;"")*(MOVIMIENTOS!$A$5:$A$1005&lt;=$A114)*MOVIMIENTOS!$E$5:$E$1005)-SUMPRODUCT((MOVIMIENTOS!$B$5:$B$1005="ENVÍO A SUPESA")*(MOVIMIENTOS!$C$5:$C$1005="A")*(MOVIMIENTOS!$D$5:$D$1005="jabas")*(MOVIMIENTOS!$A$5:$A$1005&lt;&gt;"")*(MOVIMIENTOS!$A$5:$A$1005&lt;=$A114)*MOVIMIENTOS!$E$5:$E$1005)+SUMPRODUCT((MOVIMIENTOS!$B$5:$B$1005="DEVOLUCIÓN")*(MOVIMIENTOS!$C$5:$C$1005="A")*(MOVIMIENTOS!$D$5:$D$1005="jabas")*(MOVIMIENTOS!$A$5:$A$1005&lt;&gt;"")*(MOVIMIENTOS!$A$5:$A$1005&lt;=$A114)*MOVIMIENTOS!$E$5:$E$1005)-SUMPRODUCT((MOVIMIENTOS!$B$5:$B$1005="TRASIEGO")*(MOVIMIENTOS!$C$5:$C$1005="A")*(MOVIMIENTOS!$D$5:$D$1005="jabas")*(MOVIMIENTOS!$A$5:$A$1005&lt;&gt;"")*(MOVIMIENTOS!$A$5:$A$1005&lt;=$A114)*MOVIMIENTOS!$E$5:$E$1005)-SUMPRODUCT((MOVIMIENTOS!$B$5:$B$1005="REGALO")*(MOVIMIENTOS!$C$5:$C$1005="A")*(MOVIMIENTOS!$D$5:$D$1005="jabas")*(MOVIMIENTOS!$A$5:$A$1005&lt;&gt;"")*(MOVIMIENTOS!$A$5:$A$1005&lt;=$A114)*MOVIMIENTOS!$E$5:$E$1005)-SUMPRODUCT((MOVIMIENTOS!$B$5:$B$1005="VENTA")*(MOVIMIENTOS!$C$5:$C$1005="A")*(MOVIMIENTOS!$D$5:$D$1005="jabas")*(MOVIMIENTOS!$A$5:$A$1005&lt;&gt;"")*(MOVIMIENTOS!$A$5:$A$1005&lt;=$A114)*MOVIMIENTOS!$E$5:$E$1005)+SUMPRODUCT((MOVIMIENTOS!$B$5:$B$1005="AJUSTE")*(MOVIMIENTOS!$C$5:$C$1005="A")*(MOVIMIENTOS!$D$5:$D$1005="jabas")*(MOVIMIENTOS!$A$5:$A$1005&lt;&gt;"")*(MOVIMIENTOS!$A$5:$A$1005&lt;=$A114)*MOVIMIENTOS!$E$5:$E$1005))</f>
        <v/>
      </c>
      <c r="C114" s="63" t="str">
        <f>IF($A114="","",SUMPRODUCT((MOVIMIENTOS!$B$5:$B$1005="SALDO INICIAL")*(MOVIMIENTOS!$C$5:$C$1005="P")*(MOVIMIENTOS!$D$5:$D$1005="jabas")*(MOVIMIENTOS!$A$5:$A$1005&lt;&gt;"")*(MOVIMIENTOS!$A$5:$A$1005&lt;=$A114)*MOVIMIENTOS!$E$5:$E$1005)+SUMPRODUCT((MOVIMIENTOS!$B$5:$B$1005="PROCESO")*(MOVIMIENTOS!$C$5:$C$1005="P")*(MOVIMIENTOS!$D$5:$D$1005="jabas")*(MOVIMIENTOS!$A$5:$A$1005&lt;&gt;"")*(MOVIMIENTOS!$A$5:$A$1005&lt;=$A114)*MOVIMIENTOS!$E$5:$E$1005)-SUMPRODUCT((MOVIMIENTOS!$B$5:$B$1005="ENVÍO A SUPESA")*(MOVIMIENTOS!$C$5:$C$1005="P")*(MOVIMIENTOS!$D$5:$D$1005="jabas")*(MOVIMIENTOS!$A$5:$A$1005&lt;&gt;"")*(MOVIMIENTOS!$A$5:$A$1005&lt;=$A114)*MOVIMIENTOS!$E$5:$E$1005)+SUMPRODUCT((MOVIMIENTOS!$B$5:$B$1005="DEVOLUCIÓN")*(MOVIMIENTOS!$C$5:$C$1005="P")*(MOVIMIENTOS!$D$5:$D$1005="jabas")*(MOVIMIENTOS!$A$5:$A$1005&lt;&gt;"")*(MOVIMIENTOS!$A$5:$A$1005&lt;=$A114)*MOVIMIENTOS!$E$5:$E$1005)-SUMPRODUCT((MOVIMIENTOS!$B$5:$B$1005="TRASIEGO")*(MOVIMIENTOS!$C$5:$C$1005="P")*(MOVIMIENTOS!$D$5:$D$1005="jabas")*(MOVIMIENTOS!$A$5:$A$1005&lt;&gt;"")*(MOVIMIENTOS!$A$5:$A$1005&lt;=$A114)*MOVIMIENTOS!$E$5:$E$1005)-SUMPRODUCT((MOVIMIENTOS!$B$5:$B$1005="REGALO")*(MOVIMIENTOS!$C$5:$C$1005="P")*(MOVIMIENTOS!$D$5:$D$1005="jabas")*(MOVIMIENTOS!$A$5:$A$1005&lt;&gt;"")*(MOVIMIENTOS!$A$5:$A$1005&lt;=$A114)*MOVIMIENTOS!$E$5:$E$1005)-SUMPRODUCT((MOVIMIENTOS!$B$5:$B$1005="VENTA")*(MOVIMIENTOS!$C$5:$C$1005="P")*(MOVIMIENTOS!$D$5:$D$1005="jabas")*(MOVIMIENTOS!$A$5:$A$1005&lt;&gt;"")*(MOVIMIENTOS!$A$5:$A$1005&lt;=$A114)*MOVIMIENTOS!$E$5:$E$1005)+SUMPRODUCT((MOVIMIENTOS!$B$5:$B$1005="AJUSTE")*(MOVIMIENTOS!$C$5:$C$1005="P")*(MOVIMIENTOS!$D$5:$D$1005="jabas")*(MOVIMIENTOS!$A$5:$A$1005&lt;&gt;"")*(MOVIMIENTOS!$A$5:$A$1005&lt;=$A114)*MOVIMIENTOS!$E$5:$E$1005))</f>
        <v/>
      </c>
      <c r="D114" s="63" t="str">
        <f>IF($A114="","",SUMPRODUCT((MOVIMIENTOS!$B$5:$B$1005="SALDO INICIAL")*(MOVIMIENTOS!$C$5:$C$1005="C")*(MOVIMIENTOS!$D$5:$D$1005="jabas")*(MOVIMIENTOS!$A$5:$A$1005&lt;&gt;"")*(MOVIMIENTOS!$A$5:$A$1005&lt;=$A114)*MOVIMIENTOS!$E$5:$E$1005)+SUMPRODUCT((MOVIMIENTOS!$B$5:$B$1005="PROCESO")*(MOVIMIENTOS!$C$5:$C$1005="C")*(MOVIMIENTOS!$D$5:$D$1005="jabas")*(MOVIMIENTOS!$A$5:$A$1005&lt;&gt;"")*(MOVIMIENTOS!$A$5:$A$1005&lt;=$A114)*MOVIMIENTOS!$E$5:$E$1005)-SUMPRODUCT((MOVIMIENTOS!$B$5:$B$1005="ENVÍO A SUPESA")*(MOVIMIENTOS!$C$5:$C$1005="C")*(MOVIMIENTOS!$D$5:$D$1005="jabas")*(MOVIMIENTOS!$A$5:$A$1005&lt;&gt;"")*(MOVIMIENTOS!$A$5:$A$1005&lt;=$A114)*MOVIMIENTOS!$E$5:$E$1005)+SUMPRODUCT((MOVIMIENTOS!$B$5:$B$1005="DEVOLUCIÓN")*(MOVIMIENTOS!$C$5:$C$1005="C")*(MOVIMIENTOS!$D$5:$D$1005="jabas")*(MOVIMIENTOS!$A$5:$A$1005&lt;&gt;"")*(MOVIMIENTOS!$A$5:$A$1005&lt;=$A114)*MOVIMIENTOS!$E$5:$E$1005)-SUMPRODUCT((MOVIMIENTOS!$B$5:$B$1005="TRASIEGO")*(MOVIMIENTOS!$C$5:$C$1005="C")*(MOVIMIENTOS!$D$5:$D$1005="jabas")*(MOVIMIENTOS!$A$5:$A$1005&lt;&gt;"")*(MOVIMIENTOS!$A$5:$A$1005&lt;=$A114)*MOVIMIENTOS!$E$5:$E$1005)-SUMPRODUCT((MOVIMIENTOS!$B$5:$B$1005="REGALO")*(MOVIMIENTOS!$C$5:$C$1005="C")*(MOVIMIENTOS!$D$5:$D$1005="jabas")*(MOVIMIENTOS!$A$5:$A$1005&lt;&gt;"")*(MOVIMIENTOS!$A$5:$A$1005&lt;=$A114)*MOVIMIENTOS!$E$5:$E$1005)-SUMPRODUCT((MOVIMIENTOS!$B$5:$B$1005="VENTA")*(MOVIMIENTOS!$C$5:$C$1005="C")*(MOVIMIENTOS!$D$5:$D$1005="jabas")*(MOVIMIENTOS!$A$5:$A$1005&lt;&gt;"")*(MOVIMIENTOS!$A$5:$A$1005&lt;=$A114)*MOVIMIENTOS!$E$5:$E$1005)+SUMPRODUCT((MOVIMIENTOS!$B$5:$B$1005="AJUSTE")*(MOVIMIENTOS!$C$5:$C$1005="C")*(MOVIMIENTOS!$D$5:$D$1005="jabas")*(MOVIMIENTOS!$A$5:$A$1005&lt;&gt;"")*(MOVIMIENTOS!$A$5:$A$1005&lt;=$A114)*MOVIMIENTOS!$E$5:$E$1005))</f>
        <v/>
      </c>
      <c r="E114" s="63" t="str">
        <f>IF($A114="","",SUMPRODUCT((MOVIMIENTOS!$B$5:$B$1005="SALDO INICIAL")*(MOVIMIENTOS!$C$5:$C$1005="M")*(MOVIMIENTOS!$D$5:$D$1005="jabas")*(MOVIMIENTOS!$A$5:$A$1005&lt;&gt;"")*(MOVIMIENTOS!$A$5:$A$1005&lt;=$A114)*MOVIMIENTOS!$E$5:$E$1005)+SUMPRODUCT((MOVIMIENTOS!$B$5:$B$1005="PROCESO")*(MOVIMIENTOS!$C$5:$C$1005="M")*(MOVIMIENTOS!$D$5:$D$1005="jabas")*(MOVIMIENTOS!$A$5:$A$1005&lt;&gt;"")*(MOVIMIENTOS!$A$5:$A$1005&lt;=$A114)*MOVIMIENTOS!$E$5:$E$1005)-SUMPRODUCT((MOVIMIENTOS!$B$5:$B$1005="ENVÍO A SUPESA")*(MOVIMIENTOS!$C$5:$C$1005="M")*(MOVIMIENTOS!$D$5:$D$1005="jabas")*(MOVIMIENTOS!$A$5:$A$1005&lt;&gt;"")*(MOVIMIENTOS!$A$5:$A$1005&lt;=$A114)*MOVIMIENTOS!$E$5:$E$1005)+SUMPRODUCT((MOVIMIENTOS!$B$5:$B$1005="DEVOLUCIÓN")*(MOVIMIENTOS!$C$5:$C$1005="M")*(MOVIMIENTOS!$D$5:$D$1005="jabas")*(MOVIMIENTOS!$A$5:$A$1005&lt;&gt;"")*(MOVIMIENTOS!$A$5:$A$1005&lt;=$A114)*MOVIMIENTOS!$E$5:$E$1005)-SUMPRODUCT((MOVIMIENTOS!$B$5:$B$1005="TRASIEGO")*(MOVIMIENTOS!$C$5:$C$1005="M")*(MOVIMIENTOS!$D$5:$D$1005="jabas")*(MOVIMIENTOS!$A$5:$A$1005&lt;&gt;"")*(MOVIMIENTOS!$A$5:$A$1005&lt;=$A114)*MOVIMIENTOS!$E$5:$E$1005)-SUMPRODUCT((MOVIMIENTOS!$B$5:$B$1005="REGALO")*(MOVIMIENTOS!$C$5:$C$1005="M")*(MOVIMIENTOS!$D$5:$D$1005="jabas")*(MOVIMIENTOS!$A$5:$A$1005&lt;&gt;"")*(MOVIMIENTOS!$A$5:$A$1005&lt;=$A114)*MOVIMIENTOS!$E$5:$E$1005)-SUMPRODUCT((MOVIMIENTOS!$B$5:$B$1005="VENTA")*(MOVIMIENTOS!$C$5:$C$1005="M")*(MOVIMIENTOS!$D$5:$D$1005="jabas")*(MOVIMIENTOS!$A$5:$A$1005&lt;&gt;"")*(MOVIMIENTOS!$A$5:$A$1005&lt;=$A114)*MOVIMIENTOS!$E$5:$E$1005)+SUMPRODUCT((MOVIMIENTOS!$B$5:$B$1005="AJUSTE")*(MOVIMIENTOS!$C$5:$C$1005="M")*(MOVIMIENTOS!$D$5:$D$1005="jabas")*(MOVIMIENTOS!$A$5:$A$1005&lt;&gt;"")*(MOVIMIENTOS!$A$5:$A$1005&lt;=$A114)*MOVIMIENTOS!$E$5:$E$1005))</f>
        <v/>
      </c>
      <c r="F114" s="63" t="str">
        <f>IF($A114="","",SUMPRODUCT((MOVIMIENTOS!$B$5:$B$1005="SALDO INICIAL")*(MOVIMIENTOS!$C$5:$C$1005="Chancho")*(MOVIMIENTOS!$D$5:$D$1005="sacos")*(MOVIMIENTOS!$A$5:$A$1005&lt;&gt;"")*(MOVIMIENTOS!$A$5:$A$1005&lt;=$A114)*MOVIMIENTOS!$E$5:$E$1005)+SUMPRODUCT((MOVIMIENTOS!$B$5:$B$1005="PROCESO")*(MOVIMIENTOS!$C$5:$C$1005="Chancho")*(MOVIMIENTOS!$D$5:$D$1005="sacos")*(MOVIMIENTOS!$A$5:$A$1005&lt;&gt;"")*(MOVIMIENTOS!$A$5:$A$1005&lt;=$A114)*MOVIMIENTOS!$E$5:$E$1005)-SUMPRODUCT((MOVIMIENTOS!$B$5:$B$1005="VENTA CHANCHO")*(MOVIMIENTOS!$C$5:$C$1005="Chancho")*(MOVIMIENTOS!$D$5:$D$1005="sacos")*(MOVIMIENTOS!$A$5:$A$1005&lt;&gt;"")*(MOVIMIENTOS!$A$5:$A$1005&lt;=$A114)*MOVIMIENTOS!$E$5:$E$1005)-SUMPRODUCT((MOVIMIENTOS!$B$5:$B$1005="REGALO")*(MOVIMIENTOS!$C$5:$C$1005="Chancho")*(MOVIMIENTOS!$D$5:$D$1005="sacos")*(MOVIMIENTOS!$A$5:$A$1005&lt;&gt;"")*(MOVIMIENTOS!$A$5:$A$1005&lt;=$A114)*MOVIMIENTOS!$E$5:$E$1005)-SUMPRODUCT((MOVIMIENTOS!$B$5:$B$1005="VENTA")*(MOVIMIENTOS!$C$5:$C$1005="Chancho")*(MOVIMIENTOS!$D$5:$D$1005="sacos")*(MOVIMIENTOS!$A$5:$A$1005&lt;&gt;"")*(MOVIMIENTOS!$A$5:$A$1005&lt;=$A114)*MOVIMIENTOS!$E$5:$E$1005)+SUMPRODUCT((MOVIMIENTOS!$B$5:$B$1005="AJUSTE")*(MOVIMIENTOS!$C$5:$C$1005="Chancho")*(MOVIMIENTOS!$D$5:$D$1005="sacos")*(MOVIMIENTOS!$A$5:$A$1005&lt;&gt;"")*(MOVIMIENTOS!$A$5:$A$1005&lt;=$A114)*MOVIMIENTOS!$E$5:$E$1005))</f>
        <v/>
      </c>
      <c r="G114" s="95" t="str">
        <f t="shared" si="3"/>
        <v/>
      </c>
      <c r="H114" s="63" t="str">
        <f>IF($A114="","",SUMPRODUCT((((MOVIMIENTOS!$B$5:$B$1005="SALDO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114)*MOVIMIENTOS!$J$5:$J$1005))</f>
        <v/>
      </c>
      <c r="I114" s="63"/>
      <c r="J114" s="63" t="str">
        <f>IF(AND(MOVIMIENTOS!$A114&lt;&gt;"",COUNTIF(MOVIMIENTOS!$A$5:$A113,MOVIMIENTOS!$A114)=0),COUNT(J$4:J113)+1,"")</f>
        <v/>
      </c>
      <c r="K114" s="66">
        <f>MOVIMIENTOS!$A114</f>
        <v>46224</v>
      </c>
      <c r="L114" s="63"/>
      <c r="M114" s="63"/>
      <c r="N114" s="63"/>
    </row>
    <row r="115" spans="1:14" ht="15" customHeight="1" x14ac:dyDescent="0.2">
      <c r="A115" s="63" t="str">
        <f t="shared" si="2"/>
        <v/>
      </c>
      <c r="B115" s="63" t="str">
        <f>IF($A115="","",SUMPRODUCT((MOVIMIENTOS!$B$5:$B$1005="SALDO INICIAL")*(MOVIMIENTOS!$C$5:$C$1005="A")*(MOVIMIENTOS!$D$5:$D$1005="jabas")*(MOVIMIENTOS!$A$5:$A$1005&lt;&gt;"")*(MOVIMIENTOS!$A$5:$A$1005&lt;=$A115)*MOVIMIENTOS!$E$5:$E$1005)+SUMPRODUCT((MOVIMIENTOS!$B$5:$B$1005="PROCESO")*(MOVIMIENTOS!$C$5:$C$1005="A")*(MOVIMIENTOS!$D$5:$D$1005="jabas")*(MOVIMIENTOS!$A$5:$A$1005&lt;&gt;"")*(MOVIMIENTOS!$A$5:$A$1005&lt;=$A115)*MOVIMIENTOS!$E$5:$E$1005)-SUMPRODUCT((MOVIMIENTOS!$B$5:$B$1005="ENVÍO A SUPESA")*(MOVIMIENTOS!$C$5:$C$1005="A")*(MOVIMIENTOS!$D$5:$D$1005="jabas")*(MOVIMIENTOS!$A$5:$A$1005&lt;&gt;"")*(MOVIMIENTOS!$A$5:$A$1005&lt;=$A115)*MOVIMIENTOS!$E$5:$E$1005)+SUMPRODUCT((MOVIMIENTOS!$B$5:$B$1005="DEVOLUCIÓN")*(MOVIMIENTOS!$C$5:$C$1005="A")*(MOVIMIENTOS!$D$5:$D$1005="jabas")*(MOVIMIENTOS!$A$5:$A$1005&lt;&gt;"")*(MOVIMIENTOS!$A$5:$A$1005&lt;=$A115)*MOVIMIENTOS!$E$5:$E$1005)-SUMPRODUCT((MOVIMIENTOS!$B$5:$B$1005="TRASIEGO")*(MOVIMIENTOS!$C$5:$C$1005="A")*(MOVIMIENTOS!$D$5:$D$1005="jabas")*(MOVIMIENTOS!$A$5:$A$1005&lt;&gt;"")*(MOVIMIENTOS!$A$5:$A$1005&lt;=$A115)*MOVIMIENTOS!$E$5:$E$1005)-SUMPRODUCT((MOVIMIENTOS!$B$5:$B$1005="REGALO")*(MOVIMIENTOS!$C$5:$C$1005="A")*(MOVIMIENTOS!$D$5:$D$1005="jabas")*(MOVIMIENTOS!$A$5:$A$1005&lt;&gt;"")*(MOVIMIENTOS!$A$5:$A$1005&lt;=$A115)*MOVIMIENTOS!$E$5:$E$1005)-SUMPRODUCT((MOVIMIENTOS!$B$5:$B$1005="VENTA")*(MOVIMIENTOS!$C$5:$C$1005="A")*(MOVIMIENTOS!$D$5:$D$1005="jabas")*(MOVIMIENTOS!$A$5:$A$1005&lt;&gt;"")*(MOVIMIENTOS!$A$5:$A$1005&lt;=$A115)*MOVIMIENTOS!$E$5:$E$1005)+SUMPRODUCT((MOVIMIENTOS!$B$5:$B$1005="AJUSTE")*(MOVIMIENTOS!$C$5:$C$1005="A")*(MOVIMIENTOS!$D$5:$D$1005="jabas")*(MOVIMIENTOS!$A$5:$A$1005&lt;&gt;"")*(MOVIMIENTOS!$A$5:$A$1005&lt;=$A115)*MOVIMIENTOS!$E$5:$E$1005))</f>
        <v/>
      </c>
      <c r="C115" s="63" t="str">
        <f>IF($A115="","",SUMPRODUCT((MOVIMIENTOS!$B$5:$B$1005="SALDO INICIAL")*(MOVIMIENTOS!$C$5:$C$1005="P")*(MOVIMIENTOS!$D$5:$D$1005="jabas")*(MOVIMIENTOS!$A$5:$A$1005&lt;&gt;"")*(MOVIMIENTOS!$A$5:$A$1005&lt;=$A115)*MOVIMIENTOS!$E$5:$E$1005)+SUMPRODUCT((MOVIMIENTOS!$B$5:$B$1005="PROCESO")*(MOVIMIENTOS!$C$5:$C$1005="P")*(MOVIMIENTOS!$D$5:$D$1005="jabas")*(MOVIMIENTOS!$A$5:$A$1005&lt;&gt;"")*(MOVIMIENTOS!$A$5:$A$1005&lt;=$A115)*MOVIMIENTOS!$E$5:$E$1005)-SUMPRODUCT((MOVIMIENTOS!$B$5:$B$1005="ENVÍO A SUPESA")*(MOVIMIENTOS!$C$5:$C$1005="P")*(MOVIMIENTOS!$D$5:$D$1005="jabas")*(MOVIMIENTOS!$A$5:$A$1005&lt;&gt;"")*(MOVIMIENTOS!$A$5:$A$1005&lt;=$A115)*MOVIMIENTOS!$E$5:$E$1005)+SUMPRODUCT((MOVIMIENTOS!$B$5:$B$1005="DEVOLUCIÓN")*(MOVIMIENTOS!$C$5:$C$1005="P")*(MOVIMIENTOS!$D$5:$D$1005="jabas")*(MOVIMIENTOS!$A$5:$A$1005&lt;&gt;"")*(MOVIMIENTOS!$A$5:$A$1005&lt;=$A115)*MOVIMIENTOS!$E$5:$E$1005)-SUMPRODUCT((MOVIMIENTOS!$B$5:$B$1005="TRASIEGO")*(MOVIMIENTOS!$C$5:$C$1005="P")*(MOVIMIENTOS!$D$5:$D$1005="jabas")*(MOVIMIENTOS!$A$5:$A$1005&lt;&gt;"")*(MOVIMIENTOS!$A$5:$A$1005&lt;=$A115)*MOVIMIENTOS!$E$5:$E$1005)-SUMPRODUCT((MOVIMIENTOS!$B$5:$B$1005="REGALO")*(MOVIMIENTOS!$C$5:$C$1005="P")*(MOVIMIENTOS!$D$5:$D$1005="jabas")*(MOVIMIENTOS!$A$5:$A$1005&lt;&gt;"")*(MOVIMIENTOS!$A$5:$A$1005&lt;=$A115)*MOVIMIENTOS!$E$5:$E$1005)-SUMPRODUCT((MOVIMIENTOS!$B$5:$B$1005="VENTA")*(MOVIMIENTOS!$C$5:$C$1005="P")*(MOVIMIENTOS!$D$5:$D$1005="jabas")*(MOVIMIENTOS!$A$5:$A$1005&lt;&gt;"")*(MOVIMIENTOS!$A$5:$A$1005&lt;=$A115)*MOVIMIENTOS!$E$5:$E$1005)+SUMPRODUCT((MOVIMIENTOS!$B$5:$B$1005="AJUSTE")*(MOVIMIENTOS!$C$5:$C$1005="P")*(MOVIMIENTOS!$D$5:$D$1005="jabas")*(MOVIMIENTOS!$A$5:$A$1005&lt;&gt;"")*(MOVIMIENTOS!$A$5:$A$1005&lt;=$A115)*MOVIMIENTOS!$E$5:$E$1005))</f>
        <v/>
      </c>
      <c r="D115" s="63" t="str">
        <f>IF($A115="","",SUMPRODUCT((MOVIMIENTOS!$B$5:$B$1005="SALDO INICIAL")*(MOVIMIENTOS!$C$5:$C$1005="C")*(MOVIMIENTOS!$D$5:$D$1005="jabas")*(MOVIMIENTOS!$A$5:$A$1005&lt;&gt;"")*(MOVIMIENTOS!$A$5:$A$1005&lt;=$A115)*MOVIMIENTOS!$E$5:$E$1005)+SUMPRODUCT((MOVIMIENTOS!$B$5:$B$1005="PROCESO")*(MOVIMIENTOS!$C$5:$C$1005="C")*(MOVIMIENTOS!$D$5:$D$1005="jabas")*(MOVIMIENTOS!$A$5:$A$1005&lt;&gt;"")*(MOVIMIENTOS!$A$5:$A$1005&lt;=$A115)*MOVIMIENTOS!$E$5:$E$1005)-SUMPRODUCT((MOVIMIENTOS!$B$5:$B$1005="ENVÍO A SUPESA")*(MOVIMIENTOS!$C$5:$C$1005="C")*(MOVIMIENTOS!$D$5:$D$1005="jabas")*(MOVIMIENTOS!$A$5:$A$1005&lt;&gt;"")*(MOVIMIENTOS!$A$5:$A$1005&lt;=$A115)*MOVIMIENTOS!$E$5:$E$1005)+SUMPRODUCT((MOVIMIENTOS!$B$5:$B$1005="DEVOLUCIÓN")*(MOVIMIENTOS!$C$5:$C$1005="C")*(MOVIMIENTOS!$D$5:$D$1005="jabas")*(MOVIMIENTOS!$A$5:$A$1005&lt;&gt;"")*(MOVIMIENTOS!$A$5:$A$1005&lt;=$A115)*MOVIMIENTOS!$E$5:$E$1005)-SUMPRODUCT((MOVIMIENTOS!$B$5:$B$1005="TRASIEGO")*(MOVIMIENTOS!$C$5:$C$1005="C")*(MOVIMIENTOS!$D$5:$D$1005="jabas")*(MOVIMIENTOS!$A$5:$A$1005&lt;&gt;"")*(MOVIMIENTOS!$A$5:$A$1005&lt;=$A115)*MOVIMIENTOS!$E$5:$E$1005)-SUMPRODUCT((MOVIMIENTOS!$B$5:$B$1005="REGALO")*(MOVIMIENTOS!$C$5:$C$1005="C")*(MOVIMIENTOS!$D$5:$D$1005="jabas")*(MOVIMIENTOS!$A$5:$A$1005&lt;&gt;"")*(MOVIMIENTOS!$A$5:$A$1005&lt;=$A115)*MOVIMIENTOS!$E$5:$E$1005)-SUMPRODUCT((MOVIMIENTOS!$B$5:$B$1005="VENTA")*(MOVIMIENTOS!$C$5:$C$1005="C")*(MOVIMIENTOS!$D$5:$D$1005="jabas")*(MOVIMIENTOS!$A$5:$A$1005&lt;&gt;"")*(MOVIMIENTOS!$A$5:$A$1005&lt;=$A115)*MOVIMIENTOS!$E$5:$E$1005)+SUMPRODUCT((MOVIMIENTOS!$B$5:$B$1005="AJUSTE")*(MOVIMIENTOS!$C$5:$C$1005="C")*(MOVIMIENTOS!$D$5:$D$1005="jabas")*(MOVIMIENTOS!$A$5:$A$1005&lt;&gt;"")*(MOVIMIENTOS!$A$5:$A$1005&lt;=$A115)*MOVIMIENTOS!$E$5:$E$1005))</f>
        <v/>
      </c>
      <c r="E115" s="63" t="str">
        <f>IF($A115="","",SUMPRODUCT((MOVIMIENTOS!$B$5:$B$1005="SALDO INICIAL")*(MOVIMIENTOS!$C$5:$C$1005="M")*(MOVIMIENTOS!$D$5:$D$1005="jabas")*(MOVIMIENTOS!$A$5:$A$1005&lt;&gt;"")*(MOVIMIENTOS!$A$5:$A$1005&lt;=$A115)*MOVIMIENTOS!$E$5:$E$1005)+SUMPRODUCT((MOVIMIENTOS!$B$5:$B$1005="PROCESO")*(MOVIMIENTOS!$C$5:$C$1005="M")*(MOVIMIENTOS!$D$5:$D$1005="jabas")*(MOVIMIENTOS!$A$5:$A$1005&lt;&gt;"")*(MOVIMIENTOS!$A$5:$A$1005&lt;=$A115)*MOVIMIENTOS!$E$5:$E$1005)-SUMPRODUCT((MOVIMIENTOS!$B$5:$B$1005="ENVÍO A SUPESA")*(MOVIMIENTOS!$C$5:$C$1005="M")*(MOVIMIENTOS!$D$5:$D$1005="jabas")*(MOVIMIENTOS!$A$5:$A$1005&lt;&gt;"")*(MOVIMIENTOS!$A$5:$A$1005&lt;=$A115)*MOVIMIENTOS!$E$5:$E$1005)+SUMPRODUCT((MOVIMIENTOS!$B$5:$B$1005="DEVOLUCIÓN")*(MOVIMIENTOS!$C$5:$C$1005="M")*(MOVIMIENTOS!$D$5:$D$1005="jabas")*(MOVIMIENTOS!$A$5:$A$1005&lt;&gt;"")*(MOVIMIENTOS!$A$5:$A$1005&lt;=$A115)*MOVIMIENTOS!$E$5:$E$1005)-SUMPRODUCT((MOVIMIENTOS!$B$5:$B$1005="TRASIEGO")*(MOVIMIENTOS!$C$5:$C$1005="M")*(MOVIMIENTOS!$D$5:$D$1005="jabas")*(MOVIMIENTOS!$A$5:$A$1005&lt;&gt;"")*(MOVIMIENTOS!$A$5:$A$1005&lt;=$A115)*MOVIMIENTOS!$E$5:$E$1005)-SUMPRODUCT((MOVIMIENTOS!$B$5:$B$1005="REGALO")*(MOVIMIENTOS!$C$5:$C$1005="M")*(MOVIMIENTOS!$D$5:$D$1005="jabas")*(MOVIMIENTOS!$A$5:$A$1005&lt;&gt;"")*(MOVIMIENTOS!$A$5:$A$1005&lt;=$A115)*MOVIMIENTOS!$E$5:$E$1005)-SUMPRODUCT((MOVIMIENTOS!$B$5:$B$1005="VENTA")*(MOVIMIENTOS!$C$5:$C$1005="M")*(MOVIMIENTOS!$D$5:$D$1005="jabas")*(MOVIMIENTOS!$A$5:$A$1005&lt;&gt;"")*(MOVIMIENTOS!$A$5:$A$1005&lt;=$A115)*MOVIMIENTOS!$E$5:$E$1005)+SUMPRODUCT((MOVIMIENTOS!$B$5:$B$1005="AJUSTE")*(MOVIMIENTOS!$C$5:$C$1005="M")*(MOVIMIENTOS!$D$5:$D$1005="jabas")*(MOVIMIENTOS!$A$5:$A$1005&lt;&gt;"")*(MOVIMIENTOS!$A$5:$A$1005&lt;=$A115)*MOVIMIENTOS!$E$5:$E$1005))</f>
        <v/>
      </c>
      <c r="F115" s="63" t="str">
        <f>IF($A115="","",SUMPRODUCT((MOVIMIENTOS!$B$5:$B$1005="SALDO INICIAL")*(MOVIMIENTOS!$C$5:$C$1005="Chancho")*(MOVIMIENTOS!$D$5:$D$1005="sacos")*(MOVIMIENTOS!$A$5:$A$1005&lt;&gt;"")*(MOVIMIENTOS!$A$5:$A$1005&lt;=$A115)*MOVIMIENTOS!$E$5:$E$1005)+SUMPRODUCT((MOVIMIENTOS!$B$5:$B$1005="PROCESO")*(MOVIMIENTOS!$C$5:$C$1005="Chancho")*(MOVIMIENTOS!$D$5:$D$1005="sacos")*(MOVIMIENTOS!$A$5:$A$1005&lt;&gt;"")*(MOVIMIENTOS!$A$5:$A$1005&lt;=$A115)*MOVIMIENTOS!$E$5:$E$1005)-SUMPRODUCT((MOVIMIENTOS!$B$5:$B$1005="VENTA CHANCHO")*(MOVIMIENTOS!$C$5:$C$1005="Chancho")*(MOVIMIENTOS!$D$5:$D$1005="sacos")*(MOVIMIENTOS!$A$5:$A$1005&lt;&gt;"")*(MOVIMIENTOS!$A$5:$A$1005&lt;=$A115)*MOVIMIENTOS!$E$5:$E$1005)-SUMPRODUCT((MOVIMIENTOS!$B$5:$B$1005="REGALO")*(MOVIMIENTOS!$C$5:$C$1005="Chancho")*(MOVIMIENTOS!$D$5:$D$1005="sacos")*(MOVIMIENTOS!$A$5:$A$1005&lt;&gt;"")*(MOVIMIENTOS!$A$5:$A$1005&lt;=$A115)*MOVIMIENTOS!$E$5:$E$1005)-SUMPRODUCT((MOVIMIENTOS!$B$5:$B$1005="VENTA")*(MOVIMIENTOS!$C$5:$C$1005="Chancho")*(MOVIMIENTOS!$D$5:$D$1005="sacos")*(MOVIMIENTOS!$A$5:$A$1005&lt;&gt;"")*(MOVIMIENTOS!$A$5:$A$1005&lt;=$A115)*MOVIMIENTOS!$E$5:$E$1005)+SUMPRODUCT((MOVIMIENTOS!$B$5:$B$1005="AJUSTE")*(MOVIMIENTOS!$C$5:$C$1005="Chancho")*(MOVIMIENTOS!$D$5:$D$1005="sacos")*(MOVIMIENTOS!$A$5:$A$1005&lt;&gt;"")*(MOVIMIENTOS!$A$5:$A$1005&lt;=$A115)*MOVIMIENTOS!$E$5:$E$1005))</f>
        <v/>
      </c>
      <c r="G115" s="95" t="str">
        <f t="shared" si="3"/>
        <v/>
      </c>
      <c r="H115" s="63" t="str">
        <f>IF($A115="","",SUMPRODUCT((((MOVIMIENTOS!$B$5:$B$1005="SALDO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115)*MOVIMIENTOS!$J$5:$J$1005))</f>
        <v/>
      </c>
      <c r="I115" s="63"/>
      <c r="J115" s="63" t="str">
        <f>IF(AND(MOVIMIENTOS!$A115&lt;&gt;"",COUNTIF(MOVIMIENTOS!$A$5:$A114,MOVIMIENTOS!$A115)=0),COUNT(J$4:J114)+1,"")</f>
        <v/>
      </c>
      <c r="K115" s="66">
        <f>MOVIMIENTOS!$A115</f>
        <v>46224</v>
      </c>
      <c r="L115" s="63"/>
      <c r="M115" s="63"/>
      <c r="N115" s="63"/>
    </row>
    <row r="116" spans="1:14" ht="15" customHeight="1" x14ac:dyDescent="0.2">
      <c r="A116" s="63" t="str">
        <f t="shared" si="2"/>
        <v/>
      </c>
      <c r="B116" s="63" t="str">
        <f>IF($A116="","",SUMPRODUCT((MOVIMIENTOS!$B$5:$B$1005="SALDO INICIAL")*(MOVIMIENTOS!$C$5:$C$1005="A")*(MOVIMIENTOS!$D$5:$D$1005="jabas")*(MOVIMIENTOS!$A$5:$A$1005&lt;&gt;"")*(MOVIMIENTOS!$A$5:$A$1005&lt;=$A116)*MOVIMIENTOS!$E$5:$E$1005)+SUMPRODUCT((MOVIMIENTOS!$B$5:$B$1005="PROCESO")*(MOVIMIENTOS!$C$5:$C$1005="A")*(MOVIMIENTOS!$D$5:$D$1005="jabas")*(MOVIMIENTOS!$A$5:$A$1005&lt;&gt;"")*(MOVIMIENTOS!$A$5:$A$1005&lt;=$A116)*MOVIMIENTOS!$E$5:$E$1005)-SUMPRODUCT((MOVIMIENTOS!$B$5:$B$1005="ENVÍO A SUPESA")*(MOVIMIENTOS!$C$5:$C$1005="A")*(MOVIMIENTOS!$D$5:$D$1005="jabas")*(MOVIMIENTOS!$A$5:$A$1005&lt;&gt;"")*(MOVIMIENTOS!$A$5:$A$1005&lt;=$A116)*MOVIMIENTOS!$E$5:$E$1005)+SUMPRODUCT((MOVIMIENTOS!$B$5:$B$1005="DEVOLUCIÓN")*(MOVIMIENTOS!$C$5:$C$1005="A")*(MOVIMIENTOS!$D$5:$D$1005="jabas")*(MOVIMIENTOS!$A$5:$A$1005&lt;&gt;"")*(MOVIMIENTOS!$A$5:$A$1005&lt;=$A116)*MOVIMIENTOS!$E$5:$E$1005)-SUMPRODUCT((MOVIMIENTOS!$B$5:$B$1005="TRASIEGO")*(MOVIMIENTOS!$C$5:$C$1005="A")*(MOVIMIENTOS!$D$5:$D$1005="jabas")*(MOVIMIENTOS!$A$5:$A$1005&lt;&gt;"")*(MOVIMIENTOS!$A$5:$A$1005&lt;=$A116)*MOVIMIENTOS!$E$5:$E$1005)-SUMPRODUCT((MOVIMIENTOS!$B$5:$B$1005="REGALO")*(MOVIMIENTOS!$C$5:$C$1005="A")*(MOVIMIENTOS!$D$5:$D$1005="jabas")*(MOVIMIENTOS!$A$5:$A$1005&lt;&gt;"")*(MOVIMIENTOS!$A$5:$A$1005&lt;=$A116)*MOVIMIENTOS!$E$5:$E$1005)-SUMPRODUCT((MOVIMIENTOS!$B$5:$B$1005="VENTA")*(MOVIMIENTOS!$C$5:$C$1005="A")*(MOVIMIENTOS!$D$5:$D$1005="jabas")*(MOVIMIENTOS!$A$5:$A$1005&lt;&gt;"")*(MOVIMIENTOS!$A$5:$A$1005&lt;=$A116)*MOVIMIENTOS!$E$5:$E$1005)+SUMPRODUCT((MOVIMIENTOS!$B$5:$B$1005="AJUSTE")*(MOVIMIENTOS!$C$5:$C$1005="A")*(MOVIMIENTOS!$D$5:$D$1005="jabas")*(MOVIMIENTOS!$A$5:$A$1005&lt;&gt;"")*(MOVIMIENTOS!$A$5:$A$1005&lt;=$A116)*MOVIMIENTOS!$E$5:$E$1005))</f>
        <v/>
      </c>
      <c r="C116" s="63" t="str">
        <f>IF($A116="","",SUMPRODUCT((MOVIMIENTOS!$B$5:$B$1005="SALDO INICIAL")*(MOVIMIENTOS!$C$5:$C$1005="P")*(MOVIMIENTOS!$D$5:$D$1005="jabas")*(MOVIMIENTOS!$A$5:$A$1005&lt;&gt;"")*(MOVIMIENTOS!$A$5:$A$1005&lt;=$A116)*MOVIMIENTOS!$E$5:$E$1005)+SUMPRODUCT((MOVIMIENTOS!$B$5:$B$1005="PROCESO")*(MOVIMIENTOS!$C$5:$C$1005="P")*(MOVIMIENTOS!$D$5:$D$1005="jabas")*(MOVIMIENTOS!$A$5:$A$1005&lt;&gt;"")*(MOVIMIENTOS!$A$5:$A$1005&lt;=$A116)*MOVIMIENTOS!$E$5:$E$1005)-SUMPRODUCT((MOVIMIENTOS!$B$5:$B$1005="ENVÍO A SUPESA")*(MOVIMIENTOS!$C$5:$C$1005="P")*(MOVIMIENTOS!$D$5:$D$1005="jabas")*(MOVIMIENTOS!$A$5:$A$1005&lt;&gt;"")*(MOVIMIENTOS!$A$5:$A$1005&lt;=$A116)*MOVIMIENTOS!$E$5:$E$1005)+SUMPRODUCT((MOVIMIENTOS!$B$5:$B$1005="DEVOLUCIÓN")*(MOVIMIENTOS!$C$5:$C$1005="P")*(MOVIMIENTOS!$D$5:$D$1005="jabas")*(MOVIMIENTOS!$A$5:$A$1005&lt;&gt;"")*(MOVIMIENTOS!$A$5:$A$1005&lt;=$A116)*MOVIMIENTOS!$E$5:$E$1005)-SUMPRODUCT((MOVIMIENTOS!$B$5:$B$1005="TRASIEGO")*(MOVIMIENTOS!$C$5:$C$1005="P")*(MOVIMIENTOS!$D$5:$D$1005="jabas")*(MOVIMIENTOS!$A$5:$A$1005&lt;&gt;"")*(MOVIMIENTOS!$A$5:$A$1005&lt;=$A116)*MOVIMIENTOS!$E$5:$E$1005)-SUMPRODUCT((MOVIMIENTOS!$B$5:$B$1005="REGALO")*(MOVIMIENTOS!$C$5:$C$1005="P")*(MOVIMIENTOS!$D$5:$D$1005="jabas")*(MOVIMIENTOS!$A$5:$A$1005&lt;&gt;"")*(MOVIMIENTOS!$A$5:$A$1005&lt;=$A116)*MOVIMIENTOS!$E$5:$E$1005)-SUMPRODUCT((MOVIMIENTOS!$B$5:$B$1005="VENTA")*(MOVIMIENTOS!$C$5:$C$1005="P")*(MOVIMIENTOS!$D$5:$D$1005="jabas")*(MOVIMIENTOS!$A$5:$A$1005&lt;&gt;"")*(MOVIMIENTOS!$A$5:$A$1005&lt;=$A116)*MOVIMIENTOS!$E$5:$E$1005)+SUMPRODUCT((MOVIMIENTOS!$B$5:$B$1005="AJUSTE")*(MOVIMIENTOS!$C$5:$C$1005="P")*(MOVIMIENTOS!$D$5:$D$1005="jabas")*(MOVIMIENTOS!$A$5:$A$1005&lt;&gt;"")*(MOVIMIENTOS!$A$5:$A$1005&lt;=$A116)*MOVIMIENTOS!$E$5:$E$1005))</f>
        <v/>
      </c>
      <c r="D116" s="63" t="str">
        <f>IF($A116="","",SUMPRODUCT((MOVIMIENTOS!$B$5:$B$1005="SALDO INICIAL")*(MOVIMIENTOS!$C$5:$C$1005="C")*(MOVIMIENTOS!$D$5:$D$1005="jabas")*(MOVIMIENTOS!$A$5:$A$1005&lt;&gt;"")*(MOVIMIENTOS!$A$5:$A$1005&lt;=$A116)*MOVIMIENTOS!$E$5:$E$1005)+SUMPRODUCT((MOVIMIENTOS!$B$5:$B$1005="PROCESO")*(MOVIMIENTOS!$C$5:$C$1005="C")*(MOVIMIENTOS!$D$5:$D$1005="jabas")*(MOVIMIENTOS!$A$5:$A$1005&lt;&gt;"")*(MOVIMIENTOS!$A$5:$A$1005&lt;=$A116)*MOVIMIENTOS!$E$5:$E$1005)-SUMPRODUCT((MOVIMIENTOS!$B$5:$B$1005="ENVÍO A SUPESA")*(MOVIMIENTOS!$C$5:$C$1005="C")*(MOVIMIENTOS!$D$5:$D$1005="jabas")*(MOVIMIENTOS!$A$5:$A$1005&lt;&gt;"")*(MOVIMIENTOS!$A$5:$A$1005&lt;=$A116)*MOVIMIENTOS!$E$5:$E$1005)+SUMPRODUCT((MOVIMIENTOS!$B$5:$B$1005="DEVOLUCIÓN")*(MOVIMIENTOS!$C$5:$C$1005="C")*(MOVIMIENTOS!$D$5:$D$1005="jabas")*(MOVIMIENTOS!$A$5:$A$1005&lt;&gt;"")*(MOVIMIENTOS!$A$5:$A$1005&lt;=$A116)*MOVIMIENTOS!$E$5:$E$1005)-SUMPRODUCT((MOVIMIENTOS!$B$5:$B$1005="TRASIEGO")*(MOVIMIENTOS!$C$5:$C$1005="C")*(MOVIMIENTOS!$D$5:$D$1005="jabas")*(MOVIMIENTOS!$A$5:$A$1005&lt;&gt;"")*(MOVIMIENTOS!$A$5:$A$1005&lt;=$A116)*MOVIMIENTOS!$E$5:$E$1005)-SUMPRODUCT((MOVIMIENTOS!$B$5:$B$1005="REGALO")*(MOVIMIENTOS!$C$5:$C$1005="C")*(MOVIMIENTOS!$D$5:$D$1005="jabas")*(MOVIMIENTOS!$A$5:$A$1005&lt;&gt;"")*(MOVIMIENTOS!$A$5:$A$1005&lt;=$A116)*MOVIMIENTOS!$E$5:$E$1005)-SUMPRODUCT((MOVIMIENTOS!$B$5:$B$1005="VENTA")*(MOVIMIENTOS!$C$5:$C$1005="C")*(MOVIMIENTOS!$D$5:$D$1005="jabas")*(MOVIMIENTOS!$A$5:$A$1005&lt;&gt;"")*(MOVIMIENTOS!$A$5:$A$1005&lt;=$A116)*MOVIMIENTOS!$E$5:$E$1005)+SUMPRODUCT((MOVIMIENTOS!$B$5:$B$1005="AJUSTE")*(MOVIMIENTOS!$C$5:$C$1005="C")*(MOVIMIENTOS!$D$5:$D$1005="jabas")*(MOVIMIENTOS!$A$5:$A$1005&lt;&gt;"")*(MOVIMIENTOS!$A$5:$A$1005&lt;=$A116)*MOVIMIENTOS!$E$5:$E$1005))</f>
        <v/>
      </c>
      <c r="E116" s="63" t="str">
        <f>IF($A116="","",SUMPRODUCT((MOVIMIENTOS!$B$5:$B$1005="SALDO INICIAL")*(MOVIMIENTOS!$C$5:$C$1005="M")*(MOVIMIENTOS!$D$5:$D$1005="jabas")*(MOVIMIENTOS!$A$5:$A$1005&lt;&gt;"")*(MOVIMIENTOS!$A$5:$A$1005&lt;=$A116)*MOVIMIENTOS!$E$5:$E$1005)+SUMPRODUCT((MOVIMIENTOS!$B$5:$B$1005="PROCESO")*(MOVIMIENTOS!$C$5:$C$1005="M")*(MOVIMIENTOS!$D$5:$D$1005="jabas")*(MOVIMIENTOS!$A$5:$A$1005&lt;&gt;"")*(MOVIMIENTOS!$A$5:$A$1005&lt;=$A116)*MOVIMIENTOS!$E$5:$E$1005)-SUMPRODUCT((MOVIMIENTOS!$B$5:$B$1005="ENVÍO A SUPESA")*(MOVIMIENTOS!$C$5:$C$1005="M")*(MOVIMIENTOS!$D$5:$D$1005="jabas")*(MOVIMIENTOS!$A$5:$A$1005&lt;&gt;"")*(MOVIMIENTOS!$A$5:$A$1005&lt;=$A116)*MOVIMIENTOS!$E$5:$E$1005)+SUMPRODUCT((MOVIMIENTOS!$B$5:$B$1005="DEVOLUCIÓN")*(MOVIMIENTOS!$C$5:$C$1005="M")*(MOVIMIENTOS!$D$5:$D$1005="jabas")*(MOVIMIENTOS!$A$5:$A$1005&lt;&gt;"")*(MOVIMIENTOS!$A$5:$A$1005&lt;=$A116)*MOVIMIENTOS!$E$5:$E$1005)-SUMPRODUCT((MOVIMIENTOS!$B$5:$B$1005="TRASIEGO")*(MOVIMIENTOS!$C$5:$C$1005="M")*(MOVIMIENTOS!$D$5:$D$1005="jabas")*(MOVIMIENTOS!$A$5:$A$1005&lt;&gt;"")*(MOVIMIENTOS!$A$5:$A$1005&lt;=$A116)*MOVIMIENTOS!$E$5:$E$1005)-SUMPRODUCT((MOVIMIENTOS!$B$5:$B$1005="REGALO")*(MOVIMIENTOS!$C$5:$C$1005="M")*(MOVIMIENTOS!$D$5:$D$1005="jabas")*(MOVIMIENTOS!$A$5:$A$1005&lt;&gt;"")*(MOVIMIENTOS!$A$5:$A$1005&lt;=$A116)*MOVIMIENTOS!$E$5:$E$1005)-SUMPRODUCT((MOVIMIENTOS!$B$5:$B$1005="VENTA")*(MOVIMIENTOS!$C$5:$C$1005="M")*(MOVIMIENTOS!$D$5:$D$1005="jabas")*(MOVIMIENTOS!$A$5:$A$1005&lt;&gt;"")*(MOVIMIENTOS!$A$5:$A$1005&lt;=$A116)*MOVIMIENTOS!$E$5:$E$1005)+SUMPRODUCT((MOVIMIENTOS!$B$5:$B$1005="AJUSTE")*(MOVIMIENTOS!$C$5:$C$1005="M")*(MOVIMIENTOS!$D$5:$D$1005="jabas")*(MOVIMIENTOS!$A$5:$A$1005&lt;&gt;"")*(MOVIMIENTOS!$A$5:$A$1005&lt;=$A116)*MOVIMIENTOS!$E$5:$E$1005))</f>
        <v/>
      </c>
      <c r="F116" s="63" t="str">
        <f>IF($A116="","",SUMPRODUCT((MOVIMIENTOS!$B$5:$B$1005="SALDO INICIAL")*(MOVIMIENTOS!$C$5:$C$1005="Chancho")*(MOVIMIENTOS!$D$5:$D$1005="sacos")*(MOVIMIENTOS!$A$5:$A$1005&lt;&gt;"")*(MOVIMIENTOS!$A$5:$A$1005&lt;=$A116)*MOVIMIENTOS!$E$5:$E$1005)+SUMPRODUCT((MOVIMIENTOS!$B$5:$B$1005="PROCESO")*(MOVIMIENTOS!$C$5:$C$1005="Chancho")*(MOVIMIENTOS!$D$5:$D$1005="sacos")*(MOVIMIENTOS!$A$5:$A$1005&lt;&gt;"")*(MOVIMIENTOS!$A$5:$A$1005&lt;=$A116)*MOVIMIENTOS!$E$5:$E$1005)-SUMPRODUCT((MOVIMIENTOS!$B$5:$B$1005="VENTA CHANCHO")*(MOVIMIENTOS!$C$5:$C$1005="Chancho")*(MOVIMIENTOS!$D$5:$D$1005="sacos")*(MOVIMIENTOS!$A$5:$A$1005&lt;&gt;"")*(MOVIMIENTOS!$A$5:$A$1005&lt;=$A116)*MOVIMIENTOS!$E$5:$E$1005)-SUMPRODUCT((MOVIMIENTOS!$B$5:$B$1005="REGALO")*(MOVIMIENTOS!$C$5:$C$1005="Chancho")*(MOVIMIENTOS!$D$5:$D$1005="sacos")*(MOVIMIENTOS!$A$5:$A$1005&lt;&gt;"")*(MOVIMIENTOS!$A$5:$A$1005&lt;=$A116)*MOVIMIENTOS!$E$5:$E$1005)-SUMPRODUCT((MOVIMIENTOS!$B$5:$B$1005="VENTA")*(MOVIMIENTOS!$C$5:$C$1005="Chancho")*(MOVIMIENTOS!$D$5:$D$1005="sacos")*(MOVIMIENTOS!$A$5:$A$1005&lt;&gt;"")*(MOVIMIENTOS!$A$5:$A$1005&lt;=$A116)*MOVIMIENTOS!$E$5:$E$1005)+SUMPRODUCT((MOVIMIENTOS!$B$5:$B$1005="AJUSTE")*(MOVIMIENTOS!$C$5:$C$1005="Chancho")*(MOVIMIENTOS!$D$5:$D$1005="sacos")*(MOVIMIENTOS!$A$5:$A$1005&lt;&gt;"")*(MOVIMIENTOS!$A$5:$A$1005&lt;=$A116)*MOVIMIENTOS!$E$5:$E$1005))</f>
        <v/>
      </c>
      <c r="G116" s="95" t="str">
        <f t="shared" si="3"/>
        <v/>
      </c>
      <c r="H116" s="63" t="str">
        <f>IF($A116="","",SUMPRODUCT((((MOVIMIENTOS!$B$5:$B$1005="SALDO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116)*MOVIMIENTOS!$J$5:$J$1005))</f>
        <v/>
      </c>
      <c r="I116" s="63"/>
      <c r="J116" s="63" t="str">
        <f>IF(AND(MOVIMIENTOS!$A116&lt;&gt;"",COUNTIF(MOVIMIENTOS!$A$5:$A115,MOVIMIENTOS!$A116)=0),COUNT(J$4:J115)+1,"")</f>
        <v/>
      </c>
      <c r="K116" s="66">
        <f>MOVIMIENTOS!$A116</f>
        <v>46224</v>
      </c>
      <c r="L116" s="63"/>
      <c r="M116" s="63"/>
      <c r="N116" s="63"/>
    </row>
    <row r="117" spans="1:14" ht="15" customHeight="1" x14ac:dyDescent="0.2">
      <c r="A117" s="63" t="str">
        <f t="shared" si="2"/>
        <v/>
      </c>
      <c r="B117" s="63" t="str">
        <f>IF($A117="","",SUMPRODUCT((MOVIMIENTOS!$B$5:$B$1005="SALDO INICIAL")*(MOVIMIENTOS!$C$5:$C$1005="A")*(MOVIMIENTOS!$D$5:$D$1005="jabas")*(MOVIMIENTOS!$A$5:$A$1005&lt;&gt;"")*(MOVIMIENTOS!$A$5:$A$1005&lt;=$A117)*MOVIMIENTOS!$E$5:$E$1005)+SUMPRODUCT((MOVIMIENTOS!$B$5:$B$1005="PROCESO")*(MOVIMIENTOS!$C$5:$C$1005="A")*(MOVIMIENTOS!$D$5:$D$1005="jabas")*(MOVIMIENTOS!$A$5:$A$1005&lt;&gt;"")*(MOVIMIENTOS!$A$5:$A$1005&lt;=$A117)*MOVIMIENTOS!$E$5:$E$1005)-SUMPRODUCT((MOVIMIENTOS!$B$5:$B$1005="ENVÍO A SUPESA")*(MOVIMIENTOS!$C$5:$C$1005="A")*(MOVIMIENTOS!$D$5:$D$1005="jabas")*(MOVIMIENTOS!$A$5:$A$1005&lt;&gt;"")*(MOVIMIENTOS!$A$5:$A$1005&lt;=$A117)*MOVIMIENTOS!$E$5:$E$1005)+SUMPRODUCT((MOVIMIENTOS!$B$5:$B$1005="DEVOLUCIÓN")*(MOVIMIENTOS!$C$5:$C$1005="A")*(MOVIMIENTOS!$D$5:$D$1005="jabas")*(MOVIMIENTOS!$A$5:$A$1005&lt;&gt;"")*(MOVIMIENTOS!$A$5:$A$1005&lt;=$A117)*MOVIMIENTOS!$E$5:$E$1005)-SUMPRODUCT((MOVIMIENTOS!$B$5:$B$1005="TRASIEGO")*(MOVIMIENTOS!$C$5:$C$1005="A")*(MOVIMIENTOS!$D$5:$D$1005="jabas")*(MOVIMIENTOS!$A$5:$A$1005&lt;&gt;"")*(MOVIMIENTOS!$A$5:$A$1005&lt;=$A117)*MOVIMIENTOS!$E$5:$E$1005)-SUMPRODUCT((MOVIMIENTOS!$B$5:$B$1005="REGALO")*(MOVIMIENTOS!$C$5:$C$1005="A")*(MOVIMIENTOS!$D$5:$D$1005="jabas")*(MOVIMIENTOS!$A$5:$A$1005&lt;&gt;"")*(MOVIMIENTOS!$A$5:$A$1005&lt;=$A117)*MOVIMIENTOS!$E$5:$E$1005)-SUMPRODUCT((MOVIMIENTOS!$B$5:$B$1005="VENTA")*(MOVIMIENTOS!$C$5:$C$1005="A")*(MOVIMIENTOS!$D$5:$D$1005="jabas")*(MOVIMIENTOS!$A$5:$A$1005&lt;&gt;"")*(MOVIMIENTOS!$A$5:$A$1005&lt;=$A117)*MOVIMIENTOS!$E$5:$E$1005)+SUMPRODUCT((MOVIMIENTOS!$B$5:$B$1005="AJUSTE")*(MOVIMIENTOS!$C$5:$C$1005="A")*(MOVIMIENTOS!$D$5:$D$1005="jabas")*(MOVIMIENTOS!$A$5:$A$1005&lt;&gt;"")*(MOVIMIENTOS!$A$5:$A$1005&lt;=$A117)*MOVIMIENTOS!$E$5:$E$1005))</f>
        <v/>
      </c>
      <c r="C117" s="63" t="str">
        <f>IF($A117="","",SUMPRODUCT((MOVIMIENTOS!$B$5:$B$1005="SALDO INICIAL")*(MOVIMIENTOS!$C$5:$C$1005="P")*(MOVIMIENTOS!$D$5:$D$1005="jabas")*(MOVIMIENTOS!$A$5:$A$1005&lt;&gt;"")*(MOVIMIENTOS!$A$5:$A$1005&lt;=$A117)*MOVIMIENTOS!$E$5:$E$1005)+SUMPRODUCT((MOVIMIENTOS!$B$5:$B$1005="PROCESO")*(MOVIMIENTOS!$C$5:$C$1005="P")*(MOVIMIENTOS!$D$5:$D$1005="jabas")*(MOVIMIENTOS!$A$5:$A$1005&lt;&gt;"")*(MOVIMIENTOS!$A$5:$A$1005&lt;=$A117)*MOVIMIENTOS!$E$5:$E$1005)-SUMPRODUCT((MOVIMIENTOS!$B$5:$B$1005="ENVÍO A SUPESA")*(MOVIMIENTOS!$C$5:$C$1005="P")*(MOVIMIENTOS!$D$5:$D$1005="jabas")*(MOVIMIENTOS!$A$5:$A$1005&lt;&gt;"")*(MOVIMIENTOS!$A$5:$A$1005&lt;=$A117)*MOVIMIENTOS!$E$5:$E$1005)+SUMPRODUCT((MOVIMIENTOS!$B$5:$B$1005="DEVOLUCIÓN")*(MOVIMIENTOS!$C$5:$C$1005="P")*(MOVIMIENTOS!$D$5:$D$1005="jabas")*(MOVIMIENTOS!$A$5:$A$1005&lt;&gt;"")*(MOVIMIENTOS!$A$5:$A$1005&lt;=$A117)*MOVIMIENTOS!$E$5:$E$1005)-SUMPRODUCT((MOVIMIENTOS!$B$5:$B$1005="TRASIEGO")*(MOVIMIENTOS!$C$5:$C$1005="P")*(MOVIMIENTOS!$D$5:$D$1005="jabas")*(MOVIMIENTOS!$A$5:$A$1005&lt;&gt;"")*(MOVIMIENTOS!$A$5:$A$1005&lt;=$A117)*MOVIMIENTOS!$E$5:$E$1005)-SUMPRODUCT((MOVIMIENTOS!$B$5:$B$1005="REGALO")*(MOVIMIENTOS!$C$5:$C$1005="P")*(MOVIMIENTOS!$D$5:$D$1005="jabas")*(MOVIMIENTOS!$A$5:$A$1005&lt;&gt;"")*(MOVIMIENTOS!$A$5:$A$1005&lt;=$A117)*MOVIMIENTOS!$E$5:$E$1005)-SUMPRODUCT((MOVIMIENTOS!$B$5:$B$1005="VENTA")*(MOVIMIENTOS!$C$5:$C$1005="P")*(MOVIMIENTOS!$D$5:$D$1005="jabas")*(MOVIMIENTOS!$A$5:$A$1005&lt;&gt;"")*(MOVIMIENTOS!$A$5:$A$1005&lt;=$A117)*MOVIMIENTOS!$E$5:$E$1005)+SUMPRODUCT((MOVIMIENTOS!$B$5:$B$1005="AJUSTE")*(MOVIMIENTOS!$C$5:$C$1005="P")*(MOVIMIENTOS!$D$5:$D$1005="jabas")*(MOVIMIENTOS!$A$5:$A$1005&lt;&gt;"")*(MOVIMIENTOS!$A$5:$A$1005&lt;=$A117)*MOVIMIENTOS!$E$5:$E$1005))</f>
        <v/>
      </c>
      <c r="D117" s="63" t="str">
        <f>IF($A117="","",SUMPRODUCT((MOVIMIENTOS!$B$5:$B$1005="SALDO INICIAL")*(MOVIMIENTOS!$C$5:$C$1005="C")*(MOVIMIENTOS!$D$5:$D$1005="jabas")*(MOVIMIENTOS!$A$5:$A$1005&lt;&gt;"")*(MOVIMIENTOS!$A$5:$A$1005&lt;=$A117)*MOVIMIENTOS!$E$5:$E$1005)+SUMPRODUCT((MOVIMIENTOS!$B$5:$B$1005="PROCESO")*(MOVIMIENTOS!$C$5:$C$1005="C")*(MOVIMIENTOS!$D$5:$D$1005="jabas")*(MOVIMIENTOS!$A$5:$A$1005&lt;&gt;"")*(MOVIMIENTOS!$A$5:$A$1005&lt;=$A117)*MOVIMIENTOS!$E$5:$E$1005)-SUMPRODUCT((MOVIMIENTOS!$B$5:$B$1005="ENVÍO A SUPESA")*(MOVIMIENTOS!$C$5:$C$1005="C")*(MOVIMIENTOS!$D$5:$D$1005="jabas")*(MOVIMIENTOS!$A$5:$A$1005&lt;&gt;"")*(MOVIMIENTOS!$A$5:$A$1005&lt;=$A117)*MOVIMIENTOS!$E$5:$E$1005)+SUMPRODUCT((MOVIMIENTOS!$B$5:$B$1005="DEVOLUCIÓN")*(MOVIMIENTOS!$C$5:$C$1005="C")*(MOVIMIENTOS!$D$5:$D$1005="jabas")*(MOVIMIENTOS!$A$5:$A$1005&lt;&gt;"")*(MOVIMIENTOS!$A$5:$A$1005&lt;=$A117)*MOVIMIENTOS!$E$5:$E$1005)-SUMPRODUCT((MOVIMIENTOS!$B$5:$B$1005="TRASIEGO")*(MOVIMIENTOS!$C$5:$C$1005="C")*(MOVIMIENTOS!$D$5:$D$1005="jabas")*(MOVIMIENTOS!$A$5:$A$1005&lt;&gt;"")*(MOVIMIENTOS!$A$5:$A$1005&lt;=$A117)*MOVIMIENTOS!$E$5:$E$1005)-SUMPRODUCT((MOVIMIENTOS!$B$5:$B$1005="REGALO")*(MOVIMIENTOS!$C$5:$C$1005="C")*(MOVIMIENTOS!$D$5:$D$1005="jabas")*(MOVIMIENTOS!$A$5:$A$1005&lt;&gt;"")*(MOVIMIENTOS!$A$5:$A$1005&lt;=$A117)*MOVIMIENTOS!$E$5:$E$1005)-SUMPRODUCT((MOVIMIENTOS!$B$5:$B$1005="VENTA")*(MOVIMIENTOS!$C$5:$C$1005="C")*(MOVIMIENTOS!$D$5:$D$1005="jabas")*(MOVIMIENTOS!$A$5:$A$1005&lt;&gt;"")*(MOVIMIENTOS!$A$5:$A$1005&lt;=$A117)*MOVIMIENTOS!$E$5:$E$1005)+SUMPRODUCT((MOVIMIENTOS!$B$5:$B$1005="AJUSTE")*(MOVIMIENTOS!$C$5:$C$1005="C")*(MOVIMIENTOS!$D$5:$D$1005="jabas")*(MOVIMIENTOS!$A$5:$A$1005&lt;&gt;"")*(MOVIMIENTOS!$A$5:$A$1005&lt;=$A117)*MOVIMIENTOS!$E$5:$E$1005))</f>
        <v/>
      </c>
      <c r="E117" s="63" t="str">
        <f>IF($A117="","",SUMPRODUCT((MOVIMIENTOS!$B$5:$B$1005="SALDO INICIAL")*(MOVIMIENTOS!$C$5:$C$1005="M")*(MOVIMIENTOS!$D$5:$D$1005="jabas")*(MOVIMIENTOS!$A$5:$A$1005&lt;&gt;"")*(MOVIMIENTOS!$A$5:$A$1005&lt;=$A117)*MOVIMIENTOS!$E$5:$E$1005)+SUMPRODUCT((MOVIMIENTOS!$B$5:$B$1005="PROCESO")*(MOVIMIENTOS!$C$5:$C$1005="M")*(MOVIMIENTOS!$D$5:$D$1005="jabas")*(MOVIMIENTOS!$A$5:$A$1005&lt;&gt;"")*(MOVIMIENTOS!$A$5:$A$1005&lt;=$A117)*MOVIMIENTOS!$E$5:$E$1005)-SUMPRODUCT((MOVIMIENTOS!$B$5:$B$1005="ENVÍO A SUPESA")*(MOVIMIENTOS!$C$5:$C$1005="M")*(MOVIMIENTOS!$D$5:$D$1005="jabas")*(MOVIMIENTOS!$A$5:$A$1005&lt;&gt;"")*(MOVIMIENTOS!$A$5:$A$1005&lt;=$A117)*MOVIMIENTOS!$E$5:$E$1005)+SUMPRODUCT((MOVIMIENTOS!$B$5:$B$1005="DEVOLUCIÓN")*(MOVIMIENTOS!$C$5:$C$1005="M")*(MOVIMIENTOS!$D$5:$D$1005="jabas")*(MOVIMIENTOS!$A$5:$A$1005&lt;&gt;"")*(MOVIMIENTOS!$A$5:$A$1005&lt;=$A117)*MOVIMIENTOS!$E$5:$E$1005)-SUMPRODUCT((MOVIMIENTOS!$B$5:$B$1005="TRASIEGO")*(MOVIMIENTOS!$C$5:$C$1005="M")*(MOVIMIENTOS!$D$5:$D$1005="jabas")*(MOVIMIENTOS!$A$5:$A$1005&lt;&gt;"")*(MOVIMIENTOS!$A$5:$A$1005&lt;=$A117)*MOVIMIENTOS!$E$5:$E$1005)-SUMPRODUCT((MOVIMIENTOS!$B$5:$B$1005="REGALO")*(MOVIMIENTOS!$C$5:$C$1005="M")*(MOVIMIENTOS!$D$5:$D$1005="jabas")*(MOVIMIENTOS!$A$5:$A$1005&lt;&gt;"")*(MOVIMIENTOS!$A$5:$A$1005&lt;=$A117)*MOVIMIENTOS!$E$5:$E$1005)-SUMPRODUCT((MOVIMIENTOS!$B$5:$B$1005="VENTA")*(MOVIMIENTOS!$C$5:$C$1005="M")*(MOVIMIENTOS!$D$5:$D$1005="jabas")*(MOVIMIENTOS!$A$5:$A$1005&lt;&gt;"")*(MOVIMIENTOS!$A$5:$A$1005&lt;=$A117)*MOVIMIENTOS!$E$5:$E$1005)+SUMPRODUCT((MOVIMIENTOS!$B$5:$B$1005="AJUSTE")*(MOVIMIENTOS!$C$5:$C$1005="M")*(MOVIMIENTOS!$D$5:$D$1005="jabas")*(MOVIMIENTOS!$A$5:$A$1005&lt;&gt;"")*(MOVIMIENTOS!$A$5:$A$1005&lt;=$A117)*MOVIMIENTOS!$E$5:$E$1005))</f>
        <v/>
      </c>
      <c r="F117" s="63" t="str">
        <f>IF($A117="","",SUMPRODUCT((MOVIMIENTOS!$B$5:$B$1005="SALDO INICIAL")*(MOVIMIENTOS!$C$5:$C$1005="Chancho")*(MOVIMIENTOS!$D$5:$D$1005="sacos")*(MOVIMIENTOS!$A$5:$A$1005&lt;&gt;"")*(MOVIMIENTOS!$A$5:$A$1005&lt;=$A117)*MOVIMIENTOS!$E$5:$E$1005)+SUMPRODUCT((MOVIMIENTOS!$B$5:$B$1005="PROCESO")*(MOVIMIENTOS!$C$5:$C$1005="Chancho")*(MOVIMIENTOS!$D$5:$D$1005="sacos")*(MOVIMIENTOS!$A$5:$A$1005&lt;&gt;"")*(MOVIMIENTOS!$A$5:$A$1005&lt;=$A117)*MOVIMIENTOS!$E$5:$E$1005)-SUMPRODUCT((MOVIMIENTOS!$B$5:$B$1005="VENTA CHANCHO")*(MOVIMIENTOS!$C$5:$C$1005="Chancho")*(MOVIMIENTOS!$D$5:$D$1005="sacos")*(MOVIMIENTOS!$A$5:$A$1005&lt;&gt;"")*(MOVIMIENTOS!$A$5:$A$1005&lt;=$A117)*MOVIMIENTOS!$E$5:$E$1005)-SUMPRODUCT((MOVIMIENTOS!$B$5:$B$1005="REGALO")*(MOVIMIENTOS!$C$5:$C$1005="Chancho")*(MOVIMIENTOS!$D$5:$D$1005="sacos")*(MOVIMIENTOS!$A$5:$A$1005&lt;&gt;"")*(MOVIMIENTOS!$A$5:$A$1005&lt;=$A117)*MOVIMIENTOS!$E$5:$E$1005)-SUMPRODUCT((MOVIMIENTOS!$B$5:$B$1005="VENTA")*(MOVIMIENTOS!$C$5:$C$1005="Chancho")*(MOVIMIENTOS!$D$5:$D$1005="sacos")*(MOVIMIENTOS!$A$5:$A$1005&lt;&gt;"")*(MOVIMIENTOS!$A$5:$A$1005&lt;=$A117)*MOVIMIENTOS!$E$5:$E$1005)+SUMPRODUCT((MOVIMIENTOS!$B$5:$B$1005="AJUSTE")*(MOVIMIENTOS!$C$5:$C$1005="Chancho")*(MOVIMIENTOS!$D$5:$D$1005="sacos")*(MOVIMIENTOS!$A$5:$A$1005&lt;&gt;"")*(MOVIMIENTOS!$A$5:$A$1005&lt;=$A117)*MOVIMIENTOS!$E$5:$E$1005))</f>
        <v/>
      </c>
      <c r="G117" s="95" t="str">
        <f t="shared" si="3"/>
        <v/>
      </c>
      <c r="H117" s="63" t="str">
        <f>IF($A117="","",SUMPRODUCT((((MOVIMIENTOS!$B$5:$B$1005="SALDO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117)*MOVIMIENTOS!$J$5:$J$1005))</f>
        <v/>
      </c>
      <c r="I117" s="63"/>
      <c r="J117" s="63" t="str">
        <f>IF(AND(MOVIMIENTOS!$A117&lt;&gt;"",COUNTIF(MOVIMIENTOS!$A$5:$A116,MOVIMIENTOS!$A117)=0),COUNT(J$4:J116)+1,"")</f>
        <v/>
      </c>
      <c r="K117" s="66">
        <f>MOVIMIENTOS!$A117</f>
        <v>46224</v>
      </c>
      <c r="L117" s="63"/>
      <c r="M117" s="63"/>
      <c r="N117" s="63"/>
    </row>
    <row r="118" spans="1:14" ht="15" customHeight="1" x14ac:dyDescent="0.2">
      <c r="A118" s="63" t="str">
        <f t="shared" si="2"/>
        <v/>
      </c>
      <c r="B118" s="63" t="str">
        <f>IF($A118="","",SUMPRODUCT((MOVIMIENTOS!$B$5:$B$1005="SALDO INICIAL")*(MOVIMIENTOS!$C$5:$C$1005="A")*(MOVIMIENTOS!$D$5:$D$1005="jabas")*(MOVIMIENTOS!$A$5:$A$1005&lt;&gt;"")*(MOVIMIENTOS!$A$5:$A$1005&lt;=$A118)*MOVIMIENTOS!$E$5:$E$1005)+SUMPRODUCT((MOVIMIENTOS!$B$5:$B$1005="PROCESO")*(MOVIMIENTOS!$C$5:$C$1005="A")*(MOVIMIENTOS!$D$5:$D$1005="jabas")*(MOVIMIENTOS!$A$5:$A$1005&lt;&gt;"")*(MOVIMIENTOS!$A$5:$A$1005&lt;=$A118)*MOVIMIENTOS!$E$5:$E$1005)-SUMPRODUCT((MOVIMIENTOS!$B$5:$B$1005="ENVÍO A SUPESA")*(MOVIMIENTOS!$C$5:$C$1005="A")*(MOVIMIENTOS!$D$5:$D$1005="jabas")*(MOVIMIENTOS!$A$5:$A$1005&lt;&gt;"")*(MOVIMIENTOS!$A$5:$A$1005&lt;=$A118)*MOVIMIENTOS!$E$5:$E$1005)+SUMPRODUCT((MOVIMIENTOS!$B$5:$B$1005="DEVOLUCIÓN")*(MOVIMIENTOS!$C$5:$C$1005="A")*(MOVIMIENTOS!$D$5:$D$1005="jabas")*(MOVIMIENTOS!$A$5:$A$1005&lt;&gt;"")*(MOVIMIENTOS!$A$5:$A$1005&lt;=$A118)*MOVIMIENTOS!$E$5:$E$1005)-SUMPRODUCT((MOVIMIENTOS!$B$5:$B$1005="TRASIEGO")*(MOVIMIENTOS!$C$5:$C$1005="A")*(MOVIMIENTOS!$D$5:$D$1005="jabas")*(MOVIMIENTOS!$A$5:$A$1005&lt;&gt;"")*(MOVIMIENTOS!$A$5:$A$1005&lt;=$A118)*MOVIMIENTOS!$E$5:$E$1005)-SUMPRODUCT((MOVIMIENTOS!$B$5:$B$1005="REGALO")*(MOVIMIENTOS!$C$5:$C$1005="A")*(MOVIMIENTOS!$D$5:$D$1005="jabas")*(MOVIMIENTOS!$A$5:$A$1005&lt;&gt;"")*(MOVIMIENTOS!$A$5:$A$1005&lt;=$A118)*MOVIMIENTOS!$E$5:$E$1005)-SUMPRODUCT((MOVIMIENTOS!$B$5:$B$1005="VENTA")*(MOVIMIENTOS!$C$5:$C$1005="A")*(MOVIMIENTOS!$D$5:$D$1005="jabas")*(MOVIMIENTOS!$A$5:$A$1005&lt;&gt;"")*(MOVIMIENTOS!$A$5:$A$1005&lt;=$A118)*MOVIMIENTOS!$E$5:$E$1005)+SUMPRODUCT((MOVIMIENTOS!$B$5:$B$1005="AJUSTE")*(MOVIMIENTOS!$C$5:$C$1005="A")*(MOVIMIENTOS!$D$5:$D$1005="jabas")*(MOVIMIENTOS!$A$5:$A$1005&lt;&gt;"")*(MOVIMIENTOS!$A$5:$A$1005&lt;=$A118)*MOVIMIENTOS!$E$5:$E$1005))</f>
        <v/>
      </c>
      <c r="C118" s="63" t="str">
        <f>IF($A118="","",SUMPRODUCT((MOVIMIENTOS!$B$5:$B$1005="SALDO INICIAL")*(MOVIMIENTOS!$C$5:$C$1005="P")*(MOVIMIENTOS!$D$5:$D$1005="jabas")*(MOVIMIENTOS!$A$5:$A$1005&lt;&gt;"")*(MOVIMIENTOS!$A$5:$A$1005&lt;=$A118)*MOVIMIENTOS!$E$5:$E$1005)+SUMPRODUCT((MOVIMIENTOS!$B$5:$B$1005="PROCESO")*(MOVIMIENTOS!$C$5:$C$1005="P")*(MOVIMIENTOS!$D$5:$D$1005="jabas")*(MOVIMIENTOS!$A$5:$A$1005&lt;&gt;"")*(MOVIMIENTOS!$A$5:$A$1005&lt;=$A118)*MOVIMIENTOS!$E$5:$E$1005)-SUMPRODUCT((MOVIMIENTOS!$B$5:$B$1005="ENVÍO A SUPESA")*(MOVIMIENTOS!$C$5:$C$1005="P")*(MOVIMIENTOS!$D$5:$D$1005="jabas")*(MOVIMIENTOS!$A$5:$A$1005&lt;&gt;"")*(MOVIMIENTOS!$A$5:$A$1005&lt;=$A118)*MOVIMIENTOS!$E$5:$E$1005)+SUMPRODUCT((MOVIMIENTOS!$B$5:$B$1005="DEVOLUCIÓN")*(MOVIMIENTOS!$C$5:$C$1005="P")*(MOVIMIENTOS!$D$5:$D$1005="jabas")*(MOVIMIENTOS!$A$5:$A$1005&lt;&gt;"")*(MOVIMIENTOS!$A$5:$A$1005&lt;=$A118)*MOVIMIENTOS!$E$5:$E$1005)-SUMPRODUCT((MOVIMIENTOS!$B$5:$B$1005="TRASIEGO")*(MOVIMIENTOS!$C$5:$C$1005="P")*(MOVIMIENTOS!$D$5:$D$1005="jabas")*(MOVIMIENTOS!$A$5:$A$1005&lt;&gt;"")*(MOVIMIENTOS!$A$5:$A$1005&lt;=$A118)*MOVIMIENTOS!$E$5:$E$1005)-SUMPRODUCT((MOVIMIENTOS!$B$5:$B$1005="REGALO")*(MOVIMIENTOS!$C$5:$C$1005="P")*(MOVIMIENTOS!$D$5:$D$1005="jabas")*(MOVIMIENTOS!$A$5:$A$1005&lt;&gt;"")*(MOVIMIENTOS!$A$5:$A$1005&lt;=$A118)*MOVIMIENTOS!$E$5:$E$1005)-SUMPRODUCT((MOVIMIENTOS!$B$5:$B$1005="VENTA")*(MOVIMIENTOS!$C$5:$C$1005="P")*(MOVIMIENTOS!$D$5:$D$1005="jabas")*(MOVIMIENTOS!$A$5:$A$1005&lt;&gt;"")*(MOVIMIENTOS!$A$5:$A$1005&lt;=$A118)*MOVIMIENTOS!$E$5:$E$1005)+SUMPRODUCT((MOVIMIENTOS!$B$5:$B$1005="AJUSTE")*(MOVIMIENTOS!$C$5:$C$1005="P")*(MOVIMIENTOS!$D$5:$D$1005="jabas")*(MOVIMIENTOS!$A$5:$A$1005&lt;&gt;"")*(MOVIMIENTOS!$A$5:$A$1005&lt;=$A118)*MOVIMIENTOS!$E$5:$E$1005))</f>
        <v/>
      </c>
      <c r="D118" s="63" t="str">
        <f>IF($A118="","",SUMPRODUCT((MOVIMIENTOS!$B$5:$B$1005="SALDO INICIAL")*(MOVIMIENTOS!$C$5:$C$1005="C")*(MOVIMIENTOS!$D$5:$D$1005="jabas")*(MOVIMIENTOS!$A$5:$A$1005&lt;&gt;"")*(MOVIMIENTOS!$A$5:$A$1005&lt;=$A118)*MOVIMIENTOS!$E$5:$E$1005)+SUMPRODUCT((MOVIMIENTOS!$B$5:$B$1005="PROCESO")*(MOVIMIENTOS!$C$5:$C$1005="C")*(MOVIMIENTOS!$D$5:$D$1005="jabas")*(MOVIMIENTOS!$A$5:$A$1005&lt;&gt;"")*(MOVIMIENTOS!$A$5:$A$1005&lt;=$A118)*MOVIMIENTOS!$E$5:$E$1005)-SUMPRODUCT((MOVIMIENTOS!$B$5:$B$1005="ENVÍO A SUPESA")*(MOVIMIENTOS!$C$5:$C$1005="C")*(MOVIMIENTOS!$D$5:$D$1005="jabas")*(MOVIMIENTOS!$A$5:$A$1005&lt;&gt;"")*(MOVIMIENTOS!$A$5:$A$1005&lt;=$A118)*MOVIMIENTOS!$E$5:$E$1005)+SUMPRODUCT((MOVIMIENTOS!$B$5:$B$1005="DEVOLUCIÓN")*(MOVIMIENTOS!$C$5:$C$1005="C")*(MOVIMIENTOS!$D$5:$D$1005="jabas")*(MOVIMIENTOS!$A$5:$A$1005&lt;&gt;"")*(MOVIMIENTOS!$A$5:$A$1005&lt;=$A118)*MOVIMIENTOS!$E$5:$E$1005)-SUMPRODUCT((MOVIMIENTOS!$B$5:$B$1005="TRASIEGO")*(MOVIMIENTOS!$C$5:$C$1005="C")*(MOVIMIENTOS!$D$5:$D$1005="jabas")*(MOVIMIENTOS!$A$5:$A$1005&lt;&gt;"")*(MOVIMIENTOS!$A$5:$A$1005&lt;=$A118)*MOVIMIENTOS!$E$5:$E$1005)-SUMPRODUCT((MOVIMIENTOS!$B$5:$B$1005="REGALO")*(MOVIMIENTOS!$C$5:$C$1005="C")*(MOVIMIENTOS!$D$5:$D$1005="jabas")*(MOVIMIENTOS!$A$5:$A$1005&lt;&gt;"")*(MOVIMIENTOS!$A$5:$A$1005&lt;=$A118)*MOVIMIENTOS!$E$5:$E$1005)-SUMPRODUCT((MOVIMIENTOS!$B$5:$B$1005="VENTA")*(MOVIMIENTOS!$C$5:$C$1005="C")*(MOVIMIENTOS!$D$5:$D$1005="jabas")*(MOVIMIENTOS!$A$5:$A$1005&lt;&gt;"")*(MOVIMIENTOS!$A$5:$A$1005&lt;=$A118)*MOVIMIENTOS!$E$5:$E$1005)+SUMPRODUCT((MOVIMIENTOS!$B$5:$B$1005="AJUSTE")*(MOVIMIENTOS!$C$5:$C$1005="C")*(MOVIMIENTOS!$D$5:$D$1005="jabas")*(MOVIMIENTOS!$A$5:$A$1005&lt;&gt;"")*(MOVIMIENTOS!$A$5:$A$1005&lt;=$A118)*MOVIMIENTOS!$E$5:$E$1005))</f>
        <v/>
      </c>
      <c r="E118" s="63" t="str">
        <f>IF($A118="","",SUMPRODUCT((MOVIMIENTOS!$B$5:$B$1005="SALDO INICIAL")*(MOVIMIENTOS!$C$5:$C$1005="M")*(MOVIMIENTOS!$D$5:$D$1005="jabas")*(MOVIMIENTOS!$A$5:$A$1005&lt;&gt;"")*(MOVIMIENTOS!$A$5:$A$1005&lt;=$A118)*MOVIMIENTOS!$E$5:$E$1005)+SUMPRODUCT((MOVIMIENTOS!$B$5:$B$1005="PROCESO")*(MOVIMIENTOS!$C$5:$C$1005="M")*(MOVIMIENTOS!$D$5:$D$1005="jabas")*(MOVIMIENTOS!$A$5:$A$1005&lt;&gt;"")*(MOVIMIENTOS!$A$5:$A$1005&lt;=$A118)*MOVIMIENTOS!$E$5:$E$1005)-SUMPRODUCT((MOVIMIENTOS!$B$5:$B$1005="ENVÍO A SUPESA")*(MOVIMIENTOS!$C$5:$C$1005="M")*(MOVIMIENTOS!$D$5:$D$1005="jabas")*(MOVIMIENTOS!$A$5:$A$1005&lt;&gt;"")*(MOVIMIENTOS!$A$5:$A$1005&lt;=$A118)*MOVIMIENTOS!$E$5:$E$1005)+SUMPRODUCT((MOVIMIENTOS!$B$5:$B$1005="DEVOLUCIÓN")*(MOVIMIENTOS!$C$5:$C$1005="M")*(MOVIMIENTOS!$D$5:$D$1005="jabas")*(MOVIMIENTOS!$A$5:$A$1005&lt;&gt;"")*(MOVIMIENTOS!$A$5:$A$1005&lt;=$A118)*MOVIMIENTOS!$E$5:$E$1005)-SUMPRODUCT((MOVIMIENTOS!$B$5:$B$1005="TRASIEGO")*(MOVIMIENTOS!$C$5:$C$1005="M")*(MOVIMIENTOS!$D$5:$D$1005="jabas")*(MOVIMIENTOS!$A$5:$A$1005&lt;&gt;"")*(MOVIMIENTOS!$A$5:$A$1005&lt;=$A118)*MOVIMIENTOS!$E$5:$E$1005)-SUMPRODUCT((MOVIMIENTOS!$B$5:$B$1005="REGALO")*(MOVIMIENTOS!$C$5:$C$1005="M")*(MOVIMIENTOS!$D$5:$D$1005="jabas")*(MOVIMIENTOS!$A$5:$A$1005&lt;&gt;"")*(MOVIMIENTOS!$A$5:$A$1005&lt;=$A118)*MOVIMIENTOS!$E$5:$E$1005)-SUMPRODUCT((MOVIMIENTOS!$B$5:$B$1005="VENTA")*(MOVIMIENTOS!$C$5:$C$1005="M")*(MOVIMIENTOS!$D$5:$D$1005="jabas")*(MOVIMIENTOS!$A$5:$A$1005&lt;&gt;"")*(MOVIMIENTOS!$A$5:$A$1005&lt;=$A118)*MOVIMIENTOS!$E$5:$E$1005)+SUMPRODUCT((MOVIMIENTOS!$B$5:$B$1005="AJUSTE")*(MOVIMIENTOS!$C$5:$C$1005="M")*(MOVIMIENTOS!$D$5:$D$1005="jabas")*(MOVIMIENTOS!$A$5:$A$1005&lt;&gt;"")*(MOVIMIENTOS!$A$5:$A$1005&lt;=$A118)*MOVIMIENTOS!$E$5:$E$1005))</f>
        <v/>
      </c>
      <c r="F118" s="63" t="str">
        <f>IF($A118="","",SUMPRODUCT((MOVIMIENTOS!$B$5:$B$1005="SALDO INICIAL")*(MOVIMIENTOS!$C$5:$C$1005="Chancho")*(MOVIMIENTOS!$D$5:$D$1005="sacos")*(MOVIMIENTOS!$A$5:$A$1005&lt;&gt;"")*(MOVIMIENTOS!$A$5:$A$1005&lt;=$A118)*MOVIMIENTOS!$E$5:$E$1005)+SUMPRODUCT((MOVIMIENTOS!$B$5:$B$1005="PROCESO")*(MOVIMIENTOS!$C$5:$C$1005="Chancho")*(MOVIMIENTOS!$D$5:$D$1005="sacos")*(MOVIMIENTOS!$A$5:$A$1005&lt;&gt;"")*(MOVIMIENTOS!$A$5:$A$1005&lt;=$A118)*MOVIMIENTOS!$E$5:$E$1005)-SUMPRODUCT((MOVIMIENTOS!$B$5:$B$1005="VENTA CHANCHO")*(MOVIMIENTOS!$C$5:$C$1005="Chancho")*(MOVIMIENTOS!$D$5:$D$1005="sacos")*(MOVIMIENTOS!$A$5:$A$1005&lt;&gt;"")*(MOVIMIENTOS!$A$5:$A$1005&lt;=$A118)*MOVIMIENTOS!$E$5:$E$1005)-SUMPRODUCT((MOVIMIENTOS!$B$5:$B$1005="REGALO")*(MOVIMIENTOS!$C$5:$C$1005="Chancho")*(MOVIMIENTOS!$D$5:$D$1005="sacos")*(MOVIMIENTOS!$A$5:$A$1005&lt;&gt;"")*(MOVIMIENTOS!$A$5:$A$1005&lt;=$A118)*MOVIMIENTOS!$E$5:$E$1005)-SUMPRODUCT((MOVIMIENTOS!$B$5:$B$1005="VENTA")*(MOVIMIENTOS!$C$5:$C$1005="Chancho")*(MOVIMIENTOS!$D$5:$D$1005="sacos")*(MOVIMIENTOS!$A$5:$A$1005&lt;&gt;"")*(MOVIMIENTOS!$A$5:$A$1005&lt;=$A118)*MOVIMIENTOS!$E$5:$E$1005)+SUMPRODUCT((MOVIMIENTOS!$B$5:$B$1005="AJUSTE")*(MOVIMIENTOS!$C$5:$C$1005="Chancho")*(MOVIMIENTOS!$D$5:$D$1005="sacos")*(MOVIMIENTOS!$A$5:$A$1005&lt;&gt;"")*(MOVIMIENTOS!$A$5:$A$1005&lt;=$A118)*MOVIMIENTOS!$E$5:$E$1005))</f>
        <v/>
      </c>
      <c r="G118" s="95" t="str">
        <f t="shared" si="3"/>
        <v/>
      </c>
      <c r="H118" s="63" t="str">
        <f>IF($A118="","",SUMPRODUCT((((MOVIMIENTOS!$B$5:$B$1005="SALDO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118)*MOVIMIENTOS!$J$5:$J$1005))</f>
        <v/>
      </c>
      <c r="I118" s="63"/>
      <c r="J118" s="63" t="str">
        <f>IF(AND(MOVIMIENTOS!$A118&lt;&gt;"",COUNTIF(MOVIMIENTOS!$A$5:$A117,MOVIMIENTOS!$A118)=0),COUNT(J$4:J117)+1,"")</f>
        <v/>
      </c>
      <c r="K118" s="66">
        <f>MOVIMIENTOS!$A118</f>
        <v>46224</v>
      </c>
      <c r="L118" s="63"/>
      <c r="M118" s="63"/>
      <c r="N118" s="63"/>
    </row>
    <row r="119" spans="1:14" ht="15" customHeight="1" x14ac:dyDescent="0.2">
      <c r="A119" s="63" t="str">
        <f t="shared" si="2"/>
        <v/>
      </c>
      <c r="B119" s="63" t="str">
        <f>IF($A119="","",SUMPRODUCT((MOVIMIENTOS!$B$5:$B$1005="SALDO INICIAL")*(MOVIMIENTOS!$C$5:$C$1005="A")*(MOVIMIENTOS!$D$5:$D$1005="jabas")*(MOVIMIENTOS!$A$5:$A$1005&lt;&gt;"")*(MOVIMIENTOS!$A$5:$A$1005&lt;=$A119)*MOVIMIENTOS!$E$5:$E$1005)+SUMPRODUCT((MOVIMIENTOS!$B$5:$B$1005="PROCESO")*(MOVIMIENTOS!$C$5:$C$1005="A")*(MOVIMIENTOS!$D$5:$D$1005="jabas")*(MOVIMIENTOS!$A$5:$A$1005&lt;&gt;"")*(MOVIMIENTOS!$A$5:$A$1005&lt;=$A119)*MOVIMIENTOS!$E$5:$E$1005)-SUMPRODUCT((MOVIMIENTOS!$B$5:$B$1005="ENVÍO A SUPESA")*(MOVIMIENTOS!$C$5:$C$1005="A")*(MOVIMIENTOS!$D$5:$D$1005="jabas")*(MOVIMIENTOS!$A$5:$A$1005&lt;&gt;"")*(MOVIMIENTOS!$A$5:$A$1005&lt;=$A119)*MOVIMIENTOS!$E$5:$E$1005)+SUMPRODUCT((MOVIMIENTOS!$B$5:$B$1005="DEVOLUCIÓN")*(MOVIMIENTOS!$C$5:$C$1005="A")*(MOVIMIENTOS!$D$5:$D$1005="jabas")*(MOVIMIENTOS!$A$5:$A$1005&lt;&gt;"")*(MOVIMIENTOS!$A$5:$A$1005&lt;=$A119)*MOVIMIENTOS!$E$5:$E$1005)-SUMPRODUCT((MOVIMIENTOS!$B$5:$B$1005="TRASIEGO")*(MOVIMIENTOS!$C$5:$C$1005="A")*(MOVIMIENTOS!$D$5:$D$1005="jabas")*(MOVIMIENTOS!$A$5:$A$1005&lt;&gt;"")*(MOVIMIENTOS!$A$5:$A$1005&lt;=$A119)*MOVIMIENTOS!$E$5:$E$1005)-SUMPRODUCT((MOVIMIENTOS!$B$5:$B$1005="REGALO")*(MOVIMIENTOS!$C$5:$C$1005="A")*(MOVIMIENTOS!$D$5:$D$1005="jabas")*(MOVIMIENTOS!$A$5:$A$1005&lt;&gt;"")*(MOVIMIENTOS!$A$5:$A$1005&lt;=$A119)*MOVIMIENTOS!$E$5:$E$1005)-SUMPRODUCT((MOVIMIENTOS!$B$5:$B$1005="VENTA")*(MOVIMIENTOS!$C$5:$C$1005="A")*(MOVIMIENTOS!$D$5:$D$1005="jabas")*(MOVIMIENTOS!$A$5:$A$1005&lt;&gt;"")*(MOVIMIENTOS!$A$5:$A$1005&lt;=$A119)*MOVIMIENTOS!$E$5:$E$1005)+SUMPRODUCT((MOVIMIENTOS!$B$5:$B$1005="AJUSTE")*(MOVIMIENTOS!$C$5:$C$1005="A")*(MOVIMIENTOS!$D$5:$D$1005="jabas")*(MOVIMIENTOS!$A$5:$A$1005&lt;&gt;"")*(MOVIMIENTOS!$A$5:$A$1005&lt;=$A119)*MOVIMIENTOS!$E$5:$E$1005))</f>
        <v/>
      </c>
      <c r="C119" s="63" t="str">
        <f>IF($A119="","",SUMPRODUCT((MOVIMIENTOS!$B$5:$B$1005="SALDO INICIAL")*(MOVIMIENTOS!$C$5:$C$1005="P")*(MOVIMIENTOS!$D$5:$D$1005="jabas")*(MOVIMIENTOS!$A$5:$A$1005&lt;&gt;"")*(MOVIMIENTOS!$A$5:$A$1005&lt;=$A119)*MOVIMIENTOS!$E$5:$E$1005)+SUMPRODUCT((MOVIMIENTOS!$B$5:$B$1005="PROCESO")*(MOVIMIENTOS!$C$5:$C$1005="P")*(MOVIMIENTOS!$D$5:$D$1005="jabas")*(MOVIMIENTOS!$A$5:$A$1005&lt;&gt;"")*(MOVIMIENTOS!$A$5:$A$1005&lt;=$A119)*MOVIMIENTOS!$E$5:$E$1005)-SUMPRODUCT((MOVIMIENTOS!$B$5:$B$1005="ENVÍO A SUPESA")*(MOVIMIENTOS!$C$5:$C$1005="P")*(MOVIMIENTOS!$D$5:$D$1005="jabas")*(MOVIMIENTOS!$A$5:$A$1005&lt;&gt;"")*(MOVIMIENTOS!$A$5:$A$1005&lt;=$A119)*MOVIMIENTOS!$E$5:$E$1005)+SUMPRODUCT((MOVIMIENTOS!$B$5:$B$1005="DEVOLUCIÓN")*(MOVIMIENTOS!$C$5:$C$1005="P")*(MOVIMIENTOS!$D$5:$D$1005="jabas")*(MOVIMIENTOS!$A$5:$A$1005&lt;&gt;"")*(MOVIMIENTOS!$A$5:$A$1005&lt;=$A119)*MOVIMIENTOS!$E$5:$E$1005)-SUMPRODUCT((MOVIMIENTOS!$B$5:$B$1005="TRASIEGO")*(MOVIMIENTOS!$C$5:$C$1005="P")*(MOVIMIENTOS!$D$5:$D$1005="jabas")*(MOVIMIENTOS!$A$5:$A$1005&lt;&gt;"")*(MOVIMIENTOS!$A$5:$A$1005&lt;=$A119)*MOVIMIENTOS!$E$5:$E$1005)-SUMPRODUCT((MOVIMIENTOS!$B$5:$B$1005="REGALO")*(MOVIMIENTOS!$C$5:$C$1005="P")*(MOVIMIENTOS!$D$5:$D$1005="jabas")*(MOVIMIENTOS!$A$5:$A$1005&lt;&gt;"")*(MOVIMIENTOS!$A$5:$A$1005&lt;=$A119)*MOVIMIENTOS!$E$5:$E$1005)-SUMPRODUCT((MOVIMIENTOS!$B$5:$B$1005="VENTA")*(MOVIMIENTOS!$C$5:$C$1005="P")*(MOVIMIENTOS!$D$5:$D$1005="jabas")*(MOVIMIENTOS!$A$5:$A$1005&lt;&gt;"")*(MOVIMIENTOS!$A$5:$A$1005&lt;=$A119)*MOVIMIENTOS!$E$5:$E$1005)+SUMPRODUCT((MOVIMIENTOS!$B$5:$B$1005="AJUSTE")*(MOVIMIENTOS!$C$5:$C$1005="P")*(MOVIMIENTOS!$D$5:$D$1005="jabas")*(MOVIMIENTOS!$A$5:$A$1005&lt;&gt;"")*(MOVIMIENTOS!$A$5:$A$1005&lt;=$A119)*MOVIMIENTOS!$E$5:$E$1005))</f>
        <v/>
      </c>
      <c r="D119" s="63" t="str">
        <f>IF($A119="","",SUMPRODUCT((MOVIMIENTOS!$B$5:$B$1005="SALDO INICIAL")*(MOVIMIENTOS!$C$5:$C$1005="C")*(MOVIMIENTOS!$D$5:$D$1005="jabas")*(MOVIMIENTOS!$A$5:$A$1005&lt;&gt;"")*(MOVIMIENTOS!$A$5:$A$1005&lt;=$A119)*MOVIMIENTOS!$E$5:$E$1005)+SUMPRODUCT((MOVIMIENTOS!$B$5:$B$1005="PROCESO")*(MOVIMIENTOS!$C$5:$C$1005="C")*(MOVIMIENTOS!$D$5:$D$1005="jabas")*(MOVIMIENTOS!$A$5:$A$1005&lt;&gt;"")*(MOVIMIENTOS!$A$5:$A$1005&lt;=$A119)*MOVIMIENTOS!$E$5:$E$1005)-SUMPRODUCT((MOVIMIENTOS!$B$5:$B$1005="ENVÍO A SUPESA")*(MOVIMIENTOS!$C$5:$C$1005="C")*(MOVIMIENTOS!$D$5:$D$1005="jabas")*(MOVIMIENTOS!$A$5:$A$1005&lt;&gt;"")*(MOVIMIENTOS!$A$5:$A$1005&lt;=$A119)*MOVIMIENTOS!$E$5:$E$1005)+SUMPRODUCT((MOVIMIENTOS!$B$5:$B$1005="DEVOLUCIÓN")*(MOVIMIENTOS!$C$5:$C$1005="C")*(MOVIMIENTOS!$D$5:$D$1005="jabas")*(MOVIMIENTOS!$A$5:$A$1005&lt;&gt;"")*(MOVIMIENTOS!$A$5:$A$1005&lt;=$A119)*MOVIMIENTOS!$E$5:$E$1005)-SUMPRODUCT((MOVIMIENTOS!$B$5:$B$1005="TRASIEGO")*(MOVIMIENTOS!$C$5:$C$1005="C")*(MOVIMIENTOS!$D$5:$D$1005="jabas")*(MOVIMIENTOS!$A$5:$A$1005&lt;&gt;"")*(MOVIMIENTOS!$A$5:$A$1005&lt;=$A119)*MOVIMIENTOS!$E$5:$E$1005)-SUMPRODUCT((MOVIMIENTOS!$B$5:$B$1005="REGALO")*(MOVIMIENTOS!$C$5:$C$1005="C")*(MOVIMIENTOS!$D$5:$D$1005="jabas")*(MOVIMIENTOS!$A$5:$A$1005&lt;&gt;"")*(MOVIMIENTOS!$A$5:$A$1005&lt;=$A119)*MOVIMIENTOS!$E$5:$E$1005)-SUMPRODUCT((MOVIMIENTOS!$B$5:$B$1005="VENTA")*(MOVIMIENTOS!$C$5:$C$1005="C")*(MOVIMIENTOS!$D$5:$D$1005="jabas")*(MOVIMIENTOS!$A$5:$A$1005&lt;&gt;"")*(MOVIMIENTOS!$A$5:$A$1005&lt;=$A119)*MOVIMIENTOS!$E$5:$E$1005)+SUMPRODUCT((MOVIMIENTOS!$B$5:$B$1005="AJUSTE")*(MOVIMIENTOS!$C$5:$C$1005="C")*(MOVIMIENTOS!$D$5:$D$1005="jabas")*(MOVIMIENTOS!$A$5:$A$1005&lt;&gt;"")*(MOVIMIENTOS!$A$5:$A$1005&lt;=$A119)*MOVIMIENTOS!$E$5:$E$1005))</f>
        <v/>
      </c>
      <c r="E119" s="63" t="str">
        <f>IF($A119="","",SUMPRODUCT((MOVIMIENTOS!$B$5:$B$1005="SALDO INICIAL")*(MOVIMIENTOS!$C$5:$C$1005="M")*(MOVIMIENTOS!$D$5:$D$1005="jabas")*(MOVIMIENTOS!$A$5:$A$1005&lt;&gt;"")*(MOVIMIENTOS!$A$5:$A$1005&lt;=$A119)*MOVIMIENTOS!$E$5:$E$1005)+SUMPRODUCT((MOVIMIENTOS!$B$5:$B$1005="PROCESO")*(MOVIMIENTOS!$C$5:$C$1005="M")*(MOVIMIENTOS!$D$5:$D$1005="jabas")*(MOVIMIENTOS!$A$5:$A$1005&lt;&gt;"")*(MOVIMIENTOS!$A$5:$A$1005&lt;=$A119)*MOVIMIENTOS!$E$5:$E$1005)-SUMPRODUCT((MOVIMIENTOS!$B$5:$B$1005="ENVÍO A SUPESA")*(MOVIMIENTOS!$C$5:$C$1005="M")*(MOVIMIENTOS!$D$5:$D$1005="jabas")*(MOVIMIENTOS!$A$5:$A$1005&lt;&gt;"")*(MOVIMIENTOS!$A$5:$A$1005&lt;=$A119)*MOVIMIENTOS!$E$5:$E$1005)+SUMPRODUCT((MOVIMIENTOS!$B$5:$B$1005="DEVOLUCIÓN")*(MOVIMIENTOS!$C$5:$C$1005="M")*(MOVIMIENTOS!$D$5:$D$1005="jabas")*(MOVIMIENTOS!$A$5:$A$1005&lt;&gt;"")*(MOVIMIENTOS!$A$5:$A$1005&lt;=$A119)*MOVIMIENTOS!$E$5:$E$1005)-SUMPRODUCT((MOVIMIENTOS!$B$5:$B$1005="TRASIEGO")*(MOVIMIENTOS!$C$5:$C$1005="M")*(MOVIMIENTOS!$D$5:$D$1005="jabas")*(MOVIMIENTOS!$A$5:$A$1005&lt;&gt;"")*(MOVIMIENTOS!$A$5:$A$1005&lt;=$A119)*MOVIMIENTOS!$E$5:$E$1005)-SUMPRODUCT((MOVIMIENTOS!$B$5:$B$1005="REGALO")*(MOVIMIENTOS!$C$5:$C$1005="M")*(MOVIMIENTOS!$D$5:$D$1005="jabas")*(MOVIMIENTOS!$A$5:$A$1005&lt;&gt;"")*(MOVIMIENTOS!$A$5:$A$1005&lt;=$A119)*MOVIMIENTOS!$E$5:$E$1005)-SUMPRODUCT((MOVIMIENTOS!$B$5:$B$1005="VENTA")*(MOVIMIENTOS!$C$5:$C$1005="M")*(MOVIMIENTOS!$D$5:$D$1005="jabas")*(MOVIMIENTOS!$A$5:$A$1005&lt;&gt;"")*(MOVIMIENTOS!$A$5:$A$1005&lt;=$A119)*MOVIMIENTOS!$E$5:$E$1005)+SUMPRODUCT((MOVIMIENTOS!$B$5:$B$1005="AJUSTE")*(MOVIMIENTOS!$C$5:$C$1005="M")*(MOVIMIENTOS!$D$5:$D$1005="jabas")*(MOVIMIENTOS!$A$5:$A$1005&lt;&gt;"")*(MOVIMIENTOS!$A$5:$A$1005&lt;=$A119)*MOVIMIENTOS!$E$5:$E$1005))</f>
        <v/>
      </c>
      <c r="F119" s="63" t="str">
        <f>IF($A119="","",SUMPRODUCT((MOVIMIENTOS!$B$5:$B$1005="SALDO INICIAL")*(MOVIMIENTOS!$C$5:$C$1005="Chancho")*(MOVIMIENTOS!$D$5:$D$1005="sacos")*(MOVIMIENTOS!$A$5:$A$1005&lt;&gt;"")*(MOVIMIENTOS!$A$5:$A$1005&lt;=$A119)*MOVIMIENTOS!$E$5:$E$1005)+SUMPRODUCT((MOVIMIENTOS!$B$5:$B$1005="PROCESO")*(MOVIMIENTOS!$C$5:$C$1005="Chancho")*(MOVIMIENTOS!$D$5:$D$1005="sacos")*(MOVIMIENTOS!$A$5:$A$1005&lt;&gt;"")*(MOVIMIENTOS!$A$5:$A$1005&lt;=$A119)*MOVIMIENTOS!$E$5:$E$1005)-SUMPRODUCT((MOVIMIENTOS!$B$5:$B$1005="VENTA CHANCHO")*(MOVIMIENTOS!$C$5:$C$1005="Chancho")*(MOVIMIENTOS!$D$5:$D$1005="sacos")*(MOVIMIENTOS!$A$5:$A$1005&lt;&gt;"")*(MOVIMIENTOS!$A$5:$A$1005&lt;=$A119)*MOVIMIENTOS!$E$5:$E$1005)-SUMPRODUCT((MOVIMIENTOS!$B$5:$B$1005="REGALO")*(MOVIMIENTOS!$C$5:$C$1005="Chancho")*(MOVIMIENTOS!$D$5:$D$1005="sacos")*(MOVIMIENTOS!$A$5:$A$1005&lt;&gt;"")*(MOVIMIENTOS!$A$5:$A$1005&lt;=$A119)*MOVIMIENTOS!$E$5:$E$1005)-SUMPRODUCT((MOVIMIENTOS!$B$5:$B$1005="VENTA")*(MOVIMIENTOS!$C$5:$C$1005="Chancho")*(MOVIMIENTOS!$D$5:$D$1005="sacos")*(MOVIMIENTOS!$A$5:$A$1005&lt;&gt;"")*(MOVIMIENTOS!$A$5:$A$1005&lt;=$A119)*MOVIMIENTOS!$E$5:$E$1005)+SUMPRODUCT((MOVIMIENTOS!$B$5:$B$1005="AJUSTE")*(MOVIMIENTOS!$C$5:$C$1005="Chancho")*(MOVIMIENTOS!$D$5:$D$1005="sacos")*(MOVIMIENTOS!$A$5:$A$1005&lt;&gt;"")*(MOVIMIENTOS!$A$5:$A$1005&lt;=$A119)*MOVIMIENTOS!$E$5:$E$1005))</f>
        <v/>
      </c>
      <c r="G119" s="95" t="str">
        <f t="shared" si="3"/>
        <v/>
      </c>
      <c r="H119" s="63" t="str">
        <f>IF($A119="","",SUMPRODUCT((((MOVIMIENTOS!$B$5:$B$1005="SALDO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119)*MOVIMIENTOS!$J$5:$J$1005))</f>
        <v/>
      </c>
      <c r="I119" s="63"/>
      <c r="J119" s="63" t="str">
        <f>IF(AND(MOVIMIENTOS!$A119&lt;&gt;"",COUNTIF(MOVIMIENTOS!$A$5:$A118,MOVIMIENTOS!$A119)=0),COUNT(J$4:J118)+1,"")</f>
        <v/>
      </c>
      <c r="K119" s="66">
        <f>MOVIMIENTOS!$A119</f>
        <v>46224</v>
      </c>
      <c r="L119" s="63"/>
      <c r="M119" s="63"/>
      <c r="N119" s="63"/>
    </row>
    <row r="120" spans="1:14" ht="15" customHeight="1" x14ac:dyDescent="0.2">
      <c r="A120" s="63" t="str">
        <f t="shared" si="2"/>
        <v/>
      </c>
      <c r="B120" s="63" t="str">
        <f>IF($A120="","",SUMPRODUCT((MOVIMIENTOS!$B$5:$B$1005="SALDO INICIAL")*(MOVIMIENTOS!$C$5:$C$1005="A")*(MOVIMIENTOS!$D$5:$D$1005="jabas")*(MOVIMIENTOS!$A$5:$A$1005&lt;&gt;"")*(MOVIMIENTOS!$A$5:$A$1005&lt;=$A120)*MOVIMIENTOS!$E$5:$E$1005)+SUMPRODUCT((MOVIMIENTOS!$B$5:$B$1005="PROCESO")*(MOVIMIENTOS!$C$5:$C$1005="A")*(MOVIMIENTOS!$D$5:$D$1005="jabas")*(MOVIMIENTOS!$A$5:$A$1005&lt;&gt;"")*(MOVIMIENTOS!$A$5:$A$1005&lt;=$A120)*MOVIMIENTOS!$E$5:$E$1005)-SUMPRODUCT((MOVIMIENTOS!$B$5:$B$1005="ENVÍO A SUPESA")*(MOVIMIENTOS!$C$5:$C$1005="A")*(MOVIMIENTOS!$D$5:$D$1005="jabas")*(MOVIMIENTOS!$A$5:$A$1005&lt;&gt;"")*(MOVIMIENTOS!$A$5:$A$1005&lt;=$A120)*MOVIMIENTOS!$E$5:$E$1005)+SUMPRODUCT((MOVIMIENTOS!$B$5:$B$1005="DEVOLUCIÓN")*(MOVIMIENTOS!$C$5:$C$1005="A")*(MOVIMIENTOS!$D$5:$D$1005="jabas")*(MOVIMIENTOS!$A$5:$A$1005&lt;&gt;"")*(MOVIMIENTOS!$A$5:$A$1005&lt;=$A120)*MOVIMIENTOS!$E$5:$E$1005)-SUMPRODUCT((MOVIMIENTOS!$B$5:$B$1005="TRASIEGO")*(MOVIMIENTOS!$C$5:$C$1005="A")*(MOVIMIENTOS!$D$5:$D$1005="jabas")*(MOVIMIENTOS!$A$5:$A$1005&lt;&gt;"")*(MOVIMIENTOS!$A$5:$A$1005&lt;=$A120)*MOVIMIENTOS!$E$5:$E$1005)-SUMPRODUCT((MOVIMIENTOS!$B$5:$B$1005="REGALO")*(MOVIMIENTOS!$C$5:$C$1005="A")*(MOVIMIENTOS!$D$5:$D$1005="jabas")*(MOVIMIENTOS!$A$5:$A$1005&lt;&gt;"")*(MOVIMIENTOS!$A$5:$A$1005&lt;=$A120)*MOVIMIENTOS!$E$5:$E$1005)-SUMPRODUCT((MOVIMIENTOS!$B$5:$B$1005="VENTA")*(MOVIMIENTOS!$C$5:$C$1005="A")*(MOVIMIENTOS!$D$5:$D$1005="jabas")*(MOVIMIENTOS!$A$5:$A$1005&lt;&gt;"")*(MOVIMIENTOS!$A$5:$A$1005&lt;=$A120)*MOVIMIENTOS!$E$5:$E$1005)+SUMPRODUCT((MOVIMIENTOS!$B$5:$B$1005="AJUSTE")*(MOVIMIENTOS!$C$5:$C$1005="A")*(MOVIMIENTOS!$D$5:$D$1005="jabas")*(MOVIMIENTOS!$A$5:$A$1005&lt;&gt;"")*(MOVIMIENTOS!$A$5:$A$1005&lt;=$A120)*MOVIMIENTOS!$E$5:$E$1005))</f>
        <v/>
      </c>
      <c r="C120" s="63" t="str">
        <f>IF($A120="","",SUMPRODUCT((MOVIMIENTOS!$B$5:$B$1005="SALDO INICIAL")*(MOVIMIENTOS!$C$5:$C$1005="P")*(MOVIMIENTOS!$D$5:$D$1005="jabas")*(MOVIMIENTOS!$A$5:$A$1005&lt;&gt;"")*(MOVIMIENTOS!$A$5:$A$1005&lt;=$A120)*MOVIMIENTOS!$E$5:$E$1005)+SUMPRODUCT((MOVIMIENTOS!$B$5:$B$1005="PROCESO")*(MOVIMIENTOS!$C$5:$C$1005="P")*(MOVIMIENTOS!$D$5:$D$1005="jabas")*(MOVIMIENTOS!$A$5:$A$1005&lt;&gt;"")*(MOVIMIENTOS!$A$5:$A$1005&lt;=$A120)*MOVIMIENTOS!$E$5:$E$1005)-SUMPRODUCT((MOVIMIENTOS!$B$5:$B$1005="ENVÍO A SUPESA")*(MOVIMIENTOS!$C$5:$C$1005="P")*(MOVIMIENTOS!$D$5:$D$1005="jabas")*(MOVIMIENTOS!$A$5:$A$1005&lt;&gt;"")*(MOVIMIENTOS!$A$5:$A$1005&lt;=$A120)*MOVIMIENTOS!$E$5:$E$1005)+SUMPRODUCT((MOVIMIENTOS!$B$5:$B$1005="DEVOLUCIÓN")*(MOVIMIENTOS!$C$5:$C$1005="P")*(MOVIMIENTOS!$D$5:$D$1005="jabas")*(MOVIMIENTOS!$A$5:$A$1005&lt;&gt;"")*(MOVIMIENTOS!$A$5:$A$1005&lt;=$A120)*MOVIMIENTOS!$E$5:$E$1005)-SUMPRODUCT((MOVIMIENTOS!$B$5:$B$1005="TRASIEGO")*(MOVIMIENTOS!$C$5:$C$1005="P")*(MOVIMIENTOS!$D$5:$D$1005="jabas")*(MOVIMIENTOS!$A$5:$A$1005&lt;&gt;"")*(MOVIMIENTOS!$A$5:$A$1005&lt;=$A120)*MOVIMIENTOS!$E$5:$E$1005)-SUMPRODUCT((MOVIMIENTOS!$B$5:$B$1005="REGALO")*(MOVIMIENTOS!$C$5:$C$1005="P")*(MOVIMIENTOS!$D$5:$D$1005="jabas")*(MOVIMIENTOS!$A$5:$A$1005&lt;&gt;"")*(MOVIMIENTOS!$A$5:$A$1005&lt;=$A120)*MOVIMIENTOS!$E$5:$E$1005)-SUMPRODUCT((MOVIMIENTOS!$B$5:$B$1005="VENTA")*(MOVIMIENTOS!$C$5:$C$1005="P")*(MOVIMIENTOS!$D$5:$D$1005="jabas")*(MOVIMIENTOS!$A$5:$A$1005&lt;&gt;"")*(MOVIMIENTOS!$A$5:$A$1005&lt;=$A120)*MOVIMIENTOS!$E$5:$E$1005)+SUMPRODUCT((MOVIMIENTOS!$B$5:$B$1005="AJUSTE")*(MOVIMIENTOS!$C$5:$C$1005="P")*(MOVIMIENTOS!$D$5:$D$1005="jabas")*(MOVIMIENTOS!$A$5:$A$1005&lt;&gt;"")*(MOVIMIENTOS!$A$5:$A$1005&lt;=$A120)*MOVIMIENTOS!$E$5:$E$1005))</f>
        <v/>
      </c>
      <c r="D120" s="63" t="str">
        <f>IF($A120="","",SUMPRODUCT((MOVIMIENTOS!$B$5:$B$1005="SALDO INICIAL")*(MOVIMIENTOS!$C$5:$C$1005="C")*(MOVIMIENTOS!$D$5:$D$1005="jabas")*(MOVIMIENTOS!$A$5:$A$1005&lt;&gt;"")*(MOVIMIENTOS!$A$5:$A$1005&lt;=$A120)*MOVIMIENTOS!$E$5:$E$1005)+SUMPRODUCT((MOVIMIENTOS!$B$5:$B$1005="PROCESO")*(MOVIMIENTOS!$C$5:$C$1005="C")*(MOVIMIENTOS!$D$5:$D$1005="jabas")*(MOVIMIENTOS!$A$5:$A$1005&lt;&gt;"")*(MOVIMIENTOS!$A$5:$A$1005&lt;=$A120)*MOVIMIENTOS!$E$5:$E$1005)-SUMPRODUCT((MOVIMIENTOS!$B$5:$B$1005="ENVÍO A SUPESA")*(MOVIMIENTOS!$C$5:$C$1005="C")*(MOVIMIENTOS!$D$5:$D$1005="jabas")*(MOVIMIENTOS!$A$5:$A$1005&lt;&gt;"")*(MOVIMIENTOS!$A$5:$A$1005&lt;=$A120)*MOVIMIENTOS!$E$5:$E$1005)+SUMPRODUCT((MOVIMIENTOS!$B$5:$B$1005="DEVOLUCIÓN")*(MOVIMIENTOS!$C$5:$C$1005="C")*(MOVIMIENTOS!$D$5:$D$1005="jabas")*(MOVIMIENTOS!$A$5:$A$1005&lt;&gt;"")*(MOVIMIENTOS!$A$5:$A$1005&lt;=$A120)*MOVIMIENTOS!$E$5:$E$1005)-SUMPRODUCT((MOVIMIENTOS!$B$5:$B$1005="TRASIEGO")*(MOVIMIENTOS!$C$5:$C$1005="C")*(MOVIMIENTOS!$D$5:$D$1005="jabas")*(MOVIMIENTOS!$A$5:$A$1005&lt;&gt;"")*(MOVIMIENTOS!$A$5:$A$1005&lt;=$A120)*MOVIMIENTOS!$E$5:$E$1005)-SUMPRODUCT((MOVIMIENTOS!$B$5:$B$1005="REGALO")*(MOVIMIENTOS!$C$5:$C$1005="C")*(MOVIMIENTOS!$D$5:$D$1005="jabas")*(MOVIMIENTOS!$A$5:$A$1005&lt;&gt;"")*(MOVIMIENTOS!$A$5:$A$1005&lt;=$A120)*MOVIMIENTOS!$E$5:$E$1005)-SUMPRODUCT((MOVIMIENTOS!$B$5:$B$1005="VENTA")*(MOVIMIENTOS!$C$5:$C$1005="C")*(MOVIMIENTOS!$D$5:$D$1005="jabas")*(MOVIMIENTOS!$A$5:$A$1005&lt;&gt;"")*(MOVIMIENTOS!$A$5:$A$1005&lt;=$A120)*MOVIMIENTOS!$E$5:$E$1005)+SUMPRODUCT((MOVIMIENTOS!$B$5:$B$1005="AJUSTE")*(MOVIMIENTOS!$C$5:$C$1005="C")*(MOVIMIENTOS!$D$5:$D$1005="jabas")*(MOVIMIENTOS!$A$5:$A$1005&lt;&gt;"")*(MOVIMIENTOS!$A$5:$A$1005&lt;=$A120)*MOVIMIENTOS!$E$5:$E$1005))</f>
        <v/>
      </c>
      <c r="E120" s="63" t="str">
        <f>IF($A120="","",SUMPRODUCT((MOVIMIENTOS!$B$5:$B$1005="SALDO INICIAL")*(MOVIMIENTOS!$C$5:$C$1005="M")*(MOVIMIENTOS!$D$5:$D$1005="jabas")*(MOVIMIENTOS!$A$5:$A$1005&lt;&gt;"")*(MOVIMIENTOS!$A$5:$A$1005&lt;=$A120)*MOVIMIENTOS!$E$5:$E$1005)+SUMPRODUCT((MOVIMIENTOS!$B$5:$B$1005="PROCESO")*(MOVIMIENTOS!$C$5:$C$1005="M")*(MOVIMIENTOS!$D$5:$D$1005="jabas")*(MOVIMIENTOS!$A$5:$A$1005&lt;&gt;"")*(MOVIMIENTOS!$A$5:$A$1005&lt;=$A120)*MOVIMIENTOS!$E$5:$E$1005)-SUMPRODUCT((MOVIMIENTOS!$B$5:$B$1005="ENVÍO A SUPESA")*(MOVIMIENTOS!$C$5:$C$1005="M")*(MOVIMIENTOS!$D$5:$D$1005="jabas")*(MOVIMIENTOS!$A$5:$A$1005&lt;&gt;"")*(MOVIMIENTOS!$A$5:$A$1005&lt;=$A120)*MOVIMIENTOS!$E$5:$E$1005)+SUMPRODUCT((MOVIMIENTOS!$B$5:$B$1005="DEVOLUCIÓN")*(MOVIMIENTOS!$C$5:$C$1005="M")*(MOVIMIENTOS!$D$5:$D$1005="jabas")*(MOVIMIENTOS!$A$5:$A$1005&lt;&gt;"")*(MOVIMIENTOS!$A$5:$A$1005&lt;=$A120)*MOVIMIENTOS!$E$5:$E$1005)-SUMPRODUCT((MOVIMIENTOS!$B$5:$B$1005="TRASIEGO")*(MOVIMIENTOS!$C$5:$C$1005="M")*(MOVIMIENTOS!$D$5:$D$1005="jabas")*(MOVIMIENTOS!$A$5:$A$1005&lt;&gt;"")*(MOVIMIENTOS!$A$5:$A$1005&lt;=$A120)*MOVIMIENTOS!$E$5:$E$1005)-SUMPRODUCT((MOVIMIENTOS!$B$5:$B$1005="REGALO")*(MOVIMIENTOS!$C$5:$C$1005="M")*(MOVIMIENTOS!$D$5:$D$1005="jabas")*(MOVIMIENTOS!$A$5:$A$1005&lt;&gt;"")*(MOVIMIENTOS!$A$5:$A$1005&lt;=$A120)*MOVIMIENTOS!$E$5:$E$1005)-SUMPRODUCT((MOVIMIENTOS!$B$5:$B$1005="VENTA")*(MOVIMIENTOS!$C$5:$C$1005="M")*(MOVIMIENTOS!$D$5:$D$1005="jabas")*(MOVIMIENTOS!$A$5:$A$1005&lt;&gt;"")*(MOVIMIENTOS!$A$5:$A$1005&lt;=$A120)*MOVIMIENTOS!$E$5:$E$1005)+SUMPRODUCT((MOVIMIENTOS!$B$5:$B$1005="AJUSTE")*(MOVIMIENTOS!$C$5:$C$1005="M")*(MOVIMIENTOS!$D$5:$D$1005="jabas")*(MOVIMIENTOS!$A$5:$A$1005&lt;&gt;"")*(MOVIMIENTOS!$A$5:$A$1005&lt;=$A120)*MOVIMIENTOS!$E$5:$E$1005))</f>
        <v/>
      </c>
      <c r="F120" s="63" t="str">
        <f>IF($A120="","",SUMPRODUCT((MOVIMIENTOS!$B$5:$B$1005="SALDO INICIAL")*(MOVIMIENTOS!$C$5:$C$1005="Chancho")*(MOVIMIENTOS!$D$5:$D$1005="sacos")*(MOVIMIENTOS!$A$5:$A$1005&lt;&gt;"")*(MOVIMIENTOS!$A$5:$A$1005&lt;=$A120)*MOVIMIENTOS!$E$5:$E$1005)+SUMPRODUCT((MOVIMIENTOS!$B$5:$B$1005="PROCESO")*(MOVIMIENTOS!$C$5:$C$1005="Chancho")*(MOVIMIENTOS!$D$5:$D$1005="sacos")*(MOVIMIENTOS!$A$5:$A$1005&lt;&gt;"")*(MOVIMIENTOS!$A$5:$A$1005&lt;=$A120)*MOVIMIENTOS!$E$5:$E$1005)-SUMPRODUCT((MOVIMIENTOS!$B$5:$B$1005="VENTA CHANCHO")*(MOVIMIENTOS!$C$5:$C$1005="Chancho")*(MOVIMIENTOS!$D$5:$D$1005="sacos")*(MOVIMIENTOS!$A$5:$A$1005&lt;&gt;"")*(MOVIMIENTOS!$A$5:$A$1005&lt;=$A120)*MOVIMIENTOS!$E$5:$E$1005)-SUMPRODUCT((MOVIMIENTOS!$B$5:$B$1005="REGALO")*(MOVIMIENTOS!$C$5:$C$1005="Chancho")*(MOVIMIENTOS!$D$5:$D$1005="sacos")*(MOVIMIENTOS!$A$5:$A$1005&lt;&gt;"")*(MOVIMIENTOS!$A$5:$A$1005&lt;=$A120)*MOVIMIENTOS!$E$5:$E$1005)-SUMPRODUCT((MOVIMIENTOS!$B$5:$B$1005="VENTA")*(MOVIMIENTOS!$C$5:$C$1005="Chancho")*(MOVIMIENTOS!$D$5:$D$1005="sacos")*(MOVIMIENTOS!$A$5:$A$1005&lt;&gt;"")*(MOVIMIENTOS!$A$5:$A$1005&lt;=$A120)*MOVIMIENTOS!$E$5:$E$1005)+SUMPRODUCT((MOVIMIENTOS!$B$5:$B$1005="AJUSTE")*(MOVIMIENTOS!$C$5:$C$1005="Chancho")*(MOVIMIENTOS!$D$5:$D$1005="sacos")*(MOVIMIENTOS!$A$5:$A$1005&lt;&gt;"")*(MOVIMIENTOS!$A$5:$A$1005&lt;=$A120)*MOVIMIENTOS!$E$5:$E$1005))</f>
        <v/>
      </c>
      <c r="G120" s="95" t="str">
        <f t="shared" si="3"/>
        <v/>
      </c>
      <c r="H120" s="63" t="str">
        <f>IF($A120="","",SUMPRODUCT((((MOVIMIENTOS!$B$5:$B$1005="SALDO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120)*MOVIMIENTOS!$J$5:$J$1005))</f>
        <v/>
      </c>
      <c r="I120" s="63"/>
      <c r="J120" s="63" t="str">
        <f>IF(AND(MOVIMIENTOS!$A120&lt;&gt;"",COUNTIF(MOVIMIENTOS!$A$5:$A119,MOVIMIENTOS!$A120)=0),COUNT(J$4:J119)+1,"")</f>
        <v/>
      </c>
      <c r="K120" s="66">
        <f>MOVIMIENTOS!$A120</f>
        <v>46224</v>
      </c>
      <c r="L120" s="63"/>
      <c r="M120" s="63"/>
      <c r="N120" s="63"/>
    </row>
    <row r="121" spans="1:14" ht="15" customHeight="1" x14ac:dyDescent="0.2">
      <c r="A121" s="63" t="str">
        <f t="shared" si="2"/>
        <v/>
      </c>
      <c r="B121" s="63" t="str">
        <f>IF($A121="","",SUMPRODUCT((MOVIMIENTOS!$B$5:$B$1005="SALDO INICIAL")*(MOVIMIENTOS!$C$5:$C$1005="A")*(MOVIMIENTOS!$D$5:$D$1005="jabas")*(MOVIMIENTOS!$A$5:$A$1005&lt;&gt;"")*(MOVIMIENTOS!$A$5:$A$1005&lt;=$A121)*MOVIMIENTOS!$E$5:$E$1005)+SUMPRODUCT((MOVIMIENTOS!$B$5:$B$1005="PROCESO")*(MOVIMIENTOS!$C$5:$C$1005="A")*(MOVIMIENTOS!$D$5:$D$1005="jabas")*(MOVIMIENTOS!$A$5:$A$1005&lt;&gt;"")*(MOVIMIENTOS!$A$5:$A$1005&lt;=$A121)*MOVIMIENTOS!$E$5:$E$1005)-SUMPRODUCT((MOVIMIENTOS!$B$5:$B$1005="ENVÍO A SUPESA")*(MOVIMIENTOS!$C$5:$C$1005="A")*(MOVIMIENTOS!$D$5:$D$1005="jabas")*(MOVIMIENTOS!$A$5:$A$1005&lt;&gt;"")*(MOVIMIENTOS!$A$5:$A$1005&lt;=$A121)*MOVIMIENTOS!$E$5:$E$1005)+SUMPRODUCT((MOVIMIENTOS!$B$5:$B$1005="DEVOLUCIÓN")*(MOVIMIENTOS!$C$5:$C$1005="A")*(MOVIMIENTOS!$D$5:$D$1005="jabas")*(MOVIMIENTOS!$A$5:$A$1005&lt;&gt;"")*(MOVIMIENTOS!$A$5:$A$1005&lt;=$A121)*MOVIMIENTOS!$E$5:$E$1005)-SUMPRODUCT((MOVIMIENTOS!$B$5:$B$1005="TRASIEGO")*(MOVIMIENTOS!$C$5:$C$1005="A")*(MOVIMIENTOS!$D$5:$D$1005="jabas")*(MOVIMIENTOS!$A$5:$A$1005&lt;&gt;"")*(MOVIMIENTOS!$A$5:$A$1005&lt;=$A121)*MOVIMIENTOS!$E$5:$E$1005)-SUMPRODUCT((MOVIMIENTOS!$B$5:$B$1005="REGALO")*(MOVIMIENTOS!$C$5:$C$1005="A")*(MOVIMIENTOS!$D$5:$D$1005="jabas")*(MOVIMIENTOS!$A$5:$A$1005&lt;&gt;"")*(MOVIMIENTOS!$A$5:$A$1005&lt;=$A121)*MOVIMIENTOS!$E$5:$E$1005)-SUMPRODUCT((MOVIMIENTOS!$B$5:$B$1005="VENTA")*(MOVIMIENTOS!$C$5:$C$1005="A")*(MOVIMIENTOS!$D$5:$D$1005="jabas")*(MOVIMIENTOS!$A$5:$A$1005&lt;&gt;"")*(MOVIMIENTOS!$A$5:$A$1005&lt;=$A121)*MOVIMIENTOS!$E$5:$E$1005)+SUMPRODUCT((MOVIMIENTOS!$B$5:$B$1005="AJUSTE")*(MOVIMIENTOS!$C$5:$C$1005="A")*(MOVIMIENTOS!$D$5:$D$1005="jabas")*(MOVIMIENTOS!$A$5:$A$1005&lt;&gt;"")*(MOVIMIENTOS!$A$5:$A$1005&lt;=$A121)*MOVIMIENTOS!$E$5:$E$1005))</f>
        <v/>
      </c>
      <c r="C121" s="63" t="str">
        <f>IF($A121="","",SUMPRODUCT((MOVIMIENTOS!$B$5:$B$1005="SALDO INICIAL")*(MOVIMIENTOS!$C$5:$C$1005="P")*(MOVIMIENTOS!$D$5:$D$1005="jabas")*(MOVIMIENTOS!$A$5:$A$1005&lt;&gt;"")*(MOVIMIENTOS!$A$5:$A$1005&lt;=$A121)*MOVIMIENTOS!$E$5:$E$1005)+SUMPRODUCT((MOVIMIENTOS!$B$5:$B$1005="PROCESO")*(MOVIMIENTOS!$C$5:$C$1005="P")*(MOVIMIENTOS!$D$5:$D$1005="jabas")*(MOVIMIENTOS!$A$5:$A$1005&lt;&gt;"")*(MOVIMIENTOS!$A$5:$A$1005&lt;=$A121)*MOVIMIENTOS!$E$5:$E$1005)-SUMPRODUCT((MOVIMIENTOS!$B$5:$B$1005="ENVÍO A SUPESA")*(MOVIMIENTOS!$C$5:$C$1005="P")*(MOVIMIENTOS!$D$5:$D$1005="jabas")*(MOVIMIENTOS!$A$5:$A$1005&lt;&gt;"")*(MOVIMIENTOS!$A$5:$A$1005&lt;=$A121)*MOVIMIENTOS!$E$5:$E$1005)+SUMPRODUCT((MOVIMIENTOS!$B$5:$B$1005="DEVOLUCIÓN")*(MOVIMIENTOS!$C$5:$C$1005="P")*(MOVIMIENTOS!$D$5:$D$1005="jabas")*(MOVIMIENTOS!$A$5:$A$1005&lt;&gt;"")*(MOVIMIENTOS!$A$5:$A$1005&lt;=$A121)*MOVIMIENTOS!$E$5:$E$1005)-SUMPRODUCT((MOVIMIENTOS!$B$5:$B$1005="TRASIEGO")*(MOVIMIENTOS!$C$5:$C$1005="P")*(MOVIMIENTOS!$D$5:$D$1005="jabas")*(MOVIMIENTOS!$A$5:$A$1005&lt;&gt;"")*(MOVIMIENTOS!$A$5:$A$1005&lt;=$A121)*MOVIMIENTOS!$E$5:$E$1005)-SUMPRODUCT((MOVIMIENTOS!$B$5:$B$1005="REGALO")*(MOVIMIENTOS!$C$5:$C$1005="P")*(MOVIMIENTOS!$D$5:$D$1005="jabas")*(MOVIMIENTOS!$A$5:$A$1005&lt;&gt;"")*(MOVIMIENTOS!$A$5:$A$1005&lt;=$A121)*MOVIMIENTOS!$E$5:$E$1005)-SUMPRODUCT((MOVIMIENTOS!$B$5:$B$1005="VENTA")*(MOVIMIENTOS!$C$5:$C$1005="P")*(MOVIMIENTOS!$D$5:$D$1005="jabas")*(MOVIMIENTOS!$A$5:$A$1005&lt;&gt;"")*(MOVIMIENTOS!$A$5:$A$1005&lt;=$A121)*MOVIMIENTOS!$E$5:$E$1005)+SUMPRODUCT((MOVIMIENTOS!$B$5:$B$1005="AJUSTE")*(MOVIMIENTOS!$C$5:$C$1005="P")*(MOVIMIENTOS!$D$5:$D$1005="jabas")*(MOVIMIENTOS!$A$5:$A$1005&lt;&gt;"")*(MOVIMIENTOS!$A$5:$A$1005&lt;=$A121)*MOVIMIENTOS!$E$5:$E$1005))</f>
        <v/>
      </c>
      <c r="D121" s="63" t="str">
        <f>IF($A121="","",SUMPRODUCT((MOVIMIENTOS!$B$5:$B$1005="SALDO INICIAL")*(MOVIMIENTOS!$C$5:$C$1005="C")*(MOVIMIENTOS!$D$5:$D$1005="jabas")*(MOVIMIENTOS!$A$5:$A$1005&lt;&gt;"")*(MOVIMIENTOS!$A$5:$A$1005&lt;=$A121)*MOVIMIENTOS!$E$5:$E$1005)+SUMPRODUCT((MOVIMIENTOS!$B$5:$B$1005="PROCESO")*(MOVIMIENTOS!$C$5:$C$1005="C")*(MOVIMIENTOS!$D$5:$D$1005="jabas")*(MOVIMIENTOS!$A$5:$A$1005&lt;&gt;"")*(MOVIMIENTOS!$A$5:$A$1005&lt;=$A121)*MOVIMIENTOS!$E$5:$E$1005)-SUMPRODUCT((MOVIMIENTOS!$B$5:$B$1005="ENVÍO A SUPESA")*(MOVIMIENTOS!$C$5:$C$1005="C")*(MOVIMIENTOS!$D$5:$D$1005="jabas")*(MOVIMIENTOS!$A$5:$A$1005&lt;&gt;"")*(MOVIMIENTOS!$A$5:$A$1005&lt;=$A121)*MOVIMIENTOS!$E$5:$E$1005)+SUMPRODUCT((MOVIMIENTOS!$B$5:$B$1005="DEVOLUCIÓN")*(MOVIMIENTOS!$C$5:$C$1005="C")*(MOVIMIENTOS!$D$5:$D$1005="jabas")*(MOVIMIENTOS!$A$5:$A$1005&lt;&gt;"")*(MOVIMIENTOS!$A$5:$A$1005&lt;=$A121)*MOVIMIENTOS!$E$5:$E$1005)-SUMPRODUCT((MOVIMIENTOS!$B$5:$B$1005="TRASIEGO")*(MOVIMIENTOS!$C$5:$C$1005="C")*(MOVIMIENTOS!$D$5:$D$1005="jabas")*(MOVIMIENTOS!$A$5:$A$1005&lt;&gt;"")*(MOVIMIENTOS!$A$5:$A$1005&lt;=$A121)*MOVIMIENTOS!$E$5:$E$1005)-SUMPRODUCT((MOVIMIENTOS!$B$5:$B$1005="REGALO")*(MOVIMIENTOS!$C$5:$C$1005="C")*(MOVIMIENTOS!$D$5:$D$1005="jabas")*(MOVIMIENTOS!$A$5:$A$1005&lt;&gt;"")*(MOVIMIENTOS!$A$5:$A$1005&lt;=$A121)*MOVIMIENTOS!$E$5:$E$1005)-SUMPRODUCT((MOVIMIENTOS!$B$5:$B$1005="VENTA")*(MOVIMIENTOS!$C$5:$C$1005="C")*(MOVIMIENTOS!$D$5:$D$1005="jabas")*(MOVIMIENTOS!$A$5:$A$1005&lt;&gt;"")*(MOVIMIENTOS!$A$5:$A$1005&lt;=$A121)*MOVIMIENTOS!$E$5:$E$1005)+SUMPRODUCT((MOVIMIENTOS!$B$5:$B$1005="AJUSTE")*(MOVIMIENTOS!$C$5:$C$1005="C")*(MOVIMIENTOS!$D$5:$D$1005="jabas")*(MOVIMIENTOS!$A$5:$A$1005&lt;&gt;"")*(MOVIMIENTOS!$A$5:$A$1005&lt;=$A121)*MOVIMIENTOS!$E$5:$E$1005))</f>
        <v/>
      </c>
      <c r="E121" s="63" t="str">
        <f>IF($A121="","",SUMPRODUCT((MOVIMIENTOS!$B$5:$B$1005="SALDO INICIAL")*(MOVIMIENTOS!$C$5:$C$1005="M")*(MOVIMIENTOS!$D$5:$D$1005="jabas")*(MOVIMIENTOS!$A$5:$A$1005&lt;&gt;"")*(MOVIMIENTOS!$A$5:$A$1005&lt;=$A121)*MOVIMIENTOS!$E$5:$E$1005)+SUMPRODUCT((MOVIMIENTOS!$B$5:$B$1005="PROCESO")*(MOVIMIENTOS!$C$5:$C$1005="M")*(MOVIMIENTOS!$D$5:$D$1005="jabas")*(MOVIMIENTOS!$A$5:$A$1005&lt;&gt;"")*(MOVIMIENTOS!$A$5:$A$1005&lt;=$A121)*MOVIMIENTOS!$E$5:$E$1005)-SUMPRODUCT((MOVIMIENTOS!$B$5:$B$1005="ENVÍO A SUPESA")*(MOVIMIENTOS!$C$5:$C$1005="M")*(MOVIMIENTOS!$D$5:$D$1005="jabas")*(MOVIMIENTOS!$A$5:$A$1005&lt;&gt;"")*(MOVIMIENTOS!$A$5:$A$1005&lt;=$A121)*MOVIMIENTOS!$E$5:$E$1005)+SUMPRODUCT((MOVIMIENTOS!$B$5:$B$1005="DEVOLUCIÓN")*(MOVIMIENTOS!$C$5:$C$1005="M")*(MOVIMIENTOS!$D$5:$D$1005="jabas")*(MOVIMIENTOS!$A$5:$A$1005&lt;&gt;"")*(MOVIMIENTOS!$A$5:$A$1005&lt;=$A121)*MOVIMIENTOS!$E$5:$E$1005)-SUMPRODUCT((MOVIMIENTOS!$B$5:$B$1005="TRASIEGO")*(MOVIMIENTOS!$C$5:$C$1005="M")*(MOVIMIENTOS!$D$5:$D$1005="jabas")*(MOVIMIENTOS!$A$5:$A$1005&lt;&gt;"")*(MOVIMIENTOS!$A$5:$A$1005&lt;=$A121)*MOVIMIENTOS!$E$5:$E$1005)-SUMPRODUCT((MOVIMIENTOS!$B$5:$B$1005="REGALO")*(MOVIMIENTOS!$C$5:$C$1005="M")*(MOVIMIENTOS!$D$5:$D$1005="jabas")*(MOVIMIENTOS!$A$5:$A$1005&lt;&gt;"")*(MOVIMIENTOS!$A$5:$A$1005&lt;=$A121)*MOVIMIENTOS!$E$5:$E$1005)-SUMPRODUCT((MOVIMIENTOS!$B$5:$B$1005="VENTA")*(MOVIMIENTOS!$C$5:$C$1005="M")*(MOVIMIENTOS!$D$5:$D$1005="jabas")*(MOVIMIENTOS!$A$5:$A$1005&lt;&gt;"")*(MOVIMIENTOS!$A$5:$A$1005&lt;=$A121)*MOVIMIENTOS!$E$5:$E$1005)+SUMPRODUCT((MOVIMIENTOS!$B$5:$B$1005="AJUSTE")*(MOVIMIENTOS!$C$5:$C$1005="M")*(MOVIMIENTOS!$D$5:$D$1005="jabas")*(MOVIMIENTOS!$A$5:$A$1005&lt;&gt;"")*(MOVIMIENTOS!$A$5:$A$1005&lt;=$A121)*MOVIMIENTOS!$E$5:$E$1005))</f>
        <v/>
      </c>
      <c r="F121" s="63" t="str">
        <f>IF($A121="","",SUMPRODUCT((MOVIMIENTOS!$B$5:$B$1005="SALDO INICIAL")*(MOVIMIENTOS!$C$5:$C$1005="Chancho")*(MOVIMIENTOS!$D$5:$D$1005="sacos")*(MOVIMIENTOS!$A$5:$A$1005&lt;&gt;"")*(MOVIMIENTOS!$A$5:$A$1005&lt;=$A121)*MOVIMIENTOS!$E$5:$E$1005)+SUMPRODUCT((MOVIMIENTOS!$B$5:$B$1005="PROCESO")*(MOVIMIENTOS!$C$5:$C$1005="Chancho")*(MOVIMIENTOS!$D$5:$D$1005="sacos")*(MOVIMIENTOS!$A$5:$A$1005&lt;&gt;"")*(MOVIMIENTOS!$A$5:$A$1005&lt;=$A121)*MOVIMIENTOS!$E$5:$E$1005)-SUMPRODUCT((MOVIMIENTOS!$B$5:$B$1005="VENTA CHANCHO")*(MOVIMIENTOS!$C$5:$C$1005="Chancho")*(MOVIMIENTOS!$D$5:$D$1005="sacos")*(MOVIMIENTOS!$A$5:$A$1005&lt;&gt;"")*(MOVIMIENTOS!$A$5:$A$1005&lt;=$A121)*MOVIMIENTOS!$E$5:$E$1005)-SUMPRODUCT((MOVIMIENTOS!$B$5:$B$1005="REGALO")*(MOVIMIENTOS!$C$5:$C$1005="Chancho")*(MOVIMIENTOS!$D$5:$D$1005="sacos")*(MOVIMIENTOS!$A$5:$A$1005&lt;&gt;"")*(MOVIMIENTOS!$A$5:$A$1005&lt;=$A121)*MOVIMIENTOS!$E$5:$E$1005)-SUMPRODUCT((MOVIMIENTOS!$B$5:$B$1005="VENTA")*(MOVIMIENTOS!$C$5:$C$1005="Chancho")*(MOVIMIENTOS!$D$5:$D$1005="sacos")*(MOVIMIENTOS!$A$5:$A$1005&lt;&gt;"")*(MOVIMIENTOS!$A$5:$A$1005&lt;=$A121)*MOVIMIENTOS!$E$5:$E$1005)+SUMPRODUCT((MOVIMIENTOS!$B$5:$B$1005="AJUSTE")*(MOVIMIENTOS!$C$5:$C$1005="Chancho")*(MOVIMIENTOS!$D$5:$D$1005="sacos")*(MOVIMIENTOS!$A$5:$A$1005&lt;&gt;"")*(MOVIMIENTOS!$A$5:$A$1005&lt;=$A121)*MOVIMIENTOS!$E$5:$E$1005))</f>
        <v/>
      </c>
      <c r="G121" s="95" t="str">
        <f t="shared" si="3"/>
        <v/>
      </c>
      <c r="H121" s="63" t="str">
        <f>IF($A121="","",SUMPRODUCT((((MOVIMIENTOS!$B$5:$B$1005="SALDO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121)*MOVIMIENTOS!$J$5:$J$1005))</f>
        <v/>
      </c>
      <c r="I121" s="63"/>
      <c r="J121" s="63" t="str">
        <f>IF(AND(MOVIMIENTOS!$A121&lt;&gt;"",COUNTIF(MOVIMIENTOS!$A$5:$A120,MOVIMIENTOS!$A121)=0),COUNT(J$4:J120)+1,"")</f>
        <v/>
      </c>
      <c r="K121" s="66">
        <f>MOVIMIENTOS!$A121</f>
        <v>46224</v>
      </c>
      <c r="L121" s="63"/>
      <c r="M121" s="63"/>
      <c r="N121" s="63"/>
    </row>
    <row r="122" spans="1:14" ht="15" customHeight="1" x14ac:dyDescent="0.2">
      <c r="A122" s="63" t="str">
        <f t="shared" si="2"/>
        <v/>
      </c>
      <c r="B122" s="63" t="str">
        <f>IF($A122="","",SUMPRODUCT((MOVIMIENTOS!$B$5:$B$1005="SALDO INICIAL")*(MOVIMIENTOS!$C$5:$C$1005="A")*(MOVIMIENTOS!$D$5:$D$1005="jabas")*(MOVIMIENTOS!$A$5:$A$1005&lt;&gt;"")*(MOVIMIENTOS!$A$5:$A$1005&lt;=$A122)*MOVIMIENTOS!$E$5:$E$1005)+SUMPRODUCT((MOVIMIENTOS!$B$5:$B$1005="PROCESO")*(MOVIMIENTOS!$C$5:$C$1005="A")*(MOVIMIENTOS!$D$5:$D$1005="jabas")*(MOVIMIENTOS!$A$5:$A$1005&lt;&gt;"")*(MOVIMIENTOS!$A$5:$A$1005&lt;=$A122)*MOVIMIENTOS!$E$5:$E$1005)-SUMPRODUCT((MOVIMIENTOS!$B$5:$B$1005="ENVÍO A SUPESA")*(MOVIMIENTOS!$C$5:$C$1005="A")*(MOVIMIENTOS!$D$5:$D$1005="jabas")*(MOVIMIENTOS!$A$5:$A$1005&lt;&gt;"")*(MOVIMIENTOS!$A$5:$A$1005&lt;=$A122)*MOVIMIENTOS!$E$5:$E$1005)+SUMPRODUCT((MOVIMIENTOS!$B$5:$B$1005="DEVOLUCIÓN")*(MOVIMIENTOS!$C$5:$C$1005="A")*(MOVIMIENTOS!$D$5:$D$1005="jabas")*(MOVIMIENTOS!$A$5:$A$1005&lt;&gt;"")*(MOVIMIENTOS!$A$5:$A$1005&lt;=$A122)*MOVIMIENTOS!$E$5:$E$1005)-SUMPRODUCT((MOVIMIENTOS!$B$5:$B$1005="TRASIEGO")*(MOVIMIENTOS!$C$5:$C$1005="A")*(MOVIMIENTOS!$D$5:$D$1005="jabas")*(MOVIMIENTOS!$A$5:$A$1005&lt;&gt;"")*(MOVIMIENTOS!$A$5:$A$1005&lt;=$A122)*MOVIMIENTOS!$E$5:$E$1005)-SUMPRODUCT((MOVIMIENTOS!$B$5:$B$1005="REGALO")*(MOVIMIENTOS!$C$5:$C$1005="A")*(MOVIMIENTOS!$D$5:$D$1005="jabas")*(MOVIMIENTOS!$A$5:$A$1005&lt;&gt;"")*(MOVIMIENTOS!$A$5:$A$1005&lt;=$A122)*MOVIMIENTOS!$E$5:$E$1005)-SUMPRODUCT((MOVIMIENTOS!$B$5:$B$1005="VENTA")*(MOVIMIENTOS!$C$5:$C$1005="A")*(MOVIMIENTOS!$D$5:$D$1005="jabas")*(MOVIMIENTOS!$A$5:$A$1005&lt;&gt;"")*(MOVIMIENTOS!$A$5:$A$1005&lt;=$A122)*MOVIMIENTOS!$E$5:$E$1005)+SUMPRODUCT((MOVIMIENTOS!$B$5:$B$1005="AJUSTE")*(MOVIMIENTOS!$C$5:$C$1005="A")*(MOVIMIENTOS!$D$5:$D$1005="jabas")*(MOVIMIENTOS!$A$5:$A$1005&lt;&gt;"")*(MOVIMIENTOS!$A$5:$A$1005&lt;=$A122)*MOVIMIENTOS!$E$5:$E$1005))</f>
        <v/>
      </c>
      <c r="C122" s="63" t="str">
        <f>IF($A122="","",SUMPRODUCT((MOVIMIENTOS!$B$5:$B$1005="SALDO INICIAL")*(MOVIMIENTOS!$C$5:$C$1005="P")*(MOVIMIENTOS!$D$5:$D$1005="jabas")*(MOVIMIENTOS!$A$5:$A$1005&lt;&gt;"")*(MOVIMIENTOS!$A$5:$A$1005&lt;=$A122)*MOVIMIENTOS!$E$5:$E$1005)+SUMPRODUCT((MOVIMIENTOS!$B$5:$B$1005="PROCESO")*(MOVIMIENTOS!$C$5:$C$1005="P")*(MOVIMIENTOS!$D$5:$D$1005="jabas")*(MOVIMIENTOS!$A$5:$A$1005&lt;&gt;"")*(MOVIMIENTOS!$A$5:$A$1005&lt;=$A122)*MOVIMIENTOS!$E$5:$E$1005)-SUMPRODUCT((MOVIMIENTOS!$B$5:$B$1005="ENVÍO A SUPESA")*(MOVIMIENTOS!$C$5:$C$1005="P")*(MOVIMIENTOS!$D$5:$D$1005="jabas")*(MOVIMIENTOS!$A$5:$A$1005&lt;&gt;"")*(MOVIMIENTOS!$A$5:$A$1005&lt;=$A122)*MOVIMIENTOS!$E$5:$E$1005)+SUMPRODUCT((MOVIMIENTOS!$B$5:$B$1005="DEVOLUCIÓN")*(MOVIMIENTOS!$C$5:$C$1005="P")*(MOVIMIENTOS!$D$5:$D$1005="jabas")*(MOVIMIENTOS!$A$5:$A$1005&lt;&gt;"")*(MOVIMIENTOS!$A$5:$A$1005&lt;=$A122)*MOVIMIENTOS!$E$5:$E$1005)-SUMPRODUCT((MOVIMIENTOS!$B$5:$B$1005="TRASIEGO")*(MOVIMIENTOS!$C$5:$C$1005="P")*(MOVIMIENTOS!$D$5:$D$1005="jabas")*(MOVIMIENTOS!$A$5:$A$1005&lt;&gt;"")*(MOVIMIENTOS!$A$5:$A$1005&lt;=$A122)*MOVIMIENTOS!$E$5:$E$1005)-SUMPRODUCT((MOVIMIENTOS!$B$5:$B$1005="REGALO")*(MOVIMIENTOS!$C$5:$C$1005="P")*(MOVIMIENTOS!$D$5:$D$1005="jabas")*(MOVIMIENTOS!$A$5:$A$1005&lt;&gt;"")*(MOVIMIENTOS!$A$5:$A$1005&lt;=$A122)*MOVIMIENTOS!$E$5:$E$1005)-SUMPRODUCT((MOVIMIENTOS!$B$5:$B$1005="VENTA")*(MOVIMIENTOS!$C$5:$C$1005="P")*(MOVIMIENTOS!$D$5:$D$1005="jabas")*(MOVIMIENTOS!$A$5:$A$1005&lt;&gt;"")*(MOVIMIENTOS!$A$5:$A$1005&lt;=$A122)*MOVIMIENTOS!$E$5:$E$1005)+SUMPRODUCT((MOVIMIENTOS!$B$5:$B$1005="AJUSTE")*(MOVIMIENTOS!$C$5:$C$1005="P")*(MOVIMIENTOS!$D$5:$D$1005="jabas")*(MOVIMIENTOS!$A$5:$A$1005&lt;&gt;"")*(MOVIMIENTOS!$A$5:$A$1005&lt;=$A122)*MOVIMIENTOS!$E$5:$E$1005))</f>
        <v/>
      </c>
      <c r="D122" s="63" t="str">
        <f>IF($A122="","",SUMPRODUCT((MOVIMIENTOS!$B$5:$B$1005="SALDO INICIAL")*(MOVIMIENTOS!$C$5:$C$1005="C")*(MOVIMIENTOS!$D$5:$D$1005="jabas")*(MOVIMIENTOS!$A$5:$A$1005&lt;&gt;"")*(MOVIMIENTOS!$A$5:$A$1005&lt;=$A122)*MOVIMIENTOS!$E$5:$E$1005)+SUMPRODUCT((MOVIMIENTOS!$B$5:$B$1005="PROCESO")*(MOVIMIENTOS!$C$5:$C$1005="C")*(MOVIMIENTOS!$D$5:$D$1005="jabas")*(MOVIMIENTOS!$A$5:$A$1005&lt;&gt;"")*(MOVIMIENTOS!$A$5:$A$1005&lt;=$A122)*MOVIMIENTOS!$E$5:$E$1005)-SUMPRODUCT((MOVIMIENTOS!$B$5:$B$1005="ENVÍO A SUPESA")*(MOVIMIENTOS!$C$5:$C$1005="C")*(MOVIMIENTOS!$D$5:$D$1005="jabas")*(MOVIMIENTOS!$A$5:$A$1005&lt;&gt;"")*(MOVIMIENTOS!$A$5:$A$1005&lt;=$A122)*MOVIMIENTOS!$E$5:$E$1005)+SUMPRODUCT((MOVIMIENTOS!$B$5:$B$1005="DEVOLUCIÓN")*(MOVIMIENTOS!$C$5:$C$1005="C")*(MOVIMIENTOS!$D$5:$D$1005="jabas")*(MOVIMIENTOS!$A$5:$A$1005&lt;&gt;"")*(MOVIMIENTOS!$A$5:$A$1005&lt;=$A122)*MOVIMIENTOS!$E$5:$E$1005)-SUMPRODUCT((MOVIMIENTOS!$B$5:$B$1005="TRASIEGO")*(MOVIMIENTOS!$C$5:$C$1005="C")*(MOVIMIENTOS!$D$5:$D$1005="jabas")*(MOVIMIENTOS!$A$5:$A$1005&lt;&gt;"")*(MOVIMIENTOS!$A$5:$A$1005&lt;=$A122)*MOVIMIENTOS!$E$5:$E$1005)-SUMPRODUCT((MOVIMIENTOS!$B$5:$B$1005="REGALO")*(MOVIMIENTOS!$C$5:$C$1005="C")*(MOVIMIENTOS!$D$5:$D$1005="jabas")*(MOVIMIENTOS!$A$5:$A$1005&lt;&gt;"")*(MOVIMIENTOS!$A$5:$A$1005&lt;=$A122)*MOVIMIENTOS!$E$5:$E$1005)-SUMPRODUCT((MOVIMIENTOS!$B$5:$B$1005="VENTA")*(MOVIMIENTOS!$C$5:$C$1005="C")*(MOVIMIENTOS!$D$5:$D$1005="jabas")*(MOVIMIENTOS!$A$5:$A$1005&lt;&gt;"")*(MOVIMIENTOS!$A$5:$A$1005&lt;=$A122)*MOVIMIENTOS!$E$5:$E$1005)+SUMPRODUCT((MOVIMIENTOS!$B$5:$B$1005="AJUSTE")*(MOVIMIENTOS!$C$5:$C$1005="C")*(MOVIMIENTOS!$D$5:$D$1005="jabas")*(MOVIMIENTOS!$A$5:$A$1005&lt;&gt;"")*(MOVIMIENTOS!$A$5:$A$1005&lt;=$A122)*MOVIMIENTOS!$E$5:$E$1005))</f>
        <v/>
      </c>
      <c r="E122" s="63" t="str">
        <f>IF($A122="","",SUMPRODUCT((MOVIMIENTOS!$B$5:$B$1005="SALDO INICIAL")*(MOVIMIENTOS!$C$5:$C$1005="M")*(MOVIMIENTOS!$D$5:$D$1005="jabas")*(MOVIMIENTOS!$A$5:$A$1005&lt;&gt;"")*(MOVIMIENTOS!$A$5:$A$1005&lt;=$A122)*MOVIMIENTOS!$E$5:$E$1005)+SUMPRODUCT((MOVIMIENTOS!$B$5:$B$1005="PROCESO")*(MOVIMIENTOS!$C$5:$C$1005="M")*(MOVIMIENTOS!$D$5:$D$1005="jabas")*(MOVIMIENTOS!$A$5:$A$1005&lt;&gt;"")*(MOVIMIENTOS!$A$5:$A$1005&lt;=$A122)*MOVIMIENTOS!$E$5:$E$1005)-SUMPRODUCT((MOVIMIENTOS!$B$5:$B$1005="ENVÍO A SUPESA")*(MOVIMIENTOS!$C$5:$C$1005="M")*(MOVIMIENTOS!$D$5:$D$1005="jabas")*(MOVIMIENTOS!$A$5:$A$1005&lt;&gt;"")*(MOVIMIENTOS!$A$5:$A$1005&lt;=$A122)*MOVIMIENTOS!$E$5:$E$1005)+SUMPRODUCT((MOVIMIENTOS!$B$5:$B$1005="DEVOLUCIÓN")*(MOVIMIENTOS!$C$5:$C$1005="M")*(MOVIMIENTOS!$D$5:$D$1005="jabas")*(MOVIMIENTOS!$A$5:$A$1005&lt;&gt;"")*(MOVIMIENTOS!$A$5:$A$1005&lt;=$A122)*MOVIMIENTOS!$E$5:$E$1005)-SUMPRODUCT((MOVIMIENTOS!$B$5:$B$1005="TRASIEGO")*(MOVIMIENTOS!$C$5:$C$1005="M")*(MOVIMIENTOS!$D$5:$D$1005="jabas")*(MOVIMIENTOS!$A$5:$A$1005&lt;&gt;"")*(MOVIMIENTOS!$A$5:$A$1005&lt;=$A122)*MOVIMIENTOS!$E$5:$E$1005)-SUMPRODUCT((MOVIMIENTOS!$B$5:$B$1005="REGALO")*(MOVIMIENTOS!$C$5:$C$1005="M")*(MOVIMIENTOS!$D$5:$D$1005="jabas")*(MOVIMIENTOS!$A$5:$A$1005&lt;&gt;"")*(MOVIMIENTOS!$A$5:$A$1005&lt;=$A122)*MOVIMIENTOS!$E$5:$E$1005)-SUMPRODUCT((MOVIMIENTOS!$B$5:$B$1005="VENTA")*(MOVIMIENTOS!$C$5:$C$1005="M")*(MOVIMIENTOS!$D$5:$D$1005="jabas")*(MOVIMIENTOS!$A$5:$A$1005&lt;&gt;"")*(MOVIMIENTOS!$A$5:$A$1005&lt;=$A122)*MOVIMIENTOS!$E$5:$E$1005)+SUMPRODUCT((MOVIMIENTOS!$B$5:$B$1005="AJUSTE")*(MOVIMIENTOS!$C$5:$C$1005="M")*(MOVIMIENTOS!$D$5:$D$1005="jabas")*(MOVIMIENTOS!$A$5:$A$1005&lt;&gt;"")*(MOVIMIENTOS!$A$5:$A$1005&lt;=$A122)*MOVIMIENTOS!$E$5:$E$1005))</f>
        <v/>
      </c>
      <c r="F122" s="63" t="str">
        <f>IF($A122="","",SUMPRODUCT((MOVIMIENTOS!$B$5:$B$1005="SALDO INICIAL")*(MOVIMIENTOS!$C$5:$C$1005="Chancho")*(MOVIMIENTOS!$D$5:$D$1005="sacos")*(MOVIMIENTOS!$A$5:$A$1005&lt;&gt;"")*(MOVIMIENTOS!$A$5:$A$1005&lt;=$A122)*MOVIMIENTOS!$E$5:$E$1005)+SUMPRODUCT((MOVIMIENTOS!$B$5:$B$1005="PROCESO")*(MOVIMIENTOS!$C$5:$C$1005="Chancho")*(MOVIMIENTOS!$D$5:$D$1005="sacos")*(MOVIMIENTOS!$A$5:$A$1005&lt;&gt;"")*(MOVIMIENTOS!$A$5:$A$1005&lt;=$A122)*MOVIMIENTOS!$E$5:$E$1005)-SUMPRODUCT((MOVIMIENTOS!$B$5:$B$1005="VENTA CHANCHO")*(MOVIMIENTOS!$C$5:$C$1005="Chancho")*(MOVIMIENTOS!$D$5:$D$1005="sacos")*(MOVIMIENTOS!$A$5:$A$1005&lt;&gt;"")*(MOVIMIENTOS!$A$5:$A$1005&lt;=$A122)*MOVIMIENTOS!$E$5:$E$1005)-SUMPRODUCT((MOVIMIENTOS!$B$5:$B$1005="REGALO")*(MOVIMIENTOS!$C$5:$C$1005="Chancho")*(MOVIMIENTOS!$D$5:$D$1005="sacos")*(MOVIMIENTOS!$A$5:$A$1005&lt;&gt;"")*(MOVIMIENTOS!$A$5:$A$1005&lt;=$A122)*MOVIMIENTOS!$E$5:$E$1005)-SUMPRODUCT((MOVIMIENTOS!$B$5:$B$1005="VENTA")*(MOVIMIENTOS!$C$5:$C$1005="Chancho")*(MOVIMIENTOS!$D$5:$D$1005="sacos")*(MOVIMIENTOS!$A$5:$A$1005&lt;&gt;"")*(MOVIMIENTOS!$A$5:$A$1005&lt;=$A122)*MOVIMIENTOS!$E$5:$E$1005)+SUMPRODUCT((MOVIMIENTOS!$B$5:$B$1005="AJUSTE")*(MOVIMIENTOS!$C$5:$C$1005="Chancho")*(MOVIMIENTOS!$D$5:$D$1005="sacos")*(MOVIMIENTOS!$A$5:$A$1005&lt;&gt;"")*(MOVIMIENTOS!$A$5:$A$1005&lt;=$A122)*MOVIMIENTOS!$E$5:$E$1005))</f>
        <v/>
      </c>
      <c r="G122" s="95" t="str">
        <f t="shared" si="3"/>
        <v/>
      </c>
      <c r="H122" s="63" t="str">
        <f>IF($A122="","",SUMPRODUCT((((MOVIMIENTOS!$B$5:$B$1005="SALDO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122)*MOVIMIENTOS!$J$5:$J$1005))</f>
        <v/>
      </c>
      <c r="I122" s="63"/>
      <c r="J122" s="63" t="str">
        <f>IF(AND(MOVIMIENTOS!$A122&lt;&gt;"",COUNTIF(MOVIMIENTOS!$A$5:$A121,MOVIMIENTOS!$A122)=0),COUNT(J$4:J121)+1,"")</f>
        <v/>
      </c>
      <c r="K122" s="66">
        <f>MOVIMIENTOS!$A122</f>
        <v>46224</v>
      </c>
      <c r="L122" s="63"/>
      <c r="M122" s="63"/>
      <c r="N122" s="63"/>
    </row>
    <row r="123" spans="1:14" ht="15" customHeight="1" x14ac:dyDescent="0.2">
      <c r="A123" s="63" t="str">
        <f t="shared" si="2"/>
        <v/>
      </c>
      <c r="B123" s="63" t="str">
        <f>IF($A123="","",SUMPRODUCT((MOVIMIENTOS!$B$5:$B$1005="SALDO INICIAL")*(MOVIMIENTOS!$C$5:$C$1005="A")*(MOVIMIENTOS!$D$5:$D$1005="jabas")*(MOVIMIENTOS!$A$5:$A$1005&lt;&gt;"")*(MOVIMIENTOS!$A$5:$A$1005&lt;=$A123)*MOVIMIENTOS!$E$5:$E$1005)+SUMPRODUCT((MOVIMIENTOS!$B$5:$B$1005="PROCESO")*(MOVIMIENTOS!$C$5:$C$1005="A")*(MOVIMIENTOS!$D$5:$D$1005="jabas")*(MOVIMIENTOS!$A$5:$A$1005&lt;&gt;"")*(MOVIMIENTOS!$A$5:$A$1005&lt;=$A123)*MOVIMIENTOS!$E$5:$E$1005)-SUMPRODUCT((MOVIMIENTOS!$B$5:$B$1005="ENVÍO A SUPESA")*(MOVIMIENTOS!$C$5:$C$1005="A")*(MOVIMIENTOS!$D$5:$D$1005="jabas")*(MOVIMIENTOS!$A$5:$A$1005&lt;&gt;"")*(MOVIMIENTOS!$A$5:$A$1005&lt;=$A123)*MOVIMIENTOS!$E$5:$E$1005)+SUMPRODUCT((MOVIMIENTOS!$B$5:$B$1005="DEVOLUCIÓN")*(MOVIMIENTOS!$C$5:$C$1005="A")*(MOVIMIENTOS!$D$5:$D$1005="jabas")*(MOVIMIENTOS!$A$5:$A$1005&lt;&gt;"")*(MOVIMIENTOS!$A$5:$A$1005&lt;=$A123)*MOVIMIENTOS!$E$5:$E$1005)-SUMPRODUCT((MOVIMIENTOS!$B$5:$B$1005="TRASIEGO")*(MOVIMIENTOS!$C$5:$C$1005="A")*(MOVIMIENTOS!$D$5:$D$1005="jabas")*(MOVIMIENTOS!$A$5:$A$1005&lt;&gt;"")*(MOVIMIENTOS!$A$5:$A$1005&lt;=$A123)*MOVIMIENTOS!$E$5:$E$1005)-SUMPRODUCT((MOVIMIENTOS!$B$5:$B$1005="REGALO")*(MOVIMIENTOS!$C$5:$C$1005="A")*(MOVIMIENTOS!$D$5:$D$1005="jabas")*(MOVIMIENTOS!$A$5:$A$1005&lt;&gt;"")*(MOVIMIENTOS!$A$5:$A$1005&lt;=$A123)*MOVIMIENTOS!$E$5:$E$1005)-SUMPRODUCT((MOVIMIENTOS!$B$5:$B$1005="VENTA")*(MOVIMIENTOS!$C$5:$C$1005="A")*(MOVIMIENTOS!$D$5:$D$1005="jabas")*(MOVIMIENTOS!$A$5:$A$1005&lt;&gt;"")*(MOVIMIENTOS!$A$5:$A$1005&lt;=$A123)*MOVIMIENTOS!$E$5:$E$1005)+SUMPRODUCT((MOVIMIENTOS!$B$5:$B$1005="AJUSTE")*(MOVIMIENTOS!$C$5:$C$1005="A")*(MOVIMIENTOS!$D$5:$D$1005="jabas")*(MOVIMIENTOS!$A$5:$A$1005&lt;&gt;"")*(MOVIMIENTOS!$A$5:$A$1005&lt;=$A123)*MOVIMIENTOS!$E$5:$E$1005))</f>
        <v/>
      </c>
      <c r="C123" s="63" t="str">
        <f>IF($A123="","",SUMPRODUCT((MOVIMIENTOS!$B$5:$B$1005="SALDO INICIAL")*(MOVIMIENTOS!$C$5:$C$1005="P")*(MOVIMIENTOS!$D$5:$D$1005="jabas")*(MOVIMIENTOS!$A$5:$A$1005&lt;&gt;"")*(MOVIMIENTOS!$A$5:$A$1005&lt;=$A123)*MOVIMIENTOS!$E$5:$E$1005)+SUMPRODUCT((MOVIMIENTOS!$B$5:$B$1005="PROCESO")*(MOVIMIENTOS!$C$5:$C$1005="P")*(MOVIMIENTOS!$D$5:$D$1005="jabas")*(MOVIMIENTOS!$A$5:$A$1005&lt;&gt;"")*(MOVIMIENTOS!$A$5:$A$1005&lt;=$A123)*MOVIMIENTOS!$E$5:$E$1005)-SUMPRODUCT((MOVIMIENTOS!$B$5:$B$1005="ENVÍO A SUPESA")*(MOVIMIENTOS!$C$5:$C$1005="P")*(MOVIMIENTOS!$D$5:$D$1005="jabas")*(MOVIMIENTOS!$A$5:$A$1005&lt;&gt;"")*(MOVIMIENTOS!$A$5:$A$1005&lt;=$A123)*MOVIMIENTOS!$E$5:$E$1005)+SUMPRODUCT((MOVIMIENTOS!$B$5:$B$1005="DEVOLUCIÓN")*(MOVIMIENTOS!$C$5:$C$1005="P")*(MOVIMIENTOS!$D$5:$D$1005="jabas")*(MOVIMIENTOS!$A$5:$A$1005&lt;&gt;"")*(MOVIMIENTOS!$A$5:$A$1005&lt;=$A123)*MOVIMIENTOS!$E$5:$E$1005)-SUMPRODUCT((MOVIMIENTOS!$B$5:$B$1005="TRASIEGO")*(MOVIMIENTOS!$C$5:$C$1005="P")*(MOVIMIENTOS!$D$5:$D$1005="jabas")*(MOVIMIENTOS!$A$5:$A$1005&lt;&gt;"")*(MOVIMIENTOS!$A$5:$A$1005&lt;=$A123)*MOVIMIENTOS!$E$5:$E$1005)-SUMPRODUCT((MOVIMIENTOS!$B$5:$B$1005="REGALO")*(MOVIMIENTOS!$C$5:$C$1005="P")*(MOVIMIENTOS!$D$5:$D$1005="jabas")*(MOVIMIENTOS!$A$5:$A$1005&lt;&gt;"")*(MOVIMIENTOS!$A$5:$A$1005&lt;=$A123)*MOVIMIENTOS!$E$5:$E$1005)-SUMPRODUCT((MOVIMIENTOS!$B$5:$B$1005="VENTA")*(MOVIMIENTOS!$C$5:$C$1005="P")*(MOVIMIENTOS!$D$5:$D$1005="jabas")*(MOVIMIENTOS!$A$5:$A$1005&lt;&gt;"")*(MOVIMIENTOS!$A$5:$A$1005&lt;=$A123)*MOVIMIENTOS!$E$5:$E$1005)+SUMPRODUCT((MOVIMIENTOS!$B$5:$B$1005="AJUSTE")*(MOVIMIENTOS!$C$5:$C$1005="P")*(MOVIMIENTOS!$D$5:$D$1005="jabas")*(MOVIMIENTOS!$A$5:$A$1005&lt;&gt;"")*(MOVIMIENTOS!$A$5:$A$1005&lt;=$A123)*MOVIMIENTOS!$E$5:$E$1005))</f>
        <v/>
      </c>
      <c r="D123" s="63" t="str">
        <f>IF($A123="","",SUMPRODUCT((MOVIMIENTOS!$B$5:$B$1005="SALDO INICIAL")*(MOVIMIENTOS!$C$5:$C$1005="C")*(MOVIMIENTOS!$D$5:$D$1005="jabas")*(MOVIMIENTOS!$A$5:$A$1005&lt;&gt;"")*(MOVIMIENTOS!$A$5:$A$1005&lt;=$A123)*MOVIMIENTOS!$E$5:$E$1005)+SUMPRODUCT((MOVIMIENTOS!$B$5:$B$1005="PROCESO")*(MOVIMIENTOS!$C$5:$C$1005="C")*(MOVIMIENTOS!$D$5:$D$1005="jabas")*(MOVIMIENTOS!$A$5:$A$1005&lt;&gt;"")*(MOVIMIENTOS!$A$5:$A$1005&lt;=$A123)*MOVIMIENTOS!$E$5:$E$1005)-SUMPRODUCT((MOVIMIENTOS!$B$5:$B$1005="ENVÍO A SUPESA")*(MOVIMIENTOS!$C$5:$C$1005="C")*(MOVIMIENTOS!$D$5:$D$1005="jabas")*(MOVIMIENTOS!$A$5:$A$1005&lt;&gt;"")*(MOVIMIENTOS!$A$5:$A$1005&lt;=$A123)*MOVIMIENTOS!$E$5:$E$1005)+SUMPRODUCT((MOVIMIENTOS!$B$5:$B$1005="DEVOLUCIÓN")*(MOVIMIENTOS!$C$5:$C$1005="C")*(MOVIMIENTOS!$D$5:$D$1005="jabas")*(MOVIMIENTOS!$A$5:$A$1005&lt;&gt;"")*(MOVIMIENTOS!$A$5:$A$1005&lt;=$A123)*MOVIMIENTOS!$E$5:$E$1005)-SUMPRODUCT((MOVIMIENTOS!$B$5:$B$1005="TRASIEGO")*(MOVIMIENTOS!$C$5:$C$1005="C")*(MOVIMIENTOS!$D$5:$D$1005="jabas")*(MOVIMIENTOS!$A$5:$A$1005&lt;&gt;"")*(MOVIMIENTOS!$A$5:$A$1005&lt;=$A123)*MOVIMIENTOS!$E$5:$E$1005)-SUMPRODUCT((MOVIMIENTOS!$B$5:$B$1005="REGALO")*(MOVIMIENTOS!$C$5:$C$1005="C")*(MOVIMIENTOS!$D$5:$D$1005="jabas")*(MOVIMIENTOS!$A$5:$A$1005&lt;&gt;"")*(MOVIMIENTOS!$A$5:$A$1005&lt;=$A123)*MOVIMIENTOS!$E$5:$E$1005)-SUMPRODUCT((MOVIMIENTOS!$B$5:$B$1005="VENTA")*(MOVIMIENTOS!$C$5:$C$1005="C")*(MOVIMIENTOS!$D$5:$D$1005="jabas")*(MOVIMIENTOS!$A$5:$A$1005&lt;&gt;"")*(MOVIMIENTOS!$A$5:$A$1005&lt;=$A123)*MOVIMIENTOS!$E$5:$E$1005)+SUMPRODUCT((MOVIMIENTOS!$B$5:$B$1005="AJUSTE")*(MOVIMIENTOS!$C$5:$C$1005="C")*(MOVIMIENTOS!$D$5:$D$1005="jabas")*(MOVIMIENTOS!$A$5:$A$1005&lt;&gt;"")*(MOVIMIENTOS!$A$5:$A$1005&lt;=$A123)*MOVIMIENTOS!$E$5:$E$1005))</f>
        <v/>
      </c>
      <c r="E123" s="63" t="str">
        <f>IF($A123="","",SUMPRODUCT((MOVIMIENTOS!$B$5:$B$1005="SALDO INICIAL")*(MOVIMIENTOS!$C$5:$C$1005="M")*(MOVIMIENTOS!$D$5:$D$1005="jabas")*(MOVIMIENTOS!$A$5:$A$1005&lt;&gt;"")*(MOVIMIENTOS!$A$5:$A$1005&lt;=$A123)*MOVIMIENTOS!$E$5:$E$1005)+SUMPRODUCT((MOVIMIENTOS!$B$5:$B$1005="PROCESO")*(MOVIMIENTOS!$C$5:$C$1005="M")*(MOVIMIENTOS!$D$5:$D$1005="jabas")*(MOVIMIENTOS!$A$5:$A$1005&lt;&gt;"")*(MOVIMIENTOS!$A$5:$A$1005&lt;=$A123)*MOVIMIENTOS!$E$5:$E$1005)-SUMPRODUCT((MOVIMIENTOS!$B$5:$B$1005="ENVÍO A SUPESA")*(MOVIMIENTOS!$C$5:$C$1005="M")*(MOVIMIENTOS!$D$5:$D$1005="jabas")*(MOVIMIENTOS!$A$5:$A$1005&lt;&gt;"")*(MOVIMIENTOS!$A$5:$A$1005&lt;=$A123)*MOVIMIENTOS!$E$5:$E$1005)+SUMPRODUCT((MOVIMIENTOS!$B$5:$B$1005="DEVOLUCIÓN")*(MOVIMIENTOS!$C$5:$C$1005="M")*(MOVIMIENTOS!$D$5:$D$1005="jabas")*(MOVIMIENTOS!$A$5:$A$1005&lt;&gt;"")*(MOVIMIENTOS!$A$5:$A$1005&lt;=$A123)*MOVIMIENTOS!$E$5:$E$1005)-SUMPRODUCT((MOVIMIENTOS!$B$5:$B$1005="TRASIEGO")*(MOVIMIENTOS!$C$5:$C$1005="M")*(MOVIMIENTOS!$D$5:$D$1005="jabas")*(MOVIMIENTOS!$A$5:$A$1005&lt;&gt;"")*(MOVIMIENTOS!$A$5:$A$1005&lt;=$A123)*MOVIMIENTOS!$E$5:$E$1005)-SUMPRODUCT((MOVIMIENTOS!$B$5:$B$1005="REGALO")*(MOVIMIENTOS!$C$5:$C$1005="M")*(MOVIMIENTOS!$D$5:$D$1005="jabas")*(MOVIMIENTOS!$A$5:$A$1005&lt;&gt;"")*(MOVIMIENTOS!$A$5:$A$1005&lt;=$A123)*MOVIMIENTOS!$E$5:$E$1005)-SUMPRODUCT((MOVIMIENTOS!$B$5:$B$1005="VENTA")*(MOVIMIENTOS!$C$5:$C$1005="M")*(MOVIMIENTOS!$D$5:$D$1005="jabas")*(MOVIMIENTOS!$A$5:$A$1005&lt;&gt;"")*(MOVIMIENTOS!$A$5:$A$1005&lt;=$A123)*MOVIMIENTOS!$E$5:$E$1005)+SUMPRODUCT((MOVIMIENTOS!$B$5:$B$1005="AJUSTE")*(MOVIMIENTOS!$C$5:$C$1005="M")*(MOVIMIENTOS!$D$5:$D$1005="jabas")*(MOVIMIENTOS!$A$5:$A$1005&lt;&gt;"")*(MOVIMIENTOS!$A$5:$A$1005&lt;=$A123)*MOVIMIENTOS!$E$5:$E$1005))</f>
        <v/>
      </c>
      <c r="F123" s="63" t="str">
        <f>IF($A123="","",SUMPRODUCT((MOVIMIENTOS!$B$5:$B$1005="SALDO INICIAL")*(MOVIMIENTOS!$C$5:$C$1005="Chancho")*(MOVIMIENTOS!$D$5:$D$1005="sacos")*(MOVIMIENTOS!$A$5:$A$1005&lt;&gt;"")*(MOVIMIENTOS!$A$5:$A$1005&lt;=$A123)*MOVIMIENTOS!$E$5:$E$1005)+SUMPRODUCT((MOVIMIENTOS!$B$5:$B$1005="PROCESO")*(MOVIMIENTOS!$C$5:$C$1005="Chancho")*(MOVIMIENTOS!$D$5:$D$1005="sacos")*(MOVIMIENTOS!$A$5:$A$1005&lt;&gt;"")*(MOVIMIENTOS!$A$5:$A$1005&lt;=$A123)*MOVIMIENTOS!$E$5:$E$1005)-SUMPRODUCT((MOVIMIENTOS!$B$5:$B$1005="VENTA CHANCHO")*(MOVIMIENTOS!$C$5:$C$1005="Chancho")*(MOVIMIENTOS!$D$5:$D$1005="sacos")*(MOVIMIENTOS!$A$5:$A$1005&lt;&gt;"")*(MOVIMIENTOS!$A$5:$A$1005&lt;=$A123)*MOVIMIENTOS!$E$5:$E$1005)-SUMPRODUCT((MOVIMIENTOS!$B$5:$B$1005="REGALO")*(MOVIMIENTOS!$C$5:$C$1005="Chancho")*(MOVIMIENTOS!$D$5:$D$1005="sacos")*(MOVIMIENTOS!$A$5:$A$1005&lt;&gt;"")*(MOVIMIENTOS!$A$5:$A$1005&lt;=$A123)*MOVIMIENTOS!$E$5:$E$1005)-SUMPRODUCT((MOVIMIENTOS!$B$5:$B$1005="VENTA")*(MOVIMIENTOS!$C$5:$C$1005="Chancho")*(MOVIMIENTOS!$D$5:$D$1005="sacos")*(MOVIMIENTOS!$A$5:$A$1005&lt;&gt;"")*(MOVIMIENTOS!$A$5:$A$1005&lt;=$A123)*MOVIMIENTOS!$E$5:$E$1005)+SUMPRODUCT((MOVIMIENTOS!$B$5:$B$1005="AJUSTE")*(MOVIMIENTOS!$C$5:$C$1005="Chancho")*(MOVIMIENTOS!$D$5:$D$1005="sacos")*(MOVIMIENTOS!$A$5:$A$1005&lt;&gt;"")*(MOVIMIENTOS!$A$5:$A$1005&lt;=$A123)*MOVIMIENTOS!$E$5:$E$1005))</f>
        <v/>
      </c>
      <c r="G123" s="95" t="str">
        <f t="shared" si="3"/>
        <v/>
      </c>
      <c r="H123" s="63" t="str">
        <f>IF($A123="","",SUMPRODUCT((((MOVIMIENTOS!$B$5:$B$1005="SALDO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123)*MOVIMIENTOS!$J$5:$J$1005))</f>
        <v/>
      </c>
      <c r="I123" s="63"/>
      <c r="J123" s="63" t="str">
        <f>IF(AND(MOVIMIENTOS!$A123&lt;&gt;"",COUNTIF(MOVIMIENTOS!$A$5:$A122,MOVIMIENTOS!$A123)=0),COUNT(J$4:J122)+1,"")</f>
        <v/>
      </c>
      <c r="K123" s="66">
        <f>MOVIMIENTOS!$A123</f>
        <v>46224</v>
      </c>
      <c r="L123" s="63"/>
      <c r="M123" s="63"/>
      <c r="N123" s="63"/>
    </row>
    <row r="124" spans="1:14" ht="15" customHeight="1" x14ac:dyDescent="0.2">
      <c r="A124" s="63" t="str">
        <f t="shared" si="2"/>
        <v/>
      </c>
      <c r="B124" s="63" t="str">
        <f>IF($A124="","",SUMPRODUCT((MOVIMIENTOS!$B$5:$B$1005="SALDO INICIAL")*(MOVIMIENTOS!$C$5:$C$1005="A")*(MOVIMIENTOS!$D$5:$D$1005="jabas")*(MOVIMIENTOS!$A$5:$A$1005&lt;&gt;"")*(MOVIMIENTOS!$A$5:$A$1005&lt;=$A124)*MOVIMIENTOS!$E$5:$E$1005)+SUMPRODUCT((MOVIMIENTOS!$B$5:$B$1005="PROCESO")*(MOVIMIENTOS!$C$5:$C$1005="A")*(MOVIMIENTOS!$D$5:$D$1005="jabas")*(MOVIMIENTOS!$A$5:$A$1005&lt;&gt;"")*(MOVIMIENTOS!$A$5:$A$1005&lt;=$A124)*MOVIMIENTOS!$E$5:$E$1005)-SUMPRODUCT((MOVIMIENTOS!$B$5:$B$1005="ENVÍO A SUPESA")*(MOVIMIENTOS!$C$5:$C$1005="A")*(MOVIMIENTOS!$D$5:$D$1005="jabas")*(MOVIMIENTOS!$A$5:$A$1005&lt;&gt;"")*(MOVIMIENTOS!$A$5:$A$1005&lt;=$A124)*MOVIMIENTOS!$E$5:$E$1005)+SUMPRODUCT((MOVIMIENTOS!$B$5:$B$1005="DEVOLUCIÓN")*(MOVIMIENTOS!$C$5:$C$1005="A")*(MOVIMIENTOS!$D$5:$D$1005="jabas")*(MOVIMIENTOS!$A$5:$A$1005&lt;&gt;"")*(MOVIMIENTOS!$A$5:$A$1005&lt;=$A124)*MOVIMIENTOS!$E$5:$E$1005)-SUMPRODUCT((MOVIMIENTOS!$B$5:$B$1005="TRASIEGO")*(MOVIMIENTOS!$C$5:$C$1005="A")*(MOVIMIENTOS!$D$5:$D$1005="jabas")*(MOVIMIENTOS!$A$5:$A$1005&lt;&gt;"")*(MOVIMIENTOS!$A$5:$A$1005&lt;=$A124)*MOVIMIENTOS!$E$5:$E$1005)-SUMPRODUCT((MOVIMIENTOS!$B$5:$B$1005="REGALO")*(MOVIMIENTOS!$C$5:$C$1005="A")*(MOVIMIENTOS!$D$5:$D$1005="jabas")*(MOVIMIENTOS!$A$5:$A$1005&lt;&gt;"")*(MOVIMIENTOS!$A$5:$A$1005&lt;=$A124)*MOVIMIENTOS!$E$5:$E$1005)-SUMPRODUCT((MOVIMIENTOS!$B$5:$B$1005="VENTA")*(MOVIMIENTOS!$C$5:$C$1005="A")*(MOVIMIENTOS!$D$5:$D$1005="jabas")*(MOVIMIENTOS!$A$5:$A$1005&lt;&gt;"")*(MOVIMIENTOS!$A$5:$A$1005&lt;=$A124)*MOVIMIENTOS!$E$5:$E$1005)+SUMPRODUCT((MOVIMIENTOS!$B$5:$B$1005="AJUSTE")*(MOVIMIENTOS!$C$5:$C$1005="A")*(MOVIMIENTOS!$D$5:$D$1005="jabas")*(MOVIMIENTOS!$A$5:$A$1005&lt;&gt;"")*(MOVIMIENTOS!$A$5:$A$1005&lt;=$A124)*MOVIMIENTOS!$E$5:$E$1005))</f>
        <v/>
      </c>
      <c r="C124" s="63" t="str">
        <f>IF($A124="","",SUMPRODUCT((MOVIMIENTOS!$B$5:$B$1005="SALDO INICIAL")*(MOVIMIENTOS!$C$5:$C$1005="P")*(MOVIMIENTOS!$D$5:$D$1005="jabas")*(MOVIMIENTOS!$A$5:$A$1005&lt;&gt;"")*(MOVIMIENTOS!$A$5:$A$1005&lt;=$A124)*MOVIMIENTOS!$E$5:$E$1005)+SUMPRODUCT((MOVIMIENTOS!$B$5:$B$1005="PROCESO")*(MOVIMIENTOS!$C$5:$C$1005="P")*(MOVIMIENTOS!$D$5:$D$1005="jabas")*(MOVIMIENTOS!$A$5:$A$1005&lt;&gt;"")*(MOVIMIENTOS!$A$5:$A$1005&lt;=$A124)*MOVIMIENTOS!$E$5:$E$1005)-SUMPRODUCT((MOVIMIENTOS!$B$5:$B$1005="ENVÍO A SUPESA")*(MOVIMIENTOS!$C$5:$C$1005="P")*(MOVIMIENTOS!$D$5:$D$1005="jabas")*(MOVIMIENTOS!$A$5:$A$1005&lt;&gt;"")*(MOVIMIENTOS!$A$5:$A$1005&lt;=$A124)*MOVIMIENTOS!$E$5:$E$1005)+SUMPRODUCT((MOVIMIENTOS!$B$5:$B$1005="DEVOLUCIÓN")*(MOVIMIENTOS!$C$5:$C$1005="P")*(MOVIMIENTOS!$D$5:$D$1005="jabas")*(MOVIMIENTOS!$A$5:$A$1005&lt;&gt;"")*(MOVIMIENTOS!$A$5:$A$1005&lt;=$A124)*MOVIMIENTOS!$E$5:$E$1005)-SUMPRODUCT((MOVIMIENTOS!$B$5:$B$1005="TRASIEGO")*(MOVIMIENTOS!$C$5:$C$1005="P")*(MOVIMIENTOS!$D$5:$D$1005="jabas")*(MOVIMIENTOS!$A$5:$A$1005&lt;&gt;"")*(MOVIMIENTOS!$A$5:$A$1005&lt;=$A124)*MOVIMIENTOS!$E$5:$E$1005)-SUMPRODUCT((MOVIMIENTOS!$B$5:$B$1005="REGALO")*(MOVIMIENTOS!$C$5:$C$1005="P")*(MOVIMIENTOS!$D$5:$D$1005="jabas")*(MOVIMIENTOS!$A$5:$A$1005&lt;&gt;"")*(MOVIMIENTOS!$A$5:$A$1005&lt;=$A124)*MOVIMIENTOS!$E$5:$E$1005)-SUMPRODUCT((MOVIMIENTOS!$B$5:$B$1005="VENTA")*(MOVIMIENTOS!$C$5:$C$1005="P")*(MOVIMIENTOS!$D$5:$D$1005="jabas")*(MOVIMIENTOS!$A$5:$A$1005&lt;&gt;"")*(MOVIMIENTOS!$A$5:$A$1005&lt;=$A124)*MOVIMIENTOS!$E$5:$E$1005)+SUMPRODUCT((MOVIMIENTOS!$B$5:$B$1005="AJUSTE")*(MOVIMIENTOS!$C$5:$C$1005="P")*(MOVIMIENTOS!$D$5:$D$1005="jabas")*(MOVIMIENTOS!$A$5:$A$1005&lt;&gt;"")*(MOVIMIENTOS!$A$5:$A$1005&lt;=$A124)*MOVIMIENTOS!$E$5:$E$1005))</f>
        <v/>
      </c>
      <c r="D124" s="63" t="str">
        <f>IF($A124="","",SUMPRODUCT((MOVIMIENTOS!$B$5:$B$1005="SALDO INICIAL")*(MOVIMIENTOS!$C$5:$C$1005="C")*(MOVIMIENTOS!$D$5:$D$1005="jabas")*(MOVIMIENTOS!$A$5:$A$1005&lt;&gt;"")*(MOVIMIENTOS!$A$5:$A$1005&lt;=$A124)*MOVIMIENTOS!$E$5:$E$1005)+SUMPRODUCT((MOVIMIENTOS!$B$5:$B$1005="PROCESO")*(MOVIMIENTOS!$C$5:$C$1005="C")*(MOVIMIENTOS!$D$5:$D$1005="jabas")*(MOVIMIENTOS!$A$5:$A$1005&lt;&gt;"")*(MOVIMIENTOS!$A$5:$A$1005&lt;=$A124)*MOVIMIENTOS!$E$5:$E$1005)-SUMPRODUCT((MOVIMIENTOS!$B$5:$B$1005="ENVÍO A SUPESA")*(MOVIMIENTOS!$C$5:$C$1005="C")*(MOVIMIENTOS!$D$5:$D$1005="jabas")*(MOVIMIENTOS!$A$5:$A$1005&lt;&gt;"")*(MOVIMIENTOS!$A$5:$A$1005&lt;=$A124)*MOVIMIENTOS!$E$5:$E$1005)+SUMPRODUCT((MOVIMIENTOS!$B$5:$B$1005="DEVOLUCIÓN")*(MOVIMIENTOS!$C$5:$C$1005="C")*(MOVIMIENTOS!$D$5:$D$1005="jabas")*(MOVIMIENTOS!$A$5:$A$1005&lt;&gt;"")*(MOVIMIENTOS!$A$5:$A$1005&lt;=$A124)*MOVIMIENTOS!$E$5:$E$1005)-SUMPRODUCT((MOVIMIENTOS!$B$5:$B$1005="TRASIEGO")*(MOVIMIENTOS!$C$5:$C$1005="C")*(MOVIMIENTOS!$D$5:$D$1005="jabas")*(MOVIMIENTOS!$A$5:$A$1005&lt;&gt;"")*(MOVIMIENTOS!$A$5:$A$1005&lt;=$A124)*MOVIMIENTOS!$E$5:$E$1005)-SUMPRODUCT((MOVIMIENTOS!$B$5:$B$1005="REGALO")*(MOVIMIENTOS!$C$5:$C$1005="C")*(MOVIMIENTOS!$D$5:$D$1005="jabas")*(MOVIMIENTOS!$A$5:$A$1005&lt;&gt;"")*(MOVIMIENTOS!$A$5:$A$1005&lt;=$A124)*MOVIMIENTOS!$E$5:$E$1005)-SUMPRODUCT((MOVIMIENTOS!$B$5:$B$1005="VENTA")*(MOVIMIENTOS!$C$5:$C$1005="C")*(MOVIMIENTOS!$D$5:$D$1005="jabas")*(MOVIMIENTOS!$A$5:$A$1005&lt;&gt;"")*(MOVIMIENTOS!$A$5:$A$1005&lt;=$A124)*MOVIMIENTOS!$E$5:$E$1005)+SUMPRODUCT((MOVIMIENTOS!$B$5:$B$1005="AJUSTE")*(MOVIMIENTOS!$C$5:$C$1005="C")*(MOVIMIENTOS!$D$5:$D$1005="jabas")*(MOVIMIENTOS!$A$5:$A$1005&lt;&gt;"")*(MOVIMIENTOS!$A$5:$A$1005&lt;=$A124)*MOVIMIENTOS!$E$5:$E$1005))</f>
        <v/>
      </c>
      <c r="E124" s="63" t="str">
        <f>IF($A124="","",SUMPRODUCT((MOVIMIENTOS!$B$5:$B$1005="SALDO INICIAL")*(MOVIMIENTOS!$C$5:$C$1005="M")*(MOVIMIENTOS!$D$5:$D$1005="jabas")*(MOVIMIENTOS!$A$5:$A$1005&lt;&gt;"")*(MOVIMIENTOS!$A$5:$A$1005&lt;=$A124)*MOVIMIENTOS!$E$5:$E$1005)+SUMPRODUCT((MOVIMIENTOS!$B$5:$B$1005="PROCESO")*(MOVIMIENTOS!$C$5:$C$1005="M")*(MOVIMIENTOS!$D$5:$D$1005="jabas")*(MOVIMIENTOS!$A$5:$A$1005&lt;&gt;"")*(MOVIMIENTOS!$A$5:$A$1005&lt;=$A124)*MOVIMIENTOS!$E$5:$E$1005)-SUMPRODUCT((MOVIMIENTOS!$B$5:$B$1005="ENVÍO A SUPESA")*(MOVIMIENTOS!$C$5:$C$1005="M")*(MOVIMIENTOS!$D$5:$D$1005="jabas")*(MOVIMIENTOS!$A$5:$A$1005&lt;&gt;"")*(MOVIMIENTOS!$A$5:$A$1005&lt;=$A124)*MOVIMIENTOS!$E$5:$E$1005)+SUMPRODUCT((MOVIMIENTOS!$B$5:$B$1005="DEVOLUCIÓN")*(MOVIMIENTOS!$C$5:$C$1005="M")*(MOVIMIENTOS!$D$5:$D$1005="jabas")*(MOVIMIENTOS!$A$5:$A$1005&lt;&gt;"")*(MOVIMIENTOS!$A$5:$A$1005&lt;=$A124)*MOVIMIENTOS!$E$5:$E$1005)-SUMPRODUCT((MOVIMIENTOS!$B$5:$B$1005="TRASIEGO")*(MOVIMIENTOS!$C$5:$C$1005="M")*(MOVIMIENTOS!$D$5:$D$1005="jabas")*(MOVIMIENTOS!$A$5:$A$1005&lt;&gt;"")*(MOVIMIENTOS!$A$5:$A$1005&lt;=$A124)*MOVIMIENTOS!$E$5:$E$1005)-SUMPRODUCT((MOVIMIENTOS!$B$5:$B$1005="REGALO")*(MOVIMIENTOS!$C$5:$C$1005="M")*(MOVIMIENTOS!$D$5:$D$1005="jabas")*(MOVIMIENTOS!$A$5:$A$1005&lt;&gt;"")*(MOVIMIENTOS!$A$5:$A$1005&lt;=$A124)*MOVIMIENTOS!$E$5:$E$1005)-SUMPRODUCT((MOVIMIENTOS!$B$5:$B$1005="VENTA")*(MOVIMIENTOS!$C$5:$C$1005="M")*(MOVIMIENTOS!$D$5:$D$1005="jabas")*(MOVIMIENTOS!$A$5:$A$1005&lt;&gt;"")*(MOVIMIENTOS!$A$5:$A$1005&lt;=$A124)*MOVIMIENTOS!$E$5:$E$1005)+SUMPRODUCT((MOVIMIENTOS!$B$5:$B$1005="AJUSTE")*(MOVIMIENTOS!$C$5:$C$1005="M")*(MOVIMIENTOS!$D$5:$D$1005="jabas")*(MOVIMIENTOS!$A$5:$A$1005&lt;&gt;"")*(MOVIMIENTOS!$A$5:$A$1005&lt;=$A124)*MOVIMIENTOS!$E$5:$E$1005))</f>
        <v/>
      </c>
      <c r="F124" s="63" t="str">
        <f>IF($A124="","",SUMPRODUCT((MOVIMIENTOS!$B$5:$B$1005="SALDO INICIAL")*(MOVIMIENTOS!$C$5:$C$1005="Chancho")*(MOVIMIENTOS!$D$5:$D$1005="sacos")*(MOVIMIENTOS!$A$5:$A$1005&lt;&gt;"")*(MOVIMIENTOS!$A$5:$A$1005&lt;=$A124)*MOVIMIENTOS!$E$5:$E$1005)+SUMPRODUCT((MOVIMIENTOS!$B$5:$B$1005="PROCESO")*(MOVIMIENTOS!$C$5:$C$1005="Chancho")*(MOVIMIENTOS!$D$5:$D$1005="sacos")*(MOVIMIENTOS!$A$5:$A$1005&lt;&gt;"")*(MOVIMIENTOS!$A$5:$A$1005&lt;=$A124)*MOVIMIENTOS!$E$5:$E$1005)-SUMPRODUCT((MOVIMIENTOS!$B$5:$B$1005="VENTA CHANCHO")*(MOVIMIENTOS!$C$5:$C$1005="Chancho")*(MOVIMIENTOS!$D$5:$D$1005="sacos")*(MOVIMIENTOS!$A$5:$A$1005&lt;&gt;"")*(MOVIMIENTOS!$A$5:$A$1005&lt;=$A124)*MOVIMIENTOS!$E$5:$E$1005)-SUMPRODUCT((MOVIMIENTOS!$B$5:$B$1005="REGALO")*(MOVIMIENTOS!$C$5:$C$1005="Chancho")*(MOVIMIENTOS!$D$5:$D$1005="sacos")*(MOVIMIENTOS!$A$5:$A$1005&lt;&gt;"")*(MOVIMIENTOS!$A$5:$A$1005&lt;=$A124)*MOVIMIENTOS!$E$5:$E$1005)-SUMPRODUCT((MOVIMIENTOS!$B$5:$B$1005="VENTA")*(MOVIMIENTOS!$C$5:$C$1005="Chancho")*(MOVIMIENTOS!$D$5:$D$1005="sacos")*(MOVIMIENTOS!$A$5:$A$1005&lt;&gt;"")*(MOVIMIENTOS!$A$5:$A$1005&lt;=$A124)*MOVIMIENTOS!$E$5:$E$1005)+SUMPRODUCT((MOVIMIENTOS!$B$5:$B$1005="AJUSTE")*(MOVIMIENTOS!$C$5:$C$1005="Chancho")*(MOVIMIENTOS!$D$5:$D$1005="sacos")*(MOVIMIENTOS!$A$5:$A$1005&lt;&gt;"")*(MOVIMIENTOS!$A$5:$A$1005&lt;=$A124)*MOVIMIENTOS!$E$5:$E$1005))</f>
        <v/>
      </c>
      <c r="G124" s="95" t="str">
        <f t="shared" si="3"/>
        <v/>
      </c>
      <c r="H124" s="63" t="str">
        <f>IF($A124="","",SUMPRODUCT((((MOVIMIENTOS!$B$5:$B$1005="SALDO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124)*MOVIMIENTOS!$J$5:$J$1005))</f>
        <v/>
      </c>
      <c r="I124" s="63"/>
      <c r="J124" s="63" t="str">
        <f>IF(AND(MOVIMIENTOS!$A124&lt;&gt;"",COUNTIF(MOVIMIENTOS!$A$5:$A123,MOVIMIENTOS!$A124)=0),COUNT(J$4:J123)+1,"")</f>
        <v/>
      </c>
      <c r="K124" s="66">
        <f>MOVIMIENTOS!$A124</f>
        <v>46224</v>
      </c>
      <c r="L124" s="63"/>
      <c r="M124" s="63"/>
      <c r="N124" s="63"/>
    </row>
    <row r="125" spans="1:14" ht="15" customHeight="1" x14ac:dyDescent="0.2">
      <c r="A125" s="63" t="str">
        <f t="shared" si="2"/>
        <v/>
      </c>
      <c r="B125" s="63" t="str">
        <f>IF($A125="","",SUMPRODUCT((MOVIMIENTOS!$B$5:$B$1005="SALDO INICIAL")*(MOVIMIENTOS!$C$5:$C$1005="A")*(MOVIMIENTOS!$D$5:$D$1005="jabas")*(MOVIMIENTOS!$A$5:$A$1005&lt;&gt;"")*(MOVIMIENTOS!$A$5:$A$1005&lt;=$A125)*MOVIMIENTOS!$E$5:$E$1005)+SUMPRODUCT((MOVIMIENTOS!$B$5:$B$1005="PROCESO")*(MOVIMIENTOS!$C$5:$C$1005="A")*(MOVIMIENTOS!$D$5:$D$1005="jabas")*(MOVIMIENTOS!$A$5:$A$1005&lt;&gt;"")*(MOVIMIENTOS!$A$5:$A$1005&lt;=$A125)*MOVIMIENTOS!$E$5:$E$1005)-SUMPRODUCT((MOVIMIENTOS!$B$5:$B$1005="ENVÍO A SUPESA")*(MOVIMIENTOS!$C$5:$C$1005="A")*(MOVIMIENTOS!$D$5:$D$1005="jabas")*(MOVIMIENTOS!$A$5:$A$1005&lt;&gt;"")*(MOVIMIENTOS!$A$5:$A$1005&lt;=$A125)*MOVIMIENTOS!$E$5:$E$1005)+SUMPRODUCT((MOVIMIENTOS!$B$5:$B$1005="DEVOLUCIÓN")*(MOVIMIENTOS!$C$5:$C$1005="A")*(MOVIMIENTOS!$D$5:$D$1005="jabas")*(MOVIMIENTOS!$A$5:$A$1005&lt;&gt;"")*(MOVIMIENTOS!$A$5:$A$1005&lt;=$A125)*MOVIMIENTOS!$E$5:$E$1005)-SUMPRODUCT((MOVIMIENTOS!$B$5:$B$1005="TRASIEGO")*(MOVIMIENTOS!$C$5:$C$1005="A")*(MOVIMIENTOS!$D$5:$D$1005="jabas")*(MOVIMIENTOS!$A$5:$A$1005&lt;&gt;"")*(MOVIMIENTOS!$A$5:$A$1005&lt;=$A125)*MOVIMIENTOS!$E$5:$E$1005)-SUMPRODUCT((MOVIMIENTOS!$B$5:$B$1005="REGALO")*(MOVIMIENTOS!$C$5:$C$1005="A")*(MOVIMIENTOS!$D$5:$D$1005="jabas")*(MOVIMIENTOS!$A$5:$A$1005&lt;&gt;"")*(MOVIMIENTOS!$A$5:$A$1005&lt;=$A125)*MOVIMIENTOS!$E$5:$E$1005)-SUMPRODUCT((MOVIMIENTOS!$B$5:$B$1005="VENTA")*(MOVIMIENTOS!$C$5:$C$1005="A")*(MOVIMIENTOS!$D$5:$D$1005="jabas")*(MOVIMIENTOS!$A$5:$A$1005&lt;&gt;"")*(MOVIMIENTOS!$A$5:$A$1005&lt;=$A125)*MOVIMIENTOS!$E$5:$E$1005)+SUMPRODUCT((MOVIMIENTOS!$B$5:$B$1005="AJUSTE")*(MOVIMIENTOS!$C$5:$C$1005="A")*(MOVIMIENTOS!$D$5:$D$1005="jabas")*(MOVIMIENTOS!$A$5:$A$1005&lt;&gt;"")*(MOVIMIENTOS!$A$5:$A$1005&lt;=$A125)*MOVIMIENTOS!$E$5:$E$1005))</f>
        <v/>
      </c>
      <c r="C125" s="63" t="str">
        <f>IF($A125="","",SUMPRODUCT((MOVIMIENTOS!$B$5:$B$1005="SALDO INICIAL")*(MOVIMIENTOS!$C$5:$C$1005="P")*(MOVIMIENTOS!$D$5:$D$1005="jabas")*(MOVIMIENTOS!$A$5:$A$1005&lt;&gt;"")*(MOVIMIENTOS!$A$5:$A$1005&lt;=$A125)*MOVIMIENTOS!$E$5:$E$1005)+SUMPRODUCT((MOVIMIENTOS!$B$5:$B$1005="PROCESO")*(MOVIMIENTOS!$C$5:$C$1005="P")*(MOVIMIENTOS!$D$5:$D$1005="jabas")*(MOVIMIENTOS!$A$5:$A$1005&lt;&gt;"")*(MOVIMIENTOS!$A$5:$A$1005&lt;=$A125)*MOVIMIENTOS!$E$5:$E$1005)-SUMPRODUCT((MOVIMIENTOS!$B$5:$B$1005="ENVÍO A SUPESA")*(MOVIMIENTOS!$C$5:$C$1005="P")*(MOVIMIENTOS!$D$5:$D$1005="jabas")*(MOVIMIENTOS!$A$5:$A$1005&lt;&gt;"")*(MOVIMIENTOS!$A$5:$A$1005&lt;=$A125)*MOVIMIENTOS!$E$5:$E$1005)+SUMPRODUCT((MOVIMIENTOS!$B$5:$B$1005="DEVOLUCIÓN")*(MOVIMIENTOS!$C$5:$C$1005="P")*(MOVIMIENTOS!$D$5:$D$1005="jabas")*(MOVIMIENTOS!$A$5:$A$1005&lt;&gt;"")*(MOVIMIENTOS!$A$5:$A$1005&lt;=$A125)*MOVIMIENTOS!$E$5:$E$1005)-SUMPRODUCT((MOVIMIENTOS!$B$5:$B$1005="TRASIEGO")*(MOVIMIENTOS!$C$5:$C$1005="P")*(MOVIMIENTOS!$D$5:$D$1005="jabas")*(MOVIMIENTOS!$A$5:$A$1005&lt;&gt;"")*(MOVIMIENTOS!$A$5:$A$1005&lt;=$A125)*MOVIMIENTOS!$E$5:$E$1005)-SUMPRODUCT((MOVIMIENTOS!$B$5:$B$1005="REGALO")*(MOVIMIENTOS!$C$5:$C$1005="P")*(MOVIMIENTOS!$D$5:$D$1005="jabas")*(MOVIMIENTOS!$A$5:$A$1005&lt;&gt;"")*(MOVIMIENTOS!$A$5:$A$1005&lt;=$A125)*MOVIMIENTOS!$E$5:$E$1005)-SUMPRODUCT((MOVIMIENTOS!$B$5:$B$1005="VENTA")*(MOVIMIENTOS!$C$5:$C$1005="P")*(MOVIMIENTOS!$D$5:$D$1005="jabas")*(MOVIMIENTOS!$A$5:$A$1005&lt;&gt;"")*(MOVIMIENTOS!$A$5:$A$1005&lt;=$A125)*MOVIMIENTOS!$E$5:$E$1005)+SUMPRODUCT((MOVIMIENTOS!$B$5:$B$1005="AJUSTE")*(MOVIMIENTOS!$C$5:$C$1005="P")*(MOVIMIENTOS!$D$5:$D$1005="jabas")*(MOVIMIENTOS!$A$5:$A$1005&lt;&gt;"")*(MOVIMIENTOS!$A$5:$A$1005&lt;=$A125)*MOVIMIENTOS!$E$5:$E$1005))</f>
        <v/>
      </c>
      <c r="D125" s="63" t="str">
        <f>IF($A125="","",SUMPRODUCT((MOVIMIENTOS!$B$5:$B$1005="SALDO INICIAL")*(MOVIMIENTOS!$C$5:$C$1005="C")*(MOVIMIENTOS!$D$5:$D$1005="jabas")*(MOVIMIENTOS!$A$5:$A$1005&lt;&gt;"")*(MOVIMIENTOS!$A$5:$A$1005&lt;=$A125)*MOVIMIENTOS!$E$5:$E$1005)+SUMPRODUCT((MOVIMIENTOS!$B$5:$B$1005="PROCESO")*(MOVIMIENTOS!$C$5:$C$1005="C")*(MOVIMIENTOS!$D$5:$D$1005="jabas")*(MOVIMIENTOS!$A$5:$A$1005&lt;&gt;"")*(MOVIMIENTOS!$A$5:$A$1005&lt;=$A125)*MOVIMIENTOS!$E$5:$E$1005)-SUMPRODUCT((MOVIMIENTOS!$B$5:$B$1005="ENVÍO A SUPESA")*(MOVIMIENTOS!$C$5:$C$1005="C")*(MOVIMIENTOS!$D$5:$D$1005="jabas")*(MOVIMIENTOS!$A$5:$A$1005&lt;&gt;"")*(MOVIMIENTOS!$A$5:$A$1005&lt;=$A125)*MOVIMIENTOS!$E$5:$E$1005)+SUMPRODUCT((MOVIMIENTOS!$B$5:$B$1005="DEVOLUCIÓN")*(MOVIMIENTOS!$C$5:$C$1005="C")*(MOVIMIENTOS!$D$5:$D$1005="jabas")*(MOVIMIENTOS!$A$5:$A$1005&lt;&gt;"")*(MOVIMIENTOS!$A$5:$A$1005&lt;=$A125)*MOVIMIENTOS!$E$5:$E$1005)-SUMPRODUCT((MOVIMIENTOS!$B$5:$B$1005="TRASIEGO")*(MOVIMIENTOS!$C$5:$C$1005="C")*(MOVIMIENTOS!$D$5:$D$1005="jabas")*(MOVIMIENTOS!$A$5:$A$1005&lt;&gt;"")*(MOVIMIENTOS!$A$5:$A$1005&lt;=$A125)*MOVIMIENTOS!$E$5:$E$1005)-SUMPRODUCT((MOVIMIENTOS!$B$5:$B$1005="REGALO")*(MOVIMIENTOS!$C$5:$C$1005="C")*(MOVIMIENTOS!$D$5:$D$1005="jabas")*(MOVIMIENTOS!$A$5:$A$1005&lt;&gt;"")*(MOVIMIENTOS!$A$5:$A$1005&lt;=$A125)*MOVIMIENTOS!$E$5:$E$1005)-SUMPRODUCT((MOVIMIENTOS!$B$5:$B$1005="VENTA")*(MOVIMIENTOS!$C$5:$C$1005="C")*(MOVIMIENTOS!$D$5:$D$1005="jabas")*(MOVIMIENTOS!$A$5:$A$1005&lt;&gt;"")*(MOVIMIENTOS!$A$5:$A$1005&lt;=$A125)*MOVIMIENTOS!$E$5:$E$1005)+SUMPRODUCT((MOVIMIENTOS!$B$5:$B$1005="AJUSTE")*(MOVIMIENTOS!$C$5:$C$1005="C")*(MOVIMIENTOS!$D$5:$D$1005="jabas")*(MOVIMIENTOS!$A$5:$A$1005&lt;&gt;"")*(MOVIMIENTOS!$A$5:$A$1005&lt;=$A125)*MOVIMIENTOS!$E$5:$E$1005))</f>
        <v/>
      </c>
      <c r="E125" s="63" t="str">
        <f>IF($A125="","",SUMPRODUCT((MOVIMIENTOS!$B$5:$B$1005="SALDO INICIAL")*(MOVIMIENTOS!$C$5:$C$1005="M")*(MOVIMIENTOS!$D$5:$D$1005="jabas")*(MOVIMIENTOS!$A$5:$A$1005&lt;&gt;"")*(MOVIMIENTOS!$A$5:$A$1005&lt;=$A125)*MOVIMIENTOS!$E$5:$E$1005)+SUMPRODUCT((MOVIMIENTOS!$B$5:$B$1005="PROCESO")*(MOVIMIENTOS!$C$5:$C$1005="M")*(MOVIMIENTOS!$D$5:$D$1005="jabas")*(MOVIMIENTOS!$A$5:$A$1005&lt;&gt;"")*(MOVIMIENTOS!$A$5:$A$1005&lt;=$A125)*MOVIMIENTOS!$E$5:$E$1005)-SUMPRODUCT((MOVIMIENTOS!$B$5:$B$1005="ENVÍO A SUPESA")*(MOVIMIENTOS!$C$5:$C$1005="M")*(MOVIMIENTOS!$D$5:$D$1005="jabas")*(MOVIMIENTOS!$A$5:$A$1005&lt;&gt;"")*(MOVIMIENTOS!$A$5:$A$1005&lt;=$A125)*MOVIMIENTOS!$E$5:$E$1005)+SUMPRODUCT((MOVIMIENTOS!$B$5:$B$1005="DEVOLUCIÓN")*(MOVIMIENTOS!$C$5:$C$1005="M")*(MOVIMIENTOS!$D$5:$D$1005="jabas")*(MOVIMIENTOS!$A$5:$A$1005&lt;&gt;"")*(MOVIMIENTOS!$A$5:$A$1005&lt;=$A125)*MOVIMIENTOS!$E$5:$E$1005)-SUMPRODUCT((MOVIMIENTOS!$B$5:$B$1005="TRASIEGO")*(MOVIMIENTOS!$C$5:$C$1005="M")*(MOVIMIENTOS!$D$5:$D$1005="jabas")*(MOVIMIENTOS!$A$5:$A$1005&lt;&gt;"")*(MOVIMIENTOS!$A$5:$A$1005&lt;=$A125)*MOVIMIENTOS!$E$5:$E$1005)-SUMPRODUCT((MOVIMIENTOS!$B$5:$B$1005="REGALO")*(MOVIMIENTOS!$C$5:$C$1005="M")*(MOVIMIENTOS!$D$5:$D$1005="jabas")*(MOVIMIENTOS!$A$5:$A$1005&lt;&gt;"")*(MOVIMIENTOS!$A$5:$A$1005&lt;=$A125)*MOVIMIENTOS!$E$5:$E$1005)-SUMPRODUCT((MOVIMIENTOS!$B$5:$B$1005="VENTA")*(MOVIMIENTOS!$C$5:$C$1005="M")*(MOVIMIENTOS!$D$5:$D$1005="jabas")*(MOVIMIENTOS!$A$5:$A$1005&lt;&gt;"")*(MOVIMIENTOS!$A$5:$A$1005&lt;=$A125)*MOVIMIENTOS!$E$5:$E$1005)+SUMPRODUCT((MOVIMIENTOS!$B$5:$B$1005="AJUSTE")*(MOVIMIENTOS!$C$5:$C$1005="M")*(MOVIMIENTOS!$D$5:$D$1005="jabas")*(MOVIMIENTOS!$A$5:$A$1005&lt;&gt;"")*(MOVIMIENTOS!$A$5:$A$1005&lt;=$A125)*MOVIMIENTOS!$E$5:$E$1005))</f>
        <v/>
      </c>
      <c r="F125" s="63" t="str">
        <f>IF($A125="","",SUMPRODUCT((MOVIMIENTOS!$B$5:$B$1005="SALDO INICIAL")*(MOVIMIENTOS!$C$5:$C$1005="Chancho")*(MOVIMIENTOS!$D$5:$D$1005="sacos")*(MOVIMIENTOS!$A$5:$A$1005&lt;&gt;"")*(MOVIMIENTOS!$A$5:$A$1005&lt;=$A125)*MOVIMIENTOS!$E$5:$E$1005)+SUMPRODUCT((MOVIMIENTOS!$B$5:$B$1005="PROCESO")*(MOVIMIENTOS!$C$5:$C$1005="Chancho")*(MOVIMIENTOS!$D$5:$D$1005="sacos")*(MOVIMIENTOS!$A$5:$A$1005&lt;&gt;"")*(MOVIMIENTOS!$A$5:$A$1005&lt;=$A125)*MOVIMIENTOS!$E$5:$E$1005)-SUMPRODUCT((MOVIMIENTOS!$B$5:$B$1005="VENTA CHANCHO")*(MOVIMIENTOS!$C$5:$C$1005="Chancho")*(MOVIMIENTOS!$D$5:$D$1005="sacos")*(MOVIMIENTOS!$A$5:$A$1005&lt;&gt;"")*(MOVIMIENTOS!$A$5:$A$1005&lt;=$A125)*MOVIMIENTOS!$E$5:$E$1005)-SUMPRODUCT((MOVIMIENTOS!$B$5:$B$1005="REGALO")*(MOVIMIENTOS!$C$5:$C$1005="Chancho")*(MOVIMIENTOS!$D$5:$D$1005="sacos")*(MOVIMIENTOS!$A$5:$A$1005&lt;&gt;"")*(MOVIMIENTOS!$A$5:$A$1005&lt;=$A125)*MOVIMIENTOS!$E$5:$E$1005)-SUMPRODUCT((MOVIMIENTOS!$B$5:$B$1005="VENTA")*(MOVIMIENTOS!$C$5:$C$1005="Chancho")*(MOVIMIENTOS!$D$5:$D$1005="sacos")*(MOVIMIENTOS!$A$5:$A$1005&lt;&gt;"")*(MOVIMIENTOS!$A$5:$A$1005&lt;=$A125)*MOVIMIENTOS!$E$5:$E$1005)+SUMPRODUCT((MOVIMIENTOS!$B$5:$B$1005="AJUSTE")*(MOVIMIENTOS!$C$5:$C$1005="Chancho")*(MOVIMIENTOS!$D$5:$D$1005="sacos")*(MOVIMIENTOS!$A$5:$A$1005&lt;&gt;"")*(MOVIMIENTOS!$A$5:$A$1005&lt;=$A125)*MOVIMIENTOS!$E$5:$E$1005))</f>
        <v/>
      </c>
      <c r="G125" s="95" t="str">
        <f t="shared" si="3"/>
        <v/>
      </c>
      <c r="H125" s="63" t="str">
        <f>IF($A125="","",SUMPRODUCT((((MOVIMIENTOS!$B$5:$B$1005="SALDO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125)*MOVIMIENTOS!$J$5:$J$1005))</f>
        <v/>
      </c>
      <c r="I125" s="63"/>
      <c r="J125" s="63" t="str">
        <f>IF(AND(MOVIMIENTOS!$A125&lt;&gt;"",COUNTIF(MOVIMIENTOS!$A$5:$A124,MOVIMIENTOS!$A125)=0),COUNT(J$4:J124)+1,"")</f>
        <v/>
      </c>
      <c r="K125" s="66">
        <f>MOVIMIENTOS!$A125</f>
        <v>46224</v>
      </c>
      <c r="L125" s="63"/>
      <c r="M125" s="63"/>
      <c r="N125" s="63"/>
    </row>
    <row r="126" spans="1:14" ht="15" customHeight="1" x14ac:dyDescent="0.2">
      <c r="A126" s="63" t="str">
        <f t="shared" si="2"/>
        <v/>
      </c>
      <c r="B126" s="63" t="str">
        <f>IF($A126="","",SUMPRODUCT((MOVIMIENTOS!$B$5:$B$1005="SALDO INICIAL")*(MOVIMIENTOS!$C$5:$C$1005="A")*(MOVIMIENTOS!$D$5:$D$1005="jabas")*(MOVIMIENTOS!$A$5:$A$1005&lt;&gt;"")*(MOVIMIENTOS!$A$5:$A$1005&lt;=$A126)*MOVIMIENTOS!$E$5:$E$1005)+SUMPRODUCT((MOVIMIENTOS!$B$5:$B$1005="PROCESO")*(MOVIMIENTOS!$C$5:$C$1005="A")*(MOVIMIENTOS!$D$5:$D$1005="jabas")*(MOVIMIENTOS!$A$5:$A$1005&lt;&gt;"")*(MOVIMIENTOS!$A$5:$A$1005&lt;=$A126)*MOVIMIENTOS!$E$5:$E$1005)-SUMPRODUCT((MOVIMIENTOS!$B$5:$B$1005="ENVÍO A SUPESA")*(MOVIMIENTOS!$C$5:$C$1005="A")*(MOVIMIENTOS!$D$5:$D$1005="jabas")*(MOVIMIENTOS!$A$5:$A$1005&lt;&gt;"")*(MOVIMIENTOS!$A$5:$A$1005&lt;=$A126)*MOVIMIENTOS!$E$5:$E$1005)+SUMPRODUCT((MOVIMIENTOS!$B$5:$B$1005="DEVOLUCIÓN")*(MOVIMIENTOS!$C$5:$C$1005="A")*(MOVIMIENTOS!$D$5:$D$1005="jabas")*(MOVIMIENTOS!$A$5:$A$1005&lt;&gt;"")*(MOVIMIENTOS!$A$5:$A$1005&lt;=$A126)*MOVIMIENTOS!$E$5:$E$1005)-SUMPRODUCT((MOVIMIENTOS!$B$5:$B$1005="TRASIEGO")*(MOVIMIENTOS!$C$5:$C$1005="A")*(MOVIMIENTOS!$D$5:$D$1005="jabas")*(MOVIMIENTOS!$A$5:$A$1005&lt;&gt;"")*(MOVIMIENTOS!$A$5:$A$1005&lt;=$A126)*MOVIMIENTOS!$E$5:$E$1005)-SUMPRODUCT((MOVIMIENTOS!$B$5:$B$1005="REGALO")*(MOVIMIENTOS!$C$5:$C$1005="A")*(MOVIMIENTOS!$D$5:$D$1005="jabas")*(MOVIMIENTOS!$A$5:$A$1005&lt;&gt;"")*(MOVIMIENTOS!$A$5:$A$1005&lt;=$A126)*MOVIMIENTOS!$E$5:$E$1005)-SUMPRODUCT((MOVIMIENTOS!$B$5:$B$1005="VENTA")*(MOVIMIENTOS!$C$5:$C$1005="A")*(MOVIMIENTOS!$D$5:$D$1005="jabas")*(MOVIMIENTOS!$A$5:$A$1005&lt;&gt;"")*(MOVIMIENTOS!$A$5:$A$1005&lt;=$A126)*MOVIMIENTOS!$E$5:$E$1005)+SUMPRODUCT((MOVIMIENTOS!$B$5:$B$1005="AJUSTE")*(MOVIMIENTOS!$C$5:$C$1005="A")*(MOVIMIENTOS!$D$5:$D$1005="jabas")*(MOVIMIENTOS!$A$5:$A$1005&lt;&gt;"")*(MOVIMIENTOS!$A$5:$A$1005&lt;=$A126)*MOVIMIENTOS!$E$5:$E$1005))</f>
        <v/>
      </c>
      <c r="C126" s="63" t="str">
        <f>IF($A126="","",SUMPRODUCT((MOVIMIENTOS!$B$5:$B$1005="SALDO INICIAL")*(MOVIMIENTOS!$C$5:$C$1005="P")*(MOVIMIENTOS!$D$5:$D$1005="jabas")*(MOVIMIENTOS!$A$5:$A$1005&lt;&gt;"")*(MOVIMIENTOS!$A$5:$A$1005&lt;=$A126)*MOVIMIENTOS!$E$5:$E$1005)+SUMPRODUCT((MOVIMIENTOS!$B$5:$B$1005="PROCESO")*(MOVIMIENTOS!$C$5:$C$1005="P")*(MOVIMIENTOS!$D$5:$D$1005="jabas")*(MOVIMIENTOS!$A$5:$A$1005&lt;&gt;"")*(MOVIMIENTOS!$A$5:$A$1005&lt;=$A126)*MOVIMIENTOS!$E$5:$E$1005)-SUMPRODUCT((MOVIMIENTOS!$B$5:$B$1005="ENVÍO A SUPESA")*(MOVIMIENTOS!$C$5:$C$1005="P")*(MOVIMIENTOS!$D$5:$D$1005="jabas")*(MOVIMIENTOS!$A$5:$A$1005&lt;&gt;"")*(MOVIMIENTOS!$A$5:$A$1005&lt;=$A126)*MOVIMIENTOS!$E$5:$E$1005)+SUMPRODUCT((MOVIMIENTOS!$B$5:$B$1005="DEVOLUCIÓN")*(MOVIMIENTOS!$C$5:$C$1005="P")*(MOVIMIENTOS!$D$5:$D$1005="jabas")*(MOVIMIENTOS!$A$5:$A$1005&lt;&gt;"")*(MOVIMIENTOS!$A$5:$A$1005&lt;=$A126)*MOVIMIENTOS!$E$5:$E$1005)-SUMPRODUCT((MOVIMIENTOS!$B$5:$B$1005="TRASIEGO")*(MOVIMIENTOS!$C$5:$C$1005="P")*(MOVIMIENTOS!$D$5:$D$1005="jabas")*(MOVIMIENTOS!$A$5:$A$1005&lt;&gt;"")*(MOVIMIENTOS!$A$5:$A$1005&lt;=$A126)*MOVIMIENTOS!$E$5:$E$1005)-SUMPRODUCT((MOVIMIENTOS!$B$5:$B$1005="REGALO")*(MOVIMIENTOS!$C$5:$C$1005="P")*(MOVIMIENTOS!$D$5:$D$1005="jabas")*(MOVIMIENTOS!$A$5:$A$1005&lt;&gt;"")*(MOVIMIENTOS!$A$5:$A$1005&lt;=$A126)*MOVIMIENTOS!$E$5:$E$1005)-SUMPRODUCT((MOVIMIENTOS!$B$5:$B$1005="VENTA")*(MOVIMIENTOS!$C$5:$C$1005="P")*(MOVIMIENTOS!$D$5:$D$1005="jabas")*(MOVIMIENTOS!$A$5:$A$1005&lt;&gt;"")*(MOVIMIENTOS!$A$5:$A$1005&lt;=$A126)*MOVIMIENTOS!$E$5:$E$1005)+SUMPRODUCT((MOVIMIENTOS!$B$5:$B$1005="AJUSTE")*(MOVIMIENTOS!$C$5:$C$1005="P")*(MOVIMIENTOS!$D$5:$D$1005="jabas")*(MOVIMIENTOS!$A$5:$A$1005&lt;&gt;"")*(MOVIMIENTOS!$A$5:$A$1005&lt;=$A126)*MOVIMIENTOS!$E$5:$E$1005))</f>
        <v/>
      </c>
      <c r="D126" s="63" t="str">
        <f>IF($A126="","",SUMPRODUCT((MOVIMIENTOS!$B$5:$B$1005="SALDO INICIAL")*(MOVIMIENTOS!$C$5:$C$1005="C")*(MOVIMIENTOS!$D$5:$D$1005="jabas")*(MOVIMIENTOS!$A$5:$A$1005&lt;&gt;"")*(MOVIMIENTOS!$A$5:$A$1005&lt;=$A126)*MOVIMIENTOS!$E$5:$E$1005)+SUMPRODUCT((MOVIMIENTOS!$B$5:$B$1005="PROCESO")*(MOVIMIENTOS!$C$5:$C$1005="C")*(MOVIMIENTOS!$D$5:$D$1005="jabas")*(MOVIMIENTOS!$A$5:$A$1005&lt;&gt;"")*(MOVIMIENTOS!$A$5:$A$1005&lt;=$A126)*MOVIMIENTOS!$E$5:$E$1005)-SUMPRODUCT((MOVIMIENTOS!$B$5:$B$1005="ENVÍO A SUPESA")*(MOVIMIENTOS!$C$5:$C$1005="C")*(MOVIMIENTOS!$D$5:$D$1005="jabas")*(MOVIMIENTOS!$A$5:$A$1005&lt;&gt;"")*(MOVIMIENTOS!$A$5:$A$1005&lt;=$A126)*MOVIMIENTOS!$E$5:$E$1005)+SUMPRODUCT((MOVIMIENTOS!$B$5:$B$1005="DEVOLUCIÓN")*(MOVIMIENTOS!$C$5:$C$1005="C")*(MOVIMIENTOS!$D$5:$D$1005="jabas")*(MOVIMIENTOS!$A$5:$A$1005&lt;&gt;"")*(MOVIMIENTOS!$A$5:$A$1005&lt;=$A126)*MOVIMIENTOS!$E$5:$E$1005)-SUMPRODUCT((MOVIMIENTOS!$B$5:$B$1005="TRASIEGO")*(MOVIMIENTOS!$C$5:$C$1005="C")*(MOVIMIENTOS!$D$5:$D$1005="jabas")*(MOVIMIENTOS!$A$5:$A$1005&lt;&gt;"")*(MOVIMIENTOS!$A$5:$A$1005&lt;=$A126)*MOVIMIENTOS!$E$5:$E$1005)-SUMPRODUCT((MOVIMIENTOS!$B$5:$B$1005="REGALO")*(MOVIMIENTOS!$C$5:$C$1005="C")*(MOVIMIENTOS!$D$5:$D$1005="jabas")*(MOVIMIENTOS!$A$5:$A$1005&lt;&gt;"")*(MOVIMIENTOS!$A$5:$A$1005&lt;=$A126)*MOVIMIENTOS!$E$5:$E$1005)-SUMPRODUCT((MOVIMIENTOS!$B$5:$B$1005="VENTA")*(MOVIMIENTOS!$C$5:$C$1005="C")*(MOVIMIENTOS!$D$5:$D$1005="jabas")*(MOVIMIENTOS!$A$5:$A$1005&lt;&gt;"")*(MOVIMIENTOS!$A$5:$A$1005&lt;=$A126)*MOVIMIENTOS!$E$5:$E$1005)+SUMPRODUCT((MOVIMIENTOS!$B$5:$B$1005="AJUSTE")*(MOVIMIENTOS!$C$5:$C$1005="C")*(MOVIMIENTOS!$D$5:$D$1005="jabas")*(MOVIMIENTOS!$A$5:$A$1005&lt;&gt;"")*(MOVIMIENTOS!$A$5:$A$1005&lt;=$A126)*MOVIMIENTOS!$E$5:$E$1005))</f>
        <v/>
      </c>
      <c r="E126" s="63" t="str">
        <f>IF($A126="","",SUMPRODUCT((MOVIMIENTOS!$B$5:$B$1005="SALDO INICIAL")*(MOVIMIENTOS!$C$5:$C$1005="M")*(MOVIMIENTOS!$D$5:$D$1005="jabas")*(MOVIMIENTOS!$A$5:$A$1005&lt;&gt;"")*(MOVIMIENTOS!$A$5:$A$1005&lt;=$A126)*MOVIMIENTOS!$E$5:$E$1005)+SUMPRODUCT((MOVIMIENTOS!$B$5:$B$1005="PROCESO")*(MOVIMIENTOS!$C$5:$C$1005="M")*(MOVIMIENTOS!$D$5:$D$1005="jabas")*(MOVIMIENTOS!$A$5:$A$1005&lt;&gt;"")*(MOVIMIENTOS!$A$5:$A$1005&lt;=$A126)*MOVIMIENTOS!$E$5:$E$1005)-SUMPRODUCT((MOVIMIENTOS!$B$5:$B$1005="ENVÍO A SUPESA")*(MOVIMIENTOS!$C$5:$C$1005="M")*(MOVIMIENTOS!$D$5:$D$1005="jabas")*(MOVIMIENTOS!$A$5:$A$1005&lt;&gt;"")*(MOVIMIENTOS!$A$5:$A$1005&lt;=$A126)*MOVIMIENTOS!$E$5:$E$1005)+SUMPRODUCT((MOVIMIENTOS!$B$5:$B$1005="DEVOLUCIÓN")*(MOVIMIENTOS!$C$5:$C$1005="M")*(MOVIMIENTOS!$D$5:$D$1005="jabas")*(MOVIMIENTOS!$A$5:$A$1005&lt;&gt;"")*(MOVIMIENTOS!$A$5:$A$1005&lt;=$A126)*MOVIMIENTOS!$E$5:$E$1005)-SUMPRODUCT((MOVIMIENTOS!$B$5:$B$1005="TRASIEGO")*(MOVIMIENTOS!$C$5:$C$1005="M")*(MOVIMIENTOS!$D$5:$D$1005="jabas")*(MOVIMIENTOS!$A$5:$A$1005&lt;&gt;"")*(MOVIMIENTOS!$A$5:$A$1005&lt;=$A126)*MOVIMIENTOS!$E$5:$E$1005)-SUMPRODUCT((MOVIMIENTOS!$B$5:$B$1005="REGALO")*(MOVIMIENTOS!$C$5:$C$1005="M")*(MOVIMIENTOS!$D$5:$D$1005="jabas")*(MOVIMIENTOS!$A$5:$A$1005&lt;&gt;"")*(MOVIMIENTOS!$A$5:$A$1005&lt;=$A126)*MOVIMIENTOS!$E$5:$E$1005)-SUMPRODUCT((MOVIMIENTOS!$B$5:$B$1005="VENTA")*(MOVIMIENTOS!$C$5:$C$1005="M")*(MOVIMIENTOS!$D$5:$D$1005="jabas")*(MOVIMIENTOS!$A$5:$A$1005&lt;&gt;"")*(MOVIMIENTOS!$A$5:$A$1005&lt;=$A126)*MOVIMIENTOS!$E$5:$E$1005)+SUMPRODUCT((MOVIMIENTOS!$B$5:$B$1005="AJUSTE")*(MOVIMIENTOS!$C$5:$C$1005="M")*(MOVIMIENTOS!$D$5:$D$1005="jabas")*(MOVIMIENTOS!$A$5:$A$1005&lt;&gt;"")*(MOVIMIENTOS!$A$5:$A$1005&lt;=$A126)*MOVIMIENTOS!$E$5:$E$1005))</f>
        <v/>
      </c>
      <c r="F126" s="63" t="str">
        <f>IF($A126="","",SUMPRODUCT((MOVIMIENTOS!$B$5:$B$1005="SALDO INICIAL")*(MOVIMIENTOS!$C$5:$C$1005="Chancho")*(MOVIMIENTOS!$D$5:$D$1005="sacos")*(MOVIMIENTOS!$A$5:$A$1005&lt;&gt;"")*(MOVIMIENTOS!$A$5:$A$1005&lt;=$A126)*MOVIMIENTOS!$E$5:$E$1005)+SUMPRODUCT((MOVIMIENTOS!$B$5:$B$1005="PROCESO")*(MOVIMIENTOS!$C$5:$C$1005="Chancho")*(MOVIMIENTOS!$D$5:$D$1005="sacos")*(MOVIMIENTOS!$A$5:$A$1005&lt;&gt;"")*(MOVIMIENTOS!$A$5:$A$1005&lt;=$A126)*MOVIMIENTOS!$E$5:$E$1005)-SUMPRODUCT((MOVIMIENTOS!$B$5:$B$1005="VENTA CHANCHO")*(MOVIMIENTOS!$C$5:$C$1005="Chancho")*(MOVIMIENTOS!$D$5:$D$1005="sacos")*(MOVIMIENTOS!$A$5:$A$1005&lt;&gt;"")*(MOVIMIENTOS!$A$5:$A$1005&lt;=$A126)*MOVIMIENTOS!$E$5:$E$1005)-SUMPRODUCT((MOVIMIENTOS!$B$5:$B$1005="REGALO")*(MOVIMIENTOS!$C$5:$C$1005="Chancho")*(MOVIMIENTOS!$D$5:$D$1005="sacos")*(MOVIMIENTOS!$A$5:$A$1005&lt;&gt;"")*(MOVIMIENTOS!$A$5:$A$1005&lt;=$A126)*MOVIMIENTOS!$E$5:$E$1005)-SUMPRODUCT((MOVIMIENTOS!$B$5:$B$1005="VENTA")*(MOVIMIENTOS!$C$5:$C$1005="Chancho")*(MOVIMIENTOS!$D$5:$D$1005="sacos")*(MOVIMIENTOS!$A$5:$A$1005&lt;&gt;"")*(MOVIMIENTOS!$A$5:$A$1005&lt;=$A126)*MOVIMIENTOS!$E$5:$E$1005)+SUMPRODUCT((MOVIMIENTOS!$B$5:$B$1005="AJUSTE")*(MOVIMIENTOS!$C$5:$C$1005="Chancho")*(MOVIMIENTOS!$D$5:$D$1005="sacos")*(MOVIMIENTOS!$A$5:$A$1005&lt;&gt;"")*(MOVIMIENTOS!$A$5:$A$1005&lt;=$A126)*MOVIMIENTOS!$E$5:$E$1005))</f>
        <v/>
      </c>
      <c r="G126" s="95" t="str">
        <f t="shared" si="3"/>
        <v/>
      </c>
      <c r="H126" s="63" t="str">
        <f>IF($A126="","",SUMPRODUCT((((MOVIMIENTOS!$B$5:$B$1005="SALDO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126)*MOVIMIENTOS!$J$5:$J$1005))</f>
        <v/>
      </c>
      <c r="I126" s="63"/>
      <c r="J126" s="63" t="str">
        <f>IF(AND(MOVIMIENTOS!$A126&lt;&gt;"",COUNTIF(MOVIMIENTOS!$A$5:$A125,MOVIMIENTOS!$A126)=0),COUNT(J$4:J125)+1,"")</f>
        <v/>
      </c>
      <c r="K126" s="66">
        <f>MOVIMIENTOS!$A126</f>
        <v>46224</v>
      </c>
      <c r="L126" s="63"/>
      <c r="M126" s="63"/>
      <c r="N126" s="63"/>
    </row>
    <row r="127" spans="1:14" ht="15" customHeight="1" x14ac:dyDescent="0.2">
      <c r="A127" s="63" t="str">
        <f t="shared" si="2"/>
        <v/>
      </c>
      <c r="B127" s="63" t="str">
        <f>IF($A127="","",SUMPRODUCT((MOVIMIENTOS!$B$5:$B$1005="SALDO INICIAL")*(MOVIMIENTOS!$C$5:$C$1005="A")*(MOVIMIENTOS!$D$5:$D$1005="jabas")*(MOVIMIENTOS!$A$5:$A$1005&lt;&gt;"")*(MOVIMIENTOS!$A$5:$A$1005&lt;=$A127)*MOVIMIENTOS!$E$5:$E$1005)+SUMPRODUCT((MOVIMIENTOS!$B$5:$B$1005="PROCESO")*(MOVIMIENTOS!$C$5:$C$1005="A")*(MOVIMIENTOS!$D$5:$D$1005="jabas")*(MOVIMIENTOS!$A$5:$A$1005&lt;&gt;"")*(MOVIMIENTOS!$A$5:$A$1005&lt;=$A127)*MOVIMIENTOS!$E$5:$E$1005)-SUMPRODUCT((MOVIMIENTOS!$B$5:$B$1005="ENVÍO A SUPESA")*(MOVIMIENTOS!$C$5:$C$1005="A")*(MOVIMIENTOS!$D$5:$D$1005="jabas")*(MOVIMIENTOS!$A$5:$A$1005&lt;&gt;"")*(MOVIMIENTOS!$A$5:$A$1005&lt;=$A127)*MOVIMIENTOS!$E$5:$E$1005)+SUMPRODUCT((MOVIMIENTOS!$B$5:$B$1005="DEVOLUCIÓN")*(MOVIMIENTOS!$C$5:$C$1005="A")*(MOVIMIENTOS!$D$5:$D$1005="jabas")*(MOVIMIENTOS!$A$5:$A$1005&lt;&gt;"")*(MOVIMIENTOS!$A$5:$A$1005&lt;=$A127)*MOVIMIENTOS!$E$5:$E$1005)-SUMPRODUCT((MOVIMIENTOS!$B$5:$B$1005="TRASIEGO")*(MOVIMIENTOS!$C$5:$C$1005="A")*(MOVIMIENTOS!$D$5:$D$1005="jabas")*(MOVIMIENTOS!$A$5:$A$1005&lt;&gt;"")*(MOVIMIENTOS!$A$5:$A$1005&lt;=$A127)*MOVIMIENTOS!$E$5:$E$1005)-SUMPRODUCT((MOVIMIENTOS!$B$5:$B$1005="REGALO")*(MOVIMIENTOS!$C$5:$C$1005="A")*(MOVIMIENTOS!$D$5:$D$1005="jabas")*(MOVIMIENTOS!$A$5:$A$1005&lt;&gt;"")*(MOVIMIENTOS!$A$5:$A$1005&lt;=$A127)*MOVIMIENTOS!$E$5:$E$1005)-SUMPRODUCT((MOVIMIENTOS!$B$5:$B$1005="VENTA")*(MOVIMIENTOS!$C$5:$C$1005="A")*(MOVIMIENTOS!$D$5:$D$1005="jabas")*(MOVIMIENTOS!$A$5:$A$1005&lt;&gt;"")*(MOVIMIENTOS!$A$5:$A$1005&lt;=$A127)*MOVIMIENTOS!$E$5:$E$1005)+SUMPRODUCT((MOVIMIENTOS!$B$5:$B$1005="AJUSTE")*(MOVIMIENTOS!$C$5:$C$1005="A")*(MOVIMIENTOS!$D$5:$D$1005="jabas")*(MOVIMIENTOS!$A$5:$A$1005&lt;&gt;"")*(MOVIMIENTOS!$A$5:$A$1005&lt;=$A127)*MOVIMIENTOS!$E$5:$E$1005))</f>
        <v/>
      </c>
      <c r="C127" s="63" t="str">
        <f>IF($A127="","",SUMPRODUCT((MOVIMIENTOS!$B$5:$B$1005="SALDO INICIAL")*(MOVIMIENTOS!$C$5:$C$1005="P")*(MOVIMIENTOS!$D$5:$D$1005="jabas")*(MOVIMIENTOS!$A$5:$A$1005&lt;&gt;"")*(MOVIMIENTOS!$A$5:$A$1005&lt;=$A127)*MOVIMIENTOS!$E$5:$E$1005)+SUMPRODUCT((MOVIMIENTOS!$B$5:$B$1005="PROCESO")*(MOVIMIENTOS!$C$5:$C$1005="P")*(MOVIMIENTOS!$D$5:$D$1005="jabas")*(MOVIMIENTOS!$A$5:$A$1005&lt;&gt;"")*(MOVIMIENTOS!$A$5:$A$1005&lt;=$A127)*MOVIMIENTOS!$E$5:$E$1005)-SUMPRODUCT((MOVIMIENTOS!$B$5:$B$1005="ENVÍO A SUPESA")*(MOVIMIENTOS!$C$5:$C$1005="P")*(MOVIMIENTOS!$D$5:$D$1005="jabas")*(MOVIMIENTOS!$A$5:$A$1005&lt;&gt;"")*(MOVIMIENTOS!$A$5:$A$1005&lt;=$A127)*MOVIMIENTOS!$E$5:$E$1005)+SUMPRODUCT((MOVIMIENTOS!$B$5:$B$1005="DEVOLUCIÓN")*(MOVIMIENTOS!$C$5:$C$1005="P")*(MOVIMIENTOS!$D$5:$D$1005="jabas")*(MOVIMIENTOS!$A$5:$A$1005&lt;&gt;"")*(MOVIMIENTOS!$A$5:$A$1005&lt;=$A127)*MOVIMIENTOS!$E$5:$E$1005)-SUMPRODUCT((MOVIMIENTOS!$B$5:$B$1005="TRASIEGO")*(MOVIMIENTOS!$C$5:$C$1005="P")*(MOVIMIENTOS!$D$5:$D$1005="jabas")*(MOVIMIENTOS!$A$5:$A$1005&lt;&gt;"")*(MOVIMIENTOS!$A$5:$A$1005&lt;=$A127)*MOVIMIENTOS!$E$5:$E$1005)-SUMPRODUCT((MOVIMIENTOS!$B$5:$B$1005="REGALO")*(MOVIMIENTOS!$C$5:$C$1005="P")*(MOVIMIENTOS!$D$5:$D$1005="jabas")*(MOVIMIENTOS!$A$5:$A$1005&lt;&gt;"")*(MOVIMIENTOS!$A$5:$A$1005&lt;=$A127)*MOVIMIENTOS!$E$5:$E$1005)-SUMPRODUCT((MOVIMIENTOS!$B$5:$B$1005="VENTA")*(MOVIMIENTOS!$C$5:$C$1005="P")*(MOVIMIENTOS!$D$5:$D$1005="jabas")*(MOVIMIENTOS!$A$5:$A$1005&lt;&gt;"")*(MOVIMIENTOS!$A$5:$A$1005&lt;=$A127)*MOVIMIENTOS!$E$5:$E$1005)+SUMPRODUCT((MOVIMIENTOS!$B$5:$B$1005="AJUSTE")*(MOVIMIENTOS!$C$5:$C$1005="P")*(MOVIMIENTOS!$D$5:$D$1005="jabas")*(MOVIMIENTOS!$A$5:$A$1005&lt;&gt;"")*(MOVIMIENTOS!$A$5:$A$1005&lt;=$A127)*MOVIMIENTOS!$E$5:$E$1005))</f>
        <v/>
      </c>
      <c r="D127" s="63" t="str">
        <f>IF($A127="","",SUMPRODUCT((MOVIMIENTOS!$B$5:$B$1005="SALDO INICIAL")*(MOVIMIENTOS!$C$5:$C$1005="C")*(MOVIMIENTOS!$D$5:$D$1005="jabas")*(MOVIMIENTOS!$A$5:$A$1005&lt;&gt;"")*(MOVIMIENTOS!$A$5:$A$1005&lt;=$A127)*MOVIMIENTOS!$E$5:$E$1005)+SUMPRODUCT((MOVIMIENTOS!$B$5:$B$1005="PROCESO")*(MOVIMIENTOS!$C$5:$C$1005="C")*(MOVIMIENTOS!$D$5:$D$1005="jabas")*(MOVIMIENTOS!$A$5:$A$1005&lt;&gt;"")*(MOVIMIENTOS!$A$5:$A$1005&lt;=$A127)*MOVIMIENTOS!$E$5:$E$1005)-SUMPRODUCT((MOVIMIENTOS!$B$5:$B$1005="ENVÍO A SUPESA")*(MOVIMIENTOS!$C$5:$C$1005="C")*(MOVIMIENTOS!$D$5:$D$1005="jabas")*(MOVIMIENTOS!$A$5:$A$1005&lt;&gt;"")*(MOVIMIENTOS!$A$5:$A$1005&lt;=$A127)*MOVIMIENTOS!$E$5:$E$1005)+SUMPRODUCT((MOVIMIENTOS!$B$5:$B$1005="DEVOLUCIÓN")*(MOVIMIENTOS!$C$5:$C$1005="C")*(MOVIMIENTOS!$D$5:$D$1005="jabas")*(MOVIMIENTOS!$A$5:$A$1005&lt;&gt;"")*(MOVIMIENTOS!$A$5:$A$1005&lt;=$A127)*MOVIMIENTOS!$E$5:$E$1005)-SUMPRODUCT((MOVIMIENTOS!$B$5:$B$1005="TRASIEGO")*(MOVIMIENTOS!$C$5:$C$1005="C")*(MOVIMIENTOS!$D$5:$D$1005="jabas")*(MOVIMIENTOS!$A$5:$A$1005&lt;&gt;"")*(MOVIMIENTOS!$A$5:$A$1005&lt;=$A127)*MOVIMIENTOS!$E$5:$E$1005)-SUMPRODUCT((MOVIMIENTOS!$B$5:$B$1005="REGALO")*(MOVIMIENTOS!$C$5:$C$1005="C")*(MOVIMIENTOS!$D$5:$D$1005="jabas")*(MOVIMIENTOS!$A$5:$A$1005&lt;&gt;"")*(MOVIMIENTOS!$A$5:$A$1005&lt;=$A127)*MOVIMIENTOS!$E$5:$E$1005)-SUMPRODUCT((MOVIMIENTOS!$B$5:$B$1005="VENTA")*(MOVIMIENTOS!$C$5:$C$1005="C")*(MOVIMIENTOS!$D$5:$D$1005="jabas")*(MOVIMIENTOS!$A$5:$A$1005&lt;&gt;"")*(MOVIMIENTOS!$A$5:$A$1005&lt;=$A127)*MOVIMIENTOS!$E$5:$E$1005)+SUMPRODUCT((MOVIMIENTOS!$B$5:$B$1005="AJUSTE")*(MOVIMIENTOS!$C$5:$C$1005="C")*(MOVIMIENTOS!$D$5:$D$1005="jabas")*(MOVIMIENTOS!$A$5:$A$1005&lt;&gt;"")*(MOVIMIENTOS!$A$5:$A$1005&lt;=$A127)*MOVIMIENTOS!$E$5:$E$1005))</f>
        <v/>
      </c>
      <c r="E127" s="63" t="str">
        <f>IF($A127="","",SUMPRODUCT((MOVIMIENTOS!$B$5:$B$1005="SALDO INICIAL")*(MOVIMIENTOS!$C$5:$C$1005="M")*(MOVIMIENTOS!$D$5:$D$1005="jabas")*(MOVIMIENTOS!$A$5:$A$1005&lt;&gt;"")*(MOVIMIENTOS!$A$5:$A$1005&lt;=$A127)*MOVIMIENTOS!$E$5:$E$1005)+SUMPRODUCT((MOVIMIENTOS!$B$5:$B$1005="PROCESO")*(MOVIMIENTOS!$C$5:$C$1005="M")*(MOVIMIENTOS!$D$5:$D$1005="jabas")*(MOVIMIENTOS!$A$5:$A$1005&lt;&gt;"")*(MOVIMIENTOS!$A$5:$A$1005&lt;=$A127)*MOVIMIENTOS!$E$5:$E$1005)-SUMPRODUCT((MOVIMIENTOS!$B$5:$B$1005="ENVÍO A SUPESA")*(MOVIMIENTOS!$C$5:$C$1005="M")*(MOVIMIENTOS!$D$5:$D$1005="jabas")*(MOVIMIENTOS!$A$5:$A$1005&lt;&gt;"")*(MOVIMIENTOS!$A$5:$A$1005&lt;=$A127)*MOVIMIENTOS!$E$5:$E$1005)+SUMPRODUCT((MOVIMIENTOS!$B$5:$B$1005="DEVOLUCIÓN")*(MOVIMIENTOS!$C$5:$C$1005="M")*(MOVIMIENTOS!$D$5:$D$1005="jabas")*(MOVIMIENTOS!$A$5:$A$1005&lt;&gt;"")*(MOVIMIENTOS!$A$5:$A$1005&lt;=$A127)*MOVIMIENTOS!$E$5:$E$1005)-SUMPRODUCT((MOVIMIENTOS!$B$5:$B$1005="TRASIEGO")*(MOVIMIENTOS!$C$5:$C$1005="M")*(MOVIMIENTOS!$D$5:$D$1005="jabas")*(MOVIMIENTOS!$A$5:$A$1005&lt;&gt;"")*(MOVIMIENTOS!$A$5:$A$1005&lt;=$A127)*MOVIMIENTOS!$E$5:$E$1005)-SUMPRODUCT((MOVIMIENTOS!$B$5:$B$1005="REGALO")*(MOVIMIENTOS!$C$5:$C$1005="M")*(MOVIMIENTOS!$D$5:$D$1005="jabas")*(MOVIMIENTOS!$A$5:$A$1005&lt;&gt;"")*(MOVIMIENTOS!$A$5:$A$1005&lt;=$A127)*MOVIMIENTOS!$E$5:$E$1005)-SUMPRODUCT((MOVIMIENTOS!$B$5:$B$1005="VENTA")*(MOVIMIENTOS!$C$5:$C$1005="M")*(MOVIMIENTOS!$D$5:$D$1005="jabas")*(MOVIMIENTOS!$A$5:$A$1005&lt;&gt;"")*(MOVIMIENTOS!$A$5:$A$1005&lt;=$A127)*MOVIMIENTOS!$E$5:$E$1005)+SUMPRODUCT((MOVIMIENTOS!$B$5:$B$1005="AJUSTE")*(MOVIMIENTOS!$C$5:$C$1005="M")*(MOVIMIENTOS!$D$5:$D$1005="jabas")*(MOVIMIENTOS!$A$5:$A$1005&lt;&gt;"")*(MOVIMIENTOS!$A$5:$A$1005&lt;=$A127)*MOVIMIENTOS!$E$5:$E$1005))</f>
        <v/>
      </c>
      <c r="F127" s="63" t="str">
        <f>IF($A127="","",SUMPRODUCT((MOVIMIENTOS!$B$5:$B$1005="SALDO INICIAL")*(MOVIMIENTOS!$C$5:$C$1005="Chancho")*(MOVIMIENTOS!$D$5:$D$1005="sacos")*(MOVIMIENTOS!$A$5:$A$1005&lt;&gt;"")*(MOVIMIENTOS!$A$5:$A$1005&lt;=$A127)*MOVIMIENTOS!$E$5:$E$1005)+SUMPRODUCT((MOVIMIENTOS!$B$5:$B$1005="PROCESO")*(MOVIMIENTOS!$C$5:$C$1005="Chancho")*(MOVIMIENTOS!$D$5:$D$1005="sacos")*(MOVIMIENTOS!$A$5:$A$1005&lt;&gt;"")*(MOVIMIENTOS!$A$5:$A$1005&lt;=$A127)*MOVIMIENTOS!$E$5:$E$1005)-SUMPRODUCT((MOVIMIENTOS!$B$5:$B$1005="VENTA CHANCHO")*(MOVIMIENTOS!$C$5:$C$1005="Chancho")*(MOVIMIENTOS!$D$5:$D$1005="sacos")*(MOVIMIENTOS!$A$5:$A$1005&lt;&gt;"")*(MOVIMIENTOS!$A$5:$A$1005&lt;=$A127)*MOVIMIENTOS!$E$5:$E$1005)-SUMPRODUCT((MOVIMIENTOS!$B$5:$B$1005="REGALO")*(MOVIMIENTOS!$C$5:$C$1005="Chancho")*(MOVIMIENTOS!$D$5:$D$1005="sacos")*(MOVIMIENTOS!$A$5:$A$1005&lt;&gt;"")*(MOVIMIENTOS!$A$5:$A$1005&lt;=$A127)*MOVIMIENTOS!$E$5:$E$1005)-SUMPRODUCT((MOVIMIENTOS!$B$5:$B$1005="VENTA")*(MOVIMIENTOS!$C$5:$C$1005="Chancho")*(MOVIMIENTOS!$D$5:$D$1005="sacos")*(MOVIMIENTOS!$A$5:$A$1005&lt;&gt;"")*(MOVIMIENTOS!$A$5:$A$1005&lt;=$A127)*MOVIMIENTOS!$E$5:$E$1005)+SUMPRODUCT((MOVIMIENTOS!$B$5:$B$1005="AJUSTE")*(MOVIMIENTOS!$C$5:$C$1005="Chancho")*(MOVIMIENTOS!$D$5:$D$1005="sacos")*(MOVIMIENTOS!$A$5:$A$1005&lt;&gt;"")*(MOVIMIENTOS!$A$5:$A$1005&lt;=$A127)*MOVIMIENTOS!$E$5:$E$1005))</f>
        <v/>
      </c>
      <c r="G127" s="95" t="str">
        <f t="shared" si="3"/>
        <v/>
      </c>
      <c r="H127" s="63" t="str">
        <f>IF($A127="","",SUMPRODUCT((((MOVIMIENTOS!$B$5:$B$1005="SALDO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127)*MOVIMIENTOS!$J$5:$J$1005))</f>
        <v/>
      </c>
      <c r="I127" s="63"/>
      <c r="J127" s="63">
        <f>IF(AND(MOVIMIENTOS!$A127&lt;&gt;"",COUNTIF(MOVIMIENTOS!$A$5:$A126,MOVIMIENTOS!$A127)=0),COUNT(J$4:J126)+1,"")</f>
        <v>13</v>
      </c>
      <c r="K127" s="66">
        <f>MOVIMIENTOS!$A127</f>
        <v>46225</v>
      </c>
      <c r="L127" s="63"/>
      <c r="M127" s="63"/>
      <c r="N127" s="63"/>
    </row>
    <row r="128" spans="1:14" ht="15" customHeight="1" x14ac:dyDescent="0.2">
      <c r="A128" s="63" t="str">
        <f t="shared" si="2"/>
        <v/>
      </c>
      <c r="B128" s="63" t="str">
        <f>IF($A128="","",SUMPRODUCT((MOVIMIENTOS!$B$5:$B$1005="SALDO INICIAL")*(MOVIMIENTOS!$C$5:$C$1005="A")*(MOVIMIENTOS!$D$5:$D$1005="jabas")*(MOVIMIENTOS!$A$5:$A$1005&lt;&gt;"")*(MOVIMIENTOS!$A$5:$A$1005&lt;=$A128)*MOVIMIENTOS!$E$5:$E$1005)+SUMPRODUCT((MOVIMIENTOS!$B$5:$B$1005="PROCESO")*(MOVIMIENTOS!$C$5:$C$1005="A")*(MOVIMIENTOS!$D$5:$D$1005="jabas")*(MOVIMIENTOS!$A$5:$A$1005&lt;&gt;"")*(MOVIMIENTOS!$A$5:$A$1005&lt;=$A128)*MOVIMIENTOS!$E$5:$E$1005)-SUMPRODUCT((MOVIMIENTOS!$B$5:$B$1005="ENVÍO A SUPESA")*(MOVIMIENTOS!$C$5:$C$1005="A")*(MOVIMIENTOS!$D$5:$D$1005="jabas")*(MOVIMIENTOS!$A$5:$A$1005&lt;&gt;"")*(MOVIMIENTOS!$A$5:$A$1005&lt;=$A128)*MOVIMIENTOS!$E$5:$E$1005)+SUMPRODUCT((MOVIMIENTOS!$B$5:$B$1005="DEVOLUCIÓN")*(MOVIMIENTOS!$C$5:$C$1005="A")*(MOVIMIENTOS!$D$5:$D$1005="jabas")*(MOVIMIENTOS!$A$5:$A$1005&lt;&gt;"")*(MOVIMIENTOS!$A$5:$A$1005&lt;=$A128)*MOVIMIENTOS!$E$5:$E$1005)-SUMPRODUCT((MOVIMIENTOS!$B$5:$B$1005="TRASIEGO")*(MOVIMIENTOS!$C$5:$C$1005="A")*(MOVIMIENTOS!$D$5:$D$1005="jabas")*(MOVIMIENTOS!$A$5:$A$1005&lt;&gt;"")*(MOVIMIENTOS!$A$5:$A$1005&lt;=$A128)*MOVIMIENTOS!$E$5:$E$1005)-SUMPRODUCT((MOVIMIENTOS!$B$5:$B$1005="REGALO")*(MOVIMIENTOS!$C$5:$C$1005="A")*(MOVIMIENTOS!$D$5:$D$1005="jabas")*(MOVIMIENTOS!$A$5:$A$1005&lt;&gt;"")*(MOVIMIENTOS!$A$5:$A$1005&lt;=$A128)*MOVIMIENTOS!$E$5:$E$1005)-SUMPRODUCT((MOVIMIENTOS!$B$5:$B$1005="VENTA")*(MOVIMIENTOS!$C$5:$C$1005="A")*(MOVIMIENTOS!$D$5:$D$1005="jabas")*(MOVIMIENTOS!$A$5:$A$1005&lt;&gt;"")*(MOVIMIENTOS!$A$5:$A$1005&lt;=$A128)*MOVIMIENTOS!$E$5:$E$1005)+SUMPRODUCT((MOVIMIENTOS!$B$5:$B$1005="AJUSTE")*(MOVIMIENTOS!$C$5:$C$1005="A")*(MOVIMIENTOS!$D$5:$D$1005="jabas")*(MOVIMIENTOS!$A$5:$A$1005&lt;&gt;"")*(MOVIMIENTOS!$A$5:$A$1005&lt;=$A128)*MOVIMIENTOS!$E$5:$E$1005))</f>
        <v/>
      </c>
      <c r="C128" s="63" t="str">
        <f>IF($A128="","",SUMPRODUCT((MOVIMIENTOS!$B$5:$B$1005="SALDO INICIAL")*(MOVIMIENTOS!$C$5:$C$1005="P")*(MOVIMIENTOS!$D$5:$D$1005="jabas")*(MOVIMIENTOS!$A$5:$A$1005&lt;&gt;"")*(MOVIMIENTOS!$A$5:$A$1005&lt;=$A128)*MOVIMIENTOS!$E$5:$E$1005)+SUMPRODUCT((MOVIMIENTOS!$B$5:$B$1005="PROCESO")*(MOVIMIENTOS!$C$5:$C$1005="P")*(MOVIMIENTOS!$D$5:$D$1005="jabas")*(MOVIMIENTOS!$A$5:$A$1005&lt;&gt;"")*(MOVIMIENTOS!$A$5:$A$1005&lt;=$A128)*MOVIMIENTOS!$E$5:$E$1005)-SUMPRODUCT((MOVIMIENTOS!$B$5:$B$1005="ENVÍO A SUPESA")*(MOVIMIENTOS!$C$5:$C$1005="P")*(MOVIMIENTOS!$D$5:$D$1005="jabas")*(MOVIMIENTOS!$A$5:$A$1005&lt;&gt;"")*(MOVIMIENTOS!$A$5:$A$1005&lt;=$A128)*MOVIMIENTOS!$E$5:$E$1005)+SUMPRODUCT((MOVIMIENTOS!$B$5:$B$1005="DEVOLUCIÓN")*(MOVIMIENTOS!$C$5:$C$1005="P")*(MOVIMIENTOS!$D$5:$D$1005="jabas")*(MOVIMIENTOS!$A$5:$A$1005&lt;&gt;"")*(MOVIMIENTOS!$A$5:$A$1005&lt;=$A128)*MOVIMIENTOS!$E$5:$E$1005)-SUMPRODUCT((MOVIMIENTOS!$B$5:$B$1005="TRASIEGO")*(MOVIMIENTOS!$C$5:$C$1005="P")*(MOVIMIENTOS!$D$5:$D$1005="jabas")*(MOVIMIENTOS!$A$5:$A$1005&lt;&gt;"")*(MOVIMIENTOS!$A$5:$A$1005&lt;=$A128)*MOVIMIENTOS!$E$5:$E$1005)-SUMPRODUCT((MOVIMIENTOS!$B$5:$B$1005="REGALO")*(MOVIMIENTOS!$C$5:$C$1005="P")*(MOVIMIENTOS!$D$5:$D$1005="jabas")*(MOVIMIENTOS!$A$5:$A$1005&lt;&gt;"")*(MOVIMIENTOS!$A$5:$A$1005&lt;=$A128)*MOVIMIENTOS!$E$5:$E$1005)-SUMPRODUCT((MOVIMIENTOS!$B$5:$B$1005="VENTA")*(MOVIMIENTOS!$C$5:$C$1005="P")*(MOVIMIENTOS!$D$5:$D$1005="jabas")*(MOVIMIENTOS!$A$5:$A$1005&lt;&gt;"")*(MOVIMIENTOS!$A$5:$A$1005&lt;=$A128)*MOVIMIENTOS!$E$5:$E$1005)+SUMPRODUCT((MOVIMIENTOS!$B$5:$B$1005="AJUSTE")*(MOVIMIENTOS!$C$5:$C$1005="P")*(MOVIMIENTOS!$D$5:$D$1005="jabas")*(MOVIMIENTOS!$A$5:$A$1005&lt;&gt;"")*(MOVIMIENTOS!$A$5:$A$1005&lt;=$A128)*MOVIMIENTOS!$E$5:$E$1005))</f>
        <v/>
      </c>
      <c r="D128" s="63" t="str">
        <f>IF($A128="","",SUMPRODUCT((MOVIMIENTOS!$B$5:$B$1005="SALDO INICIAL")*(MOVIMIENTOS!$C$5:$C$1005="C")*(MOVIMIENTOS!$D$5:$D$1005="jabas")*(MOVIMIENTOS!$A$5:$A$1005&lt;&gt;"")*(MOVIMIENTOS!$A$5:$A$1005&lt;=$A128)*MOVIMIENTOS!$E$5:$E$1005)+SUMPRODUCT((MOVIMIENTOS!$B$5:$B$1005="PROCESO")*(MOVIMIENTOS!$C$5:$C$1005="C")*(MOVIMIENTOS!$D$5:$D$1005="jabas")*(MOVIMIENTOS!$A$5:$A$1005&lt;&gt;"")*(MOVIMIENTOS!$A$5:$A$1005&lt;=$A128)*MOVIMIENTOS!$E$5:$E$1005)-SUMPRODUCT((MOVIMIENTOS!$B$5:$B$1005="ENVÍO A SUPESA")*(MOVIMIENTOS!$C$5:$C$1005="C")*(MOVIMIENTOS!$D$5:$D$1005="jabas")*(MOVIMIENTOS!$A$5:$A$1005&lt;&gt;"")*(MOVIMIENTOS!$A$5:$A$1005&lt;=$A128)*MOVIMIENTOS!$E$5:$E$1005)+SUMPRODUCT((MOVIMIENTOS!$B$5:$B$1005="DEVOLUCIÓN")*(MOVIMIENTOS!$C$5:$C$1005="C")*(MOVIMIENTOS!$D$5:$D$1005="jabas")*(MOVIMIENTOS!$A$5:$A$1005&lt;&gt;"")*(MOVIMIENTOS!$A$5:$A$1005&lt;=$A128)*MOVIMIENTOS!$E$5:$E$1005)-SUMPRODUCT((MOVIMIENTOS!$B$5:$B$1005="TRASIEGO")*(MOVIMIENTOS!$C$5:$C$1005="C")*(MOVIMIENTOS!$D$5:$D$1005="jabas")*(MOVIMIENTOS!$A$5:$A$1005&lt;&gt;"")*(MOVIMIENTOS!$A$5:$A$1005&lt;=$A128)*MOVIMIENTOS!$E$5:$E$1005)-SUMPRODUCT((MOVIMIENTOS!$B$5:$B$1005="REGALO")*(MOVIMIENTOS!$C$5:$C$1005="C")*(MOVIMIENTOS!$D$5:$D$1005="jabas")*(MOVIMIENTOS!$A$5:$A$1005&lt;&gt;"")*(MOVIMIENTOS!$A$5:$A$1005&lt;=$A128)*MOVIMIENTOS!$E$5:$E$1005)-SUMPRODUCT((MOVIMIENTOS!$B$5:$B$1005="VENTA")*(MOVIMIENTOS!$C$5:$C$1005="C")*(MOVIMIENTOS!$D$5:$D$1005="jabas")*(MOVIMIENTOS!$A$5:$A$1005&lt;&gt;"")*(MOVIMIENTOS!$A$5:$A$1005&lt;=$A128)*MOVIMIENTOS!$E$5:$E$1005)+SUMPRODUCT((MOVIMIENTOS!$B$5:$B$1005="AJUSTE")*(MOVIMIENTOS!$C$5:$C$1005="C")*(MOVIMIENTOS!$D$5:$D$1005="jabas")*(MOVIMIENTOS!$A$5:$A$1005&lt;&gt;"")*(MOVIMIENTOS!$A$5:$A$1005&lt;=$A128)*MOVIMIENTOS!$E$5:$E$1005))</f>
        <v/>
      </c>
      <c r="E128" s="63" t="str">
        <f>IF($A128="","",SUMPRODUCT((MOVIMIENTOS!$B$5:$B$1005="SALDO INICIAL")*(MOVIMIENTOS!$C$5:$C$1005="M")*(MOVIMIENTOS!$D$5:$D$1005="jabas")*(MOVIMIENTOS!$A$5:$A$1005&lt;&gt;"")*(MOVIMIENTOS!$A$5:$A$1005&lt;=$A128)*MOVIMIENTOS!$E$5:$E$1005)+SUMPRODUCT((MOVIMIENTOS!$B$5:$B$1005="PROCESO")*(MOVIMIENTOS!$C$5:$C$1005="M")*(MOVIMIENTOS!$D$5:$D$1005="jabas")*(MOVIMIENTOS!$A$5:$A$1005&lt;&gt;"")*(MOVIMIENTOS!$A$5:$A$1005&lt;=$A128)*MOVIMIENTOS!$E$5:$E$1005)-SUMPRODUCT((MOVIMIENTOS!$B$5:$B$1005="ENVÍO A SUPESA")*(MOVIMIENTOS!$C$5:$C$1005="M")*(MOVIMIENTOS!$D$5:$D$1005="jabas")*(MOVIMIENTOS!$A$5:$A$1005&lt;&gt;"")*(MOVIMIENTOS!$A$5:$A$1005&lt;=$A128)*MOVIMIENTOS!$E$5:$E$1005)+SUMPRODUCT((MOVIMIENTOS!$B$5:$B$1005="DEVOLUCIÓN")*(MOVIMIENTOS!$C$5:$C$1005="M")*(MOVIMIENTOS!$D$5:$D$1005="jabas")*(MOVIMIENTOS!$A$5:$A$1005&lt;&gt;"")*(MOVIMIENTOS!$A$5:$A$1005&lt;=$A128)*MOVIMIENTOS!$E$5:$E$1005)-SUMPRODUCT((MOVIMIENTOS!$B$5:$B$1005="TRASIEGO")*(MOVIMIENTOS!$C$5:$C$1005="M")*(MOVIMIENTOS!$D$5:$D$1005="jabas")*(MOVIMIENTOS!$A$5:$A$1005&lt;&gt;"")*(MOVIMIENTOS!$A$5:$A$1005&lt;=$A128)*MOVIMIENTOS!$E$5:$E$1005)-SUMPRODUCT((MOVIMIENTOS!$B$5:$B$1005="REGALO")*(MOVIMIENTOS!$C$5:$C$1005="M")*(MOVIMIENTOS!$D$5:$D$1005="jabas")*(MOVIMIENTOS!$A$5:$A$1005&lt;&gt;"")*(MOVIMIENTOS!$A$5:$A$1005&lt;=$A128)*MOVIMIENTOS!$E$5:$E$1005)-SUMPRODUCT((MOVIMIENTOS!$B$5:$B$1005="VENTA")*(MOVIMIENTOS!$C$5:$C$1005="M")*(MOVIMIENTOS!$D$5:$D$1005="jabas")*(MOVIMIENTOS!$A$5:$A$1005&lt;&gt;"")*(MOVIMIENTOS!$A$5:$A$1005&lt;=$A128)*MOVIMIENTOS!$E$5:$E$1005)+SUMPRODUCT((MOVIMIENTOS!$B$5:$B$1005="AJUSTE")*(MOVIMIENTOS!$C$5:$C$1005="M")*(MOVIMIENTOS!$D$5:$D$1005="jabas")*(MOVIMIENTOS!$A$5:$A$1005&lt;&gt;"")*(MOVIMIENTOS!$A$5:$A$1005&lt;=$A128)*MOVIMIENTOS!$E$5:$E$1005))</f>
        <v/>
      </c>
      <c r="F128" s="63" t="str">
        <f>IF($A128="","",SUMPRODUCT((MOVIMIENTOS!$B$5:$B$1005="SALDO INICIAL")*(MOVIMIENTOS!$C$5:$C$1005="Chancho")*(MOVIMIENTOS!$D$5:$D$1005="sacos")*(MOVIMIENTOS!$A$5:$A$1005&lt;&gt;"")*(MOVIMIENTOS!$A$5:$A$1005&lt;=$A128)*MOVIMIENTOS!$E$5:$E$1005)+SUMPRODUCT((MOVIMIENTOS!$B$5:$B$1005="PROCESO")*(MOVIMIENTOS!$C$5:$C$1005="Chancho")*(MOVIMIENTOS!$D$5:$D$1005="sacos")*(MOVIMIENTOS!$A$5:$A$1005&lt;&gt;"")*(MOVIMIENTOS!$A$5:$A$1005&lt;=$A128)*MOVIMIENTOS!$E$5:$E$1005)-SUMPRODUCT((MOVIMIENTOS!$B$5:$B$1005="VENTA CHANCHO")*(MOVIMIENTOS!$C$5:$C$1005="Chancho")*(MOVIMIENTOS!$D$5:$D$1005="sacos")*(MOVIMIENTOS!$A$5:$A$1005&lt;&gt;"")*(MOVIMIENTOS!$A$5:$A$1005&lt;=$A128)*MOVIMIENTOS!$E$5:$E$1005)-SUMPRODUCT((MOVIMIENTOS!$B$5:$B$1005="REGALO")*(MOVIMIENTOS!$C$5:$C$1005="Chancho")*(MOVIMIENTOS!$D$5:$D$1005="sacos")*(MOVIMIENTOS!$A$5:$A$1005&lt;&gt;"")*(MOVIMIENTOS!$A$5:$A$1005&lt;=$A128)*MOVIMIENTOS!$E$5:$E$1005)-SUMPRODUCT((MOVIMIENTOS!$B$5:$B$1005="VENTA")*(MOVIMIENTOS!$C$5:$C$1005="Chancho")*(MOVIMIENTOS!$D$5:$D$1005="sacos")*(MOVIMIENTOS!$A$5:$A$1005&lt;&gt;"")*(MOVIMIENTOS!$A$5:$A$1005&lt;=$A128)*MOVIMIENTOS!$E$5:$E$1005)+SUMPRODUCT((MOVIMIENTOS!$B$5:$B$1005="AJUSTE")*(MOVIMIENTOS!$C$5:$C$1005="Chancho")*(MOVIMIENTOS!$D$5:$D$1005="sacos")*(MOVIMIENTOS!$A$5:$A$1005&lt;&gt;"")*(MOVIMIENTOS!$A$5:$A$1005&lt;=$A128)*MOVIMIENTOS!$E$5:$E$1005))</f>
        <v/>
      </c>
      <c r="G128" s="95" t="str">
        <f t="shared" si="3"/>
        <v/>
      </c>
      <c r="H128" s="63" t="str">
        <f>IF($A128="","",SUMPRODUCT((((MOVIMIENTOS!$B$5:$B$1005="SALDO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128)*MOVIMIENTOS!$J$5:$J$1005))</f>
        <v/>
      </c>
      <c r="I128" s="63"/>
      <c r="J128" s="63" t="str">
        <f>IF(AND(MOVIMIENTOS!$A128&lt;&gt;"",COUNTIF(MOVIMIENTOS!$A$5:$A127,MOVIMIENTOS!$A128)=0),COUNT(J$4:J127)+1,"")</f>
        <v/>
      </c>
      <c r="K128" s="66">
        <f>MOVIMIENTOS!$A128</f>
        <v>46225</v>
      </c>
      <c r="L128" s="63"/>
      <c r="M128" s="63"/>
      <c r="N128" s="63"/>
    </row>
    <row r="129" spans="1:14" ht="15" customHeight="1" x14ac:dyDescent="0.2">
      <c r="A129" s="63" t="str">
        <f t="shared" si="2"/>
        <v/>
      </c>
      <c r="B129" s="63" t="str">
        <f>IF($A129="","",SUMPRODUCT((MOVIMIENTOS!$B$5:$B$1005="SALDO INICIAL")*(MOVIMIENTOS!$C$5:$C$1005="A")*(MOVIMIENTOS!$D$5:$D$1005="jabas")*(MOVIMIENTOS!$A$5:$A$1005&lt;&gt;"")*(MOVIMIENTOS!$A$5:$A$1005&lt;=$A129)*MOVIMIENTOS!$E$5:$E$1005)+SUMPRODUCT((MOVIMIENTOS!$B$5:$B$1005="PROCESO")*(MOVIMIENTOS!$C$5:$C$1005="A")*(MOVIMIENTOS!$D$5:$D$1005="jabas")*(MOVIMIENTOS!$A$5:$A$1005&lt;&gt;"")*(MOVIMIENTOS!$A$5:$A$1005&lt;=$A129)*MOVIMIENTOS!$E$5:$E$1005)-SUMPRODUCT((MOVIMIENTOS!$B$5:$B$1005="ENVÍO A SUPESA")*(MOVIMIENTOS!$C$5:$C$1005="A")*(MOVIMIENTOS!$D$5:$D$1005="jabas")*(MOVIMIENTOS!$A$5:$A$1005&lt;&gt;"")*(MOVIMIENTOS!$A$5:$A$1005&lt;=$A129)*MOVIMIENTOS!$E$5:$E$1005)+SUMPRODUCT((MOVIMIENTOS!$B$5:$B$1005="DEVOLUCIÓN")*(MOVIMIENTOS!$C$5:$C$1005="A")*(MOVIMIENTOS!$D$5:$D$1005="jabas")*(MOVIMIENTOS!$A$5:$A$1005&lt;&gt;"")*(MOVIMIENTOS!$A$5:$A$1005&lt;=$A129)*MOVIMIENTOS!$E$5:$E$1005)-SUMPRODUCT((MOVIMIENTOS!$B$5:$B$1005="TRASIEGO")*(MOVIMIENTOS!$C$5:$C$1005="A")*(MOVIMIENTOS!$D$5:$D$1005="jabas")*(MOVIMIENTOS!$A$5:$A$1005&lt;&gt;"")*(MOVIMIENTOS!$A$5:$A$1005&lt;=$A129)*MOVIMIENTOS!$E$5:$E$1005)-SUMPRODUCT((MOVIMIENTOS!$B$5:$B$1005="REGALO")*(MOVIMIENTOS!$C$5:$C$1005="A")*(MOVIMIENTOS!$D$5:$D$1005="jabas")*(MOVIMIENTOS!$A$5:$A$1005&lt;&gt;"")*(MOVIMIENTOS!$A$5:$A$1005&lt;=$A129)*MOVIMIENTOS!$E$5:$E$1005)-SUMPRODUCT((MOVIMIENTOS!$B$5:$B$1005="VENTA")*(MOVIMIENTOS!$C$5:$C$1005="A")*(MOVIMIENTOS!$D$5:$D$1005="jabas")*(MOVIMIENTOS!$A$5:$A$1005&lt;&gt;"")*(MOVIMIENTOS!$A$5:$A$1005&lt;=$A129)*MOVIMIENTOS!$E$5:$E$1005)+SUMPRODUCT((MOVIMIENTOS!$B$5:$B$1005="AJUSTE")*(MOVIMIENTOS!$C$5:$C$1005="A")*(MOVIMIENTOS!$D$5:$D$1005="jabas")*(MOVIMIENTOS!$A$5:$A$1005&lt;&gt;"")*(MOVIMIENTOS!$A$5:$A$1005&lt;=$A129)*MOVIMIENTOS!$E$5:$E$1005))</f>
        <v/>
      </c>
      <c r="C129" s="63" t="str">
        <f>IF($A129="","",SUMPRODUCT((MOVIMIENTOS!$B$5:$B$1005="SALDO INICIAL")*(MOVIMIENTOS!$C$5:$C$1005="P")*(MOVIMIENTOS!$D$5:$D$1005="jabas")*(MOVIMIENTOS!$A$5:$A$1005&lt;&gt;"")*(MOVIMIENTOS!$A$5:$A$1005&lt;=$A129)*MOVIMIENTOS!$E$5:$E$1005)+SUMPRODUCT((MOVIMIENTOS!$B$5:$B$1005="PROCESO")*(MOVIMIENTOS!$C$5:$C$1005="P")*(MOVIMIENTOS!$D$5:$D$1005="jabas")*(MOVIMIENTOS!$A$5:$A$1005&lt;&gt;"")*(MOVIMIENTOS!$A$5:$A$1005&lt;=$A129)*MOVIMIENTOS!$E$5:$E$1005)-SUMPRODUCT((MOVIMIENTOS!$B$5:$B$1005="ENVÍO A SUPESA")*(MOVIMIENTOS!$C$5:$C$1005="P")*(MOVIMIENTOS!$D$5:$D$1005="jabas")*(MOVIMIENTOS!$A$5:$A$1005&lt;&gt;"")*(MOVIMIENTOS!$A$5:$A$1005&lt;=$A129)*MOVIMIENTOS!$E$5:$E$1005)+SUMPRODUCT((MOVIMIENTOS!$B$5:$B$1005="DEVOLUCIÓN")*(MOVIMIENTOS!$C$5:$C$1005="P")*(MOVIMIENTOS!$D$5:$D$1005="jabas")*(MOVIMIENTOS!$A$5:$A$1005&lt;&gt;"")*(MOVIMIENTOS!$A$5:$A$1005&lt;=$A129)*MOVIMIENTOS!$E$5:$E$1005)-SUMPRODUCT((MOVIMIENTOS!$B$5:$B$1005="TRASIEGO")*(MOVIMIENTOS!$C$5:$C$1005="P")*(MOVIMIENTOS!$D$5:$D$1005="jabas")*(MOVIMIENTOS!$A$5:$A$1005&lt;&gt;"")*(MOVIMIENTOS!$A$5:$A$1005&lt;=$A129)*MOVIMIENTOS!$E$5:$E$1005)-SUMPRODUCT((MOVIMIENTOS!$B$5:$B$1005="REGALO")*(MOVIMIENTOS!$C$5:$C$1005="P")*(MOVIMIENTOS!$D$5:$D$1005="jabas")*(MOVIMIENTOS!$A$5:$A$1005&lt;&gt;"")*(MOVIMIENTOS!$A$5:$A$1005&lt;=$A129)*MOVIMIENTOS!$E$5:$E$1005)-SUMPRODUCT((MOVIMIENTOS!$B$5:$B$1005="VENTA")*(MOVIMIENTOS!$C$5:$C$1005="P")*(MOVIMIENTOS!$D$5:$D$1005="jabas")*(MOVIMIENTOS!$A$5:$A$1005&lt;&gt;"")*(MOVIMIENTOS!$A$5:$A$1005&lt;=$A129)*MOVIMIENTOS!$E$5:$E$1005)+SUMPRODUCT((MOVIMIENTOS!$B$5:$B$1005="AJUSTE")*(MOVIMIENTOS!$C$5:$C$1005="P")*(MOVIMIENTOS!$D$5:$D$1005="jabas")*(MOVIMIENTOS!$A$5:$A$1005&lt;&gt;"")*(MOVIMIENTOS!$A$5:$A$1005&lt;=$A129)*MOVIMIENTOS!$E$5:$E$1005))</f>
        <v/>
      </c>
      <c r="D129" s="63" t="str">
        <f>IF($A129="","",SUMPRODUCT((MOVIMIENTOS!$B$5:$B$1005="SALDO INICIAL")*(MOVIMIENTOS!$C$5:$C$1005="C")*(MOVIMIENTOS!$D$5:$D$1005="jabas")*(MOVIMIENTOS!$A$5:$A$1005&lt;&gt;"")*(MOVIMIENTOS!$A$5:$A$1005&lt;=$A129)*MOVIMIENTOS!$E$5:$E$1005)+SUMPRODUCT((MOVIMIENTOS!$B$5:$B$1005="PROCESO")*(MOVIMIENTOS!$C$5:$C$1005="C")*(MOVIMIENTOS!$D$5:$D$1005="jabas")*(MOVIMIENTOS!$A$5:$A$1005&lt;&gt;"")*(MOVIMIENTOS!$A$5:$A$1005&lt;=$A129)*MOVIMIENTOS!$E$5:$E$1005)-SUMPRODUCT((MOVIMIENTOS!$B$5:$B$1005="ENVÍO A SUPESA")*(MOVIMIENTOS!$C$5:$C$1005="C")*(MOVIMIENTOS!$D$5:$D$1005="jabas")*(MOVIMIENTOS!$A$5:$A$1005&lt;&gt;"")*(MOVIMIENTOS!$A$5:$A$1005&lt;=$A129)*MOVIMIENTOS!$E$5:$E$1005)+SUMPRODUCT((MOVIMIENTOS!$B$5:$B$1005="DEVOLUCIÓN")*(MOVIMIENTOS!$C$5:$C$1005="C")*(MOVIMIENTOS!$D$5:$D$1005="jabas")*(MOVIMIENTOS!$A$5:$A$1005&lt;&gt;"")*(MOVIMIENTOS!$A$5:$A$1005&lt;=$A129)*MOVIMIENTOS!$E$5:$E$1005)-SUMPRODUCT((MOVIMIENTOS!$B$5:$B$1005="TRASIEGO")*(MOVIMIENTOS!$C$5:$C$1005="C")*(MOVIMIENTOS!$D$5:$D$1005="jabas")*(MOVIMIENTOS!$A$5:$A$1005&lt;&gt;"")*(MOVIMIENTOS!$A$5:$A$1005&lt;=$A129)*MOVIMIENTOS!$E$5:$E$1005)-SUMPRODUCT((MOVIMIENTOS!$B$5:$B$1005="REGALO")*(MOVIMIENTOS!$C$5:$C$1005="C")*(MOVIMIENTOS!$D$5:$D$1005="jabas")*(MOVIMIENTOS!$A$5:$A$1005&lt;&gt;"")*(MOVIMIENTOS!$A$5:$A$1005&lt;=$A129)*MOVIMIENTOS!$E$5:$E$1005)-SUMPRODUCT((MOVIMIENTOS!$B$5:$B$1005="VENTA")*(MOVIMIENTOS!$C$5:$C$1005="C")*(MOVIMIENTOS!$D$5:$D$1005="jabas")*(MOVIMIENTOS!$A$5:$A$1005&lt;&gt;"")*(MOVIMIENTOS!$A$5:$A$1005&lt;=$A129)*MOVIMIENTOS!$E$5:$E$1005)+SUMPRODUCT((MOVIMIENTOS!$B$5:$B$1005="AJUSTE")*(MOVIMIENTOS!$C$5:$C$1005="C")*(MOVIMIENTOS!$D$5:$D$1005="jabas")*(MOVIMIENTOS!$A$5:$A$1005&lt;&gt;"")*(MOVIMIENTOS!$A$5:$A$1005&lt;=$A129)*MOVIMIENTOS!$E$5:$E$1005))</f>
        <v/>
      </c>
      <c r="E129" s="63" t="str">
        <f>IF($A129="","",SUMPRODUCT((MOVIMIENTOS!$B$5:$B$1005="SALDO INICIAL")*(MOVIMIENTOS!$C$5:$C$1005="M")*(MOVIMIENTOS!$D$5:$D$1005="jabas")*(MOVIMIENTOS!$A$5:$A$1005&lt;&gt;"")*(MOVIMIENTOS!$A$5:$A$1005&lt;=$A129)*MOVIMIENTOS!$E$5:$E$1005)+SUMPRODUCT((MOVIMIENTOS!$B$5:$B$1005="PROCESO")*(MOVIMIENTOS!$C$5:$C$1005="M")*(MOVIMIENTOS!$D$5:$D$1005="jabas")*(MOVIMIENTOS!$A$5:$A$1005&lt;&gt;"")*(MOVIMIENTOS!$A$5:$A$1005&lt;=$A129)*MOVIMIENTOS!$E$5:$E$1005)-SUMPRODUCT((MOVIMIENTOS!$B$5:$B$1005="ENVÍO A SUPESA")*(MOVIMIENTOS!$C$5:$C$1005="M")*(MOVIMIENTOS!$D$5:$D$1005="jabas")*(MOVIMIENTOS!$A$5:$A$1005&lt;&gt;"")*(MOVIMIENTOS!$A$5:$A$1005&lt;=$A129)*MOVIMIENTOS!$E$5:$E$1005)+SUMPRODUCT((MOVIMIENTOS!$B$5:$B$1005="DEVOLUCIÓN")*(MOVIMIENTOS!$C$5:$C$1005="M")*(MOVIMIENTOS!$D$5:$D$1005="jabas")*(MOVIMIENTOS!$A$5:$A$1005&lt;&gt;"")*(MOVIMIENTOS!$A$5:$A$1005&lt;=$A129)*MOVIMIENTOS!$E$5:$E$1005)-SUMPRODUCT((MOVIMIENTOS!$B$5:$B$1005="TRASIEGO")*(MOVIMIENTOS!$C$5:$C$1005="M")*(MOVIMIENTOS!$D$5:$D$1005="jabas")*(MOVIMIENTOS!$A$5:$A$1005&lt;&gt;"")*(MOVIMIENTOS!$A$5:$A$1005&lt;=$A129)*MOVIMIENTOS!$E$5:$E$1005)-SUMPRODUCT((MOVIMIENTOS!$B$5:$B$1005="REGALO")*(MOVIMIENTOS!$C$5:$C$1005="M")*(MOVIMIENTOS!$D$5:$D$1005="jabas")*(MOVIMIENTOS!$A$5:$A$1005&lt;&gt;"")*(MOVIMIENTOS!$A$5:$A$1005&lt;=$A129)*MOVIMIENTOS!$E$5:$E$1005)-SUMPRODUCT((MOVIMIENTOS!$B$5:$B$1005="VENTA")*(MOVIMIENTOS!$C$5:$C$1005="M")*(MOVIMIENTOS!$D$5:$D$1005="jabas")*(MOVIMIENTOS!$A$5:$A$1005&lt;&gt;"")*(MOVIMIENTOS!$A$5:$A$1005&lt;=$A129)*MOVIMIENTOS!$E$5:$E$1005)+SUMPRODUCT((MOVIMIENTOS!$B$5:$B$1005="AJUSTE")*(MOVIMIENTOS!$C$5:$C$1005="M")*(MOVIMIENTOS!$D$5:$D$1005="jabas")*(MOVIMIENTOS!$A$5:$A$1005&lt;&gt;"")*(MOVIMIENTOS!$A$5:$A$1005&lt;=$A129)*MOVIMIENTOS!$E$5:$E$1005))</f>
        <v/>
      </c>
      <c r="F129" s="63" t="str">
        <f>IF($A129="","",SUMPRODUCT((MOVIMIENTOS!$B$5:$B$1005="SALDO INICIAL")*(MOVIMIENTOS!$C$5:$C$1005="Chancho")*(MOVIMIENTOS!$D$5:$D$1005="sacos")*(MOVIMIENTOS!$A$5:$A$1005&lt;&gt;"")*(MOVIMIENTOS!$A$5:$A$1005&lt;=$A129)*MOVIMIENTOS!$E$5:$E$1005)+SUMPRODUCT((MOVIMIENTOS!$B$5:$B$1005="PROCESO")*(MOVIMIENTOS!$C$5:$C$1005="Chancho")*(MOVIMIENTOS!$D$5:$D$1005="sacos")*(MOVIMIENTOS!$A$5:$A$1005&lt;&gt;"")*(MOVIMIENTOS!$A$5:$A$1005&lt;=$A129)*MOVIMIENTOS!$E$5:$E$1005)-SUMPRODUCT((MOVIMIENTOS!$B$5:$B$1005="VENTA CHANCHO")*(MOVIMIENTOS!$C$5:$C$1005="Chancho")*(MOVIMIENTOS!$D$5:$D$1005="sacos")*(MOVIMIENTOS!$A$5:$A$1005&lt;&gt;"")*(MOVIMIENTOS!$A$5:$A$1005&lt;=$A129)*MOVIMIENTOS!$E$5:$E$1005)-SUMPRODUCT((MOVIMIENTOS!$B$5:$B$1005="REGALO")*(MOVIMIENTOS!$C$5:$C$1005="Chancho")*(MOVIMIENTOS!$D$5:$D$1005="sacos")*(MOVIMIENTOS!$A$5:$A$1005&lt;&gt;"")*(MOVIMIENTOS!$A$5:$A$1005&lt;=$A129)*MOVIMIENTOS!$E$5:$E$1005)-SUMPRODUCT((MOVIMIENTOS!$B$5:$B$1005="VENTA")*(MOVIMIENTOS!$C$5:$C$1005="Chancho")*(MOVIMIENTOS!$D$5:$D$1005="sacos")*(MOVIMIENTOS!$A$5:$A$1005&lt;&gt;"")*(MOVIMIENTOS!$A$5:$A$1005&lt;=$A129)*MOVIMIENTOS!$E$5:$E$1005)+SUMPRODUCT((MOVIMIENTOS!$B$5:$B$1005="AJUSTE")*(MOVIMIENTOS!$C$5:$C$1005="Chancho")*(MOVIMIENTOS!$D$5:$D$1005="sacos")*(MOVIMIENTOS!$A$5:$A$1005&lt;&gt;"")*(MOVIMIENTOS!$A$5:$A$1005&lt;=$A129)*MOVIMIENTOS!$E$5:$E$1005))</f>
        <v/>
      </c>
      <c r="G129" s="95" t="str">
        <f t="shared" si="3"/>
        <v/>
      </c>
      <c r="H129" s="63" t="str">
        <f>IF($A129="","",SUMPRODUCT((((MOVIMIENTOS!$B$5:$B$1005="SALDO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129)*MOVIMIENTOS!$J$5:$J$1005))</f>
        <v/>
      </c>
      <c r="I129" s="63"/>
      <c r="J129" s="63" t="str">
        <f>IF(AND(MOVIMIENTOS!$A129&lt;&gt;"",COUNTIF(MOVIMIENTOS!$A$5:$A128,MOVIMIENTOS!$A129)=0),COUNT(J$4:J128)+1,"")</f>
        <v/>
      </c>
      <c r="K129" s="66">
        <f>MOVIMIENTOS!$A129</f>
        <v>46225</v>
      </c>
      <c r="L129" s="63"/>
      <c r="M129" s="63"/>
      <c r="N129" s="63"/>
    </row>
    <row r="130" spans="1:14" ht="15" customHeight="1" x14ac:dyDescent="0.2">
      <c r="A130" s="63" t="str">
        <f t="shared" si="2"/>
        <v/>
      </c>
      <c r="B130" s="63" t="str">
        <f>IF($A130="","",SUMPRODUCT((MOVIMIENTOS!$B$5:$B$1005="SALDO INICIAL")*(MOVIMIENTOS!$C$5:$C$1005="A")*(MOVIMIENTOS!$D$5:$D$1005="jabas")*(MOVIMIENTOS!$A$5:$A$1005&lt;&gt;"")*(MOVIMIENTOS!$A$5:$A$1005&lt;=$A130)*MOVIMIENTOS!$E$5:$E$1005)+SUMPRODUCT((MOVIMIENTOS!$B$5:$B$1005="PROCESO")*(MOVIMIENTOS!$C$5:$C$1005="A")*(MOVIMIENTOS!$D$5:$D$1005="jabas")*(MOVIMIENTOS!$A$5:$A$1005&lt;&gt;"")*(MOVIMIENTOS!$A$5:$A$1005&lt;=$A130)*MOVIMIENTOS!$E$5:$E$1005)-SUMPRODUCT((MOVIMIENTOS!$B$5:$B$1005="ENVÍO A SUPESA")*(MOVIMIENTOS!$C$5:$C$1005="A")*(MOVIMIENTOS!$D$5:$D$1005="jabas")*(MOVIMIENTOS!$A$5:$A$1005&lt;&gt;"")*(MOVIMIENTOS!$A$5:$A$1005&lt;=$A130)*MOVIMIENTOS!$E$5:$E$1005)+SUMPRODUCT((MOVIMIENTOS!$B$5:$B$1005="DEVOLUCIÓN")*(MOVIMIENTOS!$C$5:$C$1005="A")*(MOVIMIENTOS!$D$5:$D$1005="jabas")*(MOVIMIENTOS!$A$5:$A$1005&lt;&gt;"")*(MOVIMIENTOS!$A$5:$A$1005&lt;=$A130)*MOVIMIENTOS!$E$5:$E$1005)-SUMPRODUCT((MOVIMIENTOS!$B$5:$B$1005="TRASIEGO")*(MOVIMIENTOS!$C$5:$C$1005="A")*(MOVIMIENTOS!$D$5:$D$1005="jabas")*(MOVIMIENTOS!$A$5:$A$1005&lt;&gt;"")*(MOVIMIENTOS!$A$5:$A$1005&lt;=$A130)*MOVIMIENTOS!$E$5:$E$1005)-SUMPRODUCT((MOVIMIENTOS!$B$5:$B$1005="REGALO")*(MOVIMIENTOS!$C$5:$C$1005="A")*(MOVIMIENTOS!$D$5:$D$1005="jabas")*(MOVIMIENTOS!$A$5:$A$1005&lt;&gt;"")*(MOVIMIENTOS!$A$5:$A$1005&lt;=$A130)*MOVIMIENTOS!$E$5:$E$1005)-SUMPRODUCT((MOVIMIENTOS!$B$5:$B$1005="VENTA")*(MOVIMIENTOS!$C$5:$C$1005="A")*(MOVIMIENTOS!$D$5:$D$1005="jabas")*(MOVIMIENTOS!$A$5:$A$1005&lt;&gt;"")*(MOVIMIENTOS!$A$5:$A$1005&lt;=$A130)*MOVIMIENTOS!$E$5:$E$1005)+SUMPRODUCT((MOVIMIENTOS!$B$5:$B$1005="AJUSTE")*(MOVIMIENTOS!$C$5:$C$1005="A")*(MOVIMIENTOS!$D$5:$D$1005="jabas")*(MOVIMIENTOS!$A$5:$A$1005&lt;&gt;"")*(MOVIMIENTOS!$A$5:$A$1005&lt;=$A130)*MOVIMIENTOS!$E$5:$E$1005))</f>
        <v/>
      </c>
      <c r="C130" s="63" t="str">
        <f>IF($A130="","",SUMPRODUCT((MOVIMIENTOS!$B$5:$B$1005="SALDO INICIAL")*(MOVIMIENTOS!$C$5:$C$1005="P")*(MOVIMIENTOS!$D$5:$D$1005="jabas")*(MOVIMIENTOS!$A$5:$A$1005&lt;&gt;"")*(MOVIMIENTOS!$A$5:$A$1005&lt;=$A130)*MOVIMIENTOS!$E$5:$E$1005)+SUMPRODUCT((MOVIMIENTOS!$B$5:$B$1005="PROCESO")*(MOVIMIENTOS!$C$5:$C$1005="P")*(MOVIMIENTOS!$D$5:$D$1005="jabas")*(MOVIMIENTOS!$A$5:$A$1005&lt;&gt;"")*(MOVIMIENTOS!$A$5:$A$1005&lt;=$A130)*MOVIMIENTOS!$E$5:$E$1005)-SUMPRODUCT((MOVIMIENTOS!$B$5:$B$1005="ENVÍO A SUPESA")*(MOVIMIENTOS!$C$5:$C$1005="P")*(MOVIMIENTOS!$D$5:$D$1005="jabas")*(MOVIMIENTOS!$A$5:$A$1005&lt;&gt;"")*(MOVIMIENTOS!$A$5:$A$1005&lt;=$A130)*MOVIMIENTOS!$E$5:$E$1005)+SUMPRODUCT((MOVIMIENTOS!$B$5:$B$1005="DEVOLUCIÓN")*(MOVIMIENTOS!$C$5:$C$1005="P")*(MOVIMIENTOS!$D$5:$D$1005="jabas")*(MOVIMIENTOS!$A$5:$A$1005&lt;&gt;"")*(MOVIMIENTOS!$A$5:$A$1005&lt;=$A130)*MOVIMIENTOS!$E$5:$E$1005)-SUMPRODUCT((MOVIMIENTOS!$B$5:$B$1005="TRASIEGO")*(MOVIMIENTOS!$C$5:$C$1005="P")*(MOVIMIENTOS!$D$5:$D$1005="jabas")*(MOVIMIENTOS!$A$5:$A$1005&lt;&gt;"")*(MOVIMIENTOS!$A$5:$A$1005&lt;=$A130)*MOVIMIENTOS!$E$5:$E$1005)-SUMPRODUCT((MOVIMIENTOS!$B$5:$B$1005="REGALO")*(MOVIMIENTOS!$C$5:$C$1005="P")*(MOVIMIENTOS!$D$5:$D$1005="jabas")*(MOVIMIENTOS!$A$5:$A$1005&lt;&gt;"")*(MOVIMIENTOS!$A$5:$A$1005&lt;=$A130)*MOVIMIENTOS!$E$5:$E$1005)-SUMPRODUCT((MOVIMIENTOS!$B$5:$B$1005="VENTA")*(MOVIMIENTOS!$C$5:$C$1005="P")*(MOVIMIENTOS!$D$5:$D$1005="jabas")*(MOVIMIENTOS!$A$5:$A$1005&lt;&gt;"")*(MOVIMIENTOS!$A$5:$A$1005&lt;=$A130)*MOVIMIENTOS!$E$5:$E$1005)+SUMPRODUCT((MOVIMIENTOS!$B$5:$B$1005="AJUSTE")*(MOVIMIENTOS!$C$5:$C$1005="P")*(MOVIMIENTOS!$D$5:$D$1005="jabas")*(MOVIMIENTOS!$A$5:$A$1005&lt;&gt;"")*(MOVIMIENTOS!$A$5:$A$1005&lt;=$A130)*MOVIMIENTOS!$E$5:$E$1005))</f>
        <v/>
      </c>
      <c r="D130" s="63" t="str">
        <f>IF($A130="","",SUMPRODUCT((MOVIMIENTOS!$B$5:$B$1005="SALDO INICIAL")*(MOVIMIENTOS!$C$5:$C$1005="C")*(MOVIMIENTOS!$D$5:$D$1005="jabas")*(MOVIMIENTOS!$A$5:$A$1005&lt;&gt;"")*(MOVIMIENTOS!$A$5:$A$1005&lt;=$A130)*MOVIMIENTOS!$E$5:$E$1005)+SUMPRODUCT((MOVIMIENTOS!$B$5:$B$1005="PROCESO")*(MOVIMIENTOS!$C$5:$C$1005="C")*(MOVIMIENTOS!$D$5:$D$1005="jabas")*(MOVIMIENTOS!$A$5:$A$1005&lt;&gt;"")*(MOVIMIENTOS!$A$5:$A$1005&lt;=$A130)*MOVIMIENTOS!$E$5:$E$1005)-SUMPRODUCT((MOVIMIENTOS!$B$5:$B$1005="ENVÍO A SUPESA")*(MOVIMIENTOS!$C$5:$C$1005="C")*(MOVIMIENTOS!$D$5:$D$1005="jabas")*(MOVIMIENTOS!$A$5:$A$1005&lt;&gt;"")*(MOVIMIENTOS!$A$5:$A$1005&lt;=$A130)*MOVIMIENTOS!$E$5:$E$1005)+SUMPRODUCT((MOVIMIENTOS!$B$5:$B$1005="DEVOLUCIÓN")*(MOVIMIENTOS!$C$5:$C$1005="C")*(MOVIMIENTOS!$D$5:$D$1005="jabas")*(MOVIMIENTOS!$A$5:$A$1005&lt;&gt;"")*(MOVIMIENTOS!$A$5:$A$1005&lt;=$A130)*MOVIMIENTOS!$E$5:$E$1005)-SUMPRODUCT((MOVIMIENTOS!$B$5:$B$1005="TRASIEGO")*(MOVIMIENTOS!$C$5:$C$1005="C")*(MOVIMIENTOS!$D$5:$D$1005="jabas")*(MOVIMIENTOS!$A$5:$A$1005&lt;&gt;"")*(MOVIMIENTOS!$A$5:$A$1005&lt;=$A130)*MOVIMIENTOS!$E$5:$E$1005)-SUMPRODUCT((MOVIMIENTOS!$B$5:$B$1005="REGALO")*(MOVIMIENTOS!$C$5:$C$1005="C")*(MOVIMIENTOS!$D$5:$D$1005="jabas")*(MOVIMIENTOS!$A$5:$A$1005&lt;&gt;"")*(MOVIMIENTOS!$A$5:$A$1005&lt;=$A130)*MOVIMIENTOS!$E$5:$E$1005)-SUMPRODUCT((MOVIMIENTOS!$B$5:$B$1005="VENTA")*(MOVIMIENTOS!$C$5:$C$1005="C")*(MOVIMIENTOS!$D$5:$D$1005="jabas")*(MOVIMIENTOS!$A$5:$A$1005&lt;&gt;"")*(MOVIMIENTOS!$A$5:$A$1005&lt;=$A130)*MOVIMIENTOS!$E$5:$E$1005)+SUMPRODUCT((MOVIMIENTOS!$B$5:$B$1005="AJUSTE")*(MOVIMIENTOS!$C$5:$C$1005="C")*(MOVIMIENTOS!$D$5:$D$1005="jabas")*(MOVIMIENTOS!$A$5:$A$1005&lt;&gt;"")*(MOVIMIENTOS!$A$5:$A$1005&lt;=$A130)*MOVIMIENTOS!$E$5:$E$1005))</f>
        <v/>
      </c>
      <c r="E130" s="63" t="str">
        <f>IF($A130="","",SUMPRODUCT((MOVIMIENTOS!$B$5:$B$1005="SALDO INICIAL")*(MOVIMIENTOS!$C$5:$C$1005="M")*(MOVIMIENTOS!$D$5:$D$1005="jabas")*(MOVIMIENTOS!$A$5:$A$1005&lt;&gt;"")*(MOVIMIENTOS!$A$5:$A$1005&lt;=$A130)*MOVIMIENTOS!$E$5:$E$1005)+SUMPRODUCT((MOVIMIENTOS!$B$5:$B$1005="PROCESO")*(MOVIMIENTOS!$C$5:$C$1005="M")*(MOVIMIENTOS!$D$5:$D$1005="jabas")*(MOVIMIENTOS!$A$5:$A$1005&lt;&gt;"")*(MOVIMIENTOS!$A$5:$A$1005&lt;=$A130)*MOVIMIENTOS!$E$5:$E$1005)-SUMPRODUCT((MOVIMIENTOS!$B$5:$B$1005="ENVÍO A SUPESA")*(MOVIMIENTOS!$C$5:$C$1005="M")*(MOVIMIENTOS!$D$5:$D$1005="jabas")*(MOVIMIENTOS!$A$5:$A$1005&lt;&gt;"")*(MOVIMIENTOS!$A$5:$A$1005&lt;=$A130)*MOVIMIENTOS!$E$5:$E$1005)+SUMPRODUCT((MOVIMIENTOS!$B$5:$B$1005="DEVOLUCIÓN")*(MOVIMIENTOS!$C$5:$C$1005="M")*(MOVIMIENTOS!$D$5:$D$1005="jabas")*(MOVIMIENTOS!$A$5:$A$1005&lt;&gt;"")*(MOVIMIENTOS!$A$5:$A$1005&lt;=$A130)*MOVIMIENTOS!$E$5:$E$1005)-SUMPRODUCT((MOVIMIENTOS!$B$5:$B$1005="TRASIEGO")*(MOVIMIENTOS!$C$5:$C$1005="M")*(MOVIMIENTOS!$D$5:$D$1005="jabas")*(MOVIMIENTOS!$A$5:$A$1005&lt;&gt;"")*(MOVIMIENTOS!$A$5:$A$1005&lt;=$A130)*MOVIMIENTOS!$E$5:$E$1005)-SUMPRODUCT((MOVIMIENTOS!$B$5:$B$1005="REGALO")*(MOVIMIENTOS!$C$5:$C$1005="M")*(MOVIMIENTOS!$D$5:$D$1005="jabas")*(MOVIMIENTOS!$A$5:$A$1005&lt;&gt;"")*(MOVIMIENTOS!$A$5:$A$1005&lt;=$A130)*MOVIMIENTOS!$E$5:$E$1005)-SUMPRODUCT((MOVIMIENTOS!$B$5:$B$1005="VENTA")*(MOVIMIENTOS!$C$5:$C$1005="M")*(MOVIMIENTOS!$D$5:$D$1005="jabas")*(MOVIMIENTOS!$A$5:$A$1005&lt;&gt;"")*(MOVIMIENTOS!$A$5:$A$1005&lt;=$A130)*MOVIMIENTOS!$E$5:$E$1005)+SUMPRODUCT((MOVIMIENTOS!$B$5:$B$1005="AJUSTE")*(MOVIMIENTOS!$C$5:$C$1005="M")*(MOVIMIENTOS!$D$5:$D$1005="jabas")*(MOVIMIENTOS!$A$5:$A$1005&lt;&gt;"")*(MOVIMIENTOS!$A$5:$A$1005&lt;=$A130)*MOVIMIENTOS!$E$5:$E$1005))</f>
        <v/>
      </c>
      <c r="F130" s="63" t="str">
        <f>IF($A130="","",SUMPRODUCT((MOVIMIENTOS!$B$5:$B$1005="SALDO INICIAL")*(MOVIMIENTOS!$C$5:$C$1005="Chancho")*(MOVIMIENTOS!$D$5:$D$1005="sacos")*(MOVIMIENTOS!$A$5:$A$1005&lt;&gt;"")*(MOVIMIENTOS!$A$5:$A$1005&lt;=$A130)*MOVIMIENTOS!$E$5:$E$1005)+SUMPRODUCT((MOVIMIENTOS!$B$5:$B$1005="PROCESO")*(MOVIMIENTOS!$C$5:$C$1005="Chancho")*(MOVIMIENTOS!$D$5:$D$1005="sacos")*(MOVIMIENTOS!$A$5:$A$1005&lt;&gt;"")*(MOVIMIENTOS!$A$5:$A$1005&lt;=$A130)*MOVIMIENTOS!$E$5:$E$1005)-SUMPRODUCT((MOVIMIENTOS!$B$5:$B$1005="VENTA CHANCHO")*(MOVIMIENTOS!$C$5:$C$1005="Chancho")*(MOVIMIENTOS!$D$5:$D$1005="sacos")*(MOVIMIENTOS!$A$5:$A$1005&lt;&gt;"")*(MOVIMIENTOS!$A$5:$A$1005&lt;=$A130)*MOVIMIENTOS!$E$5:$E$1005)-SUMPRODUCT((MOVIMIENTOS!$B$5:$B$1005="REGALO")*(MOVIMIENTOS!$C$5:$C$1005="Chancho")*(MOVIMIENTOS!$D$5:$D$1005="sacos")*(MOVIMIENTOS!$A$5:$A$1005&lt;&gt;"")*(MOVIMIENTOS!$A$5:$A$1005&lt;=$A130)*MOVIMIENTOS!$E$5:$E$1005)-SUMPRODUCT((MOVIMIENTOS!$B$5:$B$1005="VENTA")*(MOVIMIENTOS!$C$5:$C$1005="Chancho")*(MOVIMIENTOS!$D$5:$D$1005="sacos")*(MOVIMIENTOS!$A$5:$A$1005&lt;&gt;"")*(MOVIMIENTOS!$A$5:$A$1005&lt;=$A130)*MOVIMIENTOS!$E$5:$E$1005)+SUMPRODUCT((MOVIMIENTOS!$B$5:$B$1005="AJUSTE")*(MOVIMIENTOS!$C$5:$C$1005="Chancho")*(MOVIMIENTOS!$D$5:$D$1005="sacos")*(MOVIMIENTOS!$A$5:$A$1005&lt;&gt;"")*(MOVIMIENTOS!$A$5:$A$1005&lt;=$A130)*MOVIMIENTOS!$E$5:$E$1005))</f>
        <v/>
      </c>
      <c r="G130" s="95" t="str">
        <f t="shared" si="3"/>
        <v/>
      </c>
      <c r="H130" s="63" t="str">
        <f>IF($A130="","",SUMPRODUCT((((MOVIMIENTOS!$B$5:$B$1005="SALDO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130)*MOVIMIENTOS!$J$5:$J$1005))</f>
        <v/>
      </c>
      <c r="I130" s="63"/>
      <c r="J130" s="63" t="str">
        <f>IF(AND(MOVIMIENTOS!$A130&lt;&gt;"",COUNTIF(MOVIMIENTOS!$A$5:$A129,MOVIMIENTOS!$A130)=0),COUNT(J$4:J129)+1,"")</f>
        <v/>
      </c>
      <c r="K130" s="66">
        <f>MOVIMIENTOS!$A130</f>
        <v>46225</v>
      </c>
      <c r="L130" s="63"/>
      <c r="M130" s="63"/>
      <c r="N130" s="63"/>
    </row>
    <row r="131" spans="1:14" ht="15" customHeight="1" x14ac:dyDescent="0.2">
      <c r="A131" s="63" t="str">
        <f t="shared" si="2"/>
        <v/>
      </c>
      <c r="B131" s="63" t="str">
        <f>IF($A131="","",SUMPRODUCT((MOVIMIENTOS!$B$5:$B$1005="SALDO INICIAL")*(MOVIMIENTOS!$C$5:$C$1005="A")*(MOVIMIENTOS!$D$5:$D$1005="jabas")*(MOVIMIENTOS!$A$5:$A$1005&lt;&gt;"")*(MOVIMIENTOS!$A$5:$A$1005&lt;=$A131)*MOVIMIENTOS!$E$5:$E$1005)+SUMPRODUCT((MOVIMIENTOS!$B$5:$B$1005="PROCESO")*(MOVIMIENTOS!$C$5:$C$1005="A")*(MOVIMIENTOS!$D$5:$D$1005="jabas")*(MOVIMIENTOS!$A$5:$A$1005&lt;&gt;"")*(MOVIMIENTOS!$A$5:$A$1005&lt;=$A131)*MOVIMIENTOS!$E$5:$E$1005)-SUMPRODUCT((MOVIMIENTOS!$B$5:$B$1005="ENVÍO A SUPESA")*(MOVIMIENTOS!$C$5:$C$1005="A")*(MOVIMIENTOS!$D$5:$D$1005="jabas")*(MOVIMIENTOS!$A$5:$A$1005&lt;&gt;"")*(MOVIMIENTOS!$A$5:$A$1005&lt;=$A131)*MOVIMIENTOS!$E$5:$E$1005)+SUMPRODUCT((MOVIMIENTOS!$B$5:$B$1005="DEVOLUCIÓN")*(MOVIMIENTOS!$C$5:$C$1005="A")*(MOVIMIENTOS!$D$5:$D$1005="jabas")*(MOVIMIENTOS!$A$5:$A$1005&lt;&gt;"")*(MOVIMIENTOS!$A$5:$A$1005&lt;=$A131)*MOVIMIENTOS!$E$5:$E$1005)-SUMPRODUCT((MOVIMIENTOS!$B$5:$B$1005="TRASIEGO")*(MOVIMIENTOS!$C$5:$C$1005="A")*(MOVIMIENTOS!$D$5:$D$1005="jabas")*(MOVIMIENTOS!$A$5:$A$1005&lt;&gt;"")*(MOVIMIENTOS!$A$5:$A$1005&lt;=$A131)*MOVIMIENTOS!$E$5:$E$1005)-SUMPRODUCT((MOVIMIENTOS!$B$5:$B$1005="REGALO")*(MOVIMIENTOS!$C$5:$C$1005="A")*(MOVIMIENTOS!$D$5:$D$1005="jabas")*(MOVIMIENTOS!$A$5:$A$1005&lt;&gt;"")*(MOVIMIENTOS!$A$5:$A$1005&lt;=$A131)*MOVIMIENTOS!$E$5:$E$1005)-SUMPRODUCT((MOVIMIENTOS!$B$5:$B$1005="VENTA")*(MOVIMIENTOS!$C$5:$C$1005="A")*(MOVIMIENTOS!$D$5:$D$1005="jabas")*(MOVIMIENTOS!$A$5:$A$1005&lt;&gt;"")*(MOVIMIENTOS!$A$5:$A$1005&lt;=$A131)*MOVIMIENTOS!$E$5:$E$1005)+SUMPRODUCT((MOVIMIENTOS!$B$5:$B$1005="AJUSTE")*(MOVIMIENTOS!$C$5:$C$1005="A")*(MOVIMIENTOS!$D$5:$D$1005="jabas")*(MOVIMIENTOS!$A$5:$A$1005&lt;&gt;"")*(MOVIMIENTOS!$A$5:$A$1005&lt;=$A131)*MOVIMIENTOS!$E$5:$E$1005))</f>
        <v/>
      </c>
      <c r="C131" s="63" t="str">
        <f>IF($A131="","",SUMPRODUCT((MOVIMIENTOS!$B$5:$B$1005="SALDO INICIAL")*(MOVIMIENTOS!$C$5:$C$1005="P")*(MOVIMIENTOS!$D$5:$D$1005="jabas")*(MOVIMIENTOS!$A$5:$A$1005&lt;&gt;"")*(MOVIMIENTOS!$A$5:$A$1005&lt;=$A131)*MOVIMIENTOS!$E$5:$E$1005)+SUMPRODUCT((MOVIMIENTOS!$B$5:$B$1005="PROCESO")*(MOVIMIENTOS!$C$5:$C$1005="P")*(MOVIMIENTOS!$D$5:$D$1005="jabas")*(MOVIMIENTOS!$A$5:$A$1005&lt;&gt;"")*(MOVIMIENTOS!$A$5:$A$1005&lt;=$A131)*MOVIMIENTOS!$E$5:$E$1005)-SUMPRODUCT((MOVIMIENTOS!$B$5:$B$1005="ENVÍO A SUPESA")*(MOVIMIENTOS!$C$5:$C$1005="P")*(MOVIMIENTOS!$D$5:$D$1005="jabas")*(MOVIMIENTOS!$A$5:$A$1005&lt;&gt;"")*(MOVIMIENTOS!$A$5:$A$1005&lt;=$A131)*MOVIMIENTOS!$E$5:$E$1005)+SUMPRODUCT((MOVIMIENTOS!$B$5:$B$1005="DEVOLUCIÓN")*(MOVIMIENTOS!$C$5:$C$1005="P")*(MOVIMIENTOS!$D$5:$D$1005="jabas")*(MOVIMIENTOS!$A$5:$A$1005&lt;&gt;"")*(MOVIMIENTOS!$A$5:$A$1005&lt;=$A131)*MOVIMIENTOS!$E$5:$E$1005)-SUMPRODUCT((MOVIMIENTOS!$B$5:$B$1005="TRASIEGO")*(MOVIMIENTOS!$C$5:$C$1005="P")*(MOVIMIENTOS!$D$5:$D$1005="jabas")*(MOVIMIENTOS!$A$5:$A$1005&lt;&gt;"")*(MOVIMIENTOS!$A$5:$A$1005&lt;=$A131)*MOVIMIENTOS!$E$5:$E$1005)-SUMPRODUCT((MOVIMIENTOS!$B$5:$B$1005="REGALO")*(MOVIMIENTOS!$C$5:$C$1005="P")*(MOVIMIENTOS!$D$5:$D$1005="jabas")*(MOVIMIENTOS!$A$5:$A$1005&lt;&gt;"")*(MOVIMIENTOS!$A$5:$A$1005&lt;=$A131)*MOVIMIENTOS!$E$5:$E$1005)-SUMPRODUCT((MOVIMIENTOS!$B$5:$B$1005="VENTA")*(MOVIMIENTOS!$C$5:$C$1005="P")*(MOVIMIENTOS!$D$5:$D$1005="jabas")*(MOVIMIENTOS!$A$5:$A$1005&lt;&gt;"")*(MOVIMIENTOS!$A$5:$A$1005&lt;=$A131)*MOVIMIENTOS!$E$5:$E$1005)+SUMPRODUCT((MOVIMIENTOS!$B$5:$B$1005="AJUSTE")*(MOVIMIENTOS!$C$5:$C$1005="P")*(MOVIMIENTOS!$D$5:$D$1005="jabas")*(MOVIMIENTOS!$A$5:$A$1005&lt;&gt;"")*(MOVIMIENTOS!$A$5:$A$1005&lt;=$A131)*MOVIMIENTOS!$E$5:$E$1005))</f>
        <v/>
      </c>
      <c r="D131" s="63" t="str">
        <f>IF($A131="","",SUMPRODUCT((MOVIMIENTOS!$B$5:$B$1005="SALDO INICIAL")*(MOVIMIENTOS!$C$5:$C$1005="C")*(MOVIMIENTOS!$D$5:$D$1005="jabas")*(MOVIMIENTOS!$A$5:$A$1005&lt;&gt;"")*(MOVIMIENTOS!$A$5:$A$1005&lt;=$A131)*MOVIMIENTOS!$E$5:$E$1005)+SUMPRODUCT((MOVIMIENTOS!$B$5:$B$1005="PROCESO")*(MOVIMIENTOS!$C$5:$C$1005="C")*(MOVIMIENTOS!$D$5:$D$1005="jabas")*(MOVIMIENTOS!$A$5:$A$1005&lt;&gt;"")*(MOVIMIENTOS!$A$5:$A$1005&lt;=$A131)*MOVIMIENTOS!$E$5:$E$1005)-SUMPRODUCT((MOVIMIENTOS!$B$5:$B$1005="ENVÍO A SUPESA")*(MOVIMIENTOS!$C$5:$C$1005="C")*(MOVIMIENTOS!$D$5:$D$1005="jabas")*(MOVIMIENTOS!$A$5:$A$1005&lt;&gt;"")*(MOVIMIENTOS!$A$5:$A$1005&lt;=$A131)*MOVIMIENTOS!$E$5:$E$1005)+SUMPRODUCT((MOVIMIENTOS!$B$5:$B$1005="DEVOLUCIÓN")*(MOVIMIENTOS!$C$5:$C$1005="C")*(MOVIMIENTOS!$D$5:$D$1005="jabas")*(MOVIMIENTOS!$A$5:$A$1005&lt;&gt;"")*(MOVIMIENTOS!$A$5:$A$1005&lt;=$A131)*MOVIMIENTOS!$E$5:$E$1005)-SUMPRODUCT((MOVIMIENTOS!$B$5:$B$1005="TRASIEGO")*(MOVIMIENTOS!$C$5:$C$1005="C")*(MOVIMIENTOS!$D$5:$D$1005="jabas")*(MOVIMIENTOS!$A$5:$A$1005&lt;&gt;"")*(MOVIMIENTOS!$A$5:$A$1005&lt;=$A131)*MOVIMIENTOS!$E$5:$E$1005)-SUMPRODUCT((MOVIMIENTOS!$B$5:$B$1005="REGALO")*(MOVIMIENTOS!$C$5:$C$1005="C")*(MOVIMIENTOS!$D$5:$D$1005="jabas")*(MOVIMIENTOS!$A$5:$A$1005&lt;&gt;"")*(MOVIMIENTOS!$A$5:$A$1005&lt;=$A131)*MOVIMIENTOS!$E$5:$E$1005)-SUMPRODUCT((MOVIMIENTOS!$B$5:$B$1005="VENTA")*(MOVIMIENTOS!$C$5:$C$1005="C")*(MOVIMIENTOS!$D$5:$D$1005="jabas")*(MOVIMIENTOS!$A$5:$A$1005&lt;&gt;"")*(MOVIMIENTOS!$A$5:$A$1005&lt;=$A131)*MOVIMIENTOS!$E$5:$E$1005)+SUMPRODUCT((MOVIMIENTOS!$B$5:$B$1005="AJUSTE")*(MOVIMIENTOS!$C$5:$C$1005="C")*(MOVIMIENTOS!$D$5:$D$1005="jabas")*(MOVIMIENTOS!$A$5:$A$1005&lt;&gt;"")*(MOVIMIENTOS!$A$5:$A$1005&lt;=$A131)*MOVIMIENTOS!$E$5:$E$1005))</f>
        <v/>
      </c>
      <c r="E131" s="63" t="str">
        <f>IF($A131="","",SUMPRODUCT((MOVIMIENTOS!$B$5:$B$1005="SALDO INICIAL")*(MOVIMIENTOS!$C$5:$C$1005="M")*(MOVIMIENTOS!$D$5:$D$1005="jabas")*(MOVIMIENTOS!$A$5:$A$1005&lt;&gt;"")*(MOVIMIENTOS!$A$5:$A$1005&lt;=$A131)*MOVIMIENTOS!$E$5:$E$1005)+SUMPRODUCT((MOVIMIENTOS!$B$5:$B$1005="PROCESO")*(MOVIMIENTOS!$C$5:$C$1005="M")*(MOVIMIENTOS!$D$5:$D$1005="jabas")*(MOVIMIENTOS!$A$5:$A$1005&lt;&gt;"")*(MOVIMIENTOS!$A$5:$A$1005&lt;=$A131)*MOVIMIENTOS!$E$5:$E$1005)-SUMPRODUCT((MOVIMIENTOS!$B$5:$B$1005="ENVÍO A SUPESA")*(MOVIMIENTOS!$C$5:$C$1005="M")*(MOVIMIENTOS!$D$5:$D$1005="jabas")*(MOVIMIENTOS!$A$5:$A$1005&lt;&gt;"")*(MOVIMIENTOS!$A$5:$A$1005&lt;=$A131)*MOVIMIENTOS!$E$5:$E$1005)+SUMPRODUCT((MOVIMIENTOS!$B$5:$B$1005="DEVOLUCIÓN")*(MOVIMIENTOS!$C$5:$C$1005="M")*(MOVIMIENTOS!$D$5:$D$1005="jabas")*(MOVIMIENTOS!$A$5:$A$1005&lt;&gt;"")*(MOVIMIENTOS!$A$5:$A$1005&lt;=$A131)*MOVIMIENTOS!$E$5:$E$1005)-SUMPRODUCT((MOVIMIENTOS!$B$5:$B$1005="TRASIEGO")*(MOVIMIENTOS!$C$5:$C$1005="M")*(MOVIMIENTOS!$D$5:$D$1005="jabas")*(MOVIMIENTOS!$A$5:$A$1005&lt;&gt;"")*(MOVIMIENTOS!$A$5:$A$1005&lt;=$A131)*MOVIMIENTOS!$E$5:$E$1005)-SUMPRODUCT((MOVIMIENTOS!$B$5:$B$1005="REGALO")*(MOVIMIENTOS!$C$5:$C$1005="M")*(MOVIMIENTOS!$D$5:$D$1005="jabas")*(MOVIMIENTOS!$A$5:$A$1005&lt;&gt;"")*(MOVIMIENTOS!$A$5:$A$1005&lt;=$A131)*MOVIMIENTOS!$E$5:$E$1005)-SUMPRODUCT((MOVIMIENTOS!$B$5:$B$1005="VENTA")*(MOVIMIENTOS!$C$5:$C$1005="M")*(MOVIMIENTOS!$D$5:$D$1005="jabas")*(MOVIMIENTOS!$A$5:$A$1005&lt;&gt;"")*(MOVIMIENTOS!$A$5:$A$1005&lt;=$A131)*MOVIMIENTOS!$E$5:$E$1005)+SUMPRODUCT((MOVIMIENTOS!$B$5:$B$1005="AJUSTE")*(MOVIMIENTOS!$C$5:$C$1005="M")*(MOVIMIENTOS!$D$5:$D$1005="jabas")*(MOVIMIENTOS!$A$5:$A$1005&lt;&gt;"")*(MOVIMIENTOS!$A$5:$A$1005&lt;=$A131)*MOVIMIENTOS!$E$5:$E$1005))</f>
        <v/>
      </c>
      <c r="F131" s="63" t="str">
        <f>IF($A131="","",SUMPRODUCT((MOVIMIENTOS!$B$5:$B$1005="SALDO INICIAL")*(MOVIMIENTOS!$C$5:$C$1005="Chancho")*(MOVIMIENTOS!$D$5:$D$1005="sacos")*(MOVIMIENTOS!$A$5:$A$1005&lt;&gt;"")*(MOVIMIENTOS!$A$5:$A$1005&lt;=$A131)*MOVIMIENTOS!$E$5:$E$1005)+SUMPRODUCT((MOVIMIENTOS!$B$5:$B$1005="PROCESO")*(MOVIMIENTOS!$C$5:$C$1005="Chancho")*(MOVIMIENTOS!$D$5:$D$1005="sacos")*(MOVIMIENTOS!$A$5:$A$1005&lt;&gt;"")*(MOVIMIENTOS!$A$5:$A$1005&lt;=$A131)*MOVIMIENTOS!$E$5:$E$1005)-SUMPRODUCT((MOVIMIENTOS!$B$5:$B$1005="VENTA CHANCHO")*(MOVIMIENTOS!$C$5:$C$1005="Chancho")*(MOVIMIENTOS!$D$5:$D$1005="sacos")*(MOVIMIENTOS!$A$5:$A$1005&lt;&gt;"")*(MOVIMIENTOS!$A$5:$A$1005&lt;=$A131)*MOVIMIENTOS!$E$5:$E$1005)-SUMPRODUCT((MOVIMIENTOS!$B$5:$B$1005="REGALO")*(MOVIMIENTOS!$C$5:$C$1005="Chancho")*(MOVIMIENTOS!$D$5:$D$1005="sacos")*(MOVIMIENTOS!$A$5:$A$1005&lt;&gt;"")*(MOVIMIENTOS!$A$5:$A$1005&lt;=$A131)*MOVIMIENTOS!$E$5:$E$1005)-SUMPRODUCT((MOVIMIENTOS!$B$5:$B$1005="VENTA")*(MOVIMIENTOS!$C$5:$C$1005="Chancho")*(MOVIMIENTOS!$D$5:$D$1005="sacos")*(MOVIMIENTOS!$A$5:$A$1005&lt;&gt;"")*(MOVIMIENTOS!$A$5:$A$1005&lt;=$A131)*MOVIMIENTOS!$E$5:$E$1005)+SUMPRODUCT((MOVIMIENTOS!$B$5:$B$1005="AJUSTE")*(MOVIMIENTOS!$C$5:$C$1005="Chancho")*(MOVIMIENTOS!$D$5:$D$1005="sacos")*(MOVIMIENTOS!$A$5:$A$1005&lt;&gt;"")*(MOVIMIENTOS!$A$5:$A$1005&lt;=$A131)*MOVIMIENTOS!$E$5:$E$1005))</f>
        <v/>
      </c>
      <c r="G131" s="95" t="str">
        <f t="shared" si="3"/>
        <v/>
      </c>
      <c r="H131" s="63" t="str">
        <f>IF($A131="","",SUMPRODUCT((((MOVIMIENTOS!$B$5:$B$1005="SALDO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131)*MOVIMIENTOS!$J$5:$J$1005))</f>
        <v/>
      </c>
      <c r="I131" s="63"/>
      <c r="J131" s="63" t="str">
        <f>IF(AND(MOVIMIENTOS!$A131&lt;&gt;"",COUNTIF(MOVIMIENTOS!$A$5:$A130,MOVIMIENTOS!$A131)=0),COUNT(J$4:J130)+1,"")</f>
        <v/>
      </c>
      <c r="K131" s="66">
        <f>MOVIMIENTOS!$A131</f>
        <v>46225</v>
      </c>
      <c r="L131" s="63"/>
      <c r="M131" s="63"/>
      <c r="N131" s="63"/>
    </row>
    <row r="132" spans="1:14" ht="15" customHeight="1" x14ac:dyDescent="0.2">
      <c r="A132" s="63" t="str">
        <f t="shared" si="2"/>
        <v/>
      </c>
      <c r="B132" s="63" t="str">
        <f>IF($A132="","",SUMPRODUCT((MOVIMIENTOS!$B$5:$B$1005="SALDO INICIAL")*(MOVIMIENTOS!$C$5:$C$1005="A")*(MOVIMIENTOS!$D$5:$D$1005="jabas")*(MOVIMIENTOS!$A$5:$A$1005&lt;&gt;"")*(MOVIMIENTOS!$A$5:$A$1005&lt;=$A132)*MOVIMIENTOS!$E$5:$E$1005)+SUMPRODUCT((MOVIMIENTOS!$B$5:$B$1005="PROCESO")*(MOVIMIENTOS!$C$5:$C$1005="A")*(MOVIMIENTOS!$D$5:$D$1005="jabas")*(MOVIMIENTOS!$A$5:$A$1005&lt;&gt;"")*(MOVIMIENTOS!$A$5:$A$1005&lt;=$A132)*MOVIMIENTOS!$E$5:$E$1005)-SUMPRODUCT((MOVIMIENTOS!$B$5:$B$1005="ENVÍO A SUPESA")*(MOVIMIENTOS!$C$5:$C$1005="A")*(MOVIMIENTOS!$D$5:$D$1005="jabas")*(MOVIMIENTOS!$A$5:$A$1005&lt;&gt;"")*(MOVIMIENTOS!$A$5:$A$1005&lt;=$A132)*MOVIMIENTOS!$E$5:$E$1005)+SUMPRODUCT((MOVIMIENTOS!$B$5:$B$1005="DEVOLUCIÓN")*(MOVIMIENTOS!$C$5:$C$1005="A")*(MOVIMIENTOS!$D$5:$D$1005="jabas")*(MOVIMIENTOS!$A$5:$A$1005&lt;&gt;"")*(MOVIMIENTOS!$A$5:$A$1005&lt;=$A132)*MOVIMIENTOS!$E$5:$E$1005)-SUMPRODUCT((MOVIMIENTOS!$B$5:$B$1005="TRASIEGO")*(MOVIMIENTOS!$C$5:$C$1005="A")*(MOVIMIENTOS!$D$5:$D$1005="jabas")*(MOVIMIENTOS!$A$5:$A$1005&lt;&gt;"")*(MOVIMIENTOS!$A$5:$A$1005&lt;=$A132)*MOVIMIENTOS!$E$5:$E$1005)-SUMPRODUCT((MOVIMIENTOS!$B$5:$B$1005="REGALO")*(MOVIMIENTOS!$C$5:$C$1005="A")*(MOVIMIENTOS!$D$5:$D$1005="jabas")*(MOVIMIENTOS!$A$5:$A$1005&lt;&gt;"")*(MOVIMIENTOS!$A$5:$A$1005&lt;=$A132)*MOVIMIENTOS!$E$5:$E$1005)-SUMPRODUCT((MOVIMIENTOS!$B$5:$B$1005="VENTA")*(MOVIMIENTOS!$C$5:$C$1005="A")*(MOVIMIENTOS!$D$5:$D$1005="jabas")*(MOVIMIENTOS!$A$5:$A$1005&lt;&gt;"")*(MOVIMIENTOS!$A$5:$A$1005&lt;=$A132)*MOVIMIENTOS!$E$5:$E$1005)+SUMPRODUCT((MOVIMIENTOS!$B$5:$B$1005="AJUSTE")*(MOVIMIENTOS!$C$5:$C$1005="A")*(MOVIMIENTOS!$D$5:$D$1005="jabas")*(MOVIMIENTOS!$A$5:$A$1005&lt;&gt;"")*(MOVIMIENTOS!$A$5:$A$1005&lt;=$A132)*MOVIMIENTOS!$E$5:$E$1005))</f>
        <v/>
      </c>
      <c r="C132" s="63" t="str">
        <f>IF($A132="","",SUMPRODUCT((MOVIMIENTOS!$B$5:$B$1005="SALDO INICIAL")*(MOVIMIENTOS!$C$5:$C$1005="P")*(MOVIMIENTOS!$D$5:$D$1005="jabas")*(MOVIMIENTOS!$A$5:$A$1005&lt;&gt;"")*(MOVIMIENTOS!$A$5:$A$1005&lt;=$A132)*MOVIMIENTOS!$E$5:$E$1005)+SUMPRODUCT((MOVIMIENTOS!$B$5:$B$1005="PROCESO")*(MOVIMIENTOS!$C$5:$C$1005="P")*(MOVIMIENTOS!$D$5:$D$1005="jabas")*(MOVIMIENTOS!$A$5:$A$1005&lt;&gt;"")*(MOVIMIENTOS!$A$5:$A$1005&lt;=$A132)*MOVIMIENTOS!$E$5:$E$1005)-SUMPRODUCT((MOVIMIENTOS!$B$5:$B$1005="ENVÍO A SUPESA")*(MOVIMIENTOS!$C$5:$C$1005="P")*(MOVIMIENTOS!$D$5:$D$1005="jabas")*(MOVIMIENTOS!$A$5:$A$1005&lt;&gt;"")*(MOVIMIENTOS!$A$5:$A$1005&lt;=$A132)*MOVIMIENTOS!$E$5:$E$1005)+SUMPRODUCT((MOVIMIENTOS!$B$5:$B$1005="DEVOLUCIÓN")*(MOVIMIENTOS!$C$5:$C$1005="P")*(MOVIMIENTOS!$D$5:$D$1005="jabas")*(MOVIMIENTOS!$A$5:$A$1005&lt;&gt;"")*(MOVIMIENTOS!$A$5:$A$1005&lt;=$A132)*MOVIMIENTOS!$E$5:$E$1005)-SUMPRODUCT((MOVIMIENTOS!$B$5:$B$1005="TRASIEGO")*(MOVIMIENTOS!$C$5:$C$1005="P")*(MOVIMIENTOS!$D$5:$D$1005="jabas")*(MOVIMIENTOS!$A$5:$A$1005&lt;&gt;"")*(MOVIMIENTOS!$A$5:$A$1005&lt;=$A132)*MOVIMIENTOS!$E$5:$E$1005)-SUMPRODUCT((MOVIMIENTOS!$B$5:$B$1005="REGALO")*(MOVIMIENTOS!$C$5:$C$1005="P")*(MOVIMIENTOS!$D$5:$D$1005="jabas")*(MOVIMIENTOS!$A$5:$A$1005&lt;&gt;"")*(MOVIMIENTOS!$A$5:$A$1005&lt;=$A132)*MOVIMIENTOS!$E$5:$E$1005)-SUMPRODUCT((MOVIMIENTOS!$B$5:$B$1005="VENTA")*(MOVIMIENTOS!$C$5:$C$1005="P")*(MOVIMIENTOS!$D$5:$D$1005="jabas")*(MOVIMIENTOS!$A$5:$A$1005&lt;&gt;"")*(MOVIMIENTOS!$A$5:$A$1005&lt;=$A132)*MOVIMIENTOS!$E$5:$E$1005)+SUMPRODUCT((MOVIMIENTOS!$B$5:$B$1005="AJUSTE")*(MOVIMIENTOS!$C$5:$C$1005="P")*(MOVIMIENTOS!$D$5:$D$1005="jabas")*(MOVIMIENTOS!$A$5:$A$1005&lt;&gt;"")*(MOVIMIENTOS!$A$5:$A$1005&lt;=$A132)*MOVIMIENTOS!$E$5:$E$1005))</f>
        <v/>
      </c>
      <c r="D132" s="63" t="str">
        <f>IF($A132="","",SUMPRODUCT((MOVIMIENTOS!$B$5:$B$1005="SALDO INICIAL")*(MOVIMIENTOS!$C$5:$C$1005="C")*(MOVIMIENTOS!$D$5:$D$1005="jabas")*(MOVIMIENTOS!$A$5:$A$1005&lt;&gt;"")*(MOVIMIENTOS!$A$5:$A$1005&lt;=$A132)*MOVIMIENTOS!$E$5:$E$1005)+SUMPRODUCT((MOVIMIENTOS!$B$5:$B$1005="PROCESO")*(MOVIMIENTOS!$C$5:$C$1005="C")*(MOVIMIENTOS!$D$5:$D$1005="jabas")*(MOVIMIENTOS!$A$5:$A$1005&lt;&gt;"")*(MOVIMIENTOS!$A$5:$A$1005&lt;=$A132)*MOVIMIENTOS!$E$5:$E$1005)-SUMPRODUCT((MOVIMIENTOS!$B$5:$B$1005="ENVÍO A SUPESA")*(MOVIMIENTOS!$C$5:$C$1005="C")*(MOVIMIENTOS!$D$5:$D$1005="jabas")*(MOVIMIENTOS!$A$5:$A$1005&lt;&gt;"")*(MOVIMIENTOS!$A$5:$A$1005&lt;=$A132)*MOVIMIENTOS!$E$5:$E$1005)+SUMPRODUCT((MOVIMIENTOS!$B$5:$B$1005="DEVOLUCIÓN")*(MOVIMIENTOS!$C$5:$C$1005="C")*(MOVIMIENTOS!$D$5:$D$1005="jabas")*(MOVIMIENTOS!$A$5:$A$1005&lt;&gt;"")*(MOVIMIENTOS!$A$5:$A$1005&lt;=$A132)*MOVIMIENTOS!$E$5:$E$1005)-SUMPRODUCT((MOVIMIENTOS!$B$5:$B$1005="TRASIEGO")*(MOVIMIENTOS!$C$5:$C$1005="C")*(MOVIMIENTOS!$D$5:$D$1005="jabas")*(MOVIMIENTOS!$A$5:$A$1005&lt;&gt;"")*(MOVIMIENTOS!$A$5:$A$1005&lt;=$A132)*MOVIMIENTOS!$E$5:$E$1005)-SUMPRODUCT((MOVIMIENTOS!$B$5:$B$1005="REGALO")*(MOVIMIENTOS!$C$5:$C$1005="C")*(MOVIMIENTOS!$D$5:$D$1005="jabas")*(MOVIMIENTOS!$A$5:$A$1005&lt;&gt;"")*(MOVIMIENTOS!$A$5:$A$1005&lt;=$A132)*MOVIMIENTOS!$E$5:$E$1005)-SUMPRODUCT((MOVIMIENTOS!$B$5:$B$1005="VENTA")*(MOVIMIENTOS!$C$5:$C$1005="C")*(MOVIMIENTOS!$D$5:$D$1005="jabas")*(MOVIMIENTOS!$A$5:$A$1005&lt;&gt;"")*(MOVIMIENTOS!$A$5:$A$1005&lt;=$A132)*MOVIMIENTOS!$E$5:$E$1005)+SUMPRODUCT((MOVIMIENTOS!$B$5:$B$1005="AJUSTE")*(MOVIMIENTOS!$C$5:$C$1005="C")*(MOVIMIENTOS!$D$5:$D$1005="jabas")*(MOVIMIENTOS!$A$5:$A$1005&lt;&gt;"")*(MOVIMIENTOS!$A$5:$A$1005&lt;=$A132)*MOVIMIENTOS!$E$5:$E$1005))</f>
        <v/>
      </c>
      <c r="E132" s="63" t="str">
        <f>IF($A132="","",SUMPRODUCT((MOVIMIENTOS!$B$5:$B$1005="SALDO INICIAL")*(MOVIMIENTOS!$C$5:$C$1005="M")*(MOVIMIENTOS!$D$5:$D$1005="jabas")*(MOVIMIENTOS!$A$5:$A$1005&lt;&gt;"")*(MOVIMIENTOS!$A$5:$A$1005&lt;=$A132)*MOVIMIENTOS!$E$5:$E$1005)+SUMPRODUCT((MOVIMIENTOS!$B$5:$B$1005="PROCESO")*(MOVIMIENTOS!$C$5:$C$1005="M")*(MOVIMIENTOS!$D$5:$D$1005="jabas")*(MOVIMIENTOS!$A$5:$A$1005&lt;&gt;"")*(MOVIMIENTOS!$A$5:$A$1005&lt;=$A132)*MOVIMIENTOS!$E$5:$E$1005)-SUMPRODUCT((MOVIMIENTOS!$B$5:$B$1005="ENVÍO A SUPESA")*(MOVIMIENTOS!$C$5:$C$1005="M")*(MOVIMIENTOS!$D$5:$D$1005="jabas")*(MOVIMIENTOS!$A$5:$A$1005&lt;&gt;"")*(MOVIMIENTOS!$A$5:$A$1005&lt;=$A132)*MOVIMIENTOS!$E$5:$E$1005)+SUMPRODUCT((MOVIMIENTOS!$B$5:$B$1005="DEVOLUCIÓN")*(MOVIMIENTOS!$C$5:$C$1005="M")*(MOVIMIENTOS!$D$5:$D$1005="jabas")*(MOVIMIENTOS!$A$5:$A$1005&lt;&gt;"")*(MOVIMIENTOS!$A$5:$A$1005&lt;=$A132)*MOVIMIENTOS!$E$5:$E$1005)-SUMPRODUCT((MOVIMIENTOS!$B$5:$B$1005="TRASIEGO")*(MOVIMIENTOS!$C$5:$C$1005="M")*(MOVIMIENTOS!$D$5:$D$1005="jabas")*(MOVIMIENTOS!$A$5:$A$1005&lt;&gt;"")*(MOVIMIENTOS!$A$5:$A$1005&lt;=$A132)*MOVIMIENTOS!$E$5:$E$1005)-SUMPRODUCT((MOVIMIENTOS!$B$5:$B$1005="REGALO")*(MOVIMIENTOS!$C$5:$C$1005="M")*(MOVIMIENTOS!$D$5:$D$1005="jabas")*(MOVIMIENTOS!$A$5:$A$1005&lt;&gt;"")*(MOVIMIENTOS!$A$5:$A$1005&lt;=$A132)*MOVIMIENTOS!$E$5:$E$1005)-SUMPRODUCT((MOVIMIENTOS!$B$5:$B$1005="VENTA")*(MOVIMIENTOS!$C$5:$C$1005="M")*(MOVIMIENTOS!$D$5:$D$1005="jabas")*(MOVIMIENTOS!$A$5:$A$1005&lt;&gt;"")*(MOVIMIENTOS!$A$5:$A$1005&lt;=$A132)*MOVIMIENTOS!$E$5:$E$1005)+SUMPRODUCT((MOVIMIENTOS!$B$5:$B$1005="AJUSTE")*(MOVIMIENTOS!$C$5:$C$1005="M")*(MOVIMIENTOS!$D$5:$D$1005="jabas")*(MOVIMIENTOS!$A$5:$A$1005&lt;&gt;"")*(MOVIMIENTOS!$A$5:$A$1005&lt;=$A132)*MOVIMIENTOS!$E$5:$E$1005))</f>
        <v/>
      </c>
      <c r="F132" s="63" t="str">
        <f>IF($A132="","",SUMPRODUCT((MOVIMIENTOS!$B$5:$B$1005="SALDO INICIAL")*(MOVIMIENTOS!$C$5:$C$1005="Chancho")*(MOVIMIENTOS!$D$5:$D$1005="sacos")*(MOVIMIENTOS!$A$5:$A$1005&lt;&gt;"")*(MOVIMIENTOS!$A$5:$A$1005&lt;=$A132)*MOVIMIENTOS!$E$5:$E$1005)+SUMPRODUCT((MOVIMIENTOS!$B$5:$B$1005="PROCESO")*(MOVIMIENTOS!$C$5:$C$1005="Chancho")*(MOVIMIENTOS!$D$5:$D$1005="sacos")*(MOVIMIENTOS!$A$5:$A$1005&lt;&gt;"")*(MOVIMIENTOS!$A$5:$A$1005&lt;=$A132)*MOVIMIENTOS!$E$5:$E$1005)-SUMPRODUCT((MOVIMIENTOS!$B$5:$B$1005="VENTA CHANCHO")*(MOVIMIENTOS!$C$5:$C$1005="Chancho")*(MOVIMIENTOS!$D$5:$D$1005="sacos")*(MOVIMIENTOS!$A$5:$A$1005&lt;&gt;"")*(MOVIMIENTOS!$A$5:$A$1005&lt;=$A132)*MOVIMIENTOS!$E$5:$E$1005)-SUMPRODUCT((MOVIMIENTOS!$B$5:$B$1005="REGALO")*(MOVIMIENTOS!$C$5:$C$1005="Chancho")*(MOVIMIENTOS!$D$5:$D$1005="sacos")*(MOVIMIENTOS!$A$5:$A$1005&lt;&gt;"")*(MOVIMIENTOS!$A$5:$A$1005&lt;=$A132)*MOVIMIENTOS!$E$5:$E$1005)-SUMPRODUCT((MOVIMIENTOS!$B$5:$B$1005="VENTA")*(MOVIMIENTOS!$C$5:$C$1005="Chancho")*(MOVIMIENTOS!$D$5:$D$1005="sacos")*(MOVIMIENTOS!$A$5:$A$1005&lt;&gt;"")*(MOVIMIENTOS!$A$5:$A$1005&lt;=$A132)*MOVIMIENTOS!$E$5:$E$1005)+SUMPRODUCT((MOVIMIENTOS!$B$5:$B$1005="AJUSTE")*(MOVIMIENTOS!$C$5:$C$1005="Chancho")*(MOVIMIENTOS!$D$5:$D$1005="sacos")*(MOVIMIENTOS!$A$5:$A$1005&lt;&gt;"")*(MOVIMIENTOS!$A$5:$A$1005&lt;=$A132)*MOVIMIENTOS!$E$5:$E$1005))</f>
        <v/>
      </c>
      <c r="G132" s="95" t="str">
        <f t="shared" si="3"/>
        <v/>
      </c>
      <c r="H132" s="63" t="str">
        <f>IF($A132="","",SUMPRODUCT((((MOVIMIENTOS!$B$5:$B$1005="SALDO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132)*MOVIMIENTOS!$J$5:$J$1005))</f>
        <v/>
      </c>
      <c r="I132" s="63"/>
      <c r="J132" s="63" t="str">
        <f>IF(AND(MOVIMIENTOS!$A132&lt;&gt;"",COUNTIF(MOVIMIENTOS!$A$5:$A131,MOVIMIENTOS!$A132)=0),COUNT(J$4:J131)+1,"")</f>
        <v/>
      </c>
      <c r="K132" s="66">
        <f>MOVIMIENTOS!$A132</f>
        <v>46225</v>
      </c>
      <c r="L132" s="63"/>
      <c r="M132" s="63"/>
      <c r="N132" s="63"/>
    </row>
    <row r="133" spans="1:14" ht="15" customHeight="1" x14ac:dyDescent="0.2">
      <c r="A133" s="63" t="str">
        <f t="shared" ref="A133:A196" si="4">IFERROR(INDEX(K$5:K$1000,MATCH(ROW()-4,J$5:J$1000,0)),"")</f>
        <v/>
      </c>
      <c r="B133" s="63" t="str">
        <f>IF($A133="","",SUMPRODUCT((MOVIMIENTOS!$B$5:$B$1005="SALDO INICIAL")*(MOVIMIENTOS!$C$5:$C$1005="A")*(MOVIMIENTOS!$D$5:$D$1005="jabas")*(MOVIMIENTOS!$A$5:$A$1005&lt;&gt;"")*(MOVIMIENTOS!$A$5:$A$1005&lt;=$A133)*MOVIMIENTOS!$E$5:$E$1005)+SUMPRODUCT((MOVIMIENTOS!$B$5:$B$1005="PROCESO")*(MOVIMIENTOS!$C$5:$C$1005="A")*(MOVIMIENTOS!$D$5:$D$1005="jabas")*(MOVIMIENTOS!$A$5:$A$1005&lt;&gt;"")*(MOVIMIENTOS!$A$5:$A$1005&lt;=$A133)*MOVIMIENTOS!$E$5:$E$1005)-SUMPRODUCT((MOVIMIENTOS!$B$5:$B$1005="ENVÍO A SUPESA")*(MOVIMIENTOS!$C$5:$C$1005="A")*(MOVIMIENTOS!$D$5:$D$1005="jabas")*(MOVIMIENTOS!$A$5:$A$1005&lt;&gt;"")*(MOVIMIENTOS!$A$5:$A$1005&lt;=$A133)*MOVIMIENTOS!$E$5:$E$1005)+SUMPRODUCT((MOVIMIENTOS!$B$5:$B$1005="DEVOLUCIÓN")*(MOVIMIENTOS!$C$5:$C$1005="A")*(MOVIMIENTOS!$D$5:$D$1005="jabas")*(MOVIMIENTOS!$A$5:$A$1005&lt;&gt;"")*(MOVIMIENTOS!$A$5:$A$1005&lt;=$A133)*MOVIMIENTOS!$E$5:$E$1005)-SUMPRODUCT((MOVIMIENTOS!$B$5:$B$1005="TRASIEGO")*(MOVIMIENTOS!$C$5:$C$1005="A")*(MOVIMIENTOS!$D$5:$D$1005="jabas")*(MOVIMIENTOS!$A$5:$A$1005&lt;&gt;"")*(MOVIMIENTOS!$A$5:$A$1005&lt;=$A133)*MOVIMIENTOS!$E$5:$E$1005)-SUMPRODUCT((MOVIMIENTOS!$B$5:$B$1005="REGALO")*(MOVIMIENTOS!$C$5:$C$1005="A")*(MOVIMIENTOS!$D$5:$D$1005="jabas")*(MOVIMIENTOS!$A$5:$A$1005&lt;&gt;"")*(MOVIMIENTOS!$A$5:$A$1005&lt;=$A133)*MOVIMIENTOS!$E$5:$E$1005)-SUMPRODUCT((MOVIMIENTOS!$B$5:$B$1005="VENTA")*(MOVIMIENTOS!$C$5:$C$1005="A")*(MOVIMIENTOS!$D$5:$D$1005="jabas")*(MOVIMIENTOS!$A$5:$A$1005&lt;&gt;"")*(MOVIMIENTOS!$A$5:$A$1005&lt;=$A133)*MOVIMIENTOS!$E$5:$E$1005)+SUMPRODUCT((MOVIMIENTOS!$B$5:$B$1005="AJUSTE")*(MOVIMIENTOS!$C$5:$C$1005="A")*(MOVIMIENTOS!$D$5:$D$1005="jabas")*(MOVIMIENTOS!$A$5:$A$1005&lt;&gt;"")*(MOVIMIENTOS!$A$5:$A$1005&lt;=$A133)*MOVIMIENTOS!$E$5:$E$1005))</f>
        <v/>
      </c>
      <c r="C133" s="63" t="str">
        <f>IF($A133="","",SUMPRODUCT((MOVIMIENTOS!$B$5:$B$1005="SALDO INICIAL")*(MOVIMIENTOS!$C$5:$C$1005="P")*(MOVIMIENTOS!$D$5:$D$1005="jabas")*(MOVIMIENTOS!$A$5:$A$1005&lt;&gt;"")*(MOVIMIENTOS!$A$5:$A$1005&lt;=$A133)*MOVIMIENTOS!$E$5:$E$1005)+SUMPRODUCT((MOVIMIENTOS!$B$5:$B$1005="PROCESO")*(MOVIMIENTOS!$C$5:$C$1005="P")*(MOVIMIENTOS!$D$5:$D$1005="jabas")*(MOVIMIENTOS!$A$5:$A$1005&lt;&gt;"")*(MOVIMIENTOS!$A$5:$A$1005&lt;=$A133)*MOVIMIENTOS!$E$5:$E$1005)-SUMPRODUCT((MOVIMIENTOS!$B$5:$B$1005="ENVÍO A SUPESA")*(MOVIMIENTOS!$C$5:$C$1005="P")*(MOVIMIENTOS!$D$5:$D$1005="jabas")*(MOVIMIENTOS!$A$5:$A$1005&lt;&gt;"")*(MOVIMIENTOS!$A$5:$A$1005&lt;=$A133)*MOVIMIENTOS!$E$5:$E$1005)+SUMPRODUCT((MOVIMIENTOS!$B$5:$B$1005="DEVOLUCIÓN")*(MOVIMIENTOS!$C$5:$C$1005="P")*(MOVIMIENTOS!$D$5:$D$1005="jabas")*(MOVIMIENTOS!$A$5:$A$1005&lt;&gt;"")*(MOVIMIENTOS!$A$5:$A$1005&lt;=$A133)*MOVIMIENTOS!$E$5:$E$1005)-SUMPRODUCT((MOVIMIENTOS!$B$5:$B$1005="TRASIEGO")*(MOVIMIENTOS!$C$5:$C$1005="P")*(MOVIMIENTOS!$D$5:$D$1005="jabas")*(MOVIMIENTOS!$A$5:$A$1005&lt;&gt;"")*(MOVIMIENTOS!$A$5:$A$1005&lt;=$A133)*MOVIMIENTOS!$E$5:$E$1005)-SUMPRODUCT((MOVIMIENTOS!$B$5:$B$1005="REGALO")*(MOVIMIENTOS!$C$5:$C$1005="P")*(MOVIMIENTOS!$D$5:$D$1005="jabas")*(MOVIMIENTOS!$A$5:$A$1005&lt;&gt;"")*(MOVIMIENTOS!$A$5:$A$1005&lt;=$A133)*MOVIMIENTOS!$E$5:$E$1005)-SUMPRODUCT((MOVIMIENTOS!$B$5:$B$1005="VENTA")*(MOVIMIENTOS!$C$5:$C$1005="P")*(MOVIMIENTOS!$D$5:$D$1005="jabas")*(MOVIMIENTOS!$A$5:$A$1005&lt;&gt;"")*(MOVIMIENTOS!$A$5:$A$1005&lt;=$A133)*MOVIMIENTOS!$E$5:$E$1005)+SUMPRODUCT((MOVIMIENTOS!$B$5:$B$1005="AJUSTE")*(MOVIMIENTOS!$C$5:$C$1005="P")*(MOVIMIENTOS!$D$5:$D$1005="jabas")*(MOVIMIENTOS!$A$5:$A$1005&lt;&gt;"")*(MOVIMIENTOS!$A$5:$A$1005&lt;=$A133)*MOVIMIENTOS!$E$5:$E$1005))</f>
        <v/>
      </c>
      <c r="D133" s="63" t="str">
        <f>IF($A133="","",SUMPRODUCT((MOVIMIENTOS!$B$5:$B$1005="SALDO INICIAL")*(MOVIMIENTOS!$C$5:$C$1005="C")*(MOVIMIENTOS!$D$5:$D$1005="jabas")*(MOVIMIENTOS!$A$5:$A$1005&lt;&gt;"")*(MOVIMIENTOS!$A$5:$A$1005&lt;=$A133)*MOVIMIENTOS!$E$5:$E$1005)+SUMPRODUCT((MOVIMIENTOS!$B$5:$B$1005="PROCESO")*(MOVIMIENTOS!$C$5:$C$1005="C")*(MOVIMIENTOS!$D$5:$D$1005="jabas")*(MOVIMIENTOS!$A$5:$A$1005&lt;&gt;"")*(MOVIMIENTOS!$A$5:$A$1005&lt;=$A133)*MOVIMIENTOS!$E$5:$E$1005)-SUMPRODUCT((MOVIMIENTOS!$B$5:$B$1005="ENVÍO A SUPESA")*(MOVIMIENTOS!$C$5:$C$1005="C")*(MOVIMIENTOS!$D$5:$D$1005="jabas")*(MOVIMIENTOS!$A$5:$A$1005&lt;&gt;"")*(MOVIMIENTOS!$A$5:$A$1005&lt;=$A133)*MOVIMIENTOS!$E$5:$E$1005)+SUMPRODUCT((MOVIMIENTOS!$B$5:$B$1005="DEVOLUCIÓN")*(MOVIMIENTOS!$C$5:$C$1005="C")*(MOVIMIENTOS!$D$5:$D$1005="jabas")*(MOVIMIENTOS!$A$5:$A$1005&lt;&gt;"")*(MOVIMIENTOS!$A$5:$A$1005&lt;=$A133)*MOVIMIENTOS!$E$5:$E$1005)-SUMPRODUCT((MOVIMIENTOS!$B$5:$B$1005="TRASIEGO")*(MOVIMIENTOS!$C$5:$C$1005="C")*(MOVIMIENTOS!$D$5:$D$1005="jabas")*(MOVIMIENTOS!$A$5:$A$1005&lt;&gt;"")*(MOVIMIENTOS!$A$5:$A$1005&lt;=$A133)*MOVIMIENTOS!$E$5:$E$1005)-SUMPRODUCT((MOVIMIENTOS!$B$5:$B$1005="REGALO")*(MOVIMIENTOS!$C$5:$C$1005="C")*(MOVIMIENTOS!$D$5:$D$1005="jabas")*(MOVIMIENTOS!$A$5:$A$1005&lt;&gt;"")*(MOVIMIENTOS!$A$5:$A$1005&lt;=$A133)*MOVIMIENTOS!$E$5:$E$1005)-SUMPRODUCT((MOVIMIENTOS!$B$5:$B$1005="VENTA")*(MOVIMIENTOS!$C$5:$C$1005="C")*(MOVIMIENTOS!$D$5:$D$1005="jabas")*(MOVIMIENTOS!$A$5:$A$1005&lt;&gt;"")*(MOVIMIENTOS!$A$5:$A$1005&lt;=$A133)*MOVIMIENTOS!$E$5:$E$1005)+SUMPRODUCT((MOVIMIENTOS!$B$5:$B$1005="AJUSTE")*(MOVIMIENTOS!$C$5:$C$1005="C")*(MOVIMIENTOS!$D$5:$D$1005="jabas")*(MOVIMIENTOS!$A$5:$A$1005&lt;&gt;"")*(MOVIMIENTOS!$A$5:$A$1005&lt;=$A133)*MOVIMIENTOS!$E$5:$E$1005))</f>
        <v/>
      </c>
      <c r="E133" s="63" t="str">
        <f>IF($A133="","",SUMPRODUCT((MOVIMIENTOS!$B$5:$B$1005="SALDO INICIAL")*(MOVIMIENTOS!$C$5:$C$1005="M")*(MOVIMIENTOS!$D$5:$D$1005="jabas")*(MOVIMIENTOS!$A$5:$A$1005&lt;&gt;"")*(MOVIMIENTOS!$A$5:$A$1005&lt;=$A133)*MOVIMIENTOS!$E$5:$E$1005)+SUMPRODUCT((MOVIMIENTOS!$B$5:$B$1005="PROCESO")*(MOVIMIENTOS!$C$5:$C$1005="M")*(MOVIMIENTOS!$D$5:$D$1005="jabas")*(MOVIMIENTOS!$A$5:$A$1005&lt;&gt;"")*(MOVIMIENTOS!$A$5:$A$1005&lt;=$A133)*MOVIMIENTOS!$E$5:$E$1005)-SUMPRODUCT((MOVIMIENTOS!$B$5:$B$1005="ENVÍO A SUPESA")*(MOVIMIENTOS!$C$5:$C$1005="M")*(MOVIMIENTOS!$D$5:$D$1005="jabas")*(MOVIMIENTOS!$A$5:$A$1005&lt;&gt;"")*(MOVIMIENTOS!$A$5:$A$1005&lt;=$A133)*MOVIMIENTOS!$E$5:$E$1005)+SUMPRODUCT((MOVIMIENTOS!$B$5:$B$1005="DEVOLUCIÓN")*(MOVIMIENTOS!$C$5:$C$1005="M")*(MOVIMIENTOS!$D$5:$D$1005="jabas")*(MOVIMIENTOS!$A$5:$A$1005&lt;&gt;"")*(MOVIMIENTOS!$A$5:$A$1005&lt;=$A133)*MOVIMIENTOS!$E$5:$E$1005)-SUMPRODUCT((MOVIMIENTOS!$B$5:$B$1005="TRASIEGO")*(MOVIMIENTOS!$C$5:$C$1005="M")*(MOVIMIENTOS!$D$5:$D$1005="jabas")*(MOVIMIENTOS!$A$5:$A$1005&lt;&gt;"")*(MOVIMIENTOS!$A$5:$A$1005&lt;=$A133)*MOVIMIENTOS!$E$5:$E$1005)-SUMPRODUCT((MOVIMIENTOS!$B$5:$B$1005="REGALO")*(MOVIMIENTOS!$C$5:$C$1005="M")*(MOVIMIENTOS!$D$5:$D$1005="jabas")*(MOVIMIENTOS!$A$5:$A$1005&lt;&gt;"")*(MOVIMIENTOS!$A$5:$A$1005&lt;=$A133)*MOVIMIENTOS!$E$5:$E$1005)-SUMPRODUCT((MOVIMIENTOS!$B$5:$B$1005="VENTA")*(MOVIMIENTOS!$C$5:$C$1005="M")*(MOVIMIENTOS!$D$5:$D$1005="jabas")*(MOVIMIENTOS!$A$5:$A$1005&lt;&gt;"")*(MOVIMIENTOS!$A$5:$A$1005&lt;=$A133)*MOVIMIENTOS!$E$5:$E$1005)+SUMPRODUCT((MOVIMIENTOS!$B$5:$B$1005="AJUSTE")*(MOVIMIENTOS!$C$5:$C$1005="M")*(MOVIMIENTOS!$D$5:$D$1005="jabas")*(MOVIMIENTOS!$A$5:$A$1005&lt;&gt;"")*(MOVIMIENTOS!$A$5:$A$1005&lt;=$A133)*MOVIMIENTOS!$E$5:$E$1005))</f>
        <v/>
      </c>
      <c r="F133" s="63" t="str">
        <f>IF($A133="","",SUMPRODUCT((MOVIMIENTOS!$B$5:$B$1005="SALDO INICIAL")*(MOVIMIENTOS!$C$5:$C$1005="Chancho")*(MOVIMIENTOS!$D$5:$D$1005="sacos")*(MOVIMIENTOS!$A$5:$A$1005&lt;&gt;"")*(MOVIMIENTOS!$A$5:$A$1005&lt;=$A133)*MOVIMIENTOS!$E$5:$E$1005)+SUMPRODUCT((MOVIMIENTOS!$B$5:$B$1005="PROCESO")*(MOVIMIENTOS!$C$5:$C$1005="Chancho")*(MOVIMIENTOS!$D$5:$D$1005="sacos")*(MOVIMIENTOS!$A$5:$A$1005&lt;&gt;"")*(MOVIMIENTOS!$A$5:$A$1005&lt;=$A133)*MOVIMIENTOS!$E$5:$E$1005)-SUMPRODUCT((MOVIMIENTOS!$B$5:$B$1005="VENTA CHANCHO")*(MOVIMIENTOS!$C$5:$C$1005="Chancho")*(MOVIMIENTOS!$D$5:$D$1005="sacos")*(MOVIMIENTOS!$A$5:$A$1005&lt;&gt;"")*(MOVIMIENTOS!$A$5:$A$1005&lt;=$A133)*MOVIMIENTOS!$E$5:$E$1005)-SUMPRODUCT((MOVIMIENTOS!$B$5:$B$1005="REGALO")*(MOVIMIENTOS!$C$5:$C$1005="Chancho")*(MOVIMIENTOS!$D$5:$D$1005="sacos")*(MOVIMIENTOS!$A$5:$A$1005&lt;&gt;"")*(MOVIMIENTOS!$A$5:$A$1005&lt;=$A133)*MOVIMIENTOS!$E$5:$E$1005)-SUMPRODUCT((MOVIMIENTOS!$B$5:$B$1005="VENTA")*(MOVIMIENTOS!$C$5:$C$1005="Chancho")*(MOVIMIENTOS!$D$5:$D$1005="sacos")*(MOVIMIENTOS!$A$5:$A$1005&lt;&gt;"")*(MOVIMIENTOS!$A$5:$A$1005&lt;=$A133)*MOVIMIENTOS!$E$5:$E$1005)+SUMPRODUCT((MOVIMIENTOS!$B$5:$B$1005="AJUSTE")*(MOVIMIENTOS!$C$5:$C$1005="Chancho")*(MOVIMIENTOS!$D$5:$D$1005="sacos")*(MOVIMIENTOS!$A$5:$A$1005&lt;&gt;"")*(MOVIMIENTOS!$A$5:$A$1005&lt;=$A133)*MOVIMIENTOS!$E$5:$E$1005))</f>
        <v/>
      </c>
      <c r="G133" s="95" t="str">
        <f t="shared" ref="G133:G196" si="5">IF($A133="","",SUM(B133:E133))</f>
        <v/>
      </c>
      <c r="H133" s="63" t="str">
        <f>IF($A133="","",SUMPRODUCT((((MOVIMIENTOS!$B$5:$B$1005="SALDO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133)*MOVIMIENTOS!$J$5:$J$1005))</f>
        <v/>
      </c>
      <c r="I133" s="63"/>
      <c r="J133" s="63" t="str">
        <f>IF(AND(MOVIMIENTOS!$A133&lt;&gt;"",COUNTIF(MOVIMIENTOS!$A$5:$A132,MOVIMIENTOS!$A133)=0),COUNT(J$4:J132)+1,"")</f>
        <v/>
      </c>
      <c r="K133" s="66">
        <f>MOVIMIENTOS!$A133</f>
        <v>46225</v>
      </c>
      <c r="L133" s="63"/>
      <c r="M133" s="63"/>
      <c r="N133" s="63"/>
    </row>
    <row r="134" spans="1:14" ht="15" customHeight="1" x14ac:dyDescent="0.2">
      <c r="A134" s="63" t="str">
        <f t="shared" si="4"/>
        <v/>
      </c>
      <c r="B134" s="63" t="str">
        <f>IF($A134="","",SUMPRODUCT((MOVIMIENTOS!$B$5:$B$1005="SALDO INICIAL")*(MOVIMIENTOS!$C$5:$C$1005="A")*(MOVIMIENTOS!$D$5:$D$1005="jabas")*(MOVIMIENTOS!$A$5:$A$1005&lt;&gt;"")*(MOVIMIENTOS!$A$5:$A$1005&lt;=$A134)*MOVIMIENTOS!$E$5:$E$1005)+SUMPRODUCT((MOVIMIENTOS!$B$5:$B$1005="PROCESO")*(MOVIMIENTOS!$C$5:$C$1005="A")*(MOVIMIENTOS!$D$5:$D$1005="jabas")*(MOVIMIENTOS!$A$5:$A$1005&lt;&gt;"")*(MOVIMIENTOS!$A$5:$A$1005&lt;=$A134)*MOVIMIENTOS!$E$5:$E$1005)-SUMPRODUCT((MOVIMIENTOS!$B$5:$B$1005="ENVÍO A SUPESA")*(MOVIMIENTOS!$C$5:$C$1005="A")*(MOVIMIENTOS!$D$5:$D$1005="jabas")*(MOVIMIENTOS!$A$5:$A$1005&lt;&gt;"")*(MOVIMIENTOS!$A$5:$A$1005&lt;=$A134)*MOVIMIENTOS!$E$5:$E$1005)+SUMPRODUCT((MOVIMIENTOS!$B$5:$B$1005="DEVOLUCIÓN")*(MOVIMIENTOS!$C$5:$C$1005="A")*(MOVIMIENTOS!$D$5:$D$1005="jabas")*(MOVIMIENTOS!$A$5:$A$1005&lt;&gt;"")*(MOVIMIENTOS!$A$5:$A$1005&lt;=$A134)*MOVIMIENTOS!$E$5:$E$1005)-SUMPRODUCT((MOVIMIENTOS!$B$5:$B$1005="TRASIEGO")*(MOVIMIENTOS!$C$5:$C$1005="A")*(MOVIMIENTOS!$D$5:$D$1005="jabas")*(MOVIMIENTOS!$A$5:$A$1005&lt;&gt;"")*(MOVIMIENTOS!$A$5:$A$1005&lt;=$A134)*MOVIMIENTOS!$E$5:$E$1005)-SUMPRODUCT((MOVIMIENTOS!$B$5:$B$1005="REGALO")*(MOVIMIENTOS!$C$5:$C$1005="A")*(MOVIMIENTOS!$D$5:$D$1005="jabas")*(MOVIMIENTOS!$A$5:$A$1005&lt;&gt;"")*(MOVIMIENTOS!$A$5:$A$1005&lt;=$A134)*MOVIMIENTOS!$E$5:$E$1005)-SUMPRODUCT((MOVIMIENTOS!$B$5:$B$1005="VENTA")*(MOVIMIENTOS!$C$5:$C$1005="A")*(MOVIMIENTOS!$D$5:$D$1005="jabas")*(MOVIMIENTOS!$A$5:$A$1005&lt;&gt;"")*(MOVIMIENTOS!$A$5:$A$1005&lt;=$A134)*MOVIMIENTOS!$E$5:$E$1005)+SUMPRODUCT((MOVIMIENTOS!$B$5:$B$1005="AJUSTE")*(MOVIMIENTOS!$C$5:$C$1005="A")*(MOVIMIENTOS!$D$5:$D$1005="jabas")*(MOVIMIENTOS!$A$5:$A$1005&lt;&gt;"")*(MOVIMIENTOS!$A$5:$A$1005&lt;=$A134)*MOVIMIENTOS!$E$5:$E$1005))</f>
        <v/>
      </c>
      <c r="C134" s="63" t="str">
        <f>IF($A134="","",SUMPRODUCT((MOVIMIENTOS!$B$5:$B$1005="SALDO INICIAL")*(MOVIMIENTOS!$C$5:$C$1005="P")*(MOVIMIENTOS!$D$5:$D$1005="jabas")*(MOVIMIENTOS!$A$5:$A$1005&lt;&gt;"")*(MOVIMIENTOS!$A$5:$A$1005&lt;=$A134)*MOVIMIENTOS!$E$5:$E$1005)+SUMPRODUCT((MOVIMIENTOS!$B$5:$B$1005="PROCESO")*(MOVIMIENTOS!$C$5:$C$1005="P")*(MOVIMIENTOS!$D$5:$D$1005="jabas")*(MOVIMIENTOS!$A$5:$A$1005&lt;&gt;"")*(MOVIMIENTOS!$A$5:$A$1005&lt;=$A134)*MOVIMIENTOS!$E$5:$E$1005)-SUMPRODUCT((MOVIMIENTOS!$B$5:$B$1005="ENVÍO A SUPESA")*(MOVIMIENTOS!$C$5:$C$1005="P")*(MOVIMIENTOS!$D$5:$D$1005="jabas")*(MOVIMIENTOS!$A$5:$A$1005&lt;&gt;"")*(MOVIMIENTOS!$A$5:$A$1005&lt;=$A134)*MOVIMIENTOS!$E$5:$E$1005)+SUMPRODUCT((MOVIMIENTOS!$B$5:$B$1005="DEVOLUCIÓN")*(MOVIMIENTOS!$C$5:$C$1005="P")*(MOVIMIENTOS!$D$5:$D$1005="jabas")*(MOVIMIENTOS!$A$5:$A$1005&lt;&gt;"")*(MOVIMIENTOS!$A$5:$A$1005&lt;=$A134)*MOVIMIENTOS!$E$5:$E$1005)-SUMPRODUCT((MOVIMIENTOS!$B$5:$B$1005="TRASIEGO")*(MOVIMIENTOS!$C$5:$C$1005="P")*(MOVIMIENTOS!$D$5:$D$1005="jabas")*(MOVIMIENTOS!$A$5:$A$1005&lt;&gt;"")*(MOVIMIENTOS!$A$5:$A$1005&lt;=$A134)*MOVIMIENTOS!$E$5:$E$1005)-SUMPRODUCT((MOVIMIENTOS!$B$5:$B$1005="REGALO")*(MOVIMIENTOS!$C$5:$C$1005="P")*(MOVIMIENTOS!$D$5:$D$1005="jabas")*(MOVIMIENTOS!$A$5:$A$1005&lt;&gt;"")*(MOVIMIENTOS!$A$5:$A$1005&lt;=$A134)*MOVIMIENTOS!$E$5:$E$1005)-SUMPRODUCT((MOVIMIENTOS!$B$5:$B$1005="VENTA")*(MOVIMIENTOS!$C$5:$C$1005="P")*(MOVIMIENTOS!$D$5:$D$1005="jabas")*(MOVIMIENTOS!$A$5:$A$1005&lt;&gt;"")*(MOVIMIENTOS!$A$5:$A$1005&lt;=$A134)*MOVIMIENTOS!$E$5:$E$1005)+SUMPRODUCT((MOVIMIENTOS!$B$5:$B$1005="AJUSTE")*(MOVIMIENTOS!$C$5:$C$1005="P")*(MOVIMIENTOS!$D$5:$D$1005="jabas")*(MOVIMIENTOS!$A$5:$A$1005&lt;&gt;"")*(MOVIMIENTOS!$A$5:$A$1005&lt;=$A134)*MOVIMIENTOS!$E$5:$E$1005))</f>
        <v/>
      </c>
      <c r="D134" s="63" t="str">
        <f>IF($A134="","",SUMPRODUCT((MOVIMIENTOS!$B$5:$B$1005="SALDO INICIAL")*(MOVIMIENTOS!$C$5:$C$1005="C")*(MOVIMIENTOS!$D$5:$D$1005="jabas")*(MOVIMIENTOS!$A$5:$A$1005&lt;&gt;"")*(MOVIMIENTOS!$A$5:$A$1005&lt;=$A134)*MOVIMIENTOS!$E$5:$E$1005)+SUMPRODUCT((MOVIMIENTOS!$B$5:$B$1005="PROCESO")*(MOVIMIENTOS!$C$5:$C$1005="C")*(MOVIMIENTOS!$D$5:$D$1005="jabas")*(MOVIMIENTOS!$A$5:$A$1005&lt;&gt;"")*(MOVIMIENTOS!$A$5:$A$1005&lt;=$A134)*MOVIMIENTOS!$E$5:$E$1005)-SUMPRODUCT((MOVIMIENTOS!$B$5:$B$1005="ENVÍO A SUPESA")*(MOVIMIENTOS!$C$5:$C$1005="C")*(MOVIMIENTOS!$D$5:$D$1005="jabas")*(MOVIMIENTOS!$A$5:$A$1005&lt;&gt;"")*(MOVIMIENTOS!$A$5:$A$1005&lt;=$A134)*MOVIMIENTOS!$E$5:$E$1005)+SUMPRODUCT((MOVIMIENTOS!$B$5:$B$1005="DEVOLUCIÓN")*(MOVIMIENTOS!$C$5:$C$1005="C")*(MOVIMIENTOS!$D$5:$D$1005="jabas")*(MOVIMIENTOS!$A$5:$A$1005&lt;&gt;"")*(MOVIMIENTOS!$A$5:$A$1005&lt;=$A134)*MOVIMIENTOS!$E$5:$E$1005)-SUMPRODUCT((MOVIMIENTOS!$B$5:$B$1005="TRASIEGO")*(MOVIMIENTOS!$C$5:$C$1005="C")*(MOVIMIENTOS!$D$5:$D$1005="jabas")*(MOVIMIENTOS!$A$5:$A$1005&lt;&gt;"")*(MOVIMIENTOS!$A$5:$A$1005&lt;=$A134)*MOVIMIENTOS!$E$5:$E$1005)-SUMPRODUCT((MOVIMIENTOS!$B$5:$B$1005="REGALO")*(MOVIMIENTOS!$C$5:$C$1005="C")*(MOVIMIENTOS!$D$5:$D$1005="jabas")*(MOVIMIENTOS!$A$5:$A$1005&lt;&gt;"")*(MOVIMIENTOS!$A$5:$A$1005&lt;=$A134)*MOVIMIENTOS!$E$5:$E$1005)-SUMPRODUCT((MOVIMIENTOS!$B$5:$B$1005="VENTA")*(MOVIMIENTOS!$C$5:$C$1005="C")*(MOVIMIENTOS!$D$5:$D$1005="jabas")*(MOVIMIENTOS!$A$5:$A$1005&lt;&gt;"")*(MOVIMIENTOS!$A$5:$A$1005&lt;=$A134)*MOVIMIENTOS!$E$5:$E$1005)+SUMPRODUCT((MOVIMIENTOS!$B$5:$B$1005="AJUSTE")*(MOVIMIENTOS!$C$5:$C$1005="C")*(MOVIMIENTOS!$D$5:$D$1005="jabas")*(MOVIMIENTOS!$A$5:$A$1005&lt;&gt;"")*(MOVIMIENTOS!$A$5:$A$1005&lt;=$A134)*MOVIMIENTOS!$E$5:$E$1005))</f>
        <v/>
      </c>
      <c r="E134" s="63" t="str">
        <f>IF($A134="","",SUMPRODUCT((MOVIMIENTOS!$B$5:$B$1005="SALDO INICIAL")*(MOVIMIENTOS!$C$5:$C$1005="M")*(MOVIMIENTOS!$D$5:$D$1005="jabas")*(MOVIMIENTOS!$A$5:$A$1005&lt;&gt;"")*(MOVIMIENTOS!$A$5:$A$1005&lt;=$A134)*MOVIMIENTOS!$E$5:$E$1005)+SUMPRODUCT((MOVIMIENTOS!$B$5:$B$1005="PROCESO")*(MOVIMIENTOS!$C$5:$C$1005="M")*(MOVIMIENTOS!$D$5:$D$1005="jabas")*(MOVIMIENTOS!$A$5:$A$1005&lt;&gt;"")*(MOVIMIENTOS!$A$5:$A$1005&lt;=$A134)*MOVIMIENTOS!$E$5:$E$1005)-SUMPRODUCT((MOVIMIENTOS!$B$5:$B$1005="ENVÍO A SUPESA")*(MOVIMIENTOS!$C$5:$C$1005="M")*(MOVIMIENTOS!$D$5:$D$1005="jabas")*(MOVIMIENTOS!$A$5:$A$1005&lt;&gt;"")*(MOVIMIENTOS!$A$5:$A$1005&lt;=$A134)*MOVIMIENTOS!$E$5:$E$1005)+SUMPRODUCT((MOVIMIENTOS!$B$5:$B$1005="DEVOLUCIÓN")*(MOVIMIENTOS!$C$5:$C$1005="M")*(MOVIMIENTOS!$D$5:$D$1005="jabas")*(MOVIMIENTOS!$A$5:$A$1005&lt;&gt;"")*(MOVIMIENTOS!$A$5:$A$1005&lt;=$A134)*MOVIMIENTOS!$E$5:$E$1005)-SUMPRODUCT((MOVIMIENTOS!$B$5:$B$1005="TRASIEGO")*(MOVIMIENTOS!$C$5:$C$1005="M")*(MOVIMIENTOS!$D$5:$D$1005="jabas")*(MOVIMIENTOS!$A$5:$A$1005&lt;&gt;"")*(MOVIMIENTOS!$A$5:$A$1005&lt;=$A134)*MOVIMIENTOS!$E$5:$E$1005)-SUMPRODUCT((MOVIMIENTOS!$B$5:$B$1005="REGALO")*(MOVIMIENTOS!$C$5:$C$1005="M")*(MOVIMIENTOS!$D$5:$D$1005="jabas")*(MOVIMIENTOS!$A$5:$A$1005&lt;&gt;"")*(MOVIMIENTOS!$A$5:$A$1005&lt;=$A134)*MOVIMIENTOS!$E$5:$E$1005)-SUMPRODUCT((MOVIMIENTOS!$B$5:$B$1005="VENTA")*(MOVIMIENTOS!$C$5:$C$1005="M")*(MOVIMIENTOS!$D$5:$D$1005="jabas")*(MOVIMIENTOS!$A$5:$A$1005&lt;&gt;"")*(MOVIMIENTOS!$A$5:$A$1005&lt;=$A134)*MOVIMIENTOS!$E$5:$E$1005)+SUMPRODUCT((MOVIMIENTOS!$B$5:$B$1005="AJUSTE")*(MOVIMIENTOS!$C$5:$C$1005="M")*(MOVIMIENTOS!$D$5:$D$1005="jabas")*(MOVIMIENTOS!$A$5:$A$1005&lt;&gt;"")*(MOVIMIENTOS!$A$5:$A$1005&lt;=$A134)*MOVIMIENTOS!$E$5:$E$1005))</f>
        <v/>
      </c>
      <c r="F134" s="63" t="str">
        <f>IF($A134="","",SUMPRODUCT((MOVIMIENTOS!$B$5:$B$1005="SALDO INICIAL")*(MOVIMIENTOS!$C$5:$C$1005="Chancho")*(MOVIMIENTOS!$D$5:$D$1005="sacos")*(MOVIMIENTOS!$A$5:$A$1005&lt;&gt;"")*(MOVIMIENTOS!$A$5:$A$1005&lt;=$A134)*MOVIMIENTOS!$E$5:$E$1005)+SUMPRODUCT((MOVIMIENTOS!$B$5:$B$1005="PROCESO")*(MOVIMIENTOS!$C$5:$C$1005="Chancho")*(MOVIMIENTOS!$D$5:$D$1005="sacos")*(MOVIMIENTOS!$A$5:$A$1005&lt;&gt;"")*(MOVIMIENTOS!$A$5:$A$1005&lt;=$A134)*MOVIMIENTOS!$E$5:$E$1005)-SUMPRODUCT((MOVIMIENTOS!$B$5:$B$1005="VENTA CHANCHO")*(MOVIMIENTOS!$C$5:$C$1005="Chancho")*(MOVIMIENTOS!$D$5:$D$1005="sacos")*(MOVIMIENTOS!$A$5:$A$1005&lt;&gt;"")*(MOVIMIENTOS!$A$5:$A$1005&lt;=$A134)*MOVIMIENTOS!$E$5:$E$1005)-SUMPRODUCT((MOVIMIENTOS!$B$5:$B$1005="REGALO")*(MOVIMIENTOS!$C$5:$C$1005="Chancho")*(MOVIMIENTOS!$D$5:$D$1005="sacos")*(MOVIMIENTOS!$A$5:$A$1005&lt;&gt;"")*(MOVIMIENTOS!$A$5:$A$1005&lt;=$A134)*MOVIMIENTOS!$E$5:$E$1005)-SUMPRODUCT((MOVIMIENTOS!$B$5:$B$1005="VENTA")*(MOVIMIENTOS!$C$5:$C$1005="Chancho")*(MOVIMIENTOS!$D$5:$D$1005="sacos")*(MOVIMIENTOS!$A$5:$A$1005&lt;&gt;"")*(MOVIMIENTOS!$A$5:$A$1005&lt;=$A134)*MOVIMIENTOS!$E$5:$E$1005)+SUMPRODUCT((MOVIMIENTOS!$B$5:$B$1005="AJUSTE")*(MOVIMIENTOS!$C$5:$C$1005="Chancho")*(MOVIMIENTOS!$D$5:$D$1005="sacos")*(MOVIMIENTOS!$A$5:$A$1005&lt;&gt;"")*(MOVIMIENTOS!$A$5:$A$1005&lt;=$A134)*MOVIMIENTOS!$E$5:$E$1005))</f>
        <v/>
      </c>
      <c r="G134" s="95" t="str">
        <f t="shared" si="5"/>
        <v/>
      </c>
      <c r="H134" s="63" t="str">
        <f>IF($A134="","",SUMPRODUCT((((MOVIMIENTOS!$B$5:$B$1005="SALDO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134)*MOVIMIENTOS!$J$5:$J$1005))</f>
        <v/>
      </c>
      <c r="I134" s="63"/>
      <c r="J134" s="63" t="str">
        <f>IF(AND(MOVIMIENTOS!$A134&lt;&gt;"",COUNTIF(MOVIMIENTOS!$A$5:$A133,MOVIMIENTOS!$A134)=0),COUNT(J$4:J133)+1,"")</f>
        <v/>
      </c>
      <c r="K134" s="66">
        <f>MOVIMIENTOS!$A134</f>
        <v>46225</v>
      </c>
      <c r="L134" s="63"/>
      <c r="M134" s="63"/>
      <c r="N134" s="63"/>
    </row>
    <row r="135" spans="1:14" ht="15" customHeight="1" x14ac:dyDescent="0.2">
      <c r="A135" s="63" t="str">
        <f t="shared" si="4"/>
        <v/>
      </c>
      <c r="B135" s="63" t="str">
        <f>IF($A135="","",SUMPRODUCT((MOVIMIENTOS!$B$5:$B$1005="SALDO INICIAL")*(MOVIMIENTOS!$C$5:$C$1005="A")*(MOVIMIENTOS!$D$5:$D$1005="jabas")*(MOVIMIENTOS!$A$5:$A$1005&lt;&gt;"")*(MOVIMIENTOS!$A$5:$A$1005&lt;=$A135)*MOVIMIENTOS!$E$5:$E$1005)+SUMPRODUCT((MOVIMIENTOS!$B$5:$B$1005="PROCESO")*(MOVIMIENTOS!$C$5:$C$1005="A")*(MOVIMIENTOS!$D$5:$D$1005="jabas")*(MOVIMIENTOS!$A$5:$A$1005&lt;&gt;"")*(MOVIMIENTOS!$A$5:$A$1005&lt;=$A135)*MOVIMIENTOS!$E$5:$E$1005)-SUMPRODUCT((MOVIMIENTOS!$B$5:$B$1005="ENVÍO A SUPESA")*(MOVIMIENTOS!$C$5:$C$1005="A")*(MOVIMIENTOS!$D$5:$D$1005="jabas")*(MOVIMIENTOS!$A$5:$A$1005&lt;&gt;"")*(MOVIMIENTOS!$A$5:$A$1005&lt;=$A135)*MOVIMIENTOS!$E$5:$E$1005)+SUMPRODUCT((MOVIMIENTOS!$B$5:$B$1005="DEVOLUCIÓN")*(MOVIMIENTOS!$C$5:$C$1005="A")*(MOVIMIENTOS!$D$5:$D$1005="jabas")*(MOVIMIENTOS!$A$5:$A$1005&lt;&gt;"")*(MOVIMIENTOS!$A$5:$A$1005&lt;=$A135)*MOVIMIENTOS!$E$5:$E$1005)-SUMPRODUCT((MOVIMIENTOS!$B$5:$B$1005="TRASIEGO")*(MOVIMIENTOS!$C$5:$C$1005="A")*(MOVIMIENTOS!$D$5:$D$1005="jabas")*(MOVIMIENTOS!$A$5:$A$1005&lt;&gt;"")*(MOVIMIENTOS!$A$5:$A$1005&lt;=$A135)*MOVIMIENTOS!$E$5:$E$1005)-SUMPRODUCT((MOVIMIENTOS!$B$5:$B$1005="REGALO")*(MOVIMIENTOS!$C$5:$C$1005="A")*(MOVIMIENTOS!$D$5:$D$1005="jabas")*(MOVIMIENTOS!$A$5:$A$1005&lt;&gt;"")*(MOVIMIENTOS!$A$5:$A$1005&lt;=$A135)*MOVIMIENTOS!$E$5:$E$1005)-SUMPRODUCT((MOVIMIENTOS!$B$5:$B$1005="VENTA")*(MOVIMIENTOS!$C$5:$C$1005="A")*(MOVIMIENTOS!$D$5:$D$1005="jabas")*(MOVIMIENTOS!$A$5:$A$1005&lt;&gt;"")*(MOVIMIENTOS!$A$5:$A$1005&lt;=$A135)*MOVIMIENTOS!$E$5:$E$1005)+SUMPRODUCT((MOVIMIENTOS!$B$5:$B$1005="AJUSTE")*(MOVIMIENTOS!$C$5:$C$1005="A")*(MOVIMIENTOS!$D$5:$D$1005="jabas")*(MOVIMIENTOS!$A$5:$A$1005&lt;&gt;"")*(MOVIMIENTOS!$A$5:$A$1005&lt;=$A135)*MOVIMIENTOS!$E$5:$E$1005))</f>
        <v/>
      </c>
      <c r="C135" s="63" t="str">
        <f>IF($A135="","",SUMPRODUCT((MOVIMIENTOS!$B$5:$B$1005="SALDO INICIAL")*(MOVIMIENTOS!$C$5:$C$1005="P")*(MOVIMIENTOS!$D$5:$D$1005="jabas")*(MOVIMIENTOS!$A$5:$A$1005&lt;&gt;"")*(MOVIMIENTOS!$A$5:$A$1005&lt;=$A135)*MOVIMIENTOS!$E$5:$E$1005)+SUMPRODUCT((MOVIMIENTOS!$B$5:$B$1005="PROCESO")*(MOVIMIENTOS!$C$5:$C$1005="P")*(MOVIMIENTOS!$D$5:$D$1005="jabas")*(MOVIMIENTOS!$A$5:$A$1005&lt;&gt;"")*(MOVIMIENTOS!$A$5:$A$1005&lt;=$A135)*MOVIMIENTOS!$E$5:$E$1005)-SUMPRODUCT((MOVIMIENTOS!$B$5:$B$1005="ENVÍO A SUPESA")*(MOVIMIENTOS!$C$5:$C$1005="P")*(MOVIMIENTOS!$D$5:$D$1005="jabas")*(MOVIMIENTOS!$A$5:$A$1005&lt;&gt;"")*(MOVIMIENTOS!$A$5:$A$1005&lt;=$A135)*MOVIMIENTOS!$E$5:$E$1005)+SUMPRODUCT((MOVIMIENTOS!$B$5:$B$1005="DEVOLUCIÓN")*(MOVIMIENTOS!$C$5:$C$1005="P")*(MOVIMIENTOS!$D$5:$D$1005="jabas")*(MOVIMIENTOS!$A$5:$A$1005&lt;&gt;"")*(MOVIMIENTOS!$A$5:$A$1005&lt;=$A135)*MOVIMIENTOS!$E$5:$E$1005)-SUMPRODUCT((MOVIMIENTOS!$B$5:$B$1005="TRASIEGO")*(MOVIMIENTOS!$C$5:$C$1005="P")*(MOVIMIENTOS!$D$5:$D$1005="jabas")*(MOVIMIENTOS!$A$5:$A$1005&lt;&gt;"")*(MOVIMIENTOS!$A$5:$A$1005&lt;=$A135)*MOVIMIENTOS!$E$5:$E$1005)-SUMPRODUCT((MOVIMIENTOS!$B$5:$B$1005="REGALO")*(MOVIMIENTOS!$C$5:$C$1005="P")*(MOVIMIENTOS!$D$5:$D$1005="jabas")*(MOVIMIENTOS!$A$5:$A$1005&lt;&gt;"")*(MOVIMIENTOS!$A$5:$A$1005&lt;=$A135)*MOVIMIENTOS!$E$5:$E$1005)-SUMPRODUCT((MOVIMIENTOS!$B$5:$B$1005="VENTA")*(MOVIMIENTOS!$C$5:$C$1005="P")*(MOVIMIENTOS!$D$5:$D$1005="jabas")*(MOVIMIENTOS!$A$5:$A$1005&lt;&gt;"")*(MOVIMIENTOS!$A$5:$A$1005&lt;=$A135)*MOVIMIENTOS!$E$5:$E$1005)+SUMPRODUCT((MOVIMIENTOS!$B$5:$B$1005="AJUSTE")*(MOVIMIENTOS!$C$5:$C$1005="P")*(MOVIMIENTOS!$D$5:$D$1005="jabas")*(MOVIMIENTOS!$A$5:$A$1005&lt;&gt;"")*(MOVIMIENTOS!$A$5:$A$1005&lt;=$A135)*MOVIMIENTOS!$E$5:$E$1005))</f>
        <v/>
      </c>
      <c r="D135" s="63" t="str">
        <f>IF($A135="","",SUMPRODUCT((MOVIMIENTOS!$B$5:$B$1005="SALDO INICIAL")*(MOVIMIENTOS!$C$5:$C$1005="C")*(MOVIMIENTOS!$D$5:$D$1005="jabas")*(MOVIMIENTOS!$A$5:$A$1005&lt;&gt;"")*(MOVIMIENTOS!$A$5:$A$1005&lt;=$A135)*MOVIMIENTOS!$E$5:$E$1005)+SUMPRODUCT((MOVIMIENTOS!$B$5:$B$1005="PROCESO")*(MOVIMIENTOS!$C$5:$C$1005="C")*(MOVIMIENTOS!$D$5:$D$1005="jabas")*(MOVIMIENTOS!$A$5:$A$1005&lt;&gt;"")*(MOVIMIENTOS!$A$5:$A$1005&lt;=$A135)*MOVIMIENTOS!$E$5:$E$1005)-SUMPRODUCT((MOVIMIENTOS!$B$5:$B$1005="ENVÍO A SUPESA")*(MOVIMIENTOS!$C$5:$C$1005="C")*(MOVIMIENTOS!$D$5:$D$1005="jabas")*(MOVIMIENTOS!$A$5:$A$1005&lt;&gt;"")*(MOVIMIENTOS!$A$5:$A$1005&lt;=$A135)*MOVIMIENTOS!$E$5:$E$1005)+SUMPRODUCT((MOVIMIENTOS!$B$5:$B$1005="DEVOLUCIÓN")*(MOVIMIENTOS!$C$5:$C$1005="C")*(MOVIMIENTOS!$D$5:$D$1005="jabas")*(MOVIMIENTOS!$A$5:$A$1005&lt;&gt;"")*(MOVIMIENTOS!$A$5:$A$1005&lt;=$A135)*MOVIMIENTOS!$E$5:$E$1005)-SUMPRODUCT((MOVIMIENTOS!$B$5:$B$1005="TRASIEGO")*(MOVIMIENTOS!$C$5:$C$1005="C")*(MOVIMIENTOS!$D$5:$D$1005="jabas")*(MOVIMIENTOS!$A$5:$A$1005&lt;&gt;"")*(MOVIMIENTOS!$A$5:$A$1005&lt;=$A135)*MOVIMIENTOS!$E$5:$E$1005)-SUMPRODUCT((MOVIMIENTOS!$B$5:$B$1005="REGALO")*(MOVIMIENTOS!$C$5:$C$1005="C")*(MOVIMIENTOS!$D$5:$D$1005="jabas")*(MOVIMIENTOS!$A$5:$A$1005&lt;&gt;"")*(MOVIMIENTOS!$A$5:$A$1005&lt;=$A135)*MOVIMIENTOS!$E$5:$E$1005)-SUMPRODUCT((MOVIMIENTOS!$B$5:$B$1005="VENTA")*(MOVIMIENTOS!$C$5:$C$1005="C")*(MOVIMIENTOS!$D$5:$D$1005="jabas")*(MOVIMIENTOS!$A$5:$A$1005&lt;&gt;"")*(MOVIMIENTOS!$A$5:$A$1005&lt;=$A135)*MOVIMIENTOS!$E$5:$E$1005)+SUMPRODUCT((MOVIMIENTOS!$B$5:$B$1005="AJUSTE")*(MOVIMIENTOS!$C$5:$C$1005="C")*(MOVIMIENTOS!$D$5:$D$1005="jabas")*(MOVIMIENTOS!$A$5:$A$1005&lt;&gt;"")*(MOVIMIENTOS!$A$5:$A$1005&lt;=$A135)*MOVIMIENTOS!$E$5:$E$1005))</f>
        <v/>
      </c>
      <c r="E135" s="63" t="str">
        <f>IF($A135="","",SUMPRODUCT((MOVIMIENTOS!$B$5:$B$1005="SALDO INICIAL")*(MOVIMIENTOS!$C$5:$C$1005="M")*(MOVIMIENTOS!$D$5:$D$1005="jabas")*(MOVIMIENTOS!$A$5:$A$1005&lt;&gt;"")*(MOVIMIENTOS!$A$5:$A$1005&lt;=$A135)*MOVIMIENTOS!$E$5:$E$1005)+SUMPRODUCT((MOVIMIENTOS!$B$5:$B$1005="PROCESO")*(MOVIMIENTOS!$C$5:$C$1005="M")*(MOVIMIENTOS!$D$5:$D$1005="jabas")*(MOVIMIENTOS!$A$5:$A$1005&lt;&gt;"")*(MOVIMIENTOS!$A$5:$A$1005&lt;=$A135)*MOVIMIENTOS!$E$5:$E$1005)-SUMPRODUCT((MOVIMIENTOS!$B$5:$B$1005="ENVÍO A SUPESA")*(MOVIMIENTOS!$C$5:$C$1005="M")*(MOVIMIENTOS!$D$5:$D$1005="jabas")*(MOVIMIENTOS!$A$5:$A$1005&lt;&gt;"")*(MOVIMIENTOS!$A$5:$A$1005&lt;=$A135)*MOVIMIENTOS!$E$5:$E$1005)+SUMPRODUCT((MOVIMIENTOS!$B$5:$B$1005="DEVOLUCIÓN")*(MOVIMIENTOS!$C$5:$C$1005="M")*(MOVIMIENTOS!$D$5:$D$1005="jabas")*(MOVIMIENTOS!$A$5:$A$1005&lt;&gt;"")*(MOVIMIENTOS!$A$5:$A$1005&lt;=$A135)*MOVIMIENTOS!$E$5:$E$1005)-SUMPRODUCT((MOVIMIENTOS!$B$5:$B$1005="TRASIEGO")*(MOVIMIENTOS!$C$5:$C$1005="M")*(MOVIMIENTOS!$D$5:$D$1005="jabas")*(MOVIMIENTOS!$A$5:$A$1005&lt;&gt;"")*(MOVIMIENTOS!$A$5:$A$1005&lt;=$A135)*MOVIMIENTOS!$E$5:$E$1005)-SUMPRODUCT((MOVIMIENTOS!$B$5:$B$1005="REGALO")*(MOVIMIENTOS!$C$5:$C$1005="M")*(MOVIMIENTOS!$D$5:$D$1005="jabas")*(MOVIMIENTOS!$A$5:$A$1005&lt;&gt;"")*(MOVIMIENTOS!$A$5:$A$1005&lt;=$A135)*MOVIMIENTOS!$E$5:$E$1005)-SUMPRODUCT((MOVIMIENTOS!$B$5:$B$1005="VENTA")*(MOVIMIENTOS!$C$5:$C$1005="M")*(MOVIMIENTOS!$D$5:$D$1005="jabas")*(MOVIMIENTOS!$A$5:$A$1005&lt;&gt;"")*(MOVIMIENTOS!$A$5:$A$1005&lt;=$A135)*MOVIMIENTOS!$E$5:$E$1005)+SUMPRODUCT((MOVIMIENTOS!$B$5:$B$1005="AJUSTE")*(MOVIMIENTOS!$C$5:$C$1005="M")*(MOVIMIENTOS!$D$5:$D$1005="jabas")*(MOVIMIENTOS!$A$5:$A$1005&lt;&gt;"")*(MOVIMIENTOS!$A$5:$A$1005&lt;=$A135)*MOVIMIENTOS!$E$5:$E$1005))</f>
        <v/>
      </c>
      <c r="F135" s="63" t="str">
        <f>IF($A135="","",SUMPRODUCT((MOVIMIENTOS!$B$5:$B$1005="SALDO INICIAL")*(MOVIMIENTOS!$C$5:$C$1005="Chancho")*(MOVIMIENTOS!$D$5:$D$1005="sacos")*(MOVIMIENTOS!$A$5:$A$1005&lt;&gt;"")*(MOVIMIENTOS!$A$5:$A$1005&lt;=$A135)*MOVIMIENTOS!$E$5:$E$1005)+SUMPRODUCT((MOVIMIENTOS!$B$5:$B$1005="PROCESO")*(MOVIMIENTOS!$C$5:$C$1005="Chancho")*(MOVIMIENTOS!$D$5:$D$1005="sacos")*(MOVIMIENTOS!$A$5:$A$1005&lt;&gt;"")*(MOVIMIENTOS!$A$5:$A$1005&lt;=$A135)*MOVIMIENTOS!$E$5:$E$1005)-SUMPRODUCT((MOVIMIENTOS!$B$5:$B$1005="VENTA CHANCHO")*(MOVIMIENTOS!$C$5:$C$1005="Chancho")*(MOVIMIENTOS!$D$5:$D$1005="sacos")*(MOVIMIENTOS!$A$5:$A$1005&lt;&gt;"")*(MOVIMIENTOS!$A$5:$A$1005&lt;=$A135)*MOVIMIENTOS!$E$5:$E$1005)-SUMPRODUCT((MOVIMIENTOS!$B$5:$B$1005="REGALO")*(MOVIMIENTOS!$C$5:$C$1005="Chancho")*(MOVIMIENTOS!$D$5:$D$1005="sacos")*(MOVIMIENTOS!$A$5:$A$1005&lt;&gt;"")*(MOVIMIENTOS!$A$5:$A$1005&lt;=$A135)*MOVIMIENTOS!$E$5:$E$1005)-SUMPRODUCT((MOVIMIENTOS!$B$5:$B$1005="VENTA")*(MOVIMIENTOS!$C$5:$C$1005="Chancho")*(MOVIMIENTOS!$D$5:$D$1005="sacos")*(MOVIMIENTOS!$A$5:$A$1005&lt;&gt;"")*(MOVIMIENTOS!$A$5:$A$1005&lt;=$A135)*MOVIMIENTOS!$E$5:$E$1005)+SUMPRODUCT((MOVIMIENTOS!$B$5:$B$1005="AJUSTE")*(MOVIMIENTOS!$C$5:$C$1005="Chancho")*(MOVIMIENTOS!$D$5:$D$1005="sacos")*(MOVIMIENTOS!$A$5:$A$1005&lt;&gt;"")*(MOVIMIENTOS!$A$5:$A$1005&lt;=$A135)*MOVIMIENTOS!$E$5:$E$1005))</f>
        <v/>
      </c>
      <c r="G135" s="95" t="str">
        <f t="shared" si="5"/>
        <v/>
      </c>
      <c r="H135" s="63" t="str">
        <f>IF($A135="","",SUMPRODUCT((((MOVIMIENTOS!$B$5:$B$1005="SALDO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135)*MOVIMIENTOS!$J$5:$J$1005))</f>
        <v/>
      </c>
      <c r="I135" s="63"/>
      <c r="J135" s="63" t="str">
        <f>IF(AND(MOVIMIENTOS!$A135&lt;&gt;"",COUNTIF(MOVIMIENTOS!$A$5:$A134,MOVIMIENTOS!$A135)=0),COUNT(J$4:J134)+1,"")</f>
        <v/>
      </c>
      <c r="K135" s="66">
        <f>MOVIMIENTOS!$A135</f>
        <v>46225</v>
      </c>
      <c r="L135" s="63"/>
      <c r="M135" s="63"/>
      <c r="N135" s="63"/>
    </row>
    <row r="136" spans="1:14" ht="15" customHeight="1" x14ac:dyDescent="0.2">
      <c r="A136" s="63" t="str">
        <f t="shared" si="4"/>
        <v/>
      </c>
      <c r="B136" s="63" t="str">
        <f>IF($A136="","",SUMPRODUCT((MOVIMIENTOS!$B$5:$B$1005="SALDO INICIAL")*(MOVIMIENTOS!$C$5:$C$1005="A")*(MOVIMIENTOS!$D$5:$D$1005="jabas")*(MOVIMIENTOS!$A$5:$A$1005&lt;&gt;"")*(MOVIMIENTOS!$A$5:$A$1005&lt;=$A136)*MOVIMIENTOS!$E$5:$E$1005)+SUMPRODUCT((MOVIMIENTOS!$B$5:$B$1005="PROCESO")*(MOVIMIENTOS!$C$5:$C$1005="A")*(MOVIMIENTOS!$D$5:$D$1005="jabas")*(MOVIMIENTOS!$A$5:$A$1005&lt;&gt;"")*(MOVIMIENTOS!$A$5:$A$1005&lt;=$A136)*MOVIMIENTOS!$E$5:$E$1005)-SUMPRODUCT((MOVIMIENTOS!$B$5:$B$1005="ENVÍO A SUPESA")*(MOVIMIENTOS!$C$5:$C$1005="A")*(MOVIMIENTOS!$D$5:$D$1005="jabas")*(MOVIMIENTOS!$A$5:$A$1005&lt;&gt;"")*(MOVIMIENTOS!$A$5:$A$1005&lt;=$A136)*MOVIMIENTOS!$E$5:$E$1005)+SUMPRODUCT((MOVIMIENTOS!$B$5:$B$1005="DEVOLUCIÓN")*(MOVIMIENTOS!$C$5:$C$1005="A")*(MOVIMIENTOS!$D$5:$D$1005="jabas")*(MOVIMIENTOS!$A$5:$A$1005&lt;&gt;"")*(MOVIMIENTOS!$A$5:$A$1005&lt;=$A136)*MOVIMIENTOS!$E$5:$E$1005)-SUMPRODUCT((MOVIMIENTOS!$B$5:$B$1005="TRASIEGO")*(MOVIMIENTOS!$C$5:$C$1005="A")*(MOVIMIENTOS!$D$5:$D$1005="jabas")*(MOVIMIENTOS!$A$5:$A$1005&lt;&gt;"")*(MOVIMIENTOS!$A$5:$A$1005&lt;=$A136)*MOVIMIENTOS!$E$5:$E$1005)-SUMPRODUCT((MOVIMIENTOS!$B$5:$B$1005="REGALO")*(MOVIMIENTOS!$C$5:$C$1005="A")*(MOVIMIENTOS!$D$5:$D$1005="jabas")*(MOVIMIENTOS!$A$5:$A$1005&lt;&gt;"")*(MOVIMIENTOS!$A$5:$A$1005&lt;=$A136)*MOVIMIENTOS!$E$5:$E$1005)-SUMPRODUCT((MOVIMIENTOS!$B$5:$B$1005="VENTA")*(MOVIMIENTOS!$C$5:$C$1005="A")*(MOVIMIENTOS!$D$5:$D$1005="jabas")*(MOVIMIENTOS!$A$5:$A$1005&lt;&gt;"")*(MOVIMIENTOS!$A$5:$A$1005&lt;=$A136)*MOVIMIENTOS!$E$5:$E$1005)+SUMPRODUCT((MOVIMIENTOS!$B$5:$B$1005="AJUSTE")*(MOVIMIENTOS!$C$5:$C$1005="A")*(MOVIMIENTOS!$D$5:$D$1005="jabas")*(MOVIMIENTOS!$A$5:$A$1005&lt;&gt;"")*(MOVIMIENTOS!$A$5:$A$1005&lt;=$A136)*MOVIMIENTOS!$E$5:$E$1005))</f>
        <v/>
      </c>
      <c r="C136" s="63" t="str">
        <f>IF($A136="","",SUMPRODUCT((MOVIMIENTOS!$B$5:$B$1005="SALDO INICIAL")*(MOVIMIENTOS!$C$5:$C$1005="P")*(MOVIMIENTOS!$D$5:$D$1005="jabas")*(MOVIMIENTOS!$A$5:$A$1005&lt;&gt;"")*(MOVIMIENTOS!$A$5:$A$1005&lt;=$A136)*MOVIMIENTOS!$E$5:$E$1005)+SUMPRODUCT((MOVIMIENTOS!$B$5:$B$1005="PROCESO")*(MOVIMIENTOS!$C$5:$C$1005="P")*(MOVIMIENTOS!$D$5:$D$1005="jabas")*(MOVIMIENTOS!$A$5:$A$1005&lt;&gt;"")*(MOVIMIENTOS!$A$5:$A$1005&lt;=$A136)*MOVIMIENTOS!$E$5:$E$1005)-SUMPRODUCT((MOVIMIENTOS!$B$5:$B$1005="ENVÍO A SUPESA")*(MOVIMIENTOS!$C$5:$C$1005="P")*(MOVIMIENTOS!$D$5:$D$1005="jabas")*(MOVIMIENTOS!$A$5:$A$1005&lt;&gt;"")*(MOVIMIENTOS!$A$5:$A$1005&lt;=$A136)*MOVIMIENTOS!$E$5:$E$1005)+SUMPRODUCT((MOVIMIENTOS!$B$5:$B$1005="DEVOLUCIÓN")*(MOVIMIENTOS!$C$5:$C$1005="P")*(MOVIMIENTOS!$D$5:$D$1005="jabas")*(MOVIMIENTOS!$A$5:$A$1005&lt;&gt;"")*(MOVIMIENTOS!$A$5:$A$1005&lt;=$A136)*MOVIMIENTOS!$E$5:$E$1005)-SUMPRODUCT((MOVIMIENTOS!$B$5:$B$1005="TRASIEGO")*(MOVIMIENTOS!$C$5:$C$1005="P")*(MOVIMIENTOS!$D$5:$D$1005="jabas")*(MOVIMIENTOS!$A$5:$A$1005&lt;&gt;"")*(MOVIMIENTOS!$A$5:$A$1005&lt;=$A136)*MOVIMIENTOS!$E$5:$E$1005)-SUMPRODUCT((MOVIMIENTOS!$B$5:$B$1005="REGALO")*(MOVIMIENTOS!$C$5:$C$1005="P")*(MOVIMIENTOS!$D$5:$D$1005="jabas")*(MOVIMIENTOS!$A$5:$A$1005&lt;&gt;"")*(MOVIMIENTOS!$A$5:$A$1005&lt;=$A136)*MOVIMIENTOS!$E$5:$E$1005)-SUMPRODUCT((MOVIMIENTOS!$B$5:$B$1005="VENTA")*(MOVIMIENTOS!$C$5:$C$1005="P")*(MOVIMIENTOS!$D$5:$D$1005="jabas")*(MOVIMIENTOS!$A$5:$A$1005&lt;&gt;"")*(MOVIMIENTOS!$A$5:$A$1005&lt;=$A136)*MOVIMIENTOS!$E$5:$E$1005)+SUMPRODUCT((MOVIMIENTOS!$B$5:$B$1005="AJUSTE")*(MOVIMIENTOS!$C$5:$C$1005="P")*(MOVIMIENTOS!$D$5:$D$1005="jabas")*(MOVIMIENTOS!$A$5:$A$1005&lt;&gt;"")*(MOVIMIENTOS!$A$5:$A$1005&lt;=$A136)*MOVIMIENTOS!$E$5:$E$1005))</f>
        <v/>
      </c>
      <c r="D136" s="63" t="str">
        <f>IF($A136="","",SUMPRODUCT((MOVIMIENTOS!$B$5:$B$1005="SALDO INICIAL")*(MOVIMIENTOS!$C$5:$C$1005="C")*(MOVIMIENTOS!$D$5:$D$1005="jabas")*(MOVIMIENTOS!$A$5:$A$1005&lt;&gt;"")*(MOVIMIENTOS!$A$5:$A$1005&lt;=$A136)*MOVIMIENTOS!$E$5:$E$1005)+SUMPRODUCT((MOVIMIENTOS!$B$5:$B$1005="PROCESO")*(MOVIMIENTOS!$C$5:$C$1005="C")*(MOVIMIENTOS!$D$5:$D$1005="jabas")*(MOVIMIENTOS!$A$5:$A$1005&lt;&gt;"")*(MOVIMIENTOS!$A$5:$A$1005&lt;=$A136)*MOVIMIENTOS!$E$5:$E$1005)-SUMPRODUCT((MOVIMIENTOS!$B$5:$B$1005="ENVÍO A SUPESA")*(MOVIMIENTOS!$C$5:$C$1005="C")*(MOVIMIENTOS!$D$5:$D$1005="jabas")*(MOVIMIENTOS!$A$5:$A$1005&lt;&gt;"")*(MOVIMIENTOS!$A$5:$A$1005&lt;=$A136)*MOVIMIENTOS!$E$5:$E$1005)+SUMPRODUCT((MOVIMIENTOS!$B$5:$B$1005="DEVOLUCIÓN")*(MOVIMIENTOS!$C$5:$C$1005="C")*(MOVIMIENTOS!$D$5:$D$1005="jabas")*(MOVIMIENTOS!$A$5:$A$1005&lt;&gt;"")*(MOVIMIENTOS!$A$5:$A$1005&lt;=$A136)*MOVIMIENTOS!$E$5:$E$1005)-SUMPRODUCT((MOVIMIENTOS!$B$5:$B$1005="TRASIEGO")*(MOVIMIENTOS!$C$5:$C$1005="C")*(MOVIMIENTOS!$D$5:$D$1005="jabas")*(MOVIMIENTOS!$A$5:$A$1005&lt;&gt;"")*(MOVIMIENTOS!$A$5:$A$1005&lt;=$A136)*MOVIMIENTOS!$E$5:$E$1005)-SUMPRODUCT((MOVIMIENTOS!$B$5:$B$1005="REGALO")*(MOVIMIENTOS!$C$5:$C$1005="C")*(MOVIMIENTOS!$D$5:$D$1005="jabas")*(MOVIMIENTOS!$A$5:$A$1005&lt;&gt;"")*(MOVIMIENTOS!$A$5:$A$1005&lt;=$A136)*MOVIMIENTOS!$E$5:$E$1005)-SUMPRODUCT((MOVIMIENTOS!$B$5:$B$1005="VENTA")*(MOVIMIENTOS!$C$5:$C$1005="C")*(MOVIMIENTOS!$D$5:$D$1005="jabas")*(MOVIMIENTOS!$A$5:$A$1005&lt;&gt;"")*(MOVIMIENTOS!$A$5:$A$1005&lt;=$A136)*MOVIMIENTOS!$E$5:$E$1005)+SUMPRODUCT((MOVIMIENTOS!$B$5:$B$1005="AJUSTE")*(MOVIMIENTOS!$C$5:$C$1005="C")*(MOVIMIENTOS!$D$5:$D$1005="jabas")*(MOVIMIENTOS!$A$5:$A$1005&lt;&gt;"")*(MOVIMIENTOS!$A$5:$A$1005&lt;=$A136)*MOVIMIENTOS!$E$5:$E$1005))</f>
        <v/>
      </c>
      <c r="E136" s="63" t="str">
        <f>IF($A136="","",SUMPRODUCT((MOVIMIENTOS!$B$5:$B$1005="SALDO INICIAL")*(MOVIMIENTOS!$C$5:$C$1005="M")*(MOVIMIENTOS!$D$5:$D$1005="jabas")*(MOVIMIENTOS!$A$5:$A$1005&lt;&gt;"")*(MOVIMIENTOS!$A$5:$A$1005&lt;=$A136)*MOVIMIENTOS!$E$5:$E$1005)+SUMPRODUCT((MOVIMIENTOS!$B$5:$B$1005="PROCESO")*(MOVIMIENTOS!$C$5:$C$1005="M")*(MOVIMIENTOS!$D$5:$D$1005="jabas")*(MOVIMIENTOS!$A$5:$A$1005&lt;&gt;"")*(MOVIMIENTOS!$A$5:$A$1005&lt;=$A136)*MOVIMIENTOS!$E$5:$E$1005)-SUMPRODUCT((MOVIMIENTOS!$B$5:$B$1005="ENVÍO A SUPESA")*(MOVIMIENTOS!$C$5:$C$1005="M")*(MOVIMIENTOS!$D$5:$D$1005="jabas")*(MOVIMIENTOS!$A$5:$A$1005&lt;&gt;"")*(MOVIMIENTOS!$A$5:$A$1005&lt;=$A136)*MOVIMIENTOS!$E$5:$E$1005)+SUMPRODUCT((MOVIMIENTOS!$B$5:$B$1005="DEVOLUCIÓN")*(MOVIMIENTOS!$C$5:$C$1005="M")*(MOVIMIENTOS!$D$5:$D$1005="jabas")*(MOVIMIENTOS!$A$5:$A$1005&lt;&gt;"")*(MOVIMIENTOS!$A$5:$A$1005&lt;=$A136)*MOVIMIENTOS!$E$5:$E$1005)-SUMPRODUCT((MOVIMIENTOS!$B$5:$B$1005="TRASIEGO")*(MOVIMIENTOS!$C$5:$C$1005="M")*(MOVIMIENTOS!$D$5:$D$1005="jabas")*(MOVIMIENTOS!$A$5:$A$1005&lt;&gt;"")*(MOVIMIENTOS!$A$5:$A$1005&lt;=$A136)*MOVIMIENTOS!$E$5:$E$1005)-SUMPRODUCT((MOVIMIENTOS!$B$5:$B$1005="REGALO")*(MOVIMIENTOS!$C$5:$C$1005="M")*(MOVIMIENTOS!$D$5:$D$1005="jabas")*(MOVIMIENTOS!$A$5:$A$1005&lt;&gt;"")*(MOVIMIENTOS!$A$5:$A$1005&lt;=$A136)*MOVIMIENTOS!$E$5:$E$1005)-SUMPRODUCT((MOVIMIENTOS!$B$5:$B$1005="VENTA")*(MOVIMIENTOS!$C$5:$C$1005="M")*(MOVIMIENTOS!$D$5:$D$1005="jabas")*(MOVIMIENTOS!$A$5:$A$1005&lt;&gt;"")*(MOVIMIENTOS!$A$5:$A$1005&lt;=$A136)*MOVIMIENTOS!$E$5:$E$1005)+SUMPRODUCT((MOVIMIENTOS!$B$5:$B$1005="AJUSTE")*(MOVIMIENTOS!$C$5:$C$1005="M")*(MOVIMIENTOS!$D$5:$D$1005="jabas")*(MOVIMIENTOS!$A$5:$A$1005&lt;&gt;"")*(MOVIMIENTOS!$A$5:$A$1005&lt;=$A136)*MOVIMIENTOS!$E$5:$E$1005))</f>
        <v/>
      </c>
      <c r="F136" s="63" t="str">
        <f>IF($A136="","",SUMPRODUCT((MOVIMIENTOS!$B$5:$B$1005="SALDO INICIAL")*(MOVIMIENTOS!$C$5:$C$1005="Chancho")*(MOVIMIENTOS!$D$5:$D$1005="sacos")*(MOVIMIENTOS!$A$5:$A$1005&lt;&gt;"")*(MOVIMIENTOS!$A$5:$A$1005&lt;=$A136)*MOVIMIENTOS!$E$5:$E$1005)+SUMPRODUCT((MOVIMIENTOS!$B$5:$B$1005="PROCESO")*(MOVIMIENTOS!$C$5:$C$1005="Chancho")*(MOVIMIENTOS!$D$5:$D$1005="sacos")*(MOVIMIENTOS!$A$5:$A$1005&lt;&gt;"")*(MOVIMIENTOS!$A$5:$A$1005&lt;=$A136)*MOVIMIENTOS!$E$5:$E$1005)-SUMPRODUCT((MOVIMIENTOS!$B$5:$B$1005="VENTA CHANCHO")*(MOVIMIENTOS!$C$5:$C$1005="Chancho")*(MOVIMIENTOS!$D$5:$D$1005="sacos")*(MOVIMIENTOS!$A$5:$A$1005&lt;&gt;"")*(MOVIMIENTOS!$A$5:$A$1005&lt;=$A136)*MOVIMIENTOS!$E$5:$E$1005)-SUMPRODUCT((MOVIMIENTOS!$B$5:$B$1005="REGALO")*(MOVIMIENTOS!$C$5:$C$1005="Chancho")*(MOVIMIENTOS!$D$5:$D$1005="sacos")*(MOVIMIENTOS!$A$5:$A$1005&lt;&gt;"")*(MOVIMIENTOS!$A$5:$A$1005&lt;=$A136)*MOVIMIENTOS!$E$5:$E$1005)-SUMPRODUCT((MOVIMIENTOS!$B$5:$B$1005="VENTA")*(MOVIMIENTOS!$C$5:$C$1005="Chancho")*(MOVIMIENTOS!$D$5:$D$1005="sacos")*(MOVIMIENTOS!$A$5:$A$1005&lt;&gt;"")*(MOVIMIENTOS!$A$5:$A$1005&lt;=$A136)*MOVIMIENTOS!$E$5:$E$1005)+SUMPRODUCT((MOVIMIENTOS!$B$5:$B$1005="AJUSTE")*(MOVIMIENTOS!$C$5:$C$1005="Chancho")*(MOVIMIENTOS!$D$5:$D$1005="sacos")*(MOVIMIENTOS!$A$5:$A$1005&lt;&gt;"")*(MOVIMIENTOS!$A$5:$A$1005&lt;=$A136)*MOVIMIENTOS!$E$5:$E$1005))</f>
        <v/>
      </c>
      <c r="G136" s="95" t="str">
        <f t="shared" si="5"/>
        <v/>
      </c>
      <c r="H136" s="63" t="str">
        <f>IF($A136="","",SUMPRODUCT((((MOVIMIENTOS!$B$5:$B$1005="SALDO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136)*MOVIMIENTOS!$J$5:$J$1005))</f>
        <v/>
      </c>
      <c r="I136" s="63"/>
      <c r="J136" s="63" t="str">
        <f>IF(AND(MOVIMIENTOS!$A136&lt;&gt;"",COUNTIF(MOVIMIENTOS!$A$5:$A135,MOVIMIENTOS!$A136)=0),COUNT(J$4:J135)+1,"")</f>
        <v/>
      </c>
      <c r="K136" s="66">
        <f>MOVIMIENTOS!$A136</f>
        <v>46225</v>
      </c>
      <c r="L136" s="63"/>
      <c r="M136" s="63"/>
      <c r="N136" s="63"/>
    </row>
    <row r="137" spans="1:14" ht="15" customHeight="1" x14ac:dyDescent="0.2">
      <c r="A137" s="63" t="str">
        <f t="shared" si="4"/>
        <v/>
      </c>
      <c r="B137" s="63" t="str">
        <f>IF($A137="","",SUMPRODUCT((MOVIMIENTOS!$B$5:$B$1005="SALDO INICIAL")*(MOVIMIENTOS!$C$5:$C$1005="A")*(MOVIMIENTOS!$D$5:$D$1005="jabas")*(MOVIMIENTOS!$A$5:$A$1005&lt;&gt;"")*(MOVIMIENTOS!$A$5:$A$1005&lt;=$A137)*MOVIMIENTOS!$E$5:$E$1005)+SUMPRODUCT((MOVIMIENTOS!$B$5:$B$1005="PROCESO")*(MOVIMIENTOS!$C$5:$C$1005="A")*(MOVIMIENTOS!$D$5:$D$1005="jabas")*(MOVIMIENTOS!$A$5:$A$1005&lt;&gt;"")*(MOVIMIENTOS!$A$5:$A$1005&lt;=$A137)*MOVIMIENTOS!$E$5:$E$1005)-SUMPRODUCT((MOVIMIENTOS!$B$5:$B$1005="ENVÍO A SUPESA")*(MOVIMIENTOS!$C$5:$C$1005="A")*(MOVIMIENTOS!$D$5:$D$1005="jabas")*(MOVIMIENTOS!$A$5:$A$1005&lt;&gt;"")*(MOVIMIENTOS!$A$5:$A$1005&lt;=$A137)*MOVIMIENTOS!$E$5:$E$1005)+SUMPRODUCT((MOVIMIENTOS!$B$5:$B$1005="DEVOLUCIÓN")*(MOVIMIENTOS!$C$5:$C$1005="A")*(MOVIMIENTOS!$D$5:$D$1005="jabas")*(MOVIMIENTOS!$A$5:$A$1005&lt;&gt;"")*(MOVIMIENTOS!$A$5:$A$1005&lt;=$A137)*MOVIMIENTOS!$E$5:$E$1005)-SUMPRODUCT((MOVIMIENTOS!$B$5:$B$1005="TRASIEGO")*(MOVIMIENTOS!$C$5:$C$1005="A")*(MOVIMIENTOS!$D$5:$D$1005="jabas")*(MOVIMIENTOS!$A$5:$A$1005&lt;&gt;"")*(MOVIMIENTOS!$A$5:$A$1005&lt;=$A137)*MOVIMIENTOS!$E$5:$E$1005)-SUMPRODUCT((MOVIMIENTOS!$B$5:$B$1005="REGALO")*(MOVIMIENTOS!$C$5:$C$1005="A")*(MOVIMIENTOS!$D$5:$D$1005="jabas")*(MOVIMIENTOS!$A$5:$A$1005&lt;&gt;"")*(MOVIMIENTOS!$A$5:$A$1005&lt;=$A137)*MOVIMIENTOS!$E$5:$E$1005)-SUMPRODUCT((MOVIMIENTOS!$B$5:$B$1005="VENTA")*(MOVIMIENTOS!$C$5:$C$1005="A")*(MOVIMIENTOS!$D$5:$D$1005="jabas")*(MOVIMIENTOS!$A$5:$A$1005&lt;&gt;"")*(MOVIMIENTOS!$A$5:$A$1005&lt;=$A137)*MOVIMIENTOS!$E$5:$E$1005)+SUMPRODUCT((MOVIMIENTOS!$B$5:$B$1005="AJUSTE")*(MOVIMIENTOS!$C$5:$C$1005="A")*(MOVIMIENTOS!$D$5:$D$1005="jabas")*(MOVIMIENTOS!$A$5:$A$1005&lt;&gt;"")*(MOVIMIENTOS!$A$5:$A$1005&lt;=$A137)*MOVIMIENTOS!$E$5:$E$1005))</f>
        <v/>
      </c>
      <c r="C137" s="63" t="str">
        <f>IF($A137="","",SUMPRODUCT((MOVIMIENTOS!$B$5:$B$1005="SALDO INICIAL")*(MOVIMIENTOS!$C$5:$C$1005="P")*(MOVIMIENTOS!$D$5:$D$1005="jabas")*(MOVIMIENTOS!$A$5:$A$1005&lt;&gt;"")*(MOVIMIENTOS!$A$5:$A$1005&lt;=$A137)*MOVIMIENTOS!$E$5:$E$1005)+SUMPRODUCT((MOVIMIENTOS!$B$5:$B$1005="PROCESO")*(MOVIMIENTOS!$C$5:$C$1005="P")*(MOVIMIENTOS!$D$5:$D$1005="jabas")*(MOVIMIENTOS!$A$5:$A$1005&lt;&gt;"")*(MOVIMIENTOS!$A$5:$A$1005&lt;=$A137)*MOVIMIENTOS!$E$5:$E$1005)-SUMPRODUCT((MOVIMIENTOS!$B$5:$B$1005="ENVÍO A SUPESA")*(MOVIMIENTOS!$C$5:$C$1005="P")*(MOVIMIENTOS!$D$5:$D$1005="jabas")*(MOVIMIENTOS!$A$5:$A$1005&lt;&gt;"")*(MOVIMIENTOS!$A$5:$A$1005&lt;=$A137)*MOVIMIENTOS!$E$5:$E$1005)+SUMPRODUCT((MOVIMIENTOS!$B$5:$B$1005="DEVOLUCIÓN")*(MOVIMIENTOS!$C$5:$C$1005="P")*(MOVIMIENTOS!$D$5:$D$1005="jabas")*(MOVIMIENTOS!$A$5:$A$1005&lt;&gt;"")*(MOVIMIENTOS!$A$5:$A$1005&lt;=$A137)*MOVIMIENTOS!$E$5:$E$1005)-SUMPRODUCT((MOVIMIENTOS!$B$5:$B$1005="TRASIEGO")*(MOVIMIENTOS!$C$5:$C$1005="P")*(MOVIMIENTOS!$D$5:$D$1005="jabas")*(MOVIMIENTOS!$A$5:$A$1005&lt;&gt;"")*(MOVIMIENTOS!$A$5:$A$1005&lt;=$A137)*MOVIMIENTOS!$E$5:$E$1005)-SUMPRODUCT((MOVIMIENTOS!$B$5:$B$1005="REGALO")*(MOVIMIENTOS!$C$5:$C$1005="P")*(MOVIMIENTOS!$D$5:$D$1005="jabas")*(MOVIMIENTOS!$A$5:$A$1005&lt;&gt;"")*(MOVIMIENTOS!$A$5:$A$1005&lt;=$A137)*MOVIMIENTOS!$E$5:$E$1005)-SUMPRODUCT((MOVIMIENTOS!$B$5:$B$1005="VENTA")*(MOVIMIENTOS!$C$5:$C$1005="P")*(MOVIMIENTOS!$D$5:$D$1005="jabas")*(MOVIMIENTOS!$A$5:$A$1005&lt;&gt;"")*(MOVIMIENTOS!$A$5:$A$1005&lt;=$A137)*MOVIMIENTOS!$E$5:$E$1005)+SUMPRODUCT((MOVIMIENTOS!$B$5:$B$1005="AJUSTE")*(MOVIMIENTOS!$C$5:$C$1005="P")*(MOVIMIENTOS!$D$5:$D$1005="jabas")*(MOVIMIENTOS!$A$5:$A$1005&lt;&gt;"")*(MOVIMIENTOS!$A$5:$A$1005&lt;=$A137)*MOVIMIENTOS!$E$5:$E$1005))</f>
        <v/>
      </c>
      <c r="D137" s="63" t="str">
        <f>IF($A137="","",SUMPRODUCT((MOVIMIENTOS!$B$5:$B$1005="SALDO INICIAL")*(MOVIMIENTOS!$C$5:$C$1005="C")*(MOVIMIENTOS!$D$5:$D$1005="jabas")*(MOVIMIENTOS!$A$5:$A$1005&lt;&gt;"")*(MOVIMIENTOS!$A$5:$A$1005&lt;=$A137)*MOVIMIENTOS!$E$5:$E$1005)+SUMPRODUCT((MOVIMIENTOS!$B$5:$B$1005="PROCESO")*(MOVIMIENTOS!$C$5:$C$1005="C")*(MOVIMIENTOS!$D$5:$D$1005="jabas")*(MOVIMIENTOS!$A$5:$A$1005&lt;&gt;"")*(MOVIMIENTOS!$A$5:$A$1005&lt;=$A137)*MOVIMIENTOS!$E$5:$E$1005)-SUMPRODUCT((MOVIMIENTOS!$B$5:$B$1005="ENVÍO A SUPESA")*(MOVIMIENTOS!$C$5:$C$1005="C")*(MOVIMIENTOS!$D$5:$D$1005="jabas")*(MOVIMIENTOS!$A$5:$A$1005&lt;&gt;"")*(MOVIMIENTOS!$A$5:$A$1005&lt;=$A137)*MOVIMIENTOS!$E$5:$E$1005)+SUMPRODUCT((MOVIMIENTOS!$B$5:$B$1005="DEVOLUCIÓN")*(MOVIMIENTOS!$C$5:$C$1005="C")*(MOVIMIENTOS!$D$5:$D$1005="jabas")*(MOVIMIENTOS!$A$5:$A$1005&lt;&gt;"")*(MOVIMIENTOS!$A$5:$A$1005&lt;=$A137)*MOVIMIENTOS!$E$5:$E$1005)-SUMPRODUCT((MOVIMIENTOS!$B$5:$B$1005="TRASIEGO")*(MOVIMIENTOS!$C$5:$C$1005="C")*(MOVIMIENTOS!$D$5:$D$1005="jabas")*(MOVIMIENTOS!$A$5:$A$1005&lt;&gt;"")*(MOVIMIENTOS!$A$5:$A$1005&lt;=$A137)*MOVIMIENTOS!$E$5:$E$1005)-SUMPRODUCT((MOVIMIENTOS!$B$5:$B$1005="REGALO")*(MOVIMIENTOS!$C$5:$C$1005="C")*(MOVIMIENTOS!$D$5:$D$1005="jabas")*(MOVIMIENTOS!$A$5:$A$1005&lt;&gt;"")*(MOVIMIENTOS!$A$5:$A$1005&lt;=$A137)*MOVIMIENTOS!$E$5:$E$1005)-SUMPRODUCT((MOVIMIENTOS!$B$5:$B$1005="VENTA")*(MOVIMIENTOS!$C$5:$C$1005="C")*(MOVIMIENTOS!$D$5:$D$1005="jabas")*(MOVIMIENTOS!$A$5:$A$1005&lt;&gt;"")*(MOVIMIENTOS!$A$5:$A$1005&lt;=$A137)*MOVIMIENTOS!$E$5:$E$1005)+SUMPRODUCT((MOVIMIENTOS!$B$5:$B$1005="AJUSTE")*(MOVIMIENTOS!$C$5:$C$1005="C")*(MOVIMIENTOS!$D$5:$D$1005="jabas")*(MOVIMIENTOS!$A$5:$A$1005&lt;&gt;"")*(MOVIMIENTOS!$A$5:$A$1005&lt;=$A137)*MOVIMIENTOS!$E$5:$E$1005))</f>
        <v/>
      </c>
      <c r="E137" s="63" t="str">
        <f>IF($A137="","",SUMPRODUCT((MOVIMIENTOS!$B$5:$B$1005="SALDO INICIAL")*(MOVIMIENTOS!$C$5:$C$1005="M")*(MOVIMIENTOS!$D$5:$D$1005="jabas")*(MOVIMIENTOS!$A$5:$A$1005&lt;&gt;"")*(MOVIMIENTOS!$A$5:$A$1005&lt;=$A137)*MOVIMIENTOS!$E$5:$E$1005)+SUMPRODUCT((MOVIMIENTOS!$B$5:$B$1005="PROCESO")*(MOVIMIENTOS!$C$5:$C$1005="M")*(MOVIMIENTOS!$D$5:$D$1005="jabas")*(MOVIMIENTOS!$A$5:$A$1005&lt;&gt;"")*(MOVIMIENTOS!$A$5:$A$1005&lt;=$A137)*MOVIMIENTOS!$E$5:$E$1005)-SUMPRODUCT((MOVIMIENTOS!$B$5:$B$1005="ENVÍO A SUPESA")*(MOVIMIENTOS!$C$5:$C$1005="M")*(MOVIMIENTOS!$D$5:$D$1005="jabas")*(MOVIMIENTOS!$A$5:$A$1005&lt;&gt;"")*(MOVIMIENTOS!$A$5:$A$1005&lt;=$A137)*MOVIMIENTOS!$E$5:$E$1005)+SUMPRODUCT((MOVIMIENTOS!$B$5:$B$1005="DEVOLUCIÓN")*(MOVIMIENTOS!$C$5:$C$1005="M")*(MOVIMIENTOS!$D$5:$D$1005="jabas")*(MOVIMIENTOS!$A$5:$A$1005&lt;&gt;"")*(MOVIMIENTOS!$A$5:$A$1005&lt;=$A137)*MOVIMIENTOS!$E$5:$E$1005)-SUMPRODUCT((MOVIMIENTOS!$B$5:$B$1005="TRASIEGO")*(MOVIMIENTOS!$C$5:$C$1005="M")*(MOVIMIENTOS!$D$5:$D$1005="jabas")*(MOVIMIENTOS!$A$5:$A$1005&lt;&gt;"")*(MOVIMIENTOS!$A$5:$A$1005&lt;=$A137)*MOVIMIENTOS!$E$5:$E$1005)-SUMPRODUCT((MOVIMIENTOS!$B$5:$B$1005="REGALO")*(MOVIMIENTOS!$C$5:$C$1005="M")*(MOVIMIENTOS!$D$5:$D$1005="jabas")*(MOVIMIENTOS!$A$5:$A$1005&lt;&gt;"")*(MOVIMIENTOS!$A$5:$A$1005&lt;=$A137)*MOVIMIENTOS!$E$5:$E$1005)-SUMPRODUCT((MOVIMIENTOS!$B$5:$B$1005="VENTA")*(MOVIMIENTOS!$C$5:$C$1005="M")*(MOVIMIENTOS!$D$5:$D$1005="jabas")*(MOVIMIENTOS!$A$5:$A$1005&lt;&gt;"")*(MOVIMIENTOS!$A$5:$A$1005&lt;=$A137)*MOVIMIENTOS!$E$5:$E$1005)+SUMPRODUCT((MOVIMIENTOS!$B$5:$B$1005="AJUSTE")*(MOVIMIENTOS!$C$5:$C$1005="M")*(MOVIMIENTOS!$D$5:$D$1005="jabas")*(MOVIMIENTOS!$A$5:$A$1005&lt;&gt;"")*(MOVIMIENTOS!$A$5:$A$1005&lt;=$A137)*MOVIMIENTOS!$E$5:$E$1005))</f>
        <v/>
      </c>
      <c r="F137" s="63" t="str">
        <f>IF($A137="","",SUMPRODUCT((MOVIMIENTOS!$B$5:$B$1005="SALDO INICIAL")*(MOVIMIENTOS!$C$5:$C$1005="Chancho")*(MOVIMIENTOS!$D$5:$D$1005="sacos")*(MOVIMIENTOS!$A$5:$A$1005&lt;&gt;"")*(MOVIMIENTOS!$A$5:$A$1005&lt;=$A137)*MOVIMIENTOS!$E$5:$E$1005)+SUMPRODUCT((MOVIMIENTOS!$B$5:$B$1005="PROCESO")*(MOVIMIENTOS!$C$5:$C$1005="Chancho")*(MOVIMIENTOS!$D$5:$D$1005="sacos")*(MOVIMIENTOS!$A$5:$A$1005&lt;&gt;"")*(MOVIMIENTOS!$A$5:$A$1005&lt;=$A137)*MOVIMIENTOS!$E$5:$E$1005)-SUMPRODUCT((MOVIMIENTOS!$B$5:$B$1005="VENTA CHANCHO")*(MOVIMIENTOS!$C$5:$C$1005="Chancho")*(MOVIMIENTOS!$D$5:$D$1005="sacos")*(MOVIMIENTOS!$A$5:$A$1005&lt;&gt;"")*(MOVIMIENTOS!$A$5:$A$1005&lt;=$A137)*MOVIMIENTOS!$E$5:$E$1005)-SUMPRODUCT((MOVIMIENTOS!$B$5:$B$1005="REGALO")*(MOVIMIENTOS!$C$5:$C$1005="Chancho")*(MOVIMIENTOS!$D$5:$D$1005="sacos")*(MOVIMIENTOS!$A$5:$A$1005&lt;&gt;"")*(MOVIMIENTOS!$A$5:$A$1005&lt;=$A137)*MOVIMIENTOS!$E$5:$E$1005)-SUMPRODUCT((MOVIMIENTOS!$B$5:$B$1005="VENTA")*(MOVIMIENTOS!$C$5:$C$1005="Chancho")*(MOVIMIENTOS!$D$5:$D$1005="sacos")*(MOVIMIENTOS!$A$5:$A$1005&lt;&gt;"")*(MOVIMIENTOS!$A$5:$A$1005&lt;=$A137)*MOVIMIENTOS!$E$5:$E$1005)+SUMPRODUCT((MOVIMIENTOS!$B$5:$B$1005="AJUSTE")*(MOVIMIENTOS!$C$5:$C$1005="Chancho")*(MOVIMIENTOS!$D$5:$D$1005="sacos")*(MOVIMIENTOS!$A$5:$A$1005&lt;&gt;"")*(MOVIMIENTOS!$A$5:$A$1005&lt;=$A137)*MOVIMIENTOS!$E$5:$E$1005))</f>
        <v/>
      </c>
      <c r="G137" s="95" t="str">
        <f t="shared" si="5"/>
        <v/>
      </c>
      <c r="H137" s="63" t="str">
        <f>IF($A137="","",SUMPRODUCT((((MOVIMIENTOS!$B$5:$B$1005="SALDO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137)*MOVIMIENTOS!$J$5:$J$1005))</f>
        <v/>
      </c>
      <c r="I137" s="63"/>
      <c r="J137" s="63" t="str">
        <f>IF(AND(MOVIMIENTOS!$A137&lt;&gt;"",COUNTIF(MOVIMIENTOS!$A$5:$A136,MOVIMIENTOS!$A137)=0),COUNT(J$4:J136)+1,"")</f>
        <v/>
      </c>
      <c r="K137" s="66">
        <f>MOVIMIENTOS!$A137</f>
        <v>46225</v>
      </c>
      <c r="L137" s="63"/>
      <c r="M137" s="63"/>
      <c r="N137" s="63"/>
    </row>
    <row r="138" spans="1:14" ht="15" customHeight="1" x14ac:dyDescent="0.2">
      <c r="A138" s="63" t="str">
        <f t="shared" si="4"/>
        <v/>
      </c>
      <c r="B138" s="63" t="str">
        <f>IF($A138="","",SUMPRODUCT((MOVIMIENTOS!$B$5:$B$1005="SALDO INICIAL")*(MOVIMIENTOS!$C$5:$C$1005="A")*(MOVIMIENTOS!$D$5:$D$1005="jabas")*(MOVIMIENTOS!$A$5:$A$1005&lt;&gt;"")*(MOVIMIENTOS!$A$5:$A$1005&lt;=$A138)*MOVIMIENTOS!$E$5:$E$1005)+SUMPRODUCT((MOVIMIENTOS!$B$5:$B$1005="PROCESO")*(MOVIMIENTOS!$C$5:$C$1005="A")*(MOVIMIENTOS!$D$5:$D$1005="jabas")*(MOVIMIENTOS!$A$5:$A$1005&lt;&gt;"")*(MOVIMIENTOS!$A$5:$A$1005&lt;=$A138)*MOVIMIENTOS!$E$5:$E$1005)-SUMPRODUCT((MOVIMIENTOS!$B$5:$B$1005="ENVÍO A SUPESA")*(MOVIMIENTOS!$C$5:$C$1005="A")*(MOVIMIENTOS!$D$5:$D$1005="jabas")*(MOVIMIENTOS!$A$5:$A$1005&lt;&gt;"")*(MOVIMIENTOS!$A$5:$A$1005&lt;=$A138)*MOVIMIENTOS!$E$5:$E$1005)+SUMPRODUCT((MOVIMIENTOS!$B$5:$B$1005="DEVOLUCIÓN")*(MOVIMIENTOS!$C$5:$C$1005="A")*(MOVIMIENTOS!$D$5:$D$1005="jabas")*(MOVIMIENTOS!$A$5:$A$1005&lt;&gt;"")*(MOVIMIENTOS!$A$5:$A$1005&lt;=$A138)*MOVIMIENTOS!$E$5:$E$1005)-SUMPRODUCT((MOVIMIENTOS!$B$5:$B$1005="TRASIEGO")*(MOVIMIENTOS!$C$5:$C$1005="A")*(MOVIMIENTOS!$D$5:$D$1005="jabas")*(MOVIMIENTOS!$A$5:$A$1005&lt;&gt;"")*(MOVIMIENTOS!$A$5:$A$1005&lt;=$A138)*MOVIMIENTOS!$E$5:$E$1005)-SUMPRODUCT((MOVIMIENTOS!$B$5:$B$1005="REGALO")*(MOVIMIENTOS!$C$5:$C$1005="A")*(MOVIMIENTOS!$D$5:$D$1005="jabas")*(MOVIMIENTOS!$A$5:$A$1005&lt;&gt;"")*(MOVIMIENTOS!$A$5:$A$1005&lt;=$A138)*MOVIMIENTOS!$E$5:$E$1005)-SUMPRODUCT((MOVIMIENTOS!$B$5:$B$1005="VENTA")*(MOVIMIENTOS!$C$5:$C$1005="A")*(MOVIMIENTOS!$D$5:$D$1005="jabas")*(MOVIMIENTOS!$A$5:$A$1005&lt;&gt;"")*(MOVIMIENTOS!$A$5:$A$1005&lt;=$A138)*MOVIMIENTOS!$E$5:$E$1005)+SUMPRODUCT((MOVIMIENTOS!$B$5:$B$1005="AJUSTE")*(MOVIMIENTOS!$C$5:$C$1005="A")*(MOVIMIENTOS!$D$5:$D$1005="jabas")*(MOVIMIENTOS!$A$5:$A$1005&lt;&gt;"")*(MOVIMIENTOS!$A$5:$A$1005&lt;=$A138)*MOVIMIENTOS!$E$5:$E$1005))</f>
        <v/>
      </c>
      <c r="C138" s="63" t="str">
        <f>IF($A138="","",SUMPRODUCT((MOVIMIENTOS!$B$5:$B$1005="SALDO INICIAL")*(MOVIMIENTOS!$C$5:$C$1005="P")*(MOVIMIENTOS!$D$5:$D$1005="jabas")*(MOVIMIENTOS!$A$5:$A$1005&lt;&gt;"")*(MOVIMIENTOS!$A$5:$A$1005&lt;=$A138)*MOVIMIENTOS!$E$5:$E$1005)+SUMPRODUCT((MOVIMIENTOS!$B$5:$B$1005="PROCESO")*(MOVIMIENTOS!$C$5:$C$1005="P")*(MOVIMIENTOS!$D$5:$D$1005="jabas")*(MOVIMIENTOS!$A$5:$A$1005&lt;&gt;"")*(MOVIMIENTOS!$A$5:$A$1005&lt;=$A138)*MOVIMIENTOS!$E$5:$E$1005)-SUMPRODUCT((MOVIMIENTOS!$B$5:$B$1005="ENVÍO A SUPESA")*(MOVIMIENTOS!$C$5:$C$1005="P")*(MOVIMIENTOS!$D$5:$D$1005="jabas")*(MOVIMIENTOS!$A$5:$A$1005&lt;&gt;"")*(MOVIMIENTOS!$A$5:$A$1005&lt;=$A138)*MOVIMIENTOS!$E$5:$E$1005)+SUMPRODUCT((MOVIMIENTOS!$B$5:$B$1005="DEVOLUCIÓN")*(MOVIMIENTOS!$C$5:$C$1005="P")*(MOVIMIENTOS!$D$5:$D$1005="jabas")*(MOVIMIENTOS!$A$5:$A$1005&lt;&gt;"")*(MOVIMIENTOS!$A$5:$A$1005&lt;=$A138)*MOVIMIENTOS!$E$5:$E$1005)-SUMPRODUCT((MOVIMIENTOS!$B$5:$B$1005="TRASIEGO")*(MOVIMIENTOS!$C$5:$C$1005="P")*(MOVIMIENTOS!$D$5:$D$1005="jabas")*(MOVIMIENTOS!$A$5:$A$1005&lt;&gt;"")*(MOVIMIENTOS!$A$5:$A$1005&lt;=$A138)*MOVIMIENTOS!$E$5:$E$1005)-SUMPRODUCT((MOVIMIENTOS!$B$5:$B$1005="REGALO")*(MOVIMIENTOS!$C$5:$C$1005="P")*(MOVIMIENTOS!$D$5:$D$1005="jabas")*(MOVIMIENTOS!$A$5:$A$1005&lt;&gt;"")*(MOVIMIENTOS!$A$5:$A$1005&lt;=$A138)*MOVIMIENTOS!$E$5:$E$1005)-SUMPRODUCT((MOVIMIENTOS!$B$5:$B$1005="VENTA")*(MOVIMIENTOS!$C$5:$C$1005="P")*(MOVIMIENTOS!$D$5:$D$1005="jabas")*(MOVIMIENTOS!$A$5:$A$1005&lt;&gt;"")*(MOVIMIENTOS!$A$5:$A$1005&lt;=$A138)*MOVIMIENTOS!$E$5:$E$1005)+SUMPRODUCT((MOVIMIENTOS!$B$5:$B$1005="AJUSTE")*(MOVIMIENTOS!$C$5:$C$1005="P")*(MOVIMIENTOS!$D$5:$D$1005="jabas")*(MOVIMIENTOS!$A$5:$A$1005&lt;&gt;"")*(MOVIMIENTOS!$A$5:$A$1005&lt;=$A138)*MOVIMIENTOS!$E$5:$E$1005))</f>
        <v/>
      </c>
      <c r="D138" s="63" t="str">
        <f>IF($A138="","",SUMPRODUCT((MOVIMIENTOS!$B$5:$B$1005="SALDO INICIAL")*(MOVIMIENTOS!$C$5:$C$1005="C")*(MOVIMIENTOS!$D$5:$D$1005="jabas")*(MOVIMIENTOS!$A$5:$A$1005&lt;&gt;"")*(MOVIMIENTOS!$A$5:$A$1005&lt;=$A138)*MOVIMIENTOS!$E$5:$E$1005)+SUMPRODUCT((MOVIMIENTOS!$B$5:$B$1005="PROCESO")*(MOVIMIENTOS!$C$5:$C$1005="C")*(MOVIMIENTOS!$D$5:$D$1005="jabas")*(MOVIMIENTOS!$A$5:$A$1005&lt;&gt;"")*(MOVIMIENTOS!$A$5:$A$1005&lt;=$A138)*MOVIMIENTOS!$E$5:$E$1005)-SUMPRODUCT((MOVIMIENTOS!$B$5:$B$1005="ENVÍO A SUPESA")*(MOVIMIENTOS!$C$5:$C$1005="C")*(MOVIMIENTOS!$D$5:$D$1005="jabas")*(MOVIMIENTOS!$A$5:$A$1005&lt;&gt;"")*(MOVIMIENTOS!$A$5:$A$1005&lt;=$A138)*MOVIMIENTOS!$E$5:$E$1005)+SUMPRODUCT((MOVIMIENTOS!$B$5:$B$1005="DEVOLUCIÓN")*(MOVIMIENTOS!$C$5:$C$1005="C")*(MOVIMIENTOS!$D$5:$D$1005="jabas")*(MOVIMIENTOS!$A$5:$A$1005&lt;&gt;"")*(MOVIMIENTOS!$A$5:$A$1005&lt;=$A138)*MOVIMIENTOS!$E$5:$E$1005)-SUMPRODUCT((MOVIMIENTOS!$B$5:$B$1005="TRASIEGO")*(MOVIMIENTOS!$C$5:$C$1005="C")*(MOVIMIENTOS!$D$5:$D$1005="jabas")*(MOVIMIENTOS!$A$5:$A$1005&lt;&gt;"")*(MOVIMIENTOS!$A$5:$A$1005&lt;=$A138)*MOVIMIENTOS!$E$5:$E$1005)-SUMPRODUCT((MOVIMIENTOS!$B$5:$B$1005="REGALO")*(MOVIMIENTOS!$C$5:$C$1005="C")*(MOVIMIENTOS!$D$5:$D$1005="jabas")*(MOVIMIENTOS!$A$5:$A$1005&lt;&gt;"")*(MOVIMIENTOS!$A$5:$A$1005&lt;=$A138)*MOVIMIENTOS!$E$5:$E$1005)-SUMPRODUCT((MOVIMIENTOS!$B$5:$B$1005="VENTA")*(MOVIMIENTOS!$C$5:$C$1005="C")*(MOVIMIENTOS!$D$5:$D$1005="jabas")*(MOVIMIENTOS!$A$5:$A$1005&lt;&gt;"")*(MOVIMIENTOS!$A$5:$A$1005&lt;=$A138)*MOVIMIENTOS!$E$5:$E$1005)+SUMPRODUCT((MOVIMIENTOS!$B$5:$B$1005="AJUSTE")*(MOVIMIENTOS!$C$5:$C$1005="C")*(MOVIMIENTOS!$D$5:$D$1005="jabas")*(MOVIMIENTOS!$A$5:$A$1005&lt;&gt;"")*(MOVIMIENTOS!$A$5:$A$1005&lt;=$A138)*MOVIMIENTOS!$E$5:$E$1005))</f>
        <v/>
      </c>
      <c r="E138" s="63" t="str">
        <f>IF($A138="","",SUMPRODUCT((MOVIMIENTOS!$B$5:$B$1005="SALDO INICIAL")*(MOVIMIENTOS!$C$5:$C$1005="M")*(MOVIMIENTOS!$D$5:$D$1005="jabas")*(MOVIMIENTOS!$A$5:$A$1005&lt;&gt;"")*(MOVIMIENTOS!$A$5:$A$1005&lt;=$A138)*MOVIMIENTOS!$E$5:$E$1005)+SUMPRODUCT((MOVIMIENTOS!$B$5:$B$1005="PROCESO")*(MOVIMIENTOS!$C$5:$C$1005="M")*(MOVIMIENTOS!$D$5:$D$1005="jabas")*(MOVIMIENTOS!$A$5:$A$1005&lt;&gt;"")*(MOVIMIENTOS!$A$5:$A$1005&lt;=$A138)*MOVIMIENTOS!$E$5:$E$1005)-SUMPRODUCT((MOVIMIENTOS!$B$5:$B$1005="ENVÍO A SUPESA")*(MOVIMIENTOS!$C$5:$C$1005="M")*(MOVIMIENTOS!$D$5:$D$1005="jabas")*(MOVIMIENTOS!$A$5:$A$1005&lt;&gt;"")*(MOVIMIENTOS!$A$5:$A$1005&lt;=$A138)*MOVIMIENTOS!$E$5:$E$1005)+SUMPRODUCT((MOVIMIENTOS!$B$5:$B$1005="DEVOLUCIÓN")*(MOVIMIENTOS!$C$5:$C$1005="M")*(MOVIMIENTOS!$D$5:$D$1005="jabas")*(MOVIMIENTOS!$A$5:$A$1005&lt;&gt;"")*(MOVIMIENTOS!$A$5:$A$1005&lt;=$A138)*MOVIMIENTOS!$E$5:$E$1005)-SUMPRODUCT((MOVIMIENTOS!$B$5:$B$1005="TRASIEGO")*(MOVIMIENTOS!$C$5:$C$1005="M")*(MOVIMIENTOS!$D$5:$D$1005="jabas")*(MOVIMIENTOS!$A$5:$A$1005&lt;&gt;"")*(MOVIMIENTOS!$A$5:$A$1005&lt;=$A138)*MOVIMIENTOS!$E$5:$E$1005)-SUMPRODUCT((MOVIMIENTOS!$B$5:$B$1005="REGALO")*(MOVIMIENTOS!$C$5:$C$1005="M")*(MOVIMIENTOS!$D$5:$D$1005="jabas")*(MOVIMIENTOS!$A$5:$A$1005&lt;&gt;"")*(MOVIMIENTOS!$A$5:$A$1005&lt;=$A138)*MOVIMIENTOS!$E$5:$E$1005)-SUMPRODUCT((MOVIMIENTOS!$B$5:$B$1005="VENTA")*(MOVIMIENTOS!$C$5:$C$1005="M")*(MOVIMIENTOS!$D$5:$D$1005="jabas")*(MOVIMIENTOS!$A$5:$A$1005&lt;&gt;"")*(MOVIMIENTOS!$A$5:$A$1005&lt;=$A138)*MOVIMIENTOS!$E$5:$E$1005)+SUMPRODUCT((MOVIMIENTOS!$B$5:$B$1005="AJUSTE")*(MOVIMIENTOS!$C$5:$C$1005="M")*(MOVIMIENTOS!$D$5:$D$1005="jabas")*(MOVIMIENTOS!$A$5:$A$1005&lt;&gt;"")*(MOVIMIENTOS!$A$5:$A$1005&lt;=$A138)*MOVIMIENTOS!$E$5:$E$1005))</f>
        <v/>
      </c>
      <c r="F138" s="63" t="str">
        <f>IF($A138="","",SUMPRODUCT((MOVIMIENTOS!$B$5:$B$1005="SALDO INICIAL")*(MOVIMIENTOS!$C$5:$C$1005="Chancho")*(MOVIMIENTOS!$D$5:$D$1005="sacos")*(MOVIMIENTOS!$A$5:$A$1005&lt;&gt;"")*(MOVIMIENTOS!$A$5:$A$1005&lt;=$A138)*MOVIMIENTOS!$E$5:$E$1005)+SUMPRODUCT((MOVIMIENTOS!$B$5:$B$1005="PROCESO")*(MOVIMIENTOS!$C$5:$C$1005="Chancho")*(MOVIMIENTOS!$D$5:$D$1005="sacos")*(MOVIMIENTOS!$A$5:$A$1005&lt;&gt;"")*(MOVIMIENTOS!$A$5:$A$1005&lt;=$A138)*MOVIMIENTOS!$E$5:$E$1005)-SUMPRODUCT((MOVIMIENTOS!$B$5:$B$1005="VENTA CHANCHO")*(MOVIMIENTOS!$C$5:$C$1005="Chancho")*(MOVIMIENTOS!$D$5:$D$1005="sacos")*(MOVIMIENTOS!$A$5:$A$1005&lt;&gt;"")*(MOVIMIENTOS!$A$5:$A$1005&lt;=$A138)*MOVIMIENTOS!$E$5:$E$1005)-SUMPRODUCT((MOVIMIENTOS!$B$5:$B$1005="REGALO")*(MOVIMIENTOS!$C$5:$C$1005="Chancho")*(MOVIMIENTOS!$D$5:$D$1005="sacos")*(MOVIMIENTOS!$A$5:$A$1005&lt;&gt;"")*(MOVIMIENTOS!$A$5:$A$1005&lt;=$A138)*MOVIMIENTOS!$E$5:$E$1005)-SUMPRODUCT((MOVIMIENTOS!$B$5:$B$1005="VENTA")*(MOVIMIENTOS!$C$5:$C$1005="Chancho")*(MOVIMIENTOS!$D$5:$D$1005="sacos")*(MOVIMIENTOS!$A$5:$A$1005&lt;&gt;"")*(MOVIMIENTOS!$A$5:$A$1005&lt;=$A138)*MOVIMIENTOS!$E$5:$E$1005)+SUMPRODUCT((MOVIMIENTOS!$B$5:$B$1005="AJUSTE")*(MOVIMIENTOS!$C$5:$C$1005="Chancho")*(MOVIMIENTOS!$D$5:$D$1005="sacos")*(MOVIMIENTOS!$A$5:$A$1005&lt;&gt;"")*(MOVIMIENTOS!$A$5:$A$1005&lt;=$A138)*MOVIMIENTOS!$E$5:$E$1005))</f>
        <v/>
      </c>
      <c r="G138" s="95" t="str">
        <f t="shared" si="5"/>
        <v/>
      </c>
      <c r="H138" s="63" t="str">
        <f>IF($A138="","",SUMPRODUCT((((MOVIMIENTOS!$B$5:$B$1005="SALDO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138)*MOVIMIENTOS!$J$5:$J$1005))</f>
        <v/>
      </c>
      <c r="I138" s="63"/>
      <c r="J138" s="63" t="str">
        <f>IF(AND(MOVIMIENTOS!$A138&lt;&gt;"",COUNTIF(MOVIMIENTOS!$A$5:$A137,MOVIMIENTOS!$A138)=0),COUNT(J$4:J137)+1,"")</f>
        <v/>
      </c>
      <c r="K138" s="66">
        <f>MOVIMIENTOS!$A138</f>
        <v>46225</v>
      </c>
      <c r="L138" s="63"/>
      <c r="M138" s="63"/>
      <c r="N138" s="63"/>
    </row>
    <row r="139" spans="1:14" ht="15" customHeight="1" x14ac:dyDescent="0.2">
      <c r="A139" s="63" t="str">
        <f t="shared" si="4"/>
        <v/>
      </c>
      <c r="B139" s="63" t="str">
        <f>IF($A139="","",SUMPRODUCT((MOVIMIENTOS!$B$5:$B$1005="SALDO INICIAL")*(MOVIMIENTOS!$C$5:$C$1005="A")*(MOVIMIENTOS!$D$5:$D$1005="jabas")*(MOVIMIENTOS!$A$5:$A$1005&lt;&gt;"")*(MOVIMIENTOS!$A$5:$A$1005&lt;=$A139)*MOVIMIENTOS!$E$5:$E$1005)+SUMPRODUCT((MOVIMIENTOS!$B$5:$B$1005="PROCESO")*(MOVIMIENTOS!$C$5:$C$1005="A")*(MOVIMIENTOS!$D$5:$D$1005="jabas")*(MOVIMIENTOS!$A$5:$A$1005&lt;&gt;"")*(MOVIMIENTOS!$A$5:$A$1005&lt;=$A139)*MOVIMIENTOS!$E$5:$E$1005)-SUMPRODUCT((MOVIMIENTOS!$B$5:$B$1005="ENVÍO A SUPESA")*(MOVIMIENTOS!$C$5:$C$1005="A")*(MOVIMIENTOS!$D$5:$D$1005="jabas")*(MOVIMIENTOS!$A$5:$A$1005&lt;&gt;"")*(MOVIMIENTOS!$A$5:$A$1005&lt;=$A139)*MOVIMIENTOS!$E$5:$E$1005)+SUMPRODUCT((MOVIMIENTOS!$B$5:$B$1005="DEVOLUCIÓN")*(MOVIMIENTOS!$C$5:$C$1005="A")*(MOVIMIENTOS!$D$5:$D$1005="jabas")*(MOVIMIENTOS!$A$5:$A$1005&lt;&gt;"")*(MOVIMIENTOS!$A$5:$A$1005&lt;=$A139)*MOVIMIENTOS!$E$5:$E$1005)-SUMPRODUCT((MOVIMIENTOS!$B$5:$B$1005="TRASIEGO")*(MOVIMIENTOS!$C$5:$C$1005="A")*(MOVIMIENTOS!$D$5:$D$1005="jabas")*(MOVIMIENTOS!$A$5:$A$1005&lt;&gt;"")*(MOVIMIENTOS!$A$5:$A$1005&lt;=$A139)*MOVIMIENTOS!$E$5:$E$1005)-SUMPRODUCT((MOVIMIENTOS!$B$5:$B$1005="REGALO")*(MOVIMIENTOS!$C$5:$C$1005="A")*(MOVIMIENTOS!$D$5:$D$1005="jabas")*(MOVIMIENTOS!$A$5:$A$1005&lt;&gt;"")*(MOVIMIENTOS!$A$5:$A$1005&lt;=$A139)*MOVIMIENTOS!$E$5:$E$1005)-SUMPRODUCT((MOVIMIENTOS!$B$5:$B$1005="VENTA")*(MOVIMIENTOS!$C$5:$C$1005="A")*(MOVIMIENTOS!$D$5:$D$1005="jabas")*(MOVIMIENTOS!$A$5:$A$1005&lt;&gt;"")*(MOVIMIENTOS!$A$5:$A$1005&lt;=$A139)*MOVIMIENTOS!$E$5:$E$1005)+SUMPRODUCT((MOVIMIENTOS!$B$5:$B$1005="AJUSTE")*(MOVIMIENTOS!$C$5:$C$1005="A")*(MOVIMIENTOS!$D$5:$D$1005="jabas")*(MOVIMIENTOS!$A$5:$A$1005&lt;&gt;"")*(MOVIMIENTOS!$A$5:$A$1005&lt;=$A139)*MOVIMIENTOS!$E$5:$E$1005))</f>
        <v/>
      </c>
      <c r="C139" s="63" t="str">
        <f>IF($A139="","",SUMPRODUCT((MOVIMIENTOS!$B$5:$B$1005="SALDO INICIAL")*(MOVIMIENTOS!$C$5:$C$1005="P")*(MOVIMIENTOS!$D$5:$D$1005="jabas")*(MOVIMIENTOS!$A$5:$A$1005&lt;&gt;"")*(MOVIMIENTOS!$A$5:$A$1005&lt;=$A139)*MOVIMIENTOS!$E$5:$E$1005)+SUMPRODUCT((MOVIMIENTOS!$B$5:$B$1005="PROCESO")*(MOVIMIENTOS!$C$5:$C$1005="P")*(MOVIMIENTOS!$D$5:$D$1005="jabas")*(MOVIMIENTOS!$A$5:$A$1005&lt;&gt;"")*(MOVIMIENTOS!$A$5:$A$1005&lt;=$A139)*MOVIMIENTOS!$E$5:$E$1005)-SUMPRODUCT((MOVIMIENTOS!$B$5:$B$1005="ENVÍO A SUPESA")*(MOVIMIENTOS!$C$5:$C$1005="P")*(MOVIMIENTOS!$D$5:$D$1005="jabas")*(MOVIMIENTOS!$A$5:$A$1005&lt;&gt;"")*(MOVIMIENTOS!$A$5:$A$1005&lt;=$A139)*MOVIMIENTOS!$E$5:$E$1005)+SUMPRODUCT((MOVIMIENTOS!$B$5:$B$1005="DEVOLUCIÓN")*(MOVIMIENTOS!$C$5:$C$1005="P")*(MOVIMIENTOS!$D$5:$D$1005="jabas")*(MOVIMIENTOS!$A$5:$A$1005&lt;&gt;"")*(MOVIMIENTOS!$A$5:$A$1005&lt;=$A139)*MOVIMIENTOS!$E$5:$E$1005)-SUMPRODUCT((MOVIMIENTOS!$B$5:$B$1005="TRASIEGO")*(MOVIMIENTOS!$C$5:$C$1005="P")*(MOVIMIENTOS!$D$5:$D$1005="jabas")*(MOVIMIENTOS!$A$5:$A$1005&lt;&gt;"")*(MOVIMIENTOS!$A$5:$A$1005&lt;=$A139)*MOVIMIENTOS!$E$5:$E$1005)-SUMPRODUCT((MOVIMIENTOS!$B$5:$B$1005="REGALO")*(MOVIMIENTOS!$C$5:$C$1005="P")*(MOVIMIENTOS!$D$5:$D$1005="jabas")*(MOVIMIENTOS!$A$5:$A$1005&lt;&gt;"")*(MOVIMIENTOS!$A$5:$A$1005&lt;=$A139)*MOVIMIENTOS!$E$5:$E$1005)-SUMPRODUCT((MOVIMIENTOS!$B$5:$B$1005="VENTA")*(MOVIMIENTOS!$C$5:$C$1005="P")*(MOVIMIENTOS!$D$5:$D$1005="jabas")*(MOVIMIENTOS!$A$5:$A$1005&lt;&gt;"")*(MOVIMIENTOS!$A$5:$A$1005&lt;=$A139)*MOVIMIENTOS!$E$5:$E$1005)+SUMPRODUCT((MOVIMIENTOS!$B$5:$B$1005="AJUSTE")*(MOVIMIENTOS!$C$5:$C$1005="P")*(MOVIMIENTOS!$D$5:$D$1005="jabas")*(MOVIMIENTOS!$A$5:$A$1005&lt;&gt;"")*(MOVIMIENTOS!$A$5:$A$1005&lt;=$A139)*MOVIMIENTOS!$E$5:$E$1005))</f>
        <v/>
      </c>
      <c r="D139" s="63" t="str">
        <f>IF($A139="","",SUMPRODUCT((MOVIMIENTOS!$B$5:$B$1005="SALDO INICIAL")*(MOVIMIENTOS!$C$5:$C$1005="C")*(MOVIMIENTOS!$D$5:$D$1005="jabas")*(MOVIMIENTOS!$A$5:$A$1005&lt;&gt;"")*(MOVIMIENTOS!$A$5:$A$1005&lt;=$A139)*MOVIMIENTOS!$E$5:$E$1005)+SUMPRODUCT((MOVIMIENTOS!$B$5:$B$1005="PROCESO")*(MOVIMIENTOS!$C$5:$C$1005="C")*(MOVIMIENTOS!$D$5:$D$1005="jabas")*(MOVIMIENTOS!$A$5:$A$1005&lt;&gt;"")*(MOVIMIENTOS!$A$5:$A$1005&lt;=$A139)*MOVIMIENTOS!$E$5:$E$1005)-SUMPRODUCT((MOVIMIENTOS!$B$5:$B$1005="ENVÍO A SUPESA")*(MOVIMIENTOS!$C$5:$C$1005="C")*(MOVIMIENTOS!$D$5:$D$1005="jabas")*(MOVIMIENTOS!$A$5:$A$1005&lt;&gt;"")*(MOVIMIENTOS!$A$5:$A$1005&lt;=$A139)*MOVIMIENTOS!$E$5:$E$1005)+SUMPRODUCT((MOVIMIENTOS!$B$5:$B$1005="DEVOLUCIÓN")*(MOVIMIENTOS!$C$5:$C$1005="C")*(MOVIMIENTOS!$D$5:$D$1005="jabas")*(MOVIMIENTOS!$A$5:$A$1005&lt;&gt;"")*(MOVIMIENTOS!$A$5:$A$1005&lt;=$A139)*MOVIMIENTOS!$E$5:$E$1005)-SUMPRODUCT((MOVIMIENTOS!$B$5:$B$1005="TRASIEGO")*(MOVIMIENTOS!$C$5:$C$1005="C")*(MOVIMIENTOS!$D$5:$D$1005="jabas")*(MOVIMIENTOS!$A$5:$A$1005&lt;&gt;"")*(MOVIMIENTOS!$A$5:$A$1005&lt;=$A139)*MOVIMIENTOS!$E$5:$E$1005)-SUMPRODUCT((MOVIMIENTOS!$B$5:$B$1005="REGALO")*(MOVIMIENTOS!$C$5:$C$1005="C")*(MOVIMIENTOS!$D$5:$D$1005="jabas")*(MOVIMIENTOS!$A$5:$A$1005&lt;&gt;"")*(MOVIMIENTOS!$A$5:$A$1005&lt;=$A139)*MOVIMIENTOS!$E$5:$E$1005)-SUMPRODUCT((MOVIMIENTOS!$B$5:$B$1005="VENTA")*(MOVIMIENTOS!$C$5:$C$1005="C")*(MOVIMIENTOS!$D$5:$D$1005="jabas")*(MOVIMIENTOS!$A$5:$A$1005&lt;&gt;"")*(MOVIMIENTOS!$A$5:$A$1005&lt;=$A139)*MOVIMIENTOS!$E$5:$E$1005)+SUMPRODUCT((MOVIMIENTOS!$B$5:$B$1005="AJUSTE")*(MOVIMIENTOS!$C$5:$C$1005="C")*(MOVIMIENTOS!$D$5:$D$1005="jabas")*(MOVIMIENTOS!$A$5:$A$1005&lt;&gt;"")*(MOVIMIENTOS!$A$5:$A$1005&lt;=$A139)*MOVIMIENTOS!$E$5:$E$1005))</f>
        <v/>
      </c>
      <c r="E139" s="63" t="str">
        <f>IF($A139="","",SUMPRODUCT((MOVIMIENTOS!$B$5:$B$1005="SALDO INICIAL")*(MOVIMIENTOS!$C$5:$C$1005="M")*(MOVIMIENTOS!$D$5:$D$1005="jabas")*(MOVIMIENTOS!$A$5:$A$1005&lt;&gt;"")*(MOVIMIENTOS!$A$5:$A$1005&lt;=$A139)*MOVIMIENTOS!$E$5:$E$1005)+SUMPRODUCT((MOVIMIENTOS!$B$5:$B$1005="PROCESO")*(MOVIMIENTOS!$C$5:$C$1005="M")*(MOVIMIENTOS!$D$5:$D$1005="jabas")*(MOVIMIENTOS!$A$5:$A$1005&lt;&gt;"")*(MOVIMIENTOS!$A$5:$A$1005&lt;=$A139)*MOVIMIENTOS!$E$5:$E$1005)-SUMPRODUCT((MOVIMIENTOS!$B$5:$B$1005="ENVÍO A SUPESA")*(MOVIMIENTOS!$C$5:$C$1005="M")*(MOVIMIENTOS!$D$5:$D$1005="jabas")*(MOVIMIENTOS!$A$5:$A$1005&lt;&gt;"")*(MOVIMIENTOS!$A$5:$A$1005&lt;=$A139)*MOVIMIENTOS!$E$5:$E$1005)+SUMPRODUCT((MOVIMIENTOS!$B$5:$B$1005="DEVOLUCIÓN")*(MOVIMIENTOS!$C$5:$C$1005="M")*(MOVIMIENTOS!$D$5:$D$1005="jabas")*(MOVIMIENTOS!$A$5:$A$1005&lt;&gt;"")*(MOVIMIENTOS!$A$5:$A$1005&lt;=$A139)*MOVIMIENTOS!$E$5:$E$1005)-SUMPRODUCT((MOVIMIENTOS!$B$5:$B$1005="TRASIEGO")*(MOVIMIENTOS!$C$5:$C$1005="M")*(MOVIMIENTOS!$D$5:$D$1005="jabas")*(MOVIMIENTOS!$A$5:$A$1005&lt;&gt;"")*(MOVIMIENTOS!$A$5:$A$1005&lt;=$A139)*MOVIMIENTOS!$E$5:$E$1005)-SUMPRODUCT((MOVIMIENTOS!$B$5:$B$1005="REGALO")*(MOVIMIENTOS!$C$5:$C$1005="M")*(MOVIMIENTOS!$D$5:$D$1005="jabas")*(MOVIMIENTOS!$A$5:$A$1005&lt;&gt;"")*(MOVIMIENTOS!$A$5:$A$1005&lt;=$A139)*MOVIMIENTOS!$E$5:$E$1005)-SUMPRODUCT((MOVIMIENTOS!$B$5:$B$1005="VENTA")*(MOVIMIENTOS!$C$5:$C$1005="M")*(MOVIMIENTOS!$D$5:$D$1005="jabas")*(MOVIMIENTOS!$A$5:$A$1005&lt;&gt;"")*(MOVIMIENTOS!$A$5:$A$1005&lt;=$A139)*MOVIMIENTOS!$E$5:$E$1005)+SUMPRODUCT((MOVIMIENTOS!$B$5:$B$1005="AJUSTE")*(MOVIMIENTOS!$C$5:$C$1005="M")*(MOVIMIENTOS!$D$5:$D$1005="jabas")*(MOVIMIENTOS!$A$5:$A$1005&lt;&gt;"")*(MOVIMIENTOS!$A$5:$A$1005&lt;=$A139)*MOVIMIENTOS!$E$5:$E$1005))</f>
        <v/>
      </c>
      <c r="F139" s="63" t="str">
        <f>IF($A139="","",SUMPRODUCT((MOVIMIENTOS!$B$5:$B$1005="SALDO INICIAL")*(MOVIMIENTOS!$C$5:$C$1005="Chancho")*(MOVIMIENTOS!$D$5:$D$1005="sacos")*(MOVIMIENTOS!$A$5:$A$1005&lt;&gt;"")*(MOVIMIENTOS!$A$5:$A$1005&lt;=$A139)*MOVIMIENTOS!$E$5:$E$1005)+SUMPRODUCT((MOVIMIENTOS!$B$5:$B$1005="PROCESO")*(MOVIMIENTOS!$C$5:$C$1005="Chancho")*(MOVIMIENTOS!$D$5:$D$1005="sacos")*(MOVIMIENTOS!$A$5:$A$1005&lt;&gt;"")*(MOVIMIENTOS!$A$5:$A$1005&lt;=$A139)*MOVIMIENTOS!$E$5:$E$1005)-SUMPRODUCT((MOVIMIENTOS!$B$5:$B$1005="VENTA CHANCHO")*(MOVIMIENTOS!$C$5:$C$1005="Chancho")*(MOVIMIENTOS!$D$5:$D$1005="sacos")*(MOVIMIENTOS!$A$5:$A$1005&lt;&gt;"")*(MOVIMIENTOS!$A$5:$A$1005&lt;=$A139)*MOVIMIENTOS!$E$5:$E$1005)-SUMPRODUCT((MOVIMIENTOS!$B$5:$B$1005="REGALO")*(MOVIMIENTOS!$C$5:$C$1005="Chancho")*(MOVIMIENTOS!$D$5:$D$1005="sacos")*(MOVIMIENTOS!$A$5:$A$1005&lt;&gt;"")*(MOVIMIENTOS!$A$5:$A$1005&lt;=$A139)*MOVIMIENTOS!$E$5:$E$1005)-SUMPRODUCT((MOVIMIENTOS!$B$5:$B$1005="VENTA")*(MOVIMIENTOS!$C$5:$C$1005="Chancho")*(MOVIMIENTOS!$D$5:$D$1005="sacos")*(MOVIMIENTOS!$A$5:$A$1005&lt;&gt;"")*(MOVIMIENTOS!$A$5:$A$1005&lt;=$A139)*MOVIMIENTOS!$E$5:$E$1005)+SUMPRODUCT((MOVIMIENTOS!$B$5:$B$1005="AJUSTE")*(MOVIMIENTOS!$C$5:$C$1005="Chancho")*(MOVIMIENTOS!$D$5:$D$1005="sacos")*(MOVIMIENTOS!$A$5:$A$1005&lt;&gt;"")*(MOVIMIENTOS!$A$5:$A$1005&lt;=$A139)*MOVIMIENTOS!$E$5:$E$1005))</f>
        <v/>
      </c>
      <c r="G139" s="95" t="str">
        <f t="shared" si="5"/>
        <v/>
      </c>
      <c r="H139" s="63" t="str">
        <f>IF($A139="","",SUMPRODUCT((((MOVIMIENTOS!$B$5:$B$1005="SALDO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139)*MOVIMIENTOS!$J$5:$J$1005))</f>
        <v/>
      </c>
      <c r="I139" s="63"/>
      <c r="J139" s="63" t="str">
        <f>IF(AND(MOVIMIENTOS!$A139&lt;&gt;"",COUNTIF(MOVIMIENTOS!$A$5:$A138,MOVIMIENTOS!$A139)=0),COUNT(J$4:J138)+1,"")</f>
        <v/>
      </c>
      <c r="K139" s="66">
        <f>MOVIMIENTOS!$A139</f>
        <v>46225</v>
      </c>
      <c r="L139" s="63"/>
      <c r="M139" s="63"/>
      <c r="N139" s="63"/>
    </row>
    <row r="140" spans="1:14" ht="15" customHeight="1" x14ac:dyDescent="0.2">
      <c r="A140" s="63" t="str">
        <f t="shared" si="4"/>
        <v/>
      </c>
      <c r="B140" s="63" t="str">
        <f>IF($A140="","",SUMPRODUCT((MOVIMIENTOS!$B$5:$B$1005="SALDO INICIAL")*(MOVIMIENTOS!$C$5:$C$1005="A")*(MOVIMIENTOS!$D$5:$D$1005="jabas")*(MOVIMIENTOS!$A$5:$A$1005&lt;&gt;"")*(MOVIMIENTOS!$A$5:$A$1005&lt;=$A140)*MOVIMIENTOS!$E$5:$E$1005)+SUMPRODUCT((MOVIMIENTOS!$B$5:$B$1005="PROCESO")*(MOVIMIENTOS!$C$5:$C$1005="A")*(MOVIMIENTOS!$D$5:$D$1005="jabas")*(MOVIMIENTOS!$A$5:$A$1005&lt;&gt;"")*(MOVIMIENTOS!$A$5:$A$1005&lt;=$A140)*MOVIMIENTOS!$E$5:$E$1005)-SUMPRODUCT((MOVIMIENTOS!$B$5:$B$1005="ENVÍO A SUPESA")*(MOVIMIENTOS!$C$5:$C$1005="A")*(MOVIMIENTOS!$D$5:$D$1005="jabas")*(MOVIMIENTOS!$A$5:$A$1005&lt;&gt;"")*(MOVIMIENTOS!$A$5:$A$1005&lt;=$A140)*MOVIMIENTOS!$E$5:$E$1005)+SUMPRODUCT((MOVIMIENTOS!$B$5:$B$1005="DEVOLUCIÓN")*(MOVIMIENTOS!$C$5:$C$1005="A")*(MOVIMIENTOS!$D$5:$D$1005="jabas")*(MOVIMIENTOS!$A$5:$A$1005&lt;&gt;"")*(MOVIMIENTOS!$A$5:$A$1005&lt;=$A140)*MOVIMIENTOS!$E$5:$E$1005)-SUMPRODUCT((MOVIMIENTOS!$B$5:$B$1005="TRASIEGO")*(MOVIMIENTOS!$C$5:$C$1005="A")*(MOVIMIENTOS!$D$5:$D$1005="jabas")*(MOVIMIENTOS!$A$5:$A$1005&lt;&gt;"")*(MOVIMIENTOS!$A$5:$A$1005&lt;=$A140)*MOVIMIENTOS!$E$5:$E$1005)-SUMPRODUCT((MOVIMIENTOS!$B$5:$B$1005="REGALO")*(MOVIMIENTOS!$C$5:$C$1005="A")*(MOVIMIENTOS!$D$5:$D$1005="jabas")*(MOVIMIENTOS!$A$5:$A$1005&lt;&gt;"")*(MOVIMIENTOS!$A$5:$A$1005&lt;=$A140)*MOVIMIENTOS!$E$5:$E$1005)-SUMPRODUCT((MOVIMIENTOS!$B$5:$B$1005="VENTA")*(MOVIMIENTOS!$C$5:$C$1005="A")*(MOVIMIENTOS!$D$5:$D$1005="jabas")*(MOVIMIENTOS!$A$5:$A$1005&lt;&gt;"")*(MOVIMIENTOS!$A$5:$A$1005&lt;=$A140)*MOVIMIENTOS!$E$5:$E$1005)+SUMPRODUCT((MOVIMIENTOS!$B$5:$B$1005="AJUSTE")*(MOVIMIENTOS!$C$5:$C$1005="A")*(MOVIMIENTOS!$D$5:$D$1005="jabas")*(MOVIMIENTOS!$A$5:$A$1005&lt;&gt;"")*(MOVIMIENTOS!$A$5:$A$1005&lt;=$A140)*MOVIMIENTOS!$E$5:$E$1005))</f>
        <v/>
      </c>
      <c r="C140" s="63" t="str">
        <f>IF($A140="","",SUMPRODUCT((MOVIMIENTOS!$B$5:$B$1005="SALDO INICIAL")*(MOVIMIENTOS!$C$5:$C$1005="P")*(MOVIMIENTOS!$D$5:$D$1005="jabas")*(MOVIMIENTOS!$A$5:$A$1005&lt;&gt;"")*(MOVIMIENTOS!$A$5:$A$1005&lt;=$A140)*MOVIMIENTOS!$E$5:$E$1005)+SUMPRODUCT((MOVIMIENTOS!$B$5:$B$1005="PROCESO")*(MOVIMIENTOS!$C$5:$C$1005="P")*(MOVIMIENTOS!$D$5:$D$1005="jabas")*(MOVIMIENTOS!$A$5:$A$1005&lt;&gt;"")*(MOVIMIENTOS!$A$5:$A$1005&lt;=$A140)*MOVIMIENTOS!$E$5:$E$1005)-SUMPRODUCT((MOVIMIENTOS!$B$5:$B$1005="ENVÍO A SUPESA")*(MOVIMIENTOS!$C$5:$C$1005="P")*(MOVIMIENTOS!$D$5:$D$1005="jabas")*(MOVIMIENTOS!$A$5:$A$1005&lt;&gt;"")*(MOVIMIENTOS!$A$5:$A$1005&lt;=$A140)*MOVIMIENTOS!$E$5:$E$1005)+SUMPRODUCT((MOVIMIENTOS!$B$5:$B$1005="DEVOLUCIÓN")*(MOVIMIENTOS!$C$5:$C$1005="P")*(MOVIMIENTOS!$D$5:$D$1005="jabas")*(MOVIMIENTOS!$A$5:$A$1005&lt;&gt;"")*(MOVIMIENTOS!$A$5:$A$1005&lt;=$A140)*MOVIMIENTOS!$E$5:$E$1005)-SUMPRODUCT((MOVIMIENTOS!$B$5:$B$1005="TRASIEGO")*(MOVIMIENTOS!$C$5:$C$1005="P")*(MOVIMIENTOS!$D$5:$D$1005="jabas")*(MOVIMIENTOS!$A$5:$A$1005&lt;&gt;"")*(MOVIMIENTOS!$A$5:$A$1005&lt;=$A140)*MOVIMIENTOS!$E$5:$E$1005)-SUMPRODUCT((MOVIMIENTOS!$B$5:$B$1005="REGALO")*(MOVIMIENTOS!$C$5:$C$1005="P")*(MOVIMIENTOS!$D$5:$D$1005="jabas")*(MOVIMIENTOS!$A$5:$A$1005&lt;&gt;"")*(MOVIMIENTOS!$A$5:$A$1005&lt;=$A140)*MOVIMIENTOS!$E$5:$E$1005)-SUMPRODUCT((MOVIMIENTOS!$B$5:$B$1005="VENTA")*(MOVIMIENTOS!$C$5:$C$1005="P")*(MOVIMIENTOS!$D$5:$D$1005="jabas")*(MOVIMIENTOS!$A$5:$A$1005&lt;&gt;"")*(MOVIMIENTOS!$A$5:$A$1005&lt;=$A140)*MOVIMIENTOS!$E$5:$E$1005)+SUMPRODUCT((MOVIMIENTOS!$B$5:$B$1005="AJUSTE")*(MOVIMIENTOS!$C$5:$C$1005="P")*(MOVIMIENTOS!$D$5:$D$1005="jabas")*(MOVIMIENTOS!$A$5:$A$1005&lt;&gt;"")*(MOVIMIENTOS!$A$5:$A$1005&lt;=$A140)*MOVIMIENTOS!$E$5:$E$1005))</f>
        <v/>
      </c>
      <c r="D140" s="63" t="str">
        <f>IF($A140="","",SUMPRODUCT((MOVIMIENTOS!$B$5:$B$1005="SALDO INICIAL")*(MOVIMIENTOS!$C$5:$C$1005="C")*(MOVIMIENTOS!$D$5:$D$1005="jabas")*(MOVIMIENTOS!$A$5:$A$1005&lt;&gt;"")*(MOVIMIENTOS!$A$5:$A$1005&lt;=$A140)*MOVIMIENTOS!$E$5:$E$1005)+SUMPRODUCT((MOVIMIENTOS!$B$5:$B$1005="PROCESO")*(MOVIMIENTOS!$C$5:$C$1005="C")*(MOVIMIENTOS!$D$5:$D$1005="jabas")*(MOVIMIENTOS!$A$5:$A$1005&lt;&gt;"")*(MOVIMIENTOS!$A$5:$A$1005&lt;=$A140)*MOVIMIENTOS!$E$5:$E$1005)-SUMPRODUCT((MOVIMIENTOS!$B$5:$B$1005="ENVÍO A SUPESA")*(MOVIMIENTOS!$C$5:$C$1005="C")*(MOVIMIENTOS!$D$5:$D$1005="jabas")*(MOVIMIENTOS!$A$5:$A$1005&lt;&gt;"")*(MOVIMIENTOS!$A$5:$A$1005&lt;=$A140)*MOVIMIENTOS!$E$5:$E$1005)+SUMPRODUCT((MOVIMIENTOS!$B$5:$B$1005="DEVOLUCIÓN")*(MOVIMIENTOS!$C$5:$C$1005="C")*(MOVIMIENTOS!$D$5:$D$1005="jabas")*(MOVIMIENTOS!$A$5:$A$1005&lt;&gt;"")*(MOVIMIENTOS!$A$5:$A$1005&lt;=$A140)*MOVIMIENTOS!$E$5:$E$1005)-SUMPRODUCT((MOVIMIENTOS!$B$5:$B$1005="TRASIEGO")*(MOVIMIENTOS!$C$5:$C$1005="C")*(MOVIMIENTOS!$D$5:$D$1005="jabas")*(MOVIMIENTOS!$A$5:$A$1005&lt;&gt;"")*(MOVIMIENTOS!$A$5:$A$1005&lt;=$A140)*MOVIMIENTOS!$E$5:$E$1005)-SUMPRODUCT((MOVIMIENTOS!$B$5:$B$1005="REGALO")*(MOVIMIENTOS!$C$5:$C$1005="C")*(MOVIMIENTOS!$D$5:$D$1005="jabas")*(MOVIMIENTOS!$A$5:$A$1005&lt;&gt;"")*(MOVIMIENTOS!$A$5:$A$1005&lt;=$A140)*MOVIMIENTOS!$E$5:$E$1005)-SUMPRODUCT((MOVIMIENTOS!$B$5:$B$1005="VENTA")*(MOVIMIENTOS!$C$5:$C$1005="C")*(MOVIMIENTOS!$D$5:$D$1005="jabas")*(MOVIMIENTOS!$A$5:$A$1005&lt;&gt;"")*(MOVIMIENTOS!$A$5:$A$1005&lt;=$A140)*MOVIMIENTOS!$E$5:$E$1005)+SUMPRODUCT((MOVIMIENTOS!$B$5:$B$1005="AJUSTE")*(MOVIMIENTOS!$C$5:$C$1005="C")*(MOVIMIENTOS!$D$5:$D$1005="jabas")*(MOVIMIENTOS!$A$5:$A$1005&lt;&gt;"")*(MOVIMIENTOS!$A$5:$A$1005&lt;=$A140)*MOVIMIENTOS!$E$5:$E$1005))</f>
        <v/>
      </c>
      <c r="E140" s="63" t="str">
        <f>IF($A140="","",SUMPRODUCT((MOVIMIENTOS!$B$5:$B$1005="SALDO INICIAL")*(MOVIMIENTOS!$C$5:$C$1005="M")*(MOVIMIENTOS!$D$5:$D$1005="jabas")*(MOVIMIENTOS!$A$5:$A$1005&lt;&gt;"")*(MOVIMIENTOS!$A$5:$A$1005&lt;=$A140)*MOVIMIENTOS!$E$5:$E$1005)+SUMPRODUCT((MOVIMIENTOS!$B$5:$B$1005="PROCESO")*(MOVIMIENTOS!$C$5:$C$1005="M")*(MOVIMIENTOS!$D$5:$D$1005="jabas")*(MOVIMIENTOS!$A$5:$A$1005&lt;&gt;"")*(MOVIMIENTOS!$A$5:$A$1005&lt;=$A140)*MOVIMIENTOS!$E$5:$E$1005)-SUMPRODUCT((MOVIMIENTOS!$B$5:$B$1005="ENVÍO A SUPESA")*(MOVIMIENTOS!$C$5:$C$1005="M")*(MOVIMIENTOS!$D$5:$D$1005="jabas")*(MOVIMIENTOS!$A$5:$A$1005&lt;&gt;"")*(MOVIMIENTOS!$A$5:$A$1005&lt;=$A140)*MOVIMIENTOS!$E$5:$E$1005)+SUMPRODUCT((MOVIMIENTOS!$B$5:$B$1005="DEVOLUCIÓN")*(MOVIMIENTOS!$C$5:$C$1005="M")*(MOVIMIENTOS!$D$5:$D$1005="jabas")*(MOVIMIENTOS!$A$5:$A$1005&lt;&gt;"")*(MOVIMIENTOS!$A$5:$A$1005&lt;=$A140)*MOVIMIENTOS!$E$5:$E$1005)-SUMPRODUCT((MOVIMIENTOS!$B$5:$B$1005="TRASIEGO")*(MOVIMIENTOS!$C$5:$C$1005="M")*(MOVIMIENTOS!$D$5:$D$1005="jabas")*(MOVIMIENTOS!$A$5:$A$1005&lt;&gt;"")*(MOVIMIENTOS!$A$5:$A$1005&lt;=$A140)*MOVIMIENTOS!$E$5:$E$1005)-SUMPRODUCT((MOVIMIENTOS!$B$5:$B$1005="REGALO")*(MOVIMIENTOS!$C$5:$C$1005="M")*(MOVIMIENTOS!$D$5:$D$1005="jabas")*(MOVIMIENTOS!$A$5:$A$1005&lt;&gt;"")*(MOVIMIENTOS!$A$5:$A$1005&lt;=$A140)*MOVIMIENTOS!$E$5:$E$1005)-SUMPRODUCT((MOVIMIENTOS!$B$5:$B$1005="VENTA")*(MOVIMIENTOS!$C$5:$C$1005="M")*(MOVIMIENTOS!$D$5:$D$1005="jabas")*(MOVIMIENTOS!$A$5:$A$1005&lt;&gt;"")*(MOVIMIENTOS!$A$5:$A$1005&lt;=$A140)*MOVIMIENTOS!$E$5:$E$1005)+SUMPRODUCT((MOVIMIENTOS!$B$5:$B$1005="AJUSTE")*(MOVIMIENTOS!$C$5:$C$1005="M")*(MOVIMIENTOS!$D$5:$D$1005="jabas")*(MOVIMIENTOS!$A$5:$A$1005&lt;&gt;"")*(MOVIMIENTOS!$A$5:$A$1005&lt;=$A140)*MOVIMIENTOS!$E$5:$E$1005))</f>
        <v/>
      </c>
      <c r="F140" s="63" t="str">
        <f>IF($A140="","",SUMPRODUCT((MOVIMIENTOS!$B$5:$B$1005="SALDO INICIAL")*(MOVIMIENTOS!$C$5:$C$1005="Chancho")*(MOVIMIENTOS!$D$5:$D$1005="sacos")*(MOVIMIENTOS!$A$5:$A$1005&lt;&gt;"")*(MOVIMIENTOS!$A$5:$A$1005&lt;=$A140)*MOVIMIENTOS!$E$5:$E$1005)+SUMPRODUCT((MOVIMIENTOS!$B$5:$B$1005="PROCESO")*(MOVIMIENTOS!$C$5:$C$1005="Chancho")*(MOVIMIENTOS!$D$5:$D$1005="sacos")*(MOVIMIENTOS!$A$5:$A$1005&lt;&gt;"")*(MOVIMIENTOS!$A$5:$A$1005&lt;=$A140)*MOVIMIENTOS!$E$5:$E$1005)-SUMPRODUCT((MOVIMIENTOS!$B$5:$B$1005="VENTA CHANCHO")*(MOVIMIENTOS!$C$5:$C$1005="Chancho")*(MOVIMIENTOS!$D$5:$D$1005="sacos")*(MOVIMIENTOS!$A$5:$A$1005&lt;&gt;"")*(MOVIMIENTOS!$A$5:$A$1005&lt;=$A140)*MOVIMIENTOS!$E$5:$E$1005)-SUMPRODUCT((MOVIMIENTOS!$B$5:$B$1005="REGALO")*(MOVIMIENTOS!$C$5:$C$1005="Chancho")*(MOVIMIENTOS!$D$5:$D$1005="sacos")*(MOVIMIENTOS!$A$5:$A$1005&lt;&gt;"")*(MOVIMIENTOS!$A$5:$A$1005&lt;=$A140)*MOVIMIENTOS!$E$5:$E$1005)-SUMPRODUCT((MOVIMIENTOS!$B$5:$B$1005="VENTA")*(MOVIMIENTOS!$C$5:$C$1005="Chancho")*(MOVIMIENTOS!$D$5:$D$1005="sacos")*(MOVIMIENTOS!$A$5:$A$1005&lt;&gt;"")*(MOVIMIENTOS!$A$5:$A$1005&lt;=$A140)*MOVIMIENTOS!$E$5:$E$1005)+SUMPRODUCT((MOVIMIENTOS!$B$5:$B$1005="AJUSTE")*(MOVIMIENTOS!$C$5:$C$1005="Chancho")*(MOVIMIENTOS!$D$5:$D$1005="sacos")*(MOVIMIENTOS!$A$5:$A$1005&lt;&gt;"")*(MOVIMIENTOS!$A$5:$A$1005&lt;=$A140)*MOVIMIENTOS!$E$5:$E$1005))</f>
        <v/>
      </c>
      <c r="G140" s="95" t="str">
        <f t="shared" si="5"/>
        <v/>
      </c>
      <c r="H140" s="63" t="str">
        <f>IF($A140="","",SUMPRODUCT((((MOVIMIENTOS!$B$5:$B$1005="SALDO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140)*MOVIMIENTOS!$J$5:$J$1005))</f>
        <v/>
      </c>
      <c r="I140" s="63"/>
      <c r="J140" s="63" t="str">
        <f>IF(AND(MOVIMIENTOS!$A140&lt;&gt;"",COUNTIF(MOVIMIENTOS!$A$5:$A139,MOVIMIENTOS!$A140)=0),COUNT(J$4:J139)+1,"")</f>
        <v/>
      </c>
      <c r="K140" s="66">
        <f>MOVIMIENTOS!$A140</f>
        <v>46225</v>
      </c>
      <c r="L140" s="63"/>
      <c r="M140" s="63"/>
      <c r="N140" s="63"/>
    </row>
    <row r="141" spans="1:14" ht="15" customHeight="1" x14ac:dyDescent="0.2">
      <c r="A141" s="63" t="str">
        <f t="shared" si="4"/>
        <v/>
      </c>
      <c r="B141" s="63" t="str">
        <f>IF($A141="","",SUMPRODUCT((MOVIMIENTOS!$B$5:$B$1005="SALDO INICIAL")*(MOVIMIENTOS!$C$5:$C$1005="A")*(MOVIMIENTOS!$D$5:$D$1005="jabas")*(MOVIMIENTOS!$A$5:$A$1005&lt;&gt;"")*(MOVIMIENTOS!$A$5:$A$1005&lt;=$A141)*MOVIMIENTOS!$E$5:$E$1005)+SUMPRODUCT((MOVIMIENTOS!$B$5:$B$1005="PROCESO")*(MOVIMIENTOS!$C$5:$C$1005="A")*(MOVIMIENTOS!$D$5:$D$1005="jabas")*(MOVIMIENTOS!$A$5:$A$1005&lt;&gt;"")*(MOVIMIENTOS!$A$5:$A$1005&lt;=$A141)*MOVIMIENTOS!$E$5:$E$1005)-SUMPRODUCT((MOVIMIENTOS!$B$5:$B$1005="ENVÍO A SUPESA")*(MOVIMIENTOS!$C$5:$C$1005="A")*(MOVIMIENTOS!$D$5:$D$1005="jabas")*(MOVIMIENTOS!$A$5:$A$1005&lt;&gt;"")*(MOVIMIENTOS!$A$5:$A$1005&lt;=$A141)*MOVIMIENTOS!$E$5:$E$1005)+SUMPRODUCT((MOVIMIENTOS!$B$5:$B$1005="DEVOLUCIÓN")*(MOVIMIENTOS!$C$5:$C$1005="A")*(MOVIMIENTOS!$D$5:$D$1005="jabas")*(MOVIMIENTOS!$A$5:$A$1005&lt;&gt;"")*(MOVIMIENTOS!$A$5:$A$1005&lt;=$A141)*MOVIMIENTOS!$E$5:$E$1005)-SUMPRODUCT((MOVIMIENTOS!$B$5:$B$1005="TRASIEGO")*(MOVIMIENTOS!$C$5:$C$1005="A")*(MOVIMIENTOS!$D$5:$D$1005="jabas")*(MOVIMIENTOS!$A$5:$A$1005&lt;&gt;"")*(MOVIMIENTOS!$A$5:$A$1005&lt;=$A141)*MOVIMIENTOS!$E$5:$E$1005)-SUMPRODUCT((MOVIMIENTOS!$B$5:$B$1005="REGALO")*(MOVIMIENTOS!$C$5:$C$1005="A")*(MOVIMIENTOS!$D$5:$D$1005="jabas")*(MOVIMIENTOS!$A$5:$A$1005&lt;&gt;"")*(MOVIMIENTOS!$A$5:$A$1005&lt;=$A141)*MOVIMIENTOS!$E$5:$E$1005)-SUMPRODUCT((MOVIMIENTOS!$B$5:$B$1005="VENTA")*(MOVIMIENTOS!$C$5:$C$1005="A")*(MOVIMIENTOS!$D$5:$D$1005="jabas")*(MOVIMIENTOS!$A$5:$A$1005&lt;&gt;"")*(MOVIMIENTOS!$A$5:$A$1005&lt;=$A141)*MOVIMIENTOS!$E$5:$E$1005)+SUMPRODUCT((MOVIMIENTOS!$B$5:$B$1005="AJUSTE")*(MOVIMIENTOS!$C$5:$C$1005="A")*(MOVIMIENTOS!$D$5:$D$1005="jabas")*(MOVIMIENTOS!$A$5:$A$1005&lt;&gt;"")*(MOVIMIENTOS!$A$5:$A$1005&lt;=$A141)*MOVIMIENTOS!$E$5:$E$1005))</f>
        <v/>
      </c>
      <c r="C141" s="63" t="str">
        <f>IF($A141="","",SUMPRODUCT((MOVIMIENTOS!$B$5:$B$1005="SALDO INICIAL")*(MOVIMIENTOS!$C$5:$C$1005="P")*(MOVIMIENTOS!$D$5:$D$1005="jabas")*(MOVIMIENTOS!$A$5:$A$1005&lt;&gt;"")*(MOVIMIENTOS!$A$5:$A$1005&lt;=$A141)*MOVIMIENTOS!$E$5:$E$1005)+SUMPRODUCT((MOVIMIENTOS!$B$5:$B$1005="PROCESO")*(MOVIMIENTOS!$C$5:$C$1005="P")*(MOVIMIENTOS!$D$5:$D$1005="jabas")*(MOVIMIENTOS!$A$5:$A$1005&lt;&gt;"")*(MOVIMIENTOS!$A$5:$A$1005&lt;=$A141)*MOVIMIENTOS!$E$5:$E$1005)-SUMPRODUCT((MOVIMIENTOS!$B$5:$B$1005="ENVÍO A SUPESA")*(MOVIMIENTOS!$C$5:$C$1005="P")*(MOVIMIENTOS!$D$5:$D$1005="jabas")*(MOVIMIENTOS!$A$5:$A$1005&lt;&gt;"")*(MOVIMIENTOS!$A$5:$A$1005&lt;=$A141)*MOVIMIENTOS!$E$5:$E$1005)+SUMPRODUCT((MOVIMIENTOS!$B$5:$B$1005="DEVOLUCIÓN")*(MOVIMIENTOS!$C$5:$C$1005="P")*(MOVIMIENTOS!$D$5:$D$1005="jabas")*(MOVIMIENTOS!$A$5:$A$1005&lt;&gt;"")*(MOVIMIENTOS!$A$5:$A$1005&lt;=$A141)*MOVIMIENTOS!$E$5:$E$1005)-SUMPRODUCT((MOVIMIENTOS!$B$5:$B$1005="TRASIEGO")*(MOVIMIENTOS!$C$5:$C$1005="P")*(MOVIMIENTOS!$D$5:$D$1005="jabas")*(MOVIMIENTOS!$A$5:$A$1005&lt;&gt;"")*(MOVIMIENTOS!$A$5:$A$1005&lt;=$A141)*MOVIMIENTOS!$E$5:$E$1005)-SUMPRODUCT((MOVIMIENTOS!$B$5:$B$1005="REGALO")*(MOVIMIENTOS!$C$5:$C$1005="P")*(MOVIMIENTOS!$D$5:$D$1005="jabas")*(MOVIMIENTOS!$A$5:$A$1005&lt;&gt;"")*(MOVIMIENTOS!$A$5:$A$1005&lt;=$A141)*MOVIMIENTOS!$E$5:$E$1005)-SUMPRODUCT((MOVIMIENTOS!$B$5:$B$1005="VENTA")*(MOVIMIENTOS!$C$5:$C$1005="P")*(MOVIMIENTOS!$D$5:$D$1005="jabas")*(MOVIMIENTOS!$A$5:$A$1005&lt;&gt;"")*(MOVIMIENTOS!$A$5:$A$1005&lt;=$A141)*MOVIMIENTOS!$E$5:$E$1005)+SUMPRODUCT((MOVIMIENTOS!$B$5:$B$1005="AJUSTE")*(MOVIMIENTOS!$C$5:$C$1005="P")*(MOVIMIENTOS!$D$5:$D$1005="jabas")*(MOVIMIENTOS!$A$5:$A$1005&lt;&gt;"")*(MOVIMIENTOS!$A$5:$A$1005&lt;=$A141)*MOVIMIENTOS!$E$5:$E$1005))</f>
        <v/>
      </c>
      <c r="D141" s="63" t="str">
        <f>IF($A141="","",SUMPRODUCT((MOVIMIENTOS!$B$5:$B$1005="SALDO INICIAL")*(MOVIMIENTOS!$C$5:$C$1005="C")*(MOVIMIENTOS!$D$5:$D$1005="jabas")*(MOVIMIENTOS!$A$5:$A$1005&lt;&gt;"")*(MOVIMIENTOS!$A$5:$A$1005&lt;=$A141)*MOVIMIENTOS!$E$5:$E$1005)+SUMPRODUCT((MOVIMIENTOS!$B$5:$B$1005="PROCESO")*(MOVIMIENTOS!$C$5:$C$1005="C")*(MOVIMIENTOS!$D$5:$D$1005="jabas")*(MOVIMIENTOS!$A$5:$A$1005&lt;&gt;"")*(MOVIMIENTOS!$A$5:$A$1005&lt;=$A141)*MOVIMIENTOS!$E$5:$E$1005)-SUMPRODUCT((MOVIMIENTOS!$B$5:$B$1005="ENVÍO A SUPESA")*(MOVIMIENTOS!$C$5:$C$1005="C")*(MOVIMIENTOS!$D$5:$D$1005="jabas")*(MOVIMIENTOS!$A$5:$A$1005&lt;&gt;"")*(MOVIMIENTOS!$A$5:$A$1005&lt;=$A141)*MOVIMIENTOS!$E$5:$E$1005)+SUMPRODUCT((MOVIMIENTOS!$B$5:$B$1005="DEVOLUCIÓN")*(MOVIMIENTOS!$C$5:$C$1005="C")*(MOVIMIENTOS!$D$5:$D$1005="jabas")*(MOVIMIENTOS!$A$5:$A$1005&lt;&gt;"")*(MOVIMIENTOS!$A$5:$A$1005&lt;=$A141)*MOVIMIENTOS!$E$5:$E$1005)-SUMPRODUCT((MOVIMIENTOS!$B$5:$B$1005="TRASIEGO")*(MOVIMIENTOS!$C$5:$C$1005="C")*(MOVIMIENTOS!$D$5:$D$1005="jabas")*(MOVIMIENTOS!$A$5:$A$1005&lt;&gt;"")*(MOVIMIENTOS!$A$5:$A$1005&lt;=$A141)*MOVIMIENTOS!$E$5:$E$1005)-SUMPRODUCT((MOVIMIENTOS!$B$5:$B$1005="REGALO")*(MOVIMIENTOS!$C$5:$C$1005="C")*(MOVIMIENTOS!$D$5:$D$1005="jabas")*(MOVIMIENTOS!$A$5:$A$1005&lt;&gt;"")*(MOVIMIENTOS!$A$5:$A$1005&lt;=$A141)*MOVIMIENTOS!$E$5:$E$1005)-SUMPRODUCT((MOVIMIENTOS!$B$5:$B$1005="VENTA")*(MOVIMIENTOS!$C$5:$C$1005="C")*(MOVIMIENTOS!$D$5:$D$1005="jabas")*(MOVIMIENTOS!$A$5:$A$1005&lt;&gt;"")*(MOVIMIENTOS!$A$5:$A$1005&lt;=$A141)*MOVIMIENTOS!$E$5:$E$1005)+SUMPRODUCT((MOVIMIENTOS!$B$5:$B$1005="AJUSTE")*(MOVIMIENTOS!$C$5:$C$1005="C")*(MOVIMIENTOS!$D$5:$D$1005="jabas")*(MOVIMIENTOS!$A$5:$A$1005&lt;&gt;"")*(MOVIMIENTOS!$A$5:$A$1005&lt;=$A141)*MOVIMIENTOS!$E$5:$E$1005))</f>
        <v/>
      </c>
      <c r="E141" s="63" t="str">
        <f>IF($A141="","",SUMPRODUCT((MOVIMIENTOS!$B$5:$B$1005="SALDO INICIAL")*(MOVIMIENTOS!$C$5:$C$1005="M")*(MOVIMIENTOS!$D$5:$D$1005="jabas")*(MOVIMIENTOS!$A$5:$A$1005&lt;&gt;"")*(MOVIMIENTOS!$A$5:$A$1005&lt;=$A141)*MOVIMIENTOS!$E$5:$E$1005)+SUMPRODUCT((MOVIMIENTOS!$B$5:$B$1005="PROCESO")*(MOVIMIENTOS!$C$5:$C$1005="M")*(MOVIMIENTOS!$D$5:$D$1005="jabas")*(MOVIMIENTOS!$A$5:$A$1005&lt;&gt;"")*(MOVIMIENTOS!$A$5:$A$1005&lt;=$A141)*MOVIMIENTOS!$E$5:$E$1005)-SUMPRODUCT((MOVIMIENTOS!$B$5:$B$1005="ENVÍO A SUPESA")*(MOVIMIENTOS!$C$5:$C$1005="M")*(MOVIMIENTOS!$D$5:$D$1005="jabas")*(MOVIMIENTOS!$A$5:$A$1005&lt;&gt;"")*(MOVIMIENTOS!$A$5:$A$1005&lt;=$A141)*MOVIMIENTOS!$E$5:$E$1005)+SUMPRODUCT((MOVIMIENTOS!$B$5:$B$1005="DEVOLUCIÓN")*(MOVIMIENTOS!$C$5:$C$1005="M")*(MOVIMIENTOS!$D$5:$D$1005="jabas")*(MOVIMIENTOS!$A$5:$A$1005&lt;&gt;"")*(MOVIMIENTOS!$A$5:$A$1005&lt;=$A141)*MOVIMIENTOS!$E$5:$E$1005)-SUMPRODUCT((MOVIMIENTOS!$B$5:$B$1005="TRASIEGO")*(MOVIMIENTOS!$C$5:$C$1005="M")*(MOVIMIENTOS!$D$5:$D$1005="jabas")*(MOVIMIENTOS!$A$5:$A$1005&lt;&gt;"")*(MOVIMIENTOS!$A$5:$A$1005&lt;=$A141)*MOVIMIENTOS!$E$5:$E$1005)-SUMPRODUCT((MOVIMIENTOS!$B$5:$B$1005="REGALO")*(MOVIMIENTOS!$C$5:$C$1005="M")*(MOVIMIENTOS!$D$5:$D$1005="jabas")*(MOVIMIENTOS!$A$5:$A$1005&lt;&gt;"")*(MOVIMIENTOS!$A$5:$A$1005&lt;=$A141)*MOVIMIENTOS!$E$5:$E$1005)-SUMPRODUCT((MOVIMIENTOS!$B$5:$B$1005="VENTA")*(MOVIMIENTOS!$C$5:$C$1005="M")*(MOVIMIENTOS!$D$5:$D$1005="jabas")*(MOVIMIENTOS!$A$5:$A$1005&lt;&gt;"")*(MOVIMIENTOS!$A$5:$A$1005&lt;=$A141)*MOVIMIENTOS!$E$5:$E$1005)+SUMPRODUCT((MOVIMIENTOS!$B$5:$B$1005="AJUSTE")*(MOVIMIENTOS!$C$5:$C$1005="M")*(MOVIMIENTOS!$D$5:$D$1005="jabas")*(MOVIMIENTOS!$A$5:$A$1005&lt;&gt;"")*(MOVIMIENTOS!$A$5:$A$1005&lt;=$A141)*MOVIMIENTOS!$E$5:$E$1005))</f>
        <v/>
      </c>
      <c r="F141" s="63" t="str">
        <f>IF($A141="","",SUMPRODUCT((MOVIMIENTOS!$B$5:$B$1005="SALDO INICIAL")*(MOVIMIENTOS!$C$5:$C$1005="Chancho")*(MOVIMIENTOS!$D$5:$D$1005="sacos")*(MOVIMIENTOS!$A$5:$A$1005&lt;&gt;"")*(MOVIMIENTOS!$A$5:$A$1005&lt;=$A141)*MOVIMIENTOS!$E$5:$E$1005)+SUMPRODUCT((MOVIMIENTOS!$B$5:$B$1005="PROCESO")*(MOVIMIENTOS!$C$5:$C$1005="Chancho")*(MOVIMIENTOS!$D$5:$D$1005="sacos")*(MOVIMIENTOS!$A$5:$A$1005&lt;&gt;"")*(MOVIMIENTOS!$A$5:$A$1005&lt;=$A141)*MOVIMIENTOS!$E$5:$E$1005)-SUMPRODUCT((MOVIMIENTOS!$B$5:$B$1005="VENTA CHANCHO")*(MOVIMIENTOS!$C$5:$C$1005="Chancho")*(MOVIMIENTOS!$D$5:$D$1005="sacos")*(MOVIMIENTOS!$A$5:$A$1005&lt;&gt;"")*(MOVIMIENTOS!$A$5:$A$1005&lt;=$A141)*MOVIMIENTOS!$E$5:$E$1005)-SUMPRODUCT((MOVIMIENTOS!$B$5:$B$1005="REGALO")*(MOVIMIENTOS!$C$5:$C$1005="Chancho")*(MOVIMIENTOS!$D$5:$D$1005="sacos")*(MOVIMIENTOS!$A$5:$A$1005&lt;&gt;"")*(MOVIMIENTOS!$A$5:$A$1005&lt;=$A141)*MOVIMIENTOS!$E$5:$E$1005)-SUMPRODUCT((MOVIMIENTOS!$B$5:$B$1005="VENTA")*(MOVIMIENTOS!$C$5:$C$1005="Chancho")*(MOVIMIENTOS!$D$5:$D$1005="sacos")*(MOVIMIENTOS!$A$5:$A$1005&lt;&gt;"")*(MOVIMIENTOS!$A$5:$A$1005&lt;=$A141)*MOVIMIENTOS!$E$5:$E$1005)+SUMPRODUCT((MOVIMIENTOS!$B$5:$B$1005="AJUSTE")*(MOVIMIENTOS!$C$5:$C$1005="Chancho")*(MOVIMIENTOS!$D$5:$D$1005="sacos")*(MOVIMIENTOS!$A$5:$A$1005&lt;&gt;"")*(MOVIMIENTOS!$A$5:$A$1005&lt;=$A141)*MOVIMIENTOS!$E$5:$E$1005))</f>
        <v/>
      </c>
      <c r="G141" s="95" t="str">
        <f t="shared" si="5"/>
        <v/>
      </c>
      <c r="H141" s="63" t="str">
        <f>IF($A141="","",SUMPRODUCT((((MOVIMIENTOS!$B$5:$B$1005="SALDO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141)*MOVIMIENTOS!$J$5:$J$1005))</f>
        <v/>
      </c>
      <c r="I141" s="63"/>
      <c r="J141" s="63" t="str">
        <f>IF(AND(MOVIMIENTOS!$A141&lt;&gt;"",COUNTIF(MOVIMIENTOS!$A$5:$A140,MOVIMIENTOS!$A141)=0),COUNT(J$4:J140)+1,"")</f>
        <v/>
      </c>
      <c r="K141" s="66">
        <f>MOVIMIENTOS!$A141</f>
        <v>46225</v>
      </c>
      <c r="L141" s="63"/>
      <c r="M141" s="63"/>
      <c r="N141" s="63"/>
    </row>
    <row r="142" spans="1:14" ht="15" customHeight="1" x14ac:dyDescent="0.2">
      <c r="A142" s="63" t="str">
        <f t="shared" si="4"/>
        <v/>
      </c>
      <c r="B142" s="63" t="str">
        <f>IF($A142="","",SUMPRODUCT((MOVIMIENTOS!$B$5:$B$1005="SALDO INICIAL")*(MOVIMIENTOS!$C$5:$C$1005="A")*(MOVIMIENTOS!$D$5:$D$1005="jabas")*(MOVIMIENTOS!$A$5:$A$1005&lt;&gt;"")*(MOVIMIENTOS!$A$5:$A$1005&lt;=$A142)*MOVIMIENTOS!$E$5:$E$1005)+SUMPRODUCT((MOVIMIENTOS!$B$5:$B$1005="PROCESO")*(MOVIMIENTOS!$C$5:$C$1005="A")*(MOVIMIENTOS!$D$5:$D$1005="jabas")*(MOVIMIENTOS!$A$5:$A$1005&lt;&gt;"")*(MOVIMIENTOS!$A$5:$A$1005&lt;=$A142)*MOVIMIENTOS!$E$5:$E$1005)-SUMPRODUCT((MOVIMIENTOS!$B$5:$B$1005="ENVÍO A SUPESA")*(MOVIMIENTOS!$C$5:$C$1005="A")*(MOVIMIENTOS!$D$5:$D$1005="jabas")*(MOVIMIENTOS!$A$5:$A$1005&lt;&gt;"")*(MOVIMIENTOS!$A$5:$A$1005&lt;=$A142)*MOVIMIENTOS!$E$5:$E$1005)+SUMPRODUCT((MOVIMIENTOS!$B$5:$B$1005="DEVOLUCIÓN")*(MOVIMIENTOS!$C$5:$C$1005="A")*(MOVIMIENTOS!$D$5:$D$1005="jabas")*(MOVIMIENTOS!$A$5:$A$1005&lt;&gt;"")*(MOVIMIENTOS!$A$5:$A$1005&lt;=$A142)*MOVIMIENTOS!$E$5:$E$1005)-SUMPRODUCT((MOVIMIENTOS!$B$5:$B$1005="TRASIEGO")*(MOVIMIENTOS!$C$5:$C$1005="A")*(MOVIMIENTOS!$D$5:$D$1005="jabas")*(MOVIMIENTOS!$A$5:$A$1005&lt;&gt;"")*(MOVIMIENTOS!$A$5:$A$1005&lt;=$A142)*MOVIMIENTOS!$E$5:$E$1005)-SUMPRODUCT((MOVIMIENTOS!$B$5:$B$1005="REGALO")*(MOVIMIENTOS!$C$5:$C$1005="A")*(MOVIMIENTOS!$D$5:$D$1005="jabas")*(MOVIMIENTOS!$A$5:$A$1005&lt;&gt;"")*(MOVIMIENTOS!$A$5:$A$1005&lt;=$A142)*MOVIMIENTOS!$E$5:$E$1005)-SUMPRODUCT((MOVIMIENTOS!$B$5:$B$1005="VENTA")*(MOVIMIENTOS!$C$5:$C$1005="A")*(MOVIMIENTOS!$D$5:$D$1005="jabas")*(MOVIMIENTOS!$A$5:$A$1005&lt;&gt;"")*(MOVIMIENTOS!$A$5:$A$1005&lt;=$A142)*MOVIMIENTOS!$E$5:$E$1005)+SUMPRODUCT((MOVIMIENTOS!$B$5:$B$1005="AJUSTE")*(MOVIMIENTOS!$C$5:$C$1005="A")*(MOVIMIENTOS!$D$5:$D$1005="jabas")*(MOVIMIENTOS!$A$5:$A$1005&lt;&gt;"")*(MOVIMIENTOS!$A$5:$A$1005&lt;=$A142)*MOVIMIENTOS!$E$5:$E$1005))</f>
        <v/>
      </c>
      <c r="C142" s="63" t="str">
        <f>IF($A142="","",SUMPRODUCT((MOVIMIENTOS!$B$5:$B$1005="SALDO INICIAL")*(MOVIMIENTOS!$C$5:$C$1005="P")*(MOVIMIENTOS!$D$5:$D$1005="jabas")*(MOVIMIENTOS!$A$5:$A$1005&lt;&gt;"")*(MOVIMIENTOS!$A$5:$A$1005&lt;=$A142)*MOVIMIENTOS!$E$5:$E$1005)+SUMPRODUCT((MOVIMIENTOS!$B$5:$B$1005="PROCESO")*(MOVIMIENTOS!$C$5:$C$1005="P")*(MOVIMIENTOS!$D$5:$D$1005="jabas")*(MOVIMIENTOS!$A$5:$A$1005&lt;&gt;"")*(MOVIMIENTOS!$A$5:$A$1005&lt;=$A142)*MOVIMIENTOS!$E$5:$E$1005)-SUMPRODUCT((MOVIMIENTOS!$B$5:$B$1005="ENVÍO A SUPESA")*(MOVIMIENTOS!$C$5:$C$1005="P")*(MOVIMIENTOS!$D$5:$D$1005="jabas")*(MOVIMIENTOS!$A$5:$A$1005&lt;&gt;"")*(MOVIMIENTOS!$A$5:$A$1005&lt;=$A142)*MOVIMIENTOS!$E$5:$E$1005)+SUMPRODUCT((MOVIMIENTOS!$B$5:$B$1005="DEVOLUCIÓN")*(MOVIMIENTOS!$C$5:$C$1005="P")*(MOVIMIENTOS!$D$5:$D$1005="jabas")*(MOVIMIENTOS!$A$5:$A$1005&lt;&gt;"")*(MOVIMIENTOS!$A$5:$A$1005&lt;=$A142)*MOVIMIENTOS!$E$5:$E$1005)-SUMPRODUCT((MOVIMIENTOS!$B$5:$B$1005="TRASIEGO")*(MOVIMIENTOS!$C$5:$C$1005="P")*(MOVIMIENTOS!$D$5:$D$1005="jabas")*(MOVIMIENTOS!$A$5:$A$1005&lt;&gt;"")*(MOVIMIENTOS!$A$5:$A$1005&lt;=$A142)*MOVIMIENTOS!$E$5:$E$1005)-SUMPRODUCT((MOVIMIENTOS!$B$5:$B$1005="REGALO")*(MOVIMIENTOS!$C$5:$C$1005="P")*(MOVIMIENTOS!$D$5:$D$1005="jabas")*(MOVIMIENTOS!$A$5:$A$1005&lt;&gt;"")*(MOVIMIENTOS!$A$5:$A$1005&lt;=$A142)*MOVIMIENTOS!$E$5:$E$1005)-SUMPRODUCT((MOVIMIENTOS!$B$5:$B$1005="VENTA")*(MOVIMIENTOS!$C$5:$C$1005="P")*(MOVIMIENTOS!$D$5:$D$1005="jabas")*(MOVIMIENTOS!$A$5:$A$1005&lt;&gt;"")*(MOVIMIENTOS!$A$5:$A$1005&lt;=$A142)*MOVIMIENTOS!$E$5:$E$1005)+SUMPRODUCT((MOVIMIENTOS!$B$5:$B$1005="AJUSTE")*(MOVIMIENTOS!$C$5:$C$1005="P")*(MOVIMIENTOS!$D$5:$D$1005="jabas")*(MOVIMIENTOS!$A$5:$A$1005&lt;&gt;"")*(MOVIMIENTOS!$A$5:$A$1005&lt;=$A142)*MOVIMIENTOS!$E$5:$E$1005))</f>
        <v/>
      </c>
      <c r="D142" s="63" t="str">
        <f>IF($A142="","",SUMPRODUCT((MOVIMIENTOS!$B$5:$B$1005="SALDO INICIAL")*(MOVIMIENTOS!$C$5:$C$1005="C")*(MOVIMIENTOS!$D$5:$D$1005="jabas")*(MOVIMIENTOS!$A$5:$A$1005&lt;&gt;"")*(MOVIMIENTOS!$A$5:$A$1005&lt;=$A142)*MOVIMIENTOS!$E$5:$E$1005)+SUMPRODUCT((MOVIMIENTOS!$B$5:$B$1005="PROCESO")*(MOVIMIENTOS!$C$5:$C$1005="C")*(MOVIMIENTOS!$D$5:$D$1005="jabas")*(MOVIMIENTOS!$A$5:$A$1005&lt;&gt;"")*(MOVIMIENTOS!$A$5:$A$1005&lt;=$A142)*MOVIMIENTOS!$E$5:$E$1005)-SUMPRODUCT((MOVIMIENTOS!$B$5:$B$1005="ENVÍO A SUPESA")*(MOVIMIENTOS!$C$5:$C$1005="C")*(MOVIMIENTOS!$D$5:$D$1005="jabas")*(MOVIMIENTOS!$A$5:$A$1005&lt;&gt;"")*(MOVIMIENTOS!$A$5:$A$1005&lt;=$A142)*MOVIMIENTOS!$E$5:$E$1005)+SUMPRODUCT((MOVIMIENTOS!$B$5:$B$1005="DEVOLUCIÓN")*(MOVIMIENTOS!$C$5:$C$1005="C")*(MOVIMIENTOS!$D$5:$D$1005="jabas")*(MOVIMIENTOS!$A$5:$A$1005&lt;&gt;"")*(MOVIMIENTOS!$A$5:$A$1005&lt;=$A142)*MOVIMIENTOS!$E$5:$E$1005)-SUMPRODUCT((MOVIMIENTOS!$B$5:$B$1005="TRASIEGO")*(MOVIMIENTOS!$C$5:$C$1005="C")*(MOVIMIENTOS!$D$5:$D$1005="jabas")*(MOVIMIENTOS!$A$5:$A$1005&lt;&gt;"")*(MOVIMIENTOS!$A$5:$A$1005&lt;=$A142)*MOVIMIENTOS!$E$5:$E$1005)-SUMPRODUCT((MOVIMIENTOS!$B$5:$B$1005="REGALO")*(MOVIMIENTOS!$C$5:$C$1005="C")*(MOVIMIENTOS!$D$5:$D$1005="jabas")*(MOVIMIENTOS!$A$5:$A$1005&lt;&gt;"")*(MOVIMIENTOS!$A$5:$A$1005&lt;=$A142)*MOVIMIENTOS!$E$5:$E$1005)-SUMPRODUCT((MOVIMIENTOS!$B$5:$B$1005="VENTA")*(MOVIMIENTOS!$C$5:$C$1005="C")*(MOVIMIENTOS!$D$5:$D$1005="jabas")*(MOVIMIENTOS!$A$5:$A$1005&lt;&gt;"")*(MOVIMIENTOS!$A$5:$A$1005&lt;=$A142)*MOVIMIENTOS!$E$5:$E$1005)+SUMPRODUCT((MOVIMIENTOS!$B$5:$B$1005="AJUSTE")*(MOVIMIENTOS!$C$5:$C$1005="C")*(MOVIMIENTOS!$D$5:$D$1005="jabas")*(MOVIMIENTOS!$A$5:$A$1005&lt;&gt;"")*(MOVIMIENTOS!$A$5:$A$1005&lt;=$A142)*MOVIMIENTOS!$E$5:$E$1005))</f>
        <v/>
      </c>
      <c r="E142" s="63" t="str">
        <f>IF($A142="","",SUMPRODUCT((MOVIMIENTOS!$B$5:$B$1005="SALDO INICIAL")*(MOVIMIENTOS!$C$5:$C$1005="M")*(MOVIMIENTOS!$D$5:$D$1005="jabas")*(MOVIMIENTOS!$A$5:$A$1005&lt;&gt;"")*(MOVIMIENTOS!$A$5:$A$1005&lt;=$A142)*MOVIMIENTOS!$E$5:$E$1005)+SUMPRODUCT((MOVIMIENTOS!$B$5:$B$1005="PROCESO")*(MOVIMIENTOS!$C$5:$C$1005="M")*(MOVIMIENTOS!$D$5:$D$1005="jabas")*(MOVIMIENTOS!$A$5:$A$1005&lt;&gt;"")*(MOVIMIENTOS!$A$5:$A$1005&lt;=$A142)*MOVIMIENTOS!$E$5:$E$1005)-SUMPRODUCT((MOVIMIENTOS!$B$5:$B$1005="ENVÍO A SUPESA")*(MOVIMIENTOS!$C$5:$C$1005="M")*(MOVIMIENTOS!$D$5:$D$1005="jabas")*(MOVIMIENTOS!$A$5:$A$1005&lt;&gt;"")*(MOVIMIENTOS!$A$5:$A$1005&lt;=$A142)*MOVIMIENTOS!$E$5:$E$1005)+SUMPRODUCT((MOVIMIENTOS!$B$5:$B$1005="DEVOLUCIÓN")*(MOVIMIENTOS!$C$5:$C$1005="M")*(MOVIMIENTOS!$D$5:$D$1005="jabas")*(MOVIMIENTOS!$A$5:$A$1005&lt;&gt;"")*(MOVIMIENTOS!$A$5:$A$1005&lt;=$A142)*MOVIMIENTOS!$E$5:$E$1005)-SUMPRODUCT((MOVIMIENTOS!$B$5:$B$1005="TRASIEGO")*(MOVIMIENTOS!$C$5:$C$1005="M")*(MOVIMIENTOS!$D$5:$D$1005="jabas")*(MOVIMIENTOS!$A$5:$A$1005&lt;&gt;"")*(MOVIMIENTOS!$A$5:$A$1005&lt;=$A142)*MOVIMIENTOS!$E$5:$E$1005)-SUMPRODUCT((MOVIMIENTOS!$B$5:$B$1005="REGALO")*(MOVIMIENTOS!$C$5:$C$1005="M")*(MOVIMIENTOS!$D$5:$D$1005="jabas")*(MOVIMIENTOS!$A$5:$A$1005&lt;&gt;"")*(MOVIMIENTOS!$A$5:$A$1005&lt;=$A142)*MOVIMIENTOS!$E$5:$E$1005)-SUMPRODUCT((MOVIMIENTOS!$B$5:$B$1005="VENTA")*(MOVIMIENTOS!$C$5:$C$1005="M")*(MOVIMIENTOS!$D$5:$D$1005="jabas")*(MOVIMIENTOS!$A$5:$A$1005&lt;&gt;"")*(MOVIMIENTOS!$A$5:$A$1005&lt;=$A142)*MOVIMIENTOS!$E$5:$E$1005)+SUMPRODUCT((MOVIMIENTOS!$B$5:$B$1005="AJUSTE")*(MOVIMIENTOS!$C$5:$C$1005="M")*(MOVIMIENTOS!$D$5:$D$1005="jabas")*(MOVIMIENTOS!$A$5:$A$1005&lt;&gt;"")*(MOVIMIENTOS!$A$5:$A$1005&lt;=$A142)*MOVIMIENTOS!$E$5:$E$1005))</f>
        <v/>
      </c>
      <c r="F142" s="63" t="str">
        <f>IF($A142="","",SUMPRODUCT((MOVIMIENTOS!$B$5:$B$1005="SALDO INICIAL")*(MOVIMIENTOS!$C$5:$C$1005="Chancho")*(MOVIMIENTOS!$D$5:$D$1005="sacos")*(MOVIMIENTOS!$A$5:$A$1005&lt;&gt;"")*(MOVIMIENTOS!$A$5:$A$1005&lt;=$A142)*MOVIMIENTOS!$E$5:$E$1005)+SUMPRODUCT((MOVIMIENTOS!$B$5:$B$1005="PROCESO")*(MOVIMIENTOS!$C$5:$C$1005="Chancho")*(MOVIMIENTOS!$D$5:$D$1005="sacos")*(MOVIMIENTOS!$A$5:$A$1005&lt;&gt;"")*(MOVIMIENTOS!$A$5:$A$1005&lt;=$A142)*MOVIMIENTOS!$E$5:$E$1005)-SUMPRODUCT((MOVIMIENTOS!$B$5:$B$1005="VENTA CHANCHO")*(MOVIMIENTOS!$C$5:$C$1005="Chancho")*(MOVIMIENTOS!$D$5:$D$1005="sacos")*(MOVIMIENTOS!$A$5:$A$1005&lt;&gt;"")*(MOVIMIENTOS!$A$5:$A$1005&lt;=$A142)*MOVIMIENTOS!$E$5:$E$1005)-SUMPRODUCT((MOVIMIENTOS!$B$5:$B$1005="REGALO")*(MOVIMIENTOS!$C$5:$C$1005="Chancho")*(MOVIMIENTOS!$D$5:$D$1005="sacos")*(MOVIMIENTOS!$A$5:$A$1005&lt;&gt;"")*(MOVIMIENTOS!$A$5:$A$1005&lt;=$A142)*MOVIMIENTOS!$E$5:$E$1005)-SUMPRODUCT((MOVIMIENTOS!$B$5:$B$1005="VENTA")*(MOVIMIENTOS!$C$5:$C$1005="Chancho")*(MOVIMIENTOS!$D$5:$D$1005="sacos")*(MOVIMIENTOS!$A$5:$A$1005&lt;&gt;"")*(MOVIMIENTOS!$A$5:$A$1005&lt;=$A142)*MOVIMIENTOS!$E$5:$E$1005)+SUMPRODUCT((MOVIMIENTOS!$B$5:$B$1005="AJUSTE")*(MOVIMIENTOS!$C$5:$C$1005="Chancho")*(MOVIMIENTOS!$D$5:$D$1005="sacos")*(MOVIMIENTOS!$A$5:$A$1005&lt;&gt;"")*(MOVIMIENTOS!$A$5:$A$1005&lt;=$A142)*MOVIMIENTOS!$E$5:$E$1005))</f>
        <v/>
      </c>
      <c r="G142" s="95" t="str">
        <f t="shared" si="5"/>
        <v/>
      </c>
      <c r="H142" s="63" t="str">
        <f>IF($A142="","",SUMPRODUCT((((MOVIMIENTOS!$B$5:$B$1005="SALDO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142)*MOVIMIENTOS!$J$5:$J$1005))</f>
        <v/>
      </c>
      <c r="I142" s="63"/>
      <c r="J142" s="63" t="str">
        <f>IF(AND(MOVIMIENTOS!$A142&lt;&gt;"",COUNTIF(MOVIMIENTOS!$A$5:$A141,MOVIMIENTOS!$A142)=0),COUNT(J$4:J141)+1,"")</f>
        <v/>
      </c>
      <c r="K142" s="66">
        <f>MOVIMIENTOS!$A142</f>
        <v>46225</v>
      </c>
      <c r="L142" s="63"/>
      <c r="M142" s="63"/>
      <c r="N142" s="63"/>
    </row>
    <row r="143" spans="1:14" ht="15" customHeight="1" x14ac:dyDescent="0.2">
      <c r="A143" s="63" t="str">
        <f t="shared" si="4"/>
        <v/>
      </c>
      <c r="B143" s="63" t="str">
        <f>IF($A143="","",SUMPRODUCT((MOVIMIENTOS!$B$5:$B$1005="SALDO INICIAL")*(MOVIMIENTOS!$C$5:$C$1005="A")*(MOVIMIENTOS!$D$5:$D$1005="jabas")*(MOVIMIENTOS!$A$5:$A$1005&lt;&gt;"")*(MOVIMIENTOS!$A$5:$A$1005&lt;=$A143)*MOVIMIENTOS!$E$5:$E$1005)+SUMPRODUCT((MOVIMIENTOS!$B$5:$B$1005="PROCESO")*(MOVIMIENTOS!$C$5:$C$1005="A")*(MOVIMIENTOS!$D$5:$D$1005="jabas")*(MOVIMIENTOS!$A$5:$A$1005&lt;&gt;"")*(MOVIMIENTOS!$A$5:$A$1005&lt;=$A143)*MOVIMIENTOS!$E$5:$E$1005)-SUMPRODUCT((MOVIMIENTOS!$B$5:$B$1005="ENVÍO A SUPESA")*(MOVIMIENTOS!$C$5:$C$1005="A")*(MOVIMIENTOS!$D$5:$D$1005="jabas")*(MOVIMIENTOS!$A$5:$A$1005&lt;&gt;"")*(MOVIMIENTOS!$A$5:$A$1005&lt;=$A143)*MOVIMIENTOS!$E$5:$E$1005)+SUMPRODUCT((MOVIMIENTOS!$B$5:$B$1005="DEVOLUCIÓN")*(MOVIMIENTOS!$C$5:$C$1005="A")*(MOVIMIENTOS!$D$5:$D$1005="jabas")*(MOVIMIENTOS!$A$5:$A$1005&lt;&gt;"")*(MOVIMIENTOS!$A$5:$A$1005&lt;=$A143)*MOVIMIENTOS!$E$5:$E$1005)-SUMPRODUCT((MOVIMIENTOS!$B$5:$B$1005="TRASIEGO")*(MOVIMIENTOS!$C$5:$C$1005="A")*(MOVIMIENTOS!$D$5:$D$1005="jabas")*(MOVIMIENTOS!$A$5:$A$1005&lt;&gt;"")*(MOVIMIENTOS!$A$5:$A$1005&lt;=$A143)*MOVIMIENTOS!$E$5:$E$1005)-SUMPRODUCT((MOVIMIENTOS!$B$5:$B$1005="REGALO")*(MOVIMIENTOS!$C$5:$C$1005="A")*(MOVIMIENTOS!$D$5:$D$1005="jabas")*(MOVIMIENTOS!$A$5:$A$1005&lt;&gt;"")*(MOVIMIENTOS!$A$5:$A$1005&lt;=$A143)*MOVIMIENTOS!$E$5:$E$1005)-SUMPRODUCT((MOVIMIENTOS!$B$5:$B$1005="VENTA")*(MOVIMIENTOS!$C$5:$C$1005="A")*(MOVIMIENTOS!$D$5:$D$1005="jabas")*(MOVIMIENTOS!$A$5:$A$1005&lt;&gt;"")*(MOVIMIENTOS!$A$5:$A$1005&lt;=$A143)*MOVIMIENTOS!$E$5:$E$1005)+SUMPRODUCT((MOVIMIENTOS!$B$5:$B$1005="AJUSTE")*(MOVIMIENTOS!$C$5:$C$1005="A")*(MOVIMIENTOS!$D$5:$D$1005="jabas")*(MOVIMIENTOS!$A$5:$A$1005&lt;&gt;"")*(MOVIMIENTOS!$A$5:$A$1005&lt;=$A143)*MOVIMIENTOS!$E$5:$E$1005))</f>
        <v/>
      </c>
      <c r="C143" s="63" t="str">
        <f>IF($A143="","",SUMPRODUCT((MOVIMIENTOS!$B$5:$B$1005="SALDO INICIAL")*(MOVIMIENTOS!$C$5:$C$1005="P")*(MOVIMIENTOS!$D$5:$D$1005="jabas")*(MOVIMIENTOS!$A$5:$A$1005&lt;&gt;"")*(MOVIMIENTOS!$A$5:$A$1005&lt;=$A143)*MOVIMIENTOS!$E$5:$E$1005)+SUMPRODUCT((MOVIMIENTOS!$B$5:$B$1005="PROCESO")*(MOVIMIENTOS!$C$5:$C$1005="P")*(MOVIMIENTOS!$D$5:$D$1005="jabas")*(MOVIMIENTOS!$A$5:$A$1005&lt;&gt;"")*(MOVIMIENTOS!$A$5:$A$1005&lt;=$A143)*MOVIMIENTOS!$E$5:$E$1005)-SUMPRODUCT((MOVIMIENTOS!$B$5:$B$1005="ENVÍO A SUPESA")*(MOVIMIENTOS!$C$5:$C$1005="P")*(MOVIMIENTOS!$D$5:$D$1005="jabas")*(MOVIMIENTOS!$A$5:$A$1005&lt;&gt;"")*(MOVIMIENTOS!$A$5:$A$1005&lt;=$A143)*MOVIMIENTOS!$E$5:$E$1005)+SUMPRODUCT((MOVIMIENTOS!$B$5:$B$1005="DEVOLUCIÓN")*(MOVIMIENTOS!$C$5:$C$1005="P")*(MOVIMIENTOS!$D$5:$D$1005="jabas")*(MOVIMIENTOS!$A$5:$A$1005&lt;&gt;"")*(MOVIMIENTOS!$A$5:$A$1005&lt;=$A143)*MOVIMIENTOS!$E$5:$E$1005)-SUMPRODUCT((MOVIMIENTOS!$B$5:$B$1005="TRASIEGO")*(MOVIMIENTOS!$C$5:$C$1005="P")*(MOVIMIENTOS!$D$5:$D$1005="jabas")*(MOVIMIENTOS!$A$5:$A$1005&lt;&gt;"")*(MOVIMIENTOS!$A$5:$A$1005&lt;=$A143)*MOVIMIENTOS!$E$5:$E$1005)-SUMPRODUCT((MOVIMIENTOS!$B$5:$B$1005="REGALO")*(MOVIMIENTOS!$C$5:$C$1005="P")*(MOVIMIENTOS!$D$5:$D$1005="jabas")*(MOVIMIENTOS!$A$5:$A$1005&lt;&gt;"")*(MOVIMIENTOS!$A$5:$A$1005&lt;=$A143)*MOVIMIENTOS!$E$5:$E$1005)-SUMPRODUCT((MOVIMIENTOS!$B$5:$B$1005="VENTA")*(MOVIMIENTOS!$C$5:$C$1005="P")*(MOVIMIENTOS!$D$5:$D$1005="jabas")*(MOVIMIENTOS!$A$5:$A$1005&lt;&gt;"")*(MOVIMIENTOS!$A$5:$A$1005&lt;=$A143)*MOVIMIENTOS!$E$5:$E$1005)+SUMPRODUCT((MOVIMIENTOS!$B$5:$B$1005="AJUSTE")*(MOVIMIENTOS!$C$5:$C$1005="P")*(MOVIMIENTOS!$D$5:$D$1005="jabas")*(MOVIMIENTOS!$A$5:$A$1005&lt;&gt;"")*(MOVIMIENTOS!$A$5:$A$1005&lt;=$A143)*MOVIMIENTOS!$E$5:$E$1005))</f>
        <v/>
      </c>
      <c r="D143" s="63" t="str">
        <f>IF($A143="","",SUMPRODUCT((MOVIMIENTOS!$B$5:$B$1005="SALDO INICIAL")*(MOVIMIENTOS!$C$5:$C$1005="C")*(MOVIMIENTOS!$D$5:$D$1005="jabas")*(MOVIMIENTOS!$A$5:$A$1005&lt;&gt;"")*(MOVIMIENTOS!$A$5:$A$1005&lt;=$A143)*MOVIMIENTOS!$E$5:$E$1005)+SUMPRODUCT((MOVIMIENTOS!$B$5:$B$1005="PROCESO")*(MOVIMIENTOS!$C$5:$C$1005="C")*(MOVIMIENTOS!$D$5:$D$1005="jabas")*(MOVIMIENTOS!$A$5:$A$1005&lt;&gt;"")*(MOVIMIENTOS!$A$5:$A$1005&lt;=$A143)*MOVIMIENTOS!$E$5:$E$1005)-SUMPRODUCT((MOVIMIENTOS!$B$5:$B$1005="ENVÍO A SUPESA")*(MOVIMIENTOS!$C$5:$C$1005="C")*(MOVIMIENTOS!$D$5:$D$1005="jabas")*(MOVIMIENTOS!$A$5:$A$1005&lt;&gt;"")*(MOVIMIENTOS!$A$5:$A$1005&lt;=$A143)*MOVIMIENTOS!$E$5:$E$1005)+SUMPRODUCT((MOVIMIENTOS!$B$5:$B$1005="DEVOLUCIÓN")*(MOVIMIENTOS!$C$5:$C$1005="C")*(MOVIMIENTOS!$D$5:$D$1005="jabas")*(MOVIMIENTOS!$A$5:$A$1005&lt;&gt;"")*(MOVIMIENTOS!$A$5:$A$1005&lt;=$A143)*MOVIMIENTOS!$E$5:$E$1005)-SUMPRODUCT((MOVIMIENTOS!$B$5:$B$1005="TRASIEGO")*(MOVIMIENTOS!$C$5:$C$1005="C")*(MOVIMIENTOS!$D$5:$D$1005="jabas")*(MOVIMIENTOS!$A$5:$A$1005&lt;&gt;"")*(MOVIMIENTOS!$A$5:$A$1005&lt;=$A143)*MOVIMIENTOS!$E$5:$E$1005)-SUMPRODUCT((MOVIMIENTOS!$B$5:$B$1005="REGALO")*(MOVIMIENTOS!$C$5:$C$1005="C")*(MOVIMIENTOS!$D$5:$D$1005="jabas")*(MOVIMIENTOS!$A$5:$A$1005&lt;&gt;"")*(MOVIMIENTOS!$A$5:$A$1005&lt;=$A143)*MOVIMIENTOS!$E$5:$E$1005)-SUMPRODUCT((MOVIMIENTOS!$B$5:$B$1005="VENTA")*(MOVIMIENTOS!$C$5:$C$1005="C")*(MOVIMIENTOS!$D$5:$D$1005="jabas")*(MOVIMIENTOS!$A$5:$A$1005&lt;&gt;"")*(MOVIMIENTOS!$A$5:$A$1005&lt;=$A143)*MOVIMIENTOS!$E$5:$E$1005)+SUMPRODUCT((MOVIMIENTOS!$B$5:$B$1005="AJUSTE")*(MOVIMIENTOS!$C$5:$C$1005="C")*(MOVIMIENTOS!$D$5:$D$1005="jabas")*(MOVIMIENTOS!$A$5:$A$1005&lt;&gt;"")*(MOVIMIENTOS!$A$5:$A$1005&lt;=$A143)*MOVIMIENTOS!$E$5:$E$1005))</f>
        <v/>
      </c>
      <c r="E143" s="63" t="str">
        <f>IF($A143="","",SUMPRODUCT((MOVIMIENTOS!$B$5:$B$1005="SALDO INICIAL")*(MOVIMIENTOS!$C$5:$C$1005="M")*(MOVIMIENTOS!$D$5:$D$1005="jabas")*(MOVIMIENTOS!$A$5:$A$1005&lt;&gt;"")*(MOVIMIENTOS!$A$5:$A$1005&lt;=$A143)*MOVIMIENTOS!$E$5:$E$1005)+SUMPRODUCT((MOVIMIENTOS!$B$5:$B$1005="PROCESO")*(MOVIMIENTOS!$C$5:$C$1005="M")*(MOVIMIENTOS!$D$5:$D$1005="jabas")*(MOVIMIENTOS!$A$5:$A$1005&lt;&gt;"")*(MOVIMIENTOS!$A$5:$A$1005&lt;=$A143)*MOVIMIENTOS!$E$5:$E$1005)-SUMPRODUCT((MOVIMIENTOS!$B$5:$B$1005="ENVÍO A SUPESA")*(MOVIMIENTOS!$C$5:$C$1005="M")*(MOVIMIENTOS!$D$5:$D$1005="jabas")*(MOVIMIENTOS!$A$5:$A$1005&lt;&gt;"")*(MOVIMIENTOS!$A$5:$A$1005&lt;=$A143)*MOVIMIENTOS!$E$5:$E$1005)+SUMPRODUCT((MOVIMIENTOS!$B$5:$B$1005="DEVOLUCIÓN")*(MOVIMIENTOS!$C$5:$C$1005="M")*(MOVIMIENTOS!$D$5:$D$1005="jabas")*(MOVIMIENTOS!$A$5:$A$1005&lt;&gt;"")*(MOVIMIENTOS!$A$5:$A$1005&lt;=$A143)*MOVIMIENTOS!$E$5:$E$1005)-SUMPRODUCT((MOVIMIENTOS!$B$5:$B$1005="TRASIEGO")*(MOVIMIENTOS!$C$5:$C$1005="M")*(MOVIMIENTOS!$D$5:$D$1005="jabas")*(MOVIMIENTOS!$A$5:$A$1005&lt;&gt;"")*(MOVIMIENTOS!$A$5:$A$1005&lt;=$A143)*MOVIMIENTOS!$E$5:$E$1005)-SUMPRODUCT((MOVIMIENTOS!$B$5:$B$1005="REGALO")*(MOVIMIENTOS!$C$5:$C$1005="M")*(MOVIMIENTOS!$D$5:$D$1005="jabas")*(MOVIMIENTOS!$A$5:$A$1005&lt;&gt;"")*(MOVIMIENTOS!$A$5:$A$1005&lt;=$A143)*MOVIMIENTOS!$E$5:$E$1005)-SUMPRODUCT((MOVIMIENTOS!$B$5:$B$1005="VENTA")*(MOVIMIENTOS!$C$5:$C$1005="M")*(MOVIMIENTOS!$D$5:$D$1005="jabas")*(MOVIMIENTOS!$A$5:$A$1005&lt;&gt;"")*(MOVIMIENTOS!$A$5:$A$1005&lt;=$A143)*MOVIMIENTOS!$E$5:$E$1005)+SUMPRODUCT((MOVIMIENTOS!$B$5:$B$1005="AJUSTE")*(MOVIMIENTOS!$C$5:$C$1005="M")*(MOVIMIENTOS!$D$5:$D$1005="jabas")*(MOVIMIENTOS!$A$5:$A$1005&lt;&gt;"")*(MOVIMIENTOS!$A$5:$A$1005&lt;=$A143)*MOVIMIENTOS!$E$5:$E$1005))</f>
        <v/>
      </c>
      <c r="F143" s="63" t="str">
        <f>IF($A143="","",SUMPRODUCT((MOVIMIENTOS!$B$5:$B$1005="SALDO INICIAL")*(MOVIMIENTOS!$C$5:$C$1005="Chancho")*(MOVIMIENTOS!$D$5:$D$1005="sacos")*(MOVIMIENTOS!$A$5:$A$1005&lt;&gt;"")*(MOVIMIENTOS!$A$5:$A$1005&lt;=$A143)*MOVIMIENTOS!$E$5:$E$1005)+SUMPRODUCT((MOVIMIENTOS!$B$5:$B$1005="PROCESO")*(MOVIMIENTOS!$C$5:$C$1005="Chancho")*(MOVIMIENTOS!$D$5:$D$1005="sacos")*(MOVIMIENTOS!$A$5:$A$1005&lt;&gt;"")*(MOVIMIENTOS!$A$5:$A$1005&lt;=$A143)*MOVIMIENTOS!$E$5:$E$1005)-SUMPRODUCT((MOVIMIENTOS!$B$5:$B$1005="VENTA CHANCHO")*(MOVIMIENTOS!$C$5:$C$1005="Chancho")*(MOVIMIENTOS!$D$5:$D$1005="sacos")*(MOVIMIENTOS!$A$5:$A$1005&lt;&gt;"")*(MOVIMIENTOS!$A$5:$A$1005&lt;=$A143)*MOVIMIENTOS!$E$5:$E$1005)-SUMPRODUCT((MOVIMIENTOS!$B$5:$B$1005="REGALO")*(MOVIMIENTOS!$C$5:$C$1005="Chancho")*(MOVIMIENTOS!$D$5:$D$1005="sacos")*(MOVIMIENTOS!$A$5:$A$1005&lt;&gt;"")*(MOVIMIENTOS!$A$5:$A$1005&lt;=$A143)*MOVIMIENTOS!$E$5:$E$1005)-SUMPRODUCT((MOVIMIENTOS!$B$5:$B$1005="VENTA")*(MOVIMIENTOS!$C$5:$C$1005="Chancho")*(MOVIMIENTOS!$D$5:$D$1005="sacos")*(MOVIMIENTOS!$A$5:$A$1005&lt;&gt;"")*(MOVIMIENTOS!$A$5:$A$1005&lt;=$A143)*MOVIMIENTOS!$E$5:$E$1005)+SUMPRODUCT((MOVIMIENTOS!$B$5:$B$1005="AJUSTE")*(MOVIMIENTOS!$C$5:$C$1005="Chancho")*(MOVIMIENTOS!$D$5:$D$1005="sacos")*(MOVIMIENTOS!$A$5:$A$1005&lt;&gt;"")*(MOVIMIENTOS!$A$5:$A$1005&lt;=$A143)*MOVIMIENTOS!$E$5:$E$1005))</f>
        <v/>
      </c>
      <c r="G143" s="95" t="str">
        <f t="shared" si="5"/>
        <v/>
      </c>
      <c r="H143" s="63" t="str">
        <f>IF($A143="","",SUMPRODUCT((((MOVIMIENTOS!$B$5:$B$1005="SALDO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143)*MOVIMIENTOS!$J$5:$J$1005))</f>
        <v/>
      </c>
      <c r="I143" s="63"/>
      <c r="J143" s="63">
        <f>IF(AND(MOVIMIENTOS!$A143&lt;&gt;"",COUNTIF(MOVIMIENTOS!$A$5:$A142,MOVIMIENTOS!$A143)=0),COUNT(J$4:J142)+1,"")</f>
        <v>14</v>
      </c>
      <c r="K143" s="66">
        <f>MOVIMIENTOS!$A143</f>
        <v>46226</v>
      </c>
      <c r="L143" s="63"/>
      <c r="M143" s="63"/>
      <c r="N143" s="63"/>
    </row>
    <row r="144" spans="1:14" ht="15" customHeight="1" x14ac:dyDescent="0.2">
      <c r="A144" s="63" t="str">
        <f t="shared" si="4"/>
        <v/>
      </c>
      <c r="B144" s="63" t="str">
        <f>IF($A144="","",SUMPRODUCT((MOVIMIENTOS!$B$5:$B$1005="SALDO INICIAL")*(MOVIMIENTOS!$C$5:$C$1005="A")*(MOVIMIENTOS!$D$5:$D$1005="jabas")*(MOVIMIENTOS!$A$5:$A$1005&lt;&gt;"")*(MOVIMIENTOS!$A$5:$A$1005&lt;=$A144)*MOVIMIENTOS!$E$5:$E$1005)+SUMPRODUCT((MOVIMIENTOS!$B$5:$B$1005="PROCESO")*(MOVIMIENTOS!$C$5:$C$1005="A")*(MOVIMIENTOS!$D$5:$D$1005="jabas")*(MOVIMIENTOS!$A$5:$A$1005&lt;&gt;"")*(MOVIMIENTOS!$A$5:$A$1005&lt;=$A144)*MOVIMIENTOS!$E$5:$E$1005)-SUMPRODUCT((MOVIMIENTOS!$B$5:$B$1005="ENVÍO A SUPESA")*(MOVIMIENTOS!$C$5:$C$1005="A")*(MOVIMIENTOS!$D$5:$D$1005="jabas")*(MOVIMIENTOS!$A$5:$A$1005&lt;&gt;"")*(MOVIMIENTOS!$A$5:$A$1005&lt;=$A144)*MOVIMIENTOS!$E$5:$E$1005)+SUMPRODUCT((MOVIMIENTOS!$B$5:$B$1005="DEVOLUCIÓN")*(MOVIMIENTOS!$C$5:$C$1005="A")*(MOVIMIENTOS!$D$5:$D$1005="jabas")*(MOVIMIENTOS!$A$5:$A$1005&lt;&gt;"")*(MOVIMIENTOS!$A$5:$A$1005&lt;=$A144)*MOVIMIENTOS!$E$5:$E$1005)-SUMPRODUCT((MOVIMIENTOS!$B$5:$B$1005="TRASIEGO")*(MOVIMIENTOS!$C$5:$C$1005="A")*(MOVIMIENTOS!$D$5:$D$1005="jabas")*(MOVIMIENTOS!$A$5:$A$1005&lt;&gt;"")*(MOVIMIENTOS!$A$5:$A$1005&lt;=$A144)*MOVIMIENTOS!$E$5:$E$1005)-SUMPRODUCT((MOVIMIENTOS!$B$5:$B$1005="REGALO")*(MOVIMIENTOS!$C$5:$C$1005="A")*(MOVIMIENTOS!$D$5:$D$1005="jabas")*(MOVIMIENTOS!$A$5:$A$1005&lt;&gt;"")*(MOVIMIENTOS!$A$5:$A$1005&lt;=$A144)*MOVIMIENTOS!$E$5:$E$1005)-SUMPRODUCT((MOVIMIENTOS!$B$5:$B$1005="VENTA")*(MOVIMIENTOS!$C$5:$C$1005="A")*(MOVIMIENTOS!$D$5:$D$1005="jabas")*(MOVIMIENTOS!$A$5:$A$1005&lt;&gt;"")*(MOVIMIENTOS!$A$5:$A$1005&lt;=$A144)*MOVIMIENTOS!$E$5:$E$1005)+SUMPRODUCT((MOVIMIENTOS!$B$5:$B$1005="AJUSTE")*(MOVIMIENTOS!$C$5:$C$1005="A")*(MOVIMIENTOS!$D$5:$D$1005="jabas")*(MOVIMIENTOS!$A$5:$A$1005&lt;&gt;"")*(MOVIMIENTOS!$A$5:$A$1005&lt;=$A144)*MOVIMIENTOS!$E$5:$E$1005))</f>
        <v/>
      </c>
      <c r="C144" s="63" t="str">
        <f>IF($A144="","",SUMPRODUCT((MOVIMIENTOS!$B$5:$B$1005="SALDO INICIAL")*(MOVIMIENTOS!$C$5:$C$1005="P")*(MOVIMIENTOS!$D$5:$D$1005="jabas")*(MOVIMIENTOS!$A$5:$A$1005&lt;&gt;"")*(MOVIMIENTOS!$A$5:$A$1005&lt;=$A144)*MOVIMIENTOS!$E$5:$E$1005)+SUMPRODUCT((MOVIMIENTOS!$B$5:$B$1005="PROCESO")*(MOVIMIENTOS!$C$5:$C$1005="P")*(MOVIMIENTOS!$D$5:$D$1005="jabas")*(MOVIMIENTOS!$A$5:$A$1005&lt;&gt;"")*(MOVIMIENTOS!$A$5:$A$1005&lt;=$A144)*MOVIMIENTOS!$E$5:$E$1005)-SUMPRODUCT((MOVIMIENTOS!$B$5:$B$1005="ENVÍO A SUPESA")*(MOVIMIENTOS!$C$5:$C$1005="P")*(MOVIMIENTOS!$D$5:$D$1005="jabas")*(MOVIMIENTOS!$A$5:$A$1005&lt;&gt;"")*(MOVIMIENTOS!$A$5:$A$1005&lt;=$A144)*MOVIMIENTOS!$E$5:$E$1005)+SUMPRODUCT((MOVIMIENTOS!$B$5:$B$1005="DEVOLUCIÓN")*(MOVIMIENTOS!$C$5:$C$1005="P")*(MOVIMIENTOS!$D$5:$D$1005="jabas")*(MOVIMIENTOS!$A$5:$A$1005&lt;&gt;"")*(MOVIMIENTOS!$A$5:$A$1005&lt;=$A144)*MOVIMIENTOS!$E$5:$E$1005)-SUMPRODUCT((MOVIMIENTOS!$B$5:$B$1005="TRASIEGO")*(MOVIMIENTOS!$C$5:$C$1005="P")*(MOVIMIENTOS!$D$5:$D$1005="jabas")*(MOVIMIENTOS!$A$5:$A$1005&lt;&gt;"")*(MOVIMIENTOS!$A$5:$A$1005&lt;=$A144)*MOVIMIENTOS!$E$5:$E$1005)-SUMPRODUCT((MOVIMIENTOS!$B$5:$B$1005="REGALO")*(MOVIMIENTOS!$C$5:$C$1005="P")*(MOVIMIENTOS!$D$5:$D$1005="jabas")*(MOVIMIENTOS!$A$5:$A$1005&lt;&gt;"")*(MOVIMIENTOS!$A$5:$A$1005&lt;=$A144)*MOVIMIENTOS!$E$5:$E$1005)-SUMPRODUCT((MOVIMIENTOS!$B$5:$B$1005="VENTA")*(MOVIMIENTOS!$C$5:$C$1005="P")*(MOVIMIENTOS!$D$5:$D$1005="jabas")*(MOVIMIENTOS!$A$5:$A$1005&lt;&gt;"")*(MOVIMIENTOS!$A$5:$A$1005&lt;=$A144)*MOVIMIENTOS!$E$5:$E$1005)+SUMPRODUCT((MOVIMIENTOS!$B$5:$B$1005="AJUSTE")*(MOVIMIENTOS!$C$5:$C$1005="P")*(MOVIMIENTOS!$D$5:$D$1005="jabas")*(MOVIMIENTOS!$A$5:$A$1005&lt;&gt;"")*(MOVIMIENTOS!$A$5:$A$1005&lt;=$A144)*MOVIMIENTOS!$E$5:$E$1005))</f>
        <v/>
      </c>
      <c r="D144" s="63" t="str">
        <f>IF($A144="","",SUMPRODUCT((MOVIMIENTOS!$B$5:$B$1005="SALDO INICIAL")*(MOVIMIENTOS!$C$5:$C$1005="C")*(MOVIMIENTOS!$D$5:$D$1005="jabas")*(MOVIMIENTOS!$A$5:$A$1005&lt;&gt;"")*(MOVIMIENTOS!$A$5:$A$1005&lt;=$A144)*MOVIMIENTOS!$E$5:$E$1005)+SUMPRODUCT((MOVIMIENTOS!$B$5:$B$1005="PROCESO")*(MOVIMIENTOS!$C$5:$C$1005="C")*(MOVIMIENTOS!$D$5:$D$1005="jabas")*(MOVIMIENTOS!$A$5:$A$1005&lt;&gt;"")*(MOVIMIENTOS!$A$5:$A$1005&lt;=$A144)*MOVIMIENTOS!$E$5:$E$1005)-SUMPRODUCT((MOVIMIENTOS!$B$5:$B$1005="ENVÍO A SUPESA")*(MOVIMIENTOS!$C$5:$C$1005="C")*(MOVIMIENTOS!$D$5:$D$1005="jabas")*(MOVIMIENTOS!$A$5:$A$1005&lt;&gt;"")*(MOVIMIENTOS!$A$5:$A$1005&lt;=$A144)*MOVIMIENTOS!$E$5:$E$1005)+SUMPRODUCT((MOVIMIENTOS!$B$5:$B$1005="DEVOLUCIÓN")*(MOVIMIENTOS!$C$5:$C$1005="C")*(MOVIMIENTOS!$D$5:$D$1005="jabas")*(MOVIMIENTOS!$A$5:$A$1005&lt;&gt;"")*(MOVIMIENTOS!$A$5:$A$1005&lt;=$A144)*MOVIMIENTOS!$E$5:$E$1005)-SUMPRODUCT((MOVIMIENTOS!$B$5:$B$1005="TRASIEGO")*(MOVIMIENTOS!$C$5:$C$1005="C")*(MOVIMIENTOS!$D$5:$D$1005="jabas")*(MOVIMIENTOS!$A$5:$A$1005&lt;&gt;"")*(MOVIMIENTOS!$A$5:$A$1005&lt;=$A144)*MOVIMIENTOS!$E$5:$E$1005)-SUMPRODUCT((MOVIMIENTOS!$B$5:$B$1005="REGALO")*(MOVIMIENTOS!$C$5:$C$1005="C")*(MOVIMIENTOS!$D$5:$D$1005="jabas")*(MOVIMIENTOS!$A$5:$A$1005&lt;&gt;"")*(MOVIMIENTOS!$A$5:$A$1005&lt;=$A144)*MOVIMIENTOS!$E$5:$E$1005)-SUMPRODUCT((MOVIMIENTOS!$B$5:$B$1005="VENTA")*(MOVIMIENTOS!$C$5:$C$1005="C")*(MOVIMIENTOS!$D$5:$D$1005="jabas")*(MOVIMIENTOS!$A$5:$A$1005&lt;&gt;"")*(MOVIMIENTOS!$A$5:$A$1005&lt;=$A144)*MOVIMIENTOS!$E$5:$E$1005)+SUMPRODUCT((MOVIMIENTOS!$B$5:$B$1005="AJUSTE")*(MOVIMIENTOS!$C$5:$C$1005="C")*(MOVIMIENTOS!$D$5:$D$1005="jabas")*(MOVIMIENTOS!$A$5:$A$1005&lt;&gt;"")*(MOVIMIENTOS!$A$5:$A$1005&lt;=$A144)*MOVIMIENTOS!$E$5:$E$1005))</f>
        <v/>
      </c>
      <c r="E144" s="63" t="str">
        <f>IF($A144="","",SUMPRODUCT((MOVIMIENTOS!$B$5:$B$1005="SALDO INICIAL")*(MOVIMIENTOS!$C$5:$C$1005="M")*(MOVIMIENTOS!$D$5:$D$1005="jabas")*(MOVIMIENTOS!$A$5:$A$1005&lt;&gt;"")*(MOVIMIENTOS!$A$5:$A$1005&lt;=$A144)*MOVIMIENTOS!$E$5:$E$1005)+SUMPRODUCT((MOVIMIENTOS!$B$5:$B$1005="PROCESO")*(MOVIMIENTOS!$C$5:$C$1005="M")*(MOVIMIENTOS!$D$5:$D$1005="jabas")*(MOVIMIENTOS!$A$5:$A$1005&lt;&gt;"")*(MOVIMIENTOS!$A$5:$A$1005&lt;=$A144)*MOVIMIENTOS!$E$5:$E$1005)-SUMPRODUCT((MOVIMIENTOS!$B$5:$B$1005="ENVÍO A SUPESA")*(MOVIMIENTOS!$C$5:$C$1005="M")*(MOVIMIENTOS!$D$5:$D$1005="jabas")*(MOVIMIENTOS!$A$5:$A$1005&lt;&gt;"")*(MOVIMIENTOS!$A$5:$A$1005&lt;=$A144)*MOVIMIENTOS!$E$5:$E$1005)+SUMPRODUCT((MOVIMIENTOS!$B$5:$B$1005="DEVOLUCIÓN")*(MOVIMIENTOS!$C$5:$C$1005="M")*(MOVIMIENTOS!$D$5:$D$1005="jabas")*(MOVIMIENTOS!$A$5:$A$1005&lt;&gt;"")*(MOVIMIENTOS!$A$5:$A$1005&lt;=$A144)*MOVIMIENTOS!$E$5:$E$1005)-SUMPRODUCT((MOVIMIENTOS!$B$5:$B$1005="TRASIEGO")*(MOVIMIENTOS!$C$5:$C$1005="M")*(MOVIMIENTOS!$D$5:$D$1005="jabas")*(MOVIMIENTOS!$A$5:$A$1005&lt;&gt;"")*(MOVIMIENTOS!$A$5:$A$1005&lt;=$A144)*MOVIMIENTOS!$E$5:$E$1005)-SUMPRODUCT((MOVIMIENTOS!$B$5:$B$1005="REGALO")*(MOVIMIENTOS!$C$5:$C$1005="M")*(MOVIMIENTOS!$D$5:$D$1005="jabas")*(MOVIMIENTOS!$A$5:$A$1005&lt;&gt;"")*(MOVIMIENTOS!$A$5:$A$1005&lt;=$A144)*MOVIMIENTOS!$E$5:$E$1005)-SUMPRODUCT((MOVIMIENTOS!$B$5:$B$1005="VENTA")*(MOVIMIENTOS!$C$5:$C$1005="M")*(MOVIMIENTOS!$D$5:$D$1005="jabas")*(MOVIMIENTOS!$A$5:$A$1005&lt;&gt;"")*(MOVIMIENTOS!$A$5:$A$1005&lt;=$A144)*MOVIMIENTOS!$E$5:$E$1005)+SUMPRODUCT((MOVIMIENTOS!$B$5:$B$1005="AJUSTE")*(MOVIMIENTOS!$C$5:$C$1005="M")*(MOVIMIENTOS!$D$5:$D$1005="jabas")*(MOVIMIENTOS!$A$5:$A$1005&lt;&gt;"")*(MOVIMIENTOS!$A$5:$A$1005&lt;=$A144)*MOVIMIENTOS!$E$5:$E$1005))</f>
        <v/>
      </c>
      <c r="F144" s="63" t="str">
        <f>IF($A144="","",SUMPRODUCT((MOVIMIENTOS!$B$5:$B$1005="SALDO INICIAL")*(MOVIMIENTOS!$C$5:$C$1005="Chancho")*(MOVIMIENTOS!$D$5:$D$1005="sacos")*(MOVIMIENTOS!$A$5:$A$1005&lt;&gt;"")*(MOVIMIENTOS!$A$5:$A$1005&lt;=$A144)*MOVIMIENTOS!$E$5:$E$1005)+SUMPRODUCT((MOVIMIENTOS!$B$5:$B$1005="PROCESO")*(MOVIMIENTOS!$C$5:$C$1005="Chancho")*(MOVIMIENTOS!$D$5:$D$1005="sacos")*(MOVIMIENTOS!$A$5:$A$1005&lt;&gt;"")*(MOVIMIENTOS!$A$5:$A$1005&lt;=$A144)*MOVIMIENTOS!$E$5:$E$1005)-SUMPRODUCT((MOVIMIENTOS!$B$5:$B$1005="VENTA CHANCHO")*(MOVIMIENTOS!$C$5:$C$1005="Chancho")*(MOVIMIENTOS!$D$5:$D$1005="sacos")*(MOVIMIENTOS!$A$5:$A$1005&lt;&gt;"")*(MOVIMIENTOS!$A$5:$A$1005&lt;=$A144)*MOVIMIENTOS!$E$5:$E$1005)-SUMPRODUCT((MOVIMIENTOS!$B$5:$B$1005="REGALO")*(MOVIMIENTOS!$C$5:$C$1005="Chancho")*(MOVIMIENTOS!$D$5:$D$1005="sacos")*(MOVIMIENTOS!$A$5:$A$1005&lt;&gt;"")*(MOVIMIENTOS!$A$5:$A$1005&lt;=$A144)*MOVIMIENTOS!$E$5:$E$1005)-SUMPRODUCT((MOVIMIENTOS!$B$5:$B$1005="VENTA")*(MOVIMIENTOS!$C$5:$C$1005="Chancho")*(MOVIMIENTOS!$D$5:$D$1005="sacos")*(MOVIMIENTOS!$A$5:$A$1005&lt;&gt;"")*(MOVIMIENTOS!$A$5:$A$1005&lt;=$A144)*MOVIMIENTOS!$E$5:$E$1005)+SUMPRODUCT((MOVIMIENTOS!$B$5:$B$1005="AJUSTE")*(MOVIMIENTOS!$C$5:$C$1005="Chancho")*(MOVIMIENTOS!$D$5:$D$1005="sacos")*(MOVIMIENTOS!$A$5:$A$1005&lt;&gt;"")*(MOVIMIENTOS!$A$5:$A$1005&lt;=$A144)*MOVIMIENTOS!$E$5:$E$1005))</f>
        <v/>
      </c>
      <c r="G144" s="95" t="str">
        <f t="shared" si="5"/>
        <v/>
      </c>
      <c r="H144" s="63" t="str">
        <f>IF($A144="","",SUMPRODUCT((((MOVIMIENTOS!$B$5:$B$1005="SALDO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144)*MOVIMIENTOS!$J$5:$J$1005))</f>
        <v/>
      </c>
      <c r="I144" s="63"/>
      <c r="J144" s="63" t="str">
        <f>IF(AND(MOVIMIENTOS!$A144&lt;&gt;"",COUNTIF(MOVIMIENTOS!$A$5:$A143,MOVIMIENTOS!$A144)=0),COUNT(J$4:J143)+1,"")</f>
        <v/>
      </c>
      <c r="K144" s="66">
        <f>MOVIMIENTOS!$A144</f>
        <v>46226</v>
      </c>
      <c r="L144" s="63"/>
      <c r="M144" s="63"/>
      <c r="N144" s="63"/>
    </row>
    <row r="145" spans="1:14" ht="15" customHeight="1" x14ac:dyDescent="0.2">
      <c r="A145" s="63" t="str">
        <f t="shared" si="4"/>
        <v/>
      </c>
      <c r="B145" s="63" t="str">
        <f>IF($A145="","",SUMPRODUCT((MOVIMIENTOS!$B$5:$B$1005="SALDO INICIAL")*(MOVIMIENTOS!$C$5:$C$1005="A")*(MOVIMIENTOS!$D$5:$D$1005="jabas")*(MOVIMIENTOS!$A$5:$A$1005&lt;&gt;"")*(MOVIMIENTOS!$A$5:$A$1005&lt;=$A145)*MOVIMIENTOS!$E$5:$E$1005)+SUMPRODUCT((MOVIMIENTOS!$B$5:$B$1005="PROCESO")*(MOVIMIENTOS!$C$5:$C$1005="A")*(MOVIMIENTOS!$D$5:$D$1005="jabas")*(MOVIMIENTOS!$A$5:$A$1005&lt;&gt;"")*(MOVIMIENTOS!$A$5:$A$1005&lt;=$A145)*MOVIMIENTOS!$E$5:$E$1005)-SUMPRODUCT((MOVIMIENTOS!$B$5:$B$1005="ENVÍO A SUPESA")*(MOVIMIENTOS!$C$5:$C$1005="A")*(MOVIMIENTOS!$D$5:$D$1005="jabas")*(MOVIMIENTOS!$A$5:$A$1005&lt;&gt;"")*(MOVIMIENTOS!$A$5:$A$1005&lt;=$A145)*MOVIMIENTOS!$E$5:$E$1005)+SUMPRODUCT((MOVIMIENTOS!$B$5:$B$1005="DEVOLUCIÓN")*(MOVIMIENTOS!$C$5:$C$1005="A")*(MOVIMIENTOS!$D$5:$D$1005="jabas")*(MOVIMIENTOS!$A$5:$A$1005&lt;&gt;"")*(MOVIMIENTOS!$A$5:$A$1005&lt;=$A145)*MOVIMIENTOS!$E$5:$E$1005)-SUMPRODUCT((MOVIMIENTOS!$B$5:$B$1005="TRASIEGO")*(MOVIMIENTOS!$C$5:$C$1005="A")*(MOVIMIENTOS!$D$5:$D$1005="jabas")*(MOVIMIENTOS!$A$5:$A$1005&lt;&gt;"")*(MOVIMIENTOS!$A$5:$A$1005&lt;=$A145)*MOVIMIENTOS!$E$5:$E$1005)-SUMPRODUCT((MOVIMIENTOS!$B$5:$B$1005="REGALO")*(MOVIMIENTOS!$C$5:$C$1005="A")*(MOVIMIENTOS!$D$5:$D$1005="jabas")*(MOVIMIENTOS!$A$5:$A$1005&lt;&gt;"")*(MOVIMIENTOS!$A$5:$A$1005&lt;=$A145)*MOVIMIENTOS!$E$5:$E$1005)-SUMPRODUCT((MOVIMIENTOS!$B$5:$B$1005="VENTA")*(MOVIMIENTOS!$C$5:$C$1005="A")*(MOVIMIENTOS!$D$5:$D$1005="jabas")*(MOVIMIENTOS!$A$5:$A$1005&lt;&gt;"")*(MOVIMIENTOS!$A$5:$A$1005&lt;=$A145)*MOVIMIENTOS!$E$5:$E$1005)+SUMPRODUCT((MOVIMIENTOS!$B$5:$B$1005="AJUSTE")*(MOVIMIENTOS!$C$5:$C$1005="A")*(MOVIMIENTOS!$D$5:$D$1005="jabas")*(MOVIMIENTOS!$A$5:$A$1005&lt;&gt;"")*(MOVIMIENTOS!$A$5:$A$1005&lt;=$A145)*MOVIMIENTOS!$E$5:$E$1005))</f>
        <v/>
      </c>
      <c r="C145" s="63" t="str">
        <f>IF($A145="","",SUMPRODUCT((MOVIMIENTOS!$B$5:$B$1005="SALDO INICIAL")*(MOVIMIENTOS!$C$5:$C$1005="P")*(MOVIMIENTOS!$D$5:$D$1005="jabas")*(MOVIMIENTOS!$A$5:$A$1005&lt;&gt;"")*(MOVIMIENTOS!$A$5:$A$1005&lt;=$A145)*MOVIMIENTOS!$E$5:$E$1005)+SUMPRODUCT((MOVIMIENTOS!$B$5:$B$1005="PROCESO")*(MOVIMIENTOS!$C$5:$C$1005="P")*(MOVIMIENTOS!$D$5:$D$1005="jabas")*(MOVIMIENTOS!$A$5:$A$1005&lt;&gt;"")*(MOVIMIENTOS!$A$5:$A$1005&lt;=$A145)*MOVIMIENTOS!$E$5:$E$1005)-SUMPRODUCT((MOVIMIENTOS!$B$5:$B$1005="ENVÍO A SUPESA")*(MOVIMIENTOS!$C$5:$C$1005="P")*(MOVIMIENTOS!$D$5:$D$1005="jabas")*(MOVIMIENTOS!$A$5:$A$1005&lt;&gt;"")*(MOVIMIENTOS!$A$5:$A$1005&lt;=$A145)*MOVIMIENTOS!$E$5:$E$1005)+SUMPRODUCT((MOVIMIENTOS!$B$5:$B$1005="DEVOLUCIÓN")*(MOVIMIENTOS!$C$5:$C$1005="P")*(MOVIMIENTOS!$D$5:$D$1005="jabas")*(MOVIMIENTOS!$A$5:$A$1005&lt;&gt;"")*(MOVIMIENTOS!$A$5:$A$1005&lt;=$A145)*MOVIMIENTOS!$E$5:$E$1005)-SUMPRODUCT((MOVIMIENTOS!$B$5:$B$1005="TRASIEGO")*(MOVIMIENTOS!$C$5:$C$1005="P")*(MOVIMIENTOS!$D$5:$D$1005="jabas")*(MOVIMIENTOS!$A$5:$A$1005&lt;&gt;"")*(MOVIMIENTOS!$A$5:$A$1005&lt;=$A145)*MOVIMIENTOS!$E$5:$E$1005)-SUMPRODUCT((MOVIMIENTOS!$B$5:$B$1005="REGALO")*(MOVIMIENTOS!$C$5:$C$1005="P")*(MOVIMIENTOS!$D$5:$D$1005="jabas")*(MOVIMIENTOS!$A$5:$A$1005&lt;&gt;"")*(MOVIMIENTOS!$A$5:$A$1005&lt;=$A145)*MOVIMIENTOS!$E$5:$E$1005)-SUMPRODUCT((MOVIMIENTOS!$B$5:$B$1005="VENTA")*(MOVIMIENTOS!$C$5:$C$1005="P")*(MOVIMIENTOS!$D$5:$D$1005="jabas")*(MOVIMIENTOS!$A$5:$A$1005&lt;&gt;"")*(MOVIMIENTOS!$A$5:$A$1005&lt;=$A145)*MOVIMIENTOS!$E$5:$E$1005)+SUMPRODUCT((MOVIMIENTOS!$B$5:$B$1005="AJUSTE")*(MOVIMIENTOS!$C$5:$C$1005="P")*(MOVIMIENTOS!$D$5:$D$1005="jabas")*(MOVIMIENTOS!$A$5:$A$1005&lt;&gt;"")*(MOVIMIENTOS!$A$5:$A$1005&lt;=$A145)*MOVIMIENTOS!$E$5:$E$1005))</f>
        <v/>
      </c>
      <c r="D145" s="63" t="str">
        <f>IF($A145="","",SUMPRODUCT((MOVIMIENTOS!$B$5:$B$1005="SALDO INICIAL")*(MOVIMIENTOS!$C$5:$C$1005="C")*(MOVIMIENTOS!$D$5:$D$1005="jabas")*(MOVIMIENTOS!$A$5:$A$1005&lt;&gt;"")*(MOVIMIENTOS!$A$5:$A$1005&lt;=$A145)*MOVIMIENTOS!$E$5:$E$1005)+SUMPRODUCT((MOVIMIENTOS!$B$5:$B$1005="PROCESO")*(MOVIMIENTOS!$C$5:$C$1005="C")*(MOVIMIENTOS!$D$5:$D$1005="jabas")*(MOVIMIENTOS!$A$5:$A$1005&lt;&gt;"")*(MOVIMIENTOS!$A$5:$A$1005&lt;=$A145)*MOVIMIENTOS!$E$5:$E$1005)-SUMPRODUCT((MOVIMIENTOS!$B$5:$B$1005="ENVÍO A SUPESA")*(MOVIMIENTOS!$C$5:$C$1005="C")*(MOVIMIENTOS!$D$5:$D$1005="jabas")*(MOVIMIENTOS!$A$5:$A$1005&lt;&gt;"")*(MOVIMIENTOS!$A$5:$A$1005&lt;=$A145)*MOVIMIENTOS!$E$5:$E$1005)+SUMPRODUCT((MOVIMIENTOS!$B$5:$B$1005="DEVOLUCIÓN")*(MOVIMIENTOS!$C$5:$C$1005="C")*(MOVIMIENTOS!$D$5:$D$1005="jabas")*(MOVIMIENTOS!$A$5:$A$1005&lt;&gt;"")*(MOVIMIENTOS!$A$5:$A$1005&lt;=$A145)*MOVIMIENTOS!$E$5:$E$1005)-SUMPRODUCT((MOVIMIENTOS!$B$5:$B$1005="TRASIEGO")*(MOVIMIENTOS!$C$5:$C$1005="C")*(MOVIMIENTOS!$D$5:$D$1005="jabas")*(MOVIMIENTOS!$A$5:$A$1005&lt;&gt;"")*(MOVIMIENTOS!$A$5:$A$1005&lt;=$A145)*MOVIMIENTOS!$E$5:$E$1005)-SUMPRODUCT((MOVIMIENTOS!$B$5:$B$1005="REGALO")*(MOVIMIENTOS!$C$5:$C$1005="C")*(MOVIMIENTOS!$D$5:$D$1005="jabas")*(MOVIMIENTOS!$A$5:$A$1005&lt;&gt;"")*(MOVIMIENTOS!$A$5:$A$1005&lt;=$A145)*MOVIMIENTOS!$E$5:$E$1005)-SUMPRODUCT((MOVIMIENTOS!$B$5:$B$1005="VENTA")*(MOVIMIENTOS!$C$5:$C$1005="C")*(MOVIMIENTOS!$D$5:$D$1005="jabas")*(MOVIMIENTOS!$A$5:$A$1005&lt;&gt;"")*(MOVIMIENTOS!$A$5:$A$1005&lt;=$A145)*MOVIMIENTOS!$E$5:$E$1005)+SUMPRODUCT((MOVIMIENTOS!$B$5:$B$1005="AJUSTE")*(MOVIMIENTOS!$C$5:$C$1005="C")*(MOVIMIENTOS!$D$5:$D$1005="jabas")*(MOVIMIENTOS!$A$5:$A$1005&lt;&gt;"")*(MOVIMIENTOS!$A$5:$A$1005&lt;=$A145)*MOVIMIENTOS!$E$5:$E$1005))</f>
        <v/>
      </c>
      <c r="E145" s="63" t="str">
        <f>IF($A145="","",SUMPRODUCT((MOVIMIENTOS!$B$5:$B$1005="SALDO INICIAL")*(MOVIMIENTOS!$C$5:$C$1005="M")*(MOVIMIENTOS!$D$5:$D$1005="jabas")*(MOVIMIENTOS!$A$5:$A$1005&lt;&gt;"")*(MOVIMIENTOS!$A$5:$A$1005&lt;=$A145)*MOVIMIENTOS!$E$5:$E$1005)+SUMPRODUCT((MOVIMIENTOS!$B$5:$B$1005="PROCESO")*(MOVIMIENTOS!$C$5:$C$1005="M")*(MOVIMIENTOS!$D$5:$D$1005="jabas")*(MOVIMIENTOS!$A$5:$A$1005&lt;&gt;"")*(MOVIMIENTOS!$A$5:$A$1005&lt;=$A145)*MOVIMIENTOS!$E$5:$E$1005)-SUMPRODUCT((MOVIMIENTOS!$B$5:$B$1005="ENVÍO A SUPESA")*(MOVIMIENTOS!$C$5:$C$1005="M")*(MOVIMIENTOS!$D$5:$D$1005="jabas")*(MOVIMIENTOS!$A$5:$A$1005&lt;&gt;"")*(MOVIMIENTOS!$A$5:$A$1005&lt;=$A145)*MOVIMIENTOS!$E$5:$E$1005)+SUMPRODUCT((MOVIMIENTOS!$B$5:$B$1005="DEVOLUCIÓN")*(MOVIMIENTOS!$C$5:$C$1005="M")*(MOVIMIENTOS!$D$5:$D$1005="jabas")*(MOVIMIENTOS!$A$5:$A$1005&lt;&gt;"")*(MOVIMIENTOS!$A$5:$A$1005&lt;=$A145)*MOVIMIENTOS!$E$5:$E$1005)-SUMPRODUCT((MOVIMIENTOS!$B$5:$B$1005="TRASIEGO")*(MOVIMIENTOS!$C$5:$C$1005="M")*(MOVIMIENTOS!$D$5:$D$1005="jabas")*(MOVIMIENTOS!$A$5:$A$1005&lt;&gt;"")*(MOVIMIENTOS!$A$5:$A$1005&lt;=$A145)*MOVIMIENTOS!$E$5:$E$1005)-SUMPRODUCT((MOVIMIENTOS!$B$5:$B$1005="REGALO")*(MOVIMIENTOS!$C$5:$C$1005="M")*(MOVIMIENTOS!$D$5:$D$1005="jabas")*(MOVIMIENTOS!$A$5:$A$1005&lt;&gt;"")*(MOVIMIENTOS!$A$5:$A$1005&lt;=$A145)*MOVIMIENTOS!$E$5:$E$1005)-SUMPRODUCT((MOVIMIENTOS!$B$5:$B$1005="VENTA")*(MOVIMIENTOS!$C$5:$C$1005="M")*(MOVIMIENTOS!$D$5:$D$1005="jabas")*(MOVIMIENTOS!$A$5:$A$1005&lt;&gt;"")*(MOVIMIENTOS!$A$5:$A$1005&lt;=$A145)*MOVIMIENTOS!$E$5:$E$1005)+SUMPRODUCT((MOVIMIENTOS!$B$5:$B$1005="AJUSTE")*(MOVIMIENTOS!$C$5:$C$1005="M")*(MOVIMIENTOS!$D$5:$D$1005="jabas")*(MOVIMIENTOS!$A$5:$A$1005&lt;&gt;"")*(MOVIMIENTOS!$A$5:$A$1005&lt;=$A145)*MOVIMIENTOS!$E$5:$E$1005))</f>
        <v/>
      </c>
      <c r="F145" s="63" t="str">
        <f>IF($A145="","",SUMPRODUCT((MOVIMIENTOS!$B$5:$B$1005="SALDO INICIAL")*(MOVIMIENTOS!$C$5:$C$1005="Chancho")*(MOVIMIENTOS!$D$5:$D$1005="sacos")*(MOVIMIENTOS!$A$5:$A$1005&lt;&gt;"")*(MOVIMIENTOS!$A$5:$A$1005&lt;=$A145)*MOVIMIENTOS!$E$5:$E$1005)+SUMPRODUCT((MOVIMIENTOS!$B$5:$B$1005="PROCESO")*(MOVIMIENTOS!$C$5:$C$1005="Chancho")*(MOVIMIENTOS!$D$5:$D$1005="sacos")*(MOVIMIENTOS!$A$5:$A$1005&lt;&gt;"")*(MOVIMIENTOS!$A$5:$A$1005&lt;=$A145)*MOVIMIENTOS!$E$5:$E$1005)-SUMPRODUCT((MOVIMIENTOS!$B$5:$B$1005="VENTA CHANCHO")*(MOVIMIENTOS!$C$5:$C$1005="Chancho")*(MOVIMIENTOS!$D$5:$D$1005="sacos")*(MOVIMIENTOS!$A$5:$A$1005&lt;&gt;"")*(MOVIMIENTOS!$A$5:$A$1005&lt;=$A145)*MOVIMIENTOS!$E$5:$E$1005)-SUMPRODUCT((MOVIMIENTOS!$B$5:$B$1005="REGALO")*(MOVIMIENTOS!$C$5:$C$1005="Chancho")*(MOVIMIENTOS!$D$5:$D$1005="sacos")*(MOVIMIENTOS!$A$5:$A$1005&lt;&gt;"")*(MOVIMIENTOS!$A$5:$A$1005&lt;=$A145)*MOVIMIENTOS!$E$5:$E$1005)-SUMPRODUCT((MOVIMIENTOS!$B$5:$B$1005="VENTA")*(MOVIMIENTOS!$C$5:$C$1005="Chancho")*(MOVIMIENTOS!$D$5:$D$1005="sacos")*(MOVIMIENTOS!$A$5:$A$1005&lt;&gt;"")*(MOVIMIENTOS!$A$5:$A$1005&lt;=$A145)*MOVIMIENTOS!$E$5:$E$1005)+SUMPRODUCT((MOVIMIENTOS!$B$5:$B$1005="AJUSTE")*(MOVIMIENTOS!$C$5:$C$1005="Chancho")*(MOVIMIENTOS!$D$5:$D$1005="sacos")*(MOVIMIENTOS!$A$5:$A$1005&lt;&gt;"")*(MOVIMIENTOS!$A$5:$A$1005&lt;=$A145)*MOVIMIENTOS!$E$5:$E$1005))</f>
        <v/>
      </c>
      <c r="G145" s="95" t="str">
        <f t="shared" si="5"/>
        <v/>
      </c>
      <c r="H145" s="63" t="str">
        <f>IF($A145="","",SUMPRODUCT((((MOVIMIENTOS!$B$5:$B$1005="SALDO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145)*MOVIMIENTOS!$J$5:$J$1005))</f>
        <v/>
      </c>
      <c r="I145" s="63"/>
      <c r="J145" s="63" t="str">
        <f>IF(AND(MOVIMIENTOS!$A145&lt;&gt;"",COUNTIF(MOVIMIENTOS!$A$5:$A144,MOVIMIENTOS!$A145)=0),COUNT(J$4:J144)+1,"")</f>
        <v/>
      </c>
      <c r="K145" s="66">
        <f>MOVIMIENTOS!$A145</f>
        <v>46226</v>
      </c>
      <c r="L145" s="63"/>
      <c r="M145" s="63"/>
      <c r="N145" s="63"/>
    </row>
    <row r="146" spans="1:14" ht="15" customHeight="1" x14ac:dyDescent="0.2">
      <c r="A146" s="63" t="str">
        <f t="shared" si="4"/>
        <v/>
      </c>
      <c r="B146" s="63" t="str">
        <f>IF($A146="","",SUMPRODUCT((MOVIMIENTOS!$B$5:$B$1005="SALDO INICIAL")*(MOVIMIENTOS!$C$5:$C$1005="A")*(MOVIMIENTOS!$D$5:$D$1005="jabas")*(MOVIMIENTOS!$A$5:$A$1005&lt;&gt;"")*(MOVIMIENTOS!$A$5:$A$1005&lt;=$A146)*MOVIMIENTOS!$E$5:$E$1005)+SUMPRODUCT((MOVIMIENTOS!$B$5:$B$1005="PROCESO")*(MOVIMIENTOS!$C$5:$C$1005="A")*(MOVIMIENTOS!$D$5:$D$1005="jabas")*(MOVIMIENTOS!$A$5:$A$1005&lt;&gt;"")*(MOVIMIENTOS!$A$5:$A$1005&lt;=$A146)*MOVIMIENTOS!$E$5:$E$1005)-SUMPRODUCT((MOVIMIENTOS!$B$5:$B$1005="ENVÍO A SUPESA")*(MOVIMIENTOS!$C$5:$C$1005="A")*(MOVIMIENTOS!$D$5:$D$1005="jabas")*(MOVIMIENTOS!$A$5:$A$1005&lt;&gt;"")*(MOVIMIENTOS!$A$5:$A$1005&lt;=$A146)*MOVIMIENTOS!$E$5:$E$1005)+SUMPRODUCT((MOVIMIENTOS!$B$5:$B$1005="DEVOLUCIÓN")*(MOVIMIENTOS!$C$5:$C$1005="A")*(MOVIMIENTOS!$D$5:$D$1005="jabas")*(MOVIMIENTOS!$A$5:$A$1005&lt;&gt;"")*(MOVIMIENTOS!$A$5:$A$1005&lt;=$A146)*MOVIMIENTOS!$E$5:$E$1005)-SUMPRODUCT((MOVIMIENTOS!$B$5:$B$1005="TRASIEGO")*(MOVIMIENTOS!$C$5:$C$1005="A")*(MOVIMIENTOS!$D$5:$D$1005="jabas")*(MOVIMIENTOS!$A$5:$A$1005&lt;&gt;"")*(MOVIMIENTOS!$A$5:$A$1005&lt;=$A146)*MOVIMIENTOS!$E$5:$E$1005)-SUMPRODUCT((MOVIMIENTOS!$B$5:$B$1005="REGALO")*(MOVIMIENTOS!$C$5:$C$1005="A")*(MOVIMIENTOS!$D$5:$D$1005="jabas")*(MOVIMIENTOS!$A$5:$A$1005&lt;&gt;"")*(MOVIMIENTOS!$A$5:$A$1005&lt;=$A146)*MOVIMIENTOS!$E$5:$E$1005)-SUMPRODUCT((MOVIMIENTOS!$B$5:$B$1005="VENTA")*(MOVIMIENTOS!$C$5:$C$1005="A")*(MOVIMIENTOS!$D$5:$D$1005="jabas")*(MOVIMIENTOS!$A$5:$A$1005&lt;&gt;"")*(MOVIMIENTOS!$A$5:$A$1005&lt;=$A146)*MOVIMIENTOS!$E$5:$E$1005)+SUMPRODUCT((MOVIMIENTOS!$B$5:$B$1005="AJUSTE")*(MOVIMIENTOS!$C$5:$C$1005="A")*(MOVIMIENTOS!$D$5:$D$1005="jabas")*(MOVIMIENTOS!$A$5:$A$1005&lt;&gt;"")*(MOVIMIENTOS!$A$5:$A$1005&lt;=$A146)*MOVIMIENTOS!$E$5:$E$1005))</f>
        <v/>
      </c>
      <c r="C146" s="63" t="str">
        <f>IF($A146="","",SUMPRODUCT((MOVIMIENTOS!$B$5:$B$1005="SALDO INICIAL")*(MOVIMIENTOS!$C$5:$C$1005="P")*(MOVIMIENTOS!$D$5:$D$1005="jabas")*(MOVIMIENTOS!$A$5:$A$1005&lt;&gt;"")*(MOVIMIENTOS!$A$5:$A$1005&lt;=$A146)*MOVIMIENTOS!$E$5:$E$1005)+SUMPRODUCT((MOVIMIENTOS!$B$5:$B$1005="PROCESO")*(MOVIMIENTOS!$C$5:$C$1005="P")*(MOVIMIENTOS!$D$5:$D$1005="jabas")*(MOVIMIENTOS!$A$5:$A$1005&lt;&gt;"")*(MOVIMIENTOS!$A$5:$A$1005&lt;=$A146)*MOVIMIENTOS!$E$5:$E$1005)-SUMPRODUCT((MOVIMIENTOS!$B$5:$B$1005="ENVÍO A SUPESA")*(MOVIMIENTOS!$C$5:$C$1005="P")*(MOVIMIENTOS!$D$5:$D$1005="jabas")*(MOVIMIENTOS!$A$5:$A$1005&lt;&gt;"")*(MOVIMIENTOS!$A$5:$A$1005&lt;=$A146)*MOVIMIENTOS!$E$5:$E$1005)+SUMPRODUCT((MOVIMIENTOS!$B$5:$B$1005="DEVOLUCIÓN")*(MOVIMIENTOS!$C$5:$C$1005="P")*(MOVIMIENTOS!$D$5:$D$1005="jabas")*(MOVIMIENTOS!$A$5:$A$1005&lt;&gt;"")*(MOVIMIENTOS!$A$5:$A$1005&lt;=$A146)*MOVIMIENTOS!$E$5:$E$1005)-SUMPRODUCT((MOVIMIENTOS!$B$5:$B$1005="TRASIEGO")*(MOVIMIENTOS!$C$5:$C$1005="P")*(MOVIMIENTOS!$D$5:$D$1005="jabas")*(MOVIMIENTOS!$A$5:$A$1005&lt;&gt;"")*(MOVIMIENTOS!$A$5:$A$1005&lt;=$A146)*MOVIMIENTOS!$E$5:$E$1005)-SUMPRODUCT((MOVIMIENTOS!$B$5:$B$1005="REGALO")*(MOVIMIENTOS!$C$5:$C$1005="P")*(MOVIMIENTOS!$D$5:$D$1005="jabas")*(MOVIMIENTOS!$A$5:$A$1005&lt;&gt;"")*(MOVIMIENTOS!$A$5:$A$1005&lt;=$A146)*MOVIMIENTOS!$E$5:$E$1005)-SUMPRODUCT((MOVIMIENTOS!$B$5:$B$1005="VENTA")*(MOVIMIENTOS!$C$5:$C$1005="P")*(MOVIMIENTOS!$D$5:$D$1005="jabas")*(MOVIMIENTOS!$A$5:$A$1005&lt;&gt;"")*(MOVIMIENTOS!$A$5:$A$1005&lt;=$A146)*MOVIMIENTOS!$E$5:$E$1005)+SUMPRODUCT((MOVIMIENTOS!$B$5:$B$1005="AJUSTE")*(MOVIMIENTOS!$C$5:$C$1005="P")*(MOVIMIENTOS!$D$5:$D$1005="jabas")*(MOVIMIENTOS!$A$5:$A$1005&lt;&gt;"")*(MOVIMIENTOS!$A$5:$A$1005&lt;=$A146)*MOVIMIENTOS!$E$5:$E$1005))</f>
        <v/>
      </c>
      <c r="D146" s="63" t="str">
        <f>IF($A146="","",SUMPRODUCT((MOVIMIENTOS!$B$5:$B$1005="SALDO INICIAL")*(MOVIMIENTOS!$C$5:$C$1005="C")*(MOVIMIENTOS!$D$5:$D$1005="jabas")*(MOVIMIENTOS!$A$5:$A$1005&lt;&gt;"")*(MOVIMIENTOS!$A$5:$A$1005&lt;=$A146)*MOVIMIENTOS!$E$5:$E$1005)+SUMPRODUCT((MOVIMIENTOS!$B$5:$B$1005="PROCESO")*(MOVIMIENTOS!$C$5:$C$1005="C")*(MOVIMIENTOS!$D$5:$D$1005="jabas")*(MOVIMIENTOS!$A$5:$A$1005&lt;&gt;"")*(MOVIMIENTOS!$A$5:$A$1005&lt;=$A146)*MOVIMIENTOS!$E$5:$E$1005)-SUMPRODUCT((MOVIMIENTOS!$B$5:$B$1005="ENVÍO A SUPESA")*(MOVIMIENTOS!$C$5:$C$1005="C")*(MOVIMIENTOS!$D$5:$D$1005="jabas")*(MOVIMIENTOS!$A$5:$A$1005&lt;&gt;"")*(MOVIMIENTOS!$A$5:$A$1005&lt;=$A146)*MOVIMIENTOS!$E$5:$E$1005)+SUMPRODUCT((MOVIMIENTOS!$B$5:$B$1005="DEVOLUCIÓN")*(MOVIMIENTOS!$C$5:$C$1005="C")*(MOVIMIENTOS!$D$5:$D$1005="jabas")*(MOVIMIENTOS!$A$5:$A$1005&lt;&gt;"")*(MOVIMIENTOS!$A$5:$A$1005&lt;=$A146)*MOVIMIENTOS!$E$5:$E$1005)-SUMPRODUCT((MOVIMIENTOS!$B$5:$B$1005="TRASIEGO")*(MOVIMIENTOS!$C$5:$C$1005="C")*(MOVIMIENTOS!$D$5:$D$1005="jabas")*(MOVIMIENTOS!$A$5:$A$1005&lt;&gt;"")*(MOVIMIENTOS!$A$5:$A$1005&lt;=$A146)*MOVIMIENTOS!$E$5:$E$1005)-SUMPRODUCT((MOVIMIENTOS!$B$5:$B$1005="REGALO")*(MOVIMIENTOS!$C$5:$C$1005="C")*(MOVIMIENTOS!$D$5:$D$1005="jabas")*(MOVIMIENTOS!$A$5:$A$1005&lt;&gt;"")*(MOVIMIENTOS!$A$5:$A$1005&lt;=$A146)*MOVIMIENTOS!$E$5:$E$1005)-SUMPRODUCT((MOVIMIENTOS!$B$5:$B$1005="VENTA")*(MOVIMIENTOS!$C$5:$C$1005="C")*(MOVIMIENTOS!$D$5:$D$1005="jabas")*(MOVIMIENTOS!$A$5:$A$1005&lt;&gt;"")*(MOVIMIENTOS!$A$5:$A$1005&lt;=$A146)*MOVIMIENTOS!$E$5:$E$1005)+SUMPRODUCT((MOVIMIENTOS!$B$5:$B$1005="AJUSTE")*(MOVIMIENTOS!$C$5:$C$1005="C")*(MOVIMIENTOS!$D$5:$D$1005="jabas")*(MOVIMIENTOS!$A$5:$A$1005&lt;&gt;"")*(MOVIMIENTOS!$A$5:$A$1005&lt;=$A146)*MOVIMIENTOS!$E$5:$E$1005))</f>
        <v/>
      </c>
      <c r="E146" s="63" t="str">
        <f>IF($A146="","",SUMPRODUCT((MOVIMIENTOS!$B$5:$B$1005="SALDO INICIAL")*(MOVIMIENTOS!$C$5:$C$1005="M")*(MOVIMIENTOS!$D$5:$D$1005="jabas")*(MOVIMIENTOS!$A$5:$A$1005&lt;&gt;"")*(MOVIMIENTOS!$A$5:$A$1005&lt;=$A146)*MOVIMIENTOS!$E$5:$E$1005)+SUMPRODUCT((MOVIMIENTOS!$B$5:$B$1005="PROCESO")*(MOVIMIENTOS!$C$5:$C$1005="M")*(MOVIMIENTOS!$D$5:$D$1005="jabas")*(MOVIMIENTOS!$A$5:$A$1005&lt;&gt;"")*(MOVIMIENTOS!$A$5:$A$1005&lt;=$A146)*MOVIMIENTOS!$E$5:$E$1005)-SUMPRODUCT((MOVIMIENTOS!$B$5:$B$1005="ENVÍO A SUPESA")*(MOVIMIENTOS!$C$5:$C$1005="M")*(MOVIMIENTOS!$D$5:$D$1005="jabas")*(MOVIMIENTOS!$A$5:$A$1005&lt;&gt;"")*(MOVIMIENTOS!$A$5:$A$1005&lt;=$A146)*MOVIMIENTOS!$E$5:$E$1005)+SUMPRODUCT((MOVIMIENTOS!$B$5:$B$1005="DEVOLUCIÓN")*(MOVIMIENTOS!$C$5:$C$1005="M")*(MOVIMIENTOS!$D$5:$D$1005="jabas")*(MOVIMIENTOS!$A$5:$A$1005&lt;&gt;"")*(MOVIMIENTOS!$A$5:$A$1005&lt;=$A146)*MOVIMIENTOS!$E$5:$E$1005)-SUMPRODUCT((MOVIMIENTOS!$B$5:$B$1005="TRASIEGO")*(MOVIMIENTOS!$C$5:$C$1005="M")*(MOVIMIENTOS!$D$5:$D$1005="jabas")*(MOVIMIENTOS!$A$5:$A$1005&lt;&gt;"")*(MOVIMIENTOS!$A$5:$A$1005&lt;=$A146)*MOVIMIENTOS!$E$5:$E$1005)-SUMPRODUCT((MOVIMIENTOS!$B$5:$B$1005="REGALO")*(MOVIMIENTOS!$C$5:$C$1005="M")*(MOVIMIENTOS!$D$5:$D$1005="jabas")*(MOVIMIENTOS!$A$5:$A$1005&lt;&gt;"")*(MOVIMIENTOS!$A$5:$A$1005&lt;=$A146)*MOVIMIENTOS!$E$5:$E$1005)-SUMPRODUCT((MOVIMIENTOS!$B$5:$B$1005="VENTA")*(MOVIMIENTOS!$C$5:$C$1005="M")*(MOVIMIENTOS!$D$5:$D$1005="jabas")*(MOVIMIENTOS!$A$5:$A$1005&lt;&gt;"")*(MOVIMIENTOS!$A$5:$A$1005&lt;=$A146)*MOVIMIENTOS!$E$5:$E$1005)+SUMPRODUCT((MOVIMIENTOS!$B$5:$B$1005="AJUSTE")*(MOVIMIENTOS!$C$5:$C$1005="M")*(MOVIMIENTOS!$D$5:$D$1005="jabas")*(MOVIMIENTOS!$A$5:$A$1005&lt;&gt;"")*(MOVIMIENTOS!$A$5:$A$1005&lt;=$A146)*MOVIMIENTOS!$E$5:$E$1005))</f>
        <v/>
      </c>
      <c r="F146" s="63" t="str">
        <f>IF($A146="","",SUMPRODUCT((MOVIMIENTOS!$B$5:$B$1005="SALDO INICIAL")*(MOVIMIENTOS!$C$5:$C$1005="Chancho")*(MOVIMIENTOS!$D$5:$D$1005="sacos")*(MOVIMIENTOS!$A$5:$A$1005&lt;&gt;"")*(MOVIMIENTOS!$A$5:$A$1005&lt;=$A146)*MOVIMIENTOS!$E$5:$E$1005)+SUMPRODUCT((MOVIMIENTOS!$B$5:$B$1005="PROCESO")*(MOVIMIENTOS!$C$5:$C$1005="Chancho")*(MOVIMIENTOS!$D$5:$D$1005="sacos")*(MOVIMIENTOS!$A$5:$A$1005&lt;&gt;"")*(MOVIMIENTOS!$A$5:$A$1005&lt;=$A146)*MOVIMIENTOS!$E$5:$E$1005)-SUMPRODUCT((MOVIMIENTOS!$B$5:$B$1005="VENTA CHANCHO")*(MOVIMIENTOS!$C$5:$C$1005="Chancho")*(MOVIMIENTOS!$D$5:$D$1005="sacos")*(MOVIMIENTOS!$A$5:$A$1005&lt;&gt;"")*(MOVIMIENTOS!$A$5:$A$1005&lt;=$A146)*MOVIMIENTOS!$E$5:$E$1005)-SUMPRODUCT((MOVIMIENTOS!$B$5:$B$1005="REGALO")*(MOVIMIENTOS!$C$5:$C$1005="Chancho")*(MOVIMIENTOS!$D$5:$D$1005="sacos")*(MOVIMIENTOS!$A$5:$A$1005&lt;&gt;"")*(MOVIMIENTOS!$A$5:$A$1005&lt;=$A146)*MOVIMIENTOS!$E$5:$E$1005)-SUMPRODUCT((MOVIMIENTOS!$B$5:$B$1005="VENTA")*(MOVIMIENTOS!$C$5:$C$1005="Chancho")*(MOVIMIENTOS!$D$5:$D$1005="sacos")*(MOVIMIENTOS!$A$5:$A$1005&lt;&gt;"")*(MOVIMIENTOS!$A$5:$A$1005&lt;=$A146)*MOVIMIENTOS!$E$5:$E$1005)+SUMPRODUCT((MOVIMIENTOS!$B$5:$B$1005="AJUSTE")*(MOVIMIENTOS!$C$5:$C$1005="Chancho")*(MOVIMIENTOS!$D$5:$D$1005="sacos")*(MOVIMIENTOS!$A$5:$A$1005&lt;&gt;"")*(MOVIMIENTOS!$A$5:$A$1005&lt;=$A146)*MOVIMIENTOS!$E$5:$E$1005))</f>
        <v/>
      </c>
      <c r="G146" s="95" t="str">
        <f t="shared" si="5"/>
        <v/>
      </c>
      <c r="H146" s="63" t="str">
        <f>IF($A146="","",SUMPRODUCT((((MOVIMIENTOS!$B$5:$B$1005="SALDO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146)*MOVIMIENTOS!$J$5:$J$1005))</f>
        <v/>
      </c>
      <c r="I146" s="63"/>
      <c r="J146" s="63" t="str">
        <f>IF(AND(MOVIMIENTOS!$A146&lt;&gt;"",COUNTIF(MOVIMIENTOS!$A$5:$A145,MOVIMIENTOS!$A146)=0),COUNT(J$4:J145)+1,"")</f>
        <v/>
      </c>
      <c r="K146" s="66">
        <f>MOVIMIENTOS!$A146</f>
        <v>46226</v>
      </c>
      <c r="L146" s="63"/>
      <c r="M146" s="63"/>
      <c r="N146" s="63"/>
    </row>
    <row r="147" spans="1:14" ht="15" customHeight="1" x14ac:dyDescent="0.2">
      <c r="A147" s="63" t="str">
        <f t="shared" si="4"/>
        <v/>
      </c>
      <c r="B147" s="63" t="str">
        <f>IF($A147="","",SUMPRODUCT((MOVIMIENTOS!$B$5:$B$1005="SALDO INICIAL")*(MOVIMIENTOS!$C$5:$C$1005="A")*(MOVIMIENTOS!$D$5:$D$1005="jabas")*(MOVIMIENTOS!$A$5:$A$1005&lt;&gt;"")*(MOVIMIENTOS!$A$5:$A$1005&lt;=$A147)*MOVIMIENTOS!$E$5:$E$1005)+SUMPRODUCT((MOVIMIENTOS!$B$5:$B$1005="PROCESO")*(MOVIMIENTOS!$C$5:$C$1005="A")*(MOVIMIENTOS!$D$5:$D$1005="jabas")*(MOVIMIENTOS!$A$5:$A$1005&lt;&gt;"")*(MOVIMIENTOS!$A$5:$A$1005&lt;=$A147)*MOVIMIENTOS!$E$5:$E$1005)-SUMPRODUCT((MOVIMIENTOS!$B$5:$B$1005="ENVÍO A SUPESA")*(MOVIMIENTOS!$C$5:$C$1005="A")*(MOVIMIENTOS!$D$5:$D$1005="jabas")*(MOVIMIENTOS!$A$5:$A$1005&lt;&gt;"")*(MOVIMIENTOS!$A$5:$A$1005&lt;=$A147)*MOVIMIENTOS!$E$5:$E$1005)+SUMPRODUCT((MOVIMIENTOS!$B$5:$B$1005="DEVOLUCIÓN")*(MOVIMIENTOS!$C$5:$C$1005="A")*(MOVIMIENTOS!$D$5:$D$1005="jabas")*(MOVIMIENTOS!$A$5:$A$1005&lt;&gt;"")*(MOVIMIENTOS!$A$5:$A$1005&lt;=$A147)*MOVIMIENTOS!$E$5:$E$1005)-SUMPRODUCT((MOVIMIENTOS!$B$5:$B$1005="TRASIEGO")*(MOVIMIENTOS!$C$5:$C$1005="A")*(MOVIMIENTOS!$D$5:$D$1005="jabas")*(MOVIMIENTOS!$A$5:$A$1005&lt;&gt;"")*(MOVIMIENTOS!$A$5:$A$1005&lt;=$A147)*MOVIMIENTOS!$E$5:$E$1005)-SUMPRODUCT((MOVIMIENTOS!$B$5:$B$1005="REGALO")*(MOVIMIENTOS!$C$5:$C$1005="A")*(MOVIMIENTOS!$D$5:$D$1005="jabas")*(MOVIMIENTOS!$A$5:$A$1005&lt;&gt;"")*(MOVIMIENTOS!$A$5:$A$1005&lt;=$A147)*MOVIMIENTOS!$E$5:$E$1005)-SUMPRODUCT((MOVIMIENTOS!$B$5:$B$1005="VENTA")*(MOVIMIENTOS!$C$5:$C$1005="A")*(MOVIMIENTOS!$D$5:$D$1005="jabas")*(MOVIMIENTOS!$A$5:$A$1005&lt;&gt;"")*(MOVIMIENTOS!$A$5:$A$1005&lt;=$A147)*MOVIMIENTOS!$E$5:$E$1005)+SUMPRODUCT((MOVIMIENTOS!$B$5:$B$1005="AJUSTE")*(MOVIMIENTOS!$C$5:$C$1005="A")*(MOVIMIENTOS!$D$5:$D$1005="jabas")*(MOVIMIENTOS!$A$5:$A$1005&lt;&gt;"")*(MOVIMIENTOS!$A$5:$A$1005&lt;=$A147)*MOVIMIENTOS!$E$5:$E$1005))</f>
        <v/>
      </c>
      <c r="C147" s="63" t="str">
        <f>IF($A147="","",SUMPRODUCT((MOVIMIENTOS!$B$5:$B$1005="SALDO INICIAL")*(MOVIMIENTOS!$C$5:$C$1005="P")*(MOVIMIENTOS!$D$5:$D$1005="jabas")*(MOVIMIENTOS!$A$5:$A$1005&lt;&gt;"")*(MOVIMIENTOS!$A$5:$A$1005&lt;=$A147)*MOVIMIENTOS!$E$5:$E$1005)+SUMPRODUCT((MOVIMIENTOS!$B$5:$B$1005="PROCESO")*(MOVIMIENTOS!$C$5:$C$1005="P")*(MOVIMIENTOS!$D$5:$D$1005="jabas")*(MOVIMIENTOS!$A$5:$A$1005&lt;&gt;"")*(MOVIMIENTOS!$A$5:$A$1005&lt;=$A147)*MOVIMIENTOS!$E$5:$E$1005)-SUMPRODUCT((MOVIMIENTOS!$B$5:$B$1005="ENVÍO A SUPESA")*(MOVIMIENTOS!$C$5:$C$1005="P")*(MOVIMIENTOS!$D$5:$D$1005="jabas")*(MOVIMIENTOS!$A$5:$A$1005&lt;&gt;"")*(MOVIMIENTOS!$A$5:$A$1005&lt;=$A147)*MOVIMIENTOS!$E$5:$E$1005)+SUMPRODUCT((MOVIMIENTOS!$B$5:$B$1005="DEVOLUCIÓN")*(MOVIMIENTOS!$C$5:$C$1005="P")*(MOVIMIENTOS!$D$5:$D$1005="jabas")*(MOVIMIENTOS!$A$5:$A$1005&lt;&gt;"")*(MOVIMIENTOS!$A$5:$A$1005&lt;=$A147)*MOVIMIENTOS!$E$5:$E$1005)-SUMPRODUCT((MOVIMIENTOS!$B$5:$B$1005="TRASIEGO")*(MOVIMIENTOS!$C$5:$C$1005="P")*(MOVIMIENTOS!$D$5:$D$1005="jabas")*(MOVIMIENTOS!$A$5:$A$1005&lt;&gt;"")*(MOVIMIENTOS!$A$5:$A$1005&lt;=$A147)*MOVIMIENTOS!$E$5:$E$1005)-SUMPRODUCT((MOVIMIENTOS!$B$5:$B$1005="REGALO")*(MOVIMIENTOS!$C$5:$C$1005="P")*(MOVIMIENTOS!$D$5:$D$1005="jabas")*(MOVIMIENTOS!$A$5:$A$1005&lt;&gt;"")*(MOVIMIENTOS!$A$5:$A$1005&lt;=$A147)*MOVIMIENTOS!$E$5:$E$1005)-SUMPRODUCT((MOVIMIENTOS!$B$5:$B$1005="VENTA")*(MOVIMIENTOS!$C$5:$C$1005="P")*(MOVIMIENTOS!$D$5:$D$1005="jabas")*(MOVIMIENTOS!$A$5:$A$1005&lt;&gt;"")*(MOVIMIENTOS!$A$5:$A$1005&lt;=$A147)*MOVIMIENTOS!$E$5:$E$1005)+SUMPRODUCT((MOVIMIENTOS!$B$5:$B$1005="AJUSTE")*(MOVIMIENTOS!$C$5:$C$1005="P")*(MOVIMIENTOS!$D$5:$D$1005="jabas")*(MOVIMIENTOS!$A$5:$A$1005&lt;&gt;"")*(MOVIMIENTOS!$A$5:$A$1005&lt;=$A147)*MOVIMIENTOS!$E$5:$E$1005))</f>
        <v/>
      </c>
      <c r="D147" s="63" t="str">
        <f>IF($A147="","",SUMPRODUCT((MOVIMIENTOS!$B$5:$B$1005="SALDO INICIAL")*(MOVIMIENTOS!$C$5:$C$1005="C")*(MOVIMIENTOS!$D$5:$D$1005="jabas")*(MOVIMIENTOS!$A$5:$A$1005&lt;&gt;"")*(MOVIMIENTOS!$A$5:$A$1005&lt;=$A147)*MOVIMIENTOS!$E$5:$E$1005)+SUMPRODUCT((MOVIMIENTOS!$B$5:$B$1005="PROCESO")*(MOVIMIENTOS!$C$5:$C$1005="C")*(MOVIMIENTOS!$D$5:$D$1005="jabas")*(MOVIMIENTOS!$A$5:$A$1005&lt;&gt;"")*(MOVIMIENTOS!$A$5:$A$1005&lt;=$A147)*MOVIMIENTOS!$E$5:$E$1005)-SUMPRODUCT((MOVIMIENTOS!$B$5:$B$1005="ENVÍO A SUPESA")*(MOVIMIENTOS!$C$5:$C$1005="C")*(MOVIMIENTOS!$D$5:$D$1005="jabas")*(MOVIMIENTOS!$A$5:$A$1005&lt;&gt;"")*(MOVIMIENTOS!$A$5:$A$1005&lt;=$A147)*MOVIMIENTOS!$E$5:$E$1005)+SUMPRODUCT((MOVIMIENTOS!$B$5:$B$1005="DEVOLUCIÓN")*(MOVIMIENTOS!$C$5:$C$1005="C")*(MOVIMIENTOS!$D$5:$D$1005="jabas")*(MOVIMIENTOS!$A$5:$A$1005&lt;&gt;"")*(MOVIMIENTOS!$A$5:$A$1005&lt;=$A147)*MOVIMIENTOS!$E$5:$E$1005)-SUMPRODUCT((MOVIMIENTOS!$B$5:$B$1005="TRASIEGO")*(MOVIMIENTOS!$C$5:$C$1005="C")*(MOVIMIENTOS!$D$5:$D$1005="jabas")*(MOVIMIENTOS!$A$5:$A$1005&lt;&gt;"")*(MOVIMIENTOS!$A$5:$A$1005&lt;=$A147)*MOVIMIENTOS!$E$5:$E$1005)-SUMPRODUCT((MOVIMIENTOS!$B$5:$B$1005="REGALO")*(MOVIMIENTOS!$C$5:$C$1005="C")*(MOVIMIENTOS!$D$5:$D$1005="jabas")*(MOVIMIENTOS!$A$5:$A$1005&lt;&gt;"")*(MOVIMIENTOS!$A$5:$A$1005&lt;=$A147)*MOVIMIENTOS!$E$5:$E$1005)-SUMPRODUCT((MOVIMIENTOS!$B$5:$B$1005="VENTA")*(MOVIMIENTOS!$C$5:$C$1005="C")*(MOVIMIENTOS!$D$5:$D$1005="jabas")*(MOVIMIENTOS!$A$5:$A$1005&lt;&gt;"")*(MOVIMIENTOS!$A$5:$A$1005&lt;=$A147)*MOVIMIENTOS!$E$5:$E$1005)+SUMPRODUCT((MOVIMIENTOS!$B$5:$B$1005="AJUSTE")*(MOVIMIENTOS!$C$5:$C$1005="C")*(MOVIMIENTOS!$D$5:$D$1005="jabas")*(MOVIMIENTOS!$A$5:$A$1005&lt;&gt;"")*(MOVIMIENTOS!$A$5:$A$1005&lt;=$A147)*MOVIMIENTOS!$E$5:$E$1005))</f>
        <v/>
      </c>
      <c r="E147" s="63" t="str">
        <f>IF($A147="","",SUMPRODUCT((MOVIMIENTOS!$B$5:$B$1005="SALDO INICIAL")*(MOVIMIENTOS!$C$5:$C$1005="M")*(MOVIMIENTOS!$D$5:$D$1005="jabas")*(MOVIMIENTOS!$A$5:$A$1005&lt;&gt;"")*(MOVIMIENTOS!$A$5:$A$1005&lt;=$A147)*MOVIMIENTOS!$E$5:$E$1005)+SUMPRODUCT((MOVIMIENTOS!$B$5:$B$1005="PROCESO")*(MOVIMIENTOS!$C$5:$C$1005="M")*(MOVIMIENTOS!$D$5:$D$1005="jabas")*(MOVIMIENTOS!$A$5:$A$1005&lt;&gt;"")*(MOVIMIENTOS!$A$5:$A$1005&lt;=$A147)*MOVIMIENTOS!$E$5:$E$1005)-SUMPRODUCT((MOVIMIENTOS!$B$5:$B$1005="ENVÍO A SUPESA")*(MOVIMIENTOS!$C$5:$C$1005="M")*(MOVIMIENTOS!$D$5:$D$1005="jabas")*(MOVIMIENTOS!$A$5:$A$1005&lt;&gt;"")*(MOVIMIENTOS!$A$5:$A$1005&lt;=$A147)*MOVIMIENTOS!$E$5:$E$1005)+SUMPRODUCT((MOVIMIENTOS!$B$5:$B$1005="DEVOLUCIÓN")*(MOVIMIENTOS!$C$5:$C$1005="M")*(MOVIMIENTOS!$D$5:$D$1005="jabas")*(MOVIMIENTOS!$A$5:$A$1005&lt;&gt;"")*(MOVIMIENTOS!$A$5:$A$1005&lt;=$A147)*MOVIMIENTOS!$E$5:$E$1005)-SUMPRODUCT((MOVIMIENTOS!$B$5:$B$1005="TRASIEGO")*(MOVIMIENTOS!$C$5:$C$1005="M")*(MOVIMIENTOS!$D$5:$D$1005="jabas")*(MOVIMIENTOS!$A$5:$A$1005&lt;&gt;"")*(MOVIMIENTOS!$A$5:$A$1005&lt;=$A147)*MOVIMIENTOS!$E$5:$E$1005)-SUMPRODUCT((MOVIMIENTOS!$B$5:$B$1005="REGALO")*(MOVIMIENTOS!$C$5:$C$1005="M")*(MOVIMIENTOS!$D$5:$D$1005="jabas")*(MOVIMIENTOS!$A$5:$A$1005&lt;&gt;"")*(MOVIMIENTOS!$A$5:$A$1005&lt;=$A147)*MOVIMIENTOS!$E$5:$E$1005)-SUMPRODUCT((MOVIMIENTOS!$B$5:$B$1005="VENTA")*(MOVIMIENTOS!$C$5:$C$1005="M")*(MOVIMIENTOS!$D$5:$D$1005="jabas")*(MOVIMIENTOS!$A$5:$A$1005&lt;&gt;"")*(MOVIMIENTOS!$A$5:$A$1005&lt;=$A147)*MOVIMIENTOS!$E$5:$E$1005)+SUMPRODUCT((MOVIMIENTOS!$B$5:$B$1005="AJUSTE")*(MOVIMIENTOS!$C$5:$C$1005="M")*(MOVIMIENTOS!$D$5:$D$1005="jabas")*(MOVIMIENTOS!$A$5:$A$1005&lt;&gt;"")*(MOVIMIENTOS!$A$5:$A$1005&lt;=$A147)*MOVIMIENTOS!$E$5:$E$1005))</f>
        <v/>
      </c>
      <c r="F147" s="63" t="str">
        <f>IF($A147="","",SUMPRODUCT((MOVIMIENTOS!$B$5:$B$1005="SALDO INICIAL")*(MOVIMIENTOS!$C$5:$C$1005="Chancho")*(MOVIMIENTOS!$D$5:$D$1005="sacos")*(MOVIMIENTOS!$A$5:$A$1005&lt;&gt;"")*(MOVIMIENTOS!$A$5:$A$1005&lt;=$A147)*MOVIMIENTOS!$E$5:$E$1005)+SUMPRODUCT((MOVIMIENTOS!$B$5:$B$1005="PROCESO")*(MOVIMIENTOS!$C$5:$C$1005="Chancho")*(MOVIMIENTOS!$D$5:$D$1005="sacos")*(MOVIMIENTOS!$A$5:$A$1005&lt;&gt;"")*(MOVIMIENTOS!$A$5:$A$1005&lt;=$A147)*MOVIMIENTOS!$E$5:$E$1005)-SUMPRODUCT((MOVIMIENTOS!$B$5:$B$1005="VENTA CHANCHO")*(MOVIMIENTOS!$C$5:$C$1005="Chancho")*(MOVIMIENTOS!$D$5:$D$1005="sacos")*(MOVIMIENTOS!$A$5:$A$1005&lt;&gt;"")*(MOVIMIENTOS!$A$5:$A$1005&lt;=$A147)*MOVIMIENTOS!$E$5:$E$1005)-SUMPRODUCT((MOVIMIENTOS!$B$5:$B$1005="REGALO")*(MOVIMIENTOS!$C$5:$C$1005="Chancho")*(MOVIMIENTOS!$D$5:$D$1005="sacos")*(MOVIMIENTOS!$A$5:$A$1005&lt;&gt;"")*(MOVIMIENTOS!$A$5:$A$1005&lt;=$A147)*MOVIMIENTOS!$E$5:$E$1005)-SUMPRODUCT((MOVIMIENTOS!$B$5:$B$1005="VENTA")*(MOVIMIENTOS!$C$5:$C$1005="Chancho")*(MOVIMIENTOS!$D$5:$D$1005="sacos")*(MOVIMIENTOS!$A$5:$A$1005&lt;&gt;"")*(MOVIMIENTOS!$A$5:$A$1005&lt;=$A147)*MOVIMIENTOS!$E$5:$E$1005)+SUMPRODUCT((MOVIMIENTOS!$B$5:$B$1005="AJUSTE")*(MOVIMIENTOS!$C$5:$C$1005="Chancho")*(MOVIMIENTOS!$D$5:$D$1005="sacos")*(MOVIMIENTOS!$A$5:$A$1005&lt;&gt;"")*(MOVIMIENTOS!$A$5:$A$1005&lt;=$A147)*MOVIMIENTOS!$E$5:$E$1005))</f>
        <v/>
      </c>
      <c r="G147" s="95" t="str">
        <f t="shared" si="5"/>
        <v/>
      </c>
      <c r="H147" s="63" t="str">
        <f>IF($A147="","",SUMPRODUCT((((MOVIMIENTOS!$B$5:$B$1005="SALDO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147)*MOVIMIENTOS!$J$5:$J$1005))</f>
        <v/>
      </c>
      <c r="I147" s="63"/>
      <c r="J147" s="63" t="str">
        <f>IF(AND(MOVIMIENTOS!$A147&lt;&gt;"",COUNTIF(MOVIMIENTOS!$A$5:$A146,MOVIMIENTOS!$A147)=0),COUNT(J$4:J146)+1,"")</f>
        <v/>
      </c>
      <c r="K147" s="66">
        <f>MOVIMIENTOS!$A147</f>
        <v>46226</v>
      </c>
      <c r="L147" s="63"/>
      <c r="M147" s="63"/>
      <c r="N147" s="63"/>
    </row>
    <row r="148" spans="1:14" ht="15" customHeight="1" x14ac:dyDescent="0.2">
      <c r="A148" s="63" t="str">
        <f t="shared" si="4"/>
        <v/>
      </c>
      <c r="B148" s="63" t="str">
        <f>IF($A148="","",SUMPRODUCT((MOVIMIENTOS!$B$5:$B$1005="SALDO INICIAL")*(MOVIMIENTOS!$C$5:$C$1005="A")*(MOVIMIENTOS!$D$5:$D$1005="jabas")*(MOVIMIENTOS!$A$5:$A$1005&lt;&gt;"")*(MOVIMIENTOS!$A$5:$A$1005&lt;=$A148)*MOVIMIENTOS!$E$5:$E$1005)+SUMPRODUCT((MOVIMIENTOS!$B$5:$B$1005="PROCESO")*(MOVIMIENTOS!$C$5:$C$1005="A")*(MOVIMIENTOS!$D$5:$D$1005="jabas")*(MOVIMIENTOS!$A$5:$A$1005&lt;&gt;"")*(MOVIMIENTOS!$A$5:$A$1005&lt;=$A148)*MOVIMIENTOS!$E$5:$E$1005)-SUMPRODUCT((MOVIMIENTOS!$B$5:$B$1005="ENVÍO A SUPESA")*(MOVIMIENTOS!$C$5:$C$1005="A")*(MOVIMIENTOS!$D$5:$D$1005="jabas")*(MOVIMIENTOS!$A$5:$A$1005&lt;&gt;"")*(MOVIMIENTOS!$A$5:$A$1005&lt;=$A148)*MOVIMIENTOS!$E$5:$E$1005)+SUMPRODUCT((MOVIMIENTOS!$B$5:$B$1005="DEVOLUCIÓN")*(MOVIMIENTOS!$C$5:$C$1005="A")*(MOVIMIENTOS!$D$5:$D$1005="jabas")*(MOVIMIENTOS!$A$5:$A$1005&lt;&gt;"")*(MOVIMIENTOS!$A$5:$A$1005&lt;=$A148)*MOVIMIENTOS!$E$5:$E$1005)-SUMPRODUCT((MOVIMIENTOS!$B$5:$B$1005="TRASIEGO")*(MOVIMIENTOS!$C$5:$C$1005="A")*(MOVIMIENTOS!$D$5:$D$1005="jabas")*(MOVIMIENTOS!$A$5:$A$1005&lt;&gt;"")*(MOVIMIENTOS!$A$5:$A$1005&lt;=$A148)*MOVIMIENTOS!$E$5:$E$1005)-SUMPRODUCT((MOVIMIENTOS!$B$5:$B$1005="REGALO")*(MOVIMIENTOS!$C$5:$C$1005="A")*(MOVIMIENTOS!$D$5:$D$1005="jabas")*(MOVIMIENTOS!$A$5:$A$1005&lt;&gt;"")*(MOVIMIENTOS!$A$5:$A$1005&lt;=$A148)*MOVIMIENTOS!$E$5:$E$1005)-SUMPRODUCT((MOVIMIENTOS!$B$5:$B$1005="VENTA")*(MOVIMIENTOS!$C$5:$C$1005="A")*(MOVIMIENTOS!$D$5:$D$1005="jabas")*(MOVIMIENTOS!$A$5:$A$1005&lt;&gt;"")*(MOVIMIENTOS!$A$5:$A$1005&lt;=$A148)*MOVIMIENTOS!$E$5:$E$1005)+SUMPRODUCT((MOVIMIENTOS!$B$5:$B$1005="AJUSTE")*(MOVIMIENTOS!$C$5:$C$1005="A")*(MOVIMIENTOS!$D$5:$D$1005="jabas")*(MOVIMIENTOS!$A$5:$A$1005&lt;&gt;"")*(MOVIMIENTOS!$A$5:$A$1005&lt;=$A148)*MOVIMIENTOS!$E$5:$E$1005))</f>
        <v/>
      </c>
      <c r="C148" s="63" t="str">
        <f>IF($A148="","",SUMPRODUCT((MOVIMIENTOS!$B$5:$B$1005="SALDO INICIAL")*(MOVIMIENTOS!$C$5:$C$1005="P")*(MOVIMIENTOS!$D$5:$D$1005="jabas")*(MOVIMIENTOS!$A$5:$A$1005&lt;&gt;"")*(MOVIMIENTOS!$A$5:$A$1005&lt;=$A148)*MOVIMIENTOS!$E$5:$E$1005)+SUMPRODUCT((MOVIMIENTOS!$B$5:$B$1005="PROCESO")*(MOVIMIENTOS!$C$5:$C$1005="P")*(MOVIMIENTOS!$D$5:$D$1005="jabas")*(MOVIMIENTOS!$A$5:$A$1005&lt;&gt;"")*(MOVIMIENTOS!$A$5:$A$1005&lt;=$A148)*MOVIMIENTOS!$E$5:$E$1005)-SUMPRODUCT((MOVIMIENTOS!$B$5:$B$1005="ENVÍO A SUPESA")*(MOVIMIENTOS!$C$5:$C$1005="P")*(MOVIMIENTOS!$D$5:$D$1005="jabas")*(MOVIMIENTOS!$A$5:$A$1005&lt;&gt;"")*(MOVIMIENTOS!$A$5:$A$1005&lt;=$A148)*MOVIMIENTOS!$E$5:$E$1005)+SUMPRODUCT((MOVIMIENTOS!$B$5:$B$1005="DEVOLUCIÓN")*(MOVIMIENTOS!$C$5:$C$1005="P")*(MOVIMIENTOS!$D$5:$D$1005="jabas")*(MOVIMIENTOS!$A$5:$A$1005&lt;&gt;"")*(MOVIMIENTOS!$A$5:$A$1005&lt;=$A148)*MOVIMIENTOS!$E$5:$E$1005)-SUMPRODUCT((MOVIMIENTOS!$B$5:$B$1005="TRASIEGO")*(MOVIMIENTOS!$C$5:$C$1005="P")*(MOVIMIENTOS!$D$5:$D$1005="jabas")*(MOVIMIENTOS!$A$5:$A$1005&lt;&gt;"")*(MOVIMIENTOS!$A$5:$A$1005&lt;=$A148)*MOVIMIENTOS!$E$5:$E$1005)-SUMPRODUCT((MOVIMIENTOS!$B$5:$B$1005="REGALO")*(MOVIMIENTOS!$C$5:$C$1005="P")*(MOVIMIENTOS!$D$5:$D$1005="jabas")*(MOVIMIENTOS!$A$5:$A$1005&lt;&gt;"")*(MOVIMIENTOS!$A$5:$A$1005&lt;=$A148)*MOVIMIENTOS!$E$5:$E$1005)-SUMPRODUCT((MOVIMIENTOS!$B$5:$B$1005="VENTA")*(MOVIMIENTOS!$C$5:$C$1005="P")*(MOVIMIENTOS!$D$5:$D$1005="jabas")*(MOVIMIENTOS!$A$5:$A$1005&lt;&gt;"")*(MOVIMIENTOS!$A$5:$A$1005&lt;=$A148)*MOVIMIENTOS!$E$5:$E$1005)+SUMPRODUCT((MOVIMIENTOS!$B$5:$B$1005="AJUSTE")*(MOVIMIENTOS!$C$5:$C$1005="P")*(MOVIMIENTOS!$D$5:$D$1005="jabas")*(MOVIMIENTOS!$A$5:$A$1005&lt;&gt;"")*(MOVIMIENTOS!$A$5:$A$1005&lt;=$A148)*MOVIMIENTOS!$E$5:$E$1005))</f>
        <v/>
      </c>
      <c r="D148" s="63" t="str">
        <f>IF($A148="","",SUMPRODUCT((MOVIMIENTOS!$B$5:$B$1005="SALDO INICIAL")*(MOVIMIENTOS!$C$5:$C$1005="C")*(MOVIMIENTOS!$D$5:$D$1005="jabas")*(MOVIMIENTOS!$A$5:$A$1005&lt;&gt;"")*(MOVIMIENTOS!$A$5:$A$1005&lt;=$A148)*MOVIMIENTOS!$E$5:$E$1005)+SUMPRODUCT((MOVIMIENTOS!$B$5:$B$1005="PROCESO")*(MOVIMIENTOS!$C$5:$C$1005="C")*(MOVIMIENTOS!$D$5:$D$1005="jabas")*(MOVIMIENTOS!$A$5:$A$1005&lt;&gt;"")*(MOVIMIENTOS!$A$5:$A$1005&lt;=$A148)*MOVIMIENTOS!$E$5:$E$1005)-SUMPRODUCT((MOVIMIENTOS!$B$5:$B$1005="ENVÍO A SUPESA")*(MOVIMIENTOS!$C$5:$C$1005="C")*(MOVIMIENTOS!$D$5:$D$1005="jabas")*(MOVIMIENTOS!$A$5:$A$1005&lt;&gt;"")*(MOVIMIENTOS!$A$5:$A$1005&lt;=$A148)*MOVIMIENTOS!$E$5:$E$1005)+SUMPRODUCT((MOVIMIENTOS!$B$5:$B$1005="DEVOLUCIÓN")*(MOVIMIENTOS!$C$5:$C$1005="C")*(MOVIMIENTOS!$D$5:$D$1005="jabas")*(MOVIMIENTOS!$A$5:$A$1005&lt;&gt;"")*(MOVIMIENTOS!$A$5:$A$1005&lt;=$A148)*MOVIMIENTOS!$E$5:$E$1005)-SUMPRODUCT((MOVIMIENTOS!$B$5:$B$1005="TRASIEGO")*(MOVIMIENTOS!$C$5:$C$1005="C")*(MOVIMIENTOS!$D$5:$D$1005="jabas")*(MOVIMIENTOS!$A$5:$A$1005&lt;&gt;"")*(MOVIMIENTOS!$A$5:$A$1005&lt;=$A148)*MOVIMIENTOS!$E$5:$E$1005)-SUMPRODUCT((MOVIMIENTOS!$B$5:$B$1005="REGALO")*(MOVIMIENTOS!$C$5:$C$1005="C")*(MOVIMIENTOS!$D$5:$D$1005="jabas")*(MOVIMIENTOS!$A$5:$A$1005&lt;&gt;"")*(MOVIMIENTOS!$A$5:$A$1005&lt;=$A148)*MOVIMIENTOS!$E$5:$E$1005)-SUMPRODUCT((MOVIMIENTOS!$B$5:$B$1005="VENTA")*(MOVIMIENTOS!$C$5:$C$1005="C")*(MOVIMIENTOS!$D$5:$D$1005="jabas")*(MOVIMIENTOS!$A$5:$A$1005&lt;&gt;"")*(MOVIMIENTOS!$A$5:$A$1005&lt;=$A148)*MOVIMIENTOS!$E$5:$E$1005)+SUMPRODUCT((MOVIMIENTOS!$B$5:$B$1005="AJUSTE")*(MOVIMIENTOS!$C$5:$C$1005="C")*(MOVIMIENTOS!$D$5:$D$1005="jabas")*(MOVIMIENTOS!$A$5:$A$1005&lt;&gt;"")*(MOVIMIENTOS!$A$5:$A$1005&lt;=$A148)*MOVIMIENTOS!$E$5:$E$1005))</f>
        <v/>
      </c>
      <c r="E148" s="63" t="str">
        <f>IF($A148="","",SUMPRODUCT((MOVIMIENTOS!$B$5:$B$1005="SALDO INICIAL")*(MOVIMIENTOS!$C$5:$C$1005="M")*(MOVIMIENTOS!$D$5:$D$1005="jabas")*(MOVIMIENTOS!$A$5:$A$1005&lt;&gt;"")*(MOVIMIENTOS!$A$5:$A$1005&lt;=$A148)*MOVIMIENTOS!$E$5:$E$1005)+SUMPRODUCT((MOVIMIENTOS!$B$5:$B$1005="PROCESO")*(MOVIMIENTOS!$C$5:$C$1005="M")*(MOVIMIENTOS!$D$5:$D$1005="jabas")*(MOVIMIENTOS!$A$5:$A$1005&lt;&gt;"")*(MOVIMIENTOS!$A$5:$A$1005&lt;=$A148)*MOVIMIENTOS!$E$5:$E$1005)-SUMPRODUCT((MOVIMIENTOS!$B$5:$B$1005="ENVÍO A SUPESA")*(MOVIMIENTOS!$C$5:$C$1005="M")*(MOVIMIENTOS!$D$5:$D$1005="jabas")*(MOVIMIENTOS!$A$5:$A$1005&lt;&gt;"")*(MOVIMIENTOS!$A$5:$A$1005&lt;=$A148)*MOVIMIENTOS!$E$5:$E$1005)+SUMPRODUCT((MOVIMIENTOS!$B$5:$B$1005="DEVOLUCIÓN")*(MOVIMIENTOS!$C$5:$C$1005="M")*(MOVIMIENTOS!$D$5:$D$1005="jabas")*(MOVIMIENTOS!$A$5:$A$1005&lt;&gt;"")*(MOVIMIENTOS!$A$5:$A$1005&lt;=$A148)*MOVIMIENTOS!$E$5:$E$1005)-SUMPRODUCT((MOVIMIENTOS!$B$5:$B$1005="TRASIEGO")*(MOVIMIENTOS!$C$5:$C$1005="M")*(MOVIMIENTOS!$D$5:$D$1005="jabas")*(MOVIMIENTOS!$A$5:$A$1005&lt;&gt;"")*(MOVIMIENTOS!$A$5:$A$1005&lt;=$A148)*MOVIMIENTOS!$E$5:$E$1005)-SUMPRODUCT((MOVIMIENTOS!$B$5:$B$1005="REGALO")*(MOVIMIENTOS!$C$5:$C$1005="M")*(MOVIMIENTOS!$D$5:$D$1005="jabas")*(MOVIMIENTOS!$A$5:$A$1005&lt;&gt;"")*(MOVIMIENTOS!$A$5:$A$1005&lt;=$A148)*MOVIMIENTOS!$E$5:$E$1005)-SUMPRODUCT((MOVIMIENTOS!$B$5:$B$1005="VENTA")*(MOVIMIENTOS!$C$5:$C$1005="M")*(MOVIMIENTOS!$D$5:$D$1005="jabas")*(MOVIMIENTOS!$A$5:$A$1005&lt;&gt;"")*(MOVIMIENTOS!$A$5:$A$1005&lt;=$A148)*MOVIMIENTOS!$E$5:$E$1005)+SUMPRODUCT((MOVIMIENTOS!$B$5:$B$1005="AJUSTE")*(MOVIMIENTOS!$C$5:$C$1005="M")*(MOVIMIENTOS!$D$5:$D$1005="jabas")*(MOVIMIENTOS!$A$5:$A$1005&lt;&gt;"")*(MOVIMIENTOS!$A$5:$A$1005&lt;=$A148)*MOVIMIENTOS!$E$5:$E$1005))</f>
        <v/>
      </c>
      <c r="F148" s="63" t="str">
        <f>IF($A148="","",SUMPRODUCT((MOVIMIENTOS!$B$5:$B$1005="SALDO INICIAL")*(MOVIMIENTOS!$C$5:$C$1005="Chancho")*(MOVIMIENTOS!$D$5:$D$1005="sacos")*(MOVIMIENTOS!$A$5:$A$1005&lt;&gt;"")*(MOVIMIENTOS!$A$5:$A$1005&lt;=$A148)*MOVIMIENTOS!$E$5:$E$1005)+SUMPRODUCT((MOVIMIENTOS!$B$5:$B$1005="PROCESO")*(MOVIMIENTOS!$C$5:$C$1005="Chancho")*(MOVIMIENTOS!$D$5:$D$1005="sacos")*(MOVIMIENTOS!$A$5:$A$1005&lt;&gt;"")*(MOVIMIENTOS!$A$5:$A$1005&lt;=$A148)*MOVIMIENTOS!$E$5:$E$1005)-SUMPRODUCT((MOVIMIENTOS!$B$5:$B$1005="VENTA CHANCHO")*(MOVIMIENTOS!$C$5:$C$1005="Chancho")*(MOVIMIENTOS!$D$5:$D$1005="sacos")*(MOVIMIENTOS!$A$5:$A$1005&lt;&gt;"")*(MOVIMIENTOS!$A$5:$A$1005&lt;=$A148)*MOVIMIENTOS!$E$5:$E$1005)-SUMPRODUCT((MOVIMIENTOS!$B$5:$B$1005="REGALO")*(MOVIMIENTOS!$C$5:$C$1005="Chancho")*(MOVIMIENTOS!$D$5:$D$1005="sacos")*(MOVIMIENTOS!$A$5:$A$1005&lt;&gt;"")*(MOVIMIENTOS!$A$5:$A$1005&lt;=$A148)*MOVIMIENTOS!$E$5:$E$1005)-SUMPRODUCT((MOVIMIENTOS!$B$5:$B$1005="VENTA")*(MOVIMIENTOS!$C$5:$C$1005="Chancho")*(MOVIMIENTOS!$D$5:$D$1005="sacos")*(MOVIMIENTOS!$A$5:$A$1005&lt;&gt;"")*(MOVIMIENTOS!$A$5:$A$1005&lt;=$A148)*MOVIMIENTOS!$E$5:$E$1005)+SUMPRODUCT((MOVIMIENTOS!$B$5:$B$1005="AJUSTE")*(MOVIMIENTOS!$C$5:$C$1005="Chancho")*(MOVIMIENTOS!$D$5:$D$1005="sacos")*(MOVIMIENTOS!$A$5:$A$1005&lt;&gt;"")*(MOVIMIENTOS!$A$5:$A$1005&lt;=$A148)*MOVIMIENTOS!$E$5:$E$1005))</f>
        <v/>
      </c>
      <c r="G148" s="95" t="str">
        <f t="shared" si="5"/>
        <v/>
      </c>
      <c r="H148" s="63" t="str">
        <f>IF($A148="","",SUMPRODUCT((((MOVIMIENTOS!$B$5:$B$1005="SALDO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148)*MOVIMIENTOS!$J$5:$J$1005))</f>
        <v/>
      </c>
      <c r="I148" s="63"/>
      <c r="J148" s="63" t="str">
        <f>IF(AND(MOVIMIENTOS!$A148&lt;&gt;"",COUNTIF(MOVIMIENTOS!$A$5:$A147,MOVIMIENTOS!$A148)=0),COUNT(J$4:J147)+1,"")</f>
        <v/>
      </c>
      <c r="K148" s="66">
        <f>MOVIMIENTOS!$A148</f>
        <v>46226</v>
      </c>
      <c r="L148" s="63"/>
      <c r="M148" s="63"/>
      <c r="N148" s="63"/>
    </row>
    <row r="149" spans="1:14" ht="15" customHeight="1" x14ac:dyDescent="0.2">
      <c r="A149" s="63" t="str">
        <f t="shared" si="4"/>
        <v/>
      </c>
      <c r="B149" s="63" t="str">
        <f>IF($A149="","",SUMPRODUCT((MOVIMIENTOS!$B$5:$B$1005="SALDO INICIAL")*(MOVIMIENTOS!$C$5:$C$1005="A")*(MOVIMIENTOS!$D$5:$D$1005="jabas")*(MOVIMIENTOS!$A$5:$A$1005&lt;&gt;"")*(MOVIMIENTOS!$A$5:$A$1005&lt;=$A149)*MOVIMIENTOS!$E$5:$E$1005)+SUMPRODUCT((MOVIMIENTOS!$B$5:$B$1005="PROCESO")*(MOVIMIENTOS!$C$5:$C$1005="A")*(MOVIMIENTOS!$D$5:$D$1005="jabas")*(MOVIMIENTOS!$A$5:$A$1005&lt;&gt;"")*(MOVIMIENTOS!$A$5:$A$1005&lt;=$A149)*MOVIMIENTOS!$E$5:$E$1005)-SUMPRODUCT((MOVIMIENTOS!$B$5:$B$1005="ENVÍO A SUPESA")*(MOVIMIENTOS!$C$5:$C$1005="A")*(MOVIMIENTOS!$D$5:$D$1005="jabas")*(MOVIMIENTOS!$A$5:$A$1005&lt;&gt;"")*(MOVIMIENTOS!$A$5:$A$1005&lt;=$A149)*MOVIMIENTOS!$E$5:$E$1005)+SUMPRODUCT((MOVIMIENTOS!$B$5:$B$1005="DEVOLUCIÓN")*(MOVIMIENTOS!$C$5:$C$1005="A")*(MOVIMIENTOS!$D$5:$D$1005="jabas")*(MOVIMIENTOS!$A$5:$A$1005&lt;&gt;"")*(MOVIMIENTOS!$A$5:$A$1005&lt;=$A149)*MOVIMIENTOS!$E$5:$E$1005)-SUMPRODUCT((MOVIMIENTOS!$B$5:$B$1005="TRASIEGO")*(MOVIMIENTOS!$C$5:$C$1005="A")*(MOVIMIENTOS!$D$5:$D$1005="jabas")*(MOVIMIENTOS!$A$5:$A$1005&lt;&gt;"")*(MOVIMIENTOS!$A$5:$A$1005&lt;=$A149)*MOVIMIENTOS!$E$5:$E$1005)-SUMPRODUCT((MOVIMIENTOS!$B$5:$B$1005="REGALO")*(MOVIMIENTOS!$C$5:$C$1005="A")*(MOVIMIENTOS!$D$5:$D$1005="jabas")*(MOVIMIENTOS!$A$5:$A$1005&lt;&gt;"")*(MOVIMIENTOS!$A$5:$A$1005&lt;=$A149)*MOVIMIENTOS!$E$5:$E$1005)-SUMPRODUCT((MOVIMIENTOS!$B$5:$B$1005="VENTA")*(MOVIMIENTOS!$C$5:$C$1005="A")*(MOVIMIENTOS!$D$5:$D$1005="jabas")*(MOVIMIENTOS!$A$5:$A$1005&lt;&gt;"")*(MOVIMIENTOS!$A$5:$A$1005&lt;=$A149)*MOVIMIENTOS!$E$5:$E$1005)+SUMPRODUCT((MOVIMIENTOS!$B$5:$B$1005="AJUSTE")*(MOVIMIENTOS!$C$5:$C$1005="A")*(MOVIMIENTOS!$D$5:$D$1005="jabas")*(MOVIMIENTOS!$A$5:$A$1005&lt;&gt;"")*(MOVIMIENTOS!$A$5:$A$1005&lt;=$A149)*MOVIMIENTOS!$E$5:$E$1005))</f>
        <v/>
      </c>
      <c r="C149" s="63" t="str">
        <f>IF($A149="","",SUMPRODUCT((MOVIMIENTOS!$B$5:$B$1005="SALDO INICIAL")*(MOVIMIENTOS!$C$5:$C$1005="P")*(MOVIMIENTOS!$D$5:$D$1005="jabas")*(MOVIMIENTOS!$A$5:$A$1005&lt;&gt;"")*(MOVIMIENTOS!$A$5:$A$1005&lt;=$A149)*MOVIMIENTOS!$E$5:$E$1005)+SUMPRODUCT((MOVIMIENTOS!$B$5:$B$1005="PROCESO")*(MOVIMIENTOS!$C$5:$C$1005="P")*(MOVIMIENTOS!$D$5:$D$1005="jabas")*(MOVIMIENTOS!$A$5:$A$1005&lt;&gt;"")*(MOVIMIENTOS!$A$5:$A$1005&lt;=$A149)*MOVIMIENTOS!$E$5:$E$1005)-SUMPRODUCT((MOVIMIENTOS!$B$5:$B$1005="ENVÍO A SUPESA")*(MOVIMIENTOS!$C$5:$C$1005="P")*(MOVIMIENTOS!$D$5:$D$1005="jabas")*(MOVIMIENTOS!$A$5:$A$1005&lt;&gt;"")*(MOVIMIENTOS!$A$5:$A$1005&lt;=$A149)*MOVIMIENTOS!$E$5:$E$1005)+SUMPRODUCT((MOVIMIENTOS!$B$5:$B$1005="DEVOLUCIÓN")*(MOVIMIENTOS!$C$5:$C$1005="P")*(MOVIMIENTOS!$D$5:$D$1005="jabas")*(MOVIMIENTOS!$A$5:$A$1005&lt;&gt;"")*(MOVIMIENTOS!$A$5:$A$1005&lt;=$A149)*MOVIMIENTOS!$E$5:$E$1005)-SUMPRODUCT((MOVIMIENTOS!$B$5:$B$1005="TRASIEGO")*(MOVIMIENTOS!$C$5:$C$1005="P")*(MOVIMIENTOS!$D$5:$D$1005="jabas")*(MOVIMIENTOS!$A$5:$A$1005&lt;&gt;"")*(MOVIMIENTOS!$A$5:$A$1005&lt;=$A149)*MOVIMIENTOS!$E$5:$E$1005)-SUMPRODUCT((MOVIMIENTOS!$B$5:$B$1005="REGALO")*(MOVIMIENTOS!$C$5:$C$1005="P")*(MOVIMIENTOS!$D$5:$D$1005="jabas")*(MOVIMIENTOS!$A$5:$A$1005&lt;&gt;"")*(MOVIMIENTOS!$A$5:$A$1005&lt;=$A149)*MOVIMIENTOS!$E$5:$E$1005)-SUMPRODUCT((MOVIMIENTOS!$B$5:$B$1005="VENTA")*(MOVIMIENTOS!$C$5:$C$1005="P")*(MOVIMIENTOS!$D$5:$D$1005="jabas")*(MOVIMIENTOS!$A$5:$A$1005&lt;&gt;"")*(MOVIMIENTOS!$A$5:$A$1005&lt;=$A149)*MOVIMIENTOS!$E$5:$E$1005)+SUMPRODUCT((MOVIMIENTOS!$B$5:$B$1005="AJUSTE")*(MOVIMIENTOS!$C$5:$C$1005="P")*(MOVIMIENTOS!$D$5:$D$1005="jabas")*(MOVIMIENTOS!$A$5:$A$1005&lt;&gt;"")*(MOVIMIENTOS!$A$5:$A$1005&lt;=$A149)*MOVIMIENTOS!$E$5:$E$1005))</f>
        <v/>
      </c>
      <c r="D149" s="63" t="str">
        <f>IF($A149="","",SUMPRODUCT((MOVIMIENTOS!$B$5:$B$1005="SALDO INICIAL")*(MOVIMIENTOS!$C$5:$C$1005="C")*(MOVIMIENTOS!$D$5:$D$1005="jabas")*(MOVIMIENTOS!$A$5:$A$1005&lt;&gt;"")*(MOVIMIENTOS!$A$5:$A$1005&lt;=$A149)*MOVIMIENTOS!$E$5:$E$1005)+SUMPRODUCT((MOVIMIENTOS!$B$5:$B$1005="PROCESO")*(MOVIMIENTOS!$C$5:$C$1005="C")*(MOVIMIENTOS!$D$5:$D$1005="jabas")*(MOVIMIENTOS!$A$5:$A$1005&lt;&gt;"")*(MOVIMIENTOS!$A$5:$A$1005&lt;=$A149)*MOVIMIENTOS!$E$5:$E$1005)-SUMPRODUCT((MOVIMIENTOS!$B$5:$B$1005="ENVÍO A SUPESA")*(MOVIMIENTOS!$C$5:$C$1005="C")*(MOVIMIENTOS!$D$5:$D$1005="jabas")*(MOVIMIENTOS!$A$5:$A$1005&lt;&gt;"")*(MOVIMIENTOS!$A$5:$A$1005&lt;=$A149)*MOVIMIENTOS!$E$5:$E$1005)+SUMPRODUCT((MOVIMIENTOS!$B$5:$B$1005="DEVOLUCIÓN")*(MOVIMIENTOS!$C$5:$C$1005="C")*(MOVIMIENTOS!$D$5:$D$1005="jabas")*(MOVIMIENTOS!$A$5:$A$1005&lt;&gt;"")*(MOVIMIENTOS!$A$5:$A$1005&lt;=$A149)*MOVIMIENTOS!$E$5:$E$1005)-SUMPRODUCT((MOVIMIENTOS!$B$5:$B$1005="TRASIEGO")*(MOVIMIENTOS!$C$5:$C$1005="C")*(MOVIMIENTOS!$D$5:$D$1005="jabas")*(MOVIMIENTOS!$A$5:$A$1005&lt;&gt;"")*(MOVIMIENTOS!$A$5:$A$1005&lt;=$A149)*MOVIMIENTOS!$E$5:$E$1005)-SUMPRODUCT((MOVIMIENTOS!$B$5:$B$1005="REGALO")*(MOVIMIENTOS!$C$5:$C$1005="C")*(MOVIMIENTOS!$D$5:$D$1005="jabas")*(MOVIMIENTOS!$A$5:$A$1005&lt;&gt;"")*(MOVIMIENTOS!$A$5:$A$1005&lt;=$A149)*MOVIMIENTOS!$E$5:$E$1005)-SUMPRODUCT((MOVIMIENTOS!$B$5:$B$1005="VENTA")*(MOVIMIENTOS!$C$5:$C$1005="C")*(MOVIMIENTOS!$D$5:$D$1005="jabas")*(MOVIMIENTOS!$A$5:$A$1005&lt;&gt;"")*(MOVIMIENTOS!$A$5:$A$1005&lt;=$A149)*MOVIMIENTOS!$E$5:$E$1005)+SUMPRODUCT((MOVIMIENTOS!$B$5:$B$1005="AJUSTE")*(MOVIMIENTOS!$C$5:$C$1005="C")*(MOVIMIENTOS!$D$5:$D$1005="jabas")*(MOVIMIENTOS!$A$5:$A$1005&lt;&gt;"")*(MOVIMIENTOS!$A$5:$A$1005&lt;=$A149)*MOVIMIENTOS!$E$5:$E$1005))</f>
        <v/>
      </c>
      <c r="E149" s="63" t="str">
        <f>IF($A149="","",SUMPRODUCT((MOVIMIENTOS!$B$5:$B$1005="SALDO INICIAL")*(MOVIMIENTOS!$C$5:$C$1005="M")*(MOVIMIENTOS!$D$5:$D$1005="jabas")*(MOVIMIENTOS!$A$5:$A$1005&lt;&gt;"")*(MOVIMIENTOS!$A$5:$A$1005&lt;=$A149)*MOVIMIENTOS!$E$5:$E$1005)+SUMPRODUCT((MOVIMIENTOS!$B$5:$B$1005="PROCESO")*(MOVIMIENTOS!$C$5:$C$1005="M")*(MOVIMIENTOS!$D$5:$D$1005="jabas")*(MOVIMIENTOS!$A$5:$A$1005&lt;&gt;"")*(MOVIMIENTOS!$A$5:$A$1005&lt;=$A149)*MOVIMIENTOS!$E$5:$E$1005)-SUMPRODUCT((MOVIMIENTOS!$B$5:$B$1005="ENVÍO A SUPESA")*(MOVIMIENTOS!$C$5:$C$1005="M")*(MOVIMIENTOS!$D$5:$D$1005="jabas")*(MOVIMIENTOS!$A$5:$A$1005&lt;&gt;"")*(MOVIMIENTOS!$A$5:$A$1005&lt;=$A149)*MOVIMIENTOS!$E$5:$E$1005)+SUMPRODUCT((MOVIMIENTOS!$B$5:$B$1005="DEVOLUCIÓN")*(MOVIMIENTOS!$C$5:$C$1005="M")*(MOVIMIENTOS!$D$5:$D$1005="jabas")*(MOVIMIENTOS!$A$5:$A$1005&lt;&gt;"")*(MOVIMIENTOS!$A$5:$A$1005&lt;=$A149)*MOVIMIENTOS!$E$5:$E$1005)-SUMPRODUCT((MOVIMIENTOS!$B$5:$B$1005="TRASIEGO")*(MOVIMIENTOS!$C$5:$C$1005="M")*(MOVIMIENTOS!$D$5:$D$1005="jabas")*(MOVIMIENTOS!$A$5:$A$1005&lt;&gt;"")*(MOVIMIENTOS!$A$5:$A$1005&lt;=$A149)*MOVIMIENTOS!$E$5:$E$1005)-SUMPRODUCT((MOVIMIENTOS!$B$5:$B$1005="REGALO")*(MOVIMIENTOS!$C$5:$C$1005="M")*(MOVIMIENTOS!$D$5:$D$1005="jabas")*(MOVIMIENTOS!$A$5:$A$1005&lt;&gt;"")*(MOVIMIENTOS!$A$5:$A$1005&lt;=$A149)*MOVIMIENTOS!$E$5:$E$1005)-SUMPRODUCT((MOVIMIENTOS!$B$5:$B$1005="VENTA")*(MOVIMIENTOS!$C$5:$C$1005="M")*(MOVIMIENTOS!$D$5:$D$1005="jabas")*(MOVIMIENTOS!$A$5:$A$1005&lt;&gt;"")*(MOVIMIENTOS!$A$5:$A$1005&lt;=$A149)*MOVIMIENTOS!$E$5:$E$1005)+SUMPRODUCT((MOVIMIENTOS!$B$5:$B$1005="AJUSTE")*(MOVIMIENTOS!$C$5:$C$1005="M")*(MOVIMIENTOS!$D$5:$D$1005="jabas")*(MOVIMIENTOS!$A$5:$A$1005&lt;&gt;"")*(MOVIMIENTOS!$A$5:$A$1005&lt;=$A149)*MOVIMIENTOS!$E$5:$E$1005))</f>
        <v/>
      </c>
      <c r="F149" s="63" t="str">
        <f>IF($A149="","",SUMPRODUCT((MOVIMIENTOS!$B$5:$B$1005="SALDO INICIAL")*(MOVIMIENTOS!$C$5:$C$1005="Chancho")*(MOVIMIENTOS!$D$5:$D$1005="sacos")*(MOVIMIENTOS!$A$5:$A$1005&lt;&gt;"")*(MOVIMIENTOS!$A$5:$A$1005&lt;=$A149)*MOVIMIENTOS!$E$5:$E$1005)+SUMPRODUCT((MOVIMIENTOS!$B$5:$B$1005="PROCESO")*(MOVIMIENTOS!$C$5:$C$1005="Chancho")*(MOVIMIENTOS!$D$5:$D$1005="sacos")*(MOVIMIENTOS!$A$5:$A$1005&lt;&gt;"")*(MOVIMIENTOS!$A$5:$A$1005&lt;=$A149)*MOVIMIENTOS!$E$5:$E$1005)-SUMPRODUCT((MOVIMIENTOS!$B$5:$B$1005="VENTA CHANCHO")*(MOVIMIENTOS!$C$5:$C$1005="Chancho")*(MOVIMIENTOS!$D$5:$D$1005="sacos")*(MOVIMIENTOS!$A$5:$A$1005&lt;&gt;"")*(MOVIMIENTOS!$A$5:$A$1005&lt;=$A149)*MOVIMIENTOS!$E$5:$E$1005)-SUMPRODUCT((MOVIMIENTOS!$B$5:$B$1005="REGALO")*(MOVIMIENTOS!$C$5:$C$1005="Chancho")*(MOVIMIENTOS!$D$5:$D$1005="sacos")*(MOVIMIENTOS!$A$5:$A$1005&lt;&gt;"")*(MOVIMIENTOS!$A$5:$A$1005&lt;=$A149)*MOVIMIENTOS!$E$5:$E$1005)-SUMPRODUCT((MOVIMIENTOS!$B$5:$B$1005="VENTA")*(MOVIMIENTOS!$C$5:$C$1005="Chancho")*(MOVIMIENTOS!$D$5:$D$1005="sacos")*(MOVIMIENTOS!$A$5:$A$1005&lt;&gt;"")*(MOVIMIENTOS!$A$5:$A$1005&lt;=$A149)*MOVIMIENTOS!$E$5:$E$1005)+SUMPRODUCT((MOVIMIENTOS!$B$5:$B$1005="AJUSTE")*(MOVIMIENTOS!$C$5:$C$1005="Chancho")*(MOVIMIENTOS!$D$5:$D$1005="sacos")*(MOVIMIENTOS!$A$5:$A$1005&lt;&gt;"")*(MOVIMIENTOS!$A$5:$A$1005&lt;=$A149)*MOVIMIENTOS!$E$5:$E$1005))</f>
        <v/>
      </c>
      <c r="G149" s="95" t="str">
        <f t="shared" si="5"/>
        <v/>
      </c>
      <c r="H149" s="63" t="str">
        <f>IF($A149="","",SUMPRODUCT((((MOVIMIENTOS!$B$5:$B$1005="SALDO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149)*MOVIMIENTOS!$J$5:$J$1005))</f>
        <v/>
      </c>
      <c r="I149" s="63"/>
      <c r="J149" s="63" t="str">
        <f>IF(AND(MOVIMIENTOS!$A149&lt;&gt;"",COUNTIF(MOVIMIENTOS!$A$5:$A148,MOVIMIENTOS!$A149)=0),COUNT(J$4:J148)+1,"")</f>
        <v/>
      </c>
      <c r="K149" s="66">
        <f>MOVIMIENTOS!$A149</f>
        <v>46226</v>
      </c>
      <c r="L149" s="63"/>
      <c r="M149" s="63"/>
      <c r="N149" s="63"/>
    </row>
    <row r="150" spans="1:14" ht="15" customHeight="1" x14ac:dyDescent="0.2">
      <c r="A150" s="63" t="str">
        <f t="shared" si="4"/>
        <v/>
      </c>
      <c r="B150" s="63" t="str">
        <f>IF($A150="","",SUMPRODUCT((MOVIMIENTOS!$B$5:$B$1005="SALDO INICIAL")*(MOVIMIENTOS!$C$5:$C$1005="A")*(MOVIMIENTOS!$D$5:$D$1005="jabas")*(MOVIMIENTOS!$A$5:$A$1005&lt;&gt;"")*(MOVIMIENTOS!$A$5:$A$1005&lt;=$A150)*MOVIMIENTOS!$E$5:$E$1005)+SUMPRODUCT((MOVIMIENTOS!$B$5:$B$1005="PROCESO")*(MOVIMIENTOS!$C$5:$C$1005="A")*(MOVIMIENTOS!$D$5:$D$1005="jabas")*(MOVIMIENTOS!$A$5:$A$1005&lt;&gt;"")*(MOVIMIENTOS!$A$5:$A$1005&lt;=$A150)*MOVIMIENTOS!$E$5:$E$1005)-SUMPRODUCT((MOVIMIENTOS!$B$5:$B$1005="ENVÍO A SUPESA")*(MOVIMIENTOS!$C$5:$C$1005="A")*(MOVIMIENTOS!$D$5:$D$1005="jabas")*(MOVIMIENTOS!$A$5:$A$1005&lt;&gt;"")*(MOVIMIENTOS!$A$5:$A$1005&lt;=$A150)*MOVIMIENTOS!$E$5:$E$1005)+SUMPRODUCT((MOVIMIENTOS!$B$5:$B$1005="DEVOLUCIÓN")*(MOVIMIENTOS!$C$5:$C$1005="A")*(MOVIMIENTOS!$D$5:$D$1005="jabas")*(MOVIMIENTOS!$A$5:$A$1005&lt;&gt;"")*(MOVIMIENTOS!$A$5:$A$1005&lt;=$A150)*MOVIMIENTOS!$E$5:$E$1005)-SUMPRODUCT((MOVIMIENTOS!$B$5:$B$1005="TRASIEGO")*(MOVIMIENTOS!$C$5:$C$1005="A")*(MOVIMIENTOS!$D$5:$D$1005="jabas")*(MOVIMIENTOS!$A$5:$A$1005&lt;&gt;"")*(MOVIMIENTOS!$A$5:$A$1005&lt;=$A150)*MOVIMIENTOS!$E$5:$E$1005)-SUMPRODUCT((MOVIMIENTOS!$B$5:$B$1005="REGALO")*(MOVIMIENTOS!$C$5:$C$1005="A")*(MOVIMIENTOS!$D$5:$D$1005="jabas")*(MOVIMIENTOS!$A$5:$A$1005&lt;&gt;"")*(MOVIMIENTOS!$A$5:$A$1005&lt;=$A150)*MOVIMIENTOS!$E$5:$E$1005)-SUMPRODUCT((MOVIMIENTOS!$B$5:$B$1005="VENTA")*(MOVIMIENTOS!$C$5:$C$1005="A")*(MOVIMIENTOS!$D$5:$D$1005="jabas")*(MOVIMIENTOS!$A$5:$A$1005&lt;&gt;"")*(MOVIMIENTOS!$A$5:$A$1005&lt;=$A150)*MOVIMIENTOS!$E$5:$E$1005)+SUMPRODUCT((MOVIMIENTOS!$B$5:$B$1005="AJUSTE")*(MOVIMIENTOS!$C$5:$C$1005="A")*(MOVIMIENTOS!$D$5:$D$1005="jabas")*(MOVIMIENTOS!$A$5:$A$1005&lt;&gt;"")*(MOVIMIENTOS!$A$5:$A$1005&lt;=$A150)*MOVIMIENTOS!$E$5:$E$1005))</f>
        <v/>
      </c>
      <c r="C150" s="63" t="str">
        <f>IF($A150="","",SUMPRODUCT((MOVIMIENTOS!$B$5:$B$1005="SALDO INICIAL")*(MOVIMIENTOS!$C$5:$C$1005="P")*(MOVIMIENTOS!$D$5:$D$1005="jabas")*(MOVIMIENTOS!$A$5:$A$1005&lt;&gt;"")*(MOVIMIENTOS!$A$5:$A$1005&lt;=$A150)*MOVIMIENTOS!$E$5:$E$1005)+SUMPRODUCT((MOVIMIENTOS!$B$5:$B$1005="PROCESO")*(MOVIMIENTOS!$C$5:$C$1005="P")*(MOVIMIENTOS!$D$5:$D$1005="jabas")*(MOVIMIENTOS!$A$5:$A$1005&lt;&gt;"")*(MOVIMIENTOS!$A$5:$A$1005&lt;=$A150)*MOVIMIENTOS!$E$5:$E$1005)-SUMPRODUCT((MOVIMIENTOS!$B$5:$B$1005="ENVÍO A SUPESA")*(MOVIMIENTOS!$C$5:$C$1005="P")*(MOVIMIENTOS!$D$5:$D$1005="jabas")*(MOVIMIENTOS!$A$5:$A$1005&lt;&gt;"")*(MOVIMIENTOS!$A$5:$A$1005&lt;=$A150)*MOVIMIENTOS!$E$5:$E$1005)+SUMPRODUCT((MOVIMIENTOS!$B$5:$B$1005="DEVOLUCIÓN")*(MOVIMIENTOS!$C$5:$C$1005="P")*(MOVIMIENTOS!$D$5:$D$1005="jabas")*(MOVIMIENTOS!$A$5:$A$1005&lt;&gt;"")*(MOVIMIENTOS!$A$5:$A$1005&lt;=$A150)*MOVIMIENTOS!$E$5:$E$1005)-SUMPRODUCT((MOVIMIENTOS!$B$5:$B$1005="TRASIEGO")*(MOVIMIENTOS!$C$5:$C$1005="P")*(MOVIMIENTOS!$D$5:$D$1005="jabas")*(MOVIMIENTOS!$A$5:$A$1005&lt;&gt;"")*(MOVIMIENTOS!$A$5:$A$1005&lt;=$A150)*MOVIMIENTOS!$E$5:$E$1005)-SUMPRODUCT((MOVIMIENTOS!$B$5:$B$1005="REGALO")*(MOVIMIENTOS!$C$5:$C$1005="P")*(MOVIMIENTOS!$D$5:$D$1005="jabas")*(MOVIMIENTOS!$A$5:$A$1005&lt;&gt;"")*(MOVIMIENTOS!$A$5:$A$1005&lt;=$A150)*MOVIMIENTOS!$E$5:$E$1005)-SUMPRODUCT((MOVIMIENTOS!$B$5:$B$1005="VENTA")*(MOVIMIENTOS!$C$5:$C$1005="P")*(MOVIMIENTOS!$D$5:$D$1005="jabas")*(MOVIMIENTOS!$A$5:$A$1005&lt;&gt;"")*(MOVIMIENTOS!$A$5:$A$1005&lt;=$A150)*MOVIMIENTOS!$E$5:$E$1005)+SUMPRODUCT((MOVIMIENTOS!$B$5:$B$1005="AJUSTE")*(MOVIMIENTOS!$C$5:$C$1005="P")*(MOVIMIENTOS!$D$5:$D$1005="jabas")*(MOVIMIENTOS!$A$5:$A$1005&lt;&gt;"")*(MOVIMIENTOS!$A$5:$A$1005&lt;=$A150)*MOVIMIENTOS!$E$5:$E$1005))</f>
        <v/>
      </c>
      <c r="D150" s="63" t="str">
        <f>IF($A150="","",SUMPRODUCT((MOVIMIENTOS!$B$5:$B$1005="SALDO INICIAL")*(MOVIMIENTOS!$C$5:$C$1005="C")*(MOVIMIENTOS!$D$5:$D$1005="jabas")*(MOVIMIENTOS!$A$5:$A$1005&lt;&gt;"")*(MOVIMIENTOS!$A$5:$A$1005&lt;=$A150)*MOVIMIENTOS!$E$5:$E$1005)+SUMPRODUCT((MOVIMIENTOS!$B$5:$B$1005="PROCESO")*(MOVIMIENTOS!$C$5:$C$1005="C")*(MOVIMIENTOS!$D$5:$D$1005="jabas")*(MOVIMIENTOS!$A$5:$A$1005&lt;&gt;"")*(MOVIMIENTOS!$A$5:$A$1005&lt;=$A150)*MOVIMIENTOS!$E$5:$E$1005)-SUMPRODUCT((MOVIMIENTOS!$B$5:$B$1005="ENVÍO A SUPESA")*(MOVIMIENTOS!$C$5:$C$1005="C")*(MOVIMIENTOS!$D$5:$D$1005="jabas")*(MOVIMIENTOS!$A$5:$A$1005&lt;&gt;"")*(MOVIMIENTOS!$A$5:$A$1005&lt;=$A150)*MOVIMIENTOS!$E$5:$E$1005)+SUMPRODUCT((MOVIMIENTOS!$B$5:$B$1005="DEVOLUCIÓN")*(MOVIMIENTOS!$C$5:$C$1005="C")*(MOVIMIENTOS!$D$5:$D$1005="jabas")*(MOVIMIENTOS!$A$5:$A$1005&lt;&gt;"")*(MOVIMIENTOS!$A$5:$A$1005&lt;=$A150)*MOVIMIENTOS!$E$5:$E$1005)-SUMPRODUCT((MOVIMIENTOS!$B$5:$B$1005="TRASIEGO")*(MOVIMIENTOS!$C$5:$C$1005="C")*(MOVIMIENTOS!$D$5:$D$1005="jabas")*(MOVIMIENTOS!$A$5:$A$1005&lt;&gt;"")*(MOVIMIENTOS!$A$5:$A$1005&lt;=$A150)*MOVIMIENTOS!$E$5:$E$1005)-SUMPRODUCT((MOVIMIENTOS!$B$5:$B$1005="REGALO")*(MOVIMIENTOS!$C$5:$C$1005="C")*(MOVIMIENTOS!$D$5:$D$1005="jabas")*(MOVIMIENTOS!$A$5:$A$1005&lt;&gt;"")*(MOVIMIENTOS!$A$5:$A$1005&lt;=$A150)*MOVIMIENTOS!$E$5:$E$1005)-SUMPRODUCT((MOVIMIENTOS!$B$5:$B$1005="VENTA")*(MOVIMIENTOS!$C$5:$C$1005="C")*(MOVIMIENTOS!$D$5:$D$1005="jabas")*(MOVIMIENTOS!$A$5:$A$1005&lt;&gt;"")*(MOVIMIENTOS!$A$5:$A$1005&lt;=$A150)*MOVIMIENTOS!$E$5:$E$1005)+SUMPRODUCT((MOVIMIENTOS!$B$5:$B$1005="AJUSTE")*(MOVIMIENTOS!$C$5:$C$1005="C")*(MOVIMIENTOS!$D$5:$D$1005="jabas")*(MOVIMIENTOS!$A$5:$A$1005&lt;&gt;"")*(MOVIMIENTOS!$A$5:$A$1005&lt;=$A150)*MOVIMIENTOS!$E$5:$E$1005))</f>
        <v/>
      </c>
      <c r="E150" s="63" t="str">
        <f>IF($A150="","",SUMPRODUCT((MOVIMIENTOS!$B$5:$B$1005="SALDO INICIAL")*(MOVIMIENTOS!$C$5:$C$1005="M")*(MOVIMIENTOS!$D$5:$D$1005="jabas")*(MOVIMIENTOS!$A$5:$A$1005&lt;&gt;"")*(MOVIMIENTOS!$A$5:$A$1005&lt;=$A150)*MOVIMIENTOS!$E$5:$E$1005)+SUMPRODUCT((MOVIMIENTOS!$B$5:$B$1005="PROCESO")*(MOVIMIENTOS!$C$5:$C$1005="M")*(MOVIMIENTOS!$D$5:$D$1005="jabas")*(MOVIMIENTOS!$A$5:$A$1005&lt;&gt;"")*(MOVIMIENTOS!$A$5:$A$1005&lt;=$A150)*MOVIMIENTOS!$E$5:$E$1005)-SUMPRODUCT((MOVIMIENTOS!$B$5:$B$1005="ENVÍO A SUPESA")*(MOVIMIENTOS!$C$5:$C$1005="M")*(MOVIMIENTOS!$D$5:$D$1005="jabas")*(MOVIMIENTOS!$A$5:$A$1005&lt;&gt;"")*(MOVIMIENTOS!$A$5:$A$1005&lt;=$A150)*MOVIMIENTOS!$E$5:$E$1005)+SUMPRODUCT((MOVIMIENTOS!$B$5:$B$1005="DEVOLUCIÓN")*(MOVIMIENTOS!$C$5:$C$1005="M")*(MOVIMIENTOS!$D$5:$D$1005="jabas")*(MOVIMIENTOS!$A$5:$A$1005&lt;&gt;"")*(MOVIMIENTOS!$A$5:$A$1005&lt;=$A150)*MOVIMIENTOS!$E$5:$E$1005)-SUMPRODUCT((MOVIMIENTOS!$B$5:$B$1005="TRASIEGO")*(MOVIMIENTOS!$C$5:$C$1005="M")*(MOVIMIENTOS!$D$5:$D$1005="jabas")*(MOVIMIENTOS!$A$5:$A$1005&lt;&gt;"")*(MOVIMIENTOS!$A$5:$A$1005&lt;=$A150)*MOVIMIENTOS!$E$5:$E$1005)-SUMPRODUCT((MOVIMIENTOS!$B$5:$B$1005="REGALO")*(MOVIMIENTOS!$C$5:$C$1005="M")*(MOVIMIENTOS!$D$5:$D$1005="jabas")*(MOVIMIENTOS!$A$5:$A$1005&lt;&gt;"")*(MOVIMIENTOS!$A$5:$A$1005&lt;=$A150)*MOVIMIENTOS!$E$5:$E$1005)-SUMPRODUCT((MOVIMIENTOS!$B$5:$B$1005="VENTA")*(MOVIMIENTOS!$C$5:$C$1005="M")*(MOVIMIENTOS!$D$5:$D$1005="jabas")*(MOVIMIENTOS!$A$5:$A$1005&lt;&gt;"")*(MOVIMIENTOS!$A$5:$A$1005&lt;=$A150)*MOVIMIENTOS!$E$5:$E$1005)+SUMPRODUCT((MOVIMIENTOS!$B$5:$B$1005="AJUSTE")*(MOVIMIENTOS!$C$5:$C$1005="M")*(MOVIMIENTOS!$D$5:$D$1005="jabas")*(MOVIMIENTOS!$A$5:$A$1005&lt;&gt;"")*(MOVIMIENTOS!$A$5:$A$1005&lt;=$A150)*MOVIMIENTOS!$E$5:$E$1005))</f>
        <v/>
      </c>
      <c r="F150" s="63" t="str">
        <f>IF($A150="","",SUMPRODUCT((MOVIMIENTOS!$B$5:$B$1005="SALDO INICIAL")*(MOVIMIENTOS!$C$5:$C$1005="Chancho")*(MOVIMIENTOS!$D$5:$D$1005="sacos")*(MOVIMIENTOS!$A$5:$A$1005&lt;&gt;"")*(MOVIMIENTOS!$A$5:$A$1005&lt;=$A150)*MOVIMIENTOS!$E$5:$E$1005)+SUMPRODUCT((MOVIMIENTOS!$B$5:$B$1005="PROCESO")*(MOVIMIENTOS!$C$5:$C$1005="Chancho")*(MOVIMIENTOS!$D$5:$D$1005="sacos")*(MOVIMIENTOS!$A$5:$A$1005&lt;&gt;"")*(MOVIMIENTOS!$A$5:$A$1005&lt;=$A150)*MOVIMIENTOS!$E$5:$E$1005)-SUMPRODUCT((MOVIMIENTOS!$B$5:$B$1005="VENTA CHANCHO")*(MOVIMIENTOS!$C$5:$C$1005="Chancho")*(MOVIMIENTOS!$D$5:$D$1005="sacos")*(MOVIMIENTOS!$A$5:$A$1005&lt;&gt;"")*(MOVIMIENTOS!$A$5:$A$1005&lt;=$A150)*MOVIMIENTOS!$E$5:$E$1005)-SUMPRODUCT((MOVIMIENTOS!$B$5:$B$1005="REGALO")*(MOVIMIENTOS!$C$5:$C$1005="Chancho")*(MOVIMIENTOS!$D$5:$D$1005="sacos")*(MOVIMIENTOS!$A$5:$A$1005&lt;&gt;"")*(MOVIMIENTOS!$A$5:$A$1005&lt;=$A150)*MOVIMIENTOS!$E$5:$E$1005)-SUMPRODUCT((MOVIMIENTOS!$B$5:$B$1005="VENTA")*(MOVIMIENTOS!$C$5:$C$1005="Chancho")*(MOVIMIENTOS!$D$5:$D$1005="sacos")*(MOVIMIENTOS!$A$5:$A$1005&lt;&gt;"")*(MOVIMIENTOS!$A$5:$A$1005&lt;=$A150)*MOVIMIENTOS!$E$5:$E$1005)+SUMPRODUCT((MOVIMIENTOS!$B$5:$B$1005="AJUSTE")*(MOVIMIENTOS!$C$5:$C$1005="Chancho")*(MOVIMIENTOS!$D$5:$D$1005="sacos")*(MOVIMIENTOS!$A$5:$A$1005&lt;&gt;"")*(MOVIMIENTOS!$A$5:$A$1005&lt;=$A150)*MOVIMIENTOS!$E$5:$E$1005))</f>
        <v/>
      </c>
      <c r="G150" s="95" t="str">
        <f t="shared" si="5"/>
        <v/>
      </c>
      <c r="H150" s="63" t="str">
        <f>IF($A150="","",SUMPRODUCT((((MOVIMIENTOS!$B$5:$B$1005="SALDO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150)*MOVIMIENTOS!$J$5:$J$1005))</f>
        <v/>
      </c>
      <c r="I150" s="63"/>
      <c r="J150" s="63" t="str">
        <f>IF(AND(MOVIMIENTOS!$A150&lt;&gt;"",COUNTIF(MOVIMIENTOS!$A$5:$A149,MOVIMIENTOS!$A150)=0),COUNT(J$4:J149)+1,"")</f>
        <v/>
      </c>
      <c r="K150" s="66">
        <f>MOVIMIENTOS!$A150</f>
        <v>46226</v>
      </c>
      <c r="L150" s="63"/>
      <c r="M150" s="63"/>
      <c r="N150" s="63"/>
    </row>
    <row r="151" spans="1:14" ht="15" customHeight="1" x14ac:dyDescent="0.2">
      <c r="A151" s="63" t="str">
        <f t="shared" si="4"/>
        <v/>
      </c>
      <c r="B151" s="63" t="str">
        <f>IF($A151="","",SUMPRODUCT((MOVIMIENTOS!$B$5:$B$1005="SALDO INICIAL")*(MOVIMIENTOS!$C$5:$C$1005="A")*(MOVIMIENTOS!$D$5:$D$1005="jabas")*(MOVIMIENTOS!$A$5:$A$1005&lt;&gt;"")*(MOVIMIENTOS!$A$5:$A$1005&lt;=$A151)*MOVIMIENTOS!$E$5:$E$1005)+SUMPRODUCT((MOVIMIENTOS!$B$5:$B$1005="PROCESO")*(MOVIMIENTOS!$C$5:$C$1005="A")*(MOVIMIENTOS!$D$5:$D$1005="jabas")*(MOVIMIENTOS!$A$5:$A$1005&lt;&gt;"")*(MOVIMIENTOS!$A$5:$A$1005&lt;=$A151)*MOVIMIENTOS!$E$5:$E$1005)-SUMPRODUCT((MOVIMIENTOS!$B$5:$B$1005="ENVÍO A SUPESA")*(MOVIMIENTOS!$C$5:$C$1005="A")*(MOVIMIENTOS!$D$5:$D$1005="jabas")*(MOVIMIENTOS!$A$5:$A$1005&lt;&gt;"")*(MOVIMIENTOS!$A$5:$A$1005&lt;=$A151)*MOVIMIENTOS!$E$5:$E$1005)+SUMPRODUCT((MOVIMIENTOS!$B$5:$B$1005="DEVOLUCIÓN")*(MOVIMIENTOS!$C$5:$C$1005="A")*(MOVIMIENTOS!$D$5:$D$1005="jabas")*(MOVIMIENTOS!$A$5:$A$1005&lt;&gt;"")*(MOVIMIENTOS!$A$5:$A$1005&lt;=$A151)*MOVIMIENTOS!$E$5:$E$1005)-SUMPRODUCT((MOVIMIENTOS!$B$5:$B$1005="TRASIEGO")*(MOVIMIENTOS!$C$5:$C$1005="A")*(MOVIMIENTOS!$D$5:$D$1005="jabas")*(MOVIMIENTOS!$A$5:$A$1005&lt;&gt;"")*(MOVIMIENTOS!$A$5:$A$1005&lt;=$A151)*MOVIMIENTOS!$E$5:$E$1005)-SUMPRODUCT((MOVIMIENTOS!$B$5:$B$1005="REGALO")*(MOVIMIENTOS!$C$5:$C$1005="A")*(MOVIMIENTOS!$D$5:$D$1005="jabas")*(MOVIMIENTOS!$A$5:$A$1005&lt;&gt;"")*(MOVIMIENTOS!$A$5:$A$1005&lt;=$A151)*MOVIMIENTOS!$E$5:$E$1005)-SUMPRODUCT((MOVIMIENTOS!$B$5:$B$1005="VENTA")*(MOVIMIENTOS!$C$5:$C$1005="A")*(MOVIMIENTOS!$D$5:$D$1005="jabas")*(MOVIMIENTOS!$A$5:$A$1005&lt;&gt;"")*(MOVIMIENTOS!$A$5:$A$1005&lt;=$A151)*MOVIMIENTOS!$E$5:$E$1005)+SUMPRODUCT((MOVIMIENTOS!$B$5:$B$1005="AJUSTE")*(MOVIMIENTOS!$C$5:$C$1005="A")*(MOVIMIENTOS!$D$5:$D$1005="jabas")*(MOVIMIENTOS!$A$5:$A$1005&lt;&gt;"")*(MOVIMIENTOS!$A$5:$A$1005&lt;=$A151)*MOVIMIENTOS!$E$5:$E$1005))</f>
        <v/>
      </c>
      <c r="C151" s="63" t="str">
        <f>IF($A151="","",SUMPRODUCT((MOVIMIENTOS!$B$5:$B$1005="SALDO INICIAL")*(MOVIMIENTOS!$C$5:$C$1005="P")*(MOVIMIENTOS!$D$5:$D$1005="jabas")*(MOVIMIENTOS!$A$5:$A$1005&lt;&gt;"")*(MOVIMIENTOS!$A$5:$A$1005&lt;=$A151)*MOVIMIENTOS!$E$5:$E$1005)+SUMPRODUCT((MOVIMIENTOS!$B$5:$B$1005="PROCESO")*(MOVIMIENTOS!$C$5:$C$1005="P")*(MOVIMIENTOS!$D$5:$D$1005="jabas")*(MOVIMIENTOS!$A$5:$A$1005&lt;&gt;"")*(MOVIMIENTOS!$A$5:$A$1005&lt;=$A151)*MOVIMIENTOS!$E$5:$E$1005)-SUMPRODUCT((MOVIMIENTOS!$B$5:$B$1005="ENVÍO A SUPESA")*(MOVIMIENTOS!$C$5:$C$1005="P")*(MOVIMIENTOS!$D$5:$D$1005="jabas")*(MOVIMIENTOS!$A$5:$A$1005&lt;&gt;"")*(MOVIMIENTOS!$A$5:$A$1005&lt;=$A151)*MOVIMIENTOS!$E$5:$E$1005)+SUMPRODUCT((MOVIMIENTOS!$B$5:$B$1005="DEVOLUCIÓN")*(MOVIMIENTOS!$C$5:$C$1005="P")*(MOVIMIENTOS!$D$5:$D$1005="jabas")*(MOVIMIENTOS!$A$5:$A$1005&lt;&gt;"")*(MOVIMIENTOS!$A$5:$A$1005&lt;=$A151)*MOVIMIENTOS!$E$5:$E$1005)-SUMPRODUCT((MOVIMIENTOS!$B$5:$B$1005="TRASIEGO")*(MOVIMIENTOS!$C$5:$C$1005="P")*(MOVIMIENTOS!$D$5:$D$1005="jabas")*(MOVIMIENTOS!$A$5:$A$1005&lt;&gt;"")*(MOVIMIENTOS!$A$5:$A$1005&lt;=$A151)*MOVIMIENTOS!$E$5:$E$1005)-SUMPRODUCT((MOVIMIENTOS!$B$5:$B$1005="REGALO")*(MOVIMIENTOS!$C$5:$C$1005="P")*(MOVIMIENTOS!$D$5:$D$1005="jabas")*(MOVIMIENTOS!$A$5:$A$1005&lt;&gt;"")*(MOVIMIENTOS!$A$5:$A$1005&lt;=$A151)*MOVIMIENTOS!$E$5:$E$1005)-SUMPRODUCT((MOVIMIENTOS!$B$5:$B$1005="VENTA")*(MOVIMIENTOS!$C$5:$C$1005="P")*(MOVIMIENTOS!$D$5:$D$1005="jabas")*(MOVIMIENTOS!$A$5:$A$1005&lt;&gt;"")*(MOVIMIENTOS!$A$5:$A$1005&lt;=$A151)*MOVIMIENTOS!$E$5:$E$1005)+SUMPRODUCT((MOVIMIENTOS!$B$5:$B$1005="AJUSTE")*(MOVIMIENTOS!$C$5:$C$1005="P")*(MOVIMIENTOS!$D$5:$D$1005="jabas")*(MOVIMIENTOS!$A$5:$A$1005&lt;&gt;"")*(MOVIMIENTOS!$A$5:$A$1005&lt;=$A151)*MOVIMIENTOS!$E$5:$E$1005))</f>
        <v/>
      </c>
      <c r="D151" s="63" t="str">
        <f>IF($A151="","",SUMPRODUCT((MOVIMIENTOS!$B$5:$B$1005="SALDO INICIAL")*(MOVIMIENTOS!$C$5:$C$1005="C")*(MOVIMIENTOS!$D$5:$D$1005="jabas")*(MOVIMIENTOS!$A$5:$A$1005&lt;&gt;"")*(MOVIMIENTOS!$A$5:$A$1005&lt;=$A151)*MOVIMIENTOS!$E$5:$E$1005)+SUMPRODUCT((MOVIMIENTOS!$B$5:$B$1005="PROCESO")*(MOVIMIENTOS!$C$5:$C$1005="C")*(MOVIMIENTOS!$D$5:$D$1005="jabas")*(MOVIMIENTOS!$A$5:$A$1005&lt;&gt;"")*(MOVIMIENTOS!$A$5:$A$1005&lt;=$A151)*MOVIMIENTOS!$E$5:$E$1005)-SUMPRODUCT((MOVIMIENTOS!$B$5:$B$1005="ENVÍO A SUPESA")*(MOVIMIENTOS!$C$5:$C$1005="C")*(MOVIMIENTOS!$D$5:$D$1005="jabas")*(MOVIMIENTOS!$A$5:$A$1005&lt;&gt;"")*(MOVIMIENTOS!$A$5:$A$1005&lt;=$A151)*MOVIMIENTOS!$E$5:$E$1005)+SUMPRODUCT((MOVIMIENTOS!$B$5:$B$1005="DEVOLUCIÓN")*(MOVIMIENTOS!$C$5:$C$1005="C")*(MOVIMIENTOS!$D$5:$D$1005="jabas")*(MOVIMIENTOS!$A$5:$A$1005&lt;&gt;"")*(MOVIMIENTOS!$A$5:$A$1005&lt;=$A151)*MOVIMIENTOS!$E$5:$E$1005)-SUMPRODUCT((MOVIMIENTOS!$B$5:$B$1005="TRASIEGO")*(MOVIMIENTOS!$C$5:$C$1005="C")*(MOVIMIENTOS!$D$5:$D$1005="jabas")*(MOVIMIENTOS!$A$5:$A$1005&lt;&gt;"")*(MOVIMIENTOS!$A$5:$A$1005&lt;=$A151)*MOVIMIENTOS!$E$5:$E$1005)-SUMPRODUCT((MOVIMIENTOS!$B$5:$B$1005="REGALO")*(MOVIMIENTOS!$C$5:$C$1005="C")*(MOVIMIENTOS!$D$5:$D$1005="jabas")*(MOVIMIENTOS!$A$5:$A$1005&lt;&gt;"")*(MOVIMIENTOS!$A$5:$A$1005&lt;=$A151)*MOVIMIENTOS!$E$5:$E$1005)-SUMPRODUCT((MOVIMIENTOS!$B$5:$B$1005="VENTA")*(MOVIMIENTOS!$C$5:$C$1005="C")*(MOVIMIENTOS!$D$5:$D$1005="jabas")*(MOVIMIENTOS!$A$5:$A$1005&lt;&gt;"")*(MOVIMIENTOS!$A$5:$A$1005&lt;=$A151)*MOVIMIENTOS!$E$5:$E$1005)+SUMPRODUCT((MOVIMIENTOS!$B$5:$B$1005="AJUSTE")*(MOVIMIENTOS!$C$5:$C$1005="C")*(MOVIMIENTOS!$D$5:$D$1005="jabas")*(MOVIMIENTOS!$A$5:$A$1005&lt;&gt;"")*(MOVIMIENTOS!$A$5:$A$1005&lt;=$A151)*MOVIMIENTOS!$E$5:$E$1005))</f>
        <v/>
      </c>
      <c r="E151" s="63" t="str">
        <f>IF($A151="","",SUMPRODUCT((MOVIMIENTOS!$B$5:$B$1005="SALDO INICIAL")*(MOVIMIENTOS!$C$5:$C$1005="M")*(MOVIMIENTOS!$D$5:$D$1005="jabas")*(MOVIMIENTOS!$A$5:$A$1005&lt;&gt;"")*(MOVIMIENTOS!$A$5:$A$1005&lt;=$A151)*MOVIMIENTOS!$E$5:$E$1005)+SUMPRODUCT((MOVIMIENTOS!$B$5:$B$1005="PROCESO")*(MOVIMIENTOS!$C$5:$C$1005="M")*(MOVIMIENTOS!$D$5:$D$1005="jabas")*(MOVIMIENTOS!$A$5:$A$1005&lt;&gt;"")*(MOVIMIENTOS!$A$5:$A$1005&lt;=$A151)*MOVIMIENTOS!$E$5:$E$1005)-SUMPRODUCT((MOVIMIENTOS!$B$5:$B$1005="ENVÍO A SUPESA")*(MOVIMIENTOS!$C$5:$C$1005="M")*(MOVIMIENTOS!$D$5:$D$1005="jabas")*(MOVIMIENTOS!$A$5:$A$1005&lt;&gt;"")*(MOVIMIENTOS!$A$5:$A$1005&lt;=$A151)*MOVIMIENTOS!$E$5:$E$1005)+SUMPRODUCT((MOVIMIENTOS!$B$5:$B$1005="DEVOLUCIÓN")*(MOVIMIENTOS!$C$5:$C$1005="M")*(MOVIMIENTOS!$D$5:$D$1005="jabas")*(MOVIMIENTOS!$A$5:$A$1005&lt;&gt;"")*(MOVIMIENTOS!$A$5:$A$1005&lt;=$A151)*MOVIMIENTOS!$E$5:$E$1005)-SUMPRODUCT((MOVIMIENTOS!$B$5:$B$1005="TRASIEGO")*(MOVIMIENTOS!$C$5:$C$1005="M")*(MOVIMIENTOS!$D$5:$D$1005="jabas")*(MOVIMIENTOS!$A$5:$A$1005&lt;&gt;"")*(MOVIMIENTOS!$A$5:$A$1005&lt;=$A151)*MOVIMIENTOS!$E$5:$E$1005)-SUMPRODUCT((MOVIMIENTOS!$B$5:$B$1005="REGALO")*(MOVIMIENTOS!$C$5:$C$1005="M")*(MOVIMIENTOS!$D$5:$D$1005="jabas")*(MOVIMIENTOS!$A$5:$A$1005&lt;&gt;"")*(MOVIMIENTOS!$A$5:$A$1005&lt;=$A151)*MOVIMIENTOS!$E$5:$E$1005)-SUMPRODUCT((MOVIMIENTOS!$B$5:$B$1005="VENTA")*(MOVIMIENTOS!$C$5:$C$1005="M")*(MOVIMIENTOS!$D$5:$D$1005="jabas")*(MOVIMIENTOS!$A$5:$A$1005&lt;&gt;"")*(MOVIMIENTOS!$A$5:$A$1005&lt;=$A151)*MOVIMIENTOS!$E$5:$E$1005)+SUMPRODUCT((MOVIMIENTOS!$B$5:$B$1005="AJUSTE")*(MOVIMIENTOS!$C$5:$C$1005="M")*(MOVIMIENTOS!$D$5:$D$1005="jabas")*(MOVIMIENTOS!$A$5:$A$1005&lt;&gt;"")*(MOVIMIENTOS!$A$5:$A$1005&lt;=$A151)*MOVIMIENTOS!$E$5:$E$1005))</f>
        <v/>
      </c>
      <c r="F151" s="63" t="str">
        <f>IF($A151="","",SUMPRODUCT((MOVIMIENTOS!$B$5:$B$1005="SALDO INICIAL")*(MOVIMIENTOS!$C$5:$C$1005="Chancho")*(MOVIMIENTOS!$D$5:$D$1005="sacos")*(MOVIMIENTOS!$A$5:$A$1005&lt;&gt;"")*(MOVIMIENTOS!$A$5:$A$1005&lt;=$A151)*MOVIMIENTOS!$E$5:$E$1005)+SUMPRODUCT((MOVIMIENTOS!$B$5:$B$1005="PROCESO")*(MOVIMIENTOS!$C$5:$C$1005="Chancho")*(MOVIMIENTOS!$D$5:$D$1005="sacos")*(MOVIMIENTOS!$A$5:$A$1005&lt;&gt;"")*(MOVIMIENTOS!$A$5:$A$1005&lt;=$A151)*MOVIMIENTOS!$E$5:$E$1005)-SUMPRODUCT((MOVIMIENTOS!$B$5:$B$1005="VENTA CHANCHO")*(MOVIMIENTOS!$C$5:$C$1005="Chancho")*(MOVIMIENTOS!$D$5:$D$1005="sacos")*(MOVIMIENTOS!$A$5:$A$1005&lt;&gt;"")*(MOVIMIENTOS!$A$5:$A$1005&lt;=$A151)*MOVIMIENTOS!$E$5:$E$1005)-SUMPRODUCT((MOVIMIENTOS!$B$5:$B$1005="REGALO")*(MOVIMIENTOS!$C$5:$C$1005="Chancho")*(MOVIMIENTOS!$D$5:$D$1005="sacos")*(MOVIMIENTOS!$A$5:$A$1005&lt;&gt;"")*(MOVIMIENTOS!$A$5:$A$1005&lt;=$A151)*MOVIMIENTOS!$E$5:$E$1005)-SUMPRODUCT((MOVIMIENTOS!$B$5:$B$1005="VENTA")*(MOVIMIENTOS!$C$5:$C$1005="Chancho")*(MOVIMIENTOS!$D$5:$D$1005="sacos")*(MOVIMIENTOS!$A$5:$A$1005&lt;&gt;"")*(MOVIMIENTOS!$A$5:$A$1005&lt;=$A151)*MOVIMIENTOS!$E$5:$E$1005)+SUMPRODUCT((MOVIMIENTOS!$B$5:$B$1005="AJUSTE")*(MOVIMIENTOS!$C$5:$C$1005="Chancho")*(MOVIMIENTOS!$D$5:$D$1005="sacos")*(MOVIMIENTOS!$A$5:$A$1005&lt;&gt;"")*(MOVIMIENTOS!$A$5:$A$1005&lt;=$A151)*MOVIMIENTOS!$E$5:$E$1005))</f>
        <v/>
      </c>
      <c r="G151" s="95" t="str">
        <f t="shared" si="5"/>
        <v/>
      </c>
      <c r="H151" s="63" t="str">
        <f>IF($A151="","",SUMPRODUCT((((MOVIMIENTOS!$B$5:$B$1005="SALDO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151)*MOVIMIENTOS!$J$5:$J$1005))</f>
        <v/>
      </c>
      <c r="I151" s="63"/>
      <c r="J151" s="63" t="str">
        <f>IF(AND(MOVIMIENTOS!$A151&lt;&gt;"",COUNTIF(MOVIMIENTOS!$A$5:$A150,MOVIMIENTOS!$A151)=0),COUNT(J$4:J150)+1,"")</f>
        <v/>
      </c>
      <c r="K151" s="66">
        <f>MOVIMIENTOS!$A151</f>
        <v>46226</v>
      </c>
      <c r="L151" s="63"/>
      <c r="M151" s="63"/>
      <c r="N151" s="63"/>
    </row>
    <row r="152" spans="1:14" ht="15" customHeight="1" x14ac:dyDescent="0.2">
      <c r="A152" s="63" t="str">
        <f t="shared" si="4"/>
        <v/>
      </c>
      <c r="B152" s="63" t="str">
        <f>IF($A152="","",SUMPRODUCT((MOVIMIENTOS!$B$5:$B$1005="SALDO INICIAL")*(MOVIMIENTOS!$C$5:$C$1005="A")*(MOVIMIENTOS!$D$5:$D$1005="jabas")*(MOVIMIENTOS!$A$5:$A$1005&lt;&gt;"")*(MOVIMIENTOS!$A$5:$A$1005&lt;=$A152)*MOVIMIENTOS!$E$5:$E$1005)+SUMPRODUCT((MOVIMIENTOS!$B$5:$B$1005="PROCESO")*(MOVIMIENTOS!$C$5:$C$1005="A")*(MOVIMIENTOS!$D$5:$D$1005="jabas")*(MOVIMIENTOS!$A$5:$A$1005&lt;&gt;"")*(MOVIMIENTOS!$A$5:$A$1005&lt;=$A152)*MOVIMIENTOS!$E$5:$E$1005)-SUMPRODUCT((MOVIMIENTOS!$B$5:$B$1005="ENVÍO A SUPESA")*(MOVIMIENTOS!$C$5:$C$1005="A")*(MOVIMIENTOS!$D$5:$D$1005="jabas")*(MOVIMIENTOS!$A$5:$A$1005&lt;&gt;"")*(MOVIMIENTOS!$A$5:$A$1005&lt;=$A152)*MOVIMIENTOS!$E$5:$E$1005)+SUMPRODUCT((MOVIMIENTOS!$B$5:$B$1005="DEVOLUCIÓN")*(MOVIMIENTOS!$C$5:$C$1005="A")*(MOVIMIENTOS!$D$5:$D$1005="jabas")*(MOVIMIENTOS!$A$5:$A$1005&lt;&gt;"")*(MOVIMIENTOS!$A$5:$A$1005&lt;=$A152)*MOVIMIENTOS!$E$5:$E$1005)-SUMPRODUCT((MOVIMIENTOS!$B$5:$B$1005="TRASIEGO")*(MOVIMIENTOS!$C$5:$C$1005="A")*(MOVIMIENTOS!$D$5:$D$1005="jabas")*(MOVIMIENTOS!$A$5:$A$1005&lt;&gt;"")*(MOVIMIENTOS!$A$5:$A$1005&lt;=$A152)*MOVIMIENTOS!$E$5:$E$1005)-SUMPRODUCT((MOVIMIENTOS!$B$5:$B$1005="REGALO")*(MOVIMIENTOS!$C$5:$C$1005="A")*(MOVIMIENTOS!$D$5:$D$1005="jabas")*(MOVIMIENTOS!$A$5:$A$1005&lt;&gt;"")*(MOVIMIENTOS!$A$5:$A$1005&lt;=$A152)*MOVIMIENTOS!$E$5:$E$1005)-SUMPRODUCT((MOVIMIENTOS!$B$5:$B$1005="VENTA")*(MOVIMIENTOS!$C$5:$C$1005="A")*(MOVIMIENTOS!$D$5:$D$1005="jabas")*(MOVIMIENTOS!$A$5:$A$1005&lt;&gt;"")*(MOVIMIENTOS!$A$5:$A$1005&lt;=$A152)*MOVIMIENTOS!$E$5:$E$1005)+SUMPRODUCT((MOVIMIENTOS!$B$5:$B$1005="AJUSTE")*(MOVIMIENTOS!$C$5:$C$1005="A")*(MOVIMIENTOS!$D$5:$D$1005="jabas")*(MOVIMIENTOS!$A$5:$A$1005&lt;&gt;"")*(MOVIMIENTOS!$A$5:$A$1005&lt;=$A152)*MOVIMIENTOS!$E$5:$E$1005))</f>
        <v/>
      </c>
      <c r="C152" s="63" t="str">
        <f>IF($A152="","",SUMPRODUCT((MOVIMIENTOS!$B$5:$B$1005="SALDO INICIAL")*(MOVIMIENTOS!$C$5:$C$1005="P")*(MOVIMIENTOS!$D$5:$D$1005="jabas")*(MOVIMIENTOS!$A$5:$A$1005&lt;&gt;"")*(MOVIMIENTOS!$A$5:$A$1005&lt;=$A152)*MOVIMIENTOS!$E$5:$E$1005)+SUMPRODUCT((MOVIMIENTOS!$B$5:$B$1005="PROCESO")*(MOVIMIENTOS!$C$5:$C$1005="P")*(MOVIMIENTOS!$D$5:$D$1005="jabas")*(MOVIMIENTOS!$A$5:$A$1005&lt;&gt;"")*(MOVIMIENTOS!$A$5:$A$1005&lt;=$A152)*MOVIMIENTOS!$E$5:$E$1005)-SUMPRODUCT((MOVIMIENTOS!$B$5:$B$1005="ENVÍO A SUPESA")*(MOVIMIENTOS!$C$5:$C$1005="P")*(MOVIMIENTOS!$D$5:$D$1005="jabas")*(MOVIMIENTOS!$A$5:$A$1005&lt;&gt;"")*(MOVIMIENTOS!$A$5:$A$1005&lt;=$A152)*MOVIMIENTOS!$E$5:$E$1005)+SUMPRODUCT((MOVIMIENTOS!$B$5:$B$1005="DEVOLUCIÓN")*(MOVIMIENTOS!$C$5:$C$1005="P")*(MOVIMIENTOS!$D$5:$D$1005="jabas")*(MOVIMIENTOS!$A$5:$A$1005&lt;&gt;"")*(MOVIMIENTOS!$A$5:$A$1005&lt;=$A152)*MOVIMIENTOS!$E$5:$E$1005)-SUMPRODUCT((MOVIMIENTOS!$B$5:$B$1005="TRASIEGO")*(MOVIMIENTOS!$C$5:$C$1005="P")*(MOVIMIENTOS!$D$5:$D$1005="jabas")*(MOVIMIENTOS!$A$5:$A$1005&lt;&gt;"")*(MOVIMIENTOS!$A$5:$A$1005&lt;=$A152)*MOVIMIENTOS!$E$5:$E$1005)-SUMPRODUCT((MOVIMIENTOS!$B$5:$B$1005="REGALO")*(MOVIMIENTOS!$C$5:$C$1005="P")*(MOVIMIENTOS!$D$5:$D$1005="jabas")*(MOVIMIENTOS!$A$5:$A$1005&lt;&gt;"")*(MOVIMIENTOS!$A$5:$A$1005&lt;=$A152)*MOVIMIENTOS!$E$5:$E$1005)-SUMPRODUCT((MOVIMIENTOS!$B$5:$B$1005="VENTA")*(MOVIMIENTOS!$C$5:$C$1005="P")*(MOVIMIENTOS!$D$5:$D$1005="jabas")*(MOVIMIENTOS!$A$5:$A$1005&lt;&gt;"")*(MOVIMIENTOS!$A$5:$A$1005&lt;=$A152)*MOVIMIENTOS!$E$5:$E$1005)+SUMPRODUCT((MOVIMIENTOS!$B$5:$B$1005="AJUSTE")*(MOVIMIENTOS!$C$5:$C$1005="P")*(MOVIMIENTOS!$D$5:$D$1005="jabas")*(MOVIMIENTOS!$A$5:$A$1005&lt;&gt;"")*(MOVIMIENTOS!$A$5:$A$1005&lt;=$A152)*MOVIMIENTOS!$E$5:$E$1005))</f>
        <v/>
      </c>
      <c r="D152" s="63" t="str">
        <f>IF($A152="","",SUMPRODUCT((MOVIMIENTOS!$B$5:$B$1005="SALDO INICIAL")*(MOVIMIENTOS!$C$5:$C$1005="C")*(MOVIMIENTOS!$D$5:$D$1005="jabas")*(MOVIMIENTOS!$A$5:$A$1005&lt;&gt;"")*(MOVIMIENTOS!$A$5:$A$1005&lt;=$A152)*MOVIMIENTOS!$E$5:$E$1005)+SUMPRODUCT((MOVIMIENTOS!$B$5:$B$1005="PROCESO")*(MOVIMIENTOS!$C$5:$C$1005="C")*(MOVIMIENTOS!$D$5:$D$1005="jabas")*(MOVIMIENTOS!$A$5:$A$1005&lt;&gt;"")*(MOVIMIENTOS!$A$5:$A$1005&lt;=$A152)*MOVIMIENTOS!$E$5:$E$1005)-SUMPRODUCT((MOVIMIENTOS!$B$5:$B$1005="ENVÍO A SUPESA")*(MOVIMIENTOS!$C$5:$C$1005="C")*(MOVIMIENTOS!$D$5:$D$1005="jabas")*(MOVIMIENTOS!$A$5:$A$1005&lt;&gt;"")*(MOVIMIENTOS!$A$5:$A$1005&lt;=$A152)*MOVIMIENTOS!$E$5:$E$1005)+SUMPRODUCT((MOVIMIENTOS!$B$5:$B$1005="DEVOLUCIÓN")*(MOVIMIENTOS!$C$5:$C$1005="C")*(MOVIMIENTOS!$D$5:$D$1005="jabas")*(MOVIMIENTOS!$A$5:$A$1005&lt;&gt;"")*(MOVIMIENTOS!$A$5:$A$1005&lt;=$A152)*MOVIMIENTOS!$E$5:$E$1005)-SUMPRODUCT((MOVIMIENTOS!$B$5:$B$1005="TRASIEGO")*(MOVIMIENTOS!$C$5:$C$1005="C")*(MOVIMIENTOS!$D$5:$D$1005="jabas")*(MOVIMIENTOS!$A$5:$A$1005&lt;&gt;"")*(MOVIMIENTOS!$A$5:$A$1005&lt;=$A152)*MOVIMIENTOS!$E$5:$E$1005)-SUMPRODUCT((MOVIMIENTOS!$B$5:$B$1005="REGALO")*(MOVIMIENTOS!$C$5:$C$1005="C")*(MOVIMIENTOS!$D$5:$D$1005="jabas")*(MOVIMIENTOS!$A$5:$A$1005&lt;&gt;"")*(MOVIMIENTOS!$A$5:$A$1005&lt;=$A152)*MOVIMIENTOS!$E$5:$E$1005)-SUMPRODUCT((MOVIMIENTOS!$B$5:$B$1005="VENTA")*(MOVIMIENTOS!$C$5:$C$1005="C")*(MOVIMIENTOS!$D$5:$D$1005="jabas")*(MOVIMIENTOS!$A$5:$A$1005&lt;&gt;"")*(MOVIMIENTOS!$A$5:$A$1005&lt;=$A152)*MOVIMIENTOS!$E$5:$E$1005)+SUMPRODUCT((MOVIMIENTOS!$B$5:$B$1005="AJUSTE")*(MOVIMIENTOS!$C$5:$C$1005="C")*(MOVIMIENTOS!$D$5:$D$1005="jabas")*(MOVIMIENTOS!$A$5:$A$1005&lt;&gt;"")*(MOVIMIENTOS!$A$5:$A$1005&lt;=$A152)*MOVIMIENTOS!$E$5:$E$1005))</f>
        <v/>
      </c>
      <c r="E152" s="63" t="str">
        <f>IF($A152="","",SUMPRODUCT((MOVIMIENTOS!$B$5:$B$1005="SALDO INICIAL")*(MOVIMIENTOS!$C$5:$C$1005="M")*(MOVIMIENTOS!$D$5:$D$1005="jabas")*(MOVIMIENTOS!$A$5:$A$1005&lt;&gt;"")*(MOVIMIENTOS!$A$5:$A$1005&lt;=$A152)*MOVIMIENTOS!$E$5:$E$1005)+SUMPRODUCT((MOVIMIENTOS!$B$5:$B$1005="PROCESO")*(MOVIMIENTOS!$C$5:$C$1005="M")*(MOVIMIENTOS!$D$5:$D$1005="jabas")*(MOVIMIENTOS!$A$5:$A$1005&lt;&gt;"")*(MOVIMIENTOS!$A$5:$A$1005&lt;=$A152)*MOVIMIENTOS!$E$5:$E$1005)-SUMPRODUCT((MOVIMIENTOS!$B$5:$B$1005="ENVÍO A SUPESA")*(MOVIMIENTOS!$C$5:$C$1005="M")*(MOVIMIENTOS!$D$5:$D$1005="jabas")*(MOVIMIENTOS!$A$5:$A$1005&lt;&gt;"")*(MOVIMIENTOS!$A$5:$A$1005&lt;=$A152)*MOVIMIENTOS!$E$5:$E$1005)+SUMPRODUCT((MOVIMIENTOS!$B$5:$B$1005="DEVOLUCIÓN")*(MOVIMIENTOS!$C$5:$C$1005="M")*(MOVIMIENTOS!$D$5:$D$1005="jabas")*(MOVIMIENTOS!$A$5:$A$1005&lt;&gt;"")*(MOVIMIENTOS!$A$5:$A$1005&lt;=$A152)*MOVIMIENTOS!$E$5:$E$1005)-SUMPRODUCT((MOVIMIENTOS!$B$5:$B$1005="TRASIEGO")*(MOVIMIENTOS!$C$5:$C$1005="M")*(MOVIMIENTOS!$D$5:$D$1005="jabas")*(MOVIMIENTOS!$A$5:$A$1005&lt;&gt;"")*(MOVIMIENTOS!$A$5:$A$1005&lt;=$A152)*MOVIMIENTOS!$E$5:$E$1005)-SUMPRODUCT((MOVIMIENTOS!$B$5:$B$1005="REGALO")*(MOVIMIENTOS!$C$5:$C$1005="M")*(MOVIMIENTOS!$D$5:$D$1005="jabas")*(MOVIMIENTOS!$A$5:$A$1005&lt;&gt;"")*(MOVIMIENTOS!$A$5:$A$1005&lt;=$A152)*MOVIMIENTOS!$E$5:$E$1005)-SUMPRODUCT((MOVIMIENTOS!$B$5:$B$1005="VENTA")*(MOVIMIENTOS!$C$5:$C$1005="M")*(MOVIMIENTOS!$D$5:$D$1005="jabas")*(MOVIMIENTOS!$A$5:$A$1005&lt;&gt;"")*(MOVIMIENTOS!$A$5:$A$1005&lt;=$A152)*MOVIMIENTOS!$E$5:$E$1005)+SUMPRODUCT((MOVIMIENTOS!$B$5:$B$1005="AJUSTE")*(MOVIMIENTOS!$C$5:$C$1005="M")*(MOVIMIENTOS!$D$5:$D$1005="jabas")*(MOVIMIENTOS!$A$5:$A$1005&lt;&gt;"")*(MOVIMIENTOS!$A$5:$A$1005&lt;=$A152)*MOVIMIENTOS!$E$5:$E$1005))</f>
        <v/>
      </c>
      <c r="F152" s="63" t="str">
        <f>IF($A152="","",SUMPRODUCT((MOVIMIENTOS!$B$5:$B$1005="SALDO INICIAL")*(MOVIMIENTOS!$C$5:$C$1005="Chancho")*(MOVIMIENTOS!$D$5:$D$1005="sacos")*(MOVIMIENTOS!$A$5:$A$1005&lt;&gt;"")*(MOVIMIENTOS!$A$5:$A$1005&lt;=$A152)*MOVIMIENTOS!$E$5:$E$1005)+SUMPRODUCT((MOVIMIENTOS!$B$5:$B$1005="PROCESO")*(MOVIMIENTOS!$C$5:$C$1005="Chancho")*(MOVIMIENTOS!$D$5:$D$1005="sacos")*(MOVIMIENTOS!$A$5:$A$1005&lt;&gt;"")*(MOVIMIENTOS!$A$5:$A$1005&lt;=$A152)*MOVIMIENTOS!$E$5:$E$1005)-SUMPRODUCT((MOVIMIENTOS!$B$5:$B$1005="VENTA CHANCHO")*(MOVIMIENTOS!$C$5:$C$1005="Chancho")*(MOVIMIENTOS!$D$5:$D$1005="sacos")*(MOVIMIENTOS!$A$5:$A$1005&lt;&gt;"")*(MOVIMIENTOS!$A$5:$A$1005&lt;=$A152)*MOVIMIENTOS!$E$5:$E$1005)-SUMPRODUCT((MOVIMIENTOS!$B$5:$B$1005="REGALO")*(MOVIMIENTOS!$C$5:$C$1005="Chancho")*(MOVIMIENTOS!$D$5:$D$1005="sacos")*(MOVIMIENTOS!$A$5:$A$1005&lt;&gt;"")*(MOVIMIENTOS!$A$5:$A$1005&lt;=$A152)*MOVIMIENTOS!$E$5:$E$1005)-SUMPRODUCT((MOVIMIENTOS!$B$5:$B$1005="VENTA")*(MOVIMIENTOS!$C$5:$C$1005="Chancho")*(MOVIMIENTOS!$D$5:$D$1005="sacos")*(MOVIMIENTOS!$A$5:$A$1005&lt;&gt;"")*(MOVIMIENTOS!$A$5:$A$1005&lt;=$A152)*MOVIMIENTOS!$E$5:$E$1005)+SUMPRODUCT((MOVIMIENTOS!$B$5:$B$1005="AJUSTE")*(MOVIMIENTOS!$C$5:$C$1005="Chancho")*(MOVIMIENTOS!$D$5:$D$1005="sacos")*(MOVIMIENTOS!$A$5:$A$1005&lt;&gt;"")*(MOVIMIENTOS!$A$5:$A$1005&lt;=$A152)*MOVIMIENTOS!$E$5:$E$1005))</f>
        <v/>
      </c>
      <c r="G152" s="95" t="str">
        <f t="shared" si="5"/>
        <v/>
      </c>
      <c r="H152" s="63" t="str">
        <f>IF($A152="","",SUMPRODUCT((((MOVIMIENTOS!$B$5:$B$1005="SALDO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152)*MOVIMIENTOS!$J$5:$J$1005))</f>
        <v/>
      </c>
      <c r="I152" s="63"/>
      <c r="J152" s="63" t="str">
        <f>IF(AND(MOVIMIENTOS!$A152&lt;&gt;"",COUNTIF(MOVIMIENTOS!$A$5:$A151,MOVIMIENTOS!$A152)=0),COUNT(J$4:J151)+1,"")</f>
        <v/>
      </c>
      <c r="K152" s="66">
        <f>MOVIMIENTOS!$A152</f>
        <v>46226</v>
      </c>
      <c r="L152" s="63"/>
      <c r="M152" s="63"/>
      <c r="N152" s="63"/>
    </row>
    <row r="153" spans="1:14" ht="15" customHeight="1" x14ac:dyDescent="0.2">
      <c r="A153" s="63" t="str">
        <f t="shared" si="4"/>
        <v/>
      </c>
      <c r="B153" s="63" t="str">
        <f>IF($A153="","",SUMPRODUCT((MOVIMIENTOS!$B$5:$B$1005="SALDO INICIAL")*(MOVIMIENTOS!$C$5:$C$1005="A")*(MOVIMIENTOS!$D$5:$D$1005="jabas")*(MOVIMIENTOS!$A$5:$A$1005&lt;&gt;"")*(MOVIMIENTOS!$A$5:$A$1005&lt;=$A153)*MOVIMIENTOS!$E$5:$E$1005)+SUMPRODUCT((MOVIMIENTOS!$B$5:$B$1005="PROCESO")*(MOVIMIENTOS!$C$5:$C$1005="A")*(MOVIMIENTOS!$D$5:$D$1005="jabas")*(MOVIMIENTOS!$A$5:$A$1005&lt;&gt;"")*(MOVIMIENTOS!$A$5:$A$1005&lt;=$A153)*MOVIMIENTOS!$E$5:$E$1005)-SUMPRODUCT((MOVIMIENTOS!$B$5:$B$1005="ENVÍO A SUPESA")*(MOVIMIENTOS!$C$5:$C$1005="A")*(MOVIMIENTOS!$D$5:$D$1005="jabas")*(MOVIMIENTOS!$A$5:$A$1005&lt;&gt;"")*(MOVIMIENTOS!$A$5:$A$1005&lt;=$A153)*MOVIMIENTOS!$E$5:$E$1005)+SUMPRODUCT((MOVIMIENTOS!$B$5:$B$1005="DEVOLUCIÓN")*(MOVIMIENTOS!$C$5:$C$1005="A")*(MOVIMIENTOS!$D$5:$D$1005="jabas")*(MOVIMIENTOS!$A$5:$A$1005&lt;&gt;"")*(MOVIMIENTOS!$A$5:$A$1005&lt;=$A153)*MOVIMIENTOS!$E$5:$E$1005)-SUMPRODUCT((MOVIMIENTOS!$B$5:$B$1005="TRASIEGO")*(MOVIMIENTOS!$C$5:$C$1005="A")*(MOVIMIENTOS!$D$5:$D$1005="jabas")*(MOVIMIENTOS!$A$5:$A$1005&lt;&gt;"")*(MOVIMIENTOS!$A$5:$A$1005&lt;=$A153)*MOVIMIENTOS!$E$5:$E$1005)-SUMPRODUCT((MOVIMIENTOS!$B$5:$B$1005="REGALO")*(MOVIMIENTOS!$C$5:$C$1005="A")*(MOVIMIENTOS!$D$5:$D$1005="jabas")*(MOVIMIENTOS!$A$5:$A$1005&lt;&gt;"")*(MOVIMIENTOS!$A$5:$A$1005&lt;=$A153)*MOVIMIENTOS!$E$5:$E$1005)-SUMPRODUCT((MOVIMIENTOS!$B$5:$B$1005="VENTA")*(MOVIMIENTOS!$C$5:$C$1005="A")*(MOVIMIENTOS!$D$5:$D$1005="jabas")*(MOVIMIENTOS!$A$5:$A$1005&lt;&gt;"")*(MOVIMIENTOS!$A$5:$A$1005&lt;=$A153)*MOVIMIENTOS!$E$5:$E$1005)+SUMPRODUCT((MOVIMIENTOS!$B$5:$B$1005="AJUSTE")*(MOVIMIENTOS!$C$5:$C$1005="A")*(MOVIMIENTOS!$D$5:$D$1005="jabas")*(MOVIMIENTOS!$A$5:$A$1005&lt;&gt;"")*(MOVIMIENTOS!$A$5:$A$1005&lt;=$A153)*MOVIMIENTOS!$E$5:$E$1005))</f>
        <v/>
      </c>
      <c r="C153" s="63" t="str">
        <f>IF($A153="","",SUMPRODUCT((MOVIMIENTOS!$B$5:$B$1005="SALDO INICIAL")*(MOVIMIENTOS!$C$5:$C$1005="P")*(MOVIMIENTOS!$D$5:$D$1005="jabas")*(MOVIMIENTOS!$A$5:$A$1005&lt;&gt;"")*(MOVIMIENTOS!$A$5:$A$1005&lt;=$A153)*MOVIMIENTOS!$E$5:$E$1005)+SUMPRODUCT((MOVIMIENTOS!$B$5:$B$1005="PROCESO")*(MOVIMIENTOS!$C$5:$C$1005="P")*(MOVIMIENTOS!$D$5:$D$1005="jabas")*(MOVIMIENTOS!$A$5:$A$1005&lt;&gt;"")*(MOVIMIENTOS!$A$5:$A$1005&lt;=$A153)*MOVIMIENTOS!$E$5:$E$1005)-SUMPRODUCT((MOVIMIENTOS!$B$5:$B$1005="ENVÍO A SUPESA")*(MOVIMIENTOS!$C$5:$C$1005="P")*(MOVIMIENTOS!$D$5:$D$1005="jabas")*(MOVIMIENTOS!$A$5:$A$1005&lt;&gt;"")*(MOVIMIENTOS!$A$5:$A$1005&lt;=$A153)*MOVIMIENTOS!$E$5:$E$1005)+SUMPRODUCT((MOVIMIENTOS!$B$5:$B$1005="DEVOLUCIÓN")*(MOVIMIENTOS!$C$5:$C$1005="P")*(MOVIMIENTOS!$D$5:$D$1005="jabas")*(MOVIMIENTOS!$A$5:$A$1005&lt;&gt;"")*(MOVIMIENTOS!$A$5:$A$1005&lt;=$A153)*MOVIMIENTOS!$E$5:$E$1005)-SUMPRODUCT((MOVIMIENTOS!$B$5:$B$1005="TRASIEGO")*(MOVIMIENTOS!$C$5:$C$1005="P")*(MOVIMIENTOS!$D$5:$D$1005="jabas")*(MOVIMIENTOS!$A$5:$A$1005&lt;&gt;"")*(MOVIMIENTOS!$A$5:$A$1005&lt;=$A153)*MOVIMIENTOS!$E$5:$E$1005)-SUMPRODUCT((MOVIMIENTOS!$B$5:$B$1005="REGALO")*(MOVIMIENTOS!$C$5:$C$1005="P")*(MOVIMIENTOS!$D$5:$D$1005="jabas")*(MOVIMIENTOS!$A$5:$A$1005&lt;&gt;"")*(MOVIMIENTOS!$A$5:$A$1005&lt;=$A153)*MOVIMIENTOS!$E$5:$E$1005)-SUMPRODUCT((MOVIMIENTOS!$B$5:$B$1005="VENTA")*(MOVIMIENTOS!$C$5:$C$1005="P")*(MOVIMIENTOS!$D$5:$D$1005="jabas")*(MOVIMIENTOS!$A$5:$A$1005&lt;&gt;"")*(MOVIMIENTOS!$A$5:$A$1005&lt;=$A153)*MOVIMIENTOS!$E$5:$E$1005)+SUMPRODUCT((MOVIMIENTOS!$B$5:$B$1005="AJUSTE")*(MOVIMIENTOS!$C$5:$C$1005="P")*(MOVIMIENTOS!$D$5:$D$1005="jabas")*(MOVIMIENTOS!$A$5:$A$1005&lt;&gt;"")*(MOVIMIENTOS!$A$5:$A$1005&lt;=$A153)*MOVIMIENTOS!$E$5:$E$1005))</f>
        <v/>
      </c>
      <c r="D153" s="63" t="str">
        <f>IF($A153="","",SUMPRODUCT((MOVIMIENTOS!$B$5:$B$1005="SALDO INICIAL")*(MOVIMIENTOS!$C$5:$C$1005="C")*(MOVIMIENTOS!$D$5:$D$1005="jabas")*(MOVIMIENTOS!$A$5:$A$1005&lt;&gt;"")*(MOVIMIENTOS!$A$5:$A$1005&lt;=$A153)*MOVIMIENTOS!$E$5:$E$1005)+SUMPRODUCT((MOVIMIENTOS!$B$5:$B$1005="PROCESO")*(MOVIMIENTOS!$C$5:$C$1005="C")*(MOVIMIENTOS!$D$5:$D$1005="jabas")*(MOVIMIENTOS!$A$5:$A$1005&lt;&gt;"")*(MOVIMIENTOS!$A$5:$A$1005&lt;=$A153)*MOVIMIENTOS!$E$5:$E$1005)-SUMPRODUCT((MOVIMIENTOS!$B$5:$B$1005="ENVÍO A SUPESA")*(MOVIMIENTOS!$C$5:$C$1005="C")*(MOVIMIENTOS!$D$5:$D$1005="jabas")*(MOVIMIENTOS!$A$5:$A$1005&lt;&gt;"")*(MOVIMIENTOS!$A$5:$A$1005&lt;=$A153)*MOVIMIENTOS!$E$5:$E$1005)+SUMPRODUCT((MOVIMIENTOS!$B$5:$B$1005="DEVOLUCIÓN")*(MOVIMIENTOS!$C$5:$C$1005="C")*(MOVIMIENTOS!$D$5:$D$1005="jabas")*(MOVIMIENTOS!$A$5:$A$1005&lt;&gt;"")*(MOVIMIENTOS!$A$5:$A$1005&lt;=$A153)*MOVIMIENTOS!$E$5:$E$1005)-SUMPRODUCT((MOVIMIENTOS!$B$5:$B$1005="TRASIEGO")*(MOVIMIENTOS!$C$5:$C$1005="C")*(MOVIMIENTOS!$D$5:$D$1005="jabas")*(MOVIMIENTOS!$A$5:$A$1005&lt;&gt;"")*(MOVIMIENTOS!$A$5:$A$1005&lt;=$A153)*MOVIMIENTOS!$E$5:$E$1005)-SUMPRODUCT((MOVIMIENTOS!$B$5:$B$1005="REGALO")*(MOVIMIENTOS!$C$5:$C$1005="C")*(MOVIMIENTOS!$D$5:$D$1005="jabas")*(MOVIMIENTOS!$A$5:$A$1005&lt;&gt;"")*(MOVIMIENTOS!$A$5:$A$1005&lt;=$A153)*MOVIMIENTOS!$E$5:$E$1005)-SUMPRODUCT((MOVIMIENTOS!$B$5:$B$1005="VENTA")*(MOVIMIENTOS!$C$5:$C$1005="C")*(MOVIMIENTOS!$D$5:$D$1005="jabas")*(MOVIMIENTOS!$A$5:$A$1005&lt;&gt;"")*(MOVIMIENTOS!$A$5:$A$1005&lt;=$A153)*MOVIMIENTOS!$E$5:$E$1005)+SUMPRODUCT((MOVIMIENTOS!$B$5:$B$1005="AJUSTE")*(MOVIMIENTOS!$C$5:$C$1005="C")*(MOVIMIENTOS!$D$5:$D$1005="jabas")*(MOVIMIENTOS!$A$5:$A$1005&lt;&gt;"")*(MOVIMIENTOS!$A$5:$A$1005&lt;=$A153)*MOVIMIENTOS!$E$5:$E$1005))</f>
        <v/>
      </c>
      <c r="E153" s="63" t="str">
        <f>IF($A153="","",SUMPRODUCT((MOVIMIENTOS!$B$5:$B$1005="SALDO INICIAL")*(MOVIMIENTOS!$C$5:$C$1005="M")*(MOVIMIENTOS!$D$5:$D$1005="jabas")*(MOVIMIENTOS!$A$5:$A$1005&lt;&gt;"")*(MOVIMIENTOS!$A$5:$A$1005&lt;=$A153)*MOVIMIENTOS!$E$5:$E$1005)+SUMPRODUCT((MOVIMIENTOS!$B$5:$B$1005="PROCESO")*(MOVIMIENTOS!$C$5:$C$1005="M")*(MOVIMIENTOS!$D$5:$D$1005="jabas")*(MOVIMIENTOS!$A$5:$A$1005&lt;&gt;"")*(MOVIMIENTOS!$A$5:$A$1005&lt;=$A153)*MOVIMIENTOS!$E$5:$E$1005)-SUMPRODUCT((MOVIMIENTOS!$B$5:$B$1005="ENVÍO A SUPESA")*(MOVIMIENTOS!$C$5:$C$1005="M")*(MOVIMIENTOS!$D$5:$D$1005="jabas")*(MOVIMIENTOS!$A$5:$A$1005&lt;&gt;"")*(MOVIMIENTOS!$A$5:$A$1005&lt;=$A153)*MOVIMIENTOS!$E$5:$E$1005)+SUMPRODUCT((MOVIMIENTOS!$B$5:$B$1005="DEVOLUCIÓN")*(MOVIMIENTOS!$C$5:$C$1005="M")*(MOVIMIENTOS!$D$5:$D$1005="jabas")*(MOVIMIENTOS!$A$5:$A$1005&lt;&gt;"")*(MOVIMIENTOS!$A$5:$A$1005&lt;=$A153)*MOVIMIENTOS!$E$5:$E$1005)-SUMPRODUCT((MOVIMIENTOS!$B$5:$B$1005="TRASIEGO")*(MOVIMIENTOS!$C$5:$C$1005="M")*(MOVIMIENTOS!$D$5:$D$1005="jabas")*(MOVIMIENTOS!$A$5:$A$1005&lt;&gt;"")*(MOVIMIENTOS!$A$5:$A$1005&lt;=$A153)*MOVIMIENTOS!$E$5:$E$1005)-SUMPRODUCT((MOVIMIENTOS!$B$5:$B$1005="REGALO")*(MOVIMIENTOS!$C$5:$C$1005="M")*(MOVIMIENTOS!$D$5:$D$1005="jabas")*(MOVIMIENTOS!$A$5:$A$1005&lt;&gt;"")*(MOVIMIENTOS!$A$5:$A$1005&lt;=$A153)*MOVIMIENTOS!$E$5:$E$1005)-SUMPRODUCT((MOVIMIENTOS!$B$5:$B$1005="VENTA")*(MOVIMIENTOS!$C$5:$C$1005="M")*(MOVIMIENTOS!$D$5:$D$1005="jabas")*(MOVIMIENTOS!$A$5:$A$1005&lt;&gt;"")*(MOVIMIENTOS!$A$5:$A$1005&lt;=$A153)*MOVIMIENTOS!$E$5:$E$1005)+SUMPRODUCT((MOVIMIENTOS!$B$5:$B$1005="AJUSTE")*(MOVIMIENTOS!$C$5:$C$1005="M")*(MOVIMIENTOS!$D$5:$D$1005="jabas")*(MOVIMIENTOS!$A$5:$A$1005&lt;&gt;"")*(MOVIMIENTOS!$A$5:$A$1005&lt;=$A153)*MOVIMIENTOS!$E$5:$E$1005))</f>
        <v/>
      </c>
      <c r="F153" s="63" t="str">
        <f>IF($A153="","",SUMPRODUCT((MOVIMIENTOS!$B$5:$B$1005="SALDO INICIAL")*(MOVIMIENTOS!$C$5:$C$1005="Chancho")*(MOVIMIENTOS!$D$5:$D$1005="sacos")*(MOVIMIENTOS!$A$5:$A$1005&lt;&gt;"")*(MOVIMIENTOS!$A$5:$A$1005&lt;=$A153)*MOVIMIENTOS!$E$5:$E$1005)+SUMPRODUCT((MOVIMIENTOS!$B$5:$B$1005="PROCESO")*(MOVIMIENTOS!$C$5:$C$1005="Chancho")*(MOVIMIENTOS!$D$5:$D$1005="sacos")*(MOVIMIENTOS!$A$5:$A$1005&lt;&gt;"")*(MOVIMIENTOS!$A$5:$A$1005&lt;=$A153)*MOVIMIENTOS!$E$5:$E$1005)-SUMPRODUCT((MOVIMIENTOS!$B$5:$B$1005="VENTA CHANCHO")*(MOVIMIENTOS!$C$5:$C$1005="Chancho")*(MOVIMIENTOS!$D$5:$D$1005="sacos")*(MOVIMIENTOS!$A$5:$A$1005&lt;&gt;"")*(MOVIMIENTOS!$A$5:$A$1005&lt;=$A153)*MOVIMIENTOS!$E$5:$E$1005)-SUMPRODUCT((MOVIMIENTOS!$B$5:$B$1005="REGALO")*(MOVIMIENTOS!$C$5:$C$1005="Chancho")*(MOVIMIENTOS!$D$5:$D$1005="sacos")*(MOVIMIENTOS!$A$5:$A$1005&lt;&gt;"")*(MOVIMIENTOS!$A$5:$A$1005&lt;=$A153)*MOVIMIENTOS!$E$5:$E$1005)-SUMPRODUCT((MOVIMIENTOS!$B$5:$B$1005="VENTA")*(MOVIMIENTOS!$C$5:$C$1005="Chancho")*(MOVIMIENTOS!$D$5:$D$1005="sacos")*(MOVIMIENTOS!$A$5:$A$1005&lt;&gt;"")*(MOVIMIENTOS!$A$5:$A$1005&lt;=$A153)*MOVIMIENTOS!$E$5:$E$1005)+SUMPRODUCT((MOVIMIENTOS!$B$5:$B$1005="AJUSTE")*(MOVIMIENTOS!$C$5:$C$1005="Chancho")*(MOVIMIENTOS!$D$5:$D$1005="sacos")*(MOVIMIENTOS!$A$5:$A$1005&lt;&gt;"")*(MOVIMIENTOS!$A$5:$A$1005&lt;=$A153)*MOVIMIENTOS!$E$5:$E$1005))</f>
        <v/>
      </c>
      <c r="G153" s="95" t="str">
        <f t="shared" si="5"/>
        <v/>
      </c>
      <c r="H153" s="63" t="str">
        <f>IF($A153="","",SUMPRODUCT((((MOVIMIENTOS!$B$5:$B$1005="SALDO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153)*MOVIMIENTOS!$J$5:$J$1005))</f>
        <v/>
      </c>
      <c r="I153" s="63"/>
      <c r="J153" s="63">
        <f>IF(AND(MOVIMIENTOS!$A153&lt;&gt;"",COUNTIF(MOVIMIENTOS!$A$5:$A152,MOVIMIENTOS!$A153)=0),COUNT(J$4:J152)+1,"")</f>
        <v>15</v>
      </c>
      <c r="K153" s="66">
        <f>MOVIMIENTOS!$A153</f>
        <v>46227</v>
      </c>
      <c r="L153" s="63"/>
      <c r="M153" s="63"/>
      <c r="N153" s="63"/>
    </row>
    <row r="154" spans="1:14" ht="15" customHeight="1" x14ac:dyDescent="0.2">
      <c r="A154" s="63" t="str">
        <f t="shared" si="4"/>
        <v/>
      </c>
      <c r="B154" s="63" t="str">
        <f>IF($A154="","",SUMPRODUCT((MOVIMIENTOS!$B$5:$B$1005="SALDO INICIAL")*(MOVIMIENTOS!$C$5:$C$1005="A")*(MOVIMIENTOS!$D$5:$D$1005="jabas")*(MOVIMIENTOS!$A$5:$A$1005&lt;&gt;"")*(MOVIMIENTOS!$A$5:$A$1005&lt;=$A154)*MOVIMIENTOS!$E$5:$E$1005)+SUMPRODUCT((MOVIMIENTOS!$B$5:$B$1005="PROCESO")*(MOVIMIENTOS!$C$5:$C$1005="A")*(MOVIMIENTOS!$D$5:$D$1005="jabas")*(MOVIMIENTOS!$A$5:$A$1005&lt;&gt;"")*(MOVIMIENTOS!$A$5:$A$1005&lt;=$A154)*MOVIMIENTOS!$E$5:$E$1005)-SUMPRODUCT((MOVIMIENTOS!$B$5:$B$1005="ENVÍO A SUPESA")*(MOVIMIENTOS!$C$5:$C$1005="A")*(MOVIMIENTOS!$D$5:$D$1005="jabas")*(MOVIMIENTOS!$A$5:$A$1005&lt;&gt;"")*(MOVIMIENTOS!$A$5:$A$1005&lt;=$A154)*MOVIMIENTOS!$E$5:$E$1005)+SUMPRODUCT((MOVIMIENTOS!$B$5:$B$1005="DEVOLUCIÓN")*(MOVIMIENTOS!$C$5:$C$1005="A")*(MOVIMIENTOS!$D$5:$D$1005="jabas")*(MOVIMIENTOS!$A$5:$A$1005&lt;&gt;"")*(MOVIMIENTOS!$A$5:$A$1005&lt;=$A154)*MOVIMIENTOS!$E$5:$E$1005)-SUMPRODUCT((MOVIMIENTOS!$B$5:$B$1005="TRASIEGO")*(MOVIMIENTOS!$C$5:$C$1005="A")*(MOVIMIENTOS!$D$5:$D$1005="jabas")*(MOVIMIENTOS!$A$5:$A$1005&lt;&gt;"")*(MOVIMIENTOS!$A$5:$A$1005&lt;=$A154)*MOVIMIENTOS!$E$5:$E$1005)-SUMPRODUCT((MOVIMIENTOS!$B$5:$B$1005="REGALO")*(MOVIMIENTOS!$C$5:$C$1005="A")*(MOVIMIENTOS!$D$5:$D$1005="jabas")*(MOVIMIENTOS!$A$5:$A$1005&lt;&gt;"")*(MOVIMIENTOS!$A$5:$A$1005&lt;=$A154)*MOVIMIENTOS!$E$5:$E$1005)-SUMPRODUCT((MOVIMIENTOS!$B$5:$B$1005="VENTA")*(MOVIMIENTOS!$C$5:$C$1005="A")*(MOVIMIENTOS!$D$5:$D$1005="jabas")*(MOVIMIENTOS!$A$5:$A$1005&lt;&gt;"")*(MOVIMIENTOS!$A$5:$A$1005&lt;=$A154)*MOVIMIENTOS!$E$5:$E$1005)+SUMPRODUCT((MOVIMIENTOS!$B$5:$B$1005="AJUSTE")*(MOVIMIENTOS!$C$5:$C$1005="A")*(MOVIMIENTOS!$D$5:$D$1005="jabas")*(MOVIMIENTOS!$A$5:$A$1005&lt;&gt;"")*(MOVIMIENTOS!$A$5:$A$1005&lt;=$A154)*MOVIMIENTOS!$E$5:$E$1005))</f>
        <v/>
      </c>
      <c r="C154" s="63" t="str">
        <f>IF($A154="","",SUMPRODUCT((MOVIMIENTOS!$B$5:$B$1005="SALDO INICIAL")*(MOVIMIENTOS!$C$5:$C$1005="P")*(MOVIMIENTOS!$D$5:$D$1005="jabas")*(MOVIMIENTOS!$A$5:$A$1005&lt;&gt;"")*(MOVIMIENTOS!$A$5:$A$1005&lt;=$A154)*MOVIMIENTOS!$E$5:$E$1005)+SUMPRODUCT((MOVIMIENTOS!$B$5:$B$1005="PROCESO")*(MOVIMIENTOS!$C$5:$C$1005="P")*(MOVIMIENTOS!$D$5:$D$1005="jabas")*(MOVIMIENTOS!$A$5:$A$1005&lt;&gt;"")*(MOVIMIENTOS!$A$5:$A$1005&lt;=$A154)*MOVIMIENTOS!$E$5:$E$1005)-SUMPRODUCT((MOVIMIENTOS!$B$5:$B$1005="ENVÍO A SUPESA")*(MOVIMIENTOS!$C$5:$C$1005="P")*(MOVIMIENTOS!$D$5:$D$1005="jabas")*(MOVIMIENTOS!$A$5:$A$1005&lt;&gt;"")*(MOVIMIENTOS!$A$5:$A$1005&lt;=$A154)*MOVIMIENTOS!$E$5:$E$1005)+SUMPRODUCT((MOVIMIENTOS!$B$5:$B$1005="DEVOLUCIÓN")*(MOVIMIENTOS!$C$5:$C$1005="P")*(MOVIMIENTOS!$D$5:$D$1005="jabas")*(MOVIMIENTOS!$A$5:$A$1005&lt;&gt;"")*(MOVIMIENTOS!$A$5:$A$1005&lt;=$A154)*MOVIMIENTOS!$E$5:$E$1005)-SUMPRODUCT((MOVIMIENTOS!$B$5:$B$1005="TRASIEGO")*(MOVIMIENTOS!$C$5:$C$1005="P")*(MOVIMIENTOS!$D$5:$D$1005="jabas")*(MOVIMIENTOS!$A$5:$A$1005&lt;&gt;"")*(MOVIMIENTOS!$A$5:$A$1005&lt;=$A154)*MOVIMIENTOS!$E$5:$E$1005)-SUMPRODUCT((MOVIMIENTOS!$B$5:$B$1005="REGALO")*(MOVIMIENTOS!$C$5:$C$1005="P")*(MOVIMIENTOS!$D$5:$D$1005="jabas")*(MOVIMIENTOS!$A$5:$A$1005&lt;&gt;"")*(MOVIMIENTOS!$A$5:$A$1005&lt;=$A154)*MOVIMIENTOS!$E$5:$E$1005)-SUMPRODUCT((MOVIMIENTOS!$B$5:$B$1005="VENTA")*(MOVIMIENTOS!$C$5:$C$1005="P")*(MOVIMIENTOS!$D$5:$D$1005="jabas")*(MOVIMIENTOS!$A$5:$A$1005&lt;&gt;"")*(MOVIMIENTOS!$A$5:$A$1005&lt;=$A154)*MOVIMIENTOS!$E$5:$E$1005)+SUMPRODUCT((MOVIMIENTOS!$B$5:$B$1005="AJUSTE")*(MOVIMIENTOS!$C$5:$C$1005="P")*(MOVIMIENTOS!$D$5:$D$1005="jabas")*(MOVIMIENTOS!$A$5:$A$1005&lt;&gt;"")*(MOVIMIENTOS!$A$5:$A$1005&lt;=$A154)*MOVIMIENTOS!$E$5:$E$1005))</f>
        <v/>
      </c>
      <c r="D154" s="63" t="str">
        <f>IF($A154="","",SUMPRODUCT((MOVIMIENTOS!$B$5:$B$1005="SALDO INICIAL")*(MOVIMIENTOS!$C$5:$C$1005="C")*(MOVIMIENTOS!$D$5:$D$1005="jabas")*(MOVIMIENTOS!$A$5:$A$1005&lt;&gt;"")*(MOVIMIENTOS!$A$5:$A$1005&lt;=$A154)*MOVIMIENTOS!$E$5:$E$1005)+SUMPRODUCT((MOVIMIENTOS!$B$5:$B$1005="PROCESO")*(MOVIMIENTOS!$C$5:$C$1005="C")*(MOVIMIENTOS!$D$5:$D$1005="jabas")*(MOVIMIENTOS!$A$5:$A$1005&lt;&gt;"")*(MOVIMIENTOS!$A$5:$A$1005&lt;=$A154)*MOVIMIENTOS!$E$5:$E$1005)-SUMPRODUCT((MOVIMIENTOS!$B$5:$B$1005="ENVÍO A SUPESA")*(MOVIMIENTOS!$C$5:$C$1005="C")*(MOVIMIENTOS!$D$5:$D$1005="jabas")*(MOVIMIENTOS!$A$5:$A$1005&lt;&gt;"")*(MOVIMIENTOS!$A$5:$A$1005&lt;=$A154)*MOVIMIENTOS!$E$5:$E$1005)+SUMPRODUCT((MOVIMIENTOS!$B$5:$B$1005="DEVOLUCIÓN")*(MOVIMIENTOS!$C$5:$C$1005="C")*(MOVIMIENTOS!$D$5:$D$1005="jabas")*(MOVIMIENTOS!$A$5:$A$1005&lt;&gt;"")*(MOVIMIENTOS!$A$5:$A$1005&lt;=$A154)*MOVIMIENTOS!$E$5:$E$1005)-SUMPRODUCT((MOVIMIENTOS!$B$5:$B$1005="TRASIEGO")*(MOVIMIENTOS!$C$5:$C$1005="C")*(MOVIMIENTOS!$D$5:$D$1005="jabas")*(MOVIMIENTOS!$A$5:$A$1005&lt;&gt;"")*(MOVIMIENTOS!$A$5:$A$1005&lt;=$A154)*MOVIMIENTOS!$E$5:$E$1005)-SUMPRODUCT((MOVIMIENTOS!$B$5:$B$1005="REGALO")*(MOVIMIENTOS!$C$5:$C$1005="C")*(MOVIMIENTOS!$D$5:$D$1005="jabas")*(MOVIMIENTOS!$A$5:$A$1005&lt;&gt;"")*(MOVIMIENTOS!$A$5:$A$1005&lt;=$A154)*MOVIMIENTOS!$E$5:$E$1005)-SUMPRODUCT((MOVIMIENTOS!$B$5:$B$1005="VENTA")*(MOVIMIENTOS!$C$5:$C$1005="C")*(MOVIMIENTOS!$D$5:$D$1005="jabas")*(MOVIMIENTOS!$A$5:$A$1005&lt;&gt;"")*(MOVIMIENTOS!$A$5:$A$1005&lt;=$A154)*MOVIMIENTOS!$E$5:$E$1005)+SUMPRODUCT((MOVIMIENTOS!$B$5:$B$1005="AJUSTE")*(MOVIMIENTOS!$C$5:$C$1005="C")*(MOVIMIENTOS!$D$5:$D$1005="jabas")*(MOVIMIENTOS!$A$5:$A$1005&lt;&gt;"")*(MOVIMIENTOS!$A$5:$A$1005&lt;=$A154)*MOVIMIENTOS!$E$5:$E$1005))</f>
        <v/>
      </c>
      <c r="E154" s="63" t="str">
        <f>IF($A154="","",SUMPRODUCT((MOVIMIENTOS!$B$5:$B$1005="SALDO INICIAL")*(MOVIMIENTOS!$C$5:$C$1005="M")*(MOVIMIENTOS!$D$5:$D$1005="jabas")*(MOVIMIENTOS!$A$5:$A$1005&lt;&gt;"")*(MOVIMIENTOS!$A$5:$A$1005&lt;=$A154)*MOVIMIENTOS!$E$5:$E$1005)+SUMPRODUCT((MOVIMIENTOS!$B$5:$B$1005="PROCESO")*(MOVIMIENTOS!$C$5:$C$1005="M")*(MOVIMIENTOS!$D$5:$D$1005="jabas")*(MOVIMIENTOS!$A$5:$A$1005&lt;&gt;"")*(MOVIMIENTOS!$A$5:$A$1005&lt;=$A154)*MOVIMIENTOS!$E$5:$E$1005)-SUMPRODUCT((MOVIMIENTOS!$B$5:$B$1005="ENVÍO A SUPESA")*(MOVIMIENTOS!$C$5:$C$1005="M")*(MOVIMIENTOS!$D$5:$D$1005="jabas")*(MOVIMIENTOS!$A$5:$A$1005&lt;&gt;"")*(MOVIMIENTOS!$A$5:$A$1005&lt;=$A154)*MOVIMIENTOS!$E$5:$E$1005)+SUMPRODUCT((MOVIMIENTOS!$B$5:$B$1005="DEVOLUCIÓN")*(MOVIMIENTOS!$C$5:$C$1005="M")*(MOVIMIENTOS!$D$5:$D$1005="jabas")*(MOVIMIENTOS!$A$5:$A$1005&lt;&gt;"")*(MOVIMIENTOS!$A$5:$A$1005&lt;=$A154)*MOVIMIENTOS!$E$5:$E$1005)-SUMPRODUCT((MOVIMIENTOS!$B$5:$B$1005="TRASIEGO")*(MOVIMIENTOS!$C$5:$C$1005="M")*(MOVIMIENTOS!$D$5:$D$1005="jabas")*(MOVIMIENTOS!$A$5:$A$1005&lt;&gt;"")*(MOVIMIENTOS!$A$5:$A$1005&lt;=$A154)*MOVIMIENTOS!$E$5:$E$1005)-SUMPRODUCT((MOVIMIENTOS!$B$5:$B$1005="REGALO")*(MOVIMIENTOS!$C$5:$C$1005="M")*(MOVIMIENTOS!$D$5:$D$1005="jabas")*(MOVIMIENTOS!$A$5:$A$1005&lt;&gt;"")*(MOVIMIENTOS!$A$5:$A$1005&lt;=$A154)*MOVIMIENTOS!$E$5:$E$1005)-SUMPRODUCT((MOVIMIENTOS!$B$5:$B$1005="VENTA")*(MOVIMIENTOS!$C$5:$C$1005="M")*(MOVIMIENTOS!$D$5:$D$1005="jabas")*(MOVIMIENTOS!$A$5:$A$1005&lt;&gt;"")*(MOVIMIENTOS!$A$5:$A$1005&lt;=$A154)*MOVIMIENTOS!$E$5:$E$1005)+SUMPRODUCT((MOVIMIENTOS!$B$5:$B$1005="AJUSTE")*(MOVIMIENTOS!$C$5:$C$1005="M")*(MOVIMIENTOS!$D$5:$D$1005="jabas")*(MOVIMIENTOS!$A$5:$A$1005&lt;&gt;"")*(MOVIMIENTOS!$A$5:$A$1005&lt;=$A154)*MOVIMIENTOS!$E$5:$E$1005))</f>
        <v/>
      </c>
      <c r="F154" s="63" t="str">
        <f>IF($A154="","",SUMPRODUCT((MOVIMIENTOS!$B$5:$B$1005="SALDO INICIAL")*(MOVIMIENTOS!$C$5:$C$1005="Chancho")*(MOVIMIENTOS!$D$5:$D$1005="sacos")*(MOVIMIENTOS!$A$5:$A$1005&lt;&gt;"")*(MOVIMIENTOS!$A$5:$A$1005&lt;=$A154)*MOVIMIENTOS!$E$5:$E$1005)+SUMPRODUCT((MOVIMIENTOS!$B$5:$B$1005="PROCESO")*(MOVIMIENTOS!$C$5:$C$1005="Chancho")*(MOVIMIENTOS!$D$5:$D$1005="sacos")*(MOVIMIENTOS!$A$5:$A$1005&lt;&gt;"")*(MOVIMIENTOS!$A$5:$A$1005&lt;=$A154)*MOVIMIENTOS!$E$5:$E$1005)-SUMPRODUCT((MOVIMIENTOS!$B$5:$B$1005="VENTA CHANCHO")*(MOVIMIENTOS!$C$5:$C$1005="Chancho")*(MOVIMIENTOS!$D$5:$D$1005="sacos")*(MOVIMIENTOS!$A$5:$A$1005&lt;&gt;"")*(MOVIMIENTOS!$A$5:$A$1005&lt;=$A154)*MOVIMIENTOS!$E$5:$E$1005)-SUMPRODUCT((MOVIMIENTOS!$B$5:$B$1005="REGALO")*(MOVIMIENTOS!$C$5:$C$1005="Chancho")*(MOVIMIENTOS!$D$5:$D$1005="sacos")*(MOVIMIENTOS!$A$5:$A$1005&lt;&gt;"")*(MOVIMIENTOS!$A$5:$A$1005&lt;=$A154)*MOVIMIENTOS!$E$5:$E$1005)-SUMPRODUCT((MOVIMIENTOS!$B$5:$B$1005="VENTA")*(MOVIMIENTOS!$C$5:$C$1005="Chancho")*(MOVIMIENTOS!$D$5:$D$1005="sacos")*(MOVIMIENTOS!$A$5:$A$1005&lt;&gt;"")*(MOVIMIENTOS!$A$5:$A$1005&lt;=$A154)*MOVIMIENTOS!$E$5:$E$1005)+SUMPRODUCT((MOVIMIENTOS!$B$5:$B$1005="AJUSTE")*(MOVIMIENTOS!$C$5:$C$1005="Chancho")*(MOVIMIENTOS!$D$5:$D$1005="sacos")*(MOVIMIENTOS!$A$5:$A$1005&lt;&gt;"")*(MOVIMIENTOS!$A$5:$A$1005&lt;=$A154)*MOVIMIENTOS!$E$5:$E$1005))</f>
        <v/>
      </c>
      <c r="G154" s="95" t="str">
        <f t="shared" si="5"/>
        <v/>
      </c>
      <c r="H154" s="63" t="str">
        <f>IF($A154="","",SUMPRODUCT((((MOVIMIENTOS!$B$5:$B$1005="SALDO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154)*MOVIMIENTOS!$J$5:$J$1005))</f>
        <v/>
      </c>
      <c r="I154" s="63"/>
      <c r="J154" s="63" t="str">
        <f>IF(AND(MOVIMIENTOS!$A154&lt;&gt;"",COUNTIF(MOVIMIENTOS!$A$5:$A153,MOVIMIENTOS!$A154)=0),COUNT(J$4:J153)+1,"")</f>
        <v/>
      </c>
      <c r="K154" s="66">
        <f>MOVIMIENTOS!$A154</f>
        <v>46227</v>
      </c>
      <c r="L154" s="63"/>
      <c r="M154" s="63"/>
      <c r="N154" s="63"/>
    </row>
    <row r="155" spans="1:14" ht="15" customHeight="1" x14ac:dyDescent="0.2">
      <c r="A155" s="63" t="str">
        <f t="shared" si="4"/>
        <v/>
      </c>
      <c r="B155" s="63" t="str">
        <f>IF($A155="","",SUMPRODUCT((MOVIMIENTOS!$B$5:$B$1005="SALDO INICIAL")*(MOVIMIENTOS!$C$5:$C$1005="A")*(MOVIMIENTOS!$D$5:$D$1005="jabas")*(MOVIMIENTOS!$A$5:$A$1005&lt;&gt;"")*(MOVIMIENTOS!$A$5:$A$1005&lt;=$A155)*MOVIMIENTOS!$E$5:$E$1005)+SUMPRODUCT((MOVIMIENTOS!$B$5:$B$1005="PROCESO")*(MOVIMIENTOS!$C$5:$C$1005="A")*(MOVIMIENTOS!$D$5:$D$1005="jabas")*(MOVIMIENTOS!$A$5:$A$1005&lt;&gt;"")*(MOVIMIENTOS!$A$5:$A$1005&lt;=$A155)*MOVIMIENTOS!$E$5:$E$1005)-SUMPRODUCT((MOVIMIENTOS!$B$5:$B$1005="ENVÍO A SUPESA")*(MOVIMIENTOS!$C$5:$C$1005="A")*(MOVIMIENTOS!$D$5:$D$1005="jabas")*(MOVIMIENTOS!$A$5:$A$1005&lt;&gt;"")*(MOVIMIENTOS!$A$5:$A$1005&lt;=$A155)*MOVIMIENTOS!$E$5:$E$1005)+SUMPRODUCT((MOVIMIENTOS!$B$5:$B$1005="DEVOLUCIÓN")*(MOVIMIENTOS!$C$5:$C$1005="A")*(MOVIMIENTOS!$D$5:$D$1005="jabas")*(MOVIMIENTOS!$A$5:$A$1005&lt;&gt;"")*(MOVIMIENTOS!$A$5:$A$1005&lt;=$A155)*MOVIMIENTOS!$E$5:$E$1005)-SUMPRODUCT((MOVIMIENTOS!$B$5:$B$1005="TRASIEGO")*(MOVIMIENTOS!$C$5:$C$1005="A")*(MOVIMIENTOS!$D$5:$D$1005="jabas")*(MOVIMIENTOS!$A$5:$A$1005&lt;&gt;"")*(MOVIMIENTOS!$A$5:$A$1005&lt;=$A155)*MOVIMIENTOS!$E$5:$E$1005)-SUMPRODUCT((MOVIMIENTOS!$B$5:$B$1005="REGALO")*(MOVIMIENTOS!$C$5:$C$1005="A")*(MOVIMIENTOS!$D$5:$D$1005="jabas")*(MOVIMIENTOS!$A$5:$A$1005&lt;&gt;"")*(MOVIMIENTOS!$A$5:$A$1005&lt;=$A155)*MOVIMIENTOS!$E$5:$E$1005)-SUMPRODUCT((MOVIMIENTOS!$B$5:$B$1005="VENTA")*(MOVIMIENTOS!$C$5:$C$1005="A")*(MOVIMIENTOS!$D$5:$D$1005="jabas")*(MOVIMIENTOS!$A$5:$A$1005&lt;&gt;"")*(MOVIMIENTOS!$A$5:$A$1005&lt;=$A155)*MOVIMIENTOS!$E$5:$E$1005)+SUMPRODUCT((MOVIMIENTOS!$B$5:$B$1005="AJUSTE")*(MOVIMIENTOS!$C$5:$C$1005="A")*(MOVIMIENTOS!$D$5:$D$1005="jabas")*(MOVIMIENTOS!$A$5:$A$1005&lt;&gt;"")*(MOVIMIENTOS!$A$5:$A$1005&lt;=$A155)*MOVIMIENTOS!$E$5:$E$1005))</f>
        <v/>
      </c>
      <c r="C155" s="63" t="str">
        <f>IF($A155="","",SUMPRODUCT((MOVIMIENTOS!$B$5:$B$1005="SALDO INICIAL")*(MOVIMIENTOS!$C$5:$C$1005="P")*(MOVIMIENTOS!$D$5:$D$1005="jabas")*(MOVIMIENTOS!$A$5:$A$1005&lt;&gt;"")*(MOVIMIENTOS!$A$5:$A$1005&lt;=$A155)*MOVIMIENTOS!$E$5:$E$1005)+SUMPRODUCT((MOVIMIENTOS!$B$5:$B$1005="PROCESO")*(MOVIMIENTOS!$C$5:$C$1005="P")*(MOVIMIENTOS!$D$5:$D$1005="jabas")*(MOVIMIENTOS!$A$5:$A$1005&lt;&gt;"")*(MOVIMIENTOS!$A$5:$A$1005&lt;=$A155)*MOVIMIENTOS!$E$5:$E$1005)-SUMPRODUCT((MOVIMIENTOS!$B$5:$B$1005="ENVÍO A SUPESA")*(MOVIMIENTOS!$C$5:$C$1005="P")*(MOVIMIENTOS!$D$5:$D$1005="jabas")*(MOVIMIENTOS!$A$5:$A$1005&lt;&gt;"")*(MOVIMIENTOS!$A$5:$A$1005&lt;=$A155)*MOVIMIENTOS!$E$5:$E$1005)+SUMPRODUCT((MOVIMIENTOS!$B$5:$B$1005="DEVOLUCIÓN")*(MOVIMIENTOS!$C$5:$C$1005="P")*(MOVIMIENTOS!$D$5:$D$1005="jabas")*(MOVIMIENTOS!$A$5:$A$1005&lt;&gt;"")*(MOVIMIENTOS!$A$5:$A$1005&lt;=$A155)*MOVIMIENTOS!$E$5:$E$1005)-SUMPRODUCT((MOVIMIENTOS!$B$5:$B$1005="TRASIEGO")*(MOVIMIENTOS!$C$5:$C$1005="P")*(MOVIMIENTOS!$D$5:$D$1005="jabas")*(MOVIMIENTOS!$A$5:$A$1005&lt;&gt;"")*(MOVIMIENTOS!$A$5:$A$1005&lt;=$A155)*MOVIMIENTOS!$E$5:$E$1005)-SUMPRODUCT((MOVIMIENTOS!$B$5:$B$1005="REGALO")*(MOVIMIENTOS!$C$5:$C$1005="P")*(MOVIMIENTOS!$D$5:$D$1005="jabas")*(MOVIMIENTOS!$A$5:$A$1005&lt;&gt;"")*(MOVIMIENTOS!$A$5:$A$1005&lt;=$A155)*MOVIMIENTOS!$E$5:$E$1005)-SUMPRODUCT((MOVIMIENTOS!$B$5:$B$1005="VENTA")*(MOVIMIENTOS!$C$5:$C$1005="P")*(MOVIMIENTOS!$D$5:$D$1005="jabas")*(MOVIMIENTOS!$A$5:$A$1005&lt;&gt;"")*(MOVIMIENTOS!$A$5:$A$1005&lt;=$A155)*MOVIMIENTOS!$E$5:$E$1005)+SUMPRODUCT((MOVIMIENTOS!$B$5:$B$1005="AJUSTE")*(MOVIMIENTOS!$C$5:$C$1005="P")*(MOVIMIENTOS!$D$5:$D$1005="jabas")*(MOVIMIENTOS!$A$5:$A$1005&lt;&gt;"")*(MOVIMIENTOS!$A$5:$A$1005&lt;=$A155)*MOVIMIENTOS!$E$5:$E$1005))</f>
        <v/>
      </c>
      <c r="D155" s="63" t="str">
        <f>IF($A155="","",SUMPRODUCT((MOVIMIENTOS!$B$5:$B$1005="SALDO INICIAL")*(MOVIMIENTOS!$C$5:$C$1005="C")*(MOVIMIENTOS!$D$5:$D$1005="jabas")*(MOVIMIENTOS!$A$5:$A$1005&lt;&gt;"")*(MOVIMIENTOS!$A$5:$A$1005&lt;=$A155)*MOVIMIENTOS!$E$5:$E$1005)+SUMPRODUCT((MOVIMIENTOS!$B$5:$B$1005="PROCESO")*(MOVIMIENTOS!$C$5:$C$1005="C")*(MOVIMIENTOS!$D$5:$D$1005="jabas")*(MOVIMIENTOS!$A$5:$A$1005&lt;&gt;"")*(MOVIMIENTOS!$A$5:$A$1005&lt;=$A155)*MOVIMIENTOS!$E$5:$E$1005)-SUMPRODUCT((MOVIMIENTOS!$B$5:$B$1005="ENVÍO A SUPESA")*(MOVIMIENTOS!$C$5:$C$1005="C")*(MOVIMIENTOS!$D$5:$D$1005="jabas")*(MOVIMIENTOS!$A$5:$A$1005&lt;&gt;"")*(MOVIMIENTOS!$A$5:$A$1005&lt;=$A155)*MOVIMIENTOS!$E$5:$E$1005)+SUMPRODUCT((MOVIMIENTOS!$B$5:$B$1005="DEVOLUCIÓN")*(MOVIMIENTOS!$C$5:$C$1005="C")*(MOVIMIENTOS!$D$5:$D$1005="jabas")*(MOVIMIENTOS!$A$5:$A$1005&lt;&gt;"")*(MOVIMIENTOS!$A$5:$A$1005&lt;=$A155)*MOVIMIENTOS!$E$5:$E$1005)-SUMPRODUCT((MOVIMIENTOS!$B$5:$B$1005="TRASIEGO")*(MOVIMIENTOS!$C$5:$C$1005="C")*(MOVIMIENTOS!$D$5:$D$1005="jabas")*(MOVIMIENTOS!$A$5:$A$1005&lt;&gt;"")*(MOVIMIENTOS!$A$5:$A$1005&lt;=$A155)*MOVIMIENTOS!$E$5:$E$1005)-SUMPRODUCT((MOVIMIENTOS!$B$5:$B$1005="REGALO")*(MOVIMIENTOS!$C$5:$C$1005="C")*(MOVIMIENTOS!$D$5:$D$1005="jabas")*(MOVIMIENTOS!$A$5:$A$1005&lt;&gt;"")*(MOVIMIENTOS!$A$5:$A$1005&lt;=$A155)*MOVIMIENTOS!$E$5:$E$1005)-SUMPRODUCT((MOVIMIENTOS!$B$5:$B$1005="VENTA")*(MOVIMIENTOS!$C$5:$C$1005="C")*(MOVIMIENTOS!$D$5:$D$1005="jabas")*(MOVIMIENTOS!$A$5:$A$1005&lt;&gt;"")*(MOVIMIENTOS!$A$5:$A$1005&lt;=$A155)*MOVIMIENTOS!$E$5:$E$1005)+SUMPRODUCT((MOVIMIENTOS!$B$5:$B$1005="AJUSTE")*(MOVIMIENTOS!$C$5:$C$1005="C")*(MOVIMIENTOS!$D$5:$D$1005="jabas")*(MOVIMIENTOS!$A$5:$A$1005&lt;&gt;"")*(MOVIMIENTOS!$A$5:$A$1005&lt;=$A155)*MOVIMIENTOS!$E$5:$E$1005))</f>
        <v/>
      </c>
      <c r="E155" s="63" t="str">
        <f>IF($A155="","",SUMPRODUCT((MOVIMIENTOS!$B$5:$B$1005="SALDO INICIAL")*(MOVIMIENTOS!$C$5:$C$1005="M")*(MOVIMIENTOS!$D$5:$D$1005="jabas")*(MOVIMIENTOS!$A$5:$A$1005&lt;&gt;"")*(MOVIMIENTOS!$A$5:$A$1005&lt;=$A155)*MOVIMIENTOS!$E$5:$E$1005)+SUMPRODUCT((MOVIMIENTOS!$B$5:$B$1005="PROCESO")*(MOVIMIENTOS!$C$5:$C$1005="M")*(MOVIMIENTOS!$D$5:$D$1005="jabas")*(MOVIMIENTOS!$A$5:$A$1005&lt;&gt;"")*(MOVIMIENTOS!$A$5:$A$1005&lt;=$A155)*MOVIMIENTOS!$E$5:$E$1005)-SUMPRODUCT((MOVIMIENTOS!$B$5:$B$1005="ENVÍO A SUPESA")*(MOVIMIENTOS!$C$5:$C$1005="M")*(MOVIMIENTOS!$D$5:$D$1005="jabas")*(MOVIMIENTOS!$A$5:$A$1005&lt;&gt;"")*(MOVIMIENTOS!$A$5:$A$1005&lt;=$A155)*MOVIMIENTOS!$E$5:$E$1005)+SUMPRODUCT((MOVIMIENTOS!$B$5:$B$1005="DEVOLUCIÓN")*(MOVIMIENTOS!$C$5:$C$1005="M")*(MOVIMIENTOS!$D$5:$D$1005="jabas")*(MOVIMIENTOS!$A$5:$A$1005&lt;&gt;"")*(MOVIMIENTOS!$A$5:$A$1005&lt;=$A155)*MOVIMIENTOS!$E$5:$E$1005)-SUMPRODUCT((MOVIMIENTOS!$B$5:$B$1005="TRASIEGO")*(MOVIMIENTOS!$C$5:$C$1005="M")*(MOVIMIENTOS!$D$5:$D$1005="jabas")*(MOVIMIENTOS!$A$5:$A$1005&lt;&gt;"")*(MOVIMIENTOS!$A$5:$A$1005&lt;=$A155)*MOVIMIENTOS!$E$5:$E$1005)-SUMPRODUCT((MOVIMIENTOS!$B$5:$B$1005="REGALO")*(MOVIMIENTOS!$C$5:$C$1005="M")*(MOVIMIENTOS!$D$5:$D$1005="jabas")*(MOVIMIENTOS!$A$5:$A$1005&lt;&gt;"")*(MOVIMIENTOS!$A$5:$A$1005&lt;=$A155)*MOVIMIENTOS!$E$5:$E$1005)-SUMPRODUCT((MOVIMIENTOS!$B$5:$B$1005="VENTA")*(MOVIMIENTOS!$C$5:$C$1005="M")*(MOVIMIENTOS!$D$5:$D$1005="jabas")*(MOVIMIENTOS!$A$5:$A$1005&lt;&gt;"")*(MOVIMIENTOS!$A$5:$A$1005&lt;=$A155)*MOVIMIENTOS!$E$5:$E$1005)+SUMPRODUCT((MOVIMIENTOS!$B$5:$B$1005="AJUSTE")*(MOVIMIENTOS!$C$5:$C$1005="M")*(MOVIMIENTOS!$D$5:$D$1005="jabas")*(MOVIMIENTOS!$A$5:$A$1005&lt;&gt;"")*(MOVIMIENTOS!$A$5:$A$1005&lt;=$A155)*MOVIMIENTOS!$E$5:$E$1005))</f>
        <v/>
      </c>
      <c r="F155" s="63" t="str">
        <f>IF($A155="","",SUMPRODUCT((MOVIMIENTOS!$B$5:$B$1005="SALDO INICIAL")*(MOVIMIENTOS!$C$5:$C$1005="Chancho")*(MOVIMIENTOS!$D$5:$D$1005="sacos")*(MOVIMIENTOS!$A$5:$A$1005&lt;&gt;"")*(MOVIMIENTOS!$A$5:$A$1005&lt;=$A155)*MOVIMIENTOS!$E$5:$E$1005)+SUMPRODUCT((MOVIMIENTOS!$B$5:$B$1005="PROCESO")*(MOVIMIENTOS!$C$5:$C$1005="Chancho")*(MOVIMIENTOS!$D$5:$D$1005="sacos")*(MOVIMIENTOS!$A$5:$A$1005&lt;&gt;"")*(MOVIMIENTOS!$A$5:$A$1005&lt;=$A155)*MOVIMIENTOS!$E$5:$E$1005)-SUMPRODUCT((MOVIMIENTOS!$B$5:$B$1005="VENTA CHANCHO")*(MOVIMIENTOS!$C$5:$C$1005="Chancho")*(MOVIMIENTOS!$D$5:$D$1005="sacos")*(MOVIMIENTOS!$A$5:$A$1005&lt;&gt;"")*(MOVIMIENTOS!$A$5:$A$1005&lt;=$A155)*MOVIMIENTOS!$E$5:$E$1005)-SUMPRODUCT((MOVIMIENTOS!$B$5:$B$1005="REGALO")*(MOVIMIENTOS!$C$5:$C$1005="Chancho")*(MOVIMIENTOS!$D$5:$D$1005="sacos")*(MOVIMIENTOS!$A$5:$A$1005&lt;&gt;"")*(MOVIMIENTOS!$A$5:$A$1005&lt;=$A155)*MOVIMIENTOS!$E$5:$E$1005)-SUMPRODUCT((MOVIMIENTOS!$B$5:$B$1005="VENTA")*(MOVIMIENTOS!$C$5:$C$1005="Chancho")*(MOVIMIENTOS!$D$5:$D$1005="sacos")*(MOVIMIENTOS!$A$5:$A$1005&lt;&gt;"")*(MOVIMIENTOS!$A$5:$A$1005&lt;=$A155)*MOVIMIENTOS!$E$5:$E$1005)+SUMPRODUCT((MOVIMIENTOS!$B$5:$B$1005="AJUSTE")*(MOVIMIENTOS!$C$5:$C$1005="Chancho")*(MOVIMIENTOS!$D$5:$D$1005="sacos")*(MOVIMIENTOS!$A$5:$A$1005&lt;&gt;"")*(MOVIMIENTOS!$A$5:$A$1005&lt;=$A155)*MOVIMIENTOS!$E$5:$E$1005))</f>
        <v/>
      </c>
      <c r="G155" s="95" t="str">
        <f t="shared" si="5"/>
        <v/>
      </c>
      <c r="H155" s="63" t="str">
        <f>IF($A155="","",SUMPRODUCT((((MOVIMIENTOS!$B$5:$B$1005="SALDO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155)*MOVIMIENTOS!$J$5:$J$1005))</f>
        <v/>
      </c>
      <c r="I155" s="63"/>
      <c r="J155" s="63" t="str">
        <f>IF(AND(MOVIMIENTOS!$A155&lt;&gt;"",COUNTIF(MOVIMIENTOS!$A$5:$A154,MOVIMIENTOS!$A155)=0),COUNT(J$4:J154)+1,"")</f>
        <v/>
      </c>
      <c r="K155" s="66">
        <f>MOVIMIENTOS!$A155</f>
        <v>46227</v>
      </c>
      <c r="L155" s="63"/>
      <c r="M155" s="63"/>
      <c r="N155" s="63"/>
    </row>
    <row r="156" spans="1:14" ht="15" customHeight="1" x14ac:dyDescent="0.2">
      <c r="A156" s="63" t="str">
        <f t="shared" si="4"/>
        <v/>
      </c>
      <c r="B156" s="63" t="str">
        <f>IF($A156="","",SUMPRODUCT((MOVIMIENTOS!$B$5:$B$1005="SALDO INICIAL")*(MOVIMIENTOS!$C$5:$C$1005="A")*(MOVIMIENTOS!$D$5:$D$1005="jabas")*(MOVIMIENTOS!$A$5:$A$1005&lt;&gt;"")*(MOVIMIENTOS!$A$5:$A$1005&lt;=$A156)*MOVIMIENTOS!$E$5:$E$1005)+SUMPRODUCT((MOVIMIENTOS!$B$5:$B$1005="PROCESO")*(MOVIMIENTOS!$C$5:$C$1005="A")*(MOVIMIENTOS!$D$5:$D$1005="jabas")*(MOVIMIENTOS!$A$5:$A$1005&lt;&gt;"")*(MOVIMIENTOS!$A$5:$A$1005&lt;=$A156)*MOVIMIENTOS!$E$5:$E$1005)-SUMPRODUCT((MOVIMIENTOS!$B$5:$B$1005="ENVÍO A SUPESA")*(MOVIMIENTOS!$C$5:$C$1005="A")*(MOVIMIENTOS!$D$5:$D$1005="jabas")*(MOVIMIENTOS!$A$5:$A$1005&lt;&gt;"")*(MOVIMIENTOS!$A$5:$A$1005&lt;=$A156)*MOVIMIENTOS!$E$5:$E$1005)+SUMPRODUCT((MOVIMIENTOS!$B$5:$B$1005="DEVOLUCIÓN")*(MOVIMIENTOS!$C$5:$C$1005="A")*(MOVIMIENTOS!$D$5:$D$1005="jabas")*(MOVIMIENTOS!$A$5:$A$1005&lt;&gt;"")*(MOVIMIENTOS!$A$5:$A$1005&lt;=$A156)*MOVIMIENTOS!$E$5:$E$1005)-SUMPRODUCT((MOVIMIENTOS!$B$5:$B$1005="TRASIEGO")*(MOVIMIENTOS!$C$5:$C$1005="A")*(MOVIMIENTOS!$D$5:$D$1005="jabas")*(MOVIMIENTOS!$A$5:$A$1005&lt;&gt;"")*(MOVIMIENTOS!$A$5:$A$1005&lt;=$A156)*MOVIMIENTOS!$E$5:$E$1005)-SUMPRODUCT((MOVIMIENTOS!$B$5:$B$1005="REGALO")*(MOVIMIENTOS!$C$5:$C$1005="A")*(MOVIMIENTOS!$D$5:$D$1005="jabas")*(MOVIMIENTOS!$A$5:$A$1005&lt;&gt;"")*(MOVIMIENTOS!$A$5:$A$1005&lt;=$A156)*MOVIMIENTOS!$E$5:$E$1005)-SUMPRODUCT((MOVIMIENTOS!$B$5:$B$1005="VENTA")*(MOVIMIENTOS!$C$5:$C$1005="A")*(MOVIMIENTOS!$D$5:$D$1005="jabas")*(MOVIMIENTOS!$A$5:$A$1005&lt;&gt;"")*(MOVIMIENTOS!$A$5:$A$1005&lt;=$A156)*MOVIMIENTOS!$E$5:$E$1005)+SUMPRODUCT((MOVIMIENTOS!$B$5:$B$1005="AJUSTE")*(MOVIMIENTOS!$C$5:$C$1005="A")*(MOVIMIENTOS!$D$5:$D$1005="jabas")*(MOVIMIENTOS!$A$5:$A$1005&lt;&gt;"")*(MOVIMIENTOS!$A$5:$A$1005&lt;=$A156)*MOVIMIENTOS!$E$5:$E$1005))</f>
        <v/>
      </c>
      <c r="C156" s="63" t="str">
        <f>IF($A156="","",SUMPRODUCT((MOVIMIENTOS!$B$5:$B$1005="SALDO INICIAL")*(MOVIMIENTOS!$C$5:$C$1005="P")*(MOVIMIENTOS!$D$5:$D$1005="jabas")*(MOVIMIENTOS!$A$5:$A$1005&lt;&gt;"")*(MOVIMIENTOS!$A$5:$A$1005&lt;=$A156)*MOVIMIENTOS!$E$5:$E$1005)+SUMPRODUCT((MOVIMIENTOS!$B$5:$B$1005="PROCESO")*(MOVIMIENTOS!$C$5:$C$1005="P")*(MOVIMIENTOS!$D$5:$D$1005="jabas")*(MOVIMIENTOS!$A$5:$A$1005&lt;&gt;"")*(MOVIMIENTOS!$A$5:$A$1005&lt;=$A156)*MOVIMIENTOS!$E$5:$E$1005)-SUMPRODUCT((MOVIMIENTOS!$B$5:$B$1005="ENVÍO A SUPESA")*(MOVIMIENTOS!$C$5:$C$1005="P")*(MOVIMIENTOS!$D$5:$D$1005="jabas")*(MOVIMIENTOS!$A$5:$A$1005&lt;&gt;"")*(MOVIMIENTOS!$A$5:$A$1005&lt;=$A156)*MOVIMIENTOS!$E$5:$E$1005)+SUMPRODUCT((MOVIMIENTOS!$B$5:$B$1005="DEVOLUCIÓN")*(MOVIMIENTOS!$C$5:$C$1005="P")*(MOVIMIENTOS!$D$5:$D$1005="jabas")*(MOVIMIENTOS!$A$5:$A$1005&lt;&gt;"")*(MOVIMIENTOS!$A$5:$A$1005&lt;=$A156)*MOVIMIENTOS!$E$5:$E$1005)-SUMPRODUCT((MOVIMIENTOS!$B$5:$B$1005="TRASIEGO")*(MOVIMIENTOS!$C$5:$C$1005="P")*(MOVIMIENTOS!$D$5:$D$1005="jabas")*(MOVIMIENTOS!$A$5:$A$1005&lt;&gt;"")*(MOVIMIENTOS!$A$5:$A$1005&lt;=$A156)*MOVIMIENTOS!$E$5:$E$1005)-SUMPRODUCT((MOVIMIENTOS!$B$5:$B$1005="REGALO")*(MOVIMIENTOS!$C$5:$C$1005="P")*(MOVIMIENTOS!$D$5:$D$1005="jabas")*(MOVIMIENTOS!$A$5:$A$1005&lt;&gt;"")*(MOVIMIENTOS!$A$5:$A$1005&lt;=$A156)*MOVIMIENTOS!$E$5:$E$1005)-SUMPRODUCT((MOVIMIENTOS!$B$5:$B$1005="VENTA")*(MOVIMIENTOS!$C$5:$C$1005="P")*(MOVIMIENTOS!$D$5:$D$1005="jabas")*(MOVIMIENTOS!$A$5:$A$1005&lt;&gt;"")*(MOVIMIENTOS!$A$5:$A$1005&lt;=$A156)*MOVIMIENTOS!$E$5:$E$1005)+SUMPRODUCT((MOVIMIENTOS!$B$5:$B$1005="AJUSTE")*(MOVIMIENTOS!$C$5:$C$1005="P")*(MOVIMIENTOS!$D$5:$D$1005="jabas")*(MOVIMIENTOS!$A$5:$A$1005&lt;&gt;"")*(MOVIMIENTOS!$A$5:$A$1005&lt;=$A156)*MOVIMIENTOS!$E$5:$E$1005))</f>
        <v/>
      </c>
      <c r="D156" s="63" t="str">
        <f>IF($A156="","",SUMPRODUCT((MOVIMIENTOS!$B$5:$B$1005="SALDO INICIAL")*(MOVIMIENTOS!$C$5:$C$1005="C")*(MOVIMIENTOS!$D$5:$D$1005="jabas")*(MOVIMIENTOS!$A$5:$A$1005&lt;&gt;"")*(MOVIMIENTOS!$A$5:$A$1005&lt;=$A156)*MOVIMIENTOS!$E$5:$E$1005)+SUMPRODUCT((MOVIMIENTOS!$B$5:$B$1005="PROCESO")*(MOVIMIENTOS!$C$5:$C$1005="C")*(MOVIMIENTOS!$D$5:$D$1005="jabas")*(MOVIMIENTOS!$A$5:$A$1005&lt;&gt;"")*(MOVIMIENTOS!$A$5:$A$1005&lt;=$A156)*MOVIMIENTOS!$E$5:$E$1005)-SUMPRODUCT((MOVIMIENTOS!$B$5:$B$1005="ENVÍO A SUPESA")*(MOVIMIENTOS!$C$5:$C$1005="C")*(MOVIMIENTOS!$D$5:$D$1005="jabas")*(MOVIMIENTOS!$A$5:$A$1005&lt;&gt;"")*(MOVIMIENTOS!$A$5:$A$1005&lt;=$A156)*MOVIMIENTOS!$E$5:$E$1005)+SUMPRODUCT((MOVIMIENTOS!$B$5:$B$1005="DEVOLUCIÓN")*(MOVIMIENTOS!$C$5:$C$1005="C")*(MOVIMIENTOS!$D$5:$D$1005="jabas")*(MOVIMIENTOS!$A$5:$A$1005&lt;&gt;"")*(MOVIMIENTOS!$A$5:$A$1005&lt;=$A156)*MOVIMIENTOS!$E$5:$E$1005)-SUMPRODUCT((MOVIMIENTOS!$B$5:$B$1005="TRASIEGO")*(MOVIMIENTOS!$C$5:$C$1005="C")*(MOVIMIENTOS!$D$5:$D$1005="jabas")*(MOVIMIENTOS!$A$5:$A$1005&lt;&gt;"")*(MOVIMIENTOS!$A$5:$A$1005&lt;=$A156)*MOVIMIENTOS!$E$5:$E$1005)-SUMPRODUCT((MOVIMIENTOS!$B$5:$B$1005="REGALO")*(MOVIMIENTOS!$C$5:$C$1005="C")*(MOVIMIENTOS!$D$5:$D$1005="jabas")*(MOVIMIENTOS!$A$5:$A$1005&lt;&gt;"")*(MOVIMIENTOS!$A$5:$A$1005&lt;=$A156)*MOVIMIENTOS!$E$5:$E$1005)-SUMPRODUCT((MOVIMIENTOS!$B$5:$B$1005="VENTA")*(MOVIMIENTOS!$C$5:$C$1005="C")*(MOVIMIENTOS!$D$5:$D$1005="jabas")*(MOVIMIENTOS!$A$5:$A$1005&lt;&gt;"")*(MOVIMIENTOS!$A$5:$A$1005&lt;=$A156)*MOVIMIENTOS!$E$5:$E$1005)+SUMPRODUCT((MOVIMIENTOS!$B$5:$B$1005="AJUSTE")*(MOVIMIENTOS!$C$5:$C$1005="C")*(MOVIMIENTOS!$D$5:$D$1005="jabas")*(MOVIMIENTOS!$A$5:$A$1005&lt;&gt;"")*(MOVIMIENTOS!$A$5:$A$1005&lt;=$A156)*MOVIMIENTOS!$E$5:$E$1005))</f>
        <v/>
      </c>
      <c r="E156" s="63" t="str">
        <f>IF($A156="","",SUMPRODUCT((MOVIMIENTOS!$B$5:$B$1005="SALDO INICIAL")*(MOVIMIENTOS!$C$5:$C$1005="M")*(MOVIMIENTOS!$D$5:$D$1005="jabas")*(MOVIMIENTOS!$A$5:$A$1005&lt;&gt;"")*(MOVIMIENTOS!$A$5:$A$1005&lt;=$A156)*MOVIMIENTOS!$E$5:$E$1005)+SUMPRODUCT((MOVIMIENTOS!$B$5:$B$1005="PROCESO")*(MOVIMIENTOS!$C$5:$C$1005="M")*(MOVIMIENTOS!$D$5:$D$1005="jabas")*(MOVIMIENTOS!$A$5:$A$1005&lt;&gt;"")*(MOVIMIENTOS!$A$5:$A$1005&lt;=$A156)*MOVIMIENTOS!$E$5:$E$1005)-SUMPRODUCT((MOVIMIENTOS!$B$5:$B$1005="ENVÍO A SUPESA")*(MOVIMIENTOS!$C$5:$C$1005="M")*(MOVIMIENTOS!$D$5:$D$1005="jabas")*(MOVIMIENTOS!$A$5:$A$1005&lt;&gt;"")*(MOVIMIENTOS!$A$5:$A$1005&lt;=$A156)*MOVIMIENTOS!$E$5:$E$1005)+SUMPRODUCT((MOVIMIENTOS!$B$5:$B$1005="DEVOLUCIÓN")*(MOVIMIENTOS!$C$5:$C$1005="M")*(MOVIMIENTOS!$D$5:$D$1005="jabas")*(MOVIMIENTOS!$A$5:$A$1005&lt;&gt;"")*(MOVIMIENTOS!$A$5:$A$1005&lt;=$A156)*MOVIMIENTOS!$E$5:$E$1005)-SUMPRODUCT((MOVIMIENTOS!$B$5:$B$1005="TRASIEGO")*(MOVIMIENTOS!$C$5:$C$1005="M")*(MOVIMIENTOS!$D$5:$D$1005="jabas")*(MOVIMIENTOS!$A$5:$A$1005&lt;&gt;"")*(MOVIMIENTOS!$A$5:$A$1005&lt;=$A156)*MOVIMIENTOS!$E$5:$E$1005)-SUMPRODUCT((MOVIMIENTOS!$B$5:$B$1005="REGALO")*(MOVIMIENTOS!$C$5:$C$1005="M")*(MOVIMIENTOS!$D$5:$D$1005="jabas")*(MOVIMIENTOS!$A$5:$A$1005&lt;&gt;"")*(MOVIMIENTOS!$A$5:$A$1005&lt;=$A156)*MOVIMIENTOS!$E$5:$E$1005)-SUMPRODUCT((MOVIMIENTOS!$B$5:$B$1005="VENTA")*(MOVIMIENTOS!$C$5:$C$1005="M")*(MOVIMIENTOS!$D$5:$D$1005="jabas")*(MOVIMIENTOS!$A$5:$A$1005&lt;&gt;"")*(MOVIMIENTOS!$A$5:$A$1005&lt;=$A156)*MOVIMIENTOS!$E$5:$E$1005)+SUMPRODUCT((MOVIMIENTOS!$B$5:$B$1005="AJUSTE")*(MOVIMIENTOS!$C$5:$C$1005="M")*(MOVIMIENTOS!$D$5:$D$1005="jabas")*(MOVIMIENTOS!$A$5:$A$1005&lt;&gt;"")*(MOVIMIENTOS!$A$5:$A$1005&lt;=$A156)*MOVIMIENTOS!$E$5:$E$1005))</f>
        <v/>
      </c>
      <c r="F156" s="63" t="str">
        <f>IF($A156="","",SUMPRODUCT((MOVIMIENTOS!$B$5:$B$1005="SALDO INICIAL")*(MOVIMIENTOS!$C$5:$C$1005="Chancho")*(MOVIMIENTOS!$D$5:$D$1005="sacos")*(MOVIMIENTOS!$A$5:$A$1005&lt;&gt;"")*(MOVIMIENTOS!$A$5:$A$1005&lt;=$A156)*MOVIMIENTOS!$E$5:$E$1005)+SUMPRODUCT((MOVIMIENTOS!$B$5:$B$1005="PROCESO")*(MOVIMIENTOS!$C$5:$C$1005="Chancho")*(MOVIMIENTOS!$D$5:$D$1005="sacos")*(MOVIMIENTOS!$A$5:$A$1005&lt;&gt;"")*(MOVIMIENTOS!$A$5:$A$1005&lt;=$A156)*MOVIMIENTOS!$E$5:$E$1005)-SUMPRODUCT((MOVIMIENTOS!$B$5:$B$1005="VENTA CHANCHO")*(MOVIMIENTOS!$C$5:$C$1005="Chancho")*(MOVIMIENTOS!$D$5:$D$1005="sacos")*(MOVIMIENTOS!$A$5:$A$1005&lt;&gt;"")*(MOVIMIENTOS!$A$5:$A$1005&lt;=$A156)*MOVIMIENTOS!$E$5:$E$1005)-SUMPRODUCT((MOVIMIENTOS!$B$5:$B$1005="REGALO")*(MOVIMIENTOS!$C$5:$C$1005="Chancho")*(MOVIMIENTOS!$D$5:$D$1005="sacos")*(MOVIMIENTOS!$A$5:$A$1005&lt;&gt;"")*(MOVIMIENTOS!$A$5:$A$1005&lt;=$A156)*MOVIMIENTOS!$E$5:$E$1005)-SUMPRODUCT((MOVIMIENTOS!$B$5:$B$1005="VENTA")*(MOVIMIENTOS!$C$5:$C$1005="Chancho")*(MOVIMIENTOS!$D$5:$D$1005="sacos")*(MOVIMIENTOS!$A$5:$A$1005&lt;&gt;"")*(MOVIMIENTOS!$A$5:$A$1005&lt;=$A156)*MOVIMIENTOS!$E$5:$E$1005)+SUMPRODUCT((MOVIMIENTOS!$B$5:$B$1005="AJUSTE")*(MOVIMIENTOS!$C$5:$C$1005="Chancho")*(MOVIMIENTOS!$D$5:$D$1005="sacos")*(MOVIMIENTOS!$A$5:$A$1005&lt;&gt;"")*(MOVIMIENTOS!$A$5:$A$1005&lt;=$A156)*MOVIMIENTOS!$E$5:$E$1005))</f>
        <v/>
      </c>
      <c r="G156" s="95" t="str">
        <f t="shared" si="5"/>
        <v/>
      </c>
      <c r="H156" s="63" t="str">
        <f>IF($A156="","",SUMPRODUCT((((MOVIMIENTOS!$B$5:$B$1005="SALDO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156)*MOVIMIENTOS!$J$5:$J$1005))</f>
        <v/>
      </c>
      <c r="I156" s="63"/>
      <c r="J156" s="63" t="str">
        <f>IF(AND(MOVIMIENTOS!$A156&lt;&gt;"",COUNTIF(MOVIMIENTOS!$A$5:$A155,MOVIMIENTOS!$A156)=0),COUNT(J$4:J155)+1,"")</f>
        <v/>
      </c>
      <c r="K156" s="66">
        <f>MOVIMIENTOS!$A156</f>
        <v>46227</v>
      </c>
      <c r="L156" s="63"/>
      <c r="M156" s="63"/>
      <c r="N156" s="63"/>
    </row>
    <row r="157" spans="1:14" ht="15" customHeight="1" x14ac:dyDescent="0.2">
      <c r="A157" s="63" t="str">
        <f t="shared" si="4"/>
        <v/>
      </c>
      <c r="B157" s="63" t="str">
        <f>IF($A157="","",SUMPRODUCT((MOVIMIENTOS!$B$5:$B$1005="SALDO INICIAL")*(MOVIMIENTOS!$C$5:$C$1005="A")*(MOVIMIENTOS!$D$5:$D$1005="jabas")*(MOVIMIENTOS!$A$5:$A$1005&lt;&gt;"")*(MOVIMIENTOS!$A$5:$A$1005&lt;=$A157)*MOVIMIENTOS!$E$5:$E$1005)+SUMPRODUCT((MOVIMIENTOS!$B$5:$B$1005="PROCESO")*(MOVIMIENTOS!$C$5:$C$1005="A")*(MOVIMIENTOS!$D$5:$D$1005="jabas")*(MOVIMIENTOS!$A$5:$A$1005&lt;&gt;"")*(MOVIMIENTOS!$A$5:$A$1005&lt;=$A157)*MOVIMIENTOS!$E$5:$E$1005)-SUMPRODUCT((MOVIMIENTOS!$B$5:$B$1005="ENVÍO A SUPESA")*(MOVIMIENTOS!$C$5:$C$1005="A")*(MOVIMIENTOS!$D$5:$D$1005="jabas")*(MOVIMIENTOS!$A$5:$A$1005&lt;&gt;"")*(MOVIMIENTOS!$A$5:$A$1005&lt;=$A157)*MOVIMIENTOS!$E$5:$E$1005)+SUMPRODUCT((MOVIMIENTOS!$B$5:$B$1005="DEVOLUCIÓN")*(MOVIMIENTOS!$C$5:$C$1005="A")*(MOVIMIENTOS!$D$5:$D$1005="jabas")*(MOVIMIENTOS!$A$5:$A$1005&lt;&gt;"")*(MOVIMIENTOS!$A$5:$A$1005&lt;=$A157)*MOVIMIENTOS!$E$5:$E$1005)-SUMPRODUCT((MOVIMIENTOS!$B$5:$B$1005="TRASIEGO")*(MOVIMIENTOS!$C$5:$C$1005="A")*(MOVIMIENTOS!$D$5:$D$1005="jabas")*(MOVIMIENTOS!$A$5:$A$1005&lt;&gt;"")*(MOVIMIENTOS!$A$5:$A$1005&lt;=$A157)*MOVIMIENTOS!$E$5:$E$1005)-SUMPRODUCT((MOVIMIENTOS!$B$5:$B$1005="REGALO")*(MOVIMIENTOS!$C$5:$C$1005="A")*(MOVIMIENTOS!$D$5:$D$1005="jabas")*(MOVIMIENTOS!$A$5:$A$1005&lt;&gt;"")*(MOVIMIENTOS!$A$5:$A$1005&lt;=$A157)*MOVIMIENTOS!$E$5:$E$1005)-SUMPRODUCT((MOVIMIENTOS!$B$5:$B$1005="VENTA")*(MOVIMIENTOS!$C$5:$C$1005="A")*(MOVIMIENTOS!$D$5:$D$1005="jabas")*(MOVIMIENTOS!$A$5:$A$1005&lt;&gt;"")*(MOVIMIENTOS!$A$5:$A$1005&lt;=$A157)*MOVIMIENTOS!$E$5:$E$1005)+SUMPRODUCT((MOVIMIENTOS!$B$5:$B$1005="AJUSTE")*(MOVIMIENTOS!$C$5:$C$1005="A")*(MOVIMIENTOS!$D$5:$D$1005="jabas")*(MOVIMIENTOS!$A$5:$A$1005&lt;&gt;"")*(MOVIMIENTOS!$A$5:$A$1005&lt;=$A157)*MOVIMIENTOS!$E$5:$E$1005))</f>
        <v/>
      </c>
      <c r="C157" s="63" t="str">
        <f>IF($A157="","",SUMPRODUCT((MOVIMIENTOS!$B$5:$B$1005="SALDO INICIAL")*(MOVIMIENTOS!$C$5:$C$1005="P")*(MOVIMIENTOS!$D$5:$D$1005="jabas")*(MOVIMIENTOS!$A$5:$A$1005&lt;&gt;"")*(MOVIMIENTOS!$A$5:$A$1005&lt;=$A157)*MOVIMIENTOS!$E$5:$E$1005)+SUMPRODUCT((MOVIMIENTOS!$B$5:$B$1005="PROCESO")*(MOVIMIENTOS!$C$5:$C$1005="P")*(MOVIMIENTOS!$D$5:$D$1005="jabas")*(MOVIMIENTOS!$A$5:$A$1005&lt;&gt;"")*(MOVIMIENTOS!$A$5:$A$1005&lt;=$A157)*MOVIMIENTOS!$E$5:$E$1005)-SUMPRODUCT((MOVIMIENTOS!$B$5:$B$1005="ENVÍO A SUPESA")*(MOVIMIENTOS!$C$5:$C$1005="P")*(MOVIMIENTOS!$D$5:$D$1005="jabas")*(MOVIMIENTOS!$A$5:$A$1005&lt;&gt;"")*(MOVIMIENTOS!$A$5:$A$1005&lt;=$A157)*MOVIMIENTOS!$E$5:$E$1005)+SUMPRODUCT((MOVIMIENTOS!$B$5:$B$1005="DEVOLUCIÓN")*(MOVIMIENTOS!$C$5:$C$1005="P")*(MOVIMIENTOS!$D$5:$D$1005="jabas")*(MOVIMIENTOS!$A$5:$A$1005&lt;&gt;"")*(MOVIMIENTOS!$A$5:$A$1005&lt;=$A157)*MOVIMIENTOS!$E$5:$E$1005)-SUMPRODUCT((MOVIMIENTOS!$B$5:$B$1005="TRASIEGO")*(MOVIMIENTOS!$C$5:$C$1005="P")*(MOVIMIENTOS!$D$5:$D$1005="jabas")*(MOVIMIENTOS!$A$5:$A$1005&lt;&gt;"")*(MOVIMIENTOS!$A$5:$A$1005&lt;=$A157)*MOVIMIENTOS!$E$5:$E$1005)-SUMPRODUCT((MOVIMIENTOS!$B$5:$B$1005="REGALO")*(MOVIMIENTOS!$C$5:$C$1005="P")*(MOVIMIENTOS!$D$5:$D$1005="jabas")*(MOVIMIENTOS!$A$5:$A$1005&lt;&gt;"")*(MOVIMIENTOS!$A$5:$A$1005&lt;=$A157)*MOVIMIENTOS!$E$5:$E$1005)-SUMPRODUCT((MOVIMIENTOS!$B$5:$B$1005="VENTA")*(MOVIMIENTOS!$C$5:$C$1005="P")*(MOVIMIENTOS!$D$5:$D$1005="jabas")*(MOVIMIENTOS!$A$5:$A$1005&lt;&gt;"")*(MOVIMIENTOS!$A$5:$A$1005&lt;=$A157)*MOVIMIENTOS!$E$5:$E$1005)+SUMPRODUCT((MOVIMIENTOS!$B$5:$B$1005="AJUSTE")*(MOVIMIENTOS!$C$5:$C$1005="P")*(MOVIMIENTOS!$D$5:$D$1005="jabas")*(MOVIMIENTOS!$A$5:$A$1005&lt;&gt;"")*(MOVIMIENTOS!$A$5:$A$1005&lt;=$A157)*MOVIMIENTOS!$E$5:$E$1005))</f>
        <v/>
      </c>
      <c r="D157" s="63" t="str">
        <f>IF($A157="","",SUMPRODUCT((MOVIMIENTOS!$B$5:$B$1005="SALDO INICIAL")*(MOVIMIENTOS!$C$5:$C$1005="C")*(MOVIMIENTOS!$D$5:$D$1005="jabas")*(MOVIMIENTOS!$A$5:$A$1005&lt;&gt;"")*(MOVIMIENTOS!$A$5:$A$1005&lt;=$A157)*MOVIMIENTOS!$E$5:$E$1005)+SUMPRODUCT((MOVIMIENTOS!$B$5:$B$1005="PROCESO")*(MOVIMIENTOS!$C$5:$C$1005="C")*(MOVIMIENTOS!$D$5:$D$1005="jabas")*(MOVIMIENTOS!$A$5:$A$1005&lt;&gt;"")*(MOVIMIENTOS!$A$5:$A$1005&lt;=$A157)*MOVIMIENTOS!$E$5:$E$1005)-SUMPRODUCT((MOVIMIENTOS!$B$5:$B$1005="ENVÍO A SUPESA")*(MOVIMIENTOS!$C$5:$C$1005="C")*(MOVIMIENTOS!$D$5:$D$1005="jabas")*(MOVIMIENTOS!$A$5:$A$1005&lt;&gt;"")*(MOVIMIENTOS!$A$5:$A$1005&lt;=$A157)*MOVIMIENTOS!$E$5:$E$1005)+SUMPRODUCT((MOVIMIENTOS!$B$5:$B$1005="DEVOLUCIÓN")*(MOVIMIENTOS!$C$5:$C$1005="C")*(MOVIMIENTOS!$D$5:$D$1005="jabas")*(MOVIMIENTOS!$A$5:$A$1005&lt;&gt;"")*(MOVIMIENTOS!$A$5:$A$1005&lt;=$A157)*MOVIMIENTOS!$E$5:$E$1005)-SUMPRODUCT((MOVIMIENTOS!$B$5:$B$1005="TRASIEGO")*(MOVIMIENTOS!$C$5:$C$1005="C")*(MOVIMIENTOS!$D$5:$D$1005="jabas")*(MOVIMIENTOS!$A$5:$A$1005&lt;&gt;"")*(MOVIMIENTOS!$A$5:$A$1005&lt;=$A157)*MOVIMIENTOS!$E$5:$E$1005)-SUMPRODUCT((MOVIMIENTOS!$B$5:$B$1005="REGALO")*(MOVIMIENTOS!$C$5:$C$1005="C")*(MOVIMIENTOS!$D$5:$D$1005="jabas")*(MOVIMIENTOS!$A$5:$A$1005&lt;&gt;"")*(MOVIMIENTOS!$A$5:$A$1005&lt;=$A157)*MOVIMIENTOS!$E$5:$E$1005)-SUMPRODUCT((MOVIMIENTOS!$B$5:$B$1005="VENTA")*(MOVIMIENTOS!$C$5:$C$1005="C")*(MOVIMIENTOS!$D$5:$D$1005="jabas")*(MOVIMIENTOS!$A$5:$A$1005&lt;&gt;"")*(MOVIMIENTOS!$A$5:$A$1005&lt;=$A157)*MOVIMIENTOS!$E$5:$E$1005)+SUMPRODUCT((MOVIMIENTOS!$B$5:$B$1005="AJUSTE")*(MOVIMIENTOS!$C$5:$C$1005="C")*(MOVIMIENTOS!$D$5:$D$1005="jabas")*(MOVIMIENTOS!$A$5:$A$1005&lt;&gt;"")*(MOVIMIENTOS!$A$5:$A$1005&lt;=$A157)*MOVIMIENTOS!$E$5:$E$1005))</f>
        <v/>
      </c>
      <c r="E157" s="63" t="str">
        <f>IF($A157="","",SUMPRODUCT((MOVIMIENTOS!$B$5:$B$1005="SALDO INICIAL")*(MOVIMIENTOS!$C$5:$C$1005="M")*(MOVIMIENTOS!$D$5:$D$1005="jabas")*(MOVIMIENTOS!$A$5:$A$1005&lt;&gt;"")*(MOVIMIENTOS!$A$5:$A$1005&lt;=$A157)*MOVIMIENTOS!$E$5:$E$1005)+SUMPRODUCT((MOVIMIENTOS!$B$5:$B$1005="PROCESO")*(MOVIMIENTOS!$C$5:$C$1005="M")*(MOVIMIENTOS!$D$5:$D$1005="jabas")*(MOVIMIENTOS!$A$5:$A$1005&lt;&gt;"")*(MOVIMIENTOS!$A$5:$A$1005&lt;=$A157)*MOVIMIENTOS!$E$5:$E$1005)-SUMPRODUCT((MOVIMIENTOS!$B$5:$B$1005="ENVÍO A SUPESA")*(MOVIMIENTOS!$C$5:$C$1005="M")*(MOVIMIENTOS!$D$5:$D$1005="jabas")*(MOVIMIENTOS!$A$5:$A$1005&lt;&gt;"")*(MOVIMIENTOS!$A$5:$A$1005&lt;=$A157)*MOVIMIENTOS!$E$5:$E$1005)+SUMPRODUCT((MOVIMIENTOS!$B$5:$B$1005="DEVOLUCIÓN")*(MOVIMIENTOS!$C$5:$C$1005="M")*(MOVIMIENTOS!$D$5:$D$1005="jabas")*(MOVIMIENTOS!$A$5:$A$1005&lt;&gt;"")*(MOVIMIENTOS!$A$5:$A$1005&lt;=$A157)*MOVIMIENTOS!$E$5:$E$1005)-SUMPRODUCT((MOVIMIENTOS!$B$5:$B$1005="TRASIEGO")*(MOVIMIENTOS!$C$5:$C$1005="M")*(MOVIMIENTOS!$D$5:$D$1005="jabas")*(MOVIMIENTOS!$A$5:$A$1005&lt;&gt;"")*(MOVIMIENTOS!$A$5:$A$1005&lt;=$A157)*MOVIMIENTOS!$E$5:$E$1005)-SUMPRODUCT((MOVIMIENTOS!$B$5:$B$1005="REGALO")*(MOVIMIENTOS!$C$5:$C$1005="M")*(MOVIMIENTOS!$D$5:$D$1005="jabas")*(MOVIMIENTOS!$A$5:$A$1005&lt;&gt;"")*(MOVIMIENTOS!$A$5:$A$1005&lt;=$A157)*MOVIMIENTOS!$E$5:$E$1005)-SUMPRODUCT((MOVIMIENTOS!$B$5:$B$1005="VENTA")*(MOVIMIENTOS!$C$5:$C$1005="M")*(MOVIMIENTOS!$D$5:$D$1005="jabas")*(MOVIMIENTOS!$A$5:$A$1005&lt;&gt;"")*(MOVIMIENTOS!$A$5:$A$1005&lt;=$A157)*MOVIMIENTOS!$E$5:$E$1005)+SUMPRODUCT((MOVIMIENTOS!$B$5:$B$1005="AJUSTE")*(MOVIMIENTOS!$C$5:$C$1005="M")*(MOVIMIENTOS!$D$5:$D$1005="jabas")*(MOVIMIENTOS!$A$5:$A$1005&lt;&gt;"")*(MOVIMIENTOS!$A$5:$A$1005&lt;=$A157)*MOVIMIENTOS!$E$5:$E$1005))</f>
        <v/>
      </c>
      <c r="F157" s="63" t="str">
        <f>IF($A157="","",SUMPRODUCT((MOVIMIENTOS!$B$5:$B$1005="SALDO INICIAL")*(MOVIMIENTOS!$C$5:$C$1005="Chancho")*(MOVIMIENTOS!$D$5:$D$1005="sacos")*(MOVIMIENTOS!$A$5:$A$1005&lt;&gt;"")*(MOVIMIENTOS!$A$5:$A$1005&lt;=$A157)*MOVIMIENTOS!$E$5:$E$1005)+SUMPRODUCT((MOVIMIENTOS!$B$5:$B$1005="PROCESO")*(MOVIMIENTOS!$C$5:$C$1005="Chancho")*(MOVIMIENTOS!$D$5:$D$1005="sacos")*(MOVIMIENTOS!$A$5:$A$1005&lt;&gt;"")*(MOVIMIENTOS!$A$5:$A$1005&lt;=$A157)*MOVIMIENTOS!$E$5:$E$1005)-SUMPRODUCT((MOVIMIENTOS!$B$5:$B$1005="VENTA CHANCHO")*(MOVIMIENTOS!$C$5:$C$1005="Chancho")*(MOVIMIENTOS!$D$5:$D$1005="sacos")*(MOVIMIENTOS!$A$5:$A$1005&lt;&gt;"")*(MOVIMIENTOS!$A$5:$A$1005&lt;=$A157)*MOVIMIENTOS!$E$5:$E$1005)-SUMPRODUCT((MOVIMIENTOS!$B$5:$B$1005="REGALO")*(MOVIMIENTOS!$C$5:$C$1005="Chancho")*(MOVIMIENTOS!$D$5:$D$1005="sacos")*(MOVIMIENTOS!$A$5:$A$1005&lt;&gt;"")*(MOVIMIENTOS!$A$5:$A$1005&lt;=$A157)*MOVIMIENTOS!$E$5:$E$1005)-SUMPRODUCT((MOVIMIENTOS!$B$5:$B$1005="VENTA")*(MOVIMIENTOS!$C$5:$C$1005="Chancho")*(MOVIMIENTOS!$D$5:$D$1005="sacos")*(MOVIMIENTOS!$A$5:$A$1005&lt;&gt;"")*(MOVIMIENTOS!$A$5:$A$1005&lt;=$A157)*MOVIMIENTOS!$E$5:$E$1005)+SUMPRODUCT((MOVIMIENTOS!$B$5:$B$1005="AJUSTE")*(MOVIMIENTOS!$C$5:$C$1005="Chancho")*(MOVIMIENTOS!$D$5:$D$1005="sacos")*(MOVIMIENTOS!$A$5:$A$1005&lt;&gt;"")*(MOVIMIENTOS!$A$5:$A$1005&lt;=$A157)*MOVIMIENTOS!$E$5:$E$1005))</f>
        <v/>
      </c>
      <c r="G157" s="95" t="str">
        <f t="shared" si="5"/>
        <v/>
      </c>
      <c r="H157" s="63" t="str">
        <f>IF($A157="","",SUMPRODUCT((((MOVIMIENTOS!$B$5:$B$1005="SALDO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157)*MOVIMIENTOS!$J$5:$J$1005))</f>
        <v/>
      </c>
      <c r="I157" s="63"/>
      <c r="J157" s="63" t="str">
        <f>IF(AND(MOVIMIENTOS!$A157&lt;&gt;"",COUNTIF(MOVIMIENTOS!$A$5:$A156,MOVIMIENTOS!$A157)=0),COUNT(J$4:J156)+1,"")</f>
        <v/>
      </c>
      <c r="K157" s="66">
        <f>MOVIMIENTOS!$A157</f>
        <v>46227</v>
      </c>
      <c r="L157" s="63"/>
      <c r="M157" s="63"/>
      <c r="N157" s="63"/>
    </row>
    <row r="158" spans="1:14" ht="15" customHeight="1" x14ac:dyDescent="0.2">
      <c r="A158" s="63" t="str">
        <f t="shared" si="4"/>
        <v/>
      </c>
      <c r="B158" s="63" t="str">
        <f>IF($A158="","",SUMPRODUCT((MOVIMIENTOS!$B$5:$B$1005="SALDO INICIAL")*(MOVIMIENTOS!$C$5:$C$1005="A")*(MOVIMIENTOS!$D$5:$D$1005="jabas")*(MOVIMIENTOS!$A$5:$A$1005&lt;&gt;"")*(MOVIMIENTOS!$A$5:$A$1005&lt;=$A158)*MOVIMIENTOS!$E$5:$E$1005)+SUMPRODUCT((MOVIMIENTOS!$B$5:$B$1005="PROCESO")*(MOVIMIENTOS!$C$5:$C$1005="A")*(MOVIMIENTOS!$D$5:$D$1005="jabas")*(MOVIMIENTOS!$A$5:$A$1005&lt;&gt;"")*(MOVIMIENTOS!$A$5:$A$1005&lt;=$A158)*MOVIMIENTOS!$E$5:$E$1005)-SUMPRODUCT((MOVIMIENTOS!$B$5:$B$1005="ENVÍO A SUPESA")*(MOVIMIENTOS!$C$5:$C$1005="A")*(MOVIMIENTOS!$D$5:$D$1005="jabas")*(MOVIMIENTOS!$A$5:$A$1005&lt;&gt;"")*(MOVIMIENTOS!$A$5:$A$1005&lt;=$A158)*MOVIMIENTOS!$E$5:$E$1005)+SUMPRODUCT((MOVIMIENTOS!$B$5:$B$1005="DEVOLUCIÓN")*(MOVIMIENTOS!$C$5:$C$1005="A")*(MOVIMIENTOS!$D$5:$D$1005="jabas")*(MOVIMIENTOS!$A$5:$A$1005&lt;&gt;"")*(MOVIMIENTOS!$A$5:$A$1005&lt;=$A158)*MOVIMIENTOS!$E$5:$E$1005)-SUMPRODUCT((MOVIMIENTOS!$B$5:$B$1005="TRASIEGO")*(MOVIMIENTOS!$C$5:$C$1005="A")*(MOVIMIENTOS!$D$5:$D$1005="jabas")*(MOVIMIENTOS!$A$5:$A$1005&lt;&gt;"")*(MOVIMIENTOS!$A$5:$A$1005&lt;=$A158)*MOVIMIENTOS!$E$5:$E$1005)-SUMPRODUCT((MOVIMIENTOS!$B$5:$B$1005="REGALO")*(MOVIMIENTOS!$C$5:$C$1005="A")*(MOVIMIENTOS!$D$5:$D$1005="jabas")*(MOVIMIENTOS!$A$5:$A$1005&lt;&gt;"")*(MOVIMIENTOS!$A$5:$A$1005&lt;=$A158)*MOVIMIENTOS!$E$5:$E$1005)-SUMPRODUCT((MOVIMIENTOS!$B$5:$B$1005="VENTA")*(MOVIMIENTOS!$C$5:$C$1005="A")*(MOVIMIENTOS!$D$5:$D$1005="jabas")*(MOVIMIENTOS!$A$5:$A$1005&lt;&gt;"")*(MOVIMIENTOS!$A$5:$A$1005&lt;=$A158)*MOVIMIENTOS!$E$5:$E$1005)+SUMPRODUCT((MOVIMIENTOS!$B$5:$B$1005="AJUSTE")*(MOVIMIENTOS!$C$5:$C$1005="A")*(MOVIMIENTOS!$D$5:$D$1005="jabas")*(MOVIMIENTOS!$A$5:$A$1005&lt;&gt;"")*(MOVIMIENTOS!$A$5:$A$1005&lt;=$A158)*MOVIMIENTOS!$E$5:$E$1005))</f>
        <v/>
      </c>
      <c r="C158" s="63" t="str">
        <f>IF($A158="","",SUMPRODUCT((MOVIMIENTOS!$B$5:$B$1005="SALDO INICIAL")*(MOVIMIENTOS!$C$5:$C$1005="P")*(MOVIMIENTOS!$D$5:$D$1005="jabas")*(MOVIMIENTOS!$A$5:$A$1005&lt;&gt;"")*(MOVIMIENTOS!$A$5:$A$1005&lt;=$A158)*MOVIMIENTOS!$E$5:$E$1005)+SUMPRODUCT((MOVIMIENTOS!$B$5:$B$1005="PROCESO")*(MOVIMIENTOS!$C$5:$C$1005="P")*(MOVIMIENTOS!$D$5:$D$1005="jabas")*(MOVIMIENTOS!$A$5:$A$1005&lt;&gt;"")*(MOVIMIENTOS!$A$5:$A$1005&lt;=$A158)*MOVIMIENTOS!$E$5:$E$1005)-SUMPRODUCT((MOVIMIENTOS!$B$5:$B$1005="ENVÍO A SUPESA")*(MOVIMIENTOS!$C$5:$C$1005="P")*(MOVIMIENTOS!$D$5:$D$1005="jabas")*(MOVIMIENTOS!$A$5:$A$1005&lt;&gt;"")*(MOVIMIENTOS!$A$5:$A$1005&lt;=$A158)*MOVIMIENTOS!$E$5:$E$1005)+SUMPRODUCT((MOVIMIENTOS!$B$5:$B$1005="DEVOLUCIÓN")*(MOVIMIENTOS!$C$5:$C$1005="P")*(MOVIMIENTOS!$D$5:$D$1005="jabas")*(MOVIMIENTOS!$A$5:$A$1005&lt;&gt;"")*(MOVIMIENTOS!$A$5:$A$1005&lt;=$A158)*MOVIMIENTOS!$E$5:$E$1005)-SUMPRODUCT((MOVIMIENTOS!$B$5:$B$1005="TRASIEGO")*(MOVIMIENTOS!$C$5:$C$1005="P")*(MOVIMIENTOS!$D$5:$D$1005="jabas")*(MOVIMIENTOS!$A$5:$A$1005&lt;&gt;"")*(MOVIMIENTOS!$A$5:$A$1005&lt;=$A158)*MOVIMIENTOS!$E$5:$E$1005)-SUMPRODUCT((MOVIMIENTOS!$B$5:$B$1005="REGALO")*(MOVIMIENTOS!$C$5:$C$1005="P")*(MOVIMIENTOS!$D$5:$D$1005="jabas")*(MOVIMIENTOS!$A$5:$A$1005&lt;&gt;"")*(MOVIMIENTOS!$A$5:$A$1005&lt;=$A158)*MOVIMIENTOS!$E$5:$E$1005)-SUMPRODUCT((MOVIMIENTOS!$B$5:$B$1005="VENTA")*(MOVIMIENTOS!$C$5:$C$1005="P")*(MOVIMIENTOS!$D$5:$D$1005="jabas")*(MOVIMIENTOS!$A$5:$A$1005&lt;&gt;"")*(MOVIMIENTOS!$A$5:$A$1005&lt;=$A158)*MOVIMIENTOS!$E$5:$E$1005)+SUMPRODUCT((MOVIMIENTOS!$B$5:$B$1005="AJUSTE")*(MOVIMIENTOS!$C$5:$C$1005="P")*(MOVIMIENTOS!$D$5:$D$1005="jabas")*(MOVIMIENTOS!$A$5:$A$1005&lt;&gt;"")*(MOVIMIENTOS!$A$5:$A$1005&lt;=$A158)*MOVIMIENTOS!$E$5:$E$1005))</f>
        <v/>
      </c>
      <c r="D158" s="63" t="str">
        <f>IF($A158="","",SUMPRODUCT((MOVIMIENTOS!$B$5:$B$1005="SALDO INICIAL")*(MOVIMIENTOS!$C$5:$C$1005="C")*(MOVIMIENTOS!$D$5:$D$1005="jabas")*(MOVIMIENTOS!$A$5:$A$1005&lt;&gt;"")*(MOVIMIENTOS!$A$5:$A$1005&lt;=$A158)*MOVIMIENTOS!$E$5:$E$1005)+SUMPRODUCT((MOVIMIENTOS!$B$5:$B$1005="PROCESO")*(MOVIMIENTOS!$C$5:$C$1005="C")*(MOVIMIENTOS!$D$5:$D$1005="jabas")*(MOVIMIENTOS!$A$5:$A$1005&lt;&gt;"")*(MOVIMIENTOS!$A$5:$A$1005&lt;=$A158)*MOVIMIENTOS!$E$5:$E$1005)-SUMPRODUCT((MOVIMIENTOS!$B$5:$B$1005="ENVÍO A SUPESA")*(MOVIMIENTOS!$C$5:$C$1005="C")*(MOVIMIENTOS!$D$5:$D$1005="jabas")*(MOVIMIENTOS!$A$5:$A$1005&lt;&gt;"")*(MOVIMIENTOS!$A$5:$A$1005&lt;=$A158)*MOVIMIENTOS!$E$5:$E$1005)+SUMPRODUCT((MOVIMIENTOS!$B$5:$B$1005="DEVOLUCIÓN")*(MOVIMIENTOS!$C$5:$C$1005="C")*(MOVIMIENTOS!$D$5:$D$1005="jabas")*(MOVIMIENTOS!$A$5:$A$1005&lt;&gt;"")*(MOVIMIENTOS!$A$5:$A$1005&lt;=$A158)*MOVIMIENTOS!$E$5:$E$1005)-SUMPRODUCT((MOVIMIENTOS!$B$5:$B$1005="TRASIEGO")*(MOVIMIENTOS!$C$5:$C$1005="C")*(MOVIMIENTOS!$D$5:$D$1005="jabas")*(MOVIMIENTOS!$A$5:$A$1005&lt;&gt;"")*(MOVIMIENTOS!$A$5:$A$1005&lt;=$A158)*MOVIMIENTOS!$E$5:$E$1005)-SUMPRODUCT((MOVIMIENTOS!$B$5:$B$1005="REGALO")*(MOVIMIENTOS!$C$5:$C$1005="C")*(MOVIMIENTOS!$D$5:$D$1005="jabas")*(MOVIMIENTOS!$A$5:$A$1005&lt;&gt;"")*(MOVIMIENTOS!$A$5:$A$1005&lt;=$A158)*MOVIMIENTOS!$E$5:$E$1005)-SUMPRODUCT((MOVIMIENTOS!$B$5:$B$1005="VENTA")*(MOVIMIENTOS!$C$5:$C$1005="C")*(MOVIMIENTOS!$D$5:$D$1005="jabas")*(MOVIMIENTOS!$A$5:$A$1005&lt;&gt;"")*(MOVIMIENTOS!$A$5:$A$1005&lt;=$A158)*MOVIMIENTOS!$E$5:$E$1005)+SUMPRODUCT((MOVIMIENTOS!$B$5:$B$1005="AJUSTE")*(MOVIMIENTOS!$C$5:$C$1005="C")*(MOVIMIENTOS!$D$5:$D$1005="jabas")*(MOVIMIENTOS!$A$5:$A$1005&lt;&gt;"")*(MOVIMIENTOS!$A$5:$A$1005&lt;=$A158)*MOVIMIENTOS!$E$5:$E$1005))</f>
        <v/>
      </c>
      <c r="E158" s="63" t="str">
        <f>IF($A158="","",SUMPRODUCT((MOVIMIENTOS!$B$5:$B$1005="SALDO INICIAL")*(MOVIMIENTOS!$C$5:$C$1005="M")*(MOVIMIENTOS!$D$5:$D$1005="jabas")*(MOVIMIENTOS!$A$5:$A$1005&lt;&gt;"")*(MOVIMIENTOS!$A$5:$A$1005&lt;=$A158)*MOVIMIENTOS!$E$5:$E$1005)+SUMPRODUCT((MOVIMIENTOS!$B$5:$B$1005="PROCESO")*(MOVIMIENTOS!$C$5:$C$1005="M")*(MOVIMIENTOS!$D$5:$D$1005="jabas")*(MOVIMIENTOS!$A$5:$A$1005&lt;&gt;"")*(MOVIMIENTOS!$A$5:$A$1005&lt;=$A158)*MOVIMIENTOS!$E$5:$E$1005)-SUMPRODUCT((MOVIMIENTOS!$B$5:$B$1005="ENVÍO A SUPESA")*(MOVIMIENTOS!$C$5:$C$1005="M")*(MOVIMIENTOS!$D$5:$D$1005="jabas")*(MOVIMIENTOS!$A$5:$A$1005&lt;&gt;"")*(MOVIMIENTOS!$A$5:$A$1005&lt;=$A158)*MOVIMIENTOS!$E$5:$E$1005)+SUMPRODUCT((MOVIMIENTOS!$B$5:$B$1005="DEVOLUCIÓN")*(MOVIMIENTOS!$C$5:$C$1005="M")*(MOVIMIENTOS!$D$5:$D$1005="jabas")*(MOVIMIENTOS!$A$5:$A$1005&lt;&gt;"")*(MOVIMIENTOS!$A$5:$A$1005&lt;=$A158)*MOVIMIENTOS!$E$5:$E$1005)-SUMPRODUCT((MOVIMIENTOS!$B$5:$B$1005="TRASIEGO")*(MOVIMIENTOS!$C$5:$C$1005="M")*(MOVIMIENTOS!$D$5:$D$1005="jabas")*(MOVIMIENTOS!$A$5:$A$1005&lt;&gt;"")*(MOVIMIENTOS!$A$5:$A$1005&lt;=$A158)*MOVIMIENTOS!$E$5:$E$1005)-SUMPRODUCT((MOVIMIENTOS!$B$5:$B$1005="REGALO")*(MOVIMIENTOS!$C$5:$C$1005="M")*(MOVIMIENTOS!$D$5:$D$1005="jabas")*(MOVIMIENTOS!$A$5:$A$1005&lt;&gt;"")*(MOVIMIENTOS!$A$5:$A$1005&lt;=$A158)*MOVIMIENTOS!$E$5:$E$1005)-SUMPRODUCT((MOVIMIENTOS!$B$5:$B$1005="VENTA")*(MOVIMIENTOS!$C$5:$C$1005="M")*(MOVIMIENTOS!$D$5:$D$1005="jabas")*(MOVIMIENTOS!$A$5:$A$1005&lt;&gt;"")*(MOVIMIENTOS!$A$5:$A$1005&lt;=$A158)*MOVIMIENTOS!$E$5:$E$1005)+SUMPRODUCT((MOVIMIENTOS!$B$5:$B$1005="AJUSTE")*(MOVIMIENTOS!$C$5:$C$1005="M")*(MOVIMIENTOS!$D$5:$D$1005="jabas")*(MOVIMIENTOS!$A$5:$A$1005&lt;&gt;"")*(MOVIMIENTOS!$A$5:$A$1005&lt;=$A158)*MOVIMIENTOS!$E$5:$E$1005))</f>
        <v/>
      </c>
      <c r="F158" s="63" t="str">
        <f>IF($A158="","",SUMPRODUCT((MOVIMIENTOS!$B$5:$B$1005="SALDO INICIAL")*(MOVIMIENTOS!$C$5:$C$1005="Chancho")*(MOVIMIENTOS!$D$5:$D$1005="sacos")*(MOVIMIENTOS!$A$5:$A$1005&lt;&gt;"")*(MOVIMIENTOS!$A$5:$A$1005&lt;=$A158)*MOVIMIENTOS!$E$5:$E$1005)+SUMPRODUCT((MOVIMIENTOS!$B$5:$B$1005="PROCESO")*(MOVIMIENTOS!$C$5:$C$1005="Chancho")*(MOVIMIENTOS!$D$5:$D$1005="sacos")*(MOVIMIENTOS!$A$5:$A$1005&lt;&gt;"")*(MOVIMIENTOS!$A$5:$A$1005&lt;=$A158)*MOVIMIENTOS!$E$5:$E$1005)-SUMPRODUCT((MOVIMIENTOS!$B$5:$B$1005="VENTA CHANCHO")*(MOVIMIENTOS!$C$5:$C$1005="Chancho")*(MOVIMIENTOS!$D$5:$D$1005="sacos")*(MOVIMIENTOS!$A$5:$A$1005&lt;&gt;"")*(MOVIMIENTOS!$A$5:$A$1005&lt;=$A158)*MOVIMIENTOS!$E$5:$E$1005)-SUMPRODUCT((MOVIMIENTOS!$B$5:$B$1005="REGALO")*(MOVIMIENTOS!$C$5:$C$1005="Chancho")*(MOVIMIENTOS!$D$5:$D$1005="sacos")*(MOVIMIENTOS!$A$5:$A$1005&lt;&gt;"")*(MOVIMIENTOS!$A$5:$A$1005&lt;=$A158)*MOVIMIENTOS!$E$5:$E$1005)-SUMPRODUCT((MOVIMIENTOS!$B$5:$B$1005="VENTA")*(MOVIMIENTOS!$C$5:$C$1005="Chancho")*(MOVIMIENTOS!$D$5:$D$1005="sacos")*(MOVIMIENTOS!$A$5:$A$1005&lt;&gt;"")*(MOVIMIENTOS!$A$5:$A$1005&lt;=$A158)*MOVIMIENTOS!$E$5:$E$1005)+SUMPRODUCT((MOVIMIENTOS!$B$5:$B$1005="AJUSTE")*(MOVIMIENTOS!$C$5:$C$1005="Chancho")*(MOVIMIENTOS!$D$5:$D$1005="sacos")*(MOVIMIENTOS!$A$5:$A$1005&lt;&gt;"")*(MOVIMIENTOS!$A$5:$A$1005&lt;=$A158)*MOVIMIENTOS!$E$5:$E$1005))</f>
        <v/>
      </c>
      <c r="G158" s="95" t="str">
        <f t="shared" si="5"/>
        <v/>
      </c>
      <c r="H158" s="63" t="str">
        <f>IF($A158="","",SUMPRODUCT((((MOVIMIENTOS!$B$5:$B$1005="SALDO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158)*MOVIMIENTOS!$J$5:$J$1005))</f>
        <v/>
      </c>
      <c r="I158" s="63"/>
      <c r="J158" s="63" t="str">
        <f>IF(AND(MOVIMIENTOS!$A158&lt;&gt;"",COUNTIF(MOVIMIENTOS!$A$5:$A157,MOVIMIENTOS!$A158)=0),COUNT(J$4:J157)+1,"")</f>
        <v/>
      </c>
      <c r="K158" s="66">
        <f>MOVIMIENTOS!$A158</f>
        <v>46227</v>
      </c>
      <c r="L158" s="63"/>
      <c r="M158" s="63"/>
      <c r="N158" s="63"/>
    </row>
    <row r="159" spans="1:14" ht="15" customHeight="1" x14ac:dyDescent="0.2">
      <c r="A159" s="63" t="str">
        <f t="shared" si="4"/>
        <v/>
      </c>
      <c r="B159" s="63" t="str">
        <f>IF($A159="","",SUMPRODUCT((MOVIMIENTOS!$B$5:$B$1005="SALDO INICIAL")*(MOVIMIENTOS!$C$5:$C$1005="A")*(MOVIMIENTOS!$D$5:$D$1005="jabas")*(MOVIMIENTOS!$A$5:$A$1005&lt;&gt;"")*(MOVIMIENTOS!$A$5:$A$1005&lt;=$A159)*MOVIMIENTOS!$E$5:$E$1005)+SUMPRODUCT((MOVIMIENTOS!$B$5:$B$1005="PROCESO")*(MOVIMIENTOS!$C$5:$C$1005="A")*(MOVIMIENTOS!$D$5:$D$1005="jabas")*(MOVIMIENTOS!$A$5:$A$1005&lt;&gt;"")*(MOVIMIENTOS!$A$5:$A$1005&lt;=$A159)*MOVIMIENTOS!$E$5:$E$1005)-SUMPRODUCT((MOVIMIENTOS!$B$5:$B$1005="ENVÍO A SUPESA")*(MOVIMIENTOS!$C$5:$C$1005="A")*(MOVIMIENTOS!$D$5:$D$1005="jabas")*(MOVIMIENTOS!$A$5:$A$1005&lt;&gt;"")*(MOVIMIENTOS!$A$5:$A$1005&lt;=$A159)*MOVIMIENTOS!$E$5:$E$1005)+SUMPRODUCT((MOVIMIENTOS!$B$5:$B$1005="DEVOLUCIÓN")*(MOVIMIENTOS!$C$5:$C$1005="A")*(MOVIMIENTOS!$D$5:$D$1005="jabas")*(MOVIMIENTOS!$A$5:$A$1005&lt;&gt;"")*(MOVIMIENTOS!$A$5:$A$1005&lt;=$A159)*MOVIMIENTOS!$E$5:$E$1005)-SUMPRODUCT((MOVIMIENTOS!$B$5:$B$1005="TRASIEGO")*(MOVIMIENTOS!$C$5:$C$1005="A")*(MOVIMIENTOS!$D$5:$D$1005="jabas")*(MOVIMIENTOS!$A$5:$A$1005&lt;&gt;"")*(MOVIMIENTOS!$A$5:$A$1005&lt;=$A159)*MOVIMIENTOS!$E$5:$E$1005)-SUMPRODUCT((MOVIMIENTOS!$B$5:$B$1005="REGALO")*(MOVIMIENTOS!$C$5:$C$1005="A")*(MOVIMIENTOS!$D$5:$D$1005="jabas")*(MOVIMIENTOS!$A$5:$A$1005&lt;&gt;"")*(MOVIMIENTOS!$A$5:$A$1005&lt;=$A159)*MOVIMIENTOS!$E$5:$E$1005)-SUMPRODUCT((MOVIMIENTOS!$B$5:$B$1005="VENTA")*(MOVIMIENTOS!$C$5:$C$1005="A")*(MOVIMIENTOS!$D$5:$D$1005="jabas")*(MOVIMIENTOS!$A$5:$A$1005&lt;&gt;"")*(MOVIMIENTOS!$A$5:$A$1005&lt;=$A159)*MOVIMIENTOS!$E$5:$E$1005)+SUMPRODUCT((MOVIMIENTOS!$B$5:$B$1005="AJUSTE")*(MOVIMIENTOS!$C$5:$C$1005="A")*(MOVIMIENTOS!$D$5:$D$1005="jabas")*(MOVIMIENTOS!$A$5:$A$1005&lt;&gt;"")*(MOVIMIENTOS!$A$5:$A$1005&lt;=$A159)*MOVIMIENTOS!$E$5:$E$1005))</f>
        <v/>
      </c>
      <c r="C159" s="63" t="str">
        <f>IF($A159="","",SUMPRODUCT((MOVIMIENTOS!$B$5:$B$1005="SALDO INICIAL")*(MOVIMIENTOS!$C$5:$C$1005="P")*(MOVIMIENTOS!$D$5:$D$1005="jabas")*(MOVIMIENTOS!$A$5:$A$1005&lt;&gt;"")*(MOVIMIENTOS!$A$5:$A$1005&lt;=$A159)*MOVIMIENTOS!$E$5:$E$1005)+SUMPRODUCT((MOVIMIENTOS!$B$5:$B$1005="PROCESO")*(MOVIMIENTOS!$C$5:$C$1005="P")*(MOVIMIENTOS!$D$5:$D$1005="jabas")*(MOVIMIENTOS!$A$5:$A$1005&lt;&gt;"")*(MOVIMIENTOS!$A$5:$A$1005&lt;=$A159)*MOVIMIENTOS!$E$5:$E$1005)-SUMPRODUCT((MOVIMIENTOS!$B$5:$B$1005="ENVÍO A SUPESA")*(MOVIMIENTOS!$C$5:$C$1005="P")*(MOVIMIENTOS!$D$5:$D$1005="jabas")*(MOVIMIENTOS!$A$5:$A$1005&lt;&gt;"")*(MOVIMIENTOS!$A$5:$A$1005&lt;=$A159)*MOVIMIENTOS!$E$5:$E$1005)+SUMPRODUCT((MOVIMIENTOS!$B$5:$B$1005="DEVOLUCIÓN")*(MOVIMIENTOS!$C$5:$C$1005="P")*(MOVIMIENTOS!$D$5:$D$1005="jabas")*(MOVIMIENTOS!$A$5:$A$1005&lt;&gt;"")*(MOVIMIENTOS!$A$5:$A$1005&lt;=$A159)*MOVIMIENTOS!$E$5:$E$1005)-SUMPRODUCT((MOVIMIENTOS!$B$5:$B$1005="TRASIEGO")*(MOVIMIENTOS!$C$5:$C$1005="P")*(MOVIMIENTOS!$D$5:$D$1005="jabas")*(MOVIMIENTOS!$A$5:$A$1005&lt;&gt;"")*(MOVIMIENTOS!$A$5:$A$1005&lt;=$A159)*MOVIMIENTOS!$E$5:$E$1005)-SUMPRODUCT((MOVIMIENTOS!$B$5:$B$1005="REGALO")*(MOVIMIENTOS!$C$5:$C$1005="P")*(MOVIMIENTOS!$D$5:$D$1005="jabas")*(MOVIMIENTOS!$A$5:$A$1005&lt;&gt;"")*(MOVIMIENTOS!$A$5:$A$1005&lt;=$A159)*MOVIMIENTOS!$E$5:$E$1005)-SUMPRODUCT((MOVIMIENTOS!$B$5:$B$1005="VENTA")*(MOVIMIENTOS!$C$5:$C$1005="P")*(MOVIMIENTOS!$D$5:$D$1005="jabas")*(MOVIMIENTOS!$A$5:$A$1005&lt;&gt;"")*(MOVIMIENTOS!$A$5:$A$1005&lt;=$A159)*MOVIMIENTOS!$E$5:$E$1005)+SUMPRODUCT((MOVIMIENTOS!$B$5:$B$1005="AJUSTE")*(MOVIMIENTOS!$C$5:$C$1005="P")*(MOVIMIENTOS!$D$5:$D$1005="jabas")*(MOVIMIENTOS!$A$5:$A$1005&lt;&gt;"")*(MOVIMIENTOS!$A$5:$A$1005&lt;=$A159)*MOVIMIENTOS!$E$5:$E$1005))</f>
        <v/>
      </c>
      <c r="D159" s="63" t="str">
        <f>IF($A159="","",SUMPRODUCT((MOVIMIENTOS!$B$5:$B$1005="SALDO INICIAL")*(MOVIMIENTOS!$C$5:$C$1005="C")*(MOVIMIENTOS!$D$5:$D$1005="jabas")*(MOVIMIENTOS!$A$5:$A$1005&lt;&gt;"")*(MOVIMIENTOS!$A$5:$A$1005&lt;=$A159)*MOVIMIENTOS!$E$5:$E$1005)+SUMPRODUCT((MOVIMIENTOS!$B$5:$B$1005="PROCESO")*(MOVIMIENTOS!$C$5:$C$1005="C")*(MOVIMIENTOS!$D$5:$D$1005="jabas")*(MOVIMIENTOS!$A$5:$A$1005&lt;&gt;"")*(MOVIMIENTOS!$A$5:$A$1005&lt;=$A159)*MOVIMIENTOS!$E$5:$E$1005)-SUMPRODUCT((MOVIMIENTOS!$B$5:$B$1005="ENVÍO A SUPESA")*(MOVIMIENTOS!$C$5:$C$1005="C")*(MOVIMIENTOS!$D$5:$D$1005="jabas")*(MOVIMIENTOS!$A$5:$A$1005&lt;&gt;"")*(MOVIMIENTOS!$A$5:$A$1005&lt;=$A159)*MOVIMIENTOS!$E$5:$E$1005)+SUMPRODUCT((MOVIMIENTOS!$B$5:$B$1005="DEVOLUCIÓN")*(MOVIMIENTOS!$C$5:$C$1005="C")*(MOVIMIENTOS!$D$5:$D$1005="jabas")*(MOVIMIENTOS!$A$5:$A$1005&lt;&gt;"")*(MOVIMIENTOS!$A$5:$A$1005&lt;=$A159)*MOVIMIENTOS!$E$5:$E$1005)-SUMPRODUCT((MOVIMIENTOS!$B$5:$B$1005="TRASIEGO")*(MOVIMIENTOS!$C$5:$C$1005="C")*(MOVIMIENTOS!$D$5:$D$1005="jabas")*(MOVIMIENTOS!$A$5:$A$1005&lt;&gt;"")*(MOVIMIENTOS!$A$5:$A$1005&lt;=$A159)*MOVIMIENTOS!$E$5:$E$1005)-SUMPRODUCT((MOVIMIENTOS!$B$5:$B$1005="REGALO")*(MOVIMIENTOS!$C$5:$C$1005="C")*(MOVIMIENTOS!$D$5:$D$1005="jabas")*(MOVIMIENTOS!$A$5:$A$1005&lt;&gt;"")*(MOVIMIENTOS!$A$5:$A$1005&lt;=$A159)*MOVIMIENTOS!$E$5:$E$1005)-SUMPRODUCT((MOVIMIENTOS!$B$5:$B$1005="VENTA")*(MOVIMIENTOS!$C$5:$C$1005="C")*(MOVIMIENTOS!$D$5:$D$1005="jabas")*(MOVIMIENTOS!$A$5:$A$1005&lt;&gt;"")*(MOVIMIENTOS!$A$5:$A$1005&lt;=$A159)*MOVIMIENTOS!$E$5:$E$1005)+SUMPRODUCT((MOVIMIENTOS!$B$5:$B$1005="AJUSTE")*(MOVIMIENTOS!$C$5:$C$1005="C")*(MOVIMIENTOS!$D$5:$D$1005="jabas")*(MOVIMIENTOS!$A$5:$A$1005&lt;&gt;"")*(MOVIMIENTOS!$A$5:$A$1005&lt;=$A159)*MOVIMIENTOS!$E$5:$E$1005))</f>
        <v/>
      </c>
      <c r="E159" s="63" t="str">
        <f>IF($A159="","",SUMPRODUCT((MOVIMIENTOS!$B$5:$B$1005="SALDO INICIAL")*(MOVIMIENTOS!$C$5:$C$1005="M")*(MOVIMIENTOS!$D$5:$D$1005="jabas")*(MOVIMIENTOS!$A$5:$A$1005&lt;&gt;"")*(MOVIMIENTOS!$A$5:$A$1005&lt;=$A159)*MOVIMIENTOS!$E$5:$E$1005)+SUMPRODUCT((MOVIMIENTOS!$B$5:$B$1005="PROCESO")*(MOVIMIENTOS!$C$5:$C$1005="M")*(MOVIMIENTOS!$D$5:$D$1005="jabas")*(MOVIMIENTOS!$A$5:$A$1005&lt;&gt;"")*(MOVIMIENTOS!$A$5:$A$1005&lt;=$A159)*MOVIMIENTOS!$E$5:$E$1005)-SUMPRODUCT((MOVIMIENTOS!$B$5:$B$1005="ENVÍO A SUPESA")*(MOVIMIENTOS!$C$5:$C$1005="M")*(MOVIMIENTOS!$D$5:$D$1005="jabas")*(MOVIMIENTOS!$A$5:$A$1005&lt;&gt;"")*(MOVIMIENTOS!$A$5:$A$1005&lt;=$A159)*MOVIMIENTOS!$E$5:$E$1005)+SUMPRODUCT((MOVIMIENTOS!$B$5:$B$1005="DEVOLUCIÓN")*(MOVIMIENTOS!$C$5:$C$1005="M")*(MOVIMIENTOS!$D$5:$D$1005="jabas")*(MOVIMIENTOS!$A$5:$A$1005&lt;&gt;"")*(MOVIMIENTOS!$A$5:$A$1005&lt;=$A159)*MOVIMIENTOS!$E$5:$E$1005)-SUMPRODUCT((MOVIMIENTOS!$B$5:$B$1005="TRASIEGO")*(MOVIMIENTOS!$C$5:$C$1005="M")*(MOVIMIENTOS!$D$5:$D$1005="jabas")*(MOVIMIENTOS!$A$5:$A$1005&lt;&gt;"")*(MOVIMIENTOS!$A$5:$A$1005&lt;=$A159)*MOVIMIENTOS!$E$5:$E$1005)-SUMPRODUCT((MOVIMIENTOS!$B$5:$B$1005="REGALO")*(MOVIMIENTOS!$C$5:$C$1005="M")*(MOVIMIENTOS!$D$5:$D$1005="jabas")*(MOVIMIENTOS!$A$5:$A$1005&lt;&gt;"")*(MOVIMIENTOS!$A$5:$A$1005&lt;=$A159)*MOVIMIENTOS!$E$5:$E$1005)-SUMPRODUCT((MOVIMIENTOS!$B$5:$B$1005="VENTA")*(MOVIMIENTOS!$C$5:$C$1005="M")*(MOVIMIENTOS!$D$5:$D$1005="jabas")*(MOVIMIENTOS!$A$5:$A$1005&lt;&gt;"")*(MOVIMIENTOS!$A$5:$A$1005&lt;=$A159)*MOVIMIENTOS!$E$5:$E$1005)+SUMPRODUCT((MOVIMIENTOS!$B$5:$B$1005="AJUSTE")*(MOVIMIENTOS!$C$5:$C$1005="M")*(MOVIMIENTOS!$D$5:$D$1005="jabas")*(MOVIMIENTOS!$A$5:$A$1005&lt;&gt;"")*(MOVIMIENTOS!$A$5:$A$1005&lt;=$A159)*MOVIMIENTOS!$E$5:$E$1005))</f>
        <v/>
      </c>
      <c r="F159" s="63" t="str">
        <f>IF($A159="","",SUMPRODUCT((MOVIMIENTOS!$B$5:$B$1005="SALDO INICIAL")*(MOVIMIENTOS!$C$5:$C$1005="Chancho")*(MOVIMIENTOS!$D$5:$D$1005="sacos")*(MOVIMIENTOS!$A$5:$A$1005&lt;&gt;"")*(MOVIMIENTOS!$A$5:$A$1005&lt;=$A159)*MOVIMIENTOS!$E$5:$E$1005)+SUMPRODUCT((MOVIMIENTOS!$B$5:$B$1005="PROCESO")*(MOVIMIENTOS!$C$5:$C$1005="Chancho")*(MOVIMIENTOS!$D$5:$D$1005="sacos")*(MOVIMIENTOS!$A$5:$A$1005&lt;&gt;"")*(MOVIMIENTOS!$A$5:$A$1005&lt;=$A159)*MOVIMIENTOS!$E$5:$E$1005)-SUMPRODUCT((MOVIMIENTOS!$B$5:$B$1005="VENTA CHANCHO")*(MOVIMIENTOS!$C$5:$C$1005="Chancho")*(MOVIMIENTOS!$D$5:$D$1005="sacos")*(MOVIMIENTOS!$A$5:$A$1005&lt;&gt;"")*(MOVIMIENTOS!$A$5:$A$1005&lt;=$A159)*MOVIMIENTOS!$E$5:$E$1005)-SUMPRODUCT((MOVIMIENTOS!$B$5:$B$1005="REGALO")*(MOVIMIENTOS!$C$5:$C$1005="Chancho")*(MOVIMIENTOS!$D$5:$D$1005="sacos")*(MOVIMIENTOS!$A$5:$A$1005&lt;&gt;"")*(MOVIMIENTOS!$A$5:$A$1005&lt;=$A159)*MOVIMIENTOS!$E$5:$E$1005)-SUMPRODUCT((MOVIMIENTOS!$B$5:$B$1005="VENTA")*(MOVIMIENTOS!$C$5:$C$1005="Chancho")*(MOVIMIENTOS!$D$5:$D$1005="sacos")*(MOVIMIENTOS!$A$5:$A$1005&lt;&gt;"")*(MOVIMIENTOS!$A$5:$A$1005&lt;=$A159)*MOVIMIENTOS!$E$5:$E$1005)+SUMPRODUCT((MOVIMIENTOS!$B$5:$B$1005="AJUSTE")*(MOVIMIENTOS!$C$5:$C$1005="Chancho")*(MOVIMIENTOS!$D$5:$D$1005="sacos")*(MOVIMIENTOS!$A$5:$A$1005&lt;&gt;"")*(MOVIMIENTOS!$A$5:$A$1005&lt;=$A159)*MOVIMIENTOS!$E$5:$E$1005))</f>
        <v/>
      </c>
      <c r="G159" s="95" t="str">
        <f t="shared" si="5"/>
        <v/>
      </c>
      <c r="H159" s="63" t="str">
        <f>IF($A159="","",SUMPRODUCT((((MOVIMIENTOS!$B$5:$B$1005="SALDO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159)*MOVIMIENTOS!$J$5:$J$1005))</f>
        <v/>
      </c>
      <c r="I159" s="63"/>
      <c r="J159" s="63" t="str">
        <f>IF(AND(MOVIMIENTOS!$A159&lt;&gt;"",COUNTIF(MOVIMIENTOS!$A$5:$A158,MOVIMIENTOS!$A159)=0),COUNT(J$4:J158)+1,"")</f>
        <v/>
      </c>
      <c r="K159" s="66">
        <f>MOVIMIENTOS!$A159</f>
        <v>46227</v>
      </c>
      <c r="L159" s="63"/>
      <c r="M159" s="63"/>
      <c r="N159" s="63"/>
    </row>
    <row r="160" spans="1:14" ht="15" customHeight="1" x14ac:dyDescent="0.2">
      <c r="A160" s="63" t="str">
        <f t="shared" si="4"/>
        <v/>
      </c>
      <c r="B160" s="63" t="str">
        <f>IF($A160="","",SUMPRODUCT((MOVIMIENTOS!$B$5:$B$1005="SALDO INICIAL")*(MOVIMIENTOS!$C$5:$C$1005="A")*(MOVIMIENTOS!$D$5:$D$1005="jabas")*(MOVIMIENTOS!$A$5:$A$1005&lt;&gt;"")*(MOVIMIENTOS!$A$5:$A$1005&lt;=$A160)*MOVIMIENTOS!$E$5:$E$1005)+SUMPRODUCT((MOVIMIENTOS!$B$5:$B$1005="PROCESO")*(MOVIMIENTOS!$C$5:$C$1005="A")*(MOVIMIENTOS!$D$5:$D$1005="jabas")*(MOVIMIENTOS!$A$5:$A$1005&lt;&gt;"")*(MOVIMIENTOS!$A$5:$A$1005&lt;=$A160)*MOVIMIENTOS!$E$5:$E$1005)-SUMPRODUCT((MOVIMIENTOS!$B$5:$B$1005="ENVÍO A SUPESA")*(MOVIMIENTOS!$C$5:$C$1005="A")*(MOVIMIENTOS!$D$5:$D$1005="jabas")*(MOVIMIENTOS!$A$5:$A$1005&lt;&gt;"")*(MOVIMIENTOS!$A$5:$A$1005&lt;=$A160)*MOVIMIENTOS!$E$5:$E$1005)+SUMPRODUCT((MOVIMIENTOS!$B$5:$B$1005="DEVOLUCIÓN")*(MOVIMIENTOS!$C$5:$C$1005="A")*(MOVIMIENTOS!$D$5:$D$1005="jabas")*(MOVIMIENTOS!$A$5:$A$1005&lt;&gt;"")*(MOVIMIENTOS!$A$5:$A$1005&lt;=$A160)*MOVIMIENTOS!$E$5:$E$1005)-SUMPRODUCT((MOVIMIENTOS!$B$5:$B$1005="TRASIEGO")*(MOVIMIENTOS!$C$5:$C$1005="A")*(MOVIMIENTOS!$D$5:$D$1005="jabas")*(MOVIMIENTOS!$A$5:$A$1005&lt;&gt;"")*(MOVIMIENTOS!$A$5:$A$1005&lt;=$A160)*MOVIMIENTOS!$E$5:$E$1005)-SUMPRODUCT((MOVIMIENTOS!$B$5:$B$1005="REGALO")*(MOVIMIENTOS!$C$5:$C$1005="A")*(MOVIMIENTOS!$D$5:$D$1005="jabas")*(MOVIMIENTOS!$A$5:$A$1005&lt;&gt;"")*(MOVIMIENTOS!$A$5:$A$1005&lt;=$A160)*MOVIMIENTOS!$E$5:$E$1005)-SUMPRODUCT((MOVIMIENTOS!$B$5:$B$1005="VENTA")*(MOVIMIENTOS!$C$5:$C$1005="A")*(MOVIMIENTOS!$D$5:$D$1005="jabas")*(MOVIMIENTOS!$A$5:$A$1005&lt;&gt;"")*(MOVIMIENTOS!$A$5:$A$1005&lt;=$A160)*MOVIMIENTOS!$E$5:$E$1005)+SUMPRODUCT((MOVIMIENTOS!$B$5:$B$1005="AJUSTE")*(MOVIMIENTOS!$C$5:$C$1005="A")*(MOVIMIENTOS!$D$5:$D$1005="jabas")*(MOVIMIENTOS!$A$5:$A$1005&lt;&gt;"")*(MOVIMIENTOS!$A$5:$A$1005&lt;=$A160)*MOVIMIENTOS!$E$5:$E$1005))</f>
        <v/>
      </c>
      <c r="C160" s="63" t="str">
        <f>IF($A160="","",SUMPRODUCT((MOVIMIENTOS!$B$5:$B$1005="SALDO INICIAL")*(MOVIMIENTOS!$C$5:$C$1005="P")*(MOVIMIENTOS!$D$5:$D$1005="jabas")*(MOVIMIENTOS!$A$5:$A$1005&lt;&gt;"")*(MOVIMIENTOS!$A$5:$A$1005&lt;=$A160)*MOVIMIENTOS!$E$5:$E$1005)+SUMPRODUCT((MOVIMIENTOS!$B$5:$B$1005="PROCESO")*(MOVIMIENTOS!$C$5:$C$1005="P")*(MOVIMIENTOS!$D$5:$D$1005="jabas")*(MOVIMIENTOS!$A$5:$A$1005&lt;&gt;"")*(MOVIMIENTOS!$A$5:$A$1005&lt;=$A160)*MOVIMIENTOS!$E$5:$E$1005)-SUMPRODUCT((MOVIMIENTOS!$B$5:$B$1005="ENVÍO A SUPESA")*(MOVIMIENTOS!$C$5:$C$1005="P")*(MOVIMIENTOS!$D$5:$D$1005="jabas")*(MOVIMIENTOS!$A$5:$A$1005&lt;&gt;"")*(MOVIMIENTOS!$A$5:$A$1005&lt;=$A160)*MOVIMIENTOS!$E$5:$E$1005)+SUMPRODUCT((MOVIMIENTOS!$B$5:$B$1005="DEVOLUCIÓN")*(MOVIMIENTOS!$C$5:$C$1005="P")*(MOVIMIENTOS!$D$5:$D$1005="jabas")*(MOVIMIENTOS!$A$5:$A$1005&lt;&gt;"")*(MOVIMIENTOS!$A$5:$A$1005&lt;=$A160)*MOVIMIENTOS!$E$5:$E$1005)-SUMPRODUCT((MOVIMIENTOS!$B$5:$B$1005="TRASIEGO")*(MOVIMIENTOS!$C$5:$C$1005="P")*(MOVIMIENTOS!$D$5:$D$1005="jabas")*(MOVIMIENTOS!$A$5:$A$1005&lt;&gt;"")*(MOVIMIENTOS!$A$5:$A$1005&lt;=$A160)*MOVIMIENTOS!$E$5:$E$1005)-SUMPRODUCT((MOVIMIENTOS!$B$5:$B$1005="REGALO")*(MOVIMIENTOS!$C$5:$C$1005="P")*(MOVIMIENTOS!$D$5:$D$1005="jabas")*(MOVIMIENTOS!$A$5:$A$1005&lt;&gt;"")*(MOVIMIENTOS!$A$5:$A$1005&lt;=$A160)*MOVIMIENTOS!$E$5:$E$1005)-SUMPRODUCT((MOVIMIENTOS!$B$5:$B$1005="VENTA")*(MOVIMIENTOS!$C$5:$C$1005="P")*(MOVIMIENTOS!$D$5:$D$1005="jabas")*(MOVIMIENTOS!$A$5:$A$1005&lt;&gt;"")*(MOVIMIENTOS!$A$5:$A$1005&lt;=$A160)*MOVIMIENTOS!$E$5:$E$1005)+SUMPRODUCT((MOVIMIENTOS!$B$5:$B$1005="AJUSTE")*(MOVIMIENTOS!$C$5:$C$1005="P")*(MOVIMIENTOS!$D$5:$D$1005="jabas")*(MOVIMIENTOS!$A$5:$A$1005&lt;&gt;"")*(MOVIMIENTOS!$A$5:$A$1005&lt;=$A160)*MOVIMIENTOS!$E$5:$E$1005))</f>
        <v/>
      </c>
      <c r="D160" s="63" t="str">
        <f>IF($A160="","",SUMPRODUCT((MOVIMIENTOS!$B$5:$B$1005="SALDO INICIAL")*(MOVIMIENTOS!$C$5:$C$1005="C")*(MOVIMIENTOS!$D$5:$D$1005="jabas")*(MOVIMIENTOS!$A$5:$A$1005&lt;&gt;"")*(MOVIMIENTOS!$A$5:$A$1005&lt;=$A160)*MOVIMIENTOS!$E$5:$E$1005)+SUMPRODUCT((MOVIMIENTOS!$B$5:$B$1005="PROCESO")*(MOVIMIENTOS!$C$5:$C$1005="C")*(MOVIMIENTOS!$D$5:$D$1005="jabas")*(MOVIMIENTOS!$A$5:$A$1005&lt;&gt;"")*(MOVIMIENTOS!$A$5:$A$1005&lt;=$A160)*MOVIMIENTOS!$E$5:$E$1005)-SUMPRODUCT((MOVIMIENTOS!$B$5:$B$1005="ENVÍO A SUPESA")*(MOVIMIENTOS!$C$5:$C$1005="C")*(MOVIMIENTOS!$D$5:$D$1005="jabas")*(MOVIMIENTOS!$A$5:$A$1005&lt;&gt;"")*(MOVIMIENTOS!$A$5:$A$1005&lt;=$A160)*MOVIMIENTOS!$E$5:$E$1005)+SUMPRODUCT((MOVIMIENTOS!$B$5:$B$1005="DEVOLUCIÓN")*(MOVIMIENTOS!$C$5:$C$1005="C")*(MOVIMIENTOS!$D$5:$D$1005="jabas")*(MOVIMIENTOS!$A$5:$A$1005&lt;&gt;"")*(MOVIMIENTOS!$A$5:$A$1005&lt;=$A160)*MOVIMIENTOS!$E$5:$E$1005)-SUMPRODUCT((MOVIMIENTOS!$B$5:$B$1005="TRASIEGO")*(MOVIMIENTOS!$C$5:$C$1005="C")*(MOVIMIENTOS!$D$5:$D$1005="jabas")*(MOVIMIENTOS!$A$5:$A$1005&lt;&gt;"")*(MOVIMIENTOS!$A$5:$A$1005&lt;=$A160)*MOVIMIENTOS!$E$5:$E$1005)-SUMPRODUCT((MOVIMIENTOS!$B$5:$B$1005="REGALO")*(MOVIMIENTOS!$C$5:$C$1005="C")*(MOVIMIENTOS!$D$5:$D$1005="jabas")*(MOVIMIENTOS!$A$5:$A$1005&lt;&gt;"")*(MOVIMIENTOS!$A$5:$A$1005&lt;=$A160)*MOVIMIENTOS!$E$5:$E$1005)-SUMPRODUCT((MOVIMIENTOS!$B$5:$B$1005="VENTA")*(MOVIMIENTOS!$C$5:$C$1005="C")*(MOVIMIENTOS!$D$5:$D$1005="jabas")*(MOVIMIENTOS!$A$5:$A$1005&lt;&gt;"")*(MOVIMIENTOS!$A$5:$A$1005&lt;=$A160)*MOVIMIENTOS!$E$5:$E$1005)+SUMPRODUCT((MOVIMIENTOS!$B$5:$B$1005="AJUSTE")*(MOVIMIENTOS!$C$5:$C$1005="C")*(MOVIMIENTOS!$D$5:$D$1005="jabas")*(MOVIMIENTOS!$A$5:$A$1005&lt;&gt;"")*(MOVIMIENTOS!$A$5:$A$1005&lt;=$A160)*MOVIMIENTOS!$E$5:$E$1005))</f>
        <v/>
      </c>
      <c r="E160" s="63" t="str">
        <f>IF($A160="","",SUMPRODUCT((MOVIMIENTOS!$B$5:$B$1005="SALDO INICIAL")*(MOVIMIENTOS!$C$5:$C$1005="M")*(MOVIMIENTOS!$D$5:$D$1005="jabas")*(MOVIMIENTOS!$A$5:$A$1005&lt;&gt;"")*(MOVIMIENTOS!$A$5:$A$1005&lt;=$A160)*MOVIMIENTOS!$E$5:$E$1005)+SUMPRODUCT((MOVIMIENTOS!$B$5:$B$1005="PROCESO")*(MOVIMIENTOS!$C$5:$C$1005="M")*(MOVIMIENTOS!$D$5:$D$1005="jabas")*(MOVIMIENTOS!$A$5:$A$1005&lt;&gt;"")*(MOVIMIENTOS!$A$5:$A$1005&lt;=$A160)*MOVIMIENTOS!$E$5:$E$1005)-SUMPRODUCT((MOVIMIENTOS!$B$5:$B$1005="ENVÍO A SUPESA")*(MOVIMIENTOS!$C$5:$C$1005="M")*(MOVIMIENTOS!$D$5:$D$1005="jabas")*(MOVIMIENTOS!$A$5:$A$1005&lt;&gt;"")*(MOVIMIENTOS!$A$5:$A$1005&lt;=$A160)*MOVIMIENTOS!$E$5:$E$1005)+SUMPRODUCT((MOVIMIENTOS!$B$5:$B$1005="DEVOLUCIÓN")*(MOVIMIENTOS!$C$5:$C$1005="M")*(MOVIMIENTOS!$D$5:$D$1005="jabas")*(MOVIMIENTOS!$A$5:$A$1005&lt;&gt;"")*(MOVIMIENTOS!$A$5:$A$1005&lt;=$A160)*MOVIMIENTOS!$E$5:$E$1005)-SUMPRODUCT((MOVIMIENTOS!$B$5:$B$1005="TRASIEGO")*(MOVIMIENTOS!$C$5:$C$1005="M")*(MOVIMIENTOS!$D$5:$D$1005="jabas")*(MOVIMIENTOS!$A$5:$A$1005&lt;&gt;"")*(MOVIMIENTOS!$A$5:$A$1005&lt;=$A160)*MOVIMIENTOS!$E$5:$E$1005)-SUMPRODUCT((MOVIMIENTOS!$B$5:$B$1005="REGALO")*(MOVIMIENTOS!$C$5:$C$1005="M")*(MOVIMIENTOS!$D$5:$D$1005="jabas")*(MOVIMIENTOS!$A$5:$A$1005&lt;&gt;"")*(MOVIMIENTOS!$A$5:$A$1005&lt;=$A160)*MOVIMIENTOS!$E$5:$E$1005)-SUMPRODUCT((MOVIMIENTOS!$B$5:$B$1005="VENTA")*(MOVIMIENTOS!$C$5:$C$1005="M")*(MOVIMIENTOS!$D$5:$D$1005="jabas")*(MOVIMIENTOS!$A$5:$A$1005&lt;&gt;"")*(MOVIMIENTOS!$A$5:$A$1005&lt;=$A160)*MOVIMIENTOS!$E$5:$E$1005)+SUMPRODUCT((MOVIMIENTOS!$B$5:$B$1005="AJUSTE")*(MOVIMIENTOS!$C$5:$C$1005="M")*(MOVIMIENTOS!$D$5:$D$1005="jabas")*(MOVIMIENTOS!$A$5:$A$1005&lt;&gt;"")*(MOVIMIENTOS!$A$5:$A$1005&lt;=$A160)*MOVIMIENTOS!$E$5:$E$1005))</f>
        <v/>
      </c>
      <c r="F160" s="63" t="str">
        <f>IF($A160="","",SUMPRODUCT((MOVIMIENTOS!$B$5:$B$1005="SALDO INICIAL")*(MOVIMIENTOS!$C$5:$C$1005="Chancho")*(MOVIMIENTOS!$D$5:$D$1005="sacos")*(MOVIMIENTOS!$A$5:$A$1005&lt;&gt;"")*(MOVIMIENTOS!$A$5:$A$1005&lt;=$A160)*MOVIMIENTOS!$E$5:$E$1005)+SUMPRODUCT((MOVIMIENTOS!$B$5:$B$1005="PROCESO")*(MOVIMIENTOS!$C$5:$C$1005="Chancho")*(MOVIMIENTOS!$D$5:$D$1005="sacos")*(MOVIMIENTOS!$A$5:$A$1005&lt;&gt;"")*(MOVIMIENTOS!$A$5:$A$1005&lt;=$A160)*MOVIMIENTOS!$E$5:$E$1005)-SUMPRODUCT((MOVIMIENTOS!$B$5:$B$1005="VENTA CHANCHO")*(MOVIMIENTOS!$C$5:$C$1005="Chancho")*(MOVIMIENTOS!$D$5:$D$1005="sacos")*(MOVIMIENTOS!$A$5:$A$1005&lt;&gt;"")*(MOVIMIENTOS!$A$5:$A$1005&lt;=$A160)*MOVIMIENTOS!$E$5:$E$1005)-SUMPRODUCT((MOVIMIENTOS!$B$5:$B$1005="REGALO")*(MOVIMIENTOS!$C$5:$C$1005="Chancho")*(MOVIMIENTOS!$D$5:$D$1005="sacos")*(MOVIMIENTOS!$A$5:$A$1005&lt;&gt;"")*(MOVIMIENTOS!$A$5:$A$1005&lt;=$A160)*MOVIMIENTOS!$E$5:$E$1005)-SUMPRODUCT((MOVIMIENTOS!$B$5:$B$1005="VENTA")*(MOVIMIENTOS!$C$5:$C$1005="Chancho")*(MOVIMIENTOS!$D$5:$D$1005="sacos")*(MOVIMIENTOS!$A$5:$A$1005&lt;&gt;"")*(MOVIMIENTOS!$A$5:$A$1005&lt;=$A160)*MOVIMIENTOS!$E$5:$E$1005)+SUMPRODUCT((MOVIMIENTOS!$B$5:$B$1005="AJUSTE")*(MOVIMIENTOS!$C$5:$C$1005="Chancho")*(MOVIMIENTOS!$D$5:$D$1005="sacos")*(MOVIMIENTOS!$A$5:$A$1005&lt;&gt;"")*(MOVIMIENTOS!$A$5:$A$1005&lt;=$A160)*MOVIMIENTOS!$E$5:$E$1005))</f>
        <v/>
      </c>
      <c r="G160" s="95" t="str">
        <f t="shared" si="5"/>
        <v/>
      </c>
      <c r="H160" s="63" t="str">
        <f>IF($A160="","",SUMPRODUCT((((MOVIMIENTOS!$B$5:$B$1005="SALDO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160)*MOVIMIENTOS!$J$5:$J$1005))</f>
        <v/>
      </c>
      <c r="I160" s="63"/>
      <c r="J160" s="63" t="str">
        <f>IF(AND(MOVIMIENTOS!$A160&lt;&gt;"",COUNTIF(MOVIMIENTOS!$A$5:$A159,MOVIMIENTOS!$A160)=0),COUNT(J$4:J159)+1,"")</f>
        <v/>
      </c>
      <c r="K160" s="66">
        <f>MOVIMIENTOS!$A160</f>
        <v>46227</v>
      </c>
      <c r="L160" s="63"/>
      <c r="M160" s="63"/>
      <c r="N160" s="63"/>
    </row>
    <row r="161" spans="1:14" ht="15" customHeight="1" x14ac:dyDescent="0.2">
      <c r="A161" s="63" t="str">
        <f t="shared" si="4"/>
        <v/>
      </c>
      <c r="B161" s="63" t="str">
        <f>IF($A161="","",SUMPRODUCT((MOVIMIENTOS!$B$5:$B$1005="SALDO INICIAL")*(MOVIMIENTOS!$C$5:$C$1005="A")*(MOVIMIENTOS!$D$5:$D$1005="jabas")*(MOVIMIENTOS!$A$5:$A$1005&lt;&gt;"")*(MOVIMIENTOS!$A$5:$A$1005&lt;=$A161)*MOVIMIENTOS!$E$5:$E$1005)+SUMPRODUCT((MOVIMIENTOS!$B$5:$B$1005="PROCESO")*(MOVIMIENTOS!$C$5:$C$1005="A")*(MOVIMIENTOS!$D$5:$D$1005="jabas")*(MOVIMIENTOS!$A$5:$A$1005&lt;&gt;"")*(MOVIMIENTOS!$A$5:$A$1005&lt;=$A161)*MOVIMIENTOS!$E$5:$E$1005)-SUMPRODUCT((MOVIMIENTOS!$B$5:$B$1005="ENVÍO A SUPESA")*(MOVIMIENTOS!$C$5:$C$1005="A")*(MOVIMIENTOS!$D$5:$D$1005="jabas")*(MOVIMIENTOS!$A$5:$A$1005&lt;&gt;"")*(MOVIMIENTOS!$A$5:$A$1005&lt;=$A161)*MOVIMIENTOS!$E$5:$E$1005)+SUMPRODUCT((MOVIMIENTOS!$B$5:$B$1005="DEVOLUCIÓN")*(MOVIMIENTOS!$C$5:$C$1005="A")*(MOVIMIENTOS!$D$5:$D$1005="jabas")*(MOVIMIENTOS!$A$5:$A$1005&lt;&gt;"")*(MOVIMIENTOS!$A$5:$A$1005&lt;=$A161)*MOVIMIENTOS!$E$5:$E$1005)-SUMPRODUCT((MOVIMIENTOS!$B$5:$B$1005="TRASIEGO")*(MOVIMIENTOS!$C$5:$C$1005="A")*(MOVIMIENTOS!$D$5:$D$1005="jabas")*(MOVIMIENTOS!$A$5:$A$1005&lt;&gt;"")*(MOVIMIENTOS!$A$5:$A$1005&lt;=$A161)*MOVIMIENTOS!$E$5:$E$1005)-SUMPRODUCT((MOVIMIENTOS!$B$5:$B$1005="REGALO")*(MOVIMIENTOS!$C$5:$C$1005="A")*(MOVIMIENTOS!$D$5:$D$1005="jabas")*(MOVIMIENTOS!$A$5:$A$1005&lt;&gt;"")*(MOVIMIENTOS!$A$5:$A$1005&lt;=$A161)*MOVIMIENTOS!$E$5:$E$1005)-SUMPRODUCT((MOVIMIENTOS!$B$5:$B$1005="VENTA")*(MOVIMIENTOS!$C$5:$C$1005="A")*(MOVIMIENTOS!$D$5:$D$1005="jabas")*(MOVIMIENTOS!$A$5:$A$1005&lt;&gt;"")*(MOVIMIENTOS!$A$5:$A$1005&lt;=$A161)*MOVIMIENTOS!$E$5:$E$1005)+SUMPRODUCT((MOVIMIENTOS!$B$5:$B$1005="AJUSTE")*(MOVIMIENTOS!$C$5:$C$1005="A")*(MOVIMIENTOS!$D$5:$D$1005="jabas")*(MOVIMIENTOS!$A$5:$A$1005&lt;&gt;"")*(MOVIMIENTOS!$A$5:$A$1005&lt;=$A161)*MOVIMIENTOS!$E$5:$E$1005))</f>
        <v/>
      </c>
      <c r="C161" s="63" t="str">
        <f>IF($A161="","",SUMPRODUCT((MOVIMIENTOS!$B$5:$B$1005="SALDO INICIAL")*(MOVIMIENTOS!$C$5:$C$1005="P")*(MOVIMIENTOS!$D$5:$D$1005="jabas")*(MOVIMIENTOS!$A$5:$A$1005&lt;&gt;"")*(MOVIMIENTOS!$A$5:$A$1005&lt;=$A161)*MOVIMIENTOS!$E$5:$E$1005)+SUMPRODUCT((MOVIMIENTOS!$B$5:$B$1005="PROCESO")*(MOVIMIENTOS!$C$5:$C$1005="P")*(MOVIMIENTOS!$D$5:$D$1005="jabas")*(MOVIMIENTOS!$A$5:$A$1005&lt;&gt;"")*(MOVIMIENTOS!$A$5:$A$1005&lt;=$A161)*MOVIMIENTOS!$E$5:$E$1005)-SUMPRODUCT((MOVIMIENTOS!$B$5:$B$1005="ENVÍO A SUPESA")*(MOVIMIENTOS!$C$5:$C$1005="P")*(MOVIMIENTOS!$D$5:$D$1005="jabas")*(MOVIMIENTOS!$A$5:$A$1005&lt;&gt;"")*(MOVIMIENTOS!$A$5:$A$1005&lt;=$A161)*MOVIMIENTOS!$E$5:$E$1005)+SUMPRODUCT((MOVIMIENTOS!$B$5:$B$1005="DEVOLUCIÓN")*(MOVIMIENTOS!$C$5:$C$1005="P")*(MOVIMIENTOS!$D$5:$D$1005="jabas")*(MOVIMIENTOS!$A$5:$A$1005&lt;&gt;"")*(MOVIMIENTOS!$A$5:$A$1005&lt;=$A161)*MOVIMIENTOS!$E$5:$E$1005)-SUMPRODUCT((MOVIMIENTOS!$B$5:$B$1005="TRASIEGO")*(MOVIMIENTOS!$C$5:$C$1005="P")*(MOVIMIENTOS!$D$5:$D$1005="jabas")*(MOVIMIENTOS!$A$5:$A$1005&lt;&gt;"")*(MOVIMIENTOS!$A$5:$A$1005&lt;=$A161)*MOVIMIENTOS!$E$5:$E$1005)-SUMPRODUCT((MOVIMIENTOS!$B$5:$B$1005="REGALO")*(MOVIMIENTOS!$C$5:$C$1005="P")*(MOVIMIENTOS!$D$5:$D$1005="jabas")*(MOVIMIENTOS!$A$5:$A$1005&lt;&gt;"")*(MOVIMIENTOS!$A$5:$A$1005&lt;=$A161)*MOVIMIENTOS!$E$5:$E$1005)-SUMPRODUCT((MOVIMIENTOS!$B$5:$B$1005="VENTA")*(MOVIMIENTOS!$C$5:$C$1005="P")*(MOVIMIENTOS!$D$5:$D$1005="jabas")*(MOVIMIENTOS!$A$5:$A$1005&lt;&gt;"")*(MOVIMIENTOS!$A$5:$A$1005&lt;=$A161)*MOVIMIENTOS!$E$5:$E$1005)+SUMPRODUCT((MOVIMIENTOS!$B$5:$B$1005="AJUSTE")*(MOVIMIENTOS!$C$5:$C$1005="P")*(MOVIMIENTOS!$D$5:$D$1005="jabas")*(MOVIMIENTOS!$A$5:$A$1005&lt;&gt;"")*(MOVIMIENTOS!$A$5:$A$1005&lt;=$A161)*MOVIMIENTOS!$E$5:$E$1005))</f>
        <v/>
      </c>
      <c r="D161" s="63" t="str">
        <f>IF($A161="","",SUMPRODUCT((MOVIMIENTOS!$B$5:$B$1005="SALDO INICIAL")*(MOVIMIENTOS!$C$5:$C$1005="C")*(MOVIMIENTOS!$D$5:$D$1005="jabas")*(MOVIMIENTOS!$A$5:$A$1005&lt;&gt;"")*(MOVIMIENTOS!$A$5:$A$1005&lt;=$A161)*MOVIMIENTOS!$E$5:$E$1005)+SUMPRODUCT((MOVIMIENTOS!$B$5:$B$1005="PROCESO")*(MOVIMIENTOS!$C$5:$C$1005="C")*(MOVIMIENTOS!$D$5:$D$1005="jabas")*(MOVIMIENTOS!$A$5:$A$1005&lt;&gt;"")*(MOVIMIENTOS!$A$5:$A$1005&lt;=$A161)*MOVIMIENTOS!$E$5:$E$1005)-SUMPRODUCT((MOVIMIENTOS!$B$5:$B$1005="ENVÍO A SUPESA")*(MOVIMIENTOS!$C$5:$C$1005="C")*(MOVIMIENTOS!$D$5:$D$1005="jabas")*(MOVIMIENTOS!$A$5:$A$1005&lt;&gt;"")*(MOVIMIENTOS!$A$5:$A$1005&lt;=$A161)*MOVIMIENTOS!$E$5:$E$1005)+SUMPRODUCT((MOVIMIENTOS!$B$5:$B$1005="DEVOLUCIÓN")*(MOVIMIENTOS!$C$5:$C$1005="C")*(MOVIMIENTOS!$D$5:$D$1005="jabas")*(MOVIMIENTOS!$A$5:$A$1005&lt;&gt;"")*(MOVIMIENTOS!$A$5:$A$1005&lt;=$A161)*MOVIMIENTOS!$E$5:$E$1005)-SUMPRODUCT((MOVIMIENTOS!$B$5:$B$1005="TRASIEGO")*(MOVIMIENTOS!$C$5:$C$1005="C")*(MOVIMIENTOS!$D$5:$D$1005="jabas")*(MOVIMIENTOS!$A$5:$A$1005&lt;&gt;"")*(MOVIMIENTOS!$A$5:$A$1005&lt;=$A161)*MOVIMIENTOS!$E$5:$E$1005)-SUMPRODUCT((MOVIMIENTOS!$B$5:$B$1005="REGALO")*(MOVIMIENTOS!$C$5:$C$1005="C")*(MOVIMIENTOS!$D$5:$D$1005="jabas")*(MOVIMIENTOS!$A$5:$A$1005&lt;&gt;"")*(MOVIMIENTOS!$A$5:$A$1005&lt;=$A161)*MOVIMIENTOS!$E$5:$E$1005)-SUMPRODUCT((MOVIMIENTOS!$B$5:$B$1005="VENTA")*(MOVIMIENTOS!$C$5:$C$1005="C")*(MOVIMIENTOS!$D$5:$D$1005="jabas")*(MOVIMIENTOS!$A$5:$A$1005&lt;&gt;"")*(MOVIMIENTOS!$A$5:$A$1005&lt;=$A161)*MOVIMIENTOS!$E$5:$E$1005)+SUMPRODUCT((MOVIMIENTOS!$B$5:$B$1005="AJUSTE")*(MOVIMIENTOS!$C$5:$C$1005="C")*(MOVIMIENTOS!$D$5:$D$1005="jabas")*(MOVIMIENTOS!$A$5:$A$1005&lt;&gt;"")*(MOVIMIENTOS!$A$5:$A$1005&lt;=$A161)*MOVIMIENTOS!$E$5:$E$1005))</f>
        <v/>
      </c>
      <c r="E161" s="63" t="str">
        <f>IF($A161="","",SUMPRODUCT((MOVIMIENTOS!$B$5:$B$1005="SALDO INICIAL")*(MOVIMIENTOS!$C$5:$C$1005="M")*(MOVIMIENTOS!$D$5:$D$1005="jabas")*(MOVIMIENTOS!$A$5:$A$1005&lt;&gt;"")*(MOVIMIENTOS!$A$5:$A$1005&lt;=$A161)*MOVIMIENTOS!$E$5:$E$1005)+SUMPRODUCT((MOVIMIENTOS!$B$5:$B$1005="PROCESO")*(MOVIMIENTOS!$C$5:$C$1005="M")*(MOVIMIENTOS!$D$5:$D$1005="jabas")*(MOVIMIENTOS!$A$5:$A$1005&lt;&gt;"")*(MOVIMIENTOS!$A$5:$A$1005&lt;=$A161)*MOVIMIENTOS!$E$5:$E$1005)-SUMPRODUCT((MOVIMIENTOS!$B$5:$B$1005="ENVÍO A SUPESA")*(MOVIMIENTOS!$C$5:$C$1005="M")*(MOVIMIENTOS!$D$5:$D$1005="jabas")*(MOVIMIENTOS!$A$5:$A$1005&lt;&gt;"")*(MOVIMIENTOS!$A$5:$A$1005&lt;=$A161)*MOVIMIENTOS!$E$5:$E$1005)+SUMPRODUCT((MOVIMIENTOS!$B$5:$B$1005="DEVOLUCIÓN")*(MOVIMIENTOS!$C$5:$C$1005="M")*(MOVIMIENTOS!$D$5:$D$1005="jabas")*(MOVIMIENTOS!$A$5:$A$1005&lt;&gt;"")*(MOVIMIENTOS!$A$5:$A$1005&lt;=$A161)*MOVIMIENTOS!$E$5:$E$1005)-SUMPRODUCT((MOVIMIENTOS!$B$5:$B$1005="TRASIEGO")*(MOVIMIENTOS!$C$5:$C$1005="M")*(MOVIMIENTOS!$D$5:$D$1005="jabas")*(MOVIMIENTOS!$A$5:$A$1005&lt;&gt;"")*(MOVIMIENTOS!$A$5:$A$1005&lt;=$A161)*MOVIMIENTOS!$E$5:$E$1005)-SUMPRODUCT((MOVIMIENTOS!$B$5:$B$1005="REGALO")*(MOVIMIENTOS!$C$5:$C$1005="M")*(MOVIMIENTOS!$D$5:$D$1005="jabas")*(MOVIMIENTOS!$A$5:$A$1005&lt;&gt;"")*(MOVIMIENTOS!$A$5:$A$1005&lt;=$A161)*MOVIMIENTOS!$E$5:$E$1005)-SUMPRODUCT((MOVIMIENTOS!$B$5:$B$1005="VENTA")*(MOVIMIENTOS!$C$5:$C$1005="M")*(MOVIMIENTOS!$D$5:$D$1005="jabas")*(MOVIMIENTOS!$A$5:$A$1005&lt;&gt;"")*(MOVIMIENTOS!$A$5:$A$1005&lt;=$A161)*MOVIMIENTOS!$E$5:$E$1005)+SUMPRODUCT((MOVIMIENTOS!$B$5:$B$1005="AJUSTE")*(MOVIMIENTOS!$C$5:$C$1005="M")*(MOVIMIENTOS!$D$5:$D$1005="jabas")*(MOVIMIENTOS!$A$5:$A$1005&lt;&gt;"")*(MOVIMIENTOS!$A$5:$A$1005&lt;=$A161)*MOVIMIENTOS!$E$5:$E$1005))</f>
        <v/>
      </c>
      <c r="F161" s="63" t="str">
        <f>IF($A161="","",SUMPRODUCT((MOVIMIENTOS!$B$5:$B$1005="SALDO INICIAL")*(MOVIMIENTOS!$C$5:$C$1005="Chancho")*(MOVIMIENTOS!$D$5:$D$1005="sacos")*(MOVIMIENTOS!$A$5:$A$1005&lt;&gt;"")*(MOVIMIENTOS!$A$5:$A$1005&lt;=$A161)*MOVIMIENTOS!$E$5:$E$1005)+SUMPRODUCT((MOVIMIENTOS!$B$5:$B$1005="PROCESO")*(MOVIMIENTOS!$C$5:$C$1005="Chancho")*(MOVIMIENTOS!$D$5:$D$1005="sacos")*(MOVIMIENTOS!$A$5:$A$1005&lt;&gt;"")*(MOVIMIENTOS!$A$5:$A$1005&lt;=$A161)*MOVIMIENTOS!$E$5:$E$1005)-SUMPRODUCT((MOVIMIENTOS!$B$5:$B$1005="VENTA CHANCHO")*(MOVIMIENTOS!$C$5:$C$1005="Chancho")*(MOVIMIENTOS!$D$5:$D$1005="sacos")*(MOVIMIENTOS!$A$5:$A$1005&lt;&gt;"")*(MOVIMIENTOS!$A$5:$A$1005&lt;=$A161)*MOVIMIENTOS!$E$5:$E$1005)-SUMPRODUCT((MOVIMIENTOS!$B$5:$B$1005="REGALO")*(MOVIMIENTOS!$C$5:$C$1005="Chancho")*(MOVIMIENTOS!$D$5:$D$1005="sacos")*(MOVIMIENTOS!$A$5:$A$1005&lt;&gt;"")*(MOVIMIENTOS!$A$5:$A$1005&lt;=$A161)*MOVIMIENTOS!$E$5:$E$1005)-SUMPRODUCT((MOVIMIENTOS!$B$5:$B$1005="VENTA")*(MOVIMIENTOS!$C$5:$C$1005="Chancho")*(MOVIMIENTOS!$D$5:$D$1005="sacos")*(MOVIMIENTOS!$A$5:$A$1005&lt;&gt;"")*(MOVIMIENTOS!$A$5:$A$1005&lt;=$A161)*MOVIMIENTOS!$E$5:$E$1005)+SUMPRODUCT((MOVIMIENTOS!$B$5:$B$1005="AJUSTE")*(MOVIMIENTOS!$C$5:$C$1005="Chancho")*(MOVIMIENTOS!$D$5:$D$1005="sacos")*(MOVIMIENTOS!$A$5:$A$1005&lt;&gt;"")*(MOVIMIENTOS!$A$5:$A$1005&lt;=$A161)*MOVIMIENTOS!$E$5:$E$1005))</f>
        <v/>
      </c>
      <c r="G161" s="95" t="str">
        <f t="shared" si="5"/>
        <v/>
      </c>
      <c r="H161" s="63" t="str">
        <f>IF($A161="","",SUMPRODUCT((((MOVIMIENTOS!$B$5:$B$1005="SALDO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161)*MOVIMIENTOS!$J$5:$J$1005))</f>
        <v/>
      </c>
      <c r="I161" s="63"/>
      <c r="J161" s="63" t="str">
        <f>IF(AND(MOVIMIENTOS!$A161&lt;&gt;"",COUNTIF(MOVIMIENTOS!$A$5:$A160,MOVIMIENTOS!$A161)=0),COUNT(J$4:J160)+1,"")</f>
        <v/>
      </c>
      <c r="K161" s="66">
        <f>MOVIMIENTOS!$A161</f>
        <v>46227</v>
      </c>
      <c r="L161" s="63"/>
      <c r="M161" s="63"/>
      <c r="N161" s="63"/>
    </row>
    <row r="162" spans="1:14" ht="15" customHeight="1" x14ac:dyDescent="0.2">
      <c r="A162" s="63" t="str">
        <f t="shared" si="4"/>
        <v/>
      </c>
      <c r="B162" s="63" t="str">
        <f>IF($A162="","",SUMPRODUCT((MOVIMIENTOS!$B$5:$B$1005="SALDO INICIAL")*(MOVIMIENTOS!$C$5:$C$1005="A")*(MOVIMIENTOS!$D$5:$D$1005="jabas")*(MOVIMIENTOS!$A$5:$A$1005&lt;&gt;"")*(MOVIMIENTOS!$A$5:$A$1005&lt;=$A162)*MOVIMIENTOS!$E$5:$E$1005)+SUMPRODUCT((MOVIMIENTOS!$B$5:$B$1005="PROCESO")*(MOVIMIENTOS!$C$5:$C$1005="A")*(MOVIMIENTOS!$D$5:$D$1005="jabas")*(MOVIMIENTOS!$A$5:$A$1005&lt;&gt;"")*(MOVIMIENTOS!$A$5:$A$1005&lt;=$A162)*MOVIMIENTOS!$E$5:$E$1005)-SUMPRODUCT((MOVIMIENTOS!$B$5:$B$1005="ENVÍO A SUPESA")*(MOVIMIENTOS!$C$5:$C$1005="A")*(MOVIMIENTOS!$D$5:$D$1005="jabas")*(MOVIMIENTOS!$A$5:$A$1005&lt;&gt;"")*(MOVIMIENTOS!$A$5:$A$1005&lt;=$A162)*MOVIMIENTOS!$E$5:$E$1005)+SUMPRODUCT((MOVIMIENTOS!$B$5:$B$1005="DEVOLUCIÓN")*(MOVIMIENTOS!$C$5:$C$1005="A")*(MOVIMIENTOS!$D$5:$D$1005="jabas")*(MOVIMIENTOS!$A$5:$A$1005&lt;&gt;"")*(MOVIMIENTOS!$A$5:$A$1005&lt;=$A162)*MOVIMIENTOS!$E$5:$E$1005)-SUMPRODUCT((MOVIMIENTOS!$B$5:$B$1005="TRASIEGO")*(MOVIMIENTOS!$C$5:$C$1005="A")*(MOVIMIENTOS!$D$5:$D$1005="jabas")*(MOVIMIENTOS!$A$5:$A$1005&lt;&gt;"")*(MOVIMIENTOS!$A$5:$A$1005&lt;=$A162)*MOVIMIENTOS!$E$5:$E$1005)-SUMPRODUCT((MOVIMIENTOS!$B$5:$B$1005="REGALO")*(MOVIMIENTOS!$C$5:$C$1005="A")*(MOVIMIENTOS!$D$5:$D$1005="jabas")*(MOVIMIENTOS!$A$5:$A$1005&lt;&gt;"")*(MOVIMIENTOS!$A$5:$A$1005&lt;=$A162)*MOVIMIENTOS!$E$5:$E$1005)-SUMPRODUCT((MOVIMIENTOS!$B$5:$B$1005="VENTA")*(MOVIMIENTOS!$C$5:$C$1005="A")*(MOVIMIENTOS!$D$5:$D$1005="jabas")*(MOVIMIENTOS!$A$5:$A$1005&lt;&gt;"")*(MOVIMIENTOS!$A$5:$A$1005&lt;=$A162)*MOVIMIENTOS!$E$5:$E$1005)+SUMPRODUCT((MOVIMIENTOS!$B$5:$B$1005="AJUSTE")*(MOVIMIENTOS!$C$5:$C$1005="A")*(MOVIMIENTOS!$D$5:$D$1005="jabas")*(MOVIMIENTOS!$A$5:$A$1005&lt;&gt;"")*(MOVIMIENTOS!$A$5:$A$1005&lt;=$A162)*MOVIMIENTOS!$E$5:$E$1005))</f>
        <v/>
      </c>
      <c r="C162" s="63" t="str">
        <f>IF($A162="","",SUMPRODUCT((MOVIMIENTOS!$B$5:$B$1005="SALDO INICIAL")*(MOVIMIENTOS!$C$5:$C$1005="P")*(MOVIMIENTOS!$D$5:$D$1005="jabas")*(MOVIMIENTOS!$A$5:$A$1005&lt;&gt;"")*(MOVIMIENTOS!$A$5:$A$1005&lt;=$A162)*MOVIMIENTOS!$E$5:$E$1005)+SUMPRODUCT((MOVIMIENTOS!$B$5:$B$1005="PROCESO")*(MOVIMIENTOS!$C$5:$C$1005="P")*(MOVIMIENTOS!$D$5:$D$1005="jabas")*(MOVIMIENTOS!$A$5:$A$1005&lt;&gt;"")*(MOVIMIENTOS!$A$5:$A$1005&lt;=$A162)*MOVIMIENTOS!$E$5:$E$1005)-SUMPRODUCT((MOVIMIENTOS!$B$5:$B$1005="ENVÍO A SUPESA")*(MOVIMIENTOS!$C$5:$C$1005="P")*(MOVIMIENTOS!$D$5:$D$1005="jabas")*(MOVIMIENTOS!$A$5:$A$1005&lt;&gt;"")*(MOVIMIENTOS!$A$5:$A$1005&lt;=$A162)*MOVIMIENTOS!$E$5:$E$1005)+SUMPRODUCT((MOVIMIENTOS!$B$5:$B$1005="DEVOLUCIÓN")*(MOVIMIENTOS!$C$5:$C$1005="P")*(MOVIMIENTOS!$D$5:$D$1005="jabas")*(MOVIMIENTOS!$A$5:$A$1005&lt;&gt;"")*(MOVIMIENTOS!$A$5:$A$1005&lt;=$A162)*MOVIMIENTOS!$E$5:$E$1005)-SUMPRODUCT((MOVIMIENTOS!$B$5:$B$1005="TRASIEGO")*(MOVIMIENTOS!$C$5:$C$1005="P")*(MOVIMIENTOS!$D$5:$D$1005="jabas")*(MOVIMIENTOS!$A$5:$A$1005&lt;&gt;"")*(MOVIMIENTOS!$A$5:$A$1005&lt;=$A162)*MOVIMIENTOS!$E$5:$E$1005)-SUMPRODUCT((MOVIMIENTOS!$B$5:$B$1005="REGALO")*(MOVIMIENTOS!$C$5:$C$1005="P")*(MOVIMIENTOS!$D$5:$D$1005="jabas")*(MOVIMIENTOS!$A$5:$A$1005&lt;&gt;"")*(MOVIMIENTOS!$A$5:$A$1005&lt;=$A162)*MOVIMIENTOS!$E$5:$E$1005)-SUMPRODUCT((MOVIMIENTOS!$B$5:$B$1005="VENTA")*(MOVIMIENTOS!$C$5:$C$1005="P")*(MOVIMIENTOS!$D$5:$D$1005="jabas")*(MOVIMIENTOS!$A$5:$A$1005&lt;&gt;"")*(MOVIMIENTOS!$A$5:$A$1005&lt;=$A162)*MOVIMIENTOS!$E$5:$E$1005)+SUMPRODUCT((MOVIMIENTOS!$B$5:$B$1005="AJUSTE")*(MOVIMIENTOS!$C$5:$C$1005="P")*(MOVIMIENTOS!$D$5:$D$1005="jabas")*(MOVIMIENTOS!$A$5:$A$1005&lt;&gt;"")*(MOVIMIENTOS!$A$5:$A$1005&lt;=$A162)*MOVIMIENTOS!$E$5:$E$1005))</f>
        <v/>
      </c>
      <c r="D162" s="63" t="str">
        <f>IF($A162="","",SUMPRODUCT((MOVIMIENTOS!$B$5:$B$1005="SALDO INICIAL")*(MOVIMIENTOS!$C$5:$C$1005="C")*(MOVIMIENTOS!$D$5:$D$1005="jabas")*(MOVIMIENTOS!$A$5:$A$1005&lt;&gt;"")*(MOVIMIENTOS!$A$5:$A$1005&lt;=$A162)*MOVIMIENTOS!$E$5:$E$1005)+SUMPRODUCT((MOVIMIENTOS!$B$5:$B$1005="PROCESO")*(MOVIMIENTOS!$C$5:$C$1005="C")*(MOVIMIENTOS!$D$5:$D$1005="jabas")*(MOVIMIENTOS!$A$5:$A$1005&lt;&gt;"")*(MOVIMIENTOS!$A$5:$A$1005&lt;=$A162)*MOVIMIENTOS!$E$5:$E$1005)-SUMPRODUCT((MOVIMIENTOS!$B$5:$B$1005="ENVÍO A SUPESA")*(MOVIMIENTOS!$C$5:$C$1005="C")*(MOVIMIENTOS!$D$5:$D$1005="jabas")*(MOVIMIENTOS!$A$5:$A$1005&lt;&gt;"")*(MOVIMIENTOS!$A$5:$A$1005&lt;=$A162)*MOVIMIENTOS!$E$5:$E$1005)+SUMPRODUCT((MOVIMIENTOS!$B$5:$B$1005="DEVOLUCIÓN")*(MOVIMIENTOS!$C$5:$C$1005="C")*(MOVIMIENTOS!$D$5:$D$1005="jabas")*(MOVIMIENTOS!$A$5:$A$1005&lt;&gt;"")*(MOVIMIENTOS!$A$5:$A$1005&lt;=$A162)*MOVIMIENTOS!$E$5:$E$1005)-SUMPRODUCT((MOVIMIENTOS!$B$5:$B$1005="TRASIEGO")*(MOVIMIENTOS!$C$5:$C$1005="C")*(MOVIMIENTOS!$D$5:$D$1005="jabas")*(MOVIMIENTOS!$A$5:$A$1005&lt;&gt;"")*(MOVIMIENTOS!$A$5:$A$1005&lt;=$A162)*MOVIMIENTOS!$E$5:$E$1005)-SUMPRODUCT((MOVIMIENTOS!$B$5:$B$1005="REGALO")*(MOVIMIENTOS!$C$5:$C$1005="C")*(MOVIMIENTOS!$D$5:$D$1005="jabas")*(MOVIMIENTOS!$A$5:$A$1005&lt;&gt;"")*(MOVIMIENTOS!$A$5:$A$1005&lt;=$A162)*MOVIMIENTOS!$E$5:$E$1005)-SUMPRODUCT((MOVIMIENTOS!$B$5:$B$1005="VENTA")*(MOVIMIENTOS!$C$5:$C$1005="C")*(MOVIMIENTOS!$D$5:$D$1005="jabas")*(MOVIMIENTOS!$A$5:$A$1005&lt;&gt;"")*(MOVIMIENTOS!$A$5:$A$1005&lt;=$A162)*MOVIMIENTOS!$E$5:$E$1005)+SUMPRODUCT((MOVIMIENTOS!$B$5:$B$1005="AJUSTE")*(MOVIMIENTOS!$C$5:$C$1005="C")*(MOVIMIENTOS!$D$5:$D$1005="jabas")*(MOVIMIENTOS!$A$5:$A$1005&lt;&gt;"")*(MOVIMIENTOS!$A$5:$A$1005&lt;=$A162)*MOVIMIENTOS!$E$5:$E$1005))</f>
        <v/>
      </c>
      <c r="E162" s="63" t="str">
        <f>IF($A162="","",SUMPRODUCT((MOVIMIENTOS!$B$5:$B$1005="SALDO INICIAL")*(MOVIMIENTOS!$C$5:$C$1005="M")*(MOVIMIENTOS!$D$5:$D$1005="jabas")*(MOVIMIENTOS!$A$5:$A$1005&lt;&gt;"")*(MOVIMIENTOS!$A$5:$A$1005&lt;=$A162)*MOVIMIENTOS!$E$5:$E$1005)+SUMPRODUCT((MOVIMIENTOS!$B$5:$B$1005="PROCESO")*(MOVIMIENTOS!$C$5:$C$1005="M")*(MOVIMIENTOS!$D$5:$D$1005="jabas")*(MOVIMIENTOS!$A$5:$A$1005&lt;&gt;"")*(MOVIMIENTOS!$A$5:$A$1005&lt;=$A162)*MOVIMIENTOS!$E$5:$E$1005)-SUMPRODUCT((MOVIMIENTOS!$B$5:$B$1005="ENVÍO A SUPESA")*(MOVIMIENTOS!$C$5:$C$1005="M")*(MOVIMIENTOS!$D$5:$D$1005="jabas")*(MOVIMIENTOS!$A$5:$A$1005&lt;&gt;"")*(MOVIMIENTOS!$A$5:$A$1005&lt;=$A162)*MOVIMIENTOS!$E$5:$E$1005)+SUMPRODUCT((MOVIMIENTOS!$B$5:$B$1005="DEVOLUCIÓN")*(MOVIMIENTOS!$C$5:$C$1005="M")*(MOVIMIENTOS!$D$5:$D$1005="jabas")*(MOVIMIENTOS!$A$5:$A$1005&lt;&gt;"")*(MOVIMIENTOS!$A$5:$A$1005&lt;=$A162)*MOVIMIENTOS!$E$5:$E$1005)-SUMPRODUCT((MOVIMIENTOS!$B$5:$B$1005="TRASIEGO")*(MOVIMIENTOS!$C$5:$C$1005="M")*(MOVIMIENTOS!$D$5:$D$1005="jabas")*(MOVIMIENTOS!$A$5:$A$1005&lt;&gt;"")*(MOVIMIENTOS!$A$5:$A$1005&lt;=$A162)*MOVIMIENTOS!$E$5:$E$1005)-SUMPRODUCT((MOVIMIENTOS!$B$5:$B$1005="REGALO")*(MOVIMIENTOS!$C$5:$C$1005="M")*(MOVIMIENTOS!$D$5:$D$1005="jabas")*(MOVIMIENTOS!$A$5:$A$1005&lt;&gt;"")*(MOVIMIENTOS!$A$5:$A$1005&lt;=$A162)*MOVIMIENTOS!$E$5:$E$1005)-SUMPRODUCT((MOVIMIENTOS!$B$5:$B$1005="VENTA")*(MOVIMIENTOS!$C$5:$C$1005="M")*(MOVIMIENTOS!$D$5:$D$1005="jabas")*(MOVIMIENTOS!$A$5:$A$1005&lt;&gt;"")*(MOVIMIENTOS!$A$5:$A$1005&lt;=$A162)*MOVIMIENTOS!$E$5:$E$1005)+SUMPRODUCT((MOVIMIENTOS!$B$5:$B$1005="AJUSTE")*(MOVIMIENTOS!$C$5:$C$1005="M")*(MOVIMIENTOS!$D$5:$D$1005="jabas")*(MOVIMIENTOS!$A$5:$A$1005&lt;&gt;"")*(MOVIMIENTOS!$A$5:$A$1005&lt;=$A162)*MOVIMIENTOS!$E$5:$E$1005))</f>
        <v/>
      </c>
      <c r="F162" s="63" t="str">
        <f>IF($A162="","",SUMPRODUCT((MOVIMIENTOS!$B$5:$B$1005="SALDO INICIAL")*(MOVIMIENTOS!$C$5:$C$1005="Chancho")*(MOVIMIENTOS!$D$5:$D$1005="sacos")*(MOVIMIENTOS!$A$5:$A$1005&lt;&gt;"")*(MOVIMIENTOS!$A$5:$A$1005&lt;=$A162)*MOVIMIENTOS!$E$5:$E$1005)+SUMPRODUCT((MOVIMIENTOS!$B$5:$B$1005="PROCESO")*(MOVIMIENTOS!$C$5:$C$1005="Chancho")*(MOVIMIENTOS!$D$5:$D$1005="sacos")*(MOVIMIENTOS!$A$5:$A$1005&lt;&gt;"")*(MOVIMIENTOS!$A$5:$A$1005&lt;=$A162)*MOVIMIENTOS!$E$5:$E$1005)-SUMPRODUCT((MOVIMIENTOS!$B$5:$B$1005="VENTA CHANCHO")*(MOVIMIENTOS!$C$5:$C$1005="Chancho")*(MOVIMIENTOS!$D$5:$D$1005="sacos")*(MOVIMIENTOS!$A$5:$A$1005&lt;&gt;"")*(MOVIMIENTOS!$A$5:$A$1005&lt;=$A162)*MOVIMIENTOS!$E$5:$E$1005)-SUMPRODUCT((MOVIMIENTOS!$B$5:$B$1005="REGALO")*(MOVIMIENTOS!$C$5:$C$1005="Chancho")*(MOVIMIENTOS!$D$5:$D$1005="sacos")*(MOVIMIENTOS!$A$5:$A$1005&lt;&gt;"")*(MOVIMIENTOS!$A$5:$A$1005&lt;=$A162)*MOVIMIENTOS!$E$5:$E$1005)-SUMPRODUCT((MOVIMIENTOS!$B$5:$B$1005="VENTA")*(MOVIMIENTOS!$C$5:$C$1005="Chancho")*(MOVIMIENTOS!$D$5:$D$1005="sacos")*(MOVIMIENTOS!$A$5:$A$1005&lt;&gt;"")*(MOVIMIENTOS!$A$5:$A$1005&lt;=$A162)*MOVIMIENTOS!$E$5:$E$1005)+SUMPRODUCT((MOVIMIENTOS!$B$5:$B$1005="AJUSTE")*(MOVIMIENTOS!$C$5:$C$1005="Chancho")*(MOVIMIENTOS!$D$5:$D$1005="sacos")*(MOVIMIENTOS!$A$5:$A$1005&lt;&gt;"")*(MOVIMIENTOS!$A$5:$A$1005&lt;=$A162)*MOVIMIENTOS!$E$5:$E$1005))</f>
        <v/>
      </c>
      <c r="G162" s="95" t="str">
        <f t="shared" si="5"/>
        <v/>
      </c>
      <c r="H162" s="63" t="str">
        <f>IF($A162="","",SUMPRODUCT((((MOVIMIENTOS!$B$5:$B$1005="SALDO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162)*MOVIMIENTOS!$J$5:$J$1005))</f>
        <v/>
      </c>
      <c r="I162" s="63"/>
      <c r="J162" s="63" t="str">
        <f>IF(AND(MOVIMIENTOS!$A162&lt;&gt;"",COUNTIF(MOVIMIENTOS!$A$5:$A161,MOVIMIENTOS!$A162)=0),COUNT(J$4:J161)+1,"")</f>
        <v/>
      </c>
      <c r="K162" s="66">
        <f>MOVIMIENTOS!$A162</f>
        <v>46227</v>
      </c>
      <c r="L162" s="63"/>
      <c r="M162" s="63"/>
      <c r="N162" s="63"/>
    </row>
    <row r="163" spans="1:14" ht="15" customHeight="1" x14ac:dyDescent="0.2">
      <c r="A163" s="63" t="str">
        <f t="shared" si="4"/>
        <v/>
      </c>
      <c r="B163" s="63" t="str">
        <f>IF($A163="","",SUMPRODUCT((MOVIMIENTOS!$B$5:$B$1005="SALDO INICIAL")*(MOVIMIENTOS!$C$5:$C$1005="A")*(MOVIMIENTOS!$D$5:$D$1005="jabas")*(MOVIMIENTOS!$A$5:$A$1005&lt;&gt;"")*(MOVIMIENTOS!$A$5:$A$1005&lt;=$A163)*MOVIMIENTOS!$E$5:$E$1005)+SUMPRODUCT((MOVIMIENTOS!$B$5:$B$1005="PROCESO")*(MOVIMIENTOS!$C$5:$C$1005="A")*(MOVIMIENTOS!$D$5:$D$1005="jabas")*(MOVIMIENTOS!$A$5:$A$1005&lt;&gt;"")*(MOVIMIENTOS!$A$5:$A$1005&lt;=$A163)*MOVIMIENTOS!$E$5:$E$1005)-SUMPRODUCT((MOVIMIENTOS!$B$5:$B$1005="ENVÍO A SUPESA")*(MOVIMIENTOS!$C$5:$C$1005="A")*(MOVIMIENTOS!$D$5:$D$1005="jabas")*(MOVIMIENTOS!$A$5:$A$1005&lt;&gt;"")*(MOVIMIENTOS!$A$5:$A$1005&lt;=$A163)*MOVIMIENTOS!$E$5:$E$1005)+SUMPRODUCT((MOVIMIENTOS!$B$5:$B$1005="DEVOLUCIÓN")*(MOVIMIENTOS!$C$5:$C$1005="A")*(MOVIMIENTOS!$D$5:$D$1005="jabas")*(MOVIMIENTOS!$A$5:$A$1005&lt;&gt;"")*(MOVIMIENTOS!$A$5:$A$1005&lt;=$A163)*MOVIMIENTOS!$E$5:$E$1005)-SUMPRODUCT((MOVIMIENTOS!$B$5:$B$1005="TRASIEGO")*(MOVIMIENTOS!$C$5:$C$1005="A")*(MOVIMIENTOS!$D$5:$D$1005="jabas")*(MOVIMIENTOS!$A$5:$A$1005&lt;&gt;"")*(MOVIMIENTOS!$A$5:$A$1005&lt;=$A163)*MOVIMIENTOS!$E$5:$E$1005)-SUMPRODUCT((MOVIMIENTOS!$B$5:$B$1005="REGALO")*(MOVIMIENTOS!$C$5:$C$1005="A")*(MOVIMIENTOS!$D$5:$D$1005="jabas")*(MOVIMIENTOS!$A$5:$A$1005&lt;&gt;"")*(MOVIMIENTOS!$A$5:$A$1005&lt;=$A163)*MOVIMIENTOS!$E$5:$E$1005)-SUMPRODUCT((MOVIMIENTOS!$B$5:$B$1005="VENTA")*(MOVIMIENTOS!$C$5:$C$1005="A")*(MOVIMIENTOS!$D$5:$D$1005="jabas")*(MOVIMIENTOS!$A$5:$A$1005&lt;&gt;"")*(MOVIMIENTOS!$A$5:$A$1005&lt;=$A163)*MOVIMIENTOS!$E$5:$E$1005)+SUMPRODUCT((MOVIMIENTOS!$B$5:$B$1005="AJUSTE")*(MOVIMIENTOS!$C$5:$C$1005="A")*(MOVIMIENTOS!$D$5:$D$1005="jabas")*(MOVIMIENTOS!$A$5:$A$1005&lt;&gt;"")*(MOVIMIENTOS!$A$5:$A$1005&lt;=$A163)*MOVIMIENTOS!$E$5:$E$1005))</f>
        <v/>
      </c>
      <c r="C163" s="63" t="str">
        <f>IF($A163="","",SUMPRODUCT((MOVIMIENTOS!$B$5:$B$1005="SALDO INICIAL")*(MOVIMIENTOS!$C$5:$C$1005="P")*(MOVIMIENTOS!$D$5:$D$1005="jabas")*(MOVIMIENTOS!$A$5:$A$1005&lt;&gt;"")*(MOVIMIENTOS!$A$5:$A$1005&lt;=$A163)*MOVIMIENTOS!$E$5:$E$1005)+SUMPRODUCT((MOVIMIENTOS!$B$5:$B$1005="PROCESO")*(MOVIMIENTOS!$C$5:$C$1005="P")*(MOVIMIENTOS!$D$5:$D$1005="jabas")*(MOVIMIENTOS!$A$5:$A$1005&lt;&gt;"")*(MOVIMIENTOS!$A$5:$A$1005&lt;=$A163)*MOVIMIENTOS!$E$5:$E$1005)-SUMPRODUCT((MOVIMIENTOS!$B$5:$B$1005="ENVÍO A SUPESA")*(MOVIMIENTOS!$C$5:$C$1005="P")*(MOVIMIENTOS!$D$5:$D$1005="jabas")*(MOVIMIENTOS!$A$5:$A$1005&lt;&gt;"")*(MOVIMIENTOS!$A$5:$A$1005&lt;=$A163)*MOVIMIENTOS!$E$5:$E$1005)+SUMPRODUCT((MOVIMIENTOS!$B$5:$B$1005="DEVOLUCIÓN")*(MOVIMIENTOS!$C$5:$C$1005="P")*(MOVIMIENTOS!$D$5:$D$1005="jabas")*(MOVIMIENTOS!$A$5:$A$1005&lt;&gt;"")*(MOVIMIENTOS!$A$5:$A$1005&lt;=$A163)*MOVIMIENTOS!$E$5:$E$1005)-SUMPRODUCT((MOVIMIENTOS!$B$5:$B$1005="TRASIEGO")*(MOVIMIENTOS!$C$5:$C$1005="P")*(MOVIMIENTOS!$D$5:$D$1005="jabas")*(MOVIMIENTOS!$A$5:$A$1005&lt;&gt;"")*(MOVIMIENTOS!$A$5:$A$1005&lt;=$A163)*MOVIMIENTOS!$E$5:$E$1005)-SUMPRODUCT((MOVIMIENTOS!$B$5:$B$1005="REGALO")*(MOVIMIENTOS!$C$5:$C$1005="P")*(MOVIMIENTOS!$D$5:$D$1005="jabas")*(MOVIMIENTOS!$A$5:$A$1005&lt;&gt;"")*(MOVIMIENTOS!$A$5:$A$1005&lt;=$A163)*MOVIMIENTOS!$E$5:$E$1005)-SUMPRODUCT((MOVIMIENTOS!$B$5:$B$1005="VENTA")*(MOVIMIENTOS!$C$5:$C$1005="P")*(MOVIMIENTOS!$D$5:$D$1005="jabas")*(MOVIMIENTOS!$A$5:$A$1005&lt;&gt;"")*(MOVIMIENTOS!$A$5:$A$1005&lt;=$A163)*MOVIMIENTOS!$E$5:$E$1005)+SUMPRODUCT((MOVIMIENTOS!$B$5:$B$1005="AJUSTE")*(MOVIMIENTOS!$C$5:$C$1005="P")*(MOVIMIENTOS!$D$5:$D$1005="jabas")*(MOVIMIENTOS!$A$5:$A$1005&lt;&gt;"")*(MOVIMIENTOS!$A$5:$A$1005&lt;=$A163)*MOVIMIENTOS!$E$5:$E$1005))</f>
        <v/>
      </c>
      <c r="D163" s="63" t="str">
        <f>IF($A163="","",SUMPRODUCT((MOVIMIENTOS!$B$5:$B$1005="SALDO INICIAL")*(MOVIMIENTOS!$C$5:$C$1005="C")*(MOVIMIENTOS!$D$5:$D$1005="jabas")*(MOVIMIENTOS!$A$5:$A$1005&lt;&gt;"")*(MOVIMIENTOS!$A$5:$A$1005&lt;=$A163)*MOVIMIENTOS!$E$5:$E$1005)+SUMPRODUCT((MOVIMIENTOS!$B$5:$B$1005="PROCESO")*(MOVIMIENTOS!$C$5:$C$1005="C")*(MOVIMIENTOS!$D$5:$D$1005="jabas")*(MOVIMIENTOS!$A$5:$A$1005&lt;&gt;"")*(MOVIMIENTOS!$A$5:$A$1005&lt;=$A163)*MOVIMIENTOS!$E$5:$E$1005)-SUMPRODUCT((MOVIMIENTOS!$B$5:$B$1005="ENVÍO A SUPESA")*(MOVIMIENTOS!$C$5:$C$1005="C")*(MOVIMIENTOS!$D$5:$D$1005="jabas")*(MOVIMIENTOS!$A$5:$A$1005&lt;&gt;"")*(MOVIMIENTOS!$A$5:$A$1005&lt;=$A163)*MOVIMIENTOS!$E$5:$E$1005)+SUMPRODUCT((MOVIMIENTOS!$B$5:$B$1005="DEVOLUCIÓN")*(MOVIMIENTOS!$C$5:$C$1005="C")*(MOVIMIENTOS!$D$5:$D$1005="jabas")*(MOVIMIENTOS!$A$5:$A$1005&lt;&gt;"")*(MOVIMIENTOS!$A$5:$A$1005&lt;=$A163)*MOVIMIENTOS!$E$5:$E$1005)-SUMPRODUCT((MOVIMIENTOS!$B$5:$B$1005="TRASIEGO")*(MOVIMIENTOS!$C$5:$C$1005="C")*(MOVIMIENTOS!$D$5:$D$1005="jabas")*(MOVIMIENTOS!$A$5:$A$1005&lt;&gt;"")*(MOVIMIENTOS!$A$5:$A$1005&lt;=$A163)*MOVIMIENTOS!$E$5:$E$1005)-SUMPRODUCT((MOVIMIENTOS!$B$5:$B$1005="REGALO")*(MOVIMIENTOS!$C$5:$C$1005="C")*(MOVIMIENTOS!$D$5:$D$1005="jabas")*(MOVIMIENTOS!$A$5:$A$1005&lt;&gt;"")*(MOVIMIENTOS!$A$5:$A$1005&lt;=$A163)*MOVIMIENTOS!$E$5:$E$1005)-SUMPRODUCT((MOVIMIENTOS!$B$5:$B$1005="VENTA")*(MOVIMIENTOS!$C$5:$C$1005="C")*(MOVIMIENTOS!$D$5:$D$1005="jabas")*(MOVIMIENTOS!$A$5:$A$1005&lt;&gt;"")*(MOVIMIENTOS!$A$5:$A$1005&lt;=$A163)*MOVIMIENTOS!$E$5:$E$1005)+SUMPRODUCT((MOVIMIENTOS!$B$5:$B$1005="AJUSTE")*(MOVIMIENTOS!$C$5:$C$1005="C")*(MOVIMIENTOS!$D$5:$D$1005="jabas")*(MOVIMIENTOS!$A$5:$A$1005&lt;&gt;"")*(MOVIMIENTOS!$A$5:$A$1005&lt;=$A163)*MOVIMIENTOS!$E$5:$E$1005))</f>
        <v/>
      </c>
      <c r="E163" s="63" t="str">
        <f>IF($A163="","",SUMPRODUCT((MOVIMIENTOS!$B$5:$B$1005="SALDO INICIAL")*(MOVIMIENTOS!$C$5:$C$1005="M")*(MOVIMIENTOS!$D$5:$D$1005="jabas")*(MOVIMIENTOS!$A$5:$A$1005&lt;&gt;"")*(MOVIMIENTOS!$A$5:$A$1005&lt;=$A163)*MOVIMIENTOS!$E$5:$E$1005)+SUMPRODUCT((MOVIMIENTOS!$B$5:$B$1005="PROCESO")*(MOVIMIENTOS!$C$5:$C$1005="M")*(MOVIMIENTOS!$D$5:$D$1005="jabas")*(MOVIMIENTOS!$A$5:$A$1005&lt;&gt;"")*(MOVIMIENTOS!$A$5:$A$1005&lt;=$A163)*MOVIMIENTOS!$E$5:$E$1005)-SUMPRODUCT((MOVIMIENTOS!$B$5:$B$1005="ENVÍO A SUPESA")*(MOVIMIENTOS!$C$5:$C$1005="M")*(MOVIMIENTOS!$D$5:$D$1005="jabas")*(MOVIMIENTOS!$A$5:$A$1005&lt;&gt;"")*(MOVIMIENTOS!$A$5:$A$1005&lt;=$A163)*MOVIMIENTOS!$E$5:$E$1005)+SUMPRODUCT((MOVIMIENTOS!$B$5:$B$1005="DEVOLUCIÓN")*(MOVIMIENTOS!$C$5:$C$1005="M")*(MOVIMIENTOS!$D$5:$D$1005="jabas")*(MOVIMIENTOS!$A$5:$A$1005&lt;&gt;"")*(MOVIMIENTOS!$A$5:$A$1005&lt;=$A163)*MOVIMIENTOS!$E$5:$E$1005)-SUMPRODUCT((MOVIMIENTOS!$B$5:$B$1005="TRASIEGO")*(MOVIMIENTOS!$C$5:$C$1005="M")*(MOVIMIENTOS!$D$5:$D$1005="jabas")*(MOVIMIENTOS!$A$5:$A$1005&lt;&gt;"")*(MOVIMIENTOS!$A$5:$A$1005&lt;=$A163)*MOVIMIENTOS!$E$5:$E$1005)-SUMPRODUCT((MOVIMIENTOS!$B$5:$B$1005="REGALO")*(MOVIMIENTOS!$C$5:$C$1005="M")*(MOVIMIENTOS!$D$5:$D$1005="jabas")*(MOVIMIENTOS!$A$5:$A$1005&lt;&gt;"")*(MOVIMIENTOS!$A$5:$A$1005&lt;=$A163)*MOVIMIENTOS!$E$5:$E$1005)-SUMPRODUCT((MOVIMIENTOS!$B$5:$B$1005="VENTA")*(MOVIMIENTOS!$C$5:$C$1005="M")*(MOVIMIENTOS!$D$5:$D$1005="jabas")*(MOVIMIENTOS!$A$5:$A$1005&lt;&gt;"")*(MOVIMIENTOS!$A$5:$A$1005&lt;=$A163)*MOVIMIENTOS!$E$5:$E$1005)+SUMPRODUCT((MOVIMIENTOS!$B$5:$B$1005="AJUSTE")*(MOVIMIENTOS!$C$5:$C$1005="M")*(MOVIMIENTOS!$D$5:$D$1005="jabas")*(MOVIMIENTOS!$A$5:$A$1005&lt;&gt;"")*(MOVIMIENTOS!$A$5:$A$1005&lt;=$A163)*MOVIMIENTOS!$E$5:$E$1005))</f>
        <v/>
      </c>
      <c r="F163" s="63" t="str">
        <f>IF($A163="","",SUMPRODUCT((MOVIMIENTOS!$B$5:$B$1005="SALDO INICIAL")*(MOVIMIENTOS!$C$5:$C$1005="Chancho")*(MOVIMIENTOS!$D$5:$D$1005="sacos")*(MOVIMIENTOS!$A$5:$A$1005&lt;&gt;"")*(MOVIMIENTOS!$A$5:$A$1005&lt;=$A163)*MOVIMIENTOS!$E$5:$E$1005)+SUMPRODUCT((MOVIMIENTOS!$B$5:$B$1005="PROCESO")*(MOVIMIENTOS!$C$5:$C$1005="Chancho")*(MOVIMIENTOS!$D$5:$D$1005="sacos")*(MOVIMIENTOS!$A$5:$A$1005&lt;&gt;"")*(MOVIMIENTOS!$A$5:$A$1005&lt;=$A163)*MOVIMIENTOS!$E$5:$E$1005)-SUMPRODUCT((MOVIMIENTOS!$B$5:$B$1005="VENTA CHANCHO")*(MOVIMIENTOS!$C$5:$C$1005="Chancho")*(MOVIMIENTOS!$D$5:$D$1005="sacos")*(MOVIMIENTOS!$A$5:$A$1005&lt;&gt;"")*(MOVIMIENTOS!$A$5:$A$1005&lt;=$A163)*MOVIMIENTOS!$E$5:$E$1005)-SUMPRODUCT((MOVIMIENTOS!$B$5:$B$1005="REGALO")*(MOVIMIENTOS!$C$5:$C$1005="Chancho")*(MOVIMIENTOS!$D$5:$D$1005="sacos")*(MOVIMIENTOS!$A$5:$A$1005&lt;&gt;"")*(MOVIMIENTOS!$A$5:$A$1005&lt;=$A163)*MOVIMIENTOS!$E$5:$E$1005)-SUMPRODUCT((MOVIMIENTOS!$B$5:$B$1005="VENTA")*(MOVIMIENTOS!$C$5:$C$1005="Chancho")*(MOVIMIENTOS!$D$5:$D$1005="sacos")*(MOVIMIENTOS!$A$5:$A$1005&lt;&gt;"")*(MOVIMIENTOS!$A$5:$A$1005&lt;=$A163)*MOVIMIENTOS!$E$5:$E$1005)+SUMPRODUCT((MOVIMIENTOS!$B$5:$B$1005="AJUSTE")*(MOVIMIENTOS!$C$5:$C$1005="Chancho")*(MOVIMIENTOS!$D$5:$D$1005="sacos")*(MOVIMIENTOS!$A$5:$A$1005&lt;&gt;"")*(MOVIMIENTOS!$A$5:$A$1005&lt;=$A163)*MOVIMIENTOS!$E$5:$E$1005))</f>
        <v/>
      </c>
      <c r="G163" s="95" t="str">
        <f t="shared" si="5"/>
        <v/>
      </c>
      <c r="H163" s="63" t="str">
        <f>IF($A163="","",SUMPRODUCT((((MOVIMIENTOS!$B$5:$B$1005="SALDO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163)*MOVIMIENTOS!$J$5:$J$1005))</f>
        <v/>
      </c>
      <c r="I163" s="63"/>
      <c r="J163" s="63" t="str">
        <f>IF(AND(MOVIMIENTOS!$A163&lt;&gt;"",COUNTIF(MOVIMIENTOS!$A$5:$A162,MOVIMIENTOS!$A163)=0),COUNT(J$4:J162)+1,"")</f>
        <v/>
      </c>
      <c r="K163" s="66">
        <f>MOVIMIENTOS!$A163</f>
        <v>46227</v>
      </c>
      <c r="L163" s="63"/>
      <c r="M163" s="63"/>
      <c r="N163" s="63"/>
    </row>
    <row r="164" spans="1:14" ht="15" customHeight="1" x14ac:dyDescent="0.2">
      <c r="A164" s="63" t="str">
        <f t="shared" si="4"/>
        <v/>
      </c>
      <c r="B164" s="63" t="str">
        <f>IF($A164="","",SUMPRODUCT((MOVIMIENTOS!$B$5:$B$1005="SALDO INICIAL")*(MOVIMIENTOS!$C$5:$C$1005="A")*(MOVIMIENTOS!$D$5:$D$1005="jabas")*(MOVIMIENTOS!$A$5:$A$1005&lt;&gt;"")*(MOVIMIENTOS!$A$5:$A$1005&lt;=$A164)*MOVIMIENTOS!$E$5:$E$1005)+SUMPRODUCT((MOVIMIENTOS!$B$5:$B$1005="PROCESO")*(MOVIMIENTOS!$C$5:$C$1005="A")*(MOVIMIENTOS!$D$5:$D$1005="jabas")*(MOVIMIENTOS!$A$5:$A$1005&lt;&gt;"")*(MOVIMIENTOS!$A$5:$A$1005&lt;=$A164)*MOVIMIENTOS!$E$5:$E$1005)-SUMPRODUCT((MOVIMIENTOS!$B$5:$B$1005="ENVÍO A SUPESA")*(MOVIMIENTOS!$C$5:$C$1005="A")*(MOVIMIENTOS!$D$5:$D$1005="jabas")*(MOVIMIENTOS!$A$5:$A$1005&lt;&gt;"")*(MOVIMIENTOS!$A$5:$A$1005&lt;=$A164)*MOVIMIENTOS!$E$5:$E$1005)+SUMPRODUCT((MOVIMIENTOS!$B$5:$B$1005="DEVOLUCIÓN")*(MOVIMIENTOS!$C$5:$C$1005="A")*(MOVIMIENTOS!$D$5:$D$1005="jabas")*(MOVIMIENTOS!$A$5:$A$1005&lt;&gt;"")*(MOVIMIENTOS!$A$5:$A$1005&lt;=$A164)*MOVIMIENTOS!$E$5:$E$1005)-SUMPRODUCT((MOVIMIENTOS!$B$5:$B$1005="TRASIEGO")*(MOVIMIENTOS!$C$5:$C$1005="A")*(MOVIMIENTOS!$D$5:$D$1005="jabas")*(MOVIMIENTOS!$A$5:$A$1005&lt;&gt;"")*(MOVIMIENTOS!$A$5:$A$1005&lt;=$A164)*MOVIMIENTOS!$E$5:$E$1005)-SUMPRODUCT((MOVIMIENTOS!$B$5:$B$1005="REGALO")*(MOVIMIENTOS!$C$5:$C$1005="A")*(MOVIMIENTOS!$D$5:$D$1005="jabas")*(MOVIMIENTOS!$A$5:$A$1005&lt;&gt;"")*(MOVIMIENTOS!$A$5:$A$1005&lt;=$A164)*MOVIMIENTOS!$E$5:$E$1005)-SUMPRODUCT((MOVIMIENTOS!$B$5:$B$1005="VENTA")*(MOVIMIENTOS!$C$5:$C$1005="A")*(MOVIMIENTOS!$D$5:$D$1005="jabas")*(MOVIMIENTOS!$A$5:$A$1005&lt;&gt;"")*(MOVIMIENTOS!$A$5:$A$1005&lt;=$A164)*MOVIMIENTOS!$E$5:$E$1005)+SUMPRODUCT((MOVIMIENTOS!$B$5:$B$1005="AJUSTE")*(MOVIMIENTOS!$C$5:$C$1005="A")*(MOVIMIENTOS!$D$5:$D$1005="jabas")*(MOVIMIENTOS!$A$5:$A$1005&lt;&gt;"")*(MOVIMIENTOS!$A$5:$A$1005&lt;=$A164)*MOVIMIENTOS!$E$5:$E$1005))</f>
        <v/>
      </c>
      <c r="C164" s="63" t="str">
        <f>IF($A164="","",SUMPRODUCT((MOVIMIENTOS!$B$5:$B$1005="SALDO INICIAL")*(MOVIMIENTOS!$C$5:$C$1005="P")*(MOVIMIENTOS!$D$5:$D$1005="jabas")*(MOVIMIENTOS!$A$5:$A$1005&lt;&gt;"")*(MOVIMIENTOS!$A$5:$A$1005&lt;=$A164)*MOVIMIENTOS!$E$5:$E$1005)+SUMPRODUCT((MOVIMIENTOS!$B$5:$B$1005="PROCESO")*(MOVIMIENTOS!$C$5:$C$1005="P")*(MOVIMIENTOS!$D$5:$D$1005="jabas")*(MOVIMIENTOS!$A$5:$A$1005&lt;&gt;"")*(MOVIMIENTOS!$A$5:$A$1005&lt;=$A164)*MOVIMIENTOS!$E$5:$E$1005)-SUMPRODUCT((MOVIMIENTOS!$B$5:$B$1005="ENVÍO A SUPESA")*(MOVIMIENTOS!$C$5:$C$1005="P")*(MOVIMIENTOS!$D$5:$D$1005="jabas")*(MOVIMIENTOS!$A$5:$A$1005&lt;&gt;"")*(MOVIMIENTOS!$A$5:$A$1005&lt;=$A164)*MOVIMIENTOS!$E$5:$E$1005)+SUMPRODUCT((MOVIMIENTOS!$B$5:$B$1005="DEVOLUCIÓN")*(MOVIMIENTOS!$C$5:$C$1005="P")*(MOVIMIENTOS!$D$5:$D$1005="jabas")*(MOVIMIENTOS!$A$5:$A$1005&lt;&gt;"")*(MOVIMIENTOS!$A$5:$A$1005&lt;=$A164)*MOVIMIENTOS!$E$5:$E$1005)-SUMPRODUCT((MOVIMIENTOS!$B$5:$B$1005="TRASIEGO")*(MOVIMIENTOS!$C$5:$C$1005="P")*(MOVIMIENTOS!$D$5:$D$1005="jabas")*(MOVIMIENTOS!$A$5:$A$1005&lt;&gt;"")*(MOVIMIENTOS!$A$5:$A$1005&lt;=$A164)*MOVIMIENTOS!$E$5:$E$1005)-SUMPRODUCT((MOVIMIENTOS!$B$5:$B$1005="REGALO")*(MOVIMIENTOS!$C$5:$C$1005="P")*(MOVIMIENTOS!$D$5:$D$1005="jabas")*(MOVIMIENTOS!$A$5:$A$1005&lt;&gt;"")*(MOVIMIENTOS!$A$5:$A$1005&lt;=$A164)*MOVIMIENTOS!$E$5:$E$1005)-SUMPRODUCT((MOVIMIENTOS!$B$5:$B$1005="VENTA")*(MOVIMIENTOS!$C$5:$C$1005="P")*(MOVIMIENTOS!$D$5:$D$1005="jabas")*(MOVIMIENTOS!$A$5:$A$1005&lt;&gt;"")*(MOVIMIENTOS!$A$5:$A$1005&lt;=$A164)*MOVIMIENTOS!$E$5:$E$1005)+SUMPRODUCT((MOVIMIENTOS!$B$5:$B$1005="AJUSTE")*(MOVIMIENTOS!$C$5:$C$1005="P")*(MOVIMIENTOS!$D$5:$D$1005="jabas")*(MOVIMIENTOS!$A$5:$A$1005&lt;&gt;"")*(MOVIMIENTOS!$A$5:$A$1005&lt;=$A164)*MOVIMIENTOS!$E$5:$E$1005))</f>
        <v/>
      </c>
      <c r="D164" s="63" t="str">
        <f>IF($A164="","",SUMPRODUCT((MOVIMIENTOS!$B$5:$B$1005="SALDO INICIAL")*(MOVIMIENTOS!$C$5:$C$1005="C")*(MOVIMIENTOS!$D$5:$D$1005="jabas")*(MOVIMIENTOS!$A$5:$A$1005&lt;&gt;"")*(MOVIMIENTOS!$A$5:$A$1005&lt;=$A164)*MOVIMIENTOS!$E$5:$E$1005)+SUMPRODUCT((MOVIMIENTOS!$B$5:$B$1005="PROCESO")*(MOVIMIENTOS!$C$5:$C$1005="C")*(MOVIMIENTOS!$D$5:$D$1005="jabas")*(MOVIMIENTOS!$A$5:$A$1005&lt;&gt;"")*(MOVIMIENTOS!$A$5:$A$1005&lt;=$A164)*MOVIMIENTOS!$E$5:$E$1005)-SUMPRODUCT((MOVIMIENTOS!$B$5:$B$1005="ENVÍO A SUPESA")*(MOVIMIENTOS!$C$5:$C$1005="C")*(MOVIMIENTOS!$D$5:$D$1005="jabas")*(MOVIMIENTOS!$A$5:$A$1005&lt;&gt;"")*(MOVIMIENTOS!$A$5:$A$1005&lt;=$A164)*MOVIMIENTOS!$E$5:$E$1005)+SUMPRODUCT((MOVIMIENTOS!$B$5:$B$1005="DEVOLUCIÓN")*(MOVIMIENTOS!$C$5:$C$1005="C")*(MOVIMIENTOS!$D$5:$D$1005="jabas")*(MOVIMIENTOS!$A$5:$A$1005&lt;&gt;"")*(MOVIMIENTOS!$A$5:$A$1005&lt;=$A164)*MOVIMIENTOS!$E$5:$E$1005)-SUMPRODUCT((MOVIMIENTOS!$B$5:$B$1005="TRASIEGO")*(MOVIMIENTOS!$C$5:$C$1005="C")*(MOVIMIENTOS!$D$5:$D$1005="jabas")*(MOVIMIENTOS!$A$5:$A$1005&lt;&gt;"")*(MOVIMIENTOS!$A$5:$A$1005&lt;=$A164)*MOVIMIENTOS!$E$5:$E$1005)-SUMPRODUCT((MOVIMIENTOS!$B$5:$B$1005="REGALO")*(MOVIMIENTOS!$C$5:$C$1005="C")*(MOVIMIENTOS!$D$5:$D$1005="jabas")*(MOVIMIENTOS!$A$5:$A$1005&lt;&gt;"")*(MOVIMIENTOS!$A$5:$A$1005&lt;=$A164)*MOVIMIENTOS!$E$5:$E$1005)-SUMPRODUCT((MOVIMIENTOS!$B$5:$B$1005="VENTA")*(MOVIMIENTOS!$C$5:$C$1005="C")*(MOVIMIENTOS!$D$5:$D$1005="jabas")*(MOVIMIENTOS!$A$5:$A$1005&lt;&gt;"")*(MOVIMIENTOS!$A$5:$A$1005&lt;=$A164)*MOVIMIENTOS!$E$5:$E$1005)+SUMPRODUCT((MOVIMIENTOS!$B$5:$B$1005="AJUSTE")*(MOVIMIENTOS!$C$5:$C$1005="C")*(MOVIMIENTOS!$D$5:$D$1005="jabas")*(MOVIMIENTOS!$A$5:$A$1005&lt;&gt;"")*(MOVIMIENTOS!$A$5:$A$1005&lt;=$A164)*MOVIMIENTOS!$E$5:$E$1005))</f>
        <v/>
      </c>
      <c r="E164" s="63" t="str">
        <f>IF($A164="","",SUMPRODUCT((MOVIMIENTOS!$B$5:$B$1005="SALDO INICIAL")*(MOVIMIENTOS!$C$5:$C$1005="M")*(MOVIMIENTOS!$D$5:$D$1005="jabas")*(MOVIMIENTOS!$A$5:$A$1005&lt;&gt;"")*(MOVIMIENTOS!$A$5:$A$1005&lt;=$A164)*MOVIMIENTOS!$E$5:$E$1005)+SUMPRODUCT((MOVIMIENTOS!$B$5:$B$1005="PROCESO")*(MOVIMIENTOS!$C$5:$C$1005="M")*(MOVIMIENTOS!$D$5:$D$1005="jabas")*(MOVIMIENTOS!$A$5:$A$1005&lt;&gt;"")*(MOVIMIENTOS!$A$5:$A$1005&lt;=$A164)*MOVIMIENTOS!$E$5:$E$1005)-SUMPRODUCT((MOVIMIENTOS!$B$5:$B$1005="ENVÍO A SUPESA")*(MOVIMIENTOS!$C$5:$C$1005="M")*(MOVIMIENTOS!$D$5:$D$1005="jabas")*(MOVIMIENTOS!$A$5:$A$1005&lt;&gt;"")*(MOVIMIENTOS!$A$5:$A$1005&lt;=$A164)*MOVIMIENTOS!$E$5:$E$1005)+SUMPRODUCT((MOVIMIENTOS!$B$5:$B$1005="DEVOLUCIÓN")*(MOVIMIENTOS!$C$5:$C$1005="M")*(MOVIMIENTOS!$D$5:$D$1005="jabas")*(MOVIMIENTOS!$A$5:$A$1005&lt;&gt;"")*(MOVIMIENTOS!$A$5:$A$1005&lt;=$A164)*MOVIMIENTOS!$E$5:$E$1005)-SUMPRODUCT((MOVIMIENTOS!$B$5:$B$1005="TRASIEGO")*(MOVIMIENTOS!$C$5:$C$1005="M")*(MOVIMIENTOS!$D$5:$D$1005="jabas")*(MOVIMIENTOS!$A$5:$A$1005&lt;&gt;"")*(MOVIMIENTOS!$A$5:$A$1005&lt;=$A164)*MOVIMIENTOS!$E$5:$E$1005)-SUMPRODUCT((MOVIMIENTOS!$B$5:$B$1005="REGALO")*(MOVIMIENTOS!$C$5:$C$1005="M")*(MOVIMIENTOS!$D$5:$D$1005="jabas")*(MOVIMIENTOS!$A$5:$A$1005&lt;&gt;"")*(MOVIMIENTOS!$A$5:$A$1005&lt;=$A164)*MOVIMIENTOS!$E$5:$E$1005)-SUMPRODUCT((MOVIMIENTOS!$B$5:$B$1005="VENTA")*(MOVIMIENTOS!$C$5:$C$1005="M")*(MOVIMIENTOS!$D$5:$D$1005="jabas")*(MOVIMIENTOS!$A$5:$A$1005&lt;&gt;"")*(MOVIMIENTOS!$A$5:$A$1005&lt;=$A164)*MOVIMIENTOS!$E$5:$E$1005)+SUMPRODUCT((MOVIMIENTOS!$B$5:$B$1005="AJUSTE")*(MOVIMIENTOS!$C$5:$C$1005="M")*(MOVIMIENTOS!$D$5:$D$1005="jabas")*(MOVIMIENTOS!$A$5:$A$1005&lt;&gt;"")*(MOVIMIENTOS!$A$5:$A$1005&lt;=$A164)*MOVIMIENTOS!$E$5:$E$1005))</f>
        <v/>
      </c>
      <c r="F164" s="63" t="str">
        <f>IF($A164="","",SUMPRODUCT((MOVIMIENTOS!$B$5:$B$1005="SALDO INICIAL")*(MOVIMIENTOS!$C$5:$C$1005="Chancho")*(MOVIMIENTOS!$D$5:$D$1005="sacos")*(MOVIMIENTOS!$A$5:$A$1005&lt;&gt;"")*(MOVIMIENTOS!$A$5:$A$1005&lt;=$A164)*MOVIMIENTOS!$E$5:$E$1005)+SUMPRODUCT((MOVIMIENTOS!$B$5:$B$1005="PROCESO")*(MOVIMIENTOS!$C$5:$C$1005="Chancho")*(MOVIMIENTOS!$D$5:$D$1005="sacos")*(MOVIMIENTOS!$A$5:$A$1005&lt;&gt;"")*(MOVIMIENTOS!$A$5:$A$1005&lt;=$A164)*MOVIMIENTOS!$E$5:$E$1005)-SUMPRODUCT((MOVIMIENTOS!$B$5:$B$1005="VENTA CHANCHO")*(MOVIMIENTOS!$C$5:$C$1005="Chancho")*(MOVIMIENTOS!$D$5:$D$1005="sacos")*(MOVIMIENTOS!$A$5:$A$1005&lt;&gt;"")*(MOVIMIENTOS!$A$5:$A$1005&lt;=$A164)*MOVIMIENTOS!$E$5:$E$1005)-SUMPRODUCT((MOVIMIENTOS!$B$5:$B$1005="REGALO")*(MOVIMIENTOS!$C$5:$C$1005="Chancho")*(MOVIMIENTOS!$D$5:$D$1005="sacos")*(MOVIMIENTOS!$A$5:$A$1005&lt;&gt;"")*(MOVIMIENTOS!$A$5:$A$1005&lt;=$A164)*MOVIMIENTOS!$E$5:$E$1005)-SUMPRODUCT((MOVIMIENTOS!$B$5:$B$1005="VENTA")*(MOVIMIENTOS!$C$5:$C$1005="Chancho")*(MOVIMIENTOS!$D$5:$D$1005="sacos")*(MOVIMIENTOS!$A$5:$A$1005&lt;&gt;"")*(MOVIMIENTOS!$A$5:$A$1005&lt;=$A164)*MOVIMIENTOS!$E$5:$E$1005)+SUMPRODUCT((MOVIMIENTOS!$B$5:$B$1005="AJUSTE")*(MOVIMIENTOS!$C$5:$C$1005="Chancho")*(MOVIMIENTOS!$D$5:$D$1005="sacos")*(MOVIMIENTOS!$A$5:$A$1005&lt;&gt;"")*(MOVIMIENTOS!$A$5:$A$1005&lt;=$A164)*MOVIMIENTOS!$E$5:$E$1005))</f>
        <v/>
      </c>
      <c r="G164" s="95" t="str">
        <f t="shared" si="5"/>
        <v/>
      </c>
      <c r="H164" s="63" t="str">
        <f>IF($A164="","",SUMPRODUCT((((MOVIMIENTOS!$B$5:$B$1005="SALDO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164)*MOVIMIENTOS!$J$5:$J$1005))</f>
        <v/>
      </c>
      <c r="I164" s="63"/>
      <c r="J164" s="63" t="str">
        <f>IF(AND(MOVIMIENTOS!$A164&lt;&gt;"",COUNTIF(MOVIMIENTOS!$A$5:$A163,MOVIMIENTOS!$A164)=0),COUNT(J$4:J163)+1,"")</f>
        <v/>
      </c>
      <c r="K164" s="66">
        <f>MOVIMIENTOS!$A164</f>
        <v>46227</v>
      </c>
      <c r="L164" s="63"/>
      <c r="M164" s="63"/>
      <c r="N164" s="63"/>
    </row>
    <row r="165" spans="1:14" ht="15" customHeight="1" x14ac:dyDescent="0.2">
      <c r="A165" s="63" t="str">
        <f t="shared" si="4"/>
        <v/>
      </c>
      <c r="B165" s="63" t="str">
        <f>IF($A165="","",SUMPRODUCT((MOVIMIENTOS!$B$5:$B$1005="SALDO INICIAL")*(MOVIMIENTOS!$C$5:$C$1005="A")*(MOVIMIENTOS!$D$5:$D$1005="jabas")*(MOVIMIENTOS!$A$5:$A$1005&lt;&gt;"")*(MOVIMIENTOS!$A$5:$A$1005&lt;=$A165)*MOVIMIENTOS!$E$5:$E$1005)+SUMPRODUCT((MOVIMIENTOS!$B$5:$B$1005="PROCESO")*(MOVIMIENTOS!$C$5:$C$1005="A")*(MOVIMIENTOS!$D$5:$D$1005="jabas")*(MOVIMIENTOS!$A$5:$A$1005&lt;&gt;"")*(MOVIMIENTOS!$A$5:$A$1005&lt;=$A165)*MOVIMIENTOS!$E$5:$E$1005)-SUMPRODUCT((MOVIMIENTOS!$B$5:$B$1005="ENVÍO A SUPESA")*(MOVIMIENTOS!$C$5:$C$1005="A")*(MOVIMIENTOS!$D$5:$D$1005="jabas")*(MOVIMIENTOS!$A$5:$A$1005&lt;&gt;"")*(MOVIMIENTOS!$A$5:$A$1005&lt;=$A165)*MOVIMIENTOS!$E$5:$E$1005)+SUMPRODUCT((MOVIMIENTOS!$B$5:$B$1005="DEVOLUCIÓN")*(MOVIMIENTOS!$C$5:$C$1005="A")*(MOVIMIENTOS!$D$5:$D$1005="jabas")*(MOVIMIENTOS!$A$5:$A$1005&lt;&gt;"")*(MOVIMIENTOS!$A$5:$A$1005&lt;=$A165)*MOVIMIENTOS!$E$5:$E$1005)-SUMPRODUCT((MOVIMIENTOS!$B$5:$B$1005="TRASIEGO")*(MOVIMIENTOS!$C$5:$C$1005="A")*(MOVIMIENTOS!$D$5:$D$1005="jabas")*(MOVIMIENTOS!$A$5:$A$1005&lt;&gt;"")*(MOVIMIENTOS!$A$5:$A$1005&lt;=$A165)*MOVIMIENTOS!$E$5:$E$1005)-SUMPRODUCT((MOVIMIENTOS!$B$5:$B$1005="REGALO")*(MOVIMIENTOS!$C$5:$C$1005="A")*(MOVIMIENTOS!$D$5:$D$1005="jabas")*(MOVIMIENTOS!$A$5:$A$1005&lt;&gt;"")*(MOVIMIENTOS!$A$5:$A$1005&lt;=$A165)*MOVIMIENTOS!$E$5:$E$1005)-SUMPRODUCT((MOVIMIENTOS!$B$5:$B$1005="VENTA")*(MOVIMIENTOS!$C$5:$C$1005="A")*(MOVIMIENTOS!$D$5:$D$1005="jabas")*(MOVIMIENTOS!$A$5:$A$1005&lt;&gt;"")*(MOVIMIENTOS!$A$5:$A$1005&lt;=$A165)*MOVIMIENTOS!$E$5:$E$1005)+SUMPRODUCT((MOVIMIENTOS!$B$5:$B$1005="AJUSTE")*(MOVIMIENTOS!$C$5:$C$1005="A")*(MOVIMIENTOS!$D$5:$D$1005="jabas")*(MOVIMIENTOS!$A$5:$A$1005&lt;&gt;"")*(MOVIMIENTOS!$A$5:$A$1005&lt;=$A165)*MOVIMIENTOS!$E$5:$E$1005))</f>
        <v/>
      </c>
      <c r="C165" s="63" t="str">
        <f>IF($A165="","",SUMPRODUCT((MOVIMIENTOS!$B$5:$B$1005="SALDO INICIAL")*(MOVIMIENTOS!$C$5:$C$1005="P")*(MOVIMIENTOS!$D$5:$D$1005="jabas")*(MOVIMIENTOS!$A$5:$A$1005&lt;&gt;"")*(MOVIMIENTOS!$A$5:$A$1005&lt;=$A165)*MOVIMIENTOS!$E$5:$E$1005)+SUMPRODUCT((MOVIMIENTOS!$B$5:$B$1005="PROCESO")*(MOVIMIENTOS!$C$5:$C$1005="P")*(MOVIMIENTOS!$D$5:$D$1005="jabas")*(MOVIMIENTOS!$A$5:$A$1005&lt;&gt;"")*(MOVIMIENTOS!$A$5:$A$1005&lt;=$A165)*MOVIMIENTOS!$E$5:$E$1005)-SUMPRODUCT((MOVIMIENTOS!$B$5:$B$1005="ENVÍO A SUPESA")*(MOVIMIENTOS!$C$5:$C$1005="P")*(MOVIMIENTOS!$D$5:$D$1005="jabas")*(MOVIMIENTOS!$A$5:$A$1005&lt;&gt;"")*(MOVIMIENTOS!$A$5:$A$1005&lt;=$A165)*MOVIMIENTOS!$E$5:$E$1005)+SUMPRODUCT((MOVIMIENTOS!$B$5:$B$1005="DEVOLUCIÓN")*(MOVIMIENTOS!$C$5:$C$1005="P")*(MOVIMIENTOS!$D$5:$D$1005="jabas")*(MOVIMIENTOS!$A$5:$A$1005&lt;&gt;"")*(MOVIMIENTOS!$A$5:$A$1005&lt;=$A165)*MOVIMIENTOS!$E$5:$E$1005)-SUMPRODUCT((MOVIMIENTOS!$B$5:$B$1005="TRASIEGO")*(MOVIMIENTOS!$C$5:$C$1005="P")*(MOVIMIENTOS!$D$5:$D$1005="jabas")*(MOVIMIENTOS!$A$5:$A$1005&lt;&gt;"")*(MOVIMIENTOS!$A$5:$A$1005&lt;=$A165)*MOVIMIENTOS!$E$5:$E$1005)-SUMPRODUCT((MOVIMIENTOS!$B$5:$B$1005="REGALO")*(MOVIMIENTOS!$C$5:$C$1005="P")*(MOVIMIENTOS!$D$5:$D$1005="jabas")*(MOVIMIENTOS!$A$5:$A$1005&lt;&gt;"")*(MOVIMIENTOS!$A$5:$A$1005&lt;=$A165)*MOVIMIENTOS!$E$5:$E$1005)-SUMPRODUCT((MOVIMIENTOS!$B$5:$B$1005="VENTA")*(MOVIMIENTOS!$C$5:$C$1005="P")*(MOVIMIENTOS!$D$5:$D$1005="jabas")*(MOVIMIENTOS!$A$5:$A$1005&lt;&gt;"")*(MOVIMIENTOS!$A$5:$A$1005&lt;=$A165)*MOVIMIENTOS!$E$5:$E$1005)+SUMPRODUCT((MOVIMIENTOS!$B$5:$B$1005="AJUSTE")*(MOVIMIENTOS!$C$5:$C$1005="P")*(MOVIMIENTOS!$D$5:$D$1005="jabas")*(MOVIMIENTOS!$A$5:$A$1005&lt;&gt;"")*(MOVIMIENTOS!$A$5:$A$1005&lt;=$A165)*MOVIMIENTOS!$E$5:$E$1005))</f>
        <v/>
      </c>
      <c r="D165" s="63" t="str">
        <f>IF($A165="","",SUMPRODUCT((MOVIMIENTOS!$B$5:$B$1005="SALDO INICIAL")*(MOVIMIENTOS!$C$5:$C$1005="C")*(MOVIMIENTOS!$D$5:$D$1005="jabas")*(MOVIMIENTOS!$A$5:$A$1005&lt;&gt;"")*(MOVIMIENTOS!$A$5:$A$1005&lt;=$A165)*MOVIMIENTOS!$E$5:$E$1005)+SUMPRODUCT((MOVIMIENTOS!$B$5:$B$1005="PROCESO")*(MOVIMIENTOS!$C$5:$C$1005="C")*(MOVIMIENTOS!$D$5:$D$1005="jabas")*(MOVIMIENTOS!$A$5:$A$1005&lt;&gt;"")*(MOVIMIENTOS!$A$5:$A$1005&lt;=$A165)*MOVIMIENTOS!$E$5:$E$1005)-SUMPRODUCT((MOVIMIENTOS!$B$5:$B$1005="ENVÍO A SUPESA")*(MOVIMIENTOS!$C$5:$C$1005="C")*(MOVIMIENTOS!$D$5:$D$1005="jabas")*(MOVIMIENTOS!$A$5:$A$1005&lt;&gt;"")*(MOVIMIENTOS!$A$5:$A$1005&lt;=$A165)*MOVIMIENTOS!$E$5:$E$1005)+SUMPRODUCT((MOVIMIENTOS!$B$5:$B$1005="DEVOLUCIÓN")*(MOVIMIENTOS!$C$5:$C$1005="C")*(MOVIMIENTOS!$D$5:$D$1005="jabas")*(MOVIMIENTOS!$A$5:$A$1005&lt;&gt;"")*(MOVIMIENTOS!$A$5:$A$1005&lt;=$A165)*MOVIMIENTOS!$E$5:$E$1005)-SUMPRODUCT((MOVIMIENTOS!$B$5:$B$1005="TRASIEGO")*(MOVIMIENTOS!$C$5:$C$1005="C")*(MOVIMIENTOS!$D$5:$D$1005="jabas")*(MOVIMIENTOS!$A$5:$A$1005&lt;&gt;"")*(MOVIMIENTOS!$A$5:$A$1005&lt;=$A165)*MOVIMIENTOS!$E$5:$E$1005)-SUMPRODUCT((MOVIMIENTOS!$B$5:$B$1005="REGALO")*(MOVIMIENTOS!$C$5:$C$1005="C")*(MOVIMIENTOS!$D$5:$D$1005="jabas")*(MOVIMIENTOS!$A$5:$A$1005&lt;&gt;"")*(MOVIMIENTOS!$A$5:$A$1005&lt;=$A165)*MOVIMIENTOS!$E$5:$E$1005)-SUMPRODUCT((MOVIMIENTOS!$B$5:$B$1005="VENTA")*(MOVIMIENTOS!$C$5:$C$1005="C")*(MOVIMIENTOS!$D$5:$D$1005="jabas")*(MOVIMIENTOS!$A$5:$A$1005&lt;&gt;"")*(MOVIMIENTOS!$A$5:$A$1005&lt;=$A165)*MOVIMIENTOS!$E$5:$E$1005)+SUMPRODUCT((MOVIMIENTOS!$B$5:$B$1005="AJUSTE")*(MOVIMIENTOS!$C$5:$C$1005="C")*(MOVIMIENTOS!$D$5:$D$1005="jabas")*(MOVIMIENTOS!$A$5:$A$1005&lt;&gt;"")*(MOVIMIENTOS!$A$5:$A$1005&lt;=$A165)*MOVIMIENTOS!$E$5:$E$1005))</f>
        <v/>
      </c>
      <c r="E165" s="63" t="str">
        <f>IF($A165="","",SUMPRODUCT((MOVIMIENTOS!$B$5:$B$1005="SALDO INICIAL")*(MOVIMIENTOS!$C$5:$C$1005="M")*(MOVIMIENTOS!$D$5:$D$1005="jabas")*(MOVIMIENTOS!$A$5:$A$1005&lt;&gt;"")*(MOVIMIENTOS!$A$5:$A$1005&lt;=$A165)*MOVIMIENTOS!$E$5:$E$1005)+SUMPRODUCT((MOVIMIENTOS!$B$5:$B$1005="PROCESO")*(MOVIMIENTOS!$C$5:$C$1005="M")*(MOVIMIENTOS!$D$5:$D$1005="jabas")*(MOVIMIENTOS!$A$5:$A$1005&lt;&gt;"")*(MOVIMIENTOS!$A$5:$A$1005&lt;=$A165)*MOVIMIENTOS!$E$5:$E$1005)-SUMPRODUCT((MOVIMIENTOS!$B$5:$B$1005="ENVÍO A SUPESA")*(MOVIMIENTOS!$C$5:$C$1005="M")*(MOVIMIENTOS!$D$5:$D$1005="jabas")*(MOVIMIENTOS!$A$5:$A$1005&lt;&gt;"")*(MOVIMIENTOS!$A$5:$A$1005&lt;=$A165)*MOVIMIENTOS!$E$5:$E$1005)+SUMPRODUCT((MOVIMIENTOS!$B$5:$B$1005="DEVOLUCIÓN")*(MOVIMIENTOS!$C$5:$C$1005="M")*(MOVIMIENTOS!$D$5:$D$1005="jabas")*(MOVIMIENTOS!$A$5:$A$1005&lt;&gt;"")*(MOVIMIENTOS!$A$5:$A$1005&lt;=$A165)*MOVIMIENTOS!$E$5:$E$1005)-SUMPRODUCT((MOVIMIENTOS!$B$5:$B$1005="TRASIEGO")*(MOVIMIENTOS!$C$5:$C$1005="M")*(MOVIMIENTOS!$D$5:$D$1005="jabas")*(MOVIMIENTOS!$A$5:$A$1005&lt;&gt;"")*(MOVIMIENTOS!$A$5:$A$1005&lt;=$A165)*MOVIMIENTOS!$E$5:$E$1005)-SUMPRODUCT((MOVIMIENTOS!$B$5:$B$1005="REGALO")*(MOVIMIENTOS!$C$5:$C$1005="M")*(MOVIMIENTOS!$D$5:$D$1005="jabas")*(MOVIMIENTOS!$A$5:$A$1005&lt;&gt;"")*(MOVIMIENTOS!$A$5:$A$1005&lt;=$A165)*MOVIMIENTOS!$E$5:$E$1005)-SUMPRODUCT((MOVIMIENTOS!$B$5:$B$1005="VENTA")*(MOVIMIENTOS!$C$5:$C$1005="M")*(MOVIMIENTOS!$D$5:$D$1005="jabas")*(MOVIMIENTOS!$A$5:$A$1005&lt;&gt;"")*(MOVIMIENTOS!$A$5:$A$1005&lt;=$A165)*MOVIMIENTOS!$E$5:$E$1005)+SUMPRODUCT((MOVIMIENTOS!$B$5:$B$1005="AJUSTE")*(MOVIMIENTOS!$C$5:$C$1005="M")*(MOVIMIENTOS!$D$5:$D$1005="jabas")*(MOVIMIENTOS!$A$5:$A$1005&lt;&gt;"")*(MOVIMIENTOS!$A$5:$A$1005&lt;=$A165)*MOVIMIENTOS!$E$5:$E$1005))</f>
        <v/>
      </c>
      <c r="F165" s="63" t="str">
        <f>IF($A165="","",SUMPRODUCT((MOVIMIENTOS!$B$5:$B$1005="SALDO INICIAL")*(MOVIMIENTOS!$C$5:$C$1005="Chancho")*(MOVIMIENTOS!$D$5:$D$1005="sacos")*(MOVIMIENTOS!$A$5:$A$1005&lt;&gt;"")*(MOVIMIENTOS!$A$5:$A$1005&lt;=$A165)*MOVIMIENTOS!$E$5:$E$1005)+SUMPRODUCT((MOVIMIENTOS!$B$5:$B$1005="PROCESO")*(MOVIMIENTOS!$C$5:$C$1005="Chancho")*(MOVIMIENTOS!$D$5:$D$1005="sacos")*(MOVIMIENTOS!$A$5:$A$1005&lt;&gt;"")*(MOVIMIENTOS!$A$5:$A$1005&lt;=$A165)*MOVIMIENTOS!$E$5:$E$1005)-SUMPRODUCT((MOVIMIENTOS!$B$5:$B$1005="VENTA CHANCHO")*(MOVIMIENTOS!$C$5:$C$1005="Chancho")*(MOVIMIENTOS!$D$5:$D$1005="sacos")*(MOVIMIENTOS!$A$5:$A$1005&lt;&gt;"")*(MOVIMIENTOS!$A$5:$A$1005&lt;=$A165)*MOVIMIENTOS!$E$5:$E$1005)-SUMPRODUCT((MOVIMIENTOS!$B$5:$B$1005="REGALO")*(MOVIMIENTOS!$C$5:$C$1005="Chancho")*(MOVIMIENTOS!$D$5:$D$1005="sacos")*(MOVIMIENTOS!$A$5:$A$1005&lt;&gt;"")*(MOVIMIENTOS!$A$5:$A$1005&lt;=$A165)*MOVIMIENTOS!$E$5:$E$1005)-SUMPRODUCT((MOVIMIENTOS!$B$5:$B$1005="VENTA")*(MOVIMIENTOS!$C$5:$C$1005="Chancho")*(MOVIMIENTOS!$D$5:$D$1005="sacos")*(MOVIMIENTOS!$A$5:$A$1005&lt;&gt;"")*(MOVIMIENTOS!$A$5:$A$1005&lt;=$A165)*MOVIMIENTOS!$E$5:$E$1005)+SUMPRODUCT((MOVIMIENTOS!$B$5:$B$1005="AJUSTE")*(MOVIMIENTOS!$C$5:$C$1005="Chancho")*(MOVIMIENTOS!$D$5:$D$1005="sacos")*(MOVIMIENTOS!$A$5:$A$1005&lt;&gt;"")*(MOVIMIENTOS!$A$5:$A$1005&lt;=$A165)*MOVIMIENTOS!$E$5:$E$1005))</f>
        <v/>
      </c>
      <c r="G165" s="95" t="str">
        <f t="shared" si="5"/>
        <v/>
      </c>
      <c r="H165" s="63" t="str">
        <f>IF($A165="","",SUMPRODUCT((((MOVIMIENTOS!$B$5:$B$1005="SALDO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165)*MOVIMIENTOS!$J$5:$J$1005))</f>
        <v/>
      </c>
      <c r="I165" s="63"/>
      <c r="J165" s="63" t="str">
        <f>IF(AND(MOVIMIENTOS!$A165&lt;&gt;"",COUNTIF(MOVIMIENTOS!$A$5:$A164,MOVIMIENTOS!$A165)=0),COUNT(J$4:J164)+1,"")</f>
        <v/>
      </c>
      <c r="K165" s="66">
        <f>MOVIMIENTOS!$A165</f>
        <v>46227</v>
      </c>
      <c r="L165" s="63"/>
      <c r="M165" s="63"/>
      <c r="N165" s="63"/>
    </row>
    <row r="166" spans="1:14" ht="15" customHeight="1" x14ac:dyDescent="0.2">
      <c r="A166" s="63" t="str">
        <f t="shared" si="4"/>
        <v/>
      </c>
      <c r="B166" s="63" t="str">
        <f>IF($A166="","",SUMPRODUCT((MOVIMIENTOS!$B$5:$B$1005="SALDO INICIAL")*(MOVIMIENTOS!$C$5:$C$1005="A")*(MOVIMIENTOS!$D$5:$D$1005="jabas")*(MOVIMIENTOS!$A$5:$A$1005&lt;&gt;"")*(MOVIMIENTOS!$A$5:$A$1005&lt;=$A166)*MOVIMIENTOS!$E$5:$E$1005)+SUMPRODUCT((MOVIMIENTOS!$B$5:$B$1005="PROCESO")*(MOVIMIENTOS!$C$5:$C$1005="A")*(MOVIMIENTOS!$D$5:$D$1005="jabas")*(MOVIMIENTOS!$A$5:$A$1005&lt;&gt;"")*(MOVIMIENTOS!$A$5:$A$1005&lt;=$A166)*MOVIMIENTOS!$E$5:$E$1005)-SUMPRODUCT((MOVIMIENTOS!$B$5:$B$1005="ENVÍO A SUPESA")*(MOVIMIENTOS!$C$5:$C$1005="A")*(MOVIMIENTOS!$D$5:$D$1005="jabas")*(MOVIMIENTOS!$A$5:$A$1005&lt;&gt;"")*(MOVIMIENTOS!$A$5:$A$1005&lt;=$A166)*MOVIMIENTOS!$E$5:$E$1005)+SUMPRODUCT((MOVIMIENTOS!$B$5:$B$1005="DEVOLUCIÓN")*(MOVIMIENTOS!$C$5:$C$1005="A")*(MOVIMIENTOS!$D$5:$D$1005="jabas")*(MOVIMIENTOS!$A$5:$A$1005&lt;&gt;"")*(MOVIMIENTOS!$A$5:$A$1005&lt;=$A166)*MOVIMIENTOS!$E$5:$E$1005)-SUMPRODUCT((MOVIMIENTOS!$B$5:$B$1005="TRASIEGO")*(MOVIMIENTOS!$C$5:$C$1005="A")*(MOVIMIENTOS!$D$5:$D$1005="jabas")*(MOVIMIENTOS!$A$5:$A$1005&lt;&gt;"")*(MOVIMIENTOS!$A$5:$A$1005&lt;=$A166)*MOVIMIENTOS!$E$5:$E$1005)-SUMPRODUCT((MOVIMIENTOS!$B$5:$B$1005="REGALO")*(MOVIMIENTOS!$C$5:$C$1005="A")*(MOVIMIENTOS!$D$5:$D$1005="jabas")*(MOVIMIENTOS!$A$5:$A$1005&lt;&gt;"")*(MOVIMIENTOS!$A$5:$A$1005&lt;=$A166)*MOVIMIENTOS!$E$5:$E$1005)-SUMPRODUCT((MOVIMIENTOS!$B$5:$B$1005="VENTA")*(MOVIMIENTOS!$C$5:$C$1005="A")*(MOVIMIENTOS!$D$5:$D$1005="jabas")*(MOVIMIENTOS!$A$5:$A$1005&lt;&gt;"")*(MOVIMIENTOS!$A$5:$A$1005&lt;=$A166)*MOVIMIENTOS!$E$5:$E$1005)+SUMPRODUCT((MOVIMIENTOS!$B$5:$B$1005="AJUSTE")*(MOVIMIENTOS!$C$5:$C$1005="A")*(MOVIMIENTOS!$D$5:$D$1005="jabas")*(MOVIMIENTOS!$A$5:$A$1005&lt;&gt;"")*(MOVIMIENTOS!$A$5:$A$1005&lt;=$A166)*MOVIMIENTOS!$E$5:$E$1005))</f>
        <v/>
      </c>
      <c r="C166" s="63" t="str">
        <f>IF($A166="","",SUMPRODUCT((MOVIMIENTOS!$B$5:$B$1005="SALDO INICIAL")*(MOVIMIENTOS!$C$5:$C$1005="P")*(MOVIMIENTOS!$D$5:$D$1005="jabas")*(MOVIMIENTOS!$A$5:$A$1005&lt;&gt;"")*(MOVIMIENTOS!$A$5:$A$1005&lt;=$A166)*MOVIMIENTOS!$E$5:$E$1005)+SUMPRODUCT((MOVIMIENTOS!$B$5:$B$1005="PROCESO")*(MOVIMIENTOS!$C$5:$C$1005="P")*(MOVIMIENTOS!$D$5:$D$1005="jabas")*(MOVIMIENTOS!$A$5:$A$1005&lt;&gt;"")*(MOVIMIENTOS!$A$5:$A$1005&lt;=$A166)*MOVIMIENTOS!$E$5:$E$1005)-SUMPRODUCT((MOVIMIENTOS!$B$5:$B$1005="ENVÍO A SUPESA")*(MOVIMIENTOS!$C$5:$C$1005="P")*(MOVIMIENTOS!$D$5:$D$1005="jabas")*(MOVIMIENTOS!$A$5:$A$1005&lt;&gt;"")*(MOVIMIENTOS!$A$5:$A$1005&lt;=$A166)*MOVIMIENTOS!$E$5:$E$1005)+SUMPRODUCT((MOVIMIENTOS!$B$5:$B$1005="DEVOLUCIÓN")*(MOVIMIENTOS!$C$5:$C$1005="P")*(MOVIMIENTOS!$D$5:$D$1005="jabas")*(MOVIMIENTOS!$A$5:$A$1005&lt;&gt;"")*(MOVIMIENTOS!$A$5:$A$1005&lt;=$A166)*MOVIMIENTOS!$E$5:$E$1005)-SUMPRODUCT((MOVIMIENTOS!$B$5:$B$1005="TRASIEGO")*(MOVIMIENTOS!$C$5:$C$1005="P")*(MOVIMIENTOS!$D$5:$D$1005="jabas")*(MOVIMIENTOS!$A$5:$A$1005&lt;&gt;"")*(MOVIMIENTOS!$A$5:$A$1005&lt;=$A166)*MOVIMIENTOS!$E$5:$E$1005)-SUMPRODUCT((MOVIMIENTOS!$B$5:$B$1005="REGALO")*(MOVIMIENTOS!$C$5:$C$1005="P")*(MOVIMIENTOS!$D$5:$D$1005="jabas")*(MOVIMIENTOS!$A$5:$A$1005&lt;&gt;"")*(MOVIMIENTOS!$A$5:$A$1005&lt;=$A166)*MOVIMIENTOS!$E$5:$E$1005)-SUMPRODUCT((MOVIMIENTOS!$B$5:$B$1005="VENTA")*(MOVIMIENTOS!$C$5:$C$1005="P")*(MOVIMIENTOS!$D$5:$D$1005="jabas")*(MOVIMIENTOS!$A$5:$A$1005&lt;&gt;"")*(MOVIMIENTOS!$A$5:$A$1005&lt;=$A166)*MOVIMIENTOS!$E$5:$E$1005)+SUMPRODUCT((MOVIMIENTOS!$B$5:$B$1005="AJUSTE")*(MOVIMIENTOS!$C$5:$C$1005="P")*(MOVIMIENTOS!$D$5:$D$1005="jabas")*(MOVIMIENTOS!$A$5:$A$1005&lt;&gt;"")*(MOVIMIENTOS!$A$5:$A$1005&lt;=$A166)*MOVIMIENTOS!$E$5:$E$1005))</f>
        <v/>
      </c>
      <c r="D166" s="63" t="str">
        <f>IF($A166="","",SUMPRODUCT((MOVIMIENTOS!$B$5:$B$1005="SALDO INICIAL")*(MOVIMIENTOS!$C$5:$C$1005="C")*(MOVIMIENTOS!$D$5:$D$1005="jabas")*(MOVIMIENTOS!$A$5:$A$1005&lt;&gt;"")*(MOVIMIENTOS!$A$5:$A$1005&lt;=$A166)*MOVIMIENTOS!$E$5:$E$1005)+SUMPRODUCT((MOVIMIENTOS!$B$5:$B$1005="PROCESO")*(MOVIMIENTOS!$C$5:$C$1005="C")*(MOVIMIENTOS!$D$5:$D$1005="jabas")*(MOVIMIENTOS!$A$5:$A$1005&lt;&gt;"")*(MOVIMIENTOS!$A$5:$A$1005&lt;=$A166)*MOVIMIENTOS!$E$5:$E$1005)-SUMPRODUCT((MOVIMIENTOS!$B$5:$B$1005="ENVÍO A SUPESA")*(MOVIMIENTOS!$C$5:$C$1005="C")*(MOVIMIENTOS!$D$5:$D$1005="jabas")*(MOVIMIENTOS!$A$5:$A$1005&lt;&gt;"")*(MOVIMIENTOS!$A$5:$A$1005&lt;=$A166)*MOVIMIENTOS!$E$5:$E$1005)+SUMPRODUCT((MOVIMIENTOS!$B$5:$B$1005="DEVOLUCIÓN")*(MOVIMIENTOS!$C$5:$C$1005="C")*(MOVIMIENTOS!$D$5:$D$1005="jabas")*(MOVIMIENTOS!$A$5:$A$1005&lt;&gt;"")*(MOVIMIENTOS!$A$5:$A$1005&lt;=$A166)*MOVIMIENTOS!$E$5:$E$1005)-SUMPRODUCT((MOVIMIENTOS!$B$5:$B$1005="TRASIEGO")*(MOVIMIENTOS!$C$5:$C$1005="C")*(MOVIMIENTOS!$D$5:$D$1005="jabas")*(MOVIMIENTOS!$A$5:$A$1005&lt;&gt;"")*(MOVIMIENTOS!$A$5:$A$1005&lt;=$A166)*MOVIMIENTOS!$E$5:$E$1005)-SUMPRODUCT((MOVIMIENTOS!$B$5:$B$1005="REGALO")*(MOVIMIENTOS!$C$5:$C$1005="C")*(MOVIMIENTOS!$D$5:$D$1005="jabas")*(MOVIMIENTOS!$A$5:$A$1005&lt;&gt;"")*(MOVIMIENTOS!$A$5:$A$1005&lt;=$A166)*MOVIMIENTOS!$E$5:$E$1005)-SUMPRODUCT((MOVIMIENTOS!$B$5:$B$1005="VENTA")*(MOVIMIENTOS!$C$5:$C$1005="C")*(MOVIMIENTOS!$D$5:$D$1005="jabas")*(MOVIMIENTOS!$A$5:$A$1005&lt;&gt;"")*(MOVIMIENTOS!$A$5:$A$1005&lt;=$A166)*MOVIMIENTOS!$E$5:$E$1005)+SUMPRODUCT((MOVIMIENTOS!$B$5:$B$1005="AJUSTE")*(MOVIMIENTOS!$C$5:$C$1005="C")*(MOVIMIENTOS!$D$5:$D$1005="jabas")*(MOVIMIENTOS!$A$5:$A$1005&lt;&gt;"")*(MOVIMIENTOS!$A$5:$A$1005&lt;=$A166)*MOVIMIENTOS!$E$5:$E$1005))</f>
        <v/>
      </c>
      <c r="E166" s="63" t="str">
        <f>IF($A166="","",SUMPRODUCT((MOVIMIENTOS!$B$5:$B$1005="SALDO INICIAL")*(MOVIMIENTOS!$C$5:$C$1005="M")*(MOVIMIENTOS!$D$5:$D$1005="jabas")*(MOVIMIENTOS!$A$5:$A$1005&lt;&gt;"")*(MOVIMIENTOS!$A$5:$A$1005&lt;=$A166)*MOVIMIENTOS!$E$5:$E$1005)+SUMPRODUCT((MOVIMIENTOS!$B$5:$B$1005="PROCESO")*(MOVIMIENTOS!$C$5:$C$1005="M")*(MOVIMIENTOS!$D$5:$D$1005="jabas")*(MOVIMIENTOS!$A$5:$A$1005&lt;&gt;"")*(MOVIMIENTOS!$A$5:$A$1005&lt;=$A166)*MOVIMIENTOS!$E$5:$E$1005)-SUMPRODUCT((MOVIMIENTOS!$B$5:$B$1005="ENVÍO A SUPESA")*(MOVIMIENTOS!$C$5:$C$1005="M")*(MOVIMIENTOS!$D$5:$D$1005="jabas")*(MOVIMIENTOS!$A$5:$A$1005&lt;&gt;"")*(MOVIMIENTOS!$A$5:$A$1005&lt;=$A166)*MOVIMIENTOS!$E$5:$E$1005)+SUMPRODUCT((MOVIMIENTOS!$B$5:$B$1005="DEVOLUCIÓN")*(MOVIMIENTOS!$C$5:$C$1005="M")*(MOVIMIENTOS!$D$5:$D$1005="jabas")*(MOVIMIENTOS!$A$5:$A$1005&lt;&gt;"")*(MOVIMIENTOS!$A$5:$A$1005&lt;=$A166)*MOVIMIENTOS!$E$5:$E$1005)-SUMPRODUCT((MOVIMIENTOS!$B$5:$B$1005="TRASIEGO")*(MOVIMIENTOS!$C$5:$C$1005="M")*(MOVIMIENTOS!$D$5:$D$1005="jabas")*(MOVIMIENTOS!$A$5:$A$1005&lt;&gt;"")*(MOVIMIENTOS!$A$5:$A$1005&lt;=$A166)*MOVIMIENTOS!$E$5:$E$1005)-SUMPRODUCT((MOVIMIENTOS!$B$5:$B$1005="REGALO")*(MOVIMIENTOS!$C$5:$C$1005="M")*(MOVIMIENTOS!$D$5:$D$1005="jabas")*(MOVIMIENTOS!$A$5:$A$1005&lt;&gt;"")*(MOVIMIENTOS!$A$5:$A$1005&lt;=$A166)*MOVIMIENTOS!$E$5:$E$1005)-SUMPRODUCT((MOVIMIENTOS!$B$5:$B$1005="VENTA")*(MOVIMIENTOS!$C$5:$C$1005="M")*(MOVIMIENTOS!$D$5:$D$1005="jabas")*(MOVIMIENTOS!$A$5:$A$1005&lt;&gt;"")*(MOVIMIENTOS!$A$5:$A$1005&lt;=$A166)*MOVIMIENTOS!$E$5:$E$1005)+SUMPRODUCT((MOVIMIENTOS!$B$5:$B$1005="AJUSTE")*(MOVIMIENTOS!$C$5:$C$1005="M")*(MOVIMIENTOS!$D$5:$D$1005="jabas")*(MOVIMIENTOS!$A$5:$A$1005&lt;&gt;"")*(MOVIMIENTOS!$A$5:$A$1005&lt;=$A166)*MOVIMIENTOS!$E$5:$E$1005))</f>
        <v/>
      </c>
      <c r="F166" s="63" t="str">
        <f>IF($A166="","",SUMPRODUCT((MOVIMIENTOS!$B$5:$B$1005="SALDO INICIAL")*(MOVIMIENTOS!$C$5:$C$1005="Chancho")*(MOVIMIENTOS!$D$5:$D$1005="sacos")*(MOVIMIENTOS!$A$5:$A$1005&lt;&gt;"")*(MOVIMIENTOS!$A$5:$A$1005&lt;=$A166)*MOVIMIENTOS!$E$5:$E$1005)+SUMPRODUCT((MOVIMIENTOS!$B$5:$B$1005="PROCESO")*(MOVIMIENTOS!$C$5:$C$1005="Chancho")*(MOVIMIENTOS!$D$5:$D$1005="sacos")*(MOVIMIENTOS!$A$5:$A$1005&lt;&gt;"")*(MOVIMIENTOS!$A$5:$A$1005&lt;=$A166)*MOVIMIENTOS!$E$5:$E$1005)-SUMPRODUCT((MOVIMIENTOS!$B$5:$B$1005="VENTA CHANCHO")*(MOVIMIENTOS!$C$5:$C$1005="Chancho")*(MOVIMIENTOS!$D$5:$D$1005="sacos")*(MOVIMIENTOS!$A$5:$A$1005&lt;&gt;"")*(MOVIMIENTOS!$A$5:$A$1005&lt;=$A166)*MOVIMIENTOS!$E$5:$E$1005)-SUMPRODUCT((MOVIMIENTOS!$B$5:$B$1005="REGALO")*(MOVIMIENTOS!$C$5:$C$1005="Chancho")*(MOVIMIENTOS!$D$5:$D$1005="sacos")*(MOVIMIENTOS!$A$5:$A$1005&lt;&gt;"")*(MOVIMIENTOS!$A$5:$A$1005&lt;=$A166)*MOVIMIENTOS!$E$5:$E$1005)-SUMPRODUCT((MOVIMIENTOS!$B$5:$B$1005="VENTA")*(MOVIMIENTOS!$C$5:$C$1005="Chancho")*(MOVIMIENTOS!$D$5:$D$1005="sacos")*(MOVIMIENTOS!$A$5:$A$1005&lt;&gt;"")*(MOVIMIENTOS!$A$5:$A$1005&lt;=$A166)*MOVIMIENTOS!$E$5:$E$1005)+SUMPRODUCT((MOVIMIENTOS!$B$5:$B$1005="AJUSTE")*(MOVIMIENTOS!$C$5:$C$1005="Chancho")*(MOVIMIENTOS!$D$5:$D$1005="sacos")*(MOVIMIENTOS!$A$5:$A$1005&lt;&gt;"")*(MOVIMIENTOS!$A$5:$A$1005&lt;=$A166)*MOVIMIENTOS!$E$5:$E$1005))</f>
        <v/>
      </c>
      <c r="G166" s="95" t="str">
        <f t="shared" si="5"/>
        <v/>
      </c>
      <c r="H166" s="63" t="str">
        <f>IF($A166="","",SUMPRODUCT((((MOVIMIENTOS!$B$5:$B$1005="SALDO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166)*MOVIMIENTOS!$J$5:$J$1005))</f>
        <v/>
      </c>
      <c r="I166" s="63"/>
      <c r="J166" s="63" t="str">
        <f>IF(AND(MOVIMIENTOS!$A166&lt;&gt;"",COUNTIF(MOVIMIENTOS!$A$5:$A165,MOVIMIENTOS!$A166)=0),COUNT(J$4:J165)+1,"")</f>
        <v/>
      </c>
      <c r="K166" s="66">
        <f>MOVIMIENTOS!$A166</f>
        <v>46227</v>
      </c>
      <c r="L166" s="63"/>
      <c r="M166" s="63"/>
      <c r="N166" s="63"/>
    </row>
    <row r="167" spans="1:14" ht="15" customHeight="1" x14ac:dyDescent="0.2">
      <c r="A167" s="63" t="str">
        <f t="shared" si="4"/>
        <v/>
      </c>
      <c r="B167" s="63" t="str">
        <f>IF($A167="","",SUMPRODUCT((MOVIMIENTOS!$B$5:$B$1005="SALDO INICIAL")*(MOVIMIENTOS!$C$5:$C$1005="A")*(MOVIMIENTOS!$D$5:$D$1005="jabas")*(MOVIMIENTOS!$A$5:$A$1005&lt;&gt;"")*(MOVIMIENTOS!$A$5:$A$1005&lt;=$A167)*MOVIMIENTOS!$E$5:$E$1005)+SUMPRODUCT((MOVIMIENTOS!$B$5:$B$1005="PROCESO")*(MOVIMIENTOS!$C$5:$C$1005="A")*(MOVIMIENTOS!$D$5:$D$1005="jabas")*(MOVIMIENTOS!$A$5:$A$1005&lt;&gt;"")*(MOVIMIENTOS!$A$5:$A$1005&lt;=$A167)*MOVIMIENTOS!$E$5:$E$1005)-SUMPRODUCT((MOVIMIENTOS!$B$5:$B$1005="ENVÍO A SUPESA")*(MOVIMIENTOS!$C$5:$C$1005="A")*(MOVIMIENTOS!$D$5:$D$1005="jabas")*(MOVIMIENTOS!$A$5:$A$1005&lt;&gt;"")*(MOVIMIENTOS!$A$5:$A$1005&lt;=$A167)*MOVIMIENTOS!$E$5:$E$1005)+SUMPRODUCT((MOVIMIENTOS!$B$5:$B$1005="DEVOLUCIÓN")*(MOVIMIENTOS!$C$5:$C$1005="A")*(MOVIMIENTOS!$D$5:$D$1005="jabas")*(MOVIMIENTOS!$A$5:$A$1005&lt;&gt;"")*(MOVIMIENTOS!$A$5:$A$1005&lt;=$A167)*MOVIMIENTOS!$E$5:$E$1005)-SUMPRODUCT((MOVIMIENTOS!$B$5:$B$1005="TRASIEGO")*(MOVIMIENTOS!$C$5:$C$1005="A")*(MOVIMIENTOS!$D$5:$D$1005="jabas")*(MOVIMIENTOS!$A$5:$A$1005&lt;&gt;"")*(MOVIMIENTOS!$A$5:$A$1005&lt;=$A167)*MOVIMIENTOS!$E$5:$E$1005)-SUMPRODUCT((MOVIMIENTOS!$B$5:$B$1005="REGALO")*(MOVIMIENTOS!$C$5:$C$1005="A")*(MOVIMIENTOS!$D$5:$D$1005="jabas")*(MOVIMIENTOS!$A$5:$A$1005&lt;&gt;"")*(MOVIMIENTOS!$A$5:$A$1005&lt;=$A167)*MOVIMIENTOS!$E$5:$E$1005)-SUMPRODUCT((MOVIMIENTOS!$B$5:$B$1005="VENTA")*(MOVIMIENTOS!$C$5:$C$1005="A")*(MOVIMIENTOS!$D$5:$D$1005="jabas")*(MOVIMIENTOS!$A$5:$A$1005&lt;&gt;"")*(MOVIMIENTOS!$A$5:$A$1005&lt;=$A167)*MOVIMIENTOS!$E$5:$E$1005)+SUMPRODUCT((MOVIMIENTOS!$B$5:$B$1005="AJUSTE")*(MOVIMIENTOS!$C$5:$C$1005="A")*(MOVIMIENTOS!$D$5:$D$1005="jabas")*(MOVIMIENTOS!$A$5:$A$1005&lt;&gt;"")*(MOVIMIENTOS!$A$5:$A$1005&lt;=$A167)*MOVIMIENTOS!$E$5:$E$1005))</f>
        <v/>
      </c>
      <c r="C167" s="63" t="str">
        <f>IF($A167="","",SUMPRODUCT((MOVIMIENTOS!$B$5:$B$1005="SALDO INICIAL")*(MOVIMIENTOS!$C$5:$C$1005="P")*(MOVIMIENTOS!$D$5:$D$1005="jabas")*(MOVIMIENTOS!$A$5:$A$1005&lt;&gt;"")*(MOVIMIENTOS!$A$5:$A$1005&lt;=$A167)*MOVIMIENTOS!$E$5:$E$1005)+SUMPRODUCT((MOVIMIENTOS!$B$5:$B$1005="PROCESO")*(MOVIMIENTOS!$C$5:$C$1005="P")*(MOVIMIENTOS!$D$5:$D$1005="jabas")*(MOVIMIENTOS!$A$5:$A$1005&lt;&gt;"")*(MOVIMIENTOS!$A$5:$A$1005&lt;=$A167)*MOVIMIENTOS!$E$5:$E$1005)-SUMPRODUCT((MOVIMIENTOS!$B$5:$B$1005="ENVÍO A SUPESA")*(MOVIMIENTOS!$C$5:$C$1005="P")*(MOVIMIENTOS!$D$5:$D$1005="jabas")*(MOVIMIENTOS!$A$5:$A$1005&lt;&gt;"")*(MOVIMIENTOS!$A$5:$A$1005&lt;=$A167)*MOVIMIENTOS!$E$5:$E$1005)+SUMPRODUCT((MOVIMIENTOS!$B$5:$B$1005="DEVOLUCIÓN")*(MOVIMIENTOS!$C$5:$C$1005="P")*(MOVIMIENTOS!$D$5:$D$1005="jabas")*(MOVIMIENTOS!$A$5:$A$1005&lt;&gt;"")*(MOVIMIENTOS!$A$5:$A$1005&lt;=$A167)*MOVIMIENTOS!$E$5:$E$1005)-SUMPRODUCT((MOVIMIENTOS!$B$5:$B$1005="TRASIEGO")*(MOVIMIENTOS!$C$5:$C$1005="P")*(MOVIMIENTOS!$D$5:$D$1005="jabas")*(MOVIMIENTOS!$A$5:$A$1005&lt;&gt;"")*(MOVIMIENTOS!$A$5:$A$1005&lt;=$A167)*MOVIMIENTOS!$E$5:$E$1005)-SUMPRODUCT((MOVIMIENTOS!$B$5:$B$1005="REGALO")*(MOVIMIENTOS!$C$5:$C$1005="P")*(MOVIMIENTOS!$D$5:$D$1005="jabas")*(MOVIMIENTOS!$A$5:$A$1005&lt;&gt;"")*(MOVIMIENTOS!$A$5:$A$1005&lt;=$A167)*MOVIMIENTOS!$E$5:$E$1005)-SUMPRODUCT((MOVIMIENTOS!$B$5:$B$1005="VENTA")*(MOVIMIENTOS!$C$5:$C$1005="P")*(MOVIMIENTOS!$D$5:$D$1005="jabas")*(MOVIMIENTOS!$A$5:$A$1005&lt;&gt;"")*(MOVIMIENTOS!$A$5:$A$1005&lt;=$A167)*MOVIMIENTOS!$E$5:$E$1005)+SUMPRODUCT((MOVIMIENTOS!$B$5:$B$1005="AJUSTE")*(MOVIMIENTOS!$C$5:$C$1005="P")*(MOVIMIENTOS!$D$5:$D$1005="jabas")*(MOVIMIENTOS!$A$5:$A$1005&lt;&gt;"")*(MOVIMIENTOS!$A$5:$A$1005&lt;=$A167)*MOVIMIENTOS!$E$5:$E$1005))</f>
        <v/>
      </c>
      <c r="D167" s="63" t="str">
        <f>IF($A167="","",SUMPRODUCT((MOVIMIENTOS!$B$5:$B$1005="SALDO INICIAL")*(MOVIMIENTOS!$C$5:$C$1005="C")*(MOVIMIENTOS!$D$5:$D$1005="jabas")*(MOVIMIENTOS!$A$5:$A$1005&lt;&gt;"")*(MOVIMIENTOS!$A$5:$A$1005&lt;=$A167)*MOVIMIENTOS!$E$5:$E$1005)+SUMPRODUCT((MOVIMIENTOS!$B$5:$B$1005="PROCESO")*(MOVIMIENTOS!$C$5:$C$1005="C")*(MOVIMIENTOS!$D$5:$D$1005="jabas")*(MOVIMIENTOS!$A$5:$A$1005&lt;&gt;"")*(MOVIMIENTOS!$A$5:$A$1005&lt;=$A167)*MOVIMIENTOS!$E$5:$E$1005)-SUMPRODUCT((MOVIMIENTOS!$B$5:$B$1005="ENVÍO A SUPESA")*(MOVIMIENTOS!$C$5:$C$1005="C")*(MOVIMIENTOS!$D$5:$D$1005="jabas")*(MOVIMIENTOS!$A$5:$A$1005&lt;&gt;"")*(MOVIMIENTOS!$A$5:$A$1005&lt;=$A167)*MOVIMIENTOS!$E$5:$E$1005)+SUMPRODUCT((MOVIMIENTOS!$B$5:$B$1005="DEVOLUCIÓN")*(MOVIMIENTOS!$C$5:$C$1005="C")*(MOVIMIENTOS!$D$5:$D$1005="jabas")*(MOVIMIENTOS!$A$5:$A$1005&lt;&gt;"")*(MOVIMIENTOS!$A$5:$A$1005&lt;=$A167)*MOVIMIENTOS!$E$5:$E$1005)-SUMPRODUCT((MOVIMIENTOS!$B$5:$B$1005="TRASIEGO")*(MOVIMIENTOS!$C$5:$C$1005="C")*(MOVIMIENTOS!$D$5:$D$1005="jabas")*(MOVIMIENTOS!$A$5:$A$1005&lt;&gt;"")*(MOVIMIENTOS!$A$5:$A$1005&lt;=$A167)*MOVIMIENTOS!$E$5:$E$1005)-SUMPRODUCT((MOVIMIENTOS!$B$5:$B$1005="REGALO")*(MOVIMIENTOS!$C$5:$C$1005="C")*(MOVIMIENTOS!$D$5:$D$1005="jabas")*(MOVIMIENTOS!$A$5:$A$1005&lt;&gt;"")*(MOVIMIENTOS!$A$5:$A$1005&lt;=$A167)*MOVIMIENTOS!$E$5:$E$1005)-SUMPRODUCT((MOVIMIENTOS!$B$5:$B$1005="VENTA")*(MOVIMIENTOS!$C$5:$C$1005="C")*(MOVIMIENTOS!$D$5:$D$1005="jabas")*(MOVIMIENTOS!$A$5:$A$1005&lt;&gt;"")*(MOVIMIENTOS!$A$5:$A$1005&lt;=$A167)*MOVIMIENTOS!$E$5:$E$1005)+SUMPRODUCT((MOVIMIENTOS!$B$5:$B$1005="AJUSTE")*(MOVIMIENTOS!$C$5:$C$1005="C")*(MOVIMIENTOS!$D$5:$D$1005="jabas")*(MOVIMIENTOS!$A$5:$A$1005&lt;&gt;"")*(MOVIMIENTOS!$A$5:$A$1005&lt;=$A167)*MOVIMIENTOS!$E$5:$E$1005))</f>
        <v/>
      </c>
      <c r="E167" s="63" t="str">
        <f>IF($A167="","",SUMPRODUCT((MOVIMIENTOS!$B$5:$B$1005="SALDO INICIAL")*(MOVIMIENTOS!$C$5:$C$1005="M")*(MOVIMIENTOS!$D$5:$D$1005="jabas")*(MOVIMIENTOS!$A$5:$A$1005&lt;&gt;"")*(MOVIMIENTOS!$A$5:$A$1005&lt;=$A167)*MOVIMIENTOS!$E$5:$E$1005)+SUMPRODUCT((MOVIMIENTOS!$B$5:$B$1005="PROCESO")*(MOVIMIENTOS!$C$5:$C$1005="M")*(MOVIMIENTOS!$D$5:$D$1005="jabas")*(MOVIMIENTOS!$A$5:$A$1005&lt;&gt;"")*(MOVIMIENTOS!$A$5:$A$1005&lt;=$A167)*MOVIMIENTOS!$E$5:$E$1005)-SUMPRODUCT((MOVIMIENTOS!$B$5:$B$1005="ENVÍO A SUPESA")*(MOVIMIENTOS!$C$5:$C$1005="M")*(MOVIMIENTOS!$D$5:$D$1005="jabas")*(MOVIMIENTOS!$A$5:$A$1005&lt;&gt;"")*(MOVIMIENTOS!$A$5:$A$1005&lt;=$A167)*MOVIMIENTOS!$E$5:$E$1005)+SUMPRODUCT((MOVIMIENTOS!$B$5:$B$1005="DEVOLUCIÓN")*(MOVIMIENTOS!$C$5:$C$1005="M")*(MOVIMIENTOS!$D$5:$D$1005="jabas")*(MOVIMIENTOS!$A$5:$A$1005&lt;&gt;"")*(MOVIMIENTOS!$A$5:$A$1005&lt;=$A167)*MOVIMIENTOS!$E$5:$E$1005)-SUMPRODUCT((MOVIMIENTOS!$B$5:$B$1005="TRASIEGO")*(MOVIMIENTOS!$C$5:$C$1005="M")*(MOVIMIENTOS!$D$5:$D$1005="jabas")*(MOVIMIENTOS!$A$5:$A$1005&lt;&gt;"")*(MOVIMIENTOS!$A$5:$A$1005&lt;=$A167)*MOVIMIENTOS!$E$5:$E$1005)-SUMPRODUCT((MOVIMIENTOS!$B$5:$B$1005="REGALO")*(MOVIMIENTOS!$C$5:$C$1005="M")*(MOVIMIENTOS!$D$5:$D$1005="jabas")*(MOVIMIENTOS!$A$5:$A$1005&lt;&gt;"")*(MOVIMIENTOS!$A$5:$A$1005&lt;=$A167)*MOVIMIENTOS!$E$5:$E$1005)-SUMPRODUCT((MOVIMIENTOS!$B$5:$B$1005="VENTA")*(MOVIMIENTOS!$C$5:$C$1005="M")*(MOVIMIENTOS!$D$5:$D$1005="jabas")*(MOVIMIENTOS!$A$5:$A$1005&lt;&gt;"")*(MOVIMIENTOS!$A$5:$A$1005&lt;=$A167)*MOVIMIENTOS!$E$5:$E$1005)+SUMPRODUCT((MOVIMIENTOS!$B$5:$B$1005="AJUSTE")*(MOVIMIENTOS!$C$5:$C$1005="M")*(MOVIMIENTOS!$D$5:$D$1005="jabas")*(MOVIMIENTOS!$A$5:$A$1005&lt;&gt;"")*(MOVIMIENTOS!$A$5:$A$1005&lt;=$A167)*MOVIMIENTOS!$E$5:$E$1005))</f>
        <v/>
      </c>
      <c r="F167" s="63" t="str">
        <f>IF($A167="","",SUMPRODUCT((MOVIMIENTOS!$B$5:$B$1005="SALDO INICIAL")*(MOVIMIENTOS!$C$5:$C$1005="Chancho")*(MOVIMIENTOS!$D$5:$D$1005="sacos")*(MOVIMIENTOS!$A$5:$A$1005&lt;&gt;"")*(MOVIMIENTOS!$A$5:$A$1005&lt;=$A167)*MOVIMIENTOS!$E$5:$E$1005)+SUMPRODUCT((MOVIMIENTOS!$B$5:$B$1005="PROCESO")*(MOVIMIENTOS!$C$5:$C$1005="Chancho")*(MOVIMIENTOS!$D$5:$D$1005="sacos")*(MOVIMIENTOS!$A$5:$A$1005&lt;&gt;"")*(MOVIMIENTOS!$A$5:$A$1005&lt;=$A167)*MOVIMIENTOS!$E$5:$E$1005)-SUMPRODUCT((MOVIMIENTOS!$B$5:$B$1005="VENTA CHANCHO")*(MOVIMIENTOS!$C$5:$C$1005="Chancho")*(MOVIMIENTOS!$D$5:$D$1005="sacos")*(MOVIMIENTOS!$A$5:$A$1005&lt;&gt;"")*(MOVIMIENTOS!$A$5:$A$1005&lt;=$A167)*MOVIMIENTOS!$E$5:$E$1005)-SUMPRODUCT((MOVIMIENTOS!$B$5:$B$1005="REGALO")*(MOVIMIENTOS!$C$5:$C$1005="Chancho")*(MOVIMIENTOS!$D$5:$D$1005="sacos")*(MOVIMIENTOS!$A$5:$A$1005&lt;&gt;"")*(MOVIMIENTOS!$A$5:$A$1005&lt;=$A167)*MOVIMIENTOS!$E$5:$E$1005)-SUMPRODUCT((MOVIMIENTOS!$B$5:$B$1005="VENTA")*(MOVIMIENTOS!$C$5:$C$1005="Chancho")*(MOVIMIENTOS!$D$5:$D$1005="sacos")*(MOVIMIENTOS!$A$5:$A$1005&lt;&gt;"")*(MOVIMIENTOS!$A$5:$A$1005&lt;=$A167)*MOVIMIENTOS!$E$5:$E$1005)+SUMPRODUCT((MOVIMIENTOS!$B$5:$B$1005="AJUSTE")*(MOVIMIENTOS!$C$5:$C$1005="Chancho")*(MOVIMIENTOS!$D$5:$D$1005="sacos")*(MOVIMIENTOS!$A$5:$A$1005&lt;&gt;"")*(MOVIMIENTOS!$A$5:$A$1005&lt;=$A167)*MOVIMIENTOS!$E$5:$E$1005))</f>
        <v/>
      </c>
      <c r="G167" s="95" t="str">
        <f t="shared" si="5"/>
        <v/>
      </c>
      <c r="H167" s="63" t="str">
        <f>IF($A167="","",SUMPRODUCT((((MOVIMIENTOS!$B$5:$B$1005="SALDO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167)*MOVIMIENTOS!$J$5:$J$1005))</f>
        <v/>
      </c>
      <c r="I167" s="63"/>
      <c r="J167" s="63" t="str">
        <f>IF(AND(MOVIMIENTOS!$A167&lt;&gt;"",COUNTIF(MOVIMIENTOS!$A$5:$A166,MOVIMIENTOS!$A167)=0),COUNT(J$4:J166)+1,"")</f>
        <v/>
      </c>
      <c r="K167" s="66">
        <f>MOVIMIENTOS!$A167</f>
        <v>46227</v>
      </c>
      <c r="L167" s="63"/>
      <c r="M167" s="63"/>
      <c r="N167" s="63"/>
    </row>
    <row r="168" spans="1:14" ht="15" customHeight="1" x14ac:dyDescent="0.2">
      <c r="A168" s="63" t="str">
        <f t="shared" si="4"/>
        <v/>
      </c>
      <c r="B168" s="63" t="str">
        <f>IF($A168="","",SUMPRODUCT((MOVIMIENTOS!$B$5:$B$1005="SALDO INICIAL")*(MOVIMIENTOS!$C$5:$C$1005="A")*(MOVIMIENTOS!$D$5:$D$1005="jabas")*(MOVIMIENTOS!$A$5:$A$1005&lt;&gt;"")*(MOVIMIENTOS!$A$5:$A$1005&lt;=$A168)*MOVIMIENTOS!$E$5:$E$1005)+SUMPRODUCT((MOVIMIENTOS!$B$5:$B$1005="PROCESO")*(MOVIMIENTOS!$C$5:$C$1005="A")*(MOVIMIENTOS!$D$5:$D$1005="jabas")*(MOVIMIENTOS!$A$5:$A$1005&lt;&gt;"")*(MOVIMIENTOS!$A$5:$A$1005&lt;=$A168)*MOVIMIENTOS!$E$5:$E$1005)-SUMPRODUCT((MOVIMIENTOS!$B$5:$B$1005="ENVÍO A SUPESA")*(MOVIMIENTOS!$C$5:$C$1005="A")*(MOVIMIENTOS!$D$5:$D$1005="jabas")*(MOVIMIENTOS!$A$5:$A$1005&lt;&gt;"")*(MOVIMIENTOS!$A$5:$A$1005&lt;=$A168)*MOVIMIENTOS!$E$5:$E$1005)+SUMPRODUCT((MOVIMIENTOS!$B$5:$B$1005="DEVOLUCIÓN")*(MOVIMIENTOS!$C$5:$C$1005="A")*(MOVIMIENTOS!$D$5:$D$1005="jabas")*(MOVIMIENTOS!$A$5:$A$1005&lt;&gt;"")*(MOVIMIENTOS!$A$5:$A$1005&lt;=$A168)*MOVIMIENTOS!$E$5:$E$1005)-SUMPRODUCT((MOVIMIENTOS!$B$5:$B$1005="TRASIEGO")*(MOVIMIENTOS!$C$5:$C$1005="A")*(MOVIMIENTOS!$D$5:$D$1005="jabas")*(MOVIMIENTOS!$A$5:$A$1005&lt;&gt;"")*(MOVIMIENTOS!$A$5:$A$1005&lt;=$A168)*MOVIMIENTOS!$E$5:$E$1005)-SUMPRODUCT((MOVIMIENTOS!$B$5:$B$1005="REGALO")*(MOVIMIENTOS!$C$5:$C$1005="A")*(MOVIMIENTOS!$D$5:$D$1005="jabas")*(MOVIMIENTOS!$A$5:$A$1005&lt;&gt;"")*(MOVIMIENTOS!$A$5:$A$1005&lt;=$A168)*MOVIMIENTOS!$E$5:$E$1005)-SUMPRODUCT((MOVIMIENTOS!$B$5:$B$1005="VENTA")*(MOVIMIENTOS!$C$5:$C$1005="A")*(MOVIMIENTOS!$D$5:$D$1005="jabas")*(MOVIMIENTOS!$A$5:$A$1005&lt;&gt;"")*(MOVIMIENTOS!$A$5:$A$1005&lt;=$A168)*MOVIMIENTOS!$E$5:$E$1005)+SUMPRODUCT((MOVIMIENTOS!$B$5:$B$1005="AJUSTE")*(MOVIMIENTOS!$C$5:$C$1005="A")*(MOVIMIENTOS!$D$5:$D$1005="jabas")*(MOVIMIENTOS!$A$5:$A$1005&lt;&gt;"")*(MOVIMIENTOS!$A$5:$A$1005&lt;=$A168)*MOVIMIENTOS!$E$5:$E$1005))</f>
        <v/>
      </c>
      <c r="C168" s="63" t="str">
        <f>IF($A168="","",SUMPRODUCT((MOVIMIENTOS!$B$5:$B$1005="SALDO INICIAL")*(MOVIMIENTOS!$C$5:$C$1005="P")*(MOVIMIENTOS!$D$5:$D$1005="jabas")*(MOVIMIENTOS!$A$5:$A$1005&lt;&gt;"")*(MOVIMIENTOS!$A$5:$A$1005&lt;=$A168)*MOVIMIENTOS!$E$5:$E$1005)+SUMPRODUCT((MOVIMIENTOS!$B$5:$B$1005="PROCESO")*(MOVIMIENTOS!$C$5:$C$1005="P")*(MOVIMIENTOS!$D$5:$D$1005="jabas")*(MOVIMIENTOS!$A$5:$A$1005&lt;&gt;"")*(MOVIMIENTOS!$A$5:$A$1005&lt;=$A168)*MOVIMIENTOS!$E$5:$E$1005)-SUMPRODUCT((MOVIMIENTOS!$B$5:$B$1005="ENVÍO A SUPESA")*(MOVIMIENTOS!$C$5:$C$1005="P")*(MOVIMIENTOS!$D$5:$D$1005="jabas")*(MOVIMIENTOS!$A$5:$A$1005&lt;&gt;"")*(MOVIMIENTOS!$A$5:$A$1005&lt;=$A168)*MOVIMIENTOS!$E$5:$E$1005)+SUMPRODUCT((MOVIMIENTOS!$B$5:$B$1005="DEVOLUCIÓN")*(MOVIMIENTOS!$C$5:$C$1005="P")*(MOVIMIENTOS!$D$5:$D$1005="jabas")*(MOVIMIENTOS!$A$5:$A$1005&lt;&gt;"")*(MOVIMIENTOS!$A$5:$A$1005&lt;=$A168)*MOVIMIENTOS!$E$5:$E$1005)-SUMPRODUCT((MOVIMIENTOS!$B$5:$B$1005="TRASIEGO")*(MOVIMIENTOS!$C$5:$C$1005="P")*(MOVIMIENTOS!$D$5:$D$1005="jabas")*(MOVIMIENTOS!$A$5:$A$1005&lt;&gt;"")*(MOVIMIENTOS!$A$5:$A$1005&lt;=$A168)*MOVIMIENTOS!$E$5:$E$1005)-SUMPRODUCT((MOVIMIENTOS!$B$5:$B$1005="REGALO")*(MOVIMIENTOS!$C$5:$C$1005="P")*(MOVIMIENTOS!$D$5:$D$1005="jabas")*(MOVIMIENTOS!$A$5:$A$1005&lt;&gt;"")*(MOVIMIENTOS!$A$5:$A$1005&lt;=$A168)*MOVIMIENTOS!$E$5:$E$1005)-SUMPRODUCT((MOVIMIENTOS!$B$5:$B$1005="VENTA")*(MOVIMIENTOS!$C$5:$C$1005="P")*(MOVIMIENTOS!$D$5:$D$1005="jabas")*(MOVIMIENTOS!$A$5:$A$1005&lt;&gt;"")*(MOVIMIENTOS!$A$5:$A$1005&lt;=$A168)*MOVIMIENTOS!$E$5:$E$1005)+SUMPRODUCT((MOVIMIENTOS!$B$5:$B$1005="AJUSTE")*(MOVIMIENTOS!$C$5:$C$1005="P")*(MOVIMIENTOS!$D$5:$D$1005="jabas")*(MOVIMIENTOS!$A$5:$A$1005&lt;&gt;"")*(MOVIMIENTOS!$A$5:$A$1005&lt;=$A168)*MOVIMIENTOS!$E$5:$E$1005))</f>
        <v/>
      </c>
      <c r="D168" s="63" t="str">
        <f>IF($A168="","",SUMPRODUCT((MOVIMIENTOS!$B$5:$B$1005="SALDO INICIAL")*(MOVIMIENTOS!$C$5:$C$1005="C")*(MOVIMIENTOS!$D$5:$D$1005="jabas")*(MOVIMIENTOS!$A$5:$A$1005&lt;&gt;"")*(MOVIMIENTOS!$A$5:$A$1005&lt;=$A168)*MOVIMIENTOS!$E$5:$E$1005)+SUMPRODUCT((MOVIMIENTOS!$B$5:$B$1005="PROCESO")*(MOVIMIENTOS!$C$5:$C$1005="C")*(MOVIMIENTOS!$D$5:$D$1005="jabas")*(MOVIMIENTOS!$A$5:$A$1005&lt;&gt;"")*(MOVIMIENTOS!$A$5:$A$1005&lt;=$A168)*MOVIMIENTOS!$E$5:$E$1005)-SUMPRODUCT((MOVIMIENTOS!$B$5:$B$1005="ENVÍO A SUPESA")*(MOVIMIENTOS!$C$5:$C$1005="C")*(MOVIMIENTOS!$D$5:$D$1005="jabas")*(MOVIMIENTOS!$A$5:$A$1005&lt;&gt;"")*(MOVIMIENTOS!$A$5:$A$1005&lt;=$A168)*MOVIMIENTOS!$E$5:$E$1005)+SUMPRODUCT((MOVIMIENTOS!$B$5:$B$1005="DEVOLUCIÓN")*(MOVIMIENTOS!$C$5:$C$1005="C")*(MOVIMIENTOS!$D$5:$D$1005="jabas")*(MOVIMIENTOS!$A$5:$A$1005&lt;&gt;"")*(MOVIMIENTOS!$A$5:$A$1005&lt;=$A168)*MOVIMIENTOS!$E$5:$E$1005)-SUMPRODUCT((MOVIMIENTOS!$B$5:$B$1005="TRASIEGO")*(MOVIMIENTOS!$C$5:$C$1005="C")*(MOVIMIENTOS!$D$5:$D$1005="jabas")*(MOVIMIENTOS!$A$5:$A$1005&lt;&gt;"")*(MOVIMIENTOS!$A$5:$A$1005&lt;=$A168)*MOVIMIENTOS!$E$5:$E$1005)-SUMPRODUCT((MOVIMIENTOS!$B$5:$B$1005="REGALO")*(MOVIMIENTOS!$C$5:$C$1005="C")*(MOVIMIENTOS!$D$5:$D$1005="jabas")*(MOVIMIENTOS!$A$5:$A$1005&lt;&gt;"")*(MOVIMIENTOS!$A$5:$A$1005&lt;=$A168)*MOVIMIENTOS!$E$5:$E$1005)-SUMPRODUCT((MOVIMIENTOS!$B$5:$B$1005="VENTA")*(MOVIMIENTOS!$C$5:$C$1005="C")*(MOVIMIENTOS!$D$5:$D$1005="jabas")*(MOVIMIENTOS!$A$5:$A$1005&lt;&gt;"")*(MOVIMIENTOS!$A$5:$A$1005&lt;=$A168)*MOVIMIENTOS!$E$5:$E$1005)+SUMPRODUCT((MOVIMIENTOS!$B$5:$B$1005="AJUSTE")*(MOVIMIENTOS!$C$5:$C$1005="C")*(MOVIMIENTOS!$D$5:$D$1005="jabas")*(MOVIMIENTOS!$A$5:$A$1005&lt;&gt;"")*(MOVIMIENTOS!$A$5:$A$1005&lt;=$A168)*MOVIMIENTOS!$E$5:$E$1005))</f>
        <v/>
      </c>
      <c r="E168" s="63" t="str">
        <f>IF($A168="","",SUMPRODUCT((MOVIMIENTOS!$B$5:$B$1005="SALDO INICIAL")*(MOVIMIENTOS!$C$5:$C$1005="M")*(MOVIMIENTOS!$D$5:$D$1005="jabas")*(MOVIMIENTOS!$A$5:$A$1005&lt;&gt;"")*(MOVIMIENTOS!$A$5:$A$1005&lt;=$A168)*MOVIMIENTOS!$E$5:$E$1005)+SUMPRODUCT((MOVIMIENTOS!$B$5:$B$1005="PROCESO")*(MOVIMIENTOS!$C$5:$C$1005="M")*(MOVIMIENTOS!$D$5:$D$1005="jabas")*(MOVIMIENTOS!$A$5:$A$1005&lt;&gt;"")*(MOVIMIENTOS!$A$5:$A$1005&lt;=$A168)*MOVIMIENTOS!$E$5:$E$1005)-SUMPRODUCT((MOVIMIENTOS!$B$5:$B$1005="ENVÍO A SUPESA")*(MOVIMIENTOS!$C$5:$C$1005="M")*(MOVIMIENTOS!$D$5:$D$1005="jabas")*(MOVIMIENTOS!$A$5:$A$1005&lt;&gt;"")*(MOVIMIENTOS!$A$5:$A$1005&lt;=$A168)*MOVIMIENTOS!$E$5:$E$1005)+SUMPRODUCT((MOVIMIENTOS!$B$5:$B$1005="DEVOLUCIÓN")*(MOVIMIENTOS!$C$5:$C$1005="M")*(MOVIMIENTOS!$D$5:$D$1005="jabas")*(MOVIMIENTOS!$A$5:$A$1005&lt;&gt;"")*(MOVIMIENTOS!$A$5:$A$1005&lt;=$A168)*MOVIMIENTOS!$E$5:$E$1005)-SUMPRODUCT((MOVIMIENTOS!$B$5:$B$1005="TRASIEGO")*(MOVIMIENTOS!$C$5:$C$1005="M")*(MOVIMIENTOS!$D$5:$D$1005="jabas")*(MOVIMIENTOS!$A$5:$A$1005&lt;&gt;"")*(MOVIMIENTOS!$A$5:$A$1005&lt;=$A168)*MOVIMIENTOS!$E$5:$E$1005)-SUMPRODUCT((MOVIMIENTOS!$B$5:$B$1005="REGALO")*(MOVIMIENTOS!$C$5:$C$1005="M")*(MOVIMIENTOS!$D$5:$D$1005="jabas")*(MOVIMIENTOS!$A$5:$A$1005&lt;&gt;"")*(MOVIMIENTOS!$A$5:$A$1005&lt;=$A168)*MOVIMIENTOS!$E$5:$E$1005)-SUMPRODUCT((MOVIMIENTOS!$B$5:$B$1005="VENTA")*(MOVIMIENTOS!$C$5:$C$1005="M")*(MOVIMIENTOS!$D$5:$D$1005="jabas")*(MOVIMIENTOS!$A$5:$A$1005&lt;&gt;"")*(MOVIMIENTOS!$A$5:$A$1005&lt;=$A168)*MOVIMIENTOS!$E$5:$E$1005)+SUMPRODUCT((MOVIMIENTOS!$B$5:$B$1005="AJUSTE")*(MOVIMIENTOS!$C$5:$C$1005="M")*(MOVIMIENTOS!$D$5:$D$1005="jabas")*(MOVIMIENTOS!$A$5:$A$1005&lt;&gt;"")*(MOVIMIENTOS!$A$5:$A$1005&lt;=$A168)*MOVIMIENTOS!$E$5:$E$1005))</f>
        <v/>
      </c>
      <c r="F168" s="63" t="str">
        <f>IF($A168="","",SUMPRODUCT((MOVIMIENTOS!$B$5:$B$1005="SALDO INICIAL")*(MOVIMIENTOS!$C$5:$C$1005="Chancho")*(MOVIMIENTOS!$D$5:$D$1005="sacos")*(MOVIMIENTOS!$A$5:$A$1005&lt;&gt;"")*(MOVIMIENTOS!$A$5:$A$1005&lt;=$A168)*MOVIMIENTOS!$E$5:$E$1005)+SUMPRODUCT((MOVIMIENTOS!$B$5:$B$1005="PROCESO")*(MOVIMIENTOS!$C$5:$C$1005="Chancho")*(MOVIMIENTOS!$D$5:$D$1005="sacos")*(MOVIMIENTOS!$A$5:$A$1005&lt;&gt;"")*(MOVIMIENTOS!$A$5:$A$1005&lt;=$A168)*MOVIMIENTOS!$E$5:$E$1005)-SUMPRODUCT((MOVIMIENTOS!$B$5:$B$1005="VENTA CHANCHO")*(MOVIMIENTOS!$C$5:$C$1005="Chancho")*(MOVIMIENTOS!$D$5:$D$1005="sacos")*(MOVIMIENTOS!$A$5:$A$1005&lt;&gt;"")*(MOVIMIENTOS!$A$5:$A$1005&lt;=$A168)*MOVIMIENTOS!$E$5:$E$1005)-SUMPRODUCT((MOVIMIENTOS!$B$5:$B$1005="REGALO")*(MOVIMIENTOS!$C$5:$C$1005="Chancho")*(MOVIMIENTOS!$D$5:$D$1005="sacos")*(MOVIMIENTOS!$A$5:$A$1005&lt;&gt;"")*(MOVIMIENTOS!$A$5:$A$1005&lt;=$A168)*MOVIMIENTOS!$E$5:$E$1005)-SUMPRODUCT((MOVIMIENTOS!$B$5:$B$1005="VENTA")*(MOVIMIENTOS!$C$5:$C$1005="Chancho")*(MOVIMIENTOS!$D$5:$D$1005="sacos")*(MOVIMIENTOS!$A$5:$A$1005&lt;&gt;"")*(MOVIMIENTOS!$A$5:$A$1005&lt;=$A168)*MOVIMIENTOS!$E$5:$E$1005)+SUMPRODUCT((MOVIMIENTOS!$B$5:$B$1005="AJUSTE")*(MOVIMIENTOS!$C$5:$C$1005="Chancho")*(MOVIMIENTOS!$D$5:$D$1005="sacos")*(MOVIMIENTOS!$A$5:$A$1005&lt;&gt;"")*(MOVIMIENTOS!$A$5:$A$1005&lt;=$A168)*MOVIMIENTOS!$E$5:$E$1005))</f>
        <v/>
      </c>
      <c r="G168" s="95" t="str">
        <f t="shared" si="5"/>
        <v/>
      </c>
      <c r="H168" s="63" t="str">
        <f>IF($A168="","",SUMPRODUCT((((MOVIMIENTOS!$B$5:$B$1005="SALDO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168)*MOVIMIENTOS!$J$5:$J$1005))</f>
        <v/>
      </c>
      <c r="I168" s="63"/>
      <c r="J168" s="63" t="str">
        <f>IF(AND(MOVIMIENTOS!$A168&lt;&gt;"",COUNTIF(MOVIMIENTOS!$A$5:$A167,MOVIMIENTOS!$A168)=0),COUNT(J$4:J167)+1,"")</f>
        <v/>
      </c>
      <c r="K168" s="66">
        <f>MOVIMIENTOS!$A168</f>
        <v>46227</v>
      </c>
      <c r="L168" s="63"/>
      <c r="M168" s="63"/>
      <c r="N168" s="63"/>
    </row>
    <row r="169" spans="1:14" ht="15" customHeight="1" x14ac:dyDescent="0.2">
      <c r="A169" s="63" t="str">
        <f t="shared" si="4"/>
        <v/>
      </c>
      <c r="B169" s="63" t="str">
        <f>IF($A169="","",SUMPRODUCT((MOVIMIENTOS!$B$5:$B$1005="SALDO INICIAL")*(MOVIMIENTOS!$C$5:$C$1005="A")*(MOVIMIENTOS!$D$5:$D$1005="jabas")*(MOVIMIENTOS!$A$5:$A$1005&lt;&gt;"")*(MOVIMIENTOS!$A$5:$A$1005&lt;=$A169)*MOVIMIENTOS!$E$5:$E$1005)+SUMPRODUCT((MOVIMIENTOS!$B$5:$B$1005="PROCESO")*(MOVIMIENTOS!$C$5:$C$1005="A")*(MOVIMIENTOS!$D$5:$D$1005="jabas")*(MOVIMIENTOS!$A$5:$A$1005&lt;&gt;"")*(MOVIMIENTOS!$A$5:$A$1005&lt;=$A169)*MOVIMIENTOS!$E$5:$E$1005)-SUMPRODUCT((MOVIMIENTOS!$B$5:$B$1005="ENVÍO A SUPESA")*(MOVIMIENTOS!$C$5:$C$1005="A")*(MOVIMIENTOS!$D$5:$D$1005="jabas")*(MOVIMIENTOS!$A$5:$A$1005&lt;&gt;"")*(MOVIMIENTOS!$A$5:$A$1005&lt;=$A169)*MOVIMIENTOS!$E$5:$E$1005)+SUMPRODUCT((MOVIMIENTOS!$B$5:$B$1005="DEVOLUCIÓN")*(MOVIMIENTOS!$C$5:$C$1005="A")*(MOVIMIENTOS!$D$5:$D$1005="jabas")*(MOVIMIENTOS!$A$5:$A$1005&lt;&gt;"")*(MOVIMIENTOS!$A$5:$A$1005&lt;=$A169)*MOVIMIENTOS!$E$5:$E$1005)-SUMPRODUCT((MOVIMIENTOS!$B$5:$B$1005="TRASIEGO")*(MOVIMIENTOS!$C$5:$C$1005="A")*(MOVIMIENTOS!$D$5:$D$1005="jabas")*(MOVIMIENTOS!$A$5:$A$1005&lt;&gt;"")*(MOVIMIENTOS!$A$5:$A$1005&lt;=$A169)*MOVIMIENTOS!$E$5:$E$1005)-SUMPRODUCT((MOVIMIENTOS!$B$5:$B$1005="REGALO")*(MOVIMIENTOS!$C$5:$C$1005="A")*(MOVIMIENTOS!$D$5:$D$1005="jabas")*(MOVIMIENTOS!$A$5:$A$1005&lt;&gt;"")*(MOVIMIENTOS!$A$5:$A$1005&lt;=$A169)*MOVIMIENTOS!$E$5:$E$1005)-SUMPRODUCT((MOVIMIENTOS!$B$5:$B$1005="VENTA")*(MOVIMIENTOS!$C$5:$C$1005="A")*(MOVIMIENTOS!$D$5:$D$1005="jabas")*(MOVIMIENTOS!$A$5:$A$1005&lt;&gt;"")*(MOVIMIENTOS!$A$5:$A$1005&lt;=$A169)*MOVIMIENTOS!$E$5:$E$1005)+SUMPRODUCT((MOVIMIENTOS!$B$5:$B$1005="AJUSTE")*(MOVIMIENTOS!$C$5:$C$1005="A")*(MOVIMIENTOS!$D$5:$D$1005="jabas")*(MOVIMIENTOS!$A$5:$A$1005&lt;&gt;"")*(MOVIMIENTOS!$A$5:$A$1005&lt;=$A169)*MOVIMIENTOS!$E$5:$E$1005))</f>
        <v/>
      </c>
      <c r="C169" s="63" t="str">
        <f>IF($A169="","",SUMPRODUCT((MOVIMIENTOS!$B$5:$B$1005="SALDO INICIAL")*(MOVIMIENTOS!$C$5:$C$1005="P")*(MOVIMIENTOS!$D$5:$D$1005="jabas")*(MOVIMIENTOS!$A$5:$A$1005&lt;&gt;"")*(MOVIMIENTOS!$A$5:$A$1005&lt;=$A169)*MOVIMIENTOS!$E$5:$E$1005)+SUMPRODUCT((MOVIMIENTOS!$B$5:$B$1005="PROCESO")*(MOVIMIENTOS!$C$5:$C$1005="P")*(MOVIMIENTOS!$D$5:$D$1005="jabas")*(MOVIMIENTOS!$A$5:$A$1005&lt;&gt;"")*(MOVIMIENTOS!$A$5:$A$1005&lt;=$A169)*MOVIMIENTOS!$E$5:$E$1005)-SUMPRODUCT((MOVIMIENTOS!$B$5:$B$1005="ENVÍO A SUPESA")*(MOVIMIENTOS!$C$5:$C$1005="P")*(MOVIMIENTOS!$D$5:$D$1005="jabas")*(MOVIMIENTOS!$A$5:$A$1005&lt;&gt;"")*(MOVIMIENTOS!$A$5:$A$1005&lt;=$A169)*MOVIMIENTOS!$E$5:$E$1005)+SUMPRODUCT((MOVIMIENTOS!$B$5:$B$1005="DEVOLUCIÓN")*(MOVIMIENTOS!$C$5:$C$1005="P")*(MOVIMIENTOS!$D$5:$D$1005="jabas")*(MOVIMIENTOS!$A$5:$A$1005&lt;&gt;"")*(MOVIMIENTOS!$A$5:$A$1005&lt;=$A169)*MOVIMIENTOS!$E$5:$E$1005)-SUMPRODUCT((MOVIMIENTOS!$B$5:$B$1005="TRASIEGO")*(MOVIMIENTOS!$C$5:$C$1005="P")*(MOVIMIENTOS!$D$5:$D$1005="jabas")*(MOVIMIENTOS!$A$5:$A$1005&lt;&gt;"")*(MOVIMIENTOS!$A$5:$A$1005&lt;=$A169)*MOVIMIENTOS!$E$5:$E$1005)-SUMPRODUCT((MOVIMIENTOS!$B$5:$B$1005="REGALO")*(MOVIMIENTOS!$C$5:$C$1005="P")*(MOVIMIENTOS!$D$5:$D$1005="jabas")*(MOVIMIENTOS!$A$5:$A$1005&lt;&gt;"")*(MOVIMIENTOS!$A$5:$A$1005&lt;=$A169)*MOVIMIENTOS!$E$5:$E$1005)-SUMPRODUCT((MOVIMIENTOS!$B$5:$B$1005="VENTA")*(MOVIMIENTOS!$C$5:$C$1005="P")*(MOVIMIENTOS!$D$5:$D$1005="jabas")*(MOVIMIENTOS!$A$5:$A$1005&lt;&gt;"")*(MOVIMIENTOS!$A$5:$A$1005&lt;=$A169)*MOVIMIENTOS!$E$5:$E$1005)+SUMPRODUCT((MOVIMIENTOS!$B$5:$B$1005="AJUSTE")*(MOVIMIENTOS!$C$5:$C$1005="P")*(MOVIMIENTOS!$D$5:$D$1005="jabas")*(MOVIMIENTOS!$A$5:$A$1005&lt;&gt;"")*(MOVIMIENTOS!$A$5:$A$1005&lt;=$A169)*MOVIMIENTOS!$E$5:$E$1005))</f>
        <v/>
      </c>
      <c r="D169" s="63" t="str">
        <f>IF($A169="","",SUMPRODUCT((MOVIMIENTOS!$B$5:$B$1005="SALDO INICIAL")*(MOVIMIENTOS!$C$5:$C$1005="C")*(MOVIMIENTOS!$D$5:$D$1005="jabas")*(MOVIMIENTOS!$A$5:$A$1005&lt;&gt;"")*(MOVIMIENTOS!$A$5:$A$1005&lt;=$A169)*MOVIMIENTOS!$E$5:$E$1005)+SUMPRODUCT((MOVIMIENTOS!$B$5:$B$1005="PROCESO")*(MOVIMIENTOS!$C$5:$C$1005="C")*(MOVIMIENTOS!$D$5:$D$1005="jabas")*(MOVIMIENTOS!$A$5:$A$1005&lt;&gt;"")*(MOVIMIENTOS!$A$5:$A$1005&lt;=$A169)*MOVIMIENTOS!$E$5:$E$1005)-SUMPRODUCT((MOVIMIENTOS!$B$5:$B$1005="ENVÍO A SUPESA")*(MOVIMIENTOS!$C$5:$C$1005="C")*(MOVIMIENTOS!$D$5:$D$1005="jabas")*(MOVIMIENTOS!$A$5:$A$1005&lt;&gt;"")*(MOVIMIENTOS!$A$5:$A$1005&lt;=$A169)*MOVIMIENTOS!$E$5:$E$1005)+SUMPRODUCT((MOVIMIENTOS!$B$5:$B$1005="DEVOLUCIÓN")*(MOVIMIENTOS!$C$5:$C$1005="C")*(MOVIMIENTOS!$D$5:$D$1005="jabas")*(MOVIMIENTOS!$A$5:$A$1005&lt;&gt;"")*(MOVIMIENTOS!$A$5:$A$1005&lt;=$A169)*MOVIMIENTOS!$E$5:$E$1005)-SUMPRODUCT((MOVIMIENTOS!$B$5:$B$1005="TRASIEGO")*(MOVIMIENTOS!$C$5:$C$1005="C")*(MOVIMIENTOS!$D$5:$D$1005="jabas")*(MOVIMIENTOS!$A$5:$A$1005&lt;&gt;"")*(MOVIMIENTOS!$A$5:$A$1005&lt;=$A169)*MOVIMIENTOS!$E$5:$E$1005)-SUMPRODUCT((MOVIMIENTOS!$B$5:$B$1005="REGALO")*(MOVIMIENTOS!$C$5:$C$1005="C")*(MOVIMIENTOS!$D$5:$D$1005="jabas")*(MOVIMIENTOS!$A$5:$A$1005&lt;&gt;"")*(MOVIMIENTOS!$A$5:$A$1005&lt;=$A169)*MOVIMIENTOS!$E$5:$E$1005)-SUMPRODUCT((MOVIMIENTOS!$B$5:$B$1005="VENTA")*(MOVIMIENTOS!$C$5:$C$1005="C")*(MOVIMIENTOS!$D$5:$D$1005="jabas")*(MOVIMIENTOS!$A$5:$A$1005&lt;&gt;"")*(MOVIMIENTOS!$A$5:$A$1005&lt;=$A169)*MOVIMIENTOS!$E$5:$E$1005)+SUMPRODUCT((MOVIMIENTOS!$B$5:$B$1005="AJUSTE")*(MOVIMIENTOS!$C$5:$C$1005="C")*(MOVIMIENTOS!$D$5:$D$1005="jabas")*(MOVIMIENTOS!$A$5:$A$1005&lt;&gt;"")*(MOVIMIENTOS!$A$5:$A$1005&lt;=$A169)*MOVIMIENTOS!$E$5:$E$1005))</f>
        <v/>
      </c>
      <c r="E169" s="63" t="str">
        <f>IF($A169="","",SUMPRODUCT((MOVIMIENTOS!$B$5:$B$1005="SALDO INICIAL")*(MOVIMIENTOS!$C$5:$C$1005="M")*(MOVIMIENTOS!$D$5:$D$1005="jabas")*(MOVIMIENTOS!$A$5:$A$1005&lt;&gt;"")*(MOVIMIENTOS!$A$5:$A$1005&lt;=$A169)*MOVIMIENTOS!$E$5:$E$1005)+SUMPRODUCT((MOVIMIENTOS!$B$5:$B$1005="PROCESO")*(MOVIMIENTOS!$C$5:$C$1005="M")*(MOVIMIENTOS!$D$5:$D$1005="jabas")*(MOVIMIENTOS!$A$5:$A$1005&lt;&gt;"")*(MOVIMIENTOS!$A$5:$A$1005&lt;=$A169)*MOVIMIENTOS!$E$5:$E$1005)-SUMPRODUCT((MOVIMIENTOS!$B$5:$B$1005="ENVÍO A SUPESA")*(MOVIMIENTOS!$C$5:$C$1005="M")*(MOVIMIENTOS!$D$5:$D$1005="jabas")*(MOVIMIENTOS!$A$5:$A$1005&lt;&gt;"")*(MOVIMIENTOS!$A$5:$A$1005&lt;=$A169)*MOVIMIENTOS!$E$5:$E$1005)+SUMPRODUCT((MOVIMIENTOS!$B$5:$B$1005="DEVOLUCIÓN")*(MOVIMIENTOS!$C$5:$C$1005="M")*(MOVIMIENTOS!$D$5:$D$1005="jabas")*(MOVIMIENTOS!$A$5:$A$1005&lt;&gt;"")*(MOVIMIENTOS!$A$5:$A$1005&lt;=$A169)*MOVIMIENTOS!$E$5:$E$1005)-SUMPRODUCT((MOVIMIENTOS!$B$5:$B$1005="TRASIEGO")*(MOVIMIENTOS!$C$5:$C$1005="M")*(MOVIMIENTOS!$D$5:$D$1005="jabas")*(MOVIMIENTOS!$A$5:$A$1005&lt;&gt;"")*(MOVIMIENTOS!$A$5:$A$1005&lt;=$A169)*MOVIMIENTOS!$E$5:$E$1005)-SUMPRODUCT((MOVIMIENTOS!$B$5:$B$1005="REGALO")*(MOVIMIENTOS!$C$5:$C$1005="M")*(MOVIMIENTOS!$D$5:$D$1005="jabas")*(MOVIMIENTOS!$A$5:$A$1005&lt;&gt;"")*(MOVIMIENTOS!$A$5:$A$1005&lt;=$A169)*MOVIMIENTOS!$E$5:$E$1005)-SUMPRODUCT((MOVIMIENTOS!$B$5:$B$1005="VENTA")*(MOVIMIENTOS!$C$5:$C$1005="M")*(MOVIMIENTOS!$D$5:$D$1005="jabas")*(MOVIMIENTOS!$A$5:$A$1005&lt;&gt;"")*(MOVIMIENTOS!$A$5:$A$1005&lt;=$A169)*MOVIMIENTOS!$E$5:$E$1005)+SUMPRODUCT((MOVIMIENTOS!$B$5:$B$1005="AJUSTE")*(MOVIMIENTOS!$C$5:$C$1005="M")*(MOVIMIENTOS!$D$5:$D$1005="jabas")*(MOVIMIENTOS!$A$5:$A$1005&lt;&gt;"")*(MOVIMIENTOS!$A$5:$A$1005&lt;=$A169)*MOVIMIENTOS!$E$5:$E$1005))</f>
        <v/>
      </c>
      <c r="F169" s="63" t="str">
        <f>IF($A169="","",SUMPRODUCT((MOVIMIENTOS!$B$5:$B$1005="SALDO INICIAL")*(MOVIMIENTOS!$C$5:$C$1005="Chancho")*(MOVIMIENTOS!$D$5:$D$1005="sacos")*(MOVIMIENTOS!$A$5:$A$1005&lt;&gt;"")*(MOVIMIENTOS!$A$5:$A$1005&lt;=$A169)*MOVIMIENTOS!$E$5:$E$1005)+SUMPRODUCT((MOVIMIENTOS!$B$5:$B$1005="PROCESO")*(MOVIMIENTOS!$C$5:$C$1005="Chancho")*(MOVIMIENTOS!$D$5:$D$1005="sacos")*(MOVIMIENTOS!$A$5:$A$1005&lt;&gt;"")*(MOVIMIENTOS!$A$5:$A$1005&lt;=$A169)*MOVIMIENTOS!$E$5:$E$1005)-SUMPRODUCT((MOVIMIENTOS!$B$5:$B$1005="VENTA CHANCHO")*(MOVIMIENTOS!$C$5:$C$1005="Chancho")*(MOVIMIENTOS!$D$5:$D$1005="sacos")*(MOVIMIENTOS!$A$5:$A$1005&lt;&gt;"")*(MOVIMIENTOS!$A$5:$A$1005&lt;=$A169)*MOVIMIENTOS!$E$5:$E$1005)-SUMPRODUCT((MOVIMIENTOS!$B$5:$B$1005="REGALO")*(MOVIMIENTOS!$C$5:$C$1005="Chancho")*(MOVIMIENTOS!$D$5:$D$1005="sacos")*(MOVIMIENTOS!$A$5:$A$1005&lt;&gt;"")*(MOVIMIENTOS!$A$5:$A$1005&lt;=$A169)*MOVIMIENTOS!$E$5:$E$1005)-SUMPRODUCT((MOVIMIENTOS!$B$5:$B$1005="VENTA")*(MOVIMIENTOS!$C$5:$C$1005="Chancho")*(MOVIMIENTOS!$D$5:$D$1005="sacos")*(MOVIMIENTOS!$A$5:$A$1005&lt;&gt;"")*(MOVIMIENTOS!$A$5:$A$1005&lt;=$A169)*MOVIMIENTOS!$E$5:$E$1005)+SUMPRODUCT((MOVIMIENTOS!$B$5:$B$1005="AJUSTE")*(MOVIMIENTOS!$C$5:$C$1005="Chancho")*(MOVIMIENTOS!$D$5:$D$1005="sacos")*(MOVIMIENTOS!$A$5:$A$1005&lt;&gt;"")*(MOVIMIENTOS!$A$5:$A$1005&lt;=$A169)*MOVIMIENTOS!$E$5:$E$1005))</f>
        <v/>
      </c>
      <c r="G169" s="95" t="str">
        <f t="shared" si="5"/>
        <v/>
      </c>
      <c r="H169" s="63" t="str">
        <f>IF($A169="","",SUMPRODUCT((((MOVIMIENTOS!$B$5:$B$1005="SALDO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169)*MOVIMIENTOS!$J$5:$J$1005))</f>
        <v/>
      </c>
      <c r="I169" s="63"/>
      <c r="J169" s="63" t="str">
        <f>IF(AND(MOVIMIENTOS!$A169&lt;&gt;"",COUNTIF(MOVIMIENTOS!$A$5:$A168,MOVIMIENTOS!$A169)=0),COUNT(J$4:J168)+1,"")</f>
        <v/>
      </c>
      <c r="K169" s="66">
        <f>MOVIMIENTOS!$A169</f>
        <v>46227</v>
      </c>
      <c r="L169" s="63"/>
      <c r="M169" s="63"/>
      <c r="N169" s="63"/>
    </row>
    <row r="170" spans="1:14" ht="15" customHeight="1" x14ac:dyDescent="0.2">
      <c r="A170" s="63" t="str">
        <f t="shared" si="4"/>
        <v/>
      </c>
      <c r="B170" s="63" t="str">
        <f>IF($A170="","",SUMPRODUCT((MOVIMIENTOS!$B$5:$B$1005="SALDO INICIAL")*(MOVIMIENTOS!$C$5:$C$1005="A")*(MOVIMIENTOS!$D$5:$D$1005="jabas")*(MOVIMIENTOS!$A$5:$A$1005&lt;&gt;"")*(MOVIMIENTOS!$A$5:$A$1005&lt;=$A170)*MOVIMIENTOS!$E$5:$E$1005)+SUMPRODUCT((MOVIMIENTOS!$B$5:$B$1005="PROCESO")*(MOVIMIENTOS!$C$5:$C$1005="A")*(MOVIMIENTOS!$D$5:$D$1005="jabas")*(MOVIMIENTOS!$A$5:$A$1005&lt;&gt;"")*(MOVIMIENTOS!$A$5:$A$1005&lt;=$A170)*MOVIMIENTOS!$E$5:$E$1005)-SUMPRODUCT((MOVIMIENTOS!$B$5:$B$1005="ENVÍO A SUPESA")*(MOVIMIENTOS!$C$5:$C$1005="A")*(MOVIMIENTOS!$D$5:$D$1005="jabas")*(MOVIMIENTOS!$A$5:$A$1005&lt;&gt;"")*(MOVIMIENTOS!$A$5:$A$1005&lt;=$A170)*MOVIMIENTOS!$E$5:$E$1005)+SUMPRODUCT((MOVIMIENTOS!$B$5:$B$1005="DEVOLUCIÓN")*(MOVIMIENTOS!$C$5:$C$1005="A")*(MOVIMIENTOS!$D$5:$D$1005="jabas")*(MOVIMIENTOS!$A$5:$A$1005&lt;&gt;"")*(MOVIMIENTOS!$A$5:$A$1005&lt;=$A170)*MOVIMIENTOS!$E$5:$E$1005)-SUMPRODUCT((MOVIMIENTOS!$B$5:$B$1005="TRASIEGO")*(MOVIMIENTOS!$C$5:$C$1005="A")*(MOVIMIENTOS!$D$5:$D$1005="jabas")*(MOVIMIENTOS!$A$5:$A$1005&lt;&gt;"")*(MOVIMIENTOS!$A$5:$A$1005&lt;=$A170)*MOVIMIENTOS!$E$5:$E$1005)-SUMPRODUCT((MOVIMIENTOS!$B$5:$B$1005="REGALO")*(MOVIMIENTOS!$C$5:$C$1005="A")*(MOVIMIENTOS!$D$5:$D$1005="jabas")*(MOVIMIENTOS!$A$5:$A$1005&lt;&gt;"")*(MOVIMIENTOS!$A$5:$A$1005&lt;=$A170)*MOVIMIENTOS!$E$5:$E$1005)-SUMPRODUCT((MOVIMIENTOS!$B$5:$B$1005="VENTA")*(MOVIMIENTOS!$C$5:$C$1005="A")*(MOVIMIENTOS!$D$5:$D$1005="jabas")*(MOVIMIENTOS!$A$5:$A$1005&lt;&gt;"")*(MOVIMIENTOS!$A$5:$A$1005&lt;=$A170)*MOVIMIENTOS!$E$5:$E$1005)+SUMPRODUCT((MOVIMIENTOS!$B$5:$B$1005="AJUSTE")*(MOVIMIENTOS!$C$5:$C$1005="A")*(MOVIMIENTOS!$D$5:$D$1005="jabas")*(MOVIMIENTOS!$A$5:$A$1005&lt;&gt;"")*(MOVIMIENTOS!$A$5:$A$1005&lt;=$A170)*MOVIMIENTOS!$E$5:$E$1005))</f>
        <v/>
      </c>
      <c r="C170" s="63" t="str">
        <f>IF($A170="","",SUMPRODUCT((MOVIMIENTOS!$B$5:$B$1005="SALDO INICIAL")*(MOVIMIENTOS!$C$5:$C$1005="P")*(MOVIMIENTOS!$D$5:$D$1005="jabas")*(MOVIMIENTOS!$A$5:$A$1005&lt;&gt;"")*(MOVIMIENTOS!$A$5:$A$1005&lt;=$A170)*MOVIMIENTOS!$E$5:$E$1005)+SUMPRODUCT((MOVIMIENTOS!$B$5:$B$1005="PROCESO")*(MOVIMIENTOS!$C$5:$C$1005="P")*(MOVIMIENTOS!$D$5:$D$1005="jabas")*(MOVIMIENTOS!$A$5:$A$1005&lt;&gt;"")*(MOVIMIENTOS!$A$5:$A$1005&lt;=$A170)*MOVIMIENTOS!$E$5:$E$1005)-SUMPRODUCT((MOVIMIENTOS!$B$5:$B$1005="ENVÍO A SUPESA")*(MOVIMIENTOS!$C$5:$C$1005="P")*(MOVIMIENTOS!$D$5:$D$1005="jabas")*(MOVIMIENTOS!$A$5:$A$1005&lt;&gt;"")*(MOVIMIENTOS!$A$5:$A$1005&lt;=$A170)*MOVIMIENTOS!$E$5:$E$1005)+SUMPRODUCT((MOVIMIENTOS!$B$5:$B$1005="DEVOLUCIÓN")*(MOVIMIENTOS!$C$5:$C$1005="P")*(MOVIMIENTOS!$D$5:$D$1005="jabas")*(MOVIMIENTOS!$A$5:$A$1005&lt;&gt;"")*(MOVIMIENTOS!$A$5:$A$1005&lt;=$A170)*MOVIMIENTOS!$E$5:$E$1005)-SUMPRODUCT((MOVIMIENTOS!$B$5:$B$1005="TRASIEGO")*(MOVIMIENTOS!$C$5:$C$1005="P")*(MOVIMIENTOS!$D$5:$D$1005="jabas")*(MOVIMIENTOS!$A$5:$A$1005&lt;&gt;"")*(MOVIMIENTOS!$A$5:$A$1005&lt;=$A170)*MOVIMIENTOS!$E$5:$E$1005)-SUMPRODUCT((MOVIMIENTOS!$B$5:$B$1005="REGALO")*(MOVIMIENTOS!$C$5:$C$1005="P")*(MOVIMIENTOS!$D$5:$D$1005="jabas")*(MOVIMIENTOS!$A$5:$A$1005&lt;&gt;"")*(MOVIMIENTOS!$A$5:$A$1005&lt;=$A170)*MOVIMIENTOS!$E$5:$E$1005)-SUMPRODUCT((MOVIMIENTOS!$B$5:$B$1005="VENTA")*(MOVIMIENTOS!$C$5:$C$1005="P")*(MOVIMIENTOS!$D$5:$D$1005="jabas")*(MOVIMIENTOS!$A$5:$A$1005&lt;&gt;"")*(MOVIMIENTOS!$A$5:$A$1005&lt;=$A170)*MOVIMIENTOS!$E$5:$E$1005)+SUMPRODUCT((MOVIMIENTOS!$B$5:$B$1005="AJUSTE")*(MOVIMIENTOS!$C$5:$C$1005="P")*(MOVIMIENTOS!$D$5:$D$1005="jabas")*(MOVIMIENTOS!$A$5:$A$1005&lt;&gt;"")*(MOVIMIENTOS!$A$5:$A$1005&lt;=$A170)*MOVIMIENTOS!$E$5:$E$1005))</f>
        <v/>
      </c>
      <c r="D170" s="63" t="str">
        <f>IF($A170="","",SUMPRODUCT((MOVIMIENTOS!$B$5:$B$1005="SALDO INICIAL")*(MOVIMIENTOS!$C$5:$C$1005="C")*(MOVIMIENTOS!$D$5:$D$1005="jabas")*(MOVIMIENTOS!$A$5:$A$1005&lt;&gt;"")*(MOVIMIENTOS!$A$5:$A$1005&lt;=$A170)*MOVIMIENTOS!$E$5:$E$1005)+SUMPRODUCT((MOVIMIENTOS!$B$5:$B$1005="PROCESO")*(MOVIMIENTOS!$C$5:$C$1005="C")*(MOVIMIENTOS!$D$5:$D$1005="jabas")*(MOVIMIENTOS!$A$5:$A$1005&lt;&gt;"")*(MOVIMIENTOS!$A$5:$A$1005&lt;=$A170)*MOVIMIENTOS!$E$5:$E$1005)-SUMPRODUCT((MOVIMIENTOS!$B$5:$B$1005="ENVÍO A SUPESA")*(MOVIMIENTOS!$C$5:$C$1005="C")*(MOVIMIENTOS!$D$5:$D$1005="jabas")*(MOVIMIENTOS!$A$5:$A$1005&lt;&gt;"")*(MOVIMIENTOS!$A$5:$A$1005&lt;=$A170)*MOVIMIENTOS!$E$5:$E$1005)+SUMPRODUCT((MOVIMIENTOS!$B$5:$B$1005="DEVOLUCIÓN")*(MOVIMIENTOS!$C$5:$C$1005="C")*(MOVIMIENTOS!$D$5:$D$1005="jabas")*(MOVIMIENTOS!$A$5:$A$1005&lt;&gt;"")*(MOVIMIENTOS!$A$5:$A$1005&lt;=$A170)*MOVIMIENTOS!$E$5:$E$1005)-SUMPRODUCT((MOVIMIENTOS!$B$5:$B$1005="TRASIEGO")*(MOVIMIENTOS!$C$5:$C$1005="C")*(MOVIMIENTOS!$D$5:$D$1005="jabas")*(MOVIMIENTOS!$A$5:$A$1005&lt;&gt;"")*(MOVIMIENTOS!$A$5:$A$1005&lt;=$A170)*MOVIMIENTOS!$E$5:$E$1005)-SUMPRODUCT((MOVIMIENTOS!$B$5:$B$1005="REGALO")*(MOVIMIENTOS!$C$5:$C$1005="C")*(MOVIMIENTOS!$D$5:$D$1005="jabas")*(MOVIMIENTOS!$A$5:$A$1005&lt;&gt;"")*(MOVIMIENTOS!$A$5:$A$1005&lt;=$A170)*MOVIMIENTOS!$E$5:$E$1005)-SUMPRODUCT((MOVIMIENTOS!$B$5:$B$1005="VENTA")*(MOVIMIENTOS!$C$5:$C$1005="C")*(MOVIMIENTOS!$D$5:$D$1005="jabas")*(MOVIMIENTOS!$A$5:$A$1005&lt;&gt;"")*(MOVIMIENTOS!$A$5:$A$1005&lt;=$A170)*MOVIMIENTOS!$E$5:$E$1005)+SUMPRODUCT((MOVIMIENTOS!$B$5:$B$1005="AJUSTE")*(MOVIMIENTOS!$C$5:$C$1005="C")*(MOVIMIENTOS!$D$5:$D$1005="jabas")*(MOVIMIENTOS!$A$5:$A$1005&lt;&gt;"")*(MOVIMIENTOS!$A$5:$A$1005&lt;=$A170)*MOVIMIENTOS!$E$5:$E$1005))</f>
        <v/>
      </c>
      <c r="E170" s="63" t="str">
        <f>IF($A170="","",SUMPRODUCT((MOVIMIENTOS!$B$5:$B$1005="SALDO INICIAL")*(MOVIMIENTOS!$C$5:$C$1005="M")*(MOVIMIENTOS!$D$5:$D$1005="jabas")*(MOVIMIENTOS!$A$5:$A$1005&lt;&gt;"")*(MOVIMIENTOS!$A$5:$A$1005&lt;=$A170)*MOVIMIENTOS!$E$5:$E$1005)+SUMPRODUCT((MOVIMIENTOS!$B$5:$B$1005="PROCESO")*(MOVIMIENTOS!$C$5:$C$1005="M")*(MOVIMIENTOS!$D$5:$D$1005="jabas")*(MOVIMIENTOS!$A$5:$A$1005&lt;&gt;"")*(MOVIMIENTOS!$A$5:$A$1005&lt;=$A170)*MOVIMIENTOS!$E$5:$E$1005)-SUMPRODUCT((MOVIMIENTOS!$B$5:$B$1005="ENVÍO A SUPESA")*(MOVIMIENTOS!$C$5:$C$1005="M")*(MOVIMIENTOS!$D$5:$D$1005="jabas")*(MOVIMIENTOS!$A$5:$A$1005&lt;&gt;"")*(MOVIMIENTOS!$A$5:$A$1005&lt;=$A170)*MOVIMIENTOS!$E$5:$E$1005)+SUMPRODUCT((MOVIMIENTOS!$B$5:$B$1005="DEVOLUCIÓN")*(MOVIMIENTOS!$C$5:$C$1005="M")*(MOVIMIENTOS!$D$5:$D$1005="jabas")*(MOVIMIENTOS!$A$5:$A$1005&lt;&gt;"")*(MOVIMIENTOS!$A$5:$A$1005&lt;=$A170)*MOVIMIENTOS!$E$5:$E$1005)-SUMPRODUCT((MOVIMIENTOS!$B$5:$B$1005="TRASIEGO")*(MOVIMIENTOS!$C$5:$C$1005="M")*(MOVIMIENTOS!$D$5:$D$1005="jabas")*(MOVIMIENTOS!$A$5:$A$1005&lt;&gt;"")*(MOVIMIENTOS!$A$5:$A$1005&lt;=$A170)*MOVIMIENTOS!$E$5:$E$1005)-SUMPRODUCT((MOVIMIENTOS!$B$5:$B$1005="REGALO")*(MOVIMIENTOS!$C$5:$C$1005="M")*(MOVIMIENTOS!$D$5:$D$1005="jabas")*(MOVIMIENTOS!$A$5:$A$1005&lt;&gt;"")*(MOVIMIENTOS!$A$5:$A$1005&lt;=$A170)*MOVIMIENTOS!$E$5:$E$1005)-SUMPRODUCT((MOVIMIENTOS!$B$5:$B$1005="VENTA")*(MOVIMIENTOS!$C$5:$C$1005="M")*(MOVIMIENTOS!$D$5:$D$1005="jabas")*(MOVIMIENTOS!$A$5:$A$1005&lt;&gt;"")*(MOVIMIENTOS!$A$5:$A$1005&lt;=$A170)*MOVIMIENTOS!$E$5:$E$1005)+SUMPRODUCT((MOVIMIENTOS!$B$5:$B$1005="AJUSTE")*(MOVIMIENTOS!$C$5:$C$1005="M")*(MOVIMIENTOS!$D$5:$D$1005="jabas")*(MOVIMIENTOS!$A$5:$A$1005&lt;&gt;"")*(MOVIMIENTOS!$A$5:$A$1005&lt;=$A170)*MOVIMIENTOS!$E$5:$E$1005))</f>
        <v/>
      </c>
      <c r="F170" s="63" t="str">
        <f>IF($A170="","",SUMPRODUCT((MOVIMIENTOS!$B$5:$B$1005="SALDO INICIAL")*(MOVIMIENTOS!$C$5:$C$1005="Chancho")*(MOVIMIENTOS!$D$5:$D$1005="sacos")*(MOVIMIENTOS!$A$5:$A$1005&lt;&gt;"")*(MOVIMIENTOS!$A$5:$A$1005&lt;=$A170)*MOVIMIENTOS!$E$5:$E$1005)+SUMPRODUCT((MOVIMIENTOS!$B$5:$B$1005="PROCESO")*(MOVIMIENTOS!$C$5:$C$1005="Chancho")*(MOVIMIENTOS!$D$5:$D$1005="sacos")*(MOVIMIENTOS!$A$5:$A$1005&lt;&gt;"")*(MOVIMIENTOS!$A$5:$A$1005&lt;=$A170)*MOVIMIENTOS!$E$5:$E$1005)-SUMPRODUCT((MOVIMIENTOS!$B$5:$B$1005="VENTA CHANCHO")*(MOVIMIENTOS!$C$5:$C$1005="Chancho")*(MOVIMIENTOS!$D$5:$D$1005="sacos")*(MOVIMIENTOS!$A$5:$A$1005&lt;&gt;"")*(MOVIMIENTOS!$A$5:$A$1005&lt;=$A170)*MOVIMIENTOS!$E$5:$E$1005)-SUMPRODUCT((MOVIMIENTOS!$B$5:$B$1005="REGALO")*(MOVIMIENTOS!$C$5:$C$1005="Chancho")*(MOVIMIENTOS!$D$5:$D$1005="sacos")*(MOVIMIENTOS!$A$5:$A$1005&lt;&gt;"")*(MOVIMIENTOS!$A$5:$A$1005&lt;=$A170)*MOVIMIENTOS!$E$5:$E$1005)-SUMPRODUCT((MOVIMIENTOS!$B$5:$B$1005="VENTA")*(MOVIMIENTOS!$C$5:$C$1005="Chancho")*(MOVIMIENTOS!$D$5:$D$1005="sacos")*(MOVIMIENTOS!$A$5:$A$1005&lt;&gt;"")*(MOVIMIENTOS!$A$5:$A$1005&lt;=$A170)*MOVIMIENTOS!$E$5:$E$1005)+SUMPRODUCT((MOVIMIENTOS!$B$5:$B$1005="AJUSTE")*(MOVIMIENTOS!$C$5:$C$1005="Chancho")*(MOVIMIENTOS!$D$5:$D$1005="sacos")*(MOVIMIENTOS!$A$5:$A$1005&lt;&gt;"")*(MOVIMIENTOS!$A$5:$A$1005&lt;=$A170)*MOVIMIENTOS!$E$5:$E$1005))</f>
        <v/>
      </c>
      <c r="G170" s="95" t="str">
        <f t="shared" si="5"/>
        <v/>
      </c>
      <c r="H170" s="63" t="str">
        <f>IF($A170="","",SUMPRODUCT((((MOVIMIENTOS!$B$5:$B$1005="SALDO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170)*MOVIMIENTOS!$J$5:$J$1005))</f>
        <v/>
      </c>
      <c r="I170" s="63"/>
      <c r="J170" s="63">
        <f>IF(AND(MOVIMIENTOS!$A170&lt;&gt;"",COUNTIF(MOVIMIENTOS!$A$5:$A169,MOVIMIENTOS!$A170)=0),COUNT(J$4:J169)+1,"")</f>
        <v>16</v>
      </c>
      <c r="K170" s="66">
        <f>MOVIMIENTOS!$A170</f>
        <v>46228</v>
      </c>
      <c r="L170" s="63"/>
      <c r="M170" s="63"/>
      <c r="N170" s="63"/>
    </row>
    <row r="171" spans="1:14" ht="15" customHeight="1" x14ac:dyDescent="0.2">
      <c r="A171" s="63" t="str">
        <f t="shared" si="4"/>
        <v/>
      </c>
      <c r="B171" s="63" t="str">
        <f>IF($A171="","",SUMPRODUCT((MOVIMIENTOS!$B$5:$B$1005="SALDO INICIAL")*(MOVIMIENTOS!$C$5:$C$1005="A")*(MOVIMIENTOS!$D$5:$D$1005="jabas")*(MOVIMIENTOS!$A$5:$A$1005&lt;&gt;"")*(MOVIMIENTOS!$A$5:$A$1005&lt;=$A171)*MOVIMIENTOS!$E$5:$E$1005)+SUMPRODUCT((MOVIMIENTOS!$B$5:$B$1005="PROCESO")*(MOVIMIENTOS!$C$5:$C$1005="A")*(MOVIMIENTOS!$D$5:$D$1005="jabas")*(MOVIMIENTOS!$A$5:$A$1005&lt;&gt;"")*(MOVIMIENTOS!$A$5:$A$1005&lt;=$A171)*MOVIMIENTOS!$E$5:$E$1005)-SUMPRODUCT((MOVIMIENTOS!$B$5:$B$1005="ENVÍO A SUPESA")*(MOVIMIENTOS!$C$5:$C$1005="A")*(MOVIMIENTOS!$D$5:$D$1005="jabas")*(MOVIMIENTOS!$A$5:$A$1005&lt;&gt;"")*(MOVIMIENTOS!$A$5:$A$1005&lt;=$A171)*MOVIMIENTOS!$E$5:$E$1005)+SUMPRODUCT((MOVIMIENTOS!$B$5:$B$1005="DEVOLUCIÓN")*(MOVIMIENTOS!$C$5:$C$1005="A")*(MOVIMIENTOS!$D$5:$D$1005="jabas")*(MOVIMIENTOS!$A$5:$A$1005&lt;&gt;"")*(MOVIMIENTOS!$A$5:$A$1005&lt;=$A171)*MOVIMIENTOS!$E$5:$E$1005)-SUMPRODUCT((MOVIMIENTOS!$B$5:$B$1005="TRASIEGO")*(MOVIMIENTOS!$C$5:$C$1005="A")*(MOVIMIENTOS!$D$5:$D$1005="jabas")*(MOVIMIENTOS!$A$5:$A$1005&lt;&gt;"")*(MOVIMIENTOS!$A$5:$A$1005&lt;=$A171)*MOVIMIENTOS!$E$5:$E$1005)-SUMPRODUCT((MOVIMIENTOS!$B$5:$B$1005="REGALO")*(MOVIMIENTOS!$C$5:$C$1005="A")*(MOVIMIENTOS!$D$5:$D$1005="jabas")*(MOVIMIENTOS!$A$5:$A$1005&lt;&gt;"")*(MOVIMIENTOS!$A$5:$A$1005&lt;=$A171)*MOVIMIENTOS!$E$5:$E$1005)-SUMPRODUCT((MOVIMIENTOS!$B$5:$B$1005="VENTA")*(MOVIMIENTOS!$C$5:$C$1005="A")*(MOVIMIENTOS!$D$5:$D$1005="jabas")*(MOVIMIENTOS!$A$5:$A$1005&lt;&gt;"")*(MOVIMIENTOS!$A$5:$A$1005&lt;=$A171)*MOVIMIENTOS!$E$5:$E$1005)+SUMPRODUCT((MOVIMIENTOS!$B$5:$B$1005="AJUSTE")*(MOVIMIENTOS!$C$5:$C$1005="A")*(MOVIMIENTOS!$D$5:$D$1005="jabas")*(MOVIMIENTOS!$A$5:$A$1005&lt;&gt;"")*(MOVIMIENTOS!$A$5:$A$1005&lt;=$A171)*MOVIMIENTOS!$E$5:$E$1005))</f>
        <v/>
      </c>
      <c r="C171" s="63" t="str">
        <f>IF($A171="","",SUMPRODUCT((MOVIMIENTOS!$B$5:$B$1005="SALDO INICIAL")*(MOVIMIENTOS!$C$5:$C$1005="P")*(MOVIMIENTOS!$D$5:$D$1005="jabas")*(MOVIMIENTOS!$A$5:$A$1005&lt;&gt;"")*(MOVIMIENTOS!$A$5:$A$1005&lt;=$A171)*MOVIMIENTOS!$E$5:$E$1005)+SUMPRODUCT((MOVIMIENTOS!$B$5:$B$1005="PROCESO")*(MOVIMIENTOS!$C$5:$C$1005="P")*(MOVIMIENTOS!$D$5:$D$1005="jabas")*(MOVIMIENTOS!$A$5:$A$1005&lt;&gt;"")*(MOVIMIENTOS!$A$5:$A$1005&lt;=$A171)*MOVIMIENTOS!$E$5:$E$1005)-SUMPRODUCT((MOVIMIENTOS!$B$5:$B$1005="ENVÍO A SUPESA")*(MOVIMIENTOS!$C$5:$C$1005="P")*(MOVIMIENTOS!$D$5:$D$1005="jabas")*(MOVIMIENTOS!$A$5:$A$1005&lt;&gt;"")*(MOVIMIENTOS!$A$5:$A$1005&lt;=$A171)*MOVIMIENTOS!$E$5:$E$1005)+SUMPRODUCT((MOVIMIENTOS!$B$5:$B$1005="DEVOLUCIÓN")*(MOVIMIENTOS!$C$5:$C$1005="P")*(MOVIMIENTOS!$D$5:$D$1005="jabas")*(MOVIMIENTOS!$A$5:$A$1005&lt;&gt;"")*(MOVIMIENTOS!$A$5:$A$1005&lt;=$A171)*MOVIMIENTOS!$E$5:$E$1005)-SUMPRODUCT((MOVIMIENTOS!$B$5:$B$1005="TRASIEGO")*(MOVIMIENTOS!$C$5:$C$1005="P")*(MOVIMIENTOS!$D$5:$D$1005="jabas")*(MOVIMIENTOS!$A$5:$A$1005&lt;&gt;"")*(MOVIMIENTOS!$A$5:$A$1005&lt;=$A171)*MOVIMIENTOS!$E$5:$E$1005)-SUMPRODUCT((MOVIMIENTOS!$B$5:$B$1005="REGALO")*(MOVIMIENTOS!$C$5:$C$1005="P")*(MOVIMIENTOS!$D$5:$D$1005="jabas")*(MOVIMIENTOS!$A$5:$A$1005&lt;&gt;"")*(MOVIMIENTOS!$A$5:$A$1005&lt;=$A171)*MOVIMIENTOS!$E$5:$E$1005)-SUMPRODUCT((MOVIMIENTOS!$B$5:$B$1005="VENTA")*(MOVIMIENTOS!$C$5:$C$1005="P")*(MOVIMIENTOS!$D$5:$D$1005="jabas")*(MOVIMIENTOS!$A$5:$A$1005&lt;&gt;"")*(MOVIMIENTOS!$A$5:$A$1005&lt;=$A171)*MOVIMIENTOS!$E$5:$E$1005)+SUMPRODUCT((MOVIMIENTOS!$B$5:$B$1005="AJUSTE")*(MOVIMIENTOS!$C$5:$C$1005="P")*(MOVIMIENTOS!$D$5:$D$1005="jabas")*(MOVIMIENTOS!$A$5:$A$1005&lt;&gt;"")*(MOVIMIENTOS!$A$5:$A$1005&lt;=$A171)*MOVIMIENTOS!$E$5:$E$1005))</f>
        <v/>
      </c>
      <c r="D171" s="63" t="str">
        <f>IF($A171="","",SUMPRODUCT((MOVIMIENTOS!$B$5:$B$1005="SALDO INICIAL")*(MOVIMIENTOS!$C$5:$C$1005="C")*(MOVIMIENTOS!$D$5:$D$1005="jabas")*(MOVIMIENTOS!$A$5:$A$1005&lt;&gt;"")*(MOVIMIENTOS!$A$5:$A$1005&lt;=$A171)*MOVIMIENTOS!$E$5:$E$1005)+SUMPRODUCT((MOVIMIENTOS!$B$5:$B$1005="PROCESO")*(MOVIMIENTOS!$C$5:$C$1005="C")*(MOVIMIENTOS!$D$5:$D$1005="jabas")*(MOVIMIENTOS!$A$5:$A$1005&lt;&gt;"")*(MOVIMIENTOS!$A$5:$A$1005&lt;=$A171)*MOVIMIENTOS!$E$5:$E$1005)-SUMPRODUCT((MOVIMIENTOS!$B$5:$B$1005="ENVÍO A SUPESA")*(MOVIMIENTOS!$C$5:$C$1005="C")*(MOVIMIENTOS!$D$5:$D$1005="jabas")*(MOVIMIENTOS!$A$5:$A$1005&lt;&gt;"")*(MOVIMIENTOS!$A$5:$A$1005&lt;=$A171)*MOVIMIENTOS!$E$5:$E$1005)+SUMPRODUCT((MOVIMIENTOS!$B$5:$B$1005="DEVOLUCIÓN")*(MOVIMIENTOS!$C$5:$C$1005="C")*(MOVIMIENTOS!$D$5:$D$1005="jabas")*(MOVIMIENTOS!$A$5:$A$1005&lt;&gt;"")*(MOVIMIENTOS!$A$5:$A$1005&lt;=$A171)*MOVIMIENTOS!$E$5:$E$1005)-SUMPRODUCT((MOVIMIENTOS!$B$5:$B$1005="TRASIEGO")*(MOVIMIENTOS!$C$5:$C$1005="C")*(MOVIMIENTOS!$D$5:$D$1005="jabas")*(MOVIMIENTOS!$A$5:$A$1005&lt;&gt;"")*(MOVIMIENTOS!$A$5:$A$1005&lt;=$A171)*MOVIMIENTOS!$E$5:$E$1005)-SUMPRODUCT((MOVIMIENTOS!$B$5:$B$1005="REGALO")*(MOVIMIENTOS!$C$5:$C$1005="C")*(MOVIMIENTOS!$D$5:$D$1005="jabas")*(MOVIMIENTOS!$A$5:$A$1005&lt;&gt;"")*(MOVIMIENTOS!$A$5:$A$1005&lt;=$A171)*MOVIMIENTOS!$E$5:$E$1005)-SUMPRODUCT((MOVIMIENTOS!$B$5:$B$1005="VENTA")*(MOVIMIENTOS!$C$5:$C$1005="C")*(MOVIMIENTOS!$D$5:$D$1005="jabas")*(MOVIMIENTOS!$A$5:$A$1005&lt;&gt;"")*(MOVIMIENTOS!$A$5:$A$1005&lt;=$A171)*MOVIMIENTOS!$E$5:$E$1005)+SUMPRODUCT((MOVIMIENTOS!$B$5:$B$1005="AJUSTE")*(MOVIMIENTOS!$C$5:$C$1005="C")*(MOVIMIENTOS!$D$5:$D$1005="jabas")*(MOVIMIENTOS!$A$5:$A$1005&lt;&gt;"")*(MOVIMIENTOS!$A$5:$A$1005&lt;=$A171)*MOVIMIENTOS!$E$5:$E$1005))</f>
        <v/>
      </c>
      <c r="E171" s="63" t="str">
        <f>IF($A171="","",SUMPRODUCT((MOVIMIENTOS!$B$5:$B$1005="SALDO INICIAL")*(MOVIMIENTOS!$C$5:$C$1005="M")*(MOVIMIENTOS!$D$5:$D$1005="jabas")*(MOVIMIENTOS!$A$5:$A$1005&lt;&gt;"")*(MOVIMIENTOS!$A$5:$A$1005&lt;=$A171)*MOVIMIENTOS!$E$5:$E$1005)+SUMPRODUCT((MOVIMIENTOS!$B$5:$B$1005="PROCESO")*(MOVIMIENTOS!$C$5:$C$1005="M")*(MOVIMIENTOS!$D$5:$D$1005="jabas")*(MOVIMIENTOS!$A$5:$A$1005&lt;&gt;"")*(MOVIMIENTOS!$A$5:$A$1005&lt;=$A171)*MOVIMIENTOS!$E$5:$E$1005)-SUMPRODUCT((MOVIMIENTOS!$B$5:$B$1005="ENVÍO A SUPESA")*(MOVIMIENTOS!$C$5:$C$1005="M")*(MOVIMIENTOS!$D$5:$D$1005="jabas")*(MOVIMIENTOS!$A$5:$A$1005&lt;&gt;"")*(MOVIMIENTOS!$A$5:$A$1005&lt;=$A171)*MOVIMIENTOS!$E$5:$E$1005)+SUMPRODUCT((MOVIMIENTOS!$B$5:$B$1005="DEVOLUCIÓN")*(MOVIMIENTOS!$C$5:$C$1005="M")*(MOVIMIENTOS!$D$5:$D$1005="jabas")*(MOVIMIENTOS!$A$5:$A$1005&lt;&gt;"")*(MOVIMIENTOS!$A$5:$A$1005&lt;=$A171)*MOVIMIENTOS!$E$5:$E$1005)-SUMPRODUCT((MOVIMIENTOS!$B$5:$B$1005="TRASIEGO")*(MOVIMIENTOS!$C$5:$C$1005="M")*(MOVIMIENTOS!$D$5:$D$1005="jabas")*(MOVIMIENTOS!$A$5:$A$1005&lt;&gt;"")*(MOVIMIENTOS!$A$5:$A$1005&lt;=$A171)*MOVIMIENTOS!$E$5:$E$1005)-SUMPRODUCT((MOVIMIENTOS!$B$5:$B$1005="REGALO")*(MOVIMIENTOS!$C$5:$C$1005="M")*(MOVIMIENTOS!$D$5:$D$1005="jabas")*(MOVIMIENTOS!$A$5:$A$1005&lt;&gt;"")*(MOVIMIENTOS!$A$5:$A$1005&lt;=$A171)*MOVIMIENTOS!$E$5:$E$1005)-SUMPRODUCT((MOVIMIENTOS!$B$5:$B$1005="VENTA")*(MOVIMIENTOS!$C$5:$C$1005="M")*(MOVIMIENTOS!$D$5:$D$1005="jabas")*(MOVIMIENTOS!$A$5:$A$1005&lt;&gt;"")*(MOVIMIENTOS!$A$5:$A$1005&lt;=$A171)*MOVIMIENTOS!$E$5:$E$1005)+SUMPRODUCT((MOVIMIENTOS!$B$5:$B$1005="AJUSTE")*(MOVIMIENTOS!$C$5:$C$1005="M")*(MOVIMIENTOS!$D$5:$D$1005="jabas")*(MOVIMIENTOS!$A$5:$A$1005&lt;&gt;"")*(MOVIMIENTOS!$A$5:$A$1005&lt;=$A171)*MOVIMIENTOS!$E$5:$E$1005))</f>
        <v/>
      </c>
      <c r="F171" s="63" t="str">
        <f>IF($A171="","",SUMPRODUCT((MOVIMIENTOS!$B$5:$B$1005="SALDO INICIAL")*(MOVIMIENTOS!$C$5:$C$1005="Chancho")*(MOVIMIENTOS!$D$5:$D$1005="sacos")*(MOVIMIENTOS!$A$5:$A$1005&lt;&gt;"")*(MOVIMIENTOS!$A$5:$A$1005&lt;=$A171)*MOVIMIENTOS!$E$5:$E$1005)+SUMPRODUCT((MOVIMIENTOS!$B$5:$B$1005="PROCESO")*(MOVIMIENTOS!$C$5:$C$1005="Chancho")*(MOVIMIENTOS!$D$5:$D$1005="sacos")*(MOVIMIENTOS!$A$5:$A$1005&lt;&gt;"")*(MOVIMIENTOS!$A$5:$A$1005&lt;=$A171)*MOVIMIENTOS!$E$5:$E$1005)-SUMPRODUCT((MOVIMIENTOS!$B$5:$B$1005="VENTA CHANCHO")*(MOVIMIENTOS!$C$5:$C$1005="Chancho")*(MOVIMIENTOS!$D$5:$D$1005="sacos")*(MOVIMIENTOS!$A$5:$A$1005&lt;&gt;"")*(MOVIMIENTOS!$A$5:$A$1005&lt;=$A171)*MOVIMIENTOS!$E$5:$E$1005)-SUMPRODUCT((MOVIMIENTOS!$B$5:$B$1005="REGALO")*(MOVIMIENTOS!$C$5:$C$1005="Chancho")*(MOVIMIENTOS!$D$5:$D$1005="sacos")*(MOVIMIENTOS!$A$5:$A$1005&lt;&gt;"")*(MOVIMIENTOS!$A$5:$A$1005&lt;=$A171)*MOVIMIENTOS!$E$5:$E$1005)-SUMPRODUCT((MOVIMIENTOS!$B$5:$B$1005="VENTA")*(MOVIMIENTOS!$C$5:$C$1005="Chancho")*(MOVIMIENTOS!$D$5:$D$1005="sacos")*(MOVIMIENTOS!$A$5:$A$1005&lt;&gt;"")*(MOVIMIENTOS!$A$5:$A$1005&lt;=$A171)*MOVIMIENTOS!$E$5:$E$1005)+SUMPRODUCT((MOVIMIENTOS!$B$5:$B$1005="AJUSTE")*(MOVIMIENTOS!$C$5:$C$1005="Chancho")*(MOVIMIENTOS!$D$5:$D$1005="sacos")*(MOVIMIENTOS!$A$5:$A$1005&lt;&gt;"")*(MOVIMIENTOS!$A$5:$A$1005&lt;=$A171)*MOVIMIENTOS!$E$5:$E$1005))</f>
        <v/>
      </c>
      <c r="G171" s="95" t="str">
        <f t="shared" si="5"/>
        <v/>
      </c>
      <c r="H171" s="63" t="str">
        <f>IF($A171="","",SUMPRODUCT((((MOVIMIENTOS!$B$5:$B$1005="SALDO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171)*MOVIMIENTOS!$J$5:$J$1005))</f>
        <v/>
      </c>
      <c r="I171" s="63"/>
      <c r="J171" s="63" t="str">
        <f>IF(AND(MOVIMIENTOS!$A171&lt;&gt;"",COUNTIF(MOVIMIENTOS!$A$5:$A170,MOVIMIENTOS!$A171)=0),COUNT(J$4:J170)+1,"")</f>
        <v/>
      </c>
      <c r="K171" s="66">
        <f>MOVIMIENTOS!$A171</f>
        <v>46228</v>
      </c>
      <c r="L171" s="63"/>
      <c r="M171" s="63"/>
      <c r="N171" s="63"/>
    </row>
    <row r="172" spans="1:14" ht="15" customHeight="1" x14ac:dyDescent="0.2">
      <c r="A172" s="63" t="str">
        <f t="shared" si="4"/>
        <v/>
      </c>
      <c r="B172" s="63" t="str">
        <f>IF($A172="","",SUMPRODUCT((MOVIMIENTOS!$B$5:$B$1005="SALDO INICIAL")*(MOVIMIENTOS!$C$5:$C$1005="A")*(MOVIMIENTOS!$D$5:$D$1005="jabas")*(MOVIMIENTOS!$A$5:$A$1005&lt;&gt;"")*(MOVIMIENTOS!$A$5:$A$1005&lt;=$A172)*MOVIMIENTOS!$E$5:$E$1005)+SUMPRODUCT((MOVIMIENTOS!$B$5:$B$1005="PROCESO")*(MOVIMIENTOS!$C$5:$C$1005="A")*(MOVIMIENTOS!$D$5:$D$1005="jabas")*(MOVIMIENTOS!$A$5:$A$1005&lt;&gt;"")*(MOVIMIENTOS!$A$5:$A$1005&lt;=$A172)*MOVIMIENTOS!$E$5:$E$1005)-SUMPRODUCT((MOVIMIENTOS!$B$5:$B$1005="ENVÍO A SUPESA")*(MOVIMIENTOS!$C$5:$C$1005="A")*(MOVIMIENTOS!$D$5:$D$1005="jabas")*(MOVIMIENTOS!$A$5:$A$1005&lt;&gt;"")*(MOVIMIENTOS!$A$5:$A$1005&lt;=$A172)*MOVIMIENTOS!$E$5:$E$1005)+SUMPRODUCT((MOVIMIENTOS!$B$5:$B$1005="DEVOLUCIÓN")*(MOVIMIENTOS!$C$5:$C$1005="A")*(MOVIMIENTOS!$D$5:$D$1005="jabas")*(MOVIMIENTOS!$A$5:$A$1005&lt;&gt;"")*(MOVIMIENTOS!$A$5:$A$1005&lt;=$A172)*MOVIMIENTOS!$E$5:$E$1005)-SUMPRODUCT((MOVIMIENTOS!$B$5:$B$1005="TRASIEGO")*(MOVIMIENTOS!$C$5:$C$1005="A")*(MOVIMIENTOS!$D$5:$D$1005="jabas")*(MOVIMIENTOS!$A$5:$A$1005&lt;&gt;"")*(MOVIMIENTOS!$A$5:$A$1005&lt;=$A172)*MOVIMIENTOS!$E$5:$E$1005)-SUMPRODUCT((MOVIMIENTOS!$B$5:$B$1005="REGALO")*(MOVIMIENTOS!$C$5:$C$1005="A")*(MOVIMIENTOS!$D$5:$D$1005="jabas")*(MOVIMIENTOS!$A$5:$A$1005&lt;&gt;"")*(MOVIMIENTOS!$A$5:$A$1005&lt;=$A172)*MOVIMIENTOS!$E$5:$E$1005)-SUMPRODUCT((MOVIMIENTOS!$B$5:$B$1005="VENTA")*(MOVIMIENTOS!$C$5:$C$1005="A")*(MOVIMIENTOS!$D$5:$D$1005="jabas")*(MOVIMIENTOS!$A$5:$A$1005&lt;&gt;"")*(MOVIMIENTOS!$A$5:$A$1005&lt;=$A172)*MOVIMIENTOS!$E$5:$E$1005)+SUMPRODUCT((MOVIMIENTOS!$B$5:$B$1005="AJUSTE")*(MOVIMIENTOS!$C$5:$C$1005="A")*(MOVIMIENTOS!$D$5:$D$1005="jabas")*(MOVIMIENTOS!$A$5:$A$1005&lt;&gt;"")*(MOVIMIENTOS!$A$5:$A$1005&lt;=$A172)*MOVIMIENTOS!$E$5:$E$1005))</f>
        <v/>
      </c>
      <c r="C172" s="63" t="str">
        <f>IF($A172="","",SUMPRODUCT((MOVIMIENTOS!$B$5:$B$1005="SALDO INICIAL")*(MOVIMIENTOS!$C$5:$C$1005="P")*(MOVIMIENTOS!$D$5:$D$1005="jabas")*(MOVIMIENTOS!$A$5:$A$1005&lt;&gt;"")*(MOVIMIENTOS!$A$5:$A$1005&lt;=$A172)*MOVIMIENTOS!$E$5:$E$1005)+SUMPRODUCT((MOVIMIENTOS!$B$5:$B$1005="PROCESO")*(MOVIMIENTOS!$C$5:$C$1005="P")*(MOVIMIENTOS!$D$5:$D$1005="jabas")*(MOVIMIENTOS!$A$5:$A$1005&lt;&gt;"")*(MOVIMIENTOS!$A$5:$A$1005&lt;=$A172)*MOVIMIENTOS!$E$5:$E$1005)-SUMPRODUCT((MOVIMIENTOS!$B$5:$B$1005="ENVÍO A SUPESA")*(MOVIMIENTOS!$C$5:$C$1005="P")*(MOVIMIENTOS!$D$5:$D$1005="jabas")*(MOVIMIENTOS!$A$5:$A$1005&lt;&gt;"")*(MOVIMIENTOS!$A$5:$A$1005&lt;=$A172)*MOVIMIENTOS!$E$5:$E$1005)+SUMPRODUCT((MOVIMIENTOS!$B$5:$B$1005="DEVOLUCIÓN")*(MOVIMIENTOS!$C$5:$C$1005="P")*(MOVIMIENTOS!$D$5:$D$1005="jabas")*(MOVIMIENTOS!$A$5:$A$1005&lt;&gt;"")*(MOVIMIENTOS!$A$5:$A$1005&lt;=$A172)*MOVIMIENTOS!$E$5:$E$1005)-SUMPRODUCT((MOVIMIENTOS!$B$5:$B$1005="TRASIEGO")*(MOVIMIENTOS!$C$5:$C$1005="P")*(MOVIMIENTOS!$D$5:$D$1005="jabas")*(MOVIMIENTOS!$A$5:$A$1005&lt;&gt;"")*(MOVIMIENTOS!$A$5:$A$1005&lt;=$A172)*MOVIMIENTOS!$E$5:$E$1005)-SUMPRODUCT((MOVIMIENTOS!$B$5:$B$1005="REGALO")*(MOVIMIENTOS!$C$5:$C$1005="P")*(MOVIMIENTOS!$D$5:$D$1005="jabas")*(MOVIMIENTOS!$A$5:$A$1005&lt;&gt;"")*(MOVIMIENTOS!$A$5:$A$1005&lt;=$A172)*MOVIMIENTOS!$E$5:$E$1005)-SUMPRODUCT((MOVIMIENTOS!$B$5:$B$1005="VENTA")*(MOVIMIENTOS!$C$5:$C$1005="P")*(MOVIMIENTOS!$D$5:$D$1005="jabas")*(MOVIMIENTOS!$A$5:$A$1005&lt;&gt;"")*(MOVIMIENTOS!$A$5:$A$1005&lt;=$A172)*MOVIMIENTOS!$E$5:$E$1005)+SUMPRODUCT((MOVIMIENTOS!$B$5:$B$1005="AJUSTE")*(MOVIMIENTOS!$C$5:$C$1005="P")*(MOVIMIENTOS!$D$5:$D$1005="jabas")*(MOVIMIENTOS!$A$5:$A$1005&lt;&gt;"")*(MOVIMIENTOS!$A$5:$A$1005&lt;=$A172)*MOVIMIENTOS!$E$5:$E$1005))</f>
        <v/>
      </c>
      <c r="D172" s="63" t="str">
        <f>IF($A172="","",SUMPRODUCT((MOVIMIENTOS!$B$5:$B$1005="SALDO INICIAL")*(MOVIMIENTOS!$C$5:$C$1005="C")*(MOVIMIENTOS!$D$5:$D$1005="jabas")*(MOVIMIENTOS!$A$5:$A$1005&lt;&gt;"")*(MOVIMIENTOS!$A$5:$A$1005&lt;=$A172)*MOVIMIENTOS!$E$5:$E$1005)+SUMPRODUCT((MOVIMIENTOS!$B$5:$B$1005="PROCESO")*(MOVIMIENTOS!$C$5:$C$1005="C")*(MOVIMIENTOS!$D$5:$D$1005="jabas")*(MOVIMIENTOS!$A$5:$A$1005&lt;&gt;"")*(MOVIMIENTOS!$A$5:$A$1005&lt;=$A172)*MOVIMIENTOS!$E$5:$E$1005)-SUMPRODUCT((MOVIMIENTOS!$B$5:$B$1005="ENVÍO A SUPESA")*(MOVIMIENTOS!$C$5:$C$1005="C")*(MOVIMIENTOS!$D$5:$D$1005="jabas")*(MOVIMIENTOS!$A$5:$A$1005&lt;&gt;"")*(MOVIMIENTOS!$A$5:$A$1005&lt;=$A172)*MOVIMIENTOS!$E$5:$E$1005)+SUMPRODUCT((MOVIMIENTOS!$B$5:$B$1005="DEVOLUCIÓN")*(MOVIMIENTOS!$C$5:$C$1005="C")*(MOVIMIENTOS!$D$5:$D$1005="jabas")*(MOVIMIENTOS!$A$5:$A$1005&lt;&gt;"")*(MOVIMIENTOS!$A$5:$A$1005&lt;=$A172)*MOVIMIENTOS!$E$5:$E$1005)-SUMPRODUCT((MOVIMIENTOS!$B$5:$B$1005="TRASIEGO")*(MOVIMIENTOS!$C$5:$C$1005="C")*(MOVIMIENTOS!$D$5:$D$1005="jabas")*(MOVIMIENTOS!$A$5:$A$1005&lt;&gt;"")*(MOVIMIENTOS!$A$5:$A$1005&lt;=$A172)*MOVIMIENTOS!$E$5:$E$1005)-SUMPRODUCT((MOVIMIENTOS!$B$5:$B$1005="REGALO")*(MOVIMIENTOS!$C$5:$C$1005="C")*(MOVIMIENTOS!$D$5:$D$1005="jabas")*(MOVIMIENTOS!$A$5:$A$1005&lt;&gt;"")*(MOVIMIENTOS!$A$5:$A$1005&lt;=$A172)*MOVIMIENTOS!$E$5:$E$1005)-SUMPRODUCT((MOVIMIENTOS!$B$5:$B$1005="VENTA")*(MOVIMIENTOS!$C$5:$C$1005="C")*(MOVIMIENTOS!$D$5:$D$1005="jabas")*(MOVIMIENTOS!$A$5:$A$1005&lt;&gt;"")*(MOVIMIENTOS!$A$5:$A$1005&lt;=$A172)*MOVIMIENTOS!$E$5:$E$1005)+SUMPRODUCT((MOVIMIENTOS!$B$5:$B$1005="AJUSTE")*(MOVIMIENTOS!$C$5:$C$1005="C")*(MOVIMIENTOS!$D$5:$D$1005="jabas")*(MOVIMIENTOS!$A$5:$A$1005&lt;&gt;"")*(MOVIMIENTOS!$A$5:$A$1005&lt;=$A172)*MOVIMIENTOS!$E$5:$E$1005))</f>
        <v/>
      </c>
      <c r="E172" s="63" t="str">
        <f>IF($A172="","",SUMPRODUCT((MOVIMIENTOS!$B$5:$B$1005="SALDO INICIAL")*(MOVIMIENTOS!$C$5:$C$1005="M")*(MOVIMIENTOS!$D$5:$D$1005="jabas")*(MOVIMIENTOS!$A$5:$A$1005&lt;&gt;"")*(MOVIMIENTOS!$A$5:$A$1005&lt;=$A172)*MOVIMIENTOS!$E$5:$E$1005)+SUMPRODUCT((MOVIMIENTOS!$B$5:$B$1005="PROCESO")*(MOVIMIENTOS!$C$5:$C$1005="M")*(MOVIMIENTOS!$D$5:$D$1005="jabas")*(MOVIMIENTOS!$A$5:$A$1005&lt;&gt;"")*(MOVIMIENTOS!$A$5:$A$1005&lt;=$A172)*MOVIMIENTOS!$E$5:$E$1005)-SUMPRODUCT((MOVIMIENTOS!$B$5:$B$1005="ENVÍO A SUPESA")*(MOVIMIENTOS!$C$5:$C$1005="M")*(MOVIMIENTOS!$D$5:$D$1005="jabas")*(MOVIMIENTOS!$A$5:$A$1005&lt;&gt;"")*(MOVIMIENTOS!$A$5:$A$1005&lt;=$A172)*MOVIMIENTOS!$E$5:$E$1005)+SUMPRODUCT((MOVIMIENTOS!$B$5:$B$1005="DEVOLUCIÓN")*(MOVIMIENTOS!$C$5:$C$1005="M")*(MOVIMIENTOS!$D$5:$D$1005="jabas")*(MOVIMIENTOS!$A$5:$A$1005&lt;&gt;"")*(MOVIMIENTOS!$A$5:$A$1005&lt;=$A172)*MOVIMIENTOS!$E$5:$E$1005)-SUMPRODUCT((MOVIMIENTOS!$B$5:$B$1005="TRASIEGO")*(MOVIMIENTOS!$C$5:$C$1005="M")*(MOVIMIENTOS!$D$5:$D$1005="jabas")*(MOVIMIENTOS!$A$5:$A$1005&lt;&gt;"")*(MOVIMIENTOS!$A$5:$A$1005&lt;=$A172)*MOVIMIENTOS!$E$5:$E$1005)-SUMPRODUCT((MOVIMIENTOS!$B$5:$B$1005="REGALO")*(MOVIMIENTOS!$C$5:$C$1005="M")*(MOVIMIENTOS!$D$5:$D$1005="jabas")*(MOVIMIENTOS!$A$5:$A$1005&lt;&gt;"")*(MOVIMIENTOS!$A$5:$A$1005&lt;=$A172)*MOVIMIENTOS!$E$5:$E$1005)-SUMPRODUCT((MOVIMIENTOS!$B$5:$B$1005="VENTA")*(MOVIMIENTOS!$C$5:$C$1005="M")*(MOVIMIENTOS!$D$5:$D$1005="jabas")*(MOVIMIENTOS!$A$5:$A$1005&lt;&gt;"")*(MOVIMIENTOS!$A$5:$A$1005&lt;=$A172)*MOVIMIENTOS!$E$5:$E$1005)+SUMPRODUCT((MOVIMIENTOS!$B$5:$B$1005="AJUSTE")*(MOVIMIENTOS!$C$5:$C$1005="M")*(MOVIMIENTOS!$D$5:$D$1005="jabas")*(MOVIMIENTOS!$A$5:$A$1005&lt;&gt;"")*(MOVIMIENTOS!$A$5:$A$1005&lt;=$A172)*MOVIMIENTOS!$E$5:$E$1005))</f>
        <v/>
      </c>
      <c r="F172" s="63" t="str">
        <f>IF($A172="","",SUMPRODUCT((MOVIMIENTOS!$B$5:$B$1005="SALDO INICIAL")*(MOVIMIENTOS!$C$5:$C$1005="Chancho")*(MOVIMIENTOS!$D$5:$D$1005="sacos")*(MOVIMIENTOS!$A$5:$A$1005&lt;&gt;"")*(MOVIMIENTOS!$A$5:$A$1005&lt;=$A172)*MOVIMIENTOS!$E$5:$E$1005)+SUMPRODUCT((MOVIMIENTOS!$B$5:$B$1005="PROCESO")*(MOVIMIENTOS!$C$5:$C$1005="Chancho")*(MOVIMIENTOS!$D$5:$D$1005="sacos")*(MOVIMIENTOS!$A$5:$A$1005&lt;&gt;"")*(MOVIMIENTOS!$A$5:$A$1005&lt;=$A172)*MOVIMIENTOS!$E$5:$E$1005)-SUMPRODUCT((MOVIMIENTOS!$B$5:$B$1005="VENTA CHANCHO")*(MOVIMIENTOS!$C$5:$C$1005="Chancho")*(MOVIMIENTOS!$D$5:$D$1005="sacos")*(MOVIMIENTOS!$A$5:$A$1005&lt;&gt;"")*(MOVIMIENTOS!$A$5:$A$1005&lt;=$A172)*MOVIMIENTOS!$E$5:$E$1005)-SUMPRODUCT((MOVIMIENTOS!$B$5:$B$1005="REGALO")*(MOVIMIENTOS!$C$5:$C$1005="Chancho")*(MOVIMIENTOS!$D$5:$D$1005="sacos")*(MOVIMIENTOS!$A$5:$A$1005&lt;&gt;"")*(MOVIMIENTOS!$A$5:$A$1005&lt;=$A172)*MOVIMIENTOS!$E$5:$E$1005)-SUMPRODUCT((MOVIMIENTOS!$B$5:$B$1005="VENTA")*(MOVIMIENTOS!$C$5:$C$1005="Chancho")*(MOVIMIENTOS!$D$5:$D$1005="sacos")*(MOVIMIENTOS!$A$5:$A$1005&lt;&gt;"")*(MOVIMIENTOS!$A$5:$A$1005&lt;=$A172)*MOVIMIENTOS!$E$5:$E$1005)+SUMPRODUCT((MOVIMIENTOS!$B$5:$B$1005="AJUSTE")*(MOVIMIENTOS!$C$5:$C$1005="Chancho")*(MOVIMIENTOS!$D$5:$D$1005="sacos")*(MOVIMIENTOS!$A$5:$A$1005&lt;&gt;"")*(MOVIMIENTOS!$A$5:$A$1005&lt;=$A172)*MOVIMIENTOS!$E$5:$E$1005))</f>
        <v/>
      </c>
      <c r="G172" s="95" t="str">
        <f t="shared" si="5"/>
        <v/>
      </c>
      <c r="H172" s="63" t="str">
        <f>IF($A172="","",SUMPRODUCT((((MOVIMIENTOS!$B$5:$B$1005="SALDO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172)*MOVIMIENTOS!$J$5:$J$1005))</f>
        <v/>
      </c>
      <c r="I172" s="63"/>
      <c r="J172" s="63" t="str">
        <f>IF(AND(MOVIMIENTOS!$A172&lt;&gt;"",COUNTIF(MOVIMIENTOS!$A$5:$A171,MOVIMIENTOS!$A172)=0),COUNT(J$4:J171)+1,"")</f>
        <v/>
      </c>
      <c r="K172" s="66">
        <f>MOVIMIENTOS!$A172</f>
        <v>46228</v>
      </c>
      <c r="L172" s="63"/>
      <c r="M172" s="63"/>
      <c r="N172" s="63"/>
    </row>
    <row r="173" spans="1:14" ht="15" customHeight="1" x14ac:dyDescent="0.2">
      <c r="A173" s="63" t="str">
        <f t="shared" si="4"/>
        <v/>
      </c>
      <c r="B173" s="63" t="str">
        <f>IF($A173="","",SUMPRODUCT((MOVIMIENTOS!$B$5:$B$1005="SALDO INICIAL")*(MOVIMIENTOS!$C$5:$C$1005="A")*(MOVIMIENTOS!$D$5:$D$1005="jabas")*(MOVIMIENTOS!$A$5:$A$1005&lt;&gt;"")*(MOVIMIENTOS!$A$5:$A$1005&lt;=$A173)*MOVIMIENTOS!$E$5:$E$1005)+SUMPRODUCT((MOVIMIENTOS!$B$5:$B$1005="PROCESO")*(MOVIMIENTOS!$C$5:$C$1005="A")*(MOVIMIENTOS!$D$5:$D$1005="jabas")*(MOVIMIENTOS!$A$5:$A$1005&lt;&gt;"")*(MOVIMIENTOS!$A$5:$A$1005&lt;=$A173)*MOVIMIENTOS!$E$5:$E$1005)-SUMPRODUCT((MOVIMIENTOS!$B$5:$B$1005="ENVÍO A SUPESA")*(MOVIMIENTOS!$C$5:$C$1005="A")*(MOVIMIENTOS!$D$5:$D$1005="jabas")*(MOVIMIENTOS!$A$5:$A$1005&lt;&gt;"")*(MOVIMIENTOS!$A$5:$A$1005&lt;=$A173)*MOVIMIENTOS!$E$5:$E$1005)+SUMPRODUCT((MOVIMIENTOS!$B$5:$B$1005="DEVOLUCIÓN")*(MOVIMIENTOS!$C$5:$C$1005="A")*(MOVIMIENTOS!$D$5:$D$1005="jabas")*(MOVIMIENTOS!$A$5:$A$1005&lt;&gt;"")*(MOVIMIENTOS!$A$5:$A$1005&lt;=$A173)*MOVIMIENTOS!$E$5:$E$1005)-SUMPRODUCT((MOVIMIENTOS!$B$5:$B$1005="TRASIEGO")*(MOVIMIENTOS!$C$5:$C$1005="A")*(MOVIMIENTOS!$D$5:$D$1005="jabas")*(MOVIMIENTOS!$A$5:$A$1005&lt;&gt;"")*(MOVIMIENTOS!$A$5:$A$1005&lt;=$A173)*MOVIMIENTOS!$E$5:$E$1005)-SUMPRODUCT((MOVIMIENTOS!$B$5:$B$1005="REGALO")*(MOVIMIENTOS!$C$5:$C$1005="A")*(MOVIMIENTOS!$D$5:$D$1005="jabas")*(MOVIMIENTOS!$A$5:$A$1005&lt;&gt;"")*(MOVIMIENTOS!$A$5:$A$1005&lt;=$A173)*MOVIMIENTOS!$E$5:$E$1005)-SUMPRODUCT((MOVIMIENTOS!$B$5:$B$1005="VENTA")*(MOVIMIENTOS!$C$5:$C$1005="A")*(MOVIMIENTOS!$D$5:$D$1005="jabas")*(MOVIMIENTOS!$A$5:$A$1005&lt;&gt;"")*(MOVIMIENTOS!$A$5:$A$1005&lt;=$A173)*MOVIMIENTOS!$E$5:$E$1005)+SUMPRODUCT((MOVIMIENTOS!$B$5:$B$1005="AJUSTE")*(MOVIMIENTOS!$C$5:$C$1005="A")*(MOVIMIENTOS!$D$5:$D$1005="jabas")*(MOVIMIENTOS!$A$5:$A$1005&lt;&gt;"")*(MOVIMIENTOS!$A$5:$A$1005&lt;=$A173)*MOVIMIENTOS!$E$5:$E$1005))</f>
        <v/>
      </c>
      <c r="C173" s="63" t="str">
        <f>IF($A173="","",SUMPRODUCT((MOVIMIENTOS!$B$5:$B$1005="SALDO INICIAL")*(MOVIMIENTOS!$C$5:$C$1005="P")*(MOVIMIENTOS!$D$5:$D$1005="jabas")*(MOVIMIENTOS!$A$5:$A$1005&lt;&gt;"")*(MOVIMIENTOS!$A$5:$A$1005&lt;=$A173)*MOVIMIENTOS!$E$5:$E$1005)+SUMPRODUCT((MOVIMIENTOS!$B$5:$B$1005="PROCESO")*(MOVIMIENTOS!$C$5:$C$1005="P")*(MOVIMIENTOS!$D$5:$D$1005="jabas")*(MOVIMIENTOS!$A$5:$A$1005&lt;&gt;"")*(MOVIMIENTOS!$A$5:$A$1005&lt;=$A173)*MOVIMIENTOS!$E$5:$E$1005)-SUMPRODUCT((MOVIMIENTOS!$B$5:$B$1005="ENVÍO A SUPESA")*(MOVIMIENTOS!$C$5:$C$1005="P")*(MOVIMIENTOS!$D$5:$D$1005="jabas")*(MOVIMIENTOS!$A$5:$A$1005&lt;&gt;"")*(MOVIMIENTOS!$A$5:$A$1005&lt;=$A173)*MOVIMIENTOS!$E$5:$E$1005)+SUMPRODUCT((MOVIMIENTOS!$B$5:$B$1005="DEVOLUCIÓN")*(MOVIMIENTOS!$C$5:$C$1005="P")*(MOVIMIENTOS!$D$5:$D$1005="jabas")*(MOVIMIENTOS!$A$5:$A$1005&lt;&gt;"")*(MOVIMIENTOS!$A$5:$A$1005&lt;=$A173)*MOVIMIENTOS!$E$5:$E$1005)-SUMPRODUCT((MOVIMIENTOS!$B$5:$B$1005="TRASIEGO")*(MOVIMIENTOS!$C$5:$C$1005="P")*(MOVIMIENTOS!$D$5:$D$1005="jabas")*(MOVIMIENTOS!$A$5:$A$1005&lt;&gt;"")*(MOVIMIENTOS!$A$5:$A$1005&lt;=$A173)*MOVIMIENTOS!$E$5:$E$1005)-SUMPRODUCT((MOVIMIENTOS!$B$5:$B$1005="REGALO")*(MOVIMIENTOS!$C$5:$C$1005="P")*(MOVIMIENTOS!$D$5:$D$1005="jabas")*(MOVIMIENTOS!$A$5:$A$1005&lt;&gt;"")*(MOVIMIENTOS!$A$5:$A$1005&lt;=$A173)*MOVIMIENTOS!$E$5:$E$1005)-SUMPRODUCT((MOVIMIENTOS!$B$5:$B$1005="VENTA")*(MOVIMIENTOS!$C$5:$C$1005="P")*(MOVIMIENTOS!$D$5:$D$1005="jabas")*(MOVIMIENTOS!$A$5:$A$1005&lt;&gt;"")*(MOVIMIENTOS!$A$5:$A$1005&lt;=$A173)*MOVIMIENTOS!$E$5:$E$1005)+SUMPRODUCT((MOVIMIENTOS!$B$5:$B$1005="AJUSTE")*(MOVIMIENTOS!$C$5:$C$1005="P")*(MOVIMIENTOS!$D$5:$D$1005="jabas")*(MOVIMIENTOS!$A$5:$A$1005&lt;&gt;"")*(MOVIMIENTOS!$A$5:$A$1005&lt;=$A173)*MOVIMIENTOS!$E$5:$E$1005))</f>
        <v/>
      </c>
      <c r="D173" s="63" t="str">
        <f>IF($A173="","",SUMPRODUCT((MOVIMIENTOS!$B$5:$B$1005="SALDO INICIAL")*(MOVIMIENTOS!$C$5:$C$1005="C")*(MOVIMIENTOS!$D$5:$D$1005="jabas")*(MOVIMIENTOS!$A$5:$A$1005&lt;&gt;"")*(MOVIMIENTOS!$A$5:$A$1005&lt;=$A173)*MOVIMIENTOS!$E$5:$E$1005)+SUMPRODUCT((MOVIMIENTOS!$B$5:$B$1005="PROCESO")*(MOVIMIENTOS!$C$5:$C$1005="C")*(MOVIMIENTOS!$D$5:$D$1005="jabas")*(MOVIMIENTOS!$A$5:$A$1005&lt;&gt;"")*(MOVIMIENTOS!$A$5:$A$1005&lt;=$A173)*MOVIMIENTOS!$E$5:$E$1005)-SUMPRODUCT((MOVIMIENTOS!$B$5:$B$1005="ENVÍO A SUPESA")*(MOVIMIENTOS!$C$5:$C$1005="C")*(MOVIMIENTOS!$D$5:$D$1005="jabas")*(MOVIMIENTOS!$A$5:$A$1005&lt;&gt;"")*(MOVIMIENTOS!$A$5:$A$1005&lt;=$A173)*MOVIMIENTOS!$E$5:$E$1005)+SUMPRODUCT((MOVIMIENTOS!$B$5:$B$1005="DEVOLUCIÓN")*(MOVIMIENTOS!$C$5:$C$1005="C")*(MOVIMIENTOS!$D$5:$D$1005="jabas")*(MOVIMIENTOS!$A$5:$A$1005&lt;&gt;"")*(MOVIMIENTOS!$A$5:$A$1005&lt;=$A173)*MOVIMIENTOS!$E$5:$E$1005)-SUMPRODUCT((MOVIMIENTOS!$B$5:$B$1005="TRASIEGO")*(MOVIMIENTOS!$C$5:$C$1005="C")*(MOVIMIENTOS!$D$5:$D$1005="jabas")*(MOVIMIENTOS!$A$5:$A$1005&lt;&gt;"")*(MOVIMIENTOS!$A$5:$A$1005&lt;=$A173)*MOVIMIENTOS!$E$5:$E$1005)-SUMPRODUCT((MOVIMIENTOS!$B$5:$B$1005="REGALO")*(MOVIMIENTOS!$C$5:$C$1005="C")*(MOVIMIENTOS!$D$5:$D$1005="jabas")*(MOVIMIENTOS!$A$5:$A$1005&lt;&gt;"")*(MOVIMIENTOS!$A$5:$A$1005&lt;=$A173)*MOVIMIENTOS!$E$5:$E$1005)-SUMPRODUCT((MOVIMIENTOS!$B$5:$B$1005="VENTA")*(MOVIMIENTOS!$C$5:$C$1005="C")*(MOVIMIENTOS!$D$5:$D$1005="jabas")*(MOVIMIENTOS!$A$5:$A$1005&lt;&gt;"")*(MOVIMIENTOS!$A$5:$A$1005&lt;=$A173)*MOVIMIENTOS!$E$5:$E$1005)+SUMPRODUCT((MOVIMIENTOS!$B$5:$B$1005="AJUSTE")*(MOVIMIENTOS!$C$5:$C$1005="C")*(MOVIMIENTOS!$D$5:$D$1005="jabas")*(MOVIMIENTOS!$A$5:$A$1005&lt;&gt;"")*(MOVIMIENTOS!$A$5:$A$1005&lt;=$A173)*MOVIMIENTOS!$E$5:$E$1005))</f>
        <v/>
      </c>
      <c r="E173" s="63" t="str">
        <f>IF($A173="","",SUMPRODUCT((MOVIMIENTOS!$B$5:$B$1005="SALDO INICIAL")*(MOVIMIENTOS!$C$5:$C$1005="M")*(MOVIMIENTOS!$D$5:$D$1005="jabas")*(MOVIMIENTOS!$A$5:$A$1005&lt;&gt;"")*(MOVIMIENTOS!$A$5:$A$1005&lt;=$A173)*MOVIMIENTOS!$E$5:$E$1005)+SUMPRODUCT((MOVIMIENTOS!$B$5:$B$1005="PROCESO")*(MOVIMIENTOS!$C$5:$C$1005="M")*(MOVIMIENTOS!$D$5:$D$1005="jabas")*(MOVIMIENTOS!$A$5:$A$1005&lt;&gt;"")*(MOVIMIENTOS!$A$5:$A$1005&lt;=$A173)*MOVIMIENTOS!$E$5:$E$1005)-SUMPRODUCT((MOVIMIENTOS!$B$5:$B$1005="ENVÍO A SUPESA")*(MOVIMIENTOS!$C$5:$C$1005="M")*(MOVIMIENTOS!$D$5:$D$1005="jabas")*(MOVIMIENTOS!$A$5:$A$1005&lt;&gt;"")*(MOVIMIENTOS!$A$5:$A$1005&lt;=$A173)*MOVIMIENTOS!$E$5:$E$1005)+SUMPRODUCT((MOVIMIENTOS!$B$5:$B$1005="DEVOLUCIÓN")*(MOVIMIENTOS!$C$5:$C$1005="M")*(MOVIMIENTOS!$D$5:$D$1005="jabas")*(MOVIMIENTOS!$A$5:$A$1005&lt;&gt;"")*(MOVIMIENTOS!$A$5:$A$1005&lt;=$A173)*MOVIMIENTOS!$E$5:$E$1005)-SUMPRODUCT((MOVIMIENTOS!$B$5:$B$1005="TRASIEGO")*(MOVIMIENTOS!$C$5:$C$1005="M")*(MOVIMIENTOS!$D$5:$D$1005="jabas")*(MOVIMIENTOS!$A$5:$A$1005&lt;&gt;"")*(MOVIMIENTOS!$A$5:$A$1005&lt;=$A173)*MOVIMIENTOS!$E$5:$E$1005)-SUMPRODUCT((MOVIMIENTOS!$B$5:$B$1005="REGALO")*(MOVIMIENTOS!$C$5:$C$1005="M")*(MOVIMIENTOS!$D$5:$D$1005="jabas")*(MOVIMIENTOS!$A$5:$A$1005&lt;&gt;"")*(MOVIMIENTOS!$A$5:$A$1005&lt;=$A173)*MOVIMIENTOS!$E$5:$E$1005)-SUMPRODUCT((MOVIMIENTOS!$B$5:$B$1005="VENTA")*(MOVIMIENTOS!$C$5:$C$1005="M")*(MOVIMIENTOS!$D$5:$D$1005="jabas")*(MOVIMIENTOS!$A$5:$A$1005&lt;&gt;"")*(MOVIMIENTOS!$A$5:$A$1005&lt;=$A173)*MOVIMIENTOS!$E$5:$E$1005)+SUMPRODUCT((MOVIMIENTOS!$B$5:$B$1005="AJUSTE")*(MOVIMIENTOS!$C$5:$C$1005="M")*(MOVIMIENTOS!$D$5:$D$1005="jabas")*(MOVIMIENTOS!$A$5:$A$1005&lt;&gt;"")*(MOVIMIENTOS!$A$5:$A$1005&lt;=$A173)*MOVIMIENTOS!$E$5:$E$1005))</f>
        <v/>
      </c>
      <c r="F173" s="63" t="str">
        <f>IF($A173="","",SUMPRODUCT((MOVIMIENTOS!$B$5:$B$1005="SALDO INICIAL")*(MOVIMIENTOS!$C$5:$C$1005="Chancho")*(MOVIMIENTOS!$D$5:$D$1005="sacos")*(MOVIMIENTOS!$A$5:$A$1005&lt;&gt;"")*(MOVIMIENTOS!$A$5:$A$1005&lt;=$A173)*MOVIMIENTOS!$E$5:$E$1005)+SUMPRODUCT((MOVIMIENTOS!$B$5:$B$1005="PROCESO")*(MOVIMIENTOS!$C$5:$C$1005="Chancho")*(MOVIMIENTOS!$D$5:$D$1005="sacos")*(MOVIMIENTOS!$A$5:$A$1005&lt;&gt;"")*(MOVIMIENTOS!$A$5:$A$1005&lt;=$A173)*MOVIMIENTOS!$E$5:$E$1005)-SUMPRODUCT((MOVIMIENTOS!$B$5:$B$1005="VENTA CHANCHO")*(MOVIMIENTOS!$C$5:$C$1005="Chancho")*(MOVIMIENTOS!$D$5:$D$1005="sacos")*(MOVIMIENTOS!$A$5:$A$1005&lt;&gt;"")*(MOVIMIENTOS!$A$5:$A$1005&lt;=$A173)*MOVIMIENTOS!$E$5:$E$1005)-SUMPRODUCT((MOVIMIENTOS!$B$5:$B$1005="REGALO")*(MOVIMIENTOS!$C$5:$C$1005="Chancho")*(MOVIMIENTOS!$D$5:$D$1005="sacos")*(MOVIMIENTOS!$A$5:$A$1005&lt;&gt;"")*(MOVIMIENTOS!$A$5:$A$1005&lt;=$A173)*MOVIMIENTOS!$E$5:$E$1005)-SUMPRODUCT((MOVIMIENTOS!$B$5:$B$1005="VENTA")*(MOVIMIENTOS!$C$5:$C$1005="Chancho")*(MOVIMIENTOS!$D$5:$D$1005="sacos")*(MOVIMIENTOS!$A$5:$A$1005&lt;&gt;"")*(MOVIMIENTOS!$A$5:$A$1005&lt;=$A173)*MOVIMIENTOS!$E$5:$E$1005)+SUMPRODUCT((MOVIMIENTOS!$B$5:$B$1005="AJUSTE")*(MOVIMIENTOS!$C$5:$C$1005="Chancho")*(MOVIMIENTOS!$D$5:$D$1005="sacos")*(MOVIMIENTOS!$A$5:$A$1005&lt;&gt;"")*(MOVIMIENTOS!$A$5:$A$1005&lt;=$A173)*MOVIMIENTOS!$E$5:$E$1005))</f>
        <v/>
      </c>
      <c r="G173" s="95" t="str">
        <f t="shared" si="5"/>
        <v/>
      </c>
      <c r="H173" s="63" t="str">
        <f>IF($A173="","",SUMPRODUCT((((MOVIMIENTOS!$B$5:$B$1005="SALDO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173)*MOVIMIENTOS!$J$5:$J$1005))</f>
        <v/>
      </c>
      <c r="I173" s="63"/>
      <c r="J173" s="63" t="str">
        <f>IF(AND(MOVIMIENTOS!$A173&lt;&gt;"",COUNTIF(MOVIMIENTOS!$A$5:$A172,MOVIMIENTOS!$A173)=0),COUNT(J$4:J172)+1,"")</f>
        <v/>
      </c>
      <c r="K173" s="66">
        <f>MOVIMIENTOS!$A173</f>
        <v>46228</v>
      </c>
      <c r="L173" s="63"/>
      <c r="M173" s="63"/>
      <c r="N173" s="63"/>
    </row>
    <row r="174" spans="1:14" ht="15" customHeight="1" x14ac:dyDescent="0.2">
      <c r="A174" s="63" t="str">
        <f t="shared" si="4"/>
        <v/>
      </c>
      <c r="B174" s="63" t="str">
        <f>IF($A174="","",SUMPRODUCT((MOVIMIENTOS!$B$5:$B$1005="SALDO INICIAL")*(MOVIMIENTOS!$C$5:$C$1005="A")*(MOVIMIENTOS!$D$5:$D$1005="jabas")*(MOVIMIENTOS!$A$5:$A$1005&lt;&gt;"")*(MOVIMIENTOS!$A$5:$A$1005&lt;=$A174)*MOVIMIENTOS!$E$5:$E$1005)+SUMPRODUCT((MOVIMIENTOS!$B$5:$B$1005="PROCESO")*(MOVIMIENTOS!$C$5:$C$1005="A")*(MOVIMIENTOS!$D$5:$D$1005="jabas")*(MOVIMIENTOS!$A$5:$A$1005&lt;&gt;"")*(MOVIMIENTOS!$A$5:$A$1005&lt;=$A174)*MOVIMIENTOS!$E$5:$E$1005)-SUMPRODUCT((MOVIMIENTOS!$B$5:$B$1005="ENVÍO A SUPESA")*(MOVIMIENTOS!$C$5:$C$1005="A")*(MOVIMIENTOS!$D$5:$D$1005="jabas")*(MOVIMIENTOS!$A$5:$A$1005&lt;&gt;"")*(MOVIMIENTOS!$A$5:$A$1005&lt;=$A174)*MOVIMIENTOS!$E$5:$E$1005)+SUMPRODUCT((MOVIMIENTOS!$B$5:$B$1005="DEVOLUCIÓN")*(MOVIMIENTOS!$C$5:$C$1005="A")*(MOVIMIENTOS!$D$5:$D$1005="jabas")*(MOVIMIENTOS!$A$5:$A$1005&lt;&gt;"")*(MOVIMIENTOS!$A$5:$A$1005&lt;=$A174)*MOVIMIENTOS!$E$5:$E$1005)-SUMPRODUCT((MOVIMIENTOS!$B$5:$B$1005="TRASIEGO")*(MOVIMIENTOS!$C$5:$C$1005="A")*(MOVIMIENTOS!$D$5:$D$1005="jabas")*(MOVIMIENTOS!$A$5:$A$1005&lt;&gt;"")*(MOVIMIENTOS!$A$5:$A$1005&lt;=$A174)*MOVIMIENTOS!$E$5:$E$1005)-SUMPRODUCT((MOVIMIENTOS!$B$5:$B$1005="REGALO")*(MOVIMIENTOS!$C$5:$C$1005="A")*(MOVIMIENTOS!$D$5:$D$1005="jabas")*(MOVIMIENTOS!$A$5:$A$1005&lt;&gt;"")*(MOVIMIENTOS!$A$5:$A$1005&lt;=$A174)*MOVIMIENTOS!$E$5:$E$1005)-SUMPRODUCT((MOVIMIENTOS!$B$5:$B$1005="VENTA")*(MOVIMIENTOS!$C$5:$C$1005="A")*(MOVIMIENTOS!$D$5:$D$1005="jabas")*(MOVIMIENTOS!$A$5:$A$1005&lt;&gt;"")*(MOVIMIENTOS!$A$5:$A$1005&lt;=$A174)*MOVIMIENTOS!$E$5:$E$1005)+SUMPRODUCT((MOVIMIENTOS!$B$5:$B$1005="AJUSTE")*(MOVIMIENTOS!$C$5:$C$1005="A")*(MOVIMIENTOS!$D$5:$D$1005="jabas")*(MOVIMIENTOS!$A$5:$A$1005&lt;&gt;"")*(MOVIMIENTOS!$A$5:$A$1005&lt;=$A174)*MOVIMIENTOS!$E$5:$E$1005))</f>
        <v/>
      </c>
      <c r="C174" s="63" t="str">
        <f>IF($A174="","",SUMPRODUCT((MOVIMIENTOS!$B$5:$B$1005="SALDO INICIAL")*(MOVIMIENTOS!$C$5:$C$1005="P")*(MOVIMIENTOS!$D$5:$D$1005="jabas")*(MOVIMIENTOS!$A$5:$A$1005&lt;&gt;"")*(MOVIMIENTOS!$A$5:$A$1005&lt;=$A174)*MOVIMIENTOS!$E$5:$E$1005)+SUMPRODUCT((MOVIMIENTOS!$B$5:$B$1005="PROCESO")*(MOVIMIENTOS!$C$5:$C$1005="P")*(MOVIMIENTOS!$D$5:$D$1005="jabas")*(MOVIMIENTOS!$A$5:$A$1005&lt;&gt;"")*(MOVIMIENTOS!$A$5:$A$1005&lt;=$A174)*MOVIMIENTOS!$E$5:$E$1005)-SUMPRODUCT((MOVIMIENTOS!$B$5:$B$1005="ENVÍO A SUPESA")*(MOVIMIENTOS!$C$5:$C$1005="P")*(MOVIMIENTOS!$D$5:$D$1005="jabas")*(MOVIMIENTOS!$A$5:$A$1005&lt;&gt;"")*(MOVIMIENTOS!$A$5:$A$1005&lt;=$A174)*MOVIMIENTOS!$E$5:$E$1005)+SUMPRODUCT((MOVIMIENTOS!$B$5:$B$1005="DEVOLUCIÓN")*(MOVIMIENTOS!$C$5:$C$1005="P")*(MOVIMIENTOS!$D$5:$D$1005="jabas")*(MOVIMIENTOS!$A$5:$A$1005&lt;&gt;"")*(MOVIMIENTOS!$A$5:$A$1005&lt;=$A174)*MOVIMIENTOS!$E$5:$E$1005)-SUMPRODUCT((MOVIMIENTOS!$B$5:$B$1005="TRASIEGO")*(MOVIMIENTOS!$C$5:$C$1005="P")*(MOVIMIENTOS!$D$5:$D$1005="jabas")*(MOVIMIENTOS!$A$5:$A$1005&lt;&gt;"")*(MOVIMIENTOS!$A$5:$A$1005&lt;=$A174)*MOVIMIENTOS!$E$5:$E$1005)-SUMPRODUCT((MOVIMIENTOS!$B$5:$B$1005="REGALO")*(MOVIMIENTOS!$C$5:$C$1005="P")*(MOVIMIENTOS!$D$5:$D$1005="jabas")*(MOVIMIENTOS!$A$5:$A$1005&lt;&gt;"")*(MOVIMIENTOS!$A$5:$A$1005&lt;=$A174)*MOVIMIENTOS!$E$5:$E$1005)-SUMPRODUCT((MOVIMIENTOS!$B$5:$B$1005="VENTA")*(MOVIMIENTOS!$C$5:$C$1005="P")*(MOVIMIENTOS!$D$5:$D$1005="jabas")*(MOVIMIENTOS!$A$5:$A$1005&lt;&gt;"")*(MOVIMIENTOS!$A$5:$A$1005&lt;=$A174)*MOVIMIENTOS!$E$5:$E$1005)+SUMPRODUCT((MOVIMIENTOS!$B$5:$B$1005="AJUSTE")*(MOVIMIENTOS!$C$5:$C$1005="P")*(MOVIMIENTOS!$D$5:$D$1005="jabas")*(MOVIMIENTOS!$A$5:$A$1005&lt;&gt;"")*(MOVIMIENTOS!$A$5:$A$1005&lt;=$A174)*MOVIMIENTOS!$E$5:$E$1005))</f>
        <v/>
      </c>
      <c r="D174" s="63" t="str">
        <f>IF($A174="","",SUMPRODUCT((MOVIMIENTOS!$B$5:$B$1005="SALDO INICIAL")*(MOVIMIENTOS!$C$5:$C$1005="C")*(MOVIMIENTOS!$D$5:$D$1005="jabas")*(MOVIMIENTOS!$A$5:$A$1005&lt;&gt;"")*(MOVIMIENTOS!$A$5:$A$1005&lt;=$A174)*MOVIMIENTOS!$E$5:$E$1005)+SUMPRODUCT((MOVIMIENTOS!$B$5:$B$1005="PROCESO")*(MOVIMIENTOS!$C$5:$C$1005="C")*(MOVIMIENTOS!$D$5:$D$1005="jabas")*(MOVIMIENTOS!$A$5:$A$1005&lt;&gt;"")*(MOVIMIENTOS!$A$5:$A$1005&lt;=$A174)*MOVIMIENTOS!$E$5:$E$1005)-SUMPRODUCT((MOVIMIENTOS!$B$5:$B$1005="ENVÍO A SUPESA")*(MOVIMIENTOS!$C$5:$C$1005="C")*(MOVIMIENTOS!$D$5:$D$1005="jabas")*(MOVIMIENTOS!$A$5:$A$1005&lt;&gt;"")*(MOVIMIENTOS!$A$5:$A$1005&lt;=$A174)*MOVIMIENTOS!$E$5:$E$1005)+SUMPRODUCT((MOVIMIENTOS!$B$5:$B$1005="DEVOLUCIÓN")*(MOVIMIENTOS!$C$5:$C$1005="C")*(MOVIMIENTOS!$D$5:$D$1005="jabas")*(MOVIMIENTOS!$A$5:$A$1005&lt;&gt;"")*(MOVIMIENTOS!$A$5:$A$1005&lt;=$A174)*MOVIMIENTOS!$E$5:$E$1005)-SUMPRODUCT((MOVIMIENTOS!$B$5:$B$1005="TRASIEGO")*(MOVIMIENTOS!$C$5:$C$1005="C")*(MOVIMIENTOS!$D$5:$D$1005="jabas")*(MOVIMIENTOS!$A$5:$A$1005&lt;&gt;"")*(MOVIMIENTOS!$A$5:$A$1005&lt;=$A174)*MOVIMIENTOS!$E$5:$E$1005)-SUMPRODUCT((MOVIMIENTOS!$B$5:$B$1005="REGALO")*(MOVIMIENTOS!$C$5:$C$1005="C")*(MOVIMIENTOS!$D$5:$D$1005="jabas")*(MOVIMIENTOS!$A$5:$A$1005&lt;&gt;"")*(MOVIMIENTOS!$A$5:$A$1005&lt;=$A174)*MOVIMIENTOS!$E$5:$E$1005)-SUMPRODUCT((MOVIMIENTOS!$B$5:$B$1005="VENTA")*(MOVIMIENTOS!$C$5:$C$1005="C")*(MOVIMIENTOS!$D$5:$D$1005="jabas")*(MOVIMIENTOS!$A$5:$A$1005&lt;&gt;"")*(MOVIMIENTOS!$A$5:$A$1005&lt;=$A174)*MOVIMIENTOS!$E$5:$E$1005)+SUMPRODUCT((MOVIMIENTOS!$B$5:$B$1005="AJUSTE")*(MOVIMIENTOS!$C$5:$C$1005="C")*(MOVIMIENTOS!$D$5:$D$1005="jabas")*(MOVIMIENTOS!$A$5:$A$1005&lt;&gt;"")*(MOVIMIENTOS!$A$5:$A$1005&lt;=$A174)*MOVIMIENTOS!$E$5:$E$1005))</f>
        <v/>
      </c>
      <c r="E174" s="63" t="str">
        <f>IF($A174="","",SUMPRODUCT((MOVIMIENTOS!$B$5:$B$1005="SALDO INICIAL")*(MOVIMIENTOS!$C$5:$C$1005="M")*(MOVIMIENTOS!$D$5:$D$1005="jabas")*(MOVIMIENTOS!$A$5:$A$1005&lt;&gt;"")*(MOVIMIENTOS!$A$5:$A$1005&lt;=$A174)*MOVIMIENTOS!$E$5:$E$1005)+SUMPRODUCT((MOVIMIENTOS!$B$5:$B$1005="PROCESO")*(MOVIMIENTOS!$C$5:$C$1005="M")*(MOVIMIENTOS!$D$5:$D$1005="jabas")*(MOVIMIENTOS!$A$5:$A$1005&lt;&gt;"")*(MOVIMIENTOS!$A$5:$A$1005&lt;=$A174)*MOVIMIENTOS!$E$5:$E$1005)-SUMPRODUCT((MOVIMIENTOS!$B$5:$B$1005="ENVÍO A SUPESA")*(MOVIMIENTOS!$C$5:$C$1005="M")*(MOVIMIENTOS!$D$5:$D$1005="jabas")*(MOVIMIENTOS!$A$5:$A$1005&lt;&gt;"")*(MOVIMIENTOS!$A$5:$A$1005&lt;=$A174)*MOVIMIENTOS!$E$5:$E$1005)+SUMPRODUCT((MOVIMIENTOS!$B$5:$B$1005="DEVOLUCIÓN")*(MOVIMIENTOS!$C$5:$C$1005="M")*(MOVIMIENTOS!$D$5:$D$1005="jabas")*(MOVIMIENTOS!$A$5:$A$1005&lt;&gt;"")*(MOVIMIENTOS!$A$5:$A$1005&lt;=$A174)*MOVIMIENTOS!$E$5:$E$1005)-SUMPRODUCT((MOVIMIENTOS!$B$5:$B$1005="TRASIEGO")*(MOVIMIENTOS!$C$5:$C$1005="M")*(MOVIMIENTOS!$D$5:$D$1005="jabas")*(MOVIMIENTOS!$A$5:$A$1005&lt;&gt;"")*(MOVIMIENTOS!$A$5:$A$1005&lt;=$A174)*MOVIMIENTOS!$E$5:$E$1005)-SUMPRODUCT((MOVIMIENTOS!$B$5:$B$1005="REGALO")*(MOVIMIENTOS!$C$5:$C$1005="M")*(MOVIMIENTOS!$D$5:$D$1005="jabas")*(MOVIMIENTOS!$A$5:$A$1005&lt;&gt;"")*(MOVIMIENTOS!$A$5:$A$1005&lt;=$A174)*MOVIMIENTOS!$E$5:$E$1005)-SUMPRODUCT((MOVIMIENTOS!$B$5:$B$1005="VENTA")*(MOVIMIENTOS!$C$5:$C$1005="M")*(MOVIMIENTOS!$D$5:$D$1005="jabas")*(MOVIMIENTOS!$A$5:$A$1005&lt;&gt;"")*(MOVIMIENTOS!$A$5:$A$1005&lt;=$A174)*MOVIMIENTOS!$E$5:$E$1005)+SUMPRODUCT((MOVIMIENTOS!$B$5:$B$1005="AJUSTE")*(MOVIMIENTOS!$C$5:$C$1005="M")*(MOVIMIENTOS!$D$5:$D$1005="jabas")*(MOVIMIENTOS!$A$5:$A$1005&lt;&gt;"")*(MOVIMIENTOS!$A$5:$A$1005&lt;=$A174)*MOVIMIENTOS!$E$5:$E$1005))</f>
        <v/>
      </c>
      <c r="F174" s="63" t="str">
        <f>IF($A174="","",SUMPRODUCT((MOVIMIENTOS!$B$5:$B$1005="SALDO INICIAL")*(MOVIMIENTOS!$C$5:$C$1005="Chancho")*(MOVIMIENTOS!$D$5:$D$1005="sacos")*(MOVIMIENTOS!$A$5:$A$1005&lt;&gt;"")*(MOVIMIENTOS!$A$5:$A$1005&lt;=$A174)*MOVIMIENTOS!$E$5:$E$1005)+SUMPRODUCT((MOVIMIENTOS!$B$5:$B$1005="PROCESO")*(MOVIMIENTOS!$C$5:$C$1005="Chancho")*(MOVIMIENTOS!$D$5:$D$1005="sacos")*(MOVIMIENTOS!$A$5:$A$1005&lt;&gt;"")*(MOVIMIENTOS!$A$5:$A$1005&lt;=$A174)*MOVIMIENTOS!$E$5:$E$1005)-SUMPRODUCT((MOVIMIENTOS!$B$5:$B$1005="VENTA CHANCHO")*(MOVIMIENTOS!$C$5:$C$1005="Chancho")*(MOVIMIENTOS!$D$5:$D$1005="sacos")*(MOVIMIENTOS!$A$5:$A$1005&lt;&gt;"")*(MOVIMIENTOS!$A$5:$A$1005&lt;=$A174)*MOVIMIENTOS!$E$5:$E$1005)-SUMPRODUCT((MOVIMIENTOS!$B$5:$B$1005="REGALO")*(MOVIMIENTOS!$C$5:$C$1005="Chancho")*(MOVIMIENTOS!$D$5:$D$1005="sacos")*(MOVIMIENTOS!$A$5:$A$1005&lt;&gt;"")*(MOVIMIENTOS!$A$5:$A$1005&lt;=$A174)*MOVIMIENTOS!$E$5:$E$1005)-SUMPRODUCT((MOVIMIENTOS!$B$5:$B$1005="VENTA")*(MOVIMIENTOS!$C$5:$C$1005="Chancho")*(MOVIMIENTOS!$D$5:$D$1005="sacos")*(MOVIMIENTOS!$A$5:$A$1005&lt;&gt;"")*(MOVIMIENTOS!$A$5:$A$1005&lt;=$A174)*MOVIMIENTOS!$E$5:$E$1005)+SUMPRODUCT((MOVIMIENTOS!$B$5:$B$1005="AJUSTE")*(MOVIMIENTOS!$C$5:$C$1005="Chancho")*(MOVIMIENTOS!$D$5:$D$1005="sacos")*(MOVIMIENTOS!$A$5:$A$1005&lt;&gt;"")*(MOVIMIENTOS!$A$5:$A$1005&lt;=$A174)*MOVIMIENTOS!$E$5:$E$1005))</f>
        <v/>
      </c>
      <c r="G174" s="95" t="str">
        <f t="shared" si="5"/>
        <v/>
      </c>
      <c r="H174" s="63" t="str">
        <f>IF($A174="","",SUMPRODUCT((((MOVIMIENTOS!$B$5:$B$1005="SALDO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174)*MOVIMIENTOS!$J$5:$J$1005))</f>
        <v/>
      </c>
      <c r="I174" s="63"/>
      <c r="J174" s="63" t="str">
        <f>IF(AND(MOVIMIENTOS!$A174&lt;&gt;"",COUNTIF(MOVIMIENTOS!$A$5:$A173,MOVIMIENTOS!$A174)=0),COUNT(J$4:J173)+1,"")</f>
        <v/>
      </c>
      <c r="K174" s="66">
        <f>MOVIMIENTOS!$A174</f>
        <v>46228</v>
      </c>
      <c r="L174" s="63"/>
      <c r="M174" s="63"/>
      <c r="N174" s="63"/>
    </row>
    <row r="175" spans="1:14" ht="15" customHeight="1" x14ac:dyDescent="0.2">
      <c r="A175" s="63" t="str">
        <f t="shared" si="4"/>
        <v/>
      </c>
      <c r="B175" s="63" t="str">
        <f>IF($A175="","",SUMPRODUCT((MOVIMIENTOS!$B$5:$B$1005="SALDO INICIAL")*(MOVIMIENTOS!$C$5:$C$1005="A")*(MOVIMIENTOS!$D$5:$D$1005="jabas")*(MOVIMIENTOS!$A$5:$A$1005&lt;&gt;"")*(MOVIMIENTOS!$A$5:$A$1005&lt;=$A175)*MOVIMIENTOS!$E$5:$E$1005)+SUMPRODUCT((MOVIMIENTOS!$B$5:$B$1005="PROCESO")*(MOVIMIENTOS!$C$5:$C$1005="A")*(MOVIMIENTOS!$D$5:$D$1005="jabas")*(MOVIMIENTOS!$A$5:$A$1005&lt;&gt;"")*(MOVIMIENTOS!$A$5:$A$1005&lt;=$A175)*MOVIMIENTOS!$E$5:$E$1005)-SUMPRODUCT((MOVIMIENTOS!$B$5:$B$1005="ENVÍO A SUPESA")*(MOVIMIENTOS!$C$5:$C$1005="A")*(MOVIMIENTOS!$D$5:$D$1005="jabas")*(MOVIMIENTOS!$A$5:$A$1005&lt;&gt;"")*(MOVIMIENTOS!$A$5:$A$1005&lt;=$A175)*MOVIMIENTOS!$E$5:$E$1005)+SUMPRODUCT((MOVIMIENTOS!$B$5:$B$1005="DEVOLUCIÓN")*(MOVIMIENTOS!$C$5:$C$1005="A")*(MOVIMIENTOS!$D$5:$D$1005="jabas")*(MOVIMIENTOS!$A$5:$A$1005&lt;&gt;"")*(MOVIMIENTOS!$A$5:$A$1005&lt;=$A175)*MOVIMIENTOS!$E$5:$E$1005)-SUMPRODUCT((MOVIMIENTOS!$B$5:$B$1005="TRASIEGO")*(MOVIMIENTOS!$C$5:$C$1005="A")*(MOVIMIENTOS!$D$5:$D$1005="jabas")*(MOVIMIENTOS!$A$5:$A$1005&lt;&gt;"")*(MOVIMIENTOS!$A$5:$A$1005&lt;=$A175)*MOVIMIENTOS!$E$5:$E$1005)-SUMPRODUCT((MOVIMIENTOS!$B$5:$B$1005="REGALO")*(MOVIMIENTOS!$C$5:$C$1005="A")*(MOVIMIENTOS!$D$5:$D$1005="jabas")*(MOVIMIENTOS!$A$5:$A$1005&lt;&gt;"")*(MOVIMIENTOS!$A$5:$A$1005&lt;=$A175)*MOVIMIENTOS!$E$5:$E$1005)-SUMPRODUCT((MOVIMIENTOS!$B$5:$B$1005="VENTA")*(MOVIMIENTOS!$C$5:$C$1005="A")*(MOVIMIENTOS!$D$5:$D$1005="jabas")*(MOVIMIENTOS!$A$5:$A$1005&lt;&gt;"")*(MOVIMIENTOS!$A$5:$A$1005&lt;=$A175)*MOVIMIENTOS!$E$5:$E$1005)+SUMPRODUCT((MOVIMIENTOS!$B$5:$B$1005="AJUSTE")*(MOVIMIENTOS!$C$5:$C$1005="A")*(MOVIMIENTOS!$D$5:$D$1005="jabas")*(MOVIMIENTOS!$A$5:$A$1005&lt;&gt;"")*(MOVIMIENTOS!$A$5:$A$1005&lt;=$A175)*MOVIMIENTOS!$E$5:$E$1005))</f>
        <v/>
      </c>
      <c r="C175" s="63" t="str">
        <f>IF($A175="","",SUMPRODUCT((MOVIMIENTOS!$B$5:$B$1005="SALDO INICIAL")*(MOVIMIENTOS!$C$5:$C$1005="P")*(MOVIMIENTOS!$D$5:$D$1005="jabas")*(MOVIMIENTOS!$A$5:$A$1005&lt;&gt;"")*(MOVIMIENTOS!$A$5:$A$1005&lt;=$A175)*MOVIMIENTOS!$E$5:$E$1005)+SUMPRODUCT((MOVIMIENTOS!$B$5:$B$1005="PROCESO")*(MOVIMIENTOS!$C$5:$C$1005="P")*(MOVIMIENTOS!$D$5:$D$1005="jabas")*(MOVIMIENTOS!$A$5:$A$1005&lt;&gt;"")*(MOVIMIENTOS!$A$5:$A$1005&lt;=$A175)*MOVIMIENTOS!$E$5:$E$1005)-SUMPRODUCT((MOVIMIENTOS!$B$5:$B$1005="ENVÍO A SUPESA")*(MOVIMIENTOS!$C$5:$C$1005="P")*(MOVIMIENTOS!$D$5:$D$1005="jabas")*(MOVIMIENTOS!$A$5:$A$1005&lt;&gt;"")*(MOVIMIENTOS!$A$5:$A$1005&lt;=$A175)*MOVIMIENTOS!$E$5:$E$1005)+SUMPRODUCT((MOVIMIENTOS!$B$5:$B$1005="DEVOLUCIÓN")*(MOVIMIENTOS!$C$5:$C$1005="P")*(MOVIMIENTOS!$D$5:$D$1005="jabas")*(MOVIMIENTOS!$A$5:$A$1005&lt;&gt;"")*(MOVIMIENTOS!$A$5:$A$1005&lt;=$A175)*MOVIMIENTOS!$E$5:$E$1005)-SUMPRODUCT((MOVIMIENTOS!$B$5:$B$1005="TRASIEGO")*(MOVIMIENTOS!$C$5:$C$1005="P")*(MOVIMIENTOS!$D$5:$D$1005="jabas")*(MOVIMIENTOS!$A$5:$A$1005&lt;&gt;"")*(MOVIMIENTOS!$A$5:$A$1005&lt;=$A175)*MOVIMIENTOS!$E$5:$E$1005)-SUMPRODUCT((MOVIMIENTOS!$B$5:$B$1005="REGALO")*(MOVIMIENTOS!$C$5:$C$1005="P")*(MOVIMIENTOS!$D$5:$D$1005="jabas")*(MOVIMIENTOS!$A$5:$A$1005&lt;&gt;"")*(MOVIMIENTOS!$A$5:$A$1005&lt;=$A175)*MOVIMIENTOS!$E$5:$E$1005)-SUMPRODUCT((MOVIMIENTOS!$B$5:$B$1005="VENTA")*(MOVIMIENTOS!$C$5:$C$1005="P")*(MOVIMIENTOS!$D$5:$D$1005="jabas")*(MOVIMIENTOS!$A$5:$A$1005&lt;&gt;"")*(MOVIMIENTOS!$A$5:$A$1005&lt;=$A175)*MOVIMIENTOS!$E$5:$E$1005)+SUMPRODUCT((MOVIMIENTOS!$B$5:$B$1005="AJUSTE")*(MOVIMIENTOS!$C$5:$C$1005="P")*(MOVIMIENTOS!$D$5:$D$1005="jabas")*(MOVIMIENTOS!$A$5:$A$1005&lt;&gt;"")*(MOVIMIENTOS!$A$5:$A$1005&lt;=$A175)*MOVIMIENTOS!$E$5:$E$1005))</f>
        <v/>
      </c>
      <c r="D175" s="63" t="str">
        <f>IF($A175="","",SUMPRODUCT((MOVIMIENTOS!$B$5:$B$1005="SALDO INICIAL")*(MOVIMIENTOS!$C$5:$C$1005="C")*(MOVIMIENTOS!$D$5:$D$1005="jabas")*(MOVIMIENTOS!$A$5:$A$1005&lt;&gt;"")*(MOVIMIENTOS!$A$5:$A$1005&lt;=$A175)*MOVIMIENTOS!$E$5:$E$1005)+SUMPRODUCT((MOVIMIENTOS!$B$5:$B$1005="PROCESO")*(MOVIMIENTOS!$C$5:$C$1005="C")*(MOVIMIENTOS!$D$5:$D$1005="jabas")*(MOVIMIENTOS!$A$5:$A$1005&lt;&gt;"")*(MOVIMIENTOS!$A$5:$A$1005&lt;=$A175)*MOVIMIENTOS!$E$5:$E$1005)-SUMPRODUCT((MOVIMIENTOS!$B$5:$B$1005="ENVÍO A SUPESA")*(MOVIMIENTOS!$C$5:$C$1005="C")*(MOVIMIENTOS!$D$5:$D$1005="jabas")*(MOVIMIENTOS!$A$5:$A$1005&lt;&gt;"")*(MOVIMIENTOS!$A$5:$A$1005&lt;=$A175)*MOVIMIENTOS!$E$5:$E$1005)+SUMPRODUCT((MOVIMIENTOS!$B$5:$B$1005="DEVOLUCIÓN")*(MOVIMIENTOS!$C$5:$C$1005="C")*(MOVIMIENTOS!$D$5:$D$1005="jabas")*(MOVIMIENTOS!$A$5:$A$1005&lt;&gt;"")*(MOVIMIENTOS!$A$5:$A$1005&lt;=$A175)*MOVIMIENTOS!$E$5:$E$1005)-SUMPRODUCT((MOVIMIENTOS!$B$5:$B$1005="TRASIEGO")*(MOVIMIENTOS!$C$5:$C$1005="C")*(MOVIMIENTOS!$D$5:$D$1005="jabas")*(MOVIMIENTOS!$A$5:$A$1005&lt;&gt;"")*(MOVIMIENTOS!$A$5:$A$1005&lt;=$A175)*MOVIMIENTOS!$E$5:$E$1005)-SUMPRODUCT((MOVIMIENTOS!$B$5:$B$1005="REGALO")*(MOVIMIENTOS!$C$5:$C$1005="C")*(MOVIMIENTOS!$D$5:$D$1005="jabas")*(MOVIMIENTOS!$A$5:$A$1005&lt;&gt;"")*(MOVIMIENTOS!$A$5:$A$1005&lt;=$A175)*MOVIMIENTOS!$E$5:$E$1005)-SUMPRODUCT((MOVIMIENTOS!$B$5:$B$1005="VENTA")*(MOVIMIENTOS!$C$5:$C$1005="C")*(MOVIMIENTOS!$D$5:$D$1005="jabas")*(MOVIMIENTOS!$A$5:$A$1005&lt;&gt;"")*(MOVIMIENTOS!$A$5:$A$1005&lt;=$A175)*MOVIMIENTOS!$E$5:$E$1005)+SUMPRODUCT((MOVIMIENTOS!$B$5:$B$1005="AJUSTE")*(MOVIMIENTOS!$C$5:$C$1005="C")*(MOVIMIENTOS!$D$5:$D$1005="jabas")*(MOVIMIENTOS!$A$5:$A$1005&lt;&gt;"")*(MOVIMIENTOS!$A$5:$A$1005&lt;=$A175)*MOVIMIENTOS!$E$5:$E$1005))</f>
        <v/>
      </c>
      <c r="E175" s="63" t="str">
        <f>IF($A175="","",SUMPRODUCT((MOVIMIENTOS!$B$5:$B$1005="SALDO INICIAL")*(MOVIMIENTOS!$C$5:$C$1005="M")*(MOVIMIENTOS!$D$5:$D$1005="jabas")*(MOVIMIENTOS!$A$5:$A$1005&lt;&gt;"")*(MOVIMIENTOS!$A$5:$A$1005&lt;=$A175)*MOVIMIENTOS!$E$5:$E$1005)+SUMPRODUCT((MOVIMIENTOS!$B$5:$B$1005="PROCESO")*(MOVIMIENTOS!$C$5:$C$1005="M")*(MOVIMIENTOS!$D$5:$D$1005="jabas")*(MOVIMIENTOS!$A$5:$A$1005&lt;&gt;"")*(MOVIMIENTOS!$A$5:$A$1005&lt;=$A175)*MOVIMIENTOS!$E$5:$E$1005)-SUMPRODUCT((MOVIMIENTOS!$B$5:$B$1005="ENVÍO A SUPESA")*(MOVIMIENTOS!$C$5:$C$1005="M")*(MOVIMIENTOS!$D$5:$D$1005="jabas")*(MOVIMIENTOS!$A$5:$A$1005&lt;&gt;"")*(MOVIMIENTOS!$A$5:$A$1005&lt;=$A175)*MOVIMIENTOS!$E$5:$E$1005)+SUMPRODUCT((MOVIMIENTOS!$B$5:$B$1005="DEVOLUCIÓN")*(MOVIMIENTOS!$C$5:$C$1005="M")*(MOVIMIENTOS!$D$5:$D$1005="jabas")*(MOVIMIENTOS!$A$5:$A$1005&lt;&gt;"")*(MOVIMIENTOS!$A$5:$A$1005&lt;=$A175)*MOVIMIENTOS!$E$5:$E$1005)-SUMPRODUCT((MOVIMIENTOS!$B$5:$B$1005="TRASIEGO")*(MOVIMIENTOS!$C$5:$C$1005="M")*(MOVIMIENTOS!$D$5:$D$1005="jabas")*(MOVIMIENTOS!$A$5:$A$1005&lt;&gt;"")*(MOVIMIENTOS!$A$5:$A$1005&lt;=$A175)*MOVIMIENTOS!$E$5:$E$1005)-SUMPRODUCT((MOVIMIENTOS!$B$5:$B$1005="REGALO")*(MOVIMIENTOS!$C$5:$C$1005="M")*(MOVIMIENTOS!$D$5:$D$1005="jabas")*(MOVIMIENTOS!$A$5:$A$1005&lt;&gt;"")*(MOVIMIENTOS!$A$5:$A$1005&lt;=$A175)*MOVIMIENTOS!$E$5:$E$1005)-SUMPRODUCT((MOVIMIENTOS!$B$5:$B$1005="VENTA")*(MOVIMIENTOS!$C$5:$C$1005="M")*(MOVIMIENTOS!$D$5:$D$1005="jabas")*(MOVIMIENTOS!$A$5:$A$1005&lt;&gt;"")*(MOVIMIENTOS!$A$5:$A$1005&lt;=$A175)*MOVIMIENTOS!$E$5:$E$1005)+SUMPRODUCT((MOVIMIENTOS!$B$5:$B$1005="AJUSTE")*(MOVIMIENTOS!$C$5:$C$1005="M")*(MOVIMIENTOS!$D$5:$D$1005="jabas")*(MOVIMIENTOS!$A$5:$A$1005&lt;&gt;"")*(MOVIMIENTOS!$A$5:$A$1005&lt;=$A175)*MOVIMIENTOS!$E$5:$E$1005))</f>
        <v/>
      </c>
      <c r="F175" s="63" t="str">
        <f>IF($A175="","",SUMPRODUCT((MOVIMIENTOS!$B$5:$B$1005="SALDO INICIAL")*(MOVIMIENTOS!$C$5:$C$1005="Chancho")*(MOVIMIENTOS!$D$5:$D$1005="sacos")*(MOVIMIENTOS!$A$5:$A$1005&lt;&gt;"")*(MOVIMIENTOS!$A$5:$A$1005&lt;=$A175)*MOVIMIENTOS!$E$5:$E$1005)+SUMPRODUCT((MOVIMIENTOS!$B$5:$B$1005="PROCESO")*(MOVIMIENTOS!$C$5:$C$1005="Chancho")*(MOVIMIENTOS!$D$5:$D$1005="sacos")*(MOVIMIENTOS!$A$5:$A$1005&lt;&gt;"")*(MOVIMIENTOS!$A$5:$A$1005&lt;=$A175)*MOVIMIENTOS!$E$5:$E$1005)-SUMPRODUCT((MOVIMIENTOS!$B$5:$B$1005="VENTA CHANCHO")*(MOVIMIENTOS!$C$5:$C$1005="Chancho")*(MOVIMIENTOS!$D$5:$D$1005="sacos")*(MOVIMIENTOS!$A$5:$A$1005&lt;&gt;"")*(MOVIMIENTOS!$A$5:$A$1005&lt;=$A175)*MOVIMIENTOS!$E$5:$E$1005)-SUMPRODUCT((MOVIMIENTOS!$B$5:$B$1005="REGALO")*(MOVIMIENTOS!$C$5:$C$1005="Chancho")*(MOVIMIENTOS!$D$5:$D$1005="sacos")*(MOVIMIENTOS!$A$5:$A$1005&lt;&gt;"")*(MOVIMIENTOS!$A$5:$A$1005&lt;=$A175)*MOVIMIENTOS!$E$5:$E$1005)-SUMPRODUCT((MOVIMIENTOS!$B$5:$B$1005="VENTA")*(MOVIMIENTOS!$C$5:$C$1005="Chancho")*(MOVIMIENTOS!$D$5:$D$1005="sacos")*(MOVIMIENTOS!$A$5:$A$1005&lt;&gt;"")*(MOVIMIENTOS!$A$5:$A$1005&lt;=$A175)*MOVIMIENTOS!$E$5:$E$1005)+SUMPRODUCT((MOVIMIENTOS!$B$5:$B$1005="AJUSTE")*(MOVIMIENTOS!$C$5:$C$1005="Chancho")*(MOVIMIENTOS!$D$5:$D$1005="sacos")*(MOVIMIENTOS!$A$5:$A$1005&lt;&gt;"")*(MOVIMIENTOS!$A$5:$A$1005&lt;=$A175)*MOVIMIENTOS!$E$5:$E$1005))</f>
        <v/>
      </c>
      <c r="G175" s="95" t="str">
        <f t="shared" si="5"/>
        <v/>
      </c>
      <c r="H175" s="63" t="str">
        <f>IF($A175="","",SUMPRODUCT((((MOVIMIENTOS!$B$5:$B$1005="SALDO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175)*MOVIMIENTOS!$J$5:$J$1005))</f>
        <v/>
      </c>
      <c r="I175" s="63"/>
      <c r="J175" s="63" t="str">
        <f>IF(AND(MOVIMIENTOS!$A175&lt;&gt;"",COUNTIF(MOVIMIENTOS!$A$5:$A174,MOVIMIENTOS!$A175)=0),COUNT(J$4:J174)+1,"")</f>
        <v/>
      </c>
      <c r="K175" s="66">
        <f>MOVIMIENTOS!$A175</f>
        <v>46228</v>
      </c>
      <c r="L175" s="63"/>
      <c r="M175" s="63"/>
      <c r="N175" s="63"/>
    </row>
    <row r="176" spans="1:14" ht="15" customHeight="1" x14ac:dyDescent="0.2">
      <c r="A176" s="63" t="str">
        <f t="shared" si="4"/>
        <v/>
      </c>
      <c r="B176" s="63" t="str">
        <f>IF($A176="","",SUMPRODUCT((MOVIMIENTOS!$B$5:$B$1005="SALDO INICIAL")*(MOVIMIENTOS!$C$5:$C$1005="A")*(MOVIMIENTOS!$D$5:$D$1005="jabas")*(MOVIMIENTOS!$A$5:$A$1005&lt;&gt;"")*(MOVIMIENTOS!$A$5:$A$1005&lt;=$A176)*MOVIMIENTOS!$E$5:$E$1005)+SUMPRODUCT((MOVIMIENTOS!$B$5:$B$1005="PROCESO")*(MOVIMIENTOS!$C$5:$C$1005="A")*(MOVIMIENTOS!$D$5:$D$1005="jabas")*(MOVIMIENTOS!$A$5:$A$1005&lt;&gt;"")*(MOVIMIENTOS!$A$5:$A$1005&lt;=$A176)*MOVIMIENTOS!$E$5:$E$1005)-SUMPRODUCT((MOVIMIENTOS!$B$5:$B$1005="ENVÍO A SUPESA")*(MOVIMIENTOS!$C$5:$C$1005="A")*(MOVIMIENTOS!$D$5:$D$1005="jabas")*(MOVIMIENTOS!$A$5:$A$1005&lt;&gt;"")*(MOVIMIENTOS!$A$5:$A$1005&lt;=$A176)*MOVIMIENTOS!$E$5:$E$1005)+SUMPRODUCT((MOVIMIENTOS!$B$5:$B$1005="DEVOLUCIÓN")*(MOVIMIENTOS!$C$5:$C$1005="A")*(MOVIMIENTOS!$D$5:$D$1005="jabas")*(MOVIMIENTOS!$A$5:$A$1005&lt;&gt;"")*(MOVIMIENTOS!$A$5:$A$1005&lt;=$A176)*MOVIMIENTOS!$E$5:$E$1005)-SUMPRODUCT((MOVIMIENTOS!$B$5:$B$1005="TRASIEGO")*(MOVIMIENTOS!$C$5:$C$1005="A")*(MOVIMIENTOS!$D$5:$D$1005="jabas")*(MOVIMIENTOS!$A$5:$A$1005&lt;&gt;"")*(MOVIMIENTOS!$A$5:$A$1005&lt;=$A176)*MOVIMIENTOS!$E$5:$E$1005)-SUMPRODUCT((MOVIMIENTOS!$B$5:$B$1005="REGALO")*(MOVIMIENTOS!$C$5:$C$1005="A")*(MOVIMIENTOS!$D$5:$D$1005="jabas")*(MOVIMIENTOS!$A$5:$A$1005&lt;&gt;"")*(MOVIMIENTOS!$A$5:$A$1005&lt;=$A176)*MOVIMIENTOS!$E$5:$E$1005)-SUMPRODUCT((MOVIMIENTOS!$B$5:$B$1005="VENTA")*(MOVIMIENTOS!$C$5:$C$1005="A")*(MOVIMIENTOS!$D$5:$D$1005="jabas")*(MOVIMIENTOS!$A$5:$A$1005&lt;&gt;"")*(MOVIMIENTOS!$A$5:$A$1005&lt;=$A176)*MOVIMIENTOS!$E$5:$E$1005)+SUMPRODUCT((MOVIMIENTOS!$B$5:$B$1005="AJUSTE")*(MOVIMIENTOS!$C$5:$C$1005="A")*(MOVIMIENTOS!$D$5:$D$1005="jabas")*(MOVIMIENTOS!$A$5:$A$1005&lt;&gt;"")*(MOVIMIENTOS!$A$5:$A$1005&lt;=$A176)*MOVIMIENTOS!$E$5:$E$1005))</f>
        <v/>
      </c>
      <c r="C176" s="63" t="str">
        <f>IF($A176="","",SUMPRODUCT((MOVIMIENTOS!$B$5:$B$1005="SALDO INICIAL")*(MOVIMIENTOS!$C$5:$C$1005="P")*(MOVIMIENTOS!$D$5:$D$1005="jabas")*(MOVIMIENTOS!$A$5:$A$1005&lt;&gt;"")*(MOVIMIENTOS!$A$5:$A$1005&lt;=$A176)*MOVIMIENTOS!$E$5:$E$1005)+SUMPRODUCT((MOVIMIENTOS!$B$5:$B$1005="PROCESO")*(MOVIMIENTOS!$C$5:$C$1005="P")*(MOVIMIENTOS!$D$5:$D$1005="jabas")*(MOVIMIENTOS!$A$5:$A$1005&lt;&gt;"")*(MOVIMIENTOS!$A$5:$A$1005&lt;=$A176)*MOVIMIENTOS!$E$5:$E$1005)-SUMPRODUCT((MOVIMIENTOS!$B$5:$B$1005="ENVÍO A SUPESA")*(MOVIMIENTOS!$C$5:$C$1005="P")*(MOVIMIENTOS!$D$5:$D$1005="jabas")*(MOVIMIENTOS!$A$5:$A$1005&lt;&gt;"")*(MOVIMIENTOS!$A$5:$A$1005&lt;=$A176)*MOVIMIENTOS!$E$5:$E$1005)+SUMPRODUCT((MOVIMIENTOS!$B$5:$B$1005="DEVOLUCIÓN")*(MOVIMIENTOS!$C$5:$C$1005="P")*(MOVIMIENTOS!$D$5:$D$1005="jabas")*(MOVIMIENTOS!$A$5:$A$1005&lt;&gt;"")*(MOVIMIENTOS!$A$5:$A$1005&lt;=$A176)*MOVIMIENTOS!$E$5:$E$1005)-SUMPRODUCT((MOVIMIENTOS!$B$5:$B$1005="TRASIEGO")*(MOVIMIENTOS!$C$5:$C$1005="P")*(MOVIMIENTOS!$D$5:$D$1005="jabas")*(MOVIMIENTOS!$A$5:$A$1005&lt;&gt;"")*(MOVIMIENTOS!$A$5:$A$1005&lt;=$A176)*MOVIMIENTOS!$E$5:$E$1005)-SUMPRODUCT((MOVIMIENTOS!$B$5:$B$1005="REGALO")*(MOVIMIENTOS!$C$5:$C$1005="P")*(MOVIMIENTOS!$D$5:$D$1005="jabas")*(MOVIMIENTOS!$A$5:$A$1005&lt;&gt;"")*(MOVIMIENTOS!$A$5:$A$1005&lt;=$A176)*MOVIMIENTOS!$E$5:$E$1005)-SUMPRODUCT((MOVIMIENTOS!$B$5:$B$1005="VENTA")*(MOVIMIENTOS!$C$5:$C$1005="P")*(MOVIMIENTOS!$D$5:$D$1005="jabas")*(MOVIMIENTOS!$A$5:$A$1005&lt;&gt;"")*(MOVIMIENTOS!$A$5:$A$1005&lt;=$A176)*MOVIMIENTOS!$E$5:$E$1005)+SUMPRODUCT((MOVIMIENTOS!$B$5:$B$1005="AJUSTE")*(MOVIMIENTOS!$C$5:$C$1005="P")*(MOVIMIENTOS!$D$5:$D$1005="jabas")*(MOVIMIENTOS!$A$5:$A$1005&lt;&gt;"")*(MOVIMIENTOS!$A$5:$A$1005&lt;=$A176)*MOVIMIENTOS!$E$5:$E$1005))</f>
        <v/>
      </c>
      <c r="D176" s="63" t="str">
        <f>IF($A176="","",SUMPRODUCT((MOVIMIENTOS!$B$5:$B$1005="SALDO INICIAL")*(MOVIMIENTOS!$C$5:$C$1005="C")*(MOVIMIENTOS!$D$5:$D$1005="jabas")*(MOVIMIENTOS!$A$5:$A$1005&lt;&gt;"")*(MOVIMIENTOS!$A$5:$A$1005&lt;=$A176)*MOVIMIENTOS!$E$5:$E$1005)+SUMPRODUCT((MOVIMIENTOS!$B$5:$B$1005="PROCESO")*(MOVIMIENTOS!$C$5:$C$1005="C")*(MOVIMIENTOS!$D$5:$D$1005="jabas")*(MOVIMIENTOS!$A$5:$A$1005&lt;&gt;"")*(MOVIMIENTOS!$A$5:$A$1005&lt;=$A176)*MOVIMIENTOS!$E$5:$E$1005)-SUMPRODUCT((MOVIMIENTOS!$B$5:$B$1005="ENVÍO A SUPESA")*(MOVIMIENTOS!$C$5:$C$1005="C")*(MOVIMIENTOS!$D$5:$D$1005="jabas")*(MOVIMIENTOS!$A$5:$A$1005&lt;&gt;"")*(MOVIMIENTOS!$A$5:$A$1005&lt;=$A176)*MOVIMIENTOS!$E$5:$E$1005)+SUMPRODUCT((MOVIMIENTOS!$B$5:$B$1005="DEVOLUCIÓN")*(MOVIMIENTOS!$C$5:$C$1005="C")*(MOVIMIENTOS!$D$5:$D$1005="jabas")*(MOVIMIENTOS!$A$5:$A$1005&lt;&gt;"")*(MOVIMIENTOS!$A$5:$A$1005&lt;=$A176)*MOVIMIENTOS!$E$5:$E$1005)-SUMPRODUCT((MOVIMIENTOS!$B$5:$B$1005="TRASIEGO")*(MOVIMIENTOS!$C$5:$C$1005="C")*(MOVIMIENTOS!$D$5:$D$1005="jabas")*(MOVIMIENTOS!$A$5:$A$1005&lt;&gt;"")*(MOVIMIENTOS!$A$5:$A$1005&lt;=$A176)*MOVIMIENTOS!$E$5:$E$1005)-SUMPRODUCT((MOVIMIENTOS!$B$5:$B$1005="REGALO")*(MOVIMIENTOS!$C$5:$C$1005="C")*(MOVIMIENTOS!$D$5:$D$1005="jabas")*(MOVIMIENTOS!$A$5:$A$1005&lt;&gt;"")*(MOVIMIENTOS!$A$5:$A$1005&lt;=$A176)*MOVIMIENTOS!$E$5:$E$1005)-SUMPRODUCT((MOVIMIENTOS!$B$5:$B$1005="VENTA")*(MOVIMIENTOS!$C$5:$C$1005="C")*(MOVIMIENTOS!$D$5:$D$1005="jabas")*(MOVIMIENTOS!$A$5:$A$1005&lt;&gt;"")*(MOVIMIENTOS!$A$5:$A$1005&lt;=$A176)*MOVIMIENTOS!$E$5:$E$1005)+SUMPRODUCT((MOVIMIENTOS!$B$5:$B$1005="AJUSTE")*(MOVIMIENTOS!$C$5:$C$1005="C")*(MOVIMIENTOS!$D$5:$D$1005="jabas")*(MOVIMIENTOS!$A$5:$A$1005&lt;&gt;"")*(MOVIMIENTOS!$A$5:$A$1005&lt;=$A176)*MOVIMIENTOS!$E$5:$E$1005))</f>
        <v/>
      </c>
      <c r="E176" s="63" t="str">
        <f>IF($A176="","",SUMPRODUCT((MOVIMIENTOS!$B$5:$B$1005="SALDO INICIAL")*(MOVIMIENTOS!$C$5:$C$1005="M")*(MOVIMIENTOS!$D$5:$D$1005="jabas")*(MOVIMIENTOS!$A$5:$A$1005&lt;&gt;"")*(MOVIMIENTOS!$A$5:$A$1005&lt;=$A176)*MOVIMIENTOS!$E$5:$E$1005)+SUMPRODUCT((MOVIMIENTOS!$B$5:$B$1005="PROCESO")*(MOVIMIENTOS!$C$5:$C$1005="M")*(MOVIMIENTOS!$D$5:$D$1005="jabas")*(MOVIMIENTOS!$A$5:$A$1005&lt;&gt;"")*(MOVIMIENTOS!$A$5:$A$1005&lt;=$A176)*MOVIMIENTOS!$E$5:$E$1005)-SUMPRODUCT((MOVIMIENTOS!$B$5:$B$1005="ENVÍO A SUPESA")*(MOVIMIENTOS!$C$5:$C$1005="M")*(MOVIMIENTOS!$D$5:$D$1005="jabas")*(MOVIMIENTOS!$A$5:$A$1005&lt;&gt;"")*(MOVIMIENTOS!$A$5:$A$1005&lt;=$A176)*MOVIMIENTOS!$E$5:$E$1005)+SUMPRODUCT((MOVIMIENTOS!$B$5:$B$1005="DEVOLUCIÓN")*(MOVIMIENTOS!$C$5:$C$1005="M")*(MOVIMIENTOS!$D$5:$D$1005="jabas")*(MOVIMIENTOS!$A$5:$A$1005&lt;&gt;"")*(MOVIMIENTOS!$A$5:$A$1005&lt;=$A176)*MOVIMIENTOS!$E$5:$E$1005)-SUMPRODUCT((MOVIMIENTOS!$B$5:$B$1005="TRASIEGO")*(MOVIMIENTOS!$C$5:$C$1005="M")*(MOVIMIENTOS!$D$5:$D$1005="jabas")*(MOVIMIENTOS!$A$5:$A$1005&lt;&gt;"")*(MOVIMIENTOS!$A$5:$A$1005&lt;=$A176)*MOVIMIENTOS!$E$5:$E$1005)-SUMPRODUCT((MOVIMIENTOS!$B$5:$B$1005="REGALO")*(MOVIMIENTOS!$C$5:$C$1005="M")*(MOVIMIENTOS!$D$5:$D$1005="jabas")*(MOVIMIENTOS!$A$5:$A$1005&lt;&gt;"")*(MOVIMIENTOS!$A$5:$A$1005&lt;=$A176)*MOVIMIENTOS!$E$5:$E$1005)-SUMPRODUCT((MOVIMIENTOS!$B$5:$B$1005="VENTA")*(MOVIMIENTOS!$C$5:$C$1005="M")*(MOVIMIENTOS!$D$5:$D$1005="jabas")*(MOVIMIENTOS!$A$5:$A$1005&lt;&gt;"")*(MOVIMIENTOS!$A$5:$A$1005&lt;=$A176)*MOVIMIENTOS!$E$5:$E$1005)+SUMPRODUCT((MOVIMIENTOS!$B$5:$B$1005="AJUSTE")*(MOVIMIENTOS!$C$5:$C$1005="M")*(MOVIMIENTOS!$D$5:$D$1005="jabas")*(MOVIMIENTOS!$A$5:$A$1005&lt;&gt;"")*(MOVIMIENTOS!$A$5:$A$1005&lt;=$A176)*MOVIMIENTOS!$E$5:$E$1005))</f>
        <v/>
      </c>
      <c r="F176" s="63" t="str">
        <f>IF($A176="","",SUMPRODUCT((MOVIMIENTOS!$B$5:$B$1005="SALDO INICIAL")*(MOVIMIENTOS!$C$5:$C$1005="Chancho")*(MOVIMIENTOS!$D$5:$D$1005="sacos")*(MOVIMIENTOS!$A$5:$A$1005&lt;&gt;"")*(MOVIMIENTOS!$A$5:$A$1005&lt;=$A176)*MOVIMIENTOS!$E$5:$E$1005)+SUMPRODUCT((MOVIMIENTOS!$B$5:$B$1005="PROCESO")*(MOVIMIENTOS!$C$5:$C$1005="Chancho")*(MOVIMIENTOS!$D$5:$D$1005="sacos")*(MOVIMIENTOS!$A$5:$A$1005&lt;&gt;"")*(MOVIMIENTOS!$A$5:$A$1005&lt;=$A176)*MOVIMIENTOS!$E$5:$E$1005)-SUMPRODUCT((MOVIMIENTOS!$B$5:$B$1005="VENTA CHANCHO")*(MOVIMIENTOS!$C$5:$C$1005="Chancho")*(MOVIMIENTOS!$D$5:$D$1005="sacos")*(MOVIMIENTOS!$A$5:$A$1005&lt;&gt;"")*(MOVIMIENTOS!$A$5:$A$1005&lt;=$A176)*MOVIMIENTOS!$E$5:$E$1005)-SUMPRODUCT((MOVIMIENTOS!$B$5:$B$1005="REGALO")*(MOVIMIENTOS!$C$5:$C$1005="Chancho")*(MOVIMIENTOS!$D$5:$D$1005="sacos")*(MOVIMIENTOS!$A$5:$A$1005&lt;&gt;"")*(MOVIMIENTOS!$A$5:$A$1005&lt;=$A176)*MOVIMIENTOS!$E$5:$E$1005)-SUMPRODUCT((MOVIMIENTOS!$B$5:$B$1005="VENTA")*(MOVIMIENTOS!$C$5:$C$1005="Chancho")*(MOVIMIENTOS!$D$5:$D$1005="sacos")*(MOVIMIENTOS!$A$5:$A$1005&lt;&gt;"")*(MOVIMIENTOS!$A$5:$A$1005&lt;=$A176)*MOVIMIENTOS!$E$5:$E$1005)+SUMPRODUCT((MOVIMIENTOS!$B$5:$B$1005="AJUSTE")*(MOVIMIENTOS!$C$5:$C$1005="Chancho")*(MOVIMIENTOS!$D$5:$D$1005="sacos")*(MOVIMIENTOS!$A$5:$A$1005&lt;&gt;"")*(MOVIMIENTOS!$A$5:$A$1005&lt;=$A176)*MOVIMIENTOS!$E$5:$E$1005))</f>
        <v/>
      </c>
      <c r="G176" s="95" t="str">
        <f t="shared" si="5"/>
        <v/>
      </c>
      <c r="H176" s="63" t="str">
        <f>IF($A176="","",SUMPRODUCT((((MOVIMIENTOS!$B$5:$B$1005="SALDO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176)*MOVIMIENTOS!$J$5:$J$1005))</f>
        <v/>
      </c>
      <c r="I176" s="63"/>
      <c r="J176" s="63" t="str">
        <f>IF(AND(MOVIMIENTOS!$A176&lt;&gt;"",COUNTIF(MOVIMIENTOS!$A$5:$A175,MOVIMIENTOS!$A176)=0),COUNT(J$4:J175)+1,"")</f>
        <v/>
      </c>
      <c r="K176" s="66">
        <f>MOVIMIENTOS!$A176</f>
        <v>46228</v>
      </c>
      <c r="L176" s="63"/>
      <c r="M176" s="63"/>
      <c r="N176" s="63"/>
    </row>
    <row r="177" spans="1:14" ht="15" customHeight="1" x14ac:dyDescent="0.2">
      <c r="A177" s="63" t="str">
        <f t="shared" si="4"/>
        <v/>
      </c>
      <c r="B177" s="63" t="str">
        <f>IF($A177="","",SUMPRODUCT((MOVIMIENTOS!$B$5:$B$1005="SALDO INICIAL")*(MOVIMIENTOS!$C$5:$C$1005="A")*(MOVIMIENTOS!$D$5:$D$1005="jabas")*(MOVIMIENTOS!$A$5:$A$1005&lt;&gt;"")*(MOVIMIENTOS!$A$5:$A$1005&lt;=$A177)*MOVIMIENTOS!$E$5:$E$1005)+SUMPRODUCT((MOVIMIENTOS!$B$5:$B$1005="PROCESO")*(MOVIMIENTOS!$C$5:$C$1005="A")*(MOVIMIENTOS!$D$5:$D$1005="jabas")*(MOVIMIENTOS!$A$5:$A$1005&lt;&gt;"")*(MOVIMIENTOS!$A$5:$A$1005&lt;=$A177)*MOVIMIENTOS!$E$5:$E$1005)-SUMPRODUCT((MOVIMIENTOS!$B$5:$B$1005="ENVÍO A SUPESA")*(MOVIMIENTOS!$C$5:$C$1005="A")*(MOVIMIENTOS!$D$5:$D$1005="jabas")*(MOVIMIENTOS!$A$5:$A$1005&lt;&gt;"")*(MOVIMIENTOS!$A$5:$A$1005&lt;=$A177)*MOVIMIENTOS!$E$5:$E$1005)+SUMPRODUCT((MOVIMIENTOS!$B$5:$B$1005="DEVOLUCIÓN")*(MOVIMIENTOS!$C$5:$C$1005="A")*(MOVIMIENTOS!$D$5:$D$1005="jabas")*(MOVIMIENTOS!$A$5:$A$1005&lt;&gt;"")*(MOVIMIENTOS!$A$5:$A$1005&lt;=$A177)*MOVIMIENTOS!$E$5:$E$1005)-SUMPRODUCT((MOVIMIENTOS!$B$5:$B$1005="TRASIEGO")*(MOVIMIENTOS!$C$5:$C$1005="A")*(MOVIMIENTOS!$D$5:$D$1005="jabas")*(MOVIMIENTOS!$A$5:$A$1005&lt;&gt;"")*(MOVIMIENTOS!$A$5:$A$1005&lt;=$A177)*MOVIMIENTOS!$E$5:$E$1005)-SUMPRODUCT((MOVIMIENTOS!$B$5:$B$1005="REGALO")*(MOVIMIENTOS!$C$5:$C$1005="A")*(MOVIMIENTOS!$D$5:$D$1005="jabas")*(MOVIMIENTOS!$A$5:$A$1005&lt;&gt;"")*(MOVIMIENTOS!$A$5:$A$1005&lt;=$A177)*MOVIMIENTOS!$E$5:$E$1005)-SUMPRODUCT((MOVIMIENTOS!$B$5:$B$1005="VENTA")*(MOVIMIENTOS!$C$5:$C$1005="A")*(MOVIMIENTOS!$D$5:$D$1005="jabas")*(MOVIMIENTOS!$A$5:$A$1005&lt;&gt;"")*(MOVIMIENTOS!$A$5:$A$1005&lt;=$A177)*MOVIMIENTOS!$E$5:$E$1005)+SUMPRODUCT((MOVIMIENTOS!$B$5:$B$1005="AJUSTE")*(MOVIMIENTOS!$C$5:$C$1005="A")*(MOVIMIENTOS!$D$5:$D$1005="jabas")*(MOVIMIENTOS!$A$5:$A$1005&lt;&gt;"")*(MOVIMIENTOS!$A$5:$A$1005&lt;=$A177)*MOVIMIENTOS!$E$5:$E$1005))</f>
        <v/>
      </c>
      <c r="C177" s="63" t="str">
        <f>IF($A177="","",SUMPRODUCT((MOVIMIENTOS!$B$5:$B$1005="SALDO INICIAL")*(MOVIMIENTOS!$C$5:$C$1005="P")*(MOVIMIENTOS!$D$5:$D$1005="jabas")*(MOVIMIENTOS!$A$5:$A$1005&lt;&gt;"")*(MOVIMIENTOS!$A$5:$A$1005&lt;=$A177)*MOVIMIENTOS!$E$5:$E$1005)+SUMPRODUCT((MOVIMIENTOS!$B$5:$B$1005="PROCESO")*(MOVIMIENTOS!$C$5:$C$1005="P")*(MOVIMIENTOS!$D$5:$D$1005="jabas")*(MOVIMIENTOS!$A$5:$A$1005&lt;&gt;"")*(MOVIMIENTOS!$A$5:$A$1005&lt;=$A177)*MOVIMIENTOS!$E$5:$E$1005)-SUMPRODUCT((MOVIMIENTOS!$B$5:$B$1005="ENVÍO A SUPESA")*(MOVIMIENTOS!$C$5:$C$1005="P")*(MOVIMIENTOS!$D$5:$D$1005="jabas")*(MOVIMIENTOS!$A$5:$A$1005&lt;&gt;"")*(MOVIMIENTOS!$A$5:$A$1005&lt;=$A177)*MOVIMIENTOS!$E$5:$E$1005)+SUMPRODUCT((MOVIMIENTOS!$B$5:$B$1005="DEVOLUCIÓN")*(MOVIMIENTOS!$C$5:$C$1005="P")*(MOVIMIENTOS!$D$5:$D$1005="jabas")*(MOVIMIENTOS!$A$5:$A$1005&lt;&gt;"")*(MOVIMIENTOS!$A$5:$A$1005&lt;=$A177)*MOVIMIENTOS!$E$5:$E$1005)-SUMPRODUCT((MOVIMIENTOS!$B$5:$B$1005="TRASIEGO")*(MOVIMIENTOS!$C$5:$C$1005="P")*(MOVIMIENTOS!$D$5:$D$1005="jabas")*(MOVIMIENTOS!$A$5:$A$1005&lt;&gt;"")*(MOVIMIENTOS!$A$5:$A$1005&lt;=$A177)*MOVIMIENTOS!$E$5:$E$1005)-SUMPRODUCT((MOVIMIENTOS!$B$5:$B$1005="REGALO")*(MOVIMIENTOS!$C$5:$C$1005="P")*(MOVIMIENTOS!$D$5:$D$1005="jabas")*(MOVIMIENTOS!$A$5:$A$1005&lt;&gt;"")*(MOVIMIENTOS!$A$5:$A$1005&lt;=$A177)*MOVIMIENTOS!$E$5:$E$1005)-SUMPRODUCT((MOVIMIENTOS!$B$5:$B$1005="VENTA")*(MOVIMIENTOS!$C$5:$C$1005="P")*(MOVIMIENTOS!$D$5:$D$1005="jabas")*(MOVIMIENTOS!$A$5:$A$1005&lt;&gt;"")*(MOVIMIENTOS!$A$5:$A$1005&lt;=$A177)*MOVIMIENTOS!$E$5:$E$1005)+SUMPRODUCT((MOVIMIENTOS!$B$5:$B$1005="AJUSTE")*(MOVIMIENTOS!$C$5:$C$1005="P")*(MOVIMIENTOS!$D$5:$D$1005="jabas")*(MOVIMIENTOS!$A$5:$A$1005&lt;&gt;"")*(MOVIMIENTOS!$A$5:$A$1005&lt;=$A177)*MOVIMIENTOS!$E$5:$E$1005))</f>
        <v/>
      </c>
      <c r="D177" s="63" t="str">
        <f>IF($A177="","",SUMPRODUCT((MOVIMIENTOS!$B$5:$B$1005="SALDO INICIAL")*(MOVIMIENTOS!$C$5:$C$1005="C")*(MOVIMIENTOS!$D$5:$D$1005="jabas")*(MOVIMIENTOS!$A$5:$A$1005&lt;&gt;"")*(MOVIMIENTOS!$A$5:$A$1005&lt;=$A177)*MOVIMIENTOS!$E$5:$E$1005)+SUMPRODUCT((MOVIMIENTOS!$B$5:$B$1005="PROCESO")*(MOVIMIENTOS!$C$5:$C$1005="C")*(MOVIMIENTOS!$D$5:$D$1005="jabas")*(MOVIMIENTOS!$A$5:$A$1005&lt;&gt;"")*(MOVIMIENTOS!$A$5:$A$1005&lt;=$A177)*MOVIMIENTOS!$E$5:$E$1005)-SUMPRODUCT((MOVIMIENTOS!$B$5:$B$1005="ENVÍO A SUPESA")*(MOVIMIENTOS!$C$5:$C$1005="C")*(MOVIMIENTOS!$D$5:$D$1005="jabas")*(MOVIMIENTOS!$A$5:$A$1005&lt;&gt;"")*(MOVIMIENTOS!$A$5:$A$1005&lt;=$A177)*MOVIMIENTOS!$E$5:$E$1005)+SUMPRODUCT((MOVIMIENTOS!$B$5:$B$1005="DEVOLUCIÓN")*(MOVIMIENTOS!$C$5:$C$1005="C")*(MOVIMIENTOS!$D$5:$D$1005="jabas")*(MOVIMIENTOS!$A$5:$A$1005&lt;&gt;"")*(MOVIMIENTOS!$A$5:$A$1005&lt;=$A177)*MOVIMIENTOS!$E$5:$E$1005)-SUMPRODUCT((MOVIMIENTOS!$B$5:$B$1005="TRASIEGO")*(MOVIMIENTOS!$C$5:$C$1005="C")*(MOVIMIENTOS!$D$5:$D$1005="jabas")*(MOVIMIENTOS!$A$5:$A$1005&lt;&gt;"")*(MOVIMIENTOS!$A$5:$A$1005&lt;=$A177)*MOVIMIENTOS!$E$5:$E$1005)-SUMPRODUCT((MOVIMIENTOS!$B$5:$B$1005="REGALO")*(MOVIMIENTOS!$C$5:$C$1005="C")*(MOVIMIENTOS!$D$5:$D$1005="jabas")*(MOVIMIENTOS!$A$5:$A$1005&lt;&gt;"")*(MOVIMIENTOS!$A$5:$A$1005&lt;=$A177)*MOVIMIENTOS!$E$5:$E$1005)-SUMPRODUCT((MOVIMIENTOS!$B$5:$B$1005="VENTA")*(MOVIMIENTOS!$C$5:$C$1005="C")*(MOVIMIENTOS!$D$5:$D$1005="jabas")*(MOVIMIENTOS!$A$5:$A$1005&lt;&gt;"")*(MOVIMIENTOS!$A$5:$A$1005&lt;=$A177)*MOVIMIENTOS!$E$5:$E$1005)+SUMPRODUCT((MOVIMIENTOS!$B$5:$B$1005="AJUSTE")*(MOVIMIENTOS!$C$5:$C$1005="C")*(MOVIMIENTOS!$D$5:$D$1005="jabas")*(MOVIMIENTOS!$A$5:$A$1005&lt;&gt;"")*(MOVIMIENTOS!$A$5:$A$1005&lt;=$A177)*MOVIMIENTOS!$E$5:$E$1005))</f>
        <v/>
      </c>
      <c r="E177" s="63" t="str">
        <f>IF($A177="","",SUMPRODUCT((MOVIMIENTOS!$B$5:$B$1005="SALDO INICIAL")*(MOVIMIENTOS!$C$5:$C$1005="M")*(MOVIMIENTOS!$D$5:$D$1005="jabas")*(MOVIMIENTOS!$A$5:$A$1005&lt;&gt;"")*(MOVIMIENTOS!$A$5:$A$1005&lt;=$A177)*MOVIMIENTOS!$E$5:$E$1005)+SUMPRODUCT((MOVIMIENTOS!$B$5:$B$1005="PROCESO")*(MOVIMIENTOS!$C$5:$C$1005="M")*(MOVIMIENTOS!$D$5:$D$1005="jabas")*(MOVIMIENTOS!$A$5:$A$1005&lt;&gt;"")*(MOVIMIENTOS!$A$5:$A$1005&lt;=$A177)*MOVIMIENTOS!$E$5:$E$1005)-SUMPRODUCT((MOVIMIENTOS!$B$5:$B$1005="ENVÍO A SUPESA")*(MOVIMIENTOS!$C$5:$C$1005="M")*(MOVIMIENTOS!$D$5:$D$1005="jabas")*(MOVIMIENTOS!$A$5:$A$1005&lt;&gt;"")*(MOVIMIENTOS!$A$5:$A$1005&lt;=$A177)*MOVIMIENTOS!$E$5:$E$1005)+SUMPRODUCT((MOVIMIENTOS!$B$5:$B$1005="DEVOLUCIÓN")*(MOVIMIENTOS!$C$5:$C$1005="M")*(MOVIMIENTOS!$D$5:$D$1005="jabas")*(MOVIMIENTOS!$A$5:$A$1005&lt;&gt;"")*(MOVIMIENTOS!$A$5:$A$1005&lt;=$A177)*MOVIMIENTOS!$E$5:$E$1005)-SUMPRODUCT((MOVIMIENTOS!$B$5:$B$1005="TRASIEGO")*(MOVIMIENTOS!$C$5:$C$1005="M")*(MOVIMIENTOS!$D$5:$D$1005="jabas")*(MOVIMIENTOS!$A$5:$A$1005&lt;&gt;"")*(MOVIMIENTOS!$A$5:$A$1005&lt;=$A177)*MOVIMIENTOS!$E$5:$E$1005)-SUMPRODUCT((MOVIMIENTOS!$B$5:$B$1005="REGALO")*(MOVIMIENTOS!$C$5:$C$1005="M")*(MOVIMIENTOS!$D$5:$D$1005="jabas")*(MOVIMIENTOS!$A$5:$A$1005&lt;&gt;"")*(MOVIMIENTOS!$A$5:$A$1005&lt;=$A177)*MOVIMIENTOS!$E$5:$E$1005)-SUMPRODUCT((MOVIMIENTOS!$B$5:$B$1005="VENTA")*(MOVIMIENTOS!$C$5:$C$1005="M")*(MOVIMIENTOS!$D$5:$D$1005="jabas")*(MOVIMIENTOS!$A$5:$A$1005&lt;&gt;"")*(MOVIMIENTOS!$A$5:$A$1005&lt;=$A177)*MOVIMIENTOS!$E$5:$E$1005)+SUMPRODUCT((MOVIMIENTOS!$B$5:$B$1005="AJUSTE")*(MOVIMIENTOS!$C$5:$C$1005="M")*(MOVIMIENTOS!$D$5:$D$1005="jabas")*(MOVIMIENTOS!$A$5:$A$1005&lt;&gt;"")*(MOVIMIENTOS!$A$5:$A$1005&lt;=$A177)*MOVIMIENTOS!$E$5:$E$1005))</f>
        <v/>
      </c>
      <c r="F177" s="63" t="str">
        <f>IF($A177="","",SUMPRODUCT((MOVIMIENTOS!$B$5:$B$1005="SALDO INICIAL")*(MOVIMIENTOS!$C$5:$C$1005="Chancho")*(MOVIMIENTOS!$D$5:$D$1005="sacos")*(MOVIMIENTOS!$A$5:$A$1005&lt;&gt;"")*(MOVIMIENTOS!$A$5:$A$1005&lt;=$A177)*MOVIMIENTOS!$E$5:$E$1005)+SUMPRODUCT((MOVIMIENTOS!$B$5:$B$1005="PROCESO")*(MOVIMIENTOS!$C$5:$C$1005="Chancho")*(MOVIMIENTOS!$D$5:$D$1005="sacos")*(MOVIMIENTOS!$A$5:$A$1005&lt;&gt;"")*(MOVIMIENTOS!$A$5:$A$1005&lt;=$A177)*MOVIMIENTOS!$E$5:$E$1005)-SUMPRODUCT((MOVIMIENTOS!$B$5:$B$1005="VENTA CHANCHO")*(MOVIMIENTOS!$C$5:$C$1005="Chancho")*(MOVIMIENTOS!$D$5:$D$1005="sacos")*(MOVIMIENTOS!$A$5:$A$1005&lt;&gt;"")*(MOVIMIENTOS!$A$5:$A$1005&lt;=$A177)*MOVIMIENTOS!$E$5:$E$1005)-SUMPRODUCT((MOVIMIENTOS!$B$5:$B$1005="REGALO")*(MOVIMIENTOS!$C$5:$C$1005="Chancho")*(MOVIMIENTOS!$D$5:$D$1005="sacos")*(MOVIMIENTOS!$A$5:$A$1005&lt;&gt;"")*(MOVIMIENTOS!$A$5:$A$1005&lt;=$A177)*MOVIMIENTOS!$E$5:$E$1005)-SUMPRODUCT((MOVIMIENTOS!$B$5:$B$1005="VENTA")*(MOVIMIENTOS!$C$5:$C$1005="Chancho")*(MOVIMIENTOS!$D$5:$D$1005="sacos")*(MOVIMIENTOS!$A$5:$A$1005&lt;&gt;"")*(MOVIMIENTOS!$A$5:$A$1005&lt;=$A177)*MOVIMIENTOS!$E$5:$E$1005)+SUMPRODUCT((MOVIMIENTOS!$B$5:$B$1005="AJUSTE")*(MOVIMIENTOS!$C$5:$C$1005="Chancho")*(MOVIMIENTOS!$D$5:$D$1005="sacos")*(MOVIMIENTOS!$A$5:$A$1005&lt;&gt;"")*(MOVIMIENTOS!$A$5:$A$1005&lt;=$A177)*MOVIMIENTOS!$E$5:$E$1005))</f>
        <v/>
      </c>
      <c r="G177" s="95" t="str">
        <f t="shared" si="5"/>
        <v/>
      </c>
      <c r="H177" s="63" t="str">
        <f>IF($A177="","",SUMPRODUCT((((MOVIMIENTOS!$B$5:$B$1005="SALDO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177)*MOVIMIENTOS!$J$5:$J$1005))</f>
        <v/>
      </c>
      <c r="I177" s="63"/>
      <c r="J177" s="63" t="str">
        <f>IF(AND(MOVIMIENTOS!$A177&lt;&gt;"",COUNTIF(MOVIMIENTOS!$A$5:$A176,MOVIMIENTOS!$A177)=0),COUNT(J$4:J176)+1,"")</f>
        <v/>
      </c>
      <c r="K177" s="66">
        <f>MOVIMIENTOS!$A177</f>
        <v>46228</v>
      </c>
      <c r="L177" s="63"/>
      <c r="M177" s="63"/>
      <c r="N177" s="63"/>
    </row>
    <row r="178" spans="1:14" ht="15" customHeight="1" x14ac:dyDescent="0.2">
      <c r="A178" s="63" t="str">
        <f t="shared" si="4"/>
        <v/>
      </c>
      <c r="B178" s="63" t="str">
        <f>IF($A178="","",SUMPRODUCT((MOVIMIENTOS!$B$5:$B$1005="SALDO INICIAL")*(MOVIMIENTOS!$C$5:$C$1005="A")*(MOVIMIENTOS!$D$5:$D$1005="jabas")*(MOVIMIENTOS!$A$5:$A$1005&lt;&gt;"")*(MOVIMIENTOS!$A$5:$A$1005&lt;=$A178)*MOVIMIENTOS!$E$5:$E$1005)+SUMPRODUCT((MOVIMIENTOS!$B$5:$B$1005="PROCESO")*(MOVIMIENTOS!$C$5:$C$1005="A")*(MOVIMIENTOS!$D$5:$D$1005="jabas")*(MOVIMIENTOS!$A$5:$A$1005&lt;&gt;"")*(MOVIMIENTOS!$A$5:$A$1005&lt;=$A178)*MOVIMIENTOS!$E$5:$E$1005)-SUMPRODUCT((MOVIMIENTOS!$B$5:$B$1005="ENVÍO A SUPESA")*(MOVIMIENTOS!$C$5:$C$1005="A")*(MOVIMIENTOS!$D$5:$D$1005="jabas")*(MOVIMIENTOS!$A$5:$A$1005&lt;&gt;"")*(MOVIMIENTOS!$A$5:$A$1005&lt;=$A178)*MOVIMIENTOS!$E$5:$E$1005)+SUMPRODUCT((MOVIMIENTOS!$B$5:$B$1005="DEVOLUCIÓN")*(MOVIMIENTOS!$C$5:$C$1005="A")*(MOVIMIENTOS!$D$5:$D$1005="jabas")*(MOVIMIENTOS!$A$5:$A$1005&lt;&gt;"")*(MOVIMIENTOS!$A$5:$A$1005&lt;=$A178)*MOVIMIENTOS!$E$5:$E$1005)-SUMPRODUCT((MOVIMIENTOS!$B$5:$B$1005="TRASIEGO")*(MOVIMIENTOS!$C$5:$C$1005="A")*(MOVIMIENTOS!$D$5:$D$1005="jabas")*(MOVIMIENTOS!$A$5:$A$1005&lt;&gt;"")*(MOVIMIENTOS!$A$5:$A$1005&lt;=$A178)*MOVIMIENTOS!$E$5:$E$1005)-SUMPRODUCT((MOVIMIENTOS!$B$5:$B$1005="REGALO")*(MOVIMIENTOS!$C$5:$C$1005="A")*(MOVIMIENTOS!$D$5:$D$1005="jabas")*(MOVIMIENTOS!$A$5:$A$1005&lt;&gt;"")*(MOVIMIENTOS!$A$5:$A$1005&lt;=$A178)*MOVIMIENTOS!$E$5:$E$1005)-SUMPRODUCT((MOVIMIENTOS!$B$5:$B$1005="VENTA")*(MOVIMIENTOS!$C$5:$C$1005="A")*(MOVIMIENTOS!$D$5:$D$1005="jabas")*(MOVIMIENTOS!$A$5:$A$1005&lt;&gt;"")*(MOVIMIENTOS!$A$5:$A$1005&lt;=$A178)*MOVIMIENTOS!$E$5:$E$1005)+SUMPRODUCT((MOVIMIENTOS!$B$5:$B$1005="AJUSTE")*(MOVIMIENTOS!$C$5:$C$1005="A")*(MOVIMIENTOS!$D$5:$D$1005="jabas")*(MOVIMIENTOS!$A$5:$A$1005&lt;&gt;"")*(MOVIMIENTOS!$A$5:$A$1005&lt;=$A178)*MOVIMIENTOS!$E$5:$E$1005))</f>
        <v/>
      </c>
      <c r="C178" s="63" t="str">
        <f>IF($A178="","",SUMPRODUCT((MOVIMIENTOS!$B$5:$B$1005="SALDO INICIAL")*(MOVIMIENTOS!$C$5:$C$1005="P")*(MOVIMIENTOS!$D$5:$D$1005="jabas")*(MOVIMIENTOS!$A$5:$A$1005&lt;&gt;"")*(MOVIMIENTOS!$A$5:$A$1005&lt;=$A178)*MOVIMIENTOS!$E$5:$E$1005)+SUMPRODUCT((MOVIMIENTOS!$B$5:$B$1005="PROCESO")*(MOVIMIENTOS!$C$5:$C$1005="P")*(MOVIMIENTOS!$D$5:$D$1005="jabas")*(MOVIMIENTOS!$A$5:$A$1005&lt;&gt;"")*(MOVIMIENTOS!$A$5:$A$1005&lt;=$A178)*MOVIMIENTOS!$E$5:$E$1005)-SUMPRODUCT((MOVIMIENTOS!$B$5:$B$1005="ENVÍO A SUPESA")*(MOVIMIENTOS!$C$5:$C$1005="P")*(MOVIMIENTOS!$D$5:$D$1005="jabas")*(MOVIMIENTOS!$A$5:$A$1005&lt;&gt;"")*(MOVIMIENTOS!$A$5:$A$1005&lt;=$A178)*MOVIMIENTOS!$E$5:$E$1005)+SUMPRODUCT((MOVIMIENTOS!$B$5:$B$1005="DEVOLUCIÓN")*(MOVIMIENTOS!$C$5:$C$1005="P")*(MOVIMIENTOS!$D$5:$D$1005="jabas")*(MOVIMIENTOS!$A$5:$A$1005&lt;&gt;"")*(MOVIMIENTOS!$A$5:$A$1005&lt;=$A178)*MOVIMIENTOS!$E$5:$E$1005)-SUMPRODUCT((MOVIMIENTOS!$B$5:$B$1005="TRASIEGO")*(MOVIMIENTOS!$C$5:$C$1005="P")*(MOVIMIENTOS!$D$5:$D$1005="jabas")*(MOVIMIENTOS!$A$5:$A$1005&lt;&gt;"")*(MOVIMIENTOS!$A$5:$A$1005&lt;=$A178)*MOVIMIENTOS!$E$5:$E$1005)-SUMPRODUCT((MOVIMIENTOS!$B$5:$B$1005="REGALO")*(MOVIMIENTOS!$C$5:$C$1005="P")*(MOVIMIENTOS!$D$5:$D$1005="jabas")*(MOVIMIENTOS!$A$5:$A$1005&lt;&gt;"")*(MOVIMIENTOS!$A$5:$A$1005&lt;=$A178)*MOVIMIENTOS!$E$5:$E$1005)-SUMPRODUCT((MOVIMIENTOS!$B$5:$B$1005="VENTA")*(MOVIMIENTOS!$C$5:$C$1005="P")*(MOVIMIENTOS!$D$5:$D$1005="jabas")*(MOVIMIENTOS!$A$5:$A$1005&lt;&gt;"")*(MOVIMIENTOS!$A$5:$A$1005&lt;=$A178)*MOVIMIENTOS!$E$5:$E$1005)+SUMPRODUCT((MOVIMIENTOS!$B$5:$B$1005="AJUSTE")*(MOVIMIENTOS!$C$5:$C$1005="P")*(MOVIMIENTOS!$D$5:$D$1005="jabas")*(MOVIMIENTOS!$A$5:$A$1005&lt;&gt;"")*(MOVIMIENTOS!$A$5:$A$1005&lt;=$A178)*MOVIMIENTOS!$E$5:$E$1005))</f>
        <v/>
      </c>
      <c r="D178" s="63" t="str">
        <f>IF($A178="","",SUMPRODUCT((MOVIMIENTOS!$B$5:$B$1005="SALDO INICIAL")*(MOVIMIENTOS!$C$5:$C$1005="C")*(MOVIMIENTOS!$D$5:$D$1005="jabas")*(MOVIMIENTOS!$A$5:$A$1005&lt;&gt;"")*(MOVIMIENTOS!$A$5:$A$1005&lt;=$A178)*MOVIMIENTOS!$E$5:$E$1005)+SUMPRODUCT((MOVIMIENTOS!$B$5:$B$1005="PROCESO")*(MOVIMIENTOS!$C$5:$C$1005="C")*(MOVIMIENTOS!$D$5:$D$1005="jabas")*(MOVIMIENTOS!$A$5:$A$1005&lt;&gt;"")*(MOVIMIENTOS!$A$5:$A$1005&lt;=$A178)*MOVIMIENTOS!$E$5:$E$1005)-SUMPRODUCT((MOVIMIENTOS!$B$5:$B$1005="ENVÍO A SUPESA")*(MOVIMIENTOS!$C$5:$C$1005="C")*(MOVIMIENTOS!$D$5:$D$1005="jabas")*(MOVIMIENTOS!$A$5:$A$1005&lt;&gt;"")*(MOVIMIENTOS!$A$5:$A$1005&lt;=$A178)*MOVIMIENTOS!$E$5:$E$1005)+SUMPRODUCT((MOVIMIENTOS!$B$5:$B$1005="DEVOLUCIÓN")*(MOVIMIENTOS!$C$5:$C$1005="C")*(MOVIMIENTOS!$D$5:$D$1005="jabas")*(MOVIMIENTOS!$A$5:$A$1005&lt;&gt;"")*(MOVIMIENTOS!$A$5:$A$1005&lt;=$A178)*MOVIMIENTOS!$E$5:$E$1005)-SUMPRODUCT((MOVIMIENTOS!$B$5:$B$1005="TRASIEGO")*(MOVIMIENTOS!$C$5:$C$1005="C")*(MOVIMIENTOS!$D$5:$D$1005="jabas")*(MOVIMIENTOS!$A$5:$A$1005&lt;&gt;"")*(MOVIMIENTOS!$A$5:$A$1005&lt;=$A178)*MOVIMIENTOS!$E$5:$E$1005)-SUMPRODUCT((MOVIMIENTOS!$B$5:$B$1005="REGALO")*(MOVIMIENTOS!$C$5:$C$1005="C")*(MOVIMIENTOS!$D$5:$D$1005="jabas")*(MOVIMIENTOS!$A$5:$A$1005&lt;&gt;"")*(MOVIMIENTOS!$A$5:$A$1005&lt;=$A178)*MOVIMIENTOS!$E$5:$E$1005)-SUMPRODUCT((MOVIMIENTOS!$B$5:$B$1005="VENTA")*(MOVIMIENTOS!$C$5:$C$1005="C")*(MOVIMIENTOS!$D$5:$D$1005="jabas")*(MOVIMIENTOS!$A$5:$A$1005&lt;&gt;"")*(MOVIMIENTOS!$A$5:$A$1005&lt;=$A178)*MOVIMIENTOS!$E$5:$E$1005)+SUMPRODUCT((MOVIMIENTOS!$B$5:$B$1005="AJUSTE")*(MOVIMIENTOS!$C$5:$C$1005="C")*(MOVIMIENTOS!$D$5:$D$1005="jabas")*(MOVIMIENTOS!$A$5:$A$1005&lt;&gt;"")*(MOVIMIENTOS!$A$5:$A$1005&lt;=$A178)*MOVIMIENTOS!$E$5:$E$1005))</f>
        <v/>
      </c>
      <c r="E178" s="63" t="str">
        <f>IF($A178="","",SUMPRODUCT((MOVIMIENTOS!$B$5:$B$1005="SALDO INICIAL")*(MOVIMIENTOS!$C$5:$C$1005="M")*(MOVIMIENTOS!$D$5:$D$1005="jabas")*(MOVIMIENTOS!$A$5:$A$1005&lt;&gt;"")*(MOVIMIENTOS!$A$5:$A$1005&lt;=$A178)*MOVIMIENTOS!$E$5:$E$1005)+SUMPRODUCT((MOVIMIENTOS!$B$5:$B$1005="PROCESO")*(MOVIMIENTOS!$C$5:$C$1005="M")*(MOVIMIENTOS!$D$5:$D$1005="jabas")*(MOVIMIENTOS!$A$5:$A$1005&lt;&gt;"")*(MOVIMIENTOS!$A$5:$A$1005&lt;=$A178)*MOVIMIENTOS!$E$5:$E$1005)-SUMPRODUCT((MOVIMIENTOS!$B$5:$B$1005="ENVÍO A SUPESA")*(MOVIMIENTOS!$C$5:$C$1005="M")*(MOVIMIENTOS!$D$5:$D$1005="jabas")*(MOVIMIENTOS!$A$5:$A$1005&lt;&gt;"")*(MOVIMIENTOS!$A$5:$A$1005&lt;=$A178)*MOVIMIENTOS!$E$5:$E$1005)+SUMPRODUCT((MOVIMIENTOS!$B$5:$B$1005="DEVOLUCIÓN")*(MOVIMIENTOS!$C$5:$C$1005="M")*(MOVIMIENTOS!$D$5:$D$1005="jabas")*(MOVIMIENTOS!$A$5:$A$1005&lt;&gt;"")*(MOVIMIENTOS!$A$5:$A$1005&lt;=$A178)*MOVIMIENTOS!$E$5:$E$1005)-SUMPRODUCT((MOVIMIENTOS!$B$5:$B$1005="TRASIEGO")*(MOVIMIENTOS!$C$5:$C$1005="M")*(MOVIMIENTOS!$D$5:$D$1005="jabas")*(MOVIMIENTOS!$A$5:$A$1005&lt;&gt;"")*(MOVIMIENTOS!$A$5:$A$1005&lt;=$A178)*MOVIMIENTOS!$E$5:$E$1005)-SUMPRODUCT((MOVIMIENTOS!$B$5:$B$1005="REGALO")*(MOVIMIENTOS!$C$5:$C$1005="M")*(MOVIMIENTOS!$D$5:$D$1005="jabas")*(MOVIMIENTOS!$A$5:$A$1005&lt;&gt;"")*(MOVIMIENTOS!$A$5:$A$1005&lt;=$A178)*MOVIMIENTOS!$E$5:$E$1005)-SUMPRODUCT((MOVIMIENTOS!$B$5:$B$1005="VENTA")*(MOVIMIENTOS!$C$5:$C$1005="M")*(MOVIMIENTOS!$D$5:$D$1005="jabas")*(MOVIMIENTOS!$A$5:$A$1005&lt;&gt;"")*(MOVIMIENTOS!$A$5:$A$1005&lt;=$A178)*MOVIMIENTOS!$E$5:$E$1005)+SUMPRODUCT((MOVIMIENTOS!$B$5:$B$1005="AJUSTE")*(MOVIMIENTOS!$C$5:$C$1005="M")*(MOVIMIENTOS!$D$5:$D$1005="jabas")*(MOVIMIENTOS!$A$5:$A$1005&lt;&gt;"")*(MOVIMIENTOS!$A$5:$A$1005&lt;=$A178)*MOVIMIENTOS!$E$5:$E$1005))</f>
        <v/>
      </c>
      <c r="F178" s="63" t="str">
        <f>IF($A178="","",SUMPRODUCT((MOVIMIENTOS!$B$5:$B$1005="SALDO INICIAL")*(MOVIMIENTOS!$C$5:$C$1005="Chancho")*(MOVIMIENTOS!$D$5:$D$1005="sacos")*(MOVIMIENTOS!$A$5:$A$1005&lt;&gt;"")*(MOVIMIENTOS!$A$5:$A$1005&lt;=$A178)*MOVIMIENTOS!$E$5:$E$1005)+SUMPRODUCT((MOVIMIENTOS!$B$5:$B$1005="PROCESO")*(MOVIMIENTOS!$C$5:$C$1005="Chancho")*(MOVIMIENTOS!$D$5:$D$1005="sacos")*(MOVIMIENTOS!$A$5:$A$1005&lt;&gt;"")*(MOVIMIENTOS!$A$5:$A$1005&lt;=$A178)*MOVIMIENTOS!$E$5:$E$1005)-SUMPRODUCT((MOVIMIENTOS!$B$5:$B$1005="VENTA CHANCHO")*(MOVIMIENTOS!$C$5:$C$1005="Chancho")*(MOVIMIENTOS!$D$5:$D$1005="sacos")*(MOVIMIENTOS!$A$5:$A$1005&lt;&gt;"")*(MOVIMIENTOS!$A$5:$A$1005&lt;=$A178)*MOVIMIENTOS!$E$5:$E$1005)-SUMPRODUCT((MOVIMIENTOS!$B$5:$B$1005="REGALO")*(MOVIMIENTOS!$C$5:$C$1005="Chancho")*(MOVIMIENTOS!$D$5:$D$1005="sacos")*(MOVIMIENTOS!$A$5:$A$1005&lt;&gt;"")*(MOVIMIENTOS!$A$5:$A$1005&lt;=$A178)*MOVIMIENTOS!$E$5:$E$1005)-SUMPRODUCT((MOVIMIENTOS!$B$5:$B$1005="VENTA")*(MOVIMIENTOS!$C$5:$C$1005="Chancho")*(MOVIMIENTOS!$D$5:$D$1005="sacos")*(MOVIMIENTOS!$A$5:$A$1005&lt;&gt;"")*(MOVIMIENTOS!$A$5:$A$1005&lt;=$A178)*MOVIMIENTOS!$E$5:$E$1005)+SUMPRODUCT((MOVIMIENTOS!$B$5:$B$1005="AJUSTE")*(MOVIMIENTOS!$C$5:$C$1005="Chancho")*(MOVIMIENTOS!$D$5:$D$1005="sacos")*(MOVIMIENTOS!$A$5:$A$1005&lt;&gt;"")*(MOVIMIENTOS!$A$5:$A$1005&lt;=$A178)*MOVIMIENTOS!$E$5:$E$1005))</f>
        <v/>
      </c>
      <c r="G178" s="95" t="str">
        <f t="shared" si="5"/>
        <v/>
      </c>
      <c r="H178" s="63" t="str">
        <f>IF($A178="","",SUMPRODUCT((((MOVIMIENTOS!$B$5:$B$1005="SALDO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178)*MOVIMIENTOS!$J$5:$J$1005))</f>
        <v/>
      </c>
      <c r="I178" s="63"/>
      <c r="J178" s="63" t="str">
        <f>IF(AND(MOVIMIENTOS!$A178&lt;&gt;"",COUNTIF(MOVIMIENTOS!$A$5:$A177,MOVIMIENTOS!$A178)=0),COUNT(J$4:J177)+1,"")</f>
        <v/>
      </c>
      <c r="K178" s="66">
        <f>MOVIMIENTOS!$A178</f>
        <v>46228</v>
      </c>
      <c r="L178" s="63"/>
      <c r="M178" s="63"/>
      <c r="N178" s="63"/>
    </row>
    <row r="179" spans="1:14" ht="15" customHeight="1" x14ac:dyDescent="0.2">
      <c r="A179" s="63" t="str">
        <f t="shared" si="4"/>
        <v/>
      </c>
      <c r="B179" s="63" t="str">
        <f>IF($A179="","",SUMPRODUCT((MOVIMIENTOS!$B$5:$B$1005="SALDO INICIAL")*(MOVIMIENTOS!$C$5:$C$1005="A")*(MOVIMIENTOS!$D$5:$D$1005="jabas")*(MOVIMIENTOS!$A$5:$A$1005&lt;&gt;"")*(MOVIMIENTOS!$A$5:$A$1005&lt;=$A179)*MOVIMIENTOS!$E$5:$E$1005)+SUMPRODUCT((MOVIMIENTOS!$B$5:$B$1005="PROCESO")*(MOVIMIENTOS!$C$5:$C$1005="A")*(MOVIMIENTOS!$D$5:$D$1005="jabas")*(MOVIMIENTOS!$A$5:$A$1005&lt;&gt;"")*(MOVIMIENTOS!$A$5:$A$1005&lt;=$A179)*MOVIMIENTOS!$E$5:$E$1005)-SUMPRODUCT((MOVIMIENTOS!$B$5:$B$1005="ENVÍO A SUPESA")*(MOVIMIENTOS!$C$5:$C$1005="A")*(MOVIMIENTOS!$D$5:$D$1005="jabas")*(MOVIMIENTOS!$A$5:$A$1005&lt;&gt;"")*(MOVIMIENTOS!$A$5:$A$1005&lt;=$A179)*MOVIMIENTOS!$E$5:$E$1005)+SUMPRODUCT((MOVIMIENTOS!$B$5:$B$1005="DEVOLUCIÓN")*(MOVIMIENTOS!$C$5:$C$1005="A")*(MOVIMIENTOS!$D$5:$D$1005="jabas")*(MOVIMIENTOS!$A$5:$A$1005&lt;&gt;"")*(MOVIMIENTOS!$A$5:$A$1005&lt;=$A179)*MOVIMIENTOS!$E$5:$E$1005)-SUMPRODUCT((MOVIMIENTOS!$B$5:$B$1005="TRASIEGO")*(MOVIMIENTOS!$C$5:$C$1005="A")*(MOVIMIENTOS!$D$5:$D$1005="jabas")*(MOVIMIENTOS!$A$5:$A$1005&lt;&gt;"")*(MOVIMIENTOS!$A$5:$A$1005&lt;=$A179)*MOVIMIENTOS!$E$5:$E$1005)-SUMPRODUCT((MOVIMIENTOS!$B$5:$B$1005="REGALO")*(MOVIMIENTOS!$C$5:$C$1005="A")*(MOVIMIENTOS!$D$5:$D$1005="jabas")*(MOVIMIENTOS!$A$5:$A$1005&lt;&gt;"")*(MOVIMIENTOS!$A$5:$A$1005&lt;=$A179)*MOVIMIENTOS!$E$5:$E$1005)-SUMPRODUCT((MOVIMIENTOS!$B$5:$B$1005="VENTA")*(MOVIMIENTOS!$C$5:$C$1005="A")*(MOVIMIENTOS!$D$5:$D$1005="jabas")*(MOVIMIENTOS!$A$5:$A$1005&lt;&gt;"")*(MOVIMIENTOS!$A$5:$A$1005&lt;=$A179)*MOVIMIENTOS!$E$5:$E$1005)+SUMPRODUCT((MOVIMIENTOS!$B$5:$B$1005="AJUSTE")*(MOVIMIENTOS!$C$5:$C$1005="A")*(MOVIMIENTOS!$D$5:$D$1005="jabas")*(MOVIMIENTOS!$A$5:$A$1005&lt;&gt;"")*(MOVIMIENTOS!$A$5:$A$1005&lt;=$A179)*MOVIMIENTOS!$E$5:$E$1005))</f>
        <v/>
      </c>
      <c r="C179" s="63" t="str">
        <f>IF($A179="","",SUMPRODUCT((MOVIMIENTOS!$B$5:$B$1005="SALDO INICIAL")*(MOVIMIENTOS!$C$5:$C$1005="P")*(MOVIMIENTOS!$D$5:$D$1005="jabas")*(MOVIMIENTOS!$A$5:$A$1005&lt;&gt;"")*(MOVIMIENTOS!$A$5:$A$1005&lt;=$A179)*MOVIMIENTOS!$E$5:$E$1005)+SUMPRODUCT((MOVIMIENTOS!$B$5:$B$1005="PROCESO")*(MOVIMIENTOS!$C$5:$C$1005="P")*(MOVIMIENTOS!$D$5:$D$1005="jabas")*(MOVIMIENTOS!$A$5:$A$1005&lt;&gt;"")*(MOVIMIENTOS!$A$5:$A$1005&lt;=$A179)*MOVIMIENTOS!$E$5:$E$1005)-SUMPRODUCT((MOVIMIENTOS!$B$5:$B$1005="ENVÍO A SUPESA")*(MOVIMIENTOS!$C$5:$C$1005="P")*(MOVIMIENTOS!$D$5:$D$1005="jabas")*(MOVIMIENTOS!$A$5:$A$1005&lt;&gt;"")*(MOVIMIENTOS!$A$5:$A$1005&lt;=$A179)*MOVIMIENTOS!$E$5:$E$1005)+SUMPRODUCT((MOVIMIENTOS!$B$5:$B$1005="DEVOLUCIÓN")*(MOVIMIENTOS!$C$5:$C$1005="P")*(MOVIMIENTOS!$D$5:$D$1005="jabas")*(MOVIMIENTOS!$A$5:$A$1005&lt;&gt;"")*(MOVIMIENTOS!$A$5:$A$1005&lt;=$A179)*MOVIMIENTOS!$E$5:$E$1005)-SUMPRODUCT((MOVIMIENTOS!$B$5:$B$1005="TRASIEGO")*(MOVIMIENTOS!$C$5:$C$1005="P")*(MOVIMIENTOS!$D$5:$D$1005="jabas")*(MOVIMIENTOS!$A$5:$A$1005&lt;&gt;"")*(MOVIMIENTOS!$A$5:$A$1005&lt;=$A179)*MOVIMIENTOS!$E$5:$E$1005)-SUMPRODUCT((MOVIMIENTOS!$B$5:$B$1005="REGALO")*(MOVIMIENTOS!$C$5:$C$1005="P")*(MOVIMIENTOS!$D$5:$D$1005="jabas")*(MOVIMIENTOS!$A$5:$A$1005&lt;&gt;"")*(MOVIMIENTOS!$A$5:$A$1005&lt;=$A179)*MOVIMIENTOS!$E$5:$E$1005)-SUMPRODUCT((MOVIMIENTOS!$B$5:$B$1005="VENTA")*(MOVIMIENTOS!$C$5:$C$1005="P")*(MOVIMIENTOS!$D$5:$D$1005="jabas")*(MOVIMIENTOS!$A$5:$A$1005&lt;&gt;"")*(MOVIMIENTOS!$A$5:$A$1005&lt;=$A179)*MOVIMIENTOS!$E$5:$E$1005)+SUMPRODUCT((MOVIMIENTOS!$B$5:$B$1005="AJUSTE")*(MOVIMIENTOS!$C$5:$C$1005="P")*(MOVIMIENTOS!$D$5:$D$1005="jabas")*(MOVIMIENTOS!$A$5:$A$1005&lt;&gt;"")*(MOVIMIENTOS!$A$5:$A$1005&lt;=$A179)*MOVIMIENTOS!$E$5:$E$1005))</f>
        <v/>
      </c>
      <c r="D179" s="63" t="str">
        <f>IF($A179="","",SUMPRODUCT((MOVIMIENTOS!$B$5:$B$1005="SALDO INICIAL")*(MOVIMIENTOS!$C$5:$C$1005="C")*(MOVIMIENTOS!$D$5:$D$1005="jabas")*(MOVIMIENTOS!$A$5:$A$1005&lt;&gt;"")*(MOVIMIENTOS!$A$5:$A$1005&lt;=$A179)*MOVIMIENTOS!$E$5:$E$1005)+SUMPRODUCT((MOVIMIENTOS!$B$5:$B$1005="PROCESO")*(MOVIMIENTOS!$C$5:$C$1005="C")*(MOVIMIENTOS!$D$5:$D$1005="jabas")*(MOVIMIENTOS!$A$5:$A$1005&lt;&gt;"")*(MOVIMIENTOS!$A$5:$A$1005&lt;=$A179)*MOVIMIENTOS!$E$5:$E$1005)-SUMPRODUCT((MOVIMIENTOS!$B$5:$B$1005="ENVÍO A SUPESA")*(MOVIMIENTOS!$C$5:$C$1005="C")*(MOVIMIENTOS!$D$5:$D$1005="jabas")*(MOVIMIENTOS!$A$5:$A$1005&lt;&gt;"")*(MOVIMIENTOS!$A$5:$A$1005&lt;=$A179)*MOVIMIENTOS!$E$5:$E$1005)+SUMPRODUCT((MOVIMIENTOS!$B$5:$B$1005="DEVOLUCIÓN")*(MOVIMIENTOS!$C$5:$C$1005="C")*(MOVIMIENTOS!$D$5:$D$1005="jabas")*(MOVIMIENTOS!$A$5:$A$1005&lt;&gt;"")*(MOVIMIENTOS!$A$5:$A$1005&lt;=$A179)*MOVIMIENTOS!$E$5:$E$1005)-SUMPRODUCT((MOVIMIENTOS!$B$5:$B$1005="TRASIEGO")*(MOVIMIENTOS!$C$5:$C$1005="C")*(MOVIMIENTOS!$D$5:$D$1005="jabas")*(MOVIMIENTOS!$A$5:$A$1005&lt;&gt;"")*(MOVIMIENTOS!$A$5:$A$1005&lt;=$A179)*MOVIMIENTOS!$E$5:$E$1005)-SUMPRODUCT((MOVIMIENTOS!$B$5:$B$1005="REGALO")*(MOVIMIENTOS!$C$5:$C$1005="C")*(MOVIMIENTOS!$D$5:$D$1005="jabas")*(MOVIMIENTOS!$A$5:$A$1005&lt;&gt;"")*(MOVIMIENTOS!$A$5:$A$1005&lt;=$A179)*MOVIMIENTOS!$E$5:$E$1005)-SUMPRODUCT((MOVIMIENTOS!$B$5:$B$1005="VENTA")*(MOVIMIENTOS!$C$5:$C$1005="C")*(MOVIMIENTOS!$D$5:$D$1005="jabas")*(MOVIMIENTOS!$A$5:$A$1005&lt;&gt;"")*(MOVIMIENTOS!$A$5:$A$1005&lt;=$A179)*MOVIMIENTOS!$E$5:$E$1005)+SUMPRODUCT((MOVIMIENTOS!$B$5:$B$1005="AJUSTE")*(MOVIMIENTOS!$C$5:$C$1005="C")*(MOVIMIENTOS!$D$5:$D$1005="jabas")*(MOVIMIENTOS!$A$5:$A$1005&lt;&gt;"")*(MOVIMIENTOS!$A$5:$A$1005&lt;=$A179)*MOVIMIENTOS!$E$5:$E$1005))</f>
        <v/>
      </c>
      <c r="E179" s="63" t="str">
        <f>IF($A179="","",SUMPRODUCT((MOVIMIENTOS!$B$5:$B$1005="SALDO INICIAL")*(MOVIMIENTOS!$C$5:$C$1005="M")*(MOVIMIENTOS!$D$5:$D$1005="jabas")*(MOVIMIENTOS!$A$5:$A$1005&lt;&gt;"")*(MOVIMIENTOS!$A$5:$A$1005&lt;=$A179)*MOVIMIENTOS!$E$5:$E$1005)+SUMPRODUCT((MOVIMIENTOS!$B$5:$B$1005="PROCESO")*(MOVIMIENTOS!$C$5:$C$1005="M")*(MOVIMIENTOS!$D$5:$D$1005="jabas")*(MOVIMIENTOS!$A$5:$A$1005&lt;&gt;"")*(MOVIMIENTOS!$A$5:$A$1005&lt;=$A179)*MOVIMIENTOS!$E$5:$E$1005)-SUMPRODUCT((MOVIMIENTOS!$B$5:$B$1005="ENVÍO A SUPESA")*(MOVIMIENTOS!$C$5:$C$1005="M")*(MOVIMIENTOS!$D$5:$D$1005="jabas")*(MOVIMIENTOS!$A$5:$A$1005&lt;&gt;"")*(MOVIMIENTOS!$A$5:$A$1005&lt;=$A179)*MOVIMIENTOS!$E$5:$E$1005)+SUMPRODUCT((MOVIMIENTOS!$B$5:$B$1005="DEVOLUCIÓN")*(MOVIMIENTOS!$C$5:$C$1005="M")*(MOVIMIENTOS!$D$5:$D$1005="jabas")*(MOVIMIENTOS!$A$5:$A$1005&lt;&gt;"")*(MOVIMIENTOS!$A$5:$A$1005&lt;=$A179)*MOVIMIENTOS!$E$5:$E$1005)-SUMPRODUCT((MOVIMIENTOS!$B$5:$B$1005="TRASIEGO")*(MOVIMIENTOS!$C$5:$C$1005="M")*(MOVIMIENTOS!$D$5:$D$1005="jabas")*(MOVIMIENTOS!$A$5:$A$1005&lt;&gt;"")*(MOVIMIENTOS!$A$5:$A$1005&lt;=$A179)*MOVIMIENTOS!$E$5:$E$1005)-SUMPRODUCT((MOVIMIENTOS!$B$5:$B$1005="REGALO")*(MOVIMIENTOS!$C$5:$C$1005="M")*(MOVIMIENTOS!$D$5:$D$1005="jabas")*(MOVIMIENTOS!$A$5:$A$1005&lt;&gt;"")*(MOVIMIENTOS!$A$5:$A$1005&lt;=$A179)*MOVIMIENTOS!$E$5:$E$1005)-SUMPRODUCT((MOVIMIENTOS!$B$5:$B$1005="VENTA")*(MOVIMIENTOS!$C$5:$C$1005="M")*(MOVIMIENTOS!$D$5:$D$1005="jabas")*(MOVIMIENTOS!$A$5:$A$1005&lt;&gt;"")*(MOVIMIENTOS!$A$5:$A$1005&lt;=$A179)*MOVIMIENTOS!$E$5:$E$1005)+SUMPRODUCT((MOVIMIENTOS!$B$5:$B$1005="AJUSTE")*(MOVIMIENTOS!$C$5:$C$1005="M")*(MOVIMIENTOS!$D$5:$D$1005="jabas")*(MOVIMIENTOS!$A$5:$A$1005&lt;&gt;"")*(MOVIMIENTOS!$A$5:$A$1005&lt;=$A179)*MOVIMIENTOS!$E$5:$E$1005))</f>
        <v/>
      </c>
      <c r="F179" s="63" t="str">
        <f>IF($A179="","",SUMPRODUCT((MOVIMIENTOS!$B$5:$B$1005="SALDO INICIAL")*(MOVIMIENTOS!$C$5:$C$1005="Chancho")*(MOVIMIENTOS!$D$5:$D$1005="sacos")*(MOVIMIENTOS!$A$5:$A$1005&lt;&gt;"")*(MOVIMIENTOS!$A$5:$A$1005&lt;=$A179)*MOVIMIENTOS!$E$5:$E$1005)+SUMPRODUCT((MOVIMIENTOS!$B$5:$B$1005="PROCESO")*(MOVIMIENTOS!$C$5:$C$1005="Chancho")*(MOVIMIENTOS!$D$5:$D$1005="sacos")*(MOVIMIENTOS!$A$5:$A$1005&lt;&gt;"")*(MOVIMIENTOS!$A$5:$A$1005&lt;=$A179)*MOVIMIENTOS!$E$5:$E$1005)-SUMPRODUCT((MOVIMIENTOS!$B$5:$B$1005="VENTA CHANCHO")*(MOVIMIENTOS!$C$5:$C$1005="Chancho")*(MOVIMIENTOS!$D$5:$D$1005="sacos")*(MOVIMIENTOS!$A$5:$A$1005&lt;&gt;"")*(MOVIMIENTOS!$A$5:$A$1005&lt;=$A179)*MOVIMIENTOS!$E$5:$E$1005)-SUMPRODUCT((MOVIMIENTOS!$B$5:$B$1005="REGALO")*(MOVIMIENTOS!$C$5:$C$1005="Chancho")*(MOVIMIENTOS!$D$5:$D$1005="sacos")*(MOVIMIENTOS!$A$5:$A$1005&lt;&gt;"")*(MOVIMIENTOS!$A$5:$A$1005&lt;=$A179)*MOVIMIENTOS!$E$5:$E$1005)-SUMPRODUCT((MOVIMIENTOS!$B$5:$B$1005="VENTA")*(MOVIMIENTOS!$C$5:$C$1005="Chancho")*(MOVIMIENTOS!$D$5:$D$1005="sacos")*(MOVIMIENTOS!$A$5:$A$1005&lt;&gt;"")*(MOVIMIENTOS!$A$5:$A$1005&lt;=$A179)*MOVIMIENTOS!$E$5:$E$1005)+SUMPRODUCT((MOVIMIENTOS!$B$5:$B$1005="AJUSTE")*(MOVIMIENTOS!$C$5:$C$1005="Chancho")*(MOVIMIENTOS!$D$5:$D$1005="sacos")*(MOVIMIENTOS!$A$5:$A$1005&lt;&gt;"")*(MOVIMIENTOS!$A$5:$A$1005&lt;=$A179)*MOVIMIENTOS!$E$5:$E$1005))</f>
        <v/>
      </c>
      <c r="G179" s="95" t="str">
        <f t="shared" si="5"/>
        <v/>
      </c>
      <c r="H179" s="63" t="str">
        <f>IF($A179="","",SUMPRODUCT((((MOVIMIENTOS!$B$5:$B$1005="SALDO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179)*MOVIMIENTOS!$J$5:$J$1005))</f>
        <v/>
      </c>
      <c r="I179" s="63"/>
      <c r="J179" s="63" t="str">
        <f>IF(AND(MOVIMIENTOS!$A179&lt;&gt;"",COUNTIF(MOVIMIENTOS!$A$5:$A178,MOVIMIENTOS!$A179)=0),COUNT(J$4:J178)+1,"")</f>
        <v/>
      </c>
      <c r="K179" s="66">
        <f>MOVIMIENTOS!$A179</f>
        <v>46228</v>
      </c>
      <c r="L179" s="63"/>
      <c r="M179" s="63"/>
      <c r="N179" s="63"/>
    </row>
    <row r="180" spans="1:14" ht="15" customHeight="1" x14ac:dyDescent="0.2">
      <c r="A180" s="63" t="str">
        <f t="shared" si="4"/>
        <v/>
      </c>
      <c r="B180" s="63" t="str">
        <f>IF($A180="","",SUMPRODUCT((MOVIMIENTOS!$B$5:$B$1005="SALDO INICIAL")*(MOVIMIENTOS!$C$5:$C$1005="A")*(MOVIMIENTOS!$D$5:$D$1005="jabas")*(MOVIMIENTOS!$A$5:$A$1005&lt;&gt;"")*(MOVIMIENTOS!$A$5:$A$1005&lt;=$A180)*MOVIMIENTOS!$E$5:$E$1005)+SUMPRODUCT((MOVIMIENTOS!$B$5:$B$1005="PROCESO")*(MOVIMIENTOS!$C$5:$C$1005="A")*(MOVIMIENTOS!$D$5:$D$1005="jabas")*(MOVIMIENTOS!$A$5:$A$1005&lt;&gt;"")*(MOVIMIENTOS!$A$5:$A$1005&lt;=$A180)*MOVIMIENTOS!$E$5:$E$1005)-SUMPRODUCT((MOVIMIENTOS!$B$5:$B$1005="ENVÍO A SUPESA")*(MOVIMIENTOS!$C$5:$C$1005="A")*(MOVIMIENTOS!$D$5:$D$1005="jabas")*(MOVIMIENTOS!$A$5:$A$1005&lt;&gt;"")*(MOVIMIENTOS!$A$5:$A$1005&lt;=$A180)*MOVIMIENTOS!$E$5:$E$1005)+SUMPRODUCT((MOVIMIENTOS!$B$5:$B$1005="DEVOLUCIÓN")*(MOVIMIENTOS!$C$5:$C$1005="A")*(MOVIMIENTOS!$D$5:$D$1005="jabas")*(MOVIMIENTOS!$A$5:$A$1005&lt;&gt;"")*(MOVIMIENTOS!$A$5:$A$1005&lt;=$A180)*MOVIMIENTOS!$E$5:$E$1005)-SUMPRODUCT((MOVIMIENTOS!$B$5:$B$1005="TRASIEGO")*(MOVIMIENTOS!$C$5:$C$1005="A")*(MOVIMIENTOS!$D$5:$D$1005="jabas")*(MOVIMIENTOS!$A$5:$A$1005&lt;&gt;"")*(MOVIMIENTOS!$A$5:$A$1005&lt;=$A180)*MOVIMIENTOS!$E$5:$E$1005)-SUMPRODUCT((MOVIMIENTOS!$B$5:$B$1005="REGALO")*(MOVIMIENTOS!$C$5:$C$1005="A")*(MOVIMIENTOS!$D$5:$D$1005="jabas")*(MOVIMIENTOS!$A$5:$A$1005&lt;&gt;"")*(MOVIMIENTOS!$A$5:$A$1005&lt;=$A180)*MOVIMIENTOS!$E$5:$E$1005)-SUMPRODUCT((MOVIMIENTOS!$B$5:$B$1005="VENTA")*(MOVIMIENTOS!$C$5:$C$1005="A")*(MOVIMIENTOS!$D$5:$D$1005="jabas")*(MOVIMIENTOS!$A$5:$A$1005&lt;&gt;"")*(MOVIMIENTOS!$A$5:$A$1005&lt;=$A180)*MOVIMIENTOS!$E$5:$E$1005)+SUMPRODUCT((MOVIMIENTOS!$B$5:$B$1005="AJUSTE")*(MOVIMIENTOS!$C$5:$C$1005="A")*(MOVIMIENTOS!$D$5:$D$1005="jabas")*(MOVIMIENTOS!$A$5:$A$1005&lt;&gt;"")*(MOVIMIENTOS!$A$5:$A$1005&lt;=$A180)*MOVIMIENTOS!$E$5:$E$1005))</f>
        <v/>
      </c>
      <c r="C180" s="63" t="str">
        <f>IF($A180="","",SUMPRODUCT((MOVIMIENTOS!$B$5:$B$1005="SALDO INICIAL")*(MOVIMIENTOS!$C$5:$C$1005="P")*(MOVIMIENTOS!$D$5:$D$1005="jabas")*(MOVIMIENTOS!$A$5:$A$1005&lt;&gt;"")*(MOVIMIENTOS!$A$5:$A$1005&lt;=$A180)*MOVIMIENTOS!$E$5:$E$1005)+SUMPRODUCT((MOVIMIENTOS!$B$5:$B$1005="PROCESO")*(MOVIMIENTOS!$C$5:$C$1005="P")*(MOVIMIENTOS!$D$5:$D$1005="jabas")*(MOVIMIENTOS!$A$5:$A$1005&lt;&gt;"")*(MOVIMIENTOS!$A$5:$A$1005&lt;=$A180)*MOVIMIENTOS!$E$5:$E$1005)-SUMPRODUCT((MOVIMIENTOS!$B$5:$B$1005="ENVÍO A SUPESA")*(MOVIMIENTOS!$C$5:$C$1005="P")*(MOVIMIENTOS!$D$5:$D$1005="jabas")*(MOVIMIENTOS!$A$5:$A$1005&lt;&gt;"")*(MOVIMIENTOS!$A$5:$A$1005&lt;=$A180)*MOVIMIENTOS!$E$5:$E$1005)+SUMPRODUCT((MOVIMIENTOS!$B$5:$B$1005="DEVOLUCIÓN")*(MOVIMIENTOS!$C$5:$C$1005="P")*(MOVIMIENTOS!$D$5:$D$1005="jabas")*(MOVIMIENTOS!$A$5:$A$1005&lt;&gt;"")*(MOVIMIENTOS!$A$5:$A$1005&lt;=$A180)*MOVIMIENTOS!$E$5:$E$1005)-SUMPRODUCT((MOVIMIENTOS!$B$5:$B$1005="TRASIEGO")*(MOVIMIENTOS!$C$5:$C$1005="P")*(MOVIMIENTOS!$D$5:$D$1005="jabas")*(MOVIMIENTOS!$A$5:$A$1005&lt;&gt;"")*(MOVIMIENTOS!$A$5:$A$1005&lt;=$A180)*MOVIMIENTOS!$E$5:$E$1005)-SUMPRODUCT((MOVIMIENTOS!$B$5:$B$1005="REGALO")*(MOVIMIENTOS!$C$5:$C$1005="P")*(MOVIMIENTOS!$D$5:$D$1005="jabas")*(MOVIMIENTOS!$A$5:$A$1005&lt;&gt;"")*(MOVIMIENTOS!$A$5:$A$1005&lt;=$A180)*MOVIMIENTOS!$E$5:$E$1005)-SUMPRODUCT((MOVIMIENTOS!$B$5:$B$1005="VENTA")*(MOVIMIENTOS!$C$5:$C$1005="P")*(MOVIMIENTOS!$D$5:$D$1005="jabas")*(MOVIMIENTOS!$A$5:$A$1005&lt;&gt;"")*(MOVIMIENTOS!$A$5:$A$1005&lt;=$A180)*MOVIMIENTOS!$E$5:$E$1005)+SUMPRODUCT((MOVIMIENTOS!$B$5:$B$1005="AJUSTE")*(MOVIMIENTOS!$C$5:$C$1005="P")*(MOVIMIENTOS!$D$5:$D$1005="jabas")*(MOVIMIENTOS!$A$5:$A$1005&lt;&gt;"")*(MOVIMIENTOS!$A$5:$A$1005&lt;=$A180)*MOVIMIENTOS!$E$5:$E$1005))</f>
        <v/>
      </c>
      <c r="D180" s="63" t="str">
        <f>IF($A180="","",SUMPRODUCT((MOVIMIENTOS!$B$5:$B$1005="SALDO INICIAL")*(MOVIMIENTOS!$C$5:$C$1005="C")*(MOVIMIENTOS!$D$5:$D$1005="jabas")*(MOVIMIENTOS!$A$5:$A$1005&lt;&gt;"")*(MOVIMIENTOS!$A$5:$A$1005&lt;=$A180)*MOVIMIENTOS!$E$5:$E$1005)+SUMPRODUCT((MOVIMIENTOS!$B$5:$B$1005="PROCESO")*(MOVIMIENTOS!$C$5:$C$1005="C")*(MOVIMIENTOS!$D$5:$D$1005="jabas")*(MOVIMIENTOS!$A$5:$A$1005&lt;&gt;"")*(MOVIMIENTOS!$A$5:$A$1005&lt;=$A180)*MOVIMIENTOS!$E$5:$E$1005)-SUMPRODUCT((MOVIMIENTOS!$B$5:$B$1005="ENVÍO A SUPESA")*(MOVIMIENTOS!$C$5:$C$1005="C")*(MOVIMIENTOS!$D$5:$D$1005="jabas")*(MOVIMIENTOS!$A$5:$A$1005&lt;&gt;"")*(MOVIMIENTOS!$A$5:$A$1005&lt;=$A180)*MOVIMIENTOS!$E$5:$E$1005)+SUMPRODUCT((MOVIMIENTOS!$B$5:$B$1005="DEVOLUCIÓN")*(MOVIMIENTOS!$C$5:$C$1005="C")*(MOVIMIENTOS!$D$5:$D$1005="jabas")*(MOVIMIENTOS!$A$5:$A$1005&lt;&gt;"")*(MOVIMIENTOS!$A$5:$A$1005&lt;=$A180)*MOVIMIENTOS!$E$5:$E$1005)-SUMPRODUCT((MOVIMIENTOS!$B$5:$B$1005="TRASIEGO")*(MOVIMIENTOS!$C$5:$C$1005="C")*(MOVIMIENTOS!$D$5:$D$1005="jabas")*(MOVIMIENTOS!$A$5:$A$1005&lt;&gt;"")*(MOVIMIENTOS!$A$5:$A$1005&lt;=$A180)*MOVIMIENTOS!$E$5:$E$1005)-SUMPRODUCT((MOVIMIENTOS!$B$5:$B$1005="REGALO")*(MOVIMIENTOS!$C$5:$C$1005="C")*(MOVIMIENTOS!$D$5:$D$1005="jabas")*(MOVIMIENTOS!$A$5:$A$1005&lt;&gt;"")*(MOVIMIENTOS!$A$5:$A$1005&lt;=$A180)*MOVIMIENTOS!$E$5:$E$1005)-SUMPRODUCT((MOVIMIENTOS!$B$5:$B$1005="VENTA")*(MOVIMIENTOS!$C$5:$C$1005="C")*(MOVIMIENTOS!$D$5:$D$1005="jabas")*(MOVIMIENTOS!$A$5:$A$1005&lt;&gt;"")*(MOVIMIENTOS!$A$5:$A$1005&lt;=$A180)*MOVIMIENTOS!$E$5:$E$1005)+SUMPRODUCT((MOVIMIENTOS!$B$5:$B$1005="AJUSTE")*(MOVIMIENTOS!$C$5:$C$1005="C")*(MOVIMIENTOS!$D$5:$D$1005="jabas")*(MOVIMIENTOS!$A$5:$A$1005&lt;&gt;"")*(MOVIMIENTOS!$A$5:$A$1005&lt;=$A180)*MOVIMIENTOS!$E$5:$E$1005))</f>
        <v/>
      </c>
      <c r="E180" s="63" t="str">
        <f>IF($A180="","",SUMPRODUCT((MOVIMIENTOS!$B$5:$B$1005="SALDO INICIAL")*(MOVIMIENTOS!$C$5:$C$1005="M")*(MOVIMIENTOS!$D$5:$D$1005="jabas")*(MOVIMIENTOS!$A$5:$A$1005&lt;&gt;"")*(MOVIMIENTOS!$A$5:$A$1005&lt;=$A180)*MOVIMIENTOS!$E$5:$E$1005)+SUMPRODUCT((MOVIMIENTOS!$B$5:$B$1005="PROCESO")*(MOVIMIENTOS!$C$5:$C$1005="M")*(MOVIMIENTOS!$D$5:$D$1005="jabas")*(MOVIMIENTOS!$A$5:$A$1005&lt;&gt;"")*(MOVIMIENTOS!$A$5:$A$1005&lt;=$A180)*MOVIMIENTOS!$E$5:$E$1005)-SUMPRODUCT((MOVIMIENTOS!$B$5:$B$1005="ENVÍO A SUPESA")*(MOVIMIENTOS!$C$5:$C$1005="M")*(MOVIMIENTOS!$D$5:$D$1005="jabas")*(MOVIMIENTOS!$A$5:$A$1005&lt;&gt;"")*(MOVIMIENTOS!$A$5:$A$1005&lt;=$A180)*MOVIMIENTOS!$E$5:$E$1005)+SUMPRODUCT((MOVIMIENTOS!$B$5:$B$1005="DEVOLUCIÓN")*(MOVIMIENTOS!$C$5:$C$1005="M")*(MOVIMIENTOS!$D$5:$D$1005="jabas")*(MOVIMIENTOS!$A$5:$A$1005&lt;&gt;"")*(MOVIMIENTOS!$A$5:$A$1005&lt;=$A180)*MOVIMIENTOS!$E$5:$E$1005)-SUMPRODUCT((MOVIMIENTOS!$B$5:$B$1005="TRASIEGO")*(MOVIMIENTOS!$C$5:$C$1005="M")*(MOVIMIENTOS!$D$5:$D$1005="jabas")*(MOVIMIENTOS!$A$5:$A$1005&lt;&gt;"")*(MOVIMIENTOS!$A$5:$A$1005&lt;=$A180)*MOVIMIENTOS!$E$5:$E$1005)-SUMPRODUCT((MOVIMIENTOS!$B$5:$B$1005="REGALO")*(MOVIMIENTOS!$C$5:$C$1005="M")*(MOVIMIENTOS!$D$5:$D$1005="jabas")*(MOVIMIENTOS!$A$5:$A$1005&lt;&gt;"")*(MOVIMIENTOS!$A$5:$A$1005&lt;=$A180)*MOVIMIENTOS!$E$5:$E$1005)-SUMPRODUCT((MOVIMIENTOS!$B$5:$B$1005="VENTA")*(MOVIMIENTOS!$C$5:$C$1005="M")*(MOVIMIENTOS!$D$5:$D$1005="jabas")*(MOVIMIENTOS!$A$5:$A$1005&lt;&gt;"")*(MOVIMIENTOS!$A$5:$A$1005&lt;=$A180)*MOVIMIENTOS!$E$5:$E$1005)+SUMPRODUCT((MOVIMIENTOS!$B$5:$B$1005="AJUSTE")*(MOVIMIENTOS!$C$5:$C$1005="M")*(MOVIMIENTOS!$D$5:$D$1005="jabas")*(MOVIMIENTOS!$A$5:$A$1005&lt;&gt;"")*(MOVIMIENTOS!$A$5:$A$1005&lt;=$A180)*MOVIMIENTOS!$E$5:$E$1005))</f>
        <v/>
      </c>
      <c r="F180" s="63" t="str">
        <f>IF($A180="","",SUMPRODUCT((MOVIMIENTOS!$B$5:$B$1005="SALDO INICIAL")*(MOVIMIENTOS!$C$5:$C$1005="Chancho")*(MOVIMIENTOS!$D$5:$D$1005="sacos")*(MOVIMIENTOS!$A$5:$A$1005&lt;&gt;"")*(MOVIMIENTOS!$A$5:$A$1005&lt;=$A180)*MOVIMIENTOS!$E$5:$E$1005)+SUMPRODUCT((MOVIMIENTOS!$B$5:$B$1005="PROCESO")*(MOVIMIENTOS!$C$5:$C$1005="Chancho")*(MOVIMIENTOS!$D$5:$D$1005="sacos")*(MOVIMIENTOS!$A$5:$A$1005&lt;&gt;"")*(MOVIMIENTOS!$A$5:$A$1005&lt;=$A180)*MOVIMIENTOS!$E$5:$E$1005)-SUMPRODUCT((MOVIMIENTOS!$B$5:$B$1005="VENTA CHANCHO")*(MOVIMIENTOS!$C$5:$C$1005="Chancho")*(MOVIMIENTOS!$D$5:$D$1005="sacos")*(MOVIMIENTOS!$A$5:$A$1005&lt;&gt;"")*(MOVIMIENTOS!$A$5:$A$1005&lt;=$A180)*MOVIMIENTOS!$E$5:$E$1005)-SUMPRODUCT((MOVIMIENTOS!$B$5:$B$1005="REGALO")*(MOVIMIENTOS!$C$5:$C$1005="Chancho")*(MOVIMIENTOS!$D$5:$D$1005="sacos")*(MOVIMIENTOS!$A$5:$A$1005&lt;&gt;"")*(MOVIMIENTOS!$A$5:$A$1005&lt;=$A180)*MOVIMIENTOS!$E$5:$E$1005)-SUMPRODUCT((MOVIMIENTOS!$B$5:$B$1005="VENTA")*(MOVIMIENTOS!$C$5:$C$1005="Chancho")*(MOVIMIENTOS!$D$5:$D$1005="sacos")*(MOVIMIENTOS!$A$5:$A$1005&lt;&gt;"")*(MOVIMIENTOS!$A$5:$A$1005&lt;=$A180)*MOVIMIENTOS!$E$5:$E$1005)+SUMPRODUCT((MOVIMIENTOS!$B$5:$B$1005="AJUSTE")*(MOVIMIENTOS!$C$5:$C$1005="Chancho")*(MOVIMIENTOS!$D$5:$D$1005="sacos")*(MOVIMIENTOS!$A$5:$A$1005&lt;&gt;"")*(MOVIMIENTOS!$A$5:$A$1005&lt;=$A180)*MOVIMIENTOS!$E$5:$E$1005))</f>
        <v/>
      </c>
      <c r="G180" s="95" t="str">
        <f t="shared" si="5"/>
        <v/>
      </c>
      <c r="H180" s="63" t="str">
        <f>IF($A180="","",SUMPRODUCT((((MOVIMIENTOS!$B$5:$B$1005="SALDO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180)*MOVIMIENTOS!$J$5:$J$1005))</f>
        <v/>
      </c>
      <c r="I180" s="63"/>
      <c r="J180" s="63">
        <f>IF(AND(MOVIMIENTOS!$A180&lt;&gt;"",COUNTIF(MOVIMIENTOS!$A$5:$A179,MOVIMIENTOS!$A180)=0),COUNT(J$4:J179)+1,"")</f>
        <v>17</v>
      </c>
      <c r="K180" s="66">
        <f>MOVIMIENTOS!$A180</f>
        <v>46229</v>
      </c>
      <c r="L180" s="63"/>
      <c r="M180" s="63"/>
      <c r="N180" s="63"/>
    </row>
    <row r="181" spans="1:14" ht="15" customHeight="1" x14ac:dyDescent="0.2">
      <c r="A181" s="63" t="str">
        <f t="shared" si="4"/>
        <v/>
      </c>
      <c r="B181" s="63" t="str">
        <f>IF($A181="","",SUMPRODUCT((MOVIMIENTOS!$B$5:$B$1005="SALDO INICIAL")*(MOVIMIENTOS!$C$5:$C$1005="A")*(MOVIMIENTOS!$D$5:$D$1005="jabas")*(MOVIMIENTOS!$A$5:$A$1005&lt;&gt;"")*(MOVIMIENTOS!$A$5:$A$1005&lt;=$A181)*MOVIMIENTOS!$E$5:$E$1005)+SUMPRODUCT((MOVIMIENTOS!$B$5:$B$1005="PROCESO")*(MOVIMIENTOS!$C$5:$C$1005="A")*(MOVIMIENTOS!$D$5:$D$1005="jabas")*(MOVIMIENTOS!$A$5:$A$1005&lt;&gt;"")*(MOVIMIENTOS!$A$5:$A$1005&lt;=$A181)*MOVIMIENTOS!$E$5:$E$1005)-SUMPRODUCT((MOVIMIENTOS!$B$5:$B$1005="ENVÍO A SUPESA")*(MOVIMIENTOS!$C$5:$C$1005="A")*(MOVIMIENTOS!$D$5:$D$1005="jabas")*(MOVIMIENTOS!$A$5:$A$1005&lt;&gt;"")*(MOVIMIENTOS!$A$5:$A$1005&lt;=$A181)*MOVIMIENTOS!$E$5:$E$1005)+SUMPRODUCT((MOVIMIENTOS!$B$5:$B$1005="DEVOLUCIÓN")*(MOVIMIENTOS!$C$5:$C$1005="A")*(MOVIMIENTOS!$D$5:$D$1005="jabas")*(MOVIMIENTOS!$A$5:$A$1005&lt;&gt;"")*(MOVIMIENTOS!$A$5:$A$1005&lt;=$A181)*MOVIMIENTOS!$E$5:$E$1005)-SUMPRODUCT((MOVIMIENTOS!$B$5:$B$1005="TRASIEGO")*(MOVIMIENTOS!$C$5:$C$1005="A")*(MOVIMIENTOS!$D$5:$D$1005="jabas")*(MOVIMIENTOS!$A$5:$A$1005&lt;&gt;"")*(MOVIMIENTOS!$A$5:$A$1005&lt;=$A181)*MOVIMIENTOS!$E$5:$E$1005)-SUMPRODUCT((MOVIMIENTOS!$B$5:$B$1005="REGALO")*(MOVIMIENTOS!$C$5:$C$1005="A")*(MOVIMIENTOS!$D$5:$D$1005="jabas")*(MOVIMIENTOS!$A$5:$A$1005&lt;&gt;"")*(MOVIMIENTOS!$A$5:$A$1005&lt;=$A181)*MOVIMIENTOS!$E$5:$E$1005)-SUMPRODUCT((MOVIMIENTOS!$B$5:$B$1005="VENTA")*(MOVIMIENTOS!$C$5:$C$1005="A")*(MOVIMIENTOS!$D$5:$D$1005="jabas")*(MOVIMIENTOS!$A$5:$A$1005&lt;&gt;"")*(MOVIMIENTOS!$A$5:$A$1005&lt;=$A181)*MOVIMIENTOS!$E$5:$E$1005)+SUMPRODUCT((MOVIMIENTOS!$B$5:$B$1005="AJUSTE")*(MOVIMIENTOS!$C$5:$C$1005="A")*(MOVIMIENTOS!$D$5:$D$1005="jabas")*(MOVIMIENTOS!$A$5:$A$1005&lt;&gt;"")*(MOVIMIENTOS!$A$5:$A$1005&lt;=$A181)*MOVIMIENTOS!$E$5:$E$1005))</f>
        <v/>
      </c>
      <c r="C181" s="63" t="str">
        <f>IF($A181="","",SUMPRODUCT((MOVIMIENTOS!$B$5:$B$1005="SALDO INICIAL")*(MOVIMIENTOS!$C$5:$C$1005="P")*(MOVIMIENTOS!$D$5:$D$1005="jabas")*(MOVIMIENTOS!$A$5:$A$1005&lt;&gt;"")*(MOVIMIENTOS!$A$5:$A$1005&lt;=$A181)*MOVIMIENTOS!$E$5:$E$1005)+SUMPRODUCT((MOVIMIENTOS!$B$5:$B$1005="PROCESO")*(MOVIMIENTOS!$C$5:$C$1005="P")*(MOVIMIENTOS!$D$5:$D$1005="jabas")*(MOVIMIENTOS!$A$5:$A$1005&lt;&gt;"")*(MOVIMIENTOS!$A$5:$A$1005&lt;=$A181)*MOVIMIENTOS!$E$5:$E$1005)-SUMPRODUCT((MOVIMIENTOS!$B$5:$B$1005="ENVÍO A SUPESA")*(MOVIMIENTOS!$C$5:$C$1005="P")*(MOVIMIENTOS!$D$5:$D$1005="jabas")*(MOVIMIENTOS!$A$5:$A$1005&lt;&gt;"")*(MOVIMIENTOS!$A$5:$A$1005&lt;=$A181)*MOVIMIENTOS!$E$5:$E$1005)+SUMPRODUCT((MOVIMIENTOS!$B$5:$B$1005="DEVOLUCIÓN")*(MOVIMIENTOS!$C$5:$C$1005="P")*(MOVIMIENTOS!$D$5:$D$1005="jabas")*(MOVIMIENTOS!$A$5:$A$1005&lt;&gt;"")*(MOVIMIENTOS!$A$5:$A$1005&lt;=$A181)*MOVIMIENTOS!$E$5:$E$1005)-SUMPRODUCT((MOVIMIENTOS!$B$5:$B$1005="TRASIEGO")*(MOVIMIENTOS!$C$5:$C$1005="P")*(MOVIMIENTOS!$D$5:$D$1005="jabas")*(MOVIMIENTOS!$A$5:$A$1005&lt;&gt;"")*(MOVIMIENTOS!$A$5:$A$1005&lt;=$A181)*MOVIMIENTOS!$E$5:$E$1005)-SUMPRODUCT((MOVIMIENTOS!$B$5:$B$1005="REGALO")*(MOVIMIENTOS!$C$5:$C$1005="P")*(MOVIMIENTOS!$D$5:$D$1005="jabas")*(MOVIMIENTOS!$A$5:$A$1005&lt;&gt;"")*(MOVIMIENTOS!$A$5:$A$1005&lt;=$A181)*MOVIMIENTOS!$E$5:$E$1005)-SUMPRODUCT((MOVIMIENTOS!$B$5:$B$1005="VENTA")*(MOVIMIENTOS!$C$5:$C$1005="P")*(MOVIMIENTOS!$D$5:$D$1005="jabas")*(MOVIMIENTOS!$A$5:$A$1005&lt;&gt;"")*(MOVIMIENTOS!$A$5:$A$1005&lt;=$A181)*MOVIMIENTOS!$E$5:$E$1005)+SUMPRODUCT((MOVIMIENTOS!$B$5:$B$1005="AJUSTE")*(MOVIMIENTOS!$C$5:$C$1005="P")*(MOVIMIENTOS!$D$5:$D$1005="jabas")*(MOVIMIENTOS!$A$5:$A$1005&lt;&gt;"")*(MOVIMIENTOS!$A$5:$A$1005&lt;=$A181)*MOVIMIENTOS!$E$5:$E$1005))</f>
        <v/>
      </c>
      <c r="D181" s="63" t="str">
        <f>IF($A181="","",SUMPRODUCT((MOVIMIENTOS!$B$5:$B$1005="SALDO INICIAL")*(MOVIMIENTOS!$C$5:$C$1005="C")*(MOVIMIENTOS!$D$5:$D$1005="jabas")*(MOVIMIENTOS!$A$5:$A$1005&lt;&gt;"")*(MOVIMIENTOS!$A$5:$A$1005&lt;=$A181)*MOVIMIENTOS!$E$5:$E$1005)+SUMPRODUCT((MOVIMIENTOS!$B$5:$B$1005="PROCESO")*(MOVIMIENTOS!$C$5:$C$1005="C")*(MOVIMIENTOS!$D$5:$D$1005="jabas")*(MOVIMIENTOS!$A$5:$A$1005&lt;&gt;"")*(MOVIMIENTOS!$A$5:$A$1005&lt;=$A181)*MOVIMIENTOS!$E$5:$E$1005)-SUMPRODUCT((MOVIMIENTOS!$B$5:$B$1005="ENVÍO A SUPESA")*(MOVIMIENTOS!$C$5:$C$1005="C")*(MOVIMIENTOS!$D$5:$D$1005="jabas")*(MOVIMIENTOS!$A$5:$A$1005&lt;&gt;"")*(MOVIMIENTOS!$A$5:$A$1005&lt;=$A181)*MOVIMIENTOS!$E$5:$E$1005)+SUMPRODUCT((MOVIMIENTOS!$B$5:$B$1005="DEVOLUCIÓN")*(MOVIMIENTOS!$C$5:$C$1005="C")*(MOVIMIENTOS!$D$5:$D$1005="jabas")*(MOVIMIENTOS!$A$5:$A$1005&lt;&gt;"")*(MOVIMIENTOS!$A$5:$A$1005&lt;=$A181)*MOVIMIENTOS!$E$5:$E$1005)-SUMPRODUCT((MOVIMIENTOS!$B$5:$B$1005="TRASIEGO")*(MOVIMIENTOS!$C$5:$C$1005="C")*(MOVIMIENTOS!$D$5:$D$1005="jabas")*(MOVIMIENTOS!$A$5:$A$1005&lt;&gt;"")*(MOVIMIENTOS!$A$5:$A$1005&lt;=$A181)*MOVIMIENTOS!$E$5:$E$1005)-SUMPRODUCT((MOVIMIENTOS!$B$5:$B$1005="REGALO")*(MOVIMIENTOS!$C$5:$C$1005="C")*(MOVIMIENTOS!$D$5:$D$1005="jabas")*(MOVIMIENTOS!$A$5:$A$1005&lt;&gt;"")*(MOVIMIENTOS!$A$5:$A$1005&lt;=$A181)*MOVIMIENTOS!$E$5:$E$1005)-SUMPRODUCT((MOVIMIENTOS!$B$5:$B$1005="VENTA")*(MOVIMIENTOS!$C$5:$C$1005="C")*(MOVIMIENTOS!$D$5:$D$1005="jabas")*(MOVIMIENTOS!$A$5:$A$1005&lt;&gt;"")*(MOVIMIENTOS!$A$5:$A$1005&lt;=$A181)*MOVIMIENTOS!$E$5:$E$1005)+SUMPRODUCT((MOVIMIENTOS!$B$5:$B$1005="AJUSTE")*(MOVIMIENTOS!$C$5:$C$1005="C")*(MOVIMIENTOS!$D$5:$D$1005="jabas")*(MOVIMIENTOS!$A$5:$A$1005&lt;&gt;"")*(MOVIMIENTOS!$A$5:$A$1005&lt;=$A181)*MOVIMIENTOS!$E$5:$E$1005))</f>
        <v/>
      </c>
      <c r="E181" s="63" t="str">
        <f>IF($A181="","",SUMPRODUCT((MOVIMIENTOS!$B$5:$B$1005="SALDO INICIAL")*(MOVIMIENTOS!$C$5:$C$1005="M")*(MOVIMIENTOS!$D$5:$D$1005="jabas")*(MOVIMIENTOS!$A$5:$A$1005&lt;&gt;"")*(MOVIMIENTOS!$A$5:$A$1005&lt;=$A181)*MOVIMIENTOS!$E$5:$E$1005)+SUMPRODUCT((MOVIMIENTOS!$B$5:$B$1005="PROCESO")*(MOVIMIENTOS!$C$5:$C$1005="M")*(MOVIMIENTOS!$D$5:$D$1005="jabas")*(MOVIMIENTOS!$A$5:$A$1005&lt;&gt;"")*(MOVIMIENTOS!$A$5:$A$1005&lt;=$A181)*MOVIMIENTOS!$E$5:$E$1005)-SUMPRODUCT((MOVIMIENTOS!$B$5:$B$1005="ENVÍO A SUPESA")*(MOVIMIENTOS!$C$5:$C$1005="M")*(MOVIMIENTOS!$D$5:$D$1005="jabas")*(MOVIMIENTOS!$A$5:$A$1005&lt;&gt;"")*(MOVIMIENTOS!$A$5:$A$1005&lt;=$A181)*MOVIMIENTOS!$E$5:$E$1005)+SUMPRODUCT((MOVIMIENTOS!$B$5:$B$1005="DEVOLUCIÓN")*(MOVIMIENTOS!$C$5:$C$1005="M")*(MOVIMIENTOS!$D$5:$D$1005="jabas")*(MOVIMIENTOS!$A$5:$A$1005&lt;&gt;"")*(MOVIMIENTOS!$A$5:$A$1005&lt;=$A181)*MOVIMIENTOS!$E$5:$E$1005)-SUMPRODUCT((MOVIMIENTOS!$B$5:$B$1005="TRASIEGO")*(MOVIMIENTOS!$C$5:$C$1005="M")*(MOVIMIENTOS!$D$5:$D$1005="jabas")*(MOVIMIENTOS!$A$5:$A$1005&lt;&gt;"")*(MOVIMIENTOS!$A$5:$A$1005&lt;=$A181)*MOVIMIENTOS!$E$5:$E$1005)-SUMPRODUCT((MOVIMIENTOS!$B$5:$B$1005="REGALO")*(MOVIMIENTOS!$C$5:$C$1005="M")*(MOVIMIENTOS!$D$5:$D$1005="jabas")*(MOVIMIENTOS!$A$5:$A$1005&lt;&gt;"")*(MOVIMIENTOS!$A$5:$A$1005&lt;=$A181)*MOVIMIENTOS!$E$5:$E$1005)-SUMPRODUCT((MOVIMIENTOS!$B$5:$B$1005="VENTA")*(MOVIMIENTOS!$C$5:$C$1005="M")*(MOVIMIENTOS!$D$5:$D$1005="jabas")*(MOVIMIENTOS!$A$5:$A$1005&lt;&gt;"")*(MOVIMIENTOS!$A$5:$A$1005&lt;=$A181)*MOVIMIENTOS!$E$5:$E$1005)+SUMPRODUCT((MOVIMIENTOS!$B$5:$B$1005="AJUSTE")*(MOVIMIENTOS!$C$5:$C$1005="M")*(MOVIMIENTOS!$D$5:$D$1005="jabas")*(MOVIMIENTOS!$A$5:$A$1005&lt;&gt;"")*(MOVIMIENTOS!$A$5:$A$1005&lt;=$A181)*MOVIMIENTOS!$E$5:$E$1005))</f>
        <v/>
      </c>
      <c r="F181" s="63" t="str">
        <f>IF($A181="","",SUMPRODUCT((MOVIMIENTOS!$B$5:$B$1005="SALDO INICIAL")*(MOVIMIENTOS!$C$5:$C$1005="Chancho")*(MOVIMIENTOS!$D$5:$D$1005="sacos")*(MOVIMIENTOS!$A$5:$A$1005&lt;&gt;"")*(MOVIMIENTOS!$A$5:$A$1005&lt;=$A181)*MOVIMIENTOS!$E$5:$E$1005)+SUMPRODUCT((MOVIMIENTOS!$B$5:$B$1005="PROCESO")*(MOVIMIENTOS!$C$5:$C$1005="Chancho")*(MOVIMIENTOS!$D$5:$D$1005="sacos")*(MOVIMIENTOS!$A$5:$A$1005&lt;&gt;"")*(MOVIMIENTOS!$A$5:$A$1005&lt;=$A181)*MOVIMIENTOS!$E$5:$E$1005)-SUMPRODUCT((MOVIMIENTOS!$B$5:$B$1005="VENTA CHANCHO")*(MOVIMIENTOS!$C$5:$C$1005="Chancho")*(MOVIMIENTOS!$D$5:$D$1005="sacos")*(MOVIMIENTOS!$A$5:$A$1005&lt;&gt;"")*(MOVIMIENTOS!$A$5:$A$1005&lt;=$A181)*MOVIMIENTOS!$E$5:$E$1005)-SUMPRODUCT((MOVIMIENTOS!$B$5:$B$1005="REGALO")*(MOVIMIENTOS!$C$5:$C$1005="Chancho")*(MOVIMIENTOS!$D$5:$D$1005="sacos")*(MOVIMIENTOS!$A$5:$A$1005&lt;&gt;"")*(MOVIMIENTOS!$A$5:$A$1005&lt;=$A181)*MOVIMIENTOS!$E$5:$E$1005)-SUMPRODUCT((MOVIMIENTOS!$B$5:$B$1005="VENTA")*(MOVIMIENTOS!$C$5:$C$1005="Chancho")*(MOVIMIENTOS!$D$5:$D$1005="sacos")*(MOVIMIENTOS!$A$5:$A$1005&lt;&gt;"")*(MOVIMIENTOS!$A$5:$A$1005&lt;=$A181)*MOVIMIENTOS!$E$5:$E$1005)+SUMPRODUCT((MOVIMIENTOS!$B$5:$B$1005="AJUSTE")*(MOVIMIENTOS!$C$5:$C$1005="Chancho")*(MOVIMIENTOS!$D$5:$D$1005="sacos")*(MOVIMIENTOS!$A$5:$A$1005&lt;&gt;"")*(MOVIMIENTOS!$A$5:$A$1005&lt;=$A181)*MOVIMIENTOS!$E$5:$E$1005))</f>
        <v/>
      </c>
      <c r="G181" s="95" t="str">
        <f t="shared" si="5"/>
        <v/>
      </c>
      <c r="H181" s="63" t="str">
        <f>IF($A181="","",SUMPRODUCT((((MOVIMIENTOS!$B$5:$B$1005="SALDO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181)*MOVIMIENTOS!$J$5:$J$1005))</f>
        <v/>
      </c>
      <c r="I181" s="63"/>
      <c r="J181" s="63" t="str">
        <f>IF(AND(MOVIMIENTOS!$A181&lt;&gt;"",COUNTIF(MOVIMIENTOS!$A$5:$A180,MOVIMIENTOS!$A181)=0),COUNT(J$4:J180)+1,"")</f>
        <v/>
      </c>
      <c r="K181" s="66">
        <f>MOVIMIENTOS!$A181</f>
        <v>46229</v>
      </c>
      <c r="L181" s="63"/>
      <c r="M181" s="63"/>
      <c r="N181" s="63"/>
    </row>
    <row r="182" spans="1:14" ht="15" customHeight="1" x14ac:dyDescent="0.2">
      <c r="A182" s="63" t="str">
        <f t="shared" si="4"/>
        <v/>
      </c>
      <c r="B182" s="63" t="str">
        <f>IF($A182="","",SUMPRODUCT((MOVIMIENTOS!$B$5:$B$1005="SALDO INICIAL")*(MOVIMIENTOS!$C$5:$C$1005="A")*(MOVIMIENTOS!$D$5:$D$1005="jabas")*(MOVIMIENTOS!$A$5:$A$1005&lt;&gt;"")*(MOVIMIENTOS!$A$5:$A$1005&lt;=$A182)*MOVIMIENTOS!$E$5:$E$1005)+SUMPRODUCT((MOVIMIENTOS!$B$5:$B$1005="PROCESO")*(MOVIMIENTOS!$C$5:$C$1005="A")*(MOVIMIENTOS!$D$5:$D$1005="jabas")*(MOVIMIENTOS!$A$5:$A$1005&lt;&gt;"")*(MOVIMIENTOS!$A$5:$A$1005&lt;=$A182)*MOVIMIENTOS!$E$5:$E$1005)-SUMPRODUCT((MOVIMIENTOS!$B$5:$B$1005="ENVÍO A SUPESA")*(MOVIMIENTOS!$C$5:$C$1005="A")*(MOVIMIENTOS!$D$5:$D$1005="jabas")*(MOVIMIENTOS!$A$5:$A$1005&lt;&gt;"")*(MOVIMIENTOS!$A$5:$A$1005&lt;=$A182)*MOVIMIENTOS!$E$5:$E$1005)+SUMPRODUCT((MOVIMIENTOS!$B$5:$B$1005="DEVOLUCIÓN")*(MOVIMIENTOS!$C$5:$C$1005="A")*(MOVIMIENTOS!$D$5:$D$1005="jabas")*(MOVIMIENTOS!$A$5:$A$1005&lt;&gt;"")*(MOVIMIENTOS!$A$5:$A$1005&lt;=$A182)*MOVIMIENTOS!$E$5:$E$1005)-SUMPRODUCT((MOVIMIENTOS!$B$5:$B$1005="TRASIEGO")*(MOVIMIENTOS!$C$5:$C$1005="A")*(MOVIMIENTOS!$D$5:$D$1005="jabas")*(MOVIMIENTOS!$A$5:$A$1005&lt;&gt;"")*(MOVIMIENTOS!$A$5:$A$1005&lt;=$A182)*MOVIMIENTOS!$E$5:$E$1005)-SUMPRODUCT((MOVIMIENTOS!$B$5:$B$1005="REGALO")*(MOVIMIENTOS!$C$5:$C$1005="A")*(MOVIMIENTOS!$D$5:$D$1005="jabas")*(MOVIMIENTOS!$A$5:$A$1005&lt;&gt;"")*(MOVIMIENTOS!$A$5:$A$1005&lt;=$A182)*MOVIMIENTOS!$E$5:$E$1005)-SUMPRODUCT((MOVIMIENTOS!$B$5:$B$1005="VENTA")*(MOVIMIENTOS!$C$5:$C$1005="A")*(MOVIMIENTOS!$D$5:$D$1005="jabas")*(MOVIMIENTOS!$A$5:$A$1005&lt;&gt;"")*(MOVIMIENTOS!$A$5:$A$1005&lt;=$A182)*MOVIMIENTOS!$E$5:$E$1005)+SUMPRODUCT((MOVIMIENTOS!$B$5:$B$1005="AJUSTE")*(MOVIMIENTOS!$C$5:$C$1005="A")*(MOVIMIENTOS!$D$5:$D$1005="jabas")*(MOVIMIENTOS!$A$5:$A$1005&lt;&gt;"")*(MOVIMIENTOS!$A$5:$A$1005&lt;=$A182)*MOVIMIENTOS!$E$5:$E$1005))</f>
        <v/>
      </c>
      <c r="C182" s="63" t="str">
        <f>IF($A182="","",SUMPRODUCT((MOVIMIENTOS!$B$5:$B$1005="SALDO INICIAL")*(MOVIMIENTOS!$C$5:$C$1005="P")*(MOVIMIENTOS!$D$5:$D$1005="jabas")*(MOVIMIENTOS!$A$5:$A$1005&lt;&gt;"")*(MOVIMIENTOS!$A$5:$A$1005&lt;=$A182)*MOVIMIENTOS!$E$5:$E$1005)+SUMPRODUCT((MOVIMIENTOS!$B$5:$B$1005="PROCESO")*(MOVIMIENTOS!$C$5:$C$1005="P")*(MOVIMIENTOS!$D$5:$D$1005="jabas")*(MOVIMIENTOS!$A$5:$A$1005&lt;&gt;"")*(MOVIMIENTOS!$A$5:$A$1005&lt;=$A182)*MOVIMIENTOS!$E$5:$E$1005)-SUMPRODUCT((MOVIMIENTOS!$B$5:$B$1005="ENVÍO A SUPESA")*(MOVIMIENTOS!$C$5:$C$1005="P")*(MOVIMIENTOS!$D$5:$D$1005="jabas")*(MOVIMIENTOS!$A$5:$A$1005&lt;&gt;"")*(MOVIMIENTOS!$A$5:$A$1005&lt;=$A182)*MOVIMIENTOS!$E$5:$E$1005)+SUMPRODUCT((MOVIMIENTOS!$B$5:$B$1005="DEVOLUCIÓN")*(MOVIMIENTOS!$C$5:$C$1005="P")*(MOVIMIENTOS!$D$5:$D$1005="jabas")*(MOVIMIENTOS!$A$5:$A$1005&lt;&gt;"")*(MOVIMIENTOS!$A$5:$A$1005&lt;=$A182)*MOVIMIENTOS!$E$5:$E$1005)-SUMPRODUCT((MOVIMIENTOS!$B$5:$B$1005="TRASIEGO")*(MOVIMIENTOS!$C$5:$C$1005="P")*(MOVIMIENTOS!$D$5:$D$1005="jabas")*(MOVIMIENTOS!$A$5:$A$1005&lt;&gt;"")*(MOVIMIENTOS!$A$5:$A$1005&lt;=$A182)*MOVIMIENTOS!$E$5:$E$1005)-SUMPRODUCT((MOVIMIENTOS!$B$5:$B$1005="REGALO")*(MOVIMIENTOS!$C$5:$C$1005="P")*(MOVIMIENTOS!$D$5:$D$1005="jabas")*(MOVIMIENTOS!$A$5:$A$1005&lt;&gt;"")*(MOVIMIENTOS!$A$5:$A$1005&lt;=$A182)*MOVIMIENTOS!$E$5:$E$1005)-SUMPRODUCT((MOVIMIENTOS!$B$5:$B$1005="VENTA")*(MOVIMIENTOS!$C$5:$C$1005="P")*(MOVIMIENTOS!$D$5:$D$1005="jabas")*(MOVIMIENTOS!$A$5:$A$1005&lt;&gt;"")*(MOVIMIENTOS!$A$5:$A$1005&lt;=$A182)*MOVIMIENTOS!$E$5:$E$1005)+SUMPRODUCT((MOVIMIENTOS!$B$5:$B$1005="AJUSTE")*(MOVIMIENTOS!$C$5:$C$1005="P")*(MOVIMIENTOS!$D$5:$D$1005="jabas")*(MOVIMIENTOS!$A$5:$A$1005&lt;&gt;"")*(MOVIMIENTOS!$A$5:$A$1005&lt;=$A182)*MOVIMIENTOS!$E$5:$E$1005))</f>
        <v/>
      </c>
      <c r="D182" s="63" t="str">
        <f>IF($A182="","",SUMPRODUCT((MOVIMIENTOS!$B$5:$B$1005="SALDO INICIAL")*(MOVIMIENTOS!$C$5:$C$1005="C")*(MOVIMIENTOS!$D$5:$D$1005="jabas")*(MOVIMIENTOS!$A$5:$A$1005&lt;&gt;"")*(MOVIMIENTOS!$A$5:$A$1005&lt;=$A182)*MOVIMIENTOS!$E$5:$E$1005)+SUMPRODUCT((MOVIMIENTOS!$B$5:$B$1005="PROCESO")*(MOVIMIENTOS!$C$5:$C$1005="C")*(MOVIMIENTOS!$D$5:$D$1005="jabas")*(MOVIMIENTOS!$A$5:$A$1005&lt;&gt;"")*(MOVIMIENTOS!$A$5:$A$1005&lt;=$A182)*MOVIMIENTOS!$E$5:$E$1005)-SUMPRODUCT((MOVIMIENTOS!$B$5:$B$1005="ENVÍO A SUPESA")*(MOVIMIENTOS!$C$5:$C$1005="C")*(MOVIMIENTOS!$D$5:$D$1005="jabas")*(MOVIMIENTOS!$A$5:$A$1005&lt;&gt;"")*(MOVIMIENTOS!$A$5:$A$1005&lt;=$A182)*MOVIMIENTOS!$E$5:$E$1005)+SUMPRODUCT((MOVIMIENTOS!$B$5:$B$1005="DEVOLUCIÓN")*(MOVIMIENTOS!$C$5:$C$1005="C")*(MOVIMIENTOS!$D$5:$D$1005="jabas")*(MOVIMIENTOS!$A$5:$A$1005&lt;&gt;"")*(MOVIMIENTOS!$A$5:$A$1005&lt;=$A182)*MOVIMIENTOS!$E$5:$E$1005)-SUMPRODUCT((MOVIMIENTOS!$B$5:$B$1005="TRASIEGO")*(MOVIMIENTOS!$C$5:$C$1005="C")*(MOVIMIENTOS!$D$5:$D$1005="jabas")*(MOVIMIENTOS!$A$5:$A$1005&lt;&gt;"")*(MOVIMIENTOS!$A$5:$A$1005&lt;=$A182)*MOVIMIENTOS!$E$5:$E$1005)-SUMPRODUCT((MOVIMIENTOS!$B$5:$B$1005="REGALO")*(MOVIMIENTOS!$C$5:$C$1005="C")*(MOVIMIENTOS!$D$5:$D$1005="jabas")*(MOVIMIENTOS!$A$5:$A$1005&lt;&gt;"")*(MOVIMIENTOS!$A$5:$A$1005&lt;=$A182)*MOVIMIENTOS!$E$5:$E$1005)-SUMPRODUCT((MOVIMIENTOS!$B$5:$B$1005="VENTA")*(MOVIMIENTOS!$C$5:$C$1005="C")*(MOVIMIENTOS!$D$5:$D$1005="jabas")*(MOVIMIENTOS!$A$5:$A$1005&lt;&gt;"")*(MOVIMIENTOS!$A$5:$A$1005&lt;=$A182)*MOVIMIENTOS!$E$5:$E$1005)+SUMPRODUCT((MOVIMIENTOS!$B$5:$B$1005="AJUSTE")*(MOVIMIENTOS!$C$5:$C$1005="C")*(MOVIMIENTOS!$D$5:$D$1005="jabas")*(MOVIMIENTOS!$A$5:$A$1005&lt;&gt;"")*(MOVIMIENTOS!$A$5:$A$1005&lt;=$A182)*MOVIMIENTOS!$E$5:$E$1005))</f>
        <v/>
      </c>
      <c r="E182" s="63" t="str">
        <f>IF($A182="","",SUMPRODUCT((MOVIMIENTOS!$B$5:$B$1005="SALDO INICIAL")*(MOVIMIENTOS!$C$5:$C$1005="M")*(MOVIMIENTOS!$D$5:$D$1005="jabas")*(MOVIMIENTOS!$A$5:$A$1005&lt;&gt;"")*(MOVIMIENTOS!$A$5:$A$1005&lt;=$A182)*MOVIMIENTOS!$E$5:$E$1005)+SUMPRODUCT((MOVIMIENTOS!$B$5:$B$1005="PROCESO")*(MOVIMIENTOS!$C$5:$C$1005="M")*(MOVIMIENTOS!$D$5:$D$1005="jabas")*(MOVIMIENTOS!$A$5:$A$1005&lt;&gt;"")*(MOVIMIENTOS!$A$5:$A$1005&lt;=$A182)*MOVIMIENTOS!$E$5:$E$1005)-SUMPRODUCT((MOVIMIENTOS!$B$5:$B$1005="ENVÍO A SUPESA")*(MOVIMIENTOS!$C$5:$C$1005="M")*(MOVIMIENTOS!$D$5:$D$1005="jabas")*(MOVIMIENTOS!$A$5:$A$1005&lt;&gt;"")*(MOVIMIENTOS!$A$5:$A$1005&lt;=$A182)*MOVIMIENTOS!$E$5:$E$1005)+SUMPRODUCT((MOVIMIENTOS!$B$5:$B$1005="DEVOLUCIÓN")*(MOVIMIENTOS!$C$5:$C$1005="M")*(MOVIMIENTOS!$D$5:$D$1005="jabas")*(MOVIMIENTOS!$A$5:$A$1005&lt;&gt;"")*(MOVIMIENTOS!$A$5:$A$1005&lt;=$A182)*MOVIMIENTOS!$E$5:$E$1005)-SUMPRODUCT((MOVIMIENTOS!$B$5:$B$1005="TRASIEGO")*(MOVIMIENTOS!$C$5:$C$1005="M")*(MOVIMIENTOS!$D$5:$D$1005="jabas")*(MOVIMIENTOS!$A$5:$A$1005&lt;&gt;"")*(MOVIMIENTOS!$A$5:$A$1005&lt;=$A182)*MOVIMIENTOS!$E$5:$E$1005)-SUMPRODUCT((MOVIMIENTOS!$B$5:$B$1005="REGALO")*(MOVIMIENTOS!$C$5:$C$1005="M")*(MOVIMIENTOS!$D$5:$D$1005="jabas")*(MOVIMIENTOS!$A$5:$A$1005&lt;&gt;"")*(MOVIMIENTOS!$A$5:$A$1005&lt;=$A182)*MOVIMIENTOS!$E$5:$E$1005)-SUMPRODUCT((MOVIMIENTOS!$B$5:$B$1005="VENTA")*(MOVIMIENTOS!$C$5:$C$1005="M")*(MOVIMIENTOS!$D$5:$D$1005="jabas")*(MOVIMIENTOS!$A$5:$A$1005&lt;&gt;"")*(MOVIMIENTOS!$A$5:$A$1005&lt;=$A182)*MOVIMIENTOS!$E$5:$E$1005)+SUMPRODUCT((MOVIMIENTOS!$B$5:$B$1005="AJUSTE")*(MOVIMIENTOS!$C$5:$C$1005="M")*(MOVIMIENTOS!$D$5:$D$1005="jabas")*(MOVIMIENTOS!$A$5:$A$1005&lt;&gt;"")*(MOVIMIENTOS!$A$5:$A$1005&lt;=$A182)*MOVIMIENTOS!$E$5:$E$1005))</f>
        <v/>
      </c>
      <c r="F182" s="63" t="str">
        <f>IF($A182="","",SUMPRODUCT((MOVIMIENTOS!$B$5:$B$1005="SALDO INICIAL")*(MOVIMIENTOS!$C$5:$C$1005="Chancho")*(MOVIMIENTOS!$D$5:$D$1005="sacos")*(MOVIMIENTOS!$A$5:$A$1005&lt;&gt;"")*(MOVIMIENTOS!$A$5:$A$1005&lt;=$A182)*MOVIMIENTOS!$E$5:$E$1005)+SUMPRODUCT((MOVIMIENTOS!$B$5:$B$1005="PROCESO")*(MOVIMIENTOS!$C$5:$C$1005="Chancho")*(MOVIMIENTOS!$D$5:$D$1005="sacos")*(MOVIMIENTOS!$A$5:$A$1005&lt;&gt;"")*(MOVIMIENTOS!$A$5:$A$1005&lt;=$A182)*MOVIMIENTOS!$E$5:$E$1005)-SUMPRODUCT((MOVIMIENTOS!$B$5:$B$1005="VENTA CHANCHO")*(MOVIMIENTOS!$C$5:$C$1005="Chancho")*(MOVIMIENTOS!$D$5:$D$1005="sacos")*(MOVIMIENTOS!$A$5:$A$1005&lt;&gt;"")*(MOVIMIENTOS!$A$5:$A$1005&lt;=$A182)*MOVIMIENTOS!$E$5:$E$1005)-SUMPRODUCT((MOVIMIENTOS!$B$5:$B$1005="REGALO")*(MOVIMIENTOS!$C$5:$C$1005="Chancho")*(MOVIMIENTOS!$D$5:$D$1005="sacos")*(MOVIMIENTOS!$A$5:$A$1005&lt;&gt;"")*(MOVIMIENTOS!$A$5:$A$1005&lt;=$A182)*MOVIMIENTOS!$E$5:$E$1005)-SUMPRODUCT((MOVIMIENTOS!$B$5:$B$1005="VENTA")*(MOVIMIENTOS!$C$5:$C$1005="Chancho")*(MOVIMIENTOS!$D$5:$D$1005="sacos")*(MOVIMIENTOS!$A$5:$A$1005&lt;&gt;"")*(MOVIMIENTOS!$A$5:$A$1005&lt;=$A182)*MOVIMIENTOS!$E$5:$E$1005)+SUMPRODUCT((MOVIMIENTOS!$B$5:$B$1005="AJUSTE")*(MOVIMIENTOS!$C$5:$C$1005="Chancho")*(MOVIMIENTOS!$D$5:$D$1005="sacos")*(MOVIMIENTOS!$A$5:$A$1005&lt;&gt;"")*(MOVIMIENTOS!$A$5:$A$1005&lt;=$A182)*MOVIMIENTOS!$E$5:$E$1005))</f>
        <v/>
      </c>
      <c r="G182" s="95" t="str">
        <f t="shared" si="5"/>
        <v/>
      </c>
      <c r="H182" s="63" t="str">
        <f>IF($A182="","",SUMPRODUCT((((MOVIMIENTOS!$B$5:$B$1005="SALDO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182)*MOVIMIENTOS!$J$5:$J$1005))</f>
        <v/>
      </c>
      <c r="I182" s="63"/>
      <c r="J182" s="63" t="str">
        <f>IF(AND(MOVIMIENTOS!$A182&lt;&gt;"",COUNTIF(MOVIMIENTOS!$A$5:$A181,MOVIMIENTOS!$A182)=0),COUNT(J$4:J181)+1,"")</f>
        <v/>
      </c>
      <c r="K182" s="66">
        <f>MOVIMIENTOS!$A182</f>
        <v>46229</v>
      </c>
      <c r="L182" s="63"/>
      <c r="M182" s="63"/>
      <c r="N182" s="63"/>
    </row>
    <row r="183" spans="1:14" ht="15" customHeight="1" x14ac:dyDescent="0.2">
      <c r="A183" s="63" t="str">
        <f t="shared" si="4"/>
        <v/>
      </c>
      <c r="B183" s="63" t="str">
        <f>IF($A183="","",SUMPRODUCT((MOVIMIENTOS!$B$5:$B$1005="SALDO INICIAL")*(MOVIMIENTOS!$C$5:$C$1005="A")*(MOVIMIENTOS!$D$5:$D$1005="jabas")*(MOVIMIENTOS!$A$5:$A$1005&lt;&gt;"")*(MOVIMIENTOS!$A$5:$A$1005&lt;=$A183)*MOVIMIENTOS!$E$5:$E$1005)+SUMPRODUCT((MOVIMIENTOS!$B$5:$B$1005="PROCESO")*(MOVIMIENTOS!$C$5:$C$1005="A")*(MOVIMIENTOS!$D$5:$D$1005="jabas")*(MOVIMIENTOS!$A$5:$A$1005&lt;&gt;"")*(MOVIMIENTOS!$A$5:$A$1005&lt;=$A183)*MOVIMIENTOS!$E$5:$E$1005)-SUMPRODUCT((MOVIMIENTOS!$B$5:$B$1005="ENVÍO A SUPESA")*(MOVIMIENTOS!$C$5:$C$1005="A")*(MOVIMIENTOS!$D$5:$D$1005="jabas")*(MOVIMIENTOS!$A$5:$A$1005&lt;&gt;"")*(MOVIMIENTOS!$A$5:$A$1005&lt;=$A183)*MOVIMIENTOS!$E$5:$E$1005)+SUMPRODUCT((MOVIMIENTOS!$B$5:$B$1005="DEVOLUCIÓN")*(MOVIMIENTOS!$C$5:$C$1005="A")*(MOVIMIENTOS!$D$5:$D$1005="jabas")*(MOVIMIENTOS!$A$5:$A$1005&lt;&gt;"")*(MOVIMIENTOS!$A$5:$A$1005&lt;=$A183)*MOVIMIENTOS!$E$5:$E$1005)-SUMPRODUCT((MOVIMIENTOS!$B$5:$B$1005="TRASIEGO")*(MOVIMIENTOS!$C$5:$C$1005="A")*(MOVIMIENTOS!$D$5:$D$1005="jabas")*(MOVIMIENTOS!$A$5:$A$1005&lt;&gt;"")*(MOVIMIENTOS!$A$5:$A$1005&lt;=$A183)*MOVIMIENTOS!$E$5:$E$1005)-SUMPRODUCT((MOVIMIENTOS!$B$5:$B$1005="REGALO")*(MOVIMIENTOS!$C$5:$C$1005="A")*(MOVIMIENTOS!$D$5:$D$1005="jabas")*(MOVIMIENTOS!$A$5:$A$1005&lt;&gt;"")*(MOVIMIENTOS!$A$5:$A$1005&lt;=$A183)*MOVIMIENTOS!$E$5:$E$1005)-SUMPRODUCT((MOVIMIENTOS!$B$5:$B$1005="VENTA")*(MOVIMIENTOS!$C$5:$C$1005="A")*(MOVIMIENTOS!$D$5:$D$1005="jabas")*(MOVIMIENTOS!$A$5:$A$1005&lt;&gt;"")*(MOVIMIENTOS!$A$5:$A$1005&lt;=$A183)*MOVIMIENTOS!$E$5:$E$1005)+SUMPRODUCT((MOVIMIENTOS!$B$5:$B$1005="AJUSTE")*(MOVIMIENTOS!$C$5:$C$1005="A")*(MOVIMIENTOS!$D$5:$D$1005="jabas")*(MOVIMIENTOS!$A$5:$A$1005&lt;&gt;"")*(MOVIMIENTOS!$A$5:$A$1005&lt;=$A183)*MOVIMIENTOS!$E$5:$E$1005))</f>
        <v/>
      </c>
      <c r="C183" s="63" t="str">
        <f>IF($A183="","",SUMPRODUCT((MOVIMIENTOS!$B$5:$B$1005="SALDO INICIAL")*(MOVIMIENTOS!$C$5:$C$1005="P")*(MOVIMIENTOS!$D$5:$D$1005="jabas")*(MOVIMIENTOS!$A$5:$A$1005&lt;&gt;"")*(MOVIMIENTOS!$A$5:$A$1005&lt;=$A183)*MOVIMIENTOS!$E$5:$E$1005)+SUMPRODUCT((MOVIMIENTOS!$B$5:$B$1005="PROCESO")*(MOVIMIENTOS!$C$5:$C$1005="P")*(MOVIMIENTOS!$D$5:$D$1005="jabas")*(MOVIMIENTOS!$A$5:$A$1005&lt;&gt;"")*(MOVIMIENTOS!$A$5:$A$1005&lt;=$A183)*MOVIMIENTOS!$E$5:$E$1005)-SUMPRODUCT((MOVIMIENTOS!$B$5:$B$1005="ENVÍO A SUPESA")*(MOVIMIENTOS!$C$5:$C$1005="P")*(MOVIMIENTOS!$D$5:$D$1005="jabas")*(MOVIMIENTOS!$A$5:$A$1005&lt;&gt;"")*(MOVIMIENTOS!$A$5:$A$1005&lt;=$A183)*MOVIMIENTOS!$E$5:$E$1005)+SUMPRODUCT((MOVIMIENTOS!$B$5:$B$1005="DEVOLUCIÓN")*(MOVIMIENTOS!$C$5:$C$1005="P")*(MOVIMIENTOS!$D$5:$D$1005="jabas")*(MOVIMIENTOS!$A$5:$A$1005&lt;&gt;"")*(MOVIMIENTOS!$A$5:$A$1005&lt;=$A183)*MOVIMIENTOS!$E$5:$E$1005)-SUMPRODUCT((MOVIMIENTOS!$B$5:$B$1005="TRASIEGO")*(MOVIMIENTOS!$C$5:$C$1005="P")*(MOVIMIENTOS!$D$5:$D$1005="jabas")*(MOVIMIENTOS!$A$5:$A$1005&lt;&gt;"")*(MOVIMIENTOS!$A$5:$A$1005&lt;=$A183)*MOVIMIENTOS!$E$5:$E$1005)-SUMPRODUCT((MOVIMIENTOS!$B$5:$B$1005="REGALO")*(MOVIMIENTOS!$C$5:$C$1005="P")*(MOVIMIENTOS!$D$5:$D$1005="jabas")*(MOVIMIENTOS!$A$5:$A$1005&lt;&gt;"")*(MOVIMIENTOS!$A$5:$A$1005&lt;=$A183)*MOVIMIENTOS!$E$5:$E$1005)-SUMPRODUCT((MOVIMIENTOS!$B$5:$B$1005="VENTA")*(MOVIMIENTOS!$C$5:$C$1005="P")*(MOVIMIENTOS!$D$5:$D$1005="jabas")*(MOVIMIENTOS!$A$5:$A$1005&lt;&gt;"")*(MOVIMIENTOS!$A$5:$A$1005&lt;=$A183)*MOVIMIENTOS!$E$5:$E$1005)+SUMPRODUCT((MOVIMIENTOS!$B$5:$B$1005="AJUSTE")*(MOVIMIENTOS!$C$5:$C$1005="P")*(MOVIMIENTOS!$D$5:$D$1005="jabas")*(MOVIMIENTOS!$A$5:$A$1005&lt;&gt;"")*(MOVIMIENTOS!$A$5:$A$1005&lt;=$A183)*MOVIMIENTOS!$E$5:$E$1005))</f>
        <v/>
      </c>
      <c r="D183" s="63" t="str">
        <f>IF($A183="","",SUMPRODUCT((MOVIMIENTOS!$B$5:$B$1005="SALDO INICIAL")*(MOVIMIENTOS!$C$5:$C$1005="C")*(MOVIMIENTOS!$D$5:$D$1005="jabas")*(MOVIMIENTOS!$A$5:$A$1005&lt;&gt;"")*(MOVIMIENTOS!$A$5:$A$1005&lt;=$A183)*MOVIMIENTOS!$E$5:$E$1005)+SUMPRODUCT((MOVIMIENTOS!$B$5:$B$1005="PROCESO")*(MOVIMIENTOS!$C$5:$C$1005="C")*(MOVIMIENTOS!$D$5:$D$1005="jabas")*(MOVIMIENTOS!$A$5:$A$1005&lt;&gt;"")*(MOVIMIENTOS!$A$5:$A$1005&lt;=$A183)*MOVIMIENTOS!$E$5:$E$1005)-SUMPRODUCT((MOVIMIENTOS!$B$5:$B$1005="ENVÍO A SUPESA")*(MOVIMIENTOS!$C$5:$C$1005="C")*(MOVIMIENTOS!$D$5:$D$1005="jabas")*(MOVIMIENTOS!$A$5:$A$1005&lt;&gt;"")*(MOVIMIENTOS!$A$5:$A$1005&lt;=$A183)*MOVIMIENTOS!$E$5:$E$1005)+SUMPRODUCT((MOVIMIENTOS!$B$5:$B$1005="DEVOLUCIÓN")*(MOVIMIENTOS!$C$5:$C$1005="C")*(MOVIMIENTOS!$D$5:$D$1005="jabas")*(MOVIMIENTOS!$A$5:$A$1005&lt;&gt;"")*(MOVIMIENTOS!$A$5:$A$1005&lt;=$A183)*MOVIMIENTOS!$E$5:$E$1005)-SUMPRODUCT((MOVIMIENTOS!$B$5:$B$1005="TRASIEGO")*(MOVIMIENTOS!$C$5:$C$1005="C")*(MOVIMIENTOS!$D$5:$D$1005="jabas")*(MOVIMIENTOS!$A$5:$A$1005&lt;&gt;"")*(MOVIMIENTOS!$A$5:$A$1005&lt;=$A183)*MOVIMIENTOS!$E$5:$E$1005)-SUMPRODUCT((MOVIMIENTOS!$B$5:$B$1005="REGALO")*(MOVIMIENTOS!$C$5:$C$1005="C")*(MOVIMIENTOS!$D$5:$D$1005="jabas")*(MOVIMIENTOS!$A$5:$A$1005&lt;&gt;"")*(MOVIMIENTOS!$A$5:$A$1005&lt;=$A183)*MOVIMIENTOS!$E$5:$E$1005)-SUMPRODUCT((MOVIMIENTOS!$B$5:$B$1005="VENTA")*(MOVIMIENTOS!$C$5:$C$1005="C")*(MOVIMIENTOS!$D$5:$D$1005="jabas")*(MOVIMIENTOS!$A$5:$A$1005&lt;&gt;"")*(MOVIMIENTOS!$A$5:$A$1005&lt;=$A183)*MOVIMIENTOS!$E$5:$E$1005)+SUMPRODUCT((MOVIMIENTOS!$B$5:$B$1005="AJUSTE")*(MOVIMIENTOS!$C$5:$C$1005="C")*(MOVIMIENTOS!$D$5:$D$1005="jabas")*(MOVIMIENTOS!$A$5:$A$1005&lt;&gt;"")*(MOVIMIENTOS!$A$5:$A$1005&lt;=$A183)*MOVIMIENTOS!$E$5:$E$1005))</f>
        <v/>
      </c>
      <c r="E183" s="63" t="str">
        <f>IF($A183="","",SUMPRODUCT((MOVIMIENTOS!$B$5:$B$1005="SALDO INICIAL")*(MOVIMIENTOS!$C$5:$C$1005="M")*(MOVIMIENTOS!$D$5:$D$1005="jabas")*(MOVIMIENTOS!$A$5:$A$1005&lt;&gt;"")*(MOVIMIENTOS!$A$5:$A$1005&lt;=$A183)*MOVIMIENTOS!$E$5:$E$1005)+SUMPRODUCT((MOVIMIENTOS!$B$5:$B$1005="PROCESO")*(MOVIMIENTOS!$C$5:$C$1005="M")*(MOVIMIENTOS!$D$5:$D$1005="jabas")*(MOVIMIENTOS!$A$5:$A$1005&lt;&gt;"")*(MOVIMIENTOS!$A$5:$A$1005&lt;=$A183)*MOVIMIENTOS!$E$5:$E$1005)-SUMPRODUCT((MOVIMIENTOS!$B$5:$B$1005="ENVÍO A SUPESA")*(MOVIMIENTOS!$C$5:$C$1005="M")*(MOVIMIENTOS!$D$5:$D$1005="jabas")*(MOVIMIENTOS!$A$5:$A$1005&lt;&gt;"")*(MOVIMIENTOS!$A$5:$A$1005&lt;=$A183)*MOVIMIENTOS!$E$5:$E$1005)+SUMPRODUCT((MOVIMIENTOS!$B$5:$B$1005="DEVOLUCIÓN")*(MOVIMIENTOS!$C$5:$C$1005="M")*(MOVIMIENTOS!$D$5:$D$1005="jabas")*(MOVIMIENTOS!$A$5:$A$1005&lt;&gt;"")*(MOVIMIENTOS!$A$5:$A$1005&lt;=$A183)*MOVIMIENTOS!$E$5:$E$1005)-SUMPRODUCT((MOVIMIENTOS!$B$5:$B$1005="TRASIEGO")*(MOVIMIENTOS!$C$5:$C$1005="M")*(MOVIMIENTOS!$D$5:$D$1005="jabas")*(MOVIMIENTOS!$A$5:$A$1005&lt;&gt;"")*(MOVIMIENTOS!$A$5:$A$1005&lt;=$A183)*MOVIMIENTOS!$E$5:$E$1005)-SUMPRODUCT((MOVIMIENTOS!$B$5:$B$1005="REGALO")*(MOVIMIENTOS!$C$5:$C$1005="M")*(MOVIMIENTOS!$D$5:$D$1005="jabas")*(MOVIMIENTOS!$A$5:$A$1005&lt;&gt;"")*(MOVIMIENTOS!$A$5:$A$1005&lt;=$A183)*MOVIMIENTOS!$E$5:$E$1005)-SUMPRODUCT((MOVIMIENTOS!$B$5:$B$1005="VENTA")*(MOVIMIENTOS!$C$5:$C$1005="M")*(MOVIMIENTOS!$D$5:$D$1005="jabas")*(MOVIMIENTOS!$A$5:$A$1005&lt;&gt;"")*(MOVIMIENTOS!$A$5:$A$1005&lt;=$A183)*MOVIMIENTOS!$E$5:$E$1005)+SUMPRODUCT((MOVIMIENTOS!$B$5:$B$1005="AJUSTE")*(MOVIMIENTOS!$C$5:$C$1005="M")*(MOVIMIENTOS!$D$5:$D$1005="jabas")*(MOVIMIENTOS!$A$5:$A$1005&lt;&gt;"")*(MOVIMIENTOS!$A$5:$A$1005&lt;=$A183)*MOVIMIENTOS!$E$5:$E$1005))</f>
        <v/>
      </c>
      <c r="F183" s="63" t="str">
        <f>IF($A183="","",SUMPRODUCT((MOVIMIENTOS!$B$5:$B$1005="SALDO INICIAL")*(MOVIMIENTOS!$C$5:$C$1005="Chancho")*(MOVIMIENTOS!$D$5:$D$1005="sacos")*(MOVIMIENTOS!$A$5:$A$1005&lt;&gt;"")*(MOVIMIENTOS!$A$5:$A$1005&lt;=$A183)*MOVIMIENTOS!$E$5:$E$1005)+SUMPRODUCT((MOVIMIENTOS!$B$5:$B$1005="PROCESO")*(MOVIMIENTOS!$C$5:$C$1005="Chancho")*(MOVIMIENTOS!$D$5:$D$1005="sacos")*(MOVIMIENTOS!$A$5:$A$1005&lt;&gt;"")*(MOVIMIENTOS!$A$5:$A$1005&lt;=$A183)*MOVIMIENTOS!$E$5:$E$1005)-SUMPRODUCT((MOVIMIENTOS!$B$5:$B$1005="VENTA CHANCHO")*(MOVIMIENTOS!$C$5:$C$1005="Chancho")*(MOVIMIENTOS!$D$5:$D$1005="sacos")*(MOVIMIENTOS!$A$5:$A$1005&lt;&gt;"")*(MOVIMIENTOS!$A$5:$A$1005&lt;=$A183)*MOVIMIENTOS!$E$5:$E$1005)-SUMPRODUCT((MOVIMIENTOS!$B$5:$B$1005="REGALO")*(MOVIMIENTOS!$C$5:$C$1005="Chancho")*(MOVIMIENTOS!$D$5:$D$1005="sacos")*(MOVIMIENTOS!$A$5:$A$1005&lt;&gt;"")*(MOVIMIENTOS!$A$5:$A$1005&lt;=$A183)*MOVIMIENTOS!$E$5:$E$1005)-SUMPRODUCT((MOVIMIENTOS!$B$5:$B$1005="VENTA")*(MOVIMIENTOS!$C$5:$C$1005="Chancho")*(MOVIMIENTOS!$D$5:$D$1005="sacos")*(MOVIMIENTOS!$A$5:$A$1005&lt;&gt;"")*(MOVIMIENTOS!$A$5:$A$1005&lt;=$A183)*MOVIMIENTOS!$E$5:$E$1005)+SUMPRODUCT((MOVIMIENTOS!$B$5:$B$1005="AJUSTE")*(MOVIMIENTOS!$C$5:$C$1005="Chancho")*(MOVIMIENTOS!$D$5:$D$1005="sacos")*(MOVIMIENTOS!$A$5:$A$1005&lt;&gt;"")*(MOVIMIENTOS!$A$5:$A$1005&lt;=$A183)*MOVIMIENTOS!$E$5:$E$1005))</f>
        <v/>
      </c>
      <c r="G183" s="95" t="str">
        <f t="shared" si="5"/>
        <v/>
      </c>
      <c r="H183" s="63" t="str">
        <f>IF($A183="","",SUMPRODUCT((((MOVIMIENTOS!$B$5:$B$1005="SALDO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183)*MOVIMIENTOS!$J$5:$J$1005))</f>
        <v/>
      </c>
      <c r="I183" s="63"/>
      <c r="J183" s="63">
        <f>IF(AND(MOVIMIENTOS!$A183&lt;&gt;"",COUNTIF(MOVIMIENTOS!$A$5:$A182,MOVIMIENTOS!$A183)=0),COUNT(J$4:J182)+1,"")</f>
        <v>18</v>
      </c>
      <c r="K183" s="66">
        <f>MOVIMIENTOS!$A183</f>
        <v>46230</v>
      </c>
      <c r="L183" s="63"/>
      <c r="M183" s="63"/>
      <c r="N183" s="63"/>
    </row>
    <row r="184" spans="1:14" ht="15" customHeight="1" x14ac:dyDescent="0.2">
      <c r="A184" s="63" t="str">
        <f t="shared" si="4"/>
        <v/>
      </c>
      <c r="B184" s="63" t="str">
        <f>IF($A184="","",SUMPRODUCT((MOVIMIENTOS!$B$5:$B$1005="SALDO INICIAL")*(MOVIMIENTOS!$C$5:$C$1005="A")*(MOVIMIENTOS!$D$5:$D$1005="jabas")*(MOVIMIENTOS!$A$5:$A$1005&lt;&gt;"")*(MOVIMIENTOS!$A$5:$A$1005&lt;=$A184)*MOVIMIENTOS!$E$5:$E$1005)+SUMPRODUCT((MOVIMIENTOS!$B$5:$B$1005="PROCESO")*(MOVIMIENTOS!$C$5:$C$1005="A")*(MOVIMIENTOS!$D$5:$D$1005="jabas")*(MOVIMIENTOS!$A$5:$A$1005&lt;&gt;"")*(MOVIMIENTOS!$A$5:$A$1005&lt;=$A184)*MOVIMIENTOS!$E$5:$E$1005)-SUMPRODUCT((MOVIMIENTOS!$B$5:$B$1005="ENVÍO A SUPESA")*(MOVIMIENTOS!$C$5:$C$1005="A")*(MOVIMIENTOS!$D$5:$D$1005="jabas")*(MOVIMIENTOS!$A$5:$A$1005&lt;&gt;"")*(MOVIMIENTOS!$A$5:$A$1005&lt;=$A184)*MOVIMIENTOS!$E$5:$E$1005)+SUMPRODUCT((MOVIMIENTOS!$B$5:$B$1005="DEVOLUCIÓN")*(MOVIMIENTOS!$C$5:$C$1005="A")*(MOVIMIENTOS!$D$5:$D$1005="jabas")*(MOVIMIENTOS!$A$5:$A$1005&lt;&gt;"")*(MOVIMIENTOS!$A$5:$A$1005&lt;=$A184)*MOVIMIENTOS!$E$5:$E$1005)-SUMPRODUCT((MOVIMIENTOS!$B$5:$B$1005="TRASIEGO")*(MOVIMIENTOS!$C$5:$C$1005="A")*(MOVIMIENTOS!$D$5:$D$1005="jabas")*(MOVIMIENTOS!$A$5:$A$1005&lt;&gt;"")*(MOVIMIENTOS!$A$5:$A$1005&lt;=$A184)*MOVIMIENTOS!$E$5:$E$1005)-SUMPRODUCT((MOVIMIENTOS!$B$5:$B$1005="REGALO")*(MOVIMIENTOS!$C$5:$C$1005="A")*(MOVIMIENTOS!$D$5:$D$1005="jabas")*(MOVIMIENTOS!$A$5:$A$1005&lt;&gt;"")*(MOVIMIENTOS!$A$5:$A$1005&lt;=$A184)*MOVIMIENTOS!$E$5:$E$1005)-SUMPRODUCT((MOVIMIENTOS!$B$5:$B$1005="VENTA")*(MOVIMIENTOS!$C$5:$C$1005="A")*(MOVIMIENTOS!$D$5:$D$1005="jabas")*(MOVIMIENTOS!$A$5:$A$1005&lt;&gt;"")*(MOVIMIENTOS!$A$5:$A$1005&lt;=$A184)*MOVIMIENTOS!$E$5:$E$1005)+SUMPRODUCT((MOVIMIENTOS!$B$5:$B$1005="AJUSTE")*(MOVIMIENTOS!$C$5:$C$1005="A")*(MOVIMIENTOS!$D$5:$D$1005="jabas")*(MOVIMIENTOS!$A$5:$A$1005&lt;&gt;"")*(MOVIMIENTOS!$A$5:$A$1005&lt;=$A184)*MOVIMIENTOS!$E$5:$E$1005))</f>
        <v/>
      </c>
      <c r="C184" s="63" t="str">
        <f>IF($A184="","",SUMPRODUCT((MOVIMIENTOS!$B$5:$B$1005="SALDO INICIAL")*(MOVIMIENTOS!$C$5:$C$1005="P")*(MOVIMIENTOS!$D$5:$D$1005="jabas")*(MOVIMIENTOS!$A$5:$A$1005&lt;&gt;"")*(MOVIMIENTOS!$A$5:$A$1005&lt;=$A184)*MOVIMIENTOS!$E$5:$E$1005)+SUMPRODUCT((MOVIMIENTOS!$B$5:$B$1005="PROCESO")*(MOVIMIENTOS!$C$5:$C$1005="P")*(MOVIMIENTOS!$D$5:$D$1005="jabas")*(MOVIMIENTOS!$A$5:$A$1005&lt;&gt;"")*(MOVIMIENTOS!$A$5:$A$1005&lt;=$A184)*MOVIMIENTOS!$E$5:$E$1005)-SUMPRODUCT((MOVIMIENTOS!$B$5:$B$1005="ENVÍO A SUPESA")*(MOVIMIENTOS!$C$5:$C$1005="P")*(MOVIMIENTOS!$D$5:$D$1005="jabas")*(MOVIMIENTOS!$A$5:$A$1005&lt;&gt;"")*(MOVIMIENTOS!$A$5:$A$1005&lt;=$A184)*MOVIMIENTOS!$E$5:$E$1005)+SUMPRODUCT((MOVIMIENTOS!$B$5:$B$1005="DEVOLUCIÓN")*(MOVIMIENTOS!$C$5:$C$1005="P")*(MOVIMIENTOS!$D$5:$D$1005="jabas")*(MOVIMIENTOS!$A$5:$A$1005&lt;&gt;"")*(MOVIMIENTOS!$A$5:$A$1005&lt;=$A184)*MOVIMIENTOS!$E$5:$E$1005)-SUMPRODUCT((MOVIMIENTOS!$B$5:$B$1005="TRASIEGO")*(MOVIMIENTOS!$C$5:$C$1005="P")*(MOVIMIENTOS!$D$5:$D$1005="jabas")*(MOVIMIENTOS!$A$5:$A$1005&lt;&gt;"")*(MOVIMIENTOS!$A$5:$A$1005&lt;=$A184)*MOVIMIENTOS!$E$5:$E$1005)-SUMPRODUCT((MOVIMIENTOS!$B$5:$B$1005="REGALO")*(MOVIMIENTOS!$C$5:$C$1005="P")*(MOVIMIENTOS!$D$5:$D$1005="jabas")*(MOVIMIENTOS!$A$5:$A$1005&lt;&gt;"")*(MOVIMIENTOS!$A$5:$A$1005&lt;=$A184)*MOVIMIENTOS!$E$5:$E$1005)-SUMPRODUCT((MOVIMIENTOS!$B$5:$B$1005="VENTA")*(MOVIMIENTOS!$C$5:$C$1005="P")*(MOVIMIENTOS!$D$5:$D$1005="jabas")*(MOVIMIENTOS!$A$5:$A$1005&lt;&gt;"")*(MOVIMIENTOS!$A$5:$A$1005&lt;=$A184)*MOVIMIENTOS!$E$5:$E$1005)+SUMPRODUCT((MOVIMIENTOS!$B$5:$B$1005="AJUSTE")*(MOVIMIENTOS!$C$5:$C$1005="P")*(MOVIMIENTOS!$D$5:$D$1005="jabas")*(MOVIMIENTOS!$A$5:$A$1005&lt;&gt;"")*(MOVIMIENTOS!$A$5:$A$1005&lt;=$A184)*MOVIMIENTOS!$E$5:$E$1005))</f>
        <v/>
      </c>
      <c r="D184" s="63" t="str">
        <f>IF($A184="","",SUMPRODUCT((MOVIMIENTOS!$B$5:$B$1005="SALDO INICIAL")*(MOVIMIENTOS!$C$5:$C$1005="C")*(MOVIMIENTOS!$D$5:$D$1005="jabas")*(MOVIMIENTOS!$A$5:$A$1005&lt;&gt;"")*(MOVIMIENTOS!$A$5:$A$1005&lt;=$A184)*MOVIMIENTOS!$E$5:$E$1005)+SUMPRODUCT((MOVIMIENTOS!$B$5:$B$1005="PROCESO")*(MOVIMIENTOS!$C$5:$C$1005="C")*(MOVIMIENTOS!$D$5:$D$1005="jabas")*(MOVIMIENTOS!$A$5:$A$1005&lt;&gt;"")*(MOVIMIENTOS!$A$5:$A$1005&lt;=$A184)*MOVIMIENTOS!$E$5:$E$1005)-SUMPRODUCT((MOVIMIENTOS!$B$5:$B$1005="ENVÍO A SUPESA")*(MOVIMIENTOS!$C$5:$C$1005="C")*(MOVIMIENTOS!$D$5:$D$1005="jabas")*(MOVIMIENTOS!$A$5:$A$1005&lt;&gt;"")*(MOVIMIENTOS!$A$5:$A$1005&lt;=$A184)*MOVIMIENTOS!$E$5:$E$1005)+SUMPRODUCT((MOVIMIENTOS!$B$5:$B$1005="DEVOLUCIÓN")*(MOVIMIENTOS!$C$5:$C$1005="C")*(MOVIMIENTOS!$D$5:$D$1005="jabas")*(MOVIMIENTOS!$A$5:$A$1005&lt;&gt;"")*(MOVIMIENTOS!$A$5:$A$1005&lt;=$A184)*MOVIMIENTOS!$E$5:$E$1005)-SUMPRODUCT((MOVIMIENTOS!$B$5:$B$1005="TRASIEGO")*(MOVIMIENTOS!$C$5:$C$1005="C")*(MOVIMIENTOS!$D$5:$D$1005="jabas")*(MOVIMIENTOS!$A$5:$A$1005&lt;&gt;"")*(MOVIMIENTOS!$A$5:$A$1005&lt;=$A184)*MOVIMIENTOS!$E$5:$E$1005)-SUMPRODUCT((MOVIMIENTOS!$B$5:$B$1005="REGALO")*(MOVIMIENTOS!$C$5:$C$1005="C")*(MOVIMIENTOS!$D$5:$D$1005="jabas")*(MOVIMIENTOS!$A$5:$A$1005&lt;&gt;"")*(MOVIMIENTOS!$A$5:$A$1005&lt;=$A184)*MOVIMIENTOS!$E$5:$E$1005)-SUMPRODUCT((MOVIMIENTOS!$B$5:$B$1005="VENTA")*(MOVIMIENTOS!$C$5:$C$1005="C")*(MOVIMIENTOS!$D$5:$D$1005="jabas")*(MOVIMIENTOS!$A$5:$A$1005&lt;&gt;"")*(MOVIMIENTOS!$A$5:$A$1005&lt;=$A184)*MOVIMIENTOS!$E$5:$E$1005)+SUMPRODUCT((MOVIMIENTOS!$B$5:$B$1005="AJUSTE")*(MOVIMIENTOS!$C$5:$C$1005="C")*(MOVIMIENTOS!$D$5:$D$1005="jabas")*(MOVIMIENTOS!$A$5:$A$1005&lt;&gt;"")*(MOVIMIENTOS!$A$5:$A$1005&lt;=$A184)*MOVIMIENTOS!$E$5:$E$1005))</f>
        <v/>
      </c>
      <c r="E184" s="63" t="str">
        <f>IF($A184="","",SUMPRODUCT((MOVIMIENTOS!$B$5:$B$1005="SALDO INICIAL")*(MOVIMIENTOS!$C$5:$C$1005="M")*(MOVIMIENTOS!$D$5:$D$1005="jabas")*(MOVIMIENTOS!$A$5:$A$1005&lt;&gt;"")*(MOVIMIENTOS!$A$5:$A$1005&lt;=$A184)*MOVIMIENTOS!$E$5:$E$1005)+SUMPRODUCT((MOVIMIENTOS!$B$5:$B$1005="PROCESO")*(MOVIMIENTOS!$C$5:$C$1005="M")*(MOVIMIENTOS!$D$5:$D$1005="jabas")*(MOVIMIENTOS!$A$5:$A$1005&lt;&gt;"")*(MOVIMIENTOS!$A$5:$A$1005&lt;=$A184)*MOVIMIENTOS!$E$5:$E$1005)-SUMPRODUCT((MOVIMIENTOS!$B$5:$B$1005="ENVÍO A SUPESA")*(MOVIMIENTOS!$C$5:$C$1005="M")*(MOVIMIENTOS!$D$5:$D$1005="jabas")*(MOVIMIENTOS!$A$5:$A$1005&lt;&gt;"")*(MOVIMIENTOS!$A$5:$A$1005&lt;=$A184)*MOVIMIENTOS!$E$5:$E$1005)+SUMPRODUCT((MOVIMIENTOS!$B$5:$B$1005="DEVOLUCIÓN")*(MOVIMIENTOS!$C$5:$C$1005="M")*(MOVIMIENTOS!$D$5:$D$1005="jabas")*(MOVIMIENTOS!$A$5:$A$1005&lt;&gt;"")*(MOVIMIENTOS!$A$5:$A$1005&lt;=$A184)*MOVIMIENTOS!$E$5:$E$1005)-SUMPRODUCT((MOVIMIENTOS!$B$5:$B$1005="TRASIEGO")*(MOVIMIENTOS!$C$5:$C$1005="M")*(MOVIMIENTOS!$D$5:$D$1005="jabas")*(MOVIMIENTOS!$A$5:$A$1005&lt;&gt;"")*(MOVIMIENTOS!$A$5:$A$1005&lt;=$A184)*MOVIMIENTOS!$E$5:$E$1005)-SUMPRODUCT((MOVIMIENTOS!$B$5:$B$1005="REGALO")*(MOVIMIENTOS!$C$5:$C$1005="M")*(MOVIMIENTOS!$D$5:$D$1005="jabas")*(MOVIMIENTOS!$A$5:$A$1005&lt;&gt;"")*(MOVIMIENTOS!$A$5:$A$1005&lt;=$A184)*MOVIMIENTOS!$E$5:$E$1005)-SUMPRODUCT((MOVIMIENTOS!$B$5:$B$1005="VENTA")*(MOVIMIENTOS!$C$5:$C$1005="M")*(MOVIMIENTOS!$D$5:$D$1005="jabas")*(MOVIMIENTOS!$A$5:$A$1005&lt;&gt;"")*(MOVIMIENTOS!$A$5:$A$1005&lt;=$A184)*MOVIMIENTOS!$E$5:$E$1005)+SUMPRODUCT((MOVIMIENTOS!$B$5:$B$1005="AJUSTE")*(MOVIMIENTOS!$C$5:$C$1005="M")*(MOVIMIENTOS!$D$5:$D$1005="jabas")*(MOVIMIENTOS!$A$5:$A$1005&lt;&gt;"")*(MOVIMIENTOS!$A$5:$A$1005&lt;=$A184)*MOVIMIENTOS!$E$5:$E$1005))</f>
        <v/>
      </c>
      <c r="F184" s="63" t="str">
        <f>IF($A184="","",SUMPRODUCT((MOVIMIENTOS!$B$5:$B$1005="SALDO INICIAL")*(MOVIMIENTOS!$C$5:$C$1005="Chancho")*(MOVIMIENTOS!$D$5:$D$1005="sacos")*(MOVIMIENTOS!$A$5:$A$1005&lt;&gt;"")*(MOVIMIENTOS!$A$5:$A$1005&lt;=$A184)*MOVIMIENTOS!$E$5:$E$1005)+SUMPRODUCT((MOVIMIENTOS!$B$5:$B$1005="PROCESO")*(MOVIMIENTOS!$C$5:$C$1005="Chancho")*(MOVIMIENTOS!$D$5:$D$1005="sacos")*(MOVIMIENTOS!$A$5:$A$1005&lt;&gt;"")*(MOVIMIENTOS!$A$5:$A$1005&lt;=$A184)*MOVIMIENTOS!$E$5:$E$1005)-SUMPRODUCT((MOVIMIENTOS!$B$5:$B$1005="VENTA CHANCHO")*(MOVIMIENTOS!$C$5:$C$1005="Chancho")*(MOVIMIENTOS!$D$5:$D$1005="sacos")*(MOVIMIENTOS!$A$5:$A$1005&lt;&gt;"")*(MOVIMIENTOS!$A$5:$A$1005&lt;=$A184)*MOVIMIENTOS!$E$5:$E$1005)-SUMPRODUCT((MOVIMIENTOS!$B$5:$B$1005="REGALO")*(MOVIMIENTOS!$C$5:$C$1005="Chancho")*(MOVIMIENTOS!$D$5:$D$1005="sacos")*(MOVIMIENTOS!$A$5:$A$1005&lt;&gt;"")*(MOVIMIENTOS!$A$5:$A$1005&lt;=$A184)*MOVIMIENTOS!$E$5:$E$1005)-SUMPRODUCT((MOVIMIENTOS!$B$5:$B$1005="VENTA")*(MOVIMIENTOS!$C$5:$C$1005="Chancho")*(MOVIMIENTOS!$D$5:$D$1005="sacos")*(MOVIMIENTOS!$A$5:$A$1005&lt;&gt;"")*(MOVIMIENTOS!$A$5:$A$1005&lt;=$A184)*MOVIMIENTOS!$E$5:$E$1005)+SUMPRODUCT((MOVIMIENTOS!$B$5:$B$1005="AJUSTE")*(MOVIMIENTOS!$C$5:$C$1005="Chancho")*(MOVIMIENTOS!$D$5:$D$1005="sacos")*(MOVIMIENTOS!$A$5:$A$1005&lt;&gt;"")*(MOVIMIENTOS!$A$5:$A$1005&lt;=$A184)*MOVIMIENTOS!$E$5:$E$1005))</f>
        <v/>
      </c>
      <c r="G184" s="95" t="str">
        <f t="shared" si="5"/>
        <v/>
      </c>
      <c r="H184" s="63" t="str">
        <f>IF($A184="","",SUMPRODUCT((((MOVIMIENTOS!$B$5:$B$1005="SALDO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184)*MOVIMIENTOS!$J$5:$J$1005))</f>
        <v/>
      </c>
      <c r="I184" s="63"/>
      <c r="J184" s="63" t="str">
        <f>IF(AND(MOVIMIENTOS!$A184&lt;&gt;"",COUNTIF(MOVIMIENTOS!$A$5:$A183,MOVIMIENTOS!$A184)=0),COUNT(J$4:J183)+1,"")</f>
        <v/>
      </c>
      <c r="K184" s="66">
        <f>MOVIMIENTOS!$A184</f>
        <v>46230</v>
      </c>
      <c r="L184" s="63"/>
      <c r="M184" s="63"/>
      <c r="N184" s="63"/>
    </row>
    <row r="185" spans="1:14" ht="15" customHeight="1" x14ac:dyDescent="0.2">
      <c r="A185" s="63" t="str">
        <f t="shared" si="4"/>
        <v/>
      </c>
      <c r="B185" s="63" t="str">
        <f>IF($A185="","",SUMPRODUCT((MOVIMIENTOS!$B$5:$B$1005="SALDO INICIAL")*(MOVIMIENTOS!$C$5:$C$1005="A")*(MOVIMIENTOS!$D$5:$D$1005="jabas")*(MOVIMIENTOS!$A$5:$A$1005&lt;&gt;"")*(MOVIMIENTOS!$A$5:$A$1005&lt;=$A185)*MOVIMIENTOS!$E$5:$E$1005)+SUMPRODUCT((MOVIMIENTOS!$B$5:$B$1005="PROCESO")*(MOVIMIENTOS!$C$5:$C$1005="A")*(MOVIMIENTOS!$D$5:$D$1005="jabas")*(MOVIMIENTOS!$A$5:$A$1005&lt;&gt;"")*(MOVIMIENTOS!$A$5:$A$1005&lt;=$A185)*MOVIMIENTOS!$E$5:$E$1005)-SUMPRODUCT((MOVIMIENTOS!$B$5:$B$1005="ENVÍO A SUPESA")*(MOVIMIENTOS!$C$5:$C$1005="A")*(MOVIMIENTOS!$D$5:$D$1005="jabas")*(MOVIMIENTOS!$A$5:$A$1005&lt;&gt;"")*(MOVIMIENTOS!$A$5:$A$1005&lt;=$A185)*MOVIMIENTOS!$E$5:$E$1005)+SUMPRODUCT((MOVIMIENTOS!$B$5:$B$1005="DEVOLUCIÓN")*(MOVIMIENTOS!$C$5:$C$1005="A")*(MOVIMIENTOS!$D$5:$D$1005="jabas")*(MOVIMIENTOS!$A$5:$A$1005&lt;&gt;"")*(MOVIMIENTOS!$A$5:$A$1005&lt;=$A185)*MOVIMIENTOS!$E$5:$E$1005)-SUMPRODUCT((MOVIMIENTOS!$B$5:$B$1005="TRASIEGO")*(MOVIMIENTOS!$C$5:$C$1005="A")*(MOVIMIENTOS!$D$5:$D$1005="jabas")*(MOVIMIENTOS!$A$5:$A$1005&lt;&gt;"")*(MOVIMIENTOS!$A$5:$A$1005&lt;=$A185)*MOVIMIENTOS!$E$5:$E$1005)-SUMPRODUCT((MOVIMIENTOS!$B$5:$B$1005="REGALO")*(MOVIMIENTOS!$C$5:$C$1005="A")*(MOVIMIENTOS!$D$5:$D$1005="jabas")*(MOVIMIENTOS!$A$5:$A$1005&lt;&gt;"")*(MOVIMIENTOS!$A$5:$A$1005&lt;=$A185)*MOVIMIENTOS!$E$5:$E$1005)-SUMPRODUCT((MOVIMIENTOS!$B$5:$B$1005="VENTA")*(MOVIMIENTOS!$C$5:$C$1005="A")*(MOVIMIENTOS!$D$5:$D$1005="jabas")*(MOVIMIENTOS!$A$5:$A$1005&lt;&gt;"")*(MOVIMIENTOS!$A$5:$A$1005&lt;=$A185)*MOVIMIENTOS!$E$5:$E$1005)+SUMPRODUCT((MOVIMIENTOS!$B$5:$B$1005="AJUSTE")*(MOVIMIENTOS!$C$5:$C$1005="A")*(MOVIMIENTOS!$D$5:$D$1005="jabas")*(MOVIMIENTOS!$A$5:$A$1005&lt;&gt;"")*(MOVIMIENTOS!$A$5:$A$1005&lt;=$A185)*MOVIMIENTOS!$E$5:$E$1005))</f>
        <v/>
      </c>
      <c r="C185" s="63" t="str">
        <f>IF($A185="","",SUMPRODUCT((MOVIMIENTOS!$B$5:$B$1005="SALDO INICIAL")*(MOVIMIENTOS!$C$5:$C$1005="P")*(MOVIMIENTOS!$D$5:$D$1005="jabas")*(MOVIMIENTOS!$A$5:$A$1005&lt;&gt;"")*(MOVIMIENTOS!$A$5:$A$1005&lt;=$A185)*MOVIMIENTOS!$E$5:$E$1005)+SUMPRODUCT((MOVIMIENTOS!$B$5:$B$1005="PROCESO")*(MOVIMIENTOS!$C$5:$C$1005="P")*(MOVIMIENTOS!$D$5:$D$1005="jabas")*(MOVIMIENTOS!$A$5:$A$1005&lt;&gt;"")*(MOVIMIENTOS!$A$5:$A$1005&lt;=$A185)*MOVIMIENTOS!$E$5:$E$1005)-SUMPRODUCT((MOVIMIENTOS!$B$5:$B$1005="ENVÍO A SUPESA")*(MOVIMIENTOS!$C$5:$C$1005="P")*(MOVIMIENTOS!$D$5:$D$1005="jabas")*(MOVIMIENTOS!$A$5:$A$1005&lt;&gt;"")*(MOVIMIENTOS!$A$5:$A$1005&lt;=$A185)*MOVIMIENTOS!$E$5:$E$1005)+SUMPRODUCT((MOVIMIENTOS!$B$5:$B$1005="DEVOLUCIÓN")*(MOVIMIENTOS!$C$5:$C$1005="P")*(MOVIMIENTOS!$D$5:$D$1005="jabas")*(MOVIMIENTOS!$A$5:$A$1005&lt;&gt;"")*(MOVIMIENTOS!$A$5:$A$1005&lt;=$A185)*MOVIMIENTOS!$E$5:$E$1005)-SUMPRODUCT((MOVIMIENTOS!$B$5:$B$1005="TRASIEGO")*(MOVIMIENTOS!$C$5:$C$1005="P")*(MOVIMIENTOS!$D$5:$D$1005="jabas")*(MOVIMIENTOS!$A$5:$A$1005&lt;&gt;"")*(MOVIMIENTOS!$A$5:$A$1005&lt;=$A185)*MOVIMIENTOS!$E$5:$E$1005)-SUMPRODUCT((MOVIMIENTOS!$B$5:$B$1005="REGALO")*(MOVIMIENTOS!$C$5:$C$1005="P")*(MOVIMIENTOS!$D$5:$D$1005="jabas")*(MOVIMIENTOS!$A$5:$A$1005&lt;&gt;"")*(MOVIMIENTOS!$A$5:$A$1005&lt;=$A185)*MOVIMIENTOS!$E$5:$E$1005)-SUMPRODUCT((MOVIMIENTOS!$B$5:$B$1005="VENTA")*(MOVIMIENTOS!$C$5:$C$1005="P")*(MOVIMIENTOS!$D$5:$D$1005="jabas")*(MOVIMIENTOS!$A$5:$A$1005&lt;&gt;"")*(MOVIMIENTOS!$A$5:$A$1005&lt;=$A185)*MOVIMIENTOS!$E$5:$E$1005)+SUMPRODUCT((MOVIMIENTOS!$B$5:$B$1005="AJUSTE")*(MOVIMIENTOS!$C$5:$C$1005="P")*(MOVIMIENTOS!$D$5:$D$1005="jabas")*(MOVIMIENTOS!$A$5:$A$1005&lt;&gt;"")*(MOVIMIENTOS!$A$5:$A$1005&lt;=$A185)*MOVIMIENTOS!$E$5:$E$1005))</f>
        <v/>
      </c>
      <c r="D185" s="63" t="str">
        <f>IF($A185="","",SUMPRODUCT((MOVIMIENTOS!$B$5:$B$1005="SALDO INICIAL")*(MOVIMIENTOS!$C$5:$C$1005="C")*(MOVIMIENTOS!$D$5:$D$1005="jabas")*(MOVIMIENTOS!$A$5:$A$1005&lt;&gt;"")*(MOVIMIENTOS!$A$5:$A$1005&lt;=$A185)*MOVIMIENTOS!$E$5:$E$1005)+SUMPRODUCT((MOVIMIENTOS!$B$5:$B$1005="PROCESO")*(MOVIMIENTOS!$C$5:$C$1005="C")*(MOVIMIENTOS!$D$5:$D$1005="jabas")*(MOVIMIENTOS!$A$5:$A$1005&lt;&gt;"")*(MOVIMIENTOS!$A$5:$A$1005&lt;=$A185)*MOVIMIENTOS!$E$5:$E$1005)-SUMPRODUCT((MOVIMIENTOS!$B$5:$B$1005="ENVÍO A SUPESA")*(MOVIMIENTOS!$C$5:$C$1005="C")*(MOVIMIENTOS!$D$5:$D$1005="jabas")*(MOVIMIENTOS!$A$5:$A$1005&lt;&gt;"")*(MOVIMIENTOS!$A$5:$A$1005&lt;=$A185)*MOVIMIENTOS!$E$5:$E$1005)+SUMPRODUCT((MOVIMIENTOS!$B$5:$B$1005="DEVOLUCIÓN")*(MOVIMIENTOS!$C$5:$C$1005="C")*(MOVIMIENTOS!$D$5:$D$1005="jabas")*(MOVIMIENTOS!$A$5:$A$1005&lt;&gt;"")*(MOVIMIENTOS!$A$5:$A$1005&lt;=$A185)*MOVIMIENTOS!$E$5:$E$1005)-SUMPRODUCT((MOVIMIENTOS!$B$5:$B$1005="TRASIEGO")*(MOVIMIENTOS!$C$5:$C$1005="C")*(MOVIMIENTOS!$D$5:$D$1005="jabas")*(MOVIMIENTOS!$A$5:$A$1005&lt;&gt;"")*(MOVIMIENTOS!$A$5:$A$1005&lt;=$A185)*MOVIMIENTOS!$E$5:$E$1005)-SUMPRODUCT((MOVIMIENTOS!$B$5:$B$1005="REGALO")*(MOVIMIENTOS!$C$5:$C$1005="C")*(MOVIMIENTOS!$D$5:$D$1005="jabas")*(MOVIMIENTOS!$A$5:$A$1005&lt;&gt;"")*(MOVIMIENTOS!$A$5:$A$1005&lt;=$A185)*MOVIMIENTOS!$E$5:$E$1005)-SUMPRODUCT((MOVIMIENTOS!$B$5:$B$1005="VENTA")*(MOVIMIENTOS!$C$5:$C$1005="C")*(MOVIMIENTOS!$D$5:$D$1005="jabas")*(MOVIMIENTOS!$A$5:$A$1005&lt;&gt;"")*(MOVIMIENTOS!$A$5:$A$1005&lt;=$A185)*MOVIMIENTOS!$E$5:$E$1005)+SUMPRODUCT((MOVIMIENTOS!$B$5:$B$1005="AJUSTE")*(MOVIMIENTOS!$C$5:$C$1005="C")*(MOVIMIENTOS!$D$5:$D$1005="jabas")*(MOVIMIENTOS!$A$5:$A$1005&lt;&gt;"")*(MOVIMIENTOS!$A$5:$A$1005&lt;=$A185)*MOVIMIENTOS!$E$5:$E$1005))</f>
        <v/>
      </c>
      <c r="E185" s="63" t="str">
        <f>IF($A185="","",SUMPRODUCT((MOVIMIENTOS!$B$5:$B$1005="SALDO INICIAL")*(MOVIMIENTOS!$C$5:$C$1005="M")*(MOVIMIENTOS!$D$5:$D$1005="jabas")*(MOVIMIENTOS!$A$5:$A$1005&lt;&gt;"")*(MOVIMIENTOS!$A$5:$A$1005&lt;=$A185)*MOVIMIENTOS!$E$5:$E$1005)+SUMPRODUCT((MOVIMIENTOS!$B$5:$B$1005="PROCESO")*(MOVIMIENTOS!$C$5:$C$1005="M")*(MOVIMIENTOS!$D$5:$D$1005="jabas")*(MOVIMIENTOS!$A$5:$A$1005&lt;&gt;"")*(MOVIMIENTOS!$A$5:$A$1005&lt;=$A185)*MOVIMIENTOS!$E$5:$E$1005)-SUMPRODUCT((MOVIMIENTOS!$B$5:$B$1005="ENVÍO A SUPESA")*(MOVIMIENTOS!$C$5:$C$1005="M")*(MOVIMIENTOS!$D$5:$D$1005="jabas")*(MOVIMIENTOS!$A$5:$A$1005&lt;&gt;"")*(MOVIMIENTOS!$A$5:$A$1005&lt;=$A185)*MOVIMIENTOS!$E$5:$E$1005)+SUMPRODUCT((MOVIMIENTOS!$B$5:$B$1005="DEVOLUCIÓN")*(MOVIMIENTOS!$C$5:$C$1005="M")*(MOVIMIENTOS!$D$5:$D$1005="jabas")*(MOVIMIENTOS!$A$5:$A$1005&lt;&gt;"")*(MOVIMIENTOS!$A$5:$A$1005&lt;=$A185)*MOVIMIENTOS!$E$5:$E$1005)-SUMPRODUCT((MOVIMIENTOS!$B$5:$B$1005="TRASIEGO")*(MOVIMIENTOS!$C$5:$C$1005="M")*(MOVIMIENTOS!$D$5:$D$1005="jabas")*(MOVIMIENTOS!$A$5:$A$1005&lt;&gt;"")*(MOVIMIENTOS!$A$5:$A$1005&lt;=$A185)*MOVIMIENTOS!$E$5:$E$1005)-SUMPRODUCT((MOVIMIENTOS!$B$5:$B$1005="REGALO")*(MOVIMIENTOS!$C$5:$C$1005="M")*(MOVIMIENTOS!$D$5:$D$1005="jabas")*(MOVIMIENTOS!$A$5:$A$1005&lt;&gt;"")*(MOVIMIENTOS!$A$5:$A$1005&lt;=$A185)*MOVIMIENTOS!$E$5:$E$1005)-SUMPRODUCT((MOVIMIENTOS!$B$5:$B$1005="VENTA")*(MOVIMIENTOS!$C$5:$C$1005="M")*(MOVIMIENTOS!$D$5:$D$1005="jabas")*(MOVIMIENTOS!$A$5:$A$1005&lt;&gt;"")*(MOVIMIENTOS!$A$5:$A$1005&lt;=$A185)*MOVIMIENTOS!$E$5:$E$1005)+SUMPRODUCT((MOVIMIENTOS!$B$5:$B$1005="AJUSTE")*(MOVIMIENTOS!$C$5:$C$1005="M")*(MOVIMIENTOS!$D$5:$D$1005="jabas")*(MOVIMIENTOS!$A$5:$A$1005&lt;&gt;"")*(MOVIMIENTOS!$A$5:$A$1005&lt;=$A185)*MOVIMIENTOS!$E$5:$E$1005))</f>
        <v/>
      </c>
      <c r="F185" s="63" t="str">
        <f>IF($A185="","",SUMPRODUCT((MOVIMIENTOS!$B$5:$B$1005="SALDO INICIAL")*(MOVIMIENTOS!$C$5:$C$1005="Chancho")*(MOVIMIENTOS!$D$5:$D$1005="sacos")*(MOVIMIENTOS!$A$5:$A$1005&lt;&gt;"")*(MOVIMIENTOS!$A$5:$A$1005&lt;=$A185)*MOVIMIENTOS!$E$5:$E$1005)+SUMPRODUCT((MOVIMIENTOS!$B$5:$B$1005="PROCESO")*(MOVIMIENTOS!$C$5:$C$1005="Chancho")*(MOVIMIENTOS!$D$5:$D$1005="sacos")*(MOVIMIENTOS!$A$5:$A$1005&lt;&gt;"")*(MOVIMIENTOS!$A$5:$A$1005&lt;=$A185)*MOVIMIENTOS!$E$5:$E$1005)-SUMPRODUCT((MOVIMIENTOS!$B$5:$B$1005="VENTA CHANCHO")*(MOVIMIENTOS!$C$5:$C$1005="Chancho")*(MOVIMIENTOS!$D$5:$D$1005="sacos")*(MOVIMIENTOS!$A$5:$A$1005&lt;&gt;"")*(MOVIMIENTOS!$A$5:$A$1005&lt;=$A185)*MOVIMIENTOS!$E$5:$E$1005)-SUMPRODUCT((MOVIMIENTOS!$B$5:$B$1005="REGALO")*(MOVIMIENTOS!$C$5:$C$1005="Chancho")*(MOVIMIENTOS!$D$5:$D$1005="sacos")*(MOVIMIENTOS!$A$5:$A$1005&lt;&gt;"")*(MOVIMIENTOS!$A$5:$A$1005&lt;=$A185)*MOVIMIENTOS!$E$5:$E$1005)-SUMPRODUCT((MOVIMIENTOS!$B$5:$B$1005="VENTA")*(MOVIMIENTOS!$C$5:$C$1005="Chancho")*(MOVIMIENTOS!$D$5:$D$1005="sacos")*(MOVIMIENTOS!$A$5:$A$1005&lt;&gt;"")*(MOVIMIENTOS!$A$5:$A$1005&lt;=$A185)*MOVIMIENTOS!$E$5:$E$1005)+SUMPRODUCT((MOVIMIENTOS!$B$5:$B$1005="AJUSTE")*(MOVIMIENTOS!$C$5:$C$1005="Chancho")*(MOVIMIENTOS!$D$5:$D$1005="sacos")*(MOVIMIENTOS!$A$5:$A$1005&lt;&gt;"")*(MOVIMIENTOS!$A$5:$A$1005&lt;=$A185)*MOVIMIENTOS!$E$5:$E$1005))</f>
        <v/>
      </c>
      <c r="G185" s="95" t="str">
        <f t="shared" si="5"/>
        <v/>
      </c>
      <c r="H185" s="63" t="str">
        <f>IF($A185="","",SUMPRODUCT((((MOVIMIENTOS!$B$5:$B$1005="SALDO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185)*MOVIMIENTOS!$J$5:$J$1005))</f>
        <v/>
      </c>
      <c r="I185" s="63"/>
      <c r="J185" s="63" t="str">
        <f>IF(AND(MOVIMIENTOS!$A185&lt;&gt;"",COUNTIF(MOVIMIENTOS!$A$5:$A184,MOVIMIENTOS!$A185)=0),COUNT(J$4:J184)+1,"")</f>
        <v/>
      </c>
      <c r="K185" s="66">
        <f>MOVIMIENTOS!$A185</f>
        <v>46230</v>
      </c>
      <c r="L185" s="63"/>
      <c r="M185" s="63"/>
      <c r="N185" s="63"/>
    </row>
    <row r="186" spans="1:14" ht="15" customHeight="1" x14ac:dyDescent="0.2">
      <c r="A186" s="63" t="str">
        <f t="shared" si="4"/>
        <v/>
      </c>
      <c r="B186" s="63" t="str">
        <f>IF($A186="","",SUMPRODUCT((MOVIMIENTOS!$B$5:$B$1005="SALDO INICIAL")*(MOVIMIENTOS!$C$5:$C$1005="A")*(MOVIMIENTOS!$D$5:$D$1005="jabas")*(MOVIMIENTOS!$A$5:$A$1005&lt;&gt;"")*(MOVIMIENTOS!$A$5:$A$1005&lt;=$A186)*MOVIMIENTOS!$E$5:$E$1005)+SUMPRODUCT((MOVIMIENTOS!$B$5:$B$1005="PROCESO")*(MOVIMIENTOS!$C$5:$C$1005="A")*(MOVIMIENTOS!$D$5:$D$1005="jabas")*(MOVIMIENTOS!$A$5:$A$1005&lt;&gt;"")*(MOVIMIENTOS!$A$5:$A$1005&lt;=$A186)*MOVIMIENTOS!$E$5:$E$1005)-SUMPRODUCT((MOVIMIENTOS!$B$5:$B$1005="ENVÍO A SUPESA")*(MOVIMIENTOS!$C$5:$C$1005="A")*(MOVIMIENTOS!$D$5:$D$1005="jabas")*(MOVIMIENTOS!$A$5:$A$1005&lt;&gt;"")*(MOVIMIENTOS!$A$5:$A$1005&lt;=$A186)*MOVIMIENTOS!$E$5:$E$1005)+SUMPRODUCT((MOVIMIENTOS!$B$5:$B$1005="DEVOLUCIÓN")*(MOVIMIENTOS!$C$5:$C$1005="A")*(MOVIMIENTOS!$D$5:$D$1005="jabas")*(MOVIMIENTOS!$A$5:$A$1005&lt;&gt;"")*(MOVIMIENTOS!$A$5:$A$1005&lt;=$A186)*MOVIMIENTOS!$E$5:$E$1005)-SUMPRODUCT((MOVIMIENTOS!$B$5:$B$1005="TRASIEGO")*(MOVIMIENTOS!$C$5:$C$1005="A")*(MOVIMIENTOS!$D$5:$D$1005="jabas")*(MOVIMIENTOS!$A$5:$A$1005&lt;&gt;"")*(MOVIMIENTOS!$A$5:$A$1005&lt;=$A186)*MOVIMIENTOS!$E$5:$E$1005)-SUMPRODUCT((MOVIMIENTOS!$B$5:$B$1005="REGALO")*(MOVIMIENTOS!$C$5:$C$1005="A")*(MOVIMIENTOS!$D$5:$D$1005="jabas")*(MOVIMIENTOS!$A$5:$A$1005&lt;&gt;"")*(MOVIMIENTOS!$A$5:$A$1005&lt;=$A186)*MOVIMIENTOS!$E$5:$E$1005)-SUMPRODUCT((MOVIMIENTOS!$B$5:$B$1005="VENTA")*(MOVIMIENTOS!$C$5:$C$1005="A")*(MOVIMIENTOS!$D$5:$D$1005="jabas")*(MOVIMIENTOS!$A$5:$A$1005&lt;&gt;"")*(MOVIMIENTOS!$A$5:$A$1005&lt;=$A186)*MOVIMIENTOS!$E$5:$E$1005)+SUMPRODUCT((MOVIMIENTOS!$B$5:$B$1005="AJUSTE")*(MOVIMIENTOS!$C$5:$C$1005="A")*(MOVIMIENTOS!$D$5:$D$1005="jabas")*(MOVIMIENTOS!$A$5:$A$1005&lt;&gt;"")*(MOVIMIENTOS!$A$5:$A$1005&lt;=$A186)*MOVIMIENTOS!$E$5:$E$1005))</f>
        <v/>
      </c>
      <c r="C186" s="63" t="str">
        <f>IF($A186="","",SUMPRODUCT((MOVIMIENTOS!$B$5:$B$1005="SALDO INICIAL")*(MOVIMIENTOS!$C$5:$C$1005="P")*(MOVIMIENTOS!$D$5:$D$1005="jabas")*(MOVIMIENTOS!$A$5:$A$1005&lt;&gt;"")*(MOVIMIENTOS!$A$5:$A$1005&lt;=$A186)*MOVIMIENTOS!$E$5:$E$1005)+SUMPRODUCT((MOVIMIENTOS!$B$5:$B$1005="PROCESO")*(MOVIMIENTOS!$C$5:$C$1005="P")*(MOVIMIENTOS!$D$5:$D$1005="jabas")*(MOVIMIENTOS!$A$5:$A$1005&lt;&gt;"")*(MOVIMIENTOS!$A$5:$A$1005&lt;=$A186)*MOVIMIENTOS!$E$5:$E$1005)-SUMPRODUCT((MOVIMIENTOS!$B$5:$B$1005="ENVÍO A SUPESA")*(MOVIMIENTOS!$C$5:$C$1005="P")*(MOVIMIENTOS!$D$5:$D$1005="jabas")*(MOVIMIENTOS!$A$5:$A$1005&lt;&gt;"")*(MOVIMIENTOS!$A$5:$A$1005&lt;=$A186)*MOVIMIENTOS!$E$5:$E$1005)+SUMPRODUCT((MOVIMIENTOS!$B$5:$B$1005="DEVOLUCIÓN")*(MOVIMIENTOS!$C$5:$C$1005="P")*(MOVIMIENTOS!$D$5:$D$1005="jabas")*(MOVIMIENTOS!$A$5:$A$1005&lt;&gt;"")*(MOVIMIENTOS!$A$5:$A$1005&lt;=$A186)*MOVIMIENTOS!$E$5:$E$1005)-SUMPRODUCT((MOVIMIENTOS!$B$5:$B$1005="TRASIEGO")*(MOVIMIENTOS!$C$5:$C$1005="P")*(MOVIMIENTOS!$D$5:$D$1005="jabas")*(MOVIMIENTOS!$A$5:$A$1005&lt;&gt;"")*(MOVIMIENTOS!$A$5:$A$1005&lt;=$A186)*MOVIMIENTOS!$E$5:$E$1005)-SUMPRODUCT((MOVIMIENTOS!$B$5:$B$1005="REGALO")*(MOVIMIENTOS!$C$5:$C$1005="P")*(MOVIMIENTOS!$D$5:$D$1005="jabas")*(MOVIMIENTOS!$A$5:$A$1005&lt;&gt;"")*(MOVIMIENTOS!$A$5:$A$1005&lt;=$A186)*MOVIMIENTOS!$E$5:$E$1005)-SUMPRODUCT((MOVIMIENTOS!$B$5:$B$1005="VENTA")*(MOVIMIENTOS!$C$5:$C$1005="P")*(MOVIMIENTOS!$D$5:$D$1005="jabas")*(MOVIMIENTOS!$A$5:$A$1005&lt;&gt;"")*(MOVIMIENTOS!$A$5:$A$1005&lt;=$A186)*MOVIMIENTOS!$E$5:$E$1005)+SUMPRODUCT((MOVIMIENTOS!$B$5:$B$1005="AJUSTE")*(MOVIMIENTOS!$C$5:$C$1005="P")*(MOVIMIENTOS!$D$5:$D$1005="jabas")*(MOVIMIENTOS!$A$5:$A$1005&lt;&gt;"")*(MOVIMIENTOS!$A$5:$A$1005&lt;=$A186)*MOVIMIENTOS!$E$5:$E$1005))</f>
        <v/>
      </c>
      <c r="D186" s="63" t="str">
        <f>IF($A186="","",SUMPRODUCT((MOVIMIENTOS!$B$5:$B$1005="SALDO INICIAL")*(MOVIMIENTOS!$C$5:$C$1005="C")*(MOVIMIENTOS!$D$5:$D$1005="jabas")*(MOVIMIENTOS!$A$5:$A$1005&lt;&gt;"")*(MOVIMIENTOS!$A$5:$A$1005&lt;=$A186)*MOVIMIENTOS!$E$5:$E$1005)+SUMPRODUCT((MOVIMIENTOS!$B$5:$B$1005="PROCESO")*(MOVIMIENTOS!$C$5:$C$1005="C")*(MOVIMIENTOS!$D$5:$D$1005="jabas")*(MOVIMIENTOS!$A$5:$A$1005&lt;&gt;"")*(MOVIMIENTOS!$A$5:$A$1005&lt;=$A186)*MOVIMIENTOS!$E$5:$E$1005)-SUMPRODUCT((MOVIMIENTOS!$B$5:$B$1005="ENVÍO A SUPESA")*(MOVIMIENTOS!$C$5:$C$1005="C")*(MOVIMIENTOS!$D$5:$D$1005="jabas")*(MOVIMIENTOS!$A$5:$A$1005&lt;&gt;"")*(MOVIMIENTOS!$A$5:$A$1005&lt;=$A186)*MOVIMIENTOS!$E$5:$E$1005)+SUMPRODUCT((MOVIMIENTOS!$B$5:$B$1005="DEVOLUCIÓN")*(MOVIMIENTOS!$C$5:$C$1005="C")*(MOVIMIENTOS!$D$5:$D$1005="jabas")*(MOVIMIENTOS!$A$5:$A$1005&lt;&gt;"")*(MOVIMIENTOS!$A$5:$A$1005&lt;=$A186)*MOVIMIENTOS!$E$5:$E$1005)-SUMPRODUCT((MOVIMIENTOS!$B$5:$B$1005="TRASIEGO")*(MOVIMIENTOS!$C$5:$C$1005="C")*(MOVIMIENTOS!$D$5:$D$1005="jabas")*(MOVIMIENTOS!$A$5:$A$1005&lt;&gt;"")*(MOVIMIENTOS!$A$5:$A$1005&lt;=$A186)*MOVIMIENTOS!$E$5:$E$1005)-SUMPRODUCT((MOVIMIENTOS!$B$5:$B$1005="REGALO")*(MOVIMIENTOS!$C$5:$C$1005="C")*(MOVIMIENTOS!$D$5:$D$1005="jabas")*(MOVIMIENTOS!$A$5:$A$1005&lt;&gt;"")*(MOVIMIENTOS!$A$5:$A$1005&lt;=$A186)*MOVIMIENTOS!$E$5:$E$1005)-SUMPRODUCT((MOVIMIENTOS!$B$5:$B$1005="VENTA")*(MOVIMIENTOS!$C$5:$C$1005="C")*(MOVIMIENTOS!$D$5:$D$1005="jabas")*(MOVIMIENTOS!$A$5:$A$1005&lt;&gt;"")*(MOVIMIENTOS!$A$5:$A$1005&lt;=$A186)*MOVIMIENTOS!$E$5:$E$1005)+SUMPRODUCT((MOVIMIENTOS!$B$5:$B$1005="AJUSTE")*(MOVIMIENTOS!$C$5:$C$1005="C")*(MOVIMIENTOS!$D$5:$D$1005="jabas")*(MOVIMIENTOS!$A$5:$A$1005&lt;&gt;"")*(MOVIMIENTOS!$A$5:$A$1005&lt;=$A186)*MOVIMIENTOS!$E$5:$E$1005))</f>
        <v/>
      </c>
      <c r="E186" s="63" t="str">
        <f>IF($A186="","",SUMPRODUCT((MOVIMIENTOS!$B$5:$B$1005="SALDO INICIAL")*(MOVIMIENTOS!$C$5:$C$1005="M")*(MOVIMIENTOS!$D$5:$D$1005="jabas")*(MOVIMIENTOS!$A$5:$A$1005&lt;&gt;"")*(MOVIMIENTOS!$A$5:$A$1005&lt;=$A186)*MOVIMIENTOS!$E$5:$E$1005)+SUMPRODUCT((MOVIMIENTOS!$B$5:$B$1005="PROCESO")*(MOVIMIENTOS!$C$5:$C$1005="M")*(MOVIMIENTOS!$D$5:$D$1005="jabas")*(MOVIMIENTOS!$A$5:$A$1005&lt;&gt;"")*(MOVIMIENTOS!$A$5:$A$1005&lt;=$A186)*MOVIMIENTOS!$E$5:$E$1005)-SUMPRODUCT((MOVIMIENTOS!$B$5:$B$1005="ENVÍO A SUPESA")*(MOVIMIENTOS!$C$5:$C$1005="M")*(MOVIMIENTOS!$D$5:$D$1005="jabas")*(MOVIMIENTOS!$A$5:$A$1005&lt;&gt;"")*(MOVIMIENTOS!$A$5:$A$1005&lt;=$A186)*MOVIMIENTOS!$E$5:$E$1005)+SUMPRODUCT((MOVIMIENTOS!$B$5:$B$1005="DEVOLUCIÓN")*(MOVIMIENTOS!$C$5:$C$1005="M")*(MOVIMIENTOS!$D$5:$D$1005="jabas")*(MOVIMIENTOS!$A$5:$A$1005&lt;&gt;"")*(MOVIMIENTOS!$A$5:$A$1005&lt;=$A186)*MOVIMIENTOS!$E$5:$E$1005)-SUMPRODUCT((MOVIMIENTOS!$B$5:$B$1005="TRASIEGO")*(MOVIMIENTOS!$C$5:$C$1005="M")*(MOVIMIENTOS!$D$5:$D$1005="jabas")*(MOVIMIENTOS!$A$5:$A$1005&lt;&gt;"")*(MOVIMIENTOS!$A$5:$A$1005&lt;=$A186)*MOVIMIENTOS!$E$5:$E$1005)-SUMPRODUCT((MOVIMIENTOS!$B$5:$B$1005="REGALO")*(MOVIMIENTOS!$C$5:$C$1005="M")*(MOVIMIENTOS!$D$5:$D$1005="jabas")*(MOVIMIENTOS!$A$5:$A$1005&lt;&gt;"")*(MOVIMIENTOS!$A$5:$A$1005&lt;=$A186)*MOVIMIENTOS!$E$5:$E$1005)-SUMPRODUCT((MOVIMIENTOS!$B$5:$B$1005="VENTA")*(MOVIMIENTOS!$C$5:$C$1005="M")*(MOVIMIENTOS!$D$5:$D$1005="jabas")*(MOVIMIENTOS!$A$5:$A$1005&lt;&gt;"")*(MOVIMIENTOS!$A$5:$A$1005&lt;=$A186)*MOVIMIENTOS!$E$5:$E$1005)+SUMPRODUCT((MOVIMIENTOS!$B$5:$B$1005="AJUSTE")*(MOVIMIENTOS!$C$5:$C$1005="M")*(MOVIMIENTOS!$D$5:$D$1005="jabas")*(MOVIMIENTOS!$A$5:$A$1005&lt;&gt;"")*(MOVIMIENTOS!$A$5:$A$1005&lt;=$A186)*MOVIMIENTOS!$E$5:$E$1005))</f>
        <v/>
      </c>
      <c r="F186" s="63" t="str">
        <f>IF($A186="","",SUMPRODUCT((MOVIMIENTOS!$B$5:$B$1005="SALDO INICIAL")*(MOVIMIENTOS!$C$5:$C$1005="Chancho")*(MOVIMIENTOS!$D$5:$D$1005="sacos")*(MOVIMIENTOS!$A$5:$A$1005&lt;&gt;"")*(MOVIMIENTOS!$A$5:$A$1005&lt;=$A186)*MOVIMIENTOS!$E$5:$E$1005)+SUMPRODUCT((MOVIMIENTOS!$B$5:$B$1005="PROCESO")*(MOVIMIENTOS!$C$5:$C$1005="Chancho")*(MOVIMIENTOS!$D$5:$D$1005="sacos")*(MOVIMIENTOS!$A$5:$A$1005&lt;&gt;"")*(MOVIMIENTOS!$A$5:$A$1005&lt;=$A186)*MOVIMIENTOS!$E$5:$E$1005)-SUMPRODUCT((MOVIMIENTOS!$B$5:$B$1005="VENTA CHANCHO")*(MOVIMIENTOS!$C$5:$C$1005="Chancho")*(MOVIMIENTOS!$D$5:$D$1005="sacos")*(MOVIMIENTOS!$A$5:$A$1005&lt;&gt;"")*(MOVIMIENTOS!$A$5:$A$1005&lt;=$A186)*MOVIMIENTOS!$E$5:$E$1005)-SUMPRODUCT((MOVIMIENTOS!$B$5:$B$1005="REGALO")*(MOVIMIENTOS!$C$5:$C$1005="Chancho")*(MOVIMIENTOS!$D$5:$D$1005="sacos")*(MOVIMIENTOS!$A$5:$A$1005&lt;&gt;"")*(MOVIMIENTOS!$A$5:$A$1005&lt;=$A186)*MOVIMIENTOS!$E$5:$E$1005)-SUMPRODUCT((MOVIMIENTOS!$B$5:$B$1005="VENTA")*(MOVIMIENTOS!$C$5:$C$1005="Chancho")*(MOVIMIENTOS!$D$5:$D$1005="sacos")*(MOVIMIENTOS!$A$5:$A$1005&lt;&gt;"")*(MOVIMIENTOS!$A$5:$A$1005&lt;=$A186)*MOVIMIENTOS!$E$5:$E$1005)+SUMPRODUCT((MOVIMIENTOS!$B$5:$B$1005="AJUSTE")*(MOVIMIENTOS!$C$5:$C$1005="Chancho")*(MOVIMIENTOS!$D$5:$D$1005="sacos")*(MOVIMIENTOS!$A$5:$A$1005&lt;&gt;"")*(MOVIMIENTOS!$A$5:$A$1005&lt;=$A186)*MOVIMIENTOS!$E$5:$E$1005))</f>
        <v/>
      </c>
      <c r="G186" s="95" t="str">
        <f t="shared" si="5"/>
        <v/>
      </c>
      <c r="H186" s="63" t="str">
        <f>IF($A186="","",SUMPRODUCT((((MOVIMIENTOS!$B$5:$B$1005="SALDO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186)*MOVIMIENTOS!$J$5:$J$1005))</f>
        <v/>
      </c>
      <c r="I186" s="63"/>
      <c r="J186" s="63" t="str">
        <f>IF(AND(MOVIMIENTOS!$A186&lt;&gt;"",COUNTIF(MOVIMIENTOS!$A$5:$A185,MOVIMIENTOS!$A186)=0),COUNT(J$4:J185)+1,"")</f>
        <v/>
      </c>
      <c r="K186" s="66">
        <f>MOVIMIENTOS!$A186</f>
        <v>46230</v>
      </c>
      <c r="L186" s="63"/>
      <c r="M186" s="63"/>
      <c r="N186" s="63"/>
    </row>
    <row r="187" spans="1:14" ht="15" customHeight="1" x14ac:dyDescent="0.2">
      <c r="A187" s="63" t="str">
        <f t="shared" si="4"/>
        <v/>
      </c>
      <c r="B187" s="63" t="str">
        <f>IF($A187="","",SUMPRODUCT((MOVIMIENTOS!$B$5:$B$1005="SALDO INICIAL")*(MOVIMIENTOS!$C$5:$C$1005="A")*(MOVIMIENTOS!$D$5:$D$1005="jabas")*(MOVIMIENTOS!$A$5:$A$1005&lt;&gt;"")*(MOVIMIENTOS!$A$5:$A$1005&lt;=$A187)*MOVIMIENTOS!$E$5:$E$1005)+SUMPRODUCT((MOVIMIENTOS!$B$5:$B$1005="PROCESO")*(MOVIMIENTOS!$C$5:$C$1005="A")*(MOVIMIENTOS!$D$5:$D$1005="jabas")*(MOVIMIENTOS!$A$5:$A$1005&lt;&gt;"")*(MOVIMIENTOS!$A$5:$A$1005&lt;=$A187)*MOVIMIENTOS!$E$5:$E$1005)-SUMPRODUCT((MOVIMIENTOS!$B$5:$B$1005="ENVÍO A SUPESA")*(MOVIMIENTOS!$C$5:$C$1005="A")*(MOVIMIENTOS!$D$5:$D$1005="jabas")*(MOVIMIENTOS!$A$5:$A$1005&lt;&gt;"")*(MOVIMIENTOS!$A$5:$A$1005&lt;=$A187)*MOVIMIENTOS!$E$5:$E$1005)+SUMPRODUCT((MOVIMIENTOS!$B$5:$B$1005="DEVOLUCIÓN")*(MOVIMIENTOS!$C$5:$C$1005="A")*(MOVIMIENTOS!$D$5:$D$1005="jabas")*(MOVIMIENTOS!$A$5:$A$1005&lt;&gt;"")*(MOVIMIENTOS!$A$5:$A$1005&lt;=$A187)*MOVIMIENTOS!$E$5:$E$1005)-SUMPRODUCT((MOVIMIENTOS!$B$5:$B$1005="TRASIEGO")*(MOVIMIENTOS!$C$5:$C$1005="A")*(MOVIMIENTOS!$D$5:$D$1005="jabas")*(MOVIMIENTOS!$A$5:$A$1005&lt;&gt;"")*(MOVIMIENTOS!$A$5:$A$1005&lt;=$A187)*MOVIMIENTOS!$E$5:$E$1005)-SUMPRODUCT((MOVIMIENTOS!$B$5:$B$1005="REGALO")*(MOVIMIENTOS!$C$5:$C$1005="A")*(MOVIMIENTOS!$D$5:$D$1005="jabas")*(MOVIMIENTOS!$A$5:$A$1005&lt;&gt;"")*(MOVIMIENTOS!$A$5:$A$1005&lt;=$A187)*MOVIMIENTOS!$E$5:$E$1005)-SUMPRODUCT((MOVIMIENTOS!$B$5:$B$1005="VENTA")*(MOVIMIENTOS!$C$5:$C$1005="A")*(MOVIMIENTOS!$D$5:$D$1005="jabas")*(MOVIMIENTOS!$A$5:$A$1005&lt;&gt;"")*(MOVIMIENTOS!$A$5:$A$1005&lt;=$A187)*MOVIMIENTOS!$E$5:$E$1005)+SUMPRODUCT((MOVIMIENTOS!$B$5:$B$1005="AJUSTE")*(MOVIMIENTOS!$C$5:$C$1005="A")*(MOVIMIENTOS!$D$5:$D$1005="jabas")*(MOVIMIENTOS!$A$5:$A$1005&lt;&gt;"")*(MOVIMIENTOS!$A$5:$A$1005&lt;=$A187)*MOVIMIENTOS!$E$5:$E$1005))</f>
        <v/>
      </c>
      <c r="C187" s="63" t="str">
        <f>IF($A187="","",SUMPRODUCT((MOVIMIENTOS!$B$5:$B$1005="SALDO INICIAL")*(MOVIMIENTOS!$C$5:$C$1005="P")*(MOVIMIENTOS!$D$5:$D$1005="jabas")*(MOVIMIENTOS!$A$5:$A$1005&lt;&gt;"")*(MOVIMIENTOS!$A$5:$A$1005&lt;=$A187)*MOVIMIENTOS!$E$5:$E$1005)+SUMPRODUCT((MOVIMIENTOS!$B$5:$B$1005="PROCESO")*(MOVIMIENTOS!$C$5:$C$1005="P")*(MOVIMIENTOS!$D$5:$D$1005="jabas")*(MOVIMIENTOS!$A$5:$A$1005&lt;&gt;"")*(MOVIMIENTOS!$A$5:$A$1005&lt;=$A187)*MOVIMIENTOS!$E$5:$E$1005)-SUMPRODUCT((MOVIMIENTOS!$B$5:$B$1005="ENVÍO A SUPESA")*(MOVIMIENTOS!$C$5:$C$1005="P")*(MOVIMIENTOS!$D$5:$D$1005="jabas")*(MOVIMIENTOS!$A$5:$A$1005&lt;&gt;"")*(MOVIMIENTOS!$A$5:$A$1005&lt;=$A187)*MOVIMIENTOS!$E$5:$E$1005)+SUMPRODUCT((MOVIMIENTOS!$B$5:$B$1005="DEVOLUCIÓN")*(MOVIMIENTOS!$C$5:$C$1005="P")*(MOVIMIENTOS!$D$5:$D$1005="jabas")*(MOVIMIENTOS!$A$5:$A$1005&lt;&gt;"")*(MOVIMIENTOS!$A$5:$A$1005&lt;=$A187)*MOVIMIENTOS!$E$5:$E$1005)-SUMPRODUCT((MOVIMIENTOS!$B$5:$B$1005="TRASIEGO")*(MOVIMIENTOS!$C$5:$C$1005="P")*(MOVIMIENTOS!$D$5:$D$1005="jabas")*(MOVIMIENTOS!$A$5:$A$1005&lt;&gt;"")*(MOVIMIENTOS!$A$5:$A$1005&lt;=$A187)*MOVIMIENTOS!$E$5:$E$1005)-SUMPRODUCT((MOVIMIENTOS!$B$5:$B$1005="REGALO")*(MOVIMIENTOS!$C$5:$C$1005="P")*(MOVIMIENTOS!$D$5:$D$1005="jabas")*(MOVIMIENTOS!$A$5:$A$1005&lt;&gt;"")*(MOVIMIENTOS!$A$5:$A$1005&lt;=$A187)*MOVIMIENTOS!$E$5:$E$1005)-SUMPRODUCT((MOVIMIENTOS!$B$5:$B$1005="VENTA")*(MOVIMIENTOS!$C$5:$C$1005="P")*(MOVIMIENTOS!$D$5:$D$1005="jabas")*(MOVIMIENTOS!$A$5:$A$1005&lt;&gt;"")*(MOVIMIENTOS!$A$5:$A$1005&lt;=$A187)*MOVIMIENTOS!$E$5:$E$1005)+SUMPRODUCT((MOVIMIENTOS!$B$5:$B$1005="AJUSTE")*(MOVIMIENTOS!$C$5:$C$1005="P")*(MOVIMIENTOS!$D$5:$D$1005="jabas")*(MOVIMIENTOS!$A$5:$A$1005&lt;&gt;"")*(MOVIMIENTOS!$A$5:$A$1005&lt;=$A187)*MOVIMIENTOS!$E$5:$E$1005))</f>
        <v/>
      </c>
      <c r="D187" s="63" t="str">
        <f>IF($A187="","",SUMPRODUCT((MOVIMIENTOS!$B$5:$B$1005="SALDO INICIAL")*(MOVIMIENTOS!$C$5:$C$1005="C")*(MOVIMIENTOS!$D$5:$D$1005="jabas")*(MOVIMIENTOS!$A$5:$A$1005&lt;&gt;"")*(MOVIMIENTOS!$A$5:$A$1005&lt;=$A187)*MOVIMIENTOS!$E$5:$E$1005)+SUMPRODUCT((MOVIMIENTOS!$B$5:$B$1005="PROCESO")*(MOVIMIENTOS!$C$5:$C$1005="C")*(MOVIMIENTOS!$D$5:$D$1005="jabas")*(MOVIMIENTOS!$A$5:$A$1005&lt;&gt;"")*(MOVIMIENTOS!$A$5:$A$1005&lt;=$A187)*MOVIMIENTOS!$E$5:$E$1005)-SUMPRODUCT((MOVIMIENTOS!$B$5:$B$1005="ENVÍO A SUPESA")*(MOVIMIENTOS!$C$5:$C$1005="C")*(MOVIMIENTOS!$D$5:$D$1005="jabas")*(MOVIMIENTOS!$A$5:$A$1005&lt;&gt;"")*(MOVIMIENTOS!$A$5:$A$1005&lt;=$A187)*MOVIMIENTOS!$E$5:$E$1005)+SUMPRODUCT((MOVIMIENTOS!$B$5:$B$1005="DEVOLUCIÓN")*(MOVIMIENTOS!$C$5:$C$1005="C")*(MOVIMIENTOS!$D$5:$D$1005="jabas")*(MOVIMIENTOS!$A$5:$A$1005&lt;&gt;"")*(MOVIMIENTOS!$A$5:$A$1005&lt;=$A187)*MOVIMIENTOS!$E$5:$E$1005)-SUMPRODUCT((MOVIMIENTOS!$B$5:$B$1005="TRASIEGO")*(MOVIMIENTOS!$C$5:$C$1005="C")*(MOVIMIENTOS!$D$5:$D$1005="jabas")*(MOVIMIENTOS!$A$5:$A$1005&lt;&gt;"")*(MOVIMIENTOS!$A$5:$A$1005&lt;=$A187)*MOVIMIENTOS!$E$5:$E$1005)-SUMPRODUCT((MOVIMIENTOS!$B$5:$B$1005="REGALO")*(MOVIMIENTOS!$C$5:$C$1005="C")*(MOVIMIENTOS!$D$5:$D$1005="jabas")*(MOVIMIENTOS!$A$5:$A$1005&lt;&gt;"")*(MOVIMIENTOS!$A$5:$A$1005&lt;=$A187)*MOVIMIENTOS!$E$5:$E$1005)-SUMPRODUCT((MOVIMIENTOS!$B$5:$B$1005="VENTA")*(MOVIMIENTOS!$C$5:$C$1005="C")*(MOVIMIENTOS!$D$5:$D$1005="jabas")*(MOVIMIENTOS!$A$5:$A$1005&lt;&gt;"")*(MOVIMIENTOS!$A$5:$A$1005&lt;=$A187)*MOVIMIENTOS!$E$5:$E$1005)+SUMPRODUCT((MOVIMIENTOS!$B$5:$B$1005="AJUSTE")*(MOVIMIENTOS!$C$5:$C$1005="C")*(MOVIMIENTOS!$D$5:$D$1005="jabas")*(MOVIMIENTOS!$A$5:$A$1005&lt;&gt;"")*(MOVIMIENTOS!$A$5:$A$1005&lt;=$A187)*MOVIMIENTOS!$E$5:$E$1005))</f>
        <v/>
      </c>
      <c r="E187" s="63" t="str">
        <f>IF($A187="","",SUMPRODUCT((MOVIMIENTOS!$B$5:$B$1005="SALDO INICIAL")*(MOVIMIENTOS!$C$5:$C$1005="M")*(MOVIMIENTOS!$D$5:$D$1005="jabas")*(MOVIMIENTOS!$A$5:$A$1005&lt;&gt;"")*(MOVIMIENTOS!$A$5:$A$1005&lt;=$A187)*MOVIMIENTOS!$E$5:$E$1005)+SUMPRODUCT((MOVIMIENTOS!$B$5:$B$1005="PROCESO")*(MOVIMIENTOS!$C$5:$C$1005="M")*(MOVIMIENTOS!$D$5:$D$1005="jabas")*(MOVIMIENTOS!$A$5:$A$1005&lt;&gt;"")*(MOVIMIENTOS!$A$5:$A$1005&lt;=$A187)*MOVIMIENTOS!$E$5:$E$1005)-SUMPRODUCT((MOVIMIENTOS!$B$5:$B$1005="ENVÍO A SUPESA")*(MOVIMIENTOS!$C$5:$C$1005="M")*(MOVIMIENTOS!$D$5:$D$1005="jabas")*(MOVIMIENTOS!$A$5:$A$1005&lt;&gt;"")*(MOVIMIENTOS!$A$5:$A$1005&lt;=$A187)*MOVIMIENTOS!$E$5:$E$1005)+SUMPRODUCT((MOVIMIENTOS!$B$5:$B$1005="DEVOLUCIÓN")*(MOVIMIENTOS!$C$5:$C$1005="M")*(MOVIMIENTOS!$D$5:$D$1005="jabas")*(MOVIMIENTOS!$A$5:$A$1005&lt;&gt;"")*(MOVIMIENTOS!$A$5:$A$1005&lt;=$A187)*MOVIMIENTOS!$E$5:$E$1005)-SUMPRODUCT((MOVIMIENTOS!$B$5:$B$1005="TRASIEGO")*(MOVIMIENTOS!$C$5:$C$1005="M")*(MOVIMIENTOS!$D$5:$D$1005="jabas")*(MOVIMIENTOS!$A$5:$A$1005&lt;&gt;"")*(MOVIMIENTOS!$A$5:$A$1005&lt;=$A187)*MOVIMIENTOS!$E$5:$E$1005)-SUMPRODUCT((MOVIMIENTOS!$B$5:$B$1005="REGALO")*(MOVIMIENTOS!$C$5:$C$1005="M")*(MOVIMIENTOS!$D$5:$D$1005="jabas")*(MOVIMIENTOS!$A$5:$A$1005&lt;&gt;"")*(MOVIMIENTOS!$A$5:$A$1005&lt;=$A187)*MOVIMIENTOS!$E$5:$E$1005)-SUMPRODUCT((MOVIMIENTOS!$B$5:$B$1005="VENTA")*(MOVIMIENTOS!$C$5:$C$1005="M")*(MOVIMIENTOS!$D$5:$D$1005="jabas")*(MOVIMIENTOS!$A$5:$A$1005&lt;&gt;"")*(MOVIMIENTOS!$A$5:$A$1005&lt;=$A187)*MOVIMIENTOS!$E$5:$E$1005)+SUMPRODUCT((MOVIMIENTOS!$B$5:$B$1005="AJUSTE")*(MOVIMIENTOS!$C$5:$C$1005="M")*(MOVIMIENTOS!$D$5:$D$1005="jabas")*(MOVIMIENTOS!$A$5:$A$1005&lt;&gt;"")*(MOVIMIENTOS!$A$5:$A$1005&lt;=$A187)*MOVIMIENTOS!$E$5:$E$1005))</f>
        <v/>
      </c>
      <c r="F187" s="63" t="str">
        <f>IF($A187="","",SUMPRODUCT((MOVIMIENTOS!$B$5:$B$1005="SALDO INICIAL")*(MOVIMIENTOS!$C$5:$C$1005="Chancho")*(MOVIMIENTOS!$D$5:$D$1005="sacos")*(MOVIMIENTOS!$A$5:$A$1005&lt;&gt;"")*(MOVIMIENTOS!$A$5:$A$1005&lt;=$A187)*MOVIMIENTOS!$E$5:$E$1005)+SUMPRODUCT((MOVIMIENTOS!$B$5:$B$1005="PROCESO")*(MOVIMIENTOS!$C$5:$C$1005="Chancho")*(MOVIMIENTOS!$D$5:$D$1005="sacos")*(MOVIMIENTOS!$A$5:$A$1005&lt;&gt;"")*(MOVIMIENTOS!$A$5:$A$1005&lt;=$A187)*MOVIMIENTOS!$E$5:$E$1005)-SUMPRODUCT((MOVIMIENTOS!$B$5:$B$1005="VENTA CHANCHO")*(MOVIMIENTOS!$C$5:$C$1005="Chancho")*(MOVIMIENTOS!$D$5:$D$1005="sacos")*(MOVIMIENTOS!$A$5:$A$1005&lt;&gt;"")*(MOVIMIENTOS!$A$5:$A$1005&lt;=$A187)*MOVIMIENTOS!$E$5:$E$1005)-SUMPRODUCT((MOVIMIENTOS!$B$5:$B$1005="REGALO")*(MOVIMIENTOS!$C$5:$C$1005="Chancho")*(MOVIMIENTOS!$D$5:$D$1005="sacos")*(MOVIMIENTOS!$A$5:$A$1005&lt;&gt;"")*(MOVIMIENTOS!$A$5:$A$1005&lt;=$A187)*MOVIMIENTOS!$E$5:$E$1005)-SUMPRODUCT((MOVIMIENTOS!$B$5:$B$1005="VENTA")*(MOVIMIENTOS!$C$5:$C$1005="Chancho")*(MOVIMIENTOS!$D$5:$D$1005="sacos")*(MOVIMIENTOS!$A$5:$A$1005&lt;&gt;"")*(MOVIMIENTOS!$A$5:$A$1005&lt;=$A187)*MOVIMIENTOS!$E$5:$E$1005)+SUMPRODUCT((MOVIMIENTOS!$B$5:$B$1005="AJUSTE")*(MOVIMIENTOS!$C$5:$C$1005="Chancho")*(MOVIMIENTOS!$D$5:$D$1005="sacos")*(MOVIMIENTOS!$A$5:$A$1005&lt;&gt;"")*(MOVIMIENTOS!$A$5:$A$1005&lt;=$A187)*MOVIMIENTOS!$E$5:$E$1005))</f>
        <v/>
      </c>
      <c r="G187" s="95" t="str">
        <f t="shared" si="5"/>
        <v/>
      </c>
      <c r="H187" s="63" t="str">
        <f>IF($A187="","",SUMPRODUCT((((MOVIMIENTOS!$B$5:$B$1005="SALDO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187)*MOVIMIENTOS!$J$5:$J$1005))</f>
        <v/>
      </c>
      <c r="I187" s="63"/>
      <c r="J187" s="63" t="str">
        <f>IF(AND(MOVIMIENTOS!$A187&lt;&gt;"",COUNTIF(MOVIMIENTOS!$A$5:$A186,MOVIMIENTOS!$A187)=0),COUNT(J$4:J186)+1,"")</f>
        <v/>
      </c>
      <c r="K187" s="66">
        <f>MOVIMIENTOS!$A187</f>
        <v>46230</v>
      </c>
      <c r="L187" s="63"/>
      <c r="M187" s="63"/>
      <c r="N187" s="63"/>
    </row>
    <row r="188" spans="1:14" ht="15" customHeight="1" x14ac:dyDescent="0.2">
      <c r="A188" s="63" t="str">
        <f t="shared" si="4"/>
        <v/>
      </c>
      <c r="B188" s="63" t="str">
        <f>IF($A188="","",SUMPRODUCT((MOVIMIENTOS!$B$5:$B$1005="SALDO INICIAL")*(MOVIMIENTOS!$C$5:$C$1005="A")*(MOVIMIENTOS!$D$5:$D$1005="jabas")*(MOVIMIENTOS!$A$5:$A$1005&lt;&gt;"")*(MOVIMIENTOS!$A$5:$A$1005&lt;=$A188)*MOVIMIENTOS!$E$5:$E$1005)+SUMPRODUCT((MOVIMIENTOS!$B$5:$B$1005="PROCESO")*(MOVIMIENTOS!$C$5:$C$1005="A")*(MOVIMIENTOS!$D$5:$D$1005="jabas")*(MOVIMIENTOS!$A$5:$A$1005&lt;&gt;"")*(MOVIMIENTOS!$A$5:$A$1005&lt;=$A188)*MOVIMIENTOS!$E$5:$E$1005)-SUMPRODUCT((MOVIMIENTOS!$B$5:$B$1005="ENVÍO A SUPESA")*(MOVIMIENTOS!$C$5:$C$1005="A")*(MOVIMIENTOS!$D$5:$D$1005="jabas")*(MOVIMIENTOS!$A$5:$A$1005&lt;&gt;"")*(MOVIMIENTOS!$A$5:$A$1005&lt;=$A188)*MOVIMIENTOS!$E$5:$E$1005)+SUMPRODUCT((MOVIMIENTOS!$B$5:$B$1005="DEVOLUCIÓN")*(MOVIMIENTOS!$C$5:$C$1005="A")*(MOVIMIENTOS!$D$5:$D$1005="jabas")*(MOVIMIENTOS!$A$5:$A$1005&lt;&gt;"")*(MOVIMIENTOS!$A$5:$A$1005&lt;=$A188)*MOVIMIENTOS!$E$5:$E$1005)-SUMPRODUCT((MOVIMIENTOS!$B$5:$B$1005="TRASIEGO")*(MOVIMIENTOS!$C$5:$C$1005="A")*(MOVIMIENTOS!$D$5:$D$1005="jabas")*(MOVIMIENTOS!$A$5:$A$1005&lt;&gt;"")*(MOVIMIENTOS!$A$5:$A$1005&lt;=$A188)*MOVIMIENTOS!$E$5:$E$1005)-SUMPRODUCT((MOVIMIENTOS!$B$5:$B$1005="REGALO")*(MOVIMIENTOS!$C$5:$C$1005="A")*(MOVIMIENTOS!$D$5:$D$1005="jabas")*(MOVIMIENTOS!$A$5:$A$1005&lt;&gt;"")*(MOVIMIENTOS!$A$5:$A$1005&lt;=$A188)*MOVIMIENTOS!$E$5:$E$1005)-SUMPRODUCT((MOVIMIENTOS!$B$5:$B$1005="VENTA")*(MOVIMIENTOS!$C$5:$C$1005="A")*(MOVIMIENTOS!$D$5:$D$1005="jabas")*(MOVIMIENTOS!$A$5:$A$1005&lt;&gt;"")*(MOVIMIENTOS!$A$5:$A$1005&lt;=$A188)*MOVIMIENTOS!$E$5:$E$1005)+SUMPRODUCT((MOVIMIENTOS!$B$5:$B$1005="AJUSTE")*(MOVIMIENTOS!$C$5:$C$1005="A")*(MOVIMIENTOS!$D$5:$D$1005="jabas")*(MOVIMIENTOS!$A$5:$A$1005&lt;&gt;"")*(MOVIMIENTOS!$A$5:$A$1005&lt;=$A188)*MOVIMIENTOS!$E$5:$E$1005))</f>
        <v/>
      </c>
      <c r="C188" s="63" t="str">
        <f>IF($A188="","",SUMPRODUCT((MOVIMIENTOS!$B$5:$B$1005="SALDO INICIAL")*(MOVIMIENTOS!$C$5:$C$1005="P")*(MOVIMIENTOS!$D$5:$D$1005="jabas")*(MOVIMIENTOS!$A$5:$A$1005&lt;&gt;"")*(MOVIMIENTOS!$A$5:$A$1005&lt;=$A188)*MOVIMIENTOS!$E$5:$E$1005)+SUMPRODUCT((MOVIMIENTOS!$B$5:$B$1005="PROCESO")*(MOVIMIENTOS!$C$5:$C$1005="P")*(MOVIMIENTOS!$D$5:$D$1005="jabas")*(MOVIMIENTOS!$A$5:$A$1005&lt;&gt;"")*(MOVIMIENTOS!$A$5:$A$1005&lt;=$A188)*MOVIMIENTOS!$E$5:$E$1005)-SUMPRODUCT((MOVIMIENTOS!$B$5:$B$1005="ENVÍO A SUPESA")*(MOVIMIENTOS!$C$5:$C$1005="P")*(MOVIMIENTOS!$D$5:$D$1005="jabas")*(MOVIMIENTOS!$A$5:$A$1005&lt;&gt;"")*(MOVIMIENTOS!$A$5:$A$1005&lt;=$A188)*MOVIMIENTOS!$E$5:$E$1005)+SUMPRODUCT((MOVIMIENTOS!$B$5:$B$1005="DEVOLUCIÓN")*(MOVIMIENTOS!$C$5:$C$1005="P")*(MOVIMIENTOS!$D$5:$D$1005="jabas")*(MOVIMIENTOS!$A$5:$A$1005&lt;&gt;"")*(MOVIMIENTOS!$A$5:$A$1005&lt;=$A188)*MOVIMIENTOS!$E$5:$E$1005)-SUMPRODUCT((MOVIMIENTOS!$B$5:$B$1005="TRASIEGO")*(MOVIMIENTOS!$C$5:$C$1005="P")*(MOVIMIENTOS!$D$5:$D$1005="jabas")*(MOVIMIENTOS!$A$5:$A$1005&lt;&gt;"")*(MOVIMIENTOS!$A$5:$A$1005&lt;=$A188)*MOVIMIENTOS!$E$5:$E$1005)-SUMPRODUCT((MOVIMIENTOS!$B$5:$B$1005="REGALO")*(MOVIMIENTOS!$C$5:$C$1005="P")*(MOVIMIENTOS!$D$5:$D$1005="jabas")*(MOVIMIENTOS!$A$5:$A$1005&lt;&gt;"")*(MOVIMIENTOS!$A$5:$A$1005&lt;=$A188)*MOVIMIENTOS!$E$5:$E$1005)-SUMPRODUCT((MOVIMIENTOS!$B$5:$B$1005="VENTA")*(MOVIMIENTOS!$C$5:$C$1005="P")*(MOVIMIENTOS!$D$5:$D$1005="jabas")*(MOVIMIENTOS!$A$5:$A$1005&lt;&gt;"")*(MOVIMIENTOS!$A$5:$A$1005&lt;=$A188)*MOVIMIENTOS!$E$5:$E$1005)+SUMPRODUCT((MOVIMIENTOS!$B$5:$B$1005="AJUSTE")*(MOVIMIENTOS!$C$5:$C$1005="P")*(MOVIMIENTOS!$D$5:$D$1005="jabas")*(MOVIMIENTOS!$A$5:$A$1005&lt;&gt;"")*(MOVIMIENTOS!$A$5:$A$1005&lt;=$A188)*MOVIMIENTOS!$E$5:$E$1005))</f>
        <v/>
      </c>
      <c r="D188" s="63" t="str">
        <f>IF($A188="","",SUMPRODUCT((MOVIMIENTOS!$B$5:$B$1005="SALDO INICIAL")*(MOVIMIENTOS!$C$5:$C$1005="C")*(MOVIMIENTOS!$D$5:$D$1005="jabas")*(MOVIMIENTOS!$A$5:$A$1005&lt;&gt;"")*(MOVIMIENTOS!$A$5:$A$1005&lt;=$A188)*MOVIMIENTOS!$E$5:$E$1005)+SUMPRODUCT((MOVIMIENTOS!$B$5:$B$1005="PROCESO")*(MOVIMIENTOS!$C$5:$C$1005="C")*(MOVIMIENTOS!$D$5:$D$1005="jabas")*(MOVIMIENTOS!$A$5:$A$1005&lt;&gt;"")*(MOVIMIENTOS!$A$5:$A$1005&lt;=$A188)*MOVIMIENTOS!$E$5:$E$1005)-SUMPRODUCT((MOVIMIENTOS!$B$5:$B$1005="ENVÍO A SUPESA")*(MOVIMIENTOS!$C$5:$C$1005="C")*(MOVIMIENTOS!$D$5:$D$1005="jabas")*(MOVIMIENTOS!$A$5:$A$1005&lt;&gt;"")*(MOVIMIENTOS!$A$5:$A$1005&lt;=$A188)*MOVIMIENTOS!$E$5:$E$1005)+SUMPRODUCT((MOVIMIENTOS!$B$5:$B$1005="DEVOLUCIÓN")*(MOVIMIENTOS!$C$5:$C$1005="C")*(MOVIMIENTOS!$D$5:$D$1005="jabas")*(MOVIMIENTOS!$A$5:$A$1005&lt;&gt;"")*(MOVIMIENTOS!$A$5:$A$1005&lt;=$A188)*MOVIMIENTOS!$E$5:$E$1005)-SUMPRODUCT((MOVIMIENTOS!$B$5:$B$1005="TRASIEGO")*(MOVIMIENTOS!$C$5:$C$1005="C")*(MOVIMIENTOS!$D$5:$D$1005="jabas")*(MOVIMIENTOS!$A$5:$A$1005&lt;&gt;"")*(MOVIMIENTOS!$A$5:$A$1005&lt;=$A188)*MOVIMIENTOS!$E$5:$E$1005)-SUMPRODUCT((MOVIMIENTOS!$B$5:$B$1005="REGALO")*(MOVIMIENTOS!$C$5:$C$1005="C")*(MOVIMIENTOS!$D$5:$D$1005="jabas")*(MOVIMIENTOS!$A$5:$A$1005&lt;&gt;"")*(MOVIMIENTOS!$A$5:$A$1005&lt;=$A188)*MOVIMIENTOS!$E$5:$E$1005)-SUMPRODUCT((MOVIMIENTOS!$B$5:$B$1005="VENTA")*(MOVIMIENTOS!$C$5:$C$1005="C")*(MOVIMIENTOS!$D$5:$D$1005="jabas")*(MOVIMIENTOS!$A$5:$A$1005&lt;&gt;"")*(MOVIMIENTOS!$A$5:$A$1005&lt;=$A188)*MOVIMIENTOS!$E$5:$E$1005)+SUMPRODUCT((MOVIMIENTOS!$B$5:$B$1005="AJUSTE")*(MOVIMIENTOS!$C$5:$C$1005="C")*(MOVIMIENTOS!$D$5:$D$1005="jabas")*(MOVIMIENTOS!$A$5:$A$1005&lt;&gt;"")*(MOVIMIENTOS!$A$5:$A$1005&lt;=$A188)*MOVIMIENTOS!$E$5:$E$1005))</f>
        <v/>
      </c>
      <c r="E188" s="63" t="str">
        <f>IF($A188="","",SUMPRODUCT((MOVIMIENTOS!$B$5:$B$1005="SALDO INICIAL")*(MOVIMIENTOS!$C$5:$C$1005="M")*(MOVIMIENTOS!$D$5:$D$1005="jabas")*(MOVIMIENTOS!$A$5:$A$1005&lt;&gt;"")*(MOVIMIENTOS!$A$5:$A$1005&lt;=$A188)*MOVIMIENTOS!$E$5:$E$1005)+SUMPRODUCT((MOVIMIENTOS!$B$5:$B$1005="PROCESO")*(MOVIMIENTOS!$C$5:$C$1005="M")*(MOVIMIENTOS!$D$5:$D$1005="jabas")*(MOVIMIENTOS!$A$5:$A$1005&lt;&gt;"")*(MOVIMIENTOS!$A$5:$A$1005&lt;=$A188)*MOVIMIENTOS!$E$5:$E$1005)-SUMPRODUCT((MOVIMIENTOS!$B$5:$B$1005="ENVÍO A SUPESA")*(MOVIMIENTOS!$C$5:$C$1005="M")*(MOVIMIENTOS!$D$5:$D$1005="jabas")*(MOVIMIENTOS!$A$5:$A$1005&lt;&gt;"")*(MOVIMIENTOS!$A$5:$A$1005&lt;=$A188)*MOVIMIENTOS!$E$5:$E$1005)+SUMPRODUCT((MOVIMIENTOS!$B$5:$B$1005="DEVOLUCIÓN")*(MOVIMIENTOS!$C$5:$C$1005="M")*(MOVIMIENTOS!$D$5:$D$1005="jabas")*(MOVIMIENTOS!$A$5:$A$1005&lt;&gt;"")*(MOVIMIENTOS!$A$5:$A$1005&lt;=$A188)*MOVIMIENTOS!$E$5:$E$1005)-SUMPRODUCT((MOVIMIENTOS!$B$5:$B$1005="TRASIEGO")*(MOVIMIENTOS!$C$5:$C$1005="M")*(MOVIMIENTOS!$D$5:$D$1005="jabas")*(MOVIMIENTOS!$A$5:$A$1005&lt;&gt;"")*(MOVIMIENTOS!$A$5:$A$1005&lt;=$A188)*MOVIMIENTOS!$E$5:$E$1005)-SUMPRODUCT((MOVIMIENTOS!$B$5:$B$1005="REGALO")*(MOVIMIENTOS!$C$5:$C$1005="M")*(MOVIMIENTOS!$D$5:$D$1005="jabas")*(MOVIMIENTOS!$A$5:$A$1005&lt;&gt;"")*(MOVIMIENTOS!$A$5:$A$1005&lt;=$A188)*MOVIMIENTOS!$E$5:$E$1005)-SUMPRODUCT((MOVIMIENTOS!$B$5:$B$1005="VENTA")*(MOVIMIENTOS!$C$5:$C$1005="M")*(MOVIMIENTOS!$D$5:$D$1005="jabas")*(MOVIMIENTOS!$A$5:$A$1005&lt;&gt;"")*(MOVIMIENTOS!$A$5:$A$1005&lt;=$A188)*MOVIMIENTOS!$E$5:$E$1005)+SUMPRODUCT((MOVIMIENTOS!$B$5:$B$1005="AJUSTE")*(MOVIMIENTOS!$C$5:$C$1005="M")*(MOVIMIENTOS!$D$5:$D$1005="jabas")*(MOVIMIENTOS!$A$5:$A$1005&lt;&gt;"")*(MOVIMIENTOS!$A$5:$A$1005&lt;=$A188)*MOVIMIENTOS!$E$5:$E$1005))</f>
        <v/>
      </c>
      <c r="F188" s="63" t="str">
        <f>IF($A188="","",SUMPRODUCT((MOVIMIENTOS!$B$5:$B$1005="SALDO INICIAL")*(MOVIMIENTOS!$C$5:$C$1005="Chancho")*(MOVIMIENTOS!$D$5:$D$1005="sacos")*(MOVIMIENTOS!$A$5:$A$1005&lt;&gt;"")*(MOVIMIENTOS!$A$5:$A$1005&lt;=$A188)*MOVIMIENTOS!$E$5:$E$1005)+SUMPRODUCT((MOVIMIENTOS!$B$5:$B$1005="PROCESO")*(MOVIMIENTOS!$C$5:$C$1005="Chancho")*(MOVIMIENTOS!$D$5:$D$1005="sacos")*(MOVIMIENTOS!$A$5:$A$1005&lt;&gt;"")*(MOVIMIENTOS!$A$5:$A$1005&lt;=$A188)*MOVIMIENTOS!$E$5:$E$1005)-SUMPRODUCT((MOVIMIENTOS!$B$5:$B$1005="VENTA CHANCHO")*(MOVIMIENTOS!$C$5:$C$1005="Chancho")*(MOVIMIENTOS!$D$5:$D$1005="sacos")*(MOVIMIENTOS!$A$5:$A$1005&lt;&gt;"")*(MOVIMIENTOS!$A$5:$A$1005&lt;=$A188)*MOVIMIENTOS!$E$5:$E$1005)-SUMPRODUCT((MOVIMIENTOS!$B$5:$B$1005="REGALO")*(MOVIMIENTOS!$C$5:$C$1005="Chancho")*(MOVIMIENTOS!$D$5:$D$1005="sacos")*(MOVIMIENTOS!$A$5:$A$1005&lt;&gt;"")*(MOVIMIENTOS!$A$5:$A$1005&lt;=$A188)*MOVIMIENTOS!$E$5:$E$1005)-SUMPRODUCT((MOVIMIENTOS!$B$5:$B$1005="VENTA")*(MOVIMIENTOS!$C$5:$C$1005="Chancho")*(MOVIMIENTOS!$D$5:$D$1005="sacos")*(MOVIMIENTOS!$A$5:$A$1005&lt;&gt;"")*(MOVIMIENTOS!$A$5:$A$1005&lt;=$A188)*MOVIMIENTOS!$E$5:$E$1005)+SUMPRODUCT((MOVIMIENTOS!$B$5:$B$1005="AJUSTE")*(MOVIMIENTOS!$C$5:$C$1005="Chancho")*(MOVIMIENTOS!$D$5:$D$1005="sacos")*(MOVIMIENTOS!$A$5:$A$1005&lt;&gt;"")*(MOVIMIENTOS!$A$5:$A$1005&lt;=$A188)*MOVIMIENTOS!$E$5:$E$1005))</f>
        <v/>
      </c>
      <c r="G188" s="95" t="str">
        <f t="shared" si="5"/>
        <v/>
      </c>
      <c r="H188" s="63" t="str">
        <f>IF($A188="","",SUMPRODUCT((((MOVIMIENTOS!$B$5:$B$1005="SALDO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188)*MOVIMIENTOS!$J$5:$J$1005))</f>
        <v/>
      </c>
      <c r="I188" s="63"/>
      <c r="J188" s="63" t="str">
        <f>IF(AND(MOVIMIENTOS!$A188&lt;&gt;"",COUNTIF(MOVIMIENTOS!$A$5:$A187,MOVIMIENTOS!$A188)=0),COUNT(J$4:J187)+1,"")</f>
        <v/>
      </c>
      <c r="K188" s="66">
        <f>MOVIMIENTOS!$A188</f>
        <v>46230</v>
      </c>
      <c r="L188" s="63"/>
      <c r="M188" s="63"/>
      <c r="N188" s="63"/>
    </row>
    <row r="189" spans="1:14" ht="15" customHeight="1" x14ac:dyDescent="0.2">
      <c r="A189" s="63" t="str">
        <f t="shared" si="4"/>
        <v/>
      </c>
      <c r="B189" s="63" t="str">
        <f>IF($A189="","",SUMPRODUCT((MOVIMIENTOS!$B$5:$B$1005="SALDO INICIAL")*(MOVIMIENTOS!$C$5:$C$1005="A")*(MOVIMIENTOS!$D$5:$D$1005="jabas")*(MOVIMIENTOS!$A$5:$A$1005&lt;&gt;"")*(MOVIMIENTOS!$A$5:$A$1005&lt;=$A189)*MOVIMIENTOS!$E$5:$E$1005)+SUMPRODUCT((MOVIMIENTOS!$B$5:$B$1005="PROCESO")*(MOVIMIENTOS!$C$5:$C$1005="A")*(MOVIMIENTOS!$D$5:$D$1005="jabas")*(MOVIMIENTOS!$A$5:$A$1005&lt;&gt;"")*(MOVIMIENTOS!$A$5:$A$1005&lt;=$A189)*MOVIMIENTOS!$E$5:$E$1005)-SUMPRODUCT((MOVIMIENTOS!$B$5:$B$1005="ENVÍO A SUPESA")*(MOVIMIENTOS!$C$5:$C$1005="A")*(MOVIMIENTOS!$D$5:$D$1005="jabas")*(MOVIMIENTOS!$A$5:$A$1005&lt;&gt;"")*(MOVIMIENTOS!$A$5:$A$1005&lt;=$A189)*MOVIMIENTOS!$E$5:$E$1005)+SUMPRODUCT((MOVIMIENTOS!$B$5:$B$1005="DEVOLUCIÓN")*(MOVIMIENTOS!$C$5:$C$1005="A")*(MOVIMIENTOS!$D$5:$D$1005="jabas")*(MOVIMIENTOS!$A$5:$A$1005&lt;&gt;"")*(MOVIMIENTOS!$A$5:$A$1005&lt;=$A189)*MOVIMIENTOS!$E$5:$E$1005)-SUMPRODUCT((MOVIMIENTOS!$B$5:$B$1005="TRASIEGO")*(MOVIMIENTOS!$C$5:$C$1005="A")*(MOVIMIENTOS!$D$5:$D$1005="jabas")*(MOVIMIENTOS!$A$5:$A$1005&lt;&gt;"")*(MOVIMIENTOS!$A$5:$A$1005&lt;=$A189)*MOVIMIENTOS!$E$5:$E$1005)-SUMPRODUCT((MOVIMIENTOS!$B$5:$B$1005="REGALO")*(MOVIMIENTOS!$C$5:$C$1005="A")*(MOVIMIENTOS!$D$5:$D$1005="jabas")*(MOVIMIENTOS!$A$5:$A$1005&lt;&gt;"")*(MOVIMIENTOS!$A$5:$A$1005&lt;=$A189)*MOVIMIENTOS!$E$5:$E$1005)-SUMPRODUCT((MOVIMIENTOS!$B$5:$B$1005="VENTA")*(MOVIMIENTOS!$C$5:$C$1005="A")*(MOVIMIENTOS!$D$5:$D$1005="jabas")*(MOVIMIENTOS!$A$5:$A$1005&lt;&gt;"")*(MOVIMIENTOS!$A$5:$A$1005&lt;=$A189)*MOVIMIENTOS!$E$5:$E$1005)+SUMPRODUCT((MOVIMIENTOS!$B$5:$B$1005="AJUSTE")*(MOVIMIENTOS!$C$5:$C$1005="A")*(MOVIMIENTOS!$D$5:$D$1005="jabas")*(MOVIMIENTOS!$A$5:$A$1005&lt;&gt;"")*(MOVIMIENTOS!$A$5:$A$1005&lt;=$A189)*MOVIMIENTOS!$E$5:$E$1005))</f>
        <v/>
      </c>
      <c r="C189" s="63" t="str">
        <f>IF($A189="","",SUMPRODUCT((MOVIMIENTOS!$B$5:$B$1005="SALDO INICIAL")*(MOVIMIENTOS!$C$5:$C$1005="P")*(MOVIMIENTOS!$D$5:$D$1005="jabas")*(MOVIMIENTOS!$A$5:$A$1005&lt;&gt;"")*(MOVIMIENTOS!$A$5:$A$1005&lt;=$A189)*MOVIMIENTOS!$E$5:$E$1005)+SUMPRODUCT((MOVIMIENTOS!$B$5:$B$1005="PROCESO")*(MOVIMIENTOS!$C$5:$C$1005="P")*(MOVIMIENTOS!$D$5:$D$1005="jabas")*(MOVIMIENTOS!$A$5:$A$1005&lt;&gt;"")*(MOVIMIENTOS!$A$5:$A$1005&lt;=$A189)*MOVIMIENTOS!$E$5:$E$1005)-SUMPRODUCT((MOVIMIENTOS!$B$5:$B$1005="ENVÍO A SUPESA")*(MOVIMIENTOS!$C$5:$C$1005="P")*(MOVIMIENTOS!$D$5:$D$1005="jabas")*(MOVIMIENTOS!$A$5:$A$1005&lt;&gt;"")*(MOVIMIENTOS!$A$5:$A$1005&lt;=$A189)*MOVIMIENTOS!$E$5:$E$1005)+SUMPRODUCT((MOVIMIENTOS!$B$5:$B$1005="DEVOLUCIÓN")*(MOVIMIENTOS!$C$5:$C$1005="P")*(MOVIMIENTOS!$D$5:$D$1005="jabas")*(MOVIMIENTOS!$A$5:$A$1005&lt;&gt;"")*(MOVIMIENTOS!$A$5:$A$1005&lt;=$A189)*MOVIMIENTOS!$E$5:$E$1005)-SUMPRODUCT((MOVIMIENTOS!$B$5:$B$1005="TRASIEGO")*(MOVIMIENTOS!$C$5:$C$1005="P")*(MOVIMIENTOS!$D$5:$D$1005="jabas")*(MOVIMIENTOS!$A$5:$A$1005&lt;&gt;"")*(MOVIMIENTOS!$A$5:$A$1005&lt;=$A189)*MOVIMIENTOS!$E$5:$E$1005)-SUMPRODUCT((MOVIMIENTOS!$B$5:$B$1005="REGALO")*(MOVIMIENTOS!$C$5:$C$1005="P")*(MOVIMIENTOS!$D$5:$D$1005="jabas")*(MOVIMIENTOS!$A$5:$A$1005&lt;&gt;"")*(MOVIMIENTOS!$A$5:$A$1005&lt;=$A189)*MOVIMIENTOS!$E$5:$E$1005)-SUMPRODUCT((MOVIMIENTOS!$B$5:$B$1005="VENTA")*(MOVIMIENTOS!$C$5:$C$1005="P")*(MOVIMIENTOS!$D$5:$D$1005="jabas")*(MOVIMIENTOS!$A$5:$A$1005&lt;&gt;"")*(MOVIMIENTOS!$A$5:$A$1005&lt;=$A189)*MOVIMIENTOS!$E$5:$E$1005)+SUMPRODUCT((MOVIMIENTOS!$B$5:$B$1005="AJUSTE")*(MOVIMIENTOS!$C$5:$C$1005="P")*(MOVIMIENTOS!$D$5:$D$1005="jabas")*(MOVIMIENTOS!$A$5:$A$1005&lt;&gt;"")*(MOVIMIENTOS!$A$5:$A$1005&lt;=$A189)*MOVIMIENTOS!$E$5:$E$1005))</f>
        <v/>
      </c>
      <c r="D189" s="63" t="str">
        <f>IF($A189="","",SUMPRODUCT((MOVIMIENTOS!$B$5:$B$1005="SALDO INICIAL")*(MOVIMIENTOS!$C$5:$C$1005="C")*(MOVIMIENTOS!$D$5:$D$1005="jabas")*(MOVIMIENTOS!$A$5:$A$1005&lt;&gt;"")*(MOVIMIENTOS!$A$5:$A$1005&lt;=$A189)*MOVIMIENTOS!$E$5:$E$1005)+SUMPRODUCT((MOVIMIENTOS!$B$5:$B$1005="PROCESO")*(MOVIMIENTOS!$C$5:$C$1005="C")*(MOVIMIENTOS!$D$5:$D$1005="jabas")*(MOVIMIENTOS!$A$5:$A$1005&lt;&gt;"")*(MOVIMIENTOS!$A$5:$A$1005&lt;=$A189)*MOVIMIENTOS!$E$5:$E$1005)-SUMPRODUCT((MOVIMIENTOS!$B$5:$B$1005="ENVÍO A SUPESA")*(MOVIMIENTOS!$C$5:$C$1005="C")*(MOVIMIENTOS!$D$5:$D$1005="jabas")*(MOVIMIENTOS!$A$5:$A$1005&lt;&gt;"")*(MOVIMIENTOS!$A$5:$A$1005&lt;=$A189)*MOVIMIENTOS!$E$5:$E$1005)+SUMPRODUCT((MOVIMIENTOS!$B$5:$B$1005="DEVOLUCIÓN")*(MOVIMIENTOS!$C$5:$C$1005="C")*(MOVIMIENTOS!$D$5:$D$1005="jabas")*(MOVIMIENTOS!$A$5:$A$1005&lt;&gt;"")*(MOVIMIENTOS!$A$5:$A$1005&lt;=$A189)*MOVIMIENTOS!$E$5:$E$1005)-SUMPRODUCT((MOVIMIENTOS!$B$5:$B$1005="TRASIEGO")*(MOVIMIENTOS!$C$5:$C$1005="C")*(MOVIMIENTOS!$D$5:$D$1005="jabas")*(MOVIMIENTOS!$A$5:$A$1005&lt;&gt;"")*(MOVIMIENTOS!$A$5:$A$1005&lt;=$A189)*MOVIMIENTOS!$E$5:$E$1005)-SUMPRODUCT((MOVIMIENTOS!$B$5:$B$1005="REGALO")*(MOVIMIENTOS!$C$5:$C$1005="C")*(MOVIMIENTOS!$D$5:$D$1005="jabas")*(MOVIMIENTOS!$A$5:$A$1005&lt;&gt;"")*(MOVIMIENTOS!$A$5:$A$1005&lt;=$A189)*MOVIMIENTOS!$E$5:$E$1005)-SUMPRODUCT((MOVIMIENTOS!$B$5:$B$1005="VENTA")*(MOVIMIENTOS!$C$5:$C$1005="C")*(MOVIMIENTOS!$D$5:$D$1005="jabas")*(MOVIMIENTOS!$A$5:$A$1005&lt;&gt;"")*(MOVIMIENTOS!$A$5:$A$1005&lt;=$A189)*MOVIMIENTOS!$E$5:$E$1005)+SUMPRODUCT((MOVIMIENTOS!$B$5:$B$1005="AJUSTE")*(MOVIMIENTOS!$C$5:$C$1005="C")*(MOVIMIENTOS!$D$5:$D$1005="jabas")*(MOVIMIENTOS!$A$5:$A$1005&lt;&gt;"")*(MOVIMIENTOS!$A$5:$A$1005&lt;=$A189)*MOVIMIENTOS!$E$5:$E$1005))</f>
        <v/>
      </c>
      <c r="E189" s="63" t="str">
        <f>IF($A189="","",SUMPRODUCT((MOVIMIENTOS!$B$5:$B$1005="SALDO INICIAL")*(MOVIMIENTOS!$C$5:$C$1005="M")*(MOVIMIENTOS!$D$5:$D$1005="jabas")*(MOVIMIENTOS!$A$5:$A$1005&lt;&gt;"")*(MOVIMIENTOS!$A$5:$A$1005&lt;=$A189)*MOVIMIENTOS!$E$5:$E$1005)+SUMPRODUCT((MOVIMIENTOS!$B$5:$B$1005="PROCESO")*(MOVIMIENTOS!$C$5:$C$1005="M")*(MOVIMIENTOS!$D$5:$D$1005="jabas")*(MOVIMIENTOS!$A$5:$A$1005&lt;&gt;"")*(MOVIMIENTOS!$A$5:$A$1005&lt;=$A189)*MOVIMIENTOS!$E$5:$E$1005)-SUMPRODUCT((MOVIMIENTOS!$B$5:$B$1005="ENVÍO A SUPESA")*(MOVIMIENTOS!$C$5:$C$1005="M")*(MOVIMIENTOS!$D$5:$D$1005="jabas")*(MOVIMIENTOS!$A$5:$A$1005&lt;&gt;"")*(MOVIMIENTOS!$A$5:$A$1005&lt;=$A189)*MOVIMIENTOS!$E$5:$E$1005)+SUMPRODUCT((MOVIMIENTOS!$B$5:$B$1005="DEVOLUCIÓN")*(MOVIMIENTOS!$C$5:$C$1005="M")*(MOVIMIENTOS!$D$5:$D$1005="jabas")*(MOVIMIENTOS!$A$5:$A$1005&lt;&gt;"")*(MOVIMIENTOS!$A$5:$A$1005&lt;=$A189)*MOVIMIENTOS!$E$5:$E$1005)-SUMPRODUCT((MOVIMIENTOS!$B$5:$B$1005="TRASIEGO")*(MOVIMIENTOS!$C$5:$C$1005="M")*(MOVIMIENTOS!$D$5:$D$1005="jabas")*(MOVIMIENTOS!$A$5:$A$1005&lt;&gt;"")*(MOVIMIENTOS!$A$5:$A$1005&lt;=$A189)*MOVIMIENTOS!$E$5:$E$1005)-SUMPRODUCT((MOVIMIENTOS!$B$5:$B$1005="REGALO")*(MOVIMIENTOS!$C$5:$C$1005="M")*(MOVIMIENTOS!$D$5:$D$1005="jabas")*(MOVIMIENTOS!$A$5:$A$1005&lt;&gt;"")*(MOVIMIENTOS!$A$5:$A$1005&lt;=$A189)*MOVIMIENTOS!$E$5:$E$1005)-SUMPRODUCT((MOVIMIENTOS!$B$5:$B$1005="VENTA")*(MOVIMIENTOS!$C$5:$C$1005="M")*(MOVIMIENTOS!$D$5:$D$1005="jabas")*(MOVIMIENTOS!$A$5:$A$1005&lt;&gt;"")*(MOVIMIENTOS!$A$5:$A$1005&lt;=$A189)*MOVIMIENTOS!$E$5:$E$1005)+SUMPRODUCT((MOVIMIENTOS!$B$5:$B$1005="AJUSTE")*(MOVIMIENTOS!$C$5:$C$1005="M")*(MOVIMIENTOS!$D$5:$D$1005="jabas")*(MOVIMIENTOS!$A$5:$A$1005&lt;&gt;"")*(MOVIMIENTOS!$A$5:$A$1005&lt;=$A189)*MOVIMIENTOS!$E$5:$E$1005))</f>
        <v/>
      </c>
      <c r="F189" s="63" t="str">
        <f>IF($A189="","",SUMPRODUCT((MOVIMIENTOS!$B$5:$B$1005="SALDO INICIAL")*(MOVIMIENTOS!$C$5:$C$1005="Chancho")*(MOVIMIENTOS!$D$5:$D$1005="sacos")*(MOVIMIENTOS!$A$5:$A$1005&lt;&gt;"")*(MOVIMIENTOS!$A$5:$A$1005&lt;=$A189)*MOVIMIENTOS!$E$5:$E$1005)+SUMPRODUCT((MOVIMIENTOS!$B$5:$B$1005="PROCESO")*(MOVIMIENTOS!$C$5:$C$1005="Chancho")*(MOVIMIENTOS!$D$5:$D$1005="sacos")*(MOVIMIENTOS!$A$5:$A$1005&lt;&gt;"")*(MOVIMIENTOS!$A$5:$A$1005&lt;=$A189)*MOVIMIENTOS!$E$5:$E$1005)-SUMPRODUCT((MOVIMIENTOS!$B$5:$B$1005="VENTA CHANCHO")*(MOVIMIENTOS!$C$5:$C$1005="Chancho")*(MOVIMIENTOS!$D$5:$D$1005="sacos")*(MOVIMIENTOS!$A$5:$A$1005&lt;&gt;"")*(MOVIMIENTOS!$A$5:$A$1005&lt;=$A189)*MOVIMIENTOS!$E$5:$E$1005)-SUMPRODUCT((MOVIMIENTOS!$B$5:$B$1005="REGALO")*(MOVIMIENTOS!$C$5:$C$1005="Chancho")*(MOVIMIENTOS!$D$5:$D$1005="sacos")*(MOVIMIENTOS!$A$5:$A$1005&lt;&gt;"")*(MOVIMIENTOS!$A$5:$A$1005&lt;=$A189)*MOVIMIENTOS!$E$5:$E$1005)-SUMPRODUCT((MOVIMIENTOS!$B$5:$B$1005="VENTA")*(MOVIMIENTOS!$C$5:$C$1005="Chancho")*(MOVIMIENTOS!$D$5:$D$1005="sacos")*(MOVIMIENTOS!$A$5:$A$1005&lt;&gt;"")*(MOVIMIENTOS!$A$5:$A$1005&lt;=$A189)*MOVIMIENTOS!$E$5:$E$1005)+SUMPRODUCT((MOVIMIENTOS!$B$5:$B$1005="AJUSTE")*(MOVIMIENTOS!$C$5:$C$1005="Chancho")*(MOVIMIENTOS!$D$5:$D$1005="sacos")*(MOVIMIENTOS!$A$5:$A$1005&lt;&gt;"")*(MOVIMIENTOS!$A$5:$A$1005&lt;=$A189)*MOVIMIENTOS!$E$5:$E$1005))</f>
        <v/>
      </c>
      <c r="G189" s="95" t="str">
        <f t="shared" si="5"/>
        <v/>
      </c>
      <c r="H189" s="63" t="str">
        <f>IF($A189="","",SUMPRODUCT((((MOVIMIENTOS!$B$5:$B$1005="SALDO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189)*MOVIMIENTOS!$J$5:$J$1005))</f>
        <v/>
      </c>
      <c r="I189" s="63"/>
      <c r="J189" s="63" t="str">
        <f>IF(AND(MOVIMIENTOS!$A189&lt;&gt;"",COUNTIF(MOVIMIENTOS!$A$5:$A188,MOVIMIENTOS!$A189)=0),COUNT(J$4:J188)+1,"")</f>
        <v/>
      </c>
      <c r="K189" s="66">
        <f>MOVIMIENTOS!$A189</f>
        <v>46230</v>
      </c>
      <c r="L189" s="63"/>
      <c r="M189" s="63"/>
      <c r="N189" s="63"/>
    </row>
    <row r="190" spans="1:14" ht="15" customHeight="1" x14ac:dyDescent="0.2">
      <c r="A190" s="63" t="str">
        <f t="shared" si="4"/>
        <v/>
      </c>
      <c r="B190" s="63" t="str">
        <f>IF($A190="","",SUMPRODUCT((MOVIMIENTOS!$B$5:$B$1005="SALDO INICIAL")*(MOVIMIENTOS!$C$5:$C$1005="A")*(MOVIMIENTOS!$D$5:$D$1005="jabas")*(MOVIMIENTOS!$A$5:$A$1005&lt;&gt;"")*(MOVIMIENTOS!$A$5:$A$1005&lt;=$A190)*MOVIMIENTOS!$E$5:$E$1005)+SUMPRODUCT((MOVIMIENTOS!$B$5:$B$1005="PROCESO")*(MOVIMIENTOS!$C$5:$C$1005="A")*(MOVIMIENTOS!$D$5:$D$1005="jabas")*(MOVIMIENTOS!$A$5:$A$1005&lt;&gt;"")*(MOVIMIENTOS!$A$5:$A$1005&lt;=$A190)*MOVIMIENTOS!$E$5:$E$1005)-SUMPRODUCT((MOVIMIENTOS!$B$5:$B$1005="ENVÍO A SUPESA")*(MOVIMIENTOS!$C$5:$C$1005="A")*(MOVIMIENTOS!$D$5:$D$1005="jabas")*(MOVIMIENTOS!$A$5:$A$1005&lt;&gt;"")*(MOVIMIENTOS!$A$5:$A$1005&lt;=$A190)*MOVIMIENTOS!$E$5:$E$1005)+SUMPRODUCT((MOVIMIENTOS!$B$5:$B$1005="DEVOLUCIÓN")*(MOVIMIENTOS!$C$5:$C$1005="A")*(MOVIMIENTOS!$D$5:$D$1005="jabas")*(MOVIMIENTOS!$A$5:$A$1005&lt;&gt;"")*(MOVIMIENTOS!$A$5:$A$1005&lt;=$A190)*MOVIMIENTOS!$E$5:$E$1005)-SUMPRODUCT((MOVIMIENTOS!$B$5:$B$1005="TRASIEGO")*(MOVIMIENTOS!$C$5:$C$1005="A")*(MOVIMIENTOS!$D$5:$D$1005="jabas")*(MOVIMIENTOS!$A$5:$A$1005&lt;&gt;"")*(MOVIMIENTOS!$A$5:$A$1005&lt;=$A190)*MOVIMIENTOS!$E$5:$E$1005)-SUMPRODUCT((MOVIMIENTOS!$B$5:$B$1005="REGALO")*(MOVIMIENTOS!$C$5:$C$1005="A")*(MOVIMIENTOS!$D$5:$D$1005="jabas")*(MOVIMIENTOS!$A$5:$A$1005&lt;&gt;"")*(MOVIMIENTOS!$A$5:$A$1005&lt;=$A190)*MOVIMIENTOS!$E$5:$E$1005)-SUMPRODUCT((MOVIMIENTOS!$B$5:$B$1005="VENTA")*(MOVIMIENTOS!$C$5:$C$1005="A")*(MOVIMIENTOS!$D$5:$D$1005="jabas")*(MOVIMIENTOS!$A$5:$A$1005&lt;&gt;"")*(MOVIMIENTOS!$A$5:$A$1005&lt;=$A190)*MOVIMIENTOS!$E$5:$E$1005)+SUMPRODUCT((MOVIMIENTOS!$B$5:$B$1005="AJUSTE")*(MOVIMIENTOS!$C$5:$C$1005="A")*(MOVIMIENTOS!$D$5:$D$1005="jabas")*(MOVIMIENTOS!$A$5:$A$1005&lt;&gt;"")*(MOVIMIENTOS!$A$5:$A$1005&lt;=$A190)*MOVIMIENTOS!$E$5:$E$1005))</f>
        <v/>
      </c>
      <c r="C190" s="63" t="str">
        <f>IF($A190="","",SUMPRODUCT((MOVIMIENTOS!$B$5:$B$1005="SALDO INICIAL")*(MOVIMIENTOS!$C$5:$C$1005="P")*(MOVIMIENTOS!$D$5:$D$1005="jabas")*(MOVIMIENTOS!$A$5:$A$1005&lt;&gt;"")*(MOVIMIENTOS!$A$5:$A$1005&lt;=$A190)*MOVIMIENTOS!$E$5:$E$1005)+SUMPRODUCT((MOVIMIENTOS!$B$5:$B$1005="PROCESO")*(MOVIMIENTOS!$C$5:$C$1005="P")*(MOVIMIENTOS!$D$5:$D$1005="jabas")*(MOVIMIENTOS!$A$5:$A$1005&lt;&gt;"")*(MOVIMIENTOS!$A$5:$A$1005&lt;=$A190)*MOVIMIENTOS!$E$5:$E$1005)-SUMPRODUCT((MOVIMIENTOS!$B$5:$B$1005="ENVÍO A SUPESA")*(MOVIMIENTOS!$C$5:$C$1005="P")*(MOVIMIENTOS!$D$5:$D$1005="jabas")*(MOVIMIENTOS!$A$5:$A$1005&lt;&gt;"")*(MOVIMIENTOS!$A$5:$A$1005&lt;=$A190)*MOVIMIENTOS!$E$5:$E$1005)+SUMPRODUCT((MOVIMIENTOS!$B$5:$B$1005="DEVOLUCIÓN")*(MOVIMIENTOS!$C$5:$C$1005="P")*(MOVIMIENTOS!$D$5:$D$1005="jabas")*(MOVIMIENTOS!$A$5:$A$1005&lt;&gt;"")*(MOVIMIENTOS!$A$5:$A$1005&lt;=$A190)*MOVIMIENTOS!$E$5:$E$1005)-SUMPRODUCT((MOVIMIENTOS!$B$5:$B$1005="TRASIEGO")*(MOVIMIENTOS!$C$5:$C$1005="P")*(MOVIMIENTOS!$D$5:$D$1005="jabas")*(MOVIMIENTOS!$A$5:$A$1005&lt;&gt;"")*(MOVIMIENTOS!$A$5:$A$1005&lt;=$A190)*MOVIMIENTOS!$E$5:$E$1005)-SUMPRODUCT((MOVIMIENTOS!$B$5:$B$1005="REGALO")*(MOVIMIENTOS!$C$5:$C$1005="P")*(MOVIMIENTOS!$D$5:$D$1005="jabas")*(MOVIMIENTOS!$A$5:$A$1005&lt;&gt;"")*(MOVIMIENTOS!$A$5:$A$1005&lt;=$A190)*MOVIMIENTOS!$E$5:$E$1005)-SUMPRODUCT((MOVIMIENTOS!$B$5:$B$1005="VENTA")*(MOVIMIENTOS!$C$5:$C$1005="P")*(MOVIMIENTOS!$D$5:$D$1005="jabas")*(MOVIMIENTOS!$A$5:$A$1005&lt;&gt;"")*(MOVIMIENTOS!$A$5:$A$1005&lt;=$A190)*MOVIMIENTOS!$E$5:$E$1005)+SUMPRODUCT((MOVIMIENTOS!$B$5:$B$1005="AJUSTE")*(MOVIMIENTOS!$C$5:$C$1005="P")*(MOVIMIENTOS!$D$5:$D$1005="jabas")*(MOVIMIENTOS!$A$5:$A$1005&lt;&gt;"")*(MOVIMIENTOS!$A$5:$A$1005&lt;=$A190)*MOVIMIENTOS!$E$5:$E$1005))</f>
        <v/>
      </c>
      <c r="D190" s="63" t="str">
        <f>IF($A190="","",SUMPRODUCT((MOVIMIENTOS!$B$5:$B$1005="SALDO INICIAL")*(MOVIMIENTOS!$C$5:$C$1005="C")*(MOVIMIENTOS!$D$5:$D$1005="jabas")*(MOVIMIENTOS!$A$5:$A$1005&lt;&gt;"")*(MOVIMIENTOS!$A$5:$A$1005&lt;=$A190)*MOVIMIENTOS!$E$5:$E$1005)+SUMPRODUCT((MOVIMIENTOS!$B$5:$B$1005="PROCESO")*(MOVIMIENTOS!$C$5:$C$1005="C")*(MOVIMIENTOS!$D$5:$D$1005="jabas")*(MOVIMIENTOS!$A$5:$A$1005&lt;&gt;"")*(MOVIMIENTOS!$A$5:$A$1005&lt;=$A190)*MOVIMIENTOS!$E$5:$E$1005)-SUMPRODUCT((MOVIMIENTOS!$B$5:$B$1005="ENVÍO A SUPESA")*(MOVIMIENTOS!$C$5:$C$1005="C")*(MOVIMIENTOS!$D$5:$D$1005="jabas")*(MOVIMIENTOS!$A$5:$A$1005&lt;&gt;"")*(MOVIMIENTOS!$A$5:$A$1005&lt;=$A190)*MOVIMIENTOS!$E$5:$E$1005)+SUMPRODUCT((MOVIMIENTOS!$B$5:$B$1005="DEVOLUCIÓN")*(MOVIMIENTOS!$C$5:$C$1005="C")*(MOVIMIENTOS!$D$5:$D$1005="jabas")*(MOVIMIENTOS!$A$5:$A$1005&lt;&gt;"")*(MOVIMIENTOS!$A$5:$A$1005&lt;=$A190)*MOVIMIENTOS!$E$5:$E$1005)-SUMPRODUCT((MOVIMIENTOS!$B$5:$B$1005="TRASIEGO")*(MOVIMIENTOS!$C$5:$C$1005="C")*(MOVIMIENTOS!$D$5:$D$1005="jabas")*(MOVIMIENTOS!$A$5:$A$1005&lt;&gt;"")*(MOVIMIENTOS!$A$5:$A$1005&lt;=$A190)*MOVIMIENTOS!$E$5:$E$1005)-SUMPRODUCT((MOVIMIENTOS!$B$5:$B$1005="REGALO")*(MOVIMIENTOS!$C$5:$C$1005="C")*(MOVIMIENTOS!$D$5:$D$1005="jabas")*(MOVIMIENTOS!$A$5:$A$1005&lt;&gt;"")*(MOVIMIENTOS!$A$5:$A$1005&lt;=$A190)*MOVIMIENTOS!$E$5:$E$1005)-SUMPRODUCT((MOVIMIENTOS!$B$5:$B$1005="VENTA")*(MOVIMIENTOS!$C$5:$C$1005="C")*(MOVIMIENTOS!$D$5:$D$1005="jabas")*(MOVIMIENTOS!$A$5:$A$1005&lt;&gt;"")*(MOVIMIENTOS!$A$5:$A$1005&lt;=$A190)*MOVIMIENTOS!$E$5:$E$1005)+SUMPRODUCT((MOVIMIENTOS!$B$5:$B$1005="AJUSTE")*(MOVIMIENTOS!$C$5:$C$1005="C")*(MOVIMIENTOS!$D$5:$D$1005="jabas")*(MOVIMIENTOS!$A$5:$A$1005&lt;&gt;"")*(MOVIMIENTOS!$A$5:$A$1005&lt;=$A190)*MOVIMIENTOS!$E$5:$E$1005))</f>
        <v/>
      </c>
      <c r="E190" s="63" t="str">
        <f>IF($A190="","",SUMPRODUCT((MOVIMIENTOS!$B$5:$B$1005="SALDO INICIAL")*(MOVIMIENTOS!$C$5:$C$1005="M")*(MOVIMIENTOS!$D$5:$D$1005="jabas")*(MOVIMIENTOS!$A$5:$A$1005&lt;&gt;"")*(MOVIMIENTOS!$A$5:$A$1005&lt;=$A190)*MOVIMIENTOS!$E$5:$E$1005)+SUMPRODUCT((MOVIMIENTOS!$B$5:$B$1005="PROCESO")*(MOVIMIENTOS!$C$5:$C$1005="M")*(MOVIMIENTOS!$D$5:$D$1005="jabas")*(MOVIMIENTOS!$A$5:$A$1005&lt;&gt;"")*(MOVIMIENTOS!$A$5:$A$1005&lt;=$A190)*MOVIMIENTOS!$E$5:$E$1005)-SUMPRODUCT((MOVIMIENTOS!$B$5:$B$1005="ENVÍO A SUPESA")*(MOVIMIENTOS!$C$5:$C$1005="M")*(MOVIMIENTOS!$D$5:$D$1005="jabas")*(MOVIMIENTOS!$A$5:$A$1005&lt;&gt;"")*(MOVIMIENTOS!$A$5:$A$1005&lt;=$A190)*MOVIMIENTOS!$E$5:$E$1005)+SUMPRODUCT((MOVIMIENTOS!$B$5:$B$1005="DEVOLUCIÓN")*(MOVIMIENTOS!$C$5:$C$1005="M")*(MOVIMIENTOS!$D$5:$D$1005="jabas")*(MOVIMIENTOS!$A$5:$A$1005&lt;&gt;"")*(MOVIMIENTOS!$A$5:$A$1005&lt;=$A190)*MOVIMIENTOS!$E$5:$E$1005)-SUMPRODUCT((MOVIMIENTOS!$B$5:$B$1005="TRASIEGO")*(MOVIMIENTOS!$C$5:$C$1005="M")*(MOVIMIENTOS!$D$5:$D$1005="jabas")*(MOVIMIENTOS!$A$5:$A$1005&lt;&gt;"")*(MOVIMIENTOS!$A$5:$A$1005&lt;=$A190)*MOVIMIENTOS!$E$5:$E$1005)-SUMPRODUCT((MOVIMIENTOS!$B$5:$B$1005="REGALO")*(MOVIMIENTOS!$C$5:$C$1005="M")*(MOVIMIENTOS!$D$5:$D$1005="jabas")*(MOVIMIENTOS!$A$5:$A$1005&lt;&gt;"")*(MOVIMIENTOS!$A$5:$A$1005&lt;=$A190)*MOVIMIENTOS!$E$5:$E$1005)-SUMPRODUCT((MOVIMIENTOS!$B$5:$B$1005="VENTA")*(MOVIMIENTOS!$C$5:$C$1005="M")*(MOVIMIENTOS!$D$5:$D$1005="jabas")*(MOVIMIENTOS!$A$5:$A$1005&lt;&gt;"")*(MOVIMIENTOS!$A$5:$A$1005&lt;=$A190)*MOVIMIENTOS!$E$5:$E$1005)+SUMPRODUCT((MOVIMIENTOS!$B$5:$B$1005="AJUSTE")*(MOVIMIENTOS!$C$5:$C$1005="M")*(MOVIMIENTOS!$D$5:$D$1005="jabas")*(MOVIMIENTOS!$A$5:$A$1005&lt;&gt;"")*(MOVIMIENTOS!$A$5:$A$1005&lt;=$A190)*MOVIMIENTOS!$E$5:$E$1005))</f>
        <v/>
      </c>
      <c r="F190" s="63" t="str">
        <f>IF($A190="","",SUMPRODUCT((MOVIMIENTOS!$B$5:$B$1005="SALDO INICIAL")*(MOVIMIENTOS!$C$5:$C$1005="Chancho")*(MOVIMIENTOS!$D$5:$D$1005="sacos")*(MOVIMIENTOS!$A$5:$A$1005&lt;&gt;"")*(MOVIMIENTOS!$A$5:$A$1005&lt;=$A190)*MOVIMIENTOS!$E$5:$E$1005)+SUMPRODUCT((MOVIMIENTOS!$B$5:$B$1005="PROCESO")*(MOVIMIENTOS!$C$5:$C$1005="Chancho")*(MOVIMIENTOS!$D$5:$D$1005="sacos")*(MOVIMIENTOS!$A$5:$A$1005&lt;&gt;"")*(MOVIMIENTOS!$A$5:$A$1005&lt;=$A190)*MOVIMIENTOS!$E$5:$E$1005)-SUMPRODUCT((MOVIMIENTOS!$B$5:$B$1005="VENTA CHANCHO")*(MOVIMIENTOS!$C$5:$C$1005="Chancho")*(MOVIMIENTOS!$D$5:$D$1005="sacos")*(MOVIMIENTOS!$A$5:$A$1005&lt;&gt;"")*(MOVIMIENTOS!$A$5:$A$1005&lt;=$A190)*MOVIMIENTOS!$E$5:$E$1005)-SUMPRODUCT((MOVIMIENTOS!$B$5:$B$1005="REGALO")*(MOVIMIENTOS!$C$5:$C$1005="Chancho")*(MOVIMIENTOS!$D$5:$D$1005="sacos")*(MOVIMIENTOS!$A$5:$A$1005&lt;&gt;"")*(MOVIMIENTOS!$A$5:$A$1005&lt;=$A190)*MOVIMIENTOS!$E$5:$E$1005)-SUMPRODUCT((MOVIMIENTOS!$B$5:$B$1005="VENTA")*(MOVIMIENTOS!$C$5:$C$1005="Chancho")*(MOVIMIENTOS!$D$5:$D$1005="sacos")*(MOVIMIENTOS!$A$5:$A$1005&lt;&gt;"")*(MOVIMIENTOS!$A$5:$A$1005&lt;=$A190)*MOVIMIENTOS!$E$5:$E$1005)+SUMPRODUCT((MOVIMIENTOS!$B$5:$B$1005="AJUSTE")*(MOVIMIENTOS!$C$5:$C$1005="Chancho")*(MOVIMIENTOS!$D$5:$D$1005="sacos")*(MOVIMIENTOS!$A$5:$A$1005&lt;&gt;"")*(MOVIMIENTOS!$A$5:$A$1005&lt;=$A190)*MOVIMIENTOS!$E$5:$E$1005))</f>
        <v/>
      </c>
      <c r="G190" s="95" t="str">
        <f t="shared" si="5"/>
        <v/>
      </c>
      <c r="H190" s="63" t="str">
        <f>IF($A190="","",SUMPRODUCT((((MOVIMIENTOS!$B$5:$B$1005="SALDO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190)*MOVIMIENTOS!$J$5:$J$1005))</f>
        <v/>
      </c>
      <c r="I190" s="63"/>
      <c r="J190" s="63" t="str">
        <f>IF(AND(MOVIMIENTOS!$A190&lt;&gt;"",COUNTIF(MOVIMIENTOS!$A$5:$A189,MOVIMIENTOS!$A190)=0),COUNT(J$4:J189)+1,"")</f>
        <v/>
      </c>
      <c r="K190" s="66">
        <f>MOVIMIENTOS!$A190</f>
        <v>46230</v>
      </c>
      <c r="L190" s="63"/>
      <c r="M190" s="63"/>
      <c r="N190" s="63"/>
    </row>
    <row r="191" spans="1:14" ht="15" customHeight="1" x14ac:dyDescent="0.2">
      <c r="A191" s="63" t="str">
        <f t="shared" si="4"/>
        <v/>
      </c>
      <c r="B191" s="63" t="str">
        <f>IF($A191="","",SUMPRODUCT((MOVIMIENTOS!$B$5:$B$1005="SALDO INICIAL")*(MOVIMIENTOS!$C$5:$C$1005="A")*(MOVIMIENTOS!$D$5:$D$1005="jabas")*(MOVIMIENTOS!$A$5:$A$1005&lt;&gt;"")*(MOVIMIENTOS!$A$5:$A$1005&lt;=$A191)*MOVIMIENTOS!$E$5:$E$1005)+SUMPRODUCT((MOVIMIENTOS!$B$5:$B$1005="PROCESO")*(MOVIMIENTOS!$C$5:$C$1005="A")*(MOVIMIENTOS!$D$5:$D$1005="jabas")*(MOVIMIENTOS!$A$5:$A$1005&lt;&gt;"")*(MOVIMIENTOS!$A$5:$A$1005&lt;=$A191)*MOVIMIENTOS!$E$5:$E$1005)-SUMPRODUCT((MOVIMIENTOS!$B$5:$B$1005="ENVÍO A SUPESA")*(MOVIMIENTOS!$C$5:$C$1005="A")*(MOVIMIENTOS!$D$5:$D$1005="jabas")*(MOVIMIENTOS!$A$5:$A$1005&lt;&gt;"")*(MOVIMIENTOS!$A$5:$A$1005&lt;=$A191)*MOVIMIENTOS!$E$5:$E$1005)+SUMPRODUCT((MOVIMIENTOS!$B$5:$B$1005="DEVOLUCIÓN")*(MOVIMIENTOS!$C$5:$C$1005="A")*(MOVIMIENTOS!$D$5:$D$1005="jabas")*(MOVIMIENTOS!$A$5:$A$1005&lt;&gt;"")*(MOVIMIENTOS!$A$5:$A$1005&lt;=$A191)*MOVIMIENTOS!$E$5:$E$1005)-SUMPRODUCT((MOVIMIENTOS!$B$5:$B$1005="TRASIEGO")*(MOVIMIENTOS!$C$5:$C$1005="A")*(MOVIMIENTOS!$D$5:$D$1005="jabas")*(MOVIMIENTOS!$A$5:$A$1005&lt;&gt;"")*(MOVIMIENTOS!$A$5:$A$1005&lt;=$A191)*MOVIMIENTOS!$E$5:$E$1005)-SUMPRODUCT((MOVIMIENTOS!$B$5:$B$1005="REGALO")*(MOVIMIENTOS!$C$5:$C$1005="A")*(MOVIMIENTOS!$D$5:$D$1005="jabas")*(MOVIMIENTOS!$A$5:$A$1005&lt;&gt;"")*(MOVIMIENTOS!$A$5:$A$1005&lt;=$A191)*MOVIMIENTOS!$E$5:$E$1005)-SUMPRODUCT((MOVIMIENTOS!$B$5:$B$1005="VENTA")*(MOVIMIENTOS!$C$5:$C$1005="A")*(MOVIMIENTOS!$D$5:$D$1005="jabas")*(MOVIMIENTOS!$A$5:$A$1005&lt;&gt;"")*(MOVIMIENTOS!$A$5:$A$1005&lt;=$A191)*MOVIMIENTOS!$E$5:$E$1005)+SUMPRODUCT((MOVIMIENTOS!$B$5:$B$1005="AJUSTE")*(MOVIMIENTOS!$C$5:$C$1005="A")*(MOVIMIENTOS!$D$5:$D$1005="jabas")*(MOVIMIENTOS!$A$5:$A$1005&lt;&gt;"")*(MOVIMIENTOS!$A$5:$A$1005&lt;=$A191)*MOVIMIENTOS!$E$5:$E$1005))</f>
        <v/>
      </c>
      <c r="C191" s="63" t="str">
        <f>IF($A191="","",SUMPRODUCT((MOVIMIENTOS!$B$5:$B$1005="SALDO INICIAL")*(MOVIMIENTOS!$C$5:$C$1005="P")*(MOVIMIENTOS!$D$5:$D$1005="jabas")*(MOVIMIENTOS!$A$5:$A$1005&lt;&gt;"")*(MOVIMIENTOS!$A$5:$A$1005&lt;=$A191)*MOVIMIENTOS!$E$5:$E$1005)+SUMPRODUCT((MOVIMIENTOS!$B$5:$B$1005="PROCESO")*(MOVIMIENTOS!$C$5:$C$1005="P")*(MOVIMIENTOS!$D$5:$D$1005="jabas")*(MOVIMIENTOS!$A$5:$A$1005&lt;&gt;"")*(MOVIMIENTOS!$A$5:$A$1005&lt;=$A191)*MOVIMIENTOS!$E$5:$E$1005)-SUMPRODUCT((MOVIMIENTOS!$B$5:$B$1005="ENVÍO A SUPESA")*(MOVIMIENTOS!$C$5:$C$1005="P")*(MOVIMIENTOS!$D$5:$D$1005="jabas")*(MOVIMIENTOS!$A$5:$A$1005&lt;&gt;"")*(MOVIMIENTOS!$A$5:$A$1005&lt;=$A191)*MOVIMIENTOS!$E$5:$E$1005)+SUMPRODUCT((MOVIMIENTOS!$B$5:$B$1005="DEVOLUCIÓN")*(MOVIMIENTOS!$C$5:$C$1005="P")*(MOVIMIENTOS!$D$5:$D$1005="jabas")*(MOVIMIENTOS!$A$5:$A$1005&lt;&gt;"")*(MOVIMIENTOS!$A$5:$A$1005&lt;=$A191)*MOVIMIENTOS!$E$5:$E$1005)-SUMPRODUCT((MOVIMIENTOS!$B$5:$B$1005="TRASIEGO")*(MOVIMIENTOS!$C$5:$C$1005="P")*(MOVIMIENTOS!$D$5:$D$1005="jabas")*(MOVIMIENTOS!$A$5:$A$1005&lt;&gt;"")*(MOVIMIENTOS!$A$5:$A$1005&lt;=$A191)*MOVIMIENTOS!$E$5:$E$1005)-SUMPRODUCT((MOVIMIENTOS!$B$5:$B$1005="REGALO")*(MOVIMIENTOS!$C$5:$C$1005="P")*(MOVIMIENTOS!$D$5:$D$1005="jabas")*(MOVIMIENTOS!$A$5:$A$1005&lt;&gt;"")*(MOVIMIENTOS!$A$5:$A$1005&lt;=$A191)*MOVIMIENTOS!$E$5:$E$1005)-SUMPRODUCT((MOVIMIENTOS!$B$5:$B$1005="VENTA")*(MOVIMIENTOS!$C$5:$C$1005="P")*(MOVIMIENTOS!$D$5:$D$1005="jabas")*(MOVIMIENTOS!$A$5:$A$1005&lt;&gt;"")*(MOVIMIENTOS!$A$5:$A$1005&lt;=$A191)*MOVIMIENTOS!$E$5:$E$1005)+SUMPRODUCT((MOVIMIENTOS!$B$5:$B$1005="AJUSTE")*(MOVIMIENTOS!$C$5:$C$1005="P")*(MOVIMIENTOS!$D$5:$D$1005="jabas")*(MOVIMIENTOS!$A$5:$A$1005&lt;&gt;"")*(MOVIMIENTOS!$A$5:$A$1005&lt;=$A191)*MOVIMIENTOS!$E$5:$E$1005))</f>
        <v/>
      </c>
      <c r="D191" s="63" t="str">
        <f>IF($A191="","",SUMPRODUCT((MOVIMIENTOS!$B$5:$B$1005="SALDO INICIAL")*(MOVIMIENTOS!$C$5:$C$1005="C")*(MOVIMIENTOS!$D$5:$D$1005="jabas")*(MOVIMIENTOS!$A$5:$A$1005&lt;&gt;"")*(MOVIMIENTOS!$A$5:$A$1005&lt;=$A191)*MOVIMIENTOS!$E$5:$E$1005)+SUMPRODUCT((MOVIMIENTOS!$B$5:$B$1005="PROCESO")*(MOVIMIENTOS!$C$5:$C$1005="C")*(MOVIMIENTOS!$D$5:$D$1005="jabas")*(MOVIMIENTOS!$A$5:$A$1005&lt;&gt;"")*(MOVIMIENTOS!$A$5:$A$1005&lt;=$A191)*MOVIMIENTOS!$E$5:$E$1005)-SUMPRODUCT((MOVIMIENTOS!$B$5:$B$1005="ENVÍO A SUPESA")*(MOVIMIENTOS!$C$5:$C$1005="C")*(MOVIMIENTOS!$D$5:$D$1005="jabas")*(MOVIMIENTOS!$A$5:$A$1005&lt;&gt;"")*(MOVIMIENTOS!$A$5:$A$1005&lt;=$A191)*MOVIMIENTOS!$E$5:$E$1005)+SUMPRODUCT((MOVIMIENTOS!$B$5:$B$1005="DEVOLUCIÓN")*(MOVIMIENTOS!$C$5:$C$1005="C")*(MOVIMIENTOS!$D$5:$D$1005="jabas")*(MOVIMIENTOS!$A$5:$A$1005&lt;&gt;"")*(MOVIMIENTOS!$A$5:$A$1005&lt;=$A191)*MOVIMIENTOS!$E$5:$E$1005)-SUMPRODUCT((MOVIMIENTOS!$B$5:$B$1005="TRASIEGO")*(MOVIMIENTOS!$C$5:$C$1005="C")*(MOVIMIENTOS!$D$5:$D$1005="jabas")*(MOVIMIENTOS!$A$5:$A$1005&lt;&gt;"")*(MOVIMIENTOS!$A$5:$A$1005&lt;=$A191)*MOVIMIENTOS!$E$5:$E$1005)-SUMPRODUCT((MOVIMIENTOS!$B$5:$B$1005="REGALO")*(MOVIMIENTOS!$C$5:$C$1005="C")*(MOVIMIENTOS!$D$5:$D$1005="jabas")*(MOVIMIENTOS!$A$5:$A$1005&lt;&gt;"")*(MOVIMIENTOS!$A$5:$A$1005&lt;=$A191)*MOVIMIENTOS!$E$5:$E$1005)-SUMPRODUCT((MOVIMIENTOS!$B$5:$B$1005="VENTA")*(MOVIMIENTOS!$C$5:$C$1005="C")*(MOVIMIENTOS!$D$5:$D$1005="jabas")*(MOVIMIENTOS!$A$5:$A$1005&lt;&gt;"")*(MOVIMIENTOS!$A$5:$A$1005&lt;=$A191)*MOVIMIENTOS!$E$5:$E$1005)+SUMPRODUCT((MOVIMIENTOS!$B$5:$B$1005="AJUSTE")*(MOVIMIENTOS!$C$5:$C$1005="C")*(MOVIMIENTOS!$D$5:$D$1005="jabas")*(MOVIMIENTOS!$A$5:$A$1005&lt;&gt;"")*(MOVIMIENTOS!$A$5:$A$1005&lt;=$A191)*MOVIMIENTOS!$E$5:$E$1005))</f>
        <v/>
      </c>
      <c r="E191" s="63" t="str">
        <f>IF($A191="","",SUMPRODUCT((MOVIMIENTOS!$B$5:$B$1005="SALDO INICIAL")*(MOVIMIENTOS!$C$5:$C$1005="M")*(MOVIMIENTOS!$D$5:$D$1005="jabas")*(MOVIMIENTOS!$A$5:$A$1005&lt;&gt;"")*(MOVIMIENTOS!$A$5:$A$1005&lt;=$A191)*MOVIMIENTOS!$E$5:$E$1005)+SUMPRODUCT((MOVIMIENTOS!$B$5:$B$1005="PROCESO")*(MOVIMIENTOS!$C$5:$C$1005="M")*(MOVIMIENTOS!$D$5:$D$1005="jabas")*(MOVIMIENTOS!$A$5:$A$1005&lt;&gt;"")*(MOVIMIENTOS!$A$5:$A$1005&lt;=$A191)*MOVIMIENTOS!$E$5:$E$1005)-SUMPRODUCT((MOVIMIENTOS!$B$5:$B$1005="ENVÍO A SUPESA")*(MOVIMIENTOS!$C$5:$C$1005="M")*(MOVIMIENTOS!$D$5:$D$1005="jabas")*(MOVIMIENTOS!$A$5:$A$1005&lt;&gt;"")*(MOVIMIENTOS!$A$5:$A$1005&lt;=$A191)*MOVIMIENTOS!$E$5:$E$1005)+SUMPRODUCT((MOVIMIENTOS!$B$5:$B$1005="DEVOLUCIÓN")*(MOVIMIENTOS!$C$5:$C$1005="M")*(MOVIMIENTOS!$D$5:$D$1005="jabas")*(MOVIMIENTOS!$A$5:$A$1005&lt;&gt;"")*(MOVIMIENTOS!$A$5:$A$1005&lt;=$A191)*MOVIMIENTOS!$E$5:$E$1005)-SUMPRODUCT((MOVIMIENTOS!$B$5:$B$1005="TRASIEGO")*(MOVIMIENTOS!$C$5:$C$1005="M")*(MOVIMIENTOS!$D$5:$D$1005="jabas")*(MOVIMIENTOS!$A$5:$A$1005&lt;&gt;"")*(MOVIMIENTOS!$A$5:$A$1005&lt;=$A191)*MOVIMIENTOS!$E$5:$E$1005)-SUMPRODUCT((MOVIMIENTOS!$B$5:$B$1005="REGALO")*(MOVIMIENTOS!$C$5:$C$1005="M")*(MOVIMIENTOS!$D$5:$D$1005="jabas")*(MOVIMIENTOS!$A$5:$A$1005&lt;&gt;"")*(MOVIMIENTOS!$A$5:$A$1005&lt;=$A191)*MOVIMIENTOS!$E$5:$E$1005)-SUMPRODUCT((MOVIMIENTOS!$B$5:$B$1005="VENTA")*(MOVIMIENTOS!$C$5:$C$1005="M")*(MOVIMIENTOS!$D$5:$D$1005="jabas")*(MOVIMIENTOS!$A$5:$A$1005&lt;&gt;"")*(MOVIMIENTOS!$A$5:$A$1005&lt;=$A191)*MOVIMIENTOS!$E$5:$E$1005)+SUMPRODUCT((MOVIMIENTOS!$B$5:$B$1005="AJUSTE")*(MOVIMIENTOS!$C$5:$C$1005="M")*(MOVIMIENTOS!$D$5:$D$1005="jabas")*(MOVIMIENTOS!$A$5:$A$1005&lt;&gt;"")*(MOVIMIENTOS!$A$5:$A$1005&lt;=$A191)*MOVIMIENTOS!$E$5:$E$1005))</f>
        <v/>
      </c>
      <c r="F191" s="63" t="str">
        <f>IF($A191="","",SUMPRODUCT((MOVIMIENTOS!$B$5:$B$1005="SALDO INICIAL")*(MOVIMIENTOS!$C$5:$C$1005="Chancho")*(MOVIMIENTOS!$D$5:$D$1005="sacos")*(MOVIMIENTOS!$A$5:$A$1005&lt;&gt;"")*(MOVIMIENTOS!$A$5:$A$1005&lt;=$A191)*MOVIMIENTOS!$E$5:$E$1005)+SUMPRODUCT((MOVIMIENTOS!$B$5:$B$1005="PROCESO")*(MOVIMIENTOS!$C$5:$C$1005="Chancho")*(MOVIMIENTOS!$D$5:$D$1005="sacos")*(MOVIMIENTOS!$A$5:$A$1005&lt;&gt;"")*(MOVIMIENTOS!$A$5:$A$1005&lt;=$A191)*MOVIMIENTOS!$E$5:$E$1005)-SUMPRODUCT((MOVIMIENTOS!$B$5:$B$1005="VENTA CHANCHO")*(MOVIMIENTOS!$C$5:$C$1005="Chancho")*(MOVIMIENTOS!$D$5:$D$1005="sacos")*(MOVIMIENTOS!$A$5:$A$1005&lt;&gt;"")*(MOVIMIENTOS!$A$5:$A$1005&lt;=$A191)*MOVIMIENTOS!$E$5:$E$1005)-SUMPRODUCT((MOVIMIENTOS!$B$5:$B$1005="REGALO")*(MOVIMIENTOS!$C$5:$C$1005="Chancho")*(MOVIMIENTOS!$D$5:$D$1005="sacos")*(MOVIMIENTOS!$A$5:$A$1005&lt;&gt;"")*(MOVIMIENTOS!$A$5:$A$1005&lt;=$A191)*MOVIMIENTOS!$E$5:$E$1005)-SUMPRODUCT((MOVIMIENTOS!$B$5:$B$1005="VENTA")*(MOVIMIENTOS!$C$5:$C$1005="Chancho")*(MOVIMIENTOS!$D$5:$D$1005="sacos")*(MOVIMIENTOS!$A$5:$A$1005&lt;&gt;"")*(MOVIMIENTOS!$A$5:$A$1005&lt;=$A191)*MOVIMIENTOS!$E$5:$E$1005)+SUMPRODUCT((MOVIMIENTOS!$B$5:$B$1005="AJUSTE")*(MOVIMIENTOS!$C$5:$C$1005="Chancho")*(MOVIMIENTOS!$D$5:$D$1005="sacos")*(MOVIMIENTOS!$A$5:$A$1005&lt;&gt;"")*(MOVIMIENTOS!$A$5:$A$1005&lt;=$A191)*MOVIMIENTOS!$E$5:$E$1005))</f>
        <v/>
      </c>
      <c r="G191" s="95" t="str">
        <f t="shared" si="5"/>
        <v/>
      </c>
      <c r="H191" s="63" t="str">
        <f>IF($A191="","",SUMPRODUCT((((MOVIMIENTOS!$B$5:$B$1005="SALDO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191)*MOVIMIENTOS!$J$5:$J$1005))</f>
        <v/>
      </c>
      <c r="I191" s="63"/>
      <c r="J191" s="63" t="str">
        <f>IF(AND(MOVIMIENTOS!$A191&lt;&gt;"",COUNTIF(MOVIMIENTOS!$A$5:$A190,MOVIMIENTOS!$A191)=0),COUNT(J$4:J190)+1,"")</f>
        <v/>
      </c>
      <c r="K191" s="66">
        <f>MOVIMIENTOS!$A191</f>
        <v>46230</v>
      </c>
      <c r="L191" s="63"/>
      <c r="M191" s="63"/>
      <c r="N191" s="63"/>
    </row>
    <row r="192" spans="1:14" ht="15" customHeight="1" x14ac:dyDescent="0.2">
      <c r="A192" s="63" t="str">
        <f t="shared" si="4"/>
        <v/>
      </c>
      <c r="B192" s="63" t="str">
        <f>IF($A192="","",SUMPRODUCT((MOVIMIENTOS!$B$5:$B$1005="SALDO INICIAL")*(MOVIMIENTOS!$C$5:$C$1005="A")*(MOVIMIENTOS!$D$5:$D$1005="jabas")*(MOVIMIENTOS!$A$5:$A$1005&lt;&gt;"")*(MOVIMIENTOS!$A$5:$A$1005&lt;=$A192)*MOVIMIENTOS!$E$5:$E$1005)+SUMPRODUCT((MOVIMIENTOS!$B$5:$B$1005="PROCESO")*(MOVIMIENTOS!$C$5:$C$1005="A")*(MOVIMIENTOS!$D$5:$D$1005="jabas")*(MOVIMIENTOS!$A$5:$A$1005&lt;&gt;"")*(MOVIMIENTOS!$A$5:$A$1005&lt;=$A192)*MOVIMIENTOS!$E$5:$E$1005)-SUMPRODUCT((MOVIMIENTOS!$B$5:$B$1005="ENVÍO A SUPESA")*(MOVIMIENTOS!$C$5:$C$1005="A")*(MOVIMIENTOS!$D$5:$D$1005="jabas")*(MOVIMIENTOS!$A$5:$A$1005&lt;&gt;"")*(MOVIMIENTOS!$A$5:$A$1005&lt;=$A192)*MOVIMIENTOS!$E$5:$E$1005)+SUMPRODUCT((MOVIMIENTOS!$B$5:$B$1005="DEVOLUCIÓN")*(MOVIMIENTOS!$C$5:$C$1005="A")*(MOVIMIENTOS!$D$5:$D$1005="jabas")*(MOVIMIENTOS!$A$5:$A$1005&lt;&gt;"")*(MOVIMIENTOS!$A$5:$A$1005&lt;=$A192)*MOVIMIENTOS!$E$5:$E$1005)-SUMPRODUCT((MOVIMIENTOS!$B$5:$B$1005="TRASIEGO")*(MOVIMIENTOS!$C$5:$C$1005="A")*(MOVIMIENTOS!$D$5:$D$1005="jabas")*(MOVIMIENTOS!$A$5:$A$1005&lt;&gt;"")*(MOVIMIENTOS!$A$5:$A$1005&lt;=$A192)*MOVIMIENTOS!$E$5:$E$1005)-SUMPRODUCT((MOVIMIENTOS!$B$5:$B$1005="REGALO")*(MOVIMIENTOS!$C$5:$C$1005="A")*(MOVIMIENTOS!$D$5:$D$1005="jabas")*(MOVIMIENTOS!$A$5:$A$1005&lt;&gt;"")*(MOVIMIENTOS!$A$5:$A$1005&lt;=$A192)*MOVIMIENTOS!$E$5:$E$1005)-SUMPRODUCT((MOVIMIENTOS!$B$5:$B$1005="VENTA")*(MOVIMIENTOS!$C$5:$C$1005="A")*(MOVIMIENTOS!$D$5:$D$1005="jabas")*(MOVIMIENTOS!$A$5:$A$1005&lt;&gt;"")*(MOVIMIENTOS!$A$5:$A$1005&lt;=$A192)*MOVIMIENTOS!$E$5:$E$1005)+SUMPRODUCT((MOVIMIENTOS!$B$5:$B$1005="AJUSTE")*(MOVIMIENTOS!$C$5:$C$1005="A")*(MOVIMIENTOS!$D$5:$D$1005="jabas")*(MOVIMIENTOS!$A$5:$A$1005&lt;&gt;"")*(MOVIMIENTOS!$A$5:$A$1005&lt;=$A192)*MOVIMIENTOS!$E$5:$E$1005))</f>
        <v/>
      </c>
      <c r="C192" s="63" t="str">
        <f>IF($A192="","",SUMPRODUCT((MOVIMIENTOS!$B$5:$B$1005="SALDO INICIAL")*(MOVIMIENTOS!$C$5:$C$1005="P")*(MOVIMIENTOS!$D$5:$D$1005="jabas")*(MOVIMIENTOS!$A$5:$A$1005&lt;&gt;"")*(MOVIMIENTOS!$A$5:$A$1005&lt;=$A192)*MOVIMIENTOS!$E$5:$E$1005)+SUMPRODUCT((MOVIMIENTOS!$B$5:$B$1005="PROCESO")*(MOVIMIENTOS!$C$5:$C$1005="P")*(MOVIMIENTOS!$D$5:$D$1005="jabas")*(MOVIMIENTOS!$A$5:$A$1005&lt;&gt;"")*(MOVIMIENTOS!$A$5:$A$1005&lt;=$A192)*MOVIMIENTOS!$E$5:$E$1005)-SUMPRODUCT((MOVIMIENTOS!$B$5:$B$1005="ENVÍO A SUPESA")*(MOVIMIENTOS!$C$5:$C$1005="P")*(MOVIMIENTOS!$D$5:$D$1005="jabas")*(MOVIMIENTOS!$A$5:$A$1005&lt;&gt;"")*(MOVIMIENTOS!$A$5:$A$1005&lt;=$A192)*MOVIMIENTOS!$E$5:$E$1005)+SUMPRODUCT((MOVIMIENTOS!$B$5:$B$1005="DEVOLUCIÓN")*(MOVIMIENTOS!$C$5:$C$1005="P")*(MOVIMIENTOS!$D$5:$D$1005="jabas")*(MOVIMIENTOS!$A$5:$A$1005&lt;&gt;"")*(MOVIMIENTOS!$A$5:$A$1005&lt;=$A192)*MOVIMIENTOS!$E$5:$E$1005)-SUMPRODUCT((MOVIMIENTOS!$B$5:$B$1005="TRASIEGO")*(MOVIMIENTOS!$C$5:$C$1005="P")*(MOVIMIENTOS!$D$5:$D$1005="jabas")*(MOVIMIENTOS!$A$5:$A$1005&lt;&gt;"")*(MOVIMIENTOS!$A$5:$A$1005&lt;=$A192)*MOVIMIENTOS!$E$5:$E$1005)-SUMPRODUCT((MOVIMIENTOS!$B$5:$B$1005="REGALO")*(MOVIMIENTOS!$C$5:$C$1005="P")*(MOVIMIENTOS!$D$5:$D$1005="jabas")*(MOVIMIENTOS!$A$5:$A$1005&lt;&gt;"")*(MOVIMIENTOS!$A$5:$A$1005&lt;=$A192)*MOVIMIENTOS!$E$5:$E$1005)-SUMPRODUCT((MOVIMIENTOS!$B$5:$B$1005="VENTA")*(MOVIMIENTOS!$C$5:$C$1005="P")*(MOVIMIENTOS!$D$5:$D$1005="jabas")*(MOVIMIENTOS!$A$5:$A$1005&lt;&gt;"")*(MOVIMIENTOS!$A$5:$A$1005&lt;=$A192)*MOVIMIENTOS!$E$5:$E$1005)+SUMPRODUCT((MOVIMIENTOS!$B$5:$B$1005="AJUSTE")*(MOVIMIENTOS!$C$5:$C$1005="P")*(MOVIMIENTOS!$D$5:$D$1005="jabas")*(MOVIMIENTOS!$A$5:$A$1005&lt;&gt;"")*(MOVIMIENTOS!$A$5:$A$1005&lt;=$A192)*MOVIMIENTOS!$E$5:$E$1005))</f>
        <v/>
      </c>
      <c r="D192" s="63" t="str">
        <f>IF($A192="","",SUMPRODUCT((MOVIMIENTOS!$B$5:$B$1005="SALDO INICIAL")*(MOVIMIENTOS!$C$5:$C$1005="C")*(MOVIMIENTOS!$D$5:$D$1005="jabas")*(MOVIMIENTOS!$A$5:$A$1005&lt;&gt;"")*(MOVIMIENTOS!$A$5:$A$1005&lt;=$A192)*MOVIMIENTOS!$E$5:$E$1005)+SUMPRODUCT((MOVIMIENTOS!$B$5:$B$1005="PROCESO")*(MOVIMIENTOS!$C$5:$C$1005="C")*(MOVIMIENTOS!$D$5:$D$1005="jabas")*(MOVIMIENTOS!$A$5:$A$1005&lt;&gt;"")*(MOVIMIENTOS!$A$5:$A$1005&lt;=$A192)*MOVIMIENTOS!$E$5:$E$1005)-SUMPRODUCT((MOVIMIENTOS!$B$5:$B$1005="ENVÍO A SUPESA")*(MOVIMIENTOS!$C$5:$C$1005="C")*(MOVIMIENTOS!$D$5:$D$1005="jabas")*(MOVIMIENTOS!$A$5:$A$1005&lt;&gt;"")*(MOVIMIENTOS!$A$5:$A$1005&lt;=$A192)*MOVIMIENTOS!$E$5:$E$1005)+SUMPRODUCT((MOVIMIENTOS!$B$5:$B$1005="DEVOLUCIÓN")*(MOVIMIENTOS!$C$5:$C$1005="C")*(MOVIMIENTOS!$D$5:$D$1005="jabas")*(MOVIMIENTOS!$A$5:$A$1005&lt;&gt;"")*(MOVIMIENTOS!$A$5:$A$1005&lt;=$A192)*MOVIMIENTOS!$E$5:$E$1005)-SUMPRODUCT((MOVIMIENTOS!$B$5:$B$1005="TRASIEGO")*(MOVIMIENTOS!$C$5:$C$1005="C")*(MOVIMIENTOS!$D$5:$D$1005="jabas")*(MOVIMIENTOS!$A$5:$A$1005&lt;&gt;"")*(MOVIMIENTOS!$A$5:$A$1005&lt;=$A192)*MOVIMIENTOS!$E$5:$E$1005)-SUMPRODUCT((MOVIMIENTOS!$B$5:$B$1005="REGALO")*(MOVIMIENTOS!$C$5:$C$1005="C")*(MOVIMIENTOS!$D$5:$D$1005="jabas")*(MOVIMIENTOS!$A$5:$A$1005&lt;&gt;"")*(MOVIMIENTOS!$A$5:$A$1005&lt;=$A192)*MOVIMIENTOS!$E$5:$E$1005)-SUMPRODUCT((MOVIMIENTOS!$B$5:$B$1005="VENTA")*(MOVIMIENTOS!$C$5:$C$1005="C")*(MOVIMIENTOS!$D$5:$D$1005="jabas")*(MOVIMIENTOS!$A$5:$A$1005&lt;&gt;"")*(MOVIMIENTOS!$A$5:$A$1005&lt;=$A192)*MOVIMIENTOS!$E$5:$E$1005)+SUMPRODUCT((MOVIMIENTOS!$B$5:$B$1005="AJUSTE")*(MOVIMIENTOS!$C$5:$C$1005="C")*(MOVIMIENTOS!$D$5:$D$1005="jabas")*(MOVIMIENTOS!$A$5:$A$1005&lt;&gt;"")*(MOVIMIENTOS!$A$5:$A$1005&lt;=$A192)*MOVIMIENTOS!$E$5:$E$1005))</f>
        <v/>
      </c>
      <c r="E192" s="63" t="str">
        <f>IF($A192="","",SUMPRODUCT((MOVIMIENTOS!$B$5:$B$1005="SALDO INICIAL")*(MOVIMIENTOS!$C$5:$C$1005="M")*(MOVIMIENTOS!$D$5:$D$1005="jabas")*(MOVIMIENTOS!$A$5:$A$1005&lt;&gt;"")*(MOVIMIENTOS!$A$5:$A$1005&lt;=$A192)*MOVIMIENTOS!$E$5:$E$1005)+SUMPRODUCT((MOVIMIENTOS!$B$5:$B$1005="PROCESO")*(MOVIMIENTOS!$C$5:$C$1005="M")*(MOVIMIENTOS!$D$5:$D$1005="jabas")*(MOVIMIENTOS!$A$5:$A$1005&lt;&gt;"")*(MOVIMIENTOS!$A$5:$A$1005&lt;=$A192)*MOVIMIENTOS!$E$5:$E$1005)-SUMPRODUCT((MOVIMIENTOS!$B$5:$B$1005="ENVÍO A SUPESA")*(MOVIMIENTOS!$C$5:$C$1005="M")*(MOVIMIENTOS!$D$5:$D$1005="jabas")*(MOVIMIENTOS!$A$5:$A$1005&lt;&gt;"")*(MOVIMIENTOS!$A$5:$A$1005&lt;=$A192)*MOVIMIENTOS!$E$5:$E$1005)+SUMPRODUCT((MOVIMIENTOS!$B$5:$B$1005="DEVOLUCIÓN")*(MOVIMIENTOS!$C$5:$C$1005="M")*(MOVIMIENTOS!$D$5:$D$1005="jabas")*(MOVIMIENTOS!$A$5:$A$1005&lt;&gt;"")*(MOVIMIENTOS!$A$5:$A$1005&lt;=$A192)*MOVIMIENTOS!$E$5:$E$1005)-SUMPRODUCT((MOVIMIENTOS!$B$5:$B$1005="TRASIEGO")*(MOVIMIENTOS!$C$5:$C$1005="M")*(MOVIMIENTOS!$D$5:$D$1005="jabas")*(MOVIMIENTOS!$A$5:$A$1005&lt;&gt;"")*(MOVIMIENTOS!$A$5:$A$1005&lt;=$A192)*MOVIMIENTOS!$E$5:$E$1005)-SUMPRODUCT((MOVIMIENTOS!$B$5:$B$1005="REGALO")*(MOVIMIENTOS!$C$5:$C$1005="M")*(MOVIMIENTOS!$D$5:$D$1005="jabas")*(MOVIMIENTOS!$A$5:$A$1005&lt;&gt;"")*(MOVIMIENTOS!$A$5:$A$1005&lt;=$A192)*MOVIMIENTOS!$E$5:$E$1005)-SUMPRODUCT((MOVIMIENTOS!$B$5:$B$1005="VENTA")*(MOVIMIENTOS!$C$5:$C$1005="M")*(MOVIMIENTOS!$D$5:$D$1005="jabas")*(MOVIMIENTOS!$A$5:$A$1005&lt;&gt;"")*(MOVIMIENTOS!$A$5:$A$1005&lt;=$A192)*MOVIMIENTOS!$E$5:$E$1005)+SUMPRODUCT((MOVIMIENTOS!$B$5:$B$1005="AJUSTE")*(MOVIMIENTOS!$C$5:$C$1005="M")*(MOVIMIENTOS!$D$5:$D$1005="jabas")*(MOVIMIENTOS!$A$5:$A$1005&lt;&gt;"")*(MOVIMIENTOS!$A$5:$A$1005&lt;=$A192)*MOVIMIENTOS!$E$5:$E$1005))</f>
        <v/>
      </c>
      <c r="F192" s="63" t="str">
        <f>IF($A192="","",SUMPRODUCT((MOVIMIENTOS!$B$5:$B$1005="SALDO INICIAL")*(MOVIMIENTOS!$C$5:$C$1005="Chancho")*(MOVIMIENTOS!$D$5:$D$1005="sacos")*(MOVIMIENTOS!$A$5:$A$1005&lt;&gt;"")*(MOVIMIENTOS!$A$5:$A$1005&lt;=$A192)*MOVIMIENTOS!$E$5:$E$1005)+SUMPRODUCT((MOVIMIENTOS!$B$5:$B$1005="PROCESO")*(MOVIMIENTOS!$C$5:$C$1005="Chancho")*(MOVIMIENTOS!$D$5:$D$1005="sacos")*(MOVIMIENTOS!$A$5:$A$1005&lt;&gt;"")*(MOVIMIENTOS!$A$5:$A$1005&lt;=$A192)*MOVIMIENTOS!$E$5:$E$1005)-SUMPRODUCT((MOVIMIENTOS!$B$5:$B$1005="VENTA CHANCHO")*(MOVIMIENTOS!$C$5:$C$1005="Chancho")*(MOVIMIENTOS!$D$5:$D$1005="sacos")*(MOVIMIENTOS!$A$5:$A$1005&lt;&gt;"")*(MOVIMIENTOS!$A$5:$A$1005&lt;=$A192)*MOVIMIENTOS!$E$5:$E$1005)-SUMPRODUCT((MOVIMIENTOS!$B$5:$B$1005="REGALO")*(MOVIMIENTOS!$C$5:$C$1005="Chancho")*(MOVIMIENTOS!$D$5:$D$1005="sacos")*(MOVIMIENTOS!$A$5:$A$1005&lt;&gt;"")*(MOVIMIENTOS!$A$5:$A$1005&lt;=$A192)*MOVIMIENTOS!$E$5:$E$1005)-SUMPRODUCT((MOVIMIENTOS!$B$5:$B$1005="VENTA")*(MOVIMIENTOS!$C$5:$C$1005="Chancho")*(MOVIMIENTOS!$D$5:$D$1005="sacos")*(MOVIMIENTOS!$A$5:$A$1005&lt;&gt;"")*(MOVIMIENTOS!$A$5:$A$1005&lt;=$A192)*MOVIMIENTOS!$E$5:$E$1005)+SUMPRODUCT((MOVIMIENTOS!$B$5:$B$1005="AJUSTE")*(MOVIMIENTOS!$C$5:$C$1005="Chancho")*(MOVIMIENTOS!$D$5:$D$1005="sacos")*(MOVIMIENTOS!$A$5:$A$1005&lt;&gt;"")*(MOVIMIENTOS!$A$5:$A$1005&lt;=$A192)*MOVIMIENTOS!$E$5:$E$1005))</f>
        <v/>
      </c>
      <c r="G192" s="95" t="str">
        <f t="shared" si="5"/>
        <v/>
      </c>
      <c r="H192" s="63" t="str">
        <f>IF($A192="","",SUMPRODUCT((((MOVIMIENTOS!$B$5:$B$1005="SALDO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192)*MOVIMIENTOS!$J$5:$J$1005))</f>
        <v/>
      </c>
      <c r="I192" s="63"/>
      <c r="J192" s="63" t="str">
        <f>IF(AND(MOVIMIENTOS!$A192&lt;&gt;"",COUNTIF(MOVIMIENTOS!$A$5:$A191,MOVIMIENTOS!$A192)=0),COUNT(J$4:J191)+1,"")</f>
        <v/>
      </c>
      <c r="K192" s="66">
        <f>MOVIMIENTOS!$A192</f>
        <v>46230</v>
      </c>
      <c r="L192" s="63"/>
      <c r="M192" s="63"/>
      <c r="N192" s="63"/>
    </row>
    <row r="193" spans="1:14" ht="15" customHeight="1" x14ac:dyDescent="0.2">
      <c r="A193" s="63" t="str">
        <f t="shared" si="4"/>
        <v/>
      </c>
      <c r="B193" s="63" t="str">
        <f>IF($A193="","",SUMPRODUCT((MOVIMIENTOS!$B$5:$B$1005="SALDO INICIAL")*(MOVIMIENTOS!$C$5:$C$1005="A")*(MOVIMIENTOS!$D$5:$D$1005="jabas")*(MOVIMIENTOS!$A$5:$A$1005&lt;&gt;"")*(MOVIMIENTOS!$A$5:$A$1005&lt;=$A193)*MOVIMIENTOS!$E$5:$E$1005)+SUMPRODUCT((MOVIMIENTOS!$B$5:$B$1005="PROCESO")*(MOVIMIENTOS!$C$5:$C$1005="A")*(MOVIMIENTOS!$D$5:$D$1005="jabas")*(MOVIMIENTOS!$A$5:$A$1005&lt;&gt;"")*(MOVIMIENTOS!$A$5:$A$1005&lt;=$A193)*MOVIMIENTOS!$E$5:$E$1005)-SUMPRODUCT((MOVIMIENTOS!$B$5:$B$1005="ENVÍO A SUPESA")*(MOVIMIENTOS!$C$5:$C$1005="A")*(MOVIMIENTOS!$D$5:$D$1005="jabas")*(MOVIMIENTOS!$A$5:$A$1005&lt;&gt;"")*(MOVIMIENTOS!$A$5:$A$1005&lt;=$A193)*MOVIMIENTOS!$E$5:$E$1005)+SUMPRODUCT((MOVIMIENTOS!$B$5:$B$1005="DEVOLUCIÓN")*(MOVIMIENTOS!$C$5:$C$1005="A")*(MOVIMIENTOS!$D$5:$D$1005="jabas")*(MOVIMIENTOS!$A$5:$A$1005&lt;&gt;"")*(MOVIMIENTOS!$A$5:$A$1005&lt;=$A193)*MOVIMIENTOS!$E$5:$E$1005)-SUMPRODUCT((MOVIMIENTOS!$B$5:$B$1005="TRASIEGO")*(MOVIMIENTOS!$C$5:$C$1005="A")*(MOVIMIENTOS!$D$5:$D$1005="jabas")*(MOVIMIENTOS!$A$5:$A$1005&lt;&gt;"")*(MOVIMIENTOS!$A$5:$A$1005&lt;=$A193)*MOVIMIENTOS!$E$5:$E$1005)-SUMPRODUCT((MOVIMIENTOS!$B$5:$B$1005="REGALO")*(MOVIMIENTOS!$C$5:$C$1005="A")*(MOVIMIENTOS!$D$5:$D$1005="jabas")*(MOVIMIENTOS!$A$5:$A$1005&lt;&gt;"")*(MOVIMIENTOS!$A$5:$A$1005&lt;=$A193)*MOVIMIENTOS!$E$5:$E$1005)-SUMPRODUCT((MOVIMIENTOS!$B$5:$B$1005="VENTA")*(MOVIMIENTOS!$C$5:$C$1005="A")*(MOVIMIENTOS!$D$5:$D$1005="jabas")*(MOVIMIENTOS!$A$5:$A$1005&lt;&gt;"")*(MOVIMIENTOS!$A$5:$A$1005&lt;=$A193)*MOVIMIENTOS!$E$5:$E$1005)+SUMPRODUCT((MOVIMIENTOS!$B$5:$B$1005="AJUSTE")*(MOVIMIENTOS!$C$5:$C$1005="A")*(MOVIMIENTOS!$D$5:$D$1005="jabas")*(MOVIMIENTOS!$A$5:$A$1005&lt;&gt;"")*(MOVIMIENTOS!$A$5:$A$1005&lt;=$A193)*MOVIMIENTOS!$E$5:$E$1005))</f>
        <v/>
      </c>
      <c r="C193" s="63" t="str">
        <f>IF($A193="","",SUMPRODUCT((MOVIMIENTOS!$B$5:$B$1005="SALDO INICIAL")*(MOVIMIENTOS!$C$5:$C$1005="P")*(MOVIMIENTOS!$D$5:$D$1005="jabas")*(MOVIMIENTOS!$A$5:$A$1005&lt;&gt;"")*(MOVIMIENTOS!$A$5:$A$1005&lt;=$A193)*MOVIMIENTOS!$E$5:$E$1005)+SUMPRODUCT((MOVIMIENTOS!$B$5:$B$1005="PROCESO")*(MOVIMIENTOS!$C$5:$C$1005="P")*(MOVIMIENTOS!$D$5:$D$1005="jabas")*(MOVIMIENTOS!$A$5:$A$1005&lt;&gt;"")*(MOVIMIENTOS!$A$5:$A$1005&lt;=$A193)*MOVIMIENTOS!$E$5:$E$1005)-SUMPRODUCT((MOVIMIENTOS!$B$5:$B$1005="ENVÍO A SUPESA")*(MOVIMIENTOS!$C$5:$C$1005="P")*(MOVIMIENTOS!$D$5:$D$1005="jabas")*(MOVIMIENTOS!$A$5:$A$1005&lt;&gt;"")*(MOVIMIENTOS!$A$5:$A$1005&lt;=$A193)*MOVIMIENTOS!$E$5:$E$1005)+SUMPRODUCT((MOVIMIENTOS!$B$5:$B$1005="DEVOLUCIÓN")*(MOVIMIENTOS!$C$5:$C$1005="P")*(MOVIMIENTOS!$D$5:$D$1005="jabas")*(MOVIMIENTOS!$A$5:$A$1005&lt;&gt;"")*(MOVIMIENTOS!$A$5:$A$1005&lt;=$A193)*MOVIMIENTOS!$E$5:$E$1005)-SUMPRODUCT((MOVIMIENTOS!$B$5:$B$1005="TRASIEGO")*(MOVIMIENTOS!$C$5:$C$1005="P")*(MOVIMIENTOS!$D$5:$D$1005="jabas")*(MOVIMIENTOS!$A$5:$A$1005&lt;&gt;"")*(MOVIMIENTOS!$A$5:$A$1005&lt;=$A193)*MOVIMIENTOS!$E$5:$E$1005)-SUMPRODUCT((MOVIMIENTOS!$B$5:$B$1005="REGALO")*(MOVIMIENTOS!$C$5:$C$1005="P")*(MOVIMIENTOS!$D$5:$D$1005="jabas")*(MOVIMIENTOS!$A$5:$A$1005&lt;&gt;"")*(MOVIMIENTOS!$A$5:$A$1005&lt;=$A193)*MOVIMIENTOS!$E$5:$E$1005)-SUMPRODUCT((MOVIMIENTOS!$B$5:$B$1005="VENTA")*(MOVIMIENTOS!$C$5:$C$1005="P")*(MOVIMIENTOS!$D$5:$D$1005="jabas")*(MOVIMIENTOS!$A$5:$A$1005&lt;&gt;"")*(MOVIMIENTOS!$A$5:$A$1005&lt;=$A193)*MOVIMIENTOS!$E$5:$E$1005)+SUMPRODUCT((MOVIMIENTOS!$B$5:$B$1005="AJUSTE")*(MOVIMIENTOS!$C$5:$C$1005="P")*(MOVIMIENTOS!$D$5:$D$1005="jabas")*(MOVIMIENTOS!$A$5:$A$1005&lt;&gt;"")*(MOVIMIENTOS!$A$5:$A$1005&lt;=$A193)*MOVIMIENTOS!$E$5:$E$1005))</f>
        <v/>
      </c>
      <c r="D193" s="63" t="str">
        <f>IF($A193="","",SUMPRODUCT((MOVIMIENTOS!$B$5:$B$1005="SALDO INICIAL")*(MOVIMIENTOS!$C$5:$C$1005="C")*(MOVIMIENTOS!$D$5:$D$1005="jabas")*(MOVIMIENTOS!$A$5:$A$1005&lt;&gt;"")*(MOVIMIENTOS!$A$5:$A$1005&lt;=$A193)*MOVIMIENTOS!$E$5:$E$1005)+SUMPRODUCT((MOVIMIENTOS!$B$5:$B$1005="PROCESO")*(MOVIMIENTOS!$C$5:$C$1005="C")*(MOVIMIENTOS!$D$5:$D$1005="jabas")*(MOVIMIENTOS!$A$5:$A$1005&lt;&gt;"")*(MOVIMIENTOS!$A$5:$A$1005&lt;=$A193)*MOVIMIENTOS!$E$5:$E$1005)-SUMPRODUCT((MOVIMIENTOS!$B$5:$B$1005="ENVÍO A SUPESA")*(MOVIMIENTOS!$C$5:$C$1005="C")*(MOVIMIENTOS!$D$5:$D$1005="jabas")*(MOVIMIENTOS!$A$5:$A$1005&lt;&gt;"")*(MOVIMIENTOS!$A$5:$A$1005&lt;=$A193)*MOVIMIENTOS!$E$5:$E$1005)+SUMPRODUCT((MOVIMIENTOS!$B$5:$B$1005="DEVOLUCIÓN")*(MOVIMIENTOS!$C$5:$C$1005="C")*(MOVIMIENTOS!$D$5:$D$1005="jabas")*(MOVIMIENTOS!$A$5:$A$1005&lt;&gt;"")*(MOVIMIENTOS!$A$5:$A$1005&lt;=$A193)*MOVIMIENTOS!$E$5:$E$1005)-SUMPRODUCT((MOVIMIENTOS!$B$5:$B$1005="TRASIEGO")*(MOVIMIENTOS!$C$5:$C$1005="C")*(MOVIMIENTOS!$D$5:$D$1005="jabas")*(MOVIMIENTOS!$A$5:$A$1005&lt;&gt;"")*(MOVIMIENTOS!$A$5:$A$1005&lt;=$A193)*MOVIMIENTOS!$E$5:$E$1005)-SUMPRODUCT((MOVIMIENTOS!$B$5:$B$1005="REGALO")*(MOVIMIENTOS!$C$5:$C$1005="C")*(MOVIMIENTOS!$D$5:$D$1005="jabas")*(MOVIMIENTOS!$A$5:$A$1005&lt;&gt;"")*(MOVIMIENTOS!$A$5:$A$1005&lt;=$A193)*MOVIMIENTOS!$E$5:$E$1005)-SUMPRODUCT((MOVIMIENTOS!$B$5:$B$1005="VENTA")*(MOVIMIENTOS!$C$5:$C$1005="C")*(MOVIMIENTOS!$D$5:$D$1005="jabas")*(MOVIMIENTOS!$A$5:$A$1005&lt;&gt;"")*(MOVIMIENTOS!$A$5:$A$1005&lt;=$A193)*MOVIMIENTOS!$E$5:$E$1005)+SUMPRODUCT((MOVIMIENTOS!$B$5:$B$1005="AJUSTE")*(MOVIMIENTOS!$C$5:$C$1005="C")*(MOVIMIENTOS!$D$5:$D$1005="jabas")*(MOVIMIENTOS!$A$5:$A$1005&lt;&gt;"")*(MOVIMIENTOS!$A$5:$A$1005&lt;=$A193)*MOVIMIENTOS!$E$5:$E$1005))</f>
        <v/>
      </c>
      <c r="E193" s="63" t="str">
        <f>IF($A193="","",SUMPRODUCT((MOVIMIENTOS!$B$5:$B$1005="SALDO INICIAL")*(MOVIMIENTOS!$C$5:$C$1005="M")*(MOVIMIENTOS!$D$5:$D$1005="jabas")*(MOVIMIENTOS!$A$5:$A$1005&lt;&gt;"")*(MOVIMIENTOS!$A$5:$A$1005&lt;=$A193)*MOVIMIENTOS!$E$5:$E$1005)+SUMPRODUCT((MOVIMIENTOS!$B$5:$B$1005="PROCESO")*(MOVIMIENTOS!$C$5:$C$1005="M")*(MOVIMIENTOS!$D$5:$D$1005="jabas")*(MOVIMIENTOS!$A$5:$A$1005&lt;&gt;"")*(MOVIMIENTOS!$A$5:$A$1005&lt;=$A193)*MOVIMIENTOS!$E$5:$E$1005)-SUMPRODUCT((MOVIMIENTOS!$B$5:$B$1005="ENVÍO A SUPESA")*(MOVIMIENTOS!$C$5:$C$1005="M")*(MOVIMIENTOS!$D$5:$D$1005="jabas")*(MOVIMIENTOS!$A$5:$A$1005&lt;&gt;"")*(MOVIMIENTOS!$A$5:$A$1005&lt;=$A193)*MOVIMIENTOS!$E$5:$E$1005)+SUMPRODUCT((MOVIMIENTOS!$B$5:$B$1005="DEVOLUCIÓN")*(MOVIMIENTOS!$C$5:$C$1005="M")*(MOVIMIENTOS!$D$5:$D$1005="jabas")*(MOVIMIENTOS!$A$5:$A$1005&lt;&gt;"")*(MOVIMIENTOS!$A$5:$A$1005&lt;=$A193)*MOVIMIENTOS!$E$5:$E$1005)-SUMPRODUCT((MOVIMIENTOS!$B$5:$B$1005="TRASIEGO")*(MOVIMIENTOS!$C$5:$C$1005="M")*(MOVIMIENTOS!$D$5:$D$1005="jabas")*(MOVIMIENTOS!$A$5:$A$1005&lt;&gt;"")*(MOVIMIENTOS!$A$5:$A$1005&lt;=$A193)*MOVIMIENTOS!$E$5:$E$1005)-SUMPRODUCT((MOVIMIENTOS!$B$5:$B$1005="REGALO")*(MOVIMIENTOS!$C$5:$C$1005="M")*(MOVIMIENTOS!$D$5:$D$1005="jabas")*(MOVIMIENTOS!$A$5:$A$1005&lt;&gt;"")*(MOVIMIENTOS!$A$5:$A$1005&lt;=$A193)*MOVIMIENTOS!$E$5:$E$1005)-SUMPRODUCT((MOVIMIENTOS!$B$5:$B$1005="VENTA")*(MOVIMIENTOS!$C$5:$C$1005="M")*(MOVIMIENTOS!$D$5:$D$1005="jabas")*(MOVIMIENTOS!$A$5:$A$1005&lt;&gt;"")*(MOVIMIENTOS!$A$5:$A$1005&lt;=$A193)*MOVIMIENTOS!$E$5:$E$1005)+SUMPRODUCT((MOVIMIENTOS!$B$5:$B$1005="AJUSTE")*(MOVIMIENTOS!$C$5:$C$1005="M")*(MOVIMIENTOS!$D$5:$D$1005="jabas")*(MOVIMIENTOS!$A$5:$A$1005&lt;&gt;"")*(MOVIMIENTOS!$A$5:$A$1005&lt;=$A193)*MOVIMIENTOS!$E$5:$E$1005))</f>
        <v/>
      </c>
      <c r="F193" s="63" t="str">
        <f>IF($A193="","",SUMPRODUCT((MOVIMIENTOS!$B$5:$B$1005="SALDO INICIAL")*(MOVIMIENTOS!$C$5:$C$1005="Chancho")*(MOVIMIENTOS!$D$5:$D$1005="sacos")*(MOVIMIENTOS!$A$5:$A$1005&lt;&gt;"")*(MOVIMIENTOS!$A$5:$A$1005&lt;=$A193)*MOVIMIENTOS!$E$5:$E$1005)+SUMPRODUCT((MOVIMIENTOS!$B$5:$B$1005="PROCESO")*(MOVIMIENTOS!$C$5:$C$1005="Chancho")*(MOVIMIENTOS!$D$5:$D$1005="sacos")*(MOVIMIENTOS!$A$5:$A$1005&lt;&gt;"")*(MOVIMIENTOS!$A$5:$A$1005&lt;=$A193)*MOVIMIENTOS!$E$5:$E$1005)-SUMPRODUCT((MOVIMIENTOS!$B$5:$B$1005="VENTA CHANCHO")*(MOVIMIENTOS!$C$5:$C$1005="Chancho")*(MOVIMIENTOS!$D$5:$D$1005="sacos")*(MOVIMIENTOS!$A$5:$A$1005&lt;&gt;"")*(MOVIMIENTOS!$A$5:$A$1005&lt;=$A193)*MOVIMIENTOS!$E$5:$E$1005)-SUMPRODUCT((MOVIMIENTOS!$B$5:$B$1005="REGALO")*(MOVIMIENTOS!$C$5:$C$1005="Chancho")*(MOVIMIENTOS!$D$5:$D$1005="sacos")*(MOVIMIENTOS!$A$5:$A$1005&lt;&gt;"")*(MOVIMIENTOS!$A$5:$A$1005&lt;=$A193)*MOVIMIENTOS!$E$5:$E$1005)-SUMPRODUCT((MOVIMIENTOS!$B$5:$B$1005="VENTA")*(MOVIMIENTOS!$C$5:$C$1005="Chancho")*(MOVIMIENTOS!$D$5:$D$1005="sacos")*(MOVIMIENTOS!$A$5:$A$1005&lt;&gt;"")*(MOVIMIENTOS!$A$5:$A$1005&lt;=$A193)*MOVIMIENTOS!$E$5:$E$1005)+SUMPRODUCT((MOVIMIENTOS!$B$5:$B$1005="AJUSTE")*(MOVIMIENTOS!$C$5:$C$1005="Chancho")*(MOVIMIENTOS!$D$5:$D$1005="sacos")*(MOVIMIENTOS!$A$5:$A$1005&lt;&gt;"")*(MOVIMIENTOS!$A$5:$A$1005&lt;=$A193)*MOVIMIENTOS!$E$5:$E$1005))</f>
        <v/>
      </c>
      <c r="G193" s="95" t="str">
        <f t="shared" si="5"/>
        <v/>
      </c>
      <c r="H193" s="63" t="str">
        <f>IF($A193="","",SUMPRODUCT((((MOVIMIENTOS!$B$5:$B$1005="SALDO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193)*MOVIMIENTOS!$J$5:$J$1005))</f>
        <v/>
      </c>
      <c r="I193" s="63"/>
      <c r="J193" s="63" t="str">
        <f>IF(AND(MOVIMIENTOS!$A193&lt;&gt;"",COUNTIF(MOVIMIENTOS!$A$5:$A192,MOVIMIENTOS!$A193)=0),COUNT(J$4:J192)+1,"")</f>
        <v/>
      </c>
      <c r="K193" s="66">
        <f>MOVIMIENTOS!$A193</f>
        <v>46230</v>
      </c>
      <c r="L193" s="63"/>
      <c r="M193" s="63"/>
      <c r="N193" s="63"/>
    </row>
    <row r="194" spans="1:14" ht="15" customHeight="1" x14ac:dyDescent="0.2">
      <c r="A194" s="63" t="str">
        <f t="shared" si="4"/>
        <v/>
      </c>
      <c r="B194" s="63" t="str">
        <f>IF($A194="","",SUMPRODUCT((MOVIMIENTOS!$B$5:$B$1005="SALDO INICIAL")*(MOVIMIENTOS!$C$5:$C$1005="A")*(MOVIMIENTOS!$D$5:$D$1005="jabas")*(MOVIMIENTOS!$A$5:$A$1005&lt;&gt;"")*(MOVIMIENTOS!$A$5:$A$1005&lt;=$A194)*MOVIMIENTOS!$E$5:$E$1005)+SUMPRODUCT((MOVIMIENTOS!$B$5:$B$1005="PROCESO")*(MOVIMIENTOS!$C$5:$C$1005="A")*(MOVIMIENTOS!$D$5:$D$1005="jabas")*(MOVIMIENTOS!$A$5:$A$1005&lt;&gt;"")*(MOVIMIENTOS!$A$5:$A$1005&lt;=$A194)*MOVIMIENTOS!$E$5:$E$1005)-SUMPRODUCT((MOVIMIENTOS!$B$5:$B$1005="ENVÍO A SUPESA")*(MOVIMIENTOS!$C$5:$C$1005="A")*(MOVIMIENTOS!$D$5:$D$1005="jabas")*(MOVIMIENTOS!$A$5:$A$1005&lt;&gt;"")*(MOVIMIENTOS!$A$5:$A$1005&lt;=$A194)*MOVIMIENTOS!$E$5:$E$1005)+SUMPRODUCT((MOVIMIENTOS!$B$5:$B$1005="DEVOLUCIÓN")*(MOVIMIENTOS!$C$5:$C$1005="A")*(MOVIMIENTOS!$D$5:$D$1005="jabas")*(MOVIMIENTOS!$A$5:$A$1005&lt;&gt;"")*(MOVIMIENTOS!$A$5:$A$1005&lt;=$A194)*MOVIMIENTOS!$E$5:$E$1005)-SUMPRODUCT((MOVIMIENTOS!$B$5:$B$1005="TRASIEGO")*(MOVIMIENTOS!$C$5:$C$1005="A")*(MOVIMIENTOS!$D$5:$D$1005="jabas")*(MOVIMIENTOS!$A$5:$A$1005&lt;&gt;"")*(MOVIMIENTOS!$A$5:$A$1005&lt;=$A194)*MOVIMIENTOS!$E$5:$E$1005)-SUMPRODUCT((MOVIMIENTOS!$B$5:$B$1005="REGALO")*(MOVIMIENTOS!$C$5:$C$1005="A")*(MOVIMIENTOS!$D$5:$D$1005="jabas")*(MOVIMIENTOS!$A$5:$A$1005&lt;&gt;"")*(MOVIMIENTOS!$A$5:$A$1005&lt;=$A194)*MOVIMIENTOS!$E$5:$E$1005)-SUMPRODUCT((MOVIMIENTOS!$B$5:$B$1005="VENTA")*(MOVIMIENTOS!$C$5:$C$1005="A")*(MOVIMIENTOS!$D$5:$D$1005="jabas")*(MOVIMIENTOS!$A$5:$A$1005&lt;&gt;"")*(MOVIMIENTOS!$A$5:$A$1005&lt;=$A194)*MOVIMIENTOS!$E$5:$E$1005)+SUMPRODUCT((MOVIMIENTOS!$B$5:$B$1005="AJUSTE")*(MOVIMIENTOS!$C$5:$C$1005="A")*(MOVIMIENTOS!$D$5:$D$1005="jabas")*(MOVIMIENTOS!$A$5:$A$1005&lt;&gt;"")*(MOVIMIENTOS!$A$5:$A$1005&lt;=$A194)*MOVIMIENTOS!$E$5:$E$1005))</f>
        <v/>
      </c>
      <c r="C194" s="63" t="str">
        <f>IF($A194="","",SUMPRODUCT((MOVIMIENTOS!$B$5:$B$1005="SALDO INICIAL")*(MOVIMIENTOS!$C$5:$C$1005="P")*(MOVIMIENTOS!$D$5:$D$1005="jabas")*(MOVIMIENTOS!$A$5:$A$1005&lt;&gt;"")*(MOVIMIENTOS!$A$5:$A$1005&lt;=$A194)*MOVIMIENTOS!$E$5:$E$1005)+SUMPRODUCT((MOVIMIENTOS!$B$5:$B$1005="PROCESO")*(MOVIMIENTOS!$C$5:$C$1005="P")*(MOVIMIENTOS!$D$5:$D$1005="jabas")*(MOVIMIENTOS!$A$5:$A$1005&lt;&gt;"")*(MOVIMIENTOS!$A$5:$A$1005&lt;=$A194)*MOVIMIENTOS!$E$5:$E$1005)-SUMPRODUCT((MOVIMIENTOS!$B$5:$B$1005="ENVÍO A SUPESA")*(MOVIMIENTOS!$C$5:$C$1005="P")*(MOVIMIENTOS!$D$5:$D$1005="jabas")*(MOVIMIENTOS!$A$5:$A$1005&lt;&gt;"")*(MOVIMIENTOS!$A$5:$A$1005&lt;=$A194)*MOVIMIENTOS!$E$5:$E$1005)+SUMPRODUCT((MOVIMIENTOS!$B$5:$B$1005="DEVOLUCIÓN")*(MOVIMIENTOS!$C$5:$C$1005="P")*(MOVIMIENTOS!$D$5:$D$1005="jabas")*(MOVIMIENTOS!$A$5:$A$1005&lt;&gt;"")*(MOVIMIENTOS!$A$5:$A$1005&lt;=$A194)*MOVIMIENTOS!$E$5:$E$1005)-SUMPRODUCT((MOVIMIENTOS!$B$5:$B$1005="TRASIEGO")*(MOVIMIENTOS!$C$5:$C$1005="P")*(MOVIMIENTOS!$D$5:$D$1005="jabas")*(MOVIMIENTOS!$A$5:$A$1005&lt;&gt;"")*(MOVIMIENTOS!$A$5:$A$1005&lt;=$A194)*MOVIMIENTOS!$E$5:$E$1005)-SUMPRODUCT((MOVIMIENTOS!$B$5:$B$1005="REGALO")*(MOVIMIENTOS!$C$5:$C$1005="P")*(MOVIMIENTOS!$D$5:$D$1005="jabas")*(MOVIMIENTOS!$A$5:$A$1005&lt;&gt;"")*(MOVIMIENTOS!$A$5:$A$1005&lt;=$A194)*MOVIMIENTOS!$E$5:$E$1005)-SUMPRODUCT((MOVIMIENTOS!$B$5:$B$1005="VENTA")*(MOVIMIENTOS!$C$5:$C$1005="P")*(MOVIMIENTOS!$D$5:$D$1005="jabas")*(MOVIMIENTOS!$A$5:$A$1005&lt;&gt;"")*(MOVIMIENTOS!$A$5:$A$1005&lt;=$A194)*MOVIMIENTOS!$E$5:$E$1005)+SUMPRODUCT((MOVIMIENTOS!$B$5:$B$1005="AJUSTE")*(MOVIMIENTOS!$C$5:$C$1005="P")*(MOVIMIENTOS!$D$5:$D$1005="jabas")*(MOVIMIENTOS!$A$5:$A$1005&lt;&gt;"")*(MOVIMIENTOS!$A$5:$A$1005&lt;=$A194)*MOVIMIENTOS!$E$5:$E$1005))</f>
        <v/>
      </c>
      <c r="D194" s="63" t="str">
        <f>IF($A194="","",SUMPRODUCT((MOVIMIENTOS!$B$5:$B$1005="SALDO INICIAL")*(MOVIMIENTOS!$C$5:$C$1005="C")*(MOVIMIENTOS!$D$5:$D$1005="jabas")*(MOVIMIENTOS!$A$5:$A$1005&lt;&gt;"")*(MOVIMIENTOS!$A$5:$A$1005&lt;=$A194)*MOVIMIENTOS!$E$5:$E$1005)+SUMPRODUCT((MOVIMIENTOS!$B$5:$B$1005="PROCESO")*(MOVIMIENTOS!$C$5:$C$1005="C")*(MOVIMIENTOS!$D$5:$D$1005="jabas")*(MOVIMIENTOS!$A$5:$A$1005&lt;&gt;"")*(MOVIMIENTOS!$A$5:$A$1005&lt;=$A194)*MOVIMIENTOS!$E$5:$E$1005)-SUMPRODUCT((MOVIMIENTOS!$B$5:$B$1005="ENVÍO A SUPESA")*(MOVIMIENTOS!$C$5:$C$1005="C")*(MOVIMIENTOS!$D$5:$D$1005="jabas")*(MOVIMIENTOS!$A$5:$A$1005&lt;&gt;"")*(MOVIMIENTOS!$A$5:$A$1005&lt;=$A194)*MOVIMIENTOS!$E$5:$E$1005)+SUMPRODUCT((MOVIMIENTOS!$B$5:$B$1005="DEVOLUCIÓN")*(MOVIMIENTOS!$C$5:$C$1005="C")*(MOVIMIENTOS!$D$5:$D$1005="jabas")*(MOVIMIENTOS!$A$5:$A$1005&lt;&gt;"")*(MOVIMIENTOS!$A$5:$A$1005&lt;=$A194)*MOVIMIENTOS!$E$5:$E$1005)-SUMPRODUCT((MOVIMIENTOS!$B$5:$B$1005="TRASIEGO")*(MOVIMIENTOS!$C$5:$C$1005="C")*(MOVIMIENTOS!$D$5:$D$1005="jabas")*(MOVIMIENTOS!$A$5:$A$1005&lt;&gt;"")*(MOVIMIENTOS!$A$5:$A$1005&lt;=$A194)*MOVIMIENTOS!$E$5:$E$1005)-SUMPRODUCT((MOVIMIENTOS!$B$5:$B$1005="REGALO")*(MOVIMIENTOS!$C$5:$C$1005="C")*(MOVIMIENTOS!$D$5:$D$1005="jabas")*(MOVIMIENTOS!$A$5:$A$1005&lt;&gt;"")*(MOVIMIENTOS!$A$5:$A$1005&lt;=$A194)*MOVIMIENTOS!$E$5:$E$1005)-SUMPRODUCT((MOVIMIENTOS!$B$5:$B$1005="VENTA")*(MOVIMIENTOS!$C$5:$C$1005="C")*(MOVIMIENTOS!$D$5:$D$1005="jabas")*(MOVIMIENTOS!$A$5:$A$1005&lt;&gt;"")*(MOVIMIENTOS!$A$5:$A$1005&lt;=$A194)*MOVIMIENTOS!$E$5:$E$1005)+SUMPRODUCT((MOVIMIENTOS!$B$5:$B$1005="AJUSTE")*(MOVIMIENTOS!$C$5:$C$1005="C")*(MOVIMIENTOS!$D$5:$D$1005="jabas")*(MOVIMIENTOS!$A$5:$A$1005&lt;&gt;"")*(MOVIMIENTOS!$A$5:$A$1005&lt;=$A194)*MOVIMIENTOS!$E$5:$E$1005))</f>
        <v/>
      </c>
      <c r="E194" s="63" t="str">
        <f>IF($A194="","",SUMPRODUCT((MOVIMIENTOS!$B$5:$B$1005="SALDO INICIAL")*(MOVIMIENTOS!$C$5:$C$1005="M")*(MOVIMIENTOS!$D$5:$D$1005="jabas")*(MOVIMIENTOS!$A$5:$A$1005&lt;&gt;"")*(MOVIMIENTOS!$A$5:$A$1005&lt;=$A194)*MOVIMIENTOS!$E$5:$E$1005)+SUMPRODUCT((MOVIMIENTOS!$B$5:$B$1005="PROCESO")*(MOVIMIENTOS!$C$5:$C$1005="M")*(MOVIMIENTOS!$D$5:$D$1005="jabas")*(MOVIMIENTOS!$A$5:$A$1005&lt;&gt;"")*(MOVIMIENTOS!$A$5:$A$1005&lt;=$A194)*MOVIMIENTOS!$E$5:$E$1005)-SUMPRODUCT((MOVIMIENTOS!$B$5:$B$1005="ENVÍO A SUPESA")*(MOVIMIENTOS!$C$5:$C$1005="M")*(MOVIMIENTOS!$D$5:$D$1005="jabas")*(MOVIMIENTOS!$A$5:$A$1005&lt;&gt;"")*(MOVIMIENTOS!$A$5:$A$1005&lt;=$A194)*MOVIMIENTOS!$E$5:$E$1005)+SUMPRODUCT((MOVIMIENTOS!$B$5:$B$1005="DEVOLUCIÓN")*(MOVIMIENTOS!$C$5:$C$1005="M")*(MOVIMIENTOS!$D$5:$D$1005="jabas")*(MOVIMIENTOS!$A$5:$A$1005&lt;&gt;"")*(MOVIMIENTOS!$A$5:$A$1005&lt;=$A194)*MOVIMIENTOS!$E$5:$E$1005)-SUMPRODUCT((MOVIMIENTOS!$B$5:$B$1005="TRASIEGO")*(MOVIMIENTOS!$C$5:$C$1005="M")*(MOVIMIENTOS!$D$5:$D$1005="jabas")*(MOVIMIENTOS!$A$5:$A$1005&lt;&gt;"")*(MOVIMIENTOS!$A$5:$A$1005&lt;=$A194)*MOVIMIENTOS!$E$5:$E$1005)-SUMPRODUCT((MOVIMIENTOS!$B$5:$B$1005="REGALO")*(MOVIMIENTOS!$C$5:$C$1005="M")*(MOVIMIENTOS!$D$5:$D$1005="jabas")*(MOVIMIENTOS!$A$5:$A$1005&lt;&gt;"")*(MOVIMIENTOS!$A$5:$A$1005&lt;=$A194)*MOVIMIENTOS!$E$5:$E$1005)-SUMPRODUCT((MOVIMIENTOS!$B$5:$B$1005="VENTA")*(MOVIMIENTOS!$C$5:$C$1005="M")*(MOVIMIENTOS!$D$5:$D$1005="jabas")*(MOVIMIENTOS!$A$5:$A$1005&lt;&gt;"")*(MOVIMIENTOS!$A$5:$A$1005&lt;=$A194)*MOVIMIENTOS!$E$5:$E$1005)+SUMPRODUCT((MOVIMIENTOS!$B$5:$B$1005="AJUSTE")*(MOVIMIENTOS!$C$5:$C$1005="M")*(MOVIMIENTOS!$D$5:$D$1005="jabas")*(MOVIMIENTOS!$A$5:$A$1005&lt;&gt;"")*(MOVIMIENTOS!$A$5:$A$1005&lt;=$A194)*MOVIMIENTOS!$E$5:$E$1005))</f>
        <v/>
      </c>
      <c r="F194" s="63" t="str">
        <f>IF($A194="","",SUMPRODUCT((MOVIMIENTOS!$B$5:$B$1005="SALDO INICIAL")*(MOVIMIENTOS!$C$5:$C$1005="Chancho")*(MOVIMIENTOS!$D$5:$D$1005="sacos")*(MOVIMIENTOS!$A$5:$A$1005&lt;&gt;"")*(MOVIMIENTOS!$A$5:$A$1005&lt;=$A194)*MOVIMIENTOS!$E$5:$E$1005)+SUMPRODUCT((MOVIMIENTOS!$B$5:$B$1005="PROCESO")*(MOVIMIENTOS!$C$5:$C$1005="Chancho")*(MOVIMIENTOS!$D$5:$D$1005="sacos")*(MOVIMIENTOS!$A$5:$A$1005&lt;&gt;"")*(MOVIMIENTOS!$A$5:$A$1005&lt;=$A194)*MOVIMIENTOS!$E$5:$E$1005)-SUMPRODUCT((MOVIMIENTOS!$B$5:$B$1005="VENTA CHANCHO")*(MOVIMIENTOS!$C$5:$C$1005="Chancho")*(MOVIMIENTOS!$D$5:$D$1005="sacos")*(MOVIMIENTOS!$A$5:$A$1005&lt;&gt;"")*(MOVIMIENTOS!$A$5:$A$1005&lt;=$A194)*MOVIMIENTOS!$E$5:$E$1005)-SUMPRODUCT((MOVIMIENTOS!$B$5:$B$1005="REGALO")*(MOVIMIENTOS!$C$5:$C$1005="Chancho")*(MOVIMIENTOS!$D$5:$D$1005="sacos")*(MOVIMIENTOS!$A$5:$A$1005&lt;&gt;"")*(MOVIMIENTOS!$A$5:$A$1005&lt;=$A194)*MOVIMIENTOS!$E$5:$E$1005)-SUMPRODUCT((MOVIMIENTOS!$B$5:$B$1005="VENTA")*(MOVIMIENTOS!$C$5:$C$1005="Chancho")*(MOVIMIENTOS!$D$5:$D$1005="sacos")*(MOVIMIENTOS!$A$5:$A$1005&lt;&gt;"")*(MOVIMIENTOS!$A$5:$A$1005&lt;=$A194)*MOVIMIENTOS!$E$5:$E$1005)+SUMPRODUCT((MOVIMIENTOS!$B$5:$B$1005="AJUSTE")*(MOVIMIENTOS!$C$5:$C$1005="Chancho")*(MOVIMIENTOS!$D$5:$D$1005="sacos")*(MOVIMIENTOS!$A$5:$A$1005&lt;&gt;"")*(MOVIMIENTOS!$A$5:$A$1005&lt;=$A194)*MOVIMIENTOS!$E$5:$E$1005))</f>
        <v/>
      </c>
      <c r="G194" s="95" t="str">
        <f t="shared" si="5"/>
        <v/>
      </c>
      <c r="H194" s="63" t="str">
        <f>IF($A194="","",SUMPRODUCT((((MOVIMIENTOS!$B$5:$B$1005="SALDO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194)*MOVIMIENTOS!$J$5:$J$1005))</f>
        <v/>
      </c>
      <c r="I194" s="63"/>
      <c r="J194" s="63" t="str">
        <f>IF(AND(MOVIMIENTOS!$A194&lt;&gt;"",COUNTIF(MOVIMIENTOS!$A$5:$A193,MOVIMIENTOS!$A194)=0),COUNT(J$4:J193)+1,"")</f>
        <v/>
      </c>
      <c r="K194" s="66">
        <f>MOVIMIENTOS!$A194</f>
        <v>46230</v>
      </c>
      <c r="L194" s="63"/>
      <c r="M194" s="63"/>
      <c r="N194" s="63"/>
    </row>
    <row r="195" spans="1:14" ht="15" customHeight="1" x14ac:dyDescent="0.2">
      <c r="A195" s="63" t="str">
        <f t="shared" si="4"/>
        <v/>
      </c>
      <c r="B195" s="63" t="str">
        <f>IF($A195="","",SUMPRODUCT((MOVIMIENTOS!$B$5:$B$1005="SALDO INICIAL")*(MOVIMIENTOS!$C$5:$C$1005="A")*(MOVIMIENTOS!$D$5:$D$1005="jabas")*(MOVIMIENTOS!$A$5:$A$1005&lt;&gt;"")*(MOVIMIENTOS!$A$5:$A$1005&lt;=$A195)*MOVIMIENTOS!$E$5:$E$1005)+SUMPRODUCT((MOVIMIENTOS!$B$5:$B$1005="PROCESO")*(MOVIMIENTOS!$C$5:$C$1005="A")*(MOVIMIENTOS!$D$5:$D$1005="jabas")*(MOVIMIENTOS!$A$5:$A$1005&lt;&gt;"")*(MOVIMIENTOS!$A$5:$A$1005&lt;=$A195)*MOVIMIENTOS!$E$5:$E$1005)-SUMPRODUCT((MOVIMIENTOS!$B$5:$B$1005="ENVÍO A SUPESA")*(MOVIMIENTOS!$C$5:$C$1005="A")*(MOVIMIENTOS!$D$5:$D$1005="jabas")*(MOVIMIENTOS!$A$5:$A$1005&lt;&gt;"")*(MOVIMIENTOS!$A$5:$A$1005&lt;=$A195)*MOVIMIENTOS!$E$5:$E$1005)+SUMPRODUCT((MOVIMIENTOS!$B$5:$B$1005="DEVOLUCIÓN")*(MOVIMIENTOS!$C$5:$C$1005="A")*(MOVIMIENTOS!$D$5:$D$1005="jabas")*(MOVIMIENTOS!$A$5:$A$1005&lt;&gt;"")*(MOVIMIENTOS!$A$5:$A$1005&lt;=$A195)*MOVIMIENTOS!$E$5:$E$1005)-SUMPRODUCT((MOVIMIENTOS!$B$5:$B$1005="TRASIEGO")*(MOVIMIENTOS!$C$5:$C$1005="A")*(MOVIMIENTOS!$D$5:$D$1005="jabas")*(MOVIMIENTOS!$A$5:$A$1005&lt;&gt;"")*(MOVIMIENTOS!$A$5:$A$1005&lt;=$A195)*MOVIMIENTOS!$E$5:$E$1005)-SUMPRODUCT((MOVIMIENTOS!$B$5:$B$1005="REGALO")*(MOVIMIENTOS!$C$5:$C$1005="A")*(MOVIMIENTOS!$D$5:$D$1005="jabas")*(MOVIMIENTOS!$A$5:$A$1005&lt;&gt;"")*(MOVIMIENTOS!$A$5:$A$1005&lt;=$A195)*MOVIMIENTOS!$E$5:$E$1005)-SUMPRODUCT((MOVIMIENTOS!$B$5:$B$1005="VENTA")*(MOVIMIENTOS!$C$5:$C$1005="A")*(MOVIMIENTOS!$D$5:$D$1005="jabas")*(MOVIMIENTOS!$A$5:$A$1005&lt;&gt;"")*(MOVIMIENTOS!$A$5:$A$1005&lt;=$A195)*MOVIMIENTOS!$E$5:$E$1005)+SUMPRODUCT((MOVIMIENTOS!$B$5:$B$1005="AJUSTE")*(MOVIMIENTOS!$C$5:$C$1005="A")*(MOVIMIENTOS!$D$5:$D$1005="jabas")*(MOVIMIENTOS!$A$5:$A$1005&lt;&gt;"")*(MOVIMIENTOS!$A$5:$A$1005&lt;=$A195)*MOVIMIENTOS!$E$5:$E$1005))</f>
        <v/>
      </c>
      <c r="C195" s="63" t="str">
        <f>IF($A195="","",SUMPRODUCT((MOVIMIENTOS!$B$5:$B$1005="SALDO INICIAL")*(MOVIMIENTOS!$C$5:$C$1005="P")*(MOVIMIENTOS!$D$5:$D$1005="jabas")*(MOVIMIENTOS!$A$5:$A$1005&lt;&gt;"")*(MOVIMIENTOS!$A$5:$A$1005&lt;=$A195)*MOVIMIENTOS!$E$5:$E$1005)+SUMPRODUCT((MOVIMIENTOS!$B$5:$B$1005="PROCESO")*(MOVIMIENTOS!$C$5:$C$1005="P")*(MOVIMIENTOS!$D$5:$D$1005="jabas")*(MOVIMIENTOS!$A$5:$A$1005&lt;&gt;"")*(MOVIMIENTOS!$A$5:$A$1005&lt;=$A195)*MOVIMIENTOS!$E$5:$E$1005)-SUMPRODUCT((MOVIMIENTOS!$B$5:$B$1005="ENVÍO A SUPESA")*(MOVIMIENTOS!$C$5:$C$1005="P")*(MOVIMIENTOS!$D$5:$D$1005="jabas")*(MOVIMIENTOS!$A$5:$A$1005&lt;&gt;"")*(MOVIMIENTOS!$A$5:$A$1005&lt;=$A195)*MOVIMIENTOS!$E$5:$E$1005)+SUMPRODUCT((MOVIMIENTOS!$B$5:$B$1005="DEVOLUCIÓN")*(MOVIMIENTOS!$C$5:$C$1005="P")*(MOVIMIENTOS!$D$5:$D$1005="jabas")*(MOVIMIENTOS!$A$5:$A$1005&lt;&gt;"")*(MOVIMIENTOS!$A$5:$A$1005&lt;=$A195)*MOVIMIENTOS!$E$5:$E$1005)-SUMPRODUCT((MOVIMIENTOS!$B$5:$B$1005="TRASIEGO")*(MOVIMIENTOS!$C$5:$C$1005="P")*(MOVIMIENTOS!$D$5:$D$1005="jabas")*(MOVIMIENTOS!$A$5:$A$1005&lt;&gt;"")*(MOVIMIENTOS!$A$5:$A$1005&lt;=$A195)*MOVIMIENTOS!$E$5:$E$1005)-SUMPRODUCT((MOVIMIENTOS!$B$5:$B$1005="REGALO")*(MOVIMIENTOS!$C$5:$C$1005="P")*(MOVIMIENTOS!$D$5:$D$1005="jabas")*(MOVIMIENTOS!$A$5:$A$1005&lt;&gt;"")*(MOVIMIENTOS!$A$5:$A$1005&lt;=$A195)*MOVIMIENTOS!$E$5:$E$1005)-SUMPRODUCT((MOVIMIENTOS!$B$5:$B$1005="VENTA")*(MOVIMIENTOS!$C$5:$C$1005="P")*(MOVIMIENTOS!$D$5:$D$1005="jabas")*(MOVIMIENTOS!$A$5:$A$1005&lt;&gt;"")*(MOVIMIENTOS!$A$5:$A$1005&lt;=$A195)*MOVIMIENTOS!$E$5:$E$1005)+SUMPRODUCT((MOVIMIENTOS!$B$5:$B$1005="AJUSTE")*(MOVIMIENTOS!$C$5:$C$1005="P")*(MOVIMIENTOS!$D$5:$D$1005="jabas")*(MOVIMIENTOS!$A$5:$A$1005&lt;&gt;"")*(MOVIMIENTOS!$A$5:$A$1005&lt;=$A195)*MOVIMIENTOS!$E$5:$E$1005))</f>
        <v/>
      </c>
      <c r="D195" s="63" t="str">
        <f>IF($A195="","",SUMPRODUCT((MOVIMIENTOS!$B$5:$B$1005="SALDO INICIAL")*(MOVIMIENTOS!$C$5:$C$1005="C")*(MOVIMIENTOS!$D$5:$D$1005="jabas")*(MOVIMIENTOS!$A$5:$A$1005&lt;&gt;"")*(MOVIMIENTOS!$A$5:$A$1005&lt;=$A195)*MOVIMIENTOS!$E$5:$E$1005)+SUMPRODUCT((MOVIMIENTOS!$B$5:$B$1005="PROCESO")*(MOVIMIENTOS!$C$5:$C$1005="C")*(MOVIMIENTOS!$D$5:$D$1005="jabas")*(MOVIMIENTOS!$A$5:$A$1005&lt;&gt;"")*(MOVIMIENTOS!$A$5:$A$1005&lt;=$A195)*MOVIMIENTOS!$E$5:$E$1005)-SUMPRODUCT((MOVIMIENTOS!$B$5:$B$1005="ENVÍO A SUPESA")*(MOVIMIENTOS!$C$5:$C$1005="C")*(MOVIMIENTOS!$D$5:$D$1005="jabas")*(MOVIMIENTOS!$A$5:$A$1005&lt;&gt;"")*(MOVIMIENTOS!$A$5:$A$1005&lt;=$A195)*MOVIMIENTOS!$E$5:$E$1005)+SUMPRODUCT((MOVIMIENTOS!$B$5:$B$1005="DEVOLUCIÓN")*(MOVIMIENTOS!$C$5:$C$1005="C")*(MOVIMIENTOS!$D$5:$D$1005="jabas")*(MOVIMIENTOS!$A$5:$A$1005&lt;&gt;"")*(MOVIMIENTOS!$A$5:$A$1005&lt;=$A195)*MOVIMIENTOS!$E$5:$E$1005)-SUMPRODUCT((MOVIMIENTOS!$B$5:$B$1005="TRASIEGO")*(MOVIMIENTOS!$C$5:$C$1005="C")*(MOVIMIENTOS!$D$5:$D$1005="jabas")*(MOVIMIENTOS!$A$5:$A$1005&lt;&gt;"")*(MOVIMIENTOS!$A$5:$A$1005&lt;=$A195)*MOVIMIENTOS!$E$5:$E$1005)-SUMPRODUCT((MOVIMIENTOS!$B$5:$B$1005="REGALO")*(MOVIMIENTOS!$C$5:$C$1005="C")*(MOVIMIENTOS!$D$5:$D$1005="jabas")*(MOVIMIENTOS!$A$5:$A$1005&lt;&gt;"")*(MOVIMIENTOS!$A$5:$A$1005&lt;=$A195)*MOVIMIENTOS!$E$5:$E$1005)-SUMPRODUCT((MOVIMIENTOS!$B$5:$B$1005="VENTA")*(MOVIMIENTOS!$C$5:$C$1005="C")*(MOVIMIENTOS!$D$5:$D$1005="jabas")*(MOVIMIENTOS!$A$5:$A$1005&lt;&gt;"")*(MOVIMIENTOS!$A$5:$A$1005&lt;=$A195)*MOVIMIENTOS!$E$5:$E$1005)+SUMPRODUCT((MOVIMIENTOS!$B$5:$B$1005="AJUSTE")*(MOVIMIENTOS!$C$5:$C$1005="C")*(MOVIMIENTOS!$D$5:$D$1005="jabas")*(MOVIMIENTOS!$A$5:$A$1005&lt;&gt;"")*(MOVIMIENTOS!$A$5:$A$1005&lt;=$A195)*MOVIMIENTOS!$E$5:$E$1005))</f>
        <v/>
      </c>
      <c r="E195" s="63" t="str">
        <f>IF($A195="","",SUMPRODUCT((MOVIMIENTOS!$B$5:$B$1005="SALDO INICIAL")*(MOVIMIENTOS!$C$5:$C$1005="M")*(MOVIMIENTOS!$D$5:$D$1005="jabas")*(MOVIMIENTOS!$A$5:$A$1005&lt;&gt;"")*(MOVIMIENTOS!$A$5:$A$1005&lt;=$A195)*MOVIMIENTOS!$E$5:$E$1005)+SUMPRODUCT((MOVIMIENTOS!$B$5:$B$1005="PROCESO")*(MOVIMIENTOS!$C$5:$C$1005="M")*(MOVIMIENTOS!$D$5:$D$1005="jabas")*(MOVIMIENTOS!$A$5:$A$1005&lt;&gt;"")*(MOVIMIENTOS!$A$5:$A$1005&lt;=$A195)*MOVIMIENTOS!$E$5:$E$1005)-SUMPRODUCT((MOVIMIENTOS!$B$5:$B$1005="ENVÍO A SUPESA")*(MOVIMIENTOS!$C$5:$C$1005="M")*(MOVIMIENTOS!$D$5:$D$1005="jabas")*(MOVIMIENTOS!$A$5:$A$1005&lt;&gt;"")*(MOVIMIENTOS!$A$5:$A$1005&lt;=$A195)*MOVIMIENTOS!$E$5:$E$1005)+SUMPRODUCT((MOVIMIENTOS!$B$5:$B$1005="DEVOLUCIÓN")*(MOVIMIENTOS!$C$5:$C$1005="M")*(MOVIMIENTOS!$D$5:$D$1005="jabas")*(MOVIMIENTOS!$A$5:$A$1005&lt;&gt;"")*(MOVIMIENTOS!$A$5:$A$1005&lt;=$A195)*MOVIMIENTOS!$E$5:$E$1005)-SUMPRODUCT((MOVIMIENTOS!$B$5:$B$1005="TRASIEGO")*(MOVIMIENTOS!$C$5:$C$1005="M")*(MOVIMIENTOS!$D$5:$D$1005="jabas")*(MOVIMIENTOS!$A$5:$A$1005&lt;&gt;"")*(MOVIMIENTOS!$A$5:$A$1005&lt;=$A195)*MOVIMIENTOS!$E$5:$E$1005)-SUMPRODUCT((MOVIMIENTOS!$B$5:$B$1005="REGALO")*(MOVIMIENTOS!$C$5:$C$1005="M")*(MOVIMIENTOS!$D$5:$D$1005="jabas")*(MOVIMIENTOS!$A$5:$A$1005&lt;&gt;"")*(MOVIMIENTOS!$A$5:$A$1005&lt;=$A195)*MOVIMIENTOS!$E$5:$E$1005)-SUMPRODUCT((MOVIMIENTOS!$B$5:$B$1005="VENTA")*(MOVIMIENTOS!$C$5:$C$1005="M")*(MOVIMIENTOS!$D$5:$D$1005="jabas")*(MOVIMIENTOS!$A$5:$A$1005&lt;&gt;"")*(MOVIMIENTOS!$A$5:$A$1005&lt;=$A195)*MOVIMIENTOS!$E$5:$E$1005)+SUMPRODUCT((MOVIMIENTOS!$B$5:$B$1005="AJUSTE")*(MOVIMIENTOS!$C$5:$C$1005="M")*(MOVIMIENTOS!$D$5:$D$1005="jabas")*(MOVIMIENTOS!$A$5:$A$1005&lt;&gt;"")*(MOVIMIENTOS!$A$5:$A$1005&lt;=$A195)*MOVIMIENTOS!$E$5:$E$1005))</f>
        <v/>
      </c>
      <c r="F195" s="63" t="str">
        <f>IF($A195="","",SUMPRODUCT((MOVIMIENTOS!$B$5:$B$1005="SALDO INICIAL")*(MOVIMIENTOS!$C$5:$C$1005="Chancho")*(MOVIMIENTOS!$D$5:$D$1005="sacos")*(MOVIMIENTOS!$A$5:$A$1005&lt;&gt;"")*(MOVIMIENTOS!$A$5:$A$1005&lt;=$A195)*MOVIMIENTOS!$E$5:$E$1005)+SUMPRODUCT((MOVIMIENTOS!$B$5:$B$1005="PROCESO")*(MOVIMIENTOS!$C$5:$C$1005="Chancho")*(MOVIMIENTOS!$D$5:$D$1005="sacos")*(MOVIMIENTOS!$A$5:$A$1005&lt;&gt;"")*(MOVIMIENTOS!$A$5:$A$1005&lt;=$A195)*MOVIMIENTOS!$E$5:$E$1005)-SUMPRODUCT((MOVIMIENTOS!$B$5:$B$1005="VENTA CHANCHO")*(MOVIMIENTOS!$C$5:$C$1005="Chancho")*(MOVIMIENTOS!$D$5:$D$1005="sacos")*(MOVIMIENTOS!$A$5:$A$1005&lt;&gt;"")*(MOVIMIENTOS!$A$5:$A$1005&lt;=$A195)*MOVIMIENTOS!$E$5:$E$1005)-SUMPRODUCT((MOVIMIENTOS!$B$5:$B$1005="REGALO")*(MOVIMIENTOS!$C$5:$C$1005="Chancho")*(MOVIMIENTOS!$D$5:$D$1005="sacos")*(MOVIMIENTOS!$A$5:$A$1005&lt;&gt;"")*(MOVIMIENTOS!$A$5:$A$1005&lt;=$A195)*MOVIMIENTOS!$E$5:$E$1005)-SUMPRODUCT((MOVIMIENTOS!$B$5:$B$1005="VENTA")*(MOVIMIENTOS!$C$5:$C$1005="Chancho")*(MOVIMIENTOS!$D$5:$D$1005="sacos")*(MOVIMIENTOS!$A$5:$A$1005&lt;&gt;"")*(MOVIMIENTOS!$A$5:$A$1005&lt;=$A195)*MOVIMIENTOS!$E$5:$E$1005)+SUMPRODUCT((MOVIMIENTOS!$B$5:$B$1005="AJUSTE")*(MOVIMIENTOS!$C$5:$C$1005="Chancho")*(MOVIMIENTOS!$D$5:$D$1005="sacos")*(MOVIMIENTOS!$A$5:$A$1005&lt;&gt;"")*(MOVIMIENTOS!$A$5:$A$1005&lt;=$A195)*MOVIMIENTOS!$E$5:$E$1005))</f>
        <v/>
      </c>
      <c r="G195" s="95" t="str">
        <f t="shared" si="5"/>
        <v/>
      </c>
      <c r="H195" s="63" t="str">
        <f>IF($A195="","",SUMPRODUCT((((MOVIMIENTOS!$B$5:$B$1005="SALDO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195)*MOVIMIENTOS!$J$5:$J$1005))</f>
        <v/>
      </c>
      <c r="I195" s="63"/>
      <c r="J195" s="63" t="str">
        <f>IF(AND(MOVIMIENTOS!$A195&lt;&gt;"",COUNTIF(MOVIMIENTOS!$A$5:$A194,MOVIMIENTOS!$A195)=0),COUNT(J$4:J194)+1,"")</f>
        <v/>
      </c>
      <c r="K195" s="66">
        <f>MOVIMIENTOS!$A195</f>
        <v>46230</v>
      </c>
      <c r="L195" s="63"/>
      <c r="M195" s="63"/>
      <c r="N195" s="63"/>
    </row>
    <row r="196" spans="1:14" ht="15" customHeight="1" x14ac:dyDescent="0.2">
      <c r="A196" s="63" t="str">
        <f t="shared" si="4"/>
        <v/>
      </c>
      <c r="B196" s="63" t="str">
        <f>IF($A196="","",SUMPRODUCT((MOVIMIENTOS!$B$5:$B$1005="SALDO INICIAL")*(MOVIMIENTOS!$C$5:$C$1005="A")*(MOVIMIENTOS!$D$5:$D$1005="jabas")*(MOVIMIENTOS!$A$5:$A$1005&lt;&gt;"")*(MOVIMIENTOS!$A$5:$A$1005&lt;=$A196)*MOVIMIENTOS!$E$5:$E$1005)+SUMPRODUCT((MOVIMIENTOS!$B$5:$B$1005="PROCESO")*(MOVIMIENTOS!$C$5:$C$1005="A")*(MOVIMIENTOS!$D$5:$D$1005="jabas")*(MOVIMIENTOS!$A$5:$A$1005&lt;&gt;"")*(MOVIMIENTOS!$A$5:$A$1005&lt;=$A196)*MOVIMIENTOS!$E$5:$E$1005)-SUMPRODUCT((MOVIMIENTOS!$B$5:$B$1005="ENVÍO A SUPESA")*(MOVIMIENTOS!$C$5:$C$1005="A")*(MOVIMIENTOS!$D$5:$D$1005="jabas")*(MOVIMIENTOS!$A$5:$A$1005&lt;&gt;"")*(MOVIMIENTOS!$A$5:$A$1005&lt;=$A196)*MOVIMIENTOS!$E$5:$E$1005)+SUMPRODUCT((MOVIMIENTOS!$B$5:$B$1005="DEVOLUCIÓN")*(MOVIMIENTOS!$C$5:$C$1005="A")*(MOVIMIENTOS!$D$5:$D$1005="jabas")*(MOVIMIENTOS!$A$5:$A$1005&lt;&gt;"")*(MOVIMIENTOS!$A$5:$A$1005&lt;=$A196)*MOVIMIENTOS!$E$5:$E$1005)-SUMPRODUCT((MOVIMIENTOS!$B$5:$B$1005="TRASIEGO")*(MOVIMIENTOS!$C$5:$C$1005="A")*(MOVIMIENTOS!$D$5:$D$1005="jabas")*(MOVIMIENTOS!$A$5:$A$1005&lt;&gt;"")*(MOVIMIENTOS!$A$5:$A$1005&lt;=$A196)*MOVIMIENTOS!$E$5:$E$1005)-SUMPRODUCT((MOVIMIENTOS!$B$5:$B$1005="REGALO")*(MOVIMIENTOS!$C$5:$C$1005="A")*(MOVIMIENTOS!$D$5:$D$1005="jabas")*(MOVIMIENTOS!$A$5:$A$1005&lt;&gt;"")*(MOVIMIENTOS!$A$5:$A$1005&lt;=$A196)*MOVIMIENTOS!$E$5:$E$1005)-SUMPRODUCT((MOVIMIENTOS!$B$5:$B$1005="VENTA")*(MOVIMIENTOS!$C$5:$C$1005="A")*(MOVIMIENTOS!$D$5:$D$1005="jabas")*(MOVIMIENTOS!$A$5:$A$1005&lt;&gt;"")*(MOVIMIENTOS!$A$5:$A$1005&lt;=$A196)*MOVIMIENTOS!$E$5:$E$1005)+SUMPRODUCT((MOVIMIENTOS!$B$5:$B$1005="AJUSTE")*(MOVIMIENTOS!$C$5:$C$1005="A")*(MOVIMIENTOS!$D$5:$D$1005="jabas")*(MOVIMIENTOS!$A$5:$A$1005&lt;&gt;"")*(MOVIMIENTOS!$A$5:$A$1005&lt;=$A196)*MOVIMIENTOS!$E$5:$E$1005))</f>
        <v/>
      </c>
      <c r="C196" s="63" t="str">
        <f>IF($A196="","",SUMPRODUCT((MOVIMIENTOS!$B$5:$B$1005="SALDO INICIAL")*(MOVIMIENTOS!$C$5:$C$1005="P")*(MOVIMIENTOS!$D$5:$D$1005="jabas")*(MOVIMIENTOS!$A$5:$A$1005&lt;&gt;"")*(MOVIMIENTOS!$A$5:$A$1005&lt;=$A196)*MOVIMIENTOS!$E$5:$E$1005)+SUMPRODUCT((MOVIMIENTOS!$B$5:$B$1005="PROCESO")*(MOVIMIENTOS!$C$5:$C$1005="P")*(MOVIMIENTOS!$D$5:$D$1005="jabas")*(MOVIMIENTOS!$A$5:$A$1005&lt;&gt;"")*(MOVIMIENTOS!$A$5:$A$1005&lt;=$A196)*MOVIMIENTOS!$E$5:$E$1005)-SUMPRODUCT((MOVIMIENTOS!$B$5:$B$1005="ENVÍO A SUPESA")*(MOVIMIENTOS!$C$5:$C$1005="P")*(MOVIMIENTOS!$D$5:$D$1005="jabas")*(MOVIMIENTOS!$A$5:$A$1005&lt;&gt;"")*(MOVIMIENTOS!$A$5:$A$1005&lt;=$A196)*MOVIMIENTOS!$E$5:$E$1005)+SUMPRODUCT((MOVIMIENTOS!$B$5:$B$1005="DEVOLUCIÓN")*(MOVIMIENTOS!$C$5:$C$1005="P")*(MOVIMIENTOS!$D$5:$D$1005="jabas")*(MOVIMIENTOS!$A$5:$A$1005&lt;&gt;"")*(MOVIMIENTOS!$A$5:$A$1005&lt;=$A196)*MOVIMIENTOS!$E$5:$E$1005)-SUMPRODUCT((MOVIMIENTOS!$B$5:$B$1005="TRASIEGO")*(MOVIMIENTOS!$C$5:$C$1005="P")*(MOVIMIENTOS!$D$5:$D$1005="jabas")*(MOVIMIENTOS!$A$5:$A$1005&lt;&gt;"")*(MOVIMIENTOS!$A$5:$A$1005&lt;=$A196)*MOVIMIENTOS!$E$5:$E$1005)-SUMPRODUCT((MOVIMIENTOS!$B$5:$B$1005="REGALO")*(MOVIMIENTOS!$C$5:$C$1005="P")*(MOVIMIENTOS!$D$5:$D$1005="jabas")*(MOVIMIENTOS!$A$5:$A$1005&lt;&gt;"")*(MOVIMIENTOS!$A$5:$A$1005&lt;=$A196)*MOVIMIENTOS!$E$5:$E$1005)-SUMPRODUCT((MOVIMIENTOS!$B$5:$B$1005="VENTA")*(MOVIMIENTOS!$C$5:$C$1005="P")*(MOVIMIENTOS!$D$5:$D$1005="jabas")*(MOVIMIENTOS!$A$5:$A$1005&lt;&gt;"")*(MOVIMIENTOS!$A$5:$A$1005&lt;=$A196)*MOVIMIENTOS!$E$5:$E$1005)+SUMPRODUCT((MOVIMIENTOS!$B$5:$B$1005="AJUSTE")*(MOVIMIENTOS!$C$5:$C$1005="P")*(MOVIMIENTOS!$D$5:$D$1005="jabas")*(MOVIMIENTOS!$A$5:$A$1005&lt;&gt;"")*(MOVIMIENTOS!$A$5:$A$1005&lt;=$A196)*MOVIMIENTOS!$E$5:$E$1005))</f>
        <v/>
      </c>
      <c r="D196" s="63" t="str">
        <f>IF($A196="","",SUMPRODUCT((MOVIMIENTOS!$B$5:$B$1005="SALDO INICIAL")*(MOVIMIENTOS!$C$5:$C$1005="C")*(MOVIMIENTOS!$D$5:$D$1005="jabas")*(MOVIMIENTOS!$A$5:$A$1005&lt;&gt;"")*(MOVIMIENTOS!$A$5:$A$1005&lt;=$A196)*MOVIMIENTOS!$E$5:$E$1005)+SUMPRODUCT((MOVIMIENTOS!$B$5:$B$1005="PROCESO")*(MOVIMIENTOS!$C$5:$C$1005="C")*(MOVIMIENTOS!$D$5:$D$1005="jabas")*(MOVIMIENTOS!$A$5:$A$1005&lt;&gt;"")*(MOVIMIENTOS!$A$5:$A$1005&lt;=$A196)*MOVIMIENTOS!$E$5:$E$1005)-SUMPRODUCT((MOVIMIENTOS!$B$5:$B$1005="ENVÍO A SUPESA")*(MOVIMIENTOS!$C$5:$C$1005="C")*(MOVIMIENTOS!$D$5:$D$1005="jabas")*(MOVIMIENTOS!$A$5:$A$1005&lt;&gt;"")*(MOVIMIENTOS!$A$5:$A$1005&lt;=$A196)*MOVIMIENTOS!$E$5:$E$1005)+SUMPRODUCT((MOVIMIENTOS!$B$5:$B$1005="DEVOLUCIÓN")*(MOVIMIENTOS!$C$5:$C$1005="C")*(MOVIMIENTOS!$D$5:$D$1005="jabas")*(MOVIMIENTOS!$A$5:$A$1005&lt;&gt;"")*(MOVIMIENTOS!$A$5:$A$1005&lt;=$A196)*MOVIMIENTOS!$E$5:$E$1005)-SUMPRODUCT((MOVIMIENTOS!$B$5:$B$1005="TRASIEGO")*(MOVIMIENTOS!$C$5:$C$1005="C")*(MOVIMIENTOS!$D$5:$D$1005="jabas")*(MOVIMIENTOS!$A$5:$A$1005&lt;&gt;"")*(MOVIMIENTOS!$A$5:$A$1005&lt;=$A196)*MOVIMIENTOS!$E$5:$E$1005)-SUMPRODUCT((MOVIMIENTOS!$B$5:$B$1005="REGALO")*(MOVIMIENTOS!$C$5:$C$1005="C")*(MOVIMIENTOS!$D$5:$D$1005="jabas")*(MOVIMIENTOS!$A$5:$A$1005&lt;&gt;"")*(MOVIMIENTOS!$A$5:$A$1005&lt;=$A196)*MOVIMIENTOS!$E$5:$E$1005)-SUMPRODUCT((MOVIMIENTOS!$B$5:$B$1005="VENTA")*(MOVIMIENTOS!$C$5:$C$1005="C")*(MOVIMIENTOS!$D$5:$D$1005="jabas")*(MOVIMIENTOS!$A$5:$A$1005&lt;&gt;"")*(MOVIMIENTOS!$A$5:$A$1005&lt;=$A196)*MOVIMIENTOS!$E$5:$E$1005)+SUMPRODUCT((MOVIMIENTOS!$B$5:$B$1005="AJUSTE")*(MOVIMIENTOS!$C$5:$C$1005="C")*(MOVIMIENTOS!$D$5:$D$1005="jabas")*(MOVIMIENTOS!$A$5:$A$1005&lt;&gt;"")*(MOVIMIENTOS!$A$5:$A$1005&lt;=$A196)*MOVIMIENTOS!$E$5:$E$1005))</f>
        <v/>
      </c>
      <c r="E196" s="63" t="str">
        <f>IF($A196="","",SUMPRODUCT((MOVIMIENTOS!$B$5:$B$1005="SALDO INICIAL")*(MOVIMIENTOS!$C$5:$C$1005="M")*(MOVIMIENTOS!$D$5:$D$1005="jabas")*(MOVIMIENTOS!$A$5:$A$1005&lt;&gt;"")*(MOVIMIENTOS!$A$5:$A$1005&lt;=$A196)*MOVIMIENTOS!$E$5:$E$1005)+SUMPRODUCT((MOVIMIENTOS!$B$5:$B$1005="PROCESO")*(MOVIMIENTOS!$C$5:$C$1005="M")*(MOVIMIENTOS!$D$5:$D$1005="jabas")*(MOVIMIENTOS!$A$5:$A$1005&lt;&gt;"")*(MOVIMIENTOS!$A$5:$A$1005&lt;=$A196)*MOVIMIENTOS!$E$5:$E$1005)-SUMPRODUCT((MOVIMIENTOS!$B$5:$B$1005="ENVÍO A SUPESA")*(MOVIMIENTOS!$C$5:$C$1005="M")*(MOVIMIENTOS!$D$5:$D$1005="jabas")*(MOVIMIENTOS!$A$5:$A$1005&lt;&gt;"")*(MOVIMIENTOS!$A$5:$A$1005&lt;=$A196)*MOVIMIENTOS!$E$5:$E$1005)+SUMPRODUCT((MOVIMIENTOS!$B$5:$B$1005="DEVOLUCIÓN")*(MOVIMIENTOS!$C$5:$C$1005="M")*(MOVIMIENTOS!$D$5:$D$1005="jabas")*(MOVIMIENTOS!$A$5:$A$1005&lt;&gt;"")*(MOVIMIENTOS!$A$5:$A$1005&lt;=$A196)*MOVIMIENTOS!$E$5:$E$1005)-SUMPRODUCT((MOVIMIENTOS!$B$5:$B$1005="TRASIEGO")*(MOVIMIENTOS!$C$5:$C$1005="M")*(MOVIMIENTOS!$D$5:$D$1005="jabas")*(MOVIMIENTOS!$A$5:$A$1005&lt;&gt;"")*(MOVIMIENTOS!$A$5:$A$1005&lt;=$A196)*MOVIMIENTOS!$E$5:$E$1005)-SUMPRODUCT((MOVIMIENTOS!$B$5:$B$1005="REGALO")*(MOVIMIENTOS!$C$5:$C$1005="M")*(MOVIMIENTOS!$D$5:$D$1005="jabas")*(MOVIMIENTOS!$A$5:$A$1005&lt;&gt;"")*(MOVIMIENTOS!$A$5:$A$1005&lt;=$A196)*MOVIMIENTOS!$E$5:$E$1005)-SUMPRODUCT((MOVIMIENTOS!$B$5:$B$1005="VENTA")*(MOVIMIENTOS!$C$5:$C$1005="M")*(MOVIMIENTOS!$D$5:$D$1005="jabas")*(MOVIMIENTOS!$A$5:$A$1005&lt;&gt;"")*(MOVIMIENTOS!$A$5:$A$1005&lt;=$A196)*MOVIMIENTOS!$E$5:$E$1005)+SUMPRODUCT((MOVIMIENTOS!$B$5:$B$1005="AJUSTE")*(MOVIMIENTOS!$C$5:$C$1005="M")*(MOVIMIENTOS!$D$5:$D$1005="jabas")*(MOVIMIENTOS!$A$5:$A$1005&lt;&gt;"")*(MOVIMIENTOS!$A$5:$A$1005&lt;=$A196)*MOVIMIENTOS!$E$5:$E$1005))</f>
        <v/>
      </c>
      <c r="F196" s="63" t="str">
        <f>IF($A196="","",SUMPRODUCT((MOVIMIENTOS!$B$5:$B$1005="SALDO INICIAL")*(MOVIMIENTOS!$C$5:$C$1005="Chancho")*(MOVIMIENTOS!$D$5:$D$1005="sacos")*(MOVIMIENTOS!$A$5:$A$1005&lt;&gt;"")*(MOVIMIENTOS!$A$5:$A$1005&lt;=$A196)*MOVIMIENTOS!$E$5:$E$1005)+SUMPRODUCT((MOVIMIENTOS!$B$5:$B$1005="PROCESO")*(MOVIMIENTOS!$C$5:$C$1005="Chancho")*(MOVIMIENTOS!$D$5:$D$1005="sacos")*(MOVIMIENTOS!$A$5:$A$1005&lt;&gt;"")*(MOVIMIENTOS!$A$5:$A$1005&lt;=$A196)*MOVIMIENTOS!$E$5:$E$1005)-SUMPRODUCT((MOVIMIENTOS!$B$5:$B$1005="VENTA CHANCHO")*(MOVIMIENTOS!$C$5:$C$1005="Chancho")*(MOVIMIENTOS!$D$5:$D$1005="sacos")*(MOVIMIENTOS!$A$5:$A$1005&lt;&gt;"")*(MOVIMIENTOS!$A$5:$A$1005&lt;=$A196)*MOVIMIENTOS!$E$5:$E$1005)-SUMPRODUCT((MOVIMIENTOS!$B$5:$B$1005="REGALO")*(MOVIMIENTOS!$C$5:$C$1005="Chancho")*(MOVIMIENTOS!$D$5:$D$1005="sacos")*(MOVIMIENTOS!$A$5:$A$1005&lt;&gt;"")*(MOVIMIENTOS!$A$5:$A$1005&lt;=$A196)*MOVIMIENTOS!$E$5:$E$1005)-SUMPRODUCT((MOVIMIENTOS!$B$5:$B$1005="VENTA")*(MOVIMIENTOS!$C$5:$C$1005="Chancho")*(MOVIMIENTOS!$D$5:$D$1005="sacos")*(MOVIMIENTOS!$A$5:$A$1005&lt;&gt;"")*(MOVIMIENTOS!$A$5:$A$1005&lt;=$A196)*MOVIMIENTOS!$E$5:$E$1005)+SUMPRODUCT((MOVIMIENTOS!$B$5:$B$1005="AJUSTE")*(MOVIMIENTOS!$C$5:$C$1005="Chancho")*(MOVIMIENTOS!$D$5:$D$1005="sacos")*(MOVIMIENTOS!$A$5:$A$1005&lt;&gt;"")*(MOVIMIENTOS!$A$5:$A$1005&lt;=$A196)*MOVIMIENTOS!$E$5:$E$1005))</f>
        <v/>
      </c>
      <c r="G196" s="95" t="str">
        <f t="shared" si="5"/>
        <v/>
      </c>
      <c r="H196" s="63" t="str">
        <f>IF($A196="","",SUMPRODUCT((((MOVIMIENTOS!$B$5:$B$1005="SALDO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196)*MOVIMIENTOS!$J$5:$J$1005))</f>
        <v/>
      </c>
      <c r="I196" s="63"/>
      <c r="J196" s="63" t="str">
        <f>IF(AND(MOVIMIENTOS!$A196&lt;&gt;"",COUNTIF(MOVIMIENTOS!$A$5:$A195,MOVIMIENTOS!$A196)=0),COUNT(J$4:J195)+1,"")</f>
        <v/>
      </c>
      <c r="K196" s="66">
        <f>MOVIMIENTOS!$A196</f>
        <v>46230</v>
      </c>
      <c r="L196" s="63"/>
      <c r="M196" s="63"/>
      <c r="N196" s="63"/>
    </row>
    <row r="197" spans="1:14" ht="15" customHeight="1" x14ac:dyDescent="0.2">
      <c r="A197" s="63" t="str">
        <f t="shared" ref="A197:A260" si="6">IFERROR(INDEX(K$5:K$1000,MATCH(ROW()-4,J$5:J$1000,0)),"")</f>
        <v/>
      </c>
      <c r="B197" s="63" t="str">
        <f>IF($A197="","",SUMPRODUCT((MOVIMIENTOS!$B$5:$B$1005="SALDO INICIAL")*(MOVIMIENTOS!$C$5:$C$1005="A")*(MOVIMIENTOS!$D$5:$D$1005="jabas")*(MOVIMIENTOS!$A$5:$A$1005&lt;&gt;"")*(MOVIMIENTOS!$A$5:$A$1005&lt;=$A197)*MOVIMIENTOS!$E$5:$E$1005)+SUMPRODUCT((MOVIMIENTOS!$B$5:$B$1005="PROCESO")*(MOVIMIENTOS!$C$5:$C$1005="A")*(MOVIMIENTOS!$D$5:$D$1005="jabas")*(MOVIMIENTOS!$A$5:$A$1005&lt;&gt;"")*(MOVIMIENTOS!$A$5:$A$1005&lt;=$A197)*MOVIMIENTOS!$E$5:$E$1005)-SUMPRODUCT((MOVIMIENTOS!$B$5:$B$1005="ENVÍO A SUPESA")*(MOVIMIENTOS!$C$5:$C$1005="A")*(MOVIMIENTOS!$D$5:$D$1005="jabas")*(MOVIMIENTOS!$A$5:$A$1005&lt;&gt;"")*(MOVIMIENTOS!$A$5:$A$1005&lt;=$A197)*MOVIMIENTOS!$E$5:$E$1005)+SUMPRODUCT((MOVIMIENTOS!$B$5:$B$1005="DEVOLUCIÓN")*(MOVIMIENTOS!$C$5:$C$1005="A")*(MOVIMIENTOS!$D$5:$D$1005="jabas")*(MOVIMIENTOS!$A$5:$A$1005&lt;&gt;"")*(MOVIMIENTOS!$A$5:$A$1005&lt;=$A197)*MOVIMIENTOS!$E$5:$E$1005)-SUMPRODUCT((MOVIMIENTOS!$B$5:$B$1005="TRASIEGO")*(MOVIMIENTOS!$C$5:$C$1005="A")*(MOVIMIENTOS!$D$5:$D$1005="jabas")*(MOVIMIENTOS!$A$5:$A$1005&lt;&gt;"")*(MOVIMIENTOS!$A$5:$A$1005&lt;=$A197)*MOVIMIENTOS!$E$5:$E$1005)-SUMPRODUCT((MOVIMIENTOS!$B$5:$B$1005="REGALO")*(MOVIMIENTOS!$C$5:$C$1005="A")*(MOVIMIENTOS!$D$5:$D$1005="jabas")*(MOVIMIENTOS!$A$5:$A$1005&lt;&gt;"")*(MOVIMIENTOS!$A$5:$A$1005&lt;=$A197)*MOVIMIENTOS!$E$5:$E$1005)-SUMPRODUCT((MOVIMIENTOS!$B$5:$B$1005="VENTA")*(MOVIMIENTOS!$C$5:$C$1005="A")*(MOVIMIENTOS!$D$5:$D$1005="jabas")*(MOVIMIENTOS!$A$5:$A$1005&lt;&gt;"")*(MOVIMIENTOS!$A$5:$A$1005&lt;=$A197)*MOVIMIENTOS!$E$5:$E$1005)+SUMPRODUCT((MOVIMIENTOS!$B$5:$B$1005="AJUSTE")*(MOVIMIENTOS!$C$5:$C$1005="A")*(MOVIMIENTOS!$D$5:$D$1005="jabas")*(MOVIMIENTOS!$A$5:$A$1005&lt;&gt;"")*(MOVIMIENTOS!$A$5:$A$1005&lt;=$A197)*MOVIMIENTOS!$E$5:$E$1005))</f>
        <v/>
      </c>
      <c r="C197" s="63" t="str">
        <f>IF($A197="","",SUMPRODUCT((MOVIMIENTOS!$B$5:$B$1005="SALDO INICIAL")*(MOVIMIENTOS!$C$5:$C$1005="P")*(MOVIMIENTOS!$D$5:$D$1005="jabas")*(MOVIMIENTOS!$A$5:$A$1005&lt;&gt;"")*(MOVIMIENTOS!$A$5:$A$1005&lt;=$A197)*MOVIMIENTOS!$E$5:$E$1005)+SUMPRODUCT((MOVIMIENTOS!$B$5:$B$1005="PROCESO")*(MOVIMIENTOS!$C$5:$C$1005="P")*(MOVIMIENTOS!$D$5:$D$1005="jabas")*(MOVIMIENTOS!$A$5:$A$1005&lt;&gt;"")*(MOVIMIENTOS!$A$5:$A$1005&lt;=$A197)*MOVIMIENTOS!$E$5:$E$1005)-SUMPRODUCT((MOVIMIENTOS!$B$5:$B$1005="ENVÍO A SUPESA")*(MOVIMIENTOS!$C$5:$C$1005="P")*(MOVIMIENTOS!$D$5:$D$1005="jabas")*(MOVIMIENTOS!$A$5:$A$1005&lt;&gt;"")*(MOVIMIENTOS!$A$5:$A$1005&lt;=$A197)*MOVIMIENTOS!$E$5:$E$1005)+SUMPRODUCT((MOVIMIENTOS!$B$5:$B$1005="DEVOLUCIÓN")*(MOVIMIENTOS!$C$5:$C$1005="P")*(MOVIMIENTOS!$D$5:$D$1005="jabas")*(MOVIMIENTOS!$A$5:$A$1005&lt;&gt;"")*(MOVIMIENTOS!$A$5:$A$1005&lt;=$A197)*MOVIMIENTOS!$E$5:$E$1005)-SUMPRODUCT((MOVIMIENTOS!$B$5:$B$1005="TRASIEGO")*(MOVIMIENTOS!$C$5:$C$1005="P")*(MOVIMIENTOS!$D$5:$D$1005="jabas")*(MOVIMIENTOS!$A$5:$A$1005&lt;&gt;"")*(MOVIMIENTOS!$A$5:$A$1005&lt;=$A197)*MOVIMIENTOS!$E$5:$E$1005)-SUMPRODUCT((MOVIMIENTOS!$B$5:$B$1005="REGALO")*(MOVIMIENTOS!$C$5:$C$1005="P")*(MOVIMIENTOS!$D$5:$D$1005="jabas")*(MOVIMIENTOS!$A$5:$A$1005&lt;&gt;"")*(MOVIMIENTOS!$A$5:$A$1005&lt;=$A197)*MOVIMIENTOS!$E$5:$E$1005)-SUMPRODUCT((MOVIMIENTOS!$B$5:$B$1005="VENTA")*(MOVIMIENTOS!$C$5:$C$1005="P")*(MOVIMIENTOS!$D$5:$D$1005="jabas")*(MOVIMIENTOS!$A$5:$A$1005&lt;&gt;"")*(MOVIMIENTOS!$A$5:$A$1005&lt;=$A197)*MOVIMIENTOS!$E$5:$E$1005)+SUMPRODUCT((MOVIMIENTOS!$B$5:$B$1005="AJUSTE")*(MOVIMIENTOS!$C$5:$C$1005="P")*(MOVIMIENTOS!$D$5:$D$1005="jabas")*(MOVIMIENTOS!$A$5:$A$1005&lt;&gt;"")*(MOVIMIENTOS!$A$5:$A$1005&lt;=$A197)*MOVIMIENTOS!$E$5:$E$1005))</f>
        <v/>
      </c>
      <c r="D197" s="63" t="str">
        <f>IF($A197="","",SUMPRODUCT((MOVIMIENTOS!$B$5:$B$1005="SALDO INICIAL")*(MOVIMIENTOS!$C$5:$C$1005="C")*(MOVIMIENTOS!$D$5:$D$1005="jabas")*(MOVIMIENTOS!$A$5:$A$1005&lt;&gt;"")*(MOVIMIENTOS!$A$5:$A$1005&lt;=$A197)*MOVIMIENTOS!$E$5:$E$1005)+SUMPRODUCT((MOVIMIENTOS!$B$5:$B$1005="PROCESO")*(MOVIMIENTOS!$C$5:$C$1005="C")*(MOVIMIENTOS!$D$5:$D$1005="jabas")*(MOVIMIENTOS!$A$5:$A$1005&lt;&gt;"")*(MOVIMIENTOS!$A$5:$A$1005&lt;=$A197)*MOVIMIENTOS!$E$5:$E$1005)-SUMPRODUCT((MOVIMIENTOS!$B$5:$B$1005="ENVÍO A SUPESA")*(MOVIMIENTOS!$C$5:$C$1005="C")*(MOVIMIENTOS!$D$5:$D$1005="jabas")*(MOVIMIENTOS!$A$5:$A$1005&lt;&gt;"")*(MOVIMIENTOS!$A$5:$A$1005&lt;=$A197)*MOVIMIENTOS!$E$5:$E$1005)+SUMPRODUCT((MOVIMIENTOS!$B$5:$B$1005="DEVOLUCIÓN")*(MOVIMIENTOS!$C$5:$C$1005="C")*(MOVIMIENTOS!$D$5:$D$1005="jabas")*(MOVIMIENTOS!$A$5:$A$1005&lt;&gt;"")*(MOVIMIENTOS!$A$5:$A$1005&lt;=$A197)*MOVIMIENTOS!$E$5:$E$1005)-SUMPRODUCT((MOVIMIENTOS!$B$5:$B$1005="TRASIEGO")*(MOVIMIENTOS!$C$5:$C$1005="C")*(MOVIMIENTOS!$D$5:$D$1005="jabas")*(MOVIMIENTOS!$A$5:$A$1005&lt;&gt;"")*(MOVIMIENTOS!$A$5:$A$1005&lt;=$A197)*MOVIMIENTOS!$E$5:$E$1005)-SUMPRODUCT((MOVIMIENTOS!$B$5:$B$1005="REGALO")*(MOVIMIENTOS!$C$5:$C$1005="C")*(MOVIMIENTOS!$D$5:$D$1005="jabas")*(MOVIMIENTOS!$A$5:$A$1005&lt;&gt;"")*(MOVIMIENTOS!$A$5:$A$1005&lt;=$A197)*MOVIMIENTOS!$E$5:$E$1005)-SUMPRODUCT((MOVIMIENTOS!$B$5:$B$1005="VENTA")*(MOVIMIENTOS!$C$5:$C$1005="C")*(MOVIMIENTOS!$D$5:$D$1005="jabas")*(MOVIMIENTOS!$A$5:$A$1005&lt;&gt;"")*(MOVIMIENTOS!$A$5:$A$1005&lt;=$A197)*MOVIMIENTOS!$E$5:$E$1005)+SUMPRODUCT((MOVIMIENTOS!$B$5:$B$1005="AJUSTE")*(MOVIMIENTOS!$C$5:$C$1005="C")*(MOVIMIENTOS!$D$5:$D$1005="jabas")*(MOVIMIENTOS!$A$5:$A$1005&lt;&gt;"")*(MOVIMIENTOS!$A$5:$A$1005&lt;=$A197)*MOVIMIENTOS!$E$5:$E$1005))</f>
        <v/>
      </c>
      <c r="E197" s="63" t="str">
        <f>IF($A197="","",SUMPRODUCT((MOVIMIENTOS!$B$5:$B$1005="SALDO INICIAL")*(MOVIMIENTOS!$C$5:$C$1005="M")*(MOVIMIENTOS!$D$5:$D$1005="jabas")*(MOVIMIENTOS!$A$5:$A$1005&lt;&gt;"")*(MOVIMIENTOS!$A$5:$A$1005&lt;=$A197)*MOVIMIENTOS!$E$5:$E$1005)+SUMPRODUCT((MOVIMIENTOS!$B$5:$B$1005="PROCESO")*(MOVIMIENTOS!$C$5:$C$1005="M")*(MOVIMIENTOS!$D$5:$D$1005="jabas")*(MOVIMIENTOS!$A$5:$A$1005&lt;&gt;"")*(MOVIMIENTOS!$A$5:$A$1005&lt;=$A197)*MOVIMIENTOS!$E$5:$E$1005)-SUMPRODUCT((MOVIMIENTOS!$B$5:$B$1005="ENVÍO A SUPESA")*(MOVIMIENTOS!$C$5:$C$1005="M")*(MOVIMIENTOS!$D$5:$D$1005="jabas")*(MOVIMIENTOS!$A$5:$A$1005&lt;&gt;"")*(MOVIMIENTOS!$A$5:$A$1005&lt;=$A197)*MOVIMIENTOS!$E$5:$E$1005)+SUMPRODUCT((MOVIMIENTOS!$B$5:$B$1005="DEVOLUCIÓN")*(MOVIMIENTOS!$C$5:$C$1005="M")*(MOVIMIENTOS!$D$5:$D$1005="jabas")*(MOVIMIENTOS!$A$5:$A$1005&lt;&gt;"")*(MOVIMIENTOS!$A$5:$A$1005&lt;=$A197)*MOVIMIENTOS!$E$5:$E$1005)-SUMPRODUCT((MOVIMIENTOS!$B$5:$B$1005="TRASIEGO")*(MOVIMIENTOS!$C$5:$C$1005="M")*(MOVIMIENTOS!$D$5:$D$1005="jabas")*(MOVIMIENTOS!$A$5:$A$1005&lt;&gt;"")*(MOVIMIENTOS!$A$5:$A$1005&lt;=$A197)*MOVIMIENTOS!$E$5:$E$1005)-SUMPRODUCT((MOVIMIENTOS!$B$5:$B$1005="REGALO")*(MOVIMIENTOS!$C$5:$C$1005="M")*(MOVIMIENTOS!$D$5:$D$1005="jabas")*(MOVIMIENTOS!$A$5:$A$1005&lt;&gt;"")*(MOVIMIENTOS!$A$5:$A$1005&lt;=$A197)*MOVIMIENTOS!$E$5:$E$1005)-SUMPRODUCT((MOVIMIENTOS!$B$5:$B$1005="VENTA")*(MOVIMIENTOS!$C$5:$C$1005="M")*(MOVIMIENTOS!$D$5:$D$1005="jabas")*(MOVIMIENTOS!$A$5:$A$1005&lt;&gt;"")*(MOVIMIENTOS!$A$5:$A$1005&lt;=$A197)*MOVIMIENTOS!$E$5:$E$1005)+SUMPRODUCT((MOVIMIENTOS!$B$5:$B$1005="AJUSTE")*(MOVIMIENTOS!$C$5:$C$1005="M")*(MOVIMIENTOS!$D$5:$D$1005="jabas")*(MOVIMIENTOS!$A$5:$A$1005&lt;&gt;"")*(MOVIMIENTOS!$A$5:$A$1005&lt;=$A197)*MOVIMIENTOS!$E$5:$E$1005))</f>
        <v/>
      </c>
      <c r="F197" s="63" t="str">
        <f>IF($A197="","",SUMPRODUCT((MOVIMIENTOS!$B$5:$B$1005="SALDO INICIAL")*(MOVIMIENTOS!$C$5:$C$1005="Chancho")*(MOVIMIENTOS!$D$5:$D$1005="sacos")*(MOVIMIENTOS!$A$5:$A$1005&lt;&gt;"")*(MOVIMIENTOS!$A$5:$A$1005&lt;=$A197)*MOVIMIENTOS!$E$5:$E$1005)+SUMPRODUCT((MOVIMIENTOS!$B$5:$B$1005="PROCESO")*(MOVIMIENTOS!$C$5:$C$1005="Chancho")*(MOVIMIENTOS!$D$5:$D$1005="sacos")*(MOVIMIENTOS!$A$5:$A$1005&lt;&gt;"")*(MOVIMIENTOS!$A$5:$A$1005&lt;=$A197)*MOVIMIENTOS!$E$5:$E$1005)-SUMPRODUCT((MOVIMIENTOS!$B$5:$B$1005="VENTA CHANCHO")*(MOVIMIENTOS!$C$5:$C$1005="Chancho")*(MOVIMIENTOS!$D$5:$D$1005="sacos")*(MOVIMIENTOS!$A$5:$A$1005&lt;&gt;"")*(MOVIMIENTOS!$A$5:$A$1005&lt;=$A197)*MOVIMIENTOS!$E$5:$E$1005)-SUMPRODUCT((MOVIMIENTOS!$B$5:$B$1005="REGALO")*(MOVIMIENTOS!$C$5:$C$1005="Chancho")*(MOVIMIENTOS!$D$5:$D$1005="sacos")*(MOVIMIENTOS!$A$5:$A$1005&lt;&gt;"")*(MOVIMIENTOS!$A$5:$A$1005&lt;=$A197)*MOVIMIENTOS!$E$5:$E$1005)-SUMPRODUCT((MOVIMIENTOS!$B$5:$B$1005="VENTA")*(MOVIMIENTOS!$C$5:$C$1005="Chancho")*(MOVIMIENTOS!$D$5:$D$1005="sacos")*(MOVIMIENTOS!$A$5:$A$1005&lt;&gt;"")*(MOVIMIENTOS!$A$5:$A$1005&lt;=$A197)*MOVIMIENTOS!$E$5:$E$1005)+SUMPRODUCT((MOVIMIENTOS!$B$5:$B$1005="AJUSTE")*(MOVIMIENTOS!$C$5:$C$1005="Chancho")*(MOVIMIENTOS!$D$5:$D$1005="sacos")*(MOVIMIENTOS!$A$5:$A$1005&lt;&gt;"")*(MOVIMIENTOS!$A$5:$A$1005&lt;=$A197)*MOVIMIENTOS!$E$5:$E$1005))</f>
        <v/>
      </c>
      <c r="G197" s="95" t="str">
        <f t="shared" ref="G197:G260" si="7">IF($A197="","",SUM(B197:E197))</f>
        <v/>
      </c>
      <c r="H197" s="63" t="str">
        <f>IF($A197="","",SUMPRODUCT((((MOVIMIENTOS!$B$5:$B$1005="SALDO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197)*MOVIMIENTOS!$J$5:$J$1005))</f>
        <v/>
      </c>
      <c r="I197" s="63"/>
      <c r="J197" s="63">
        <f>IF(AND(MOVIMIENTOS!$A197&lt;&gt;"",COUNTIF(MOVIMIENTOS!$A$5:$A196,MOVIMIENTOS!$A197)=0),COUNT(J$4:J196)+1,"")</f>
        <v>19</v>
      </c>
      <c r="K197" s="66">
        <f>MOVIMIENTOS!$A197</f>
        <v>46231</v>
      </c>
      <c r="L197" s="63"/>
      <c r="M197" s="63"/>
      <c r="N197" s="63"/>
    </row>
    <row r="198" spans="1:14" ht="15" customHeight="1" x14ac:dyDescent="0.2">
      <c r="A198" s="63" t="str">
        <f t="shared" si="6"/>
        <v/>
      </c>
      <c r="B198" s="63" t="str">
        <f>IF($A198="","",SUMPRODUCT((MOVIMIENTOS!$B$5:$B$1005="SALDO INICIAL")*(MOVIMIENTOS!$C$5:$C$1005="A")*(MOVIMIENTOS!$D$5:$D$1005="jabas")*(MOVIMIENTOS!$A$5:$A$1005&lt;&gt;"")*(MOVIMIENTOS!$A$5:$A$1005&lt;=$A198)*MOVIMIENTOS!$E$5:$E$1005)+SUMPRODUCT((MOVIMIENTOS!$B$5:$B$1005="PROCESO")*(MOVIMIENTOS!$C$5:$C$1005="A")*(MOVIMIENTOS!$D$5:$D$1005="jabas")*(MOVIMIENTOS!$A$5:$A$1005&lt;&gt;"")*(MOVIMIENTOS!$A$5:$A$1005&lt;=$A198)*MOVIMIENTOS!$E$5:$E$1005)-SUMPRODUCT((MOVIMIENTOS!$B$5:$B$1005="ENVÍO A SUPESA")*(MOVIMIENTOS!$C$5:$C$1005="A")*(MOVIMIENTOS!$D$5:$D$1005="jabas")*(MOVIMIENTOS!$A$5:$A$1005&lt;&gt;"")*(MOVIMIENTOS!$A$5:$A$1005&lt;=$A198)*MOVIMIENTOS!$E$5:$E$1005)+SUMPRODUCT((MOVIMIENTOS!$B$5:$B$1005="DEVOLUCIÓN")*(MOVIMIENTOS!$C$5:$C$1005="A")*(MOVIMIENTOS!$D$5:$D$1005="jabas")*(MOVIMIENTOS!$A$5:$A$1005&lt;&gt;"")*(MOVIMIENTOS!$A$5:$A$1005&lt;=$A198)*MOVIMIENTOS!$E$5:$E$1005)-SUMPRODUCT((MOVIMIENTOS!$B$5:$B$1005="TRASIEGO")*(MOVIMIENTOS!$C$5:$C$1005="A")*(MOVIMIENTOS!$D$5:$D$1005="jabas")*(MOVIMIENTOS!$A$5:$A$1005&lt;&gt;"")*(MOVIMIENTOS!$A$5:$A$1005&lt;=$A198)*MOVIMIENTOS!$E$5:$E$1005)-SUMPRODUCT((MOVIMIENTOS!$B$5:$B$1005="REGALO")*(MOVIMIENTOS!$C$5:$C$1005="A")*(MOVIMIENTOS!$D$5:$D$1005="jabas")*(MOVIMIENTOS!$A$5:$A$1005&lt;&gt;"")*(MOVIMIENTOS!$A$5:$A$1005&lt;=$A198)*MOVIMIENTOS!$E$5:$E$1005)-SUMPRODUCT((MOVIMIENTOS!$B$5:$B$1005="VENTA")*(MOVIMIENTOS!$C$5:$C$1005="A")*(MOVIMIENTOS!$D$5:$D$1005="jabas")*(MOVIMIENTOS!$A$5:$A$1005&lt;&gt;"")*(MOVIMIENTOS!$A$5:$A$1005&lt;=$A198)*MOVIMIENTOS!$E$5:$E$1005)+SUMPRODUCT((MOVIMIENTOS!$B$5:$B$1005="AJUSTE")*(MOVIMIENTOS!$C$5:$C$1005="A")*(MOVIMIENTOS!$D$5:$D$1005="jabas")*(MOVIMIENTOS!$A$5:$A$1005&lt;&gt;"")*(MOVIMIENTOS!$A$5:$A$1005&lt;=$A198)*MOVIMIENTOS!$E$5:$E$1005))</f>
        <v/>
      </c>
      <c r="C198" s="63" t="str">
        <f>IF($A198="","",SUMPRODUCT((MOVIMIENTOS!$B$5:$B$1005="SALDO INICIAL")*(MOVIMIENTOS!$C$5:$C$1005="P")*(MOVIMIENTOS!$D$5:$D$1005="jabas")*(MOVIMIENTOS!$A$5:$A$1005&lt;&gt;"")*(MOVIMIENTOS!$A$5:$A$1005&lt;=$A198)*MOVIMIENTOS!$E$5:$E$1005)+SUMPRODUCT((MOVIMIENTOS!$B$5:$B$1005="PROCESO")*(MOVIMIENTOS!$C$5:$C$1005="P")*(MOVIMIENTOS!$D$5:$D$1005="jabas")*(MOVIMIENTOS!$A$5:$A$1005&lt;&gt;"")*(MOVIMIENTOS!$A$5:$A$1005&lt;=$A198)*MOVIMIENTOS!$E$5:$E$1005)-SUMPRODUCT((MOVIMIENTOS!$B$5:$B$1005="ENVÍO A SUPESA")*(MOVIMIENTOS!$C$5:$C$1005="P")*(MOVIMIENTOS!$D$5:$D$1005="jabas")*(MOVIMIENTOS!$A$5:$A$1005&lt;&gt;"")*(MOVIMIENTOS!$A$5:$A$1005&lt;=$A198)*MOVIMIENTOS!$E$5:$E$1005)+SUMPRODUCT((MOVIMIENTOS!$B$5:$B$1005="DEVOLUCIÓN")*(MOVIMIENTOS!$C$5:$C$1005="P")*(MOVIMIENTOS!$D$5:$D$1005="jabas")*(MOVIMIENTOS!$A$5:$A$1005&lt;&gt;"")*(MOVIMIENTOS!$A$5:$A$1005&lt;=$A198)*MOVIMIENTOS!$E$5:$E$1005)-SUMPRODUCT((MOVIMIENTOS!$B$5:$B$1005="TRASIEGO")*(MOVIMIENTOS!$C$5:$C$1005="P")*(MOVIMIENTOS!$D$5:$D$1005="jabas")*(MOVIMIENTOS!$A$5:$A$1005&lt;&gt;"")*(MOVIMIENTOS!$A$5:$A$1005&lt;=$A198)*MOVIMIENTOS!$E$5:$E$1005)-SUMPRODUCT((MOVIMIENTOS!$B$5:$B$1005="REGALO")*(MOVIMIENTOS!$C$5:$C$1005="P")*(MOVIMIENTOS!$D$5:$D$1005="jabas")*(MOVIMIENTOS!$A$5:$A$1005&lt;&gt;"")*(MOVIMIENTOS!$A$5:$A$1005&lt;=$A198)*MOVIMIENTOS!$E$5:$E$1005)-SUMPRODUCT((MOVIMIENTOS!$B$5:$B$1005="VENTA")*(MOVIMIENTOS!$C$5:$C$1005="P")*(MOVIMIENTOS!$D$5:$D$1005="jabas")*(MOVIMIENTOS!$A$5:$A$1005&lt;&gt;"")*(MOVIMIENTOS!$A$5:$A$1005&lt;=$A198)*MOVIMIENTOS!$E$5:$E$1005)+SUMPRODUCT((MOVIMIENTOS!$B$5:$B$1005="AJUSTE")*(MOVIMIENTOS!$C$5:$C$1005="P")*(MOVIMIENTOS!$D$5:$D$1005="jabas")*(MOVIMIENTOS!$A$5:$A$1005&lt;&gt;"")*(MOVIMIENTOS!$A$5:$A$1005&lt;=$A198)*MOVIMIENTOS!$E$5:$E$1005))</f>
        <v/>
      </c>
      <c r="D198" s="63" t="str">
        <f>IF($A198="","",SUMPRODUCT((MOVIMIENTOS!$B$5:$B$1005="SALDO INICIAL")*(MOVIMIENTOS!$C$5:$C$1005="C")*(MOVIMIENTOS!$D$5:$D$1005="jabas")*(MOVIMIENTOS!$A$5:$A$1005&lt;&gt;"")*(MOVIMIENTOS!$A$5:$A$1005&lt;=$A198)*MOVIMIENTOS!$E$5:$E$1005)+SUMPRODUCT((MOVIMIENTOS!$B$5:$B$1005="PROCESO")*(MOVIMIENTOS!$C$5:$C$1005="C")*(MOVIMIENTOS!$D$5:$D$1005="jabas")*(MOVIMIENTOS!$A$5:$A$1005&lt;&gt;"")*(MOVIMIENTOS!$A$5:$A$1005&lt;=$A198)*MOVIMIENTOS!$E$5:$E$1005)-SUMPRODUCT((MOVIMIENTOS!$B$5:$B$1005="ENVÍO A SUPESA")*(MOVIMIENTOS!$C$5:$C$1005="C")*(MOVIMIENTOS!$D$5:$D$1005="jabas")*(MOVIMIENTOS!$A$5:$A$1005&lt;&gt;"")*(MOVIMIENTOS!$A$5:$A$1005&lt;=$A198)*MOVIMIENTOS!$E$5:$E$1005)+SUMPRODUCT((MOVIMIENTOS!$B$5:$B$1005="DEVOLUCIÓN")*(MOVIMIENTOS!$C$5:$C$1005="C")*(MOVIMIENTOS!$D$5:$D$1005="jabas")*(MOVIMIENTOS!$A$5:$A$1005&lt;&gt;"")*(MOVIMIENTOS!$A$5:$A$1005&lt;=$A198)*MOVIMIENTOS!$E$5:$E$1005)-SUMPRODUCT((MOVIMIENTOS!$B$5:$B$1005="TRASIEGO")*(MOVIMIENTOS!$C$5:$C$1005="C")*(MOVIMIENTOS!$D$5:$D$1005="jabas")*(MOVIMIENTOS!$A$5:$A$1005&lt;&gt;"")*(MOVIMIENTOS!$A$5:$A$1005&lt;=$A198)*MOVIMIENTOS!$E$5:$E$1005)-SUMPRODUCT((MOVIMIENTOS!$B$5:$B$1005="REGALO")*(MOVIMIENTOS!$C$5:$C$1005="C")*(MOVIMIENTOS!$D$5:$D$1005="jabas")*(MOVIMIENTOS!$A$5:$A$1005&lt;&gt;"")*(MOVIMIENTOS!$A$5:$A$1005&lt;=$A198)*MOVIMIENTOS!$E$5:$E$1005)-SUMPRODUCT((MOVIMIENTOS!$B$5:$B$1005="VENTA")*(MOVIMIENTOS!$C$5:$C$1005="C")*(MOVIMIENTOS!$D$5:$D$1005="jabas")*(MOVIMIENTOS!$A$5:$A$1005&lt;&gt;"")*(MOVIMIENTOS!$A$5:$A$1005&lt;=$A198)*MOVIMIENTOS!$E$5:$E$1005)+SUMPRODUCT((MOVIMIENTOS!$B$5:$B$1005="AJUSTE")*(MOVIMIENTOS!$C$5:$C$1005="C")*(MOVIMIENTOS!$D$5:$D$1005="jabas")*(MOVIMIENTOS!$A$5:$A$1005&lt;&gt;"")*(MOVIMIENTOS!$A$5:$A$1005&lt;=$A198)*MOVIMIENTOS!$E$5:$E$1005))</f>
        <v/>
      </c>
      <c r="E198" s="63" t="str">
        <f>IF($A198="","",SUMPRODUCT((MOVIMIENTOS!$B$5:$B$1005="SALDO INICIAL")*(MOVIMIENTOS!$C$5:$C$1005="M")*(MOVIMIENTOS!$D$5:$D$1005="jabas")*(MOVIMIENTOS!$A$5:$A$1005&lt;&gt;"")*(MOVIMIENTOS!$A$5:$A$1005&lt;=$A198)*MOVIMIENTOS!$E$5:$E$1005)+SUMPRODUCT((MOVIMIENTOS!$B$5:$B$1005="PROCESO")*(MOVIMIENTOS!$C$5:$C$1005="M")*(MOVIMIENTOS!$D$5:$D$1005="jabas")*(MOVIMIENTOS!$A$5:$A$1005&lt;&gt;"")*(MOVIMIENTOS!$A$5:$A$1005&lt;=$A198)*MOVIMIENTOS!$E$5:$E$1005)-SUMPRODUCT((MOVIMIENTOS!$B$5:$B$1005="ENVÍO A SUPESA")*(MOVIMIENTOS!$C$5:$C$1005="M")*(MOVIMIENTOS!$D$5:$D$1005="jabas")*(MOVIMIENTOS!$A$5:$A$1005&lt;&gt;"")*(MOVIMIENTOS!$A$5:$A$1005&lt;=$A198)*MOVIMIENTOS!$E$5:$E$1005)+SUMPRODUCT((MOVIMIENTOS!$B$5:$B$1005="DEVOLUCIÓN")*(MOVIMIENTOS!$C$5:$C$1005="M")*(MOVIMIENTOS!$D$5:$D$1005="jabas")*(MOVIMIENTOS!$A$5:$A$1005&lt;&gt;"")*(MOVIMIENTOS!$A$5:$A$1005&lt;=$A198)*MOVIMIENTOS!$E$5:$E$1005)-SUMPRODUCT((MOVIMIENTOS!$B$5:$B$1005="TRASIEGO")*(MOVIMIENTOS!$C$5:$C$1005="M")*(MOVIMIENTOS!$D$5:$D$1005="jabas")*(MOVIMIENTOS!$A$5:$A$1005&lt;&gt;"")*(MOVIMIENTOS!$A$5:$A$1005&lt;=$A198)*MOVIMIENTOS!$E$5:$E$1005)-SUMPRODUCT((MOVIMIENTOS!$B$5:$B$1005="REGALO")*(MOVIMIENTOS!$C$5:$C$1005="M")*(MOVIMIENTOS!$D$5:$D$1005="jabas")*(MOVIMIENTOS!$A$5:$A$1005&lt;&gt;"")*(MOVIMIENTOS!$A$5:$A$1005&lt;=$A198)*MOVIMIENTOS!$E$5:$E$1005)-SUMPRODUCT((MOVIMIENTOS!$B$5:$B$1005="VENTA")*(MOVIMIENTOS!$C$5:$C$1005="M")*(MOVIMIENTOS!$D$5:$D$1005="jabas")*(MOVIMIENTOS!$A$5:$A$1005&lt;&gt;"")*(MOVIMIENTOS!$A$5:$A$1005&lt;=$A198)*MOVIMIENTOS!$E$5:$E$1005)+SUMPRODUCT((MOVIMIENTOS!$B$5:$B$1005="AJUSTE")*(MOVIMIENTOS!$C$5:$C$1005="M")*(MOVIMIENTOS!$D$5:$D$1005="jabas")*(MOVIMIENTOS!$A$5:$A$1005&lt;&gt;"")*(MOVIMIENTOS!$A$5:$A$1005&lt;=$A198)*MOVIMIENTOS!$E$5:$E$1005))</f>
        <v/>
      </c>
      <c r="F198" s="63" t="str">
        <f>IF($A198="","",SUMPRODUCT((MOVIMIENTOS!$B$5:$B$1005="SALDO INICIAL")*(MOVIMIENTOS!$C$5:$C$1005="Chancho")*(MOVIMIENTOS!$D$5:$D$1005="sacos")*(MOVIMIENTOS!$A$5:$A$1005&lt;&gt;"")*(MOVIMIENTOS!$A$5:$A$1005&lt;=$A198)*MOVIMIENTOS!$E$5:$E$1005)+SUMPRODUCT((MOVIMIENTOS!$B$5:$B$1005="PROCESO")*(MOVIMIENTOS!$C$5:$C$1005="Chancho")*(MOVIMIENTOS!$D$5:$D$1005="sacos")*(MOVIMIENTOS!$A$5:$A$1005&lt;&gt;"")*(MOVIMIENTOS!$A$5:$A$1005&lt;=$A198)*MOVIMIENTOS!$E$5:$E$1005)-SUMPRODUCT((MOVIMIENTOS!$B$5:$B$1005="VENTA CHANCHO")*(MOVIMIENTOS!$C$5:$C$1005="Chancho")*(MOVIMIENTOS!$D$5:$D$1005="sacos")*(MOVIMIENTOS!$A$5:$A$1005&lt;&gt;"")*(MOVIMIENTOS!$A$5:$A$1005&lt;=$A198)*MOVIMIENTOS!$E$5:$E$1005)-SUMPRODUCT((MOVIMIENTOS!$B$5:$B$1005="REGALO")*(MOVIMIENTOS!$C$5:$C$1005="Chancho")*(MOVIMIENTOS!$D$5:$D$1005="sacos")*(MOVIMIENTOS!$A$5:$A$1005&lt;&gt;"")*(MOVIMIENTOS!$A$5:$A$1005&lt;=$A198)*MOVIMIENTOS!$E$5:$E$1005)-SUMPRODUCT((MOVIMIENTOS!$B$5:$B$1005="VENTA")*(MOVIMIENTOS!$C$5:$C$1005="Chancho")*(MOVIMIENTOS!$D$5:$D$1005="sacos")*(MOVIMIENTOS!$A$5:$A$1005&lt;&gt;"")*(MOVIMIENTOS!$A$5:$A$1005&lt;=$A198)*MOVIMIENTOS!$E$5:$E$1005)+SUMPRODUCT((MOVIMIENTOS!$B$5:$B$1005="AJUSTE")*(MOVIMIENTOS!$C$5:$C$1005="Chancho")*(MOVIMIENTOS!$D$5:$D$1005="sacos")*(MOVIMIENTOS!$A$5:$A$1005&lt;&gt;"")*(MOVIMIENTOS!$A$5:$A$1005&lt;=$A198)*MOVIMIENTOS!$E$5:$E$1005))</f>
        <v/>
      </c>
      <c r="G198" s="95" t="str">
        <f t="shared" si="7"/>
        <v/>
      </c>
      <c r="H198" s="63" t="str">
        <f>IF($A198="","",SUMPRODUCT((((MOVIMIENTOS!$B$5:$B$1005="SALDO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198)*MOVIMIENTOS!$J$5:$J$1005))</f>
        <v/>
      </c>
      <c r="I198" s="63"/>
      <c r="J198" s="63" t="str">
        <f>IF(AND(MOVIMIENTOS!$A198&lt;&gt;"",COUNTIF(MOVIMIENTOS!$A$5:$A197,MOVIMIENTOS!$A198)=0),COUNT(J$4:J197)+1,"")</f>
        <v/>
      </c>
      <c r="K198" s="66">
        <f>MOVIMIENTOS!$A198</f>
        <v>46231</v>
      </c>
      <c r="L198" s="63"/>
      <c r="M198" s="63"/>
      <c r="N198" s="63"/>
    </row>
    <row r="199" spans="1:14" ht="15" customHeight="1" x14ac:dyDescent="0.2">
      <c r="A199" s="63" t="str">
        <f t="shared" si="6"/>
        <v/>
      </c>
      <c r="B199" s="63" t="str">
        <f>IF($A199="","",SUMPRODUCT((MOVIMIENTOS!$B$5:$B$1005="SALDO INICIAL")*(MOVIMIENTOS!$C$5:$C$1005="A")*(MOVIMIENTOS!$D$5:$D$1005="jabas")*(MOVIMIENTOS!$A$5:$A$1005&lt;&gt;"")*(MOVIMIENTOS!$A$5:$A$1005&lt;=$A199)*MOVIMIENTOS!$E$5:$E$1005)+SUMPRODUCT((MOVIMIENTOS!$B$5:$B$1005="PROCESO")*(MOVIMIENTOS!$C$5:$C$1005="A")*(MOVIMIENTOS!$D$5:$D$1005="jabas")*(MOVIMIENTOS!$A$5:$A$1005&lt;&gt;"")*(MOVIMIENTOS!$A$5:$A$1005&lt;=$A199)*MOVIMIENTOS!$E$5:$E$1005)-SUMPRODUCT((MOVIMIENTOS!$B$5:$B$1005="ENVÍO A SUPESA")*(MOVIMIENTOS!$C$5:$C$1005="A")*(MOVIMIENTOS!$D$5:$D$1005="jabas")*(MOVIMIENTOS!$A$5:$A$1005&lt;&gt;"")*(MOVIMIENTOS!$A$5:$A$1005&lt;=$A199)*MOVIMIENTOS!$E$5:$E$1005)+SUMPRODUCT((MOVIMIENTOS!$B$5:$B$1005="DEVOLUCIÓN")*(MOVIMIENTOS!$C$5:$C$1005="A")*(MOVIMIENTOS!$D$5:$D$1005="jabas")*(MOVIMIENTOS!$A$5:$A$1005&lt;&gt;"")*(MOVIMIENTOS!$A$5:$A$1005&lt;=$A199)*MOVIMIENTOS!$E$5:$E$1005)-SUMPRODUCT((MOVIMIENTOS!$B$5:$B$1005="TRASIEGO")*(MOVIMIENTOS!$C$5:$C$1005="A")*(MOVIMIENTOS!$D$5:$D$1005="jabas")*(MOVIMIENTOS!$A$5:$A$1005&lt;&gt;"")*(MOVIMIENTOS!$A$5:$A$1005&lt;=$A199)*MOVIMIENTOS!$E$5:$E$1005)-SUMPRODUCT((MOVIMIENTOS!$B$5:$B$1005="REGALO")*(MOVIMIENTOS!$C$5:$C$1005="A")*(MOVIMIENTOS!$D$5:$D$1005="jabas")*(MOVIMIENTOS!$A$5:$A$1005&lt;&gt;"")*(MOVIMIENTOS!$A$5:$A$1005&lt;=$A199)*MOVIMIENTOS!$E$5:$E$1005)-SUMPRODUCT((MOVIMIENTOS!$B$5:$B$1005="VENTA")*(MOVIMIENTOS!$C$5:$C$1005="A")*(MOVIMIENTOS!$D$5:$D$1005="jabas")*(MOVIMIENTOS!$A$5:$A$1005&lt;&gt;"")*(MOVIMIENTOS!$A$5:$A$1005&lt;=$A199)*MOVIMIENTOS!$E$5:$E$1005)+SUMPRODUCT((MOVIMIENTOS!$B$5:$B$1005="AJUSTE")*(MOVIMIENTOS!$C$5:$C$1005="A")*(MOVIMIENTOS!$D$5:$D$1005="jabas")*(MOVIMIENTOS!$A$5:$A$1005&lt;&gt;"")*(MOVIMIENTOS!$A$5:$A$1005&lt;=$A199)*MOVIMIENTOS!$E$5:$E$1005))</f>
        <v/>
      </c>
      <c r="C199" s="63" t="str">
        <f>IF($A199="","",SUMPRODUCT((MOVIMIENTOS!$B$5:$B$1005="SALDO INICIAL")*(MOVIMIENTOS!$C$5:$C$1005="P")*(MOVIMIENTOS!$D$5:$D$1005="jabas")*(MOVIMIENTOS!$A$5:$A$1005&lt;&gt;"")*(MOVIMIENTOS!$A$5:$A$1005&lt;=$A199)*MOVIMIENTOS!$E$5:$E$1005)+SUMPRODUCT((MOVIMIENTOS!$B$5:$B$1005="PROCESO")*(MOVIMIENTOS!$C$5:$C$1005="P")*(MOVIMIENTOS!$D$5:$D$1005="jabas")*(MOVIMIENTOS!$A$5:$A$1005&lt;&gt;"")*(MOVIMIENTOS!$A$5:$A$1005&lt;=$A199)*MOVIMIENTOS!$E$5:$E$1005)-SUMPRODUCT((MOVIMIENTOS!$B$5:$B$1005="ENVÍO A SUPESA")*(MOVIMIENTOS!$C$5:$C$1005="P")*(MOVIMIENTOS!$D$5:$D$1005="jabas")*(MOVIMIENTOS!$A$5:$A$1005&lt;&gt;"")*(MOVIMIENTOS!$A$5:$A$1005&lt;=$A199)*MOVIMIENTOS!$E$5:$E$1005)+SUMPRODUCT((MOVIMIENTOS!$B$5:$B$1005="DEVOLUCIÓN")*(MOVIMIENTOS!$C$5:$C$1005="P")*(MOVIMIENTOS!$D$5:$D$1005="jabas")*(MOVIMIENTOS!$A$5:$A$1005&lt;&gt;"")*(MOVIMIENTOS!$A$5:$A$1005&lt;=$A199)*MOVIMIENTOS!$E$5:$E$1005)-SUMPRODUCT((MOVIMIENTOS!$B$5:$B$1005="TRASIEGO")*(MOVIMIENTOS!$C$5:$C$1005="P")*(MOVIMIENTOS!$D$5:$D$1005="jabas")*(MOVIMIENTOS!$A$5:$A$1005&lt;&gt;"")*(MOVIMIENTOS!$A$5:$A$1005&lt;=$A199)*MOVIMIENTOS!$E$5:$E$1005)-SUMPRODUCT((MOVIMIENTOS!$B$5:$B$1005="REGALO")*(MOVIMIENTOS!$C$5:$C$1005="P")*(MOVIMIENTOS!$D$5:$D$1005="jabas")*(MOVIMIENTOS!$A$5:$A$1005&lt;&gt;"")*(MOVIMIENTOS!$A$5:$A$1005&lt;=$A199)*MOVIMIENTOS!$E$5:$E$1005)-SUMPRODUCT((MOVIMIENTOS!$B$5:$B$1005="VENTA")*(MOVIMIENTOS!$C$5:$C$1005="P")*(MOVIMIENTOS!$D$5:$D$1005="jabas")*(MOVIMIENTOS!$A$5:$A$1005&lt;&gt;"")*(MOVIMIENTOS!$A$5:$A$1005&lt;=$A199)*MOVIMIENTOS!$E$5:$E$1005)+SUMPRODUCT((MOVIMIENTOS!$B$5:$B$1005="AJUSTE")*(MOVIMIENTOS!$C$5:$C$1005="P")*(MOVIMIENTOS!$D$5:$D$1005="jabas")*(MOVIMIENTOS!$A$5:$A$1005&lt;&gt;"")*(MOVIMIENTOS!$A$5:$A$1005&lt;=$A199)*MOVIMIENTOS!$E$5:$E$1005))</f>
        <v/>
      </c>
      <c r="D199" s="63" t="str">
        <f>IF($A199="","",SUMPRODUCT((MOVIMIENTOS!$B$5:$B$1005="SALDO INICIAL")*(MOVIMIENTOS!$C$5:$C$1005="C")*(MOVIMIENTOS!$D$5:$D$1005="jabas")*(MOVIMIENTOS!$A$5:$A$1005&lt;&gt;"")*(MOVIMIENTOS!$A$5:$A$1005&lt;=$A199)*MOVIMIENTOS!$E$5:$E$1005)+SUMPRODUCT((MOVIMIENTOS!$B$5:$B$1005="PROCESO")*(MOVIMIENTOS!$C$5:$C$1005="C")*(MOVIMIENTOS!$D$5:$D$1005="jabas")*(MOVIMIENTOS!$A$5:$A$1005&lt;&gt;"")*(MOVIMIENTOS!$A$5:$A$1005&lt;=$A199)*MOVIMIENTOS!$E$5:$E$1005)-SUMPRODUCT((MOVIMIENTOS!$B$5:$B$1005="ENVÍO A SUPESA")*(MOVIMIENTOS!$C$5:$C$1005="C")*(MOVIMIENTOS!$D$5:$D$1005="jabas")*(MOVIMIENTOS!$A$5:$A$1005&lt;&gt;"")*(MOVIMIENTOS!$A$5:$A$1005&lt;=$A199)*MOVIMIENTOS!$E$5:$E$1005)+SUMPRODUCT((MOVIMIENTOS!$B$5:$B$1005="DEVOLUCIÓN")*(MOVIMIENTOS!$C$5:$C$1005="C")*(MOVIMIENTOS!$D$5:$D$1005="jabas")*(MOVIMIENTOS!$A$5:$A$1005&lt;&gt;"")*(MOVIMIENTOS!$A$5:$A$1005&lt;=$A199)*MOVIMIENTOS!$E$5:$E$1005)-SUMPRODUCT((MOVIMIENTOS!$B$5:$B$1005="TRASIEGO")*(MOVIMIENTOS!$C$5:$C$1005="C")*(MOVIMIENTOS!$D$5:$D$1005="jabas")*(MOVIMIENTOS!$A$5:$A$1005&lt;&gt;"")*(MOVIMIENTOS!$A$5:$A$1005&lt;=$A199)*MOVIMIENTOS!$E$5:$E$1005)-SUMPRODUCT((MOVIMIENTOS!$B$5:$B$1005="REGALO")*(MOVIMIENTOS!$C$5:$C$1005="C")*(MOVIMIENTOS!$D$5:$D$1005="jabas")*(MOVIMIENTOS!$A$5:$A$1005&lt;&gt;"")*(MOVIMIENTOS!$A$5:$A$1005&lt;=$A199)*MOVIMIENTOS!$E$5:$E$1005)-SUMPRODUCT((MOVIMIENTOS!$B$5:$B$1005="VENTA")*(MOVIMIENTOS!$C$5:$C$1005="C")*(MOVIMIENTOS!$D$5:$D$1005="jabas")*(MOVIMIENTOS!$A$5:$A$1005&lt;&gt;"")*(MOVIMIENTOS!$A$5:$A$1005&lt;=$A199)*MOVIMIENTOS!$E$5:$E$1005)+SUMPRODUCT((MOVIMIENTOS!$B$5:$B$1005="AJUSTE")*(MOVIMIENTOS!$C$5:$C$1005="C")*(MOVIMIENTOS!$D$5:$D$1005="jabas")*(MOVIMIENTOS!$A$5:$A$1005&lt;&gt;"")*(MOVIMIENTOS!$A$5:$A$1005&lt;=$A199)*MOVIMIENTOS!$E$5:$E$1005))</f>
        <v/>
      </c>
      <c r="E199" s="63" t="str">
        <f>IF($A199="","",SUMPRODUCT((MOVIMIENTOS!$B$5:$B$1005="SALDO INICIAL")*(MOVIMIENTOS!$C$5:$C$1005="M")*(MOVIMIENTOS!$D$5:$D$1005="jabas")*(MOVIMIENTOS!$A$5:$A$1005&lt;&gt;"")*(MOVIMIENTOS!$A$5:$A$1005&lt;=$A199)*MOVIMIENTOS!$E$5:$E$1005)+SUMPRODUCT((MOVIMIENTOS!$B$5:$B$1005="PROCESO")*(MOVIMIENTOS!$C$5:$C$1005="M")*(MOVIMIENTOS!$D$5:$D$1005="jabas")*(MOVIMIENTOS!$A$5:$A$1005&lt;&gt;"")*(MOVIMIENTOS!$A$5:$A$1005&lt;=$A199)*MOVIMIENTOS!$E$5:$E$1005)-SUMPRODUCT((MOVIMIENTOS!$B$5:$B$1005="ENVÍO A SUPESA")*(MOVIMIENTOS!$C$5:$C$1005="M")*(MOVIMIENTOS!$D$5:$D$1005="jabas")*(MOVIMIENTOS!$A$5:$A$1005&lt;&gt;"")*(MOVIMIENTOS!$A$5:$A$1005&lt;=$A199)*MOVIMIENTOS!$E$5:$E$1005)+SUMPRODUCT((MOVIMIENTOS!$B$5:$B$1005="DEVOLUCIÓN")*(MOVIMIENTOS!$C$5:$C$1005="M")*(MOVIMIENTOS!$D$5:$D$1005="jabas")*(MOVIMIENTOS!$A$5:$A$1005&lt;&gt;"")*(MOVIMIENTOS!$A$5:$A$1005&lt;=$A199)*MOVIMIENTOS!$E$5:$E$1005)-SUMPRODUCT((MOVIMIENTOS!$B$5:$B$1005="TRASIEGO")*(MOVIMIENTOS!$C$5:$C$1005="M")*(MOVIMIENTOS!$D$5:$D$1005="jabas")*(MOVIMIENTOS!$A$5:$A$1005&lt;&gt;"")*(MOVIMIENTOS!$A$5:$A$1005&lt;=$A199)*MOVIMIENTOS!$E$5:$E$1005)-SUMPRODUCT((MOVIMIENTOS!$B$5:$B$1005="REGALO")*(MOVIMIENTOS!$C$5:$C$1005="M")*(MOVIMIENTOS!$D$5:$D$1005="jabas")*(MOVIMIENTOS!$A$5:$A$1005&lt;&gt;"")*(MOVIMIENTOS!$A$5:$A$1005&lt;=$A199)*MOVIMIENTOS!$E$5:$E$1005)-SUMPRODUCT((MOVIMIENTOS!$B$5:$B$1005="VENTA")*(MOVIMIENTOS!$C$5:$C$1005="M")*(MOVIMIENTOS!$D$5:$D$1005="jabas")*(MOVIMIENTOS!$A$5:$A$1005&lt;&gt;"")*(MOVIMIENTOS!$A$5:$A$1005&lt;=$A199)*MOVIMIENTOS!$E$5:$E$1005)+SUMPRODUCT((MOVIMIENTOS!$B$5:$B$1005="AJUSTE")*(MOVIMIENTOS!$C$5:$C$1005="M")*(MOVIMIENTOS!$D$5:$D$1005="jabas")*(MOVIMIENTOS!$A$5:$A$1005&lt;&gt;"")*(MOVIMIENTOS!$A$5:$A$1005&lt;=$A199)*MOVIMIENTOS!$E$5:$E$1005))</f>
        <v/>
      </c>
      <c r="F199" s="63" t="str">
        <f>IF($A199="","",SUMPRODUCT((MOVIMIENTOS!$B$5:$B$1005="SALDO INICIAL")*(MOVIMIENTOS!$C$5:$C$1005="Chancho")*(MOVIMIENTOS!$D$5:$D$1005="sacos")*(MOVIMIENTOS!$A$5:$A$1005&lt;&gt;"")*(MOVIMIENTOS!$A$5:$A$1005&lt;=$A199)*MOVIMIENTOS!$E$5:$E$1005)+SUMPRODUCT((MOVIMIENTOS!$B$5:$B$1005="PROCESO")*(MOVIMIENTOS!$C$5:$C$1005="Chancho")*(MOVIMIENTOS!$D$5:$D$1005="sacos")*(MOVIMIENTOS!$A$5:$A$1005&lt;&gt;"")*(MOVIMIENTOS!$A$5:$A$1005&lt;=$A199)*MOVIMIENTOS!$E$5:$E$1005)-SUMPRODUCT((MOVIMIENTOS!$B$5:$B$1005="VENTA CHANCHO")*(MOVIMIENTOS!$C$5:$C$1005="Chancho")*(MOVIMIENTOS!$D$5:$D$1005="sacos")*(MOVIMIENTOS!$A$5:$A$1005&lt;&gt;"")*(MOVIMIENTOS!$A$5:$A$1005&lt;=$A199)*MOVIMIENTOS!$E$5:$E$1005)-SUMPRODUCT((MOVIMIENTOS!$B$5:$B$1005="REGALO")*(MOVIMIENTOS!$C$5:$C$1005="Chancho")*(MOVIMIENTOS!$D$5:$D$1005="sacos")*(MOVIMIENTOS!$A$5:$A$1005&lt;&gt;"")*(MOVIMIENTOS!$A$5:$A$1005&lt;=$A199)*MOVIMIENTOS!$E$5:$E$1005)-SUMPRODUCT((MOVIMIENTOS!$B$5:$B$1005="VENTA")*(MOVIMIENTOS!$C$5:$C$1005="Chancho")*(MOVIMIENTOS!$D$5:$D$1005="sacos")*(MOVIMIENTOS!$A$5:$A$1005&lt;&gt;"")*(MOVIMIENTOS!$A$5:$A$1005&lt;=$A199)*MOVIMIENTOS!$E$5:$E$1005)+SUMPRODUCT((MOVIMIENTOS!$B$5:$B$1005="AJUSTE")*(MOVIMIENTOS!$C$5:$C$1005="Chancho")*(MOVIMIENTOS!$D$5:$D$1005="sacos")*(MOVIMIENTOS!$A$5:$A$1005&lt;&gt;"")*(MOVIMIENTOS!$A$5:$A$1005&lt;=$A199)*MOVIMIENTOS!$E$5:$E$1005))</f>
        <v/>
      </c>
      <c r="G199" s="95" t="str">
        <f t="shared" si="7"/>
        <v/>
      </c>
      <c r="H199" s="63" t="str">
        <f>IF($A199="","",SUMPRODUCT((((MOVIMIENTOS!$B$5:$B$1005="SALDO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199)*MOVIMIENTOS!$J$5:$J$1005))</f>
        <v/>
      </c>
      <c r="I199" s="63"/>
      <c r="J199" s="63" t="str">
        <f>IF(AND(MOVIMIENTOS!$A199&lt;&gt;"",COUNTIF(MOVIMIENTOS!$A$5:$A198,MOVIMIENTOS!$A199)=0),COUNT(J$4:J198)+1,"")</f>
        <v/>
      </c>
      <c r="K199" s="66">
        <f>MOVIMIENTOS!$A199</f>
        <v>46231</v>
      </c>
      <c r="L199" s="63"/>
      <c r="M199" s="63"/>
      <c r="N199" s="63"/>
    </row>
    <row r="200" spans="1:14" ht="15" customHeight="1" x14ac:dyDescent="0.2">
      <c r="A200" s="63" t="str">
        <f t="shared" si="6"/>
        <v/>
      </c>
      <c r="B200" s="63" t="str">
        <f>IF($A200="","",SUMPRODUCT((MOVIMIENTOS!$B$5:$B$1005="SALDO INICIAL")*(MOVIMIENTOS!$C$5:$C$1005="A")*(MOVIMIENTOS!$D$5:$D$1005="jabas")*(MOVIMIENTOS!$A$5:$A$1005&lt;&gt;"")*(MOVIMIENTOS!$A$5:$A$1005&lt;=$A200)*MOVIMIENTOS!$E$5:$E$1005)+SUMPRODUCT((MOVIMIENTOS!$B$5:$B$1005="PROCESO")*(MOVIMIENTOS!$C$5:$C$1005="A")*(MOVIMIENTOS!$D$5:$D$1005="jabas")*(MOVIMIENTOS!$A$5:$A$1005&lt;&gt;"")*(MOVIMIENTOS!$A$5:$A$1005&lt;=$A200)*MOVIMIENTOS!$E$5:$E$1005)-SUMPRODUCT((MOVIMIENTOS!$B$5:$B$1005="ENVÍO A SUPESA")*(MOVIMIENTOS!$C$5:$C$1005="A")*(MOVIMIENTOS!$D$5:$D$1005="jabas")*(MOVIMIENTOS!$A$5:$A$1005&lt;&gt;"")*(MOVIMIENTOS!$A$5:$A$1005&lt;=$A200)*MOVIMIENTOS!$E$5:$E$1005)+SUMPRODUCT((MOVIMIENTOS!$B$5:$B$1005="DEVOLUCIÓN")*(MOVIMIENTOS!$C$5:$C$1005="A")*(MOVIMIENTOS!$D$5:$D$1005="jabas")*(MOVIMIENTOS!$A$5:$A$1005&lt;&gt;"")*(MOVIMIENTOS!$A$5:$A$1005&lt;=$A200)*MOVIMIENTOS!$E$5:$E$1005)-SUMPRODUCT((MOVIMIENTOS!$B$5:$B$1005="TRASIEGO")*(MOVIMIENTOS!$C$5:$C$1005="A")*(MOVIMIENTOS!$D$5:$D$1005="jabas")*(MOVIMIENTOS!$A$5:$A$1005&lt;&gt;"")*(MOVIMIENTOS!$A$5:$A$1005&lt;=$A200)*MOVIMIENTOS!$E$5:$E$1005)-SUMPRODUCT((MOVIMIENTOS!$B$5:$B$1005="REGALO")*(MOVIMIENTOS!$C$5:$C$1005="A")*(MOVIMIENTOS!$D$5:$D$1005="jabas")*(MOVIMIENTOS!$A$5:$A$1005&lt;&gt;"")*(MOVIMIENTOS!$A$5:$A$1005&lt;=$A200)*MOVIMIENTOS!$E$5:$E$1005)-SUMPRODUCT((MOVIMIENTOS!$B$5:$B$1005="VENTA")*(MOVIMIENTOS!$C$5:$C$1005="A")*(MOVIMIENTOS!$D$5:$D$1005="jabas")*(MOVIMIENTOS!$A$5:$A$1005&lt;&gt;"")*(MOVIMIENTOS!$A$5:$A$1005&lt;=$A200)*MOVIMIENTOS!$E$5:$E$1005)+SUMPRODUCT((MOVIMIENTOS!$B$5:$B$1005="AJUSTE")*(MOVIMIENTOS!$C$5:$C$1005="A")*(MOVIMIENTOS!$D$5:$D$1005="jabas")*(MOVIMIENTOS!$A$5:$A$1005&lt;&gt;"")*(MOVIMIENTOS!$A$5:$A$1005&lt;=$A200)*MOVIMIENTOS!$E$5:$E$1005))</f>
        <v/>
      </c>
      <c r="C200" s="63" t="str">
        <f>IF($A200="","",SUMPRODUCT((MOVIMIENTOS!$B$5:$B$1005="SALDO INICIAL")*(MOVIMIENTOS!$C$5:$C$1005="P")*(MOVIMIENTOS!$D$5:$D$1005="jabas")*(MOVIMIENTOS!$A$5:$A$1005&lt;&gt;"")*(MOVIMIENTOS!$A$5:$A$1005&lt;=$A200)*MOVIMIENTOS!$E$5:$E$1005)+SUMPRODUCT((MOVIMIENTOS!$B$5:$B$1005="PROCESO")*(MOVIMIENTOS!$C$5:$C$1005="P")*(MOVIMIENTOS!$D$5:$D$1005="jabas")*(MOVIMIENTOS!$A$5:$A$1005&lt;&gt;"")*(MOVIMIENTOS!$A$5:$A$1005&lt;=$A200)*MOVIMIENTOS!$E$5:$E$1005)-SUMPRODUCT((MOVIMIENTOS!$B$5:$B$1005="ENVÍO A SUPESA")*(MOVIMIENTOS!$C$5:$C$1005="P")*(MOVIMIENTOS!$D$5:$D$1005="jabas")*(MOVIMIENTOS!$A$5:$A$1005&lt;&gt;"")*(MOVIMIENTOS!$A$5:$A$1005&lt;=$A200)*MOVIMIENTOS!$E$5:$E$1005)+SUMPRODUCT((MOVIMIENTOS!$B$5:$B$1005="DEVOLUCIÓN")*(MOVIMIENTOS!$C$5:$C$1005="P")*(MOVIMIENTOS!$D$5:$D$1005="jabas")*(MOVIMIENTOS!$A$5:$A$1005&lt;&gt;"")*(MOVIMIENTOS!$A$5:$A$1005&lt;=$A200)*MOVIMIENTOS!$E$5:$E$1005)-SUMPRODUCT((MOVIMIENTOS!$B$5:$B$1005="TRASIEGO")*(MOVIMIENTOS!$C$5:$C$1005="P")*(MOVIMIENTOS!$D$5:$D$1005="jabas")*(MOVIMIENTOS!$A$5:$A$1005&lt;&gt;"")*(MOVIMIENTOS!$A$5:$A$1005&lt;=$A200)*MOVIMIENTOS!$E$5:$E$1005)-SUMPRODUCT((MOVIMIENTOS!$B$5:$B$1005="REGALO")*(MOVIMIENTOS!$C$5:$C$1005="P")*(MOVIMIENTOS!$D$5:$D$1005="jabas")*(MOVIMIENTOS!$A$5:$A$1005&lt;&gt;"")*(MOVIMIENTOS!$A$5:$A$1005&lt;=$A200)*MOVIMIENTOS!$E$5:$E$1005)-SUMPRODUCT((MOVIMIENTOS!$B$5:$B$1005="VENTA")*(MOVIMIENTOS!$C$5:$C$1005="P")*(MOVIMIENTOS!$D$5:$D$1005="jabas")*(MOVIMIENTOS!$A$5:$A$1005&lt;&gt;"")*(MOVIMIENTOS!$A$5:$A$1005&lt;=$A200)*MOVIMIENTOS!$E$5:$E$1005)+SUMPRODUCT((MOVIMIENTOS!$B$5:$B$1005="AJUSTE")*(MOVIMIENTOS!$C$5:$C$1005="P")*(MOVIMIENTOS!$D$5:$D$1005="jabas")*(MOVIMIENTOS!$A$5:$A$1005&lt;&gt;"")*(MOVIMIENTOS!$A$5:$A$1005&lt;=$A200)*MOVIMIENTOS!$E$5:$E$1005))</f>
        <v/>
      </c>
      <c r="D200" s="63" t="str">
        <f>IF($A200="","",SUMPRODUCT((MOVIMIENTOS!$B$5:$B$1005="SALDO INICIAL")*(MOVIMIENTOS!$C$5:$C$1005="C")*(MOVIMIENTOS!$D$5:$D$1005="jabas")*(MOVIMIENTOS!$A$5:$A$1005&lt;&gt;"")*(MOVIMIENTOS!$A$5:$A$1005&lt;=$A200)*MOVIMIENTOS!$E$5:$E$1005)+SUMPRODUCT((MOVIMIENTOS!$B$5:$B$1005="PROCESO")*(MOVIMIENTOS!$C$5:$C$1005="C")*(MOVIMIENTOS!$D$5:$D$1005="jabas")*(MOVIMIENTOS!$A$5:$A$1005&lt;&gt;"")*(MOVIMIENTOS!$A$5:$A$1005&lt;=$A200)*MOVIMIENTOS!$E$5:$E$1005)-SUMPRODUCT((MOVIMIENTOS!$B$5:$B$1005="ENVÍO A SUPESA")*(MOVIMIENTOS!$C$5:$C$1005="C")*(MOVIMIENTOS!$D$5:$D$1005="jabas")*(MOVIMIENTOS!$A$5:$A$1005&lt;&gt;"")*(MOVIMIENTOS!$A$5:$A$1005&lt;=$A200)*MOVIMIENTOS!$E$5:$E$1005)+SUMPRODUCT((MOVIMIENTOS!$B$5:$B$1005="DEVOLUCIÓN")*(MOVIMIENTOS!$C$5:$C$1005="C")*(MOVIMIENTOS!$D$5:$D$1005="jabas")*(MOVIMIENTOS!$A$5:$A$1005&lt;&gt;"")*(MOVIMIENTOS!$A$5:$A$1005&lt;=$A200)*MOVIMIENTOS!$E$5:$E$1005)-SUMPRODUCT((MOVIMIENTOS!$B$5:$B$1005="TRASIEGO")*(MOVIMIENTOS!$C$5:$C$1005="C")*(MOVIMIENTOS!$D$5:$D$1005="jabas")*(MOVIMIENTOS!$A$5:$A$1005&lt;&gt;"")*(MOVIMIENTOS!$A$5:$A$1005&lt;=$A200)*MOVIMIENTOS!$E$5:$E$1005)-SUMPRODUCT((MOVIMIENTOS!$B$5:$B$1005="REGALO")*(MOVIMIENTOS!$C$5:$C$1005="C")*(MOVIMIENTOS!$D$5:$D$1005="jabas")*(MOVIMIENTOS!$A$5:$A$1005&lt;&gt;"")*(MOVIMIENTOS!$A$5:$A$1005&lt;=$A200)*MOVIMIENTOS!$E$5:$E$1005)-SUMPRODUCT((MOVIMIENTOS!$B$5:$B$1005="VENTA")*(MOVIMIENTOS!$C$5:$C$1005="C")*(MOVIMIENTOS!$D$5:$D$1005="jabas")*(MOVIMIENTOS!$A$5:$A$1005&lt;&gt;"")*(MOVIMIENTOS!$A$5:$A$1005&lt;=$A200)*MOVIMIENTOS!$E$5:$E$1005)+SUMPRODUCT((MOVIMIENTOS!$B$5:$B$1005="AJUSTE")*(MOVIMIENTOS!$C$5:$C$1005="C")*(MOVIMIENTOS!$D$5:$D$1005="jabas")*(MOVIMIENTOS!$A$5:$A$1005&lt;&gt;"")*(MOVIMIENTOS!$A$5:$A$1005&lt;=$A200)*MOVIMIENTOS!$E$5:$E$1005))</f>
        <v/>
      </c>
      <c r="E200" s="63" t="str">
        <f>IF($A200="","",SUMPRODUCT((MOVIMIENTOS!$B$5:$B$1005="SALDO INICIAL")*(MOVIMIENTOS!$C$5:$C$1005="M")*(MOVIMIENTOS!$D$5:$D$1005="jabas")*(MOVIMIENTOS!$A$5:$A$1005&lt;&gt;"")*(MOVIMIENTOS!$A$5:$A$1005&lt;=$A200)*MOVIMIENTOS!$E$5:$E$1005)+SUMPRODUCT((MOVIMIENTOS!$B$5:$B$1005="PROCESO")*(MOVIMIENTOS!$C$5:$C$1005="M")*(MOVIMIENTOS!$D$5:$D$1005="jabas")*(MOVIMIENTOS!$A$5:$A$1005&lt;&gt;"")*(MOVIMIENTOS!$A$5:$A$1005&lt;=$A200)*MOVIMIENTOS!$E$5:$E$1005)-SUMPRODUCT((MOVIMIENTOS!$B$5:$B$1005="ENVÍO A SUPESA")*(MOVIMIENTOS!$C$5:$C$1005="M")*(MOVIMIENTOS!$D$5:$D$1005="jabas")*(MOVIMIENTOS!$A$5:$A$1005&lt;&gt;"")*(MOVIMIENTOS!$A$5:$A$1005&lt;=$A200)*MOVIMIENTOS!$E$5:$E$1005)+SUMPRODUCT((MOVIMIENTOS!$B$5:$B$1005="DEVOLUCIÓN")*(MOVIMIENTOS!$C$5:$C$1005="M")*(MOVIMIENTOS!$D$5:$D$1005="jabas")*(MOVIMIENTOS!$A$5:$A$1005&lt;&gt;"")*(MOVIMIENTOS!$A$5:$A$1005&lt;=$A200)*MOVIMIENTOS!$E$5:$E$1005)-SUMPRODUCT((MOVIMIENTOS!$B$5:$B$1005="TRASIEGO")*(MOVIMIENTOS!$C$5:$C$1005="M")*(MOVIMIENTOS!$D$5:$D$1005="jabas")*(MOVIMIENTOS!$A$5:$A$1005&lt;&gt;"")*(MOVIMIENTOS!$A$5:$A$1005&lt;=$A200)*MOVIMIENTOS!$E$5:$E$1005)-SUMPRODUCT((MOVIMIENTOS!$B$5:$B$1005="REGALO")*(MOVIMIENTOS!$C$5:$C$1005="M")*(MOVIMIENTOS!$D$5:$D$1005="jabas")*(MOVIMIENTOS!$A$5:$A$1005&lt;&gt;"")*(MOVIMIENTOS!$A$5:$A$1005&lt;=$A200)*MOVIMIENTOS!$E$5:$E$1005)-SUMPRODUCT((MOVIMIENTOS!$B$5:$B$1005="VENTA")*(MOVIMIENTOS!$C$5:$C$1005="M")*(MOVIMIENTOS!$D$5:$D$1005="jabas")*(MOVIMIENTOS!$A$5:$A$1005&lt;&gt;"")*(MOVIMIENTOS!$A$5:$A$1005&lt;=$A200)*MOVIMIENTOS!$E$5:$E$1005)+SUMPRODUCT((MOVIMIENTOS!$B$5:$B$1005="AJUSTE")*(MOVIMIENTOS!$C$5:$C$1005="M")*(MOVIMIENTOS!$D$5:$D$1005="jabas")*(MOVIMIENTOS!$A$5:$A$1005&lt;&gt;"")*(MOVIMIENTOS!$A$5:$A$1005&lt;=$A200)*MOVIMIENTOS!$E$5:$E$1005))</f>
        <v/>
      </c>
      <c r="F200" s="63" t="str">
        <f>IF($A200="","",SUMPRODUCT((MOVIMIENTOS!$B$5:$B$1005="SALDO INICIAL")*(MOVIMIENTOS!$C$5:$C$1005="Chancho")*(MOVIMIENTOS!$D$5:$D$1005="sacos")*(MOVIMIENTOS!$A$5:$A$1005&lt;&gt;"")*(MOVIMIENTOS!$A$5:$A$1005&lt;=$A200)*MOVIMIENTOS!$E$5:$E$1005)+SUMPRODUCT((MOVIMIENTOS!$B$5:$B$1005="PROCESO")*(MOVIMIENTOS!$C$5:$C$1005="Chancho")*(MOVIMIENTOS!$D$5:$D$1005="sacos")*(MOVIMIENTOS!$A$5:$A$1005&lt;&gt;"")*(MOVIMIENTOS!$A$5:$A$1005&lt;=$A200)*MOVIMIENTOS!$E$5:$E$1005)-SUMPRODUCT((MOVIMIENTOS!$B$5:$B$1005="VENTA CHANCHO")*(MOVIMIENTOS!$C$5:$C$1005="Chancho")*(MOVIMIENTOS!$D$5:$D$1005="sacos")*(MOVIMIENTOS!$A$5:$A$1005&lt;&gt;"")*(MOVIMIENTOS!$A$5:$A$1005&lt;=$A200)*MOVIMIENTOS!$E$5:$E$1005)-SUMPRODUCT((MOVIMIENTOS!$B$5:$B$1005="REGALO")*(MOVIMIENTOS!$C$5:$C$1005="Chancho")*(MOVIMIENTOS!$D$5:$D$1005="sacos")*(MOVIMIENTOS!$A$5:$A$1005&lt;&gt;"")*(MOVIMIENTOS!$A$5:$A$1005&lt;=$A200)*MOVIMIENTOS!$E$5:$E$1005)-SUMPRODUCT((MOVIMIENTOS!$B$5:$B$1005="VENTA")*(MOVIMIENTOS!$C$5:$C$1005="Chancho")*(MOVIMIENTOS!$D$5:$D$1005="sacos")*(MOVIMIENTOS!$A$5:$A$1005&lt;&gt;"")*(MOVIMIENTOS!$A$5:$A$1005&lt;=$A200)*MOVIMIENTOS!$E$5:$E$1005)+SUMPRODUCT((MOVIMIENTOS!$B$5:$B$1005="AJUSTE")*(MOVIMIENTOS!$C$5:$C$1005="Chancho")*(MOVIMIENTOS!$D$5:$D$1005="sacos")*(MOVIMIENTOS!$A$5:$A$1005&lt;&gt;"")*(MOVIMIENTOS!$A$5:$A$1005&lt;=$A200)*MOVIMIENTOS!$E$5:$E$1005))</f>
        <v/>
      </c>
      <c r="G200" s="95" t="str">
        <f t="shared" si="7"/>
        <v/>
      </c>
      <c r="H200" s="63" t="str">
        <f>IF($A200="","",SUMPRODUCT((((MOVIMIENTOS!$B$5:$B$1005="SALDO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200)*MOVIMIENTOS!$J$5:$J$1005))</f>
        <v/>
      </c>
      <c r="I200" s="63"/>
      <c r="J200" s="63" t="str">
        <f>IF(AND(MOVIMIENTOS!$A200&lt;&gt;"",COUNTIF(MOVIMIENTOS!$A$5:$A199,MOVIMIENTOS!$A200)=0),COUNT(J$4:J199)+1,"")</f>
        <v/>
      </c>
      <c r="K200" s="66">
        <f>MOVIMIENTOS!$A200</f>
        <v>46231</v>
      </c>
      <c r="L200" s="63"/>
      <c r="M200" s="63"/>
      <c r="N200" s="63"/>
    </row>
    <row r="201" spans="1:14" ht="15" customHeight="1" x14ac:dyDescent="0.2">
      <c r="A201" s="63" t="str">
        <f t="shared" si="6"/>
        <v/>
      </c>
      <c r="B201" s="63" t="str">
        <f>IF($A201="","",SUMPRODUCT((MOVIMIENTOS!$B$5:$B$1005="SALDO INICIAL")*(MOVIMIENTOS!$C$5:$C$1005="A")*(MOVIMIENTOS!$D$5:$D$1005="jabas")*(MOVIMIENTOS!$A$5:$A$1005&lt;&gt;"")*(MOVIMIENTOS!$A$5:$A$1005&lt;=$A201)*MOVIMIENTOS!$E$5:$E$1005)+SUMPRODUCT((MOVIMIENTOS!$B$5:$B$1005="PROCESO")*(MOVIMIENTOS!$C$5:$C$1005="A")*(MOVIMIENTOS!$D$5:$D$1005="jabas")*(MOVIMIENTOS!$A$5:$A$1005&lt;&gt;"")*(MOVIMIENTOS!$A$5:$A$1005&lt;=$A201)*MOVIMIENTOS!$E$5:$E$1005)-SUMPRODUCT((MOVIMIENTOS!$B$5:$B$1005="ENVÍO A SUPESA")*(MOVIMIENTOS!$C$5:$C$1005="A")*(MOVIMIENTOS!$D$5:$D$1005="jabas")*(MOVIMIENTOS!$A$5:$A$1005&lt;&gt;"")*(MOVIMIENTOS!$A$5:$A$1005&lt;=$A201)*MOVIMIENTOS!$E$5:$E$1005)+SUMPRODUCT((MOVIMIENTOS!$B$5:$B$1005="DEVOLUCIÓN")*(MOVIMIENTOS!$C$5:$C$1005="A")*(MOVIMIENTOS!$D$5:$D$1005="jabas")*(MOVIMIENTOS!$A$5:$A$1005&lt;&gt;"")*(MOVIMIENTOS!$A$5:$A$1005&lt;=$A201)*MOVIMIENTOS!$E$5:$E$1005)-SUMPRODUCT((MOVIMIENTOS!$B$5:$B$1005="TRASIEGO")*(MOVIMIENTOS!$C$5:$C$1005="A")*(MOVIMIENTOS!$D$5:$D$1005="jabas")*(MOVIMIENTOS!$A$5:$A$1005&lt;&gt;"")*(MOVIMIENTOS!$A$5:$A$1005&lt;=$A201)*MOVIMIENTOS!$E$5:$E$1005)-SUMPRODUCT((MOVIMIENTOS!$B$5:$B$1005="REGALO")*(MOVIMIENTOS!$C$5:$C$1005="A")*(MOVIMIENTOS!$D$5:$D$1005="jabas")*(MOVIMIENTOS!$A$5:$A$1005&lt;&gt;"")*(MOVIMIENTOS!$A$5:$A$1005&lt;=$A201)*MOVIMIENTOS!$E$5:$E$1005)-SUMPRODUCT((MOVIMIENTOS!$B$5:$B$1005="VENTA")*(MOVIMIENTOS!$C$5:$C$1005="A")*(MOVIMIENTOS!$D$5:$D$1005="jabas")*(MOVIMIENTOS!$A$5:$A$1005&lt;&gt;"")*(MOVIMIENTOS!$A$5:$A$1005&lt;=$A201)*MOVIMIENTOS!$E$5:$E$1005)+SUMPRODUCT((MOVIMIENTOS!$B$5:$B$1005="AJUSTE")*(MOVIMIENTOS!$C$5:$C$1005="A")*(MOVIMIENTOS!$D$5:$D$1005="jabas")*(MOVIMIENTOS!$A$5:$A$1005&lt;&gt;"")*(MOVIMIENTOS!$A$5:$A$1005&lt;=$A201)*MOVIMIENTOS!$E$5:$E$1005))</f>
        <v/>
      </c>
      <c r="C201" s="63" t="str">
        <f>IF($A201="","",SUMPRODUCT((MOVIMIENTOS!$B$5:$B$1005="SALDO INICIAL")*(MOVIMIENTOS!$C$5:$C$1005="P")*(MOVIMIENTOS!$D$5:$D$1005="jabas")*(MOVIMIENTOS!$A$5:$A$1005&lt;&gt;"")*(MOVIMIENTOS!$A$5:$A$1005&lt;=$A201)*MOVIMIENTOS!$E$5:$E$1005)+SUMPRODUCT((MOVIMIENTOS!$B$5:$B$1005="PROCESO")*(MOVIMIENTOS!$C$5:$C$1005="P")*(MOVIMIENTOS!$D$5:$D$1005="jabas")*(MOVIMIENTOS!$A$5:$A$1005&lt;&gt;"")*(MOVIMIENTOS!$A$5:$A$1005&lt;=$A201)*MOVIMIENTOS!$E$5:$E$1005)-SUMPRODUCT((MOVIMIENTOS!$B$5:$B$1005="ENVÍO A SUPESA")*(MOVIMIENTOS!$C$5:$C$1005="P")*(MOVIMIENTOS!$D$5:$D$1005="jabas")*(MOVIMIENTOS!$A$5:$A$1005&lt;&gt;"")*(MOVIMIENTOS!$A$5:$A$1005&lt;=$A201)*MOVIMIENTOS!$E$5:$E$1005)+SUMPRODUCT((MOVIMIENTOS!$B$5:$B$1005="DEVOLUCIÓN")*(MOVIMIENTOS!$C$5:$C$1005="P")*(MOVIMIENTOS!$D$5:$D$1005="jabas")*(MOVIMIENTOS!$A$5:$A$1005&lt;&gt;"")*(MOVIMIENTOS!$A$5:$A$1005&lt;=$A201)*MOVIMIENTOS!$E$5:$E$1005)-SUMPRODUCT((MOVIMIENTOS!$B$5:$B$1005="TRASIEGO")*(MOVIMIENTOS!$C$5:$C$1005="P")*(MOVIMIENTOS!$D$5:$D$1005="jabas")*(MOVIMIENTOS!$A$5:$A$1005&lt;&gt;"")*(MOVIMIENTOS!$A$5:$A$1005&lt;=$A201)*MOVIMIENTOS!$E$5:$E$1005)-SUMPRODUCT((MOVIMIENTOS!$B$5:$B$1005="REGALO")*(MOVIMIENTOS!$C$5:$C$1005="P")*(MOVIMIENTOS!$D$5:$D$1005="jabas")*(MOVIMIENTOS!$A$5:$A$1005&lt;&gt;"")*(MOVIMIENTOS!$A$5:$A$1005&lt;=$A201)*MOVIMIENTOS!$E$5:$E$1005)-SUMPRODUCT((MOVIMIENTOS!$B$5:$B$1005="VENTA")*(MOVIMIENTOS!$C$5:$C$1005="P")*(MOVIMIENTOS!$D$5:$D$1005="jabas")*(MOVIMIENTOS!$A$5:$A$1005&lt;&gt;"")*(MOVIMIENTOS!$A$5:$A$1005&lt;=$A201)*MOVIMIENTOS!$E$5:$E$1005)+SUMPRODUCT((MOVIMIENTOS!$B$5:$B$1005="AJUSTE")*(MOVIMIENTOS!$C$5:$C$1005="P")*(MOVIMIENTOS!$D$5:$D$1005="jabas")*(MOVIMIENTOS!$A$5:$A$1005&lt;&gt;"")*(MOVIMIENTOS!$A$5:$A$1005&lt;=$A201)*MOVIMIENTOS!$E$5:$E$1005))</f>
        <v/>
      </c>
      <c r="D201" s="63" t="str">
        <f>IF($A201="","",SUMPRODUCT((MOVIMIENTOS!$B$5:$B$1005="SALDO INICIAL")*(MOVIMIENTOS!$C$5:$C$1005="C")*(MOVIMIENTOS!$D$5:$D$1005="jabas")*(MOVIMIENTOS!$A$5:$A$1005&lt;&gt;"")*(MOVIMIENTOS!$A$5:$A$1005&lt;=$A201)*MOVIMIENTOS!$E$5:$E$1005)+SUMPRODUCT((MOVIMIENTOS!$B$5:$B$1005="PROCESO")*(MOVIMIENTOS!$C$5:$C$1005="C")*(MOVIMIENTOS!$D$5:$D$1005="jabas")*(MOVIMIENTOS!$A$5:$A$1005&lt;&gt;"")*(MOVIMIENTOS!$A$5:$A$1005&lt;=$A201)*MOVIMIENTOS!$E$5:$E$1005)-SUMPRODUCT((MOVIMIENTOS!$B$5:$B$1005="ENVÍO A SUPESA")*(MOVIMIENTOS!$C$5:$C$1005="C")*(MOVIMIENTOS!$D$5:$D$1005="jabas")*(MOVIMIENTOS!$A$5:$A$1005&lt;&gt;"")*(MOVIMIENTOS!$A$5:$A$1005&lt;=$A201)*MOVIMIENTOS!$E$5:$E$1005)+SUMPRODUCT((MOVIMIENTOS!$B$5:$B$1005="DEVOLUCIÓN")*(MOVIMIENTOS!$C$5:$C$1005="C")*(MOVIMIENTOS!$D$5:$D$1005="jabas")*(MOVIMIENTOS!$A$5:$A$1005&lt;&gt;"")*(MOVIMIENTOS!$A$5:$A$1005&lt;=$A201)*MOVIMIENTOS!$E$5:$E$1005)-SUMPRODUCT((MOVIMIENTOS!$B$5:$B$1005="TRASIEGO")*(MOVIMIENTOS!$C$5:$C$1005="C")*(MOVIMIENTOS!$D$5:$D$1005="jabas")*(MOVIMIENTOS!$A$5:$A$1005&lt;&gt;"")*(MOVIMIENTOS!$A$5:$A$1005&lt;=$A201)*MOVIMIENTOS!$E$5:$E$1005)-SUMPRODUCT((MOVIMIENTOS!$B$5:$B$1005="REGALO")*(MOVIMIENTOS!$C$5:$C$1005="C")*(MOVIMIENTOS!$D$5:$D$1005="jabas")*(MOVIMIENTOS!$A$5:$A$1005&lt;&gt;"")*(MOVIMIENTOS!$A$5:$A$1005&lt;=$A201)*MOVIMIENTOS!$E$5:$E$1005)-SUMPRODUCT((MOVIMIENTOS!$B$5:$B$1005="VENTA")*(MOVIMIENTOS!$C$5:$C$1005="C")*(MOVIMIENTOS!$D$5:$D$1005="jabas")*(MOVIMIENTOS!$A$5:$A$1005&lt;&gt;"")*(MOVIMIENTOS!$A$5:$A$1005&lt;=$A201)*MOVIMIENTOS!$E$5:$E$1005)+SUMPRODUCT((MOVIMIENTOS!$B$5:$B$1005="AJUSTE")*(MOVIMIENTOS!$C$5:$C$1005="C")*(MOVIMIENTOS!$D$5:$D$1005="jabas")*(MOVIMIENTOS!$A$5:$A$1005&lt;&gt;"")*(MOVIMIENTOS!$A$5:$A$1005&lt;=$A201)*MOVIMIENTOS!$E$5:$E$1005))</f>
        <v/>
      </c>
      <c r="E201" s="63" t="str">
        <f>IF($A201="","",SUMPRODUCT((MOVIMIENTOS!$B$5:$B$1005="SALDO INICIAL")*(MOVIMIENTOS!$C$5:$C$1005="M")*(MOVIMIENTOS!$D$5:$D$1005="jabas")*(MOVIMIENTOS!$A$5:$A$1005&lt;&gt;"")*(MOVIMIENTOS!$A$5:$A$1005&lt;=$A201)*MOVIMIENTOS!$E$5:$E$1005)+SUMPRODUCT((MOVIMIENTOS!$B$5:$B$1005="PROCESO")*(MOVIMIENTOS!$C$5:$C$1005="M")*(MOVIMIENTOS!$D$5:$D$1005="jabas")*(MOVIMIENTOS!$A$5:$A$1005&lt;&gt;"")*(MOVIMIENTOS!$A$5:$A$1005&lt;=$A201)*MOVIMIENTOS!$E$5:$E$1005)-SUMPRODUCT((MOVIMIENTOS!$B$5:$B$1005="ENVÍO A SUPESA")*(MOVIMIENTOS!$C$5:$C$1005="M")*(MOVIMIENTOS!$D$5:$D$1005="jabas")*(MOVIMIENTOS!$A$5:$A$1005&lt;&gt;"")*(MOVIMIENTOS!$A$5:$A$1005&lt;=$A201)*MOVIMIENTOS!$E$5:$E$1005)+SUMPRODUCT((MOVIMIENTOS!$B$5:$B$1005="DEVOLUCIÓN")*(MOVIMIENTOS!$C$5:$C$1005="M")*(MOVIMIENTOS!$D$5:$D$1005="jabas")*(MOVIMIENTOS!$A$5:$A$1005&lt;&gt;"")*(MOVIMIENTOS!$A$5:$A$1005&lt;=$A201)*MOVIMIENTOS!$E$5:$E$1005)-SUMPRODUCT((MOVIMIENTOS!$B$5:$B$1005="TRASIEGO")*(MOVIMIENTOS!$C$5:$C$1005="M")*(MOVIMIENTOS!$D$5:$D$1005="jabas")*(MOVIMIENTOS!$A$5:$A$1005&lt;&gt;"")*(MOVIMIENTOS!$A$5:$A$1005&lt;=$A201)*MOVIMIENTOS!$E$5:$E$1005)-SUMPRODUCT((MOVIMIENTOS!$B$5:$B$1005="REGALO")*(MOVIMIENTOS!$C$5:$C$1005="M")*(MOVIMIENTOS!$D$5:$D$1005="jabas")*(MOVIMIENTOS!$A$5:$A$1005&lt;&gt;"")*(MOVIMIENTOS!$A$5:$A$1005&lt;=$A201)*MOVIMIENTOS!$E$5:$E$1005)-SUMPRODUCT((MOVIMIENTOS!$B$5:$B$1005="VENTA")*(MOVIMIENTOS!$C$5:$C$1005="M")*(MOVIMIENTOS!$D$5:$D$1005="jabas")*(MOVIMIENTOS!$A$5:$A$1005&lt;&gt;"")*(MOVIMIENTOS!$A$5:$A$1005&lt;=$A201)*MOVIMIENTOS!$E$5:$E$1005)+SUMPRODUCT((MOVIMIENTOS!$B$5:$B$1005="AJUSTE")*(MOVIMIENTOS!$C$5:$C$1005="M")*(MOVIMIENTOS!$D$5:$D$1005="jabas")*(MOVIMIENTOS!$A$5:$A$1005&lt;&gt;"")*(MOVIMIENTOS!$A$5:$A$1005&lt;=$A201)*MOVIMIENTOS!$E$5:$E$1005))</f>
        <v/>
      </c>
      <c r="F201" s="63" t="str">
        <f>IF($A201="","",SUMPRODUCT((MOVIMIENTOS!$B$5:$B$1005="SALDO INICIAL")*(MOVIMIENTOS!$C$5:$C$1005="Chancho")*(MOVIMIENTOS!$D$5:$D$1005="sacos")*(MOVIMIENTOS!$A$5:$A$1005&lt;&gt;"")*(MOVIMIENTOS!$A$5:$A$1005&lt;=$A201)*MOVIMIENTOS!$E$5:$E$1005)+SUMPRODUCT((MOVIMIENTOS!$B$5:$B$1005="PROCESO")*(MOVIMIENTOS!$C$5:$C$1005="Chancho")*(MOVIMIENTOS!$D$5:$D$1005="sacos")*(MOVIMIENTOS!$A$5:$A$1005&lt;&gt;"")*(MOVIMIENTOS!$A$5:$A$1005&lt;=$A201)*MOVIMIENTOS!$E$5:$E$1005)-SUMPRODUCT((MOVIMIENTOS!$B$5:$B$1005="VENTA CHANCHO")*(MOVIMIENTOS!$C$5:$C$1005="Chancho")*(MOVIMIENTOS!$D$5:$D$1005="sacos")*(MOVIMIENTOS!$A$5:$A$1005&lt;&gt;"")*(MOVIMIENTOS!$A$5:$A$1005&lt;=$A201)*MOVIMIENTOS!$E$5:$E$1005)-SUMPRODUCT((MOVIMIENTOS!$B$5:$B$1005="REGALO")*(MOVIMIENTOS!$C$5:$C$1005="Chancho")*(MOVIMIENTOS!$D$5:$D$1005="sacos")*(MOVIMIENTOS!$A$5:$A$1005&lt;&gt;"")*(MOVIMIENTOS!$A$5:$A$1005&lt;=$A201)*MOVIMIENTOS!$E$5:$E$1005)-SUMPRODUCT((MOVIMIENTOS!$B$5:$B$1005="VENTA")*(MOVIMIENTOS!$C$5:$C$1005="Chancho")*(MOVIMIENTOS!$D$5:$D$1005="sacos")*(MOVIMIENTOS!$A$5:$A$1005&lt;&gt;"")*(MOVIMIENTOS!$A$5:$A$1005&lt;=$A201)*MOVIMIENTOS!$E$5:$E$1005)+SUMPRODUCT((MOVIMIENTOS!$B$5:$B$1005="AJUSTE")*(MOVIMIENTOS!$C$5:$C$1005="Chancho")*(MOVIMIENTOS!$D$5:$D$1005="sacos")*(MOVIMIENTOS!$A$5:$A$1005&lt;&gt;"")*(MOVIMIENTOS!$A$5:$A$1005&lt;=$A201)*MOVIMIENTOS!$E$5:$E$1005))</f>
        <v/>
      </c>
      <c r="G201" s="95" t="str">
        <f t="shared" si="7"/>
        <v/>
      </c>
      <c r="H201" s="63" t="str">
        <f>IF($A201="","",SUMPRODUCT((((MOVIMIENTOS!$B$5:$B$1005="SALDO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201)*MOVIMIENTOS!$J$5:$J$1005))</f>
        <v/>
      </c>
      <c r="I201" s="63"/>
      <c r="J201" s="63" t="str">
        <f>IF(AND(MOVIMIENTOS!$A201&lt;&gt;"",COUNTIF(MOVIMIENTOS!$A$5:$A200,MOVIMIENTOS!$A201)=0),COUNT(J$4:J200)+1,"")</f>
        <v/>
      </c>
      <c r="K201" s="66">
        <f>MOVIMIENTOS!$A201</f>
        <v>46231</v>
      </c>
      <c r="L201" s="63"/>
      <c r="M201" s="63"/>
      <c r="N201" s="63"/>
    </row>
    <row r="202" spans="1:14" ht="15" customHeight="1" x14ac:dyDescent="0.2">
      <c r="A202" s="63" t="str">
        <f t="shared" si="6"/>
        <v/>
      </c>
      <c r="B202" s="63" t="str">
        <f>IF($A202="","",SUMPRODUCT((MOVIMIENTOS!$B$5:$B$1005="SALDO INICIAL")*(MOVIMIENTOS!$C$5:$C$1005="A")*(MOVIMIENTOS!$D$5:$D$1005="jabas")*(MOVIMIENTOS!$A$5:$A$1005&lt;&gt;"")*(MOVIMIENTOS!$A$5:$A$1005&lt;=$A202)*MOVIMIENTOS!$E$5:$E$1005)+SUMPRODUCT((MOVIMIENTOS!$B$5:$B$1005="PROCESO")*(MOVIMIENTOS!$C$5:$C$1005="A")*(MOVIMIENTOS!$D$5:$D$1005="jabas")*(MOVIMIENTOS!$A$5:$A$1005&lt;&gt;"")*(MOVIMIENTOS!$A$5:$A$1005&lt;=$A202)*MOVIMIENTOS!$E$5:$E$1005)-SUMPRODUCT((MOVIMIENTOS!$B$5:$B$1005="ENVÍO A SUPESA")*(MOVIMIENTOS!$C$5:$C$1005="A")*(MOVIMIENTOS!$D$5:$D$1005="jabas")*(MOVIMIENTOS!$A$5:$A$1005&lt;&gt;"")*(MOVIMIENTOS!$A$5:$A$1005&lt;=$A202)*MOVIMIENTOS!$E$5:$E$1005)+SUMPRODUCT((MOVIMIENTOS!$B$5:$B$1005="DEVOLUCIÓN")*(MOVIMIENTOS!$C$5:$C$1005="A")*(MOVIMIENTOS!$D$5:$D$1005="jabas")*(MOVIMIENTOS!$A$5:$A$1005&lt;&gt;"")*(MOVIMIENTOS!$A$5:$A$1005&lt;=$A202)*MOVIMIENTOS!$E$5:$E$1005)-SUMPRODUCT((MOVIMIENTOS!$B$5:$B$1005="TRASIEGO")*(MOVIMIENTOS!$C$5:$C$1005="A")*(MOVIMIENTOS!$D$5:$D$1005="jabas")*(MOVIMIENTOS!$A$5:$A$1005&lt;&gt;"")*(MOVIMIENTOS!$A$5:$A$1005&lt;=$A202)*MOVIMIENTOS!$E$5:$E$1005)-SUMPRODUCT((MOVIMIENTOS!$B$5:$B$1005="REGALO")*(MOVIMIENTOS!$C$5:$C$1005="A")*(MOVIMIENTOS!$D$5:$D$1005="jabas")*(MOVIMIENTOS!$A$5:$A$1005&lt;&gt;"")*(MOVIMIENTOS!$A$5:$A$1005&lt;=$A202)*MOVIMIENTOS!$E$5:$E$1005)-SUMPRODUCT((MOVIMIENTOS!$B$5:$B$1005="VENTA")*(MOVIMIENTOS!$C$5:$C$1005="A")*(MOVIMIENTOS!$D$5:$D$1005="jabas")*(MOVIMIENTOS!$A$5:$A$1005&lt;&gt;"")*(MOVIMIENTOS!$A$5:$A$1005&lt;=$A202)*MOVIMIENTOS!$E$5:$E$1005)+SUMPRODUCT((MOVIMIENTOS!$B$5:$B$1005="AJUSTE")*(MOVIMIENTOS!$C$5:$C$1005="A")*(MOVIMIENTOS!$D$5:$D$1005="jabas")*(MOVIMIENTOS!$A$5:$A$1005&lt;&gt;"")*(MOVIMIENTOS!$A$5:$A$1005&lt;=$A202)*MOVIMIENTOS!$E$5:$E$1005))</f>
        <v/>
      </c>
      <c r="C202" s="63" t="str">
        <f>IF($A202="","",SUMPRODUCT((MOVIMIENTOS!$B$5:$B$1005="SALDO INICIAL")*(MOVIMIENTOS!$C$5:$C$1005="P")*(MOVIMIENTOS!$D$5:$D$1005="jabas")*(MOVIMIENTOS!$A$5:$A$1005&lt;&gt;"")*(MOVIMIENTOS!$A$5:$A$1005&lt;=$A202)*MOVIMIENTOS!$E$5:$E$1005)+SUMPRODUCT((MOVIMIENTOS!$B$5:$B$1005="PROCESO")*(MOVIMIENTOS!$C$5:$C$1005="P")*(MOVIMIENTOS!$D$5:$D$1005="jabas")*(MOVIMIENTOS!$A$5:$A$1005&lt;&gt;"")*(MOVIMIENTOS!$A$5:$A$1005&lt;=$A202)*MOVIMIENTOS!$E$5:$E$1005)-SUMPRODUCT((MOVIMIENTOS!$B$5:$B$1005="ENVÍO A SUPESA")*(MOVIMIENTOS!$C$5:$C$1005="P")*(MOVIMIENTOS!$D$5:$D$1005="jabas")*(MOVIMIENTOS!$A$5:$A$1005&lt;&gt;"")*(MOVIMIENTOS!$A$5:$A$1005&lt;=$A202)*MOVIMIENTOS!$E$5:$E$1005)+SUMPRODUCT((MOVIMIENTOS!$B$5:$B$1005="DEVOLUCIÓN")*(MOVIMIENTOS!$C$5:$C$1005="P")*(MOVIMIENTOS!$D$5:$D$1005="jabas")*(MOVIMIENTOS!$A$5:$A$1005&lt;&gt;"")*(MOVIMIENTOS!$A$5:$A$1005&lt;=$A202)*MOVIMIENTOS!$E$5:$E$1005)-SUMPRODUCT((MOVIMIENTOS!$B$5:$B$1005="TRASIEGO")*(MOVIMIENTOS!$C$5:$C$1005="P")*(MOVIMIENTOS!$D$5:$D$1005="jabas")*(MOVIMIENTOS!$A$5:$A$1005&lt;&gt;"")*(MOVIMIENTOS!$A$5:$A$1005&lt;=$A202)*MOVIMIENTOS!$E$5:$E$1005)-SUMPRODUCT((MOVIMIENTOS!$B$5:$B$1005="REGALO")*(MOVIMIENTOS!$C$5:$C$1005="P")*(MOVIMIENTOS!$D$5:$D$1005="jabas")*(MOVIMIENTOS!$A$5:$A$1005&lt;&gt;"")*(MOVIMIENTOS!$A$5:$A$1005&lt;=$A202)*MOVIMIENTOS!$E$5:$E$1005)-SUMPRODUCT((MOVIMIENTOS!$B$5:$B$1005="VENTA")*(MOVIMIENTOS!$C$5:$C$1005="P")*(MOVIMIENTOS!$D$5:$D$1005="jabas")*(MOVIMIENTOS!$A$5:$A$1005&lt;&gt;"")*(MOVIMIENTOS!$A$5:$A$1005&lt;=$A202)*MOVIMIENTOS!$E$5:$E$1005)+SUMPRODUCT((MOVIMIENTOS!$B$5:$B$1005="AJUSTE")*(MOVIMIENTOS!$C$5:$C$1005="P")*(MOVIMIENTOS!$D$5:$D$1005="jabas")*(MOVIMIENTOS!$A$5:$A$1005&lt;&gt;"")*(MOVIMIENTOS!$A$5:$A$1005&lt;=$A202)*MOVIMIENTOS!$E$5:$E$1005))</f>
        <v/>
      </c>
      <c r="D202" s="63" t="str">
        <f>IF($A202="","",SUMPRODUCT((MOVIMIENTOS!$B$5:$B$1005="SALDO INICIAL")*(MOVIMIENTOS!$C$5:$C$1005="C")*(MOVIMIENTOS!$D$5:$D$1005="jabas")*(MOVIMIENTOS!$A$5:$A$1005&lt;&gt;"")*(MOVIMIENTOS!$A$5:$A$1005&lt;=$A202)*MOVIMIENTOS!$E$5:$E$1005)+SUMPRODUCT((MOVIMIENTOS!$B$5:$B$1005="PROCESO")*(MOVIMIENTOS!$C$5:$C$1005="C")*(MOVIMIENTOS!$D$5:$D$1005="jabas")*(MOVIMIENTOS!$A$5:$A$1005&lt;&gt;"")*(MOVIMIENTOS!$A$5:$A$1005&lt;=$A202)*MOVIMIENTOS!$E$5:$E$1005)-SUMPRODUCT((MOVIMIENTOS!$B$5:$B$1005="ENVÍO A SUPESA")*(MOVIMIENTOS!$C$5:$C$1005="C")*(MOVIMIENTOS!$D$5:$D$1005="jabas")*(MOVIMIENTOS!$A$5:$A$1005&lt;&gt;"")*(MOVIMIENTOS!$A$5:$A$1005&lt;=$A202)*MOVIMIENTOS!$E$5:$E$1005)+SUMPRODUCT((MOVIMIENTOS!$B$5:$B$1005="DEVOLUCIÓN")*(MOVIMIENTOS!$C$5:$C$1005="C")*(MOVIMIENTOS!$D$5:$D$1005="jabas")*(MOVIMIENTOS!$A$5:$A$1005&lt;&gt;"")*(MOVIMIENTOS!$A$5:$A$1005&lt;=$A202)*MOVIMIENTOS!$E$5:$E$1005)-SUMPRODUCT((MOVIMIENTOS!$B$5:$B$1005="TRASIEGO")*(MOVIMIENTOS!$C$5:$C$1005="C")*(MOVIMIENTOS!$D$5:$D$1005="jabas")*(MOVIMIENTOS!$A$5:$A$1005&lt;&gt;"")*(MOVIMIENTOS!$A$5:$A$1005&lt;=$A202)*MOVIMIENTOS!$E$5:$E$1005)-SUMPRODUCT((MOVIMIENTOS!$B$5:$B$1005="REGALO")*(MOVIMIENTOS!$C$5:$C$1005="C")*(MOVIMIENTOS!$D$5:$D$1005="jabas")*(MOVIMIENTOS!$A$5:$A$1005&lt;&gt;"")*(MOVIMIENTOS!$A$5:$A$1005&lt;=$A202)*MOVIMIENTOS!$E$5:$E$1005)-SUMPRODUCT((MOVIMIENTOS!$B$5:$B$1005="VENTA")*(MOVIMIENTOS!$C$5:$C$1005="C")*(MOVIMIENTOS!$D$5:$D$1005="jabas")*(MOVIMIENTOS!$A$5:$A$1005&lt;&gt;"")*(MOVIMIENTOS!$A$5:$A$1005&lt;=$A202)*MOVIMIENTOS!$E$5:$E$1005)+SUMPRODUCT((MOVIMIENTOS!$B$5:$B$1005="AJUSTE")*(MOVIMIENTOS!$C$5:$C$1005="C")*(MOVIMIENTOS!$D$5:$D$1005="jabas")*(MOVIMIENTOS!$A$5:$A$1005&lt;&gt;"")*(MOVIMIENTOS!$A$5:$A$1005&lt;=$A202)*MOVIMIENTOS!$E$5:$E$1005))</f>
        <v/>
      </c>
      <c r="E202" s="63" t="str">
        <f>IF($A202="","",SUMPRODUCT((MOVIMIENTOS!$B$5:$B$1005="SALDO INICIAL")*(MOVIMIENTOS!$C$5:$C$1005="M")*(MOVIMIENTOS!$D$5:$D$1005="jabas")*(MOVIMIENTOS!$A$5:$A$1005&lt;&gt;"")*(MOVIMIENTOS!$A$5:$A$1005&lt;=$A202)*MOVIMIENTOS!$E$5:$E$1005)+SUMPRODUCT((MOVIMIENTOS!$B$5:$B$1005="PROCESO")*(MOVIMIENTOS!$C$5:$C$1005="M")*(MOVIMIENTOS!$D$5:$D$1005="jabas")*(MOVIMIENTOS!$A$5:$A$1005&lt;&gt;"")*(MOVIMIENTOS!$A$5:$A$1005&lt;=$A202)*MOVIMIENTOS!$E$5:$E$1005)-SUMPRODUCT((MOVIMIENTOS!$B$5:$B$1005="ENVÍO A SUPESA")*(MOVIMIENTOS!$C$5:$C$1005="M")*(MOVIMIENTOS!$D$5:$D$1005="jabas")*(MOVIMIENTOS!$A$5:$A$1005&lt;&gt;"")*(MOVIMIENTOS!$A$5:$A$1005&lt;=$A202)*MOVIMIENTOS!$E$5:$E$1005)+SUMPRODUCT((MOVIMIENTOS!$B$5:$B$1005="DEVOLUCIÓN")*(MOVIMIENTOS!$C$5:$C$1005="M")*(MOVIMIENTOS!$D$5:$D$1005="jabas")*(MOVIMIENTOS!$A$5:$A$1005&lt;&gt;"")*(MOVIMIENTOS!$A$5:$A$1005&lt;=$A202)*MOVIMIENTOS!$E$5:$E$1005)-SUMPRODUCT((MOVIMIENTOS!$B$5:$B$1005="TRASIEGO")*(MOVIMIENTOS!$C$5:$C$1005="M")*(MOVIMIENTOS!$D$5:$D$1005="jabas")*(MOVIMIENTOS!$A$5:$A$1005&lt;&gt;"")*(MOVIMIENTOS!$A$5:$A$1005&lt;=$A202)*MOVIMIENTOS!$E$5:$E$1005)-SUMPRODUCT((MOVIMIENTOS!$B$5:$B$1005="REGALO")*(MOVIMIENTOS!$C$5:$C$1005="M")*(MOVIMIENTOS!$D$5:$D$1005="jabas")*(MOVIMIENTOS!$A$5:$A$1005&lt;&gt;"")*(MOVIMIENTOS!$A$5:$A$1005&lt;=$A202)*MOVIMIENTOS!$E$5:$E$1005)-SUMPRODUCT((MOVIMIENTOS!$B$5:$B$1005="VENTA")*(MOVIMIENTOS!$C$5:$C$1005="M")*(MOVIMIENTOS!$D$5:$D$1005="jabas")*(MOVIMIENTOS!$A$5:$A$1005&lt;&gt;"")*(MOVIMIENTOS!$A$5:$A$1005&lt;=$A202)*MOVIMIENTOS!$E$5:$E$1005)+SUMPRODUCT((MOVIMIENTOS!$B$5:$B$1005="AJUSTE")*(MOVIMIENTOS!$C$5:$C$1005="M")*(MOVIMIENTOS!$D$5:$D$1005="jabas")*(MOVIMIENTOS!$A$5:$A$1005&lt;&gt;"")*(MOVIMIENTOS!$A$5:$A$1005&lt;=$A202)*MOVIMIENTOS!$E$5:$E$1005))</f>
        <v/>
      </c>
      <c r="F202" s="63" t="str">
        <f>IF($A202="","",SUMPRODUCT((MOVIMIENTOS!$B$5:$B$1005="SALDO INICIAL")*(MOVIMIENTOS!$C$5:$C$1005="Chancho")*(MOVIMIENTOS!$D$5:$D$1005="sacos")*(MOVIMIENTOS!$A$5:$A$1005&lt;&gt;"")*(MOVIMIENTOS!$A$5:$A$1005&lt;=$A202)*MOVIMIENTOS!$E$5:$E$1005)+SUMPRODUCT((MOVIMIENTOS!$B$5:$B$1005="PROCESO")*(MOVIMIENTOS!$C$5:$C$1005="Chancho")*(MOVIMIENTOS!$D$5:$D$1005="sacos")*(MOVIMIENTOS!$A$5:$A$1005&lt;&gt;"")*(MOVIMIENTOS!$A$5:$A$1005&lt;=$A202)*MOVIMIENTOS!$E$5:$E$1005)-SUMPRODUCT((MOVIMIENTOS!$B$5:$B$1005="VENTA CHANCHO")*(MOVIMIENTOS!$C$5:$C$1005="Chancho")*(MOVIMIENTOS!$D$5:$D$1005="sacos")*(MOVIMIENTOS!$A$5:$A$1005&lt;&gt;"")*(MOVIMIENTOS!$A$5:$A$1005&lt;=$A202)*MOVIMIENTOS!$E$5:$E$1005)-SUMPRODUCT((MOVIMIENTOS!$B$5:$B$1005="REGALO")*(MOVIMIENTOS!$C$5:$C$1005="Chancho")*(MOVIMIENTOS!$D$5:$D$1005="sacos")*(MOVIMIENTOS!$A$5:$A$1005&lt;&gt;"")*(MOVIMIENTOS!$A$5:$A$1005&lt;=$A202)*MOVIMIENTOS!$E$5:$E$1005)-SUMPRODUCT((MOVIMIENTOS!$B$5:$B$1005="VENTA")*(MOVIMIENTOS!$C$5:$C$1005="Chancho")*(MOVIMIENTOS!$D$5:$D$1005="sacos")*(MOVIMIENTOS!$A$5:$A$1005&lt;&gt;"")*(MOVIMIENTOS!$A$5:$A$1005&lt;=$A202)*MOVIMIENTOS!$E$5:$E$1005)+SUMPRODUCT((MOVIMIENTOS!$B$5:$B$1005="AJUSTE")*(MOVIMIENTOS!$C$5:$C$1005="Chancho")*(MOVIMIENTOS!$D$5:$D$1005="sacos")*(MOVIMIENTOS!$A$5:$A$1005&lt;&gt;"")*(MOVIMIENTOS!$A$5:$A$1005&lt;=$A202)*MOVIMIENTOS!$E$5:$E$1005))</f>
        <v/>
      </c>
      <c r="G202" s="95" t="str">
        <f t="shared" si="7"/>
        <v/>
      </c>
      <c r="H202" s="63" t="str">
        <f>IF($A202="","",SUMPRODUCT((((MOVIMIENTOS!$B$5:$B$1005="SALDO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202)*MOVIMIENTOS!$J$5:$J$1005))</f>
        <v/>
      </c>
      <c r="I202" s="63"/>
      <c r="J202" s="63" t="str">
        <f>IF(AND(MOVIMIENTOS!$A202&lt;&gt;"",COUNTIF(MOVIMIENTOS!$A$5:$A201,MOVIMIENTOS!$A202)=0),COUNT(J$4:J201)+1,"")</f>
        <v/>
      </c>
      <c r="K202" s="66">
        <f>MOVIMIENTOS!$A202</f>
        <v>46231</v>
      </c>
      <c r="L202" s="63"/>
      <c r="M202" s="63"/>
      <c r="N202" s="63"/>
    </row>
    <row r="203" spans="1:14" ht="15" customHeight="1" x14ac:dyDescent="0.2">
      <c r="A203" s="63" t="str">
        <f t="shared" si="6"/>
        <v/>
      </c>
      <c r="B203" s="63" t="str">
        <f>IF($A203="","",SUMPRODUCT((MOVIMIENTOS!$B$5:$B$1005="SALDO INICIAL")*(MOVIMIENTOS!$C$5:$C$1005="A")*(MOVIMIENTOS!$D$5:$D$1005="jabas")*(MOVIMIENTOS!$A$5:$A$1005&lt;&gt;"")*(MOVIMIENTOS!$A$5:$A$1005&lt;=$A203)*MOVIMIENTOS!$E$5:$E$1005)+SUMPRODUCT((MOVIMIENTOS!$B$5:$B$1005="PROCESO")*(MOVIMIENTOS!$C$5:$C$1005="A")*(MOVIMIENTOS!$D$5:$D$1005="jabas")*(MOVIMIENTOS!$A$5:$A$1005&lt;&gt;"")*(MOVIMIENTOS!$A$5:$A$1005&lt;=$A203)*MOVIMIENTOS!$E$5:$E$1005)-SUMPRODUCT((MOVIMIENTOS!$B$5:$B$1005="ENVÍO A SUPESA")*(MOVIMIENTOS!$C$5:$C$1005="A")*(MOVIMIENTOS!$D$5:$D$1005="jabas")*(MOVIMIENTOS!$A$5:$A$1005&lt;&gt;"")*(MOVIMIENTOS!$A$5:$A$1005&lt;=$A203)*MOVIMIENTOS!$E$5:$E$1005)+SUMPRODUCT((MOVIMIENTOS!$B$5:$B$1005="DEVOLUCIÓN")*(MOVIMIENTOS!$C$5:$C$1005="A")*(MOVIMIENTOS!$D$5:$D$1005="jabas")*(MOVIMIENTOS!$A$5:$A$1005&lt;&gt;"")*(MOVIMIENTOS!$A$5:$A$1005&lt;=$A203)*MOVIMIENTOS!$E$5:$E$1005)-SUMPRODUCT((MOVIMIENTOS!$B$5:$B$1005="TRASIEGO")*(MOVIMIENTOS!$C$5:$C$1005="A")*(MOVIMIENTOS!$D$5:$D$1005="jabas")*(MOVIMIENTOS!$A$5:$A$1005&lt;&gt;"")*(MOVIMIENTOS!$A$5:$A$1005&lt;=$A203)*MOVIMIENTOS!$E$5:$E$1005)-SUMPRODUCT((MOVIMIENTOS!$B$5:$B$1005="REGALO")*(MOVIMIENTOS!$C$5:$C$1005="A")*(MOVIMIENTOS!$D$5:$D$1005="jabas")*(MOVIMIENTOS!$A$5:$A$1005&lt;&gt;"")*(MOVIMIENTOS!$A$5:$A$1005&lt;=$A203)*MOVIMIENTOS!$E$5:$E$1005)-SUMPRODUCT((MOVIMIENTOS!$B$5:$B$1005="VENTA")*(MOVIMIENTOS!$C$5:$C$1005="A")*(MOVIMIENTOS!$D$5:$D$1005="jabas")*(MOVIMIENTOS!$A$5:$A$1005&lt;&gt;"")*(MOVIMIENTOS!$A$5:$A$1005&lt;=$A203)*MOVIMIENTOS!$E$5:$E$1005)+SUMPRODUCT((MOVIMIENTOS!$B$5:$B$1005="AJUSTE")*(MOVIMIENTOS!$C$5:$C$1005="A")*(MOVIMIENTOS!$D$5:$D$1005="jabas")*(MOVIMIENTOS!$A$5:$A$1005&lt;&gt;"")*(MOVIMIENTOS!$A$5:$A$1005&lt;=$A203)*MOVIMIENTOS!$E$5:$E$1005))</f>
        <v/>
      </c>
      <c r="C203" s="63" t="str">
        <f>IF($A203="","",SUMPRODUCT((MOVIMIENTOS!$B$5:$B$1005="SALDO INICIAL")*(MOVIMIENTOS!$C$5:$C$1005="P")*(MOVIMIENTOS!$D$5:$D$1005="jabas")*(MOVIMIENTOS!$A$5:$A$1005&lt;&gt;"")*(MOVIMIENTOS!$A$5:$A$1005&lt;=$A203)*MOVIMIENTOS!$E$5:$E$1005)+SUMPRODUCT((MOVIMIENTOS!$B$5:$B$1005="PROCESO")*(MOVIMIENTOS!$C$5:$C$1005="P")*(MOVIMIENTOS!$D$5:$D$1005="jabas")*(MOVIMIENTOS!$A$5:$A$1005&lt;&gt;"")*(MOVIMIENTOS!$A$5:$A$1005&lt;=$A203)*MOVIMIENTOS!$E$5:$E$1005)-SUMPRODUCT((MOVIMIENTOS!$B$5:$B$1005="ENVÍO A SUPESA")*(MOVIMIENTOS!$C$5:$C$1005="P")*(MOVIMIENTOS!$D$5:$D$1005="jabas")*(MOVIMIENTOS!$A$5:$A$1005&lt;&gt;"")*(MOVIMIENTOS!$A$5:$A$1005&lt;=$A203)*MOVIMIENTOS!$E$5:$E$1005)+SUMPRODUCT((MOVIMIENTOS!$B$5:$B$1005="DEVOLUCIÓN")*(MOVIMIENTOS!$C$5:$C$1005="P")*(MOVIMIENTOS!$D$5:$D$1005="jabas")*(MOVIMIENTOS!$A$5:$A$1005&lt;&gt;"")*(MOVIMIENTOS!$A$5:$A$1005&lt;=$A203)*MOVIMIENTOS!$E$5:$E$1005)-SUMPRODUCT((MOVIMIENTOS!$B$5:$B$1005="TRASIEGO")*(MOVIMIENTOS!$C$5:$C$1005="P")*(MOVIMIENTOS!$D$5:$D$1005="jabas")*(MOVIMIENTOS!$A$5:$A$1005&lt;&gt;"")*(MOVIMIENTOS!$A$5:$A$1005&lt;=$A203)*MOVIMIENTOS!$E$5:$E$1005)-SUMPRODUCT((MOVIMIENTOS!$B$5:$B$1005="REGALO")*(MOVIMIENTOS!$C$5:$C$1005="P")*(MOVIMIENTOS!$D$5:$D$1005="jabas")*(MOVIMIENTOS!$A$5:$A$1005&lt;&gt;"")*(MOVIMIENTOS!$A$5:$A$1005&lt;=$A203)*MOVIMIENTOS!$E$5:$E$1005)-SUMPRODUCT((MOVIMIENTOS!$B$5:$B$1005="VENTA")*(MOVIMIENTOS!$C$5:$C$1005="P")*(MOVIMIENTOS!$D$5:$D$1005="jabas")*(MOVIMIENTOS!$A$5:$A$1005&lt;&gt;"")*(MOVIMIENTOS!$A$5:$A$1005&lt;=$A203)*MOVIMIENTOS!$E$5:$E$1005)+SUMPRODUCT((MOVIMIENTOS!$B$5:$B$1005="AJUSTE")*(MOVIMIENTOS!$C$5:$C$1005="P")*(MOVIMIENTOS!$D$5:$D$1005="jabas")*(MOVIMIENTOS!$A$5:$A$1005&lt;&gt;"")*(MOVIMIENTOS!$A$5:$A$1005&lt;=$A203)*MOVIMIENTOS!$E$5:$E$1005))</f>
        <v/>
      </c>
      <c r="D203" s="63" t="str">
        <f>IF($A203="","",SUMPRODUCT((MOVIMIENTOS!$B$5:$B$1005="SALDO INICIAL")*(MOVIMIENTOS!$C$5:$C$1005="C")*(MOVIMIENTOS!$D$5:$D$1005="jabas")*(MOVIMIENTOS!$A$5:$A$1005&lt;&gt;"")*(MOVIMIENTOS!$A$5:$A$1005&lt;=$A203)*MOVIMIENTOS!$E$5:$E$1005)+SUMPRODUCT((MOVIMIENTOS!$B$5:$B$1005="PROCESO")*(MOVIMIENTOS!$C$5:$C$1005="C")*(MOVIMIENTOS!$D$5:$D$1005="jabas")*(MOVIMIENTOS!$A$5:$A$1005&lt;&gt;"")*(MOVIMIENTOS!$A$5:$A$1005&lt;=$A203)*MOVIMIENTOS!$E$5:$E$1005)-SUMPRODUCT((MOVIMIENTOS!$B$5:$B$1005="ENVÍO A SUPESA")*(MOVIMIENTOS!$C$5:$C$1005="C")*(MOVIMIENTOS!$D$5:$D$1005="jabas")*(MOVIMIENTOS!$A$5:$A$1005&lt;&gt;"")*(MOVIMIENTOS!$A$5:$A$1005&lt;=$A203)*MOVIMIENTOS!$E$5:$E$1005)+SUMPRODUCT((MOVIMIENTOS!$B$5:$B$1005="DEVOLUCIÓN")*(MOVIMIENTOS!$C$5:$C$1005="C")*(MOVIMIENTOS!$D$5:$D$1005="jabas")*(MOVIMIENTOS!$A$5:$A$1005&lt;&gt;"")*(MOVIMIENTOS!$A$5:$A$1005&lt;=$A203)*MOVIMIENTOS!$E$5:$E$1005)-SUMPRODUCT((MOVIMIENTOS!$B$5:$B$1005="TRASIEGO")*(MOVIMIENTOS!$C$5:$C$1005="C")*(MOVIMIENTOS!$D$5:$D$1005="jabas")*(MOVIMIENTOS!$A$5:$A$1005&lt;&gt;"")*(MOVIMIENTOS!$A$5:$A$1005&lt;=$A203)*MOVIMIENTOS!$E$5:$E$1005)-SUMPRODUCT((MOVIMIENTOS!$B$5:$B$1005="REGALO")*(MOVIMIENTOS!$C$5:$C$1005="C")*(MOVIMIENTOS!$D$5:$D$1005="jabas")*(MOVIMIENTOS!$A$5:$A$1005&lt;&gt;"")*(MOVIMIENTOS!$A$5:$A$1005&lt;=$A203)*MOVIMIENTOS!$E$5:$E$1005)-SUMPRODUCT((MOVIMIENTOS!$B$5:$B$1005="VENTA")*(MOVIMIENTOS!$C$5:$C$1005="C")*(MOVIMIENTOS!$D$5:$D$1005="jabas")*(MOVIMIENTOS!$A$5:$A$1005&lt;&gt;"")*(MOVIMIENTOS!$A$5:$A$1005&lt;=$A203)*MOVIMIENTOS!$E$5:$E$1005)+SUMPRODUCT((MOVIMIENTOS!$B$5:$B$1005="AJUSTE")*(MOVIMIENTOS!$C$5:$C$1005="C")*(MOVIMIENTOS!$D$5:$D$1005="jabas")*(MOVIMIENTOS!$A$5:$A$1005&lt;&gt;"")*(MOVIMIENTOS!$A$5:$A$1005&lt;=$A203)*MOVIMIENTOS!$E$5:$E$1005))</f>
        <v/>
      </c>
      <c r="E203" s="63" t="str">
        <f>IF($A203="","",SUMPRODUCT((MOVIMIENTOS!$B$5:$B$1005="SALDO INICIAL")*(MOVIMIENTOS!$C$5:$C$1005="M")*(MOVIMIENTOS!$D$5:$D$1005="jabas")*(MOVIMIENTOS!$A$5:$A$1005&lt;&gt;"")*(MOVIMIENTOS!$A$5:$A$1005&lt;=$A203)*MOVIMIENTOS!$E$5:$E$1005)+SUMPRODUCT((MOVIMIENTOS!$B$5:$B$1005="PROCESO")*(MOVIMIENTOS!$C$5:$C$1005="M")*(MOVIMIENTOS!$D$5:$D$1005="jabas")*(MOVIMIENTOS!$A$5:$A$1005&lt;&gt;"")*(MOVIMIENTOS!$A$5:$A$1005&lt;=$A203)*MOVIMIENTOS!$E$5:$E$1005)-SUMPRODUCT((MOVIMIENTOS!$B$5:$B$1005="ENVÍO A SUPESA")*(MOVIMIENTOS!$C$5:$C$1005="M")*(MOVIMIENTOS!$D$5:$D$1005="jabas")*(MOVIMIENTOS!$A$5:$A$1005&lt;&gt;"")*(MOVIMIENTOS!$A$5:$A$1005&lt;=$A203)*MOVIMIENTOS!$E$5:$E$1005)+SUMPRODUCT((MOVIMIENTOS!$B$5:$B$1005="DEVOLUCIÓN")*(MOVIMIENTOS!$C$5:$C$1005="M")*(MOVIMIENTOS!$D$5:$D$1005="jabas")*(MOVIMIENTOS!$A$5:$A$1005&lt;&gt;"")*(MOVIMIENTOS!$A$5:$A$1005&lt;=$A203)*MOVIMIENTOS!$E$5:$E$1005)-SUMPRODUCT((MOVIMIENTOS!$B$5:$B$1005="TRASIEGO")*(MOVIMIENTOS!$C$5:$C$1005="M")*(MOVIMIENTOS!$D$5:$D$1005="jabas")*(MOVIMIENTOS!$A$5:$A$1005&lt;&gt;"")*(MOVIMIENTOS!$A$5:$A$1005&lt;=$A203)*MOVIMIENTOS!$E$5:$E$1005)-SUMPRODUCT((MOVIMIENTOS!$B$5:$B$1005="REGALO")*(MOVIMIENTOS!$C$5:$C$1005="M")*(MOVIMIENTOS!$D$5:$D$1005="jabas")*(MOVIMIENTOS!$A$5:$A$1005&lt;&gt;"")*(MOVIMIENTOS!$A$5:$A$1005&lt;=$A203)*MOVIMIENTOS!$E$5:$E$1005)-SUMPRODUCT((MOVIMIENTOS!$B$5:$B$1005="VENTA")*(MOVIMIENTOS!$C$5:$C$1005="M")*(MOVIMIENTOS!$D$5:$D$1005="jabas")*(MOVIMIENTOS!$A$5:$A$1005&lt;&gt;"")*(MOVIMIENTOS!$A$5:$A$1005&lt;=$A203)*MOVIMIENTOS!$E$5:$E$1005)+SUMPRODUCT((MOVIMIENTOS!$B$5:$B$1005="AJUSTE")*(MOVIMIENTOS!$C$5:$C$1005="M")*(MOVIMIENTOS!$D$5:$D$1005="jabas")*(MOVIMIENTOS!$A$5:$A$1005&lt;&gt;"")*(MOVIMIENTOS!$A$5:$A$1005&lt;=$A203)*MOVIMIENTOS!$E$5:$E$1005))</f>
        <v/>
      </c>
      <c r="F203" s="63" t="str">
        <f>IF($A203="","",SUMPRODUCT((MOVIMIENTOS!$B$5:$B$1005="SALDO INICIAL")*(MOVIMIENTOS!$C$5:$C$1005="Chancho")*(MOVIMIENTOS!$D$5:$D$1005="sacos")*(MOVIMIENTOS!$A$5:$A$1005&lt;&gt;"")*(MOVIMIENTOS!$A$5:$A$1005&lt;=$A203)*MOVIMIENTOS!$E$5:$E$1005)+SUMPRODUCT((MOVIMIENTOS!$B$5:$B$1005="PROCESO")*(MOVIMIENTOS!$C$5:$C$1005="Chancho")*(MOVIMIENTOS!$D$5:$D$1005="sacos")*(MOVIMIENTOS!$A$5:$A$1005&lt;&gt;"")*(MOVIMIENTOS!$A$5:$A$1005&lt;=$A203)*MOVIMIENTOS!$E$5:$E$1005)-SUMPRODUCT((MOVIMIENTOS!$B$5:$B$1005="VENTA CHANCHO")*(MOVIMIENTOS!$C$5:$C$1005="Chancho")*(MOVIMIENTOS!$D$5:$D$1005="sacos")*(MOVIMIENTOS!$A$5:$A$1005&lt;&gt;"")*(MOVIMIENTOS!$A$5:$A$1005&lt;=$A203)*MOVIMIENTOS!$E$5:$E$1005)-SUMPRODUCT((MOVIMIENTOS!$B$5:$B$1005="REGALO")*(MOVIMIENTOS!$C$5:$C$1005="Chancho")*(MOVIMIENTOS!$D$5:$D$1005="sacos")*(MOVIMIENTOS!$A$5:$A$1005&lt;&gt;"")*(MOVIMIENTOS!$A$5:$A$1005&lt;=$A203)*MOVIMIENTOS!$E$5:$E$1005)-SUMPRODUCT((MOVIMIENTOS!$B$5:$B$1005="VENTA")*(MOVIMIENTOS!$C$5:$C$1005="Chancho")*(MOVIMIENTOS!$D$5:$D$1005="sacos")*(MOVIMIENTOS!$A$5:$A$1005&lt;&gt;"")*(MOVIMIENTOS!$A$5:$A$1005&lt;=$A203)*MOVIMIENTOS!$E$5:$E$1005)+SUMPRODUCT((MOVIMIENTOS!$B$5:$B$1005="AJUSTE")*(MOVIMIENTOS!$C$5:$C$1005="Chancho")*(MOVIMIENTOS!$D$5:$D$1005="sacos")*(MOVIMIENTOS!$A$5:$A$1005&lt;&gt;"")*(MOVIMIENTOS!$A$5:$A$1005&lt;=$A203)*MOVIMIENTOS!$E$5:$E$1005))</f>
        <v/>
      </c>
      <c r="G203" s="95" t="str">
        <f t="shared" si="7"/>
        <v/>
      </c>
      <c r="H203" s="63" t="str">
        <f>IF($A203="","",SUMPRODUCT((((MOVIMIENTOS!$B$5:$B$1005="SALDO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203)*MOVIMIENTOS!$J$5:$J$1005))</f>
        <v/>
      </c>
      <c r="I203" s="63"/>
      <c r="J203" s="63" t="str">
        <f>IF(AND(MOVIMIENTOS!$A203&lt;&gt;"",COUNTIF(MOVIMIENTOS!$A$5:$A202,MOVIMIENTOS!$A203)=0),COUNT(J$4:J202)+1,"")</f>
        <v/>
      </c>
      <c r="K203" s="66">
        <f>MOVIMIENTOS!$A203</f>
        <v>46231</v>
      </c>
      <c r="L203" s="63"/>
      <c r="M203" s="63"/>
      <c r="N203" s="63"/>
    </row>
    <row r="204" spans="1:14" ht="15" customHeight="1" x14ac:dyDescent="0.2">
      <c r="A204" s="63" t="str">
        <f t="shared" si="6"/>
        <v/>
      </c>
      <c r="B204" s="63" t="str">
        <f>IF($A204="","",SUMPRODUCT((MOVIMIENTOS!$B$5:$B$1005="SALDO INICIAL")*(MOVIMIENTOS!$C$5:$C$1005="A")*(MOVIMIENTOS!$D$5:$D$1005="jabas")*(MOVIMIENTOS!$A$5:$A$1005&lt;&gt;"")*(MOVIMIENTOS!$A$5:$A$1005&lt;=$A204)*MOVIMIENTOS!$E$5:$E$1005)+SUMPRODUCT((MOVIMIENTOS!$B$5:$B$1005="PROCESO")*(MOVIMIENTOS!$C$5:$C$1005="A")*(MOVIMIENTOS!$D$5:$D$1005="jabas")*(MOVIMIENTOS!$A$5:$A$1005&lt;&gt;"")*(MOVIMIENTOS!$A$5:$A$1005&lt;=$A204)*MOVIMIENTOS!$E$5:$E$1005)-SUMPRODUCT((MOVIMIENTOS!$B$5:$B$1005="ENVÍO A SUPESA")*(MOVIMIENTOS!$C$5:$C$1005="A")*(MOVIMIENTOS!$D$5:$D$1005="jabas")*(MOVIMIENTOS!$A$5:$A$1005&lt;&gt;"")*(MOVIMIENTOS!$A$5:$A$1005&lt;=$A204)*MOVIMIENTOS!$E$5:$E$1005)+SUMPRODUCT((MOVIMIENTOS!$B$5:$B$1005="DEVOLUCIÓN")*(MOVIMIENTOS!$C$5:$C$1005="A")*(MOVIMIENTOS!$D$5:$D$1005="jabas")*(MOVIMIENTOS!$A$5:$A$1005&lt;&gt;"")*(MOVIMIENTOS!$A$5:$A$1005&lt;=$A204)*MOVIMIENTOS!$E$5:$E$1005)-SUMPRODUCT((MOVIMIENTOS!$B$5:$B$1005="TRASIEGO")*(MOVIMIENTOS!$C$5:$C$1005="A")*(MOVIMIENTOS!$D$5:$D$1005="jabas")*(MOVIMIENTOS!$A$5:$A$1005&lt;&gt;"")*(MOVIMIENTOS!$A$5:$A$1005&lt;=$A204)*MOVIMIENTOS!$E$5:$E$1005)-SUMPRODUCT((MOVIMIENTOS!$B$5:$B$1005="REGALO")*(MOVIMIENTOS!$C$5:$C$1005="A")*(MOVIMIENTOS!$D$5:$D$1005="jabas")*(MOVIMIENTOS!$A$5:$A$1005&lt;&gt;"")*(MOVIMIENTOS!$A$5:$A$1005&lt;=$A204)*MOVIMIENTOS!$E$5:$E$1005)-SUMPRODUCT((MOVIMIENTOS!$B$5:$B$1005="VENTA")*(MOVIMIENTOS!$C$5:$C$1005="A")*(MOVIMIENTOS!$D$5:$D$1005="jabas")*(MOVIMIENTOS!$A$5:$A$1005&lt;&gt;"")*(MOVIMIENTOS!$A$5:$A$1005&lt;=$A204)*MOVIMIENTOS!$E$5:$E$1005)+SUMPRODUCT((MOVIMIENTOS!$B$5:$B$1005="AJUSTE")*(MOVIMIENTOS!$C$5:$C$1005="A")*(MOVIMIENTOS!$D$5:$D$1005="jabas")*(MOVIMIENTOS!$A$5:$A$1005&lt;&gt;"")*(MOVIMIENTOS!$A$5:$A$1005&lt;=$A204)*MOVIMIENTOS!$E$5:$E$1005))</f>
        <v/>
      </c>
      <c r="C204" s="63" t="str">
        <f>IF($A204="","",SUMPRODUCT((MOVIMIENTOS!$B$5:$B$1005="SALDO INICIAL")*(MOVIMIENTOS!$C$5:$C$1005="P")*(MOVIMIENTOS!$D$5:$D$1005="jabas")*(MOVIMIENTOS!$A$5:$A$1005&lt;&gt;"")*(MOVIMIENTOS!$A$5:$A$1005&lt;=$A204)*MOVIMIENTOS!$E$5:$E$1005)+SUMPRODUCT((MOVIMIENTOS!$B$5:$B$1005="PROCESO")*(MOVIMIENTOS!$C$5:$C$1005="P")*(MOVIMIENTOS!$D$5:$D$1005="jabas")*(MOVIMIENTOS!$A$5:$A$1005&lt;&gt;"")*(MOVIMIENTOS!$A$5:$A$1005&lt;=$A204)*MOVIMIENTOS!$E$5:$E$1005)-SUMPRODUCT((MOVIMIENTOS!$B$5:$B$1005="ENVÍO A SUPESA")*(MOVIMIENTOS!$C$5:$C$1005="P")*(MOVIMIENTOS!$D$5:$D$1005="jabas")*(MOVIMIENTOS!$A$5:$A$1005&lt;&gt;"")*(MOVIMIENTOS!$A$5:$A$1005&lt;=$A204)*MOVIMIENTOS!$E$5:$E$1005)+SUMPRODUCT((MOVIMIENTOS!$B$5:$B$1005="DEVOLUCIÓN")*(MOVIMIENTOS!$C$5:$C$1005="P")*(MOVIMIENTOS!$D$5:$D$1005="jabas")*(MOVIMIENTOS!$A$5:$A$1005&lt;&gt;"")*(MOVIMIENTOS!$A$5:$A$1005&lt;=$A204)*MOVIMIENTOS!$E$5:$E$1005)-SUMPRODUCT((MOVIMIENTOS!$B$5:$B$1005="TRASIEGO")*(MOVIMIENTOS!$C$5:$C$1005="P")*(MOVIMIENTOS!$D$5:$D$1005="jabas")*(MOVIMIENTOS!$A$5:$A$1005&lt;&gt;"")*(MOVIMIENTOS!$A$5:$A$1005&lt;=$A204)*MOVIMIENTOS!$E$5:$E$1005)-SUMPRODUCT((MOVIMIENTOS!$B$5:$B$1005="REGALO")*(MOVIMIENTOS!$C$5:$C$1005="P")*(MOVIMIENTOS!$D$5:$D$1005="jabas")*(MOVIMIENTOS!$A$5:$A$1005&lt;&gt;"")*(MOVIMIENTOS!$A$5:$A$1005&lt;=$A204)*MOVIMIENTOS!$E$5:$E$1005)-SUMPRODUCT((MOVIMIENTOS!$B$5:$B$1005="VENTA")*(MOVIMIENTOS!$C$5:$C$1005="P")*(MOVIMIENTOS!$D$5:$D$1005="jabas")*(MOVIMIENTOS!$A$5:$A$1005&lt;&gt;"")*(MOVIMIENTOS!$A$5:$A$1005&lt;=$A204)*MOVIMIENTOS!$E$5:$E$1005)+SUMPRODUCT((MOVIMIENTOS!$B$5:$B$1005="AJUSTE")*(MOVIMIENTOS!$C$5:$C$1005="P")*(MOVIMIENTOS!$D$5:$D$1005="jabas")*(MOVIMIENTOS!$A$5:$A$1005&lt;&gt;"")*(MOVIMIENTOS!$A$5:$A$1005&lt;=$A204)*MOVIMIENTOS!$E$5:$E$1005))</f>
        <v/>
      </c>
      <c r="D204" s="63" t="str">
        <f>IF($A204="","",SUMPRODUCT((MOVIMIENTOS!$B$5:$B$1005="SALDO INICIAL")*(MOVIMIENTOS!$C$5:$C$1005="C")*(MOVIMIENTOS!$D$5:$D$1005="jabas")*(MOVIMIENTOS!$A$5:$A$1005&lt;&gt;"")*(MOVIMIENTOS!$A$5:$A$1005&lt;=$A204)*MOVIMIENTOS!$E$5:$E$1005)+SUMPRODUCT((MOVIMIENTOS!$B$5:$B$1005="PROCESO")*(MOVIMIENTOS!$C$5:$C$1005="C")*(MOVIMIENTOS!$D$5:$D$1005="jabas")*(MOVIMIENTOS!$A$5:$A$1005&lt;&gt;"")*(MOVIMIENTOS!$A$5:$A$1005&lt;=$A204)*MOVIMIENTOS!$E$5:$E$1005)-SUMPRODUCT((MOVIMIENTOS!$B$5:$B$1005="ENVÍO A SUPESA")*(MOVIMIENTOS!$C$5:$C$1005="C")*(MOVIMIENTOS!$D$5:$D$1005="jabas")*(MOVIMIENTOS!$A$5:$A$1005&lt;&gt;"")*(MOVIMIENTOS!$A$5:$A$1005&lt;=$A204)*MOVIMIENTOS!$E$5:$E$1005)+SUMPRODUCT((MOVIMIENTOS!$B$5:$B$1005="DEVOLUCIÓN")*(MOVIMIENTOS!$C$5:$C$1005="C")*(MOVIMIENTOS!$D$5:$D$1005="jabas")*(MOVIMIENTOS!$A$5:$A$1005&lt;&gt;"")*(MOVIMIENTOS!$A$5:$A$1005&lt;=$A204)*MOVIMIENTOS!$E$5:$E$1005)-SUMPRODUCT((MOVIMIENTOS!$B$5:$B$1005="TRASIEGO")*(MOVIMIENTOS!$C$5:$C$1005="C")*(MOVIMIENTOS!$D$5:$D$1005="jabas")*(MOVIMIENTOS!$A$5:$A$1005&lt;&gt;"")*(MOVIMIENTOS!$A$5:$A$1005&lt;=$A204)*MOVIMIENTOS!$E$5:$E$1005)-SUMPRODUCT((MOVIMIENTOS!$B$5:$B$1005="REGALO")*(MOVIMIENTOS!$C$5:$C$1005="C")*(MOVIMIENTOS!$D$5:$D$1005="jabas")*(MOVIMIENTOS!$A$5:$A$1005&lt;&gt;"")*(MOVIMIENTOS!$A$5:$A$1005&lt;=$A204)*MOVIMIENTOS!$E$5:$E$1005)-SUMPRODUCT((MOVIMIENTOS!$B$5:$B$1005="VENTA")*(MOVIMIENTOS!$C$5:$C$1005="C")*(MOVIMIENTOS!$D$5:$D$1005="jabas")*(MOVIMIENTOS!$A$5:$A$1005&lt;&gt;"")*(MOVIMIENTOS!$A$5:$A$1005&lt;=$A204)*MOVIMIENTOS!$E$5:$E$1005)+SUMPRODUCT((MOVIMIENTOS!$B$5:$B$1005="AJUSTE")*(MOVIMIENTOS!$C$5:$C$1005="C")*(MOVIMIENTOS!$D$5:$D$1005="jabas")*(MOVIMIENTOS!$A$5:$A$1005&lt;&gt;"")*(MOVIMIENTOS!$A$5:$A$1005&lt;=$A204)*MOVIMIENTOS!$E$5:$E$1005))</f>
        <v/>
      </c>
      <c r="E204" s="63" t="str">
        <f>IF($A204="","",SUMPRODUCT((MOVIMIENTOS!$B$5:$B$1005="SALDO INICIAL")*(MOVIMIENTOS!$C$5:$C$1005="M")*(MOVIMIENTOS!$D$5:$D$1005="jabas")*(MOVIMIENTOS!$A$5:$A$1005&lt;&gt;"")*(MOVIMIENTOS!$A$5:$A$1005&lt;=$A204)*MOVIMIENTOS!$E$5:$E$1005)+SUMPRODUCT((MOVIMIENTOS!$B$5:$B$1005="PROCESO")*(MOVIMIENTOS!$C$5:$C$1005="M")*(MOVIMIENTOS!$D$5:$D$1005="jabas")*(MOVIMIENTOS!$A$5:$A$1005&lt;&gt;"")*(MOVIMIENTOS!$A$5:$A$1005&lt;=$A204)*MOVIMIENTOS!$E$5:$E$1005)-SUMPRODUCT((MOVIMIENTOS!$B$5:$B$1005="ENVÍO A SUPESA")*(MOVIMIENTOS!$C$5:$C$1005="M")*(MOVIMIENTOS!$D$5:$D$1005="jabas")*(MOVIMIENTOS!$A$5:$A$1005&lt;&gt;"")*(MOVIMIENTOS!$A$5:$A$1005&lt;=$A204)*MOVIMIENTOS!$E$5:$E$1005)+SUMPRODUCT((MOVIMIENTOS!$B$5:$B$1005="DEVOLUCIÓN")*(MOVIMIENTOS!$C$5:$C$1005="M")*(MOVIMIENTOS!$D$5:$D$1005="jabas")*(MOVIMIENTOS!$A$5:$A$1005&lt;&gt;"")*(MOVIMIENTOS!$A$5:$A$1005&lt;=$A204)*MOVIMIENTOS!$E$5:$E$1005)-SUMPRODUCT((MOVIMIENTOS!$B$5:$B$1005="TRASIEGO")*(MOVIMIENTOS!$C$5:$C$1005="M")*(MOVIMIENTOS!$D$5:$D$1005="jabas")*(MOVIMIENTOS!$A$5:$A$1005&lt;&gt;"")*(MOVIMIENTOS!$A$5:$A$1005&lt;=$A204)*MOVIMIENTOS!$E$5:$E$1005)-SUMPRODUCT((MOVIMIENTOS!$B$5:$B$1005="REGALO")*(MOVIMIENTOS!$C$5:$C$1005="M")*(MOVIMIENTOS!$D$5:$D$1005="jabas")*(MOVIMIENTOS!$A$5:$A$1005&lt;&gt;"")*(MOVIMIENTOS!$A$5:$A$1005&lt;=$A204)*MOVIMIENTOS!$E$5:$E$1005)-SUMPRODUCT((MOVIMIENTOS!$B$5:$B$1005="VENTA")*(MOVIMIENTOS!$C$5:$C$1005="M")*(MOVIMIENTOS!$D$5:$D$1005="jabas")*(MOVIMIENTOS!$A$5:$A$1005&lt;&gt;"")*(MOVIMIENTOS!$A$5:$A$1005&lt;=$A204)*MOVIMIENTOS!$E$5:$E$1005)+SUMPRODUCT((MOVIMIENTOS!$B$5:$B$1005="AJUSTE")*(MOVIMIENTOS!$C$5:$C$1005="M")*(MOVIMIENTOS!$D$5:$D$1005="jabas")*(MOVIMIENTOS!$A$5:$A$1005&lt;&gt;"")*(MOVIMIENTOS!$A$5:$A$1005&lt;=$A204)*MOVIMIENTOS!$E$5:$E$1005))</f>
        <v/>
      </c>
      <c r="F204" s="63" t="str">
        <f>IF($A204="","",SUMPRODUCT((MOVIMIENTOS!$B$5:$B$1005="SALDO INICIAL")*(MOVIMIENTOS!$C$5:$C$1005="Chancho")*(MOVIMIENTOS!$D$5:$D$1005="sacos")*(MOVIMIENTOS!$A$5:$A$1005&lt;&gt;"")*(MOVIMIENTOS!$A$5:$A$1005&lt;=$A204)*MOVIMIENTOS!$E$5:$E$1005)+SUMPRODUCT((MOVIMIENTOS!$B$5:$B$1005="PROCESO")*(MOVIMIENTOS!$C$5:$C$1005="Chancho")*(MOVIMIENTOS!$D$5:$D$1005="sacos")*(MOVIMIENTOS!$A$5:$A$1005&lt;&gt;"")*(MOVIMIENTOS!$A$5:$A$1005&lt;=$A204)*MOVIMIENTOS!$E$5:$E$1005)-SUMPRODUCT((MOVIMIENTOS!$B$5:$B$1005="VENTA CHANCHO")*(MOVIMIENTOS!$C$5:$C$1005="Chancho")*(MOVIMIENTOS!$D$5:$D$1005="sacos")*(MOVIMIENTOS!$A$5:$A$1005&lt;&gt;"")*(MOVIMIENTOS!$A$5:$A$1005&lt;=$A204)*MOVIMIENTOS!$E$5:$E$1005)-SUMPRODUCT((MOVIMIENTOS!$B$5:$B$1005="REGALO")*(MOVIMIENTOS!$C$5:$C$1005="Chancho")*(MOVIMIENTOS!$D$5:$D$1005="sacos")*(MOVIMIENTOS!$A$5:$A$1005&lt;&gt;"")*(MOVIMIENTOS!$A$5:$A$1005&lt;=$A204)*MOVIMIENTOS!$E$5:$E$1005)-SUMPRODUCT((MOVIMIENTOS!$B$5:$B$1005="VENTA")*(MOVIMIENTOS!$C$5:$C$1005="Chancho")*(MOVIMIENTOS!$D$5:$D$1005="sacos")*(MOVIMIENTOS!$A$5:$A$1005&lt;&gt;"")*(MOVIMIENTOS!$A$5:$A$1005&lt;=$A204)*MOVIMIENTOS!$E$5:$E$1005)+SUMPRODUCT((MOVIMIENTOS!$B$5:$B$1005="AJUSTE")*(MOVIMIENTOS!$C$5:$C$1005="Chancho")*(MOVIMIENTOS!$D$5:$D$1005="sacos")*(MOVIMIENTOS!$A$5:$A$1005&lt;&gt;"")*(MOVIMIENTOS!$A$5:$A$1005&lt;=$A204)*MOVIMIENTOS!$E$5:$E$1005))</f>
        <v/>
      </c>
      <c r="G204" s="95" t="str">
        <f t="shared" si="7"/>
        <v/>
      </c>
      <c r="H204" s="63" t="str">
        <f>IF($A204="","",SUMPRODUCT((((MOVIMIENTOS!$B$5:$B$1005="SALDO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204)*MOVIMIENTOS!$J$5:$J$1005))</f>
        <v/>
      </c>
      <c r="I204" s="63"/>
      <c r="J204" s="63" t="str">
        <f>IF(AND(MOVIMIENTOS!$A204&lt;&gt;"",COUNTIF(MOVIMIENTOS!$A$5:$A203,MOVIMIENTOS!$A204)=0),COUNT(J$4:J203)+1,"")</f>
        <v/>
      </c>
      <c r="K204" s="66">
        <f>MOVIMIENTOS!$A204</f>
        <v>46231</v>
      </c>
      <c r="L204" s="63"/>
      <c r="M204" s="63"/>
      <c r="N204" s="63"/>
    </row>
    <row r="205" spans="1:14" ht="15" customHeight="1" x14ac:dyDescent="0.2">
      <c r="A205" s="63" t="str">
        <f t="shared" si="6"/>
        <v/>
      </c>
      <c r="B205" s="63" t="str">
        <f>IF($A205="","",SUMPRODUCT((MOVIMIENTOS!$B$5:$B$1005="SALDO INICIAL")*(MOVIMIENTOS!$C$5:$C$1005="A")*(MOVIMIENTOS!$D$5:$D$1005="jabas")*(MOVIMIENTOS!$A$5:$A$1005&lt;&gt;"")*(MOVIMIENTOS!$A$5:$A$1005&lt;=$A205)*MOVIMIENTOS!$E$5:$E$1005)+SUMPRODUCT((MOVIMIENTOS!$B$5:$B$1005="PROCESO")*(MOVIMIENTOS!$C$5:$C$1005="A")*(MOVIMIENTOS!$D$5:$D$1005="jabas")*(MOVIMIENTOS!$A$5:$A$1005&lt;&gt;"")*(MOVIMIENTOS!$A$5:$A$1005&lt;=$A205)*MOVIMIENTOS!$E$5:$E$1005)-SUMPRODUCT((MOVIMIENTOS!$B$5:$B$1005="ENVÍO A SUPESA")*(MOVIMIENTOS!$C$5:$C$1005="A")*(MOVIMIENTOS!$D$5:$D$1005="jabas")*(MOVIMIENTOS!$A$5:$A$1005&lt;&gt;"")*(MOVIMIENTOS!$A$5:$A$1005&lt;=$A205)*MOVIMIENTOS!$E$5:$E$1005)+SUMPRODUCT((MOVIMIENTOS!$B$5:$B$1005="DEVOLUCIÓN")*(MOVIMIENTOS!$C$5:$C$1005="A")*(MOVIMIENTOS!$D$5:$D$1005="jabas")*(MOVIMIENTOS!$A$5:$A$1005&lt;&gt;"")*(MOVIMIENTOS!$A$5:$A$1005&lt;=$A205)*MOVIMIENTOS!$E$5:$E$1005)-SUMPRODUCT((MOVIMIENTOS!$B$5:$B$1005="TRASIEGO")*(MOVIMIENTOS!$C$5:$C$1005="A")*(MOVIMIENTOS!$D$5:$D$1005="jabas")*(MOVIMIENTOS!$A$5:$A$1005&lt;&gt;"")*(MOVIMIENTOS!$A$5:$A$1005&lt;=$A205)*MOVIMIENTOS!$E$5:$E$1005)-SUMPRODUCT((MOVIMIENTOS!$B$5:$B$1005="REGALO")*(MOVIMIENTOS!$C$5:$C$1005="A")*(MOVIMIENTOS!$D$5:$D$1005="jabas")*(MOVIMIENTOS!$A$5:$A$1005&lt;&gt;"")*(MOVIMIENTOS!$A$5:$A$1005&lt;=$A205)*MOVIMIENTOS!$E$5:$E$1005)-SUMPRODUCT((MOVIMIENTOS!$B$5:$B$1005="VENTA")*(MOVIMIENTOS!$C$5:$C$1005="A")*(MOVIMIENTOS!$D$5:$D$1005="jabas")*(MOVIMIENTOS!$A$5:$A$1005&lt;&gt;"")*(MOVIMIENTOS!$A$5:$A$1005&lt;=$A205)*MOVIMIENTOS!$E$5:$E$1005)+SUMPRODUCT((MOVIMIENTOS!$B$5:$B$1005="AJUSTE")*(MOVIMIENTOS!$C$5:$C$1005="A")*(MOVIMIENTOS!$D$5:$D$1005="jabas")*(MOVIMIENTOS!$A$5:$A$1005&lt;&gt;"")*(MOVIMIENTOS!$A$5:$A$1005&lt;=$A205)*MOVIMIENTOS!$E$5:$E$1005))</f>
        <v/>
      </c>
      <c r="C205" s="63" t="str">
        <f>IF($A205="","",SUMPRODUCT((MOVIMIENTOS!$B$5:$B$1005="SALDO INICIAL")*(MOVIMIENTOS!$C$5:$C$1005="P")*(MOVIMIENTOS!$D$5:$D$1005="jabas")*(MOVIMIENTOS!$A$5:$A$1005&lt;&gt;"")*(MOVIMIENTOS!$A$5:$A$1005&lt;=$A205)*MOVIMIENTOS!$E$5:$E$1005)+SUMPRODUCT((MOVIMIENTOS!$B$5:$B$1005="PROCESO")*(MOVIMIENTOS!$C$5:$C$1005="P")*(MOVIMIENTOS!$D$5:$D$1005="jabas")*(MOVIMIENTOS!$A$5:$A$1005&lt;&gt;"")*(MOVIMIENTOS!$A$5:$A$1005&lt;=$A205)*MOVIMIENTOS!$E$5:$E$1005)-SUMPRODUCT((MOVIMIENTOS!$B$5:$B$1005="ENVÍO A SUPESA")*(MOVIMIENTOS!$C$5:$C$1005="P")*(MOVIMIENTOS!$D$5:$D$1005="jabas")*(MOVIMIENTOS!$A$5:$A$1005&lt;&gt;"")*(MOVIMIENTOS!$A$5:$A$1005&lt;=$A205)*MOVIMIENTOS!$E$5:$E$1005)+SUMPRODUCT((MOVIMIENTOS!$B$5:$B$1005="DEVOLUCIÓN")*(MOVIMIENTOS!$C$5:$C$1005="P")*(MOVIMIENTOS!$D$5:$D$1005="jabas")*(MOVIMIENTOS!$A$5:$A$1005&lt;&gt;"")*(MOVIMIENTOS!$A$5:$A$1005&lt;=$A205)*MOVIMIENTOS!$E$5:$E$1005)-SUMPRODUCT((MOVIMIENTOS!$B$5:$B$1005="TRASIEGO")*(MOVIMIENTOS!$C$5:$C$1005="P")*(MOVIMIENTOS!$D$5:$D$1005="jabas")*(MOVIMIENTOS!$A$5:$A$1005&lt;&gt;"")*(MOVIMIENTOS!$A$5:$A$1005&lt;=$A205)*MOVIMIENTOS!$E$5:$E$1005)-SUMPRODUCT((MOVIMIENTOS!$B$5:$B$1005="REGALO")*(MOVIMIENTOS!$C$5:$C$1005="P")*(MOVIMIENTOS!$D$5:$D$1005="jabas")*(MOVIMIENTOS!$A$5:$A$1005&lt;&gt;"")*(MOVIMIENTOS!$A$5:$A$1005&lt;=$A205)*MOVIMIENTOS!$E$5:$E$1005)-SUMPRODUCT((MOVIMIENTOS!$B$5:$B$1005="VENTA")*(MOVIMIENTOS!$C$5:$C$1005="P")*(MOVIMIENTOS!$D$5:$D$1005="jabas")*(MOVIMIENTOS!$A$5:$A$1005&lt;&gt;"")*(MOVIMIENTOS!$A$5:$A$1005&lt;=$A205)*MOVIMIENTOS!$E$5:$E$1005)+SUMPRODUCT((MOVIMIENTOS!$B$5:$B$1005="AJUSTE")*(MOVIMIENTOS!$C$5:$C$1005="P")*(MOVIMIENTOS!$D$5:$D$1005="jabas")*(MOVIMIENTOS!$A$5:$A$1005&lt;&gt;"")*(MOVIMIENTOS!$A$5:$A$1005&lt;=$A205)*MOVIMIENTOS!$E$5:$E$1005))</f>
        <v/>
      </c>
      <c r="D205" s="63" t="str">
        <f>IF($A205="","",SUMPRODUCT((MOVIMIENTOS!$B$5:$B$1005="SALDO INICIAL")*(MOVIMIENTOS!$C$5:$C$1005="C")*(MOVIMIENTOS!$D$5:$D$1005="jabas")*(MOVIMIENTOS!$A$5:$A$1005&lt;&gt;"")*(MOVIMIENTOS!$A$5:$A$1005&lt;=$A205)*MOVIMIENTOS!$E$5:$E$1005)+SUMPRODUCT((MOVIMIENTOS!$B$5:$B$1005="PROCESO")*(MOVIMIENTOS!$C$5:$C$1005="C")*(MOVIMIENTOS!$D$5:$D$1005="jabas")*(MOVIMIENTOS!$A$5:$A$1005&lt;&gt;"")*(MOVIMIENTOS!$A$5:$A$1005&lt;=$A205)*MOVIMIENTOS!$E$5:$E$1005)-SUMPRODUCT((MOVIMIENTOS!$B$5:$B$1005="ENVÍO A SUPESA")*(MOVIMIENTOS!$C$5:$C$1005="C")*(MOVIMIENTOS!$D$5:$D$1005="jabas")*(MOVIMIENTOS!$A$5:$A$1005&lt;&gt;"")*(MOVIMIENTOS!$A$5:$A$1005&lt;=$A205)*MOVIMIENTOS!$E$5:$E$1005)+SUMPRODUCT((MOVIMIENTOS!$B$5:$B$1005="DEVOLUCIÓN")*(MOVIMIENTOS!$C$5:$C$1005="C")*(MOVIMIENTOS!$D$5:$D$1005="jabas")*(MOVIMIENTOS!$A$5:$A$1005&lt;&gt;"")*(MOVIMIENTOS!$A$5:$A$1005&lt;=$A205)*MOVIMIENTOS!$E$5:$E$1005)-SUMPRODUCT((MOVIMIENTOS!$B$5:$B$1005="TRASIEGO")*(MOVIMIENTOS!$C$5:$C$1005="C")*(MOVIMIENTOS!$D$5:$D$1005="jabas")*(MOVIMIENTOS!$A$5:$A$1005&lt;&gt;"")*(MOVIMIENTOS!$A$5:$A$1005&lt;=$A205)*MOVIMIENTOS!$E$5:$E$1005)-SUMPRODUCT((MOVIMIENTOS!$B$5:$B$1005="REGALO")*(MOVIMIENTOS!$C$5:$C$1005="C")*(MOVIMIENTOS!$D$5:$D$1005="jabas")*(MOVIMIENTOS!$A$5:$A$1005&lt;&gt;"")*(MOVIMIENTOS!$A$5:$A$1005&lt;=$A205)*MOVIMIENTOS!$E$5:$E$1005)-SUMPRODUCT((MOVIMIENTOS!$B$5:$B$1005="VENTA")*(MOVIMIENTOS!$C$5:$C$1005="C")*(MOVIMIENTOS!$D$5:$D$1005="jabas")*(MOVIMIENTOS!$A$5:$A$1005&lt;&gt;"")*(MOVIMIENTOS!$A$5:$A$1005&lt;=$A205)*MOVIMIENTOS!$E$5:$E$1005)+SUMPRODUCT((MOVIMIENTOS!$B$5:$B$1005="AJUSTE")*(MOVIMIENTOS!$C$5:$C$1005="C")*(MOVIMIENTOS!$D$5:$D$1005="jabas")*(MOVIMIENTOS!$A$5:$A$1005&lt;&gt;"")*(MOVIMIENTOS!$A$5:$A$1005&lt;=$A205)*MOVIMIENTOS!$E$5:$E$1005))</f>
        <v/>
      </c>
      <c r="E205" s="63" t="str">
        <f>IF($A205="","",SUMPRODUCT((MOVIMIENTOS!$B$5:$B$1005="SALDO INICIAL")*(MOVIMIENTOS!$C$5:$C$1005="M")*(MOVIMIENTOS!$D$5:$D$1005="jabas")*(MOVIMIENTOS!$A$5:$A$1005&lt;&gt;"")*(MOVIMIENTOS!$A$5:$A$1005&lt;=$A205)*MOVIMIENTOS!$E$5:$E$1005)+SUMPRODUCT((MOVIMIENTOS!$B$5:$B$1005="PROCESO")*(MOVIMIENTOS!$C$5:$C$1005="M")*(MOVIMIENTOS!$D$5:$D$1005="jabas")*(MOVIMIENTOS!$A$5:$A$1005&lt;&gt;"")*(MOVIMIENTOS!$A$5:$A$1005&lt;=$A205)*MOVIMIENTOS!$E$5:$E$1005)-SUMPRODUCT((MOVIMIENTOS!$B$5:$B$1005="ENVÍO A SUPESA")*(MOVIMIENTOS!$C$5:$C$1005="M")*(MOVIMIENTOS!$D$5:$D$1005="jabas")*(MOVIMIENTOS!$A$5:$A$1005&lt;&gt;"")*(MOVIMIENTOS!$A$5:$A$1005&lt;=$A205)*MOVIMIENTOS!$E$5:$E$1005)+SUMPRODUCT((MOVIMIENTOS!$B$5:$B$1005="DEVOLUCIÓN")*(MOVIMIENTOS!$C$5:$C$1005="M")*(MOVIMIENTOS!$D$5:$D$1005="jabas")*(MOVIMIENTOS!$A$5:$A$1005&lt;&gt;"")*(MOVIMIENTOS!$A$5:$A$1005&lt;=$A205)*MOVIMIENTOS!$E$5:$E$1005)-SUMPRODUCT((MOVIMIENTOS!$B$5:$B$1005="TRASIEGO")*(MOVIMIENTOS!$C$5:$C$1005="M")*(MOVIMIENTOS!$D$5:$D$1005="jabas")*(MOVIMIENTOS!$A$5:$A$1005&lt;&gt;"")*(MOVIMIENTOS!$A$5:$A$1005&lt;=$A205)*MOVIMIENTOS!$E$5:$E$1005)-SUMPRODUCT((MOVIMIENTOS!$B$5:$B$1005="REGALO")*(MOVIMIENTOS!$C$5:$C$1005="M")*(MOVIMIENTOS!$D$5:$D$1005="jabas")*(MOVIMIENTOS!$A$5:$A$1005&lt;&gt;"")*(MOVIMIENTOS!$A$5:$A$1005&lt;=$A205)*MOVIMIENTOS!$E$5:$E$1005)-SUMPRODUCT((MOVIMIENTOS!$B$5:$B$1005="VENTA")*(MOVIMIENTOS!$C$5:$C$1005="M")*(MOVIMIENTOS!$D$5:$D$1005="jabas")*(MOVIMIENTOS!$A$5:$A$1005&lt;&gt;"")*(MOVIMIENTOS!$A$5:$A$1005&lt;=$A205)*MOVIMIENTOS!$E$5:$E$1005)+SUMPRODUCT((MOVIMIENTOS!$B$5:$B$1005="AJUSTE")*(MOVIMIENTOS!$C$5:$C$1005="M")*(MOVIMIENTOS!$D$5:$D$1005="jabas")*(MOVIMIENTOS!$A$5:$A$1005&lt;&gt;"")*(MOVIMIENTOS!$A$5:$A$1005&lt;=$A205)*MOVIMIENTOS!$E$5:$E$1005))</f>
        <v/>
      </c>
      <c r="F205" s="63" t="str">
        <f>IF($A205="","",SUMPRODUCT((MOVIMIENTOS!$B$5:$B$1005="SALDO INICIAL")*(MOVIMIENTOS!$C$5:$C$1005="Chancho")*(MOVIMIENTOS!$D$5:$D$1005="sacos")*(MOVIMIENTOS!$A$5:$A$1005&lt;&gt;"")*(MOVIMIENTOS!$A$5:$A$1005&lt;=$A205)*MOVIMIENTOS!$E$5:$E$1005)+SUMPRODUCT((MOVIMIENTOS!$B$5:$B$1005="PROCESO")*(MOVIMIENTOS!$C$5:$C$1005="Chancho")*(MOVIMIENTOS!$D$5:$D$1005="sacos")*(MOVIMIENTOS!$A$5:$A$1005&lt;&gt;"")*(MOVIMIENTOS!$A$5:$A$1005&lt;=$A205)*MOVIMIENTOS!$E$5:$E$1005)-SUMPRODUCT((MOVIMIENTOS!$B$5:$B$1005="VENTA CHANCHO")*(MOVIMIENTOS!$C$5:$C$1005="Chancho")*(MOVIMIENTOS!$D$5:$D$1005="sacos")*(MOVIMIENTOS!$A$5:$A$1005&lt;&gt;"")*(MOVIMIENTOS!$A$5:$A$1005&lt;=$A205)*MOVIMIENTOS!$E$5:$E$1005)-SUMPRODUCT((MOVIMIENTOS!$B$5:$B$1005="REGALO")*(MOVIMIENTOS!$C$5:$C$1005="Chancho")*(MOVIMIENTOS!$D$5:$D$1005="sacos")*(MOVIMIENTOS!$A$5:$A$1005&lt;&gt;"")*(MOVIMIENTOS!$A$5:$A$1005&lt;=$A205)*MOVIMIENTOS!$E$5:$E$1005)-SUMPRODUCT((MOVIMIENTOS!$B$5:$B$1005="VENTA")*(MOVIMIENTOS!$C$5:$C$1005="Chancho")*(MOVIMIENTOS!$D$5:$D$1005="sacos")*(MOVIMIENTOS!$A$5:$A$1005&lt;&gt;"")*(MOVIMIENTOS!$A$5:$A$1005&lt;=$A205)*MOVIMIENTOS!$E$5:$E$1005)+SUMPRODUCT((MOVIMIENTOS!$B$5:$B$1005="AJUSTE")*(MOVIMIENTOS!$C$5:$C$1005="Chancho")*(MOVIMIENTOS!$D$5:$D$1005="sacos")*(MOVIMIENTOS!$A$5:$A$1005&lt;&gt;"")*(MOVIMIENTOS!$A$5:$A$1005&lt;=$A205)*MOVIMIENTOS!$E$5:$E$1005))</f>
        <v/>
      </c>
      <c r="G205" s="95" t="str">
        <f t="shared" si="7"/>
        <v/>
      </c>
      <c r="H205" s="63" t="str">
        <f>IF($A205="","",SUMPRODUCT((((MOVIMIENTOS!$B$5:$B$1005="SALDO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205)*MOVIMIENTOS!$J$5:$J$1005))</f>
        <v/>
      </c>
      <c r="I205" s="63"/>
      <c r="J205" s="63" t="str">
        <f>IF(AND(MOVIMIENTOS!$A205&lt;&gt;"",COUNTIF(MOVIMIENTOS!$A$5:$A204,MOVIMIENTOS!$A205)=0),COUNT(J$4:J204)+1,"")</f>
        <v/>
      </c>
      <c r="K205" s="66">
        <f>MOVIMIENTOS!$A205</f>
        <v>46231</v>
      </c>
      <c r="L205" s="63"/>
      <c r="M205" s="63"/>
      <c r="N205" s="63"/>
    </row>
    <row r="206" spans="1:14" ht="15" customHeight="1" x14ac:dyDescent="0.2">
      <c r="A206" s="63" t="str">
        <f t="shared" si="6"/>
        <v/>
      </c>
      <c r="B206" s="63" t="str">
        <f>IF($A206="","",SUMPRODUCT((MOVIMIENTOS!$B$5:$B$1005="SALDO INICIAL")*(MOVIMIENTOS!$C$5:$C$1005="A")*(MOVIMIENTOS!$D$5:$D$1005="jabas")*(MOVIMIENTOS!$A$5:$A$1005&lt;&gt;"")*(MOVIMIENTOS!$A$5:$A$1005&lt;=$A206)*MOVIMIENTOS!$E$5:$E$1005)+SUMPRODUCT((MOVIMIENTOS!$B$5:$B$1005="PROCESO")*(MOVIMIENTOS!$C$5:$C$1005="A")*(MOVIMIENTOS!$D$5:$D$1005="jabas")*(MOVIMIENTOS!$A$5:$A$1005&lt;&gt;"")*(MOVIMIENTOS!$A$5:$A$1005&lt;=$A206)*MOVIMIENTOS!$E$5:$E$1005)-SUMPRODUCT((MOVIMIENTOS!$B$5:$B$1005="ENVÍO A SUPESA")*(MOVIMIENTOS!$C$5:$C$1005="A")*(MOVIMIENTOS!$D$5:$D$1005="jabas")*(MOVIMIENTOS!$A$5:$A$1005&lt;&gt;"")*(MOVIMIENTOS!$A$5:$A$1005&lt;=$A206)*MOVIMIENTOS!$E$5:$E$1005)+SUMPRODUCT((MOVIMIENTOS!$B$5:$B$1005="DEVOLUCIÓN")*(MOVIMIENTOS!$C$5:$C$1005="A")*(MOVIMIENTOS!$D$5:$D$1005="jabas")*(MOVIMIENTOS!$A$5:$A$1005&lt;&gt;"")*(MOVIMIENTOS!$A$5:$A$1005&lt;=$A206)*MOVIMIENTOS!$E$5:$E$1005)-SUMPRODUCT((MOVIMIENTOS!$B$5:$B$1005="TRASIEGO")*(MOVIMIENTOS!$C$5:$C$1005="A")*(MOVIMIENTOS!$D$5:$D$1005="jabas")*(MOVIMIENTOS!$A$5:$A$1005&lt;&gt;"")*(MOVIMIENTOS!$A$5:$A$1005&lt;=$A206)*MOVIMIENTOS!$E$5:$E$1005)-SUMPRODUCT((MOVIMIENTOS!$B$5:$B$1005="REGALO")*(MOVIMIENTOS!$C$5:$C$1005="A")*(MOVIMIENTOS!$D$5:$D$1005="jabas")*(MOVIMIENTOS!$A$5:$A$1005&lt;&gt;"")*(MOVIMIENTOS!$A$5:$A$1005&lt;=$A206)*MOVIMIENTOS!$E$5:$E$1005)-SUMPRODUCT((MOVIMIENTOS!$B$5:$B$1005="VENTA")*(MOVIMIENTOS!$C$5:$C$1005="A")*(MOVIMIENTOS!$D$5:$D$1005="jabas")*(MOVIMIENTOS!$A$5:$A$1005&lt;&gt;"")*(MOVIMIENTOS!$A$5:$A$1005&lt;=$A206)*MOVIMIENTOS!$E$5:$E$1005)+SUMPRODUCT((MOVIMIENTOS!$B$5:$B$1005="AJUSTE")*(MOVIMIENTOS!$C$5:$C$1005="A")*(MOVIMIENTOS!$D$5:$D$1005="jabas")*(MOVIMIENTOS!$A$5:$A$1005&lt;&gt;"")*(MOVIMIENTOS!$A$5:$A$1005&lt;=$A206)*MOVIMIENTOS!$E$5:$E$1005))</f>
        <v/>
      </c>
      <c r="C206" s="63" t="str">
        <f>IF($A206="","",SUMPRODUCT((MOVIMIENTOS!$B$5:$B$1005="SALDO INICIAL")*(MOVIMIENTOS!$C$5:$C$1005="P")*(MOVIMIENTOS!$D$5:$D$1005="jabas")*(MOVIMIENTOS!$A$5:$A$1005&lt;&gt;"")*(MOVIMIENTOS!$A$5:$A$1005&lt;=$A206)*MOVIMIENTOS!$E$5:$E$1005)+SUMPRODUCT((MOVIMIENTOS!$B$5:$B$1005="PROCESO")*(MOVIMIENTOS!$C$5:$C$1005="P")*(MOVIMIENTOS!$D$5:$D$1005="jabas")*(MOVIMIENTOS!$A$5:$A$1005&lt;&gt;"")*(MOVIMIENTOS!$A$5:$A$1005&lt;=$A206)*MOVIMIENTOS!$E$5:$E$1005)-SUMPRODUCT((MOVIMIENTOS!$B$5:$B$1005="ENVÍO A SUPESA")*(MOVIMIENTOS!$C$5:$C$1005="P")*(MOVIMIENTOS!$D$5:$D$1005="jabas")*(MOVIMIENTOS!$A$5:$A$1005&lt;&gt;"")*(MOVIMIENTOS!$A$5:$A$1005&lt;=$A206)*MOVIMIENTOS!$E$5:$E$1005)+SUMPRODUCT((MOVIMIENTOS!$B$5:$B$1005="DEVOLUCIÓN")*(MOVIMIENTOS!$C$5:$C$1005="P")*(MOVIMIENTOS!$D$5:$D$1005="jabas")*(MOVIMIENTOS!$A$5:$A$1005&lt;&gt;"")*(MOVIMIENTOS!$A$5:$A$1005&lt;=$A206)*MOVIMIENTOS!$E$5:$E$1005)-SUMPRODUCT((MOVIMIENTOS!$B$5:$B$1005="TRASIEGO")*(MOVIMIENTOS!$C$5:$C$1005="P")*(MOVIMIENTOS!$D$5:$D$1005="jabas")*(MOVIMIENTOS!$A$5:$A$1005&lt;&gt;"")*(MOVIMIENTOS!$A$5:$A$1005&lt;=$A206)*MOVIMIENTOS!$E$5:$E$1005)-SUMPRODUCT((MOVIMIENTOS!$B$5:$B$1005="REGALO")*(MOVIMIENTOS!$C$5:$C$1005="P")*(MOVIMIENTOS!$D$5:$D$1005="jabas")*(MOVIMIENTOS!$A$5:$A$1005&lt;&gt;"")*(MOVIMIENTOS!$A$5:$A$1005&lt;=$A206)*MOVIMIENTOS!$E$5:$E$1005)-SUMPRODUCT((MOVIMIENTOS!$B$5:$B$1005="VENTA")*(MOVIMIENTOS!$C$5:$C$1005="P")*(MOVIMIENTOS!$D$5:$D$1005="jabas")*(MOVIMIENTOS!$A$5:$A$1005&lt;&gt;"")*(MOVIMIENTOS!$A$5:$A$1005&lt;=$A206)*MOVIMIENTOS!$E$5:$E$1005)+SUMPRODUCT((MOVIMIENTOS!$B$5:$B$1005="AJUSTE")*(MOVIMIENTOS!$C$5:$C$1005="P")*(MOVIMIENTOS!$D$5:$D$1005="jabas")*(MOVIMIENTOS!$A$5:$A$1005&lt;&gt;"")*(MOVIMIENTOS!$A$5:$A$1005&lt;=$A206)*MOVIMIENTOS!$E$5:$E$1005))</f>
        <v/>
      </c>
      <c r="D206" s="63" t="str">
        <f>IF($A206="","",SUMPRODUCT((MOVIMIENTOS!$B$5:$B$1005="SALDO INICIAL")*(MOVIMIENTOS!$C$5:$C$1005="C")*(MOVIMIENTOS!$D$5:$D$1005="jabas")*(MOVIMIENTOS!$A$5:$A$1005&lt;&gt;"")*(MOVIMIENTOS!$A$5:$A$1005&lt;=$A206)*MOVIMIENTOS!$E$5:$E$1005)+SUMPRODUCT((MOVIMIENTOS!$B$5:$B$1005="PROCESO")*(MOVIMIENTOS!$C$5:$C$1005="C")*(MOVIMIENTOS!$D$5:$D$1005="jabas")*(MOVIMIENTOS!$A$5:$A$1005&lt;&gt;"")*(MOVIMIENTOS!$A$5:$A$1005&lt;=$A206)*MOVIMIENTOS!$E$5:$E$1005)-SUMPRODUCT((MOVIMIENTOS!$B$5:$B$1005="ENVÍO A SUPESA")*(MOVIMIENTOS!$C$5:$C$1005="C")*(MOVIMIENTOS!$D$5:$D$1005="jabas")*(MOVIMIENTOS!$A$5:$A$1005&lt;&gt;"")*(MOVIMIENTOS!$A$5:$A$1005&lt;=$A206)*MOVIMIENTOS!$E$5:$E$1005)+SUMPRODUCT((MOVIMIENTOS!$B$5:$B$1005="DEVOLUCIÓN")*(MOVIMIENTOS!$C$5:$C$1005="C")*(MOVIMIENTOS!$D$5:$D$1005="jabas")*(MOVIMIENTOS!$A$5:$A$1005&lt;&gt;"")*(MOVIMIENTOS!$A$5:$A$1005&lt;=$A206)*MOVIMIENTOS!$E$5:$E$1005)-SUMPRODUCT((MOVIMIENTOS!$B$5:$B$1005="TRASIEGO")*(MOVIMIENTOS!$C$5:$C$1005="C")*(MOVIMIENTOS!$D$5:$D$1005="jabas")*(MOVIMIENTOS!$A$5:$A$1005&lt;&gt;"")*(MOVIMIENTOS!$A$5:$A$1005&lt;=$A206)*MOVIMIENTOS!$E$5:$E$1005)-SUMPRODUCT((MOVIMIENTOS!$B$5:$B$1005="REGALO")*(MOVIMIENTOS!$C$5:$C$1005="C")*(MOVIMIENTOS!$D$5:$D$1005="jabas")*(MOVIMIENTOS!$A$5:$A$1005&lt;&gt;"")*(MOVIMIENTOS!$A$5:$A$1005&lt;=$A206)*MOVIMIENTOS!$E$5:$E$1005)-SUMPRODUCT((MOVIMIENTOS!$B$5:$B$1005="VENTA")*(MOVIMIENTOS!$C$5:$C$1005="C")*(MOVIMIENTOS!$D$5:$D$1005="jabas")*(MOVIMIENTOS!$A$5:$A$1005&lt;&gt;"")*(MOVIMIENTOS!$A$5:$A$1005&lt;=$A206)*MOVIMIENTOS!$E$5:$E$1005)+SUMPRODUCT((MOVIMIENTOS!$B$5:$B$1005="AJUSTE")*(MOVIMIENTOS!$C$5:$C$1005="C")*(MOVIMIENTOS!$D$5:$D$1005="jabas")*(MOVIMIENTOS!$A$5:$A$1005&lt;&gt;"")*(MOVIMIENTOS!$A$5:$A$1005&lt;=$A206)*MOVIMIENTOS!$E$5:$E$1005))</f>
        <v/>
      </c>
      <c r="E206" s="63" t="str">
        <f>IF($A206="","",SUMPRODUCT((MOVIMIENTOS!$B$5:$B$1005="SALDO INICIAL")*(MOVIMIENTOS!$C$5:$C$1005="M")*(MOVIMIENTOS!$D$5:$D$1005="jabas")*(MOVIMIENTOS!$A$5:$A$1005&lt;&gt;"")*(MOVIMIENTOS!$A$5:$A$1005&lt;=$A206)*MOVIMIENTOS!$E$5:$E$1005)+SUMPRODUCT((MOVIMIENTOS!$B$5:$B$1005="PROCESO")*(MOVIMIENTOS!$C$5:$C$1005="M")*(MOVIMIENTOS!$D$5:$D$1005="jabas")*(MOVIMIENTOS!$A$5:$A$1005&lt;&gt;"")*(MOVIMIENTOS!$A$5:$A$1005&lt;=$A206)*MOVIMIENTOS!$E$5:$E$1005)-SUMPRODUCT((MOVIMIENTOS!$B$5:$B$1005="ENVÍO A SUPESA")*(MOVIMIENTOS!$C$5:$C$1005="M")*(MOVIMIENTOS!$D$5:$D$1005="jabas")*(MOVIMIENTOS!$A$5:$A$1005&lt;&gt;"")*(MOVIMIENTOS!$A$5:$A$1005&lt;=$A206)*MOVIMIENTOS!$E$5:$E$1005)+SUMPRODUCT((MOVIMIENTOS!$B$5:$B$1005="DEVOLUCIÓN")*(MOVIMIENTOS!$C$5:$C$1005="M")*(MOVIMIENTOS!$D$5:$D$1005="jabas")*(MOVIMIENTOS!$A$5:$A$1005&lt;&gt;"")*(MOVIMIENTOS!$A$5:$A$1005&lt;=$A206)*MOVIMIENTOS!$E$5:$E$1005)-SUMPRODUCT((MOVIMIENTOS!$B$5:$B$1005="TRASIEGO")*(MOVIMIENTOS!$C$5:$C$1005="M")*(MOVIMIENTOS!$D$5:$D$1005="jabas")*(MOVIMIENTOS!$A$5:$A$1005&lt;&gt;"")*(MOVIMIENTOS!$A$5:$A$1005&lt;=$A206)*MOVIMIENTOS!$E$5:$E$1005)-SUMPRODUCT((MOVIMIENTOS!$B$5:$B$1005="REGALO")*(MOVIMIENTOS!$C$5:$C$1005="M")*(MOVIMIENTOS!$D$5:$D$1005="jabas")*(MOVIMIENTOS!$A$5:$A$1005&lt;&gt;"")*(MOVIMIENTOS!$A$5:$A$1005&lt;=$A206)*MOVIMIENTOS!$E$5:$E$1005)-SUMPRODUCT((MOVIMIENTOS!$B$5:$B$1005="VENTA")*(MOVIMIENTOS!$C$5:$C$1005="M")*(MOVIMIENTOS!$D$5:$D$1005="jabas")*(MOVIMIENTOS!$A$5:$A$1005&lt;&gt;"")*(MOVIMIENTOS!$A$5:$A$1005&lt;=$A206)*MOVIMIENTOS!$E$5:$E$1005)+SUMPRODUCT((MOVIMIENTOS!$B$5:$B$1005="AJUSTE")*(MOVIMIENTOS!$C$5:$C$1005="M")*(MOVIMIENTOS!$D$5:$D$1005="jabas")*(MOVIMIENTOS!$A$5:$A$1005&lt;&gt;"")*(MOVIMIENTOS!$A$5:$A$1005&lt;=$A206)*MOVIMIENTOS!$E$5:$E$1005))</f>
        <v/>
      </c>
      <c r="F206" s="63" t="str">
        <f>IF($A206="","",SUMPRODUCT((MOVIMIENTOS!$B$5:$B$1005="SALDO INICIAL")*(MOVIMIENTOS!$C$5:$C$1005="Chancho")*(MOVIMIENTOS!$D$5:$D$1005="sacos")*(MOVIMIENTOS!$A$5:$A$1005&lt;&gt;"")*(MOVIMIENTOS!$A$5:$A$1005&lt;=$A206)*MOVIMIENTOS!$E$5:$E$1005)+SUMPRODUCT((MOVIMIENTOS!$B$5:$B$1005="PROCESO")*(MOVIMIENTOS!$C$5:$C$1005="Chancho")*(MOVIMIENTOS!$D$5:$D$1005="sacos")*(MOVIMIENTOS!$A$5:$A$1005&lt;&gt;"")*(MOVIMIENTOS!$A$5:$A$1005&lt;=$A206)*MOVIMIENTOS!$E$5:$E$1005)-SUMPRODUCT((MOVIMIENTOS!$B$5:$B$1005="VENTA CHANCHO")*(MOVIMIENTOS!$C$5:$C$1005="Chancho")*(MOVIMIENTOS!$D$5:$D$1005="sacos")*(MOVIMIENTOS!$A$5:$A$1005&lt;&gt;"")*(MOVIMIENTOS!$A$5:$A$1005&lt;=$A206)*MOVIMIENTOS!$E$5:$E$1005)-SUMPRODUCT((MOVIMIENTOS!$B$5:$B$1005="REGALO")*(MOVIMIENTOS!$C$5:$C$1005="Chancho")*(MOVIMIENTOS!$D$5:$D$1005="sacos")*(MOVIMIENTOS!$A$5:$A$1005&lt;&gt;"")*(MOVIMIENTOS!$A$5:$A$1005&lt;=$A206)*MOVIMIENTOS!$E$5:$E$1005)-SUMPRODUCT((MOVIMIENTOS!$B$5:$B$1005="VENTA")*(MOVIMIENTOS!$C$5:$C$1005="Chancho")*(MOVIMIENTOS!$D$5:$D$1005="sacos")*(MOVIMIENTOS!$A$5:$A$1005&lt;&gt;"")*(MOVIMIENTOS!$A$5:$A$1005&lt;=$A206)*MOVIMIENTOS!$E$5:$E$1005)+SUMPRODUCT((MOVIMIENTOS!$B$5:$B$1005="AJUSTE")*(MOVIMIENTOS!$C$5:$C$1005="Chancho")*(MOVIMIENTOS!$D$5:$D$1005="sacos")*(MOVIMIENTOS!$A$5:$A$1005&lt;&gt;"")*(MOVIMIENTOS!$A$5:$A$1005&lt;=$A206)*MOVIMIENTOS!$E$5:$E$1005))</f>
        <v/>
      </c>
      <c r="G206" s="95" t="str">
        <f t="shared" si="7"/>
        <v/>
      </c>
      <c r="H206" s="63" t="str">
        <f>IF($A206="","",SUMPRODUCT((((MOVIMIENTOS!$B$5:$B$1005="SALDO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206)*MOVIMIENTOS!$J$5:$J$1005))</f>
        <v/>
      </c>
      <c r="I206" s="63"/>
      <c r="J206" s="63" t="str">
        <f>IF(AND(MOVIMIENTOS!$A206&lt;&gt;"",COUNTIF(MOVIMIENTOS!$A$5:$A205,MOVIMIENTOS!$A206)=0),COUNT(J$4:J205)+1,"")</f>
        <v/>
      </c>
      <c r="K206" s="66">
        <f>MOVIMIENTOS!$A206</f>
        <v>46231</v>
      </c>
      <c r="L206" s="63"/>
      <c r="M206" s="63"/>
      <c r="N206" s="63"/>
    </row>
    <row r="207" spans="1:14" ht="15" customHeight="1" x14ac:dyDescent="0.2">
      <c r="A207" s="63" t="str">
        <f t="shared" si="6"/>
        <v/>
      </c>
      <c r="B207" s="63" t="str">
        <f>IF($A207="","",SUMPRODUCT((MOVIMIENTOS!$B$5:$B$1005="SALDO INICIAL")*(MOVIMIENTOS!$C$5:$C$1005="A")*(MOVIMIENTOS!$D$5:$D$1005="jabas")*(MOVIMIENTOS!$A$5:$A$1005&lt;&gt;"")*(MOVIMIENTOS!$A$5:$A$1005&lt;=$A207)*MOVIMIENTOS!$E$5:$E$1005)+SUMPRODUCT((MOVIMIENTOS!$B$5:$B$1005="PROCESO")*(MOVIMIENTOS!$C$5:$C$1005="A")*(MOVIMIENTOS!$D$5:$D$1005="jabas")*(MOVIMIENTOS!$A$5:$A$1005&lt;&gt;"")*(MOVIMIENTOS!$A$5:$A$1005&lt;=$A207)*MOVIMIENTOS!$E$5:$E$1005)-SUMPRODUCT((MOVIMIENTOS!$B$5:$B$1005="ENVÍO A SUPESA")*(MOVIMIENTOS!$C$5:$C$1005="A")*(MOVIMIENTOS!$D$5:$D$1005="jabas")*(MOVIMIENTOS!$A$5:$A$1005&lt;&gt;"")*(MOVIMIENTOS!$A$5:$A$1005&lt;=$A207)*MOVIMIENTOS!$E$5:$E$1005)+SUMPRODUCT((MOVIMIENTOS!$B$5:$B$1005="DEVOLUCIÓN")*(MOVIMIENTOS!$C$5:$C$1005="A")*(MOVIMIENTOS!$D$5:$D$1005="jabas")*(MOVIMIENTOS!$A$5:$A$1005&lt;&gt;"")*(MOVIMIENTOS!$A$5:$A$1005&lt;=$A207)*MOVIMIENTOS!$E$5:$E$1005)-SUMPRODUCT((MOVIMIENTOS!$B$5:$B$1005="TRASIEGO")*(MOVIMIENTOS!$C$5:$C$1005="A")*(MOVIMIENTOS!$D$5:$D$1005="jabas")*(MOVIMIENTOS!$A$5:$A$1005&lt;&gt;"")*(MOVIMIENTOS!$A$5:$A$1005&lt;=$A207)*MOVIMIENTOS!$E$5:$E$1005)-SUMPRODUCT((MOVIMIENTOS!$B$5:$B$1005="REGALO")*(MOVIMIENTOS!$C$5:$C$1005="A")*(MOVIMIENTOS!$D$5:$D$1005="jabas")*(MOVIMIENTOS!$A$5:$A$1005&lt;&gt;"")*(MOVIMIENTOS!$A$5:$A$1005&lt;=$A207)*MOVIMIENTOS!$E$5:$E$1005)-SUMPRODUCT((MOVIMIENTOS!$B$5:$B$1005="VENTA")*(MOVIMIENTOS!$C$5:$C$1005="A")*(MOVIMIENTOS!$D$5:$D$1005="jabas")*(MOVIMIENTOS!$A$5:$A$1005&lt;&gt;"")*(MOVIMIENTOS!$A$5:$A$1005&lt;=$A207)*MOVIMIENTOS!$E$5:$E$1005)+SUMPRODUCT((MOVIMIENTOS!$B$5:$B$1005="AJUSTE")*(MOVIMIENTOS!$C$5:$C$1005="A")*(MOVIMIENTOS!$D$5:$D$1005="jabas")*(MOVIMIENTOS!$A$5:$A$1005&lt;&gt;"")*(MOVIMIENTOS!$A$5:$A$1005&lt;=$A207)*MOVIMIENTOS!$E$5:$E$1005))</f>
        <v/>
      </c>
      <c r="C207" s="63" t="str">
        <f>IF($A207="","",SUMPRODUCT((MOVIMIENTOS!$B$5:$B$1005="SALDO INICIAL")*(MOVIMIENTOS!$C$5:$C$1005="P")*(MOVIMIENTOS!$D$5:$D$1005="jabas")*(MOVIMIENTOS!$A$5:$A$1005&lt;&gt;"")*(MOVIMIENTOS!$A$5:$A$1005&lt;=$A207)*MOVIMIENTOS!$E$5:$E$1005)+SUMPRODUCT((MOVIMIENTOS!$B$5:$B$1005="PROCESO")*(MOVIMIENTOS!$C$5:$C$1005="P")*(MOVIMIENTOS!$D$5:$D$1005="jabas")*(MOVIMIENTOS!$A$5:$A$1005&lt;&gt;"")*(MOVIMIENTOS!$A$5:$A$1005&lt;=$A207)*MOVIMIENTOS!$E$5:$E$1005)-SUMPRODUCT((MOVIMIENTOS!$B$5:$B$1005="ENVÍO A SUPESA")*(MOVIMIENTOS!$C$5:$C$1005="P")*(MOVIMIENTOS!$D$5:$D$1005="jabas")*(MOVIMIENTOS!$A$5:$A$1005&lt;&gt;"")*(MOVIMIENTOS!$A$5:$A$1005&lt;=$A207)*MOVIMIENTOS!$E$5:$E$1005)+SUMPRODUCT((MOVIMIENTOS!$B$5:$B$1005="DEVOLUCIÓN")*(MOVIMIENTOS!$C$5:$C$1005="P")*(MOVIMIENTOS!$D$5:$D$1005="jabas")*(MOVIMIENTOS!$A$5:$A$1005&lt;&gt;"")*(MOVIMIENTOS!$A$5:$A$1005&lt;=$A207)*MOVIMIENTOS!$E$5:$E$1005)-SUMPRODUCT((MOVIMIENTOS!$B$5:$B$1005="TRASIEGO")*(MOVIMIENTOS!$C$5:$C$1005="P")*(MOVIMIENTOS!$D$5:$D$1005="jabas")*(MOVIMIENTOS!$A$5:$A$1005&lt;&gt;"")*(MOVIMIENTOS!$A$5:$A$1005&lt;=$A207)*MOVIMIENTOS!$E$5:$E$1005)-SUMPRODUCT((MOVIMIENTOS!$B$5:$B$1005="REGALO")*(MOVIMIENTOS!$C$5:$C$1005="P")*(MOVIMIENTOS!$D$5:$D$1005="jabas")*(MOVIMIENTOS!$A$5:$A$1005&lt;&gt;"")*(MOVIMIENTOS!$A$5:$A$1005&lt;=$A207)*MOVIMIENTOS!$E$5:$E$1005)-SUMPRODUCT((MOVIMIENTOS!$B$5:$B$1005="VENTA")*(MOVIMIENTOS!$C$5:$C$1005="P")*(MOVIMIENTOS!$D$5:$D$1005="jabas")*(MOVIMIENTOS!$A$5:$A$1005&lt;&gt;"")*(MOVIMIENTOS!$A$5:$A$1005&lt;=$A207)*MOVIMIENTOS!$E$5:$E$1005)+SUMPRODUCT((MOVIMIENTOS!$B$5:$B$1005="AJUSTE")*(MOVIMIENTOS!$C$5:$C$1005="P")*(MOVIMIENTOS!$D$5:$D$1005="jabas")*(MOVIMIENTOS!$A$5:$A$1005&lt;&gt;"")*(MOVIMIENTOS!$A$5:$A$1005&lt;=$A207)*MOVIMIENTOS!$E$5:$E$1005))</f>
        <v/>
      </c>
      <c r="D207" s="63" t="str">
        <f>IF($A207="","",SUMPRODUCT((MOVIMIENTOS!$B$5:$B$1005="SALDO INICIAL")*(MOVIMIENTOS!$C$5:$C$1005="C")*(MOVIMIENTOS!$D$5:$D$1005="jabas")*(MOVIMIENTOS!$A$5:$A$1005&lt;&gt;"")*(MOVIMIENTOS!$A$5:$A$1005&lt;=$A207)*MOVIMIENTOS!$E$5:$E$1005)+SUMPRODUCT((MOVIMIENTOS!$B$5:$B$1005="PROCESO")*(MOVIMIENTOS!$C$5:$C$1005="C")*(MOVIMIENTOS!$D$5:$D$1005="jabas")*(MOVIMIENTOS!$A$5:$A$1005&lt;&gt;"")*(MOVIMIENTOS!$A$5:$A$1005&lt;=$A207)*MOVIMIENTOS!$E$5:$E$1005)-SUMPRODUCT((MOVIMIENTOS!$B$5:$B$1005="ENVÍO A SUPESA")*(MOVIMIENTOS!$C$5:$C$1005="C")*(MOVIMIENTOS!$D$5:$D$1005="jabas")*(MOVIMIENTOS!$A$5:$A$1005&lt;&gt;"")*(MOVIMIENTOS!$A$5:$A$1005&lt;=$A207)*MOVIMIENTOS!$E$5:$E$1005)+SUMPRODUCT((MOVIMIENTOS!$B$5:$B$1005="DEVOLUCIÓN")*(MOVIMIENTOS!$C$5:$C$1005="C")*(MOVIMIENTOS!$D$5:$D$1005="jabas")*(MOVIMIENTOS!$A$5:$A$1005&lt;&gt;"")*(MOVIMIENTOS!$A$5:$A$1005&lt;=$A207)*MOVIMIENTOS!$E$5:$E$1005)-SUMPRODUCT((MOVIMIENTOS!$B$5:$B$1005="TRASIEGO")*(MOVIMIENTOS!$C$5:$C$1005="C")*(MOVIMIENTOS!$D$5:$D$1005="jabas")*(MOVIMIENTOS!$A$5:$A$1005&lt;&gt;"")*(MOVIMIENTOS!$A$5:$A$1005&lt;=$A207)*MOVIMIENTOS!$E$5:$E$1005)-SUMPRODUCT((MOVIMIENTOS!$B$5:$B$1005="REGALO")*(MOVIMIENTOS!$C$5:$C$1005="C")*(MOVIMIENTOS!$D$5:$D$1005="jabas")*(MOVIMIENTOS!$A$5:$A$1005&lt;&gt;"")*(MOVIMIENTOS!$A$5:$A$1005&lt;=$A207)*MOVIMIENTOS!$E$5:$E$1005)-SUMPRODUCT((MOVIMIENTOS!$B$5:$B$1005="VENTA")*(MOVIMIENTOS!$C$5:$C$1005="C")*(MOVIMIENTOS!$D$5:$D$1005="jabas")*(MOVIMIENTOS!$A$5:$A$1005&lt;&gt;"")*(MOVIMIENTOS!$A$5:$A$1005&lt;=$A207)*MOVIMIENTOS!$E$5:$E$1005)+SUMPRODUCT((MOVIMIENTOS!$B$5:$B$1005="AJUSTE")*(MOVIMIENTOS!$C$5:$C$1005="C")*(MOVIMIENTOS!$D$5:$D$1005="jabas")*(MOVIMIENTOS!$A$5:$A$1005&lt;&gt;"")*(MOVIMIENTOS!$A$5:$A$1005&lt;=$A207)*MOVIMIENTOS!$E$5:$E$1005))</f>
        <v/>
      </c>
      <c r="E207" s="63" t="str">
        <f>IF($A207="","",SUMPRODUCT((MOVIMIENTOS!$B$5:$B$1005="SALDO INICIAL")*(MOVIMIENTOS!$C$5:$C$1005="M")*(MOVIMIENTOS!$D$5:$D$1005="jabas")*(MOVIMIENTOS!$A$5:$A$1005&lt;&gt;"")*(MOVIMIENTOS!$A$5:$A$1005&lt;=$A207)*MOVIMIENTOS!$E$5:$E$1005)+SUMPRODUCT((MOVIMIENTOS!$B$5:$B$1005="PROCESO")*(MOVIMIENTOS!$C$5:$C$1005="M")*(MOVIMIENTOS!$D$5:$D$1005="jabas")*(MOVIMIENTOS!$A$5:$A$1005&lt;&gt;"")*(MOVIMIENTOS!$A$5:$A$1005&lt;=$A207)*MOVIMIENTOS!$E$5:$E$1005)-SUMPRODUCT((MOVIMIENTOS!$B$5:$B$1005="ENVÍO A SUPESA")*(MOVIMIENTOS!$C$5:$C$1005="M")*(MOVIMIENTOS!$D$5:$D$1005="jabas")*(MOVIMIENTOS!$A$5:$A$1005&lt;&gt;"")*(MOVIMIENTOS!$A$5:$A$1005&lt;=$A207)*MOVIMIENTOS!$E$5:$E$1005)+SUMPRODUCT((MOVIMIENTOS!$B$5:$B$1005="DEVOLUCIÓN")*(MOVIMIENTOS!$C$5:$C$1005="M")*(MOVIMIENTOS!$D$5:$D$1005="jabas")*(MOVIMIENTOS!$A$5:$A$1005&lt;&gt;"")*(MOVIMIENTOS!$A$5:$A$1005&lt;=$A207)*MOVIMIENTOS!$E$5:$E$1005)-SUMPRODUCT((MOVIMIENTOS!$B$5:$B$1005="TRASIEGO")*(MOVIMIENTOS!$C$5:$C$1005="M")*(MOVIMIENTOS!$D$5:$D$1005="jabas")*(MOVIMIENTOS!$A$5:$A$1005&lt;&gt;"")*(MOVIMIENTOS!$A$5:$A$1005&lt;=$A207)*MOVIMIENTOS!$E$5:$E$1005)-SUMPRODUCT((MOVIMIENTOS!$B$5:$B$1005="REGALO")*(MOVIMIENTOS!$C$5:$C$1005="M")*(MOVIMIENTOS!$D$5:$D$1005="jabas")*(MOVIMIENTOS!$A$5:$A$1005&lt;&gt;"")*(MOVIMIENTOS!$A$5:$A$1005&lt;=$A207)*MOVIMIENTOS!$E$5:$E$1005)-SUMPRODUCT((MOVIMIENTOS!$B$5:$B$1005="VENTA")*(MOVIMIENTOS!$C$5:$C$1005="M")*(MOVIMIENTOS!$D$5:$D$1005="jabas")*(MOVIMIENTOS!$A$5:$A$1005&lt;&gt;"")*(MOVIMIENTOS!$A$5:$A$1005&lt;=$A207)*MOVIMIENTOS!$E$5:$E$1005)+SUMPRODUCT((MOVIMIENTOS!$B$5:$B$1005="AJUSTE")*(MOVIMIENTOS!$C$5:$C$1005="M")*(MOVIMIENTOS!$D$5:$D$1005="jabas")*(MOVIMIENTOS!$A$5:$A$1005&lt;&gt;"")*(MOVIMIENTOS!$A$5:$A$1005&lt;=$A207)*MOVIMIENTOS!$E$5:$E$1005))</f>
        <v/>
      </c>
      <c r="F207" s="63" t="str">
        <f>IF($A207="","",SUMPRODUCT((MOVIMIENTOS!$B$5:$B$1005="SALDO INICIAL")*(MOVIMIENTOS!$C$5:$C$1005="Chancho")*(MOVIMIENTOS!$D$5:$D$1005="sacos")*(MOVIMIENTOS!$A$5:$A$1005&lt;&gt;"")*(MOVIMIENTOS!$A$5:$A$1005&lt;=$A207)*MOVIMIENTOS!$E$5:$E$1005)+SUMPRODUCT((MOVIMIENTOS!$B$5:$B$1005="PROCESO")*(MOVIMIENTOS!$C$5:$C$1005="Chancho")*(MOVIMIENTOS!$D$5:$D$1005="sacos")*(MOVIMIENTOS!$A$5:$A$1005&lt;&gt;"")*(MOVIMIENTOS!$A$5:$A$1005&lt;=$A207)*MOVIMIENTOS!$E$5:$E$1005)-SUMPRODUCT((MOVIMIENTOS!$B$5:$B$1005="VENTA CHANCHO")*(MOVIMIENTOS!$C$5:$C$1005="Chancho")*(MOVIMIENTOS!$D$5:$D$1005="sacos")*(MOVIMIENTOS!$A$5:$A$1005&lt;&gt;"")*(MOVIMIENTOS!$A$5:$A$1005&lt;=$A207)*MOVIMIENTOS!$E$5:$E$1005)-SUMPRODUCT((MOVIMIENTOS!$B$5:$B$1005="REGALO")*(MOVIMIENTOS!$C$5:$C$1005="Chancho")*(MOVIMIENTOS!$D$5:$D$1005="sacos")*(MOVIMIENTOS!$A$5:$A$1005&lt;&gt;"")*(MOVIMIENTOS!$A$5:$A$1005&lt;=$A207)*MOVIMIENTOS!$E$5:$E$1005)-SUMPRODUCT((MOVIMIENTOS!$B$5:$B$1005="VENTA")*(MOVIMIENTOS!$C$5:$C$1005="Chancho")*(MOVIMIENTOS!$D$5:$D$1005="sacos")*(MOVIMIENTOS!$A$5:$A$1005&lt;&gt;"")*(MOVIMIENTOS!$A$5:$A$1005&lt;=$A207)*MOVIMIENTOS!$E$5:$E$1005)+SUMPRODUCT((MOVIMIENTOS!$B$5:$B$1005="AJUSTE")*(MOVIMIENTOS!$C$5:$C$1005="Chancho")*(MOVIMIENTOS!$D$5:$D$1005="sacos")*(MOVIMIENTOS!$A$5:$A$1005&lt;&gt;"")*(MOVIMIENTOS!$A$5:$A$1005&lt;=$A207)*MOVIMIENTOS!$E$5:$E$1005))</f>
        <v/>
      </c>
      <c r="G207" s="95" t="str">
        <f t="shared" si="7"/>
        <v/>
      </c>
      <c r="H207" s="63" t="str">
        <f>IF($A207="","",SUMPRODUCT((((MOVIMIENTOS!$B$5:$B$1005="SALDO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207)*MOVIMIENTOS!$J$5:$J$1005))</f>
        <v/>
      </c>
      <c r="I207" s="63"/>
      <c r="J207" s="63">
        <f>IF(AND(MOVIMIENTOS!$A207&lt;&gt;"",COUNTIF(MOVIMIENTOS!$A$5:$A206,MOVIMIENTOS!$A207)=0),COUNT(J$4:J206)+1,"")</f>
        <v>20</v>
      </c>
      <c r="K207" s="66">
        <f>MOVIMIENTOS!$A207</f>
        <v>46232</v>
      </c>
      <c r="L207" s="63"/>
      <c r="M207" s="63"/>
      <c r="N207" s="63"/>
    </row>
    <row r="208" spans="1:14" ht="15" customHeight="1" x14ac:dyDescent="0.2">
      <c r="A208" s="63" t="str">
        <f t="shared" si="6"/>
        <v/>
      </c>
      <c r="B208" s="63" t="str">
        <f>IF($A208="","",SUMPRODUCT((MOVIMIENTOS!$B$5:$B$1005="SALDO INICIAL")*(MOVIMIENTOS!$C$5:$C$1005="A")*(MOVIMIENTOS!$D$5:$D$1005="jabas")*(MOVIMIENTOS!$A$5:$A$1005&lt;&gt;"")*(MOVIMIENTOS!$A$5:$A$1005&lt;=$A208)*MOVIMIENTOS!$E$5:$E$1005)+SUMPRODUCT((MOVIMIENTOS!$B$5:$B$1005="PROCESO")*(MOVIMIENTOS!$C$5:$C$1005="A")*(MOVIMIENTOS!$D$5:$D$1005="jabas")*(MOVIMIENTOS!$A$5:$A$1005&lt;&gt;"")*(MOVIMIENTOS!$A$5:$A$1005&lt;=$A208)*MOVIMIENTOS!$E$5:$E$1005)-SUMPRODUCT((MOVIMIENTOS!$B$5:$B$1005="ENVÍO A SUPESA")*(MOVIMIENTOS!$C$5:$C$1005="A")*(MOVIMIENTOS!$D$5:$D$1005="jabas")*(MOVIMIENTOS!$A$5:$A$1005&lt;&gt;"")*(MOVIMIENTOS!$A$5:$A$1005&lt;=$A208)*MOVIMIENTOS!$E$5:$E$1005)+SUMPRODUCT((MOVIMIENTOS!$B$5:$B$1005="DEVOLUCIÓN")*(MOVIMIENTOS!$C$5:$C$1005="A")*(MOVIMIENTOS!$D$5:$D$1005="jabas")*(MOVIMIENTOS!$A$5:$A$1005&lt;&gt;"")*(MOVIMIENTOS!$A$5:$A$1005&lt;=$A208)*MOVIMIENTOS!$E$5:$E$1005)-SUMPRODUCT((MOVIMIENTOS!$B$5:$B$1005="TRASIEGO")*(MOVIMIENTOS!$C$5:$C$1005="A")*(MOVIMIENTOS!$D$5:$D$1005="jabas")*(MOVIMIENTOS!$A$5:$A$1005&lt;&gt;"")*(MOVIMIENTOS!$A$5:$A$1005&lt;=$A208)*MOVIMIENTOS!$E$5:$E$1005)-SUMPRODUCT((MOVIMIENTOS!$B$5:$B$1005="REGALO")*(MOVIMIENTOS!$C$5:$C$1005="A")*(MOVIMIENTOS!$D$5:$D$1005="jabas")*(MOVIMIENTOS!$A$5:$A$1005&lt;&gt;"")*(MOVIMIENTOS!$A$5:$A$1005&lt;=$A208)*MOVIMIENTOS!$E$5:$E$1005)-SUMPRODUCT((MOVIMIENTOS!$B$5:$B$1005="VENTA")*(MOVIMIENTOS!$C$5:$C$1005="A")*(MOVIMIENTOS!$D$5:$D$1005="jabas")*(MOVIMIENTOS!$A$5:$A$1005&lt;&gt;"")*(MOVIMIENTOS!$A$5:$A$1005&lt;=$A208)*MOVIMIENTOS!$E$5:$E$1005)+SUMPRODUCT((MOVIMIENTOS!$B$5:$B$1005="AJUSTE")*(MOVIMIENTOS!$C$5:$C$1005="A")*(MOVIMIENTOS!$D$5:$D$1005="jabas")*(MOVIMIENTOS!$A$5:$A$1005&lt;&gt;"")*(MOVIMIENTOS!$A$5:$A$1005&lt;=$A208)*MOVIMIENTOS!$E$5:$E$1005))</f>
        <v/>
      </c>
      <c r="C208" s="63" t="str">
        <f>IF($A208="","",SUMPRODUCT((MOVIMIENTOS!$B$5:$B$1005="SALDO INICIAL")*(MOVIMIENTOS!$C$5:$C$1005="P")*(MOVIMIENTOS!$D$5:$D$1005="jabas")*(MOVIMIENTOS!$A$5:$A$1005&lt;&gt;"")*(MOVIMIENTOS!$A$5:$A$1005&lt;=$A208)*MOVIMIENTOS!$E$5:$E$1005)+SUMPRODUCT((MOVIMIENTOS!$B$5:$B$1005="PROCESO")*(MOVIMIENTOS!$C$5:$C$1005="P")*(MOVIMIENTOS!$D$5:$D$1005="jabas")*(MOVIMIENTOS!$A$5:$A$1005&lt;&gt;"")*(MOVIMIENTOS!$A$5:$A$1005&lt;=$A208)*MOVIMIENTOS!$E$5:$E$1005)-SUMPRODUCT((MOVIMIENTOS!$B$5:$B$1005="ENVÍO A SUPESA")*(MOVIMIENTOS!$C$5:$C$1005="P")*(MOVIMIENTOS!$D$5:$D$1005="jabas")*(MOVIMIENTOS!$A$5:$A$1005&lt;&gt;"")*(MOVIMIENTOS!$A$5:$A$1005&lt;=$A208)*MOVIMIENTOS!$E$5:$E$1005)+SUMPRODUCT((MOVIMIENTOS!$B$5:$B$1005="DEVOLUCIÓN")*(MOVIMIENTOS!$C$5:$C$1005="P")*(MOVIMIENTOS!$D$5:$D$1005="jabas")*(MOVIMIENTOS!$A$5:$A$1005&lt;&gt;"")*(MOVIMIENTOS!$A$5:$A$1005&lt;=$A208)*MOVIMIENTOS!$E$5:$E$1005)-SUMPRODUCT((MOVIMIENTOS!$B$5:$B$1005="TRASIEGO")*(MOVIMIENTOS!$C$5:$C$1005="P")*(MOVIMIENTOS!$D$5:$D$1005="jabas")*(MOVIMIENTOS!$A$5:$A$1005&lt;&gt;"")*(MOVIMIENTOS!$A$5:$A$1005&lt;=$A208)*MOVIMIENTOS!$E$5:$E$1005)-SUMPRODUCT((MOVIMIENTOS!$B$5:$B$1005="REGALO")*(MOVIMIENTOS!$C$5:$C$1005="P")*(MOVIMIENTOS!$D$5:$D$1005="jabas")*(MOVIMIENTOS!$A$5:$A$1005&lt;&gt;"")*(MOVIMIENTOS!$A$5:$A$1005&lt;=$A208)*MOVIMIENTOS!$E$5:$E$1005)-SUMPRODUCT((MOVIMIENTOS!$B$5:$B$1005="VENTA")*(MOVIMIENTOS!$C$5:$C$1005="P")*(MOVIMIENTOS!$D$5:$D$1005="jabas")*(MOVIMIENTOS!$A$5:$A$1005&lt;&gt;"")*(MOVIMIENTOS!$A$5:$A$1005&lt;=$A208)*MOVIMIENTOS!$E$5:$E$1005)+SUMPRODUCT((MOVIMIENTOS!$B$5:$B$1005="AJUSTE")*(MOVIMIENTOS!$C$5:$C$1005="P")*(MOVIMIENTOS!$D$5:$D$1005="jabas")*(MOVIMIENTOS!$A$5:$A$1005&lt;&gt;"")*(MOVIMIENTOS!$A$5:$A$1005&lt;=$A208)*MOVIMIENTOS!$E$5:$E$1005))</f>
        <v/>
      </c>
      <c r="D208" s="63" t="str">
        <f>IF($A208="","",SUMPRODUCT((MOVIMIENTOS!$B$5:$B$1005="SALDO INICIAL")*(MOVIMIENTOS!$C$5:$C$1005="C")*(MOVIMIENTOS!$D$5:$D$1005="jabas")*(MOVIMIENTOS!$A$5:$A$1005&lt;&gt;"")*(MOVIMIENTOS!$A$5:$A$1005&lt;=$A208)*MOVIMIENTOS!$E$5:$E$1005)+SUMPRODUCT((MOVIMIENTOS!$B$5:$B$1005="PROCESO")*(MOVIMIENTOS!$C$5:$C$1005="C")*(MOVIMIENTOS!$D$5:$D$1005="jabas")*(MOVIMIENTOS!$A$5:$A$1005&lt;&gt;"")*(MOVIMIENTOS!$A$5:$A$1005&lt;=$A208)*MOVIMIENTOS!$E$5:$E$1005)-SUMPRODUCT((MOVIMIENTOS!$B$5:$B$1005="ENVÍO A SUPESA")*(MOVIMIENTOS!$C$5:$C$1005="C")*(MOVIMIENTOS!$D$5:$D$1005="jabas")*(MOVIMIENTOS!$A$5:$A$1005&lt;&gt;"")*(MOVIMIENTOS!$A$5:$A$1005&lt;=$A208)*MOVIMIENTOS!$E$5:$E$1005)+SUMPRODUCT((MOVIMIENTOS!$B$5:$B$1005="DEVOLUCIÓN")*(MOVIMIENTOS!$C$5:$C$1005="C")*(MOVIMIENTOS!$D$5:$D$1005="jabas")*(MOVIMIENTOS!$A$5:$A$1005&lt;&gt;"")*(MOVIMIENTOS!$A$5:$A$1005&lt;=$A208)*MOVIMIENTOS!$E$5:$E$1005)-SUMPRODUCT((MOVIMIENTOS!$B$5:$B$1005="TRASIEGO")*(MOVIMIENTOS!$C$5:$C$1005="C")*(MOVIMIENTOS!$D$5:$D$1005="jabas")*(MOVIMIENTOS!$A$5:$A$1005&lt;&gt;"")*(MOVIMIENTOS!$A$5:$A$1005&lt;=$A208)*MOVIMIENTOS!$E$5:$E$1005)-SUMPRODUCT((MOVIMIENTOS!$B$5:$B$1005="REGALO")*(MOVIMIENTOS!$C$5:$C$1005="C")*(MOVIMIENTOS!$D$5:$D$1005="jabas")*(MOVIMIENTOS!$A$5:$A$1005&lt;&gt;"")*(MOVIMIENTOS!$A$5:$A$1005&lt;=$A208)*MOVIMIENTOS!$E$5:$E$1005)-SUMPRODUCT((MOVIMIENTOS!$B$5:$B$1005="VENTA")*(MOVIMIENTOS!$C$5:$C$1005="C")*(MOVIMIENTOS!$D$5:$D$1005="jabas")*(MOVIMIENTOS!$A$5:$A$1005&lt;&gt;"")*(MOVIMIENTOS!$A$5:$A$1005&lt;=$A208)*MOVIMIENTOS!$E$5:$E$1005)+SUMPRODUCT((MOVIMIENTOS!$B$5:$B$1005="AJUSTE")*(MOVIMIENTOS!$C$5:$C$1005="C")*(MOVIMIENTOS!$D$5:$D$1005="jabas")*(MOVIMIENTOS!$A$5:$A$1005&lt;&gt;"")*(MOVIMIENTOS!$A$5:$A$1005&lt;=$A208)*MOVIMIENTOS!$E$5:$E$1005))</f>
        <v/>
      </c>
      <c r="E208" s="63" t="str">
        <f>IF($A208="","",SUMPRODUCT((MOVIMIENTOS!$B$5:$B$1005="SALDO INICIAL")*(MOVIMIENTOS!$C$5:$C$1005="M")*(MOVIMIENTOS!$D$5:$D$1005="jabas")*(MOVIMIENTOS!$A$5:$A$1005&lt;&gt;"")*(MOVIMIENTOS!$A$5:$A$1005&lt;=$A208)*MOVIMIENTOS!$E$5:$E$1005)+SUMPRODUCT((MOVIMIENTOS!$B$5:$B$1005="PROCESO")*(MOVIMIENTOS!$C$5:$C$1005="M")*(MOVIMIENTOS!$D$5:$D$1005="jabas")*(MOVIMIENTOS!$A$5:$A$1005&lt;&gt;"")*(MOVIMIENTOS!$A$5:$A$1005&lt;=$A208)*MOVIMIENTOS!$E$5:$E$1005)-SUMPRODUCT((MOVIMIENTOS!$B$5:$B$1005="ENVÍO A SUPESA")*(MOVIMIENTOS!$C$5:$C$1005="M")*(MOVIMIENTOS!$D$5:$D$1005="jabas")*(MOVIMIENTOS!$A$5:$A$1005&lt;&gt;"")*(MOVIMIENTOS!$A$5:$A$1005&lt;=$A208)*MOVIMIENTOS!$E$5:$E$1005)+SUMPRODUCT((MOVIMIENTOS!$B$5:$B$1005="DEVOLUCIÓN")*(MOVIMIENTOS!$C$5:$C$1005="M")*(MOVIMIENTOS!$D$5:$D$1005="jabas")*(MOVIMIENTOS!$A$5:$A$1005&lt;&gt;"")*(MOVIMIENTOS!$A$5:$A$1005&lt;=$A208)*MOVIMIENTOS!$E$5:$E$1005)-SUMPRODUCT((MOVIMIENTOS!$B$5:$B$1005="TRASIEGO")*(MOVIMIENTOS!$C$5:$C$1005="M")*(MOVIMIENTOS!$D$5:$D$1005="jabas")*(MOVIMIENTOS!$A$5:$A$1005&lt;&gt;"")*(MOVIMIENTOS!$A$5:$A$1005&lt;=$A208)*MOVIMIENTOS!$E$5:$E$1005)-SUMPRODUCT((MOVIMIENTOS!$B$5:$B$1005="REGALO")*(MOVIMIENTOS!$C$5:$C$1005="M")*(MOVIMIENTOS!$D$5:$D$1005="jabas")*(MOVIMIENTOS!$A$5:$A$1005&lt;&gt;"")*(MOVIMIENTOS!$A$5:$A$1005&lt;=$A208)*MOVIMIENTOS!$E$5:$E$1005)-SUMPRODUCT((MOVIMIENTOS!$B$5:$B$1005="VENTA")*(MOVIMIENTOS!$C$5:$C$1005="M")*(MOVIMIENTOS!$D$5:$D$1005="jabas")*(MOVIMIENTOS!$A$5:$A$1005&lt;&gt;"")*(MOVIMIENTOS!$A$5:$A$1005&lt;=$A208)*MOVIMIENTOS!$E$5:$E$1005)+SUMPRODUCT((MOVIMIENTOS!$B$5:$B$1005="AJUSTE")*(MOVIMIENTOS!$C$5:$C$1005="M")*(MOVIMIENTOS!$D$5:$D$1005="jabas")*(MOVIMIENTOS!$A$5:$A$1005&lt;&gt;"")*(MOVIMIENTOS!$A$5:$A$1005&lt;=$A208)*MOVIMIENTOS!$E$5:$E$1005))</f>
        <v/>
      </c>
      <c r="F208" s="63" t="str">
        <f>IF($A208="","",SUMPRODUCT((MOVIMIENTOS!$B$5:$B$1005="SALDO INICIAL")*(MOVIMIENTOS!$C$5:$C$1005="Chancho")*(MOVIMIENTOS!$D$5:$D$1005="sacos")*(MOVIMIENTOS!$A$5:$A$1005&lt;&gt;"")*(MOVIMIENTOS!$A$5:$A$1005&lt;=$A208)*MOVIMIENTOS!$E$5:$E$1005)+SUMPRODUCT((MOVIMIENTOS!$B$5:$B$1005="PROCESO")*(MOVIMIENTOS!$C$5:$C$1005="Chancho")*(MOVIMIENTOS!$D$5:$D$1005="sacos")*(MOVIMIENTOS!$A$5:$A$1005&lt;&gt;"")*(MOVIMIENTOS!$A$5:$A$1005&lt;=$A208)*MOVIMIENTOS!$E$5:$E$1005)-SUMPRODUCT((MOVIMIENTOS!$B$5:$B$1005="VENTA CHANCHO")*(MOVIMIENTOS!$C$5:$C$1005="Chancho")*(MOVIMIENTOS!$D$5:$D$1005="sacos")*(MOVIMIENTOS!$A$5:$A$1005&lt;&gt;"")*(MOVIMIENTOS!$A$5:$A$1005&lt;=$A208)*MOVIMIENTOS!$E$5:$E$1005)-SUMPRODUCT((MOVIMIENTOS!$B$5:$B$1005="REGALO")*(MOVIMIENTOS!$C$5:$C$1005="Chancho")*(MOVIMIENTOS!$D$5:$D$1005="sacos")*(MOVIMIENTOS!$A$5:$A$1005&lt;&gt;"")*(MOVIMIENTOS!$A$5:$A$1005&lt;=$A208)*MOVIMIENTOS!$E$5:$E$1005)-SUMPRODUCT((MOVIMIENTOS!$B$5:$B$1005="VENTA")*(MOVIMIENTOS!$C$5:$C$1005="Chancho")*(MOVIMIENTOS!$D$5:$D$1005="sacos")*(MOVIMIENTOS!$A$5:$A$1005&lt;&gt;"")*(MOVIMIENTOS!$A$5:$A$1005&lt;=$A208)*MOVIMIENTOS!$E$5:$E$1005)+SUMPRODUCT((MOVIMIENTOS!$B$5:$B$1005="AJUSTE")*(MOVIMIENTOS!$C$5:$C$1005="Chancho")*(MOVIMIENTOS!$D$5:$D$1005="sacos")*(MOVIMIENTOS!$A$5:$A$1005&lt;&gt;"")*(MOVIMIENTOS!$A$5:$A$1005&lt;=$A208)*MOVIMIENTOS!$E$5:$E$1005))</f>
        <v/>
      </c>
      <c r="G208" s="95" t="str">
        <f t="shared" si="7"/>
        <v/>
      </c>
      <c r="H208" s="63" t="str">
        <f>IF($A208="","",SUMPRODUCT((((MOVIMIENTOS!$B$5:$B$1005="SALDO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208)*MOVIMIENTOS!$J$5:$J$1005))</f>
        <v/>
      </c>
      <c r="I208" s="63"/>
      <c r="J208" s="63" t="str">
        <f>IF(AND(MOVIMIENTOS!$A208&lt;&gt;"",COUNTIF(MOVIMIENTOS!$A$5:$A207,MOVIMIENTOS!$A208)=0),COUNT(J$4:J207)+1,"")</f>
        <v/>
      </c>
      <c r="K208" s="66">
        <f>MOVIMIENTOS!$A208</f>
        <v>46232</v>
      </c>
      <c r="L208" s="63"/>
      <c r="M208" s="63"/>
      <c r="N208" s="63"/>
    </row>
    <row r="209" spans="1:14" ht="15" customHeight="1" x14ac:dyDescent="0.2">
      <c r="A209" s="63" t="str">
        <f t="shared" si="6"/>
        <v/>
      </c>
      <c r="B209" s="63" t="str">
        <f>IF($A209="","",SUMPRODUCT((MOVIMIENTOS!$B$5:$B$1005="SALDO INICIAL")*(MOVIMIENTOS!$C$5:$C$1005="A")*(MOVIMIENTOS!$D$5:$D$1005="jabas")*(MOVIMIENTOS!$A$5:$A$1005&lt;&gt;"")*(MOVIMIENTOS!$A$5:$A$1005&lt;=$A209)*MOVIMIENTOS!$E$5:$E$1005)+SUMPRODUCT((MOVIMIENTOS!$B$5:$B$1005="PROCESO")*(MOVIMIENTOS!$C$5:$C$1005="A")*(MOVIMIENTOS!$D$5:$D$1005="jabas")*(MOVIMIENTOS!$A$5:$A$1005&lt;&gt;"")*(MOVIMIENTOS!$A$5:$A$1005&lt;=$A209)*MOVIMIENTOS!$E$5:$E$1005)-SUMPRODUCT((MOVIMIENTOS!$B$5:$B$1005="ENVÍO A SUPESA")*(MOVIMIENTOS!$C$5:$C$1005="A")*(MOVIMIENTOS!$D$5:$D$1005="jabas")*(MOVIMIENTOS!$A$5:$A$1005&lt;&gt;"")*(MOVIMIENTOS!$A$5:$A$1005&lt;=$A209)*MOVIMIENTOS!$E$5:$E$1005)+SUMPRODUCT((MOVIMIENTOS!$B$5:$B$1005="DEVOLUCIÓN")*(MOVIMIENTOS!$C$5:$C$1005="A")*(MOVIMIENTOS!$D$5:$D$1005="jabas")*(MOVIMIENTOS!$A$5:$A$1005&lt;&gt;"")*(MOVIMIENTOS!$A$5:$A$1005&lt;=$A209)*MOVIMIENTOS!$E$5:$E$1005)-SUMPRODUCT((MOVIMIENTOS!$B$5:$B$1005="TRASIEGO")*(MOVIMIENTOS!$C$5:$C$1005="A")*(MOVIMIENTOS!$D$5:$D$1005="jabas")*(MOVIMIENTOS!$A$5:$A$1005&lt;&gt;"")*(MOVIMIENTOS!$A$5:$A$1005&lt;=$A209)*MOVIMIENTOS!$E$5:$E$1005)-SUMPRODUCT((MOVIMIENTOS!$B$5:$B$1005="REGALO")*(MOVIMIENTOS!$C$5:$C$1005="A")*(MOVIMIENTOS!$D$5:$D$1005="jabas")*(MOVIMIENTOS!$A$5:$A$1005&lt;&gt;"")*(MOVIMIENTOS!$A$5:$A$1005&lt;=$A209)*MOVIMIENTOS!$E$5:$E$1005)-SUMPRODUCT((MOVIMIENTOS!$B$5:$B$1005="VENTA")*(MOVIMIENTOS!$C$5:$C$1005="A")*(MOVIMIENTOS!$D$5:$D$1005="jabas")*(MOVIMIENTOS!$A$5:$A$1005&lt;&gt;"")*(MOVIMIENTOS!$A$5:$A$1005&lt;=$A209)*MOVIMIENTOS!$E$5:$E$1005)+SUMPRODUCT((MOVIMIENTOS!$B$5:$B$1005="AJUSTE")*(MOVIMIENTOS!$C$5:$C$1005="A")*(MOVIMIENTOS!$D$5:$D$1005="jabas")*(MOVIMIENTOS!$A$5:$A$1005&lt;&gt;"")*(MOVIMIENTOS!$A$5:$A$1005&lt;=$A209)*MOVIMIENTOS!$E$5:$E$1005))</f>
        <v/>
      </c>
      <c r="C209" s="63" t="str">
        <f>IF($A209="","",SUMPRODUCT((MOVIMIENTOS!$B$5:$B$1005="SALDO INICIAL")*(MOVIMIENTOS!$C$5:$C$1005="P")*(MOVIMIENTOS!$D$5:$D$1005="jabas")*(MOVIMIENTOS!$A$5:$A$1005&lt;&gt;"")*(MOVIMIENTOS!$A$5:$A$1005&lt;=$A209)*MOVIMIENTOS!$E$5:$E$1005)+SUMPRODUCT((MOVIMIENTOS!$B$5:$B$1005="PROCESO")*(MOVIMIENTOS!$C$5:$C$1005="P")*(MOVIMIENTOS!$D$5:$D$1005="jabas")*(MOVIMIENTOS!$A$5:$A$1005&lt;&gt;"")*(MOVIMIENTOS!$A$5:$A$1005&lt;=$A209)*MOVIMIENTOS!$E$5:$E$1005)-SUMPRODUCT((MOVIMIENTOS!$B$5:$B$1005="ENVÍO A SUPESA")*(MOVIMIENTOS!$C$5:$C$1005="P")*(MOVIMIENTOS!$D$5:$D$1005="jabas")*(MOVIMIENTOS!$A$5:$A$1005&lt;&gt;"")*(MOVIMIENTOS!$A$5:$A$1005&lt;=$A209)*MOVIMIENTOS!$E$5:$E$1005)+SUMPRODUCT((MOVIMIENTOS!$B$5:$B$1005="DEVOLUCIÓN")*(MOVIMIENTOS!$C$5:$C$1005="P")*(MOVIMIENTOS!$D$5:$D$1005="jabas")*(MOVIMIENTOS!$A$5:$A$1005&lt;&gt;"")*(MOVIMIENTOS!$A$5:$A$1005&lt;=$A209)*MOVIMIENTOS!$E$5:$E$1005)-SUMPRODUCT((MOVIMIENTOS!$B$5:$B$1005="TRASIEGO")*(MOVIMIENTOS!$C$5:$C$1005="P")*(MOVIMIENTOS!$D$5:$D$1005="jabas")*(MOVIMIENTOS!$A$5:$A$1005&lt;&gt;"")*(MOVIMIENTOS!$A$5:$A$1005&lt;=$A209)*MOVIMIENTOS!$E$5:$E$1005)-SUMPRODUCT((MOVIMIENTOS!$B$5:$B$1005="REGALO")*(MOVIMIENTOS!$C$5:$C$1005="P")*(MOVIMIENTOS!$D$5:$D$1005="jabas")*(MOVIMIENTOS!$A$5:$A$1005&lt;&gt;"")*(MOVIMIENTOS!$A$5:$A$1005&lt;=$A209)*MOVIMIENTOS!$E$5:$E$1005)-SUMPRODUCT((MOVIMIENTOS!$B$5:$B$1005="VENTA")*(MOVIMIENTOS!$C$5:$C$1005="P")*(MOVIMIENTOS!$D$5:$D$1005="jabas")*(MOVIMIENTOS!$A$5:$A$1005&lt;&gt;"")*(MOVIMIENTOS!$A$5:$A$1005&lt;=$A209)*MOVIMIENTOS!$E$5:$E$1005)+SUMPRODUCT((MOVIMIENTOS!$B$5:$B$1005="AJUSTE")*(MOVIMIENTOS!$C$5:$C$1005="P")*(MOVIMIENTOS!$D$5:$D$1005="jabas")*(MOVIMIENTOS!$A$5:$A$1005&lt;&gt;"")*(MOVIMIENTOS!$A$5:$A$1005&lt;=$A209)*MOVIMIENTOS!$E$5:$E$1005))</f>
        <v/>
      </c>
      <c r="D209" s="63" t="str">
        <f>IF($A209="","",SUMPRODUCT((MOVIMIENTOS!$B$5:$B$1005="SALDO INICIAL")*(MOVIMIENTOS!$C$5:$C$1005="C")*(MOVIMIENTOS!$D$5:$D$1005="jabas")*(MOVIMIENTOS!$A$5:$A$1005&lt;&gt;"")*(MOVIMIENTOS!$A$5:$A$1005&lt;=$A209)*MOVIMIENTOS!$E$5:$E$1005)+SUMPRODUCT((MOVIMIENTOS!$B$5:$B$1005="PROCESO")*(MOVIMIENTOS!$C$5:$C$1005="C")*(MOVIMIENTOS!$D$5:$D$1005="jabas")*(MOVIMIENTOS!$A$5:$A$1005&lt;&gt;"")*(MOVIMIENTOS!$A$5:$A$1005&lt;=$A209)*MOVIMIENTOS!$E$5:$E$1005)-SUMPRODUCT((MOVIMIENTOS!$B$5:$B$1005="ENVÍO A SUPESA")*(MOVIMIENTOS!$C$5:$C$1005="C")*(MOVIMIENTOS!$D$5:$D$1005="jabas")*(MOVIMIENTOS!$A$5:$A$1005&lt;&gt;"")*(MOVIMIENTOS!$A$5:$A$1005&lt;=$A209)*MOVIMIENTOS!$E$5:$E$1005)+SUMPRODUCT((MOVIMIENTOS!$B$5:$B$1005="DEVOLUCIÓN")*(MOVIMIENTOS!$C$5:$C$1005="C")*(MOVIMIENTOS!$D$5:$D$1005="jabas")*(MOVIMIENTOS!$A$5:$A$1005&lt;&gt;"")*(MOVIMIENTOS!$A$5:$A$1005&lt;=$A209)*MOVIMIENTOS!$E$5:$E$1005)-SUMPRODUCT((MOVIMIENTOS!$B$5:$B$1005="TRASIEGO")*(MOVIMIENTOS!$C$5:$C$1005="C")*(MOVIMIENTOS!$D$5:$D$1005="jabas")*(MOVIMIENTOS!$A$5:$A$1005&lt;&gt;"")*(MOVIMIENTOS!$A$5:$A$1005&lt;=$A209)*MOVIMIENTOS!$E$5:$E$1005)-SUMPRODUCT((MOVIMIENTOS!$B$5:$B$1005="REGALO")*(MOVIMIENTOS!$C$5:$C$1005="C")*(MOVIMIENTOS!$D$5:$D$1005="jabas")*(MOVIMIENTOS!$A$5:$A$1005&lt;&gt;"")*(MOVIMIENTOS!$A$5:$A$1005&lt;=$A209)*MOVIMIENTOS!$E$5:$E$1005)-SUMPRODUCT((MOVIMIENTOS!$B$5:$B$1005="VENTA")*(MOVIMIENTOS!$C$5:$C$1005="C")*(MOVIMIENTOS!$D$5:$D$1005="jabas")*(MOVIMIENTOS!$A$5:$A$1005&lt;&gt;"")*(MOVIMIENTOS!$A$5:$A$1005&lt;=$A209)*MOVIMIENTOS!$E$5:$E$1005)+SUMPRODUCT((MOVIMIENTOS!$B$5:$B$1005="AJUSTE")*(MOVIMIENTOS!$C$5:$C$1005="C")*(MOVIMIENTOS!$D$5:$D$1005="jabas")*(MOVIMIENTOS!$A$5:$A$1005&lt;&gt;"")*(MOVIMIENTOS!$A$5:$A$1005&lt;=$A209)*MOVIMIENTOS!$E$5:$E$1005))</f>
        <v/>
      </c>
      <c r="E209" s="63" t="str">
        <f>IF($A209="","",SUMPRODUCT((MOVIMIENTOS!$B$5:$B$1005="SALDO INICIAL")*(MOVIMIENTOS!$C$5:$C$1005="M")*(MOVIMIENTOS!$D$5:$D$1005="jabas")*(MOVIMIENTOS!$A$5:$A$1005&lt;&gt;"")*(MOVIMIENTOS!$A$5:$A$1005&lt;=$A209)*MOVIMIENTOS!$E$5:$E$1005)+SUMPRODUCT((MOVIMIENTOS!$B$5:$B$1005="PROCESO")*(MOVIMIENTOS!$C$5:$C$1005="M")*(MOVIMIENTOS!$D$5:$D$1005="jabas")*(MOVIMIENTOS!$A$5:$A$1005&lt;&gt;"")*(MOVIMIENTOS!$A$5:$A$1005&lt;=$A209)*MOVIMIENTOS!$E$5:$E$1005)-SUMPRODUCT((MOVIMIENTOS!$B$5:$B$1005="ENVÍO A SUPESA")*(MOVIMIENTOS!$C$5:$C$1005="M")*(MOVIMIENTOS!$D$5:$D$1005="jabas")*(MOVIMIENTOS!$A$5:$A$1005&lt;&gt;"")*(MOVIMIENTOS!$A$5:$A$1005&lt;=$A209)*MOVIMIENTOS!$E$5:$E$1005)+SUMPRODUCT((MOVIMIENTOS!$B$5:$B$1005="DEVOLUCIÓN")*(MOVIMIENTOS!$C$5:$C$1005="M")*(MOVIMIENTOS!$D$5:$D$1005="jabas")*(MOVIMIENTOS!$A$5:$A$1005&lt;&gt;"")*(MOVIMIENTOS!$A$5:$A$1005&lt;=$A209)*MOVIMIENTOS!$E$5:$E$1005)-SUMPRODUCT((MOVIMIENTOS!$B$5:$B$1005="TRASIEGO")*(MOVIMIENTOS!$C$5:$C$1005="M")*(MOVIMIENTOS!$D$5:$D$1005="jabas")*(MOVIMIENTOS!$A$5:$A$1005&lt;&gt;"")*(MOVIMIENTOS!$A$5:$A$1005&lt;=$A209)*MOVIMIENTOS!$E$5:$E$1005)-SUMPRODUCT((MOVIMIENTOS!$B$5:$B$1005="REGALO")*(MOVIMIENTOS!$C$5:$C$1005="M")*(MOVIMIENTOS!$D$5:$D$1005="jabas")*(MOVIMIENTOS!$A$5:$A$1005&lt;&gt;"")*(MOVIMIENTOS!$A$5:$A$1005&lt;=$A209)*MOVIMIENTOS!$E$5:$E$1005)-SUMPRODUCT((MOVIMIENTOS!$B$5:$B$1005="VENTA")*(MOVIMIENTOS!$C$5:$C$1005="M")*(MOVIMIENTOS!$D$5:$D$1005="jabas")*(MOVIMIENTOS!$A$5:$A$1005&lt;&gt;"")*(MOVIMIENTOS!$A$5:$A$1005&lt;=$A209)*MOVIMIENTOS!$E$5:$E$1005)+SUMPRODUCT((MOVIMIENTOS!$B$5:$B$1005="AJUSTE")*(MOVIMIENTOS!$C$5:$C$1005="M")*(MOVIMIENTOS!$D$5:$D$1005="jabas")*(MOVIMIENTOS!$A$5:$A$1005&lt;&gt;"")*(MOVIMIENTOS!$A$5:$A$1005&lt;=$A209)*MOVIMIENTOS!$E$5:$E$1005))</f>
        <v/>
      </c>
      <c r="F209" s="63" t="str">
        <f>IF($A209="","",SUMPRODUCT((MOVIMIENTOS!$B$5:$B$1005="SALDO INICIAL")*(MOVIMIENTOS!$C$5:$C$1005="Chancho")*(MOVIMIENTOS!$D$5:$D$1005="sacos")*(MOVIMIENTOS!$A$5:$A$1005&lt;&gt;"")*(MOVIMIENTOS!$A$5:$A$1005&lt;=$A209)*MOVIMIENTOS!$E$5:$E$1005)+SUMPRODUCT((MOVIMIENTOS!$B$5:$B$1005="PROCESO")*(MOVIMIENTOS!$C$5:$C$1005="Chancho")*(MOVIMIENTOS!$D$5:$D$1005="sacos")*(MOVIMIENTOS!$A$5:$A$1005&lt;&gt;"")*(MOVIMIENTOS!$A$5:$A$1005&lt;=$A209)*MOVIMIENTOS!$E$5:$E$1005)-SUMPRODUCT((MOVIMIENTOS!$B$5:$B$1005="VENTA CHANCHO")*(MOVIMIENTOS!$C$5:$C$1005="Chancho")*(MOVIMIENTOS!$D$5:$D$1005="sacos")*(MOVIMIENTOS!$A$5:$A$1005&lt;&gt;"")*(MOVIMIENTOS!$A$5:$A$1005&lt;=$A209)*MOVIMIENTOS!$E$5:$E$1005)-SUMPRODUCT((MOVIMIENTOS!$B$5:$B$1005="REGALO")*(MOVIMIENTOS!$C$5:$C$1005="Chancho")*(MOVIMIENTOS!$D$5:$D$1005="sacos")*(MOVIMIENTOS!$A$5:$A$1005&lt;&gt;"")*(MOVIMIENTOS!$A$5:$A$1005&lt;=$A209)*MOVIMIENTOS!$E$5:$E$1005)-SUMPRODUCT((MOVIMIENTOS!$B$5:$B$1005="VENTA")*(MOVIMIENTOS!$C$5:$C$1005="Chancho")*(MOVIMIENTOS!$D$5:$D$1005="sacos")*(MOVIMIENTOS!$A$5:$A$1005&lt;&gt;"")*(MOVIMIENTOS!$A$5:$A$1005&lt;=$A209)*MOVIMIENTOS!$E$5:$E$1005)+SUMPRODUCT((MOVIMIENTOS!$B$5:$B$1005="AJUSTE")*(MOVIMIENTOS!$C$5:$C$1005="Chancho")*(MOVIMIENTOS!$D$5:$D$1005="sacos")*(MOVIMIENTOS!$A$5:$A$1005&lt;&gt;"")*(MOVIMIENTOS!$A$5:$A$1005&lt;=$A209)*MOVIMIENTOS!$E$5:$E$1005))</f>
        <v/>
      </c>
      <c r="G209" s="95" t="str">
        <f t="shared" si="7"/>
        <v/>
      </c>
      <c r="H209" s="63" t="str">
        <f>IF($A209="","",SUMPRODUCT((((MOVIMIENTOS!$B$5:$B$1005="SALDO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209)*MOVIMIENTOS!$J$5:$J$1005))</f>
        <v/>
      </c>
      <c r="I209" s="63"/>
      <c r="J209" s="63" t="str">
        <f>IF(AND(MOVIMIENTOS!$A209&lt;&gt;"",COUNTIF(MOVIMIENTOS!$A$5:$A208,MOVIMIENTOS!$A209)=0),COUNT(J$4:J208)+1,"")</f>
        <v/>
      </c>
      <c r="K209" s="66">
        <f>MOVIMIENTOS!$A209</f>
        <v>46232</v>
      </c>
      <c r="L209" s="63"/>
      <c r="M209" s="63"/>
      <c r="N209" s="63"/>
    </row>
    <row r="210" spans="1:14" ht="15" customHeight="1" x14ac:dyDescent="0.2">
      <c r="A210" s="63" t="str">
        <f t="shared" si="6"/>
        <v/>
      </c>
      <c r="B210" s="63" t="str">
        <f>IF($A210="","",SUMPRODUCT((MOVIMIENTOS!$B$5:$B$1005="SALDO INICIAL")*(MOVIMIENTOS!$C$5:$C$1005="A")*(MOVIMIENTOS!$D$5:$D$1005="jabas")*(MOVIMIENTOS!$A$5:$A$1005&lt;&gt;"")*(MOVIMIENTOS!$A$5:$A$1005&lt;=$A210)*MOVIMIENTOS!$E$5:$E$1005)+SUMPRODUCT((MOVIMIENTOS!$B$5:$B$1005="PROCESO")*(MOVIMIENTOS!$C$5:$C$1005="A")*(MOVIMIENTOS!$D$5:$D$1005="jabas")*(MOVIMIENTOS!$A$5:$A$1005&lt;&gt;"")*(MOVIMIENTOS!$A$5:$A$1005&lt;=$A210)*MOVIMIENTOS!$E$5:$E$1005)-SUMPRODUCT((MOVIMIENTOS!$B$5:$B$1005="ENVÍO A SUPESA")*(MOVIMIENTOS!$C$5:$C$1005="A")*(MOVIMIENTOS!$D$5:$D$1005="jabas")*(MOVIMIENTOS!$A$5:$A$1005&lt;&gt;"")*(MOVIMIENTOS!$A$5:$A$1005&lt;=$A210)*MOVIMIENTOS!$E$5:$E$1005)+SUMPRODUCT((MOVIMIENTOS!$B$5:$B$1005="DEVOLUCIÓN")*(MOVIMIENTOS!$C$5:$C$1005="A")*(MOVIMIENTOS!$D$5:$D$1005="jabas")*(MOVIMIENTOS!$A$5:$A$1005&lt;&gt;"")*(MOVIMIENTOS!$A$5:$A$1005&lt;=$A210)*MOVIMIENTOS!$E$5:$E$1005)-SUMPRODUCT((MOVIMIENTOS!$B$5:$B$1005="TRASIEGO")*(MOVIMIENTOS!$C$5:$C$1005="A")*(MOVIMIENTOS!$D$5:$D$1005="jabas")*(MOVIMIENTOS!$A$5:$A$1005&lt;&gt;"")*(MOVIMIENTOS!$A$5:$A$1005&lt;=$A210)*MOVIMIENTOS!$E$5:$E$1005)-SUMPRODUCT((MOVIMIENTOS!$B$5:$B$1005="REGALO")*(MOVIMIENTOS!$C$5:$C$1005="A")*(MOVIMIENTOS!$D$5:$D$1005="jabas")*(MOVIMIENTOS!$A$5:$A$1005&lt;&gt;"")*(MOVIMIENTOS!$A$5:$A$1005&lt;=$A210)*MOVIMIENTOS!$E$5:$E$1005)-SUMPRODUCT((MOVIMIENTOS!$B$5:$B$1005="VENTA")*(MOVIMIENTOS!$C$5:$C$1005="A")*(MOVIMIENTOS!$D$5:$D$1005="jabas")*(MOVIMIENTOS!$A$5:$A$1005&lt;&gt;"")*(MOVIMIENTOS!$A$5:$A$1005&lt;=$A210)*MOVIMIENTOS!$E$5:$E$1005)+SUMPRODUCT((MOVIMIENTOS!$B$5:$B$1005="AJUSTE")*(MOVIMIENTOS!$C$5:$C$1005="A")*(MOVIMIENTOS!$D$5:$D$1005="jabas")*(MOVIMIENTOS!$A$5:$A$1005&lt;&gt;"")*(MOVIMIENTOS!$A$5:$A$1005&lt;=$A210)*MOVIMIENTOS!$E$5:$E$1005))</f>
        <v/>
      </c>
      <c r="C210" s="63" t="str">
        <f>IF($A210="","",SUMPRODUCT((MOVIMIENTOS!$B$5:$B$1005="SALDO INICIAL")*(MOVIMIENTOS!$C$5:$C$1005="P")*(MOVIMIENTOS!$D$5:$D$1005="jabas")*(MOVIMIENTOS!$A$5:$A$1005&lt;&gt;"")*(MOVIMIENTOS!$A$5:$A$1005&lt;=$A210)*MOVIMIENTOS!$E$5:$E$1005)+SUMPRODUCT((MOVIMIENTOS!$B$5:$B$1005="PROCESO")*(MOVIMIENTOS!$C$5:$C$1005="P")*(MOVIMIENTOS!$D$5:$D$1005="jabas")*(MOVIMIENTOS!$A$5:$A$1005&lt;&gt;"")*(MOVIMIENTOS!$A$5:$A$1005&lt;=$A210)*MOVIMIENTOS!$E$5:$E$1005)-SUMPRODUCT((MOVIMIENTOS!$B$5:$B$1005="ENVÍO A SUPESA")*(MOVIMIENTOS!$C$5:$C$1005="P")*(MOVIMIENTOS!$D$5:$D$1005="jabas")*(MOVIMIENTOS!$A$5:$A$1005&lt;&gt;"")*(MOVIMIENTOS!$A$5:$A$1005&lt;=$A210)*MOVIMIENTOS!$E$5:$E$1005)+SUMPRODUCT((MOVIMIENTOS!$B$5:$B$1005="DEVOLUCIÓN")*(MOVIMIENTOS!$C$5:$C$1005="P")*(MOVIMIENTOS!$D$5:$D$1005="jabas")*(MOVIMIENTOS!$A$5:$A$1005&lt;&gt;"")*(MOVIMIENTOS!$A$5:$A$1005&lt;=$A210)*MOVIMIENTOS!$E$5:$E$1005)-SUMPRODUCT((MOVIMIENTOS!$B$5:$B$1005="TRASIEGO")*(MOVIMIENTOS!$C$5:$C$1005="P")*(MOVIMIENTOS!$D$5:$D$1005="jabas")*(MOVIMIENTOS!$A$5:$A$1005&lt;&gt;"")*(MOVIMIENTOS!$A$5:$A$1005&lt;=$A210)*MOVIMIENTOS!$E$5:$E$1005)-SUMPRODUCT((MOVIMIENTOS!$B$5:$B$1005="REGALO")*(MOVIMIENTOS!$C$5:$C$1005="P")*(MOVIMIENTOS!$D$5:$D$1005="jabas")*(MOVIMIENTOS!$A$5:$A$1005&lt;&gt;"")*(MOVIMIENTOS!$A$5:$A$1005&lt;=$A210)*MOVIMIENTOS!$E$5:$E$1005)-SUMPRODUCT((MOVIMIENTOS!$B$5:$B$1005="VENTA")*(MOVIMIENTOS!$C$5:$C$1005="P")*(MOVIMIENTOS!$D$5:$D$1005="jabas")*(MOVIMIENTOS!$A$5:$A$1005&lt;&gt;"")*(MOVIMIENTOS!$A$5:$A$1005&lt;=$A210)*MOVIMIENTOS!$E$5:$E$1005)+SUMPRODUCT((MOVIMIENTOS!$B$5:$B$1005="AJUSTE")*(MOVIMIENTOS!$C$5:$C$1005="P")*(MOVIMIENTOS!$D$5:$D$1005="jabas")*(MOVIMIENTOS!$A$5:$A$1005&lt;&gt;"")*(MOVIMIENTOS!$A$5:$A$1005&lt;=$A210)*MOVIMIENTOS!$E$5:$E$1005))</f>
        <v/>
      </c>
      <c r="D210" s="63" t="str">
        <f>IF($A210="","",SUMPRODUCT((MOVIMIENTOS!$B$5:$B$1005="SALDO INICIAL")*(MOVIMIENTOS!$C$5:$C$1005="C")*(MOVIMIENTOS!$D$5:$D$1005="jabas")*(MOVIMIENTOS!$A$5:$A$1005&lt;&gt;"")*(MOVIMIENTOS!$A$5:$A$1005&lt;=$A210)*MOVIMIENTOS!$E$5:$E$1005)+SUMPRODUCT((MOVIMIENTOS!$B$5:$B$1005="PROCESO")*(MOVIMIENTOS!$C$5:$C$1005="C")*(MOVIMIENTOS!$D$5:$D$1005="jabas")*(MOVIMIENTOS!$A$5:$A$1005&lt;&gt;"")*(MOVIMIENTOS!$A$5:$A$1005&lt;=$A210)*MOVIMIENTOS!$E$5:$E$1005)-SUMPRODUCT((MOVIMIENTOS!$B$5:$B$1005="ENVÍO A SUPESA")*(MOVIMIENTOS!$C$5:$C$1005="C")*(MOVIMIENTOS!$D$5:$D$1005="jabas")*(MOVIMIENTOS!$A$5:$A$1005&lt;&gt;"")*(MOVIMIENTOS!$A$5:$A$1005&lt;=$A210)*MOVIMIENTOS!$E$5:$E$1005)+SUMPRODUCT((MOVIMIENTOS!$B$5:$B$1005="DEVOLUCIÓN")*(MOVIMIENTOS!$C$5:$C$1005="C")*(MOVIMIENTOS!$D$5:$D$1005="jabas")*(MOVIMIENTOS!$A$5:$A$1005&lt;&gt;"")*(MOVIMIENTOS!$A$5:$A$1005&lt;=$A210)*MOVIMIENTOS!$E$5:$E$1005)-SUMPRODUCT((MOVIMIENTOS!$B$5:$B$1005="TRASIEGO")*(MOVIMIENTOS!$C$5:$C$1005="C")*(MOVIMIENTOS!$D$5:$D$1005="jabas")*(MOVIMIENTOS!$A$5:$A$1005&lt;&gt;"")*(MOVIMIENTOS!$A$5:$A$1005&lt;=$A210)*MOVIMIENTOS!$E$5:$E$1005)-SUMPRODUCT((MOVIMIENTOS!$B$5:$B$1005="REGALO")*(MOVIMIENTOS!$C$5:$C$1005="C")*(MOVIMIENTOS!$D$5:$D$1005="jabas")*(MOVIMIENTOS!$A$5:$A$1005&lt;&gt;"")*(MOVIMIENTOS!$A$5:$A$1005&lt;=$A210)*MOVIMIENTOS!$E$5:$E$1005)-SUMPRODUCT((MOVIMIENTOS!$B$5:$B$1005="VENTA")*(MOVIMIENTOS!$C$5:$C$1005="C")*(MOVIMIENTOS!$D$5:$D$1005="jabas")*(MOVIMIENTOS!$A$5:$A$1005&lt;&gt;"")*(MOVIMIENTOS!$A$5:$A$1005&lt;=$A210)*MOVIMIENTOS!$E$5:$E$1005)+SUMPRODUCT((MOVIMIENTOS!$B$5:$B$1005="AJUSTE")*(MOVIMIENTOS!$C$5:$C$1005="C")*(MOVIMIENTOS!$D$5:$D$1005="jabas")*(MOVIMIENTOS!$A$5:$A$1005&lt;&gt;"")*(MOVIMIENTOS!$A$5:$A$1005&lt;=$A210)*MOVIMIENTOS!$E$5:$E$1005))</f>
        <v/>
      </c>
      <c r="E210" s="63" t="str">
        <f>IF($A210="","",SUMPRODUCT((MOVIMIENTOS!$B$5:$B$1005="SALDO INICIAL")*(MOVIMIENTOS!$C$5:$C$1005="M")*(MOVIMIENTOS!$D$5:$D$1005="jabas")*(MOVIMIENTOS!$A$5:$A$1005&lt;&gt;"")*(MOVIMIENTOS!$A$5:$A$1005&lt;=$A210)*MOVIMIENTOS!$E$5:$E$1005)+SUMPRODUCT((MOVIMIENTOS!$B$5:$B$1005="PROCESO")*(MOVIMIENTOS!$C$5:$C$1005="M")*(MOVIMIENTOS!$D$5:$D$1005="jabas")*(MOVIMIENTOS!$A$5:$A$1005&lt;&gt;"")*(MOVIMIENTOS!$A$5:$A$1005&lt;=$A210)*MOVIMIENTOS!$E$5:$E$1005)-SUMPRODUCT((MOVIMIENTOS!$B$5:$B$1005="ENVÍO A SUPESA")*(MOVIMIENTOS!$C$5:$C$1005="M")*(MOVIMIENTOS!$D$5:$D$1005="jabas")*(MOVIMIENTOS!$A$5:$A$1005&lt;&gt;"")*(MOVIMIENTOS!$A$5:$A$1005&lt;=$A210)*MOVIMIENTOS!$E$5:$E$1005)+SUMPRODUCT((MOVIMIENTOS!$B$5:$B$1005="DEVOLUCIÓN")*(MOVIMIENTOS!$C$5:$C$1005="M")*(MOVIMIENTOS!$D$5:$D$1005="jabas")*(MOVIMIENTOS!$A$5:$A$1005&lt;&gt;"")*(MOVIMIENTOS!$A$5:$A$1005&lt;=$A210)*MOVIMIENTOS!$E$5:$E$1005)-SUMPRODUCT((MOVIMIENTOS!$B$5:$B$1005="TRASIEGO")*(MOVIMIENTOS!$C$5:$C$1005="M")*(MOVIMIENTOS!$D$5:$D$1005="jabas")*(MOVIMIENTOS!$A$5:$A$1005&lt;&gt;"")*(MOVIMIENTOS!$A$5:$A$1005&lt;=$A210)*MOVIMIENTOS!$E$5:$E$1005)-SUMPRODUCT((MOVIMIENTOS!$B$5:$B$1005="REGALO")*(MOVIMIENTOS!$C$5:$C$1005="M")*(MOVIMIENTOS!$D$5:$D$1005="jabas")*(MOVIMIENTOS!$A$5:$A$1005&lt;&gt;"")*(MOVIMIENTOS!$A$5:$A$1005&lt;=$A210)*MOVIMIENTOS!$E$5:$E$1005)-SUMPRODUCT((MOVIMIENTOS!$B$5:$B$1005="VENTA")*(MOVIMIENTOS!$C$5:$C$1005="M")*(MOVIMIENTOS!$D$5:$D$1005="jabas")*(MOVIMIENTOS!$A$5:$A$1005&lt;&gt;"")*(MOVIMIENTOS!$A$5:$A$1005&lt;=$A210)*MOVIMIENTOS!$E$5:$E$1005)+SUMPRODUCT((MOVIMIENTOS!$B$5:$B$1005="AJUSTE")*(MOVIMIENTOS!$C$5:$C$1005="M")*(MOVIMIENTOS!$D$5:$D$1005="jabas")*(MOVIMIENTOS!$A$5:$A$1005&lt;&gt;"")*(MOVIMIENTOS!$A$5:$A$1005&lt;=$A210)*MOVIMIENTOS!$E$5:$E$1005))</f>
        <v/>
      </c>
      <c r="F210" s="63" t="str">
        <f>IF($A210="","",SUMPRODUCT((MOVIMIENTOS!$B$5:$B$1005="SALDO INICIAL")*(MOVIMIENTOS!$C$5:$C$1005="Chancho")*(MOVIMIENTOS!$D$5:$D$1005="sacos")*(MOVIMIENTOS!$A$5:$A$1005&lt;&gt;"")*(MOVIMIENTOS!$A$5:$A$1005&lt;=$A210)*MOVIMIENTOS!$E$5:$E$1005)+SUMPRODUCT((MOVIMIENTOS!$B$5:$B$1005="PROCESO")*(MOVIMIENTOS!$C$5:$C$1005="Chancho")*(MOVIMIENTOS!$D$5:$D$1005="sacos")*(MOVIMIENTOS!$A$5:$A$1005&lt;&gt;"")*(MOVIMIENTOS!$A$5:$A$1005&lt;=$A210)*MOVIMIENTOS!$E$5:$E$1005)-SUMPRODUCT((MOVIMIENTOS!$B$5:$B$1005="VENTA CHANCHO")*(MOVIMIENTOS!$C$5:$C$1005="Chancho")*(MOVIMIENTOS!$D$5:$D$1005="sacos")*(MOVIMIENTOS!$A$5:$A$1005&lt;&gt;"")*(MOVIMIENTOS!$A$5:$A$1005&lt;=$A210)*MOVIMIENTOS!$E$5:$E$1005)-SUMPRODUCT((MOVIMIENTOS!$B$5:$B$1005="REGALO")*(MOVIMIENTOS!$C$5:$C$1005="Chancho")*(MOVIMIENTOS!$D$5:$D$1005="sacos")*(MOVIMIENTOS!$A$5:$A$1005&lt;&gt;"")*(MOVIMIENTOS!$A$5:$A$1005&lt;=$A210)*MOVIMIENTOS!$E$5:$E$1005)-SUMPRODUCT((MOVIMIENTOS!$B$5:$B$1005="VENTA")*(MOVIMIENTOS!$C$5:$C$1005="Chancho")*(MOVIMIENTOS!$D$5:$D$1005="sacos")*(MOVIMIENTOS!$A$5:$A$1005&lt;&gt;"")*(MOVIMIENTOS!$A$5:$A$1005&lt;=$A210)*MOVIMIENTOS!$E$5:$E$1005)+SUMPRODUCT((MOVIMIENTOS!$B$5:$B$1005="AJUSTE")*(MOVIMIENTOS!$C$5:$C$1005="Chancho")*(MOVIMIENTOS!$D$5:$D$1005="sacos")*(MOVIMIENTOS!$A$5:$A$1005&lt;&gt;"")*(MOVIMIENTOS!$A$5:$A$1005&lt;=$A210)*MOVIMIENTOS!$E$5:$E$1005))</f>
        <v/>
      </c>
      <c r="G210" s="95" t="str">
        <f t="shared" si="7"/>
        <v/>
      </c>
      <c r="H210" s="63" t="str">
        <f>IF($A210="","",SUMPRODUCT((((MOVIMIENTOS!$B$5:$B$1005="SALDO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210)*MOVIMIENTOS!$J$5:$J$1005))</f>
        <v/>
      </c>
      <c r="I210" s="63"/>
      <c r="J210" s="63" t="str">
        <f>IF(AND(MOVIMIENTOS!$A210&lt;&gt;"",COUNTIF(MOVIMIENTOS!$A$5:$A209,MOVIMIENTOS!$A210)=0),COUNT(J$4:J209)+1,"")</f>
        <v/>
      </c>
      <c r="K210" s="66">
        <f>MOVIMIENTOS!$A210</f>
        <v>46232</v>
      </c>
      <c r="L210" s="63"/>
      <c r="M210" s="63"/>
      <c r="N210" s="63"/>
    </row>
    <row r="211" spans="1:14" ht="15" customHeight="1" x14ac:dyDescent="0.2">
      <c r="A211" s="63" t="str">
        <f t="shared" si="6"/>
        <v/>
      </c>
      <c r="B211" s="63" t="str">
        <f>IF($A211="","",SUMPRODUCT((MOVIMIENTOS!$B$5:$B$1005="SALDO INICIAL")*(MOVIMIENTOS!$C$5:$C$1005="A")*(MOVIMIENTOS!$D$5:$D$1005="jabas")*(MOVIMIENTOS!$A$5:$A$1005&lt;&gt;"")*(MOVIMIENTOS!$A$5:$A$1005&lt;=$A211)*MOVIMIENTOS!$E$5:$E$1005)+SUMPRODUCT((MOVIMIENTOS!$B$5:$B$1005="PROCESO")*(MOVIMIENTOS!$C$5:$C$1005="A")*(MOVIMIENTOS!$D$5:$D$1005="jabas")*(MOVIMIENTOS!$A$5:$A$1005&lt;&gt;"")*(MOVIMIENTOS!$A$5:$A$1005&lt;=$A211)*MOVIMIENTOS!$E$5:$E$1005)-SUMPRODUCT((MOVIMIENTOS!$B$5:$B$1005="ENVÍO A SUPESA")*(MOVIMIENTOS!$C$5:$C$1005="A")*(MOVIMIENTOS!$D$5:$D$1005="jabas")*(MOVIMIENTOS!$A$5:$A$1005&lt;&gt;"")*(MOVIMIENTOS!$A$5:$A$1005&lt;=$A211)*MOVIMIENTOS!$E$5:$E$1005)+SUMPRODUCT((MOVIMIENTOS!$B$5:$B$1005="DEVOLUCIÓN")*(MOVIMIENTOS!$C$5:$C$1005="A")*(MOVIMIENTOS!$D$5:$D$1005="jabas")*(MOVIMIENTOS!$A$5:$A$1005&lt;&gt;"")*(MOVIMIENTOS!$A$5:$A$1005&lt;=$A211)*MOVIMIENTOS!$E$5:$E$1005)-SUMPRODUCT((MOVIMIENTOS!$B$5:$B$1005="TRASIEGO")*(MOVIMIENTOS!$C$5:$C$1005="A")*(MOVIMIENTOS!$D$5:$D$1005="jabas")*(MOVIMIENTOS!$A$5:$A$1005&lt;&gt;"")*(MOVIMIENTOS!$A$5:$A$1005&lt;=$A211)*MOVIMIENTOS!$E$5:$E$1005)-SUMPRODUCT((MOVIMIENTOS!$B$5:$B$1005="REGALO")*(MOVIMIENTOS!$C$5:$C$1005="A")*(MOVIMIENTOS!$D$5:$D$1005="jabas")*(MOVIMIENTOS!$A$5:$A$1005&lt;&gt;"")*(MOVIMIENTOS!$A$5:$A$1005&lt;=$A211)*MOVIMIENTOS!$E$5:$E$1005)-SUMPRODUCT((MOVIMIENTOS!$B$5:$B$1005="VENTA")*(MOVIMIENTOS!$C$5:$C$1005="A")*(MOVIMIENTOS!$D$5:$D$1005="jabas")*(MOVIMIENTOS!$A$5:$A$1005&lt;&gt;"")*(MOVIMIENTOS!$A$5:$A$1005&lt;=$A211)*MOVIMIENTOS!$E$5:$E$1005)+SUMPRODUCT((MOVIMIENTOS!$B$5:$B$1005="AJUSTE")*(MOVIMIENTOS!$C$5:$C$1005="A")*(MOVIMIENTOS!$D$5:$D$1005="jabas")*(MOVIMIENTOS!$A$5:$A$1005&lt;&gt;"")*(MOVIMIENTOS!$A$5:$A$1005&lt;=$A211)*MOVIMIENTOS!$E$5:$E$1005))</f>
        <v/>
      </c>
      <c r="C211" s="63" t="str">
        <f>IF($A211="","",SUMPRODUCT((MOVIMIENTOS!$B$5:$B$1005="SALDO INICIAL")*(MOVIMIENTOS!$C$5:$C$1005="P")*(MOVIMIENTOS!$D$5:$D$1005="jabas")*(MOVIMIENTOS!$A$5:$A$1005&lt;&gt;"")*(MOVIMIENTOS!$A$5:$A$1005&lt;=$A211)*MOVIMIENTOS!$E$5:$E$1005)+SUMPRODUCT((MOVIMIENTOS!$B$5:$B$1005="PROCESO")*(MOVIMIENTOS!$C$5:$C$1005="P")*(MOVIMIENTOS!$D$5:$D$1005="jabas")*(MOVIMIENTOS!$A$5:$A$1005&lt;&gt;"")*(MOVIMIENTOS!$A$5:$A$1005&lt;=$A211)*MOVIMIENTOS!$E$5:$E$1005)-SUMPRODUCT((MOVIMIENTOS!$B$5:$B$1005="ENVÍO A SUPESA")*(MOVIMIENTOS!$C$5:$C$1005="P")*(MOVIMIENTOS!$D$5:$D$1005="jabas")*(MOVIMIENTOS!$A$5:$A$1005&lt;&gt;"")*(MOVIMIENTOS!$A$5:$A$1005&lt;=$A211)*MOVIMIENTOS!$E$5:$E$1005)+SUMPRODUCT((MOVIMIENTOS!$B$5:$B$1005="DEVOLUCIÓN")*(MOVIMIENTOS!$C$5:$C$1005="P")*(MOVIMIENTOS!$D$5:$D$1005="jabas")*(MOVIMIENTOS!$A$5:$A$1005&lt;&gt;"")*(MOVIMIENTOS!$A$5:$A$1005&lt;=$A211)*MOVIMIENTOS!$E$5:$E$1005)-SUMPRODUCT((MOVIMIENTOS!$B$5:$B$1005="TRASIEGO")*(MOVIMIENTOS!$C$5:$C$1005="P")*(MOVIMIENTOS!$D$5:$D$1005="jabas")*(MOVIMIENTOS!$A$5:$A$1005&lt;&gt;"")*(MOVIMIENTOS!$A$5:$A$1005&lt;=$A211)*MOVIMIENTOS!$E$5:$E$1005)-SUMPRODUCT((MOVIMIENTOS!$B$5:$B$1005="REGALO")*(MOVIMIENTOS!$C$5:$C$1005="P")*(MOVIMIENTOS!$D$5:$D$1005="jabas")*(MOVIMIENTOS!$A$5:$A$1005&lt;&gt;"")*(MOVIMIENTOS!$A$5:$A$1005&lt;=$A211)*MOVIMIENTOS!$E$5:$E$1005)-SUMPRODUCT((MOVIMIENTOS!$B$5:$B$1005="VENTA")*(MOVIMIENTOS!$C$5:$C$1005="P")*(MOVIMIENTOS!$D$5:$D$1005="jabas")*(MOVIMIENTOS!$A$5:$A$1005&lt;&gt;"")*(MOVIMIENTOS!$A$5:$A$1005&lt;=$A211)*MOVIMIENTOS!$E$5:$E$1005)+SUMPRODUCT((MOVIMIENTOS!$B$5:$B$1005="AJUSTE")*(MOVIMIENTOS!$C$5:$C$1005="P")*(MOVIMIENTOS!$D$5:$D$1005="jabas")*(MOVIMIENTOS!$A$5:$A$1005&lt;&gt;"")*(MOVIMIENTOS!$A$5:$A$1005&lt;=$A211)*MOVIMIENTOS!$E$5:$E$1005))</f>
        <v/>
      </c>
      <c r="D211" s="63" t="str">
        <f>IF($A211="","",SUMPRODUCT((MOVIMIENTOS!$B$5:$B$1005="SALDO INICIAL")*(MOVIMIENTOS!$C$5:$C$1005="C")*(MOVIMIENTOS!$D$5:$D$1005="jabas")*(MOVIMIENTOS!$A$5:$A$1005&lt;&gt;"")*(MOVIMIENTOS!$A$5:$A$1005&lt;=$A211)*MOVIMIENTOS!$E$5:$E$1005)+SUMPRODUCT((MOVIMIENTOS!$B$5:$B$1005="PROCESO")*(MOVIMIENTOS!$C$5:$C$1005="C")*(MOVIMIENTOS!$D$5:$D$1005="jabas")*(MOVIMIENTOS!$A$5:$A$1005&lt;&gt;"")*(MOVIMIENTOS!$A$5:$A$1005&lt;=$A211)*MOVIMIENTOS!$E$5:$E$1005)-SUMPRODUCT((MOVIMIENTOS!$B$5:$B$1005="ENVÍO A SUPESA")*(MOVIMIENTOS!$C$5:$C$1005="C")*(MOVIMIENTOS!$D$5:$D$1005="jabas")*(MOVIMIENTOS!$A$5:$A$1005&lt;&gt;"")*(MOVIMIENTOS!$A$5:$A$1005&lt;=$A211)*MOVIMIENTOS!$E$5:$E$1005)+SUMPRODUCT((MOVIMIENTOS!$B$5:$B$1005="DEVOLUCIÓN")*(MOVIMIENTOS!$C$5:$C$1005="C")*(MOVIMIENTOS!$D$5:$D$1005="jabas")*(MOVIMIENTOS!$A$5:$A$1005&lt;&gt;"")*(MOVIMIENTOS!$A$5:$A$1005&lt;=$A211)*MOVIMIENTOS!$E$5:$E$1005)-SUMPRODUCT((MOVIMIENTOS!$B$5:$B$1005="TRASIEGO")*(MOVIMIENTOS!$C$5:$C$1005="C")*(MOVIMIENTOS!$D$5:$D$1005="jabas")*(MOVIMIENTOS!$A$5:$A$1005&lt;&gt;"")*(MOVIMIENTOS!$A$5:$A$1005&lt;=$A211)*MOVIMIENTOS!$E$5:$E$1005)-SUMPRODUCT((MOVIMIENTOS!$B$5:$B$1005="REGALO")*(MOVIMIENTOS!$C$5:$C$1005="C")*(MOVIMIENTOS!$D$5:$D$1005="jabas")*(MOVIMIENTOS!$A$5:$A$1005&lt;&gt;"")*(MOVIMIENTOS!$A$5:$A$1005&lt;=$A211)*MOVIMIENTOS!$E$5:$E$1005)-SUMPRODUCT((MOVIMIENTOS!$B$5:$B$1005="VENTA")*(MOVIMIENTOS!$C$5:$C$1005="C")*(MOVIMIENTOS!$D$5:$D$1005="jabas")*(MOVIMIENTOS!$A$5:$A$1005&lt;&gt;"")*(MOVIMIENTOS!$A$5:$A$1005&lt;=$A211)*MOVIMIENTOS!$E$5:$E$1005)+SUMPRODUCT((MOVIMIENTOS!$B$5:$B$1005="AJUSTE")*(MOVIMIENTOS!$C$5:$C$1005="C")*(MOVIMIENTOS!$D$5:$D$1005="jabas")*(MOVIMIENTOS!$A$5:$A$1005&lt;&gt;"")*(MOVIMIENTOS!$A$5:$A$1005&lt;=$A211)*MOVIMIENTOS!$E$5:$E$1005))</f>
        <v/>
      </c>
      <c r="E211" s="63" t="str">
        <f>IF($A211="","",SUMPRODUCT((MOVIMIENTOS!$B$5:$B$1005="SALDO INICIAL")*(MOVIMIENTOS!$C$5:$C$1005="M")*(MOVIMIENTOS!$D$5:$D$1005="jabas")*(MOVIMIENTOS!$A$5:$A$1005&lt;&gt;"")*(MOVIMIENTOS!$A$5:$A$1005&lt;=$A211)*MOVIMIENTOS!$E$5:$E$1005)+SUMPRODUCT((MOVIMIENTOS!$B$5:$B$1005="PROCESO")*(MOVIMIENTOS!$C$5:$C$1005="M")*(MOVIMIENTOS!$D$5:$D$1005="jabas")*(MOVIMIENTOS!$A$5:$A$1005&lt;&gt;"")*(MOVIMIENTOS!$A$5:$A$1005&lt;=$A211)*MOVIMIENTOS!$E$5:$E$1005)-SUMPRODUCT((MOVIMIENTOS!$B$5:$B$1005="ENVÍO A SUPESA")*(MOVIMIENTOS!$C$5:$C$1005="M")*(MOVIMIENTOS!$D$5:$D$1005="jabas")*(MOVIMIENTOS!$A$5:$A$1005&lt;&gt;"")*(MOVIMIENTOS!$A$5:$A$1005&lt;=$A211)*MOVIMIENTOS!$E$5:$E$1005)+SUMPRODUCT((MOVIMIENTOS!$B$5:$B$1005="DEVOLUCIÓN")*(MOVIMIENTOS!$C$5:$C$1005="M")*(MOVIMIENTOS!$D$5:$D$1005="jabas")*(MOVIMIENTOS!$A$5:$A$1005&lt;&gt;"")*(MOVIMIENTOS!$A$5:$A$1005&lt;=$A211)*MOVIMIENTOS!$E$5:$E$1005)-SUMPRODUCT((MOVIMIENTOS!$B$5:$B$1005="TRASIEGO")*(MOVIMIENTOS!$C$5:$C$1005="M")*(MOVIMIENTOS!$D$5:$D$1005="jabas")*(MOVIMIENTOS!$A$5:$A$1005&lt;&gt;"")*(MOVIMIENTOS!$A$5:$A$1005&lt;=$A211)*MOVIMIENTOS!$E$5:$E$1005)-SUMPRODUCT((MOVIMIENTOS!$B$5:$B$1005="REGALO")*(MOVIMIENTOS!$C$5:$C$1005="M")*(MOVIMIENTOS!$D$5:$D$1005="jabas")*(MOVIMIENTOS!$A$5:$A$1005&lt;&gt;"")*(MOVIMIENTOS!$A$5:$A$1005&lt;=$A211)*MOVIMIENTOS!$E$5:$E$1005)-SUMPRODUCT((MOVIMIENTOS!$B$5:$B$1005="VENTA")*(MOVIMIENTOS!$C$5:$C$1005="M")*(MOVIMIENTOS!$D$5:$D$1005="jabas")*(MOVIMIENTOS!$A$5:$A$1005&lt;&gt;"")*(MOVIMIENTOS!$A$5:$A$1005&lt;=$A211)*MOVIMIENTOS!$E$5:$E$1005)+SUMPRODUCT((MOVIMIENTOS!$B$5:$B$1005="AJUSTE")*(MOVIMIENTOS!$C$5:$C$1005="M")*(MOVIMIENTOS!$D$5:$D$1005="jabas")*(MOVIMIENTOS!$A$5:$A$1005&lt;&gt;"")*(MOVIMIENTOS!$A$5:$A$1005&lt;=$A211)*MOVIMIENTOS!$E$5:$E$1005))</f>
        <v/>
      </c>
      <c r="F211" s="63" t="str">
        <f>IF($A211="","",SUMPRODUCT((MOVIMIENTOS!$B$5:$B$1005="SALDO INICIAL")*(MOVIMIENTOS!$C$5:$C$1005="Chancho")*(MOVIMIENTOS!$D$5:$D$1005="sacos")*(MOVIMIENTOS!$A$5:$A$1005&lt;&gt;"")*(MOVIMIENTOS!$A$5:$A$1005&lt;=$A211)*MOVIMIENTOS!$E$5:$E$1005)+SUMPRODUCT((MOVIMIENTOS!$B$5:$B$1005="PROCESO")*(MOVIMIENTOS!$C$5:$C$1005="Chancho")*(MOVIMIENTOS!$D$5:$D$1005="sacos")*(MOVIMIENTOS!$A$5:$A$1005&lt;&gt;"")*(MOVIMIENTOS!$A$5:$A$1005&lt;=$A211)*MOVIMIENTOS!$E$5:$E$1005)-SUMPRODUCT((MOVIMIENTOS!$B$5:$B$1005="VENTA CHANCHO")*(MOVIMIENTOS!$C$5:$C$1005="Chancho")*(MOVIMIENTOS!$D$5:$D$1005="sacos")*(MOVIMIENTOS!$A$5:$A$1005&lt;&gt;"")*(MOVIMIENTOS!$A$5:$A$1005&lt;=$A211)*MOVIMIENTOS!$E$5:$E$1005)-SUMPRODUCT((MOVIMIENTOS!$B$5:$B$1005="REGALO")*(MOVIMIENTOS!$C$5:$C$1005="Chancho")*(MOVIMIENTOS!$D$5:$D$1005="sacos")*(MOVIMIENTOS!$A$5:$A$1005&lt;&gt;"")*(MOVIMIENTOS!$A$5:$A$1005&lt;=$A211)*MOVIMIENTOS!$E$5:$E$1005)-SUMPRODUCT((MOVIMIENTOS!$B$5:$B$1005="VENTA")*(MOVIMIENTOS!$C$5:$C$1005="Chancho")*(MOVIMIENTOS!$D$5:$D$1005="sacos")*(MOVIMIENTOS!$A$5:$A$1005&lt;&gt;"")*(MOVIMIENTOS!$A$5:$A$1005&lt;=$A211)*MOVIMIENTOS!$E$5:$E$1005)+SUMPRODUCT((MOVIMIENTOS!$B$5:$B$1005="AJUSTE")*(MOVIMIENTOS!$C$5:$C$1005="Chancho")*(MOVIMIENTOS!$D$5:$D$1005="sacos")*(MOVIMIENTOS!$A$5:$A$1005&lt;&gt;"")*(MOVIMIENTOS!$A$5:$A$1005&lt;=$A211)*MOVIMIENTOS!$E$5:$E$1005))</f>
        <v/>
      </c>
      <c r="G211" s="95" t="str">
        <f t="shared" si="7"/>
        <v/>
      </c>
      <c r="H211" s="63" t="str">
        <f>IF($A211="","",SUMPRODUCT((((MOVIMIENTOS!$B$5:$B$1005="SALDO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211)*MOVIMIENTOS!$J$5:$J$1005))</f>
        <v/>
      </c>
      <c r="I211" s="63"/>
      <c r="J211" s="63" t="str">
        <f>IF(AND(MOVIMIENTOS!$A211&lt;&gt;"",COUNTIF(MOVIMIENTOS!$A$5:$A210,MOVIMIENTOS!$A211)=0),COUNT(J$4:J210)+1,"")</f>
        <v/>
      </c>
      <c r="K211" s="66">
        <f>MOVIMIENTOS!$A211</f>
        <v>46232</v>
      </c>
      <c r="L211" s="63"/>
      <c r="M211" s="63"/>
      <c r="N211" s="63"/>
    </row>
    <row r="212" spans="1:14" ht="15" customHeight="1" x14ac:dyDescent="0.2">
      <c r="A212" s="63" t="str">
        <f t="shared" si="6"/>
        <v/>
      </c>
      <c r="B212" s="63" t="str">
        <f>IF($A212="","",SUMPRODUCT((MOVIMIENTOS!$B$5:$B$1005="SALDO INICIAL")*(MOVIMIENTOS!$C$5:$C$1005="A")*(MOVIMIENTOS!$D$5:$D$1005="jabas")*(MOVIMIENTOS!$A$5:$A$1005&lt;&gt;"")*(MOVIMIENTOS!$A$5:$A$1005&lt;=$A212)*MOVIMIENTOS!$E$5:$E$1005)+SUMPRODUCT((MOVIMIENTOS!$B$5:$B$1005="PROCESO")*(MOVIMIENTOS!$C$5:$C$1005="A")*(MOVIMIENTOS!$D$5:$D$1005="jabas")*(MOVIMIENTOS!$A$5:$A$1005&lt;&gt;"")*(MOVIMIENTOS!$A$5:$A$1005&lt;=$A212)*MOVIMIENTOS!$E$5:$E$1005)-SUMPRODUCT((MOVIMIENTOS!$B$5:$B$1005="ENVÍO A SUPESA")*(MOVIMIENTOS!$C$5:$C$1005="A")*(MOVIMIENTOS!$D$5:$D$1005="jabas")*(MOVIMIENTOS!$A$5:$A$1005&lt;&gt;"")*(MOVIMIENTOS!$A$5:$A$1005&lt;=$A212)*MOVIMIENTOS!$E$5:$E$1005)+SUMPRODUCT((MOVIMIENTOS!$B$5:$B$1005="DEVOLUCIÓN")*(MOVIMIENTOS!$C$5:$C$1005="A")*(MOVIMIENTOS!$D$5:$D$1005="jabas")*(MOVIMIENTOS!$A$5:$A$1005&lt;&gt;"")*(MOVIMIENTOS!$A$5:$A$1005&lt;=$A212)*MOVIMIENTOS!$E$5:$E$1005)-SUMPRODUCT((MOVIMIENTOS!$B$5:$B$1005="TRASIEGO")*(MOVIMIENTOS!$C$5:$C$1005="A")*(MOVIMIENTOS!$D$5:$D$1005="jabas")*(MOVIMIENTOS!$A$5:$A$1005&lt;&gt;"")*(MOVIMIENTOS!$A$5:$A$1005&lt;=$A212)*MOVIMIENTOS!$E$5:$E$1005)-SUMPRODUCT((MOVIMIENTOS!$B$5:$B$1005="REGALO")*(MOVIMIENTOS!$C$5:$C$1005="A")*(MOVIMIENTOS!$D$5:$D$1005="jabas")*(MOVIMIENTOS!$A$5:$A$1005&lt;&gt;"")*(MOVIMIENTOS!$A$5:$A$1005&lt;=$A212)*MOVIMIENTOS!$E$5:$E$1005)-SUMPRODUCT((MOVIMIENTOS!$B$5:$B$1005="VENTA")*(MOVIMIENTOS!$C$5:$C$1005="A")*(MOVIMIENTOS!$D$5:$D$1005="jabas")*(MOVIMIENTOS!$A$5:$A$1005&lt;&gt;"")*(MOVIMIENTOS!$A$5:$A$1005&lt;=$A212)*MOVIMIENTOS!$E$5:$E$1005)+SUMPRODUCT((MOVIMIENTOS!$B$5:$B$1005="AJUSTE")*(MOVIMIENTOS!$C$5:$C$1005="A")*(MOVIMIENTOS!$D$5:$D$1005="jabas")*(MOVIMIENTOS!$A$5:$A$1005&lt;&gt;"")*(MOVIMIENTOS!$A$5:$A$1005&lt;=$A212)*MOVIMIENTOS!$E$5:$E$1005))</f>
        <v/>
      </c>
      <c r="C212" s="63" t="str">
        <f>IF($A212="","",SUMPRODUCT((MOVIMIENTOS!$B$5:$B$1005="SALDO INICIAL")*(MOVIMIENTOS!$C$5:$C$1005="P")*(MOVIMIENTOS!$D$5:$D$1005="jabas")*(MOVIMIENTOS!$A$5:$A$1005&lt;&gt;"")*(MOVIMIENTOS!$A$5:$A$1005&lt;=$A212)*MOVIMIENTOS!$E$5:$E$1005)+SUMPRODUCT((MOVIMIENTOS!$B$5:$B$1005="PROCESO")*(MOVIMIENTOS!$C$5:$C$1005="P")*(MOVIMIENTOS!$D$5:$D$1005="jabas")*(MOVIMIENTOS!$A$5:$A$1005&lt;&gt;"")*(MOVIMIENTOS!$A$5:$A$1005&lt;=$A212)*MOVIMIENTOS!$E$5:$E$1005)-SUMPRODUCT((MOVIMIENTOS!$B$5:$B$1005="ENVÍO A SUPESA")*(MOVIMIENTOS!$C$5:$C$1005="P")*(MOVIMIENTOS!$D$5:$D$1005="jabas")*(MOVIMIENTOS!$A$5:$A$1005&lt;&gt;"")*(MOVIMIENTOS!$A$5:$A$1005&lt;=$A212)*MOVIMIENTOS!$E$5:$E$1005)+SUMPRODUCT((MOVIMIENTOS!$B$5:$B$1005="DEVOLUCIÓN")*(MOVIMIENTOS!$C$5:$C$1005="P")*(MOVIMIENTOS!$D$5:$D$1005="jabas")*(MOVIMIENTOS!$A$5:$A$1005&lt;&gt;"")*(MOVIMIENTOS!$A$5:$A$1005&lt;=$A212)*MOVIMIENTOS!$E$5:$E$1005)-SUMPRODUCT((MOVIMIENTOS!$B$5:$B$1005="TRASIEGO")*(MOVIMIENTOS!$C$5:$C$1005="P")*(MOVIMIENTOS!$D$5:$D$1005="jabas")*(MOVIMIENTOS!$A$5:$A$1005&lt;&gt;"")*(MOVIMIENTOS!$A$5:$A$1005&lt;=$A212)*MOVIMIENTOS!$E$5:$E$1005)-SUMPRODUCT((MOVIMIENTOS!$B$5:$B$1005="REGALO")*(MOVIMIENTOS!$C$5:$C$1005="P")*(MOVIMIENTOS!$D$5:$D$1005="jabas")*(MOVIMIENTOS!$A$5:$A$1005&lt;&gt;"")*(MOVIMIENTOS!$A$5:$A$1005&lt;=$A212)*MOVIMIENTOS!$E$5:$E$1005)-SUMPRODUCT((MOVIMIENTOS!$B$5:$B$1005="VENTA")*(MOVIMIENTOS!$C$5:$C$1005="P")*(MOVIMIENTOS!$D$5:$D$1005="jabas")*(MOVIMIENTOS!$A$5:$A$1005&lt;&gt;"")*(MOVIMIENTOS!$A$5:$A$1005&lt;=$A212)*MOVIMIENTOS!$E$5:$E$1005)+SUMPRODUCT((MOVIMIENTOS!$B$5:$B$1005="AJUSTE")*(MOVIMIENTOS!$C$5:$C$1005="P")*(MOVIMIENTOS!$D$5:$D$1005="jabas")*(MOVIMIENTOS!$A$5:$A$1005&lt;&gt;"")*(MOVIMIENTOS!$A$5:$A$1005&lt;=$A212)*MOVIMIENTOS!$E$5:$E$1005))</f>
        <v/>
      </c>
      <c r="D212" s="63" t="str">
        <f>IF($A212="","",SUMPRODUCT((MOVIMIENTOS!$B$5:$B$1005="SALDO INICIAL")*(MOVIMIENTOS!$C$5:$C$1005="C")*(MOVIMIENTOS!$D$5:$D$1005="jabas")*(MOVIMIENTOS!$A$5:$A$1005&lt;&gt;"")*(MOVIMIENTOS!$A$5:$A$1005&lt;=$A212)*MOVIMIENTOS!$E$5:$E$1005)+SUMPRODUCT((MOVIMIENTOS!$B$5:$B$1005="PROCESO")*(MOVIMIENTOS!$C$5:$C$1005="C")*(MOVIMIENTOS!$D$5:$D$1005="jabas")*(MOVIMIENTOS!$A$5:$A$1005&lt;&gt;"")*(MOVIMIENTOS!$A$5:$A$1005&lt;=$A212)*MOVIMIENTOS!$E$5:$E$1005)-SUMPRODUCT((MOVIMIENTOS!$B$5:$B$1005="ENVÍO A SUPESA")*(MOVIMIENTOS!$C$5:$C$1005="C")*(MOVIMIENTOS!$D$5:$D$1005="jabas")*(MOVIMIENTOS!$A$5:$A$1005&lt;&gt;"")*(MOVIMIENTOS!$A$5:$A$1005&lt;=$A212)*MOVIMIENTOS!$E$5:$E$1005)+SUMPRODUCT((MOVIMIENTOS!$B$5:$B$1005="DEVOLUCIÓN")*(MOVIMIENTOS!$C$5:$C$1005="C")*(MOVIMIENTOS!$D$5:$D$1005="jabas")*(MOVIMIENTOS!$A$5:$A$1005&lt;&gt;"")*(MOVIMIENTOS!$A$5:$A$1005&lt;=$A212)*MOVIMIENTOS!$E$5:$E$1005)-SUMPRODUCT((MOVIMIENTOS!$B$5:$B$1005="TRASIEGO")*(MOVIMIENTOS!$C$5:$C$1005="C")*(MOVIMIENTOS!$D$5:$D$1005="jabas")*(MOVIMIENTOS!$A$5:$A$1005&lt;&gt;"")*(MOVIMIENTOS!$A$5:$A$1005&lt;=$A212)*MOVIMIENTOS!$E$5:$E$1005)-SUMPRODUCT((MOVIMIENTOS!$B$5:$B$1005="REGALO")*(MOVIMIENTOS!$C$5:$C$1005="C")*(MOVIMIENTOS!$D$5:$D$1005="jabas")*(MOVIMIENTOS!$A$5:$A$1005&lt;&gt;"")*(MOVIMIENTOS!$A$5:$A$1005&lt;=$A212)*MOVIMIENTOS!$E$5:$E$1005)-SUMPRODUCT((MOVIMIENTOS!$B$5:$B$1005="VENTA")*(MOVIMIENTOS!$C$5:$C$1005="C")*(MOVIMIENTOS!$D$5:$D$1005="jabas")*(MOVIMIENTOS!$A$5:$A$1005&lt;&gt;"")*(MOVIMIENTOS!$A$5:$A$1005&lt;=$A212)*MOVIMIENTOS!$E$5:$E$1005)+SUMPRODUCT((MOVIMIENTOS!$B$5:$B$1005="AJUSTE")*(MOVIMIENTOS!$C$5:$C$1005="C")*(MOVIMIENTOS!$D$5:$D$1005="jabas")*(MOVIMIENTOS!$A$5:$A$1005&lt;&gt;"")*(MOVIMIENTOS!$A$5:$A$1005&lt;=$A212)*MOVIMIENTOS!$E$5:$E$1005))</f>
        <v/>
      </c>
      <c r="E212" s="63" t="str">
        <f>IF($A212="","",SUMPRODUCT((MOVIMIENTOS!$B$5:$B$1005="SALDO INICIAL")*(MOVIMIENTOS!$C$5:$C$1005="M")*(MOVIMIENTOS!$D$5:$D$1005="jabas")*(MOVIMIENTOS!$A$5:$A$1005&lt;&gt;"")*(MOVIMIENTOS!$A$5:$A$1005&lt;=$A212)*MOVIMIENTOS!$E$5:$E$1005)+SUMPRODUCT((MOVIMIENTOS!$B$5:$B$1005="PROCESO")*(MOVIMIENTOS!$C$5:$C$1005="M")*(MOVIMIENTOS!$D$5:$D$1005="jabas")*(MOVIMIENTOS!$A$5:$A$1005&lt;&gt;"")*(MOVIMIENTOS!$A$5:$A$1005&lt;=$A212)*MOVIMIENTOS!$E$5:$E$1005)-SUMPRODUCT((MOVIMIENTOS!$B$5:$B$1005="ENVÍO A SUPESA")*(MOVIMIENTOS!$C$5:$C$1005="M")*(MOVIMIENTOS!$D$5:$D$1005="jabas")*(MOVIMIENTOS!$A$5:$A$1005&lt;&gt;"")*(MOVIMIENTOS!$A$5:$A$1005&lt;=$A212)*MOVIMIENTOS!$E$5:$E$1005)+SUMPRODUCT((MOVIMIENTOS!$B$5:$B$1005="DEVOLUCIÓN")*(MOVIMIENTOS!$C$5:$C$1005="M")*(MOVIMIENTOS!$D$5:$D$1005="jabas")*(MOVIMIENTOS!$A$5:$A$1005&lt;&gt;"")*(MOVIMIENTOS!$A$5:$A$1005&lt;=$A212)*MOVIMIENTOS!$E$5:$E$1005)-SUMPRODUCT((MOVIMIENTOS!$B$5:$B$1005="TRASIEGO")*(MOVIMIENTOS!$C$5:$C$1005="M")*(MOVIMIENTOS!$D$5:$D$1005="jabas")*(MOVIMIENTOS!$A$5:$A$1005&lt;&gt;"")*(MOVIMIENTOS!$A$5:$A$1005&lt;=$A212)*MOVIMIENTOS!$E$5:$E$1005)-SUMPRODUCT((MOVIMIENTOS!$B$5:$B$1005="REGALO")*(MOVIMIENTOS!$C$5:$C$1005="M")*(MOVIMIENTOS!$D$5:$D$1005="jabas")*(MOVIMIENTOS!$A$5:$A$1005&lt;&gt;"")*(MOVIMIENTOS!$A$5:$A$1005&lt;=$A212)*MOVIMIENTOS!$E$5:$E$1005)-SUMPRODUCT((MOVIMIENTOS!$B$5:$B$1005="VENTA")*(MOVIMIENTOS!$C$5:$C$1005="M")*(MOVIMIENTOS!$D$5:$D$1005="jabas")*(MOVIMIENTOS!$A$5:$A$1005&lt;&gt;"")*(MOVIMIENTOS!$A$5:$A$1005&lt;=$A212)*MOVIMIENTOS!$E$5:$E$1005)+SUMPRODUCT((MOVIMIENTOS!$B$5:$B$1005="AJUSTE")*(MOVIMIENTOS!$C$5:$C$1005="M")*(MOVIMIENTOS!$D$5:$D$1005="jabas")*(MOVIMIENTOS!$A$5:$A$1005&lt;&gt;"")*(MOVIMIENTOS!$A$5:$A$1005&lt;=$A212)*MOVIMIENTOS!$E$5:$E$1005))</f>
        <v/>
      </c>
      <c r="F212" s="63" t="str">
        <f>IF($A212="","",SUMPRODUCT((MOVIMIENTOS!$B$5:$B$1005="SALDO INICIAL")*(MOVIMIENTOS!$C$5:$C$1005="Chancho")*(MOVIMIENTOS!$D$5:$D$1005="sacos")*(MOVIMIENTOS!$A$5:$A$1005&lt;&gt;"")*(MOVIMIENTOS!$A$5:$A$1005&lt;=$A212)*MOVIMIENTOS!$E$5:$E$1005)+SUMPRODUCT((MOVIMIENTOS!$B$5:$B$1005="PROCESO")*(MOVIMIENTOS!$C$5:$C$1005="Chancho")*(MOVIMIENTOS!$D$5:$D$1005="sacos")*(MOVIMIENTOS!$A$5:$A$1005&lt;&gt;"")*(MOVIMIENTOS!$A$5:$A$1005&lt;=$A212)*MOVIMIENTOS!$E$5:$E$1005)-SUMPRODUCT((MOVIMIENTOS!$B$5:$B$1005="VENTA CHANCHO")*(MOVIMIENTOS!$C$5:$C$1005="Chancho")*(MOVIMIENTOS!$D$5:$D$1005="sacos")*(MOVIMIENTOS!$A$5:$A$1005&lt;&gt;"")*(MOVIMIENTOS!$A$5:$A$1005&lt;=$A212)*MOVIMIENTOS!$E$5:$E$1005)-SUMPRODUCT((MOVIMIENTOS!$B$5:$B$1005="REGALO")*(MOVIMIENTOS!$C$5:$C$1005="Chancho")*(MOVIMIENTOS!$D$5:$D$1005="sacos")*(MOVIMIENTOS!$A$5:$A$1005&lt;&gt;"")*(MOVIMIENTOS!$A$5:$A$1005&lt;=$A212)*MOVIMIENTOS!$E$5:$E$1005)-SUMPRODUCT((MOVIMIENTOS!$B$5:$B$1005="VENTA")*(MOVIMIENTOS!$C$5:$C$1005="Chancho")*(MOVIMIENTOS!$D$5:$D$1005="sacos")*(MOVIMIENTOS!$A$5:$A$1005&lt;&gt;"")*(MOVIMIENTOS!$A$5:$A$1005&lt;=$A212)*MOVIMIENTOS!$E$5:$E$1005)+SUMPRODUCT((MOVIMIENTOS!$B$5:$B$1005="AJUSTE")*(MOVIMIENTOS!$C$5:$C$1005="Chancho")*(MOVIMIENTOS!$D$5:$D$1005="sacos")*(MOVIMIENTOS!$A$5:$A$1005&lt;&gt;"")*(MOVIMIENTOS!$A$5:$A$1005&lt;=$A212)*MOVIMIENTOS!$E$5:$E$1005))</f>
        <v/>
      </c>
      <c r="G212" s="95" t="str">
        <f t="shared" si="7"/>
        <v/>
      </c>
      <c r="H212" s="63" t="str">
        <f>IF($A212="","",SUMPRODUCT((((MOVIMIENTOS!$B$5:$B$1005="SALDO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212)*MOVIMIENTOS!$J$5:$J$1005))</f>
        <v/>
      </c>
      <c r="I212" s="63"/>
      <c r="J212" s="63">
        <f>IF(AND(MOVIMIENTOS!$A212&lt;&gt;"",COUNTIF(MOVIMIENTOS!$A$5:$A211,MOVIMIENTOS!$A212)=0),COUNT(J$4:J211)+1,"")</f>
        <v>21</v>
      </c>
      <c r="K212" s="66">
        <f>MOVIMIENTOS!$A212</f>
        <v>46233</v>
      </c>
      <c r="L212" s="63"/>
      <c r="M212" s="63"/>
      <c r="N212" s="63"/>
    </row>
    <row r="213" spans="1:14" ht="15" customHeight="1" x14ac:dyDescent="0.2">
      <c r="A213" s="63" t="str">
        <f t="shared" si="6"/>
        <v/>
      </c>
      <c r="B213" s="63" t="str">
        <f>IF($A213="","",SUMPRODUCT((MOVIMIENTOS!$B$5:$B$1005="SALDO INICIAL")*(MOVIMIENTOS!$C$5:$C$1005="A")*(MOVIMIENTOS!$D$5:$D$1005="jabas")*(MOVIMIENTOS!$A$5:$A$1005&lt;&gt;"")*(MOVIMIENTOS!$A$5:$A$1005&lt;=$A213)*MOVIMIENTOS!$E$5:$E$1005)+SUMPRODUCT((MOVIMIENTOS!$B$5:$B$1005="PROCESO")*(MOVIMIENTOS!$C$5:$C$1005="A")*(MOVIMIENTOS!$D$5:$D$1005="jabas")*(MOVIMIENTOS!$A$5:$A$1005&lt;&gt;"")*(MOVIMIENTOS!$A$5:$A$1005&lt;=$A213)*MOVIMIENTOS!$E$5:$E$1005)-SUMPRODUCT((MOVIMIENTOS!$B$5:$B$1005="ENVÍO A SUPESA")*(MOVIMIENTOS!$C$5:$C$1005="A")*(MOVIMIENTOS!$D$5:$D$1005="jabas")*(MOVIMIENTOS!$A$5:$A$1005&lt;&gt;"")*(MOVIMIENTOS!$A$5:$A$1005&lt;=$A213)*MOVIMIENTOS!$E$5:$E$1005)+SUMPRODUCT((MOVIMIENTOS!$B$5:$B$1005="DEVOLUCIÓN")*(MOVIMIENTOS!$C$5:$C$1005="A")*(MOVIMIENTOS!$D$5:$D$1005="jabas")*(MOVIMIENTOS!$A$5:$A$1005&lt;&gt;"")*(MOVIMIENTOS!$A$5:$A$1005&lt;=$A213)*MOVIMIENTOS!$E$5:$E$1005)-SUMPRODUCT((MOVIMIENTOS!$B$5:$B$1005="TRASIEGO")*(MOVIMIENTOS!$C$5:$C$1005="A")*(MOVIMIENTOS!$D$5:$D$1005="jabas")*(MOVIMIENTOS!$A$5:$A$1005&lt;&gt;"")*(MOVIMIENTOS!$A$5:$A$1005&lt;=$A213)*MOVIMIENTOS!$E$5:$E$1005)-SUMPRODUCT((MOVIMIENTOS!$B$5:$B$1005="REGALO")*(MOVIMIENTOS!$C$5:$C$1005="A")*(MOVIMIENTOS!$D$5:$D$1005="jabas")*(MOVIMIENTOS!$A$5:$A$1005&lt;&gt;"")*(MOVIMIENTOS!$A$5:$A$1005&lt;=$A213)*MOVIMIENTOS!$E$5:$E$1005)-SUMPRODUCT((MOVIMIENTOS!$B$5:$B$1005="VENTA")*(MOVIMIENTOS!$C$5:$C$1005="A")*(MOVIMIENTOS!$D$5:$D$1005="jabas")*(MOVIMIENTOS!$A$5:$A$1005&lt;&gt;"")*(MOVIMIENTOS!$A$5:$A$1005&lt;=$A213)*MOVIMIENTOS!$E$5:$E$1005)+SUMPRODUCT((MOVIMIENTOS!$B$5:$B$1005="AJUSTE")*(MOVIMIENTOS!$C$5:$C$1005="A")*(MOVIMIENTOS!$D$5:$D$1005="jabas")*(MOVIMIENTOS!$A$5:$A$1005&lt;&gt;"")*(MOVIMIENTOS!$A$5:$A$1005&lt;=$A213)*MOVIMIENTOS!$E$5:$E$1005))</f>
        <v/>
      </c>
      <c r="C213" s="63" t="str">
        <f>IF($A213="","",SUMPRODUCT((MOVIMIENTOS!$B$5:$B$1005="SALDO INICIAL")*(MOVIMIENTOS!$C$5:$C$1005="P")*(MOVIMIENTOS!$D$5:$D$1005="jabas")*(MOVIMIENTOS!$A$5:$A$1005&lt;&gt;"")*(MOVIMIENTOS!$A$5:$A$1005&lt;=$A213)*MOVIMIENTOS!$E$5:$E$1005)+SUMPRODUCT((MOVIMIENTOS!$B$5:$B$1005="PROCESO")*(MOVIMIENTOS!$C$5:$C$1005="P")*(MOVIMIENTOS!$D$5:$D$1005="jabas")*(MOVIMIENTOS!$A$5:$A$1005&lt;&gt;"")*(MOVIMIENTOS!$A$5:$A$1005&lt;=$A213)*MOVIMIENTOS!$E$5:$E$1005)-SUMPRODUCT((MOVIMIENTOS!$B$5:$B$1005="ENVÍO A SUPESA")*(MOVIMIENTOS!$C$5:$C$1005="P")*(MOVIMIENTOS!$D$5:$D$1005="jabas")*(MOVIMIENTOS!$A$5:$A$1005&lt;&gt;"")*(MOVIMIENTOS!$A$5:$A$1005&lt;=$A213)*MOVIMIENTOS!$E$5:$E$1005)+SUMPRODUCT((MOVIMIENTOS!$B$5:$B$1005="DEVOLUCIÓN")*(MOVIMIENTOS!$C$5:$C$1005="P")*(MOVIMIENTOS!$D$5:$D$1005="jabas")*(MOVIMIENTOS!$A$5:$A$1005&lt;&gt;"")*(MOVIMIENTOS!$A$5:$A$1005&lt;=$A213)*MOVIMIENTOS!$E$5:$E$1005)-SUMPRODUCT((MOVIMIENTOS!$B$5:$B$1005="TRASIEGO")*(MOVIMIENTOS!$C$5:$C$1005="P")*(MOVIMIENTOS!$D$5:$D$1005="jabas")*(MOVIMIENTOS!$A$5:$A$1005&lt;&gt;"")*(MOVIMIENTOS!$A$5:$A$1005&lt;=$A213)*MOVIMIENTOS!$E$5:$E$1005)-SUMPRODUCT((MOVIMIENTOS!$B$5:$B$1005="REGALO")*(MOVIMIENTOS!$C$5:$C$1005="P")*(MOVIMIENTOS!$D$5:$D$1005="jabas")*(MOVIMIENTOS!$A$5:$A$1005&lt;&gt;"")*(MOVIMIENTOS!$A$5:$A$1005&lt;=$A213)*MOVIMIENTOS!$E$5:$E$1005)-SUMPRODUCT((MOVIMIENTOS!$B$5:$B$1005="VENTA")*(MOVIMIENTOS!$C$5:$C$1005="P")*(MOVIMIENTOS!$D$5:$D$1005="jabas")*(MOVIMIENTOS!$A$5:$A$1005&lt;&gt;"")*(MOVIMIENTOS!$A$5:$A$1005&lt;=$A213)*MOVIMIENTOS!$E$5:$E$1005)+SUMPRODUCT((MOVIMIENTOS!$B$5:$B$1005="AJUSTE")*(MOVIMIENTOS!$C$5:$C$1005="P")*(MOVIMIENTOS!$D$5:$D$1005="jabas")*(MOVIMIENTOS!$A$5:$A$1005&lt;&gt;"")*(MOVIMIENTOS!$A$5:$A$1005&lt;=$A213)*MOVIMIENTOS!$E$5:$E$1005))</f>
        <v/>
      </c>
      <c r="D213" s="63" t="str">
        <f>IF($A213="","",SUMPRODUCT((MOVIMIENTOS!$B$5:$B$1005="SALDO INICIAL")*(MOVIMIENTOS!$C$5:$C$1005="C")*(MOVIMIENTOS!$D$5:$D$1005="jabas")*(MOVIMIENTOS!$A$5:$A$1005&lt;&gt;"")*(MOVIMIENTOS!$A$5:$A$1005&lt;=$A213)*MOVIMIENTOS!$E$5:$E$1005)+SUMPRODUCT((MOVIMIENTOS!$B$5:$B$1005="PROCESO")*(MOVIMIENTOS!$C$5:$C$1005="C")*(MOVIMIENTOS!$D$5:$D$1005="jabas")*(MOVIMIENTOS!$A$5:$A$1005&lt;&gt;"")*(MOVIMIENTOS!$A$5:$A$1005&lt;=$A213)*MOVIMIENTOS!$E$5:$E$1005)-SUMPRODUCT((MOVIMIENTOS!$B$5:$B$1005="ENVÍO A SUPESA")*(MOVIMIENTOS!$C$5:$C$1005="C")*(MOVIMIENTOS!$D$5:$D$1005="jabas")*(MOVIMIENTOS!$A$5:$A$1005&lt;&gt;"")*(MOVIMIENTOS!$A$5:$A$1005&lt;=$A213)*MOVIMIENTOS!$E$5:$E$1005)+SUMPRODUCT((MOVIMIENTOS!$B$5:$B$1005="DEVOLUCIÓN")*(MOVIMIENTOS!$C$5:$C$1005="C")*(MOVIMIENTOS!$D$5:$D$1005="jabas")*(MOVIMIENTOS!$A$5:$A$1005&lt;&gt;"")*(MOVIMIENTOS!$A$5:$A$1005&lt;=$A213)*MOVIMIENTOS!$E$5:$E$1005)-SUMPRODUCT((MOVIMIENTOS!$B$5:$B$1005="TRASIEGO")*(MOVIMIENTOS!$C$5:$C$1005="C")*(MOVIMIENTOS!$D$5:$D$1005="jabas")*(MOVIMIENTOS!$A$5:$A$1005&lt;&gt;"")*(MOVIMIENTOS!$A$5:$A$1005&lt;=$A213)*MOVIMIENTOS!$E$5:$E$1005)-SUMPRODUCT((MOVIMIENTOS!$B$5:$B$1005="REGALO")*(MOVIMIENTOS!$C$5:$C$1005="C")*(MOVIMIENTOS!$D$5:$D$1005="jabas")*(MOVIMIENTOS!$A$5:$A$1005&lt;&gt;"")*(MOVIMIENTOS!$A$5:$A$1005&lt;=$A213)*MOVIMIENTOS!$E$5:$E$1005)-SUMPRODUCT((MOVIMIENTOS!$B$5:$B$1005="VENTA")*(MOVIMIENTOS!$C$5:$C$1005="C")*(MOVIMIENTOS!$D$5:$D$1005="jabas")*(MOVIMIENTOS!$A$5:$A$1005&lt;&gt;"")*(MOVIMIENTOS!$A$5:$A$1005&lt;=$A213)*MOVIMIENTOS!$E$5:$E$1005)+SUMPRODUCT((MOVIMIENTOS!$B$5:$B$1005="AJUSTE")*(MOVIMIENTOS!$C$5:$C$1005="C")*(MOVIMIENTOS!$D$5:$D$1005="jabas")*(MOVIMIENTOS!$A$5:$A$1005&lt;&gt;"")*(MOVIMIENTOS!$A$5:$A$1005&lt;=$A213)*MOVIMIENTOS!$E$5:$E$1005))</f>
        <v/>
      </c>
      <c r="E213" s="63" t="str">
        <f>IF($A213="","",SUMPRODUCT((MOVIMIENTOS!$B$5:$B$1005="SALDO INICIAL")*(MOVIMIENTOS!$C$5:$C$1005="M")*(MOVIMIENTOS!$D$5:$D$1005="jabas")*(MOVIMIENTOS!$A$5:$A$1005&lt;&gt;"")*(MOVIMIENTOS!$A$5:$A$1005&lt;=$A213)*MOVIMIENTOS!$E$5:$E$1005)+SUMPRODUCT((MOVIMIENTOS!$B$5:$B$1005="PROCESO")*(MOVIMIENTOS!$C$5:$C$1005="M")*(MOVIMIENTOS!$D$5:$D$1005="jabas")*(MOVIMIENTOS!$A$5:$A$1005&lt;&gt;"")*(MOVIMIENTOS!$A$5:$A$1005&lt;=$A213)*MOVIMIENTOS!$E$5:$E$1005)-SUMPRODUCT((MOVIMIENTOS!$B$5:$B$1005="ENVÍO A SUPESA")*(MOVIMIENTOS!$C$5:$C$1005="M")*(MOVIMIENTOS!$D$5:$D$1005="jabas")*(MOVIMIENTOS!$A$5:$A$1005&lt;&gt;"")*(MOVIMIENTOS!$A$5:$A$1005&lt;=$A213)*MOVIMIENTOS!$E$5:$E$1005)+SUMPRODUCT((MOVIMIENTOS!$B$5:$B$1005="DEVOLUCIÓN")*(MOVIMIENTOS!$C$5:$C$1005="M")*(MOVIMIENTOS!$D$5:$D$1005="jabas")*(MOVIMIENTOS!$A$5:$A$1005&lt;&gt;"")*(MOVIMIENTOS!$A$5:$A$1005&lt;=$A213)*MOVIMIENTOS!$E$5:$E$1005)-SUMPRODUCT((MOVIMIENTOS!$B$5:$B$1005="TRASIEGO")*(MOVIMIENTOS!$C$5:$C$1005="M")*(MOVIMIENTOS!$D$5:$D$1005="jabas")*(MOVIMIENTOS!$A$5:$A$1005&lt;&gt;"")*(MOVIMIENTOS!$A$5:$A$1005&lt;=$A213)*MOVIMIENTOS!$E$5:$E$1005)-SUMPRODUCT((MOVIMIENTOS!$B$5:$B$1005="REGALO")*(MOVIMIENTOS!$C$5:$C$1005="M")*(MOVIMIENTOS!$D$5:$D$1005="jabas")*(MOVIMIENTOS!$A$5:$A$1005&lt;&gt;"")*(MOVIMIENTOS!$A$5:$A$1005&lt;=$A213)*MOVIMIENTOS!$E$5:$E$1005)-SUMPRODUCT((MOVIMIENTOS!$B$5:$B$1005="VENTA")*(MOVIMIENTOS!$C$5:$C$1005="M")*(MOVIMIENTOS!$D$5:$D$1005="jabas")*(MOVIMIENTOS!$A$5:$A$1005&lt;&gt;"")*(MOVIMIENTOS!$A$5:$A$1005&lt;=$A213)*MOVIMIENTOS!$E$5:$E$1005)+SUMPRODUCT((MOVIMIENTOS!$B$5:$B$1005="AJUSTE")*(MOVIMIENTOS!$C$5:$C$1005="M")*(MOVIMIENTOS!$D$5:$D$1005="jabas")*(MOVIMIENTOS!$A$5:$A$1005&lt;&gt;"")*(MOVIMIENTOS!$A$5:$A$1005&lt;=$A213)*MOVIMIENTOS!$E$5:$E$1005))</f>
        <v/>
      </c>
      <c r="F213" s="63" t="str">
        <f>IF($A213="","",SUMPRODUCT((MOVIMIENTOS!$B$5:$B$1005="SALDO INICIAL")*(MOVIMIENTOS!$C$5:$C$1005="Chancho")*(MOVIMIENTOS!$D$5:$D$1005="sacos")*(MOVIMIENTOS!$A$5:$A$1005&lt;&gt;"")*(MOVIMIENTOS!$A$5:$A$1005&lt;=$A213)*MOVIMIENTOS!$E$5:$E$1005)+SUMPRODUCT((MOVIMIENTOS!$B$5:$B$1005="PROCESO")*(MOVIMIENTOS!$C$5:$C$1005="Chancho")*(MOVIMIENTOS!$D$5:$D$1005="sacos")*(MOVIMIENTOS!$A$5:$A$1005&lt;&gt;"")*(MOVIMIENTOS!$A$5:$A$1005&lt;=$A213)*MOVIMIENTOS!$E$5:$E$1005)-SUMPRODUCT((MOVIMIENTOS!$B$5:$B$1005="VENTA CHANCHO")*(MOVIMIENTOS!$C$5:$C$1005="Chancho")*(MOVIMIENTOS!$D$5:$D$1005="sacos")*(MOVIMIENTOS!$A$5:$A$1005&lt;&gt;"")*(MOVIMIENTOS!$A$5:$A$1005&lt;=$A213)*MOVIMIENTOS!$E$5:$E$1005)-SUMPRODUCT((MOVIMIENTOS!$B$5:$B$1005="REGALO")*(MOVIMIENTOS!$C$5:$C$1005="Chancho")*(MOVIMIENTOS!$D$5:$D$1005="sacos")*(MOVIMIENTOS!$A$5:$A$1005&lt;&gt;"")*(MOVIMIENTOS!$A$5:$A$1005&lt;=$A213)*MOVIMIENTOS!$E$5:$E$1005)-SUMPRODUCT((MOVIMIENTOS!$B$5:$B$1005="VENTA")*(MOVIMIENTOS!$C$5:$C$1005="Chancho")*(MOVIMIENTOS!$D$5:$D$1005="sacos")*(MOVIMIENTOS!$A$5:$A$1005&lt;&gt;"")*(MOVIMIENTOS!$A$5:$A$1005&lt;=$A213)*MOVIMIENTOS!$E$5:$E$1005)+SUMPRODUCT((MOVIMIENTOS!$B$5:$B$1005="AJUSTE")*(MOVIMIENTOS!$C$5:$C$1005="Chancho")*(MOVIMIENTOS!$D$5:$D$1005="sacos")*(MOVIMIENTOS!$A$5:$A$1005&lt;&gt;"")*(MOVIMIENTOS!$A$5:$A$1005&lt;=$A213)*MOVIMIENTOS!$E$5:$E$1005))</f>
        <v/>
      </c>
      <c r="G213" s="95" t="str">
        <f t="shared" si="7"/>
        <v/>
      </c>
      <c r="H213" s="63" t="str">
        <f>IF($A213="","",SUMPRODUCT((((MOVIMIENTOS!$B$5:$B$1005="SALDO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213)*MOVIMIENTOS!$J$5:$J$1005))</f>
        <v/>
      </c>
      <c r="I213" s="63"/>
      <c r="J213" s="63" t="str">
        <f>IF(AND(MOVIMIENTOS!$A213&lt;&gt;"",COUNTIF(MOVIMIENTOS!$A$5:$A212,MOVIMIENTOS!$A213)=0),COUNT(J$4:J212)+1,"")</f>
        <v/>
      </c>
      <c r="K213" s="66">
        <f>MOVIMIENTOS!$A213</f>
        <v>46233</v>
      </c>
      <c r="L213" s="63"/>
      <c r="M213" s="63"/>
      <c r="N213" s="63"/>
    </row>
    <row r="214" spans="1:14" ht="15" customHeight="1" x14ac:dyDescent="0.2">
      <c r="A214" s="63" t="str">
        <f t="shared" si="6"/>
        <v/>
      </c>
      <c r="B214" s="63" t="str">
        <f>IF($A214="","",SUMPRODUCT((MOVIMIENTOS!$B$5:$B$1005="SALDO INICIAL")*(MOVIMIENTOS!$C$5:$C$1005="A")*(MOVIMIENTOS!$D$5:$D$1005="jabas")*(MOVIMIENTOS!$A$5:$A$1005&lt;&gt;"")*(MOVIMIENTOS!$A$5:$A$1005&lt;=$A214)*MOVIMIENTOS!$E$5:$E$1005)+SUMPRODUCT((MOVIMIENTOS!$B$5:$B$1005="PROCESO")*(MOVIMIENTOS!$C$5:$C$1005="A")*(MOVIMIENTOS!$D$5:$D$1005="jabas")*(MOVIMIENTOS!$A$5:$A$1005&lt;&gt;"")*(MOVIMIENTOS!$A$5:$A$1005&lt;=$A214)*MOVIMIENTOS!$E$5:$E$1005)-SUMPRODUCT((MOVIMIENTOS!$B$5:$B$1005="ENVÍO A SUPESA")*(MOVIMIENTOS!$C$5:$C$1005="A")*(MOVIMIENTOS!$D$5:$D$1005="jabas")*(MOVIMIENTOS!$A$5:$A$1005&lt;&gt;"")*(MOVIMIENTOS!$A$5:$A$1005&lt;=$A214)*MOVIMIENTOS!$E$5:$E$1005)+SUMPRODUCT((MOVIMIENTOS!$B$5:$B$1005="DEVOLUCIÓN")*(MOVIMIENTOS!$C$5:$C$1005="A")*(MOVIMIENTOS!$D$5:$D$1005="jabas")*(MOVIMIENTOS!$A$5:$A$1005&lt;&gt;"")*(MOVIMIENTOS!$A$5:$A$1005&lt;=$A214)*MOVIMIENTOS!$E$5:$E$1005)-SUMPRODUCT((MOVIMIENTOS!$B$5:$B$1005="TRASIEGO")*(MOVIMIENTOS!$C$5:$C$1005="A")*(MOVIMIENTOS!$D$5:$D$1005="jabas")*(MOVIMIENTOS!$A$5:$A$1005&lt;&gt;"")*(MOVIMIENTOS!$A$5:$A$1005&lt;=$A214)*MOVIMIENTOS!$E$5:$E$1005)-SUMPRODUCT((MOVIMIENTOS!$B$5:$B$1005="REGALO")*(MOVIMIENTOS!$C$5:$C$1005="A")*(MOVIMIENTOS!$D$5:$D$1005="jabas")*(MOVIMIENTOS!$A$5:$A$1005&lt;&gt;"")*(MOVIMIENTOS!$A$5:$A$1005&lt;=$A214)*MOVIMIENTOS!$E$5:$E$1005)-SUMPRODUCT((MOVIMIENTOS!$B$5:$B$1005="VENTA")*(MOVIMIENTOS!$C$5:$C$1005="A")*(MOVIMIENTOS!$D$5:$D$1005="jabas")*(MOVIMIENTOS!$A$5:$A$1005&lt;&gt;"")*(MOVIMIENTOS!$A$5:$A$1005&lt;=$A214)*MOVIMIENTOS!$E$5:$E$1005)+SUMPRODUCT((MOVIMIENTOS!$B$5:$B$1005="AJUSTE")*(MOVIMIENTOS!$C$5:$C$1005="A")*(MOVIMIENTOS!$D$5:$D$1005="jabas")*(MOVIMIENTOS!$A$5:$A$1005&lt;&gt;"")*(MOVIMIENTOS!$A$5:$A$1005&lt;=$A214)*MOVIMIENTOS!$E$5:$E$1005))</f>
        <v/>
      </c>
      <c r="C214" s="63" t="str">
        <f>IF($A214="","",SUMPRODUCT((MOVIMIENTOS!$B$5:$B$1005="SALDO INICIAL")*(MOVIMIENTOS!$C$5:$C$1005="P")*(MOVIMIENTOS!$D$5:$D$1005="jabas")*(MOVIMIENTOS!$A$5:$A$1005&lt;&gt;"")*(MOVIMIENTOS!$A$5:$A$1005&lt;=$A214)*MOVIMIENTOS!$E$5:$E$1005)+SUMPRODUCT((MOVIMIENTOS!$B$5:$B$1005="PROCESO")*(MOVIMIENTOS!$C$5:$C$1005="P")*(MOVIMIENTOS!$D$5:$D$1005="jabas")*(MOVIMIENTOS!$A$5:$A$1005&lt;&gt;"")*(MOVIMIENTOS!$A$5:$A$1005&lt;=$A214)*MOVIMIENTOS!$E$5:$E$1005)-SUMPRODUCT((MOVIMIENTOS!$B$5:$B$1005="ENVÍO A SUPESA")*(MOVIMIENTOS!$C$5:$C$1005="P")*(MOVIMIENTOS!$D$5:$D$1005="jabas")*(MOVIMIENTOS!$A$5:$A$1005&lt;&gt;"")*(MOVIMIENTOS!$A$5:$A$1005&lt;=$A214)*MOVIMIENTOS!$E$5:$E$1005)+SUMPRODUCT((MOVIMIENTOS!$B$5:$B$1005="DEVOLUCIÓN")*(MOVIMIENTOS!$C$5:$C$1005="P")*(MOVIMIENTOS!$D$5:$D$1005="jabas")*(MOVIMIENTOS!$A$5:$A$1005&lt;&gt;"")*(MOVIMIENTOS!$A$5:$A$1005&lt;=$A214)*MOVIMIENTOS!$E$5:$E$1005)-SUMPRODUCT((MOVIMIENTOS!$B$5:$B$1005="TRASIEGO")*(MOVIMIENTOS!$C$5:$C$1005="P")*(MOVIMIENTOS!$D$5:$D$1005="jabas")*(MOVIMIENTOS!$A$5:$A$1005&lt;&gt;"")*(MOVIMIENTOS!$A$5:$A$1005&lt;=$A214)*MOVIMIENTOS!$E$5:$E$1005)-SUMPRODUCT((MOVIMIENTOS!$B$5:$B$1005="REGALO")*(MOVIMIENTOS!$C$5:$C$1005="P")*(MOVIMIENTOS!$D$5:$D$1005="jabas")*(MOVIMIENTOS!$A$5:$A$1005&lt;&gt;"")*(MOVIMIENTOS!$A$5:$A$1005&lt;=$A214)*MOVIMIENTOS!$E$5:$E$1005)-SUMPRODUCT((MOVIMIENTOS!$B$5:$B$1005="VENTA")*(MOVIMIENTOS!$C$5:$C$1005="P")*(MOVIMIENTOS!$D$5:$D$1005="jabas")*(MOVIMIENTOS!$A$5:$A$1005&lt;&gt;"")*(MOVIMIENTOS!$A$5:$A$1005&lt;=$A214)*MOVIMIENTOS!$E$5:$E$1005)+SUMPRODUCT((MOVIMIENTOS!$B$5:$B$1005="AJUSTE")*(MOVIMIENTOS!$C$5:$C$1005="P")*(MOVIMIENTOS!$D$5:$D$1005="jabas")*(MOVIMIENTOS!$A$5:$A$1005&lt;&gt;"")*(MOVIMIENTOS!$A$5:$A$1005&lt;=$A214)*MOVIMIENTOS!$E$5:$E$1005))</f>
        <v/>
      </c>
      <c r="D214" s="63" t="str">
        <f>IF($A214="","",SUMPRODUCT((MOVIMIENTOS!$B$5:$B$1005="SALDO INICIAL")*(MOVIMIENTOS!$C$5:$C$1005="C")*(MOVIMIENTOS!$D$5:$D$1005="jabas")*(MOVIMIENTOS!$A$5:$A$1005&lt;&gt;"")*(MOVIMIENTOS!$A$5:$A$1005&lt;=$A214)*MOVIMIENTOS!$E$5:$E$1005)+SUMPRODUCT((MOVIMIENTOS!$B$5:$B$1005="PROCESO")*(MOVIMIENTOS!$C$5:$C$1005="C")*(MOVIMIENTOS!$D$5:$D$1005="jabas")*(MOVIMIENTOS!$A$5:$A$1005&lt;&gt;"")*(MOVIMIENTOS!$A$5:$A$1005&lt;=$A214)*MOVIMIENTOS!$E$5:$E$1005)-SUMPRODUCT((MOVIMIENTOS!$B$5:$B$1005="ENVÍO A SUPESA")*(MOVIMIENTOS!$C$5:$C$1005="C")*(MOVIMIENTOS!$D$5:$D$1005="jabas")*(MOVIMIENTOS!$A$5:$A$1005&lt;&gt;"")*(MOVIMIENTOS!$A$5:$A$1005&lt;=$A214)*MOVIMIENTOS!$E$5:$E$1005)+SUMPRODUCT((MOVIMIENTOS!$B$5:$B$1005="DEVOLUCIÓN")*(MOVIMIENTOS!$C$5:$C$1005="C")*(MOVIMIENTOS!$D$5:$D$1005="jabas")*(MOVIMIENTOS!$A$5:$A$1005&lt;&gt;"")*(MOVIMIENTOS!$A$5:$A$1005&lt;=$A214)*MOVIMIENTOS!$E$5:$E$1005)-SUMPRODUCT((MOVIMIENTOS!$B$5:$B$1005="TRASIEGO")*(MOVIMIENTOS!$C$5:$C$1005="C")*(MOVIMIENTOS!$D$5:$D$1005="jabas")*(MOVIMIENTOS!$A$5:$A$1005&lt;&gt;"")*(MOVIMIENTOS!$A$5:$A$1005&lt;=$A214)*MOVIMIENTOS!$E$5:$E$1005)-SUMPRODUCT((MOVIMIENTOS!$B$5:$B$1005="REGALO")*(MOVIMIENTOS!$C$5:$C$1005="C")*(MOVIMIENTOS!$D$5:$D$1005="jabas")*(MOVIMIENTOS!$A$5:$A$1005&lt;&gt;"")*(MOVIMIENTOS!$A$5:$A$1005&lt;=$A214)*MOVIMIENTOS!$E$5:$E$1005)-SUMPRODUCT((MOVIMIENTOS!$B$5:$B$1005="VENTA")*(MOVIMIENTOS!$C$5:$C$1005="C")*(MOVIMIENTOS!$D$5:$D$1005="jabas")*(MOVIMIENTOS!$A$5:$A$1005&lt;&gt;"")*(MOVIMIENTOS!$A$5:$A$1005&lt;=$A214)*MOVIMIENTOS!$E$5:$E$1005)+SUMPRODUCT((MOVIMIENTOS!$B$5:$B$1005="AJUSTE")*(MOVIMIENTOS!$C$5:$C$1005="C")*(MOVIMIENTOS!$D$5:$D$1005="jabas")*(MOVIMIENTOS!$A$5:$A$1005&lt;&gt;"")*(MOVIMIENTOS!$A$5:$A$1005&lt;=$A214)*MOVIMIENTOS!$E$5:$E$1005))</f>
        <v/>
      </c>
      <c r="E214" s="63" t="str">
        <f>IF($A214="","",SUMPRODUCT((MOVIMIENTOS!$B$5:$B$1005="SALDO INICIAL")*(MOVIMIENTOS!$C$5:$C$1005="M")*(MOVIMIENTOS!$D$5:$D$1005="jabas")*(MOVIMIENTOS!$A$5:$A$1005&lt;&gt;"")*(MOVIMIENTOS!$A$5:$A$1005&lt;=$A214)*MOVIMIENTOS!$E$5:$E$1005)+SUMPRODUCT((MOVIMIENTOS!$B$5:$B$1005="PROCESO")*(MOVIMIENTOS!$C$5:$C$1005="M")*(MOVIMIENTOS!$D$5:$D$1005="jabas")*(MOVIMIENTOS!$A$5:$A$1005&lt;&gt;"")*(MOVIMIENTOS!$A$5:$A$1005&lt;=$A214)*MOVIMIENTOS!$E$5:$E$1005)-SUMPRODUCT((MOVIMIENTOS!$B$5:$B$1005="ENVÍO A SUPESA")*(MOVIMIENTOS!$C$5:$C$1005="M")*(MOVIMIENTOS!$D$5:$D$1005="jabas")*(MOVIMIENTOS!$A$5:$A$1005&lt;&gt;"")*(MOVIMIENTOS!$A$5:$A$1005&lt;=$A214)*MOVIMIENTOS!$E$5:$E$1005)+SUMPRODUCT((MOVIMIENTOS!$B$5:$B$1005="DEVOLUCIÓN")*(MOVIMIENTOS!$C$5:$C$1005="M")*(MOVIMIENTOS!$D$5:$D$1005="jabas")*(MOVIMIENTOS!$A$5:$A$1005&lt;&gt;"")*(MOVIMIENTOS!$A$5:$A$1005&lt;=$A214)*MOVIMIENTOS!$E$5:$E$1005)-SUMPRODUCT((MOVIMIENTOS!$B$5:$B$1005="TRASIEGO")*(MOVIMIENTOS!$C$5:$C$1005="M")*(MOVIMIENTOS!$D$5:$D$1005="jabas")*(MOVIMIENTOS!$A$5:$A$1005&lt;&gt;"")*(MOVIMIENTOS!$A$5:$A$1005&lt;=$A214)*MOVIMIENTOS!$E$5:$E$1005)-SUMPRODUCT((MOVIMIENTOS!$B$5:$B$1005="REGALO")*(MOVIMIENTOS!$C$5:$C$1005="M")*(MOVIMIENTOS!$D$5:$D$1005="jabas")*(MOVIMIENTOS!$A$5:$A$1005&lt;&gt;"")*(MOVIMIENTOS!$A$5:$A$1005&lt;=$A214)*MOVIMIENTOS!$E$5:$E$1005)-SUMPRODUCT((MOVIMIENTOS!$B$5:$B$1005="VENTA")*(MOVIMIENTOS!$C$5:$C$1005="M")*(MOVIMIENTOS!$D$5:$D$1005="jabas")*(MOVIMIENTOS!$A$5:$A$1005&lt;&gt;"")*(MOVIMIENTOS!$A$5:$A$1005&lt;=$A214)*MOVIMIENTOS!$E$5:$E$1005)+SUMPRODUCT((MOVIMIENTOS!$B$5:$B$1005="AJUSTE")*(MOVIMIENTOS!$C$5:$C$1005="M")*(MOVIMIENTOS!$D$5:$D$1005="jabas")*(MOVIMIENTOS!$A$5:$A$1005&lt;&gt;"")*(MOVIMIENTOS!$A$5:$A$1005&lt;=$A214)*MOVIMIENTOS!$E$5:$E$1005))</f>
        <v/>
      </c>
      <c r="F214" s="63" t="str">
        <f>IF($A214="","",SUMPRODUCT((MOVIMIENTOS!$B$5:$B$1005="SALDO INICIAL")*(MOVIMIENTOS!$C$5:$C$1005="Chancho")*(MOVIMIENTOS!$D$5:$D$1005="sacos")*(MOVIMIENTOS!$A$5:$A$1005&lt;&gt;"")*(MOVIMIENTOS!$A$5:$A$1005&lt;=$A214)*MOVIMIENTOS!$E$5:$E$1005)+SUMPRODUCT((MOVIMIENTOS!$B$5:$B$1005="PROCESO")*(MOVIMIENTOS!$C$5:$C$1005="Chancho")*(MOVIMIENTOS!$D$5:$D$1005="sacos")*(MOVIMIENTOS!$A$5:$A$1005&lt;&gt;"")*(MOVIMIENTOS!$A$5:$A$1005&lt;=$A214)*MOVIMIENTOS!$E$5:$E$1005)-SUMPRODUCT((MOVIMIENTOS!$B$5:$B$1005="VENTA CHANCHO")*(MOVIMIENTOS!$C$5:$C$1005="Chancho")*(MOVIMIENTOS!$D$5:$D$1005="sacos")*(MOVIMIENTOS!$A$5:$A$1005&lt;&gt;"")*(MOVIMIENTOS!$A$5:$A$1005&lt;=$A214)*MOVIMIENTOS!$E$5:$E$1005)-SUMPRODUCT((MOVIMIENTOS!$B$5:$B$1005="REGALO")*(MOVIMIENTOS!$C$5:$C$1005="Chancho")*(MOVIMIENTOS!$D$5:$D$1005="sacos")*(MOVIMIENTOS!$A$5:$A$1005&lt;&gt;"")*(MOVIMIENTOS!$A$5:$A$1005&lt;=$A214)*MOVIMIENTOS!$E$5:$E$1005)-SUMPRODUCT((MOVIMIENTOS!$B$5:$B$1005="VENTA")*(MOVIMIENTOS!$C$5:$C$1005="Chancho")*(MOVIMIENTOS!$D$5:$D$1005="sacos")*(MOVIMIENTOS!$A$5:$A$1005&lt;&gt;"")*(MOVIMIENTOS!$A$5:$A$1005&lt;=$A214)*MOVIMIENTOS!$E$5:$E$1005)+SUMPRODUCT((MOVIMIENTOS!$B$5:$B$1005="AJUSTE")*(MOVIMIENTOS!$C$5:$C$1005="Chancho")*(MOVIMIENTOS!$D$5:$D$1005="sacos")*(MOVIMIENTOS!$A$5:$A$1005&lt;&gt;"")*(MOVIMIENTOS!$A$5:$A$1005&lt;=$A214)*MOVIMIENTOS!$E$5:$E$1005))</f>
        <v/>
      </c>
      <c r="G214" s="95" t="str">
        <f t="shared" si="7"/>
        <v/>
      </c>
      <c r="H214" s="63" t="str">
        <f>IF($A214="","",SUMPRODUCT((((MOVIMIENTOS!$B$5:$B$1005="SALDO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214)*MOVIMIENTOS!$J$5:$J$1005))</f>
        <v/>
      </c>
      <c r="I214" s="63"/>
      <c r="J214" s="63" t="str">
        <f>IF(AND(MOVIMIENTOS!$A214&lt;&gt;"",COUNTIF(MOVIMIENTOS!$A$5:$A213,MOVIMIENTOS!$A214)=0),COUNT(J$4:J213)+1,"")</f>
        <v/>
      </c>
      <c r="K214" s="66">
        <f>MOVIMIENTOS!$A214</f>
        <v>46233</v>
      </c>
      <c r="L214" s="63"/>
      <c r="M214" s="63"/>
      <c r="N214" s="63"/>
    </row>
    <row r="215" spans="1:14" ht="15" customHeight="1" x14ac:dyDescent="0.2">
      <c r="A215" s="63" t="str">
        <f t="shared" si="6"/>
        <v/>
      </c>
      <c r="B215" s="63" t="str">
        <f>IF($A215="","",SUMPRODUCT((MOVIMIENTOS!$B$5:$B$1005="SALDO INICIAL")*(MOVIMIENTOS!$C$5:$C$1005="A")*(MOVIMIENTOS!$D$5:$D$1005="jabas")*(MOVIMIENTOS!$A$5:$A$1005&lt;&gt;"")*(MOVIMIENTOS!$A$5:$A$1005&lt;=$A215)*MOVIMIENTOS!$E$5:$E$1005)+SUMPRODUCT((MOVIMIENTOS!$B$5:$B$1005="PROCESO")*(MOVIMIENTOS!$C$5:$C$1005="A")*(MOVIMIENTOS!$D$5:$D$1005="jabas")*(MOVIMIENTOS!$A$5:$A$1005&lt;&gt;"")*(MOVIMIENTOS!$A$5:$A$1005&lt;=$A215)*MOVIMIENTOS!$E$5:$E$1005)-SUMPRODUCT((MOVIMIENTOS!$B$5:$B$1005="ENVÍO A SUPESA")*(MOVIMIENTOS!$C$5:$C$1005="A")*(MOVIMIENTOS!$D$5:$D$1005="jabas")*(MOVIMIENTOS!$A$5:$A$1005&lt;&gt;"")*(MOVIMIENTOS!$A$5:$A$1005&lt;=$A215)*MOVIMIENTOS!$E$5:$E$1005)+SUMPRODUCT((MOVIMIENTOS!$B$5:$B$1005="DEVOLUCIÓN")*(MOVIMIENTOS!$C$5:$C$1005="A")*(MOVIMIENTOS!$D$5:$D$1005="jabas")*(MOVIMIENTOS!$A$5:$A$1005&lt;&gt;"")*(MOVIMIENTOS!$A$5:$A$1005&lt;=$A215)*MOVIMIENTOS!$E$5:$E$1005)-SUMPRODUCT((MOVIMIENTOS!$B$5:$B$1005="TRASIEGO")*(MOVIMIENTOS!$C$5:$C$1005="A")*(MOVIMIENTOS!$D$5:$D$1005="jabas")*(MOVIMIENTOS!$A$5:$A$1005&lt;&gt;"")*(MOVIMIENTOS!$A$5:$A$1005&lt;=$A215)*MOVIMIENTOS!$E$5:$E$1005)-SUMPRODUCT((MOVIMIENTOS!$B$5:$B$1005="REGALO")*(MOVIMIENTOS!$C$5:$C$1005="A")*(MOVIMIENTOS!$D$5:$D$1005="jabas")*(MOVIMIENTOS!$A$5:$A$1005&lt;&gt;"")*(MOVIMIENTOS!$A$5:$A$1005&lt;=$A215)*MOVIMIENTOS!$E$5:$E$1005)-SUMPRODUCT((MOVIMIENTOS!$B$5:$B$1005="VENTA")*(MOVIMIENTOS!$C$5:$C$1005="A")*(MOVIMIENTOS!$D$5:$D$1005="jabas")*(MOVIMIENTOS!$A$5:$A$1005&lt;&gt;"")*(MOVIMIENTOS!$A$5:$A$1005&lt;=$A215)*MOVIMIENTOS!$E$5:$E$1005)+SUMPRODUCT((MOVIMIENTOS!$B$5:$B$1005="AJUSTE")*(MOVIMIENTOS!$C$5:$C$1005="A")*(MOVIMIENTOS!$D$5:$D$1005="jabas")*(MOVIMIENTOS!$A$5:$A$1005&lt;&gt;"")*(MOVIMIENTOS!$A$5:$A$1005&lt;=$A215)*MOVIMIENTOS!$E$5:$E$1005))</f>
        <v/>
      </c>
      <c r="C215" s="63" t="str">
        <f>IF($A215="","",SUMPRODUCT((MOVIMIENTOS!$B$5:$B$1005="SALDO INICIAL")*(MOVIMIENTOS!$C$5:$C$1005="P")*(MOVIMIENTOS!$D$5:$D$1005="jabas")*(MOVIMIENTOS!$A$5:$A$1005&lt;&gt;"")*(MOVIMIENTOS!$A$5:$A$1005&lt;=$A215)*MOVIMIENTOS!$E$5:$E$1005)+SUMPRODUCT((MOVIMIENTOS!$B$5:$B$1005="PROCESO")*(MOVIMIENTOS!$C$5:$C$1005="P")*(MOVIMIENTOS!$D$5:$D$1005="jabas")*(MOVIMIENTOS!$A$5:$A$1005&lt;&gt;"")*(MOVIMIENTOS!$A$5:$A$1005&lt;=$A215)*MOVIMIENTOS!$E$5:$E$1005)-SUMPRODUCT((MOVIMIENTOS!$B$5:$B$1005="ENVÍO A SUPESA")*(MOVIMIENTOS!$C$5:$C$1005="P")*(MOVIMIENTOS!$D$5:$D$1005="jabas")*(MOVIMIENTOS!$A$5:$A$1005&lt;&gt;"")*(MOVIMIENTOS!$A$5:$A$1005&lt;=$A215)*MOVIMIENTOS!$E$5:$E$1005)+SUMPRODUCT((MOVIMIENTOS!$B$5:$B$1005="DEVOLUCIÓN")*(MOVIMIENTOS!$C$5:$C$1005="P")*(MOVIMIENTOS!$D$5:$D$1005="jabas")*(MOVIMIENTOS!$A$5:$A$1005&lt;&gt;"")*(MOVIMIENTOS!$A$5:$A$1005&lt;=$A215)*MOVIMIENTOS!$E$5:$E$1005)-SUMPRODUCT((MOVIMIENTOS!$B$5:$B$1005="TRASIEGO")*(MOVIMIENTOS!$C$5:$C$1005="P")*(MOVIMIENTOS!$D$5:$D$1005="jabas")*(MOVIMIENTOS!$A$5:$A$1005&lt;&gt;"")*(MOVIMIENTOS!$A$5:$A$1005&lt;=$A215)*MOVIMIENTOS!$E$5:$E$1005)-SUMPRODUCT((MOVIMIENTOS!$B$5:$B$1005="REGALO")*(MOVIMIENTOS!$C$5:$C$1005="P")*(MOVIMIENTOS!$D$5:$D$1005="jabas")*(MOVIMIENTOS!$A$5:$A$1005&lt;&gt;"")*(MOVIMIENTOS!$A$5:$A$1005&lt;=$A215)*MOVIMIENTOS!$E$5:$E$1005)-SUMPRODUCT((MOVIMIENTOS!$B$5:$B$1005="VENTA")*(MOVIMIENTOS!$C$5:$C$1005="P")*(MOVIMIENTOS!$D$5:$D$1005="jabas")*(MOVIMIENTOS!$A$5:$A$1005&lt;&gt;"")*(MOVIMIENTOS!$A$5:$A$1005&lt;=$A215)*MOVIMIENTOS!$E$5:$E$1005)+SUMPRODUCT((MOVIMIENTOS!$B$5:$B$1005="AJUSTE")*(MOVIMIENTOS!$C$5:$C$1005="P")*(MOVIMIENTOS!$D$5:$D$1005="jabas")*(MOVIMIENTOS!$A$5:$A$1005&lt;&gt;"")*(MOVIMIENTOS!$A$5:$A$1005&lt;=$A215)*MOVIMIENTOS!$E$5:$E$1005))</f>
        <v/>
      </c>
      <c r="D215" s="63" t="str">
        <f>IF($A215="","",SUMPRODUCT((MOVIMIENTOS!$B$5:$B$1005="SALDO INICIAL")*(MOVIMIENTOS!$C$5:$C$1005="C")*(MOVIMIENTOS!$D$5:$D$1005="jabas")*(MOVIMIENTOS!$A$5:$A$1005&lt;&gt;"")*(MOVIMIENTOS!$A$5:$A$1005&lt;=$A215)*MOVIMIENTOS!$E$5:$E$1005)+SUMPRODUCT((MOVIMIENTOS!$B$5:$B$1005="PROCESO")*(MOVIMIENTOS!$C$5:$C$1005="C")*(MOVIMIENTOS!$D$5:$D$1005="jabas")*(MOVIMIENTOS!$A$5:$A$1005&lt;&gt;"")*(MOVIMIENTOS!$A$5:$A$1005&lt;=$A215)*MOVIMIENTOS!$E$5:$E$1005)-SUMPRODUCT((MOVIMIENTOS!$B$5:$B$1005="ENVÍO A SUPESA")*(MOVIMIENTOS!$C$5:$C$1005="C")*(MOVIMIENTOS!$D$5:$D$1005="jabas")*(MOVIMIENTOS!$A$5:$A$1005&lt;&gt;"")*(MOVIMIENTOS!$A$5:$A$1005&lt;=$A215)*MOVIMIENTOS!$E$5:$E$1005)+SUMPRODUCT((MOVIMIENTOS!$B$5:$B$1005="DEVOLUCIÓN")*(MOVIMIENTOS!$C$5:$C$1005="C")*(MOVIMIENTOS!$D$5:$D$1005="jabas")*(MOVIMIENTOS!$A$5:$A$1005&lt;&gt;"")*(MOVIMIENTOS!$A$5:$A$1005&lt;=$A215)*MOVIMIENTOS!$E$5:$E$1005)-SUMPRODUCT((MOVIMIENTOS!$B$5:$B$1005="TRASIEGO")*(MOVIMIENTOS!$C$5:$C$1005="C")*(MOVIMIENTOS!$D$5:$D$1005="jabas")*(MOVIMIENTOS!$A$5:$A$1005&lt;&gt;"")*(MOVIMIENTOS!$A$5:$A$1005&lt;=$A215)*MOVIMIENTOS!$E$5:$E$1005)-SUMPRODUCT((MOVIMIENTOS!$B$5:$B$1005="REGALO")*(MOVIMIENTOS!$C$5:$C$1005="C")*(MOVIMIENTOS!$D$5:$D$1005="jabas")*(MOVIMIENTOS!$A$5:$A$1005&lt;&gt;"")*(MOVIMIENTOS!$A$5:$A$1005&lt;=$A215)*MOVIMIENTOS!$E$5:$E$1005)-SUMPRODUCT((MOVIMIENTOS!$B$5:$B$1005="VENTA")*(MOVIMIENTOS!$C$5:$C$1005="C")*(MOVIMIENTOS!$D$5:$D$1005="jabas")*(MOVIMIENTOS!$A$5:$A$1005&lt;&gt;"")*(MOVIMIENTOS!$A$5:$A$1005&lt;=$A215)*MOVIMIENTOS!$E$5:$E$1005)+SUMPRODUCT((MOVIMIENTOS!$B$5:$B$1005="AJUSTE")*(MOVIMIENTOS!$C$5:$C$1005="C")*(MOVIMIENTOS!$D$5:$D$1005="jabas")*(MOVIMIENTOS!$A$5:$A$1005&lt;&gt;"")*(MOVIMIENTOS!$A$5:$A$1005&lt;=$A215)*MOVIMIENTOS!$E$5:$E$1005))</f>
        <v/>
      </c>
      <c r="E215" s="63" t="str">
        <f>IF($A215="","",SUMPRODUCT((MOVIMIENTOS!$B$5:$B$1005="SALDO INICIAL")*(MOVIMIENTOS!$C$5:$C$1005="M")*(MOVIMIENTOS!$D$5:$D$1005="jabas")*(MOVIMIENTOS!$A$5:$A$1005&lt;&gt;"")*(MOVIMIENTOS!$A$5:$A$1005&lt;=$A215)*MOVIMIENTOS!$E$5:$E$1005)+SUMPRODUCT((MOVIMIENTOS!$B$5:$B$1005="PROCESO")*(MOVIMIENTOS!$C$5:$C$1005="M")*(MOVIMIENTOS!$D$5:$D$1005="jabas")*(MOVIMIENTOS!$A$5:$A$1005&lt;&gt;"")*(MOVIMIENTOS!$A$5:$A$1005&lt;=$A215)*MOVIMIENTOS!$E$5:$E$1005)-SUMPRODUCT((MOVIMIENTOS!$B$5:$B$1005="ENVÍO A SUPESA")*(MOVIMIENTOS!$C$5:$C$1005="M")*(MOVIMIENTOS!$D$5:$D$1005="jabas")*(MOVIMIENTOS!$A$5:$A$1005&lt;&gt;"")*(MOVIMIENTOS!$A$5:$A$1005&lt;=$A215)*MOVIMIENTOS!$E$5:$E$1005)+SUMPRODUCT((MOVIMIENTOS!$B$5:$B$1005="DEVOLUCIÓN")*(MOVIMIENTOS!$C$5:$C$1005="M")*(MOVIMIENTOS!$D$5:$D$1005="jabas")*(MOVIMIENTOS!$A$5:$A$1005&lt;&gt;"")*(MOVIMIENTOS!$A$5:$A$1005&lt;=$A215)*MOVIMIENTOS!$E$5:$E$1005)-SUMPRODUCT((MOVIMIENTOS!$B$5:$B$1005="TRASIEGO")*(MOVIMIENTOS!$C$5:$C$1005="M")*(MOVIMIENTOS!$D$5:$D$1005="jabas")*(MOVIMIENTOS!$A$5:$A$1005&lt;&gt;"")*(MOVIMIENTOS!$A$5:$A$1005&lt;=$A215)*MOVIMIENTOS!$E$5:$E$1005)-SUMPRODUCT((MOVIMIENTOS!$B$5:$B$1005="REGALO")*(MOVIMIENTOS!$C$5:$C$1005="M")*(MOVIMIENTOS!$D$5:$D$1005="jabas")*(MOVIMIENTOS!$A$5:$A$1005&lt;&gt;"")*(MOVIMIENTOS!$A$5:$A$1005&lt;=$A215)*MOVIMIENTOS!$E$5:$E$1005)-SUMPRODUCT((MOVIMIENTOS!$B$5:$B$1005="VENTA")*(MOVIMIENTOS!$C$5:$C$1005="M")*(MOVIMIENTOS!$D$5:$D$1005="jabas")*(MOVIMIENTOS!$A$5:$A$1005&lt;&gt;"")*(MOVIMIENTOS!$A$5:$A$1005&lt;=$A215)*MOVIMIENTOS!$E$5:$E$1005)+SUMPRODUCT((MOVIMIENTOS!$B$5:$B$1005="AJUSTE")*(MOVIMIENTOS!$C$5:$C$1005="M")*(MOVIMIENTOS!$D$5:$D$1005="jabas")*(MOVIMIENTOS!$A$5:$A$1005&lt;&gt;"")*(MOVIMIENTOS!$A$5:$A$1005&lt;=$A215)*MOVIMIENTOS!$E$5:$E$1005))</f>
        <v/>
      </c>
      <c r="F215" s="63" t="str">
        <f>IF($A215="","",SUMPRODUCT((MOVIMIENTOS!$B$5:$B$1005="SALDO INICIAL")*(MOVIMIENTOS!$C$5:$C$1005="Chancho")*(MOVIMIENTOS!$D$5:$D$1005="sacos")*(MOVIMIENTOS!$A$5:$A$1005&lt;&gt;"")*(MOVIMIENTOS!$A$5:$A$1005&lt;=$A215)*MOVIMIENTOS!$E$5:$E$1005)+SUMPRODUCT((MOVIMIENTOS!$B$5:$B$1005="PROCESO")*(MOVIMIENTOS!$C$5:$C$1005="Chancho")*(MOVIMIENTOS!$D$5:$D$1005="sacos")*(MOVIMIENTOS!$A$5:$A$1005&lt;&gt;"")*(MOVIMIENTOS!$A$5:$A$1005&lt;=$A215)*MOVIMIENTOS!$E$5:$E$1005)-SUMPRODUCT((MOVIMIENTOS!$B$5:$B$1005="VENTA CHANCHO")*(MOVIMIENTOS!$C$5:$C$1005="Chancho")*(MOVIMIENTOS!$D$5:$D$1005="sacos")*(MOVIMIENTOS!$A$5:$A$1005&lt;&gt;"")*(MOVIMIENTOS!$A$5:$A$1005&lt;=$A215)*MOVIMIENTOS!$E$5:$E$1005)-SUMPRODUCT((MOVIMIENTOS!$B$5:$B$1005="REGALO")*(MOVIMIENTOS!$C$5:$C$1005="Chancho")*(MOVIMIENTOS!$D$5:$D$1005="sacos")*(MOVIMIENTOS!$A$5:$A$1005&lt;&gt;"")*(MOVIMIENTOS!$A$5:$A$1005&lt;=$A215)*MOVIMIENTOS!$E$5:$E$1005)-SUMPRODUCT((MOVIMIENTOS!$B$5:$B$1005="VENTA")*(MOVIMIENTOS!$C$5:$C$1005="Chancho")*(MOVIMIENTOS!$D$5:$D$1005="sacos")*(MOVIMIENTOS!$A$5:$A$1005&lt;&gt;"")*(MOVIMIENTOS!$A$5:$A$1005&lt;=$A215)*MOVIMIENTOS!$E$5:$E$1005)+SUMPRODUCT((MOVIMIENTOS!$B$5:$B$1005="AJUSTE")*(MOVIMIENTOS!$C$5:$C$1005="Chancho")*(MOVIMIENTOS!$D$5:$D$1005="sacos")*(MOVIMIENTOS!$A$5:$A$1005&lt;&gt;"")*(MOVIMIENTOS!$A$5:$A$1005&lt;=$A215)*MOVIMIENTOS!$E$5:$E$1005))</f>
        <v/>
      </c>
      <c r="G215" s="95" t="str">
        <f t="shared" si="7"/>
        <v/>
      </c>
      <c r="H215" s="63" t="str">
        <f>IF($A215="","",SUMPRODUCT((((MOVIMIENTOS!$B$5:$B$1005="SALDO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215)*MOVIMIENTOS!$J$5:$J$1005))</f>
        <v/>
      </c>
      <c r="I215" s="63"/>
      <c r="J215" s="63" t="str">
        <f>IF(AND(MOVIMIENTOS!$A215&lt;&gt;"",COUNTIF(MOVIMIENTOS!$A$5:$A214,MOVIMIENTOS!$A215)=0),COUNT(J$4:J214)+1,"")</f>
        <v/>
      </c>
      <c r="K215" s="66">
        <f>MOVIMIENTOS!$A215</f>
        <v>46233</v>
      </c>
      <c r="L215" s="63"/>
      <c r="M215" s="63"/>
      <c r="N215" s="63"/>
    </row>
    <row r="216" spans="1:14" ht="15" customHeight="1" x14ac:dyDescent="0.2">
      <c r="A216" s="63" t="str">
        <f t="shared" si="6"/>
        <v/>
      </c>
      <c r="B216" s="63" t="str">
        <f>IF($A216="","",SUMPRODUCT((MOVIMIENTOS!$B$5:$B$1005="SALDO INICIAL")*(MOVIMIENTOS!$C$5:$C$1005="A")*(MOVIMIENTOS!$D$5:$D$1005="jabas")*(MOVIMIENTOS!$A$5:$A$1005&lt;&gt;"")*(MOVIMIENTOS!$A$5:$A$1005&lt;=$A216)*MOVIMIENTOS!$E$5:$E$1005)+SUMPRODUCT((MOVIMIENTOS!$B$5:$B$1005="PROCESO")*(MOVIMIENTOS!$C$5:$C$1005="A")*(MOVIMIENTOS!$D$5:$D$1005="jabas")*(MOVIMIENTOS!$A$5:$A$1005&lt;&gt;"")*(MOVIMIENTOS!$A$5:$A$1005&lt;=$A216)*MOVIMIENTOS!$E$5:$E$1005)-SUMPRODUCT((MOVIMIENTOS!$B$5:$B$1005="ENVÍO A SUPESA")*(MOVIMIENTOS!$C$5:$C$1005="A")*(MOVIMIENTOS!$D$5:$D$1005="jabas")*(MOVIMIENTOS!$A$5:$A$1005&lt;&gt;"")*(MOVIMIENTOS!$A$5:$A$1005&lt;=$A216)*MOVIMIENTOS!$E$5:$E$1005)+SUMPRODUCT((MOVIMIENTOS!$B$5:$B$1005="DEVOLUCIÓN")*(MOVIMIENTOS!$C$5:$C$1005="A")*(MOVIMIENTOS!$D$5:$D$1005="jabas")*(MOVIMIENTOS!$A$5:$A$1005&lt;&gt;"")*(MOVIMIENTOS!$A$5:$A$1005&lt;=$A216)*MOVIMIENTOS!$E$5:$E$1005)-SUMPRODUCT((MOVIMIENTOS!$B$5:$B$1005="TRASIEGO")*(MOVIMIENTOS!$C$5:$C$1005="A")*(MOVIMIENTOS!$D$5:$D$1005="jabas")*(MOVIMIENTOS!$A$5:$A$1005&lt;&gt;"")*(MOVIMIENTOS!$A$5:$A$1005&lt;=$A216)*MOVIMIENTOS!$E$5:$E$1005)-SUMPRODUCT((MOVIMIENTOS!$B$5:$B$1005="REGALO")*(MOVIMIENTOS!$C$5:$C$1005="A")*(MOVIMIENTOS!$D$5:$D$1005="jabas")*(MOVIMIENTOS!$A$5:$A$1005&lt;&gt;"")*(MOVIMIENTOS!$A$5:$A$1005&lt;=$A216)*MOVIMIENTOS!$E$5:$E$1005)-SUMPRODUCT((MOVIMIENTOS!$B$5:$B$1005="VENTA")*(MOVIMIENTOS!$C$5:$C$1005="A")*(MOVIMIENTOS!$D$5:$D$1005="jabas")*(MOVIMIENTOS!$A$5:$A$1005&lt;&gt;"")*(MOVIMIENTOS!$A$5:$A$1005&lt;=$A216)*MOVIMIENTOS!$E$5:$E$1005)+SUMPRODUCT((MOVIMIENTOS!$B$5:$B$1005="AJUSTE")*(MOVIMIENTOS!$C$5:$C$1005="A")*(MOVIMIENTOS!$D$5:$D$1005="jabas")*(MOVIMIENTOS!$A$5:$A$1005&lt;&gt;"")*(MOVIMIENTOS!$A$5:$A$1005&lt;=$A216)*MOVIMIENTOS!$E$5:$E$1005))</f>
        <v/>
      </c>
      <c r="C216" s="63" t="str">
        <f>IF($A216="","",SUMPRODUCT((MOVIMIENTOS!$B$5:$B$1005="SALDO INICIAL")*(MOVIMIENTOS!$C$5:$C$1005="P")*(MOVIMIENTOS!$D$5:$D$1005="jabas")*(MOVIMIENTOS!$A$5:$A$1005&lt;&gt;"")*(MOVIMIENTOS!$A$5:$A$1005&lt;=$A216)*MOVIMIENTOS!$E$5:$E$1005)+SUMPRODUCT((MOVIMIENTOS!$B$5:$B$1005="PROCESO")*(MOVIMIENTOS!$C$5:$C$1005="P")*(MOVIMIENTOS!$D$5:$D$1005="jabas")*(MOVIMIENTOS!$A$5:$A$1005&lt;&gt;"")*(MOVIMIENTOS!$A$5:$A$1005&lt;=$A216)*MOVIMIENTOS!$E$5:$E$1005)-SUMPRODUCT((MOVIMIENTOS!$B$5:$B$1005="ENVÍO A SUPESA")*(MOVIMIENTOS!$C$5:$C$1005="P")*(MOVIMIENTOS!$D$5:$D$1005="jabas")*(MOVIMIENTOS!$A$5:$A$1005&lt;&gt;"")*(MOVIMIENTOS!$A$5:$A$1005&lt;=$A216)*MOVIMIENTOS!$E$5:$E$1005)+SUMPRODUCT((MOVIMIENTOS!$B$5:$B$1005="DEVOLUCIÓN")*(MOVIMIENTOS!$C$5:$C$1005="P")*(MOVIMIENTOS!$D$5:$D$1005="jabas")*(MOVIMIENTOS!$A$5:$A$1005&lt;&gt;"")*(MOVIMIENTOS!$A$5:$A$1005&lt;=$A216)*MOVIMIENTOS!$E$5:$E$1005)-SUMPRODUCT((MOVIMIENTOS!$B$5:$B$1005="TRASIEGO")*(MOVIMIENTOS!$C$5:$C$1005="P")*(MOVIMIENTOS!$D$5:$D$1005="jabas")*(MOVIMIENTOS!$A$5:$A$1005&lt;&gt;"")*(MOVIMIENTOS!$A$5:$A$1005&lt;=$A216)*MOVIMIENTOS!$E$5:$E$1005)-SUMPRODUCT((MOVIMIENTOS!$B$5:$B$1005="REGALO")*(MOVIMIENTOS!$C$5:$C$1005="P")*(MOVIMIENTOS!$D$5:$D$1005="jabas")*(MOVIMIENTOS!$A$5:$A$1005&lt;&gt;"")*(MOVIMIENTOS!$A$5:$A$1005&lt;=$A216)*MOVIMIENTOS!$E$5:$E$1005)-SUMPRODUCT((MOVIMIENTOS!$B$5:$B$1005="VENTA")*(MOVIMIENTOS!$C$5:$C$1005="P")*(MOVIMIENTOS!$D$5:$D$1005="jabas")*(MOVIMIENTOS!$A$5:$A$1005&lt;&gt;"")*(MOVIMIENTOS!$A$5:$A$1005&lt;=$A216)*MOVIMIENTOS!$E$5:$E$1005)+SUMPRODUCT((MOVIMIENTOS!$B$5:$B$1005="AJUSTE")*(MOVIMIENTOS!$C$5:$C$1005="P")*(MOVIMIENTOS!$D$5:$D$1005="jabas")*(MOVIMIENTOS!$A$5:$A$1005&lt;&gt;"")*(MOVIMIENTOS!$A$5:$A$1005&lt;=$A216)*MOVIMIENTOS!$E$5:$E$1005))</f>
        <v/>
      </c>
      <c r="D216" s="63" t="str">
        <f>IF($A216="","",SUMPRODUCT((MOVIMIENTOS!$B$5:$B$1005="SALDO INICIAL")*(MOVIMIENTOS!$C$5:$C$1005="C")*(MOVIMIENTOS!$D$5:$D$1005="jabas")*(MOVIMIENTOS!$A$5:$A$1005&lt;&gt;"")*(MOVIMIENTOS!$A$5:$A$1005&lt;=$A216)*MOVIMIENTOS!$E$5:$E$1005)+SUMPRODUCT((MOVIMIENTOS!$B$5:$B$1005="PROCESO")*(MOVIMIENTOS!$C$5:$C$1005="C")*(MOVIMIENTOS!$D$5:$D$1005="jabas")*(MOVIMIENTOS!$A$5:$A$1005&lt;&gt;"")*(MOVIMIENTOS!$A$5:$A$1005&lt;=$A216)*MOVIMIENTOS!$E$5:$E$1005)-SUMPRODUCT((MOVIMIENTOS!$B$5:$B$1005="ENVÍO A SUPESA")*(MOVIMIENTOS!$C$5:$C$1005="C")*(MOVIMIENTOS!$D$5:$D$1005="jabas")*(MOVIMIENTOS!$A$5:$A$1005&lt;&gt;"")*(MOVIMIENTOS!$A$5:$A$1005&lt;=$A216)*MOVIMIENTOS!$E$5:$E$1005)+SUMPRODUCT((MOVIMIENTOS!$B$5:$B$1005="DEVOLUCIÓN")*(MOVIMIENTOS!$C$5:$C$1005="C")*(MOVIMIENTOS!$D$5:$D$1005="jabas")*(MOVIMIENTOS!$A$5:$A$1005&lt;&gt;"")*(MOVIMIENTOS!$A$5:$A$1005&lt;=$A216)*MOVIMIENTOS!$E$5:$E$1005)-SUMPRODUCT((MOVIMIENTOS!$B$5:$B$1005="TRASIEGO")*(MOVIMIENTOS!$C$5:$C$1005="C")*(MOVIMIENTOS!$D$5:$D$1005="jabas")*(MOVIMIENTOS!$A$5:$A$1005&lt;&gt;"")*(MOVIMIENTOS!$A$5:$A$1005&lt;=$A216)*MOVIMIENTOS!$E$5:$E$1005)-SUMPRODUCT((MOVIMIENTOS!$B$5:$B$1005="REGALO")*(MOVIMIENTOS!$C$5:$C$1005="C")*(MOVIMIENTOS!$D$5:$D$1005="jabas")*(MOVIMIENTOS!$A$5:$A$1005&lt;&gt;"")*(MOVIMIENTOS!$A$5:$A$1005&lt;=$A216)*MOVIMIENTOS!$E$5:$E$1005)-SUMPRODUCT((MOVIMIENTOS!$B$5:$B$1005="VENTA")*(MOVIMIENTOS!$C$5:$C$1005="C")*(MOVIMIENTOS!$D$5:$D$1005="jabas")*(MOVIMIENTOS!$A$5:$A$1005&lt;&gt;"")*(MOVIMIENTOS!$A$5:$A$1005&lt;=$A216)*MOVIMIENTOS!$E$5:$E$1005)+SUMPRODUCT((MOVIMIENTOS!$B$5:$B$1005="AJUSTE")*(MOVIMIENTOS!$C$5:$C$1005="C")*(MOVIMIENTOS!$D$5:$D$1005="jabas")*(MOVIMIENTOS!$A$5:$A$1005&lt;&gt;"")*(MOVIMIENTOS!$A$5:$A$1005&lt;=$A216)*MOVIMIENTOS!$E$5:$E$1005))</f>
        <v/>
      </c>
      <c r="E216" s="63" t="str">
        <f>IF($A216="","",SUMPRODUCT((MOVIMIENTOS!$B$5:$B$1005="SALDO INICIAL")*(MOVIMIENTOS!$C$5:$C$1005="M")*(MOVIMIENTOS!$D$5:$D$1005="jabas")*(MOVIMIENTOS!$A$5:$A$1005&lt;&gt;"")*(MOVIMIENTOS!$A$5:$A$1005&lt;=$A216)*MOVIMIENTOS!$E$5:$E$1005)+SUMPRODUCT((MOVIMIENTOS!$B$5:$B$1005="PROCESO")*(MOVIMIENTOS!$C$5:$C$1005="M")*(MOVIMIENTOS!$D$5:$D$1005="jabas")*(MOVIMIENTOS!$A$5:$A$1005&lt;&gt;"")*(MOVIMIENTOS!$A$5:$A$1005&lt;=$A216)*MOVIMIENTOS!$E$5:$E$1005)-SUMPRODUCT((MOVIMIENTOS!$B$5:$B$1005="ENVÍO A SUPESA")*(MOVIMIENTOS!$C$5:$C$1005="M")*(MOVIMIENTOS!$D$5:$D$1005="jabas")*(MOVIMIENTOS!$A$5:$A$1005&lt;&gt;"")*(MOVIMIENTOS!$A$5:$A$1005&lt;=$A216)*MOVIMIENTOS!$E$5:$E$1005)+SUMPRODUCT((MOVIMIENTOS!$B$5:$B$1005="DEVOLUCIÓN")*(MOVIMIENTOS!$C$5:$C$1005="M")*(MOVIMIENTOS!$D$5:$D$1005="jabas")*(MOVIMIENTOS!$A$5:$A$1005&lt;&gt;"")*(MOVIMIENTOS!$A$5:$A$1005&lt;=$A216)*MOVIMIENTOS!$E$5:$E$1005)-SUMPRODUCT((MOVIMIENTOS!$B$5:$B$1005="TRASIEGO")*(MOVIMIENTOS!$C$5:$C$1005="M")*(MOVIMIENTOS!$D$5:$D$1005="jabas")*(MOVIMIENTOS!$A$5:$A$1005&lt;&gt;"")*(MOVIMIENTOS!$A$5:$A$1005&lt;=$A216)*MOVIMIENTOS!$E$5:$E$1005)-SUMPRODUCT((MOVIMIENTOS!$B$5:$B$1005="REGALO")*(MOVIMIENTOS!$C$5:$C$1005="M")*(MOVIMIENTOS!$D$5:$D$1005="jabas")*(MOVIMIENTOS!$A$5:$A$1005&lt;&gt;"")*(MOVIMIENTOS!$A$5:$A$1005&lt;=$A216)*MOVIMIENTOS!$E$5:$E$1005)-SUMPRODUCT((MOVIMIENTOS!$B$5:$B$1005="VENTA")*(MOVIMIENTOS!$C$5:$C$1005="M")*(MOVIMIENTOS!$D$5:$D$1005="jabas")*(MOVIMIENTOS!$A$5:$A$1005&lt;&gt;"")*(MOVIMIENTOS!$A$5:$A$1005&lt;=$A216)*MOVIMIENTOS!$E$5:$E$1005)+SUMPRODUCT((MOVIMIENTOS!$B$5:$B$1005="AJUSTE")*(MOVIMIENTOS!$C$5:$C$1005="M")*(MOVIMIENTOS!$D$5:$D$1005="jabas")*(MOVIMIENTOS!$A$5:$A$1005&lt;&gt;"")*(MOVIMIENTOS!$A$5:$A$1005&lt;=$A216)*MOVIMIENTOS!$E$5:$E$1005))</f>
        <v/>
      </c>
      <c r="F216" s="63" t="str">
        <f>IF($A216="","",SUMPRODUCT((MOVIMIENTOS!$B$5:$B$1005="SALDO INICIAL")*(MOVIMIENTOS!$C$5:$C$1005="Chancho")*(MOVIMIENTOS!$D$5:$D$1005="sacos")*(MOVIMIENTOS!$A$5:$A$1005&lt;&gt;"")*(MOVIMIENTOS!$A$5:$A$1005&lt;=$A216)*MOVIMIENTOS!$E$5:$E$1005)+SUMPRODUCT((MOVIMIENTOS!$B$5:$B$1005="PROCESO")*(MOVIMIENTOS!$C$5:$C$1005="Chancho")*(MOVIMIENTOS!$D$5:$D$1005="sacos")*(MOVIMIENTOS!$A$5:$A$1005&lt;&gt;"")*(MOVIMIENTOS!$A$5:$A$1005&lt;=$A216)*MOVIMIENTOS!$E$5:$E$1005)-SUMPRODUCT((MOVIMIENTOS!$B$5:$B$1005="VENTA CHANCHO")*(MOVIMIENTOS!$C$5:$C$1005="Chancho")*(MOVIMIENTOS!$D$5:$D$1005="sacos")*(MOVIMIENTOS!$A$5:$A$1005&lt;&gt;"")*(MOVIMIENTOS!$A$5:$A$1005&lt;=$A216)*MOVIMIENTOS!$E$5:$E$1005)-SUMPRODUCT((MOVIMIENTOS!$B$5:$B$1005="REGALO")*(MOVIMIENTOS!$C$5:$C$1005="Chancho")*(MOVIMIENTOS!$D$5:$D$1005="sacos")*(MOVIMIENTOS!$A$5:$A$1005&lt;&gt;"")*(MOVIMIENTOS!$A$5:$A$1005&lt;=$A216)*MOVIMIENTOS!$E$5:$E$1005)-SUMPRODUCT((MOVIMIENTOS!$B$5:$B$1005="VENTA")*(MOVIMIENTOS!$C$5:$C$1005="Chancho")*(MOVIMIENTOS!$D$5:$D$1005="sacos")*(MOVIMIENTOS!$A$5:$A$1005&lt;&gt;"")*(MOVIMIENTOS!$A$5:$A$1005&lt;=$A216)*MOVIMIENTOS!$E$5:$E$1005)+SUMPRODUCT((MOVIMIENTOS!$B$5:$B$1005="AJUSTE")*(MOVIMIENTOS!$C$5:$C$1005="Chancho")*(MOVIMIENTOS!$D$5:$D$1005="sacos")*(MOVIMIENTOS!$A$5:$A$1005&lt;&gt;"")*(MOVIMIENTOS!$A$5:$A$1005&lt;=$A216)*MOVIMIENTOS!$E$5:$E$1005))</f>
        <v/>
      </c>
      <c r="G216" s="95" t="str">
        <f t="shared" si="7"/>
        <v/>
      </c>
      <c r="H216" s="63" t="str">
        <f>IF($A216="","",SUMPRODUCT((((MOVIMIENTOS!$B$5:$B$1005="SALDO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216)*MOVIMIENTOS!$J$5:$J$1005))</f>
        <v/>
      </c>
      <c r="I216" s="63"/>
      <c r="J216" s="63" t="str">
        <f>IF(AND(MOVIMIENTOS!$A216&lt;&gt;"",COUNTIF(MOVIMIENTOS!$A$5:$A215,MOVIMIENTOS!$A216)=0),COUNT(J$4:J215)+1,"")</f>
        <v/>
      </c>
      <c r="K216" s="66">
        <f>MOVIMIENTOS!$A216</f>
        <v>46233</v>
      </c>
      <c r="L216" s="63"/>
      <c r="M216" s="63"/>
      <c r="N216" s="63"/>
    </row>
    <row r="217" spans="1:14" ht="15" customHeight="1" x14ac:dyDescent="0.2">
      <c r="A217" s="63" t="str">
        <f t="shared" si="6"/>
        <v/>
      </c>
      <c r="B217" s="63" t="str">
        <f>IF($A217="","",SUMPRODUCT((MOVIMIENTOS!$B$5:$B$1005="SALDO INICIAL")*(MOVIMIENTOS!$C$5:$C$1005="A")*(MOVIMIENTOS!$D$5:$D$1005="jabas")*(MOVIMIENTOS!$A$5:$A$1005&lt;&gt;"")*(MOVIMIENTOS!$A$5:$A$1005&lt;=$A217)*MOVIMIENTOS!$E$5:$E$1005)+SUMPRODUCT((MOVIMIENTOS!$B$5:$B$1005="PROCESO")*(MOVIMIENTOS!$C$5:$C$1005="A")*(MOVIMIENTOS!$D$5:$D$1005="jabas")*(MOVIMIENTOS!$A$5:$A$1005&lt;&gt;"")*(MOVIMIENTOS!$A$5:$A$1005&lt;=$A217)*MOVIMIENTOS!$E$5:$E$1005)-SUMPRODUCT((MOVIMIENTOS!$B$5:$B$1005="ENVÍO A SUPESA")*(MOVIMIENTOS!$C$5:$C$1005="A")*(MOVIMIENTOS!$D$5:$D$1005="jabas")*(MOVIMIENTOS!$A$5:$A$1005&lt;&gt;"")*(MOVIMIENTOS!$A$5:$A$1005&lt;=$A217)*MOVIMIENTOS!$E$5:$E$1005)+SUMPRODUCT((MOVIMIENTOS!$B$5:$B$1005="DEVOLUCIÓN")*(MOVIMIENTOS!$C$5:$C$1005="A")*(MOVIMIENTOS!$D$5:$D$1005="jabas")*(MOVIMIENTOS!$A$5:$A$1005&lt;&gt;"")*(MOVIMIENTOS!$A$5:$A$1005&lt;=$A217)*MOVIMIENTOS!$E$5:$E$1005)-SUMPRODUCT((MOVIMIENTOS!$B$5:$B$1005="TRASIEGO")*(MOVIMIENTOS!$C$5:$C$1005="A")*(MOVIMIENTOS!$D$5:$D$1005="jabas")*(MOVIMIENTOS!$A$5:$A$1005&lt;&gt;"")*(MOVIMIENTOS!$A$5:$A$1005&lt;=$A217)*MOVIMIENTOS!$E$5:$E$1005)-SUMPRODUCT((MOVIMIENTOS!$B$5:$B$1005="REGALO")*(MOVIMIENTOS!$C$5:$C$1005="A")*(MOVIMIENTOS!$D$5:$D$1005="jabas")*(MOVIMIENTOS!$A$5:$A$1005&lt;&gt;"")*(MOVIMIENTOS!$A$5:$A$1005&lt;=$A217)*MOVIMIENTOS!$E$5:$E$1005)-SUMPRODUCT((MOVIMIENTOS!$B$5:$B$1005="VENTA")*(MOVIMIENTOS!$C$5:$C$1005="A")*(MOVIMIENTOS!$D$5:$D$1005="jabas")*(MOVIMIENTOS!$A$5:$A$1005&lt;&gt;"")*(MOVIMIENTOS!$A$5:$A$1005&lt;=$A217)*MOVIMIENTOS!$E$5:$E$1005)+SUMPRODUCT((MOVIMIENTOS!$B$5:$B$1005="AJUSTE")*(MOVIMIENTOS!$C$5:$C$1005="A")*(MOVIMIENTOS!$D$5:$D$1005="jabas")*(MOVIMIENTOS!$A$5:$A$1005&lt;&gt;"")*(MOVIMIENTOS!$A$5:$A$1005&lt;=$A217)*MOVIMIENTOS!$E$5:$E$1005))</f>
        <v/>
      </c>
      <c r="C217" s="63" t="str">
        <f>IF($A217="","",SUMPRODUCT((MOVIMIENTOS!$B$5:$B$1005="SALDO INICIAL")*(MOVIMIENTOS!$C$5:$C$1005="P")*(MOVIMIENTOS!$D$5:$D$1005="jabas")*(MOVIMIENTOS!$A$5:$A$1005&lt;&gt;"")*(MOVIMIENTOS!$A$5:$A$1005&lt;=$A217)*MOVIMIENTOS!$E$5:$E$1005)+SUMPRODUCT((MOVIMIENTOS!$B$5:$B$1005="PROCESO")*(MOVIMIENTOS!$C$5:$C$1005="P")*(MOVIMIENTOS!$D$5:$D$1005="jabas")*(MOVIMIENTOS!$A$5:$A$1005&lt;&gt;"")*(MOVIMIENTOS!$A$5:$A$1005&lt;=$A217)*MOVIMIENTOS!$E$5:$E$1005)-SUMPRODUCT((MOVIMIENTOS!$B$5:$B$1005="ENVÍO A SUPESA")*(MOVIMIENTOS!$C$5:$C$1005="P")*(MOVIMIENTOS!$D$5:$D$1005="jabas")*(MOVIMIENTOS!$A$5:$A$1005&lt;&gt;"")*(MOVIMIENTOS!$A$5:$A$1005&lt;=$A217)*MOVIMIENTOS!$E$5:$E$1005)+SUMPRODUCT((MOVIMIENTOS!$B$5:$B$1005="DEVOLUCIÓN")*(MOVIMIENTOS!$C$5:$C$1005="P")*(MOVIMIENTOS!$D$5:$D$1005="jabas")*(MOVIMIENTOS!$A$5:$A$1005&lt;&gt;"")*(MOVIMIENTOS!$A$5:$A$1005&lt;=$A217)*MOVIMIENTOS!$E$5:$E$1005)-SUMPRODUCT((MOVIMIENTOS!$B$5:$B$1005="TRASIEGO")*(MOVIMIENTOS!$C$5:$C$1005="P")*(MOVIMIENTOS!$D$5:$D$1005="jabas")*(MOVIMIENTOS!$A$5:$A$1005&lt;&gt;"")*(MOVIMIENTOS!$A$5:$A$1005&lt;=$A217)*MOVIMIENTOS!$E$5:$E$1005)-SUMPRODUCT((MOVIMIENTOS!$B$5:$B$1005="REGALO")*(MOVIMIENTOS!$C$5:$C$1005="P")*(MOVIMIENTOS!$D$5:$D$1005="jabas")*(MOVIMIENTOS!$A$5:$A$1005&lt;&gt;"")*(MOVIMIENTOS!$A$5:$A$1005&lt;=$A217)*MOVIMIENTOS!$E$5:$E$1005)-SUMPRODUCT((MOVIMIENTOS!$B$5:$B$1005="VENTA")*(MOVIMIENTOS!$C$5:$C$1005="P")*(MOVIMIENTOS!$D$5:$D$1005="jabas")*(MOVIMIENTOS!$A$5:$A$1005&lt;&gt;"")*(MOVIMIENTOS!$A$5:$A$1005&lt;=$A217)*MOVIMIENTOS!$E$5:$E$1005)+SUMPRODUCT((MOVIMIENTOS!$B$5:$B$1005="AJUSTE")*(MOVIMIENTOS!$C$5:$C$1005="P")*(MOVIMIENTOS!$D$5:$D$1005="jabas")*(MOVIMIENTOS!$A$5:$A$1005&lt;&gt;"")*(MOVIMIENTOS!$A$5:$A$1005&lt;=$A217)*MOVIMIENTOS!$E$5:$E$1005))</f>
        <v/>
      </c>
      <c r="D217" s="63" t="str">
        <f>IF($A217="","",SUMPRODUCT((MOVIMIENTOS!$B$5:$B$1005="SALDO INICIAL")*(MOVIMIENTOS!$C$5:$C$1005="C")*(MOVIMIENTOS!$D$5:$D$1005="jabas")*(MOVIMIENTOS!$A$5:$A$1005&lt;&gt;"")*(MOVIMIENTOS!$A$5:$A$1005&lt;=$A217)*MOVIMIENTOS!$E$5:$E$1005)+SUMPRODUCT((MOVIMIENTOS!$B$5:$B$1005="PROCESO")*(MOVIMIENTOS!$C$5:$C$1005="C")*(MOVIMIENTOS!$D$5:$D$1005="jabas")*(MOVIMIENTOS!$A$5:$A$1005&lt;&gt;"")*(MOVIMIENTOS!$A$5:$A$1005&lt;=$A217)*MOVIMIENTOS!$E$5:$E$1005)-SUMPRODUCT((MOVIMIENTOS!$B$5:$B$1005="ENVÍO A SUPESA")*(MOVIMIENTOS!$C$5:$C$1005="C")*(MOVIMIENTOS!$D$5:$D$1005="jabas")*(MOVIMIENTOS!$A$5:$A$1005&lt;&gt;"")*(MOVIMIENTOS!$A$5:$A$1005&lt;=$A217)*MOVIMIENTOS!$E$5:$E$1005)+SUMPRODUCT((MOVIMIENTOS!$B$5:$B$1005="DEVOLUCIÓN")*(MOVIMIENTOS!$C$5:$C$1005="C")*(MOVIMIENTOS!$D$5:$D$1005="jabas")*(MOVIMIENTOS!$A$5:$A$1005&lt;&gt;"")*(MOVIMIENTOS!$A$5:$A$1005&lt;=$A217)*MOVIMIENTOS!$E$5:$E$1005)-SUMPRODUCT((MOVIMIENTOS!$B$5:$B$1005="TRASIEGO")*(MOVIMIENTOS!$C$5:$C$1005="C")*(MOVIMIENTOS!$D$5:$D$1005="jabas")*(MOVIMIENTOS!$A$5:$A$1005&lt;&gt;"")*(MOVIMIENTOS!$A$5:$A$1005&lt;=$A217)*MOVIMIENTOS!$E$5:$E$1005)-SUMPRODUCT((MOVIMIENTOS!$B$5:$B$1005="REGALO")*(MOVIMIENTOS!$C$5:$C$1005="C")*(MOVIMIENTOS!$D$5:$D$1005="jabas")*(MOVIMIENTOS!$A$5:$A$1005&lt;&gt;"")*(MOVIMIENTOS!$A$5:$A$1005&lt;=$A217)*MOVIMIENTOS!$E$5:$E$1005)-SUMPRODUCT((MOVIMIENTOS!$B$5:$B$1005="VENTA")*(MOVIMIENTOS!$C$5:$C$1005="C")*(MOVIMIENTOS!$D$5:$D$1005="jabas")*(MOVIMIENTOS!$A$5:$A$1005&lt;&gt;"")*(MOVIMIENTOS!$A$5:$A$1005&lt;=$A217)*MOVIMIENTOS!$E$5:$E$1005)+SUMPRODUCT((MOVIMIENTOS!$B$5:$B$1005="AJUSTE")*(MOVIMIENTOS!$C$5:$C$1005="C")*(MOVIMIENTOS!$D$5:$D$1005="jabas")*(MOVIMIENTOS!$A$5:$A$1005&lt;&gt;"")*(MOVIMIENTOS!$A$5:$A$1005&lt;=$A217)*MOVIMIENTOS!$E$5:$E$1005))</f>
        <v/>
      </c>
      <c r="E217" s="63" t="str">
        <f>IF($A217="","",SUMPRODUCT((MOVIMIENTOS!$B$5:$B$1005="SALDO INICIAL")*(MOVIMIENTOS!$C$5:$C$1005="M")*(MOVIMIENTOS!$D$5:$D$1005="jabas")*(MOVIMIENTOS!$A$5:$A$1005&lt;&gt;"")*(MOVIMIENTOS!$A$5:$A$1005&lt;=$A217)*MOVIMIENTOS!$E$5:$E$1005)+SUMPRODUCT((MOVIMIENTOS!$B$5:$B$1005="PROCESO")*(MOVIMIENTOS!$C$5:$C$1005="M")*(MOVIMIENTOS!$D$5:$D$1005="jabas")*(MOVIMIENTOS!$A$5:$A$1005&lt;&gt;"")*(MOVIMIENTOS!$A$5:$A$1005&lt;=$A217)*MOVIMIENTOS!$E$5:$E$1005)-SUMPRODUCT((MOVIMIENTOS!$B$5:$B$1005="ENVÍO A SUPESA")*(MOVIMIENTOS!$C$5:$C$1005="M")*(MOVIMIENTOS!$D$5:$D$1005="jabas")*(MOVIMIENTOS!$A$5:$A$1005&lt;&gt;"")*(MOVIMIENTOS!$A$5:$A$1005&lt;=$A217)*MOVIMIENTOS!$E$5:$E$1005)+SUMPRODUCT((MOVIMIENTOS!$B$5:$B$1005="DEVOLUCIÓN")*(MOVIMIENTOS!$C$5:$C$1005="M")*(MOVIMIENTOS!$D$5:$D$1005="jabas")*(MOVIMIENTOS!$A$5:$A$1005&lt;&gt;"")*(MOVIMIENTOS!$A$5:$A$1005&lt;=$A217)*MOVIMIENTOS!$E$5:$E$1005)-SUMPRODUCT((MOVIMIENTOS!$B$5:$B$1005="TRASIEGO")*(MOVIMIENTOS!$C$5:$C$1005="M")*(MOVIMIENTOS!$D$5:$D$1005="jabas")*(MOVIMIENTOS!$A$5:$A$1005&lt;&gt;"")*(MOVIMIENTOS!$A$5:$A$1005&lt;=$A217)*MOVIMIENTOS!$E$5:$E$1005)-SUMPRODUCT((MOVIMIENTOS!$B$5:$B$1005="REGALO")*(MOVIMIENTOS!$C$5:$C$1005="M")*(MOVIMIENTOS!$D$5:$D$1005="jabas")*(MOVIMIENTOS!$A$5:$A$1005&lt;&gt;"")*(MOVIMIENTOS!$A$5:$A$1005&lt;=$A217)*MOVIMIENTOS!$E$5:$E$1005)-SUMPRODUCT((MOVIMIENTOS!$B$5:$B$1005="VENTA")*(MOVIMIENTOS!$C$5:$C$1005="M")*(MOVIMIENTOS!$D$5:$D$1005="jabas")*(MOVIMIENTOS!$A$5:$A$1005&lt;&gt;"")*(MOVIMIENTOS!$A$5:$A$1005&lt;=$A217)*MOVIMIENTOS!$E$5:$E$1005)+SUMPRODUCT((MOVIMIENTOS!$B$5:$B$1005="AJUSTE")*(MOVIMIENTOS!$C$5:$C$1005="M")*(MOVIMIENTOS!$D$5:$D$1005="jabas")*(MOVIMIENTOS!$A$5:$A$1005&lt;&gt;"")*(MOVIMIENTOS!$A$5:$A$1005&lt;=$A217)*MOVIMIENTOS!$E$5:$E$1005))</f>
        <v/>
      </c>
      <c r="F217" s="63" t="str">
        <f>IF($A217="","",SUMPRODUCT((MOVIMIENTOS!$B$5:$B$1005="SALDO INICIAL")*(MOVIMIENTOS!$C$5:$C$1005="Chancho")*(MOVIMIENTOS!$D$5:$D$1005="sacos")*(MOVIMIENTOS!$A$5:$A$1005&lt;&gt;"")*(MOVIMIENTOS!$A$5:$A$1005&lt;=$A217)*MOVIMIENTOS!$E$5:$E$1005)+SUMPRODUCT((MOVIMIENTOS!$B$5:$B$1005="PROCESO")*(MOVIMIENTOS!$C$5:$C$1005="Chancho")*(MOVIMIENTOS!$D$5:$D$1005="sacos")*(MOVIMIENTOS!$A$5:$A$1005&lt;&gt;"")*(MOVIMIENTOS!$A$5:$A$1005&lt;=$A217)*MOVIMIENTOS!$E$5:$E$1005)-SUMPRODUCT((MOVIMIENTOS!$B$5:$B$1005="VENTA CHANCHO")*(MOVIMIENTOS!$C$5:$C$1005="Chancho")*(MOVIMIENTOS!$D$5:$D$1005="sacos")*(MOVIMIENTOS!$A$5:$A$1005&lt;&gt;"")*(MOVIMIENTOS!$A$5:$A$1005&lt;=$A217)*MOVIMIENTOS!$E$5:$E$1005)-SUMPRODUCT((MOVIMIENTOS!$B$5:$B$1005="REGALO")*(MOVIMIENTOS!$C$5:$C$1005="Chancho")*(MOVIMIENTOS!$D$5:$D$1005="sacos")*(MOVIMIENTOS!$A$5:$A$1005&lt;&gt;"")*(MOVIMIENTOS!$A$5:$A$1005&lt;=$A217)*MOVIMIENTOS!$E$5:$E$1005)-SUMPRODUCT((MOVIMIENTOS!$B$5:$B$1005="VENTA")*(MOVIMIENTOS!$C$5:$C$1005="Chancho")*(MOVIMIENTOS!$D$5:$D$1005="sacos")*(MOVIMIENTOS!$A$5:$A$1005&lt;&gt;"")*(MOVIMIENTOS!$A$5:$A$1005&lt;=$A217)*MOVIMIENTOS!$E$5:$E$1005)+SUMPRODUCT((MOVIMIENTOS!$B$5:$B$1005="AJUSTE")*(MOVIMIENTOS!$C$5:$C$1005="Chancho")*(MOVIMIENTOS!$D$5:$D$1005="sacos")*(MOVIMIENTOS!$A$5:$A$1005&lt;&gt;"")*(MOVIMIENTOS!$A$5:$A$1005&lt;=$A217)*MOVIMIENTOS!$E$5:$E$1005))</f>
        <v/>
      </c>
      <c r="G217" s="95" t="str">
        <f t="shared" si="7"/>
        <v/>
      </c>
      <c r="H217" s="63" t="str">
        <f>IF($A217="","",SUMPRODUCT((((MOVIMIENTOS!$B$5:$B$1005="SALDO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217)*MOVIMIENTOS!$J$5:$J$1005))</f>
        <v/>
      </c>
      <c r="I217" s="63"/>
      <c r="J217" s="63" t="str">
        <f>IF(AND(MOVIMIENTOS!$A217&lt;&gt;"",COUNTIF(MOVIMIENTOS!$A$5:$A216,MOVIMIENTOS!$A217)=0),COUNT(J$4:J216)+1,"")</f>
        <v/>
      </c>
      <c r="K217" s="66">
        <f>MOVIMIENTOS!$A217</f>
        <v>46233</v>
      </c>
      <c r="L217" s="63"/>
      <c r="M217" s="63"/>
      <c r="N217" s="63"/>
    </row>
    <row r="218" spans="1:14" ht="15" customHeight="1" x14ac:dyDescent="0.2">
      <c r="A218" s="63" t="str">
        <f t="shared" si="6"/>
        <v/>
      </c>
      <c r="B218" s="63" t="str">
        <f>IF($A218="","",SUMPRODUCT((MOVIMIENTOS!$B$5:$B$1005="SALDO INICIAL")*(MOVIMIENTOS!$C$5:$C$1005="A")*(MOVIMIENTOS!$D$5:$D$1005="jabas")*(MOVIMIENTOS!$A$5:$A$1005&lt;&gt;"")*(MOVIMIENTOS!$A$5:$A$1005&lt;=$A218)*MOVIMIENTOS!$E$5:$E$1005)+SUMPRODUCT((MOVIMIENTOS!$B$5:$B$1005="PROCESO")*(MOVIMIENTOS!$C$5:$C$1005="A")*(MOVIMIENTOS!$D$5:$D$1005="jabas")*(MOVIMIENTOS!$A$5:$A$1005&lt;&gt;"")*(MOVIMIENTOS!$A$5:$A$1005&lt;=$A218)*MOVIMIENTOS!$E$5:$E$1005)-SUMPRODUCT((MOVIMIENTOS!$B$5:$B$1005="ENVÍO A SUPESA")*(MOVIMIENTOS!$C$5:$C$1005="A")*(MOVIMIENTOS!$D$5:$D$1005="jabas")*(MOVIMIENTOS!$A$5:$A$1005&lt;&gt;"")*(MOVIMIENTOS!$A$5:$A$1005&lt;=$A218)*MOVIMIENTOS!$E$5:$E$1005)+SUMPRODUCT((MOVIMIENTOS!$B$5:$B$1005="DEVOLUCIÓN")*(MOVIMIENTOS!$C$5:$C$1005="A")*(MOVIMIENTOS!$D$5:$D$1005="jabas")*(MOVIMIENTOS!$A$5:$A$1005&lt;&gt;"")*(MOVIMIENTOS!$A$5:$A$1005&lt;=$A218)*MOVIMIENTOS!$E$5:$E$1005)-SUMPRODUCT((MOVIMIENTOS!$B$5:$B$1005="TRASIEGO")*(MOVIMIENTOS!$C$5:$C$1005="A")*(MOVIMIENTOS!$D$5:$D$1005="jabas")*(MOVIMIENTOS!$A$5:$A$1005&lt;&gt;"")*(MOVIMIENTOS!$A$5:$A$1005&lt;=$A218)*MOVIMIENTOS!$E$5:$E$1005)-SUMPRODUCT((MOVIMIENTOS!$B$5:$B$1005="REGALO")*(MOVIMIENTOS!$C$5:$C$1005="A")*(MOVIMIENTOS!$D$5:$D$1005="jabas")*(MOVIMIENTOS!$A$5:$A$1005&lt;&gt;"")*(MOVIMIENTOS!$A$5:$A$1005&lt;=$A218)*MOVIMIENTOS!$E$5:$E$1005)-SUMPRODUCT((MOVIMIENTOS!$B$5:$B$1005="VENTA")*(MOVIMIENTOS!$C$5:$C$1005="A")*(MOVIMIENTOS!$D$5:$D$1005="jabas")*(MOVIMIENTOS!$A$5:$A$1005&lt;&gt;"")*(MOVIMIENTOS!$A$5:$A$1005&lt;=$A218)*MOVIMIENTOS!$E$5:$E$1005)+SUMPRODUCT((MOVIMIENTOS!$B$5:$B$1005="AJUSTE")*(MOVIMIENTOS!$C$5:$C$1005="A")*(MOVIMIENTOS!$D$5:$D$1005="jabas")*(MOVIMIENTOS!$A$5:$A$1005&lt;&gt;"")*(MOVIMIENTOS!$A$5:$A$1005&lt;=$A218)*MOVIMIENTOS!$E$5:$E$1005))</f>
        <v/>
      </c>
      <c r="C218" s="63" t="str">
        <f>IF($A218="","",SUMPRODUCT((MOVIMIENTOS!$B$5:$B$1005="SALDO INICIAL")*(MOVIMIENTOS!$C$5:$C$1005="P")*(MOVIMIENTOS!$D$5:$D$1005="jabas")*(MOVIMIENTOS!$A$5:$A$1005&lt;&gt;"")*(MOVIMIENTOS!$A$5:$A$1005&lt;=$A218)*MOVIMIENTOS!$E$5:$E$1005)+SUMPRODUCT((MOVIMIENTOS!$B$5:$B$1005="PROCESO")*(MOVIMIENTOS!$C$5:$C$1005="P")*(MOVIMIENTOS!$D$5:$D$1005="jabas")*(MOVIMIENTOS!$A$5:$A$1005&lt;&gt;"")*(MOVIMIENTOS!$A$5:$A$1005&lt;=$A218)*MOVIMIENTOS!$E$5:$E$1005)-SUMPRODUCT((MOVIMIENTOS!$B$5:$B$1005="ENVÍO A SUPESA")*(MOVIMIENTOS!$C$5:$C$1005="P")*(MOVIMIENTOS!$D$5:$D$1005="jabas")*(MOVIMIENTOS!$A$5:$A$1005&lt;&gt;"")*(MOVIMIENTOS!$A$5:$A$1005&lt;=$A218)*MOVIMIENTOS!$E$5:$E$1005)+SUMPRODUCT((MOVIMIENTOS!$B$5:$B$1005="DEVOLUCIÓN")*(MOVIMIENTOS!$C$5:$C$1005="P")*(MOVIMIENTOS!$D$5:$D$1005="jabas")*(MOVIMIENTOS!$A$5:$A$1005&lt;&gt;"")*(MOVIMIENTOS!$A$5:$A$1005&lt;=$A218)*MOVIMIENTOS!$E$5:$E$1005)-SUMPRODUCT((MOVIMIENTOS!$B$5:$B$1005="TRASIEGO")*(MOVIMIENTOS!$C$5:$C$1005="P")*(MOVIMIENTOS!$D$5:$D$1005="jabas")*(MOVIMIENTOS!$A$5:$A$1005&lt;&gt;"")*(MOVIMIENTOS!$A$5:$A$1005&lt;=$A218)*MOVIMIENTOS!$E$5:$E$1005)-SUMPRODUCT((MOVIMIENTOS!$B$5:$B$1005="REGALO")*(MOVIMIENTOS!$C$5:$C$1005="P")*(MOVIMIENTOS!$D$5:$D$1005="jabas")*(MOVIMIENTOS!$A$5:$A$1005&lt;&gt;"")*(MOVIMIENTOS!$A$5:$A$1005&lt;=$A218)*MOVIMIENTOS!$E$5:$E$1005)-SUMPRODUCT((MOVIMIENTOS!$B$5:$B$1005="VENTA")*(MOVIMIENTOS!$C$5:$C$1005="P")*(MOVIMIENTOS!$D$5:$D$1005="jabas")*(MOVIMIENTOS!$A$5:$A$1005&lt;&gt;"")*(MOVIMIENTOS!$A$5:$A$1005&lt;=$A218)*MOVIMIENTOS!$E$5:$E$1005)+SUMPRODUCT((MOVIMIENTOS!$B$5:$B$1005="AJUSTE")*(MOVIMIENTOS!$C$5:$C$1005="P")*(MOVIMIENTOS!$D$5:$D$1005="jabas")*(MOVIMIENTOS!$A$5:$A$1005&lt;&gt;"")*(MOVIMIENTOS!$A$5:$A$1005&lt;=$A218)*MOVIMIENTOS!$E$5:$E$1005))</f>
        <v/>
      </c>
      <c r="D218" s="63" t="str">
        <f>IF($A218="","",SUMPRODUCT((MOVIMIENTOS!$B$5:$B$1005="SALDO INICIAL")*(MOVIMIENTOS!$C$5:$C$1005="C")*(MOVIMIENTOS!$D$5:$D$1005="jabas")*(MOVIMIENTOS!$A$5:$A$1005&lt;&gt;"")*(MOVIMIENTOS!$A$5:$A$1005&lt;=$A218)*MOVIMIENTOS!$E$5:$E$1005)+SUMPRODUCT((MOVIMIENTOS!$B$5:$B$1005="PROCESO")*(MOVIMIENTOS!$C$5:$C$1005="C")*(MOVIMIENTOS!$D$5:$D$1005="jabas")*(MOVIMIENTOS!$A$5:$A$1005&lt;&gt;"")*(MOVIMIENTOS!$A$5:$A$1005&lt;=$A218)*MOVIMIENTOS!$E$5:$E$1005)-SUMPRODUCT((MOVIMIENTOS!$B$5:$B$1005="ENVÍO A SUPESA")*(MOVIMIENTOS!$C$5:$C$1005="C")*(MOVIMIENTOS!$D$5:$D$1005="jabas")*(MOVIMIENTOS!$A$5:$A$1005&lt;&gt;"")*(MOVIMIENTOS!$A$5:$A$1005&lt;=$A218)*MOVIMIENTOS!$E$5:$E$1005)+SUMPRODUCT((MOVIMIENTOS!$B$5:$B$1005="DEVOLUCIÓN")*(MOVIMIENTOS!$C$5:$C$1005="C")*(MOVIMIENTOS!$D$5:$D$1005="jabas")*(MOVIMIENTOS!$A$5:$A$1005&lt;&gt;"")*(MOVIMIENTOS!$A$5:$A$1005&lt;=$A218)*MOVIMIENTOS!$E$5:$E$1005)-SUMPRODUCT((MOVIMIENTOS!$B$5:$B$1005="TRASIEGO")*(MOVIMIENTOS!$C$5:$C$1005="C")*(MOVIMIENTOS!$D$5:$D$1005="jabas")*(MOVIMIENTOS!$A$5:$A$1005&lt;&gt;"")*(MOVIMIENTOS!$A$5:$A$1005&lt;=$A218)*MOVIMIENTOS!$E$5:$E$1005)-SUMPRODUCT((MOVIMIENTOS!$B$5:$B$1005="REGALO")*(MOVIMIENTOS!$C$5:$C$1005="C")*(MOVIMIENTOS!$D$5:$D$1005="jabas")*(MOVIMIENTOS!$A$5:$A$1005&lt;&gt;"")*(MOVIMIENTOS!$A$5:$A$1005&lt;=$A218)*MOVIMIENTOS!$E$5:$E$1005)-SUMPRODUCT((MOVIMIENTOS!$B$5:$B$1005="VENTA")*(MOVIMIENTOS!$C$5:$C$1005="C")*(MOVIMIENTOS!$D$5:$D$1005="jabas")*(MOVIMIENTOS!$A$5:$A$1005&lt;&gt;"")*(MOVIMIENTOS!$A$5:$A$1005&lt;=$A218)*MOVIMIENTOS!$E$5:$E$1005)+SUMPRODUCT((MOVIMIENTOS!$B$5:$B$1005="AJUSTE")*(MOVIMIENTOS!$C$5:$C$1005="C")*(MOVIMIENTOS!$D$5:$D$1005="jabas")*(MOVIMIENTOS!$A$5:$A$1005&lt;&gt;"")*(MOVIMIENTOS!$A$5:$A$1005&lt;=$A218)*MOVIMIENTOS!$E$5:$E$1005))</f>
        <v/>
      </c>
      <c r="E218" s="63" t="str">
        <f>IF($A218="","",SUMPRODUCT((MOVIMIENTOS!$B$5:$B$1005="SALDO INICIAL")*(MOVIMIENTOS!$C$5:$C$1005="M")*(MOVIMIENTOS!$D$5:$D$1005="jabas")*(MOVIMIENTOS!$A$5:$A$1005&lt;&gt;"")*(MOVIMIENTOS!$A$5:$A$1005&lt;=$A218)*MOVIMIENTOS!$E$5:$E$1005)+SUMPRODUCT((MOVIMIENTOS!$B$5:$B$1005="PROCESO")*(MOVIMIENTOS!$C$5:$C$1005="M")*(MOVIMIENTOS!$D$5:$D$1005="jabas")*(MOVIMIENTOS!$A$5:$A$1005&lt;&gt;"")*(MOVIMIENTOS!$A$5:$A$1005&lt;=$A218)*MOVIMIENTOS!$E$5:$E$1005)-SUMPRODUCT((MOVIMIENTOS!$B$5:$B$1005="ENVÍO A SUPESA")*(MOVIMIENTOS!$C$5:$C$1005="M")*(MOVIMIENTOS!$D$5:$D$1005="jabas")*(MOVIMIENTOS!$A$5:$A$1005&lt;&gt;"")*(MOVIMIENTOS!$A$5:$A$1005&lt;=$A218)*MOVIMIENTOS!$E$5:$E$1005)+SUMPRODUCT((MOVIMIENTOS!$B$5:$B$1005="DEVOLUCIÓN")*(MOVIMIENTOS!$C$5:$C$1005="M")*(MOVIMIENTOS!$D$5:$D$1005="jabas")*(MOVIMIENTOS!$A$5:$A$1005&lt;&gt;"")*(MOVIMIENTOS!$A$5:$A$1005&lt;=$A218)*MOVIMIENTOS!$E$5:$E$1005)-SUMPRODUCT((MOVIMIENTOS!$B$5:$B$1005="TRASIEGO")*(MOVIMIENTOS!$C$5:$C$1005="M")*(MOVIMIENTOS!$D$5:$D$1005="jabas")*(MOVIMIENTOS!$A$5:$A$1005&lt;&gt;"")*(MOVIMIENTOS!$A$5:$A$1005&lt;=$A218)*MOVIMIENTOS!$E$5:$E$1005)-SUMPRODUCT((MOVIMIENTOS!$B$5:$B$1005="REGALO")*(MOVIMIENTOS!$C$5:$C$1005="M")*(MOVIMIENTOS!$D$5:$D$1005="jabas")*(MOVIMIENTOS!$A$5:$A$1005&lt;&gt;"")*(MOVIMIENTOS!$A$5:$A$1005&lt;=$A218)*MOVIMIENTOS!$E$5:$E$1005)-SUMPRODUCT((MOVIMIENTOS!$B$5:$B$1005="VENTA")*(MOVIMIENTOS!$C$5:$C$1005="M")*(MOVIMIENTOS!$D$5:$D$1005="jabas")*(MOVIMIENTOS!$A$5:$A$1005&lt;&gt;"")*(MOVIMIENTOS!$A$5:$A$1005&lt;=$A218)*MOVIMIENTOS!$E$5:$E$1005)+SUMPRODUCT((MOVIMIENTOS!$B$5:$B$1005="AJUSTE")*(MOVIMIENTOS!$C$5:$C$1005="M")*(MOVIMIENTOS!$D$5:$D$1005="jabas")*(MOVIMIENTOS!$A$5:$A$1005&lt;&gt;"")*(MOVIMIENTOS!$A$5:$A$1005&lt;=$A218)*MOVIMIENTOS!$E$5:$E$1005))</f>
        <v/>
      </c>
      <c r="F218" s="63" t="str">
        <f>IF($A218="","",SUMPRODUCT((MOVIMIENTOS!$B$5:$B$1005="SALDO INICIAL")*(MOVIMIENTOS!$C$5:$C$1005="Chancho")*(MOVIMIENTOS!$D$5:$D$1005="sacos")*(MOVIMIENTOS!$A$5:$A$1005&lt;&gt;"")*(MOVIMIENTOS!$A$5:$A$1005&lt;=$A218)*MOVIMIENTOS!$E$5:$E$1005)+SUMPRODUCT((MOVIMIENTOS!$B$5:$B$1005="PROCESO")*(MOVIMIENTOS!$C$5:$C$1005="Chancho")*(MOVIMIENTOS!$D$5:$D$1005="sacos")*(MOVIMIENTOS!$A$5:$A$1005&lt;&gt;"")*(MOVIMIENTOS!$A$5:$A$1005&lt;=$A218)*MOVIMIENTOS!$E$5:$E$1005)-SUMPRODUCT((MOVIMIENTOS!$B$5:$B$1005="VENTA CHANCHO")*(MOVIMIENTOS!$C$5:$C$1005="Chancho")*(MOVIMIENTOS!$D$5:$D$1005="sacos")*(MOVIMIENTOS!$A$5:$A$1005&lt;&gt;"")*(MOVIMIENTOS!$A$5:$A$1005&lt;=$A218)*MOVIMIENTOS!$E$5:$E$1005)-SUMPRODUCT((MOVIMIENTOS!$B$5:$B$1005="REGALO")*(MOVIMIENTOS!$C$5:$C$1005="Chancho")*(MOVIMIENTOS!$D$5:$D$1005="sacos")*(MOVIMIENTOS!$A$5:$A$1005&lt;&gt;"")*(MOVIMIENTOS!$A$5:$A$1005&lt;=$A218)*MOVIMIENTOS!$E$5:$E$1005)-SUMPRODUCT((MOVIMIENTOS!$B$5:$B$1005="VENTA")*(MOVIMIENTOS!$C$5:$C$1005="Chancho")*(MOVIMIENTOS!$D$5:$D$1005="sacos")*(MOVIMIENTOS!$A$5:$A$1005&lt;&gt;"")*(MOVIMIENTOS!$A$5:$A$1005&lt;=$A218)*MOVIMIENTOS!$E$5:$E$1005)+SUMPRODUCT((MOVIMIENTOS!$B$5:$B$1005="AJUSTE")*(MOVIMIENTOS!$C$5:$C$1005="Chancho")*(MOVIMIENTOS!$D$5:$D$1005="sacos")*(MOVIMIENTOS!$A$5:$A$1005&lt;&gt;"")*(MOVIMIENTOS!$A$5:$A$1005&lt;=$A218)*MOVIMIENTOS!$E$5:$E$1005))</f>
        <v/>
      </c>
      <c r="G218" s="95" t="str">
        <f t="shared" si="7"/>
        <v/>
      </c>
      <c r="H218" s="63" t="str">
        <f>IF($A218="","",SUMPRODUCT((((MOVIMIENTOS!$B$5:$B$1005="SALDO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218)*MOVIMIENTOS!$J$5:$J$1005))</f>
        <v/>
      </c>
      <c r="I218" s="63"/>
      <c r="J218" s="63" t="str">
        <f>IF(AND(MOVIMIENTOS!$A218&lt;&gt;"",COUNTIF(MOVIMIENTOS!$A$5:$A217,MOVIMIENTOS!$A218)=0),COUNT(J$4:J217)+1,"")</f>
        <v/>
      </c>
      <c r="K218" s="66">
        <f>MOVIMIENTOS!$A218</f>
        <v>46233</v>
      </c>
      <c r="L218" s="63"/>
      <c r="M218" s="63"/>
      <c r="N218" s="63"/>
    </row>
    <row r="219" spans="1:14" ht="15" customHeight="1" x14ac:dyDescent="0.2">
      <c r="A219" s="63" t="str">
        <f t="shared" si="6"/>
        <v/>
      </c>
      <c r="B219" s="63" t="str">
        <f>IF($A219="","",SUMPRODUCT((MOVIMIENTOS!$B$5:$B$1005="SALDO INICIAL")*(MOVIMIENTOS!$C$5:$C$1005="A")*(MOVIMIENTOS!$D$5:$D$1005="jabas")*(MOVIMIENTOS!$A$5:$A$1005&lt;&gt;"")*(MOVIMIENTOS!$A$5:$A$1005&lt;=$A219)*MOVIMIENTOS!$E$5:$E$1005)+SUMPRODUCT((MOVIMIENTOS!$B$5:$B$1005="PROCESO")*(MOVIMIENTOS!$C$5:$C$1005="A")*(MOVIMIENTOS!$D$5:$D$1005="jabas")*(MOVIMIENTOS!$A$5:$A$1005&lt;&gt;"")*(MOVIMIENTOS!$A$5:$A$1005&lt;=$A219)*MOVIMIENTOS!$E$5:$E$1005)-SUMPRODUCT((MOVIMIENTOS!$B$5:$B$1005="ENVÍO A SUPESA")*(MOVIMIENTOS!$C$5:$C$1005="A")*(MOVIMIENTOS!$D$5:$D$1005="jabas")*(MOVIMIENTOS!$A$5:$A$1005&lt;&gt;"")*(MOVIMIENTOS!$A$5:$A$1005&lt;=$A219)*MOVIMIENTOS!$E$5:$E$1005)+SUMPRODUCT((MOVIMIENTOS!$B$5:$B$1005="DEVOLUCIÓN")*(MOVIMIENTOS!$C$5:$C$1005="A")*(MOVIMIENTOS!$D$5:$D$1005="jabas")*(MOVIMIENTOS!$A$5:$A$1005&lt;&gt;"")*(MOVIMIENTOS!$A$5:$A$1005&lt;=$A219)*MOVIMIENTOS!$E$5:$E$1005)-SUMPRODUCT((MOVIMIENTOS!$B$5:$B$1005="TRASIEGO")*(MOVIMIENTOS!$C$5:$C$1005="A")*(MOVIMIENTOS!$D$5:$D$1005="jabas")*(MOVIMIENTOS!$A$5:$A$1005&lt;&gt;"")*(MOVIMIENTOS!$A$5:$A$1005&lt;=$A219)*MOVIMIENTOS!$E$5:$E$1005)-SUMPRODUCT((MOVIMIENTOS!$B$5:$B$1005="REGALO")*(MOVIMIENTOS!$C$5:$C$1005="A")*(MOVIMIENTOS!$D$5:$D$1005="jabas")*(MOVIMIENTOS!$A$5:$A$1005&lt;&gt;"")*(MOVIMIENTOS!$A$5:$A$1005&lt;=$A219)*MOVIMIENTOS!$E$5:$E$1005)-SUMPRODUCT((MOVIMIENTOS!$B$5:$B$1005="VENTA")*(MOVIMIENTOS!$C$5:$C$1005="A")*(MOVIMIENTOS!$D$5:$D$1005="jabas")*(MOVIMIENTOS!$A$5:$A$1005&lt;&gt;"")*(MOVIMIENTOS!$A$5:$A$1005&lt;=$A219)*MOVIMIENTOS!$E$5:$E$1005)+SUMPRODUCT((MOVIMIENTOS!$B$5:$B$1005="AJUSTE")*(MOVIMIENTOS!$C$5:$C$1005="A")*(MOVIMIENTOS!$D$5:$D$1005="jabas")*(MOVIMIENTOS!$A$5:$A$1005&lt;&gt;"")*(MOVIMIENTOS!$A$5:$A$1005&lt;=$A219)*MOVIMIENTOS!$E$5:$E$1005))</f>
        <v/>
      </c>
      <c r="C219" s="63" t="str">
        <f>IF($A219="","",SUMPRODUCT((MOVIMIENTOS!$B$5:$B$1005="SALDO INICIAL")*(MOVIMIENTOS!$C$5:$C$1005="P")*(MOVIMIENTOS!$D$5:$D$1005="jabas")*(MOVIMIENTOS!$A$5:$A$1005&lt;&gt;"")*(MOVIMIENTOS!$A$5:$A$1005&lt;=$A219)*MOVIMIENTOS!$E$5:$E$1005)+SUMPRODUCT((MOVIMIENTOS!$B$5:$B$1005="PROCESO")*(MOVIMIENTOS!$C$5:$C$1005="P")*(MOVIMIENTOS!$D$5:$D$1005="jabas")*(MOVIMIENTOS!$A$5:$A$1005&lt;&gt;"")*(MOVIMIENTOS!$A$5:$A$1005&lt;=$A219)*MOVIMIENTOS!$E$5:$E$1005)-SUMPRODUCT((MOVIMIENTOS!$B$5:$B$1005="ENVÍO A SUPESA")*(MOVIMIENTOS!$C$5:$C$1005="P")*(MOVIMIENTOS!$D$5:$D$1005="jabas")*(MOVIMIENTOS!$A$5:$A$1005&lt;&gt;"")*(MOVIMIENTOS!$A$5:$A$1005&lt;=$A219)*MOVIMIENTOS!$E$5:$E$1005)+SUMPRODUCT((MOVIMIENTOS!$B$5:$B$1005="DEVOLUCIÓN")*(MOVIMIENTOS!$C$5:$C$1005="P")*(MOVIMIENTOS!$D$5:$D$1005="jabas")*(MOVIMIENTOS!$A$5:$A$1005&lt;&gt;"")*(MOVIMIENTOS!$A$5:$A$1005&lt;=$A219)*MOVIMIENTOS!$E$5:$E$1005)-SUMPRODUCT((MOVIMIENTOS!$B$5:$B$1005="TRASIEGO")*(MOVIMIENTOS!$C$5:$C$1005="P")*(MOVIMIENTOS!$D$5:$D$1005="jabas")*(MOVIMIENTOS!$A$5:$A$1005&lt;&gt;"")*(MOVIMIENTOS!$A$5:$A$1005&lt;=$A219)*MOVIMIENTOS!$E$5:$E$1005)-SUMPRODUCT((MOVIMIENTOS!$B$5:$B$1005="REGALO")*(MOVIMIENTOS!$C$5:$C$1005="P")*(MOVIMIENTOS!$D$5:$D$1005="jabas")*(MOVIMIENTOS!$A$5:$A$1005&lt;&gt;"")*(MOVIMIENTOS!$A$5:$A$1005&lt;=$A219)*MOVIMIENTOS!$E$5:$E$1005)-SUMPRODUCT((MOVIMIENTOS!$B$5:$B$1005="VENTA")*(MOVIMIENTOS!$C$5:$C$1005="P")*(MOVIMIENTOS!$D$5:$D$1005="jabas")*(MOVIMIENTOS!$A$5:$A$1005&lt;&gt;"")*(MOVIMIENTOS!$A$5:$A$1005&lt;=$A219)*MOVIMIENTOS!$E$5:$E$1005)+SUMPRODUCT((MOVIMIENTOS!$B$5:$B$1005="AJUSTE")*(MOVIMIENTOS!$C$5:$C$1005="P")*(MOVIMIENTOS!$D$5:$D$1005="jabas")*(MOVIMIENTOS!$A$5:$A$1005&lt;&gt;"")*(MOVIMIENTOS!$A$5:$A$1005&lt;=$A219)*MOVIMIENTOS!$E$5:$E$1005))</f>
        <v/>
      </c>
      <c r="D219" s="63" t="str">
        <f>IF($A219="","",SUMPRODUCT((MOVIMIENTOS!$B$5:$B$1005="SALDO INICIAL")*(MOVIMIENTOS!$C$5:$C$1005="C")*(MOVIMIENTOS!$D$5:$D$1005="jabas")*(MOVIMIENTOS!$A$5:$A$1005&lt;&gt;"")*(MOVIMIENTOS!$A$5:$A$1005&lt;=$A219)*MOVIMIENTOS!$E$5:$E$1005)+SUMPRODUCT((MOVIMIENTOS!$B$5:$B$1005="PROCESO")*(MOVIMIENTOS!$C$5:$C$1005="C")*(MOVIMIENTOS!$D$5:$D$1005="jabas")*(MOVIMIENTOS!$A$5:$A$1005&lt;&gt;"")*(MOVIMIENTOS!$A$5:$A$1005&lt;=$A219)*MOVIMIENTOS!$E$5:$E$1005)-SUMPRODUCT((MOVIMIENTOS!$B$5:$B$1005="ENVÍO A SUPESA")*(MOVIMIENTOS!$C$5:$C$1005="C")*(MOVIMIENTOS!$D$5:$D$1005="jabas")*(MOVIMIENTOS!$A$5:$A$1005&lt;&gt;"")*(MOVIMIENTOS!$A$5:$A$1005&lt;=$A219)*MOVIMIENTOS!$E$5:$E$1005)+SUMPRODUCT((MOVIMIENTOS!$B$5:$B$1005="DEVOLUCIÓN")*(MOVIMIENTOS!$C$5:$C$1005="C")*(MOVIMIENTOS!$D$5:$D$1005="jabas")*(MOVIMIENTOS!$A$5:$A$1005&lt;&gt;"")*(MOVIMIENTOS!$A$5:$A$1005&lt;=$A219)*MOVIMIENTOS!$E$5:$E$1005)-SUMPRODUCT((MOVIMIENTOS!$B$5:$B$1005="TRASIEGO")*(MOVIMIENTOS!$C$5:$C$1005="C")*(MOVIMIENTOS!$D$5:$D$1005="jabas")*(MOVIMIENTOS!$A$5:$A$1005&lt;&gt;"")*(MOVIMIENTOS!$A$5:$A$1005&lt;=$A219)*MOVIMIENTOS!$E$5:$E$1005)-SUMPRODUCT((MOVIMIENTOS!$B$5:$B$1005="REGALO")*(MOVIMIENTOS!$C$5:$C$1005="C")*(MOVIMIENTOS!$D$5:$D$1005="jabas")*(MOVIMIENTOS!$A$5:$A$1005&lt;&gt;"")*(MOVIMIENTOS!$A$5:$A$1005&lt;=$A219)*MOVIMIENTOS!$E$5:$E$1005)-SUMPRODUCT((MOVIMIENTOS!$B$5:$B$1005="VENTA")*(MOVIMIENTOS!$C$5:$C$1005="C")*(MOVIMIENTOS!$D$5:$D$1005="jabas")*(MOVIMIENTOS!$A$5:$A$1005&lt;&gt;"")*(MOVIMIENTOS!$A$5:$A$1005&lt;=$A219)*MOVIMIENTOS!$E$5:$E$1005)+SUMPRODUCT((MOVIMIENTOS!$B$5:$B$1005="AJUSTE")*(MOVIMIENTOS!$C$5:$C$1005="C")*(MOVIMIENTOS!$D$5:$D$1005="jabas")*(MOVIMIENTOS!$A$5:$A$1005&lt;&gt;"")*(MOVIMIENTOS!$A$5:$A$1005&lt;=$A219)*MOVIMIENTOS!$E$5:$E$1005))</f>
        <v/>
      </c>
      <c r="E219" s="63" t="str">
        <f>IF($A219="","",SUMPRODUCT((MOVIMIENTOS!$B$5:$B$1005="SALDO INICIAL")*(MOVIMIENTOS!$C$5:$C$1005="M")*(MOVIMIENTOS!$D$5:$D$1005="jabas")*(MOVIMIENTOS!$A$5:$A$1005&lt;&gt;"")*(MOVIMIENTOS!$A$5:$A$1005&lt;=$A219)*MOVIMIENTOS!$E$5:$E$1005)+SUMPRODUCT((MOVIMIENTOS!$B$5:$B$1005="PROCESO")*(MOVIMIENTOS!$C$5:$C$1005="M")*(MOVIMIENTOS!$D$5:$D$1005="jabas")*(MOVIMIENTOS!$A$5:$A$1005&lt;&gt;"")*(MOVIMIENTOS!$A$5:$A$1005&lt;=$A219)*MOVIMIENTOS!$E$5:$E$1005)-SUMPRODUCT((MOVIMIENTOS!$B$5:$B$1005="ENVÍO A SUPESA")*(MOVIMIENTOS!$C$5:$C$1005="M")*(MOVIMIENTOS!$D$5:$D$1005="jabas")*(MOVIMIENTOS!$A$5:$A$1005&lt;&gt;"")*(MOVIMIENTOS!$A$5:$A$1005&lt;=$A219)*MOVIMIENTOS!$E$5:$E$1005)+SUMPRODUCT((MOVIMIENTOS!$B$5:$B$1005="DEVOLUCIÓN")*(MOVIMIENTOS!$C$5:$C$1005="M")*(MOVIMIENTOS!$D$5:$D$1005="jabas")*(MOVIMIENTOS!$A$5:$A$1005&lt;&gt;"")*(MOVIMIENTOS!$A$5:$A$1005&lt;=$A219)*MOVIMIENTOS!$E$5:$E$1005)-SUMPRODUCT((MOVIMIENTOS!$B$5:$B$1005="TRASIEGO")*(MOVIMIENTOS!$C$5:$C$1005="M")*(MOVIMIENTOS!$D$5:$D$1005="jabas")*(MOVIMIENTOS!$A$5:$A$1005&lt;&gt;"")*(MOVIMIENTOS!$A$5:$A$1005&lt;=$A219)*MOVIMIENTOS!$E$5:$E$1005)-SUMPRODUCT((MOVIMIENTOS!$B$5:$B$1005="REGALO")*(MOVIMIENTOS!$C$5:$C$1005="M")*(MOVIMIENTOS!$D$5:$D$1005="jabas")*(MOVIMIENTOS!$A$5:$A$1005&lt;&gt;"")*(MOVIMIENTOS!$A$5:$A$1005&lt;=$A219)*MOVIMIENTOS!$E$5:$E$1005)-SUMPRODUCT((MOVIMIENTOS!$B$5:$B$1005="VENTA")*(MOVIMIENTOS!$C$5:$C$1005="M")*(MOVIMIENTOS!$D$5:$D$1005="jabas")*(MOVIMIENTOS!$A$5:$A$1005&lt;&gt;"")*(MOVIMIENTOS!$A$5:$A$1005&lt;=$A219)*MOVIMIENTOS!$E$5:$E$1005)+SUMPRODUCT((MOVIMIENTOS!$B$5:$B$1005="AJUSTE")*(MOVIMIENTOS!$C$5:$C$1005="M")*(MOVIMIENTOS!$D$5:$D$1005="jabas")*(MOVIMIENTOS!$A$5:$A$1005&lt;&gt;"")*(MOVIMIENTOS!$A$5:$A$1005&lt;=$A219)*MOVIMIENTOS!$E$5:$E$1005))</f>
        <v/>
      </c>
      <c r="F219" s="63" t="str">
        <f>IF($A219="","",SUMPRODUCT((MOVIMIENTOS!$B$5:$B$1005="SALDO INICIAL")*(MOVIMIENTOS!$C$5:$C$1005="Chancho")*(MOVIMIENTOS!$D$5:$D$1005="sacos")*(MOVIMIENTOS!$A$5:$A$1005&lt;&gt;"")*(MOVIMIENTOS!$A$5:$A$1005&lt;=$A219)*MOVIMIENTOS!$E$5:$E$1005)+SUMPRODUCT((MOVIMIENTOS!$B$5:$B$1005="PROCESO")*(MOVIMIENTOS!$C$5:$C$1005="Chancho")*(MOVIMIENTOS!$D$5:$D$1005="sacos")*(MOVIMIENTOS!$A$5:$A$1005&lt;&gt;"")*(MOVIMIENTOS!$A$5:$A$1005&lt;=$A219)*MOVIMIENTOS!$E$5:$E$1005)-SUMPRODUCT((MOVIMIENTOS!$B$5:$B$1005="VENTA CHANCHO")*(MOVIMIENTOS!$C$5:$C$1005="Chancho")*(MOVIMIENTOS!$D$5:$D$1005="sacos")*(MOVIMIENTOS!$A$5:$A$1005&lt;&gt;"")*(MOVIMIENTOS!$A$5:$A$1005&lt;=$A219)*MOVIMIENTOS!$E$5:$E$1005)-SUMPRODUCT((MOVIMIENTOS!$B$5:$B$1005="REGALO")*(MOVIMIENTOS!$C$5:$C$1005="Chancho")*(MOVIMIENTOS!$D$5:$D$1005="sacos")*(MOVIMIENTOS!$A$5:$A$1005&lt;&gt;"")*(MOVIMIENTOS!$A$5:$A$1005&lt;=$A219)*MOVIMIENTOS!$E$5:$E$1005)-SUMPRODUCT((MOVIMIENTOS!$B$5:$B$1005="VENTA")*(MOVIMIENTOS!$C$5:$C$1005="Chancho")*(MOVIMIENTOS!$D$5:$D$1005="sacos")*(MOVIMIENTOS!$A$5:$A$1005&lt;&gt;"")*(MOVIMIENTOS!$A$5:$A$1005&lt;=$A219)*MOVIMIENTOS!$E$5:$E$1005)+SUMPRODUCT((MOVIMIENTOS!$B$5:$B$1005="AJUSTE")*(MOVIMIENTOS!$C$5:$C$1005="Chancho")*(MOVIMIENTOS!$D$5:$D$1005="sacos")*(MOVIMIENTOS!$A$5:$A$1005&lt;&gt;"")*(MOVIMIENTOS!$A$5:$A$1005&lt;=$A219)*MOVIMIENTOS!$E$5:$E$1005))</f>
        <v/>
      </c>
      <c r="G219" s="95" t="str">
        <f t="shared" si="7"/>
        <v/>
      </c>
      <c r="H219" s="63" t="str">
        <f>IF($A219="","",SUMPRODUCT((((MOVIMIENTOS!$B$5:$B$1005="SALDO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219)*MOVIMIENTOS!$J$5:$J$1005))</f>
        <v/>
      </c>
      <c r="I219" s="63"/>
      <c r="J219" s="63" t="str">
        <f>IF(AND(MOVIMIENTOS!$A219&lt;&gt;"",COUNTIF(MOVIMIENTOS!$A$5:$A218,MOVIMIENTOS!$A219)=0),COUNT(J$4:J218)+1,"")</f>
        <v/>
      </c>
      <c r="K219" s="66">
        <f>MOVIMIENTOS!$A219</f>
        <v>46233</v>
      </c>
      <c r="L219" s="63"/>
      <c r="M219" s="63"/>
      <c r="N219" s="63"/>
    </row>
    <row r="220" spans="1:14" ht="15" customHeight="1" x14ac:dyDescent="0.2">
      <c r="A220" s="63" t="str">
        <f t="shared" si="6"/>
        <v/>
      </c>
      <c r="B220" s="63" t="str">
        <f>IF($A220="","",SUMPRODUCT((MOVIMIENTOS!$B$5:$B$1005="SALDO INICIAL")*(MOVIMIENTOS!$C$5:$C$1005="A")*(MOVIMIENTOS!$D$5:$D$1005="jabas")*(MOVIMIENTOS!$A$5:$A$1005&lt;&gt;"")*(MOVIMIENTOS!$A$5:$A$1005&lt;=$A220)*MOVIMIENTOS!$E$5:$E$1005)+SUMPRODUCT((MOVIMIENTOS!$B$5:$B$1005="PROCESO")*(MOVIMIENTOS!$C$5:$C$1005="A")*(MOVIMIENTOS!$D$5:$D$1005="jabas")*(MOVIMIENTOS!$A$5:$A$1005&lt;&gt;"")*(MOVIMIENTOS!$A$5:$A$1005&lt;=$A220)*MOVIMIENTOS!$E$5:$E$1005)-SUMPRODUCT((MOVIMIENTOS!$B$5:$B$1005="ENVÍO A SUPESA")*(MOVIMIENTOS!$C$5:$C$1005="A")*(MOVIMIENTOS!$D$5:$D$1005="jabas")*(MOVIMIENTOS!$A$5:$A$1005&lt;&gt;"")*(MOVIMIENTOS!$A$5:$A$1005&lt;=$A220)*MOVIMIENTOS!$E$5:$E$1005)+SUMPRODUCT((MOVIMIENTOS!$B$5:$B$1005="DEVOLUCIÓN")*(MOVIMIENTOS!$C$5:$C$1005="A")*(MOVIMIENTOS!$D$5:$D$1005="jabas")*(MOVIMIENTOS!$A$5:$A$1005&lt;&gt;"")*(MOVIMIENTOS!$A$5:$A$1005&lt;=$A220)*MOVIMIENTOS!$E$5:$E$1005)-SUMPRODUCT((MOVIMIENTOS!$B$5:$B$1005="TRASIEGO")*(MOVIMIENTOS!$C$5:$C$1005="A")*(MOVIMIENTOS!$D$5:$D$1005="jabas")*(MOVIMIENTOS!$A$5:$A$1005&lt;&gt;"")*(MOVIMIENTOS!$A$5:$A$1005&lt;=$A220)*MOVIMIENTOS!$E$5:$E$1005)-SUMPRODUCT((MOVIMIENTOS!$B$5:$B$1005="REGALO")*(MOVIMIENTOS!$C$5:$C$1005="A")*(MOVIMIENTOS!$D$5:$D$1005="jabas")*(MOVIMIENTOS!$A$5:$A$1005&lt;&gt;"")*(MOVIMIENTOS!$A$5:$A$1005&lt;=$A220)*MOVIMIENTOS!$E$5:$E$1005)-SUMPRODUCT((MOVIMIENTOS!$B$5:$B$1005="VENTA")*(MOVIMIENTOS!$C$5:$C$1005="A")*(MOVIMIENTOS!$D$5:$D$1005="jabas")*(MOVIMIENTOS!$A$5:$A$1005&lt;&gt;"")*(MOVIMIENTOS!$A$5:$A$1005&lt;=$A220)*MOVIMIENTOS!$E$5:$E$1005)+SUMPRODUCT((MOVIMIENTOS!$B$5:$B$1005="AJUSTE")*(MOVIMIENTOS!$C$5:$C$1005="A")*(MOVIMIENTOS!$D$5:$D$1005="jabas")*(MOVIMIENTOS!$A$5:$A$1005&lt;&gt;"")*(MOVIMIENTOS!$A$5:$A$1005&lt;=$A220)*MOVIMIENTOS!$E$5:$E$1005))</f>
        <v/>
      </c>
      <c r="C220" s="63" t="str">
        <f>IF($A220="","",SUMPRODUCT((MOVIMIENTOS!$B$5:$B$1005="SALDO INICIAL")*(MOVIMIENTOS!$C$5:$C$1005="P")*(MOVIMIENTOS!$D$5:$D$1005="jabas")*(MOVIMIENTOS!$A$5:$A$1005&lt;&gt;"")*(MOVIMIENTOS!$A$5:$A$1005&lt;=$A220)*MOVIMIENTOS!$E$5:$E$1005)+SUMPRODUCT((MOVIMIENTOS!$B$5:$B$1005="PROCESO")*(MOVIMIENTOS!$C$5:$C$1005="P")*(MOVIMIENTOS!$D$5:$D$1005="jabas")*(MOVIMIENTOS!$A$5:$A$1005&lt;&gt;"")*(MOVIMIENTOS!$A$5:$A$1005&lt;=$A220)*MOVIMIENTOS!$E$5:$E$1005)-SUMPRODUCT((MOVIMIENTOS!$B$5:$B$1005="ENVÍO A SUPESA")*(MOVIMIENTOS!$C$5:$C$1005="P")*(MOVIMIENTOS!$D$5:$D$1005="jabas")*(MOVIMIENTOS!$A$5:$A$1005&lt;&gt;"")*(MOVIMIENTOS!$A$5:$A$1005&lt;=$A220)*MOVIMIENTOS!$E$5:$E$1005)+SUMPRODUCT((MOVIMIENTOS!$B$5:$B$1005="DEVOLUCIÓN")*(MOVIMIENTOS!$C$5:$C$1005="P")*(MOVIMIENTOS!$D$5:$D$1005="jabas")*(MOVIMIENTOS!$A$5:$A$1005&lt;&gt;"")*(MOVIMIENTOS!$A$5:$A$1005&lt;=$A220)*MOVIMIENTOS!$E$5:$E$1005)-SUMPRODUCT((MOVIMIENTOS!$B$5:$B$1005="TRASIEGO")*(MOVIMIENTOS!$C$5:$C$1005="P")*(MOVIMIENTOS!$D$5:$D$1005="jabas")*(MOVIMIENTOS!$A$5:$A$1005&lt;&gt;"")*(MOVIMIENTOS!$A$5:$A$1005&lt;=$A220)*MOVIMIENTOS!$E$5:$E$1005)-SUMPRODUCT((MOVIMIENTOS!$B$5:$B$1005="REGALO")*(MOVIMIENTOS!$C$5:$C$1005="P")*(MOVIMIENTOS!$D$5:$D$1005="jabas")*(MOVIMIENTOS!$A$5:$A$1005&lt;&gt;"")*(MOVIMIENTOS!$A$5:$A$1005&lt;=$A220)*MOVIMIENTOS!$E$5:$E$1005)-SUMPRODUCT((MOVIMIENTOS!$B$5:$B$1005="VENTA")*(MOVIMIENTOS!$C$5:$C$1005="P")*(MOVIMIENTOS!$D$5:$D$1005="jabas")*(MOVIMIENTOS!$A$5:$A$1005&lt;&gt;"")*(MOVIMIENTOS!$A$5:$A$1005&lt;=$A220)*MOVIMIENTOS!$E$5:$E$1005)+SUMPRODUCT((MOVIMIENTOS!$B$5:$B$1005="AJUSTE")*(MOVIMIENTOS!$C$5:$C$1005="P")*(MOVIMIENTOS!$D$5:$D$1005="jabas")*(MOVIMIENTOS!$A$5:$A$1005&lt;&gt;"")*(MOVIMIENTOS!$A$5:$A$1005&lt;=$A220)*MOVIMIENTOS!$E$5:$E$1005))</f>
        <v/>
      </c>
      <c r="D220" s="63" t="str">
        <f>IF($A220="","",SUMPRODUCT((MOVIMIENTOS!$B$5:$B$1005="SALDO INICIAL")*(MOVIMIENTOS!$C$5:$C$1005="C")*(MOVIMIENTOS!$D$5:$D$1005="jabas")*(MOVIMIENTOS!$A$5:$A$1005&lt;&gt;"")*(MOVIMIENTOS!$A$5:$A$1005&lt;=$A220)*MOVIMIENTOS!$E$5:$E$1005)+SUMPRODUCT((MOVIMIENTOS!$B$5:$B$1005="PROCESO")*(MOVIMIENTOS!$C$5:$C$1005="C")*(MOVIMIENTOS!$D$5:$D$1005="jabas")*(MOVIMIENTOS!$A$5:$A$1005&lt;&gt;"")*(MOVIMIENTOS!$A$5:$A$1005&lt;=$A220)*MOVIMIENTOS!$E$5:$E$1005)-SUMPRODUCT((MOVIMIENTOS!$B$5:$B$1005="ENVÍO A SUPESA")*(MOVIMIENTOS!$C$5:$C$1005="C")*(MOVIMIENTOS!$D$5:$D$1005="jabas")*(MOVIMIENTOS!$A$5:$A$1005&lt;&gt;"")*(MOVIMIENTOS!$A$5:$A$1005&lt;=$A220)*MOVIMIENTOS!$E$5:$E$1005)+SUMPRODUCT((MOVIMIENTOS!$B$5:$B$1005="DEVOLUCIÓN")*(MOVIMIENTOS!$C$5:$C$1005="C")*(MOVIMIENTOS!$D$5:$D$1005="jabas")*(MOVIMIENTOS!$A$5:$A$1005&lt;&gt;"")*(MOVIMIENTOS!$A$5:$A$1005&lt;=$A220)*MOVIMIENTOS!$E$5:$E$1005)-SUMPRODUCT((MOVIMIENTOS!$B$5:$B$1005="TRASIEGO")*(MOVIMIENTOS!$C$5:$C$1005="C")*(MOVIMIENTOS!$D$5:$D$1005="jabas")*(MOVIMIENTOS!$A$5:$A$1005&lt;&gt;"")*(MOVIMIENTOS!$A$5:$A$1005&lt;=$A220)*MOVIMIENTOS!$E$5:$E$1005)-SUMPRODUCT((MOVIMIENTOS!$B$5:$B$1005="REGALO")*(MOVIMIENTOS!$C$5:$C$1005="C")*(MOVIMIENTOS!$D$5:$D$1005="jabas")*(MOVIMIENTOS!$A$5:$A$1005&lt;&gt;"")*(MOVIMIENTOS!$A$5:$A$1005&lt;=$A220)*MOVIMIENTOS!$E$5:$E$1005)-SUMPRODUCT((MOVIMIENTOS!$B$5:$B$1005="VENTA")*(MOVIMIENTOS!$C$5:$C$1005="C")*(MOVIMIENTOS!$D$5:$D$1005="jabas")*(MOVIMIENTOS!$A$5:$A$1005&lt;&gt;"")*(MOVIMIENTOS!$A$5:$A$1005&lt;=$A220)*MOVIMIENTOS!$E$5:$E$1005)+SUMPRODUCT((MOVIMIENTOS!$B$5:$B$1005="AJUSTE")*(MOVIMIENTOS!$C$5:$C$1005="C")*(MOVIMIENTOS!$D$5:$D$1005="jabas")*(MOVIMIENTOS!$A$5:$A$1005&lt;&gt;"")*(MOVIMIENTOS!$A$5:$A$1005&lt;=$A220)*MOVIMIENTOS!$E$5:$E$1005))</f>
        <v/>
      </c>
      <c r="E220" s="63" t="str">
        <f>IF($A220="","",SUMPRODUCT((MOVIMIENTOS!$B$5:$B$1005="SALDO INICIAL")*(MOVIMIENTOS!$C$5:$C$1005="M")*(MOVIMIENTOS!$D$5:$D$1005="jabas")*(MOVIMIENTOS!$A$5:$A$1005&lt;&gt;"")*(MOVIMIENTOS!$A$5:$A$1005&lt;=$A220)*MOVIMIENTOS!$E$5:$E$1005)+SUMPRODUCT((MOVIMIENTOS!$B$5:$B$1005="PROCESO")*(MOVIMIENTOS!$C$5:$C$1005="M")*(MOVIMIENTOS!$D$5:$D$1005="jabas")*(MOVIMIENTOS!$A$5:$A$1005&lt;&gt;"")*(MOVIMIENTOS!$A$5:$A$1005&lt;=$A220)*MOVIMIENTOS!$E$5:$E$1005)-SUMPRODUCT((MOVIMIENTOS!$B$5:$B$1005="ENVÍO A SUPESA")*(MOVIMIENTOS!$C$5:$C$1005="M")*(MOVIMIENTOS!$D$5:$D$1005="jabas")*(MOVIMIENTOS!$A$5:$A$1005&lt;&gt;"")*(MOVIMIENTOS!$A$5:$A$1005&lt;=$A220)*MOVIMIENTOS!$E$5:$E$1005)+SUMPRODUCT((MOVIMIENTOS!$B$5:$B$1005="DEVOLUCIÓN")*(MOVIMIENTOS!$C$5:$C$1005="M")*(MOVIMIENTOS!$D$5:$D$1005="jabas")*(MOVIMIENTOS!$A$5:$A$1005&lt;&gt;"")*(MOVIMIENTOS!$A$5:$A$1005&lt;=$A220)*MOVIMIENTOS!$E$5:$E$1005)-SUMPRODUCT((MOVIMIENTOS!$B$5:$B$1005="TRASIEGO")*(MOVIMIENTOS!$C$5:$C$1005="M")*(MOVIMIENTOS!$D$5:$D$1005="jabas")*(MOVIMIENTOS!$A$5:$A$1005&lt;&gt;"")*(MOVIMIENTOS!$A$5:$A$1005&lt;=$A220)*MOVIMIENTOS!$E$5:$E$1005)-SUMPRODUCT((MOVIMIENTOS!$B$5:$B$1005="REGALO")*(MOVIMIENTOS!$C$5:$C$1005="M")*(MOVIMIENTOS!$D$5:$D$1005="jabas")*(MOVIMIENTOS!$A$5:$A$1005&lt;&gt;"")*(MOVIMIENTOS!$A$5:$A$1005&lt;=$A220)*MOVIMIENTOS!$E$5:$E$1005)-SUMPRODUCT((MOVIMIENTOS!$B$5:$B$1005="VENTA")*(MOVIMIENTOS!$C$5:$C$1005="M")*(MOVIMIENTOS!$D$5:$D$1005="jabas")*(MOVIMIENTOS!$A$5:$A$1005&lt;&gt;"")*(MOVIMIENTOS!$A$5:$A$1005&lt;=$A220)*MOVIMIENTOS!$E$5:$E$1005)+SUMPRODUCT((MOVIMIENTOS!$B$5:$B$1005="AJUSTE")*(MOVIMIENTOS!$C$5:$C$1005="M")*(MOVIMIENTOS!$D$5:$D$1005="jabas")*(MOVIMIENTOS!$A$5:$A$1005&lt;&gt;"")*(MOVIMIENTOS!$A$5:$A$1005&lt;=$A220)*MOVIMIENTOS!$E$5:$E$1005))</f>
        <v/>
      </c>
      <c r="F220" s="63" t="str">
        <f>IF($A220="","",SUMPRODUCT((MOVIMIENTOS!$B$5:$B$1005="SALDO INICIAL")*(MOVIMIENTOS!$C$5:$C$1005="Chancho")*(MOVIMIENTOS!$D$5:$D$1005="sacos")*(MOVIMIENTOS!$A$5:$A$1005&lt;&gt;"")*(MOVIMIENTOS!$A$5:$A$1005&lt;=$A220)*MOVIMIENTOS!$E$5:$E$1005)+SUMPRODUCT((MOVIMIENTOS!$B$5:$B$1005="PROCESO")*(MOVIMIENTOS!$C$5:$C$1005="Chancho")*(MOVIMIENTOS!$D$5:$D$1005="sacos")*(MOVIMIENTOS!$A$5:$A$1005&lt;&gt;"")*(MOVIMIENTOS!$A$5:$A$1005&lt;=$A220)*MOVIMIENTOS!$E$5:$E$1005)-SUMPRODUCT((MOVIMIENTOS!$B$5:$B$1005="VENTA CHANCHO")*(MOVIMIENTOS!$C$5:$C$1005="Chancho")*(MOVIMIENTOS!$D$5:$D$1005="sacos")*(MOVIMIENTOS!$A$5:$A$1005&lt;&gt;"")*(MOVIMIENTOS!$A$5:$A$1005&lt;=$A220)*MOVIMIENTOS!$E$5:$E$1005)-SUMPRODUCT((MOVIMIENTOS!$B$5:$B$1005="REGALO")*(MOVIMIENTOS!$C$5:$C$1005="Chancho")*(MOVIMIENTOS!$D$5:$D$1005="sacos")*(MOVIMIENTOS!$A$5:$A$1005&lt;&gt;"")*(MOVIMIENTOS!$A$5:$A$1005&lt;=$A220)*MOVIMIENTOS!$E$5:$E$1005)-SUMPRODUCT((MOVIMIENTOS!$B$5:$B$1005="VENTA")*(MOVIMIENTOS!$C$5:$C$1005="Chancho")*(MOVIMIENTOS!$D$5:$D$1005="sacos")*(MOVIMIENTOS!$A$5:$A$1005&lt;&gt;"")*(MOVIMIENTOS!$A$5:$A$1005&lt;=$A220)*MOVIMIENTOS!$E$5:$E$1005)+SUMPRODUCT((MOVIMIENTOS!$B$5:$B$1005="AJUSTE")*(MOVIMIENTOS!$C$5:$C$1005="Chancho")*(MOVIMIENTOS!$D$5:$D$1005="sacos")*(MOVIMIENTOS!$A$5:$A$1005&lt;&gt;"")*(MOVIMIENTOS!$A$5:$A$1005&lt;=$A220)*MOVIMIENTOS!$E$5:$E$1005))</f>
        <v/>
      </c>
      <c r="G220" s="95" t="str">
        <f t="shared" si="7"/>
        <v/>
      </c>
      <c r="H220" s="63" t="str">
        <f>IF($A220="","",SUMPRODUCT((((MOVIMIENTOS!$B$5:$B$1005="SALDO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220)*MOVIMIENTOS!$J$5:$J$1005))</f>
        <v/>
      </c>
      <c r="I220" s="63"/>
      <c r="J220" s="63" t="str">
        <f>IF(AND(MOVIMIENTOS!$A220&lt;&gt;"",COUNTIF(MOVIMIENTOS!$A$5:$A219,MOVIMIENTOS!$A220)=0),COUNT(J$4:J219)+1,"")</f>
        <v/>
      </c>
      <c r="K220" s="66">
        <f>MOVIMIENTOS!$A220</f>
        <v>46233</v>
      </c>
      <c r="L220" s="63"/>
      <c r="M220" s="63"/>
      <c r="N220" s="63"/>
    </row>
    <row r="221" spans="1:14" ht="15" customHeight="1" x14ac:dyDescent="0.2">
      <c r="A221" s="63" t="str">
        <f t="shared" si="6"/>
        <v/>
      </c>
      <c r="B221" s="63" t="str">
        <f>IF($A221="","",SUMPRODUCT((MOVIMIENTOS!$B$5:$B$1005="SALDO INICIAL")*(MOVIMIENTOS!$C$5:$C$1005="A")*(MOVIMIENTOS!$D$5:$D$1005="jabas")*(MOVIMIENTOS!$A$5:$A$1005&lt;&gt;"")*(MOVIMIENTOS!$A$5:$A$1005&lt;=$A221)*MOVIMIENTOS!$E$5:$E$1005)+SUMPRODUCT((MOVIMIENTOS!$B$5:$B$1005="PROCESO")*(MOVIMIENTOS!$C$5:$C$1005="A")*(MOVIMIENTOS!$D$5:$D$1005="jabas")*(MOVIMIENTOS!$A$5:$A$1005&lt;&gt;"")*(MOVIMIENTOS!$A$5:$A$1005&lt;=$A221)*MOVIMIENTOS!$E$5:$E$1005)-SUMPRODUCT((MOVIMIENTOS!$B$5:$B$1005="ENVÍO A SUPESA")*(MOVIMIENTOS!$C$5:$C$1005="A")*(MOVIMIENTOS!$D$5:$D$1005="jabas")*(MOVIMIENTOS!$A$5:$A$1005&lt;&gt;"")*(MOVIMIENTOS!$A$5:$A$1005&lt;=$A221)*MOVIMIENTOS!$E$5:$E$1005)+SUMPRODUCT((MOVIMIENTOS!$B$5:$B$1005="DEVOLUCIÓN")*(MOVIMIENTOS!$C$5:$C$1005="A")*(MOVIMIENTOS!$D$5:$D$1005="jabas")*(MOVIMIENTOS!$A$5:$A$1005&lt;&gt;"")*(MOVIMIENTOS!$A$5:$A$1005&lt;=$A221)*MOVIMIENTOS!$E$5:$E$1005)-SUMPRODUCT((MOVIMIENTOS!$B$5:$B$1005="TRASIEGO")*(MOVIMIENTOS!$C$5:$C$1005="A")*(MOVIMIENTOS!$D$5:$D$1005="jabas")*(MOVIMIENTOS!$A$5:$A$1005&lt;&gt;"")*(MOVIMIENTOS!$A$5:$A$1005&lt;=$A221)*MOVIMIENTOS!$E$5:$E$1005)-SUMPRODUCT((MOVIMIENTOS!$B$5:$B$1005="REGALO")*(MOVIMIENTOS!$C$5:$C$1005="A")*(MOVIMIENTOS!$D$5:$D$1005="jabas")*(MOVIMIENTOS!$A$5:$A$1005&lt;&gt;"")*(MOVIMIENTOS!$A$5:$A$1005&lt;=$A221)*MOVIMIENTOS!$E$5:$E$1005)-SUMPRODUCT((MOVIMIENTOS!$B$5:$B$1005="VENTA")*(MOVIMIENTOS!$C$5:$C$1005="A")*(MOVIMIENTOS!$D$5:$D$1005="jabas")*(MOVIMIENTOS!$A$5:$A$1005&lt;&gt;"")*(MOVIMIENTOS!$A$5:$A$1005&lt;=$A221)*MOVIMIENTOS!$E$5:$E$1005)+SUMPRODUCT((MOVIMIENTOS!$B$5:$B$1005="AJUSTE")*(MOVIMIENTOS!$C$5:$C$1005="A")*(MOVIMIENTOS!$D$5:$D$1005="jabas")*(MOVIMIENTOS!$A$5:$A$1005&lt;&gt;"")*(MOVIMIENTOS!$A$5:$A$1005&lt;=$A221)*MOVIMIENTOS!$E$5:$E$1005))</f>
        <v/>
      </c>
      <c r="C221" s="63" t="str">
        <f>IF($A221="","",SUMPRODUCT((MOVIMIENTOS!$B$5:$B$1005="SALDO INICIAL")*(MOVIMIENTOS!$C$5:$C$1005="P")*(MOVIMIENTOS!$D$5:$D$1005="jabas")*(MOVIMIENTOS!$A$5:$A$1005&lt;&gt;"")*(MOVIMIENTOS!$A$5:$A$1005&lt;=$A221)*MOVIMIENTOS!$E$5:$E$1005)+SUMPRODUCT((MOVIMIENTOS!$B$5:$B$1005="PROCESO")*(MOVIMIENTOS!$C$5:$C$1005="P")*(MOVIMIENTOS!$D$5:$D$1005="jabas")*(MOVIMIENTOS!$A$5:$A$1005&lt;&gt;"")*(MOVIMIENTOS!$A$5:$A$1005&lt;=$A221)*MOVIMIENTOS!$E$5:$E$1005)-SUMPRODUCT((MOVIMIENTOS!$B$5:$B$1005="ENVÍO A SUPESA")*(MOVIMIENTOS!$C$5:$C$1005="P")*(MOVIMIENTOS!$D$5:$D$1005="jabas")*(MOVIMIENTOS!$A$5:$A$1005&lt;&gt;"")*(MOVIMIENTOS!$A$5:$A$1005&lt;=$A221)*MOVIMIENTOS!$E$5:$E$1005)+SUMPRODUCT((MOVIMIENTOS!$B$5:$B$1005="DEVOLUCIÓN")*(MOVIMIENTOS!$C$5:$C$1005="P")*(MOVIMIENTOS!$D$5:$D$1005="jabas")*(MOVIMIENTOS!$A$5:$A$1005&lt;&gt;"")*(MOVIMIENTOS!$A$5:$A$1005&lt;=$A221)*MOVIMIENTOS!$E$5:$E$1005)-SUMPRODUCT((MOVIMIENTOS!$B$5:$B$1005="TRASIEGO")*(MOVIMIENTOS!$C$5:$C$1005="P")*(MOVIMIENTOS!$D$5:$D$1005="jabas")*(MOVIMIENTOS!$A$5:$A$1005&lt;&gt;"")*(MOVIMIENTOS!$A$5:$A$1005&lt;=$A221)*MOVIMIENTOS!$E$5:$E$1005)-SUMPRODUCT((MOVIMIENTOS!$B$5:$B$1005="REGALO")*(MOVIMIENTOS!$C$5:$C$1005="P")*(MOVIMIENTOS!$D$5:$D$1005="jabas")*(MOVIMIENTOS!$A$5:$A$1005&lt;&gt;"")*(MOVIMIENTOS!$A$5:$A$1005&lt;=$A221)*MOVIMIENTOS!$E$5:$E$1005)-SUMPRODUCT((MOVIMIENTOS!$B$5:$B$1005="VENTA")*(MOVIMIENTOS!$C$5:$C$1005="P")*(MOVIMIENTOS!$D$5:$D$1005="jabas")*(MOVIMIENTOS!$A$5:$A$1005&lt;&gt;"")*(MOVIMIENTOS!$A$5:$A$1005&lt;=$A221)*MOVIMIENTOS!$E$5:$E$1005)+SUMPRODUCT((MOVIMIENTOS!$B$5:$B$1005="AJUSTE")*(MOVIMIENTOS!$C$5:$C$1005="P")*(MOVIMIENTOS!$D$5:$D$1005="jabas")*(MOVIMIENTOS!$A$5:$A$1005&lt;&gt;"")*(MOVIMIENTOS!$A$5:$A$1005&lt;=$A221)*MOVIMIENTOS!$E$5:$E$1005))</f>
        <v/>
      </c>
      <c r="D221" s="63" t="str">
        <f>IF($A221="","",SUMPRODUCT((MOVIMIENTOS!$B$5:$B$1005="SALDO INICIAL")*(MOVIMIENTOS!$C$5:$C$1005="C")*(MOVIMIENTOS!$D$5:$D$1005="jabas")*(MOVIMIENTOS!$A$5:$A$1005&lt;&gt;"")*(MOVIMIENTOS!$A$5:$A$1005&lt;=$A221)*MOVIMIENTOS!$E$5:$E$1005)+SUMPRODUCT((MOVIMIENTOS!$B$5:$B$1005="PROCESO")*(MOVIMIENTOS!$C$5:$C$1005="C")*(MOVIMIENTOS!$D$5:$D$1005="jabas")*(MOVIMIENTOS!$A$5:$A$1005&lt;&gt;"")*(MOVIMIENTOS!$A$5:$A$1005&lt;=$A221)*MOVIMIENTOS!$E$5:$E$1005)-SUMPRODUCT((MOVIMIENTOS!$B$5:$B$1005="ENVÍO A SUPESA")*(MOVIMIENTOS!$C$5:$C$1005="C")*(MOVIMIENTOS!$D$5:$D$1005="jabas")*(MOVIMIENTOS!$A$5:$A$1005&lt;&gt;"")*(MOVIMIENTOS!$A$5:$A$1005&lt;=$A221)*MOVIMIENTOS!$E$5:$E$1005)+SUMPRODUCT((MOVIMIENTOS!$B$5:$B$1005="DEVOLUCIÓN")*(MOVIMIENTOS!$C$5:$C$1005="C")*(MOVIMIENTOS!$D$5:$D$1005="jabas")*(MOVIMIENTOS!$A$5:$A$1005&lt;&gt;"")*(MOVIMIENTOS!$A$5:$A$1005&lt;=$A221)*MOVIMIENTOS!$E$5:$E$1005)-SUMPRODUCT((MOVIMIENTOS!$B$5:$B$1005="TRASIEGO")*(MOVIMIENTOS!$C$5:$C$1005="C")*(MOVIMIENTOS!$D$5:$D$1005="jabas")*(MOVIMIENTOS!$A$5:$A$1005&lt;&gt;"")*(MOVIMIENTOS!$A$5:$A$1005&lt;=$A221)*MOVIMIENTOS!$E$5:$E$1005)-SUMPRODUCT((MOVIMIENTOS!$B$5:$B$1005="REGALO")*(MOVIMIENTOS!$C$5:$C$1005="C")*(MOVIMIENTOS!$D$5:$D$1005="jabas")*(MOVIMIENTOS!$A$5:$A$1005&lt;&gt;"")*(MOVIMIENTOS!$A$5:$A$1005&lt;=$A221)*MOVIMIENTOS!$E$5:$E$1005)-SUMPRODUCT((MOVIMIENTOS!$B$5:$B$1005="VENTA")*(MOVIMIENTOS!$C$5:$C$1005="C")*(MOVIMIENTOS!$D$5:$D$1005="jabas")*(MOVIMIENTOS!$A$5:$A$1005&lt;&gt;"")*(MOVIMIENTOS!$A$5:$A$1005&lt;=$A221)*MOVIMIENTOS!$E$5:$E$1005)+SUMPRODUCT((MOVIMIENTOS!$B$5:$B$1005="AJUSTE")*(MOVIMIENTOS!$C$5:$C$1005="C")*(MOVIMIENTOS!$D$5:$D$1005="jabas")*(MOVIMIENTOS!$A$5:$A$1005&lt;&gt;"")*(MOVIMIENTOS!$A$5:$A$1005&lt;=$A221)*MOVIMIENTOS!$E$5:$E$1005))</f>
        <v/>
      </c>
      <c r="E221" s="63" t="str">
        <f>IF($A221="","",SUMPRODUCT((MOVIMIENTOS!$B$5:$B$1005="SALDO INICIAL")*(MOVIMIENTOS!$C$5:$C$1005="M")*(MOVIMIENTOS!$D$5:$D$1005="jabas")*(MOVIMIENTOS!$A$5:$A$1005&lt;&gt;"")*(MOVIMIENTOS!$A$5:$A$1005&lt;=$A221)*MOVIMIENTOS!$E$5:$E$1005)+SUMPRODUCT((MOVIMIENTOS!$B$5:$B$1005="PROCESO")*(MOVIMIENTOS!$C$5:$C$1005="M")*(MOVIMIENTOS!$D$5:$D$1005="jabas")*(MOVIMIENTOS!$A$5:$A$1005&lt;&gt;"")*(MOVIMIENTOS!$A$5:$A$1005&lt;=$A221)*MOVIMIENTOS!$E$5:$E$1005)-SUMPRODUCT((MOVIMIENTOS!$B$5:$B$1005="ENVÍO A SUPESA")*(MOVIMIENTOS!$C$5:$C$1005="M")*(MOVIMIENTOS!$D$5:$D$1005="jabas")*(MOVIMIENTOS!$A$5:$A$1005&lt;&gt;"")*(MOVIMIENTOS!$A$5:$A$1005&lt;=$A221)*MOVIMIENTOS!$E$5:$E$1005)+SUMPRODUCT((MOVIMIENTOS!$B$5:$B$1005="DEVOLUCIÓN")*(MOVIMIENTOS!$C$5:$C$1005="M")*(MOVIMIENTOS!$D$5:$D$1005="jabas")*(MOVIMIENTOS!$A$5:$A$1005&lt;&gt;"")*(MOVIMIENTOS!$A$5:$A$1005&lt;=$A221)*MOVIMIENTOS!$E$5:$E$1005)-SUMPRODUCT((MOVIMIENTOS!$B$5:$B$1005="TRASIEGO")*(MOVIMIENTOS!$C$5:$C$1005="M")*(MOVIMIENTOS!$D$5:$D$1005="jabas")*(MOVIMIENTOS!$A$5:$A$1005&lt;&gt;"")*(MOVIMIENTOS!$A$5:$A$1005&lt;=$A221)*MOVIMIENTOS!$E$5:$E$1005)-SUMPRODUCT((MOVIMIENTOS!$B$5:$B$1005="REGALO")*(MOVIMIENTOS!$C$5:$C$1005="M")*(MOVIMIENTOS!$D$5:$D$1005="jabas")*(MOVIMIENTOS!$A$5:$A$1005&lt;&gt;"")*(MOVIMIENTOS!$A$5:$A$1005&lt;=$A221)*MOVIMIENTOS!$E$5:$E$1005)-SUMPRODUCT((MOVIMIENTOS!$B$5:$B$1005="VENTA")*(MOVIMIENTOS!$C$5:$C$1005="M")*(MOVIMIENTOS!$D$5:$D$1005="jabas")*(MOVIMIENTOS!$A$5:$A$1005&lt;&gt;"")*(MOVIMIENTOS!$A$5:$A$1005&lt;=$A221)*MOVIMIENTOS!$E$5:$E$1005)+SUMPRODUCT((MOVIMIENTOS!$B$5:$B$1005="AJUSTE")*(MOVIMIENTOS!$C$5:$C$1005="M")*(MOVIMIENTOS!$D$5:$D$1005="jabas")*(MOVIMIENTOS!$A$5:$A$1005&lt;&gt;"")*(MOVIMIENTOS!$A$5:$A$1005&lt;=$A221)*MOVIMIENTOS!$E$5:$E$1005))</f>
        <v/>
      </c>
      <c r="F221" s="63" t="str">
        <f>IF($A221="","",SUMPRODUCT((MOVIMIENTOS!$B$5:$B$1005="SALDO INICIAL")*(MOVIMIENTOS!$C$5:$C$1005="Chancho")*(MOVIMIENTOS!$D$5:$D$1005="sacos")*(MOVIMIENTOS!$A$5:$A$1005&lt;&gt;"")*(MOVIMIENTOS!$A$5:$A$1005&lt;=$A221)*MOVIMIENTOS!$E$5:$E$1005)+SUMPRODUCT((MOVIMIENTOS!$B$5:$B$1005="PROCESO")*(MOVIMIENTOS!$C$5:$C$1005="Chancho")*(MOVIMIENTOS!$D$5:$D$1005="sacos")*(MOVIMIENTOS!$A$5:$A$1005&lt;&gt;"")*(MOVIMIENTOS!$A$5:$A$1005&lt;=$A221)*MOVIMIENTOS!$E$5:$E$1005)-SUMPRODUCT((MOVIMIENTOS!$B$5:$B$1005="VENTA CHANCHO")*(MOVIMIENTOS!$C$5:$C$1005="Chancho")*(MOVIMIENTOS!$D$5:$D$1005="sacos")*(MOVIMIENTOS!$A$5:$A$1005&lt;&gt;"")*(MOVIMIENTOS!$A$5:$A$1005&lt;=$A221)*MOVIMIENTOS!$E$5:$E$1005)-SUMPRODUCT((MOVIMIENTOS!$B$5:$B$1005="REGALO")*(MOVIMIENTOS!$C$5:$C$1005="Chancho")*(MOVIMIENTOS!$D$5:$D$1005="sacos")*(MOVIMIENTOS!$A$5:$A$1005&lt;&gt;"")*(MOVIMIENTOS!$A$5:$A$1005&lt;=$A221)*MOVIMIENTOS!$E$5:$E$1005)-SUMPRODUCT((MOVIMIENTOS!$B$5:$B$1005="VENTA")*(MOVIMIENTOS!$C$5:$C$1005="Chancho")*(MOVIMIENTOS!$D$5:$D$1005="sacos")*(MOVIMIENTOS!$A$5:$A$1005&lt;&gt;"")*(MOVIMIENTOS!$A$5:$A$1005&lt;=$A221)*MOVIMIENTOS!$E$5:$E$1005)+SUMPRODUCT((MOVIMIENTOS!$B$5:$B$1005="AJUSTE")*(MOVIMIENTOS!$C$5:$C$1005="Chancho")*(MOVIMIENTOS!$D$5:$D$1005="sacos")*(MOVIMIENTOS!$A$5:$A$1005&lt;&gt;"")*(MOVIMIENTOS!$A$5:$A$1005&lt;=$A221)*MOVIMIENTOS!$E$5:$E$1005))</f>
        <v/>
      </c>
      <c r="G221" s="95" t="str">
        <f t="shared" si="7"/>
        <v/>
      </c>
      <c r="H221" s="63" t="str">
        <f>IF($A221="","",SUMPRODUCT((((MOVIMIENTOS!$B$5:$B$1005="SALDO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221)*MOVIMIENTOS!$J$5:$J$1005))</f>
        <v/>
      </c>
      <c r="I221" s="63"/>
      <c r="J221" s="63" t="str">
        <f>IF(AND(MOVIMIENTOS!$A221&lt;&gt;"",COUNTIF(MOVIMIENTOS!$A$5:$A220,MOVIMIENTOS!$A221)=0),COUNT(J$4:J220)+1,"")</f>
        <v/>
      </c>
      <c r="K221" s="66">
        <f>MOVIMIENTOS!$A221</f>
        <v>46233</v>
      </c>
      <c r="L221" s="63"/>
      <c r="M221" s="63"/>
      <c r="N221" s="63"/>
    </row>
    <row r="222" spans="1:14" ht="15" customHeight="1" x14ac:dyDescent="0.2">
      <c r="A222" s="63" t="str">
        <f t="shared" si="6"/>
        <v/>
      </c>
      <c r="B222" s="63" t="str">
        <f>IF($A222="","",SUMPRODUCT((MOVIMIENTOS!$B$5:$B$1005="SALDO INICIAL")*(MOVIMIENTOS!$C$5:$C$1005="A")*(MOVIMIENTOS!$D$5:$D$1005="jabas")*(MOVIMIENTOS!$A$5:$A$1005&lt;&gt;"")*(MOVIMIENTOS!$A$5:$A$1005&lt;=$A222)*MOVIMIENTOS!$E$5:$E$1005)+SUMPRODUCT((MOVIMIENTOS!$B$5:$B$1005="PROCESO")*(MOVIMIENTOS!$C$5:$C$1005="A")*(MOVIMIENTOS!$D$5:$D$1005="jabas")*(MOVIMIENTOS!$A$5:$A$1005&lt;&gt;"")*(MOVIMIENTOS!$A$5:$A$1005&lt;=$A222)*MOVIMIENTOS!$E$5:$E$1005)-SUMPRODUCT((MOVIMIENTOS!$B$5:$B$1005="ENVÍO A SUPESA")*(MOVIMIENTOS!$C$5:$C$1005="A")*(MOVIMIENTOS!$D$5:$D$1005="jabas")*(MOVIMIENTOS!$A$5:$A$1005&lt;&gt;"")*(MOVIMIENTOS!$A$5:$A$1005&lt;=$A222)*MOVIMIENTOS!$E$5:$E$1005)+SUMPRODUCT((MOVIMIENTOS!$B$5:$B$1005="DEVOLUCIÓN")*(MOVIMIENTOS!$C$5:$C$1005="A")*(MOVIMIENTOS!$D$5:$D$1005="jabas")*(MOVIMIENTOS!$A$5:$A$1005&lt;&gt;"")*(MOVIMIENTOS!$A$5:$A$1005&lt;=$A222)*MOVIMIENTOS!$E$5:$E$1005)-SUMPRODUCT((MOVIMIENTOS!$B$5:$B$1005="TRASIEGO")*(MOVIMIENTOS!$C$5:$C$1005="A")*(MOVIMIENTOS!$D$5:$D$1005="jabas")*(MOVIMIENTOS!$A$5:$A$1005&lt;&gt;"")*(MOVIMIENTOS!$A$5:$A$1005&lt;=$A222)*MOVIMIENTOS!$E$5:$E$1005)-SUMPRODUCT((MOVIMIENTOS!$B$5:$B$1005="REGALO")*(MOVIMIENTOS!$C$5:$C$1005="A")*(MOVIMIENTOS!$D$5:$D$1005="jabas")*(MOVIMIENTOS!$A$5:$A$1005&lt;&gt;"")*(MOVIMIENTOS!$A$5:$A$1005&lt;=$A222)*MOVIMIENTOS!$E$5:$E$1005)-SUMPRODUCT((MOVIMIENTOS!$B$5:$B$1005="VENTA")*(MOVIMIENTOS!$C$5:$C$1005="A")*(MOVIMIENTOS!$D$5:$D$1005="jabas")*(MOVIMIENTOS!$A$5:$A$1005&lt;&gt;"")*(MOVIMIENTOS!$A$5:$A$1005&lt;=$A222)*MOVIMIENTOS!$E$5:$E$1005)+SUMPRODUCT((MOVIMIENTOS!$B$5:$B$1005="AJUSTE")*(MOVIMIENTOS!$C$5:$C$1005="A")*(MOVIMIENTOS!$D$5:$D$1005="jabas")*(MOVIMIENTOS!$A$5:$A$1005&lt;&gt;"")*(MOVIMIENTOS!$A$5:$A$1005&lt;=$A222)*MOVIMIENTOS!$E$5:$E$1005))</f>
        <v/>
      </c>
      <c r="C222" s="63" t="str">
        <f>IF($A222="","",SUMPRODUCT((MOVIMIENTOS!$B$5:$B$1005="SALDO INICIAL")*(MOVIMIENTOS!$C$5:$C$1005="P")*(MOVIMIENTOS!$D$5:$D$1005="jabas")*(MOVIMIENTOS!$A$5:$A$1005&lt;&gt;"")*(MOVIMIENTOS!$A$5:$A$1005&lt;=$A222)*MOVIMIENTOS!$E$5:$E$1005)+SUMPRODUCT((MOVIMIENTOS!$B$5:$B$1005="PROCESO")*(MOVIMIENTOS!$C$5:$C$1005="P")*(MOVIMIENTOS!$D$5:$D$1005="jabas")*(MOVIMIENTOS!$A$5:$A$1005&lt;&gt;"")*(MOVIMIENTOS!$A$5:$A$1005&lt;=$A222)*MOVIMIENTOS!$E$5:$E$1005)-SUMPRODUCT((MOVIMIENTOS!$B$5:$B$1005="ENVÍO A SUPESA")*(MOVIMIENTOS!$C$5:$C$1005="P")*(MOVIMIENTOS!$D$5:$D$1005="jabas")*(MOVIMIENTOS!$A$5:$A$1005&lt;&gt;"")*(MOVIMIENTOS!$A$5:$A$1005&lt;=$A222)*MOVIMIENTOS!$E$5:$E$1005)+SUMPRODUCT((MOVIMIENTOS!$B$5:$B$1005="DEVOLUCIÓN")*(MOVIMIENTOS!$C$5:$C$1005="P")*(MOVIMIENTOS!$D$5:$D$1005="jabas")*(MOVIMIENTOS!$A$5:$A$1005&lt;&gt;"")*(MOVIMIENTOS!$A$5:$A$1005&lt;=$A222)*MOVIMIENTOS!$E$5:$E$1005)-SUMPRODUCT((MOVIMIENTOS!$B$5:$B$1005="TRASIEGO")*(MOVIMIENTOS!$C$5:$C$1005="P")*(MOVIMIENTOS!$D$5:$D$1005="jabas")*(MOVIMIENTOS!$A$5:$A$1005&lt;&gt;"")*(MOVIMIENTOS!$A$5:$A$1005&lt;=$A222)*MOVIMIENTOS!$E$5:$E$1005)-SUMPRODUCT((MOVIMIENTOS!$B$5:$B$1005="REGALO")*(MOVIMIENTOS!$C$5:$C$1005="P")*(MOVIMIENTOS!$D$5:$D$1005="jabas")*(MOVIMIENTOS!$A$5:$A$1005&lt;&gt;"")*(MOVIMIENTOS!$A$5:$A$1005&lt;=$A222)*MOVIMIENTOS!$E$5:$E$1005)-SUMPRODUCT((MOVIMIENTOS!$B$5:$B$1005="VENTA")*(MOVIMIENTOS!$C$5:$C$1005="P")*(MOVIMIENTOS!$D$5:$D$1005="jabas")*(MOVIMIENTOS!$A$5:$A$1005&lt;&gt;"")*(MOVIMIENTOS!$A$5:$A$1005&lt;=$A222)*MOVIMIENTOS!$E$5:$E$1005)+SUMPRODUCT((MOVIMIENTOS!$B$5:$B$1005="AJUSTE")*(MOVIMIENTOS!$C$5:$C$1005="P")*(MOVIMIENTOS!$D$5:$D$1005="jabas")*(MOVIMIENTOS!$A$5:$A$1005&lt;&gt;"")*(MOVIMIENTOS!$A$5:$A$1005&lt;=$A222)*MOVIMIENTOS!$E$5:$E$1005))</f>
        <v/>
      </c>
      <c r="D222" s="63" t="str">
        <f>IF($A222="","",SUMPRODUCT((MOVIMIENTOS!$B$5:$B$1005="SALDO INICIAL")*(MOVIMIENTOS!$C$5:$C$1005="C")*(MOVIMIENTOS!$D$5:$D$1005="jabas")*(MOVIMIENTOS!$A$5:$A$1005&lt;&gt;"")*(MOVIMIENTOS!$A$5:$A$1005&lt;=$A222)*MOVIMIENTOS!$E$5:$E$1005)+SUMPRODUCT((MOVIMIENTOS!$B$5:$B$1005="PROCESO")*(MOVIMIENTOS!$C$5:$C$1005="C")*(MOVIMIENTOS!$D$5:$D$1005="jabas")*(MOVIMIENTOS!$A$5:$A$1005&lt;&gt;"")*(MOVIMIENTOS!$A$5:$A$1005&lt;=$A222)*MOVIMIENTOS!$E$5:$E$1005)-SUMPRODUCT((MOVIMIENTOS!$B$5:$B$1005="ENVÍO A SUPESA")*(MOVIMIENTOS!$C$5:$C$1005="C")*(MOVIMIENTOS!$D$5:$D$1005="jabas")*(MOVIMIENTOS!$A$5:$A$1005&lt;&gt;"")*(MOVIMIENTOS!$A$5:$A$1005&lt;=$A222)*MOVIMIENTOS!$E$5:$E$1005)+SUMPRODUCT((MOVIMIENTOS!$B$5:$B$1005="DEVOLUCIÓN")*(MOVIMIENTOS!$C$5:$C$1005="C")*(MOVIMIENTOS!$D$5:$D$1005="jabas")*(MOVIMIENTOS!$A$5:$A$1005&lt;&gt;"")*(MOVIMIENTOS!$A$5:$A$1005&lt;=$A222)*MOVIMIENTOS!$E$5:$E$1005)-SUMPRODUCT((MOVIMIENTOS!$B$5:$B$1005="TRASIEGO")*(MOVIMIENTOS!$C$5:$C$1005="C")*(MOVIMIENTOS!$D$5:$D$1005="jabas")*(MOVIMIENTOS!$A$5:$A$1005&lt;&gt;"")*(MOVIMIENTOS!$A$5:$A$1005&lt;=$A222)*MOVIMIENTOS!$E$5:$E$1005)-SUMPRODUCT((MOVIMIENTOS!$B$5:$B$1005="REGALO")*(MOVIMIENTOS!$C$5:$C$1005="C")*(MOVIMIENTOS!$D$5:$D$1005="jabas")*(MOVIMIENTOS!$A$5:$A$1005&lt;&gt;"")*(MOVIMIENTOS!$A$5:$A$1005&lt;=$A222)*MOVIMIENTOS!$E$5:$E$1005)-SUMPRODUCT((MOVIMIENTOS!$B$5:$B$1005="VENTA")*(MOVIMIENTOS!$C$5:$C$1005="C")*(MOVIMIENTOS!$D$5:$D$1005="jabas")*(MOVIMIENTOS!$A$5:$A$1005&lt;&gt;"")*(MOVIMIENTOS!$A$5:$A$1005&lt;=$A222)*MOVIMIENTOS!$E$5:$E$1005)+SUMPRODUCT((MOVIMIENTOS!$B$5:$B$1005="AJUSTE")*(MOVIMIENTOS!$C$5:$C$1005="C")*(MOVIMIENTOS!$D$5:$D$1005="jabas")*(MOVIMIENTOS!$A$5:$A$1005&lt;&gt;"")*(MOVIMIENTOS!$A$5:$A$1005&lt;=$A222)*MOVIMIENTOS!$E$5:$E$1005))</f>
        <v/>
      </c>
      <c r="E222" s="63" t="str">
        <f>IF($A222="","",SUMPRODUCT((MOVIMIENTOS!$B$5:$B$1005="SALDO INICIAL")*(MOVIMIENTOS!$C$5:$C$1005="M")*(MOVIMIENTOS!$D$5:$D$1005="jabas")*(MOVIMIENTOS!$A$5:$A$1005&lt;&gt;"")*(MOVIMIENTOS!$A$5:$A$1005&lt;=$A222)*MOVIMIENTOS!$E$5:$E$1005)+SUMPRODUCT((MOVIMIENTOS!$B$5:$B$1005="PROCESO")*(MOVIMIENTOS!$C$5:$C$1005="M")*(MOVIMIENTOS!$D$5:$D$1005="jabas")*(MOVIMIENTOS!$A$5:$A$1005&lt;&gt;"")*(MOVIMIENTOS!$A$5:$A$1005&lt;=$A222)*MOVIMIENTOS!$E$5:$E$1005)-SUMPRODUCT((MOVIMIENTOS!$B$5:$B$1005="ENVÍO A SUPESA")*(MOVIMIENTOS!$C$5:$C$1005="M")*(MOVIMIENTOS!$D$5:$D$1005="jabas")*(MOVIMIENTOS!$A$5:$A$1005&lt;&gt;"")*(MOVIMIENTOS!$A$5:$A$1005&lt;=$A222)*MOVIMIENTOS!$E$5:$E$1005)+SUMPRODUCT((MOVIMIENTOS!$B$5:$B$1005="DEVOLUCIÓN")*(MOVIMIENTOS!$C$5:$C$1005="M")*(MOVIMIENTOS!$D$5:$D$1005="jabas")*(MOVIMIENTOS!$A$5:$A$1005&lt;&gt;"")*(MOVIMIENTOS!$A$5:$A$1005&lt;=$A222)*MOVIMIENTOS!$E$5:$E$1005)-SUMPRODUCT((MOVIMIENTOS!$B$5:$B$1005="TRASIEGO")*(MOVIMIENTOS!$C$5:$C$1005="M")*(MOVIMIENTOS!$D$5:$D$1005="jabas")*(MOVIMIENTOS!$A$5:$A$1005&lt;&gt;"")*(MOVIMIENTOS!$A$5:$A$1005&lt;=$A222)*MOVIMIENTOS!$E$5:$E$1005)-SUMPRODUCT((MOVIMIENTOS!$B$5:$B$1005="REGALO")*(MOVIMIENTOS!$C$5:$C$1005="M")*(MOVIMIENTOS!$D$5:$D$1005="jabas")*(MOVIMIENTOS!$A$5:$A$1005&lt;&gt;"")*(MOVIMIENTOS!$A$5:$A$1005&lt;=$A222)*MOVIMIENTOS!$E$5:$E$1005)-SUMPRODUCT((MOVIMIENTOS!$B$5:$B$1005="VENTA")*(MOVIMIENTOS!$C$5:$C$1005="M")*(MOVIMIENTOS!$D$5:$D$1005="jabas")*(MOVIMIENTOS!$A$5:$A$1005&lt;&gt;"")*(MOVIMIENTOS!$A$5:$A$1005&lt;=$A222)*MOVIMIENTOS!$E$5:$E$1005)+SUMPRODUCT((MOVIMIENTOS!$B$5:$B$1005="AJUSTE")*(MOVIMIENTOS!$C$5:$C$1005="M")*(MOVIMIENTOS!$D$5:$D$1005="jabas")*(MOVIMIENTOS!$A$5:$A$1005&lt;&gt;"")*(MOVIMIENTOS!$A$5:$A$1005&lt;=$A222)*MOVIMIENTOS!$E$5:$E$1005))</f>
        <v/>
      </c>
      <c r="F222" s="63" t="str">
        <f>IF($A222="","",SUMPRODUCT((MOVIMIENTOS!$B$5:$B$1005="SALDO INICIAL")*(MOVIMIENTOS!$C$5:$C$1005="Chancho")*(MOVIMIENTOS!$D$5:$D$1005="sacos")*(MOVIMIENTOS!$A$5:$A$1005&lt;&gt;"")*(MOVIMIENTOS!$A$5:$A$1005&lt;=$A222)*MOVIMIENTOS!$E$5:$E$1005)+SUMPRODUCT((MOVIMIENTOS!$B$5:$B$1005="PROCESO")*(MOVIMIENTOS!$C$5:$C$1005="Chancho")*(MOVIMIENTOS!$D$5:$D$1005="sacos")*(MOVIMIENTOS!$A$5:$A$1005&lt;&gt;"")*(MOVIMIENTOS!$A$5:$A$1005&lt;=$A222)*MOVIMIENTOS!$E$5:$E$1005)-SUMPRODUCT((MOVIMIENTOS!$B$5:$B$1005="VENTA CHANCHO")*(MOVIMIENTOS!$C$5:$C$1005="Chancho")*(MOVIMIENTOS!$D$5:$D$1005="sacos")*(MOVIMIENTOS!$A$5:$A$1005&lt;&gt;"")*(MOVIMIENTOS!$A$5:$A$1005&lt;=$A222)*MOVIMIENTOS!$E$5:$E$1005)-SUMPRODUCT((MOVIMIENTOS!$B$5:$B$1005="REGALO")*(MOVIMIENTOS!$C$5:$C$1005="Chancho")*(MOVIMIENTOS!$D$5:$D$1005="sacos")*(MOVIMIENTOS!$A$5:$A$1005&lt;&gt;"")*(MOVIMIENTOS!$A$5:$A$1005&lt;=$A222)*MOVIMIENTOS!$E$5:$E$1005)-SUMPRODUCT((MOVIMIENTOS!$B$5:$B$1005="VENTA")*(MOVIMIENTOS!$C$5:$C$1005="Chancho")*(MOVIMIENTOS!$D$5:$D$1005="sacos")*(MOVIMIENTOS!$A$5:$A$1005&lt;&gt;"")*(MOVIMIENTOS!$A$5:$A$1005&lt;=$A222)*MOVIMIENTOS!$E$5:$E$1005)+SUMPRODUCT((MOVIMIENTOS!$B$5:$B$1005="AJUSTE")*(MOVIMIENTOS!$C$5:$C$1005="Chancho")*(MOVIMIENTOS!$D$5:$D$1005="sacos")*(MOVIMIENTOS!$A$5:$A$1005&lt;&gt;"")*(MOVIMIENTOS!$A$5:$A$1005&lt;=$A222)*MOVIMIENTOS!$E$5:$E$1005))</f>
        <v/>
      </c>
      <c r="G222" s="95" t="str">
        <f t="shared" si="7"/>
        <v/>
      </c>
      <c r="H222" s="63" t="str">
        <f>IF($A222="","",SUMPRODUCT((((MOVIMIENTOS!$B$5:$B$1005="SALDO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222)*MOVIMIENTOS!$J$5:$J$1005))</f>
        <v/>
      </c>
      <c r="I222" s="63"/>
      <c r="J222" s="63" t="str">
        <f>IF(AND(MOVIMIENTOS!$A222&lt;&gt;"",COUNTIF(MOVIMIENTOS!$A$5:$A221,MOVIMIENTOS!$A222)=0),COUNT(J$4:J221)+1,"")</f>
        <v/>
      </c>
      <c r="K222" s="66">
        <f>MOVIMIENTOS!$A222</f>
        <v>46233</v>
      </c>
      <c r="L222" s="63"/>
      <c r="M222" s="63"/>
      <c r="N222" s="63"/>
    </row>
    <row r="223" spans="1:14" ht="15" customHeight="1" x14ac:dyDescent="0.2">
      <c r="A223" s="63" t="str">
        <f t="shared" si="6"/>
        <v/>
      </c>
      <c r="B223" s="63" t="str">
        <f>IF($A223="","",SUMPRODUCT((MOVIMIENTOS!$B$5:$B$1005="SALDO INICIAL")*(MOVIMIENTOS!$C$5:$C$1005="A")*(MOVIMIENTOS!$D$5:$D$1005="jabas")*(MOVIMIENTOS!$A$5:$A$1005&lt;&gt;"")*(MOVIMIENTOS!$A$5:$A$1005&lt;=$A223)*MOVIMIENTOS!$E$5:$E$1005)+SUMPRODUCT((MOVIMIENTOS!$B$5:$B$1005="PROCESO")*(MOVIMIENTOS!$C$5:$C$1005="A")*(MOVIMIENTOS!$D$5:$D$1005="jabas")*(MOVIMIENTOS!$A$5:$A$1005&lt;&gt;"")*(MOVIMIENTOS!$A$5:$A$1005&lt;=$A223)*MOVIMIENTOS!$E$5:$E$1005)-SUMPRODUCT((MOVIMIENTOS!$B$5:$B$1005="ENVÍO A SUPESA")*(MOVIMIENTOS!$C$5:$C$1005="A")*(MOVIMIENTOS!$D$5:$D$1005="jabas")*(MOVIMIENTOS!$A$5:$A$1005&lt;&gt;"")*(MOVIMIENTOS!$A$5:$A$1005&lt;=$A223)*MOVIMIENTOS!$E$5:$E$1005)+SUMPRODUCT((MOVIMIENTOS!$B$5:$B$1005="DEVOLUCIÓN")*(MOVIMIENTOS!$C$5:$C$1005="A")*(MOVIMIENTOS!$D$5:$D$1005="jabas")*(MOVIMIENTOS!$A$5:$A$1005&lt;&gt;"")*(MOVIMIENTOS!$A$5:$A$1005&lt;=$A223)*MOVIMIENTOS!$E$5:$E$1005)-SUMPRODUCT((MOVIMIENTOS!$B$5:$B$1005="TRASIEGO")*(MOVIMIENTOS!$C$5:$C$1005="A")*(MOVIMIENTOS!$D$5:$D$1005="jabas")*(MOVIMIENTOS!$A$5:$A$1005&lt;&gt;"")*(MOVIMIENTOS!$A$5:$A$1005&lt;=$A223)*MOVIMIENTOS!$E$5:$E$1005)-SUMPRODUCT((MOVIMIENTOS!$B$5:$B$1005="REGALO")*(MOVIMIENTOS!$C$5:$C$1005="A")*(MOVIMIENTOS!$D$5:$D$1005="jabas")*(MOVIMIENTOS!$A$5:$A$1005&lt;&gt;"")*(MOVIMIENTOS!$A$5:$A$1005&lt;=$A223)*MOVIMIENTOS!$E$5:$E$1005)-SUMPRODUCT((MOVIMIENTOS!$B$5:$B$1005="VENTA")*(MOVIMIENTOS!$C$5:$C$1005="A")*(MOVIMIENTOS!$D$5:$D$1005="jabas")*(MOVIMIENTOS!$A$5:$A$1005&lt;&gt;"")*(MOVIMIENTOS!$A$5:$A$1005&lt;=$A223)*MOVIMIENTOS!$E$5:$E$1005)+SUMPRODUCT((MOVIMIENTOS!$B$5:$B$1005="AJUSTE")*(MOVIMIENTOS!$C$5:$C$1005="A")*(MOVIMIENTOS!$D$5:$D$1005="jabas")*(MOVIMIENTOS!$A$5:$A$1005&lt;&gt;"")*(MOVIMIENTOS!$A$5:$A$1005&lt;=$A223)*MOVIMIENTOS!$E$5:$E$1005))</f>
        <v/>
      </c>
      <c r="C223" s="63" t="str">
        <f>IF($A223="","",SUMPRODUCT((MOVIMIENTOS!$B$5:$B$1005="SALDO INICIAL")*(MOVIMIENTOS!$C$5:$C$1005="P")*(MOVIMIENTOS!$D$5:$D$1005="jabas")*(MOVIMIENTOS!$A$5:$A$1005&lt;&gt;"")*(MOVIMIENTOS!$A$5:$A$1005&lt;=$A223)*MOVIMIENTOS!$E$5:$E$1005)+SUMPRODUCT((MOVIMIENTOS!$B$5:$B$1005="PROCESO")*(MOVIMIENTOS!$C$5:$C$1005="P")*(MOVIMIENTOS!$D$5:$D$1005="jabas")*(MOVIMIENTOS!$A$5:$A$1005&lt;&gt;"")*(MOVIMIENTOS!$A$5:$A$1005&lt;=$A223)*MOVIMIENTOS!$E$5:$E$1005)-SUMPRODUCT((MOVIMIENTOS!$B$5:$B$1005="ENVÍO A SUPESA")*(MOVIMIENTOS!$C$5:$C$1005="P")*(MOVIMIENTOS!$D$5:$D$1005="jabas")*(MOVIMIENTOS!$A$5:$A$1005&lt;&gt;"")*(MOVIMIENTOS!$A$5:$A$1005&lt;=$A223)*MOVIMIENTOS!$E$5:$E$1005)+SUMPRODUCT((MOVIMIENTOS!$B$5:$B$1005="DEVOLUCIÓN")*(MOVIMIENTOS!$C$5:$C$1005="P")*(MOVIMIENTOS!$D$5:$D$1005="jabas")*(MOVIMIENTOS!$A$5:$A$1005&lt;&gt;"")*(MOVIMIENTOS!$A$5:$A$1005&lt;=$A223)*MOVIMIENTOS!$E$5:$E$1005)-SUMPRODUCT((MOVIMIENTOS!$B$5:$B$1005="TRASIEGO")*(MOVIMIENTOS!$C$5:$C$1005="P")*(MOVIMIENTOS!$D$5:$D$1005="jabas")*(MOVIMIENTOS!$A$5:$A$1005&lt;&gt;"")*(MOVIMIENTOS!$A$5:$A$1005&lt;=$A223)*MOVIMIENTOS!$E$5:$E$1005)-SUMPRODUCT((MOVIMIENTOS!$B$5:$B$1005="REGALO")*(MOVIMIENTOS!$C$5:$C$1005="P")*(MOVIMIENTOS!$D$5:$D$1005="jabas")*(MOVIMIENTOS!$A$5:$A$1005&lt;&gt;"")*(MOVIMIENTOS!$A$5:$A$1005&lt;=$A223)*MOVIMIENTOS!$E$5:$E$1005)-SUMPRODUCT((MOVIMIENTOS!$B$5:$B$1005="VENTA")*(MOVIMIENTOS!$C$5:$C$1005="P")*(MOVIMIENTOS!$D$5:$D$1005="jabas")*(MOVIMIENTOS!$A$5:$A$1005&lt;&gt;"")*(MOVIMIENTOS!$A$5:$A$1005&lt;=$A223)*MOVIMIENTOS!$E$5:$E$1005)+SUMPRODUCT((MOVIMIENTOS!$B$5:$B$1005="AJUSTE")*(MOVIMIENTOS!$C$5:$C$1005="P")*(MOVIMIENTOS!$D$5:$D$1005="jabas")*(MOVIMIENTOS!$A$5:$A$1005&lt;&gt;"")*(MOVIMIENTOS!$A$5:$A$1005&lt;=$A223)*MOVIMIENTOS!$E$5:$E$1005))</f>
        <v/>
      </c>
      <c r="D223" s="63" t="str">
        <f>IF($A223="","",SUMPRODUCT((MOVIMIENTOS!$B$5:$B$1005="SALDO INICIAL")*(MOVIMIENTOS!$C$5:$C$1005="C")*(MOVIMIENTOS!$D$5:$D$1005="jabas")*(MOVIMIENTOS!$A$5:$A$1005&lt;&gt;"")*(MOVIMIENTOS!$A$5:$A$1005&lt;=$A223)*MOVIMIENTOS!$E$5:$E$1005)+SUMPRODUCT((MOVIMIENTOS!$B$5:$B$1005="PROCESO")*(MOVIMIENTOS!$C$5:$C$1005="C")*(MOVIMIENTOS!$D$5:$D$1005="jabas")*(MOVIMIENTOS!$A$5:$A$1005&lt;&gt;"")*(MOVIMIENTOS!$A$5:$A$1005&lt;=$A223)*MOVIMIENTOS!$E$5:$E$1005)-SUMPRODUCT((MOVIMIENTOS!$B$5:$B$1005="ENVÍO A SUPESA")*(MOVIMIENTOS!$C$5:$C$1005="C")*(MOVIMIENTOS!$D$5:$D$1005="jabas")*(MOVIMIENTOS!$A$5:$A$1005&lt;&gt;"")*(MOVIMIENTOS!$A$5:$A$1005&lt;=$A223)*MOVIMIENTOS!$E$5:$E$1005)+SUMPRODUCT((MOVIMIENTOS!$B$5:$B$1005="DEVOLUCIÓN")*(MOVIMIENTOS!$C$5:$C$1005="C")*(MOVIMIENTOS!$D$5:$D$1005="jabas")*(MOVIMIENTOS!$A$5:$A$1005&lt;&gt;"")*(MOVIMIENTOS!$A$5:$A$1005&lt;=$A223)*MOVIMIENTOS!$E$5:$E$1005)-SUMPRODUCT((MOVIMIENTOS!$B$5:$B$1005="TRASIEGO")*(MOVIMIENTOS!$C$5:$C$1005="C")*(MOVIMIENTOS!$D$5:$D$1005="jabas")*(MOVIMIENTOS!$A$5:$A$1005&lt;&gt;"")*(MOVIMIENTOS!$A$5:$A$1005&lt;=$A223)*MOVIMIENTOS!$E$5:$E$1005)-SUMPRODUCT((MOVIMIENTOS!$B$5:$B$1005="REGALO")*(MOVIMIENTOS!$C$5:$C$1005="C")*(MOVIMIENTOS!$D$5:$D$1005="jabas")*(MOVIMIENTOS!$A$5:$A$1005&lt;&gt;"")*(MOVIMIENTOS!$A$5:$A$1005&lt;=$A223)*MOVIMIENTOS!$E$5:$E$1005)-SUMPRODUCT((MOVIMIENTOS!$B$5:$B$1005="VENTA")*(MOVIMIENTOS!$C$5:$C$1005="C")*(MOVIMIENTOS!$D$5:$D$1005="jabas")*(MOVIMIENTOS!$A$5:$A$1005&lt;&gt;"")*(MOVIMIENTOS!$A$5:$A$1005&lt;=$A223)*MOVIMIENTOS!$E$5:$E$1005)+SUMPRODUCT((MOVIMIENTOS!$B$5:$B$1005="AJUSTE")*(MOVIMIENTOS!$C$5:$C$1005="C")*(MOVIMIENTOS!$D$5:$D$1005="jabas")*(MOVIMIENTOS!$A$5:$A$1005&lt;&gt;"")*(MOVIMIENTOS!$A$5:$A$1005&lt;=$A223)*MOVIMIENTOS!$E$5:$E$1005))</f>
        <v/>
      </c>
      <c r="E223" s="63" t="str">
        <f>IF($A223="","",SUMPRODUCT((MOVIMIENTOS!$B$5:$B$1005="SALDO INICIAL")*(MOVIMIENTOS!$C$5:$C$1005="M")*(MOVIMIENTOS!$D$5:$D$1005="jabas")*(MOVIMIENTOS!$A$5:$A$1005&lt;&gt;"")*(MOVIMIENTOS!$A$5:$A$1005&lt;=$A223)*MOVIMIENTOS!$E$5:$E$1005)+SUMPRODUCT((MOVIMIENTOS!$B$5:$B$1005="PROCESO")*(MOVIMIENTOS!$C$5:$C$1005="M")*(MOVIMIENTOS!$D$5:$D$1005="jabas")*(MOVIMIENTOS!$A$5:$A$1005&lt;&gt;"")*(MOVIMIENTOS!$A$5:$A$1005&lt;=$A223)*MOVIMIENTOS!$E$5:$E$1005)-SUMPRODUCT((MOVIMIENTOS!$B$5:$B$1005="ENVÍO A SUPESA")*(MOVIMIENTOS!$C$5:$C$1005="M")*(MOVIMIENTOS!$D$5:$D$1005="jabas")*(MOVIMIENTOS!$A$5:$A$1005&lt;&gt;"")*(MOVIMIENTOS!$A$5:$A$1005&lt;=$A223)*MOVIMIENTOS!$E$5:$E$1005)+SUMPRODUCT((MOVIMIENTOS!$B$5:$B$1005="DEVOLUCIÓN")*(MOVIMIENTOS!$C$5:$C$1005="M")*(MOVIMIENTOS!$D$5:$D$1005="jabas")*(MOVIMIENTOS!$A$5:$A$1005&lt;&gt;"")*(MOVIMIENTOS!$A$5:$A$1005&lt;=$A223)*MOVIMIENTOS!$E$5:$E$1005)-SUMPRODUCT((MOVIMIENTOS!$B$5:$B$1005="TRASIEGO")*(MOVIMIENTOS!$C$5:$C$1005="M")*(MOVIMIENTOS!$D$5:$D$1005="jabas")*(MOVIMIENTOS!$A$5:$A$1005&lt;&gt;"")*(MOVIMIENTOS!$A$5:$A$1005&lt;=$A223)*MOVIMIENTOS!$E$5:$E$1005)-SUMPRODUCT((MOVIMIENTOS!$B$5:$B$1005="REGALO")*(MOVIMIENTOS!$C$5:$C$1005="M")*(MOVIMIENTOS!$D$5:$D$1005="jabas")*(MOVIMIENTOS!$A$5:$A$1005&lt;&gt;"")*(MOVIMIENTOS!$A$5:$A$1005&lt;=$A223)*MOVIMIENTOS!$E$5:$E$1005)-SUMPRODUCT((MOVIMIENTOS!$B$5:$B$1005="VENTA")*(MOVIMIENTOS!$C$5:$C$1005="M")*(MOVIMIENTOS!$D$5:$D$1005="jabas")*(MOVIMIENTOS!$A$5:$A$1005&lt;&gt;"")*(MOVIMIENTOS!$A$5:$A$1005&lt;=$A223)*MOVIMIENTOS!$E$5:$E$1005)+SUMPRODUCT((MOVIMIENTOS!$B$5:$B$1005="AJUSTE")*(MOVIMIENTOS!$C$5:$C$1005="M")*(MOVIMIENTOS!$D$5:$D$1005="jabas")*(MOVIMIENTOS!$A$5:$A$1005&lt;&gt;"")*(MOVIMIENTOS!$A$5:$A$1005&lt;=$A223)*MOVIMIENTOS!$E$5:$E$1005))</f>
        <v/>
      </c>
      <c r="F223" s="63" t="str">
        <f>IF($A223="","",SUMPRODUCT((MOVIMIENTOS!$B$5:$B$1005="SALDO INICIAL")*(MOVIMIENTOS!$C$5:$C$1005="Chancho")*(MOVIMIENTOS!$D$5:$D$1005="sacos")*(MOVIMIENTOS!$A$5:$A$1005&lt;&gt;"")*(MOVIMIENTOS!$A$5:$A$1005&lt;=$A223)*MOVIMIENTOS!$E$5:$E$1005)+SUMPRODUCT((MOVIMIENTOS!$B$5:$B$1005="PROCESO")*(MOVIMIENTOS!$C$5:$C$1005="Chancho")*(MOVIMIENTOS!$D$5:$D$1005="sacos")*(MOVIMIENTOS!$A$5:$A$1005&lt;&gt;"")*(MOVIMIENTOS!$A$5:$A$1005&lt;=$A223)*MOVIMIENTOS!$E$5:$E$1005)-SUMPRODUCT((MOVIMIENTOS!$B$5:$B$1005="VENTA CHANCHO")*(MOVIMIENTOS!$C$5:$C$1005="Chancho")*(MOVIMIENTOS!$D$5:$D$1005="sacos")*(MOVIMIENTOS!$A$5:$A$1005&lt;&gt;"")*(MOVIMIENTOS!$A$5:$A$1005&lt;=$A223)*MOVIMIENTOS!$E$5:$E$1005)-SUMPRODUCT((MOVIMIENTOS!$B$5:$B$1005="REGALO")*(MOVIMIENTOS!$C$5:$C$1005="Chancho")*(MOVIMIENTOS!$D$5:$D$1005="sacos")*(MOVIMIENTOS!$A$5:$A$1005&lt;&gt;"")*(MOVIMIENTOS!$A$5:$A$1005&lt;=$A223)*MOVIMIENTOS!$E$5:$E$1005)-SUMPRODUCT((MOVIMIENTOS!$B$5:$B$1005="VENTA")*(MOVIMIENTOS!$C$5:$C$1005="Chancho")*(MOVIMIENTOS!$D$5:$D$1005="sacos")*(MOVIMIENTOS!$A$5:$A$1005&lt;&gt;"")*(MOVIMIENTOS!$A$5:$A$1005&lt;=$A223)*MOVIMIENTOS!$E$5:$E$1005)+SUMPRODUCT((MOVIMIENTOS!$B$5:$B$1005="AJUSTE")*(MOVIMIENTOS!$C$5:$C$1005="Chancho")*(MOVIMIENTOS!$D$5:$D$1005="sacos")*(MOVIMIENTOS!$A$5:$A$1005&lt;&gt;"")*(MOVIMIENTOS!$A$5:$A$1005&lt;=$A223)*MOVIMIENTOS!$E$5:$E$1005))</f>
        <v/>
      </c>
      <c r="G223" s="95" t="str">
        <f t="shared" si="7"/>
        <v/>
      </c>
      <c r="H223" s="63" t="str">
        <f>IF($A223="","",SUMPRODUCT((((MOVIMIENTOS!$B$5:$B$1005="SALDO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223)*MOVIMIENTOS!$J$5:$J$1005))</f>
        <v/>
      </c>
      <c r="I223" s="63"/>
      <c r="J223" s="63">
        <f>IF(AND(MOVIMIENTOS!$A223&lt;&gt;"",COUNTIF(MOVIMIENTOS!$A$5:$A222,MOVIMIENTOS!$A223)=0),COUNT(J$4:J222)+1,"")</f>
        <v>22</v>
      </c>
      <c r="K223" s="66">
        <f>MOVIMIENTOS!$A223</f>
        <v>46234</v>
      </c>
      <c r="L223" s="63"/>
      <c r="M223" s="63"/>
      <c r="N223" s="63"/>
    </row>
    <row r="224" spans="1:14" ht="15" customHeight="1" x14ac:dyDescent="0.2">
      <c r="A224" s="63" t="str">
        <f t="shared" si="6"/>
        <v/>
      </c>
      <c r="B224" s="63" t="str">
        <f>IF($A224="","",SUMPRODUCT((MOVIMIENTOS!$B$5:$B$1005="SALDO INICIAL")*(MOVIMIENTOS!$C$5:$C$1005="A")*(MOVIMIENTOS!$D$5:$D$1005="jabas")*(MOVIMIENTOS!$A$5:$A$1005&lt;&gt;"")*(MOVIMIENTOS!$A$5:$A$1005&lt;=$A224)*MOVIMIENTOS!$E$5:$E$1005)+SUMPRODUCT((MOVIMIENTOS!$B$5:$B$1005="PROCESO")*(MOVIMIENTOS!$C$5:$C$1005="A")*(MOVIMIENTOS!$D$5:$D$1005="jabas")*(MOVIMIENTOS!$A$5:$A$1005&lt;&gt;"")*(MOVIMIENTOS!$A$5:$A$1005&lt;=$A224)*MOVIMIENTOS!$E$5:$E$1005)-SUMPRODUCT((MOVIMIENTOS!$B$5:$B$1005="ENVÍO A SUPESA")*(MOVIMIENTOS!$C$5:$C$1005="A")*(MOVIMIENTOS!$D$5:$D$1005="jabas")*(MOVIMIENTOS!$A$5:$A$1005&lt;&gt;"")*(MOVIMIENTOS!$A$5:$A$1005&lt;=$A224)*MOVIMIENTOS!$E$5:$E$1005)+SUMPRODUCT((MOVIMIENTOS!$B$5:$B$1005="DEVOLUCIÓN")*(MOVIMIENTOS!$C$5:$C$1005="A")*(MOVIMIENTOS!$D$5:$D$1005="jabas")*(MOVIMIENTOS!$A$5:$A$1005&lt;&gt;"")*(MOVIMIENTOS!$A$5:$A$1005&lt;=$A224)*MOVIMIENTOS!$E$5:$E$1005)-SUMPRODUCT((MOVIMIENTOS!$B$5:$B$1005="TRASIEGO")*(MOVIMIENTOS!$C$5:$C$1005="A")*(MOVIMIENTOS!$D$5:$D$1005="jabas")*(MOVIMIENTOS!$A$5:$A$1005&lt;&gt;"")*(MOVIMIENTOS!$A$5:$A$1005&lt;=$A224)*MOVIMIENTOS!$E$5:$E$1005)-SUMPRODUCT((MOVIMIENTOS!$B$5:$B$1005="REGALO")*(MOVIMIENTOS!$C$5:$C$1005="A")*(MOVIMIENTOS!$D$5:$D$1005="jabas")*(MOVIMIENTOS!$A$5:$A$1005&lt;&gt;"")*(MOVIMIENTOS!$A$5:$A$1005&lt;=$A224)*MOVIMIENTOS!$E$5:$E$1005)-SUMPRODUCT((MOVIMIENTOS!$B$5:$B$1005="VENTA")*(MOVIMIENTOS!$C$5:$C$1005="A")*(MOVIMIENTOS!$D$5:$D$1005="jabas")*(MOVIMIENTOS!$A$5:$A$1005&lt;&gt;"")*(MOVIMIENTOS!$A$5:$A$1005&lt;=$A224)*MOVIMIENTOS!$E$5:$E$1005)+SUMPRODUCT((MOVIMIENTOS!$B$5:$B$1005="AJUSTE")*(MOVIMIENTOS!$C$5:$C$1005="A")*(MOVIMIENTOS!$D$5:$D$1005="jabas")*(MOVIMIENTOS!$A$5:$A$1005&lt;&gt;"")*(MOVIMIENTOS!$A$5:$A$1005&lt;=$A224)*MOVIMIENTOS!$E$5:$E$1005))</f>
        <v/>
      </c>
      <c r="C224" s="63" t="str">
        <f>IF($A224="","",SUMPRODUCT((MOVIMIENTOS!$B$5:$B$1005="SALDO INICIAL")*(MOVIMIENTOS!$C$5:$C$1005="P")*(MOVIMIENTOS!$D$5:$D$1005="jabas")*(MOVIMIENTOS!$A$5:$A$1005&lt;&gt;"")*(MOVIMIENTOS!$A$5:$A$1005&lt;=$A224)*MOVIMIENTOS!$E$5:$E$1005)+SUMPRODUCT((MOVIMIENTOS!$B$5:$B$1005="PROCESO")*(MOVIMIENTOS!$C$5:$C$1005="P")*(MOVIMIENTOS!$D$5:$D$1005="jabas")*(MOVIMIENTOS!$A$5:$A$1005&lt;&gt;"")*(MOVIMIENTOS!$A$5:$A$1005&lt;=$A224)*MOVIMIENTOS!$E$5:$E$1005)-SUMPRODUCT((MOVIMIENTOS!$B$5:$B$1005="ENVÍO A SUPESA")*(MOVIMIENTOS!$C$5:$C$1005="P")*(MOVIMIENTOS!$D$5:$D$1005="jabas")*(MOVIMIENTOS!$A$5:$A$1005&lt;&gt;"")*(MOVIMIENTOS!$A$5:$A$1005&lt;=$A224)*MOVIMIENTOS!$E$5:$E$1005)+SUMPRODUCT((MOVIMIENTOS!$B$5:$B$1005="DEVOLUCIÓN")*(MOVIMIENTOS!$C$5:$C$1005="P")*(MOVIMIENTOS!$D$5:$D$1005="jabas")*(MOVIMIENTOS!$A$5:$A$1005&lt;&gt;"")*(MOVIMIENTOS!$A$5:$A$1005&lt;=$A224)*MOVIMIENTOS!$E$5:$E$1005)-SUMPRODUCT((MOVIMIENTOS!$B$5:$B$1005="TRASIEGO")*(MOVIMIENTOS!$C$5:$C$1005="P")*(MOVIMIENTOS!$D$5:$D$1005="jabas")*(MOVIMIENTOS!$A$5:$A$1005&lt;&gt;"")*(MOVIMIENTOS!$A$5:$A$1005&lt;=$A224)*MOVIMIENTOS!$E$5:$E$1005)-SUMPRODUCT((MOVIMIENTOS!$B$5:$B$1005="REGALO")*(MOVIMIENTOS!$C$5:$C$1005="P")*(MOVIMIENTOS!$D$5:$D$1005="jabas")*(MOVIMIENTOS!$A$5:$A$1005&lt;&gt;"")*(MOVIMIENTOS!$A$5:$A$1005&lt;=$A224)*MOVIMIENTOS!$E$5:$E$1005)-SUMPRODUCT((MOVIMIENTOS!$B$5:$B$1005="VENTA")*(MOVIMIENTOS!$C$5:$C$1005="P")*(MOVIMIENTOS!$D$5:$D$1005="jabas")*(MOVIMIENTOS!$A$5:$A$1005&lt;&gt;"")*(MOVIMIENTOS!$A$5:$A$1005&lt;=$A224)*MOVIMIENTOS!$E$5:$E$1005)+SUMPRODUCT((MOVIMIENTOS!$B$5:$B$1005="AJUSTE")*(MOVIMIENTOS!$C$5:$C$1005="P")*(MOVIMIENTOS!$D$5:$D$1005="jabas")*(MOVIMIENTOS!$A$5:$A$1005&lt;&gt;"")*(MOVIMIENTOS!$A$5:$A$1005&lt;=$A224)*MOVIMIENTOS!$E$5:$E$1005))</f>
        <v/>
      </c>
      <c r="D224" s="63" t="str">
        <f>IF($A224="","",SUMPRODUCT((MOVIMIENTOS!$B$5:$B$1005="SALDO INICIAL")*(MOVIMIENTOS!$C$5:$C$1005="C")*(MOVIMIENTOS!$D$5:$D$1005="jabas")*(MOVIMIENTOS!$A$5:$A$1005&lt;&gt;"")*(MOVIMIENTOS!$A$5:$A$1005&lt;=$A224)*MOVIMIENTOS!$E$5:$E$1005)+SUMPRODUCT((MOVIMIENTOS!$B$5:$B$1005="PROCESO")*(MOVIMIENTOS!$C$5:$C$1005="C")*(MOVIMIENTOS!$D$5:$D$1005="jabas")*(MOVIMIENTOS!$A$5:$A$1005&lt;&gt;"")*(MOVIMIENTOS!$A$5:$A$1005&lt;=$A224)*MOVIMIENTOS!$E$5:$E$1005)-SUMPRODUCT((MOVIMIENTOS!$B$5:$B$1005="ENVÍO A SUPESA")*(MOVIMIENTOS!$C$5:$C$1005="C")*(MOVIMIENTOS!$D$5:$D$1005="jabas")*(MOVIMIENTOS!$A$5:$A$1005&lt;&gt;"")*(MOVIMIENTOS!$A$5:$A$1005&lt;=$A224)*MOVIMIENTOS!$E$5:$E$1005)+SUMPRODUCT((MOVIMIENTOS!$B$5:$B$1005="DEVOLUCIÓN")*(MOVIMIENTOS!$C$5:$C$1005="C")*(MOVIMIENTOS!$D$5:$D$1005="jabas")*(MOVIMIENTOS!$A$5:$A$1005&lt;&gt;"")*(MOVIMIENTOS!$A$5:$A$1005&lt;=$A224)*MOVIMIENTOS!$E$5:$E$1005)-SUMPRODUCT((MOVIMIENTOS!$B$5:$B$1005="TRASIEGO")*(MOVIMIENTOS!$C$5:$C$1005="C")*(MOVIMIENTOS!$D$5:$D$1005="jabas")*(MOVIMIENTOS!$A$5:$A$1005&lt;&gt;"")*(MOVIMIENTOS!$A$5:$A$1005&lt;=$A224)*MOVIMIENTOS!$E$5:$E$1005)-SUMPRODUCT((MOVIMIENTOS!$B$5:$B$1005="REGALO")*(MOVIMIENTOS!$C$5:$C$1005="C")*(MOVIMIENTOS!$D$5:$D$1005="jabas")*(MOVIMIENTOS!$A$5:$A$1005&lt;&gt;"")*(MOVIMIENTOS!$A$5:$A$1005&lt;=$A224)*MOVIMIENTOS!$E$5:$E$1005)-SUMPRODUCT((MOVIMIENTOS!$B$5:$B$1005="VENTA")*(MOVIMIENTOS!$C$5:$C$1005="C")*(MOVIMIENTOS!$D$5:$D$1005="jabas")*(MOVIMIENTOS!$A$5:$A$1005&lt;&gt;"")*(MOVIMIENTOS!$A$5:$A$1005&lt;=$A224)*MOVIMIENTOS!$E$5:$E$1005)+SUMPRODUCT((MOVIMIENTOS!$B$5:$B$1005="AJUSTE")*(MOVIMIENTOS!$C$5:$C$1005="C")*(MOVIMIENTOS!$D$5:$D$1005="jabas")*(MOVIMIENTOS!$A$5:$A$1005&lt;&gt;"")*(MOVIMIENTOS!$A$5:$A$1005&lt;=$A224)*MOVIMIENTOS!$E$5:$E$1005))</f>
        <v/>
      </c>
      <c r="E224" s="63" t="str">
        <f>IF($A224="","",SUMPRODUCT((MOVIMIENTOS!$B$5:$B$1005="SALDO INICIAL")*(MOVIMIENTOS!$C$5:$C$1005="M")*(MOVIMIENTOS!$D$5:$D$1005="jabas")*(MOVIMIENTOS!$A$5:$A$1005&lt;&gt;"")*(MOVIMIENTOS!$A$5:$A$1005&lt;=$A224)*MOVIMIENTOS!$E$5:$E$1005)+SUMPRODUCT((MOVIMIENTOS!$B$5:$B$1005="PROCESO")*(MOVIMIENTOS!$C$5:$C$1005="M")*(MOVIMIENTOS!$D$5:$D$1005="jabas")*(MOVIMIENTOS!$A$5:$A$1005&lt;&gt;"")*(MOVIMIENTOS!$A$5:$A$1005&lt;=$A224)*MOVIMIENTOS!$E$5:$E$1005)-SUMPRODUCT((MOVIMIENTOS!$B$5:$B$1005="ENVÍO A SUPESA")*(MOVIMIENTOS!$C$5:$C$1005="M")*(MOVIMIENTOS!$D$5:$D$1005="jabas")*(MOVIMIENTOS!$A$5:$A$1005&lt;&gt;"")*(MOVIMIENTOS!$A$5:$A$1005&lt;=$A224)*MOVIMIENTOS!$E$5:$E$1005)+SUMPRODUCT((MOVIMIENTOS!$B$5:$B$1005="DEVOLUCIÓN")*(MOVIMIENTOS!$C$5:$C$1005="M")*(MOVIMIENTOS!$D$5:$D$1005="jabas")*(MOVIMIENTOS!$A$5:$A$1005&lt;&gt;"")*(MOVIMIENTOS!$A$5:$A$1005&lt;=$A224)*MOVIMIENTOS!$E$5:$E$1005)-SUMPRODUCT((MOVIMIENTOS!$B$5:$B$1005="TRASIEGO")*(MOVIMIENTOS!$C$5:$C$1005="M")*(MOVIMIENTOS!$D$5:$D$1005="jabas")*(MOVIMIENTOS!$A$5:$A$1005&lt;&gt;"")*(MOVIMIENTOS!$A$5:$A$1005&lt;=$A224)*MOVIMIENTOS!$E$5:$E$1005)-SUMPRODUCT((MOVIMIENTOS!$B$5:$B$1005="REGALO")*(MOVIMIENTOS!$C$5:$C$1005="M")*(MOVIMIENTOS!$D$5:$D$1005="jabas")*(MOVIMIENTOS!$A$5:$A$1005&lt;&gt;"")*(MOVIMIENTOS!$A$5:$A$1005&lt;=$A224)*MOVIMIENTOS!$E$5:$E$1005)-SUMPRODUCT((MOVIMIENTOS!$B$5:$B$1005="VENTA")*(MOVIMIENTOS!$C$5:$C$1005="M")*(MOVIMIENTOS!$D$5:$D$1005="jabas")*(MOVIMIENTOS!$A$5:$A$1005&lt;&gt;"")*(MOVIMIENTOS!$A$5:$A$1005&lt;=$A224)*MOVIMIENTOS!$E$5:$E$1005)+SUMPRODUCT((MOVIMIENTOS!$B$5:$B$1005="AJUSTE")*(MOVIMIENTOS!$C$5:$C$1005="M")*(MOVIMIENTOS!$D$5:$D$1005="jabas")*(MOVIMIENTOS!$A$5:$A$1005&lt;&gt;"")*(MOVIMIENTOS!$A$5:$A$1005&lt;=$A224)*MOVIMIENTOS!$E$5:$E$1005))</f>
        <v/>
      </c>
      <c r="F224" s="63" t="str">
        <f>IF($A224="","",SUMPRODUCT((MOVIMIENTOS!$B$5:$B$1005="SALDO INICIAL")*(MOVIMIENTOS!$C$5:$C$1005="Chancho")*(MOVIMIENTOS!$D$5:$D$1005="sacos")*(MOVIMIENTOS!$A$5:$A$1005&lt;&gt;"")*(MOVIMIENTOS!$A$5:$A$1005&lt;=$A224)*MOVIMIENTOS!$E$5:$E$1005)+SUMPRODUCT((MOVIMIENTOS!$B$5:$B$1005="PROCESO")*(MOVIMIENTOS!$C$5:$C$1005="Chancho")*(MOVIMIENTOS!$D$5:$D$1005="sacos")*(MOVIMIENTOS!$A$5:$A$1005&lt;&gt;"")*(MOVIMIENTOS!$A$5:$A$1005&lt;=$A224)*MOVIMIENTOS!$E$5:$E$1005)-SUMPRODUCT((MOVIMIENTOS!$B$5:$B$1005="VENTA CHANCHO")*(MOVIMIENTOS!$C$5:$C$1005="Chancho")*(MOVIMIENTOS!$D$5:$D$1005="sacos")*(MOVIMIENTOS!$A$5:$A$1005&lt;&gt;"")*(MOVIMIENTOS!$A$5:$A$1005&lt;=$A224)*MOVIMIENTOS!$E$5:$E$1005)-SUMPRODUCT((MOVIMIENTOS!$B$5:$B$1005="REGALO")*(MOVIMIENTOS!$C$5:$C$1005="Chancho")*(MOVIMIENTOS!$D$5:$D$1005="sacos")*(MOVIMIENTOS!$A$5:$A$1005&lt;&gt;"")*(MOVIMIENTOS!$A$5:$A$1005&lt;=$A224)*MOVIMIENTOS!$E$5:$E$1005)-SUMPRODUCT((MOVIMIENTOS!$B$5:$B$1005="VENTA")*(MOVIMIENTOS!$C$5:$C$1005="Chancho")*(MOVIMIENTOS!$D$5:$D$1005="sacos")*(MOVIMIENTOS!$A$5:$A$1005&lt;&gt;"")*(MOVIMIENTOS!$A$5:$A$1005&lt;=$A224)*MOVIMIENTOS!$E$5:$E$1005)+SUMPRODUCT((MOVIMIENTOS!$B$5:$B$1005="AJUSTE")*(MOVIMIENTOS!$C$5:$C$1005="Chancho")*(MOVIMIENTOS!$D$5:$D$1005="sacos")*(MOVIMIENTOS!$A$5:$A$1005&lt;&gt;"")*(MOVIMIENTOS!$A$5:$A$1005&lt;=$A224)*MOVIMIENTOS!$E$5:$E$1005))</f>
        <v/>
      </c>
      <c r="G224" s="95" t="str">
        <f t="shared" si="7"/>
        <v/>
      </c>
      <c r="H224" s="63" t="str">
        <f>IF($A224="","",SUMPRODUCT((((MOVIMIENTOS!$B$5:$B$1005="SALDO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224)*MOVIMIENTOS!$J$5:$J$1005))</f>
        <v/>
      </c>
      <c r="I224" s="63"/>
      <c r="J224" s="63" t="str">
        <f>IF(AND(MOVIMIENTOS!$A224&lt;&gt;"",COUNTIF(MOVIMIENTOS!$A$5:$A223,MOVIMIENTOS!$A224)=0),COUNT(J$4:J223)+1,"")</f>
        <v/>
      </c>
      <c r="K224" s="66">
        <f>MOVIMIENTOS!$A224</f>
        <v>46234</v>
      </c>
      <c r="L224" s="63"/>
      <c r="M224" s="63"/>
      <c r="N224" s="63"/>
    </row>
    <row r="225" spans="1:14" ht="15" customHeight="1" x14ac:dyDescent="0.2">
      <c r="A225" s="63" t="str">
        <f t="shared" si="6"/>
        <v/>
      </c>
      <c r="B225" s="63" t="str">
        <f>IF($A225="","",SUMPRODUCT((MOVIMIENTOS!$B$5:$B$1005="SALDO INICIAL")*(MOVIMIENTOS!$C$5:$C$1005="A")*(MOVIMIENTOS!$D$5:$D$1005="jabas")*(MOVIMIENTOS!$A$5:$A$1005&lt;&gt;"")*(MOVIMIENTOS!$A$5:$A$1005&lt;=$A225)*MOVIMIENTOS!$E$5:$E$1005)+SUMPRODUCT((MOVIMIENTOS!$B$5:$B$1005="PROCESO")*(MOVIMIENTOS!$C$5:$C$1005="A")*(MOVIMIENTOS!$D$5:$D$1005="jabas")*(MOVIMIENTOS!$A$5:$A$1005&lt;&gt;"")*(MOVIMIENTOS!$A$5:$A$1005&lt;=$A225)*MOVIMIENTOS!$E$5:$E$1005)-SUMPRODUCT((MOVIMIENTOS!$B$5:$B$1005="ENVÍO A SUPESA")*(MOVIMIENTOS!$C$5:$C$1005="A")*(MOVIMIENTOS!$D$5:$D$1005="jabas")*(MOVIMIENTOS!$A$5:$A$1005&lt;&gt;"")*(MOVIMIENTOS!$A$5:$A$1005&lt;=$A225)*MOVIMIENTOS!$E$5:$E$1005)+SUMPRODUCT((MOVIMIENTOS!$B$5:$B$1005="DEVOLUCIÓN")*(MOVIMIENTOS!$C$5:$C$1005="A")*(MOVIMIENTOS!$D$5:$D$1005="jabas")*(MOVIMIENTOS!$A$5:$A$1005&lt;&gt;"")*(MOVIMIENTOS!$A$5:$A$1005&lt;=$A225)*MOVIMIENTOS!$E$5:$E$1005)-SUMPRODUCT((MOVIMIENTOS!$B$5:$B$1005="TRASIEGO")*(MOVIMIENTOS!$C$5:$C$1005="A")*(MOVIMIENTOS!$D$5:$D$1005="jabas")*(MOVIMIENTOS!$A$5:$A$1005&lt;&gt;"")*(MOVIMIENTOS!$A$5:$A$1005&lt;=$A225)*MOVIMIENTOS!$E$5:$E$1005)-SUMPRODUCT((MOVIMIENTOS!$B$5:$B$1005="REGALO")*(MOVIMIENTOS!$C$5:$C$1005="A")*(MOVIMIENTOS!$D$5:$D$1005="jabas")*(MOVIMIENTOS!$A$5:$A$1005&lt;&gt;"")*(MOVIMIENTOS!$A$5:$A$1005&lt;=$A225)*MOVIMIENTOS!$E$5:$E$1005)-SUMPRODUCT((MOVIMIENTOS!$B$5:$B$1005="VENTA")*(MOVIMIENTOS!$C$5:$C$1005="A")*(MOVIMIENTOS!$D$5:$D$1005="jabas")*(MOVIMIENTOS!$A$5:$A$1005&lt;&gt;"")*(MOVIMIENTOS!$A$5:$A$1005&lt;=$A225)*MOVIMIENTOS!$E$5:$E$1005)+SUMPRODUCT((MOVIMIENTOS!$B$5:$B$1005="AJUSTE")*(MOVIMIENTOS!$C$5:$C$1005="A")*(MOVIMIENTOS!$D$5:$D$1005="jabas")*(MOVIMIENTOS!$A$5:$A$1005&lt;&gt;"")*(MOVIMIENTOS!$A$5:$A$1005&lt;=$A225)*MOVIMIENTOS!$E$5:$E$1005))</f>
        <v/>
      </c>
      <c r="C225" s="63" t="str">
        <f>IF($A225="","",SUMPRODUCT((MOVIMIENTOS!$B$5:$B$1005="SALDO INICIAL")*(MOVIMIENTOS!$C$5:$C$1005="P")*(MOVIMIENTOS!$D$5:$D$1005="jabas")*(MOVIMIENTOS!$A$5:$A$1005&lt;&gt;"")*(MOVIMIENTOS!$A$5:$A$1005&lt;=$A225)*MOVIMIENTOS!$E$5:$E$1005)+SUMPRODUCT((MOVIMIENTOS!$B$5:$B$1005="PROCESO")*(MOVIMIENTOS!$C$5:$C$1005="P")*(MOVIMIENTOS!$D$5:$D$1005="jabas")*(MOVIMIENTOS!$A$5:$A$1005&lt;&gt;"")*(MOVIMIENTOS!$A$5:$A$1005&lt;=$A225)*MOVIMIENTOS!$E$5:$E$1005)-SUMPRODUCT((MOVIMIENTOS!$B$5:$B$1005="ENVÍO A SUPESA")*(MOVIMIENTOS!$C$5:$C$1005="P")*(MOVIMIENTOS!$D$5:$D$1005="jabas")*(MOVIMIENTOS!$A$5:$A$1005&lt;&gt;"")*(MOVIMIENTOS!$A$5:$A$1005&lt;=$A225)*MOVIMIENTOS!$E$5:$E$1005)+SUMPRODUCT((MOVIMIENTOS!$B$5:$B$1005="DEVOLUCIÓN")*(MOVIMIENTOS!$C$5:$C$1005="P")*(MOVIMIENTOS!$D$5:$D$1005="jabas")*(MOVIMIENTOS!$A$5:$A$1005&lt;&gt;"")*(MOVIMIENTOS!$A$5:$A$1005&lt;=$A225)*MOVIMIENTOS!$E$5:$E$1005)-SUMPRODUCT((MOVIMIENTOS!$B$5:$B$1005="TRASIEGO")*(MOVIMIENTOS!$C$5:$C$1005="P")*(MOVIMIENTOS!$D$5:$D$1005="jabas")*(MOVIMIENTOS!$A$5:$A$1005&lt;&gt;"")*(MOVIMIENTOS!$A$5:$A$1005&lt;=$A225)*MOVIMIENTOS!$E$5:$E$1005)-SUMPRODUCT((MOVIMIENTOS!$B$5:$B$1005="REGALO")*(MOVIMIENTOS!$C$5:$C$1005="P")*(MOVIMIENTOS!$D$5:$D$1005="jabas")*(MOVIMIENTOS!$A$5:$A$1005&lt;&gt;"")*(MOVIMIENTOS!$A$5:$A$1005&lt;=$A225)*MOVIMIENTOS!$E$5:$E$1005)-SUMPRODUCT((MOVIMIENTOS!$B$5:$B$1005="VENTA")*(MOVIMIENTOS!$C$5:$C$1005="P")*(MOVIMIENTOS!$D$5:$D$1005="jabas")*(MOVIMIENTOS!$A$5:$A$1005&lt;&gt;"")*(MOVIMIENTOS!$A$5:$A$1005&lt;=$A225)*MOVIMIENTOS!$E$5:$E$1005)+SUMPRODUCT((MOVIMIENTOS!$B$5:$B$1005="AJUSTE")*(MOVIMIENTOS!$C$5:$C$1005="P")*(MOVIMIENTOS!$D$5:$D$1005="jabas")*(MOVIMIENTOS!$A$5:$A$1005&lt;&gt;"")*(MOVIMIENTOS!$A$5:$A$1005&lt;=$A225)*MOVIMIENTOS!$E$5:$E$1005))</f>
        <v/>
      </c>
      <c r="D225" s="63" t="str">
        <f>IF($A225="","",SUMPRODUCT((MOVIMIENTOS!$B$5:$B$1005="SALDO INICIAL")*(MOVIMIENTOS!$C$5:$C$1005="C")*(MOVIMIENTOS!$D$5:$D$1005="jabas")*(MOVIMIENTOS!$A$5:$A$1005&lt;&gt;"")*(MOVIMIENTOS!$A$5:$A$1005&lt;=$A225)*MOVIMIENTOS!$E$5:$E$1005)+SUMPRODUCT((MOVIMIENTOS!$B$5:$B$1005="PROCESO")*(MOVIMIENTOS!$C$5:$C$1005="C")*(MOVIMIENTOS!$D$5:$D$1005="jabas")*(MOVIMIENTOS!$A$5:$A$1005&lt;&gt;"")*(MOVIMIENTOS!$A$5:$A$1005&lt;=$A225)*MOVIMIENTOS!$E$5:$E$1005)-SUMPRODUCT((MOVIMIENTOS!$B$5:$B$1005="ENVÍO A SUPESA")*(MOVIMIENTOS!$C$5:$C$1005="C")*(MOVIMIENTOS!$D$5:$D$1005="jabas")*(MOVIMIENTOS!$A$5:$A$1005&lt;&gt;"")*(MOVIMIENTOS!$A$5:$A$1005&lt;=$A225)*MOVIMIENTOS!$E$5:$E$1005)+SUMPRODUCT((MOVIMIENTOS!$B$5:$B$1005="DEVOLUCIÓN")*(MOVIMIENTOS!$C$5:$C$1005="C")*(MOVIMIENTOS!$D$5:$D$1005="jabas")*(MOVIMIENTOS!$A$5:$A$1005&lt;&gt;"")*(MOVIMIENTOS!$A$5:$A$1005&lt;=$A225)*MOVIMIENTOS!$E$5:$E$1005)-SUMPRODUCT((MOVIMIENTOS!$B$5:$B$1005="TRASIEGO")*(MOVIMIENTOS!$C$5:$C$1005="C")*(MOVIMIENTOS!$D$5:$D$1005="jabas")*(MOVIMIENTOS!$A$5:$A$1005&lt;&gt;"")*(MOVIMIENTOS!$A$5:$A$1005&lt;=$A225)*MOVIMIENTOS!$E$5:$E$1005)-SUMPRODUCT((MOVIMIENTOS!$B$5:$B$1005="REGALO")*(MOVIMIENTOS!$C$5:$C$1005="C")*(MOVIMIENTOS!$D$5:$D$1005="jabas")*(MOVIMIENTOS!$A$5:$A$1005&lt;&gt;"")*(MOVIMIENTOS!$A$5:$A$1005&lt;=$A225)*MOVIMIENTOS!$E$5:$E$1005)-SUMPRODUCT((MOVIMIENTOS!$B$5:$B$1005="VENTA")*(MOVIMIENTOS!$C$5:$C$1005="C")*(MOVIMIENTOS!$D$5:$D$1005="jabas")*(MOVIMIENTOS!$A$5:$A$1005&lt;&gt;"")*(MOVIMIENTOS!$A$5:$A$1005&lt;=$A225)*MOVIMIENTOS!$E$5:$E$1005)+SUMPRODUCT((MOVIMIENTOS!$B$5:$B$1005="AJUSTE")*(MOVIMIENTOS!$C$5:$C$1005="C")*(MOVIMIENTOS!$D$5:$D$1005="jabas")*(MOVIMIENTOS!$A$5:$A$1005&lt;&gt;"")*(MOVIMIENTOS!$A$5:$A$1005&lt;=$A225)*MOVIMIENTOS!$E$5:$E$1005))</f>
        <v/>
      </c>
      <c r="E225" s="63" t="str">
        <f>IF($A225="","",SUMPRODUCT((MOVIMIENTOS!$B$5:$B$1005="SALDO INICIAL")*(MOVIMIENTOS!$C$5:$C$1005="M")*(MOVIMIENTOS!$D$5:$D$1005="jabas")*(MOVIMIENTOS!$A$5:$A$1005&lt;&gt;"")*(MOVIMIENTOS!$A$5:$A$1005&lt;=$A225)*MOVIMIENTOS!$E$5:$E$1005)+SUMPRODUCT((MOVIMIENTOS!$B$5:$B$1005="PROCESO")*(MOVIMIENTOS!$C$5:$C$1005="M")*(MOVIMIENTOS!$D$5:$D$1005="jabas")*(MOVIMIENTOS!$A$5:$A$1005&lt;&gt;"")*(MOVIMIENTOS!$A$5:$A$1005&lt;=$A225)*MOVIMIENTOS!$E$5:$E$1005)-SUMPRODUCT((MOVIMIENTOS!$B$5:$B$1005="ENVÍO A SUPESA")*(MOVIMIENTOS!$C$5:$C$1005="M")*(MOVIMIENTOS!$D$5:$D$1005="jabas")*(MOVIMIENTOS!$A$5:$A$1005&lt;&gt;"")*(MOVIMIENTOS!$A$5:$A$1005&lt;=$A225)*MOVIMIENTOS!$E$5:$E$1005)+SUMPRODUCT((MOVIMIENTOS!$B$5:$B$1005="DEVOLUCIÓN")*(MOVIMIENTOS!$C$5:$C$1005="M")*(MOVIMIENTOS!$D$5:$D$1005="jabas")*(MOVIMIENTOS!$A$5:$A$1005&lt;&gt;"")*(MOVIMIENTOS!$A$5:$A$1005&lt;=$A225)*MOVIMIENTOS!$E$5:$E$1005)-SUMPRODUCT((MOVIMIENTOS!$B$5:$B$1005="TRASIEGO")*(MOVIMIENTOS!$C$5:$C$1005="M")*(MOVIMIENTOS!$D$5:$D$1005="jabas")*(MOVIMIENTOS!$A$5:$A$1005&lt;&gt;"")*(MOVIMIENTOS!$A$5:$A$1005&lt;=$A225)*MOVIMIENTOS!$E$5:$E$1005)-SUMPRODUCT((MOVIMIENTOS!$B$5:$B$1005="REGALO")*(MOVIMIENTOS!$C$5:$C$1005="M")*(MOVIMIENTOS!$D$5:$D$1005="jabas")*(MOVIMIENTOS!$A$5:$A$1005&lt;&gt;"")*(MOVIMIENTOS!$A$5:$A$1005&lt;=$A225)*MOVIMIENTOS!$E$5:$E$1005)-SUMPRODUCT((MOVIMIENTOS!$B$5:$B$1005="VENTA")*(MOVIMIENTOS!$C$5:$C$1005="M")*(MOVIMIENTOS!$D$5:$D$1005="jabas")*(MOVIMIENTOS!$A$5:$A$1005&lt;&gt;"")*(MOVIMIENTOS!$A$5:$A$1005&lt;=$A225)*MOVIMIENTOS!$E$5:$E$1005)+SUMPRODUCT((MOVIMIENTOS!$B$5:$B$1005="AJUSTE")*(MOVIMIENTOS!$C$5:$C$1005="M")*(MOVIMIENTOS!$D$5:$D$1005="jabas")*(MOVIMIENTOS!$A$5:$A$1005&lt;&gt;"")*(MOVIMIENTOS!$A$5:$A$1005&lt;=$A225)*MOVIMIENTOS!$E$5:$E$1005))</f>
        <v/>
      </c>
      <c r="F225" s="63" t="str">
        <f>IF($A225="","",SUMPRODUCT((MOVIMIENTOS!$B$5:$B$1005="SALDO INICIAL")*(MOVIMIENTOS!$C$5:$C$1005="Chancho")*(MOVIMIENTOS!$D$5:$D$1005="sacos")*(MOVIMIENTOS!$A$5:$A$1005&lt;&gt;"")*(MOVIMIENTOS!$A$5:$A$1005&lt;=$A225)*MOVIMIENTOS!$E$5:$E$1005)+SUMPRODUCT((MOVIMIENTOS!$B$5:$B$1005="PROCESO")*(MOVIMIENTOS!$C$5:$C$1005="Chancho")*(MOVIMIENTOS!$D$5:$D$1005="sacos")*(MOVIMIENTOS!$A$5:$A$1005&lt;&gt;"")*(MOVIMIENTOS!$A$5:$A$1005&lt;=$A225)*MOVIMIENTOS!$E$5:$E$1005)-SUMPRODUCT((MOVIMIENTOS!$B$5:$B$1005="VENTA CHANCHO")*(MOVIMIENTOS!$C$5:$C$1005="Chancho")*(MOVIMIENTOS!$D$5:$D$1005="sacos")*(MOVIMIENTOS!$A$5:$A$1005&lt;&gt;"")*(MOVIMIENTOS!$A$5:$A$1005&lt;=$A225)*MOVIMIENTOS!$E$5:$E$1005)-SUMPRODUCT((MOVIMIENTOS!$B$5:$B$1005="REGALO")*(MOVIMIENTOS!$C$5:$C$1005="Chancho")*(MOVIMIENTOS!$D$5:$D$1005="sacos")*(MOVIMIENTOS!$A$5:$A$1005&lt;&gt;"")*(MOVIMIENTOS!$A$5:$A$1005&lt;=$A225)*MOVIMIENTOS!$E$5:$E$1005)-SUMPRODUCT((MOVIMIENTOS!$B$5:$B$1005="VENTA")*(MOVIMIENTOS!$C$5:$C$1005="Chancho")*(MOVIMIENTOS!$D$5:$D$1005="sacos")*(MOVIMIENTOS!$A$5:$A$1005&lt;&gt;"")*(MOVIMIENTOS!$A$5:$A$1005&lt;=$A225)*MOVIMIENTOS!$E$5:$E$1005)+SUMPRODUCT((MOVIMIENTOS!$B$5:$B$1005="AJUSTE")*(MOVIMIENTOS!$C$5:$C$1005="Chancho")*(MOVIMIENTOS!$D$5:$D$1005="sacos")*(MOVIMIENTOS!$A$5:$A$1005&lt;&gt;"")*(MOVIMIENTOS!$A$5:$A$1005&lt;=$A225)*MOVIMIENTOS!$E$5:$E$1005))</f>
        <v/>
      </c>
      <c r="G225" s="95" t="str">
        <f t="shared" si="7"/>
        <v/>
      </c>
      <c r="H225" s="63" t="str">
        <f>IF($A225="","",SUMPRODUCT((((MOVIMIENTOS!$B$5:$B$1005="SALDO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225)*MOVIMIENTOS!$J$5:$J$1005))</f>
        <v/>
      </c>
      <c r="I225" s="63"/>
      <c r="J225" s="63" t="str">
        <f>IF(AND(MOVIMIENTOS!$A225&lt;&gt;"",COUNTIF(MOVIMIENTOS!$A$5:$A224,MOVIMIENTOS!$A225)=0),COUNT(J$4:J224)+1,"")</f>
        <v/>
      </c>
      <c r="K225" s="66">
        <f>MOVIMIENTOS!$A225</f>
        <v>46234</v>
      </c>
      <c r="L225" s="63"/>
      <c r="M225" s="63"/>
      <c r="N225" s="63"/>
    </row>
    <row r="226" spans="1:14" ht="15" customHeight="1" x14ac:dyDescent="0.2">
      <c r="A226" s="63" t="str">
        <f t="shared" si="6"/>
        <v/>
      </c>
      <c r="B226" s="63" t="str">
        <f>IF($A226="","",SUMPRODUCT((MOVIMIENTOS!$B$5:$B$1005="SALDO INICIAL")*(MOVIMIENTOS!$C$5:$C$1005="A")*(MOVIMIENTOS!$D$5:$D$1005="jabas")*(MOVIMIENTOS!$A$5:$A$1005&lt;&gt;"")*(MOVIMIENTOS!$A$5:$A$1005&lt;=$A226)*MOVIMIENTOS!$E$5:$E$1005)+SUMPRODUCT((MOVIMIENTOS!$B$5:$B$1005="PROCESO")*(MOVIMIENTOS!$C$5:$C$1005="A")*(MOVIMIENTOS!$D$5:$D$1005="jabas")*(MOVIMIENTOS!$A$5:$A$1005&lt;&gt;"")*(MOVIMIENTOS!$A$5:$A$1005&lt;=$A226)*MOVIMIENTOS!$E$5:$E$1005)-SUMPRODUCT((MOVIMIENTOS!$B$5:$B$1005="ENVÍO A SUPESA")*(MOVIMIENTOS!$C$5:$C$1005="A")*(MOVIMIENTOS!$D$5:$D$1005="jabas")*(MOVIMIENTOS!$A$5:$A$1005&lt;&gt;"")*(MOVIMIENTOS!$A$5:$A$1005&lt;=$A226)*MOVIMIENTOS!$E$5:$E$1005)+SUMPRODUCT((MOVIMIENTOS!$B$5:$B$1005="DEVOLUCIÓN")*(MOVIMIENTOS!$C$5:$C$1005="A")*(MOVIMIENTOS!$D$5:$D$1005="jabas")*(MOVIMIENTOS!$A$5:$A$1005&lt;&gt;"")*(MOVIMIENTOS!$A$5:$A$1005&lt;=$A226)*MOVIMIENTOS!$E$5:$E$1005)-SUMPRODUCT((MOVIMIENTOS!$B$5:$B$1005="TRASIEGO")*(MOVIMIENTOS!$C$5:$C$1005="A")*(MOVIMIENTOS!$D$5:$D$1005="jabas")*(MOVIMIENTOS!$A$5:$A$1005&lt;&gt;"")*(MOVIMIENTOS!$A$5:$A$1005&lt;=$A226)*MOVIMIENTOS!$E$5:$E$1005)-SUMPRODUCT((MOVIMIENTOS!$B$5:$B$1005="REGALO")*(MOVIMIENTOS!$C$5:$C$1005="A")*(MOVIMIENTOS!$D$5:$D$1005="jabas")*(MOVIMIENTOS!$A$5:$A$1005&lt;&gt;"")*(MOVIMIENTOS!$A$5:$A$1005&lt;=$A226)*MOVIMIENTOS!$E$5:$E$1005)-SUMPRODUCT((MOVIMIENTOS!$B$5:$B$1005="VENTA")*(MOVIMIENTOS!$C$5:$C$1005="A")*(MOVIMIENTOS!$D$5:$D$1005="jabas")*(MOVIMIENTOS!$A$5:$A$1005&lt;&gt;"")*(MOVIMIENTOS!$A$5:$A$1005&lt;=$A226)*MOVIMIENTOS!$E$5:$E$1005)+SUMPRODUCT((MOVIMIENTOS!$B$5:$B$1005="AJUSTE")*(MOVIMIENTOS!$C$5:$C$1005="A")*(MOVIMIENTOS!$D$5:$D$1005="jabas")*(MOVIMIENTOS!$A$5:$A$1005&lt;&gt;"")*(MOVIMIENTOS!$A$5:$A$1005&lt;=$A226)*MOVIMIENTOS!$E$5:$E$1005))</f>
        <v/>
      </c>
      <c r="C226" s="63" t="str">
        <f>IF($A226="","",SUMPRODUCT((MOVIMIENTOS!$B$5:$B$1005="SALDO INICIAL")*(MOVIMIENTOS!$C$5:$C$1005="P")*(MOVIMIENTOS!$D$5:$D$1005="jabas")*(MOVIMIENTOS!$A$5:$A$1005&lt;&gt;"")*(MOVIMIENTOS!$A$5:$A$1005&lt;=$A226)*MOVIMIENTOS!$E$5:$E$1005)+SUMPRODUCT((MOVIMIENTOS!$B$5:$B$1005="PROCESO")*(MOVIMIENTOS!$C$5:$C$1005="P")*(MOVIMIENTOS!$D$5:$D$1005="jabas")*(MOVIMIENTOS!$A$5:$A$1005&lt;&gt;"")*(MOVIMIENTOS!$A$5:$A$1005&lt;=$A226)*MOVIMIENTOS!$E$5:$E$1005)-SUMPRODUCT((MOVIMIENTOS!$B$5:$B$1005="ENVÍO A SUPESA")*(MOVIMIENTOS!$C$5:$C$1005="P")*(MOVIMIENTOS!$D$5:$D$1005="jabas")*(MOVIMIENTOS!$A$5:$A$1005&lt;&gt;"")*(MOVIMIENTOS!$A$5:$A$1005&lt;=$A226)*MOVIMIENTOS!$E$5:$E$1005)+SUMPRODUCT((MOVIMIENTOS!$B$5:$B$1005="DEVOLUCIÓN")*(MOVIMIENTOS!$C$5:$C$1005="P")*(MOVIMIENTOS!$D$5:$D$1005="jabas")*(MOVIMIENTOS!$A$5:$A$1005&lt;&gt;"")*(MOVIMIENTOS!$A$5:$A$1005&lt;=$A226)*MOVIMIENTOS!$E$5:$E$1005)-SUMPRODUCT((MOVIMIENTOS!$B$5:$B$1005="TRASIEGO")*(MOVIMIENTOS!$C$5:$C$1005="P")*(MOVIMIENTOS!$D$5:$D$1005="jabas")*(MOVIMIENTOS!$A$5:$A$1005&lt;&gt;"")*(MOVIMIENTOS!$A$5:$A$1005&lt;=$A226)*MOVIMIENTOS!$E$5:$E$1005)-SUMPRODUCT((MOVIMIENTOS!$B$5:$B$1005="REGALO")*(MOVIMIENTOS!$C$5:$C$1005="P")*(MOVIMIENTOS!$D$5:$D$1005="jabas")*(MOVIMIENTOS!$A$5:$A$1005&lt;&gt;"")*(MOVIMIENTOS!$A$5:$A$1005&lt;=$A226)*MOVIMIENTOS!$E$5:$E$1005)-SUMPRODUCT((MOVIMIENTOS!$B$5:$B$1005="VENTA")*(MOVIMIENTOS!$C$5:$C$1005="P")*(MOVIMIENTOS!$D$5:$D$1005="jabas")*(MOVIMIENTOS!$A$5:$A$1005&lt;&gt;"")*(MOVIMIENTOS!$A$5:$A$1005&lt;=$A226)*MOVIMIENTOS!$E$5:$E$1005)+SUMPRODUCT((MOVIMIENTOS!$B$5:$B$1005="AJUSTE")*(MOVIMIENTOS!$C$5:$C$1005="P")*(MOVIMIENTOS!$D$5:$D$1005="jabas")*(MOVIMIENTOS!$A$5:$A$1005&lt;&gt;"")*(MOVIMIENTOS!$A$5:$A$1005&lt;=$A226)*MOVIMIENTOS!$E$5:$E$1005))</f>
        <v/>
      </c>
      <c r="D226" s="63" t="str">
        <f>IF($A226="","",SUMPRODUCT((MOVIMIENTOS!$B$5:$B$1005="SALDO INICIAL")*(MOVIMIENTOS!$C$5:$C$1005="C")*(MOVIMIENTOS!$D$5:$D$1005="jabas")*(MOVIMIENTOS!$A$5:$A$1005&lt;&gt;"")*(MOVIMIENTOS!$A$5:$A$1005&lt;=$A226)*MOVIMIENTOS!$E$5:$E$1005)+SUMPRODUCT((MOVIMIENTOS!$B$5:$B$1005="PROCESO")*(MOVIMIENTOS!$C$5:$C$1005="C")*(MOVIMIENTOS!$D$5:$D$1005="jabas")*(MOVIMIENTOS!$A$5:$A$1005&lt;&gt;"")*(MOVIMIENTOS!$A$5:$A$1005&lt;=$A226)*MOVIMIENTOS!$E$5:$E$1005)-SUMPRODUCT((MOVIMIENTOS!$B$5:$B$1005="ENVÍO A SUPESA")*(MOVIMIENTOS!$C$5:$C$1005="C")*(MOVIMIENTOS!$D$5:$D$1005="jabas")*(MOVIMIENTOS!$A$5:$A$1005&lt;&gt;"")*(MOVIMIENTOS!$A$5:$A$1005&lt;=$A226)*MOVIMIENTOS!$E$5:$E$1005)+SUMPRODUCT((MOVIMIENTOS!$B$5:$B$1005="DEVOLUCIÓN")*(MOVIMIENTOS!$C$5:$C$1005="C")*(MOVIMIENTOS!$D$5:$D$1005="jabas")*(MOVIMIENTOS!$A$5:$A$1005&lt;&gt;"")*(MOVIMIENTOS!$A$5:$A$1005&lt;=$A226)*MOVIMIENTOS!$E$5:$E$1005)-SUMPRODUCT((MOVIMIENTOS!$B$5:$B$1005="TRASIEGO")*(MOVIMIENTOS!$C$5:$C$1005="C")*(MOVIMIENTOS!$D$5:$D$1005="jabas")*(MOVIMIENTOS!$A$5:$A$1005&lt;&gt;"")*(MOVIMIENTOS!$A$5:$A$1005&lt;=$A226)*MOVIMIENTOS!$E$5:$E$1005)-SUMPRODUCT((MOVIMIENTOS!$B$5:$B$1005="REGALO")*(MOVIMIENTOS!$C$5:$C$1005="C")*(MOVIMIENTOS!$D$5:$D$1005="jabas")*(MOVIMIENTOS!$A$5:$A$1005&lt;&gt;"")*(MOVIMIENTOS!$A$5:$A$1005&lt;=$A226)*MOVIMIENTOS!$E$5:$E$1005)-SUMPRODUCT((MOVIMIENTOS!$B$5:$B$1005="VENTA")*(MOVIMIENTOS!$C$5:$C$1005="C")*(MOVIMIENTOS!$D$5:$D$1005="jabas")*(MOVIMIENTOS!$A$5:$A$1005&lt;&gt;"")*(MOVIMIENTOS!$A$5:$A$1005&lt;=$A226)*MOVIMIENTOS!$E$5:$E$1005)+SUMPRODUCT((MOVIMIENTOS!$B$5:$B$1005="AJUSTE")*(MOVIMIENTOS!$C$5:$C$1005="C")*(MOVIMIENTOS!$D$5:$D$1005="jabas")*(MOVIMIENTOS!$A$5:$A$1005&lt;&gt;"")*(MOVIMIENTOS!$A$5:$A$1005&lt;=$A226)*MOVIMIENTOS!$E$5:$E$1005))</f>
        <v/>
      </c>
      <c r="E226" s="63" t="str">
        <f>IF($A226="","",SUMPRODUCT((MOVIMIENTOS!$B$5:$B$1005="SALDO INICIAL")*(MOVIMIENTOS!$C$5:$C$1005="M")*(MOVIMIENTOS!$D$5:$D$1005="jabas")*(MOVIMIENTOS!$A$5:$A$1005&lt;&gt;"")*(MOVIMIENTOS!$A$5:$A$1005&lt;=$A226)*MOVIMIENTOS!$E$5:$E$1005)+SUMPRODUCT((MOVIMIENTOS!$B$5:$B$1005="PROCESO")*(MOVIMIENTOS!$C$5:$C$1005="M")*(MOVIMIENTOS!$D$5:$D$1005="jabas")*(MOVIMIENTOS!$A$5:$A$1005&lt;&gt;"")*(MOVIMIENTOS!$A$5:$A$1005&lt;=$A226)*MOVIMIENTOS!$E$5:$E$1005)-SUMPRODUCT((MOVIMIENTOS!$B$5:$B$1005="ENVÍO A SUPESA")*(MOVIMIENTOS!$C$5:$C$1005="M")*(MOVIMIENTOS!$D$5:$D$1005="jabas")*(MOVIMIENTOS!$A$5:$A$1005&lt;&gt;"")*(MOVIMIENTOS!$A$5:$A$1005&lt;=$A226)*MOVIMIENTOS!$E$5:$E$1005)+SUMPRODUCT((MOVIMIENTOS!$B$5:$B$1005="DEVOLUCIÓN")*(MOVIMIENTOS!$C$5:$C$1005="M")*(MOVIMIENTOS!$D$5:$D$1005="jabas")*(MOVIMIENTOS!$A$5:$A$1005&lt;&gt;"")*(MOVIMIENTOS!$A$5:$A$1005&lt;=$A226)*MOVIMIENTOS!$E$5:$E$1005)-SUMPRODUCT((MOVIMIENTOS!$B$5:$B$1005="TRASIEGO")*(MOVIMIENTOS!$C$5:$C$1005="M")*(MOVIMIENTOS!$D$5:$D$1005="jabas")*(MOVIMIENTOS!$A$5:$A$1005&lt;&gt;"")*(MOVIMIENTOS!$A$5:$A$1005&lt;=$A226)*MOVIMIENTOS!$E$5:$E$1005)-SUMPRODUCT((MOVIMIENTOS!$B$5:$B$1005="REGALO")*(MOVIMIENTOS!$C$5:$C$1005="M")*(MOVIMIENTOS!$D$5:$D$1005="jabas")*(MOVIMIENTOS!$A$5:$A$1005&lt;&gt;"")*(MOVIMIENTOS!$A$5:$A$1005&lt;=$A226)*MOVIMIENTOS!$E$5:$E$1005)-SUMPRODUCT((MOVIMIENTOS!$B$5:$B$1005="VENTA")*(MOVIMIENTOS!$C$5:$C$1005="M")*(MOVIMIENTOS!$D$5:$D$1005="jabas")*(MOVIMIENTOS!$A$5:$A$1005&lt;&gt;"")*(MOVIMIENTOS!$A$5:$A$1005&lt;=$A226)*MOVIMIENTOS!$E$5:$E$1005)+SUMPRODUCT((MOVIMIENTOS!$B$5:$B$1005="AJUSTE")*(MOVIMIENTOS!$C$5:$C$1005="M")*(MOVIMIENTOS!$D$5:$D$1005="jabas")*(MOVIMIENTOS!$A$5:$A$1005&lt;&gt;"")*(MOVIMIENTOS!$A$5:$A$1005&lt;=$A226)*MOVIMIENTOS!$E$5:$E$1005))</f>
        <v/>
      </c>
      <c r="F226" s="63" t="str">
        <f>IF($A226="","",SUMPRODUCT((MOVIMIENTOS!$B$5:$B$1005="SALDO INICIAL")*(MOVIMIENTOS!$C$5:$C$1005="Chancho")*(MOVIMIENTOS!$D$5:$D$1005="sacos")*(MOVIMIENTOS!$A$5:$A$1005&lt;&gt;"")*(MOVIMIENTOS!$A$5:$A$1005&lt;=$A226)*MOVIMIENTOS!$E$5:$E$1005)+SUMPRODUCT((MOVIMIENTOS!$B$5:$B$1005="PROCESO")*(MOVIMIENTOS!$C$5:$C$1005="Chancho")*(MOVIMIENTOS!$D$5:$D$1005="sacos")*(MOVIMIENTOS!$A$5:$A$1005&lt;&gt;"")*(MOVIMIENTOS!$A$5:$A$1005&lt;=$A226)*MOVIMIENTOS!$E$5:$E$1005)-SUMPRODUCT((MOVIMIENTOS!$B$5:$B$1005="VENTA CHANCHO")*(MOVIMIENTOS!$C$5:$C$1005="Chancho")*(MOVIMIENTOS!$D$5:$D$1005="sacos")*(MOVIMIENTOS!$A$5:$A$1005&lt;&gt;"")*(MOVIMIENTOS!$A$5:$A$1005&lt;=$A226)*MOVIMIENTOS!$E$5:$E$1005)-SUMPRODUCT((MOVIMIENTOS!$B$5:$B$1005="REGALO")*(MOVIMIENTOS!$C$5:$C$1005="Chancho")*(MOVIMIENTOS!$D$5:$D$1005="sacos")*(MOVIMIENTOS!$A$5:$A$1005&lt;&gt;"")*(MOVIMIENTOS!$A$5:$A$1005&lt;=$A226)*MOVIMIENTOS!$E$5:$E$1005)-SUMPRODUCT((MOVIMIENTOS!$B$5:$B$1005="VENTA")*(MOVIMIENTOS!$C$5:$C$1005="Chancho")*(MOVIMIENTOS!$D$5:$D$1005="sacos")*(MOVIMIENTOS!$A$5:$A$1005&lt;&gt;"")*(MOVIMIENTOS!$A$5:$A$1005&lt;=$A226)*MOVIMIENTOS!$E$5:$E$1005)+SUMPRODUCT((MOVIMIENTOS!$B$5:$B$1005="AJUSTE")*(MOVIMIENTOS!$C$5:$C$1005="Chancho")*(MOVIMIENTOS!$D$5:$D$1005="sacos")*(MOVIMIENTOS!$A$5:$A$1005&lt;&gt;"")*(MOVIMIENTOS!$A$5:$A$1005&lt;=$A226)*MOVIMIENTOS!$E$5:$E$1005))</f>
        <v/>
      </c>
      <c r="G226" s="95" t="str">
        <f t="shared" si="7"/>
        <v/>
      </c>
      <c r="H226" s="63" t="str">
        <f>IF($A226="","",SUMPRODUCT((((MOVIMIENTOS!$B$5:$B$1005="SALDO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226)*MOVIMIENTOS!$J$5:$J$1005))</f>
        <v/>
      </c>
      <c r="I226" s="63"/>
      <c r="J226" s="63" t="str">
        <f>IF(AND(MOVIMIENTOS!$A226&lt;&gt;"",COUNTIF(MOVIMIENTOS!$A$5:$A225,MOVIMIENTOS!$A226)=0),COUNT(J$4:J225)+1,"")</f>
        <v/>
      </c>
      <c r="K226" s="66">
        <f>MOVIMIENTOS!$A226</f>
        <v>46234</v>
      </c>
      <c r="L226" s="63"/>
      <c r="M226" s="63"/>
      <c r="N226" s="63"/>
    </row>
    <row r="227" spans="1:14" ht="15" customHeight="1" x14ac:dyDescent="0.2">
      <c r="A227" s="63" t="str">
        <f t="shared" si="6"/>
        <v/>
      </c>
      <c r="B227" s="63" t="str">
        <f>IF($A227="","",SUMPRODUCT((MOVIMIENTOS!$B$5:$B$1005="SALDO INICIAL")*(MOVIMIENTOS!$C$5:$C$1005="A")*(MOVIMIENTOS!$D$5:$D$1005="jabas")*(MOVIMIENTOS!$A$5:$A$1005&lt;&gt;"")*(MOVIMIENTOS!$A$5:$A$1005&lt;=$A227)*MOVIMIENTOS!$E$5:$E$1005)+SUMPRODUCT((MOVIMIENTOS!$B$5:$B$1005="PROCESO")*(MOVIMIENTOS!$C$5:$C$1005="A")*(MOVIMIENTOS!$D$5:$D$1005="jabas")*(MOVIMIENTOS!$A$5:$A$1005&lt;&gt;"")*(MOVIMIENTOS!$A$5:$A$1005&lt;=$A227)*MOVIMIENTOS!$E$5:$E$1005)-SUMPRODUCT((MOVIMIENTOS!$B$5:$B$1005="ENVÍO A SUPESA")*(MOVIMIENTOS!$C$5:$C$1005="A")*(MOVIMIENTOS!$D$5:$D$1005="jabas")*(MOVIMIENTOS!$A$5:$A$1005&lt;&gt;"")*(MOVIMIENTOS!$A$5:$A$1005&lt;=$A227)*MOVIMIENTOS!$E$5:$E$1005)+SUMPRODUCT((MOVIMIENTOS!$B$5:$B$1005="DEVOLUCIÓN")*(MOVIMIENTOS!$C$5:$C$1005="A")*(MOVIMIENTOS!$D$5:$D$1005="jabas")*(MOVIMIENTOS!$A$5:$A$1005&lt;&gt;"")*(MOVIMIENTOS!$A$5:$A$1005&lt;=$A227)*MOVIMIENTOS!$E$5:$E$1005)-SUMPRODUCT((MOVIMIENTOS!$B$5:$B$1005="TRASIEGO")*(MOVIMIENTOS!$C$5:$C$1005="A")*(MOVIMIENTOS!$D$5:$D$1005="jabas")*(MOVIMIENTOS!$A$5:$A$1005&lt;&gt;"")*(MOVIMIENTOS!$A$5:$A$1005&lt;=$A227)*MOVIMIENTOS!$E$5:$E$1005)-SUMPRODUCT((MOVIMIENTOS!$B$5:$B$1005="REGALO")*(MOVIMIENTOS!$C$5:$C$1005="A")*(MOVIMIENTOS!$D$5:$D$1005="jabas")*(MOVIMIENTOS!$A$5:$A$1005&lt;&gt;"")*(MOVIMIENTOS!$A$5:$A$1005&lt;=$A227)*MOVIMIENTOS!$E$5:$E$1005)-SUMPRODUCT((MOVIMIENTOS!$B$5:$B$1005="VENTA")*(MOVIMIENTOS!$C$5:$C$1005="A")*(MOVIMIENTOS!$D$5:$D$1005="jabas")*(MOVIMIENTOS!$A$5:$A$1005&lt;&gt;"")*(MOVIMIENTOS!$A$5:$A$1005&lt;=$A227)*MOVIMIENTOS!$E$5:$E$1005)+SUMPRODUCT((MOVIMIENTOS!$B$5:$B$1005="AJUSTE")*(MOVIMIENTOS!$C$5:$C$1005="A")*(MOVIMIENTOS!$D$5:$D$1005="jabas")*(MOVIMIENTOS!$A$5:$A$1005&lt;&gt;"")*(MOVIMIENTOS!$A$5:$A$1005&lt;=$A227)*MOVIMIENTOS!$E$5:$E$1005))</f>
        <v/>
      </c>
      <c r="C227" s="63" t="str">
        <f>IF($A227="","",SUMPRODUCT((MOVIMIENTOS!$B$5:$B$1005="SALDO INICIAL")*(MOVIMIENTOS!$C$5:$C$1005="P")*(MOVIMIENTOS!$D$5:$D$1005="jabas")*(MOVIMIENTOS!$A$5:$A$1005&lt;&gt;"")*(MOVIMIENTOS!$A$5:$A$1005&lt;=$A227)*MOVIMIENTOS!$E$5:$E$1005)+SUMPRODUCT((MOVIMIENTOS!$B$5:$B$1005="PROCESO")*(MOVIMIENTOS!$C$5:$C$1005="P")*(MOVIMIENTOS!$D$5:$D$1005="jabas")*(MOVIMIENTOS!$A$5:$A$1005&lt;&gt;"")*(MOVIMIENTOS!$A$5:$A$1005&lt;=$A227)*MOVIMIENTOS!$E$5:$E$1005)-SUMPRODUCT((MOVIMIENTOS!$B$5:$B$1005="ENVÍO A SUPESA")*(MOVIMIENTOS!$C$5:$C$1005="P")*(MOVIMIENTOS!$D$5:$D$1005="jabas")*(MOVIMIENTOS!$A$5:$A$1005&lt;&gt;"")*(MOVIMIENTOS!$A$5:$A$1005&lt;=$A227)*MOVIMIENTOS!$E$5:$E$1005)+SUMPRODUCT((MOVIMIENTOS!$B$5:$B$1005="DEVOLUCIÓN")*(MOVIMIENTOS!$C$5:$C$1005="P")*(MOVIMIENTOS!$D$5:$D$1005="jabas")*(MOVIMIENTOS!$A$5:$A$1005&lt;&gt;"")*(MOVIMIENTOS!$A$5:$A$1005&lt;=$A227)*MOVIMIENTOS!$E$5:$E$1005)-SUMPRODUCT((MOVIMIENTOS!$B$5:$B$1005="TRASIEGO")*(MOVIMIENTOS!$C$5:$C$1005="P")*(MOVIMIENTOS!$D$5:$D$1005="jabas")*(MOVIMIENTOS!$A$5:$A$1005&lt;&gt;"")*(MOVIMIENTOS!$A$5:$A$1005&lt;=$A227)*MOVIMIENTOS!$E$5:$E$1005)-SUMPRODUCT((MOVIMIENTOS!$B$5:$B$1005="REGALO")*(MOVIMIENTOS!$C$5:$C$1005="P")*(MOVIMIENTOS!$D$5:$D$1005="jabas")*(MOVIMIENTOS!$A$5:$A$1005&lt;&gt;"")*(MOVIMIENTOS!$A$5:$A$1005&lt;=$A227)*MOVIMIENTOS!$E$5:$E$1005)-SUMPRODUCT((MOVIMIENTOS!$B$5:$B$1005="VENTA")*(MOVIMIENTOS!$C$5:$C$1005="P")*(MOVIMIENTOS!$D$5:$D$1005="jabas")*(MOVIMIENTOS!$A$5:$A$1005&lt;&gt;"")*(MOVIMIENTOS!$A$5:$A$1005&lt;=$A227)*MOVIMIENTOS!$E$5:$E$1005)+SUMPRODUCT((MOVIMIENTOS!$B$5:$B$1005="AJUSTE")*(MOVIMIENTOS!$C$5:$C$1005="P")*(MOVIMIENTOS!$D$5:$D$1005="jabas")*(MOVIMIENTOS!$A$5:$A$1005&lt;&gt;"")*(MOVIMIENTOS!$A$5:$A$1005&lt;=$A227)*MOVIMIENTOS!$E$5:$E$1005))</f>
        <v/>
      </c>
      <c r="D227" s="63" t="str">
        <f>IF($A227="","",SUMPRODUCT((MOVIMIENTOS!$B$5:$B$1005="SALDO INICIAL")*(MOVIMIENTOS!$C$5:$C$1005="C")*(MOVIMIENTOS!$D$5:$D$1005="jabas")*(MOVIMIENTOS!$A$5:$A$1005&lt;&gt;"")*(MOVIMIENTOS!$A$5:$A$1005&lt;=$A227)*MOVIMIENTOS!$E$5:$E$1005)+SUMPRODUCT((MOVIMIENTOS!$B$5:$B$1005="PROCESO")*(MOVIMIENTOS!$C$5:$C$1005="C")*(MOVIMIENTOS!$D$5:$D$1005="jabas")*(MOVIMIENTOS!$A$5:$A$1005&lt;&gt;"")*(MOVIMIENTOS!$A$5:$A$1005&lt;=$A227)*MOVIMIENTOS!$E$5:$E$1005)-SUMPRODUCT((MOVIMIENTOS!$B$5:$B$1005="ENVÍO A SUPESA")*(MOVIMIENTOS!$C$5:$C$1005="C")*(MOVIMIENTOS!$D$5:$D$1005="jabas")*(MOVIMIENTOS!$A$5:$A$1005&lt;&gt;"")*(MOVIMIENTOS!$A$5:$A$1005&lt;=$A227)*MOVIMIENTOS!$E$5:$E$1005)+SUMPRODUCT((MOVIMIENTOS!$B$5:$B$1005="DEVOLUCIÓN")*(MOVIMIENTOS!$C$5:$C$1005="C")*(MOVIMIENTOS!$D$5:$D$1005="jabas")*(MOVIMIENTOS!$A$5:$A$1005&lt;&gt;"")*(MOVIMIENTOS!$A$5:$A$1005&lt;=$A227)*MOVIMIENTOS!$E$5:$E$1005)-SUMPRODUCT((MOVIMIENTOS!$B$5:$B$1005="TRASIEGO")*(MOVIMIENTOS!$C$5:$C$1005="C")*(MOVIMIENTOS!$D$5:$D$1005="jabas")*(MOVIMIENTOS!$A$5:$A$1005&lt;&gt;"")*(MOVIMIENTOS!$A$5:$A$1005&lt;=$A227)*MOVIMIENTOS!$E$5:$E$1005)-SUMPRODUCT((MOVIMIENTOS!$B$5:$B$1005="REGALO")*(MOVIMIENTOS!$C$5:$C$1005="C")*(MOVIMIENTOS!$D$5:$D$1005="jabas")*(MOVIMIENTOS!$A$5:$A$1005&lt;&gt;"")*(MOVIMIENTOS!$A$5:$A$1005&lt;=$A227)*MOVIMIENTOS!$E$5:$E$1005)-SUMPRODUCT((MOVIMIENTOS!$B$5:$B$1005="VENTA")*(MOVIMIENTOS!$C$5:$C$1005="C")*(MOVIMIENTOS!$D$5:$D$1005="jabas")*(MOVIMIENTOS!$A$5:$A$1005&lt;&gt;"")*(MOVIMIENTOS!$A$5:$A$1005&lt;=$A227)*MOVIMIENTOS!$E$5:$E$1005)+SUMPRODUCT((MOVIMIENTOS!$B$5:$B$1005="AJUSTE")*(MOVIMIENTOS!$C$5:$C$1005="C")*(MOVIMIENTOS!$D$5:$D$1005="jabas")*(MOVIMIENTOS!$A$5:$A$1005&lt;&gt;"")*(MOVIMIENTOS!$A$5:$A$1005&lt;=$A227)*MOVIMIENTOS!$E$5:$E$1005))</f>
        <v/>
      </c>
      <c r="E227" s="63" t="str">
        <f>IF($A227="","",SUMPRODUCT((MOVIMIENTOS!$B$5:$B$1005="SALDO INICIAL")*(MOVIMIENTOS!$C$5:$C$1005="M")*(MOVIMIENTOS!$D$5:$D$1005="jabas")*(MOVIMIENTOS!$A$5:$A$1005&lt;&gt;"")*(MOVIMIENTOS!$A$5:$A$1005&lt;=$A227)*MOVIMIENTOS!$E$5:$E$1005)+SUMPRODUCT((MOVIMIENTOS!$B$5:$B$1005="PROCESO")*(MOVIMIENTOS!$C$5:$C$1005="M")*(MOVIMIENTOS!$D$5:$D$1005="jabas")*(MOVIMIENTOS!$A$5:$A$1005&lt;&gt;"")*(MOVIMIENTOS!$A$5:$A$1005&lt;=$A227)*MOVIMIENTOS!$E$5:$E$1005)-SUMPRODUCT((MOVIMIENTOS!$B$5:$B$1005="ENVÍO A SUPESA")*(MOVIMIENTOS!$C$5:$C$1005="M")*(MOVIMIENTOS!$D$5:$D$1005="jabas")*(MOVIMIENTOS!$A$5:$A$1005&lt;&gt;"")*(MOVIMIENTOS!$A$5:$A$1005&lt;=$A227)*MOVIMIENTOS!$E$5:$E$1005)+SUMPRODUCT((MOVIMIENTOS!$B$5:$B$1005="DEVOLUCIÓN")*(MOVIMIENTOS!$C$5:$C$1005="M")*(MOVIMIENTOS!$D$5:$D$1005="jabas")*(MOVIMIENTOS!$A$5:$A$1005&lt;&gt;"")*(MOVIMIENTOS!$A$5:$A$1005&lt;=$A227)*MOVIMIENTOS!$E$5:$E$1005)-SUMPRODUCT((MOVIMIENTOS!$B$5:$B$1005="TRASIEGO")*(MOVIMIENTOS!$C$5:$C$1005="M")*(MOVIMIENTOS!$D$5:$D$1005="jabas")*(MOVIMIENTOS!$A$5:$A$1005&lt;&gt;"")*(MOVIMIENTOS!$A$5:$A$1005&lt;=$A227)*MOVIMIENTOS!$E$5:$E$1005)-SUMPRODUCT((MOVIMIENTOS!$B$5:$B$1005="REGALO")*(MOVIMIENTOS!$C$5:$C$1005="M")*(MOVIMIENTOS!$D$5:$D$1005="jabas")*(MOVIMIENTOS!$A$5:$A$1005&lt;&gt;"")*(MOVIMIENTOS!$A$5:$A$1005&lt;=$A227)*MOVIMIENTOS!$E$5:$E$1005)-SUMPRODUCT((MOVIMIENTOS!$B$5:$B$1005="VENTA")*(MOVIMIENTOS!$C$5:$C$1005="M")*(MOVIMIENTOS!$D$5:$D$1005="jabas")*(MOVIMIENTOS!$A$5:$A$1005&lt;&gt;"")*(MOVIMIENTOS!$A$5:$A$1005&lt;=$A227)*MOVIMIENTOS!$E$5:$E$1005)+SUMPRODUCT((MOVIMIENTOS!$B$5:$B$1005="AJUSTE")*(MOVIMIENTOS!$C$5:$C$1005="M")*(MOVIMIENTOS!$D$5:$D$1005="jabas")*(MOVIMIENTOS!$A$5:$A$1005&lt;&gt;"")*(MOVIMIENTOS!$A$5:$A$1005&lt;=$A227)*MOVIMIENTOS!$E$5:$E$1005))</f>
        <v/>
      </c>
      <c r="F227" s="63" t="str">
        <f>IF($A227="","",SUMPRODUCT((MOVIMIENTOS!$B$5:$B$1005="SALDO INICIAL")*(MOVIMIENTOS!$C$5:$C$1005="Chancho")*(MOVIMIENTOS!$D$5:$D$1005="sacos")*(MOVIMIENTOS!$A$5:$A$1005&lt;&gt;"")*(MOVIMIENTOS!$A$5:$A$1005&lt;=$A227)*MOVIMIENTOS!$E$5:$E$1005)+SUMPRODUCT((MOVIMIENTOS!$B$5:$B$1005="PROCESO")*(MOVIMIENTOS!$C$5:$C$1005="Chancho")*(MOVIMIENTOS!$D$5:$D$1005="sacos")*(MOVIMIENTOS!$A$5:$A$1005&lt;&gt;"")*(MOVIMIENTOS!$A$5:$A$1005&lt;=$A227)*MOVIMIENTOS!$E$5:$E$1005)-SUMPRODUCT((MOVIMIENTOS!$B$5:$B$1005="VENTA CHANCHO")*(MOVIMIENTOS!$C$5:$C$1005="Chancho")*(MOVIMIENTOS!$D$5:$D$1005="sacos")*(MOVIMIENTOS!$A$5:$A$1005&lt;&gt;"")*(MOVIMIENTOS!$A$5:$A$1005&lt;=$A227)*MOVIMIENTOS!$E$5:$E$1005)-SUMPRODUCT((MOVIMIENTOS!$B$5:$B$1005="REGALO")*(MOVIMIENTOS!$C$5:$C$1005="Chancho")*(MOVIMIENTOS!$D$5:$D$1005="sacos")*(MOVIMIENTOS!$A$5:$A$1005&lt;&gt;"")*(MOVIMIENTOS!$A$5:$A$1005&lt;=$A227)*MOVIMIENTOS!$E$5:$E$1005)-SUMPRODUCT((MOVIMIENTOS!$B$5:$B$1005="VENTA")*(MOVIMIENTOS!$C$5:$C$1005="Chancho")*(MOVIMIENTOS!$D$5:$D$1005="sacos")*(MOVIMIENTOS!$A$5:$A$1005&lt;&gt;"")*(MOVIMIENTOS!$A$5:$A$1005&lt;=$A227)*MOVIMIENTOS!$E$5:$E$1005)+SUMPRODUCT((MOVIMIENTOS!$B$5:$B$1005="AJUSTE")*(MOVIMIENTOS!$C$5:$C$1005="Chancho")*(MOVIMIENTOS!$D$5:$D$1005="sacos")*(MOVIMIENTOS!$A$5:$A$1005&lt;&gt;"")*(MOVIMIENTOS!$A$5:$A$1005&lt;=$A227)*MOVIMIENTOS!$E$5:$E$1005))</f>
        <v/>
      </c>
      <c r="G227" s="95" t="str">
        <f t="shared" si="7"/>
        <v/>
      </c>
      <c r="H227" s="63" t="str">
        <f>IF($A227="","",SUMPRODUCT((((MOVIMIENTOS!$B$5:$B$1005="SALDO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227)*MOVIMIENTOS!$J$5:$J$1005))</f>
        <v/>
      </c>
      <c r="I227" s="63"/>
      <c r="J227" s="63" t="str">
        <f>IF(AND(MOVIMIENTOS!$A227&lt;&gt;"",COUNTIF(MOVIMIENTOS!$A$5:$A226,MOVIMIENTOS!$A227)=0),COUNT(J$4:J226)+1,"")</f>
        <v/>
      </c>
      <c r="K227" s="66">
        <f>MOVIMIENTOS!$A227</f>
        <v>46234</v>
      </c>
      <c r="L227" s="63"/>
      <c r="M227" s="63"/>
      <c r="N227" s="63"/>
    </row>
    <row r="228" spans="1:14" ht="15" customHeight="1" x14ac:dyDescent="0.2">
      <c r="A228" s="63" t="str">
        <f t="shared" si="6"/>
        <v/>
      </c>
      <c r="B228" s="63" t="str">
        <f>IF($A228="","",SUMPRODUCT((MOVIMIENTOS!$B$5:$B$1005="SALDO INICIAL")*(MOVIMIENTOS!$C$5:$C$1005="A")*(MOVIMIENTOS!$D$5:$D$1005="jabas")*(MOVIMIENTOS!$A$5:$A$1005&lt;&gt;"")*(MOVIMIENTOS!$A$5:$A$1005&lt;=$A228)*MOVIMIENTOS!$E$5:$E$1005)+SUMPRODUCT((MOVIMIENTOS!$B$5:$B$1005="PROCESO")*(MOVIMIENTOS!$C$5:$C$1005="A")*(MOVIMIENTOS!$D$5:$D$1005="jabas")*(MOVIMIENTOS!$A$5:$A$1005&lt;&gt;"")*(MOVIMIENTOS!$A$5:$A$1005&lt;=$A228)*MOVIMIENTOS!$E$5:$E$1005)-SUMPRODUCT((MOVIMIENTOS!$B$5:$B$1005="ENVÍO A SUPESA")*(MOVIMIENTOS!$C$5:$C$1005="A")*(MOVIMIENTOS!$D$5:$D$1005="jabas")*(MOVIMIENTOS!$A$5:$A$1005&lt;&gt;"")*(MOVIMIENTOS!$A$5:$A$1005&lt;=$A228)*MOVIMIENTOS!$E$5:$E$1005)+SUMPRODUCT((MOVIMIENTOS!$B$5:$B$1005="DEVOLUCIÓN")*(MOVIMIENTOS!$C$5:$C$1005="A")*(MOVIMIENTOS!$D$5:$D$1005="jabas")*(MOVIMIENTOS!$A$5:$A$1005&lt;&gt;"")*(MOVIMIENTOS!$A$5:$A$1005&lt;=$A228)*MOVIMIENTOS!$E$5:$E$1005)-SUMPRODUCT((MOVIMIENTOS!$B$5:$B$1005="TRASIEGO")*(MOVIMIENTOS!$C$5:$C$1005="A")*(MOVIMIENTOS!$D$5:$D$1005="jabas")*(MOVIMIENTOS!$A$5:$A$1005&lt;&gt;"")*(MOVIMIENTOS!$A$5:$A$1005&lt;=$A228)*MOVIMIENTOS!$E$5:$E$1005)-SUMPRODUCT((MOVIMIENTOS!$B$5:$B$1005="REGALO")*(MOVIMIENTOS!$C$5:$C$1005="A")*(MOVIMIENTOS!$D$5:$D$1005="jabas")*(MOVIMIENTOS!$A$5:$A$1005&lt;&gt;"")*(MOVIMIENTOS!$A$5:$A$1005&lt;=$A228)*MOVIMIENTOS!$E$5:$E$1005)-SUMPRODUCT((MOVIMIENTOS!$B$5:$B$1005="VENTA")*(MOVIMIENTOS!$C$5:$C$1005="A")*(MOVIMIENTOS!$D$5:$D$1005="jabas")*(MOVIMIENTOS!$A$5:$A$1005&lt;&gt;"")*(MOVIMIENTOS!$A$5:$A$1005&lt;=$A228)*MOVIMIENTOS!$E$5:$E$1005)+SUMPRODUCT((MOVIMIENTOS!$B$5:$B$1005="AJUSTE")*(MOVIMIENTOS!$C$5:$C$1005="A")*(MOVIMIENTOS!$D$5:$D$1005="jabas")*(MOVIMIENTOS!$A$5:$A$1005&lt;&gt;"")*(MOVIMIENTOS!$A$5:$A$1005&lt;=$A228)*MOVIMIENTOS!$E$5:$E$1005))</f>
        <v/>
      </c>
      <c r="C228" s="63" t="str">
        <f>IF($A228="","",SUMPRODUCT((MOVIMIENTOS!$B$5:$B$1005="SALDO INICIAL")*(MOVIMIENTOS!$C$5:$C$1005="P")*(MOVIMIENTOS!$D$5:$D$1005="jabas")*(MOVIMIENTOS!$A$5:$A$1005&lt;&gt;"")*(MOVIMIENTOS!$A$5:$A$1005&lt;=$A228)*MOVIMIENTOS!$E$5:$E$1005)+SUMPRODUCT((MOVIMIENTOS!$B$5:$B$1005="PROCESO")*(MOVIMIENTOS!$C$5:$C$1005="P")*(MOVIMIENTOS!$D$5:$D$1005="jabas")*(MOVIMIENTOS!$A$5:$A$1005&lt;&gt;"")*(MOVIMIENTOS!$A$5:$A$1005&lt;=$A228)*MOVIMIENTOS!$E$5:$E$1005)-SUMPRODUCT((MOVIMIENTOS!$B$5:$B$1005="ENVÍO A SUPESA")*(MOVIMIENTOS!$C$5:$C$1005="P")*(MOVIMIENTOS!$D$5:$D$1005="jabas")*(MOVIMIENTOS!$A$5:$A$1005&lt;&gt;"")*(MOVIMIENTOS!$A$5:$A$1005&lt;=$A228)*MOVIMIENTOS!$E$5:$E$1005)+SUMPRODUCT((MOVIMIENTOS!$B$5:$B$1005="DEVOLUCIÓN")*(MOVIMIENTOS!$C$5:$C$1005="P")*(MOVIMIENTOS!$D$5:$D$1005="jabas")*(MOVIMIENTOS!$A$5:$A$1005&lt;&gt;"")*(MOVIMIENTOS!$A$5:$A$1005&lt;=$A228)*MOVIMIENTOS!$E$5:$E$1005)-SUMPRODUCT((MOVIMIENTOS!$B$5:$B$1005="TRASIEGO")*(MOVIMIENTOS!$C$5:$C$1005="P")*(MOVIMIENTOS!$D$5:$D$1005="jabas")*(MOVIMIENTOS!$A$5:$A$1005&lt;&gt;"")*(MOVIMIENTOS!$A$5:$A$1005&lt;=$A228)*MOVIMIENTOS!$E$5:$E$1005)-SUMPRODUCT((MOVIMIENTOS!$B$5:$B$1005="REGALO")*(MOVIMIENTOS!$C$5:$C$1005="P")*(MOVIMIENTOS!$D$5:$D$1005="jabas")*(MOVIMIENTOS!$A$5:$A$1005&lt;&gt;"")*(MOVIMIENTOS!$A$5:$A$1005&lt;=$A228)*MOVIMIENTOS!$E$5:$E$1005)-SUMPRODUCT((MOVIMIENTOS!$B$5:$B$1005="VENTA")*(MOVIMIENTOS!$C$5:$C$1005="P")*(MOVIMIENTOS!$D$5:$D$1005="jabas")*(MOVIMIENTOS!$A$5:$A$1005&lt;&gt;"")*(MOVIMIENTOS!$A$5:$A$1005&lt;=$A228)*MOVIMIENTOS!$E$5:$E$1005)+SUMPRODUCT((MOVIMIENTOS!$B$5:$B$1005="AJUSTE")*(MOVIMIENTOS!$C$5:$C$1005="P")*(MOVIMIENTOS!$D$5:$D$1005="jabas")*(MOVIMIENTOS!$A$5:$A$1005&lt;&gt;"")*(MOVIMIENTOS!$A$5:$A$1005&lt;=$A228)*MOVIMIENTOS!$E$5:$E$1005))</f>
        <v/>
      </c>
      <c r="D228" s="63" t="str">
        <f>IF($A228="","",SUMPRODUCT((MOVIMIENTOS!$B$5:$B$1005="SALDO INICIAL")*(MOVIMIENTOS!$C$5:$C$1005="C")*(MOVIMIENTOS!$D$5:$D$1005="jabas")*(MOVIMIENTOS!$A$5:$A$1005&lt;&gt;"")*(MOVIMIENTOS!$A$5:$A$1005&lt;=$A228)*MOVIMIENTOS!$E$5:$E$1005)+SUMPRODUCT((MOVIMIENTOS!$B$5:$B$1005="PROCESO")*(MOVIMIENTOS!$C$5:$C$1005="C")*(MOVIMIENTOS!$D$5:$D$1005="jabas")*(MOVIMIENTOS!$A$5:$A$1005&lt;&gt;"")*(MOVIMIENTOS!$A$5:$A$1005&lt;=$A228)*MOVIMIENTOS!$E$5:$E$1005)-SUMPRODUCT((MOVIMIENTOS!$B$5:$B$1005="ENVÍO A SUPESA")*(MOVIMIENTOS!$C$5:$C$1005="C")*(MOVIMIENTOS!$D$5:$D$1005="jabas")*(MOVIMIENTOS!$A$5:$A$1005&lt;&gt;"")*(MOVIMIENTOS!$A$5:$A$1005&lt;=$A228)*MOVIMIENTOS!$E$5:$E$1005)+SUMPRODUCT((MOVIMIENTOS!$B$5:$B$1005="DEVOLUCIÓN")*(MOVIMIENTOS!$C$5:$C$1005="C")*(MOVIMIENTOS!$D$5:$D$1005="jabas")*(MOVIMIENTOS!$A$5:$A$1005&lt;&gt;"")*(MOVIMIENTOS!$A$5:$A$1005&lt;=$A228)*MOVIMIENTOS!$E$5:$E$1005)-SUMPRODUCT((MOVIMIENTOS!$B$5:$B$1005="TRASIEGO")*(MOVIMIENTOS!$C$5:$C$1005="C")*(MOVIMIENTOS!$D$5:$D$1005="jabas")*(MOVIMIENTOS!$A$5:$A$1005&lt;&gt;"")*(MOVIMIENTOS!$A$5:$A$1005&lt;=$A228)*MOVIMIENTOS!$E$5:$E$1005)-SUMPRODUCT((MOVIMIENTOS!$B$5:$B$1005="REGALO")*(MOVIMIENTOS!$C$5:$C$1005="C")*(MOVIMIENTOS!$D$5:$D$1005="jabas")*(MOVIMIENTOS!$A$5:$A$1005&lt;&gt;"")*(MOVIMIENTOS!$A$5:$A$1005&lt;=$A228)*MOVIMIENTOS!$E$5:$E$1005)-SUMPRODUCT((MOVIMIENTOS!$B$5:$B$1005="VENTA")*(MOVIMIENTOS!$C$5:$C$1005="C")*(MOVIMIENTOS!$D$5:$D$1005="jabas")*(MOVIMIENTOS!$A$5:$A$1005&lt;&gt;"")*(MOVIMIENTOS!$A$5:$A$1005&lt;=$A228)*MOVIMIENTOS!$E$5:$E$1005)+SUMPRODUCT((MOVIMIENTOS!$B$5:$B$1005="AJUSTE")*(MOVIMIENTOS!$C$5:$C$1005="C")*(MOVIMIENTOS!$D$5:$D$1005="jabas")*(MOVIMIENTOS!$A$5:$A$1005&lt;&gt;"")*(MOVIMIENTOS!$A$5:$A$1005&lt;=$A228)*MOVIMIENTOS!$E$5:$E$1005))</f>
        <v/>
      </c>
      <c r="E228" s="63" t="str">
        <f>IF($A228="","",SUMPRODUCT((MOVIMIENTOS!$B$5:$B$1005="SALDO INICIAL")*(MOVIMIENTOS!$C$5:$C$1005="M")*(MOVIMIENTOS!$D$5:$D$1005="jabas")*(MOVIMIENTOS!$A$5:$A$1005&lt;&gt;"")*(MOVIMIENTOS!$A$5:$A$1005&lt;=$A228)*MOVIMIENTOS!$E$5:$E$1005)+SUMPRODUCT((MOVIMIENTOS!$B$5:$B$1005="PROCESO")*(MOVIMIENTOS!$C$5:$C$1005="M")*(MOVIMIENTOS!$D$5:$D$1005="jabas")*(MOVIMIENTOS!$A$5:$A$1005&lt;&gt;"")*(MOVIMIENTOS!$A$5:$A$1005&lt;=$A228)*MOVIMIENTOS!$E$5:$E$1005)-SUMPRODUCT((MOVIMIENTOS!$B$5:$B$1005="ENVÍO A SUPESA")*(MOVIMIENTOS!$C$5:$C$1005="M")*(MOVIMIENTOS!$D$5:$D$1005="jabas")*(MOVIMIENTOS!$A$5:$A$1005&lt;&gt;"")*(MOVIMIENTOS!$A$5:$A$1005&lt;=$A228)*MOVIMIENTOS!$E$5:$E$1005)+SUMPRODUCT((MOVIMIENTOS!$B$5:$B$1005="DEVOLUCIÓN")*(MOVIMIENTOS!$C$5:$C$1005="M")*(MOVIMIENTOS!$D$5:$D$1005="jabas")*(MOVIMIENTOS!$A$5:$A$1005&lt;&gt;"")*(MOVIMIENTOS!$A$5:$A$1005&lt;=$A228)*MOVIMIENTOS!$E$5:$E$1005)-SUMPRODUCT((MOVIMIENTOS!$B$5:$B$1005="TRASIEGO")*(MOVIMIENTOS!$C$5:$C$1005="M")*(MOVIMIENTOS!$D$5:$D$1005="jabas")*(MOVIMIENTOS!$A$5:$A$1005&lt;&gt;"")*(MOVIMIENTOS!$A$5:$A$1005&lt;=$A228)*MOVIMIENTOS!$E$5:$E$1005)-SUMPRODUCT((MOVIMIENTOS!$B$5:$B$1005="REGALO")*(MOVIMIENTOS!$C$5:$C$1005="M")*(MOVIMIENTOS!$D$5:$D$1005="jabas")*(MOVIMIENTOS!$A$5:$A$1005&lt;&gt;"")*(MOVIMIENTOS!$A$5:$A$1005&lt;=$A228)*MOVIMIENTOS!$E$5:$E$1005)-SUMPRODUCT((MOVIMIENTOS!$B$5:$B$1005="VENTA")*(MOVIMIENTOS!$C$5:$C$1005="M")*(MOVIMIENTOS!$D$5:$D$1005="jabas")*(MOVIMIENTOS!$A$5:$A$1005&lt;&gt;"")*(MOVIMIENTOS!$A$5:$A$1005&lt;=$A228)*MOVIMIENTOS!$E$5:$E$1005)+SUMPRODUCT((MOVIMIENTOS!$B$5:$B$1005="AJUSTE")*(MOVIMIENTOS!$C$5:$C$1005="M")*(MOVIMIENTOS!$D$5:$D$1005="jabas")*(MOVIMIENTOS!$A$5:$A$1005&lt;&gt;"")*(MOVIMIENTOS!$A$5:$A$1005&lt;=$A228)*MOVIMIENTOS!$E$5:$E$1005))</f>
        <v/>
      </c>
      <c r="F228" s="63" t="str">
        <f>IF($A228="","",SUMPRODUCT((MOVIMIENTOS!$B$5:$B$1005="SALDO INICIAL")*(MOVIMIENTOS!$C$5:$C$1005="Chancho")*(MOVIMIENTOS!$D$5:$D$1005="sacos")*(MOVIMIENTOS!$A$5:$A$1005&lt;&gt;"")*(MOVIMIENTOS!$A$5:$A$1005&lt;=$A228)*MOVIMIENTOS!$E$5:$E$1005)+SUMPRODUCT((MOVIMIENTOS!$B$5:$B$1005="PROCESO")*(MOVIMIENTOS!$C$5:$C$1005="Chancho")*(MOVIMIENTOS!$D$5:$D$1005="sacos")*(MOVIMIENTOS!$A$5:$A$1005&lt;&gt;"")*(MOVIMIENTOS!$A$5:$A$1005&lt;=$A228)*MOVIMIENTOS!$E$5:$E$1005)-SUMPRODUCT((MOVIMIENTOS!$B$5:$B$1005="VENTA CHANCHO")*(MOVIMIENTOS!$C$5:$C$1005="Chancho")*(MOVIMIENTOS!$D$5:$D$1005="sacos")*(MOVIMIENTOS!$A$5:$A$1005&lt;&gt;"")*(MOVIMIENTOS!$A$5:$A$1005&lt;=$A228)*MOVIMIENTOS!$E$5:$E$1005)-SUMPRODUCT((MOVIMIENTOS!$B$5:$B$1005="REGALO")*(MOVIMIENTOS!$C$5:$C$1005="Chancho")*(MOVIMIENTOS!$D$5:$D$1005="sacos")*(MOVIMIENTOS!$A$5:$A$1005&lt;&gt;"")*(MOVIMIENTOS!$A$5:$A$1005&lt;=$A228)*MOVIMIENTOS!$E$5:$E$1005)-SUMPRODUCT((MOVIMIENTOS!$B$5:$B$1005="VENTA")*(MOVIMIENTOS!$C$5:$C$1005="Chancho")*(MOVIMIENTOS!$D$5:$D$1005="sacos")*(MOVIMIENTOS!$A$5:$A$1005&lt;&gt;"")*(MOVIMIENTOS!$A$5:$A$1005&lt;=$A228)*MOVIMIENTOS!$E$5:$E$1005)+SUMPRODUCT((MOVIMIENTOS!$B$5:$B$1005="AJUSTE")*(MOVIMIENTOS!$C$5:$C$1005="Chancho")*(MOVIMIENTOS!$D$5:$D$1005="sacos")*(MOVIMIENTOS!$A$5:$A$1005&lt;&gt;"")*(MOVIMIENTOS!$A$5:$A$1005&lt;=$A228)*MOVIMIENTOS!$E$5:$E$1005))</f>
        <v/>
      </c>
      <c r="G228" s="95" t="str">
        <f t="shared" si="7"/>
        <v/>
      </c>
      <c r="H228" s="63" t="str">
        <f>IF($A228="","",SUMPRODUCT((((MOVIMIENTOS!$B$5:$B$1005="SALDO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228)*MOVIMIENTOS!$J$5:$J$1005))</f>
        <v/>
      </c>
      <c r="I228" s="63"/>
      <c r="J228" s="63" t="str">
        <f>IF(AND(MOVIMIENTOS!$A228&lt;&gt;"",COUNTIF(MOVIMIENTOS!$A$5:$A227,MOVIMIENTOS!$A228)=0),COUNT(J$4:J227)+1,"")</f>
        <v/>
      </c>
      <c r="K228" s="66">
        <f>MOVIMIENTOS!$A228</f>
        <v>46234</v>
      </c>
      <c r="L228" s="63"/>
      <c r="M228" s="63"/>
      <c r="N228" s="63"/>
    </row>
    <row r="229" spans="1:14" ht="15" customHeight="1" x14ac:dyDescent="0.2">
      <c r="A229" s="63" t="str">
        <f t="shared" si="6"/>
        <v/>
      </c>
      <c r="B229" s="63" t="str">
        <f>IF($A229="","",SUMPRODUCT((MOVIMIENTOS!$B$5:$B$1005="SALDO INICIAL")*(MOVIMIENTOS!$C$5:$C$1005="A")*(MOVIMIENTOS!$D$5:$D$1005="jabas")*(MOVIMIENTOS!$A$5:$A$1005&lt;&gt;"")*(MOVIMIENTOS!$A$5:$A$1005&lt;=$A229)*MOVIMIENTOS!$E$5:$E$1005)+SUMPRODUCT((MOVIMIENTOS!$B$5:$B$1005="PROCESO")*(MOVIMIENTOS!$C$5:$C$1005="A")*(MOVIMIENTOS!$D$5:$D$1005="jabas")*(MOVIMIENTOS!$A$5:$A$1005&lt;&gt;"")*(MOVIMIENTOS!$A$5:$A$1005&lt;=$A229)*MOVIMIENTOS!$E$5:$E$1005)-SUMPRODUCT((MOVIMIENTOS!$B$5:$B$1005="ENVÍO A SUPESA")*(MOVIMIENTOS!$C$5:$C$1005="A")*(MOVIMIENTOS!$D$5:$D$1005="jabas")*(MOVIMIENTOS!$A$5:$A$1005&lt;&gt;"")*(MOVIMIENTOS!$A$5:$A$1005&lt;=$A229)*MOVIMIENTOS!$E$5:$E$1005)+SUMPRODUCT((MOVIMIENTOS!$B$5:$B$1005="DEVOLUCIÓN")*(MOVIMIENTOS!$C$5:$C$1005="A")*(MOVIMIENTOS!$D$5:$D$1005="jabas")*(MOVIMIENTOS!$A$5:$A$1005&lt;&gt;"")*(MOVIMIENTOS!$A$5:$A$1005&lt;=$A229)*MOVIMIENTOS!$E$5:$E$1005)-SUMPRODUCT((MOVIMIENTOS!$B$5:$B$1005="TRASIEGO")*(MOVIMIENTOS!$C$5:$C$1005="A")*(MOVIMIENTOS!$D$5:$D$1005="jabas")*(MOVIMIENTOS!$A$5:$A$1005&lt;&gt;"")*(MOVIMIENTOS!$A$5:$A$1005&lt;=$A229)*MOVIMIENTOS!$E$5:$E$1005)-SUMPRODUCT((MOVIMIENTOS!$B$5:$B$1005="REGALO")*(MOVIMIENTOS!$C$5:$C$1005="A")*(MOVIMIENTOS!$D$5:$D$1005="jabas")*(MOVIMIENTOS!$A$5:$A$1005&lt;&gt;"")*(MOVIMIENTOS!$A$5:$A$1005&lt;=$A229)*MOVIMIENTOS!$E$5:$E$1005)-SUMPRODUCT((MOVIMIENTOS!$B$5:$B$1005="VENTA")*(MOVIMIENTOS!$C$5:$C$1005="A")*(MOVIMIENTOS!$D$5:$D$1005="jabas")*(MOVIMIENTOS!$A$5:$A$1005&lt;&gt;"")*(MOVIMIENTOS!$A$5:$A$1005&lt;=$A229)*MOVIMIENTOS!$E$5:$E$1005)+SUMPRODUCT((MOVIMIENTOS!$B$5:$B$1005="AJUSTE")*(MOVIMIENTOS!$C$5:$C$1005="A")*(MOVIMIENTOS!$D$5:$D$1005="jabas")*(MOVIMIENTOS!$A$5:$A$1005&lt;&gt;"")*(MOVIMIENTOS!$A$5:$A$1005&lt;=$A229)*MOVIMIENTOS!$E$5:$E$1005))</f>
        <v/>
      </c>
      <c r="C229" s="63" t="str">
        <f>IF($A229="","",SUMPRODUCT((MOVIMIENTOS!$B$5:$B$1005="SALDO INICIAL")*(MOVIMIENTOS!$C$5:$C$1005="P")*(MOVIMIENTOS!$D$5:$D$1005="jabas")*(MOVIMIENTOS!$A$5:$A$1005&lt;&gt;"")*(MOVIMIENTOS!$A$5:$A$1005&lt;=$A229)*MOVIMIENTOS!$E$5:$E$1005)+SUMPRODUCT((MOVIMIENTOS!$B$5:$B$1005="PROCESO")*(MOVIMIENTOS!$C$5:$C$1005="P")*(MOVIMIENTOS!$D$5:$D$1005="jabas")*(MOVIMIENTOS!$A$5:$A$1005&lt;&gt;"")*(MOVIMIENTOS!$A$5:$A$1005&lt;=$A229)*MOVIMIENTOS!$E$5:$E$1005)-SUMPRODUCT((MOVIMIENTOS!$B$5:$B$1005="ENVÍO A SUPESA")*(MOVIMIENTOS!$C$5:$C$1005="P")*(MOVIMIENTOS!$D$5:$D$1005="jabas")*(MOVIMIENTOS!$A$5:$A$1005&lt;&gt;"")*(MOVIMIENTOS!$A$5:$A$1005&lt;=$A229)*MOVIMIENTOS!$E$5:$E$1005)+SUMPRODUCT((MOVIMIENTOS!$B$5:$B$1005="DEVOLUCIÓN")*(MOVIMIENTOS!$C$5:$C$1005="P")*(MOVIMIENTOS!$D$5:$D$1005="jabas")*(MOVIMIENTOS!$A$5:$A$1005&lt;&gt;"")*(MOVIMIENTOS!$A$5:$A$1005&lt;=$A229)*MOVIMIENTOS!$E$5:$E$1005)-SUMPRODUCT((MOVIMIENTOS!$B$5:$B$1005="TRASIEGO")*(MOVIMIENTOS!$C$5:$C$1005="P")*(MOVIMIENTOS!$D$5:$D$1005="jabas")*(MOVIMIENTOS!$A$5:$A$1005&lt;&gt;"")*(MOVIMIENTOS!$A$5:$A$1005&lt;=$A229)*MOVIMIENTOS!$E$5:$E$1005)-SUMPRODUCT((MOVIMIENTOS!$B$5:$B$1005="REGALO")*(MOVIMIENTOS!$C$5:$C$1005="P")*(MOVIMIENTOS!$D$5:$D$1005="jabas")*(MOVIMIENTOS!$A$5:$A$1005&lt;&gt;"")*(MOVIMIENTOS!$A$5:$A$1005&lt;=$A229)*MOVIMIENTOS!$E$5:$E$1005)-SUMPRODUCT((MOVIMIENTOS!$B$5:$B$1005="VENTA")*(MOVIMIENTOS!$C$5:$C$1005="P")*(MOVIMIENTOS!$D$5:$D$1005="jabas")*(MOVIMIENTOS!$A$5:$A$1005&lt;&gt;"")*(MOVIMIENTOS!$A$5:$A$1005&lt;=$A229)*MOVIMIENTOS!$E$5:$E$1005)+SUMPRODUCT((MOVIMIENTOS!$B$5:$B$1005="AJUSTE")*(MOVIMIENTOS!$C$5:$C$1005="P")*(MOVIMIENTOS!$D$5:$D$1005="jabas")*(MOVIMIENTOS!$A$5:$A$1005&lt;&gt;"")*(MOVIMIENTOS!$A$5:$A$1005&lt;=$A229)*MOVIMIENTOS!$E$5:$E$1005))</f>
        <v/>
      </c>
      <c r="D229" s="63" t="str">
        <f>IF($A229="","",SUMPRODUCT((MOVIMIENTOS!$B$5:$B$1005="SALDO INICIAL")*(MOVIMIENTOS!$C$5:$C$1005="C")*(MOVIMIENTOS!$D$5:$D$1005="jabas")*(MOVIMIENTOS!$A$5:$A$1005&lt;&gt;"")*(MOVIMIENTOS!$A$5:$A$1005&lt;=$A229)*MOVIMIENTOS!$E$5:$E$1005)+SUMPRODUCT((MOVIMIENTOS!$B$5:$B$1005="PROCESO")*(MOVIMIENTOS!$C$5:$C$1005="C")*(MOVIMIENTOS!$D$5:$D$1005="jabas")*(MOVIMIENTOS!$A$5:$A$1005&lt;&gt;"")*(MOVIMIENTOS!$A$5:$A$1005&lt;=$A229)*MOVIMIENTOS!$E$5:$E$1005)-SUMPRODUCT((MOVIMIENTOS!$B$5:$B$1005="ENVÍO A SUPESA")*(MOVIMIENTOS!$C$5:$C$1005="C")*(MOVIMIENTOS!$D$5:$D$1005="jabas")*(MOVIMIENTOS!$A$5:$A$1005&lt;&gt;"")*(MOVIMIENTOS!$A$5:$A$1005&lt;=$A229)*MOVIMIENTOS!$E$5:$E$1005)+SUMPRODUCT((MOVIMIENTOS!$B$5:$B$1005="DEVOLUCIÓN")*(MOVIMIENTOS!$C$5:$C$1005="C")*(MOVIMIENTOS!$D$5:$D$1005="jabas")*(MOVIMIENTOS!$A$5:$A$1005&lt;&gt;"")*(MOVIMIENTOS!$A$5:$A$1005&lt;=$A229)*MOVIMIENTOS!$E$5:$E$1005)-SUMPRODUCT((MOVIMIENTOS!$B$5:$B$1005="TRASIEGO")*(MOVIMIENTOS!$C$5:$C$1005="C")*(MOVIMIENTOS!$D$5:$D$1005="jabas")*(MOVIMIENTOS!$A$5:$A$1005&lt;&gt;"")*(MOVIMIENTOS!$A$5:$A$1005&lt;=$A229)*MOVIMIENTOS!$E$5:$E$1005)-SUMPRODUCT((MOVIMIENTOS!$B$5:$B$1005="REGALO")*(MOVIMIENTOS!$C$5:$C$1005="C")*(MOVIMIENTOS!$D$5:$D$1005="jabas")*(MOVIMIENTOS!$A$5:$A$1005&lt;&gt;"")*(MOVIMIENTOS!$A$5:$A$1005&lt;=$A229)*MOVIMIENTOS!$E$5:$E$1005)-SUMPRODUCT((MOVIMIENTOS!$B$5:$B$1005="VENTA")*(MOVIMIENTOS!$C$5:$C$1005="C")*(MOVIMIENTOS!$D$5:$D$1005="jabas")*(MOVIMIENTOS!$A$5:$A$1005&lt;&gt;"")*(MOVIMIENTOS!$A$5:$A$1005&lt;=$A229)*MOVIMIENTOS!$E$5:$E$1005)+SUMPRODUCT((MOVIMIENTOS!$B$5:$B$1005="AJUSTE")*(MOVIMIENTOS!$C$5:$C$1005="C")*(MOVIMIENTOS!$D$5:$D$1005="jabas")*(MOVIMIENTOS!$A$5:$A$1005&lt;&gt;"")*(MOVIMIENTOS!$A$5:$A$1005&lt;=$A229)*MOVIMIENTOS!$E$5:$E$1005))</f>
        <v/>
      </c>
      <c r="E229" s="63" t="str">
        <f>IF($A229="","",SUMPRODUCT((MOVIMIENTOS!$B$5:$B$1005="SALDO INICIAL")*(MOVIMIENTOS!$C$5:$C$1005="M")*(MOVIMIENTOS!$D$5:$D$1005="jabas")*(MOVIMIENTOS!$A$5:$A$1005&lt;&gt;"")*(MOVIMIENTOS!$A$5:$A$1005&lt;=$A229)*MOVIMIENTOS!$E$5:$E$1005)+SUMPRODUCT((MOVIMIENTOS!$B$5:$B$1005="PROCESO")*(MOVIMIENTOS!$C$5:$C$1005="M")*(MOVIMIENTOS!$D$5:$D$1005="jabas")*(MOVIMIENTOS!$A$5:$A$1005&lt;&gt;"")*(MOVIMIENTOS!$A$5:$A$1005&lt;=$A229)*MOVIMIENTOS!$E$5:$E$1005)-SUMPRODUCT((MOVIMIENTOS!$B$5:$B$1005="ENVÍO A SUPESA")*(MOVIMIENTOS!$C$5:$C$1005="M")*(MOVIMIENTOS!$D$5:$D$1005="jabas")*(MOVIMIENTOS!$A$5:$A$1005&lt;&gt;"")*(MOVIMIENTOS!$A$5:$A$1005&lt;=$A229)*MOVIMIENTOS!$E$5:$E$1005)+SUMPRODUCT((MOVIMIENTOS!$B$5:$B$1005="DEVOLUCIÓN")*(MOVIMIENTOS!$C$5:$C$1005="M")*(MOVIMIENTOS!$D$5:$D$1005="jabas")*(MOVIMIENTOS!$A$5:$A$1005&lt;&gt;"")*(MOVIMIENTOS!$A$5:$A$1005&lt;=$A229)*MOVIMIENTOS!$E$5:$E$1005)-SUMPRODUCT((MOVIMIENTOS!$B$5:$B$1005="TRASIEGO")*(MOVIMIENTOS!$C$5:$C$1005="M")*(MOVIMIENTOS!$D$5:$D$1005="jabas")*(MOVIMIENTOS!$A$5:$A$1005&lt;&gt;"")*(MOVIMIENTOS!$A$5:$A$1005&lt;=$A229)*MOVIMIENTOS!$E$5:$E$1005)-SUMPRODUCT((MOVIMIENTOS!$B$5:$B$1005="REGALO")*(MOVIMIENTOS!$C$5:$C$1005="M")*(MOVIMIENTOS!$D$5:$D$1005="jabas")*(MOVIMIENTOS!$A$5:$A$1005&lt;&gt;"")*(MOVIMIENTOS!$A$5:$A$1005&lt;=$A229)*MOVIMIENTOS!$E$5:$E$1005)-SUMPRODUCT((MOVIMIENTOS!$B$5:$B$1005="VENTA")*(MOVIMIENTOS!$C$5:$C$1005="M")*(MOVIMIENTOS!$D$5:$D$1005="jabas")*(MOVIMIENTOS!$A$5:$A$1005&lt;&gt;"")*(MOVIMIENTOS!$A$5:$A$1005&lt;=$A229)*MOVIMIENTOS!$E$5:$E$1005)+SUMPRODUCT((MOVIMIENTOS!$B$5:$B$1005="AJUSTE")*(MOVIMIENTOS!$C$5:$C$1005="M")*(MOVIMIENTOS!$D$5:$D$1005="jabas")*(MOVIMIENTOS!$A$5:$A$1005&lt;&gt;"")*(MOVIMIENTOS!$A$5:$A$1005&lt;=$A229)*MOVIMIENTOS!$E$5:$E$1005))</f>
        <v/>
      </c>
      <c r="F229" s="63" t="str">
        <f>IF($A229="","",SUMPRODUCT((MOVIMIENTOS!$B$5:$B$1005="SALDO INICIAL")*(MOVIMIENTOS!$C$5:$C$1005="Chancho")*(MOVIMIENTOS!$D$5:$D$1005="sacos")*(MOVIMIENTOS!$A$5:$A$1005&lt;&gt;"")*(MOVIMIENTOS!$A$5:$A$1005&lt;=$A229)*MOVIMIENTOS!$E$5:$E$1005)+SUMPRODUCT((MOVIMIENTOS!$B$5:$B$1005="PROCESO")*(MOVIMIENTOS!$C$5:$C$1005="Chancho")*(MOVIMIENTOS!$D$5:$D$1005="sacos")*(MOVIMIENTOS!$A$5:$A$1005&lt;&gt;"")*(MOVIMIENTOS!$A$5:$A$1005&lt;=$A229)*MOVIMIENTOS!$E$5:$E$1005)-SUMPRODUCT((MOVIMIENTOS!$B$5:$B$1005="VENTA CHANCHO")*(MOVIMIENTOS!$C$5:$C$1005="Chancho")*(MOVIMIENTOS!$D$5:$D$1005="sacos")*(MOVIMIENTOS!$A$5:$A$1005&lt;&gt;"")*(MOVIMIENTOS!$A$5:$A$1005&lt;=$A229)*MOVIMIENTOS!$E$5:$E$1005)-SUMPRODUCT((MOVIMIENTOS!$B$5:$B$1005="REGALO")*(MOVIMIENTOS!$C$5:$C$1005="Chancho")*(MOVIMIENTOS!$D$5:$D$1005="sacos")*(MOVIMIENTOS!$A$5:$A$1005&lt;&gt;"")*(MOVIMIENTOS!$A$5:$A$1005&lt;=$A229)*MOVIMIENTOS!$E$5:$E$1005)-SUMPRODUCT((MOVIMIENTOS!$B$5:$B$1005="VENTA")*(MOVIMIENTOS!$C$5:$C$1005="Chancho")*(MOVIMIENTOS!$D$5:$D$1005="sacos")*(MOVIMIENTOS!$A$5:$A$1005&lt;&gt;"")*(MOVIMIENTOS!$A$5:$A$1005&lt;=$A229)*MOVIMIENTOS!$E$5:$E$1005)+SUMPRODUCT((MOVIMIENTOS!$B$5:$B$1005="AJUSTE")*(MOVIMIENTOS!$C$5:$C$1005="Chancho")*(MOVIMIENTOS!$D$5:$D$1005="sacos")*(MOVIMIENTOS!$A$5:$A$1005&lt;&gt;"")*(MOVIMIENTOS!$A$5:$A$1005&lt;=$A229)*MOVIMIENTOS!$E$5:$E$1005))</f>
        <v/>
      </c>
      <c r="G229" s="95" t="str">
        <f t="shared" si="7"/>
        <v/>
      </c>
      <c r="H229" s="63" t="str">
        <f>IF($A229="","",SUMPRODUCT((((MOVIMIENTOS!$B$5:$B$1005="SALDO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229)*MOVIMIENTOS!$J$5:$J$1005))</f>
        <v/>
      </c>
      <c r="I229" s="63"/>
      <c r="J229" s="63" t="str">
        <f>IF(AND(MOVIMIENTOS!$A229&lt;&gt;"",COUNTIF(MOVIMIENTOS!$A$5:$A228,MOVIMIENTOS!$A229)=0),COUNT(J$4:J228)+1,"")</f>
        <v/>
      </c>
      <c r="K229" s="66">
        <f>MOVIMIENTOS!$A229</f>
        <v>46234</v>
      </c>
      <c r="L229" s="63"/>
      <c r="M229" s="63"/>
      <c r="N229" s="63"/>
    </row>
    <row r="230" spans="1:14" ht="15" customHeight="1" x14ac:dyDescent="0.2">
      <c r="A230" s="63" t="str">
        <f t="shared" si="6"/>
        <v/>
      </c>
      <c r="B230" s="63" t="str">
        <f>IF($A230="","",SUMPRODUCT((MOVIMIENTOS!$B$5:$B$1005="SALDO INICIAL")*(MOVIMIENTOS!$C$5:$C$1005="A")*(MOVIMIENTOS!$D$5:$D$1005="jabas")*(MOVIMIENTOS!$A$5:$A$1005&lt;&gt;"")*(MOVIMIENTOS!$A$5:$A$1005&lt;=$A230)*MOVIMIENTOS!$E$5:$E$1005)+SUMPRODUCT((MOVIMIENTOS!$B$5:$B$1005="PROCESO")*(MOVIMIENTOS!$C$5:$C$1005="A")*(MOVIMIENTOS!$D$5:$D$1005="jabas")*(MOVIMIENTOS!$A$5:$A$1005&lt;&gt;"")*(MOVIMIENTOS!$A$5:$A$1005&lt;=$A230)*MOVIMIENTOS!$E$5:$E$1005)-SUMPRODUCT((MOVIMIENTOS!$B$5:$B$1005="ENVÍO A SUPESA")*(MOVIMIENTOS!$C$5:$C$1005="A")*(MOVIMIENTOS!$D$5:$D$1005="jabas")*(MOVIMIENTOS!$A$5:$A$1005&lt;&gt;"")*(MOVIMIENTOS!$A$5:$A$1005&lt;=$A230)*MOVIMIENTOS!$E$5:$E$1005)+SUMPRODUCT((MOVIMIENTOS!$B$5:$B$1005="DEVOLUCIÓN")*(MOVIMIENTOS!$C$5:$C$1005="A")*(MOVIMIENTOS!$D$5:$D$1005="jabas")*(MOVIMIENTOS!$A$5:$A$1005&lt;&gt;"")*(MOVIMIENTOS!$A$5:$A$1005&lt;=$A230)*MOVIMIENTOS!$E$5:$E$1005)-SUMPRODUCT((MOVIMIENTOS!$B$5:$B$1005="TRASIEGO")*(MOVIMIENTOS!$C$5:$C$1005="A")*(MOVIMIENTOS!$D$5:$D$1005="jabas")*(MOVIMIENTOS!$A$5:$A$1005&lt;&gt;"")*(MOVIMIENTOS!$A$5:$A$1005&lt;=$A230)*MOVIMIENTOS!$E$5:$E$1005)-SUMPRODUCT((MOVIMIENTOS!$B$5:$B$1005="REGALO")*(MOVIMIENTOS!$C$5:$C$1005="A")*(MOVIMIENTOS!$D$5:$D$1005="jabas")*(MOVIMIENTOS!$A$5:$A$1005&lt;&gt;"")*(MOVIMIENTOS!$A$5:$A$1005&lt;=$A230)*MOVIMIENTOS!$E$5:$E$1005)-SUMPRODUCT((MOVIMIENTOS!$B$5:$B$1005="VENTA")*(MOVIMIENTOS!$C$5:$C$1005="A")*(MOVIMIENTOS!$D$5:$D$1005="jabas")*(MOVIMIENTOS!$A$5:$A$1005&lt;&gt;"")*(MOVIMIENTOS!$A$5:$A$1005&lt;=$A230)*MOVIMIENTOS!$E$5:$E$1005)+SUMPRODUCT((MOVIMIENTOS!$B$5:$B$1005="AJUSTE")*(MOVIMIENTOS!$C$5:$C$1005="A")*(MOVIMIENTOS!$D$5:$D$1005="jabas")*(MOVIMIENTOS!$A$5:$A$1005&lt;&gt;"")*(MOVIMIENTOS!$A$5:$A$1005&lt;=$A230)*MOVIMIENTOS!$E$5:$E$1005))</f>
        <v/>
      </c>
      <c r="C230" s="63" t="str">
        <f>IF($A230="","",SUMPRODUCT((MOVIMIENTOS!$B$5:$B$1005="SALDO INICIAL")*(MOVIMIENTOS!$C$5:$C$1005="P")*(MOVIMIENTOS!$D$5:$D$1005="jabas")*(MOVIMIENTOS!$A$5:$A$1005&lt;&gt;"")*(MOVIMIENTOS!$A$5:$A$1005&lt;=$A230)*MOVIMIENTOS!$E$5:$E$1005)+SUMPRODUCT((MOVIMIENTOS!$B$5:$B$1005="PROCESO")*(MOVIMIENTOS!$C$5:$C$1005="P")*(MOVIMIENTOS!$D$5:$D$1005="jabas")*(MOVIMIENTOS!$A$5:$A$1005&lt;&gt;"")*(MOVIMIENTOS!$A$5:$A$1005&lt;=$A230)*MOVIMIENTOS!$E$5:$E$1005)-SUMPRODUCT((MOVIMIENTOS!$B$5:$B$1005="ENVÍO A SUPESA")*(MOVIMIENTOS!$C$5:$C$1005="P")*(MOVIMIENTOS!$D$5:$D$1005="jabas")*(MOVIMIENTOS!$A$5:$A$1005&lt;&gt;"")*(MOVIMIENTOS!$A$5:$A$1005&lt;=$A230)*MOVIMIENTOS!$E$5:$E$1005)+SUMPRODUCT((MOVIMIENTOS!$B$5:$B$1005="DEVOLUCIÓN")*(MOVIMIENTOS!$C$5:$C$1005="P")*(MOVIMIENTOS!$D$5:$D$1005="jabas")*(MOVIMIENTOS!$A$5:$A$1005&lt;&gt;"")*(MOVIMIENTOS!$A$5:$A$1005&lt;=$A230)*MOVIMIENTOS!$E$5:$E$1005)-SUMPRODUCT((MOVIMIENTOS!$B$5:$B$1005="TRASIEGO")*(MOVIMIENTOS!$C$5:$C$1005="P")*(MOVIMIENTOS!$D$5:$D$1005="jabas")*(MOVIMIENTOS!$A$5:$A$1005&lt;&gt;"")*(MOVIMIENTOS!$A$5:$A$1005&lt;=$A230)*MOVIMIENTOS!$E$5:$E$1005)-SUMPRODUCT((MOVIMIENTOS!$B$5:$B$1005="REGALO")*(MOVIMIENTOS!$C$5:$C$1005="P")*(MOVIMIENTOS!$D$5:$D$1005="jabas")*(MOVIMIENTOS!$A$5:$A$1005&lt;&gt;"")*(MOVIMIENTOS!$A$5:$A$1005&lt;=$A230)*MOVIMIENTOS!$E$5:$E$1005)-SUMPRODUCT((MOVIMIENTOS!$B$5:$B$1005="VENTA")*(MOVIMIENTOS!$C$5:$C$1005="P")*(MOVIMIENTOS!$D$5:$D$1005="jabas")*(MOVIMIENTOS!$A$5:$A$1005&lt;&gt;"")*(MOVIMIENTOS!$A$5:$A$1005&lt;=$A230)*MOVIMIENTOS!$E$5:$E$1005)+SUMPRODUCT((MOVIMIENTOS!$B$5:$B$1005="AJUSTE")*(MOVIMIENTOS!$C$5:$C$1005="P")*(MOVIMIENTOS!$D$5:$D$1005="jabas")*(MOVIMIENTOS!$A$5:$A$1005&lt;&gt;"")*(MOVIMIENTOS!$A$5:$A$1005&lt;=$A230)*MOVIMIENTOS!$E$5:$E$1005))</f>
        <v/>
      </c>
      <c r="D230" s="63" t="str">
        <f>IF($A230="","",SUMPRODUCT((MOVIMIENTOS!$B$5:$B$1005="SALDO INICIAL")*(MOVIMIENTOS!$C$5:$C$1005="C")*(MOVIMIENTOS!$D$5:$D$1005="jabas")*(MOVIMIENTOS!$A$5:$A$1005&lt;&gt;"")*(MOVIMIENTOS!$A$5:$A$1005&lt;=$A230)*MOVIMIENTOS!$E$5:$E$1005)+SUMPRODUCT((MOVIMIENTOS!$B$5:$B$1005="PROCESO")*(MOVIMIENTOS!$C$5:$C$1005="C")*(MOVIMIENTOS!$D$5:$D$1005="jabas")*(MOVIMIENTOS!$A$5:$A$1005&lt;&gt;"")*(MOVIMIENTOS!$A$5:$A$1005&lt;=$A230)*MOVIMIENTOS!$E$5:$E$1005)-SUMPRODUCT((MOVIMIENTOS!$B$5:$B$1005="ENVÍO A SUPESA")*(MOVIMIENTOS!$C$5:$C$1005="C")*(MOVIMIENTOS!$D$5:$D$1005="jabas")*(MOVIMIENTOS!$A$5:$A$1005&lt;&gt;"")*(MOVIMIENTOS!$A$5:$A$1005&lt;=$A230)*MOVIMIENTOS!$E$5:$E$1005)+SUMPRODUCT((MOVIMIENTOS!$B$5:$B$1005="DEVOLUCIÓN")*(MOVIMIENTOS!$C$5:$C$1005="C")*(MOVIMIENTOS!$D$5:$D$1005="jabas")*(MOVIMIENTOS!$A$5:$A$1005&lt;&gt;"")*(MOVIMIENTOS!$A$5:$A$1005&lt;=$A230)*MOVIMIENTOS!$E$5:$E$1005)-SUMPRODUCT((MOVIMIENTOS!$B$5:$B$1005="TRASIEGO")*(MOVIMIENTOS!$C$5:$C$1005="C")*(MOVIMIENTOS!$D$5:$D$1005="jabas")*(MOVIMIENTOS!$A$5:$A$1005&lt;&gt;"")*(MOVIMIENTOS!$A$5:$A$1005&lt;=$A230)*MOVIMIENTOS!$E$5:$E$1005)-SUMPRODUCT((MOVIMIENTOS!$B$5:$B$1005="REGALO")*(MOVIMIENTOS!$C$5:$C$1005="C")*(MOVIMIENTOS!$D$5:$D$1005="jabas")*(MOVIMIENTOS!$A$5:$A$1005&lt;&gt;"")*(MOVIMIENTOS!$A$5:$A$1005&lt;=$A230)*MOVIMIENTOS!$E$5:$E$1005)-SUMPRODUCT((MOVIMIENTOS!$B$5:$B$1005="VENTA")*(MOVIMIENTOS!$C$5:$C$1005="C")*(MOVIMIENTOS!$D$5:$D$1005="jabas")*(MOVIMIENTOS!$A$5:$A$1005&lt;&gt;"")*(MOVIMIENTOS!$A$5:$A$1005&lt;=$A230)*MOVIMIENTOS!$E$5:$E$1005)+SUMPRODUCT((MOVIMIENTOS!$B$5:$B$1005="AJUSTE")*(MOVIMIENTOS!$C$5:$C$1005="C")*(MOVIMIENTOS!$D$5:$D$1005="jabas")*(MOVIMIENTOS!$A$5:$A$1005&lt;&gt;"")*(MOVIMIENTOS!$A$5:$A$1005&lt;=$A230)*MOVIMIENTOS!$E$5:$E$1005))</f>
        <v/>
      </c>
      <c r="E230" s="63" t="str">
        <f>IF($A230="","",SUMPRODUCT((MOVIMIENTOS!$B$5:$B$1005="SALDO INICIAL")*(MOVIMIENTOS!$C$5:$C$1005="M")*(MOVIMIENTOS!$D$5:$D$1005="jabas")*(MOVIMIENTOS!$A$5:$A$1005&lt;&gt;"")*(MOVIMIENTOS!$A$5:$A$1005&lt;=$A230)*MOVIMIENTOS!$E$5:$E$1005)+SUMPRODUCT((MOVIMIENTOS!$B$5:$B$1005="PROCESO")*(MOVIMIENTOS!$C$5:$C$1005="M")*(MOVIMIENTOS!$D$5:$D$1005="jabas")*(MOVIMIENTOS!$A$5:$A$1005&lt;&gt;"")*(MOVIMIENTOS!$A$5:$A$1005&lt;=$A230)*MOVIMIENTOS!$E$5:$E$1005)-SUMPRODUCT((MOVIMIENTOS!$B$5:$B$1005="ENVÍO A SUPESA")*(MOVIMIENTOS!$C$5:$C$1005="M")*(MOVIMIENTOS!$D$5:$D$1005="jabas")*(MOVIMIENTOS!$A$5:$A$1005&lt;&gt;"")*(MOVIMIENTOS!$A$5:$A$1005&lt;=$A230)*MOVIMIENTOS!$E$5:$E$1005)+SUMPRODUCT((MOVIMIENTOS!$B$5:$B$1005="DEVOLUCIÓN")*(MOVIMIENTOS!$C$5:$C$1005="M")*(MOVIMIENTOS!$D$5:$D$1005="jabas")*(MOVIMIENTOS!$A$5:$A$1005&lt;&gt;"")*(MOVIMIENTOS!$A$5:$A$1005&lt;=$A230)*MOVIMIENTOS!$E$5:$E$1005)-SUMPRODUCT((MOVIMIENTOS!$B$5:$B$1005="TRASIEGO")*(MOVIMIENTOS!$C$5:$C$1005="M")*(MOVIMIENTOS!$D$5:$D$1005="jabas")*(MOVIMIENTOS!$A$5:$A$1005&lt;&gt;"")*(MOVIMIENTOS!$A$5:$A$1005&lt;=$A230)*MOVIMIENTOS!$E$5:$E$1005)-SUMPRODUCT((MOVIMIENTOS!$B$5:$B$1005="REGALO")*(MOVIMIENTOS!$C$5:$C$1005="M")*(MOVIMIENTOS!$D$5:$D$1005="jabas")*(MOVIMIENTOS!$A$5:$A$1005&lt;&gt;"")*(MOVIMIENTOS!$A$5:$A$1005&lt;=$A230)*MOVIMIENTOS!$E$5:$E$1005)-SUMPRODUCT((MOVIMIENTOS!$B$5:$B$1005="VENTA")*(MOVIMIENTOS!$C$5:$C$1005="M")*(MOVIMIENTOS!$D$5:$D$1005="jabas")*(MOVIMIENTOS!$A$5:$A$1005&lt;&gt;"")*(MOVIMIENTOS!$A$5:$A$1005&lt;=$A230)*MOVIMIENTOS!$E$5:$E$1005)+SUMPRODUCT((MOVIMIENTOS!$B$5:$B$1005="AJUSTE")*(MOVIMIENTOS!$C$5:$C$1005="M")*(MOVIMIENTOS!$D$5:$D$1005="jabas")*(MOVIMIENTOS!$A$5:$A$1005&lt;&gt;"")*(MOVIMIENTOS!$A$5:$A$1005&lt;=$A230)*MOVIMIENTOS!$E$5:$E$1005))</f>
        <v/>
      </c>
      <c r="F230" s="63" t="str">
        <f>IF($A230="","",SUMPRODUCT((MOVIMIENTOS!$B$5:$B$1005="SALDO INICIAL")*(MOVIMIENTOS!$C$5:$C$1005="Chancho")*(MOVIMIENTOS!$D$5:$D$1005="sacos")*(MOVIMIENTOS!$A$5:$A$1005&lt;&gt;"")*(MOVIMIENTOS!$A$5:$A$1005&lt;=$A230)*MOVIMIENTOS!$E$5:$E$1005)+SUMPRODUCT((MOVIMIENTOS!$B$5:$B$1005="PROCESO")*(MOVIMIENTOS!$C$5:$C$1005="Chancho")*(MOVIMIENTOS!$D$5:$D$1005="sacos")*(MOVIMIENTOS!$A$5:$A$1005&lt;&gt;"")*(MOVIMIENTOS!$A$5:$A$1005&lt;=$A230)*MOVIMIENTOS!$E$5:$E$1005)-SUMPRODUCT((MOVIMIENTOS!$B$5:$B$1005="VENTA CHANCHO")*(MOVIMIENTOS!$C$5:$C$1005="Chancho")*(MOVIMIENTOS!$D$5:$D$1005="sacos")*(MOVIMIENTOS!$A$5:$A$1005&lt;&gt;"")*(MOVIMIENTOS!$A$5:$A$1005&lt;=$A230)*MOVIMIENTOS!$E$5:$E$1005)-SUMPRODUCT((MOVIMIENTOS!$B$5:$B$1005="REGALO")*(MOVIMIENTOS!$C$5:$C$1005="Chancho")*(MOVIMIENTOS!$D$5:$D$1005="sacos")*(MOVIMIENTOS!$A$5:$A$1005&lt;&gt;"")*(MOVIMIENTOS!$A$5:$A$1005&lt;=$A230)*MOVIMIENTOS!$E$5:$E$1005)-SUMPRODUCT((MOVIMIENTOS!$B$5:$B$1005="VENTA")*(MOVIMIENTOS!$C$5:$C$1005="Chancho")*(MOVIMIENTOS!$D$5:$D$1005="sacos")*(MOVIMIENTOS!$A$5:$A$1005&lt;&gt;"")*(MOVIMIENTOS!$A$5:$A$1005&lt;=$A230)*MOVIMIENTOS!$E$5:$E$1005)+SUMPRODUCT((MOVIMIENTOS!$B$5:$B$1005="AJUSTE")*(MOVIMIENTOS!$C$5:$C$1005="Chancho")*(MOVIMIENTOS!$D$5:$D$1005="sacos")*(MOVIMIENTOS!$A$5:$A$1005&lt;&gt;"")*(MOVIMIENTOS!$A$5:$A$1005&lt;=$A230)*MOVIMIENTOS!$E$5:$E$1005))</f>
        <v/>
      </c>
      <c r="G230" s="95" t="str">
        <f t="shared" si="7"/>
        <v/>
      </c>
      <c r="H230" s="63" t="str">
        <f>IF($A230="","",SUMPRODUCT((((MOVIMIENTOS!$B$5:$B$1005="SALDO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230)*MOVIMIENTOS!$J$5:$J$1005))</f>
        <v/>
      </c>
      <c r="I230" s="63"/>
      <c r="J230" s="63" t="str">
        <f>IF(AND(MOVIMIENTOS!$A230&lt;&gt;"",COUNTIF(MOVIMIENTOS!$A$5:$A229,MOVIMIENTOS!$A230)=0),COUNT(J$4:J229)+1,"")</f>
        <v/>
      </c>
      <c r="K230" s="66">
        <f>MOVIMIENTOS!$A230</f>
        <v>46234</v>
      </c>
      <c r="L230" s="63"/>
      <c r="M230" s="63"/>
      <c r="N230" s="63"/>
    </row>
    <row r="231" spans="1:14" ht="15" customHeight="1" x14ac:dyDescent="0.2">
      <c r="A231" s="63" t="str">
        <f t="shared" si="6"/>
        <v/>
      </c>
      <c r="B231" s="63" t="str">
        <f>IF($A231="","",SUMPRODUCT((MOVIMIENTOS!$B$5:$B$1005="SALDO INICIAL")*(MOVIMIENTOS!$C$5:$C$1005="A")*(MOVIMIENTOS!$D$5:$D$1005="jabas")*(MOVIMIENTOS!$A$5:$A$1005&lt;&gt;"")*(MOVIMIENTOS!$A$5:$A$1005&lt;=$A231)*MOVIMIENTOS!$E$5:$E$1005)+SUMPRODUCT((MOVIMIENTOS!$B$5:$B$1005="PROCESO")*(MOVIMIENTOS!$C$5:$C$1005="A")*(MOVIMIENTOS!$D$5:$D$1005="jabas")*(MOVIMIENTOS!$A$5:$A$1005&lt;&gt;"")*(MOVIMIENTOS!$A$5:$A$1005&lt;=$A231)*MOVIMIENTOS!$E$5:$E$1005)-SUMPRODUCT((MOVIMIENTOS!$B$5:$B$1005="ENVÍO A SUPESA")*(MOVIMIENTOS!$C$5:$C$1005="A")*(MOVIMIENTOS!$D$5:$D$1005="jabas")*(MOVIMIENTOS!$A$5:$A$1005&lt;&gt;"")*(MOVIMIENTOS!$A$5:$A$1005&lt;=$A231)*MOVIMIENTOS!$E$5:$E$1005)+SUMPRODUCT((MOVIMIENTOS!$B$5:$B$1005="DEVOLUCIÓN")*(MOVIMIENTOS!$C$5:$C$1005="A")*(MOVIMIENTOS!$D$5:$D$1005="jabas")*(MOVIMIENTOS!$A$5:$A$1005&lt;&gt;"")*(MOVIMIENTOS!$A$5:$A$1005&lt;=$A231)*MOVIMIENTOS!$E$5:$E$1005)-SUMPRODUCT((MOVIMIENTOS!$B$5:$B$1005="TRASIEGO")*(MOVIMIENTOS!$C$5:$C$1005="A")*(MOVIMIENTOS!$D$5:$D$1005="jabas")*(MOVIMIENTOS!$A$5:$A$1005&lt;&gt;"")*(MOVIMIENTOS!$A$5:$A$1005&lt;=$A231)*MOVIMIENTOS!$E$5:$E$1005)-SUMPRODUCT((MOVIMIENTOS!$B$5:$B$1005="REGALO")*(MOVIMIENTOS!$C$5:$C$1005="A")*(MOVIMIENTOS!$D$5:$D$1005="jabas")*(MOVIMIENTOS!$A$5:$A$1005&lt;&gt;"")*(MOVIMIENTOS!$A$5:$A$1005&lt;=$A231)*MOVIMIENTOS!$E$5:$E$1005)-SUMPRODUCT((MOVIMIENTOS!$B$5:$B$1005="VENTA")*(MOVIMIENTOS!$C$5:$C$1005="A")*(MOVIMIENTOS!$D$5:$D$1005="jabas")*(MOVIMIENTOS!$A$5:$A$1005&lt;&gt;"")*(MOVIMIENTOS!$A$5:$A$1005&lt;=$A231)*MOVIMIENTOS!$E$5:$E$1005)+SUMPRODUCT((MOVIMIENTOS!$B$5:$B$1005="AJUSTE")*(MOVIMIENTOS!$C$5:$C$1005="A")*(MOVIMIENTOS!$D$5:$D$1005="jabas")*(MOVIMIENTOS!$A$5:$A$1005&lt;&gt;"")*(MOVIMIENTOS!$A$5:$A$1005&lt;=$A231)*MOVIMIENTOS!$E$5:$E$1005))</f>
        <v/>
      </c>
      <c r="C231" s="63" t="str">
        <f>IF($A231="","",SUMPRODUCT((MOVIMIENTOS!$B$5:$B$1005="SALDO INICIAL")*(MOVIMIENTOS!$C$5:$C$1005="P")*(MOVIMIENTOS!$D$5:$D$1005="jabas")*(MOVIMIENTOS!$A$5:$A$1005&lt;&gt;"")*(MOVIMIENTOS!$A$5:$A$1005&lt;=$A231)*MOVIMIENTOS!$E$5:$E$1005)+SUMPRODUCT((MOVIMIENTOS!$B$5:$B$1005="PROCESO")*(MOVIMIENTOS!$C$5:$C$1005="P")*(MOVIMIENTOS!$D$5:$D$1005="jabas")*(MOVIMIENTOS!$A$5:$A$1005&lt;&gt;"")*(MOVIMIENTOS!$A$5:$A$1005&lt;=$A231)*MOVIMIENTOS!$E$5:$E$1005)-SUMPRODUCT((MOVIMIENTOS!$B$5:$B$1005="ENVÍO A SUPESA")*(MOVIMIENTOS!$C$5:$C$1005="P")*(MOVIMIENTOS!$D$5:$D$1005="jabas")*(MOVIMIENTOS!$A$5:$A$1005&lt;&gt;"")*(MOVIMIENTOS!$A$5:$A$1005&lt;=$A231)*MOVIMIENTOS!$E$5:$E$1005)+SUMPRODUCT((MOVIMIENTOS!$B$5:$B$1005="DEVOLUCIÓN")*(MOVIMIENTOS!$C$5:$C$1005="P")*(MOVIMIENTOS!$D$5:$D$1005="jabas")*(MOVIMIENTOS!$A$5:$A$1005&lt;&gt;"")*(MOVIMIENTOS!$A$5:$A$1005&lt;=$A231)*MOVIMIENTOS!$E$5:$E$1005)-SUMPRODUCT((MOVIMIENTOS!$B$5:$B$1005="TRASIEGO")*(MOVIMIENTOS!$C$5:$C$1005="P")*(MOVIMIENTOS!$D$5:$D$1005="jabas")*(MOVIMIENTOS!$A$5:$A$1005&lt;&gt;"")*(MOVIMIENTOS!$A$5:$A$1005&lt;=$A231)*MOVIMIENTOS!$E$5:$E$1005)-SUMPRODUCT((MOVIMIENTOS!$B$5:$B$1005="REGALO")*(MOVIMIENTOS!$C$5:$C$1005="P")*(MOVIMIENTOS!$D$5:$D$1005="jabas")*(MOVIMIENTOS!$A$5:$A$1005&lt;&gt;"")*(MOVIMIENTOS!$A$5:$A$1005&lt;=$A231)*MOVIMIENTOS!$E$5:$E$1005)-SUMPRODUCT((MOVIMIENTOS!$B$5:$B$1005="VENTA")*(MOVIMIENTOS!$C$5:$C$1005="P")*(MOVIMIENTOS!$D$5:$D$1005="jabas")*(MOVIMIENTOS!$A$5:$A$1005&lt;&gt;"")*(MOVIMIENTOS!$A$5:$A$1005&lt;=$A231)*MOVIMIENTOS!$E$5:$E$1005)+SUMPRODUCT((MOVIMIENTOS!$B$5:$B$1005="AJUSTE")*(MOVIMIENTOS!$C$5:$C$1005="P")*(MOVIMIENTOS!$D$5:$D$1005="jabas")*(MOVIMIENTOS!$A$5:$A$1005&lt;&gt;"")*(MOVIMIENTOS!$A$5:$A$1005&lt;=$A231)*MOVIMIENTOS!$E$5:$E$1005))</f>
        <v/>
      </c>
      <c r="D231" s="63" t="str">
        <f>IF($A231="","",SUMPRODUCT((MOVIMIENTOS!$B$5:$B$1005="SALDO INICIAL")*(MOVIMIENTOS!$C$5:$C$1005="C")*(MOVIMIENTOS!$D$5:$D$1005="jabas")*(MOVIMIENTOS!$A$5:$A$1005&lt;&gt;"")*(MOVIMIENTOS!$A$5:$A$1005&lt;=$A231)*MOVIMIENTOS!$E$5:$E$1005)+SUMPRODUCT((MOVIMIENTOS!$B$5:$B$1005="PROCESO")*(MOVIMIENTOS!$C$5:$C$1005="C")*(MOVIMIENTOS!$D$5:$D$1005="jabas")*(MOVIMIENTOS!$A$5:$A$1005&lt;&gt;"")*(MOVIMIENTOS!$A$5:$A$1005&lt;=$A231)*MOVIMIENTOS!$E$5:$E$1005)-SUMPRODUCT((MOVIMIENTOS!$B$5:$B$1005="ENVÍO A SUPESA")*(MOVIMIENTOS!$C$5:$C$1005="C")*(MOVIMIENTOS!$D$5:$D$1005="jabas")*(MOVIMIENTOS!$A$5:$A$1005&lt;&gt;"")*(MOVIMIENTOS!$A$5:$A$1005&lt;=$A231)*MOVIMIENTOS!$E$5:$E$1005)+SUMPRODUCT((MOVIMIENTOS!$B$5:$B$1005="DEVOLUCIÓN")*(MOVIMIENTOS!$C$5:$C$1005="C")*(MOVIMIENTOS!$D$5:$D$1005="jabas")*(MOVIMIENTOS!$A$5:$A$1005&lt;&gt;"")*(MOVIMIENTOS!$A$5:$A$1005&lt;=$A231)*MOVIMIENTOS!$E$5:$E$1005)-SUMPRODUCT((MOVIMIENTOS!$B$5:$B$1005="TRASIEGO")*(MOVIMIENTOS!$C$5:$C$1005="C")*(MOVIMIENTOS!$D$5:$D$1005="jabas")*(MOVIMIENTOS!$A$5:$A$1005&lt;&gt;"")*(MOVIMIENTOS!$A$5:$A$1005&lt;=$A231)*MOVIMIENTOS!$E$5:$E$1005)-SUMPRODUCT((MOVIMIENTOS!$B$5:$B$1005="REGALO")*(MOVIMIENTOS!$C$5:$C$1005="C")*(MOVIMIENTOS!$D$5:$D$1005="jabas")*(MOVIMIENTOS!$A$5:$A$1005&lt;&gt;"")*(MOVIMIENTOS!$A$5:$A$1005&lt;=$A231)*MOVIMIENTOS!$E$5:$E$1005)-SUMPRODUCT((MOVIMIENTOS!$B$5:$B$1005="VENTA")*(MOVIMIENTOS!$C$5:$C$1005="C")*(MOVIMIENTOS!$D$5:$D$1005="jabas")*(MOVIMIENTOS!$A$5:$A$1005&lt;&gt;"")*(MOVIMIENTOS!$A$5:$A$1005&lt;=$A231)*MOVIMIENTOS!$E$5:$E$1005)+SUMPRODUCT((MOVIMIENTOS!$B$5:$B$1005="AJUSTE")*(MOVIMIENTOS!$C$5:$C$1005="C")*(MOVIMIENTOS!$D$5:$D$1005="jabas")*(MOVIMIENTOS!$A$5:$A$1005&lt;&gt;"")*(MOVIMIENTOS!$A$5:$A$1005&lt;=$A231)*MOVIMIENTOS!$E$5:$E$1005))</f>
        <v/>
      </c>
      <c r="E231" s="63" t="str">
        <f>IF($A231="","",SUMPRODUCT((MOVIMIENTOS!$B$5:$B$1005="SALDO INICIAL")*(MOVIMIENTOS!$C$5:$C$1005="M")*(MOVIMIENTOS!$D$5:$D$1005="jabas")*(MOVIMIENTOS!$A$5:$A$1005&lt;&gt;"")*(MOVIMIENTOS!$A$5:$A$1005&lt;=$A231)*MOVIMIENTOS!$E$5:$E$1005)+SUMPRODUCT((MOVIMIENTOS!$B$5:$B$1005="PROCESO")*(MOVIMIENTOS!$C$5:$C$1005="M")*(MOVIMIENTOS!$D$5:$D$1005="jabas")*(MOVIMIENTOS!$A$5:$A$1005&lt;&gt;"")*(MOVIMIENTOS!$A$5:$A$1005&lt;=$A231)*MOVIMIENTOS!$E$5:$E$1005)-SUMPRODUCT((MOVIMIENTOS!$B$5:$B$1005="ENVÍO A SUPESA")*(MOVIMIENTOS!$C$5:$C$1005="M")*(MOVIMIENTOS!$D$5:$D$1005="jabas")*(MOVIMIENTOS!$A$5:$A$1005&lt;&gt;"")*(MOVIMIENTOS!$A$5:$A$1005&lt;=$A231)*MOVIMIENTOS!$E$5:$E$1005)+SUMPRODUCT((MOVIMIENTOS!$B$5:$B$1005="DEVOLUCIÓN")*(MOVIMIENTOS!$C$5:$C$1005="M")*(MOVIMIENTOS!$D$5:$D$1005="jabas")*(MOVIMIENTOS!$A$5:$A$1005&lt;&gt;"")*(MOVIMIENTOS!$A$5:$A$1005&lt;=$A231)*MOVIMIENTOS!$E$5:$E$1005)-SUMPRODUCT((MOVIMIENTOS!$B$5:$B$1005="TRASIEGO")*(MOVIMIENTOS!$C$5:$C$1005="M")*(MOVIMIENTOS!$D$5:$D$1005="jabas")*(MOVIMIENTOS!$A$5:$A$1005&lt;&gt;"")*(MOVIMIENTOS!$A$5:$A$1005&lt;=$A231)*MOVIMIENTOS!$E$5:$E$1005)-SUMPRODUCT((MOVIMIENTOS!$B$5:$B$1005="REGALO")*(MOVIMIENTOS!$C$5:$C$1005="M")*(MOVIMIENTOS!$D$5:$D$1005="jabas")*(MOVIMIENTOS!$A$5:$A$1005&lt;&gt;"")*(MOVIMIENTOS!$A$5:$A$1005&lt;=$A231)*MOVIMIENTOS!$E$5:$E$1005)-SUMPRODUCT((MOVIMIENTOS!$B$5:$B$1005="VENTA")*(MOVIMIENTOS!$C$5:$C$1005="M")*(MOVIMIENTOS!$D$5:$D$1005="jabas")*(MOVIMIENTOS!$A$5:$A$1005&lt;&gt;"")*(MOVIMIENTOS!$A$5:$A$1005&lt;=$A231)*MOVIMIENTOS!$E$5:$E$1005)+SUMPRODUCT((MOVIMIENTOS!$B$5:$B$1005="AJUSTE")*(MOVIMIENTOS!$C$5:$C$1005="M")*(MOVIMIENTOS!$D$5:$D$1005="jabas")*(MOVIMIENTOS!$A$5:$A$1005&lt;&gt;"")*(MOVIMIENTOS!$A$5:$A$1005&lt;=$A231)*MOVIMIENTOS!$E$5:$E$1005))</f>
        <v/>
      </c>
      <c r="F231" s="63" t="str">
        <f>IF($A231="","",SUMPRODUCT((MOVIMIENTOS!$B$5:$B$1005="SALDO INICIAL")*(MOVIMIENTOS!$C$5:$C$1005="Chancho")*(MOVIMIENTOS!$D$5:$D$1005="sacos")*(MOVIMIENTOS!$A$5:$A$1005&lt;&gt;"")*(MOVIMIENTOS!$A$5:$A$1005&lt;=$A231)*MOVIMIENTOS!$E$5:$E$1005)+SUMPRODUCT((MOVIMIENTOS!$B$5:$B$1005="PROCESO")*(MOVIMIENTOS!$C$5:$C$1005="Chancho")*(MOVIMIENTOS!$D$5:$D$1005="sacos")*(MOVIMIENTOS!$A$5:$A$1005&lt;&gt;"")*(MOVIMIENTOS!$A$5:$A$1005&lt;=$A231)*MOVIMIENTOS!$E$5:$E$1005)-SUMPRODUCT((MOVIMIENTOS!$B$5:$B$1005="VENTA CHANCHO")*(MOVIMIENTOS!$C$5:$C$1005="Chancho")*(MOVIMIENTOS!$D$5:$D$1005="sacos")*(MOVIMIENTOS!$A$5:$A$1005&lt;&gt;"")*(MOVIMIENTOS!$A$5:$A$1005&lt;=$A231)*MOVIMIENTOS!$E$5:$E$1005)-SUMPRODUCT((MOVIMIENTOS!$B$5:$B$1005="REGALO")*(MOVIMIENTOS!$C$5:$C$1005="Chancho")*(MOVIMIENTOS!$D$5:$D$1005="sacos")*(MOVIMIENTOS!$A$5:$A$1005&lt;&gt;"")*(MOVIMIENTOS!$A$5:$A$1005&lt;=$A231)*MOVIMIENTOS!$E$5:$E$1005)-SUMPRODUCT((MOVIMIENTOS!$B$5:$B$1005="VENTA")*(MOVIMIENTOS!$C$5:$C$1005="Chancho")*(MOVIMIENTOS!$D$5:$D$1005="sacos")*(MOVIMIENTOS!$A$5:$A$1005&lt;&gt;"")*(MOVIMIENTOS!$A$5:$A$1005&lt;=$A231)*MOVIMIENTOS!$E$5:$E$1005)+SUMPRODUCT((MOVIMIENTOS!$B$5:$B$1005="AJUSTE")*(MOVIMIENTOS!$C$5:$C$1005="Chancho")*(MOVIMIENTOS!$D$5:$D$1005="sacos")*(MOVIMIENTOS!$A$5:$A$1005&lt;&gt;"")*(MOVIMIENTOS!$A$5:$A$1005&lt;=$A231)*MOVIMIENTOS!$E$5:$E$1005))</f>
        <v/>
      </c>
      <c r="G231" s="95" t="str">
        <f t="shared" si="7"/>
        <v/>
      </c>
      <c r="H231" s="63" t="str">
        <f>IF($A231="","",SUMPRODUCT((((MOVIMIENTOS!$B$5:$B$1005="SALDO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231)*MOVIMIENTOS!$J$5:$J$1005))</f>
        <v/>
      </c>
      <c r="I231" s="63"/>
      <c r="J231" s="63" t="str">
        <f>IF(AND(MOVIMIENTOS!$A231&lt;&gt;"",COUNTIF(MOVIMIENTOS!$A$5:$A230,MOVIMIENTOS!$A231)=0),COUNT(J$4:J230)+1,"")</f>
        <v/>
      </c>
      <c r="K231" s="66">
        <f>MOVIMIENTOS!$A231</f>
        <v>46234</v>
      </c>
      <c r="L231" s="63"/>
      <c r="M231" s="63"/>
      <c r="N231" s="63"/>
    </row>
    <row r="232" spans="1:14" ht="15" customHeight="1" x14ac:dyDescent="0.2">
      <c r="A232" s="63" t="str">
        <f t="shared" si="6"/>
        <v/>
      </c>
      <c r="B232" s="63" t="str">
        <f>IF($A232="","",SUMPRODUCT((MOVIMIENTOS!$B$5:$B$1005="SALDO INICIAL")*(MOVIMIENTOS!$C$5:$C$1005="A")*(MOVIMIENTOS!$D$5:$D$1005="jabas")*(MOVIMIENTOS!$A$5:$A$1005&lt;&gt;"")*(MOVIMIENTOS!$A$5:$A$1005&lt;=$A232)*MOVIMIENTOS!$E$5:$E$1005)+SUMPRODUCT((MOVIMIENTOS!$B$5:$B$1005="PROCESO")*(MOVIMIENTOS!$C$5:$C$1005="A")*(MOVIMIENTOS!$D$5:$D$1005="jabas")*(MOVIMIENTOS!$A$5:$A$1005&lt;&gt;"")*(MOVIMIENTOS!$A$5:$A$1005&lt;=$A232)*MOVIMIENTOS!$E$5:$E$1005)-SUMPRODUCT((MOVIMIENTOS!$B$5:$B$1005="ENVÍO A SUPESA")*(MOVIMIENTOS!$C$5:$C$1005="A")*(MOVIMIENTOS!$D$5:$D$1005="jabas")*(MOVIMIENTOS!$A$5:$A$1005&lt;&gt;"")*(MOVIMIENTOS!$A$5:$A$1005&lt;=$A232)*MOVIMIENTOS!$E$5:$E$1005)+SUMPRODUCT((MOVIMIENTOS!$B$5:$B$1005="DEVOLUCIÓN")*(MOVIMIENTOS!$C$5:$C$1005="A")*(MOVIMIENTOS!$D$5:$D$1005="jabas")*(MOVIMIENTOS!$A$5:$A$1005&lt;&gt;"")*(MOVIMIENTOS!$A$5:$A$1005&lt;=$A232)*MOVIMIENTOS!$E$5:$E$1005)-SUMPRODUCT((MOVIMIENTOS!$B$5:$B$1005="TRASIEGO")*(MOVIMIENTOS!$C$5:$C$1005="A")*(MOVIMIENTOS!$D$5:$D$1005="jabas")*(MOVIMIENTOS!$A$5:$A$1005&lt;&gt;"")*(MOVIMIENTOS!$A$5:$A$1005&lt;=$A232)*MOVIMIENTOS!$E$5:$E$1005)-SUMPRODUCT((MOVIMIENTOS!$B$5:$B$1005="REGALO")*(MOVIMIENTOS!$C$5:$C$1005="A")*(MOVIMIENTOS!$D$5:$D$1005="jabas")*(MOVIMIENTOS!$A$5:$A$1005&lt;&gt;"")*(MOVIMIENTOS!$A$5:$A$1005&lt;=$A232)*MOVIMIENTOS!$E$5:$E$1005)-SUMPRODUCT((MOVIMIENTOS!$B$5:$B$1005="VENTA")*(MOVIMIENTOS!$C$5:$C$1005="A")*(MOVIMIENTOS!$D$5:$D$1005="jabas")*(MOVIMIENTOS!$A$5:$A$1005&lt;&gt;"")*(MOVIMIENTOS!$A$5:$A$1005&lt;=$A232)*MOVIMIENTOS!$E$5:$E$1005)+SUMPRODUCT((MOVIMIENTOS!$B$5:$B$1005="AJUSTE")*(MOVIMIENTOS!$C$5:$C$1005="A")*(MOVIMIENTOS!$D$5:$D$1005="jabas")*(MOVIMIENTOS!$A$5:$A$1005&lt;&gt;"")*(MOVIMIENTOS!$A$5:$A$1005&lt;=$A232)*MOVIMIENTOS!$E$5:$E$1005))</f>
        <v/>
      </c>
      <c r="C232" s="63" t="str">
        <f>IF($A232="","",SUMPRODUCT((MOVIMIENTOS!$B$5:$B$1005="SALDO INICIAL")*(MOVIMIENTOS!$C$5:$C$1005="P")*(MOVIMIENTOS!$D$5:$D$1005="jabas")*(MOVIMIENTOS!$A$5:$A$1005&lt;&gt;"")*(MOVIMIENTOS!$A$5:$A$1005&lt;=$A232)*MOVIMIENTOS!$E$5:$E$1005)+SUMPRODUCT((MOVIMIENTOS!$B$5:$B$1005="PROCESO")*(MOVIMIENTOS!$C$5:$C$1005="P")*(MOVIMIENTOS!$D$5:$D$1005="jabas")*(MOVIMIENTOS!$A$5:$A$1005&lt;&gt;"")*(MOVIMIENTOS!$A$5:$A$1005&lt;=$A232)*MOVIMIENTOS!$E$5:$E$1005)-SUMPRODUCT((MOVIMIENTOS!$B$5:$B$1005="ENVÍO A SUPESA")*(MOVIMIENTOS!$C$5:$C$1005="P")*(MOVIMIENTOS!$D$5:$D$1005="jabas")*(MOVIMIENTOS!$A$5:$A$1005&lt;&gt;"")*(MOVIMIENTOS!$A$5:$A$1005&lt;=$A232)*MOVIMIENTOS!$E$5:$E$1005)+SUMPRODUCT((MOVIMIENTOS!$B$5:$B$1005="DEVOLUCIÓN")*(MOVIMIENTOS!$C$5:$C$1005="P")*(MOVIMIENTOS!$D$5:$D$1005="jabas")*(MOVIMIENTOS!$A$5:$A$1005&lt;&gt;"")*(MOVIMIENTOS!$A$5:$A$1005&lt;=$A232)*MOVIMIENTOS!$E$5:$E$1005)-SUMPRODUCT((MOVIMIENTOS!$B$5:$B$1005="TRASIEGO")*(MOVIMIENTOS!$C$5:$C$1005="P")*(MOVIMIENTOS!$D$5:$D$1005="jabas")*(MOVIMIENTOS!$A$5:$A$1005&lt;&gt;"")*(MOVIMIENTOS!$A$5:$A$1005&lt;=$A232)*MOVIMIENTOS!$E$5:$E$1005)-SUMPRODUCT((MOVIMIENTOS!$B$5:$B$1005="REGALO")*(MOVIMIENTOS!$C$5:$C$1005="P")*(MOVIMIENTOS!$D$5:$D$1005="jabas")*(MOVIMIENTOS!$A$5:$A$1005&lt;&gt;"")*(MOVIMIENTOS!$A$5:$A$1005&lt;=$A232)*MOVIMIENTOS!$E$5:$E$1005)-SUMPRODUCT((MOVIMIENTOS!$B$5:$B$1005="VENTA")*(MOVIMIENTOS!$C$5:$C$1005="P")*(MOVIMIENTOS!$D$5:$D$1005="jabas")*(MOVIMIENTOS!$A$5:$A$1005&lt;&gt;"")*(MOVIMIENTOS!$A$5:$A$1005&lt;=$A232)*MOVIMIENTOS!$E$5:$E$1005)+SUMPRODUCT((MOVIMIENTOS!$B$5:$B$1005="AJUSTE")*(MOVIMIENTOS!$C$5:$C$1005="P")*(MOVIMIENTOS!$D$5:$D$1005="jabas")*(MOVIMIENTOS!$A$5:$A$1005&lt;&gt;"")*(MOVIMIENTOS!$A$5:$A$1005&lt;=$A232)*MOVIMIENTOS!$E$5:$E$1005))</f>
        <v/>
      </c>
      <c r="D232" s="63" t="str">
        <f>IF($A232="","",SUMPRODUCT((MOVIMIENTOS!$B$5:$B$1005="SALDO INICIAL")*(MOVIMIENTOS!$C$5:$C$1005="C")*(MOVIMIENTOS!$D$5:$D$1005="jabas")*(MOVIMIENTOS!$A$5:$A$1005&lt;&gt;"")*(MOVIMIENTOS!$A$5:$A$1005&lt;=$A232)*MOVIMIENTOS!$E$5:$E$1005)+SUMPRODUCT((MOVIMIENTOS!$B$5:$B$1005="PROCESO")*(MOVIMIENTOS!$C$5:$C$1005="C")*(MOVIMIENTOS!$D$5:$D$1005="jabas")*(MOVIMIENTOS!$A$5:$A$1005&lt;&gt;"")*(MOVIMIENTOS!$A$5:$A$1005&lt;=$A232)*MOVIMIENTOS!$E$5:$E$1005)-SUMPRODUCT((MOVIMIENTOS!$B$5:$B$1005="ENVÍO A SUPESA")*(MOVIMIENTOS!$C$5:$C$1005="C")*(MOVIMIENTOS!$D$5:$D$1005="jabas")*(MOVIMIENTOS!$A$5:$A$1005&lt;&gt;"")*(MOVIMIENTOS!$A$5:$A$1005&lt;=$A232)*MOVIMIENTOS!$E$5:$E$1005)+SUMPRODUCT((MOVIMIENTOS!$B$5:$B$1005="DEVOLUCIÓN")*(MOVIMIENTOS!$C$5:$C$1005="C")*(MOVIMIENTOS!$D$5:$D$1005="jabas")*(MOVIMIENTOS!$A$5:$A$1005&lt;&gt;"")*(MOVIMIENTOS!$A$5:$A$1005&lt;=$A232)*MOVIMIENTOS!$E$5:$E$1005)-SUMPRODUCT((MOVIMIENTOS!$B$5:$B$1005="TRASIEGO")*(MOVIMIENTOS!$C$5:$C$1005="C")*(MOVIMIENTOS!$D$5:$D$1005="jabas")*(MOVIMIENTOS!$A$5:$A$1005&lt;&gt;"")*(MOVIMIENTOS!$A$5:$A$1005&lt;=$A232)*MOVIMIENTOS!$E$5:$E$1005)-SUMPRODUCT((MOVIMIENTOS!$B$5:$B$1005="REGALO")*(MOVIMIENTOS!$C$5:$C$1005="C")*(MOVIMIENTOS!$D$5:$D$1005="jabas")*(MOVIMIENTOS!$A$5:$A$1005&lt;&gt;"")*(MOVIMIENTOS!$A$5:$A$1005&lt;=$A232)*MOVIMIENTOS!$E$5:$E$1005)-SUMPRODUCT((MOVIMIENTOS!$B$5:$B$1005="VENTA")*(MOVIMIENTOS!$C$5:$C$1005="C")*(MOVIMIENTOS!$D$5:$D$1005="jabas")*(MOVIMIENTOS!$A$5:$A$1005&lt;&gt;"")*(MOVIMIENTOS!$A$5:$A$1005&lt;=$A232)*MOVIMIENTOS!$E$5:$E$1005)+SUMPRODUCT((MOVIMIENTOS!$B$5:$B$1005="AJUSTE")*(MOVIMIENTOS!$C$5:$C$1005="C")*(MOVIMIENTOS!$D$5:$D$1005="jabas")*(MOVIMIENTOS!$A$5:$A$1005&lt;&gt;"")*(MOVIMIENTOS!$A$5:$A$1005&lt;=$A232)*MOVIMIENTOS!$E$5:$E$1005))</f>
        <v/>
      </c>
      <c r="E232" s="63" t="str">
        <f>IF($A232="","",SUMPRODUCT((MOVIMIENTOS!$B$5:$B$1005="SALDO INICIAL")*(MOVIMIENTOS!$C$5:$C$1005="M")*(MOVIMIENTOS!$D$5:$D$1005="jabas")*(MOVIMIENTOS!$A$5:$A$1005&lt;&gt;"")*(MOVIMIENTOS!$A$5:$A$1005&lt;=$A232)*MOVIMIENTOS!$E$5:$E$1005)+SUMPRODUCT((MOVIMIENTOS!$B$5:$B$1005="PROCESO")*(MOVIMIENTOS!$C$5:$C$1005="M")*(MOVIMIENTOS!$D$5:$D$1005="jabas")*(MOVIMIENTOS!$A$5:$A$1005&lt;&gt;"")*(MOVIMIENTOS!$A$5:$A$1005&lt;=$A232)*MOVIMIENTOS!$E$5:$E$1005)-SUMPRODUCT((MOVIMIENTOS!$B$5:$B$1005="ENVÍO A SUPESA")*(MOVIMIENTOS!$C$5:$C$1005="M")*(MOVIMIENTOS!$D$5:$D$1005="jabas")*(MOVIMIENTOS!$A$5:$A$1005&lt;&gt;"")*(MOVIMIENTOS!$A$5:$A$1005&lt;=$A232)*MOVIMIENTOS!$E$5:$E$1005)+SUMPRODUCT((MOVIMIENTOS!$B$5:$B$1005="DEVOLUCIÓN")*(MOVIMIENTOS!$C$5:$C$1005="M")*(MOVIMIENTOS!$D$5:$D$1005="jabas")*(MOVIMIENTOS!$A$5:$A$1005&lt;&gt;"")*(MOVIMIENTOS!$A$5:$A$1005&lt;=$A232)*MOVIMIENTOS!$E$5:$E$1005)-SUMPRODUCT((MOVIMIENTOS!$B$5:$B$1005="TRASIEGO")*(MOVIMIENTOS!$C$5:$C$1005="M")*(MOVIMIENTOS!$D$5:$D$1005="jabas")*(MOVIMIENTOS!$A$5:$A$1005&lt;&gt;"")*(MOVIMIENTOS!$A$5:$A$1005&lt;=$A232)*MOVIMIENTOS!$E$5:$E$1005)-SUMPRODUCT((MOVIMIENTOS!$B$5:$B$1005="REGALO")*(MOVIMIENTOS!$C$5:$C$1005="M")*(MOVIMIENTOS!$D$5:$D$1005="jabas")*(MOVIMIENTOS!$A$5:$A$1005&lt;&gt;"")*(MOVIMIENTOS!$A$5:$A$1005&lt;=$A232)*MOVIMIENTOS!$E$5:$E$1005)-SUMPRODUCT((MOVIMIENTOS!$B$5:$B$1005="VENTA")*(MOVIMIENTOS!$C$5:$C$1005="M")*(MOVIMIENTOS!$D$5:$D$1005="jabas")*(MOVIMIENTOS!$A$5:$A$1005&lt;&gt;"")*(MOVIMIENTOS!$A$5:$A$1005&lt;=$A232)*MOVIMIENTOS!$E$5:$E$1005)+SUMPRODUCT((MOVIMIENTOS!$B$5:$B$1005="AJUSTE")*(MOVIMIENTOS!$C$5:$C$1005="M")*(MOVIMIENTOS!$D$5:$D$1005="jabas")*(MOVIMIENTOS!$A$5:$A$1005&lt;&gt;"")*(MOVIMIENTOS!$A$5:$A$1005&lt;=$A232)*MOVIMIENTOS!$E$5:$E$1005))</f>
        <v/>
      </c>
      <c r="F232" s="63" t="str">
        <f>IF($A232="","",SUMPRODUCT((MOVIMIENTOS!$B$5:$B$1005="SALDO INICIAL")*(MOVIMIENTOS!$C$5:$C$1005="Chancho")*(MOVIMIENTOS!$D$5:$D$1005="sacos")*(MOVIMIENTOS!$A$5:$A$1005&lt;&gt;"")*(MOVIMIENTOS!$A$5:$A$1005&lt;=$A232)*MOVIMIENTOS!$E$5:$E$1005)+SUMPRODUCT((MOVIMIENTOS!$B$5:$B$1005="PROCESO")*(MOVIMIENTOS!$C$5:$C$1005="Chancho")*(MOVIMIENTOS!$D$5:$D$1005="sacos")*(MOVIMIENTOS!$A$5:$A$1005&lt;&gt;"")*(MOVIMIENTOS!$A$5:$A$1005&lt;=$A232)*MOVIMIENTOS!$E$5:$E$1005)-SUMPRODUCT((MOVIMIENTOS!$B$5:$B$1005="VENTA CHANCHO")*(MOVIMIENTOS!$C$5:$C$1005="Chancho")*(MOVIMIENTOS!$D$5:$D$1005="sacos")*(MOVIMIENTOS!$A$5:$A$1005&lt;&gt;"")*(MOVIMIENTOS!$A$5:$A$1005&lt;=$A232)*MOVIMIENTOS!$E$5:$E$1005)-SUMPRODUCT((MOVIMIENTOS!$B$5:$B$1005="REGALO")*(MOVIMIENTOS!$C$5:$C$1005="Chancho")*(MOVIMIENTOS!$D$5:$D$1005="sacos")*(MOVIMIENTOS!$A$5:$A$1005&lt;&gt;"")*(MOVIMIENTOS!$A$5:$A$1005&lt;=$A232)*MOVIMIENTOS!$E$5:$E$1005)-SUMPRODUCT((MOVIMIENTOS!$B$5:$B$1005="VENTA")*(MOVIMIENTOS!$C$5:$C$1005="Chancho")*(MOVIMIENTOS!$D$5:$D$1005="sacos")*(MOVIMIENTOS!$A$5:$A$1005&lt;&gt;"")*(MOVIMIENTOS!$A$5:$A$1005&lt;=$A232)*MOVIMIENTOS!$E$5:$E$1005)+SUMPRODUCT((MOVIMIENTOS!$B$5:$B$1005="AJUSTE")*(MOVIMIENTOS!$C$5:$C$1005="Chancho")*(MOVIMIENTOS!$D$5:$D$1005="sacos")*(MOVIMIENTOS!$A$5:$A$1005&lt;&gt;"")*(MOVIMIENTOS!$A$5:$A$1005&lt;=$A232)*MOVIMIENTOS!$E$5:$E$1005))</f>
        <v/>
      </c>
      <c r="G232" s="95" t="str">
        <f t="shared" si="7"/>
        <v/>
      </c>
      <c r="H232" s="63" t="str">
        <f>IF($A232="","",SUMPRODUCT((((MOVIMIENTOS!$B$5:$B$1005="SALDO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232)*MOVIMIENTOS!$J$5:$J$1005))</f>
        <v/>
      </c>
      <c r="I232" s="63"/>
      <c r="J232" s="63" t="str">
        <f>IF(AND(MOVIMIENTOS!$A232&lt;&gt;"",COUNTIF(MOVIMIENTOS!$A$5:$A231,MOVIMIENTOS!$A232)=0),COUNT(J$4:J231)+1,"")</f>
        <v/>
      </c>
      <c r="K232" s="66">
        <f>MOVIMIENTOS!$A232</f>
        <v>46234</v>
      </c>
      <c r="L232" s="63"/>
      <c r="M232" s="63"/>
      <c r="N232" s="63"/>
    </row>
    <row r="233" spans="1:14" ht="15" customHeight="1" x14ac:dyDescent="0.2">
      <c r="A233" s="63" t="str">
        <f t="shared" si="6"/>
        <v/>
      </c>
      <c r="B233" s="63" t="str">
        <f>IF($A233="","",SUMPRODUCT((MOVIMIENTOS!$B$5:$B$1005="SALDO INICIAL")*(MOVIMIENTOS!$C$5:$C$1005="A")*(MOVIMIENTOS!$D$5:$D$1005="jabas")*(MOVIMIENTOS!$A$5:$A$1005&lt;&gt;"")*(MOVIMIENTOS!$A$5:$A$1005&lt;=$A233)*MOVIMIENTOS!$E$5:$E$1005)+SUMPRODUCT((MOVIMIENTOS!$B$5:$B$1005="PROCESO")*(MOVIMIENTOS!$C$5:$C$1005="A")*(MOVIMIENTOS!$D$5:$D$1005="jabas")*(MOVIMIENTOS!$A$5:$A$1005&lt;&gt;"")*(MOVIMIENTOS!$A$5:$A$1005&lt;=$A233)*MOVIMIENTOS!$E$5:$E$1005)-SUMPRODUCT((MOVIMIENTOS!$B$5:$B$1005="ENVÍO A SUPESA")*(MOVIMIENTOS!$C$5:$C$1005="A")*(MOVIMIENTOS!$D$5:$D$1005="jabas")*(MOVIMIENTOS!$A$5:$A$1005&lt;&gt;"")*(MOVIMIENTOS!$A$5:$A$1005&lt;=$A233)*MOVIMIENTOS!$E$5:$E$1005)+SUMPRODUCT((MOVIMIENTOS!$B$5:$B$1005="DEVOLUCIÓN")*(MOVIMIENTOS!$C$5:$C$1005="A")*(MOVIMIENTOS!$D$5:$D$1005="jabas")*(MOVIMIENTOS!$A$5:$A$1005&lt;&gt;"")*(MOVIMIENTOS!$A$5:$A$1005&lt;=$A233)*MOVIMIENTOS!$E$5:$E$1005)-SUMPRODUCT((MOVIMIENTOS!$B$5:$B$1005="TRASIEGO")*(MOVIMIENTOS!$C$5:$C$1005="A")*(MOVIMIENTOS!$D$5:$D$1005="jabas")*(MOVIMIENTOS!$A$5:$A$1005&lt;&gt;"")*(MOVIMIENTOS!$A$5:$A$1005&lt;=$A233)*MOVIMIENTOS!$E$5:$E$1005)-SUMPRODUCT((MOVIMIENTOS!$B$5:$B$1005="REGALO")*(MOVIMIENTOS!$C$5:$C$1005="A")*(MOVIMIENTOS!$D$5:$D$1005="jabas")*(MOVIMIENTOS!$A$5:$A$1005&lt;&gt;"")*(MOVIMIENTOS!$A$5:$A$1005&lt;=$A233)*MOVIMIENTOS!$E$5:$E$1005)-SUMPRODUCT((MOVIMIENTOS!$B$5:$B$1005="VENTA")*(MOVIMIENTOS!$C$5:$C$1005="A")*(MOVIMIENTOS!$D$5:$D$1005="jabas")*(MOVIMIENTOS!$A$5:$A$1005&lt;&gt;"")*(MOVIMIENTOS!$A$5:$A$1005&lt;=$A233)*MOVIMIENTOS!$E$5:$E$1005)+SUMPRODUCT((MOVIMIENTOS!$B$5:$B$1005="AJUSTE")*(MOVIMIENTOS!$C$5:$C$1005="A")*(MOVIMIENTOS!$D$5:$D$1005="jabas")*(MOVIMIENTOS!$A$5:$A$1005&lt;&gt;"")*(MOVIMIENTOS!$A$5:$A$1005&lt;=$A233)*MOVIMIENTOS!$E$5:$E$1005))</f>
        <v/>
      </c>
      <c r="C233" s="63" t="str">
        <f>IF($A233="","",SUMPRODUCT((MOVIMIENTOS!$B$5:$B$1005="SALDO INICIAL")*(MOVIMIENTOS!$C$5:$C$1005="P")*(MOVIMIENTOS!$D$5:$D$1005="jabas")*(MOVIMIENTOS!$A$5:$A$1005&lt;&gt;"")*(MOVIMIENTOS!$A$5:$A$1005&lt;=$A233)*MOVIMIENTOS!$E$5:$E$1005)+SUMPRODUCT((MOVIMIENTOS!$B$5:$B$1005="PROCESO")*(MOVIMIENTOS!$C$5:$C$1005="P")*(MOVIMIENTOS!$D$5:$D$1005="jabas")*(MOVIMIENTOS!$A$5:$A$1005&lt;&gt;"")*(MOVIMIENTOS!$A$5:$A$1005&lt;=$A233)*MOVIMIENTOS!$E$5:$E$1005)-SUMPRODUCT((MOVIMIENTOS!$B$5:$B$1005="ENVÍO A SUPESA")*(MOVIMIENTOS!$C$5:$C$1005="P")*(MOVIMIENTOS!$D$5:$D$1005="jabas")*(MOVIMIENTOS!$A$5:$A$1005&lt;&gt;"")*(MOVIMIENTOS!$A$5:$A$1005&lt;=$A233)*MOVIMIENTOS!$E$5:$E$1005)+SUMPRODUCT((MOVIMIENTOS!$B$5:$B$1005="DEVOLUCIÓN")*(MOVIMIENTOS!$C$5:$C$1005="P")*(MOVIMIENTOS!$D$5:$D$1005="jabas")*(MOVIMIENTOS!$A$5:$A$1005&lt;&gt;"")*(MOVIMIENTOS!$A$5:$A$1005&lt;=$A233)*MOVIMIENTOS!$E$5:$E$1005)-SUMPRODUCT((MOVIMIENTOS!$B$5:$B$1005="TRASIEGO")*(MOVIMIENTOS!$C$5:$C$1005="P")*(MOVIMIENTOS!$D$5:$D$1005="jabas")*(MOVIMIENTOS!$A$5:$A$1005&lt;&gt;"")*(MOVIMIENTOS!$A$5:$A$1005&lt;=$A233)*MOVIMIENTOS!$E$5:$E$1005)-SUMPRODUCT((MOVIMIENTOS!$B$5:$B$1005="REGALO")*(MOVIMIENTOS!$C$5:$C$1005="P")*(MOVIMIENTOS!$D$5:$D$1005="jabas")*(MOVIMIENTOS!$A$5:$A$1005&lt;&gt;"")*(MOVIMIENTOS!$A$5:$A$1005&lt;=$A233)*MOVIMIENTOS!$E$5:$E$1005)-SUMPRODUCT((MOVIMIENTOS!$B$5:$B$1005="VENTA")*(MOVIMIENTOS!$C$5:$C$1005="P")*(MOVIMIENTOS!$D$5:$D$1005="jabas")*(MOVIMIENTOS!$A$5:$A$1005&lt;&gt;"")*(MOVIMIENTOS!$A$5:$A$1005&lt;=$A233)*MOVIMIENTOS!$E$5:$E$1005)+SUMPRODUCT((MOVIMIENTOS!$B$5:$B$1005="AJUSTE")*(MOVIMIENTOS!$C$5:$C$1005="P")*(MOVIMIENTOS!$D$5:$D$1005="jabas")*(MOVIMIENTOS!$A$5:$A$1005&lt;&gt;"")*(MOVIMIENTOS!$A$5:$A$1005&lt;=$A233)*MOVIMIENTOS!$E$5:$E$1005))</f>
        <v/>
      </c>
      <c r="D233" s="63" t="str">
        <f>IF($A233="","",SUMPRODUCT((MOVIMIENTOS!$B$5:$B$1005="SALDO INICIAL")*(MOVIMIENTOS!$C$5:$C$1005="C")*(MOVIMIENTOS!$D$5:$D$1005="jabas")*(MOVIMIENTOS!$A$5:$A$1005&lt;&gt;"")*(MOVIMIENTOS!$A$5:$A$1005&lt;=$A233)*MOVIMIENTOS!$E$5:$E$1005)+SUMPRODUCT((MOVIMIENTOS!$B$5:$B$1005="PROCESO")*(MOVIMIENTOS!$C$5:$C$1005="C")*(MOVIMIENTOS!$D$5:$D$1005="jabas")*(MOVIMIENTOS!$A$5:$A$1005&lt;&gt;"")*(MOVIMIENTOS!$A$5:$A$1005&lt;=$A233)*MOVIMIENTOS!$E$5:$E$1005)-SUMPRODUCT((MOVIMIENTOS!$B$5:$B$1005="ENVÍO A SUPESA")*(MOVIMIENTOS!$C$5:$C$1005="C")*(MOVIMIENTOS!$D$5:$D$1005="jabas")*(MOVIMIENTOS!$A$5:$A$1005&lt;&gt;"")*(MOVIMIENTOS!$A$5:$A$1005&lt;=$A233)*MOVIMIENTOS!$E$5:$E$1005)+SUMPRODUCT((MOVIMIENTOS!$B$5:$B$1005="DEVOLUCIÓN")*(MOVIMIENTOS!$C$5:$C$1005="C")*(MOVIMIENTOS!$D$5:$D$1005="jabas")*(MOVIMIENTOS!$A$5:$A$1005&lt;&gt;"")*(MOVIMIENTOS!$A$5:$A$1005&lt;=$A233)*MOVIMIENTOS!$E$5:$E$1005)-SUMPRODUCT((MOVIMIENTOS!$B$5:$B$1005="TRASIEGO")*(MOVIMIENTOS!$C$5:$C$1005="C")*(MOVIMIENTOS!$D$5:$D$1005="jabas")*(MOVIMIENTOS!$A$5:$A$1005&lt;&gt;"")*(MOVIMIENTOS!$A$5:$A$1005&lt;=$A233)*MOVIMIENTOS!$E$5:$E$1005)-SUMPRODUCT((MOVIMIENTOS!$B$5:$B$1005="REGALO")*(MOVIMIENTOS!$C$5:$C$1005="C")*(MOVIMIENTOS!$D$5:$D$1005="jabas")*(MOVIMIENTOS!$A$5:$A$1005&lt;&gt;"")*(MOVIMIENTOS!$A$5:$A$1005&lt;=$A233)*MOVIMIENTOS!$E$5:$E$1005)-SUMPRODUCT((MOVIMIENTOS!$B$5:$B$1005="VENTA")*(MOVIMIENTOS!$C$5:$C$1005="C")*(MOVIMIENTOS!$D$5:$D$1005="jabas")*(MOVIMIENTOS!$A$5:$A$1005&lt;&gt;"")*(MOVIMIENTOS!$A$5:$A$1005&lt;=$A233)*MOVIMIENTOS!$E$5:$E$1005)+SUMPRODUCT((MOVIMIENTOS!$B$5:$B$1005="AJUSTE")*(MOVIMIENTOS!$C$5:$C$1005="C")*(MOVIMIENTOS!$D$5:$D$1005="jabas")*(MOVIMIENTOS!$A$5:$A$1005&lt;&gt;"")*(MOVIMIENTOS!$A$5:$A$1005&lt;=$A233)*MOVIMIENTOS!$E$5:$E$1005))</f>
        <v/>
      </c>
      <c r="E233" s="63" t="str">
        <f>IF($A233="","",SUMPRODUCT((MOVIMIENTOS!$B$5:$B$1005="SALDO INICIAL")*(MOVIMIENTOS!$C$5:$C$1005="M")*(MOVIMIENTOS!$D$5:$D$1005="jabas")*(MOVIMIENTOS!$A$5:$A$1005&lt;&gt;"")*(MOVIMIENTOS!$A$5:$A$1005&lt;=$A233)*MOVIMIENTOS!$E$5:$E$1005)+SUMPRODUCT((MOVIMIENTOS!$B$5:$B$1005="PROCESO")*(MOVIMIENTOS!$C$5:$C$1005="M")*(MOVIMIENTOS!$D$5:$D$1005="jabas")*(MOVIMIENTOS!$A$5:$A$1005&lt;&gt;"")*(MOVIMIENTOS!$A$5:$A$1005&lt;=$A233)*MOVIMIENTOS!$E$5:$E$1005)-SUMPRODUCT((MOVIMIENTOS!$B$5:$B$1005="ENVÍO A SUPESA")*(MOVIMIENTOS!$C$5:$C$1005="M")*(MOVIMIENTOS!$D$5:$D$1005="jabas")*(MOVIMIENTOS!$A$5:$A$1005&lt;&gt;"")*(MOVIMIENTOS!$A$5:$A$1005&lt;=$A233)*MOVIMIENTOS!$E$5:$E$1005)+SUMPRODUCT((MOVIMIENTOS!$B$5:$B$1005="DEVOLUCIÓN")*(MOVIMIENTOS!$C$5:$C$1005="M")*(MOVIMIENTOS!$D$5:$D$1005="jabas")*(MOVIMIENTOS!$A$5:$A$1005&lt;&gt;"")*(MOVIMIENTOS!$A$5:$A$1005&lt;=$A233)*MOVIMIENTOS!$E$5:$E$1005)-SUMPRODUCT((MOVIMIENTOS!$B$5:$B$1005="TRASIEGO")*(MOVIMIENTOS!$C$5:$C$1005="M")*(MOVIMIENTOS!$D$5:$D$1005="jabas")*(MOVIMIENTOS!$A$5:$A$1005&lt;&gt;"")*(MOVIMIENTOS!$A$5:$A$1005&lt;=$A233)*MOVIMIENTOS!$E$5:$E$1005)-SUMPRODUCT((MOVIMIENTOS!$B$5:$B$1005="REGALO")*(MOVIMIENTOS!$C$5:$C$1005="M")*(MOVIMIENTOS!$D$5:$D$1005="jabas")*(MOVIMIENTOS!$A$5:$A$1005&lt;&gt;"")*(MOVIMIENTOS!$A$5:$A$1005&lt;=$A233)*MOVIMIENTOS!$E$5:$E$1005)-SUMPRODUCT((MOVIMIENTOS!$B$5:$B$1005="VENTA")*(MOVIMIENTOS!$C$5:$C$1005="M")*(MOVIMIENTOS!$D$5:$D$1005="jabas")*(MOVIMIENTOS!$A$5:$A$1005&lt;&gt;"")*(MOVIMIENTOS!$A$5:$A$1005&lt;=$A233)*MOVIMIENTOS!$E$5:$E$1005)+SUMPRODUCT((MOVIMIENTOS!$B$5:$B$1005="AJUSTE")*(MOVIMIENTOS!$C$5:$C$1005="M")*(MOVIMIENTOS!$D$5:$D$1005="jabas")*(MOVIMIENTOS!$A$5:$A$1005&lt;&gt;"")*(MOVIMIENTOS!$A$5:$A$1005&lt;=$A233)*MOVIMIENTOS!$E$5:$E$1005))</f>
        <v/>
      </c>
      <c r="F233" s="63" t="str">
        <f>IF($A233="","",SUMPRODUCT((MOVIMIENTOS!$B$5:$B$1005="SALDO INICIAL")*(MOVIMIENTOS!$C$5:$C$1005="Chancho")*(MOVIMIENTOS!$D$5:$D$1005="sacos")*(MOVIMIENTOS!$A$5:$A$1005&lt;&gt;"")*(MOVIMIENTOS!$A$5:$A$1005&lt;=$A233)*MOVIMIENTOS!$E$5:$E$1005)+SUMPRODUCT((MOVIMIENTOS!$B$5:$B$1005="PROCESO")*(MOVIMIENTOS!$C$5:$C$1005="Chancho")*(MOVIMIENTOS!$D$5:$D$1005="sacos")*(MOVIMIENTOS!$A$5:$A$1005&lt;&gt;"")*(MOVIMIENTOS!$A$5:$A$1005&lt;=$A233)*MOVIMIENTOS!$E$5:$E$1005)-SUMPRODUCT((MOVIMIENTOS!$B$5:$B$1005="VENTA CHANCHO")*(MOVIMIENTOS!$C$5:$C$1005="Chancho")*(MOVIMIENTOS!$D$5:$D$1005="sacos")*(MOVIMIENTOS!$A$5:$A$1005&lt;&gt;"")*(MOVIMIENTOS!$A$5:$A$1005&lt;=$A233)*MOVIMIENTOS!$E$5:$E$1005)-SUMPRODUCT((MOVIMIENTOS!$B$5:$B$1005="REGALO")*(MOVIMIENTOS!$C$5:$C$1005="Chancho")*(MOVIMIENTOS!$D$5:$D$1005="sacos")*(MOVIMIENTOS!$A$5:$A$1005&lt;&gt;"")*(MOVIMIENTOS!$A$5:$A$1005&lt;=$A233)*MOVIMIENTOS!$E$5:$E$1005)-SUMPRODUCT((MOVIMIENTOS!$B$5:$B$1005="VENTA")*(MOVIMIENTOS!$C$5:$C$1005="Chancho")*(MOVIMIENTOS!$D$5:$D$1005="sacos")*(MOVIMIENTOS!$A$5:$A$1005&lt;&gt;"")*(MOVIMIENTOS!$A$5:$A$1005&lt;=$A233)*MOVIMIENTOS!$E$5:$E$1005)+SUMPRODUCT((MOVIMIENTOS!$B$5:$B$1005="AJUSTE")*(MOVIMIENTOS!$C$5:$C$1005="Chancho")*(MOVIMIENTOS!$D$5:$D$1005="sacos")*(MOVIMIENTOS!$A$5:$A$1005&lt;&gt;"")*(MOVIMIENTOS!$A$5:$A$1005&lt;=$A233)*MOVIMIENTOS!$E$5:$E$1005))</f>
        <v/>
      </c>
      <c r="G233" s="95" t="str">
        <f t="shared" si="7"/>
        <v/>
      </c>
      <c r="H233" s="63" t="str">
        <f>IF($A233="","",SUMPRODUCT((((MOVIMIENTOS!$B$5:$B$1005="SALDO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233)*MOVIMIENTOS!$J$5:$J$1005))</f>
        <v/>
      </c>
      <c r="I233" s="63"/>
      <c r="J233" s="63" t="str">
        <f>IF(AND(MOVIMIENTOS!$A233&lt;&gt;"",COUNTIF(MOVIMIENTOS!$A$5:$A232,MOVIMIENTOS!$A233)=0),COUNT(J$4:J232)+1,"")</f>
        <v/>
      </c>
      <c r="K233" s="66">
        <f>MOVIMIENTOS!$A233</f>
        <v>46234</v>
      </c>
      <c r="L233" s="63"/>
      <c r="M233" s="63"/>
      <c r="N233" s="63"/>
    </row>
    <row r="234" spans="1:14" ht="15" customHeight="1" x14ac:dyDescent="0.2">
      <c r="A234" s="63" t="str">
        <f t="shared" si="6"/>
        <v/>
      </c>
      <c r="B234" s="63" t="str">
        <f>IF($A234="","",SUMPRODUCT((MOVIMIENTOS!$B$5:$B$1005="SALDO INICIAL")*(MOVIMIENTOS!$C$5:$C$1005="A")*(MOVIMIENTOS!$D$5:$D$1005="jabas")*(MOVIMIENTOS!$A$5:$A$1005&lt;&gt;"")*(MOVIMIENTOS!$A$5:$A$1005&lt;=$A234)*MOVIMIENTOS!$E$5:$E$1005)+SUMPRODUCT((MOVIMIENTOS!$B$5:$B$1005="PROCESO")*(MOVIMIENTOS!$C$5:$C$1005="A")*(MOVIMIENTOS!$D$5:$D$1005="jabas")*(MOVIMIENTOS!$A$5:$A$1005&lt;&gt;"")*(MOVIMIENTOS!$A$5:$A$1005&lt;=$A234)*MOVIMIENTOS!$E$5:$E$1005)-SUMPRODUCT((MOVIMIENTOS!$B$5:$B$1005="ENVÍO A SUPESA")*(MOVIMIENTOS!$C$5:$C$1005="A")*(MOVIMIENTOS!$D$5:$D$1005="jabas")*(MOVIMIENTOS!$A$5:$A$1005&lt;&gt;"")*(MOVIMIENTOS!$A$5:$A$1005&lt;=$A234)*MOVIMIENTOS!$E$5:$E$1005)+SUMPRODUCT((MOVIMIENTOS!$B$5:$B$1005="DEVOLUCIÓN")*(MOVIMIENTOS!$C$5:$C$1005="A")*(MOVIMIENTOS!$D$5:$D$1005="jabas")*(MOVIMIENTOS!$A$5:$A$1005&lt;&gt;"")*(MOVIMIENTOS!$A$5:$A$1005&lt;=$A234)*MOVIMIENTOS!$E$5:$E$1005)-SUMPRODUCT((MOVIMIENTOS!$B$5:$B$1005="TRASIEGO")*(MOVIMIENTOS!$C$5:$C$1005="A")*(MOVIMIENTOS!$D$5:$D$1005="jabas")*(MOVIMIENTOS!$A$5:$A$1005&lt;&gt;"")*(MOVIMIENTOS!$A$5:$A$1005&lt;=$A234)*MOVIMIENTOS!$E$5:$E$1005)-SUMPRODUCT((MOVIMIENTOS!$B$5:$B$1005="REGALO")*(MOVIMIENTOS!$C$5:$C$1005="A")*(MOVIMIENTOS!$D$5:$D$1005="jabas")*(MOVIMIENTOS!$A$5:$A$1005&lt;&gt;"")*(MOVIMIENTOS!$A$5:$A$1005&lt;=$A234)*MOVIMIENTOS!$E$5:$E$1005)-SUMPRODUCT((MOVIMIENTOS!$B$5:$B$1005="VENTA")*(MOVIMIENTOS!$C$5:$C$1005="A")*(MOVIMIENTOS!$D$5:$D$1005="jabas")*(MOVIMIENTOS!$A$5:$A$1005&lt;&gt;"")*(MOVIMIENTOS!$A$5:$A$1005&lt;=$A234)*MOVIMIENTOS!$E$5:$E$1005)+SUMPRODUCT((MOVIMIENTOS!$B$5:$B$1005="AJUSTE")*(MOVIMIENTOS!$C$5:$C$1005="A")*(MOVIMIENTOS!$D$5:$D$1005="jabas")*(MOVIMIENTOS!$A$5:$A$1005&lt;&gt;"")*(MOVIMIENTOS!$A$5:$A$1005&lt;=$A234)*MOVIMIENTOS!$E$5:$E$1005))</f>
        <v/>
      </c>
      <c r="C234" s="63" t="str">
        <f>IF($A234="","",SUMPRODUCT((MOVIMIENTOS!$B$5:$B$1005="SALDO INICIAL")*(MOVIMIENTOS!$C$5:$C$1005="P")*(MOVIMIENTOS!$D$5:$D$1005="jabas")*(MOVIMIENTOS!$A$5:$A$1005&lt;&gt;"")*(MOVIMIENTOS!$A$5:$A$1005&lt;=$A234)*MOVIMIENTOS!$E$5:$E$1005)+SUMPRODUCT((MOVIMIENTOS!$B$5:$B$1005="PROCESO")*(MOVIMIENTOS!$C$5:$C$1005="P")*(MOVIMIENTOS!$D$5:$D$1005="jabas")*(MOVIMIENTOS!$A$5:$A$1005&lt;&gt;"")*(MOVIMIENTOS!$A$5:$A$1005&lt;=$A234)*MOVIMIENTOS!$E$5:$E$1005)-SUMPRODUCT((MOVIMIENTOS!$B$5:$B$1005="ENVÍO A SUPESA")*(MOVIMIENTOS!$C$5:$C$1005="P")*(MOVIMIENTOS!$D$5:$D$1005="jabas")*(MOVIMIENTOS!$A$5:$A$1005&lt;&gt;"")*(MOVIMIENTOS!$A$5:$A$1005&lt;=$A234)*MOVIMIENTOS!$E$5:$E$1005)+SUMPRODUCT((MOVIMIENTOS!$B$5:$B$1005="DEVOLUCIÓN")*(MOVIMIENTOS!$C$5:$C$1005="P")*(MOVIMIENTOS!$D$5:$D$1005="jabas")*(MOVIMIENTOS!$A$5:$A$1005&lt;&gt;"")*(MOVIMIENTOS!$A$5:$A$1005&lt;=$A234)*MOVIMIENTOS!$E$5:$E$1005)-SUMPRODUCT((MOVIMIENTOS!$B$5:$B$1005="TRASIEGO")*(MOVIMIENTOS!$C$5:$C$1005="P")*(MOVIMIENTOS!$D$5:$D$1005="jabas")*(MOVIMIENTOS!$A$5:$A$1005&lt;&gt;"")*(MOVIMIENTOS!$A$5:$A$1005&lt;=$A234)*MOVIMIENTOS!$E$5:$E$1005)-SUMPRODUCT((MOVIMIENTOS!$B$5:$B$1005="REGALO")*(MOVIMIENTOS!$C$5:$C$1005="P")*(MOVIMIENTOS!$D$5:$D$1005="jabas")*(MOVIMIENTOS!$A$5:$A$1005&lt;&gt;"")*(MOVIMIENTOS!$A$5:$A$1005&lt;=$A234)*MOVIMIENTOS!$E$5:$E$1005)-SUMPRODUCT((MOVIMIENTOS!$B$5:$B$1005="VENTA")*(MOVIMIENTOS!$C$5:$C$1005="P")*(MOVIMIENTOS!$D$5:$D$1005="jabas")*(MOVIMIENTOS!$A$5:$A$1005&lt;&gt;"")*(MOVIMIENTOS!$A$5:$A$1005&lt;=$A234)*MOVIMIENTOS!$E$5:$E$1005)+SUMPRODUCT((MOVIMIENTOS!$B$5:$B$1005="AJUSTE")*(MOVIMIENTOS!$C$5:$C$1005="P")*(MOVIMIENTOS!$D$5:$D$1005="jabas")*(MOVIMIENTOS!$A$5:$A$1005&lt;&gt;"")*(MOVIMIENTOS!$A$5:$A$1005&lt;=$A234)*MOVIMIENTOS!$E$5:$E$1005))</f>
        <v/>
      </c>
      <c r="D234" s="63" t="str">
        <f>IF($A234="","",SUMPRODUCT((MOVIMIENTOS!$B$5:$B$1005="SALDO INICIAL")*(MOVIMIENTOS!$C$5:$C$1005="C")*(MOVIMIENTOS!$D$5:$D$1005="jabas")*(MOVIMIENTOS!$A$5:$A$1005&lt;&gt;"")*(MOVIMIENTOS!$A$5:$A$1005&lt;=$A234)*MOVIMIENTOS!$E$5:$E$1005)+SUMPRODUCT((MOVIMIENTOS!$B$5:$B$1005="PROCESO")*(MOVIMIENTOS!$C$5:$C$1005="C")*(MOVIMIENTOS!$D$5:$D$1005="jabas")*(MOVIMIENTOS!$A$5:$A$1005&lt;&gt;"")*(MOVIMIENTOS!$A$5:$A$1005&lt;=$A234)*MOVIMIENTOS!$E$5:$E$1005)-SUMPRODUCT((MOVIMIENTOS!$B$5:$B$1005="ENVÍO A SUPESA")*(MOVIMIENTOS!$C$5:$C$1005="C")*(MOVIMIENTOS!$D$5:$D$1005="jabas")*(MOVIMIENTOS!$A$5:$A$1005&lt;&gt;"")*(MOVIMIENTOS!$A$5:$A$1005&lt;=$A234)*MOVIMIENTOS!$E$5:$E$1005)+SUMPRODUCT((MOVIMIENTOS!$B$5:$B$1005="DEVOLUCIÓN")*(MOVIMIENTOS!$C$5:$C$1005="C")*(MOVIMIENTOS!$D$5:$D$1005="jabas")*(MOVIMIENTOS!$A$5:$A$1005&lt;&gt;"")*(MOVIMIENTOS!$A$5:$A$1005&lt;=$A234)*MOVIMIENTOS!$E$5:$E$1005)-SUMPRODUCT((MOVIMIENTOS!$B$5:$B$1005="TRASIEGO")*(MOVIMIENTOS!$C$5:$C$1005="C")*(MOVIMIENTOS!$D$5:$D$1005="jabas")*(MOVIMIENTOS!$A$5:$A$1005&lt;&gt;"")*(MOVIMIENTOS!$A$5:$A$1005&lt;=$A234)*MOVIMIENTOS!$E$5:$E$1005)-SUMPRODUCT((MOVIMIENTOS!$B$5:$B$1005="REGALO")*(MOVIMIENTOS!$C$5:$C$1005="C")*(MOVIMIENTOS!$D$5:$D$1005="jabas")*(MOVIMIENTOS!$A$5:$A$1005&lt;&gt;"")*(MOVIMIENTOS!$A$5:$A$1005&lt;=$A234)*MOVIMIENTOS!$E$5:$E$1005)-SUMPRODUCT((MOVIMIENTOS!$B$5:$B$1005="VENTA")*(MOVIMIENTOS!$C$5:$C$1005="C")*(MOVIMIENTOS!$D$5:$D$1005="jabas")*(MOVIMIENTOS!$A$5:$A$1005&lt;&gt;"")*(MOVIMIENTOS!$A$5:$A$1005&lt;=$A234)*MOVIMIENTOS!$E$5:$E$1005)+SUMPRODUCT((MOVIMIENTOS!$B$5:$B$1005="AJUSTE")*(MOVIMIENTOS!$C$5:$C$1005="C")*(MOVIMIENTOS!$D$5:$D$1005="jabas")*(MOVIMIENTOS!$A$5:$A$1005&lt;&gt;"")*(MOVIMIENTOS!$A$5:$A$1005&lt;=$A234)*MOVIMIENTOS!$E$5:$E$1005))</f>
        <v/>
      </c>
      <c r="E234" s="63" t="str">
        <f>IF($A234="","",SUMPRODUCT((MOVIMIENTOS!$B$5:$B$1005="SALDO INICIAL")*(MOVIMIENTOS!$C$5:$C$1005="M")*(MOVIMIENTOS!$D$5:$D$1005="jabas")*(MOVIMIENTOS!$A$5:$A$1005&lt;&gt;"")*(MOVIMIENTOS!$A$5:$A$1005&lt;=$A234)*MOVIMIENTOS!$E$5:$E$1005)+SUMPRODUCT((MOVIMIENTOS!$B$5:$B$1005="PROCESO")*(MOVIMIENTOS!$C$5:$C$1005="M")*(MOVIMIENTOS!$D$5:$D$1005="jabas")*(MOVIMIENTOS!$A$5:$A$1005&lt;&gt;"")*(MOVIMIENTOS!$A$5:$A$1005&lt;=$A234)*MOVIMIENTOS!$E$5:$E$1005)-SUMPRODUCT((MOVIMIENTOS!$B$5:$B$1005="ENVÍO A SUPESA")*(MOVIMIENTOS!$C$5:$C$1005="M")*(MOVIMIENTOS!$D$5:$D$1005="jabas")*(MOVIMIENTOS!$A$5:$A$1005&lt;&gt;"")*(MOVIMIENTOS!$A$5:$A$1005&lt;=$A234)*MOVIMIENTOS!$E$5:$E$1005)+SUMPRODUCT((MOVIMIENTOS!$B$5:$B$1005="DEVOLUCIÓN")*(MOVIMIENTOS!$C$5:$C$1005="M")*(MOVIMIENTOS!$D$5:$D$1005="jabas")*(MOVIMIENTOS!$A$5:$A$1005&lt;&gt;"")*(MOVIMIENTOS!$A$5:$A$1005&lt;=$A234)*MOVIMIENTOS!$E$5:$E$1005)-SUMPRODUCT((MOVIMIENTOS!$B$5:$B$1005="TRASIEGO")*(MOVIMIENTOS!$C$5:$C$1005="M")*(MOVIMIENTOS!$D$5:$D$1005="jabas")*(MOVIMIENTOS!$A$5:$A$1005&lt;&gt;"")*(MOVIMIENTOS!$A$5:$A$1005&lt;=$A234)*MOVIMIENTOS!$E$5:$E$1005)-SUMPRODUCT((MOVIMIENTOS!$B$5:$B$1005="REGALO")*(MOVIMIENTOS!$C$5:$C$1005="M")*(MOVIMIENTOS!$D$5:$D$1005="jabas")*(MOVIMIENTOS!$A$5:$A$1005&lt;&gt;"")*(MOVIMIENTOS!$A$5:$A$1005&lt;=$A234)*MOVIMIENTOS!$E$5:$E$1005)-SUMPRODUCT((MOVIMIENTOS!$B$5:$B$1005="VENTA")*(MOVIMIENTOS!$C$5:$C$1005="M")*(MOVIMIENTOS!$D$5:$D$1005="jabas")*(MOVIMIENTOS!$A$5:$A$1005&lt;&gt;"")*(MOVIMIENTOS!$A$5:$A$1005&lt;=$A234)*MOVIMIENTOS!$E$5:$E$1005)+SUMPRODUCT((MOVIMIENTOS!$B$5:$B$1005="AJUSTE")*(MOVIMIENTOS!$C$5:$C$1005="M")*(MOVIMIENTOS!$D$5:$D$1005="jabas")*(MOVIMIENTOS!$A$5:$A$1005&lt;&gt;"")*(MOVIMIENTOS!$A$5:$A$1005&lt;=$A234)*MOVIMIENTOS!$E$5:$E$1005))</f>
        <v/>
      </c>
      <c r="F234" s="63" t="str">
        <f>IF($A234="","",SUMPRODUCT((MOVIMIENTOS!$B$5:$B$1005="SALDO INICIAL")*(MOVIMIENTOS!$C$5:$C$1005="Chancho")*(MOVIMIENTOS!$D$5:$D$1005="sacos")*(MOVIMIENTOS!$A$5:$A$1005&lt;&gt;"")*(MOVIMIENTOS!$A$5:$A$1005&lt;=$A234)*MOVIMIENTOS!$E$5:$E$1005)+SUMPRODUCT((MOVIMIENTOS!$B$5:$B$1005="PROCESO")*(MOVIMIENTOS!$C$5:$C$1005="Chancho")*(MOVIMIENTOS!$D$5:$D$1005="sacos")*(MOVIMIENTOS!$A$5:$A$1005&lt;&gt;"")*(MOVIMIENTOS!$A$5:$A$1005&lt;=$A234)*MOVIMIENTOS!$E$5:$E$1005)-SUMPRODUCT((MOVIMIENTOS!$B$5:$B$1005="VENTA CHANCHO")*(MOVIMIENTOS!$C$5:$C$1005="Chancho")*(MOVIMIENTOS!$D$5:$D$1005="sacos")*(MOVIMIENTOS!$A$5:$A$1005&lt;&gt;"")*(MOVIMIENTOS!$A$5:$A$1005&lt;=$A234)*MOVIMIENTOS!$E$5:$E$1005)-SUMPRODUCT((MOVIMIENTOS!$B$5:$B$1005="REGALO")*(MOVIMIENTOS!$C$5:$C$1005="Chancho")*(MOVIMIENTOS!$D$5:$D$1005="sacos")*(MOVIMIENTOS!$A$5:$A$1005&lt;&gt;"")*(MOVIMIENTOS!$A$5:$A$1005&lt;=$A234)*MOVIMIENTOS!$E$5:$E$1005)-SUMPRODUCT((MOVIMIENTOS!$B$5:$B$1005="VENTA")*(MOVIMIENTOS!$C$5:$C$1005="Chancho")*(MOVIMIENTOS!$D$5:$D$1005="sacos")*(MOVIMIENTOS!$A$5:$A$1005&lt;&gt;"")*(MOVIMIENTOS!$A$5:$A$1005&lt;=$A234)*MOVIMIENTOS!$E$5:$E$1005)+SUMPRODUCT((MOVIMIENTOS!$B$5:$B$1005="AJUSTE")*(MOVIMIENTOS!$C$5:$C$1005="Chancho")*(MOVIMIENTOS!$D$5:$D$1005="sacos")*(MOVIMIENTOS!$A$5:$A$1005&lt;&gt;"")*(MOVIMIENTOS!$A$5:$A$1005&lt;=$A234)*MOVIMIENTOS!$E$5:$E$1005))</f>
        <v/>
      </c>
      <c r="G234" s="95" t="str">
        <f t="shared" si="7"/>
        <v/>
      </c>
      <c r="H234" s="63" t="str">
        <f>IF($A234="","",SUMPRODUCT((((MOVIMIENTOS!$B$5:$B$1005="SALDO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234)*MOVIMIENTOS!$J$5:$J$1005))</f>
        <v/>
      </c>
      <c r="I234" s="63"/>
      <c r="J234" s="63" t="str">
        <f>IF(AND(MOVIMIENTOS!$A234&lt;&gt;"",COUNTIF(MOVIMIENTOS!$A$5:$A233,MOVIMIENTOS!$A234)=0),COUNT(J$4:J233)+1,"")</f>
        <v/>
      </c>
      <c r="K234" s="66">
        <f>MOVIMIENTOS!$A234</f>
        <v>46234</v>
      </c>
      <c r="L234" s="63"/>
      <c r="M234" s="63"/>
      <c r="N234" s="63"/>
    </row>
    <row r="235" spans="1:14" ht="15" customHeight="1" x14ac:dyDescent="0.2">
      <c r="A235" s="63" t="str">
        <f t="shared" si="6"/>
        <v/>
      </c>
      <c r="B235" s="63" t="str">
        <f>IF($A235="","",SUMPRODUCT((MOVIMIENTOS!$B$5:$B$1005="SALDO INICIAL")*(MOVIMIENTOS!$C$5:$C$1005="A")*(MOVIMIENTOS!$D$5:$D$1005="jabas")*(MOVIMIENTOS!$A$5:$A$1005&lt;&gt;"")*(MOVIMIENTOS!$A$5:$A$1005&lt;=$A235)*MOVIMIENTOS!$E$5:$E$1005)+SUMPRODUCT((MOVIMIENTOS!$B$5:$B$1005="PROCESO")*(MOVIMIENTOS!$C$5:$C$1005="A")*(MOVIMIENTOS!$D$5:$D$1005="jabas")*(MOVIMIENTOS!$A$5:$A$1005&lt;&gt;"")*(MOVIMIENTOS!$A$5:$A$1005&lt;=$A235)*MOVIMIENTOS!$E$5:$E$1005)-SUMPRODUCT((MOVIMIENTOS!$B$5:$B$1005="ENVÍO A SUPESA")*(MOVIMIENTOS!$C$5:$C$1005="A")*(MOVIMIENTOS!$D$5:$D$1005="jabas")*(MOVIMIENTOS!$A$5:$A$1005&lt;&gt;"")*(MOVIMIENTOS!$A$5:$A$1005&lt;=$A235)*MOVIMIENTOS!$E$5:$E$1005)+SUMPRODUCT((MOVIMIENTOS!$B$5:$B$1005="DEVOLUCIÓN")*(MOVIMIENTOS!$C$5:$C$1005="A")*(MOVIMIENTOS!$D$5:$D$1005="jabas")*(MOVIMIENTOS!$A$5:$A$1005&lt;&gt;"")*(MOVIMIENTOS!$A$5:$A$1005&lt;=$A235)*MOVIMIENTOS!$E$5:$E$1005)-SUMPRODUCT((MOVIMIENTOS!$B$5:$B$1005="TRASIEGO")*(MOVIMIENTOS!$C$5:$C$1005="A")*(MOVIMIENTOS!$D$5:$D$1005="jabas")*(MOVIMIENTOS!$A$5:$A$1005&lt;&gt;"")*(MOVIMIENTOS!$A$5:$A$1005&lt;=$A235)*MOVIMIENTOS!$E$5:$E$1005)-SUMPRODUCT((MOVIMIENTOS!$B$5:$B$1005="REGALO")*(MOVIMIENTOS!$C$5:$C$1005="A")*(MOVIMIENTOS!$D$5:$D$1005="jabas")*(MOVIMIENTOS!$A$5:$A$1005&lt;&gt;"")*(MOVIMIENTOS!$A$5:$A$1005&lt;=$A235)*MOVIMIENTOS!$E$5:$E$1005)-SUMPRODUCT((MOVIMIENTOS!$B$5:$B$1005="VENTA")*(MOVIMIENTOS!$C$5:$C$1005="A")*(MOVIMIENTOS!$D$5:$D$1005="jabas")*(MOVIMIENTOS!$A$5:$A$1005&lt;&gt;"")*(MOVIMIENTOS!$A$5:$A$1005&lt;=$A235)*MOVIMIENTOS!$E$5:$E$1005)+SUMPRODUCT((MOVIMIENTOS!$B$5:$B$1005="AJUSTE")*(MOVIMIENTOS!$C$5:$C$1005="A")*(MOVIMIENTOS!$D$5:$D$1005="jabas")*(MOVIMIENTOS!$A$5:$A$1005&lt;&gt;"")*(MOVIMIENTOS!$A$5:$A$1005&lt;=$A235)*MOVIMIENTOS!$E$5:$E$1005))</f>
        <v/>
      </c>
      <c r="C235" s="63" t="str">
        <f>IF($A235="","",SUMPRODUCT((MOVIMIENTOS!$B$5:$B$1005="SALDO INICIAL")*(MOVIMIENTOS!$C$5:$C$1005="P")*(MOVIMIENTOS!$D$5:$D$1005="jabas")*(MOVIMIENTOS!$A$5:$A$1005&lt;&gt;"")*(MOVIMIENTOS!$A$5:$A$1005&lt;=$A235)*MOVIMIENTOS!$E$5:$E$1005)+SUMPRODUCT((MOVIMIENTOS!$B$5:$B$1005="PROCESO")*(MOVIMIENTOS!$C$5:$C$1005="P")*(MOVIMIENTOS!$D$5:$D$1005="jabas")*(MOVIMIENTOS!$A$5:$A$1005&lt;&gt;"")*(MOVIMIENTOS!$A$5:$A$1005&lt;=$A235)*MOVIMIENTOS!$E$5:$E$1005)-SUMPRODUCT((MOVIMIENTOS!$B$5:$B$1005="ENVÍO A SUPESA")*(MOVIMIENTOS!$C$5:$C$1005="P")*(MOVIMIENTOS!$D$5:$D$1005="jabas")*(MOVIMIENTOS!$A$5:$A$1005&lt;&gt;"")*(MOVIMIENTOS!$A$5:$A$1005&lt;=$A235)*MOVIMIENTOS!$E$5:$E$1005)+SUMPRODUCT((MOVIMIENTOS!$B$5:$B$1005="DEVOLUCIÓN")*(MOVIMIENTOS!$C$5:$C$1005="P")*(MOVIMIENTOS!$D$5:$D$1005="jabas")*(MOVIMIENTOS!$A$5:$A$1005&lt;&gt;"")*(MOVIMIENTOS!$A$5:$A$1005&lt;=$A235)*MOVIMIENTOS!$E$5:$E$1005)-SUMPRODUCT((MOVIMIENTOS!$B$5:$B$1005="TRASIEGO")*(MOVIMIENTOS!$C$5:$C$1005="P")*(MOVIMIENTOS!$D$5:$D$1005="jabas")*(MOVIMIENTOS!$A$5:$A$1005&lt;&gt;"")*(MOVIMIENTOS!$A$5:$A$1005&lt;=$A235)*MOVIMIENTOS!$E$5:$E$1005)-SUMPRODUCT((MOVIMIENTOS!$B$5:$B$1005="REGALO")*(MOVIMIENTOS!$C$5:$C$1005="P")*(MOVIMIENTOS!$D$5:$D$1005="jabas")*(MOVIMIENTOS!$A$5:$A$1005&lt;&gt;"")*(MOVIMIENTOS!$A$5:$A$1005&lt;=$A235)*MOVIMIENTOS!$E$5:$E$1005)-SUMPRODUCT((MOVIMIENTOS!$B$5:$B$1005="VENTA")*(MOVIMIENTOS!$C$5:$C$1005="P")*(MOVIMIENTOS!$D$5:$D$1005="jabas")*(MOVIMIENTOS!$A$5:$A$1005&lt;&gt;"")*(MOVIMIENTOS!$A$5:$A$1005&lt;=$A235)*MOVIMIENTOS!$E$5:$E$1005)+SUMPRODUCT((MOVIMIENTOS!$B$5:$B$1005="AJUSTE")*(MOVIMIENTOS!$C$5:$C$1005="P")*(MOVIMIENTOS!$D$5:$D$1005="jabas")*(MOVIMIENTOS!$A$5:$A$1005&lt;&gt;"")*(MOVIMIENTOS!$A$5:$A$1005&lt;=$A235)*MOVIMIENTOS!$E$5:$E$1005))</f>
        <v/>
      </c>
      <c r="D235" s="63" t="str">
        <f>IF($A235="","",SUMPRODUCT((MOVIMIENTOS!$B$5:$B$1005="SALDO INICIAL")*(MOVIMIENTOS!$C$5:$C$1005="C")*(MOVIMIENTOS!$D$5:$D$1005="jabas")*(MOVIMIENTOS!$A$5:$A$1005&lt;&gt;"")*(MOVIMIENTOS!$A$5:$A$1005&lt;=$A235)*MOVIMIENTOS!$E$5:$E$1005)+SUMPRODUCT((MOVIMIENTOS!$B$5:$B$1005="PROCESO")*(MOVIMIENTOS!$C$5:$C$1005="C")*(MOVIMIENTOS!$D$5:$D$1005="jabas")*(MOVIMIENTOS!$A$5:$A$1005&lt;&gt;"")*(MOVIMIENTOS!$A$5:$A$1005&lt;=$A235)*MOVIMIENTOS!$E$5:$E$1005)-SUMPRODUCT((MOVIMIENTOS!$B$5:$B$1005="ENVÍO A SUPESA")*(MOVIMIENTOS!$C$5:$C$1005="C")*(MOVIMIENTOS!$D$5:$D$1005="jabas")*(MOVIMIENTOS!$A$5:$A$1005&lt;&gt;"")*(MOVIMIENTOS!$A$5:$A$1005&lt;=$A235)*MOVIMIENTOS!$E$5:$E$1005)+SUMPRODUCT((MOVIMIENTOS!$B$5:$B$1005="DEVOLUCIÓN")*(MOVIMIENTOS!$C$5:$C$1005="C")*(MOVIMIENTOS!$D$5:$D$1005="jabas")*(MOVIMIENTOS!$A$5:$A$1005&lt;&gt;"")*(MOVIMIENTOS!$A$5:$A$1005&lt;=$A235)*MOVIMIENTOS!$E$5:$E$1005)-SUMPRODUCT((MOVIMIENTOS!$B$5:$B$1005="TRASIEGO")*(MOVIMIENTOS!$C$5:$C$1005="C")*(MOVIMIENTOS!$D$5:$D$1005="jabas")*(MOVIMIENTOS!$A$5:$A$1005&lt;&gt;"")*(MOVIMIENTOS!$A$5:$A$1005&lt;=$A235)*MOVIMIENTOS!$E$5:$E$1005)-SUMPRODUCT((MOVIMIENTOS!$B$5:$B$1005="REGALO")*(MOVIMIENTOS!$C$5:$C$1005="C")*(MOVIMIENTOS!$D$5:$D$1005="jabas")*(MOVIMIENTOS!$A$5:$A$1005&lt;&gt;"")*(MOVIMIENTOS!$A$5:$A$1005&lt;=$A235)*MOVIMIENTOS!$E$5:$E$1005)-SUMPRODUCT((MOVIMIENTOS!$B$5:$B$1005="VENTA")*(MOVIMIENTOS!$C$5:$C$1005="C")*(MOVIMIENTOS!$D$5:$D$1005="jabas")*(MOVIMIENTOS!$A$5:$A$1005&lt;&gt;"")*(MOVIMIENTOS!$A$5:$A$1005&lt;=$A235)*MOVIMIENTOS!$E$5:$E$1005)+SUMPRODUCT((MOVIMIENTOS!$B$5:$B$1005="AJUSTE")*(MOVIMIENTOS!$C$5:$C$1005="C")*(MOVIMIENTOS!$D$5:$D$1005="jabas")*(MOVIMIENTOS!$A$5:$A$1005&lt;&gt;"")*(MOVIMIENTOS!$A$5:$A$1005&lt;=$A235)*MOVIMIENTOS!$E$5:$E$1005))</f>
        <v/>
      </c>
      <c r="E235" s="63" t="str">
        <f>IF($A235="","",SUMPRODUCT((MOVIMIENTOS!$B$5:$B$1005="SALDO INICIAL")*(MOVIMIENTOS!$C$5:$C$1005="M")*(MOVIMIENTOS!$D$5:$D$1005="jabas")*(MOVIMIENTOS!$A$5:$A$1005&lt;&gt;"")*(MOVIMIENTOS!$A$5:$A$1005&lt;=$A235)*MOVIMIENTOS!$E$5:$E$1005)+SUMPRODUCT((MOVIMIENTOS!$B$5:$B$1005="PROCESO")*(MOVIMIENTOS!$C$5:$C$1005="M")*(MOVIMIENTOS!$D$5:$D$1005="jabas")*(MOVIMIENTOS!$A$5:$A$1005&lt;&gt;"")*(MOVIMIENTOS!$A$5:$A$1005&lt;=$A235)*MOVIMIENTOS!$E$5:$E$1005)-SUMPRODUCT((MOVIMIENTOS!$B$5:$B$1005="ENVÍO A SUPESA")*(MOVIMIENTOS!$C$5:$C$1005="M")*(MOVIMIENTOS!$D$5:$D$1005="jabas")*(MOVIMIENTOS!$A$5:$A$1005&lt;&gt;"")*(MOVIMIENTOS!$A$5:$A$1005&lt;=$A235)*MOVIMIENTOS!$E$5:$E$1005)+SUMPRODUCT((MOVIMIENTOS!$B$5:$B$1005="DEVOLUCIÓN")*(MOVIMIENTOS!$C$5:$C$1005="M")*(MOVIMIENTOS!$D$5:$D$1005="jabas")*(MOVIMIENTOS!$A$5:$A$1005&lt;&gt;"")*(MOVIMIENTOS!$A$5:$A$1005&lt;=$A235)*MOVIMIENTOS!$E$5:$E$1005)-SUMPRODUCT((MOVIMIENTOS!$B$5:$B$1005="TRASIEGO")*(MOVIMIENTOS!$C$5:$C$1005="M")*(MOVIMIENTOS!$D$5:$D$1005="jabas")*(MOVIMIENTOS!$A$5:$A$1005&lt;&gt;"")*(MOVIMIENTOS!$A$5:$A$1005&lt;=$A235)*MOVIMIENTOS!$E$5:$E$1005)-SUMPRODUCT((MOVIMIENTOS!$B$5:$B$1005="REGALO")*(MOVIMIENTOS!$C$5:$C$1005="M")*(MOVIMIENTOS!$D$5:$D$1005="jabas")*(MOVIMIENTOS!$A$5:$A$1005&lt;&gt;"")*(MOVIMIENTOS!$A$5:$A$1005&lt;=$A235)*MOVIMIENTOS!$E$5:$E$1005)-SUMPRODUCT((MOVIMIENTOS!$B$5:$B$1005="VENTA")*(MOVIMIENTOS!$C$5:$C$1005="M")*(MOVIMIENTOS!$D$5:$D$1005="jabas")*(MOVIMIENTOS!$A$5:$A$1005&lt;&gt;"")*(MOVIMIENTOS!$A$5:$A$1005&lt;=$A235)*MOVIMIENTOS!$E$5:$E$1005)+SUMPRODUCT((MOVIMIENTOS!$B$5:$B$1005="AJUSTE")*(MOVIMIENTOS!$C$5:$C$1005="M")*(MOVIMIENTOS!$D$5:$D$1005="jabas")*(MOVIMIENTOS!$A$5:$A$1005&lt;&gt;"")*(MOVIMIENTOS!$A$5:$A$1005&lt;=$A235)*MOVIMIENTOS!$E$5:$E$1005))</f>
        <v/>
      </c>
      <c r="F235" s="63" t="str">
        <f>IF($A235="","",SUMPRODUCT((MOVIMIENTOS!$B$5:$B$1005="SALDO INICIAL")*(MOVIMIENTOS!$C$5:$C$1005="Chancho")*(MOVIMIENTOS!$D$5:$D$1005="sacos")*(MOVIMIENTOS!$A$5:$A$1005&lt;&gt;"")*(MOVIMIENTOS!$A$5:$A$1005&lt;=$A235)*MOVIMIENTOS!$E$5:$E$1005)+SUMPRODUCT((MOVIMIENTOS!$B$5:$B$1005="PROCESO")*(MOVIMIENTOS!$C$5:$C$1005="Chancho")*(MOVIMIENTOS!$D$5:$D$1005="sacos")*(MOVIMIENTOS!$A$5:$A$1005&lt;&gt;"")*(MOVIMIENTOS!$A$5:$A$1005&lt;=$A235)*MOVIMIENTOS!$E$5:$E$1005)-SUMPRODUCT((MOVIMIENTOS!$B$5:$B$1005="VENTA CHANCHO")*(MOVIMIENTOS!$C$5:$C$1005="Chancho")*(MOVIMIENTOS!$D$5:$D$1005="sacos")*(MOVIMIENTOS!$A$5:$A$1005&lt;&gt;"")*(MOVIMIENTOS!$A$5:$A$1005&lt;=$A235)*MOVIMIENTOS!$E$5:$E$1005)-SUMPRODUCT((MOVIMIENTOS!$B$5:$B$1005="REGALO")*(MOVIMIENTOS!$C$5:$C$1005="Chancho")*(MOVIMIENTOS!$D$5:$D$1005="sacos")*(MOVIMIENTOS!$A$5:$A$1005&lt;&gt;"")*(MOVIMIENTOS!$A$5:$A$1005&lt;=$A235)*MOVIMIENTOS!$E$5:$E$1005)-SUMPRODUCT((MOVIMIENTOS!$B$5:$B$1005="VENTA")*(MOVIMIENTOS!$C$5:$C$1005="Chancho")*(MOVIMIENTOS!$D$5:$D$1005="sacos")*(MOVIMIENTOS!$A$5:$A$1005&lt;&gt;"")*(MOVIMIENTOS!$A$5:$A$1005&lt;=$A235)*MOVIMIENTOS!$E$5:$E$1005)+SUMPRODUCT((MOVIMIENTOS!$B$5:$B$1005="AJUSTE")*(MOVIMIENTOS!$C$5:$C$1005="Chancho")*(MOVIMIENTOS!$D$5:$D$1005="sacos")*(MOVIMIENTOS!$A$5:$A$1005&lt;&gt;"")*(MOVIMIENTOS!$A$5:$A$1005&lt;=$A235)*MOVIMIENTOS!$E$5:$E$1005))</f>
        <v/>
      </c>
      <c r="G235" s="95" t="str">
        <f t="shared" si="7"/>
        <v/>
      </c>
      <c r="H235" s="63" t="str">
        <f>IF($A235="","",SUMPRODUCT((((MOVIMIENTOS!$B$5:$B$1005="SALDO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235)*MOVIMIENTOS!$J$5:$J$1005))</f>
        <v/>
      </c>
      <c r="I235" s="63"/>
      <c r="J235" s="63" t="str">
        <f>IF(AND(MOVIMIENTOS!$A235&lt;&gt;"",COUNTIF(MOVIMIENTOS!$A$5:$A234,MOVIMIENTOS!$A235)=0),COUNT(J$4:J234)+1,"")</f>
        <v/>
      </c>
      <c r="K235" s="66">
        <f>MOVIMIENTOS!$A235</f>
        <v>46234</v>
      </c>
      <c r="L235" s="63"/>
      <c r="M235" s="63"/>
      <c r="N235" s="63"/>
    </row>
    <row r="236" spans="1:14" ht="15" customHeight="1" x14ac:dyDescent="0.2">
      <c r="A236" s="63" t="str">
        <f t="shared" si="6"/>
        <v/>
      </c>
      <c r="B236" s="63" t="str">
        <f>IF($A236="","",SUMPRODUCT((MOVIMIENTOS!$B$5:$B$1005="SALDO INICIAL")*(MOVIMIENTOS!$C$5:$C$1005="A")*(MOVIMIENTOS!$D$5:$D$1005="jabas")*(MOVIMIENTOS!$A$5:$A$1005&lt;&gt;"")*(MOVIMIENTOS!$A$5:$A$1005&lt;=$A236)*MOVIMIENTOS!$E$5:$E$1005)+SUMPRODUCT((MOVIMIENTOS!$B$5:$B$1005="PROCESO")*(MOVIMIENTOS!$C$5:$C$1005="A")*(MOVIMIENTOS!$D$5:$D$1005="jabas")*(MOVIMIENTOS!$A$5:$A$1005&lt;&gt;"")*(MOVIMIENTOS!$A$5:$A$1005&lt;=$A236)*MOVIMIENTOS!$E$5:$E$1005)-SUMPRODUCT((MOVIMIENTOS!$B$5:$B$1005="ENVÍO A SUPESA")*(MOVIMIENTOS!$C$5:$C$1005="A")*(MOVIMIENTOS!$D$5:$D$1005="jabas")*(MOVIMIENTOS!$A$5:$A$1005&lt;&gt;"")*(MOVIMIENTOS!$A$5:$A$1005&lt;=$A236)*MOVIMIENTOS!$E$5:$E$1005)+SUMPRODUCT((MOVIMIENTOS!$B$5:$B$1005="DEVOLUCIÓN")*(MOVIMIENTOS!$C$5:$C$1005="A")*(MOVIMIENTOS!$D$5:$D$1005="jabas")*(MOVIMIENTOS!$A$5:$A$1005&lt;&gt;"")*(MOVIMIENTOS!$A$5:$A$1005&lt;=$A236)*MOVIMIENTOS!$E$5:$E$1005)-SUMPRODUCT((MOVIMIENTOS!$B$5:$B$1005="TRASIEGO")*(MOVIMIENTOS!$C$5:$C$1005="A")*(MOVIMIENTOS!$D$5:$D$1005="jabas")*(MOVIMIENTOS!$A$5:$A$1005&lt;&gt;"")*(MOVIMIENTOS!$A$5:$A$1005&lt;=$A236)*MOVIMIENTOS!$E$5:$E$1005)-SUMPRODUCT((MOVIMIENTOS!$B$5:$B$1005="REGALO")*(MOVIMIENTOS!$C$5:$C$1005="A")*(MOVIMIENTOS!$D$5:$D$1005="jabas")*(MOVIMIENTOS!$A$5:$A$1005&lt;&gt;"")*(MOVIMIENTOS!$A$5:$A$1005&lt;=$A236)*MOVIMIENTOS!$E$5:$E$1005)-SUMPRODUCT((MOVIMIENTOS!$B$5:$B$1005="VENTA")*(MOVIMIENTOS!$C$5:$C$1005="A")*(MOVIMIENTOS!$D$5:$D$1005="jabas")*(MOVIMIENTOS!$A$5:$A$1005&lt;&gt;"")*(MOVIMIENTOS!$A$5:$A$1005&lt;=$A236)*MOVIMIENTOS!$E$5:$E$1005)+SUMPRODUCT((MOVIMIENTOS!$B$5:$B$1005="AJUSTE")*(MOVIMIENTOS!$C$5:$C$1005="A")*(MOVIMIENTOS!$D$5:$D$1005="jabas")*(MOVIMIENTOS!$A$5:$A$1005&lt;&gt;"")*(MOVIMIENTOS!$A$5:$A$1005&lt;=$A236)*MOVIMIENTOS!$E$5:$E$1005))</f>
        <v/>
      </c>
      <c r="C236" s="63" t="str">
        <f>IF($A236="","",SUMPRODUCT((MOVIMIENTOS!$B$5:$B$1005="SALDO INICIAL")*(MOVIMIENTOS!$C$5:$C$1005="P")*(MOVIMIENTOS!$D$5:$D$1005="jabas")*(MOVIMIENTOS!$A$5:$A$1005&lt;&gt;"")*(MOVIMIENTOS!$A$5:$A$1005&lt;=$A236)*MOVIMIENTOS!$E$5:$E$1005)+SUMPRODUCT((MOVIMIENTOS!$B$5:$B$1005="PROCESO")*(MOVIMIENTOS!$C$5:$C$1005="P")*(MOVIMIENTOS!$D$5:$D$1005="jabas")*(MOVIMIENTOS!$A$5:$A$1005&lt;&gt;"")*(MOVIMIENTOS!$A$5:$A$1005&lt;=$A236)*MOVIMIENTOS!$E$5:$E$1005)-SUMPRODUCT((MOVIMIENTOS!$B$5:$B$1005="ENVÍO A SUPESA")*(MOVIMIENTOS!$C$5:$C$1005="P")*(MOVIMIENTOS!$D$5:$D$1005="jabas")*(MOVIMIENTOS!$A$5:$A$1005&lt;&gt;"")*(MOVIMIENTOS!$A$5:$A$1005&lt;=$A236)*MOVIMIENTOS!$E$5:$E$1005)+SUMPRODUCT((MOVIMIENTOS!$B$5:$B$1005="DEVOLUCIÓN")*(MOVIMIENTOS!$C$5:$C$1005="P")*(MOVIMIENTOS!$D$5:$D$1005="jabas")*(MOVIMIENTOS!$A$5:$A$1005&lt;&gt;"")*(MOVIMIENTOS!$A$5:$A$1005&lt;=$A236)*MOVIMIENTOS!$E$5:$E$1005)-SUMPRODUCT((MOVIMIENTOS!$B$5:$B$1005="TRASIEGO")*(MOVIMIENTOS!$C$5:$C$1005="P")*(MOVIMIENTOS!$D$5:$D$1005="jabas")*(MOVIMIENTOS!$A$5:$A$1005&lt;&gt;"")*(MOVIMIENTOS!$A$5:$A$1005&lt;=$A236)*MOVIMIENTOS!$E$5:$E$1005)-SUMPRODUCT((MOVIMIENTOS!$B$5:$B$1005="REGALO")*(MOVIMIENTOS!$C$5:$C$1005="P")*(MOVIMIENTOS!$D$5:$D$1005="jabas")*(MOVIMIENTOS!$A$5:$A$1005&lt;&gt;"")*(MOVIMIENTOS!$A$5:$A$1005&lt;=$A236)*MOVIMIENTOS!$E$5:$E$1005)-SUMPRODUCT((MOVIMIENTOS!$B$5:$B$1005="VENTA")*(MOVIMIENTOS!$C$5:$C$1005="P")*(MOVIMIENTOS!$D$5:$D$1005="jabas")*(MOVIMIENTOS!$A$5:$A$1005&lt;&gt;"")*(MOVIMIENTOS!$A$5:$A$1005&lt;=$A236)*MOVIMIENTOS!$E$5:$E$1005)+SUMPRODUCT((MOVIMIENTOS!$B$5:$B$1005="AJUSTE")*(MOVIMIENTOS!$C$5:$C$1005="P")*(MOVIMIENTOS!$D$5:$D$1005="jabas")*(MOVIMIENTOS!$A$5:$A$1005&lt;&gt;"")*(MOVIMIENTOS!$A$5:$A$1005&lt;=$A236)*MOVIMIENTOS!$E$5:$E$1005))</f>
        <v/>
      </c>
      <c r="D236" s="63" t="str">
        <f>IF($A236="","",SUMPRODUCT((MOVIMIENTOS!$B$5:$B$1005="SALDO INICIAL")*(MOVIMIENTOS!$C$5:$C$1005="C")*(MOVIMIENTOS!$D$5:$D$1005="jabas")*(MOVIMIENTOS!$A$5:$A$1005&lt;&gt;"")*(MOVIMIENTOS!$A$5:$A$1005&lt;=$A236)*MOVIMIENTOS!$E$5:$E$1005)+SUMPRODUCT((MOVIMIENTOS!$B$5:$B$1005="PROCESO")*(MOVIMIENTOS!$C$5:$C$1005="C")*(MOVIMIENTOS!$D$5:$D$1005="jabas")*(MOVIMIENTOS!$A$5:$A$1005&lt;&gt;"")*(MOVIMIENTOS!$A$5:$A$1005&lt;=$A236)*MOVIMIENTOS!$E$5:$E$1005)-SUMPRODUCT((MOVIMIENTOS!$B$5:$B$1005="ENVÍO A SUPESA")*(MOVIMIENTOS!$C$5:$C$1005="C")*(MOVIMIENTOS!$D$5:$D$1005="jabas")*(MOVIMIENTOS!$A$5:$A$1005&lt;&gt;"")*(MOVIMIENTOS!$A$5:$A$1005&lt;=$A236)*MOVIMIENTOS!$E$5:$E$1005)+SUMPRODUCT((MOVIMIENTOS!$B$5:$B$1005="DEVOLUCIÓN")*(MOVIMIENTOS!$C$5:$C$1005="C")*(MOVIMIENTOS!$D$5:$D$1005="jabas")*(MOVIMIENTOS!$A$5:$A$1005&lt;&gt;"")*(MOVIMIENTOS!$A$5:$A$1005&lt;=$A236)*MOVIMIENTOS!$E$5:$E$1005)-SUMPRODUCT((MOVIMIENTOS!$B$5:$B$1005="TRASIEGO")*(MOVIMIENTOS!$C$5:$C$1005="C")*(MOVIMIENTOS!$D$5:$D$1005="jabas")*(MOVIMIENTOS!$A$5:$A$1005&lt;&gt;"")*(MOVIMIENTOS!$A$5:$A$1005&lt;=$A236)*MOVIMIENTOS!$E$5:$E$1005)-SUMPRODUCT((MOVIMIENTOS!$B$5:$B$1005="REGALO")*(MOVIMIENTOS!$C$5:$C$1005="C")*(MOVIMIENTOS!$D$5:$D$1005="jabas")*(MOVIMIENTOS!$A$5:$A$1005&lt;&gt;"")*(MOVIMIENTOS!$A$5:$A$1005&lt;=$A236)*MOVIMIENTOS!$E$5:$E$1005)-SUMPRODUCT((MOVIMIENTOS!$B$5:$B$1005="VENTA")*(MOVIMIENTOS!$C$5:$C$1005="C")*(MOVIMIENTOS!$D$5:$D$1005="jabas")*(MOVIMIENTOS!$A$5:$A$1005&lt;&gt;"")*(MOVIMIENTOS!$A$5:$A$1005&lt;=$A236)*MOVIMIENTOS!$E$5:$E$1005)+SUMPRODUCT((MOVIMIENTOS!$B$5:$B$1005="AJUSTE")*(MOVIMIENTOS!$C$5:$C$1005="C")*(MOVIMIENTOS!$D$5:$D$1005="jabas")*(MOVIMIENTOS!$A$5:$A$1005&lt;&gt;"")*(MOVIMIENTOS!$A$5:$A$1005&lt;=$A236)*MOVIMIENTOS!$E$5:$E$1005))</f>
        <v/>
      </c>
      <c r="E236" s="63" t="str">
        <f>IF($A236="","",SUMPRODUCT((MOVIMIENTOS!$B$5:$B$1005="SALDO INICIAL")*(MOVIMIENTOS!$C$5:$C$1005="M")*(MOVIMIENTOS!$D$5:$D$1005="jabas")*(MOVIMIENTOS!$A$5:$A$1005&lt;&gt;"")*(MOVIMIENTOS!$A$5:$A$1005&lt;=$A236)*MOVIMIENTOS!$E$5:$E$1005)+SUMPRODUCT((MOVIMIENTOS!$B$5:$B$1005="PROCESO")*(MOVIMIENTOS!$C$5:$C$1005="M")*(MOVIMIENTOS!$D$5:$D$1005="jabas")*(MOVIMIENTOS!$A$5:$A$1005&lt;&gt;"")*(MOVIMIENTOS!$A$5:$A$1005&lt;=$A236)*MOVIMIENTOS!$E$5:$E$1005)-SUMPRODUCT((MOVIMIENTOS!$B$5:$B$1005="ENVÍO A SUPESA")*(MOVIMIENTOS!$C$5:$C$1005="M")*(MOVIMIENTOS!$D$5:$D$1005="jabas")*(MOVIMIENTOS!$A$5:$A$1005&lt;&gt;"")*(MOVIMIENTOS!$A$5:$A$1005&lt;=$A236)*MOVIMIENTOS!$E$5:$E$1005)+SUMPRODUCT((MOVIMIENTOS!$B$5:$B$1005="DEVOLUCIÓN")*(MOVIMIENTOS!$C$5:$C$1005="M")*(MOVIMIENTOS!$D$5:$D$1005="jabas")*(MOVIMIENTOS!$A$5:$A$1005&lt;&gt;"")*(MOVIMIENTOS!$A$5:$A$1005&lt;=$A236)*MOVIMIENTOS!$E$5:$E$1005)-SUMPRODUCT((MOVIMIENTOS!$B$5:$B$1005="TRASIEGO")*(MOVIMIENTOS!$C$5:$C$1005="M")*(MOVIMIENTOS!$D$5:$D$1005="jabas")*(MOVIMIENTOS!$A$5:$A$1005&lt;&gt;"")*(MOVIMIENTOS!$A$5:$A$1005&lt;=$A236)*MOVIMIENTOS!$E$5:$E$1005)-SUMPRODUCT((MOVIMIENTOS!$B$5:$B$1005="REGALO")*(MOVIMIENTOS!$C$5:$C$1005="M")*(MOVIMIENTOS!$D$5:$D$1005="jabas")*(MOVIMIENTOS!$A$5:$A$1005&lt;&gt;"")*(MOVIMIENTOS!$A$5:$A$1005&lt;=$A236)*MOVIMIENTOS!$E$5:$E$1005)-SUMPRODUCT((MOVIMIENTOS!$B$5:$B$1005="VENTA")*(MOVIMIENTOS!$C$5:$C$1005="M")*(MOVIMIENTOS!$D$5:$D$1005="jabas")*(MOVIMIENTOS!$A$5:$A$1005&lt;&gt;"")*(MOVIMIENTOS!$A$5:$A$1005&lt;=$A236)*MOVIMIENTOS!$E$5:$E$1005)+SUMPRODUCT((MOVIMIENTOS!$B$5:$B$1005="AJUSTE")*(MOVIMIENTOS!$C$5:$C$1005="M")*(MOVIMIENTOS!$D$5:$D$1005="jabas")*(MOVIMIENTOS!$A$5:$A$1005&lt;&gt;"")*(MOVIMIENTOS!$A$5:$A$1005&lt;=$A236)*MOVIMIENTOS!$E$5:$E$1005))</f>
        <v/>
      </c>
      <c r="F236" s="63" t="str">
        <f>IF($A236="","",SUMPRODUCT((MOVIMIENTOS!$B$5:$B$1005="SALDO INICIAL")*(MOVIMIENTOS!$C$5:$C$1005="Chancho")*(MOVIMIENTOS!$D$5:$D$1005="sacos")*(MOVIMIENTOS!$A$5:$A$1005&lt;&gt;"")*(MOVIMIENTOS!$A$5:$A$1005&lt;=$A236)*MOVIMIENTOS!$E$5:$E$1005)+SUMPRODUCT((MOVIMIENTOS!$B$5:$B$1005="PROCESO")*(MOVIMIENTOS!$C$5:$C$1005="Chancho")*(MOVIMIENTOS!$D$5:$D$1005="sacos")*(MOVIMIENTOS!$A$5:$A$1005&lt;&gt;"")*(MOVIMIENTOS!$A$5:$A$1005&lt;=$A236)*MOVIMIENTOS!$E$5:$E$1005)-SUMPRODUCT((MOVIMIENTOS!$B$5:$B$1005="VENTA CHANCHO")*(MOVIMIENTOS!$C$5:$C$1005="Chancho")*(MOVIMIENTOS!$D$5:$D$1005="sacos")*(MOVIMIENTOS!$A$5:$A$1005&lt;&gt;"")*(MOVIMIENTOS!$A$5:$A$1005&lt;=$A236)*MOVIMIENTOS!$E$5:$E$1005)-SUMPRODUCT((MOVIMIENTOS!$B$5:$B$1005="REGALO")*(MOVIMIENTOS!$C$5:$C$1005="Chancho")*(MOVIMIENTOS!$D$5:$D$1005="sacos")*(MOVIMIENTOS!$A$5:$A$1005&lt;&gt;"")*(MOVIMIENTOS!$A$5:$A$1005&lt;=$A236)*MOVIMIENTOS!$E$5:$E$1005)-SUMPRODUCT((MOVIMIENTOS!$B$5:$B$1005="VENTA")*(MOVIMIENTOS!$C$5:$C$1005="Chancho")*(MOVIMIENTOS!$D$5:$D$1005="sacos")*(MOVIMIENTOS!$A$5:$A$1005&lt;&gt;"")*(MOVIMIENTOS!$A$5:$A$1005&lt;=$A236)*MOVIMIENTOS!$E$5:$E$1005)+SUMPRODUCT((MOVIMIENTOS!$B$5:$B$1005="AJUSTE")*(MOVIMIENTOS!$C$5:$C$1005="Chancho")*(MOVIMIENTOS!$D$5:$D$1005="sacos")*(MOVIMIENTOS!$A$5:$A$1005&lt;&gt;"")*(MOVIMIENTOS!$A$5:$A$1005&lt;=$A236)*MOVIMIENTOS!$E$5:$E$1005))</f>
        <v/>
      </c>
      <c r="G236" s="95" t="str">
        <f t="shared" si="7"/>
        <v/>
      </c>
      <c r="H236" s="63" t="str">
        <f>IF($A236="","",SUMPRODUCT((((MOVIMIENTOS!$B$5:$B$1005="SALDO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236)*MOVIMIENTOS!$J$5:$J$1005))</f>
        <v/>
      </c>
      <c r="I236" s="63"/>
      <c r="J236" s="63">
        <f>IF(AND(MOVIMIENTOS!$A236&lt;&gt;"",COUNTIF(MOVIMIENTOS!$A$5:$A235,MOVIMIENTOS!$A236)=0),COUNT(J$4:J235)+1,"")</f>
        <v>23</v>
      </c>
      <c r="K236" s="66">
        <f>MOVIMIENTOS!$A236</f>
        <v>46235</v>
      </c>
      <c r="L236" s="63"/>
      <c r="M236" s="63"/>
      <c r="N236" s="63"/>
    </row>
    <row r="237" spans="1:14" ht="15" customHeight="1" x14ac:dyDescent="0.2">
      <c r="A237" s="63" t="str">
        <f t="shared" si="6"/>
        <v/>
      </c>
      <c r="B237" s="63" t="str">
        <f>IF($A237="","",SUMPRODUCT((MOVIMIENTOS!$B$5:$B$1005="SALDO INICIAL")*(MOVIMIENTOS!$C$5:$C$1005="A")*(MOVIMIENTOS!$D$5:$D$1005="jabas")*(MOVIMIENTOS!$A$5:$A$1005&lt;&gt;"")*(MOVIMIENTOS!$A$5:$A$1005&lt;=$A237)*MOVIMIENTOS!$E$5:$E$1005)+SUMPRODUCT((MOVIMIENTOS!$B$5:$B$1005="PROCESO")*(MOVIMIENTOS!$C$5:$C$1005="A")*(MOVIMIENTOS!$D$5:$D$1005="jabas")*(MOVIMIENTOS!$A$5:$A$1005&lt;&gt;"")*(MOVIMIENTOS!$A$5:$A$1005&lt;=$A237)*MOVIMIENTOS!$E$5:$E$1005)-SUMPRODUCT((MOVIMIENTOS!$B$5:$B$1005="ENVÍO A SUPESA")*(MOVIMIENTOS!$C$5:$C$1005="A")*(MOVIMIENTOS!$D$5:$D$1005="jabas")*(MOVIMIENTOS!$A$5:$A$1005&lt;&gt;"")*(MOVIMIENTOS!$A$5:$A$1005&lt;=$A237)*MOVIMIENTOS!$E$5:$E$1005)+SUMPRODUCT((MOVIMIENTOS!$B$5:$B$1005="DEVOLUCIÓN")*(MOVIMIENTOS!$C$5:$C$1005="A")*(MOVIMIENTOS!$D$5:$D$1005="jabas")*(MOVIMIENTOS!$A$5:$A$1005&lt;&gt;"")*(MOVIMIENTOS!$A$5:$A$1005&lt;=$A237)*MOVIMIENTOS!$E$5:$E$1005)-SUMPRODUCT((MOVIMIENTOS!$B$5:$B$1005="TRASIEGO")*(MOVIMIENTOS!$C$5:$C$1005="A")*(MOVIMIENTOS!$D$5:$D$1005="jabas")*(MOVIMIENTOS!$A$5:$A$1005&lt;&gt;"")*(MOVIMIENTOS!$A$5:$A$1005&lt;=$A237)*MOVIMIENTOS!$E$5:$E$1005)-SUMPRODUCT((MOVIMIENTOS!$B$5:$B$1005="REGALO")*(MOVIMIENTOS!$C$5:$C$1005="A")*(MOVIMIENTOS!$D$5:$D$1005="jabas")*(MOVIMIENTOS!$A$5:$A$1005&lt;&gt;"")*(MOVIMIENTOS!$A$5:$A$1005&lt;=$A237)*MOVIMIENTOS!$E$5:$E$1005)-SUMPRODUCT((MOVIMIENTOS!$B$5:$B$1005="VENTA")*(MOVIMIENTOS!$C$5:$C$1005="A")*(MOVIMIENTOS!$D$5:$D$1005="jabas")*(MOVIMIENTOS!$A$5:$A$1005&lt;&gt;"")*(MOVIMIENTOS!$A$5:$A$1005&lt;=$A237)*MOVIMIENTOS!$E$5:$E$1005)+SUMPRODUCT((MOVIMIENTOS!$B$5:$B$1005="AJUSTE")*(MOVIMIENTOS!$C$5:$C$1005="A")*(MOVIMIENTOS!$D$5:$D$1005="jabas")*(MOVIMIENTOS!$A$5:$A$1005&lt;&gt;"")*(MOVIMIENTOS!$A$5:$A$1005&lt;=$A237)*MOVIMIENTOS!$E$5:$E$1005))</f>
        <v/>
      </c>
      <c r="C237" s="63" t="str">
        <f>IF($A237="","",SUMPRODUCT((MOVIMIENTOS!$B$5:$B$1005="SALDO INICIAL")*(MOVIMIENTOS!$C$5:$C$1005="P")*(MOVIMIENTOS!$D$5:$D$1005="jabas")*(MOVIMIENTOS!$A$5:$A$1005&lt;&gt;"")*(MOVIMIENTOS!$A$5:$A$1005&lt;=$A237)*MOVIMIENTOS!$E$5:$E$1005)+SUMPRODUCT((MOVIMIENTOS!$B$5:$B$1005="PROCESO")*(MOVIMIENTOS!$C$5:$C$1005="P")*(MOVIMIENTOS!$D$5:$D$1005="jabas")*(MOVIMIENTOS!$A$5:$A$1005&lt;&gt;"")*(MOVIMIENTOS!$A$5:$A$1005&lt;=$A237)*MOVIMIENTOS!$E$5:$E$1005)-SUMPRODUCT((MOVIMIENTOS!$B$5:$B$1005="ENVÍO A SUPESA")*(MOVIMIENTOS!$C$5:$C$1005="P")*(MOVIMIENTOS!$D$5:$D$1005="jabas")*(MOVIMIENTOS!$A$5:$A$1005&lt;&gt;"")*(MOVIMIENTOS!$A$5:$A$1005&lt;=$A237)*MOVIMIENTOS!$E$5:$E$1005)+SUMPRODUCT((MOVIMIENTOS!$B$5:$B$1005="DEVOLUCIÓN")*(MOVIMIENTOS!$C$5:$C$1005="P")*(MOVIMIENTOS!$D$5:$D$1005="jabas")*(MOVIMIENTOS!$A$5:$A$1005&lt;&gt;"")*(MOVIMIENTOS!$A$5:$A$1005&lt;=$A237)*MOVIMIENTOS!$E$5:$E$1005)-SUMPRODUCT((MOVIMIENTOS!$B$5:$B$1005="TRASIEGO")*(MOVIMIENTOS!$C$5:$C$1005="P")*(MOVIMIENTOS!$D$5:$D$1005="jabas")*(MOVIMIENTOS!$A$5:$A$1005&lt;&gt;"")*(MOVIMIENTOS!$A$5:$A$1005&lt;=$A237)*MOVIMIENTOS!$E$5:$E$1005)-SUMPRODUCT((MOVIMIENTOS!$B$5:$B$1005="REGALO")*(MOVIMIENTOS!$C$5:$C$1005="P")*(MOVIMIENTOS!$D$5:$D$1005="jabas")*(MOVIMIENTOS!$A$5:$A$1005&lt;&gt;"")*(MOVIMIENTOS!$A$5:$A$1005&lt;=$A237)*MOVIMIENTOS!$E$5:$E$1005)-SUMPRODUCT((MOVIMIENTOS!$B$5:$B$1005="VENTA")*(MOVIMIENTOS!$C$5:$C$1005="P")*(MOVIMIENTOS!$D$5:$D$1005="jabas")*(MOVIMIENTOS!$A$5:$A$1005&lt;&gt;"")*(MOVIMIENTOS!$A$5:$A$1005&lt;=$A237)*MOVIMIENTOS!$E$5:$E$1005)+SUMPRODUCT((MOVIMIENTOS!$B$5:$B$1005="AJUSTE")*(MOVIMIENTOS!$C$5:$C$1005="P")*(MOVIMIENTOS!$D$5:$D$1005="jabas")*(MOVIMIENTOS!$A$5:$A$1005&lt;&gt;"")*(MOVIMIENTOS!$A$5:$A$1005&lt;=$A237)*MOVIMIENTOS!$E$5:$E$1005))</f>
        <v/>
      </c>
      <c r="D237" s="63" t="str">
        <f>IF($A237="","",SUMPRODUCT((MOVIMIENTOS!$B$5:$B$1005="SALDO INICIAL")*(MOVIMIENTOS!$C$5:$C$1005="C")*(MOVIMIENTOS!$D$5:$D$1005="jabas")*(MOVIMIENTOS!$A$5:$A$1005&lt;&gt;"")*(MOVIMIENTOS!$A$5:$A$1005&lt;=$A237)*MOVIMIENTOS!$E$5:$E$1005)+SUMPRODUCT((MOVIMIENTOS!$B$5:$B$1005="PROCESO")*(MOVIMIENTOS!$C$5:$C$1005="C")*(MOVIMIENTOS!$D$5:$D$1005="jabas")*(MOVIMIENTOS!$A$5:$A$1005&lt;&gt;"")*(MOVIMIENTOS!$A$5:$A$1005&lt;=$A237)*MOVIMIENTOS!$E$5:$E$1005)-SUMPRODUCT((MOVIMIENTOS!$B$5:$B$1005="ENVÍO A SUPESA")*(MOVIMIENTOS!$C$5:$C$1005="C")*(MOVIMIENTOS!$D$5:$D$1005="jabas")*(MOVIMIENTOS!$A$5:$A$1005&lt;&gt;"")*(MOVIMIENTOS!$A$5:$A$1005&lt;=$A237)*MOVIMIENTOS!$E$5:$E$1005)+SUMPRODUCT((MOVIMIENTOS!$B$5:$B$1005="DEVOLUCIÓN")*(MOVIMIENTOS!$C$5:$C$1005="C")*(MOVIMIENTOS!$D$5:$D$1005="jabas")*(MOVIMIENTOS!$A$5:$A$1005&lt;&gt;"")*(MOVIMIENTOS!$A$5:$A$1005&lt;=$A237)*MOVIMIENTOS!$E$5:$E$1005)-SUMPRODUCT((MOVIMIENTOS!$B$5:$B$1005="TRASIEGO")*(MOVIMIENTOS!$C$5:$C$1005="C")*(MOVIMIENTOS!$D$5:$D$1005="jabas")*(MOVIMIENTOS!$A$5:$A$1005&lt;&gt;"")*(MOVIMIENTOS!$A$5:$A$1005&lt;=$A237)*MOVIMIENTOS!$E$5:$E$1005)-SUMPRODUCT((MOVIMIENTOS!$B$5:$B$1005="REGALO")*(MOVIMIENTOS!$C$5:$C$1005="C")*(MOVIMIENTOS!$D$5:$D$1005="jabas")*(MOVIMIENTOS!$A$5:$A$1005&lt;&gt;"")*(MOVIMIENTOS!$A$5:$A$1005&lt;=$A237)*MOVIMIENTOS!$E$5:$E$1005)-SUMPRODUCT((MOVIMIENTOS!$B$5:$B$1005="VENTA")*(MOVIMIENTOS!$C$5:$C$1005="C")*(MOVIMIENTOS!$D$5:$D$1005="jabas")*(MOVIMIENTOS!$A$5:$A$1005&lt;&gt;"")*(MOVIMIENTOS!$A$5:$A$1005&lt;=$A237)*MOVIMIENTOS!$E$5:$E$1005)+SUMPRODUCT((MOVIMIENTOS!$B$5:$B$1005="AJUSTE")*(MOVIMIENTOS!$C$5:$C$1005="C")*(MOVIMIENTOS!$D$5:$D$1005="jabas")*(MOVIMIENTOS!$A$5:$A$1005&lt;&gt;"")*(MOVIMIENTOS!$A$5:$A$1005&lt;=$A237)*MOVIMIENTOS!$E$5:$E$1005))</f>
        <v/>
      </c>
      <c r="E237" s="63" t="str">
        <f>IF($A237="","",SUMPRODUCT((MOVIMIENTOS!$B$5:$B$1005="SALDO INICIAL")*(MOVIMIENTOS!$C$5:$C$1005="M")*(MOVIMIENTOS!$D$5:$D$1005="jabas")*(MOVIMIENTOS!$A$5:$A$1005&lt;&gt;"")*(MOVIMIENTOS!$A$5:$A$1005&lt;=$A237)*MOVIMIENTOS!$E$5:$E$1005)+SUMPRODUCT((MOVIMIENTOS!$B$5:$B$1005="PROCESO")*(MOVIMIENTOS!$C$5:$C$1005="M")*(MOVIMIENTOS!$D$5:$D$1005="jabas")*(MOVIMIENTOS!$A$5:$A$1005&lt;&gt;"")*(MOVIMIENTOS!$A$5:$A$1005&lt;=$A237)*MOVIMIENTOS!$E$5:$E$1005)-SUMPRODUCT((MOVIMIENTOS!$B$5:$B$1005="ENVÍO A SUPESA")*(MOVIMIENTOS!$C$5:$C$1005="M")*(MOVIMIENTOS!$D$5:$D$1005="jabas")*(MOVIMIENTOS!$A$5:$A$1005&lt;&gt;"")*(MOVIMIENTOS!$A$5:$A$1005&lt;=$A237)*MOVIMIENTOS!$E$5:$E$1005)+SUMPRODUCT((MOVIMIENTOS!$B$5:$B$1005="DEVOLUCIÓN")*(MOVIMIENTOS!$C$5:$C$1005="M")*(MOVIMIENTOS!$D$5:$D$1005="jabas")*(MOVIMIENTOS!$A$5:$A$1005&lt;&gt;"")*(MOVIMIENTOS!$A$5:$A$1005&lt;=$A237)*MOVIMIENTOS!$E$5:$E$1005)-SUMPRODUCT((MOVIMIENTOS!$B$5:$B$1005="TRASIEGO")*(MOVIMIENTOS!$C$5:$C$1005="M")*(MOVIMIENTOS!$D$5:$D$1005="jabas")*(MOVIMIENTOS!$A$5:$A$1005&lt;&gt;"")*(MOVIMIENTOS!$A$5:$A$1005&lt;=$A237)*MOVIMIENTOS!$E$5:$E$1005)-SUMPRODUCT((MOVIMIENTOS!$B$5:$B$1005="REGALO")*(MOVIMIENTOS!$C$5:$C$1005="M")*(MOVIMIENTOS!$D$5:$D$1005="jabas")*(MOVIMIENTOS!$A$5:$A$1005&lt;&gt;"")*(MOVIMIENTOS!$A$5:$A$1005&lt;=$A237)*MOVIMIENTOS!$E$5:$E$1005)-SUMPRODUCT((MOVIMIENTOS!$B$5:$B$1005="VENTA")*(MOVIMIENTOS!$C$5:$C$1005="M")*(MOVIMIENTOS!$D$5:$D$1005="jabas")*(MOVIMIENTOS!$A$5:$A$1005&lt;&gt;"")*(MOVIMIENTOS!$A$5:$A$1005&lt;=$A237)*MOVIMIENTOS!$E$5:$E$1005)+SUMPRODUCT((MOVIMIENTOS!$B$5:$B$1005="AJUSTE")*(MOVIMIENTOS!$C$5:$C$1005="M")*(MOVIMIENTOS!$D$5:$D$1005="jabas")*(MOVIMIENTOS!$A$5:$A$1005&lt;&gt;"")*(MOVIMIENTOS!$A$5:$A$1005&lt;=$A237)*MOVIMIENTOS!$E$5:$E$1005))</f>
        <v/>
      </c>
      <c r="F237" s="63" t="str">
        <f>IF($A237="","",SUMPRODUCT((MOVIMIENTOS!$B$5:$B$1005="SALDO INICIAL")*(MOVIMIENTOS!$C$5:$C$1005="Chancho")*(MOVIMIENTOS!$D$5:$D$1005="sacos")*(MOVIMIENTOS!$A$5:$A$1005&lt;&gt;"")*(MOVIMIENTOS!$A$5:$A$1005&lt;=$A237)*MOVIMIENTOS!$E$5:$E$1005)+SUMPRODUCT((MOVIMIENTOS!$B$5:$B$1005="PROCESO")*(MOVIMIENTOS!$C$5:$C$1005="Chancho")*(MOVIMIENTOS!$D$5:$D$1005="sacos")*(MOVIMIENTOS!$A$5:$A$1005&lt;&gt;"")*(MOVIMIENTOS!$A$5:$A$1005&lt;=$A237)*MOVIMIENTOS!$E$5:$E$1005)-SUMPRODUCT((MOVIMIENTOS!$B$5:$B$1005="VENTA CHANCHO")*(MOVIMIENTOS!$C$5:$C$1005="Chancho")*(MOVIMIENTOS!$D$5:$D$1005="sacos")*(MOVIMIENTOS!$A$5:$A$1005&lt;&gt;"")*(MOVIMIENTOS!$A$5:$A$1005&lt;=$A237)*MOVIMIENTOS!$E$5:$E$1005)-SUMPRODUCT((MOVIMIENTOS!$B$5:$B$1005="REGALO")*(MOVIMIENTOS!$C$5:$C$1005="Chancho")*(MOVIMIENTOS!$D$5:$D$1005="sacos")*(MOVIMIENTOS!$A$5:$A$1005&lt;&gt;"")*(MOVIMIENTOS!$A$5:$A$1005&lt;=$A237)*MOVIMIENTOS!$E$5:$E$1005)-SUMPRODUCT((MOVIMIENTOS!$B$5:$B$1005="VENTA")*(MOVIMIENTOS!$C$5:$C$1005="Chancho")*(MOVIMIENTOS!$D$5:$D$1005="sacos")*(MOVIMIENTOS!$A$5:$A$1005&lt;&gt;"")*(MOVIMIENTOS!$A$5:$A$1005&lt;=$A237)*MOVIMIENTOS!$E$5:$E$1005)+SUMPRODUCT((MOVIMIENTOS!$B$5:$B$1005="AJUSTE")*(MOVIMIENTOS!$C$5:$C$1005="Chancho")*(MOVIMIENTOS!$D$5:$D$1005="sacos")*(MOVIMIENTOS!$A$5:$A$1005&lt;&gt;"")*(MOVIMIENTOS!$A$5:$A$1005&lt;=$A237)*MOVIMIENTOS!$E$5:$E$1005))</f>
        <v/>
      </c>
      <c r="G237" s="95" t="str">
        <f t="shared" si="7"/>
        <v/>
      </c>
      <c r="H237" s="63" t="str">
        <f>IF($A237="","",SUMPRODUCT((((MOVIMIENTOS!$B$5:$B$1005="SALDO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237)*MOVIMIENTOS!$J$5:$J$1005))</f>
        <v/>
      </c>
      <c r="I237" s="63"/>
      <c r="J237" s="63" t="str">
        <f>IF(AND(MOVIMIENTOS!$A237&lt;&gt;"",COUNTIF(MOVIMIENTOS!$A$5:$A236,MOVIMIENTOS!$A237)=0),COUNT(J$4:J236)+1,"")</f>
        <v/>
      </c>
      <c r="K237" s="66">
        <f>MOVIMIENTOS!$A237</f>
        <v>46235</v>
      </c>
      <c r="L237" s="63"/>
      <c r="M237" s="63"/>
      <c r="N237" s="63"/>
    </row>
    <row r="238" spans="1:14" ht="15" customHeight="1" x14ac:dyDescent="0.2">
      <c r="A238" s="63" t="str">
        <f t="shared" si="6"/>
        <v/>
      </c>
      <c r="B238" s="63" t="str">
        <f>IF($A238="","",SUMPRODUCT((MOVIMIENTOS!$B$5:$B$1005="SALDO INICIAL")*(MOVIMIENTOS!$C$5:$C$1005="A")*(MOVIMIENTOS!$D$5:$D$1005="jabas")*(MOVIMIENTOS!$A$5:$A$1005&lt;&gt;"")*(MOVIMIENTOS!$A$5:$A$1005&lt;=$A238)*MOVIMIENTOS!$E$5:$E$1005)+SUMPRODUCT((MOVIMIENTOS!$B$5:$B$1005="PROCESO")*(MOVIMIENTOS!$C$5:$C$1005="A")*(MOVIMIENTOS!$D$5:$D$1005="jabas")*(MOVIMIENTOS!$A$5:$A$1005&lt;&gt;"")*(MOVIMIENTOS!$A$5:$A$1005&lt;=$A238)*MOVIMIENTOS!$E$5:$E$1005)-SUMPRODUCT((MOVIMIENTOS!$B$5:$B$1005="ENVÍO A SUPESA")*(MOVIMIENTOS!$C$5:$C$1005="A")*(MOVIMIENTOS!$D$5:$D$1005="jabas")*(MOVIMIENTOS!$A$5:$A$1005&lt;&gt;"")*(MOVIMIENTOS!$A$5:$A$1005&lt;=$A238)*MOVIMIENTOS!$E$5:$E$1005)+SUMPRODUCT((MOVIMIENTOS!$B$5:$B$1005="DEVOLUCIÓN")*(MOVIMIENTOS!$C$5:$C$1005="A")*(MOVIMIENTOS!$D$5:$D$1005="jabas")*(MOVIMIENTOS!$A$5:$A$1005&lt;&gt;"")*(MOVIMIENTOS!$A$5:$A$1005&lt;=$A238)*MOVIMIENTOS!$E$5:$E$1005)-SUMPRODUCT((MOVIMIENTOS!$B$5:$B$1005="TRASIEGO")*(MOVIMIENTOS!$C$5:$C$1005="A")*(MOVIMIENTOS!$D$5:$D$1005="jabas")*(MOVIMIENTOS!$A$5:$A$1005&lt;&gt;"")*(MOVIMIENTOS!$A$5:$A$1005&lt;=$A238)*MOVIMIENTOS!$E$5:$E$1005)-SUMPRODUCT((MOVIMIENTOS!$B$5:$B$1005="REGALO")*(MOVIMIENTOS!$C$5:$C$1005="A")*(MOVIMIENTOS!$D$5:$D$1005="jabas")*(MOVIMIENTOS!$A$5:$A$1005&lt;&gt;"")*(MOVIMIENTOS!$A$5:$A$1005&lt;=$A238)*MOVIMIENTOS!$E$5:$E$1005)-SUMPRODUCT((MOVIMIENTOS!$B$5:$B$1005="VENTA")*(MOVIMIENTOS!$C$5:$C$1005="A")*(MOVIMIENTOS!$D$5:$D$1005="jabas")*(MOVIMIENTOS!$A$5:$A$1005&lt;&gt;"")*(MOVIMIENTOS!$A$5:$A$1005&lt;=$A238)*MOVIMIENTOS!$E$5:$E$1005)+SUMPRODUCT((MOVIMIENTOS!$B$5:$B$1005="AJUSTE")*(MOVIMIENTOS!$C$5:$C$1005="A")*(MOVIMIENTOS!$D$5:$D$1005="jabas")*(MOVIMIENTOS!$A$5:$A$1005&lt;&gt;"")*(MOVIMIENTOS!$A$5:$A$1005&lt;=$A238)*MOVIMIENTOS!$E$5:$E$1005))</f>
        <v/>
      </c>
      <c r="C238" s="63" t="str">
        <f>IF($A238="","",SUMPRODUCT((MOVIMIENTOS!$B$5:$B$1005="SALDO INICIAL")*(MOVIMIENTOS!$C$5:$C$1005="P")*(MOVIMIENTOS!$D$5:$D$1005="jabas")*(MOVIMIENTOS!$A$5:$A$1005&lt;&gt;"")*(MOVIMIENTOS!$A$5:$A$1005&lt;=$A238)*MOVIMIENTOS!$E$5:$E$1005)+SUMPRODUCT((MOVIMIENTOS!$B$5:$B$1005="PROCESO")*(MOVIMIENTOS!$C$5:$C$1005="P")*(MOVIMIENTOS!$D$5:$D$1005="jabas")*(MOVIMIENTOS!$A$5:$A$1005&lt;&gt;"")*(MOVIMIENTOS!$A$5:$A$1005&lt;=$A238)*MOVIMIENTOS!$E$5:$E$1005)-SUMPRODUCT((MOVIMIENTOS!$B$5:$B$1005="ENVÍO A SUPESA")*(MOVIMIENTOS!$C$5:$C$1005="P")*(MOVIMIENTOS!$D$5:$D$1005="jabas")*(MOVIMIENTOS!$A$5:$A$1005&lt;&gt;"")*(MOVIMIENTOS!$A$5:$A$1005&lt;=$A238)*MOVIMIENTOS!$E$5:$E$1005)+SUMPRODUCT((MOVIMIENTOS!$B$5:$B$1005="DEVOLUCIÓN")*(MOVIMIENTOS!$C$5:$C$1005="P")*(MOVIMIENTOS!$D$5:$D$1005="jabas")*(MOVIMIENTOS!$A$5:$A$1005&lt;&gt;"")*(MOVIMIENTOS!$A$5:$A$1005&lt;=$A238)*MOVIMIENTOS!$E$5:$E$1005)-SUMPRODUCT((MOVIMIENTOS!$B$5:$B$1005="TRASIEGO")*(MOVIMIENTOS!$C$5:$C$1005="P")*(MOVIMIENTOS!$D$5:$D$1005="jabas")*(MOVIMIENTOS!$A$5:$A$1005&lt;&gt;"")*(MOVIMIENTOS!$A$5:$A$1005&lt;=$A238)*MOVIMIENTOS!$E$5:$E$1005)-SUMPRODUCT((MOVIMIENTOS!$B$5:$B$1005="REGALO")*(MOVIMIENTOS!$C$5:$C$1005="P")*(MOVIMIENTOS!$D$5:$D$1005="jabas")*(MOVIMIENTOS!$A$5:$A$1005&lt;&gt;"")*(MOVIMIENTOS!$A$5:$A$1005&lt;=$A238)*MOVIMIENTOS!$E$5:$E$1005)-SUMPRODUCT((MOVIMIENTOS!$B$5:$B$1005="VENTA")*(MOVIMIENTOS!$C$5:$C$1005="P")*(MOVIMIENTOS!$D$5:$D$1005="jabas")*(MOVIMIENTOS!$A$5:$A$1005&lt;&gt;"")*(MOVIMIENTOS!$A$5:$A$1005&lt;=$A238)*MOVIMIENTOS!$E$5:$E$1005)+SUMPRODUCT((MOVIMIENTOS!$B$5:$B$1005="AJUSTE")*(MOVIMIENTOS!$C$5:$C$1005="P")*(MOVIMIENTOS!$D$5:$D$1005="jabas")*(MOVIMIENTOS!$A$5:$A$1005&lt;&gt;"")*(MOVIMIENTOS!$A$5:$A$1005&lt;=$A238)*MOVIMIENTOS!$E$5:$E$1005))</f>
        <v/>
      </c>
      <c r="D238" s="63" t="str">
        <f>IF($A238="","",SUMPRODUCT((MOVIMIENTOS!$B$5:$B$1005="SALDO INICIAL")*(MOVIMIENTOS!$C$5:$C$1005="C")*(MOVIMIENTOS!$D$5:$D$1005="jabas")*(MOVIMIENTOS!$A$5:$A$1005&lt;&gt;"")*(MOVIMIENTOS!$A$5:$A$1005&lt;=$A238)*MOVIMIENTOS!$E$5:$E$1005)+SUMPRODUCT((MOVIMIENTOS!$B$5:$B$1005="PROCESO")*(MOVIMIENTOS!$C$5:$C$1005="C")*(MOVIMIENTOS!$D$5:$D$1005="jabas")*(MOVIMIENTOS!$A$5:$A$1005&lt;&gt;"")*(MOVIMIENTOS!$A$5:$A$1005&lt;=$A238)*MOVIMIENTOS!$E$5:$E$1005)-SUMPRODUCT((MOVIMIENTOS!$B$5:$B$1005="ENVÍO A SUPESA")*(MOVIMIENTOS!$C$5:$C$1005="C")*(MOVIMIENTOS!$D$5:$D$1005="jabas")*(MOVIMIENTOS!$A$5:$A$1005&lt;&gt;"")*(MOVIMIENTOS!$A$5:$A$1005&lt;=$A238)*MOVIMIENTOS!$E$5:$E$1005)+SUMPRODUCT((MOVIMIENTOS!$B$5:$B$1005="DEVOLUCIÓN")*(MOVIMIENTOS!$C$5:$C$1005="C")*(MOVIMIENTOS!$D$5:$D$1005="jabas")*(MOVIMIENTOS!$A$5:$A$1005&lt;&gt;"")*(MOVIMIENTOS!$A$5:$A$1005&lt;=$A238)*MOVIMIENTOS!$E$5:$E$1005)-SUMPRODUCT((MOVIMIENTOS!$B$5:$B$1005="TRASIEGO")*(MOVIMIENTOS!$C$5:$C$1005="C")*(MOVIMIENTOS!$D$5:$D$1005="jabas")*(MOVIMIENTOS!$A$5:$A$1005&lt;&gt;"")*(MOVIMIENTOS!$A$5:$A$1005&lt;=$A238)*MOVIMIENTOS!$E$5:$E$1005)-SUMPRODUCT((MOVIMIENTOS!$B$5:$B$1005="REGALO")*(MOVIMIENTOS!$C$5:$C$1005="C")*(MOVIMIENTOS!$D$5:$D$1005="jabas")*(MOVIMIENTOS!$A$5:$A$1005&lt;&gt;"")*(MOVIMIENTOS!$A$5:$A$1005&lt;=$A238)*MOVIMIENTOS!$E$5:$E$1005)-SUMPRODUCT((MOVIMIENTOS!$B$5:$B$1005="VENTA")*(MOVIMIENTOS!$C$5:$C$1005="C")*(MOVIMIENTOS!$D$5:$D$1005="jabas")*(MOVIMIENTOS!$A$5:$A$1005&lt;&gt;"")*(MOVIMIENTOS!$A$5:$A$1005&lt;=$A238)*MOVIMIENTOS!$E$5:$E$1005)+SUMPRODUCT((MOVIMIENTOS!$B$5:$B$1005="AJUSTE")*(MOVIMIENTOS!$C$5:$C$1005="C")*(MOVIMIENTOS!$D$5:$D$1005="jabas")*(MOVIMIENTOS!$A$5:$A$1005&lt;&gt;"")*(MOVIMIENTOS!$A$5:$A$1005&lt;=$A238)*MOVIMIENTOS!$E$5:$E$1005))</f>
        <v/>
      </c>
      <c r="E238" s="63" t="str">
        <f>IF($A238="","",SUMPRODUCT((MOVIMIENTOS!$B$5:$B$1005="SALDO INICIAL")*(MOVIMIENTOS!$C$5:$C$1005="M")*(MOVIMIENTOS!$D$5:$D$1005="jabas")*(MOVIMIENTOS!$A$5:$A$1005&lt;&gt;"")*(MOVIMIENTOS!$A$5:$A$1005&lt;=$A238)*MOVIMIENTOS!$E$5:$E$1005)+SUMPRODUCT((MOVIMIENTOS!$B$5:$B$1005="PROCESO")*(MOVIMIENTOS!$C$5:$C$1005="M")*(MOVIMIENTOS!$D$5:$D$1005="jabas")*(MOVIMIENTOS!$A$5:$A$1005&lt;&gt;"")*(MOVIMIENTOS!$A$5:$A$1005&lt;=$A238)*MOVIMIENTOS!$E$5:$E$1005)-SUMPRODUCT((MOVIMIENTOS!$B$5:$B$1005="ENVÍO A SUPESA")*(MOVIMIENTOS!$C$5:$C$1005="M")*(MOVIMIENTOS!$D$5:$D$1005="jabas")*(MOVIMIENTOS!$A$5:$A$1005&lt;&gt;"")*(MOVIMIENTOS!$A$5:$A$1005&lt;=$A238)*MOVIMIENTOS!$E$5:$E$1005)+SUMPRODUCT((MOVIMIENTOS!$B$5:$B$1005="DEVOLUCIÓN")*(MOVIMIENTOS!$C$5:$C$1005="M")*(MOVIMIENTOS!$D$5:$D$1005="jabas")*(MOVIMIENTOS!$A$5:$A$1005&lt;&gt;"")*(MOVIMIENTOS!$A$5:$A$1005&lt;=$A238)*MOVIMIENTOS!$E$5:$E$1005)-SUMPRODUCT((MOVIMIENTOS!$B$5:$B$1005="TRASIEGO")*(MOVIMIENTOS!$C$5:$C$1005="M")*(MOVIMIENTOS!$D$5:$D$1005="jabas")*(MOVIMIENTOS!$A$5:$A$1005&lt;&gt;"")*(MOVIMIENTOS!$A$5:$A$1005&lt;=$A238)*MOVIMIENTOS!$E$5:$E$1005)-SUMPRODUCT((MOVIMIENTOS!$B$5:$B$1005="REGALO")*(MOVIMIENTOS!$C$5:$C$1005="M")*(MOVIMIENTOS!$D$5:$D$1005="jabas")*(MOVIMIENTOS!$A$5:$A$1005&lt;&gt;"")*(MOVIMIENTOS!$A$5:$A$1005&lt;=$A238)*MOVIMIENTOS!$E$5:$E$1005)-SUMPRODUCT((MOVIMIENTOS!$B$5:$B$1005="VENTA")*(MOVIMIENTOS!$C$5:$C$1005="M")*(MOVIMIENTOS!$D$5:$D$1005="jabas")*(MOVIMIENTOS!$A$5:$A$1005&lt;&gt;"")*(MOVIMIENTOS!$A$5:$A$1005&lt;=$A238)*MOVIMIENTOS!$E$5:$E$1005)+SUMPRODUCT((MOVIMIENTOS!$B$5:$B$1005="AJUSTE")*(MOVIMIENTOS!$C$5:$C$1005="M")*(MOVIMIENTOS!$D$5:$D$1005="jabas")*(MOVIMIENTOS!$A$5:$A$1005&lt;&gt;"")*(MOVIMIENTOS!$A$5:$A$1005&lt;=$A238)*MOVIMIENTOS!$E$5:$E$1005))</f>
        <v/>
      </c>
      <c r="F238" s="63" t="str">
        <f>IF($A238="","",SUMPRODUCT((MOVIMIENTOS!$B$5:$B$1005="SALDO INICIAL")*(MOVIMIENTOS!$C$5:$C$1005="Chancho")*(MOVIMIENTOS!$D$5:$D$1005="sacos")*(MOVIMIENTOS!$A$5:$A$1005&lt;&gt;"")*(MOVIMIENTOS!$A$5:$A$1005&lt;=$A238)*MOVIMIENTOS!$E$5:$E$1005)+SUMPRODUCT((MOVIMIENTOS!$B$5:$B$1005="PROCESO")*(MOVIMIENTOS!$C$5:$C$1005="Chancho")*(MOVIMIENTOS!$D$5:$D$1005="sacos")*(MOVIMIENTOS!$A$5:$A$1005&lt;&gt;"")*(MOVIMIENTOS!$A$5:$A$1005&lt;=$A238)*MOVIMIENTOS!$E$5:$E$1005)-SUMPRODUCT((MOVIMIENTOS!$B$5:$B$1005="VENTA CHANCHO")*(MOVIMIENTOS!$C$5:$C$1005="Chancho")*(MOVIMIENTOS!$D$5:$D$1005="sacos")*(MOVIMIENTOS!$A$5:$A$1005&lt;&gt;"")*(MOVIMIENTOS!$A$5:$A$1005&lt;=$A238)*MOVIMIENTOS!$E$5:$E$1005)-SUMPRODUCT((MOVIMIENTOS!$B$5:$B$1005="REGALO")*(MOVIMIENTOS!$C$5:$C$1005="Chancho")*(MOVIMIENTOS!$D$5:$D$1005="sacos")*(MOVIMIENTOS!$A$5:$A$1005&lt;&gt;"")*(MOVIMIENTOS!$A$5:$A$1005&lt;=$A238)*MOVIMIENTOS!$E$5:$E$1005)-SUMPRODUCT((MOVIMIENTOS!$B$5:$B$1005="VENTA")*(MOVIMIENTOS!$C$5:$C$1005="Chancho")*(MOVIMIENTOS!$D$5:$D$1005="sacos")*(MOVIMIENTOS!$A$5:$A$1005&lt;&gt;"")*(MOVIMIENTOS!$A$5:$A$1005&lt;=$A238)*MOVIMIENTOS!$E$5:$E$1005)+SUMPRODUCT((MOVIMIENTOS!$B$5:$B$1005="AJUSTE")*(MOVIMIENTOS!$C$5:$C$1005="Chancho")*(MOVIMIENTOS!$D$5:$D$1005="sacos")*(MOVIMIENTOS!$A$5:$A$1005&lt;&gt;"")*(MOVIMIENTOS!$A$5:$A$1005&lt;=$A238)*MOVIMIENTOS!$E$5:$E$1005))</f>
        <v/>
      </c>
      <c r="G238" s="95" t="str">
        <f t="shared" si="7"/>
        <v/>
      </c>
      <c r="H238" s="63" t="str">
        <f>IF($A238="","",SUMPRODUCT((((MOVIMIENTOS!$B$5:$B$1005="SALDO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238)*MOVIMIENTOS!$J$5:$J$1005))</f>
        <v/>
      </c>
      <c r="I238" s="63"/>
      <c r="J238" s="63" t="str">
        <f>IF(AND(MOVIMIENTOS!$A238&lt;&gt;"",COUNTIF(MOVIMIENTOS!$A$5:$A237,MOVIMIENTOS!$A238)=0),COUNT(J$4:J237)+1,"")</f>
        <v/>
      </c>
      <c r="K238" s="66">
        <f>MOVIMIENTOS!$A238</f>
        <v>46235</v>
      </c>
      <c r="L238" s="63"/>
      <c r="M238" s="63"/>
      <c r="N238" s="63"/>
    </row>
    <row r="239" spans="1:14" ht="15" customHeight="1" x14ac:dyDescent="0.2">
      <c r="A239" s="63" t="str">
        <f t="shared" si="6"/>
        <v/>
      </c>
      <c r="B239" s="63" t="str">
        <f>IF($A239="","",SUMPRODUCT((MOVIMIENTOS!$B$5:$B$1005="SALDO INICIAL")*(MOVIMIENTOS!$C$5:$C$1005="A")*(MOVIMIENTOS!$D$5:$D$1005="jabas")*(MOVIMIENTOS!$A$5:$A$1005&lt;&gt;"")*(MOVIMIENTOS!$A$5:$A$1005&lt;=$A239)*MOVIMIENTOS!$E$5:$E$1005)+SUMPRODUCT((MOVIMIENTOS!$B$5:$B$1005="PROCESO")*(MOVIMIENTOS!$C$5:$C$1005="A")*(MOVIMIENTOS!$D$5:$D$1005="jabas")*(MOVIMIENTOS!$A$5:$A$1005&lt;&gt;"")*(MOVIMIENTOS!$A$5:$A$1005&lt;=$A239)*MOVIMIENTOS!$E$5:$E$1005)-SUMPRODUCT((MOVIMIENTOS!$B$5:$B$1005="ENVÍO A SUPESA")*(MOVIMIENTOS!$C$5:$C$1005="A")*(MOVIMIENTOS!$D$5:$D$1005="jabas")*(MOVIMIENTOS!$A$5:$A$1005&lt;&gt;"")*(MOVIMIENTOS!$A$5:$A$1005&lt;=$A239)*MOVIMIENTOS!$E$5:$E$1005)+SUMPRODUCT((MOVIMIENTOS!$B$5:$B$1005="DEVOLUCIÓN")*(MOVIMIENTOS!$C$5:$C$1005="A")*(MOVIMIENTOS!$D$5:$D$1005="jabas")*(MOVIMIENTOS!$A$5:$A$1005&lt;&gt;"")*(MOVIMIENTOS!$A$5:$A$1005&lt;=$A239)*MOVIMIENTOS!$E$5:$E$1005)-SUMPRODUCT((MOVIMIENTOS!$B$5:$B$1005="TRASIEGO")*(MOVIMIENTOS!$C$5:$C$1005="A")*(MOVIMIENTOS!$D$5:$D$1005="jabas")*(MOVIMIENTOS!$A$5:$A$1005&lt;&gt;"")*(MOVIMIENTOS!$A$5:$A$1005&lt;=$A239)*MOVIMIENTOS!$E$5:$E$1005)-SUMPRODUCT((MOVIMIENTOS!$B$5:$B$1005="REGALO")*(MOVIMIENTOS!$C$5:$C$1005="A")*(MOVIMIENTOS!$D$5:$D$1005="jabas")*(MOVIMIENTOS!$A$5:$A$1005&lt;&gt;"")*(MOVIMIENTOS!$A$5:$A$1005&lt;=$A239)*MOVIMIENTOS!$E$5:$E$1005)-SUMPRODUCT((MOVIMIENTOS!$B$5:$B$1005="VENTA")*(MOVIMIENTOS!$C$5:$C$1005="A")*(MOVIMIENTOS!$D$5:$D$1005="jabas")*(MOVIMIENTOS!$A$5:$A$1005&lt;&gt;"")*(MOVIMIENTOS!$A$5:$A$1005&lt;=$A239)*MOVIMIENTOS!$E$5:$E$1005)+SUMPRODUCT((MOVIMIENTOS!$B$5:$B$1005="AJUSTE")*(MOVIMIENTOS!$C$5:$C$1005="A")*(MOVIMIENTOS!$D$5:$D$1005="jabas")*(MOVIMIENTOS!$A$5:$A$1005&lt;&gt;"")*(MOVIMIENTOS!$A$5:$A$1005&lt;=$A239)*MOVIMIENTOS!$E$5:$E$1005))</f>
        <v/>
      </c>
      <c r="C239" s="63" t="str">
        <f>IF($A239="","",SUMPRODUCT((MOVIMIENTOS!$B$5:$B$1005="SALDO INICIAL")*(MOVIMIENTOS!$C$5:$C$1005="P")*(MOVIMIENTOS!$D$5:$D$1005="jabas")*(MOVIMIENTOS!$A$5:$A$1005&lt;&gt;"")*(MOVIMIENTOS!$A$5:$A$1005&lt;=$A239)*MOVIMIENTOS!$E$5:$E$1005)+SUMPRODUCT((MOVIMIENTOS!$B$5:$B$1005="PROCESO")*(MOVIMIENTOS!$C$5:$C$1005="P")*(MOVIMIENTOS!$D$5:$D$1005="jabas")*(MOVIMIENTOS!$A$5:$A$1005&lt;&gt;"")*(MOVIMIENTOS!$A$5:$A$1005&lt;=$A239)*MOVIMIENTOS!$E$5:$E$1005)-SUMPRODUCT((MOVIMIENTOS!$B$5:$B$1005="ENVÍO A SUPESA")*(MOVIMIENTOS!$C$5:$C$1005="P")*(MOVIMIENTOS!$D$5:$D$1005="jabas")*(MOVIMIENTOS!$A$5:$A$1005&lt;&gt;"")*(MOVIMIENTOS!$A$5:$A$1005&lt;=$A239)*MOVIMIENTOS!$E$5:$E$1005)+SUMPRODUCT((MOVIMIENTOS!$B$5:$B$1005="DEVOLUCIÓN")*(MOVIMIENTOS!$C$5:$C$1005="P")*(MOVIMIENTOS!$D$5:$D$1005="jabas")*(MOVIMIENTOS!$A$5:$A$1005&lt;&gt;"")*(MOVIMIENTOS!$A$5:$A$1005&lt;=$A239)*MOVIMIENTOS!$E$5:$E$1005)-SUMPRODUCT((MOVIMIENTOS!$B$5:$B$1005="TRASIEGO")*(MOVIMIENTOS!$C$5:$C$1005="P")*(MOVIMIENTOS!$D$5:$D$1005="jabas")*(MOVIMIENTOS!$A$5:$A$1005&lt;&gt;"")*(MOVIMIENTOS!$A$5:$A$1005&lt;=$A239)*MOVIMIENTOS!$E$5:$E$1005)-SUMPRODUCT((MOVIMIENTOS!$B$5:$B$1005="REGALO")*(MOVIMIENTOS!$C$5:$C$1005="P")*(MOVIMIENTOS!$D$5:$D$1005="jabas")*(MOVIMIENTOS!$A$5:$A$1005&lt;&gt;"")*(MOVIMIENTOS!$A$5:$A$1005&lt;=$A239)*MOVIMIENTOS!$E$5:$E$1005)-SUMPRODUCT((MOVIMIENTOS!$B$5:$B$1005="VENTA")*(MOVIMIENTOS!$C$5:$C$1005="P")*(MOVIMIENTOS!$D$5:$D$1005="jabas")*(MOVIMIENTOS!$A$5:$A$1005&lt;&gt;"")*(MOVIMIENTOS!$A$5:$A$1005&lt;=$A239)*MOVIMIENTOS!$E$5:$E$1005)+SUMPRODUCT((MOVIMIENTOS!$B$5:$B$1005="AJUSTE")*(MOVIMIENTOS!$C$5:$C$1005="P")*(MOVIMIENTOS!$D$5:$D$1005="jabas")*(MOVIMIENTOS!$A$5:$A$1005&lt;&gt;"")*(MOVIMIENTOS!$A$5:$A$1005&lt;=$A239)*MOVIMIENTOS!$E$5:$E$1005))</f>
        <v/>
      </c>
      <c r="D239" s="63" t="str">
        <f>IF($A239="","",SUMPRODUCT((MOVIMIENTOS!$B$5:$B$1005="SALDO INICIAL")*(MOVIMIENTOS!$C$5:$C$1005="C")*(MOVIMIENTOS!$D$5:$D$1005="jabas")*(MOVIMIENTOS!$A$5:$A$1005&lt;&gt;"")*(MOVIMIENTOS!$A$5:$A$1005&lt;=$A239)*MOVIMIENTOS!$E$5:$E$1005)+SUMPRODUCT((MOVIMIENTOS!$B$5:$B$1005="PROCESO")*(MOVIMIENTOS!$C$5:$C$1005="C")*(MOVIMIENTOS!$D$5:$D$1005="jabas")*(MOVIMIENTOS!$A$5:$A$1005&lt;&gt;"")*(MOVIMIENTOS!$A$5:$A$1005&lt;=$A239)*MOVIMIENTOS!$E$5:$E$1005)-SUMPRODUCT((MOVIMIENTOS!$B$5:$B$1005="ENVÍO A SUPESA")*(MOVIMIENTOS!$C$5:$C$1005="C")*(MOVIMIENTOS!$D$5:$D$1005="jabas")*(MOVIMIENTOS!$A$5:$A$1005&lt;&gt;"")*(MOVIMIENTOS!$A$5:$A$1005&lt;=$A239)*MOVIMIENTOS!$E$5:$E$1005)+SUMPRODUCT((MOVIMIENTOS!$B$5:$B$1005="DEVOLUCIÓN")*(MOVIMIENTOS!$C$5:$C$1005="C")*(MOVIMIENTOS!$D$5:$D$1005="jabas")*(MOVIMIENTOS!$A$5:$A$1005&lt;&gt;"")*(MOVIMIENTOS!$A$5:$A$1005&lt;=$A239)*MOVIMIENTOS!$E$5:$E$1005)-SUMPRODUCT((MOVIMIENTOS!$B$5:$B$1005="TRASIEGO")*(MOVIMIENTOS!$C$5:$C$1005="C")*(MOVIMIENTOS!$D$5:$D$1005="jabas")*(MOVIMIENTOS!$A$5:$A$1005&lt;&gt;"")*(MOVIMIENTOS!$A$5:$A$1005&lt;=$A239)*MOVIMIENTOS!$E$5:$E$1005)-SUMPRODUCT((MOVIMIENTOS!$B$5:$B$1005="REGALO")*(MOVIMIENTOS!$C$5:$C$1005="C")*(MOVIMIENTOS!$D$5:$D$1005="jabas")*(MOVIMIENTOS!$A$5:$A$1005&lt;&gt;"")*(MOVIMIENTOS!$A$5:$A$1005&lt;=$A239)*MOVIMIENTOS!$E$5:$E$1005)-SUMPRODUCT((MOVIMIENTOS!$B$5:$B$1005="VENTA")*(MOVIMIENTOS!$C$5:$C$1005="C")*(MOVIMIENTOS!$D$5:$D$1005="jabas")*(MOVIMIENTOS!$A$5:$A$1005&lt;&gt;"")*(MOVIMIENTOS!$A$5:$A$1005&lt;=$A239)*MOVIMIENTOS!$E$5:$E$1005)+SUMPRODUCT((MOVIMIENTOS!$B$5:$B$1005="AJUSTE")*(MOVIMIENTOS!$C$5:$C$1005="C")*(MOVIMIENTOS!$D$5:$D$1005="jabas")*(MOVIMIENTOS!$A$5:$A$1005&lt;&gt;"")*(MOVIMIENTOS!$A$5:$A$1005&lt;=$A239)*MOVIMIENTOS!$E$5:$E$1005))</f>
        <v/>
      </c>
      <c r="E239" s="63" t="str">
        <f>IF($A239="","",SUMPRODUCT((MOVIMIENTOS!$B$5:$B$1005="SALDO INICIAL")*(MOVIMIENTOS!$C$5:$C$1005="M")*(MOVIMIENTOS!$D$5:$D$1005="jabas")*(MOVIMIENTOS!$A$5:$A$1005&lt;&gt;"")*(MOVIMIENTOS!$A$5:$A$1005&lt;=$A239)*MOVIMIENTOS!$E$5:$E$1005)+SUMPRODUCT((MOVIMIENTOS!$B$5:$B$1005="PROCESO")*(MOVIMIENTOS!$C$5:$C$1005="M")*(MOVIMIENTOS!$D$5:$D$1005="jabas")*(MOVIMIENTOS!$A$5:$A$1005&lt;&gt;"")*(MOVIMIENTOS!$A$5:$A$1005&lt;=$A239)*MOVIMIENTOS!$E$5:$E$1005)-SUMPRODUCT((MOVIMIENTOS!$B$5:$B$1005="ENVÍO A SUPESA")*(MOVIMIENTOS!$C$5:$C$1005="M")*(MOVIMIENTOS!$D$5:$D$1005="jabas")*(MOVIMIENTOS!$A$5:$A$1005&lt;&gt;"")*(MOVIMIENTOS!$A$5:$A$1005&lt;=$A239)*MOVIMIENTOS!$E$5:$E$1005)+SUMPRODUCT((MOVIMIENTOS!$B$5:$B$1005="DEVOLUCIÓN")*(MOVIMIENTOS!$C$5:$C$1005="M")*(MOVIMIENTOS!$D$5:$D$1005="jabas")*(MOVIMIENTOS!$A$5:$A$1005&lt;&gt;"")*(MOVIMIENTOS!$A$5:$A$1005&lt;=$A239)*MOVIMIENTOS!$E$5:$E$1005)-SUMPRODUCT((MOVIMIENTOS!$B$5:$B$1005="TRASIEGO")*(MOVIMIENTOS!$C$5:$C$1005="M")*(MOVIMIENTOS!$D$5:$D$1005="jabas")*(MOVIMIENTOS!$A$5:$A$1005&lt;&gt;"")*(MOVIMIENTOS!$A$5:$A$1005&lt;=$A239)*MOVIMIENTOS!$E$5:$E$1005)-SUMPRODUCT((MOVIMIENTOS!$B$5:$B$1005="REGALO")*(MOVIMIENTOS!$C$5:$C$1005="M")*(MOVIMIENTOS!$D$5:$D$1005="jabas")*(MOVIMIENTOS!$A$5:$A$1005&lt;&gt;"")*(MOVIMIENTOS!$A$5:$A$1005&lt;=$A239)*MOVIMIENTOS!$E$5:$E$1005)-SUMPRODUCT((MOVIMIENTOS!$B$5:$B$1005="VENTA")*(MOVIMIENTOS!$C$5:$C$1005="M")*(MOVIMIENTOS!$D$5:$D$1005="jabas")*(MOVIMIENTOS!$A$5:$A$1005&lt;&gt;"")*(MOVIMIENTOS!$A$5:$A$1005&lt;=$A239)*MOVIMIENTOS!$E$5:$E$1005)+SUMPRODUCT((MOVIMIENTOS!$B$5:$B$1005="AJUSTE")*(MOVIMIENTOS!$C$5:$C$1005="M")*(MOVIMIENTOS!$D$5:$D$1005="jabas")*(MOVIMIENTOS!$A$5:$A$1005&lt;&gt;"")*(MOVIMIENTOS!$A$5:$A$1005&lt;=$A239)*MOVIMIENTOS!$E$5:$E$1005))</f>
        <v/>
      </c>
      <c r="F239" s="63" t="str">
        <f>IF($A239="","",SUMPRODUCT((MOVIMIENTOS!$B$5:$B$1005="SALDO INICIAL")*(MOVIMIENTOS!$C$5:$C$1005="Chancho")*(MOVIMIENTOS!$D$5:$D$1005="sacos")*(MOVIMIENTOS!$A$5:$A$1005&lt;&gt;"")*(MOVIMIENTOS!$A$5:$A$1005&lt;=$A239)*MOVIMIENTOS!$E$5:$E$1005)+SUMPRODUCT((MOVIMIENTOS!$B$5:$B$1005="PROCESO")*(MOVIMIENTOS!$C$5:$C$1005="Chancho")*(MOVIMIENTOS!$D$5:$D$1005="sacos")*(MOVIMIENTOS!$A$5:$A$1005&lt;&gt;"")*(MOVIMIENTOS!$A$5:$A$1005&lt;=$A239)*MOVIMIENTOS!$E$5:$E$1005)-SUMPRODUCT((MOVIMIENTOS!$B$5:$B$1005="VENTA CHANCHO")*(MOVIMIENTOS!$C$5:$C$1005="Chancho")*(MOVIMIENTOS!$D$5:$D$1005="sacos")*(MOVIMIENTOS!$A$5:$A$1005&lt;&gt;"")*(MOVIMIENTOS!$A$5:$A$1005&lt;=$A239)*MOVIMIENTOS!$E$5:$E$1005)-SUMPRODUCT((MOVIMIENTOS!$B$5:$B$1005="REGALO")*(MOVIMIENTOS!$C$5:$C$1005="Chancho")*(MOVIMIENTOS!$D$5:$D$1005="sacos")*(MOVIMIENTOS!$A$5:$A$1005&lt;&gt;"")*(MOVIMIENTOS!$A$5:$A$1005&lt;=$A239)*MOVIMIENTOS!$E$5:$E$1005)-SUMPRODUCT((MOVIMIENTOS!$B$5:$B$1005="VENTA")*(MOVIMIENTOS!$C$5:$C$1005="Chancho")*(MOVIMIENTOS!$D$5:$D$1005="sacos")*(MOVIMIENTOS!$A$5:$A$1005&lt;&gt;"")*(MOVIMIENTOS!$A$5:$A$1005&lt;=$A239)*MOVIMIENTOS!$E$5:$E$1005)+SUMPRODUCT((MOVIMIENTOS!$B$5:$B$1005="AJUSTE")*(MOVIMIENTOS!$C$5:$C$1005="Chancho")*(MOVIMIENTOS!$D$5:$D$1005="sacos")*(MOVIMIENTOS!$A$5:$A$1005&lt;&gt;"")*(MOVIMIENTOS!$A$5:$A$1005&lt;=$A239)*MOVIMIENTOS!$E$5:$E$1005))</f>
        <v/>
      </c>
      <c r="G239" s="95" t="str">
        <f t="shared" si="7"/>
        <v/>
      </c>
      <c r="H239" s="63" t="str">
        <f>IF($A239="","",SUMPRODUCT((((MOVIMIENTOS!$B$5:$B$1005="SALDO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239)*MOVIMIENTOS!$J$5:$J$1005))</f>
        <v/>
      </c>
      <c r="I239" s="63"/>
      <c r="J239" s="63" t="str">
        <f>IF(AND(MOVIMIENTOS!$A239&lt;&gt;"",COUNTIF(MOVIMIENTOS!$A$5:$A238,MOVIMIENTOS!$A239)=0),COUNT(J$4:J238)+1,"")</f>
        <v/>
      </c>
      <c r="K239" s="66">
        <f>MOVIMIENTOS!$A239</f>
        <v>46235</v>
      </c>
      <c r="L239" s="63"/>
      <c r="M239" s="63"/>
      <c r="N239" s="63"/>
    </row>
    <row r="240" spans="1:14" ht="15" customHeight="1" x14ac:dyDescent="0.2">
      <c r="A240" s="63" t="str">
        <f t="shared" si="6"/>
        <v/>
      </c>
      <c r="B240" s="63" t="str">
        <f>IF($A240="","",SUMPRODUCT((MOVIMIENTOS!$B$5:$B$1005="SALDO INICIAL")*(MOVIMIENTOS!$C$5:$C$1005="A")*(MOVIMIENTOS!$D$5:$D$1005="jabas")*(MOVIMIENTOS!$A$5:$A$1005&lt;&gt;"")*(MOVIMIENTOS!$A$5:$A$1005&lt;=$A240)*MOVIMIENTOS!$E$5:$E$1005)+SUMPRODUCT((MOVIMIENTOS!$B$5:$B$1005="PROCESO")*(MOVIMIENTOS!$C$5:$C$1005="A")*(MOVIMIENTOS!$D$5:$D$1005="jabas")*(MOVIMIENTOS!$A$5:$A$1005&lt;&gt;"")*(MOVIMIENTOS!$A$5:$A$1005&lt;=$A240)*MOVIMIENTOS!$E$5:$E$1005)-SUMPRODUCT((MOVIMIENTOS!$B$5:$B$1005="ENVÍO A SUPESA")*(MOVIMIENTOS!$C$5:$C$1005="A")*(MOVIMIENTOS!$D$5:$D$1005="jabas")*(MOVIMIENTOS!$A$5:$A$1005&lt;&gt;"")*(MOVIMIENTOS!$A$5:$A$1005&lt;=$A240)*MOVIMIENTOS!$E$5:$E$1005)+SUMPRODUCT((MOVIMIENTOS!$B$5:$B$1005="DEVOLUCIÓN")*(MOVIMIENTOS!$C$5:$C$1005="A")*(MOVIMIENTOS!$D$5:$D$1005="jabas")*(MOVIMIENTOS!$A$5:$A$1005&lt;&gt;"")*(MOVIMIENTOS!$A$5:$A$1005&lt;=$A240)*MOVIMIENTOS!$E$5:$E$1005)-SUMPRODUCT((MOVIMIENTOS!$B$5:$B$1005="TRASIEGO")*(MOVIMIENTOS!$C$5:$C$1005="A")*(MOVIMIENTOS!$D$5:$D$1005="jabas")*(MOVIMIENTOS!$A$5:$A$1005&lt;&gt;"")*(MOVIMIENTOS!$A$5:$A$1005&lt;=$A240)*MOVIMIENTOS!$E$5:$E$1005)-SUMPRODUCT((MOVIMIENTOS!$B$5:$B$1005="REGALO")*(MOVIMIENTOS!$C$5:$C$1005="A")*(MOVIMIENTOS!$D$5:$D$1005="jabas")*(MOVIMIENTOS!$A$5:$A$1005&lt;&gt;"")*(MOVIMIENTOS!$A$5:$A$1005&lt;=$A240)*MOVIMIENTOS!$E$5:$E$1005)-SUMPRODUCT((MOVIMIENTOS!$B$5:$B$1005="VENTA")*(MOVIMIENTOS!$C$5:$C$1005="A")*(MOVIMIENTOS!$D$5:$D$1005="jabas")*(MOVIMIENTOS!$A$5:$A$1005&lt;&gt;"")*(MOVIMIENTOS!$A$5:$A$1005&lt;=$A240)*MOVIMIENTOS!$E$5:$E$1005)+SUMPRODUCT((MOVIMIENTOS!$B$5:$B$1005="AJUSTE")*(MOVIMIENTOS!$C$5:$C$1005="A")*(MOVIMIENTOS!$D$5:$D$1005="jabas")*(MOVIMIENTOS!$A$5:$A$1005&lt;&gt;"")*(MOVIMIENTOS!$A$5:$A$1005&lt;=$A240)*MOVIMIENTOS!$E$5:$E$1005))</f>
        <v/>
      </c>
      <c r="C240" s="63" t="str">
        <f>IF($A240="","",SUMPRODUCT((MOVIMIENTOS!$B$5:$B$1005="SALDO INICIAL")*(MOVIMIENTOS!$C$5:$C$1005="P")*(MOVIMIENTOS!$D$5:$D$1005="jabas")*(MOVIMIENTOS!$A$5:$A$1005&lt;&gt;"")*(MOVIMIENTOS!$A$5:$A$1005&lt;=$A240)*MOVIMIENTOS!$E$5:$E$1005)+SUMPRODUCT((MOVIMIENTOS!$B$5:$B$1005="PROCESO")*(MOVIMIENTOS!$C$5:$C$1005="P")*(MOVIMIENTOS!$D$5:$D$1005="jabas")*(MOVIMIENTOS!$A$5:$A$1005&lt;&gt;"")*(MOVIMIENTOS!$A$5:$A$1005&lt;=$A240)*MOVIMIENTOS!$E$5:$E$1005)-SUMPRODUCT((MOVIMIENTOS!$B$5:$B$1005="ENVÍO A SUPESA")*(MOVIMIENTOS!$C$5:$C$1005="P")*(MOVIMIENTOS!$D$5:$D$1005="jabas")*(MOVIMIENTOS!$A$5:$A$1005&lt;&gt;"")*(MOVIMIENTOS!$A$5:$A$1005&lt;=$A240)*MOVIMIENTOS!$E$5:$E$1005)+SUMPRODUCT((MOVIMIENTOS!$B$5:$B$1005="DEVOLUCIÓN")*(MOVIMIENTOS!$C$5:$C$1005="P")*(MOVIMIENTOS!$D$5:$D$1005="jabas")*(MOVIMIENTOS!$A$5:$A$1005&lt;&gt;"")*(MOVIMIENTOS!$A$5:$A$1005&lt;=$A240)*MOVIMIENTOS!$E$5:$E$1005)-SUMPRODUCT((MOVIMIENTOS!$B$5:$B$1005="TRASIEGO")*(MOVIMIENTOS!$C$5:$C$1005="P")*(MOVIMIENTOS!$D$5:$D$1005="jabas")*(MOVIMIENTOS!$A$5:$A$1005&lt;&gt;"")*(MOVIMIENTOS!$A$5:$A$1005&lt;=$A240)*MOVIMIENTOS!$E$5:$E$1005)-SUMPRODUCT((MOVIMIENTOS!$B$5:$B$1005="REGALO")*(MOVIMIENTOS!$C$5:$C$1005="P")*(MOVIMIENTOS!$D$5:$D$1005="jabas")*(MOVIMIENTOS!$A$5:$A$1005&lt;&gt;"")*(MOVIMIENTOS!$A$5:$A$1005&lt;=$A240)*MOVIMIENTOS!$E$5:$E$1005)-SUMPRODUCT((MOVIMIENTOS!$B$5:$B$1005="VENTA")*(MOVIMIENTOS!$C$5:$C$1005="P")*(MOVIMIENTOS!$D$5:$D$1005="jabas")*(MOVIMIENTOS!$A$5:$A$1005&lt;&gt;"")*(MOVIMIENTOS!$A$5:$A$1005&lt;=$A240)*MOVIMIENTOS!$E$5:$E$1005)+SUMPRODUCT((MOVIMIENTOS!$B$5:$B$1005="AJUSTE")*(MOVIMIENTOS!$C$5:$C$1005="P")*(MOVIMIENTOS!$D$5:$D$1005="jabas")*(MOVIMIENTOS!$A$5:$A$1005&lt;&gt;"")*(MOVIMIENTOS!$A$5:$A$1005&lt;=$A240)*MOVIMIENTOS!$E$5:$E$1005))</f>
        <v/>
      </c>
      <c r="D240" s="63" t="str">
        <f>IF($A240="","",SUMPRODUCT((MOVIMIENTOS!$B$5:$B$1005="SALDO INICIAL")*(MOVIMIENTOS!$C$5:$C$1005="C")*(MOVIMIENTOS!$D$5:$D$1005="jabas")*(MOVIMIENTOS!$A$5:$A$1005&lt;&gt;"")*(MOVIMIENTOS!$A$5:$A$1005&lt;=$A240)*MOVIMIENTOS!$E$5:$E$1005)+SUMPRODUCT((MOVIMIENTOS!$B$5:$B$1005="PROCESO")*(MOVIMIENTOS!$C$5:$C$1005="C")*(MOVIMIENTOS!$D$5:$D$1005="jabas")*(MOVIMIENTOS!$A$5:$A$1005&lt;&gt;"")*(MOVIMIENTOS!$A$5:$A$1005&lt;=$A240)*MOVIMIENTOS!$E$5:$E$1005)-SUMPRODUCT((MOVIMIENTOS!$B$5:$B$1005="ENVÍO A SUPESA")*(MOVIMIENTOS!$C$5:$C$1005="C")*(MOVIMIENTOS!$D$5:$D$1005="jabas")*(MOVIMIENTOS!$A$5:$A$1005&lt;&gt;"")*(MOVIMIENTOS!$A$5:$A$1005&lt;=$A240)*MOVIMIENTOS!$E$5:$E$1005)+SUMPRODUCT((MOVIMIENTOS!$B$5:$B$1005="DEVOLUCIÓN")*(MOVIMIENTOS!$C$5:$C$1005="C")*(MOVIMIENTOS!$D$5:$D$1005="jabas")*(MOVIMIENTOS!$A$5:$A$1005&lt;&gt;"")*(MOVIMIENTOS!$A$5:$A$1005&lt;=$A240)*MOVIMIENTOS!$E$5:$E$1005)-SUMPRODUCT((MOVIMIENTOS!$B$5:$B$1005="TRASIEGO")*(MOVIMIENTOS!$C$5:$C$1005="C")*(MOVIMIENTOS!$D$5:$D$1005="jabas")*(MOVIMIENTOS!$A$5:$A$1005&lt;&gt;"")*(MOVIMIENTOS!$A$5:$A$1005&lt;=$A240)*MOVIMIENTOS!$E$5:$E$1005)-SUMPRODUCT((MOVIMIENTOS!$B$5:$B$1005="REGALO")*(MOVIMIENTOS!$C$5:$C$1005="C")*(MOVIMIENTOS!$D$5:$D$1005="jabas")*(MOVIMIENTOS!$A$5:$A$1005&lt;&gt;"")*(MOVIMIENTOS!$A$5:$A$1005&lt;=$A240)*MOVIMIENTOS!$E$5:$E$1005)-SUMPRODUCT((MOVIMIENTOS!$B$5:$B$1005="VENTA")*(MOVIMIENTOS!$C$5:$C$1005="C")*(MOVIMIENTOS!$D$5:$D$1005="jabas")*(MOVIMIENTOS!$A$5:$A$1005&lt;&gt;"")*(MOVIMIENTOS!$A$5:$A$1005&lt;=$A240)*MOVIMIENTOS!$E$5:$E$1005)+SUMPRODUCT((MOVIMIENTOS!$B$5:$B$1005="AJUSTE")*(MOVIMIENTOS!$C$5:$C$1005="C")*(MOVIMIENTOS!$D$5:$D$1005="jabas")*(MOVIMIENTOS!$A$5:$A$1005&lt;&gt;"")*(MOVIMIENTOS!$A$5:$A$1005&lt;=$A240)*MOVIMIENTOS!$E$5:$E$1005))</f>
        <v/>
      </c>
      <c r="E240" s="63" t="str">
        <f>IF($A240="","",SUMPRODUCT((MOVIMIENTOS!$B$5:$B$1005="SALDO INICIAL")*(MOVIMIENTOS!$C$5:$C$1005="M")*(MOVIMIENTOS!$D$5:$D$1005="jabas")*(MOVIMIENTOS!$A$5:$A$1005&lt;&gt;"")*(MOVIMIENTOS!$A$5:$A$1005&lt;=$A240)*MOVIMIENTOS!$E$5:$E$1005)+SUMPRODUCT((MOVIMIENTOS!$B$5:$B$1005="PROCESO")*(MOVIMIENTOS!$C$5:$C$1005="M")*(MOVIMIENTOS!$D$5:$D$1005="jabas")*(MOVIMIENTOS!$A$5:$A$1005&lt;&gt;"")*(MOVIMIENTOS!$A$5:$A$1005&lt;=$A240)*MOVIMIENTOS!$E$5:$E$1005)-SUMPRODUCT((MOVIMIENTOS!$B$5:$B$1005="ENVÍO A SUPESA")*(MOVIMIENTOS!$C$5:$C$1005="M")*(MOVIMIENTOS!$D$5:$D$1005="jabas")*(MOVIMIENTOS!$A$5:$A$1005&lt;&gt;"")*(MOVIMIENTOS!$A$5:$A$1005&lt;=$A240)*MOVIMIENTOS!$E$5:$E$1005)+SUMPRODUCT((MOVIMIENTOS!$B$5:$B$1005="DEVOLUCIÓN")*(MOVIMIENTOS!$C$5:$C$1005="M")*(MOVIMIENTOS!$D$5:$D$1005="jabas")*(MOVIMIENTOS!$A$5:$A$1005&lt;&gt;"")*(MOVIMIENTOS!$A$5:$A$1005&lt;=$A240)*MOVIMIENTOS!$E$5:$E$1005)-SUMPRODUCT((MOVIMIENTOS!$B$5:$B$1005="TRASIEGO")*(MOVIMIENTOS!$C$5:$C$1005="M")*(MOVIMIENTOS!$D$5:$D$1005="jabas")*(MOVIMIENTOS!$A$5:$A$1005&lt;&gt;"")*(MOVIMIENTOS!$A$5:$A$1005&lt;=$A240)*MOVIMIENTOS!$E$5:$E$1005)-SUMPRODUCT((MOVIMIENTOS!$B$5:$B$1005="REGALO")*(MOVIMIENTOS!$C$5:$C$1005="M")*(MOVIMIENTOS!$D$5:$D$1005="jabas")*(MOVIMIENTOS!$A$5:$A$1005&lt;&gt;"")*(MOVIMIENTOS!$A$5:$A$1005&lt;=$A240)*MOVIMIENTOS!$E$5:$E$1005)-SUMPRODUCT((MOVIMIENTOS!$B$5:$B$1005="VENTA")*(MOVIMIENTOS!$C$5:$C$1005="M")*(MOVIMIENTOS!$D$5:$D$1005="jabas")*(MOVIMIENTOS!$A$5:$A$1005&lt;&gt;"")*(MOVIMIENTOS!$A$5:$A$1005&lt;=$A240)*MOVIMIENTOS!$E$5:$E$1005)+SUMPRODUCT((MOVIMIENTOS!$B$5:$B$1005="AJUSTE")*(MOVIMIENTOS!$C$5:$C$1005="M")*(MOVIMIENTOS!$D$5:$D$1005="jabas")*(MOVIMIENTOS!$A$5:$A$1005&lt;&gt;"")*(MOVIMIENTOS!$A$5:$A$1005&lt;=$A240)*MOVIMIENTOS!$E$5:$E$1005))</f>
        <v/>
      </c>
      <c r="F240" s="63" t="str">
        <f>IF($A240="","",SUMPRODUCT((MOVIMIENTOS!$B$5:$B$1005="SALDO INICIAL")*(MOVIMIENTOS!$C$5:$C$1005="Chancho")*(MOVIMIENTOS!$D$5:$D$1005="sacos")*(MOVIMIENTOS!$A$5:$A$1005&lt;&gt;"")*(MOVIMIENTOS!$A$5:$A$1005&lt;=$A240)*MOVIMIENTOS!$E$5:$E$1005)+SUMPRODUCT((MOVIMIENTOS!$B$5:$B$1005="PROCESO")*(MOVIMIENTOS!$C$5:$C$1005="Chancho")*(MOVIMIENTOS!$D$5:$D$1005="sacos")*(MOVIMIENTOS!$A$5:$A$1005&lt;&gt;"")*(MOVIMIENTOS!$A$5:$A$1005&lt;=$A240)*MOVIMIENTOS!$E$5:$E$1005)-SUMPRODUCT((MOVIMIENTOS!$B$5:$B$1005="VENTA CHANCHO")*(MOVIMIENTOS!$C$5:$C$1005="Chancho")*(MOVIMIENTOS!$D$5:$D$1005="sacos")*(MOVIMIENTOS!$A$5:$A$1005&lt;&gt;"")*(MOVIMIENTOS!$A$5:$A$1005&lt;=$A240)*MOVIMIENTOS!$E$5:$E$1005)-SUMPRODUCT((MOVIMIENTOS!$B$5:$B$1005="REGALO")*(MOVIMIENTOS!$C$5:$C$1005="Chancho")*(MOVIMIENTOS!$D$5:$D$1005="sacos")*(MOVIMIENTOS!$A$5:$A$1005&lt;&gt;"")*(MOVIMIENTOS!$A$5:$A$1005&lt;=$A240)*MOVIMIENTOS!$E$5:$E$1005)-SUMPRODUCT((MOVIMIENTOS!$B$5:$B$1005="VENTA")*(MOVIMIENTOS!$C$5:$C$1005="Chancho")*(MOVIMIENTOS!$D$5:$D$1005="sacos")*(MOVIMIENTOS!$A$5:$A$1005&lt;&gt;"")*(MOVIMIENTOS!$A$5:$A$1005&lt;=$A240)*MOVIMIENTOS!$E$5:$E$1005)+SUMPRODUCT((MOVIMIENTOS!$B$5:$B$1005="AJUSTE")*(MOVIMIENTOS!$C$5:$C$1005="Chancho")*(MOVIMIENTOS!$D$5:$D$1005="sacos")*(MOVIMIENTOS!$A$5:$A$1005&lt;&gt;"")*(MOVIMIENTOS!$A$5:$A$1005&lt;=$A240)*MOVIMIENTOS!$E$5:$E$1005))</f>
        <v/>
      </c>
      <c r="G240" s="95" t="str">
        <f t="shared" si="7"/>
        <v/>
      </c>
      <c r="H240" s="63" t="str">
        <f>IF($A240="","",SUMPRODUCT((((MOVIMIENTOS!$B$5:$B$1005="SALDO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240)*MOVIMIENTOS!$J$5:$J$1005))</f>
        <v/>
      </c>
      <c r="I240" s="63"/>
      <c r="J240" s="63" t="str">
        <f>IF(AND(MOVIMIENTOS!$A240&lt;&gt;"",COUNTIF(MOVIMIENTOS!$A$5:$A239,MOVIMIENTOS!$A240)=0),COUNT(J$4:J239)+1,"")</f>
        <v/>
      </c>
      <c r="K240" s="66">
        <f>MOVIMIENTOS!$A240</f>
        <v>46235</v>
      </c>
      <c r="L240" s="63"/>
      <c r="M240" s="63"/>
      <c r="N240" s="63"/>
    </row>
    <row r="241" spans="1:14" ht="15" customHeight="1" x14ac:dyDescent="0.2">
      <c r="A241" s="63" t="str">
        <f t="shared" si="6"/>
        <v/>
      </c>
      <c r="B241" s="63" t="str">
        <f>IF($A241="","",SUMPRODUCT((MOVIMIENTOS!$B$5:$B$1005="SALDO INICIAL")*(MOVIMIENTOS!$C$5:$C$1005="A")*(MOVIMIENTOS!$D$5:$D$1005="jabas")*(MOVIMIENTOS!$A$5:$A$1005&lt;&gt;"")*(MOVIMIENTOS!$A$5:$A$1005&lt;=$A241)*MOVIMIENTOS!$E$5:$E$1005)+SUMPRODUCT((MOVIMIENTOS!$B$5:$B$1005="PROCESO")*(MOVIMIENTOS!$C$5:$C$1005="A")*(MOVIMIENTOS!$D$5:$D$1005="jabas")*(MOVIMIENTOS!$A$5:$A$1005&lt;&gt;"")*(MOVIMIENTOS!$A$5:$A$1005&lt;=$A241)*MOVIMIENTOS!$E$5:$E$1005)-SUMPRODUCT((MOVIMIENTOS!$B$5:$B$1005="ENVÍO A SUPESA")*(MOVIMIENTOS!$C$5:$C$1005="A")*(MOVIMIENTOS!$D$5:$D$1005="jabas")*(MOVIMIENTOS!$A$5:$A$1005&lt;&gt;"")*(MOVIMIENTOS!$A$5:$A$1005&lt;=$A241)*MOVIMIENTOS!$E$5:$E$1005)+SUMPRODUCT((MOVIMIENTOS!$B$5:$B$1005="DEVOLUCIÓN")*(MOVIMIENTOS!$C$5:$C$1005="A")*(MOVIMIENTOS!$D$5:$D$1005="jabas")*(MOVIMIENTOS!$A$5:$A$1005&lt;&gt;"")*(MOVIMIENTOS!$A$5:$A$1005&lt;=$A241)*MOVIMIENTOS!$E$5:$E$1005)-SUMPRODUCT((MOVIMIENTOS!$B$5:$B$1005="TRASIEGO")*(MOVIMIENTOS!$C$5:$C$1005="A")*(MOVIMIENTOS!$D$5:$D$1005="jabas")*(MOVIMIENTOS!$A$5:$A$1005&lt;&gt;"")*(MOVIMIENTOS!$A$5:$A$1005&lt;=$A241)*MOVIMIENTOS!$E$5:$E$1005)-SUMPRODUCT((MOVIMIENTOS!$B$5:$B$1005="REGALO")*(MOVIMIENTOS!$C$5:$C$1005="A")*(MOVIMIENTOS!$D$5:$D$1005="jabas")*(MOVIMIENTOS!$A$5:$A$1005&lt;&gt;"")*(MOVIMIENTOS!$A$5:$A$1005&lt;=$A241)*MOVIMIENTOS!$E$5:$E$1005)-SUMPRODUCT((MOVIMIENTOS!$B$5:$B$1005="VENTA")*(MOVIMIENTOS!$C$5:$C$1005="A")*(MOVIMIENTOS!$D$5:$D$1005="jabas")*(MOVIMIENTOS!$A$5:$A$1005&lt;&gt;"")*(MOVIMIENTOS!$A$5:$A$1005&lt;=$A241)*MOVIMIENTOS!$E$5:$E$1005)+SUMPRODUCT((MOVIMIENTOS!$B$5:$B$1005="AJUSTE")*(MOVIMIENTOS!$C$5:$C$1005="A")*(MOVIMIENTOS!$D$5:$D$1005="jabas")*(MOVIMIENTOS!$A$5:$A$1005&lt;&gt;"")*(MOVIMIENTOS!$A$5:$A$1005&lt;=$A241)*MOVIMIENTOS!$E$5:$E$1005))</f>
        <v/>
      </c>
      <c r="C241" s="63" t="str">
        <f>IF($A241="","",SUMPRODUCT((MOVIMIENTOS!$B$5:$B$1005="SALDO INICIAL")*(MOVIMIENTOS!$C$5:$C$1005="P")*(MOVIMIENTOS!$D$5:$D$1005="jabas")*(MOVIMIENTOS!$A$5:$A$1005&lt;&gt;"")*(MOVIMIENTOS!$A$5:$A$1005&lt;=$A241)*MOVIMIENTOS!$E$5:$E$1005)+SUMPRODUCT((MOVIMIENTOS!$B$5:$B$1005="PROCESO")*(MOVIMIENTOS!$C$5:$C$1005="P")*(MOVIMIENTOS!$D$5:$D$1005="jabas")*(MOVIMIENTOS!$A$5:$A$1005&lt;&gt;"")*(MOVIMIENTOS!$A$5:$A$1005&lt;=$A241)*MOVIMIENTOS!$E$5:$E$1005)-SUMPRODUCT((MOVIMIENTOS!$B$5:$B$1005="ENVÍO A SUPESA")*(MOVIMIENTOS!$C$5:$C$1005="P")*(MOVIMIENTOS!$D$5:$D$1005="jabas")*(MOVIMIENTOS!$A$5:$A$1005&lt;&gt;"")*(MOVIMIENTOS!$A$5:$A$1005&lt;=$A241)*MOVIMIENTOS!$E$5:$E$1005)+SUMPRODUCT((MOVIMIENTOS!$B$5:$B$1005="DEVOLUCIÓN")*(MOVIMIENTOS!$C$5:$C$1005="P")*(MOVIMIENTOS!$D$5:$D$1005="jabas")*(MOVIMIENTOS!$A$5:$A$1005&lt;&gt;"")*(MOVIMIENTOS!$A$5:$A$1005&lt;=$A241)*MOVIMIENTOS!$E$5:$E$1005)-SUMPRODUCT((MOVIMIENTOS!$B$5:$B$1005="TRASIEGO")*(MOVIMIENTOS!$C$5:$C$1005="P")*(MOVIMIENTOS!$D$5:$D$1005="jabas")*(MOVIMIENTOS!$A$5:$A$1005&lt;&gt;"")*(MOVIMIENTOS!$A$5:$A$1005&lt;=$A241)*MOVIMIENTOS!$E$5:$E$1005)-SUMPRODUCT((MOVIMIENTOS!$B$5:$B$1005="REGALO")*(MOVIMIENTOS!$C$5:$C$1005="P")*(MOVIMIENTOS!$D$5:$D$1005="jabas")*(MOVIMIENTOS!$A$5:$A$1005&lt;&gt;"")*(MOVIMIENTOS!$A$5:$A$1005&lt;=$A241)*MOVIMIENTOS!$E$5:$E$1005)-SUMPRODUCT((MOVIMIENTOS!$B$5:$B$1005="VENTA")*(MOVIMIENTOS!$C$5:$C$1005="P")*(MOVIMIENTOS!$D$5:$D$1005="jabas")*(MOVIMIENTOS!$A$5:$A$1005&lt;&gt;"")*(MOVIMIENTOS!$A$5:$A$1005&lt;=$A241)*MOVIMIENTOS!$E$5:$E$1005)+SUMPRODUCT((MOVIMIENTOS!$B$5:$B$1005="AJUSTE")*(MOVIMIENTOS!$C$5:$C$1005="P")*(MOVIMIENTOS!$D$5:$D$1005="jabas")*(MOVIMIENTOS!$A$5:$A$1005&lt;&gt;"")*(MOVIMIENTOS!$A$5:$A$1005&lt;=$A241)*MOVIMIENTOS!$E$5:$E$1005))</f>
        <v/>
      </c>
      <c r="D241" s="63" t="str">
        <f>IF($A241="","",SUMPRODUCT((MOVIMIENTOS!$B$5:$B$1005="SALDO INICIAL")*(MOVIMIENTOS!$C$5:$C$1005="C")*(MOVIMIENTOS!$D$5:$D$1005="jabas")*(MOVIMIENTOS!$A$5:$A$1005&lt;&gt;"")*(MOVIMIENTOS!$A$5:$A$1005&lt;=$A241)*MOVIMIENTOS!$E$5:$E$1005)+SUMPRODUCT((MOVIMIENTOS!$B$5:$B$1005="PROCESO")*(MOVIMIENTOS!$C$5:$C$1005="C")*(MOVIMIENTOS!$D$5:$D$1005="jabas")*(MOVIMIENTOS!$A$5:$A$1005&lt;&gt;"")*(MOVIMIENTOS!$A$5:$A$1005&lt;=$A241)*MOVIMIENTOS!$E$5:$E$1005)-SUMPRODUCT((MOVIMIENTOS!$B$5:$B$1005="ENVÍO A SUPESA")*(MOVIMIENTOS!$C$5:$C$1005="C")*(MOVIMIENTOS!$D$5:$D$1005="jabas")*(MOVIMIENTOS!$A$5:$A$1005&lt;&gt;"")*(MOVIMIENTOS!$A$5:$A$1005&lt;=$A241)*MOVIMIENTOS!$E$5:$E$1005)+SUMPRODUCT((MOVIMIENTOS!$B$5:$B$1005="DEVOLUCIÓN")*(MOVIMIENTOS!$C$5:$C$1005="C")*(MOVIMIENTOS!$D$5:$D$1005="jabas")*(MOVIMIENTOS!$A$5:$A$1005&lt;&gt;"")*(MOVIMIENTOS!$A$5:$A$1005&lt;=$A241)*MOVIMIENTOS!$E$5:$E$1005)-SUMPRODUCT((MOVIMIENTOS!$B$5:$B$1005="TRASIEGO")*(MOVIMIENTOS!$C$5:$C$1005="C")*(MOVIMIENTOS!$D$5:$D$1005="jabas")*(MOVIMIENTOS!$A$5:$A$1005&lt;&gt;"")*(MOVIMIENTOS!$A$5:$A$1005&lt;=$A241)*MOVIMIENTOS!$E$5:$E$1005)-SUMPRODUCT((MOVIMIENTOS!$B$5:$B$1005="REGALO")*(MOVIMIENTOS!$C$5:$C$1005="C")*(MOVIMIENTOS!$D$5:$D$1005="jabas")*(MOVIMIENTOS!$A$5:$A$1005&lt;&gt;"")*(MOVIMIENTOS!$A$5:$A$1005&lt;=$A241)*MOVIMIENTOS!$E$5:$E$1005)-SUMPRODUCT((MOVIMIENTOS!$B$5:$B$1005="VENTA")*(MOVIMIENTOS!$C$5:$C$1005="C")*(MOVIMIENTOS!$D$5:$D$1005="jabas")*(MOVIMIENTOS!$A$5:$A$1005&lt;&gt;"")*(MOVIMIENTOS!$A$5:$A$1005&lt;=$A241)*MOVIMIENTOS!$E$5:$E$1005)+SUMPRODUCT((MOVIMIENTOS!$B$5:$B$1005="AJUSTE")*(MOVIMIENTOS!$C$5:$C$1005="C")*(MOVIMIENTOS!$D$5:$D$1005="jabas")*(MOVIMIENTOS!$A$5:$A$1005&lt;&gt;"")*(MOVIMIENTOS!$A$5:$A$1005&lt;=$A241)*MOVIMIENTOS!$E$5:$E$1005))</f>
        <v/>
      </c>
      <c r="E241" s="63" t="str">
        <f>IF($A241="","",SUMPRODUCT((MOVIMIENTOS!$B$5:$B$1005="SALDO INICIAL")*(MOVIMIENTOS!$C$5:$C$1005="M")*(MOVIMIENTOS!$D$5:$D$1005="jabas")*(MOVIMIENTOS!$A$5:$A$1005&lt;&gt;"")*(MOVIMIENTOS!$A$5:$A$1005&lt;=$A241)*MOVIMIENTOS!$E$5:$E$1005)+SUMPRODUCT((MOVIMIENTOS!$B$5:$B$1005="PROCESO")*(MOVIMIENTOS!$C$5:$C$1005="M")*(MOVIMIENTOS!$D$5:$D$1005="jabas")*(MOVIMIENTOS!$A$5:$A$1005&lt;&gt;"")*(MOVIMIENTOS!$A$5:$A$1005&lt;=$A241)*MOVIMIENTOS!$E$5:$E$1005)-SUMPRODUCT((MOVIMIENTOS!$B$5:$B$1005="ENVÍO A SUPESA")*(MOVIMIENTOS!$C$5:$C$1005="M")*(MOVIMIENTOS!$D$5:$D$1005="jabas")*(MOVIMIENTOS!$A$5:$A$1005&lt;&gt;"")*(MOVIMIENTOS!$A$5:$A$1005&lt;=$A241)*MOVIMIENTOS!$E$5:$E$1005)+SUMPRODUCT((MOVIMIENTOS!$B$5:$B$1005="DEVOLUCIÓN")*(MOVIMIENTOS!$C$5:$C$1005="M")*(MOVIMIENTOS!$D$5:$D$1005="jabas")*(MOVIMIENTOS!$A$5:$A$1005&lt;&gt;"")*(MOVIMIENTOS!$A$5:$A$1005&lt;=$A241)*MOVIMIENTOS!$E$5:$E$1005)-SUMPRODUCT((MOVIMIENTOS!$B$5:$B$1005="TRASIEGO")*(MOVIMIENTOS!$C$5:$C$1005="M")*(MOVIMIENTOS!$D$5:$D$1005="jabas")*(MOVIMIENTOS!$A$5:$A$1005&lt;&gt;"")*(MOVIMIENTOS!$A$5:$A$1005&lt;=$A241)*MOVIMIENTOS!$E$5:$E$1005)-SUMPRODUCT((MOVIMIENTOS!$B$5:$B$1005="REGALO")*(MOVIMIENTOS!$C$5:$C$1005="M")*(MOVIMIENTOS!$D$5:$D$1005="jabas")*(MOVIMIENTOS!$A$5:$A$1005&lt;&gt;"")*(MOVIMIENTOS!$A$5:$A$1005&lt;=$A241)*MOVIMIENTOS!$E$5:$E$1005)-SUMPRODUCT((MOVIMIENTOS!$B$5:$B$1005="VENTA")*(MOVIMIENTOS!$C$5:$C$1005="M")*(MOVIMIENTOS!$D$5:$D$1005="jabas")*(MOVIMIENTOS!$A$5:$A$1005&lt;&gt;"")*(MOVIMIENTOS!$A$5:$A$1005&lt;=$A241)*MOVIMIENTOS!$E$5:$E$1005)+SUMPRODUCT((MOVIMIENTOS!$B$5:$B$1005="AJUSTE")*(MOVIMIENTOS!$C$5:$C$1005="M")*(MOVIMIENTOS!$D$5:$D$1005="jabas")*(MOVIMIENTOS!$A$5:$A$1005&lt;&gt;"")*(MOVIMIENTOS!$A$5:$A$1005&lt;=$A241)*MOVIMIENTOS!$E$5:$E$1005))</f>
        <v/>
      </c>
      <c r="F241" s="63" t="str">
        <f>IF($A241="","",SUMPRODUCT((MOVIMIENTOS!$B$5:$B$1005="SALDO INICIAL")*(MOVIMIENTOS!$C$5:$C$1005="Chancho")*(MOVIMIENTOS!$D$5:$D$1005="sacos")*(MOVIMIENTOS!$A$5:$A$1005&lt;&gt;"")*(MOVIMIENTOS!$A$5:$A$1005&lt;=$A241)*MOVIMIENTOS!$E$5:$E$1005)+SUMPRODUCT((MOVIMIENTOS!$B$5:$B$1005="PROCESO")*(MOVIMIENTOS!$C$5:$C$1005="Chancho")*(MOVIMIENTOS!$D$5:$D$1005="sacos")*(MOVIMIENTOS!$A$5:$A$1005&lt;&gt;"")*(MOVIMIENTOS!$A$5:$A$1005&lt;=$A241)*MOVIMIENTOS!$E$5:$E$1005)-SUMPRODUCT((MOVIMIENTOS!$B$5:$B$1005="VENTA CHANCHO")*(MOVIMIENTOS!$C$5:$C$1005="Chancho")*(MOVIMIENTOS!$D$5:$D$1005="sacos")*(MOVIMIENTOS!$A$5:$A$1005&lt;&gt;"")*(MOVIMIENTOS!$A$5:$A$1005&lt;=$A241)*MOVIMIENTOS!$E$5:$E$1005)-SUMPRODUCT((MOVIMIENTOS!$B$5:$B$1005="REGALO")*(MOVIMIENTOS!$C$5:$C$1005="Chancho")*(MOVIMIENTOS!$D$5:$D$1005="sacos")*(MOVIMIENTOS!$A$5:$A$1005&lt;&gt;"")*(MOVIMIENTOS!$A$5:$A$1005&lt;=$A241)*MOVIMIENTOS!$E$5:$E$1005)-SUMPRODUCT((MOVIMIENTOS!$B$5:$B$1005="VENTA")*(MOVIMIENTOS!$C$5:$C$1005="Chancho")*(MOVIMIENTOS!$D$5:$D$1005="sacos")*(MOVIMIENTOS!$A$5:$A$1005&lt;&gt;"")*(MOVIMIENTOS!$A$5:$A$1005&lt;=$A241)*MOVIMIENTOS!$E$5:$E$1005)+SUMPRODUCT((MOVIMIENTOS!$B$5:$B$1005="AJUSTE")*(MOVIMIENTOS!$C$5:$C$1005="Chancho")*(MOVIMIENTOS!$D$5:$D$1005="sacos")*(MOVIMIENTOS!$A$5:$A$1005&lt;&gt;"")*(MOVIMIENTOS!$A$5:$A$1005&lt;=$A241)*MOVIMIENTOS!$E$5:$E$1005))</f>
        <v/>
      </c>
      <c r="G241" s="95" t="str">
        <f t="shared" si="7"/>
        <v/>
      </c>
      <c r="H241" s="63" t="str">
        <f>IF($A241="","",SUMPRODUCT((((MOVIMIENTOS!$B$5:$B$1005="SALDO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241)*MOVIMIENTOS!$J$5:$J$1005))</f>
        <v/>
      </c>
      <c r="I241" s="63"/>
      <c r="J241" s="63" t="str">
        <f>IF(AND(MOVIMIENTOS!$A241&lt;&gt;"",COUNTIF(MOVIMIENTOS!$A$5:$A240,MOVIMIENTOS!$A241)=0),COUNT(J$4:J240)+1,"")</f>
        <v/>
      </c>
      <c r="K241" s="66">
        <f>MOVIMIENTOS!$A241</f>
        <v>46235</v>
      </c>
      <c r="L241" s="63"/>
      <c r="M241" s="63"/>
      <c r="N241" s="63"/>
    </row>
    <row r="242" spans="1:14" ht="15" customHeight="1" x14ac:dyDescent="0.2">
      <c r="A242" s="63" t="str">
        <f t="shared" si="6"/>
        <v/>
      </c>
      <c r="B242" s="63" t="str">
        <f>IF($A242="","",SUMPRODUCT((MOVIMIENTOS!$B$5:$B$1005="SALDO INICIAL")*(MOVIMIENTOS!$C$5:$C$1005="A")*(MOVIMIENTOS!$D$5:$D$1005="jabas")*(MOVIMIENTOS!$A$5:$A$1005&lt;&gt;"")*(MOVIMIENTOS!$A$5:$A$1005&lt;=$A242)*MOVIMIENTOS!$E$5:$E$1005)+SUMPRODUCT((MOVIMIENTOS!$B$5:$B$1005="PROCESO")*(MOVIMIENTOS!$C$5:$C$1005="A")*(MOVIMIENTOS!$D$5:$D$1005="jabas")*(MOVIMIENTOS!$A$5:$A$1005&lt;&gt;"")*(MOVIMIENTOS!$A$5:$A$1005&lt;=$A242)*MOVIMIENTOS!$E$5:$E$1005)-SUMPRODUCT((MOVIMIENTOS!$B$5:$B$1005="ENVÍO A SUPESA")*(MOVIMIENTOS!$C$5:$C$1005="A")*(MOVIMIENTOS!$D$5:$D$1005="jabas")*(MOVIMIENTOS!$A$5:$A$1005&lt;&gt;"")*(MOVIMIENTOS!$A$5:$A$1005&lt;=$A242)*MOVIMIENTOS!$E$5:$E$1005)+SUMPRODUCT((MOVIMIENTOS!$B$5:$B$1005="DEVOLUCIÓN")*(MOVIMIENTOS!$C$5:$C$1005="A")*(MOVIMIENTOS!$D$5:$D$1005="jabas")*(MOVIMIENTOS!$A$5:$A$1005&lt;&gt;"")*(MOVIMIENTOS!$A$5:$A$1005&lt;=$A242)*MOVIMIENTOS!$E$5:$E$1005)-SUMPRODUCT((MOVIMIENTOS!$B$5:$B$1005="TRASIEGO")*(MOVIMIENTOS!$C$5:$C$1005="A")*(MOVIMIENTOS!$D$5:$D$1005="jabas")*(MOVIMIENTOS!$A$5:$A$1005&lt;&gt;"")*(MOVIMIENTOS!$A$5:$A$1005&lt;=$A242)*MOVIMIENTOS!$E$5:$E$1005)-SUMPRODUCT((MOVIMIENTOS!$B$5:$B$1005="REGALO")*(MOVIMIENTOS!$C$5:$C$1005="A")*(MOVIMIENTOS!$D$5:$D$1005="jabas")*(MOVIMIENTOS!$A$5:$A$1005&lt;&gt;"")*(MOVIMIENTOS!$A$5:$A$1005&lt;=$A242)*MOVIMIENTOS!$E$5:$E$1005)-SUMPRODUCT((MOVIMIENTOS!$B$5:$B$1005="VENTA")*(MOVIMIENTOS!$C$5:$C$1005="A")*(MOVIMIENTOS!$D$5:$D$1005="jabas")*(MOVIMIENTOS!$A$5:$A$1005&lt;&gt;"")*(MOVIMIENTOS!$A$5:$A$1005&lt;=$A242)*MOVIMIENTOS!$E$5:$E$1005)+SUMPRODUCT((MOVIMIENTOS!$B$5:$B$1005="AJUSTE")*(MOVIMIENTOS!$C$5:$C$1005="A")*(MOVIMIENTOS!$D$5:$D$1005="jabas")*(MOVIMIENTOS!$A$5:$A$1005&lt;&gt;"")*(MOVIMIENTOS!$A$5:$A$1005&lt;=$A242)*MOVIMIENTOS!$E$5:$E$1005))</f>
        <v/>
      </c>
      <c r="C242" s="63" t="str">
        <f>IF($A242="","",SUMPRODUCT((MOVIMIENTOS!$B$5:$B$1005="SALDO INICIAL")*(MOVIMIENTOS!$C$5:$C$1005="P")*(MOVIMIENTOS!$D$5:$D$1005="jabas")*(MOVIMIENTOS!$A$5:$A$1005&lt;&gt;"")*(MOVIMIENTOS!$A$5:$A$1005&lt;=$A242)*MOVIMIENTOS!$E$5:$E$1005)+SUMPRODUCT((MOVIMIENTOS!$B$5:$B$1005="PROCESO")*(MOVIMIENTOS!$C$5:$C$1005="P")*(MOVIMIENTOS!$D$5:$D$1005="jabas")*(MOVIMIENTOS!$A$5:$A$1005&lt;&gt;"")*(MOVIMIENTOS!$A$5:$A$1005&lt;=$A242)*MOVIMIENTOS!$E$5:$E$1005)-SUMPRODUCT((MOVIMIENTOS!$B$5:$B$1005="ENVÍO A SUPESA")*(MOVIMIENTOS!$C$5:$C$1005="P")*(MOVIMIENTOS!$D$5:$D$1005="jabas")*(MOVIMIENTOS!$A$5:$A$1005&lt;&gt;"")*(MOVIMIENTOS!$A$5:$A$1005&lt;=$A242)*MOVIMIENTOS!$E$5:$E$1005)+SUMPRODUCT((MOVIMIENTOS!$B$5:$B$1005="DEVOLUCIÓN")*(MOVIMIENTOS!$C$5:$C$1005="P")*(MOVIMIENTOS!$D$5:$D$1005="jabas")*(MOVIMIENTOS!$A$5:$A$1005&lt;&gt;"")*(MOVIMIENTOS!$A$5:$A$1005&lt;=$A242)*MOVIMIENTOS!$E$5:$E$1005)-SUMPRODUCT((MOVIMIENTOS!$B$5:$B$1005="TRASIEGO")*(MOVIMIENTOS!$C$5:$C$1005="P")*(MOVIMIENTOS!$D$5:$D$1005="jabas")*(MOVIMIENTOS!$A$5:$A$1005&lt;&gt;"")*(MOVIMIENTOS!$A$5:$A$1005&lt;=$A242)*MOVIMIENTOS!$E$5:$E$1005)-SUMPRODUCT((MOVIMIENTOS!$B$5:$B$1005="REGALO")*(MOVIMIENTOS!$C$5:$C$1005="P")*(MOVIMIENTOS!$D$5:$D$1005="jabas")*(MOVIMIENTOS!$A$5:$A$1005&lt;&gt;"")*(MOVIMIENTOS!$A$5:$A$1005&lt;=$A242)*MOVIMIENTOS!$E$5:$E$1005)-SUMPRODUCT((MOVIMIENTOS!$B$5:$B$1005="VENTA")*(MOVIMIENTOS!$C$5:$C$1005="P")*(MOVIMIENTOS!$D$5:$D$1005="jabas")*(MOVIMIENTOS!$A$5:$A$1005&lt;&gt;"")*(MOVIMIENTOS!$A$5:$A$1005&lt;=$A242)*MOVIMIENTOS!$E$5:$E$1005)+SUMPRODUCT((MOVIMIENTOS!$B$5:$B$1005="AJUSTE")*(MOVIMIENTOS!$C$5:$C$1005="P")*(MOVIMIENTOS!$D$5:$D$1005="jabas")*(MOVIMIENTOS!$A$5:$A$1005&lt;&gt;"")*(MOVIMIENTOS!$A$5:$A$1005&lt;=$A242)*MOVIMIENTOS!$E$5:$E$1005))</f>
        <v/>
      </c>
      <c r="D242" s="63" t="str">
        <f>IF($A242="","",SUMPRODUCT((MOVIMIENTOS!$B$5:$B$1005="SALDO INICIAL")*(MOVIMIENTOS!$C$5:$C$1005="C")*(MOVIMIENTOS!$D$5:$D$1005="jabas")*(MOVIMIENTOS!$A$5:$A$1005&lt;&gt;"")*(MOVIMIENTOS!$A$5:$A$1005&lt;=$A242)*MOVIMIENTOS!$E$5:$E$1005)+SUMPRODUCT((MOVIMIENTOS!$B$5:$B$1005="PROCESO")*(MOVIMIENTOS!$C$5:$C$1005="C")*(MOVIMIENTOS!$D$5:$D$1005="jabas")*(MOVIMIENTOS!$A$5:$A$1005&lt;&gt;"")*(MOVIMIENTOS!$A$5:$A$1005&lt;=$A242)*MOVIMIENTOS!$E$5:$E$1005)-SUMPRODUCT((MOVIMIENTOS!$B$5:$B$1005="ENVÍO A SUPESA")*(MOVIMIENTOS!$C$5:$C$1005="C")*(MOVIMIENTOS!$D$5:$D$1005="jabas")*(MOVIMIENTOS!$A$5:$A$1005&lt;&gt;"")*(MOVIMIENTOS!$A$5:$A$1005&lt;=$A242)*MOVIMIENTOS!$E$5:$E$1005)+SUMPRODUCT((MOVIMIENTOS!$B$5:$B$1005="DEVOLUCIÓN")*(MOVIMIENTOS!$C$5:$C$1005="C")*(MOVIMIENTOS!$D$5:$D$1005="jabas")*(MOVIMIENTOS!$A$5:$A$1005&lt;&gt;"")*(MOVIMIENTOS!$A$5:$A$1005&lt;=$A242)*MOVIMIENTOS!$E$5:$E$1005)-SUMPRODUCT((MOVIMIENTOS!$B$5:$B$1005="TRASIEGO")*(MOVIMIENTOS!$C$5:$C$1005="C")*(MOVIMIENTOS!$D$5:$D$1005="jabas")*(MOVIMIENTOS!$A$5:$A$1005&lt;&gt;"")*(MOVIMIENTOS!$A$5:$A$1005&lt;=$A242)*MOVIMIENTOS!$E$5:$E$1005)-SUMPRODUCT((MOVIMIENTOS!$B$5:$B$1005="REGALO")*(MOVIMIENTOS!$C$5:$C$1005="C")*(MOVIMIENTOS!$D$5:$D$1005="jabas")*(MOVIMIENTOS!$A$5:$A$1005&lt;&gt;"")*(MOVIMIENTOS!$A$5:$A$1005&lt;=$A242)*MOVIMIENTOS!$E$5:$E$1005)-SUMPRODUCT((MOVIMIENTOS!$B$5:$B$1005="VENTA")*(MOVIMIENTOS!$C$5:$C$1005="C")*(MOVIMIENTOS!$D$5:$D$1005="jabas")*(MOVIMIENTOS!$A$5:$A$1005&lt;&gt;"")*(MOVIMIENTOS!$A$5:$A$1005&lt;=$A242)*MOVIMIENTOS!$E$5:$E$1005)+SUMPRODUCT((MOVIMIENTOS!$B$5:$B$1005="AJUSTE")*(MOVIMIENTOS!$C$5:$C$1005="C")*(MOVIMIENTOS!$D$5:$D$1005="jabas")*(MOVIMIENTOS!$A$5:$A$1005&lt;&gt;"")*(MOVIMIENTOS!$A$5:$A$1005&lt;=$A242)*MOVIMIENTOS!$E$5:$E$1005))</f>
        <v/>
      </c>
      <c r="E242" s="63" t="str">
        <f>IF($A242="","",SUMPRODUCT((MOVIMIENTOS!$B$5:$B$1005="SALDO INICIAL")*(MOVIMIENTOS!$C$5:$C$1005="M")*(MOVIMIENTOS!$D$5:$D$1005="jabas")*(MOVIMIENTOS!$A$5:$A$1005&lt;&gt;"")*(MOVIMIENTOS!$A$5:$A$1005&lt;=$A242)*MOVIMIENTOS!$E$5:$E$1005)+SUMPRODUCT((MOVIMIENTOS!$B$5:$B$1005="PROCESO")*(MOVIMIENTOS!$C$5:$C$1005="M")*(MOVIMIENTOS!$D$5:$D$1005="jabas")*(MOVIMIENTOS!$A$5:$A$1005&lt;&gt;"")*(MOVIMIENTOS!$A$5:$A$1005&lt;=$A242)*MOVIMIENTOS!$E$5:$E$1005)-SUMPRODUCT((MOVIMIENTOS!$B$5:$B$1005="ENVÍO A SUPESA")*(MOVIMIENTOS!$C$5:$C$1005="M")*(MOVIMIENTOS!$D$5:$D$1005="jabas")*(MOVIMIENTOS!$A$5:$A$1005&lt;&gt;"")*(MOVIMIENTOS!$A$5:$A$1005&lt;=$A242)*MOVIMIENTOS!$E$5:$E$1005)+SUMPRODUCT((MOVIMIENTOS!$B$5:$B$1005="DEVOLUCIÓN")*(MOVIMIENTOS!$C$5:$C$1005="M")*(MOVIMIENTOS!$D$5:$D$1005="jabas")*(MOVIMIENTOS!$A$5:$A$1005&lt;&gt;"")*(MOVIMIENTOS!$A$5:$A$1005&lt;=$A242)*MOVIMIENTOS!$E$5:$E$1005)-SUMPRODUCT((MOVIMIENTOS!$B$5:$B$1005="TRASIEGO")*(MOVIMIENTOS!$C$5:$C$1005="M")*(MOVIMIENTOS!$D$5:$D$1005="jabas")*(MOVIMIENTOS!$A$5:$A$1005&lt;&gt;"")*(MOVIMIENTOS!$A$5:$A$1005&lt;=$A242)*MOVIMIENTOS!$E$5:$E$1005)-SUMPRODUCT((MOVIMIENTOS!$B$5:$B$1005="REGALO")*(MOVIMIENTOS!$C$5:$C$1005="M")*(MOVIMIENTOS!$D$5:$D$1005="jabas")*(MOVIMIENTOS!$A$5:$A$1005&lt;&gt;"")*(MOVIMIENTOS!$A$5:$A$1005&lt;=$A242)*MOVIMIENTOS!$E$5:$E$1005)-SUMPRODUCT((MOVIMIENTOS!$B$5:$B$1005="VENTA")*(MOVIMIENTOS!$C$5:$C$1005="M")*(MOVIMIENTOS!$D$5:$D$1005="jabas")*(MOVIMIENTOS!$A$5:$A$1005&lt;&gt;"")*(MOVIMIENTOS!$A$5:$A$1005&lt;=$A242)*MOVIMIENTOS!$E$5:$E$1005)+SUMPRODUCT((MOVIMIENTOS!$B$5:$B$1005="AJUSTE")*(MOVIMIENTOS!$C$5:$C$1005="M")*(MOVIMIENTOS!$D$5:$D$1005="jabas")*(MOVIMIENTOS!$A$5:$A$1005&lt;&gt;"")*(MOVIMIENTOS!$A$5:$A$1005&lt;=$A242)*MOVIMIENTOS!$E$5:$E$1005))</f>
        <v/>
      </c>
      <c r="F242" s="63" t="str">
        <f>IF($A242="","",SUMPRODUCT((MOVIMIENTOS!$B$5:$B$1005="SALDO INICIAL")*(MOVIMIENTOS!$C$5:$C$1005="Chancho")*(MOVIMIENTOS!$D$5:$D$1005="sacos")*(MOVIMIENTOS!$A$5:$A$1005&lt;&gt;"")*(MOVIMIENTOS!$A$5:$A$1005&lt;=$A242)*MOVIMIENTOS!$E$5:$E$1005)+SUMPRODUCT((MOVIMIENTOS!$B$5:$B$1005="PROCESO")*(MOVIMIENTOS!$C$5:$C$1005="Chancho")*(MOVIMIENTOS!$D$5:$D$1005="sacos")*(MOVIMIENTOS!$A$5:$A$1005&lt;&gt;"")*(MOVIMIENTOS!$A$5:$A$1005&lt;=$A242)*MOVIMIENTOS!$E$5:$E$1005)-SUMPRODUCT((MOVIMIENTOS!$B$5:$B$1005="VENTA CHANCHO")*(MOVIMIENTOS!$C$5:$C$1005="Chancho")*(MOVIMIENTOS!$D$5:$D$1005="sacos")*(MOVIMIENTOS!$A$5:$A$1005&lt;&gt;"")*(MOVIMIENTOS!$A$5:$A$1005&lt;=$A242)*MOVIMIENTOS!$E$5:$E$1005)-SUMPRODUCT((MOVIMIENTOS!$B$5:$B$1005="REGALO")*(MOVIMIENTOS!$C$5:$C$1005="Chancho")*(MOVIMIENTOS!$D$5:$D$1005="sacos")*(MOVIMIENTOS!$A$5:$A$1005&lt;&gt;"")*(MOVIMIENTOS!$A$5:$A$1005&lt;=$A242)*MOVIMIENTOS!$E$5:$E$1005)-SUMPRODUCT((MOVIMIENTOS!$B$5:$B$1005="VENTA")*(MOVIMIENTOS!$C$5:$C$1005="Chancho")*(MOVIMIENTOS!$D$5:$D$1005="sacos")*(MOVIMIENTOS!$A$5:$A$1005&lt;&gt;"")*(MOVIMIENTOS!$A$5:$A$1005&lt;=$A242)*MOVIMIENTOS!$E$5:$E$1005)+SUMPRODUCT((MOVIMIENTOS!$B$5:$B$1005="AJUSTE")*(MOVIMIENTOS!$C$5:$C$1005="Chancho")*(MOVIMIENTOS!$D$5:$D$1005="sacos")*(MOVIMIENTOS!$A$5:$A$1005&lt;&gt;"")*(MOVIMIENTOS!$A$5:$A$1005&lt;=$A242)*MOVIMIENTOS!$E$5:$E$1005))</f>
        <v/>
      </c>
      <c r="G242" s="95" t="str">
        <f t="shared" si="7"/>
        <v/>
      </c>
      <c r="H242" s="63" t="str">
        <f>IF($A242="","",SUMPRODUCT((((MOVIMIENTOS!$B$5:$B$1005="SALDO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242)*MOVIMIENTOS!$J$5:$J$1005))</f>
        <v/>
      </c>
      <c r="I242" s="63"/>
      <c r="J242" s="63" t="str">
        <f>IF(AND(MOVIMIENTOS!$A242&lt;&gt;"",COUNTIF(MOVIMIENTOS!$A$5:$A241,MOVIMIENTOS!$A242)=0),COUNT(J$4:J241)+1,"")</f>
        <v/>
      </c>
      <c r="K242" s="66">
        <f>MOVIMIENTOS!$A242</f>
        <v>46235</v>
      </c>
      <c r="L242" s="63"/>
      <c r="M242" s="63"/>
      <c r="N242" s="63"/>
    </row>
    <row r="243" spans="1:14" ht="15" customHeight="1" x14ac:dyDescent="0.2">
      <c r="A243" s="63" t="str">
        <f t="shared" si="6"/>
        <v/>
      </c>
      <c r="B243" s="63" t="str">
        <f>IF($A243="","",SUMPRODUCT((MOVIMIENTOS!$B$5:$B$1005="SALDO INICIAL")*(MOVIMIENTOS!$C$5:$C$1005="A")*(MOVIMIENTOS!$D$5:$D$1005="jabas")*(MOVIMIENTOS!$A$5:$A$1005&lt;&gt;"")*(MOVIMIENTOS!$A$5:$A$1005&lt;=$A243)*MOVIMIENTOS!$E$5:$E$1005)+SUMPRODUCT((MOVIMIENTOS!$B$5:$B$1005="PROCESO")*(MOVIMIENTOS!$C$5:$C$1005="A")*(MOVIMIENTOS!$D$5:$D$1005="jabas")*(MOVIMIENTOS!$A$5:$A$1005&lt;&gt;"")*(MOVIMIENTOS!$A$5:$A$1005&lt;=$A243)*MOVIMIENTOS!$E$5:$E$1005)-SUMPRODUCT((MOVIMIENTOS!$B$5:$B$1005="ENVÍO A SUPESA")*(MOVIMIENTOS!$C$5:$C$1005="A")*(MOVIMIENTOS!$D$5:$D$1005="jabas")*(MOVIMIENTOS!$A$5:$A$1005&lt;&gt;"")*(MOVIMIENTOS!$A$5:$A$1005&lt;=$A243)*MOVIMIENTOS!$E$5:$E$1005)+SUMPRODUCT((MOVIMIENTOS!$B$5:$B$1005="DEVOLUCIÓN")*(MOVIMIENTOS!$C$5:$C$1005="A")*(MOVIMIENTOS!$D$5:$D$1005="jabas")*(MOVIMIENTOS!$A$5:$A$1005&lt;&gt;"")*(MOVIMIENTOS!$A$5:$A$1005&lt;=$A243)*MOVIMIENTOS!$E$5:$E$1005)-SUMPRODUCT((MOVIMIENTOS!$B$5:$B$1005="TRASIEGO")*(MOVIMIENTOS!$C$5:$C$1005="A")*(MOVIMIENTOS!$D$5:$D$1005="jabas")*(MOVIMIENTOS!$A$5:$A$1005&lt;&gt;"")*(MOVIMIENTOS!$A$5:$A$1005&lt;=$A243)*MOVIMIENTOS!$E$5:$E$1005)-SUMPRODUCT((MOVIMIENTOS!$B$5:$B$1005="REGALO")*(MOVIMIENTOS!$C$5:$C$1005="A")*(MOVIMIENTOS!$D$5:$D$1005="jabas")*(MOVIMIENTOS!$A$5:$A$1005&lt;&gt;"")*(MOVIMIENTOS!$A$5:$A$1005&lt;=$A243)*MOVIMIENTOS!$E$5:$E$1005)-SUMPRODUCT((MOVIMIENTOS!$B$5:$B$1005="VENTA")*(MOVIMIENTOS!$C$5:$C$1005="A")*(MOVIMIENTOS!$D$5:$D$1005="jabas")*(MOVIMIENTOS!$A$5:$A$1005&lt;&gt;"")*(MOVIMIENTOS!$A$5:$A$1005&lt;=$A243)*MOVIMIENTOS!$E$5:$E$1005)+SUMPRODUCT((MOVIMIENTOS!$B$5:$B$1005="AJUSTE")*(MOVIMIENTOS!$C$5:$C$1005="A")*(MOVIMIENTOS!$D$5:$D$1005="jabas")*(MOVIMIENTOS!$A$5:$A$1005&lt;&gt;"")*(MOVIMIENTOS!$A$5:$A$1005&lt;=$A243)*MOVIMIENTOS!$E$5:$E$1005))</f>
        <v/>
      </c>
      <c r="C243" s="63" t="str">
        <f>IF($A243="","",SUMPRODUCT((MOVIMIENTOS!$B$5:$B$1005="SALDO INICIAL")*(MOVIMIENTOS!$C$5:$C$1005="P")*(MOVIMIENTOS!$D$5:$D$1005="jabas")*(MOVIMIENTOS!$A$5:$A$1005&lt;&gt;"")*(MOVIMIENTOS!$A$5:$A$1005&lt;=$A243)*MOVIMIENTOS!$E$5:$E$1005)+SUMPRODUCT((MOVIMIENTOS!$B$5:$B$1005="PROCESO")*(MOVIMIENTOS!$C$5:$C$1005="P")*(MOVIMIENTOS!$D$5:$D$1005="jabas")*(MOVIMIENTOS!$A$5:$A$1005&lt;&gt;"")*(MOVIMIENTOS!$A$5:$A$1005&lt;=$A243)*MOVIMIENTOS!$E$5:$E$1005)-SUMPRODUCT((MOVIMIENTOS!$B$5:$B$1005="ENVÍO A SUPESA")*(MOVIMIENTOS!$C$5:$C$1005="P")*(MOVIMIENTOS!$D$5:$D$1005="jabas")*(MOVIMIENTOS!$A$5:$A$1005&lt;&gt;"")*(MOVIMIENTOS!$A$5:$A$1005&lt;=$A243)*MOVIMIENTOS!$E$5:$E$1005)+SUMPRODUCT((MOVIMIENTOS!$B$5:$B$1005="DEVOLUCIÓN")*(MOVIMIENTOS!$C$5:$C$1005="P")*(MOVIMIENTOS!$D$5:$D$1005="jabas")*(MOVIMIENTOS!$A$5:$A$1005&lt;&gt;"")*(MOVIMIENTOS!$A$5:$A$1005&lt;=$A243)*MOVIMIENTOS!$E$5:$E$1005)-SUMPRODUCT((MOVIMIENTOS!$B$5:$B$1005="TRASIEGO")*(MOVIMIENTOS!$C$5:$C$1005="P")*(MOVIMIENTOS!$D$5:$D$1005="jabas")*(MOVIMIENTOS!$A$5:$A$1005&lt;&gt;"")*(MOVIMIENTOS!$A$5:$A$1005&lt;=$A243)*MOVIMIENTOS!$E$5:$E$1005)-SUMPRODUCT((MOVIMIENTOS!$B$5:$B$1005="REGALO")*(MOVIMIENTOS!$C$5:$C$1005="P")*(MOVIMIENTOS!$D$5:$D$1005="jabas")*(MOVIMIENTOS!$A$5:$A$1005&lt;&gt;"")*(MOVIMIENTOS!$A$5:$A$1005&lt;=$A243)*MOVIMIENTOS!$E$5:$E$1005)-SUMPRODUCT((MOVIMIENTOS!$B$5:$B$1005="VENTA")*(MOVIMIENTOS!$C$5:$C$1005="P")*(MOVIMIENTOS!$D$5:$D$1005="jabas")*(MOVIMIENTOS!$A$5:$A$1005&lt;&gt;"")*(MOVIMIENTOS!$A$5:$A$1005&lt;=$A243)*MOVIMIENTOS!$E$5:$E$1005)+SUMPRODUCT((MOVIMIENTOS!$B$5:$B$1005="AJUSTE")*(MOVIMIENTOS!$C$5:$C$1005="P")*(MOVIMIENTOS!$D$5:$D$1005="jabas")*(MOVIMIENTOS!$A$5:$A$1005&lt;&gt;"")*(MOVIMIENTOS!$A$5:$A$1005&lt;=$A243)*MOVIMIENTOS!$E$5:$E$1005))</f>
        <v/>
      </c>
      <c r="D243" s="63" t="str">
        <f>IF($A243="","",SUMPRODUCT((MOVIMIENTOS!$B$5:$B$1005="SALDO INICIAL")*(MOVIMIENTOS!$C$5:$C$1005="C")*(MOVIMIENTOS!$D$5:$D$1005="jabas")*(MOVIMIENTOS!$A$5:$A$1005&lt;&gt;"")*(MOVIMIENTOS!$A$5:$A$1005&lt;=$A243)*MOVIMIENTOS!$E$5:$E$1005)+SUMPRODUCT((MOVIMIENTOS!$B$5:$B$1005="PROCESO")*(MOVIMIENTOS!$C$5:$C$1005="C")*(MOVIMIENTOS!$D$5:$D$1005="jabas")*(MOVIMIENTOS!$A$5:$A$1005&lt;&gt;"")*(MOVIMIENTOS!$A$5:$A$1005&lt;=$A243)*MOVIMIENTOS!$E$5:$E$1005)-SUMPRODUCT((MOVIMIENTOS!$B$5:$B$1005="ENVÍO A SUPESA")*(MOVIMIENTOS!$C$5:$C$1005="C")*(MOVIMIENTOS!$D$5:$D$1005="jabas")*(MOVIMIENTOS!$A$5:$A$1005&lt;&gt;"")*(MOVIMIENTOS!$A$5:$A$1005&lt;=$A243)*MOVIMIENTOS!$E$5:$E$1005)+SUMPRODUCT((MOVIMIENTOS!$B$5:$B$1005="DEVOLUCIÓN")*(MOVIMIENTOS!$C$5:$C$1005="C")*(MOVIMIENTOS!$D$5:$D$1005="jabas")*(MOVIMIENTOS!$A$5:$A$1005&lt;&gt;"")*(MOVIMIENTOS!$A$5:$A$1005&lt;=$A243)*MOVIMIENTOS!$E$5:$E$1005)-SUMPRODUCT((MOVIMIENTOS!$B$5:$B$1005="TRASIEGO")*(MOVIMIENTOS!$C$5:$C$1005="C")*(MOVIMIENTOS!$D$5:$D$1005="jabas")*(MOVIMIENTOS!$A$5:$A$1005&lt;&gt;"")*(MOVIMIENTOS!$A$5:$A$1005&lt;=$A243)*MOVIMIENTOS!$E$5:$E$1005)-SUMPRODUCT((MOVIMIENTOS!$B$5:$B$1005="REGALO")*(MOVIMIENTOS!$C$5:$C$1005="C")*(MOVIMIENTOS!$D$5:$D$1005="jabas")*(MOVIMIENTOS!$A$5:$A$1005&lt;&gt;"")*(MOVIMIENTOS!$A$5:$A$1005&lt;=$A243)*MOVIMIENTOS!$E$5:$E$1005)-SUMPRODUCT((MOVIMIENTOS!$B$5:$B$1005="VENTA")*(MOVIMIENTOS!$C$5:$C$1005="C")*(MOVIMIENTOS!$D$5:$D$1005="jabas")*(MOVIMIENTOS!$A$5:$A$1005&lt;&gt;"")*(MOVIMIENTOS!$A$5:$A$1005&lt;=$A243)*MOVIMIENTOS!$E$5:$E$1005)+SUMPRODUCT((MOVIMIENTOS!$B$5:$B$1005="AJUSTE")*(MOVIMIENTOS!$C$5:$C$1005="C")*(MOVIMIENTOS!$D$5:$D$1005="jabas")*(MOVIMIENTOS!$A$5:$A$1005&lt;&gt;"")*(MOVIMIENTOS!$A$5:$A$1005&lt;=$A243)*MOVIMIENTOS!$E$5:$E$1005))</f>
        <v/>
      </c>
      <c r="E243" s="63" t="str">
        <f>IF($A243="","",SUMPRODUCT((MOVIMIENTOS!$B$5:$B$1005="SALDO INICIAL")*(MOVIMIENTOS!$C$5:$C$1005="M")*(MOVIMIENTOS!$D$5:$D$1005="jabas")*(MOVIMIENTOS!$A$5:$A$1005&lt;&gt;"")*(MOVIMIENTOS!$A$5:$A$1005&lt;=$A243)*MOVIMIENTOS!$E$5:$E$1005)+SUMPRODUCT((MOVIMIENTOS!$B$5:$B$1005="PROCESO")*(MOVIMIENTOS!$C$5:$C$1005="M")*(MOVIMIENTOS!$D$5:$D$1005="jabas")*(MOVIMIENTOS!$A$5:$A$1005&lt;&gt;"")*(MOVIMIENTOS!$A$5:$A$1005&lt;=$A243)*MOVIMIENTOS!$E$5:$E$1005)-SUMPRODUCT((MOVIMIENTOS!$B$5:$B$1005="ENVÍO A SUPESA")*(MOVIMIENTOS!$C$5:$C$1005="M")*(MOVIMIENTOS!$D$5:$D$1005="jabas")*(MOVIMIENTOS!$A$5:$A$1005&lt;&gt;"")*(MOVIMIENTOS!$A$5:$A$1005&lt;=$A243)*MOVIMIENTOS!$E$5:$E$1005)+SUMPRODUCT((MOVIMIENTOS!$B$5:$B$1005="DEVOLUCIÓN")*(MOVIMIENTOS!$C$5:$C$1005="M")*(MOVIMIENTOS!$D$5:$D$1005="jabas")*(MOVIMIENTOS!$A$5:$A$1005&lt;&gt;"")*(MOVIMIENTOS!$A$5:$A$1005&lt;=$A243)*MOVIMIENTOS!$E$5:$E$1005)-SUMPRODUCT((MOVIMIENTOS!$B$5:$B$1005="TRASIEGO")*(MOVIMIENTOS!$C$5:$C$1005="M")*(MOVIMIENTOS!$D$5:$D$1005="jabas")*(MOVIMIENTOS!$A$5:$A$1005&lt;&gt;"")*(MOVIMIENTOS!$A$5:$A$1005&lt;=$A243)*MOVIMIENTOS!$E$5:$E$1005)-SUMPRODUCT((MOVIMIENTOS!$B$5:$B$1005="REGALO")*(MOVIMIENTOS!$C$5:$C$1005="M")*(MOVIMIENTOS!$D$5:$D$1005="jabas")*(MOVIMIENTOS!$A$5:$A$1005&lt;&gt;"")*(MOVIMIENTOS!$A$5:$A$1005&lt;=$A243)*MOVIMIENTOS!$E$5:$E$1005)-SUMPRODUCT((MOVIMIENTOS!$B$5:$B$1005="VENTA")*(MOVIMIENTOS!$C$5:$C$1005="M")*(MOVIMIENTOS!$D$5:$D$1005="jabas")*(MOVIMIENTOS!$A$5:$A$1005&lt;&gt;"")*(MOVIMIENTOS!$A$5:$A$1005&lt;=$A243)*MOVIMIENTOS!$E$5:$E$1005)+SUMPRODUCT((MOVIMIENTOS!$B$5:$B$1005="AJUSTE")*(MOVIMIENTOS!$C$5:$C$1005="M")*(MOVIMIENTOS!$D$5:$D$1005="jabas")*(MOVIMIENTOS!$A$5:$A$1005&lt;&gt;"")*(MOVIMIENTOS!$A$5:$A$1005&lt;=$A243)*MOVIMIENTOS!$E$5:$E$1005))</f>
        <v/>
      </c>
      <c r="F243" s="63" t="str">
        <f>IF($A243="","",SUMPRODUCT((MOVIMIENTOS!$B$5:$B$1005="SALDO INICIAL")*(MOVIMIENTOS!$C$5:$C$1005="Chancho")*(MOVIMIENTOS!$D$5:$D$1005="sacos")*(MOVIMIENTOS!$A$5:$A$1005&lt;&gt;"")*(MOVIMIENTOS!$A$5:$A$1005&lt;=$A243)*MOVIMIENTOS!$E$5:$E$1005)+SUMPRODUCT((MOVIMIENTOS!$B$5:$B$1005="PROCESO")*(MOVIMIENTOS!$C$5:$C$1005="Chancho")*(MOVIMIENTOS!$D$5:$D$1005="sacos")*(MOVIMIENTOS!$A$5:$A$1005&lt;&gt;"")*(MOVIMIENTOS!$A$5:$A$1005&lt;=$A243)*MOVIMIENTOS!$E$5:$E$1005)-SUMPRODUCT((MOVIMIENTOS!$B$5:$B$1005="VENTA CHANCHO")*(MOVIMIENTOS!$C$5:$C$1005="Chancho")*(MOVIMIENTOS!$D$5:$D$1005="sacos")*(MOVIMIENTOS!$A$5:$A$1005&lt;&gt;"")*(MOVIMIENTOS!$A$5:$A$1005&lt;=$A243)*MOVIMIENTOS!$E$5:$E$1005)-SUMPRODUCT((MOVIMIENTOS!$B$5:$B$1005="REGALO")*(MOVIMIENTOS!$C$5:$C$1005="Chancho")*(MOVIMIENTOS!$D$5:$D$1005="sacos")*(MOVIMIENTOS!$A$5:$A$1005&lt;&gt;"")*(MOVIMIENTOS!$A$5:$A$1005&lt;=$A243)*MOVIMIENTOS!$E$5:$E$1005)-SUMPRODUCT((MOVIMIENTOS!$B$5:$B$1005="VENTA")*(MOVIMIENTOS!$C$5:$C$1005="Chancho")*(MOVIMIENTOS!$D$5:$D$1005="sacos")*(MOVIMIENTOS!$A$5:$A$1005&lt;&gt;"")*(MOVIMIENTOS!$A$5:$A$1005&lt;=$A243)*MOVIMIENTOS!$E$5:$E$1005)+SUMPRODUCT((MOVIMIENTOS!$B$5:$B$1005="AJUSTE")*(MOVIMIENTOS!$C$5:$C$1005="Chancho")*(MOVIMIENTOS!$D$5:$D$1005="sacos")*(MOVIMIENTOS!$A$5:$A$1005&lt;&gt;"")*(MOVIMIENTOS!$A$5:$A$1005&lt;=$A243)*MOVIMIENTOS!$E$5:$E$1005))</f>
        <v/>
      </c>
      <c r="G243" s="95" t="str">
        <f t="shared" si="7"/>
        <v/>
      </c>
      <c r="H243" s="63" t="str">
        <f>IF($A243="","",SUMPRODUCT((((MOVIMIENTOS!$B$5:$B$1005="SALDO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243)*MOVIMIENTOS!$J$5:$J$1005))</f>
        <v/>
      </c>
      <c r="I243" s="63"/>
      <c r="J243" s="63" t="str">
        <f>IF(AND(MOVIMIENTOS!$A243&lt;&gt;"",COUNTIF(MOVIMIENTOS!$A$5:$A242,MOVIMIENTOS!$A243)=0),COUNT(J$4:J242)+1,"")</f>
        <v/>
      </c>
      <c r="K243" s="66">
        <f>MOVIMIENTOS!$A243</f>
        <v>46235</v>
      </c>
      <c r="L243" s="63"/>
      <c r="M243" s="63"/>
      <c r="N243" s="63"/>
    </row>
    <row r="244" spans="1:14" ht="15" customHeight="1" x14ac:dyDescent="0.2">
      <c r="A244" s="63" t="str">
        <f t="shared" si="6"/>
        <v/>
      </c>
      <c r="B244" s="63" t="str">
        <f>IF($A244="","",SUMPRODUCT((MOVIMIENTOS!$B$5:$B$1005="SALDO INICIAL")*(MOVIMIENTOS!$C$5:$C$1005="A")*(MOVIMIENTOS!$D$5:$D$1005="jabas")*(MOVIMIENTOS!$A$5:$A$1005&lt;&gt;"")*(MOVIMIENTOS!$A$5:$A$1005&lt;=$A244)*MOVIMIENTOS!$E$5:$E$1005)+SUMPRODUCT((MOVIMIENTOS!$B$5:$B$1005="PROCESO")*(MOVIMIENTOS!$C$5:$C$1005="A")*(MOVIMIENTOS!$D$5:$D$1005="jabas")*(MOVIMIENTOS!$A$5:$A$1005&lt;&gt;"")*(MOVIMIENTOS!$A$5:$A$1005&lt;=$A244)*MOVIMIENTOS!$E$5:$E$1005)-SUMPRODUCT((MOVIMIENTOS!$B$5:$B$1005="ENVÍO A SUPESA")*(MOVIMIENTOS!$C$5:$C$1005="A")*(MOVIMIENTOS!$D$5:$D$1005="jabas")*(MOVIMIENTOS!$A$5:$A$1005&lt;&gt;"")*(MOVIMIENTOS!$A$5:$A$1005&lt;=$A244)*MOVIMIENTOS!$E$5:$E$1005)+SUMPRODUCT((MOVIMIENTOS!$B$5:$B$1005="DEVOLUCIÓN")*(MOVIMIENTOS!$C$5:$C$1005="A")*(MOVIMIENTOS!$D$5:$D$1005="jabas")*(MOVIMIENTOS!$A$5:$A$1005&lt;&gt;"")*(MOVIMIENTOS!$A$5:$A$1005&lt;=$A244)*MOVIMIENTOS!$E$5:$E$1005)-SUMPRODUCT((MOVIMIENTOS!$B$5:$B$1005="TRASIEGO")*(MOVIMIENTOS!$C$5:$C$1005="A")*(MOVIMIENTOS!$D$5:$D$1005="jabas")*(MOVIMIENTOS!$A$5:$A$1005&lt;&gt;"")*(MOVIMIENTOS!$A$5:$A$1005&lt;=$A244)*MOVIMIENTOS!$E$5:$E$1005)-SUMPRODUCT((MOVIMIENTOS!$B$5:$B$1005="REGALO")*(MOVIMIENTOS!$C$5:$C$1005="A")*(MOVIMIENTOS!$D$5:$D$1005="jabas")*(MOVIMIENTOS!$A$5:$A$1005&lt;&gt;"")*(MOVIMIENTOS!$A$5:$A$1005&lt;=$A244)*MOVIMIENTOS!$E$5:$E$1005)-SUMPRODUCT((MOVIMIENTOS!$B$5:$B$1005="VENTA")*(MOVIMIENTOS!$C$5:$C$1005="A")*(MOVIMIENTOS!$D$5:$D$1005="jabas")*(MOVIMIENTOS!$A$5:$A$1005&lt;&gt;"")*(MOVIMIENTOS!$A$5:$A$1005&lt;=$A244)*MOVIMIENTOS!$E$5:$E$1005)+SUMPRODUCT((MOVIMIENTOS!$B$5:$B$1005="AJUSTE")*(MOVIMIENTOS!$C$5:$C$1005="A")*(MOVIMIENTOS!$D$5:$D$1005="jabas")*(MOVIMIENTOS!$A$5:$A$1005&lt;&gt;"")*(MOVIMIENTOS!$A$5:$A$1005&lt;=$A244)*MOVIMIENTOS!$E$5:$E$1005))</f>
        <v/>
      </c>
      <c r="C244" s="63" t="str">
        <f>IF($A244="","",SUMPRODUCT((MOVIMIENTOS!$B$5:$B$1005="SALDO INICIAL")*(MOVIMIENTOS!$C$5:$C$1005="P")*(MOVIMIENTOS!$D$5:$D$1005="jabas")*(MOVIMIENTOS!$A$5:$A$1005&lt;&gt;"")*(MOVIMIENTOS!$A$5:$A$1005&lt;=$A244)*MOVIMIENTOS!$E$5:$E$1005)+SUMPRODUCT((MOVIMIENTOS!$B$5:$B$1005="PROCESO")*(MOVIMIENTOS!$C$5:$C$1005="P")*(MOVIMIENTOS!$D$5:$D$1005="jabas")*(MOVIMIENTOS!$A$5:$A$1005&lt;&gt;"")*(MOVIMIENTOS!$A$5:$A$1005&lt;=$A244)*MOVIMIENTOS!$E$5:$E$1005)-SUMPRODUCT((MOVIMIENTOS!$B$5:$B$1005="ENVÍO A SUPESA")*(MOVIMIENTOS!$C$5:$C$1005="P")*(MOVIMIENTOS!$D$5:$D$1005="jabas")*(MOVIMIENTOS!$A$5:$A$1005&lt;&gt;"")*(MOVIMIENTOS!$A$5:$A$1005&lt;=$A244)*MOVIMIENTOS!$E$5:$E$1005)+SUMPRODUCT((MOVIMIENTOS!$B$5:$B$1005="DEVOLUCIÓN")*(MOVIMIENTOS!$C$5:$C$1005="P")*(MOVIMIENTOS!$D$5:$D$1005="jabas")*(MOVIMIENTOS!$A$5:$A$1005&lt;&gt;"")*(MOVIMIENTOS!$A$5:$A$1005&lt;=$A244)*MOVIMIENTOS!$E$5:$E$1005)-SUMPRODUCT((MOVIMIENTOS!$B$5:$B$1005="TRASIEGO")*(MOVIMIENTOS!$C$5:$C$1005="P")*(MOVIMIENTOS!$D$5:$D$1005="jabas")*(MOVIMIENTOS!$A$5:$A$1005&lt;&gt;"")*(MOVIMIENTOS!$A$5:$A$1005&lt;=$A244)*MOVIMIENTOS!$E$5:$E$1005)-SUMPRODUCT((MOVIMIENTOS!$B$5:$B$1005="REGALO")*(MOVIMIENTOS!$C$5:$C$1005="P")*(MOVIMIENTOS!$D$5:$D$1005="jabas")*(MOVIMIENTOS!$A$5:$A$1005&lt;&gt;"")*(MOVIMIENTOS!$A$5:$A$1005&lt;=$A244)*MOVIMIENTOS!$E$5:$E$1005)-SUMPRODUCT((MOVIMIENTOS!$B$5:$B$1005="VENTA")*(MOVIMIENTOS!$C$5:$C$1005="P")*(MOVIMIENTOS!$D$5:$D$1005="jabas")*(MOVIMIENTOS!$A$5:$A$1005&lt;&gt;"")*(MOVIMIENTOS!$A$5:$A$1005&lt;=$A244)*MOVIMIENTOS!$E$5:$E$1005)+SUMPRODUCT((MOVIMIENTOS!$B$5:$B$1005="AJUSTE")*(MOVIMIENTOS!$C$5:$C$1005="P")*(MOVIMIENTOS!$D$5:$D$1005="jabas")*(MOVIMIENTOS!$A$5:$A$1005&lt;&gt;"")*(MOVIMIENTOS!$A$5:$A$1005&lt;=$A244)*MOVIMIENTOS!$E$5:$E$1005))</f>
        <v/>
      </c>
      <c r="D244" s="63" t="str">
        <f>IF($A244="","",SUMPRODUCT((MOVIMIENTOS!$B$5:$B$1005="SALDO INICIAL")*(MOVIMIENTOS!$C$5:$C$1005="C")*(MOVIMIENTOS!$D$5:$D$1005="jabas")*(MOVIMIENTOS!$A$5:$A$1005&lt;&gt;"")*(MOVIMIENTOS!$A$5:$A$1005&lt;=$A244)*MOVIMIENTOS!$E$5:$E$1005)+SUMPRODUCT((MOVIMIENTOS!$B$5:$B$1005="PROCESO")*(MOVIMIENTOS!$C$5:$C$1005="C")*(MOVIMIENTOS!$D$5:$D$1005="jabas")*(MOVIMIENTOS!$A$5:$A$1005&lt;&gt;"")*(MOVIMIENTOS!$A$5:$A$1005&lt;=$A244)*MOVIMIENTOS!$E$5:$E$1005)-SUMPRODUCT((MOVIMIENTOS!$B$5:$B$1005="ENVÍO A SUPESA")*(MOVIMIENTOS!$C$5:$C$1005="C")*(MOVIMIENTOS!$D$5:$D$1005="jabas")*(MOVIMIENTOS!$A$5:$A$1005&lt;&gt;"")*(MOVIMIENTOS!$A$5:$A$1005&lt;=$A244)*MOVIMIENTOS!$E$5:$E$1005)+SUMPRODUCT((MOVIMIENTOS!$B$5:$B$1005="DEVOLUCIÓN")*(MOVIMIENTOS!$C$5:$C$1005="C")*(MOVIMIENTOS!$D$5:$D$1005="jabas")*(MOVIMIENTOS!$A$5:$A$1005&lt;&gt;"")*(MOVIMIENTOS!$A$5:$A$1005&lt;=$A244)*MOVIMIENTOS!$E$5:$E$1005)-SUMPRODUCT((MOVIMIENTOS!$B$5:$B$1005="TRASIEGO")*(MOVIMIENTOS!$C$5:$C$1005="C")*(MOVIMIENTOS!$D$5:$D$1005="jabas")*(MOVIMIENTOS!$A$5:$A$1005&lt;&gt;"")*(MOVIMIENTOS!$A$5:$A$1005&lt;=$A244)*MOVIMIENTOS!$E$5:$E$1005)-SUMPRODUCT((MOVIMIENTOS!$B$5:$B$1005="REGALO")*(MOVIMIENTOS!$C$5:$C$1005="C")*(MOVIMIENTOS!$D$5:$D$1005="jabas")*(MOVIMIENTOS!$A$5:$A$1005&lt;&gt;"")*(MOVIMIENTOS!$A$5:$A$1005&lt;=$A244)*MOVIMIENTOS!$E$5:$E$1005)-SUMPRODUCT((MOVIMIENTOS!$B$5:$B$1005="VENTA")*(MOVIMIENTOS!$C$5:$C$1005="C")*(MOVIMIENTOS!$D$5:$D$1005="jabas")*(MOVIMIENTOS!$A$5:$A$1005&lt;&gt;"")*(MOVIMIENTOS!$A$5:$A$1005&lt;=$A244)*MOVIMIENTOS!$E$5:$E$1005)+SUMPRODUCT((MOVIMIENTOS!$B$5:$B$1005="AJUSTE")*(MOVIMIENTOS!$C$5:$C$1005="C")*(MOVIMIENTOS!$D$5:$D$1005="jabas")*(MOVIMIENTOS!$A$5:$A$1005&lt;&gt;"")*(MOVIMIENTOS!$A$5:$A$1005&lt;=$A244)*MOVIMIENTOS!$E$5:$E$1005))</f>
        <v/>
      </c>
      <c r="E244" s="63" t="str">
        <f>IF($A244="","",SUMPRODUCT((MOVIMIENTOS!$B$5:$B$1005="SALDO INICIAL")*(MOVIMIENTOS!$C$5:$C$1005="M")*(MOVIMIENTOS!$D$5:$D$1005="jabas")*(MOVIMIENTOS!$A$5:$A$1005&lt;&gt;"")*(MOVIMIENTOS!$A$5:$A$1005&lt;=$A244)*MOVIMIENTOS!$E$5:$E$1005)+SUMPRODUCT((MOVIMIENTOS!$B$5:$B$1005="PROCESO")*(MOVIMIENTOS!$C$5:$C$1005="M")*(MOVIMIENTOS!$D$5:$D$1005="jabas")*(MOVIMIENTOS!$A$5:$A$1005&lt;&gt;"")*(MOVIMIENTOS!$A$5:$A$1005&lt;=$A244)*MOVIMIENTOS!$E$5:$E$1005)-SUMPRODUCT((MOVIMIENTOS!$B$5:$B$1005="ENVÍO A SUPESA")*(MOVIMIENTOS!$C$5:$C$1005="M")*(MOVIMIENTOS!$D$5:$D$1005="jabas")*(MOVIMIENTOS!$A$5:$A$1005&lt;&gt;"")*(MOVIMIENTOS!$A$5:$A$1005&lt;=$A244)*MOVIMIENTOS!$E$5:$E$1005)+SUMPRODUCT((MOVIMIENTOS!$B$5:$B$1005="DEVOLUCIÓN")*(MOVIMIENTOS!$C$5:$C$1005="M")*(MOVIMIENTOS!$D$5:$D$1005="jabas")*(MOVIMIENTOS!$A$5:$A$1005&lt;&gt;"")*(MOVIMIENTOS!$A$5:$A$1005&lt;=$A244)*MOVIMIENTOS!$E$5:$E$1005)-SUMPRODUCT((MOVIMIENTOS!$B$5:$B$1005="TRASIEGO")*(MOVIMIENTOS!$C$5:$C$1005="M")*(MOVIMIENTOS!$D$5:$D$1005="jabas")*(MOVIMIENTOS!$A$5:$A$1005&lt;&gt;"")*(MOVIMIENTOS!$A$5:$A$1005&lt;=$A244)*MOVIMIENTOS!$E$5:$E$1005)-SUMPRODUCT((MOVIMIENTOS!$B$5:$B$1005="REGALO")*(MOVIMIENTOS!$C$5:$C$1005="M")*(MOVIMIENTOS!$D$5:$D$1005="jabas")*(MOVIMIENTOS!$A$5:$A$1005&lt;&gt;"")*(MOVIMIENTOS!$A$5:$A$1005&lt;=$A244)*MOVIMIENTOS!$E$5:$E$1005)-SUMPRODUCT((MOVIMIENTOS!$B$5:$B$1005="VENTA")*(MOVIMIENTOS!$C$5:$C$1005="M")*(MOVIMIENTOS!$D$5:$D$1005="jabas")*(MOVIMIENTOS!$A$5:$A$1005&lt;&gt;"")*(MOVIMIENTOS!$A$5:$A$1005&lt;=$A244)*MOVIMIENTOS!$E$5:$E$1005)+SUMPRODUCT((MOVIMIENTOS!$B$5:$B$1005="AJUSTE")*(MOVIMIENTOS!$C$5:$C$1005="M")*(MOVIMIENTOS!$D$5:$D$1005="jabas")*(MOVIMIENTOS!$A$5:$A$1005&lt;&gt;"")*(MOVIMIENTOS!$A$5:$A$1005&lt;=$A244)*MOVIMIENTOS!$E$5:$E$1005))</f>
        <v/>
      </c>
      <c r="F244" s="63" t="str">
        <f>IF($A244="","",SUMPRODUCT((MOVIMIENTOS!$B$5:$B$1005="SALDO INICIAL")*(MOVIMIENTOS!$C$5:$C$1005="Chancho")*(MOVIMIENTOS!$D$5:$D$1005="sacos")*(MOVIMIENTOS!$A$5:$A$1005&lt;&gt;"")*(MOVIMIENTOS!$A$5:$A$1005&lt;=$A244)*MOVIMIENTOS!$E$5:$E$1005)+SUMPRODUCT((MOVIMIENTOS!$B$5:$B$1005="PROCESO")*(MOVIMIENTOS!$C$5:$C$1005="Chancho")*(MOVIMIENTOS!$D$5:$D$1005="sacos")*(MOVIMIENTOS!$A$5:$A$1005&lt;&gt;"")*(MOVIMIENTOS!$A$5:$A$1005&lt;=$A244)*MOVIMIENTOS!$E$5:$E$1005)-SUMPRODUCT((MOVIMIENTOS!$B$5:$B$1005="VENTA CHANCHO")*(MOVIMIENTOS!$C$5:$C$1005="Chancho")*(MOVIMIENTOS!$D$5:$D$1005="sacos")*(MOVIMIENTOS!$A$5:$A$1005&lt;&gt;"")*(MOVIMIENTOS!$A$5:$A$1005&lt;=$A244)*MOVIMIENTOS!$E$5:$E$1005)-SUMPRODUCT((MOVIMIENTOS!$B$5:$B$1005="REGALO")*(MOVIMIENTOS!$C$5:$C$1005="Chancho")*(MOVIMIENTOS!$D$5:$D$1005="sacos")*(MOVIMIENTOS!$A$5:$A$1005&lt;&gt;"")*(MOVIMIENTOS!$A$5:$A$1005&lt;=$A244)*MOVIMIENTOS!$E$5:$E$1005)-SUMPRODUCT((MOVIMIENTOS!$B$5:$B$1005="VENTA")*(MOVIMIENTOS!$C$5:$C$1005="Chancho")*(MOVIMIENTOS!$D$5:$D$1005="sacos")*(MOVIMIENTOS!$A$5:$A$1005&lt;&gt;"")*(MOVIMIENTOS!$A$5:$A$1005&lt;=$A244)*MOVIMIENTOS!$E$5:$E$1005)+SUMPRODUCT((MOVIMIENTOS!$B$5:$B$1005="AJUSTE")*(MOVIMIENTOS!$C$5:$C$1005="Chancho")*(MOVIMIENTOS!$D$5:$D$1005="sacos")*(MOVIMIENTOS!$A$5:$A$1005&lt;&gt;"")*(MOVIMIENTOS!$A$5:$A$1005&lt;=$A244)*MOVIMIENTOS!$E$5:$E$1005))</f>
        <v/>
      </c>
      <c r="G244" s="95" t="str">
        <f t="shared" si="7"/>
        <v/>
      </c>
      <c r="H244" s="63" t="str">
        <f>IF($A244="","",SUMPRODUCT((((MOVIMIENTOS!$B$5:$B$1005="SALDO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244)*MOVIMIENTOS!$J$5:$J$1005))</f>
        <v/>
      </c>
      <c r="I244" s="63"/>
      <c r="J244" s="63" t="str">
        <f>IF(AND(MOVIMIENTOS!$A244&lt;&gt;"",COUNTIF(MOVIMIENTOS!$A$5:$A243,MOVIMIENTOS!$A244)=0),COUNT(J$4:J243)+1,"")</f>
        <v/>
      </c>
      <c r="K244" s="66">
        <f>MOVIMIENTOS!$A244</f>
        <v>46235</v>
      </c>
      <c r="L244" s="63"/>
      <c r="M244" s="63"/>
      <c r="N244" s="63"/>
    </row>
    <row r="245" spans="1:14" ht="15" customHeight="1" x14ac:dyDescent="0.2">
      <c r="A245" s="63" t="str">
        <f t="shared" si="6"/>
        <v/>
      </c>
      <c r="B245" s="63" t="str">
        <f>IF($A245="","",SUMPRODUCT((MOVIMIENTOS!$B$5:$B$1005="SALDO INICIAL")*(MOVIMIENTOS!$C$5:$C$1005="A")*(MOVIMIENTOS!$D$5:$D$1005="jabas")*(MOVIMIENTOS!$A$5:$A$1005&lt;&gt;"")*(MOVIMIENTOS!$A$5:$A$1005&lt;=$A245)*MOVIMIENTOS!$E$5:$E$1005)+SUMPRODUCT((MOVIMIENTOS!$B$5:$B$1005="PROCESO")*(MOVIMIENTOS!$C$5:$C$1005="A")*(MOVIMIENTOS!$D$5:$D$1005="jabas")*(MOVIMIENTOS!$A$5:$A$1005&lt;&gt;"")*(MOVIMIENTOS!$A$5:$A$1005&lt;=$A245)*MOVIMIENTOS!$E$5:$E$1005)-SUMPRODUCT((MOVIMIENTOS!$B$5:$B$1005="ENVÍO A SUPESA")*(MOVIMIENTOS!$C$5:$C$1005="A")*(MOVIMIENTOS!$D$5:$D$1005="jabas")*(MOVIMIENTOS!$A$5:$A$1005&lt;&gt;"")*(MOVIMIENTOS!$A$5:$A$1005&lt;=$A245)*MOVIMIENTOS!$E$5:$E$1005)+SUMPRODUCT((MOVIMIENTOS!$B$5:$B$1005="DEVOLUCIÓN")*(MOVIMIENTOS!$C$5:$C$1005="A")*(MOVIMIENTOS!$D$5:$D$1005="jabas")*(MOVIMIENTOS!$A$5:$A$1005&lt;&gt;"")*(MOVIMIENTOS!$A$5:$A$1005&lt;=$A245)*MOVIMIENTOS!$E$5:$E$1005)-SUMPRODUCT((MOVIMIENTOS!$B$5:$B$1005="TRASIEGO")*(MOVIMIENTOS!$C$5:$C$1005="A")*(MOVIMIENTOS!$D$5:$D$1005="jabas")*(MOVIMIENTOS!$A$5:$A$1005&lt;&gt;"")*(MOVIMIENTOS!$A$5:$A$1005&lt;=$A245)*MOVIMIENTOS!$E$5:$E$1005)-SUMPRODUCT((MOVIMIENTOS!$B$5:$B$1005="REGALO")*(MOVIMIENTOS!$C$5:$C$1005="A")*(MOVIMIENTOS!$D$5:$D$1005="jabas")*(MOVIMIENTOS!$A$5:$A$1005&lt;&gt;"")*(MOVIMIENTOS!$A$5:$A$1005&lt;=$A245)*MOVIMIENTOS!$E$5:$E$1005)-SUMPRODUCT((MOVIMIENTOS!$B$5:$B$1005="VENTA")*(MOVIMIENTOS!$C$5:$C$1005="A")*(MOVIMIENTOS!$D$5:$D$1005="jabas")*(MOVIMIENTOS!$A$5:$A$1005&lt;&gt;"")*(MOVIMIENTOS!$A$5:$A$1005&lt;=$A245)*MOVIMIENTOS!$E$5:$E$1005)+SUMPRODUCT((MOVIMIENTOS!$B$5:$B$1005="AJUSTE")*(MOVIMIENTOS!$C$5:$C$1005="A")*(MOVIMIENTOS!$D$5:$D$1005="jabas")*(MOVIMIENTOS!$A$5:$A$1005&lt;&gt;"")*(MOVIMIENTOS!$A$5:$A$1005&lt;=$A245)*MOVIMIENTOS!$E$5:$E$1005))</f>
        <v/>
      </c>
      <c r="C245" s="63" t="str">
        <f>IF($A245="","",SUMPRODUCT((MOVIMIENTOS!$B$5:$B$1005="SALDO INICIAL")*(MOVIMIENTOS!$C$5:$C$1005="P")*(MOVIMIENTOS!$D$5:$D$1005="jabas")*(MOVIMIENTOS!$A$5:$A$1005&lt;&gt;"")*(MOVIMIENTOS!$A$5:$A$1005&lt;=$A245)*MOVIMIENTOS!$E$5:$E$1005)+SUMPRODUCT((MOVIMIENTOS!$B$5:$B$1005="PROCESO")*(MOVIMIENTOS!$C$5:$C$1005="P")*(MOVIMIENTOS!$D$5:$D$1005="jabas")*(MOVIMIENTOS!$A$5:$A$1005&lt;&gt;"")*(MOVIMIENTOS!$A$5:$A$1005&lt;=$A245)*MOVIMIENTOS!$E$5:$E$1005)-SUMPRODUCT((MOVIMIENTOS!$B$5:$B$1005="ENVÍO A SUPESA")*(MOVIMIENTOS!$C$5:$C$1005="P")*(MOVIMIENTOS!$D$5:$D$1005="jabas")*(MOVIMIENTOS!$A$5:$A$1005&lt;&gt;"")*(MOVIMIENTOS!$A$5:$A$1005&lt;=$A245)*MOVIMIENTOS!$E$5:$E$1005)+SUMPRODUCT((MOVIMIENTOS!$B$5:$B$1005="DEVOLUCIÓN")*(MOVIMIENTOS!$C$5:$C$1005="P")*(MOVIMIENTOS!$D$5:$D$1005="jabas")*(MOVIMIENTOS!$A$5:$A$1005&lt;&gt;"")*(MOVIMIENTOS!$A$5:$A$1005&lt;=$A245)*MOVIMIENTOS!$E$5:$E$1005)-SUMPRODUCT((MOVIMIENTOS!$B$5:$B$1005="TRASIEGO")*(MOVIMIENTOS!$C$5:$C$1005="P")*(MOVIMIENTOS!$D$5:$D$1005="jabas")*(MOVIMIENTOS!$A$5:$A$1005&lt;&gt;"")*(MOVIMIENTOS!$A$5:$A$1005&lt;=$A245)*MOVIMIENTOS!$E$5:$E$1005)-SUMPRODUCT((MOVIMIENTOS!$B$5:$B$1005="REGALO")*(MOVIMIENTOS!$C$5:$C$1005="P")*(MOVIMIENTOS!$D$5:$D$1005="jabas")*(MOVIMIENTOS!$A$5:$A$1005&lt;&gt;"")*(MOVIMIENTOS!$A$5:$A$1005&lt;=$A245)*MOVIMIENTOS!$E$5:$E$1005)-SUMPRODUCT((MOVIMIENTOS!$B$5:$B$1005="VENTA")*(MOVIMIENTOS!$C$5:$C$1005="P")*(MOVIMIENTOS!$D$5:$D$1005="jabas")*(MOVIMIENTOS!$A$5:$A$1005&lt;&gt;"")*(MOVIMIENTOS!$A$5:$A$1005&lt;=$A245)*MOVIMIENTOS!$E$5:$E$1005)+SUMPRODUCT((MOVIMIENTOS!$B$5:$B$1005="AJUSTE")*(MOVIMIENTOS!$C$5:$C$1005="P")*(MOVIMIENTOS!$D$5:$D$1005="jabas")*(MOVIMIENTOS!$A$5:$A$1005&lt;&gt;"")*(MOVIMIENTOS!$A$5:$A$1005&lt;=$A245)*MOVIMIENTOS!$E$5:$E$1005))</f>
        <v/>
      </c>
      <c r="D245" s="63" t="str">
        <f>IF($A245="","",SUMPRODUCT((MOVIMIENTOS!$B$5:$B$1005="SALDO INICIAL")*(MOVIMIENTOS!$C$5:$C$1005="C")*(MOVIMIENTOS!$D$5:$D$1005="jabas")*(MOVIMIENTOS!$A$5:$A$1005&lt;&gt;"")*(MOVIMIENTOS!$A$5:$A$1005&lt;=$A245)*MOVIMIENTOS!$E$5:$E$1005)+SUMPRODUCT((MOVIMIENTOS!$B$5:$B$1005="PROCESO")*(MOVIMIENTOS!$C$5:$C$1005="C")*(MOVIMIENTOS!$D$5:$D$1005="jabas")*(MOVIMIENTOS!$A$5:$A$1005&lt;&gt;"")*(MOVIMIENTOS!$A$5:$A$1005&lt;=$A245)*MOVIMIENTOS!$E$5:$E$1005)-SUMPRODUCT((MOVIMIENTOS!$B$5:$B$1005="ENVÍO A SUPESA")*(MOVIMIENTOS!$C$5:$C$1005="C")*(MOVIMIENTOS!$D$5:$D$1005="jabas")*(MOVIMIENTOS!$A$5:$A$1005&lt;&gt;"")*(MOVIMIENTOS!$A$5:$A$1005&lt;=$A245)*MOVIMIENTOS!$E$5:$E$1005)+SUMPRODUCT((MOVIMIENTOS!$B$5:$B$1005="DEVOLUCIÓN")*(MOVIMIENTOS!$C$5:$C$1005="C")*(MOVIMIENTOS!$D$5:$D$1005="jabas")*(MOVIMIENTOS!$A$5:$A$1005&lt;&gt;"")*(MOVIMIENTOS!$A$5:$A$1005&lt;=$A245)*MOVIMIENTOS!$E$5:$E$1005)-SUMPRODUCT((MOVIMIENTOS!$B$5:$B$1005="TRASIEGO")*(MOVIMIENTOS!$C$5:$C$1005="C")*(MOVIMIENTOS!$D$5:$D$1005="jabas")*(MOVIMIENTOS!$A$5:$A$1005&lt;&gt;"")*(MOVIMIENTOS!$A$5:$A$1005&lt;=$A245)*MOVIMIENTOS!$E$5:$E$1005)-SUMPRODUCT((MOVIMIENTOS!$B$5:$B$1005="REGALO")*(MOVIMIENTOS!$C$5:$C$1005="C")*(MOVIMIENTOS!$D$5:$D$1005="jabas")*(MOVIMIENTOS!$A$5:$A$1005&lt;&gt;"")*(MOVIMIENTOS!$A$5:$A$1005&lt;=$A245)*MOVIMIENTOS!$E$5:$E$1005)-SUMPRODUCT((MOVIMIENTOS!$B$5:$B$1005="VENTA")*(MOVIMIENTOS!$C$5:$C$1005="C")*(MOVIMIENTOS!$D$5:$D$1005="jabas")*(MOVIMIENTOS!$A$5:$A$1005&lt;&gt;"")*(MOVIMIENTOS!$A$5:$A$1005&lt;=$A245)*MOVIMIENTOS!$E$5:$E$1005)+SUMPRODUCT((MOVIMIENTOS!$B$5:$B$1005="AJUSTE")*(MOVIMIENTOS!$C$5:$C$1005="C")*(MOVIMIENTOS!$D$5:$D$1005="jabas")*(MOVIMIENTOS!$A$5:$A$1005&lt;&gt;"")*(MOVIMIENTOS!$A$5:$A$1005&lt;=$A245)*MOVIMIENTOS!$E$5:$E$1005))</f>
        <v/>
      </c>
      <c r="E245" s="63" t="str">
        <f>IF($A245="","",SUMPRODUCT((MOVIMIENTOS!$B$5:$B$1005="SALDO INICIAL")*(MOVIMIENTOS!$C$5:$C$1005="M")*(MOVIMIENTOS!$D$5:$D$1005="jabas")*(MOVIMIENTOS!$A$5:$A$1005&lt;&gt;"")*(MOVIMIENTOS!$A$5:$A$1005&lt;=$A245)*MOVIMIENTOS!$E$5:$E$1005)+SUMPRODUCT((MOVIMIENTOS!$B$5:$B$1005="PROCESO")*(MOVIMIENTOS!$C$5:$C$1005="M")*(MOVIMIENTOS!$D$5:$D$1005="jabas")*(MOVIMIENTOS!$A$5:$A$1005&lt;&gt;"")*(MOVIMIENTOS!$A$5:$A$1005&lt;=$A245)*MOVIMIENTOS!$E$5:$E$1005)-SUMPRODUCT((MOVIMIENTOS!$B$5:$B$1005="ENVÍO A SUPESA")*(MOVIMIENTOS!$C$5:$C$1005="M")*(MOVIMIENTOS!$D$5:$D$1005="jabas")*(MOVIMIENTOS!$A$5:$A$1005&lt;&gt;"")*(MOVIMIENTOS!$A$5:$A$1005&lt;=$A245)*MOVIMIENTOS!$E$5:$E$1005)+SUMPRODUCT((MOVIMIENTOS!$B$5:$B$1005="DEVOLUCIÓN")*(MOVIMIENTOS!$C$5:$C$1005="M")*(MOVIMIENTOS!$D$5:$D$1005="jabas")*(MOVIMIENTOS!$A$5:$A$1005&lt;&gt;"")*(MOVIMIENTOS!$A$5:$A$1005&lt;=$A245)*MOVIMIENTOS!$E$5:$E$1005)-SUMPRODUCT((MOVIMIENTOS!$B$5:$B$1005="TRASIEGO")*(MOVIMIENTOS!$C$5:$C$1005="M")*(MOVIMIENTOS!$D$5:$D$1005="jabas")*(MOVIMIENTOS!$A$5:$A$1005&lt;&gt;"")*(MOVIMIENTOS!$A$5:$A$1005&lt;=$A245)*MOVIMIENTOS!$E$5:$E$1005)-SUMPRODUCT((MOVIMIENTOS!$B$5:$B$1005="REGALO")*(MOVIMIENTOS!$C$5:$C$1005="M")*(MOVIMIENTOS!$D$5:$D$1005="jabas")*(MOVIMIENTOS!$A$5:$A$1005&lt;&gt;"")*(MOVIMIENTOS!$A$5:$A$1005&lt;=$A245)*MOVIMIENTOS!$E$5:$E$1005)-SUMPRODUCT((MOVIMIENTOS!$B$5:$B$1005="VENTA")*(MOVIMIENTOS!$C$5:$C$1005="M")*(MOVIMIENTOS!$D$5:$D$1005="jabas")*(MOVIMIENTOS!$A$5:$A$1005&lt;&gt;"")*(MOVIMIENTOS!$A$5:$A$1005&lt;=$A245)*MOVIMIENTOS!$E$5:$E$1005)+SUMPRODUCT((MOVIMIENTOS!$B$5:$B$1005="AJUSTE")*(MOVIMIENTOS!$C$5:$C$1005="M")*(MOVIMIENTOS!$D$5:$D$1005="jabas")*(MOVIMIENTOS!$A$5:$A$1005&lt;&gt;"")*(MOVIMIENTOS!$A$5:$A$1005&lt;=$A245)*MOVIMIENTOS!$E$5:$E$1005))</f>
        <v/>
      </c>
      <c r="F245" s="63" t="str">
        <f>IF($A245="","",SUMPRODUCT((MOVIMIENTOS!$B$5:$B$1005="SALDO INICIAL")*(MOVIMIENTOS!$C$5:$C$1005="Chancho")*(MOVIMIENTOS!$D$5:$D$1005="sacos")*(MOVIMIENTOS!$A$5:$A$1005&lt;&gt;"")*(MOVIMIENTOS!$A$5:$A$1005&lt;=$A245)*MOVIMIENTOS!$E$5:$E$1005)+SUMPRODUCT((MOVIMIENTOS!$B$5:$B$1005="PROCESO")*(MOVIMIENTOS!$C$5:$C$1005="Chancho")*(MOVIMIENTOS!$D$5:$D$1005="sacos")*(MOVIMIENTOS!$A$5:$A$1005&lt;&gt;"")*(MOVIMIENTOS!$A$5:$A$1005&lt;=$A245)*MOVIMIENTOS!$E$5:$E$1005)-SUMPRODUCT((MOVIMIENTOS!$B$5:$B$1005="VENTA CHANCHO")*(MOVIMIENTOS!$C$5:$C$1005="Chancho")*(MOVIMIENTOS!$D$5:$D$1005="sacos")*(MOVIMIENTOS!$A$5:$A$1005&lt;&gt;"")*(MOVIMIENTOS!$A$5:$A$1005&lt;=$A245)*MOVIMIENTOS!$E$5:$E$1005)-SUMPRODUCT((MOVIMIENTOS!$B$5:$B$1005="REGALO")*(MOVIMIENTOS!$C$5:$C$1005="Chancho")*(MOVIMIENTOS!$D$5:$D$1005="sacos")*(MOVIMIENTOS!$A$5:$A$1005&lt;&gt;"")*(MOVIMIENTOS!$A$5:$A$1005&lt;=$A245)*MOVIMIENTOS!$E$5:$E$1005)-SUMPRODUCT((MOVIMIENTOS!$B$5:$B$1005="VENTA")*(MOVIMIENTOS!$C$5:$C$1005="Chancho")*(MOVIMIENTOS!$D$5:$D$1005="sacos")*(MOVIMIENTOS!$A$5:$A$1005&lt;&gt;"")*(MOVIMIENTOS!$A$5:$A$1005&lt;=$A245)*MOVIMIENTOS!$E$5:$E$1005)+SUMPRODUCT((MOVIMIENTOS!$B$5:$B$1005="AJUSTE")*(MOVIMIENTOS!$C$5:$C$1005="Chancho")*(MOVIMIENTOS!$D$5:$D$1005="sacos")*(MOVIMIENTOS!$A$5:$A$1005&lt;&gt;"")*(MOVIMIENTOS!$A$5:$A$1005&lt;=$A245)*MOVIMIENTOS!$E$5:$E$1005))</f>
        <v/>
      </c>
      <c r="G245" s="95" t="str">
        <f t="shared" si="7"/>
        <v/>
      </c>
      <c r="H245" s="63" t="str">
        <f>IF($A245="","",SUMPRODUCT((((MOVIMIENTOS!$B$5:$B$1005="SALDO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245)*MOVIMIENTOS!$J$5:$J$1005))</f>
        <v/>
      </c>
      <c r="I245" s="63"/>
      <c r="J245" s="63" t="str">
        <f>IF(AND(MOVIMIENTOS!$A245&lt;&gt;"",COUNTIF(MOVIMIENTOS!$A$5:$A244,MOVIMIENTOS!$A245)=0),COUNT(J$4:J244)+1,"")</f>
        <v/>
      </c>
      <c r="K245" s="66">
        <f>MOVIMIENTOS!$A245</f>
        <v>46235</v>
      </c>
      <c r="L245" s="63"/>
      <c r="M245" s="63"/>
      <c r="N245" s="63"/>
    </row>
    <row r="246" spans="1:14" ht="15" customHeight="1" x14ac:dyDescent="0.2">
      <c r="A246" s="63" t="str">
        <f t="shared" si="6"/>
        <v/>
      </c>
      <c r="B246" s="63" t="str">
        <f>IF($A246="","",SUMPRODUCT((MOVIMIENTOS!$B$5:$B$1005="SALDO INICIAL")*(MOVIMIENTOS!$C$5:$C$1005="A")*(MOVIMIENTOS!$D$5:$D$1005="jabas")*(MOVIMIENTOS!$A$5:$A$1005&lt;&gt;"")*(MOVIMIENTOS!$A$5:$A$1005&lt;=$A246)*MOVIMIENTOS!$E$5:$E$1005)+SUMPRODUCT((MOVIMIENTOS!$B$5:$B$1005="PROCESO")*(MOVIMIENTOS!$C$5:$C$1005="A")*(MOVIMIENTOS!$D$5:$D$1005="jabas")*(MOVIMIENTOS!$A$5:$A$1005&lt;&gt;"")*(MOVIMIENTOS!$A$5:$A$1005&lt;=$A246)*MOVIMIENTOS!$E$5:$E$1005)-SUMPRODUCT((MOVIMIENTOS!$B$5:$B$1005="ENVÍO A SUPESA")*(MOVIMIENTOS!$C$5:$C$1005="A")*(MOVIMIENTOS!$D$5:$D$1005="jabas")*(MOVIMIENTOS!$A$5:$A$1005&lt;&gt;"")*(MOVIMIENTOS!$A$5:$A$1005&lt;=$A246)*MOVIMIENTOS!$E$5:$E$1005)+SUMPRODUCT((MOVIMIENTOS!$B$5:$B$1005="DEVOLUCIÓN")*(MOVIMIENTOS!$C$5:$C$1005="A")*(MOVIMIENTOS!$D$5:$D$1005="jabas")*(MOVIMIENTOS!$A$5:$A$1005&lt;&gt;"")*(MOVIMIENTOS!$A$5:$A$1005&lt;=$A246)*MOVIMIENTOS!$E$5:$E$1005)-SUMPRODUCT((MOVIMIENTOS!$B$5:$B$1005="TRASIEGO")*(MOVIMIENTOS!$C$5:$C$1005="A")*(MOVIMIENTOS!$D$5:$D$1005="jabas")*(MOVIMIENTOS!$A$5:$A$1005&lt;&gt;"")*(MOVIMIENTOS!$A$5:$A$1005&lt;=$A246)*MOVIMIENTOS!$E$5:$E$1005)-SUMPRODUCT((MOVIMIENTOS!$B$5:$B$1005="REGALO")*(MOVIMIENTOS!$C$5:$C$1005="A")*(MOVIMIENTOS!$D$5:$D$1005="jabas")*(MOVIMIENTOS!$A$5:$A$1005&lt;&gt;"")*(MOVIMIENTOS!$A$5:$A$1005&lt;=$A246)*MOVIMIENTOS!$E$5:$E$1005)-SUMPRODUCT((MOVIMIENTOS!$B$5:$B$1005="VENTA")*(MOVIMIENTOS!$C$5:$C$1005="A")*(MOVIMIENTOS!$D$5:$D$1005="jabas")*(MOVIMIENTOS!$A$5:$A$1005&lt;&gt;"")*(MOVIMIENTOS!$A$5:$A$1005&lt;=$A246)*MOVIMIENTOS!$E$5:$E$1005)+SUMPRODUCT((MOVIMIENTOS!$B$5:$B$1005="AJUSTE")*(MOVIMIENTOS!$C$5:$C$1005="A")*(MOVIMIENTOS!$D$5:$D$1005="jabas")*(MOVIMIENTOS!$A$5:$A$1005&lt;&gt;"")*(MOVIMIENTOS!$A$5:$A$1005&lt;=$A246)*MOVIMIENTOS!$E$5:$E$1005))</f>
        <v/>
      </c>
      <c r="C246" s="63" t="str">
        <f>IF($A246="","",SUMPRODUCT((MOVIMIENTOS!$B$5:$B$1005="SALDO INICIAL")*(MOVIMIENTOS!$C$5:$C$1005="P")*(MOVIMIENTOS!$D$5:$D$1005="jabas")*(MOVIMIENTOS!$A$5:$A$1005&lt;&gt;"")*(MOVIMIENTOS!$A$5:$A$1005&lt;=$A246)*MOVIMIENTOS!$E$5:$E$1005)+SUMPRODUCT((MOVIMIENTOS!$B$5:$B$1005="PROCESO")*(MOVIMIENTOS!$C$5:$C$1005="P")*(MOVIMIENTOS!$D$5:$D$1005="jabas")*(MOVIMIENTOS!$A$5:$A$1005&lt;&gt;"")*(MOVIMIENTOS!$A$5:$A$1005&lt;=$A246)*MOVIMIENTOS!$E$5:$E$1005)-SUMPRODUCT((MOVIMIENTOS!$B$5:$B$1005="ENVÍO A SUPESA")*(MOVIMIENTOS!$C$5:$C$1005="P")*(MOVIMIENTOS!$D$5:$D$1005="jabas")*(MOVIMIENTOS!$A$5:$A$1005&lt;&gt;"")*(MOVIMIENTOS!$A$5:$A$1005&lt;=$A246)*MOVIMIENTOS!$E$5:$E$1005)+SUMPRODUCT((MOVIMIENTOS!$B$5:$B$1005="DEVOLUCIÓN")*(MOVIMIENTOS!$C$5:$C$1005="P")*(MOVIMIENTOS!$D$5:$D$1005="jabas")*(MOVIMIENTOS!$A$5:$A$1005&lt;&gt;"")*(MOVIMIENTOS!$A$5:$A$1005&lt;=$A246)*MOVIMIENTOS!$E$5:$E$1005)-SUMPRODUCT((MOVIMIENTOS!$B$5:$B$1005="TRASIEGO")*(MOVIMIENTOS!$C$5:$C$1005="P")*(MOVIMIENTOS!$D$5:$D$1005="jabas")*(MOVIMIENTOS!$A$5:$A$1005&lt;&gt;"")*(MOVIMIENTOS!$A$5:$A$1005&lt;=$A246)*MOVIMIENTOS!$E$5:$E$1005)-SUMPRODUCT((MOVIMIENTOS!$B$5:$B$1005="REGALO")*(MOVIMIENTOS!$C$5:$C$1005="P")*(MOVIMIENTOS!$D$5:$D$1005="jabas")*(MOVIMIENTOS!$A$5:$A$1005&lt;&gt;"")*(MOVIMIENTOS!$A$5:$A$1005&lt;=$A246)*MOVIMIENTOS!$E$5:$E$1005)-SUMPRODUCT((MOVIMIENTOS!$B$5:$B$1005="VENTA")*(MOVIMIENTOS!$C$5:$C$1005="P")*(MOVIMIENTOS!$D$5:$D$1005="jabas")*(MOVIMIENTOS!$A$5:$A$1005&lt;&gt;"")*(MOVIMIENTOS!$A$5:$A$1005&lt;=$A246)*MOVIMIENTOS!$E$5:$E$1005)+SUMPRODUCT((MOVIMIENTOS!$B$5:$B$1005="AJUSTE")*(MOVIMIENTOS!$C$5:$C$1005="P")*(MOVIMIENTOS!$D$5:$D$1005="jabas")*(MOVIMIENTOS!$A$5:$A$1005&lt;&gt;"")*(MOVIMIENTOS!$A$5:$A$1005&lt;=$A246)*MOVIMIENTOS!$E$5:$E$1005))</f>
        <v/>
      </c>
      <c r="D246" s="63" t="str">
        <f>IF($A246="","",SUMPRODUCT((MOVIMIENTOS!$B$5:$B$1005="SALDO INICIAL")*(MOVIMIENTOS!$C$5:$C$1005="C")*(MOVIMIENTOS!$D$5:$D$1005="jabas")*(MOVIMIENTOS!$A$5:$A$1005&lt;&gt;"")*(MOVIMIENTOS!$A$5:$A$1005&lt;=$A246)*MOVIMIENTOS!$E$5:$E$1005)+SUMPRODUCT((MOVIMIENTOS!$B$5:$B$1005="PROCESO")*(MOVIMIENTOS!$C$5:$C$1005="C")*(MOVIMIENTOS!$D$5:$D$1005="jabas")*(MOVIMIENTOS!$A$5:$A$1005&lt;&gt;"")*(MOVIMIENTOS!$A$5:$A$1005&lt;=$A246)*MOVIMIENTOS!$E$5:$E$1005)-SUMPRODUCT((MOVIMIENTOS!$B$5:$B$1005="ENVÍO A SUPESA")*(MOVIMIENTOS!$C$5:$C$1005="C")*(MOVIMIENTOS!$D$5:$D$1005="jabas")*(MOVIMIENTOS!$A$5:$A$1005&lt;&gt;"")*(MOVIMIENTOS!$A$5:$A$1005&lt;=$A246)*MOVIMIENTOS!$E$5:$E$1005)+SUMPRODUCT((MOVIMIENTOS!$B$5:$B$1005="DEVOLUCIÓN")*(MOVIMIENTOS!$C$5:$C$1005="C")*(MOVIMIENTOS!$D$5:$D$1005="jabas")*(MOVIMIENTOS!$A$5:$A$1005&lt;&gt;"")*(MOVIMIENTOS!$A$5:$A$1005&lt;=$A246)*MOVIMIENTOS!$E$5:$E$1005)-SUMPRODUCT((MOVIMIENTOS!$B$5:$B$1005="TRASIEGO")*(MOVIMIENTOS!$C$5:$C$1005="C")*(MOVIMIENTOS!$D$5:$D$1005="jabas")*(MOVIMIENTOS!$A$5:$A$1005&lt;&gt;"")*(MOVIMIENTOS!$A$5:$A$1005&lt;=$A246)*MOVIMIENTOS!$E$5:$E$1005)-SUMPRODUCT((MOVIMIENTOS!$B$5:$B$1005="REGALO")*(MOVIMIENTOS!$C$5:$C$1005="C")*(MOVIMIENTOS!$D$5:$D$1005="jabas")*(MOVIMIENTOS!$A$5:$A$1005&lt;&gt;"")*(MOVIMIENTOS!$A$5:$A$1005&lt;=$A246)*MOVIMIENTOS!$E$5:$E$1005)-SUMPRODUCT((MOVIMIENTOS!$B$5:$B$1005="VENTA")*(MOVIMIENTOS!$C$5:$C$1005="C")*(MOVIMIENTOS!$D$5:$D$1005="jabas")*(MOVIMIENTOS!$A$5:$A$1005&lt;&gt;"")*(MOVIMIENTOS!$A$5:$A$1005&lt;=$A246)*MOVIMIENTOS!$E$5:$E$1005)+SUMPRODUCT((MOVIMIENTOS!$B$5:$B$1005="AJUSTE")*(MOVIMIENTOS!$C$5:$C$1005="C")*(MOVIMIENTOS!$D$5:$D$1005="jabas")*(MOVIMIENTOS!$A$5:$A$1005&lt;&gt;"")*(MOVIMIENTOS!$A$5:$A$1005&lt;=$A246)*MOVIMIENTOS!$E$5:$E$1005))</f>
        <v/>
      </c>
      <c r="E246" s="63" t="str">
        <f>IF($A246="","",SUMPRODUCT((MOVIMIENTOS!$B$5:$B$1005="SALDO INICIAL")*(MOVIMIENTOS!$C$5:$C$1005="M")*(MOVIMIENTOS!$D$5:$D$1005="jabas")*(MOVIMIENTOS!$A$5:$A$1005&lt;&gt;"")*(MOVIMIENTOS!$A$5:$A$1005&lt;=$A246)*MOVIMIENTOS!$E$5:$E$1005)+SUMPRODUCT((MOVIMIENTOS!$B$5:$B$1005="PROCESO")*(MOVIMIENTOS!$C$5:$C$1005="M")*(MOVIMIENTOS!$D$5:$D$1005="jabas")*(MOVIMIENTOS!$A$5:$A$1005&lt;&gt;"")*(MOVIMIENTOS!$A$5:$A$1005&lt;=$A246)*MOVIMIENTOS!$E$5:$E$1005)-SUMPRODUCT((MOVIMIENTOS!$B$5:$B$1005="ENVÍO A SUPESA")*(MOVIMIENTOS!$C$5:$C$1005="M")*(MOVIMIENTOS!$D$5:$D$1005="jabas")*(MOVIMIENTOS!$A$5:$A$1005&lt;&gt;"")*(MOVIMIENTOS!$A$5:$A$1005&lt;=$A246)*MOVIMIENTOS!$E$5:$E$1005)+SUMPRODUCT((MOVIMIENTOS!$B$5:$B$1005="DEVOLUCIÓN")*(MOVIMIENTOS!$C$5:$C$1005="M")*(MOVIMIENTOS!$D$5:$D$1005="jabas")*(MOVIMIENTOS!$A$5:$A$1005&lt;&gt;"")*(MOVIMIENTOS!$A$5:$A$1005&lt;=$A246)*MOVIMIENTOS!$E$5:$E$1005)-SUMPRODUCT((MOVIMIENTOS!$B$5:$B$1005="TRASIEGO")*(MOVIMIENTOS!$C$5:$C$1005="M")*(MOVIMIENTOS!$D$5:$D$1005="jabas")*(MOVIMIENTOS!$A$5:$A$1005&lt;&gt;"")*(MOVIMIENTOS!$A$5:$A$1005&lt;=$A246)*MOVIMIENTOS!$E$5:$E$1005)-SUMPRODUCT((MOVIMIENTOS!$B$5:$B$1005="REGALO")*(MOVIMIENTOS!$C$5:$C$1005="M")*(MOVIMIENTOS!$D$5:$D$1005="jabas")*(MOVIMIENTOS!$A$5:$A$1005&lt;&gt;"")*(MOVIMIENTOS!$A$5:$A$1005&lt;=$A246)*MOVIMIENTOS!$E$5:$E$1005)-SUMPRODUCT((MOVIMIENTOS!$B$5:$B$1005="VENTA")*(MOVIMIENTOS!$C$5:$C$1005="M")*(MOVIMIENTOS!$D$5:$D$1005="jabas")*(MOVIMIENTOS!$A$5:$A$1005&lt;&gt;"")*(MOVIMIENTOS!$A$5:$A$1005&lt;=$A246)*MOVIMIENTOS!$E$5:$E$1005)+SUMPRODUCT((MOVIMIENTOS!$B$5:$B$1005="AJUSTE")*(MOVIMIENTOS!$C$5:$C$1005="M")*(MOVIMIENTOS!$D$5:$D$1005="jabas")*(MOVIMIENTOS!$A$5:$A$1005&lt;&gt;"")*(MOVIMIENTOS!$A$5:$A$1005&lt;=$A246)*MOVIMIENTOS!$E$5:$E$1005))</f>
        <v/>
      </c>
      <c r="F246" s="63" t="str">
        <f>IF($A246="","",SUMPRODUCT((MOVIMIENTOS!$B$5:$B$1005="SALDO INICIAL")*(MOVIMIENTOS!$C$5:$C$1005="Chancho")*(MOVIMIENTOS!$D$5:$D$1005="sacos")*(MOVIMIENTOS!$A$5:$A$1005&lt;&gt;"")*(MOVIMIENTOS!$A$5:$A$1005&lt;=$A246)*MOVIMIENTOS!$E$5:$E$1005)+SUMPRODUCT((MOVIMIENTOS!$B$5:$B$1005="PROCESO")*(MOVIMIENTOS!$C$5:$C$1005="Chancho")*(MOVIMIENTOS!$D$5:$D$1005="sacos")*(MOVIMIENTOS!$A$5:$A$1005&lt;&gt;"")*(MOVIMIENTOS!$A$5:$A$1005&lt;=$A246)*MOVIMIENTOS!$E$5:$E$1005)-SUMPRODUCT((MOVIMIENTOS!$B$5:$B$1005="VENTA CHANCHO")*(MOVIMIENTOS!$C$5:$C$1005="Chancho")*(MOVIMIENTOS!$D$5:$D$1005="sacos")*(MOVIMIENTOS!$A$5:$A$1005&lt;&gt;"")*(MOVIMIENTOS!$A$5:$A$1005&lt;=$A246)*MOVIMIENTOS!$E$5:$E$1005)-SUMPRODUCT((MOVIMIENTOS!$B$5:$B$1005="REGALO")*(MOVIMIENTOS!$C$5:$C$1005="Chancho")*(MOVIMIENTOS!$D$5:$D$1005="sacos")*(MOVIMIENTOS!$A$5:$A$1005&lt;&gt;"")*(MOVIMIENTOS!$A$5:$A$1005&lt;=$A246)*MOVIMIENTOS!$E$5:$E$1005)-SUMPRODUCT((MOVIMIENTOS!$B$5:$B$1005="VENTA")*(MOVIMIENTOS!$C$5:$C$1005="Chancho")*(MOVIMIENTOS!$D$5:$D$1005="sacos")*(MOVIMIENTOS!$A$5:$A$1005&lt;&gt;"")*(MOVIMIENTOS!$A$5:$A$1005&lt;=$A246)*MOVIMIENTOS!$E$5:$E$1005)+SUMPRODUCT((MOVIMIENTOS!$B$5:$B$1005="AJUSTE")*(MOVIMIENTOS!$C$5:$C$1005="Chancho")*(MOVIMIENTOS!$D$5:$D$1005="sacos")*(MOVIMIENTOS!$A$5:$A$1005&lt;&gt;"")*(MOVIMIENTOS!$A$5:$A$1005&lt;=$A246)*MOVIMIENTOS!$E$5:$E$1005))</f>
        <v/>
      </c>
      <c r="G246" s="95" t="str">
        <f t="shared" si="7"/>
        <v/>
      </c>
      <c r="H246" s="63" t="str">
        <f>IF($A246="","",SUMPRODUCT((((MOVIMIENTOS!$B$5:$B$1005="SALDO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246)*MOVIMIENTOS!$J$5:$J$1005))</f>
        <v/>
      </c>
      <c r="I246" s="63"/>
      <c r="J246" s="63" t="str">
        <f>IF(AND(MOVIMIENTOS!$A246&lt;&gt;"",COUNTIF(MOVIMIENTOS!$A$5:$A245,MOVIMIENTOS!$A246)=0),COUNT(J$4:J245)+1,"")</f>
        <v/>
      </c>
      <c r="K246" s="66">
        <f>MOVIMIENTOS!$A246</f>
        <v>46235</v>
      </c>
      <c r="L246" s="63"/>
      <c r="M246" s="63"/>
      <c r="N246" s="63"/>
    </row>
    <row r="247" spans="1:14" ht="15" customHeight="1" x14ac:dyDescent="0.2">
      <c r="A247" s="63" t="str">
        <f t="shared" si="6"/>
        <v/>
      </c>
      <c r="B247" s="63" t="str">
        <f>IF($A247="","",SUMPRODUCT((MOVIMIENTOS!$B$5:$B$1005="SALDO INICIAL")*(MOVIMIENTOS!$C$5:$C$1005="A")*(MOVIMIENTOS!$D$5:$D$1005="jabas")*(MOVIMIENTOS!$A$5:$A$1005&lt;&gt;"")*(MOVIMIENTOS!$A$5:$A$1005&lt;=$A247)*MOVIMIENTOS!$E$5:$E$1005)+SUMPRODUCT((MOVIMIENTOS!$B$5:$B$1005="PROCESO")*(MOVIMIENTOS!$C$5:$C$1005="A")*(MOVIMIENTOS!$D$5:$D$1005="jabas")*(MOVIMIENTOS!$A$5:$A$1005&lt;&gt;"")*(MOVIMIENTOS!$A$5:$A$1005&lt;=$A247)*MOVIMIENTOS!$E$5:$E$1005)-SUMPRODUCT((MOVIMIENTOS!$B$5:$B$1005="ENVÍO A SUPESA")*(MOVIMIENTOS!$C$5:$C$1005="A")*(MOVIMIENTOS!$D$5:$D$1005="jabas")*(MOVIMIENTOS!$A$5:$A$1005&lt;&gt;"")*(MOVIMIENTOS!$A$5:$A$1005&lt;=$A247)*MOVIMIENTOS!$E$5:$E$1005)+SUMPRODUCT((MOVIMIENTOS!$B$5:$B$1005="DEVOLUCIÓN")*(MOVIMIENTOS!$C$5:$C$1005="A")*(MOVIMIENTOS!$D$5:$D$1005="jabas")*(MOVIMIENTOS!$A$5:$A$1005&lt;&gt;"")*(MOVIMIENTOS!$A$5:$A$1005&lt;=$A247)*MOVIMIENTOS!$E$5:$E$1005)-SUMPRODUCT((MOVIMIENTOS!$B$5:$B$1005="TRASIEGO")*(MOVIMIENTOS!$C$5:$C$1005="A")*(MOVIMIENTOS!$D$5:$D$1005="jabas")*(MOVIMIENTOS!$A$5:$A$1005&lt;&gt;"")*(MOVIMIENTOS!$A$5:$A$1005&lt;=$A247)*MOVIMIENTOS!$E$5:$E$1005)-SUMPRODUCT((MOVIMIENTOS!$B$5:$B$1005="REGALO")*(MOVIMIENTOS!$C$5:$C$1005="A")*(MOVIMIENTOS!$D$5:$D$1005="jabas")*(MOVIMIENTOS!$A$5:$A$1005&lt;&gt;"")*(MOVIMIENTOS!$A$5:$A$1005&lt;=$A247)*MOVIMIENTOS!$E$5:$E$1005)-SUMPRODUCT((MOVIMIENTOS!$B$5:$B$1005="VENTA")*(MOVIMIENTOS!$C$5:$C$1005="A")*(MOVIMIENTOS!$D$5:$D$1005="jabas")*(MOVIMIENTOS!$A$5:$A$1005&lt;&gt;"")*(MOVIMIENTOS!$A$5:$A$1005&lt;=$A247)*MOVIMIENTOS!$E$5:$E$1005)+SUMPRODUCT((MOVIMIENTOS!$B$5:$B$1005="AJUSTE")*(MOVIMIENTOS!$C$5:$C$1005="A")*(MOVIMIENTOS!$D$5:$D$1005="jabas")*(MOVIMIENTOS!$A$5:$A$1005&lt;&gt;"")*(MOVIMIENTOS!$A$5:$A$1005&lt;=$A247)*MOVIMIENTOS!$E$5:$E$1005))</f>
        <v/>
      </c>
      <c r="C247" s="63" t="str">
        <f>IF($A247="","",SUMPRODUCT((MOVIMIENTOS!$B$5:$B$1005="SALDO INICIAL")*(MOVIMIENTOS!$C$5:$C$1005="P")*(MOVIMIENTOS!$D$5:$D$1005="jabas")*(MOVIMIENTOS!$A$5:$A$1005&lt;&gt;"")*(MOVIMIENTOS!$A$5:$A$1005&lt;=$A247)*MOVIMIENTOS!$E$5:$E$1005)+SUMPRODUCT((MOVIMIENTOS!$B$5:$B$1005="PROCESO")*(MOVIMIENTOS!$C$5:$C$1005="P")*(MOVIMIENTOS!$D$5:$D$1005="jabas")*(MOVIMIENTOS!$A$5:$A$1005&lt;&gt;"")*(MOVIMIENTOS!$A$5:$A$1005&lt;=$A247)*MOVIMIENTOS!$E$5:$E$1005)-SUMPRODUCT((MOVIMIENTOS!$B$5:$B$1005="ENVÍO A SUPESA")*(MOVIMIENTOS!$C$5:$C$1005="P")*(MOVIMIENTOS!$D$5:$D$1005="jabas")*(MOVIMIENTOS!$A$5:$A$1005&lt;&gt;"")*(MOVIMIENTOS!$A$5:$A$1005&lt;=$A247)*MOVIMIENTOS!$E$5:$E$1005)+SUMPRODUCT((MOVIMIENTOS!$B$5:$B$1005="DEVOLUCIÓN")*(MOVIMIENTOS!$C$5:$C$1005="P")*(MOVIMIENTOS!$D$5:$D$1005="jabas")*(MOVIMIENTOS!$A$5:$A$1005&lt;&gt;"")*(MOVIMIENTOS!$A$5:$A$1005&lt;=$A247)*MOVIMIENTOS!$E$5:$E$1005)-SUMPRODUCT((MOVIMIENTOS!$B$5:$B$1005="TRASIEGO")*(MOVIMIENTOS!$C$5:$C$1005="P")*(MOVIMIENTOS!$D$5:$D$1005="jabas")*(MOVIMIENTOS!$A$5:$A$1005&lt;&gt;"")*(MOVIMIENTOS!$A$5:$A$1005&lt;=$A247)*MOVIMIENTOS!$E$5:$E$1005)-SUMPRODUCT((MOVIMIENTOS!$B$5:$B$1005="REGALO")*(MOVIMIENTOS!$C$5:$C$1005="P")*(MOVIMIENTOS!$D$5:$D$1005="jabas")*(MOVIMIENTOS!$A$5:$A$1005&lt;&gt;"")*(MOVIMIENTOS!$A$5:$A$1005&lt;=$A247)*MOVIMIENTOS!$E$5:$E$1005)-SUMPRODUCT((MOVIMIENTOS!$B$5:$B$1005="VENTA")*(MOVIMIENTOS!$C$5:$C$1005="P")*(MOVIMIENTOS!$D$5:$D$1005="jabas")*(MOVIMIENTOS!$A$5:$A$1005&lt;&gt;"")*(MOVIMIENTOS!$A$5:$A$1005&lt;=$A247)*MOVIMIENTOS!$E$5:$E$1005)+SUMPRODUCT((MOVIMIENTOS!$B$5:$B$1005="AJUSTE")*(MOVIMIENTOS!$C$5:$C$1005="P")*(MOVIMIENTOS!$D$5:$D$1005="jabas")*(MOVIMIENTOS!$A$5:$A$1005&lt;&gt;"")*(MOVIMIENTOS!$A$5:$A$1005&lt;=$A247)*MOVIMIENTOS!$E$5:$E$1005))</f>
        <v/>
      </c>
      <c r="D247" s="63" t="str">
        <f>IF($A247="","",SUMPRODUCT((MOVIMIENTOS!$B$5:$B$1005="SALDO INICIAL")*(MOVIMIENTOS!$C$5:$C$1005="C")*(MOVIMIENTOS!$D$5:$D$1005="jabas")*(MOVIMIENTOS!$A$5:$A$1005&lt;&gt;"")*(MOVIMIENTOS!$A$5:$A$1005&lt;=$A247)*MOVIMIENTOS!$E$5:$E$1005)+SUMPRODUCT((MOVIMIENTOS!$B$5:$B$1005="PROCESO")*(MOVIMIENTOS!$C$5:$C$1005="C")*(MOVIMIENTOS!$D$5:$D$1005="jabas")*(MOVIMIENTOS!$A$5:$A$1005&lt;&gt;"")*(MOVIMIENTOS!$A$5:$A$1005&lt;=$A247)*MOVIMIENTOS!$E$5:$E$1005)-SUMPRODUCT((MOVIMIENTOS!$B$5:$B$1005="ENVÍO A SUPESA")*(MOVIMIENTOS!$C$5:$C$1005="C")*(MOVIMIENTOS!$D$5:$D$1005="jabas")*(MOVIMIENTOS!$A$5:$A$1005&lt;&gt;"")*(MOVIMIENTOS!$A$5:$A$1005&lt;=$A247)*MOVIMIENTOS!$E$5:$E$1005)+SUMPRODUCT((MOVIMIENTOS!$B$5:$B$1005="DEVOLUCIÓN")*(MOVIMIENTOS!$C$5:$C$1005="C")*(MOVIMIENTOS!$D$5:$D$1005="jabas")*(MOVIMIENTOS!$A$5:$A$1005&lt;&gt;"")*(MOVIMIENTOS!$A$5:$A$1005&lt;=$A247)*MOVIMIENTOS!$E$5:$E$1005)-SUMPRODUCT((MOVIMIENTOS!$B$5:$B$1005="TRASIEGO")*(MOVIMIENTOS!$C$5:$C$1005="C")*(MOVIMIENTOS!$D$5:$D$1005="jabas")*(MOVIMIENTOS!$A$5:$A$1005&lt;&gt;"")*(MOVIMIENTOS!$A$5:$A$1005&lt;=$A247)*MOVIMIENTOS!$E$5:$E$1005)-SUMPRODUCT((MOVIMIENTOS!$B$5:$B$1005="REGALO")*(MOVIMIENTOS!$C$5:$C$1005="C")*(MOVIMIENTOS!$D$5:$D$1005="jabas")*(MOVIMIENTOS!$A$5:$A$1005&lt;&gt;"")*(MOVIMIENTOS!$A$5:$A$1005&lt;=$A247)*MOVIMIENTOS!$E$5:$E$1005)-SUMPRODUCT((MOVIMIENTOS!$B$5:$B$1005="VENTA")*(MOVIMIENTOS!$C$5:$C$1005="C")*(MOVIMIENTOS!$D$5:$D$1005="jabas")*(MOVIMIENTOS!$A$5:$A$1005&lt;&gt;"")*(MOVIMIENTOS!$A$5:$A$1005&lt;=$A247)*MOVIMIENTOS!$E$5:$E$1005)+SUMPRODUCT((MOVIMIENTOS!$B$5:$B$1005="AJUSTE")*(MOVIMIENTOS!$C$5:$C$1005="C")*(MOVIMIENTOS!$D$5:$D$1005="jabas")*(MOVIMIENTOS!$A$5:$A$1005&lt;&gt;"")*(MOVIMIENTOS!$A$5:$A$1005&lt;=$A247)*MOVIMIENTOS!$E$5:$E$1005))</f>
        <v/>
      </c>
      <c r="E247" s="63" t="str">
        <f>IF($A247="","",SUMPRODUCT((MOVIMIENTOS!$B$5:$B$1005="SALDO INICIAL")*(MOVIMIENTOS!$C$5:$C$1005="M")*(MOVIMIENTOS!$D$5:$D$1005="jabas")*(MOVIMIENTOS!$A$5:$A$1005&lt;&gt;"")*(MOVIMIENTOS!$A$5:$A$1005&lt;=$A247)*MOVIMIENTOS!$E$5:$E$1005)+SUMPRODUCT((MOVIMIENTOS!$B$5:$B$1005="PROCESO")*(MOVIMIENTOS!$C$5:$C$1005="M")*(MOVIMIENTOS!$D$5:$D$1005="jabas")*(MOVIMIENTOS!$A$5:$A$1005&lt;&gt;"")*(MOVIMIENTOS!$A$5:$A$1005&lt;=$A247)*MOVIMIENTOS!$E$5:$E$1005)-SUMPRODUCT((MOVIMIENTOS!$B$5:$B$1005="ENVÍO A SUPESA")*(MOVIMIENTOS!$C$5:$C$1005="M")*(MOVIMIENTOS!$D$5:$D$1005="jabas")*(MOVIMIENTOS!$A$5:$A$1005&lt;&gt;"")*(MOVIMIENTOS!$A$5:$A$1005&lt;=$A247)*MOVIMIENTOS!$E$5:$E$1005)+SUMPRODUCT((MOVIMIENTOS!$B$5:$B$1005="DEVOLUCIÓN")*(MOVIMIENTOS!$C$5:$C$1005="M")*(MOVIMIENTOS!$D$5:$D$1005="jabas")*(MOVIMIENTOS!$A$5:$A$1005&lt;&gt;"")*(MOVIMIENTOS!$A$5:$A$1005&lt;=$A247)*MOVIMIENTOS!$E$5:$E$1005)-SUMPRODUCT((MOVIMIENTOS!$B$5:$B$1005="TRASIEGO")*(MOVIMIENTOS!$C$5:$C$1005="M")*(MOVIMIENTOS!$D$5:$D$1005="jabas")*(MOVIMIENTOS!$A$5:$A$1005&lt;&gt;"")*(MOVIMIENTOS!$A$5:$A$1005&lt;=$A247)*MOVIMIENTOS!$E$5:$E$1005)-SUMPRODUCT((MOVIMIENTOS!$B$5:$B$1005="REGALO")*(MOVIMIENTOS!$C$5:$C$1005="M")*(MOVIMIENTOS!$D$5:$D$1005="jabas")*(MOVIMIENTOS!$A$5:$A$1005&lt;&gt;"")*(MOVIMIENTOS!$A$5:$A$1005&lt;=$A247)*MOVIMIENTOS!$E$5:$E$1005)-SUMPRODUCT((MOVIMIENTOS!$B$5:$B$1005="VENTA")*(MOVIMIENTOS!$C$5:$C$1005="M")*(MOVIMIENTOS!$D$5:$D$1005="jabas")*(MOVIMIENTOS!$A$5:$A$1005&lt;&gt;"")*(MOVIMIENTOS!$A$5:$A$1005&lt;=$A247)*MOVIMIENTOS!$E$5:$E$1005)+SUMPRODUCT((MOVIMIENTOS!$B$5:$B$1005="AJUSTE")*(MOVIMIENTOS!$C$5:$C$1005="M")*(MOVIMIENTOS!$D$5:$D$1005="jabas")*(MOVIMIENTOS!$A$5:$A$1005&lt;&gt;"")*(MOVIMIENTOS!$A$5:$A$1005&lt;=$A247)*MOVIMIENTOS!$E$5:$E$1005))</f>
        <v/>
      </c>
      <c r="F247" s="63" t="str">
        <f>IF($A247="","",SUMPRODUCT((MOVIMIENTOS!$B$5:$B$1005="SALDO INICIAL")*(MOVIMIENTOS!$C$5:$C$1005="Chancho")*(MOVIMIENTOS!$D$5:$D$1005="sacos")*(MOVIMIENTOS!$A$5:$A$1005&lt;&gt;"")*(MOVIMIENTOS!$A$5:$A$1005&lt;=$A247)*MOVIMIENTOS!$E$5:$E$1005)+SUMPRODUCT((MOVIMIENTOS!$B$5:$B$1005="PROCESO")*(MOVIMIENTOS!$C$5:$C$1005="Chancho")*(MOVIMIENTOS!$D$5:$D$1005="sacos")*(MOVIMIENTOS!$A$5:$A$1005&lt;&gt;"")*(MOVIMIENTOS!$A$5:$A$1005&lt;=$A247)*MOVIMIENTOS!$E$5:$E$1005)-SUMPRODUCT((MOVIMIENTOS!$B$5:$B$1005="VENTA CHANCHO")*(MOVIMIENTOS!$C$5:$C$1005="Chancho")*(MOVIMIENTOS!$D$5:$D$1005="sacos")*(MOVIMIENTOS!$A$5:$A$1005&lt;&gt;"")*(MOVIMIENTOS!$A$5:$A$1005&lt;=$A247)*MOVIMIENTOS!$E$5:$E$1005)-SUMPRODUCT((MOVIMIENTOS!$B$5:$B$1005="REGALO")*(MOVIMIENTOS!$C$5:$C$1005="Chancho")*(MOVIMIENTOS!$D$5:$D$1005="sacos")*(MOVIMIENTOS!$A$5:$A$1005&lt;&gt;"")*(MOVIMIENTOS!$A$5:$A$1005&lt;=$A247)*MOVIMIENTOS!$E$5:$E$1005)-SUMPRODUCT((MOVIMIENTOS!$B$5:$B$1005="VENTA")*(MOVIMIENTOS!$C$5:$C$1005="Chancho")*(MOVIMIENTOS!$D$5:$D$1005="sacos")*(MOVIMIENTOS!$A$5:$A$1005&lt;&gt;"")*(MOVIMIENTOS!$A$5:$A$1005&lt;=$A247)*MOVIMIENTOS!$E$5:$E$1005)+SUMPRODUCT((MOVIMIENTOS!$B$5:$B$1005="AJUSTE")*(MOVIMIENTOS!$C$5:$C$1005="Chancho")*(MOVIMIENTOS!$D$5:$D$1005="sacos")*(MOVIMIENTOS!$A$5:$A$1005&lt;&gt;"")*(MOVIMIENTOS!$A$5:$A$1005&lt;=$A247)*MOVIMIENTOS!$E$5:$E$1005))</f>
        <v/>
      </c>
      <c r="G247" s="95" t="str">
        <f t="shared" si="7"/>
        <v/>
      </c>
      <c r="H247" s="63" t="str">
        <f>IF($A247="","",SUMPRODUCT((((MOVIMIENTOS!$B$5:$B$1005="SALDO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247)*MOVIMIENTOS!$J$5:$J$1005))</f>
        <v/>
      </c>
      <c r="I247" s="63"/>
      <c r="J247" s="63" t="str">
        <f>IF(AND(MOVIMIENTOS!$A247&lt;&gt;"",COUNTIF(MOVIMIENTOS!$A$5:$A246,MOVIMIENTOS!$A247)=0),COUNT(J$4:J246)+1,"")</f>
        <v/>
      </c>
      <c r="K247" s="66">
        <f>MOVIMIENTOS!$A247</f>
        <v>46235</v>
      </c>
      <c r="L247" s="63"/>
      <c r="M247" s="63"/>
      <c r="N247" s="63"/>
    </row>
    <row r="248" spans="1:14" ht="15" customHeight="1" x14ac:dyDescent="0.2">
      <c r="A248" s="63" t="str">
        <f t="shared" si="6"/>
        <v/>
      </c>
      <c r="B248" s="63" t="str">
        <f>IF($A248="","",SUMPRODUCT((MOVIMIENTOS!$B$5:$B$1005="SALDO INICIAL")*(MOVIMIENTOS!$C$5:$C$1005="A")*(MOVIMIENTOS!$D$5:$D$1005="jabas")*(MOVIMIENTOS!$A$5:$A$1005&lt;&gt;"")*(MOVIMIENTOS!$A$5:$A$1005&lt;=$A248)*MOVIMIENTOS!$E$5:$E$1005)+SUMPRODUCT((MOVIMIENTOS!$B$5:$B$1005="PROCESO")*(MOVIMIENTOS!$C$5:$C$1005="A")*(MOVIMIENTOS!$D$5:$D$1005="jabas")*(MOVIMIENTOS!$A$5:$A$1005&lt;&gt;"")*(MOVIMIENTOS!$A$5:$A$1005&lt;=$A248)*MOVIMIENTOS!$E$5:$E$1005)-SUMPRODUCT((MOVIMIENTOS!$B$5:$B$1005="ENVÍO A SUPESA")*(MOVIMIENTOS!$C$5:$C$1005="A")*(MOVIMIENTOS!$D$5:$D$1005="jabas")*(MOVIMIENTOS!$A$5:$A$1005&lt;&gt;"")*(MOVIMIENTOS!$A$5:$A$1005&lt;=$A248)*MOVIMIENTOS!$E$5:$E$1005)+SUMPRODUCT((MOVIMIENTOS!$B$5:$B$1005="DEVOLUCIÓN")*(MOVIMIENTOS!$C$5:$C$1005="A")*(MOVIMIENTOS!$D$5:$D$1005="jabas")*(MOVIMIENTOS!$A$5:$A$1005&lt;&gt;"")*(MOVIMIENTOS!$A$5:$A$1005&lt;=$A248)*MOVIMIENTOS!$E$5:$E$1005)-SUMPRODUCT((MOVIMIENTOS!$B$5:$B$1005="TRASIEGO")*(MOVIMIENTOS!$C$5:$C$1005="A")*(MOVIMIENTOS!$D$5:$D$1005="jabas")*(MOVIMIENTOS!$A$5:$A$1005&lt;&gt;"")*(MOVIMIENTOS!$A$5:$A$1005&lt;=$A248)*MOVIMIENTOS!$E$5:$E$1005)-SUMPRODUCT((MOVIMIENTOS!$B$5:$B$1005="REGALO")*(MOVIMIENTOS!$C$5:$C$1005="A")*(MOVIMIENTOS!$D$5:$D$1005="jabas")*(MOVIMIENTOS!$A$5:$A$1005&lt;&gt;"")*(MOVIMIENTOS!$A$5:$A$1005&lt;=$A248)*MOVIMIENTOS!$E$5:$E$1005)-SUMPRODUCT((MOVIMIENTOS!$B$5:$B$1005="VENTA")*(MOVIMIENTOS!$C$5:$C$1005="A")*(MOVIMIENTOS!$D$5:$D$1005="jabas")*(MOVIMIENTOS!$A$5:$A$1005&lt;&gt;"")*(MOVIMIENTOS!$A$5:$A$1005&lt;=$A248)*MOVIMIENTOS!$E$5:$E$1005)+SUMPRODUCT((MOVIMIENTOS!$B$5:$B$1005="AJUSTE")*(MOVIMIENTOS!$C$5:$C$1005="A")*(MOVIMIENTOS!$D$5:$D$1005="jabas")*(MOVIMIENTOS!$A$5:$A$1005&lt;&gt;"")*(MOVIMIENTOS!$A$5:$A$1005&lt;=$A248)*MOVIMIENTOS!$E$5:$E$1005))</f>
        <v/>
      </c>
      <c r="C248" s="63" t="str">
        <f>IF($A248="","",SUMPRODUCT((MOVIMIENTOS!$B$5:$B$1005="SALDO INICIAL")*(MOVIMIENTOS!$C$5:$C$1005="P")*(MOVIMIENTOS!$D$5:$D$1005="jabas")*(MOVIMIENTOS!$A$5:$A$1005&lt;&gt;"")*(MOVIMIENTOS!$A$5:$A$1005&lt;=$A248)*MOVIMIENTOS!$E$5:$E$1005)+SUMPRODUCT((MOVIMIENTOS!$B$5:$B$1005="PROCESO")*(MOVIMIENTOS!$C$5:$C$1005="P")*(MOVIMIENTOS!$D$5:$D$1005="jabas")*(MOVIMIENTOS!$A$5:$A$1005&lt;&gt;"")*(MOVIMIENTOS!$A$5:$A$1005&lt;=$A248)*MOVIMIENTOS!$E$5:$E$1005)-SUMPRODUCT((MOVIMIENTOS!$B$5:$B$1005="ENVÍO A SUPESA")*(MOVIMIENTOS!$C$5:$C$1005="P")*(MOVIMIENTOS!$D$5:$D$1005="jabas")*(MOVIMIENTOS!$A$5:$A$1005&lt;&gt;"")*(MOVIMIENTOS!$A$5:$A$1005&lt;=$A248)*MOVIMIENTOS!$E$5:$E$1005)+SUMPRODUCT((MOVIMIENTOS!$B$5:$B$1005="DEVOLUCIÓN")*(MOVIMIENTOS!$C$5:$C$1005="P")*(MOVIMIENTOS!$D$5:$D$1005="jabas")*(MOVIMIENTOS!$A$5:$A$1005&lt;&gt;"")*(MOVIMIENTOS!$A$5:$A$1005&lt;=$A248)*MOVIMIENTOS!$E$5:$E$1005)-SUMPRODUCT((MOVIMIENTOS!$B$5:$B$1005="TRASIEGO")*(MOVIMIENTOS!$C$5:$C$1005="P")*(MOVIMIENTOS!$D$5:$D$1005="jabas")*(MOVIMIENTOS!$A$5:$A$1005&lt;&gt;"")*(MOVIMIENTOS!$A$5:$A$1005&lt;=$A248)*MOVIMIENTOS!$E$5:$E$1005)-SUMPRODUCT((MOVIMIENTOS!$B$5:$B$1005="REGALO")*(MOVIMIENTOS!$C$5:$C$1005="P")*(MOVIMIENTOS!$D$5:$D$1005="jabas")*(MOVIMIENTOS!$A$5:$A$1005&lt;&gt;"")*(MOVIMIENTOS!$A$5:$A$1005&lt;=$A248)*MOVIMIENTOS!$E$5:$E$1005)-SUMPRODUCT((MOVIMIENTOS!$B$5:$B$1005="VENTA")*(MOVIMIENTOS!$C$5:$C$1005="P")*(MOVIMIENTOS!$D$5:$D$1005="jabas")*(MOVIMIENTOS!$A$5:$A$1005&lt;&gt;"")*(MOVIMIENTOS!$A$5:$A$1005&lt;=$A248)*MOVIMIENTOS!$E$5:$E$1005)+SUMPRODUCT((MOVIMIENTOS!$B$5:$B$1005="AJUSTE")*(MOVIMIENTOS!$C$5:$C$1005="P")*(MOVIMIENTOS!$D$5:$D$1005="jabas")*(MOVIMIENTOS!$A$5:$A$1005&lt;&gt;"")*(MOVIMIENTOS!$A$5:$A$1005&lt;=$A248)*MOVIMIENTOS!$E$5:$E$1005))</f>
        <v/>
      </c>
      <c r="D248" s="63" t="str">
        <f>IF($A248="","",SUMPRODUCT((MOVIMIENTOS!$B$5:$B$1005="SALDO INICIAL")*(MOVIMIENTOS!$C$5:$C$1005="C")*(MOVIMIENTOS!$D$5:$D$1005="jabas")*(MOVIMIENTOS!$A$5:$A$1005&lt;&gt;"")*(MOVIMIENTOS!$A$5:$A$1005&lt;=$A248)*MOVIMIENTOS!$E$5:$E$1005)+SUMPRODUCT((MOVIMIENTOS!$B$5:$B$1005="PROCESO")*(MOVIMIENTOS!$C$5:$C$1005="C")*(MOVIMIENTOS!$D$5:$D$1005="jabas")*(MOVIMIENTOS!$A$5:$A$1005&lt;&gt;"")*(MOVIMIENTOS!$A$5:$A$1005&lt;=$A248)*MOVIMIENTOS!$E$5:$E$1005)-SUMPRODUCT((MOVIMIENTOS!$B$5:$B$1005="ENVÍO A SUPESA")*(MOVIMIENTOS!$C$5:$C$1005="C")*(MOVIMIENTOS!$D$5:$D$1005="jabas")*(MOVIMIENTOS!$A$5:$A$1005&lt;&gt;"")*(MOVIMIENTOS!$A$5:$A$1005&lt;=$A248)*MOVIMIENTOS!$E$5:$E$1005)+SUMPRODUCT((MOVIMIENTOS!$B$5:$B$1005="DEVOLUCIÓN")*(MOVIMIENTOS!$C$5:$C$1005="C")*(MOVIMIENTOS!$D$5:$D$1005="jabas")*(MOVIMIENTOS!$A$5:$A$1005&lt;&gt;"")*(MOVIMIENTOS!$A$5:$A$1005&lt;=$A248)*MOVIMIENTOS!$E$5:$E$1005)-SUMPRODUCT((MOVIMIENTOS!$B$5:$B$1005="TRASIEGO")*(MOVIMIENTOS!$C$5:$C$1005="C")*(MOVIMIENTOS!$D$5:$D$1005="jabas")*(MOVIMIENTOS!$A$5:$A$1005&lt;&gt;"")*(MOVIMIENTOS!$A$5:$A$1005&lt;=$A248)*MOVIMIENTOS!$E$5:$E$1005)-SUMPRODUCT((MOVIMIENTOS!$B$5:$B$1005="REGALO")*(MOVIMIENTOS!$C$5:$C$1005="C")*(MOVIMIENTOS!$D$5:$D$1005="jabas")*(MOVIMIENTOS!$A$5:$A$1005&lt;&gt;"")*(MOVIMIENTOS!$A$5:$A$1005&lt;=$A248)*MOVIMIENTOS!$E$5:$E$1005)-SUMPRODUCT((MOVIMIENTOS!$B$5:$B$1005="VENTA")*(MOVIMIENTOS!$C$5:$C$1005="C")*(MOVIMIENTOS!$D$5:$D$1005="jabas")*(MOVIMIENTOS!$A$5:$A$1005&lt;&gt;"")*(MOVIMIENTOS!$A$5:$A$1005&lt;=$A248)*MOVIMIENTOS!$E$5:$E$1005)+SUMPRODUCT((MOVIMIENTOS!$B$5:$B$1005="AJUSTE")*(MOVIMIENTOS!$C$5:$C$1005="C")*(MOVIMIENTOS!$D$5:$D$1005="jabas")*(MOVIMIENTOS!$A$5:$A$1005&lt;&gt;"")*(MOVIMIENTOS!$A$5:$A$1005&lt;=$A248)*MOVIMIENTOS!$E$5:$E$1005))</f>
        <v/>
      </c>
      <c r="E248" s="63" t="str">
        <f>IF($A248="","",SUMPRODUCT((MOVIMIENTOS!$B$5:$B$1005="SALDO INICIAL")*(MOVIMIENTOS!$C$5:$C$1005="M")*(MOVIMIENTOS!$D$5:$D$1005="jabas")*(MOVIMIENTOS!$A$5:$A$1005&lt;&gt;"")*(MOVIMIENTOS!$A$5:$A$1005&lt;=$A248)*MOVIMIENTOS!$E$5:$E$1005)+SUMPRODUCT((MOVIMIENTOS!$B$5:$B$1005="PROCESO")*(MOVIMIENTOS!$C$5:$C$1005="M")*(MOVIMIENTOS!$D$5:$D$1005="jabas")*(MOVIMIENTOS!$A$5:$A$1005&lt;&gt;"")*(MOVIMIENTOS!$A$5:$A$1005&lt;=$A248)*MOVIMIENTOS!$E$5:$E$1005)-SUMPRODUCT((MOVIMIENTOS!$B$5:$B$1005="ENVÍO A SUPESA")*(MOVIMIENTOS!$C$5:$C$1005="M")*(MOVIMIENTOS!$D$5:$D$1005="jabas")*(MOVIMIENTOS!$A$5:$A$1005&lt;&gt;"")*(MOVIMIENTOS!$A$5:$A$1005&lt;=$A248)*MOVIMIENTOS!$E$5:$E$1005)+SUMPRODUCT((MOVIMIENTOS!$B$5:$B$1005="DEVOLUCIÓN")*(MOVIMIENTOS!$C$5:$C$1005="M")*(MOVIMIENTOS!$D$5:$D$1005="jabas")*(MOVIMIENTOS!$A$5:$A$1005&lt;&gt;"")*(MOVIMIENTOS!$A$5:$A$1005&lt;=$A248)*MOVIMIENTOS!$E$5:$E$1005)-SUMPRODUCT((MOVIMIENTOS!$B$5:$B$1005="TRASIEGO")*(MOVIMIENTOS!$C$5:$C$1005="M")*(MOVIMIENTOS!$D$5:$D$1005="jabas")*(MOVIMIENTOS!$A$5:$A$1005&lt;&gt;"")*(MOVIMIENTOS!$A$5:$A$1005&lt;=$A248)*MOVIMIENTOS!$E$5:$E$1005)-SUMPRODUCT((MOVIMIENTOS!$B$5:$B$1005="REGALO")*(MOVIMIENTOS!$C$5:$C$1005="M")*(MOVIMIENTOS!$D$5:$D$1005="jabas")*(MOVIMIENTOS!$A$5:$A$1005&lt;&gt;"")*(MOVIMIENTOS!$A$5:$A$1005&lt;=$A248)*MOVIMIENTOS!$E$5:$E$1005)-SUMPRODUCT((MOVIMIENTOS!$B$5:$B$1005="VENTA")*(MOVIMIENTOS!$C$5:$C$1005="M")*(MOVIMIENTOS!$D$5:$D$1005="jabas")*(MOVIMIENTOS!$A$5:$A$1005&lt;&gt;"")*(MOVIMIENTOS!$A$5:$A$1005&lt;=$A248)*MOVIMIENTOS!$E$5:$E$1005)+SUMPRODUCT((MOVIMIENTOS!$B$5:$B$1005="AJUSTE")*(MOVIMIENTOS!$C$5:$C$1005="M")*(MOVIMIENTOS!$D$5:$D$1005="jabas")*(MOVIMIENTOS!$A$5:$A$1005&lt;&gt;"")*(MOVIMIENTOS!$A$5:$A$1005&lt;=$A248)*MOVIMIENTOS!$E$5:$E$1005))</f>
        <v/>
      </c>
      <c r="F248" s="63" t="str">
        <f>IF($A248="","",SUMPRODUCT((MOVIMIENTOS!$B$5:$B$1005="SALDO INICIAL")*(MOVIMIENTOS!$C$5:$C$1005="Chancho")*(MOVIMIENTOS!$D$5:$D$1005="sacos")*(MOVIMIENTOS!$A$5:$A$1005&lt;&gt;"")*(MOVIMIENTOS!$A$5:$A$1005&lt;=$A248)*MOVIMIENTOS!$E$5:$E$1005)+SUMPRODUCT((MOVIMIENTOS!$B$5:$B$1005="PROCESO")*(MOVIMIENTOS!$C$5:$C$1005="Chancho")*(MOVIMIENTOS!$D$5:$D$1005="sacos")*(MOVIMIENTOS!$A$5:$A$1005&lt;&gt;"")*(MOVIMIENTOS!$A$5:$A$1005&lt;=$A248)*MOVIMIENTOS!$E$5:$E$1005)-SUMPRODUCT((MOVIMIENTOS!$B$5:$B$1005="VENTA CHANCHO")*(MOVIMIENTOS!$C$5:$C$1005="Chancho")*(MOVIMIENTOS!$D$5:$D$1005="sacos")*(MOVIMIENTOS!$A$5:$A$1005&lt;&gt;"")*(MOVIMIENTOS!$A$5:$A$1005&lt;=$A248)*MOVIMIENTOS!$E$5:$E$1005)-SUMPRODUCT((MOVIMIENTOS!$B$5:$B$1005="REGALO")*(MOVIMIENTOS!$C$5:$C$1005="Chancho")*(MOVIMIENTOS!$D$5:$D$1005="sacos")*(MOVIMIENTOS!$A$5:$A$1005&lt;&gt;"")*(MOVIMIENTOS!$A$5:$A$1005&lt;=$A248)*MOVIMIENTOS!$E$5:$E$1005)-SUMPRODUCT((MOVIMIENTOS!$B$5:$B$1005="VENTA")*(MOVIMIENTOS!$C$5:$C$1005="Chancho")*(MOVIMIENTOS!$D$5:$D$1005="sacos")*(MOVIMIENTOS!$A$5:$A$1005&lt;&gt;"")*(MOVIMIENTOS!$A$5:$A$1005&lt;=$A248)*MOVIMIENTOS!$E$5:$E$1005)+SUMPRODUCT((MOVIMIENTOS!$B$5:$B$1005="AJUSTE")*(MOVIMIENTOS!$C$5:$C$1005="Chancho")*(MOVIMIENTOS!$D$5:$D$1005="sacos")*(MOVIMIENTOS!$A$5:$A$1005&lt;&gt;"")*(MOVIMIENTOS!$A$5:$A$1005&lt;=$A248)*MOVIMIENTOS!$E$5:$E$1005))</f>
        <v/>
      </c>
      <c r="G248" s="95" t="str">
        <f t="shared" si="7"/>
        <v/>
      </c>
      <c r="H248" s="63" t="str">
        <f>IF($A248="","",SUMPRODUCT((((MOVIMIENTOS!$B$5:$B$1005="SALDO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248)*MOVIMIENTOS!$J$5:$J$1005))</f>
        <v/>
      </c>
      <c r="I248" s="63"/>
      <c r="J248" s="63" t="str">
        <f>IF(AND(MOVIMIENTOS!$A248&lt;&gt;"",COUNTIF(MOVIMIENTOS!$A$5:$A247,MOVIMIENTOS!$A248)=0),COUNT(J$4:J247)+1,"")</f>
        <v/>
      </c>
      <c r="K248" s="66">
        <f>MOVIMIENTOS!$A248</f>
        <v>46235</v>
      </c>
      <c r="L248" s="63"/>
      <c r="M248" s="63"/>
      <c r="N248" s="63"/>
    </row>
    <row r="249" spans="1:14" ht="15" customHeight="1" x14ac:dyDescent="0.2">
      <c r="A249" s="63" t="str">
        <f t="shared" si="6"/>
        <v/>
      </c>
      <c r="B249" s="63" t="str">
        <f>IF($A249="","",SUMPRODUCT((MOVIMIENTOS!$B$5:$B$1005="SALDO INICIAL")*(MOVIMIENTOS!$C$5:$C$1005="A")*(MOVIMIENTOS!$D$5:$D$1005="jabas")*(MOVIMIENTOS!$A$5:$A$1005&lt;&gt;"")*(MOVIMIENTOS!$A$5:$A$1005&lt;=$A249)*MOVIMIENTOS!$E$5:$E$1005)+SUMPRODUCT((MOVIMIENTOS!$B$5:$B$1005="PROCESO")*(MOVIMIENTOS!$C$5:$C$1005="A")*(MOVIMIENTOS!$D$5:$D$1005="jabas")*(MOVIMIENTOS!$A$5:$A$1005&lt;&gt;"")*(MOVIMIENTOS!$A$5:$A$1005&lt;=$A249)*MOVIMIENTOS!$E$5:$E$1005)-SUMPRODUCT((MOVIMIENTOS!$B$5:$B$1005="ENVÍO A SUPESA")*(MOVIMIENTOS!$C$5:$C$1005="A")*(MOVIMIENTOS!$D$5:$D$1005="jabas")*(MOVIMIENTOS!$A$5:$A$1005&lt;&gt;"")*(MOVIMIENTOS!$A$5:$A$1005&lt;=$A249)*MOVIMIENTOS!$E$5:$E$1005)+SUMPRODUCT((MOVIMIENTOS!$B$5:$B$1005="DEVOLUCIÓN")*(MOVIMIENTOS!$C$5:$C$1005="A")*(MOVIMIENTOS!$D$5:$D$1005="jabas")*(MOVIMIENTOS!$A$5:$A$1005&lt;&gt;"")*(MOVIMIENTOS!$A$5:$A$1005&lt;=$A249)*MOVIMIENTOS!$E$5:$E$1005)-SUMPRODUCT((MOVIMIENTOS!$B$5:$B$1005="TRASIEGO")*(MOVIMIENTOS!$C$5:$C$1005="A")*(MOVIMIENTOS!$D$5:$D$1005="jabas")*(MOVIMIENTOS!$A$5:$A$1005&lt;&gt;"")*(MOVIMIENTOS!$A$5:$A$1005&lt;=$A249)*MOVIMIENTOS!$E$5:$E$1005)-SUMPRODUCT((MOVIMIENTOS!$B$5:$B$1005="REGALO")*(MOVIMIENTOS!$C$5:$C$1005="A")*(MOVIMIENTOS!$D$5:$D$1005="jabas")*(MOVIMIENTOS!$A$5:$A$1005&lt;&gt;"")*(MOVIMIENTOS!$A$5:$A$1005&lt;=$A249)*MOVIMIENTOS!$E$5:$E$1005)-SUMPRODUCT((MOVIMIENTOS!$B$5:$B$1005="VENTA")*(MOVIMIENTOS!$C$5:$C$1005="A")*(MOVIMIENTOS!$D$5:$D$1005="jabas")*(MOVIMIENTOS!$A$5:$A$1005&lt;&gt;"")*(MOVIMIENTOS!$A$5:$A$1005&lt;=$A249)*MOVIMIENTOS!$E$5:$E$1005)+SUMPRODUCT((MOVIMIENTOS!$B$5:$B$1005="AJUSTE")*(MOVIMIENTOS!$C$5:$C$1005="A")*(MOVIMIENTOS!$D$5:$D$1005="jabas")*(MOVIMIENTOS!$A$5:$A$1005&lt;&gt;"")*(MOVIMIENTOS!$A$5:$A$1005&lt;=$A249)*MOVIMIENTOS!$E$5:$E$1005))</f>
        <v/>
      </c>
      <c r="C249" s="63" t="str">
        <f>IF($A249="","",SUMPRODUCT((MOVIMIENTOS!$B$5:$B$1005="SALDO INICIAL")*(MOVIMIENTOS!$C$5:$C$1005="P")*(MOVIMIENTOS!$D$5:$D$1005="jabas")*(MOVIMIENTOS!$A$5:$A$1005&lt;&gt;"")*(MOVIMIENTOS!$A$5:$A$1005&lt;=$A249)*MOVIMIENTOS!$E$5:$E$1005)+SUMPRODUCT((MOVIMIENTOS!$B$5:$B$1005="PROCESO")*(MOVIMIENTOS!$C$5:$C$1005="P")*(MOVIMIENTOS!$D$5:$D$1005="jabas")*(MOVIMIENTOS!$A$5:$A$1005&lt;&gt;"")*(MOVIMIENTOS!$A$5:$A$1005&lt;=$A249)*MOVIMIENTOS!$E$5:$E$1005)-SUMPRODUCT((MOVIMIENTOS!$B$5:$B$1005="ENVÍO A SUPESA")*(MOVIMIENTOS!$C$5:$C$1005="P")*(MOVIMIENTOS!$D$5:$D$1005="jabas")*(MOVIMIENTOS!$A$5:$A$1005&lt;&gt;"")*(MOVIMIENTOS!$A$5:$A$1005&lt;=$A249)*MOVIMIENTOS!$E$5:$E$1005)+SUMPRODUCT((MOVIMIENTOS!$B$5:$B$1005="DEVOLUCIÓN")*(MOVIMIENTOS!$C$5:$C$1005="P")*(MOVIMIENTOS!$D$5:$D$1005="jabas")*(MOVIMIENTOS!$A$5:$A$1005&lt;&gt;"")*(MOVIMIENTOS!$A$5:$A$1005&lt;=$A249)*MOVIMIENTOS!$E$5:$E$1005)-SUMPRODUCT((MOVIMIENTOS!$B$5:$B$1005="TRASIEGO")*(MOVIMIENTOS!$C$5:$C$1005="P")*(MOVIMIENTOS!$D$5:$D$1005="jabas")*(MOVIMIENTOS!$A$5:$A$1005&lt;&gt;"")*(MOVIMIENTOS!$A$5:$A$1005&lt;=$A249)*MOVIMIENTOS!$E$5:$E$1005)-SUMPRODUCT((MOVIMIENTOS!$B$5:$B$1005="REGALO")*(MOVIMIENTOS!$C$5:$C$1005="P")*(MOVIMIENTOS!$D$5:$D$1005="jabas")*(MOVIMIENTOS!$A$5:$A$1005&lt;&gt;"")*(MOVIMIENTOS!$A$5:$A$1005&lt;=$A249)*MOVIMIENTOS!$E$5:$E$1005)-SUMPRODUCT((MOVIMIENTOS!$B$5:$B$1005="VENTA")*(MOVIMIENTOS!$C$5:$C$1005="P")*(MOVIMIENTOS!$D$5:$D$1005="jabas")*(MOVIMIENTOS!$A$5:$A$1005&lt;&gt;"")*(MOVIMIENTOS!$A$5:$A$1005&lt;=$A249)*MOVIMIENTOS!$E$5:$E$1005)+SUMPRODUCT((MOVIMIENTOS!$B$5:$B$1005="AJUSTE")*(MOVIMIENTOS!$C$5:$C$1005="P")*(MOVIMIENTOS!$D$5:$D$1005="jabas")*(MOVIMIENTOS!$A$5:$A$1005&lt;&gt;"")*(MOVIMIENTOS!$A$5:$A$1005&lt;=$A249)*MOVIMIENTOS!$E$5:$E$1005))</f>
        <v/>
      </c>
      <c r="D249" s="63" t="str">
        <f>IF($A249="","",SUMPRODUCT((MOVIMIENTOS!$B$5:$B$1005="SALDO INICIAL")*(MOVIMIENTOS!$C$5:$C$1005="C")*(MOVIMIENTOS!$D$5:$D$1005="jabas")*(MOVIMIENTOS!$A$5:$A$1005&lt;&gt;"")*(MOVIMIENTOS!$A$5:$A$1005&lt;=$A249)*MOVIMIENTOS!$E$5:$E$1005)+SUMPRODUCT((MOVIMIENTOS!$B$5:$B$1005="PROCESO")*(MOVIMIENTOS!$C$5:$C$1005="C")*(MOVIMIENTOS!$D$5:$D$1005="jabas")*(MOVIMIENTOS!$A$5:$A$1005&lt;&gt;"")*(MOVIMIENTOS!$A$5:$A$1005&lt;=$A249)*MOVIMIENTOS!$E$5:$E$1005)-SUMPRODUCT((MOVIMIENTOS!$B$5:$B$1005="ENVÍO A SUPESA")*(MOVIMIENTOS!$C$5:$C$1005="C")*(MOVIMIENTOS!$D$5:$D$1005="jabas")*(MOVIMIENTOS!$A$5:$A$1005&lt;&gt;"")*(MOVIMIENTOS!$A$5:$A$1005&lt;=$A249)*MOVIMIENTOS!$E$5:$E$1005)+SUMPRODUCT((MOVIMIENTOS!$B$5:$B$1005="DEVOLUCIÓN")*(MOVIMIENTOS!$C$5:$C$1005="C")*(MOVIMIENTOS!$D$5:$D$1005="jabas")*(MOVIMIENTOS!$A$5:$A$1005&lt;&gt;"")*(MOVIMIENTOS!$A$5:$A$1005&lt;=$A249)*MOVIMIENTOS!$E$5:$E$1005)-SUMPRODUCT((MOVIMIENTOS!$B$5:$B$1005="TRASIEGO")*(MOVIMIENTOS!$C$5:$C$1005="C")*(MOVIMIENTOS!$D$5:$D$1005="jabas")*(MOVIMIENTOS!$A$5:$A$1005&lt;&gt;"")*(MOVIMIENTOS!$A$5:$A$1005&lt;=$A249)*MOVIMIENTOS!$E$5:$E$1005)-SUMPRODUCT((MOVIMIENTOS!$B$5:$B$1005="REGALO")*(MOVIMIENTOS!$C$5:$C$1005="C")*(MOVIMIENTOS!$D$5:$D$1005="jabas")*(MOVIMIENTOS!$A$5:$A$1005&lt;&gt;"")*(MOVIMIENTOS!$A$5:$A$1005&lt;=$A249)*MOVIMIENTOS!$E$5:$E$1005)-SUMPRODUCT((MOVIMIENTOS!$B$5:$B$1005="VENTA")*(MOVIMIENTOS!$C$5:$C$1005="C")*(MOVIMIENTOS!$D$5:$D$1005="jabas")*(MOVIMIENTOS!$A$5:$A$1005&lt;&gt;"")*(MOVIMIENTOS!$A$5:$A$1005&lt;=$A249)*MOVIMIENTOS!$E$5:$E$1005)+SUMPRODUCT((MOVIMIENTOS!$B$5:$B$1005="AJUSTE")*(MOVIMIENTOS!$C$5:$C$1005="C")*(MOVIMIENTOS!$D$5:$D$1005="jabas")*(MOVIMIENTOS!$A$5:$A$1005&lt;&gt;"")*(MOVIMIENTOS!$A$5:$A$1005&lt;=$A249)*MOVIMIENTOS!$E$5:$E$1005))</f>
        <v/>
      </c>
      <c r="E249" s="63" t="str">
        <f>IF($A249="","",SUMPRODUCT((MOVIMIENTOS!$B$5:$B$1005="SALDO INICIAL")*(MOVIMIENTOS!$C$5:$C$1005="M")*(MOVIMIENTOS!$D$5:$D$1005="jabas")*(MOVIMIENTOS!$A$5:$A$1005&lt;&gt;"")*(MOVIMIENTOS!$A$5:$A$1005&lt;=$A249)*MOVIMIENTOS!$E$5:$E$1005)+SUMPRODUCT((MOVIMIENTOS!$B$5:$B$1005="PROCESO")*(MOVIMIENTOS!$C$5:$C$1005="M")*(MOVIMIENTOS!$D$5:$D$1005="jabas")*(MOVIMIENTOS!$A$5:$A$1005&lt;&gt;"")*(MOVIMIENTOS!$A$5:$A$1005&lt;=$A249)*MOVIMIENTOS!$E$5:$E$1005)-SUMPRODUCT((MOVIMIENTOS!$B$5:$B$1005="ENVÍO A SUPESA")*(MOVIMIENTOS!$C$5:$C$1005="M")*(MOVIMIENTOS!$D$5:$D$1005="jabas")*(MOVIMIENTOS!$A$5:$A$1005&lt;&gt;"")*(MOVIMIENTOS!$A$5:$A$1005&lt;=$A249)*MOVIMIENTOS!$E$5:$E$1005)+SUMPRODUCT((MOVIMIENTOS!$B$5:$B$1005="DEVOLUCIÓN")*(MOVIMIENTOS!$C$5:$C$1005="M")*(MOVIMIENTOS!$D$5:$D$1005="jabas")*(MOVIMIENTOS!$A$5:$A$1005&lt;&gt;"")*(MOVIMIENTOS!$A$5:$A$1005&lt;=$A249)*MOVIMIENTOS!$E$5:$E$1005)-SUMPRODUCT((MOVIMIENTOS!$B$5:$B$1005="TRASIEGO")*(MOVIMIENTOS!$C$5:$C$1005="M")*(MOVIMIENTOS!$D$5:$D$1005="jabas")*(MOVIMIENTOS!$A$5:$A$1005&lt;&gt;"")*(MOVIMIENTOS!$A$5:$A$1005&lt;=$A249)*MOVIMIENTOS!$E$5:$E$1005)-SUMPRODUCT((MOVIMIENTOS!$B$5:$B$1005="REGALO")*(MOVIMIENTOS!$C$5:$C$1005="M")*(MOVIMIENTOS!$D$5:$D$1005="jabas")*(MOVIMIENTOS!$A$5:$A$1005&lt;&gt;"")*(MOVIMIENTOS!$A$5:$A$1005&lt;=$A249)*MOVIMIENTOS!$E$5:$E$1005)-SUMPRODUCT((MOVIMIENTOS!$B$5:$B$1005="VENTA")*(MOVIMIENTOS!$C$5:$C$1005="M")*(MOVIMIENTOS!$D$5:$D$1005="jabas")*(MOVIMIENTOS!$A$5:$A$1005&lt;&gt;"")*(MOVIMIENTOS!$A$5:$A$1005&lt;=$A249)*MOVIMIENTOS!$E$5:$E$1005)+SUMPRODUCT((MOVIMIENTOS!$B$5:$B$1005="AJUSTE")*(MOVIMIENTOS!$C$5:$C$1005="M")*(MOVIMIENTOS!$D$5:$D$1005="jabas")*(MOVIMIENTOS!$A$5:$A$1005&lt;&gt;"")*(MOVIMIENTOS!$A$5:$A$1005&lt;=$A249)*MOVIMIENTOS!$E$5:$E$1005))</f>
        <v/>
      </c>
      <c r="F249" s="63" t="str">
        <f>IF($A249="","",SUMPRODUCT((MOVIMIENTOS!$B$5:$B$1005="SALDO INICIAL")*(MOVIMIENTOS!$C$5:$C$1005="Chancho")*(MOVIMIENTOS!$D$5:$D$1005="sacos")*(MOVIMIENTOS!$A$5:$A$1005&lt;&gt;"")*(MOVIMIENTOS!$A$5:$A$1005&lt;=$A249)*MOVIMIENTOS!$E$5:$E$1005)+SUMPRODUCT((MOVIMIENTOS!$B$5:$B$1005="PROCESO")*(MOVIMIENTOS!$C$5:$C$1005="Chancho")*(MOVIMIENTOS!$D$5:$D$1005="sacos")*(MOVIMIENTOS!$A$5:$A$1005&lt;&gt;"")*(MOVIMIENTOS!$A$5:$A$1005&lt;=$A249)*MOVIMIENTOS!$E$5:$E$1005)-SUMPRODUCT((MOVIMIENTOS!$B$5:$B$1005="VENTA CHANCHO")*(MOVIMIENTOS!$C$5:$C$1005="Chancho")*(MOVIMIENTOS!$D$5:$D$1005="sacos")*(MOVIMIENTOS!$A$5:$A$1005&lt;&gt;"")*(MOVIMIENTOS!$A$5:$A$1005&lt;=$A249)*MOVIMIENTOS!$E$5:$E$1005)-SUMPRODUCT((MOVIMIENTOS!$B$5:$B$1005="REGALO")*(MOVIMIENTOS!$C$5:$C$1005="Chancho")*(MOVIMIENTOS!$D$5:$D$1005="sacos")*(MOVIMIENTOS!$A$5:$A$1005&lt;&gt;"")*(MOVIMIENTOS!$A$5:$A$1005&lt;=$A249)*MOVIMIENTOS!$E$5:$E$1005)-SUMPRODUCT((MOVIMIENTOS!$B$5:$B$1005="VENTA")*(MOVIMIENTOS!$C$5:$C$1005="Chancho")*(MOVIMIENTOS!$D$5:$D$1005="sacos")*(MOVIMIENTOS!$A$5:$A$1005&lt;&gt;"")*(MOVIMIENTOS!$A$5:$A$1005&lt;=$A249)*MOVIMIENTOS!$E$5:$E$1005)+SUMPRODUCT((MOVIMIENTOS!$B$5:$B$1005="AJUSTE")*(MOVIMIENTOS!$C$5:$C$1005="Chancho")*(MOVIMIENTOS!$D$5:$D$1005="sacos")*(MOVIMIENTOS!$A$5:$A$1005&lt;&gt;"")*(MOVIMIENTOS!$A$5:$A$1005&lt;=$A249)*MOVIMIENTOS!$E$5:$E$1005))</f>
        <v/>
      </c>
      <c r="G249" s="95" t="str">
        <f t="shared" si="7"/>
        <v/>
      </c>
      <c r="H249" s="63" t="str">
        <f>IF($A249="","",SUMPRODUCT((((MOVIMIENTOS!$B$5:$B$1005="SALDO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249)*MOVIMIENTOS!$J$5:$J$1005))</f>
        <v/>
      </c>
      <c r="I249" s="63"/>
      <c r="J249" s="63">
        <f>IF(AND(MOVIMIENTOS!$A249&lt;&gt;"",COUNTIF(MOVIMIENTOS!$A$5:$A248,MOVIMIENTOS!$A249)=0),COUNT(J$4:J248)+1,"")</f>
        <v>24</v>
      </c>
      <c r="K249" s="66">
        <f>MOVIMIENTOS!$A249</f>
        <v>46236</v>
      </c>
      <c r="L249" s="63"/>
      <c r="M249" s="63"/>
      <c r="N249" s="63"/>
    </row>
    <row r="250" spans="1:14" ht="15" customHeight="1" x14ac:dyDescent="0.2">
      <c r="A250" s="63" t="str">
        <f t="shared" si="6"/>
        <v/>
      </c>
      <c r="B250" s="63" t="str">
        <f>IF($A250="","",SUMPRODUCT((MOVIMIENTOS!$B$5:$B$1005="SALDO INICIAL")*(MOVIMIENTOS!$C$5:$C$1005="A")*(MOVIMIENTOS!$D$5:$D$1005="jabas")*(MOVIMIENTOS!$A$5:$A$1005&lt;&gt;"")*(MOVIMIENTOS!$A$5:$A$1005&lt;=$A250)*MOVIMIENTOS!$E$5:$E$1005)+SUMPRODUCT((MOVIMIENTOS!$B$5:$B$1005="PROCESO")*(MOVIMIENTOS!$C$5:$C$1005="A")*(MOVIMIENTOS!$D$5:$D$1005="jabas")*(MOVIMIENTOS!$A$5:$A$1005&lt;&gt;"")*(MOVIMIENTOS!$A$5:$A$1005&lt;=$A250)*MOVIMIENTOS!$E$5:$E$1005)-SUMPRODUCT((MOVIMIENTOS!$B$5:$B$1005="ENVÍO A SUPESA")*(MOVIMIENTOS!$C$5:$C$1005="A")*(MOVIMIENTOS!$D$5:$D$1005="jabas")*(MOVIMIENTOS!$A$5:$A$1005&lt;&gt;"")*(MOVIMIENTOS!$A$5:$A$1005&lt;=$A250)*MOVIMIENTOS!$E$5:$E$1005)+SUMPRODUCT((MOVIMIENTOS!$B$5:$B$1005="DEVOLUCIÓN")*(MOVIMIENTOS!$C$5:$C$1005="A")*(MOVIMIENTOS!$D$5:$D$1005="jabas")*(MOVIMIENTOS!$A$5:$A$1005&lt;&gt;"")*(MOVIMIENTOS!$A$5:$A$1005&lt;=$A250)*MOVIMIENTOS!$E$5:$E$1005)-SUMPRODUCT((MOVIMIENTOS!$B$5:$B$1005="TRASIEGO")*(MOVIMIENTOS!$C$5:$C$1005="A")*(MOVIMIENTOS!$D$5:$D$1005="jabas")*(MOVIMIENTOS!$A$5:$A$1005&lt;&gt;"")*(MOVIMIENTOS!$A$5:$A$1005&lt;=$A250)*MOVIMIENTOS!$E$5:$E$1005)-SUMPRODUCT((MOVIMIENTOS!$B$5:$B$1005="REGALO")*(MOVIMIENTOS!$C$5:$C$1005="A")*(MOVIMIENTOS!$D$5:$D$1005="jabas")*(MOVIMIENTOS!$A$5:$A$1005&lt;&gt;"")*(MOVIMIENTOS!$A$5:$A$1005&lt;=$A250)*MOVIMIENTOS!$E$5:$E$1005)-SUMPRODUCT((MOVIMIENTOS!$B$5:$B$1005="VENTA")*(MOVIMIENTOS!$C$5:$C$1005="A")*(MOVIMIENTOS!$D$5:$D$1005="jabas")*(MOVIMIENTOS!$A$5:$A$1005&lt;&gt;"")*(MOVIMIENTOS!$A$5:$A$1005&lt;=$A250)*MOVIMIENTOS!$E$5:$E$1005)+SUMPRODUCT((MOVIMIENTOS!$B$5:$B$1005="AJUSTE")*(MOVIMIENTOS!$C$5:$C$1005="A")*(MOVIMIENTOS!$D$5:$D$1005="jabas")*(MOVIMIENTOS!$A$5:$A$1005&lt;&gt;"")*(MOVIMIENTOS!$A$5:$A$1005&lt;=$A250)*MOVIMIENTOS!$E$5:$E$1005))</f>
        <v/>
      </c>
      <c r="C250" s="63" t="str">
        <f>IF($A250="","",SUMPRODUCT((MOVIMIENTOS!$B$5:$B$1005="SALDO INICIAL")*(MOVIMIENTOS!$C$5:$C$1005="P")*(MOVIMIENTOS!$D$5:$D$1005="jabas")*(MOVIMIENTOS!$A$5:$A$1005&lt;&gt;"")*(MOVIMIENTOS!$A$5:$A$1005&lt;=$A250)*MOVIMIENTOS!$E$5:$E$1005)+SUMPRODUCT((MOVIMIENTOS!$B$5:$B$1005="PROCESO")*(MOVIMIENTOS!$C$5:$C$1005="P")*(MOVIMIENTOS!$D$5:$D$1005="jabas")*(MOVIMIENTOS!$A$5:$A$1005&lt;&gt;"")*(MOVIMIENTOS!$A$5:$A$1005&lt;=$A250)*MOVIMIENTOS!$E$5:$E$1005)-SUMPRODUCT((MOVIMIENTOS!$B$5:$B$1005="ENVÍO A SUPESA")*(MOVIMIENTOS!$C$5:$C$1005="P")*(MOVIMIENTOS!$D$5:$D$1005="jabas")*(MOVIMIENTOS!$A$5:$A$1005&lt;&gt;"")*(MOVIMIENTOS!$A$5:$A$1005&lt;=$A250)*MOVIMIENTOS!$E$5:$E$1005)+SUMPRODUCT((MOVIMIENTOS!$B$5:$B$1005="DEVOLUCIÓN")*(MOVIMIENTOS!$C$5:$C$1005="P")*(MOVIMIENTOS!$D$5:$D$1005="jabas")*(MOVIMIENTOS!$A$5:$A$1005&lt;&gt;"")*(MOVIMIENTOS!$A$5:$A$1005&lt;=$A250)*MOVIMIENTOS!$E$5:$E$1005)-SUMPRODUCT((MOVIMIENTOS!$B$5:$B$1005="TRASIEGO")*(MOVIMIENTOS!$C$5:$C$1005="P")*(MOVIMIENTOS!$D$5:$D$1005="jabas")*(MOVIMIENTOS!$A$5:$A$1005&lt;&gt;"")*(MOVIMIENTOS!$A$5:$A$1005&lt;=$A250)*MOVIMIENTOS!$E$5:$E$1005)-SUMPRODUCT((MOVIMIENTOS!$B$5:$B$1005="REGALO")*(MOVIMIENTOS!$C$5:$C$1005="P")*(MOVIMIENTOS!$D$5:$D$1005="jabas")*(MOVIMIENTOS!$A$5:$A$1005&lt;&gt;"")*(MOVIMIENTOS!$A$5:$A$1005&lt;=$A250)*MOVIMIENTOS!$E$5:$E$1005)-SUMPRODUCT((MOVIMIENTOS!$B$5:$B$1005="VENTA")*(MOVIMIENTOS!$C$5:$C$1005="P")*(MOVIMIENTOS!$D$5:$D$1005="jabas")*(MOVIMIENTOS!$A$5:$A$1005&lt;&gt;"")*(MOVIMIENTOS!$A$5:$A$1005&lt;=$A250)*MOVIMIENTOS!$E$5:$E$1005)+SUMPRODUCT((MOVIMIENTOS!$B$5:$B$1005="AJUSTE")*(MOVIMIENTOS!$C$5:$C$1005="P")*(MOVIMIENTOS!$D$5:$D$1005="jabas")*(MOVIMIENTOS!$A$5:$A$1005&lt;&gt;"")*(MOVIMIENTOS!$A$5:$A$1005&lt;=$A250)*MOVIMIENTOS!$E$5:$E$1005))</f>
        <v/>
      </c>
      <c r="D250" s="63" t="str">
        <f>IF($A250="","",SUMPRODUCT((MOVIMIENTOS!$B$5:$B$1005="SALDO INICIAL")*(MOVIMIENTOS!$C$5:$C$1005="C")*(MOVIMIENTOS!$D$5:$D$1005="jabas")*(MOVIMIENTOS!$A$5:$A$1005&lt;&gt;"")*(MOVIMIENTOS!$A$5:$A$1005&lt;=$A250)*MOVIMIENTOS!$E$5:$E$1005)+SUMPRODUCT((MOVIMIENTOS!$B$5:$B$1005="PROCESO")*(MOVIMIENTOS!$C$5:$C$1005="C")*(MOVIMIENTOS!$D$5:$D$1005="jabas")*(MOVIMIENTOS!$A$5:$A$1005&lt;&gt;"")*(MOVIMIENTOS!$A$5:$A$1005&lt;=$A250)*MOVIMIENTOS!$E$5:$E$1005)-SUMPRODUCT((MOVIMIENTOS!$B$5:$B$1005="ENVÍO A SUPESA")*(MOVIMIENTOS!$C$5:$C$1005="C")*(MOVIMIENTOS!$D$5:$D$1005="jabas")*(MOVIMIENTOS!$A$5:$A$1005&lt;&gt;"")*(MOVIMIENTOS!$A$5:$A$1005&lt;=$A250)*MOVIMIENTOS!$E$5:$E$1005)+SUMPRODUCT((MOVIMIENTOS!$B$5:$B$1005="DEVOLUCIÓN")*(MOVIMIENTOS!$C$5:$C$1005="C")*(MOVIMIENTOS!$D$5:$D$1005="jabas")*(MOVIMIENTOS!$A$5:$A$1005&lt;&gt;"")*(MOVIMIENTOS!$A$5:$A$1005&lt;=$A250)*MOVIMIENTOS!$E$5:$E$1005)-SUMPRODUCT((MOVIMIENTOS!$B$5:$B$1005="TRASIEGO")*(MOVIMIENTOS!$C$5:$C$1005="C")*(MOVIMIENTOS!$D$5:$D$1005="jabas")*(MOVIMIENTOS!$A$5:$A$1005&lt;&gt;"")*(MOVIMIENTOS!$A$5:$A$1005&lt;=$A250)*MOVIMIENTOS!$E$5:$E$1005)-SUMPRODUCT((MOVIMIENTOS!$B$5:$B$1005="REGALO")*(MOVIMIENTOS!$C$5:$C$1005="C")*(MOVIMIENTOS!$D$5:$D$1005="jabas")*(MOVIMIENTOS!$A$5:$A$1005&lt;&gt;"")*(MOVIMIENTOS!$A$5:$A$1005&lt;=$A250)*MOVIMIENTOS!$E$5:$E$1005)-SUMPRODUCT((MOVIMIENTOS!$B$5:$B$1005="VENTA")*(MOVIMIENTOS!$C$5:$C$1005="C")*(MOVIMIENTOS!$D$5:$D$1005="jabas")*(MOVIMIENTOS!$A$5:$A$1005&lt;&gt;"")*(MOVIMIENTOS!$A$5:$A$1005&lt;=$A250)*MOVIMIENTOS!$E$5:$E$1005)+SUMPRODUCT((MOVIMIENTOS!$B$5:$B$1005="AJUSTE")*(MOVIMIENTOS!$C$5:$C$1005="C")*(MOVIMIENTOS!$D$5:$D$1005="jabas")*(MOVIMIENTOS!$A$5:$A$1005&lt;&gt;"")*(MOVIMIENTOS!$A$5:$A$1005&lt;=$A250)*MOVIMIENTOS!$E$5:$E$1005))</f>
        <v/>
      </c>
      <c r="E250" s="63" t="str">
        <f>IF($A250="","",SUMPRODUCT((MOVIMIENTOS!$B$5:$B$1005="SALDO INICIAL")*(MOVIMIENTOS!$C$5:$C$1005="M")*(MOVIMIENTOS!$D$5:$D$1005="jabas")*(MOVIMIENTOS!$A$5:$A$1005&lt;&gt;"")*(MOVIMIENTOS!$A$5:$A$1005&lt;=$A250)*MOVIMIENTOS!$E$5:$E$1005)+SUMPRODUCT((MOVIMIENTOS!$B$5:$B$1005="PROCESO")*(MOVIMIENTOS!$C$5:$C$1005="M")*(MOVIMIENTOS!$D$5:$D$1005="jabas")*(MOVIMIENTOS!$A$5:$A$1005&lt;&gt;"")*(MOVIMIENTOS!$A$5:$A$1005&lt;=$A250)*MOVIMIENTOS!$E$5:$E$1005)-SUMPRODUCT((MOVIMIENTOS!$B$5:$B$1005="ENVÍO A SUPESA")*(MOVIMIENTOS!$C$5:$C$1005="M")*(MOVIMIENTOS!$D$5:$D$1005="jabas")*(MOVIMIENTOS!$A$5:$A$1005&lt;&gt;"")*(MOVIMIENTOS!$A$5:$A$1005&lt;=$A250)*MOVIMIENTOS!$E$5:$E$1005)+SUMPRODUCT((MOVIMIENTOS!$B$5:$B$1005="DEVOLUCIÓN")*(MOVIMIENTOS!$C$5:$C$1005="M")*(MOVIMIENTOS!$D$5:$D$1005="jabas")*(MOVIMIENTOS!$A$5:$A$1005&lt;&gt;"")*(MOVIMIENTOS!$A$5:$A$1005&lt;=$A250)*MOVIMIENTOS!$E$5:$E$1005)-SUMPRODUCT((MOVIMIENTOS!$B$5:$B$1005="TRASIEGO")*(MOVIMIENTOS!$C$5:$C$1005="M")*(MOVIMIENTOS!$D$5:$D$1005="jabas")*(MOVIMIENTOS!$A$5:$A$1005&lt;&gt;"")*(MOVIMIENTOS!$A$5:$A$1005&lt;=$A250)*MOVIMIENTOS!$E$5:$E$1005)-SUMPRODUCT((MOVIMIENTOS!$B$5:$B$1005="REGALO")*(MOVIMIENTOS!$C$5:$C$1005="M")*(MOVIMIENTOS!$D$5:$D$1005="jabas")*(MOVIMIENTOS!$A$5:$A$1005&lt;&gt;"")*(MOVIMIENTOS!$A$5:$A$1005&lt;=$A250)*MOVIMIENTOS!$E$5:$E$1005)-SUMPRODUCT((MOVIMIENTOS!$B$5:$B$1005="VENTA")*(MOVIMIENTOS!$C$5:$C$1005="M")*(MOVIMIENTOS!$D$5:$D$1005="jabas")*(MOVIMIENTOS!$A$5:$A$1005&lt;&gt;"")*(MOVIMIENTOS!$A$5:$A$1005&lt;=$A250)*MOVIMIENTOS!$E$5:$E$1005)+SUMPRODUCT((MOVIMIENTOS!$B$5:$B$1005="AJUSTE")*(MOVIMIENTOS!$C$5:$C$1005="M")*(MOVIMIENTOS!$D$5:$D$1005="jabas")*(MOVIMIENTOS!$A$5:$A$1005&lt;&gt;"")*(MOVIMIENTOS!$A$5:$A$1005&lt;=$A250)*MOVIMIENTOS!$E$5:$E$1005))</f>
        <v/>
      </c>
      <c r="F250" s="63" t="str">
        <f>IF($A250="","",SUMPRODUCT((MOVIMIENTOS!$B$5:$B$1005="SALDO INICIAL")*(MOVIMIENTOS!$C$5:$C$1005="Chancho")*(MOVIMIENTOS!$D$5:$D$1005="sacos")*(MOVIMIENTOS!$A$5:$A$1005&lt;&gt;"")*(MOVIMIENTOS!$A$5:$A$1005&lt;=$A250)*MOVIMIENTOS!$E$5:$E$1005)+SUMPRODUCT((MOVIMIENTOS!$B$5:$B$1005="PROCESO")*(MOVIMIENTOS!$C$5:$C$1005="Chancho")*(MOVIMIENTOS!$D$5:$D$1005="sacos")*(MOVIMIENTOS!$A$5:$A$1005&lt;&gt;"")*(MOVIMIENTOS!$A$5:$A$1005&lt;=$A250)*MOVIMIENTOS!$E$5:$E$1005)-SUMPRODUCT((MOVIMIENTOS!$B$5:$B$1005="VENTA CHANCHO")*(MOVIMIENTOS!$C$5:$C$1005="Chancho")*(MOVIMIENTOS!$D$5:$D$1005="sacos")*(MOVIMIENTOS!$A$5:$A$1005&lt;&gt;"")*(MOVIMIENTOS!$A$5:$A$1005&lt;=$A250)*MOVIMIENTOS!$E$5:$E$1005)-SUMPRODUCT((MOVIMIENTOS!$B$5:$B$1005="REGALO")*(MOVIMIENTOS!$C$5:$C$1005="Chancho")*(MOVIMIENTOS!$D$5:$D$1005="sacos")*(MOVIMIENTOS!$A$5:$A$1005&lt;&gt;"")*(MOVIMIENTOS!$A$5:$A$1005&lt;=$A250)*MOVIMIENTOS!$E$5:$E$1005)-SUMPRODUCT((MOVIMIENTOS!$B$5:$B$1005="VENTA")*(MOVIMIENTOS!$C$5:$C$1005="Chancho")*(MOVIMIENTOS!$D$5:$D$1005="sacos")*(MOVIMIENTOS!$A$5:$A$1005&lt;&gt;"")*(MOVIMIENTOS!$A$5:$A$1005&lt;=$A250)*MOVIMIENTOS!$E$5:$E$1005)+SUMPRODUCT((MOVIMIENTOS!$B$5:$B$1005="AJUSTE")*(MOVIMIENTOS!$C$5:$C$1005="Chancho")*(MOVIMIENTOS!$D$5:$D$1005="sacos")*(MOVIMIENTOS!$A$5:$A$1005&lt;&gt;"")*(MOVIMIENTOS!$A$5:$A$1005&lt;=$A250)*MOVIMIENTOS!$E$5:$E$1005))</f>
        <v/>
      </c>
      <c r="G250" s="95" t="str">
        <f t="shared" si="7"/>
        <v/>
      </c>
      <c r="H250" s="63" t="str">
        <f>IF($A250="","",SUMPRODUCT((((MOVIMIENTOS!$B$5:$B$1005="SALDO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250)*MOVIMIENTOS!$J$5:$J$1005))</f>
        <v/>
      </c>
      <c r="I250" s="63"/>
      <c r="J250" s="63" t="str">
        <f>IF(AND(MOVIMIENTOS!$A250&lt;&gt;"",COUNTIF(MOVIMIENTOS!$A$5:$A249,MOVIMIENTOS!$A250)=0),COUNT(J$4:J249)+1,"")</f>
        <v/>
      </c>
      <c r="K250" s="66">
        <f>MOVIMIENTOS!$A250</f>
        <v>46236</v>
      </c>
      <c r="L250" s="63"/>
      <c r="M250" s="63"/>
      <c r="N250" s="63"/>
    </row>
    <row r="251" spans="1:14" ht="15" customHeight="1" x14ac:dyDescent="0.2">
      <c r="A251" s="63" t="str">
        <f t="shared" si="6"/>
        <v/>
      </c>
      <c r="B251" s="63" t="str">
        <f>IF($A251="","",SUMPRODUCT((MOVIMIENTOS!$B$5:$B$1005="SALDO INICIAL")*(MOVIMIENTOS!$C$5:$C$1005="A")*(MOVIMIENTOS!$D$5:$D$1005="jabas")*(MOVIMIENTOS!$A$5:$A$1005&lt;&gt;"")*(MOVIMIENTOS!$A$5:$A$1005&lt;=$A251)*MOVIMIENTOS!$E$5:$E$1005)+SUMPRODUCT((MOVIMIENTOS!$B$5:$B$1005="PROCESO")*(MOVIMIENTOS!$C$5:$C$1005="A")*(MOVIMIENTOS!$D$5:$D$1005="jabas")*(MOVIMIENTOS!$A$5:$A$1005&lt;&gt;"")*(MOVIMIENTOS!$A$5:$A$1005&lt;=$A251)*MOVIMIENTOS!$E$5:$E$1005)-SUMPRODUCT((MOVIMIENTOS!$B$5:$B$1005="ENVÍO A SUPESA")*(MOVIMIENTOS!$C$5:$C$1005="A")*(MOVIMIENTOS!$D$5:$D$1005="jabas")*(MOVIMIENTOS!$A$5:$A$1005&lt;&gt;"")*(MOVIMIENTOS!$A$5:$A$1005&lt;=$A251)*MOVIMIENTOS!$E$5:$E$1005)+SUMPRODUCT((MOVIMIENTOS!$B$5:$B$1005="DEVOLUCIÓN")*(MOVIMIENTOS!$C$5:$C$1005="A")*(MOVIMIENTOS!$D$5:$D$1005="jabas")*(MOVIMIENTOS!$A$5:$A$1005&lt;&gt;"")*(MOVIMIENTOS!$A$5:$A$1005&lt;=$A251)*MOVIMIENTOS!$E$5:$E$1005)-SUMPRODUCT((MOVIMIENTOS!$B$5:$B$1005="TRASIEGO")*(MOVIMIENTOS!$C$5:$C$1005="A")*(MOVIMIENTOS!$D$5:$D$1005="jabas")*(MOVIMIENTOS!$A$5:$A$1005&lt;&gt;"")*(MOVIMIENTOS!$A$5:$A$1005&lt;=$A251)*MOVIMIENTOS!$E$5:$E$1005)-SUMPRODUCT((MOVIMIENTOS!$B$5:$B$1005="REGALO")*(MOVIMIENTOS!$C$5:$C$1005="A")*(MOVIMIENTOS!$D$5:$D$1005="jabas")*(MOVIMIENTOS!$A$5:$A$1005&lt;&gt;"")*(MOVIMIENTOS!$A$5:$A$1005&lt;=$A251)*MOVIMIENTOS!$E$5:$E$1005)-SUMPRODUCT((MOVIMIENTOS!$B$5:$B$1005="VENTA")*(MOVIMIENTOS!$C$5:$C$1005="A")*(MOVIMIENTOS!$D$5:$D$1005="jabas")*(MOVIMIENTOS!$A$5:$A$1005&lt;&gt;"")*(MOVIMIENTOS!$A$5:$A$1005&lt;=$A251)*MOVIMIENTOS!$E$5:$E$1005)+SUMPRODUCT((MOVIMIENTOS!$B$5:$B$1005="AJUSTE")*(MOVIMIENTOS!$C$5:$C$1005="A")*(MOVIMIENTOS!$D$5:$D$1005="jabas")*(MOVIMIENTOS!$A$5:$A$1005&lt;&gt;"")*(MOVIMIENTOS!$A$5:$A$1005&lt;=$A251)*MOVIMIENTOS!$E$5:$E$1005))</f>
        <v/>
      </c>
      <c r="C251" s="63" t="str">
        <f>IF($A251="","",SUMPRODUCT((MOVIMIENTOS!$B$5:$B$1005="SALDO INICIAL")*(MOVIMIENTOS!$C$5:$C$1005="P")*(MOVIMIENTOS!$D$5:$D$1005="jabas")*(MOVIMIENTOS!$A$5:$A$1005&lt;&gt;"")*(MOVIMIENTOS!$A$5:$A$1005&lt;=$A251)*MOVIMIENTOS!$E$5:$E$1005)+SUMPRODUCT((MOVIMIENTOS!$B$5:$B$1005="PROCESO")*(MOVIMIENTOS!$C$5:$C$1005="P")*(MOVIMIENTOS!$D$5:$D$1005="jabas")*(MOVIMIENTOS!$A$5:$A$1005&lt;&gt;"")*(MOVIMIENTOS!$A$5:$A$1005&lt;=$A251)*MOVIMIENTOS!$E$5:$E$1005)-SUMPRODUCT((MOVIMIENTOS!$B$5:$B$1005="ENVÍO A SUPESA")*(MOVIMIENTOS!$C$5:$C$1005="P")*(MOVIMIENTOS!$D$5:$D$1005="jabas")*(MOVIMIENTOS!$A$5:$A$1005&lt;&gt;"")*(MOVIMIENTOS!$A$5:$A$1005&lt;=$A251)*MOVIMIENTOS!$E$5:$E$1005)+SUMPRODUCT((MOVIMIENTOS!$B$5:$B$1005="DEVOLUCIÓN")*(MOVIMIENTOS!$C$5:$C$1005="P")*(MOVIMIENTOS!$D$5:$D$1005="jabas")*(MOVIMIENTOS!$A$5:$A$1005&lt;&gt;"")*(MOVIMIENTOS!$A$5:$A$1005&lt;=$A251)*MOVIMIENTOS!$E$5:$E$1005)-SUMPRODUCT((MOVIMIENTOS!$B$5:$B$1005="TRASIEGO")*(MOVIMIENTOS!$C$5:$C$1005="P")*(MOVIMIENTOS!$D$5:$D$1005="jabas")*(MOVIMIENTOS!$A$5:$A$1005&lt;&gt;"")*(MOVIMIENTOS!$A$5:$A$1005&lt;=$A251)*MOVIMIENTOS!$E$5:$E$1005)-SUMPRODUCT((MOVIMIENTOS!$B$5:$B$1005="REGALO")*(MOVIMIENTOS!$C$5:$C$1005="P")*(MOVIMIENTOS!$D$5:$D$1005="jabas")*(MOVIMIENTOS!$A$5:$A$1005&lt;&gt;"")*(MOVIMIENTOS!$A$5:$A$1005&lt;=$A251)*MOVIMIENTOS!$E$5:$E$1005)-SUMPRODUCT((MOVIMIENTOS!$B$5:$B$1005="VENTA")*(MOVIMIENTOS!$C$5:$C$1005="P")*(MOVIMIENTOS!$D$5:$D$1005="jabas")*(MOVIMIENTOS!$A$5:$A$1005&lt;&gt;"")*(MOVIMIENTOS!$A$5:$A$1005&lt;=$A251)*MOVIMIENTOS!$E$5:$E$1005)+SUMPRODUCT((MOVIMIENTOS!$B$5:$B$1005="AJUSTE")*(MOVIMIENTOS!$C$5:$C$1005="P")*(MOVIMIENTOS!$D$5:$D$1005="jabas")*(MOVIMIENTOS!$A$5:$A$1005&lt;&gt;"")*(MOVIMIENTOS!$A$5:$A$1005&lt;=$A251)*MOVIMIENTOS!$E$5:$E$1005))</f>
        <v/>
      </c>
      <c r="D251" s="63" t="str">
        <f>IF($A251="","",SUMPRODUCT((MOVIMIENTOS!$B$5:$B$1005="SALDO INICIAL")*(MOVIMIENTOS!$C$5:$C$1005="C")*(MOVIMIENTOS!$D$5:$D$1005="jabas")*(MOVIMIENTOS!$A$5:$A$1005&lt;&gt;"")*(MOVIMIENTOS!$A$5:$A$1005&lt;=$A251)*MOVIMIENTOS!$E$5:$E$1005)+SUMPRODUCT((MOVIMIENTOS!$B$5:$B$1005="PROCESO")*(MOVIMIENTOS!$C$5:$C$1005="C")*(MOVIMIENTOS!$D$5:$D$1005="jabas")*(MOVIMIENTOS!$A$5:$A$1005&lt;&gt;"")*(MOVIMIENTOS!$A$5:$A$1005&lt;=$A251)*MOVIMIENTOS!$E$5:$E$1005)-SUMPRODUCT((MOVIMIENTOS!$B$5:$B$1005="ENVÍO A SUPESA")*(MOVIMIENTOS!$C$5:$C$1005="C")*(MOVIMIENTOS!$D$5:$D$1005="jabas")*(MOVIMIENTOS!$A$5:$A$1005&lt;&gt;"")*(MOVIMIENTOS!$A$5:$A$1005&lt;=$A251)*MOVIMIENTOS!$E$5:$E$1005)+SUMPRODUCT((MOVIMIENTOS!$B$5:$B$1005="DEVOLUCIÓN")*(MOVIMIENTOS!$C$5:$C$1005="C")*(MOVIMIENTOS!$D$5:$D$1005="jabas")*(MOVIMIENTOS!$A$5:$A$1005&lt;&gt;"")*(MOVIMIENTOS!$A$5:$A$1005&lt;=$A251)*MOVIMIENTOS!$E$5:$E$1005)-SUMPRODUCT((MOVIMIENTOS!$B$5:$B$1005="TRASIEGO")*(MOVIMIENTOS!$C$5:$C$1005="C")*(MOVIMIENTOS!$D$5:$D$1005="jabas")*(MOVIMIENTOS!$A$5:$A$1005&lt;&gt;"")*(MOVIMIENTOS!$A$5:$A$1005&lt;=$A251)*MOVIMIENTOS!$E$5:$E$1005)-SUMPRODUCT((MOVIMIENTOS!$B$5:$B$1005="REGALO")*(MOVIMIENTOS!$C$5:$C$1005="C")*(MOVIMIENTOS!$D$5:$D$1005="jabas")*(MOVIMIENTOS!$A$5:$A$1005&lt;&gt;"")*(MOVIMIENTOS!$A$5:$A$1005&lt;=$A251)*MOVIMIENTOS!$E$5:$E$1005)-SUMPRODUCT((MOVIMIENTOS!$B$5:$B$1005="VENTA")*(MOVIMIENTOS!$C$5:$C$1005="C")*(MOVIMIENTOS!$D$5:$D$1005="jabas")*(MOVIMIENTOS!$A$5:$A$1005&lt;&gt;"")*(MOVIMIENTOS!$A$5:$A$1005&lt;=$A251)*MOVIMIENTOS!$E$5:$E$1005)+SUMPRODUCT((MOVIMIENTOS!$B$5:$B$1005="AJUSTE")*(MOVIMIENTOS!$C$5:$C$1005="C")*(MOVIMIENTOS!$D$5:$D$1005="jabas")*(MOVIMIENTOS!$A$5:$A$1005&lt;&gt;"")*(MOVIMIENTOS!$A$5:$A$1005&lt;=$A251)*MOVIMIENTOS!$E$5:$E$1005))</f>
        <v/>
      </c>
      <c r="E251" s="63" t="str">
        <f>IF($A251="","",SUMPRODUCT((MOVIMIENTOS!$B$5:$B$1005="SALDO INICIAL")*(MOVIMIENTOS!$C$5:$C$1005="M")*(MOVIMIENTOS!$D$5:$D$1005="jabas")*(MOVIMIENTOS!$A$5:$A$1005&lt;&gt;"")*(MOVIMIENTOS!$A$5:$A$1005&lt;=$A251)*MOVIMIENTOS!$E$5:$E$1005)+SUMPRODUCT((MOVIMIENTOS!$B$5:$B$1005="PROCESO")*(MOVIMIENTOS!$C$5:$C$1005="M")*(MOVIMIENTOS!$D$5:$D$1005="jabas")*(MOVIMIENTOS!$A$5:$A$1005&lt;&gt;"")*(MOVIMIENTOS!$A$5:$A$1005&lt;=$A251)*MOVIMIENTOS!$E$5:$E$1005)-SUMPRODUCT((MOVIMIENTOS!$B$5:$B$1005="ENVÍO A SUPESA")*(MOVIMIENTOS!$C$5:$C$1005="M")*(MOVIMIENTOS!$D$5:$D$1005="jabas")*(MOVIMIENTOS!$A$5:$A$1005&lt;&gt;"")*(MOVIMIENTOS!$A$5:$A$1005&lt;=$A251)*MOVIMIENTOS!$E$5:$E$1005)+SUMPRODUCT((MOVIMIENTOS!$B$5:$B$1005="DEVOLUCIÓN")*(MOVIMIENTOS!$C$5:$C$1005="M")*(MOVIMIENTOS!$D$5:$D$1005="jabas")*(MOVIMIENTOS!$A$5:$A$1005&lt;&gt;"")*(MOVIMIENTOS!$A$5:$A$1005&lt;=$A251)*MOVIMIENTOS!$E$5:$E$1005)-SUMPRODUCT((MOVIMIENTOS!$B$5:$B$1005="TRASIEGO")*(MOVIMIENTOS!$C$5:$C$1005="M")*(MOVIMIENTOS!$D$5:$D$1005="jabas")*(MOVIMIENTOS!$A$5:$A$1005&lt;&gt;"")*(MOVIMIENTOS!$A$5:$A$1005&lt;=$A251)*MOVIMIENTOS!$E$5:$E$1005)-SUMPRODUCT((MOVIMIENTOS!$B$5:$B$1005="REGALO")*(MOVIMIENTOS!$C$5:$C$1005="M")*(MOVIMIENTOS!$D$5:$D$1005="jabas")*(MOVIMIENTOS!$A$5:$A$1005&lt;&gt;"")*(MOVIMIENTOS!$A$5:$A$1005&lt;=$A251)*MOVIMIENTOS!$E$5:$E$1005)-SUMPRODUCT((MOVIMIENTOS!$B$5:$B$1005="VENTA")*(MOVIMIENTOS!$C$5:$C$1005="M")*(MOVIMIENTOS!$D$5:$D$1005="jabas")*(MOVIMIENTOS!$A$5:$A$1005&lt;&gt;"")*(MOVIMIENTOS!$A$5:$A$1005&lt;=$A251)*MOVIMIENTOS!$E$5:$E$1005)+SUMPRODUCT((MOVIMIENTOS!$B$5:$B$1005="AJUSTE")*(MOVIMIENTOS!$C$5:$C$1005="M")*(MOVIMIENTOS!$D$5:$D$1005="jabas")*(MOVIMIENTOS!$A$5:$A$1005&lt;&gt;"")*(MOVIMIENTOS!$A$5:$A$1005&lt;=$A251)*MOVIMIENTOS!$E$5:$E$1005))</f>
        <v/>
      </c>
      <c r="F251" s="63" t="str">
        <f>IF($A251="","",SUMPRODUCT((MOVIMIENTOS!$B$5:$B$1005="SALDO INICIAL")*(MOVIMIENTOS!$C$5:$C$1005="Chancho")*(MOVIMIENTOS!$D$5:$D$1005="sacos")*(MOVIMIENTOS!$A$5:$A$1005&lt;&gt;"")*(MOVIMIENTOS!$A$5:$A$1005&lt;=$A251)*MOVIMIENTOS!$E$5:$E$1005)+SUMPRODUCT((MOVIMIENTOS!$B$5:$B$1005="PROCESO")*(MOVIMIENTOS!$C$5:$C$1005="Chancho")*(MOVIMIENTOS!$D$5:$D$1005="sacos")*(MOVIMIENTOS!$A$5:$A$1005&lt;&gt;"")*(MOVIMIENTOS!$A$5:$A$1005&lt;=$A251)*MOVIMIENTOS!$E$5:$E$1005)-SUMPRODUCT((MOVIMIENTOS!$B$5:$B$1005="VENTA CHANCHO")*(MOVIMIENTOS!$C$5:$C$1005="Chancho")*(MOVIMIENTOS!$D$5:$D$1005="sacos")*(MOVIMIENTOS!$A$5:$A$1005&lt;&gt;"")*(MOVIMIENTOS!$A$5:$A$1005&lt;=$A251)*MOVIMIENTOS!$E$5:$E$1005)-SUMPRODUCT((MOVIMIENTOS!$B$5:$B$1005="REGALO")*(MOVIMIENTOS!$C$5:$C$1005="Chancho")*(MOVIMIENTOS!$D$5:$D$1005="sacos")*(MOVIMIENTOS!$A$5:$A$1005&lt;&gt;"")*(MOVIMIENTOS!$A$5:$A$1005&lt;=$A251)*MOVIMIENTOS!$E$5:$E$1005)-SUMPRODUCT((MOVIMIENTOS!$B$5:$B$1005="VENTA")*(MOVIMIENTOS!$C$5:$C$1005="Chancho")*(MOVIMIENTOS!$D$5:$D$1005="sacos")*(MOVIMIENTOS!$A$5:$A$1005&lt;&gt;"")*(MOVIMIENTOS!$A$5:$A$1005&lt;=$A251)*MOVIMIENTOS!$E$5:$E$1005)+SUMPRODUCT((MOVIMIENTOS!$B$5:$B$1005="AJUSTE")*(MOVIMIENTOS!$C$5:$C$1005="Chancho")*(MOVIMIENTOS!$D$5:$D$1005="sacos")*(MOVIMIENTOS!$A$5:$A$1005&lt;&gt;"")*(MOVIMIENTOS!$A$5:$A$1005&lt;=$A251)*MOVIMIENTOS!$E$5:$E$1005))</f>
        <v/>
      </c>
      <c r="G251" s="95" t="str">
        <f t="shared" si="7"/>
        <v/>
      </c>
      <c r="H251" s="63" t="str">
        <f>IF($A251="","",SUMPRODUCT((((MOVIMIENTOS!$B$5:$B$1005="SALDO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251)*MOVIMIENTOS!$J$5:$J$1005))</f>
        <v/>
      </c>
      <c r="I251" s="63"/>
      <c r="J251" s="63" t="str">
        <f>IF(AND(MOVIMIENTOS!$A251&lt;&gt;"",COUNTIF(MOVIMIENTOS!$A$5:$A250,MOVIMIENTOS!$A251)=0),COUNT(J$4:J250)+1,"")</f>
        <v/>
      </c>
      <c r="K251" s="66">
        <f>MOVIMIENTOS!$A251</f>
        <v>46236</v>
      </c>
      <c r="L251" s="63"/>
      <c r="M251" s="63"/>
      <c r="N251" s="63"/>
    </row>
    <row r="252" spans="1:14" ht="15" customHeight="1" x14ac:dyDescent="0.2">
      <c r="A252" s="63" t="str">
        <f t="shared" si="6"/>
        <v/>
      </c>
      <c r="B252" s="63" t="str">
        <f>IF($A252="","",SUMPRODUCT((MOVIMIENTOS!$B$5:$B$1005="SALDO INICIAL")*(MOVIMIENTOS!$C$5:$C$1005="A")*(MOVIMIENTOS!$D$5:$D$1005="jabas")*(MOVIMIENTOS!$A$5:$A$1005&lt;&gt;"")*(MOVIMIENTOS!$A$5:$A$1005&lt;=$A252)*MOVIMIENTOS!$E$5:$E$1005)+SUMPRODUCT((MOVIMIENTOS!$B$5:$B$1005="PROCESO")*(MOVIMIENTOS!$C$5:$C$1005="A")*(MOVIMIENTOS!$D$5:$D$1005="jabas")*(MOVIMIENTOS!$A$5:$A$1005&lt;&gt;"")*(MOVIMIENTOS!$A$5:$A$1005&lt;=$A252)*MOVIMIENTOS!$E$5:$E$1005)-SUMPRODUCT((MOVIMIENTOS!$B$5:$B$1005="ENVÍO A SUPESA")*(MOVIMIENTOS!$C$5:$C$1005="A")*(MOVIMIENTOS!$D$5:$D$1005="jabas")*(MOVIMIENTOS!$A$5:$A$1005&lt;&gt;"")*(MOVIMIENTOS!$A$5:$A$1005&lt;=$A252)*MOVIMIENTOS!$E$5:$E$1005)+SUMPRODUCT((MOVIMIENTOS!$B$5:$B$1005="DEVOLUCIÓN")*(MOVIMIENTOS!$C$5:$C$1005="A")*(MOVIMIENTOS!$D$5:$D$1005="jabas")*(MOVIMIENTOS!$A$5:$A$1005&lt;&gt;"")*(MOVIMIENTOS!$A$5:$A$1005&lt;=$A252)*MOVIMIENTOS!$E$5:$E$1005)-SUMPRODUCT((MOVIMIENTOS!$B$5:$B$1005="TRASIEGO")*(MOVIMIENTOS!$C$5:$C$1005="A")*(MOVIMIENTOS!$D$5:$D$1005="jabas")*(MOVIMIENTOS!$A$5:$A$1005&lt;&gt;"")*(MOVIMIENTOS!$A$5:$A$1005&lt;=$A252)*MOVIMIENTOS!$E$5:$E$1005)-SUMPRODUCT((MOVIMIENTOS!$B$5:$B$1005="REGALO")*(MOVIMIENTOS!$C$5:$C$1005="A")*(MOVIMIENTOS!$D$5:$D$1005="jabas")*(MOVIMIENTOS!$A$5:$A$1005&lt;&gt;"")*(MOVIMIENTOS!$A$5:$A$1005&lt;=$A252)*MOVIMIENTOS!$E$5:$E$1005)-SUMPRODUCT((MOVIMIENTOS!$B$5:$B$1005="VENTA")*(MOVIMIENTOS!$C$5:$C$1005="A")*(MOVIMIENTOS!$D$5:$D$1005="jabas")*(MOVIMIENTOS!$A$5:$A$1005&lt;&gt;"")*(MOVIMIENTOS!$A$5:$A$1005&lt;=$A252)*MOVIMIENTOS!$E$5:$E$1005)+SUMPRODUCT((MOVIMIENTOS!$B$5:$B$1005="AJUSTE")*(MOVIMIENTOS!$C$5:$C$1005="A")*(MOVIMIENTOS!$D$5:$D$1005="jabas")*(MOVIMIENTOS!$A$5:$A$1005&lt;&gt;"")*(MOVIMIENTOS!$A$5:$A$1005&lt;=$A252)*MOVIMIENTOS!$E$5:$E$1005))</f>
        <v/>
      </c>
      <c r="C252" s="63" t="str">
        <f>IF($A252="","",SUMPRODUCT((MOVIMIENTOS!$B$5:$B$1005="SALDO INICIAL")*(MOVIMIENTOS!$C$5:$C$1005="P")*(MOVIMIENTOS!$D$5:$D$1005="jabas")*(MOVIMIENTOS!$A$5:$A$1005&lt;&gt;"")*(MOVIMIENTOS!$A$5:$A$1005&lt;=$A252)*MOVIMIENTOS!$E$5:$E$1005)+SUMPRODUCT((MOVIMIENTOS!$B$5:$B$1005="PROCESO")*(MOVIMIENTOS!$C$5:$C$1005="P")*(MOVIMIENTOS!$D$5:$D$1005="jabas")*(MOVIMIENTOS!$A$5:$A$1005&lt;&gt;"")*(MOVIMIENTOS!$A$5:$A$1005&lt;=$A252)*MOVIMIENTOS!$E$5:$E$1005)-SUMPRODUCT((MOVIMIENTOS!$B$5:$B$1005="ENVÍO A SUPESA")*(MOVIMIENTOS!$C$5:$C$1005="P")*(MOVIMIENTOS!$D$5:$D$1005="jabas")*(MOVIMIENTOS!$A$5:$A$1005&lt;&gt;"")*(MOVIMIENTOS!$A$5:$A$1005&lt;=$A252)*MOVIMIENTOS!$E$5:$E$1005)+SUMPRODUCT((MOVIMIENTOS!$B$5:$B$1005="DEVOLUCIÓN")*(MOVIMIENTOS!$C$5:$C$1005="P")*(MOVIMIENTOS!$D$5:$D$1005="jabas")*(MOVIMIENTOS!$A$5:$A$1005&lt;&gt;"")*(MOVIMIENTOS!$A$5:$A$1005&lt;=$A252)*MOVIMIENTOS!$E$5:$E$1005)-SUMPRODUCT((MOVIMIENTOS!$B$5:$B$1005="TRASIEGO")*(MOVIMIENTOS!$C$5:$C$1005="P")*(MOVIMIENTOS!$D$5:$D$1005="jabas")*(MOVIMIENTOS!$A$5:$A$1005&lt;&gt;"")*(MOVIMIENTOS!$A$5:$A$1005&lt;=$A252)*MOVIMIENTOS!$E$5:$E$1005)-SUMPRODUCT((MOVIMIENTOS!$B$5:$B$1005="REGALO")*(MOVIMIENTOS!$C$5:$C$1005="P")*(MOVIMIENTOS!$D$5:$D$1005="jabas")*(MOVIMIENTOS!$A$5:$A$1005&lt;&gt;"")*(MOVIMIENTOS!$A$5:$A$1005&lt;=$A252)*MOVIMIENTOS!$E$5:$E$1005)-SUMPRODUCT((MOVIMIENTOS!$B$5:$B$1005="VENTA")*(MOVIMIENTOS!$C$5:$C$1005="P")*(MOVIMIENTOS!$D$5:$D$1005="jabas")*(MOVIMIENTOS!$A$5:$A$1005&lt;&gt;"")*(MOVIMIENTOS!$A$5:$A$1005&lt;=$A252)*MOVIMIENTOS!$E$5:$E$1005)+SUMPRODUCT((MOVIMIENTOS!$B$5:$B$1005="AJUSTE")*(MOVIMIENTOS!$C$5:$C$1005="P")*(MOVIMIENTOS!$D$5:$D$1005="jabas")*(MOVIMIENTOS!$A$5:$A$1005&lt;&gt;"")*(MOVIMIENTOS!$A$5:$A$1005&lt;=$A252)*MOVIMIENTOS!$E$5:$E$1005))</f>
        <v/>
      </c>
      <c r="D252" s="63" t="str">
        <f>IF($A252="","",SUMPRODUCT((MOVIMIENTOS!$B$5:$B$1005="SALDO INICIAL")*(MOVIMIENTOS!$C$5:$C$1005="C")*(MOVIMIENTOS!$D$5:$D$1005="jabas")*(MOVIMIENTOS!$A$5:$A$1005&lt;&gt;"")*(MOVIMIENTOS!$A$5:$A$1005&lt;=$A252)*MOVIMIENTOS!$E$5:$E$1005)+SUMPRODUCT((MOVIMIENTOS!$B$5:$B$1005="PROCESO")*(MOVIMIENTOS!$C$5:$C$1005="C")*(MOVIMIENTOS!$D$5:$D$1005="jabas")*(MOVIMIENTOS!$A$5:$A$1005&lt;&gt;"")*(MOVIMIENTOS!$A$5:$A$1005&lt;=$A252)*MOVIMIENTOS!$E$5:$E$1005)-SUMPRODUCT((MOVIMIENTOS!$B$5:$B$1005="ENVÍO A SUPESA")*(MOVIMIENTOS!$C$5:$C$1005="C")*(MOVIMIENTOS!$D$5:$D$1005="jabas")*(MOVIMIENTOS!$A$5:$A$1005&lt;&gt;"")*(MOVIMIENTOS!$A$5:$A$1005&lt;=$A252)*MOVIMIENTOS!$E$5:$E$1005)+SUMPRODUCT((MOVIMIENTOS!$B$5:$B$1005="DEVOLUCIÓN")*(MOVIMIENTOS!$C$5:$C$1005="C")*(MOVIMIENTOS!$D$5:$D$1005="jabas")*(MOVIMIENTOS!$A$5:$A$1005&lt;&gt;"")*(MOVIMIENTOS!$A$5:$A$1005&lt;=$A252)*MOVIMIENTOS!$E$5:$E$1005)-SUMPRODUCT((MOVIMIENTOS!$B$5:$B$1005="TRASIEGO")*(MOVIMIENTOS!$C$5:$C$1005="C")*(MOVIMIENTOS!$D$5:$D$1005="jabas")*(MOVIMIENTOS!$A$5:$A$1005&lt;&gt;"")*(MOVIMIENTOS!$A$5:$A$1005&lt;=$A252)*MOVIMIENTOS!$E$5:$E$1005)-SUMPRODUCT((MOVIMIENTOS!$B$5:$B$1005="REGALO")*(MOVIMIENTOS!$C$5:$C$1005="C")*(MOVIMIENTOS!$D$5:$D$1005="jabas")*(MOVIMIENTOS!$A$5:$A$1005&lt;&gt;"")*(MOVIMIENTOS!$A$5:$A$1005&lt;=$A252)*MOVIMIENTOS!$E$5:$E$1005)-SUMPRODUCT((MOVIMIENTOS!$B$5:$B$1005="VENTA")*(MOVIMIENTOS!$C$5:$C$1005="C")*(MOVIMIENTOS!$D$5:$D$1005="jabas")*(MOVIMIENTOS!$A$5:$A$1005&lt;&gt;"")*(MOVIMIENTOS!$A$5:$A$1005&lt;=$A252)*MOVIMIENTOS!$E$5:$E$1005)+SUMPRODUCT((MOVIMIENTOS!$B$5:$B$1005="AJUSTE")*(MOVIMIENTOS!$C$5:$C$1005="C")*(MOVIMIENTOS!$D$5:$D$1005="jabas")*(MOVIMIENTOS!$A$5:$A$1005&lt;&gt;"")*(MOVIMIENTOS!$A$5:$A$1005&lt;=$A252)*MOVIMIENTOS!$E$5:$E$1005))</f>
        <v/>
      </c>
      <c r="E252" s="63" t="str">
        <f>IF($A252="","",SUMPRODUCT((MOVIMIENTOS!$B$5:$B$1005="SALDO INICIAL")*(MOVIMIENTOS!$C$5:$C$1005="M")*(MOVIMIENTOS!$D$5:$D$1005="jabas")*(MOVIMIENTOS!$A$5:$A$1005&lt;&gt;"")*(MOVIMIENTOS!$A$5:$A$1005&lt;=$A252)*MOVIMIENTOS!$E$5:$E$1005)+SUMPRODUCT((MOVIMIENTOS!$B$5:$B$1005="PROCESO")*(MOVIMIENTOS!$C$5:$C$1005="M")*(MOVIMIENTOS!$D$5:$D$1005="jabas")*(MOVIMIENTOS!$A$5:$A$1005&lt;&gt;"")*(MOVIMIENTOS!$A$5:$A$1005&lt;=$A252)*MOVIMIENTOS!$E$5:$E$1005)-SUMPRODUCT((MOVIMIENTOS!$B$5:$B$1005="ENVÍO A SUPESA")*(MOVIMIENTOS!$C$5:$C$1005="M")*(MOVIMIENTOS!$D$5:$D$1005="jabas")*(MOVIMIENTOS!$A$5:$A$1005&lt;&gt;"")*(MOVIMIENTOS!$A$5:$A$1005&lt;=$A252)*MOVIMIENTOS!$E$5:$E$1005)+SUMPRODUCT((MOVIMIENTOS!$B$5:$B$1005="DEVOLUCIÓN")*(MOVIMIENTOS!$C$5:$C$1005="M")*(MOVIMIENTOS!$D$5:$D$1005="jabas")*(MOVIMIENTOS!$A$5:$A$1005&lt;&gt;"")*(MOVIMIENTOS!$A$5:$A$1005&lt;=$A252)*MOVIMIENTOS!$E$5:$E$1005)-SUMPRODUCT((MOVIMIENTOS!$B$5:$B$1005="TRASIEGO")*(MOVIMIENTOS!$C$5:$C$1005="M")*(MOVIMIENTOS!$D$5:$D$1005="jabas")*(MOVIMIENTOS!$A$5:$A$1005&lt;&gt;"")*(MOVIMIENTOS!$A$5:$A$1005&lt;=$A252)*MOVIMIENTOS!$E$5:$E$1005)-SUMPRODUCT((MOVIMIENTOS!$B$5:$B$1005="REGALO")*(MOVIMIENTOS!$C$5:$C$1005="M")*(MOVIMIENTOS!$D$5:$D$1005="jabas")*(MOVIMIENTOS!$A$5:$A$1005&lt;&gt;"")*(MOVIMIENTOS!$A$5:$A$1005&lt;=$A252)*MOVIMIENTOS!$E$5:$E$1005)-SUMPRODUCT((MOVIMIENTOS!$B$5:$B$1005="VENTA")*(MOVIMIENTOS!$C$5:$C$1005="M")*(MOVIMIENTOS!$D$5:$D$1005="jabas")*(MOVIMIENTOS!$A$5:$A$1005&lt;&gt;"")*(MOVIMIENTOS!$A$5:$A$1005&lt;=$A252)*MOVIMIENTOS!$E$5:$E$1005)+SUMPRODUCT((MOVIMIENTOS!$B$5:$B$1005="AJUSTE")*(MOVIMIENTOS!$C$5:$C$1005="M")*(MOVIMIENTOS!$D$5:$D$1005="jabas")*(MOVIMIENTOS!$A$5:$A$1005&lt;&gt;"")*(MOVIMIENTOS!$A$5:$A$1005&lt;=$A252)*MOVIMIENTOS!$E$5:$E$1005))</f>
        <v/>
      </c>
      <c r="F252" s="63" t="str">
        <f>IF($A252="","",SUMPRODUCT((MOVIMIENTOS!$B$5:$B$1005="SALDO INICIAL")*(MOVIMIENTOS!$C$5:$C$1005="Chancho")*(MOVIMIENTOS!$D$5:$D$1005="sacos")*(MOVIMIENTOS!$A$5:$A$1005&lt;&gt;"")*(MOVIMIENTOS!$A$5:$A$1005&lt;=$A252)*MOVIMIENTOS!$E$5:$E$1005)+SUMPRODUCT((MOVIMIENTOS!$B$5:$B$1005="PROCESO")*(MOVIMIENTOS!$C$5:$C$1005="Chancho")*(MOVIMIENTOS!$D$5:$D$1005="sacos")*(MOVIMIENTOS!$A$5:$A$1005&lt;&gt;"")*(MOVIMIENTOS!$A$5:$A$1005&lt;=$A252)*MOVIMIENTOS!$E$5:$E$1005)-SUMPRODUCT((MOVIMIENTOS!$B$5:$B$1005="VENTA CHANCHO")*(MOVIMIENTOS!$C$5:$C$1005="Chancho")*(MOVIMIENTOS!$D$5:$D$1005="sacos")*(MOVIMIENTOS!$A$5:$A$1005&lt;&gt;"")*(MOVIMIENTOS!$A$5:$A$1005&lt;=$A252)*MOVIMIENTOS!$E$5:$E$1005)-SUMPRODUCT((MOVIMIENTOS!$B$5:$B$1005="REGALO")*(MOVIMIENTOS!$C$5:$C$1005="Chancho")*(MOVIMIENTOS!$D$5:$D$1005="sacos")*(MOVIMIENTOS!$A$5:$A$1005&lt;&gt;"")*(MOVIMIENTOS!$A$5:$A$1005&lt;=$A252)*MOVIMIENTOS!$E$5:$E$1005)-SUMPRODUCT((MOVIMIENTOS!$B$5:$B$1005="VENTA")*(MOVIMIENTOS!$C$5:$C$1005="Chancho")*(MOVIMIENTOS!$D$5:$D$1005="sacos")*(MOVIMIENTOS!$A$5:$A$1005&lt;&gt;"")*(MOVIMIENTOS!$A$5:$A$1005&lt;=$A252)*MOVIMIENTOS!$E$5:$E$1005)+SUMPRODUCT((MOVIMIENTOS!$B$5:$B$1005="AJUSTE")*(MOVIMIENTOS!$C$5:$C$1005="Chancho")*(MOVIMIENTOS!$D$5:$D$1005="sacos")*(MOVIMIENTOS!$A$5:$A$1005&lt;&gt;"")*(MOVIMIENTOS!$A$5:$A$1005&lt;=$A252)*MOVIMIENTOS!$E$5:$E$1005))</f>
        <v/>
      </c>
      <c r="G252" s="95" t="str">
        <f t="shared" si="7"/>
        <v/>
      </c>
      <c r="H252" s="63" t="str">
        <f>IF($A252="","",SUMPRODUCT((((MOVIMIENTOS!$B$5:$B$1005="SALDO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252)*MOVIMIENTOS!$J$5:$J$1005))</f>
        <v/>
      </c>
      <c r="I252" s="63"/>
      <c r="J252" s="63" t="str">
        <f>IF(AND(MOVIMIENTOS!$A252&lt;&gt;"",COUNTIF(MOVIMIENTOS!$A$5:$A251,MOVIMIENTOS!$A252)=0),COUNT(J$4:J251)+1,"")</f>
        <v/>
      </c>
      <c r="K252" s="66">
        <f>MOVIMIENTOS!$A252</f>
        <v>46236</v>
      </c>
      <c r="L252" s="63"/>
      <c r="M252" s="63"/>
      <c r="N252" s="63"/>
    </row>
    <row r="253" spans="1:14" ht="15" customHeight="1" x14ac:dyDescent="0.2">
      <c r="A253" s="63" t="str">
        <f t="shared" si="6"/>
        <v/>
      </c>
      <c r="B253" s="63" t="str">
        <f>IF($A253="","",SUMPRODUCT((MOVIMIENTOS!$B$5:$B$1005="SALDO INICIAL")*(MOVIMIENTOS!$C$5:$C$1005="A")*(MOVIMIENTOS!$D$5:$D$1005="jabas")*(MOVIMIENTOS!$A$5:$A$1005&lt;&gt;"")*(MOVIMIENTOS!$A$5:$A$1005&lt;=$A253)*MOVIMIENTOS!$E$5:$E$1005)+SUMPRODUCT((MOVIMIENTOS!$B$5:$B$1005="PROCESO")*(MOVIMIENTOS!$C$5:$C$1005="A")*(MOVIMIENTOS!$D$5:$D$1005="jabas")*(MOVIMIENTOS!$A$5:$A$1005&lt;&gt;"")*(MOVIMIENTOS!$A$5:$A$1005&lt;=$A253)*MOVIMIENTOS!$E$5:$E$1005)-SUMPRODUCT((MOVIMIENTOS!$B$5:$B$1005="ENVÍO A SUPESA")*(MOVIMIENTOS!$C$5:$C$1005="A")*(MOVIMIENTOS!$D$5:$D$1005="jabas")*(MOVIMIENTOS!$A$5:$A$1005&lt;&gt;"")*(MOVIMIENTOS!$A$5:$A$1005&lt;=$A253)*MOVIMIENTOS!$E$5:$E$1005)+SUMPRODUCT((MOVIMIENTOS!$B$5:$B$1005="DEVOLUCIÓN")*(MOVIMIENTOS!$C$5:$C$1005="A")*(MOVIMIENTOS!$D$5:$D$1005="jabas")*(MOVIMIENTOS!$A$5:$A$1005&lt;&gt;"")*(MOVIMIENTOS!$A$5:$A$1005&lt;=$A253)*MOVIMIENTOS!$E$5:$E$1005)-SUMPRODUCT((MOVIMIENTOS!$B$5:$B$1005="TRASIEGO")*(MOVIMIENTOS!$C$5:$C$1005="A")*(MOVIMIENTOS!$D$5:$D$1005="jabas")*(MOVIMIENTOS!$A$5:$A$1005&lt;&gt;"")*(MOVIMIENTOS!$A$5:$A$1005&lt;=$A253)*MOVIMIENTOS!$E$5:$E$1005)-SUMPRODUCT((MOVIMIENTOS!$B$5:$B$1005="REGALO")*(MOVIMIENTOS!$C$5:$C$1005="A")*(MOVIMIENTOS!$D$5:$D$1005="jabas")*(MOVIMIENTOS!$A$5:$A$1005&lt;&gt;"")*(MOVIMIENTOS!$A$5:$A$1005&lt;=$A253)*MOVIMIENTOS!$E$5:$E$1005)-SUMPRODUCT((MOVIMIENTOS!$B$5:$B$1005="VENTA")*(MOVIMIENTOS!$C$5:$C$1005="A")*(MOVIMIENTOS!$D$5:$D$1005="jabas")*(MOVIMIENTOS!$A$5:$A$1005&lt;&gt;"")*(MOVIMIENTOS!$A$5:$A$1005&lt;=$A253)*MOVIMIENTOS!$E$5:$E$1005)+SUMPRODUCT((MOVIMIENTOS!$B$5:$B$1005="AJUSTE")*(MOVIMIENTOS!$C$5:$C$1005="A")*(MOVIMIENTOS!$D$5:$D$1005="jabas")*(MOVIMIENTOS!$A$5:$A$1005&lt;&gt;"")*(MOVIMIENTOS!$A$5:$A$1005&lt;=$A253)*MOVIMIENTOS!$E$5:$E$1005))</f>
        <v/>
      </c>
      <c r="C253" s="63" t="str">
        <f>IF($A253="","",SUMPRODUCT((MOVIMIENTOS!$B$5:$B$1005="SALDO INICIAL")*(MOVIMIENTOS!$C$5:$C$1005="P")*(MOVIMIENTOS!$D$5:$D$1005="jabas")*(MOVIMIENTOS!$A$5:$A$1005&lt;&gt;"")*(MOVIMIENTOS!$A$5:$A$1005&lt;=$A253)*MOVIMIENTOS!$E$5:$E$1005)+SUMPRODUCT((MOVIMIENTOS!$B$5:$B$1005="PROCESO")*(MOVIMIENTOS!$C$5:$C$1005="P")*(MOVIMIENTOS!$D$5:$D$1005="jabas")*(MOVIMIENTOS!$A$5:$A$1005&lt;&gt;"")*(MOVIMIENTOS!$A$5:$A$1005&lt;=$A253)*MOVIMIENTOS!$E$5:$E$1005)-SUMPRODUCT((MOVIMIENTOS!$B$5:$B$1005="ENVÍO A SUPESA")*(MOVIMIENTOS!$C$5:$C$1005="P")*(MOVIMIENTOS!$D$5:$D$1005="jabas")*(MOVIMIENTOS!$A$5:$A$1005&lt;&gt;"")*(MOVIMIENTOS!$A$5:$A$1005&lt;=$A253)*MOVIMIENTOS!$E$5:$E$1005)+SUMPRODUCT((MOVIMIENTOS!$B$5:$B$1005="DEVOLUCIÓN")*(MOVIMIENTOS!$C$5:$C$1005="P")*(MOVIMIENTOS!$D$5:$D$1005="jabas")*(MOVIMIENTOS!$A$5:$A$1005&lt;&gt;"")*(MOVIMIENTOS!$A$5:$A$1005&lt;=$A253)*MOVIMIENTOS!$E$5:$E$1005)-SUMPRODUCT((MOVIMIENTOS!$B$5:$B$1005="TRASIEGO")*(MOVIMIENTOS!$C$5:$C$1005="P")*(MOVIMIENTOS!$D$5:$D$1005="jabas")*(MOVIMIENTOS!$A$5:$A$1005&lt;&gt;"")*(MOVIMIENTOS!$A$5:$A$1005&lt;=$A253)*MOVIMIENTOS!$E$5:$E$1005)-SUMPRODUCT((MOVIMIENTOS!$B$5:$B$1005="REGALO")*(MOVIMIENTOS!$C$5:$C$1005="P")*(MOVIMIENTOS!$D$5:$D$1005="jabas")*(MOVIMIENTOS!$A$5:$A$1005&lt;&gt;"")*(MOVIMIENTOS!$A$5:$A$1005&lt;=$A253)*MOVIMIENTOS!$E$5:$E$1005)-SUMPRODUCT((MOVIMIENTOS!$B$5:$B$1005="VENTA")*(MOVIMIENTOS!$C$5:$C$1005="P")*(MOVIMIENTOS!$D$5:$D$1005="jabas")*(MOVIMIENTOS!$A$5:$A$1005&lt;&gt;"")*(MOVIMIENTOS!$A$5:$A$1005&lt;=$A253)*MOVIMIENTOS!$E$5:$E$1005)+SUMPRODUCT((MOVIMIENTOS!$B$5:$B$1005="AJUSTE")*(MOVIMIENTOS!$C$5:$C$1005="P")*(MOVIMIENTOS!$D$5:$D$1005="jabas")*(MOVIMIENTOS!$A$5:$A$1005&lt;&gt;"")*(MOVIMIENTOS!$A$5:$A$1005&lt;=$A253)*MOVIMIENTOS!$E$5:$E$1005))</f>
        <v/>
      </c>
      <c r="D253" s="63" t="str">
        <f>IF($A253="","",SUMPRODUCT((MOVIMIENTOS!$B$5:$B$1005="SALDO INICIAL")*(MOVIMIENTOS!$C$5:$C$1005="C")*(MOVIMIENTOS!$D$5:$D$1005="jabas")*(MOVIMIENTOS!$A$5:$A$1005&lt;&gt;"")*(MOVIMIENTOS!$A$5:$A$1005&lt;=$A253)*MOVIMIENTOS!$E$5:$E$1005)+SUMPRODUCT((MOVIMIENTOS!$B$5:$B$1005="PROCESO")*(MOVIMIENTOS!$C$5:$C$1005="C")*(MOVIMIENTOS!$D$5:$D$1005="jabas")*(MOVIMIENTOS!$A$5:$A$1005&lt;&gt;"")*(MOVIMIENTOS!$A$5:$A$1005&lt;=$A253)*MOVIMIENTOS!$E$5:$E$1005)-SUMPRODUCT((MOVIMIENTOS!$B$5:$B$1005="ENVÍO A SUPESA")*(MOVIMIENTOS!$C$5:$C$1005="C")*(MOVIMIENTOS!$D$5:$D$1005="jabas")*(MOVIMIENTOS!$A$5:$A$1005&lt;&gt;"")*(MOVIMIENTOS!$A$5:$A$1005&lt;=$A253)*MOVIMIENTOS!$E$5:$E$1005)+SUMPRODUCT((MOVIMIENTOS!$B$5:$B$1005="DEVOLUCIÓN")*(MOVIMIENTOS!$C$5:$C$1005="C")*(MOVIMIENTOS!$D$5:$D$1005="jabas")*(MOVIMIENTOS!$A$5:$A$1005&lt;&gt;"")*(MOVIMIENTOS!$A$5:$A$1005&lt;=$A253)*MOVIMIENTOS!$E$5:$E$1005)-SUMPRODUCT((MOVIMIENTOS!$B$5:$B$1005="TRASIEGO")*(MOVIMIENTOS!$C$5:$C$1005="C")*(MOVIMIENTOS!$D$5:$D$1005="jabas")*(MOVIMIENTOS!$A$5:$A$1005&lt;&gt;"")*(MOVIMIENTOS!$A$5:$A$1005&lt;=$A253)*MOVIMIENTOS!$E$5:$E$1005)-SUMPRODUCT((MOVIMIENTOS!$B$5:$B$1005="REGALO")*(MOVIMIENTOS!$C$5:$C$1005="C")*(MOVIMIENTOS!$D$5:$D$1005="jabas")*(MOVIMIENTOS!$A$5:$A$1005&lt;&gt;"")*(MOVIMIENTOS!$A$5:$A$1005&lt;=$A253)*MOVIMIENTOS!$E$5:$E$1005)-SUMPRODUCT((MOVIMIENTOS!$B$5:$B$1005="VENTA")*(MOVIMIENTOS!$C$5:$C$1005="C")*(MOVIMIENTOS!$D$5:$D$1005="jabas")*(MOVIMIENTOS!$A$5:$A$1005&lt;&gt;"")*(MOVIMIENTOS!$A$5:$A$1005&lt;=$A253)*MOVIMIENTOS!$E$5:$E$1005)+SUMPRODUCT((MOVIMIENTOS!$B$5:$B$1005="AJUSTE")*(MOVIMIENTOS!$C$5:$C$1005="C")*(MOVIMIENTOS!$D$5:$D$1005="jabas")*(MOVIMIENTOS!$A$5:$A$1005&lt;&gt;"")*(MOVIMIENTOS!$A$5:$A$1005&lt;=$A253)*MOVIMIENTOS!$E$5:$E$1005))</f>
        <v/>
      </c>
      <c r="E253" s="63" t="str">
        <f>IF($A253="","",SUMPRODUCT((MOVIMIENTOS!$B$5:$B$1005="SALDO INICIAL")*(MOVIMIENTOS!$C$5:$C$1005="M")*(MOVIMIENTOS!$D$5:$D$1005="jabas")*(MOVIMIENTOS!$A$5:$A$1005&lt;&gt;"")*(MOVIMIENTOS!$A$5:$A$1005&lt;=$A253)*MOVIMIENTOS!$E$5:$E$1005)+SUMPRODUCT((MOVIMIENTOS!$B$5:$B$1005="PROCESO")*(MOVIMIENTOS!$C$5:$C$1005="M")*(MOVIMIENTOS!$D$5:$D$1005="jabas")*(MOVIMIENTOS!$A$5:$A$1005&lt;&gt;"")*(MOVIMIENTOS!$A$5:$A$1005&lt;=$A253)*MOVIMIENTOS!$E$5:$E$1005)-SUMPRODUCT((MOVIMIENTOS!$B$5:$B$1005="ENVÍO A SUPESA")*(MOVIMIENTOS!$C$5:$C$1005="M")*(MOVIMIENTOS!$D$5:$D$1005="jabas")*(MOVIMIENTOS!$A$5:$A$1005&lt;&gt;"")*(MOVIMIENTOS!$A$5:$A$1005&lt;=$A253)*MOVIMIENTOS!$E$5:$E$1005)+SUMPRODUCT((MOVIMIENTOS!$B$5:$B$1005="DEVOLUCIÓN")*(MOVIMIENTOS!$C$5:$C$1005="M")*(MOVIMIENTOS!$D$5:$D$1005="jabas")*(MOVIMIENTOS!$A$5:$A$1005&lt;&gt;"")*(MOVIMIENTOS!$A$5:$A$1005&lt;=$A253)*MOVIMIENTOS!$E$5:$E$1005)-SUMPRODUCT((MOVIMIENTOS!$B$5:$B$1005="TRASIEGO")*(MOVIMIENTOS!$C$5:$C$1005="M")*(MOVIMIENTOS!$D$5:$D$1005="jabas")*(MOVIMIENTOS!$A$5:$A$1005&lt;&gt;"")*(MOVIMIENTOS!$A$5:$A$1005&lt;=$A253)*MOVIMIENTOS!$E$5:$E$1005)-SUMPRODUCT((MOVIMIENTOS!$B$5:$B$1005="REGALO")*(MOVIMIENTOS!$C$5:$C$1005="M")*(MOVIMIENTOS!$D$5:$D$1005="jabas")*(MOVIMIENTOS!$A$5:$A$1005&lt;&gt;"")*(MOVIMIENTOS!$A$5:$A$1005&lt;=$A253)*MOVIMIENTOS!$E$5:$E$1005)-SUMPRODUCT((MOVIMIENTOS!$B$5:$B$1005="VENTA")*(MOVIMIENTOS!$C$5:$C$1005="M")*(MOVIMIENTOS!$D$5:$D$1005="jabas")*(MOVIMIENTOS!$A$5:$A$1005&lt;&gt;"")*(MOVIMIENTOS!$A$5:$A$1005&lt;=$A253)*MOVIMIENTOS!$E$5:$E$1005)+SUMPRODUCT((MOVIMIENTOS!$B$5:$B$1005="AJUSTE")*(MOVIMIENTOS!$C$5:$C$1005="M")*(MOVIMIENTOS!$D$5:$D$1005="jabas")*(MOVIMIENTOS!$A$5:$A$1005&lt;&gt;"")*(MOVIMIENTOS!$A$5:$A$1005&lt;=$A253)*MOVIMIENTOS!$E$5:$E$1005))</f>
        <v/>
      </c>
      <c r="F253" s="63" t="str">
        <f>IF($A253="","",SUMPRODUCT((MOVIMIENTOS!$B$5:$B$1005="SALDO INICIAL")*(MOVIMIENTOS!$C$5:$C$1005="Chancho")*(MOVIMIENTOS!$D$5:$D$1005="sacos")*(MOVIMIENTOS!$A$5:$A$1005&lt;&gt;"")*(MOVIMIENTOS!$A$5:$A$1005&lt;=$A253)*MOVIMIENTOS!$E$5:$E$1005)+SUMPRODUCT((MOVIMIENTOS!$B$5:$B$1005="PROCESO")*(MOVIMIENTOS!$C$5:$C$1005="Chancho")*(MOVIMIENTOS!$D$5:$D$1005="sacos")*(MOVIMIENTOS!$A$5:$A$1005&lt;&gt;"")*(MOVIMIENTOS!$A$5:$A$1005&lt;=$A253)*MOVIMIENTOS!$E$5:$E$1005)-SUMPRODUCT((MOVIMIENTOS!$B$5:$B$1005="VENTA CHANCHO")*(MOVIMIENTOS!$C$5:$C$1005="Chancho")*(MOVIMIENTOS!$D$5:$D$1005="sacos")*(MOVIMIENTOS!$A$5:$A$1005&lt;&gt;"")*(MOVIMIENTOS!$A$5:$A$1005&lt;=$A253)*MOVIMIENTOS!$E$5:$E$1005)-SUMPRODUCT((MOVIMIENTOS!$B$5:$B$1005="REGALO")*(MOVIMIENTOS!$C$5:$C$1005="Chancho")*(MOVIMIENTOS!$D$5:$D$1005="sacos")*(MOVIMIENTOS!$A$5:$A$1005&lt;&gt;"")*(MOVIMIENTOS!$A$5:$A$1005&lt;=$A253)*MOVIMIENTOS!$E$5:$E$1005)-SUMPRODUCT((MOVIMIENTOS!$B$5:$B$1005="VENTA")*(MOVIMIENTOS!$C$5:$C$1005="Chancho")*(MOVIMIENTOS!$D$5:$D$1005="sacos")*(MOVIMIENTOS!$A$5:$A$1005&lt;&gt;"")*(MOVIMIENTOS!$A$5:$A$1005&lt;=$A253)*MOVIMIENTOS!$E$5:$E$1005)+SUMPRODUCT((MOVIMIENTOS!$B$5:$B$1005="AJUSTE")*(MOVIMIENTOS!$C$5:$C$1005="Chancho")*(MOVIMIENTOS!$D$5:$D$1005="sacos")*(MOVIMIENTOS!$A$5:$A$1005&lt;&gt;"")*(MOVIMIENTOS!$A$5:$A$1005&lt;=$A253)*MOVIMIENTOS!$E$5:$E$1005))</f>
        <v/>
      </c>
      <c r="G253" s="95" t="str">
        <f t="shared" si="7"/>
        <v/>
      </c>
      <c r="H253" s="63" t="str">
        <f>IF($A253="","",SUMPRODUCT((((MOVIMIENTOS!$B$5:$B$1005="SALDO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253)*MOVIMIENTOS!$J$5:$J$1005))</f>
        <v/>
      </c>
      <c r="I253" s="63"/>
      <c r="J253" s="63" t="str">
        <f>IF(AND(MOVIMIENTOS!$A253&lt;&gt;"",COUNTIF(MOVIMIENTOS!$A$5:$A252,MOVIMIENTOS!$A253)=0),COUNT(J$4:J252)+1,"")</f>
        <v/>
      </c>
      <c r="K253" s="66">
        <f>MOVIMIENTOS!$A253</f>
        <v>46236</v>
      </c>
      <c r="L253" s="63"/>
      <c r="M253" s="63"/>
      <c r="N253" s="63"/>
    </row>
    <row r="254" spans="1:14" ht="15" customHeight="1" x14ac:dyDescent="0.2">
      <c r="A254" s="63" t="str">
        <f t="shared" si="6"/>
        <v/>
      </c>
      <c r="B254" s="63" t="str">
        <f>IF($A254="","",SUMPRODUCT((MOVIMIENTOS!$B$5:$B$1005="SALDO INICIAL")*(MOVIMIENTOS!$C$5:$C$1005="A")*(MOVIMIENTOS!$D$5:$D$1005="jabas")*(MOVIMIENTOS!$A$5:$A$1005&lt;&gt;"")*(MOVIMIENTOS!$A$5:$A$1005&lt;=$A254)*MOVIMIENTOS!$E$5:$E$1005)+SUMPRODUCT((MOVIMIENTOS!$B$5:$B$1005="PROCESO")*(MOVIMIENTOS!$C$5:$C$1005="A")*(MOVIMIENTOS!$D$5:$D$1005="jabas")*(MOVIMIENTOS!$A$5:$A$1005&lt;&gt;"")*(MOVIMIENTOS!$A$5:$A$1005&lt;=$A254)*MOVIMIENTOS!$E$5:$E$1005)-SUMPRODUCT((MOVIMIENTOS!$B$5:$B$1005="ENVÍO A SUPESA")*(MOVIMIENTOS!$C$5:$C$1005="A")*(MOVIMIENTOS!$D$5:$D$1005="jabas")*(MOVIMIENTOS!$A$5:$A$1005&lt;&gt;"")*(MOVIMIENTOS!$A$5:$A$1005&lt;=$A254)*MOVIMIENTOS!$E$5:$E$1005)+SUMPRODUCT((MOVIMIENTOS!$B$5:$B$1005="DEVOLUCIÓN")*(MOVIMIENTOS!$C$5:$C$1005="A")*(MOVIMIENTOS!$D$5:$D$1005="jabas")*(MOVIMIENTOS!$A$5:$A$1005&lt;&gt;"")*(MOVIMIENTOS!$A$5:$A$1005&lt;=$A254)*MOVIMIENTOS!$E$5:$E$1005)-SUMPRODUCT((MOVIMIENTOS!$B$5:$B$1005="TRASIEGO")*(MOVIMIENTOS!$C$5:$C$1005="A")*(MOVIMIENTOS!$D$5:$D$1005="jabas")*(MOVIMIENTOS!$A$5:$A$1005&lt;&gt;"")*(MOVIMIENTOS!$A$5:$A$1005&lt;=$A254)*MOVIMIENTOS!$E$5:$E$1005)-SUMPRODUCT((MOVIMIENTOS!$B$5:$B$1005="REGALO")*(MOVIMIENTOS!$C$5:$C$1005="A")*(MOVIMIENTOS!$D$5:$D$1005="jabas")*(MOVIMIENTOS!$A$5:$A$1005&lt;&gt;"")*(MOVIMIENTOS!$A$5:$A$1005&lt;=$A254)*MOVIMIENTOS!$E$5:$E$1005)-SUMPRODUCT((MOVIMIENTOS!$B$5:$B$1005="VENTA")*(MOVIMIENTOS!$C$5:$C$1005="A")*(MOVIMIENTOS!$D$5:$D$1005="jabas")*(MOVIMIENTOS!$A$5:$A$1005&lt;&gt;"")*(MOVIMIENTOS!$A$5:$A$1005&lt;=$A254)*MOVIMIENTOS!$E$5:$E$1005)+SUMPRODUCT((MOVIMIENTOS!$B$5:$B$1005="AJUSTE")*(MOVIMIENTOS!$C$5:$C$1005="A")*(MOVIMIENTOS!$D$5:$D$1005="jabas")*(MOVIMIENTOS!$A$5:$A$1005&lt;&gt;"")*(MOVIMIENTOS!$A$5:$A$1005&lt;=$A254)*MOVIMIENTOS!$E$5:$E$1005))</f>
        <v/>
      </c>
      <c r="C254" s="63" t="str">
        <f>IF($A254="","",SUMPRODUCT((MOVIMIENTOS!$B$5:$B$1005="SALDO INICIAL")*(MOVIMIENTOS!$C$5:$C$1005="P")*(MOVIMIENTOS!$D$5:$D$1005="jabas")*(MOVIMIENTOS!$A$5:$A$1005&lt;&gt;"")*(MOVIMIENTOS!$A$5:$A$1005&lt;=$A254)*MOVIMIENTOS!$E$5:$E$1005)+SUMPRODUCT((MOVIMIENTOS!$B$5:$B$1005="PROCESO")*(MOVIMIENTOS!$C$5:$C$1005="P")*(MOVIMIENTOS!$D$5:$D$1005="jabas")*(MOVIMIENTOS!$A$5:$A$1005&lt;&gt;"")*(MOVIMIENTOS!$A$5:$A$1005&lt;=$A254)*MOVIMIENTOS!$E$5:$E$1005)-SUMPRODUCT((MOVIMIENTOS!$B$5:$B$1005="ENVÍO A SUPESA")*(MOVIMIENTOS!$C$5:$C$1005="P")*(MOVIMIENTOS!$D$5:$D$1005="jabas")*(MOVIMIENTOS!$A$5:$A$1005&lt;&gt;"")*(MOVIMIENTOS!$A$5:$A$1005&lt;=$A254)*MOVIMIENTOS!$E$5:$E$1005)+SUMPRODUCT((MOVIMIENTOS!$B$5:$B$1005="DEVOLUCIÓN")*(MOVIMIENTOS!$C$5:$C$1005="P")*(MOVIMIENTOS!$D$5:$D$1005="jabas")*(MOVIMIENTOS!$A$5:$A$1005&lt;&gt;"")*(MOVIMIENTOS!$A$5:$A$1005&lt;=$A254)*MOVIMIENTOS!$E$5:$E$1005)-SUMPRODUCT((MOVIMIENTOS!$B$5:$B$1005="TRASIEGO")*(MOVIMIENTOS!$C$5:$C$1005="P")*(MOVIMIENTOS!$D$5:$D$1005="jabas")*(MOVIMIENTOS!$A$5:$A$1005&lt;&gt;"")*(MOVIMIENTOS!$A$5:$A$1005&lt;=$A254)*MOVIMIENTOS!$E$5:$E$1005)-SUMPRODUCT((MOVIMIENTOS!$B$5:$B$1005="REGALO")*(MOVIMIENTOS!$C$5:$C$1005="P")*(MOVIMIENTOS!$D$5:$D$1005="jabas")*(MOVIMIENTOS!$A$5:$A$1005&lt;&gt;"")*(MOVIMIENTOS!$A$5:$A$1005&lt;=$A254)*MOVIMIENTOS!$E$5:$E$1005)-SUMPRODUCT((MOVIMIENTOS!$B$5:$B$1005="VENTA")*(MOVIMIENTOS!$C$5:$C$1005="P")*(MOVIMIENTOS!$D$5:$D$1005="jabas")*(MOVIMIENTOS!$A$5:$A$1005&lt;&gt;"")*(MOVIMIENTOS!$A$5:$A$1005&lt;=$A254)*MOVIMIENTOS!$E$5:$E$1005)+SUMPRODUCT((MOVIMIENTOS!$B$5:$B$1005="AJUSTE")*(MOVIMIENTOS!$C$5:$C$1005="P")*(MOVIMIENTOS!$D$5:$D$1005="jabas")*(MOVIMIENTOS!$A$5:$A$1005&lt;&gt;"")*(MOVIMIENTOS!$A$5:$A$1005&lt;=$A254)*MOVIMIENTOS!$E$5:$E$1005))</f>
        <v/>
      </c>
      <c r="D254" s="63" t="str">
        <f>IF($A254="","",SUMPRODUCT((MOVIMIENTOS!$B$5:$B$1005="SALDO INICIAL")*(MOVIMIENTOS!$C$5:$C$1005="C")*(MOVIMIENTOS!$D$5:$D$1005="jabas")*(MOVIMIENTOS!$A$5:$A$1005&lt;&gt;"")*(MOVIMIENTOS!$A$5:$A$1005&lt;=$A254)*MOVIMIENTOS!$E$5:$E$1005)+SUMPRODUCT((MOVIMIENTOS!$B$5:$B$1005="PROCESO")*(MOVIMIENTOS!$C$5:$C$1005="C")*(MOVIMIENTOS!$D$5:$D$1005="jabas")*(MOVIMIENTOS!$A$5:$A$1005&lt;&gt;"")*(MOVIMIENTOS!$A$5:$A$1005&lt;=$A254)*MOVIMIENTOS!$E$5:$E$1005)-SUMPRODUCT((MOVIMIENTOS!$B$5:$B$1005="ENVÍO A SUPESA")*(MOVIMIENTOS!$C$5:$C$1005="C")*(MOVIMIENTOS!$D$5:$D$1005="jabas")*(MOVIMIENTOS!$A$5:$A$1005&lt;&gt;"")*(MOVIMIENTOS!$A$5:$A$1005&lt;=$A254)*MOVIMIENTOS!$E$5:$E$1005)+SUMPRODUCT((MOVIMIENTOS!$B$5:$B$1005="DEVOLUCIÓN")*(MOVIMIENTOS!$C$5:$C$1005="C")*(MOVIMIENTOS!$D$5:$D$1005="jabas")*(MOVIMIENTOS!$A$5:$A$1005&lt;&gt;"")*(MOVIMIENTOS!$A$5:$A$1005&lt;=$A254)*MOVIMIENTOS!$E$5:$E$1005)-SUMPRODUCT((MOVIMIENTOS!$B$5:$B$1005="TRASIEGO")*(MOVIMIENTOS!$C$5:$C$1005="C")*(MOVIMIENTOS!$D$5:$D$1005="jabas")*(MOVIMIENTOS!$A$5:$A$1005&lt;&gt;"")*(MOVIMIENTOS!$A$5:$A$1005&lt;=$A254)*MOVIMIENTOS!$E$5:$E$1005)-SUMPRODUCT((MOVIMIENTOS!$B$5:$B$1005="REGALO")*(MOVIMIENTOS!$C$5:$C$1005="C")*(MOVIMIENTOS!$D$5:$D$1005="jabas")*(MOVIMIENTOS!$A$5:$A$1005&lt;&gt;"")*(MOVIMIENTOS!$A$5:$A$1005&lt;=$A254)*MOVIMIENTOS!$E$5:$E$1005)-SUMPRODUCT((MOVIMIENTOS!$B$5:$B$1005="VENTA")*(MOVIMIENTOS!$C$5:$C$1005="C")*(MOVIMIENTOS!$D$5:$D$1005="jabas")*(MOVIMIENTOS!$A$5:$A$1005&lt;&gt;"")*(MOVIMIENTOS!$A$5:$A$1005&lt;=$A254)*MOVIMIENTOS!$E$5:$E$1005)+SUMPRODUCT((MOVIMIENTOS!$B$5:$B$1005="AJUSTE")*(MOVIMIENTOS!$C$5:$C$1005="C")*(MOVIMIENTOS!$D$5:$D$1005="jabas")*(MOVIMIENTOS!$A$5:$A$1005&lt;&gt;"")*(MOVIMIENTOS!$A$5:$A$1005&lt;=$A254)*MOVIMIENTOS!$E$5:$E$1005))</f>
        <v/>
      </c>
      <c r="E254" s="63" t="str">
        <f>IF($A254="","",SUMPRODUCT((MOVIMIENTOS!$B$5:$B$1005="SALDO INICIAL")*(MOVIMIENTOS!$C$5:$C$1005="M")*(MOVIMIENTOS!$D$5:$D$1005="jabas")*(MOVIMIENTOS!$A$5:$A$1005&lt;&gt;"")*(MOVIMIENTOS!$A$5:$A$1005&lt;=$A254)*MOVIMIENTOS!$E$5:$E$1005)+SUMPRODUCT((MOVIMIENTOS!$B$5:$B$1005="PROCESO")*(MOVIMIENTOS!$C$5:$C$1005="M")*(MOVIMIENTOS!$D$5:$D$1005="jabas")*(MOVIMIENTOS!$A$5:$A$1005&lt;&gt;"")*(MOVIMIENTOS!$A$5:$A$1005&lt;=$A254)*MOVIMIENTOS!$E$5:$E$1005)-SUMPRODUCT((MOVIMIENTOS!$B$5:$B$1005="ENVÍO A SUPESA")*(MOVIMIENTOS!$C$5:$C$1005="M")*(MOVIMIENTOS!$D$5:$D$1005="jabas")*(MOVIMIENTOS!$A$5:$A$1005&lt;&gt;"")*(MOVIMIENTOS!$A$5:$A$1005&lt;=$A254)*MOVIMIENTOS!$E$5:$E$1005)+SUMPRODUCT((MOVIMIENTOS!$B$5:$B$1005="DEVOLUCIÓN")*(MOVIMIENTOS!$C$5:$C$1005="M")*(MOVIMIENTOS!$D$5:$D$1005="jabas")*(MOVIMIENTOS!$A$5:$A$1005&lt;&gt;"")*(MOVIMIENTOS!$A$5:$A$1005&lt;=$A254)*MOVIMIENTOS!$E$5:$E$1005)-SUMPRODUCT((MOVIMIENTOS!$B$5:$B$1005="TRASIEGO")*(MOVIMIENTOS!$C$5:$C$1005="M")*(MOVIMIENTOS!$D$5:$D$1005="jabas")*(MOVIMIENTOS!$A$5:$A$1005&lt;&gt;"")*(MOVIMIENTOS!$A$5:$A$1005&lt;=$A254)*MOVIMIENTOS!$E$5:$E$1005)-SUMPRODUCT((MOVIMIENTOS!$B$5:$B$1005="REGALO")*(MOVIMIENTOS!$C$5:$C$1005="M")*(MOVIMIENTOS!$D$5:$D$1005="jabas")*(MOVIMIENTOS!$A$5:$A$1005&lt;&gt;"")*(MOVIMIENTOS!$A$5:$A$1005&lt;=$A254)*MOVIMIENTOS!$E$5:$E$1005)-SUMPRODUCT((MOVIMIENTOS!$B$5:$B$1005="VENTA")*(MOVIMIENTOS!$C$5:$C$1005="M")*(MOVIMIENTOS!$D$5:$D$1005="jabas")*(MOVIMIENTOS!$A$5:$A$1005&lt;&gt;"")*(MOVIMIENTOS!$A$5:$A$1005&lt;=$A254)*MOVIMIENTOS!$E$5:$E$1005)+SUMPRODUCT((MOVIMIENTOS!$B$5:$B$1005="AJUSTE")*(MOVIMIENTOS!$C$5:$C$1005="M")*(MOVIMIENTOS!$D$5:$D$1005="jabas")*(MOVIMIENTOS!$A$5:$A$1005&lt;&gt;"")*(MOVIMIENTOS!$A$5:$A$1005&lt;=$A254)*MOVIMIENTOS!$E$5:$E$1005))</f>
        <v/>
      </c>
      <c r="F254" s="63" t="str">
        <f>IF($A254="","",SUMPRODUCT((MOVIMIENTOS!$B$5:$B$1005="SALDO INICIAL")*(MOVIMIENTOS!$C$5:$C$1005="Chancho")*(MOVIMIENTOS!$D$5:$D$1005="sacos")*(MOVIMIENTOS!$A$5:$A$1005&lt;&gt;"")*(MOVIMIENTOS!$A$5:$A$1005&lt;=$A254)*MOVIMIENTOS!$E$5:$E$1005)+SUMPRODUCT((MOVIMIENTOS!$B$5:$B$1005="PROCESO")*(MOVIMIENTOS!$C$5:$C$1005="Chancho")*(MOVIMIENTOS!$D$5:$D$1005="sacos")*(MOVIMIENTOS!$A$5:$A$1005&lt;&gt;"")*(MOVIMIENTOS!$A$5:$A$1005&lt;=$A254)*MOVIMIENTOS!$E$5:$E$1005)-SUMPRODUCT((MOVIMIENTOS!$B$5:$B$1005="VENTA CHANCHO")*(MOVIMIENTOS!$C$5:$C$1005="Chancho")*(MOVIMIENTOS!$D$5:$D$1005="sacos")*(MOVIMIENTOS!$A$5:$A$1005&lt;&gt;"")*(MOVIMIENTOS!$A$5:$A$1005&lt;=$A254)*MOVIMIENTOS!$E$5:$E$1005)-SUMPRODUCT((MOVIMIENTOS!$B$5:$B$1005="REGALO")*(MOVIMIENTOS!$C$5:$C$1005="Chancho")*(MOVIMIENTOS!$D$5:$D$1005="sacos")*(MOVIMIENTOS!$A$5:$A$1005&lt;&gt;"")*(MOVIMIENTOS!$A$5:$A$1005&lt;=$A254)*MOVIMIENTOS!$E$5:$E$1005)-SUMPRODUCT((MOVIMIENTOS!$B$5:$B$1005="VENTA")*(MOVIMIENTOS!$C$5:$C$1005="Chancho")*(MOVIMIENTOS!$D$5:$D$1005="sacos")*(MOVIMIENTOS!$A$5:$A$1005&lt;&gt;"")*(MOVIMIENTOS!$A$5:$A$1005&lt;=$A254)*MOVIMIENTOS!$E$5:$E$1005)+SUMPRODUCT((MOVIMIENTOS!$B$5:$B$1005="AJUSTE")*(MOVIMIENTOS!$C$5:$C$1005="Chancho")*(MOVIMIENTOS!$D$5:$D$1005="sacos")*(MOVIMIENTOS!$A$5:$A$1005&lt;&gt;"")*(MOVIMIENTOS!$A$5:$A$1005&lt;=$A254)*MOVIMIENTOS!$E$5:$E$1005))</f>
        <v/>
      </c>
      <c r="G254" s="95" t="str">
        <f t="shared" si="7"/>
        <v/>
      </c>
      <c r="H254" s="63" t="str">
        <f>IF($A254="","",SUMPRODUCT((((MOVIMIENTOS!$B$5:$B$1005="SALDO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254)*MOVIMIENTOS!$J$5:$J$1005))</f>
        <v/>
      </c>
      <c r="I254" s="63"/>
      <c r="J254" s="63" t="str">
        <f>IF(AND(MOVIMIENTOS!$A254&lt;&gt;"",COUNTIF(MOVIMIENTOS!$A$5:$A253,MOVIMIENTOS!$A254)=0),COUNT(J$4:J253)+1,"")</f>
        <v/>
      </c>
      <c r="K254" s="66">
        <f>MOVIMIENTOS!$A254</f>
        <v>46236</v>
      </c>
      <c r="L254" s="63"/>
      <c r="M254" s="63"/>
      <c r="N254" s="63"/>
    </row>
    <row r="255" spans="1:14" ht="15" customHeight="1" x14ac:dyDescent="0.2">
      <c r="A255" s="63" t="str">
        <f t="shared" si="6"/>
        <v/>
      </c>
      <c r="B255" s="63" t="str">
        <f>IF($A255="","",SUMPRODUCT((MOVIMIENTOS!$B$5:$B$1005="SALDO INICIAL")*(MOVIMIENTOS!$C$5:$C$1005="A")*(MOVIMIENTOS!$D$5:$D$1005="jabas")*(MOVIMIENTOS!$A$5:$A$1005&lt;&gt;"")*(MOVIMIENTOS!$A$5:$A$1005&lt;=$A255)*MOVIMIENTOS!$E$5:$E$1005)+SUMPRODUCT((MOVIMIENTOS!$B$5:$B$1005="PROCESO")*(MOVIMIENTOS!$C$5:$C$1005="A")*(MOVIMIENTOS!$D$5:$D$1005="jabas")*(MOVIMIENTOS!$A$5:$A$1005&lt;&gt;"")*(MOVIMIENTOS!$A$5:$A$1005&lt;=$A255)*MOVIMIENTOS!$E$5:$E$1005)-SUMPRODUCT((MOVIMIENTOS!$B$5:$B$1005="ENVÍO A SUPESA")*(MOVIMIENTOS!$C$5:$C$1005="A")*(MOVIMIENTOS!$D$5:$D$1005="jabas")*(MOVIMIENTOS!$A$5:$A$1005&lt;&gt;"")*(MOVIMIENTOS!$A$5:$A$1005&lt;=$A255)*MOVIMIENTOS!$E$5:$E$1005)+SUMPRODUCT((MOVIMIENTOS!$B$5:$B$1005="DEVOLUCIÓN")*(MOVIMIENTOS!$C$5:$C$1005="A")*(MOVIMIENTOS!$D$5:$D$1005="jabas")*(MOVIMIENTOS!$A$5:$A$1005&lt;&gt;"")*(MOVIMIENTOS!$A$5:$A$1005&lt;=$A255)*MOVIMIENTOS!$E$5:$E$1005)-SUMPRODUCT((MOVIMIENTOS!$B$5:$B$1005="TRASIEGO")*(MOVIMIENTOS!$C$5:$C$1005="A")*(MOVIMIENTOS!$D$5:$D$1005="jabas")*(MOVIMIENTOS!$A$5:$A$1005&lt;&gt;"")*(MOVIMIENTOS!$A$5:$A$1005&lt;=$A255)*MOVIMIENTOS!$E$5:$E$1005)-SUMPRODUCT((MOVIMIENTOS!$B$5:$B$1005="REGALO")*(MOVIMIENTOS!$C$5:$C$1005="A")*(MOVIMIENTOS!$D$5:$D$1005="jabas")*(MOVIMIENTOS!$A$5:$A$1005&lt;&gt;"")*(MOVIMIENTOS!$A$5:$A$1005&lt;=$A255)*MOVIMIENTOS!$E$5:$E$1005)-SUMPRODUCT((MOVIMIENTOS!$B$5:$B$1005="VENTA")*(MOVIMIENTOS!$C$5:$C$1005="A")*(MOVIMIENTOS!$D$5:$D$1005="jabas")*(MOVIMIENTOS!$A$5:$A$1005&lt;&gt;"")*(MOVIMIENTOS!$A$5:$A$1005&lt;=$A255)*MOVIMIENTOS!$E$5:$E$1005)+SUMPRODUCT((MOVIMIENTOS!$B$5:$B$1005="AJUSTE")*(MOVIMIENTOS!$C$5:$C$1005="A")*(MOVIMIENTOS!$D$5:$D$1005="jabas")*(MOVIMIENTOS!$A$5:$A$1005&lt;&gt;"")*(MOVIMIENTOS!$A$5:$A$1005&lt;=$A255)*MOVIMIENTOS!$E$5:$E$1005))</f>
        <v/>
      </c>
      <c r="C255" s="63" t="str">
        <f>IF($A255="","",SUMPRODUCT((MOVIMIENTOS!$B$5:$B$1005="SALDO INICIAL")*(MOVIMIENTOS!$C$5:$C$1005="P")*(MOVIMIENTOS!$D$5:$D$1005="jabas")*(MOVIMIENTOS!$A$5:$A$1005&lt;&gt;"")*(MOVIMIENTOS!$A$5:$A$1005&lt;=$A255)*MOVIMIENTOS!$E$5:$E$1005)+SUMPRODUCT((MOVIMIENTOS!$B$5:$B$1005="PROCESO")*(MOVIMIENTOS!$C$5:$C$1005="P")*(MOVIMIENTOS!$D$5:$D$1005="jabas")*(MOVIMIENTOS!$A$5:$A$1005&lt;&gt;"")*(MOVIMIENTOS!$A$5:$A$1005&lt;=$A255)*MOVIMIENTOS!$E$5:$E$1005)-SUMPRODUCT((MOVIMIENTOS!$B$5:$B$1005="ENVÍO A SUPESA")*(MOVIMIENTOS!$C$5:$C$1005="P")*(MOVIMIENTOS!$D$5:$D$1005="jabas")*(MOVIMIENTOS!$A$5:$A$1005&lt;&gt;"")*(MOVIMIENTOS!$A$5:$A$1005&lt;=$A255)*MOVIMIENTOS!$E$5:$E$1005)+SUMPRODUCT((MOVIMIENTOS!$B$5:$B$1005="DEVOLUCIÓN")*(MOVIMIENTOS!$C$5:$C$1005="P")*(MOVIMIENTOS!$D$5:$D$1005="jabas")*(MOVIMIENTOS!$A$5:$A$1005&lt;&gt;"")*(MOVIMIENTOS!$A$5:$A$1005&lt;=$A255)*MOVIMIENTOS!$E$5:$E$1005)-SUMPRODUCT((MOVIMIENTOS!$B$5:$B$1005="TRASIEGO")*(MOVIMIENTOS!$C$5:$C$1005="P")*(MOVIMIENTOS!$D$5:$D$1005="jabas")*(MOVIMIENTOS!$A$5:$A$1005&lt;&gt;"")*(MOVIMIENTOS!$A$5:$A$1005&lt;=$A255)*MOVIMIENTOS!$E$5:$E$1005)-SUMPRODUCT((MOVIMIENTOS!$B$5:$B$1005="REGALO")*(MOVIMIENTOS!$C$5:$C$1005="P")*(MOVIMIENTOS!$D$5:$D$1005="jabas")*(MOVIMIENTOS!$A$5:$A$1005&lt;&gt;"")*(MOVIMIENTOS!$A$5:$A$1005&lt;=$A255)*MOVIMIENTOS!$E$5:$E$1005)-SUMPRODUCT((MOVIMIENTOS!$B$5:$B$1005="VENTA")*(MOVIMIENTOS!$C$5:$C$1005="P")*(MOVIMIENTOS!$D$5:$D$1005="jabas")*(MOVIMIENTOS!$A$5:$A$1005&lt;&gt;"")*(MOVIMIENTOS!$A$5:$A$1005&lt;=$A255)*MOVIMIENTOS!$E$5:$E$1005)+SUMPRODUCT((MOVIMIENTOS!$B$5:$B$1005="AJUSTE")*(MOVIMIENTOS!$C$5:$C$1005="P")*(MOVIMIENTOS!$D$5:$D$1005="jabas")*(MOVIMIENTOS!$A$5:$A$1005&lt;&gt;"")*(MOVIMIENTOS!$A$5:$A$1005&lt;=$A255)*MOVIMIENTOS!$E$5:$E$1005))</f>
        <v/>
      </c>
      <c r="D255" s="63" t="str">
        <f>IF($A255="","",SUMPRODUCT((MOVIMIENTOS!$B$5:$B$1005="SALDO INICIAL")*(MOVIMIENTOS!$C$5:$C$1005="C")*(MOVIMIENTOS!$D$5:$D$1005="jabas")*(MOVIMIENTOS!$A$5:$A$1005&lt;&gt;"")*(MOVIMIENTOS!$A$5:$A$1005&lt;=$A255)*MOVIMIENTOS!$E$5:$E$1005)+SUMPRODUCT((MOVIMIENTOS!$B$5:$B$1005="PROCESO")*(MOVIMIENTOS!$C$5:$C$1005="C")*(MOVIMIENTOS!$D$5:$D$1005="jabas")*(MOVIMIENTOS!$A$5:$A$1005&lt;&gt;"")*(MOVIMIENTOS!$A$5:$A$1005&lt;=$A255)*MOVIMIENTOS!$E$5:$E$1005)-SUMPRODUCT((MOVIMIENTOS!$B$5:$B$1005="ENVÍO A SUPESA")*(MOVIMIENTOS!$C$5:$C$1005="C")*(MOVIMIENTOS!$D$5:$D$1005="jabas")*(MOVIMIENTOS!$A$5:$A$1005&lt;&gt;"")*(MOVIMIENTOS!$A$5:$A$1005&lt;=$A255)*MOVIMIENTOS!$E$5:$E$1005)+SUMPRODUCT((MOVIMIENTOS!$B$5:$B$1005="DEVOLUCIÓN")*(MOVIMIENTOS!$C$5:$C$1005="C")*(MOVIMIENTOS!$D$5:$D$1005="jabas")*(MOVIMIENTOS!$A$5:$A$1005&lt;&gt;"")*(MOVIMIENTOS!$A$5:$A$1005&lt;=$A255)*MOVIMIENTOS!$E$5:$E$1005)-SUMPRODUCT((MOVIMIENTOS!$B$5:$B$1005="TRASIEGO")*(MOVIMIENTOS!$C$5:$C$1005="C")*(MOVIMIENTOS!$D$5:$D$1005="jabas")*(MOVIMIENTOS!$A$5:$A$1005&lt;&gt;"")*(MOVIMIENTOS!$A$5:$A$1005&lt;=$A255)*MOVIMIENTOS!$E$5:$E$1005)-SUMPRODUCT((MOVIMIENTOS!$B$5:$B$1005="REGALO")*(MOVIMIENTOS!$C$5:$C$1005="C")*(MOVIMIENTOS!$D$5:$D$1005="jabas")*(MOVIMIENTOS!$A$5:$A$1005&lt;&gt;"")*(MOVIMIENTOS!$A$5:$A$1005&lt;=$A255)*MOVIMIENTOS!$E$5:$E$1005)-SUMPRODUCT((MOVIMIENTOS!$B$5:$B$1005="VENTA")*(MOVIMIENTOS!$C$5:$C$1005="C")*(MOVIMIENTOS!$D$5:$D$1005="jabas")*(MOVIMIENTOS!$A$5:$A$1005&lt;&gt;"")*(MOVIMIENTOS!$A$5:$A$1005&lt;=$A255)*MOVIMIENTOS!$E$5:$E$1005)+SUMPRODUCT((MOVIMIENTOS!$B$5:$B$1005="AJUSTE")*(MOVIMIENTOS!$C$5:$C$1005="C")*(MOVIMIENTOS!$D$5:$D$1005="jabas")*(MOVIMIENTOS!$A$5:$A$1005&lt;&gt;"")*(MOVIMIENTOS!$A$5:$A$1005&lt;=$A255)*MOVIMIENTOS!$E$5:$E$1005))</f>
        <v/>
      </c>
      <c r="E255" s="63" t="str">
        <f>IF($A255="","",SUMPRODUCT((MOVIMIENTOS!$B$5:$B$1005="SALDO INICIAL")*(MOVIMIENTOS!$C$5:$C$1005="M")*(MOVIMIENTOS!$D$5:$D$1005="jabas")*(MOVIMIENTOS!$A$5:$A$1005&lt;&gt;"")*(MOVIMIENTOS!$A$5:$A$1005&lt;=$A255)*MOVIMIENTOS!$E$5:$E$1005)+SUMPRODUCT((MOVIMIENTOS!$B$5:$B$1005="PROCESO")*(MOVIMIENTOS!$C$5:$C$1005="M")*(MOVIMIENTOS!$D$5:$D$1005="jabas")*(MOVIMIENTOS!$A$5:$A$1005&lt;&gt;"")*(MOVIMIENTOS!$A$5:$A$1005&lt;=$A255)*MOVIMIENTOS!$E$5:$E$1005)-SUMPRODUCT((MOVIMIENTOS!$B$5:$B$1005="ENVÍO A SUPESA")*(MOVIMIENTOS!$C$5:$C$1005="M")*(MOVIMIENTOS!$D$5:$D$1005="jabas")*(MOVIMIENTOS!$A$5:$A$1005&lt;&gt;"")*(MOVIMIENTOS!$A$5:$A$1005&lt;=$A255)*MOVIMIENTOS!$E$5:$E$1005)+SUMPRODUCT((MOVIMIENTOS!$B$5:$B$1005="DEVOLUCIÓN")*(MOVIMIENTOS!$C$5:$C$1005="M")*(MOVIMIENTOS!$D$5:$D$1005="jabas")*(MOVIMIENTOS!$A$5:$A$1005&lt;&gt;"")*(MOVIMIENTOS!$A$5:$A$1005&lt;=$A255)*MOVIMIENTOS!$E$5:$E$1005)-SUMPRODUCT((MOVIMIENTOS!$B$5:$B$1005="TRASIEGO")*(MOVIMIENTOS!$C$5:$C$1005="M")*(MOVIMIENTOS!$D$5:$D$1005="jabas")*(MOVIMIENTOS!$A$5:$A$1005&lt;&gt;"")*(MOVIMIENTOS!$A$5:$A$1005&lt;=$A255)*MOVIMIENTOS!$E$5:$E$1005)-SUMPRODUCT((MOVIMIENTOS!$B$5:$B$1005="REGALO")*(MOVIMIENTOS!$C$5:$C$1005="M")*(MOVIMIENTOS!$D$5:$D$1005="jabas")*(MOVIMIENTOS!$A$5:$A$1005&lt;&gt;"")*(MOVIMIENTOS!$A$5:$A$1005&lt;=$A255)*MOVIMIENTOS!$E$5:$E$1005)-SUMPRODUCT((MOVIMIENTOS!$B$5:$B$1005="VENTA")*(MOVIMIENTOS!$C$5:$C$1005="M")*(MOVIMIENTOS!$D$5:$D$1005="jabas")*(MOVIMIENTOS!$A$5:$A$1005&lt;&gt;"")*(MOVIMIENTOS!$A$5:$A$1005&lt;=$A255)*MOVIMIENTOS!$E$5:$E$1005)+SUMPRODUCT((MOVIMIENTOS!$B$5:$B$1005="AJUSTE")*(MOVIMIENTOS!$C$5:$C$1005="M")*(MOVIMIENTOS!$D$5:$D$1005="jabas")*(MOVIMIENTOS!$A$5:$A$1005&lt;&gt;"")*(MOVIMIENTOS!$A$5:$A$1005&lt;=$A255)*MOVIMIENTOS!$E$5:$E$1005))</f>
        <v/>
      </c>
      <c r="F255" s="63" t="str">
        <f>IF($A255="","",SUMPRODUCT((MOVIMIENTOS!$B$5:$B$1005="SALDO INICIAL")*(MOVIMIENTOS!$C$5:$C$1005="Chancho")*(MOVIMIENTOS!$D$5:$D$1005="sacos")*(MOVIMIENTOS!$A$5:$A$1005&lt;&gt;"")*(MOVIMIENTOS!$A$5:$A$1005&lt;=$A255)*MOVIMIENTOS!$E$5:$E$1005)+SUMPRODUCT((MOVIMIENTOS!$B$5:$B$1005="PROCESO")*(MOVIMIENTOS!$C$5:$C$1005="Chancho")*(MOVIMIENTOS!$D$5:$D$1005="sacos")*(MOVIMIENTOS!$A$5:$A$1005&lt;&gt;"")*(MOVIMIENTOS!$A$5:$A$1005&lt;=$A255)*MOVIMIENTOS!$E$5:$E$1005)-SUMPRODUCT((MOVIMIENTOS!$B$5:$B$1005="VENTA CHANCHO")*(MOVIMIENTOS!$C$5:$C$1005="Chancho")*(MOVIMIENTOS!$D$5:$D$1005="sacos")*(MOVIMIENTOS!$A$5:$A$1005&lt;&gt;"")*(MOVIMIENTOS!$A$5:$A$1005&lt;=$A255)*MOVIMIENTOS!$E$5:$E$1005)-SUMPRODUCT((MOVIMIENTOS!$B$5:$B$1005="REGALO")*(MOVIMIENTOS!$C$5:$C$1005="Chancho")*(MOVIMIENTOS!$D$5:$D$1005="sacos")*(MOVIMIENTOS!$A$5:$A$1005&lt;&gt;"")*(MOVIMIENTOS!$A$5:$A$1005&lt;=$A255)*MOVIMIENTOS!$E$5:$E$1005)-SUMPRODUCT((MOVIMIENTOS!$B$5:$B$1005="VENTA")*(MOVIMIENTOS!$C$5:$C$1005="Chancho")*(MOVIMIENTOS!$D$5:$D$1005="sacos")*(MOVIMIENTOS!$A$5:$A$1005&lt;&gt;"")*(MOVIMIENTOS!$A$5:$A$1005&lt;=$A255)*MOVIMIENTOS!$E$5:$E$1005)+SUMPRODUCT((MOVIMIENTOS!$B$5:$B$1005="AJUSTE")*(MOVIMIENTOS!$C$5:$C$1005="Chancho")*(MOVIMIENTOS!$D$5:$D$1005="sacos")*(MOVIMIENTOS!$A$5:$A$1005&lt;&gt;"")*(MOVIMIENTOS!$A$5:$A$1005&lt;=$A255)*MOVIMIENTOS!$E$5:$E$1005))</f>
        <v/>
      </c>
      <c r="G255" s="95" t="str">
        <f t="shared" si="7"/>
        <v/>
      </c>
      <c r="H255" s="63" t="str">
        <f>IF($A255="","",SUMPRODUCT((((MOVIMIENTOS!$B$5:$B$1005="SALDO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255)*MOVIMIENTOS!$J$5:$J$1005))</f>
        <v/>
      </c>
      <c r="I255" s="63"/>
      <c r="J255" s="63" t="str">
        <f>IF(AND(MOVIMIENTOS!$A255&lt;&gt;"",COUNTIF(MOVIMIENTOS!$A$5:$A254,MOVIMIENTOS!$A255)=0),COUNT(J$4:J254)+1,"")</f>
        <v/>
      </c>
      <c r="K255" s="66">
        <f>MOVIMIENTOS!$A255</f>
        <v>46236</v>
      </c>
      <c r="L255" s="63"/>
      <c r="M255" s="63"/>
      <c r="N255" s="63"/>
    </row>
    <row r="256" spans="1:14" ht="15" customHeight="1" x14ac:dyDescent="0.2">
      <c r="A256" s="63" t="str">
        <f t="shared" si="6"/>
        <v/>
      </c>
      <c r="B256" s="63" t="str">
        <f>IF($A256="","",SUMPRODUCT((MOVIMIENTOS!$B$5:$B$1005="SALDO INICIAL")*(MOVIMIENTOS!$C$5:$C$1005="A")*(MOVIMIENTOS!$D$5:$D$1005="jabas")*(MOVIMIENTOS!$A$5:$A$1005&lt;&gt;"")*(MOVIMIENTOS!$A$5:$A$1005&lt;=$A256)*MOVIMIENTOS!$E$5:$E$1005)+SUMPRODUCT((MOVIMIENTOS!$B$5:$B$1005="PROCESO")*(MOVIMIENTOS!$C$5:$C$1005="A")*(MOVIMIENTOS!$D$5:$D$1005="jabas")*(MOVIMIENTOS!$A$5:$A$1005&lt;&gt;"")*(MOVIMIENTOS!$A$5:$A$1005&lt;=$A256)*MOVIMIENTOS!$E$5:$E$1005)-SUMPRODUCT((MOVIMIENTOS!$B$5:$B$1005="ENVÍO A SUPESA")*(MOVIMIENTOS!$C$5:$C$1005="A")*(MOVIMIENTOS!$D$5:$D$1005="jabas")*(MOVIMIENTOS!$A$5:$A$1005&lt;&gt;"")*(MOVIMIENTOS!$A$5:$A$1005&lt;=$A256)*MOVIMIENTOS!$E$5:$E$1005)+SUMPRODUCT((MOVIMIENTOS!$B$5:$B$1005="DEVOLUCIÓN")*(MOVIMIENTOS!$C$5:$C$1005="A")*(MOVIMIENTOS!$D$5:$D$1005="jabas")*(MOVIMIENTOS!$A$5:$A$1005&lt;&gt;"")*(MOVIMIENTOS!$A$5:$A$1005&lt;=$A256)*MOVIMIENTOS!$E$5:$E$1005)-SUMPRODUCT((MOVIMIENTOS!$B$5:$B$1005="TRASIEGO")*(MOVIMIENTOS!$C$5:$C$1005="A")*(MOVIMIENTOS!$D$5:$D$1005="jabas")*(MOVIMIENTOS!$A$5:$A$1005&lt;&gt;"")*(MOVIMIENTOS!$A$5:$A$1005&lt;=$A256)*MOVIMIENTOS!$E$5:$E$1005)-SUMPRODUCT((MOVIMIENTOS!$B$5:$B$1005="REGALO")*(MOVIMIENTOS!$C$5:$C$1005="A")*(MOVIMIENTOS!$D$5:$D$1005="jabas")*(MOVIMIENTOS!$A$5:$A$1005&lt;&gt;"")*(MOVIMIENTOS!$A$5:$A$1005&lt;=$A256)*MOVIMIENTOS!$E$5:$E$1005)-SUMPRODUCT((MOVIMIENTOS!$B$5:$B$1005="VENTA")*(MOVIMIENTOS!$C$5:$C$1005="A")*(MOVIMIENTOS!$D$5:$D$1005="jabas")*(MOVIMIENTOS!$A$5:$A$1005&lt;&gt;"")*(MOVIMIENTOS!$A$5:$A$1005&lt;=$A256)*MOVIMIENTOS!$E$5:$E$1005)+SUMPRODUCT((MOVIMIENTOS!$B$5:$B$1005="AJUSTE")*(MOVIMIENTOS!$C$5:$C$1005="A")*(MOVIMIENTOS!$D$5:$D$1005="jabas")*(MOVIMIENTOS!$A$5:$A$1005&lt;&gt;"")*(MOVIMIENTOS!$A$5:$A$1005&lt;=$A256)*MOVIMIENTOS!$E$5:$E$1005))</f>
        <v/>
      </c>
      <c r="C256" s="63" t="str">
        <f>IF($A256="","",SUMPRODUCT((MOVIMIENTOS!$B$5:$B$1005="SALDO INICIAL")*(MOVIMIENTOS!$C$5:$C$1005="P")*(MOVIMIENTOS!$D$5:$D$1005="jabas")*(MOVIMIENTOS!$A$5:$A$1005&lt;&gt;"")*(MOVIMIENTOS!$A$5:$A$1005&lt;=$A256)*MOVIMIENTOS!$E$5:$E$1005)+SUMPRODUCT((MOVIMIENTOS!$B$5:$B$1005="PROCESO")*(MOVIMIENTOS!$C$5:$C$1005="P")*(MOVIMIENTOS!$D$5:$D$1005="jabas")*(MOVIMIENTOS!$A$5:$A$1005&lt;&gt;"")*(MOVIMIENTOS!$A$5:$A$1005&lt;=$A256)*MOVIMIENTOS!$E$5:$E$1005)-SUMPRODUCT((MOVIMIENTOS!$B$5:$B$1005="ENVÍO A SUPESA")*(MOVIMIENTOS!$C$5:$C$1005="P")*(MOVIMIENTOS!$D$5:$D$1005="jabas")*(MOVIMIENTOS!$A$5:$A$1005&lt;&gt;"")*(MOVIMIENTOS!$A$5:$A$1005&lt;=$A256)*MOVIMIENTOS!$E$5:$E$1005)+SUMPRODUCT((MOVIMIENTOS!$B$5:$B$1005="DEVOLUCIÓN")*(MOVIMIENTOS!$C$5:$C$1005="P")*(MOVIMIENTOS!$D$5:$D$1005="jabas")*(MOVIMIENTOS!$A$5:$A$1005&lt;&gt;"")*(MOVIMIENTOS!$A$5:$A$1005&lt;=$A256)*MOVIMIENTOS!$E$5:$E$1005)-SUMPRODUCT((MOVIMIENTOS!$B$5:$B$1005="TRASIEGO")*(MOVIMIENTOS!$C$5:$C$1005="P")*(MOVIMIENTOS!$D$5:$D$1005="jabas")*(MOVIMIENTOS!$A$5:$A$1005&lt;&gt;"")*(MOVIMIENTOS!$A$5:$A$1005&lt;=$A256)*MOVIMIENTOS!$E$5:$E$1005)-SUMPRODUCT((MOVIMIENTOS!$B$5:$B$1005="REGALO")*(MOVIMIENTOS!$C$5:$C$1005="P")*(MOVIMIENTOS!$D$5:$D$1005="jabas")*(MOVIMIENTOS!$A$5:$A$1005&lt;&gt;"")*(MOVIMIENTOS!$A$5:$A$1005&lt;=$A256)*MOVIMIENTOS!$E$5:$E$1005)-SUMPRODUCT((MOVIMIENTOS!$B$5:$B$1005="VENTA")*(MOVIMIENTOS!$C$5:$C$1005="P")*(MOVIMIENTOS!$D$5:$D$1005="jabas")*(MOVIMIENTOS!$A$5:$A$1005&lt;&gt;"")*(MOVIMIENTOS!$A$5:$A$1005&lt;=$A256)*MOVIMIENTOS!$E$5:$E$1005)+SUMPRODUCT((MOVIMIENTOS!$B$5:$B$1005="AJUSTE")*(MOVIMIENTOS!$C$5:$C$1005="P")*(MOVIMIENTOS!$D$5:$D$1005="jabas")*(MOVIMIENTOS!$A$5:$A$1005&lt;&gt;"")*(MOVIMIENTOS!$A$5:$A$1005&lt;=$A256)*MOVIMIENTOS!$E$5:$E$1005))</f>
        <v/>
      </c>
      <c r="D256" s="63" t="str">
        <f>IF($A256="","",SUMPRODUCT((MOVIMIENTOS!$B$5:$B$1005="SALDO INICIAL")*(MOVIMIENTOS!$C$5:$C$1005="C")*(MOVIMIENTOS!$D$5:$D$1005="jabas")*(MOVIMIENTOS!$A$5:$A$1005&lt;&gt;"")*(MOVIMIENTOS!$A$5:$A$1005&lt;=$A256)*MOVIMIENTOS!$E$5:$E$1005)+SUMPRODUCT((MOVIMIENTOS!$B$5:$B$1005="PROCESO")*(MOVIMIENTOS!$C$5:$C$1005="C")*(MOVIMIENTOS!$D$5:$D$1005="jabas")*(MOVIMIENTOS!$A$5:$A$1005&lt;&gt;"")*(MOVIMIENTOS!$A$5:$A$1005&lt;=$A256)*MOVIMIENTOS!$E$5:$E$1005)-SUMPRODUCT((MOVIMIENTOS!$B$5:$B$1005="ENVÍO A SUPESA")*(MOVIMIENTOS!$C$5:$C$1005="C")*(MOVIMIENTOS!$D$5:$D$1005="jabas")*(MOVIMIENTOS!$A$5:$A$1005&lt;&gt;"")*(MOVIMIENTOS!$A$5:$A$1005&lt;=$A256)*MOVIMIENTOS!$E$5:$E$1005)+SUMPRODUCT((MOVIMIENTOS!$B$5:$B$1005="DEVOLUCIÓN")*(MOVIMIENTOS!$C$5:$C$1005="C")*(MOVIMIENTOS!$D$5:$D$1005="jabas")*(MOVIMIENTOS!$A$5:$A$1005&lt;&gt;"")*(MOVIMIENTOS!$A$5:$A$1005&lt;=$A256)*MOVIMIENTOS!$E$5:$E$1005)-SUMPRODUCT((MOVIMIENTOS!$B$5:$B$1005="TRASIEGO")*(MOVIMIENTOS!$C$5:$C$1005="C")*(MOVIMIENTOS!$D$5:$D$1005="jabas")*(MOVIMIENTOS!$A$5:$A$1005&lt;&gt;"")*(MOVIMIENTOS!$A$5:$A$1005&lt;=$A256)*MOVIMIENTOS!$E$5:$E$1005)-SUMPRODUCT((MOVIMIENTOS!$B$5:$B$1005="REGALO")*(MOVIMIENTOS!$C$5:$C$1005="C")*(MOVIMIENTOS!$D$5:$D$1005="jabas")*(MOVIMIENTOS!$A$5:$A$1005&lt;&gt;"")*(MOVIMIENTOS!$A$5:$A$1005&lt;=$A256)*MOVIMIENTOS!$E$5:$E$1005)-SUMPRODUCT((MOVIMIENTOS!$B$5:$B$1005="VENTA")*(MOVIMIENTOS!$C$5:$C$1005="C")*(MOVIMIENTOS!$D$5:$D$1005="jabas")*(MOVIMIENTOS!$A$5:$A$1005&lt;&gt;"")*(MOVIMIENTOS!$A$5:$A$1005&lt;=$A256)*MOVIMIENTOS!$E$5:$E$1005)+SUMPRODUCT((MOVIMIENTOS!$B$5:$B$1005="AJUSTE")*(MOVIMIENTOS!$C$5:$C$1005="C")*(MOVIMIENTOS!$D$5:$D$1005="jabas")*(MOVIMIENTOS!$A$5:$A$1005&lt;&gt;"")*(MOVIMIENTOS!$A$5:$A$1005&lt;=$A256)*MOVIMIENTOS!$E$5:$E$1005))</f>
        <v/>
      </c>
      <c r="E256" s="63" t="str">
        <f>IF($A256="","",SUMPRODUCT((MOVIMIENTOS!$B$5:$B$1005="SALDO INICIAL")*(MOVIMIENTOS!$C$5:$C$1005="M")*(MOVIMIENTOS!$D$5:$D$1005="jabas")*(MOVIMIENTOS!$A$5:$A$1005&lt;&gt;"")*(MOVIMIENTOS!$A$5:$A$1005&lt;=$A256)*MOVIMIENTOS!$E$5:$E$1005)+SUMPRODUCT((MOVIMIENTOS!$B$5:$B$1005="PROCESO")*(MOVIMIENTOS!$C$5:$C$1005="M")*(MOVIMIENTOS!$D$5:$D$1005="jabas")*(MOVIMIENTOS!$A$5:$A$1005&lt;&gt;"")*(MOVIMIENTOS!$A$5:$A$1005&lt;=$A256)*MOVIMIENTOS!$E$5:$E$1005)-SUMPRODUCT((MOVIMIENTOS!$B$5:$B$1005="ENVÍO A SUPESA")*(MOVIMIENTOS!$C$5:$C$1005="M")*(MOVIMIENTOS!$D$5:$D$1005="jabas")*(MOVIMIENTOS!$A$5:$A$1005&lt;&gt;"")*(MOVIMIENTOS!$A$5:$A$1005&lt;=$A256)*MOVIMIENTOS!$E$5:$E$1005)+SUMPRODUCT((MOVIMIENTOS!$B$5:$B$1005="DEVOLUCIÓN")*(MOVIMIENTOS!$C$5:$C$1005="M")*(MOVIMIENTOS!$D$5:$D$1005="jabas")*(MOVIMIENTOS!$A$5:$A$1005&lt;&gt;"")*(MOVIMIENTOS!$A$5:$A$1005&lt;=$A256)*MOVIMIENTOS!$E$5:$E$1005)-SUMPRODUCT((MOVIMIENTOS!$B$5:$B$1005="TRASIEGO")*(MOVIMIENTOS!$C$5:$C$1005="M")*(MOVIMIENTOS!$D$5:$D$1005="jabas")*(MOVIMIENTOS!$A$5:$A$1005&lt;&gt;"")*(MOVIMIENTOS!$A$5:$A$1005&lt;=$A256)*MOVIMIENTOS!$E$5:$E$1005)-SUMPRODUCT((MOVIMIENTOS!$B$5:$B$1005="REGALO")*(MOVIMIENTOS!$C$5:$C$1005="M")*(MOVIMIENTOS!$D$5:$D$1005="jabas")*(MOVIMIENTOS!$A$5:$A$1005&lt;&gt;"")*(MOVIMIENTOS!$A$5:$A$1005&lt;=$A256)*MOVIMIENTOS!$E$5:$E$1005)-SUMPRODUCT((MOVIMIENTOS!$B$5:$B$1005="VENTA")*(MOVIMIENTOS!$C$5:$C$1005="M")*(MOVIMIENTOS!$D$5:$D$1005="jabas")*(MOVIMIENTOS!$A$5:$A$1005&lt;&gt;"")*(MOVIMIENTOS!$A$5:$A$1005&lt;=$A256)*MOVIMIENTOS!$E$5:$E$1005)+SUMPRODUCT((MOVIMIENTOS!$B$5:$B$1005="AJUSTE")*(MOVIMIENTOS!$C$5:$C$1005="M")*(MOVIMIENTOS!$D$5:$D$1005="jabas")*(MOVIMIENTOS!$A$5:$A$1005&lt;&gt;"")*(MOVIMIENTOS!$A$5:$A$1005&lt;=$A256)*MOVIMIENTOS!$E$5:$E$1005))</f>
        <v/>
      </c>
      <c r="F256" s="63" t="str">
        <f>IF($A256="","",SUMPRODUCT((MOVIMIENTOS!$B$5:$B$1005="SALDO INICIAL")*(MOVIMIENTOS!$C$5:$C$1005="Chancho")*(MOVIMIENTOS!$D$5:$D$1005="sacos")*(MOVIMIENTOS!$A$5:$A$1005&lt;&gt;"")*(MOVIMIENTOS!$A$5:$A$1005&lt;=$A256)*MOVIMIENTOS!$E$5:$E$1005)+SUMPRODUCT((MOVIMIENTOS!$B$5:$B$1005="PROCESO")*(MOVIMIENTOS!$C$5:$C$1005="Chancho")*(MOVIMIENTOS!$D$5:$D$1005="sacos")*(MOVIMIENTOS!$A$5:$A$1005&lt;&gt;"")*(MOVIMIENTOS!$A$5:$A$1005&lt;=$A256)*MOVIMIENTOS!$E$5:$E$1005)-SUMPRODUCT((MOVIMIENTOS!$B$5:$B$1005="VENTA CHANCHO")*(MOVIMIENTOS!$C$5:$C$1005="Chancho")*(MOVIMIENTOS!$D$5:$D$1005="sacos")*(MOVIMIENTOS!$A$5:$A$1005&lt;&gt;"")*(MOVIMIENTOS!$A$5:$A$1005&lt;=$A256)*MOVIMIENTOS!$E$5:$E$1005)-SUMPRODUCT((MOVIMIENTOS!$B$5:$B$1005="REGALO")*(MOVIMIENTOS!$C$5:$C$1005="Chancho")*(MOVIMIENTOS!$D$5:$D$1005="sacos")*(MOVIMIENTOS!$A$5:$A$1005&lt;&gt;"")*(MOVIMIENTOS!$A$5:$A$1005&lt;=$A256)*MOVIMIENTOS!$E$5:$E$1005)-SUMPRODUCT((MOVIMIENTOS!$B$5:$B$1005="VENTA")*(MOVIMIENTOS!$C$5:$C$1005="Chancho")*(MOVIMIENTOS!$D$5:$D$1005="sacos")*(MOVIMIENTOS!$A$5:$A$1005&lt;&gt;"")*(MOVIMIENTOS!$A$5:$A$1005&lt;=$A256)*MOVIMIENTOS!$E$5:$E$1005)+SUMPRODUCT((MOVIMIENTOS!$B$5:$B$1005="AJUSTE")*(MOVIMIENTOS!$C$5:$C$1005="Chancho")*(MOVIMIENTOS!$D$5:$D$1005="sacos")*(MOVIMIENTOS!$A$5:$A$1005&lt;&gt;"")*(MOVIMIENTOS!$A$5:$A$1005&lt;=$A256)*MOVIMIENTOS!$E$5:$E$1005))</f>
        <v/>
      </c>
      <c r="G256" s="95" t="str">
        <f t="shared" si="7"/>
        <v/>
      </c>
      <c r="H256" s="63" t="str">
        <f>IF($A256="","",SUMPRODUCT((((MOVIMIENTOS!$B$5:$B$1005="SALDO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256)*MOVIMIENTOS!$J$5:$J$1005))</f>
        <v/>
      </c>
      <c r="I256" s="63"/>
      <c r="J256" s="63" t="str">
        <f>IF(AND(MOVIMIENTOS!$A256&lt;&gt;"",COUNTIF(MOVIMIENTOS!$A$5:$A255,MOVIMIENTOS!$A256)=0),COUNT(J$4:J255)+1,"")</f>
        <v/>
      </c>
      <c r="K256" s="66">
        <f>MOVIMIENTOS!$A256</f>
        <v>46236</v>
      </c>
      <c r="L256" s="63"/>
      <c r="M256" s="63"/>
      <c r="N256" s="63"/>
    </row>
    <row r="257" spans="1:14" ht="15" customHeight="1" x14ac:dyDescent="0.2">
      <c r="A257" s="63" t="str">
        <f t="shared" si="6"/>
        <v/>
      </c>
      <c r="B257" s="63" t="str">
        <f>IF($A257="","",SUMPRODUCT((MOVIMIENTOS!$B$5:$B$1005="SALDO INICIAL")*(MOVIMIENTOS!$C$5:$C$1005="A")*(MOVIMIENTOS!$D$5:$D$1005="jabas")*(MOVIMIENTOS!$A$5:$A$1005&lt;&gt;"")*(MOVIMIENTOS!$A$5:$A$1005&lt;=$A257)*MOVIMIENTOS!$E$5:$E$1005)+SUMPRODUCT((MOVIMIENTOS!$B$5:$B$1005="PROCESO")*(MOVIMIENTOS!$C$5:$C$1005="A")*(MOVIMIENTOS!$D$5:$D$1005="jabas")*(MOVIMIENTOS!$A$5:$A$1005&lt;&gt;"")*(MOVIMIENTOS!$A$5:$A$1005&lt;=$A257)*MOVIMIENTOS!$E$5:$E$1005)-SUMPRODUCT((MOVIMIENTOS!$B$5:$B$1005="ENVÍO A SUPESA")*(MOVIMIENTOS!$C$5:$C$1005="A")*(MOVIMIENTOS!$D$5:$D$1005="jabas")*(MOVIMIENTOS!$A$5:$A$1005&lt;&gt;"")*(MOVIMIENTOS!$A$5:$A$1005&lt;=$A257)*MOVIMIENTOS!$E$5:$E$1005)+SUMPRODUCT((MOVIMIENTOS!$B$5:$B$1005="DEVOLUCIÓN")*(MOVIMIENTOS!$C$5:$C$1005="A")*(MOVIMIENTOS!$D$5:$D$1005="jabas")*(MOVIMIENTOS!$A$5:$A$1005&lt;&gt;"")*(MOVIMIENTOS!$A$5:$A$1005&lt;=$A257)*MOVIMIENTOS!$E$5:$E$1005)-SUMPRODUCT((MOVIMIENTOS!$B$5:$B$1005="TRASIEGO")*(MOVIMIENTOS!$C$5:$C$1005="A")*(MOVIMIENTOS!$D$5:$D$1005="jabas")*(MOVIMIENTOS!$A$5:$A$1005&lt;&gt;"")*(MOVIMIENTOS!$A$5:$A$1005&lt;=$A257)*MOVIMIENTOS!$E$5:$E$1005)-SUMPRODUCT((MOVIMIENTOS!$B$5:$B$1005="REGALO")*(MOVIMIENTOS!$C$5:$C$1005="A")*(MOVIMIENTOS!$D$5:$D$1005="jabas")*(MOVIMIENTOS!$A$5:$A$1005&lt;&gt;"")*(MOVIMIENTOS!$A$5:$A$1005&lt;=$A257)*MOVIMIENTOS!$E$5:$E$1005)-SUMPRODUCT((MOVIMIENTOS!$B$5:$B$1005="VENTA")*(MOVIMIENTOS!$C$5:$C$1005="A")*(MOVIMIENTOS!$D$5:$D$1005="jabas")*(MOVIMIENTOS!$A$5:$A$1005&lt;&gt;"")*(MOVIMIENTOS!$A$5:$A$1005&lt;=$A257)*MOVIMIENTOS!$E$5:$E$1005)+SUMPRODUCT((MOVIMIENTOS!$B$5:$B$1005="AJUSTE")*(MOVIMIENTOS!$C$5:$C$1005="A")*(MOVIMIENTOS!$D$5:$D$1005="jabas")*(MOVIMIENTOS!$A$5:$A$1005&lt;&gt;"")*(MOVIMIENTOS!$A$5:$A$1005&lt;=$A257)*MOVIMIENTOS!$E$5:$E$1005))</f>
        <v/>
      </c>
      <c r="C257" s="63" t="str">
        <f>IF($A257="","",SUMPRODUCT((MOVIMIENTOS!$B$5:$B$1005="SALDO INICIAL")*(MOVIMIENTOS!$C$5:$C$1005="P")*(MOVIMIENTOS!$D$5:$D$1005="jabas")*(MOVIMIENTOS!$A$5:$A$1005&lt;&gt;"")*(MOVIMIENTOS!$A$5:$A$1005&lt;=$A257)*MOVIMIENTOS!$E$5:$E$1005)+SUMPRODUCT((MOVIMIENTOS!$B$5:$B$1005="PROCESO")*(MOVIMIENTOS!$C$5:$C$1005="P")*(MOVIMIENTOS!$D$5:$D$1005="jabas")*(MOVIMIENTOS!$A$5:$A$1005&lt;&gt;"")*(MOVIMIENTOS!$A$5:$A$1005&lt;=$A257)*MOVIMIENTOS!$E$5:$E$1005)-SUMPRODUCT((MOVIMIENTOS!$B$5:$B$1005="ENVÍO A SUPESA")*(MOVIMIENTOS!$C$5:$C$1005="P")*(MOVIMIENTOS!$D$5:$D$1005="jabas")*(MOVIMIENTOS!$A$5:$A$1005&lt;&gt;"")*(MOVIMIENTOS!$A$5:$A$1005&lt;=$A257)*MOVIMIENTOS!$E$5:$E$1005)+SUMPRODUCT((MOVIMIENTOS!$B$5:$B$1005="DEVOLUCIÓN")*(MOVIMIENTOS!$C$5:$C$1005="P")*(MOVIMIENTOS!$D$5:$D$1005="jabas")*(MOVIMIENTOS!$A$5:$A$1005&lt;&gt;"")*(MOVIMIENTOS!$A$5:$A$1005&lt;=$A257)*MOVIMIENTOS!$E$5:$E$1005)-SUMPRODUCT((MOVIMIENTOS!$B$5:$B$1005="TRASIEGO")*(MOVIMIENTOS!$C$5:$C$1005="P")*(MOVIMIENTOS!$D$5:$D$1005="jabas")*(MOVIMIENTOS!$A$5:$A$1005&lt;&gt;"")*(MOVIMIENTOS!$A$5:$A$1005&lt;=$A257)*MOVIMIENTOS!$E$5:$E$1005)-SUMPRODUCT((MOVIMIENTOS!$B$5:$B$1005="REGALO")*(MOVIMIENTOS!$C$5:$C$1005="P")*(MOVIMIENTOS!$D$5:$D$1005="jabas")*(MOVIMIENTOS!$A$5:$A$1005&lt;&gt;"")*(MOVIMIENTOS!$A$5:$A$1005&lt;=$A257)*MOVIMIENTOS!$E$5:$E$1005)-SUMPRODUCT((MOVIMIENTOS!$B$5:$B$1005="VENTA")*(MOVIMIENTOS!$C$5:$C$1005="P")*(MOVIMIENTOS!$D$5:$D$1005="jabas")*(MOVIMIENTOS!$A$5:$A$1005&lt;&gt;"")*(MOVIMIENTOS!$A$5:$A$1005&lt;=$A257)*MOVIMIENTOS!$E$5:$E$1005)+SUMPRODUCT((MOVIMIENTOS!$B$5:$B$1005="AJUSTE")*(MOVIMIENTOS!$C$5:$C$1005="P")*(MOVIMIENTOS!$D$5:$D$1005="jabas")*(MOVIMIENTOS!$A$5:$A$1005&lt;&gt;"")*(MOVIMIENTOS!$A$5:$A$1005&lt;=$A257)*MOVIMIENTOS!$E$5:$E$1005))</f>
        <v/>
      </c>
      <c r="D257" s="63" t="str">
        <f>IF($A257="","",SUMPRODUCT((MOVIMIENTOS!$B$5:$B$1005="SALDO INICIAL")*(MOVIMIENTOS!$C$5:$C$1005="C")*(MOVIMIENTOS!$D$5:$D$1005="jabas")*(MOVIMIENTOS!$A$5:$A$1005&lt;&gt;"")*(MOVIMIENTOS!$A$5:$A$1005&lt;=$A257)*MOVIMIENTOS!$E$5:$E$1005)+SUMPRODUCT((MOVIMIENTOS!$B$5:$B$1005="PROCESO")*(MOVIMIENTOS!$C$5:$C$1005="C")*(MOVIMIENTOS!$D$5:$D$1005="jabas")*(MOVIMIENTOS!$A$5:$A$1005&lt;&gt;"")*(MOVIMIENTOS!$A$5:$A$1005&lt;=$A257)*MOVIMIENTOS!$E$5:$E$1005)-SUMPRODUCT((MOVIMIENTOS!$B$5:$B$1005="ENVÍO A SUPESA")*(MOVIMIENTOS!$C$5:$C$1005="C")*(MOVIMIENTOS!$D$5:$D$1005="jabas")*(MOVIMIENTOS!$A$5:$A$1005&lt;&gt;"")*(MOVIMIENTOS!$A$5:$A$1005&lt;=$A257)*MOVIMIENTOS!$E$5:$E$1005)+SUMPRODUCT((MOVIMIENTOS!$B$5:$B$1005="DEVOLUCIÓN")*(MOVIMIENTOS!$C$5:$C$1005="C")*(MOVIMIENTOS!$D$5:$D$1005="jabas")*(MOVIMIENTOS!$A$5:$A$1005&lt;&gt;"")*(MOVIMIENTOS!$A$5:$A$1005&lt;=$A257)*MOVIMIENTOS!$E$5:$E$1005)-SUMPRODUCT((MOVIMIENTOS!$B$5:$B$1005="TRASIEGO")*(MOVIMIENTOS!$C$5:$C$1005="C")*(MOVIMIENTOS!$D$5:$D$1005="jabas")*(MOVIMIENTOS!$A$5:$A$1005&lt;&gt;"")*(MOVIMIENTOS!$A$5:$A$1005&lt;=$A257)*MOVIMIENTOS!$E$5:$E$1005)-SUMPRODUCT((MOVIMIENTOS!$B$5:$B$1005="REGALO")*(MOVIMIENTOS!$C$5:$C$1005="C")*(MOVIMIENTOS!$D$5:$D$1005="jabas")*(MOVIMIENTOS!$A$5:$A$1005&lt;&gt;"")*(MOVIMIENTOS!$A$5:$A$1005&lt;=$A257)*MOVIMIENTOS!$E$5:$E$1005)-SUMPRODUCT((MOVIMIENTOS!$B$5:$B$1005="VENTA")*(MOVIMIENTOS!$C$5:$C$1005="C")*(MOVIMIENTOS!$D$5:$D$1005="jabas")*(MOVIMIENTOS!$A$5:$A$1005&lt;&gt;"")*(MOVIMIENTOS!$A$5:$A$1005&lt;=$A257)*MOVIMIENTOS!$E$5:$E$1005)+SUMPRODUCT((MOVIMIENTOS!$B$5:$B$1005="AJUSTE")*(MOVIMIENTOS!$C$5:$C$1005="C")*(MOVIMIENTOS!$D$5:$D$1005="jabas")*(MOVIMIENTOS!$A$5:$A$1005&lt;&gt;"")*(MOVIMIENTOS!$A$5:$A$1005&lt;=$A257)*MOVIMIENTOS!$E$5:$E$1005))</f>
        <v/>
      </c>
      <c r="E257" s="63" t="str">
        <f>IF($A257="","",SUMPRODUCT((MOVIMIENTOS!$B$5:$B$1005="SALDO INICIAL")*(MOVIMIENTOS!$C$5:$C$1005="M")*(MOVIMIENTOS!$D$5:$D$1005="jabas")*(MOVIMIENTOS!$A$5:$A$1005&lt;&gt;"")*(MOVIMIENTOS!$A$5:$A$1005&lt;=$A257)*MOVIMIENTOS!$E$5:$E$1005)+SUMPRODUCT((MOVIMIENTOS!$B$5:$B$1005="PROCESO")*(MOVIMIENTOS!$C$5:$C$1005="M")*(MOVIMIENTOS!$D$5:$D$1005="jabas")*(MOVIMIENTOS!$A$5:$A$1005&lt;&gt;"")*(MOVIMIENTOS!$A$5:$A$1005&lt;=$A257)*MOVIMIENTOS!$E$5:$E$1005)-SUMPRODUCT((MOVIMIENTOS!$B$5:$B$1005="ENVÍO A SUPESA")*(MOVIMIENTOS!$C$5:$C$1005="M")*(MOVIMIENTOS!$D$5:$D$1005="jabas")*(MOVIMIENTOS!$A$5:$A$1005&lt;&gt;"")*(MOVIMIENTOS!$A$5:$A$1005&lt;=$A257)*MOVIMIENTOS!$E$5:$E$1005)+SUMPRODUCT((MOVIMIENTOS!$B$5:$B$1005="DEVOLUCIÓN")*(MOVIMIENTOS!$C$5:$C$1005="M")*(MOVIMIENTOS!$D$5:$D$1005="jabas")*(MOVIMIENTOS!$A$5:$A$1005&lt;&gt;"")*(MOVIMIENTOS!$A$5:$A$1005&lt;=$A257)*MOVIMIENTOS!$E$5:$E$1005)-SUMPRODUCT((MOVIMIENTOS!$B$5:$B$1005="TRASIEGO")*(MOVIMIENTOS!$C$5:$C$1005="M")*(MOVIMIENTOS!$D$5:$D$1005="jabas")*(MOVIMIENTOS!$A$5:$A$1005&lt;&gt;"")*(MOVIMIENTOS!$A$5:$A$1005&lt;=$A257)*MOVIMIENTOS!$E$5:$E$1005)-SUMPRODUCT((MOVIMIENTOS!$B$5:$B$1005="REGALO")*(MOVIMIENTOS!$C$5:$C$1005="M")*(MOVIMIENTOS!$D$5:$D$1005="jabas")*(MOVIMIENTOS!$A$5:$A$1005&lt;&gt;"")*(MOVIMIENTOS!$A$5:$A$1005&lt;=$A257)*MOVIMIENTOS!$E$5:$E$1005)-SUMPRODUCT((MOVIMIENTOS!$B$5:$B$1005="VENTA")*(MOVIMIENTOS!$C$5:$C$1005="M")*(MOVIMIENTOS!$D$5:$D$1005="jabas")*(MOVIMIENTOS!$A$5:$A$1005&lt;&gt;"")*(MOVIMIENTOS!$A$5:$A$1005&lt;=$A257)*MOVIMIENTOS!$E$5:$E$1005)+SUMPRODUCT((MOVIMIENTOS!$B$5:$B$1005="AJUSTE")*(MOVIMIENTOS!$C$5:$C$1005="M")*(MOVIMIENTOS!$D$5:$D$1005="jabas")*(MOVIMIENTOS!$A$5:$A$1005&lt;&gt;"")*(MOVIMIENTOS!$A$5:$A$1005&lt;=$A257)*MOVIMIENTOS!$E$5:$E$1005))</f>
        <v/>
      </c>
      <c r="F257" s="63" t="str">
        <f>IF($A257="","",SUMPRODUCT((MOVIMIENTOS!$B$5:$B$1005="SALDO INICIAL")*(MOVIMIENTOS!$C$5:$C$1005="Chancho")*(MOVIMIENTOS!$D$5:$D$1005="sacos")*(MOVIMIENTOS!$A$5:$A$1005&lt;&gt;"")*(MOVIMIENTOS!$A$5:$A$1005&lt;=$A257)*MOVIMIENTOS!$E$5:$E$1005)+SUMPRODUCT((MOVIMIENTOS!$B$5:$B$1005="PROCESO")*(MOVIMIENTOS!$C$5:$C$1005="Chancho")*(MOVIMIENTOS!$D$5:$D$1005="sacos")*(MOVIMIENTOS!$A$5:$A$1005&lt;&gt;"")*(MOVIMIENTOS!$A$5:$A$1005&lt;=$A257)*MOVIMIENTOS!$E$5:$E$1005)-SUMPRODUCT((MOVIMIENTOS!$B$5:$B$1005="VENTA CHANCHO")*(MOVIMIENTOS!$C$5:$C$1005="Chancho")*(MOVIMIENTOS!$D$5:$D$1005="sacos")*(MOVIMIENTOS!$A$5:$A$1005&lt;&gt;"")*(MOVIMIENTOS!$A$5:$A$1005&lt;=$A257)*MOVIMIENTOS!$E$5:$E$1005)-SUMPRODUCT((MOVIMIENTOS!$B$5:$B$1005="REGALO")*(MOVIMIENTOS!$C$5:$C$1005="Chancho")*(MOVIMIENTOS!$D$5:$D$1005="sacos")*(MOVIMIENTOS!$A$5:$A$1005&lt;&gt;"")*(MOVIMIENTOS!$A$5:$A$1005&lt;=$A257)*MOVIMIENTOS!$E$5:$E$1005)-SUMPRODUCT((MOVIMIENTOS!$B$5:$B$1005="VENTA")*(MOVIMIENTOS!$C$5:$C$1005="Chancho")*(MOVIMIENTOS!$D$5:$D$1005="sacos")*(MOVIMIENTOS!$A$5:$A$1005&lt;&gt;"")*(MOVIMIENTOS!$A$5:$A$1005&lt;=$A257)*MOVIMIENTOS!$E$5:$E$1005)+SUMPRODUCT((MOVIMIENTOS!$B$5:$B$1005="AJUSTE")*(MOVIMIENTOS!$C$5:$C$1005="Chancho")*(MOVIMIENTOS!$D$5:$D$1005="sacos")*(MOVIMIENTOS!$A$5:$A$1005&lt;&gt;"")*(MOVIMIENTOS!$A$5:$A$1005&lt;=$A257)*MOVIMIENTOS!$E$5:$E$1005))</f>
        <v/>
      </c>
      <c r="G257" s="95" t="str">
        <f t="shared" si="7"/>
        <v/>
      </c>
      <c r="H257" s="63" t="str">
        <f>IF($A257="","",SUMPRODUCT((((MOVIMIENTOS!$B$5:$B$1005="SALDO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257)*MOVIMIENTOS!$J$5:$J$1005))</f>
        <v/>
      </c>
      <c r="I257" s="63"/>
      <c r="J257" s="63" t="str">
        <f>IF(AND(MOVIMIENTOS!$A257&lt;&gt;"",COUNTIF(MOVIMIENTOS!$A$5:$A256,MOVIMIENTOS!$A257)=0),COUNT(J$4:J256)+1,"")</f>
        <v/>
      </c>
      <c r="K257" s="66">
        <f>MOVIMIENTOS!$A257</f>
        <v>46236</v>
      </c>
      <c r="L257" s="63"/>
      <c r="M257" s="63"/>
      <c r="N257" s="63"/>
    </row>
    <row r="258" spans="1:14" ht="15" customHeight="1" x14ac:dyDescent="0.2">
      <c r="A258" s="63" t="str">
        <f t="shared" si="6"/>
        <v/>
      </c>
      <c r="B258" s="63" t="str">
        <f>IF($A258="","",SUMPRODUCT((MOVIMIENTOS!$B$5:$B$1005="SALDO INICIAL")*(MOVIMIENTOS!$C$5:$C$1005="A")*(MOVIMIENTOS!$D$5:$D$1005="jabas")*(MOVIMIENTOS!$A$5:$A$1005&lt;&gt;"")*(MOVIMIENTOS!$A$5:$A$1005&lt;=$A258)*MOVIMIENTOS!$E$5:$E$1005)+SUMPRODUCT((MOVIMIENTOS!$B$5:$B$1005="PROCESO")*(MOVIMIENTOS!$C$5:$C$1005="A")*(MOVIMIENTOS!$D$5:$D$1005="jabas")*(MOVIMIENTOS!$A$5:$A$1005&lt;&gt;"")*(MOVIMIENTOS!$A$5:$A$1005&lt;=$A258)*MOVIMIENTOS!$E$5:$E$1005)-SUMPRODUCT((MOVIMIENTOS!$B$5:$B$1005="ENVÍO A SUPESA")*(MOVIMIENTOS!$C$5:$C$1005="A")*(MOVIMIENTOS!$D$5:$D$1005="jabas")*(MOVIMIENTOS!$A$5:$A$1005&lt;&gt;"")*(MOVIMIENTOS!$A$5:$A$1005&lt;=$A258)*MOVIMIENTOS!$E$5:$E$1005)+SUMPRODUCT((MOVIMIENTOS!$B$5:$B$1005="DEVOLUCIÓN")*(MOVIMIENTOS!$C$5:$C$1005="A")*(MOVIMIENTOS!$D$5:$D$1005="jabas")*(MOVIMIENTOS!$A$5:$A$1005&lt;&gt;"")*(MOVIMIENTOS!$A$5:$A$1005&lt;=$A258)*MOVIMIENTOS!$E$5:$E$1005)-SUMPRODUCT((MOVIMIENTOS!$B$5:$B$1005="TRASIEGO")*(MOVIMIENTOS!$C$5:$C$1005="A")*(MOVIMIENTOS!$D$5:$D$1005="jabas")*(MOVIMIENTOS!$A$5:$A$1005&lt;&gt;"")*(MOVIMIENTOS!$A$5:$A$1005&lt;=$A258)*MOVIMIENTOS!$E$5:$E$1005)-SUMPRODUCT((MOVIMIENTOS!$B$5:$B$1005="REGALO")*(MOVIMIENTOS!$C$5:$C$1005="A")*(MOVIMIENTOS!$D$5:$D$1005="jabas")*(MOVIMIENTOS!$A$5:$A$1005&lt;&gt;"")*(MOVIMIENTOS!$A$5:$A$1005&lt;=$A258)*MOVIMIENTOS!$E$5:$E$1005)-SUMPRODUCT((MOVIMIENTOS!$B$5:$B$1005="VENTA")*(MOVIMIENTOS!$C$5:$C$1005="A")*(MOVIMIENTOS!$D$5:$D$1005="jabas")*(MOVIMIENTOS!$A$5:$A$1005&lt;&gt;"")*(MOVIMIENTOS!$A$5:$A$1005&lt;=$A258)*MOVIMIENTOS!$E$5:$E$1005)+SUMPRODUCT((MOVIMIENTOS!$B$5:$B$1005="AJUSTE")*(MOVIMIENTOS!$C$5:$C$1005="A")*(MOVIMIENTOS!$D$5:$D$1005="jabas")*(MOVIMIENTOS!$A$5:$A$1005&lt;&gt;"")*(MOVIMIENTOS!$A$5:$A$1005&lt;=$A258)*MOVIMIENTOS!$E$5:$E$1005))</f>
        <v/>
      </c>
      <c r="C258" s="63" t="str">
        <f>IF($A258="","",SUMPRODUCT((MOVIMIENTOS!$B$5:$B$1005="SALDO INICIAL")*(MOVIMIENTOS!$C$5:$C$1005="P")*(MOVIMIENTOS!$D$5:$D$1005="jabas")*(MOVIMIENTOS!$A$5:$A$1005&lt;&gt;"")*(MOVIMIENTOS!$A$5:$A$1005&lt;=$A258)*MOVIMIENTOS!$E$5:$E$1005)+SUMPRODUCT((MOVIMIENTOS!$B$5:$B$1005="PROCESO")*(MOVIMIENTOS!$C$5:$C$1005="P")*(MOVIMIENTOS!$D$5:$D$1005="jabas")*(MOVIMIENTOS!$A$5:$A$1005&lt;&gt;"")*(MOVIMIENTOS!$A$5:$A$1005&lt;=$A258)*MOVIMIENTOS!$E$5:$E$1005)-SUMPRODUCT((MOVIMIENTOS!$B$5:$B$1005="ENVÍO A SUPESA")*(MOVIMIENTOS!$C$5:$C$1005="P")*(MOVIMIENTOS!$D$5:$D$1005="jabas")*(MOVIMIENTOS!$A$5:$A$1005&lt;&gt;"")*(MOVIMIENTOS!$A$5:$A$1005&lt;=$A258)*MOVIMIENTOS!$E$5:$E$1005)+SUMPRODUCT((MOVIMIENTOS!$B$5:$B$1005="DEVOLUCIÓN")*(MOVIMIENTOS!$C$5:$C$1005="P")*(MOVIMIENTOS!$D$5:$D$1005="jabas")*(MOVIMIENTOS!$A$5:$A$1005&lt;&gt;"")*(MOVIMIENTOS!$A$5:$A$1005&lt;=$A258)*MOVIMIENTOS!$E$5:$E$1005)-SUMPRODUCT((MOVIMIENTOS!$B$5:$B$1005="TRASIEGO")*(MOVIMIENTOS!$C$5:$C$1005="P")*(MOVIMIENTOS!$D$5:$D$1005="jabas")*(MOVIMIENTOS!$A$5:$A$1005&lt;&gt;"")*(MOVIMIENTOS!$A$5:$A$1005&lt;=$A258)*MOVIMIENTOS!$E$5:$E$1005)-SUMPRODUCT((MOVIMIENTOS!$B$5:$B$1005="REGALO")*(MOVIMIENTOS!$C$5:$C$1005="P")*(MOVIMIENTOS!$D$5:$D$1005="jabas")*(MOVIMIENTOS!$A$5:$A$1005&lt;&gt;"")*(MOVIMIENTOS!$A$5:$A$1005&lt;=$A258)*MOVIMIENTOS!$E$5:$E$1005)-SUMPRODUCT((MOVIMIENTOS!$B$5:$B$1005="VENTA")*(MOVIMIENTOS!$C$5:$C$1005="P")*(MOVIMIENTOS!$D$5:$D$1005="jabas")*(MOVIMIENTOS!$A$5:$A$1005&lt;&gt;"")*(MOVIMIENTOS!$A$5:$A$1005&lt;=$A258)*MOVIMIENTOS!$E$5:$E$1005)+SUMPRODUCT((MOVIMIENTOS!$B$5:$B$1005="AJUSTE")*(MOVIMIENTOS!$C$5:$C$1005="P")*(MOVIMIENTOS!$D$5:$D$1005="jabas")*(MOVIMIENTOS!$A$5:$A$1005&lt;&gt;"")*(MOVIMIENTOS!$A$5:$A$1005&lt;=$A258)*MOVIMIENTOS!$E$5:$E$1005))</f>
        <v/>
      </c>
      <c r="D258" s="63" t="str">
        <f>IF($A258="","",SUMPRODUCT((MOVIMIENTOS!$B$5:$B$1005="SALDO INICIAL")*(MOVIMIENTOS!$C$5:$C$1005="C")*(MOVIMIENTOS!$D$5:$D$1005="jabas")*(MOVIMIENTOS!$A$5:$A$1005&lt;&gt;"")*(MOVIMIENTOS!$A$5:$A$1005&lt;=$A258)*MOVIMIENTOS!$E$5:$E$1005)+SUMPRODUCT((MOVIMIENTOS!$B$5:$B$1005="PROCESO")*(MOVIMIENTOS!$C$5:$C$1005="C")*(MOVIMIENTOS!$D$5:$D$1005="jabas")*(MOVIMIENTOS!$A$5:$A$1005&lt;&gt;"")*(MOVIMIENTOS!$A$5:$A$1005&lt;=$A258)*MOVIMIENTOS!$E$5:$E$1005)-SUMPRODUCT((MOVIMIENTOS!$B$5:$B$1005="ENVÍO A SUPESA")*(MOVIMIENTOS!$C$5:$C$1005="C")*(MOVIMIENTOS!$D$5:$D$1005="jabas")*(MOVIMIENTOS!$A$5:$A$1005&lt;&gt;"")*(MOVIMIENTOS!$A$5:$A$1005&lt;=$A258)*MOVIMIENTOS!$E$5:$E$1005)+SUMPRODUCT((MOVIMIENTOS!$B$5:$B$1005="DEVOLUCIÓN")*(MOVIMIENTOS!$C$5:$C$1005="C")*(MOVIMIENTOS!$D$5:$D$1005="jabas")*(MOVIMIENTOS!$A$5:$A$1005&lt;&gt;"")*(MOVIMIENTOS!$A$5:$A$1005&lt;=$A258)*MOVIMIENTOS!$E$5:$E$1005)-SUMPRODUCT((MOVIMIENTOS!$B$5:$B$1005="TRASIEGO")*(MOVIMIENTOS!$C$5:$C$1005="C")*(MOVIMIENTOS!$D$5:$D$1005="jabas")*(MOVIMIENTOS!$A$5:$A$1005&lt;&gt;"")*(MOVIMIENTOS!$A$5:$A$1005&lt;=$A258)*MOVIMIENTOS!$E$5:$E$1005)-SUMPRODUCT((MOVIMIENTOS!$B$5:$B$1005="REGALO")*(MOVIMIENTOS!$C$5:$C$1005="C")*(MOVIMIENTOS!$D$5:$D$1005="jabas")*(MOVIMIENTOS!$A$5:$A$1005&lt;&gt;"")*(MOVIMIENTOS!$A$5:$A$1005&lt;=$A258)*MOVIMIENTOS!$E$5:$E$1005)-SUMPRODUCT((MOVIMIENTOS!$B$5:$B$1005="VENTA")*(MOVIMIENTOS!$C$5:$C$1005="C")*(MOVIMIENTOS!$D$5:$D$1005="jabas")*(MOVIMIENTOS!$A$5:$A$1005&lt;&gt;"")*(MOVIMIENTOS!$A$5:$A$1005&lt;=$A258)*MOVIMIENTOS!$E$5:$E$1005)+SUMPRODUCT((MOVIMIENTOS!$B$5:$B$1005="AJUSTE")*(MOVIMIENTOS!$C$5:$C$1005="C")*(MOVIMIENTOS!$D$5:$D$1005="jabas")*(MOVIMIENTOS!$A$5:$A$1005&lt;&gt;"")*(MOVIMIENTOS!$A$5:$A$1005&lt;=$A258)*MOVIMIENTOS!$E$5:$E$1005))</f>
        <v/>
      </c>
      <c r="E258" s="63" t="str">
        <f>IF($A258="","",SUMPRODUCT((MOVIMIENTOS!$B$5:$B$1005="SALDO INICIAL")*(MOVIMIENTOS!$C$5:$C$1005="M")*(MOVIMIENTOS!$D$5:$D$1005="jabas")*(MOVIMIENTOS!$A$5:$A$1005&lt;&gt;"")*(MOVIMIENTOS!$A$5:$A$1005&lt;=$A258)*MOVIMIENTOS!$E$5:$E$1005)+SUMPRODUCT((MOVIMIENTOS!$B$5:$B$1005="PROCESO")*(MOVIMIENTOS!$C$5:$C$1005="M")*(MOVIMIENTOS!$D$5:$D$1005="jabas")*(MOVIMIENTOS!$A$5:$A$1005&lt;&gt;"")*(MOVIMIENTOS!$A$5:$A$1005&lt;=$A258)*MOVIMIENTOS!$E$5:$E$1005)-SUMPRODUCT((MOVIMIENTOS!$B$5:$B$1005="ENVÍO A SUPESA")*(MOVIMIENTOS!$C$5:$C$1005="M")*(MOVIMIENTOS!$D$5:$D$1005="jabas")*(MOVIMIENTOS!$A$5:$A$1005&lt;&gt;"")*(MOVIMIENTOS!$A$5:$A$1005&lt;=$A258)*MOVIMIENTOS!$E$5:$E$1005)+SUMPRODUCT((MOVIMIENTOS!$B$5:$B$1005="DEVOLUCIÓN")*(MOVIMIENTOS!$C$5:$C$1005="M")*(MOVIMIENTOS!$D$5:$D$1005="jabas")*(MOVIMIENTOS!$A$5:$A$1005&lt;&gt;"")*(MOVIMIENTOS!$A$5:$A$1005&lt;=$A258)*MOVIMIENTOS!$E$5:$E$1005)-SUMPRODUCT((MOVIMIENTOS!$B$5:$B$1005="TRASIEGO")*(MOVIMIENTOS!$C$5:$C$1005="M")*(MOVIMIENTOS!$D$5:$D$1005="jabas")*(MOVIMIENTOS!$A$5:$A$1005&lt;&gt;"")*(MOVIMIENTOS!$A$5:$A$1005&lt;=$A258)*MOVIMIENTOS!$E$5:$E$1005)-SUMPRODUCT((MOVIMIENTOS!$B$5:$B$1005="REGALO")*(MOVIMIENTOS!$C$5:$C$1005="M")*(MOVIMIENTOS!$D$5:$D$1005="jabas")*(MOVIMIENTOS!$A$5:$A$1005&lt;&gt;"")*(MOVIMIENTOS!$A$5:$A$1005&lt;=$A258)*MOVIMIENTOS!$E$5:$E$1005)-SUMPRODUCT((MOVIMIENTOS!$B$5:$B$1005="VENTA")*(MOVIMIENTOS!$C$5:$C$1005="M")*(MOVIMIENTOS!$D$5:$D$1005="jabas")*(MOVIMIENTOS!$A$5:$A$1005&lt;&gt;"")*(MOVIMIENTOS!$A$5:$A$1005&lt;=$A258)*MOVIMIENTOS!$E$5:$E$1005)+SUMPRODUCT((MOVIMIENTOS!$B$5:$B$1005="AJUSTE")*(MOVIMIENTOS!$C$5:$C$1005="M")*(MOVIMIENTOS!$D$5:$D$1005="jabas")*(MOVIMIENTOS!$A$5:$A$1005&lt;&gt;"")*(MOVIMIENTOS!$A$5:$A$1005&lt;=$A258)*MOVIMIENTOS!$E$5:$E$1005))</f>
        <v/>
      </c>
      <c r="F258" s="63" t="str">
        <f>IF($A258="","",SUMPRODUCT((MOVIMIENTOS!$B$5:$B$1005="SALDO INICIAL")*(MOVIMIENTOS!$C$5:$C$1005="Chancho")*(MOVIMIENTOS!$D$5:$D$1005="sacos")*(MOVIMIENTOS!$A$5:$A$1005&lt;&gt;"")*(MOVIMIENTOS!$A$5:$A$1005&lt;=$A258)*MOVIMIENTOS!$E$5:$E$1005)+SUMPRODUCT((MOVIMIENTOS!$B$5:$B$1005="PROCESO")*(MOVIMIENTOS!$C$5:$C$1005="Chancho")*(MOVIMIENTOS!$D$5:$D$1005="sacos")*(MOVIMIENTOS!$A$5:$A$1005&lt;&gt;"")*(MOVIMIENTOS!$A$5:$A$1005&lt;=$A258)*MOVIMIENTOS!$E$5:$E$1005)-SUMPRODUCT((MOVIMIENTOS!$B$5:$B$1005="VENTA CHANCHO")*(MOVIMIENTOS!$C$5:$C$1005="Chancho")*(MOVIMIENTOS!$D$5:$D$1005="sacos")*(MOVIMIENTOS!$A$5:$A$1005&lt;&gt;"")*(MOVIMIENTOS!$A$5:$A$1005&lt;=$A258)*MOVIMIENTOS!$E$5:$E$1005)-SUMPRODUCT((MOVIMIENTOS!$B$5:$B$1005="REGALO")*(MOVIMIENTOS!$C$5:$C$1005="Chancho")*(MOVIMIENTOS!$D$5:$D$1005="sacos")*(MOVIMIENTOS!$A$5:$A$1005&lt;&gt;"")*(MOVIMIENTOS!$A$5:$A$1005&lt;=$A258)*MOVIMIENTOS!$E$5:$E$1005)-SUMPRODUCT((MOVIMIENTOS!$B$5:$B$1005="VENTA")*(MOVIMIENTOS!$C$5:$C$1005="Chancho")*(MOVIMIENTOS!$D$5:$D$1005="sacos")*(MOVIMIENTOS!$A$5:$A$1005&lt;&gt;"")*(MOVIMIENTOS!$A$5:$A$1005&lt;=$A258)*MOVIMIENTOS!$E$5:$E$1005)+SUMPRODUCT((MOVIMIENTOS!$B$5:$B$1005="AJUSTE")*(MOVIMIENTOS!$C$5:$C$1005="Chancho")*(MOVIMIENTOS!$D$5:$D$1005="sacos")*(MOVIMIENTOS!$A$5:$A$1005&lt;&gt;"")*(MOVIMIENTOS!$A$5:$A$1005&lt;=$A258)*MOVIMIENTOS!$E$5:$E$1005))</f>
        <v/>
      </c>
      <c r="G258" s="95" t="str">
        <f t="shared" si="7"/>
        <v/>
      </c>
      <c r="H258" s="63" t="str">
        <f>IF($A258="","",SUMPRODUCT((((MOVIMIENTOS!$B$5:$B$1005="SALDO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258)*MOVIMIENTOS!$J$5:$J$1005))</f>
        <v/>
      </c>
      <c r="I258" s="63"/>
      <c r="J258" s="63" t="str">
        <f>IF(AND(MOVIMIENTOS!$A258&lt;&gt;"",COUNTIF(MOVIMIENTOS!$A$5:$A257,MOVIMIENTOS!$A258)=0),COUNT(J$4:J257)+1,"")</f>
        <v/>
      </c>
      <c r="K258" s="66">
        <f>MOVIMIENTOS!$A258</f>
        <v>46236</v>
      </c>
      <c r="L258" s="63"/>
      <c r="M258" s="63"/>
      <c r="N258" s="63"/>
    </row>
    <row r="259" spans="1:14" ht="15" customHeight="1" x14ac:dyDescent="0.2">
      <c r="A259" s="63" t="str">
        <f t="shared" si="6"/>
        <v/>
      </c>
      <c r="B259" s="63" t="str">
        <f>IF($A259="","",SUMPRODUCT((MOVIMIENTOS!$B$5:$B$1005="SALDO INICIAL")*(MOVIMIENTOS!$C$5:$C$1005="A")*(MOVIMIENTOS!$D$5:$D$1005="jabas")*(MOVIMIENTOS!$A$5:$A$1005&lt;&gt;"")*(MOVIMIENTOS!$A$5:$A$1005&lt;=$A259)*MOVIMIENTOS!$E$5:$E$1005)+SUMPRODUCT((MOVIMIENTOS!$B$5:$B$1005="PROCESO")*(MOVIMIENTOS!$C$5:$C$1005="A")*(MOVIMIENTOS!$D$5:$D$1005="jabas")*(MOVIMIENTOS!$A$5:$A$1005&lt;&gt;"")*(MOVIMIENTOS!$A$5:$A$1005&lt;=$A259)*MOVIMIENTOS!$E$5:$E$1005)-SUMPRODUCT((MOVIMIENTOS!$B$5:$B$1005="ENVÍO A SUPESA")*(MOVIMIENTOS!$C$5:$C$1005="A")*(MOVIMIENTOS!$D$5:$D$1005="jabas")*(MOVIMIENTOS!$A$5:$A$1005&lt;&gt;"")*(MOVIMIENTOS!$A$5:$A$1005&lt;=$A259)*MOVIMIENTOS!$E$5:$E$1005)+SUMPRODUCT((MOVIMIENTOS!$B$5:$B$1005="DEVOLUCIÓN")*(MOVIMIENTOS!$C$5:$C$1005="A")*(MOVIMIENTOS!$D$5:$D$1005="jabas")*(MOVIMIENTOS!$A$5:$A$1005&lt;&gt;"")*(MOVIMIENTOS!$A$5:$A$1005&lt;=$A259)*MOVIMIENTOS!$E$5:$E$1005)-SUMPRODUCT((MOVIMIENTOS!$B$5:$B$1005="TRASIEGO")*(MOVIMIENTOS!$C$5:$C$1005="A")*(MOVIMIENTOS!$D$5:$D$1005="jabas")*(MOVIMIENTOS!$A$5:$A$1005&lt;&gt;"")*(MOVIMIENTOS!$A$5:$A$1005&lt;=$A259)*MOVIMIENTOS!$E$5:$E$1005)-SUMPRODUCT((MOVIMIENTOS!$B$5:$B$1005="REGALO")*(MOVIMIENTOS!$C$5:$C$1005="A")*(MOVIMIENTOS!$D$5:$D$1005="jabas")*(MOVIMIENTOS!$A$5:$A$1005&lt;&gt;"")*(MOVIMIENTOS!$A$5:$A$1005&lt;=$A259)*MOVIMIENTOS!$E$5:$E$1005)-SUMPRODUCT((MOVIMIENTOS!$B$5:$B$1005="VENTA")*(MOVIMIENTOS!$C$5:$C$1005="A")*(MOVIMIENTOS!$D$5:$D$1005="jabas")*(MOVIMIENTOS!$A$5:$A$1005&lt;&gt;"")*(MOVIMIENTOS!$A$5:$A$1005&lt;=$A259)*MOVIMIENTOS!$E$5:$E$1005)+SUMPRODUCT((MOVIMIENTOS!$B$5:$B$1005="AJUSTE")*(MOVIMIENTOS!$C$5:$C$1005="A")*(MOVIMIENTOS!$D$5:$D$1005="jabas")*(MOVIMIENTOS!$A$5:$A$1005&lt;&gt;"")*(MOVIMIENTOS!$A$5:$A$1005&lt;=$A259)*MOVIMIENTOS!$E$5:$E$1005))</f>
        <v/>
      </c>
      <c r="C259" s="63" t="str">
        <f>IF($A259="","",SUMPRODUCT((MOVIMIENTOS!$B$5:$B$1005="SALDO INICIAL")*(MOVIMIENTOS!$C$5:$C$1005="P")*(MOVIMIENTOS!$D$5:$D$1005="jabas")*(MOVIMIENTOS!$A$5:$A$1005&lt;&gt;"")*(MOVIMIENTOS!$A$5:$A$1005&lt;=$A259)*MOVIMIENTOS!$E$5:$E$1005)+SUMPRODUCT((MOVIMIENTOS!$B$5:$B$1005="PROCESO")*(MOVIMIENTOS!$C$5:$C$1005="P")*(MOVIMIENTOS!$D$5:$D$1005="jabas")*(MOVIMIENTOS!$A$5:$A$1005&lt;&gt;"")*(MOVIMIENTOS!$A$5:$A$1005&lt;=$A259)*MOVIMIENTOS!$E$5:$E$1005)-SUMPRODUCT((MOVIMIENTOS!$B$5:$B$1005="ENVÍO A SUPESA")*(MOVIMIENTOS!$C$5:$C$1005="P")*(MOVIMIENTOS!$D$5:$D$1005="jabas")*(MOVIMIENTOS!$A$5:$A$1005&lt;&gt;"")*(MOVIMIENTOS!$A$5:$A$1005&lt;=$A259)*MOVIMIENTOS!$E$5:$E$1005)+SUMPRODUCT((MOVIMIENTOS!$B$5:$B$1005="DEVOLUCIÓN")*(MOVIMIENTOS!$C$5:$C$1005="P")*(MOVIMIENTOS!$D$5:$D$1005="jabas")*(MOVIMIENTOS!$A$5:$A$1005&lt;&gt;"")*(MOVIMIENTOS!$A$5:$A$1005&lt;=$A259)*MOVIMIENTOS!$E$5:$E$1005)-SUMPRODUCT((MOVIMIENTOS!$B$5:$B$1005="TRASIEGO")*(MOVIMIENTOS!$C$5:$C$1005="P")*(MOVIMIENTOS!$D$5:$D$1005="jabas")*(MOVIMIENTOS!$A$5:$A$1005&lt;&gt;"")*(MOVIMIENTOS!$A$5:$A$1005&lt;=$A259)*MOVIMIENTOS!$E$5:$E$1005)-SUMPRODUCT((MOVIMIENTOS!$B$5:$B$1005="REGALO")*(MOVIMIENTOS!$C$5:$C$1005="P")*(MOVIMIENTOS!$D$5:$D$1005="jabas")*(MOVIMIENTOS!$A$5:$A$1005&lt;&gt;"")*(MOVIMIENTOS!$A$5:$A$1005&lt;=$A259)*MOVIMIENTOS!$E$5:$E$1005)-SUMPRODUCT((MOVIMIENTOS!$B$5:$B$1005="VENTA")*(MOVIMIENTOS!$C$5:$C$1005="P")*(MOVIMIENTOS!$D$5:$D$1005="jabas")*(MOVIMIENTOS!$A$5:$A$1005&lt;&gt;"")*(MOVIMIENTOS!$A$5:$A$1005&lt;=$A259)*MOVIMIENTOS!$E$5:$E$1005)+SUMPRODUCT((MOVIMIENTOS!$B$5:$B$1005="AJUSTE")*(MOVIMIENTOS!$C$5:$C$1005="P")*(MOVIMIENTOS!$D$5:$D$1005="jabas")*(MOVIMIENTOS!$A$5:$A$1005&lt;&gt;"")*(MOVIMIENTOS!$A$5:$A$1005&lt;=$A259)*MOVIMIENTOS!$E$5:$E$1005))</f>
        <v/>
      </c>
      <c r="D259" s="63" t="str">
        <f>IF($A259="","",SUMPRODUCT((MOVIMIENTOS!$B$5:$B$1005="SALDO INICIAL")*(MOVIMIENTOS!$C$5:$C$1005="C")*(MOVIMIENTOS!$D$5:$D$1005="jabas")*(MOVIMIENTOS!$A$5:$A$1005&lt;&gt;"")*(MOVIMIENTOS!$A$5:$A$1005&lt;=$A259)*MOVIMIENTOS!$E$5:$E$1005)+SUMPRODUCT((MOVIMIENTOS!$B$5:$B$1005="PROCESO")*(MOVIMIENTOS!$C$5:$C$1005="C")*(MOVIMIENTOS!$D$5:$D$1005="jabas")*(MOVIMIENTOS!$A$5:$A$1005&lt;&gt;"")*(MOVIMIENTOS!$A$5:$A$1005&lt;=$A259)*MOVIMIENTOS!$E$5:$E$1005)-SUMPRODUCT((MOVIMIENTOS!$B$5:$B$1005="ENVÍO A SUPESA")*(MOVIMIENTOS!$C$5:$C$1005="C")*(MOVIMIENTOS!$D$5:$D$1005="jabas")*(MOVIMIENTOS!$A$5:$A$1005&lt;&gt;"")*(MOVIMIENTOS!$A$5:$A$1005&lt;=$A259)*MOVIMIENTOS!$E$5:$E$1005)+SUMPRODUCT((MOVIMIENTOS!$B$5:$B$1005="DEVOLUCIÓN")*(MOVIMIENTOS!$C$5:$C$1005="C")*(MOVIMIENTOS!$D$5:$D$1005="jabas")*(MOVIMIENTOS!$A$5:$A$1005&lt;&gt;"")*(MOVIMIENTOS!$A$5:$A$1005&lt;=$A259)*MOVIMIENTOS!$E$5:$E$1005)-SUMPRODUCT((MOVIMIENTOS!$B$5:$B$1005="TRASIEGO")*(MOVIMIENTOS!$C$5:$C$1005="C")*(MOVIMIENTOS!$D$5:$D$1005="jabas")*(MOVIMIENTOS!$A$5:$A$1005&lt;&gt;"")*(MOVIMIENTOS!$A$5:$A$1005&lt;=$A259)*MOVIMIENTOS!$E$5:$E$1005)-SUMPRODUCT((MOVIMIENTOS!$B$5:$B$1005="REGALO")*(MOVIMIENTOS!$C$5:$C$1005="C")*(MOVIMIENTOS!$D$5:$D$1005="jabas")*(MOVIMIENTOS!$A$5:$A$1005&lt;&gt;"")*(MOVIMIENTOS!$A$5:$A$1005&lt;=$A259)*MOVIMIENTOS!$E$5:$E$1005)-SUMPRODUCT((MOVIMIENTOS!$B$5:$B$1005="VENTA")*(MOVIMIENTOS!$C$5:$C$1005="C")*(MOVIMIENTOS!$D$5:$D$1005="jabas")*(MOVIMIENTOS!$A$5:$A$1005&lt;&gt;"")*(MOVIMIENTOS!$A$5:$A$1005&lt;=$A259)*MOVIMIENTOS!$E$5:$E$1005)+SUMPRODUCT((MOVIMIENTOS!$B$5:$B$1005="AJUSTE")*(MOVIMIENTOS!$C$5:$C$1005="C")*(MOVIMIENTOS!$D$5:$D$1005="jabas")*(MOVIMIENTOS!$A$5:$A$1005&lt;&gt;"")*(MOVIMIENTOS!$A$5:$A$1005&lt;=$A259)*MOVIMIENTOS!$E$5:$E$1005))</f>
        <v/>
      </c>
      <c r="E259" s="63" t="str">
        <f>IF($A259="","",SUMPRODUCT((MOVIMIENTOS!$B$5:$B$1005="SALDO INICIAL")*(MOVIMIENTOS!$C$5:$C$1005="M")*(MOVIMIENTOS!$D$5:$D$1005="jabas")*(MOVIMIENTOS!$A$5:$A$1005&lt;&gt;"")*(MOVIMIENTOS!$A$5:$A$1005&lt;=$A259)*MOVIMIENTOS!$E$5:$E$1005)+SUMPRODUCT((MOVIMIENTOS!$B$5:$B$1005="PROCESO")*(MOVIMIENTOS!$C$5:$C$1005="M")*(MOVIMIENTOS!$D$5:$D$1005="jabas")*(MOVIMIENTOS!$A$5:$A$1005&lt;&gt;"")*(MOVIMIENTOS!$A$5:$A$1005&lt;=$A259)*MOVIMIENTOS!$E$5:$E$1005)-SUMPRODUCT((MOVIMIENTOS!$B$5:$B$1005="ENVÍO A SUPESA")*(MOVIMIENTOS!$C$5:$C$1005="M")*(MOVIMIENTOS!$D$5:$D$1005="jabas")*(MOVIMIENTOS!$A$5:$A$1005&lt;&gt;"")*(MOVIMIENTOS!$A$5:$A$1005&lt;=$A259)*MOVIMIENTOS!$E$5:$E$1005)+SUMPRODUCT((MOVIMIENTOS!$B$5:$B$1005="DEVOLUCIÓN")*(MOVIMIENTOS!$C$5:$C$1005="M")*(MOVIMIENTOS!$D$5:$D$1005="jabas")*(MOVIMIENTOS!$A$5:$A$1005&lt;&gt;"")*(MOVIMIENTOS!$A$5:$A$1005&lt;=$A259)*MOVIMIENTOS!$E$5:$E$1005)-SUMPRODUCT((MOVIMIENTOS!$B$5:$B$1005="TRASIEGO")*(MOVIMIENTOS!$C$5:$C$1005="M")*(MOVIMIENTOS!$D$5:$D$1005="jabas")*(MOVIMIENTOS!$A$5:$A$1005&lt;&gt;"")*(MOVIMIENTOS!$A$5:$A$1005&lt;=$A259)*MOVIMIENTOS!$E$5:$E$1005)-SUMPRODUCT((MOVIMIENTOS!$B$5:$B$1005="REGALO")*(MOVIMIENTOS!$C$5:$C$1005="M")*(MOVIMIENTOS!$D$5:$D$1005="jabas")*(MOVIMIENTOS!$A$5:$A$1005&lt;&gt;"")*(MOVIMIENTOS!$A$5:$A$1005&lt;=$A259)*MOVIMIENTOS!$E$5:$E$1005)-SUMPRODUCT((MOVIMIENTOS!$B$5:$B$1005="VENTA")*(MOVIMIENTOS!$C$5:$C$1005="M")*(MOVIMIENTOS!$D$5:$D$1005="jabas")*(MOVIMIENTOS!$A$5:$A$1005&lt;&gt;"")*(MOVIMIENTOS!$A$5:$A$1005&lt;=$A259)*MOVIMIENTOS!$E$5:$E$1005)+SUMPRODUCT((MOVIMIENTOS!$B$5:$B$1005="AJUSTE")*(MOVIMIENTOS!$C$5:$C$1005="M")*(MOVIMIENTOS!$D$5:$D$1005="jabas")*(MOVIMIENTOS!$A$5:$A$1005&lt;&gt;"")*(MOVIMIENTOS!$A$5:$A$1005&lt;=$A259)*MOVIMIENTOS!$E$5:$E$1005))</f>
        <v/>
      </c>
      <c r="F259" s="63" t="str">
        <f>IF($A259="","",SUMPRODUCT((MOVIMIENTOS!$B$5:$B$1005="SALDO INICIAL")*(MOVIMIENTOS!$C$5:$C$1005="Chancho")*(MOVIMIENTOS!$D$5:$D$1005="sacos")*(MOVIMIENTOS!$A$5:$A$1005&lt;&gt;"")*(MOVIMIENTOS!$A$5:$A$1005&lt;=$A259)*MOVIMIENTOS!$E$5:$E$1005)+SUMPRODUCT((MOVIMIENTOS!$B$5:$B$1005="PROCESO")*(MOVIMIENTOS!$C$5:$C$1005="Chancho")*(MOVIMIENTOS!$D$5:$D$1005="sacos")*(MOVIMIENTOS!$A$5:$A$1005&lt;&gt;"")*(MOVIMIENTOS!$A$5:$A$1005&lt;=$A259)*MOVIMIENTOS!$E$5:$E$1005)-SUMPRODUCT((MOVIMIENTOS!$B$5:$B$1005="VENTA CHANCHO")*(MOVIMIENTOS!$C$5:$C$1005="Chancho")*(MOVIMIENTOS!$D$5:$D$1005="sacos")*(MOVIMIENTOS!$A$5:$A$1005&lt;&gt;"")*(MOVIMIENTOS!$A$5:$A$1005&lt;=$A259)*MOVIMIENTOS!$E$5:$E$1005)-SUMPRODUCT((MOVIMIENTOS!$B$5:$B$1005="REGALO")*(MOVIMIENTOS!$C$5:$C$1005="Chancho")*(MOVIMIENTOS!$D$5:$D$1005="sacos")*(MOVIMIENTOS!$A$5:$A$1005&lt;&gt;"")*(MOVIMIENTOS!$A$5:$A$1005&lt;=$A259)*MOVIMIENTOS!$E$5:$E$1005)-SUMPRODUCT((MOVIMIENTOS!$B$5:$B$1005="VENTA")*(MOVIMIENTOS!$C$5:$C$1005="Chancho")*(MOVIMIENTOS!$D$5:$D$1005="sacos")*(MOVIMIENTOS!$A$5:$A$1005&lt;&gt;"")*(MOVIMIENTOS!$A$5:$A$1005&lt;=$A259)*MOVIMIENTOS!$E$5:$E$1005)+SUMPRODUCT((MOVIMIENTOS!$B$5:$B$1005="AJUSTE")*(MOVIMIENTOS!$C$5:$C$1005="Chancho")*(MOVIMIENTOS!$D$5:$D$1005="sacos")*(MOVIMIENTOS!$A$5:$A$1005&lt;&gt;"")*(MOVIMIENTOS!$A$5:$A$1005&lt;=$A259)*MOVIMIENTOS!$E$5:$E$1005))</f>
        <v/>
      </c>
      <c r="G259" s="95" t="str">
        <f t="shared" si="7"/>
        <v/>
      </c>
      <c r="H259" s="63" t="str">
        <f>IF($A259="","",SUMPRODUCT((((MOVIMIENTOS!$B$5:$B$1005="SALDO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259)*MOVIMIENTOS!$J$5:$J$1005))</f>
        <v/>
      </c>
      <c r="I259" s="63"/>
      <c r="J259" s="63" t="str">
        <f>IF(AND(MOVIMIENTOS!$A259&lt;&gt;"",COUNTIF(MOVIMIENTOS!$A$5:$A258,MOVIMIENTOS!$A259)=0),COUNT(J$4:J258)+1,"")</f>
        <v/>
      </c>
      <c r="K259" s="66">
        <f>MOVIMIENTOS!$A259</f>
        <v>46236</v>
      </c>
      <c r="L259" s="63"/>
      <c r="M259" s="63"/>
      <c r="N259" s="63"/>
    </row>
    <row r="260" spans="1:14" ht="15" customHeight="1" x14ac:dyDescent="0.2">
      <c r="A260" s="63" t="str">
        <f t="shared" si="6"/>
        <v/>
      </c>
      <c r="B260" s="63" t="str">
        <f>IF($A260="","",SUMPRODUCT((MOVIMIENTOS!$B$5:$B$1005="SALDO INICIAL")*(MOVIMIENTOS!$C$5:$C$1005="A")*(MOVIMIENTOS!$D$5:$D$1005="jabas")*(MOVIMIENTOS!$A$5:$A$1005&lt;&gt;"")*(MOVIMIENTOS!$A$5:$A$1005&lt;=$A260)*MOVIMIENTOS!$E$5:$E$1005)+SUMPRODUCT((MOVIMIENTOS!$B$5:$B$1005="PROCESO")*(MOVIMIENTOS!$C$5:$C$1005="A")*(MOVIMIENTOS!$D$5:$D$1005="jabas")*(MOVIMIENTOS!$A$5:$A$1005&lt;&gt;"")*(MOVIMIENTOS!$A$5:$A$1005&lt;=$A260)*MOVIMIENTOS!$E$5:$E$1005)-SUMPRODUCT((MOVIMIENTOS!$B$5:$B$1005="ENVÍO A SUPESA")*(MOVIMIENTOS!$C$5:$C$1005="A")*(MOVIMIENTOS!$D$5:$D$1005="jabas")*(MOVIMIENTOS!$A$5:$A$1005&lt;&gt;"")*(MOVIMIENTOS!$A$5:$A$1005&lt;=$A260)*MOVIMIENTOS!$E$5:$E$1005)+SUMPRODUCT((MOVIMIENTOS!$B$5:$B$1005="DEVOLUCIÓN")*(MOVIMIENTOS!$C$5:$C$1005="A")*(MOVIMIENTOS!$D$5:$D$1005="jabas")*(MOVIMIENTOS!$A$5:$A$1005&lt;&gt;"")*(MOVIMIENTOS!$A$5:$A$1005&lt;=$A260)*MOVIMIENTOS!$E$5:$E$1005)-SUMPRODUCT((MOVIMIENTOS!$B$5:$B$1005="TRASIEGO")*(MOVIMIENTOS!$C$5:$C$1005="A")*(MOVIMIENTOS!$D$5:$D$1005="jabas")*(MOVIMIENTOS!$A$5:$A$1005&lt;&gt;"")*(MOVIMIENTOS!$A$5:$A$1005&lt;=$A260)*MOVIMIENTOS!$E$5:$E$1005)-SUMPRODUCT((MOVIMIENTOS!$B$5:$B$1005="REGALO")*(MOVIMIENTOS!$C$5:$C$1005="A")*(MOVIMIENTOS!$D$5:$D$1005="jabas")*(MOVIMIENTOS!$A$5:$A$1005&lt;&gt;"")*(MOVIMIENTOS!$A$5:$A$1005&lt;=$A260)*MOVIMIENTOS!$E$5:$E$1005)-SUMPRODUCT((MOVIMIENTOS!$B$5:$B$1005="VENTA")*(MOVIMIENTOS!$C$5:$C$1005="A")*(MOVIMIENTOS!$D$5:$D$1005="jabas")*(MOVIMIENTOS!$A$5:$A$1005&lt;&gt;"")*(MOVIMIENTOS!$A$5:$A$1005&lt;=$A260)*MOVIMIENTOS!$E$5:$E$1005)+SUMPRODUCT((MOVIMIENTOS!$B$5:$B$1005="AJUSTE")*(MOVIMIENTOS!$C$5:$C$1005="A")*(MOVIMIENTOS!$D$5:$D$1005="jabas")*(MOVIMIENTOS!$A$5:$A$1005&lt;&gt;"")*(MOVIMIENTOS!$A$5:$A$1005&lt;=$A260)*MOVIMIENTOS!$E$5:$E$1005))</f>
        <v/>
      </c>
      <c r="C260" s="63" t="str">
        <f>IF($A260="","",SUMPRODUCT((MOVIMIENTOS!$B$5:$B$1005="SALDO INICIAL")*(MOVIMIENTOS!$C$5:$C$1005="P")*(MOVIMIENTOS!$D$5:$D$1005="jabas")*(MOVIMIENTOS!$A$5:$A$1005&lt;&gt;"")*(MOVIMIENTOS!$A$5:$A$1005&lt;=$A260)*MOVIMIENTOS!$E$5:$E$1005)+SUMPRODUCT((MOVIMIENTOS!$B$5:$B$1005="PROCESO")*(MOVIMIENTOS!$C$5:$C$1005="P")*(MOVIMIENTOS!$D$5:$D$1005="jabas")*(MOVIMIENTOS!$A$5:$A$1005&lt;&gt;"")*(MOVIMIENTOS!$A$5:$A$1005&lt;=$A260)*MOVIMIENTOS!$E$5:$E$1005)-SUMPRODUCT((MOVIMIENTOS!$B$5:$B$1005="ENVÍO A SUPESA")*(MOVIMIENTOS!$C$5:$C$1005="P")*(MOVIMIENTOS!$D$5:$D$1005="jabas")*(MOVIMIENTOS!$A$5:$A$1005&lt;&gt;"")*(MOVIMIENTOS!$A$5:$A$1005&lt;=$A260)*MOVIMIENTOS!$E$5:$E$1005)+SUMPRODUCT((MOVIMIENTOS!$B$5:$B$1005="DEVOLUCIÓN")*(MOVIMIENTOS!$C$5:$C$1005="P")*(MOVIMIENTOS!$D$5:$D$1005="jabas")*(MOVIMIENTOS!$A$5:$A$1005&lt;&gt;"")*(MOVIMIENTOS!$A$5:$A$1005&lt;=$A260)*MOVIMIENTOS!$E$5:$E$1005)-SUMPRODUCT((MOVIMIENTOS!$B$5:$B$1005="TRASIEGO")*(MOVIMIENTOS!$C$5:$C$1005="P")*(MOVIMIENTOS!$D$5:$D$1005="jabas")*(MOVIMIENTOS!$A$5:$A$1005&lt;&gt;"")*(MOVIMIENTOS!$A$5:$A$1005&lt;=$A260)*MOVIMIENTOS!$E$5:$E$1005)-SUMPRODUCT((MOVIMIENTOS!$B$5:$B$1005="REGALO")*(MOVIMIENTOS!$C$5:$C$1005="P")*(MOVIMIENTOS!$D$5:$D$1005="jabas")*(MOVIMIENTOS!$A$5:$A$1005&lt;&gt;"")*(MOVIMIENTOS!$A$5:$A$1005&lt;=$A260)*MOVIMIENTOS!$E$5:$E$1005)-SUMPRODUCT((MOVIMIENTOS!$B$5:$B$1005="VENTA")*(MOVIMIENTOS!$C$5:$C$1005="P")*(MOVIMIENTOS!$D$5:$D$1005="jabas")*(MOVIMIENTOS!$A$5:$A$1005&lt;&gt;"")*(MOVIMIENTOS!$A$5:$A$1005&lt;=$A260)*MOVIMIENTOS!$E$5:$E$1005)+SUMPRODUCT((MOVIMIENTOS!$B$5:$B$1005="AJUSTE")*(MOVIMIENTOS!$C$5:$C$1005="P")*(MOVIMIENTOS!$D$5:$D$1005="jabas")*(MOVIMIENTOS!$A$5:$A$1005&lt;&gt;"")*(MOVIMIENTOS!$A$5:$A$1005&lt;=$A260)*MOVIMIENTOS!$E$5:$E$1005))</f>
        <v/>
      </c>
      <c r="D260" s="63" t="str">
        <f>IF($A260="","",SUMPRODUCT((MOVIMIENTOS!$B$5:$B$1005="SALDO INICIAL")*(MOVIMIENTOS!$C$5:$C$1005="C")*(MOVIMIENTOS!$D$5:$D$1005="jabas")*(MOVIMIENTOS!$A$5:$A$1005&lt;&gt;"")*(MOVIMIENTOS!$A$5:$A$1005&lt;=$A260)*MOVIMIENTOS!$E$5:$E$1005)+SUMPRODUCT((MOVIMIENTOS!$B$5:$B$1005="PROCESO")*(MOVIMIENTOS!$C$5:$C$1005="C")*(MOVIMIENTOS!$D$5:$D$1005="jabas")*(MOVIMIENTOS!$A$5:$A$1005&lt;&gt;"")*(MOVIMIENTOS!$A$5:$A$1005&lt;=$A260)*MOVIMIENTOS!$E$5:$E$1005)-SUMPRODUCT((MOVIMIENTOS!$B$5:$B$1005="ENVÍO A SUPESA")*(MOVIMIENTOS!$C$5:$C$1005="C")*(MOVIMIENTOS!$D$5:$D$1005="jabas")*(MOVIMIENTOS!$A$5:$A$1005&lt;&gt;"")*(MOVIMIENTOS!$A$5:$A$1005&lt;=$A260)*MOVIMIENTOS!$E$5:$E$1005)+SUMPRODUCT((MOVIMIENTOS!$B$5:$B$1005="DEVOLUCIÓN")*(MOVIMIENTOS!$C$5:$C$1005="C")*(MOVIMIENTOS!$D$5:$D$1005="jabas")*(MOVIMIENTOS!$A$5:$A$1005&lt;&gt;"")*(MOVIMIENTOS!$A$5:$A$1005&lt;=$A260)*MOVIMIENTOS!$E$5:$E$1005)-SUMPRODUCT((MOVIMIENTOS!$B$5:$B$1005="TRASIEGO")*(MOVIMIENTOS!$C$5:$C$1005="C")*(MOVIMIENTOS!$D$5:$D$1005="jabas")*(MOVIMIENTOS!$A$5:$A$1005&lt;&gt;"")*(MOVIMIENTOS!$A$5:$A$1005&lt;=$A260)*MOVIMIENTOS!$E$5:$E$1005)-SUMPRODUCT((MOVIMIENTOS!$B$5:$B$1005="REGALO")*(MOVIMIENTOS!$C$5:$C$1005="C")*(MOVIMIENTOS!$D$5:$D$1005="jabas")*(MOVIMIENTOS!$A$5:$A$1005&lt;&gt;"")*(MOVIMIENTOS!$A$5:$A$1005&lt;=$A260)*MOVIMIENTOS!$E$5:$E$1005)-SUMPRODUCT((MOVIMIENTOS!$B$5:$B$1005="VENTA")*(MOVIMIENTOS!$C$5:$C$1005="C")*(MOVIMIENTOS!$D$5:$D$1005="jabas")*(MOVIMIENTOS!$A$5:$A$1005&lt;&gt;"")*(MOVIMIENTOS!$A$5:$A$1005&lt;=$A260)*MOVIMIENTOS!$E$5:$E$1005)+SUMPRODUCT((MOVIMIENTOS!$B$5:$B$1005="AJUSTE")*(MOVIMIENTOS!$C$5:$C$1005="C")*(MOVIMIENTOS!$D$5:$D$1005="jabas")*(MOVIMIENTOS!$A$5:$A$1005&lt;&gt;"")*(MOVIMIENTOS!$A$5:$A$1005&lt;=$A260)*MOVIMIENTOS!$E$5:$E$1005))</f>
        <v/>
      </c>
      <c r="E260" s="63" t="str">
        <f>IF($A260="","",SUMPRODUCT((MOVIMIENTOS!$B$5:$B$1005="SALDO INICIAL")*(MOVIMIENTOS!$C$5:$C$1005="M")*(MOVIMIENTOS!$D$5:$D$1005="jabas")*(MOVIMIENTOS!$A$5:$A$1005&lt;&gt;"")*(MOVIMIENTOS!$A$5:$A$1005&lt;=$A260)*MOVIMIENTOS!$E$5:$E$1005)+SUMPRODUCT((MOVIMIENTOS!$B$5:$B$1005="PROCESO")*(MOVIMIENTOS!$C$5:$C$1005="M")*(MOVIMIENTOS!$D$5:$D$1005="jabas")*(MOVIMIENTOS!$A$5:$A$1005&lt;&gt;"")*(MOVIMIENTOS!$A$5:$A$1005&lt;=$A260)*MOVIMIENTOS!$E$5:$E$1005)-SUMPRODUCT((MOVIMIENTOS!$B$5:$B$1005="ENVÍO A SUPESA")*(MOVIMIENTOS!$C$5:$C$1005="M")*(MOVIMIENTOS!$D$5:$D$1005="jabas")*(MOVIMIENTOS!$A$5:$A$1005&lt;&gt;"")*(MOVIMIENTOS!$A$5:$A$1005&lt;=$A260)*MOVIMIENTOS!$E$5:$E$1005)+SUMPRODUCT((MOVIMIENTOS!$B$5:$B$1005="DEVOLUCIÓN")*(MOVIMIENTOS!$C$5:$C$1005="M")*(MOVIMIENTOS!$D$5:$D$1005="jabas")*(MOVIMIENTOS!$A$5:$A$1005&lt;&gt;"")*(MOVIMIENTOS!$A$5:$A$1005&lt;=$A260)*MOVIMIENTOS!$E$5:$E$1005)-SUMPRODUCT((MOVIMIENTOS!$B$5:$B$1005="TRASIEGO")*(MOVIMIENTOS!$C$5:$C$1005="M")*(MOVIMIENTOS!$D$5:$D$1005="jabas")*(MOVIMIENTOS!$A$5:$A$1005&lt;&gt;"")*(MOVIMIENTOS!$A$5:$A$1005&lt;=$A260)*MOVIMIENTOS!$E$5:$E$1005)-SUMPRODUCT((MOVIMIENTOS!$B$5:$B$1005="REGALO")*(MOVIMIENTOS!$C$5:$C$1005="M")*(MOVIMIENTOS!$D$5:$D$1005="jabas")*(MOVIMIENTOS!$A$5:$A$1005&lt;&gt;"")*(MOVIMIENTOS!$A$5:$A$1005&lt;=$A260)*MOVIMIENTOS!$E$5:$E$1005)-SUMPRODUCT((MOVIMIENTOS!$B$5:$B$1005="VENTA")*(MOVIMIENTOS!$C$5:$C$1005="M")*(MOVIMIENTOS!$D$5:$D$1005="jabas")*(MOVIMIENTOS!$A$5:$A$1005&lt;&gt;"")*(MOVIMIENTOS!$A$5:$A$1005&lt;=$A260)*MOVIMIENTOS!$E$5:$E$1005)+SUMPRODUCT((MOVIMIENTOS!$B$5:$B$1005="AJUSTE")*(MOVIMIENTOS!$C$5:$C$1005="M")*(MOVIMIENTOS!$D$5:$D$1005="jabas")*(MOVIMIENTOS!$A$5:$A$1005&lt;&gt;"")*(MOVIMIENTOS!$A$5:$A$1005&lt;=$A260)*MOVIMIENTOS!$E$5:$E$1005))</f>
        <v/>
      </c>
      <c r="F260" s="63" t="str">
        <f>IF($A260="","",SUMPRODUCT((MOVIMIENTOS!$B$5:$B$1005="SALDO INICIAL")*(MOVIMIENTOS!$C$5:$C$1005="Chancho")*(MOVIMIENTOS!$D$5:$D$1005="sacos")*(MOVIMIENTOS!$A$5:$A$1005&lt;&gt;"")*(MOVIMIENTOS!$A$5:$A$1005&lt;=$A260)*MOVIMIENTOS!$E$5:$E$1005)+SUMPRODUCT((MOVIMIENTOS!$B$5:$B$1005="PROCESO")*(MOVIMIENTOS!$C$5:$C$1005="Chancho")*(MOVIMIENTOS!$D$5:$D$1005="sacos")*(MOVIMIENTOS!$A$5:$A$1005&lt;&gt;"")*(MOVIMIENTOS!$A$5:$A$1005&lt;=$A260)*MOVIMIENTOS!$E$5:$E$1005)-SUMPRODUCT((MOVIMIENTOS!$B$5:$B$1005="VENTA CHANCHO")*(MOVIMIENTOS!$C$5:$C$1005="Chancho")*(MOVIMIENTOS!$D$5:$D$1005="sacos")*(MOVIMIENTOS!$A$5:$A$1005&lt;&gt;"")*(MOVIMIENTOS!$A$5:$A$1005&lt;=$A260)*MOVIMIENTOS!$E$5:$E$1005)-SUMPRODUCT((MOVIMIENTOS!$B$5:$B$1005="REGALO")*(MOVIMIENTOS!$C$5:$C$1005="Chancho")*(MOVIMIENTOS!$D$5:$D$1005="sacos")*(MOVIMIENTOS!$A$5:$A$1005&lt;&gt;"")*(MOVIMIENTOS!$A$5:$A$1005&lt;=$A260)*MOVIMIENTOS!$E$5:$E$1005)-SUMPRODUCT((MOVIMIENTOS!$B$5:$B$1005="VENTA")*(MOVIMIENTOS!$C$5:$C$1005="Chancho")*(MOVIMIENTOS!$D$5:$D$1005="sacos")*(MOVIMIENTOS!$A$5:$A$1005&lt;&gt;"")*(MOVIMIENTOS!$A$5:$A$1005&lt;=$A260)*MOVIMIENTOS!$E$5:$E$1005)+SUMPRODUCT((MOVIMIENTOS!$B$5:$B$1005="AJUSTE")*(MOVIMIENTOS!$C$5:$C$1005="Chancho")*(MOVIMIENTOS!$D$5:$D$1005="sacos")*(MOVIMIENTOS!$A$5:$A$1005&lt;&gt;"")*(MOVIMIENTOS!$A$5:$A$1005&lt;=$A260)*MOVIMIENTOS!$E$5:$E$1005))</f>
        <v/>
      </c>
      <c r="G260" s="95" t="str">
        <f t="shared" si="7"/>
        <v/>
      </c>
      <c r="H260" s="63" t="str">
        <f>IF($A260="","",SUMPRODUCT((((MOVIMIENTOS!$B$5:$B$1005="SALDO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260)*MOVIMIENTOS!$J$5:$J$1005))</f>
        <v/>
      </c>
      <c r="I260" s="63"/>
      <c r="J260" s="63" t="str">
        <f>IF(AND(MOVIMIENTOS!$A260&lt;&gt;"",COUNTIF(MOVIMIENTOS!$A$5:$A259,MOVIMIENTOS!$A260)=0),COUNT(J$4:J259)+1,"")</f>
        <v/>
      </c>
      <c r="K260" s="66">
        <f>MOVIMIENTOS!$A260</f>
        <v>46236</v>
      </c>
      <c r="L260" s="63"/>
      <c r="M260" s="63"/>
      <c r="N260" s="63"/>
    </row>
    <row r="261" spans="1:14" ht="15" customHeight="1" x14ac:dyDescent="0.2">
      <c r="A261" s="63" t="str">
        <f t="shared" ref="A261:A324" si="8">IFERROR(INDEX(K$5:K$1000,MATCH(ROW()-4,J$5:J$1000,0)),"")</f>
        <v/>
      </c>
      <c r="B261" s="63" t="str">
        <f>IF($A261="","",SUMPRODUCT((MOVIMIENTOS!$B$5:$B$1005="SALDO INICIAL")*(MOVIMIENTOS!$C$5:$C$1005="A")*(MOVIMIENTOS!$D$5:$D$1005="jabas")*(MOVIMIENTOS!$A$5:$A$1005&lt;&gt;"")*(MOVIMIENTOS!$A$5:$A$1005&lt;=$A261)*MOVIMIENTOS!$E$5:$E$1005)+SUMPRODUCT((MOVIMIENTOS!$B$5:$B$1005="PROCESO")*(MOVIMIENTOS!$C$5:$C$1005="A")*(MOVIMIENTOS!$D$5:$D$1005="jabas")*(MOVIMIENTOS!$A$5:$A$1005&lt;&gt;"")*(MOVIMIENTOS!$A$5:$A$1005&lt;=$A261)*MOVIMIENTOS!$E$5:$E$1005)-SUMPRODUCT((MOVIMIENTOS!$B$5:$B$1005="ENVÍO A SUPESA")*(MOVIMIENTOS!$C$5:$C$1005="A")*(MOVIMIENTOS!$D$5:$D$1005="jabas")*(MOVIMIENTOS!$A$5:$A$1005&lt;&gt;"")*(MOVIMIENTOS!$A$5:$A$1005&lt;=$A261)*MOVIMIENTOS!$E$5:$E$1005)+SUMPRODUCT((MOVIMIENTOS!$B$5:$B$1005="DEVOLUCIÓN")*(MOVIMIENTOS!$C$5:$C$1005="A")*(MOVIMIENTOS!$D$5:$D$1005="jabas")*(MOVIMIENTOS!$A$5:$A$1005&lt;&gt;"")*(MOVIMIENTOS!$A$5:$A$1005&lt;=$A261)*MOVIMIENTOS!$E$5:$E$1005)-SUMPRODUCT((MOVIMIENTOS!$B$5:$B$1005="TRASIEGO")*(MOVIMIENTOS!$C$5:$C$1005="A")*(MOVIMIENTOS!$D$5:$D$1005="jabas")*(MOVIMIENTOS!$A$5:$A$1005&lt;&gt;"")*(MOVIMIENTOS!$A$5:$A$1005&lt;=$A261)*MOVIMIENTOS!$E$5:$E$1005)-SUMPRODUCT((MOVIMIENTOS!$B$5:$B$1005="REGALO")*(MOVIMIENTOS!$C$5:$C$1005="A")*(MOVIMIENTOS!$D$5:$D$1005="jabas")*(MOVIMIENTOS!$A$5:$A$1005&lt;&gt;"")*(MOVIMIENTOS!$A$5:$A$1005&lt;=$A261)*MOVIMIENTOS!$E$5:$E$1005)-SUMPRODUCT((MOVIMIENTOS!$B$5:$B$1005="VENTA")*(MOVIMIENTOS!$C$5:$C$1005="A")*(MOVIMIENTOS!$D$5:$D$1005="jabas")*(MOVIMIENTOS!$A$5:$A$1005&lt;&gt;"")*(MOVIMIENTOS!$A$5:$A$1005&lt;=$A261)*MOVIMIENTOS!$E$5:$E$1005)+SUMPRODUCT((MOVIMIENTOS!$B$5:$B$1005="AJUSTE")*(MOVIMIENTOS!$C$5:$C$1005="A")*(MOVIMIENTOS!$D$5:$D$1005="jabas")*(MOVIMIENTOS!$A$5:$A$1005&lt;&gt;"")*(MOVIMIENTOS!$A$5:$A$1005&lt;=$A261)*MOVIMIENTOS!$E$5:$E$1005))</f>
        <v/>
      </c>
      <c r="C261" s="63" t="str">
        <f>IF($A261="","",SUMPRODUCT((MOVIMIENTOS!$B$5:$B$1005="SALDO INICIAL")*(MOVIMIENTOS!$C$5:$C$1005="P")*(MOVIMIENTOS!$D$5:$D$1005="jabas")*(MOVIMIENTOS!$A$5:$A$1005&lt;&gt;"")*(MOVIMIENTOS!$A$5:$A$1005&lt;=$A261)*MOVIMIENTOS!$E$5:$E$1005)+SUMPRODUCT((MOVIMIENTOS!$B$5:$B$1005="PROCESO")*(MOVIMIENTOS!$C$5:$C$1005="P")*(MOVIMIENTOS!$D$5:$D$1005="jabas")*(MOVIMIENTOS!$A$5:$A$1005&lt;&gt;"")*(MOVIMIENTOS!$A$5:$A$1005&lt;=$A261)*MOVIMIENTOS!$E$5:$E$1005)-SUMPRODUCT((MOVIMIENTOS!$B$5:$B$1005="ENVÍO A SUPESA")*(MOVIMIENTOS!$C$5:$C$1005="P")*(MOVIMIENTOS!$D$5:$D$1005="jabas")*(MOVIMIENTOS!$A$5:$A$1005&lt;&gt;"")*(MOVIMIENTOS!$A$5:$A$1005&lt;=$A261)*MOVIMIENTOS!$E$5:$E$1005)+SUMPRODUCT((MOVIMIENTOS!$B$5:$B$1005="DEVOLUCIÓN")*(MOVIMIENTOS!$C$5:$C$1005="P")*(MOVIMIENTOS!$D$5:$D$1005="jabas")*(MOVIMIENTOS!$A$5:$A$1005&lt;&gt;"")*(MOVIMIENTOS!$A$5:$A$1005&lt;=$A261)*MOVIMIENTOS!$E$5:$E$1005)-SUMPRODUCT((MOVIMIENTOS!$B$5:$B$1005="TRASIEGO")*(MOVIMIENTOS!$C$5:$C$1005="P")*(MOVIMIENTOS!$D$5:$D$1005="jabas")*(MOVIMIENTOS!$A$5:$A$1005&lt;&gt;"")*(MOVIMIENTOS!$A$5:$A$1005&lt;=$A261)*MOVIMIENTOS!$E$5:$E$1005)-SUMPRODUCT((MOVIMIENTOS!$B$5:$B$1005="REGALO")*(MOVIMIENTOS!$C$5:$C$1005="P")*(MOVIMIENTOS!$D$5:$D$1005="jabas")*(MOVIMIENTOS!$A$5:$A$1005&lt;&gt;"")*(MOVIMIENTOS!$A$5:$A$1005&lt;=$A261)*MOVIMIENTOS!$E$5:$E$1005)-SUMPRODUCT((MOVIMIENTOS!$B$5:$B$1005="VENTA")*(MOVIMIENTOS!$C$5:$C$1005="P")*(MOVIMIENTOS!$D$5:$D$1005="jabas")*(MOVIMIENTOS!$A$5:$A$1005&lt;&gt;"")*(MOVIMIENTOS!$A$5:$A$1005&lt;=$A261)*MOVIMIENTOS!$E$5:$E$1005)+SUMPRODUCT((MOVIMIENTOS!$B$5:$B$1005="AJUSTE")*(MOVIMIENTOS!$C$5:$C$1005="P")*(MOVIMIENTOS!$D$5:$D$1005="jabas")*(MOVIMIENTOS!$A$5:$A$1005&lt;&gt;"")*(MOVIMIENTOS!$A$5:$A$1005&lt;=$A261)*MOVIMIENTOS!$E$5:$E$1005))</f>
        <v/>
      </c>
      <c r="D261" s="63" t="str">
        <f>IF($A261="","",SUMPRODUCT((MOVIMIENTOS!$B$5:$B$1005="SALDO INICIAL")*(MOVIMIENTOS!$C$5:$C$1005="C")*(MOVIMIENTOS!$D$5:$D$1005="jabas")*(MOVIMIENTOS!$A$5:$A$1005&lt;&gt;"")*(MOVIMIENTOS!$A$5:$A$1005&lt;=$A261)*MOVIMIENTOS!$E$5:$E$1005)+SUMPRODUCT((MOVIMIENTOS!$B$5:$B$1005="PROCESO")*(MOVIMIENTOS!$C$5:$C$1005="C")*(MOVIMIENTOS!$D$5:$D$1005="jabas")*(MOVIMIENTOS!$A$5:$A$1005&lt;&gt;"")*(MOVIMIENTOS!$A$5:$A$1005&lt;=$A261)*MOVIMIENTOS!$E$5:$E$1005)-SUMPRODUCT((MOVIMIENTOS!$B$5:$B$1005="ENVÍO A SUPESA")*(MOVIMIENTOS!$C$5:$C$1005="C")*(MOVIMIENTOS!$D$5:$D$1005="jabas")*(MOVIMIENTOS!$A$5:$A$1005&lt;&gt;"")*(MOVIMIENTOS!$A$5:$A$1005&lt;=$A261)*MOVIMIENTOS!$E$5:$E$1005)+SUMPRODUCT((MOVIMIENTOS!$B$5:$B$1005="DEVOLUCIÓN")*(MOVIMIENTOS!$C$5:$C$1005="C")*(MOVIMIENTOS!$D$5:$D$1005="jabas")*(MOVIMIENTOS!$A$5:$A$1005&lt;&gt;"")*(MOVIMIENTOS!$A$5:$A$1005&lt;=$A261)*MOVIMIENTOS!$E$5:$E$1005)-SUMPRODUCT((MOVIMIENTOS!$B$5:$B$1005="TRASIEGO")*(MOVIMIENTOS!$C$5:$C$1005="C")*(MOVIMIENTOS!$D$5:$D$1005="jabas")*(MOVIMIENTOS!$A$5:$A$1005&lt;&gt;"")*(MOVIMIENTOS!$A$5:$A$1005&lt;=$A261)*MOVIMIENTOS!$E$5:$E$1005)-SUMPRODUCT((MOVIMIENTOS!$B$5:$B$1005="REGALO")*(MOVIMIENTOS!$C$5:$C$1005="C")*(MOVIMIENTOS!$D$5:$D$1005="jabas")*(MOVIMIENTOS!$A$5:$A$1005&lt;&gt;"")*(MOVIMIENTOS!$A$5:$A$1005&lt;=$A261)*MOVIMIENTOS!$E$5:$E$1005)-SUMPRODUCT((MOVIMIENTOS!$B$5:$B$1005="VENTA")*(MOVIMIENTOS!$C$5:$C$1005="C")*(MOVIMIENTOS!$D$5:$D$1005="jabas")*(MOVIMIENTOS!$A$5:$A$1005&lt;&gt;"")*(MOVIMIENTOS!$A$5:$A$1005&lt;=$A261)*MOVIMIENTOS!$E$5:$E$1005)+SUMPRODUCT((MOVIMIENTOS!$B$5:$B$1005="AJUSTE")*(MOVIMIENTOS!$C$5:$C$1005="C")*(MOVIMIENTOS!$D$5:$D$1005="jabas")*(MOVIMIENTOS!$A$5:$A$1005&lt;&gt;"")*(MOVIMIENTOS!$A$5:$A$1005&lt;=$A261)*MOVIMIENTOS!$E$5:$E$1005))</f>
        <v/>
      </c>
      <c r="E261" s="63" t="str">
        <f>IF($A261="","",SUMPRODUCT((MOVIMIENTOS!$B$5:$B$1005="SALDO INICIAL")*(MOVIMIENTOS!$C$5:$C$1005="M")*(MOVIMIENTOS!$D$5:$D$1005="jabas")*(MOVIMIENTOS!$A$5:$A$1005&lt;&gt;"")*(MOVIMIENTOS!$A$5:$A$1005&lt;=$A261)*MOVIMIENTOS!$E$5:$E$1005)+SUMPRODUCT((MOVIMIENTOS!$B$5:$B$1005="PROCESO")*(MOVIMIENTOS!$C$5:$C$1005="M")*(MOVIMIENTOS!$D$5:$D$1005="jabas")*(MOVIMIENTOS!$A$5:$A$1005&lt;&gt;"")*(MOVIMIENTOS!$A$5:$A$1005&lt;=$A261)*MOVIMIENTOS!$E$5:$E$1005)-SUMPRODUCT((MOVIMIENTOS!$B$5:$B$1005="ENVÍO A SUPESA")*(MOVIMIENTOS!$C$5:$C$1005="M")*(MOVIMIENTOS!$D$5:$D$1005="jabas")*(MOVIMIENTOS!$A$5:$A$1005&lt;&gt;"")*(MOVIMIENTOS!$A$5:$A$1005&lt;=$A261)*MOVIMIENTOS!$E$5:$E$1005)+SUMPRODUCT((MOVIMIENTOS!$B$5:$B$1005="DEVOLUCIÓN")*(MOVIMIENTOS!$C$5:$C$1005="M")*(MOVIMIENTOS!$D$5:$D$1005="jabas")*(MOVIMIENTOS!$A$5:$A$1005&lt;&gt;"")*(MOVIMIENTOS!$A$5:$A$1005&lt;=$A261)*MOVIMIENTOS!$E$5:$E$1005)-SUMPRODUCT((MOVIMIENTOS!$B$5:$B$1005="TRASIEGO")*(MOVIMIENTOS!$C$5:$C$1005="M")*(MOVIMIENTOS!$D$5:$D$1005="jabas")*(MOVIMIENTOS!$A$5:$A$1005&lt;&gt;"")*(MOVIMIENTOS!$A$5:$A$1005&lt;=$A261)*MOVIMIENTOS!$E$5:$E$1005)-SUMPRODUCT((MOVIMIENTOS!$B$5:$B$1005="REGALO")*(MOVIMIENTOS!$C$5:$C$1005="M")*(MOVIMIENTOS!$D$5:$D$1005="jabas")*(MOVIMIENTOS!$A$5:$A$1005&lt;&gt;"")*(MOVIMIENTOS!$A$5:$A$1005&lt;=$A261)*MOVIMIENTOS!$E$5:$E$1005)-SUMPRODUCT((MOVIMIENTOS!$B$5:$B$1005="VENTA")*(MOVIMIENTOS!$C$5:$C$1005="M")*(MOVIMIENTOS!$D$5:$D$1005="jabas")*(MOVIMIENTOS!$A$5:$A$1005&lt;&gt;"")*(MOVIMIENTOS!$A$5:$A$1005&lt;=$A261)*MOVIMIENTOS!$E$5:$E$1005)+SUMPRODUCT((MOVIMIENTOS!$B$5:$B$1005="AJUSTE")*(MOVIMIENTOS!$C$5:$C$1005="M")*(MOVIMIENTOS!$D$5:$D$1005="jabas")*(MOVIMIENTOS!$A$5:$A$1005&lt;&gt;"")*(MOVIMIENTOS!$A$5:$A$1005&lt;=$A261)*MOVIMIENTOS!$E$5:$E$1005))</f>
        <v/>
      </c>
      <c r="F261" s="63" t="str">
        <f>IF($A261="","",SUMPRODUCT((MOVIMIENTOS!$B$5:$B$1005="SALDO INICIAL")*(MOVIMIENTOS!$C$5:$C$1005="Chancho")*(MOVIMIENTOS!$D$5:$D$1005="sacos")*(MOVIMIENTOS!$A$5:$A$1005&lt;&gt;"")*(MOVIMIENTOS!$A$5:$A$1005&lt;=$A261)*MOVIMIENTOS!$E$5:$E$1005)+SUMPRODUCT((MOVIMIENTOS!$B$5:$B$1005="PROCESO")*(MOVIMIENTOS!$C$5:$C$1005="Chancho")*(MOVIMIENTOS!$D$5:$D$1005="sacos")*(MOVIMIENTOS!$A$5:$A$1005&lt;&gt;"")*(MOVIMIENTOS!$A$5:$A$1005&lt;=$A261)*MOVIMIENTOS!$E$5:$E$1005)-SUMPRODUCT((MOVIMIENTOS!$B$5:$B$1005="VENTA CHANCHO")*(MOVIMIENTOS!$C$5:$C$1005="Chancho")*(MOVIMIENTOS!$D$5:$D$1005="sacos")*(MOVIMIENTOS!$A$5:$A$1005&lt;&gt;"")*(MOVIMIENTOS!$A$5:$A$1005&lt;=$A261)*MOVIMIENTOS!$E$5:$E$1005)-SUMPRODUCT((MOVIMIENTOS!$B$5:$B$1005="REGALO")*(MOVIMIENTOS!$C$5:$C$1005="Chancho")*(MOVIMIENTOS!$D$5:$D$1005="sacos")*(MOVIMIENTOS!$A$5:$A$1005&lt;&gt;"")*(MOVIMIENTOS!$A$5:$A$1005&lt;=$A261)*MOVIMIENTOS!$E$5:$E$1005)-SUMPRODUCT((MOVIMIENTOS!$B$5:$B$1005="VENTA")*(MOVIMIENTOS!$C$5:$C$1005="Chancho")*(MOVIMIENTOS!$D$5:$D$1005="sacos")*(MOVIMIENTOS!$A$5:$A$1005&lt;&gt;"")*(MOVIMIENTOS!$A$5:$A$1005&lt;=$A261)*MOVIMIENTOS!$E$5:$E$1005)+SUMPRODUCT((MOVIMIENTOS!$B$5:$B$1005="AJUSTE")*(MOVIMIENTOS!$C$5:$C$1005="Chancho")*(MOVIMIENTOS!$D$5:$D$1005="sacos")*(MOVIMIENTOS!$A$5:$A$1005&lt;&gt;"")*(MOVIMIENTOS!$A$5:$A$1005&lt;=$A261)*MOVIMIENTOS!$E$5:$E$1005))</f>
        <v/>
      </c>
      <c r="G261" s="95" t="str">
        <f t="shared" ref="G261:G324" si="9">IF($A261="","",SUM(B261:E261))</f>
        <v/>
      </c>
      <c r="H261" s="63" t="str">
        <f>IF($A261="","",SUMPRODUCT((((MOVIMIENTOS!$B$5:$B$1005="SALDO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261)*MOVIMIENTOS!$J$5:$J$1005))</f>
        <v/>
      </c>
      <c r="I261" s="63"/>
      <c r="J261" s="63" t="str">
        <f>IF(AND(MOVIMIENTOS!$A261&lt;&gt;"",COUNTIF(MOVIMIENTOS!$A$5:$A260,MOVIMIENTOS!$A261)=0),COUNT(J$4:J260)+1,"")</f>
        <v/>
      </c>
      <c r="K261" s="66">
        <f>MOVIMIENTOS!$A261</f>
        <v>46236</v>
      </c>
      <c r="L261" s="63"/>
      <c r="M261" s="63"/>
      <c r="N261" s="63"/>
    </row>
    <row r="262" spans="1:14" ht="15" customHeight="1" x14ac:dyDescent="0.2">
      <c r="A262" s="63" t="str">
        <f t="shared" si="8"/>
        <v/>
      </c>
      <c r="B262" s="63" t="str">
        <f>IF($A262="","",SUMPRODUCT((MOVIMIENTOS!$B$5:$B$1005="SALDO INICIAL")*(MOVIMIENTOS!$C$5:$C$1005="A")*(MOVIMIENTOS!$D$5:$D$1005="jabas")*(MOVIMIENTOS!$A$5:$A$1005&lt;&gt;"")*(MOVIMIENTOS!$A$5:$A$1005&lt;=$A262)*MOVIMIENTOS!$E$5:$E$1005)+SUMPRODUCT((MOVIMIENTOS!$B$5:$B$1005="PROCESO")*(MOVIMIENTOS!$C$5:$C$1005="A")*(MOVIMIENTOS!$D$5:$D$1005="jabas")*(MOVIMIENTOS!$A$5:$A$1005&lt;&gt;"")*(MOVIMIENTOS!$A$5:$A$1005&lt;=$A262)*MOVIMIENTOS!$E$5:$E$1005)-SUMPRODUCT((MOVIMIENTOS!$B$5:$B$1005="ENVÍO A SUPESA")*(MOVIMIENTOS!$C$5:$C$1005="A")*(MOVIMIENTOS!$D$5:$D$1005="jabas")*(MOVIMIENTOS!$A$5:$A$1005&lt;&gt;"")*(MOVIMIENTOS!$A$5:$A$1005&lt;=$A262)*MOVIMIENTOS!$E$5:$E$1005)+SUMPRODUCT((MOVIMIENTOS!$B$5:$B$1005="DEVOLUCIÓN")*(MOVIMIENTOS!$C$5:$C$1005="A")*(MOVIMIENTOS!$D$5:$D$1005="jabas")*(MOVIMIENTOS!$A$5:$A$1005&lt;&gt;"")*(MOVIMIENTOS!$A$5:$A$1005&lt;=$A262)*MOVIMIENTOS!$E$5:$E$1005)-SUMPRODUCT((MOVIMIENTOS!$B$5:$B$1005="TRASIEGO")*(MOVIMIENTOS!$C$5:$C$1005="A")*(MOVIMIENTOS!$D$5:$D$1005="jabas")*(MOVIMIENTOS!$A$5:$A$1005&lt;&gt;"")*(MOVIMIENTOS!$A$5:$A$1005&lt;=$A262)*MOVIMIENTOS!$E$5:$E$1005)-SUMPRODUCT((MOVIMIENTOS!$B$5:$B$1005="REGALO")*(MOVIMIENTOS!$C$5:$C$1005="A")*(MOVIMIENTOS!$D$5:$D$1005="jabas")*(MOVIMIENTOS!$A$5:$A$1005&lt;&gt;"")*(MOVIMIENTOS!$A$5:$A$1005&lt;=$A262)*MOVIMIENTOS!$E$5:$E$1005)-SUMPRODUCT((MOVIMIENTOS!$B$5:$B$1005="VENTA")*(MOVIMIENTOS!$C$5:$C$1005="A")*(MOVIMIENTOS!$D$5:$D$1005="jabas")*(MOVIMIENTOS!$A$5:$A$1005&lt;&gt;"")*(MOVIMIENTOS!$A$5:$A$1005&lt;=$A262)*MOVIMIENTOS!$E$5:$E$1005)+SUMPRODUCT((MOVIMIENTOS!$B$5:$B$1005="AJUSTE")*(MOVIMIENTOS!$C$5:$C$1005="A")*(MOVIMIENTOS!$D$5:$D$1005="jabas")*(MOVIMIENTOS!$A$5:$A$1005&lt;&gt;"")*(MOVIMIENTOS!$A$5:$A$1005&lt;=$A262)*MOVIMIENTOS!$E$5:$E$1005))</f>
        <v/>
      </c>
      <c r="C262" s="63" t="str">
        <f>IF($A262="","",SUMPRODUCT((MOVIMIENTOS!$B$5:$B$1005="SALDO INICIAL")*(MOVIMIENTOS!$C$5:$C$1005="P")*(MOVIMIENTOS!$D$5:$D$1005="jabas")*(MOVIMIENTOS!$A$5:$A$1005&lt;&gt;"")*(MOVIMIENTOS!$A$5:$A$1005&lt;=$A262)*MOVIMIENTOS!$E$5:$E$1005)+SUMPRODUCT((MOVIMIENTOS!$B$5:$B$1005="PROCESO")*(MOVIMIENTOS!$C$5:$C$1005="P")*(MOVIMIENTOS!$D$5:$D$1005="jabas")*(MOVIMIENTOS!$A$5:$A$1005&lt;&gt;"")*(MOVIMIENTOS!$A$5:$A$1005&lt;=$A262)*MOVIMIENTOS!$E$5:$E$1005)-SUMPRODUCT((MOVIMIENTOS!$B$5:$B$1005="ENVÍO A SUPESA")*(MOVIMIENTOS!$C$5:$C$1005="P")*(MOVIMIENTOS!$D$5:$D$1005="jabas")*(MOVIMIENTOS!$A$5:$A$1005&lt;&gt;"")*(MOVIMIENTOS!$A$5:$A$1005&lt;=$A262)*MOVIMIENTOS!$E$5:$E$1005)+SUMPRODUCT((MOVIMIENTOS!$B$5:$B$1005="DEVOLUCIÓN")*(MOVIMIENTOS!$C$5:$C$1005="P")*(MOVIMIENTOS!$D$5:$D$1005="jabas")*(MOVIMIENTOS!$A$5:$A$1005&lt;&gt;"")*(MOVIMIENTOS!$A$5:$A$1005&lt;=$A262)*MOVIMIENTOS!$E$5:$E$1005)-SUMPRODUCT((MOVIMIENTOS!$B$5:$B$1005="TRASIEGO")*(MOVIMIENTOS!$C$5:$C$1005="P")*(MOVIMIENTOS!$D$5:$D$1005="jabas")*(MOVIMIENTOS!$A$5:$A$1005&lt;&gt;"")*(MOVIMIENTOS!$A$5:$A$1005&lt;=$A262)*MOVIMIENTOS!$E$5:$E$1005)-SUMPRODUCT((MOVIMIENTOS!$B$5:$B$1005="REGALO")*(MOVIMIENTOS!$C$5:$C$1005="P")*(MOVIMIENTOS!$D$5:$D$1005="jabas")*(MOVIMIENTOS!$A$5:$A$1005&lt;&gt;"")*(MOVIMIENTOS!$A$5:$A$1005&lt;=$A262)*MOVIMIENTOS!$E$5:$E$1005)-SUMPRODUCT((MOVIMIENTOS!$B$5:$B$1005="VENTA")*(MOVIMIENTOS!$C$5:$C$1005="P")*(MOVIMIENTOS!$D$5:$D$1005="jabas")*(MOVIMIENTOS!$A$5:$A$1005&lt;&gt;"")*(MOVIMIENTOS!$A$5:$A$1005&lt;=$A262)*MOVIMIENTOS!$E$5:$E$1005)+SUMPRODUCT((MOVIMIENTOS!$B$5:$B$1005="AJUSTE")*(MOVIMIENTOS!$C$5:$C$1005="P")*(MOVIMIENTOS!$D$5:$D$1005="jabas")*(MOVIMIENTOS!$A$5:$A$1005&lt;&gt;"")*(MOVIMIENTOS!$A$5:$A$1005&lt;=$A262)*MOVIMIENTOS!$E$5:$E$1005))</f>
        <v/>
      </c>
      <c r="D262" s="63" t="str">
        <f>IF($A262="","",SUMPRODUCT((MOVIMIENTOS!$B$5:$B$1005="SALDO INICIAL")*(MOVIMIENTOS!$C$5:$C$1005="C")*(MOVIMIENTOS!$D$5:$D$1005="jabas")*(MOVIMIENTOS!$A$5:$A$1005&lt;&gt;"")*(MOVIMIENTOS!$A$5:$A$1005&lt;=$A262)*MOVIMIENTOS!$E$5:$E$1005)+SUMPRODUCT((MOVIMIENTOS!$B$5:$B$1005="PROCESO")*(MOVIMIENTOS!$C$5:$C$1005="C")*(MOVIMIENTOS!$D$5:$D$1005="jabas")*(MOVIMIENTOS!$A$5:$A$1005&lt;&gt;"")*(MOVIMIENTOS!$A$5:$A$1005&lt;=$A262)*MOVIMIENTOS!$E$5:$E$1005)-SUMPRODUCT((MOVIMIENTOS!$B$5:$B$1005="ENVÍO A SUPESA")*(MOVIMIENTOS!$C$5:$C$1005="C")*(MOVIMIENTOS!$D$5:$D$1005="jabas")*(MOVIMIENTOS!$A$5:$A$1005&lt;&gt;"")*(MOVIMIENTOS!$A$5:$A$1005&lt;=$A262)*MOVIMIENTOS!$E$5:$E$1005)+SUMPRODUCT((MOVIMIENTOS!$B$5:$B$1005="DEVOLUCIÓN")*(MOVIMIENTOS!$C$5:$C$1005="C")*(MOVIMIENTOS!$D$5:$D$1005="jabas")*(MOVIMIENTOS!$A$5:$A$1005&lt;&gt;"")*(MOVIMIENTOS!$A$5:$A$1005&lt;=$A262)*MOVIMIENTOS!$E$5:$E$1005)-SUMPRODUCT((MOVIMIENTOS!$B$5:$B$1005="TRASIEGO")*(MOVIMIENTOS!$C$5:$C$1005="C")*(MOVIMIENTOS!$D$5:$D$1005="jabas")*(MOVIMIENTOS!$A$5:$A$1005&lt;&gt;"")*(MOVIMIENTOS!$A$5:$A$1005&lt;=$A262)*MOVIMIENTOS!$E$5:$E$1005)-SUMPRODUCT((MOVIMIENTOS!$B$5:$B$1005="REGALO")*(MOVIMIENTOS!$C$5:$C$1005="C")*(MOVIMIENTOS!$D$5:$D$1005="jabas")*(MOVIMIENTOS!$A$5:$A$1005&lt;&gt;"")*(MOVIMIENTOS!$A$5:$A$1005&lt;=$A262)*MOVIMIENTOS!$E$5:$E$1005)-SUMPRODUCT((MOVIMIENTOS!$B$5:$B$1005="VENTA")*(MOVIMIENTOS!$C$5:$C$1005="C")*(MOVIMIENTOS!$D$5:$D$1005="jabas")*(MOVIMIENTOS!$A$5:$A$1005&lt;&gt;"")*(MOVIMIENTOS!$A$5:$A$1005&lt;=$A262)*MOVIMIENTOS!$E$5:$E$1005)+SUMPRODUCT((MOVIMIENTOS!$B$5:$B$1005="AJUSTE")*(MOVIMIENTOS!$C$5:$C$1005="C")*(MOVIMIENTOS!$D$5:$D$1005="jabas")*(MOVIMIENTOS!$A$5:$A$1005&lt;&gt;"")*(MOVIMIENTOS!$A$5:$A$1005&lt;=$A262)*MOVIMIENTOS!$E$5:$E$1005))</f>
        <v/>
      </c>
      <c r="E262" s="63" t="str">
        <f>IF($A262="","",SUMPRODUCT((MOVIMIENTOS!$B$5:$B$1005="SALDO INICIAL")*(MOVIMIENTOS!$C$5:$C$1005="M")*(MOVIMIENTOS!$D$5:$D$1005="jabas")*(MOVIMIENTOS!$A$5:$A$1005&lt;&gt;"")*(MOVIMIENTOS!$A$5:$A$1005&lt;=$A262)*MOVIMIENTOS!$E$5:$E$1005)+SUMPRODUCT((MOVIMIENTOS!$B$5:$B$1005="PROCESO")*(MOVIMIENTOS!$C$5:$C$1005="M")*(MOVIMIENTOS!$D$5:$D$1005="jabas")*(MOVIMIENTOS!$A$5:$A$1005&lt;&gt;"")*(MOVIMIENTOS!$A$5:$A$1005&lt;=$A262)*MOVIMIENTOS!$E$5:$E$1005)-SUMPRODUCT((MOVIMIENTOS!$B$5:$B$1005="ENVÍO A SUPESA")*(MOVIMIENTOS!$C$5:$C$1005="M")*(MOVIMIENTOS!$D$5:$D$1005="jabas")*(MOVIMIENTOS!$A$5:$A$1005&lt;&gt;"")*(MOVIMIENTOS!$A$5:$A$1005&lt;=$A262)*MOVIMIENTOS!$E$5:$E$1005)+SUMPRODUCT((MOVIMIENTOS!$B$5:$B$1005="DEVOLUCIÓN")*(MOVIMIENTOS!$C$5:$C$1005="M")*(MOVIMIENTOS!$D$5:$D$1005="jabas")*(MOVIMIENTOS!$A$5:$A$1005&lt;&gt;"")*(MOVIMIENTOS!$A$5:$A$1005&lt;=$A262)*MOVIMIENTOS!$E$5:$E$1005)-SUMPRODUCT((MOVIMIENTOS!$B$5:$B$1005="TRASIEGO")*(MOVIMIENTOS!$C$5:$C$1005="M")*(MOVIMIENTOS!$D$5:$D$1005="jabas")*(MOVIMIENTOS!$A$5:$A$1005&lt;&gt;"")*(MOVIMIENTOS!$A$5:$A$1005&lt;=$A262)*MOVIMIENTOS!$E$5:$E$1005)-SUMPRODUCT((MOVIMIENTOS!$B$5:$B$1005="REGALO")*(MOVIMIENTOS!$C$5:$C$1005="M")*(MOVIMIENTOS!$D$5:$D$1005="jabas")*(MOVIMIENTOS!$A$5:$A$1005&lt;&gt;"")*(MOVIMIENTOS!$A$5:$A$1005&lt;=$A262)*MOVIMIENTOS!$E$5:$E$1005)-SUMPRODUCT((MOVIMIENTOS!$B$5:$B$1005="VENTA")*(MOVIMIENTOS!$C$5:$C$1005="M")*(MOVIMIENTOS!$D$5:$D$1005="jabas")*(MOVIMIENTOS!$A$5:$A$1005&lt;&gt;"")*(MOVIMIENTOS!$A$5:$A$1005&lt;=$A262)*MOVIMIENTOS!$E$5:$E$1005)+SUMPRODUCT((MOVIMIENTOS!$B$5:$B$1005="AJUSTE")*(MOVIMIENTOS!$C$5:$C$1005="M")*(MOVIMIENTOS!$D$5:$D$1005="jabas")*(MOVIMIENTOS!$A$5:$A$1005&lt;&gt;"")*(MOVIMIENTOS!$A$5:$A$1005&lt;=$A262)*MOVIMIENTOS!$E$5:$E$1005))</f>
        <v/>
      </c>
      <c r="F262" s="63" t="str">
        <f>IF($A262="","",SUMPRODUCT((MOVIMIENTOS!$B$5:$B$1005="SALDO INICIAL")*(MOVIMIENTOS!$C$5:$C$1005="Chancho")*(MOVIMIENTOS!$D$5:$D$1005="sacos")*(MOVIMIENTOS!$A$5:$A$1005&lt;&gt;"")*(MOVIMIENTOS!$A$5:$A$1005&lt;=$A262)*MOVIMIENTOS!$E$5:$E$1005)+SUMPRODUCT((MOVIMIENTOS!$B$5:$B$1005="PROCESO")*(MOVIMIENTOS!$C$5:$C$1005="Chancho")*(MOVIMIENTOS!$D$5:$D$1005="sacos")*(MOVIMIENTOS!$A$5:$A$1005&lt;&gt;"")*(MOVIMIENTOS!$A$5:$A$1005&lt;=$A262)*MOVIMIENTOS!$E$5:$E$1005)-SUMPRODUCT((MOVIMIENTOS!$B$5:$B$1005="VENTA CHANCHO")*(MOVIMIENTOS!$C$5:$C$1005="Chancho")*(MOVIMIENTOS!$D$5:$D$1005="sacos")*(MOVIMIENTOS!$A$5:$A$1005&lt;&gt;"")*(MOVIMIENTOS!$A$5:$A$1005&lt;=$A262)*MOVIMIENTOS!$E$5:$E$1005)-SUMPRODUCT((MOVIMIENTOS!$B$5:$B$1005="REGALO")*(MOVIMIENTOS!$C$5:$C$1005="Chancho")*(MOVIMIENTOS!$D$5:$D$1005="sacos")*(MOVIMIENTOS!$A$5:$A$1005&lt;&gt;"")*(MOVIMIENTOS!$A$5:$A$1005&lt;=$A262)*MOVIMIENTOS!$E$5:$E$1005)-SUMPRODUCT((MOVIMIENTOS!$B$5:$B$1005="VENTA")*(MOVIMIENTOS!$C$5:$C$1005="Chancho")*(MOVIMIENTOS!$D$5:$D$1005="sacos")*(MOVIMIENTOS!$A$5:$A$1005&lt;&gt;"")*(MOVIMIENTOS!$A$5:$A$1005&lt;=$A262)*MOVIMIENTOS!$E$5:$E$1005)+SUMPRODUCT((MOVIMIENTOS!$B$5:$B$1005="AJUSTE")*(MOVIMIENTOS!$C$5:$C$1005="Chancho")*(MOVIMIENTOS!$D$5:$D$1005="sacos")*(MOVIMIENTOS!$A$5:$A$1005&lt;&gt;"")*(MOVIMIENTOS!$A$5:$A$1005&lt;=$A262)*MOVIMIENTOS!$E$5:$E$1005))</f>
        <v/>
      </c>
      <c r="G262" s="95" t="str">
        <f t="shared" si="9"/>
        <v/>
      </c>
      <c r="H262" s="63" t="str">
        <f>IF($A262="","",SUMPRODUCT((((MOVIMIENTOS!$B$5:$B$1005="SALDO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262)*MOVIMIENTOS!$J$5:$J$1005))</f>
        <v/>
      </c>
      <c r="I262" s="63"/>
      <c r="J262" s="63" t="str">
        <f>IF(AND(MOVIMIENTOS!$A262&lt;&gt;"",COUNTIF(MOVIMIENTOS!$A$5:$A261,MOVIMIENTOS!$A262)=0),COUNT(J$4:J261)+1,"")</f>
        <v/>
      </c>
      <c r="K262" s="66">
        <f>MOVIMIENTOS!$A262</f>
        <v>46236</v>
      </c>
      <c r="L262" s="63"/>
      <c r="M262" s="63"/>
      <c r="N262" s="63"/>
    </row>
    <row r="263" spans="1:14" ht="15" customHeight="1" x14ac:dyDescent="0.2">
      <c r="A263" s="63" t="str">
        <f t="shared" si="8"/>
        <v/>
      </c>
      <c r="B263" s="63" t="str">
        <f>IF($A263="","",SUMPRODUCT((MOVIMIENTOS!$B$5:$B$1005="SALDO INICIAL")*(MOVIMIENTOS!$C$5:$C$1005="A")*(MOVIMIENTOS!$D$5:$D$1005="jabas")*(MOVIMIENTOS!$A$5:$A$1005&lt;&gt;"")*(MOVIMIENTOS!$A$5:$A$1005&lt;=$A263)*MOVIMIENTOS!$E$5:$E$1005)+SUMPRODUCT((MOVIMIENTOS!$B$5:$B$1005="PROCESO")*(MOVIMIENTOS!$C$5:$C$1005="A")*(MOVIMIENTOS!$D$5:$D$1005="jabas")*(MOVIMIENTOS!$A$5:$A$1005&lt;&gt;"")*(MOVIMIENTOS!$A$5:$A$1005&lt;=$A263)*MOVIMIENTOS!$E$5:$E$1005)-SUMPRODUCT((MOVIMIENTOS!$B$5:$B$1005="ENVÍO A SUPESA")*(MOVIMIENTOS!$C$5:$C$1005="A")*(MOVIMIENTOS!$D$5:$D$1005="jabas")*(MOVIMIENTOS!$A$5:$A$1005&lt;&gt;"")*(MOVIMIENTOS!$A$5:$A$1005&lt;=$A263)*MOVIMIENTOS!$E$5:$E$1005)+SUMPRODUCT((MOVIMIENTOS!$B$5:$B$1005="DEVOLUCIÓN")*(MOVIMIENTOS!$C$5:$C$1005="A")*(MOVIMIENTOS!$D$5:$D$1005="jabas")*(MOVIMIENTOS!$A$5:$A$1005&lt;&gt;"")*(MOVIMIENTOS!$A$5:$A$1005&lt;=$A263)*MOVIMIENTOS!$E$5:$E$1005)-SUMPRODUCT((MOVIMIENTOS!$B$5:$B$1005="TRASIEGO")*(MOVIMIENTOS!$C$5:$C$1005="A")*(MOVIMIENTOS!$D$5:$D$1005="jabas")*(MOVIMIENTOS!$A$5:$A$1005&lt;&gt;"")*(MOVIMIENTOS!$A$5:$A$1005&lt;=$A263)*MOVIMIENTOS!$E$5:$E$1005)-SUMPRODUCT((MOVIMIENTOS!$B$5:$B$1005="REGALO")*(MOVIMIENTOS!$C$5:$C$1005="A")*(MOVIMIENTOS!$D$5:$D$1005="jabas")*(MOVIMIENTOS!$A$5:$A$1005&lt;&gt;"")*(MOVIMIENTOS!$A$5:$A$1005&lt;=$A263)*MOVIMIENTOS!$E$5:$E$1005)-SUMPRODUCT((MOVIMIENTOS!$B$5:$B$1005="VENTA")*(MOVIMIENTOS!$C$5:$C$1005="A")*(MOVIMIENTOS!$D$5:$D$1005="jabas")*(MOVIMIENTOS!$A$5:$A$1005&lt;&gt;"")*(MOVIMIENTOS!$A$5:$A$1005&lt;=$A263)*MOVIMIENTOS!$E$5:$E$1005)+SUMPRODUCT((MOVIMIENTOS!$B$5:$B$1005="AJUSTE")*(MOVIMIENTOS!$C$5:$C$1005="A")*(MOVIMIENTOS!$D$5:$D$1005="jabas")*(MOVIMIENTOS!$A$5:$A$1005&lt;&gt;"")*(MOVIMIENTOS!$A$5:$A$1005&lt;=$A263)*MOVIMIENTOS!$E$5:$E$1005))</f>
        <v/>
      </c>
      <c r="C263" s="63" t="str">
        <f>IF($A263="","",SUMPRODUCT((MOVIMIENTOS!$B$5:$B$1005="SALDO INICIAL")*(MOVIMIENTOS!$C$5:$C$1005="P")*(MOVIMIENTOS!$D$5:$D$1005="jabas")*(MOVIMIENTOS!$A$5:$A$1005&lt;&gt;"")*(MOVIMIENTOS!$A$5:$A$1005&lt;=$A263)*MOVIMIENTOS!$E$5:$E$1005)+SUMPRODUCT((MOVIMIENTOS!$B$5:$B$1005="PROCESO")*(MOVIMIENTOS!$C$5:$C$1005="P")*(MOVIMIENTOS!$D$5:$D$1005="jabas")*(MOVIMIENTOS!$A$5:$A$1005&lt;&gt;"")*(MOVIMIENTOS!$A$5:$A$1005&lt;=$A263)*MOVIMIENTOS!$E$5:$E$1005)-SUMPRODUCT((MOVIMIENTOS!$B$5:$B$1005="ENVÍO A SUPESA")*(MOVIMIENTOS!$C$5:$C$1005="P")*(MOVIMIENTOS!$D$5:$D$1005="jabas")*(MOVIMIENTOS!$A$5:$A$1005&lt;&gt;"")*(MOVIMIENTOS!$A$5:$A$1005&lt;=$A263)*MOVIMIENTOS!$E$5:$E$1005)+SUMPRODUCT((MOVIMIENTOS!$B$5:$B$1005="DEVOLUCIÓN")*(MOVIMIENTOS!$C$5:$C$1005="P")*(MOVIMIENTOS!$D$5:$D$1005="jabas")*(MOVIMIENTOS!$A$5:$A$1005&lt;&gt;"")*(MOVIMIENTOS!$A$5:$A$1005&lt;=$A263)*MOVIMIENTOS!$E$5:$E$1005)-SUMPRODUCT((MOVIMIENTOS!$B$5:$B$1005="TRASIEGO")*(MOVIMIENTOS!$C$5:$C$1005="P")*(MOVIMIENTOS!$D$5:$D$1005="jabas")*(MOVIMIENTOS!$A$5:$A$1005&lt;&gt;"")*(MOVIMIENTOS!$A$5:$A$1005&lt;=$A263)*MOVIMIENTOS!$E$5:$E$1005)-SUMPRODUCT((MOVIMIENTOS!$B$5:$B$1005="REGALO")*(MOVIMIENTOS!$C$5:$C$1005="P")*(MOVIMIENTOS!$D$5:$D$1005="jabas")*(MOVIMIENTOS!$A$5:$A$1005&lt;&gt;"")*(MOVIMIENTOS!$A$5:$A$1005&lt;=$A263)*MOVIMIENTOS!$E$5:$E$1005)-SUMPRODUCT((MOVIMIENTOS!$B$5:$B$1005="VENTA")*(MOVIMIENTOS!$C$5:$C$1005="P")*(MOVIMIENTOS!$D$5:$D$1005="jabas")*(MOVIMIENTOS!$A$5:$A$1005&lt;&gt;"")*(MOVIMIENTOS!$A$5:$A$1005&lt;=$A263)*MOVIMIENTOS!$E$5:$E$1005)+SUMPRODUCT((MOVIMIENTOS!$B$5:$B$1005="AJUSTE")*(MOVIMIENTOS!$C$5:$C$1005="P")*(MOVIMIENTOS!$D$5:$D$1005="jabas")*(MOVIMIENTOS!$A$5:$A$1005&lt;&gt;"")*(MOVIMIENTOS!$A$5:$A$1005&lt;=$A263)*MOVIMIENTOS!$E$5:$E$1005))</f>
        <v/>
      </c>
      <c r="D263" s="63" t="str">
        <f>IF($A263="","",SUMPRODUCT((MOVIMIENTOS!$B$5:$B$1005="SALDO INICIAL")*(MOVIMIENTOS!$C$5:$C$1005="C")*(MOVIMIENTOS!$D$5:$D$1005="jabas")*(MOVIMIENTOS!$A$5:$A$1005&lt;&gt;"")*(MOVIMIENTOS!$A$5:$A$1005&lt;=$A263)*MOVIMIENTOS!$E$5:$E$1005)+SUMPRODUCT((MOVIMIENTOS!$B$5:$B$1005="PROCESO")*(MOVIMIENTOS!$C$5:$C$1005="C")*(MOVIMIENTOS!$D$5:$D$1005="jabas")*(MOVIMIENTOS!$A$5:$A$1005&lt;&gt;"")*(MOVIMIENTOS!$A$5:$A$1005&lt;=$A263)*MOVIMIENTOS!$E$5:$E$1005)-SUMPRODUCT((MOVIMIENTOS!$B$5:$B$1005="ENVÍO A SUPESA")*(MOVIMIENTOS!$C$5:$C$1005="C")*(MOVIMIENTOS!$D$5:$D$1005="jabas")*(MOVIMIENTOS!$A$5:$A$1005&lt;&gt;"")*(MOVIMIENTOS!$A$5:$A$1005&lt;=$A263)*MOVIMIENTOS!$E$5:$E$1005)+SUMPRODUCT((MOVIMIENTOS!$B$5:$B$1005="DEVOLUCIÓN")*(MOVIMIENTOS!$C$5:$C$1005="C")*(MOVIMIENTOS!$D$5:$D$1005="jabas")*(MOVIMIENTOS!$A$5:$A$1005&lt;&gt;"")*(MOVIMIENTOS!$A$5:$A$1005&lt;=$A263)*MOVIMIENTOS!$E$5:$E$1005)-SUMPRODUCT((MOVIMIENTOS!$B$5:$B$1005="TRASIEGO")*(MOVIMIENTOS!$C$5:$C$1005="C")*(MOVIMIENTOS!$D$5:$D$1005="jabas")*(MOVIMIENTOS!$A$5:$A$1005&lt;&gt;"")*(MOVIMIENTOS!$A$5:$A$1005&lt;=$A263)*MOVIMIENTOS!$E$5:$E$1005)-SUMPRODUCT((MOVIMIENTOS!$B$5:$B$1005="REGALO")*(MOVIMIENTOS!$C$5:$C$1005="C")*(MOVIMIENTOS!$D$5:$D$1005="jabas")*(MOVIMIENTOS!$A$5:$A$1005&lt;&gt;"")*(MOVIMIENTOS!$A$5:$A$1005&lt;=$A263)*MOVIMIENTOS!$E$5:$E$1005)-SUMPRODUCT((MOVIMIENTOS!$B$5:$B$1005="VENTA")*(MOVIMIENTOS!$C$5:$C$1005="C")*(MOVIMIENTOS!$D$5:$D$1005="jabas")*(MOVIMIENTOS!$A$5:$A$1005&lt;&gt;"")*(MOVIMIENTOS!$A$5:$A$1005&lt;=$A263)*MOVIMIENTOS!$E$5:$E$1005)+SUMPRODUCT((MOVIMIENTOS!$B$5:$B$1005="AJUSTE")*(MOVIMIENTOS!$C$5:$C$1005="C")*(MOVIMIENTOS!$D$5:$D$1005="jabas")*(MOVIMIENTOS!$A$5:$A$1005&lt;&gt;"")*(MOVIMIENTOS!$A$5:$A$1005&lt;=$A263)*MOVIMIENTOS!$E$5:$E$1005))</f>
        <v/>
      </c>
      <c r="E263" s="63" t="str">
        <f>IF($A263="","",SUMPRODUCT((MOVIMIENTOS!$B$5:$B$1005="SALDO INICIAL")*(MOVIMIENTOS!$C$5:$C$1005="M")*(MOVIMIENTOS!$D$5:$D$1005="jabas")*(MOVIMIENTOS!$A$5:$A$1005&lt;&gt;"")*(MOVIMIENTOS!$A$5:$A$1005&lt;=$A263)*MOVIMIENTOS!$E$5:$E$1005)+SUMPRODUCT((MOVIMIENTOS!$B$5:$B$1005="PROCESO")*(MOVIMIENTOS!$C$5:$C$1005="M")*(MOVIMIENTOS!$D$5:$D$1005="jabas")*(MOVIMIENTOS!$A$5:$A$1005&lt;&gt;"")*(MOVIMIENTOS!$A$5:$A$1005&lt;=$A263)*MOVIMIENTOS!$E$5:$E$1005)-SUMPRODUCT((MOVIMIENTOS!$B$5:$B$1005="ENVÍO A SUPESA")*(MOVIMIENTOS!$C$5:$C$1005="M")*(MOVIMIENTOS!$D$5:$D$1005="jabas")*(MOVIMIENTOS!$A$5:$A$1005&lt;&gt;"")*(MOVIMIENTOS!$A$5:$A$1005&lt;=$A263)*MOVIMIENTOS!$E$5:$E$1005)+SUMPRODUCT((MOVIMIENTOS!$B$5:$B$1005="DEVOLUCIÓN")*(MOVIMIENTOS!$C$5:$C$1005="M")*(MOVIMIENTOS!$D$5:$D$1005="jabas")*(MOVIMIENTOS!$A$5:$A$1005&lt;&gt;"")*(MOVIMIENTOS!$A$5:$A$1005&lt;=$A263)*MOVIMIENTOS!$E$5:$E$1005)-SUMPRODUCT((MOVIMIENTOS!$B$5:$B$1005="TRASIEGO")*(MOVIMIENTOS!$C$5:$C$1005="M")*(MOVIMIENTOS!$D$5:$D$1005="jabas")*(MOVIMIENTOS!$A$5:$A$1005&lt;&gt;"")*(MOVIMIENTOS!$A$5:$A$1005&lt;=$A263)*MOVIMIENTOS!$E$5:$E$1005)-SUMPRODUCT((MOVIMIENTOS!$B$5:$B$1005="REGALO")*(MOVIMIENTOS!$C$5:$C$1005="M")*(MOVIMIENTOS!$D$5:$D$1005="jabas")*(MOVIMIENTOS!$A$5:$A$1005&lt;&gt;"")*(MOVIMIENTOS!$A$5:$A$1005&lt;=$A263)*MOVIMIENTOS!$E$5:$E$1005)-SUMPRODUCT((MOVIMIENTOS!$B$5:$B$1005="VENTA")*(MOVIMIENTOS!$C$5:$C$1005="M")*(MOVIMIENTOS!$D$5:$D$1005="jabas")*(MOVIMIENTOS!$A$5:$A$1005&lt;&gt;"")*(MOVIMIENTOS!$A$5:$A$1005&lt;=$A263)*MOVIMIENTOS!$E$5:$E$1005)+SUMPRODUCT((MOVIMIENTOS!$B$5:$B$1005="AJUSTE")*(MOVIMIENTOS!$C$5:$C$1005="M")*(MOVIMIENTOS!$D$5:$D$1005="jabas")*(MOVIMIENTOS!$A$5:$A$1005&lt;&gt;"")*(MOVIMIENTOS!$A$5:$A$1005&lt;=$A263)*MOVIMIENTOS!$E$5:$E$1005))</f>
        <v/>
      </c>
      <c r="F263" s="63" t="str">
        <f>IF($A263="","",SUMPRODUCT((MOVIMIENTOS!$B$5:$B$1005="SALDO INICIAL")*(MOVIMIENTOS!$C$5:$C$1005="Chancho")*(MOVIMIENTOS!$D$5:$D$1005="sacos")*(MOVIMIENTOS!$A$5:$A$1005&lt;&gt;"")*(MOVIMIENTOS!$A$5:$A$1005&lt;=$A263)*MOVIMIENTOS!$E$5:$E$1005)+SUMPRODUCT((MOVIMIENTOS!$B$5:$B$1005="PROCESO")*(MOVIMIENTOS!$C$5:$C$1005="Chancho")*(MOVIMIENTOS!$D$5:$D$1005="sacos")*(MOVIMIENTOS!$A$5:$A$1005&lt;&gt;"")*(MOVIMIENTOS!$A$5:$A$1005&lt;=$A263)*MOVIMIENTOS!$E$5:$E$1005)-SUMPRODUCT((MOVIMIENTOS!$B$5:$B$1005="VENTA CHANCHO")*(MOVIMIENTOS!$C$5:$C$1005="Chancho")*(MOVIMIENTOS!$D$5:$D$1005="sacos")*(MOVIMIENTOS!$A$5:$A$1005&lt;&gt;"")*(MOVIMIENTOS!$A$5:$A$1005&lt;=$A263)*MOVIMIENTOS!$E$5:$E$1005)-SUMPRODUCT((MOVIMIENTOS!$B$5:$B$1005="REGALO")*(MOVIMIENTOS!$C$5:$C$1005="Chancho")*(MOVIMIENTOS!$D$5:$D$1005="sacos")*(MOVIMIENTOS!$A$5:$A$1005&lt;&gt;"")*(MOVIMIENTOS!$A$5:$A$1005&lt;=$A263)*MOVIMIENTOS!$E$5:$E$1005)-SUMPRODUCT((MOVIMIENTOS!$B$5:$B$1005="VENTA")*(MOVIMIENTOS!$C$5:$C$1005="Chancho")*(MOVIMIENTOS!$D$5:$D$1005="sacos")*(MOVIMIENTOS!$A$5:$A$1005&lt;&gt;"")*(MOVIMIENTOS!$A$5:$A$1005&lt;=$A263)*MOVIMIENTOS!$E$5:$E$1005)+SUMPRODUCT((MOVIMIENTOS!$B$5:$B$1005="AJUSTE")*(MOVIMIENTOS!$C$5:$C$1005="Chancho")*(MOVIMIENTOS!$D$5:$D$1005="sacos")*(MOVIMIENTOS!$A$5:$A$1005&lt;&gt;"")*(MOVIMIENTOS!$A$5:$A$1005&lt;=$A263)*MOVIMIENTOS!$E$5:$E$1005))</f>
        <v/>
      </c>
      <c r="G263" s="95" t="str">
        <f t="shared" si="9"/>
        <v/>
      </c>
      <c r="H263" s="63" t="str">
        <f>IF($A263="","",SUMPRODUCT((((MOVIMIENTOS!$B$5:$B$1005="SALDO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263)*MOVIMIENTOS!$J$5:$J$1005))</f>
        <v/>
      </c>
      <c r="I263" s="63"/>
      <c r="J263" s="63" t="e">
        <f>IF(AND(MOVIMIENTOS!#REF!&lt;&gt;"",COUNTIF(MOVIMIENTOS!$A$5:$A262,MOVIMIENTOS!#REF!)=0),COUNT(J$4:J262)+1,"")</f>
        <v>#REF!</v>
      </c>
      <c r="K263" s="66" t="e">
        <f>MOVIMIENTOS!#REF!</f>
        <v>#REF!</v>
      </c>
      <c r="L263" s="63"/>
      <c r="M263" s="63"/>
      <c r="N263" s="63"/>
    </row>
    <row r="264" spans="1:14" ht="15" customHeight="1" x14ac:dyDescent="0.2">
      <c r="A264" s="63" t="str">
        <f t="shared" si="8"/>
        <v/>
      </c>
      <c r="B264" s="63" t="str">
        <f>IF($A264="","",SUMPRODUCT((MOVIMIENTOS!$B$5:$B$1005="SALDO INICIAL")*(MOVIMIENTOS!$C$5:$C$1005="A")*(MOVIMIENTOS!$D$5:$D$1005="jabas")*(MOVIMIENTOS!$A$5:$A$1005&lt;&gt;"")*(MOVIMIENTOS!$A$5:$A$1005&lt;=$A264)*MOVIMIENTOS!$E$5:$E$1005)+SUMPRODUCT((MOVIMIENTOS!$B$5:$B$1005="PROCESO")*(MOVIMIENTOS!$C$5:$C$1005="A")*(MOVIMIENTOS!$D$5:$D$1005="jabas")*(MOVIMIENTOS!$A$5:$A$1005&lt;&gt;"")*(MOVIMIENTOS!$A$5:$A$1005&lt;=$A264)*MOVIMIENTOS!$E$5:$E$1005)-SUMPRODUCT((MOVIMIENTOS!$B$5:$B$1005="ENVÍO A SUPESA")*(MOVIMIENTOS!$C$5:$C$1005="A")*(MOVIMIENTOS!$D$5:$D$1005="jabas")*(MOVIMIENTOS!$A$5:$A$1005&lt;&gt;"")*(MOVIMIENTOS!$A$5:$A$1005&lt;=$A264)*MOVIMIENTOS!$E$5:$E$1005)+SUMPRODUCT((MOVIMIENTOS!$B$5:$B$1005="DEVOLUCIÓN")*(MOVIMIENTOS!$C$5:$C$1005="A")*(MOVIMIENTOS!$D$5:$D$1005="jabas")*(MOVIMIENTOS!$A$5:$A$1005&lt;&gt;"")*(MOVIMIENTOS!$A$5:$A$1005&lt;=$A264)*MOVIMIENTOS!$E$5:$E$1005)-SUMPRODUCT((MOVIMIENTOS!$B$5:$B$1005="TRASIEGO")*(MOVIMIENTOS!$C$5:$C$1005="A")*(MOVIMIENTOS!$D$5:$D$1005="jabas")*(MOVIMIENTOS!$A$5:$A$1005&lt;&gt;"")*(MOVIMIENTOS!$A$5:$A$1005&lt;=$A264)*MOVIMIENTOS!$E$5:$E$1005)-SUMPRODUCT((MOVIMIENTOS!$B$5:$B$1005="REGALO")*(MOVIMIENTOS!$C$5:$C$1005="A")*(MOVIMIENTOS!$D$5:$D$1005="jabas")*(MOVIMIENTOS!$A$5:$A$1005&lt;&gt;"")*(MOVIMIENTOS!$A$5:$A$1005&lt;=$A264)*MOVIMIENTOS!$E$5:$E$1005)-SUMPRODUCT((MOVIMIENTOS!$B$5:$B$1005="VENTA")*(MOVIMIENTOS!$C$5:$C$1005="A")*(MOVIMIENTOS!$D$5:$D$1005="jabas")*(MOVIMIENTOS!$A$5:$A$1005&lt;&gt;"")*(MOVIMIENTOS!$A$5:$A$1005&lt;=$A264)*MOVIMIENTOS!$E$5:$E$1005)+SUMPRODUCT((MOVIMIENTOS!$B$5:$B$1005="AJUSTE")*(MOVIMIENTOS!$C$5:$C$1005="A")*(MOVIMIENTOS!$D$5:$D$1005="jabas")*(MOVIMIENTOS!$A$5:$A$1005&lt;&gt;"")*(MOVIMIENTOS!$A$5:$A$1005&lt;=$A264)*MOVIMIENTOS!$E$5:$E$1005))</f>
        <v/>
      </c>
      <c r="C264" s="63" t="str">
        <f>IF($A264="","",SUMPRODUCT((MOVIMIENTOS!$B$5:$B$1005="SALDO INICIAL")*(MOVIMIENTOS!$C$5:$C$1005="P")*(MOVIMIENTOS!$D$5:$D$1005="jabas")*(MOVIMIENTOS!$A$5:$A$1005&lt;&gt;"")*(MOVIMIENTOS!$A$5:$A$1005&lt;=$A264)*MOVIMIENTOS!$E$5:$E$1005)+SUMPRODUCT((MOVIMIENTOS!$B$5:$B$1005="PROCESO")*(MOVIMIENTOS!$C$5:$C$1005="P")*(MOVIMIENTOS!$D$5:$D$1005="jabas")*(MOVIMIENTOS!$A$5:$A$1005&lt;&gt;"")*(MOVIMIENTOS!$A$5:$A$1005&lt;=$A264)*MOVIMIENTOS!$E$5:$E$1005)-SUMPRODUCT((MOVIMIENTOS!$B$5:$B$1005="ENVÍO A SUPESA")*(MOVIMIENTOS!$C$5:$C$1005="P")*(MOVIMIENTOS!$D$5:$D$1005="jabas")*(MOVIMIENTOS!$A$5:$A$1005&lt;&gt;"")*(MOVIMIENTOS!$A$5:$A$1005&lt;=$A264)*MOVIMIENTOS!$E$5:$E$1005)+SUMPRODUCT((MOVIMIENTOS!$B$5:$B$1005="DEVOLUCIÓN")*(MOVIMIENTOS!$C$5:$C$1005="P")*(MOVIMIENTOS!$D$5:$D$1005="jabas")*(MOVIMIENTOS!$A$5:$A$1005&lt;&gt;"")*(MOVIMIENTOS!$A$5:$A$1005&lt;=$A264)*MOVIMIENTOS!$E$5:$E$1005)-SUMPRODUCT((MOVIMIENTOS!$B$5:$B$1005="TRASIEGO")*(MOVIMIENTOS!$C$5:$C$1005="P")*(MOVIMIENTOS!$D$5:$D$1005="jabas")*(MOVIMIENTOS!$A$5:$A$1005&lt;&gt;"")*(MOVIMIENTOS!$A$5:$A$1005&lt;=$A264)*MOVIMIENTOS!$E$5:$E$1005)-SUMPRODUCT((MOVIMIENTOS!$B$5:$B$1005="REGALO")*(MOVIMIENTOS!$C$5:$C$1005="P")*(MOVIMIENTOS!$D$5:$D$1005="jabas")*(MOVIMIENTOS!$A$5:$A$1005&lt;&gt;"")*(MOVIMIENTOS!$A$5:$A$1005&lt;=$A264)*MOVIMIENTOS!$E$5:$E$1005)-SUMPRODUCT((MOVIMIENTOS!$B$5:$B$1005="VENTA")*(MOVIMIENTOS!$C$5:$C$1005="P")*(MOVIMIENTOS!$D$5:$D$1005="jabas")*(MOVIMIENTOS!$A$5:$A$1005&lt;&gt;"")*(MOVIMIENTOS!$A$5:$A$1005&lt;=$A264)*MOVIMIENTOS!$E$5:$E$1005)+SUMPRODUCT((MOVIMIENTOS!$B$5:$B$1005="AJUSTE")*(MOVIMIENTOS!$C$5:$C$1005="P")*(MOVIMIENTOS!$D$5:$D$1005="jabas")*(MOVIMIENTOS!$A$5:$A$1005&lt;&gt;"")*(MOVIMIENTOS!$A$5:$A$1005&lt;=$A264)*MOVIMIENTOS!$E$5:$E$1005))</f>
        <v/>
      </c>
      <c r="D264" s="63" t="str">
        <f>IF($A264="","",SUMPRODUCT((MOVIMIENTOS!$B$5:$B$1005="SALDO INICIAL")*(MOVIMIENTOS!$C$5:$C$1005="C")*(MOVIMIENTOS!$D$5:$D$1005="jabas")*(MOVIMIENTOS!$A$5:$A$1005&lt;&gt;"")*(MOVIMIENTOS!$A$5:$A$1005&lt;=$A264)*MOVIMIENTOS!$E$5:$E$1005)+SUMPRODUCT((MOVIMIENTOS!$B$5:$B$1005="PROCESO")*(MOVIMIENTOS!$C$5:$C$1005="C")*(MOVIMIENTOS!$D$5:$D$1005="jabas")*(MOVIMIENTOS!$A$5:$A$1005&lt;&gt;"")*(MOVIMIENTOS!$A$5:$A$1005&lt;=$A264)*MOVIMIENTOS!$E$5:$E$1005)-SUMPRODUCT((MOVIMIENTOS!$B$5:$B$1005="ENVÍO A SUPESA")*(MOVIMIENTOS!$C$5:$C$1005="C")*(MOVIMIENTOS!$D$5:$D$1005="jabas")*(MOVIMIENTOS!$A$5:$A$1005&lt;&gt;"")*(MOVIMIENTOS!$A$5:$A$1005&lt;=$A264)*MOVIMIENTOS!$E$5:$E$1005)+SUMPRODUCT((MOVIMIENTOS!$B$5:$B$1005="DEVOLUCIÓN")*(MOVIMIENTOS!$C$5:$C$1005="C")*(MOVIMIENTOS!$D$5:$D$1005="jabas")*(MOVIMIENTOS!$A$5:$A$1005&lt;&gt;"")*(MOVIMIENTOS!$A$5:$A$1005&lt;=$A264)*MOVIMIENTOS!$E$5:$E$1005)-SUMPRODUCT((MOVIMIENTOS!$B$5:$B$1005="TRASIEGO")*(MOVIMIENTOS!$C$5:$C$1005="C")*(MOVIMIENTOS!$D$5:$D$1005="jabas")*(MOVIMIENTOS!$A$5:$A$1005&lt;&gt;"")*(MOVIMIENTOS!$A$5:$A$1005&lt;=$A264)*MOVIMIENTOS!$E$5:$E$1005)-SUMPRODUCT((MOVIMIENTOS!$B$5:$B$1005="REGALO")*(MOVIMIENTOS!$C$5:$C$1005="C")*(MOVIMIENTOS!$D$5:$D$1005="jabas")*(MOVIMIENTOS!$A$5:$A$1005&lt;&gt;"")*(MOVIMIENTOS!$A$5:$A$1005&lt;=$A264)*MOVIMIENTOS!$E$5:$E$1005)-SUMPRODUCT((MOVIMIENTOS!$B$5:$B$1005="VENTA")*(MOVIMIENTOS!$C$5:$C$1005="C")*(MOVIMIENTOS!$D$5:$D$1005="jabas")*(MOVIMIENTOS!$A$5:$A$1005&lt;&gt;"")*(MOVIMIENTOS!$A$5:$A$1005&lt;=$A264)*MOVIMIENTOS!$E$5:$E$1005)+SUMPRODUCT((MOVIMIENTOS!$B$5:$B$1005="AJUSTE")*(MOVIMIENTOS!$C$5:$C$1005="C")*(MOVIMIENTOS!$D$5:$D$1005="jabas")*(MOVIMIENTOS!$A$5:$A$1005&lt;&gt;"")*(MOVIMIENTOS!$A$5:$A$1005&lt;=$A264)*MOVIMIENTOS!$E$5:$E$1005))</f>
        <v/>
      </c>
      <c r="E264" s="63" t="str">
        <f>IF($A264="","",SUMPRODUCT((MOVIMIENTOS!$B$5:$B$1005="SALDO INICIAL")*(MOVIMIENTOS!$C$5:$C$1005="M")*(MOVIMIENTOS!$D$5:$D$1005="jabas")*(MOVIMIENTOS!$A$5:$A$1005&lt;&gt;"")*(MOVIMIENTOS!$A$5:$A$1005&lt;=$A264)*MOVIMIENTOS!$E$5:$E$1005)+SUMPRODUCT((MOVIMIENTOS!$B$5:$B$1005="PROCESO")*(MOVIMIENTOS!$C$5:$C$1005="M")*(MOVIMIENTOS!$D$5:$D$1005="jabas")*(MOVIMIENTOS!$A$5:$A$1005&lt;&gt;"")*(MOVIMIENTOS!$A$5:$A$1005&lt;=$A264)*MOVIMIENTOS!$E$5:$E$1005)-SUMPRODUCT((MOVIMIENTOS!$B$5:$B$1005="ENVÍO A SUPESA")*(MOVIMIENTOS!$C$5:$C$1005="M")*(MOVIMIENTOS!$D$5:$D$1005="jabas")*(MOVIMIENTOS!$A$5:$A$1005&lt;&gt;"")*(MOVIMIENTOS!$A$5:$A$1005&lt;=$A264)*MOVIMIENTOS!$E$5:$E$1005)+SUMPRODUCT((MOVIMIENTOS!$B$5:$B$1005="DEVOLUCIÓN")*(MOVIMIENTOS!$C$5:$C$1005="M")*(MOVIMIENTOS!$D$5:$D$1005="jabas")*(MOVIMIENTOS!$A$5:$A$1005&lt;&gt;"")*(MOVIMIENTOS!$A$5:$A$1005&lt;=$A264)*MOVIMIENTOS!$E$5:$E$1005)-SUMPRODUCT((MOVIMIENTOS!$B$5:$B$1005="TRASIEGO")*(MOVIMIENTOS!$C$5:$C$1005="M")*(MOVIMIENTOS!$D$5:$D$1005="jabas")*(MOVIMIENTOS!$A$5:$A$1005&lt;&gt;"")*(MOVIMIENTOS!$A$5:$A$1005&lt;=$A264)*MOVIMIENTOS!$E$5:$E$1005)-SUMPRODUCT((MOVIMIENTOS!$B$5:$B$1005="REGALO")*(MOVIMIENTOS!$C$5:$C$1005="M")*(MOVIMIENTOS!$D$5:$D$1005="jabas")*(MOVIMIENTOS!$A$5:$A$1005&lt;&gt;"")*(MOVIMIENTOS!$A$5:$A$1005&lt;=$A264)*MOVIMIENTOS!$E$5:$E$1005)-SUMPRODUCT((MOVIMIENTOS!$B$5:$B$1005="VENTA")*(MOVIMIENTOS!$C$5:$C$1005="M")*(MOVIMIENTOS!$D$5:$D$1005="jabas")*(MOVIMIENTOS!$A$5:$A$1005&lt;&gt;"")*(MOVIMIENTOS!$A$5:$A$1005&lt;=$A264)*MOVIMIENTOS!$E$5:$E$1005)+SUMPRODUCT((MOVIMIENTOS!$B$5:$B$1005="AJUSTE")*(MOVIMIENTOS!$C$5:$C$1005="M")*(MOVIMIENTOS!$D$5:$D$1005="jabas")*(MOVIMIENTOS!$A$5:$A$1005&lt;&gt;"")*(MOVIMIENTOS!$A$5:$A$1005&lt;=$A264)*MOVIMIENTOS!$E$5:$E$1005))</f>
        <v/>
      </c>
      <c r="F264" s="63" t="str">
        <f>IF($A264="","",SUMPRODUCT((MOVIMIENTOS!$B$5:$B$1005="SALDO INICIAL")*(MOVIMIENTOS!$C$5:$C$1005="Chancho")*(MOVIMIENTOS!$D$5:$D$1005="sacos")*(MOVIMIENTOS!$A$5:$A$1005&lt;&gt;"")*(MOVIMIENTOS!$A$5:$A$1005&lt;=$A264)*MOVIMIENTOS!$E$5:$E$1005)+SUMPRODUCT((MOVIMIENTOS!$B$5:$B$1005="PROCESO")*(MOVIMIENTOS!$C$5:$C$1005="Chancho")*(MOVIMIENTOS!$D$5:$D$1005="sacos")*(MOVIMIENTOS!$A$5:$A$1005&lt;&gt;"")*(MOVIMIENTOS!$A$5:$A$1005&lt;=$A264)*MOVIMIENTOS!$E$5:$E$1005)-SUMPRODUCT((MOVIMIENTOS!$B$5:$B$1005="VENTA CHANCHO")*(MOVIMIENTOS!$C$5:$C$1005="Chancho")*(MOVIMIENTOS!$D$5:$D$1005="sacos")*(MOVIMIENTOS!$A$5:$A$1005&lt;&gt;"")*(MOVIMIENTOS!$A$5:$A$1005&lt;=$A264)*MOVIMIENTOS!$E$5:$E$1005)-SUMPRODUCT((MOVIMIENTOS!$B$5:$B$1005="REGALO")*(MOVIMIENTOS!$C$5:$C$1005="Chancho")*(MOVIMIENTOS!$D$5:$D$1005="sacos")*(MOVIMIENTOS!$A$5:$A$1005&lt;&gt;"")*(MOVIMIENTOS!$A$5:$A$1005&lt;=$A264)*MOVIMIENTOS!$E$5:$E$1005)-SUMPRODUCT((MOVIMIENTOS!$B$5:$B$1005="VENTA")*(MOVIMIENTOS!$C$5:$C$1005="Chancho")*(MOVIMIENTOS!$D$5:$D$1005="sacos")*(MOVIMIENTOS!$A$5:$A$1005&lt;&gt;"")*(MOVIMIENTOS!$A$5:$A$1005&lt;=$A264)*MOVIMIENTOS!$E$5:$E$1005)+SUMPRODUCT((MOVIMIENTOS!$B$5:$B$1005="AJUSTE")*(MOVIMIENTOS!$C$5:$C$1005="Chancho")*(MOVIMIENTOS!$D$5:$D$1005="sacos")*(MOVIMIENTOS!$A$5:$A$1005&lt;&gt;"")*(MOVIMIENTOS!$A$5:$A$1005&lt;=$A264)*MOVIMIENTOS!$E$5:$E$1005))</f>
        <v/>
      </c>
      <c r="G264" s="95" t="str">
        <f t="shared" si="9"/>
        <v/>
      </c>
      <c r="H264" s="63" t="str">
        <f>IF($A264="","",SUMPRODUCT((((MOVIMIENTOS!$B$5:$B$1005="SALDO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264)*MOVIMIENTOS!$J$5:$J$1005))</f>
        <v/>
      </c>
      <c r="I264" s="63"/>
      <c r="J264" s="63" t="str">
        <f>IF(AND(MOVIMIENTOS!$A263&lt;&gt;"",COUNTIF(MOVIMIENTOS!$A$5:$A262,MOVIMIENTOS!$A263)=0),COUNT(J$4:J263)+1,"")</f>
        <v/>
      </c>
      <c r="K264" s="66">
        <f>MOVIMIENTOS!$A263</f>
        <v>46237</v>
      </c>
      <c r="L264" s="63"/>
      <c r="M264" s="63"/>
      <c r="N264" s="63"/>
    </row>
    <row r="265" spans="1:14" ht="15" customHeight="1" x14ac:dyDescent="0.2">
      <c r="A265" s="63" t="str">
        <f t="shared" si="8"/>
        <v/>
      </c>
      <c r="B265" s="63" t="str">
        <f>IF($A265="","",SUMPRODUCT((MOVIMIENTOS!$B$5:$B$1005="SALDO INICIAL")*(MOVIMIENTOS!$C$5:$C$1005="A")*(MOVIMIENTOS!$D$5:$D$1005="jabas")*(MOVIMIENTOS!$A$5:$A$1005&lt;&gt;"")*(MOVIMIENTOS!$A$5:$A$1005&lt;=$A265)*MOVIMIENTOS!$E$5:$E$1005)+SUMPRODUCT((MOVIMIENTOS!$B$5:$B$1005="PROCESO")*(MOVIMIENTOS!$C$5:$C$1005="A")*(MOVIMIENTOS!$D$5:$D$1005="jabas")*(MOVIMIENTOS!$A$5:$A$1005&lt;&gt;"")*(MOVIMIENTOS!$A$5:$A$1005&lt;=$A265)*MOVIMIENTOS!$E$5:$E$1005)-SUMPRODUCT((MOVIMIENTOS!$B$5:$B$1005="ENVÍO A SUPESA")*(MOVIMIENTOS!$C$5:$C$1005="A")*(MOVIMIENTOS!$D$5:$D$1005="jabas")*(MOVIMIENTOS!$A$5:$A$1005&lt;&gt;"")*(MOVIMIENTOS!$A$5:$A$1005&lt;=$A265)*MOVIMIENTOS!$E$5:$E$1005)+SUMPRODUCT((MOVIMIENTOS!$B$5:$B$1005="DEVOLUCIÓN")*(MOVIMIENTOS!$C$5:$C$1005="A")*(MOVIMIENTOS!$D$5:$D$1005="jabas")*(MOVIMIENTOS!$A$5:$A$1005&lt;&gt;"")*(MOVIMIENTOS!$A$5:$A$1005&lt;=$A265)*MOVIMIENTOS!$E$5:$E$1005)-SUMPRODUCT((MOVIMIENTOS!$B$5:$B$1005="TRASIEGO")*(MOVIMIENTOS!$C$5:$C$1005="A")*(MOVIMIENTOS!$D$5:$D$1005="jabas")*(MOVIMIENTOS!$A$5:$A$1005&lt;&gt;"")*(MOVIMIENTOS!$A$5:$A$1005&lt;=$A265)*MOVIMIENTOS!$E$5:$E$1005)-SUMPRODUCT((MOVIMIENTOS!$B$5:$B$1005="REGALO")*(MOVIMIENTOS!$C$5:$C$1005="A")*(MOVIMIENTOS!$D$5:$D$1005="jabas")*(MOVIMIENTOS!$A$5:$A$1005&lt;&gt;"")*(MOVIMIENTOS!$A$5:$A$1005&lt;=$A265)*MOVIMIENTOS!$E$5:$E$1005)-SUMPRODUCT((MOVIMIENTOS!$B$5:$B$1005="VENTA")*(MOVIMIENTOS!$C$5:$C$1005="A")*(MOVIMIENTOS!$D$5:$D$1005="jabas")*(MOVIMIENTOS!$A$5:$A$1005&lt;&gt;"")*(MOVIMIENTOS!$A$5:$A$1005&lt;=$A265)*MOVIMIENTOS!$E$5:$E$1005)+SUMPRODUCT((MOVIMIENTOS!$B$5:$B$1005="AJUSTE")*(MOVIMIENTOS!$C$5:$C$1005="A")*(MOVIMIENTOS!$D$5:$D$1005="jabas")*(MOVIMIENTOS!$A$5:$A$1005&lt;&gt;"")*(MOVIMIENTOS!$A$5:$A$1005&lt;=$A265)*MOVIMIENTOS!$E$5:$E$1005))</f>
        <v/>
      </c>
      <c r="C265" s="63" t="str">
        <f>IF($A265="","",SUMPRODUCT((MOVIMIENTOS!$B$5:$B$1005="SALDO INICIAL")*(MOVIMIENTOS!$C$5:$C$1005="P")*(MOVIMIENTOS!$D$5:$D$1005="jabas")*(MOVIMIENTOS!$A$5:$A$1005&lt;&gt;"")*(MOVIMIENTOS!$A$5:$A$1005&lt;=$A265)*MOVIMIENTOS!$E$5:$E$1005)+SUMPRODUCT((MOVIMIENTOS!$B$5:$B$1005="PROCESO")*(MOVIMIENTOS!$C$5:$C$1005="P")*(MOVIMIENTOS!$D$5:$D$1005="jabas")*(MOVIMIENTOS!$A$5:$A$1005&lt;&gt;"")*(MOVIMIENTOS!$A$5:$A$1005&lt;=$A265)*MOVIMIENTOS!$E$5:$E$1005)-SUMPRODUCT((MOVIMIENTOS!$B$5:$B$1005="ENVÍO A SUPESA")*(MOVIMIENTOS!$C$5:$C$1005="P")*(MOVIMIENTOS!$D$5:$D$1005="jabas")*(MOVIMIENTOS!$A$5:$A$1005&lt;&gt;"")*(MOVIMIENTOS!$A$5:$A$1005&lt;=$A265)*MOVIMIENTOS!$E$5:$E$1005)+SUMPRODUCT((MOVIMIENTOS!$B$5:$B$1005="DEVOLUCIÓN")*(MOVIMIENTOS!$C$5:$C$1005="P")*(MOVIMIENTOS!$D$5:$D$1005="jabas")*(MOVIMIENTOS!$A$5:$A$1005&lt;&gt;"")*(MOVIMIENTOS!$A$5:$A$1005&lt;=$A265)*MOVIMIENTOS!$E$5:$E$1005)-SUMPRODUCT((MOVIMIENTOS!$B$5:$B$1005="TRASIEGO")*(MOVIMIENTOS!$C$5:$C$1005="P")*(MOVIMIENTOS!$D$5:$D$1005="jabas")*(MOVIMIENTOS!$A$5:$A$1005&lt;&gt;"")*(MOVIMIENTOS!$A$5:$A$1005&lt;=$A265)*MOVIMIENTOS!$E$5:$E$1005)-SUMPRODUCT((MOVIMIENTOS!$B$5:$B$1005="REGALO")*(MOVIMIENTOS!$C$5:$C$1005="P")*(MOVIMIENTOS!$D$5:$D$1005="jabas")*(MOVIMIENTOS!$A$5:$A$1005&lt;&gt;"")*(MOVIMIENTOS!$A$5:$A$1005&lt;=$A265)*MOVIMIENTOS!$E$5:$E$1005)-SUMPRODUCT((MOVIMIENTOS!$B$5:$B$1005="VENTA")*(MOVIMIENTOS!$C$5:$C$1005="P")*(MOVIMIENTOS!$D$5:$D$1005="jabas")*(MOVIMIENTOS!$A$5:$A$1005&lt;&gt;"")*(MOVIMIENTOS!$A$5:$A$1005&lt;=$A265)*MOVIMIENTOS!$E$5:$E$1005)+SUMPRODUCT((MOVIMIENTOS!$B$5:$B$1005="AJUSTE")*(MOVIMIENTOS!$C$5:$C$1005="P")*(MOVIMIENTOS!$D$5:$D$1005="jabas")*(MOVIMIENTOS!$A$5:$A$1005&lt;&gt;"")*(MOVIMIENTOS!$A$5:$A$1005&lt;=$A265)*MOVIMIENTOS!$E$5:$E$1005))</f>
        <v/>
      </c>
      <c r="D265" s="63" t="str">
        <f>IF($A265="","",SUMPRODUCT((MOVIMIENTOS!$B$5:$B$1005="SALDO INICIAL")*(MOVIMIENTOS!$C$5:$C$1005="C")*(MOVIMIENTOS!$D$5:$D$1005="jabas")*(MOVIMIENTOS!$A$5:$A$1005&lt;&gt;"")*(MOVIMIENTOS!$A$5:$A$1005&lt;=$A265)*MOVIMIENTOS!$E$5:$E$1005)+SUMPRODUCT((MOVIMIENTOS!$B$5:$B$1005="PROCESO")*(MOVIMIENTOS!$C$5:$C$1005="C")*(MOVIMIENTOS!$D$5:$D$1005="jabas")*(MOVIMIENTOS!$A$5:$A$1005&lt;&gt;"")*(MOVIMIENTOS!$A$5:$A$1005&lt;=$A265)*MOVIMIENTOS!$E$5:$E$1005)-SUMPRODUCT((MOVIMIENTOS!$B$5:$B$1005="ENVÍO A SUPESA")*(MOVIMIENTOS!$C$5:$C$1005="C")*(MOVIMIENTOS!$D$5:$D$1005="jabas")*(MOVIMIENTOS!$A$5:$A$1005&lt;&gt;"")*(MOVIMIENTOS!$A$5:$A$1005&lt;=$A265)*MOVIMIENTOS!$E$5:$E$1005)+SUMPRODUCT((MOVIMIENTOS!$B$5:$B$1005="DEVOLUCIÓN")*(MOVIMIENTOS!$C$5:$C$1005="C")*(MOVIMIENTOS!$D$5:$D$1005="jabas")*(MOVIMIENTOS!$A$5:$A$1005&lt;&gt;"")*(MOVIMIENTOS!$A$5:$A$1005&lt;=$A265)*MOVIMIENTOS!$E$5:$E$1005)-SUMPRODUCT((MOVIMIENTOS!$B$5:$B$1005="TRASIEGO")*(MOVIMIENTOS!$C$5:$C$1005="C")*(MOVIMIENTOS!$D$5:$D$1005="jabas")*(MOVIMIENTOS!$A$5:$A$1005&lt;&gt;"")*(MOVIMIENTOS!$A$5:$A$1005&lt;=$A265)*MOVIMIENTOS!$E$5:$E$1005)-SUMPRODUCT((MOVIMIENTOS!$B$5:$B$1005="REGALO")*(MOVIMIENTOS!$C$5:$C$1005="C")*(MOVIMIENTOS!$D$5:$D$1005="jabas")*(MOVIMIENTOS!$A$5:$A$1005&lt;&gt;"")*(MOVIMIENTOS!$A$5:$A$1005&lt;=$A265)*MOVIMIENTOS!$E$5:$E$1005)-SUMPRODUCT((MOVIMIENTOS!$B$5:$B$1005="VENTA")*(MOVIMIENTOS!$C$5:$C$1005="C")*(MOVIMIENTOS!$D$5:$D$1005="jabas")*(MOVIMIENTOS!$A$5:$A$1005&lt;&gt;"")*(MOVIMIENTOS!$A$5:$A$1005&lt;=$A265)*MOVIMIENTOS!$E$5:$E$1005)+SUMPRODUCT((MOVIMIENTOS!$B$5:$B$1005="AJUSTE")*(MOVIMIENTOS!$C$5:$C$1005="C")*(MOVIMIENTOS!$D$5:$D$1005="jabas")*(MOVIMIENTOS!$A$5:$A$1005&lt;&gt;"")*(MOVIMIENTOS!$A$5:$A$1005&lt;=$A265)*MOVIMIENTOS!$E$5:$E$1005))</f>
        <v/>
      </c>
      <c r="E265" s="63" t="str">
        <f>IF($A265="","",SUMPRODUCT((MOVIMIENTOS!$B$5:$B$1005="SALDO INICIAL")*(MOVIMIENTOS!$C$5:$C$1005="M")*(MOVIMIENTOS!$D$5:$D$1005="jabas")*(MOVIMIENTOS!$A$5:$A$1005&lt;&gt;"")*(MOVIMIENTOS!$A$5:$A$1005&lt;=$A265)*MOVIMIENTOS!$E$5:$E$1005)+SUMPRODUCT((MOVIMIENTOS!$B$5:$B$1005="PROCESO")*(MOVIMIENTOS!$C$5:$C$1005="M")*(MOVIMIENTOS!$D$5:$D$1005="jabas")*(MOVIMIENTOS!$A$5:$A$1005&lt;&gt;"")*(MOVIMIENTOS!$A$5:$A$1005&lt;=$A265)*MOVIMIENTOS!$E$5:$E$1005)-SUMPRODUCT((MOVIMIENTOS!$B$5:$B$1005="ENVÍO A SUPESA")*(MOVIMIENTOS!$C$5:$C$1005="M")*(MOVIMIENTOS!$D$5:$D$1005="jabas")*(MOVIMIENTOS!$A$5:$A$1005&lt;&gt;"")*(MOVIMIENTOS!$A$5:$A$1005&lt;=$A265)*MOVIMIENTOS!$E$5:$E$1005)+SUMPRODUCT((MOVIMIENTOS!$B$5:$B$1005="DEVOLUCIÓN")*(MOVIMIENTOS!$C$5:$C$1005="M")*(MOVIMIENTOS!$D$5:$D$1005="jabas")*(MOVIMIENTOS!$A$5:$A$1005&lt;&gt;"")*(MOVIMIENTOS!$A$5:$A$1005&lt;=$A265)*MOVIMIENTOS!$E$5:$E$1005)-SUMPRODUCT((MOVIMIENTOS!$B$5:$B$1005="TRASIEGO")*(MOVIMIENTOS!$C$5:$C$1005="M")*(MOVIMIENTOS!$D$5:$D$1005="jabas")*(MOVIMIENTOS!$A$5:$A$1005&lt;&gt;"")*(MOVIMIENTOS!$A$5:$A$1005&lt;=$A265)*MOVIMIENTOS!$E$5:$E$1005)-SUMPRODUCT((MOVIMIENTOS!$B$5:$B$1005="REGALO")*(MOVIMIENTOS!$C$5:$C$1005="M")*(MOVIMIENTOS!$D$5:$D$1005="jabas")*(MOVIMIENTOS!$A$5:$A$1005&lt;&gt;"")*(MOVIMIENTOS!$A$5:$A$1005&lt;=$A265)*MOVIMIENTOS!$E$5:$E$1005)-SUMPRODUCT((MOVIMIENTOS!$B$5:$B$1005="VENTA")*(MOVIMIENTOS!$C$5:$C$1005="M")*(MOVIMIENTOS!$D$5:$D$1005="jabas")*(MOVIMIENTOS!$A$5:$A$1005&lt;&gt;"")*(MOVIMIENTOS!$A$5:$A$1005&lt;=$A265)*MOVIMIENTOS!$E$5:$E$1005)+SUMPRODUCT((MOVIMIENTOS!$B$5:$B$1005="AJUSTE")*(MOVIMIENTOS!$C$5:$C$1005="M")*(MOVIMIENTOS!$D$5:$D$1005="jabas")*(MOVIMIENTOS!$A$5:$A$1005&lt;&gt;"")*(MOVIMIENTOS!$A$5:$A$1005&lt;=$A265)*MOVIMIENTOS!$E$5:$E$1005))</f>
        <v/>
      </c>
      <c r="F265" s="63" t="str">
        <f>IF($A265="","",SUMPRODUCT((MOVIMIENTOS!$B$5:$B$1005="SALDO INICIAL")*(MOVIMIENTOS!$C$5:$C$1005="Chancho")*(MOVIMIENTOS!$D$5:$D$1005="sacos")*(MOVIMIENTOS!$A$5:$A$1005&lt;&gt;"")*(MOVIMIENTOS!$A$5:$A$1005&lt;=$A265)*MOVIMIENTOS!$E$5:$E$1005)+SUMPRODUCT((MOVIMIENTOS!$B$5:$B$1005="PROCESO")*(MOVIMIENTOS!$C$5:$C$1005="Chancho")*(MOVIMIENTOS!$D$5:$D$1005="sacos")*(MOVIMIENTOS!$A$5:$A$1005&lt;&gt;"")*(MOVIMIENTOS!$A$5:$A$1005&lt;=$A265)*MOVIMIENTOS!$E$5:$E$1005)-SUMPRODUCT((MOVIMIENTOS!$B$5:$B$1005="VENTA CHANCHO")*(MOVIMIENTOS!$C$5:$C$1005="Chancho")*(MOVIMIENTOS!$D$5:$D$1005="sacos")*(MOVIMIENTOS!$A$5:$A$1005&lt;&gt;"")*(MOVIMIENTOS!$A$5:$A$1005&lt;=$A265)*MOVIMIENTOS!$E$5:$E$1005)-SUMPRODUCT((MOVIMIENTOS!$B$5:$B$1005="REGALO")*(MOVIMIENTOS!$C$5:$C$1005="Chancho")*(MOVIMIENTOS!$D$5:$D$1005="sacos")*(MOVIMIENTOS!$A$5:$A$1005&lt;&gt;"")*(MOVIMIENTOS!$A$5:$A$1005&lt;=$A265)*MOVIMIENTOS!$E$5:$E$1005)-SUMPRODUCT((MOVIMIENTOS!$B$5:$B$1005="VENTA")*(MOVIMIENTOS!$C$5:$C$1005="Chancho")*(MOVIMIENTOS!$D$5:$D$1005="sacos")*(MOVIMIENTOS!$A$5:$A$1005&lt;&gt;"")*(MOVIMIENTOS!$A$5:$A$1005&lt;=$A265)*MOVIMIENTOS!$E$5:$E$1005)+SUMPRODUCT((MOVIMIENTOS!$B$5:$B$1005="AJUSTE")*(MOVIMIENTOS!$C$5:$C$1005="Chancho")*(MOVIMIENTOS!$D$5:$D$1005="sacos")*(MOVIMIENTOS!$A$5:$A$1005&lt;&gt;"")*(MOVIMIENTOS!$A$5:$A$1005&lt;=$A265)*MOVIMIENTOS!$E$5:$E$1005))</f>
        <v/>
      </c>
      <c r="G265" s="95" t="str">
        <f t="shared" si="9"/>
        <v/>
      </c>
      <c r="H265" s="63" t="str">
        <f>IF($A265="","",SUMPRODUCT((((MOVIMIENTOS!$B$5:$B$1005="SALDO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265)*MOVIMIENTOS!$J$5:$J$1005))</f>
        <v/>
      </c>
      <c r="I265" s="63"/>
      <c r="J265" s="63" t="str">
        <f>IF(AND(MOVIMIENTOS!$A264&lt;&gt;"",COUNTIF(MOVIMIENTOS!$A$5:$A263,MOVIMIENTOS!$A264)=0),COUNT(J$4:J264)+1,"")</f>
        <v/>
      </c>
      <c r="K265" s="66">
        <f>MOVIMIENTOS!$A264</f>
        <v>46237</v>
      </c>
      <c r="L265" s="63"/>
      <c r="M265" s="63"/>
      <c r="N265" s="63"/>
    </row>
    <row r="266" spans="1:14" ht="15" customHeight="1" x14ac:dyDescent="0.2">
      <c r="A266" s="63" t="str">
        <f t="shared" si="8"/>
        <v/>
      </c>
      <c r="B266" s="63" t="str">
        <f>IF($A266="","",SUMPRODUCT((MOVIMIENTOS!$B$5:$B$1005="SALDO INICIAL")*(MOVIMIENTOS!$C$5:$C$1005="A")*(MOVIMIENTOS!$D$5:$D$1005="jabas")*(MOVIMIENTOS!$A$5:$A$1005&lt;&gt;"")*(MOVIMIENTOS!$A$5:$A$1005&lt;=$A266)*MOVIMIENTOS!$E$5:$E$1005)+SUMPRODUCT((MOVIMIENTOS!$B$5:$B$1005="PROCESO")*(MOVIMIENTOS!$C$5:$C$1005="A")*(MOVIMIENTOS!$D$5:$D$1005="jabas")*(MOVIMIENTOS!$A$5:$A$1005&lt;&gt;"")*(MOVIMIENTOS!$A$5:$A$1005&lt;=$A266)*MOVIMIENTOS!$E$5:$E$1005)-SUMPRODUCT((MOVIMIENTOS!$B$5:$B$1005="ENVÍO A SUPESA")*(MOVIMIENTOS!$C$5:$C$1005="A")*(MOVIMIENTOS!$D$5:$D$1005="jabas")*(MOVIMIENTOS!$A$5:$A$1005&lt;&gt;"")*(MOVIMIENTOS!$A$5:$A$1005&lt;=$A266)*MOVIMIENTOS!$E$5:$E$1005)+SUMPRODUCT((MOVIMIENTOS!$B$5:$B$1005="DEVOLUCIÓN")*(MOVIMIENTOS!$C$5:$C$1005="A")*(MOVIMIENTOS!$D$5:$D$1005="jabas")*(MOVIMIENTOS!$A$5:$A$1005&lt;&gt;"")*(MOVIMIENTOS!$A$5:$A$1005&lt;=$A266)*MOVIMIENTOS!$E$5:$E$1005)-SUMPRODUCT((MOVIMIENTOS!$B$5:$B$1005="TRASIEGO")*(MOVIMIENTOS!$C$5:$C$1005="A")*(MOVIMIENTOS!$D$5:$D$1005="jabas")*(MOVIMIENTOS!$A$5:$A$1005&lt;&gt;"")*(MOVIMIENTOS!$A$5:$A$1005&lt;=$A266)*MOVIMIENTOS!$E$5:$E$1005)-SUMPRODUCT((MOVIMIENTOS!$B$5:$B$1005="REGALO")*(MOVIMIENTOS!$C$5:$C$1005="A")*(MOVIMIENTOS!$D$5:$D$1005="jabas")*(MOVIMIENTOS!$A$5:$A$1005&lt;&gt;"")*(MOVIMIENTOS!$A$5:$A$1005&lt;=$A266)*MOVIMIENTOS!$E$5:$E$1005)-SUMPRODUCT((MOVIMIENTOS!$B$5:$B$1005="VENTA")*(MOVIMIENTOS!$C$5:$C$1005="A")*(MOVIMIENTOS!$D$5:$D$1005="jabas")*(MOVIMIENTOS!$A$5:$A$1005&lt;&gt;"")*(MOVIMIENTOS!$A$5:$A$1005&lt;=$A266)*MOVIMIENTOS!$E$5:$E$1005)+SUMPRODUCT((MOVIMIENTOS!$B$5:$B$1005="AJUSTE")*(MOVIMIENTOS!$C$5:$C$1005="A")*(MOVIMIENTOS!$D$5:$D$1005="jabas")*(MOVIMIENTOS!$A$5:$A$1005&lt;&gt;"")*(MOVIMIENTOS!$A$5:$A$1005&lt;=$A266)*MOVIMIENTOS!$E$5:$E$1005))</f>
        <v/>
      </c>
      <c r="C266" s="63" t="str">
        <f>IF($A266="","",SUMPRODUCT((MOVIMIENTOS!$B$5:$B$1005="SALDO INICIAL")*(MOVIMIENTOS!$C$5:$C$1005="P")*(MOVIMIENTOS!$D$5:$D$1005="jabas")*(MOVIMIENTOS!$A$5:$A$1005&lt;&gt;"")*(MOVIMIENTOS!$A$5:$A$1005&lt;=$A266)*MOVIMIENTOS!$E$5:$E$1005)+SUMPRODUCT((MOVIMIENTOS!$B$5:$B$1005="PROCESO")*(MOVIMIENTOS!$C$5:$C$1005="P")*(MOVIMIENTOS!$D$5:$D$1005="jabas")*(MOVIMIENTOS!$A$5:$A$1005&lt;&gt;"")*(MOVIMIENTOS!$A$5:$A$1005&lt;=$A266)*MOVIMIENTOS!$E$5:$E$1005)-SUMPRODUCT((MOVIMIENTOS!$B$5:$B$1005="ENVÍO A SUPESA")*(MOVIMIENTOS!$C$5:$C$1005="P")*(MOVIMIENTOS!$D$5:$D$1005="jabas")*(MOVIMIENTOS!$A$5:$A$1005&lt;&gt;"")*(MOVIMIENTOS!$A$5:$A$1005&lt;=$A266)*MOVIMIENTOS!$E$5:$E$1005)+SUMPRODUCT((MOVIMIENTOS!$B$5:$B$1005="DEVOLUCIÓN")*(MOVIMIENTOS!$C$5:$C$1005="P")*(MOVIMIENTOS!$D$5:$D$1005="jabas")*(MOVIMIENTOS!$A$5:$A$1005&lt;&gt;"")*(MOVIMIENTOS!$A$5:$A$1005&lt;=$A266)*MOVIMIENTOS!$E$5:$E$1005)-SUMPRODUCT((MOVIMIENTOS!$B$5:$B$1005="TRASIEGO")*(MOVIMIENTOS!$C$5:$C$1005="P")*(MOVIMIENTOS!$D$5:$D$1005="jabas")*(MOVIMIENTOS!$A$5:$A$1005&lt;&gt;"")*(MOVIMIENTOS!$A$5:$A$1005&lt;=$A266)*MOVIMIENTOS!$E$5:$E$1005)-SUMPRODUCT((MOVIMIENTOS!$B$5:$B$1005="REGALO")*(MOVIMIENTOS!$C$5:$C$1005="P")*(MOVIMIENTOS!$D$5:$D$1005="jabas")*(MOVIMIENTOS!$A$5:$A$1005&lt;&gt;"")*(MOVIMIENTOS!$A$5:$A$1005&lt;=$A266)*MOVIMIENTOS!$E$5:$E$1005)-SUMPRODUCT((MOVIMIENTOS!$B$5:$B$1005="VENTA")*(MOVIMIENTOS!$C$5:$C$1005="P")*(MOVIMIENTOS!$D$5:$D$1005="jabas")*(MOVIMIENTOS!$A$5:$A$1005&lt;&gt;"")*(MOVIMIENTOS!$A$5:$A$1005&lt;=$A266)*MOVIMIENTOS!$E$5:$E$1005)+SUMPRODUCT((MOVIMIENTOS!$B$5:$B$1005="AJUSTE")*(MOVIMIENTOS!$C$5:$C$1005="P")*(MOVIMIENTOS!$D$5:$D$1005="jabas")*(MOVIMIENTOS!$A$5:$A$1005&lt;&gt;"")*(MOVIMIENTOS!$A$5:$A$1005&lt;=$A266)*MOVIMIENTOS!$E$5:$E$1005))</f>
        <v/>
      </c>
      <c r="D266" s="63" t="str">
        <f>IF($A266="","",SUMPRODUCT((MOVIMIENTOS!$B$5:$B$1005="SALDO INICIAL")*(MOVIMIENTOS!$C$5:$C$1005="C")*(MOVIMIENTOS!$D$5:$D$1005="jabas")*(MOVIMIENTOS!$A$5:$A$1005&lt;&gt;"")*(MOVIMIENTOS!$A$5:$A$1005&lt;=$A266)*MOVIMIENTOS!$E$5:$E$1005)+SUMPRODUCT((MOVIMIENTOS!$B$5:$B$1005="PROCESO")*(MOVIMIENTOS!$C$5:$C$1005="C")*(MOVIMIENTOS!$D$5:$D$1005="jabas")*(MOVIMIENTOS!$A$5:$A$1005&lt;&gt;"")*(MOVIMIENTOS!$A$5:$A$1005&lt;=$A266)*MOVIMIENTOS!$E$5:$E$1005)-SUMPRODUCT((MOVIMIENTOS!$B$5:$B$1005="ENVÍO A SUPESA")*(MOVIMIENTOS!$C$5:$C$1005="C")*(MOVIMIENTOS!$D$5:$D$1005="jabas")*(MOVIMIENTOS!$A$5:$A$1005&lt;&gt;"")*(MOVIMIENTOS!$A$5:$A$1005&lt;=$A266)*MOVIMIENTOS!$E$5:$E$1005)+SUMPRODUCT((MOVIMIENTOS!$B$5:$B$1005="DEVOLUCIÓN")*(MOVIMIENTOS!$C$5:$C$1005="C")*(MOVIMIENTOS!$D$5:$D$1005="jabas")*(MOVIMIENTOS!$A$5:$A$1005&lt;&gt;"")*(MOVIMIENTOS!$A$5:$A$1005&lt;=$A266)*MOVIMIENTOS!$E$5:$E$1005)-SUMPRODUCT((MOVIMIENTOS!$B$5:$B$1005="TRASIEGO")*(MOVIMIENTOS!$C$5:$C$1005="C")*(MOVIMIENTOS!$D$5:$D$1005="jabas")*(MOVIMIENTOS!$A$5:$A$1005&lt;&gt;"")*(MOVIMIENTOS!$A$5:$A$1005&lt;=$A266)*MOVIMIENTOS!$E$5:$E$1005)-SUMPRODUCT((MOVIMIENTOS!$B$5:$B$1005="REGALO")*(MOVIMIENTOS!$C$5:$C$1005="C")*(MOVIMIENTOS!$D$5:$D$1005="jabas")*(MOVIMIENTOS!$A$5:$A$1005&lt;&gt;"")*(MOVIMIENTOS!$A$5:$A$1005&lt;=$A266)*MOVIMIENTOS!$E$5:$E$1005)-SUMPRODUCT((MOVIMIENTOS!$B$5:$B$1005="VENTA")*(MOVIMIENTOS!$C$5:$C$1005="C")*(MOVIMIENTOS!$D$5:$D$1005="jabas")*(MOVIMIENTOS!$A$5:$A$1005&lt;&gt;"")*(MOVIMIENTOS!$A$5:$A$1005&lt;=$A266)*MOVIMIENTOS!$E$5:$E$1005)+SUMPRODUCT((MOVIMIENTOS!$B$5:$B$1005="AJUSTE")*(MOVIMIENTOS!$C$5:$C$1005="C")*(MOVIMIENTOS!$D$5:$D$1005="jabas")*(MOVIMIENTOS!$A$5:$A$1005&lt;&gt;"")*(MOVIMIENTOS!$A$5:$A$1005&lt;=$A266)*MOVIMIENTOS!$E$5:$E$1005))</f>
        <v/>
      </c>
      <c r="E266" s="63" t="str">
        <f>IF($A266="","",SUMPRODUCT((MOVIMIENTOS!$B$5:$B$1005="SALDO INICIAL")*(MOVIMIENTOS!$C$5:$C$1005="M")*(MOVIMIENTOS!$D$5:$D$1005="jabas")*(MOVIMIENTOS!$A$5:$A$1005&lt;&gt;"")*(MOVIMIENTOS!$A$5:$A$1005&lt;=$A266)*MOVIMIENTOS!$E$5:$E$1005)+SUMPRODUCT((MOVIMIENTOS!$B$5:$B$1005="PROCESO")*(MOVIMIENTOS!$C$5:$C$1005="M")*(MOVIMIENTOS!$D$5:$D$1005="jabas")*(MOVIMIENTOS!$A$5:$A$1005&lt;&gt;"")*(MOVIMIENTOS!$A$5:$A$1005&lt;=$A266)*MOVIMIENTOS!$E$5:$E$1005)-SUMPRODUCT((MOVIMIENTOS!$B$5:$B$1005="ENVÍO A SUPESA")*(MOVIMIENTOS!$C$5:$C$1005="M")*(MOVIMIENTOS!$D$5:$D$1005="jabas")*(MOVIMIENTOS!$A$5:$A$1005&lt;&gt;"")*(MOVIMIENTOS!$A$5:$A$1005&lt;=$A266)*MOVIMIENTOS!$E$5:$E$1005)+SUMPRODUCT((MOVIMIENTOS!$B$5:$B$1005="DEVOLUCIÓN")*(MOVIMIENTOS!$C$5:$C$1005="M")*(MOVIMIENTOS!$D$5:$D$1005="jabas")*(MOVIMIENTOS!$A$5:$A$1005&lt;&gt;"")*(MOVIMIENTOS!$A$5:$A$1005&lt;=$A266)*MOVIMIENTOS!$E$5:$E$1005)-SUMPRODUCT((MOVIMIENTOS!$B$5:$B$1005="TRASIEGO")*(MOVIMIENTOS!$C$5:$C$1005="M")*(MOVIMIENTOS!$D$5:$D$1005="jabas")*(MOVIMIENTOS!$A$5:$A$1005&lt;&gt;"")*(MOVIMIENTOS!$A$5:$A$1005&lt;=$A266)*MOVIMIENTOS!$E$5:$E$1005)-SUMPRODUCT((MOVIMIENTOS!$B$5:$B$1005="REGALO")*(MOVIMIENTOS!$C$5:$C$1005="M")*(MOVIMIENTOS!$D$5:$D$1005="jabas")*(MOVIMIENTOS!$A$5:$A$1005&lt;&gt;"")*(MOVIMIENTOS!$A$5:$A$1005&lt;=$A266)*MOVIMIENTOS!$E$5:$E$1005)-SUMPRODUCT((MOVIMIENTOS!$B$5:$B$1005="VENTA")*(MOVIMIENTOS!$C$5:$C$1005="M")*(MOVIMIENTOS!$D$5:$D$1005="jabas")*(MOVIMIENTOS!$A$5:$A$1005&lt;&gt;"")*(MOVIMIENTOS!$A$5:$A$1005&lt;=$A266)*MOVIMIENTOS!$E$5:$E$1005)+SUMPRODUCT((MOVIMIENTOS!$B$5:$B$1005="AJUSTE")*(MOVIMIENTOS!$C$5:$C$1005="M")*(MOVIMIENTOS!$D$5:$D$1005="jabas")*(MOVIMIENTOS!$A$5:$A$1005&lt;&gt;"")*(MOVIMIENTOS!$A$5:$A$1005&lt;=$A266)*MOVIMIENTOS!$E$5:$E$1005))</f>
        <v/>
      </c>
      <c r="F266" s="63" t="str">
        <f>IF($A266="","",SUMPRODUCT((MOVIMIENTOS!$B$5:$B$1005="SALDO INICIAL")*(MOVIMIENTOS!$C$5:$C$1005="Chancho")*(MOVIMIENTOS!$D$5:$D$1005="sacos")*(MOVIMIENTOS!$A$5:$A$1005&lt;&gt;"")*(MOVIMIENTOS!$A$5:$A$1005&lt;=$A266)*MOVIMIENTOS!$E$5:$E$1005)+SUMPRODUCT((MOVIMIENTOS!$B$5:$B$1005="PROCESO")*(MOVIMIENTOS!$C$5:$C$1005="Chancho")*(MOVIMIENTOS!$D$5:$D$1005="sacos")*(MOVIMIENTOS!$A$5:$A$1005&lt;&gt;"")*(MOVIMIENTOS!$A$5:$A$1005&lt;=$A266)*MOVIMIENTOS!$E$5:$E$1005)-SUMPRODUCT((MOVIMIENTOS!$B$5:$B$1005="VENTA CHANCHO")*(MOVIMIENTOS!$C$5:$C$1005="Chancho")*(MOVIMIENTOS!$D$5:$D$1005="sacos")*(MOVIMIENTOS!$A$5:$A$1005&lt;&gt;"")*(MOVIMIENTOS!$A$5:$A$1005&lt;=$A266)*MOVIMIENTOS!$E$5:$E$1005)-SUMPRODUCT((MOVIMIENTOS!$B$5:$B$1005="REGALO")*(MOVIMIENTOS!$C$5:$C$1005="Chancho")*(MOVIMIENTOS!$D$5:$D$1005="sacos")*(MOVIMIENTOS!$A$5:$A$1005&lt;&gt;"")*(MOVIMIENTOS!$A$5:$A$1005&lt;=$A266)*MOVIMIENTOS!$E$5:$E$1005)-SUMPRODUCT((MOVIMIENTOS!$B$5:$B$1005="VENTA")*(MOVIMIENTOS!$C$5:$C$1005="Chancho")*(MOVIMIENTOS!$D$5:$D$1005="sacos")*(MOVIMIENTOS!$A$5:$A$1005&lt;&gt;"")*(MOVIMIENTOS!$A$5:$A$1005&lt;=$A266)*MOVIMIENTOS!$E$5:$E$1005)+SUMPRODUCT((MOVIMIENTOS!$B$5:$B$1005="AJUSTE")*(MOVIMIENTOS!$C$5:$C$1005="Chancho")*(MOVIMIENTOS!$D$5:$D$1005="sacos")*(MOVIMIENTOS!$A$5:$A$1005&lt;&gt;"")*(MOVIMIENTOS!$A$5:$A$1005&lt;=$A266)*MOVIMIENTOS!$E$5:$E$1005))</f>
        <v/>
      </c>
      <c r="G266" s="95" t="str">
        <f t="shared" si="9"/>
        <v/>
      </c>
      <c r="H266" s="63" t="str">
        <f>IF($A266="","",SUMPRODUCT((((MOVIMIENTOS!$B$5:$B$1005="SALDO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266)*MOVIMIENTOS!$J$5:$J$1005))</f>
        <v/>
      </c>
      <c r="I266" s="63"/>
      <c r="J266" s="63" t="str">
        <f>IF(AND(MOVIMIENTOS!$A265&lt;&gt;"",COUNTIF(MOVIMIENTOS!$A$5:$A264,MOVIMIENTOS!$A265)=0),COUNT(J$4:J265)+1,"")</f>
        <v/>
      </c>
      <c r="K266" s="66">
        <f>MOVIMIENTOS!$A265</f>
        <v>46237</v>
      </c>
      <c r="L266" s="63"/>
      <c r="M266" s="63"/>
      <c r="N266" s="63"/>
    </row>
    <row r="267" spans="1:14" ht="15" customHeight="1" x14ac:dyDescent="0.2">
      <c r="A267" s="63" t="str">
        <f t="shared" si="8"/>
        <v/>
      </c>
      <c r="B267" s="63" t="str">
        <f>IF($A267="","",SUMPRODUCT((MOVIMIENTOS!$B$5:$B$1005="SALDO INICIAL")*(MOVIMIENTOS!$C$5:$C$1005="A")*(MOVIMIENTOS!$D$5:$D$1005="jabas")*(MOVIMIENTOS!$A$5:$A$1005&lt;&gt;"")*(MOVIMIENTOS!$A$5:$A$1005&lt;=$A267)*MOVIMIENTOS!$E$5:$E$1005)+SUMPRODUCT((MOVIMIENTOS!$B$5:$B$1005="PROCESO")*(MOVIMIENTOS!$C$5:$C$1005="A")*(MOVIMIENTOS!$D$5:$D$1005="jabas")*(MOVIMIENTOS!$A$5:$A$1005&lt;&gt;"")*(MOVIMIENTOS!$A$5:$A$1005&lt;=$A267)*MOVIMIENTOS!$E$5:$E$1005)-SUMPRODUCT((MOVIMIENTOS!$B$5:$B$1005="ENVÍO A SUPESA")*(MOVIMIENTOS!$C$5:$C$1005="A")*(MOVIMIENTOS!$D$5:$D$1005="jabas")*(MOVIMIENTOS!$A$5:$A$1005&lt;&gt;"")*(MOVIMIENTOS!$A$5:$A$1005&lt;=$A267)*MOVIMIENTOS!$E$5:$E$1005)+SUMPRODUCT((MOVIMIENTOS!$B$5:$B$1005="DEVOLUCIÓN")*(MOVIMIENTOS!$C$5:$C$1005="A")*(MOVIMIENTOS!$D$5:$D$1005="jabas")*(MOVIMIENTOS!$A$5:$A$1005&lt;&gt;"")*(MOVIMIENTOS!$A$5:$A$1005&lt;=$A267)*MOVIMIENTOS!$E$5:$E$1005)-SUMPRODUCT((MOVIMIENTOS!$B$5:$B$1005="TRASIEGO")*(MOVIMIENTOS!$C$5:$C$1005="A")*(MOVIMIENTOS!$D$5:$D$1005="jabas")*(MOVIMIENTOS!$A$5:$A$1005&lt;&gt;"")*(MOVIMIENTOS!$A$5:$A$1005&lt;=$A267)*MOVIMIENTOS!$E$5:$E$1005)-SUMPRODUCT((MOVIMIENTOS!$B$5:$B$1005="REGALO")*(MOVIMIENTOS!$C$5:$C$1005="A")*(MOVIMIENTOS!$D$5:$D$1005="jabas")*(MOVIMIENTOS!$A$5:$A$1005&lt;&gt;"")*(MOVIMIENTOS!$A$5:$A$1005&lt;=$A267)*MOVIMIENTOS!$E$5:$E$1005)-SUMPRODUCT((MOVIMIENTOS!$B$5:$B$1005="VENTA")*(MOVIMIENTOS!$C$5:$C$1005="A")*(MOVIMIENTOS!$D$5:$D$1005="jabas")*(MOVIMIENTOS!$A$5:$A$1005&lt;&gt;"")*(MOVIMIENTOS!$A$5:$A$1005&lt;=$A267)*MOVIMIENTOS!$E$5:$E$1005)+SUMPRODUCT((MOVIMIENTOS!$B$5:$B$1005="AJUSTE")*(MOVIMIENTOS!$C$5:$C$1005="A")*(MOVIMIENTOS!$D$5:$D$1005="jabas")*(MOVIMIENTOS!$A$5:$A$1005&lt;&gt;"")*(MOVIMIENTOS!$A$5:$A$1005&lt;=$A267)*MOVIMIENTOS!$E$5:$E$1005))</f>
        <v/>
      </c>
      <c r="C267" s="63" t="str">
        <f>IF($A267="","",SUMPRODUCT((MOVIMIENTOS!$B$5:$B$1005="SALDO INICIAL")*(MOVIMIENTOS!$C$5:$C$1005="P")*(MOVIMIENTOS!$D$5:$D$1005="jabas")*(MOVIMIENTOS!$A$5:$A$1005&lt;&gt;"")*(MOVIMIENTOS!$A$5:$A$1005&lt;=$A267)*MOVIMIENTOS!$E$5:$E$1005)+SUMPRODUCT((MOVIMIENTOS!$B$5:$B$1005="PROCESO")*(MOVIMIENTOS!$C$5:$C$1005="P")*(MOVIMIENTOS!$D$5:$D$1005="jabas")*(MOVIMIENTOS!$A$5:$A$1005&lt;&gt;"")*(MOVIMIENTOS!$A$5:$A$1005&lt;=$A267)*MOVIMIENTOS!$E$5:$E$1005)-SUMPRODUCT((MOVIMIENTOS!$B$5:$B$1005="ENVÍO A SUPESA")*(MOVIMIENTOS!$C$5:$C$1005="P")*(MOVIMIENTOS!$D$5:$D$1005="jabas")*(MOVIMIENTOS!$A$5:$A$1005&lt;&gt;"")*(MOVIMIENTOS!$A$5:$A$1005&lt;=$A267)*MOVIMIENTOS!$E$5:$E$1005)+SUMPRODUCT((MOVIMIENTOS!$B$5:$B$1005="DEVOLUCIÓN")*(MOVIMIENTOS!$C$5:$C$1005="P")*(MOVIMIENTOS!$D$5:$D$1005="jabas")*(MOVIMIENTOS!$A$5:$A$1005&lt;&gt;"")*(MOVIMIENTOS!$A$5:$A$1005&lt;=$A267)*MOVIMIENTOS!$E$5:$E$1005)-SUMPRODUCT((MOVIMIENTOS!$B$5:$B$1005="TRASIEGO")*(MOVIMIENTOS!$C$5:$C$1005="P")*(MOVIMIENTOS!$D$5:$D$1005="jabas")*(MOVIMIENTOS!$A$5:$A$1005&lt;&gt;"")*(MOVIMIENTOS!$A$5:$A$1005&lt;=$A267)*MOVIMIENTOS!$E$5:$E$1005)-SUMPRODUCT((MOVIMIENTOS!$B$5:$B$1005="REGALO")*(MOVIMIENTOS!$C$5:$C$1005="P")*(MOVIMIENTOS!$D$5:$D$1005="jabas")*(MOVIMIENTOS!$A$5:$A$1005&lt;&gt;"")*(MOVIMIENTOS!$A$5:$A$1005&lt;=$A267)*MOVIMIENTOS!$E$5:$E$1005)-SUMPRODUCT((MOVIMIENTOS!$B$5:$B$1005="VENTA")*(MOVIMIENTOS!$C$5:$C$1005="P")*(MOVIMIENTOS!$D$5:$D$1005="jabas")*(MOVIMIENTOS!$A$5:$A$1005&lt;&gt;"")*(MOVIMIENTOS!$A$5:$A$1005&lt;=$A267)*MOVIMIENTOS!$E$5:$E$1005)+SUMPRODUCT((MOVIMIENTOS!$B$5:$B$1005="AJUSTE")*(MOVIMIENTOS!$C$5:$C$1005="P")*(MOVIMIENTOS!$D$5:$D$1005="jabas")*(MOVIMIENTOS!$A$5:$A$1005&lt;&gt;"")*(MOVIMIENTOS!$A$5:$A$1005&lt;=$A267)*MOVIMIENTOS!$E$5:$E$1005))</f>
        <v/>
      </c>
      <c r="D267" s="63" t="str">
        <f>IF($A267="","",SUMPRODUCT((MOVIMIENTOS!$B$5:$B$1005="SALDO INICIAL")*(MOVIMIENTOS!$C$5:$C$1005="C")*(MOVIMIENTOS!$D$5:$D$1005="jabas")*(MOVIMIENTOS!$A$5:$A$1005&lt;&gt;"")*(MOVIMIENTOS!$A$5:$A$1005&lt;=$A267)*MOVIMIENTOS!$E$5:$E$1005)+SUMPRODUCT((MOVIMIENTOS!$B$5:$B$1005="PROCESO")*(MOVIMIENTOS!$C$5:$C$1005="C")*(MOVIMIENTOS!$D$5:$D$1005="jabas")*(MOVIMIENTOS!$A$5:$A$1005&lt;&gt;"")*(MOVIMIENTOS!$A$5:$A$1005&lt;=$A267)*MOVIMIENTOS!$E$5:$E$1005)-SUMPRODUCT((MOVIMIENTOS!$B$5:$B$1005="ENVÍO A SUPESA")*(MOVIMIENTOS!$C$5:$C$1005="C")*(MOVIMIENTOS!$D$5:$D$1005="jabas")*(MOVIMIENTOS!$A$5:$A$1005&lt;&gt;"")*(MOVIMIENTOS!$A$5:$A$1005&lt;=$A267)*MOVIMIENTOS!$E$5:$E$1005)+SUMPRODUCT((MOVIMIENTOS!$B$5:$B$1005="DEVOLUCIÓN")*(MOVIMIENTOS!$C$5:$C$1005="C")*(MOVIMIENTOS!$D$5:$D$1005="jabas")*(MOVIMIENTOS!$A$5:$A$1005&lt;&gt;"")*(MOVIMIENTOS!$A$5:$A$1005&lt;=$A267)*MOVIMIENTOS!$E$5:$E$1005)-SUMPRODUCT((MOVIMIENTOS!$B$5:$B$1005="TRASIEGO")*(MOVIMIENTOS!$C$5:$C$1005="C")*(MOVIMIENTOS!$D$5:$D$1005="jabas")*(MOVIMIENTOS!$A$5:$A$1005&lt;&gt;"")*(MOVIMIENTOS!$A$5:$A$1005&lt;=$A267)*MOVIMIENTOS!$E$5:$E$1005)-SUMPRODUCT((MOVIMIENTOS!$B$5:$B$1005="REGALO")*(MOVIMIENTOS!$C$5:$C$1005="C")*(MOVIMIENTOS!$D$5:$D$1005="jabas")*(MOVIMIENTOS!$A$5:$A$1005&lt;&gt;"")*(MOVIMIENTOS!$A$5:$A$1005&lt;=$A267)*MOVIMIENTOS!$E$5:$E$1005)-SUMPRODUCT((MOVIMIENTOS!$B$5:$B$1005="VENTA")*(MOVIMIENTOS!$C$5:$C$1005="C")*(MOVIMIENTOS!$D$5:$D$1005="jabas")*(MOVIMIENTOS!$A$5:$A$1005&lt;&gt;"")*(MOVIMIENTOS!$A$5:$A$1005&lt;=$A267)*MOVIMIENTOS!$E$5:$E$1005)+SUMPRODUCT((MOVIMIENTOS!$B$5:$B$1005="AJUSTE")*(MOVIMIENTOS!$C$5:$C$1005="C")*(MOVIMIENTOS!$D$5:$D$1005="jabas")*(MOVIMIENTOS!$A$5:$A$1005&lt;&gt;"")*(MOVIMIENTOS!$A$5:$A$1005&lt;=$A267)*MOVIMIENTOS!$E$5:$E$1005))</f>
        <v/>
      </c>
      <c r="E267" s="63" t="str">
        <f>IF($A267="","",SUMPRODUCT((MOVIMIENTOS!$B$5:$B$1005="SALDO INICIAL")*(MOVIMIENTOS!$C$5:$C$1005="M")*(MOVIMIENTOS!$D$5:$D$1005="jabas")*(MOVIMIENTOS!$A$5:$A$1005&lt;&gt;"")*(MOVIMIENTOS!$A$5:$A$1005&lt;=$A267)*MOVIMIENTOS!$E$5:$E$1005)+SUMPRODUCT((MOVIMIENTOS!$B$5:$B$1005="PROCESO")*(MOVIMIENTOS!$C$5:$C$1005="M")*(MOVIMIENTOS!$D$5:$D$1005="jabas")*(MOVIMIENTOS!$A$5:$A$1005&lt;&gt;"")*(MOVIMIENTOS!$A$5:$A$1005&lt;=$A267)*MOVIMIENTOS!$E$5:$E$1005)-SUMPRODUCT((MOVIMIENTOS!$B$5:$B$1005="ENVÍO A SUPESA")*(MOVIMIENTOS!$C$5:$C$1005="M")*(MOVIMIENTOS!$D$5:$D$1005="jabas")*(MOVIMIENTOS!$A$5:$A$1005&lt;&gt;"")*(MOVIMIENTOS!$A$5:$A$1005&lt;=$A267)*MOVIMIENTOS!$E$5:$E$1005)+SUMPRODUCT((MOVIMIENTOS!$B$5:$B$1005="DEVOLUCIÓN")*(MOVIMIENTOS!$C$5:$C$1005="M")*(MOVIMIENTOS!$D$5:$D$1005="jabas")*(MOVIMIENTOS!$A$5:$A$1005&lt;&gt;"")*(MOVIMIENTOS!$A$5:$A$1005&lt;=$A267)*MOVIMIENTOS!$E$5:$E$1005)-SUMPRODUCT((MOVIMIENTOS!$B$5:$B$1005="TRASIEGO")*(MOVIMIENTOS!$C$5:$C$1005="M")*(MOVIMIENTOS!$D$5:$D$1005="jabas")*(MOVIMIENTOS!$A$5:$A$1005&lt;&gt;"")*(MOVIMIENTOS!$A$5:$A$1005&lt;=$A267)*MOVIMIENTOS!$E$5:$E$1005)-SUMPRODUCT((MOVIMIENTOS!$B$5:$B$1005="REGALO")*(MOVIMIENTOS!$C$5:$C$1005="M")*(MOVIMIENTOS!$D$5:$D$1005="jabas")*(MOVIMIENTOS!$A$5:$A$1005&lt;&gt;"")*(MOVIMIENTOS!$A$5:$A$1005&lt;=$A267)*MOVIMIENTOS!$E$5:$E$1005)-SUMPRODUCT((MOVIMIENTOS!$B$5:$B$1005="VENTA")*(MOVIMIENTOS!$C$5:$C$1005="M")*(MOVIMIENTOS!$D$5:$D$1005="jabas")*(MOVIMIENTOS!$A$5:$A$1005&lt;&gt;"")*(MOVIMIENTOS!$A$5:$A$1005&lt;=$A267)*MOVIMIENTOS!$E$5:$E$1005)+SUMPRODUCT((MOVIMIENTOS!$B$5:$B$1005="AJUSTE")*(MOVIMIENTOS!$C$5:$C$1005="M")*(MOVIMIENTOS!$D$5:$D$1005="jabas")*(MOVIMIENTOS!$A$5:$A$1005&lt;&gt;"")*(MOVIMIENTOS!$A$5:$A$1005&lt;=$A267)*MOVIMIENTOS!$E$5:$E$1005))</f>
        <v/>
      </c>
      <c r="F267" s="63" t="str">
        <f>IF($A267="","",SUMPRODUCT((MOVIMIENTOS!$B$5:$B$1005="SALDO INICIAL")*(MOVIMIENTOS!$C$5:$C$1005="Chancho")*(MOVIMIENTOS!$D$5:$D$1005="sacos")*(MOVIMIENTOS!$A$5:$A$1005&lt;&gt;"")*(MOVIMIENTOS!$A$5:$A$1005&lt;=$A267)*MOVIMIENTOS!$E$5:$E$1005)+SUMPRODUCT((MOVIMIENTOS!$B$5:$B$1005="PROCESO")*(MOVIMIENTOS!$C$5:$C$1005="Chancho")*(MOVIMIENTOS!$D$5:$D$1005="sacos")*(MOVIMIENTOS!$A$5:$A$1005&lt;&gt;"")*(MOVIMIENTOS!$A$5:$A$1005&lt;=$A267)*MOVIMIENTOS!$E$5:$E$1005)-SUMPRODUCT((MOVIMIENTOS!$B$5:$B$1005="VENTA CHANCHO")*(MOVIMIENTOS!$C$5:$C$1005="Chancho")*(MOVIMIENTOS!$D$5:$D$1005="sacos")*(MOVIMIENTOS!$A$5:$A$1005&lt;&gt;"")*(MOVIMIENTOS!$A$5:$A$1005&lt;=$A267)*MOVIMIENTOS!$E$5:$E$1005)-SUMPRODUCT((MOVIMIENTOS!$B$5:$B$1005="REGALO")*(MOVIMIENTOS!$C$5:$C$1005="Chancho")*(MOVIMIENTOS!$D$5:$D$1005="sacos")*(MOVIMIENTOS!$A$5:$A$1005&lt;&gt;"")*(MOVIMIENTOS!$A$5:$A$1005&lt;=$A267)*MOVIMIENTOS!$E$5:$E$1005)-SUMPRODUCT((MOVIMIENTOS!$B$5:$B$1005="VENTA")*(MOVIMIENTOS!$C$5:$C$1005="Chancho")*(MOVIMIENTOS!$D$5:$D$1005="sacos")*(MOVIMIENTOS!$A$5:$A$1005&lt;&gt;"")*(MOVIMIENTOS!$A$5:$A$1005&lt;=$A267)*MOVIMIENTOS!$E$5:$E$1005)+SUMPRODUCT((MOVIMIENTOS!$B$5:$B$1005="AJUSTE")*(MOVIMIENTOS!$C$5:$C$1005="Chancho")*(MOVIMIENTOS!$D$5:$D$1005="sacos")*(MOVIMIENTOS!$A$5:$A$1005&lt;&gt;"")*(MOVIMIENTOS!$A$5:$A$1005&lt;=$A267)*MOVIMIENTOS!$E$5:$E$1005))</f>
        <v/>
      </c>
      <c r="G267" s="95" t="str">
        <f t="shared" si="9"/>
        <v/>
      </c>
      <c r="H267" s="63" t="str">
        <f>IF($A267="","",SUMPRODUCT((((MOVIMIENTOS!$B$5:$B$1005="SALDO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267)*MOVIMIENTOS!$J$5:$J$1005))</f>
        <v/>
      </c>
      <c r="I267" s="63"/>
      <c r="J267" s="63" t="str">
        <f>IF(AND(MOVIMIENTOS!$A266&lt;&gt;"",COUNTIF(MOVIMIENTOS!$A$5:$A265,MOVIMIENTOS!$A266)=0),COUNT(J$4:J266)+1,"")</f>
        <v/>
      </c>
      <c r="K267" s="66">
        <f>MOVIMIENTOS!$A266</f>
        <v>46237</v>
      </c>
      <c r="L267" s="63"/>
      <c r="M267" s="63"/>
      <c r="N267" s="63"/>
    </row>
    <row r="268" spans="1:14" ht="15" customHeight="1" x14ac:dyDescent="0.2">
      <c r="A268" s="63" t="str">
        <f t="shared" si="8"/>
        <v/>
      </c>
      <c r="B268" s="63" t="str">
        <f>IF($A268="","",SUMPRODUCT((MOVIMIENTOS!$B$5:$B$1005="SALDO INICIAL")*(MOVIMIENTOS!$C$5:$C$1005="A")*(MOVIMIENTOS!$D$5:$D$1005="jabas")*(MOVIMIENTOS!$A$5:$A$1005&lt;&gt;"")*(MOVIMIENTOS!$A$5:$A$1005&lt;=$A268)*MOVIMIENTOS!$E$5:$E$1005)+SUMPRODUCT((MOVIMIENTOS!$B$5:$B$1005="PROCESO")*(MOVIMIENTOS!$C$5:$C$1005="A")*(MOVIMIENTOS!$D$5:$D$1005="jabas")*(MOVIMIENTOS!$A$5:$A$1005&lt;&gt;"")*(MOVIMIENTOS!$A$5:$A$1005&lt;=$A268)*MOVIMIENTOS!$E$5:$E$1005)-SUMPRODUCT((MOVIMIENTOS!$B$5:$B$1005="ENVÍO A SUPESA")*(MOVIMIENTOS!$C$5:$C$1005="A")*(MOVIMIENTOS!$D$5:$D$1005="jabas")*(MOVIMIENTOS!$A$5:$A$1005&lt;&gt;"")*(MOVIMIENTOS!$A$5:$A$1005&lt;=$A268)*MOVIMIENTOS!$E$5:$E$1005)+SUMPRODUCT((MOVIMIENTOS!$B$5:$B$1005="DEVOLUCIÓN")*(MOVIMIENTOS!$C$5:$C$1005="A")*(MOVIMIENTOS!$D$5:$D$1005="jabas")*(MOVIMIENTOS!$A$5:$A$1005&lt;&gt;"")*(MOVIMIENTOS!$A$5:$A$1005&lt;=$A268)*MOVIMIENTOS!$E$5:$E$1005)-SUMPRODUCT((MOVIMIENTOS!$B$5:$B$1005="TRASIEGO")*(MOVIMIENTOS!$C$5:$C$1005="A")*(MOVIMIENTOS!$D$5:$D$1005="jabas")*(MOVIMIENTOS!$A$5:$A$1005&lt;&gt;"")*(MOVIMIENTOS!$A$5:$A$1005&lt;=$A268)*MOVIMIENTOS!$E$5:$E$1005)-SUMPRODUCT((MOVIMIENTOS!$B$5:$B$1005="REGALO")*(MOVIMIENTOS!$C$5:$C$1005="A")*(MOVIMIENTOS!$D$5:$D$1005="jabas")*(MOVIMIENTOS!$A$5:$A$1005&lt;&gt;"")*(MOVIMIENTOS!$A$5:$A$1005&lt;=$A268)*MOVIMIENTOS!$E$5:$E$1005)-SUMPRODUCT((MOVIMIENTOS!$B$5:$B$1005="VENTA")*(MOVIMIENTOS!$C$5:$C$1005="A")*(MOVIMIENTOS!$D$5:$D$1005="jabas")*(MOVIMIENTOS!$A$5:$A$1005&lt;&gt;"")*(MOVIMIENTOS!$A$5:$A$1005&lt;=$A268)*MOVIMIENTOS!$E$5:$E$1005)+SUMPRODUCT((MOVIMIENTOS!$B$5:$B$1005="AJUSTE")*(MOVIMIENTOS!$C$5:$C$1005="A")*(MOVIMIENTOS!$D$5:$D$1005="jabas")*(MOVIMIENTOS!$A$5:$A$1005&lt;&gt;"")*(MOVIMIENTOS!$A$5:$A$1005&lt;=$A268)*MOVIMIENTOS!$E$5:$E$1005))</f>
        <v/>
      </c>
      <c r="C268" s="63" t="str">
        <f>IF($A268="","",SUMPRODUCT((MOVIMIENTOS!$B$5:$B$1005="SALDO INICIAL")*(MOVIMIENTOS!$C$5:$C$1005="P")*(MOVIMIENTOS!$D$5:$D$1005="jabas")*(MOVIMIENTOS!$A$5:$A$1005&lt;&gt;"")*(MOVIMIENTOS!$A$5:$A$1005&lt;=$A268)*MOVIMIENTOS!$E$5:$E$1005)+SUMPRODUCT((MOVIMIENTOS!$B$5:$B$1005="PROCESO")*(MOVIMIENTOS!$C$5:$C$1005="P")*(MOVIMIENTOS!$D$5:$D$1005="jabas")*(MOVIMIENTOS!$A$5:$A$1005&lt;&gt;"")*(MOVIMIENTOS!$A$5:$A$1005&lt;=$A268)*MOVIMIENTOS!$E$5:$E$1005)-SUMPRODUCT((MOVIMIENTOS!$B$5:$B$1005="ENVÍO A SUPESA")*(MOVIMIENTOS!$C$5:$C$1005="P")*(MOVIMIENTOS!$D$5:$D$1005="jabas")*(MOVIMIENTOS!$A$5:$A$1005&lt;&gt;"")*(MOVIMIENTOS!$A$5:$A$1005&lt;=$A268)*MOVIMIENTOS!$E$5:$E$1005)+SUMPRODUCT((MOVIMIENTOS!$B$5:$B$1005="DEVOLUCIÓN")*(MOVIMIENTOS!$C$5:$C$1005="P")*(MOVIMIENTOS!$D$5:$D$1005="jabas")*(MOVIMIENTOS!$A$5:$A$1005&lt;&gt;"")*(MOVIMIENTOS!$A$5:$A$1005&lt;=$A268)*MOVIMIENTOS!$E$5:$E$1005)-SUMPRODUCT((MOVIMIENTOS!$B$5:$B$1005="TRASIEGO")*(MOVIMIENTOS!$C$5:$C$1005="P")*(MOVIMIENTOS!$D$5:$D$1005="jabas")*(MOVIMIENTOS!$A$5:$A$1005&lt;&gt;"")*(MOVIMIENTOS!$A$5:$A$1005&lt;=$A268)*MOVIMIENTOS!$E$5:$E$1005)-SUMPRODUCT((MOVIMIENTOS!$B$5:$B$1005="REGALO")*(MOVIMIENTOS!$C$5:$C$1005="P")*(MOVIMIENTOS!$D$5:$D$1005="jabas")*(MOVIMIENTOS!$A$5:$A$1005&lt;&gt;"")*(MOVIMIENTOS!$A$5:$A$1005&lt;=$A268)*MOVIMIENTOS!$E$5:$E$1005)-SUMPRODUCT((MOVIMIENTOS!$B$5:$B$1005="VENTA")*(MOVIMIENTOS!$C$5:$C$1005="P")*(MOVIMIENTOS!$D$5:$D$1005="jabas")*(MOVIMIENTOS!$A$5:$A$1005&lt;&gt;"")*(MOVIMIENTOS!$A$5:$A$1005&lt;=$A268)*MOVIMIENTOS!$E$5:$E$1005)+SUMPRODUCT((MOVIMIENTOS!$B$5:$B$1005="AJUSTE")*(MOVIMIENTOS!$C$5:$C$1005="P")*(MOVIMIENTOS!$D$5:$D$1005="jabas")*(MOVIMIENTOS!$A$5:$A$1005&lt;&gt;"")*(MOVIMIENTOS!$A$5:$A$1005&lt;=$A268)*MOVIMIENTOS!$E$5:$E$1005))</f>
        <v/>
      </c>
      <c r="D268" s="63" t="str">
        <f>IF($A268="","",SUMPRODUCT((MOVIMIENTOS!$B$5:$B$1005="SALDO INICIAL")*(MOVIMIENTOS!$C$5:$C$1005="C")*(MOVIMIENTOS!$D$5:$D$1005="jabas")*(MOVIMIENTOS!$A$5:$A$1005&lt;&gt;"")*(MOVIMIENTOS!$A$5:$A$1005&lt;=$A268)*MOVIMIENTOS!$E$5:$E$1005)+SUMPRODUCT((MOVIMIENTOS!$B$5:$B$1005="PROCESO")*(MOVIMIENTOS!$C$5:$C$1005="C")*(MOVIMIENTOS!$D$5:$D$1005="jabas")*(MOVIMIENTOS!$A$5:$A$1005&lt;&gt;"")*(MOVIMIENTOS!$A$5:$A$1005&lt;=$A268)*MOVIMIENTOS!$E$5:$E$1005)-SUMPRODUCT((MOVIMIENTOS!$B$5:$B$1005="ENVÍO A SUPESA")*(MOVIMIENTOS!$C$5:$C$1005="C")*(MOVIMIENTOS!$D$5:$D$1005="jabas")*(MOVIMIENTOS!$A$5:$A$1005&lt;&gt;"")*(MOVIMIENTOS!$A$5:$A$1005&lt;=$A268)*MOVIMIENTOS!$E$5:$E$1005)+SUMPRODUCT((MOVIMIENTOS!$B$5:$B$1005="DEVOLUCIÓN")*(MOVIMIENTOS!$C$5:$C$1005="C")*(MOVIMIENTOS!$D$5:$D$1005="jabas")*(MOVIMIENTOS!$A$5:$A$1005&lt;&gt;"")*(MOVIMIENTOS!$A$5:$A$1005&lt;=$A268)*MOVIMIENTOS!$E$5:$E$1005)-SUMPRODUCT((MOVIMIENTOS!$B$5:$B$1005="TRASIEGO")*(MOVIMIENTOS!$C$5:$C$1005="C")*(MOVIMIENTOS!$D$5:$D$1005="jabas")*(MOVIMIENTOS!$A$5:$A$1005&lt;&gt;"")*(MOVIMIENTOS!$A$5:$A$1005&lt;=$A268)*MOVIMIENTOS!$E$5:$E$1005)-SUMPRODUCT((MOVIMIENTOS!$B$5:$B$1005="REGALO")*(MOVIMIENTOS!$C$5:$C$1005="C")*(MOVIMIENTOS!$D$5:$D$1005="jabas")*(MOVIMIENTOS!$A$5:$A$1005&lt;&gt;"")*(MOVIMIENTOS!$A$5:$A$1005&lt;=$A268)*MOVIMIENTOS!$E$5:$E$1005)-SUMPRODUCT((MOVIMIENTOS!$B$5:$B$1005="VENTA")*(MOVIMIENTOS!$C$5:$C$1005="C")*(MOVIMIENTOS!$D$5:$D$1005="jabas")*(MOVIMIENTOS!$A$5:$A$1005&lt;&gt;"")*(MOVIMIENTOS!$A$5:$A$1005&lt;=$A268)*MOVIMIENTOS!$E$5:$E$1005)+SUMPRODUCT((MOVIMIENTOS!$B$5:$B$1005="AJUSTE")*(MOVIMIENTOS!$C$5:$C$1005="C")*(MOVIMIENTOS!$D$5:$D$1005="jabas")*(MOVIMIENTOS!$A$5:$A$1005&lt;&gt;"")*(MOVIMIENTOS!$A$5:$A$1005&lt;=$A268)*MOVIMIENTOS!$E$5:$E$1005))</f>
        <v/>
      </c>
      <c r="E268" s="63" t="str">
        <f>IF($A268="","",SUMPRODUCT((MOVIMIENTOS!$B$5:$B$1005="SALDO INICIAL")*(MOVIMIENTOS!$C$5:$C$1005="M")*(MOVIMIENTOS!$D$5:$D$1005="jabas")*(MOVIMIENTOS!$A$5:$A$1005&lt;&gt;"")*(MOVIMIENTOS!$A$5:$A$1005&lt;=$A268)*MOVIMIENTOS!$E$5:$E$1005)+SUMPRODUCT((MOVIMIENTOS!$B$5:$B$1005="PROCESO")*(MOVIMIENTOS!$C$5:$C$1005="M")*(MOVIMIENTOS!$D$5:$D$1005="jabas")*(MOVIMIENTOS!$A$5:$A$1005&lt;&gt;"")*(MOVIMIENTOS!$A$5:$A$1005&lt;=$A268)*MOVIMIENTOS!$E$5:$E$1005)-SUMPRODUCT((MOVIMIENTOS!$B$5:$B$1005="ENVÍO A SUPESA")*(MOVIMIENTOS!$C$5:$C$1005="M")*(MOVIMIENTOS!$D$5:$D$1005="jabas")*(MOVIMIENTOS!$A$5:$A$1005&lt;&gt;"")*(MOVIMIENTOS!$A$5:$A$1005&lt;=$A268)*MOVIMIENTOS!$E$5:$E$1005)+SUMPRODUCT((MOVIMIENTOS!$B$5:$B$1005="DEVOLUCIÓN")*(MOVIMIENTOS!$C$5:$C$1005="M")*(MOVIMIENTOS!$D$5:$D$1005="jabas")*(MOVIMIENTOS!$A$5:$A$1005&lt;&gt;"")*(MOVIMIENTOS!$A$5:$A$1005&lt;=$A268)*MOVIMIENTOS!$E$5:$E$1005)-SUMPRODUCT((MOVIMIENTOS!$B$5:$B$1005="TRASIEGO")*(MOVIMIENTOS!$C$5:$C$1005="M")*(MOVIMIENTOS!$D$5:$D$1005="jabas")*(MOVIMIENTOS!$A$5:$A$1005&lt;&gt;"")*(MOVIMIENTOS!$A$5:$A$1005&lt;=$A268)*MOVIMIENTOS!$E$5:$E$1005)-SUMPRODUCT((MOVIMIENTOS!$B$5:$B$1005="REGALO")*(MOVIMIENTOS!$C$5:$C$1005="M")*(MOVIMIENTOS!$D$5:$D$1005="jabas")*(MOVIMIENTOS!$A$5:$A$1005&lt;&gt;"")*(MOVIMIENTOS!$A$5:$A$1005&lt;=$A268)*MOVIMIENTOS!$E$5:$E$1005)-SUMPRODUCT((MOVIMIENTOS!$B$5:$B$1005="VENTA")*(MOVIMIENTOS!$C$5:$C$1005="M")*(MOVIMIENTOS!$D$5:$D$1005="jabas")*(MOVIMIENTOS!$A$5:$A$1005&lt;&gt;"")*(MOVIMIENTOS!$A$5:$A$1005&lt;=$A268)*MOVIMIENTOS!$E$5:$E$1005)+SUMPRODUCT((MOVIMIENTOS!$B$5:$B$1005="AJUSTE")*(MOVIMIENTOS!$C$5:$C$1005="M")*(MOVIMIENTOS!$D$5:$D$1005="jabas")*(MOVIMIENTOS!$A$5:$A$1005&lt;&gt;"")*(MOVIMIENTOS!$A$5:$A$1005&lt;=$A268)*MOVIMIENTOS!$E$5:$E$1005))</f>
        <v/>
      </c>
      <c r="F268" s="63" t="str">
        <f>IF($A268="","",SUMPRODUCT((MOVIMIENTOS!$B$5:$B$1005="SALDO INICIAL")*(MOVIMIENTOS!$C$5:$C$1005="Chancho")*(MOVIMIENTOS!$D$5:$D$1005="sacos")*(MOVIMIENTOS!$A$5:$A$1005&lt;&gt;"")*(MOVIMIENTOS!$A$5:$A$1005&lt;=$A268)*MOVIMIENTOS!$E$5:$E$1005)+SUMPRODUCT((MOVIMIENTOS!$B$5:$B$1005="PROCESO")*(MOVIMIENTOS!$C$5:$C$1005="Chancho")*(MOVIMIENTOS!$D$5:$D$1005="sacos")*(MOVIMIENTOS!$A$5:$A$1005&lt;&gt;"")*(MOVIMIENTOS!$A$5:$A$1005&lt;=$A268)*MOVIMIENTOS!$E$5:$E$1005)-SUMPRODUCT((MOVIMIENTOS!$B$5:$B$1005="VENTA CHANCHO")*(MOVIMIENTOS!$C$5:$C$1005="Chancho")*(MOVIMIENTOS!$D$5:$D$1005="sacos")*(MOVIMIENTOS!$A$5:$A$1005&lt;&gt;"")*(MOVIMIENTOS!$A$5:$A$1005&lt;=$A268)*MOVIMIENTOS!$E$5:$E$1005)-SUMPRODUCT((MOVIMIENTOS!$B$5:$B$1005="REGALO")*(MOVIMIENTOS!$C$5:$C$1005="Chancho")*(MOVIMIENTOS!$D$5:$D$1005="sacos")*(MOVIMIENTOS!$A$5:$A$1005&lt;&gt;"")*(MOVIMIENTOS!$A$5:$A$1005&lt;=$A268)*MOVIMIENTOS!$E$5:$E$1005)-SUMPRODUCT((MOVIMIENTOS!$B$5:$B$1005="VENTA")*(MOVIMIENTOS!$C$5:$C$1005="Chancho")*(MOVIMIENTOS!$D$5:$D$1005="sacos")*(MOVIMIENTOS!$A$5:$A$1005&lt;&gt;"")*(MOVIMIENTOS!$A$5:$A$1005&lt;=$A268)*MOVIMIENTOS!$E$5:$E$1005)+SUMPRODUCT((MOVIMIENTOS!$B$5:$B$1005="AJUSTE")*(MOVIMIENTOS!$C$5:$C$1005="Chancho")*(MOVIMIENTOS!$D$5:$D$1005="sacos")*(MOVIMIENTOS!$A$5:$A$1005&lt;&gt;"")*(MOVIMIENTOS!$A$5:$A$1005&lt;=$A268)*MOVIMIENTOS!$E$5:$E$1005))</f>
        <v/>
      </c>
      <c r="G268" s="95" t="str">
        <f t="shared" si="9"/>
        <v/>
      </c>
      <c r="H268" s="63" t="str">
        <f>IF($A268="","",SUMPRODUCT((((MOVIMIENTOS!$B$5:$B$1005="SALDO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268)*MOVIMIENTOS!$J$5:$J$1005))</f>
        <v/>
      </c>
      <c r="I268" s="63"/>
      <c r="J268" s="63" t="str">
        <f>IF(AND(MOVIMIENTOS!$A267&lt;&gt;"",COUNTIF(MOVIMIENTOS!$A$5:$A266,MOVIMIENTOS!$A267)=0),COUNT(J$4:J267)+1,"")</f>
        <v/>
      </c>
      <c r="K268" s="66">
        <f>MOVIMIENTOS!$A267</f>
        <v>46237</v>
      </c>
      <c r="L268" s="63"/>
      <c r="M268" s="63"/>
      <c r="N268" s="63"/>
    </row>
    <row r="269" spans="1:14" ht="15" customHeight="1" x14ac:dyDescent="0.2">
      <c r="A269" s="63" t="str">
        <f t="shared" si="8"/>
        <v/>
      </c>
      <c r="B269" s="63" t="str">
        <f>IF($A269="","",SUMPRODUCT((MOVIMIENTOS!$B$5:$B$1005="SALDO INICIAL")*(MOVIMIENTOS!$C$5:$C$1005="A")*(MOVIMIENTOS!$D$5:$D$1005="jabas")*(MOVIMIENTOS!$A$5:$A$1005&lt;&gt;"")*(MOVIMIENTOS!$A$5:$A$1005&lt;=$A269)*MOVIMIENTOS!$E$5:$E$1005)+SUMPRODUCT((MOVIMIENTOS!$B$5:$B$1005="PROCESO")*(MOVIMIENTOS!$C$5:$C$1005="A")*(MOVIMIENTOS!$D$5:$D$1005="jabas")*(MOVIMIENTOS!$A$5:$A$1005&lt;&gt;"")*(MOVIMIENTOS!$A$5:$A$1005&lt;=$A269)*MOVIMIENTOS!$E$5:$E$1005)-SUMPRODUCT((MOVIMIENTOS!$B$5:$B$1005="ENVÍO A SUPESA")*(MOVIMIENTOS!$C$5:$C$1005="A")*(MOVIMIENTOS!$D$5:$D$1005="jabas")*(MOVIMIENTOS!$A$5:$A$1005&lt;&gt;"")*(MOVIMIENTOS!$A$5:$A$1005&lt;=$A269)*MOVIMIENTOS!$E$5:$E$1005)+SUMPRODUCT((MOVIMIENTOS!$B$5:$B$1005="DEVOLUCIÓN")*(MOVIMIENTOS!$C$5:$C$1005="A")*(MOVIMIENTOS!$D$5:$D$1005="jabas")*(MOVIMIENTOS!$A$5:$A$1005&lt;&gt;"")*(MOVIMIENTOS!$A$5:$A$1005&lt;=$A269)*MOVIMIENTOS!$E$5:$E$1005)-SUMPRODUCT((MOVIMIENTOS!$B$5:$B$1005="TRASIEGO")*(MOVIMIENTOS!$C$5:$C$1005="A")*(MOVIMIENTOS!$D$5:$D$1005="jabas")*(MOVIMIENTOS!$A$5:$A$1005&lt;&gt;"")*(MOVIMIENTOS!$A$5:$A$1005&lt;=$A269)*MOVIMIENTOS!$E$5:$E$1005)-SUMPRODUCT((MOVIMIENTOS!$B$5:$B$1005="REGALO")*(MOVIMIENTOS!$C$5:$C$1005="A")*(MOVIMIENTOS!$D$5:$D$1005="jabas")*(MOVIMIENTOS!$A$5:$A$1005&lt;&gt;"")*(MOVIMIENTOS!$A$5:$A$1005&lt;=$A269)*MOVIMIENTOS!$E$5:$E$1005)-SUMPRODUCT((MOVIMIENTOS!$B$5:$B$1005="VENTA")*(MOVIMIENTOS!$C$5:$C$1005="A")*(MOVIMIENTOS!$D$5:$D$1005="jabas")*(MOVIMIENTOS!$A$5:$A$1005&lt;&gt;"")*(MOVIMIENTOS!$A$5:$A$1005&lt;=$A269)*MOVIMIENTOS!$E$5:$E$1005)+SUMPRODUCT((MOVIMIENTOS!$B$5:$B$1005="AJUSTE")*(MOVIMIENTOS!$C$5:$C$1005="A")*(MOVIMIENTOS!$D$5:$D$1005="jabas")*(MOVIMIENTOS!$A$5:$A$1005&lt;&gt;"")*(MOVIMIENTOS!$A$5:$A$1005&lt;=$A269)*MOVIMIENTOS!$E$5:$E$1005))</f>
        <v/>
      </c>
      <c r="C269" s="63" t="str">
        <f>IF($A269="","",SUMPRODUCT((MOVIMIENTOS!$B$5:$B$1005="SALDO INICIAL")*(MOVIMIENTOS!$C$5:$C$1005="P")*(MOVIMIENTOS!$D$5:$D$1005="jabas")*(MOVIMIENTOS!$A$5:$A$1005&lt;&gt;"")*(MOVIMIENTOS!$A$5:$A$1005&lt;=$A269)*MOVIMIENTOS!$E$5:$E$1005)+SUMPRODUCT((MOVIMIENTOS!$B$5:$B$1005="PROCESO")*(MOVIMIENTOS!$C$5:$C$1005="P")*(MOVIMIENTOS!$D$5:$D$1005="jabas")*(MOVIMIENTOS!$A$5:$A$1005&lt;&gt;"")*(MOVIMIENTOS!$A$5:$A$1005&lt;=$A269)*MOVIMIENTOS!$E$5:$E$1005)-SUMPRODUCT((MOVIMIENTOS!$B$5:$B$1005="ENVÍO A SUPESA")*(MOVIMIENTOS!$C$5:$C$1005="P")*(MOVIMIENTOS!$D$5:$D$1005="jabas")*(MOVIMIENTOS!$A$5:$A$1005&lt;&gt;"")*(MOVIMIENTOS!$A$5:$A$1005&lt;=$A269)*MOVIMIENTOS!$E$5:$E$1005)+SUMPRODUCT((MOVIMIENTOS!$B$5:$B$1005="DEVOLUCIÓN")*(MOVIMIENTOS!$C$5:$C$1005="P")*(MOVIMIENTOS!$D$5:$D$1005="jabas")*(MOVIMIENTOS!$A$5:$A$1005&lt;&gt;"")*(MOVIMIENTOS!$A$5:$A$1005&lt;=$A269)*MOVIMIENTOS!$E$5:$E$1005)-SUMPRODUCT((MOVIMIENTOS!$B$5:$B$1005="TRASIEGO")*(MOVIMIENTOS!$C$5:$C$1005="P")*(MOVIMIENTOS!$D$5:$D$1005="jabas")*(MOVIMIENTOS!$A$5:$A$1005&lt;&gt;"")*(MOVIMIENTOS!$A$5:$A$1005&lt;=$A269)*MOVIMIENTOS!$E$5:$E$1005)-SUMPRODUCT((MOVIMIENTOS!$B$5:$B$1005="REGALO")*(MOVIMIENTOS!$C$5:$C$1005="P")*(MOVIMIENTOS!$D$5:$D$1005="jabas")*(MOVIMIENTOS!$A$5:$A$1005&lt;&gt;"")*(MOVIMIENTOS!$A$5:$A$1005&lt;=$A269)*MOVIMIENTOS!$E$5:$E$1005)-SUMPRODUCT((MOVIMIENTOS!$B$5:$B$1005="VENTA")*(MOVIMIENTOS!$C$5:$C$1005="P")*(MOVIMIENTOS!$D$5:$D$1005="jabas")*(MOVIMIENTOS!$A$5:$A$1005&lt;&gt;"")*(MOVIMIENTOS!$A$5:$A$1005&lt;=$A269)*MOVIMIENTOS!$E$5:$E$1005)+SUMPRODUCT((MOVIMIENTOS!$B$5:$B$1005="AJUSTE")*(MOVIMIENTOS!$C$5:$C$1005="P")*(MOVIMIENTOS!$D$5:$D$1005="jabas")*(MOVIMIENTOS!$A$5:$A$1005&lt;&gt;"")*(MOVIMIENTOS!$A$5:$A$1005&lt;=$A269)*MOVIMIENTOS!$E$5:$E$1005))</f>
        <v/>
      </c>
      <c r="D269" s="63" t="str">
        <f>IF($A269="","",SUMPRODUCT((MOVIMIENTOS!$B$5:$B$1005="SALDO INICIAL")*(MOVIMIENTOS!$C$5:$C$1005="C")*(MOVIMIENTOS!$D$5:$D$1005="jabas")*(MOVIMIENTOS!$A$5:$A$1005&lt;&gt;"")*(MOVIMIENTOS!$A$5:$A$1005&lt;=$A269)*MOVIMIENTOS!$E$5:$E$1005)+SUMPRODUCT((MOVIMIENTOS!$B$5:$B$1005="PROCESO")*(MOVIMIENTOS!$C$5:$C$1005="C")*(MOVIMIENTOS!$D$5:$D$1005="jabas")*(MOVIMIENTOS!$A$5:$A$1005&lt;&gt;"")*(MOVIMIENTOS!$A$5:$A$1005&lt;=$A269)*MOVIMIENTOS!$E$5:$E$1005)-SUMPRODUCT((MOVIMIENTOS!$B$5:$B$1005="ENVÍO A SUPESA")*(MOVIMIENTOS!$C$5:$C$1005="C")*(MOVIMIENTOS!$D$5:$D$1005="jabas")*(MOVIMIENTOS!$A$5:$A$1005&lt;&gt;"")*(MOVIMIENTOS!$A$5:$A$1005&lt;=$A269)*MOVIMIENTOS!$E$5:$E$1005)+SUMPRODUCT((MOVIMIENTOS!$B$5:$B$1005="DEVOLUCIÓN")*(MOVIMIENTOS!$C$5:$C$1005="C")*(MOVIMIENTOS!$D$5:$D$1005="jabas")*(MOVIMIENTOS!$A$5:$A$1005&lt;&gt;"")*(MOVIMIENTOS!$A$5:$A$1005&lt;=$A269)*MOVIMIENTOS!$E$5:$E$1005)-SUMPRODUCT((MOVIMIENTOS!$B$5:$B$1005="TRASIEGO")*(MOVIMIENTOS!$C$5:$C$1005="C")*(MOVIMIENTOS!$D$5:$D$1005="jabas")*(MOVIMIENTOS!$A$5:$A$1005&lt;&gt;"")*(MOVIMIENTOS!$A$5:$A$1005&lt;=$A269)*MOVIMIENTOS!$E$5:$E$1005)-SUMPRODUCT((MOVIMIENTOS!$B$5:$B$1005="REGALO")*(MOVIMIENTOS!$C$5:$C$1005="C")*(MOVIMIENTOS!$D$5:$D$1005="jabas")*(MOVIMIENTOS!$A$5:$A$1005&lt;&gt;"")*(MOVIMIENTOS!$A$5:$A$1005&lt;=$A269)*MOVIMIENTOS!$E$5:$E$1005)-SUMPRODUCT((MOVIMIENTOS!$B$5:$B$1005="VENTA")*(MOVIMIENTOS!$C$5:$C$1005="C")*(MOVIMIENTOS!$D$5:$D$1005="jabas")*(MOVIMIENTOS!$A$5:$A$1005&lt;&gt;"")*(MOVIMIENTOS!$A$5:$A$1005&lt;=$A269)*MOVIMIENTOS!$E$5:$E$1005)+SUMPRODUCT((MOVIMIENTOS!$B$5:$B$1005="AJUSTE")*(MOVIMIENTOS!$C$5:$C$1005="C")*(MOVIMIENTOS!$D$5:$D$1005="jabas")*(MOVIMIENTOS!$A$5:$A$1005&lt;&gt;"")*(MOVIMIENTOS!$A$5:$A$1005&lt;=$A269)*MOVIMIENTOS!$E$5:$E$1005))</f>
        <v/>
      </c>
      <c r="E269" s="63" t="str">
        <f>IF($A269="","",SUMPRODUCT((MOVIMIENTOS!$B$5:$B$1005="SALDO INICIAL")*(MOVIMIENTOS!$C$5:$C$1005="M")*(MOVIMIENTOS!$D$5:$D$1005="jabas")*(MOVIMIENTOS!$A$5:$A$1005&lt;&gt;"")*(MOVIMIENTOS!$A$5:$A$1005&lt;=$A269)*MOVIMIENTOS!$E$5:$E$1005)+SUMPRODUCT((MOVIMIENTOS!$B$5:$B$1005="PROCESO")*(MOVIMIENTOS!$C$5:$C$1005="M")*(MOVIMIENTOS!$D$5:$D$1005="jabas")*(MOVIMIENTOS!$A$5:$A$1005&lt;&gt;"")*(MOVIMIENTOS!$A$5:$A$1005&lt;=$A269)*MOVIMIENTOS!$E$5:$E$1005)-SUMPRODUCT((MOVIMIENTOS!$B$5:$B$1005="ENVÍO A SUPESA")*(MOVIMIENTOS!$C$5:$C$1005="M")*(MOVIMIENTOS!$D$5:$D$1005="jabas")*(MOVIMIENTOS!$A$5:$A$1005&lt;&gt;"")*(MOVIMIENTOS!$A$5:$A$1005&lt;=$A269)*MOVIMIENTOS!$E$5:$E$1005)+SUMPRODUCT((MOVIMIENTOS!$B$5:$B$1005="DEVOLUCIÓN")*(MOVIMIENTOS!$C$5:$C$1005="M")*(MOVIMIENTOS!$D$5:$D$1005="jabas")*(MOVIMIENTOS!$A$5:$A$1005&lt;&gt;"")*(MOVIMIENTOS!$A$5:$A$1005&lt;=$A269)*MOVIMIENTOS!$E$5:$E$1005)-SUMPRODUCT((MOVIMIENTOS!$B$5:$B$1005="TRASIEGO")*(MOVIMIENTOS!$C$5:$C$1005="M")*(MOVIMIENTOS!$D$5:$D$1005="jabas")*(MOVIMIENTOS!$A$5:$A$1005&lt;&gt;"")*(MOVIMIENTOS!$A$5:$A$1005&lt;=$A269)*MOVIMIENTOS!$E$5:$E$1005)-SUMPRODUCT((MOVIMIENTOS!$B$5:$B$1005="REGALO")*(MOVIMIENTOS!$C$5:$C$1005="M")*(MOVIMIENTOS!$D$5:$D$1005="jabas")*(MOVIMIENTOS!$A$5:$A$1005&lt;&gt;"")*(MOVIMIENTOS!$A$5:$A$1005&lt;=$A269)*MOVIMIENTOS!$E$5:$E$1005)-SUMPRODUCT((MOVIMIENTOS!$B$5:$B$1005="VENTA")*(MOVIMIENTOS!$C$5:$C$1005="M")*(MOVIMIENTOS!$D$5:$D$1005="jabas")*(MOVIMIENTOS!$A$5:$A$1005&lt;&gt;"")*(MOVIMIENTOS!$A$5:$A$1005&lt;=$A269)*MOVIMIENTOS!$E$5:$E$1005)+SUMPRODUCT((MOVIMIENTOS!$B$5:$B$1005="AJUSTE")*(MOVIMIENTOS!$C$5:$C$1005="M")*(MOVIMIENTOS!$D$5:$D$1005="jabas")*(MOVIMIENTOS!$A$5:$A$1005&lt;&gt;"")*(MOVIMIENTOS!$A$5:$A$1005&lt;=$A269)*MOVIMIENTOS!$E$5:$E$1005))</f>
        <v/>
      </c>
      <c r="F269" s="63" t="str">
        <f>IF($A269="","",SUMPRODUCT((MOVIMIENTOS!$B$5:$B$1005="SALDO INICIAL")*(MOVIMIENTOS!$C$5:$C$1005="Chancho")*(MOVIMIENTOS!$D$5:$D$1005="sacos")*(MOVIMIENTOS!$A$5:$A$1005&lt;&gt;"")*(MOVIMIENTOS!$A$5:$A$1005&lt;=$A269)*MOVIMIENTOS!$E$5:$E$1005)+SUMPRODUCT((MOVIMIENTOS!$B$5:$B$1005="PROCESO")*(MOVIMIENTOS!$C$5:$C$1005="Chancho")*(MOVIMIENTOS!$D$5:$D$1005="sacos")*(MOVIMIENTOS!$A$5:$A$1005&lt;&gt;"")*(MOVIMIENTOS!$A$5:$A$1005&lt;=$A269)*MOVIMIENTOS!$E$5:$E$1005)-SUMPRODUCT((MOVIMIENTOS!$B$5:$B$1005="VENTA CHANCHO")*(MOVIMIENTOS!$C$5:$C$1005="Chancho")*(MOVIMIENTOS!$D$5:$D$1005="sacos")*(MOVIMIENTOS!$A$5:$A$1005&lt;&gt;"")*(MOVIMIENTOS!$A$5:$A$1005&lt;=$A269)*MOVIMIENTOS!$E$5:$E$1005)-SUMPRODUCT((MOVIMIENTOS!$B$5:$B$1005="REGALO")*(MOVIMIENTOS!$C$5:$C$1005="Chancho")*(MOVIMIENTOS!$D$5:$D$1005="sacos")*(MOVIMIENTOS!$A$5:$A$1005&lt;&gt;"")*(MOVIMIENTOS!$A$5:$A$1005&lt;=$A269)*MOVIMIENTOS!$E$5:$E$1005)-SUMPRODUCT((MOVIMIENTOS!$B$5:$B$1005="VENTA")*(MOVIMIENTOS!$C$5:$C$1005="Chancho")*(MOVIMIENTOS!$D$5:$D$1005="sacos")*(MOVIMIENTOS!$A$5:$A$1005&lt;&gt;"")*(MOVIMIENTOS!$A$5:$A$1005&lt;=$A269)*MOVIMIENTOS!$E$5:$E$1005)+SUMPRODUCT((MOVIMIENTOS!$B$5:$B$1005="AJUSTE")*(MOVIMIENTOS!$C$5:$C$1005="Chancho")*(MOVIMIENTOS!$D$5:$D$1005="sacos")*(MOVIMIENTOS!$A$5:$A$1005&lt;&gt;"")*(MOVIMIENTOS!$A$5:$A$1005&lt;=$A269)*MOVIMIENTOS!$E$5:$E$1005))</f>
        <v/>
      </c>
      <c r="G269" s="95" t="str">
        <f t="shared" si="9"/>
        <v/>
      </c>
      <c r="H269" s="63" t="str">
        <f>IF($A269="","",SUMPRODUCT((((MOVIMIENTOS!$B$5:$B$1005="SALDO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269)*MOVIMIENTOS!$J$5:$J$1005))</f>
        <v/>
      </c>
      <c r="I269" s="63"/>
      <c r="J269" s="63">
        <f>IF(AND(MOVIMIENTOS!$A268&lt;&gt;"",COUNTIF(MOVIMIENTOS!$A$5:$A267,MOVIMIENTOS!$A268)=0),COUNT(J$4:J268)+1,"")</f>
        <v>25</v>
      </c>
      <c r="K269" s="66">
        <f>MOVIMIENTOS!$A268</f>
        <v>46238</v>
      </c>
      <c r="L269" s="63"/>
      <c r="M269" s="63"/>
      <c r="N269" s="63"/>
    </row>
    <row r="270" spans="1:14" ht="15" customHeight="1" x14ac:dyDescent="0.2">
      <c r="A270" s="63" t="str">
        <f t="shared" si="8"/>
        <v/>
      </c>
      <c r="B270" s="63" t="str">
        <f>IF($A270="","",SUMPRODUCT((MOVIMIENTOS!$B$5:$B$1005="SALDO INICIAL")*(MOVIMIENTOS!$C$5:$C$1005="A")*(MOVIMIENTOS!$D$5:$D$1005="jabas")*(MOVIMIENTOS!$A$5:$A$1005&lt;&gt;"")*(MOVIMIENTOS!$A$5:$A$1005&lt;=$A270)*MOVIMIENTOS!$E$5:$E$1005)+SUMPRODUCT((MOVIMIENTOS!$B$5:$B$1005="PROCESO")*(MOVIMIENTOS!$C$5:$C$1005="A")*(MOVIMIENTOS!$D$5:$D$1005="jabas")*(MOVIMIENTOS!$A$5:$A$1005&lt;&gt;"")*(MOVIMIENTOS!$A$5:$A$1005&lt;=$A270)*MOVIMIENTOS!$E$5:$E$1005)-SUMPRODUCT((MOVIMIENTOS!$B$5:$B$1005="ENVÍO A SUPESA")*(MOVIMIENTOS!$C$5:$C$1005="A")*(MOVIMIENTOS!$D$5:$D$1005="jabas")*(MOVIMIENTOS!$A$5:$A$1005&lt;&gt;"")*(MOVIMIENTOS!$A$5:$A$1005&lt;=$A270)*MOVIMIENTOS!$E$5:$E$1005)+SUMPRODUCT((MOVIMIENTOS!$B$5:$B$1005="DEVOLUCIÓN")*(MOVIMIENTOS!$C$5:$C$1005="A")*(MOVIMIENTOS!$D$5:$D$1005="jabas")*(MOVIMIENTOS!$A$5:$A$1005&lt;&gt;"")*(MOVIMIENTOS!$A$5:$A$1005&lt;=$A270)*MOVIMIENTOS!$E$5:$E$1005)-SUMPRODUCT((MOVIMIENTOS!$B$5:$B$1005="TRASIEGO")*(MOVIMIENTOS!$C$5:$C$1005="A")*(MOVIMIENTOS!$D$5:$D$1005="jabas")*(MOVIMIENTOS!$A$5:$A$1005&lt;&gt;"")*(MOVIMIENTOS!$A$5:$A$1005&lt;=$A270)*MOVIMIENTOS!$E$5:$E$1005)-SUMPRODUCT((MOVIMIENTOS!$B$5:$B$1005="REGALO")*(MOVIMIENTOS!$C$5:$C$1005="A")*(MOVIMIENTOS!$D$5:$D$1005="jabas")*(MOVIMIENTOS!$A$5:$A$1005&lt;&gt;"")*(MOVIMIENTOS!$A$5:$A$1005&lt;=$A270)*MOVIMIENTOS!$E$5:$E$1005)-SUMPRODUCT((MOVIMIENTOS!$B$5:$B$1005="VENTA")*(MOVIMIENTOS!$C$5:$C$1005="A")*(MOVIMIENTOS!$D$5:$D$1005="jabas")*(MOVIMIENTOS!$A$5:$A$1005&lt;&gt;"")*(MOVIMIENTOS!$A$5:$A$1005&lt;=$A270)*MOVIMIENTOS!$E$5:$E$1005)+SUMPRODUCT((MOVIMIENTOS!$B$5:$B$1005="AJUSTE")*(MOVIMIENTOS!$C$5:$C$1005="A")*(MOVIMIENTOS!$D$5:$D$1005="jabas")*(MOVIMIENTOS!$A$5:$A$1005&lt;&gt;"")*(MOVIMIENTOS!$A$5:$A$1005&lt;=$A270)*MOVIMIENTOS!$E$5:$E$1005))</f>
        <v/>
      </c>
      <c r="C270" s="63" t="str">
        <f>IF($A270="","",SUMPRODUCT((MOVIMIENTOS!$B$5:$B$1005="SALDO INICIAL")*(MOVIMIENTOS!$C$5:$C$1005="P")*(MOVIMIENTOS!$D$5:$D$1005="jabas")*(MOVIMIENTOS!$A$5:$A$1005&lt;&gt;"")*(MOVIMIENTOS!$A$5:$A$1005&lt;=$A270)*MOVIMIENTOS!$E$5:$E$1005)+SUMPRODUCT((MOVIMIENTOS!$B$5:$B$1005="PROCESO")*(MOVIMIENTOS!$C$5:$C$1005="P")*(MOVIMIENTOS!$D$5:$D$1005="jabas")*(MOVIMIENTOS!$A$5:$A$1005&lt;&gt;"")*(MOVIMIENTOS!$A$5:$A$1005&lt;=$A270)*MOVIMIENTOS!$E$5:$E$1005)-SUMPRODUCT((MOVIMIENTOS!$B$5:$B$1005="ENVÍO A SUPESA")*(MOVIMIENTOS!$C$5:$C$1005="P")*(MOVIMIENTOS!$D$5:$D$1005="jabas")*(MOVIMIENTOS!$A$5:$A$1005&lt;&gt;"")*(MOVIMIENTOS!$A$5:$A$1005&lt;=$A270)*MOVIMIENTOS!$E$5:$E$1005)+SUMPRODUCT((MOVIMIENTOS!$B$5:$B$1005="DEVOLUCIÓN")*(MOVIMIENTOS!$C$5:$C$1005="P")*(MOVIMIENTOS!$D$5:$D$1005="jabas")*(MOVIMIENTOS!$A$5:$A$1005&lt;&gt;"")*(MOVIMIENTOS!$A$5:$A$1005&lt;=$A270)*MOVIMIENTOS!$E$5:$E$1005)-SUMPRODUCT((MOVIMIENTOS!$B$5:$B$1005="TRASIEGO")*(MOVIMIENTOS!$C$5:$C$1005="P")*(MOVIMIENTOS!$D$5:$D$1005="jabas")*(MOVIMIENTOS!$A$5:$A$1005&lt;&gt;"")*(MOVIMIENTOS!$A$5:$A$1005&lt;=$A270)*MOVIMIENTOS!$E$5:$E$1005)-SUMPRODUCT((MOVIMIENTOS!$B$5:$B$1005="REGALO")*(MOVIMIENTOS!$C$5:$C$1005="P")*(MOVIMIENTOS!$D$5:$D$1005="jabas")*(MOVIMIENTOS!$A$5:$A$1005&lt;&gt;"")*(MOVIMIENTOS!$A$5:$A$1005&lt;=$A270)*MOVIMIENTOS!$E$5:$E$1005)-SUMPRODUCT((MOVIMIENTOS!$B$5:$B$1005="VENTA")*(MOVIMIENTOS!$C$5:$C$1005="P")*(MOVIMIENTOS!$D$5:$D$1005="jabas")*(MOVIMIENTOS!$A$5:$A$1005&lt;&gt;"")*(MOVIMIENTOS!$A$5:$A$1005&lt;=$A270)*MOVIMIENTOS!$E$5:$E$1005)+SUMPRODUCT((MOVIMIENTOS!$B$5:$B$1005="AJUSTE")*(MOVIMIENTOS!$C$5:$C$1005="P")*(MOVIMIENTOS!$D$5:$D$1005="jabas")*(MOVIMIENTOS!$A$5:$A$1005&lt;&gt;"")*(MOVIMIENTOS!$A$5:$A$1005&lt;=$A270)*MOVIMIENTOS!$E$5:$E$1005))</f>
        <v/>
      </c>
      <c r="D270" s="63" t="str">
        <f>IF($A270="","",SUMPRODUCT((MOVIMIENTOS!$B$5:$B$1005="SALDO INICIAL")*(MOVIMIENTOS!$C$5:$C$1005="C")*(MOVIMIENTOS!$D$5:$D$1005="jabas")*(MOVIMIENTOS!$A$5:$A$1005&lt;&gt;"")*(MOVIMIENTOS!$A$5:$A$1005&lt;=$A270)*MOVIMIENTOS!$E$5:$E$1005)+SUMPRODUCT((MOVIMIENTOS!$B$5:$B$1005="PROCESO")*(MOVIMIENTOS!$C$5:$C$1005="C")*(MOVIMIENTOS!$D$5:$D$1005="jabas")*(MOVIMIENTOS!$A$5:$A$1005&lt;&gt;"")*(MOVIMIENTOS!$A$5:$A$1005&lt;=$A270)*MOVIMIENTOS!$E$5:$E$1005)-SUMPRODUCT((MOVIMIENTOS!$B$5:$B$1005="ENVÍO A SUPESA")*(MOVIMIENTOS!$C$5:$C$1005="C")*(MOVIMIENTOS!$D$5:$D$1005="jabas")*(MOVIMIENTOS!$A$5:$A$1005&lt;&gt;"")*(MOVIMIENTOS!$A$5:$A$1005&lt;=$A270)*MOVIMIENTOS!$E$5:$E$1005)+SUMPRODUCT((MOVIMIENTOS!$B$5:$B$1005="DEVOLUCIÓN")*(MOVIMIENTOS!$C$5:$C$1005="C")*(MOVIMIENTOS!$D$5:$D$1005="jabas")*(MOVIMIENTOS!$A$5:$A$1005&lt;&gt;"")*(MOVIMIENTOS!$A$5:$A$1005&lt;=$A270)*MOVIMIENTOS!$E$5:$E$1005)-SUMPRODUCT((MOVIMIENTOS!$B$5:$B$1005="TRASIEGO")*(MOVIMIENTOS!$C$5:$C$1005="C")*(MOVIMIENTOS!$D$5:$D$1005="jabas")*(MOVIMIENTOS!$A$5:$A$1005&lt;&gt;"")*(MOVIMIENTOS!$A$5:$A$1005&lt;=$A270)*MOVIMIENTOS!$E$5:$E$1005)-SUMPRODUCT((MOVIMIENTOS!$B$5:$B$1005="REGALO")*(MOVIMIENTOS!$C$5:$C$1005="C")*(MOVIMIENTOS!$D$5:$D$1005="jabas")*(MOVIMIENTOS!$A$5:$A$1005&lt;&gt;"")*(MOVIMIENTOS!$A$5:$A$1005&lt;=$A270)*MOVIMIENTOS!$E$5:$E$1005)-SUMPRODUCT((MOVIMIENTOS!$B$5:$B$1005="VENTA")*(MOVIMIENTOS!$C$5:$C$1005="C")*(MOVIMIENTOS!$D$5:$D$1005="jabas")*(MOVIMIENTOS!$A$5:$A$1005&lt;&gt;"")*(MOVIMIENTOS!$A$5:$A$1005&lt;=$A270)*MOVIMIENTOS!$E$5:$E$1005)+SUMPRODUCT((MOVIMIENTOS!$B$5:$B$1005="AJUSTE")*(MOVIMIENTOS!$C$5:$C$1005="C")*(MOVIMIENTOS!$D$5:$D$1005="jabas")*(MOVIMIENTOS!$A$5:$A$1005&lt;&gt;"")*(MOVIMIENTOS!$A$5:$A$1005&lt;=$A270)*MOVIMIENTOS!$E$5:$E$1005))</f>
        <v/>
      </c>
      <c r="E270" s="63" t="str">
        <f>IF($A270="","",SUMPRODUCT((MOVIMIENTOS!$B$5:$B$1005="SALDO INICIAL")*(MOVIMIENTOS!$C$5:$C$1005="M")*(MOVIMIENTOS!$D$5:$D$1005="jabas")*(MOVIMIENTOS!$A$5:$A$1005&lt;&gt;"")*(MOVIMIENTOS!$A$5:$A$1005&lt;=$A270)*MOVIMIENTOS!$E$5:$E$1005)+SUMPRODUCT((MOVIMIENTOS!$B$5:$B$1005="PROCESO")*(MOVIMIENTOS!$C$5:$C$1005="M")*(MOVIMIENTOS!$D$5:$D$1005="jabas")*(MOVIMIENTOS!$A$5:$A$1005&lt;&gt;"")*(MOVIMIENTOS!$A$5:$A$1005&lt;=$A270)*MOVIMIENTOS!$E$5:$E$1005)-SUMPRODUCT((MOVIMIENTOS!$B$5:$B$1005="ENVÍO A SUPESA")*(MOVIMIENTOS!$C$5:$C$1005="M")*(MOVIMIENTOS!$D$5:$D$1005="jabas")*(MOVIMIENTOS!$A$5:$A$1005&lt;&gt;"")*(MOVIMIENTOS!$A$5:$A$1005&lt;=$A270)*MOVIMIENTOS!$E$5:$E$1005)+SUMPRODUCT((MOVIMIENTOS!$B$5:$B$1005="DEVOLUCIÓN")*(MOVIMIENTOS!$C$5:$C$1005="M")*(MOVIMIENTOS!$D$5:$D$1005="jabas")*(MOVIMIENTOS!$A$5:$A$1005&lt;&gt;"")*(MOVIMIENTOS!$A$5:$A$1005&lt;=$A270)*MOVIMIENTOS!$E$5:$E$1005)-SUMPRODUCT((MOVIMIENTOS!$B$5:$B$1005="TRASIEGO")*(MOVIMIENTOS!$C$5:$C$1005="M")*(MOVIMIENTOS!$D$5:$D$1005="jabas")*(MOVIMIENTOS!$A$5:$A$1005&lt;&gt;"")*(MOVIMIENTOS!$A$5:$A$1005&lt;=$A270)*MOVIMIENTOS!$E$5:$E$1005)-SUMPRODUCT((MOVIMIENTOS!$B$5:$B$1005="REGALO")*(MOVIMIENTOS!$C$5:$C$1005="M")*(MOVIMIENTOS!$D$5:$D$1005="jabas")*(MOVIMIENTOS!$A$5:$A$1005&lt;&gt;"")*(MOVIMIENTOS!$A$5:$A$1005&lt;=$A270)*MOVIMIENTOS!$E$5:$E$1005)-SUMPRODUCT((MOVIMIENTOS!$B$5:$B$1005="VENTA")*(MOVIMIENTOS!$C$5:$C$1005="M")*(MOVIMIENTOS!$D$5:$D$1005="jabas")*(MOVIMIENTOS!$A$5:$A$1005&lt;&gt;"")*(MOVIMIENTOS!$A$5:$A$1005&lt;=$A270)*MOVIMIENTOS!$E$5:$E$1005)+SUMPRODUCT((MOVIMIENTOS!$B$5:$B$1005="AJUSTE")*(MOVIMIENTOS!$C$5:$C$1005="M")*(MOVIMIENTOS!$D$5:$D$1005="jabas")*(MOVIMIENTOS!$A$5:$A$1005&lt;&gt;"")*(MOVIMIENTOS!$A$5:$A$1005&lt;=$A270)*MOVIMIENTOS!$E$5:$E$1005))</f>
        <v/>
      </c>
      <c r="F270" s="63" t="str">
        <f>IF($A270="","",SUMPRODUCT((MOVIMIENTOS!$B$5:$B$1005="SALDO INICIAL")*(MOVIMIENTOS!$C$5:$C$1005="Chancho")*(MOVIMIENTOS!$D$5:$D$1005="sacos")*(MOVIMIENTOS!$A$5:$A$1005&lt;&gt;"")*(MOVIMIENTOS!$A$5:$A$1005&lt;=$A270)*MOVIMIENTOS!$E$5:$E$1005)+SUMPRODUCT((MOVIMIENTOS!$B$5:$B$1005="PROCESO")*(MOVIMIENTOS!$C$5:$C$1005="Chancho")*(MOVIMIENTOS!$D$5:$D$1005="sacos")*(MOVIMIENTOS!$A$5:$A$1005&lt;&gt;"")*(MOVIMIENTOS!$A$5:$A$1005&lt;=$A270)*MOVIMIENTOS!$E$5:$E$1005)-SUMPRODUCT((MOVIMIENTOS!$B$5:$B$1005="VENTA CHANCHO")*(MOVIMIENTOS!$C$5:$C$1005="Chancho")*(MOVIMIENTOS!$D$5:$D$1005="sacos")*(MOVIMIENTOS!$A$5:$A$1005&lt;&gt;"")*(MOVIMIENTOS!$A$5:$A$1005&lt;=$A270)*MOVIMIENTOS!$E$5:$E$1005)-SUMPRODUCT((MOVIMIENTOS!$B$5:$B$1005="REGALO")*(MOVIMIENTOS!$C$5:$C$1005="Chancho")*(MOVIMIENTOS!$D$5:$D$1005="sacos")*(MOVIMIENTOS!$A$5:$A$1005&lt;&gt;"")*(MOVIMIENTOS!$A$5:$A$1005&lt;=$A270)*MOVIMIENTOS!$E$5:$E$1005)-SUMPRODUCT((MOVIMIENTOS!$B$5:$B$1005="VENTA")*(MOVIMIENTOS!$C$5:$C$1005="Chancho")*(MOVIMIENTOS!$D$5:$D$1005="sacos")*(MOVIMIENTOS!$A$5:$A$1005&lt;&gt;"")*(MOVIMIENTOS!$A$5:$A$1005&lt;=$A270)*MOVIMIENTOS!$E$5:$E$1005)+SUMPRODUCT((MOVIMIENTOS!$B$5:$B$1005="AJUSTE")*(MOVIMIENTOS!$C$5:$C$1005="Chancho")*(MOVIMIENTOS!$D$5:$D$1005="sacos")*(MOVIMIENTOS!$A$5:$A$1005&lt;&gt;"")*(MOVIMIENTOS!$A$5:$A$1005&lt;=$A270)*MOVIMIENTOS!$E$5:$E$1005))</f>
        <v/>
      </c>
      <c r="G270" s="95" t="str">
        <f t="shared" si="9"/>
        <v/>
      </c>
      <c r="H270" s="63" t="str">
        <f>IF($A270="","",SUMPRODUCT((((MOVIMIENTOS!$B$5:$B$1005="SALDO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270)*MOVIMIENTOS!$J$5:$J$1005))</f>
        <v/>
      </c>
      <c r="I270" s="63"/>
      <c r="J270" s="63" t="str">
        <f>IF(AND(MOVIMIENTOS!$A269&lt;&gt;"",COUNTIF(MOVIMIENTOS!$A$5:$A268,MOVIMIENTOS!$A269)=0),COUNT(J$4:J269)+1,"")</f>
        <v/>
      </c>
      <c r="K270" s="66">
        <f>MOVIMIENTOS!$A269</f>
        <v>46238</v>
      </c>
      <c r="L270" s="63"/>
      <c r="M270" s="63"/>
      <c r="N270" s="63"/>
    </row>
    <row r="271" spans="1:14" ht="15" customHeight="1" x14ac:dyDescent="0.2">
      <c r="A271" s="63" t="str">
        <f t="shared" si="8"/>
        <v/>
      </c>
      <c r="B271" s="63" t="str">
        <f>IF($A271="","",SUMPRODUCT((MOVIMIENTOS!$B$5:$B$1005="SALDO INICIAL")*(MOVIMIENTOS!$C$5:$C$1005="A")*(MOVIMIENTOS!$D$5:$D$1005="jabas")*(MOVIMIENTOS!$A$5:$A$1005&lt;&gt;"")*(MOVIMIENTOS!$A$5:$A$1005&lt;=$A271)*MOVIMIENTOS!$E$5:$E$1005)+SUMPRODUCT((MOVIMIENTOS!$B$5:$B$1005="PROCESO")*(MOVIMIENTOS!$C$5:$C$1005="A")*(MOVIMIENTOS!$D$5:$D$1005="jabas")*(MOVIMIENTOS!$A$5:$A$1005&lt;&gt;"")*(MOVIMIENTOS!$A$5:$A$1005&lt;=$A271)*MOVIMIENTOS!$E$5:$E$1005)-SUMPRODUCT((MOVIMIENTOS!$B$5:$B$1005="ENVÍO A SUPESA")*(MOVIMIENTOS!$C$5:$C$1005="A")*(MOVIMIENTOS!$D$5:$D$1005="jabas")*(MOVIMIENTOS!$A$5:$A$1005&lt;&gt;"")*(MOVIMIENTOS!$A$5:$A$1005&lt;=$A271)*MOVIMIENTOS!$E$5:$E$1005)+SUMPRODUCT((MOVIMIENTOS!$B$5:$B$1005="DEVOLUCIÓN")*(MOVIMIENTOS!$C$5:$C$1005="A")*(MOVIMIENTOS!$D$5:$D$1005="jabas")*(MOVIMIENTOS!$A$5:$A$1005&lt;&gt;"")*(MOVIMIENTOS!$A$5:$A$1005&lt;=$A271)*MOVIMIENTOS!$E$5:$E$1005)-SUMPRODUCT((MOVIMIENTOS!$B$5:$B$1005="TRASIEGO")*(MOVIMIENTOS!$C$5:$C$1005="A")*(MOVIMIENTOS!$D$5:$D$1005="jabas")*(MOVIMIENTOS!$A$5:$A$1005&lt;&gt;"")*(MOVIMIENTOS!$A$5:$A$1005&lt;=$A271)*MOVIMIENTOS!$E$5:$E$1005)-SUMPRODUCT((MOVIMIENTOS!$B$5:$B$1005="REGALO")*(MOVIMIENTOS!$C$5:$C$1005="A")*(MOVIMIENTOS!$D$5:$D$1005="jabas")*(MOVIMIENTOS!$A$5:$A$1005&lt;&gt;"")*(MOVIMIENTOS!$A$5:$A$1005&lt;=$A271)*MOVIMIENTOS!$E$5:$E$1005)-SUMPRODUCT((MOVIMIENTOS!$B$5:$B$1005="VENTA")*(MOVIMIENTOS!$C$5:$C$1005="A")*(MOVIMIENTOS!$D$5:$D$1005="jabas")*(MOVIMIENTOS!$A$5:$A$1005&lt;&gt;"")*(MOVIMIENTOS!$A$5:$A$1005&lt;=$A271)*MOVIMIENTOS!$E$5:$E$1005)+SUMPRODUCT((MOVIMIENTOS!$B$5:$B$1005="AJUSTE")*(MOVIMIENTOS!$C$5:$C$1005="A")*(MOVIMIENTOS!$D$5:$D$1005="jabas")*(MOVIMIENTOS!$A$5:$A$1005&lt;&gt;"")*(MOVIMIENTOS!$A$5:$A$1005&lt;=$A271)*MOVIMIENTOS!$E$5:$E$1005))</f>
        <v/>
      </c>
      <c r="C271" s="63" t="str">
        <f>IF($A271="","",SUMPRODUCT((MOVIMIENTOS!$B$5:$B$1005="SALDO INICIAL")*(MOVIMIENTOS!$C$5:$C$1005="P")*(MOVIMIENTOS!$D$5:$D$1005="jabas")*(MOVIMIENTOS!$A$5:$A$1005&lt;&gt;"")*(MOVIMIENTOS!$A$5:$A$1005&lt;=$A271)*MOVIMIENTOS!$E$5:$E$1005)+SUMPRODUCT((MOVIMIENTOS!$B$5:$B$1005="PROCESO")*(MOVIMIENTOS!$C$5:$C$1005="P")*(MOVIMIENTOS!$D$5:$D$1005="jabas")*(MOVIMIENTOS!$A$5:$A$1005&lt;&gt;"")*(MOVIMIENTOS!$A$5:$A$1005&lt;=$A271)*MOVIMIENTOS!$E$5:$E$1005)-SUMPRODUCT((MOVIMIENTOS!$B$5:$B$1005="ENVÍO A SUPESA")*(MOVIMIENTOS!$C$5:$C$1005="P")*(MOVIMIENTOS!$D$5:$D$1005="jabas")*(MOVIMIENTOS!$A$5:$A$1005&lt;&gt;"")*(MOVIMIENTOS!$A$5:$A$1005&lt;=$A271)*MOVIMIENTOS!$E$5:$E$1005)+SUMPRODUCT((MOVIMIENTOS!$B$5:$B$1005="DEVOLUCIÓN")*(MOVIMIENTOS!$C$5:$C$1005="P")*(MOVIMIENTOS!$D$5:$D$1005="jabas")*(MOVIMIENTOS!$A$5:$A$1005&lt;&gt;"")*(MOVIMIENTOS!$A$5:$A$1005&lt;=$A271)*MOVIMIENTOS!$E$5:$E$1005)-SUMPRODUCT((MOVIMIENTOS!$B$5:$B$1005="TRASIEGO")*(MOVIMIENTOS!$C$5:$C$1005="P")*(MOVIMIENTOS!$D$5:$D$1005="jabas")*(MOVIMIENTOS!$A$5:$A$1005&lt;&gt;"")*(MOVIMIENTOS!$A$5:$A$1005&lt;=$A271)*MOVIMIENTOS!$E$5:$E$1005)-SUMPRODUCT((MOVIMIENTOS!$B$5:$B$1005="REGALO")*(MOVIMIENTOS!$C$5:$C$1005="P")*(MOVIMIENTOS!$D$5:$D$1005="jabas")*(MOVIMIENTOS!$A$5:$A$1005&lt;&gt;"")*(MOVIMIENTOS!$A$5:$A$1005&lt;=$A271)*MOVIMIENTOS!$E$5:$E$1005)-SUMPRODUCT((MOVIMIENTOS!$B$5:$B$1005="VENTA")*(MOVIMIENTOS!$C$5:$C$1005="P")*(MOVIMIENTOS!$D$5:$D$1005="jabas")*(MOVIMIENTOS!$A$5:$A$1005&lt;&gt;"")*(MOVIMIENTOS!$A$5:$A$1005&lt;=$A271)*MOVIMIENTOS!$E$5:$E$1005)+SUMPRODUCT((MOVIMIENTOS!$B$5:$B$1005="AJUSTE")*(MOVIMIENTOS!$C$5:$C$1005="P")*(MOVIMIENTOS!$D$5:$D$1005="jabas")*(MOVIMIENTOS!$A$5:$A$1005&lt;&gt;"")*(MOVIMIENTOS!$A$5:$A$1005&lt;=$A271)*MOVIMIENTOS!$E$5:$E$1005))</f>
        <v/>
      </c>
      <c r="D271" s="63" t="str">
        <f>IF($A271="","",SUMPRODUCT((MOVIMIENTOS!$B$5:$B$1005="SALDO INICIAL")*(MOVIMIENTOS!$C$5:$C$1005="C")*(MOVIMIENTOS!$D$5:$D$1005="jabas")*(MOVIMIENTOS!$A$5:$A$1005&lt;&gt;"")*(MOVIMIENTOS!$A$5:$A$1005&lt;=$A271)*MOVIMIENTOS!$E$5:$E$1005)+SUMPRODUCT((MOVIMIENTOS!$B$5:$B$1005="PROCESO")*(MOVIMIENTOS!$C$5:$C$1005="C")*(MOVIMIENTOS!$D$5:$D$1005="jabas")*(MOVIMIENTOS!$A$5:$A$1005&lt;&gt;"")*(MOVIMIENTOS!$A$5:$A$1005&lt;=$A271)*MOVIMIENTOS!$E$5:$E$1005)-SUMPRODUCT((MOVIMIENTOS!$B$5:$B$1005="ENVÍO A SUPESA")*(MOVIMIENTOS!$C$5:$C$1005="C")*(MOVIMIENTOS!$D$5:$D$1005="jabas")*(MOVIMIENTOS!$A$5:$A$1005&lt;&gt;"")*(MOVIMIENTOS!$A$5:$A$1005&lt;=$A271)*MOVIMIENTOS!$E$5:$E$1005)+SUMPRODUCT((MOVIMIENTOS!$B$5:$B$1005="DEVOLUCIÓN")*(MOVIMIENTOS!$C$5:$C$1005="C")*(MOVIMIENTOS!$D$5:$D$1005="jabas")*(MOVIMIENTOS!$A$5:$A$1005&lt;&gt;"")*(MOVIMIENTOS!$A$5:$A$1005&lt;=$A271)*MOVIMIENTOS!$E$5:$E$1005)-SUMPRODUCT((MOVIMIENTOS!$B$5:$B$1005="TRASIEGO")*(MOVIMIENTOS!$C$5:$C$1005="C")*(MOVIMIENTOS!$D$5:$D$1005="jabas")*(MOVIMIENTOS!$A$5:$A$1005&lt;&gt;"")*(MOVIMIENTOS!$A$5:$A$1005&lt;=$A271)*MOVIMIENTOS!$E$5:$E$1005)-SUMPRODUCT((MOVIMIENTOS!$B$5:$B$1005="REGALO")*(MOVIMIENTOS!$C$5:$C$1005="C")*(MOVIMIENTOS!$D$5:$D$1005="jabas")*(MOVIMIENTOS!$A$5:$A$1005&lt;&gt;"")*(MOVIMIENTOS!$A$5:$A$1005&lt;=$A271)*MOVIMIENTOS!$E$5:$E$1005)-SUMPRODUCT((MOVIMIENTOS!$B$5:$B$1005="VENTA")*(MOVIMIENTOS!$C$5:$C$1005="C")*(MOVIMIENTOS!$D$5:$D$1005="jabas")*(MOVIMIENTOS!$A$5:$A$1005&lt;&gt;"")*(MOVIMIENTOS!$A$5:$A$1005&lt;=$A271)*MOVIMIENTOS!$E$5:$E$1005)+SUMPRODUCT((MOVIMIENTOS!$B$5:$B$1005="AJUSTE")*(MOVIMIENTOS!$C$5:$C$1005="C")*(MOVIMIENTOS!$D$5:$D$1005="jabas")*(MOVIMIENTOS!$A$5:$A$1005&lt;&gt;"")*(MOVIMIENTOS!$A$5:$A$1005&lt;=$A271)*MOVIMIENTOS!$E$5:$E$1005))</f>
        <v/>
      </c>
      <c r="E271" s="63" t="str">
        <f>IF($A271="","",SUMPRODUCT((MOVIMIENTOS!$B$5:$B$1005="SALDO INICIAL")*(MOVIMIENTOS!$C$5:$C$1005="M")*(MOVIMIENTOS!$D$5:$D$1005="jabas")*(MOVIMIENTOS!$A$5:$A$1005&lt;&gt;"")*(MOVIMIENTOS!$A$5:$A$1005&lt;=$A271)*MOVIMIENTOS!$E$5:$E$1005)+SUMPRODUCT((MOVIMIENTOS!$B$5:$B$1005="PROCESO")*(MOVIMIENTOS!$C$5:$C$1005="M")*(MOVIMIENTOS!$D$5:$D$1005="jabas")*(MOVIMIENTOS!$A$5:$A$1005&lt;&gt;"")*(MOVIMIENTOS!$A$5:$A$1005&lt;=$A271)*MOVIMIENTOS!$E$5:$E$1005)-SUMPRODUCT((MOVIMIENTOS!$B$5:$B$1005="ENVÍO A SUPESA")*(MOVIMIENTOS!$C$5:$C$1005="M")*(MOVIMIENTOS!$D$5:$D$1005="jabas")*(MOVIMIENTOS!$A$5:$A$1005&lt;&gt;"")*(MOVIMIENTOS!$A$5:$A$1005&lt;=$A271)*MOVIMIENTOS!$E$5:$E$1005)+SUMPRODUCT((MOVIMIENTOS!$B$5:$B$1005="DEVOLUCIÓN")*(MOVIMIENTOS!$C$5:$C$1005="M")*(MOVIMIENTOS!$D$5:$D$1005="jabas")*(MOVIMIENTOS!$A$5:$A$1005&lt;&gt;"")*(MOVIMIENTOS!$A$5:$A$1005&lt;=$A271)*MOVIMIENTOS!$E$5:$E$1005)-SUMPRODUCT((MOVIMIENTOS!$B$5:$B$1005="TRASIEGO")*(MOVIMIENTOS!$C$5:$C$1005="M")*(MOVIMIENTOS!$D$5:$D$1005="jabas")*(MOVIMIENTOS!$A$5:$A$1005&lt;&gt;"")*(MOVIMIENTOS!$A$5:$A$1005&lt;=$A271)*MOVIMIENTOS!$E$5:$E$1005)-SUMPRODUCT((MOVIMIENTOS!$B$5:$B$1005="REGALO")*(MOVIMIENTOS!$C$5:$C$1005="M")*(MOVIMIENTOS!$D$5:$D$1005="jabas")*(MOVIMIENTOS!$A$5:$A$1005&lt;&gt;"")*(MOVIMIENTOS!$A$5:$A$1005&lt;=$A271)*MOVIMIENTOS!$E$5:$E$1005)-SUMPRODUCT((MOVIMIENTOS!$B$5:$B$1005="VENTA")*(MOVIMIENTOS!$C$5:$C$1005="M")*(MOVIMIENTOS!$D$5:$D$1005="jabas")*(MOVIMIENTOS!$A$5:$A$1005&lt;&gt;"")*(MOVIMIENTOS!$A$5:$A$1005&lt;=$A271)*MOVIMIENTOS!$E$5:$E$1005)+SUMPRODUCT((MOVIMIENTOS!$B$5:$B$1005="AJUSTE")*(MOVIMIENTOS!$C$5:$C$1005="M")*(MOVIMIENTOS!$D$5:$D$1005="jabas")*(MOVIMIENTOS!$A$5:$A$1005&lt;&gt;"")*(MOVIMIENTOS!$A$5:$A$1005&lt;=$A271)*MOVIMIENTOS!$E$5:$E$1005))</f>
        <v/>
      </c>
      <c r="F271" s="63" t="str">
        <f>IF($A271="","",SUMPRODUCT((MOVIMIENTOS!$B$5:$B$1005="SALDO INICIAL")*(MOVIMIENTOS!$C$5:$C$1005="Chancho")*(MOVIMIENTOS!$D$5:$D$1005="sacos")*(MOVIMIENTOS!$A$5:$A$1005&lt;&gt;"")*(MOVIMIENTOS!$A$5:$A$1005&lt;=$A271)*MOVIMIENTOS!$E$5:$E$1005)+SUMPRODUCT((MOVIMIENTOS!$B$5:$B$1005="PROCESO")*(MOVIMIENTOS!$C$5:$C$1005="Chancho")*(MOVIMIENTOS!$D$5:$D$1005="sacos")*(MOVIMIENTOS!$A$5:$A$1005&lt;&gt;"")*(MOVIMIENTOS!$A$5:$A$1005&lt;=$A271)*MOVIMIENTOS!$E$5:$E$1005)-SUMPRODUCT((MOVIMIENTOS!$B$5:$B$1005="VENTA CHANCHO")*(MOVIMIENTOS!$C$5:$C$1005="Chancho")*(MOVIMIENTOS!$D$5:$D$1005="sacos")*(MOVIMIENTOS!$A$5:$A$1005&lt;&gt;"")*(MOVIMIENTOS!$A$5:$A$1005&lt;=$A271)*MOVIMIENTOS!$E$5:$E$1005)-SUMPRODUCT((MOVIMIENTOS!$B$5:$B$1005="REGALO")*(MOVIMIENTOS!$C$5:$C$1005="Chancho")*(MOVIMIENTOS!$D$5:$D$1005="sacos")*(MOVIMIENTOS!$A$5:$A$1005&lt;&gt;"")*(MOVIMIENTOS!$A$5:$A$1005&lt;=$A271)*MOVIMIENTOS!$E$5:$E$1005)-SUMPRODUCT((MOVIMIENTOS!$B$5:$B$1005="VENTA")*(MOVIMIENTOS!$C$5:$C$1005="Chancho")*(MOVIMIENTOS!$D$5:$D$1005="sacos")*(MOVIMIENTOS!$A$5:$A$1005&lt;&gt;"")*(MOVIMIENTOS!$A$5:$A$1005&lt;=$A271)*MOVIMIENTOS!$E$5:$E$1005)+SUMPRODUCT((MOVIMIENTOS!$B$5:$B$1005="AJUSTE")*(MOVIMIENTOS!$C$5:$C$1005="Chancho")*(MOVIMIENTOS!$D$5:$D$1005="sacos")*(MOVIMIENTOS!$A$5:$A$1005&lt;&gt;"")*(MOVIMIENTOS!$A$5:$A$1005&lt;=$A271)*MOVIMIENTOS!$E$5:$E$1005))</f>
        <v/>
      </c>
      <c r="G271" s="95" t="str">
        <f t="shared" si="9"/>
        <v/>
      </c>
      <c r="H271" s="63" t="str">
        <f>IF($A271="","",SUMPRODUCT((((MOVIMIENTOS!$B$5:$B$1005="SALDO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271)*MOVIMIENTOS!$J$5:$J$1005))</f>
        <v/>
      </c>
      <c r="I271" s="63"/>
      <c r="J271" s="63" t="str">
        <f>IF(AND(MOVIMIENTOS!$A270&lt;&gt;"",COUNTIF(MOVIMIENTOS!$A$5:$A269,MOVIMIENTOS!$A270)=0),COUNT(J$4:J270)+1,"")</f>
        <v/>
      </c>
      <c r="K271" s="66">
        <f>MOVIMIENTOS!$A270</f>
        <v>46238</v>
      </c>
      <c r="L271" s="63"/>
      <c r="M271" s="63"/>
      <c r="N271" s="63"/>
    </row>
    <row r="272" spans="1:14" ht="15" customHeight="1" x14ac:dyDescent="0.2">
      <c r="A272" s="63" t="str">
        <f t="shared" si="8"/>
        <v/>
      </c>
      <c r="B272" s="63" t="str">
        <f>IF($A272="","",SUMPRODUCT((MOVIMIENTOS!$B$5:$B$1005="SALDO INICIAL")*(MOVIMIENTOS!$C$5:$C$1005="A")*(MOVIMIENTOS!$D$5:$D$1005="jabas")*(MOVIMIENTOS!$A$5:$A$1005&lt;&gt;"")*(MOVIMIENTOS!$A$5:$A$1005&lt;=$A272)*MOVIMIENTOS!$E$5:$E$1005)+SUMPRODUCT((MOVIMIENTOS!$B$5:$B$1005="PROCESO")*(MOVIMIENTOS!$C$5:$C$1005="A")*(MOVIMIENTOS!$D$5:$D$1005="jabas")*(MOVIMIENTOS!$A$5:$A$1005&lt;&gt;"")*(MOVIMIENTOS!$A$5:$A$1005&lt;=$A272)*MOVIMIENTOS!$E$5:$E$1005)-SUMPRODUCT((MOVIMIENTOS!$B$5:$B$1005="ENVÍO A SUPESA")*(MOVIMIENTOS!$C$5:$C$1005="A")*(MOVIMIENTOS!$D$5:$D$1005="jabas")*(MOVIMIENTOS!$A$5:$A$1005&lt;&gt;"")*(MOVIMIENTOS!$A$5:$A$1005&lt;=$A272)*MOVIMIENTOS!$E$5:$E$1005)+SUMPRODUCT((MOVIMIENTOS!$B$5:$B$1005="DEVOLUCIÓN")*(MOVIMIENTOS!$C$5:$C$1005="A")*(MOVIMIENTOS!$D$5:$D$1005="jabas")*(MOVIMIENTOS!$A$5:$A$1005&lt;&gt;"")*(MOVIMIENTOS!$A$5:$A$1005&lt;=$A272)*MOVIMIENTOS!$E$5:$E$1005)-SUMPRODUCT((MOVIMIENTOS!$B$5:$B$1005="TRASIEGO")*(MOVIMIENTOS!$C$5:$C$1005="A")*(MOVIMIENTOS!$D$5:$D$1005="jabas")*(MOVIMIENTOS!$A$5:$A$1005&lt;&gt;"")*(MOVIMIENTOS!$A$5:$A$1005&lt;=$A272)*MOVIMIENTOS!$E$5:$E$1005)-SUMPRODUCT((MOVIMIENTOS!$B$5:$B$1005="REGALO")*(MOVIMIENTOS!$C$5:$C$1005="A")*(MOVIMIENTOS!$D$5:$D$1005="jabas")*(MOVIMIENTOS!$A$5:$A$1005&lt;&gt;"")*(MOVIMIENTOS!$A$5:$A$1005&lt;=$A272)*MOVIMIENTOS!$E$5:$E$1005)-SUMPRODUCT((MOVIMIENTOS!$B$5:$B$1005="VENTA")*(MOVIMIENTOS!$C$5:$C$1005="A")*(MOVIMIENTOS!$D$5:$D$1005="jabas")*(MOVIMIENTOS!$A$5:$A$1005&lt;&gt;"")*(MOVIMIENTOS!$A$5:$A$1005&lt;=$A272)*MOVIMIENTOS!$E$5:$E$1005)+SUMPRODUCT((MOVIMIENTOS!$B$5:$B$1005="AJUSTE")*(MOVIMIENTOS!$C$5:$C$1005="A")*(MOVIMIENTOS!$D$5:$D$1005="jabas")*(MOVIMIENTOS!$A$5:$A$1005&lt;&gt;"")*(MOVIMIENTOS!$A$5:$A$1005&lt;=$A272)*MOVIMIENTOS!$E$5:$E$1005))</f>
        <v/>
      </c>
      <c r="C272" s="63" t="str">
        <f>IF($A272="","",SUMPRODUCT((MOVIMIENTOS!$B$5:$B$1005="SALDO INICIAL")*(MOVIMIENTOS!$C$5:$C$1005="P")*(MOVIMIENTOS!$D$5:$D$1005="jabas")*(MOVIMIENTOS!$A$5:$A$1005&lt;&gt;"")*(MOVIMIENTOS!$A$5:$A$1005&lt;=$A272)*MOVIMIENTOS!$E$5:$E$1005)+SUMPRODUCT((MOVIMIENTOS!$B$5:$B$1005="PROCESO")*(MOVIMIENTOS!$C$5:$C$1005="P")*(MOVIMIENTOS!$D$5:$D$1005="jabas")*(MOVIMIENTOS!$A$5:$A$1005&lt;&gt;"")*(MOVIMIENTOS!$A$5:$A$1005&lt;=$A272)*MOVIMIENTOS!$E$5:$E$1005)-SUMPRODUCT((MOVIMIENTOS!$B$5:$B$1005="ENVÍO A SUPESA")*(MOVIMIENTOS!$C$5:$C$1005="P")*(MOVIMIENTOS!$D$5:$D$1005="jabas")*(MOVIMIENTOS!$A$5:$A$1005&lt;&gt;"")*(MOVIMIENTOS!$A$5:$A$1005&lt;=$A272)*MOVIMIENTOS!$E$5:$E$1005)+SUMPRODUCT((MOVIMIENTOS!$B$5:$B$1005="DEVOLUCIÓN")*(MOVIMIENTOS!$C$5:$C$1005="P")*(MOVIMIENTOS!$D$5:$D$1005="jabas")*(MOVIMIENTOS!$A$5:$A$1005&lt;&gt;"")*(MOVIMIENTOS!$A$5:$A$1005&lt;=$A272)*MOVIMIENTOS!$E$5:$E$1005)-SUMPRODUCT((MOVIMIENTOS!$B$5:$B$1005="TRASIEGO")*(MOVIMIENTOS!$C$5:$C$1005="P")*(MOVIMIENTOS!$D$5:$D$1005="jabas")*(MOVIMIENTOS!$A$5:$A$1005&lt;&gt;"")*(MOVIMIENTOS!$A$5:$A$1005&lt;=$A272)*MOVIMIENTOS!$E$5:$E$1005)-SUMPRODUCT((MOVIMIENTOS!$B$5:$B$1005="REGALO")*(MOVIMIENTOS!$C$5:$C$1005="P")*(MOVIMIENTOS!$D$5:$D$1005="jabas")*(MOVIMIENTOS!$A$5:$A$1005&lt;&gt;"")*(MOVIMIENTOS!$A$5:$A$1005&lt;=$A272)*MOVIMIENTOS!$E$5:$E$1005)-SUMPRODUCT((MOVIMIENTOS!$B$5:$B$1005="VENTA")*(MOVIMIENTOS!$C$5:$C$1005="P")*(MOVIMIENTOS!$D$5:$D$1005="jabas")*(MOVIMIENTOS!$A$5:$A$1005&lt;&gt;"")*(MOVIMIENTOS!$A$5:$A$1005&lt;=$A272)*MOVIMIENTOS!$E$5:$E$1005)+SUMPRODUCT((MOVIMIENTOS!$B$5:$B$1005="AJUSTE")*(MOVIMIENTOS!$C$5:$C$1005="P")*(MOVIMIENTOS!$D$5:$D$1005="jabas")*(MOVIMIENTOS!$A$5:$A$1005&lt;&gt;"")*(MOVIMIENTOS!$A$5:$A$1005&lt;=$A272)*MOVIMIENTOS!$E$5:$E$1005))</f>
        <v/>
      </c>
      <c r="D272" s="63" t="str">
        <f>IF($A272="","",SUMPRODUCT((MOVIMIENTOS!$B$5:$B$1005="SALDO INICIAL")*(MOVIMIENTOS!$C$5:$C$1005="C")*(MOVIMIENTOS!$D$5:$D$1005="jabas")*(MOVIMIENTOS!$A$5:$A$1005&lt;&gt;"")*(MOVIMIENTOS!$A$5:$A$1005&lt;=$A272)*MOVIMIENTOS!$E$5:$E$1005)+SUMPRODUCT((MOVIMIENTOS!$B$5:$B$1005="PROCESO")*(MOVIMIENTOS!$C$5:$C$1005="C")*(MOVIMIENTOS!$D$5:$D$1005="jabas")*(MOVIMIENTOS!$A$5:$A$1005&lt;&gt;"")*(MOVIMIENTOS!$A$5:$A$1005&lt;=$A272)*MOVIMIENTOS!$E$5:$E$1005)-SUMPRODUCT((MOVIMIENTOS!$B$5:$B$1005="ENVÍO A SUPESA")*(MOVIMIENTOS!$C$5:$C$1005="C")*(MOVIMIENTOS!$D$5:$D$1005="jabas")*(MOVIMIENTOS!$A$5:$A$1005&lt;&gt;"")*(MOVIMIENTOS!$A$5:$A$1005&lt;=$A272)*MOVIMIENTOS!$E$5:$E$1005)+SUMPRODUCT((MOVIMIENTOS!$B$5:$B$1005="DEVOLUCIÓN")*(MOVIMIENTOS!$C$5:$C$1005="C")*(MOVIMIENTOS!$D$5:$D$1005="jabas")*(MOVIMIENTOS!$A$5:$A$1005&lt;&gt;"")*(MOVIMIENTOS!$A$5:$A$1005&lt;=$A272)*MOVIMIENTOS!$E$5:$E$1005)-SUMPRODUCT((MOVIMIENTOS!$B$5:$B$1005="TRASIEGO")*(MOVIMIENTOS!$C$5:$C$1005="C")*(MOVIMIENTOS!$D$5:$D$1005="jabas")*(MOVIMIENTOS!$A$5:$A$1005&lt;&gt;"")*(MOVIMIENTOS!$A$5:$A$1005&lt;=$A272)*MOVIMIENTOS!$E$5:$E$1005)-SUMPRODUCT((MOVIMIENTOS!$B$5:$B$1005="REGALO")*(MOVIMIENTOS!$C$5:$C$1005="C")*(MOVIMIENTOS!$D$5:$D$1005="jabas")*(MOVIMIENTOS!$A$5:$A$1005&lt;&gt;"")*(MOVIMIENTOS!$A$5:$A$1005&lt;=$A272)*MOVIMIENTOS!$E$5:$E$1005)-SUMPRODUCT((MOVIMIENTOS!$B$5:$B$1005="VENTA")*(MOVIMIENTOS!$C$5:$C$1005="C")*(MOVIMIENTOS!$D$5:$D$1005="jabas")*(MOVIMIENTOS!$A$5:$A$1005&lt;&gt;"")*(MOVIMIENTOS!$A$5:$A$1005&lt;=$A272)*MOVIMIENTOS!$E$5:$E$1005)+SUMPRODUCT((MOVIMIENTOS!$B$5:$B$1005="AJUSTE")*(MOVIMIENTOS!$C$5:$C$1005="C")*(MOVIMIENTOS!$D$5:$D$1005="jabas")*(MOVIMIENTOS!$A$5:$A$1005&lt;&gt;"")*(MOVIMIENTOS!$A$5:$A$1005&lt;=$A272)*MOVIMIENTOS!$E$5:$E$1005))</f>
        <v/>
      </c>
      <c r="E272" s="63" t="str">
        <f>IF($A272="","",SUMPRODUCT((MOVIMIENTOS!$B$5:$B$1005="SALDO INICIAL")*(MOVIMIENTOS!$C$5:$C$1005="M")*(MOVIMIENTOS!$D$5:$D$1005="jabas")*(MOVIMIENTOS!$A$5:$A$1005&lt;&gt;"")*(MOVIMIENTOS!$A$5:$A$1005&lt;=$A272)*MOVIMIENTOS!$E$5:$E$1005)+SUMPRODUCT((MOVIMIENTOS!$B$5:$B$1005="PROCESO")*(MOVIMIENTOS!$C$5:$C$1005="M")*(MOVIMIENTOS!$D$5:$D$1005="jabas")*(MOVIMIENTOS!$A$5:$A$1005&lt;&gt;"")*(MOVIMIENTOS!$A$5:$A$1005&lt;=$A272)*MOVIMIENTOS!$E$5:$E$1005)-SUMPRODUCT((MOVIMIENTOS!$B$5:$B$1005="ENVÍO A SUPESA")*(MOVIMIENTOS!$C$5:$C$1005="M")*(MOVIMIENTOS!$D$5:$D$1005="jabas")*(MOVIMIENTOS!$A$5:$A$1005&lt;&gt;"")*(MOVIMIENTOS!$A$5:$A$1005&lt;=$A272)*MOVIMIENTOS!$E$5:$E$1005)+SUMPRODUCT((MOVIMIENTOS!$B$5:$B$1005="DEVOLUCIÓN")*(MOVIMIENTOS!$C$5:$C$1005="M")*(MOVIMIENTOS!$D$5:$D$1005="jabas")*(MOVIMIENTOS!$A$5:$A$1005&lt;&gt;"")*(MOVIMIENTOS!$A$5:$A$1005&lt;=$A272)*MOVIMIENTOS!$E$5:$E$1005)-SUMPRODUCT((MOVIMIENTOS!$B$5:$B$1005="TRASIEGO")*(MOVIMIENTOS!$C$5:$C$1005="M")*(MOVIMIENTOS!$D$5:$D$1005="jabas")*(MOVIMIENTOS!$A$5:$A$1005&lt;&gt;"")*(MOVIMIENTOS!$A$5:$A$1005&lt;=$A272)*MOVIMIENTOS!$E$5:$E$1005)-SUMPRODUCT((MOVIMIENTOS!$B$5:$B$1005="REGALO")*(MOVIMIENTOS!$C$5:$C$1005="M")*(MOVIMIENTOS!$D$5:$D$1005="jabas")*(MOVIMIENTOS!$A$5:$A$1005&lt;&gt;"")*(MOVIMIENTOS!$A$5:$A$1005&lt;=$A272)*MOVIMIENTOS!$E$5:$E$1005)-SUMPRODUCT((MOVIMIENTOS!$B$5:$B$1005="VENTA")*(MOVIMIENTOS!$C$5:$C$1005="M")*(MOVIMIENTOS!$D$5:$D$1005="jabas")*(MOVIMIENTOS!$A$5:$A$1005&lt;&gt;"")*(MOVIMIENTOS!$A$5:$A$1005&lt;=$A272)*MOVIMIENTOS!$E$5:$E$1005)+SUMPRODUCT((MOVIMIENTOS!$B$5:$B$1005="AJUSTE")*(MOVIMIENTOS!$C$5:$C$1005="M")*(MOVIMIENTOS!$D$5:$D$1005="jabas")*(MOVIMIENTOS!$A$5:$A$1005&lt;&gt;"")*(MOVIMIENTOS!$A$5:$A$1005&lt;=$A272)*MOVIMIENTOS!$E$5:$E$1005))</f>
        <v/>
      </c>
      <c r="F272" s="63" t="str">
        <f>IF($A272="","",SUMPRODUCT((MOVIMIENTOS!$B$5:$B$1005="SALDO INICIAL")*(MOVIMIENTOS!$C$5:$C$1005="Chancho")*(MOVIMIENTOS!$D$5:$D$1005="sacos")*(MOVIMIENTOS!$A$5:$A$1005&lt;&gt;"")*(MOVIMIENTOS!$A$5:$A$1005&lt;=$A272)*MOVIMIENTOS!$E$5:$E$1005)+SUMPRODUCT((MOVIMIENTOS!$B$5:$B$1005="PROCESO")*(MOVIMIENTOS!$C$5:$C$1005="Chancho")*(MOVIMIENTOS!$D$5:$D$1005="sacos")*(MOVIMIENTOS!$A$5:$A$1005&lt;&gt;"")*(MOVIMIENTOS!$A$5:$A$1005&lt;=$A272)*MOVIMIENTOS!$E$5:$E$1005)-SUMPRODUCT((MOVIMIENTOS!$B$5:$B$1005="VENTA CHANCHO")*(MOVIMIENTOS!$C$5:$C$1005="Chancho")*(MOVIMIENTOS!$D$5:$D$1005="sacos")*(MOVIMIENTOS!$A$5:$A$1005&lt;&gt;"")*(MOVIMIENTOS!$A$5:$A$1005&lt;=$A272)*MOVIMIENTOS!$E$5:$E$1005)-SUMPRODUCT((MOVIMIENTOS!$B$5:$B$1005="REGALO")*(MOVIMIENTOS!$C$5:$C$1005="Chancho")*(MOVIMIENTOS!$D$5:$D$1005="sacos")*(MOVIMIENTOS!$A$5:$A$1005&lt;&gt;"")*(MOVIMIENTOS!$A$5:$A$1005&lt;=$A272)*MOVIMIENTOS!$E$5:$E$1005)-SUMPRODUCT((MOVIMIENTOS!$B$5:$B$1005="VENTA")*(MOVIMIENTOS!$C$5:$C$1005="Chancho")*(MOVIMIENTOS!$D$5:$D$1005="sacos")*(MOVIMIENTOS!$A$5:$A$1005&lt;&gt;"")*(MOVIMIENTOS!$A$5:$A$1005&lt;=$A272)*MOVIMIENTOS!$E$5:$E$1005)+SUMPRODUCT((MOVIMIENTOS!$B$5:$B$1005="AJUSTE")*(MOVIMIENTOS!$C$5:$C$1005="Chancho")*(MOVIMIENTOS!$D$5:$D$1005="sacos")*(MOVIMIENTOS!$A$5:$A$1005&lt;&gt;"")*(MOVIMIENTOS!$A$5:$A$1005&lt;=$A272)*MOVIMIENTOS!$E$5:$E$1005))</f>
        <v/>
      </c>
      <c r="G272" s="95" t="str">
        <f t="shared" si="9"/>
        <v/>
      </c>
      <c r="H272" s="63" t="str">
        <f>IF($A272="","",SUMPRODUCT((((MOVIMIENTOS!$B$5:$B$1005="SALDO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272)*MOVIMIENTOS!$J$5:$J$1005))</f>
        <v/>
      </c>
      <c r="I272" s="63"/>
      <c r="J272" s="63" t="str">
        <f>IF(AND(MOVIMIENTOS!$A271&lt;&gt;"",COUNTIF(MOVIMIENTOS!$A$5:$A270,MOVIMIENTOS!$A271)=0),COUNT(J$4:J271)+1,"")</f>
        <v/>
      </c>
      <c r="K272" s="66">
        <f>MOVIMIENTOS!$A271</f>
        <v>46238</v>
      </c>
      <c r="L272" s="63"/>
      <c r="M272" s="63"/>
      <c r="N272" s="63"/>
    </row>
    <row r="273" spans="1:14" ht="15" customHeight="1" x14ac:dyDescent="0.2">
      <c r="A273" s="63" t="str">
        <f t="shared" si="8"/>
        <v/>
      </c>
      <c r="B273" s="63" t="str">
        <f>IF($A273="","",SUMPRODUCT((MOVIMIENTOS!$B$5:$B$1005="SALDO INICIAL")*(MOVIMIENTOS!$C$5:$C$1005="A")*(MOVIMIENTOS!$D$5:$D$1005="jabas")*(MOVIMIENTOS!$A$5:$A$1005&lt;&gt;"")*(MOVIMIENTOS!$A$5:$A$1005&lt;=$A273)*MOVIMIENTOS!$E$5:$E$1005)+SUMPRODUCT((MOVIMIENTOS!$B$5:$B$1005="PROCESO")*(MOVIMIENTOS!$C$5:$C$1005="A")*(MOVIMIENTOS!$D$5:$D$1005="jabas")*(MOVIMIENTOS!$A$5:$A$1005&lt;&gt;"")*(MOVIMIENTOS!$A$5:$A$1005&lt;=$A273)*MOVIMIENTOS!$E$5:$E$1005)-SUMPRODUCT((MOVIMIENTOS!$B$5:$B$1005="ENVÍO A SUPESA")*(MOVIMIENTOS!$C$5:$C$1005="A")*(MOVIMIENTOS!$D$5:$D$1005="jabas")*(MOVIMIENTOS!$A$5:$A$1005&lt;&gt;"")*(MOVIMIENTOS!$A$5:$A$1005&lt;=$A273)*MOVIMIENTOS!$E$5:$E$1005)+SUMPRODUCT((MOVIMIENTOS!$B$5:$B$1005="DEVOLUCIÓN")*(MOVIMIENTOS!$C$5:$C$1005="A")*(MOVIMIENTOS!$D$5:$D$1005="jabas")*(MOVIMIENTOS!$A$5:$A$1005&lt;&gt;"")*(MOVIMIENTOS!$A$5:$A$1005&lt;=$A273)*MOVIMIENTOS!$E$5:$E$1005)-SUMPRODUCT((MOVIMIENTOS!$B$5:$B$1005="TRASIEGO")*(MOVIMIENTOS!$C$5:$C$1005="A")*(MOVIMIENTOS!$D$5:$D$1005="jabas")*(MOVIMIENTOS!$A$5:$A$1005&lt;&gt;"")*(MOVIMIENTOS!$A$5:$A$1005&lt;=$A273)*MOVIMIENTOS!$E$5:$E$1005)-SUMPRODUCT((MOVIMIENTOS!$B$5:$B$1005="REGALO")*(MOVIMIENTOS!$C$5:$C$1005="A")*(MOVIMIENTOS!$D$5:$D$1005="jabas")*(MOVIMIENTOS!$A$5:$A$1005&lt;&gt;"")*(MOVIMIENTOS!$A$5:$A$1005&lt;=$A273)*MOVIMIENTOS!$E$5:$E$1005)-SUMPRODUCT((MOVIMIENTOS!$B$5:$B$1005="VENTA")*(MOVIMIENTOS!$C$5:$C$1005="A")*(MOVIMIENTOS!$D$5:$D$1005="jabas")*(MOVIMIENTOS!$A$5:$A$1005&lt;&gt;"")*(MOVIMIENTOS!$A$5:$A$1005&lt;=$A273)*MOVIMIENTOS!$E$5:$E$1005)+SUMPRODUCT((MOVIMIENTOS!$B$5:$B$1005="AJUSTE")*(MOVIMIENTOS!$C$5:$C$1005="A")*(MOVIMIENTOS!$D$5:$D$1005="jabas")*(MOVIMIENTOS!$A$5:$A$1005&lt;&gt;"")*(MOVIMIENTOS!$A$5:$A$1005&lt;=$A273)*MOVIMIENTOS!$E$5:$E$1005))</f>
        <v/>
      </c>
      <c r="C273" s="63" t="str">
        <f>IF($A273="","",SUMPRODUCT((MOVIMIENTOS!$B$5:$B$1005="SALDO INICIAL")*(MOVIMIENTOS!$C$5:$C$1005="P")*(MOVIMIENTOS!$D$5:$D$1005="jabas")*(MOVIMIENTOS!$A$5:$A$1005&lt;&gt;"")*(MOVIMIENTOS!$A$5:$A$1005&lt;=$A273)*MOVIMIENTOS!$E$5:$E$1005)+SUMPRODUCT((MOVIMIENTOS!$B$5:$B$1005="PROCESO")*(MOVIMIENTOS!$C$5:$C$1005="P")*(MOVIMIENTOS!$D$5:$D$1005="jabas")*(MOVIMIENTOS!$A$5:$A$1005&lt;&gt;"")*(MOVIMIENTOS!$A$5:$A$1005&lt;=$A273)*MOVIMIENTOS!$E$5:$E$1005)-SUMPRODUCT((MOVIMIENTOS!$B$5:$B$1005="ENVÍO A SUPESA")*(MOVIMIENTOS!$C$5:$C$1005="P")*(MOVIMIENTOS!$D$5:$D$1005="jabas")*(MOVIMIENTOS!$A$5:$A$1005&lt;&gt;"")*(MOVIMIENTOS!$A$5:$A$1005&lt;=$A273)*MOVIMIENTOS!$E$5:$E$1005)+SUMPRODUCT((MOVIMIENTOS!$B$5:$B$1005="DEVOLUCIÓN")*(MOVIMIENTOS!$C$5:$C$1005="P")*(MOVIMIENTOS!$D$5:$D$1005="jabas")*(MOVIMIENTOS!$A$5:$A$1005&lt;&gt;"")*(MOVIMIENTOS!$A$5:$A$1005&lt;=$A273)*MOVIMIENTOS!$E$5:$E$1005)-SUMPRODUCT((MOVIMIENTOS!$B$5:$B$1005="TRASIEGO")*(MOVIMIENTOS!$C$5:$C$1005="P")*(MOVIMIENTOS!$D$5:$D$1005="jabas")*(MOVIMIENTOS!$A$5:$A$1005&lt;&gt;"")*(MOVIMIENTOS!$A$5:$A$1005&lt;=$A273)*MOVIMIENTOS!$E$5:$E$1005)-SUMPRODUCT((MOVIMIENTOS!$B$5:$B$1005="REGALO")*(MOVIMIENTOS!$C$5:$C$1005="P")*(MOVIMIENTOS!$D$5:$D$1005="jabas")*(MOVIMIENTOS!$A$5:$A$1005&lt;&gt;"")*(MOVIMIENTOS!$A$5:$A$1005&lt;=$A273)*MOVIMIENTOS!$E$5:$E$1005)-SUMPRODUCT((MOVIMIENTOS!$B$5:$B$1005="VENTA")*(MOVIMIENTOS!$C$5:$C$1005="P")*(MOVIMIENTOS!$D$5:$D$1005="jabas")*(MOVIMIENTOS!$A$5:$A$1005&lt;&gt;"")*(MOVIMIENTOS!$A$5:$A$1005&lt;=$A273)*MOVIMIENTOS!$E$5:$E$1005)+SUMPRODUCT((MOVIMIENTOS!$B$5:$B$1005="AJUSTE")*(MOVIMIENTOS!$C$5:$C$1005="P")*(MOVIMIENTOS!$D$5:$D$1005="jabas")*(MOVIMIENTOS!$A$5:$A$1005&lt;&gt;"")*(MOVIMIENTOS!$A$5:$A$1005&lt;=$A273)*MOVIMIENTOS!$E$5:$E$1005))</f>
        <v/>
      </c>
      <c r="D273" s="63" t="str">
        <f>IF($A273="","",SUMPRODUCT((MOVIMIENTOS!$B$5:$B$1005="SALDO INICIAL")*(MOVIMIENTOS!$C$5:$C$1005="C")*(MOVIMIENTOS!$D$5:$D$1005="jabas")*(MOVIMIENTOS!$A$5:$A$1005&lt;&gt;"")*(MOVIMIENTOS!$A$5:$A$1005&lt;=$A273)*MOVIMIENTOS!$E$5:$E$1005)+SUMPRODUCT((MOVIMIENTOS!$B$5:$B$1005="PROCESO")*(MOVIMIENTOS!$C$5:$C$1005="C")*(MOVIMIENTOS!$D$5:$D$1005="jabas")*(MOVIMIENTOS!$A$5:$A$1005&lt;&gt;"")*(MOVIMIENTOS!$A$5:$A$1005&lt;=$A273)*MOVIMIENTOS!$E$5:$E$1005)-SUMPRODUCT((MOVIMIENTOS!$B$5:$B$1005="ENVÍO A SUPESA")*(MOVIMIENTOS!$C$5:$C$1005="C")*(MOVIMIENTOS!$D$5:$D$1005="jabas")*(MOVIMIENTOS!$A$5:$A$1005&lt;&gt;"")*(MOVIMIENTOS!$A$5:$A$1005&lt;=$A273)*MOVIMIENTOS!$E$5:$E$1005)+SUMPRODUCT((MOVIMIENTOS!$B$5:$B$1005="DEVOLUCIÓN")*(MOVIMIENTOS!$C$5:$C$1005="C")*(MOVIMIENTOS!$D$5:$D$1005="jabas")*(MOVIMIENTOS!$A$5:$A$1005&lt;&gt;"")*(MOVIMIENTOS!$A$5:$A$1005&lt;=$A273)*MOVIMIENTOS!$E$5:$E$1005)-SUMPRODUCT((MOVIMIENTOS!$B$5:$B$1005="TRASIEGO")*(MOVIMIENTOS!$C$5:$C$1005="C")*(MOVIMIENTOS!$D$5:$D$1005="jabas")*(MOVIMIENTOS!$A$5:$A$1005&lt;&gt;"")*(MOVIMIENTOS!$A$5:$A$1005&lt;=$A273)*MOVIMIENTOS!$E$5:$E$1005)-SUMPRODUCT((MOVIMIENTOS!$B$5:$B$1005="REGALO")*(MOVIMIENTOS!$C$5:$C$1005="C")*(MOVIMIENTOS!$D$5:$D$1005="jabas")*(MOVIMIENTOS!$A$5:$A$1005&lt;&gt;"")*(MOVIMIENTOS!$A$5:$A$1005&lt;=$A273)*MOVIMIENTOS!$E$5:$E$1005)-SUMPRODUCT((MOVIMIENTOS!$B$5:$B$1005="VENTA")*(MOVIMIENTOS!$C$5:$C$1005="C")*(MOVIMIENTOS!$D$5:$D$1005="jabas")*(MOVIMIENTOS!$A$5:$A$1005&lt;&gt;"")*(MOVIMIENTOS!$A$5:$A$1005&lt;=$A273)*MOVIMIENTOS!$E$5:$E$1005)+SUMPRODUCT((MOVIMIENTOS!$B$5:$B$1005="AJUSTE")*(MOVIMIENTOS!$C$5:$C$1005="C")*(MOVIMIENTOS!$D$5:$D$1005="jabas")*(MOVIMIENTOS!$A$5:$A$1005&lt;&gt;"")*(MOVIMIENTOS!$A$5:$A$1005&lt;=$A273)*MOVIMIENTOS!$E$5:$E$1005))</f>
        <v/>
      </c>
      <c r="E273" s="63" t="str">
        <f>IF($A273="","",SUMPRODUCT((MOVIMIENTOS!$B$5:$B$1005="SALDO INICIAL")*(MOVIMIENTOS!$C$5:$C$1005="M")*(MOVIMIENTOS!$D$5:$D$1005="jabas")*(MOVIMIENTOS!$A$5:$A$1005&lt;&gt;"")*(MOVIMIENTOS!$A$5:$A$1005&lt;=$A273)*MOVIMIENTOS!$E$5:$E$1005)+SUMPRODUCT((MOVIMIENTOS!$B$5:$B$1005="PROCESO")*(MOVIMIENTOS!$C$5:$C$1005="M")*(MOVIMIENTOS!$D$5:$D$1005="jabas")*(MOVIMIENTOS!$A$5:$A$1005&lt;&gt;"")*(MOVIMIENTOS!$A$5:$A$1005&lt;=$A273)*MOVIMIENTOS!$E$5:$E$1005)-SUMPRODUCT((MOVIMIENTOS!$B$5:$B$1005="ENVÍO A SUPESA")*(MOVIMIENTOS!$C$5:$C$1005="M")*(MOVIMIENTOS!$D$5:$D$1005="jabas")*(MOVIMIENTOS!$A$5:$A$1005&lt;&gt;"")*(MOVIMIENTOS!$A$5:$A$1005&lt;=$A273)*MOVIMIENTOS!$E$5:$E$1005)+SUMPRODUCT((MOVIMIENTOS!$B$5:$B$1005="DEVOLUCIÓN")*(MOVIMIENTOS!$C$5:$C$1005="M")*(MOVIMIENTOS!$D$5:$D$1005="jabas")*(MOVIMIENTOS!$A$5:$A$1005&lt;&gt;"")*(MOVIMIENTOS!$A$5:$A$1005&lt;=$A273)*MOVIMIENTOS!$E$5:$E$1005)-SUMPRODUCT((MOVIMIENTOS!$B$5:$B$1005="TRASIEGO")*(MOVIMIENTOS!$C$5:$C$1005="M")*(MOVIMIENTOS!$D$5:$D$1005="jabas")*(MOVIMIENTOS!$A$5:$A$1005&lt;&gt;"")*(MOVIMIENTOS!$A$5:$A$1005&lt;=$A273)*MOVIMIENTOS!$E$5:$E$1005)-SUMPRODUCT((MOVIMIENTOS!$B$5:$B$1005="REGALO")*(MOVIMIENTOS!$C$5:$C$1005="M")*(MOVIMIENTOS!$D$5:$D$1005="jabas")*(MOVIMIENTOS!$A$5:$A$1005&lt;&gt;"")*(MOVIMIENTOS!$A$5:$A$1005&lt;=$A273)*MOVIMIENTOS!$E$5:$E$1005)-SUMPRODUCT((MOVIMIENTOS!$B$5:$B$1005="VENTA")*(MOVIMIENTOS!$C$5:$C$1005="M")*(MOVIMIENTOS!$D$5:$D$1005="jabas")*(MOVIMIENTOS!$A$5:$A$1005&lt;&gt;"")*(MOVIMIENTOS!$A$5:$A$1005&lt;=$A273)*MOVIMIENTOS!$E$5:$E$1005)+SUMPRODUCT((MOVIMIENTOS!$B$5:$B$1005="AJUSTE")*(MOVIMIENTOS!$C$5:$C$1005="M")*(MOVIMIENTOS!$D$5:$D$1005="jabas")*(MOVIMIENTOS!$A$5:$A$1005&lt;&gt;"")*(MOVIMIENTOS!$A$5:$A$1005&lt;=$A273)*MOVIMIENTOS!$E$5:$E$1005))</f>
        <v/>
      </c>
      <c r="F273" s="63" t="str">
        <f>IF($A273="","",SUMPRODUCT((MOVIMIENTOS!$B$5:$B$1005="SALDO INICIAL")*(MOVIMIENTOS!$C$5:$C$1005="Chancho")*(MOVIMIENTOS!$D$5:$D$1005="sacos")*(MOVIMIENTOS!$A$5:$A$1005&lt;&gt;"")*(MOVIMIENTOS!$A$5:$A$1005&lt;=$A273)*MOVIMIENTOS!$E$5:$E$1005)+SUMPRODUCT((MOVIMIENTOS!$B$5:$B$1005="PROCESO")*(MOVIMIENTOS!$C$5:$C$1005="Chancho")*(MOVIMIENTOS!$D$5:$D$1005="sacos")*(MOVIMIENTOS!$A$5:$A$1005&lt;&gt;"")*(MOVIMIENTOS!$A$5:$A$1005&lt;=$A273)*MOVIMIENTOS!$E$5:$E$1005)-SUMPRODUCT((MOVIMIENTOS!$B$5:$B$1005="VENTA CHANCHO")*(MOVIMIENTOS!$C$5:$C$1005="Chancho")*(MOVIMIENTOS!$D$5:$D$1005="sacos")*(MOVIMIENTOS!$A$5:$A$1005&lt;&gt;"")*(MOVIMIENTOS!$A$5:$A$1005&lt;=$A273)*MOVIMIENTOS!$E$5:$E$1005)-SUMPRODUCT((MOVIMIENTOS!$B$5:$B$1005="REGALO")*(MOVIMIENTOS!$C$5:$C$1005="Chancho")*(MOVIMIENTOS!$D$5:$D$1005="sacos")*(MOVIMIENTOS!$A$5:$A$1005&lt;&gt;"")*(MOVIMIENTOS!$A$5:$A$1005&lt;=$A273)*MOVIMIENTOS!$E$5:$E$1005)-SUMPRODUCT((MOVIMIENTOS!$B$5:$B$1005="VENTA")*(MOVIMIENTOS!$C$5:$C$1005="Chancho")*(MOVIMIENTOS!$D$5:$D$1005="sacos")*(MOVIMIENTOS!$A$5:$A$1005&lt;&gt;"")*(MOVIMIENTOS!$A$5:$A$1005&lt;=$A273)*MOVIMIENTOS!$E$5:$E$1005)+SUMPRODUCT((MOVIMIENTOS!$B$5:$B$1005="AJUSTE")*(MOVIMIENTOS!$C$5:$C$1005="Chancho")*(MOVIMIENTOS!$D$5:$D$1005="sacos")*(MOVIMIENTOS!$A$5:$A$1005&lt;&gt;"")*(MOVIMIENTOS!$A$5:$A$1005&lt;=$A273)*MOVIMIENTOS!$E$5:$E$1005))</f>
        <v/>
      </c>
      <c r="G273" s="95" t="str">
        <f t="shared" si="9"/>
        <v/>
      </c>
      <c r="H273" s="63" t="str">
        <f>IF($A273="","",SUMPRODUCT((((MOVIMIENTOS!$B$5:$B$1005="SALDO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273)*MOVIMIENTOS!$J$5:$J$1005))</f>
        <v/>
      </c>
      <c r="I273" s="63"/>
      <c r="J273" s="63" t="str">
        <f>IF(AND(MOVIMIENTOS!$A272&lt;&gt;"",COUNTIF(MOVIMIENTOS!$A$5:$A271,MOVIMIENTOS!$A272)=0),COUNT(J$4:J272)+1,"")</f>
        <v/>
      </c>
      <c r="K273" s="66">
        <f>MOVIMIENTOS!$A272</f>
        <v>46238</v>
      </c>
      <c r="L273" s="63"/>
      <c r="M273" s="63"/>
      <c r="N273" s="63"/>
    </row>
    <row r="274" spans="1:14" ht="15" customHeight="1" x14ac:dyDescent="0.2">
      <c r="A274" s="63" t="str">
        <f t="shared" si="8"/>
        <v/>
      </c>
      <c r="B274" s="63" t="str">
        <f>IF($A274="","",SUMPRODUCT((MOVIMIENTOS!$B$5:$B$1005="SALDO INICIAL")*(MOVIMIENTOS!$C$5:$C$1005="A")*(MOVIMIENTOS!$D$5:$D$1005="jabas")*(MOVIMIENTOS!$A$5:$A$1005&lt;&gt;"")*(MOVIMIENTOS!$A$5:$A$1005&lt;=$A274)*MOVIMIENTOS!$E$5:$E$1005)+SUMPRODUCT((MOVIMIENTOS!$B$5:$B$1005="PROCESO")*(MOVIMIENTOS!$C$5:$C$1005="A")*(MOVIMIENTOS!$D$5:$D$1005="jabas")*(MOVIMIENTOS!$A$5:$A$1005&lt;&gt;"")*(MOVIMIENTOS!$A$5:$A$1005&lt;=$A274)*MOVIMIENTOS!$E$5:$E$1005)-SUMPRODUCT((MOVIMIENTOS!$B$5:$B$1005="ENVÍO A SUPESA")*(MOVIMIENTOS!$C$5:$C$1005="A")*(MOVIMIENTOS!$D$5:$D$1005="jabas")*(MOVIMIENTOS!$A$5:$A$1005&lt;&gt;"")*(MOVIMIENTOS!$A$5:$A$1005&lt;=$A274)*MOVIMIENTOS!$E$5:$E$1005)+SUMPRODUCT((MOVIMIENTOS!$B$5:$B$1005="DEVOLUCIÓN")*(MOVIMIENTOS!$C$5:$C$1005="A")*(MOVIMIENTOS!$D$5:$D$1005="jabas")*(MOVIMIENTOS!$A$5:$A$1005&lt;&gt;"")*(MOVIMIENTOS!$A$5:$A$1005&lt;=$A274)*MOVIMIENTOS!$E$5:$E$1005)-SUMPRODUCT((MOVIMIENTOS!$B$5:$B$1005="TRASIEGO")*(MOVIMIENTOS!$C$5:$C$1005="A")*(MOVIMIENTOS!$D$5:$D$1005="jabas")*(MOVIMIENTOS!$A$5:$A$1005&lt;&gt;"")*(MOVIMIENTOS!$A$5:$A$1005&lt;=$A274)*MOVIMIENTOS!$E$5:$E$1005)-SUMPRODUCT((MOVIMIENTOS!$B$5:$B$1005="REGALO")*(MOVIMIENTOS!$C$5:$C$1005="A")*(MOVIMIENTOS!$D$5:$D$1005="jabas")*(MOVIMIENTOS!$A$5:$A$1005&lt;&gt;"")*(MOVIMIENTOS!$A$5:$A$1005&lt;=$A274)*MOVIMIENTOS!$E$5:$E$1005)-SUMPRODUCT((MOVIMIENTOS!$B$5:$B$1005="VENTA")*(MOVIMIENTOS!$C$5:$C$1005="A")*(MOVIMIENTOS!$D$5:$D$1005="jabas")*(MOVIMIENTOS!$A$5:$A$1005&lt;&gt;"")*(MOVIMIENTOS!$A$5:$A$1005&lt;=$A274)*MOVIMIENTOS!$E$5:$E$1005)+SUMPRODUCT((MOVIMIENTOS!$B$5:$B$1005="AJUSTE")*(MOVIMIENTOS!$C$5:$C$1005="A")*(MOVIMIENTOS!$D$5:$D$1005="jabas")*(MOVIMIENTOS!$A$5:$A$1005&lt;&gt;"")*(MOVIMIENTOS!$A$5:$A$1005&lt;=$A274)*MOVIMIENTOS!$E$5:$E$1005))</f>
        <v/>
      </c>
      <c r="C274" s="63" t="str">
        <f>IF($A274="","",SUMPRODUCT((MOVIMIENTOS!$B$5:$B$1005="SALDO INICIAL")*(MOVIMIENTOS!$C$5:$C$1005="P")*(MOVIMIENTOS!$D$5:$D$1005="jabas")*(MOVIMIENTOS!$A$5:$A$1005&lt;&gt;"")*(MOVIMIENTOS!$A$5:$A$1005&lt;=$A274)*MOVIMIENTOS!$E$5:$E$1005)+SUMPRODUCT((MOVIMIENTOS!$B$5:$B$1005="PROCESO")*(MOVIMIENTOS!$C$5:$C$1005="P")*(MOVIMIENTOS!$D$5:$D$1005="jabas")*(MOVIMIENTOS!$A$5:$A$1005&lt;&gt;"")*(MOVIMIENTOS!$A$5:$A$1005&lt;=$A274)*MOVIMIENTOS!$E$5:$E$1005)-SUMPRODUCT((MOVIMIENTOS!$B$5:$B$1005="ENVÍO A SUPESA")*(MOVIMIENTOS!$C$5:$C$1005="P")*(MOVIMIENTOS!$D$5:$D$1005="jabas")*(MOVIMIENTOS!$A$5:$A$1005&lt;&gt;"")*(MOVIMIENTOS!$A$5:$A$1005&lt;=$A274)*MOVIMIENTOS!$E$5:$E$1005)+SUMPRODUCT((MOVIMIENTOS!$B$5:$B$1005="DEVOLUCIÓN")*(MOVIMIENTOS!$C$5:$C$1005="P")*(MOVIMIENTOS!$D$5:$D$1005="jabas")*(MOVIMIENTOS!$A$5:$A$1005&lt;&gt;"")*(MOVIMIENTOS!$A$5:$A$1005&lt;=$A274)*MOVIMIENTOS!$E$5:$E$1005)-SUMPRODUCT((MOVIMIENTOS!$B$5:$B$1005="TRASIEGO")*(MOVIMIENTOS!$C$5:$C$1005="P")*(MOVIMIENTOS!$D$5:$D$1005="jabas")*(MOVIMIENTOS!$A$5:$A$1005&lt;&gt;"")*(MOVIMIENTOS!$A$5:$A$1005&lt;=$A274)*MOVIMIENTOS!$E$5:$E$1005)-SUMPRODUCT((MOVIMIENTOS!$B$5:$B$1005="REGALO")*(MOVIMIENTOS!$C$5:$C$1005="P")*(MOVIMIENTOS!$D$5:$D$1005="jabas")*(MOVIMIENTOS!$A$5:$A$1005&lt;&gt;"")*(MOVIMIENTOS!$A$5:$A$1005&lt;=$A274)*MOVIMIENTOS!$E$5:$E$1005)-SUMPRODUCT((MOVIMIENTOS!$B$5:$B$1005="VENTA")*(MOVIMIENTOS!$C$5:$C$1005="P")*(MOVIMIENTOS!$D$5:$D$1005="jabas")*(MOVIMIENTOS!$A$5:$A$1005&lt;&gt;"")*(MOVIMIENTOS!$A$5:$A$1005&lt;=$A274)*MOVIMIENTOS!$E$5:$E$1005)+SUMPRODUCT((MOVIMIENTOS!$B$5:$B$1005="AJUSTE")*(MOVIMIENTOS!$C$5:$C$1005="P")*(MOVIMIENTOS!$D$5:$D$1005="jabas")*(MOVIMIENTOS!$A$5:$A$1005&lt;&gt;"")*(MOVIMIENTOS!$A$5:$A$1005&lt;=$A274)*MOVIMIENTOS!$E$5:$E$1005))</f>
        <v/>
      </c>
      <c r="D274" s="63" t="str">
        <f>IF($A274="","",SUMPRODUCT((MOVIMIENTOS!$B$5:$B$1005="SALDO INICIAL")*(MOVIMIENTOS!$C$5:$C$1005="C")*(MOVIMIENTOS!$D$5:$D$1005="jabas")*(MOVIMIENTOS!$A$5:$A$1005&lt;&gt;"")*(MOVIMIENTOS!$A$5:$A$1005&lt;=$A274)*MOVIMIENTOS!$E$5:$E$1005)+SUMPRODUCT((MOVIMIENTOS!$B$5:$B$1005="PROCESO")*(MOVIMIENTOS!$C$5:$C$1005="C")*(MOVIMIENTOS!$D$5:$D$1005="jabas")*(MOVIMIENTOS!$A$5:$A$1005&lt;&gt;"")*(MOVIMIENTOS!$A$5:$A$1005&lt;=$A274)*MOVIMIENTOS!$E$5:$E$1005)-SUMPRODUCT((MOVIMIENTOS!$B$5:$B$1005="ENVÍO A SUPESA")*(MOVIMIENTOS!$C$5:$C$1005="C")*(MOVIMIENTOS!$D$5:$D$1005="jabas")*(MOVIMIENTOS!$A$5:$A$1005&lt;&gt;"")*(MOVIMIENTOS!$A$5:$A$1005&lt;=$A274)*MOVIMIENTOS!$E$5:$E$1005)+SUMPRODUCT((MOVIMIENTOS!$B$5:$B$1005="DEVOLUCIÓN")*(MOVIMIENTOS!$C$5:$C$1005="C")*(MOVIMIENTOS!$D$5:$D$1005="jabas")*(MOVIMIENTOS!$A$5:$A$1005&lt;&gt;"")*(MOVIMIENTOS!$A$5:$A$1005&lt;=$A274)*MOVIMIENTOS!$E$5:$E$1005)-SUMPRODUCT((MOVIMIENTOS!$B$5:$B$1005="TRASIEGO")*(MOVIMIENTOS!$C$5:$C$1005="C")*(MOVIMIENTOS!$D$5:$D$1005="jabas")*(MOVIMIENTOS!$A$5:$A$1005&lt;&gt;"")*(MOVIMIENTOS!$A$5:$A$1005&lt;=$A274)*MOVIMIENTOS!$E$5:$E$1005)-SUMPRODUCT((MOVIMIENTOS!$B$5:$B$1005="REGALO")*(MOVIMIENTOS!$C$5:$C$1005="C")*(MOVIMIENTOS!$D$5:$D$1005="jabas")*(MOVIMIENTOS!$A$5:$A$1005&lt;&gt;"")*(MOVIMIENTOS!$A$5:$A$1005&lt;=$A274)*MOVIMIENTOS!$E$5:$E$1005)-SUMPRODUCT((MOVIMIENTOS!$B$5:$B$1005="VENTA")*(MOVIMIENTOS!$C$5:$C$1005="C")*(MOVIMIENTOS!$D$5:$D$1005="jabas")*(MOVIMIENTOS!$A$5:$A$1005&lt;&gt;"")*(MOVIMIENTOS!$A$5:$A$1005&lt;=$A274)*MOVIMIENTOS!$E$5:$E$1005)+SUMPRODUCT((MOVIMIENTOS!$B$5:$B$1005="AJUSTE")*(MOVIMIENTOS!$C$5:$C$1005="C")*(MOVIMIENTOS!$D$5:$D$1005="jabas")*(MOVIMIENTOS!$A$5:$A$1005&lt;&gt;"")*(MOVIMIENTOS!$A$5:$A$1005&lt;=$A274)*MOVIMIENTOS!$E$5:$E$1005))</f>
        <v/>
      </c>
      <c r="E274" s="63" t="str">
        <f>IF($A274="","",SUMPRODUCT((MOVIMIENTOS!$B$5:$B$1005="SALDO INICIAL")*(MOVIMIENTOS!$C$5:$C$1005="M")*(MOVIMIENTOS!$D$5:$D$1005="jabas")*(MOVIMIENTOS!$A$5:$A$1005&lt;&gt;"")*(MOVIMIENTOS!$A$5:$A$1005&lt;=$A274)*MOVIMIENTOS!$E$5:$E$1005)+SUMPRODUCT((MOVIMIENTOS!$B$5:$B$1005="PROCESO")*(MOVIMIENTOS!$C$5:$C$1005="M")*(MOVIMIENTOS!$D$5:$D$1005="jabas")*(MOVIMIENTOS!$A$5:$A$1005&lt;&gt;"")*(MOVIMIENTOS!$A$5:$A$1005&lt;=$A274)*MOVIMIENTOS!$E$5:$E$1005)-SUMPRODUCT((MOVIMIENTOS!$B$5:$B$1005="ENVÍO A SUPESA")*(MOVIMIENTOS!$C$5:$C$1005="M")*(MOVIMIENTOS!$D$5:$D$1005="jabas")*(MOVIMIENTOS!$A$5:$A$1005&lt;&gt;"")*(MOVIMIENTOS!$A$5:$A$1005&lt;=$A274)*MOVIMIENTOS!$E$5:$E$1005)+SUMPRODUCT((MOVIMIENTOS!$B$5:$B$1005="DEVOLUCIÓN")*(MOVIMIENTOS!$C$5:$C$1005="M")*(MOVIMIENTOS!$D$5:$D$1005="jabas")*(MOVIMIENTOS!$A$5:$A$1005&lt;&gt;"")*(MOVIMIENTOS!$A$5:$A$1005&lt;=$A274)*MOVIMIENTOS!$E$5:$E$1005)-SUMPRODUCT((MOVIMIENTOS!$B$5:$B$1005="TRASIEGO")*(MOVIMIENTOS!$C$5:$C$1005="M")*(MOVIMIENTOS!$D$5:$D$1005="jabas")*(MOVIMIENTOS!$A$5:$A$1005&lt;&gt;"")*(MOVIMIENTOS!$A$5:$A$1005&lt;=$A274)*MOVIMIENTOS!$E$5:$E$1005)-SUMPRODUCT((MOVIMIENTOS!$B$5:$B$1005="REGALO")*(MOVIMIENTOS!$C$5:$C$1005="M")*(MOVIMIENTOS!$D$5:$D$1005="jabas")*(MOVIMIENTOS!$A$5:$A$1005&lt;&gt;"")*(MOVIMIENTOS!$A$5:$A$1005&lt;=$A274)*MOVIMIENTOS!$E$5:$E$1005)-SUMPRODUCT((MOVIMIENTOS!$B$5:$B$1005="VENTA")*(MOVIMIENTOS!$C$5:$C$1005="M")*(MOVIMIENTOS!$D$5:$D$1005="jabas")*(MOVIMIENTOS!$A$5:$A$1005&lt;&gt;"")*(MOVIMIENTOS!$A$5:$A$1005&lt;=$A274)*MOVIMIENTOS!$E$5:$E$1005)+SUMPRODUCT((MOVIMIENTOS!$B$5:$B$1005="AJUSTE")*(MOVIMIENTOS!$C$5:$C$1005="M")*(MOVIMIENTOS!$D$5:$D$1005="jabas")*(MOVIMIENTOS!$A$5:$A$1005&lt;&gt;"")*(MOVIMIENTOS!$A$5:$A$1005&lt;=$A274)*MOVIMIENTOS!$E$5:$E$1005))</f>
        <v/>
      </c>
      <c r="F274" s="63" t="str">
        <f>IF($A274="","",SUMPRODUCT((MOVIMIENTOS!$B$5:$B$1005="SALDO INICIAL")*(MOVIMIENTOS!$C$5:$C$1005="Chancho")*(MOVIMIENTOS!$D$5:$D$1005="sacos")*(MOVIMIENTOS!$A$5:$A$1005&lt;&gt;"")*(MOVIMIENTOS!$A$5:$A$1005&lt;=$A274)*MOVIMIENTOS!$E$5:$E$1005)+SUMPRODUCT((MOVIMIENTOS!$B$5:$B$1005="PROCESO")*(MOVIMIENTOS!$C$5:$C$1005="Chancho")*(MOVIMIENTOS!$D$5:$D$1005="sacos")*(MOVIMIENTOS!$A$5:$A$1005&lt;&gt;"")*(MOVIMIENTOS!$A$5:$A$1005&lt;=$A274)*MOVIMIENTOS!$E$5:$E$1005)-SUMPRODUCT((MOVIMIENTOS!$B$5:$B$1005="VENTA CHANCHO")*(MOVIMIENTOS!$C$5:$C$1005="Chancho")*(MOVIMIENTOS!$D$5:$D$1005="sacos")*(MOVIMIENTOS!$A$5:$A$1005&lt;&gt;"")*(MOVIMIENTOS!$A$5:$A$1005&lt;=$A274)*MOVIMIENTOS!$E$5:$E$1005)-SUMPRODUCT((MOVIMIENTOS!$B$5:$B$1005="REGALO")*(MOVIMIENTOS!$C$5:$C$1005="Chancho")*(MOVIMIENTOS!$D$5:$D$1005="sacos")*(MOVIMIENTOS!$A$5:$A$1005&lt;&gt;"")*(MOVIMIENTOS!$A$5:$A$1005&lt;=$A274)*MOVIMIENTOS!$E$5:$E$1005)-SUMPRODUCT((MOVIMIENTOS!$B$5:$B$1005="VENTA")*(MOVIMIENTOS!$C$5:$C$1005="Chancho")*(MOVIMIENTOS!$D$5:$D$1005="sacos")*(MOVIMIENTOS!$A$5:$A$1005&lt;&gt;"")*(MOVIMIENTOS!$A$5:$A$1005&lt;=$A274)*MOVIMIENTOS!$E$5:$E$1005)+SUMPRODUCT((MOVIMIENTOS!$B$5:$B$1005="AJUSTE")*(MOVIMIENTOS!$C$5:$C$1005="Chancho")*(MOVIMIENTOS!$D$5:$D$1005="sacos")*(MOVIMIENTOS!$A$5:$A$1005&lt;&gt;"")*(MOVIMIENTOS!$A$5:$A$1005&lt;=$A274)*MOVIMIENTOS!$E$5:$E$1005))</f>
        <v/>
      </c>
      <c r="G274" s="95" t="str">
        <f t="shared" si="9"/>
        <v/>
      </c>
      <c r="H274" s="63" t="str">
        <f>IF($A274="","",SUMPRODUCT((((MOVIMIENTOS!$B$5:$B$1005="SALDO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274)*MOVIMIENTOS!$J$5:$J$1005))</f>
        <v/>
      </c>
      <c r="I274" s="63"/>
      <c r="J274" s="63" t="str">
        <f>IF(AND(MOVIMIENTOS!$A273&lt;&gt;"",COUNTIF(MOVIMIENTOS!$A$5:$A272,MOVIMIENTOS!$A273)=0),COUNT(J$4:J273)+1,"")</f>
        <v/>
      </c>
      <c r="K274" s="66">
        <f>MOVIMIENTOS!$A273</f>
        <v>46238</v>
      </c>
      <c r="L274" s="63"/>
      <c r="M274" s="63"/>
      <c r="N274" s="63"/>
    </row>
    <row r="275" spans="1:14" ht="15" customHeight="1" x14ac:dyDescent="0.2">
      <c r="A275" s="63" t="str">
        <f t="shared" si="8"/>
        <v/>
      </c>
      <c r="B275" s="63" t="str">
        <f>IF($A275="","",SUMPRODUCT((MOVIMIENTOS!$B$5:$B$1005="SALDO INICIAL")*(MOVIMIENTOS!$C$5:$C$1005="A")*(MOVIMIENTOS!$D$5:$D$1005="jabas")*(MOVIMIENTOS!$A$5:$A$1005&lt;&gt;"")*(MOVIMIENTOS!$A$5:$A$1005&lt;=$A275)*MOVIMIENTOS!$E$5:$E$1005)+SUMPRODUCT((MOVIMIENTOS!$B$5:$B$1005="PROCESO")*(MOVIMIENTOS!$C$5:$C$1005="A")*(MOVIMIENTOS!$D$5:$D$1005="jabas")*(MOVIMIENTOS!$A$5:$A$1005&lt;&gt;"")*(MOVIMIENTOS!$A$5:$A$1005&lt;=$A275)*MOVIMIENTOS!$E$5:$E$1005)-SUMPRODUCT((MOVIMIENTOS!$B$5:$B$1005="ENVÍO A SUPESA")*(MOVIMIENTOS!$C$5:$C$1005="A")*(MOVIMIENTOS!$D$5:$D$1005="jabas")*(MOVIMIENTOS!$A$5:$A$1005&lt;&gt;"")*(MOVIMIENTOS!$A$5:$A$1005&lt;=$A275)*MOVIMIENTOS!$E$5:$E$1005)+SUMPRODUCT((MOVIMIENTOS!$B$5:$B$1005="DEVOLUCIÓN")*(MOVIMIENTOS!$C$5:$C$1005="A")*(MOVIMIENTOS!$D$5:$D$1005="jabas")*(MOVIMIENTOS!$A$5:$A$1005&lt;&gt;"")*(MOVIMIENTOS!$A$5:$A$1005&lt;=$A275)*MOVIMIENTOS!$E$5:$E$1005)-SUMPRODUCT((MOVIMIENTOS!$B$5:$B$1005="TRASIEGO")*(MOVIMIENTOS!$C$5:$C$1005="A")*(MOVIMIENTOS!$D$5:$D$1005="jabas")*(MOVIMIENTOS!$A$5:$A$1005&lt;&gt;"")*(MOVIMIENTOS!$A$5:$A$1005&lt;=$A275)*MOVIMIENTOS!$E$5:$E$1005)-SUMPRODUCT((MOVIMIENTOS!$B$5:$B$1005="REGALO")*(MOVIMIENTOS!$C$5:$C$1005="A")*(MOVIMIENTOS!$D$5:$D$1005="jabas")*(MOVIMIENTOS!$A$5:$A$1005&lt;&gt;"")*(MOVIMIENTOS!$A$5:$A$1005&lt;=$A275)*MOVIMIENTOS!$E$5:$E$1005)-SUMPRODUCT((MOVIMIENTOS!$B$5:$B$1005="VENTA")*(MOVIMIENTOS!$C$5:$C$1005="A")*(MOVIMIENTOS!$D$5:$D$1005="jabas")*(MOVIMIENTOS!$A$5:$A$1005&lt;&gt;"")*(MOVIMIENTOS!$A$5:$A$1005&lt;=$A275)*MOVIMIENTOS!$E$5:$E$1005)+SUMPRODUCT((MOVIMIENTOS!$B$5:$B$1005="AJUSTE")*(MOVIMIENTOS!$C$5:$C$1005="A")*(MOVIMIENTOS!$D$5:$D$1005="jabas")*(MOVIMIENTOS!$A$5:$A$1005&lt;&gt;"")*(MOVIMIENTOS!$A$5:$A$1005&lt;=$A275)*MOVIMIENTOS!$E$5:$E$1005))</f>
        <v/>
      </c>
      <c r="C275" s="63" t="str">
        <f>IF($A275="","",SUMPRODUCT((MOVIMIENTOS!$B$5:$B$1005="SALDO INICIAL")*(MOVIMIENTOS!$C$5:$C$1005="P")*(MOVIMIENTOS!$D$5:$D$1005="jabas")*(MOVIMIENTOS!$A$5:$A$1005&lt;&gt;"")*(MOVIMIENTOS!$A$5:$A$1005&lt;=$A275)*MOVIMIENTOS!$E$5:$E$1005)+SUMPRODUCT((MOVIMIENTOS!$B$5:$B$1005="PROCESO")*(MOVIMIENTOS!$C$5:$C$1005="P")*(MOVIMIENTOS!$D$5:$D$1005="jabas")*(MOVIMIENTOS!$A$5:$A$1005&lt;&gt;"")*(MOVIMIENTOS!$A$5:$A$1005&lt;=$A275)*MOVIMIENTOS!$E$5:$E$1005)-SUMPRODUCT((MOVIMIENTOS!$B$5:$B$1005="ENVÍO A SUPESA")*(MOVIMIENTOS!$C$5:$C$1005="P")*(MOVIMIENTOS!$D$5:$D$1005="jabas")*(MOVIMIENTOS!$A$5:$A$1005&lt;&gt;"")*(MOVIMIENTOS!$A$5:$A$1005&lt;=$A275)*MOVIMIENTOS!$E$5:$E$1005)+SUMPRODUCT((MOVIMIENTOS!$B$5:$B$1005="DEVOLUCIÓN")*(MOVIMIENTOS!$C$5:$C$1005="P")*(MOVIMIENTOS!$D$5:$D$1005="jabas")*(MOVIMIENTOS!$A$5:$A$1005&lt;&gt;"")*(MOVIMIENTOS!$A$5:$A$1005&lt;=$A275)*MOVIMIENTOS!$E$5:$E$1005)-SUMPRODUCT((MOVIMIENTOS!$B$5:$B$1005="TRASIEGO")*(MOVIMIENTOS!$C$5:$C$1005="P")*(MOVIMIENTOS!$D$5:$D$1005="jabas")*(MOVIMIENTOS!$A$5:$A$1005&lt;&gt;"")*(MOVIMIENTOS!$A$5:$A$1005&lt;=$A275)*MOVIMIENTOS!$E$5:$E$1005)-SUMPRODUCT((MOVIMIENTOS!$B$5:$B$1005="REGALO")*(MOVIMIENTOS!$C$5:$C$1005="P")*(MOVIMIENTOS!$D$5:$D$1005="jabas")*(MOVIMIENTOS!$A$5:$A$1005&lt;&gt;"")*(MOVIMIENTOS!$A$5:$A$1005&lt;=$A275)*MOVIMIENTOS!$E$5:$E$1005)-SUMPRODUCT((MOVIMIENTOS!$B$5:$B$1005="VENTA")*(MOVIMIENTOS!$C$5:$C$1005="P")*(MOVIMIENTOS!$D$5:$D$1005="jabas")*(MOVIMIENTOS!$A$5:$A$1005&lt;&gt;"")*(MOVIMIENTOS!$A$5:$A$1005&lt;=$A275)*MOVIMIENTOS!$E$5:$E$1005)+SUMPRODUCT((MOVIMIENTOS!$B$5:$B$1005="AJUSTE")*(MOVIMIENTOS!$C$5:$C$1005="P")*(MOVIMIENTOS!$D$5:$D$1005="jabas")*(MOVIMIENTOS!$A$5:$A$1005&lt;&gt;"")*(MOVIMIENTOS!$A$5:$A$1005&lt;=$A275)*MOVIMIENTOS!$E$5:$E$1005))</f>
        <v/>
      </c>
      <c r="D275" s="63" t="str">
        <f>IF($A275="","",SUMPRODUCT((MOVIMIENTOS!$B$5:$B$1005="SALDO INICIAL")*(MOVIMIENTOS!$C$5:$C$1005="C")*(MOVIMIENTOS!$D$5:$D$1005="jabas")*(MOVIMIENTOS!$A$5:$A$1005&lt;&gt;"")*(MOVIMIENTOS!$A$5:$A$1005&lt;=$A275)*MOVIMIENTOS!$E$5:$E$1005)+SUMPRODUCT((MOVIMIENTOS!$B$5:$B$1005="PROCESO")*(MOVIMIENTOS!$C$5:$C$1005="C")*(MOVIMIENTOS!$D$5:$D$1005="jabas")*(MOVIMIENTOS!$A$5:$A$1005&lt;&gt;"")*(MOVIMIENTOS!$A$5:$A$1005&lt;=$A275)*MOVIMIENTOS!$E$5:$E$1005)-SUMPRODUCT((MOVIMIENTOS!$B$5:$B$1005="ENVÍO A SUPESA")*(MOVIMIENTOS!$C$5:$C$1005="C")*(MOVIMIENTOS!$D$5:$D$1005="jabas")*(MOVIMIENTOS!$A$5:$A$1005&lt;&gt;"")*(MOVIMIENTOS!$A$5:$A$1005&lt;=$A275)*MOVIMIENTOS!$E$5:$E$1005)+SUMPRODUCT((MOVIMIENTOS!$B$5:$B$1005="DEVOLUCIÓN")*(MOVIMIENTOS!$C$5:$C$1005="C")*(MOVIMIENTOS!$D$5:$D$1005="jabas")*(MOVIMIENTOS!$A$5:$A$1005&lt;&gt;"")*(MOVIMIENTOS!$A$5:$A$1005&lt;=$A275)*MOVIMIENTOS!$E$5:$E$1005)-SUMPRODUCT((MOVIMIENTOS!$B$5:$B$1005="TRASIEGO")*(MOVIMIENTOS!$C$5:$C$1005="C")*(MOVIMIENTOS!$D$5:$D$1005="jabas")*(MOVIMIENTOS!$A$5:$A$1005&lt;&gt;"")*(MOVIMIENTOS!$A$5:$A$1005&lt;=$A275)*MOVIMIENTOS!$E$5:$E$1005)-SUMPRODUCT((MOVIMIENTOS!$B$5:$B$1005="REGALO")*(MOVIMIENTOS!$C$5:$C$1005="C")*(MOVIMIENTOS!$D$5:$D$1005="jabas")*(MOVIMIENTOS!$A$5:$A$1005&lt;&gt;"")*(MOVIMIENTOS!$A$5:$A$1005&lt;=$A275)*MOVIMIENTOS!$E$5:$E$1005)-SUMPRODUCT((MOVIMIENTOS!$B$5:$B$1005="VENTA")*(MOVIMIENTOS!$C$5:$C$1005="C")*(MOVIMIENTOS!$D$5:$D$1005="jabas")*(MOVIMIENTOS!$A$5:$A$1005&lt;&gt;"")*(MOVIMIENTOS!$A$5:$A$1005&lt;=$A275)*MOVIMIENTOS!$E$5:$E$1005)+SUMPRODUCT((MOVIMIENTOS!$B$5:$B$1005="AJUSTE")*(MOVIMIENTOS!$C$5:$C$1005="C")*(MOVIMIENTOS!$D$5:$D$1005="jabas")*(MOVIMIENTOS!$A$5:$A$1005&lt;&gt;"")*(MOVIMIENTOS!$A$5:$A$1005&lt;=$A275)*MOVIMIENTOS!$E$5:$E$1005))</f>
        <v/>
      </c>
      <c r="E275" s="63" t="str">
        <f>IF($A275="","",SUMPRODUCT((MOVIMIENTOS!$B$5:$B$1005="SALDO INICIAL")*(MOVIMIENTOS!$C$5:$C$1005="M")*(MOVIMIENTOS!$D$5:$D$1005="jabas")*(MOVIMIENTOS!$A$5:$A$1005&lt;&gt;"")*(MOVIMIENTOS!$A$5:$A$1005&lt;=$A275)*MOVIMIENTOS!$E$5:$E$1005)+SUMPRODUCT((MOVIMIENTOS!$B$5:$B$1005="PROCESO")*(MOVIMIENTOS!$C$5:$C$1005="M")*(MOVIMIENTOS!$D$5:$D$1005="jabas")*(MOVIMIENTOS!$A$5:$A$1005&lt;&gt;"")*(MOVIMIENTOS!$A$5:$A$1005&lt;=$A275)*MOVIMIENTOS!$E$5:$E$1005)-SUMPRODUCT((MOVIMIENTOS!$B$5:$B$1005="ENVÍO A SUPESA")*(MOVIMIENTOS!$C$5:$C$1005="M")*(MOVIMIENTOS!$D$5:$D$1005="jabas")*(MOVIMIENTOS!$A$5:$A$1005&lt;&gt;"")*(MOVIMIENTOS!$A$5:$A$1005&lt;=$A275)*MOVIMIENTOS!$E$5:$E$1005)+SUMPRODUCT((MOVIMIENTOS!$B$5:$B$1005="DEVOLUCIÓN")*(MOVIMIENTOS!$C$5:$C$1005="M")*(MOVIMIENTOS!$D$5:$D$1005="jabas")*(MOVIMIENTOS!$A$5:$A$1005&lt;&gt;"")*(MOVIMIENTOS!$A$5:$A$1005&lt;=$A275)*MOVIMIENTOS!$E$5:$E$1005)-SUMPRODUCT((MOVIMIENTOS!$B$5:$B$1005="TRASIEGO")*(MOVIMIENTOS!$C$5:$C$1005="M")*(MOVIMIENTOS!$D$5:$D$1005="jabas")*(MOVIMIENTOS!$A$5:$A$1005&lt;&gt;"")*(MOVIMIENTOS!$A$5:$A$1005&lt;=$A275)*MOVIMIENTOS!$E$5:$E$1005)-SUMPRODUCT((MOVIMIENTOS!$B$5:$B$1005="REGALO")*(MOVIMIENTOS!$C$5:$C$1005="M")*(MOVIMIENTOS!$D$5:$D$1005="jabas")*(MOVIMIENTOS!$A$5:$A$1005&lt;&gt;"")*(MOVIMIENTOS!$A$5:$A$1005&lt;=$A275)*MOVIMIENTOS!$E$5:$E$1005)-SUMPRODUCT((MOVIMIENTOS!$B$5:$B$1005="VENTA")*(MOVIMIENTOS!$C$5:$C$1005="M")*(MOVIMIENTOS!$D$5:$D$1005="jabas")*(MOVIMIENTOS!$A$5:$A$1005&lt;&gt;"")*(MOVIMIENTOS!$A$5:$A$1005&lt;=$A275)*MOVIMIENTOS!$E$5:$E$1005)+SUMPRODUCT((MOVIMIENTOS!$B$5:$B$1005="AJUSTE")*(MOVIMIENTOS!$C$5:$C$1005="M")*(MOVIMIENTOS!$D$5:$D$1005="jabas")*(MOVIMIENTOS!$A$5:$A$1005&lt;&gt;"")*(MOVIMIENTOS!$A$5:$A$1005&lt;=$A275)*MOVIMIENTOS!$E$5:$E$1005))</f>
        <v/>
      </c>
      <c r="F275" s="63" t="str">
        <f>IF($A275="","",SUMPRODUCT((MOVIMIENTOS!$B$5:$B$1005="SALDO INICIAL")*(MOVIMIENTOS!$C$5:$C$1005="Chancho")*(MOVIMIENTOS!$D$5:$D$1005="sacos")*(MOVIMIENTOS!$A$5:$A$1005&lt;&gt;"")*(MOVIMIENTOS!$A$5:$A$1005&lt;=$A275)*MOVIMIENTOS!$E$5:$E$1005)+SUMPRODUCT((MOVIMIENTOS!$B$5:$B$1005="PROCESO")*(MOVIMIENTOS!$C$5:$C$1005="Chancho")*(MOVIMIENTOS!$D$5:$D$1005="sacos")*(MOVIMIENTOS!$A$5:$A$1005&lt;&gt;"")*(MOVIMIENTOS!$A$5:$A$1005&lt;=$A275)*MOVIMIENTOS!$E$5:$E$1005)-SUMPRODUCT((MOVIMIENTOS!$B$5:$B$1005="VENTA CHANCHO")*(MOVIMIENTOS!$C$5:$C$1005="Chancho")*(MOVIMIENTOS!$D$5:$D$1005="sacos")*(MOVIMIENTOS!$A$5:$A$1005&lt;&gt;"")*(MOVIMIENTOS!$A$5:$A$1005&lt;=$A275)*MOVIMIENTOS!$E$5:$E$1005)-SUMPRODUCT((MOVIMIENTOS!$B$5:$B$1005="REGALO")*(MOVIMIENTOS!$C$5:$C$1005="Chancho")*(MOVIMIENTOS!$D$5:$D$1005="sacos")*(MOVIMIENTOS!$A$5:$A$1005&lt;&gt;"")*(MOVIMIENTOS!$A$5:$A$1005&lt;=$A275)*MOVIMIENTOS!$E$5:$E$1005)-SUMPRODUCT((MOVIMIENTOS!$B$5:$B$1005="VENTA")*(MOVIMIENTOS!$C$5:$C$1005="Chancho")*(MOVIMIENTOS!$D$5:$D$1005="sacos")*(MOVIMIENTOS!$A$5:$A$1005&lt;&gt;"")*(MOVIMIENTOS!$A$5:$A$1005&lt;=$A275)*MOVIMIENTOS!$E$5:$E$1005)+SUMPRODUCT((MOVIMIENTOS!$B$5:$B$1005="AJUSTE")*(MOVIMIENTOS!$C$5:$C$1005="Chancho")*(MOVIMIENTOS!$D$5:$D$1005="sacos")*(MOVIMIENTOS!$A$5:$A$1005&lt;&gt;"")*(MOVIMIENTOS!$A$5:$A$1005&lt;=$A275)*MOVIMIENTOS!$E$5:$E$1005))</f>
        <v/>
      </c>
      <c r="G275" s="95" t="str">
        <f t="shared" si="9"/>
        <v/>
      </c>
      <c r="H275" s="63" t="str">
        <f>IF($A275="","",SUMPRODUCT((((MOVIMIENTOS!$B$5:$B$1005="SALDO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275)*MOVIMIENTOS!$J$5:$J$1005))</f>
        <v/>
      </c>
      <c r="I275" s="63"/>
      <c r="J275" s="63" t="str">
        <f>IF(AND(MOVIMIENTOS!$A274&lt;&gt;"",COUNTIF(MOVIMIENTOS!$A$5:$A273,MOVIMIENTOS!$A274)=0),COUNT(J$4:J274)+1,"")</f>
        <v/>
      </c>
      <c r="K275" s="66">
        <f>MOVIMIENTOS!$A274</f>
        <v>46238</v>
      </c>
      <c r="L275" s="63"/>
      <c r="M275" s="63"/>
      <c r="N275" s="63"/>
    </row>
    <row r="276" spans="1:14" ht="15" customHeight="1" x14ac:dyDescent="0.2">
      <c r="A276" s="63" t="str">
        <f t="shared" si="8"/>
        <v/>
      </c>
      <c r="B276" s="63" t="str">
        <f>IF($A276="","",SUMPRODUCT((MOVIMIENTOS!$B$5:$B$1005="SALDO INICIAL")*(MOVIMIENTOS!$C$5:$C$1005="A")*(MOVIMIENTOS!$D$5:$D$1005="jabas")*(MOVIMIENTOS!$A$5:$A$1005&lt;&gt;"")*(MOVIMIENTOS!$A$5:$A$1005&lt;=$A276)*MOVIMIENTOS!$E$5:$E$1005)+SUMPRODUCT((MOVIMIENTOS!$B$5:$B$1005="PROCESO")*(MOVIMIENTOS!$C$5:$C$1005="A")*(MOVIMIENTOS!$D$5:$D$1005="jabas")*(MOVIMIENTOS!$A$5:$A$1005&lt;&gt;"")*(MOVIMIENTOS!$A$5:$A$1005&lt;=$A276)*MOVIMIENTOS!$E$5:$E$1005)-SUMPRODUCT((MOVIMIENTOS!$B$5:$B$1005="ENVÍO A SUPESA")*(MOVIMIENTOS!$C$5:$C$1005="A")*(MOVIMIENTOS!$D$5:$D$1005="jabas")*(MOVIMIENTOS!$A$5:$A$1005&lt;&gt;"")*(MOVIMIENTOS!$A$5:$A$1005&lt;=$A276)*MOVIMIENTOS!$E$5:$E$1005)+SUMPRODUCT((MOVIMIENTOS!$B$5:$B$1005="DEVOLUCIÓN")*(MOVIMIENTOS!$C$5:$C$1005="A")*(MOVIMIENTOS!$D$5:$D$1005="jabas")*(MOVIMIENTOS!$A$5:$A$1005&lt;&gt;"")*(MOVIMIENTOS!$A$5:$A$1005&lt;=$A276)*MOVIMIENTOS!$E$5:$E$1005)-SUMPRODUCT((MOVIMIENTOS!$B$5:$B$1005="TRASIEGO")*(MOVIMIENTOS!$C$5:$C$1005="A")*(MOVIMIENTOS!$D$5:$D$1005="jabas")*(MOVIMIENTOS!$A$5:$A$1005&lt;&gt;"")*(MOVIMIENTOS!$A$5:$A$1005&lt;=$A276)*MOVIMIENTOS!$E$5:$E$1005)-SUMPRODUCT((MOVIMIENTOS!$B$5:$B$1005="REGALO")*(MOVIMIENTOS!$C$5:$C$1005="A")*(MOVIMIENTOS!$D$5:$D$1005="jabas")*(MOVIMIENTOS!$A$5:$A$1005&lt;&gt;"")*(MOVIMIENTOS!$A$5:$A$1005&lt;=$A276)*MOVIMIENTOS!$E$5:$E$1005)-SUMPRODUCT((MOVIMIENTOS!$B$5:$B$1005="VENTA")*(MOVIMIENTOS!$C$5:$C$1005="A")*(MOVIMIENTOS!$D$5:$D$1005="jabas")*(MOVIMIENTOS!$A$5:$A$1005&lt;&gt;"")*(MOVIMIENTOS!$A$5:$A$1005&lt;=$A276)*MOVIMIENTOS!$E$5:$E$1005)+SUMPRODUCT((MOVIMIENTOS!$B$5:$B$1005="AJUSTE")*(MOVIMIENTOS!$C$5:$C$1005="A")*(MOVIMIENTOS!$D$5:$D$1005="jabas")*(MOVIMIENTOS!$A$5:$A$1005&lt;&gt;"")*(MOVIMIENTOS!$A$5:$A$1005&lt;=$A276)*MOVIMIENTOS!$E$5:$E$1005))</f>
        <v/>
      </c>
      <c r="C276" s="63" t="str">
        <f>IF($A276="","",SUMPRODUCT((MOVIMIENTOS!$B$5:$B$1005="SALDO INICIAL")*(MOVIMIENTOS!$C$5:$C$1005="P")*(MOVIMIENTOS!$D$5:$D$1005="jabas")*(MOVIMIENTOS!$A$5:$A$1005&lt;&gt;"")*(MOVIMIENTOS!$A$5:$A$1005&lt;=$A276)*MOVIMIENTOS!$E$5:$E$1005)+SUMPRODUCT((MOVIMIENTOS!$B$5:$B$1005="PROCESO")*(MOVIMIENTOS!$C$5:$C$1005="P")*(MOVIMIENTOS!$D$5:$D$1005="jabas")*(MOVIMIENTOS!$A$5:$A$1005&lt;&gt;"")*(MOVIMIENTOS!$A$5:$A$1005&lt;=$A276)*MOVIMIENTOS!$E$5:$E$1005)-SUMPRODUCT((MOVIMIENTOS!$B$5:$B$1005="ENVÍO A SUPESA")*(MOVIMIENTOS!$C$5:$C$1005="P")*(MOVIMIENTOS!$D$5:$D$1005="jabas")*(MOVIMIENTOS!$A$5:$A$1005&lt;&gt;"")*(MOVIMIENTOS!$A$5:$A$1005&lt;=$A276)*MOVIMIENTOS!$E$5:$E$1005)+SUMPRODUCT((MOVIMIENTOS!$B$5:$B$1005="DEVOLUCIÓN")*(MOVIMIENTOS!$C$5:$C$1005="P")*(MOVIMIENTOS!$D$5:$D$1005="jabas")*(MOVIMIENTOS!$A$5:$A$1005&lt;&gt;"")*(MOVIMIENTOS!$A$5:$A$1005&lt;=$A276)*MOVIMIENTOS!$E$5:$E$1005)-SUMPRODUCT((MOVIMIENTOS!$B$5:$B$1005="TRASIEGO")*(MOVIMIENTOS!$C$5:$C$1005="P")*(MOVIMIENTOS!$D$5:$D$1005="jabas")*(MOVIMIENTOS!$A$5:$A$1005&lt;&gt;"")*(MOVIMIENTOS!$A$5:$A$1005&lt;=$A276)*MOVIMIENTOS!$E$5:$E$1005)-SUMPRODUCT((MOVIMIENTOS!$B$5:$B$1005="REGALO")*(MOVIMIENTOS!$C$5:$C$1005="P")*(MOVIMIENTOS!$D$5:$D$1005="jabas")*(MOVIMIENTOS!$A$5:$A$1005&lt;&gt;"")*(MOVIMIENTOS!$A$5:$A$1005&lt;=$A276)*MOVIMIENTOS!$E$5:$E$1005)-SUMPRODUCT((MOVIMIENTOS!$B$5:$B$1005="VENTA")*(MOVIMIENTOS!$C$5:$C$1005="P")*(MOVIMIENTOS!$D$5:$D$1005="jabas")*(MOVIMIENTOS!$A$5:$A$1005&lt;&gt;"")*(MOVIMIENTOS!$A$5:$A$1005&lt;=$A276)*MOVIMIENTOS!$E$5:$E$1005)+SUMPRODUCT((MOVIMIENTOS!$B$5:$B$1005="AJUSTE")*(MOVIMIENTOS!$C$5:$C$1005="P")*(MOVIMIENTOS!$D$5:$D$1005="jabas")*(MOVIMIENTOS!$A$5:$A$1005&lt;&gt;"")*(MOVIMIENTOS!$A$5:$A$1005&lt;=$A276)*MOVIMIENTOS!$E$5:$E$1005))</f>
        <v/>
      </c>
      <c r="D276" s="63" t="str">
        <f>IF($A276="","",SUMPRODUCT((MOVIMIENTOS!$B$5:$B$1005="SALDO INICIAL")*(MOVIMIENTOS!$C$5:$C$1005="C")*(MOVIMIENTOS!$D$5:$D$1005="jabas")*(MOVIMIENTOS!$A$5:$A$1005&lt;&gt;"")*(MOVIMIENTOS!$A$5:$A$1005&lt;=$A276)*MOVIMIENTOS!$E$5:$E$1005)+SUMPRODUCT((MOVIMIENTOS!$B$5:$B$1005="PROCESO")*(MOVIMIENTOS!$C$5:$C$1005="C")*(MOVIMIENTOS!$D$5:$D$1005="jabas")*(MOVIMIENTOS!$A$5:$A$1005&lt;&gt;"")*(MOVIMIENTOS!$A$5:$A$1005&lt;=$A276)*MOVIMIENTOS!$E$5:$E$1005)-SUMPRODUCT((MOVIMIENTOS!$B$5:$B$1005="ENVÍO A SUPESA")*(MOVIMIENTOS!$C$5:$C$1005="C")*(MOVIMIENTOS!$D$5:$D$1005="jabas")*(MOVIMIENTOS!$A$5:$A$1005&lt;&gt;"")*(MOVIMIENTOS!$A$5:$A$1005&lt;=$A276)*MOVIMIENTOS!$E$5:$E$1005)+SUMPRODUCT((MOVIMIENTOS!$B$5:$B$1005="DEVOLUCIÓN")*(MOVIMIENTOS!$C$5:$C$1005="C")*(MOVIMIENTOS!$D$5:$D$1005="jabas")*(MOVIMIENTOS!$A$5:$A$1005&lt;&gt;"")*(MOVIMIENTOS!$A$5:$A$1005&lt;=$A276)*MOVIMIENTOS!$E$5:$E$1005)-SUMPRODUCT((MOVIMIENTOS!$B$5:$B$1005="TRASIEGO")*(MOVIMIENTOS!$C$5:$C$1005="C")*(MOVIMIENTOS!$D$5:$D$1005="jabas")*(MOVIMIENTOS!$A$5:$A$1005&lt;&gt;"")*(MOVIMIENTOS!$A$5:$A$1005&lt;=$A276)*MOVIMIENTOS!$E$5:$E$1005)-SUMPRODUCT((MOVIMIENTOS!$B$5:$B$1005="REGALO")*(MOVIMIENTOS!$C$5:$C$1005="C")*(MOVIMIENTOS!$D$5:$D$1005="jabas")*(MOVIMIENTOS!$A$5:$A$1005&lt;&gt;"")*(MOVIMIENTOS!$A$5:$A$1005&lt;=$A276)*MOVIMIENTOS!$E$5:$E$1005)-SUMPRODUCT((MOVIMIENTOS!$B$5:$B$1005="VENTA")*(MOVIMIENTOS!$C$5:$C$1005="C")*(MOVIMIENTOS!$D$5:$D$1005="jabas")*(MOVIMIENTOS!$A$5:$A$1005&lt;&gt;"")*(MOVIMIENTOS!$A$5:$A$1005&lt;=$A276)*MOVIMIENTOS!$E$5:$E$1005)+SUMPRODUCT((MOVIMIENTOS!$B$5:$B$1005="AJUSTE")*(MOVIMIENTOS!$C$5:$C$1005="C")*(MOVIMIENTOS!$D$5:$D$1005="jabas")*(MOVIMIENTOS!$A$5:$A$1005&lt;&gt;"")*(MOVIMIENTOS!$A$5:$A$1005&lt;=$A276)*MOVIMIENTOS!$E$5:$E$1005))</f>
        <v/>
      </c>
      <c r="E276" s="63" t="str">
        <f>IF($A276="","",SUMPRODUCT((MOVIMIENTOS!$B$5:$B$1005="SALDO INICIAL")*(MOVIMIENTOS!$C$5:$C$1005="M")*(MOVIMIENTOS!$D$5:$D$1005="jabas")*(MOVIMIENTOS!$A$5:$A$1005&lt;&gt;"")*(MOVIMIENTOS!$A$5:$A$1005&lt;=$A276)*MOVIMIENTOS!$E$5:$E$1005)+SUMPRODUCT((MOVIMIENTOS!$B$5:$B$1005="PROCESO")*(MOVIMIENTOS!$C$5:$C$1005="M")*(MOVIMIENTOS!$D$5:$D$1005="jabas")*(MOVIMIENTOS!$A$5:$A$1005&lt;&gt;"")*(MOVIMIENTOS!$A$5:$A$1005&lt;=$A276)*MOVIMIENTOS!$E$5:$E$1005)-SUMPRODUCT((MOVIMIENTOS!$B$5:$B$1005="ENVÍO A SUPESA")*(MOVIMIENTOS!$C$5:$C$1005="M")*(MOVIMIENTOS!$D$5:$D$1005="jabas")*(MOVIMIENTOS!$A$5:$A$1005&lt;&gt;"")*(MOVIMIENTOS!$A$5:$A$1005&lt;=$A276)*MOVIMIENTOS!$E$5:$E$1005)+SUMPRODUCT((MOVIMIENTOS!$B$5:$B$1005="DEVOLUCIÓN")*(MOVIMIENTOS!$C$5:$C$1005="M")*(MOVIMIENTOS!$D$5:$D$1005="jabas")*(MOVIMIENTOS!$A$5:$A$1005&lt;&gt;"")*(MOVIMIENTOS!$A$5:$A$1005&lt;=$A276)*MOVIMIENTOS!$E$5:$E$1005)-SUMPRODUCT((MOVIMIENTOS!$B$5:$B$1005="TRASIEGO")*(MOVIMIENTOS!$C$5:$C$1005="M")*(MOVIMIENTOS!$D$5:$D$1005="jabas")*(MOVIMIENTOS!$A$5:$A$1005&lt;&gt;"")*(MOVIMIENTOS!$A$5:$A$1005&lt;=$A276)*MOVIMIENTOS!$E$5:$E$1005)-SUMPRODUCT((MOVIMIENTOS!$B$5:$B$1005="REGALO")*(MOVIMIENTOS!$C$5:$C$1005="M")*(MOVIMIENTOS!$D$5:$D$1005="jabas")*(MOVIMIENTOS!$A$5:$A$1005&lt;&gt;"")*(MOVIMIENTOS!$A$5:$A$1005&lt;=$A276)*MOVIMIENTOS!$E$5:$E$1005)-SUMPRODUCT((MOVIMIENTOS!$B$5:$B$1005="VENTA")*(MOVIMIENTOS!$C$5:$C$1005="M")*(MOVIMIENTOS!$D$5:$D$1005="jabas")*(MOVIMIENTOS!$A$5:$A$1005&lt;&gt;"")*(MOVIMIENTOS!$A$5:$A$1005&lt;=$A276)*MOVIMIENTOS!$E$5:$E$1005)+SUMPRODUCT((MOVIMIENTOS!$B$5:$B$1005="AJUSTE")*(MOVIMIENTOS!$C$5:$C$1005="M")*(MOVIMIENTOS!$D$5:$D$1005="jabas")*(MOVIMIENTOS!$A$5:$A$1005&lt;&gt;"")*(MOVIMIENTOS!$A$5:$A$1005&lt;=$A276)*MOVIMIENTOS!$E$5:$E$1005))</f>
        <v/>
      </c>
      <c r="F276" s="63" t="str">
        <f>IF($A276="","",SUMPRODUCT((MOVIMIENTOS!$B$5:$B$1005="SALDO INICIAL")*(MOVIMIENTOS!$C$5:$C$1005="Chancho")*(MOVIMIENTOS!$D$5:$D$1005="sacos")*(MOVIMIENTOS!$A$5:$A$1005&lt;&gt;"")*(MOVIMIENTOS!$A$5:$A$1005&lt;=$A276)*MOVIMIENTOS!$E$5:$E$1005)+SUMPRODUCT((MOVIMIENTOS!$B$5:$B$1005="PROCESO")*(MOVIMIENTOS!$C$5:$C$1005="Chancho")*(MOVIMIENTOS!$D$5:$D$1005="sacos")*(MOVIMIENTOS!$A$5:$A$1005&lt;&gt;"")*(MOVIMIENTOS!$A$5:$A$1005&lt;=$A276)*MOVIMIENTOS!$E$5:$E$1005)-SUMPRODUCT((MOVIMIENTOS!$B$5:$B$1005="VENTA CHANCHO")*(MOVIMIENTOS!$C$5:$C$1005="Chancho")*(MOVIMIENTOS!$D$5:$D$1005="sacos")*(MOVIMIENTOS!$A$5:$A$1005&lt;&gt;"")*(MOVIMIENTOS!$A$5:$A$1005&lt;=$A276)*MOVIMIENTOS!$E$5:$E$1005)-SUMPRODUCT((MOVIMIENTOS!$B$5:$B$1005="REGALO")*(MOVIMIENTOS!$C$5:$C$1005="Chancho")*(MOVIMIENTOS!$D$5:$D$1005="sacos")*(MOVIMIENTOS!$A$5:$A$1005&lt;&gt;"")*(MOVIMIENTOS!$A$5:$A$1005&lt;=$A276)*MOVIMIENTOS!$E$5:$E$1005)-SUMPRODUCT((MOVIMIENTOS!$B$5:$B$1005="VENTA")*(MOVIMIENTOS!$C$5:$C$1005="Chancho")*(MOVIMIENTOS!$D$5:$D$1005="sacos")*(MOVIMIENTOS!$A$5:$A$1005&lt;&gt;"")*(MOVIMIENTOS!$A$5:$A$1005&lt;=$A276)*MOVIMIENTOS!$E$5:$E$1005)+SUMPRODUCT((MOVIMIENTOS!$B$5:$B$1005="AJUSTE")*(MOVIMIENTOS!$C$5:$C$1005="Chancho")*(MOVIMIENTOS!$D$5:$D$1005="sacos")*(MOVIMIENTOS!$A$5:$A$1005&lt;&gt;"")*(MOVIMIENTOS!$A$5:$A$1005&lt;=$A276)*MOVIMIENTOS!$E$5:$E$1005))</f>
        <v/>
      </c>
      <c r="G276" s="95" t="str">
        <f t="shared" si="9"/>
        <v/>
      </c>
      <c r="H276" s="63" t="str">
        <f>IF($A276="","",SUMPRODUCT((((MOVIMIENTOS!$B$5:$B$1005="SALDO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276)*MOVIMIENTOS!$J$5:$J$1005))</f>
        <v/>
      </c>
      <c r="I276" s="63"/>
      <c r="J276" s="63" t="str">
        <f>IF(AND(MOVIMIENTOS!$A275&lt;&gt;"",COUNTIF(MOVIMIENTOS!$A$5:$A274,MOVIMIENTOS!$A275)=0),COUNT(J$4:J275)+1,"")</f>
        <v/>
      </c>
      <c r="K276" s="66">
        <f>MOVIMIENTOS!$A275</f>
        <v>46238</v>
      </c>
      <c r="L276" s="63"/>
      <c r="M276" s="63"/>
      <c r="N276" s="63"/>
    </row>
    <row r="277" spans="1:14" ht="15" customHeight="1" x14ac:dyDescent="0.2">
      <c r="A277" s="63" t="str">
        <f t="shared" si="8"/>
        <v/>
      </c>
      <c r="B277" s="63" t="str">
        <f>IF($A277="","",SUMPRODUCT((MOVIMIENTOS!$B$5:$B$1005="SALDO INICIAL")*(MOVIMIENTOS!$C$5:$C$1005="A")*(MOVIMIENTOS!$D$5:$D$1005="jabas")*(MOVIMIENTOS!$A$5:$A$1005&lt;&gt;"")*(MOVIMIENTOS!$A$5:$A$1005&lt;=$A277)*MOVIMIENTOS!$E$5:$E$1005)+SUMPRODUCT((MOVIMIENTOS!$B$5:$B$1005="PROCESO")*(MOVIMIENTOS!$C$5:$C$1005="A")*(MOVIMIENTOS!$D$5:$D$1005="jabas")*(MOVIMIENTOS!$A$5:$A$1005&lt;&gt;"")*(MOVIMIENTOS!$A$5:$A$1005&lt;=$A277)*MOVIMIENTOS!$E$5:$E$1005)-SUMPRODUCT((MOVIMIENTOS!$B$5:$B$1005="ENVÍO A SUPESA")*(MOVIMIENTOS!$C$5:$C$1005="A")*(MOVIMIENTOS!$D$5:$D$1005="jabas")*(MOVIMIENTOS!$A$5:$A$1005&lt;&gt;"")*(MOVIMIENTOS!$A$5:$A$1005&lt;=$A277)*MOVIMIENTOS!$E$5:$E$1005)+SUMPRODUCT((MOVIMIENTOS!$B$5:$B$1005="DEVOLUCIÓN")*(MOVIMIENTOS!$C$5:$C$1005="A")*(MOVIMIENTOS!$D$5:$D$1005="jabas")*(MOVIMIENTOS!$A$5:$A$1005&lt;&gt;"")*(MOVIMIENTOS!$A$5:$A$1005&lt;=$A277)*MOVIMIENTOS!$E$5:$E$1005)-SUMPRODUCT((MOVIMIENTOS!$B$5:$B$1005="TRASIEGO")*(MOVIMIENTOS!$C$5:$C$1005="A")*(MOVIMIENTOS!$D$5:$D$1005="jabas")*(MOVIMIENTOS!$A$5:$A$1005&lt;&gt;"")*(MOVIMIENTOS!$A$5:$A$1005&lt;=$A277)*MOVIMIENTOS!$E$5:$E$1005)-SUMPRODUCT((MOVIMIENTOS!$B$5:$B$1005="REGALO")*(MOVIMIENTOS!$C$5:$C$1005="A")*(MOVIMIENTOS!$D$5:$D$1005="jabas")*(MOVIMIENTOS!$A$5:$A$1005&lt;&gt;"")*(MOVIMIENTOS!$A$5:$A$1005&lt;=$A277)*MOVIMIENTOS!$E$5:$E$1005)-SUMPRODUCT((MOVIMIENTOS!$B$5:$B$1005="VENTA")*(MOVIMIENTOS!$C$5:$C$1005="A")*(MOVIMIENTOS!$D$5:$D$1005="jabas")*(MOVIMIENTOS!$A$5:$A$1005&lt;&gt;"")*(MOVIMIENTOS!$A$5:$A$1005&lt;=$A277)*MOVIMIENTOS!$E$5:$E$1005)+SUMPRODUCT((MOVIMIENTOS!$B$5:$B$1005="AJUSTE")*(MOVIMIENTOS!$C$5:$C$1005="A")*(MOVIMIENTOS!$D$5:$D$1005="jabas")*(MOVIMIENTOS!$A$5:$A$1005&lt;&gt;"")*(MOVIMIENTOS!$A$5:$A$1005&lt;=$A277)*MOVIMIENTOS!$E$5:$E$1005))</f>
        <v/>
      </c>
      <c r="C277" s="63" t="str">
        <f>IF($A277="","",SUMPRODUCT((MOVIMIENTOS!$B$5:$B$1005="SALDO INICIAL")*(MOVIMIENTOS!$C$5:$C$1005="P")*(MOVIMIENTOS!$D$5:$D$1005="jabas")*(MOVIMIENTOS!$A$5:$A$1005&lt;&gt;"")*(MOVIMIENTOS!$A$5:$A$1005&lt;=$A277)*MOVIMIENTOS!$E$5:$E$1005)+SUMPRODUCT((MOVIMIENTOS!$B$5:$B$1005="PROCESO")*(MOVIMIENTOS!$C$5:$C$1005="P")*(MOVIMIENTOS!$D$5:$D$1005="jabas")*(MOVIMIENTOS!$A$5:$A$1005&lt;&gt;"")*(MOVIMIENTOS!$A$5:$A$1005&lt;=$A277)*MOVIMIENTOS!$E$5:$E$1005)-SUMPRODUCT((MOVIMIENTOS!$B$5:$B$1005="ENVÍO A SUPESA")*(MOVIMIENTOS!$C$5:$C$1005="P")*(MOVIMIENTOS!$D$5:$D$1005="jabas")*(MOVIMIENTOS!$A$5:$A$1005&lt;&gt;"")*(MOVIMIENTOS!$A$5:$A$1005&lt;=$A277)*MOVIMIENTOS!$E$5:$E$1005)+SUMPRODUCT((MOVIMIENTOS!$B$5:$B$1005="DEVOLUCIÓN")*(MOVIMIENTOS!$C$5:$C$1005="P")*(MOVIMIENTOS!$D$5:$D$1005="jabas")*(MOVIMIENTOS!$A$5:$A$1005&lt;&gt;"")*(MOVIMIENTOS!$A$5:$A$1005&lt;=$A277)*MOVIMIENTOS!$E$5:$E$1005)-SUMPRODUCT((MOVIMIENTOS!$B$5:$B$1005="TRASIEGO")*(MOVIMIENTOS!$C$5:$C$1005="P")*(MOVIMIENTOS!$D$5:$D$1005="jabas")*(MOVIMIENTOS!$A$5:$A$1005&lt;&gt;"")*(MOVIMIENTOS!$A$5:$A$1005&lt;=$A277)*MOVIMIENTOS!$E$5:$E$1005)-SUMPRODUCT((MOVIMIENTOS!$B$5:$B$1005="REGALO")*(MOVIMIENTOS!$C$5:$C$1005="P")*(MOVIMIENTOS!$D$5:$D$1005="jabas")*(MOVIMIENTOS!$A$5:$A$1005&lt;&gt;"")*(MOVIMIENTOS!$A$5:$A$1005&lt;=$A277)*MOVIMIENTOS!$E$5:$E$1005)-SUMPRODUCT((MOVIMIENTOS!$B$5:$B$1005="VENTA")*(MOVIMIENTOS!$C$5:$C$1005="P")*(MOVIMIENTOS!$D$5:$D$1005="jabas")*(MOVIMIENTOS!$A$5:$A$1005&lt;&gt;"")*(MOVIMIENTOS!$A$5:$A$1005&lt;=$A277)*MOVIMIENTOS!$E$5:$E$1005)+SUMPRODUCT((MOVIMIENTOS!$B$5:$B$1005="AJUSTE")*(MOVIMIENTOS!$C$5:$C$1005="P")*(MOVIMIENTOS!$D$5:$D$1005="jabas")*(MOVIMIENTOS!$A$5:$A$1005&lt;&gt;"")*(MOVIMIENTOS!$A$5:$A$1005&lt;=$A277)*MOVIMIENTOS!$E$5:$E$1005))</f>
        <v/>
      </c>
      <c r="D277" s="63" t="str">
        <f>IF($A277="","",SUMPRODUCT((MOVIMIENTOS!$B$5:$B$1005="SALDO INICIAL")*(MOVIMIENTOS!$C$5:$C$1005="C")*(MOVIMIENTOS!$D$5:$D$1005="jabas")*(MOVIMIENTOS!$A$5:$A$1005&lt;&gt;"")*(MOVIMIENTOS!$A$5:$A$1005&lt;=$A277)*MOVIMIENTOS!$E$5:$E$1005)+SUMPRODUCT((MOVIMIENTOS!$B$5:$B$1005="PROCESO")*(MOVIMIENTOS!$C$5:$C$1005="C")*(MOVIMIENTOS!$D$5:$D$1005="jabas")*(MOVIMIENTOS!$A$5:$A$1005&lt;&gt;"")*(MOVIMIENTOS!$A$5:$A$1005&lt;=$A277)*MOVIMIENTOS!$E$5:$E$1005)-SUMPRODUCT((MOVIMIENTOS!$B$5:$B$1005="ENVÍO A SUPESA")*(MOVIMIENTOS!$C$5:$C$1005="C")*(MOVIMIENTOS!$D$5:$D$1005="jabas")*(MOVIMIENTOS!$A$5:$A$1005&lt;&gt;"")*(MOVIMIENTOS!$A$5:$A$1005&lt;=$A277)*MOVIMIENTOS!$E$5:$E$1005)+SUMPRODUCT((MOVIMIENTOS!$B$5:$B$1005="DEVOLUCIÓN")*(MOVIMIENTOS!$C$5:$C$1005="C")*(MOVIMIENTOS!$D$5:$D$1005="jabas")*(MOVIMIENTOS!$A$5:$A$1005&lt;&gt;"")*(MOVIMIENTOS!$A$5:$A$1005&lt;=$A277)*MOVIMIENTOS!$E$5:$E$1005)-SUMPRODUCT((MOVIMIENTOS!$B$5:$B$1005="TRASIEGO")*(MOVIMIENTOS!$C$5:$C$1005="C")*(MOVIMIENTOS!$D$5:$D$1005="jabas")*(MOVIMIENTOS!$A$5:$A$1005&lt;&gt;"")*(MOVIMIENTOS!$A$5:$A$1005&lt;=$A277)*MOVIMIENTOS!$E$5:$E$1005)-SUMPRODUCT((MOVIMIENTOS!$B$5:$B$1005="REGALO")*(MOVIMIENTOS!$C$5:$C$1005="C")*(MOVIMIENTOS!$D$5:$D$1005="jabas")*(MOVIMIENTOS!$A$5:$A$1005&lt;&gt;"")*(MOVIMIENTOS!$A$5:$A$1005&lt;=$A277)*MOVIMIENTOS!$E$5:$E$1005)-SUMPRODUCT((MOVIMIENTOS!$B$5:$B$1005="VENTA")*(MOVIMIENTOS!$C$5:$C$1005="C")*(MOVIMIENTOS!$D$5:$D$1005="jabas")*(MOVIMIENTOS!$A$5:$A$1005&lt;&gt;"")*(MOVIMIENTOS!$A$5:$A$1005&lt;=$A277)*MOVIMIENTOS!$E$5:$E$1005)+SUMPRODUCT((MOVIMIENTOS!$B$5:$B$1005="AJUSTE")*(MOVIMIENTOS!$C$5:$C$1005="C")*(MOVIMIENTOS!$D$5:$D$1005="jabas")*(MOVIMIENTOS!$A$5:$A$1005&lt;&gt;"")*(MOVIMIENTOS!$A$5:$A$1005&lt;=$A277)*MOVIMIENTOS!$E$5:$E$1005))</f>
        <v/>
      </c>
      <c r="E277" s="63" t="str">
        <f>IF($A277="","",SUMPRODUCT((MOVIMIENTOS!$B$5:$B$1005="SALDO INICIAL")*(MOVIMIENTOS!$C$5:$C$1005="M")*(MOVIMIENTOS!$D$5:$D$1005="jabas")*(MOVIMIENTOS!$A$5:$A$1005&lt;&gt;"")*(MOVIMIENTOS!$A$5:$A$1005&lt;=$A277)*MOVIMIENTOS!$E$5:$E$1005)+SUMPRODUCT((MOVIMIENTOS!$B$5:$B$1005="PROCESO")*(MOVIMIENTOS!$C$5:$C$1005="M")*(MOVIMIENTOS!$D$5:$D$1005="jabas")*(MOVIMIENTOS!$A$5:$A$1005&lt;&gt;"")*(MOVIMIENTOS!$A$5:$A$1005&lt;=$A277)*MOVIMIENTOS!$E$5:$E$1005)-SUMPRODUCT((MOVIMIENTOS!$B$5:$B$1005="ENVÍO A SUPESA")*(MOVIMIENTOS!$C$5:$C$1005="M")*(MOVIMIENTOS!$D$5:$D$1005="jabas")*(MOVIMIENTOS!$A$5:$A$1005&lt;&gt;"")*(MOVIMIENTOS!$A$5:$A$1005&lt;=$A277)*MOVIMIENTOS!$E$5:$E$1005)+SUMPRODUCT((MOVIMIENTOS!$B$5:$B$1005="DEVOLUCIÓN")*(MOVIMIENTOS!$C$5:$C$1005="M")*(MOVIMIENTOS!$D$5:$D$1005="jabas")*(MOVIMIENTOS!$A$5:$A$1005&lt;&gt;"")*(MOVIMIENTOS!$A$5:$A$1005&lt;=$A277)*MOVIMIENTOS!$E$5:$E$1005)-SUMPRODUCT((MOVIMIENTOS!$B$5:$B$1005="TRASIEGO")*(MOVIMIENTOS!$C$5:$C$1005="M")*(MOVIMIENTOS!$D$5:$D$1005="jabas")*(MOVIMIENTOS!$A$5:$A$1005&lt;&gt;"")*(MOVIMIENTOS!$A$5:$A$1005&lt;=$A277)*MOVIMIENTOS!$E$5:$E$1005)-SUMPRODUCT((MOVIMIENTOS!$B$5:$B$1005="REGALO")*(MOVIMIENTOS!$C$5:$C$1005="M")*(MOVIMIENTOS!$D$5:$D$1005="jabas")*(MOVIMIENTOS!$A$5:$A$1005&lt;&gt;"")*(MOVIMIENTOS!$A$5:$A$1005&lt;=$A277)*MOVIMIENTOS!$E$5:$E$1005)-SUMPRODUCT((MOVIMIENTOS!$B$5:$B$1005="VENTA")*(MOVIMIENTOS!$C$5:$C$1005="M")*(MOVIMIENTOS!$D$5:$D$1005="jabas")*(MOVIMIENTOS!$A$5:$A$1005&lt;&gt;"")*(MOVIMIENTOS!$A$5:$A$1005&lt;=$A277)*MOVIMIENTOS!$E$5:$E$1005)+SUMPRODUCT((MOVIMIENTOS!$B$5:$B$1005="AJUSTE")*(MOVIMIENTOS!$C$5:$C$1005="M")*(MOVIMIENTOS!$D$5:$D$1005="jabas")*(MOVIMIENTOS!$A$5:$A$1005&lt;&gt;"")*(MOVIMIENTOS!$A$5:$A$1005&lt;=$A277)*MOVIMIENTOS!$E$5:$E$1005))</f>
        <v/>
      </c>
      <c r="F277" s="63" t="str">
        <f>IF($A277="","",SUMPRODUCT((MOVIMIENTOS!$B$5:$B$1005="SALDO INICIAL")*(MOVIMIENTOS!$C$5:$C$1005="Chancho")*(MOVIMIENTOS!$D$5:$D$1005="sacos")*(MOVIMIENTOS!$A$5:$A$1005&lt;&gt;"")*(MOVIMIENTOS!$A$5:$A$1005&lt;=$A277)*MOVIMIENTOS!$E$5:$E$1005)+SUMPRODUCT((MOVIMIENTOS!$B$5:$B$1005="PROCESO")*(MOVIMIENTOS!$C$5:$C$1005="Chancho")*(MOVIMIENTOS!$D$5:$D$1005="sacos")*(MOVIMIENTOS!$A$5:$A$1005&lt;&gt;"")*(MOVIMIENTOS!$A$5:$A$1005&lt;=$A277)*MOVIMIENTOS!$E$5:$E$1005)-SUMPRODUCT((MOVIMIENTOS!$B$5:$B$1005="VENTA CHANCHO")*(MOVIMIENTOS!$C$5:$C$1005="Chancho")*(MOVIMIENTOS!$D$5:$D$1005="sacos")*(MOVIMIENTOS!$A$5:$A$1005&lt;&gt;"")*(MOVIMIENTOS!$A$5:$A$1005&lt;=$A277)*MOVIMIENTOS!$E$5:$E$1005)-SUMPRODUCT((MOVIMIENTOS!$B$5:$B$1005="REGALO")*(MOVIMIENTOS!$C$5:$C$1005="Chancho")*(MOVIMIENTOS!$D$5:$D$1005="sacos")*(MOVIMIENTOS!$A$5:$A$1005&lt;&gt;"")*(MOVIMIENTOS!$A$5:$A$1005&lt;=$A277)*MOVIMIENTOS!$E$5:$E$1005)-SUMPRODUCT((MOVIMIENTOS!$B$5:$B$1005="VENTA")*(MOVIMIENTOS!$C$5:$C$1005="Chancho")*(MOVIMIENTOS!$D$5:$D$1005="sacos")*(MOVIMIENTOS!$A$5:$A$1005&lt;&gt;"")*(MOVIMIENTOS!$A$5:$A$1005&lt;=$A277)*MOVIMIENTOS!$E$5:$E$1005)+SUMPRODUCT((MOVIMIENTOS!$B$5:$B$1005="AJUSTE")*(MOVIMIENTOS!$C$5:$C$1005="Chancho")*(MOVIMIENTOS!$D$5:$D$1005="sacos")*(MOVIMIENTOS!$A$5:$A$1005&lt;&gt;"")*(MOVIMIENTOS!$A$5:$A$1005&lt;=$A277)*MOVIMIENTOS!$E$5:$E$1005))</f>
        <v/>
      </c>
      <c r="G277" s="95" t="str">
        <f t="shared" si="9"/>
        <v/>
      </c>
      <c r="H277" s="63" t="str">
        <f>IF($A277="","",SUMPRODUCT((((MOVIMIENTOS!$B$5:$B$1005="SALDO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277)*MOVIMIENTOS!$J$5:$J$1005))</f>
        <v/>
      </c>
      <c r="I277" s="63"/>
      <c r="J277" s="63" t="str">
        <f>IF(AND(MOVIMIENTOS!$A276&lt;&gt;"",COUNTIF(MOVIMIENTOS!$A$5:$A275,MOVIMIENTOS!$A276)=0),COUNT(J$4:J276)+1,"")</f>
        <v/>
      </c>
      <c r="K277" s="66">
        <f>MOVIMIENTOS!$A276</f>
        <v>46238</v>
      </c>
      <c r="L277" s="63"/>
      <c r="M277" s="63"/>
      <c r="N277" s="63"/>
    </row>
    <row r="278" spans="1:14" ht="15" customHeight="1" x14ac:dyDescent="0.2">
      <c r="A278" s="63" t="str">
        <f t="shared" si="8"/>
        <v/>
      </c>
      <c r="B278" s="63" t="str">
        <f>IF($A278="","",SUMPRODUCT((MOVIMIENTOS!$B$5:$B$1005="SALDO INICIAL")*(MOVIMIENTOS!$C$5:$C$1005="A")*(MOVIMIENTOS!$D$5:$D$1005="jabas")*(MOVIMIENTOS!$A$5:$A$1005&lt;&gt;"")*(MOVIMIENTOS!$A$5:$A$1005&lt;=$A278)*MOVIMIENTOS!$E$5:$E$1005)+SUMPRODUCT((MOVIMIENTOS!$B$5:$B$1005="PROCESO")*(MOVIMIENTOS!$C$5:$C$1005="A")*(MOVIMIENTOS!$D$5:$D$1005="jabas")*(MOVIMIENTOS!$A$5:$A$1005&lt;&gt;"")*(MOVIMIENTOS!$A$5:$A$1005&lt;=$A278)*MOVIMIENTOS!$E$5:$E$1005)-SUMPRODUCT((MOVIMIENTOS!$B$5:$B$1005="ENVÍO A SUPESA")*(MOVIMIENTOS!$C$5:$C$1005="A")*(MOVIMIENTOS!$D$5:$D$1005="jabas")*(MOVIMIENTOS!$A$5:$A$1005&lt;&gt;"")*(MOVIMIENTOS!$A$5:$A$1005&lt;=$A278)*MOVIMIENTOS!$E$5:$E$1005)+SUMPRODUCT((MOVIMIENTOS!$B$5:$B$1005="DEVOLUCIÓN")*(MOVIMIENTOS!$C$5:$C$1005="A")*(MOVIMIENTOS!$D$5:$D$1005="jabas")*(MOVIMIENTOS!$A$5:$A$1005&lt;&gt;"")*(MOVIMIENTOS!$A$5:$A$1005&lt;=$A278)*MOVIMIENTOS!$E$5:$E$1005)-SUMPRODUCT((MOVIMIENTOS!$B$5:$B$1005="TRASIEGO")*(MOVIMIENTOS!$C$5:$C$1005="A")*(MOVIMIENTOS!$D$5:$D$1005="jabas")*(MOVIMIENTOS!$A$5:$A$1005&lt;&gt;"")*(MOVIMIENTOS!$A$5:$A$1005&lt;=$A278)*MOVIMIENTOS!$E$5:$E$1005)-SUMPRODUCT((MOVIMIENTOS!$B$5:$B$1005="REGALO")*(MOVIMIENTOS!$C$5:$C$1005="A")*(MOVIMIENTOS!$D$5:$D$1005="jabas")*(MOVIMIENTOS!$A$5:$A$1005&lt;&gt;"")*(MOVIMIENTOS!$A$5:$A$1005&lt;=$A278)*MOVIMIENTOS!$E$5:$E$1005)-SUMPRODUCT((MOVIMIENTOS!$B$5:$B$1005="VENTA")*(MOVIMIENTOS!$C$5:$C$1005="A")*(MOVIMIENTOS!$D$5:$D$1005="jabas")*(MOVIMIENTOS!$A$5:$A$1005&lt;&gt;"")*(MOVIMIENTOS!$A$5:$A$1005&lt;=$A278)*MOVIMIENTOS!$E$5:$E$1005)+SUMPRODUCT((MOVIMIENTOS!$B$5:$B$1005="AJUSTE")*(MOVIMIENTOS!$C$5:$C$1005="A")*(MOVIMIENTOS!$D$5:$D$1005="jabas")*(MOVIMIENTOS!$A$5:$A$1005&lt;&gt;"")*(MOVIMIENTOS!$A$5:$A$1005&lt;=$A278)*MOVIMIENTOS!$E$5:$E$1005))</f>
        <v/>
      </c>
      <c r="C278" s="63" t="str">
        <f>IF($A278="","",SUMPRODUCT((MOVIMIENTOS!$B$5:$B$1005="SALDO INICIAL")*(MOVIMIENTOS!$C$5:$C$1005="P")*(MOVIMIENTOS!$D$5:$D$1005="jabas")*(MOVIMIENTOS!$A$5:$A$1005&lt;&gt;"")*(MOVIMIENTOS!$A$5:$A$1005&lt;=$A278)*MOVIMIENTOS!$E$5:$E$1005)+SUMPRODUCT((MOVIMIENTOS!$B$5:$B$1005="PROCESO")*(MOVIMIENTOS!$C$5:$C$1005="P")*(MOVIMIENTOS!$D$5:$D$1005="jabas")*(MOVIMIENTOS!$A$5:$A$1005&lt;&gt;"")*(MOVIMIENTOS!$A$5:$A$1005&lt;=$A278)*MOVIMIENTOS!$E$5:$E$1005)-SUMPRODUCT((MOVIMIENTOS!$B$5:$B$1005="ENVÍO A SUPESA")*(MOVIMIENTOS!$C$5:$C$1005="P")*(MOVIMIENTOS!$D$5:$D$1005="jabas")*(MOVIMIENTOS!$A$5:$A$1005&lt;&gt;"")*(MOVIMIENTOS!$A$5:$A$1005&lt;=$A278)*MOVIMIENTOS!$E$5:$E$1005)+SUMPRODUCT((MOVIMIENTOS!$B$5:$B$1005="DEVOLUCIÓN")*(MOVIMIENTOS!$C$5:$C$1005="P")*(MOVIMIENTOS!$D$5:$D$1005="jabas")*(MOVIMIENTOS!$A$5:$A$1005&lt;&gt;"")*(MOVIMIENTOS!$A$5:$A$1005&lt;=$A278)*MOVIMIENTOS!$E$5:$E$1005)-SUMPRODUCT((MOVIMIENTOS!$B$5:$B$1005="TRASIEGO")*(MOVIMIENTOS!$C$5:$C$1005="P")*(MOVIMIENTOS!$D$5:$D$1005="jabas")*(MOVIMIENTOS!$A$5:$A$1005&lt;&gt;"")*(MOVIMIENTOS!$A$5:$A$1005&lt;=$A278)*MOVIMIENTOS!$E$5:$E$1005)-SUMPRODUCT((MOVIMIENTOS!$B$5:$B$1005="REGALO")*(MOVIMIENTOS!$C$5:$C$1005="P")*(MOVIMIENTOS!$D$5:$D$1005="jabas")*(MOVIMIENTOS!$A$5:$A$1005&lt;&gt;"")*(MOVIMIENTOS!$A$5:$A$1005&lt;=$A278)*MOVIMIENTOS!$E$5:$E$1005)-SUMPRODUCT((MOVIMIENTOS!$B$5:$B$1005="VENTA")*(MOVIMIENTOS!$C$5:$C$1005="P")*(MOVIMIENTOS!$D$5:$D$1005="jabas")*(MOVIMIENTOS!$A$5:$A$1005&lt;&gt;"")*(MOVIMIENTOS!$A$5:$A$1005&lt;=$A278)*MOVIMIENTOS!$E$5:$E$1005)+SUMPRODUCT((MOVIMIENTOS!$B$5:$B$1005="AJUSTE")*(MOVIMIENTOS!$C$5:$C$1005="P")*(MOVIMIENTOS!$D$5:$D$1005="jabas")*(MOVIMIENTOS!$A$5:$A$1005&lt;&gt;"")*(MOVIMIENTOS!$A$5:$A$1005&lt;=$A278)*MOVIMIENTOS!$E$5:$E$1005))</f>
        <v/>
      </c>
      <c r="D278" s="63" t="str">
        <f>IF($A278="","",SUMPRODUCT((MOVIMIENTOS!$B$5:$B$1005="SALDO INICIAL")*(MOVIMIENTOS!$C$5:$C$1005="C")*(MOVIMIENTOS!$D$5:$D$1005="jabas")*(MOVIMIENTOS!$A$5:$A$1005&lt;&gt;"")*(MOVIMIENTOS!$A$5:$A$1005&lt;=$A278)*MOVIMIENTOS!$E$5:$E$1005)+SUMPRODUCT((MOVIMIENTOS!$B$5:$B$1005="PROCESO")*(MOVIMIENTOS!$C$5:$C$1005="C")*(MOVIMIENTOS!$D$5:$D$1005="jabas")*(MOVIMIENTOS!$A$5:$A$1005&lt;&gt;"")*(MOVIMIENTOS!$A$5:$A$1005&lt;=$A278)*MOVIMIENTOS!$E$5:$E$1005)-SUMPRODUCT((MOVIMIENTOS!$B$5:$B$1005="ENVÍO A SUPESA")*(MOVIMIENTOS!$C$5:$C$1005="C")*(MOVIMIENTOS!$D$5:$D$1005="jabas")*(MOVIMIENTOS!$A$5:$A$1005&lt;&gt;"")*(MOVIMIENTOS!$A$5:$A$1005&lt;=$A278)*MOVIMIENTOS!$E$5:$E$1005)+SUMPRODUCT((MOVIMIENTOS!$B$5:$B$1005="DEVOLUCIÓN")*(MOVIMIENTOS!$C$5:$C$1005="C")*(MOVIMIENTOS!$D$5:$D$1005="jabas")*(MOVIMIENTOS!$A$5:$A$1005&lt;&gt;"")*(MOVIMIENTOS!$A$5:$A$1005&lt;=$A278)*MOVIMIENTOS!$E$5:$E$1005)-SUMPRODUCT((MOVIMIENTOS!$B$5:$B$1005="TRASIEGO")*(MOVIMIENTOS!$C$5:$C$1005="C")*(MOVIMIENTOS!$D$5:$D$1005="jabas")*(MOVIMIENTOS!$A$5:$A$1005&lt;&gt;"")*(MOVIMIENTOS!$A$5:$A$1005&lt;=$A278)*MOVIMIENTOS!$E$5:$E$1005)-SUMPRODUCT((MOVIMIENTOS!$B$5:$B$1005="REGALO")*(MOVIMIENTOS!$C$5:$C$1005="C")*(MOVIMIENTOS!$D$5:$D$1005="jabas")*(MOVIMIENTOS!$A$5:$A$1005&lt;&gt;"")*(MOVIMIENTOS!$A$5:$A$1005&lt;=$A278)*MOVIMIENTOS!$E$5:$E$1005)-SUMPRODUCT((MOVIMIENTOS!$B$5:$B$1005="VENTA")*(MOVIMIENTOS!$C$5:$C$1005="C")*(MOVIMIENTOS!$D$5:$D$1005="jabas")*(MOVIMIENTOS!$A$5:$A$1005&lt;&gt;"")*(MOVIMIENTOS!$A$5:$A$1005&lt;=$A278)*MOVIMIENTOS!$E$5:$E$1005)+SUMPRODUCT((MOVIMIENTOS!$B$5:$B$1005="AJUSTE")*(MOVIMIENTOS!$C$5:$C$1005="C")*(MOVIMIENTOS!$D$5:$D$1005="jabas")*(MOVIMIENTOS!$A$5:$A$1005&lt;&gt;"")*(MOVIMIENTOS!$A$5:$A$1005&lt;=$A278)*MOVIMIENTOS!$E$5:$E$1005))</f>
        <v/>
      </c>
      <c r="E278" s="63" t="str">
        <f>IF($A278="","",SUMPRODUCT((MOVIMIENTOS!$B$5:$B$1005="SALDO INICIAL")*(MOVIMIENTOS!$C$5:$C$1005="M")*(MOVIMIENTOS!$D$5:$D$1005="jabas")*(MOVIMIENTOS!$A$5:$A$1005&lt;&gt;"")*(MOVIMIENTOS!$A$5:$A$1005&lt;=$A278)*MOVIMIENTOS!$E$5:$E$1005)+SUMPRODUCT((MOVIMIENTOS!$B$5:$B$1005="PROCESO")*(MOVIMIENTOS!$C$5:$C$1005="M")*(MOVIMIENTOS!$D$5:$D$1005="jabas")*(MOVIMIENTOS!$A$5:$A$1005&lt;&gt;"")*(MOVIMIENTOS!$A$5:$A$1005&lt;=$A278)*MOVIMIENTOS!$E$5:$E$1005)-SUMPRODUCT((MOVIMIENTOS!$B$5:$B$1005="ENVÍO A SUPESA")*(MOVIMIENTOS!$C$5:$C$1005="M")*(MOVIMIENTOS!$D$5:$D$1005="jabas")*(MOVIMIENTOS!$A$5:$A$1005&lt;&gt;"")*(MOVIMIENTOS!$A$5:$A$1005&lt;=$A278)*MOVIMIENTOS!$E$5:$E$1005)+SUMPRODUCT((MOVIMIENTOS!$B$5:$B$1005="DEVOLUCIÓN")*(MOVIMIENTOS!$C$5:$C$1005="M")*(MOVIMIENTOS!$D$5:$D$1005="jabas")*(MOVIMIENTOS!$A$5:$A$1005&lt;&gt;"")*(MOVIMIENTOS!$A$5:$A$1005&lt;=$A278)*MOVIMIENTOS!$E$5:$E$1005)-SUMPRODUCT((MOVIMIENTOS!$B$5:$B$1005="TRASIEGO")*(MOVIMIENTOS!$C$5:$C$1005="M")*(MOVIMIENTOS!$D$5:$D$1005="jabas")*(MOVIMIENTOS!$A$5:$A$1005&lt;&gt;"")*(MOVIMIENTOS!$A$5:$A$1005&lt;=$A278)*MOVIMIENTOS!$E$5:$E$1005)-SUMPRODUCT((MOVIMIENTOS!$B$5:$B$1005="REGALO")*(MOVIMIENTOS!$C$5:$C$1005="M")*(MOVIMIENTOS!$D$5:$D$1005="jabas")*(MOVIMIENTOS!$A$5:$A$1005&lt;&gt;"")*(MOVIMIENTOS!$A$5:$A$1005&lt;=$A278)*MOVIMIENTOS!$E$5:$E$1005)-SUMPRODUCT((MOVIMIENTOS!$B$5:$B$1005="VENTA")*(MOVIMIENTOS!$C$5:$C$1005="M")*(MOVIMIENTOS!$D$5:$D$1005="jabas")*(MOVIMIENTOS!$A$5:$A$1005&lt;&gt;"")*(MOVIMIENTOS!$A$5:$A$1005&lt;=$A278)*MOVIMIENTOS!$E$5:$E$1005)+SUMPRODUCT((MOVIMIENTOS!$B$5:$B$1005="AJUSTE")*(MOVIMIENTOS!$C$5:$C$1005="M")*(MOVIMIENTOS!$D$5:$D$1005="jabas")*(MOVIMIENTOS!$A$5:$A$1005&lt;&gt;"")*(MOVIMIENTOS!$A$5:$A$1005&lt;=$A278)*MOVIMIENTOS!$E$5:$E$1005))</f>
        <v/>
      </c>
      <c r="F278" s="63" t="str">
        <f>IF($A278="","",SUMPRODUCT((MOVIMIENTOS!$B$5:$B$1005="SALDO INICIAL")*(MOVIMIENTOS!$C$5:$C$1005="Chancho")*(MOVIMIENTOS!$D$5:$D$1005="sacos")*(MOVIMIENTOS!$A$5:$A$1005&lt;&gt;"")*(MOVIMIENTOS!$A$5:$A$1005&lt;=$A278)*MOVIMIENTOS!$E$5:$E$1005)+SUMPRODUCT((MOVIMIENTOS!$B$5:$B$1005="PROCESO")*(MOVIMIENTOS!$C$5:$C$1005="Chancho")*(MOVIMIENTOS!$D$5:$D$1005="sacos")*(MOVIMIENTOS!$A$5:$A$1005&lt;&gt;"")*(MOVIMIENTOS!$A$5:$A$1005&lt;=$A278)*MOVIMIENTOS!$E$5:$E$1005)-SUMPRODUCT((MOVIMIENTOS!$B$5:$B$1005="VENTA CHANCHO")*(MOVIMIENTOS!$C$5:$C$1005="Chancho")*(MOVIMIENTOS!$D$5:$D$1005="sacos")*(MOVIMIENTOS!$A$5:$A$1005&lt;&gt;"")*(MOVIMIENTOS!$A$5:$A$1005&lt;=$A278)*MOVIMIENTOS!$E$5:$E$1005)-SUMPRODUCT((MOVIMIENTOS!$B$5:$B$1005="REGALO")*(MOVIMIENTOS!$C$5:$C$1005="Chancho")*(MOVIMIENTOS!$D$5:$D$1005="sacos")*(MOVIMIENTOS!$A$5:$A$1005&lt;&gt;"")*(MOVIMIENTOS!$A$5:$A$1005&lt;=$A278)*MOVIMIENTOS!$E$5:$E$1005)-SUMPRODUCT((MOVIMIENTOS!$B$5:$B$1005="VENTA")*(MOVIMIENTOS!$C$5:$C$1005="Chancho")*(MOVIMIENTOS!$D$5:$D$1005="sacos")*(MOVIMIENTOS!$A$5:$A$1005&lt;&gt;"")*(MOVIMIENTOS!$A$5:$A$1005&lt;=$A278)*MOVIMIENTOS!$E$5:$E$1005)+SUMPRODUCT((MOVIMIENTOS!$B$5:$B$1005="AJUSTE")*(MOVIMIENTOS!$C$5:$C$1005="Chancho")*(MOVIMIENTOS!$D$5:$D$1005="sacos")*(MOVIMIENTOS!$A$5:$A$1005&lt;&gt;"")*(MOVIMIENTOS!$A$5:$A$1005&lt;=$A278)*MOVIMIENTOS!$E$5:$E$1005))</f>
        <v/>
      </c>
      <c r="G278" s="95" t="str">
        <f t="shared" si="9"/>
        <v/>
      </c>
      <c r="H278" s="63" t="str">
        <f>IF($A278="","",SUMPRODUCT((((MOVIMIENTOS!$B$5:$B$1005="SALDO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278)*MOVIMIENTOS!$J$5:$J$1005))</f>
        <v/>
      </c>
      <c r="I278" s="63"/>
      <c r="J278" s="63" t="str">
        <f>IF(AND(MOVIMIENTOS!$A277&lt;&gt;"",COUNTIF(MOVIMIENTOS!$A$5:$A276,MOVIMIENTOS!$A277)=0),COUNT(J$4:J277)+1,"")</f>
        <v/>
      </c>
      <c r="K278" s="66">
        <f>MOVIMIENTOS!$A277</f>
        <v>46238</v>
      </c>
      <c r="L278" s="63"/>
      <c r="M278" s="63"/>
      <c r="N278" s="63"/>
    </row>
    <row r="279" spans="1:14" ht="15" customHeight="1" x14ac:dyDescent="0.2">
      <c r="A279" s="63" t="str">
        <f t="shared" si="8"/>
        <v/>
      </c>
      <c r="B279" s="63" t="str">
        <f>IF($A279="","",SUMPRODUCT((MOVIMIENTOS!$B$5:$B$1005="SALDO INICIAL")*(MOVIMIENTOS!$C$5:$C$1005="A")*(MOVIMIENTOS!$D$5:$D$1005="jabas")*(MOVIMIENTOS!$A$5:$A$1005&lt;&gt;"")*(MOVIMIENTOS!$A$5:$A$1005&lt;=$A279)*MOVIMIENTOS!$E$5:$E$1005)+SUMPRODUCT((MOVIMIENTOS!$B$5:$B$1005="PROCESO")*(MOVIMIENTOS!$C$5:$C$1005="A")*(MOVIMIENTOS!$D$5:$D$1005="jabas")*(MOVIMIENTOS!$A$5:$A$1005&lt;&gt;"")*(MOVIMIENTOS!$A$5:$A$1005&lt;=$A279)*MOVIMIENTOS!$E$5:$E$1005)-SUMPRODUCT((MOVIMIENTOS!$B$5:$B$1005="ENVÍO A SUPESA")*(MOVIMIENTOS!$C$5:$C$1005="A")*(MOVIMIENTOS!$D$5:$D$1005="jabas")*(MOVIMIENTOS!$A$5:$A$1005&lt;&gt;"")*(MOVIMIENTOS!$A$5:$A$1005&lt;=$A279)*MOVIMIENTOS!$E$5:$E$1005)+SUMPRODUCT((MOVIMIENTOS!$B$5:$B$1005="DEVOLUCIÓN")*(MOVIMIENTOS!$C$5:$C$1005="A")*(MOVIMIENTOS!$D$5:$D$1005="jabas")*(MOVIMIENTOS!$A$5:$A$1005&lt;&gt;"")*(MOVIMIENTOS!$A$5:$A$1005&lt;=$A279)*MOVIMIENTOS!$E$5:$E$1005)-SUMPRODUCT((MOVIMIENTOS!$B$5:$B$1005="TRASIEGO")*(MOVIMIENTOS!$C$5:$C$1005="A")*(MOVIMIENTOS!$D$5:$D$1005="jabas")*(MOVIMIENTOS!$A$5:$A$1005&lt;&gt;"")*(MOVIMIENTOS!$A$5:$A$1005&lt;=$A279)*MOVIMIENTOS!$E$5:$E$1005)-SUMPRODUCT((MOVIMIENTOS!$B$5:$B$1005="REGALO")*(MOVIMIENTOS!$C$5:$C$1005="A")*(MOVIMIENTOS!$D$5:$D$1005="jabas")*(MOVIMIENTOS!$A$5:$A$1005&lt;&gt;"")*(MOVIMIENTOS!$A$5:$A$1005&lt;=$A279)*MOVIMIENTOS!$E$5:$E$1005)-SUMPRODUCT((MOVIMIENTOS!$B$5:$B$1005="VENTA")*(MOVIMIENTOS!$C$5:$C$1005="A")*(MOVIMIENTOS!$D$5:$D$1005="jabas")*(MOVIMIENTOS!$A$5:$A$1005&lt;&gt;"")*(MOVIMIENTOS!$A$5:$A$1005&lt;=$A279)*MOVIMIENTOS!$E$5:$E$1005)+SUMPRODUCT((MOVIMIENTOS!$B$5:$B$1005="AJUSTE")*(MOVIMIENTOS!$C$5:$C$1005="A")*(MOVIMIENTOS!$D$5:$D$1005="jabas")*(MOVIMIENTOS!$A$5:$A$1005&lt;&gt;"")*(MOVIMIENTOS!$A$5:$A$1005&lt;=$A279)*MOVIMIENTOS!$E$5:$E$1005))</f>
        <v/>
      </c>
      <c r="C279" s="63" t="str">
        <f>IF($A279="","",SUMPRODUCT((MOVIMIENTOS!$B$5:$B$1005="SALDO INICIAL")*(MOVIMIENTOS!$C$5:$C$1005="P")*(MOVIMIENTOS!$D$5:$D$1005="jabas")*(MOVIMIENTOS!$A$5:$A$1005&lt;&gt;"")*(MOVIMIENTOS!$A$5:$A$1005&lt;=$A279)*MOVIMIENTOS!$E$5:$E$1005)+SUMPRODUCT((MOVIMIENTOS!$B$5:$B$1005="PROCESO")*(MOVIMIENTOS!$C$5:$C$1005="P")*(MOVIMIENTOS!$D$5:$D$1005="jabas")*(MOVIMIENTOS!$A$5:$A$1005&lt;&gt;"")*(MOVIMIENTOS!$A$5:$A$1005&lt;=$A279)*MOVIMIENTOS!$E$5:$E$1005)-SUMPRODUCT((MOVIMIENTOS!$B$5:$B$1005="ENVÍO A SUPESA")*(MOVIMIENTOS!$C$5:$C$1005="P")*(MOVIMIENTOS!$D$5:$D$1005="jabas")*(MOVIMIENTOS!$A$5:$A$1005&lt;&gt;"")*(MOVIMIENTOS!$A$5:$A$1005&lt;=$A279)*MOVIMIENTOS!$E$5:$E$1005)+SUMPRODUCT((MOVIMIENTOS!$B$5:$B$1005="DEVOLUCIÓN")*(MOVIMIENTOS!$C$5:$C$1005="P")*(MOVIMIENTOS!$D$5:$D$1005="jabas")*(MOVIMIENTOS!$A$5:$A$1005&lt;&gt;"")*(MOVIMIENTOS!$A$5:$A$1005&lt;=$A279)*MOVIMIENTOS!$E$5:$E$1005)-SUMPRODUCT((MOVIMIENTOS!$B$5:$B$1005="TRASIEGO")*(MOVIMIENTOS!$C$5:$C$1005="P")*(MOVIMIENTOS!$D$5:$D$1005="jabas")*(MOVIMIENTOS!$A$5:$A$1005&lt;&gt;"")*(MOVIMIENTOS!$A$5:$A$1005&lt;=$A279)*MOVIMIENTOS!$E$5:$E$1005)-SUMPRODUCT((MOVIMIENTOS!$B$5:$B$1005="REGALO")*(MOVIMIENTOS!$C$5:$C$1005="P")*(MOVIMIENTOS!$D$5:$D$1005="jabas")*(MOVIMIENTOS!$A$5:$A$1005&lt;&gt;"")*(MOVIMIENTOS!$A$5:$A$1005&lt;=$A279)*MOVIMIENTOS!$E$5:$E$1005)-SUMPRODUCT((MOVIMIENTOS!$B$5:$B$1005="VENTA")*(MOVIMIENTOS!$C$5:$C$1005="P")*(MOVIMIENTOS!$D$5:$D$1005="jabas")*(MOVIMIENTOS!$A$5:$A$1005&lt;&gt;"")*(MOVIMIENTOS!$A$5:$A$1005&lt;=$A279)*MOVIMIENTOS!$E$5:$E$1005)+SUMPRODUCT((MOVIMIENTOS!$B$5:$B$1005="AJUSTE")*(MOVIMIENTOS!$C$5:$C$1005="P")*(MOVIMIENTOS!$D$5:$D$1005="jabas")*(MOVIMIENTOS!$A$5:$A$1005&lt;&gt;"")*(MOVIMIENTOS!$A$5:$A$1005&lt;=$A279)*MOVIMIENTOS!$E$5:$E$1005))</f>
        <v/>
      </c>
      <c r="D279" s="63" t="str">
        <f>IF($A279="","",SUMPRODUCT((MOVIMIENTOS!$B$5:$B$1005="SALDO INICIAL")*(MOVIMIENTOS!$C$5:$C$1005="C")*(MOVIMIENTOS!$D$5:$D$1005="jabas")*(MOVIMIENTOS!$A$5:$A$1005&lt;&gt;"")*(MOVIMIENTOS!$A$5:$A$1005&lt;=$A279)*MOVIMIENTOS!$E$5:$E$1005)+SUMPRODUCT((MOVIMIENTOS!$B$5:$B$1005="PROCESO")*(MOVIMIENTOS!$C$5:$C$1005="C")*(MOVIMIENTOS!$D$5:$D$1005="jabas")*(MOVIMIENTOS!$A$5:$A$1005&lt;&gt;"")*(MOVIMIENTOS!$A$5:$A$1005&lt;=$A279)*MOVIMIENTOS!$E$5:$E$1005)-SUMPRODUCT((MOVIMIENTOS!$B$5:$B$1005="ENVÍO A SUPESA")*(MOVIMIENTOS!$C$5:$C$1005="C")*(MOVIMIENTOS!$D$5:$D$1005="jabas")*(MOVIMIENTOS!$A$5:$A$1005&lt;&gt;"")*(MOVIMIENTOS!$A$5:$A$1005&lt;=$A279)*MOVIMIENTOS!$E$5:$E$1005)+SUMPRODUCT((MOVIMIENTOS!$B$5:$B$1005="DEVOLUCIÓN")*(MOVIMIENTOS!$C$5:$C$1005="C")*(MOVIMIENTOS!$D$5:$D$1005="jabas")*(MOVIMIENTOS!$A$5:$A$1005&lt;&gt;"")*(MOVIMIENTOS!$A$5:$A$1005&lt;=$A279)*MOVIMIENTOS!$E$5:$E$1005)-SUMPRODUCT((MOVIMIENTOS!$B$5:$B$1005="TRASIEGO")*(MOVIMIENTOS!$C$5:$C$1005="C")*(MOVIMIENTOS!$D$5:$D$1005="jabas")*(MOVIMIENTOS!$A$5:$A$1005&lt;&gt;"")*(MOVIMIENTOS!$A$5:$A$1005&lt;=$A279)*MOVIMIENTOS!$E$5:$E$1005)-SUMPRODUCT((MOVIMIENTOS!$B$5:$B$1005="REGALO")*(MOVIMIENTOS!$C$5:$C$1005="C")*(MOVIMIENTOS!$D$5:$D$1005="jabas")*(MOVIMIENTOS!$A$5:$A$1005&lt;&gt;"")*(MOVIMIENTOS!$A$5:$A$1005&lt;=$A279)*MOVIMIENTOS!$E$5:$E$1005)-SUMPRODUCT((MOVIMIENTOS!$B$5:$B$1005="VENTA")*(MOVIMIENTOS!$C$5:$C$1005="C")*(MOVIMIENTOS!$D$5:$D$1005="jabas")*(MOVIMIENTOS!$A$5:$A$1005&lt;&gt;"")*(MOVIMIENTOS!$A$5:$A$1005&lt;=$A279)*MOVIMIENTOS!$E$5:$E$1005)+SUMPRODUCT((MOVIMIENTOS!$B$5:$B$1005="AJUSTE")*(MOVIMIENTOS!$C$5:$C$1005="C")*(MOVIMIENTOS!$D$5:$D$1005="jabas")*(MOVIMIENTOS!$A$5:$A$1005&lt;&gt;"")*(MOVIMIENTOS!$A$5:$A$1005&lt;=$A279)*MOVIMIENTOS!$E$5:$E$1005))</f>
        <v/>
      </c>
      <c r="E279" s="63" t="str">
        <f>IF($A279="","",SUMPRODUCT((MOVIMIENTOS!$B$5:$B$1005="SALDO INICIAL")*(MOVIMIENTOS!$C$5:$C$1005="M")*(MOVIMIENTOS!$D$5:$D$1005="jabas")*(MOVIMIENTOS!$A$5:$A$1005&lt;&gt;"")*(MOVIMIENTOS!$A$5:$A$1005&lt;=$A279)*MOVIMIENTOS!$E$5:$E$1005)+SUMPRODUCT((MOVIMIENTOS!$B$5:$B$1005="PROCESO")*(MOVIMIENTOS!$C$5:$C$1005="M")*(MOVIMIENTOS!$D$5:$D$1005="jabas")*(MOVIMIENTOS!$A$5:$A$1005&lt;&gt;"")*(MOVIMIENTOS!$A$5:$A$1005&lt;=$A279)*MOVIMIENTOS!$E$5:$E$1005)-SUMPRODUCT((MOVIMIENTOS!$B$5:$B$1005="ENVÍO A SUPESA")*(MOVIMIENTOS!$C$5:$C$1005="M")*(MOVIMIENTOS!$D$5:$D$1005="jabas")*(MOVIMIENTOS!$A$5:$A$1005&lt;&gt;"")*(MOVIMIENTOS!$A$5:$A$1005&lt;=$A279)*MOVIMIENTOS!$E$5:$E$1005)+SUMPRODUCT((MOVIMIENTOS!$B$5:$B$1005="DEVOLUCIÓN")*(MOVIMIENTOS!$C$5:$C$1005="M")*(MOVIMIENTOS!$D$5:$D$1005="jabas")*(MOVIMIENTOS!$A$5:$A$1005&lt;&gt;"")*(MOVIMIENTOS!$A$5:$A$1005&lt;=$A279)*MOVIMIENTOS!$E$5:$E$1005)-SUMPRODUCT((MOVIMIENTOS!$B$5:$B$1005="TRASIEGO")*(MOVIMIENTOS!$C$5:$C$1005="M")*(MOVIMIENTOS!$D$5:$D$1005="jabas")*(MOVIMIENTOS!$A$5:$A$1005&lt;&gt;"")*(MOVIMIENTOS!$A$5:$A$1005&lt;=$A279)*MOVIMIENTOS!$E$5:$E$1005)-SUMPRODUCT((MOVIMIENTOS!$B$5:$B$1005="REGALO")*(MOVIMIENTOS!$C$5:$C$1005="M")*(MOVIMIENTOS!$D$5:$D$1005="jabas")*(MOVIMIENTOS!$A$5:$A$1005&lt;&gt;"")*(MOVIMIENTOS!$A$5:$A$1005&lt;=$A279)*MOVIMIENTOS!$E$5:$E$1005)-SUMPRODUCT((MOVIMIENTOS!$B$5:$B$1005="VENTA")*(MOVIMIENTOS!$C$5:$C$1005="M")*(MOVIMIENTOS!$D$5:$D$1005="jabas")*(MOVIMIENTOS!$A$5:$A$1005&lt;&gt;"")*(MOVIMIENTOS!$A$5:$A$1005&lt;=$A279)*MOVIMIENTOS!$E$5:$E$1005)+SUMPRODUCT((MOVIMIENTOS!$B$5:$B$1005="AJUSTE")*(MOVIMIENTOS!$C$5:$C$1005="M")*(MOVIMIENTOS!$D$5:$D$1005="jabas")*(MOVIMIENTOS!$A$5:$A$1005&lt;&gt;"")*(MOVIMIENTOS!$A$5:$A$1005&lt;=$A279)*MOVIMIENTOS!$E$5:$E$1005))</f>
        <v/>
      </c>
      <c r="F279" s="63" t="str">
        <f>IF($A279="","",SUMPRODUCT((MOVIMIENTOS!$B$5:$B$1005="SALDO INICIAL")*(MOVIMIENTOS!$C$5:$C$1005="Chancho")*(MOVIMIENTOS!$D$5:$D$1005="sacos")*(MOVIMIENTOS!$A$5:$A$1005&lt;&gt;"")*(MOVIMIENTOS!$A$5:$A$1005&lt;=$A279)*MOVIMIENTOS!$E$5:$E$1005)+SUMPRODUCT((MOVIMIENTOS!$B$5:$B$1005="PROCESO")*(MOVIMIENTOS!$C$5:$C$1005="Chancho")*(MOVIMIENTOS!$D$5:$D$1005="sacos")*(MOVIMIENTOS!$A$5:$A$1005&lt;&gt;"")*(MOVIMIENTOS!$A$5:$A$1005&lt;=$A279)*MOVIMIENTOS!$E$5:$E$1005)-SUMPRODUCT((MOVIMIENTOS!$B$5:$B$1005="VENTA CHANCHO")*(MOVIMIENTOS!$C$5:$C$1005="Chancho")*(MOVIMIENTOS!$D$5:$D$1005="sacos")*(MOVIMIENTOS!$A$5:$A$1005&lt;&gt;"")*(MOVIMIENTOS!$A$5:$A$1005&lt;=$A279)*MOVIMIENTOS!$E$5:$E$1005)-SUMPRODUCT((MOVIMIENTOS!$B$5:$B$1005="REGALO")*(MOVIMIENTOS!$C$5:$C$1005="Chancho")*(MOVIMIENTOS!$D$5:$D$1005="sacos")*(MOVIMIENTOS!$A$5:$A$1005&lt;&gt;"")*(MOVIMIENTOS!$A$5:$A$1005&lt;=$A279)*MOVIMIENTOS!$E$5:$E$1005)-SUMPRODUCT((MOVIMIENTOS!$B$5:$B$1005="VENTA")*(MOVIMIENTOS!$C$5:$C$1005="Chancho")*(MOVIMIENTOS!$D$5:$D$1005="sacos")*(MOVIMIENTOS!$A$5:$A$1005&lt;&gt;"")*(MOVIMIENTOS!$A$5:$A$1005&lt;=$A279)*MOVIMIENTOS!$E$5:$E$1005)+SUMPRODUCT((MOVIMIENTOS!$B$5:$B$1005="AJUSTE")*(MOVIMIENTOS!$C$5:$C$1005="Chancho")*(MOVIMIENTOS!$D$5:$D$1005="sacos")*(MOVIMIENTOS!$A$5:$A$1005&lt;&gt;"")*(MOVIMIENTOS!$A$5:$A$1005&lt;=$A279)*MOVIMIENTOS!$E$5:$E$1005))</f>
        <v/>
      </c>
      <c r="G279" s="95" t="str">
        <f t="shared" si="9"/>
        <v/>
      </c>
      <c r="H279" s="63" t="str">
        <f>IF($A279="","",SUMPRODUCT((((MOVIMIENTOS!$B$5:$B$1005="SALDO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279)*MOVIMIENTOS!$J$5:$J$1005))</f>
        <v/>
      </c>
      <c r="I279" s="63"/>
      <c r="J279" s="63">
        <f>IF(AND(MOVIMIENTOS!$A278&lt;&gt;"",COUNTIF(MOVIMIENTOS!$A$5:$A277,MOVIMIENTOS!$A278)=0),COUNT(J$4:J278)+1,"")</f>
        <v>26</v>
      </c>
      <c r="K279" s="66">
        <f>MOVIMIENTOS!$A278</f>
        <v>46239</v>
      </c>
      <c r="L279" s="63"/>
      <c r="M279" s="63"/>
      <c r="N279" s="63"/>
    </row>
    <row r="280" spans="1:14" ht="15" customHeight="1" x14ac:dyDescent="0.2">
      <c r="A280" s="63" t="str">
        <f t="shared" si="8"/>
        <v/>
      </c>
      <c r="B280" s="63" t="str">
        <f>IF($A280="","",SUMPRODUCT((MOVIMIENTOS!$B$5:$B$1005="SALDO INICIAL")*(MOVIMIENTOS!$C$5:$C$1005="A")*(MOVIMIENTOS!$D$5:$D$1005="jabas")*(MOVIMIENTOS!$A$5:$A$1005&lt;&gt;"")*(MOVIMIENTOS!$A$5:$A$1005&lt;=$A280)*MOVIMIENTOS!$E$5:$E$1005)+SUMPRODUCT((MOVIMIENTOS!$B$5:$B$1005="PROCESO")*(MOVIMIENTOS!$C$5:$C$1005="A")*(MOVIMIENTOS!$D$5:$D$1005="jabas")*(MOVIMIENTOS!$A$5:$A$1005&lt;&gt;"")*(MOVIMIENTOS!$A$5:$A$1005&lt;=$A280)*MOVIMIENTOS!$E$5:$E$1005)-SUMPRODUCT((MOVIMIENTOS!$B$5:$B$1005="ENVÍO A SUPESA")*(MOVIMIENTOS!$C$5:$C$1005="A")*(MOVIMIENTOS!$D$5:$D$1005="jabas")*(MOVIMIENTOS!$A$5:$A$1005&lt;&gt;"")*(MOVIMIENTOS!$A$5:$A$1005&lt;=$A280)*MOVIMIENTOS!$E$5:$E$1005)+SUMPRODUCT((MOVIMIENTOS!$B$5:$B$1005="DEVOLUCIÓN")*(MOVIMIENTOS!$C$5:$C$1005="A")*(MOVIMIENTOS!$D$5:$D$1005="jabas")*(MOVIMIENTOS!$A$5:$A$1005&lt;&gt;"")*(MOVIMIENTOS!$A$5:$A$1005&lt;=$A280)*MOVIMIENTOS!$E$5:$E$1005)-SUMPRODUCT((MOVIMIENTOS!$B$5:$B$1005="TRASIEGO")*(MOVIMIENTOS!$C$5:$C$1005="A")*(MOVIMIENTOS!$D$5:$D$1005="jabas")*(MOVIMIENTOS!$A$5:$A$1005&lt;&gt;"")*(MOVIMIENTOS!$A$5:$A$1005&lt;=$A280)*MOVIMIENTOS!$E$5:$E$1005)-SUMPRODUCT((MOVIMIENTOS!$B$5:$B$1005="REGALO")*(MOVIMIENTOS!$C$5:$C$1005="A")*(MOVIMIENTOS!$D$5:$D$1005="jabas")*(MOVIMIENTOS!$A$5:$A$1005&lt;&gt;"")*(MOVIMIENTOS!$A$5:$A$1005&lt;=$A280)*MOVIMIENTOS!$E$5:$E$1005)-SUMPRODUCT((MOVIMIENTOS!$B$5:$B$1005="VENTA")*(MOVIMIENTOS!$C$5:$C$1005="A")*(MOVIMIENTOS!$D$5:$D$1005="jabas")*(MOVIMIENTOS!$A$5:$A$1005&lt;&gt;"")*(MOVIMIENTOS!$A$5:$A$1005&lt;=$A280)*MOVIMIENTOS!$E$5:$E$1005)+SUMPRODUCT((MOVIMIENTOS!$B$5:$B$1005="AJUSTE")*(MOVIMIENTOS!$C$5:$C$1005="A")*(MOVIMIENTOS!$D$5:$D$1005="jabas")*(MOVIMIENTOS!$A$5:$A$1005&lt;&gt;"")*(MOVIMIENTOS!$A$5:$A$1005&lt;=$A280)*MOVIMIENTOS!$E$5:$E$1005))</f>
        <v/>
      </c>
      <c r="C280" s="63" t="str">
        <f>IF($A280="","",SUMPRODUCT((MOVIMIENTOS!$B$5:$B$1005="SALDO INICIAL")*(MOVIMIENTOS!$C$5:$C$1005="P")*(MOVIMIENTOS!$D$5:$D$1005="jabas")*(MOVIMIENTOS!$A$5:$A$1005&lt;&gt;"")*(MOVIMIENTOS!$A$5:$A$1005&lt;=$A280)*MOVIMIENTOS!$E$5:$E$1005)+SUMPRODUCT((MOVIMIENTOS!$B$5:$B$1005="PROCESO")*(MOVIMIENTOS!$C$5:$C$1005="P")*(MOVIMIENTOS!$D$5:$D$1005="jabas")*(MOVIMIENTOS!$A$5:$A$1005&lt;&gt;"")*(MOVIMIENTOS!$A$5:$A$1005&lt;=$A280)*MOVIMIENTOS!$E$5:$E$1005)-SUMPRODUCT((MOVIMIENTOS!$B$5:$B$1005="ENVÍO A SUPESA")*(MOVIMIENTOS!$C$5:$C$1005="P")*(MOVIMIENTOS!$D$5:$D$1005="jabas")*(MOVIMIENTOS!$A$5:$A$1005&lt;&gt;"")*(MOVIMIENTOS!$A$5:$A$1005&lt;=$A280)*MOVIMIENTOS!$E$5:$E$1005)+SUMPRODUCT((MOVIMIENTOS!$B$5:$B$1005="DEVOLUCIÓN")*(MOVIMIENTOS!$C$5:$C$1005="P")*(MOVIMIENTOS!$D$5:$D$1005="jabas")*(MOVIMIENTOS!$A$5:$A$1005&lt;&gt;"")*(MOVIMIENTOS!$A$5:$A$1005&lt;=$A280)*MOVIMIENTOS!$E$5:$E$1005)-SUMPRODUCT((MOVIMIENTOS!$B$5:$B$1005="TRASIEGO")*(MOVIMIENTOS!$C$5:$C$1005="P")*(MOVIMIENTOS!$D$5:$D$1005="jabas")*(MOVIMIENTOS!$A$5:$A$1005&lt;&gt;"")*(MOVIMIENTOS!$A$5:$A$1005&lt;=$A280)*MOVIMIENTOS!$E$5:$E$1005)-SUMPRODUCT((MOVIMIENTOS!$B$5:$B$1005="REGALO")*(MOVIMIENTOS!$C$5:$C$1005="P")*(MOVIMIENTOS!$D$5:$D$1005="jabas")*(MOVIMIENTOS!$A$5:$A$1005&lt;&gt;"")*(MOVIMIENTOS!$A$5:$A$1005&lt;=$A280)*MOVIMIENTOS!$E$5:$E$1005)-SUMPRODUCT((MOVIMIENTOS!$B$5:$B$1005="VENTA")*(MOVIMIENTOS!$C$5:$C$1005="P")*(MOVIMIENTOS!$D$5:$D$1005="jabas")*(MOVIMIENTOS!$A$5:$A$1005&lt;&gt;"")*(MOVIMIENTOS!$A$5:$A$1005&lt;=$A280)*MOVIMIENTOS!$E$5:$E$1005)+SUMPRODUCT((MOVIMIENTOS!$B$5:$B$1005="AJUSTE")*(MOVIMIENTOS!$C$5:$C$1005="P")*(MOVIMIENTOS!$D$5:$D$1005="jabas")*(MOVIMIENTOS!$A$5:$A$1005&lt;&gt;"")*(MOVIMIENTOS!$A$5:$A$1005&lt;=$A280)*MOVIMIENTOS!$E$5:$E$1005))</f>
        <v/>
      </c>
      <c r="D280" s="63" t="str">
        <f>IF($A280="","",SUMPRODUCT((MOVIMIENTOS!$B$5:$B$1005="SALDO INICIAL")*(MOVIMIENTOS!$C$5:$C$1005="C")*(MOVIMIENTOS!$D$5:$D$1005="jabas")*(MOVIMIENTOS!$A$5:$A$1005&lt;&gt;"")*(MOVIMIENTOS!$A$5:$A$1005&lt;=$A280)*MOVIMIENTOS!$E$5:$E$1005)+SUMPRODUCT((MOVIMIENTOS!$B$5:$B$1005="PROCESO")*(MOVIMIENTOS!$C$5:$C$1005="C")*(MOVIMIENTOS!$D$5:$D$1005="jabas")*(MOVIMIENTOS!$A$5:$A$1005&lt;&gt;"")*(MOVIMIENTOS!$A$5:$A$1005&lt;=$A280)*MOVIMIENTOS!$E$5:$E$1005)-SUMPRODUCT((MOVIMIENTOS!$B$5:$B$1005="ENVÍO A SUPESA")*(MOVIMIENTOS!$C$5:$C$1005="C")*(MOVIMIENTOS!$D$5:$D$1005="jabas")*(MOVIMIENTOS!$A$5:$A$1005&lt;&gt;"")*(MOVIMIENTOS!$A$5:$A$1005&lt;=$A280)*MOVIMIENTOS!$E$5:$E$1005)+SUMPRODUCT((MOVIMIENTOS!$B$5:$B$1005="DEVOLUCIÓN")*(MOVIMIENTOS!$C$5:$C$1005="C")*(MOVIMIENTOS!$D$5:$D$1005="jabas")*(MOVIMIENTOS!$A$5:$A$1005&lt;&gt;"")*(MOVIMIENTOS!$A$5:$A$1005&lt;=$A280)*MOVIMIENTOS!$E$5:$E$1005)-SUMPRODUCT((MOVIMIENTOS!$B$5:$B$1005="TRASIEGO")*(MOVIMIENTOS!$C$5:$C$1005="C")*(MOVIMIENTOS!$D$5:$D$1005="jabas")*(MOVIMIENTOS!$A$5:$A$1005&lt;&gt;"")*(MOVIMIENTOS!$A$5:$A$1005&lt;=$A280)*MOVIMIENTOS!$E$5:$E$1005)-SUMPRODUCT((MOVIMIENTOS!$B$5:$B$1005="REGALO")*(MOVIMIENTOS!$C$5:$C$1005="C")*(MOVIMIENTOS!$D$5:$D$1005="jabas")*(MOVIMIENTOS!$A$5:$A$1005&lt;&gt;"")*(MOVIMIENTOS!$A$5:$A$1005&lt;=$A280)*MOVIMIENTOS!$E$5:$E$1005)-SUMPRODUCT((MOVIMIENTOS!$B$5:$B$1005="VENTA")*(MOVIMIENTOS!$C$5:$C$1005="C")*(MOVIMIENTOS!$D$5:$D$1005="jabas")*(MOVIMIENTOS!$A$5:$A$1005&lt;&gt;"")*(MOVIMIENTOS!$A$5:$A$1005&lt;=$A280)*MOVIMIENTOS!$E$5:$E$1005)+SUMPRODUCT((MOVIMIENTOS!$B$5:$B$1005="AJUSTE")*(MOVIMIENTOS!$C$5:$C$1005="C")*(MOVIMIENTOS!$D$5:$D$1005="jabas")*(MOVIMIENTOS!$A$5:$A$1005&lt;&gt;"")*(MOVIMIENTOS!$A$5:$A$1005&lt;=$A280)*MOVIMIENTOS!$E$5:$E$1005))</f>
        <v/>
      </c>
      <c r="E280" s="63" t="str">
        <f>IF($A280="","",SUMPRODUCT((MOVIMIENTOS!$B$5:$B$1005="SALDO INICIAL")*(MOVIMIENTOS!$C$5:$C$1005="M")*(MOVIMIENTOS!$D$5:$D$1005="jabas")*(MOVIMIENTOS!$A$5:$A$1005&lt;&gt;"")*(MOVIMIENTOS!$A$5:$A$1005&lt;=$A280)*MOVIMIENTOS!$E$5:$E$1005)+SUMPRODUCT((MOVIMIENTOS!$B$5:$B$1005="PROCESO")*(MOVIMIENTOS!$C$5:$C$1005="M")*(MOVIMIENTOS!$D$5:$D$1005="jabas")*(MOVIMIENTOS!$A$5:$A$1005&lt;&gt;"")*(MOVIMIENTOS!$A$5:$A$1005&lt;=$A280)*MOVIMIENTOS!$E$5:$E$1005)-SUMPRODUCT((MOVIMIENTOS!$B$5:$B$1005="ENVÍO A SUPESA")*(MOVIMIENTOS!$C$5:$C$1005="M")*(MOVIMIENTOS!$D$5:$D$1005="jabas")*(MOVIMIENTOS!$A$5:$A$1005&lt;&gt;"")*(MOVIMIENTOS!$A$5:$A$1005&lt;=$A280)*MOVIMIENTOS!$E$5:$E$1005)+SUMPRODUCT((MOVIMIENTOS!$B$5:$B$1005="DEVOLUCIÓN")*(MOVIMIENTOS!$C$5:$C$1005="M")*(MOVIMIENTOS!$D$5:$D$1005="jabas")*(MOVIMIENTOS!$A$5:$A$1005&lt;&gt;"")*(MOVIMIENTOS!$A$5:$A$1005&lt;=$A280)*MOVIMIENTOS!$E$5:$E$1005)-SUMPRODUCT((MOVIMIENTOS!$B$5:$B$1005="TRASIEGO")*(MOVIMIENTOS!$C$5:$C$1005="M")*(MOVIMIENTOS!$D$5:$D$1005="jabas")*(MOVIMIENTOS!$A$5:$A$1005&lt;&gt;"")*(MOVIMIENTOS!$A$5:$A$1005&lt;=$A280)*MOVIMIENTOS!$E$5:$E$1005)-SUMPRODUCT((MOVIMIENTOS!$B$5:$B$1005="REGALO")*(MOVIMIENTOS!$C$5:$C$1005="M")*(MOVIMIENTOS!$D$5:$D$1005="jabas")*(MOVIMIENTOS!$A$5:$A$1005&lt;&gt;"")*(MOVIMIENTOS!$A$5:$A$1005&lt;=$A280)*MOVIMIENTOS!$E$5:$E$1005)-SUMPRODUCT((MOVIMIENTOS!$B$5:$B$1005="VENTA")*(MOVIMIENTOS!$C$5:$C$1005="M")*(MOVIMIENTOS!$D$5:$D$1005="jabas")*(MOVIMIENTOS!$A$5:$A$1005&lt;&gt;"")*(MOVIMIENTOS!$A$5:$A$1005&lt;=$A280)*MOVIMIENTOS!$E$5:$E$1005)+SUMPRODUCT((MOVIMIENTOS!$B$5:$B$1005="AJUSTE")*(MOVIMIENTOS!$C$5:$C$1005="M")*(MOVIMIENTOS!$D$5:$D$1005="jabas")*(MOVIMIENTOS!$A$5:$A$1005&lt;&gt;"")*(MOVIMIENTOS!$A$5:$A$1005&lt;=$A280)*MOVIMIENTOS!$E$5:$E$1005))</f>
        <v/>
      </c>
      <c r="F280" s="63" t="str">
        <f>IF($A280="","",SUMPRODUCT((MOVIMIENTOS!$B$5:$B$1005="SALDO INICIAL")*(MOVIMIENTOS!$C$5:$C$1005="Chancho")*(MOVIMIENTOS!$D$5:$D$1005="sacos")*(MOVIMIENTOS!$A$5:$A$1005&lt;&gt;"")*(MOVIMIENTOS!$A$5:$A$1005&lt;=$A280)*MOVIMIENTOS!$E$5:$E$1005)+SUMPRODUCT((MOVIMIENTOS!$B$5:$B$1005="PROCESO")*(MOVIMIENTOS!$C$5:$C$1005="Chancho")*(MOVIMIENTOS!$D$5:$D$1005="sacos")*(MOVIMIENTOS!$A$5:$A$1005&lt;&gt;"")*(MOVIMIENTOS!$A$5:$A$1005&lt;=$A280)*MOVIMIENTOS!$E$5:$E$1005)-SUMPRODUCT((MOVIMIENTOS!$B$5:$B$1005="VENTA CHANCHO")*(MOVIMIENTOS!$C$5:$C$1005="Chancho")*(MOVIMIENTOS!$D$5:$D$1005="sacos")*(MOVIMIENTOS!$A$5:$A$1005&lt;&gt;"")*(MOVIMIENTOS!$A$5:$A$1005&lt;=$A280)*MOVIMIENTOS!$E$5:$E$1005)-SUMPRODUCT((MOVIMIENTOS!$B$5:$B$1005="REGALO")*(MOVIMIENTOS!$C$5:$C$1005="Chancho")*(MOVIMIENTOS!$D$5:$D$1005="sacos")*(MOVIMIENTOS!$A$5:$A$1005&lt;&gt;"")*(MOVIMIENTOS!$A$5:$A$1005&lt;=$A280)*MOVIMIENTOS!$E$5:$E$1005)-SUMPRODUCT((MOVIMIENTOS!$B$5:$B$1005="VENTA")*(MOVIMIENTOS!$C$5:$C$1005="Chancho")*(MOVIMIENTOS!$D$5:$D$1005="sacos")*(MOVIMIENTOS!$A$5:$A$1005&lt;&gt;"")*(MOVIMIENTOS!$A$5:$A$1005&lt;=$A280)*MOVIMIENTOS!$E$5:$E$1005)+SUMPRODUCT((MOVIMIENTOS!$B$5:$B$1005="AJUSTE")*(MOVIMIENTOS!$C$5:$C$1005="Chancho")*(MOVIMIENTOS!$D$5:$D$1005="sacos")*(MOVIMIENTOS!$A$5:$A$1005&lt;&gt;"")*(MOVIMIENTOS!$A$5:$A$1005&lt;=$A280)*MOVIMIENTOS!$E$5:$E$1005))</f>
        <v/>
      </c>
      <c r="G280" s="95" t="str">
        <f t="shared" si="9"/>
        <v/>
      </c>
      <c r="H280" s="63" t="str">
        <f>IF($A280="","",SUMPRODUCT((((MOVIMIENTOS!$B$5:$B$1005="SALDO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280)*MOVIMIENTOS!$J$5:$J$1005))</f>
        <v/>
      </c>
      <c r="I280" s="63"/>
      <c r="J280" s="63" t="str">
        <f>IF(AND(MOVIMIENTOS!$A279&lt;&gt;"",COUNTIF(MOVIMIENTOS!$A$5:$A278,MOVIMIENTOS!$A279)=0),COUNT(J$4:J279)+1,"")</f>
        <v/>
      </c>
      <c r="K280" s="66">
        <f>MOVIMIENTOS!$A279</f>
        <v>46239</v>
      </c>
      <c r="L280" s="63"/>
      <c r="M280" s="63"/>
      <c r="N280" s="63"/>
    </row>
    <row r="281" spans="1:14" ht="15" customHeight="1" x14ac:dyDescent="0.2">
      <c r="A281" s="63" t="str">
        <f t="shared" si="8"/>
        <v/>
      </c>
      <c r="B281" s="63" t="str">
        <f>IF($A281="","",SUMPRODUCT((MOVIMIENTOS!$B$5:$B$1005="SALDO INICIAL")*(MOVIMIENTOS!$C$5:$C$1005="A")*(MOVIMIENTOS!$D$5:$D$1005="jabas")*(MOVIMIENTOS!$A$5:$A$1005&lt;&gt;"")*(MOVIMIENTOS!$A$5:$A$1005&lt;=$A281)*MOVIMIENTOS!$E$5:$E$1005)+SUMPRODUCT((MOVIMIENTOS!$B$5:$B$1005="PROCESO")*(MOVIMIENTOS!$C$5:$C$1005="A")*(MOVIMIENTOS!$D$5:$D$1005="jabas")*(MOVIMIENTOS!$A$5:$A$1005&lt;&gt;"")*(MOVIMIENTOS!$A$5:$A$1005&lt;=$A281)*MOVIMIENTOS!$E$5:$E$1005)-SUMPRODUCT((MOVIMIENTOS!$B$5:$B$1005="ENVÍO A SUPESA")*(MOVIMIENTOS!$C$5:$C$1005="A")*(MOVIMIENTOS!$D$5:$D$1005="jabas")*(MOVIMIENTOS!$A$5:$A$1005&lt;&gt;"")*(MOVIMIENTOS!$A$5:$A$1005&lt;=$A281)*MOVIMIENTOS!$E$5:$E$1005)+SUMPRODUCT((MOVIMIENTOS!$B$5:$B$1005="DEVOLUCIÓN")*(MOVIMIENTOS!$C$5:$C$1005="A")*(MOVIMIENTOS!$D$5:$D$1005="jabas")*(MOVIMIENTOS!$A$5:$A$1005&lt;&gt;"")*(MOVIMIENTOS!$A$5:$A$1005&lt;=$A281)*MOVIMIENTOS!$E$5:$E$1005)-SUMPRODUCT((MOVIMIENTOS!$B$5:$B$1005="TRASIEGO")*(MOVIMIENTOS!$C$5:$C$1005="A")*(MOVIMIENTOS!$D$5:$D$1005="jabas")*(MOVIMIENTOS!$A$5:$A$1005&lt;&gt;"")*(MOVIMIENTOS!$A$5:$A$1005&lt;=$A281)*MOVIMIENTOS!$E$5:$E$1005)-SUMPRODUCT((MOVIMIENTOS!$B$5:$B$1005="REGALO")*(MOVIMIENTOS!$C$5:$C$1005="A")*(MOVIMIENTOS!$D$5:$D$1005="jabas")*(MOVIMIENTOS!$A$5:$A$1005&lt;&gt;"")*(MOVIMIENTOS!$A$5:$A$1005&lt;=$A281)*MOVIMIENTOS!$E$5:$E$1005)-SUMPRODUCT((MOVIMIENTOS!$B$5:$B$1005="VENTA")*(MOVIMIENTOS!$C$5:$C$1005="A")*(MOVIMIENTOS!$D$5:$D$1005="jabas")*(MOVIMIENTOS!$A$5:$A$1005&lt;&gt;"")*(MOVIMIENTOS!$A$5:$A$1005&lt;=$A281)*MOVIMIENTOS!$E$5:$E$1005)+SUMPRODUCT((MOVIMIENTOS!$B$5:$B$1005="AJUSTE")*(MOVIMIENTOS!$C$5:$C$1005="A")*(MOVIMIENTOS!$D$5:$D$1005="jabas")*(MOVIMIENTOS!$A$5:$A$1005&lt;&gt;"")*(MOVIMIENTOS!$A$5:$A$1005&lt;=$A281)*MOVIMIENTOS!$E$5:$E$1005))</f>
        <v/>
      </c>
      <c r="C281" s="63" t="str">
        <f>IF($A281="","",SUMPRODUCT((MOVIMIENTOS!$B$5:$B$1005="SALDO INICIAL")*(MOVIMIENTOS!$C$5:$C$1005="P")*(MOVIMIENTOS!$D$5:$D$1005="jabas")*(MOVIMIENTOS!$A$5:$A$1005&lt;&gt;"")*(MOVIMIENTOS!$A$5:$A$1005&lt;=$A281)*MOVIMIENTOS!$E$5:$E$1005)+SUMPRODUCT((MOVIMIENTOS!$B$5:$B$1005="PROCESO")*(MOVIMIENTOS!$C$5:$C$1005="P")*(MOVIMIENTOS!$D$5:$D$1005="jabas")*(MOVIMIENTOS!$A$5:$A$1005&lt;&gt;"")*(MOVIMIENTOS!$A$5:$A$1005&lt;=$A281)*MOVIMIENTOS!$E$5:$E$1005)-SUMPRODUCT((MOVIMIENTOS!$B$5:$B$1005="ENVÍO A SUPESA")*(MOVIMIENTOS!$C$5:$C$1005="P")*(MOVIMIENTOS!$D$5:$D$1005="jabas")*(MOVIMIENTOS!$A$5:$A$1005&lt;&gt;"")*(MOVIMIENTOS!$A$5:$A$1005&lt;=$A281)*MOVIMIENTOS!$E$5:$E$1005)+SUMPRODUCT((MOVIMIENTOS!$B$5:$B$1005="DEVOLUCIÓN")*(MOVIMIENTOS!$C$5:$C$1005="P")*(MOVIMIENTOS!$D$5:$D$1005="jabas")*(MOVIMIENTOS!$A$5:$A$1005&lt;&gt;"")*(MOVIMIENTOS!$A$5:$A$1005&lt;=$A281)*MOVIMIENTOS!$E$5:$E$1005)-SUMPRODUCT((MOVIMIENTOS!$B$5:$B$1005="TRASIEGO")*(MOVIMIENTOS!$C$5:$C$1005="P")*(MOVIMIENTOS!$D$5:$D$1005="jabas")*(MOVIMIENTOS!$A$5:$A$1005&lt;&gt;"")*(MOVIMIENTOS!$A$5:$A$1005&lt;=$A281)*MOVIMIENTOS!$E$5:$E$1005)-SUMPRODUCT((MOVIMIENTOS!$B$5:$B$1005="REGALO")*(MOVIMIENTOS!$C$5:$C$1005="P")*(MOVIMIENTOS!$D$5:$D$1005="jabas")*(MOVIMIENTOS!$A$5:$A$1005&lt;&gt;"")*(MOVIMIENTOS!$A$5:$A$1005&lt;=$A281)*MOVIMIENTOS!$E$5:$E$1005)-SUMPRODUCT((MOVIMIENTOS!$B$5:$B$1005="VENTA")*(MOVIMIENTOS!$C$5:$C$1005="P")*(MOVIMIENTOS!$D$5:$D$1005="jabas")*(MOVIMIENTOS!$A$5:$A$1005&lt;&gt;"")*(MOVIMIENTOS!$A$5:$A$1005&lt;=$A281)*MOVIMIENTOS!$E$5:$E$1005)+SUMPRODUCT((MOVIMIENTOS!$B$5:$B$1005="AJUSTE")*(MOVIMIENTOS!$C$5:$C$1005="P")*(MOVIMIENTOS!$D$5:$D$1005="jabas")*(MOVIMIENTOS!$A$5:$A$1005&lt;&gt;"")*(MOVIMIENTOS!$A$5:$A$1005&lt;=$A281)*MOVIMIENTOS!$E$5:$E$1005))</f>
        <v/>
      </c>
      <c r="D281" s="63" t="str">
        <f>IF($A281="","",SUMPRODUCT((MOVIMIENTOS!$B$5:$B$1005="SALDO INICIAL")*(MOVIMIENTOS!$C$5:$C$1005="C")*(MOVIMIENTOS!$D$5:$D$1005="jabas")*(MOVIMIENTOS!$A$5:$A$1005&lt;&gt;"")*(MOVIMIENTOS!$A$5:$A$1005&lt;=$A281)*MOVIMIENTOS!$E$5:$E$1005)+SUMPRODUCT((MOVIMIENTOS!$B$5:$B$1005="PROCESO")*(MOVIMIENTOS!$C$5:$C$1005="C")*(MOVIMIENTOS!$D$5:$D$1005="jabas")*(MOVIMIENTOS!$A$5:$A$1005&lt;&gt;"")*(MOVIMIENTOS!$A$5:$A$1005&lt;=$A281)*MOVIMIENTOS!$E$5:$E$1005)-SUMPRODUCT((MOVIMIENTOS!$B$5:$B$1005="ENVÍO A SUPESA")*(MOVIMIENTOS!$C$5:$C$1005="C")*(MOVIMIENTOS!$D$5:$D$1005="jabas")*(MOVIMIENTOS!$A$5:$A$1005&lt;&gt;"")*(MOVIMIENTOS!$A$5:$A$1005&lt;=$A281)*MOVIMIENTOS!$E$5:$E$1005)+SUMPRODUCT((MOVIMIENTOS!$B$5:$B$1005="DEVOLUCIÓN")*(MOVIMIENTOS!$C$5:$C$1005="C")*(MOVIMIENTOS!$D$5:$D$1005="jabas")*(MOVIMIENTOS!$A$5:$A$1005&lt;&gt;"")*(MOVIMIENTOS!$A$5:$A$1005&lt;=$A281)*MOVIMIENTOS!$E$5:$E$1005)-SUMPRODUCT((MOVIMIENTOS!$B$5:$B$1005="TRASIEGO")*(MOVIMIENTOS!$C$5:$C$1005="C")*(MOVIMIENTOS!$D$5:$D$1005="jabas")*(MOVIMIENTOS!$A$5:$A$1005&lt;&gt;"")*(MOVIMIENTOS!$A$5:$A$1005&lt;=$A281)*MOVIMIENTOS!$E$5:$E$1005)-SUMPRODUCT((MOVIMIENTOS!$B$5:$B$1005="REGALO")*(MOVIMIENTOS!$C$5:$C$1005="C")*(MOVIMIENTOS!$D$5:$D$1005="jabas")*(MOVIMIENTOS!$A$5:$A$1005&lt;&gt;"")*(MOVIMIENTOS!$A$5:$A$1005&lt;=$A281)*MOVIMIENTOS!$E$5:$E$1005)-SUMPRODUCT((MOVIMIENTOS!$B$5:$B$1005="VENTA")*(MOVIMIENTOS!$C$5:$C$1005="C")*(MOVIMIENTOS!$D$5:$D$1005="jabas")*(MOVIMIENTOS!$A$5:$A$1005&lt;&gt;"")*(MOVIMIENTOS!$A$5:$A$1005&lt;=$A281)*MOVIMIENTOS!$E$5:$E$1005)+SUMPRODUCT((MOVIMIENTOS!$B$5:$B$1005="AJUSTE")*(MOVIMIENTOS!$C$5:$C$1005="C")*(MOVIMIENTOS!$D$5:$D$1005="jabas")*(MOVIMIENTOS!$A$5:$A$1005&lt;&gt;"")*(MOVIMIENTOS!$A$5:$A$1005&lt;=$A281)*MOVIMIENTOS!$E$5:$E$1005))</f>
        <v/>
      </c>
      <c r="E281" s="63" t="str">
        <f>IF($A281="","",SUMPRODUCT((MOVIMIENTOS!$B$5:$B$1005="SALDO INICIAL")*(MOVIMIENTOS!$C$5:$C$1005="M")*(MOVIMIENTOS!$D$5:$D$1005="jabas")*(MOVIMIENTOS!$A$5:$A$1005&lt;&gt;"")*(MOVIMIENTOS!$A$5:$A$1005&lt;=$A281)*MOVIMIENTOS!$E$5:$E$1005)+SUMPRODUCT((MOVIMIENTOS!$B$5:$B$1005="PROCESO")*(MOVIMIENTOS!$C$5:$C$1005="M")*(MOVIMIENTOS!$D$5:$D$1005="jabas")*(MOVIMIENTOS!$A$5:$A$1005&lt;&gt;"")*(MOVIMIENTOS!$A$5:$A$1005&lt;=$A281)*MOVIMIENTOS!$E$5:$E$1005)-SUMPRODUCT((MOVIMIENTOS!$B$5:$B$1005="ENVÍO A SUPESA")*(MOVIMIENTOS!$C$5:$C$1005="M")*(MOVIMIENTOS!$D$5:$D$1005="jabas")*(MOVIMIENTOS!$A$5:$A$1005&lt;&gt;"")*(MOVIMIENTOS!$A$5:$A$1005&lt;=$A281)*MOVIMIENTOS!$E$5:$E$1005)+SUMPRODUCT((MOVIMIENTOS!$B$5:$B$1005="DEVOLUCIÓN")*(MOVIMIENTOS!$C$5:$C$1005="M")*(MOVIMIENTOS!$D$5:$D$1005="jabas")*(MOVIMIENTOS!$A$5:$A$1005&lt;&gt;"")*(MOVIMIENTOS!$A$5:$A$1005&lt;=$A281)*MOVIMIENTOS!$E$5:$E$1005)-SUMPRODUCT((MOVIMIENTOS!$B$5:$B$1005="TRASIEGO")*(MOVIMIENTOS!$C$5:$C$1005="M")*(MOVIMIENTOS!$D$5:$D$1005="jabas")*(MOVIMIENTOS!$A$5:$A$1005&lt;&gt;"")*(MOVIMIENTOS!$A$5:$A$1005&lt;=$A281)*MOVIMIENTOS!$E$5:$E$1005)-SUMPRODUCT((MOVIMIENTOS!$B$5:$B$1005="REGALO")*(MOVIMIENTOS!$C$5:$C$1005="M")*(MOVIMIENTOS!$D$5:$D$1005="jabas")*(MOVIMIENTOS!$A$5:$A$1005&lt;&gt;"")*(MOVIMIENTOS!$A$5:$A$1005&lt;=$A281)*MOVIMIENTOS!$E$5:$E$1005)-SUMPRODUCT((MOVIMIENTOS!$B$5:$B$1005="VENTA")*(MOVIMIENTOS!$C$5:$C$1005="M")*(MOVIMIENTOS!$D$5:$D$1005="jabas")*(MOVIMIENTOS!$A$5:$A$1005&lt;&gt;"")*(MOVIMIENTOS!$A$5:$A$1005&lt;=$A281)*MOVIMIENTOS!$E$5:$E$1005)+SUMPRODUCT((MOVIMIENTOS!$B$5:$B$1005="AJUSTE")*(MOVIMIENTOS!$C$5:$C$1005="M")*(MOVIMIENTOS!$D$5:$D$1005="jabas")*(MOVIMIENTOS!$A$5:$A$1005&lt;&gt;"")*(MOVIMIENTOS!$A$5:$A$1005&lt;=$A281)*MOVIMIENTOS!$E$5:$E$1005))</f>
        <v/>
      </c>
      <c r="F281" s="63" t="str">
        <f>IF($A281="","",SUMPRODUCT((MOVIMIENTOS!$B$5:$B$1005="SALDO INICIAL")*(MOVIMIENTOS!$C$5:$C$1005="Chancho")*(MOVIMIENTOS!$D$5:$D$1005="sacos")*(MOVIMIENTOS!$A$5:$A$1005&lt;&gt;"")*(MOVIMIENTOS!$A$5:$A$1005&lt;=$A281)*MOVIMIENTOS!$E$5:$E$1005)+SUMPRODUCT((MOVIMIENTOS!$B$5:$B$1005="PROCESO")*(MOVIMIENTOS!$C$5:$C$1005="Chancho")*(MOVIMIENTOS!$D$5:$D$1005="sacos")*(MOVIMIENTOS!$A$5:$A$1005&lt;&gt;"")*(MOVIMIENTOS!$A$5:$A$1005&lt;=$A281)*MOVIMIENTOS!$E$5:$E$1005)-SUMPRODUCT((MOVIMIENTOS!$B$5:$B$1005="VENTA CHANCHO")*(MOVIMIENTOS!$C$5:$C$1005="Chancho")*(MOVIMIENTOS!$D$5:$D$1005="sacos")*(MOVIMIENTOS!$A$5:$A$1005&lt;&gt;"")*(MOVIMIENTOS!$A$5:$A$1005&lt;=$A281)*MOVIMIENTOS!$E$5:$E$1005)-SUMPRODUCT((MOVIMIENTOS!$B$5:$B$1005="REGALO")*(MOVIMIENTOS!$C$5:$C$1005="Chancho")*(MOVIMIENTOS!$D$5:$D$1005="sacos")*(MOVIMIENTOS!$A$5:$A$1005&lt;&gt;"")*(MOVIMIENTOS!$A$5:$A$1005&lt;=$A281)*MOVIMIENTOS!$E$5:$E$1005)-SUMPRODUCT((MOVIMIENTOS!$B$5:$B$1005="VENTA")*(MOVIMIENTOS!$C$5:$C$1005="Chancho")*(MOVIMIENTOS!$D$5:$D$1005="sacos")*(MOVIMIENTOS!$A$5:$A$1005&lt;&gt;"")*(MOVIMIENTOS!$A$5:$A$1005&lt;=$A281)*MOVIMIENTOS!$E$5:$E$1005)+SUMPRODUCT((MOVIMIENTOS!$B$5:$B$1005="AJUSTE")*(MOVIMIENTOS!$C$5:$C$1005="Chancho")*(MOVIMIENTOS!$D$5:$D$1005="sacos")*(MOVIMIENTOS!$A$5:$A$1005&lt;&gt;"")*(MOVIMIENTOS!$A$5:$A$1005&lt;=$A281)*MOVIMIENTOS!$E$5:$E$1005))</f>
        <v/>
      </c>
      <c r="G281" s="95" t="str">
        <f t="shared" si="9"/>
        <v/>
      </c>
      <c r="H281" s="63" t="str">
        <f>IF($A281="","",SUMPRODUCT((((MOVIMIENTOS!$B$5:$B$1005="SALDO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281)*MOVIMIENTOS!$J$5:$J$1005))</f>
        <v/>
      </c>
      <c r="I281" s="63"/>
      <c r="J281" s="63" t="str">
        <f>IF(AND(MOVIMIENTOS!$A280&lt;&gt;"",COUNTIF(MOVIMIENTOS!$A$5:$A279,MOVIMIENTOS!$A280)=0),COUNT(J$4:J280)+1,"")</f>
        <v/>
      </c>
      <c r="K281" s="66">
        <f>MOVIMIENTOS!$A280</f>
        <v>46239</v>
      </c>
      <c r="L281" s="63"/>
      <c r="M281" s="63"/>
      <c r="N281" s="63"/>
    </row>
    <row r="282" spans="1:14" ht="15" customHeight="1" x14ac:dyDescent="0.2">
      <c r="A282" s="63" t="str">
        <f t="shared" si="8"/>
        <v/>
      </c>
      <c r="B282" s="63" t="str">
        <f>IF($A282="","",SUMPRODUCT((MOVIMIENTOS!$B$5:$B$1005="SALDO INICIAL")*(MOVIMIENTOS!$C$5:$C$1005="A")*(MOVIMIENTOS!$D$5:$D$1005="jabas")*(MOVIMIENTOS!$A$5:$A$1005&lt;&gt;"")*(MOVIMIENTOS!$A$5:$A$1005&lt;=$A282)*MOVIMIENTOS!$E$5:$E$1005)+SUMPRODUCT((MOVIMIENTOS!$B$5:$B$1005="PROCESO")*(MOVIMIENTOS!$C$5:$C$1005="A")*(MOVIMIENTOS!$D$5:$D$1005="jabas")*(MOVIMIENTOS!$A$5:$A$1005&lt;&gt;"")*(MOVIMIENTOS!$A$5:$A$1005&lt;=$A282)*MOVIMIENTOS!$E$5:$E$1005)-SUMPRODUCT((MOVIMIENTOS!$B$5:$B$1005="ENVÍO A SUPESA")*(MOVIMIENTOS!$C$5:$C$1005="A")*(MOVIMIENTOS!$D$5:$D$1005="jabas")*(MOVIMIENTOS!$A$5:$A$1005&lt;&gt;"")*(MOVIMIENTOS!$A$5:$A$1005&lt;=$A282)*MOVIMIENTOS!$E$5:$E$1005)+SUMPRODUCT((MOVIMIENTOS!$B$5:$B$1005="DEVOLUCIÓN")*(MOVIMIENTOS!$C$5:$C$1005="A")*(MOVIMIENTOS!$D$5:$D$1005="jabas")*(MOVIMIENTOS!$A$5:$A$1005&lt;&gt;"")*(MOVIMIENTOS!$A$5:$A$1005&lt;=$A282)*MOVIMIENTOS!$E$5:$E$1005)-SUMPRODUCT((MOVIMIENTOS!$B$5:$B$1005="TRASIEGO")*(MOVIMIENTOS!$C$5:$C$1005="A")*(MOVIMIENTOS!$D$5:$D$1005="jabas")*(MOVIMIENTOS!$A$5:$A$1005&lt;&gt;"")*(MOVIMIENTOS!$A$5:$A$1005&lt;=$A282)*MOVIMIENTOS!$E$5:$E$1005)-SUMPRODUCT((MOVIMIENTOS!$B$5:$B$1005="REGALO")*(MOVIMIENTOS!$C$5:$C$1005="A")*(MOVIMIENTOS!$D$5:$D$1005="jabas")*(MOVIMIENTOS!$A$5:$A$1005&lt;&gt;"")*(MOVIMIENTOS!$A$5:$A$1005&lt;=$A282)*MOVIMIENTOS!$E$5:$E$1005)-SUMPRODUCT((MOVIMIENTOS!$B$5:$B$1005="VENTA")*(MOVIMIENTOS!$C$5:$C$1005="A")*(MOVIMIENTOS!$D$5:$D$1005="jabas")*(MOVIMIENTOS!$A$5:$A$1005&lt;&gt;"")*(MOVIMIENTOS!$A$5:$A$1005&lt;=$A282)*MOVIMIENTOS!$E$5:$E$1005)+SUMPRODUCT((MOVIMIENTOS!$B$5:$B$1005="AJUSTE")*(MOVIMIENTOS!$C$5:$C$1005="A")*(MOVIMIENTOS!$D$5:$D$1005="jabas")*(MOVIMIENTOS!$A$5:$A$1005&lt;&gt;"")*(MOVIMIENTOS!$A$5:$A$1005&lt;=$A282)*MOVIMIENTOS!$E$5:$E$1005))</f>
        <v/>
      </c>
      <c r="C282" s="63" t="str">
        <f>IF($A282="","",SUMPRODUCT((MOVIMIENTOS!$B$5:$B$1005="SALDO INICIAL")*(MOVIMIENTOS!$C$5:$C$1005="P")*(MOVIMIENTOS!$D$5:$D$1005="jabas")*(MOVIMIENTOS!$A$5:$A$1005&lt;&gt;"")*(MOVIMIENTOS!$A$5:$A$1005&lt;=$A282)*MOVIMIENTOS!$E$5:$E$1005)+SUMPRODUCT((MOVIMIENTOS!$B$5:$B$1005="PROCESO")*(MOVIMIENTOS!$C$5:$C$1005="P")*(MOVIMIENTOS!$D$5:$D$1005="jabas")*(MOVIMIENTOS!$A$5:$A$1005&lt;&gt;"")*(MOVIMIENTOS!$A$5:$A$1005&lt;=$A282)*MOVIMIENTOS!$E$5:$E$1005)-SUMPRODUCT((MOVIMIENTOS!$B$5:$B$1005="ENVÍO A SUPESA")*(MOVIMIENTOS!$C$5:$C$1005="P")*(MOVIMIENTOS!$D$5:$D$1005="jabas")*(MOVIMIENTOS!$A$5:$A$1005&lt;&gt;"")*(MOVIMIENTOS!$A$5:$A$1005&lt;=$A282)*MOVIMIENTOS!$E$5:$E$1005)+SUMPRODUCT((MOVIMIENTOS!$B$5:$B$1005="DEVOLUCIÓN")*(MOVIMIENTOS!$C$5:$C$1005="P")*(MOVIMIENTOS!$D$5:$D$1005="jabas")*(MOVIMIENTOS!$A$5:$A$1005&lt;&gt;"")*(MOVIMIENTOS!$A$5:$A$1005&lt;=$A282)*MOVIMIENTOS!$E$5:$E$1005)-SUMPRODUCT((MOVIMIENTOS!$B$5:$B$1005="TRASIEGO")*(MOVIMIENTOS!$C$5:$C$1005="P")*(MOVIMIENTOS!$D$5:$D$1005="jabas")*(MOVIMIENTOS!$A$5:$A$1005&lt;&gt;"")*(MOVIMIENTOS!$A$5:$A$1005&lt;=$A282)*MOVIMIENTOS!$E$5:$E$1005)-SUMPRODUCT((MOVIMIENTOS!$B$5:$B$1005="REGALO")*(MOVIMIENTOS!$C$5:$C$1005="P")*(MOVIMIENTOS!$D$5:$D$1005="jabas")*(MOVIMIENTOS!$A$5:$A$1005&lt;&gt;"")*(MOVIMIENTOS!$A$5:$A$1005&lt;=$A282)*MOVIMIENTOS!$E$5:$E$1005)-SUMPRODUCT((MOVIMIENTOS!$B$5:$B$1005="VENTA")*(MOVIMIENTOS!$C$5:$C$1005="P")*(MOVIMIENTOS!$D$5:$D$1005="jabas")*(MOVIMIENTOS!$A$5:$A$1005&lt;&gt;"")*(MOVIMIENTOS!$A$5:$A$1005&lt;=$A282)*MOVIMIENTOS!$E$5:$E$1005)+SUMPRODUCT((MOVIMIENTOS!$B$5:$B$1005="AJUSTE")*(MOVIMIENTOS!$C$5:$C$1005="P")*(MOVIMIENTOS!$D$5:$D$1005="jabas")*(MOVIMIENTOS!$A$5:$A$1005&lt;&gt;"")*(MOVIMIENTOS!$A$5:$A$1005&lt;=$A282)*MOVIMIENTOS!$E$5:$E$1005))</f>
        <v/>
      </c>
      <c r="D282" s="63" t="str">
        <f>IF($A282="","",SUMPRODUCT((MOVIMIENTOS!$B$5:$B$1005="SALDO INICIAL")*(MOVIMIENTOS!$C$5:$C$1005="C")*(MOVIMIENTOS!$D$5:$D$1005="jabas")*(MOVIMIENTOS!$A$5:$A$1005&lt;&gt;"")*(MOVIMIENTOS!$A$5:$A$1005&lt;=$A282)*MOVIMIENTOS!$E$5:$E$1005)+SUMPRODUCT((MOVIMIENTOS!$B$5:$B$1005="PROCESO")*(MOVIMIENTOS!$C$5:$C$1005="C")*(MOVIMIENTOS!$D$5:$D$1005="jabas")*(MOVIMIENTOS!$A$5:$A$1005&lt;&gt;"")*(MOVIMIENTOS!$A$5:$A$1005&lt;=$A282)*MOVIMIENTOS!$E$5:$E$1005)-SUMPRODUCT((MOVIMIENTOS!$B$5:$B$1005="ENVÍO A SUPESA")*(MOVIMIENTOS!$C$5:$C$1005="C")*(MOVIMIENTOS!$D$5:$D$1005="jabas")*(MOVIMIENTOS!$A$5:$A$1005&lt;&gt;"")*(MOVIMIENTOS!$A$5:$A$1005&lt;=$A282)*MOVIMIENTOS!$E$5:$E$1005)+SUMPRODUCT((MOVIMIENTOS!$B$5:$B$1005="DEVOLUCIÓN")*(MOVIMIENTOS!$C$5:$C$1005="C")*(MOVIMIENTOS!$D$5:$D$1005="jabas")*(MOVIMIENTOS!$A$5:$A$1005&lt;&gt;"")*(MOVIMIENTOS!$A$5:$A$1005&lt;=$A282)*MOVIMIENTOS!$E$5:$E$1005)-SUMPRODUCT((MOVIMIENTOS!$B$5:$B$1005="TRASIEGO")*(MOVIMIENTOS!$C$5:$C$1005="C")*(MOVIMIENTOS!$D$5:$D$1005="jabas")*(MOVIMIENTOS!$A$5:$A$1005&lt;&gt;"")*(MOVIMIENTOS!$A$5:$A$1005&lt;=$A282)*MOVIMIENTOS!$E$5:$E$1005)-SUMPRODUCT((MOVIMIENTOS!$B$5:$B$1005="REGALO")*(MOVIMIENTOS!$C$5:$C$1005="C")*(MOVIMIENTOS!$D$5:$D$1005="jabas")*(MOVIMIENTOS!$A$5:$A$1005&lt;&gt;"")*(MOVIMIENTOS!$A$5:$A$1005&lt;=$A282)*MOVIMIENTOS!$E$5:$E$1005)-SUMPRODUCT((MOVIMIENTOS!$B$5:$B$1005="VENTA")*(MOVIMIENTOS!$C$5:$C$1005="C")*(MOVIMIENTOS!$D$5:$D$1005="jabas")*(MOVIMIENTOS!$A$5:$A$1005&lt;&gt;"")*(MOVIMIENTOS!$A$5:$A$1005&lt;=$A282)*MOVIMIENTOS!$E$5:$E$1005)+SUMPRODUCT((MOVIMIENTOS!$B$5:$B$1005="AJUSTE")*(MOVIMIENTOS!$C$5:$C$1005="C")*(MOVIMIENTOS!$D$5:$D$1005="jabas")*(MOVIMIENTOS!$A$5:$A$1005&lt;&gt;"")*(MOVIMIENTOS!$A$5:$A$1005&lt;=$A282)*MOVIMIENTOS!$E$5:$E$1005))</f>
        <v/>
      </c>
      <c r="E282" s="63" t="str">
        <f>IF($A282="","",SUMPRODUCT((MOVIMIENTOS!$B$5:$B$1005="SALDO INICIAL")*(MOVIMIENTOS!$C$5:$C$1005="M")*(MOVIMIENTOS!$D$5:$D$1005="jabas")*(MOVIMIENTOS!$A$5:$A$1005&lt;&gt;"")*(MOVIMIENTOS!$A$5:$A$1005&lt;=$A282)*MOVIMIENTOS!$E$5:$E$1005)+SUMPRODUCT((MOVIMIENTOS!$B$5:$B$1005="PROCESO")*(MOVIMIENTOS!$C$5:$C$1005="M")*(MOVIMIENTOS!$D$5:$D$1005="jabas")*(MOVIMIENTOS!$A$5:$A$1005&lt;&gt;"")*(MOVIMIENTOS!$A$5:$A$1005&lt;=$A282)*MOVIMIENTOS!$E$5:$E$1005)-SUMPRODUCT((MOVIMIENTOS!$B$5:$B$1005="ENVÍO A SUPESA")*(MOVIMIENTOS!$C$5:$C$1005="M")*(MOVIMIENTOS!$D$5:$D$1005="jabas")*(MOVIMIENTOS!$A$5:$A$1005&lt;&gt;"")*(MOVIMIENTOS!$A$5:$A$1005&lt;=$A282)*MOVIMIENTOS!$E$5:$E$1005)+SUMPRODUCT((MOVIMIENTOS!$B$5:$B$1005="DEVOLUCIÓN")*(MOVIMIENTOS!$C$5:$C$1005="M")*(MOVIMIENTOS!$D$5:$D$1005="jabas")*(MOVIMIENTOS!$A$5:$A$1005&lt;&gt;"")*(MOVIMIENTOS!$A$5:$A$1005&lt;=$A282)*MOVIMIENTOS!$E$5:$E$1005)-SUMPRODUCT((MOVIMIENTOS!$B$5:$B$1005="TRASIEGO")*(MOVIMIENTOS!$C$5:$C$1005="M")*(MOVIMIENTOS!$D$5:$D$1005="jabas")*(MOVIMIENTOS!$A$5:$A$1005&lt;&gt;"")*(MOVIMIENTOS!$A$5:$A$1005&lt;=$A282)*MOVIMIENTOS!$E$5:$E$1005)-SUMPRODUCT((MOVIMIENTOS!$B$5:$B$1005="REGALO")*(MOVIMIENTOS!$C$5:$C$1005="M")*(MOVIMIENTOS!$D$5:$D$1005="jabas")*(MOVIMIENTOS!$A$5:$A$1005&lt;&gt;"")*(MOVIMIENTOS!$A$5:$A$1005&lt;=$A282)*MOVIMIENTOS!$E$5:$E$1005)-SUMPRODUCT((MOVIMIENTOS!$B$5:$B$1005="VENTA")*(MOVIMIENTOS!$C$5:$C$1005="M")*(MOVIMIENTOS!$D$5:$D$1005="jabas")*(MOVIMIENTOS!$A$5:$A$1005&lt;&gt;"")*(MOVIMIENTOS!$A$5:$A$1005&lt;=$A282)*MOVIMIENTOS!$E$5:$E$1005)+SUMPRODUCT((MOVIMIENTOS!$B$5:$B$1005="AJUSTE")*(MOVIMIENTOS!$C$5:$C$1005="M")*(MOVIMIENTOS!$D$5:$D$1005="jabas")*(MOVIMIENTOS!$A$5:$A$1005&lt;&gt;"")*(MOVIMIENTOS!$A$5:$A$1005&lt;=$A282)*MOVIMIENTOS!$E$5:$E$1005))</f>
        <v/>
      </c>
      <c r="F282" s="63" t="str">
        <f>IF($A282="","",SUMPRODUCT((MOVIMIENTOS!$B$5:$B$1005="SALDO INICIAL")*(MOVIMIENTOS!$C$5:$C$1005="Chancho")*(MOVIMIENTOS!$D$5:$D$1005="sacos")*(MOVIMIENTOS!$A$5:$A$1005&lt;&gt;"")*(MOVIMIENTOS!$A$5:$A$1005&lt;=$A282)*MOVIMIENTOS!$E$5:$E$1005)+SUMPRODUCT((MOVIMIENTOS!$B$5:$B$1005="PROCESO")*(MOVIMIENTOS!$C$5:$C$1005="Chancho")*(MOVIMIENTOS!$D$5:$D$1005="sacos")*(MOVIMIENTOS!$A$5:$A$1005&lt;&gt;"")*(MOVIMIENTOS!$A$5:$A$1005&lt;=$A282)*MOVIMIENTOS!$E$5:$E$1005)-SUMPRODUCT((MOVIMIENTOS!$B$5:$B$1005="VENTA CHANCHO")*(MOVIMIENTOS!$C$5:$C$1005="Chancho")*(MOVIMIENTOS!$D$5:$D$1005="sacos")*(MOVIMIENTOS!$A$5:$A$1005&lt;&gt;"")*(MOVIMIENTOS!$A$5:$A$1005&lt;=$A282)*MOVIMIENTOS!$E$5:$E$1005)-SUMPRODUCT((MOVIMIENTOS!$B$5:$B$1005="REGALO")*(MOVIMIENTOS!$C$5:$C$1005="Chancho")*(MOVIMIENTOS!$D$5:$D$1005="sacos")*(MOVIMIENTOS!$A$5:$A$1005&lt;&gt;"")*(MOVIMIENTOS!$A$5:$A$1005&lt;=$A282)*MOVIMIENTOS!$E$5:$E$1005)-SUMPRODUCT((MOVIMIENTOS!$B$5:$B$1005="VENTA")*(MOVIMIENTOS!$C$5:$C$1005="Chancho")*(MOVIMIENTOS!$D$5:$D$1005="sacos")*(MOVIMIENTOS!$A$5:$A$1005&lt;&gt;"")*(MOVIMIENTOS!$A$5:$A$1005&lt;=$A282)*MOVIMIENTOS!$E$5:$E$1005)+SUMPRODUCT((MOVIMIENTOS!$B$5:$B$1005="AJUSTE")*(MOVIMIENTOS!$C$5:$C$1005="Chancho")*(MOVIMIENTOS!$D$5:$D$1005="sacos")*(MOVIMIENTOS!$A$5:$A$1005&lt;&gt;"")*(MOVIMIENTOS!$A$5:$A$1005&lt;=$A282)*MOVIMIENTOS!$E$5:$E$1005))</f>
        <v/>
      </c>
      <c r="G282" s="95" t="str">
        <f t="shared" si="9"/>
        <v/>
      </c>
      <c r="H282" s="63" t="str">
        <f>IF($A282="","",SUMPRODUCT((((MOVIMIENTOS!$B$5:$B$1005="SALDO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282)*MOVIMIENTOS!$J$5:$J$1005))</f>
        <v/>
      </c>
      <c r="I282" s="63"/>
      <c r="J282" s="63" t="str">
        <f>IF(AND(MOVIMIENTOS!$A281&lt;&gt;"",COUNTIF(MOVIMIENTOS!$A$5:$A280,MOVIMIENTOS!$A281)=0),COUNT(J$4:J281)+1,"")</f>
        <v/>
      </c>
      <c r="K282" s="66">
        <f>MOVIMIENTOS!$A281</f>
        <v>46239</v>
      </c>
      <c r="L282" s="63"/>
      <c r="M282" s="63"/>
      <c r="N282" s="63"/>
    </row>
    <row r="283" spans="1:14" ht="15" customHeight="1" x14ac:dyDescent="0.2">
      <c r="A283" s="63" t="str">
        <f t="shared" si="8"/>
        <v/>
      </c>
      <c r="B283" s="63" t="str">
        <f>IF($A283="","",SUMPRODUCT((MOVIMIENTOS!$B$5:$B$1005="SALDO INICIAL")*(MOVIMIENTOS!$C$5:$C$1005="A")*(MOVIMIENTOS!$D$5:$D$1005="jabas")*(MOVIMIENTOS!$A$5:$A$1005&lt;&gt;"")*(MOVIMIENTOS!$A$5:$A$1005&lt;=$A283)*MOVIMIENTOS!$E$5:$E$1005)+SUMPRODUCT((MOVIMIENTOS!$B$5:$B$1005="PROCESO")*(MOVIMIENTOS!$C$5:$C$1005="A")*(MOVIMIENTOS!$D$5:$D$1005="jabas")*(MOVIMIENTOS!$A$5:$A$1005&lt;&gt;"")*(MOVIMIENTOS!$A$5:$A$1005&lt;=$A283)*MOVIMIENTOS!$E$5:$E$1005)-SUMPRODUCT((MOVIMIENTOS!$B$5:$B$1005="ENVÍO A SUPESA")*(MOVIMIENTOS!$C$5:$C$1005="A")*(MOVIMIENTOS!$D$5:$D$1005="jabas")*(MOVIMIENTOS!$A$5:$A$1005&lt;&gt;"")*(MOVIMIENTOS!$A$5:$A$1005&lt;=$A283)*MOVIMIENTOS!$E$5:$E$1005)+SUMPRODUCT((MOVIMIENTOS!$B$5:$B$1005="DEVOLUCIÓN")*(MOVIMIENTOS!$C$5:$C$1005="A")*(MOVIMIENTOS!$D$5:$D$1005="jabas")*(MOVIMIENTOS!$A$5:$A$1005&lt;&gt;"")*(MOVIMIENTOS!$A$5:$A$1005&lt;=$A283)*MOVIMIENTOS!$E$5:$E$1005)-SUMPRODUCT((MOVIMIENTOS!$B$5:$B$1005="TRASIEGO")*(MOVIMIENTOS!$C$5:$C$1005="A")*(MOVIMIENTOS!$D$5:$D$1005="jabas")*(MOVIMIENTOS!$A$5:$A$1005&lt;&gt;"")*(MOVIMIENTOS!$A$5:$A$1005&lt;=$A283)*MOVIMIENTOS!$E$5:$E$1005)-SUMPRODUCT((MOVIMIENTOS!$B$5:$B$1005="REGALO")*(MOVIMIENTOS!$C$5:$C$1005="A")*(MOVIMIENTOS!$D$5:$D$1005="jabas")*(MOVIMIENTOS!$A$5:$A$1005&lt;&gt;"")*(MOVIMIENTOS!$A$5:$A$1005&lt;=$A283)*MOVIMIENTOS!$E$5:$E$1005)-SUMPRODUCT((MOVIMIENTOS!$B$5:$B$1005="VENTA")*(MOVIMIENTOS!$C$5:$C$1005="A")*(MOVIMIENTOS!$D$5:$D$1005="jabas")*(MOVIMIENTOS!$A$5:$A$1005&lt;&gt;"")*(MOVIMIENTOS!$A$5:$A$1005&lt;=$A283)*MOVIMIENTOS!$E$5:$E$1005)+SUMPRODUCT((MOVIMIENTOS!$B$5:$B$1005="AJUSTE")*(MOVIMIENTOS!$C$5:$C$1005="A")*(MOVIMIENTOS!$D$5:$D$1005="jabas")*(MOVIMIENTOS!$A$5:$A$1005&lt;&gt;"")*(MOVIMIENTOS!$A$5:$A$1005&lt;=$A283)*MOVIMIENTOS!$E$5:$E$1005))</f>
        <v/>
      </c>
      <c r="C283" s="63" t="str">
        <f>IF($A283="","",SUMPRODUCT((MOVIMIENTOS!$B$5:$B$1005="SALDO INICIAL")*(MOVIMIENTOS!$C$5:$C$1005="P")*(MOVIMIENTOS!$D$5:$D$1005="jabas")*(MOVIMIENTOS!$A$5:$A$1005&lt;&gt;"")*(MOVIMIENTOS!$A$5:$A$1005&lt;=$A283)*MOVIMIENTOS!$E$5:$E$1005)+SUMPRODUCT((MOVIMIENTOS!$B$5:$B$1005="PROCESO")*(MOVIMIENTOS!$C$5:$C$1005="P")*(MOVIMIENTOS!$D$5:$D$1005="jabas")*(MOVIMIENTOS!$A$5:$A$1005&lt;&gt;"")*(MOVIMIENTOS!$A$5:$A$1005&lt;=$A283)*MOVIMIENTOS!$E$5:$E$1005)-SUMPRODUCT((MOVIMIENTOS!$B$5:$B$1005="ENVÍO A SUPESA")*(MOVIMIENTOS!$C$5:$C$1005="P")*(MOVIMIENTOS!$D$5:$D$1005="jabas")*(MOVIMIENTOS!$A$5:$A$1005&lt;&gt;"")*(MOVIMIENTOS!$A$5:$A$1005&lt;=$A283)*MOVIMIENTOS!$E$5:$E$1005)+SUMPRODUCT((MOVIMIENTOS!$B$5:$B$1005="DEVOLUCIÓN")*(MOVIMIENTOS!$C$5:$C$1005="P")*(MOVIMIENTOS!$D$5:$D$1005="jabas")*(MOVIMIENTOS!$A$5:$A$1005&lt;&gt;"")*(MOVIMIENTOS!$A$5:$A$1005&lt;=$A283)*MOVIMIENTOS!$E$5:$E$1005)-SUMPRODUCT((MOVIMIENTOS!$B$5:$B$1005="TRASIEGO")*(MOVIMIENTOS!$C$5:$C$1005="P")*(MOVIMIENTOS!$D$5:$D$1005="jabas")*(MOVIMIENTOS!$A$5:$A$1005&lt;&gt;"")*(MOVIMIENTOS!$A$5:$A$1005&lt;=$A283)*MOVIMIENTOS!$E$5:$E$1005)-SUMPRODUCT((MOVIMIENTOS!$B$5:$B$1005="REGALO")*(MOVIMIENTOS!$C$5:$C$1005="P")*(MOVIMIENTOS!$D$5:$D$1005="jabas")*(MOVIMIENTOS!$A$5:$A$1005&lt;&gt;"")*(MOVIMIENTOS!$A$5:$A$1005&lt;=$A283)*MOVIMIENTOS!$E$5:$E$1005)-SUMPRODUCT((MOVIMIENTOS!$B$5:$B$1005="VENTA")*(MOVIMIENTOS!$C$5:$C$1005="P")*(MOVIMIENTOS!$D$5:$D$1005="jabas")*(MOVIMIENTOS!$A$5:$A$1005&lt;&gt;"")*(MOVIMIENTOS!$A$5:$A$1005&lt;=$A283)*MOVIMIENTOS!$E$5:$E$1005)+SUMPRODUCT((MOVIMIENTOS!$B$5:$B$1005="AJUSTE")*(MOVIMIENTOS!$C$5:$C$1005="P")*(MOVIMIENTOS!$D$5:$D$1005="jabas")*(MOVIMIENTOS!$A$5:$A$1005&lt;&gt;"")*(MOVIMIENTOS!$A$5:$A$1005&lt;=$A283)*MOVIMIENTOS!$E$5:$E$1005))</f>
        <v/>
      </c>
      <c r="D283" s="63" t="str">
        <f>IF($A283="","",SUMPRODUCT((MOVIMIENTOS!$B$5:$B$1005="SALDO INICIAL")*(MOVIMIENTOS!$C$5:$C$1005="C")*(MOVIMIENTOS!$D$5:$D$1005="jabas")*(MOVIMIENTOS!$A$5:$A$1005&lt;&gt;"")*(MOVIMIENTOS!$A$5:$A$1005&lt;=$A283)*MOVIMIENTOS!$E$5:$E$1005)+SUMPRODUCT((MOVIMIENTOS!$B$5:$B$1005="PROCESO")*(MOVIMIENTOS!$C$5:$C$1005="C")*(MOVIMIENTOS!$D$5:$D$1005="jabas")*(MOVIMIENTOS!$A$5:$A$1005&lt;&gt;"")*(MOVIMIENTOS!$A$5:$A$1005&lt;=$A283)*MOVIMIENTOS!$E$5:$E$1005)-SUMPRODUCT((MOVIMIENTOS!$B$5:$B$1005="ENVÍO A SUPESA")*(MOVIMIENTOS!$C$5:$C$1005="C")*(MOVIMIENTOS!$D$5:$D$1005="jabas")*(MOVIMIENTOS!$A$5:$A$1005&lt;&gt;"")*(MOVIMIENTOS!$A$5:$A$1005&lt;=$A283)*MOVIMIENTOS!$E$5:$E$1005)+SUMPRODUCT((MOVIMIENTOS!$B$5:$B$1005="DEVOLUCIÓN")*(MOVIMIENTOS!$C$5:$C$1005="C")*(MOVIMIENTOS!$D$5:$D$1005="jabas")*(MOVIMIENTOS!$A$5:$A$1005&lt;&gt;"")*(MOVIMIENTOS!$A$5:$A$1005&lt;=$A283)*MOVIMIENTOS!$E$5:$E$1005)-SUMPRODUCT((MOVIMIENTOS!$B$5:$B$1005="TRASIEGO")*(MOVIMIENTOS!$C$5:$C$1005="C")*(MOVIMIENTOS!$D$5:$D$1005="jabas")*(MOVIMIENTOS!$A$5:$A$1005&lt;&gt;"")*(MOVIMIENTOS!$A$5:$A$1005&lt;=$A283)*MOVIMIENTOS!$E$5:$E$1005)-SUMPRODUCT((MOVIMIENTOS!$B$5:$B$1005="REGALO")*(MOVIMIENTOS!$C$5:$C$1005="C")*(MOVIMIENTOS!$D$5:$D$1005="jabas")*(MOVIMIENTOS!$A$5:$A$1005&lt;&gt;"")*(MOVIMIENTOS!$A$5:$A$1005&lt;=$A283)*MOVIMIENTOS!$E$5:$E$1005)-SUMPRODUCT((MOVIMIENTOS!$B$5:$B$1005="VENTA")*(MOVIMIENTOS!$C$5:$C$1005="C")*(MOVIMIENTOS!$D$5:$D$1005="jabas")*(MOVIMIENTOS!$A$5:$A$1005&lt;&gt;"")*(MOVIMIENTOS!$A$5:$A$1005&lt;=$A283)*MOVIMIENTOS!$E$5:$E$1005)+SUMPRODUCT((MOVIMIENTOS!$B$5:$B$1005="AJUSTE")*(MOVIMIENTOS!$C$5:$C$1005="C")*(MOVIMIENTOS!$D$5:$D$1005="jabas")*(MOVIMIENTOS!$A$5:$A$1005&lt;&gt;"")*(MOVIMIENTOS!$A$5:$A$1005&lt;=$A283)*MOVIMIENTOS!$E$5:$E$1005))</f>
        <v/>
      </c>
      <c r="E283" s="63" t="str">
        <f>IF($A283="","",SUMPRODUCT((MOVIMIENTOS!$B$5:$B$1005="SALDO INICIAL")*(MOVIMIENTOS!$C$5:$C$1005="M")*(MOVIMIENTOS!$D$5:$D$1005="jabas")*(MOVIMIENTOS!$A$5:$A$1005&lt;&gt;"")*(MOVIMIENTOS!$A$5:$A$1005&lt;=$A283)*MOVIMIENTOS!$E$5:$E$1005)+SUMPRODUCT((MOVIMIENTOS!$B$5:$B$1005="PROCESO")*(MOVIMIENTOS!$C$5:$C$1005="M")*(MOVIMIENTOS!$D$5:$D$1005="jabas")*(MOVIMIENTOS!$A$5:$A$1005&lt;&gt;"")*(MOVIMIENTOS!$A$5:$A$1005&lt;=$A283)*MOVIMIENTOS!$E$5:$E$1005)-SUMPRODUCT((MOVIMIENTOS!$B$5:$B$1005="ENVÍO A SUPESA")*(MOVIMIENTOS!$C$5:$C$1005="M")*(MOVIMIENTOS!$D$5:$D$1005="jabas")*(MOVIMIENTOS!$A$5:$A$1005&lt;&gt;"")*(MOVIMIENTOS!$A$5:$A$1005&lt;=$A283)*MOVIMIENTOS!$E$5:$E$1005)+SUMPRODUCT((MOVIMIENTOS!$B$5:$B$1005="DEVOLUCIÓN")*(MOVIMIENTOS!$C$5:$C$1005="M")*(MOVIMIENTOS!$D$5:$D$1005="jabas")*(MOVIMIENTOS!$A$5:$A$1005&lt;&gt;"")*(MOVIMIENTOS!$A$5:$A$1005&lt;=$A283)*MOVIMIENTOS!$E$5:$E$1005)-SUMPRODUCT((MOVIMIENTOS!$B$5:$B$1005="TRASIEGO")*(MOVIMIENTOS!$C$5:$C$1005="M")*(MOVIMIENTOS!$D$5:$D$1005="jabas")*(MOVIMIENTOS!$A$5:$A$1005&lt;&gt;"")*(MOVIMIENTOS!$A$5:$A$1005&lt;=$A283)*MOVIMIENTOS!$E$5:$E$1005)-SUMPRODUCT((MOVIMIENTOS!$B$5:$B$1005="REGALO")*(MOVIMIENTOS!$C$5:$C$1005="M")*(MOVIMIENTOS!$D$5:$D$1005="jabas")*(MOVIMIENTOS!$A$5:$A$1005&lt;&gt;"")*(MOVIMIENTOS!$A$5:$A$1005&lt;=$A283)*MOVIMIENTOS!$E$5:$E$1005)-SUMPRODUCT((MOVIMIENTOS!$B$5:$B$1005="VENTA")*(MOVIMIENTOS!$C$5:$C$1005="M")*(MOVIMIENTOS!$D$5:$D$1005="jabas")*(MOVIMIENTOS!$A$5:$A$1005&lt;&gt;"")*(MOVIMIENTOS!$A$5:$A$1005&lt;=$A283)*MOVIMIENTOS!$E$5:$E$1005)+SUMPRODUCT((MOVIMIENTOS!$B$5:$B$1005="AJUSTE")*(MOVIMIENTOS!$C$5:$C$1005="M")*(MOVIMIENTOS!$D$5:$D$1005="jabas")*(MOVIMIENTOS!$A$5:$A$1005&lt;&gt;"")*(MOVIMIENTOS!$A$5:$A$1005&lt;=$A283)*MOVIMIENTOS!$E$5:$E$1005))</f>
        <v/>
      </c>
      <c r="F283" s="63" t="str">
        <f>IF($A283="","",SUMPRODUCT((MOVIMIENTOS!$B$5:$B$1005="SALDO INICIAL")*(MOVIMIENTOS!$C$5:$C$1005="Chancho")*(MOVIMIENTOS!$D$5:$D$1005="sacos")*(MOVIMIENTOS!$A$5:$A$1005&lt;&gt;"")*(MOVIMIENTOS!$A$5:$A$1005&lt;=$A283)*MOVIMIENTOS!$E$5:$E$1005)+SUMPRODUCT((MOVIMIENTOS!$B$5:$B$1005="PROCESO")*(MOVIMIENTOS!$C$5:$C$1005="Chancho")*(MOVIMIENTOS!$D$5:$D$1005="sacos")*(MOVIMIENTOS!$A$5:$A$1005&lt;&gt;"")*(MOVIMIENTOS!$A$5:$A$1005&lt;=$A283)*MOVIMIENTOS!$E$5:$E$1005)-SUMPRODUCT((MOVIMIENTOS!$B$5:$B$1005="VENTA CHANCHO")*(MOVIMIENTOS!$C$5:$C$1005="Chancho")*(MOVIMIENTOS!$D$5:$D$1005="sacos")*(MOVIMIENTOS!$A$5:$A$1005&lt;&gt;"")*(MOVIMIENTOS!$A$5:$A$1005&lt;=$A283)*MOVIMIENTOS!$E$5:$E$1005)-SUMPRODUCT((MOVIMIENTOS!$B$5:$B$1005="REGALO")*(MOVIMIENTOS!$C$5:$C$1005="Chancho")*(MOVIMIENTOS!$D$5:$D$1005="sacos")*(MOVIMIENTOS!$A$5:$A$1005&lt;&gt;"")*(MOVIMIENTOS!$A$5:$A$1005&lt;=$A283)*MOVIMIENTOS!$E$5:$E$1005)-SUMPRODUCT((MOVIMIENTOS!$B$5:$B$1005="VENTA")*(MOVIMIENTOS!$C$5:$C$1005="Chancho")*(MOVIMIENTOS!$D$5:$D$1005="sacos")*(MOVIMIENTOS!$A$5:$A$1005&lt;&gt;"")*(MOVIMIENTOS!$A$5:$A$1005&lt;=$A283)*MOVIMIENTOS!$E$5:$E$1005)+SUMPRODUCT((MOVIMIENTOS!$B$5:$B$1005="AJUSTE")*(MOVIMIENTOS!$C$5:$C$1005="Chancho")*(MOVIMIENTOS!$D$5:$D$1005="sacos")*(MOVIMIENTOS!$A$5:$A$1005&lt;&gt;"")*(MOVIMIENTOS!$A$5:$A$1005&lt;=$A283)*MOVIMIENTOS!$E$5:$E$1005))</f>
        <v/>
      </c>
      <c r="G283" s="95" t="str">
        <f t="shared" si="9"/>
        <v/>
      </c>
      <c r="H283" s="63" t="str">
        <f>IF($A283="","",SUMPRODUCT((((MOVIMIENTOS!$B$5:$B$1005="SALDO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283)*MOVIMIENTOS!$J$5:$J$1005))</f>
        <v/>
      </c>
      <c r="I283" s="63"/>
      <c r="J283" s="63" t="str">
        <f>IF(AND(MOVIMIENTOS!$A282&lt;&gt;"",COUNTIF(MOVIMIENTOS!$A$5:$A281,MOVIMIENTOS!$A282)=0),COUNT(J$4:J282)+1,"")</f>
        <v/>
      </c>
      <c r="K283" s="66">
        <f>MOVIMIENTOS!$A282</f>
        <v>46239</v>
      </c>
      <c r="L283" s="63"/>
      <c r="M283" s="63"/>
      <c r="N283" s="63"/>
    </row>
    <row r="284" spans="1:14" ht="15" customHeight="1" x14ac:dyDescent="0.2">
      <c r="A284" s="63" t="str">
        <f t="shared" si="8"/>
        <v/>
      </c>
      <c r="B284" s="63" t="str">
        <f>IF($A284="","",SUMPRODUCT((MOVIMIENTOS!$B$5:$B$1005="SALDO INICIAL")*(MOVIMIENTOS!$C$5:$C$1005="A")*(MOVIMIENTOS!$D$5:$D$1005="jabas")*(MOVIMIENTOS!$A$5:$A$1005&lt;&gt;"")*(MOVIMIENTOS!$A$5:$A$1005&lt;=$A284)*MOVIMIENTOS!$E$5:$E$1005)+SUMPRODUCT((MOVIMIENTOS!$B$5:$B$1005="PROCESO")*(MOVIMIENTOS!$C$5:$C$1005="A")*(MOVIMIENTOS!$D$5:$D$1005="jabas")*(MOVIMIENTOS!$A$5:$A$1005&lt;&gt;"")*(MOVIMIENTOS!$A$5:$A$1005&lt;=$A284)*MOVIMIENTOS!$E$5:$E$1005)-SUMPRODUCT((MOVIMIENTOS!$B$5:$B$1005="ENVÍO A SUPESA")*(MOVIMIENTOS!$C$5:$C$1005="A")*(MOVIMIENTOS!$D$5:$D$1005="jabas")*(MOVIMIENTOS!$A$5:$A$1005&lt;&gt;"")*(MOVIMIENTOS!$A$5:$A$1005&lt;=$A284)*MOVIMIENTOS!$E$5:$E$1005)+SUMPRODUCT((MOVIMIENTOS!$B$5:$B$1005="DEVOLUCIÓN")*(MOVIMIENTOS!$C$5:$C$1005="A")*(MOVIMIENTOS!$D$5:$D$1005="jabas")*(MOVIMIENTOS!$A$5:$A$1005&lt;&gt;"")*(MOVIMIENTOS!$A$5:$A$1005&lt;=$A284)*MOVIMIENTOS!$E$5:$E$1005)-SUMPRODUCT((MOVIMIENTOS!$B$5:$B$1005="TRASIEGO")*(MOVIMIENTOS!$C$5:$C$1005="A")*(MOVIMIENTOS!$D$5:$D$1005="jabas")*(MOVIMIENTOS!$A$5:$A$1005&lt;&gt;"")*(MOVIMIENTOS!$A$5:$A$1005&lt;=$A284)*MOVIMIENTOS!$E$5:$E$1005)-SUMPRODUCT((MOVIMIENTOS!$B$5:$B$1005="REGALO")*(MOVIMIENTOS!$C$5:$C$1005="A")*(MOVIMIENTOS!$D$5:$D$1005="jabas")*(MOVIMIENTOS!$A$5:$A$1005&lt;&gt;"")*(MOVIMIENTOS!$A$5:$A$1005&lt;=$A284)*MOVIMIENTOS!$E$5:$E$1005)-SUMPRODUCT((MOVIMIENTOS!$B$5:$B$1005="VENTA")*(MOVIMIENTOS!$C$5:$C$1005="A")*(MOVIMIENTOS!$D$5:$D$1005="jabas")*(MOVIMIENTOS!$A$5:$A$1005&lt;&gt;"")*(MOVIMIENTOS!$A$5:$A$1005&lt;=$A284)*MOVIMIENTOS!$E$5:$E$1005)+SUMPRODUCT((MOVIMIENTOS!$B$5:$B$1005="AJUSTE")*(MOVIMIENTOS!$C$5:$C$1005="A")*(MOVIMIENTOS!$D$5:$D$1005="jabas")*(MOVIMIENTOS!$A$5:$A$1005&lt;&gt;"")*(MOVIMIENTOS!$A$5:$A$1005&lt;=$A284)*MOVIMIENTOS!$E$5:$E$1005))</f>
        <v/>
      </c>
      <c r="C284" s="63" t="str">
        <f>IF($A284="","",SUMPRODUCT((MOVIMIENTOS!$B$5:$B$1005="SALDO INICIAL")*(MOVIMIENTOS!$C$5:$C$1005="P")*(MOVIMIENTOS!$D$5:$D$1005="jabas")*(MOVIMIENTOS!$A$5:$A$1005&lt;&gt;"")*(MOVIMIENTOS!$A$5:$A$1005&lt;=$A284)*MOVIMIENTOS!$E$5:$E$1005)+SUMPRODUCT((MOVIMIENTOS!$B$5:$B$1005="PROCESO")*(MOVIMIENTOS!$C$5:$C$1005="P")*(MOVIMIENTOS!$D$5:$D$1005="jabas")*(MOVIMIENTOS!$A$5:$A$1005&lt;&gt;"")*(MOVIMIENTOS!$A$5:$A$1005&lt;=$A284)*MOVIMIENTOS!$E$5:$E$1005)-SUMPRODUCT((MOVIMIENTOS!$B$5:$B$1005="ENVÍO A SUPESA")*(MOVIMIENTOS!$C$5:$C$1005="P")*(MOVIMIENTOS!$D$5:$D$1005="jabas")*(MOVIMIENTOS!$A$5:$A$1005&lt;&gt;"")*(MOVIMIENTOS!$A$5:$A$1005&lt;=$A284)*MOVIMIENTOS!$E$5:$E$1005)+SUMPRODUCT((MOVIMIENTOS!$B$5:$B$1005="DEVOLUCIÓN")*(MOVIMIENTOS!$C$5:$C$1005="P")*(MOVIMIENTOS!$D$5:$D$1005="jabas")*(MOVIMIENTOS!$A$5:$A$1005&lt;&gt;"")*(MOVIMIENTOS!$A$5:$A$1005&lt;=$A284)*MOVIMIENTOS!$E$5:$E$1005)-SUMPRODUCT((MOVIMIENTOS!$B$5:$B$1005="TRASIEGO")*(MOVIMIENTOS!$C$5:$C$1005="P")*(MOVIMIENTOS!$D$5:$D$1005="jabas")*(MOVIMIENTOS!$A$5:$A$1005&lt;&gt;"")*(MOVIMIENTOS!$A$5:$A$1005&lt;=$A284)*MOVIMIENTOS!$E$5:$E$1005)-SUMPRODUCT((MOVIMIENTOS!$B$5:$B$1005="REGALO")*(MOVIMIENTOS!$C$5:$C$1005="P")*(MOVIMIENTOS!$D$5:$D$1005="jabas")*(MOVIMIENTOS!$A$5:$A$1005&lt;&gt;"")*(MOVIMIENTOS!$A$5:$A$1005&lt;=$A284)*MOVIMIENTOS!$E$5:$E$1005)-SUMPRODUCT((MOVIMIENTOS!$B$5:$B$1005="VENTA")*(MOVIMIENTOS!$C$5:$C$1005="P")*(MOVIMIENTOS!$D$5:$D$1005="jabas")*(MOVIMIENTOS!$A$5:$A$1005&lt;&gt;"")*(MOVIMIENTOS!$A$5:$A$1005&lt;=$A284)*MOVIMIENTOS!$E$5:$E$1005)+SUMPRODUCT((MOVIMIENTOS!$B$5:$B$1005="AJUSTE")*(MOVIMIENTOS!$C$5:$C$1005="P")*(MOVIMIENTOS!$D$5:$D$1005="jabas")*(MOVIMIENTOS!$A$5:$A$1005&lt;&gt;"")*(MOVIMIENTOS!$A$5:$A$1005&lt;=$A284)*MOVIMIENTOS!$E$5:$E$1005))</f>
        <v/>
      </c>
      <c r="D284" s="63" t="str">
        <f>IF($A284="","",SUMPRODUCT((MOVIMIENTOS!$B$5:$B$1005="SALDO INICIAL")*(MOVIMIENTOS!$C$5:$C$1005="C")*(MOVIMIENTOS!$D$5:$D$1005="jabas")*(MOVIMIENTOS!$A$5:$A$1005&lt;&gt;"")*(MOVIMIENTOS!$A$5:$A$1005&lt;=$A284)*MOVIMIENTOS!$E$5:$E$1005)+SUMPRODUCT((MOVIMIENTOS!$B$5:$B$1005="PROCESO")*(MOVIMIENTOS!$C$5:$C$1005="C")*(MOVIMIENTOS!$D$5:$D$1005="jabas")*(MOVIMIENTOS!$A$5:$A$1005&lt;&gt;"")*(MOVIMIENTOS!$A$5:$A$1005&lt;=$A284)*MOVIMIENTOS!$E$5:$E$1005)-SUMPRODUCT((MOVIMIENTOS!$B$5:$B$1005="ENVÍO A SUPESA")*(MOVIMIENTOS!$C$5:$C$1005="C")*(MOVIMIENTOS!$D$5:$D$1005="jabas")*(MOVIMIENTOS!$A$5:$A$1005&lt;&gt;"")*(MOVIMIENTOS!$A$5:$A$1005&lt;=$A284)*MOVIMIENTOS!$E$5:$E$1005)+SUMPRODUCT((MOVIMIENTOS!$B$5:$B$1005="DEVOLUCIÓN")*(MOVIMIENTOS!$C$5:$C$1005="C")*(MOVIMIENTOS!$D$5:$D$1005="jabas")*(MOVIMIENTOS!$A$5:$A$1005&lt;&gt;"")*(MOVIMIENTOS!$A$5:$A$1005&lt;=$A284)*MOVIMIENTOS!$E$5:$E$1005)-SUMPRODUCT((MOVIMIENTOS!$B$5:$B$1005="TRASIEGO")*(MOVIMIENTOS!$C$5:$C$1005="C")*(MOVIMIENTOS!$D$5:$D$1005="jabas")*(MOVIMIENTOS!$A$5:$A$1005&lt;&gt;"")*(MOVIMIENTOS!$A$5:$A$1005&lt;=$A284)*MOVIMIENTOS!$E$5:$E$1005)-SUMPRODUCT((MOVIMIENTOS!$B$5:$B$1005="REGALO")*(MOVIMIENTOS!$C$5:$C$1005="C")*(MOVIMIENTOS!$D$5:$D$1005="jabas")*(MOVIMIENTOS!$A$5:$A$1005&lt;&gt;"")*(MOVIMIENTOS!$A$5:$A$1005&lt;=$A284)*MOVIMIENTOS!$E$5:$E$1005)-SUMPRODUCT((MOVIMIENTOS!$B$5:$B$1005="VENTA")*(MOVIMIENTOS!$C$5:$C$1005="C")*(MOVIMIENTOS!$D$5:$D$1005="jabas")*(MOVIMIENTOS!$A$5:$A$1005&lt;&gt;"")*(MOVIMIENTOS!$A$5:$A$1005&lt;=$A284)*MOVIMIENTOS!$E$5:$E$1005)+SUMPRODUCT((MOVIMIENTOS!$B$5:$B$1005="AJUSTE")*(MOVIMIENTOS!$C$5:$C$1005="C")*(MOVIMIENTOS!$D$5:$D$1005="jabas")*(MOVIMIENTOS!$A$5:$A$1005&lt;&gt;"")*(MOVIMIENTOS!$A$5:$A$1005&lt;=$A284)*MOVIMIENTOS!$E$5:$E$1005))</f>
        <v/>
      </c>
      <c r="E284" s="63" t="str">
        <f>IF($A284="","",SUMPRODUCT((MOVIMIENTOS!$B$5:$B$1005="SALDO INICIAL")*(MOVIMIENTOS!$C$5:$C$1005="M")*(MOVIMIENTOS!$D$5:$D$1005="jabas")*(MOVIMIENTOS!$A$5:$A$1005&lt;&gt;"")*(MOVIMIENTOS!$A$5:$A$1005&lt;=$A284)*MOVIMIENTOS!$E$5:$E$1005)+SUMPRODUCT((MOVIMIENTOS!$B$5:$B$1005="PROCESO")*(MOVIMIENTOS!$C$5:$C$1005="M")*(MOVIMIENTOS!$D$5:$D$1005="jabas")*(MOVIMIENTOS!$A$5:$A$1005&lt;&gt;"")*(MOVIMIENTOS!$A$5:$A$1005&lt;=$A284)*MOVIMIENTOS!$E$5:$E$1005)-SUMPRODUCT((MOVIMIENTOS!$B$5:$B$1005="ENVÍO A SUPESA")*(MOVIMIENTOS!$C$5:$C$1005="M")*(MOVIMIENTOS!$D$5:$D$1005="jabas")*(MOVIMIENTOS!$A$5:$A$1005&lt;&gt;"")*(MOVIMIENTOS!$A$5:$A$1005&lt;=$A284)*MOVIMIENTOS!$E$5:$E$1005)+SUMPRODUCT((MOVIMIENTOS!$B$5:$B$1005="DEVOLUCIÓN")*(MOVIMIENTOS!$C$5:$C$1005="M")*(MOVIMIENTOS!$D$5:$D$1005="jabas")*(MOVIMIENTOS!$A$5:$A$1005&lt;&gt;"")*(MOVIMIENTOS!$A$5:$A$1005&lt;=$A284)*MOVIMIENTOS!$E$5:$E$1005)-SUMPRODUCT((MOVIMIENTOS!$B$5:$B$1005="TRASIEGO")*(MOVIMIENTOS!$C$5:$C$1005="M")*(MOVIMIENTOS!$D$5:$D$1005="jabas")*(MOVIMIENTOS!$A$5:$A$1005&lt;&gt;"")*(MOVIMIENTOS!$A$5:$A$1005&lt;=$A284)*MOVIMIENTOS!$E$5:$E$1005)-SUMPRODUCT((MOVIMIENTOS!$B$5:$B$1005="REGALO")*(MOVIMIENTOS!$C$5:$C$1005="M")*(MOVIMIENTOS!$D$5:$D$1005="jabas")*(MOVIMIENTOS!$A$5:$A$1005&lt;&gt;"")*(MOVIMIENTOS!$A$5:$A$1005&lt;=$A284)*MOVIMIENTOS!$E$5:$E$1005)-SUMPRODUCT((MOVIMIENTOS!$B$5:$B$1005="VENTA")*(MOVIMIENTOS!$C$5:$C$1005="M")*(MOVIMIENTOS!$D$5:$D$1005="jabas")*(MOVIMIENTOS!$A$5:$A$1005&lt;&gt;"")*(MOVIMIENTOS!$A$5:$A$1005&lt;=$A284)*MOVIMIENTOS!$E$5:$E$1005)+SUMPRODUCT((MOVIMIENTOS!$B$5:$B$1005="AJUSTE")*(MOVIMIENTOS!$C$5:$C$1005="M")*(MOVIMIENTOS!$D$5:$D$1005="jabas")*(MOVIMIENTOS!$A$5:$A$1005&lt;&gt;"")*(MOVIMIENTOS!$A$5:$A$1005&lt;=$A284)*MOVIMIENTOS!$E$5:$E$1005))</f>
        <v/>
      </c>
      <c r="F284" s="63" t="str">
        <f>IF($A284="","",SUMPRODUCT((MOVIMIENTOS!$B$5:$B$1005="SALDO INICIAL")*(MOVIMIENTOS!$C$5:$C$1005="Chancho")*(MOVIMIENTOS!$D$5:$D$1005="sacos")*(MOVIMIENTOS!$A$5:$A$1005&lt;&gt;"")*(MOVIMIENTOS!$A$5:$A$1005&lt;=$A284)*MOVIMIENTOS!$E$5:$E$1005)+SUMPRODUCT((MOVIMIENTOS!$B$5:$B$1005="PROCESO")*(MOVIMIENTOS!$C$5:$C$1005="Chancho")*(MOVIMIENTOS!$D$5:$D$1005="sacos")*(MOVIMIENTOS!$A$5:$A$1005&lt;&gt;"")*(MOVIMIENTOS!$A$5:$A$1005&lt;=$A284)*MOVIMIENTOS!$E$5:$E$1005)-SUMPRODUCT((MOVIMIENTOS!$B$5:$B$1005="VENTA CHANCHO")*(MOVIMIENTOS!$C$5:$C$1005="Chancho")*(MOVIMIENTOS!$D$5:$D$1005="sacos")*(MOVIMIENTOS!$A$5:$A$1005&lt;&gt;"")*(MOVIMIENTOS!$A$5:$A$1005&lt;=$A284)*MOVIMIENTOS!$E$5:$E$1005)-SUMPRODUCT((MOVIMIENTOS!$B$5:$B$1005="REGALO")*(MOVIMIENTOS!$C$5:$C$1005="Chancho")*(MOVIMIENTOS!$D$5:$D$1005="sacos")*(MOVIMIENTOS!$A$5:$A$1005&lt;&gt;"")*(MOVIMIENTOS!$A$5:$A$1005&lt;=$A284)*MOVIMIENTOS!$E$5:$E$1005)-SUMPRODUCT((MOVIMIENTOS!$B$5:$B$1005="VENTA")*(MOVIMIENTOS!$C$5:$C$1005="Chancho")*(MOVIMIENTOS!$D$5:$D$1005="sacos")*(MOVIMIENTOS!$A$5:$A$1005&lt;&gt;"")*(MOVIMIENTOS!$A$5:$A$1005&lt;=$A284)*MOVIMIENTOS!$E$5:$E$1005)+SUMPRODUCT((MOVIMIENTOS!$B$5:$B$1005="AJUSTE")*(MOVIMIENTOS!$C$5:$C$1005="Chancho")*(MOVIMIENTOS!$D$5:$D$1005="sacos")*(MOVIMIENTOS!$A$5:$A$1005&lt;&gt;"")*(MOVIMIENTOS!$A$5:$A$1005&lt;=$A284)*MOVIMIENTOS!$E$5:$E$1005))</f>
        <v/>
      </c>
      <c r="G284" s="95" t="str">
        <f t="shared" si="9"/>
        <v/>
      </c>
      <c r="H284" s="63" t="str">
        <f>IF($A284="","",SUMPRODUCT((((MOVIMIENTOS!$B$5:$B$1005="SALDO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284)*MOVIMIENTOS!$J$5:$J$1005))</f>
        <v/>
      </c>
      <c r="I284" s="63"/>
      <c r="J284" s="63" t="str">
        <f>IF(AND(MOVIMIENTOS!$A283&lt;&gt;"",COUNTIF(MOVIMIENTOS!$A$5:$A282,MOVIMIENTOS!$A283)=0),COUNT(J$4:J283)+1,"")</f>
        <v/>
      </c>
      <c r="K284" s="66">
        <f>MOVIMIENTOS!$A283</f>
        <v>46239</v>
      </c>
      <c r="L284" s="63"/>
      <c r="M284" s="63"/>
      <c r="N284" s="63"/>
    </row>
    <row r="285" spans="1:14" ht="15" customHeight="1" x14ac:dyDescent="0.2">
      <c r="A285" s="63" t="str">
        <f t="shared" si="8"/>
        <v/>
      </c>
      <c r="B285" s="63" t="str">
        <f>IF($A285="","",SUMPRODUCT((MOVIMIENTOS!$B$5:$B$1005="SALDO INICIAL")*(MOVIMIENTOS!$C$5:$C$1005="A")*(MOVIMIENTOS!$D$5:$D$1005="jabas")*(MOVIMIENTOS!$A$5:$A$1005&lt;&gt;"")*(MOVIMIENTOS!$A$5:$A$1005&lt;=$A285)*MOVIMIENTOS!$E$5:$E$1005)+SUMPRODUCT((MOVIMIENTOS!$B$5:$B$1005="PROCESO")*(MOVIMIENTOS!$C$5:$C$1005="A")*(MOVIMIENTOS!$D$5:$D$1005="jabas")*(MOVIMIENTOS!$A$5:$A$1005&lt;&gt;"")*(MOVIMIENTOS!$A$5:$A$1005&lt;=$A285)*MOVIMIENTOS!$E$5:$E$1005)-SUMPRODUCT((MOVIMIENTOS!$B$5:$B$1005="ENVÍO A SUPESA")*(MOVIMIENTOS!$C$5:$C$1005="A")*(MOVIMIENTOS!$D$5:$D$1005="jabas")*(MOVIMIENTOS!$A$5:$A$1005&lt;&gt;"")*(MOVIMIENTOS!$A$5:$A$1005&lt;=$A285)*MOVIMIENTOS!$E$5:$E$1005)+SUMPRODUCT((MOVIMIENTOS!$B$5:$B$1005="DEVOLUCIÓN")*(MOVIMIENTOS!$C$5:$C$1005="A")*(MOVIMIENTOS!$D$5:$D$1005="jabas")*(MOVIMIENTOS!$A$5:$A$1005&lt;&gt;"")*(MOVIMIENTOS!$A$5:$A$1005&lt;=$A285)*MOVIMIENTOS!$E$5:$E$1005)-SUMPRODUCT((MOVIMIENTOS!$B$5:$B$1005="TRASIEGO")*(MOVIMIENTOS!$C$5:$C$1005="A")*(MOVIMIENTOS!$D$5:$D$1005="jabas")*(MOVIMIENTOS!$A$5:$A$1005&lt;&gt;"")*(MOVIMIENTOS!$A$5:$A$1005&lt;=$A285)*MOVIMIENTOS!$E$5:$E$1005)-SUMPRODUCT((MOVIMIENTOS!$B$5:$B$1005="REGALO")*(MOVIMIENTOS!$C$5:$C$1005="A")*(MOVIMIENTOS!$D$5:$D$1005="jabas")*(MOVIMIENTOS!$A$5:$A$1005&lt;&gt;"")*(MOVIMIENTOS!$A$5:$A$1005&lt;=$A285)*MOVIMIENTOS!$E$5:$E$1005)-SUMPRODUCT((MOVIMIENTOS!$B$5:$B$1005="VENTA")*(MOVIMIENTOS!$C$5:$C$1005="A")*(MOVIMIENTOS!$D$5:$D$1005="jabas")*(MOVIMIENTOS!$A$5:$A$1005&lt;&gt;"")*(MOVIMIENTOS!$A$5:$A$1005&lt;=$A285)*MOVIMIENTOS!$E$5:$E$1005)+SUMPRODUCT((MOVIMIENTOS!$B$5:$B$1005="AJUSTE")*(MOVIMIENTOS!$C$5:$C$1005="A")*(MOVIMIENTOS!$D$5:$D$1005="jabas")*(MOVIMIENTOS!$A$5:$A$1005&lt;&gt;"")*(MOVIMIENTOS!$A$5:$A$1005&lt;=$A285)*MOVIMIENTOS!$E$5:$E$1005))</f>
        <v/>
      </c>
      <c r="C285" s="63" t="str">
        <f>IF($A285="","",SUMPRODUCT((MOVIMIENTOS!$B$5:$B$1005="SALDO INICIAL")*(MOVIMIENTOS!$C$5:$C$1005="P")*(MOVIMIENTOS!$D$5:$D$1005="jabas")*(MOVIMIENTOS!$A$5:$A$1005&lt;&gt;"")*(MOVIMIENTOS!$A$5:$A$1005&lt;=$A285)*MOVIMIENTOS!$E$5:$E$1005)+SUMPRODUCT((MOVIMIENTOS!$B$5:$B$1005="PROCESO")*(MOVIMIENTOS!$C$5:$C$1005="P")*(MOVIMIENTOS!$D$5:$D$1005="jabas")*(MOVIMIENTOS!$A$5:$A$1005&lt;&gt;"")*(MOVIMIENTOS!$A$5:$A$1005&lt;=$A285)*MOVIMIENTOS!$E$5:$E$1005)-SUMPRODUCT((MOVIMIENTOS!$B$5:$B$1005="ENVÍO A SUPESA")*(MOVIMIENTOS!$C$5:$C$1005="P")*(MOVIMIENTOS!$D$5:$D$1005="jabas")*(MOVIMIENTOS!$A$5:$A$1005&lt;&gt;"")*(MOVIMIENTOS!$A$5:$A$1005&lt;=$A285)*MOVIMIENTOS!$E$5:$E$1005)+SUMPRODUCT((MOVIMIENTOS!$B$5:$B$1005="DEVOLUCIÓN")*(MOVIMIENTOS!$C$5:$C$1005="P")*(MOVIMIENTOS!$D$5:$D$1005="jabas")*(MOVIMIENTOS!$A$5:$A$1005&lt;&gt;"")*(MOVIMIENTOS!$A$5:$A$1005&lt;=$A285)*MOVIMIENTOS!$E$5:$E$1005)-SUMPRODUCT((MOVIMIENTOS!$B$5:$B$1005="TRASIEGO")*(MOVIMIENTOS!$C$5:$C$1005="P")*(MOVIMIENTOS!$D$5:$D$1005="jabas")*(MOVIMIENTOS!$A$5:$A$1005&lt;&gt;"")*(MOVIMIENTOS!$A$5:$A$1005&lt;=$A285)*MOVIMIENTOS!$E$5:$E$1005)-SUMPRODUCT((MOVIMIENTOS!$B$5:$B$1005="REGALO")*(MOVIMIENTOS!$C$5:$C$1005="P")*(MOVIMIENTOS!$D$5:$D$1005="jabas")*(MOVIMIENTOS!$A$5:$A$1005&lt;&gt;"")*(MOVIMIENTOS!$A$5:$A$1005&lt;=$A285)*MOVIMIENTOS!$E$5:$E$1005)-SUMPRODUCT((MOVIMIENTOS!$B$5:$B$1005="VENTA")*(MOVIMIENTOS!$C$5:$C$1005="P")*(MOVIMIENTOS!$D$5:$D$1005="jabas")*(MOVIMIENTOS!$A$5:$A$1005&lt;&gt;"")*(MOVIMIENTOS!$A$5:$A$1005&lt;=$A285)*MOVIMIENTOS!$E$5:$E$1005)+SUMPRODUCT((MOVIMIENTOS!$B$5:$B$1005="AJUSTE")*(MOVIMIENTOS!$C$5:$C$1005="P")*(MOVIMIENTOS!$D$5:$D$1005="jabas")*(MOVIMIENTOS!$A$5:$A$1005&lt;&gt;"")*(MOVIMIENTOS!$A$5:$A$1005&lt;=$A285)*MOVIMIENTOS!$E$5:$E$1005))</f>
        <v/>
      </c>
      <c r="D285" s="63" t="str">
        <f>IF($A285="","",SUMPRODUCT((MOVIMIENTOS!$B$5:$B$1005="SALDO INICIAL")*(MOVIMIENTOS!$C$5:$C$1005="C")*(MOVIMIENTOS!$D$5:$D$1005="jabas")*(MOVIMIENTOS!$A$5:$A$1005&lt;&gt;"")*(MOVIMIENTOS!$A$5:$A$1005&lt;=$A285)*MOVIMIENTOS!$E$5:$E$1005)+SUMPRODUCT((MOVIMIENTOS!$B$5:$B$1005="PROCESO")*(MOVIMIENTOS!$C$5:$C$1005="C")*(MOVIMIENTOS!$D$5:$D$1005="jabas")*(MOVIMIENTOS!$A$5:$A$1005&lt;&gt;"")*(MOVIMIENTOS!$A$5:$A$1005&lt;=$A285)*MOVIMIENTOS!$E$5:$E$1005)-SUMPRODUCT((MOVIMIENTOS!$B$5:$B$1005="ENVÍO A SUPESA")*(MOVIMIENTOS!$C$5:$C$1005="C")*(MOVIMIENTOS!$D$5:$D$1005="jabas")*(MOVIMIENTOS!$A$5:$A$1005&lt;&gt;"")*(MOVIMIENTOS!$A$5:$A$1005&lt;=$A285)*MOVIMIENTOS!$E$5:$E$1005)+SUMPRODUCT((MOVIMIENTOS!$B$5:$B$1005="DEVOLUCIÓN")*(MOVIMIENTOS!$C$5:$C$1005="C")*(MOVIMIENTOS!$D$5:$D$1005="jabas")*(MOVIMIENTOS!$A$5:$A$1005&lt;&gt;"")*(MOVIMIENTOS!$A$5:$A$1005&lt;=$A285)*MOVIMIENTOS!$E$5:$E$1005)-SUMPRODUCT((MOVIMIENTOS!$B$5:$B$1005="TRASIEGO")*(MOVIMIENTOS!$C$5:$C$1005="C")*(MOVIMIENTOS!$D$5:$D$1005="jabas")*(MOVIMIENTOS!$A$5:$A$1005&lt;&gt;"")*(MOVIMIENTOS!$A$5:$A$1005&lt;=$A285)*MOVIMIENTOS!$E$5:$E$1005)-SUMPRODUCT((MOVIMIENTOS!$B$5:$B$1005="REGALO")*(MOVIMIENTOS!$C$5:$C$1005="C")*(MOVIMIENTOS!$D$5:$D$1005="jabas")*(MOVIMIENTOS!$A$5:$A$1005&lt;&gt;"")*(MOVIMIENTOS!$A$5:$A$1005&lt;=$A285)*MOVIMIENTOS!$E$5:$E$1005)-SUMPRODUCT((MOVIMIENTOS!$B$5:$B$1005="VENTA")*(MOVIMIENTOS!$C$5:$C$1005="C")*(MOVIMIENTOS!$D$5:$D$1005="jabas")*(MOVIMIENTOS!$A$5:$A$1005&lt;&gt;"")*(MOVIMIENTOS!$A$5:$A$1005&lt;=$A285)*MOVIMIENTOS!$E$5:$E$1005)+SUMPRODUCT((MOVIMIENTOS!$B$5:$B$1005="AJUSTE")*(MOVIMIENTOS!$C$5:$C$1005="C")*(MOVIMIENTOS!$D$5:$D$1005="jabas")*(MOVIMIENTOS!$A$5:$A$1005&lt;&gt;"")*(MOVIMIENTOS!$A$5:$A$1005&lt;=$A285)*MOVIMIENTOS!$E$5:$E$1005))</f>
        <v/>
      </c>
      <c r="E285" s="63" t="str">
        <f>IF($A285="","",SUMPRODUCT((MOVIMIENTOS!$B$5:$B$1005="SALDO INICIAL")*(MOVIMIENTOS!$C$5:$C$1005="M")*(MOVIMIENTOS!$D$5:$D$1005="jabas")*(MOVIMIENTOS!$A$5:$A$1005&lt;&gt;"")*(MOVIMIENTOS!$A$5:$A$1005&lt;=$A285)*MOVIMIENTOS!$E$5:$E$1005)+SUMPRODUCT((MOVIMIENTOS!$B$5:$B$1005="PROCESO")*(MOVIMIENTOS!$C$5:$C$1005="M")*(MOVIMIENTOS!$D$5:$D$1005="jabas")*(MOVIMIENTOS!$A$5:$A$1005&lt;&gt;"")*(MOVIMIENTOS!$A$5:$A$1005&lt;=$A285)*MOVIMIENTOS!$E$5:$E$1005)-SUMPRODUCT((MOVIMIENTOS!$B$5:$B$1005="ENVÍO A SUPESA")*(MOVIMIENTOS!$C$5:$C$1005="M")*(MOVIMIENTOS!$D$5:$D$1005="jabas")*(MOVIMIENTOS!$A$5:$A$1005&lt;&gt;"")*(MOVIMIENTOS!$A$5:$A$1005&lt;=$A285)*MOVIMIENTOS!$E$5:$E$1005)+SUMPRODUCT((MOVIMIENTOS!$B$5:$B$1005="DEVOLUCIÓN")*(MOVIMIENTOS!$C$5:$C$1005="M")*(MOVIMIENTOS!$D$5:$D$1005="jabas")*(MOVIMIENTOS!$A$5:$A$1005&lt;&gt;"")*(MOVIMIENTOS!$A$5:$A$1005&lt;=$A285)*MOVIMIENTOS!$E$5:$E$1005)-SUMPRODUCT((MOVIMIENTOS!$B$5:$B$1005="TRASIEGO")*(MOVIMIENTOS!$C$5:$C$1005="M")*(MOVIMIENTOS!$D$5:$D$1005="jabas")*(MOVIMIENTOS!$A$5:$A$1005&lt;&gt;"")*(MOVIMIENTOS!$A$5:$A$1005&lt;=$A285)*MOVIMIENTOS!$E$5:$E$1005)-SUMPRODUCT((MOVIMIENTOS!$B$5:$B$1005="REGALO")*(MOVIMIENTOS!$C$5:$C$1005="M")*(MOVIMIENTOS!$D$5:$D$1005="jabas")*(MOVIMIENTOS!$A$5:$A$1005&lt;&gt;"")*(MOVIMIENTOS!$A$5:$A$1005&lt;=$A285)*MOVIMIENTOS!$E$5:$E$1005)-SUMPRODUCT((MOVIMIENTOS!$B$5:$B$1005="VENTA")*(MOVIMIENTOS!$C$5:$C$1005="M")*(MOVIMIENTOS!$D$5:$D$1005="jabas")*(MOVIMIENTOS!$A$5:$A$1005&lt;&gt;"")*(MOVIMIENTOS!$A$5:$A$1005&lt;=$A285)*MOVIMIENTOS!$E$5:$E$1005)+SUMPRODUCT((MOVIMIENTOS!$B$5:$B$1005="AJUSTE")*(MOVIMIENTOS!$C$5:$C$1005="M")*(MOVIMIENTOS!$D$5:$D$1005="jabas")*(MOVIMIENTOS!$A$5:$A$1005&lt;&gt;"")*(MOVIMIENTOS!$A$5:$A$1005&lt;=$A285)*MOVIMIENTOS!$E$5:$E$1005))</f>
        <v/>
      </c>
      <c r="F285" s="63" t="str">
        <f>IF($A285="","",SUMPRODUCT((MOVIMIENTOS!$B$5:$B$1005="SALDO INICIAL")*(MOVIMIENTOS!$C$5:$C$1005="Chancho")*(MOVIMIENTOS!$D$5:$D$1005="sacos")*(MOVIMIENTOS!$A$5:$A$1005&lt;&gt;"")*(MOVIMIENTOS!$A$5:$A$1005&lt;=$A285)*MOVIMIENTOS!$E$5:$E$1005)+SUMPRODUCT((MOVIMIENTOS!$B$5:$B$1005="PROCESO")*(MOVIMIENTOS!$C$5:$C$1005="Chancho")*(MOVIMIENTOS!$D$5:$D$1005="sacos")*(MOVIMIENTOS!$A$5:$A$1005&lt;&gt;"")*(MOVIMIENTOS!$A$5:$A$1005&lt;=$A285)*MOVIMIENTOS!$E$5:$E$1005)-SUMPRODUCT((MOVIMIENTOS!$B$5:$B$1005="VENTA CHANCHO")*(MOVIMIENTOS!$C$5:$C$1005="Chancho")*(MOVIMIENTOS!$D$5:$D$1005="sacos")*(MOVIMIENTOS!$A$5:$A$1005&lt;&gt;"")*(MOVIMIENTOS!$A$5:$A$1005&lt;=$A285)*MOVIMIENTOS!$E$5:$E$1005)-SUMPRODUCT((MOVIMIENTOS!$B$5:$B$1005="REGALO")*(MOVIMIENTOS!$C$5:$C$1005="Chancho")*(MOVIMIENTOS!$D$5:$D$1005="sacos")*(MOVIMIENTOS!$A$5:$A$1005&lt;&gt;"")*(MOVIMIENTOS!$A$5:$A$1005&lt;=$A285)*MOVIMIENTOS!$E$5:$E$1005)-SUMPRODUCT((MOVIMIENTOS!$B$5:$B$1005="VENTA")*(MOVIMIENTOS!$C$5:$C$1005="Chancho")*(MOVIMIENTOS!$D$5:$D$1005="sacos")*(MOVIMIENTOS!$A$5:$A$1005&lt;&gt;"")*(MOVIMIENTOS!$A$5:$A$1005&lt;=$A285)*MOVIMIENTOS!$E$5:$E$1005)+SUMPRODUCT((MOVIMIENTOS!$B$5:$B$1005="AJUSTE")*(MOVIMIENTOS!$C$5:$C$1005="Chancho")*(MOVIMIENTOS!$D$5:$D$1005="sacos")*(MOVIMIENTOS!$A$5:$A$1005&lt;&gt;"")*(MOVIMIENTOS!$A$5:$A$1005&lt;=$A285)*MOVIMIENTOS!$E$5:$E$1005))</f>
        <v/>
      </c>
      <c r="G285" s="95" t="str">
        <f t="shared" si="9"/>
        <v/>
      </c>
      <c r="H285" s="63" t="str">
        <f>IF($A285="","",SUMPRODUCT((((MOVIMIENTOS!$B$5:$B$1005="SALDO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285)*MOVIMIENTOS!$J$5:$J$1005))</f>
        <v/>
      </c>
      <c r="I285" s="63"/>
      <c r="J285" s="63" t="str">
        <f>IF(AND(MOVIMIENTOS!$A284&lt;&gt;"",COUNTIF(MOVIMIENTOS!$A$5:$A283,MOVIMIENTOS!$A284)=0),COUNT(J$4:J284)+1,"")</f>
        <v/>
      </c>
      <c r="K285" s="66">
        <f>MOVIMIENTOS!$A284</f>
        <v>46239</v>
      </c>
      <c r="L285" s="63"/>
      <c r="M285" s="63"/>
      <c r="N285" s="63"/>
    </row>
    <row r="286" spans="1:14" ht="15" customHeight="1" x14ac:dyDescent="0.2">
      <c r="A286" s="63" t="str">
        <f t="shared" si="8"/>
        <v/>
      </c>
      <c r="B286" s="63" t="str">
        <f>IF($A286="","",SUMPRODUCT((MOVIMIENTOS!$B$5:$B$1005="SALDO INICIAL")*(MOVIMIENTOS!$C$5:$C$1005="A")*(MOVIMIENTOS!$D$5:$D$1005="jabas")*(MOVIMIENTOS!$A$5:$A$1005&lt;&gt;"")*(MOVIMIENTOS!$A$5:$A$1005&lt;=$A286)*MOVIMIENTOS!$E$5:$E$1005)+SUMPRODUCT((MOVIMIENTOS!$B$5:$B$1005="PROCESO")*(MOVIMIENTOS!$C$5:$C$1005="A")*(MOVIMIENTOS!$D$5:$D$1005="jabas")*(MOVIMIENTOS!$A$5:$A$1005&lt;&gt;"")*(MOVIMIENTOS!$A$5:$A$1005&lt;=$A286)*MOVIMIENTOS!$E$5:$E$1005)-SUMPRODUCT((MOVIMIENTOS!$B$5:$B$1005="ENVÍO A SUPESA")*(MOVIMIENTOS!$C$5:$C$1005="A")*(MOVIMIENTOS!$D$5:$D$1005="jabas")*(MOVIMIENTOS!$A$5:$A$1005&lt;&gt;"")*(MOVIMIENTOS!$A$5:$A$1005&lt;=$A286)*MOVIMIENTOS!$E$5:$E$1005)+SUMPRODUCT((MOVIMIENTOS!$B$5:$B$1005="DEVOLUCIÓN")*(MOVIMIENTOS!$C$5:$C$1005="A")*(MOVIMIENTOS!$D$5:$D$1005="jabas")*(MOVIMIENTOS!$A$5:$A$1005&lt;&gt;"")*(MOVIMIENTOS!$A$5:$A$1005&lt;=$A286)*MOVIMIENTOS!$E$5:$E$1005)-SUMPRODUCT((MOVIMIENTOS!$B$5:$B$1005="TRASIEGO")*(MOVIMIENTOS!$C$5:$C$1005="A")*(MOVIMIENTOS!$D$5:$D$1005="jabas")*(MOVIMIENTOS!$A$5:$A$1005&lt;&gt;"")*(MOVIMIENTOS!$A$5:$A$1005&lt;=$A286)*MOVIMIENTOS!$E$5:$E$1005)-SUMPRODUCT((MOVIMIENTOS!$B$5:$B$1005="REGALO")*(MOVIMIENTOS!$C$5:$C$1005="A")*(MOVIMIENTOS!$D$5:$D$1005="jabas")*(MOVIMIENTOS!$A$5:$A$1005&lt;&gt;"")*(MOVIMIENTOS!$A$5:$A$1005&lt;=$A286)*MOVIMIENTOS!$E$5:$E$1005)-SUMPRODUCT((MOVIMIENTOS!$B$5:$B$1005="VENTA")*(MOVIMIENTOS!$C$5:$C$1005="A")*(MOVIMIENTOS!$D$5:$D$1005="jabas")*(MOVIMIENTOS!$A$5:$A$1005&lt;&gt;"")*(MOVIMIENTOS!$A$5:$A$1005&lt;=$A286)*MOVIMIENTOS!$E$5:$E$1005)+SUMPRODUCT((MOVIMIENTOS!$B$5:$B$1005="AJUSTE")*(MOVIMIENTOS!$C$5:$C$1005="A")*(MOVIMIENTOS!$D$5:$D$1005="jabas")*(MOVIMIENTOS!$A$5:$A$1005&lt;&gt;"")*(MOVIMIENTOS!$A$5:$A$1005&lt;=$A286)*MOVIMIENTOS!$E$5:$E$1005))</f>
        <v/>
      </c>
      <c r="C286" s="63" t="str">
        <f>IF($A286="","",SUMPRODUCT((MOVIMIENTOS!$B$5:$B$1005="SALDO INICIAL")*(MOVIMIENTOS!$C$5:$C$1005="P")*(MOVIMIENTOS!$D$5:$D$1005="jabas")*(MOVIMIENTOS!$A$5:$A$1005&lt;&gt;"")*(MOVIMIENTOS!$A$5:$A$1005&lt;=$A286)*MOVIMIENTOS!$E$5:$E$1005)+SUMPRODUCT((MOVIMIENTOS!$B$5:$B$1005="PROCESO")*(MOVIMIENTOS!$C$5:$C$1005="P")*(MOVIMIENTOS!$D$5:$D$1005="jabas")*(MOVIMIENTOS!$A$5:$A$1005&lt;&gt;"")*(MOVIMIENTOS!$A$5:$A$1005&lt;=$A286)*MOVIMIENTOS!$E$5:$E$1005)-SUMPRODUCT((MOVIMIENTOS!$B$5:$B$1005="ENVÍO A SUPESA")*(MOVIMIENTOS!$C$5:$C$1005="P")*(MOVIMIENTOS!$D$5:$D$1005="jabas")*(MOVIMIENTOS!$A$5:$A$1005&lt;&gt;"")*(MOVIMIENTOS!$A$5:$A$1005&lt;=$A286)*MOVIMIENTOS!$E$5:$E$1005)+SUMPRODUCT((MOVIMIENTOS!$B$5:$B$1005="DEVOLUCIÓN")*(MOVIMIENTOS!$C$5:$C$1005="P")*(MOVIMIENTOS!$D$5:$D$1005="jabas")*(MOVIMIENTOS!$A$5:$A$1005&lt;&gt;"")*(MOVIMIENTOS!$A$5:$A$1005&lt;=$A286)*MOVIMIENTOS!$E$5:$E$1005)-SUMPRODUCT((MOVIMIENTOS!$B$5:$B$1005="TRASIEGO")*(MOVIMIENTOS!$C$5:$C$1005="P")*(MOVIMIENTOS!$D$5:$D$1005="jabas")*(MOVIMIENTOS!$A$5:$A$1005&lt;&gt;"")*(MOVIMIENTOS!$A$5:$A$1005&lt;=$A286)*MOVIMIENTOS!$E$5:$E$1005)-SUMPRODUCT((MOVIMIENTOS!$B$5:$B$1005="REGALO")*(MOVIMIENTOS!$C$5:$C$1005="P")*(MOVIMIENTOS!$D$5:$D$1005="jabas")*(MOVIMIENTOS!$A$5:$A$1005&lt;&gt;"")*(MOVIMIENTOS!$A$5:$A$1005&lt;=$A286)*MOVIMIENTOS!$E$5:$E$1005)-SUMPRODUCT((MOVIMIENTOS!$B$5:$B$1005="VENTA")*(MOVIMIENTOS!$C$5:$C$1005="P")*(MOVIMIENTOS!$D$5:$D$1005="jabas")*(MOVIMIENTOS!$A$5:$A$1005&lt;&gt;"")*(MOVIMIENTOS!$A$5:$A$1005&lt;=$A286)*MOVIMIENTOS!$E$5:$E$1005)+SUMPRODUCT((MOVIMIENTOS!$B$5:$B$1005="AJUSTE")*(MOVIMIENTOS!$C$5:$C$1005="P")*(MOVIMIENTOS!$D$5:$D$1005="jabas")*(MOVIMIENTOS!$A$5:$A$1005&lt;&gt;"")*(MOVIMIENTOS!$A$5:$A$1005&lt;=$A286)*MOVIMIENTOS!$E$5:$E$1005))</f>
        <v/>
      </c>
      <c r="D286" s="63" t="str">
        <f>IF($A286="","",SUMPRODUCT((MOVIMIENTOS!$B$5:$B$1005="SALDO INICIAL")*(MOVIMIENTOS!$C$5:$C$1005="C")*(MOVIMIENTOS!$D$5:$D$1005="jabas")*(MOVIMIENTOS!$A$5:$A$1005&lt;&gt;"")*(MOVIMIENTOS!$A$5:$A$1005&lt;=$A286)*MOVIMIENTOS!$E$5:$E$1005)+SUMPRODUCT((MOVIMIENTOS!$B$5:$B$1005="PROCESO")*(MOVIMIENTOS!$C$5:$C$1005="C")*(MOVIMIENTOS!$D$5:$D$1005="jabas")*(MOVIMIENTOS!$A$5:$A$1005&lt;&gt;"")*(MOVIMIENTOS!$A$5:$A$1005&lt;=$A286)*MOVIMIENTOS!$E$5:$E$1005)-SUMPRODUCT((MOVIMIENTOS!$B$5:$B$1005="ENVÍO A SUPESA")*(MOVIMIENTOS!$C$5:$C$1005="C")*(MOVIMIENTOS!$D$5:$D$1005="jabas")*(MOVIMIENTOS!$A$5:$A$1005&lt;&gt;"")*(MOVIMIENTOS!$A$5:$A$1005&lt;=$A286)*MOVIMIENTOS!$E$5:$E$1005)+SUMPRODUCT((MOVIMIENTOS!$B$5:$B$1005="DEVOLUCIÓN")*(MOVIMIENTOS!$C$5:$C$1005="C")*(MOVIMIENTOS!$D$5:$D$1005="jabas")*(MOVIMIENTOS!$A$5:$A$1005&lt;&gt;"")*(MOVIMIENTOS!$A$5:$A$1005&lt;=$A286)*MOVIMIENTOS!$E$5:$E$1005)-SUMPRODUCT((MOVIMIENTOS!$B$5:$B$1005="TRASIEGO")*(MOVIMIENTOS!$C$5:$C$1005="C")*(MOVIMIENTOS!$D$5:$D$1005="jabas")*(MOVIMIENTOS!$A$5:$A$1005&lt;&gt;"")*(MOVIMIENTOS!$A$5:$A$1005&lt;=$A286)*MOVIMIENTOS!$E$5:$E$1005)-SUMPRODUCT((MOVIMIENTOS!$B$5:$B$1005="REGALO")*(MOVIMIENTOS!$C$5:$C$1005="C")*(MOVIMIENTOS!$D$5:$D$1005="jabas")*(MOVIMIENTOS!$A$5:$A$1005&lt;&gt;"")*(MOVIMIENTOS!$A$5:$A$1005&lt;=$A286)*MOVIMIENTOS!$E$5:$E$1005)-SUMPRODUCT((MOVIMIENTOS!$B$5:$B$1005="VENTA")*(MOVIMIENTOS!$C$5:$C$1005="C")*(MOVIMIENTOS!$D$5:$D$1005="jabas")*(MOVIMIENTOS!$A$5:$A$1005&lt;&gt;"")*(MOVIMIENTOS!$A$5:$A$1005&lt;=$A286)*MOVIMIENTOS!$E$5:$E$1005)+SUMPRODUCT((MOVIMIENTOS!$B$5:$B$1005="AJUSTE")*(MOVIMIENTOS!$C$5:$C$1005="C")*(MOVIMIENTOS!$D$5:$D$1005="jabas")*(MOVIMIENTOS!$A$5:$A$1005&lt;&gt;"")*(MOVIMIENTOS!$A$5:$A$1005&lt;=$A286)*MOVIMIENTOS!$E$5:$E$1005))</f>
        <v/>
      </c>
      <c r="E286" s="63" t="str">
        <f>IF($A286="","",SUMPRODUCT((MOVIMIENTOS!$B$5:$B$1005="SALDO INICIAL")*(MOVIMIENTOS!$C$5:$C$1005="M")*(MOVIMIENTOS!$D$5:$D$1005="jabas")*(MOVIMIENTOS!$A$5:$A$1005&lt;&gt;"")*(MOVIMIENTOS!$A$5:$A$1005&lt;=$A286)*MOVIMIENTOS!$E$5:$E$1005)+SUMPRODUCT((MOVIMIENTOS!$B$5:$B$1005="PROCESO")*(MOVIMIENTOS!$C$5:$C$1005="M")*(MOVIMIENTOS!$D$5:$D$1005="jabas")*(MOVIMIENTOS!$A$5:$A$1005&lt;&gt;"")*(MOVIMIENTOS!$A$5:$A$1005&lt;=$A286)*MOVIMIENTOS!$E$5:$E$1005)-SUMPRODUCT((MOVIMIENTOS!$B$5:$B$1005="ENVÍO A SUPESA")*(MOVIMIENTOS!$C$5:$C$1005="M")*(MOVIMIENTOS!$D$5:$D$1005="jabas")*(MOVIMIENTOS!$A$5:$A$1005&lt;&gt;"")*(MOVIMIENTOS!$A$5:$A$1005&lt;=$A286)*MOVIMIENTOS!$E$5:$E$1005)+SUMPRODUCT((MOVIMIENTOS!$B$5:$B$1005="DEVOLUCIÓN")*(MOVIMIENTOS!$C$5:$C$1005="M")*(MOVIMIENTOS!$D$5:$D$1005="jabas")*(MOVIMIENTOS!$A$5:$A$1005&lt;&gt;"")*(MOVIMIENTOS!$A$5:$A$1005&lt;=$A286)*MOVIMIENTOS!$E$5:$E$1005)-SUMPRODUCT((MOVIMIENTOS!$B$5:$B$1005="TRASIEGO")*(MOVIMIENTOS!$C$5:$C$1005="M")*(MOVIMIENTOS!$D$5:$D$1005="jabas")*(MOVIMIENTOS!$A$5:$A$1005&lt;&gt;"")*(MOVIMIENTOS!$A$5:$A$1005&lt;=$A286)*MOVIMIENTOS!$E$5:$E$1005)-SUMPRODUCT((MOVIMIENTOS!$B$5:$B$1005="REGALO")*(MOVIMIENTOS!$C$5:$C$1005="M")*(MOVIMIENTOS!$D$5:$D$1005="jabas")*(MOVIMIENTOS!$A$5:$A$1005&lt;&gt;"")*(MOVIMIENTOS!$A$5:$A$1005&lt;=$A286)*MOVIMIENTOS!$E$5:$E$1005)-SUMPRODUCT((MOVIMIENTOS!$B$5:$B$1005="VENTA")*(MOVIMIENTOS!$C$5:$C$1005="M")*(MOVIMIENTOS!$D$5:$D$1005="jabas")*(MOVIMIENTOS!$A$5:$A$1005&lt;&gt;"")*(MOVIMIENTOS!$A$5:$A$1005&lt;=$A286)*MOVIMIENTOS!$E$5:$E$1005)+SUMPRODUCT((MOVIMIENTOS!$B$5:$B$1005="AJUSTE")*(MOVIMIENTOS!$C$5:$C$1005="M")*(MOVIMIENTOS!$D$5:$D$1005="jabas")*(MOVIMIENTOS!$A$5:$A$1005&lt;&gt;"")*(MOVIMIENTOS!$A$5:$A$1005&lt;=$A286)*MOVIMIENTOS!$E$5:$E$1005))</f>
        <v/>
      </c>
      <c r="F286" s="63" t="str">
        <f>IF($A286="","",SUMPRODUCT((MOVIMIENTOS!$B$5:$B$1005="SALDO INICIAL")*(MOVIMIENTOS!$C$5:$C$1005="Chancho")*(MOVIMIENTOS!$D$5:$D$1005="sacos")*(MOVIMIENTOS!$A$5:$A$1005&lt;&gt;"")*(MOVIMIENTOS!$A$5:$A$1005&lt;=$A286)*MOVIMIENTOS!$E$5:$E$1005)+SUMPRODUCT((MOVIMIENTOS!$B$5:$B$1005="PROCESO")*(MOVIMIENTOS!$C$5:$C$1005="Chancho")*(MOVIMIENTOS!$D$5:$D$1005="sacos")*(MOVIMIENTOS!$A$5:$A$1005&lt;&gt;"")*(MOVIMIENTOS!$A$5:$A$1005&lt;=$A286)*MOVIMIENTOS!$E$5:$E$1005)-SUMPRODUCT((MOVIMIENTOS!$B$5:$B$1005="VENTA CHANCHO")*(MOVIMIENTOS!$C$5:$C$1005="Chancho")*(MOVIMIENTOS!$D$5:$D$1005="sacos")*(MOVIMIENTOS!$A$5:$A$1005&lt;&gt;"")*(MOVIMIENTOS!$A$5:$A$1005&lt;=$A286)*MOVIMIENTOS!$E$5:$E$1005)-SUMPRODUCT((MOVIMIENTOS!$B$5:$B$1005="REGALO")*(MOVIMIENTOS!$C$5:$C$1005="Chancho")*(MOVIMIENTOS!$D$5:$D$1005="sacos")*(MOVIMIENTOS!$A$5:$A$1005&lt;&gt;"")*(MOVIMIENTOS!$A$5:$A$1005&lt;=$A286)*MOVIMIENTOS!$E$5:$E$1005)-SUMPRODUCT((MOVIMIENTOS!$B$5:$B$1005="VENTA")*(MOVIMIENTOS!$C$5:$C$1005="Chancho")*(MOVIMIENTOS!$D$5:$D$1005="sacos")*(MOVIMIENTOS!$A$5:$A$1005&lt;&gt;"")*(MOVIMIENTOS!$A$5:$A$1005&lt;=$A286)*MOVIMIENTOS!$E$5:$E$1005)+SUMPRODUCT((MOVIMIENTOS!$B$5:$B$1005="AJUSTE")*(MOVIMIENTOS!$C$5:$C$1005="Chancho")*(MOVIMIENTOS!$D$5:$D$1005="sacos")*(MOVIMIENTOS!$A$5:$A$1005&lt;&gt;"")*(MOVIMIENTOS!$A$5:$A$1005&lt;=$A286)*MOVIMIENTOS!$E$5:$E$1005))</f>
        <v/>
      </c>
      <c r="G286" s="95" t="str">
        <f t="shared" si="9"/>
        <v/>
      </c>
      <c r="H286" s="63" t="str">
        <f>IF($A286="","",SUMPRODUCT((((MOVIMIENTOS!$B$5:$B$1005="SALDO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286)*MOVIMIENTOS!$J$5:$J$1005))</f>
        <v/>
      </c>
      <c r="I286" s="63"/>
      <c r="J286" s="63" t="str">
        <f>IF(AND(MOVIMIENTOS!$A285&lt;&gt;"",COUNTIF(MOVIMIENTOS!$A$5:$A284,MOVIMIENTOS!$A285)=0),COUNT(J$4:J285)+1,"")</f>
        <v/>
      </c>
      <c r="K286" s="66">
        <f>MOVIMIENTOS!$A285</f>
        <v>46239</v>
      </c>
      <c r="L286" s="63"/>
      <c r="M286" s="63"/>
      <c r="N286" s="63"/>
    </row>
    <row r="287" spans="1:14" ht="15" customHeight="1" x14ac:dyDescent="0.2">
      <c r="A287" s="63" t="str">
        <f t="shared" si="8"/>
        <v/>
      </c>
      <c r="B287" s="63" t="str">
        <f>IF($A287="","",SUMPRODUCT((MOVIMIENTOS!$B$5:$B$1005="SALDO INICIAL")*(MOVIMIENTOS!$C$5:$C$1005="A")*(MOVIMIENTOS!$D$5:$D$1005="jabas")*(MOVIMIENTOS!$A$5:$A$1005&lt;&gt;"")*(MOVIMIENTOS!$A$5:$A$1005&lt;=$A287)*MOVIMIENTOS!$E$5:$E$1005)+SUMPRODUCT((MOVIMIENTOS!$B$5:$B$1005="PROCESO")*(MOVIMIENTOS!$C$5:$C$1005="A")*(MOVIMIENTOS!$D$5:$D$1005="jabas")*(MOVIMIENTOS!$A$5:$A$1005&lt;&gt;"")*(MOVIMIENTOS!$A$5:$A$1005&lt;=$A287)*MOVIMIENTOS!$E$5:$E$1005)-SUMPRODUCT((MOVIMIENTOS!$B$5:$B$1005="ENVÍO A SUPESA")*(MOVIMIENTOS!$C$5:$C$1005="A")*(MOVIMIENTOS!$D$5:$D$1005="jabas")*(MOVIMIENTOS!$A$5:$A$1005&lt;&gt;"")*(MOVIMIENTOS!$A$5:$A$1005&lt;=$A287)*MOVIMIENTOS!$E$5:$E$1005)+SUMPRODUCT((MOVIMIENTOS!$B$5:$B$1005="DEVOLUCIÓN")*(MOVIMIENTOS!$C$5:$C$1005="A")*(MOVIMIENTOS!$D$5:$D$1005="jabas")*(MOVIMIENTOS!$A$5:$A$1005&lt;&gt;"")*(MOVIMIENTOS!$A$5:$A$1005&lt;=$A287)*MOVIMIENTOS!$E$5:$E$1005)-SUMPRODUCT((MOVIMIENTOS!$B$5:$B$1005="TRASIEGO")*(MOVIMIENTOS!$C$5:$C$1005="A")*(MOVIMIENTOS!$D$5:$D$1005="jabas")*(MOVIMIENTOS!$A$5:$A$1005&lt;&gt;"")*(MOVIMIENTOS!$A$5:$A$1005&lt;=$A287)*MOVIMIENTOS!$E$5:$E$1005)-SUMPRODUCT((MOVIMIENTOS!$B$5:$B$1005="REGALO")*(MOVIMIENTOS!$C$5:$C$1005="A")*(MOVIMIENTOS!$D$5:$D$1005="jabas")*(MOVIMIENTOS!$A$5:$A$1005&lt;&gt;"")*(MOVIMIENTOS!$A$5:$A$1005&lt;=$A287)*MOVIMIENTOS!$E$5:$E$1005)-SUMPRODUCT((MOVIMIENTOS!$B$5:$B$1005="VENTA")*(MOVIMIENTOS!$C$5:$C$1005="A")*(MOVIMIENTOS!$D$5:$D$1005="jabas")*(MOVIMIENTOS!$A$5:$A$1005&lt;&gt;"")*(MOVIMIENTOS!$A$5:$A$1005&lt;=$A287)*MOVIMIENTOS!$E$5:$E$1005)+SUMPRODUCT((MOVIMIENTOS!$B$5:$B$1005="AJUSTE")*(MOVIMIENTOS!$C$5:$C$1005="A")*(MOVIMIENTOS!$D$5:$D$1005="jabas")*(MOVIMIENTOS!$A$5:$A$1005&lt;&gt;"")*(MOVIMIENTOS!$A$5:$A$1005&lt;=$A287)*MOVIMIENTOS!$E$5:$E$1005))</f>
        <v/>
      </c>
      <c r="C287" s="63" t="str">
        <f>IF($A287="","",SUMPRODUCT((MOVIMIENTOS!$B$5:$B$1005="SALDO INICIAL")*(MOVIMIENTOS!$C$5:$C$1005="P")*(MOVIMIENTOS!$D$5:$D$1005="jabas")*(MOVIMIENTOS!$A$5:$A$1005&lt;&gt;"")*(MOVIMIENTOS!$A$5:$A$1005&lt;=$A287)*MOVIMIENTOS!$E$5:$E$1005)+SUMPRODUCT((MOVIMIENTOS!$B$5:$B$1005="PROCESO")*(MOVIMIENTOS!$C$5:$C$1005="P")*(MOVIMIENTOS!$D$5:$D$1005="jabas")*(MOVIMIENTOS!$A$5:$A$1005&lt;&gt;"")*(MOVIMIENTOS!$A$5:$A$1005&lt;=$A287)*MOVIMIENTOS!$E$5:$E$1005)-SUMPRODUCT((MOVIMIENTOS!$B$5:$B$1005="ENVÍO A SUPESA")*(MOVIMIENTOS!$C$5:$C$1005="P")*(MOVIMIENTOS!$D$5:$D$1005="jabas")*(MOVIMIENTOS!$A$5:$A$1005&lt;&gt;"")*(MOVIMIENTOS!$A$5:$A$1005&lt;=$A287)*MOVIMIENTOS!$E$5:$E$1005)+SUMPRODUCT((MOVIMIENTOS!$B$5:$B$1005="DEVOLUCIÓN")*(MOVIMIENTOS!$C$5:$C$1005="P")*(MOVIMIENTOS!$D$5:$D$1005="jabas")*(MOVIMIENTOS!$A$5:$A$1005&lt;&gt;"")*(MOVIMIENTOS!$A$5:$A$1005&lt;=$A287)*MOVIMIENTOS!$E$5:$E$1005)-SUMPRODUCT((MOVIMIENTOS!$B$5:$B$1005="TRASIEGO")*(MOVIMIENTOS!$C$5:$C$1005="P")*(MOVIMIENTOS!$D$5:$D$1005="jabas")*(MOVIMIENTOS!$A$5:$A$1005&lt;&gt;"")*(MOVIMIENTOS!$A$5:$A$1005&lt;=$A287)*MOVIMIENTOS!$E$5:$E$1005)-SUMPRODUCT((MOVIMIENTOS!$B$5:$B$1005="REGALO")*(MOVIMIENTOS!$C$5:$C$1005="P")*(MOVIMIENTOS!$D$5:$D$1005="jabas")*(MOVIMIENTOS!$A$5:$A$1005&lt;&gt;"")*(MOVIMIENTOS!$A$5:$A$1005&lt;=$A287)*MOVIMIENTOS!$E$5:$E$1005)-SUMPRODUCT((MOVIMIENTOS!$B$5:$B$1005="VENTA")*(MOVIMIENTOS!$C$5:$C$1005="P")*(MOVIMIENTOS!$D$5:$D$1005="jabas")*(MOVIMIENTOS!$A$5:$A$1005&lt;&gt;"")*(MOVIMIENTOS!$A$5:$A$1005&lt;=$A287)*MOVIMIENTOS!$E$5:$E$1005)+SUMPRODUCT((MOVIMIENTOS!$B$5:$B$1005="AJUSTE")*(MOVIMIENTOS!$C$5:$C$1005="P")*(MOVIMIENTOS!$D$5:$D$1005="jabas")*(MOVIMIENTOS!$A$5:$A$1005&lt;&gt;"")*(MOVIMIENTOS!$A$5:$A$1005&lt;=$A287)*MOVIMIENTOS!$E$5:$E$1005))</f>
        <v/>
      </c>
      <c r="D287" s="63" t="str">
        <f>IF($A287="","",SUMPRODUCT((MOVIMIENTOS!$B$5:$B$1005="SALDO INICIAL")*(MOVIMIENTOS!$C$5:$C$1005="C")*(MOVIMIENTOS!$D$5:$D$1005="jabas")*(MOVIMIENTOS!$A$5:$A$1005&lt;&gt;"")*(MOVIMIENTOS!$A$5:$A$1005&lt;=$A287)*MOVIMIENTOS!$E$5:$E$1005)+SUMPRODUCT((MOVIMIENTOS!$B$5:$B$1005="PROCESO")*(MOVIMIENTOS!$C$5:$C$1005="C")*(MOVIMIENTOS!$D$5:$D$1005="jabas")*(MOVIMIENTOS!$A$5:$A$1005&lt;&gt;"")*(MOVIMIENTOS!$A$5:$A$1005&lt;=$A287)*MOVIMIENTOS!$E$5:$E$1005)-SUMPRODUCT((MOVIMIENTOS!$B$5:$B$1005="ENVÍO A SUPESA")*(MOVIMIENTOS!$C$5:$C$1005="C")*(MOVIMIENTOS!$D$5:$D$1005="jabas")*(MOVIMIENTOS!$A$5:$A$1005&lt;&gt;"")*(MOVIMIENTOS!$A$5:$A$1005&lt;=$A287)*MOVIMIENTOS!$E$5:$E$1005)+SUMPRODUCT((MOVIMIENTOS!$B$5:$B$1005="DEVOLUCIÓN")*(MOVIMIENTOS!$C$5:$C$1005="C")*(MOVIMIENTOS!$D$5:$D$1005="jabas")*(MOVIMIENTOS!$A$5:$A$1005&lt;&gt;"")*(MOVIMIENTOS!$A$5:$A$1005&lt;=$A287)*MOVIMIENTOS!$E$5:$E$1005)-SUMPRODUCT((MOVIMIENTOS!$B$5:$B$1005="TRASIEGO")*(MOVIMIENTOS!$C$5:$C$1005="C")*(MOVIMIENTOS!$D$5:$D$1005="jabas")*(MOVIMIENTOS!$A$5:$A$1005&lt;&gt;"")*(MOVIMIENTOS!$A$5:$A$1005&lt;=$A287)*MOVIMIENTOS!$E$5:$E$1005)-SUMPRODUCT((MOVIMIENTOS!$B$5:$B$1005="REGALO")*(MOVIMIENTOS!$C$5:$C$1005="C")*(MOVIMIENTOS!$D$5:$D$1005="jabas")*(MOVIMIENTOS!$A$5:$A$1005&lt;&gt;"")*(MOVIMIENTOS!$A$5:$A$1005&lt;=$A287)*MOVIMIENTOS!$E$5:$E$1005)-SUMPRODUCT((MOVIMIENTOS!$B$5:$B$1005="VENTA")*(MOVIMIENTOS!$C$5:$C$1005="C")*(MOVIMIENTOS!$D$5:$D$1005="jabas")*(MOVIMIENTOS!$A$5:$A$1005&lt;&gt;"")*(MOVIMIENTOS!$A$5:$A$1005&lt;=$A287)*MOVIMIENTOS!$E$5:$E$1005)+SUMPRODUCT((MOVIMIENTOS!$B$5:$B$1005="AJUSTE")*(MOVIMIENTOS!$C$5:$C$1005="C")*(MOVIMIENTOS!$D$5:$D$1005="jabas")*(MOVIMIENTOS!$A$5:$A$1005&lt;&gt;"")*(MOVIMIENTOS!$A$5:$A$1005&lt;=$A287)*MOVIMIENTOS!$E$5:$E$1005))</f>
        <v/>
      </c>
      <c r="E287" s="63" t="str">
        <f>IF($A287="","",SUMPRODUCT((MOVIMIENTOS!$B$5:$B$1005="SALDO INICIAL")*(MOVIMIENTOS!$C$5:$C$1005="M")*(MOVIMIENTOS!$D$5:$D$1005="jabas")*(MOVIMIENTOS!$A$5:$A$1005&lt;&gt;"")*(MOVIMIENTOS!$A$5:$A$1005&lt;=$A287)*MOVIMIENTOS!$E$5:$E$1005)+SUMPRODUCT((MOVIMIENTOS!$B$5:$B$1005="PROCESO")*(MOVIMIENTOS!$C$5:$C$1005="M")*(MOVIMIENTOS!$D$5:$D$1005="jabas")*(MOVIMIENTOS!$A$5:$A$1005&lt;&gt;"")*(MOVIMIENTOS!$A$5:$A$1005&lt;=$A287)*MOVIMIENTOS!$E$5:$E$1005)-SUMPRODUCT((MOVIMIENTOS!$B$5:$B$1005="ENVÍO A SUPESA")*(MOVIMIENTOS!$C$5:$C$1005="M")*(MOVIMIENTOS!$D$5:$D$1005="jabas")*(MOVIMIENTOS!$A$5:$A$1005&lt;&gt;"")*(MOVIMIENTOS!$A$5:$A$1005&lt;=$A287)*MOVIMIENTOS!$E$5:$E$1005)+SUMPRODUCT((MOVIMIENTOS!$B$5:$B$1005="DEVOLUCIÓN")*(MOVIMIENTOS!$C$5:$C$1005="M")*(MOVIMIENTOS!$D$5:$D$1005="jabas")*(MOVIMIENTOS!$A$5:$A$1005&lt;&gt;"")*(MOVIMIENTOS!$A$5:$A$1005&lt;=$A287)*MOVIMIENTOS!$E$5:$E$1005)-SUMPRODUCT((MOVIMIENTOS!$B$5:$B$1005="TRASIEGO")*(MOVIMIENTOS!$C$5:$C$1005="M")*(MOVIMIENTOS!$D$5:$D$1005="jabas")*(MOVIMIENTOS!$A$5:$A$1005&lt;&gt;"")*(MOVIMIENTOS!$A$5:$A$1005&lt;=$A287)*MOVIMIENTOS!$E$5:$E$1005)-SUMPRODUCT((MOVIMIENTOS!$B$5:$B$1005="REGALO")*(MOVIMIENTOS!$C$5:$C$1005="M")*(MOVIMIENTOS!$D$5:$D$1005="jabas")*(MOVIMIENTOS!$A$5:$A$1005&lt;&gt;"")*(MOVIMIENTOS!$A$5:$A$1005&lt;=$A287)*MOVIMIENTOS!$E$5:$E$1005)-SUMPRODUCT((MOVIMIENTOS!$B$5:$B$1005="VENTA")*(MOVIMIENTOS!$C$5:$C$1005="M")*(MOVIMIENTOS!$D$5:$D$1005="jabas")*(MOVIMIENTOS!$A$5:$A$1005&lt;&gt;"")*(MOVIMIENTOS!$A$5:$A$1005&lt;=$A287)*MOVIMIENTOS!$E$5:$E$1005)+SUMPRODUCT((MOVIMIENTOS!$B$5:$B$1005="AJUSTE")*(MOVIMIENTOS!$C$5:$C$1005="M")*(MOVIMIENTOS!$D$5:$D$1005="jabas")*(MOVIMIENTOS!$A$5:$A$1005&lt;&gt;"")*(MOVIMIENTOS!$A$5:$A$1005&lt;=$A287)*MOVIMIENTOS!$E$5:$E$1005))</f>
        <v/>
      </c>
      <c r="F287" s="63" t="str">
        <f>IF($A287="","",SUMPRODUCT((MOVIMIENTOS!$B$5:$B$1005="SALDO INICIAL")*(MOVIMIENTOS!$C$5:$C$1005="Chancho")*(MOVIMIENTOS!$D$5:$D$1005="sacos")*(MOVIMIENTOS!$A$5:$A$1005&lt;&gt;"")*(MOVIMIENTOS!$A$5:$A$1005&lt;=$A287)*MOVIMIENTOS!$E$5:$E$1005)+SUMPRODUCT((MOVIMIENTOS!$B$5:$B$1005="PROCESO")*(MOVIMIENTOS!$C$5:$C$1005="Chancho")*(MOVIMIENTOS!$D$5:$D$1005="sacos")*(MOVIMIENTOS!$A$5:$A$1005&lt;&gt;"")*(MOVIMIENTOS!$A$5:$A$1005&lt;=$A287)*MOVIMIENTOS!$E$5:$E$1005)-SUMPRODUCT((MOVIMIENTOS!$B$5:$B$1005="VENTA CHANCHO")*(MOVIMIENTOS!$C$5:$C$1005="Chancho")*(MOVIMIENTOS!$D$5:$D$1005="sacos")*(MOVIMIENTOS!$A$5:$A$1005&lt;&gt;"")*(MOVIMIENTOS!$A$5:$A$1005&lt;=$A287)*MOVIMIENTOS!$E$5:$E$1005)-SUMPRODUCT((MOVIMIENTOS!$B$5:$B$1005="REGALO")*(MOVIMIENTOS!$C$5:$C$1005="Chancho")*(MOVIMIENTOS!$D$5:$D$1005="sacos")*(MOVIMIENTOS!$A$5:$A$1005&lt;&gt;"")*(MOVIMIENTOS!$A$5:$A$1005&lt;=$A287)*MOVIMIENTOS!$E$5:$E$1005)-SUMPRODUCT((MOVIMIENTOS!$B$5:$B$1005="VENTA")*(MOVIMIENTOS!$C$5:$C$1005="Chancho")*(MOVIMIENTOS!$D$5:$D$1005="sacos")*(MOVIMIENTOS!$A$5:$A$1005&lt;&gt;"")*(MOVIMIENTOS!$A$5:$A$1005&lt;=$A287)*MOVIMIENTOS!$E$5:$E$1005)+SUMPRODUCT((MOVIMIENTOS!$B$5:$B$1005="AJUSTE")*(MOVIMIENTOS!$C$5:$C$1005="Chancho")*(MOVIMIENTOS!$D$5:$D$1005="sacos")*(MOVIMIENTOS!$A$5:$A$1005&lt;&gt;"")*(MOVIMIENTOS!$A$5:$A$1005&lt;=$A287)*MOVIMIENTOS!$E$5:$E$1005))</f>
        <v/>
      </c>
      <c r="G287" s="95" t="str">
        <f t="shared" si="9"/>
        <v/>
      </c>
      <c r="H287" s="63" t="str">
        <f>IF($A287="","",SUMPRODUCT((((MOVIMIENTOS!$B$5:$B$1005="SALDO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287)*MOVIMIENTOS!$J$5:$J$1005))</f>
        <v/>
      </c>
      <c r="I287" s="63"/>
      <c r="J287" s="63" t="str">
        <f>IF(AND(MOVIMIENTOS!$A286&lt;&gt;"",COUNTIF(MOVIMIENTOS!$A$5:$A285,MOVIMIENTOS!$A286)=0),COUNT(J$4:J286)+1,"")</f>
        <v/>
      </c>
      <c r="K287" s="66">
        <f>MOVIMIENTOS!$A286</f>
        <v>46239</v>
      </c>
      <c r="L287" s="63"/>
      <c r="M287" s="63"/>
      <c r="N287" s="63"/>
    </row>
    <row r="288" spans="1:14" ht="15" customHeight="1" x14ac:dyDescent="0.2">
      <c r="A288" s="63" t="str">
        <f t="shared" si="8"/>
        <v/>
      </c>
      <c r="B288" s="63" t="str">
        <f>IF($A288="","",SUMPRODUCT((MOVIMIENTOS!$B$5:$B$1005="SALDO INICIAL")*(MOVIMIENTOS!$C$5:$C$1005="A")*(MOVIMIENTOS!$D$5:$D$1005="jabas")*(MOVIMIENTOS!$A$5:$A$1005&lt;&gt;"")*(MOVIMIENTOS!$A$5:$A$1005&lt;=$A288)*MOVIMIENTOS!$E$5:$E$1005)+SUMPRODUCT((MOVIMIENTOS!$B$5:$B$1005="PROCESO")*(MOVIMIENTOS!$C$5:$C$1005="A")*(MOVIMIENTOS!$D$5:$D$1005="jabas")*(MOVIMIENTOS!$A$5:$A$1005&lt;&gt;"")*(MOVIMIENTOS!$A$5:$A$1005&lt;=$A288)*MOVIMIENTOS!$E$5:$E$1005)-SUMPRODUCT((MOVIMIENTOS!$B$5:$B$1005="ENVÍO A SUPESA")*(MOVIMIENTOS!$C$5:$C$1005="A")*(MOVIMIENTOS!$D$5:$D$1005="jabas")*(MOVIMIENTOS!$A$5:$A$1005&lt;&gt;"")*(MOVIMIENTOS!$A$5:$A$1005&lt;=$A288)*MOVIMIENTOS!$E$5:$E$1005)+SUMPRODUCT((MOVIMIENTOS!$B$5:$B$1005="DEVOLUCIÓN")*(MOVIMIENTOS!$C$5:$C$1005="A")*(MOVIMIENTOS!$D$5:$D$1005="jabas")*(MOVIMIENTOS!$A$5:$A$1005&lt;&gt;"")*(MOVIMIENTOS!$A$5:$A$1005&lt;=$A288)*MOVIMIENTOS!$E$5:$E$1005)-SUMPRODUCT((MOVIMIENTOS!$B$5:$B$1005="TRASIEGO")*(MOVIMIENTOS!$C$5:$C$1005="A")*(MOVIMIENTOS!$D$5:$D$1005="jabas")*(MOVIMIENTOS!$A$5:$A$1005&lt;&gt;"")*(MOVIMIENTOS!$A$5:$A$1005&lt;=$A288)*MOVIMIENTOS!$E$5:$E$1005)-SUMPRODUCT((MOVIMIENTOS!$B$5:$B$1005="REGALO")*(MOVIMIENTOS!$C$5:$C$1005="A")*(MOVIMIENTOS!$D$5:$D$1005="jabas")*(MOVIMIENTOS!$A$5:$A$1005&lt;&gt;"")*(MOVIMIENTOS!$A$5:$A$1005&lt;=$A288)*MOVIMIENTOS!$E$5:$E$1005)-SUMPRODUCT((MOVIMIENTOS!$B$5:$B$1005="VENTA")*(MOVIMIENTOS!$C$5:$C$1005="A")*(MOVIMIENTOS!$D$5:$D$1005="jabas")*(MOVIMIENTOS!$A$5:$A$1005&lt;&gt;"")*(MOVIMIENTOS!$A$5:$A$1005&lt;=$A288)*MOVIMIENTOS!$E$5:$E$1005)+SUMPRODUCT((MOVIMIENTOS!$B$5:$B$1005="AJUSTE")*(MOVIMIENTOS!$C$5:$C$1005="A")*(MOVIMIENTOS!$D$5:$D$1005="jabas")*(MOVIMIENTOS!$A$5:$A$1005&lt;&gt;"")*(MOVIMIENTOS!$A$5:$A$1005&lt;=$A288)*MOVIMIENTOS!$E$5:$E$1005))</f>
        <v/>
      </c>
      <c r="C288" s="63" t="str">
        <f>IF($A288="","",SUMPRODUCT((MOVIMIENTOS!$B$5:$B$1005="SALDO INICIAL")*(MOVIMIENTOS!$C$5:$C$1005="P")*(MOVIMIENTOS!$D$5:$D$1005="jabas")*(MOVIMIENTOS!$A$5:$A$1005&lt;&gt;"")*(MOVIMIENTOS!$A$5:$A$1005&lt;=$A288)*MOVIMIENTOS!$E$5:$E$1005)+SUMPRODUCT((MOVIMIENTOS!$B$5:$B$1005="PROCESO")*(MOVIMIENTOS!$C$5:$C$1005="P")*(MOVIMIENTOS!$D$5:$D$1005="jabas")*(MOVIMIENTOS!$A$5:$A$1005&lt;&gt;"")*(MOVIMIENTOS!$A$5:$A$1005&lt;=$A288)*MOVIMIENTOS!$E$5:$E$1005)-SUMPRODUCT((MOVIMIENTOS!$B$5:$B$1005="ENVÍO A SUPESA")*(MOVIMIENTOS!$C$5:$C$1005="P")*(MOVIMIENTOS!$D$5:$D$1005="jabas")*(MOVIMIENTOS!$A$5:$A$1005&lt;&gt;"")*(MOVIMIENTOS!$A$5:$A$1005&lt;=$A288)*MOVIMIENTOS!$E$5:$E$1005)+SUMPRODUCT((MOVIMIENTOS!$B$5:$B$1005="DEVOLUCIÓN")*(MOVIMIENTOS!$C$5:$C$1005="P")*(MOVIMIENTOS!$D$5:$D$1005="jabas")*(MOVIMIENTOS!$A$5:$A$1005&lt;&gt;"")*(MOVIMIENTOS!$A$5:$A$1005&lt;=$A288)*MOVIMIENTOS!$E$5:$E$1005)-SUMPRODUCT((MOVIMIENTOS!$B$5:$B$1005="TRASIEGO")*(MOVIMIENTOS!$C$5:$C$1005="P")*(MOVIMIENTOS!$D$5:$D$1005="jabas")*(MOVIMIENTOS!$A$5:$A$1005&lt;&gt;"")*(MOVIMIENTOS!$A$5:$A$1005&lt;=$A288)*MOVIMIENTOS!$E$5:$E$1005)-SUMPRODUCT((MOVIMIENTOS!$B$5:$B$1005="REGALO")*(MOVIMIENTOS!$C$5:$C$1005="P")*(MOVIMIENTOS!$D$5:$D$1005="jabas")*(MOVIMIENTOS!$A$5:$A$1005&lt;&gt;"")*(MOVIMIENTOS!$A$5:$A$1005&lt;=$A288)*MOVIMIENTOS!$E$5:$E$1005)-SUMPRODUCT((MOVIMIENTOS!$B$5:$B$1005="VENTA")*(MOVIMIENTOS!$C$5:$C$1005="P")*(MOVIMIENTOS!$D$5:$D$1005="jabas")*(MOVIMIENTOS!$A$5:$A$1005&lt;&gt;"")*(MOVIMIENTOS!$A$5:$A$1005&lt;=$A288)*MOVIMIENTOS!$E$5:$E$1005)+SUMPRODUCT((MOVIMIENTOS!$B$5:$B$1005="AJUSTE")*(MOVIMIENTOS!$C$5:$C$1005="P")*(MOVIMIENTOS!$D$5:$D$1005="jabas")*(MOVIMIENTOS!$A$5:$A$1005&lt;&gt;"")*(MOVIMIENTOS!$A$5:$A$1005&lt;=$A288)*MOVIMIENTOS!$E$5:$E$1005))</f>
        <v/>
      </c>
      <c r="D288" s="63" t="str">
        <f>IF($A288="","",SUMPRODUCT((MOVIMIENTOS!$B$5:$B$1005="SALDO INICIAL")*(MOVIMIENTOS!$C$5:$C$1005="C")*(MOVIMIENTOS!$D$5:$D$1005="jabas")*(MOVIMIENTOS!$A$5:$A$1005&lt;&gt;"")*(MOVIMIENTOS!$A$5:$A$1005&lt;=$A288)*MOVIMIENTOS!$E$5:$E$1005)+SUMPRODUCT((MOVIMIENTOS!$B$5:$B$1005="PROCESO")*(MOVIMIENTOS!$C$5:$C$1005="C")*(MOVIMIENTOS!$D$5:$D$1005="jabas")*(MOVIMIENTOS!$A$5:$A$1005&lt;&gt;"")*(MOVIMIENTOS!$A$5:$A$1005&lt;=$A288)*MOVIMIENTOS!$E$5:$E$1005)-SUMPRODUCT((MOVIMIENTOS!$B$5:$B$1005="ENVÍO A SUPESA")*(MOVIMIENTOS!$C$5:$C$1005="C")*(MOVIMIENTOS!$D$5:$D$1005="jabas")*(MOVIMIENTOS!$A$5:$A$1005&lt;&gt;"")*(MOVIMIENTOS!$A$5:$A$1005&lt;=$A288)*MOVIMIENTOS!$E$5:$E$1005)+SUMPRODUCT((MOVIMIENTOS!$B$5:$B$1005="DEVOLUCIÓN")*(MOVIMIENTOS!$C$5:$C$1005="C")*(MOVIMIENTOS!$D$5:$D$1005="jabas")*(MOVIMIENTOS!$A$5:$A$1005&lt;&gt;"")*(MOVIMIENTOS!$A$5:$A$1005&lt;=$A288)*MOVIMIENTOS!$E$5:$E$1005)-SUMPRODUCT((MOVIMIENTOS!$B$5:$B$1005="TRASIEGO")*(MOVIMIENTOS!$C$5:$C$1005="C")*(MOVIMIENTOS!$D$5:$D$1005="jabas")*(MOVIMIENTOS!$A$5:$A$1005&lt;&gt;"")*(MOVIMIENTOS!$A$5:$A$1005&lt;=$A288)*MOVIMIENTOS!$E$5:$E$1005)-SUMPRODUCT((MOVIMIENTOS!$B$5:$B$1005="REGALO")*(MOVIMIENTOS!$C$5:$C$1005="C")*(MOVIMIENTOS!$D$5:$D$1005="jabas")*(MOVIMIENTOS!$A$5:$A$1005&lt;&gt;"")*(MOVIMIENTOS!$A$5:$A$1005&lt;=$A288)*MOVIMIENTOS!$E$5:$E$1005)-SUMPRODUCT((MOVIMIENTOS!$B$5:$B$1005="VENTA")*(MOVIMIENTOS!$C$5:$C$1005="C")*(MOVIMIENTOS!$D$5:$D$1005="jabas")*(MOVIMIENTOS!$A$5:$A$1005&lt;&gt;"")*(MOVIMIENTOS!$A$5:$A$1005&lt;=$A288)*MOVIMIENTOS!$E$5:$E$1005)+SUMPRODUCT((MOVIMIENTOS!$B$5:$B$1005="AJUSTE")*(MOVIMIENTOS!$C$5:$C$1005="C")*(MOVIMIENTOS!$D$5:$D$1005="jabas")*(MOVIMIENTOS!$A$5:$A$1005&lt;&gt;"")*(MOVIMIENTOS!$A$5:$A$1005&lt;=$A288)*MOVIMIENTOS!$E$5:$E$1005))</f>
        <v/>
      </c>
      <c r="E288" s="63" t="str">
        <f>IF($A288="","",SUMPRODUCT((MOVIMIENTOS!$B$5:$B$1005="SALDO INICIAL")*(MOVIMIENTOS!$C$5:$C$1005="M")*(MOVIMIENTOS!$D$5:$D$1005="jabas")*(MOVIMIENTOS!$A$5:$A$1005&lt;&gt;"")*(MOVIMIENTOS!$A$5:$A$1005&lt;=$A288)*MOVIMIENTOS!$E$5:$E$1005)+SUMPRODUCT((MOVIMIENTOS!$B$5:$B$1005="PROCESO")*(MOVIMIENTOS!$C$5:$C$1005="M")*(MOVIMIENTOS!$D$5:$D$1005="jabas")*(MOVIMIENTOS!$A$5:$A$1005&lt;&gt;"")*(MOVIMIENTOS!$A$5:$A$1005&lt;=$A288)*MOVIMIENTOS!$E$5:$E$1005)-SUMPRODUCT((MOVIMIENTOS!$B$5:$B$1005="ENVÍO A SUPESA")*(MOVIMIENTOS!$C$5:$C$1005="M")*(MOVIMIENTOS!$D$5:$D$1005="jabas")*(MOVIMIENTOS!$A$5:$A$1005&lt;&gt;"")*(MOVIMIENTOS!$A$5:$A$1005&lt;=$A288)*MOVIMIENTOS!$E$5:$E$1005)+SUMPRODUCT((MOVIMIENTOS!$B$5:$B$1005="DEVOLUCIÓN")*(MOVIMIENTOS!$C$5:$C$1005="M")*(MOVIMIENTOS!$D$5:$D$1005="jabas")*(MOVIMIENTOS!$A$5:$A$1005&lt;&gt;"")*(MOVIMIENTOS!$A$5:$A$1005&lt;=$A288)*MOVIMIENTOS!$E$5:$E$1005)-SUMPRODUCT((MOVIMIENTOS!$B$5:$B$1005="TRASIEGO")*(MOVIMIENTOS!$C$5:$C$1005="M")*(MOVIMIENTOS!$D$5:$D$1005="jabas")*(MOVIMIENTOS!$A$5:$A$1005&lt;&gt;"")*(MOVIMIENTOS!$A$5:$A$1005&lt;=$A288)*MOVIMIENTOS!$E$5:$E$1005)-SUMPRODUCT((MOVIMIENTOS!$B$5:$B$1005="REGALO")*(MOVIMIENTOS!$C$5:$C$1005="M")*(MOVIMIENTOS!$D$5:$D$1005="jabas")*(MOVIMIENTOS!$A$5:$A$1005&lt;&gt;"")*(MOVIMIENTOS!$A$5:$A$1005&lt;=$A288)*MOVIMIENTOS!$E$5:$E$1005)-SUMPRODUCT((MOVIMIENTOS!$B$5:$B$1005="VENTA")*(MOVIMIENTOS!$C$5:$C$1005="M")*(MOVIMIENTOS!$D$5:$D$1005="jabas")*(MOVIMIENTOS!$A$5:$A$1005&lt;&gt;"")*(MOVIMIENTOS!$A$5:$A$1005&lt;=$A288)*MOVIMIENTOS!$E$5:$E$1005)+SUMPRODUCT((MOVIMIENTOS!$B$5:$B$1005="AJUSTE")*(MOVIMIENTOS!$C$5:$C$1005="M")*(MOVIMIENTOS!$D$5:$D$1005="jabas")*(MOVIMIENTOS!$A$5:$A$1005&lt;&gt;"")*(MOVIMIENTOS!$A$5:$A$1005&lt;=$A288)*MOVIMIENTOS!$E$5:$E$1005))</f>
        <v/>
      </c>
      <c r="F288" s="63" t="str">
        <f>IF($A288="","",SUMPRODUCT((MOVIMIENTOS!$B$5:$B$1005="SALDO INICIAL")*(MOVIMIENTOS!$C$5:$C$1005="Chancho")*(MOVIMIENTOS!$D$5:$D$1005="sacos")*(MOVIMIENTOS!$A$5:$A$1005&lt;&gt;"")*(MOVIMIENTOS!$A$5:$A$1005&lt;=$A288)*MOVIMIENTOS!$E$5:$E$1005)+SUMPRODUCT((MOVIMIENTOS!$B$5:$B$1005="PROCESO")*(MOVIMIENTOS!$C$5:$C$1005="Chancho")*(MOVIMIENTOS!$D$5:$D$1005="sacos")*(MOVIMIENTOS!$A$5:$A$1005&lt;&gt;"")*(MOVIMIENTOS!$A$5:$A$1005&lt;=$A288)*MOVIMIENTOS!$E$5:$E$1005)-SUMPRODUCT((MOVIMIENTOS!$B$5:$B$1005="VENTA CHANCHO")*(MOVIMIENTOS!$C$5:$C$1005="Chancho")*(MOVIMIENTOS!$D$5:$D$1005="sacos")*(MOVIMIENTOS!$A$5:$A$1005&lt;&gt;"")*(MOVIMIENTOS!$A$5:$A$1005&lt;=$A288)*MOVIMIENTOS!$E$5:$E$1005)-SUMPRODUCT((MOVIMIENTOS!$B$5:$B$1005="REGALO")*(MOVIMIENTOS!$C$5:$C$1005="Chancho")*(MOVIMIENTOS!$D$5:$D$1005="sacos")*(MOVIMIENTOS!$A$5:$A$1005&lt;&gt;"")*(MOVIMIENTOS!$A$5:$A$1005&lt;=$A288)*MOVIMIENTOS!$E$5:$E$1005)-SUMPRODUCT((MOVIMIENTOS!$B$5:$B$1005="VENTA")*(MOVIMIENTOS!$C$5:$C$1005="Chancho")*(MOVIMIENTOS!$D$5:$D$1005="sacos")*(MOVIMIENTOS!$A$5:$A$1005&lt;&gt;"")*(MOVIMIENTOS!$A$5:$A$1005&lt;=$A288)*MOVIMIENTOS!$E$5:$E$1005)+SUMPRODUCT((MOVIMIENTOS!$B$5:$B$1005="AJUSTE")*(MOVIMIENTOS!$C$5:$C$1005="Chancho")*(MOVIMIENTOS!$D$5:$D$1005="sacos")*(MOVIMIENTOS!$A$5:$A$1005&lt;&gt;"")*(MOVIMIENTOS!$A$5:$A$1005&lt;=$A288)*MOVIMIENTOS!$E$5:$E$1005))</f>
        <v/>
      </c>
      <c r="G288" s="95" t="str">
        <f t="shared" si="9"/>
        <v/>
      </c>
      <c r="H288" s="63" t="str">
        <f>IF($A288="","",SUMPRODUCT((((MOVIMIENTOS!$B$5:$B$1005="SALDO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288)*MOVIMIENTOS!$J$5:$J$1005))</f>
        <v/>
      </c>
      <c r="I288" s="63"/>
      <c r="J288" s="63" t="str">
        <f>IF(AND(MOVIMIENTOS!$A287&lt;&gt;"",COUNTIF(MOVIMIENTOS!$A$5:$A286,MOVIMIENTOS!$A287)=0),COUNT(J$4:J287)+1,"")</f>
        <v/>
      </c>
      <c r="K288" s="66">
        <f>MOVIMIENTOS!$A287</f>
        <v>46239</v>
      </c>
      <c r="L288" s="63"/>
      <c r="M288" s="63"/>
      <c r="N288" s="63"/>
    </row>
    <row r="289" spans="1:14" ht="15" customHeight="1" x14ac:dyDescent="0.2">
      <c r="A289" s="63" t="str">
        <f t="shared" si="8"/>
        <v/>
      </c>
      <c r="B289" s="63" t="str">
        <f>IF($A289="","",SUMPRODUCT((MOVIMIENTOS!$B$5:$B$1005="SALDO INICIAL")*(MOVIMIENTOS!$C$5:$C$1005="A")*(MOVIMIENTOS!$D$5:$D$1005="jabas")*(MOVIMIENTOS!$A$5:$A$1005&lt;&gt;"")*(MOVIMIENTOS!$A$5:$A$1005&lt;=$A289)*MOVIMIENTOS!$E$5:$E$1005)+SUMPRODUCT((MOVIMIENTOS!$B$5:$B$1005="PROCESO")*(MOVIMIENTOS!$C$5:$C$1005="A")*(MOVIMIENTOS!$D$5:$D$1005="jabas")*(MOVIMIENTOS!$A$5:$A$1005&lt;&gt;"")*(MOVIMIENTOS!$A$5:$A$1005&lt;=$A289)*MOVIMIENTOS!$E$5:$E$1005)-SUMPRODUCT((MOVIMIENTOS!$B$5:$B$1005="ENVÍO A SUPESA")*(MOVIMIENTOS!$C$5:$C$1005="A")*(MOVIMIENTOS!$D$5:$D$1005="jabas")*(MOVIMIENTOS!$A$5:$A$1005&lt;&gt;"")*(MOVIMIENTOS!$A$5:$A$1005&lt;=$A289)*MOVIMIENTOS!$E$5:$E$1005)+SUMPRODUCT((MOVIMIENTOS!$B$5:$B$1005="DEVOLUCIÓN")*(MOVIMIENTOS!$C$5:$C$1005="A")*(MOVIMIENTOS!$D$5:$D$1005="jabas")*(MOVIMIENTOS!$A$5:$A$1005&lt;&gt;"")*(MOVIMIENTOS!$A$5:$A$1005&lt;=$A289)*MOVIMIENTOS!$E$5:$E$1005)-SUMPRODUCT((MOVIMIENTOS!$B$5:$B$1005="TRASIEGO")*(MOVIMIENTOS!$C$5:$C$1005="A")*(MOVIMIENTOS!$D$5:$D$1005="jabas")*(MOVIMIENTOS!$A$5:$A$1005&lt;&gt;"")*(MOVIMIENTOS!$A$5:$A$1005&lt;=$A289)*MOVIMIENTOS!$E$5:$E$1005)-SUMPRODUCT((MOVIMIENTOS!$B$5:$B$1005="REGALO")*(MOVIMIENTOS!$C$5:$C$1005="A")*(MOVIMIENTOS!$D$5:$D$1005="jabas")*(MOVIMIENTOS!$A$5:$A$1005&lt;&gt;"")*(MOVIMIENTOS!$A$5:$A$1005&lt;=$A289)*MOVIMIENTOS!$E$5:$E$1005)-SUMPRODUCT((MOVIMIENTOS!$B$5:$B$1005="VENTA")*(MOVIMIENTOS!$C$5:$C$1005="A")*(MOVIMIENTOS!$D$5:$D$1005="jabas")*(MOVIMIENTOS!$A$5:$A$1005&lt;&gt;"")*(MOVIMIENTOS!$A$5:$A$1005&lt;=$A289)*MOVIMIENTOS!$E$5:$E$1005)+SUMPRODUCT((MOVIMIENTOS!$B$5:$B$1005="AJUSTE")*(MOVIMIENTOS!$C$5:$C$1005="A")*(MOVIMIENTOS!$D$5:$D$1005="jabas")*(MOVIMIENTOS!$A$5:$A$1005&lt;&gt;"")*(MOVIMIENTOS!$A$5:$A$1005&lt;=$A289)*MOVIMIENTOS!$E$5:$E$1005))</f>
        <v/>
      </c>
      <c r="C289" s="63" t="str">
        <f>IF($A289="","",SUMPRODUCT((MOVIMIENTOS!$B$5:$B$1005="SALDO INICIAL")*(MOVIMIENTOS!$C$5:$C$1005="P")*(MOVIMIENTOS!$D$5:$D$1005="jabas")*(MOVIMIENTOS!$A$5:$A$1005&lt;&gt;"")*(MOVIMIENTOS!$A$5:$A$1005&lt;=$A289)*MOVIMIENTOS!$E$5:$E$1005)+SUMPRODUCT((MOVIMIENTOS!$B$5:$B$1005="PROCESO")*(MOVIMIENTOS!$C$5:$C$1005="P")*(MOVIMIENTOS!$D$5:$D$1005="jabas")*(MOVIMIENTOS!$A$5:$A$1005&lt;&gt;"")*(MOVIMIENTOS!$A$5:$A$1005&lt;=$A289)*MOVIMIENTOS!$E$5:$E$1005)-SUMPRODUCT((MOVIMIENTOS!$B$5:$B$1005="ENVÍO A SUPESA")*(MOVIMIENTOS!$C$5:$C$1005="P")*(MOVIMIENTOS!$D$5:$D$1005="jabas")*(MOVIMIENTOS!$A$5:$A$1005&lt;&gt;"")*(MOVIMIENTOS!$A$5:$A$1005&lt;=$A289)*MOVIMIENTOS!$E$5:$E$1005)+SUMPRODUCT((MOVIMIENTOS!$B$5:$B$1005="DEVOLUCIÓN")*(MOVIMIENTOS!$C$5:$C$1005="P")*(MOVIMIENTOS!$D$5:$D$1005="jabas")*(MOVIMIENTOS!$A$5:$A$1005&lt;&gt;"")*(MOVIMIENTOS!$A$5:$A$1005&lt;=$A289)*MOVIMIENTOS!$E$5:$E$1005)-SUMPRODUCT((MOVIMIENTOS!$B$5:$B$1005="TRASIEGO")*(MOVIMIENTOS!$C$5:$C$1005="P")*(MOVIMIENTOS!$D$5:$D$1005="jabas")*(MOVIMIENTOS!$A$5:$A$1005&lt;&gt;"")*(MOVIMIENTOS!$A$5:$A$1005&lt;=$A289)*MOVIMIENTOS!$E$5:$E$1005)-SUMPRODUCT((MOVIMIENTOS!$B$5:$B$1005="REGALO")*(MOVIMIENTOS!$C$5:$C$1005="P")*(MOVIMIENTOS!$D$5:$D$1005="jabas")*(MOVIMIENTOS!$A$5:$A$1005&lt;&gt;"")*(MOVIMIENTOS!$A$5:$A$1005&lt;=$A289)*MOVIMIENTOS!$E$5:$E$1005)-SUMPRODUCT((MOVIMIENTOS!$B$5:$B$1005="VENTA")*(MOVIMIENTOS!$C$5:$C$1005="P")*(MOVIMIENTOS!$D$5:$D$1005="jabas")*(MOVIMIENTOS!$A$5:$A$1005&lt;&gt;"")*(MOVIMIENTOS!$A$5:$A$1005&lt;=$A289)*MOVIMIENTOS!$E$5:$E$1005)+SUMPRODUCT((MOVIMIENTOS!$B$5:$B$1005="AJUSTE")*(MOVIMIENTOS!$C$5:$C$1005="P")*(MOVIMIENTOS!$D$5:$D$1005="jabas")*(MOVIMIENTOS!$A$5:$A$1005&lt;&gt;"")*(MOVIMIENTOS!$A$5:$A$1005&lt;=$A289)*MOVIMIENTOS!$E$5:$E$1005))</f>
        <v/>
      </c>
      <c r="D289" s="63" t="str">
        <f>IF($A289="","",SUMPRODUCT((MOVIMIENTOS!$B$5:$B$1005="SALDO INICIAL")*(MOVIMIENTOS!$C$5:$C$1005="C")*(MOVIMIENTOS!$D$5:$D$1005="jabas")*(MOVIMIENTOS!$A$5:$A$1005&lt;&gt;"")*(MOVIMIENTOS!$A$5:$A$1005&lt;=$A289)*MOVIMIENTOS!$E$5:$E$1005)+SUMPRODUCT((MOVIMIENTOS!$B$5:$B$1005="PROCESO")*(MOVIMIENTOS!$C$5:$C$1005="C")*(MOVIMIENTOS!$D$5:$D$1005="jabas")*(MOVIMIENTOS!$A$5:$A$1005&lt;&gt;"")*(MOVIMIENTOS!$A$5:$A$1005&lt;=$A289)*MOVIMIENTOS!$E$5:$E$1005)-SUMPRODUCT((MOVIMIENTOS!$B$5:$B$1005="ENVÍO A SUPESA")*(MOVIMIENTOS!$C$5:$C$1005="C")*(MOVIMIENTOS!$D$5:$D$1005="jabas")*(MOVIMIENTOS!$A$5:$A$1005&lt;&gt;"")*(MOVIMIENTOS!$A$5:$A$1005&lt;=$A289)*MOVIMIENTOS!$E$5:$E$1005)+SUMPRODUCT((MOVIMIENTOS!$B$5:$B$1005="DEVOLUCIÓN")*(MOVIMIENTOS!$C$5:$C$1005="C")*(MOVIMIENTOS!$D$5:$D$1005="jabas")*(MOVIMIENTOS!$A$5:$A$1005&lt;&gt;"")*(MOVIMIENTOS!$A$5:$A$1005&lt;=$A289)*MOVIMIENTOS!$E$5:$E$1005)-SUMPRODUCT((MOVIMIENTOS!$B$5:$B$1005="TRASIEGO")*(MOVIMIENTOS!$C$5:$C$1005="C")*(MOVIMIENTOS!$D$5:$D$1005="jabas")*(MOVIMIENTOS!$A$5:$A$1005&lt;&gt;"")*(MOVIMIENTOS!$A$5:$A$1005&lt;=$A289)*MOVIMIENTOS!$E$5:$E$1005)-SUMPRODUCT((MOVIMIENTOS!$B$5:$B$1005="REGALO")*(MOVIMIENTOS!$C$5:$C$1005="C")*(MOVIMIENTOS!$D$5:$D$1005="jabas")*(MOVIMIENTOS!$A$5:$A$1005&lt;&gt;"")*(MOVIMIENTOS!$A$5:$A$1005&lt;=$A289)*MOVIMIENTOS!$E$5:$E$1005)-SUMPRODUCT((MOVIMIENTOS!$B$5:$B$1005="VENTA")*(MOVIMIENTOS!$C$5:$C$1005="C")*(MOVIMIENTOS!$D$5:$D$1005="jabas")*(MOVIMIENTOS!$A$5:$A$1005&lt;&gt;"")*(MOVIMIENTOS!$A$5:$A$1005&lt;=$A289)*MOVIMIENTOS!$E$5:$E$1005)+SUMPRODUCT((MOVIMIENTOS!$B$5:$B$1005="AJUSTE")*(MOVIMIENTOS!$C$5:$C$1005="C")*(MOVIMIENTOS!$D$5:$D$1005="jabas")*(MOVIMIENTOS!$A$5:$A$1005&lt;&gt;"")*(MOVIMIENTOS!$A$5:$A$1005&lt;=$A289)*MOVIMIENTOS!$E$5:$E$1005))</f>
        <v/>
      </c>
      <c r="E289" s="63" t="str">
        <f>IF($A289="","",SUMPRODUCT((MOVIMIENTOS!$B$5:$B$1005="SALDO INICIAL")*(MOVIMIENTOS!$C$5:$C$1005="M")*(MOVIMIENTOS!$D$5:$D$1005="jabas")*(MOVIMIENTOS!$A$5:$A$1005&lt;&gt;"")*(MOVIMIENTOS!$A$5:$A$1005&lt;=$A289)*MOVIMIENTOS!$E$5:$E$1005)+SUMPRODUCT((MOVIMIENTOS!$B$5:$B$1005="PROCESO")*(MOVIMIENTOS!$C$5:$C$1005="M")*(MOVIMIENTOS!$D$5:$D$1005="jabas")*(MOVIMIENTOS!$A$5:$A$1005&lt;&gt;"")*(MOVIMIENTOS!$A$5:$A$1005&lt;=$A289)*MOVIMIENTOS!$E$5:$E$1005)-SUMPRODUCT((MOVIMIENTOS!$B$5:$B$1005="ENVÍO A SUPESA")*(MOVIMIENTOS!$C$5:$C$1005="M")*(MOVIMIENTOS!$D$5:$D$1005="jabas")*(MOVIMIENTOS!$A$5:$A$1005&lt;&gt;"")*(MOVIMIENTOS!$A$5:$A$1005&lt;=$A289)*MOVIMIENTOS!$E$5:$E$1005)+SUMPRODUCT((MOVIMIENTOS!$B$5:$B$1005="DEVOLUCIÓN")*(MOVIMIENTOS!$C$5:$C$1005="M")*(MOVIMIENTOS!$D$5:$D$1005="jabas")*(MOVIMIENTOS!$A$5:$A$1005&lt;&gt;"")*(MOVIMIENTOS!$A$5:$A$1005&lt;=$A289)*MOVIMIENTOS!$E$5:$E$1005)-SUMPRODUCT((MOVIMIENTOS!$B$5:$B$1005="TRASIEGO")*(MOVIMIENTOS!$C$5:$C$1005="M")*(MOVIMIENTOS!$D$5:$D$1005="jabas")*(MOVIMIENTOS!$A$5:$A$1005&lt;&gt;"")*(MOVIMIENTOS!$A$5:$A$1005&lt;=$A289)*MOVIMIENTOS!$E$5:$E$1005)-SUMPRODUCT((MOVIMIENTOS!$B$5:$B$1005="REGALO")*(MOVIMIENTOS!$C$5:$C$1005="M")*(MOVIMIENTOS!$D$5:$D$1005="jabas")*(MOVIMIENTOS!$A$5:$A$1005&lt;&gt;"")*(MOVIMIENTOS!$A$5:$A$1005&lt;=$A289)*MOVIMIENTOS!$E$5:$E$1005)-SUMPRODUCT((MOVIMIENTOS!$B$5:$B$1005="VENTA")*(MOVIMIENTOS!$C$5:$C$1005="M")*(MOVIMIENTOS!$D$5:$D$1005="jabas")*(MOVIMIENTOS!$A$5:$A$1005&lt;&gt;"")*(MOVIMIENTOS!$A$5:$A$1005&lt;=$A289)*MOVIMIENTOS!$E$5:$E$1005)+SUMPRODUCT((MOVIMIENTOS!$B$5:$B$1005="AJUSTE")*(MOVIMIENTOS!$C$5:$C$1005="M")*(MOVIMIENTOS!$D$5:$D$1005="jabas")*(MOVIMIENTOS!$A$5:$A$1005&lt;&gt;"")*(MOVIMIENTOS!$A$5:$A$1005&lt;=$A289)*MOVIMIENTOS!$E$5:$E$1005))</f>
        <v/>
      </c>
      <c r="F289" s="63" t="str">
        <f>IF($A289="","",SUMPRODUCT((MOVIMIENTOS!$B$5:$B$1005="SALDO INICIAL")*(MOVIMIENTOS!$C$5:$C$1005="Chancho")*(MOVIMIENTOS!$D$5:$D$1005="sacos")*(MOVIMIENTOS!$A$5:$A$1005&lt;&gt;"")*(MOVIMIENTOS!$A$5:$A$1005&lt;=$A289)*MOVIMIENTOS!$E$5:$E$1005)+SUMPRODUCT((MOVIMIENTOS!$B$5:$B$1005="PROCESO")*(MOVIMIENTOS!$C$5:$C$1005="Chancho")*(MOVIMIENTOS!$D$5:$D$1005="sacos")*(MOVIMIENTOS!$A$5:$A$1005&lt;&gt;"")*(MOVIMIENTOS!$A$5:$A$1005&lt;=$A289)*MOVIMIENTOS!$E$5:$E$1005)-SUMPRODUCT((MOVIMIENTOS!$B$5:$B$1005="VENTA CHANCHO")*(MOVIMIENTOS!$C$5:$C$1005="Chancho")*(MOVIMIENTOS!$D$5:$D$1005="sacos")*(MOVIMIENTOS!$A$5:$A$1005&lt;&gt;"")*(MOVIMIENTOS!$A$5:$A$1005&lt;=$A289)*MOVIMIENTOS!$E$5:$E$1005)-SUMPRODUCT((MOVIMIENTOS!$B$5:$B$1005="REGALO")*(MOVIMIENTOS!$C$5:$C$1005="Chancho")*(MOVIMIENTOS!$D$5:$D$1005="sacos")*(MOVIMIENTOS!$A$5:$A$1005&lt;&gt;"")*(MOVIMIENTOS!$A$5:$A$1005&lt;=$A289)*MOVIMIENTOS!$E$5:$E$1005)-SUMPRODUCT((MOVIMIENTOS!$B$5:$B$1005="VENTA")*(MOVIMIENTOS!$C$5:$C$1005="Chancho")*(MOVIMIENTOS!$D$5:$D$1005="sacos")*(MOVIMIENTOS!$A$5:$A$1005&lt;&gt;"")*(MOVIMIENTOS!$A$5:$A$1005&lt;=$A289)*MOVIMIENTOS!$E$5:$E$1005)+SUMPRODUCT((MOVIMIENTOS!$B$5:$B$1005="AJUSTE")*(MOVIMIENTOS!$C$5:$C$1005="Chancho")*(MOVIMIENTOS!$D$5:$D$1005="sacos")*(MOVIMIENTOS!$A$5:$A$1005&lt;&gt;"")*(MOVIMIENTOS!$A$5:$A$1005&lt;=$A289)*MOVIMIENTOS!$E$5:$E$1005))</f>
        <v/>
      </c>
      <c r="G289" s="95" t="str">
        <f t="shared" si="9"/>
        <v/>
      </c>
      <c r="H289" s="63" t="str">
        <f>IF($A289="","",SUMPRODUCT((((MOVIMIENTOS!$B$5:$B$1005="SALDO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289)*MOVIMIENTOS!$J$5:$J$1005))</f>
        <v/>
      </c>
      <c r="I289" s="63"/>
      <c r="J289" s="63" t="str">
        <f>IF(AND(MOVIMIENTOS!$A288&lt;&gt;"",COUNTIF(MOVIMIENTOS!$A$5:$A287,MOVIMIENTOS!$A288)=0),COUNT(J$4:J288)+1,"")</f>
        <v/>
      </c>
      <c r="K289" s="66">
        <f>MOVIMIENTOS!$A288</f>
        <v>46239</v>
      </c>
      <c r="L289" s="63"/>
      <c r="M289" s="63"/>
      <c r="N289" s="63"/>
    </row>
    <row r="290" spans="1:14" ht="15" customHeight="1" x14ac:dyDescent="0.2">
      <c r="A290" s="63" t="str">
        <f t="shared" si="8"/>
        <v/>
      </c>
      <c r="B290" s="63" t="str">
        <f>IF($A290="","",SUMPRODUCT((MOVIMIENTOS!$B$5:$B$1005="SALDO INICIAL")*(MOVIMIENTOS!$C$5:$C$1005="A")*(MOVIMIENTOS!$D$5:$D$1005="jabas")*(MOVIMIENTOS!$A$5:$A$1005&lt;&gt;"")*(MOVIMIENTOS!$A$5:$A$1005&lt;=$A290)*MOVIMIENTOS!$E$5:$E$1005)+SUMPRODUCT((MOVIMIENTOS!$B$5:$B$1005="PROCESO")*(MOVIMIENTOS!$C$5:$C$1005="A")*(MOVIMIENTOS!$D$5:$D$1005="jabas")*(MOVIMIENTOS!$A$5:$A$1005&lt;&gt;"")*(MOVIMIENTOS!$A$5:$A$1005&lt;=$A290)*MOVIMIENTOS!$E$5:$E$1005)-SUMPRODUCT((MOVIMIENTOS!$B$5:$B$1005="ENVÍO A SUPESA")*(MOVIMIENTOS!$C$5:$C$1005="A")*(MOVIMIENTOS!$D$5:$D$1005="jabas")*(MOVIMIENTOS!$A$5:$A$1005&lt;&gt;"")*(MOVIMIENTOS!$A$5:$A$1005&lt;=$A290)*MOVIMIENTOS!$E$5:$E$1005)+SUMPRODUCT((MOVIMIENTOS!$B$5:$B$1005="DEVOLUCIÓN")*(MOVIMIENTOS!$C$5:$C$1005="A")*(MOVIMIENTOS!$D$5:$D$1005="jabas")*(MOVIMIENTOS!$A$5:$A$1005&lt;&gt;"")*(MOVIMIENTOS!$A$5:$A$1005&lt;=$A290)*MOVIMIENTOS!$E$5:$E$1005)-SUMPRODUCT((MOVIMIENTOS!$B$5:$B$1005="TRASIEGO")*(MOVIMIENTOS!$C$5:$C$1005="A")*(MOVIMIENTOS!$D$5:$D$1005="jabas")*(MOVIMIENTOS!$A$5:$A$1005&lt;&gt;"")*(MOVIMIENTOS!$A$5:$A$1005&lt;=$A290)*MOVIMIENTOS!$E$5:$E$1005)-SUMPRODUCT((MOVIMIENTOS!$B$5:$B$1005="REGALO")*(MOVIMIENTOS!$C$5:$C$1005="A")*(MOVIMIENTOS!$D$5:$D$1005="jabas")*(MOVIMIENTOS!$A$5:$A$1005&lt;&gt;"")*(MOVIMIENTOS!$A$5:$A$1005&lt;=$A290)*MOVIMIENTOS!$E$5:$E$1005)-SUMPRODUCT((MOVIMIENTOS!$B$5:$B$1005="VENTA")*(MOVIMIENTOS!$C$5:$C$1005="A")*(MOVIMIENTOS!$D$5:$D$1005="jabas")*(MOVIMIENTOS!$A$5:$A$1005&lt;&gt;"")*(MOVIMIENTOS!$A$5:$A$1005&lt;=$A290)*MOVIMIENTOS!$E$5:$E$1005)+SUMPRODUCT((MOVIMIENTOS!$B$5:$B$1005="AJUSTE")*(MOVIMIENTOS!$C$5:$C$1005="A")*(MOVIMIENTOS!$D$5:$D$1005="jabas")*(MOVIMIENTOS!$A$5:$A$1005&lt;&gt;"")*(MOVIMIENTOS!$A$5:$A$1005&lt;=$A290)*MOVIMIENTOS!$E$5:$E$1005))</f>
        <v/>
      </c>
      <c r="C290" s="63" t="str">
        <f>IF($A290="","",SUMPRODUCT((MOVIMIENTOS!$B$5:$B$1005="SALDO INICIAL")*(MOVIMIENTOS!$C$5:$C$1005="P")*(MOVIMIENTOS!$D$5:$D$1005="jabas")*(MOVIMIENTOS!$A$5:$A$1005&lt;&gt;"")*(MOVIMIENTOS!$A$5:$A$1005&lt;=$A290)*MOVIMIENTOS!$E$5:$E$1005)+SUMPRODUCT((MOVIMIENTOS!$B$5:$B$1005="PROCESO")*(MOVIMIENTOS!$C$5:$C$1005="P")*(MOVIMIENTOS!$D$5:$D$1005="jabas")*(MOVIMIENTOS!$A$5:$A$1005&lt;&gt;"")*(MOVIMIENTOS!$A$5:$A$1005&lt;=$A290)*MOVIMIENTOS!$E$5:$E$1005)-SUMPRODUCT((MOVIMIENTOS!$B$5:$B$1005="ENVÍO A SUPESA")*(MOVIMIENTOS!$C$5:$C$1005="P")*(MOVIMIENTOS!$D$5:$D$1005="jabas")*(MOVIMIENTOS!$A$5:$A$1005&lt;&gt;"")*(MOVIMIENTOS!$A$5:$A$1005&lt;=$A290)*MOVIMIENTOS!$E$5:$E$1005)+SUMPRODUCT((MOVIMIENTOS!$B$5:$B$1005="DEVOLUCIÓN")*(MOVIMIENTOS!$C$5:$C$1005="P")*(MOVIMIENTOS!$D$5:$D$1005="jabas")*(MOVIMIENTOS!$A$5:$A$1005&lt;&gt;"")*(MOVIMIENTOS!$A$5:$A$1005&lt;=$A290)*MOVIMIENTOS!$E$5:$E$1005)-SUMPRODUCT((MOVIMIENTOS!$B$5:$B$1005="TRASIEGO")*(MOVIMIENTOS!$C$5:$C$1005="P")*(MOVIMIENTOS!$D$5:$D$1005="jabas")*(MOVIMIENTOS!$A$5:$A$1005&lt;&gt;"")*(MOVIMIENTOS!$A$5:$A$1005&lt;=$A290)*MOVIMIENTOS!$E$5:$E$1005)-SUMPRODUCT((MOVIMIENTOS!$B$5:$B$1005="REGALO")*(MOVIMIENTOS!$C$5:$C$1005="P")*(MOVIMIENTOS!$D$5:$D$1005="jabas")*(MOVIMIENTOS!$A$5:$A$1005&lt;&gt;"")*(MOVIMIENTOS!$A$5:$A$1005&lt;=$A290)*MOVIMIENTOS!$E$5:$E$1005)-SUMPRODUCT((MOVIMIENTOS!$B$5:$B$1005="VENTA")*(MOVIMIENTOS!$C$5:$C$1005="P")*(MOVIMIENTOS!$D$5:$D$1005="jabas")*(MOVIMIENTOS!$A$5:$A$1005&lt;&gt;"")*(MOVIMIENTOS!$A$5:$A$1005&lt;=$A290)*MOVIMIENTOS!$E$5:$E$1005)+SUMPRODUCT((MOVIMIENTOS!$B$5:$B$1005="AJUSTE")*(MOVIMIENTOS!$C$5:$C$1005="P")*(MOVIMIENTOS!$D$5:$D$1005="jabas")*(MOVIMIENTOS!$A$5:$A$1005&lt;&gt;"")*(MOVIMIENTOS!$A$5:$A$1005&lt;=$A290)*MOVIMIENTOS!$E$5:$E$1005))</f>
        <v/>
      </c>
      <c r="D290" s="63" t="str">
        <f>IF($A290="","",SUMPRODUCT((MOVIMIENTOS!$B$5:$B$1005="SALDO INICIAL")*(MOVIMIENTOS!$C$5:$C$1005="C")*(MOVIMIENTOS!$D$5:$D$1005="jabas")*(MOVIMIENTOS!$A$5:$A$1005&lt;&gt;"")*(MOVIMIENTOS!$A$5:$A$1005&lt;=$A290)*MOVIMIENTOS!$E$5:$E$1005)+SUMPRODUCT((MOVIMIENTOS!$B$5:$B$1005="PROCESO")*(MOVIMIENTOS!$C$5:$C$1005="C")*(MOVIMIENTOS!$D$5:$D$1005="jabas")*(MOVIMIENTOS!$A$5:$A$1005&lt;&gt;"")*(MOVIMIENTOS!$A$5:$A$1005&lt;=$A290)*MOVIMIENTOS!$E$5:$E$1005)-SUMPRODUCT((MOVIMIENTOS!$B$5:$B$1005="ENVÍO A SUPESA")*(MOVIMIENTOS!$C$5:$C$1005="C")*(MOVIMIENTOS!$D$5:$D$1005="jabas")*(MOVIMIENTOS!$A$5:$A$1005&lt;&gt;"")*(MOVIMIENTOS!$A$5:$A$1005&lt;=$A290)*MOVIMIENTOS!$E$5:$E$1005)+SUMPRODUCT((MOVIMIENTOS!$B$5:$B$1005="DEVOLUCIÓN")*(MOVIMIENTOS!$C$5:$C$1005="C")*(MOVIMIENTOS!$D$5:$D$1005="jabas")*(MOVIMIENTOS!$A$5:$A$1005&lt;&gt;"")*(MOVIMIENTOS!$A$5:$A$1005&lt;=$A290)*MOVIMIENTOS!$E$5:$E$1005)-SUMPRODUCT((MOVIMIENTOS!$B$5:$B$1005="TRASIEGO")*(MOVIMIENTOS!$C$5:$C$1005="C")*(MOVIMIENTOS!$D$5:$D$1005="jabas")*(MOVIMIENTOS!$A$5:$A$1005&lt;&gt;"")*(MOVIMIENTOS!$A$5:$A$1005&lt;=$A290)*MOVIMIENTOS!$E$5:$E$1005)-SUMPRODUCT((MOVIMIENTOS!$B$5:$B$1005="REGALO")*(MOVIMIENTOS!$C$5:$C$1005="C")*(MOVIMIENTOS!$D$5:$D$1005="jabas")*(MOVIMIENTOS!$A$5:$A$1005&lt;&gt;"")*(MOVIMIENTOS!$A$5:$A$1005&lt;=$A290)*MOVIMIENTOS!$E$5:$E$1005)-SUMPRODUCT((MOVIMIENTOS!$B$5:$B$1005="VENTA")*(MOVIMIENTOS!$C$5:$C$1005="C")*(MOVIMIENTOS!$D$5:$D$1005="jabas")*(MOVIMIENTOS!$A$5:$A$1005&lt;&gt;"")*(MOVIMIENTOS!$A$5:$A$1005&lt;=$A290)*MOVIMIENTOS!$E$5:$E$1005)+SUMPRODUCT((MOVIMIENTOS!$B$5:$B$1005="AJUSTE")*(MOVIMIENTOS!$C$5:$C$1005="C")*(MOVIMIENTOS!$D$5:$D$1005="jabas")*(MOVIMIENTOS!$A$5:$A$1005&lt;&gt;"")*(MOVIMIENTOS!$A$5:$A$1005&lt;=$A290)*MOVIMIENTOS!$E$5:$E$1005))</f>
        <v/>
      </c>
      <c r="E290" s="63" t="str">
        <f>IF($A290="","",SUMPRODUCT((MOVIMIENTOS!$B$5:$B$1005="SALDO INICIAL")*(MOVIMIENTOS!$C$5:$C$1005="M")*(MOVIMIENTOS!$D$5:$D$1005="jabas")*(MOVIMIENTOS!$A$5:$A$1005&lt;&gt;"")*(MOVIMIENTOS!$A$5:$A$1005&lt;=$A290)*MOVIMIENTOS!$E$5:$E$1005)+SUMPRODUCT((MOVIMIENTOS!$B$5:$B$1005="PROCESO")*(MOVIMIENTOS!$C$5:$C$1005="M")*(MOVIMIENTOS!$D$5:$D$1005="jabas")*(MOVIMIENTOS!$A$5:$A$1005&lt;&gt;"")*(MOVIMIENTOS!$A$5:$A$1005&lt;=$A290)*MOVIMIENTOS!$E$5:$E$1005)-SUMPRODUCT((MOVIMIENTOS!$B$5:$B$1005="ENVÍO A SUPESA")*(MOVIMIENTOS!$C$5:$C$1005="M")*(MOVIMIENTOS!$D$5:$D$1005="jabas")*(MOVIMIENTOS!$A$5:$A$1005&lt;&gt;"")*(MOVIMIENTOS!$A$5:$A$1005&lt;=$A290)*MOVIMIENTOS!$E$5:$E$1005)+SUMPRODUCT((MOVIMIENTOS!$B$5:$B$1005="DEVOLUCIÓN")*(MOVIMIENTOS!$C$5:$C$1005="M")*(MOVIMIENTOS!$D$5:$D$1005="jabas")*(MOVIMIENTOS!$A$5:$A$1005&lt;&gt;"")*(MOVIMIENTOS!$A$5:$A$1005&lt;=$A290)*MOVIMIENTOS!$E$5:$E$1005)-SUMPRODUCT((MOVIMIENTOS!$B$5:$B$1005="TRASIEGO")*(MOVIMIENTOS!$C$5:$C$1005="M")*(MOVIMIENTOS!$D$5:$D$1005="jabas")*(MOVIMIENTOS!$A$5:$A$1005&lt;&gt;"")*(MOVIMIENTOS!$A$5:$A$1005&lt;=$A290)*MOVIMIENTOS!$E$5:$E$1005)-SUMPRODUCT((MOVIMIENTOS!$B$5:$B$1005="REGALO")*(MOVIMIENTOS!$C$5:$C$1005="M")*(MOVIMIENTOS!$D$5:$D$1005="jabas")*(MOVIMIENTOS!$A$5:$A$1005&lt;&gt;"")*(MOVIMIENTOS!$A$5:$A$1005&lt;=$A290)*MOVIMIENTOS!$E$5:$E$1005)-SUMPRODUCT((MOVIMIENTOS!$B$5:$B$1005="VENTA")*(MOVIMIENTOS!$C$5:$C$1005="M")*(MOVIMIENTOS!$D$5:$D$1005="jabas")*(MOVIMIENTOS!$A$5:$A$1005&lt;&gt;"")*(MOVIMIENTOS!$A$5:$A$1005&lt;=$A290)*MOVIMIENTOS!$E$5:$E$1005)+SUMPRODUCT((MOVIMIENTOS!$B$5:$B$1005="AJUSTE")*(MOVIMIENTOS!$C$5:$C$1005="M")*(MOVIMIENTOS!$D$5:$D$1005="jabas")*(MOVIMIENTOS!$A$5:$A$1005&lt;&gt;"")*(MOVIMIENTOS!$A$5:$A$1005&lt;=$A290)*MOVIMIENTOS!$E$5:$E$1005))</f>
        <v/>
      </c>
      <c r="F290" s="63" t="str">
        <f>IF($A290="","",SUMPRODUCT((MOVIMIENTOS!$B$5:$B$1005="SALDO INICIAL")*(MOVIMIENTOS!$C$5:$C$1005="Chancho")*(MOVIMIENTOS!$D$5:$D$1005="sacos")*(MOVIMIENTOS!$A$5:$A$1005&lt;&gt;"")*(MOVIMIENTOS!$A$5:$A$1005&lt;=$A290)*MOVIMIENTOS!$E$5:$E$1005)+SUMPRODUCT((MOVIMIENTOS!$B$5:$B$1005="PROCESO")*(MOVIMIENTOS!$C$5:$C$1005="Chancho")*(MOVIMIENTOS!$D$5:$D$1005="sacos")*(MOVIMIENTOS!$A$5:$A$1005&lt;&gt;"")*(MOVIMIENTOS!$A$5:$A$1005&lt;=$A290)*MOVIMIENTOS!$E$5:$E$1005)-SUMPRODUCT((MOVIMIENTOS!$B$5:$B$1005="VENTA CHANCHO")*(MOVIMIENTOS!$C$5:$C$1005="Chancho")*(MOVIMIENTOS!$D$5:$D$1005="sacos")*(MOVIMIENTOS!$A$5:$A$1005&lt;&gt;"")*(MOVIMIENTOS!$A$5:$A$1005&lt;=$A290)*MOVIMIENTOS!$E$5:$E$1005)-SUMPRODUCT((MOVIMIENTOS!$B$5:$B$1005="REGALO")*(MOVIMIENTOS!$C$5:$C$1005="Chancho")*(MOVIMIENTOS!$D$5:$D$1005="sacos")*(MOVIMIENTOS!$A$5:$A$1005&lt;&gt;"")*(MOVIMIENTOS!$A$5:$A$1005&lt;=$A290)*MOVIMIENTOS!$E$5:$E$1005)-SUMPRODUCT((MOVIMIENTOS!$B$5:$B$1005="VENTA")*(MOVIMIENTOS!$C$5:$C$1005="Chancho")*(MOVIMIENTOS!$D$5:$D$1005="sacos")*(MOVIMIENTOS!$A$5:$A$1005&lt;&gt;"")*(MOVIMIENTOS!$A$5:$A$1005&lt;=$A290)*MOVIMIENTOS!$E$5:$E$1005)+SUMPRODUCT((MOVIMIENTOS!$B$5:$B$1005="AJUSTE")*(MOVIMIENTOS!$C$5:$C$1005="Chancho")*(MOVIMIENTOS!$D$5:$D$1005="sacos")*(MOVIMIENTOS!$A$5:$A$1005&lt;&gt;"")*(MOVIMIENTOS!$A$5:$A$1005&lt;=$A290)*MOVIMIENTOS!$E$5:$E$1005))</f>
        <v/>
      </c>
      <c r="G290" s="95" t="str">
        <f t="shared" si="9"/>
        <v/>
      </c>
      <c r="H290" s="63" t="str">
        <f>IF($A290="","",SUMPRODUCT((((MOVIMIENTOS!$B$5:$B$1005="SALDO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290)*MOVIMIENTOS!$J$5:$J$1005))</f>
        <v/>
      </c>
      <c r="I290" s="63"/>
      <c r="J290" s="63" t="str">
        <f>IF(AND(MOVIMIENTOS!$A289&lt;&gt;"",COUNTIF(MOVIMIENTOS!$A$5:$A288,MOVIMIENTOS!$A289)=0),COUNT(J$4:J289)+1,"")</f>
        <v/>
      </c>
      <c r="K290" s="66">
        <f>MOVIMIENTOS!$A289</f>
        <v>46239</v>
      </c>
      <c r="L290" s="63"/>
      <c r="M290" s="63"/>
      <c r="N290" s="63"/>
    </row>
    <row r="291" spans="1:14" ht="15" customHeight="1" x14ac:dyDescent="0.2">
      <c r="A291" s="63" t="str">
        <f t="shared" si="8"/>
        <v/>
      </c>
      <c r="B291" s="63" t="str">
        <f>IF($A291="","",SUMPRODUCT((MOVIMIENTOS!$B$5:$B$1005="SALDO INICIAL")*(MOVIMIENTOS!$C$5:$C$1005="A")*(MOVIMIENTOS!$D$5:$D$1005="jabas")*(MOVIMIENTOS!$A$5:$A$1005&lt;&gt;"")*(MOVIMIENTOS!$A$5:$A$1005&lt;=$A291)*MOVIMIENTOS!$E$5:$E$1005)+SUMPRODUCT((MOVIMIENTOS!$B$5:$B$1005="PROCESO")*(MOVIMIENTOS!$C$5:$C$1005="A")*(MOVIMIENTOS!$D$5:$D$1005="jabas")*(MOVIMIENTOS!$A$5:$A$1005&lt;&gt;"")*(MOVIMIENTOS!$A$5:$A$1005&lt;=$A291)*MOVIMIENTOS!$E$5:$E$1005)-SUMPRODUCT((MOVIMIENTOS!$B$5:$B$1005="ENVÍO A SUPESA")*(MOVIMIENTOS!$C$5:$C$1005="A")*(MOVIMIENTOS!$D$5:$D$1005="jabas")*(MOVIMIENTOS!$A$5:$A$1005&lt;&gt;"")*(MOVIMIENTOS!$A$5:$A$1005&lt;=$A291)*MOVIMIENTOS!$E$5:$E$1005)+SUMPRODUCT((MOVIMIENTOS!$B$5:$B$1005="DEVOLUCIÓN")*(MOVIMIENTOS!$C$5:$C$1005="A")*(MOVIMIENTOS!$D$5:$D$1005="jabas")*(MOVIMIENTOS!$A$5:$A$1005&lt;&gt;"")*(MOVIMIENTOS!$A$5:$A$1005&lt;=$A291)*MOVIMIENTOS!$E$5:$E$1005)-SUMPRODUCT((MOVIMIENTOS!$B$5:$B$1005="TRASIEGO")*(MOVIMIENTOS!$C$5:$C$1005="A")*(MOVIMIENTOS!$D$5:$D$1005="jabas")*(MOVIMIENTOS!$A$5:$A$1005&lt;&gt;"")*(MOVIMIENTOS!$A$5:$A$1005&lt;=$A291)*MOVIMIENTOS!$E$5:$E$1005)-SUMPRODUCT((MOVIMIENTOS!$B$5:$B$1005="REGALO")*(MOVIMIENTOS!$C$5:$C$1005="A")*(MOVIMIENTOS!$D$5:$D$1005="jabas")*(MOVIMIENTOS!$A$5:$A$1005&lt;&gt;"")*(MOVIMIENTOS!$A$5:$A$1005&lt;=$A291)*MOVIMIENTOS!$E$5:$E$1005)-SUMPRODUCT((MOVIMIENTOS!$B$5:$B$1005="VENTA")*(MOVIMIENTOS!$C$5:$C$1005="A")*(MOVIMIENTOS!$D$5:$D$1005="jabas")*(MOVIMIENTOS!$A$5:$A$1005&lt;&gt;"")*(MOVIMIENTOS!$A$5:$A$1005&lt;=$A291)*MOVIMIENTOS!$E$5:$E$1005)+SUMPRODUCT((MOVIMIENTOS!$B$5:$B$1005="AJUSTE")*(MOVIMIENTOS!$C$5:$C$1005="A")*(MOVIMIENTOS!$D$5:$D$1005="jabas")*(MOVIMIENTOS!$A$5:$A$1005&lt;&gt;"")*(MOVIMIENTOS!$A$5:$A$1005&lt;=$A291)*MOVIMIENTOS!$E$5:$E$1005))</f>
        <v/>
      </c>
      <c r="C291" s="63" t="str">
        <f>IF($A291="","",SUMPRODUCT((MOVIMIENTOS!$B$5:$B$1005="SALDO INICIAL")*(MOVIMIENTOS!$C$5:$C$1005="P")*(MOVIMIENTOS!$D$5:$D$1005="jabas")*(MOVIMIENTOS!$A$5:$A$1005&lt;&gt;"")*(MOVIMIENTOS!$A$5:$A$1005&lt;=$A291)*MOVIMIENTOS!$E$5:$E$1005)+SUMPRODUCT((MOVIMIENTOS!$B$5:$B$1005="PROCESO")*(MOVIMIENTOS!$C$5:$C$1005="P")*(MOVIMIENTOS!$D$5:$D$1005="jabas")*(MOVIMIENTOS!$A$5:$A$1005&lt;&gt;"")*(MOVIMIENTOS!$A$5:$A$1005&lt;=$A291)*MOVIMIENTOS!$E$5:$E$1005)-SUMPRODUCT((MOVIMIENTOS!$B$5:$B$1005="ENVÍO A SUPESA")*(MOVIMIENTOS!$C$5:$C$1005="P")*(MOVIMIENTOS!$D$5:$D$1005="jabas")*(MOVIMIENTOS!$A$5:$A$1005&lt;&gt;"")*(MOVIMIENTOS!$A$5:$A$1005&lt;=$A291)*MOVIMIENTOS!$E$5:$E$1005)+SUMPRODUCT((MOVIMIENTOS!$B$5:$B$1005="DEVOLUCIÓN")*(MOVIMIENTOS!$C$5:$C$1005="P")*(MOVIMIENTOS!$D$5:$D$1005="jabas")*(MOVIMIENTOS!$A$5:$A$1005&lt;&gt;"")*(MOVIMIENTOS!$A$5:$A$1005&lt;=$A291)*MOVIMIENTOS!$E$5:$E$1005)-SUMPRODUCT((MOVIMIENTOS!$B$5:$B$1005="TRASIEGO")*(MOVIMIENTOS!$C$5:$C$1005="P")*(MOVIMIENTOS!$D$5:$D$1005="jabas")*(MOVIMIENTOS!$A$5:$A$1005&lt;&gt;"")*(MOVIMIENTOS!$A$5:$A$1005&lt;=$A291)*MOVIMIENTOS!$E$5:$E$1005)-SUMPRODUCT((MOVIMIENTOS!$B$5:$B$1005="REGALO")*(MOVIMIENTOS!$C$5:$C$1005="P")*(MOVIMIENTOS!$D$5:$D$1005="jabas")*(MOVIMIENTOS!$A$5:$A$1005&lt;&gt;"")*(MOVIMIENTOS!$A$5:$A$1005&lt;=$A291)*MOVIMIENTOS!$E$5:$E$1005)-SUMPRODUCT((MOVIMIENTOS!$B$5:$B$1005="VENTA")*(MOVIMIENTOS!$C$5:$C$1005="P")*(MOVIMIENTOS!$D$5:$D$1005="jabas")*(MOVIMIENTOS!$A$5:$A$1005&lt;&gt;"")*(MOVIMIENTOS!$A$5:$A$1005&lt;=$A291)*MOVIMIENTOS!$E$5:$E$1005)+SUMPRODUCT((MOVIMIENTOS!$B$5:$B$1005="AJUSTE")*(MOVIMIENTOS!$C$5:$C$1005="P")*(MOVIMIENTOS!$D$5:$D$1005="jabas")*(MOVIMIENTOS!$A$5:$A$1005&lt;&gt;"")*(MOVIMIENTOS!$A$5:$A$1005&lt;=$A291)*MOVIMIENTOS!$E$5:$E$1005))</f>
        <v/>
      </c>
      <c r="D291" s="63" t="str">
        <f>IF($A291="","",SUMPRODUCT((MOVIMIENTOS!$B$5:$B$1005="SALDO INICIAL")*(MOVIMIENTOS!$C$5:$C$1005="C")*(MOVIMIENTOS!$D$5:$D$1005="jabas")*(MOVIMIENTOS!$A$5:$A$1005&lt;&gt;"")*(MOVIMIENTOS!$A$5:$A$1005&lt;=$A291)*MOVIMIENTOS!$E$5:$E$1005)+SUMPRODUCT((MOVIMIENTOS!$B$5:$B$1005="PROCESO")*(MOVIMIENTOS!$C$5:$C$1005="C")*(MOVIMIENTOS!$D$5:$D$1005="jabas")*(MOVIMIENTOS!$A$5:$A$1005&lt;&gt;"")*(MOVIMIENTOS!$A$5:$A$1005&lt;=$A291)*MOVIMIENTOS!$E$5:$E$1005)-SUMPRODUCT((MOVIMIENTOS!$B$5:$B$1005="ENVÍO A SUPESA")*(MOVIMIENTOS!$C$5:$C$1005="C")*(MOVIMIENTOS!$D$5:$D$1005="jabas")*(MOVIMIENTOS!$A$5:$A$1005&lt;&gt;"")*(MOVIMIENTOS!$A$5:$A$1005&lt;=$A291)*MOVIMIENTOS!$E$5:$E$1005)+SUMPRODUCT((MOVIMIENTOS!$B$5:$B$1005="DEVOLUCIÓN")*(MOVIMIENTOS!$C$5:$C$1005="C")*(MOVIMIENTOS!$D$5:$D$1005="jabas")*(MOVIMIENTOS!$A$5:$A$1005&lt;&gt;"")*(MOVIMIENTOS!$A$5:$A$1005&lt;=$A291)*MOVIMIENTOS!$E$5:$E$1005)-SUMPRODUCT((MOVIMIENTOS!$B$5:$B$1005="TRASIEGO")*(MOVIMIENTOS!$C$5:$C$1005="C")*(MOVIMIENTOS!$D$5:$D$1005="jabas")*(MOVIMIENTOS!$A$5:$A$1005&lt;&gt;"")*(MOVIMIENTOS!$A$5:$A$1005&lt;=$A291)*MOVIMIENTOS!$E$5:$E$1005)-SUMPRODUCT((MOVIMIENTOS!$B$5:$B$1005="REGALO")*(MOVIMIENTOS!$C$5:$C$1005="C")*(MOVIMIENTOS!$D$5:$D$1005="jabas")*(MOVIMIENTOS!$A$5:$A$1005&lt;&gt;"")*(MOVIMIENTOS!$A$5:$A$1005&lt;=$A291)*MOVIMIENTOS!$E$5:$E$1005)-SUMPRODUCT((MOVIMIENTOS!$B$5:$B$1005="VENTA")*(MOVIMIENTOS!$C$5:$C$1005="C")*(MOVIMIENTOS!$D$5:$D$1005="jabas")*(MOVIMIENTOS!$A$5:$A$1005&lt;&gt;"")*(MOVIMIENTOS!$A$5:$A$1005&lt;=$A291)*MOVIMIENTOS!$E$5:$E$1005)+SUMPRODUCT((MOVIMIENTOS!$B$5:$B$1005="AJUSTE")*(MOVIMIENTOS!$C$5:$C$1005="C")*(MOVIMIENTOS!$D$5:$D$1005="jabas")*(MOVIMIENTOS!$A$5:$A$1005&lt;&gt;"")*(MOVIMIENTOS!$A$5:$A$1005&lt;=$A291)*MOVIMIENTOS!$E$5:$E$1005))</f>
        <v/>
      </c>
      <c r="E291" s="63" t="str">
        <f>IF($A291="","",SUMPRODUCT((MOVIMIENTOS!$B$5:$B$1005="SALDO INICIAL")*(MOVIMIENTOS!$C$5:$C$1005="M")*(MOVIMIENTOS!$D$5:$D$1005="jabas")*(MOVIMIENTOS!$A$5:$A$1005&lt;&gt;"")*(MOVIMIENTOS!$A$5:$A$1005&lt;=$A291)*MOVIMIENTOS!$E$5:$E$1005)+SUMPRODUCT((MOVIMIENTOS!$B$5:$B$1005="PROCESO")*(MOVIMIENTOS!$C$5:$C$1005="M")*(MOVIMIENTOS!$D$5:$D$1005="jabas")*(MOVIMIENTOS!$A$5:$A$1005&lt;&gt;"")*(MOVIMIENTOS!$A$5:$A$1005&lt;=$A291)*MOVIMIENTOS!$E$5:$E$1005)-SUMPRODUCT((MOVIMIENTOS!$B$5:$B$1005="ENVÍO A SUPESA")*(MOVIMIENTOS!$C$5:$C$1005="M")*(MOVIMIENTOS!$D$5:$D$1005="jabas")*(MOVIMIENTOS!$A$5:$A$1005&lt;&gt;"")*(MOVIMIENTOS!$A$5:$A$1005&lt;=$A291)*MOVIMIENTOS!$E$5:$E$1005)+SUMPRODUCT((MOVIMIENTOS!$B$5:$B$1005="DEVOLUCIÓN")*(MOVIMIENTOS!$C$5:$C$1005="M")*(MOVIMIENTOS!$D$5:$D$1005="jabas")*(MOVIMIENTOS!$A$5:$A$1005&lt;&gt;"")*(MOVIMIENTOS!$A$5:$A$1005&lt;=$A291)*MOVIMIENTOS!$E$5:$E$1005)-SUMPRODUCT((MOVIMIENTOS!$B$5:$B$1005="TRASIEGO")*(MOVIMIENTOS!$C$5:$C$1005="M")*(MOVIMIENTOS!$D$5:$D$1005="jabas")*(MOVIMIENTOS!$A$5:$A$1005&lt;&gt;"")*(MOVIMIENTOS!$A$5:$A$1005&lt;=$A291)*MOVIMIENTOS!$E$5:$E$1005)-SUMPRODUCT((MOVIMIENTOS!$B$5:$B$1005="REGALO")*(MOVIMIENTOS!$C$5:$C$1005="M")*(MOVIMIENTOS!$D$5:$D$1005="jabas")*(MOVIMIENTOS!$A$5:$A$1005&lt;&gt;"")*(MOVIMIENTOS!$A$5:$A$1005&lt;=$A291)*MOVIMIENTOS!$E$5:$E$1005)-SUMPRODUCT((MOVIMIENTOS!$B$5:$B$1005="VENTA")*(MOVIMIENTOS!$C$5:$C$1005="M")*(MOVIMIENTOS!$D$5:$D$1005="jabas")*(MOVIMIENTOS!$A$5:$A$1005&lt;&gt;"")*(MOVIMIENTOS!$A$5:$A$1005&lt;=$A291)*MOVIMIENTOS!$E$5:$E$1005)+SUMPRODUCT((MOVIMIENTOS!$B$5:$B$1005="AJUSTE")*(MOVIMIENTOS!$C$5:$C$1005="M")*(MOVIMIENTOS!$D$5:$D$1005="jabas")*(MOVIMIENTOS!$A$5:$A$1005&lt;&gt;"")*(MOVIMIENTOS!$A$5:$A$1005&lt;=$A291)*MOVIMIENTOS!$E$5:$E$1005))</f>
        <v/>
      </c>
      <c r="F291" s="63" t="str">
        <f>IF($A291="","",SUMPRODUCT((MOVIMIENTOS!$B$5:$B$1005="SALDO INICIAL")*(MOVIMIENTOS!$C$5:$C$1005="Chancho")*(MOVIMIENTOS!$D$5:$D$1005="sacos")*(MOVIMIENTOS!$A$5:$A$1005&lt;&gt;"")*(MOVIMIENTOS!$A$5:$A$1005&lt;=$A291)*MOVIMIENTOS!$E$5:$E$1005)+SUMPRODUCT((MOVIMIENTOS!$B$5:$B$1005="PROCESO")*(MOVIMIENTOS!$C$5:$C$1005="Chancho")*(MOVIMIENTOS!$D$5:$D$1005="sacos")*(MOVIMIENTOS!$A$5:$A$1005&lt;&gt;"")*(MOVIMIENTOS!$A$5:$A$1005&lt;=$A291)*MOVIMIENTOS!$E$5:$E$1005)-SUMPRODUCT((MOVIMIENTOS!$B$5:$B$1005="VENTA CHANCHO")*(MOVIMIENTOS!$C$5:$C$1005="Chancho")*(MOVIMIENTOS!$D$5:$D$1005="sacos")*(MOVIMIENTOS!$A$5:$A$1005&lt;&gt;"")*(MOVIMIENTOS!$A$5:$A$1005&lt;=$A291)*MOVIMIENTOS!$E$5:$E$1005)-SUMPRODUCT((MOVIMIENTOS!$B$5:$B$1005="REGALO")*(MOVIMIENTOS!$C$5:$C$1005="Chancho")*(MOVIMIENTOS!$D$5:$D$1005="sacos")*(MOVIMIENTOS!$A$5:$A$1005&lt;&gt;"")*(MOVIMIENTOS!$A$5:$A$1005&lt;=$A291)*MOVIMIENTOS!$E$5:$E$1005)-SUMPRODUCT((MOVIMIENTOS!$B$5:$B$1005="VENTA")*(MOVIMIENTOS!$C$5:$C$1005="Chancho")*(MOVIMIENTOS!$D$5:$D$1005="sacos")*(MOVIMIENTOS!$A$5:$A$1005&lt;&gt;"")*(MOVIMIENTOS!$A$5:$A$1005&lt;=$A291)*MOVIMIENTOS!$E$5:$E$1005)+SUMPRODUCT((MOVIMIENTOS!$B$5:$B$1005="AJUSTE")*(MOVIMIENTOS!$C$5:$C$1005="Chancho")*(MOVIMIENTOS!$D$5:$D$1005="sacos")*(MOVIMIENTOS!$A$5:$A$1005&lt;&gt;"")*(MOVIMIENTOS!$A$5:$A$1005&lt;=$A291)*MOVIMIENTOS!$E$5:$E$1005))</f>
        <v/>
      </c>
      <c r="G291" s="95" t="str">
        <f t="shared" si="9"/>
        <v/>
      </c>
      <c r="H291" s="63" t="str">
        <f>IF($A291="","",SUMPRODUCT((((MOVIMIENTOS!$B$5:$B$1005="SALDO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291)*MOVIMIENTOS!$J$5:$J$1005))</f>
        <v/>
      </c>
      <c r="I291" s="63"/>
      <c r="J291" s="63" t="str">
        <f>IF(AND(MOVIMIENTOS!$A290&lt;&gt;"",COUNTIF(MOVIMIENTOS!$A$5:$A289,MOVIMIENTOS!$A290)=0),COUNT(J$4:J290)+1,"")</f>
        <v/>
      </c>
      <c r="K291" s="66">
        <f>MOVIMIENTOS!$A290</f>
        <v>46239</v>
      </c>
      <c r="L291" s="63"/>
      <c r="M291" s="63"/>
      <c r="N291" s="63"/>
    </row>
    <row r="292" spans="1:14" ht="15" customHeight="1" x14ac:dyDescent="0.2">
      <c r="A292" s="63" t="str">
        <f t="shared" si="8"/>
        <v/>
      </c>
      <c r="B292" s="63" t="str">
        <f>IF($A292="","",SUMPRODUCT((MOVIMIENTOS!$B$5:$B$1005="SALDO INICIAL")*(MOVIMIENTOS!$C$5:$C$1005="A")*(MOVIMIENTOS!$D$5:$D$1005="jabas")*(MOVIMIENTOS!$A$5:$A$1005&lt;&gt;"")*(MOVIMIENTOS!$A$5:$A$1005&lt;=$A292)*MOVIMIENTOS!$E$5:$E$1005)+SUMPRODUCT((MOVIMIENTOS!$B$5:$B$1005="PROCESO")*(MOVIMIENTOS!$C$5:$C$1005="A")*(MOVIMIENTOS!$D$5:$D$1005="jabas")*(MOVIMIENTOS!$A$5:$A$1005&lt;&gt;"")*(MOVIMIENTOS!$A$5:$A$1005&lt;=$A292)*MOVIMIENTOS!$E$5:$E$1005)-SUMPRODUCT((MOVIMIENTOS!$B$5:$B$1005="ENVÍO A SUPESA")*(MOVIMIENTOS!$C$5:$C$1005="A")*(MOVIMIENTOS!$D$5:$D$1005="jabas")*(MOVIMIENTOS!$A$5:$A$1005&lt;&gt;"")*(MOVIMIENTOS!$A$5:$A$1005&lt;=$A292)*MOVIMIENTOS!$E$5:$E$1005)+SUMPRODUCT((MOVIMIENTOS!$B$5:$B$1005="DEVOLUCIÓN")*(MOVIMIENTOS!$C$5:$C$1005="A")*(MOVIMIENTOS!$D$5:$D$1005="jabas")*(MOVIMIENTOS!$A$5:$A$1005&lt;&gt;"")*(MOVIMIENTOS!$A$5:$A$1005&lt;=$A292)*MOVIMIENTOS!$E$5:$E$1005)-SUMPRODUCT((MOVIMIENTOS!$B$5:$B$1005="TRASIEGO")*(MOVIMIENTOS!$C$5:$C$1005="A")*(MOVIMIENTOS!$D$5:$D$1005="jabas")*(MOVIMIENTOS!$A$5:$A$1005&lt;&gt;"")*(MOVIMIENTOS!$A$5:$A$1005&lt;=$A292)*MOVIMIENTOS!$E$5:$E$1005)-SUMPRODUCT((MOVIMIENTOS!$B$5:$B$1005="REGALO")*(MOVIMIENTOS!$C$5:$C$1005="A")*(MOVIMIENTOS!$D$5:$D$1005="jabas")*(MOVIMIENTOS!$A$5:$A$1005&lt;&gt;"")*(MOVIMIENTOS!$A$5:$A$1005&lt;=$A292)*MOVIMIENTOS!$E$5:$E$1005)-SUMPRODUCT((MOVIMIENTOS!$B$5:$B$1005="VENTA")*(MOVIMIENTOS!$C$5:$C$1005="A")*(MOVIMIENTOS!$D$5:$D$1005="jabas")*(MOVIMIENTOS!$A$5:$A$1005&lt;&gt;"")*(MOVIMIENTOS!$A$5:$A$1005&lt;=$A292)*MOVIMIENTOS!$E$5:$E$1005)+SUMPRODUCT((MOVIMIENTOS!$B$5:$B$1005="AJUSTE")*(MOVIMIENTOS!$C$5:$C$1005="A")*(MOVIMIENTOS!$D$5:$D$1005="jabas")*(MOVIMIENTOS!$A$5:$A$1005&lt;&gt;"")*(MOVIMIENTOS!$A$5:$A$1005&lt;=$A292)*MOVIMIENTOS!$E$5:$E$1005))</f>
        <v/>
      </c>
      <c r="C292" s="63" t="str">
        <f>IF($A292="","",SUMPRODUCT((MOVIMIENTOS!$B$5:$B$1005="SALDO INICIAL")*(MOVIMIENTOS!$C$5:$C$1005="P")*(MOVIMIENTOS!$D$5:$D$1005="jabas")*(MOVIMIENTOS!$A$5:$A$1005&lt;&gt;"")*(MOVIMIENTOS!$A$5:$A$1005&lt;=$A292)*MOVIMIENTOS!$E$5:$E$1005)+SUMPRODUCT((MOVIMIENTOS!$B$5:$B$1005="PROCESO")*(MOVIMIENTOS!$C$5:$C$1005="P")*(MOVIMIENTOS!$D$5:$D$1005="jabas")*(MOVIMIENTOS!$A$5:$A$1005&lt;&gt;"")*(MOVIMIENTOS!$A$5:$A$1005&lt;=$A292)*MOVIMIENTOS!$E$5:$E$1005)-SUMPRODUCT((MOVIMIENTOS!$B$5:$B$1005="ENVÍO A SUPESA")*(MOVIMIENTOS!$C$5:$C$1005="P")*(MOVIMIENTOS!$D$5:$D$1005="jabas")*(MOVIMIENTOS!$A$5:$A$1005&lt;&gt;"")*(MOVIMIENTOS!$A$5:$A$1005&lt;=$A292)*MOVIMIENTOS!$E$5:$E$1005)+SUMPRODUCT((MOVIMIENTOS!$B$5:$B$1005="DEVOLUCIÓN")*(MOVIMIENTOS!$C$5:$C$1005="P")*(MOVIMIENTOS!$D$5:$D$1005="jabas")*(MOVIMIENTOS!$A$5:$A$1005&lt;&gt;"")*(MOVIMIENTOS!$A$5:$A$1005&lt;=$A292)*MOVIMIENTOS!$E$5:$E$1005)-SUMPRODUCT((MOVIMIENTOS!$B$5:$B$1005="TRASIEGO")*(MOVIMIENTOS!$C$5:$C$1005="P")*(MOVIMIENTOS!$D$5:$D$1005="jabas")*(MOVIMIENTOS!$A$5:$A$1005&lt;&gt;"")*(MOVIMIENTOS!$A$5:$A$1005&lt;=$A292)*MOVIMIENTOS!$E$5:$E$1005)-SUMPRODUCT((MOVIMIENTOS!$B$5:$B$1005="REGALO")*(MOVIMIENTOS!$C$5:$C$1005="P")*(MOVIMIENTOS!$D$5:$D$1005="jabas")*(MOVIMIENTOS!$A$5:$A$1005&lt;&gt;"")*(MOVIMIENTOS!$A$5:$A$1005&lt;=$A292)*MOVIMIENTOS!$E$5:$E$1005)-SUMPRODUCT((MOVIMIENTOS!$B$5:$B$1005="VENTA")*(MOVIMIENTOS!$C$5:$C$1005="P")*(MOVIMIENTOS!$D$5:$D$1005="jabas")*(MOVIMIENTOS!$A$5:$A$1005&lt;&gt;"")*(MOVIMIENTOS!$A$5:$A$1005&lt;=$A292)*MOVIMIENTOS!$E$5:$E$1005)+SUMPRODUCT((MOVIMIENTOS!$B$5:$B$1005="AJUSTE")*(MOVIMIENTOS!$C$5:$C$1005="P")*(MOVIMIENTOS!$D$5:$D$1005="jabas")*(MOVIMIENTOS!$A$5:$A$1005&lt;&gt;"")*(MOVIMIENTOS!$A$5:$A$1005&lt;=$A292)*MOVIMIENTOS!$E$5:$E$1005))</f>
        <v/>
      </c>
      <c r="D292" s="63" t="str">
        <f>IF($A292="","",SUMPRODUCT((MOVIMIENTOS!$B$5:$B$1005="SALDO INICIAL")*(MOVIMIENTOS!$C$5:$C$1005="C")*(MOVIMIENTOS!$D$5:$D$1005="jabas")*(MOVIMIENTOS!$A$5:$A$1005&lt;&gt;"")*(MOVIMIENTOS!$A$5:$A$1005&lt;=$A292)*MOVIMIENTOS!$E$5:$E$1005)+SUMPRODUCT((MOVIMIENTOS!$B$5:$B$1005="PROCESO")*(MOVIMIENTOS!$C$5:$C$1005="C")*(MOVIMIENTOS!$D$5:$D$1005="jabas")*(MOVIMIENTOS!$A$5:$A$1005&lt;&gt;"")*(MOVIMIENTOS!$A$5:$A$1005&lt;=$A292)*MOVIMIENTOS!$E$5:$E$1005)-SUMPRODUCT((MOVIMIENTOS!$B$5:$B$1005="ENVÍO A SUPESA")*(MOVIMIENTOS!$C$5:$C$1005="C")*(MOVIMIENTOS!$D$5:$D$1005="jabas")*(MOVIMIENTOS!$A$5:$A$1005&lt;&gt;"")*(MOVIMIENTOS!$A$5:$A$1005&lt;=$A292)*MOVIMIENTOS!$E$5:$E$1005)+SUMPRODUCT((MOVIMIENTOS!$B$5:$B$1005="DEVOLUCIÓN")*(MOVIMIENTOS!$C$5:$C$1005="C")*(MOVIMIENTOS!$D$5:$D$1005="jabas")*(MOVIMIENTOS!$A$5:$A$1005&lt;&gt;"")*(MOVIMIENTOS!$A$5:$A$1005&lt;=$A292)*MOVIMIENTOS!$E$5:$E$1005)-SUMPRODUCT((MOVIMIENTOS!$B$5:$B$1005="TRASIEGO")*(MOVIMIENTOS!$C$5:$C$1005="C")*(MOVIMIENTOS!$D$5:$D$1005="jabas")*(MOVIMIENTOS!$A$5:$A$1005&lt;&gt;"")*(MOVIMIENTOS!$A$5:$A$1005&lt;=$A292)*MOVIMIENTOS!$E$5:$E$1005)-SUMPRODUCT((MOVIMIENTOS!$B$5:$B$1005="REGALO")*(MOVIMIENTOS!$C$5:$C$1005="C")*(MOVIMIENTOS!$D$5:$D$1005="jabas")*(MOVIMIENTOS!$A$5:$A$1005&lt;&gt;"")*(MOVIMIENTOS!$A$5:$A$1005&lt;=$A292)*MOVIMIENTOS!$E$5:$E$1005)-SUMPRODUCT((MOVIMIENTOS!$B$5:$B$1005="VENTA")*(MOVIMIENTOS!$C$5:$C$1005="C")*(MOVIMIENTOS!$D$5:$D$1005="jabas")*(MOVIMIENTOS!$A$5:$A$1005&lt;&gt;"")*(MOVIMIENTOS!$A$5:$A$1005&lt;=$A292)*MOVIMIENTOS!$E$5:$E$1005)+SUMPRODUCT((MOVIMIENTOS!$B$5:$B$1005="AJUSTE")*(MOVIMIENTOS!$C$5:$C$1005="C")*(MOVIMIENTOS!$D$5:$D$1005="jabas")*(MOVIMIENTOS!$A$5:$A$1005&lt;&gt;"")*(MOVIMIENTOS!$A$5:$A$1005&lt;=$A292)*MOVIMIENTOS!$E$5:$E$1005))</f>
        <v/>
      </c>
      <c r="E292" s="63" t="str">
        <f>IF($A292="","",SUMPRODUCT((MOVIMIENTOS!$B$5:$B$1005="SALDO INICIAL")*(MOVIMIENTOS!$C$5:$C$1005="M")*(MOVIMIENTOS!$D$5:$D$1005="jabas")*(MOVIMIENTOS!$A$5:$A$1005&lt;&gt;"")*(MOVIMIENTOS!$A$5:$A$1005&lt;=$A292)*MOVIMIENTOS!$E$5:$E$1005)+SUMPRODUCT((MOVIMIENTOS!$B$5:$B$1005="PROCESO")*(MOVIMIENTOS!$C$5:$C$1005="M")*(MOVIMIENTOS!$D$5:$D$1005="jabas")*(MOVIMIENTOS!$A$5:$A$1005&lt;&gt;"")*(MOVIMIENTOS!$A$5:$A$1005&lt;=$A292)*MOVIMIENTOS!$E$5:$E$1005)-SUMPRODUCT((MOVIMIENTOS!$B$5:$B$1005="ENVÍO A SUPESA")*(MOVIMIENTOS!$C$5:$C$1005="M")*(MOVIMIENTOS!$D$5:$D$1005="jabas")*(MOVIMIENTOS!$A$5:$A$1005&lt;&gt;"")*(MOVIMIENTOS!$A$5:$A$1005&lt;=$A292)*MOVIMIENTOS!$E$5:$E$1005)+SUMPRODUCT((MOVIMIENTOS!$B$5:$B$1005="DEVOLUCIÓN")*(MOVIMIENTOS!$C$5:$C$1005="M")*(MOVIMIENTOS!$D$5:$D$1005="jabas")*(MOVIMIENTOS!$A$5:$A$1005&lt;&gt;"")*(MOVIMIENTOS!$A$5:$A$1005&lt;=$A292)*MOVIMIENTOS!$E$5:$E$1005)-SUMPRODUCT((MOVIMIENTOS!$B$5:$B$1005="TRASIEGO")*(MOVIMIENTOS!$C$5:$C$1005="M")*(MOVIMIENTOS!$D$5:$D$1005="jabas")*(MOVIMIENTOS!$A$5:$A$1005&lt;&gt;"")*(MOVIMIENTOS!$A$5:$A$1005&lt;=$A292)*MOVIMIENTOS!$E$5:$E$1005)-SUMPRODUCT((MOVIMIENTOS!$B$5:$B$1005="REGALO")*(MOVIMIENTOS!$C$5:$C$1005="M")*(MOVIMIENTOS!$D$5:$D$1005="jabas")*(MOVIMIENTOS!$A$5:$A$1005&lt;&gt;"")*(MOVIMIENTOS!$A$5:$A$1005&lt;=$A292)*MOVIMIENTOS!$E$5:$E$1005)-SUMPRODUCT((MOVIMIENTOS!$B$5:$B$1005="VENTA")*(MOVIMIENTOS!$C$5:$C$1005="M")*(MOVIMIENTOS!$D$5:$D$1005="jabas")*(MOVIMIENTOS!$A$5:$A$1005&lt;&gt;"")*(MOVIMIENTOS!$A$5:$A$1005&lt;=$A292)*MOVIMIENTOS!$E$5:$E$1005)+SUMPRODUCT((MOVIMIENTOS!$B$5:$B$1005="AJUSTE")*(MOVIMIENTOS!$C$5:$C$1005="M")*(MOVIMIENTOS!$D$5:$D$1005="jabas")*(MOVIMIENTOS!$A$5:$A$1005&lt;&gt;"")*(MOVIMIENTOS!$A$5:$A$1005&lt;=$A292)*MOVIMIENTOS!$E$5:$E$1005))</f>
        <v/>
      </c>
      <c r="F292" s="63" t="str">
        <f>IF($A292="","",SUMPRODUCT((MOVIMIENTOS!$B$5:$B$1005="SALDO INICIAL")*(MOVIMIENTOS!$C$5:$C$1005="Chancho")*(MOVIMIENTOS!$D$5:$D$1005="sacos")*(MOVIMIENTOS!$A$5:$A$1005&lt;&gt;"")*(MOVIMIENTOS!$A$5:$A$1005&lt;=$A292)*MOVIMIENTOS!$E$5:$E$1005)+SUMPRODUCT((MOVIMIENTOS!$B$5:$B$1005="PROCESO")*(MOVIMIENTOS!$C$5:$C$1005="Chancho")*(MOVIMIENTOS!$D$5:$D$1005="sacos")*(MOVIMIENTOS!$A$5:$A$1005&lt;&gt;"")*(MOVIMIENTOS!$A$5:$A$1005&lt;=$A292)*MOVIMIENTOS!$E$5:$E$1005)-SUMPRODUCT((MOVIMIENTOS!$B$5:$B$1005="VENTA CHANCHO")*(MOVIMIENTOS!$C$5:$C$1005="Chancho")*(MOVIMIENTOS!$D$5:$D$1005="sacos")*(MOVIMIENTOS!$A$5:$A$1005&lt;&gt;"")*(MOVIMIENTOS!$A$5:$A$1005&lt;=$A292)*MOVIMIENTOS!$E$5:$E$1005)-SUMPRODUCT((MOVIMIENTOS!$B$5:$B$1005="REGALO")*(MOVIMIENTOS!$C$5:$C$1005="Chancho")*(MOVIMIENTOS!$D$5:$D$1005="sacos")*(MOVIMIENTOS!$A$5:$A$1005&lt;&gt;"")*(MOVIMIENTOS!$A$5:$A$1005&lt;=$A292)*MOVIMIENTOS!$E$5:$E$1005)-SUMPRODUCT((MOVIMIENTOS!$B$5:$B$1005="VENTA")*(MOVIMIENTOS!$C$5:$C$1005="Chancho")*(MOVIMIENTOS!$D$5:$D$1005="sacos")*(MOVIMIENTOS!$A$5:$A$1005&lt;&gt;"")*(MOVIMIENTOS!$A$5:$A$1005&lt;=$A292)*MOVIMIENTOS!$E$5:$E$1005)+SUMPRODUCT((MOVIMIENTOS!$B$5:$B$1005="AJUSTE")*(MOVIMIENTOS!$C$5:$C$1005="Chancho")*(MOVIMIENTOS!$D$5:$D$1005="sacos")*(MOVIMIENTOS!$A$5:$A$1005&lt;&gt;"")*(MOVIMIENTOS!$A$5:$A$1005&lt;=$A292)*MOVIMIENTOS!$E$5:$E$1005))</f>
        <v/>
      </c>
      <c r="G292" s="95" t="str">
        <f t="shared" si="9"/>
        <v/>
      </c>
      <c r="H292" s="63" t="str">
        <f>IF($A292="","",SUMPRODUCT((((MOVIMIENTOS!$B$5:$B$1005="SALDO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292)*MOVIMIENTOS!$J$5:$J$1005))</f>
        <v/>
      </c>
      <c r="I292" s="63"/>
      <c r="J292" s="63" t="str">
        <f>IF(AND(MOVIMIENTOS!$A291&lt;&gt;"",COUNTIF(MOVIMIENTOS!$A$5:$A290,MOVIMIENTOS!$A291)=0),COUNT(J$4:J291)+1,"")</f>
        <v/>
      </c>
      <c r="K292" s="66">
        <f>MOVIMIENTOS!$A291</f>
        <v>46239</v>
      </c>
      <c r="L292" s="63"/>
      <c r="M292" s="63"/>
      <c r="N292" s="63"/>
    </row>
    <row r="293" spans="1:14" ht="15" customHeight="1" x14ac:dyDescent="0.2">
      <c r="A293" s="63" t="str">
        <f t="shared" si="8"/>
        <v/>
      </c>
      <c r="B293" s="63" t="str">
        <f>IF($A293="","",SUMPRODUCT((MOVIMIENTOS!$B$5:$B$1005="SALDO INICIAL")*(MOVIMIENTOS!$C$5:$C$1005="A")*(MOVIMIENTOS!$D$5:$D$1005="jabas")*(MOVIMIENTOS!$A$5:$A$1005&lt;&gt;"")*(MOVIMIENTOS!$A$5:$A$1005&lt;=$A293)*MOVIMIENTOS!$E$5:$E$1005)+SUMPRODUCT((MOVIMIENTOS!$B$5:$B$1005="PROCESO")*(MOVIMIENTOS!$C$5:$C$1005="A")*(MOVIMIENTOS!$D$5:$D$1005="jabas")*(MOVIMIENTOS!$A$5:$A$1005&lt;&gt;"")*(MOVIMIENTOS!$A$5:$A$1005&lt;=$A293)*MOVIMIENTOS!$E$5:$E$1005)-SUMPRODUCT((MOVIMIENTOS!$B$5:$B$1005="ENVÍO A SUPESA")*(MOVIMIENTOS!$C$5:$C$1005="A")*(MOVIMIENTOS!$D$5:$D$1005="jabas")*(MOVIMIENTOS!$A$5:$A$1005&lt;&gt;"")*(MOVIMIENTOS!$A$5:$A$1005&lt;=$A293)*MOVIMIENTOS!$E$5:$E$1005)+SUMPRODUCT((MOVIMIENTOS!$B$5:$B$1005="DEVOLUCIÓN")*(MOVIMIENTOS!$C$5:$C$1005="A")*(MOVIMIENTOS!$D$5:$D$1005="jabas")*(MOVIMIENTOS!$A$5:$A$1005&lt;&gt;"")*(MOVIMIENTOS!$A$5:$A$1005&lt;=$A293)*MOVIMIENTOS!$E$5:$E$1005)-SUMPRODUCT((MOVIMIENTOS!$B$5:$B$1005="TRASIEGO")*(MOVIMIENTOS!$C$5:$C$1005="A")*(MOVIMIENTOS!$D$5:$D$1005="jabas")*(MOVIMIENTOS!$A$5:$A$1005&lt;&gt;"")*(MOVIMIENTOS!$A$5:$A$1005&lt;=$A293)*MOVIMIENTOS!$E$5:$E$1005)-SUMPRODUCT((MOVIMIENTOS!$B$5:$B$1005="REGALO")*(MOVIMIENTOS!$C$5:$C$1005="A")*(MOVIMIENTOS!$D$5:$D$1005="jabas")*(MOVIMIENTOS!$A$5:$A$1005&lt;&gt;"")*(MOVIMIENTOS!$A$5:$A$1005&lt;=$A293)*MOVIMIENTOS!$E$5:$E$1005)-SUMPRODUCT((MOVIMIENTOS!$B$5:$B$1005="VENTA")*(MOVIMIENTOS!$C$5:$C$1005="A")*(MOVIMIENTOS!$D$5:$D$1005="jabas")*(MOVIMIENTOS!$A$5:$A$1005&lt;&gt;"")*(MOVIMIENTOS!$A$5:$A$1005&lt;=$A293)*MOVIMIENTOS!$E$5:$E$1005)+SUMPRODUCT((MOVIMIENTOS!$B$5:$B$1005="AJUSTE")*(MOVIMIENTOS!$C$5:$C$1005="A")*(MOVIMIENTOS!$D$5:$D$1005="jabas")*(MOVIMIENTOS!$A$5:$A$1005&lt;&gt;"")*(MOVIMIENTOS!$A$5:$A$1005&lt;=$A293)*MOVIMIENTOS!$E$5:$E$1005))</f>
        <v/>
      </c>
      <c r="C293" s="63" t="str">
        <f>IF($A293="","",SUMPRODUCT((MOVIMIENTOS!$B$5:$B$1005="SALDO INICIAL")*(MOVIMIENTOS!$C$5:$C$1005="P")*(MOVIMIENTOS!$D$5:$D$1005="jabas")*(MOVIMIENTOS!$A$5:$A$1005&lt;&gt;"")*(MOVIMIENTOS!$A$5:$A$1005&lt;=$A293)*MOVIMIENTOS!$E$5:$E$1005)+SUMPRODUCT((MOVIMIENTOS!$B$5:$B$1005="PROCESO")*(MOVIMIENTOS!$C$5:$C$1005="P")*(MOVIMIENTOS!$D$5:$D$1005="jabas")*(MOVIMIENTOS!$A$5:$A$1005&lt;&gt;"")*(MOVIMIENTOS!$A$5:$A$1005&lt;=$A293)*MOVIMIENTOS!$E$5:$E$1005)-SUMPRODUCT((MOVIMIENTOS!$B$5:$B$1005="ENVÍO A SUPESA")*(MOVIMIENTOS!$C$5:$C$1005="P")*(MOVIMIENTOS!$D$5:$D$1005="jabas")*(MOVIMIENTOS!$A$5:$A$1005&lt;&gt;"")*(MOVIMIENTOS!$A$5:$A$1005&lt;=$A293)*MOVIMIENTOS!$E$5:$E$1005)+SUMPRODUCT((MOVIMIENTOS!$B$5:$B$1005="DEVOLUCIÓN")*(MOVIMIENTOS!$C$5:$C$1005="P")*(MOVIMIENTOS!$D$5:$D$1005="jabas")*(MOVIMIENTOS!$A$5:$A$1005&lt;&gt;"")*(MOVIMIENTOS!$A$5:$A$1005&lt;=$A293)*MOVIMIENTOS!$E$5:$E$1005)-SUMPRODUCT((MOVIMIENTOS!$B$5:$B$1005="TRASIEGO")*(MOVIMIENTOS!$C$5:$C$1005="P")*(MOVIMIENTOS!$D$5:$D$1005="jabas")*(MOVIMIENTOS!$A$5:$A$1005&lt;&gt;"")*(MOVIMIENTOS!$A$5:$A$1005&lt;=$A293)*MOVIMIENTOS!$E$5:$E$1005)-SUMPRODUCT((MOVIMIENTOS!$B$5:$B$1005="REGALO")*(MOVIMIENTOS!$C$5:$C$1005="P")*(MOVIMIENTOS!$D$5:$D$1005="jabas")*(MOVIMIENTOS!$A$5:$A$1005&lt;&gt;"")*(MOVIMIENTOS!$A$5:$A$1005&lt;=$A293)*MOVIMIENTOS!$E$5:$E$1005)-SUMPRODUCT((MOVIMIENTOS!$B$5:$B$1005="VENTA")*(MOVIMIENTOS!$C$5:$C$1005="P")*(MOVIMIENTOS!$D$5:$D$1005="jabas")*(MOVIMIENTOS!$A$5:$A$1005&lt;&gt;"")*(MOVIMIENTOS!$A$5:$A$1005&lt;=$A293)*MOVIMIENTOS!$E$5:$E$1005)+SUMPRODUCT((MOVIMIENTOS!$B$5:$B$1005="AJUSTE")*(MOVIMIENTOS!$C$5:$C$1005="P")*(MOVIMIENTOS!$D$5:$D$1005="jabas")*(MOVIMIENTOS!$A$5:$A$1005&lt;&gt;"")*(MOVIMIENTOS!$A$5:$A$1005&lt;=$A293)*MOVIMIENTOS!$E$5:$E$1005))</f>
        <v/>
      </c>
      <c r="D293" s="63" t="str">
        <f>IF($A293="","",SUMPRODUCT((MOVIMIENTOS!$B$5:$B$1005="SALDO INICIAL")*(MOVIMIENTOS!$C$5:$C$1005="C")*(MOVIMIENTOS!$D$5:$D$1005="jabas")*(MOVIMIENTOS!$A$5:$A$1005&lt;&gt;"")*(MOVIMIENTOS!$A$5:$A$1005&lt;=$A293)*MOVIMIENTOS!$E$5:$E$1005)+SUMPRODUCT((MOVIMIENTOS!$B$5:$B$1005="PROCESO")*(MOVIMIENTOS!$C$5:$C$1005="C")*(MOVIMIENTOS!$D$5:$D$1005="jabas")*(MOVIMIENTOS!$A$5:$A$1005&lt;&gt;"")*(MOVIMIENTOS!$A$5:$A$1005&lt;=$A293)*MOVIMIENTOS!$E$5:$E$1005)-SUMPRODUCT((MOVIMIENTOS!$B$5:$B$1005="ENVÍO A SUPESA")*(MOVIMIENTOS!$C$5:$C$1005="C")*(MOVIMIENTOS!$D$5:$D$1005="jabas")*(MOVIMIENTOS!$A$5:$A$1005&lt;&gt;"")*(MOVIMIENTOS!$A$5:$A$1005&lt;=$A293)*MOVIMIENTOS!$E$5:$E$1005)+SUMPRODUCT((MOVIMIENTOS!$B$5:$B$1005="DEVOLUCIÓN")*(MOVIMIENTOS!$C$5:$C$1005="C")*(MOVIMIENTOS!$D$5:$D$1005="jabas")*(MOVIMIENTOS!$A$5:$A$1005&lt;&gt;"")*(MOVIMIENTOS!$A$5:$A$1005&lt;=$A293)*MOVIMIENTOS!$E$5:$E$1005)-SUMPRODUCT((MOVIMIENTOS!$B$5:$B$1005="TRASIEGO")*(MOVIMIENTOS!$C$5:$C$1005="C")*(MOVIMIENTOS!$D$5:$D$1005="jabas")*(MOVIMIENTOS!$A$5:$A$1005&lt;&gt;"")*(MOVIMIENTOS!$A$5:$A$1005&lt;=$A293)*MOVIMIENTOS!$E$5:$E$1005)-SUMPRODUCT((MOVIMIENTOS!$B$5:$B$1005="REGALO")*(MOVIMIENTOS!$C$5:$C$1005="C")*(MOVIMIENTOS!$D$5:$D$1005="jabas")*(MOVIMIENTOS!$A$5:$A$1005&lt;&gt;"")*(MOVIMIENTOS!$A$5:$A$1005&lt;=$A293)*MOVIMIENTOS!$E$5:$E$1005)-SUMPRODUCT((MOVIMIENTOS!$B$5:$B$1005="VENTA")*(MOVIMIENTOS!$C$5:$C$1005="C")*(MOVIMIENTOS!$D$5:$D$1005="jabas")*(MOVIMIENTOS!$A$5:$A$1005&lt;&gt;"")*(MOVIMIENTOS!$A$5:$A$1005&lt;=$A293)*MOVIMIENTOS!$E$5:$E$1005)+SUMPRODUCT((MOVIMIENTOS!$B$5:$B$1005="AJUSTE")*(MOVIMIENTOS!$C$5:$C$1005="C")*(MOVIMIENTOS!$D$5:$D$1005="jabas")*(MOVIMIENTOS!$A$5:$A$1005&lt;&gt;"")*(MOVIMIENTOS!$A$5:$A$1005&lt;=$A293)*MOVIMIENTOS!$E$5:$E$1005))</f>
        <v/>
      </c>
      <c r="E293" s="63" t="str">
        <f>IF($A293="","",SUMPRODUCT((MOVIMIENTOS!$B$5:$B$1005="SALDO INICIAL")*(MOVIMIENTOS!$C$5:$C$1005="M")*(MOVIMIENTOS!$D$5:$D$1005="jabas")*(MOVIMIENTOS!$A$5:$A$1005&lt;&gt;"")*(MOVIMIENTOS!$A$5:$A$1005&lt;=$A293)*MOVIMIENTOS!$E$5:$E$1005)+SUMPRODUCT((MOVIMIENTOS!$B$5:$B$1005="PROCESO")*(MOVIMIENTOS!$C$5:$C$1005="M")*(MOVIMIENTOS!$D$5:$D$1005="jabas")*(MOVIMIENTOS!$A$5:$A$1005&lt;&gt;"")*(MOVIMIENTOS!$A$5:$A$1005&lt;=$A293)*MOVIMIENTOS!$E$5:$E$1005)-SUMPRODUCT((MOVIMIENTOS!$B$5:$B$1005="ENVÍO A SUPESA")*(MOVIMIENTOS!$C$5:$C$1005="M")*(MOVIMIENTOS!$D$5:$D$1005="jabas")*(MOVIMIENTOS!$A$5:$A$1005&lt;&gt;"")*(MOVIMIENTOS!$A$5:$A$1005&lt;=$A293)*MOVIMIENTOS!$E$5:$E$1005)+SUMPRODUCT((MOVIMIENTOS!$B$5:$B$1005="DEVOLUCIÓN")*(MOVIMIENTOS!$C$5:$C$1005="M")*(MOVIMIENTOS!$D$5:$D$1005="jabas")*(MOVIMIENTOS!$A$5:$A$1005&lt;&gt;"")*(MOVIMIENTOS!$A$5:$A$1005&lt;=$A293)*MOVIMIENTOS!$E$5:$E$1005)-SUMPRODUCT((MOVIMIENTOS!$B$5:$B$1005="TRASIEGO")*(MOVIMIENTOS!$C$5:$C$1005="M")*(MOVIMIENTOS!$D$5:$D$1005="jabas")*(MOVIMIENTOS!$A$5:$A$1005&lt;&gt;"")*(MOVIMIENTOS!$A$5:$A$1005&lt;=$A293)*MOVIMIENTOS!$E$5:$E$1005)-SUMPRODUCT((MOVIMIENTOS!$B$5:$B$1005="REGALO")*(MOVIMIENTOS!$C$5:$C$1005="M")*(MOVIMIENTOS!$D$5:$D$1005="jabas")*(MOVIMIENTOS!$A$5:$A$1005&lt;&gt;"")*(MOVIMIENTOS!$A$5:$A$1005&lt;=$A293)*MOVIMIENTOS!$E$5:$E$1005)-SUMPRODUCT((MOVIMIENTOS!$B$5:$B$1005="VENTA")*(MOVIMIENTOS!$C$5:$C$1005="M")*(MOVIMIENTOS!$D$5:$D$1005="jabas")*(MOVIMIENTOS!$A$5:$A$1005&lt;&gt;"")*(MOVIMIENTOS!$A$5:$A$1005&lt;=$A293)*MOVIMIENTOS!$E$5:$E$1005)+SUMPRODUCT((MOVIMIENTOS!$B$5:$B$1005="AJUSTE")*(MOVIMIENTOS!$C$5:$C$1005="M")*(MOVIMIENTOS!$D$5:$D$1005="jabas")*(MOVIMIENTOS!$A$5:$A$1005&lt;&gt;"")*(MOVIMIENTOS!$A$5:$A$1005&lt;=$A293)*MOVIMIENTOS!$E$5:$E$1005))</f>
        <v/>
      </c>
      <c r="F293" s="63" t="str">
        <f>IF($A293="","",SUMPRODUCT((MOVIMIENTOS!$B$5:$B$1005="SALDO INICIAL")*(MOVIMIENTOS!$C$5:$C$1005="Chancho")*(MOVIMIENTOS!$D$5:$D$1005="sacos")*(MOVIMIENTOS!$A$5:$A$1005&lt;&gt;"")*(MOVIMIENTOS!$A$5:$A$1005&lt;=$A293)*MOVIMIENTOS!$E$5:$E$1005)+SUMPRODUCT((MOVIMIENTOS!$B$5:$B$1005="PROCESO")*(MOVIMIENTOS!$C$5:$C$1005="Chancho")*(MOVIMIENTOS!$D$5:$D$1005="sacos")*(MOVIMIENTOS!$A$5:$A$1005&lt;&gt;"")*(MOVIMIENTOS!$A$5:$A$1005&lt;=$A293)*MOVIMIENTOS!$E$5:$E$1005)-SUMPRODUCT((MOVIMIENTOS!$B$5:$B$1005="VENTA CHANCHO")*(MOVIMIENTOS!$C$5:$C$1005="Chancho")*(MOVIMIENTOS!$D$5:$D$1005="sacos")*(MOVIMIENTOS!$A$5:$A$1005&lt;&gt;"")*(MOVIMIENTOS!$A$5:$A$1005&lt;=$A293)*MOVIMIENTOS!$E$5:$E$1005)-SUMPRODUCT((MOVIMIENTOS!$B$5:$B$1005="REGALO")*(MOVIMIENTOS!$C$5:$C$1005="Chancho")*(MOVIMIENTOS!$D$5:$D$1005="sacos")*(MOVIMIENTOS!$A$5:$A$1005&lt;&gt;"")*(MOVIMIENTOS!$A$5:$A$1005&lt;=$A293)*MOVIMIENTOS!$E$5:$E$1005)-SUMPRODUCT((MOVIMIENTOS!$B$5:$B$1005="VENTA")*(MOVIMIENTOS!$C$5:$C$1005="Chancho")*(MOVIMIENTOS!$D$5:$D$1005="sacos")*(MOVIMIENTOS!$A$5:$A$1005&lt;&gt;"")*(MOVIMIENTOS!$A$5:$A$1005&lt;=$A293)*MOVIMIENTOS!$E$5:$E$1005)+SUMPRODUCT((MOVIMIENTOS!$B$5:$B$1005="AJUSTE")*(MOVIMIENTOS!$C$5:$C$1005="Chancho")*(MOVIMIENTOS!$D$5:$D$1005="sacos")*(MOVIMIENTOS!$A$5:$A$1005&lt;&gt;"")*(MOVIMIENTOS!$A$5:$A$1005&lt;=$A293)*MOVIMIENTOS!$E$5:$E$1005))</f>
        <v/>
      </c>
      <c r="G293" s="95" t="str">
        <f t="shared" si="9"/>
        <v/>
      </c>
      <c r="H293" s="63" t="str">
        <f>IF($A293="","",SUMPRODUCT((((MOVIMIENTOS!$B$5:$B$1005="SALDO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293)*MOVIMIENTOS!$J$5:$J$1005))</f>
        <v/>
      </c>
      <c r="I293" s="63"/>
      <c r="J293" s="63" t="str">
        <f>IF(AND(MOVIMIENTOS!$A292&lt;&gt;"",COUNTIF(MOVIMIENTOS!$A$5:$A291,MOVIMIENTOS!$A292)=0),COUNT(J$4:J292)+1,"")</f>
        <v/>
      </c>
      <c r="K293" s="66">
        <f>MOVIMIENTOS!$A292</f>
        <v>46239</v>
      </c>
      <c r="L293" s="63"/>
      <c r="M293" s="63"/>
      <c r="N293" s="63"/>
    </row>
    <row r="294" spans="1:14" ht="15" customHeight="1" x14ac:dyDescent="0.2">
      <c r="A294" s="63" t="str">
        <f t="shared" si="8"/>
        <v/>
      </c>
      <c r="B294" s="63" t="str">
        <f>IF($A294="","",SUMPRODUCT((MOVIMIENTOS!$B$5:$B$1005="SALDO INICIAL")*(MOVIMIENTOS!$C$5:$C$1005="A")*(MOVIMIENTOS!$D$5:$D$1005="jabas")*(MOVIMIENTOS!$A$5:$A$1005&lt;&gt;"")*(MOVIMIENTOS!$A$5:$A$1005&lt;=$A294)*MOVIMIENTOS!$E$5:$E$1005)+SUMPRODUCT((MOVIMIENTOS!$B$5:$B$1005="PROCESO")*(MOVIMIENTOS!$C$5:$C$1005="A")*(MOVIMIENTOS!$D$5:$D$1005="jabas")*(MOVIMIENTOS!$A$5:$A$1005&lt;&gt;"")*(MOVIMIENTOS!$A$5:$A$1005&lt;=$A294)*MOVIMIENTOS!$E$5:$E$1005)-SUMPRODUCT((MOVIMIENTOS!$B$5:$B$1005="ENVÍO A SUPESA")*(MOVIMIENTOS!$C$5:$C$1005="A")*(MOVIMIENTOS!$D$5:$D$1005="jabas")*(MOVIMIENTOS!$A$5:$A$1005&lt;&gt;"")*(MOVIMIENTOS!$A$5:$A$1005&lt;=$A294)*MOVIMIENTOS!$E$5:$E$1005)+SUMPRODUCT((MOVIMIENTOS!$B$5:$B$1005="DEVOLUCIÓN")*(MOVIMIENTOS!$C$5:$C$1005="A")*(MOVIMIENTOS!$D$5:$D$1005="jabas")*(MOVIMIENTOS!$A$5:$A$1005&lt;&gt;"")*(MOVIMIENTOS!$A$5:$A$1005&lt;=$A294)*MOVIMIENTOS!$E$5:$E$1005)-SUMPRODUCT((MOVIMIENTOS!$B$5:$B$1005="TRASIEGO")*(MOVIMIENTOS!$C$5:$C$1005="A")*(MOVIMIENTOS!$D$5:$D$1005="jabas")*(MOVIMIENTOS!$A$5:$A$1005&lt;&gt;"")*(MOVIMIENTOS!$A$5:$A$1005&lt;=$A294)*MOVIMIENTOS!$E$5:$E$1005)-SUMPRODUCT((MOVIMIENTOS!$B$5:$B$1005="REGALO")*(MOVIMIENTOS!$C$5:$C$1005="A")*(MOVIMIENTOS!$D$5:$D$1005="jabas")*(MOVIMIENTOS!$A$5:$A$1005&lt;&gt;"")*(MOVIMIENTOS!$A$5:$A$1005&lt;=$A294)*MOVIMIENTOS!$E$5:$E$1005)-SUMPRODUCT((MOVIMIENTOS!$B$5:$B$1005="VENTA")*(MOVIMIENTOS!$C$5:$C$1005="A")*(MOVIMIENTOS!$D$5:$D$1005="jabas")*(MOVIMIENTOS!$A$5:$A$1005&lt;&gt;"")*(MOVIMIENTOS!$A$5:$A$1005&lt;=$A294)*MOVIMIENTOS!$E$5:$E$1005)+SUMPRODUCT((MOVIMIENTOS!$B$5:$B$1005="AJUSTE")*(MOVIMIENTOS!$C$5:$C$1005="A")*(MOVIMIENTOS!$D$5:$D$1005="jabas")*(MOVIMIENTOS!$A$5:$A$1005&lt;&gt;"")*(MOVIMIENTOS!$A$5:$A$1005&lt;=$A294)*MOVIMIENTOS!$E$5:$E$1005))</f>
        <v/>
      </c>
      <c r="C294" s="63" t="str">
        <f>IF($A294="","",SUMPRODUCT((MOVIMIENTOS!$B$5:$B$1005="SALDO INICIAL")*(MOVIMIENTOS!$C$5:$C$1005="P")*(MOVIMIENTOS!$D$5:$D$1005="jabas")*(MOVIMIENTOS!$A$5:$A$1005&lt;&gt;"")*(MOVIMIENTOS!$A$5:$A$1005&lt;=$A294)*MOVIMIENTOS!$E$5:$E$1005)+SUMPRODUCT((MOVIMIENTOS!$B$5:$B$1005="PROCESO")*(MOVIMIENTOS!$C$5:$C$1005="P")*(MOVIMIENTOS!$D$5:$D$1005="jabas")*(MOVIMIENTOS!$A$5:$A$1005&lt;&gt;"")*(MOVIMIENTOS!$A$5:$A$1005&lt;=$A294)*MOVIMIENTOS!$E$5:$E$1005)-SUMPRODUCT((MOVIMIENTOS!$B$5:$B$1005="ENVÍO A SUPESA")*(MOVIMIENTOS!$C$5:$C$1005="P")*(MOVIMIENTOS!$D$5:$D$1005="jabas")*(MOVIMIENTOS!$A$5:$A$1005&lt;&gt;"")*(MOVIMIENTOS!$A$5:$A$1005&lt;=$A294)*MOVIMIENTOS!$E$5:$E$1005)+SUMPRODUCT((MOVIMIENTOS!$B$5:$B$1005="DEVOLUCIÓN")*(MOVIMIENTOS!$C$5:$C$1005="P")*(MOVIMIENTOS!$D$5:$D$1005="jabas")*(MOVIMIENTOS!$A$5:$A$1005&lt;&gt;"")*(MOVIMIENTOS!$A$5:$A$1005&lt;=$A294)*MOVIMIENTOS!$E$5:$E$1005)-SUMPRODUCT((MOVIMIENTOS!$B$5:$B$1005="TRASIEGO")*(MOVIMIENTOS!$C$5:$C$1005="P")*(MOVIMIENTOS!$D$5:$D$1005="jabas")*(MOVIMIENTOS!$A$5:$A$1005&lt;&gt;"")*(MOVIMIENTOS!$A$5:$A$1005&lt;=$A294)*MOVIMIENTOS!$E$5:$E$1005)-SUMPRODUCT((MOVIMIENTOS!$B$5:$B$1005="REGALO")*(MOVIMIENTOS!$C$5:$C$1005="P")*(MOVIMIENTOS!$D$5:$D$1005="jabas")*(MOVIMIENTOS!$A$5:$A$1005&lt;&gt;"")*(MOVIMIENTOS!$A$5:$A$1005&lt;=$A294)*MOVIMIENTOS!$E$5:$E$1005)-SUMPRODUCT((MOVIMIENTOS!$B$5:$B$1005="VENTA")*(MOVIMIENTOS!$C$5:$C$1005="P")*(MOVIMIENTOS!$D$5:$D$1005="jabas")*(MOVIMIENTOS!$A$5:$A$1005&lt;&gt;"")*(MOVIMIENTOS!$A$5:$A$1005&lt;=$A294)*MOVIMIENTOS!$E$5:$E$1005)+SUMPRODUCT((MOVIMIENTOS!$B$5:$B$1005="AJUSTE")*(MOVIMIENTOS!$C$5:$C$1005="P")*(MOVIMIENTOS!$D$5:$D$1005="jabas")*(MOVIMIENTOS!$A$5:$A$1005&lt;&gt;"")*(MOVIMIENTOS!$A$5:$A$1005&lt;=$A294)*MOVIMIENTOS!$E$5:$E$1005))</f>
        <v/>
      </c>
      <c r="D294" s="63" t="str">
        <f>IF($A294="","",SUMPRODUCT((MOVIMIENTOS!$B$5:$B$1005="SALDO INICIAL")*(MOVIMIENTOS!$C$5:$C$1005="C")*(MOVIMIENTOS!$D$5:$D$1005="jabas")*(MOVIMIENTOS!$A$5:$A$1005&lt;&gt;"")*(MOVIMIENTOS!$A$5:$A$1005&lt;=$A294)*MOVIMIENTOS!$E$5:$E$1005)+SUMPRODUCT((MOVIMIENTOS!$B$5:$B$1005="PROCESO")*(MOVIMIENTOS!$C$5:$C$1005="C")*(MOVIMIENTOS!$D$5:$D$1005="jabas")*(MOVIMIENTOS!$A$5:$A$1005&lt;&gt;"")*(MOVIMIENTOS!$A$5:$A$1005&lt;=$A294)*MOVIMIENTOS!$E$5:$E$1005)-SUMPRODUCT((MOVIMIENTOS!$B$5:$B$1005="ENVÍO A SUPESA")*(MOVIMIENTOS!$C$5:$C$1005="C")*(MOVIMIENTOS!$D$5:$D$1005="jabas")*(MOVIMIENTOS!$A$5:$A$1005&lt;&gt;"")*(MOVIMIENTOS!$A$5:$A$1005&lt;=$A294)*MOVIMIENTOS!$E$5:$E$1005)+SUMPRODUCT((MOVIMIENTOS!$B$5:$B$1005="DEVOLUCIÓN")*(MOVIMIENTOS!$C$5:$C$1005="C")*(MOVIMIENTOS!$D$5:$D$1005="jabas")*(MOVIMIENTOS!$A$5:$A$1005&lt;&gt;"")*(MOVIMIENTOS!$A$5:$A$1005&lt;=$A294)*MOVIMIENTOS!$E$5:$E$1005)-SUMPRODUCT((MOVIMIENTOS!$B$5:$B$1005="TRASIEGO")*(MOVIMIENTOS!$C$5:$C$1005="C")*(MOVIMIENTOS!$D$5:$D$1005="jabas")*(MOVIMIENTOS!$A$5:$A$1005&lt;&gt;"")*(MOVIMIENTOS!$A$5:$A$1005&lt;=$A294)*MOVIMIENTOS!$E$5:$E$1005)-SUMPRODUCT((MOVIMIENTOS!$B$5:$B$1005="REGALO")*(MOVIMIENTOS!$C$5:$C$1005="C")*(MOVIMIENTOS!$D$5:$D$1005="jabas")*(MOVIMIENTOS!$A$5:$A$1005&lt;&gt;"")*(MOVIMIENTOS!$A$5:$A$1005&lt;=$A294)*MOVIMIENTOS!$E$5:$E$1005)-SUMPRODUCT((MOVIMIENTOS!$B$5:$B$1005="VENTA")*(MOVIMIENTOS!$C$5:$C$1005="C")*(MOVIMIENTOS!$D$5:$D$1005="jabas")*(MOVIMIENTOS!$A$5:$A$1005&lt;&gt;"")*(MOVIMIENTOS!$A$5:$A$1005&lt;=$A294)*MOVIMIENTOS!$E$5:$E$1005)+SUMPRODUCT((MOVIMIENTOS!$B$5:$B$1005="AJUSTE")*(MOVIMIENTOS!$C$5:$C$1005="C")*(MOVIMIENTOS!$D$5:$D$1005="jabas")*(MOVIMIENTOS!$A$5:$A$1005&lt;&gt;"")*(MOVIMIENTOS!$A$5:$A$1005&lt;=$A294)*MOVIMIENTOS!$E$5:$E$1005))</f>
        <v/>
      </c>
      <c r="E294" s="63" t="str">
        <f>IF($A294="","",SUMPRODUCT((MOVIMIENTOS!$B$5:$B$1005="SALDO INICIAL")*(MOVIMIENTOS!$C$5:$C$1005="M")*(MOVIMIENTOS!$D$5:$D$1005="jabas")*(MOVIMIENTOS!$A$5:$A$1005&lt;&gt;"")*(MOVIMIENTOS!$A$5:$A$1005&lt;=$A294)*MOVIMIENTOS!$E$5:$E$1005)+SUMPRODUCT((MOVIMIENTOS!$B$5:$B$1005="PROCESO")*(MOVIMIENTOS!$C$5:$C$1005="M")*(MOVIMIENTOS!$D$5:$D$1005="jabas")*(MOVIMIENTOS!$A$5:$A$1005&lt;&gt;"")*(MOVIMIENTOS!$A$5:$A$1005&lt;=$A294)*MOVIMIENTOS!$E$5:$E$1005)-SUMPRODUCT((MOVIMIENTOS!$B$5:$B$1005="ENVÍO A SUPESA")*(MOVIMIENTOS!$C$5:$C$1005="M")*(MOVIMIENTOS!$D$5:$D$1005="jabas")*(MOVIMIENTOS!$A$5:$A$1005&lt;&gt;"")*(MOVIMIENTOS!$A$5:$A$1005&lt;=$A294)*MOVIMIENTOS!$E$5:$E$1005)+SUMPRODUCT((MOVIMIENTOS!$B$5:$B$1005="DEVOLUCIÓN")*(MOVIMIENTOS!$C$5:$C$1005="M")*(MOVIMIENTOS!$D$5:$D$1005="jabas")*(MOVIMIENTOS!$A$5:$A$1005&lt;&gt;"")*(MOVIMIENTOS!$A$5:$A$1005&lt;=$A294)*MOVIMIENTOS!$E$5:$E$1005)-SUMPRODUCT((MOVIMIENTOS!$B$5:$B$1005="TRASIEGO")*(MOVIMIENTOS!$C$5:$C$1005="M")*(MOVIMIENTOS!$D$5:$D$1005="jabas")*(MOVIMIENTOS!$A$5:$A$1005&lt;&gt;"")*(MOVIMIENTOS!$A$5:$A$1005&lt;=$A294)*MOVIMIENTOS!$E$5:$E$1005)-SUMPRODUCT((MOVIMIENTOS!$B$5:$B$1005="REGALO")*(MOVIMIENTOS!$C$5:$C$1005="M")*(MOVIMIENTOS!$D$5:$D$1005="jabas")*(MOVIMIENTOS!$A$5:$A$1005&lt;&gt;"")*(MOVIMIENTOS!$A$5:$A$1005&lt;=$A294)*MOVIMIENTOS!$E$5:$E$1005)-SUMPRODUCT((MOVIMIENTOS!$B$5:$B$1005="VENTA")*(MOVIMIENTOS!$C$5:$C$1005="M")*(MOVIMIENTOS!$D$5:$D$1005="jabas")*(MOVIMIENTOS!$A$5:$A$1005&lt;&gt;"")*(MOVIMIENTOS!$A$5:$A$1005&lt;=$A294)*MOVIMIENTOS!$E$5:$E$1005)+SUMPRODUCT((MOVIMIENTOS!$B$5:$B$1005="AJUSTE")*(MOVIMIENTOS!$C$5:$C$1005="M")*(MOVIMIENTOS!$D$5:$D$1005="jabas")*(MOVIMIENTOS!$A$5:$A$1005&lt;&gt;"")*(MOVIMIENTOS!$A$5:$A$1005&lt;=$A294)*MOVIMIENTOS!$E$5:$E$1005))</f>
        <v/>
      </c>
      <c r="F294" s="63" t="str">
        <f>IF($A294="","",SUMPRODUCT((MOVIMIENTOS!$B$5:$B$1005="SALDO INICIAL")*(MOVIMIENTOS!$C$5:$C$1005="Chancho")*(MOVIMIENTOS!$D$5:$D$1005="sacos")*(MOVIMIENTOS!$A$5:$A$1005&lt;&gt;"")*(MOVIMIENTOS!$A$5:$A$1005&lt;=$A294)*MOVIMIENTOS!$E$5:$E$1005)+SUMPRODUCT((MOVIMIENTOS!$B$5:$B$1005="PROCESO")*(MOVIMIENTOS!$C$5:$C$1005="Chancho")*(MOVIMIENTOS!$D$5:$D$1005="sacos")*(MOVIMIENTOS!$A$5:$A$1005&lt;&gt;"")*(MOVIMIENTOS!$A$5:$A$1005&lt;=$A294)*MOVIMIENTOS!$E$5:$E$1005)-SUMPRODUCT((MOVIMIENTOS!$B$5:$B$1005="VENTA CHANCHO")*(MOVIMIENTOS!$C$5:$C$1005="Chancho")*(MOVIMIENTOS!$D$5:$D$1005="sacos")*(MOVIMIENTOS!$A$5:$A$1005&lt;&gt;"")*(MOVIMIENTOS!$A$5:$A$1005&lt;=$A294)*MOVIMIENTOS!$E$5:$E$1005)-SUMPRODUCT((MOVIMIENTOS!$B$5:$B$1005="REGALO")*(MOVIMIENTOS!$C$5:$C$1005="Chancho")*(MOVIMIENTOS!$D$5:$D$1005="sacos")*(MOVIMIENTOS!$A$5:$A$1005&lt;&gt;"")*(MOVIMIENTOS!$A$5:$A$1005&lt;=$A294)*MOVIMIENTOS!$E$5:$E$1005)-SUMPRODUCT((MOVIMIENTOS!$B$5:$B$1005="VENTA")*(MOVIMIENTOS!$C$5:$C$1005="Chancho")*(MOVIMIENTOS!$D$5:$D$1005="sacos")*(MOVIMIENTOS!$A$5:$A$1005&lt;&gt;"")*(MOVIMIENTOS!$A$5:$A$1005&lt;=$A294)*MOVIMIENTOS!$E$5:$E$1005)+SUMPRODUCT((MOVIMIENTOS!$B$5:$B$1005="AJUSTE")*(MOVIMIENTOS!$C$5:$C$1005="Chancho")*(MOVIMIENTOS!$D$5:$D$1005="sacos")*(MOVIMIENTOS!$A$5:$A$1005&lt;&gt;"")*(MOVIMIENTOS!$A$5:$A$1005&lt;=$A294)*MOVIMIENTOS!$E$5:$E$1005))</f>
        <v/>
      </c>
      <c r="G294" s="95" t="str">
        <f t="shared" si="9"/>
        <v/>
      </c>
      <c r="H294" s="63" t="str">
        <f>IF($A294="","",SUMPRODUCT((((MOVIMIENTOS!$B$5:$B$1005="SALDO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294)*MOVIMIENTOS!$J$5:$J$1005))</f>
        <v/>
      </c>
      <c r="I294" s="63"/>
      <c r="J294" s="63" t="str">
        <f>IF(AND(MOVIMIENTOS!$A293&lt;&gt;"",COUNTIF(MOVIMIENTOS!$A$5:$A292,MOVIMIENTOS!$A293)=0),COUNT(J$4:J293)+1,"")</f>
        <v/>
      </c>
      <c r="K294" s="66">
        <f>MOVIMIENTOS!$A293</f>
        <v>46239</v>
      </c>
      <c r="L294" s="63"/>
      <c r="M294" s="63"/>
      <c r="N294" s="63"/>
    </row>
    <row r="295" spans="1:14" ht="15" customHeight="1" x14ac:dyDescent="0.2">
      <c r="A295" s="63" t="str">
        <f t="shared" si="8"/>
        <v/>
      </c>
      <c r="B295" s="63" t="str">
        <f>IF($A295="","",SUMPRODUCT((MOVIMIENTOS!$B$5:$B$1005="SALDO INICIAL")*(MOVIMIENTOS!$C$5:$C$1005="A")*(MOVIMIENTOS!$D$5:$D$1005="jabas")*(MOVIMIENTOS!$A$5:$A$1005&lt;&gt;"")*(MOVIMIENTOS!$A$5:$A$1005&lt;=$A295)*MOVIMIENTOS!$E$5:$E$1005)+SUMPRODUCT((MOVIMIENTOS!$B$5:$B$1005="PROCESO")*(MOVIMIENTOS!$C$5:$C$1005="A")*(MOVIMIENTOS!$D$5:$D$1005="jabas")*(MOVIMIENTOS!$A$5:$A$1005&lt;&gt;"")*(MOVIMIENTOS!$A$5:$A$1005&lt;=$A295)*MOVIMIENTOS!$E$5:$E$1005)-SUMPRODUCT((MOVIMIENTOS!$B$5:$B$1005="ENVÍO A SUPESA")*(MOVIMIENTOS!$C$5:$C$1005="A")*(MOVIMIENTOS!$D$5:$D$1005="jabas")*(MOVIMIENTOS!$A$5:$A$1005&lt;&gt;"")*(MOVIMIENTOS!$A$5:$A$1005&lt;=$A295)*MOVIMIENTOS!$E$5:$E$1005)+SUMPRODUCT((MOVIMIENTOS!$B$5:$B$1005="DEVOLUCIÓN")*(MOVIMIENTOS!$C$5:$C$1005="A")*(MOVIMIENTOS!$D$5:$D$1005="jabas")*(MOVIMIENTOS!$A$5:$A$1005&lt;&gt;"")*(MOVIMIENTOS!$A$5:$A$1005&lt;=$A295)*MOVIMIENTOS!$E$5:$E$1005)-SUMPRODUCT((MOVIMIENTOS!$B$5:$B$1005="TRASIEGO")*(MOVIMIENTOS!$C$5:$C$1005="A")*(MOVIMIENTOS!$D$5:$D$1005="jabas")*(MOVIMIENTOS!$A$5:$A$1005&lt;&gt;"")*(MOVIMIENTOS!$A$5:$A$1005&lt;=$A295)*MOVIMIENTOS!$E$5:$E$1005)-SUMPRODUCT((MOVIMIENTOS!$B$5:$B$1005="REGALO")*(MOVIMIENTOS!$C$5:$C$1005="A")*(MOVIMIENTOS!$D$5:$D$1005="jabas")*(MOVIMIENTOS!$A$5:$A$1005&lt;&gt;"")*(MOVIMIENTOS!$A$5:$A$1005&lt;=$A295)*MOVIMIENTOS!$E$5:$E$1005)-SUMPRODUCT((MOVIMIENTOS!$B$5:$B$1005="VENTA")*(MOVIMIENTOS!$C$5:$C$1005="A")*(MOVIMIENTOS!$D$5:$D$1005="jabas")*(MOVIMIENTOS!$A$5:$A$1005&lt;&gt;"")*(MOVIMIENTOS!$A$5:$A$1005&lt;=$A295)*MOVIMIENTOS!$E$5:$E$1005)+SUMPRODUCT((MOVIMIENTOS!$B$5:$B$1005="AJUSTE")*(MOVIMIENTOS!$C$5:$C$1005="A")*(MOVIMIENTOS!$D$5:$D$1005="jabas")*(MOVIMIENTOS!$A$5:$A$1005&lt;&gt;"")*(MOVIMIENTOS!$A$5:$A$1005&lt;=$A295)*MOVIMIENTOS!$E$5:$E$1005))</f>
        <v/>
      </c>
      <c r="C295" s="63" t="str">
        <f>IF($A295="","",SUMPRODUCT((MOVIMIENTOS!$B$5:$B$1005="SALDO INICIAL")*(MOVIMIENTOS!$C$5:$C$1005="P")*(MOVIMIENTOS!$D$5:$D$1005="jabas")*(MOVIMIENTOS!$A$5:$A$1005&lt;&gt;"")*(MOVIMIENTOS!$A$5:$A$1005&lt;=$A295)*MOVIMIENTOS!$E$5:$E$1005)+SUMPRODUCT((MOVIMIENTOS!$B$5:$B$1005="PROCESO")*(MOVIMIENTOS!$C$5:$C$1005="P")*(MOVIMIENTOS!$D$5:$D$1005="jabas")*(MOVIMIENTOS!$A$5:$A$1005&lt;&gt;"")*(MOVIMIENTOS!$A$5:$A$1005&lt;=$A295)*MOVIMIENTOS!$E$5:$E$1005)-SUMPRODUCT((MOVIMIENTOS!$B$5:$B$1005="ENVÍO A SUPESA")*(MOVIMIENTOS!$C$5:$C$1005="P")*(MOVIMIENTOS!$D$5:$D$1005="jabas")*(MOVIMIENTOS!$A$5:$A$1005&lt;&gt;"")*(MOVIMIENTOS!$A$5:$A$1005&lt;=$A295)*MOVIMIENTOS!$E$5:$E$1005)+SUMPRODUCT((MOVIMIENTOS!$B$5:$B$1005="DEVOLUCIÓN")*(MOVIMIENTOS!$C$5:$C$1005="P")*(MOVIMIENTOS!$D$5:$D$1005="jabas")*(MOVIMIENTOS!$A$5:$A$1005&lt;&gt;"")*(MOVIMIENTOS!$A$5:$A$1005&lt;=$A295)*MOVIMIENTOS!$E$5:$E$1005)-SUMPRODUCT((MOVIMIENTOS!$B$5:$B$1005="TRASIEGO")*(MOVIMIENTOS!$C$5:$C$1005="P")*(MOVIMIENTOS!$D$5:$D$1005="jabas")*(MOVIMIENTOS!$A$5:$A$1005&lt;&gt;"")*(MOVIMIENTOS!$A$5:$A$1005&lt;=$A295)*MOVIMIENTOS!$E$5:$E$1005)-SUMPRODUCT((MOVIMIENTOS!$B$5:$B$1005="REGALO")*(MOVIMIENTOS!$C$5:$C$1005="P")*(MOVIMIENTOS!$D$5:$D$1005="jabas")*(MOVIMIENTOS!$A$5:$A$1005&lt;&gt;"")*(MOVIMIENTOS!$A$5:$A$1005&lt;=$A295)*MOVIMIENTOS!$E$5:$E$1005)-SUMPRODUCT((MOVIMIENTOS!$B$5:$B$1005="VENTA")*(MOVIMIENTOS!$C$5:$C$1005="P")*(MOVIMIENTOS!$D$5:$D$1005="jabas")*(MOVIMIENTOS!$A$5:$A$1005&lt;&gt;"")*(MOVIMIENTOS!$A$5:$A$1005&lt;=$A295)*MOVIMIENTOS!$E$5:$E$1005)+SUMPRODUCT((MOVIMIENTOS!$B$5:$B$1005="AJUSTE")*(MOVIMIENTOS!$C$5:$C$1005="P")*(MOVIMIENTOS!$D$5:$D$1005="jabas")*(MOVIMIENTOS!$A$5:$A$1005&lt;&gt;"")*(MOVIMIENTOS!$A$5:$A$1005&lt;=$A295)*MOVIMIENTOS!$E$5:$E$1005))</f>
        <v/>
      </c>
      <c r="D295" s="63" t="str">
        <f>IF($A295="","",SUMPRODUCT((MOVIMIENTOS!$B$5:$B$1005="SALDO INICIAL")*(MOVIMIENTOS!$C$5:$C$1005="C")*(MOVIMIENTOS!$D$5:$D$1005="jabas")*(MOVIMIENTOS!$A$5:$A$1005&lt;&gt;"")*(MOVIMIENTOS!$A$5:$A$1005&lt;=$A295)*MOVIMIENTOS!$E$5:$E$1005)+SUMPRODUCT((MOVIMIENTOS!$B$5:$B$1005="PROCESO")*(MOVIMIENTOS!$C$5:$C$1005="C")*(MOVIMIENTOS!$D$5:$D$1005="jabas")*(MOVIMIENTOS!$A$5:$A$1005&lt;&gt;"")*(MOVIMIENTOS!$A$5:$A$1005&lt;=$A295)*MOVIMIENTOS!$E$5:$E$1005)-SUMPRODUCT((MOVIMIENTOS!$B$5:$B$1005="ENVÍO A SUPESA")*(MOVIMIENTOS!$C$5:$C$1005="C")*(MOVIMIENTOS!$D$5:$D$1005="jabas")*(MOVIMIENTOS!$A$5:$A$1005&lt;&gt;"")*(MOVIMIENTOS!$A$5:$A$1005&lt;=$A295)*MOVIMIENTOS!$E$5:$E$1005)+SUMPRODUCT((MOVIMIENTOS!$B$5:$B$1005="DEVOLUCIÓN")*(MOVIMIENTOS!$C$5:$C$1005="C")*(MOVIMIENTOS!$D$5:$D$1005="jabas")*(MOVIMIENTOS!$A$5:$A$1005&lt;&gt;"")*(MOVIMIENTOS!$A$5:$A$1005&lt;=$A295)*MOVIMIENTOS!$E$5:$E$1005)-SUMPRODUCT((MOVIMIENTOS!$B$5:$B$1005="TRASIEGO")*(MOVIMIENTOS!$C$5:$C$1005="C")*(MOVIMIENTOS!$D$5:$D$1005="jabas")*(MOVIMIENTOS!$A$5:$A$1005&lt;&gt;"")*(MOVIMIENTOS!$A$5:$A$1005&lt;=$A295)*MOVIMIENTOS!$E$5:$E$1005)-SUMPRODUCT((MOVIMIENTOS!$B$5:$B$1005="REGALO")*(MOVIMIENTOS!$C$5:$C$1005="C")*(MOVIMIENTOS!$D$5:$D$1005="jabas")*(MOVIMIENTOS!$A$5:$A$1005&lt;&gt;"")*(MOVIMIENTOS!$A$5:$A$1005&lt;=$A295)*MOVIMIENTOS!$E$5:$E$1005)-SUMPRODUCT((MOVIMIENTOS!$B$5:$B$1005="VENTA")*(MOVIMIENTOS!$C$5:$C$1005="C")*(MOVIMIENTOS!$D$5:$D$1005="jabas")*(MOVIMIENTOS!$A$5:$A$1005&lt;&gt;"")*(MOVIMIENTOS!$A$5:$A$1005&lt;=$A295)*MOVIMIENTOS!$E$5:$E$1005)+SUMPRODUCT((MOVIMIENTOS!$B$5:$B$1005="AJUSTE")*(MOVIMIENTOS!$C$5:$C$1005="C")*(MOVIMIENTOS!$D$5:$D$1005="jabas")*(MOVIMIENTOS!$A$5:$A$1005&lt;&gt;"")*(MOVIMIENTOS!$A$5:$A$1005&lt;=$A295)*MOVIMIENTOS!$E$5:$E$1005))</f>
        <v/>
      </c>
      <c r="E295" s="63" t="str">
        <f>IF($A295="","",SUMPRODUCT((MOVIMIENTOS!$B$5:$B$1005="SALDO INICIAL")*(MOVIMIENTOS!$C$5:$C$1005="M")*(MOVIMIENTOS!$D$5:$D$1005="jabas")*(MOVIMIENTOS!$A$5:$A$1005&lt;&gt;"")*(MOVIMIENTOS!$A$5:$A$1005&lt;=$A295)*MOVIMIENTOS!$E$5:$E$1005)+SUMPRODUCT((MOVIMIENTOS!$B$5:$B$1005="PROCESO")*(MOVIMIENTOS!$C$5:$C$1005="M")*(MOVIMIENTOS!$D$5:$D$1005="jabas")*(MOVIMIENTOS!$A$5:$A$1005&lt;&gt;"")*(MOVIMIENTOS!$A$5:$A$1005&lt;=$A295)*MOVIMIENTOS!$E$5:$E$1005)-SUMPRODUCT((MOVIMIENTOS!$B$5:$B$1005="ENVÍO A SUPESA")*(MOVIMIENTOS!$C$5:$C$1005="M")*(MOVIMIENTOS!$D$5:$D$1005="jabas")*(MOVIMIENTOS!$A$5:$A$1005&lt;&gt;"")*(MOVIMIENTOS!$A$5:$A$1005&lt;=$A295)*MOVIMIENTOS!$E$5:$E$1005)+SUMPRODUCT((MOVIMIENTOS!$B$5:$B$1005="DEVOLUCIÓN")*(MOVIMIENTOS!$C$5:$C$1005="M")*(MOVIMIENTOS!$D$5:$D$1005="jabas")*(MOVIMIENTOS!$A$5:$A$1005&lt;&gt;"")*(MOVIMIENTOS!$A$5:$A$1005&lt;=$A295)*MOVIMIENTOS!$E$5:$E$1005)-SUMPRODUCT((MOVIMIENTOS!$B$5:$B$1005="TRASIEGO")*(MOVIMIENTOS!$C$5:$C$1005="M")*(MOVIMIENTOS!$D$5:$D$1005="jabas")*(MOVIMIENTOS!$A$5:$A$1005&lt;&gt;"")*(MOVIMIENTOS!$A$5:$A$1005&lt;=$A295)*MOVIMIENTOS!$E$5:$E$1005)-SUMPRODUCT((MOVIMIENTOS!$B$5:$B$1005="REGALO")*(MOVIMIENTOS!$C$5:$C$1005="M")*(MOVIMIENTOS!$D$5:$D$1005="jabas")*(MOVIMIENTOS!$A$5:$A$1005&lt;&gt;"")*(MOVIMIENTOS!$A$5:$A$1005&lt;=$A295)*MOVIMIENTOS!$E$5:$E$1005)-SUMPRODUCT((MOVIMIENTOS!$B$5:$B$1005="VENTA")*(MOVIMIENTOS!$C$5:$C$1005="M")*(MOVIMIENTOS!$D$5:$D$1005="jabas")*(MOVIMIENTOS!$A$5:$A$1005&lt;&gt;"")*(MOVIMIENTOS!$A$5:$A$1005&lt;=$A295)*MOVIMIENTOS!$E$5:$E$1005)+SUMPRODUCT((MOVIMIENTOS!$B$5:$B$1005="AJUSTE")*(MOVIMIENTOS!$C$5:$C$1005="M")*(MOVIMIENTOS!$D$5:$D$1005="jabas")*(MOVIMIENTOS!$A$5:$A$1005&lt;&gt;"")*(MOVIMIENTOS!$A$5:$A$1005&lt;=$A295)*MOVIMIENTOS!$E$5:$E$1005))</f>
        <v/>
      </c>
      <c r="F295" s="63" t="str">
        <f>IF($A295="","",SUMPRODUCT((MOVIMIENTOS!$B$5:$B$1005="SALDO INICIAL")*(MOVIMIENTOS!$C$5:$C$1005="Chancho")*(MOVIMIENTOS!$D$5:$D$1005="sacos")*(MOVIMIENTOS!$A$5:$A$1005&lt;&gt;"")*(MOVIMIENTOS!$A$5:$A$1005&lt;=$A295)*MOVIMIENTOS!$E$5:$E$1005)+SUMPRODUCT((MOVIMIENTOS!$B$5:$B$1005="PROCESO")*(MOVIMIENTOS!$C$5:$C$1005="Chancho")*(MOVIMIENTOS!$D$5:$D$1005="sacos")*(MOVIMIENTOS!$A$5:$A$1005&lt;&gt;"")*(MOVIMIENTOS!$A$5:$A$1005&lt;=$A295)*MOVIMIENTOS!$E$5:$E$1005)-SUMPRODUCT((MOVIMIENTOS!$B$5:$B$1005="VENTA CHANCHO")*(MOVIMIENTOS!$C$5:$C$1005="Chancho")*(MOVIMIENTOS!$D$5:$D$1005="sacos")*(MOVIMIENTOS!$A$5:$A$1005&lt;&gt;"")*(MOVIMIENTOS!$A$5:$A$1005&lt;=$A295)*MOVIMIENTOS!$E$5:$E$1005)-SUMPRODUCT((MOVIMIENTOS!$B$5:$B$1005="REGALO")*(MOVIMIENTOS!$C$5:$C$1005="Chancho")*(MOVIMIENTOS!$D$5:$D$1005="sacos")*(MOVIMIENTOS!$A$5:$A$1005&lt;&gt;"")*(MOVIMIENTOS!$A$5:$A$1005&lt;=$A295)*MOVIMIENTOS!$E$5:$E$1005)-SUMPRODUCT((MOVIMIENTOS!$B$5:$B$1005="VENTA")*(MOVIMIENTOS!$C$5:$C$1005="Chancho")*(MOVIMIENTOS!$D$5:$D$1005="sacos")*(MOVIMIENTOS!$A$5:$A$1005&lt;&gt;"")*(MOVIMIENTOS!$A$5:$A$1005&lt;=$A295)*MOVIMIENTOS!$E$5:$E$1005)+SUMPRODUCT((MOVIMIENTOS!$B$5:$B$1005="AJUSTE")*(MOVIMIENTOS!$C$5:$C$1005="Chancho")*(MOVIMIENTOS!$D$5:$D$1005="sacos")*(MOVIMIENTOS!$A$5:$A$1005&lt;&gt;"")*(MOVIMIENTOS!$A$5:$A$1005&lt;=$A295)*MOVIMIENTOS!$E$5:$E$1005))</f>
        <v/>
      </c>
      <c r="G295" s="95" t="str">
        <f t="shared" si="9"/>
        <v/>
      </c>
      <c r="H295" s="63" t="str">
        <f>IF($A295="","",SUMPRODUCT((((MOVIMIENTOS!$B$5:$B$1005="SALDO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295)*MOVIMIENTOS!$J$5:$J$1005))</f>
        <v/>
      </c>
      <c r="I295" s="63"/>
      <c r="J295" s="63">
        <f>IF(AND(MOVIMIENTOS!$A294&lt;&gt;"",COUNTIF(MOVIMIENTOS!$A$5:$A293,MOVIMIENTOS!$A294)=0),COUNT(J$4:J294)+1,"")</f>
        <v>27</v>
      </c>
      <c r="K295" s="66">
        <f>MOVIMIENTOS!$A294</f>
        <v>46240</v>
      </c>
      <c r="L295" s="63"/>
      <c r="M295" s="63"/>
      <c r="N295" s="63"/>
    </row>
    <row r="296" spans="1:14" ht="15" customHeight="1" x14ac:dyDescent="0.2">
      <c r="A296" s="63" t="str">
        <f t="shared" si="8"/>
        <v/>
      </c>
      <c r="B296" s="63" t="str">
        <f>IF($A296="","",SUMPRODUCT((MOVIMIENTOS!$B$5:$B$1005="SALDO INICIAL")*(MOVIMIENTOS!$C$5:$C$1005="A")*(MOVIMIENTOS!$D$5:$D$1005="jabas")*(MOVIMIENTOS!$A$5:$A$1005&lt;&gt;"")*(MOVIMIENTOS!$A$5:$A$1005&lt;=$A296)*MOVIMIENTOS!$E$5:$E$1005)+SUMPRODUCT((MOVIMIENTOS!$B$5:$B$1005="PROCESO")*(MOVIMIENTOS!$C$5:$C$1005="A")*(MOVIMIENTOS!$D$5:$D$1005="jabas")*(MOVIMIENTOS!$A$5:$A$1005&lt;&gt;"")*(MOVIMIENTOS!$A$5:$A$1005&lt;=$A296)*MOVIMIENTOS!$E$5:$E$1005)-SUMPRODUCT((MOVIMIENTOS!$B$5:$B$1005="ENVÍO A SUPESA")*(MOVIMIENTOS!$C$5:$C$1005="A")*(MOVIMIENTOS!$D$5:$D$1005="jabas")*(MOVIMIENTOS!$A$5:$A$1005&lt;&gt;"")*(MOVIMIENTOS!$A$5:$A$1005&lt;=$A296)*MOVIMIENTOS!$E$5:$E$1005)+SUMPRODUCT((MOVIMIENTOS!$B$5:$B$1005="DEVOLUCIÓN")*(MOVIMIENTOS!$C$5:$C$1005="A")*(MOVIMIENTOS!$D$5:$D$1005="jabas")*(MOVIMIENTOS!$A$5:$A$1005&lt;&gt;"")*(MOVIMIENTOS!$A$5:$A$1005&lt;=$A296)*MOVIMIENTOS!$E$5:$E$1005)-SUMPRODUCT((MOVIMIENTOS!$B$5:$B$1005="TRASIEGO")*(MOVIMIENTOS!$C$5:$C$1005="A")*(MOVIMIENTOS!$D$5:$D$1005="jabas")*(MOVIMIENTOS!$A$5:$A$1005&lt;&gt;"")*(MOVIMIENTOS!$A$5:$A$1005&lt;=$A296)*MOVIMIENTOS!$E$5:$E$1005)-SUMPRODUCT((MOVIMIENTOS!$B$5:$B$1005="REGALO")*(MOVIMIENTOS!$C$5:$C$1005="A")*(MOVIMIENTOS!$D$5:$D$1005="jabas")*(MOVIMIENTOS!$A$5:$A$1005&lt;&gt;"")*(MOVIMIENTOS!$A$5:$A$1005&lt;=$A296)*MOVIMIENTOS!$E$5:$E$1005)-SUMPRODUCT((MOVIMIENTOS!$B$5:$B$1005="VENTA")*(MOVIMIENTOS!$C$5:$C$1005="A")*(MOVIMIENTOS!$D$5:$D$1005="jabas")*(MOVIMIENTOS!$A$5:$A$1005&lt;&gt;"")*(MOVIMIENTOS!$A$5:$A$1005&lt;=$A296)*MOVIMIENTOS!$E$5:$E$1005)+SUMPRODUCT((MOVIMIENTOS!$B$5:$B$1005="AJUSTE")*(MOVIMIENTOS!$C$5:$C$1005="A")*(MOVIMIENTOS!$D$5:$D$1005="jabas")*(MOVIMIENTOS!$A$5:$A$1005&lt;&gt;"")*(MOVIMIENTOS!$A$5:$A$1005&lt;=$A296)*MOVIMIENTOS!$E$5:$E$1005))</f>
        <v/>
      </c>
      <c r="C296" s="63" t="str">
        <f>IF($A296="","",SUMPRODUCT((MOVIMIENTOS!$B$5:$B$1005="SALDO INICIAL")*(MOVIMIENTOS!$C$5:$C$1005="P")*(MOVIMIENTOS!$D$5:$D$1005="jabas")*(MOVIMIENTOS!$A$5:$A$1005&lt;&gt;"")*(MOVIMIENTOS!$A$5:$A$1005&lt;=$A296)*MOVIMIENTOS!$E$5:$E$1005)+SUMPRODUCT((MOVIMIENTOS!$B$5:$B$1005="PROCESO")*(MOVIMIENTOS!$C$5:$C$1005="P")*(MOVIMIENTOS!$D$5:$D$1005="jabas")*(MOVIMIENTOS!$A$5:$A$1005&lt;&gt;"")*(MOVIMIENTOS!$A$5:$A$1005&lt;=$A296)*MOVIMIENTOS!$E$5:$E$1005)-SUMPRODUCT((MOVIMIENTOS!$B$5:$B$1005="ENVÍO A SUPESA")*(MOVIMIENTOS!$C$5:$C$1005="P")*(MOVIMIENTOS!$D$5:$D$1005="jabas")*(MOVIMIENTOS!$A$5:$A$1005&lt;&gt;"")*(MOVIMIENTOS!$A$5:$A$1005&lt;=$A296)*MOVIMIENTOS!$E$5:$E$1005)+SUMPRODUCT((MOVIMIENTOS!$B$5:$B$1005="DEVOLUCIÓN")*(MOVIMIENTOS!$C$5:$C$1005="P")*(MOVIMIENTOS!$D$5:$D$1005="jabas")*(MOVIMIENTOS!$A$5:$A$1005&lt;&gt;"")*(MOVIMIENTOS!$A$5:$A$1005&lt;=$A296)*MOVIMIENTOS!$E$5:$E$1005)-SUMPRODUCT((MOVIMIENTOS!$B$5:$B$1005="TRASIEGO")*(MOVIMIENTOS!$C$5:$C$1005="P")*(MOVIMIENTOS!$D$5:$D$1005="jabas")*(MOVIMIENTOS!$A$5:$A$1005&lt;&gt;"")*(MOVIMIENTOS!$A$5:$A$1005&lt;=$A296)*MOVIMIENTOS!$E$5:$E$1005)-SUMPRODUCT((MOVIMIENTOS!$B$5:$B$1005="REGALO")*(MOVIMIENTOS!$C$5:$C$1005="P")*(MOVIMIENTOS!$D$5:$D$1005="jabas")*(MOVIMIENTOS!$A$5:$A$1005&lt;&gt;"")*(MOVIMIENTOS!$A$5:$A$1005&lt;=$A296)*MOVIMIENTOS!$E$5:$E$1005)-SUMPRODUCT((MOVIMIENTOS!$B$5:$B$1005="VENTA")*(MOVIMIENTOS!$C$5:$C$1005="P")*(MOVIMIENTOS!$D$5:$D$1005="jabas")*(MOVIMIENTOS!$A$5:$A$1005&lt;&gt;"")*(MOVIMIENTOS!$A$5:$A$1005&lt;=$A296)*MOVIMIENTOS!$E$5:$E$1005)+SUMPRODUCT((MOVIMIENTOS!$B$5:$B$1005="AJUSTE")*(MOVIMIENTOS!$C$5:$C$1005="P")*(MOVIMIENTOS!$D$5:$D$1005="jabas")*(MOVIMIENTOS!$A$5:$A$1005&lt;&gt;"")*(MOVIMIENTOS!$A$5:$A$1005&lt;=$A296)*MOVIMIENTOS!$E$5:$E$1005))</f>
        <v/>
      </c>
      <c r="D296" s="63" t="str">
        <f>IF($A296="","",SUMPRODUCT((MOVIMIENTOS!$B$5:$B$1005="SALDO INICIAL")*(MOVIMIENTOS!$C$5:$C$1005="C")*(MOVIMIENTOS!$D$5:$D$1005="jabas")*(MOVIMIENTOS!$A$5:$A$1005&lt;&gt;"")*(MOVIMIENTOS!$A$5:$A$1005&lt;=$A296)*MOVIMIENTOS!$E$5:$E$1005)+SUMPRODUCT((MOVIMIENTOS!$B$5:$B$1005="PROCESO")*(MOVIMIENTOS!$C$5:$C$1005="C")*(MOVIMIENTOS!$D$5:$D$1005="jabas")*(MOVIMIENTOS!$A$5:$A$1005&lt;&gt;"")*(MOVIMIENTOS!$A$5:$A$1005&lt;=$A296)*MOVIMIENTOS!$E$5:$E$1005)-SUMPRODUCT((MOVIMIENTOS!$B$5:$B$1005="ENVÍO A SUPESA")*(MOVIMIENTOS!$C$5:$C$1005="C")*(MOVIMIENTOS!$D$5:$D$1005="jabas")*(MOVIMIENTOS!$A$5:$A$1005&lt;&gt;"")*(MOVIMIENTOS!$A$5:$A$1005&lt;=$A296)*MOVIMIENTOS!$E$5:$E$1005)+SUMPRODUCT((MOVIMIENTOS!$B$5:$B$1005="DEVOLUCIÓN")*(MOVIMIENTOS!$C$5:$C$1005="C")*(MOVIMIENTOS!$D$5:$D$1005="jabas")*(MOVIMIENTOS!$A$5:$A$1005&lt;&gt;"")*(MOVIMIENTOS!$A$5:$A$1005&lt;=$A296)*MOVIMIENTOS!$E$5:$E$1005)-SUMPRODUCT((MOVIMIENTOS!$B$5:$B$1005="TRASIEGO")*(MOVIMIENTOS!$C$5:$C$1005="C")*(MOVIMIENTOS!$D$5:$D$1005="jabas")*(MOVIMIENTOS!$A$5:$A$1005&lt;&gt;"")*(MOVIMIENTOS!$A$5:$A$1005&lt;=$A296)*MOVIMIENTOS!$E$5:$E$1005)-SUMPRODUCT((MOVIMIENTOS!$B$5:$B$1005="REGALO")*(MOVIMIENTOS!$C$5:$C$1005="C")*(MOVIMIENTOS!$D$5:$D$1005="jabas")*(MOVIMIENTOS!$A$5:$A$1005&lt;&gt;"")*(MOVIMIENTOS!$A$5:$A$1005&lt;=$A296)*MOVIMIENTOS!$E$5:$E$1005)-SUMPRODUCT((MOVIMIENTOS!$B$5:$B$1005="VENTA")*(MOVIMIENTOS!$C$5:$C$1005="C")*(MOVIMIENTOS!$D$5:$D$1005="jabas")*(MOVIMIENTOS!$A$5:$A$1005&lt;&gt;"")*(MOVIMIENTOS!$A$5:$A$1005&lt;=$A296)*MOVIMIENTOS!$E$5:$E$1005)+SUMPRODUCT((MOVIMIENTOS!$B$5:$B$1005="AJUSTE")*(MOVIMIENTOS!$C$5:$C$1005="C")*(MOVIMIENTOS!$D$5:$D$1005="jabas")*(MOVIMIENTOS!$A$5:$A$1005&lt;&gt;"")*(MOVIMIENTOS!$A$5:$A$1005&lt;=$A296)*MOVIMIENTOS!$E$5:$E$1005))</f>
        <v/>
      </c>
      <c r="E296" s="63" t="str">
        <f>IF($A296="","",SUMPRODUCT((MOVIMIENTOS!$B$5:$B$1005="SALDO INICIAL")*(MOVIMIENTOS!$C$5:$C$1005="M")*(MOVIMIENTOS!$D$5:$D$1005="jabas")*(MOVIMIENTOS!$A$5:$A$1005&lt;&gt;"")*(MOVIMIENTOS!$A$5:$A$1005&lt;=$A296)*MOVIMIENTOS!$E$5:$E$1005)+SUMPRODUCT((MOVIMIENTOS!$B$5:$B$1005="PROCESO")*(MOVIMIENTOS!$C$5:$C$1005="M")*(MOVIMIENTOS!$D$5:$D$1005="jabas")*(MOVIMIENTOS!$A$5:$A$1005&lt;&gt;"")*(MOVIMIENTOS!$A$5:$A$1005&lt;=$A296)*MOVIMIENTOS!$E$5:$E$1005)-SUMPRODUCT((MOVIMIENTOS!$B$5:$B$1005="ENVÍO A SUPESA")*(MOVIMIENTOS!$C$5:$C$1005="M")*(MOVIMIENTOS!$D$5:$D$1005="jabas")*(MOVIMIENTOS!$A$5:$A$1005&lt;&gt;"")*(MOVIMIENTOS!$A$5:$A$1005&lt;=$A296)*MOVIMIENTOS!$E$5:$E$1005)+SUMPRODUCT((MOVIMIENTOS!$B$5:$B$1005="DEVOLUCIÓN")*(MOVIMIENTOS!$C$5:$C$1005="M")*(MOVIMIENTOS!$D$5:$D$1005="jabas")*(MOVIMIENTOS!$A$5:$A$1005&lt;&gt;"")*(MOVIMIENTOS!$A$5:$A$1005&lt;=$A296)*MOVIMIENTOS!$E$5:$E$1005)-SUMPRODUCT((MOVIMIENTOS!$B$5:$B$1005="TRASIEGO")*(MOVIMIENTOS!$C$5:$C$1005="M")*(MOVIMIENTOS!$D$5:$D$1005="jabas")*(MOVIMIENTOS!$A$5:$A$1005&lt;&gt;"")*(MOVIMIENTOS!$A$5:$A$1005&lt;=$A296)*MOVIMIENTOS!$E$5:$E$1005)-SUMPRODUCT((MOVIMIENTOS!$B$5:$B$1005="REGALO")*(MOVIMIENTOS!$C$5:$C$1005="M")*(MOVIMIENTOS!$D$5:$D$1005="jabas")*(MOVIMIENTOS!$A$5:$A$1005&lt;&gt;"")*(MOVIMIENTOS!$A$5:$A$1005&lt;=$A296)*MOVIMIENTOS!$E$5:$E$1005)-SUMPRODUCT((MOVIMIENTOS!$B$5:$B$1005="VENTA")*(MOVIMIENTOS!$C$5:$C$1005="M")*(MOVIMIENTOS!$D$5:$D$1005="jabas")*(MOVIMIENTOS!$A$5:$A$1005&lt;&gt;"")*(MOVIMIENTOS!$A$5:$A$1005&lt;=$A296)*MOVIMIENTOS!$E$5:$E$1005)+SUMPRODUCT((MOVIMIENTOS!$B$5:$B$1005="AJUSTE")*(MOVIMIENTOS!$C$5:$C$1005="M")*(MOVIMIENTOS!$D$5:$D$1005="jabas")*(MOVIMIENTOS!$A$5:$A$1005&lt;&gt;"")*(MOVIMIENTOS!$A$5:$A$1005&lt;=$A296)*MOVIMIENTOS!$E$5:$E$1005))</f>
        <v/>
      </c>
      <c r="F296" s="63" t="str">
        <f>IF($A296="","",SUMPRODUCT((MOVIMIENTOS!$B$5:$B$1005="SALDO INICIAL")*(MOVIMIENTOS!$C$5:$C$1005="Chancho")*(MOVIMIENTOS!$D$5:$D$1005="sacos")*(MOVIMIENTOS!$A$5:$A$1005&lt;&gt;"")*(MOVIMIENTOS!$A$5:$A$1005&lt;=$A296)*MOVIMIENTOS!$E$5:$E$1005)+SUMPRODUCT((MOVIMIENTOS!$B$5:$B$1005="PROCESO")*(MOVIMIENTOS!$C$5:$C$1005="Chancho")*(MOVIMIENTOS!$D$5:$D$1005="sacos")*(MOVIMIENTOS!$A$5:$A$1005&lt;&gt;"")*(MOVIMIENTOS!$A$5:$A$1005&lt;=$A296)*MOVIMIENTOS!$E$5:$E$1005)-SUMPRODUCT((MOVIMIENTOS!$B$5:$B$1005="VENTA CHANCHO")*(MOVIMIENTOS!$C$5:$C$1005="Chancho")*(MOVIMIENTOS!$D$5:$D$1005="sacos")*(MOVIMIENTOS!$A$5:$A$1005&lt;&gt;"")*(MOVIMIENTOS!$A$5:$A$1005&lt;=$A296)*MOVIMIENTOS!$E$5:$E$1005)-SUMPRODUCT((MOVIMIENTOS!$B$5:$B$1005="REGALO")*(MOVIMIENTOS!$C$5:$C$1005="Chancho")*(MOVIMIENTOS!$D$5:$D$1005="sacos")*(MOVIMIENTOS!$A$5:$A$1005&lt;&gt;"")*(MOVIMIENTOS!$A$5:$A$1005&lt;=$A296)*MOVIMIENTOS!$E$5:$E$1005)-SUMPRODUCT((MOVIMIENTOS!$B$5:$B$1005="VENTA")*(MOVIMIENTOS!$C$5:$C$1005="Chancho")*(MOVIMIENTOS!$D$5:$D$1005="sacos")*(MOVIMIENTOS!$A$5:$A$1005&lt;&gt;"")*(MOVIMIENTOS!$A$5:$A$1005&lt;=$A296)*MOVIMIENTOS!$E$5:$E$1005)+SUMPRODUCT((MOVIMIENTOS!$B$5:$B$1005="AJUSTE")*(MOVIMIENTOS!$C$5:$C$1005="Chancho")*(MOVIMIENTOS!$D$5:$D$1005="sacos")*(MOVIMIENTOS!$A$5:$A$1005&lt;&gt;"")*(MOVIMIENTOS!$A$5:$A$1005&lt;=$A296)*MOVIMIENTOS!$E$5:$E$1005))</f>
        <v/>
      </c>
      <c r="G296" s="95" t="str">
        <f t="shared" si="9"/>
        <v/>
      </c>
      <c r="H296" s="63" t="str">
        <f>IF($A296="","",SUMPRODUCT((((MOVIMIENTOS!$B$5:$B$1005="SALDO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296)*MOVIMIENTOS!$J$5:$J$1005))</f>
        <v/>
      </c>
      <c r="I296" s="63"/>
      <c r="J296" s="63" t="str">
        <f>IF(AND(MOVIMIENTOS!$A295&lt;&gt;"",COUNTIF(MOVIMIENTOS!$A$5:$A294,MOVIMIENTOS!$A295)=0),COUNT(J$4:J295)+1,"")</f>
        <v/>
      </c>
      <c r="K296" s="66">
        <f>MOVIMIENTOS!$A295</f>
        <v>46240</v>
      </c>
      <c r="L296" s="63"/>
      <c r="M296" s="63"/>
      <c r="N296" s="63"/>
    </row>
    <row r="297" spans="1:14" ht="15" customHeight="1" x14ac:dyDescent="0.2">
      <c r="A297" s="63" t="str">
        <f t="shared" si="8"/>
        <v/>
      </c>
      <c r="B297" s="63" t="str">
        <f>IF($A297="","",SUMPRODUCT((MOVIMIENTOS!$B$5:$B$1005="SALDO INICIAL")*(MOVIMIENTOS!$C$5:$C$1005="A")*(MOVIMIENTOS!$D$5:$D$1005="jabas")*(MOVIMIENTOS!$A$5:$A$1005&lt;&gt;"")*(MOVIMIENTOS!$A$5:$A$1005&lt;=$A297)*MOVIMIENTOS!$E$5:$E$1005)+SUMPRODUCT((MOVIMIENTOS!$B$5:$B$1005="PROCESO")*(MOVIMIENTOS!$C$5:$C$1005="A")*(MOVIMIENTOS!$D$5:$D$1005="jabas")*(MOVIMIENTOS!$A$5:$A$1005&lt;&gt;"")*(MOVIMIENTOS!$A$5:$A$1005&lt;=$A297)*MOVIMIENTOS!$E$5:$E$1005)-SUMPRODUCT((MOVIMIENTOS!$B$5:$B$1005="ENVÍO A SUPESA")*(MOVIMIENTOS!$C$5:$C$1005="A")*(MOVIMIENTOS!$D$5:$D$1005="jabas")*(MOVIMIENTOS!$A$5:$A$1005&lt;&gt;"")*(MOVIMIENTOS!$A$5:$A$1005&lt;=$A297)*MOVIMIENTOS!$E$5:$E$1005)+SUMPRODUCT((MOVIMIENTOS!$B$5:$B$1005="DEVOLUCIÓN")*(MOVIMIENTOS!$C$5:$C$1005="A")*(MOVIMIENTOS!$D$5:$D$1005="jabas")*(MOVIMIENTOS!$A$5:$A$1005&lt;&gt;"")*(MOVIMIENTOS!$A$5:$A$1005&lt;=$A297)*MOVIMIENTOS!$E$5:$E$1005)-SUMPRODUCT((MOVIMIENTOS!$B$5:$B$1005="TRASIEGO")*(MOVIMIENTOS!$C$5:$C$1005="A")*(MOVIMIENTOS!$D$5:$D$1005="jabas")*(MOVIMIENTOS!$A$5:$A$1005&lt;&gt;"")*(MOVIMIENTOS!$A$5:$A$1005&lt;=$A297)*MOVIMIENTOS!$E$5:$E$1005)-SUMPRODUCT((MOVIMIENTOS!$B$5:$B$1005="REGALO")*(MOVIMIENTOS!$C$5:$C$1005="A")*(MOVIMIENTOS!$D$5:$D$1005="jabas")*(MOVIMIENTOS!$A$5:$A$1005&lt;&gt;"")*(MOVIMIENTOS!$A$5:$A$1005&lt;=$A297)*MOVIMIENTOS!$E$5:$E$1005)-SUMPRODUCT((MOVIMIENTOS!$B$5:$B$1005="VENTA")*(MOVIMIENTOS!$C$5:$C$1005="A")*(MOVIMIENTOS!$D$5:$D$1005="jabas")*(MOVIMIENTOS!$A$5:$A$1005&lt;&gt;"")*(MOVIMIENTOS!$A$5:$A$1005&lt;=$A297)*MOVIMIENTOS!$E$5:$E$1005)+SUMPRODUCT((MOVIMIENTOS!$B$5:$B$1005="AJUSTE")*(MOVIMIENTOS!$C$5:$C$1005="A")*(MOVIMIENTOS!$D$5:$D$1005="jabas")*(MOVIMIENTOS!$A$5:$A$1005&lt;&gt;"")*(MOVIMIENTOS!$A$5:$A$1005&lt;=$A297)*MOVIMIENTOS!$E$5:$E$1005))</f>
        <v/>
      </c>
      <c r="C297" s="63" t="str">
        <f>IF($A297="","",SUMPRODUCT((MOVIMIENTOS!$B$5:$B$1005="SALDO INICIAL")*(MOVIMIENTOS!$C$5:$C$1005="P")*(MOVIMIENTOS!$D$5:$D$1005="jabas")*(MOVIMIENTOS!$A$5:$A$1005&lt;&gt;"")*(MOVIMIENTOS!$A$5:$A$1005&lt;=$A297)*MOVIMIENTOS!$E$5:$E$1005)+SUMPRODUCT((MOVIMIENTOS!$B$5:$B$1005="PROCESO")*(MOVIMIENTOS!$C$5:$C$1005="P")*(MOVIMIENTOS!$D$5:$D$1005="jabas")*(MOVIMIENTOS!$A$5:$A$1005&lt;&gt;"")*(MOVIMIENTOS!$A$5:$A$1005&lt;=$A297)*MOVIMIENTOS!$E$5:$E$1005)-SUMPRODUCT((MOVIMIENTOS!$B$5:$B$1005="ENVÍO A SUPESA")*(MOVIMIENTOS!$C$5:$C$1005="P")*(MOVIMIENTOS!$D$5:$D$1005="jabas")*(MOVIMIENTOS!$A$5:$A$1005&lt;&gt;"")*(MOVIMIENTOS!$A$5:$A$1005&lt;=$A297)*MOVIMIENTOS!$E$5:$E$1005)+SUMPRODUCT((MOVIMIENTOS!$B$5:$B$1005="DEVOLUCIÓN")*(MOVIMIENTOS!$C$5:$C$1005="P")*(MOVIMIENTOS!$D$5:$D$1005="jabas")*(MOVIMIENTOS!$A$5:$A$1005&lt;&gt;"")*(MOVIMIENTOS!$A$5:$A$1005&lt;=$A297)*MOVIMIENTOS!$E$5:$E$1005)-SUMPRODUCT((MOVIMIENTOS!$B$5:$B$1005="TRASIEGO")*(MOVIMIENTOS!$C$5:$C$1005="P")*(MOVIMIENTOS!$D$5:$D$1005="jabas")*(MOVIMIENTOS!$A$5:$A$1005&lt;&gt;"")*(MOVIMIENTOS!$A$5:$A$1005&lt;=$A297)*MOVIMIENTOS!$E$5:$E$1005)-SUMPRODUCT((MOVIMIENTOS!$B$5:$B$1005="REGALO")*(MOVIMIENTOS!$C$5:$C$1005="P")*(MOVIMIENTOS!$D$5:$D$1005="jabas")*(MOVIMIENTOS!$A$5:$A$1005&lt;&gt;"")*(MOVIMIENTOS!$A$5:$A$1005&lt;=$A297)*MOVIMIENTOS!$E$5:$E$1005)-SUMPRODUCT((MOVIMIENTOS!$B$5:$B$1005="VENTA")*(MOVIMIENTOS!$C$5:$C$1005="P")*(MOVIMIENTOS!$D$5:$D$1005="jabas")*(MOVIMIENTOS!$A$5:$A$1005&lt;&gt;"")*(MOVIMIENTOS!$A$5:$A$1005&lt;=$A297)*MOVIMIENTOS!$E$5:$E$1005)+SUMPRODUCT((MOVIMIENTOS!$B$5:$B$1005="AJUSTE")*(MOVIMIENTOS!$C$5:$C$1005="P")*(MOVIMIENTOS!$D$5:$D$1005="jabas")*(MOVIMIENTOS!$A$5:$A$1005&lt;&gt;"")*(MOVIMIENTOS!$A$5:$A$1005&lt;=$A297)*MOVIMIENTOS!$E$5:$E$1005))</f>
        <v/>
      </c>
      <c r="D297" s="63" t="str">
        <f>IF($A297="","",SUMPRODUCT((MOVIMIENTOS!$B$5:$B$1005="SALDO INICIAL")*(MOVIMIENTOS!$C$5:$C$1005="C")*(MOVIMIENTOS!$D$5:$D$1005="jabas")*(MOVIMIENTOS!$A$5:$A$1005&lt;&gt;"")*(MOVIMIENTOS!$A$5:$A$1005&lt;=$A297)*MOVIMIENTOS!$E$5:$E$1005)+SUMPRODUCT((MOVIMIENTOS!$B$5:$B$1005="PROCESO")*(MOVIMIENTOS!$C$5:$C$1005="C")*(MOVIMIENTOS!$D$5:$D$1005="jabas")*(MOVIMIENTOS!$A$5:$A$1005&lt;&gt;"")*(MOVIMIENTOS!$A$5:$A$1005&lt;=$A297)*MOVIMIENTOS!$E$5:$E$1005)-SUMPRODUCT((MOVIMIENTOS!$B$5:$B$1005="ENVÍO A SUPESA")*(MOVIMIENTOS!$C$5:$C$1005="C")*(MOVIMIENTOS!$D$5:$D$1005="jabas")*(MOVIMIENTOS!$A$5:$A$1005&lt;&gt;"")*(MOVIMIENTOS!$A$5:$A$1005&lt;=$A297)*MOVIMIENTOS!$E$5:$E$1005)+SUMPRODUCT((MOVIMIENTOS!$B$5:$B$1005="DEVOLUCIÓN")*(MOVIMIENTOS!$C$5:$C$1005="C")*(MOVIMIENTOS!$D$5:$D$1005="jabas")*(MOVIMIENTOS!$A$5:$A$1005&lt;&gt;"")*(MOVIMIENTOS!$A$5:$A$1005&lt;=$A297)*MOVIMIENTOS!$E$5:$E$1005)-SUMPRODUCT((MOVIMIENTOS!$B$5:$B$1005="TRASIEGO")*(MOVIMIENTOS!$C$5:$C$1005="C")*(MOVIMIENTOS!$D$5:$D$1005="jabas")*(MOVIMIENTOS!$A$5:$A$1005&lt;&gt;"")*(MOVIMIENTOS!$A$5:$A$1005&lt;=$A297)*MOVIMIENTOS!$E$5:$E$1005)-SUMPRODUCT((MOVIMIENTOS!$B$5:$B$1005="REGALO")*(MOVIMIENTOS!$C$5:$C$1005="C")*(MOVIMIENTOS!$D$5:$D$1005="jabas")*(MOVIMIENTOS!$A$5:$A$1005&lt;&gt;"")*(MOVIMIENTOS!$A$5:$A$1005&lt;=$A297)*MOVIMIENTOS!$E$5:$E$1005)-SUMPRODUCT((MOVIMIENTOS!$B$5:$B$1005="VENTA")*(MOVIMIENTOS!$C$5:$C$1005="C")*(MOVIMIENTOS!$D$5:$D$1005="jabas")*(MOVIMIENTOS!$A$5:$A$1005&lt;&gt;"")*(MOVIMIENTOS!$A$5:$A$1005&lt;=$A297)*MOVIMIENTOS!$E$5:$E$1005)+SUMPRODUCT((MOVIMIENTOS!$B$5:$B$1005="AJUSTE")*(MOVIMIENTOS!$C$5:$C$1005="C")*(MOVIMIENTOS!$D$5:$D$1005="jabas")*(MOVIMIENTOS!$A$5:$A$1005&lt;&gt;"")*(MOVIMIENTOS!$A$5:$A$1005&lt;=$A297)*MOVIMIENTOS!$E$5:$E$1005))</f>
        <v/>
      </c>
      <c r="E297" s="63" t="str">
        <f>IF($A297="","",SUMPRODUCT((MOVIMIENTOS!$B$5:$B$1005="SALDO INICIAL")*(MOVIMIENTOS!$C$5:$C$1005="M")*(MOVIMIENTOS!$D$5:$D$1005="jabas")*(MOVIMIENTOS!$A$5:$A$1005&lt;&gt;"")*(MOVIMIENTOS!$A$5:$A$1005&lt;=$A297)*MOVIMIENTOS!$E$5:$E$1005)+SUMPRODUCT((MOVIMIENTOS!$B$5:$B$1005="PROCESO")*(MOVIMIENTOS!$C$5:$C$1005="M")*(MOVIMIENTOS!$D$5:$D$1005="jabas")*(MOVIMIENTOS!$A$5:$A$1005&lt;&gt;"")*(MOVIMIENTOS!$A$5:$A$1005&lt;=$A297)*MOVIMIENTOS!$E$5:$E$1005)-SUMPRODUCT((MOVIMIENTOS!$B$5:$B$1005="ENVÍO A SUPESA")*(MOVIMIENTOS!$C$5:$C$1005="M")*(MOVIMIENTOS!$D$5:$D$1005="jabas")*(MOVIMIENTOS!$A$5:$A$1005&lt;&gt;"")*(MOVIMIENTOS!$A$5:$A$1005&lt;=$A297)*MOVIMIENTOS!$E$5:$E$1005)+SUMPRODUCT((MOVIMIENTOS!$B$5:$B$1005="DEVOLUCIÓN")*(MOVIMIENTOS!$C$5:$C$1005="M")*(MOVIMIENTOS!$D$5:$D$1005="jabas")*(MOVIMIENTOS!$A$5:$A$1005&lt;&gt;"")*(MOVIMIENTOS!$A$5:$A$1005&lt;=$A297)*MOVIMIENTOS!$E$5:$E$1005)-SUMPRODUCT((MOVIMIENTOS!$B$5:$B$1005="TRASIEGO")*(MOVIMIENTOS!$C$5:$C$1005="M")*(MOVIMIENTOS!$D$5:$D$1005="jabas")*(MOVIMIENTOS!$A$5:$A$1005&lt;&gt;"")*(MOVIMIENTOS!$A$5:$A$1005&lt;=$A297)*MOVIMIENTOS!$E$5:$E$1005)-SUMPRODUCT((MOVIMIENTOS!$B$5:$B$1005="REGALO")*(MOVIMIENTOS!$C$5:$C$1005="M")*(MOVIMIENTOS!$D$5:$D$1005="jabas")*(MOVIMIENTOS!$A$5:$A$1005&lt;&gt;"")*(MOVIMIENTOS!$A$5:$A$1005&lt;=$A297)*MOVIMIENTOS!$E$5:$E$1005)-SUMPRODUCT((MOVIMIENTOS!$B$5:$B$1005="VENTA")*(MOVIMIENTOS!$C$5:$C$1005="M")*(MOVIMIENTOS!$D$5:$D$1005="jabas")*(MOVIMIENTOS!$A$5:$A$1005&lt;&gt;"")*(MOVIMIENTOS!$A$5:$A$1005&lt;=$A297)*MOVIMIENTOS!$E$5:$E$1005)+SUMPRODUCT((MOVIMIENTOS!$B$5:$B$1005="AJUSTE")*(MOVIMIENTOS!$C$5:$C$1005="M")*(MOVIMIENTOS!$D$5:$D$1005="jabas")*(MOVIMIENTOS!$A$5:$A$1005&lt;&gt;"")*(MOVIMIENTOS!$A$5:$A$1005&lt;=$A297)*MOVIMIENTOS!$E$5:$E$1005))</f>
        <v/>
      </c>
      <c r="F297" s="63" t="str">
        <f>IF($A297="","",SUMPRODUCT((MOVIMIENTOS!$B$5:$B$1005="SALDO INICIAL")*(MOVIMIENTOS!$C$5:$C$1005="Chancho")*(MOVIMIENTOS!$D$5:$D$1005="sacos")*(MOVIMIENTOS!$A$5:$A$1005&lt;&gt;"")*(MOVIMIENTOS!$A$5:$A$1005&lt;=$A297)*MOVIMIENTOS!$E$5:$E$1005)+SUMPRODUCT((MOVIMIENTOS!$B$5:$B$1005="PROCESO")*(MOVIMIENTOS!$C$5:$C$1005="Chancho")*(MOVIMIENTOS!$D$5:$D$1005="sacos")*(MOVIMIENTOS!$A$5:$A$1005&lt;&gt;"")*(MOVIMIENTOS!$A$5:$A$1005&lt;=$A297)*MOVIMIENTOS!$E$5:$E$1005)-SUMPRODUCT((MOVIMIENTOS!$B$5:$B$1005="VENTA CHANCHO")*(MOVIMIENTOS!$C$5:$C$1005="Chancho")*(MOVIMIENTOS!$D$5:$D$1005="sacos")*(MOVIMIENTOS!$A$5:$A$1005&lt;&gt;"")*(MOVIMIENTOS!$A$5:$A$1005&lt;=$A297)*MOVIMIENTOS!$E$5:$E$1005)-SUMPRODUCT((MOVIMIENTOS!$B$5:$B$1005="REGALO")*(MOVIMIENTOS!$C$5:$C$1005="Chancho")*(MOVIMIENTOS!$D$5:$D$1005="sacos")*(MOVIMIENTOS!$A$5:$A$1005&lt;&gt;"")*(MOVIMIENTOS!$A$5:$A$1005&lt;=$A297)*MOVIMIENTOS!$E$5:$E$1005)-SUMPRODUCT((MOVIMIENTOS!$B$5:$B$1005="VENTA")*(MOVIMIENTOS!$C$5:$C$1005="Chancho")*(MOVIMIENTOS!$D$5:$D$1005="sacos")*(MOVIMIENTOS!$A$5:$A$1005&lt;&gt;"")*(MOVIMIENTOS!$A$5:$A$1005&lt;=$A297)*MOVIMIENTOS!$E$5:$E$1005)+SUMPRODUCT((MOVIMIENTOS!$B$5:$B$1005="AJUSTE")*(MOVIMIENTOS!$C$5:$C$1005="Chancho")*(MOVIMIENTOS!$D$5:$D$1005="sacos")*(MOVIMIENTOS!$A$5:$A$1005&lt;&gt;"")*(MOVIMIENTOS!$A$5:$A$1005&lt;=$A297)*MOVIMIENTOS!$E$5:$E$1005))</f>
        <v/>
      </c>
      <c r="G297" s="95" t="str">
        <f t="shared" si="9"/>
        <v/>
      </c>
      <c r="H297" s="63" t="str">
        <f>IF($A297="","",SUMPRODUCT((((MOVIMIENTOS!$B$5:$B$1005="SALDO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297)*MOVIMIENTOS!$J$5:$J$1005))</f>
        <v/>
      </c>
      <c r="I297" s="63"/>
      <c r="J297" s="63" t="str">
        <f>IF(AND(MOVIMIENTOS!$A296&lt;&gt;"",COUNTIF(MOVIMIENTOS!$A$5:$A295,MOVIMIENTOS!$A296)=0),COUNT(J$4:J296)+1,"")</f>
        <v/>
      </c>
      <c r="K297" s="66">
        <f>MOVIMIENTOS!$A296</f>
        <v>46240</v>
      </c>
      <c r="L297" s="63"/>
      <c r="M297" s="63"/>
      <c r="N297" s="63"/>
    </row>
    <row r="298" spans="1:14" ht="15" customHeight="1" x14ac:dyDescent="0.2">
      <c r="A298" s="63" t="str">
        <f t="shared" si="8"/>
        <v/>
      </c>
      <c r="B298" s="63" t="str">
        <f>IF($A298="","",SUMPRODUCT((MOVIMIENTOS!$B$5:$B$1005="SALDO INICIAL")*(MOVIMIENTOS!$C$5:$C$1005="A")*(MOVIMIENTOS!$D$5:$D$1005="jabas")*(MOVIMIENTOS!$A$5:$A$1005&lt;&gt;"")*(MOVIMIENTOS!$A$5:$A$1005&lt;=$A298)*MOVIMIENTOS!$E$5:$E$1005)+SUMPRODUCT((MOVIMIENTOS!$B$5:$B$1005="PROCESO")*(MOVIMIENTOS!$C$5:$C$1005="A")*(MOVIMIENTOS!$D$5:$D$1005="jabas")*(MOVIMIENTOS!$A$5:$A$1005&lt;&gt;"")*(MOVIMIENTOS!$A$5:$A$1005&lt;=$A298)*MOVIMIENTOS!$E$5:$E$1005)-SUMPRODUCT((MOVIMIENTOS!$B$5:$B$1005="ENVÍO A SUPESA")*(MOVIMIENTOS!$C$5:$C$1005="A")*(MOVIMIENTOS!$D$5:$D$1005="jabas")*(MOVIMIENTOS!$A$5:$A$1005&lt;&gt;"")*(MOVIMIENTOS!$A$5:$A$1005&lt;=$A298)*MOVIMIENTOS!$E$5:$E$1005)+SUMPRODUCT((MOVIMIENTOS!$B$5:$B$1005="DEVOLUCIÓN")*(MOVIMIENTOS!$C$5:$C$1005="A")*(MOVIMIENTOS!$D$5:$D$1005="jabas")*(MOVIMIENTOS!$A$5:$A$1005&lt;&gt;"")*(MOVIMIENTOS!$A$5:$A$1005&lt;=$A298)*MOVIMIENTOS!$E$5:$E$1005)-SUMPRODUCT((MOVIMIENTOS!$B$5:$B$1005="TRASIEGO")*(MOVIMIENTOS!$C$5:$C$1005="A")*(MOVIMIENTOS!$D$5:$D$1005="jabas")*(MOVIMIENTOS!$A$5:$A$1005&lt;&gt;"")*(MOVIMIENTOS!$A$5:$A$1005&lt;=$A298)*MOVIMIENTOS!$E$5:$E$1005)-SUMPRODUCT((MOVIMIENTOS!$B$5:$B$1005="REGALO")*(MOVIMIENTOS!$C$5:$C$1005="A")*(MOVIMIENTOS!$D$5:$D$1005="jabas")*(MOVIMIENTOS!$A$5:$A$1005&lt;&gt;"")*(MOVIMIENTOS!$A$5:$A$1005&lt;=$A298)*MOVIMIENTOS!$E$5:$E$1005)-SUMPRODUCT((MOVIMIENTOS!$B$5:$B$1005="VENTA")*(MOVIMIENTOS!$C$5:$C$1005="A")*(MOVIMIENTOS!$D$5:$D$1005="jabas")*(MOVIMIENTOS!$A$5:$A$1005&lt;&gt;"")*(MOVIMIENTOS!$A$5:$A$1005&lt;=$A298)*MOVIMIENTOS!$E$5:$E$1005)+SUMPRODUCT((MOVIMIENTOS!$B$5:$B$1005="AJUSTE")*(MOVIMIENTOS!$C$5:$C$1005="A")*(MOVIMIENTOS!$D$5:$D$1005="jabas")*(MOVIMIENTOS!$A$5:$A$1005&lt;&gt;"")*(MOVIMIENTOS!$A$5:$A$1005&lt;=$A298)*MOVIMIENTOS!$E$5:$E$1005))</f>
        <v/>
      </c>
      <c r="C298" s="63" t="str">
        <f>IF($A298="","",SUMPRODUCT((MOVIMIENTOS!$B$5:$B$1005="SALDO INICIAL")*(MOVIMIENTOS!$C$5:$C$1005="P")*(MOVIMIENTOS!$D$5:$D$1005="jabas")*(MOVIMIENTOS!$A$5:$A$1005&lt;&gt;"")*(MOVIMIENTOS!$A$5:$A$1005&lt;=$A298)*MOVIMIENTOS!$E$5:$E$1005)+SUMPRODUCT((MOVIMIENTOS!$B$5:$B$1005="PROCESO")*(MOVIMIENTOS!$C$5:$C$1005="P")*(MOVIMIENTOS!$D$5:$D$1005="jabas")*(MOVIMIENTOS!$A$5:$A$1005&lt;&gt;"")*(MOVIMIENTOS!$A$5:$A$1005&lt;=$A298)*MOVIMIENTOS!$E$5:$E$1005)-SUMPRODUCT((MOVIMIENTOS!$B$5:$B$1005="ENVÍO A SUPESA")*(MOVIMIENTOS!$C$5:$C$1005="P")*(MOVIMIENTOS!$D$5:$D$1005="jabas")*(MOVIMIENTOS!$A$5:$A$1005&lt;&gt;"")*(MOVIMIENTOS!$A$5:$A$1005&lt;=$A298)*MOVIMIENTOS!$E$5:$E$1005)+SUMPRODUCT((MOVIMIENTOS!$B$5:$B$1005="DEVOLUCIÓN")*(MOVIMIENTOS!$C$5:$C$1005="P")*(MOVIMIENTOS!$D$5:$D$1005="jabas")*(MOVIMIENTOS!$A$5:$A$1005&lt;&gt;"")*(MOVIMIENTOS!$A$5:$A$1005&lt;=$A298)*MOVIMIENTOS!$E$5:$E$1005)-SUMPRODUCT((MOVIMIENTOS!$B$5:$B$1005="TRASIEGO")*(MOVIMIENTOS!$C$5:$C$1005="P")*(MOVIMIENTOS!$D$5:$D$1005="jabas")*(MOVIMIENTOS!$A$5:$A$1005&lt;&gt;"")*(MOVIMIENTOS!$A$5:$A$1005&lt;=$A298)*MOVIMIENTOS!$E$5:$E$1005)-SUMPRODUCT((MOVIMIENTOS!$B$5:$B$1005="REGALO")*(MOVIMIENTOS!$C$5:$C$1005="P")*(MOVIMIENTOS!$D$5:$D$1005="jabas")*(MOVIMIENTOS!$A$5:$A$1005&lt;&gt;"")*(MOVIMIENTOS!$A$5:$A$1005&lt;=$A298)*MOVIMIENTOS!$E$5:$E$1005)-SUMPRODUCT((MOVIMIENTOS!$B$5:$B$1005="VENTA")*(MOVIMIENTOS!$C$5:$C$1005="P")*(MOVIMIENTOS!$D$5:$D$1005="jabas")*(MOVIMIENTOS!$A$5:$A$1005&lt;&gt;"")*(MOVIMIENTOS!$A$5:$A$1005&lt;=$A298)*MOVIMIENTOS!$E$5:$E$1005)+SUMPRODUCT((MOVIMIENTOS!$B$5:$B$1005="AJUSTE")*(MOVIMIENTOS!$C$5:$C$1005="P")*(MOVIMIENTOS!$D$5:$D$1005="jabas")*(MOVIMIENTOS!$A$5:$A$1005&lt;&gt;"")*(MOVIMIENTOS!$A$5:$A$1005&lt;=$A298)*MOVIMIENTOS!$E$5:$E$1005))</f>
        <v/>
      </c>
      <c r="D298" s="63" t="str">
        <f>IF($A298="","",SUMPRODUCT((MOVIMIENTOS!$B$5:$B$1005="SALDO INICIAL")*(MOVIMIENTOS!$C$5:$C$1005="C")*(MOVIMIENTOS!$D$5:$D$1005="jabas")*(MOVIMIENTOS!$A$5:$A$1005&lt;&gt;"")*(MOVIMIENTOS!$A$5:$A$1005&lt;=$A298)*MOVIMIENTOS!$E$5:$E$1005)+SUMPRODUCT((MOVIMIENTOS!$B$5:$B$1005="PROCESO")*(MOVIMIENTOS!$C$5:$C$1005="C")*(MOVIMIENTOS!$D$5:$D$1005="jabas")*(MOVIMIENTOS!$A$5:$A$1005&lt;&gt;"")*(MOVIMIENTOS!$A$5:$A$1005&lt;=$A298)*MOVIMIENTOS!$E$5:$E$1005)-SUMPRODUCT((MOVIMIENTOS!$B$5:$B$1005="ENVÍO A SUPESA")*(MOVIMIENTOS!$C$5:$C$1005="C")*(MOVIMIENTOS!$D$5:$D$1005="jabas")*(MOVIMIENTOS!$A$5:$A$1005&lt;&gt;"")*(MOVIMIENTOS!$A$5:$A$1005&lt;=$A298)*MOVIMIENTOS!$E$5:$E$1005)+SUMPRODUCT((MOVIMIENTOS!$B$5:$B$1005="DEVOLUCIÓN")*(MOVIMIENTOS!$C$5:$C$1005="C")*(MOVIMIENTOS!$D$5:$D$1005="jabas")*(MOVIMIENTOS!$A$5:$A$1005&lt;&gt;"")*(MOVIMIENTOS!$A$5:$A$1005&lt;=$A298)*MOVIMIENTOS!$E$5:$E$1005)-SUMPRODUCT((MOVIMIENTOS!$B$5:$B$1005="TRASIEGO")*(MOVIMIENTOS!$C$5:$C$1005="C")*(MOVIMIENTOS!$D$5:$D$1005="jabas")*(MOVIMIENTOS!$A$5:$A$1005&lt;&gt;"")*(MOVIMIENTOS!$A$5:$A$1005&lt;=$A298)*MOVIMIENTOS!$E$5:$E$1005)-SUMPRODUCT((MOVIMIENTOS!$B$5:$B$1005="REGALO")*(MOVIMIENTOS!$C$5:$C$1005="C")*(MOVIMIENTOS!$D$5:$D$1005="jabas")*(MOVIMIENTOS!$A$5:$A$1005&lt;&gt;"")*(MOVIMIENTOS!$A$5:$A$1005&lt;=$A298)*MOVIMIENTOS!$E$5:$E$1005)-SUMPRODUCT((MOVIMIENTOS!$B$5:$B$1005="VENTA")*(MOVIMIENTOS!$C$5:$C$1005="C")*(MOVIMIENTOS!$D$5:$D$1005="jabas")*(MOVIMIENTOS!$A$5:$A$1005&lt;&gt;"")*(MOVIMIENTOS!$A$5:$A$1005&lt;=$A298)*MOVIMIENTOS!$E$5:$E$1005)+SUMPRODUCT((MOVIMIENTOS!$B$5:$B$1005="AJUSTE")*(MOVIMIENTOS!$C$5:$C$1005="C")*(MOVIMIENTOS!$D$5:$D$1005="jabas")*(MOVIMIENTOS!$A$5:$A$1005&lt;&gt;"")*(MOVIMIENTOS!$A$5:$A$1005&lt;=$A298)*MOVIMIENTOS!$E$5:$E$1005))</f>
        <v/>
      </c>
      <c r="E298" s="63" t="str">
        <f>IF($A298="","",SUMPRODUCT((MOVIMIENTOS!$B$5:$B$1005="SALDO INICIAL")*(MOVIMIENTOS!$C$5:$C$1005="M")*(MOVIMIENTOS!$D$5:$D$1005="jabas")*(MOVIMIENTOS!$A$5:$A$1005&lt;&gt;"")*(MOVIMIENTOS!$A$5:$A$1005&lt;=$A298)*MOVIMIENTOS!$E$5:$E$1005)+SUMPRODUCT((MOVIMIENTOS!$B$5:$B$1005="PROCESO")*(MOVIMIENTOS!$C$5:$C$1005="M")*(MOVIMIENTOS!$D$5:$D$1005="jabas")*(MOVIMIENTOS!$A$5:$A$1005&lt;&gt;"")*(MOVIMIENTOS!$A$5:$A$1005&lt;=$A298)*MOVIMIENTOS!$E$5:$E$1005)-SUMPRODUCT((MOVIMIENTOS!$B$5:$B$1005="ENVÍO A SUPESA")*(MOVIMIENTOS!$C$5:$C$1005="M")*(MOVIMIENTOS!$D$5:$D$1005="jabas")*(MOVIMIENTOS!$A$5:$A$1005&lt;&gt;"")*(MOVIMIENTOS!$A$5:$A$1005&lt;=$A298)*MOVIMIENTOS!$E$5:$E$1005)+SUMPRODUCT((MOVIMIENTOS!$B$5:$B$1005="DEVOLUCIÓN")*(MOVIMIENTOS!$C$5:$C$1005="M")*(MOVIMIENTOS!$D$5:$D$1005="jabas")*(MOVIMIENTOS!$A$5:$A$1005&lt;&gt;"")*(MOVIMIENTOS!$A$5:$A$1005&lt;=$A298)*MOVIMIENTOS!$E$5:$E$1005)-SUMPRODUCT((MOVIMIENTOS!$B$5:$B$1005="TRASIEGO")*(MOVIMIENTOS!$C$5:$C$1005="M")*(MOVIMIENTOS!$D$5:$D$1005="jabas")*(MOVIMIENTOS!$A$5:$A$1005&lt;&gt;"")*(MOVIMIENTOS!$A$5:$A$1005&lt;=$A298)*MOVIMIENTOS!$E$5:$E$1005)-SUMPRODUCT((MOVIMIENTOS!$B$5:$B$1005="REGALO")*(MOVIMIENTOS!$C$5:$C$1005="M")*(MOVIMIENTOS!$D$5:$D$1005="jabas")*(MOVIMIENTOS!$A$5:$A$1005&lt;&gt;"")*(MOVIMIENTOS!$A$5:$A$1005&lt;=$A298)*MOVIMIENTOS!$E$5:$E$1005)-SUMPRODUCT((MOVIMIENTOS!$B$5:$B$1005="VENTA")*(MOVIMIENTOS!$C$5:$C$1005="M")*(MOVIMIENTOS!$D$5:$D$1005="jabas")*(MOVIMIENTOS!$A$5:$A$1005&lt;&gt;"")*(MOVIMIENTOS!$A$5:$A$1005&lt;=$A298)*MOVIMIENTOS!$E$5:$E$1005)+SUMPRODUCT((MOVIMIENTOS!$B$5:$B$1005="AJUSTE")*(MOVIMIENTOS!$C$5:$C$1005="M")*(MOVIMIENTOS!$D$5:$D$1005="jabas")*(MOVIMIENTOS!$A$5:$A$1005&lt;&gt;"")*(MOVIMIENTOS!$A$5:$A$1005&lt;=$A298)*MOVIMIENTOS!$E$5:$E$1005))</f>
        <v/>
      </c>
      <c r="F298" s="63" t="str">
        <f>IF($A298="","",SUMPRODUCT((MOVIMIENTOS!$B$5:$B$1005="SALDO INICIAL")*(MOVIMIENTOS!$C$5:$C$1005="Chancho")*(MOVIMIENTOS!$D$5:$D$1005="sacos")*(MOVIMIENTOS!$A$5:$A$1005&lt;&gt;"")*(MOVIMIENTOS!$A$5:$A$1005&lt;=$A298)*MOVIMIENTOS!$E$5:$E$1005)+SUMPRODUCT((MOVIMIENTOS!$B$5:$B$1005="PROCESO")*(MOVIMIENTOS!$C$5:$C$1005="Chancho")*(MOVIMIENTOS!$D$5:$D$1005="sacos")*(MOVIMIENTOS!$A$5:$A$1005&lt;&gt;"")*(MOVIMIENTOS!$A$5:$A$1005&lt;=$A298)*MOVIMIENTOS!$E$5:$E$1005)-SUMPRODUCT((MOVIMIENTOS!$B$5:$B$1005="VENTA CHANCHO")*(MOVIMIENTOS!$C$5:$C$1005="Chancho")*(MOVIMIENTOS!$D$5:$D$1005="sacos")*(MOVIMIENTOS!$A$5:$A$1005&lt;&gt;"")*(MOVIMIENTOS!$A$5:$A$1005&lt;=$A298)*MOVIMIENTOS!$E$5:$E$1005)-SUMPRODUCT((MOVIMIENTOS!$B$5:$B$1005="REGALO")*(MOVIMIENTOS!$C$5:$C$1005="Chancho")*(MOVIMIENTOS!$D$5:$D$1005="sacos")*(MOVIMIENTOS!$A$5:$A$1005&lt;&gt;"")*(MOVIMIENTOS!$A$5:$A$1005&lt;=$A298)*MOVIMIENTOS!$E$5:$E$1005)-SUMPRODUCT((MOVIMIENTOS!$B$5:$B$1005="VENTA")*(MOVIMIENTOS!$C$5:$C$1005="Chancho")*(MOVIMIENTOS!$D$5:$D$1005="sacos")*(MOVIMIENTOS!$A$5:$A$1005&lt;&gt;"")*(MOVIMIENTOS!$A$5:$A$1005&lt;=$A298)*MOVIMIENTOS!$E$5:$E$1005)+SUMPRODUCT((MOVIMIENTOS!$B$5:$B$1005="AJUSTE")*(MOVIMIENTOS!$C$5:$C$1005="Chancho")*(MOVIMIENTOS!$D$5:$D$1005="sacos")*(MOVIMIENTOS!$A$5:$A$1005&lt;&gt;"")*(MOVIMIENTOS!$A$5:$A$1005&lt;=$A298)*MOVIMIENTOS!$E$5:$E$1005))</f>
        <v/>
      </c>
      <c r="G298" s="95" t="str">
        <f t="shared" si="9"/>
        <v/>
      </c>
      <c r="H298" s="63" t="str">
        <f>IF($A298="","",SUMPRODUCT((((MOVIMIENTOS!$B$5:$B$1005="SALDO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298)*MOVIMIENTOS!$J$5:$J$1005))</f>
        <v/>
      </c>
      <c r="I298" s="63"/>
      <c r="J298" s="63" t="str">
        <f>IF(AND(MOVIMIENTOS!$A297&lt;&gt;"",COUNTIF(MOVIMIENTOS!$A$5:$A296,MOVIMIENTOS!$A297)=0),COUNT(J$4:J297)+1,"")</f>
        <v/>
      </c>
      <c r="K298" s="66">
        <f>MOVIMIENTOS!$A297</f>
        <v>46240</v>
      </c>
      <c r="L298" s="63"/>
      <c r="M298" s="63"/>
      <c r="N298" s="63"/>
    </row>
    <row r="299" spans="1:14" ht="15" customHeight="1" x14ac:dyDescent="0.2">
      <c r="A299" s="63" t="str">
        <f t="shared" si="8"/>
        <v/>
      </c>
      <c r="B299" s="63" t="str">
        <f>IF($A299="","",SUMPRODUCT((MOVIMIENTOS!$B$5:$B$1005="SALDO INICIAL")*(MOVIMIENTOS!$C$5:$C$1005="A")*(MOVIMIENTOS!$D$5:$D$1005="jabas")*(MOVIMIENTOS!$A$5:$A$1005&lt;&gt;"")*(MOVIMIENTOS!$A$5:$A$1005&lt;=$A299)*MOVIMIENTOS!$E$5:$E$1005)+SUMPRODUCT((MOVIMIENTOS!$B$5:$B$1005="PROCESO")*(MOVIMIENTOS!$C$5:$C$1005="A")*(MOVIMIENTOS!$D$5:$D$1005="jabas")*(MOVIMIENTOS!$A$5:$A$1005&lt;&gt;"")*(MOVIMIENTOS!$A$5:$A$1005&lt;=$A299)*MOVIMIENTOS!$E$5:$E$1005)-SUMPRODUCT((MOVIMIENTOS!$B$5:$B$1005="ENVÍO A SUPESA")*(MOVIMIENTOS!$C$5:$C$1005="A")*(MOVIMIENTOS!$D$5:$D$1005="jabas")*(MOVIMIENTOS!$A$5:$A$1005&lt;&gt;"")*(MOVIMIENTOS!$A$5:$A$1005&lt;=$A299)*MOVIMIENTOS!$E$5:$E$1005)+SUMPRODUCT((MOVIMIENTOS!$B$5:$B$1005="DEVOLUCIÓN")*(MOVIMIENTOS!$C$5:$C$1005="A")*(MOVIMIENTOS!$D$5:$D$1005="jabas")*(MOVIMIENTOS!$A$5:$A$1005&lt;&gt;"")*(MOVIMIENTOS!$A$5:$A$1005&lt;=$A299)*MOVIMIENTOS!$E$5:$E$1005)-SUMPRODUCT((MOVIMIENTOS!$B$5:$B$1005="TRASIEGO")*(MOVIMIENTOS!$C$5:$C$1005="A")*(MOVIMIENTOS!$D$5:$D$1005="jabas")*(MOVIMIENTOS!$A$5:$A$1005&lt;&gt;"")*(MOVIMIENTOS!$A$5:$A$1005&lt;=$A299)*MOVIMIENTOS!$E$5:$E$1005)-SUMPRODUCT((MOVIMIENTOS!$B$5:$B$1005="REGALO")*(MOVIMIENTOS!$C$5:$C$1005="A")*(MOVIMIENTOS!$D$5:$D$1005="jabas")*(MOVIMIENTOS!$A$5:$A$1005&lt;&gt;"")*(MOVIMIENTOS!$A$5:$A$1005&lt;=$A299)*MOVIMIENTOS!$E$5:$E$1005)-SUMPRODUCT((MOVIMIENTOS!$B$5:$B$1005="VENTA")*(MOVIMIENTOS!$C$5:$C$1005="A")*(MOVIMIENTOS!$D$5:$D$1005="jabas")*(MOVIMIENTOS!$A$5:$A$1005&lt;&gt;"")*(MOVIMIENTOS!$A$5:$A$1005&lt;=$A299)*MOVIMIENTOS!$E$5:$E$1005)+SUMPRODUCT((MOVIMIENTOS!$B$5:$B$1005="AJUSTE")*(MOVIMIENTOS!$C$5:$C$1005="A")*(MOVIMIENTOS!$D$5:$D$1005="jabas")*(MOVIMIENTOS!$A$5:$A$1005&lt;&gt;"")*(MOVIMIENTOS!$A$5:$A$1005&lt;=$A299)*MOVIMIENTOS!$E$5:$E$1005))</f>
        <v/>
      </c>
      <c r="C299" s="63" t="str">
        <f>IF($A299="","",SUMPRODUCT((MOVIMIENTOS!$B$5:$B$1005="SALDO INICIAL")*(MOVIMIENTOS!$C$5:$C$1005="P")*(MOVIMIENTOS!$D$5:$D$1005="jabas")*(MOVIMIENTOS!$A$5:$A$1005&lt;&gt;"")*(MOVIMIENTOS!$A$5:$A$1005&lt;=$A299)*MOVIMIENTOS!$E$5:$E$1005)+SUMPRODUCT((MOVIMIENTOS!$B$5:$B$1005="PROCESO")*(MOVIMIENTOS!$C$5:$C$1005="P")*(MOVIMIENTOS!$D$5:$D$1005="jabas")*(MOVIMIENTOS!$A$5:$A$1005&lt;&gt;"")*(MOVIMIENTOS!$A$5:$A$1005&lt;=$A299)*MOVIMIENTOS!$E$5:$E$1005)-SUMPRODUCT((MOVIMIENTOS!$B$5:$B$1005="ENVÍO A SUPESA")*(MOVIMIENTOS!$C$5:$C$1005="P")*(MOVIMIENTOS!$D$5:$D$1005="jabas")*(MOVIMIENTOS!$A$5:$A$1005&lt;&gt;"")*(MOVIMIENTOS!$A$5:$A$1005&lt;=$A299)*MOVIMIENTOS!$E$5:$E$1005)+SUMPRODUCT((MOVIMIENTOS!$B$5:$B$1005="DEVOLUCIÓN")*(MOVIMIENTOS!$C$5:$C$1005="P")*(MOVIMIENTOS!$D$5:$D$1005="jabas")*(MOVIMIENTOS!$A$5:$A$1005&lt;&gt;"")*(MOVIMIENTOS!$A$5:$A$1005&lt;=$A299)*MOVIMIENTOS!$E$5:$E$1005)-SUMPRODUCT((MOVIMIENTOS!$B$5:$B$1005="TRASIEGO")*(MOVIMIENTOS!$C$5:$C$1005="P")*(MOVIMIENTOS!$D$5:$D$1005="jabas")*(MOVIMIENTOS!$A$5:$A$1005&lt;&gt;"")*(MOVIMIENTOS!$A$5:$A$1005&lt;=$A299)*MOVIMIENTOS!$E$5:$E$1005)-SUMPRODUCT((MOVIMIENTOS!$B$5:$B$1005="REGALO")*(MOVIMIENTOS!$C$5:$C$1005="P")*(MOVIMIENTOS!$D$5:$D$1005="jabas")*(MOVIMIENTOS!$A$5:$A$1005&lt;&gt;"")*(MOVIMIENTOS!$A$5:$A$1005&lt;=$A299)*MOVIMIENTOS!$E$5:$E$1005)-SUMPRODUCT((MOVIMIENTOS!$B$5:$B$1005="VENTA")*(MOVIMIENTOS!$C$5:$C$1005="P")*(MOVIMIENTOS!$D$5:$D$1005="jabas")*(MOVIMIENTOS!$A$5:$A$1005&lt;&gt;"")*(MOVIMIENTOS!$A$5:$A$1005&lt;=$A299)*MOVIMIENTOS!$E$5:$E$1005)+SUMPRODUCT((MOVIMIENTOS!$B$5:$B$1005="AJUSTE")*(MOVIMIENTOS!$C$5:$C$1005="P")*(MOVIMIENTOS!$D$5:$D$1005="jabas")*(MOVIMIENTOS!$A$5:$A$1005&lt;&gt;"")*(MOVIMIENTOS!$A$5:$A$1005&lt;=$A299)*MOVIMIENTOS!$E$5:$E$1005))</f>
        <v/>
      </c>
      <c r="D299" s="63" t="str">
        <f>IF($A299="","",SUMPRODUCT((MOVIMIENTOS!$B$5:$B$1005="SALDO INICIAL")*(MOVIMIENTOS!$C$5:$C$1005="C")*(MOVIMIENTOS!$D$5:$D$1005="jabas")*(MOVIMIENTOS!$A$5:$A$1005&lt;&gt;"")*(MOVIMIENTOS!$A$5:$A$1005&lt;=$A299)*MOVIMIENTOS!$E$5:$E$1005)+SUMPRODUCT((MOVIMIENTOS!$B$5:$B$1005="PROCESO")*(MOVIMIENTOS!$C$5:$C$1005="C")*(MOVIMIENTOS!$D$5:$D$1005="jabas")*(MOVIMIENTOS!$A$5:$A$1005&lt;&gt;"")*(MOVIMIENTOS!$A$5:$A$1005&lt;=$A299)*MOVIMIENTOS!$E$5:$E$1005)-SUMPRODUCT((MOVIMIENTOS!$B$5:$B$1005="ENVÍO A SUPESA")*(MOVIMIENTOS!$C$5:$C$1005="C")*(MOVIMIENTOS!$D$5:$D$1005="jabas")*(MOVIMIENTOS!$A$5:$A$1005&lt;&gt;"")*(MOVIMIENTOS!$A$5:$A$1005&lt;=$A299)*MOVIMIENTOS!$E$5:$E$1005)+SUMPRODUCT((MOVIMIENTOS!$B$5:$B$1005="DEVOLUCIÓN")*(MOVIMIENTOS!$C$5:$C$1005="C")*(MOVIMIENTOS!$D$5:$D$1005="jabas")*(MOVIMIENTOS!$A$5:$A$1005&lt;&gt;"")*(MOVIMIENTOS!$A$5:$A$1005&lt;=$A299)*MOVIMIENTOS!$E$5:$E$1005)-SUMPRODUCT((MOVIMIENTOS!$B$5:$B$1005="TRASIEGO")*(MOVIMIENTOS!$C$5:$C$1005="C")*(MOVIMIENTOS!$D$5:$D$1005="jabas")*(MOVIMIENTOS!$A$5:$A$1005&lt;&gt;"")*(MOVIMIENTOS!$A$5:$A$1005&lt;=$A299)*MOVIMIENTOS!$E$5:$E$1005)-SUMPRODUCT((MOVIMIENTOS!$B$5:$B$1005="REGALO")*(MOVIMIENTOS!$C$5:$C$1005="C")*(MOVIMIENTOS!$D$5:$D$1005="jabas")*(MOVIMIENTOS!$A$5:$A$1005&lt;&gt;"")*(MOVIMIENTOS!$A$5:$A$1005&lt;=$A299)*MOVIMIENTOS!$E$5:$E$1005)-SUMPRODUCT((MOVIMIENTOS!$B$5:$B$1005="VENTA")*(MOVIMIENTOS!$C$5:$C$1005="C")*(MOVIMIENTOS!$D$5:$D$1005="jabas")*(MOVIMIENTOS!$A$5:$A$1005&lt;&gt;"")*(MOVIMIENTOS!$A$5:$A$1005&lt;=$A299)*MOVIMIENTOS!$E$5:$E$1005)+SUMPRODUCT((MOVIMIENTOS!$B$5:$B$1005="AJUSTE")*(MOVIMIENTOS!$C$5:$C$1005="C")*(MOVIMIENTOS!$D$5:$D$1005="jabas")*(MOVIMIENTOS!$A$5:$A$1005&lt;&gt;"")*(MOVIMIENTOS!$A$5:$A$1005&lt;=$A299)*MOVIMIENTOS!$E$5:$E$1005))</f>
        <v/>
      </c>
      <c r="E299" s="63" t="str">
        <f>IF($A299="","",SUMPRODUCT((MOVIMIENTOS!$B$5:$B$1005="SALDO INICIAL")*(MOVIMIENTOS!$C$5:$C$1005="M")*(MOVIMIENTOS!$D$5:$D$1005="jabas")*(MOVIMIENTOS!$A$5:$A$1005&lt;&gt;"")*(MOVIMIENTOS!$A$5:$A$1005&lt;=$A299)*MOVIMIENTOS!$E$5:$E$1005)+SUMPRODUCT((MOVIMIENTOS!$B$5:$B$1005="PROCESO")*(MOVIMIENTOS!$C$5:$C$1005="M")*(MOVIMIENTOS!$D$5:$D$1005="jabas")*(MOVIMIENTOS!$A$5:$A$1005&lt;&gt;"")*(MOVIMIENTOS!$A$5:$A$1005&lt;=$A299)*MOVIMIENTOS!$E$5:$E$1005)-SUMPRODUCT((MOVIMIENTOS!$B$5:$B$1005="ENVÍO A SUPESA")*(MOVIMIENTOS!$C$5:$C$1005="M")*(MOVIMIENTOS!$D$5:$D$1005="jabas")*(MOVIMIENTOS!$A$5:$A$1005&lt;&gt;"")*(MOVIMIENTOS!$A$5:$A$1005&lt;=$A299)*MOVIMIENTOS!$E$5:$E$1005)+SUMPRODUCT((MOVIMIENTOS!$B$5:$B$1005="DEVOLUCIÓN")*(MOVIMIENTOS!$C$5:$C$1005="M")*(MOVIMIENTOS!$D$5:$D$1005="jabas")*(MOVIMIENTOS!$A$5:$A$1005&lt;&gt;"")*(MOVIMIENTOS!$A$5:$A$1005&lt;=$A299)*MOVIMIENTOS!$E$5:$E$1005)-SUMPRODUCT((MOVIMIENTOS!$B$5:$B$1005="TRASIEGO")*(MOVIMIENTOS!$C$5:$C$1005="M")*(MOVIMIENTOS!$D$5:$D$1005="jabas")*(MOVIMIENTOS!$A$5:$A$1005&lt;&gt;"")*(MOVIMIENTOS!$A$5:$A$1005&lt;=$A299)*MOVIMIENTOS!$E$5:$E$1005)-SUMPRODUCT((MOVIMIENTOS!$B$5:$B$1005="REGALO")*(MOVIMIENTOS!$C$5:$C$1005="M")*(MOVIMIENTOS!$D$5:$D$1005="jabas")*(MOVIMIENTOS!$A$5:$A$1005&lt;&gt;"")*(MOVIMIENTOS!$A$5:$A$1005&lt;=$A299)*MOVIMIENTOS!$E$5:$E$1005)-SUMPRODUCT((MOVIMIENTOS!$B$5:$B$1005="VENTA")*(MOVIMIENTOS!$C$5:$C$1005="M")*(MOVIMIENTOS!$D$5:$D$1005="jabas")*(MOVIMIENTOS!$A$5:$A$1005&lt;&gt;"")*(MOVIMIENTOS!$A$5:$A$1005&lt;=$A299)*MOVIMIENTOS!$E$5:$E$1005)+SUMPRODUCT((MOVIMIENTOS!$B$5:$B$1005="AJUSTE")*(MOVIMIENTOS!$C$5:$C$1005="M")*(MOVIMIENTOS!$D$5:$D$1005="jabas")*(MOVIMIENTOS!$A$5:$A$1005&lt;&gt;"")*(MOVIMIENTOS!$A$5:$A$1005&lt;=$A299)*MOVIMIENTOS!$E$5:$E$1005))</f>
        <v/>
      </c>
      <c r="F299" s="63" t="str">
        <f>IF($A299="","",SUMPRODUCT((MOVIMIENTOS!$B$5:$B$1005="SALDO INICIAL")*(MOVIMIENTOS!$C$5:$C$1005="Chancho")*(MOVIMIENTOS!$D$5:$D$1005="sacos")*(MOVIMIENTOS!$A$5:$A$1005&lt;&gt;"")*(MOVIMIENTOS!$A$5:$A$1005&lt;=$A299)*MOVIMIENTOS!$E$5:$E$1005)+SUMPRODUCT((MOVIMIENTOS!$B$5:$B$1005="PROCESO")*(MOVIMIENTOS!$C$5:$C$1005="Chancho")*(MOVIMIENTOS!$D$5:$D$1005="sacos")*(MOVIMIENTOS!$A$5:$A$1005&lt;&gt;"")*(MOVIMIENTOS!$A$5:$A$1005&lt;=$A299)*MOVIMIENTOS!$E$5:$E$1005)-SUMPRODUCT((MOVIMIENTOS!$B$5:$B$1005="VENTA CHANCHO")*(MOVIMIENTOS!$C$5:$C$1005="Chancho")*(MOVIMIENTOS!$D$5:$D$1005="sacos")*(MOVIMIENTOS!$A$5:$A$1005&lt;&gt;"")*(MOVIMIENTOS!$A$5:$A$1005&lt;=$A299)*MOVIMIENTOS!$E$5:$E$1005)-SUMPRODUCT((MOVIMIENTOS!$B$5:$B$1005="REGALO")*(MOVIMIENTOS!$C$5:$C$1005="Chancho")*(MOVIMIENTOS!$D$5:$D$1005="sacos")*(MOVIMIENTOS!$A$5:$A$1005&lt;&gt;"")*(MOVIMIENTOS!$A$5:$A$1005&lt;=$A299)*MOVIMIENTOS!$E$5:$E$1005)-SUMPRODUCT((MOVIMIENTOS!$B$5:$B$1005="VENTA")*(MOVIMIENTOS!$C$5:$C$1005="Chancho")*(MOVIMIENTOS!$D$5:$D$1005="sacos")*(MOVIMIENTOS!$A$5:$A$1005&lt;&gt;"")*(MOVIMIENTOS!$A$5:$A$1005&lt;=$A299)*MOVIMIENTOS!$E$5:$E$1005)+SUMPRODUCT((MOVIMIENTOS!$B$5:$B$1005="AJUSTE")*(MOVIMIENTOS!$C$5:$C$1005="Chancho")*(MOVIMIENTOS!$D$5:$D$1005="sacos")*(MOVIMIENTOS!$A$5:$A$1005&lt;&gt;"")*(MOVIMIENTOS!$A$5:$A$1005&lt;=$A299)*MOVIMIENTOS!$E$5:$E$1005))</f>
        <v/>
      </c>
      <c r="G299" s="95" t="str">
        <f t="shared" si="9"/>
        <v/>
      </c>
      <c r="H299" s="63" t="str">
        <f>IF($A299="","",SUMPRODUCT((((MOVIMIENTOS!$B$5:$B$1005="SALDO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299)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299)*MOVIMIENTOS!$J$5:$J$1005))</f>
        <v/>
      </c>
      <c r="I299" s="63"/>
      <c r="J299" s="63" t="str">
        <f>IF(AND(MOVIMIENTOS!$A298&lt;&gt;"",COUNTIF(MOVIMIENTOS!$A$5:$A297,MOVIMIENTOS!$A298)=0),COUNT(J$4:J298)+1,"")</f>
        <v/>
      </c>
      <c r="K299" s="66">
        <f>MOVIMIENTOS!$A298</f>
        <v>46240</v>
      </c>
      <c r="L299" s="63"/>
      <c r="M299" s="63"/>
      <c r="N299" s="63"/>
    </row>
    <row r="300" spans="1:14" ht="15" customHeight="1" x14ac:dyDescent="0.2">
      <c r="A300" s="63" t="str">
        <f t="shared" si="8"/>
        <v/>
      </c>
      <c r="B300" s="63" t="str">
        <f>IF($A300="","",SUMPRODUCT((MOVIMIENTOS!$B$5:$B$1005="SALDO INICIAL")*(MOVIMIENTOS!$C$5:$C$1005="A")*(MOVIMIENTOS!$D$5:$D$1005="jabas")*(MOVIMIENTOS!$A$5:$A$1005&lt;&gt;"")*(MOVIMIENTOS!$A$5:$A$1005&lt;=$A300)*MOVIMIENTOS!$E$5:$E$1005)+SUMPRODUCT((MOVIMIENTOS!$B$5:$B$1005="PROCESO")*(MOVIMIENTOS!$C$5:$C$1005="A")*(MOVIMIENTOS!$D$5:$D$1005="jabas")*(MOVIMIENTOS!$A$5:$A$1005&lt;&gt;"")*(MOVIMIENTOS!$A$5:$A$1005&lt;=$A300)*MOVIMIENTOS!$E$5:$E$1005)-SUMPRODUCT((MOVIMIENTOS!$B$5:$B$1005="ENVÍO A SUPESA")*(MOVIMIENTOS!$C$5:$C$1005="A")*(MOVIMIENTOS!$D$5:$D$1005="jabas")*(MOVIMIENTOS!$A$5:$A$1005&lt;&gt;"")*(MOVIMIENTOS!$A$5:$A$1005&lt;=$A300)*MOVIMIENTOS!$E$5:$E$1005)+SUMPRODUCT((MOVIMIENTOS!$B$5:$B$1005="DEVOLUCIÓN")*(MOVIMIENTOS!$C$5:$C$1005="A")*(MOVIMIENTOS!$D$5:$D$1005="jabas")*(MOVIMIENTOS!$A$5:$A$1005&lt;&gt;"")*(MOVIMIENTOS!$A$5:$A$1005&lt;=$A300)*MOVIMIENTOS!$E$5:$E$1005)-SUMPRODUCT((MOVIMIENTOS!$B$5:$B$1005="TRASIEGO")*(MOVIMIENTOS!$C$5:$C$1005="A")*(MOVIMIENTOS!$D$5:$D$1005="jabas")*(MOVIMIENTOS!$A$5:$A$1005&lt;&gt;"")*(MOVIMIENTOS!$A$5:$A$1005&lt;=$A300)*MOVIMIENTOS!$E$5:$E$1005)-SUMPRODUCT((MOVIMIENTOS!$B$5:$B$1005="REGALO")*(MOVIMIENTOS!$C$5:$C$1005="A")*(MOVIMIENTOS!$D$5:$D$1005="jabas")*(MOVIMIENTOS!$A$5:$A$1005&lt;&gt;"")*(MOVIMIENTOS!$A$5:$A$1005&lt;=$A300)*MOVIMIENTOS!$E$5:$E$1005)-SUMPRODUCT((MOVIMIENTOS!$B$5:$B$1005="VENTA")*(MOVIMIENTOS!$C$5:$C$1005="A")*(MOVIMIENTOS!$D$5:$D$1005="jabas")*(MOVIMIENTOS!$A$5:$A$1005&lt;&gt;"")*(MOVIMIENTOS!$A$5:$A$1005&lt;=$A300)*MOVIMIENTOS!$E$5:$E$1005)+SUMPRODUCT((MOVIMIENTOS!$B$5:$B$1005="AJUSTE")*(MOVIMIENTOS!$C$5:$C$1005="A")*(MOVIMIENTOS!$D$5:$D$1005="jabas")*(MOVIMIENTOS!$A$5:$A$1005&lt;&gt;"")*(MOVIMIENTOS!$A$5:$A$1005&lt;=$A300)*MOVIMIENTOS!$E$5:$E$1005))</f>
        <v/>
      </c>
      <c r="C300" s="63" t="str">
        <f>IF($A300="","",SUMPRODUCT((MOVIMIENTOS!$B$5:$B$1005="SALDO INICIAL")*(MOVIMIENTOS!$C$5:$C$1005="P")*(MOVIMIENTOS!$D$5:$D$1005="jabas")*(MOVIMIENTOS!$A$5:$A$1005&lt;&gt;"")*(MOVIMIENTOS!$A$5:$A$1005&lt;=$A300)*MOVIMIENTOS!$E$5:$E$1005)+SUMPRODUCT((MOVIMIENTOS!$B$5:$B$1005="PROCESO")*(MOVIMIENTOS!$C$5:$C$1005="P")*(MOVIMIENTOS!$D$5:$D$1005="jabas")*(MOVIMIENTOS!$A$5:$A$1005&lt;&gt;"")*(MOVIMIENTOS!$A$5:$A$1005&lt;=$A300)*MOVIMIENTOS!$E$5:$E$1005)-SUMPRODUCT((MOVIMIENTOS!$B$5:$B$1005="ENVÍO A SUPESA")*(MOVIMIENTOS!$C$5:$C$1005="P")*(MOVIMIENTOS!$D$5:$D$1005="jabas")*(MOVIMIENTOS!$A$5:$A$1005&lt;&gt;"")*(MOVIMIENTOS!$A$5:$A$1005&lt;=$A300)*MOVIMIENTOS!$E$5:$E$1005)+SUMPRODUCT((MOVIMIENTOS!$B$5:$B$1005="DEVOLUCIÓN")*(MOVIMIENTOS!$C$5:$C$1005="P")*(MOVIMIENTOS!$D$5:$D$1005="jabas")*(MOVIMIENTOS!$A$5:$A$1005&lt;&gt;"")*(MOVIMIENTOS!$A$5:$A$1005&lt;=$A300)*MOVIMIENTOS!$E$5:$E$1005)-SUMPRODUCT((MOVIMIENTOS!$B$5:$B$1005="TRASIEGO")*(MOVIMIENTOS!$C$5:$C$1005="P")*(MOVIMIENTOS!$D$5:$D$1005="jabas")*(MOVIMIENTOS!$A$5:$A$1005&lt;&gt;"")*(MOVIMIENTOS!$A$5:$A$1005&lt;=$A300)*MOVIMIENTOS!$E$5:$E$1005)-SUMPRODUCT((MOVIMIENTOS!$B$5:$B$1005="REGALO")*(MOVIMIENTOS!$C$5:$C$1005="P")*(MOVIMIENTOS!$D$5:$D$1005="jabas")*(MOVIMIENTOS!$A$5:$A$1005&lt;&gt;"")*(MOVIMIENTOS!$A$5:$A$1005&lt;=$A300)*MOVIMIENTOS!$E$5:$E$1005)-SUMPRODUCT((MOVIMIENTOS!$B$5:$B$1005="VENTA")*(MOVIMIENTOS!$C$5:$C$1005="P")*(MOVIMIENTOS!$D$5:$D$1005="jabas")*(MOVIMIENTOS!$A$5:$A$1005&lt;&gt;"")*(MOVIMIENTOS!$A$5:$A$1005&lt;=$A300)*MOVIMIENTOS!$E$5:$E$1005)+SUMPRODUCT((MOVIMIENTOS!$B$5:$B$1005="AJUSTE")*(MOVIMIENTOS!$C$5:$C$1005="P")*(MOVIMIENTOS!$D$5:$D$1005="jabas")*(MOVIMIENTOS!$A$5:$A$1005&lt;&gt;"")*(MOVIMIENTOS!$A$5:$A$1005&lt;=$A300)*MOVIMIENTOS!$E$5:$E$1005))</f>
        <v/>
      </c>
      <c r="D300" s="63" t="str">
        <f>IF($A300="","",SUMPRODUCT((MOVIMIENTOS!$B$5:$B$1005="SALDO INICIAL")*(MOVIMIENTOS!$C$5:$C$1005="C")*(MOVIMIENTOS!$D$5:$D$1005="jabas")*(MOVIMIENTOS!$A$5:$A$1005&lt;&gt;"")*(MOVIMIENTOS!$A$5:$A$1005&lt;=$A300)*MOVIMIENTOS!$E$5:$E$1005)+SUMPRODUCT((MOVIMIENTOS!$B$5:$B$1005="PROCESO")*(MOVIMIENTOS!$C$5:$C$1005="C")*(MOVIMIENTOS!$D$5:$D$1005="jabas")*(MOVIMIENTOS!$A$5:$A$1005&lt;&gt;"")*(MOVIMIENTOS!$A$5:$A$1005&lt;=$A300)*MOVIMIENTOS!$E$5:$E$1005)-SUMPRODUCT((MOVIMIENTOS!$B$5:$B$1005="ENVÍO A SUPESA")*(MOVIMIENTOS!$C$5:$C$1005="C")*(MOVIMIENTOS!$D$5:$D$1005="jabas")*(MOVIMIENTOS!$A$5:$A$1005&lt;&gt;"")*(MOVIMIENTOS!$A$5:$A$1005&lt;=$A300)*MOVIMIENTOS!$E$5:$E$1005)+SUMPRODUCT((MOVIMIENTOS!$B$5:$B$1005="DEVOLUCIÓN")*(MOVIMIENTOS!$C$5:$C$1005="C")*(MOVIMIENTOS!$D$5:$D$1005="jabas")*(MOVIMIENTOS!$A$5:$A$1005&lt;&gt;"")*(MOVIMIENTOS!$A$5:$A$1005&lt;=$A300)*MOVIMIENTOS!$E$5:$E$1005)-SUMPRODUCT((MOVIMIENTOS!$B$5:$B$1005="TRASIEGO")*(MOVIMIENTOS!$C$5:$C$1005="C")*(MOVIMIENTOS!$D$5:$D$1005="jabas")*(MOVIMIENTOS!$A$5:$A$1005&lt;&gt;"")*(MOVIMIENTOS!$A$5:$A$1005&lt;=$A300)*MOVIMIENTOS!$E$5:$E$1005)-SUMPRODUCT((MOVIMIENTOS!$B$5:$B$1005="REGALO")*(MOVIMIENTOS!$C$5:$C$1005="C")*(MOVIMIENTOS!$D$5:$D$1005="jabas")*(MOVIMIENTOS!$A$5:$A$1005&lt;&gt;"")*(MOVIMIENTOS!$A$5:$A$1005&lt;=$A300)*MOVIMIENTOS!$E$5:$E$1005)-SUMPRODUCT((MOVIMIENTOS!$B$5:$B$1005="VENTA")*(MOVIMIENTOS!$C$5:$C$1005="C")*(MOVIMIENTOS!$D$5:$D$1005="jabas")*(MOVIMIENTOS!$A$5:$A$1005&lt;&gt;"")*(MOVIMIENTOS!$A$5:$A$1005&lt;=$A300)*MOVIMIENTOS!$E$5:$E$1005)+SUMPRODUCT((MOVIMIENTOS!$B$5:$B$1005="AJUSTE")*(MOVIMIENTOS!$C$5:$C$1005="C")*(MOVIMIENTOS!$D$5:$D$1005="jabas")*(MOVIMIENTOS!$A$5:$A$1005&lt;&gt;"")*(MOVIMIENTOS!$A$5:$A$1005&lt;=$A300)*MOVIMIENTOS!$E$5:$E$1005))</f>
        <v/>
      </c>
      <c r="E300" s="63" t="str">
        <f>IF($A300="","",SUMPRODUCT((MOVIMIENTOS!$B$5:$B$1005="SALDO INICIAL")*(MOVIMIENTOS!$C$5:$C$1005="M")*(MOVIMIENTOS!$D$5:$D$1005="jabas")*(MOVIMIENTOS!$A$5:$A$1005&lt;&gt;"")*(MOVIMIENTOS!$A$5:$A$1005&lt;=$A300)*MOVIMIENTOS!$E$5:$E$1005)+SUMPRODUCT((MOVIMIENTOS!$B$5:$B$1005="PROCESO")*(MOVIMIENTOS!$C$5:$C$1005="M")*(MOVIMIENTOS!$D$5:$D$1005="jabas")*(MOVIMIENTOS!$A$5:$A$1005&lt;&gt;"")*(MOVIMIENTOS!$A$5:$A$1005&lt;=$A300)*MOVIMIENTOS!$E$5:$E$1005)-SUMPRODUCT((MOVIMIENTOS!$B$5:$B$1005="ENVÍO A SUPESA")*(MOVIMIENTOS!$C$5:$C$1005="M")*(MOVIMIENTOS!$D$5:$D$1005="jabas")*(MOVIMIENTOS!$A$5:$A$1005&lt;&gt;"")*(MOVIMIENTOS!$A$5:$A$1005&lt;=$A300)*MOVIMIENTOS!$E$5:$E$1005)+SUMPRODUCT((MOVIMIENTOS!$B$5:$B$1005="DEVOLUCIÓN")*(MOVIMIENTOS!$C$5:$C$1005="M")*(MOVIMIENTOS!$D$5:$D$1005="jabas")*(MOVIMIENTOS!$A$5:$A$1005&lt;&gt;"")*(MOVIMIENTOS!$A$5:$A$1005&lt;=$A300)*MOVIMIENTOS!$E$5:$E$1005)-SUMPRODUCT((MOVIMIENTOS!$B$5:$B$1005="TRASIEGO")*(MOVIMIENTOS!$C$5:$C$1005="M")*(MOVIMIENTOS!$D$5:$D$1005="jabas")*(MOVIMIENTOS!$A$5:$A$1005&lt;&gt;"")*(MOVIMIENTOS!$A$5:$A$1005&lt;=$A300)*MOVIMIENTOS!$E$5:$E$1005)-SUMPRODUCT((MOVIMIENTOS!$B$5:$B$1005="REGALO")*(MOVIMIENTOS!$C$5:$C$1005="M")*(MOVIMIENTOS!$D$5:$D$1005="jabas")*(MOVIMIENTOS!$A$5:$A$1005&lt;&gt;"")*(MOVIMIENTOS!$A$5:$A$1005&lt;=$A300)*MOVIMIENTOS!$E$5:$E$1005)-SUMPRODUCT((MOVIMIENTOS!$B$5:$B$1005="VENTA")*(MOVIMIENTOS!$C$5:$C$1005="M")*(MOVIMIENTOS!$D$5:$D$1005="jabas")*(MOVIMIENTOS!$A$5:$A$1005&lt;&gt;"")*(MOVIMIENTOS!$A$5:$A$1005&lt;=$A300)*MOVIMIENTOS!$E$5:$E$1005)+SUMPRODUCT((MOVIMIENTOS!$B$5:$B$1005="AJUSTE")*(MOVIMIENTOS!$C$5:$C$1005="M")*(MOVIMIENTOS!$D$5:$D$1005="jabas")*(MOVIMIENTOS!$A$5:$A$1005&lt;&gt;"")*(MOVIMIENTOS!$A$5:$A$1005&lt;=$A300)*MOVIMIENTOS!$E$5:$E$1005))</f>
        <v/>
      </c>
      <c r="F300" s="63" t="str">
        <f>IF($A300="","",SUMPRODUCT((MOVIMIENTOS!$B$5:$B$1005="SALDO INICIAL")*(MOVIMIENTOS!$C$5:$C$1005="Chancho")*(MOVIMIENTOS!$D$5:$D$1005="sacos")*(MOVIMIENTOS!$A$5:$A$1005&lt;&gt;"")*(MOVIMIENTOS!$A$5:$A$1005&lt;=$A300)*MOVIMIENTOS!$E$5:$E$1005)+SUMPRODUCT((MOVIMIENTOS!$B$5:$B$1005="PROCESO")*(MOVIMIENTOS!$C$5:$C$1005="Chancho")*(MOVIMIENTOS!$D$5:$D$1005="sacos")*(MOVIMIENTOS!$A$5:$A$1005&lt;&gt;"")*(MOVIMIENTOS!$A$5:$A$1005&lt;=$A300)*MOVIMIENTOS!$E$5:$E$1005)-SUMPRODUCT((MOVIMIENTOS!$B$5:$B$1005="VENTA CHANCHO")*(MOVIMIENTOS!$C$5:$C$1005="Chancho")*(MOVIMIENTOS!$D$5:$D$1005="sacos")*(MOVIMIENTOS!$A$5:$A$1005&lt;&gt;"")*(MOVIMIENTOS!$A$5:$A$1005&lt;=$A300)*MOVIMIENTOS!$E$5:$E$1005)-SUMPRODUCT((MOVIMIENTOS!$B$5:$B$1005="REGALO")*(MOVIMIENTOS!$C$5:$C$1005="Chancho")*(MOVIMIENTOS!$D$5:$D$1005="sacos")*(MOVIMIENTOS!$A$5:$A$1005&lt;&gt;"")*(MOVIMIENTOS!$A$5:$A$1005&lt;=$A300)*MOVIMIENTOS!$E$5:$E$1005)-SUMPRODUCT((MOVIMIENTOS!$B$5:$B$1005="VENTA")*(MOVIMIENTOS!$C$5:$C$1005="Chancho")*(MOVIMIENTOS!$D$5:$D$1005="sacos")*(MOVIMIENTOS!$A$5:$A$1005&lt;&gt;"")*(MOVIMIENTOS!$A$5:$A$1005&lt;=$A300)*MOVIMIENTOS!$E$5:$E$1005)+SUMPRODUCT((MOVIMIENTOS!$B$5:$B$1005="AJUSTE")*(MOVIMIENTOS!$C$5:$C$1005="Chancho")*(MOVIMIENTOS!$D$5:$D$1005="sacos")*(MOVIMIENTOS!$A$5:$A$1005&lt;&gt;"")*(MOVIMIENTOS!$A$5:$A$1005&lt;=$A300)*MOVIMIENTOS!$E$5:$E$1005))</f>
        <v/>
      </c>
      <c r="G300" s="95" t="str">
        <f t="shared" si="9"/>
        <v/>
      </c>
      <c r="H300" s="63" t="str">
        <f>IF($A300="","",SUMPRODUCT((((MOVIMIENTOS!$B$5:$B$1005="SALDO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300)*MOVIMIENTOS!$J$5:$J$1005))</f>
        <v/>
      </c>
      <c r="I300" s="63"/>
      <c r="J300" s="63" t="str">
        <f>IF(AND(MOVIMIENTOS!$A299&lt;&gt;"",COUNTIF(MOVIMIENTOS!$A$5:$A298,MOVIMIENTOS!$A299)=0),COUNT(J$4:J299)+1,"")</f>
        <v/>
      </c>
      <c r="K300" s="66">
        <f>MOVIMIENTOS!$A299</f>
        <v>46240</v>
      </c>
      <c r="L300" s="63"/>
      <c r="M300" s="63"/>
      <c r="N300" s="63"/>
    </row>
    <row r="301" spans="1:14" ht="15" customHeight="1" x14ac:dyDescent="0.2">
      <c r="A301" s="63" t="str">
        <f t="shared" si="8"/>
        <v/>
      </c>
      <c r="B301" s="63" t="str">
        <f>IF($A301="","",SUMPRODUCT((MOVIMIENTOS!$B$5:$B$1005="SALDO INICIAL")*(MOVIMIENTOS!$C$5:$C$1005="A")*(MOVIMIENTOS!$D$5:$D$1005="jabas")*(MOVIMIENTOS!$A$5:$A$1005&lt;&gt;"")*(MOVIMIENTOS!$A$5:$A$1005&lt;=$A301)*MOVIMIENTOS!$E$5:$E$1005)+SUMPRODUCT((MOVIMIENTOS!$B$5:$B$1005="PROCESO")*(MOVIMIENTOS!$C$5:$C$1005="A")*(MOVIMIENTOS!$D$5:$D$1005="jabas")*(MOVIMIENTOS!$A$5:$A$1005&lt;&gt;"")*(MOVIMIENTOS!$A$5:$A$1005&lt;=$A301)*MOVIMIENTOS!$E$5:$E$1005)-SUMPRODUCT((MOVIMIENTOS!$B$5:$B$1005="ENVÍO A SUPESA")*(MOVIMIENTOS!$C$5:$C$1005="A")*(MOVIMIENTOS!$D$5:$D$1005="jabas")*(MOVIMIENTOS!$A$5:$A$1005&lt;&gt;"")*(MOVIMIENTOS!$A$5:$A$1005&lt;=$A301)*MOVIMIENTOS!$E$5:$E$1005)+SUMPRODUCT((MOVIMIENTOS!$B$5:$B$1005="DEVOLUCIÓN")*(MOVIMIENTOS!$C$5:$C$1005="A")*(MOVIMIENTOS!$D$5:$D$1005="jabas")*(MOVIMIENTOS!$A$5:$A$1005&lt;&gt;"")*(MOVIMIENTOS!$A$5:$A$1005&lt;=$A301)*MOVIMIENTOS!$E$5:$E$1005)-SUMPRODUCT((MOVIMIENTOS!$B$5:$B$1005="TRASIEGO")*(MOVIMIENTOS!$C$5:$C$1005="A")*(MOVIMIENTOS!$D$5:$D$1005="jabas")*(MOVIMIENTOS!$A$5:$A$1005&lt;&gt;"")*(MOVIMIENTOS!$A$5:$A$1005&lt;=$A301)*MOVIMIENTOS!$E$5:$E$1005)-SUMPRODUCT((MOVIMIENTOS!$B$5:$B$1005="REGALO")*(MOVIMIENTOS!$C$5:$C$1005="A")*(MOVIMIENTOS!$D$5:$D$1005="jabas")*(MOVIMIENTOS!$A$5:$A$1005&lt;&gt;"")*(MOVIMIENTOS!$A$5:$A$1005&lt;=$A301)*MOVIMIENTOS!$E$5:$E$1005)-SUMPRODUCT((MOVIMIENTOS!$B$5:$B$1005="VENTA")*(MOVIMIENTOS!$C$5:$C$1005="A")*(MOVIMIENTOS!$D$5:$D$1005="jabas")*(MOVIMIENTOS!$A$5:$A$1005&lt;&gt;"")*(MOVIMIENTOS!$A$5:$A$1005&lt;=$A301)*MOVIMIENTOS!$E$5:$E$1005)+SUMPRODUCT((MOVIMIENTOS!$B$5:$B$1005="AJUSTE")*(MOVIMIENTOS!$C$5:$C$1005="A")*(MOVIMIENTOS!$D$5:$D$1005="jabas")*(MOVIMIENTOS!$A$5:$A$1005&lt;&gt;"")*(MOVIMIENTOS!$A$5:$A$1005&lt;=$A301)*MOVIMIENTOS!$E$5:$E$1005))</f>
        <v/>
      </c>
      <c r="C301" s="63" t="str">
        <f>IF($A301="","",SUMPRODUCT((MOVIMIENTOS!$B$5:$B$1005="SALDO INICIAL")*(MOVIMIENTOS!$C$5:$C$1005="P")*(MOVIMIENTOS!$D$5:$D$1005="jabas")*(MOVIMIENTOS!$A$5:$A$1005&lt;&gt;"")*(MOVIMIENTOS!$A$5:$A$1005&lt;=$A301)*MOVIMIENTOS!$E$5:$E$1005)+SUMPRODUCT((MOVIMIENTOS!$B$5:$B$1005="PROCESO")*(MOVIMIENTOS!$C$5:$C$1005="P")*(MOVIMIENTOS!$D$5:$D$1005="jabas")*(MOVIMIENTOS!$A$5:$A$1005&lt;&gt;"")*(MOVIMIENTOS!$A$5:$A$1005&lt;=$A301)*MOVIMIENTOS!$E$5:$E$1005)-SUMPRODUCT((MOVIMIENTOS!$B$5:$B$1005="ENVÍO A SUPESA")*(MOVIMIENTOS!$C$5:$C$1005="P")*(MOVIMIENTOS!$D$5:$D$1005="jabas")*(MOVIMIENTOS!$A$5:$A$1005&lt;&gt;"")*(MOVIMIENTOS!$A$5:$A$1005&lt;=$A301)*MOVIMIENTOS!$E$5:$E$1005)+SUMPRODUCT((MOVIMIENTOS!$B$5:$B$1005="DEVOLUCIÓN")*(MOVIMIENTOS!$C$5:$C$1005="P")*(MOVIMIENTOS!$D$5:$D$1005="jabas")*(MOVIMIENTOS!$A$5:$A$1005&lt;&gt;"")*(MOVIMIENTOS!$A$5:$A$1005&lt;=$A301)*MOVIMIENTOS!$E$5:$E$1005)-SUMPRODUCT((MOVIMIENTOS!$B$5:$B$1005="TRASIEGO")*(MOVIMIENTOS!$C$5:$C$1005="P")*(MOVIMIENTOS!$D$5:$D$1005="jabas")*(MOVIMIENTOS!$A$5:$A$1005&lt;&gt;"")*(MOVIMIENTOS!$A$5:$A$1005&lt;=$A301)*MOVIMIENTOS!$E$5:$E$1005)-SUMPRODUCT((MOVIMIENTOS!$B$5:$B$1005="REGALO")*(MOVIMIENTOS!$C$5:$C$1005="P")*(MOVIMIENTOS!$D$5:$D$1005="jabas")*(MOVIMIENTOS!$A$5:$A$1005&lt;&gt;"")*(MOVIMIENTOS!$A$5:$A$1005&lt;=$A301)*MOVIMIENTOS!$E$5:$E$1005)-SUMPRODUCT((MOVIMIENTOS!$B$5:$B$1005="VENTA")*(MOVIMIENTOS!$C$5:$C$1005="P")*(MOVIMIENTOS!$D$5:$D$1005="jabas")*(MOVIMIENTOS!$A$5:$A$1005&lt;&gt;"")*(MOVIMIENTOS!$A$5:$A$1005&lt;=$A301)*MOVIMIENTOS!$E$5:$E$1005)+SUMPRODUCT((MOVIMIENTOS!$B$5:$B$1005="AJUSTE")*(MOVIMIENTOS!$C$5:$C$1005="P")*(MOVIMIENTOS!$D$5:$D$1005="jabas")*(MOVIMIENTOS!$A$5:$A$1005&lt;&gt;"")*(MOVIMIENTOS!$A$5:$A$1005&lt;=$A301)*MOVIMIENTOS!$E$5:$E$1005))</f>
        <v/>
      </c>
      <c r="D301" s="63" t="str">
        <f>IF($A301="","",SUMPRODUCT((MOVIMIENTOS!$B$5:$B$1005="SALDO INICIAL")*(MOVIMIENTOS!$C$5:$C$1005="C")*(MOVIMIENTOS!$D$5:$D$1005="jabas")*(MOVIMIENTOS!$A$5:$A$1005&lt;&gt;"")*(MOVIMIENTOS!$A$5:$A$1005&lt;=$A301)*MOVIMIENTOS!$E$5:$E$1005)+SUMPRODUCT((MOVIMIENTOS!$B$5:$B$1005="PROCESO")*(MOVIMIENTOS!$C$5:$C$1005="C")*(MOVIMIENTOS!$D$5:$D$1005="jabas")*(MOVIMIENTOS!$A$5:$A$1005&lt;&gt;"")*(MOVIMIENTOS!$A$5:$A$1005&lt;=$A301)*MOVIMIENTOS!$E$5:$E$1005)-SUMPRODUCT((MOVIMIENTOS!$B$5:$B$1005="ENVÍO A SUPESA")*(MOVIMIENTOS!$C$5:$C$1005="C")*(MOVIMIENTOS!$D$5:$D$1005="jabas")*(MOVIMIENTOS!$A$5:$A$1005&lt;&gt;"")*(MOVIMIENTOS!$A$5:$A$1005&lt;=$A301)*MOVIMIENTOS!$E$5:$E$1005)+SUMPRODUCT((MOVIMIENTOS!$B$5:$B$1005="DEVOLUCIÓN")*(MOVIMIENTOS!$C$5:$C$1005="C")*(MOVIMIENTOS!$D$5:$D$1005="jabas")*(MOVIMIENTOS!$A$5:$A$1005&lt;&gt;"")*(MOVIMIENTOS!$A$5:$A$1005&lt;=$A301)*MOVIMIENTOS!$E$5:$E$1005)-SUMPRODUCT((MOVIMIENTOS!$B$5:$B$1005="TRASIEGO")*(MOVIMIENTOS!$C$5:$C$1005="C")*(MOVIMIENTOS!$D$5:$D$1005="jabas")*(MOVIMIENTOS!$A$5:$A$1005&lt;&gt;"")*(MOVIMIENTOS!$A$5:$A$1005&lt;=$A301)*MOVIMIENTOS!$E$5:$E$1005)-SUMPRODUCT((MOVIMIENTOS!$B$5:$B$1005="REGALO")*(MOVIMIENTOS!$C$5:$C$1005="C")*(MOVIMIENTOS!$D$5:$D$1005="jabas")*(MOVIMIENTOS!$A$5:$A$1005&lt;&gt;"")*(MOVIMIENTOS!$A$5:$A$1005&lt;=$A301)*MOVIMIENTOS!$E$5:$E$1005)-SUMPRODUCT((MOVIMIENTOS!$B$5:$B$1005="VENTA")*(MOVIMIENTOS!$C$5:$C$1005="C")*(MOVIMIENTOS!$D$5:$D$1005="jabas")*(MOVIMIENTOS!$A$5:$A$1005&lt;&gt;"")*(MOVIMIENTOS!$A$5:$A$1005&lt;=$A301)*MOVIMIENTOS!$E$5:$E$1005)+SUMPRODUCT((MOVIMIENTOS!$B$5:$B$1005="AJUSTE")*(MOVIMIENTOS!$C$5:$C$1005="C")*(MOVIMIENTOS!$D$5:$D$1005="jabas")*(MOVIMIENTOS!$A$5:$A$1005&lt;&gt;"")*(MOVIMIENTOS!$A$5:$A$1005&lt;=$A301)*MOVIMIENTOS!$E$5:$E$1005))</f>
        <v/>
      </c>
      <c r="E301" s="63" t="str">
        <f>IF($A301="","",SUMPRODUCT((MOVIMIENTOS!$B$5:$B$1005="SALDO INICIAL")*(MOVIMIENTOS!$C$5:$C$1005="M")*(MOVIMIENTOS!$D$5:$D$1005="jabas")*(MOVIMIENTOS!$A$5:$A$1005&lt;&gt;"")*(MOVIMIENTOS!$A$5:$A$1005&lt;=$A301)*MOVIMIENTOS!$E$5:$E$1005)+SUMPRODUCT((MOVIMIENTOS!$B$5:$B$1005="PROCESO")*(MOVIMIENTOS!$C$5:$C$1005="M")*(MOVIMIENTOS!$D$5:$D$1005="jabas")*(MOVIMIENTOS!$A$5:$A$1005&lt;&gt;"")*(MOVIMIENTOS!$A$5:$A$1005&lt;=$A301)*MOVIMIENTOS!$E$5:$E$1005)-SUMPRODUCT((MOVIMIENTOS!$B$5:$B$1005="ENVÍO A SUPESA")*(MOVIMIENTOS!$C$5:$C$1005="M")*(MOVIMIENTOS!$D$5:$D$1005="jabas")*(MOVIMIENTOS!$A$5:$A$1005&lt;&gt;"")*(MOVIMIENTOS!$A$5:$A$1005&lt;=$A301)*MOVIMIENTOS!$E$5:$E$1005)+SUMPRODUCT((MOVIMIENTOS!$B$5:$B$1005="DEVOLUCIÓN")*(MOVIMIENTOS!$C$5:$C$1005="M")*(MOVIMIENTOS!$D$5:$D$1005="jabas")*(MOVIMIENTOS!$A$5:$A$1005&lt;&gt;"")*(MOVIMIENTOS!$A$5:$A$1005&lt;=$A301)*MOVIMIENTOS!$E$5:$E$1005)-SUMPRODUCT((MOVIMIENTOS!$B$5:$B$1005="TRASIEGO")*(MOVIMIENTOS!$C$5:$C$1005="M")*(MOVIMIENTOS!$D$5:$D$1005="jabas")*(MOVIMIENTOS!$A$5:$A$1005&lt;&gt;"")*(MOVIMIENTOS!$A$5:$A$1005&lt;=$A301)*MOVIMIENTOS!$E$5:$E$1005)-SUMPRODUCT((MOVIMIENTOS!$B$5:$B$1005="REGALO")*(MOVIMIENTOS!$C$5:$C$1005="M")*(MOVIMIENTOS!$D$5:$D$1005="jabas")*(MOVIMIENTOS!$A$5:$A$1005&lt;&gt;"")*(MOVIMIENTOS!$A$5:$A$1005&lt;=$A301)*MOVIMIENTOS!$E$5:$E$1005)-SUMPRODUCT((MOVIMIENTOS!$B$5:$B$1005="VENTA")*(MOVIMIENTOS!$C$5:$C$1005="M")*(MOVIMIENTOS!$D$5:$D$1005="jabas")*(MOVIMIENTOS!$A$5:$A$1005&lt;&gt;"")*(MOVIMIENTOS!$A$5:$A$1005&lt;=$A301)*MOVIMIENTOS!$E$5:$E$1005)+SUMPRODUCT((MOVIMIENTOS!$B$5:$B$1005="AJUSTE")*(MOVIMIENTOS!$C$5:$C$1005="M")*(MOVIMIENTOS!$D$5:$D$1005="jabas")*(MOVIMIENTOS!$A$5:$A$1005&lt;&gt;"")*(MOVIMIENTOS!$A$5:$A$1005&lt;=$A301)*MOVIMIENTOS!$E$5:$E$1005))</f>
        <v/>
      </c>
      <c r="F301" s="63" t="str">
        <f>IF($A301="","",SUMPRODUCT((MOVIMIENTOS!$B$5:$B$1005="SALDO INICIAL")*(MOVIMIENTOS!$C$5:$C$1005="Chancho")*(MOVIMIENTOS!$D$5:$D$1005="sacos")*(MOVIMIENTOS!$A$5:$A$1005&lt;&gt;"")*(MOVIMIENTOS!$A$5:$A$1005&lt;=$A301)*MOVIMIENTOS!$E$5:$E$1005)+SUMPRODUCT((MOVIMIENTOS!$B$5:$B$1005="PROCESO")*(MOVIMIENTOS!$C$5:$C$1005="Chancho")*(MOVIMIENTOS!$D$5:$D$1005="sacos")*(MOVIMIENTOS!$A$5:$A$1005&lt;&gt;"")*(MOVIMIENTOS!$A$5:$A$1005&lt;=$A301)*MOVIMIENTOS!$E$5:$E$1005)-SUMPRODUCT((MOVIMIENTOS!$B$5:$B$1005="VENTA CHANCHO")*(MOVIMIENTOS!$C$5:$C$1005="Chancho")*(MOVIMIENTOS!$D$5:$D$1005="sacos")*(MOVIMIENTOS!$A$5:$A$1005&lt;&gt;"")*(MOVIMIENTOS!$A$5:$A$1005&lt;=$A301)*MOVIMIENTOS!$E$5:$E$1005)-SUMPRODUCT((MOVIMIENTOS!$B$5:$B$1005="REGALO")*(MOVIMIENTOS!$C$5:$C$1005="Chancho")*(MOVIMIENTOS!$D$5:$D$1005="sacos")*(MOVIMIENTOS!$A$5:$A$1005&lt;&gt;"")*(MOVIMIENTOS!$A$5:$A$1005&lt;=$A301)*MOVIMIENTOS!$E$5:$E$1005)-SUMPRODUCT((MOVIMIENTOS!$B$5:$B$1005="VENTA")*(MOVIMIENTOS!$C$5:$C$1005="Chancho")*(MOVIMIENTOS!$D$5:$D$1005="sacos")*(MOVIMIENTOS!$A$5:$A$1005&lt;&gt;"")*(MOVIMIENTOS!$A$5:$A$1005&lt;=$A301)*MOVIMIENTOS!$E$5:$E$1005)+SUMPRODUCT((MOVIMIENTOS!$B$5:$B$1005="AJUSTE")*(MOVIMIENTOS!$C$5:$C$1005="Chancho")*(MOVIMIENTOS!$D$5:$D$1005="sacos")*(MOVIMIENTOS!$A$5:$A$1005&lt;&gt;"")*(MOVIMIENTOS!$A$5:$A$1005&lt;=$A301)*MOVIMIENTOS!$E$5:$E$1005))</f>
        <v/>
      </c>
      <c r="G301" s="95" t="str">
        <f t="shared" si="9"/>
        <v/>
      </c>
      <c r="H301" s="63" t="str">
        <f>IF($A301="","",SUMPRODUCT((((MOVIMIENTOS!$B$5:$B$1005="SALDO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301)*MOVIMIENTOS!$J$5:$J$1005))</f>
        <v/>
      </c>
      <c r="I301" s="63"/>
      <c r="J301" s="63" t="str">
        <f>IF(AND(MOVIMIENTOS!$A300&lt;&gt;"",COUNTIF(MOVIMIENTOS!$A$5:$A299,MOVIMIENTOS!$A300)=0),COUNT(J$4:J300)+1,"")</f>
        <v/>
      </c>
      <c r="K301" s="66">
        <f>MOVIMIENTOS!$A300</f>
        <v>46240</v>
      </c>
      <c r="L301" s="63"/>
      <c r="M301" s="63"/>
      <c r="N301" s="63"/>
    </row>
    <row r="302" spans="1:14" ht="15" customHeight="1" x14ac:dyDescent="0.2">
      <c r="A302" s="63" t="str">
        <f t="shared" si="8"/>
        <v/>
      </c>
      <c r="B302" s="63" t="str">
        <f>IF($A302="","",SUMPRODUCT((MOVIMIENTOS!$B$5:$B$1005="SALDO INICIAL")*(MOVIMIENTOS!$C$5:$C$1005="A")*(MOVIMIENTOS!$D$5:$D$1005="jabas")*(MOVIMIENTOS!$A$5:$A$1005&lt;&gt;"")*(MOVIMIENTOS!$A$5:$A$1005&lt;=$A302)*MOVIMIENTOS!$E$5:$E$1005)+SUMPRODUCT((MOVIMIENTOS!$B$5:$B$1005="PROCESO")*(MOVIMIENTOS!$C$5:$C$1005="A")*(MOVIMIENTOS!$D$5:$D$1005="jabas")*(MOVIMIENTOS!$A$5:$A$1005&lt;&gt;"")*(MOVIMIENTOS!$A$5:$A$1005&lt;=$A302)*MOVIMIENTOS!$E$5:$E$1005)-SUMPRODUCT((MOVIMIENTOS!$B$5:$B$1005="ENVÍO A SUPESA")*(MOVIMIENTOS!$C$5:$C$1005="A")*(MOVIMIENTOS!$D$5:$D$1005="jabas")*(MOVIMIENTOS!$A$5:$A$1005&lt;&gt;"")*(MOVIMIENTOS!$A$5:$A$1005&lt;=$A302)*MOVIMIENTOS!$E$5:$E$1005)+SUMPRODUCT((MOVIMIENTOS!$B$5:$B$1005="DEVOLUCIÓN")*(MOVIMIENTOS!$C$5:$C$1005="A")*(MOVIMIENTOS!$D$5:$D$1005="jabas")*(MOVIMIENTOS!$A$5:$A$1005&lt;&gt;"")*(MOVIMIENTOS!$A$5:$A$1005&lt;=$A302)*MOVIMIENTOS!$E$5:$E$1005)-SUMPRODUCT((MOVIMIENTOS!$B$5:$B$1005="TRASIEGO")*(MOVIMIENTOS!$C$5:$C$1005="A")*(MOVIMIENTOS!$D$5:$D$1005="jabas")*(MOVIMIENTOS!$A$5:$A$1005&lt;&gt;"")*(MOVIMIENTOS!$A$5:$A$1005&lt;=$A302)*MOVIMIENTOS!$E$5:$E$1005)-SUMPRODUCT((MOVIMIENTOS!$B$5:$B$1005="REGALO")*(MOVIMIENTOS!$C$5:$C$1005="A")*(MOVIMIENTOS!$D$5:$D$1005="jabas")*(MOVIMIENTOS!$A$5:$A$1005&lt;&gt;"")*(MOVIMIENTOS!$A$5:$A$1005&lt;=$A302)*MOVIMIENTOS!$E$5:$E$1005)-SUMPRODUCT((MOVIMIENTOS!$B$5:$B$1005="VENTA")*(MOVIMIENTOS!$C$5:$C$1005="A")*(MOVIMIENTOS!$D$5:$D$1005="jabas")*(MOVIMIENTOS!$A$5:$A$1005&lt;&gt;"")*(MOVIMIENTOS!$A$5:$A$1005&lt;=$A302)*MOVIMIENTOS!$E$5:$E$1005)+SUMPRODUCT((MOVIMIENTOS!$B$5:$B$1005="AJUSTE")*(MOVIMIENTOS!$C$5:$C$1005="A")*(MOVIMIENTOS!$D$5:$D$1005="jabas")*(MOVIMIENTOS!$A$5:$A$1005&lt;&gt;"")*(MOVIMIENTOS!$A$5:$A$1005&lt;=$A302)*MOVIMIENTOS!$E$5:$E$1005))</f>
        <v/>
      </c>
      <c r="C302" s="63" t="str">
        <f>IF($A302="","",SUMPRODUCT((MOVIMIENTOS!$B$5:$B$1005="SALDO INICIAL")*(MOVIMIENTOS!$C$5:$C$1005="P")*(MOVIMIENTOS!$D$5:$D$1005="jabas")*(MOVIMIENTOS!$A$5:$A$1005&lt;&gt;"")*(MOVIMIENTOS!$A$5:$A$1005&lt;=$A302)*MOVIMIENTOS!$E$5:$E$1005)+SUMPRODUCT((MOVIMIENTOS!$B$5:$B$1005="PROCESO")*(MOVIMIENTOS!$C$5:$C$1005="P")*(MOVIMIENTOS!$D$5:$D$1005="jabas")*(MOVIMIENTOS!$A$5:$A$1005&lt;&gt;"")*(MOVIMIENTOS!$A$5:$A$1005&lt;=$A302)*MOVIMIENTOS!$E$5:$E$1005)-SUMPRODUCT((MOVIMIENTOS!$B$5:$B$1005="ENVÍO A SUPESA")*(MOVIMIENTOS!$C$5:$C$1005="P")*(MOVIMIENTOS!$D$5:$D$1005="jabas")*(MOVIMIENTOS!$A$5:$A$1005&lt;&gt;"")*(MOVIMIENTOS!$A$5:$A$1005&lt;=$A302)*MOVIMIENTOS!$E$5:$E$1005)+SUMPRODUCT((MOVIMIENTOS!$B$5:$B$1005="DEVOLUCIÓN")*(MOVIMIENTOS!$C$5:$C$1005="P")*(MOVIMIENTOS!$D$5:$D$1005="jabas")*(MOVIMIENTOS!$A$5:$A$1005&lt;&gt;"")*(MOVIMIENTOS!$A$5:$A$1005&lt;=$A302)*MOVIMIENTOS!$E$5:$E$1005)-SUMPRODUCT((MOVIMIENTOS!$B$5:$B$1005="TRASIEGO")*(MOVIMIENTOS!$C$5:$C$1005="P")*(MOVIMIENTOS!$D$5:$D$1005="jabas")*(MOVIMIENTOS!$A$5:$A$1005&lt;&gt;"")*(MOVIMIENTOS!$A$5:$A$1005&lt;=$A302)*MOVIMIENTOS!$E$5:$E$1005)-SUMPRODUCT((MOVIMIENTOS!$B$5:$B$1005="REGALO")*(MOVIMIENTOS!$C$5:$C$1005="P")*(MOVIMIENTOS!$D$5:$D$1005="jabas")*(MOVIMIENTOS!$A$5:$A$1005&lt;&gt;"")*(MOVIMIENTOS!$A$5:$A$1005&lt;=$A302)*MOVIMIENTOS!$E$5:$E$1005)-SUMPRODUCT((MOVIMIENTOS!$B$5:$B$1005="VENTA")*(MOVIMIENTOS!$C$5:$C$1005="P")*(MOVIMIENTOS!$D$5:$D$1005="jabas")*(MOVIMIENTOS!$A$5:$A$1005&lt;&gt;"")*(MOVIMIENTOS!$A$5:$A$1005&lt;=$A302)*MOVIMIENTOS!$E$5:$E$1005)+SUMPRODUCT((MOVIMIENTOS!$B$5:$B$1005="AJUSTE")*(MOVIMIENTOS!$C$5:$C$1005="P")*(MOVIMIENTOS!$D$5:$D$1005="jabas")*(MOVIMIENTOS!$A$5:$A$1005&lt;&gt;"")*(MOVIMIENTOS!$A$5:$A$1005&lt;=$A302)*MOVIMIENTOS!$E$5:$E$1005))</f>
        <v/>
      </c>
      <c r="D302" s="63" t="str">
        <f>IF($A302="","",SUMPRODUCT((MOVIMIENTOS!$B$5:$B$1005="SALDO INICIAL")*(MOVIMIENTOS!$C$5:$C$1005="C")*(MOVIMIENTOS!$D$5:$D$1005="jabas")*(MOVIMIENTOS!$A$5:$A$1005&lt;&gt;"")*(MOVIMIENTOS!$A$5:$A$1005&lt;=$A302)*MOVIMIENTOS!$E$5:$E$1005)+SUMPRODUCT((MOVIMIENTOS!$B$5:$B$1005="PROCESO")*(MOVIMIENTOS!$C$5:$C$1005="C")*(MOVIMIENTOS!$D$5:$D$1005="jabas")*(MOVIMIENTOS!$A$5:$A$1005&lt;&gt;"")*(MOVIMIENTOS!$A$5:$A$1005&lt;=$A302)*MOVIMIENTOS!$E$5:$E$1005)-SUMPRODUCT((MOVIMIENTOS!$B$5:$B$1005="ENVÍO A SUPESA")*(MOVIMIENTOS!$C$5:$C$1005="C")*(MOVIMIENTOS!$D$5:$D$1005="jabas")*(MOVIMIENTOS!$A$5:$A$1005&lt;&gt;"")*(MOVIMIENTOS!$A$5:$A$1005&lt;=$A302)*MOVIMIENTOS!$E$5:$E$1005)+SUMPRODUCT((MOVIMIENTOS!$B$5:$B$1005="DEVOLUCIÓN")*(MOVIMIENTOS!$C$5:$C$1005="C")*(MOVIMIENTOS!$D$5:$D$1005="jabas")*(MOVIMIENTOS!$A$5:$A$1005&lt;&gt;"")*(MOVIMIENTOS!$A$5:$A$1005&lt;=$A302)*MOVIMIENTOS!$E$5:$E$1005)-SUMPRODUCT((MOVIMIENTOS!$B$5:$B$1005="TRASIEGO")*(MOVIMIENTOS!$C$5:$C$1005="C")*(MOVIMIENTOS!$D$5:$D$1005="jabas")*(MOVIMIENTOS!$A$5:$A$1005&lt;&gt;"")*(MOVIMIENTOS!$A$5:$A$1005&lt;=$A302)*MOVIMIENTOS!$E$5:$E$1005)-SUMPRODUCT((MOVIMIENTOS!$B$5:$B$1005="REGALO")*(MOVIMIENTOS!$C$5:$C$1005="C")*(MOVIMIENTOS!$D$5:$D$1005="jabas")*(MOVIMIENTOS!$A$5:$A$1005&lt;&gt;"")*(MOVIMIENTOS!$A$5:$A$1005&lt;=$A302)*MOVIMIENTOS!$E$5:$E$1005)-SUMPRODUCT((MOVIMIENTOS!$B$5:$B$1005="VENTA")*(MOVIMIENTOS!$C$5:$C$1005="C")*(MOVIMIENTOS!$D$5:$D$1005="jabas")*(MOVIMIENTOS!$A$5:$A$1005&lt;&gt;"")*(MOVIMIENTOS!$A$5:$A$1005&lt;=$A302)*MOVIMIENTOS!$E$5:$E$1005)+SUMPRODUCT((MOVIMIENTOS!$B$5:$B$1005="AJUSTE")*(MOVIMIENTOS!$C$5:$C$1005="C")*(MOVIMIENTOS!$D$5:$D$1005="jabas")*(MOVIMIENTOS!$A$5:$A$1005&lt;&gt;"")*(MOVIMIENTOS!$A$5:$A$1005&lt;=$A302)*MOVIMIENTOS!$E$5:$E$1005))</f>
        <v/>
      </c>
      <c r="E302" s="63" t="str">
        <f>IF($A302="","",SUMPRODUCT((MOVIMIENTOS!$B$5:$B$1005="SALDO INICIAL")*(MOVIMIENTOS!$C$5:$C$1005="M")*(MOVIMIENTOS!$D$5:$D$1005="jabas")*(MOVIMIENTOS!$A$5:$A$1005&lt;&gt;"")*(MOVIMIENTOS!$A$5:$A$1005&lt;=$A302)*MOVIMIENTOS!$E$5:$E$1005)+SUMPRODUCT((MOVIMIENTOS!$B$5:$B$1005="PROCESO")*(MOVIMIENTOS!$C$5:$C$1005="M")*(MOVIMIENTOS!$D$5:$D$1005="jabas")*(MOVIMIENTOS!$A$5:$A$1005&lt;&gt;"")*(MOVIMIENTOS!$A$5:$A$1005&lt;=$A302)*MOVIMIENTOS!$E$5:$E$1005)-SUMPRODUCT((MOVIMIENTOS!$B$5:$B$1005="ENVÍO A SUPESA")*(MOVIMIENTOS!$C$5:$C$1005="M")*(MOVIMIENTOS!$D$5:$D$1005="jabas")*(MOVIMIENTOS!$A$5:$A$1005&lt;&gt;"")*(MOVIMIENTOS!$A$5:$A$1005&lt;=$A302)*MOVIMIENTOS!$E$5:$E$1005)+SUMPRODUCT((MOVIMIENTOS!$B$5:$B$1005="DEVOLUCIÓN")*(MOVIMIENTOS!$C$5:$C$1005="M")*(MOVIMIENTOS!$D$5:$D$1005="jabas")*(MOVIMIENTOS!$A$5:$A$1005&lt;&gt;"")*(MOVIMIENTOS!$A$5:$A$1005&lt;=$A302)*MOVIMIENTOS!$E$5:$E$1005)-SUMPRODUCT((MOVIMIENTOS!$B$5:$B$1005="TRASIEGO")*(MOVIMIENTOS!$C$5:$C$1005="M")*(MOVIMIENTOS!$D$5:$D$1005="jabas")*(MOVIMIENTOS!$A$5:$A$1005&lt;&gt;"")*(MOVIMIENTOS!$A$5:$A$1005&lt;=$A302)*MOVIMIENTOS!$E$5:$E$1005)-SUMPRODUCT((MOVIMIENTOS!$B$5:$B$1005="REGALO")*(MOVIMIENTOS!$C$5:$C$1005="M")*(MOVIMIENTOS!$D$5:$D$1005="jabas")*(MOVIMIENTOS!$A$5:$A$1005&lt;&gt;"")*(MOVIMIENTOS!$A$5:$A$1005&lt;=$A302)*MOVIMIENTOS!$E$5:$E$1005)-SUMPRODUCT((MOVIMIENTOS!$B$5:$B$1005="VENTA")*(MOVIMIENTOS!$C$5:$C$1005="M")*(MOVIMIENTOS!$D$5:$D$1005="jabas")*(MOVIMIENTOS!$A$5:$A$1005&lt;&gt;"")*(MOVIMIENTOS!$A$5:$A$1005&lt;=$A302)*MOVIMIENTOS!$E$5:$E$1005)+SUMPRODUCT((MOVIMIENTOS!$B$5:$B$1005="AJUSTE")*(MOVIMIENTOS!$C$5:$C$1005="M")*(MOVIMIENTOS!$D$5:$D$1005="jabas")*(MOVIMIENTOS!$A$5:$A$1005&lt;&gt;"")*(MOVIMIENTOS!$A$5:$A$1005&lt;=$A302)*MOVIMIENTOS!$E$5:$E$1005))</f>
        <v/>
      </c>
      <c r="F302" s="63" t="str">
        <f>IF($A302="","",SUMPRODUCT((MOVIMIENTOS!$B$5:$B$1005="SALDO INICIAL")*(MOVIMIENTOS!$C$5:$C$1005="Chancho")*(MOVIMIENTOS!$D$5:$D$1005="sacos")*(MOVIMIENTOS!$A$5:$A$1005&lt;&gt;"")*(MOVIMIENTOS!$A$5:$A$1005&lt;=$A302)*MOVIMIENTOS!$E$5:$E$1005)+SUMPRODUCT((MOVIMIENTOS!$B$5:$B$1005="PROCESO")*(MOVIMIENTOS!$C$5:$C$1005="Chancho")*(MOVIMIENTOS!$D$5:$D$1005="sacos")*(MOVIMIENTOS!$A$5:$A$1005&lt;&gt;"")*(MOVIMIENTOS!$A$5:$A$1005&lt;=$A302)*MOVIMIENTOS!$E$5:$E$1005)-SUMPRODUCT((MOVIMIENTOS!$B$5:$B$1005="VENTA CHANCHO")*(MOVIMIENTOS!$C$5:$C$1005="Chancho")*(MOVIMIENTOS!$D$5:$D$1005="sacos")*(MOVIMIENTOS!$A$5:$A$1005&lt;&gt;"")*(MOVIMIENTOS!$A$5:$A$1005&lt;=$A302)*MOVIMIENTOS!$E$5:$E$1005)-SUMPRODUCT((MOVIMIENTOS!$B$5:$B$1005="REGALO")*(MOVIMIENTOS!$C$5:$C$1005="Chancho")*(MOVIMIENTOS!$D$5:$D$1005="sacos")*(MOVIMIENTOS!$A$5:$A$1005&lt;&gt;"")*(MOVIMIENTOS!$A$5:$A$1005&lt;=$A302)*MOVIMIENTOS!$E$5:$E$1005)-SUMPRODUCT((MOVIMIENTOS!$B$5:$B$1005="VENTA")*(MOVIMIENTOS!$C$5:$C$1005="Chancho")*(MOVIMIENTOS!$D$5:$D$1005="sacos")*(MOVIMIENTOS!$A$5:$A$1005&lt;&gt;"")*(MOVIMIENTOS!$A$5:$A$1005&lt;=$A302)*MOVIMIENTOS!$E$5:$E$1005)+SUMPRODUCT((MOVIMIENTOS!$B$5:$B$1005="AJUSTE")*(MOVIMIENTOS!$C$5:$C$1005="Chancho")*(MOVIMIENTOS!$D$5:$D$1005="sacos")*(MOVIMIENTOS!$A$5:$A$1005&lt;&gt;"")*(MOVIMIENTOS!$A$5:$A$1005&lt;=$A302)*MOVIMIENTOS!$E$5:$E$1005))</f>
        <v/>
      </c>
      <c r="G302" s="95" t="str">
        <f t="shared" si="9"/>
        <v/>
      </c>
      <c r="H302" s="63" t="str">
        <f>IF($A302="","",SUMPRODUCT((((MOVIMIENTOS!$B$5:$B$1005="SALDO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302)*MOVIMIENTOS!$J$5:$J$1005))</f>
        <v/>
      </c>
      <c r="I302" s="63"/>
      <c r="J302" s="63" t="str">
        <f>IF(AND(MOVIMIENTOS!$A301&lt;&gt;"",COUNTIF(MOVIMIENTOS!$A$5:$A300,MOVIMIENTOS!$A301)=0),COUNT(J$4:J301)+1,"")</f>
        <v/>
      </c>
      <c r="K302" s="66">
        <f>MOVIMIENTOS!$A301</f>
        <v>46240</v>
      </c>
      <c r="L302" s="63"/>
      <c r="M302" s="63"/>
      <c r="N302" s="63"/>
    </row>
    <row r="303" spans="1:14" ht="15" customHeight="1" x14ac:dyDescent="0.2">
      <c r="A303" s="63" t="str">
        <f t="shared" si="8"/>
        <v/>
      </c>
      <c r="B303" s="63" t="str">
        <f>IF($A303="","",SUMPRODUCT((MOVIMIENTOS!$B$5:$B$1005="SALDO INICIAL")*(MOVIMIENTOS!$C$5:$C$1005="A")*(MOVIMIENTOS!$D$5:$D$1005="jabas")*(MOVIMIENTOS!$A$5:$A$1005&lt;&gt;"")*(MOVIMIENTOS!$A$5:$A$1005&lt;=$A303)*MOVIMIENTOS!$E$5:$E$1005)+SUMPRODUCT((MOVIMIENTOS!$B$5:$B$1005="PROCESO")*(MOVIMIENTOS!$C$5:$C$1005="A")*(MOVIMIENTOS!$D$5:$D$1005="jabas")*(MOVIMIENTOS!$A$5:$A$1005&lt;&gt;"")*(MOVIMIENTOS!$A$5:$A$1005&lt;=$A303)*MOVIMIENTOS!$E$5:$E$1005)-SUMPRODUCT((MOVIMIENTOS!$B$5:$B$1005="ENVÍO A SUPESA")*(MOVIMIENTOS!$C$5:$C$1005="A")*(MOVIMIENTOS!$D$5:$D$1005="jabas")*(MOVIMIENTOS!$A$5:$A$1005&lt;&gt;"")*(MOVIMIENTOS!$A$5:$A$1005&lt;=$A303)*MOVIMIENTOS!$E$5:$E$1005)+SUMPRODUCT((MOVIMIENTOS!$B$5:$B$1005="DEVOLUCIÓN")*(MOVIMIENTOS!$C$5:$C$1005="A")*(MOVIMIENTOS!$D$5:$D$1005="jabas")*(MOVIMIENTOS!$A$5:$A$1005&lt;&gt;"")*(MOVIMIENTOS!$A$5:$A$1005&lt;=$A303)*MOVIMIENTOS!$E$5:$E$1005)-SUMPRODUCT((MOVIMIENTOS!$B$5:$B$1005="TRASIEGO")*(MOVIMIENTOS!$C$5:$C$1005="A")*(MOVIMIENTOS!$D$5:$D$1005="jabas")*(MOVIMIENTOS!$A$5:$A$1005&lt;&gt;"")*(MOVIMIENTOS!$A$5:$A$1005&lt;=$A303)*MOVIMIENTOS!$E$5:$E$1005)-SUMPRODUCT((MOVIMIENTOS!$B$5:$B$1005="REGALO")*(MOVIMIENTOS!$C$5:$C$1005="A")*(MOVIMIENTOS!$D$5:$D$1005="jabas")*(MOVIMIENTOS!$A$5:$A$1005&lt;&gt;"")*(MOVIMIENTOS!$A$5:$A$1005&lt;=$A303)*MOVIMIENTOS!$E$5:$E$1005)-SUMPRODUCT((MOVIMIENTOS!$B$5:$B$1005="VENTA")*(MOVIMIENTOS!$C$5:$C$1005="A")*(MOVIMIENTOS!$D$5:$D$1005="jabas")*(MOVIMIENTOS!$A$5:$A$1005&lt;&gt;"")*(MOVIMIENTOS!$A$5:$A$1005&lt;=$A303)*MOVIMIENTOS!$E$5:$E$1005)+SUMPRODUCT((MOVIMIENTOS!$B$5:$B$1005="AJUSTE")*(MOVIMIENTOS!$C$5:$C$1005="A")*(MOVIMIENTOS!$D$5:$D$1005="jabas")*(MOVIMIENTOS!$A$5:$A$1005&lt;&gt;"")*(MOVIMIENTOS!$A$5:$A$1005&lt;=$A303)*MOVIMIENTOS!$E$5:$E$1005))</f>
        <v/>
      </c>
      <c r="C303" s="63" t="str">
        <f>IF($A303="","",SUMPRODUCT((MOVIMIENTOS!$B$5:$B$1005="SALDO INICIAL")*(MOVIMIENTOS!$C$5:$C$1005="P")*(MOVIMIENTOS!$D$5:$D$1005="jabas")*(MOVIMIENTOS!$A$5:$A$1005&lt;&gt;"")*(MOVIMIENTOS!$A$5:$A$1005&lt;=$A303)*MOVIMIENTOS!$E$5:$E$1005)+SUMPRODUCT((MOVIMIENTOS!$B$5:$B$1005="PROCESO")*(MOVIMIENTOS!$C$5:$C$1005="P")*(MOVIMIENTOS!$D$5:$D$1005="jabas")*(MOVIMIENTOS!$A$5:$A$1005&lt;&gt;"")*(MOVIMIENTOS!$A$5:$A$1005&lt;=$A303)*MOVIMIENTOS!$E$5:$E$1005)-SUMPRODUCT((MOVIMIENTOS!$B$5:$B$1005="ENVÍO A SUPESA")*(MOVIMIENTOS!$C$5:$C$1005="P")*(MOVIMIENTOS!$D$5:$D$1005="jabas")*(MOVIMIENTOS!$A$5:$A$1005&lt;&gt;"")*(MOVIMIENTOS!$A$5:$A$1005&lt;=$A303)*MOVIMIENTOS!$E$5:$E$1005)+SUMPRODUCT((MOVIMIENTOS!$B$5:$B$1005="DEVOLUCIÓN")*(MOVIMIENTOS!$C$5:$C$1005="P")*(MOVIMIENTOS!$D$5:$D$1005="jabas")*(MOVIMIENTOS!$A$5:$A$1005&lt;&gt;"")*(MOVIMIENTOS!$A$5:$A$1005&lt;=$A303)*MOVIMIENTOS!$E$5:$E$1005)-SUMPRODUCT((MOVIMIENTOS!$B$5:$B$1005="TRASIEGO")*(MOVIMIENTOS!$C$5:$C$1005="P")*(MOVIMIENTOS!$D$5:$D$1005="jabas")*(MOVIMIENTOS!$A$5:$A$1005&lt;&gt;"")*(MOVIMIENTOS!$A$5:$A$1005&lt;=$A303)*MOVIMIENTOS!$E$5:$E$1005)-SUMPRODUCT((MOVIMIENTOS!$B$5:$B$1005="REGALO")*(MOVIMIENTOS!$C$5:$C$1005="P")*(MOVIMIENTOS!$D$5:$D$1005="jabas")*(MOVIMIENTOS!$A$5:$A$1005&lt;&gt;"")*(MOVIMIENTOS!$A$5:$A$1005&lt;=$A303)*MOVIMIENTOS!$E$5:$E$1005)-SUMPRODUCT((MOVIMIENTOS!$B$5:$B$1005="VENTA")*(MOVIMIENTOS!$C$5:$C$1005="P")*(MOVIMIENTOS!$D$5:$D$1005="jabas")*(MOVIMIENTOS!$A$5:$A$1005&lt;&gt;"")*(MOVIMIENTOS!$A$5:$A$1005&lt;=$A303)*MOVIMIENTOS!$E$5:$E$1005)+SUMPRODUCT((MOVIMIENTOS!$B$5:$B$1005="AJUSTE")*(MOVIMIENTOS!$C$5:$C$1005="P")*(MOVIMIENTOS!$D$5:$D$1005="jabas")*(MOVIMIENTOS!$A$5:$A$1005&lt;&gt;"")*(MOVIMIENTOS!$A$5:$A$1005&lt;=$A303)*MOVIMIENTOS!$E$5:$E$1005))</f>
        <v/>
      </c>
      <c r="D303" s="63" t="str">
        <f>IF($A303="","",SUMPRODUCT((MOVIMIENTOS!$B$5:$B$1005="SALDO INICIAL")*(MOVIMIENTOS!$C$5:$C$1005="C")*(MOVIMIENTOS!$D$5:$D$1005="jabas")*(MOVIMIENTOS!$A$5:$A$1005&lt;&gt;"")*(MOVIMIENTOS!$A$5:$A$1005&lt;=$A303)*MOVIMIENTOS!$E$5:$E$1005)+SUMPRODUCT((MOVIMIENTOS!$B$5:$B$1005="PROCESO")*(MOVIMIENTOS!$C$5:$C$1005="C")*(MOVIMIENTOS!$D$5:$D$1005="jabas")*(MOVIMIENTOS!$A$5:$A$1005&lt;&gt;"")*(MOVIMIENTOS!$A$5:$A$1005&lt;=$A303)*MOVIMIENTOS!$E$5:$E$1005)-SUMPRODUCT((MOVIMIENTOS!$B$5:$B$1005="ENVÍO A SUPESA")*(MOVIMIENTOS!$C$5:$C$1005="C")*(MOVIMIENTOS!$D$5:$D$1005="jabas")*(MOVIMIENTOS!$A$5:$A$1005&lt;&gt;"")*(MOVIMIENTOS!$A$5:$A$1005&lt;=$A303)*MOVIMIENTOS!$E$5:$E$1005)+SUMPRODUCT((MOVIMIENTOS!$B$5:$B$1005="DEVOLUCIÓN")*(MOVIMIENTOS!$C$5:$C$1005="C")*(MOVIMIENTOS!$D$5:$D$1005="jabas")*(MOVIMIENTOS!$A$5:$A$1005&lt;&gt;"")*(MOVIMIENTOS!$A$5:$A$1005&lt;=$A303)*MOVIMIENTOS!$E$5:$E$1005)-SUMPRODUCT((MOVIMIENTOS!$B$5:$B$1005="TRASIEGO")*(MOVIMIENTOS!$C$5:$C$1005="C")*(MOVIMIENTOS!$D$5:$D$1005="jabas")*(MOVIMIENTOS!$A$5:$A$1005&lt;&gt;"")*(MOVIMIENTOS!$A$5:$A$1005&lt;=$A303)*MOVIMIENTOS!$E$5:$E$1005)-SUMPRODUCT((MOVIMIENTOS!$B$5:$B$1005="REGALO")*(MOVIMIENTOS!$C$5:$C$1005="C")*(MOVIMIENTOS!$D$5:$D$1005="jabas")*(MOVIMIENTOS!$A$5:$A$1005&lt;&gt;"")*(MOVIMIENTOS!$A$5:$A$1005&lt;=$A303)*MOVIMIENTOS!$E$5:$E$1005)-SUMPRODUCT((MOVIMIENTOS!$B$5:$B$1005="VENTA")*(MOVIMIENTOS!$C$5:$C$1005="C")*(MOVIMIENTOS!$D$5:$D$1005="jabas")*(MOVIMIENTOS!$A$5:$A$1005&lt;&gt;"")*(MOVIMIENTOS!$A$5:$A$1005&lt;=$A303)*MOVIMIENTOS!$E$5:$E$1005)+SUMPRODUCT((MOVIMIENTOS!$B$5:$B$1005="AJUSTE")*(MOVIMIENTOS!$C$5:$C$1005="C")*(MOVIMIENTOS!$D$5:$D$1005="jabas")*(MOVIMIENTOS!$A$5:$A$1005&lt;&gt;"")*(MOVIMIENTOS!$A$5:$A$1005&lt;=$A303)*MOVIMIENTOS!$E$5:$E$1005))</f>
        <v/>
      </c>
      <c r="E303" s="63" t="str">
        <f>IF($A303="","",SUMPRODUCT((MOVIMIENTOS!$B$5:$B$1005="SALDO INICIAL")*(MOVIMIENTOS!$C$5:$C$1005="M")*(MOVIMIENTOS!$D$5:$D$1005="jabas")*(MOVIMIENTOS!$A$5:$A$1005&lt;&gt;"")*(MOVIMIENTOS!$A$5:$A$1005&lt;=$A303)*MOVIMIENTOS!$E$5:$E$1005)+SUMPRODUCT((MOVIMIENTOS!$B$5:$B$1005="PROCESO")*(MOVIMIENTOS!$C$5:$C$1005="M")*(MOVIMIENTOS!$D$5:$D$1005="jabas")*(MOVIMIENTOS!$A$5:$A$1005&lt;&gt;"")*(MOVIMIENTOS!$A$5:$A$1005&lt;=$A303)*MOVIMIENTOS!$E$5:$E$1005)-SUMPRODUCT((MOVIMIENTOS!$B$5:$B$1005="ENVÍO A SUPESA")*(MOVIMIENTOS!$C$5:$C$1005="M")*(MOVIMIENTOS!$D$5:$D$1005="jabas")*(MOVIMIENTOS!$A$5:$A$1005&lt;&gt;"")*(MOVIMIENTOS!$A$5:$A$1005&lt;=$A303)*MOVIMIENTOS!$E$5:$E$1005)+SUMPRODUCT((MOVIMIENTOS!$B$5:$B$1005="DEVOLUCIÓN")*(MOVIMIENTOS!$C$5:$C$1005="M")*(MOVIMIENTOS!$D$5:$D$1005="jabas")*(MOVIMIENTOS!$A$5:$A$1005&lt;&gt;"")*(MOVIMIENTOS!$A$5:$A$1005&lt;=$A303)*MOVIMIENTOS!$E$5:$E$1005)-SUMPRODUCT((MOVIMIENTOS!$B$5:$B$1005="TRASIEGO")*(MOVIMIENTOS!$C$5:$C$1005="M")*(MOVIMIENTOS!$D$5:$D$1005="jabas")*(MOVIMIENTOS!$A$5:$A$1005&lt;&gt;"")*(MOVIMIENTOS!$A$5:$A$1005&lt;=$A303)*MOVIMIENTOS!$E$5:$E$1005)-SUMPRODUCT((MOVIMIENTOS!$B$5:$B$1005="REGALO")*(MOVIMIENTOS!$C$5:$C$1005="M")*(MOVIMIENTOS!$D$5:$D$1005="jabas")*(MOVIMIENTOS!$A$5:$A$1005&lt;&gt;"")*(MOVIMIENTOS!$A$5:$A$1005&lt;=$A303)*MOVIMIENTOS!$E$5:$E$1005)-SUMPRODUCT((MOVIMIENTOS!$B$5:$B$1005="VENTA")*(MOVIMIENTOS!$C$5:$C$1005="M")*(MOVIMIENTOS!$D$5:$D$1005="jabas")*(MOVIMIENTOS!$A$5:$A$1005&lt;&gt;"")*(MOVIMIENTOS!$A$5:$A$1005&lt;=$A303)*MOVIMIENTOS!$E$5:$E$1005)+SUMPRODUCT((MOVIMIENTOS!$B$5:$B$1005="AJUSTE")*(MOVIMIENTOS!$C$5:$C$1005="M")*(MOVIMIENTOS!$D$5:$D$1005="jabas")*(MOVIMIENTOS!$A$5:$A$1005&lt;&gt;"")*(MOVIMIENTOS!$A$5:$A$1005&lt;=$A303)*MOVIMIENTOS!$E$5:$E$1005))</f>
        <v/>
      </c>
      <c r="F303" s="63" t="str">
        <f>IF($A303="","",SUMPRODUCT((MOVIMIENTOS!$B$5:$B$1005="SALDO INICIAL")*(MOVIMIENTOS!$C$5:$C$1005="Chancho")*(MOVIMIENTOS!$D$5:$D$1005="sacos")*(MOVIMIENTOS!$A$5:$A$1005&lt;&gt;"")*(MOVIMIENTOS!$A$5:$A$1005&lt;=$A303)*MOVIMIENTOS!$E$5:$E$1005)+SUMPRODUCT((MOVIMIENTOS!$B$5:$B$1005="PROCESO")*(MOVIMIENTOS!$C$5:$C$1005="Chancho")*(MOVIMIENTOS!$D$5:$D$1005="sacos")*(MOVIMIENTOS!$A$5:$A$1005&lt;&gt;"")*(MOVIMIENTOS!$A$5:$A$1005&lt;=$A303)*MOVIMIENTOS!$E$5:$E$1005)-SUMPRODUCT((MOVIMIENTOS!$B$5:$B$1005="VENTA CHANCHO")*(MOVIMIENTOS!$C$5:$C$1005="Chancho")*(MOVIMIENTOS!$D$5:$D$1005="sacos")*(MOVIMIENTOS!$A$5:$A$1005&lt;&gt;"")*(MOVIMIENTOS!$A$5:$A$1005&lt;=$A303)*MOVIMIENTOS!$E$5:$E$1005)-SUMPRODUCT((MOVIMIENTOS!$B$5:$B$1005="REGALO")*(MOVIMIENTOS!$C$5:$C$1005="Chancho")*(MOVIMIENTOS!$D$5:$D$1005="sacos")*(MOVIMIENTOS!$A$5:$A$1005&lt;&gt;"")*(MOVIMIENTOS!$A$5:$A$1005&lt;=$A303)*MOVIMIENTOS!$E$5:$E$1005)-SUMPRODUCT((MOVIMIENTOS!$B$5:$B$1005="VENTA")*(MOVIMIENTOS!$C$5:$C$1005="Chancho")*(MOVIMIENTOS!$D$5:$D$1005="sacos")*(MOVIMIENTOS!$A$5:$A$1005&lt;&gt;"")*(MOVIMIENTOS!$A$5:$A$1005&lt;=$A303)*MOVIMIENTOS!$E$5:$E$1005)+SUMPRODUCT((MOVIMIENTOS!$B$5:$B$1005="AJUSTE")*(MOVIMIENTOS!$C$5:$C$1005="Chancho")*(MOVIMIENTOS!$D$5:$D$1005="sacos")*(MOVIMIENTOS!$A$5:$A$1005&lt;&gt;"")*(MOVIMIENTOS!$A$5:$A$1005&lt;=$A303)*MOVIMIENTOS!$E$5:$E$1005))</f>
        <v/>
      </c>
      <c r="G303" s="95" t="str">
        <f t="shared" si="9"/>
        <v/>
      </c>
      <c r="H303" s="63" t="str">
        <f>IF($A303="","",SUMPRODUCT((((MOVIMIENTOS!$B$5:$B$1005="SALDO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303)*MOVIMIENTOS!$J$5:$J$1005))</f>
        <v/>
      </c>
      <c r="I303" s="63"/>
      <c r="J303" s="63" t="str">
        <f>IF(AND(MOVIMIENTOS!$A302&lt;&gt;"",COUNTIF(MOVIMIENTOS!$A$5:$A301,MOVIMIENTOS!$A302)=0),COUNT(J$4:J302)+1,"")</f>
        <v/>
      </c>
      <c r="K303" s="66">
        <f>MOVIMIENTOS!$A302</f>
        <v>46240</v>
      </c>
      <c r="L303" s="63"/>
      <c r="M303" s="63"/>
      <c r="N303" s="63"/>
    </row>
    <row r="304" spans="1:14" ht="15" customHeight="1" x14ac:dyDescent="0.2">
      <c r="A304" s="63" t="str">
        <f t="shared" si="8"/>
        <v/>
      </c>
      <c r="B304" s="63" t="str">
        <f>IF($A304="","",SUMPRODUCT((MOVIMIENTOS!$B$5:$B$1005="SALDO INICIAL")*(MOVIMIENTOS!$C$5:$C$1005="A")*(MOVIMIENTOS!$D$5:$D$1005="jabas")*(MOVIMIENTOS!$A$5:$A$1005&lt;&gt;"")*(MOVIMIENTOS!$A$5:$A$1005&lt;=$A304)*MOVIMIENTOS!$E$5:$E$1005)+SUMPRODUCT((MOVIMIENTOS!$B$5:$B$1005="PROCESO")*(MOVIMIENTOS!$C$5:$C$1005="A")*(MOVIMIENTOS!$D$5:$D$1005="jabas")*(MOVIMIENTOS!$A$5:$A$1005&lt;&gt;"")*(MOVIMIENTOS!$A$5:$A$1005&lt;=$A304)*MOVIMIENTOS!$E$5:$E$1005)-SUMPRODUCT((MOVIMIENTOS!$B$5:$B$1005="ENVÍO A SUPESA")*(MOVIMIENTOS!$C$5:$C$1005="A")*(MOVIMIENTOS!$D$5:$D$1005="jabas")*(MOVIMIENTOS!$A$5:$A$1005&lt;&gt;"")*(MOVIMIENTOS!$A$5:$A$1005&lt;=$A304)*MOVIMIENTOS!$E$5:$E$1005)+SUMPRODUCT((MOVIMIENTOS!$B$5:$B$1005="DEVOLUCIÓN")*(MOVIMIENTOS!$C$5:$C$1005="A")*(MOVIMIENTOS!$D$5:$D$1005="jabas")*(MOVIMIENTOS!$A$5:$A$1005&lt;&gt;"")*(MOVIMIENTOS!$A$5:$A$1005&lt;=$A304)*MOVIMIENTOS!$E$5:$E$1005)-SUMPRODUCT((MOVIMIENTOS!$B$5:$B$1005="TRASIEGO")*(MOVIMIENTOS!$C$5:$C$1005="A")*(MOVIMIENTOS!$D$5:$D$1005="jabas")*(MOVIMIENTOS!$A$5:$A$1005&lt;&gt;"")*(MOVIMIENTOS!$A$5:$A$1005&lt;=$A304)*MOVIMIENTOS!$E$5:$E$1005)-SUMPRODUCT((MOVIMIENTOS!$B$5:$B$1005="REGALO")*(MOVIMIENTOS!$C$5:$C$1005="A")*(MOVIMIENTOS!$D$5:$D$1005="jabas")*(MOVIMIENTOS!$A$5:$A$1005&lt;&gt;"")*(MOVIMIENTOS!$A$5:$A$1005&lt;=$A304)*MOVIMIENTOS!$E$5:$E$1005)-SUMPRODUCT((MOVIMIENTOS!$B$5:$B$1005="VENTA")*(MOVIMIENTOS!$C$5:$C$1005="A")*(MOVIMIENTOS!$D$5:$D$1005="jabas")*(MOVIMIENTOS!$A$5:$A$1005&lt;&gt;"")*(MOVIMIENTOS!$A$5:$A$1005&lt;=$A304)*MOVIMIENTOS!$E$5:$E$1005)+SUMPRODUCT((MOVIMIENTOS!$B$5:$B$1005="AJUSTE")*(MOVIMIENTOS!$C$5:$C$1005="A")*(MOVIMIENTOS!$D$5:$D$1005="jabas")*(MOVIMIENTOS!$A$5:$A$1005&lt;&gt;"")*(MOVIMIENTOS!$A$5:$A$1005&lt;=$A304)*MOVIMIENTOS!$E$5:$E$1005))</f>
        <v/>
      </c>
      <c r="C304" s="63" t="str">
        <f>IF($A304="","",SUMPRODUCT((MOVIMIENTOS!$B$5:$B$1005="SALDO INICIAL")*(MOVIMIENTOS!$C$5:$C$1005="P")*(MOVIMIENTOS!$D$5:$D$1005="jabas")*(MOVIMIENTOS!$A$5:$A$1005&lt;&gt;"")*(MOVIMIENTOS!$A$5:$A$1005&lt;=$A304)*MOVIMIENTOS!$E$5:$E$1005)+SUMPRODUCT((MOVIMIENTOS!$B$5:$B$1005="PROCESO")*(MOVIMIENTOS!$C$5:$C$1005="P")*(MOVIMIENTOS!$D$5:$D$1005="jabas")*(MOVIMIENTOS!$A$5:$A$1005&lt;&gt;"")*(MOVIMIENTOS!$A$5:$A$1005&lt;=$A304)*MOVIMIENTOS!$E$5:$E$1005)-SUMPRODUCT((MOVIMIENTOS!$B$5:$B$1005="ENVÍO A SUPESA")*(MOVIMIENTOS!$C$5:$C$1005="P")*(MOVIMIENTOS!$D$5:$D$1005="jabas")*(MOVIMIENTOS!$A$5:$A$1005&lt;&gt;"")*(MOVIMIENTOS!$A$5:$A$1005&lt;=$A304)*MOVIMIENTOS!$E$5:$E$1005)+SUMPRODUCT((MOVIMIENTOS!$B$5:$B$1005="DEVOLUCIÓN")*(MOVIMIENTOS!$C$5:$C$1005="P")*(MOVIMIENTOS!$D$5:$D$1005="jabas")*(MOVIMIENTOS!$A$5:$A$1005&lt;&gt;"")*(MOVIMIENTOS!$A$5:$A$1005&lt;=$A304)*MOVIMIENTOS!$E$5:$E$1005)-SUMPRODUCT((MOVIMIENTOS!$B$5:$B$1005="TRASIEGO")*(MOVIMIENTOS!$C$5:$C$1005="P")*(MOVIMIENTOS!$D$5:$D$1005="jabas")*(MOVIMIENTOS!$A$5:$A$1005&lt;&gt;"")*(MOVIMIENTOS!$A$5:$A$1005&lt;=$A304)*MOVIMIENTOS!$E$5:$E$1005)-SUMPRODUCT((MOVIMIENTOS!$B$5:$B$1005="REGALO")*(MOVIMIENTOS!$C$5:$C$1005="P")*(MOVIMIENTOS!$D$5:$D$1005="jabas")*(MOVIMIENTOS!$A$5:$A$1005&lt;&gt;"")*(MOVIMIENTOS!$A$5:$A$1005&lt;=$A304)*MOVIMIENTOS!$E$5:$E$1005)-SUMPRODUCT((MOVIMIENTOS!$B$5:$B$1005="VENTA")*(MOVIMIENTOS!$C$5:$C$1005="P")*(MOVIMIENTOS!$D$5:$D$1005="jabas")*(MOVIMIENTOS!$A$5:$A$1005&lt;&gt;"")*(MOVIMIENTOS!$A$5:$A$1005&lt;=$A304)*MOVIMIENTOS!$E$5:$E$1005)+SUMPRODUCT((MOVIMIENTOS!$B$5:$B$1005="AJUSTE")*(MOVIMIENTOS!$C$5:$C$1005="P")*(MOVIMIENTOS!$D$5:$D$1005="jabas")*(MOVIMIENTOS!$A$5:$A$1005&lt;&gt;"")*(MOVIMIENTOS!$A$5:$A$1005&lt;=$A304)*MOVIMIENTOS!$E$5:$E$1005))</f>
        <v/>
      </c>
      <c r="D304" s="63" t="str">
        <f>IF($A304="","",SUMPRODUCT((MOVIMIENTOS!$B$5:$B$1005="SALDO INICIAL")*(MOVIMIENTOS!$C$5:$C$1005="C")*(MOVIMIENTOS!$D$5:$D$1005="jabas")*(MOVIMIENTOS!$A$5:$A$1005&lt;&gt;"")*(MOVIMIENTOS!$A$5:$A$1005&lt;=$A304)*MOVIMIENTOS!$E$5:$E$1005)+SUMPRODUCT((MOVIMIENTOS!$B$5:$B$1005="PROCESO")*(MOVIMIENTOS!$C$5:$C$1005="C")*(MOVIMIENTOS!$D$5:$D$1005="jabas")*(MOVIMIENTOS!$A$5:$A$1005&lt;&gt;"")*(MOVIMIENTOS!$A$5:$A$1005&lt;=$A304)*MOVIMIENTOS!$E$5:$E$1005)-SUMPRODUCT((MOVIMIENTOS!$B$5:$B$1005="ENVÍO A SUPESA")*(MOVIMIENTOS!$C$5:$C$1005="C")*(MOVIMIENTOS!$D$5:$D$1005="jabas")*(MOVIMIENTOS!$A$5:$A$1005&lt;&gt;"")*(MOVIMIENTOS!$A$5:$A$1005&lt;=$A304)*MOVIMIENTOS!$E$5:$E$1005)+SUMPRODUCT((MOVIMIENTOS!$B$5:$B$1005="DEVOLUCIÓN")*(MOVIMIENTOS!$C$5:$C$1005="C")*(MOVIMIENTOS!$D$5:$D$1005="jabas")*(MOVIMIENTOS!$A$5:$A$1005&lt;&gt;"")*(MOVIMIENTOS!$A$5:$A$1005&lt;=$A304)*MOVIMIENTOS!$E$5:$E$1005)-SUMPRODUCT((MOVIMIENTOS!$B$5:$B$1005="TRASIEGO")*(MOVIMIENTOS!$C$5:$C$1005="C")*(MOVIMIENTOS!$D$5:$D$1005="jabas")*(MOVIMIENTOS!$A$5:$A$1005&lt;&gt;"")*(MOVIMIENTOS!$A$5:$A$1005&lt;=$A304)*MOVIMIENTOS!$E$5:$E$1005)-SUMPRODUCT((MOVIMIENTOS!$B$5:$B$1005="REGALO")*(MOVIMIENTOS!$C$5:$C$1005="C")*(MOVIMIENTOS!$D$5:$D$1005="jabas")*(MOVIMIENTOS!$A$5:$A$1005&lt;&gt;"")*(MOVIMIENTOS!$A$5:$A$1005&lt;=$A304)*MOVIMIENTOS!$E$5:$E$1005)-SUMPRODUCT((MOVIMIENTOS!$B$5:$B$1005="VENTA")*(MOVIMIENTOS!$C$5:$C$1005="C")*(MOVIMIENTOS!$D$5:$D$1005="jabas")*(MOVIMIENTOS!$A$5:$A$1005&lt;&gt;"")*(MOVIMIENTOS!$A$5:$A$1005&lt;=$A304)*MOVIMIENTOS!$E$5:$E$1005)+SUMPRODUCT((MOVIMIENTOS!$B$5:$B$1005="AJUSTE")*(MOVIMIENTOS!$C$5:$C$1005="C")*(MOVIMIENTOS!$D$5:$D$1005="jabas")*(MOVIMIENTOS!$A$5:$A$1005&lt;&gt;"")*(MOVIMIENTOS!$A$5:$A$1005&lt;=$A304)*MOVIMIENTOS!$E$5:$E$1005))</f>
        <v/>
      </c>
      <c r="E304" s="63" t="str">
        <f>IF($A304="","",SUMPRODUCT((MOVIMIENTOS!$B$5:$B$1005="SALDO INICIAL")*(MOVIMIENTOS!$C$5:$C$1005="M")*(MOVIMIENTOS!$D$5:$D$1005="jabas")*(MOVIMIENTOS!$A$5:$A$1005&lt;&gt;"")*(MOVIMIENTOS!$A$5:$A$1005&lt;=$A304)*MOVIMIENTOS!$E$5:$E$1005)+SUMPRODUCT((MOVIMIENTOS!$B$5:$B$1005="PROCESO")*(MOVIMIENTOS!$C$5:$C$1005="M")*(MOVIMIENTOS!$D$5:$D$1005="jabas")*(MOVIMIENTOS!$A$5:$A$1005&lt;&gt;"")*(MOVIMIENTOS!$A$5:$A$1005&lt;=$A304)*MOVIMIENTOS!$E$5:$E$1005)-SUMPRODUCT((MOVIMIENTOS!$B$5:$B$1005="ENVÍO A SUPESA")*(MOVIMIENTOS!$C$5:$C$1005="M")*(MOVIMIENTOS!$D$5:$D$1005="jabas")*(MOVIMIENTOS!$A$5:$A$1005&lt;&gt;"")*(MOVIMIENTOS!$A$5:$A$1005&lt;=$A304)*MOVIMIENTOS!$E$5:$E$1005)+SUMPRODUCT((MOVIMIENTOS!$B$5:$B$1005="DEVOLUCIÓN")*(MOVIMIENTOS!$C$5:$C$1005="M")*(MOVIMIENTOS!$D$5:$D$1005="jabas")*(MOVIMIENTOS!$A$5:$A$1005&lt;&gt;"")*(MOVIMIENTOS!$A$5:$A$1005&lt;=$A304)*MOVIMIENTOS!$E$5:$E$1005)-SUMPRODUCT((MOVIMIENTOS!$B$5:$B$1005="TRASIEGO")*(MOVIMIENTOS!$C$5:$C$1005="M")*(MOVIMIENTOS!$D$5:$D$1005="jabas")*(MOVIMIENTOS!$A$5:$A$1005&lt;&gt;"")*(MOVIMIENTOS!$A$5:$A$1005&lt;=$A304)*MOVIMIENTOS!$E$5:$E$1005)-SUMPRODUCT((MOVIMIENTOS!$B$5:$B$1005="REGALO")*(MOVIMIENTOS!$C$5:$C$1005="M")*(MOVIMIENTOS!$D$5:$D$1005="jabas")*(MOVIMIENTOS!$A$5:$A$1005&lt;&gt;"")*(MOVIMIENTOS!$A$5:$A$1005&lt;=$A304)*MOVIMIENTOS!$E$5:$E$1005)-SUMPRODUCT((MOVIMIENTOS!$B$5:$B$1005="VENTA")*(MOVIMIENTOS!$C$5:$C$1005="M")*(MOVIMIENTOS!$D$5:$D$1005="jabas")*(MOVIMIENTOS!$A$5:$A$1005&lt;&gt;"")*(MOVIMIENTOS!$A$5:$A$1005&lt;=$A304)*MOVIMIENTOS!$E$5:$E$1005)+SUMPRODUCT((MOVIMIENTOS!$B$5:$B$1005="AJUSTE")*(MOVIMIENTOS!$C$5:$C$1005="M")*(MOVIMIENTOS!$D$5:$D$1005="jabas")*(MOVIMIENTOS!$A$5:$A$1005&lt;&gt;"")*(MOVIMIENTOS!$A$5:$A$1005&lt;=$A304)*MOVIMIENTOS!$E$5:$E$1005))</f>
        <v/>
      </c>
      <c r="F304" s="63" t="str">
        <f>IF($A304="","",SUMPRODUCT((MOVIMIENTOS!$B$5:$B$1005="SALDO INICIAL")*(MOVIMIENTOS!$C$5:$C$1005="Chancho")*(MOVIMIENTOS!$D$5:$D$1005="sacos")*(MOVIMIENTOS!$A$5:$A$1005&lt;&gt;"")*(MOVIMIENTOS!$A$5:$A$1005&lt;=$A304)*MOVIMIENTOS!$E$5:$E$1005)+SUMPRODUCT((MOVIMIENTOS!$B$5:$B$1005="PROCESO")*(MOVIMIENTOS!$C$5:$C$1005="Chancho")*(MOVIMIENTOS!$D$5:$D$1005="sacos")*(MOVIMIENTOS!$A$5:$A$1005&lt;&gt;"")*(MOVIMIENTOS!$A$5:$A$1005&lt;=$A304)*MOVIMIENTOS!$E$5:$E$1005)-SUMPRODUCT((MOVIMIENTOS!$B$5:$B$1005="VENTA CHANCHO")*(MOVIMIENTOS!$C$5:$C$1005="Chancho")*(MOVIMIENTOS!$D$5:$D$1005="sacos")*(MOVIMIENTOS!$A$5:$A$1005&lt;&gt;"")*(MOVIMIENTOS!$A$5:$A$1005&lt;=$A304)*MOVIMIENTOS!$E$5:$E$1005)-SUMPRODUCT((MOVIMIENTOS!$B$5:$B$1005="REGALO")*(MOVIMIENTOS!$C$5:$C$1005="Chancho")*(MOVIMIENTOS!$D$5:$D$1005="sacos")*(MOVIMIENTOS!$A$5:$A$1005&lt;&gt;"")*(MOVIMIENTOS!$A$5:$A$1005&lt;=$A304)*MOVIMIENTOS!$E$5:$E$1005)-SUMPRODUCT((MOVIMIENTOS!$B$5:$B$1005="VENTA")*(MOVIMIENTOS!$C$5:$C$1005="Chancho")*(MOVIMIENTOS!$D$5:$D$1005="sacos")*(MOVIMIENTOS!$A$5:$A$1005&lt;&gt;"")*(MOVIMIENTOS!$A$5:$A$1005&lt;=$A304)*MOVIMIENTOS!$E$5:$E$1005)+SUMPRODUCT((MOVIMIENTOS!$B$5:$B$1005="AJUSTE")*(MOVIMIENTOS!$C$5:$C$1005="Chancho")*(MOVIMIENTOS!$D$5:$D$1005="sacos")*(MOVIMIENTOS!$A$5:$A$1005&lt;&gt;"")*(MOVIMIENTOS!$A$5:$A$1005&lt;=$A304)*MOVIMIENTOS!$E$5:$E$1005))</f>
        <v/>
      </c>
      <c r="G304" s="95" t="str">
        <f t="shared" si="9"/>
        <v/>
      </c>
      <c r="H304" s="63" t="str">
        <f>IF($A304="","",SUMPRODUCT((((MOVIMIENTOS!$B$5:$B$1005="SALDO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304)*MOVIMIENTOS!$J$5:$J$1005))</f>
        <v/>
      </c>
      <c r="I304" s="63"/>
      <c r="J304" s="63" t="str">
        <f>IF(AND(MOVIMIENTOS!$A303&lt;&gt;"",COUNTIF(MOVIMIENTOS!$A$5:$A302,MOVIMIENTOS!$A303)=0),COUNT(J$4:J303)+1,"")</f>
        <v/>
      </c>
      <c r="K304" s="66">
        <f>MOVIMIENTOS!$A303</f>
        <v>46240</v>
      </c>
      <c r="L304" s="63"/>
      <c r="M304" s="63"/>
      <c r="N304" s="63"/>
    </row>
    <row r="305" spans="1:14" ht="15" customHeight="1" x14ac:dyDescent="0.2">
      <c r="A305" s="63" t="str">
        <f t="shared" si="8"/>
        <v/>
      </c>
      <c r="B305" s="63" t="str">
        <f>IF($A305="","",SUMPRODUCT((MOVIMIENTOS!$B$5:$B$1005="SALDO INICIAL")*(MOVIMIENTOS!$C$5:$C$1005="A")*(MOVIMIENTOS!$D$5:$D$1005="jabas")*(MOVIMIENTOS!$A$5:$A$1005&lt;&gt;"")*(MOVIMIENTOS!$A$5:$A$1005&lt;=$A305)*MOVIMIENTOS!$E$5:$E$1005)+SUMPRODUCT((MOVIMIENTOS!$B$5:$B$1005="PROCESO")*(MOVIMIENTOS!$C$5:$C$1005="A")*(MOVIMIENTOS!$D$5:$D$1005="jabas")*(MOVIMIENTOS!$A$5:$A$1005&lt;&gt;"")*(MOVIMIENTOS!$A$5:$A$1005&lt;=$A305)*MOVIMIENTOS!$E$5:$E$1005)-SUMPRODUCT((MOVIMIENTOS!$B$5:$B$1005="ENVÍO A SUPESA")*(MOVIMIENTOS!$C$5:$C$1005="A")*(MOVIMIENTOS!$D$5:$D$1005="jabas")*(MOVIMIENTOS!$A$5:$A$1005&lt;&gt;"")*(MOVIMIENTOS!$A$5:$A$1005&lt;=$A305)*MOVIMIENTOS!$E$5:$E$1005)+SUMPRODUCT((MOVIMIENTOS!$B$5:$B$1005="DEVOLUCIÓN")*(MOVIMIENTOS!$C$5:$C$1005="A")*(MOVIMIENTOS!$D$5:$D$1005="jabas")*(MOVIMIENTOS!$A$5:$A$1005&lt;&gt;"")*(MOVIMIENTOS!$A$5:$A$1005&lt;=$A305)*MOVIMIENTOS!$E$5:$E$1005)-SUMPRODUCT((MOVIMIENTOS!$B$5:$B$1005="TRASIEGO")*(MOVIMIENTOS!$C$5:$C$1005="A")*(MOVIMIENTOS!$D$5:$D$1005="jabas")*(MOVIMIENTOS!$A$5:$A$1005&lt;&gt;"")*(MOVIMIENTOS!$A$5:$A$1005&lt;=$A305)*MOVIMIENTOS!$E$5:$E$1005)-SUMPRODUCT((MOVIMIENTOS!$B$5:$B$1005="REGALO")*(MOVIMIENTOS!$C$5:$C$1005="A")*(MOVIMIENTOS!$D$5:$D$1005="jabas")*(MOVIMIENTOS!$A$5:$A$1005&lt;&gt;"")*(MOVIMIENTOS!$A$5:$A$1005&lt;=$A305)*MOVIMIENTOS!$E$5:$E$1005)-SUMPRODUCT((MOVIMIENTOS!$B$5:$B$1005="VENTA")*(MOVIMIENTOS!$C$5:$C$1005="A")*(MOVIMIENTOS!$D$5:$D$1005="jabas")*(MOVIMIENTOS!$A$5:$A$1005&lt;&gt;"")*(MOVIMIENTOS!$A$5:$A$1005&lt;=$A305)*MOVIMIENTOS!$E$5:$E$1005)+SUMPRODUCT((MOVIMIENTOS!$B$5:$B$1005="AJUSTE")*(MOVIMIENTOS!$C$5:$C$1005="A")*(MOVIMIENTOS!$D$5:$D$1005="jabas")*(MOVIMIENTOS!$A$5:$A$1005&lt;&gt;"")*(MOVIMIENTOS!$A$5:$A$1005&lt;=$A305)*MOVIMIENTOS!$E$5:$E$1005))</f>
        <v/>
      </c>
      <c r="C305" s="63" t="str">
        <f>IF($A305="","",SUMPRODUCT((MOVIMIENTOS!$B$5:$B$1005="SALDO INICIAL")*(MOVIMIENTOS!$C$5:$C$1005="P")*(MOVIMIENTOS!$D$5:$D$1005="jabas")*(MOVIMIENTOS!$A$5:$A$1005&lt;&gt;"")*(MOVIMIENTOS!$A$5:$A$1005&lt;=$A305)*MOVIMIENTOS!$E$5:$E$1005)+SUMPRODUCT((MOVIMIENTOS!$B$5:$B$1005="PROCESO")*(MOVIMIENTOS!$C$5:$C$1005="P")*(MOVIMIENTOS!$D$5:$D$1005="jabas")*(MOVIMIENTOS!$A$5:$A$1005&lt;&gt;"")*(MOVIMIENTOS!$A$5:$A$1005&lt;=$A305)*MOVIMIENTOS!$E$5:$E$1005)-SUMPRODUCT((MOVIMIENTOS!$B$5:$B$1005="ENVÍO A SUPESA")*(MOVIMIENTOS!$C$5:$C$1005="P")*(MOVIMIENTOS!$D$5:$D$1005="jabas")*(MOVIMIENTOS!$A$5:$A$1005&lt;&gt;"")*(MOVIMIENTOS!$A$5:$A$1005&lt;=$A305)*MOVIMIENTOS!$E$5:$E$1005)+SUMPRODUCT((MOVIMIENTOS!$B$5:$B$1005="DEVOLUCIÓN")*(MOVIMIENTOS!$C$5:$C$1005="P")*(MOVIMIENTOS!$D$5:$D$1005="jabas")*(MOVIMIENTOS!$A$5:$A$1005&lt;&gt;"")*(MOVIMIENTOS!$A$5:$A$1005&lt;=$A305)*MOVIMIENTOS!$E$5:$E$1005)-SUMPRODUCT((MOVIMIENTOS!$B$5:$B$1005="TRASIEGO")*(MOVIMIENTOS!$C$5:$C$1005="P")*(MOVIMIENTOS!$D$5:$D$1005="jabas")*(MOVIMIENTOS!$A$5:$A$1005&lt;&gt;"")*(MOVIMIENTOS!$A$5:$A$1005&lt;=$A305)*MOVIMIENTOS!$E$5:$E$1005)-SUMPRODUCT((MOVIMIENTOS!$B$5:$B$1005="REGALO")*(MOVIMIENTOS!$C$5:$C$1005="P")*(MOVIMIENTOS!$D$5:$D$1005="jabas")*(MOVIMIENTOS!$A$5:$A$1005&lt;&gt;"")*(MOVIMIENTOS!$A$5:$A$1005&lt;=$A305)*MOVIMIENTOS!$E$5:$E$1005)-SUMPRODUCT((MOVIMIENTOS!$B$5:$B$1005="VENTA")*(MOVIMIENTOS!$C$5:$C$1005="P")*(MOVIMIENTOS!$D$5:$D$1005="jabas")*(MOVIMIENTOS!$A$5:$A$1005&lt;&gt;"")*(MOVIMIENTOS!$A$5:$A$1005&lt;=$A305)*MOVIMIENTOS!$E$5:$E$1005)+SUMPRODUCT((MOVIMIENTOS!$B$5:$B$1005="AJUSTE")*(MOVIMIENTOS!$C$5:$C$1005="P")*(MOVIMIENTOS!$D$5:$D$1005="jabas")*(MOVIMIENTOS!$A$5:$A$1005&lt;&gt;"")*(MOVIMIENTOS!$A$5:$A$1005&lt;=$A305)*MOVIMIENTOS!$E$5:$E$1005))</f>
        <v/>
      </c>
      <c r="D305" s="63" t="str">
        <f>IF($A305="","",SUMPRODUCT((MOVIMIENTOS!$B$5:$B$1005="SALDO INICIAL")*(MOVIMIENTOS!$C$5:$C$1005="C")*(MOVIMIENTOS!$D$5:$D$1005="jabas")*(MOVIMIENTOS!$A$5:$A$1005&lt;&gt;"")*(MOVIMIENTOS!$A$5:$A$1005&lt;=$A305)*MOVIMIENTOS!$E$5:$E$1005)+SUMPRODUCT((MOVIMIENTOS!$B$5:$B$1005="PROCESO")*(MOVIMIENTOS!$C$5:$C$1005="C")*(MOVIMIENTOS!$D$5:$D$1005="jabas")*(MOVIMIENTOS!$A$5:$A$1005&lt;&gt;"")*(MOVIMIENTOS!$A$5:$A$1005&lt;=$A305)*MOVIMIENTOS!$E$5:$E$1005)-SUMPRODUCT((MOVIMIENTOS!$B$5:$B$1005="ENVÍO A SUPESA")*(MOVIMIENTOS!$C$5:$C$1005="C")*(MOVIMIENTOS!$D$5:$D$1005="jabas")*(MOVIMIENTOS!$A$5:$A$1005&lt;&gt;"")*(MOVIMIENTOS!$A$5:$A$1005&lt;=$A305)*MOVIMIENTOS!$E$5:$E$1005)+SUMPRODUCT((MOVIMIENTOS!$B$5:$B$1005="DEVOLUCIÓN")*(MOVIMIENTOS!$C$5:$C$1005="C")*(MOVIMIENTOS!$D$5:$D$1005="jabas")*(MOVIMIENTOS!$A$5:$A$1005&lt;&gt;"")*(MOVIMIENTOS!$A$5:$A$1005&lt;=$A305)*MOVIMIENTOS!$E$5:$E$1005)-SUMPRODUCT((MOVIMIENTOS!$B$5:$B$1005="TRASIEGO")*(MOVIMIENTOS!$C$5:$C$1005="C")*(MOVIMIENTOS!$D$5:$D$1005="jabas")*(MOVIMIENTOS!$A$5:$A$1005&lt;&gt;"")*(MOVIMIENTOS!$A$5:$A$1005&lt;=$A305)*MOVIMIENTOS!$E$5:$E$1005)-SUMPRODUCT((MOVIMIENTOS!$B$5:$B$1005="REGALO")*(MOVIMIENTOS!$C$5:$C$1005="C")*(MOVIMIENTOS!$D$5:$D$1005="jabas")*(MOVIMIENTOS!$A$5:$A$1005&lt;&gt;"")*(MOVIMIENTOS!$A$5:$A$1005&lt;=$A305)*MOVIMIENTOS!$E$5:$E$1005)-SUMPRODUCT((MOVIMIENTOS!$B$5:$B$1005="VENTA")*(MOVIMIENTOS!$C$5:$C$1005="C")*(MOVIMIENTOS!$D$5:$D$1005="jabas")*(MOVIMIENTOS!$A$5:$A$1005&lt;&gt;"")*(MOVIMIENTOS!$A$5:$A$1005&lt;=$A305)*MOVIMIENTOS!$E$5:$E$1005)+SUMPRODUCT((MOVIMIENTOS!$B$5:$B$1005="AJUSTE")*(MOVIMIENTOS!$C$5:$C$1005="C")*(MOVIMIENTOS!$D$5:$D$1005="jabas")*(MOVIMIENTOS!$A$5:$A$1005&lt;&gt;"")*(MOVIMIENTOS!$A$5:$A$1005&lt;=$A305)*MOVIMIENTOS!$E$5:$E$1005))</f>
        <v/>
      </c>
      <c r="E305" s="63" t="str">
        <f>IF($A305="","",SUMPRODUCT((MOVIMIENTOS!$B$5:$B$1005="SALDO INICIAL")*(MOVIMIENTOS!$C$5:$C$1005="M")*(MOVIMIENTOS!$D$5:$D$1005="jabas")*(MOVIMIENTOS!$A$5:$A$1005&lt;&gt;"")*(MOVIMIENTOS!$A$5:$A$1005&lt;=$A305)*MOVIMIENTOS!$E$5:$E$1005)+SUMPRODUCT((MOVIMIENTOS!$B$5:$B$1005="PROCESO")*(MOVIMIENTOS!$C$5:$C$1005="M")*(MOVIMIENTOS!$D$5:$D$1005="jabas")*(MOVIMIENTOS!$A$5:$A$1005&lt;&gt;"")*(MOVIMIENTOS!$A$5:$A$1005&lt;=$A305)*MOVIMIENTOS!$E$5:$E$1005)-SUMPRODUCT((MOVIMIENTOS!$B$5:$B$1005="ENVÍO A SUPESA")*(MOVIMIENTOS!$C$5:$C$1005="M")*(MOVIMIENTOS!$D$5:$D$1005="jabas")*(MOVIMIENTOS!$A$5:$A$1005&lt;&gt;"")*(MOVIMIENTOS!$A$5:$A$1005&lt;=$A305)*MOVIMIENTOS!$E$5:$E$1005)+SUMPRODUCT((MOVIMIENTOS!$B$5:$B$1005="DEVOLUCIÓN")*(MOVIMIENTOS!$C$5:$C$1005="M")*(MOVIMIENTOS!$D$5:$D$1005="jabas")*(MOVIMIENTOS!$A$5:$A$1005&lt;&gt;"")*(MOVIMIENTOS!$A$5:$A$1005&lt;=$A305)*MOVIMIENTOS!$E$5:$E$1005)-SUMPRODUCT((MOVIMIENTOS!$B$5:$B$1005="TRASIEGO")*(MOVIMIENTOS!$C$5:$C$1005="M")*(MOVIMIENTOS!$D$5:$D$1005="jabas")*(MOVIMIENTOS!$A$5:$A$1005&lt;&gt;"")*(MOVIMIENTOS!$A$5:$A$1005&lt;=$A305)*MOVIMIENTOS!$E$5:$E$1005)-SUMPRODUCT((MOVIMIENTOS!$B$5:$B$1005="REGALO")*(MOVIMIENTOS!$C$5:$C$1005="M")*(MOVIMIENTOS!$D$5:$D$1005="jabas")*(MOVIMIENTOS!$A$5:$A$1005&lt;&gt;"")*(MOVIMIENTOS!$A$5:$A$1005&lt;=$A305)*MOVIMIENTOS!$E$5:$E$1005)-SUMPRODUCT((MOVIMIENTOS!$B$5:$B$1005="VENTA")*(MOVIMIENTOS!$C$5:$C$1005="M")*(MOVIMIENTOS!$D$5:$D$1005="jabas")*(MOVIMIENTOS!$A$5:$A$1005&lt;&gt;"")*(MOVIMIENTOS!$A$5:$A$1005&lt;=$A305)*MOVIMIENTOS!$E$5:$E$1005)+SUMPRODUCT((MOVIMIENTOS!$B$5:$B$1005="AJUSTE")*(MOVIMIENTOS!$C$5:$C$1005="M")*(MOVIMIENTOS!$D$5:$D$1005="jabas")*(MOVIMIENTOS!$A$5:$A$1005&lt;&gt;"")*(MOVIMIENTOS!$A$5:$A$1005&lt;=$A305)*MOVIMIENTOS!$E$5:$E$1005))</f>
        <v/>
      </c>
      <c r="F305" s="63" t="str">
        <f>IF($A305="","",SUMPRODUCT((MOVIMIENTOS!$B$5:$B$1005="SALDO INICIAL")*(MOVIMIENTOS!$C$5:$C$1005="Chancho")*(MOVIMIENTOS!$D$5:$D$1005="sacos")*(MOVIMIENTOS!$A$5:$A$1005&lt;&gt;"")*(MOVIMIENTOS!$A$5:$A$1005&lt;=$A305)*MOVIMIENTOS!$E$5:$E$1005)+SUMPRODUCT((MOVIMIENTOS!$B$5:$B$1005="PROCESO")*(MOVIMIENTOS!$C$5:$C$1005="Chancho")*(MOVIMIENTOS!$D$5:$D$1005="sacos")*(MOVIMIENTOS!$A$5:$A$1005&lt;&gt;"")*(MOVIMIENTOS!$A$5:$A$1005&lt;=$A305)*MOVIMIENTOS!$E$5:$E$1005)-SUMPRODUCT((MOVIMIENTOS!$B$5:$B$1005="VENTA CHANCHO")*(MOVIMIENTOS!$C$5:$C$1005="Chancho")*(MOVIMIENTOS!$D$5:$D$1005="sacos")*(MOVIMIENTOS!$A$5:$A$1005&lt;&gt;"")*(MOVIMIENTOS!$A$5:$A$1005&lt;=$A305)*MOVIMIENTOS!$E$5:$E$1005)-SUMPRODUCT((MOVIMIENTOS!$B$5:$B$1005="REGALO")*(MOVIMIENTOS!$C$5:$C$1005="Chancho")*(MOVIMIENTOS!$D$5:$D$1005="sacos")*(MOVIMIENTOS!$A$5:$A$1005&lt;&gt;"")*(MOVIMIENTOS!$A$5:$A$1005&lt;=$A305)*MOVIMIENTOS!$E$5:$E$1005)-SUMPRODUCT((MOVIMIENTOS!$B$5:$B$1005="VENTA")*(MOVIMIENTOS!$C$5:$C$1005="Chancho")*(MOVIMIENTOS!$D$5:$D$1005="sacos")*(MOVIMIENTOS!$A$5:$A$1005&lt;&gt;"")*(MOVIMIENTOS!$A$5:$A$1005&lt;=$A305)*MOVIMIENTOS!$E$5:$E$1005)+SUMPRODUCT((MOVIMIENTOS!$B$5:$B$1005="AJUSTE")*(MOVIMIENTOS!$C$5:$C$1005="Chancho")*(MOVIMIENTOS!$D$5:$D$1005="sacos")*(MOVIMIENTOS!$A$5:$A$1005&lt;&gt;"")*(MOVIMIENTOS!$A$5:$A$1005&lt;=$A305)*MOVIMIENTOS!$E$5:$E$1005))</f>
        <v/>
      </c>
      <c r="G305" s="95" t="str">
        <f t="shared" si="9"/>
        <v/>
      </c>
      <c r="H305" s="63" t="str">
        <f>IF($A305="","",SUMPRODUCT((((MOVIMIENTOS!$B$5:$B$1005="SALDO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305)*MOVIMIENTOS!$J$5:$J$1005))</f>
        <v/>
      </c>
      <c r="I305" s="63"/>
      <c r="J305" s="63" t="str">
        <f>IF(AND(MOVIMIENTOS!$A304&lt;&gt;"",COUNTIF(MOVIMIENTOS!$A$5:$A303,MOVIMIENTOS!$A304)=0),COUNT(J$4:J304)+1,"")</f>
        <v/>
      </c>
      <c r="K305" s="66">
        <f>MOVIMIENTOS!$A304</f>
        <v>46240</v>
      </c>
      <c r="L305" s="63"/>
      <c r="M305" s="63"/>
      <c r="N305" s="63"/>
    </row>
    <row r="306" spans="1:14" ht="15" customHeight="1" x14ac:dyDescent="0.2">
      <c r="A306" s="63" t="str">
        <f t="shared" si="8"/>
        <v/>
      </c>
      <c r="B306" s="63" t="str">
        <f>IF($A306="","",SUMPRODUCT((MOVIMIENTOS!$B$5:$B$1005="SALDO INICIAL")*(MOVIMIENTOS!$C$5:$C$1005="A")*(MOVIMIENTOS!$D$5:$D$1005="jabas")*(MOVIMIENTOS!$A$5:$A$1005&lt;&gt;"")*(MOVIMIENTOS!$A$5:$A$1005&lt;=$A306)*MOVIMIENTOS!$E$5:$E$1005)+SUMPRODUCT((MOVIMIENTOS!$B$5:$B$1005="PROCESO")*(MOVIMIENTOS!$C$5:$C$1005="A")*(MOVIMIENTOS!$D$5:$D$1005="jabas")*(MOVIMIENTOS!$A$5:$A$1005&lt;&gt;"")*(MOVIMIENTOS!$A$5:$A$1005&lt;=$A306)*MOVIMIENTOS!$E$5:$E$1005)-SUMPRODUCT((MOVIMIENTOS!$B$5:$B$1005="ENVÍO A SUPESA")*(MOVIMIENTOS!$C$5:$C$1005="A")*(MOVIMIENTOS!$D$5:$D$1005="jabas")*(MOVIMIENTOS!$A$5:$A$1005&lt;&gt;"")*(MOVIMIENTOS!$A$5:$A$1005&lt;=$A306)*MOVIMIENTOS!$E$5:$E$1005)+SUMPRODUCT((MOVIMIENTOS!$B$5:$B$1005="DEVOLUCIÓN")*(MOVIMIENTOS!$C$5:$C$1005="A")*(MOVIMIENTOS!$D$5:$D$1005="jabas")*(MOVIMIENTOS!$A$5:$A$1005&lt;&gt;"")*(MOVIMIENTOS!$A$5:$A$1005&lt;=$A306)*MOVIMIENTOS!$E$5:$E$1005)-SUMPRODUCT((MOVIMIENTOS!$B$5:$B$1005="TRASIEGO")*(MOVIMIENTOS!$C$5:$C$1005="A")*(MOVIMIENTOS!$D$5:$D$1005="jabas")*(MOVIMIENTOS!$A$5:$A$1005&lt;&gt;"")*(MOVIMIENTOS!$A$5:$A$1005&lt;=$A306)*MOVIMIENTOS!$E$5:$E$1005)-SUMPRODUCT((MOVIMIENTOS!$B$5:$B$1005="REGALO")*(MOVIMIENTOS!$C$5:$C$1005="A")*(MOVIMIENTOS!$D$5:$D$1005="jabas")*(MOVIMIENTOS!$A$5:$A$1005&lt;&gt;"")*(MOVIMIENTOS!$A$5:$A$1005&lt;=$A306)*MOVIMIENTOS!$E$5:$E$1005)-SUMPRODUCT((MOVIMIENTOS!$B$5:$B$1005="VENTA")*(MOVIMIENTOS!$C$5:$C$1005="A")*(MOVIMIENTOS!$D$5:$D$1005="jabas")*(MOVIMIENTOS!$A$5:$A$1005&lt;&gt;"")*(MOVIMIENTOS!$A$5:$A$1005&lt;=$A306)*MOVIMIENTOS!$E$5:$E$1005)+SUMPRODUCT((MOVIMIENTOS!$B$5:$B$1005="AJUSTE")*(MOVIMIENTOS!$C$5:$C$1005="A")*(MOVIMIENTOS!$D$5:$D$1005="jabas")*(MOVIMIENTOS!$A$5:$A$1005&lt;&gt;"")*(MOVIMIENTOS!$A$5:$A$1005&lt;=$A306)*MOVIMIENTOS!$E$5:$E$1005))</f>
        <v/>
      </c>
      <c r="C306" s="63" t="str">
        <f>IF($A306="","",SUMPRODUCT((MOVIMIENTOS!$B$5:$B$1005="SALDO INICIAL")*(MOVIMIENTOS!$C$5:$C$1005="P")*(MOVIMIENTOS!$D$5:$D$1005="jabas")*(MOVIMIENTOS!$A$5:$A$1005&lt;&gt;"")*(MOVIMIENTOS!$A$5:$A$1005&lt;=$A306)*MOVIMIENTOS!$E$5:$E$1005)+SUMPRODUCT((MOVIMIENTOS!$B$5:$B$1005="PROCESO")*(MOVIMIENTOS!$C$5:$C$1005="P")*(MOVIMIENTOS!$D$5:$D$1005="jabas")*(MOVIMIENTOS!$A$5:$A$1005&lt;&gt;"")*(MOVIMIENTOS!$A$5:$A$1005&lt;=$A306)*MOVIMIENTOS!$E$5:$E$1005)-SUMPRODUCT((MOVIMIENTOS!$B$5:$B$1005="ENVÍO A SUPESA")*(MOVIMIENTOS!$C$5:$C$1005="P")*(MOVIMIENTOS!$D$5:$D$1005="jabas")*(MOVIMIENTOS!$A$5:$A$1005&lt;&gt;"")*(MOVIMIENTOS!$A$5:$A$1005&lt;=$A306)*MOVIMIENTOS!$E$5:$E$1005)+SUMPRODUCT((MOVIMIENTOS!$B$5:$B$1005="DEVOLUCIÓN")*(MOVIMIENTOS!$C$5:$C$1005="P")*(MOVIMIENTOS!$D$5:$D$1005="jabas")*(MOVIMIENTOS!$A$5:$A$1005&lt;&gt;"")*(MOVIMIENTOS!$A$5:$A$1005&lt;=$A306)*MOVIMIENTOS!$E$5:$E$1005)-SUMPRODUCT((MOVIMIENTOS!$B$5:$B$1005="TRASIEGO")*(MOVIMIENTOS!$C$5:$C$1005="P")*(MOVIMIENTOS!$D$5:$D$1005="jabas")*(MOVIMIENTOS!$A$5:$A$1005&lt;&gt;"")*(MOVIMIENTOS!$A$5:$A$1005&lt;=$A306)*MOVIMIENTOS!$E$5:$E$1005)-SUMPRODUCT((MOVIMIENTOS!$B$5:$B$1005="REGALO")*(MOVIMIENTOS!$C$5:$C$1005="P")*(MOVIMIENTOS!$D$5:$D$1005="jabas")*(MOVIMIENTOS!$A$5:$A$1005&lt;&gt;"")*(MOVIMIENTOS!$A$5:$A$1005&lt;=$A306)*MOVIMIENTOS!$E$5:$E$1005)-SUMPRODUCT((MOVIMIENTOS!$B$5:$B$1005="VENTA")*(MOVIMIENTOS!$C$5:$C$1005="P")*(MOVIMIENTOS!$D$5:$D$1005="jabas")*(MOVIMIENTOS!$A$5:$A$1005&lt;&gt;"")*(MOVIMIENTOS!$A$5:$A$1005&lt;=$A306)*MOVIMIENTOS!$E$5:$E$1005)+SUMPRODUCT((MOVIMIENTOS!$B$5:$B$1005="AJUSTE")*(MOVIMIENTOS!$C$5:$C$1005="P")*(MOVIMIENTOS!$D$5:$D$1005="jabas")*(MOVIMIENTOS!$A$5:$A$1005&lt;&gt;"")*(MOVIMIENTOS!$A$5:$A$1005&lt;=$A306)*MOVIMIENTOS!$E$5:$E$1005))</f>
        <v/>
      </c>
      <c r="D306" s="63" t="str">
        <f>IF($A306="","",SUMPRODUCT((MOVIMIENTOS!$B$5:$B$1005="SALDO INICIAL")*(MOVIMIENTOS!$C$5:$C$1005="C")*(MOVIMIENTOS!$D$5:$D$1005="jabas")*(MOVIMIENTOS!$A$5:$A$1005&lt;&gt;"")*(MOVIMIENTOS!$A$5:$A$1005&lt;=$A306)*MOVIMIENTOS!$E$5:$E$1005)+SUMPRODUCT((MOVIMIENTOS!$B$5:$B$1005="PROCESO")*(MOVIMIENTOS!$C$5:$C$1005="C")*(MOVIMIENTOS!$D$5:$D$1005="jabas")*(MOVIMIENTOS!$A$5:$A$1005&lt;&gt;"")*(MOVIMIENTOS!$A$5:$A$1005&lt;=$A306)*MOVIMIENTOS!$E$5:$E$1005)-SUMPRODUCT((MOVIMIENTOS!$B$5:$B$1005="ENVÍO A SUPESA")*(MOVIMIENTOS!$C$5:$C$1005="C")*(MOVIMIENTOS!$D$5:$D$1005="jabas")*(MOVIMIENTOS!$A$5:$A$1005&lt;&gt;"")*(MOVIMIENTOS!$A$5:$A$1005&lt;=$A306)*MOVIMIENTOS!$E$5:$E$1005)+SUMPRODUCT((MOVIMIENTOS!$B$5:$B$1005="DEVOLUCIÓN")*(MOVIMIENTOS!$C$5:$C$1005="C")*(MOVIMIENTOS!$D$5:$D$1005="jabas")*(MOVIMIENTOS!$A$5:$A$1005&lt;&gt;"")*(MOVIMIENTOS!$A$5:$A$1005&lt;=$A306)*MOVIMIENTOS!$E$5:$E$1005)-SUMPRODUCT((MOVIMIENTOS!$B$5:$B$1005="TRASIEGO")*(MOVIMIENTOS!$C$5:$C$1005="C")*(MOVIMIENTOS!$D$5:$D$1005="jabas")*(MOVIMIENTOS!$A$5:$A$1005&lt;&gt;"")*(MOVIMIENTOS!$A$5:$A$1005&lt;=$A306)*MOVIMIENTOS!$E$5:$E$1005)-SUMPRODUCT((MOVIMIENTOS!$B$5:$B$1005="REGALO")*(MOVIMIENTOS!$C$5:$C$1005="C")*(MOVIMIENTOS!$D$5:$D$1005="jabas")*(MOVIMIENTOS!$A$5:$A$1005&lt;&gt;"")*(MOVIMIENTOS!$A$5:$A$1005&lt;=$A306)*MOVIMIENTOS!$E$5:$E$1005)-SUMPRODUCT((MOVIMIENTOS!$B$5:$B$1005="VENTA")*(MOVIMIENTOS!$C$5:$C$1005="C")*(MOVIMIENTOS!$D$5:$D$1005="jabas")*(MOVIMIENTOS!$A$5:$A$1005&lt;&gt;"")*(MOVIMIENTOS!$A$5:$A$1005&lt;=$A306)*MOVIMIENTOS!$E$5:$E$1005)+SUMPRODUCT((MOVIMIENTOS!$B$5:$B$1005="AJUSTE")*(MOVIMIENTOS!$C$5:$C$1005="C")*(MOVIMIENTOS!$D$5:$D$1005="jabas")*(MOVIMIENTOS!$A$5:$A$1005&lt;&gt;"")*(MOVIMIENTOS!$A$5:$A$1005&lt;=$A306)*MOVIMIENTOS!$E$5:$E$1005))</f>
        <v/>
      </c>
      <c r="E306" s="63" t="str">
        <f>IF($A306="","",SUMPRODUCT((MOVIMIENTOS!$B$5:$B$1005="SALDO INICIAL")*(MOVIMIENTOS!$C$5:$C$1005="M")*(MOVIMIENTOS!$D$5:$D$1005="jabas")*(MOVIMIENTOS!$A$5:$A$1005&lt;&gt;"")*(MOVIMIENTOS!$A$5:$A$1005&lt;=$A306)*MOVIMIENTOS!$E$5:$E$1005)+SUMPRODUCT((MOVIMIENTOS!$B$5:$B$1005="PROCESO")*(MOVIMIENTOS!$C$5:$C$1005="M")*(MOVIMIENTOS!$D$5:$D$1005="jabas")*(MOVIMIENTOS!$A$5:$A$1005&lt;&gt;"")*(MOVIMIENTOS!$A$5:$A$1005&lt;=$A306)*MOVIMIENTOS!$E$5:$E$1005)-SUMPRODUCT((MOVIMIENTOS!$B$5:$B$1005="ENVÍO A SUPESA")*(MOVIMIENTOS!$C$5:$C$1005="M")*(MOVIMIENTOS!$D$5:$D$1005="jabas")*(MOVIMIENTOS!$A$5:$A$1005&lt;&gt;"")*(MOVIMIENTOS!$A$5:$A$1005&lt;=$A306)*MOVIMIENTOS!$E$5:$E$1005)+SUMPRODUCT((MOVIMIENTOS!$B$5:$B$1005="DEVOLUCIÓN")*(MOVIMIENTOS!$C$5:$C$1005="M")*(MOVIMIENTOS!$D$5:$D$1005="jabas")*(MOVIMIENTOS!$A$5:$A$1005&lt;&gt;"")*(MOVIMIENTOS!$A$5:$A$1005&lt;=$A306)*MOVIMIENTOS!$E$5:$E$1005)-SUMPRODUCT((MOVIMIENTOS!$B$5:$B$1005="TRASIEGO")*(MOVIMIENTOS!$C$5:$C$1005="M")*(MOVIMIENTOS!$D$5:$D$1005="jabas")*(MOVIMIENTOS!$A$5:$A$1005&lt;&gt;"")*(MOVIMIENTOS!$A$5:$A$1005&lt;=$A306)*MOVIMIENTOS!$E$5:$E$1005)-SUMPRODUCT((MOVIMIENTOS!$B$5:$B$1005="REGALO")*(MOVIMIENTOS!$C$5:$C$1005="M")*(MOVIMIENTOS!$D$5:$D$1005="jabas")*(MOVIMIENTOS!$A$5:$A$1005&lt;&gt;"")*(MOVIMIENTOS!$A$5:$A$1005&lt;=$A306)*MOVIMIENTOS!$E$5:$E$1005)-SUMPRODUCT((MOVIMIENTOS!$B$5:$B$1005="VENTA")*(MOVIMIENTOS!$C$5:$C$1005="M")*(MOVIMIENTOS!$D$5:$D$1005="jabas")*(MOVIMIENTOS!$A$5:$A$1005&lt;&gt;"")*(MOVIMIENTOS!$A$5:$A$1005&lt;=$A306)*MOVIMIENTOS!$E$5:$E$1005)+SUMPRODUCT((MOVIMIENTOS!$B$5:$B$1005="AJUSTE")*(MOVIMIENTOS!$C$5:$C$1005="M")*(MOVIMIENTOS!$D$5:$D$1005="jabas")*(MOVIMIENTOS!$A$5:$A$1005&lt;&gt;"")*(MOVIMIENTOS!$A$5:$A$1005&lt;=$A306)*MOVIMIENTOS!$E$5:$E$1005))</f>
        <v/>
      </c>
      <c r="F306" s="63" t="str">
        <f>IF($A306="","",SUMPRODUCT((MOVIMIENTOS!$B$5:$B$1005="SALDO INICIAL")*(MOVIMIENTOS!$C$5:$C$1005="Chancho")*(MOVIMIENTOS!$D$5:$D$1005="sacos")*(MOVIMIENTOS!$A$5:$A$1005&lt;&gt;"")*(MOVIMIENTOS!$A$5:$A$1005&lt;=$A306)*MOVIMIENTOS!$E$5:$E$1005)+SUMPRODUCT((MOVIMIENTOS!$B$5:$B$1005="PROCESO")*(MOVIMIENTOS!$C$5:$C$1005="Chancho")*(MOVIMIENTOS!$D$5:$D$1005="sacos")*(MOVIMIENTOS!$A$5:$A$1005&lt;&gt;"")*(MOVIMIENTOS!$A$5:$A$1005&lt;=$A306)*MOVIMIENTOS!$E$5:$E$1005)-SUMPRODUCT((MOVIMIENTOS!$B$5:$B$1005="VENTA CHANCHO")*(MOVIMIENTOS!$C$5:$C$1005="Chancho")*(MOVIMIENTOS!$D$5:$D$1005="sacos")*(MOVIMIENTOS!$A$5:$A$1005&lt;&gt;"")*(MOVIMIENTOS!$A$5:$A$1005&lt;=$A306)*MOVIMIENTOS!$E$5:$E$1005)-SUMPRODUCT((MOVIMIENTOS!$B$5:$B$1005="REGALO")*(MOVIMIENTOS!$C$5:$C$1005="Chancho")*(MOVIMIENTOS!$D$5:$D$1005="sacos")*(MOVIMIENTOS!$A$5:$A$1005&lt;&gt;"")*(MOVIMIENTOS!$A$5:$A$1005&lt;=$A306)*MOVIMIENTOS!$E$5:$E$1005)-SUMPRODUCT((MOVIMIENTOS!$B$5:$B$1005="VENTA")*(MOVIMIENTOS!$C$5:$C$1005="Chancho")*(MOVIMIENTOS!$D$5:$D$1005="sacos")*(MOVIMIENTOS!$A$5:$A$1005&lt;&gt;"")*(MOVIMIENTOS!$A$5:$A$1005&lt;=$A306)*MOVIMIENTOS!$E$5:$E$1005)+SUMPRODUCT((MOVIMIENTOS!$B$5:$B$1005="AJUSTE")*(MOVIMIENTOS!$C$5:$C$1005="Chancho")*(MOVIMIENTOS!$D$5:$D$1005="sacos")*(MOVIMIENTOS!$A$5:$A$1005&lt;&gt;"")*(MOVIMIENTOS!$A$5:$A$1005&lt;=$A306)*MOVIMIENTOS!$E$5:$E$1005))</f>
        <v/>
      </c>
      <c r="G306" s="95" t="str">
        <f t="shared" si="9"/>
        <v/>
      </c>
      <c r="H306" s="63" t="str">
        <f>IF($A306="","",SUMPRODUCT((((MOVIMIENTOS!$B$5:$B$1005="SALDO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306)*MOVIMIENTOS!$J$5:$J$1005))</f>
        <v/>
      </c>
      <c r="I306" s="63"/>
      <c r="J306" s="63">
        <f>IF(AND(MOVIMIENTOS!$A305&lt;&gt;"",COUNTIF(MOVIMIENTOS!$A$5:$A304,MOVIMIENTOS!$A305)=0),COUNT(J$4:J305)+1,"")</f>
        <v>28</v>
      </c>
      <c r="K306" s="66">
        <f>MOVIMIENTOS!$A305</f>
        <v>46241</v>
      </c>
      <c r="L306" s="63"/>
      <c r="M306" s="63"/>
      <c r="N306" s="63"/>
    </row>
    <row r="307" spans="1:14" ht="15" customHeight="1" x14ac:dyDescent="0.2">
      <c r="A307" s="63" t="str">
        <f t="shared" si="8"/>
        <v/>
      </c>
      <c r="B307" s="63" t="str">
        <f>IF($A307="","",SUMPRODUCT((MOVIMIENTOS!$B$5:$B$1005="SALDO INICIAL")*(MOVIMIENTOS!$C$5:$C$1005="A")*(MOVIMIENTOS!$D$5:$D$1005="jabas")*(MOVIMIENTOS!$A$5:$A$1005&lt;&gt;"")*(MOVIMIENTOS!$A$5:$A$1005&lt;=$A307)*MOVIMIENTOS!$E$5:$E$1005)+SUMPRODUCT((MOVIMIENTOS!$B$5:$B$1005="PROCESO")*(MOVIMIENTOS!$C$5:$C$1005="A")*(MOVIMIENTOS!$D$5:$D$1005="jabas")*(MOVIMIENTOS!$A$5:$A$1005&lt;&gt;"")*(MOVIMIENTOS!$A$5:$A$1005&lt;=$A307)*MOVIMIENTOS!$E$5:$E$1005)-SUMPRODUCT((MOVIMIENTOS!$B$5:$B$1005="ENVÍO A SUPESA")*(MOVIMIENTOS!$C$5:$C$1005="A")*(MOVIMIENTOS!$D$5:$D$1005="jabas")*(MOVIMIENTOS!$A$5:$A$1005&lt;&gt;"")*(MOVIMIENTOS!$A$5:$A$1005&lt;=$A307)*MOVIMIENTOS!$E$5:$E$1005)+SUMPRODUCT((MOVIMIENTOS!$B$5:$B$1005="DEVOLUCIÓN")*(MOVIMIENTOS!$C$5:$C$1005="A")*(MOVIMIENTOS!$D$5:$D$1005="jabas")*(MOVIMIENTOS!$A$5:$A$1005&lt;&gt;"")*(MOVIMIENTOS!$A$5:$A$1005&lt;=$A307)*MOVIMIENTOS!$E$5:$E$1005)-SUMPRODUCT((MOVIMIENTOS!$B$5:$B$1005="TRASIEGO")*(MOVIMIENTOS!$C$5:$C$1005="A")*(MOVIMIENTOS!$D$5:$D$1005="jabas")*(MOVIMIENTOS!$A$5:$A$1005&lt;&gt;"")*(MOVIMIENTOS!$A$5:$A$1005&lt;=$A307)*MOVIMIENTOS!$E$5:$E$1005)-SUMPRODUCT((MOVIMIENTOS!$B$5:$B$1005="REGALO")*(MOVIMIENTOS!$C$5:$C$1005="A")*(MOVIMIENTOS!$D$5:$D$1005="jabas")*(MOVIMIENTOS!$A$5:$A$1005&lt;&gt;"")*(MOVIMIENTOS!$A$5:$A$1005&lt;=$A307)*MOVIMIENTOS!$E$5:$E$1005)-SUMPRODUCT((MOVIMIENTOS!$B$5:$B$1005="VENTA")*(MOVIMIENTOS!$C$5:$C$1005="A")*(MOVIMIENTOS!$D$5:$D$1005="jabas")*(MOVIMIENTOS!$A$5:$A$1005&lt;&gt;"")*(MOVIMIENTOS!$A$5:$A$1005&lt;=$A307)*MOVIMIENTOS!$E$5:$E$1005)+SUMPRODUCT((MOVIMIENTOS!$B$5:$B$1005="AJUSTE")*(MOVIMIENTOS!$C$5:$C$1005="A")*(MOVIMIENTOS!$D$5:$D$1005="jabas")*(MOVIMIENTOS!$A$5:$A$1005&lt;&gt;"")*(MOVIMIENTOS!$A$5:$A$1005&lt;=$A307)*MOVIMIENTOS!$E$5:$E$1005))</f>
        <v/>
      </c>
      <c r="C307" s="63" t="str">
        <f>IF($A307="","",SUMPRODUCT((MOVIMIENTOS!$B$5:$B$1005="SALDO INICIAL")*(MOVIMIENTOS!$C$5:$C$1005="P")*(MOVIMIENTOS!$D$5:$D$1005="jabas")*(MOVIMIENTOS!$A$5:$A$1005&lt;&gt;"")*(MOVIMIENTOS!$A$5:$A$1005&lt;=$A307)*MOVIMIENTOS!$E$5:$E$1005)+SUMPRODUCT((MOVIMIENTOS!$B$5:$B$1005="PROCESO")*(MOVIMIENTOS!$C$5:$C$1005="P")*(MOVIMIENTOS!$D$5:$D$1005="jabas")*(MOVIMIENTOS!$A$5:$A$1005&lt;&gt;"")*(MOVIMIENTOS!$A$5:$A$1005&lt;=$A307)*MOVIMIENTOS!$E$5:$E$1005)-SUMPRODUCT((MOVIMIENTOS!$B$5:$B$1005="ENVÍO A SUPESA")*(MOVIMIENTOS!$C$5:$C$1005="P")*(MOVIMIENTOS!$D$5:$D$1005="jabas")*(MOVIMIENTOS!$A$5:$A$1005&lt;&gt;"")*(MOVIMIENTOS!$A$5:$A$1005&lt;=$A307)*MOVIMIENTOS!$E$5:$E$1005)+SUMPRODUCT((MOVIMIENTOS!$B$5:$B$1005="DEVOLUCIÓN")*(MOVIMIENTOS!$C$5:$C$1005="P")*(MOVIMIENTOS!$D$5:$D$1005="jabas")*(MOVIMIENTOS!$A$5:$A$1005&lt;&gt;"")*(MOVIMIENTOS!$A$5:$A$1005&lt;=$A307)*MOVIMIENTOS!$E$5:$E$1005)-SUMPRODUCT((MOVIMIENTOS!$B$5:$B$1005="TRASIEGO")*(MOVIMIENTOS!$C$5:$C$1005="P")*(MOVIMIENTOS!$D$5:$D$1005="jabas")*(MOVIMIENTOS!$A$5:$A$1005&lt;&gt;"")*(MOVIMIENTOS!$A$5:$A$1005&lt;=$A307)*MOVIMIENTOS!$E$5:$E$1005)-SUMPRODUCT((MOVIMIENTOS!$B$5:$B$1005="REGALO")*(MOVIMIENTOS!$C$5:$C$1005="P")*(MOVIMIENTOS!$D$5:$D$1005="jabas")*(MOVIMIENTOS!$A$5:$A$1005&lt;&gt;"")*(MOVIMIENTOS!$A$5:$A$1005&lt;=$A307)*MOVIMIENTOS!$E$5:$E$1005)-SUMPRODUCT((MOVIMIENTOS!$B$5:$B$1005="VENTA")*(MOVIMIENTOS!$C$5:$C$1005="P")*(MOVIMIENTOS!$D$5:$D$1005="jabas")*(MOVIMIENTOS!$A$5:$A$1005&lt;&gt;"")*(MOVIMIENTOS!$A$5:$A$1005&lt;=$A307)*MOVIMIENTOS!$E$5:$E$1005)+SUMPRODUCT((MOVIMIENTOS!$B$5:$B$1005="AJUSTE")*(MOVIMIENTOS!$C$5:$C$1005="P")*(MOVIMIENTOS!$D$5:$D$1005="jabas")*(MOVIMIENTOS!$A$5:$A$1005&lt;&gt;"")*(MOVIMIENTOS!$A$5:$A$1005&lt;=$A307)*MOVIMIENTOS!$E$5:$E$1005))</f>
        <v/>
      </c>
      <c r="D307" s="63" t="str">
        <f>IF($A307="","",SUMPRODUCT((MOVIMIENTOS!$B$5:$B$1005="SALDO INICIAL")*(MOVIMIENTOS!$C$5:$C$1005="C")*(MOVIMIENTOS!$D$5:$D$1005="jabas")*(MOVIMIENTOS!$A$5:$A$1005&lt;&gt;"")*(MOVIMIENTOS!$A$5:$A$1005&lt;=$A307)*MOVIMIENTOS!$E$5:$E$1005)+SUMPRODUCT((MOVIMIENTOS!$B$5:$B$1005="PROCESO")*(MOVIMIENTOS!$C$5:$C$1005="C")*(MOVIMIENTOS!$D$5:$D$1005="jabas")*(MOVIMIENTOS!$A$5:$A$1005&lt;&gt;"")*(MOVIMIENTOS!$A$5:$A$1005&lt;=$A307)*MOVIMIENTOS!$E$5:$E$1005)-SUMPRODUCT((MOVIMIENTOS!$B$5:$B$1005="ENVÍO A SUPESA")*(MOVIMIENTOS!$C$5:$C$1005="C")*(MOVIMIENTOS!$D$5:$D$1005="jabas")*(MOVIMIENTOS!$A$5:$A$1005&lt;&gt;"")*(MOVIMIENTOS!$A$5:$A$1005&lt;=$A307)*MOVIMIENTOS!$E$5:$E$1005)+SUMPRODUCT((MOVIMIENTOS!$B$5:$B$1005="DEVOLUCIÓN")*(MOVIMIENTOS!$C$5:$C$1005="C")*(MOVIMIENTOS!$D$5:$D$1005="jabas")*(MOVIMIENTOS!$A$5:$A$1005&lt;&gt;"")*(MOVIMIENTOS!$A$5:$A$1005&lt;=$A307)*MOVIMIENTOS!$E$5:$E$1005)-SUMPRODUCT((MOVIMIENTOS!$B$5:$B$1005="TRASIEGO")*(MOVIMIENTOS!$C$5:$C$1005="C")*(MOVIMIENTOS!$D$5:$D$1005="jabas")*(MOVIMIENTOS!$A$5:$A$1005&lt;&gt;"")*(MOVIMIENTOS!$A$5:$A$1005&lt;=$A307)*MOVIMIENTOS!$E$5:$E$1005)-SUMPRODUCT((MOVIMIENTOS!$B$5:$B$1005="REGALO")*(MOVIMIENTOS!$C$5:$C$1005="C")*(MOVIMIENTOS!$D$5:$D$1005="jabas")*(MOVIMIENTOS!$A$5:$A$1005&lt;&gt;"")*(MOVIMIENTOS!$A$5:$A$1005&lt;=$A307)*MOVIMIENTOS!$E$5:$E$1005)-SUMPRODUCT((MOVIMIENTOS!$B$5:$B$1005="VENTA")*(MOVIMIENTOS!$C$5:$C$1005="C")*(MOVIMIENTOS!$D$5:$D$1005="jabas")*(MOVIMIENTOS!$A$5:$A$1005&lt;&gt;"")*(MOVIMIENTOS!$A$5:$A$1005&lt;=$A307)*MOVIMIENTOS!$E$5:$E$1005)+SUMPRODUCT((MOVIMIENTOS!$B$5:$B$1005="AJUSTE")*(MOVIMIENTOS!$C$5:$C$1005="C")*(MOVIMIENTOS!$D$5:$D$1005="jabas")*(MOVIMIENTOS!$A$5:$A$1005&lt;&gt;"")*(MOVIMIENTOS!$A$5:$A$1005&lt;=$A307)*MOVIMIENTOS!$E$5:$E$1005))</f>
        <v/>
      </c>
      <c r="E307" s="63" t="str">
        <f>IF($A307="","",SUMPRODUCT((MOVIMIENTOS!$B$5:$B$1005="SALDO INICIAL")*(MOVIMIENTOS!$C$5:$C$1005="M")*(MOVIMIENTOS!$D$5:$D$1005="jabas")*(MOVIMIENTOS!$A$5:$A$1005&lt;&gt;"")*(MOVIMIENTOS!$A$5:$A$1005&lt;=$A307)*MOVIMIENTOS!$E$5:$E$1005)+SUMPRODUCT((MOVIMIENTOS!$B$5:$B$1005="PROCESO")*(MOVIMIENTOS!$C$5:$C$1005="M")*(MOVIMIENTOS!$D$5:$D$1005="jabas")*(MOVIMIENTOS!$A$5:$A$1005&lt;&gt;"")*(MOVIMIENTOS!$A$5:$A$1005&lt;=$A307)*MOVIMIENTOS!$E$5:$E$1005)-SUMPRODUCT((MOVIMIENTOS!$B$5:$B$1005="ENVÍO A SUPESA")*(MOVIMIENTOS!$C$5:$C$1005="M")*(MOVIMIENTOS!$D$5:$D$1005="jabas")*(MOVIMIENTOS!$A$5:$A$1005&lt;&gt;"")*(MOVIMIENTOS!$A$5:$A$1005&lt;=$A307)*MOVIMIENTOS!$E$5:$E$1005)+SUMPRODUCT((MOVIMIENTOS!$B$5:$B$1005="DEVOLUCIÓN")*(MOVIMIENTOS!$C$5:$C$1005="M")*(MOVIMIENTOS!$D$5:$D$1005="jabas")*(MOVIMIENTOS!$A$5:$A$1005&lt;&gt;"")*(MOVIMIENTOS!$A$5:$A$1005&lt;=$A307)*MOVIMIENTOS!$E$5:$E$1005)-SUMPRODUCT((MOVIMIENTOS!$B$5:$B$1005="TRASIEGO")*(MOVIMIENTOS!$C$5:$C$1005="M")*(MOVIMIENTOS!$D$5:$D$1005="jabas")*(MOVIMIENTOS!$A$5:$A$1005&lt;&gt;"")*(MOVIMIENTOS!$A$5:$A$1005&lt;=$A307)*MOVIMIENTOS!$E$5:$E$1005)-SUMPRODUCT((MOVIMIENTOS!$B$5:$B$1005="REGALO")*(MOVIMIENTOS!$C$5:$C$1005="M")*(MOVIMIENTOS!$D$5:$D$1005="jabas")*(MOVIMIENTOS!$A$5:$A$1005&lt;&gt;"")*(MOVIMIENTOS!$A$5:$A$1005&lt;=$A307)*MOVIMIENTOS!$E$5:$E$1005)-SUMPRODUCT((MOVIMIENTOS!$B$5:$B$1005="VENTA")*(MOVIMIENTOS!$C$5:$C$1005="M")*(MOVIMIENTOS!$D$5:$D$1005="jabas")*(MOVIMIENTOS!$A$5:$A$1005&lt;&gt;"")*(MOVIMIENTOS!$A$5:$A$1005&lt;=$A307)*MOVIMIENTOS!$E$5:$E$1005)+SUMPRODUCT((MOVIMIENTOS!$B$5:$B$1005="AJUSTE")*(MOVIMIENTOS!$C$5:$C$1005="M")*(MOVIMIENTOS!$D$5:$D$1005="jabas")*(MOVIMIENTOS!$A$5:$A$1005&lt;&gt;"")*(MOVIMIENTOS!$A$5:$A$1005&lt;=$A307)*MOVIMIENTOS!$E$5:$E$1005))</f>
        <v/>
      </c>
      <c r="F307" s="63" t="str">
        <f>IF($A307="","",SUMPRODUCT((MOVIMIENTOS!$B$5:$B$1005="SALDO INICIAL")*(MOVIMIENTOS!$C$5:$C$1005="Chancho")*(MOVIMIENTOS!$D$5:$D$1005="sacos")*(MOVIMIENTOS!$A$5:$A$1005&lt;&gt;"")*(MOVIMIENTOS!$A$5:$A$1005&lt;=$A307)*MOVIMIENTOS!$E$5:$E$1005)+SUMPRODUCT((MOVIMIENTOS!$B$5:$B$1005="PROCESO")*(MOVIMIENTOS!$C$5:$C$1005="Chancho")*(MOVIMIENTOS!$D$5:$D$1005="sacos")*(MOVIMIENTOS!$A$5:$A$1005&lt;&gt;"")*(MOVIMIENTOS!$A$5:$A$1005&lt;=$A307)*MOVIMIENTOS!$E$5:$E$1005)-SUMPRODUCT((MOVIMIENTOS!$B$5:$B$1005="VENTA CHANCHO")*(MOVIMIENTOS!$C$5:$C$1005="Chancho")*(MOVIMIENTOS!$D$5:$D$1005="sacos")*(MOVIMIENTOS!$A$5:$A$1005&lt;&gt;"")*(MOVIMIENTOS!$A$5:$A$1005&lt;=$A307)*MOVIMIENTOS!$E$5:$E$1005)-SUMPRODUCT((MOVIMIENTOS!$B$5:$B$1005="REGALO")*(MOVIMIENTOS!$C$5:$C$1005="Chancho")*(MOVIMIENTOS!$D$5:$D$1005="sacos")*(MOVIMIENTOS!$A$5:$A$1005&lt;&gt;"")*(MOVIMIENTOS!$A$5:$A$1005&lt;=$A307)*MOVIMIENTOS!$E$5:$E$1005)-SUMPRODUCT((MOVIMIENTOS!$B$5:$B$1005="VENTA")*(MOVIMIENTOS!$C$5:$C$1005="Chancho")*(MOVIMIENTOS!$D$5:$D$1005="sacos")*(MOVIMIENTOS!$A$5:$A$1005&lt;&gt;"")*(MOVIMIENTOS!$A$5:$A$1005&lt;=$A307)*MOVIMIENTOS!$E$5:$E$1005)+SUMPRODUCT((MOVIMIENTOS!$B$5:$B$1005="AJUSTE")*(MOVIMIENTOS!$C$5:$C$1005="Chancho")*(MOVIMIENTOS!$D$5:$D$1005="sacos")*(MOVIMIENTOS!$A$5:$A$1005&lt;&gt;"")*(MOVIMIENTOS!$A$5:$A$1005&lt;=$A307)*MOVIMIENTOS!$E$5:$E$1005))</f>
        <v/>
      </c>
      <c r="G307" s="95" t="str">
        <f t="shared" si="9"/>
        <v/>
      </c>
      <c r="H307" s="63" t="str">
        <f>IF($A307="","",SUMPRODUCT((((MOVIMIENTOS!$B$5:$B$1005="SALDO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307)*MOVIMIENTOS!$J$5:$J$1005))</f>
        <v/>
      </c>
      <c r="I307" s="63"/>
      <c r="J307" s="63" t="str">
        <f>IF(AND(MOVIMIENTOS!$A306&lt;&gt;"",COUNTIF(MOVIMIENTOS!$A$5:$A305,MOVIMIENTOS!$A306)=0),COUNT(J$4:J306)+1,"")</f>
        <v/>
      </c>
      <c r="K307" s="66">
        <f>MOVIMIENTOS!$A306</f>
        <v>46241</v>
      </c>
      <c r="L307" s="63"/>
      <c r="M307" s="63"/>
      <c r="N307" s="63"/>
    </row>
    <row r="308" spans="1:14" ht="15" customHeight="1" x14ac:dyDescent="0.2">
      <c r="A308" s="63" t="str">
        <f t="shared" si="8"/>
        <v/>
      </c>
      <c r="B308" s="63" t="str">
        <f>IF($A308="","",SUMPRODUCT((MOVIMIENTOS!$B$5:$B$1005="SALDO INICIAL")*(MOVIMIENTOS!$C$5:$C$1005="A")*(MOVIMIENTOS!$D$5:$D$1005="jabas")*(MOVIMIENTOS!$A$5:$A$1005&lt;&gt;"")*(MOVIMIENTOS!$A$5:$A$1005&lt;=$A308)*MOVIMIENTOS!$E$5:$E$1005)+SUMPRODUCT((MOVIMIENTOS!$B$5:$B$1005="PROCESO")*(MOVIMIENTOS!$C$5:$C$1005="A")*(MOVIMIENTOS!$D$5:$D$1005="jabas")*(MOVIMIENTOS!$A$5:$A$1005&lt;&gt;"")*(MOVIMIENTOS!$A$5:$A$1005&lt;=$A308)*MOVIMIENTOS!$E$5:$E$1005)-SUMPRODUCT((MOVIMIENTOS!$B$5:$B$1005="ENVÍO A SUPESA")*(MOVIMIENTOS!$C$5:$C$1005="A")*(MOVIMIENTOS!$D$5:$D$1005="jabas")*(MOVIMIENTOS!$A$5:$A$1005&lt;&gt;"")*(MOVIMIENTOS!$A$5:$A$1005&lt;=$A308)*MOVIMIENTOS!$E$5:$E$1005)+SUMPRODUCT((MOVIMIENTOS!$B$5:$B$1005="DEVOLUCIÓN")*(MOVIMIENTOS!$C$5:$C$1005="A")*(MOVIMIENTOS!$D$5:$D$1005="jabas")*(MOVIMIENTOS!$A$5:$A$1005&lt;&gt;"")*(MOVIMIENTOS!$A$5:$A$1005&lt;=$A308)*MOVIMIENTOS!$E$5:$E$1005)-SUMPRODUCT((MOVIMIENTOS!$B$5:$B$1005="TRASIEGO")*(MOVIMIENTOS!$C$5:$C$1005="A")*(MOVIMIENTOS!$D$5:$D$1005="jabas")*(MOVIMIENTOS!$A$5:$A$1005&lt;&gt;"")*(MOVIMIENTOS!$A$5:$A$1005&lt;=$A308)*MOVIMIENTOS!$E$5:$E$1005)-SUMPRODUCT((MOVIMIENTOS!$B$5:$B$1005="REGALO")*(MOVIMIENTOS!$C$5:$C$1005="A")*(MOVIMIENTOS!$D$5:$D$1005="jabas")*(MOVIMIENTOS!$A$5:$A$1005&lt;&gt;"")*(MOVIMIENTOS!$A$5:$A$1005&lt;=$A308)*MOVIMIENTOS!$E$5:$E$1005)-SUMPRODUCT((MOVIMIENTOS!$B$5:$B$1005="VENTA")*(MOVIMIENTOS!$C$5:$C$1005="A")*(MOVIMIENTOS!$D$5:$D$1005="jabas")*(MOVIMIENTOS!$A$5:$A$1005&lt;&gt;"")*(MOVIMIENTOS!$A$5:$A$1005&lt;=$A308)*MOVIMIENTOS!$E$5:$E$1005)+SUMPRODUCT((MOVIMIENTOS!$B$5:$B$1005="AJUSTE")*(MOVIMIENTOS!$C$5:$C$1005="A")*(MOVIMIENTOS!$D$5:$D$1005="jabas")*(MOVIMIENTOS!$A$5:$A$1005&lt;&gt;"")*(MOVIMIENTOS!$A$5:$A$1005&lt;=$A308)*MOVIMIENTOS!$E$5:$E$1005))</f>
        <v/>
      </c>
      <c r="C308" s="63" t="str">
        <f>IF($A308="","",SUMPRODUCT((MOVIMIENTOS!$B$5:$B$1005="SALDO INICIAL")*(MOVIMIENTOS!$C$5:$C$1005="P")*(MOVIMIENTOS!$D$5:$D$1005="jabas")*(MOVIMIENTOS!$A$5:$A$1005&lt;&gt;"")*(MOVIMIENTOS!$A$5:$A$1005&lt;=$A308)*MOVIMIENTOS!$E$5:$E$1005)+SUMPRODUCT((MOVIMIENTOS!$B$5:$B$1005="PROCESO")*(MOVIMIENTOS!$C$5:$C$1005="P")*(MOVIMIENTOS!$D$5:$D$1005="jabas")*(MOVIMIENTOS!$A$5:$A$1005&lt;&gt;"")*(MOVIMIENTOS!$A$5:$A$1005&lt;=$A308)*MOVIMIENTOS!$E$5:$E$1005)-SUMPRODUCT((MOVIMIENTOS!$B$5:$B$1005="ENVÍO A SUPESA")*(MOVIMIENTOS!$C$5:$C$1005="P")*(MOVIMIENTOS!$D$5:$D$1005="jabas")*(MOVIMIENTOS!$A$5:$A$1005&lt;&gt;"")*(MOVIMIENTOS!$A$5:$A$1005&lt;=$A308)*MOVIMIENTOS!$E$5:$E$1005)+SUMPRODUCT((MOVIMIENTOS!$B$5:$B$1005="DEVOLUCIÓN")*(MOVIMIENTOS!$C$5:$C$1005="P")*(MOVIMIENTOS!$D$5:$D$1005="jabas")*(MOVIMIENTOS!$A$5:$A$1005&lt;&gt;"")*(MOVIMIENTOS!$A$5:$A$1005&lt;=$A308)*MOVIMIENTOS!$E$5:$E$1005)-SUMPRODUCT((MOVIMIENTOS!$B$5:$B$1005="TRASIEGO")*(MOVIMIENTOS!$C$5:$C$1005="P")*(MOVIMIENTOS!$D$5:$D$1005="jabas")*(MOVIMIENTOS!$A$5:$A$1005&lt;&gt;"")*(MOVIMIENTOS!$A$5:$A$1005&lt;=$A308)*MOVIMIENTOS!$E$5:$E$1005)-SUMPRODUCT((MOVIMIENTOS!$B$5:$B$1005="REGALO")*(MOVIMIENTOS!$C$5:$C$1005="P")*(MOVIMIENTOS!$D$5:$D$1005="jabas")*(MOVIMIENTOS!$A$5:$A$1005&lt;&gt;"")*(MOVIMIENTOS!$A$5:$A$1005&lt;=$A308)*MOVIMIENTOS!$E$5:$E$1005)-SUMPRODUCT((MOVIMIENTOS!$B$5:$B$1005="VENTA")*(MOVIMIENTOS!$C$5:$C$1005="P")*(MOVIMIENTOS!$D$5:$D$1005="jabas")*(MOVIMIENTOS!$A$5:$A$1005&lt;&gt;"")*(MOVIMIENTOS!$A$5:$A$1005&lt;=$A308)*MOVIMIENTOS!$E$5:$E$1005)+SUMPRODUCT((MOVIMIENTOS!$B$5:$B$1005="AJUSTE")*(MOVIMIENTOS!$C$5:$C$1005="P")*(MOVIMIENTOS!$D$5:$D$1005="jabas")*(MOVIMIENTOS!$A$5:$A$1005&lt;&gt;"")*(MOVIMIENTOS!$A$5:$A$1005&lt;=$A308)*MOVIMIENTOS!$E$5:$E$1005))</f>
        <v/>
      </c>
      <c r="D308" s="63" t="str">
        <f>IF($A308="","",SUMPRODUCT((MOVIMIENTOS!$B$5:$B$1005="SALDO INICIAL")*(MOVIMIENTOS!$C$5:$C$1005="C")*(MOVIMIENTOS!$D$5:$D$1005="jabas")*(MOVIMIENTOS!$A$5:$A$1005&lt;&gt;"")*(MOVIMIENTOS!$A$5:$A$1005&lt;=$A308)*MOVIMIENTOS!$E$5:$E$1005)+SUMPRODUCT((MOVIMIENTOS!$B$5:$B$1005="PROCESO")*(MOVIMIENTOS!$C$5:$C$1005="C")*(MOVIMIENTOS!$D$5:$D$1005="jabas")*(MOVIMIENTOS!$A$5:$A$1005&lt;&gt;"")*(MOVIMIENTOS!$A$5:$A$1005&lt;=$A308)*MOVIMIENTOS!$E$5:$E$1005)-SUMPRODUCT((MOVIMIENTOS!$B$5:$B$1005="ENVÍO A SUPESA")*(MOVIMIENTOS!$C$5:$C$1005="C")*(MOVIMIENTOS!$D$5:$D$1005="jabas")*(MOVIMIENTOS!$A$5:$A$1005&lt;&gt;"")*(MOVIMIENTOS!$A$5:$A$1005&lt;=$A308)*MOVIMIENTOS!$E$5:$E$1005)+SUMPRODUCT((MOVIMIENTOS!$B$5:$B$1005="DEVOLUCIÓN")*(MOVIMIENTOS!$C$5:$C$1005="C")*(MOVIMIENTOS!$D$5:$D$1005="jabas")*(MOVIMIENTOS!$A$5:$A$1005&lt;&gt;"")*(MOVIMIENTOS!$A$5:$A$1005&lt;=$A308)*MOVIMIENTOS!$E$5:$E$1005)-SUMPRODUCT((MOVIMIENTOS!$B$5:$B$1005="TRASIEGO")*(MOVIMIENTOS!$C$5:$C$1005="C")*(MOVIMIENTOS!$D$5:$D$1005="jabas")*(MOVIMIENTOS!$A$5:$A$1005&lt;&gt;"")*(MOVIMIENTOS!$A$5:$A$1005&lt;=$A308)*MOVIMIENTOS!$E$5:$E$1005)-SUMPRODUCT((MOVIMIENTOS!$B$5:$B$1005="REGALO")*(MOVIMIENTOS!$C$5:$C$1005="C")*(MOVIMIENTOS!$D$5:$D$1005="jabas")*(MOVIMIENTOS!$A$5:$A$1005&lt;&gt;"")*(MOVIMIENTOS!$A$5:$A$1005&lt;=$A308)*MOVIMIENTOS!$E$5:$E$1005)-SUMPRODUCT((MOVIMIENTOS!$B$5:$B$1005="VENTA")*(MOVIMIENTOS!$C$5:$C$1005="C")*(MOVIMIENTOS!$D$5:$D$1005="jabas")*(MOVIMIENTOS!$A$5:$A$1005&lt;&gt;"")*(MOVIMIENTOS!$A$5:$A$1005&lt;=$A308)*MOVIMIENTOS!$E$5:$E$1005)+SUMPRODUCT((MOVIMIENTOS!$B$5:$B$1005="AJUSTE")*(MOVIMIENTOS!$C$5:$C$1005="C")*(MOVIMIENTOS!$D$5:$D$1005="jabas")*(MOVIMIENTOS!$A$5:$A$1005&lt;&gt;"")*(MOVIMIENTOS!$A$5:$A$1005&lt;=$A308)*MOVIMIENTOS!$E$5:$E$1005))</f>
        <v/>
      </c>
      <c r="E308" s="63" t="str">
        <f>IF($A308="","",SUMPRODUCT((MOVIMIENTOS!$B$5:$B$1005="SALDO INICIAL")*(MOVIMIENTOS!$C$5:$C$1005="M")*(MOVIMIENTOS!$D$5:$D$1005="jabas")*(MOVIMIENTOS!$A$5:$A$1005&lt;&gt;"")*(MOVIMIENTOS!$A$5:$A$1005&lt;=$A308)*MOVIMIENTOS!$E$5:$E$1005)+SUMPRODUCT((MOVIMIENTOS!$B$5:$B$1005="PROCESO")*(MOVIMIENTOS!$C$5:$C$1005="M")*(MOVIMIENTOS!$D$5:$D$1005="jabas")*(MOVIMIENTOS!$A$5:$A$1005&lt;&gt;"")*(MOVIMIENTOS!$A$5:$A$1005&lt;=$A308)*MOVIMIENTOS!$E$5:$E$1005)-SUMPRODUCT((MOVIMIENTOS!$B$5:$B$1005="ENVÍO A SUPESA")*(MOVIMIENTOS!$C$5:$C$1005="M")*(MOVIMIENTOS!$D$5:$D$1005="jabas")*(MOVIMIENTOS!$A$5:$A$1005&lt;&gt;"")*(MOVIMIENTOS!$A$5:$A$1005&lt;=$A308)*MOVIMIENTOS!$E$5:$E$1005)+SUMPRODUCT((MOVIMIENTOS!$B$5:$B$1005="DEVOLUCIÓN")*(MOVIMIENTOS!$C$5:$C$1005="M")*(MOVIMIENTOS!$D$5:$D$1005="jabas")*(MOVIMIENTOS!$A$5:$A$1005&lt;&gt;"")*(MOVIMIENTOS!$A$5:$A$1005&lt;=$A308)*MOVIMIENTOS!$E$5:$E$1005)-SUMPRODUCT((MOVIMIENTOS!$B$5:$B$1005="TRASIEGO")*(MOVIMIENTOS!$C$5:$C$1005="M")*(MOVIMIENTOS!$D$5:$D$1005="jabas")*(MOVIMIENTOS!$A$5:$A$1005&lt;&gt;"")*(MOVIMIENTOS!$A$5:$A$1005&lt;=$A308)*MOVIMIENTOS!$E$5:$E$1005)-SUMPRODUCT((MOVIMIENTOS!$B$5:$B$1005="REGALO")*(MOVIMIENTOS!$C$5:$C$1005="M")*(MOVIMIENTOS!$D$5:$D$1005="jabas")*(MOVIMIENTOS!$A$5:$A$1005&lt;&gt;"")*(MOVIMIENTOS!$A$5:$A$1005&lt;=$A308)*MOVIMIENTOS!$E$5:$E$1005)-SUMPRODUCT((MOVIMIENTOS!$B$5:$B$1005="VENTA")*(MOVIMIENTOS!$C$5:$C$1005="M")*(MOVIMIENTOS!$D$5:$D$1005="jabas")*(MOVIMIENTOS!$A$5:$A$1005&lt;&gt;"")*(MOVIMIENTOS!$A$5:$A$1005&lt;=$A308)*MOVIMIENTOS!$E$5:$E$1005)+SUMPRODUCT((MOVIMIENTOS!$B$5:$B$1005="AJUSTE")*(MOVIMIENTOS!$C$5:$C$1005="M")*(MOVIMIENTOS!$D$5:$D$1005="jabas")*(MOVIMIENTOS!$A$5:$A$1005&lt;&gt;"")*(MOVIMIENTOS!$A$5:$A$1005&lt;=$A308)*MOVIMIENTOS!$E$5:$E$1005))</f>
        <v/>
      </c>
      <c r="F308" s="63" t="str">
        <f>IF($A308="","",SUMPRODUCT((MOVIMIENTOS!$B$5:$B$1005="SALDO INICIAL")*(MOVIMIENTOS!$C$5:$C$1005="Chancho")*(MOVIMIENTOS!$D$5:$D$1005="sacos")*(MOVIMIENTOS!$A$5:$A$1005&lt;&gt;"")*(MOVIMIENTOS!$A$5:$A$1005&lt;=$A308)*MOVIMIENTOS!$E$5:$E$1005)+SUMPRODUCT((MOVIMIENTOS!$B$5:$B$1005="PROCESO")*(MOVIMIENTOS!$C$5:$C$1005="Chancho")*(MOVIMIENTOS!$D$5:$D$1005="sacos")*(MOVIMIENTOS!$A$5:$A$1005&lt;&gt;"")*(MOVIMIENTOS!$A$5:$A$1005&lt;=$A308)*MOVIMIENTOS!$E$5:$E$1005)-SUMPRODUCT((MOVIMIENTOS!$B$5:$B$1005="VENTA CHANCHO")*(MOVIMIENTOS!$C$5:$C$1005="Chancho")*(MOVIMIENTOS!$D$5:$D$1005="sacos")*(MOVIMIENTOS!$A$5:$A$1005&lt;&gt;"")*(MOVIMIENTOS!$A$5:$A$1005&lt;=$A308)*MOVIMIENTOS!$E$5:$E$1005)-SUMPRODUCT((MOVIMIENTOS!$B$5:$B$1005="REGALO")*(MOVIMIENTOS!$C$5:$C$1005="Chancho")*(MOVIMIENTOS!$D$5:$D$1005="sacos")*(MOVIMIENTOS!$A$5:$A$1005&lt;&gt;"")*(MOVIMIENTOS!$A$5:$A$1005&lt;=$A308)*MOVIMIENTOS!$E$5:$E$1005)-SUMPRODUCT((MOVIMIENTOS!$B$5:$B$1005="VENTA")*(MOVIMIENTOS!$C$5:$C$1005="Chancho")*(MOVIMIENTOS!$D$5:$D$1005="sacos")*(MOVIMIENTOS!$A$5:$A$1005&lt;&gt;"")*(MOVIMIENTOS!$A$5:$A$1005&lt;=$A308)*MOVIMIENTOS!$E$5:$E$1005)+SUMPRODUCT((MOVIMIENTOS!$B$5:$B$1005="AJUSTE")*(MOVIMIENTOS!$C$5:$C$1005="Chancho")*(MOVIMIENTOS!$D$5:$D$1005="sacos")*(MOVIMIENTOS!$A$5:$A$1005&lt;&gt;"")*(MOVIMIENTOS!$A$5:$A$1005&lt;=$A308)*MOVIMIENTOS!$E$5:$E$1005))</f>
        <v/>
      </c>
      <c r="G308" s="95" t="str">
        <f t="shared" si="9"/>
        <v/>
      </c>
      <c r="H308" s="63" t="str">
        <f>IF($A308="","",SUMPRODUCT((((MOVIMIENTOS!$B$5:$B$1005="SALDO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308)*MOVIMIENTOS!$J$5:$J$1005))</f>
        <v/>
      </c>
      <c r="I308" s="63"/>
      <c r="J308" s="63" t="str">
        <f>IF(AND(MOVIMIENTOS!$A307&lt;&gt;"",COUNTIF(MOVIMIENTOS!$A$5:$A306,MOVIMIENTOS!$A307)=0),COUNT(J$4:J307)+1,"")</f>
        <v/>
      </c>
      <c r="K308" s="66">
        <f>MOVIMIENTOS!$A307</f>
        <v>46241</v>
      </c>
      <c r="L308" s="63"/>
      <c r="M308" s="63"/>
      <c r="N308" s="63"/>
    </row>
    <row r="309" spans="1:14" ht="15" customHeight="1" x14ac:dyDescent="0.2">
      <c r="A309" s="63" t="str">
        <f t="shared" si="8"/>
        <v/>
      </c>
      <c r="B309" s="63" t="str">
        <f>IF($A309="","",SUMPRODUCT((MOVIMIENTOS!$B$5:$B$1005="SALDO INICIAL")*(MOVIMIENTOS!$C$5:$C$1005="A")*(MOVIMIENTOS!$D$5:$D$1005="jabas")*(MOVIMIENTOS!$A$5:$A$1005&lt;&gt;"")*(MOVIMIENTOS!$A$5:$A$1005&lt;=$A309)*MOVIMIENTOS!$E$5:$E$1005)+SUMPRODUCT((MOVIMIENTOS!$B$5:$B$1005="PROCESO")*(MOVIMIENTOS!$C$5:$C$1005="A")*(MOVIMIENTOS!$D$5:$D$1005="jabas")*(MOVIMIENTOS!$A$5:$A$1005&lt;&gt;"")*(MOVIMIENTOS!$A$5:$A$1005&lt;=$A309)*MOVIMIENTOS!$E$5:$E$1005)-SUMPRODUCT((MOVIMIENTOS!$B$5:$B$1005="ENVÍO A SUPESA")*(MOVIMIENTOS!$C$5:$C$1005="A")*(MOVIMIENTOS!$D$5:$D$1005="jabas")*(MOVIMIENTOS!$A$5:$A$1005&lt;&gt;"")*(MOVIMIENTOS!$A$5:$A$1005&lt;=$A309)*MOVIMIENTOS!$E$5:$E$1005)+SUMPRODUCT((MOVIMIENTOS!$B$5:$B$1005="DEVOLUCIÓN")*(MOVIMIENTOS!$C$5:$C$1005="A")*(MOVIMIENTOS!$D$5:$D$1005="jabas")*(MOVIMIENTOS!$A$5:$A$1005&lt;&gt;"")*(MOVIMIENTOS!$A$5:$A$1005&lt;=$A309)*MOVIMIENTOS!$E$5:$E$1005)-SUMPRODUCT((MOVIMIENTOS!$B$5:$B$1005="TRASIEGO")*(MOVIMIENTOS!$C$5:$C$1005="A")*(MOVIMIENTOS!$D$5:$D$1005="jabas")*(MOVIMIENTOS!$A$5:$A$1005&lt;&gt;"")*(MOVIMIENTOS!$A$5:$A$1005&lt;=$A309)*MOVIMIENTOS!$E$5:$E$1005)-SUMPRODUCT((MOVIMIENTOS!$B$5:$B$1005="REGALO")*(MOVIMIENTOS!$C$5:$C$1005="A")*(MOVIMIENTOS!$D$5:$D$1005="jabas")*(MOVIMIENTOS!$A$5:$A$1005&lt;&gt;"")*(MOVIMIENTOS!$A$5:$A$1005&lt;=$A309)*MOVIMIENTOS!$E$5:$E$1005)-SUMPRODUCT((MOVIMIENTOS!$B$5:$B$1005="VENTA")*(MOVIMIENTOS!$C$5:$C$1005="A")*(MOVIMIENTOS!$D$5:$D$1005="jabas")*(MOVIMIENTOS!$A$5:$A$1005&lt;&gt;"")*(MOVIMIENTOS!$A$5:$A$1005&lt;=$A309)*MOVIMIENTOS!$E$5:$E$1005)+SUMPRODUCT((MOVIMIENTOS!$B$5:$B$1005="AJUSTE")*(MOVIMIENTOS!$C$5:$C$1005="A")*(MOVIMIENTOS!$D$5:$D$1005="jabas")*(MOVIMIENTOS!$A$5:$A$1005&lt;&gt;"")*(MOVIMIENTOS!$A$5:$A$1005&lt;=$A309)*MOVIMIENTOS!$E$5:$E$1005))</f>
        <v/>
      </c>
      <c r="C309" s="63" t="str">
        <f>IF($A309="","",SUMPRODUCT((MOVIMIENTOS!$B$5:$B$1005="SALDO INICIAL")*(MOVIMIENTOS!$C$5:$C$1005="P")*(MOVIMIENTOS!$D$5:$D$1005="jabas")*(MOVIMIENTOS!$A$5:$A$1005&lt;&gt;"")*(MOVIMIENTOS!$A$5:$A$1005&lt;=$A309)*MOVIMIENTOS!$E$5:$E$1005)+SUMPRODUCT((MOVIMIENTOS!$B$5:$B$1005="PROCESO")*(MOVIMIENTOS!$C$5:$C$1005="P")*(MOVIMIENTOS!$D$5:$D$1005="jabas")*(MOVIMIENTOS!$A$5:$A$1005&lt;&gt;"")*(MOVIMIENTOS!$A$5:$A$1005&lt;=$A309)*MOVIMIENTOS!$E$5:$E$1005)-SUMPRODUCT((MOVIMIENTOS!$B$5:$B$1005="ENVÍO A SUPESA")*(MOVIMIENTOS!$C$5:$C$1005="P")*(MOVIMIENTOS!$D$5:$D$1005="jabas")*(MOVIMIENTOS!$A$5:$A$1005&lt;&gt;"")*(MOVIMIENTOS!$A$5:$A$1005&lt;=$A309)*MOVIMIENTOS!$E$5:$E$1005)+SUMPRODUCT((MOVIMIENTOS!$B$5:$B$1005="DEVOLUCIÓN")*(MOVIMIENTOS!$C$5:$C$1005="P")*(MOVIMIENTOS!$D$5:$D$1005="jabas")*(MOVIMIENTOS!$A$5:$A$1005&lt;&gt;"")*(MOVIMIENTOS!$A$5:$A$1005&lt;=$A309)*MOVIMIENTOS!$E$5:$E$1005)-SUMPRODUCT((MOVIMIENTOS!$B$5:$B$1005="TRASIEGO")*(MOVIMIENTOS!$C$5:$C$1005="P")*(MOVIMIENTOS!$D$5:$D$1005="jabas")*(MOVIMIENTOS!$A$5:$A$1005&lt;&gt;"")*(MOVIMIENTOS!$A$5:$A$1005&lt;=$A309)*MOVIMIENTOS!$E$5:$E$1005)-SUMPRODUCT((MOVIMIENTOS!$B$5:$B$1005="REGALO")*(MOVIMIENTOS!$C$5:$C$1005="P")*(MOVIMIENTOS!$D$5:$D$1005="jabas")*(MOVIMIENTOS!$A$5:$A$1005&lt;&gt;"")*(MOVIMIENTOS!$A$5:$A$1005&lt;=$A309)*MOVIMIENTOS!$E$5:$E$1005)-SUMPRODUCT((MOVIMIENTOS!$B$5:$B$1005="VENTA")*(MOVIMIENTOS!$C$5:$C$1005="P")*(MOVIMIENTOS!$D$5:$D$1005="jabas")*(MOVIMIENTOS!$A$5:$A$1005&lt;&gt;"")*(MOVIMIENTOS!$A$5:$A$1005&lt;=$A309)*MOVIMIENTOS!$E$5:$E$1005)+SUMPRODUCT((MOVIMIENTOS!$B$5:$B$1005="AJUSTE")*(MOVIMIENTOS!$C$5:$C$1005="P")*(MOVIMIENTOS!$D$5:$D$1005="jabas")*(MOVIMIENTOS!$A$5:$A$1005&lt;&gt;"")*(MOVIMIENTOS!$A$5:$A$1005&lt;=$A309)*MOVIMIENTOS!$E$5:$E$1005))</f>
        <v/>
      </c>
      <c r="D309" s="63" t="str">
        <f>IF($A309="","",SUMPRODUCT((MOVIMIENTOS!$B$5:$B$1005="SALDO INICIAL")*(MOVIMIENTOS!$C$5:$C$1005="C")*(MOVIMIENTOS!$D$5:$D$1005="jabas")*(MOVIMIENTOS!$A$5:$A$1005&lt;&gt;"")*(MOVIMIENTOS!$A$5:$A$1005&lt;=$A309)*MOVIMIENTOS!$E$5:$E$1005)+SUMPRODUCT((MOVIMIENTOS!$B$5:$B$1005="PROCESO")*(MOVIMIENTOS!$C$5:$C$1005="C")*(MOVIMIENTOS!$D$5:$D$1005="jabas")*(MOVIMIENTOS!$A$5:$A$1005&lt;&gt;"")*(MOVIMIENTOS!$A$5:$A$1005&lt;=$A309)*MOVIMIENTOS!$E$5:$E$1005)-SUMPRODUCT((MOVIMIENTOS!$B$5:$B$1005="ENVÍO A SUPESA")*(MOVIMIENTOS!$C$5:$C$1005="C")*(MOVIMIENTOS!$D$5:$D$1005="jabas")*(MOVIMIENTOS!$A$5:$A$1005&lt;&gt;"")*(MOVIMIENTOS!$A$5:$A$1005&lt;=$A309)*MOVIMIENTOS!$E$5:$E$1005)+SUMPRODUCT((MOVIMIENTOS!$B$5:$B$1005="DEVOLUCIÓN")*(MOVIMIENTOS!$C$5:$C$1005="C")*(MOVIMIENTOS!$D$5:$D$1005="jabas")*(MOVIMIENTOS!$A$5:$A$1005&lt;&gt;"")*(MOVIMIENTOS!$A$5:$A$1005&lt;=$A309)*MOVIMIENTOS!$E$5:$E$1005)-SUMPRODUCT((MOVIMIENTOS!$B$5:$B$1005="TRASIEGO")*(MOVIMIENTOS!$C$5:$C$1005="C")*(MOVIMIENTOS!$D$5:$D$1005="jabas")*(MOVIMIENTOS!$A$5:$A$1005&lt;&gt;"")*(MOVIMIENTOS!$A$5:$A$1005&lt;=$A309)*MOVIMIENTOS!$E$5:$E$1005)-SUMPRODUCT((MOVIMIENTOS!$B$5:$B$1005="REGALO")*(MOVIMIENTOS!$C$5:$C$1005="C")*(MOVIMIENTOS!$D$5:$D$1005="jabas")*(MOVIMIENTOS!$A$5:$A$1005&lt;&gt;"")*(MOVIMIENTOS!$A$5:$A$1005&lt;=$A309)*MOVIMIENTOS!$E$5:$E$1005)-SUMPRODUCT((MOVIMIENTOS!$B$5:$B$1005="VENTA")*(MOVIMIENTOS!$C$5:$C$1005="C")*(MOVIMIENTOS!$D$5:$D$1005="jabas")*(MOVIMIENTOS!$A$5:$A$1005&lt;&gt;"")*(MOVIMIENTOS!$A$5:$A$1005&lt;=$A309)*MOVIMIENTOS!$E$5:$E$1005)+SUMPRODUCT((MOVIMIENTOS!$B$5:$B$1005="AJUSTE")*(MOVIMIENTOS!$C$5:$C$1005="C")*(MOVIMIENTOS!$D$5:$D$1005="jabas")*(MOVIMIENTOS!$A$5:$A$1005&lt;&gt;"")*(MOVIMIENTOS!$A$5:$A$1005&lt;=$A309)*MOVIMIENTOS!$E$5:$E$1005))</f>
        <v/>
      </c>
      <c r="E309" s="63" t="str">
        <f>IF($A309="","",SUMPRODUCT((MOVIMIENTOS!$B$5:$B$1005="SALDO INICIAL")*(MOVIMIENTOS!$C$5:$C$1005="M")*(MOVIMIENTOS!$D$5:$D$1005="jabas")*(MOVIMIENTOS!$A$5:$A$1005&lt;&gt;"")*(MOVIMIENTOS!$A$5:$A$1005&lt;=$A309)*MOVIMIENTOS!$E$5:$E$1005)+SUMPRODUCT((MOVIMIENTOS!$B$5:$B$1005="PROCESO")*(MOVIMIENTOS!$C$5:$C$1005="M")*(MOVIMIENTOS!$D$5:$D$1005="jabas")*(MOVIMIENTOS!$A$5:$A$1005&lt;&gt;"")*(MOVIMIENTOS!$A$5:$A$1005&lt;=$A309)*MOVIMIENTOS!$E$5:$E$1005)-SUMPRODUCT((MOVIMIENTOS!$B$5:$B$1005="ENVÍO A SUPESA")*(MOVIMIENTOS!$C$5:$C$1005="M")*(MOVIMIENTOS!$D$5:$D$1005="jabas")*(MOVIMIENTOS!$A$5:$A$1005&lt;&gt;"")*(MOVIMIENTOS!$A$5:$A$1005&lt;=$A309)*MOVIMIENTOS!$E$5:$E$1005)+SUMPRODUCT((MOVIMIENTOS!$B$5:$B$1005="DEVOLUCIÓN")*(MOVIMIENTOS!$C$5:$C$1005="M")*(MOVIMIENTOS!$D$5:$D$1005="jabas")*(MOVIMIENTOS!$A$5:$A$1005&lt;&gt;"")*(MOVIMIENTOS!$A$5:$A$1005&lt;=$A309)*MOVIMIENTOS!$E$5:$E$1005)-SUMPRODUCT((MOVIMIENTOS!$B$5:$B$1005="TRASIEGO")*(MOVIMIENTOS!$C$5:$C$1005="M")*(MOVIMIENTOS!$D$5:$D$1005="jabas")*(MOVIMIENTOS!$A$5:$A$1005&lt;&gt;"")*(MOVIMIENTOS!$A$5:$A$1005&lt;=$A309)*MOVIMIENTOS!$E$5:$E$1005)-SUMPRODUCT((MOVIMIENTOS!$B$5:$B$1005="REGALO")*(MOVIMIENTOS!$C$5:$C$1005="M")*(MOVIMIENTOS!$D$5:$D$1005="jabas")*(MOVIMIENTOS!$A$5:$A$1005&lt;&gt;"")*(MOVIMIENTOS!$A$5:$A$1005&lt;=$A309)*MOVIMIENTOS!$E$5:$E$1005)-SUMPRODUCT((MOVIMIENTOS!$B$5:$B$1005="VENTA")*(MOVIMIENTOS!$C$5:$C$1005="M")*(MOVIMIENTOS!$D$5:$D$1005="jabas")*(MOVIMIENTOS!$A$5:$A$1005&lt;&gt;"")*(MOVIMIENTOS!$A$5:$A$1005&lt;=$A309)*MOVIMIENTOS!$E$5:$E$1005)+SUMPRODUCT((MOVIMIENTOS!$B$5:$B$1005="AJUSTE")*(MOVIMIENTOS!$C$5:$C$1005="M")*(MOVIMIENTOS!$D$5:$D$1005="jabas")*(MOVIMIENTOS!$A$5:$A$1005&lt;&gt;"")*(MOVIMIENTOS!$A$5:$A$1005&lt;=$A309)*MOVIMIENTOS!$E$5:$E$1005))</f>
        <v/>
      </c>
      <c r="F309" s="63" t="str">
        <f>IF($A309="","",SUMPRODUCT((MOVIMIENTOS!$B$5:$B$1005="SALDO INICIAL")*(MOVIMIENTOS!$C$5:$C$1005="Chancho")*(MOVIMIENTOS!$D$5:$D$1005="sacos")*(MOVIMIENTOS!$A$5:$A$1005&lt;&gt;"")*(MOVIMIENTOS!$A$5:$A$1005&lt;=$A309)*MOVIMIENTOS!$E$5:$E$1005)+SUMPRODUCT((MOVIMIENTOS!$B$5:$B$1005="PROCESO")*(MOVIMIENTOS!$C$5:$C$1005="Chancho")*(MOVIMIENTOS!$D$5:$D$1005="sacos")*(MOVIMIENTOS!$A$5:$A$1005&lt;&gt;"")*(MOVIMIENTOS!$A$5:$A$1005&lt;=$A309)*MOVIMIENTOS!$E$5:$E$1005)-SUMPRODUCT((MOVIMIENTOS!$B$5:$B$1005="VENTA CHANCHO")*(MOVIMIENTOS!$C$5:$C$1005="Chancho")*(MOVIMIENTOS!$D$5:$D$1005="sacos")*(MOVIMIENTOS!$A$5:$A$1005&lt;&gt;"")*(MOVIMIENTOS!$A$5:$A$1005&lt;=$A309)*MOVIMIENTOS!$E$5:$E$1005)-SUMPRODUCT((MOVIMIENTOS!$B$5:$B$1005="REGALO")*(MOVIMIENTOS!$C$5:$C$1005="Chancho")*(MOVIMIENTOS!$D$5:$D$1005="sacos")*(MOVIMIENTOS!$A$5:$A$1005&lt;&gt;"")*(MOVIMIENTOS!$A$5:$A$1005&lt;=$A309)*MOVIMIENTOS!$E$5:$E$1005)-SUMPRODUCT((MOVIMIENTOS!$B$5:$B$1005="VENTA")*(MOVIMIENTOS!$C$5:$C$1005="Chancho")*(MOVIMIENTOS!$D$5:$D$1005="sacos")*(MOVIMIENTOS!$A$5:$A$1005&lt;&gt;"")*(MOVIMIENTOS!$A$5:$A$1005&lt;=$A309)*MOVIMIENTOS!$E$5:$E$1005)+SUMPRODUCT((MOVIMIENTOS!$B$5:$B$1005="AJUSTE")*(MOVIMIENTOS!$C$5:$C$1005="Chancho")*(MOVIMIENTOS!$D$5:$D$1005="sacos")*(MOVIMIENTOS!$A$5:$A$1005&lt;&gt;"")*(MOVIMIENTOS!$A$5:$A$1005&lt;=$A309)*MOVIMIENTOS!$E$5:$E$1005))</f>
        <v/>
      </c>
      <c r="G309" s="95" t="str">
        <f t="shared" si="9"/>
        <v/>
      </c>
      <c r="H309" s="63" t="str">
        <f>IF($A309="","",SUMPRODUCT((((MOVIMIENTOS!$B$5:$B$1005="SALDO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309)*MOVIMIENTOS!$J$5:$J$1005))</f>
        <v/>
      </c>
      <c r="I309" s="63"/>
      <c r="J309" s="63" t="str">
        <f>IF(AND(MOVIMIENTOS!$A308&lt;&gt;"",COUNTIF(MOVIMIENTOS!$A$5:$A307,MOVIMIENTOS!$A308)=0),COUNT(J$4:J308)+1,"")</f>
        <v/>
      </c>
      <c r="K309" s="66">
        <f>MOVIMIENTOS!$A308</f>
        <v>46241</v>
      </c>
      <c r="L309" s="63"/>
      <c r="M309" s="63"/>
      <c r="N309" s="63"/>
    </row>
    <row r="310" spans="1:14" ht="15" customHeight="1" x14ac:dyDescent="0.2">
      <c r="A310" s="63" t="str">
        <f t="shared" si="8"/>
        <v/>
      </c>
      <c r="B310" s="63" t="str">
        <f>IF($A310="","",SUMPRODUCT((MOVIMIENTOS!$B$5:$B$1005="SALDO INICIAL")*(MOVIMIENTOS!$C$5:$C$1005="A")*(MOVIMIENTOS!$D$5:$D$1005="jabas")*(MOVIMIENTOS!$A$5:$A$1005&lt;&gt;"")*(MOVIMIENTOS!$A$5:$A$1005&lt;=$A310)*MOVIMIENTOS!$E$5:$E$1005)+SUMPRODUCT((MOVIMIENTOS!$B$5:$B$1005="PROCESO")*(MOVIMIENTOS!$C$5:$C$1005="A")*(MOVIMIENTOS!$D$5:$D$1005="jabas")*(MOVIMIENTOS!$A$5:$A$1005&lt;&gt;"")*(MOVIMIENTOS!$A$5:$A$1005&lt;=$A310)*MOVIMIENTOS!$E$5:$E$1005)-SUMPRODUCT((MOVIMIENTOS!$B$5:$B$1005="ENVÍO A SUPESA")*(MOVIMIENTOS!$C$5:$C$1005="A")*(MOVIMIENTOS!$D$5:$D$1005="jabas")*(MOVIMIENTOS!$A$5:$A$1005&lt;&gt;"")*(MOVIMIENTOS!$A$5:$A$1005&lt;=$A310)*MOVIMIENTOS!$E$5:$E$1005)+SUMPRODUCT((MOVIMIENTOS!$B$5:$B$1005="DEVOLUCIÓN")*(MOVIMIENTOS!$C$5:$C$1005="A")*(MOVIMIENTOS!$D$5:$D$1005="jabas")*(MOVIMIENTOS!$A$5:$A$1005&lt;&gt;"")*(MOVIMIENTOS!$A$5:$A$1005&lt;=$A310)*MOVIMIENTOS!$E$5:$E$1005)-SUMPRODUCT((MOVIMIENTOS!$B$5:$B$1005="TRASIEGO")*(MOVIMIENTOS!$C$5:$C$1005="A")*(MOVIMIENTOS!$D$5:$D$1005="jabas")*(MOVIMIENTOS!$A$5:$A$1005&lt;&gt;"")*(MOVIMIENTOS!$A$5:$A$1005&lt;=$A310)*MOVIMIENTOS!$E$5:$E$1005)-SUMPRODUCT((MOVIMIENTOS!$B$5:$B$1005="REGALO")*(MOVIMIENTOS!$C$5:$C$1005="A")*(MOVIMIENTOS!$D$5:$D$1005="jabas")*(MOVIMIENTOS!$A$5:$A$1005&lt;&gt;"")*(MOVIMIENTOS!$A$5:$A$1005&lt;=$A310)*MOVIMIENTOS!$E$5:$E$1005)-SUMPRODUCT((MOVIMIENTOS!$B$5:$B$1005="VENTA")*(MOVIMIENTOS!$C$5:$C$1005="A")*(MOVIMIENTOS!$D$5:$D$1005="jabas")*(MOVIMIENTOS!$A$5:$A$1005&lt;&gt;"")*(MOVIMIENTOS!$A$5:$A$1005&lt;=$A310)*MOVIMIENTOS!$E$5:$E$1005)+SUMPRODUCT((MOVIMIENTOS!$B$5:$B$1005="AJUSTE")*(MOVIMIENTOS!$C$5:$C$1005="A")*(MOVIMIENTOS!$D$5:$D$1005="jabas")*(MOVIMIENTOS!$A$5:$A$1005&lt;&gt;"")*(MOVIMIENTOS!$A$5:$A$1005&lt;=$A310)*MOVIMIENTOS!$E$5:$E$1005))</f>
        <v/>
      </c>
      <c r="C310" s="63" t="str">
        <f>IF($A310="","",SUMPRODUCT((MOVIMIENTOS!$B$5:$B$1005="SALDO INICIAL")*(MOVIMIENTOS!$C$5:$C$1005="P")*(MOVIMIENTOS!$D$5:$D$1005="jabas")*(MOVIMIENTOS!$A$5:$A$1005&lt;&gt;"")*(MOVIMIENTOS!$A$5:$A$1005&lt;=$A310)*MOVIMIENTOS!$E$5:$E$1005)+SUMPRODUCT((MOVIMIENTOS!$B$5:$B$1005="PROCESO")*(MOVIMIENTOS!$C$5:$C$1005="P")*(MOVIMIENTOS!$D$5:$D$1005="jabas")*(MOVIMIENTOS!$A$5:$A$1005&lt;&gt;"")*(MOVIMIENTOS!$A$5:$A$1005&lt;=$A310)*MOVIMIENTOS!$E$5:$E$1005)-SUMPRODUCT((MOVIMIENTOS!$B$5:$B$1005="ENVÍO A SUPESA")*(MOVIMIENTOS!$C$5:$C$1005="P")*(MOVIMIENTOS!$D$5:$D$1005="jabas")*(MOVIMIENTOS!$A$5:$A$1005&lt;&gt;"")*(MOVIMIENTOS!$A$5:$A$1005&lt;=$A310)*MOVIMIENTOS!$E$5:$E$1005)+SUMPRODUCT((MOVIMIENTOS!$B$5:$B$1005="DEVOLUCIÓN")*(MOVIMIENTOS!$C$5:$C$1005="P")*(MOVIMIENTOS!$D$5:$D$1005="jabas")*(MOVIMIENTOS!$A$5:$A$1005&lt;&gt;"")*(MOVIMIENTOS!$A$5:$A$1005&lt;=$A310)*MOVIMIENTOS!$E$5:$E$1005)-SUMPRODUCT((MOVIMIENTOS!$B$5:$B$1005="TRASIEGO")*(MOVIMIENTOS!$C$5:$C$1005="P")*(MOVIMIENTOS!$D$5:$D$1005="jabas")*(MOVIMIENTOS!$A$5:$A$1005&lt;&gt;"")*(MOVIMIENTOS!$A$5:$A$1005&lt;=$A310)*MOVIMIENTOS!$E$5:$E$1005)-SUMPRODUCT((MOVIMIENTOS!$B$5:$B$1005="REGALO")*(MOVIMIENTOS!$C$5:$C$1005="P")*(MOVIMIENTOS!$D$5:$D$1005="jabas")*(MOVIMIENTOS!$A$5:$A$1005&lt;&gt;"")*(MOVIMIENTOS!$A$5:$A$1005&lt;=$A310)*MOVIMIENTOS!$E$5:$E$1005)-SUMPRODUCT((MOVIMIENTOS!$B$5:$B$1005="VENTA")*(MOVIMIENTOS!$C$5:$C$1005="P")*(MOVIMIENTOS!$D$5:$D$1005="jabas")*(MOVIMIENTOS!$A$5:$A$1005&lt;&gt;"")*(MOVIMIENTOS!$A$5:$A$1005&lt;=$A310)*MOVIMIENTOS!$E$5:$E$1005)+SUMPRODUCT((MOVIMIENTOS!$B$5:$B$1005="AJUSTE")*(MOVIMIENTOS!$C$5:$C$1005="P")*(MOVIMIENTOS!$D$5:$D$1005="jabas")*(MOVIMIENTOS!$A$5:$A$1005&lt;&gt;"")*(MOVIMIENTOS!$A$5:$A$1005&lt;=$A310)*MOVIMIENTOS!$E$5:$E$1005))</f>
        <v/>
      </c>
      <c r="D310" s="63" t="str">
        <f>IF($A310="","",SUMPRODUCT((MOVIMIENTOS!$B$5:$B$1005="SALDO INICIAL")*(MOVIMIENTOS!$C$5:$C$1005="C")*(MOVIMIENTOS!$D$5:$D$1005="jabas")*(MOVIMIENTOS!$A$5:$A$1005&lt;&gt;"")*(MOVIMIENTOS!$A$5:$A$1005&lt;=$A310)*MOVIMIENTOS!$E$5:$E$1005)+SUMPRODUCT((MOVIMIENTOS!$B$5:$B$1005="PROCESO")*(MOVIMIENTOS!$C$5:$C$1005="C")*(MOVIMIENTOS!$D$5:$D$1005="jabas")*(MOVIMIENTOS!$A$5:$A$1005&lt;&gt;"")*(MOVIMIENTOS!$A$5:$A$1005&lt;=$A310)*MOVIMIENTOS!$E$5:$E$1005)-SUMPRODUCT((MOVIMIENTOS!$B$5:$B$1005="ENVÍO A SUPESA")*(MOVIMIENTOS!$C$5:$C$1005="C")*(MOVIMIENTOS!$D$5:$D$1005="jabas")*(MOVIMIENTOS!$A$5:$A$1005&lt;&gt;"")*(MOVIMIENTOS!$A$5:$A$1005&lt;=$A310)*MOVIMIENTOS!$E$5:$E$1005)+SUMPRODUCT((MOVIMIENTOS!$B$5:$B$1005="DEVOLUCIÓN")*(MOVIMIENTOS!$C$5:$C$1005="C")*(MOVIMIENTOS!$D$5:$D$1005="jabas")*(MOVIMIENTOS!$A$5:$A$1005&lt;&gt;"")*(MOVIMIENTOS!$A$5:$A$1005&lt;=$A310)*MOVIMIENTOS!$E$5:$E$1005)-SUMPRODUCT((MOVIMIENTOS!$B$5:$B$1005="TRASIEGO")*(MOVIMIENTOS!$C$5:$C$1005="C")*(MOVIMIENTOS!$D$5:$D$1005="jabas")*(MOVIMIENTOS!$A$5:$A$1005&lt;&gt;"")*(MOVIMIENTOS!$A$5:$A$1005&lt;=$A310)*MOVIMIENTOS!$E$5:$E$1005)-SUMPRODUCT((MOVIMIENTOS!$B$5:$B$1005="REGALO")*(MOVIMIENTOS!$C$5:$C$1005="C")*(MOVIMIENTOS!$D$5:$D$1005="jabas")*(MOVIMIENTOS!$A$5:$A$1005&lt;&gt;"")*(MOVIMIENTOS!$A$5:$A$1005&lt;=$A310)*MOVIMIENTOS!$E$5:$E$1005)-SUMPRODUCT((MOVIMIENTOS!$B$5:$B$1005="VENTA")*(MOVIMIENTOS!$C$5:$C$1005="C")*(MOVIMIENTOS!$D$5:$D$1005="jabas")*(MOVIMIENTOS!$A$5:$A$1005&lt;&gt;"")*(MOVIMIENTOS!$A$5:$A$1005&lt;=$A310)*MOVIMIENTOS!$E$5:$E$1005)+SUMPRODUCT((MOVIMIENTOS!$B$5:$B$1005="AJUSTE")*(MOVIMIENTOS!$C$5:$C$1005="C")*(MOVIMIENTOS!$D$5:$D$1005="jabas")*(MOVIMIENTOS!$A$5:$A$1005&lt;&gt;"")*(MOVIMIENTOS!$A$5:$A$1005&lt;=$A310)*MOVIMIENTOS!$E$5:$E$1005))</f>
        <v/>
      </c>
      <c r="E310" s="63" t="str">
        <f>IF($A310="","",SUMPRODUCT((MOVIMIENTOS!$B$5:$B$1005="SALDO INICIAL")*(MOVIMIENTOS!$C$5:$C$1005="M")*(MOVIMIENTOS!$D$5:$D$1005="jabas")*(MOVIMIENTOS!$A$5:$A$1005&lt;&gt;"")*(MOVIMIENTOS!$A$5:$A$1005&lt;=$A310)*MOVIMIENTOS!$E$5:$E$1005)+SUMPRODUCT((MOVIMIENTOS!$B$5:$B$1005="PROCESO")*(MOVIMIENTOS!$C$5:$C$1005="M")*(MOVIMIENTOS!$D$5:$D$1005="jabas")*(MOVIMIENTOS!$A$5:$A$1005&lt;&gt;"")*(MOVIMIENTOS!$A$5:$A$1005&lt;=$A310)*MOVIMIENTOS!$E$5:$E$1005)-SUMPRODUCT((MOVIMIENTOS!$B$5:$B$1005="ENVÍO A SUPESA")*(MOVIMIENTOS!$C$5:$C$1005="M")*(MOVIMIENTOS!$D$5:$D$1005="jabas")*(MOVIMIENTOS!$A$5:$A$1005&lt;&gt;"")*(MOVIMIENTOS!$A$5:$A$1005&lt;=$A310)*MOVIMIENTOS!$E$5:$E$1005)+SUMPRODUCT((MOVIMIENTOS!$B$5:$B$1005="DEVOLUCIÓN")*(MOVIMIENTOS!$C$5:$C$1005="M")*(MOVIMIENTOS!$D$5:$D$1005="jabas")*(MOVIMIENTOS!$A$5:$A$1005&lt;&gt;"")*(MOVIMIENTOS!$A$5:$A$1005&lt;=$A310)*MOVIMIENTOS!$E$5:$E$1005)-SUMPRODUCT((MOVIMIENTOS!$B$5:$B$1005="TRASIEGO")*(MOVIMIENTOS!$C$5:$C$1005="M")*(MOVIMIENTOS!$D$5:$D$1005="jabas")*(MOVIMIENTOS!$A$5:$A$1005&lt;&gt;"")*(MOVIMIENTOS!$A$5:$A$1005&lt;=$A310)*MOVIMIENTOS!$E$5:$E$1005)-SUMPRODUCT((MOVIMIENTOS!$B$5:$B$1005="REGALO")*(MOVIMIENTOS!$C$5:$C$1005="M")*(MOVIMIENTOS!$D$5:$D$1005="jabas")*(MOVIMIENTOS!$A$5:$A$1005&lt;&gt;"")*(MOVIMIENTOS!$A$5:$A$1005&lt;=$A310)*MOVIMIENTOS!$E$5:$E$1005)-SUMPRODUCT((MOVIMIENTOS!$B$5:$B$1005="VENTA")*(MOVIMIENTOS!$C$5:$C$1005="M")*(MOVIMIENTOS!$D$5:$D$1005="jabas")*(MOVIMIENTOS!$A$5:$A$1005&lt;&gt;"")*(MOVIMIENTOS!$A$5:$A$1005&lt;=$A310)*MOVIMIENTOS!$E$5:$E$1005)+SUMPRODUCT((MOVIMIENTOS!$B$5:$B$1005="AJUSTE")*(MOVIMIENTOS!$C$5:$C$1005="M")*(MOVIMIENTOS!$D$5:$D$1005="jabas")*(MOVIMIENTOS!$A$5:$A$1005&lt;&gt;"")*(MOVIMIENTOS!$A$5:$A$1005&lt;=$A310)*MOVIMIENTOS!$E$5:$E$1005))</f>
        <v/>
      </c>
      <c r="F310" s="63" t="str">
        <f>IF($A310="","",SUMPRODUCT((MOVIMIENTOS!$B$5:$B$1005="SALDO INICIAL")*(MOVIMIENTOS!$C$5:$C$1005="Chancho")*(MOVIMIENTOS!$D$5:$D$1005="sacos")*(MOVIMIENTOS!$A$5:$A$1005&lt;&gt;"")*(MOVIMIENTOS!$A$5:$A$1005&lt;=$A310)*MOVIMIENTOS!$E$5:$E$1005)+SUMPRODUCT((MOVIMIENTOS!$B$5:$B$1005="PROCESO")*(MOVIMIENTOS!$C$5:$C$1005="Chancho")*(MOVIMIENTOS!$D$5:$D$1005="sacos")*(MOVIMIENTOS!$A$5:$A$1005&lt;&gt;"")*(MOVIMIENTOS!$A$5:$A$1005&lt;=$A310)*MOVIMIENTOS!$E$5:$E$1005)-SUMPRODUCT((MOVIMIENTOS!$B$5:$B$1005="VENTA CHANCHO")*(MOVIMIENTOS!$C$5:$C$1005="Chancho")*(MOVIMIENTOS!$D$5:$D$1005="sacos")*(MOVIMIENTOS!$A$5:$A$1005&lt;&gt;"")*(MOVIMIENTOS!$A$5:$A$1005&lt;=$A310)*MOVIMIENTOS!$E$5:$E$1005)-SUMPRODUCT((MOVIMIENTOS!$B$5:$B$1005="REGALO")*(MOVIMIENTOS!$C$5:$C$1005="Chancho")*(MOVIMIENTOS!$D$5:$D$1005="sacos")*(MOVIMIENTOS!$A$5:$A$1005&lt;&gt;"")*(MOVIMIENTOS!$A$5:$A$1005&lt;=$A310)*MOVIMIENTOS!$E$5:$E$1005)-SUMPRODUCT((MOVIMIENTOS!$B$5:$B$1005="VENTA")*(MOVIMIENTOS!$C$5:$C$1005="Chancho")*(MOVIMIENTOS!$D$5:$D$1005="sacos")*(MOVIMIENTOS!$A$5:$A$1005&lt;&gt;"")*(MOVIMIENTOS!$A$5:$A$1005&lt;=$A310)*MOVIMIENTOS!$E$5:$E$1005)+SUMPRODUCT((MOVIMIENTOS!$B$5:$B$1005="AJUSTE")*(MOVIMIENTOS!$C$5:$C$1005="Chancho")*(MOVIMIENTOS!$D$5:$D$1005="sacos")*(MOVIMIENTOS!$A$5:$A$1005&lt;&gt;"")*(MOVIMIENTOS!$A$5:$A$1005&lt;=$A310)*MOVIMIENTOS!$E$5:$E$1005))</f>
        <v/>
      </c>
      <c r="G310" s="95" t="str">
        <f t="shared" si="9"/>
        <v/>
      </c>
      <c r="H310" s="63" t="str">
        <f>IF($A310="","",SUMPRODUCT((((MOVIMIENTOS!$B$5:$B$1005="SALDO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310)*MOVIMIENTOS!$J$5:$J$1005))</f>
        <v/>
      </c>
      <c r="I310" s="63"/>
      <c r="J310" s="63" t="str">
        <f>IF(AND(MOVIMIENTOS!$A309&lt;&gt;"",COUNTIF(MOVIMIENTOS!$A$5:$A308,MOVIMIENTOS!$A309)=0),COUNT(J$4:J309)+1,"")</f>
        <v/>
      </c>
      <c r="K310" s="66">
        <f>MOVIMIENTOS!$A309</f>
        <v>46241</v>
      </c>
      <c r="L310" s="63"/>
      <c r="M310" s="63"/>
      <c r="N310" s="63"/>
    </row>
    <row r="311" spans="1:14" ht="15" customHeight="1" x14ac:dyDescent="0.2">
      <c r="A311" s="63" t="str">
        <f t="shared" si="8"/>
        <v/>
      </c>
      <c r="B311" s="63" t="str">
        <f>IF($A311="","",SUMPRODUCT((MOVIMIENTOS!$B$5:$B$1005="SALDO INICIAL")*(MOVIMIENTOS!$C$5:$C$1005="A")*(MOVIMIENTOS!$D$5:$D$1005="jabas")*(MOVIMIENTOS!$A$5:$A$1005&lt;&gt;"")*(MOVIMIENTOS!$A$5:$A$1005&lt;=$A311)*MOVIMIENTOS!$E$5:$E$1005)+SUMPRODUCT((MOVIMIENTOS!$B$5:$B$1005="PROCESO")*(MOVIMIENTOS!$C$5:$C$1005="A")*(MOVIMIENTOS!$D$5:$D$1005="jabas")*(MOVIMIENTOS!$A$5:$A$1005&lt;&gt;"")*(MOVIMIENTOS!$A$5:$A$1005&lt;=$A311)*MOVIMIENTOS!$E$5:$E$1005)-SUMPRODUCT((MOVIMIENTOS!$B$5:$B$1005="ENVÍO A SUPESA")*(MOVIMIENTOS!$C$5:$C$1005="A")*(MOVIMIENTOS!$D$5:$D$1005="jabas")*(MOVIMIENTOS!$A$5:$A$1005&lt;&gt;"")*(MOVIMIENTOS!$A$5:$A$1005&lt;=$A311)*MOVIMIENTOS!$E$5:$E$1005)+SUMPRODUCT((MOVIMIENTOS!$B$5:$B$1005="DEVOLUCIÓN")*(MOVIMIENTOS!$C$5:$C$1005="A")*(MOVIMIENTOS!$D$5:$D$1005="jabas")*(MOVIMIENTOS!$A$5:$A$1005&lt;&gt;"")*(MOVIMIENTOS!$A$5:$A$1005&lt;=$A311)*MOVIMIENTOS!$E$5:$E$1005)-SUMPRODUCT((MOVIMIENTOS!$B$5:$B$1005="TRASIEGO")*(MOVIMIENTOS!$C$5:$C$1005="A")*(MOVIMIENTOS!$D$5:$D$1005="jabas")*(MOVIMIENTOS!$A$5:$A$1005&lt;&gt;"")*(MOVIMIENTOS!$A$5:$A$1005&lt;=$A311)*MOVIMIENTOS!$E$5:$E$1005)-SUMPRODUCT((MOVIMIENTOS!$B$5:$B$1005="REGALO")*(MOVIMIENTOS!$C$5:$C$1005="A")*(MOVIMIENTOS!$D$5:$D$1005="jabas")*(MOVIMIENTOS!$A$5:$A$1005&lt;&gt;"")*(MOVIMIENTOS!$A$5:$A$1005&lt;=$A311)*MOVIMIENTOS!$E$5:$E$1005)-SUMPRODUCT((MOVIMIENTOS!$B$5:$B$1005="VENTA")*(MOVIMIENTOS!$C$5:$C$1005="A")*(MOVIMIENTOS!$D$5:$D$1005="jabas")*(MOVIMIENTOS!$A$5:$A$1005&lt;&gt;"")*(MOVIMIENTOS!$A$5:$A$1005&lt;=$A311)*MOVIMIENTOS!$E$5:$E$1005)+SUMPRODUCT((MOVIMIENTOS!$B$5:$B$1005="AJUSTE")*(MOVIMIENTOS!$C$5:$C$1005="A")*(MOVIMIENTOS!$D$5:$D$1005="jabas")*(MOVIMIENTOS!$A$5:$A$1005&lt;&gt;"")*(MOVIMIENTOS!$A$5:$A$1005&lt;=$A311)*MOVIMIENTOS!$E$5:$E$1005))</f>
        <v/>
      </c>
      <c r="C311" s="63" t="str">
        <f>IF($A311="","",SUMPRODUCT((MOVIMIENTOS!$B$5:$B$1005="SALDO INICIAL")*(MOVIMIENTOS!$C$5:$C$1005="P")*(MOVIMIENTOS!$D$5:$D$1005="jabas")*(MOVIMIENTOS!$A$5:$A$1005&lt;&gt;"")*(MOVIMIENTOS!$A$5:$A$1005&lt;=$A311)*MOVIMIENTOS!$E$5:$E$1005)+SUMPRODUCT((MOVIMIENTOS!$B$5:$B$1005="PROCESO")*(MOVIMIENTOS!$C$5:$C$1005="P")*(MOVIMIENTOS!$D$5:$D$1005="jabas")*(MOVIMIENTOS!$A$5:$A$1005&lt;&gt;"")*(MOVIMIENTOS!$A$5:$A$1005&lt;=$A311)*MOVIMIENTOS!$E$5:$E$1005)-SUMPRODUCT((MOVIMIENTOS!$B$5:$B$1005="ENVÍO A SUPESA")*(MOVIMIENTOS!$C$5:$C$1005="P")*(MOVIMIENTOS!$D$5:$D$1005="jabas")*(MOVIMIENTOS!$A$5:$A$1005&lt;&gt;"")*(MOVIMIENTOS!$A$5:$A$1005&lt;=$A311)*MOVIMIENTOS!$E$5:$E$1005)+SUMPRODUCT((MOVIMIENTOS!$B$5:$B$1005="DEVOLUCIÓN")*(MOVIMIENTOS!$C$5:$C$1005="P")*(MOVIMIENTOS!$D$5:$D$1005="jabas")*(MOVIMIENTOS!$A$5:$A$1005&lt;&gt;"")*(MOVIMIENTOS!$A$5:$A$1005&lt;=$A311)*MOVIMIENTOS!$E$5:$E$1005)-SUMPRODUCT((MOVIMIENTOS!$B$5:$B$1005="TRASIEGO")*(MOVIMIENTOS!$C$5:$C$1005="P")*(MOVIMIENTOS!$D$5:$D$1005="jabas")*(MOVIMIENTOS!$A$5:$A$1005&lt;&gt;"")*(MOVIMIENTOS!$A$5:$A$1005&lt;=$A311)*MOVIMIENTOS!$E$5:$E$1005)-SUMPRODUCT((MOVIMIENTOS!$B$5:$B$1005="REGALO")*(MOVIMIENTOS!$C$5:$C$1005="P")*(MOVIMIENTOS!$D$5:$D$1005="jabas")*(MOVIMIENTOS!$A$5:$A$1005&lt;&gt;"")*(MOVIMIENTOS!$A$5:$A$1005&lt;=$A311)*MOVIMIENTOS!$E$5:$E$1005)-SUMPRODUCT((MOVIMIENTOS!$B$5:$B$1005="VENTA")*(MOVIMIENTOS!$C$5:$C$1005="P")*(MOVIMIENTOS!$D$5:$D$1005="jabas")*(MOVIMIENTOS!$A$5:$A$1005&lt;&gt;"")*(MOVIMIENTOS!$A$5:$A$1005&lt;=$A311)*MOVIMIENTOS!$E$5:$E$1005)+SUMPRODUCT((MOVIMIENTOS!$B$5:$B$1005="AJUSTE")*(MOVIMIENTOS!$C$5:$C$1005="P")*(MOVIMIENTOS!$D$5:$D$1005="jabas")*(MOVIMIENTOS!$A$5:$A$1005&lt;&gt;"")*(MOVIMIENTOS!$A$5:$A$1005&lt;=$A311)*MOVIMIENTOS!$E$5:$E$1005))</f>
        <v/>
      </c>
      <c r="D311" s="63" t="str">
        <f>IF($A311="","",SUMPRODUCT((MOVIMIENTOS!$B$5:$B$1005="SALDO INICIAL")*(MOVIMIENTOS!$C$5:$C$1005="C")*(MOVIMIENTOS!$D$5:$D$1005="jabas")*(MOVIMIENTOS!$A$5:$A$1005&lt;&gt;"")*(MOVIMIENTOS!$A$5:$A$1005&lt;=$A311)*MOVIMIENTOS!$E$5:$E$1005)+SUMPRODUCT((MOVIMIENTOS!$B$5:$B$1005="PROCESO")*(MOVIMIENTOS!$C$5:$C$1005="C")*(MOVIMIENTOS!$D$5:$D$1005="jabas")*(MOVIMIENTOS!$A$5:$A$1005&lt;&gt;"")*(MOVIMIENTOS!$A$5:$A$1005&lt;=$A311)*MOVIMIENTOS!$E$5:$E$1005)-SUMPRODUCT((MOVIMIENTOS!$B$5:$B$1005="ENVÍO A SUPESA")*(MOVIMIENTOS!$C$5:$C$1005="C")*(MOVIMIENTOS!$D$5:$D$1005="jabas")*(MOVIMIENTOS!$A$5:$A$1005&lt;&gt;"")*(MOVIMIENTOS!$A$5:$A$1005&lt;=$A311)*MOVIMIENTOS!$E$5:$E$1005)+SUMPRODUCT((MOVIMIENTOS!$B$5:$B$1005="DEVOLUCIÓN")*(MOVIMIENTOS!$C$5:$C$1005="C")*(MOVIMIENTOS!$D$5:$D$1005="jabas")*(MOVIMIENTOS!$A$5:$A$1005&lt;&gt;"")*(MOVIMIENTOS!$A$5:$A$1005&lt;=$A311)*MOVIMIENTOS!$E$5:$E$1005)-SUMPRODUCT((MOVIMIENTOS!$B$5:$B$1005="TRASIEGO")*(MOVIMIENTOS!$C$5:$C$1005="C")*(MOVIMIENTOS!$D$5:$D$1005="jabas")*(MOVIMIENTOS!$A$5:$A$1005&lt;&gt;"")*(MOVIMIENTOS!$A$5:$A$1005&lt;=$A311)*MOVIMIENTOS!$E$5:$E$1005)-SUMPRODUCT((MOVIMIENTOS!$B$5:$B$1005="REGALO")*(MOVIMIENTOS!$C$5:$C$1005="C")*(MOVIMIENTOS!$D$5:$D$1005="jabas")*(MOVIMIENTOS!$A$5:$A$1005&lt;&gt;"")*(MOVIMIENTOS!$A$5:$A$1005&lt;=$A311)*MOVIMIENTOS!$E$5:$E$1005)-SUMPRODUCT((MOVIMIENTOS!$B$5:$B$1005="VENTA")*(MOVIMIENTOS!$C$5:$C$1005="C")*(MOVIMIENTOS!$D$5:$D$1005="jabas")*(MOVIMIENTOS!$A$5:$A$1005&lt;&gt;"")*(MOVIMIENTOS!$A$5:$A$1005&lt;=$A311)*MOVIMIENTOS!$E$5:$E$1005)+SUMPRODUCT((MOVIMIENTOS!$B$5:$B$1005="AJUSTE")*(MOVIMIENTOS!$C$5:$C$1005="C")*(MOVIMIENTOS!$D$5:$D$1005="jabas")*(MOVIMIENTOS!$A$5:$A$1005&lt;&gt;"")*(MOVIMIENTOS!$A$5:$A$1005&lt;=$A311)*MOVIMIENTOS!$E$5:$E$1005))</f>
        <v/>
      </c>
      <c r="E311" s="63" t="str">
        <f>IF($A311="","",SUMPRODUCT((MOVIMIENTOS!$B$5:$B$1005="SALDO INICIAL")*(MOVIMIENTOS!$C$5:$C$1005="M")*(MOVIMIENTOS!$D$5:$D$1005="jabas")*(MOVIMIENTOS!$A$5:$A$1005&lt;&gt;"")*(MOVIMIENTOS!$A$5:$A$1005&lt;=$A311)*MOVIMIENTOS!$E$5:$E$1005)+SUMPRODUCT((MOVIMIENTOS!$B$5:$B$1005="PROCESO")*(MOVIMIENTOS!$C$5:$C$1005="M")*(MOVIMIENTOS!$D$5:$D$1005="jabas")*(MOVIMIENTOS!$A$5:$A$1005&lt;&gt;"")*(MOVIMIENTOS!$A$5:$A$1005&lt;=$A311)*MOVIMIENTOS!$E$5:$E$1005)-SUMPRODUCT((MOVIMIENTOS!$B$5:$B$1005="ENVÍO A SUPESA")*(MOVIMIENTOS!$C$5:$C$1005="M")*(MOVIMIENTOS!$D$5:$D$1005="jabas")*(MOVIMIENTOS!$A$5:$A$1005&lt;&gt;"")*(MOVIMIENTOS!$A$5:$A$1005&lt;=$A311)*MOVIMIENTOS!$E$5:$E$1005)+SUMPRODUCT((MOVIMIENTOS!$B$5:$B$1005="DEVOLUCIÓN")*(MOVIMIENTOS!$C$5:$C$1005="M")*(MOVIMIENTOS!$D$5:$D$1005="jabas")*(MOVIMIENTOS!$A$5:$A$1005&lt;&gt;"")*(MOVIMIENTOS!$A$5:$A$1005&lt;=$A311)*MOVIMIENTOS!$E$5:$E$1005)-SUMPRODUCT((MOVIMIENTOS!$B$5:$B$1005="TRASIEGO")*(MOVIMIENTOS!$C$5:$C$1005="M")*(MOVIMIENTOS!$D$5:$D$1005="jabas")*(MOVIMIENTOS!$A$5:$A$1005&lt;&gt;"")*(MOVIMIENTOS!$A$5:$A$1005&lt;=$A311)*MOVIMIENTOS!$E$5:$E$1005)-SUMPRODUCT((MOVIMIENTOS!$B$5:$B$1005="REGALO")*(MOVIMIENTOS!$C$5:$C$1005="M")*(MOVIMIENTOS!$D$5:$D$1005="jabas")*(MOVIMIENTOS!$A$5:$A$1005&lt;&gt;"")*(MOVIMIENTOS!$A$5:$A$1005&lt;=$A311)*MOVIMIENTOS!$E$5:$E$1005)-SUMPRODUCT((MOVIMIENTOS!$B$5:$B$1005="VENTA")*(MOVIMIENTOS!$C$5:$C$1005="M")*(MOVIMIENTOS!$D$5:$D$1005="jabas")*(MOVIMIENTOS!$A$5:$A$1005&lt;&gt;"")*(MOVIMIENTOS!$A$5:$A$1005&lt;=$A311)*MOVIMIENTOS!$E$5:$E$1005)+SUMPRODUCT((MOVIMIENTOS!$B$5:$B$1005="AJUSTE")*(MOVIMIENTOS!$C$5:$C$1005="M")*(MOVIMIENTOS!$D$5:$D$1005="jabas")*(MOVIMIENTOS!$A$5:$A$1005&lt;&gt;"")*(MOVIMIENTOS!$A$5:$A$1005&lt;=$A311)*MOVIMIENTOS!$E$5:$E$1005))</f>
        <v/>
      </c>
      <c r="F311" s="63" t="str">
        <f>IF($A311="","",SUMPRODUCT((MOVIMIENTOS!$B$5:$B$1005="SALDO INICIAL")*(MOVIMIENTOS!$C$5:$C$1005="Chancho")*(MOVIMIENTOS!$D$5:$D$1005="sacos")*(MOVIMIENTOS!$A$5:$A$1005&lt;&gt;"")*(MOVIMIENTOS!$A$5:$A$1005&lt;=$A311)*MOVIMIENTOS!$E$5:$E$1005)+SUMPRODUCT((MOVIMIENTOS!$B$5:$B$1005="PROCESO")*(MOVIMIENTOS!$C$5:$C$1005="Chancho")*(MOVIMIENTOS!$D$5:$D$1005="sacos")*(MOVIMIENTOS!$A$5:$A$1005&lt;&gt;"")*(MOVIMIENTOS!$A$5:$A$1005&lt;=$A311)*MOVIMIENTOS!$E$5:$E$1005)-SUMPRODUCT((MOVIMIENTOS!$B$5:$B$1005="VENTA CHANCHO")*(MOVIMIENTOS!$C$5:$C$1005="Chancho")*(MOVIMIENTOS!$D$5:$D$1005="sacos")*(MOVIMIENTOS!$A$5:$A$1005&lt;&gt;"")*(MOVIMIENTOS!$A$5:$A$1005&lt;=$A311)*MOVIMIENTOS!$E$5:$E$1005)-SUMPRODUCT((MOVIMIENTOS!$B$5:$B$1005="REGALO")*(MOVIMIENTOS!$C$5:$C$1005="Chancho")*(MOVIMIENTOS!$D$5:$D$1005="sacos")*(MOVIMIENTOS!$A$5:$A$1005&lt;&gt;"")*(MOVIMIENTOS!$A$5:$A$1005&lt;=$A311)*MOVIMIENTOS!$E$5:$E$1005)-SUMPRODUCT((MOVIMIENTOS!$B$5:$B$1005="VENTA")*(MOVIMIENTOS!$C$5:$C$1005="Chancho")*(MOVIMIENTOS!$D$5:$D$1005="sacos")*(MOVIMIENTOS!$A$5:$A$1005&lt;&gt;"")*(MOVIMIENTOS!$A$5:$A$1005&lt;=$A311)*MOVIMIENTOS!$E$5:$E$1005)+SUMPRODUCT((MOVIMIENTOS!$B$5:$B$1005="AJUSTE")*(MOVIMIENTOS!$C$5:$C$1005="Chancho")*(MOVIMIENTOS!$D$5:$D$1005="sacos")*(MOVIMIENTOS!$A$5:$A$1005&lt;&gt;"")*(MOVIMIENTOS!$A$5:$A$1005&lt;=$A311)*MOVIMIENTOS!$E$5:$E$1005))</f>
        <v/>
      </c>
      <c r="G311" s="95" t="str">
        <f t="shared" si="9"/>
        <v/>
      </c>
      <c r="H311" s="63" t="str">
        <f>IF($A311="","",SUMPRODUCT((((MOVIMIENTOS!$B$5:$B$1005="SALDO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311)*MOVIMIENTOS!$J$5:$J$1005))</f>
        <v/>
      </c>
      <c r="I311" s="63"/>
      <c r="J311" s="63" t="str">
        <f>IF(AND(MOVIMIENTOS!$A310&lt;&gt;"",COUNTIF(MOVIMIENTOS!$A$5:$A309,MOVIMIENTOS!$A310)=0),COUNT(J$4:J310)+1,"")</f>
        <v/>
      </c>
      <c r="K311" s="66">
        <f>MOVIMIENTOS!$A310</f>
        <v>46241</v>
      </c>
      <c r="L311" s="63"/>
      <c r="M311" s="63"/>
      <c r="N311" s="63"/>
    </row>
    <row r="312" spans="1:14" ht="15" customHeight="1" x14ac:dyDescent="0.2">
      <c r="A312" s="63" t="str">
        <f t="shared" si="8"/>
        <v/>
      </c>
      <c r="B312" s="63" t="str">
        <f>IF($A312="","",SUMPRODUCT((MOVIMIENTOS!$B$5:$B$1005="SALDO INICIAL")*(MOVIMIENTOS!$C$5:$C$1005="A")*(MOVIMIENTOS!$D$5:$D$1005="jabas")*(MOVIMIENTOS!$A$5:$A$1005&lt;&gt;"")*(MOVIMIENTOS!$A$5:$A$1005&lt;=$A312)*MOVIMIENTOS!$E$5:$E$1005)+SUMPRODUCT((MOVIMIENTOS!$B$5:$B$1005="PROCESO")*(MOVIMIENTOS!$C$5:$C$1005="A")*(MOVIMIENTOS!$D$5:$D$1005="jabas")*(MOVIMIENTOS!$A$5:$A$1005&lt;&gt;"")*(MOVIMIENTOS!$A$5:$A$1005&lt;=$A312)*MOVIMIENTOS!$E$5:$E$1005)-SUMPRODUCT((MOVIMIENTOS!$B$5:$B$1005="ENVÍO A SUPESA")*(MOVIMIENTOS!$C$5:$C$1005="A")*(MOVIMIENTOS!$D$5:$D$1005="jabas")*(MOVIMIENTOS!$A$5:$A$1005&lt;&gt;"")*(MOVIMIENTOS!$A$5:$A$1005&lt;=$A312)*MOVIMIENTOS!$E$5:$E$1005)+SUMPRODUCT((MOVIMIENTOS!$B$5:$B$1005="DEVOLUCIÓN")*(MOVIMIENTOS!$C$5:$C$1005="A")*(MOVIMIENTOS!$D$5:$D$1005="jabas")*(MOVIMIENTOS!$A$5:$A$1005&lt;&gt;"")*(MOVIMIENTOS!$A$5:$A$1005&lt;=$A312)*MOVIMIENTOS!$E$5:$E$1005)-SUMPRODUCT((MOVIMIENTOS!$B$5:$B$1005="TRASIEGO")*(MOVIMIENTOS!$C$5:$C$1005="A")*(MOVIMIENTOS!$D$5:$D$1005="jabas")*(MOVIMIENTOS!$A$5:$A$1005&lt;&gt;"")*(MOVIMIENTOS!$A$5:$A$1005&lt;=$A312)*MOVIMIENTOS!$E$5:$E$1005)-SUMPRODUCT((MOVIMIENTOS!$B$5:$B$1005="REGALO")*(MOVIMIENTOS!$C$5:$C$1005="A")*(MOVIMIENTOS!$D$5:$D$1005="jabas")*(MOVIMIENTOS!$A$5:$A$1005&lt;&gt;"")*(MOVIMIENTOS!$A$5:$A$1005&lt;=$A312)*MOVIMIENTOS!$E$5:$E$1005)-SUMPRODUCT((MOVIMIENTOS!$B$5:$B$1005="VENTA")*(MOVIMIENTOS!$C$5:$C$1005="A")*(MOVIMIENTOS!$D$5:$D$1005="jabas")*(MOVIMIENTOS!$A$5:$A$1005&lt;&gt;"")*(MOVIMIENTOS!$A$5:$A$1005&lt;=$A312)*MOVIMIENTOS!$E$5:$E$1005)+SUMPRODUCT((MOVIMIENTOS!$B$5:$B$1005="AJUSTE")*(MOVIMIENTOS!$C$5:$C$1005="A")*(MOVIMIENTOS!$D$5:$D$1005="jabas")*(MOVIMIENTOS!$A$5:$A$1005&lt;&gt;"")*(MOVIMIENTOS!$A$5:$A$1005&lt;=$A312)*MOVIMIENTOS!$E$5:$E$1005))</f>
        <v/>
      </c>
      <c r="C312" s="63" t="str">
        <f>IF($A312="","",SUMPRODUCT((MOVIMIENTOS!$B$5:$B$1005="SALDO INICIAL")*(MOVIMIENTOS!$C$5:$C$1005="P")*(MOVIMIENTOS!$D$5:$D$1005="jabas")*(MOVIMIENTOS!$A$5:$A$1005&lt;&gt;"")*(MOVIMIENTOS!$A$5:$A$1005&lt;=$A312)*MOVIMIENTOS!$E$5:$E$1005)+SUMPRODUCT((MOVIMIENTOS!$B$5:$B$1005="PROCESO")*(MOVIMIENTOS!$C$5:$C$1005="P")*(MOVIMIENTOS!$D$5:$D$1005="jabas")*(MOVIMIENTOS!$A$5:$A$1005&lt;&gt;"")*(MOVIMIENTOS!$A$5:$A$1005&lt;=$A312)*MOVIMIENTOS!$E$5:$E$1005)-SUMPRODUCT((MOVIMIENTOS!$B$5:$B$1005="ENVÍO A SUPESA")*(MOVIMIENTOS!$C$5:$C$1005="P")*(MOVIMIENTOS!$D$5:$D$1005="jabas")*(MOVIMIENTOS!$A$5:$A$1005&lt;&gt;"")*(MOVIMIENTOS!$A$5:$A$1005&lt;=$A312)*MOVIMIENTOS!$E$5:$E$1005)+SUMPRODUCT((MOVIMIENTOS!$B$5:$B$1005="DEVOLUCIÓN")*(MOVIMIENTOS!$C$5:$C$1005="P")*(MOVIMIENTOS!$D$5:$D$1005="jabas")*(MOVIMIENTOS!$A$5:$A$1005&lt;&gt;"")*(MOVIMIENTOS!$A$5:$A$1005&lt;=$A312)*MOVIMIENTOS!$E$5:$E$1005)-SUMPRODUCT((MOVIMIENTOS!$B$5:$B$1005="TRASIEGO")*(MOVIMIENTOS!$C$5:$C$1005="P")*(MOVIMIENTOS!$D$5:$D$1005="jabas")*(MOVIMIENTOS!$A$5:$A$1005&lt;&gt;"")*(MOVIMIENTOS!$A$5:$A$1005&lt;=$A312)*MOVIMIENTOS!$E$5:$E$1005)-SUMPRODUCT((MOVIMIENTOS!$B$5:$B$1005="REGALO")*(MOVIMIENTOS!$C$5:$C$1005="P")*(MOVIMIENTOS!$D$5:$D$1005="jabas")*(MOVIMIENTOS!$A$5:$A$1005&lt;&gt;"")*(MOVIMIENTOS!$A$5:$A$1005&lt;=$A312)*MOVIMIENTOS!$E$5:$E$1005)-SUMPRODUCT((MOVIMIENTOS!$B$5:$B$1005="VENTA")*(MOVIMIENTOS!$C$5:$C$1005="P")*(MOVIMIENTOS!$D$5:$D$1005="jabas")*(MOVIMIENTOS!$A$5:$A$1005&lt;&gt;"")*(MOVIMIENTOS!$A$5:$A$1005&lt;=$A312)*MOVIMIENTOS!$E$5:$E$1005)+SUMPRODUCT((MOVIMIENTOS!$B$5:$B$1005="AJUSTE")*(MOVIMIENTOS!$C$5:$C$1005="P")*(MOVIMIENTOS!$D$5:$D$1005="jabas")*(MOVIMIENTOS!$A$5:$A$1005&lt;&gt;"")*(MOVIMIENTOS!$A$5:$A$1005&lt;=$A312)*MOVIMIENTOS!$E$5:$E$1005))</f>
        <v/>
      </c>
      <c r="D312" s="63" t="str">
        <f>IF($A312="","",SUMPRODUCT((MOVIMIENTOS!$B$5:$B$1005="SALDO INICIAL")*(MOVIMIENTOS!$C$5:$C$1005="C")*(MOVIMIENTOS!$D$5:$D$1005="jabas")*(MOVIMIENTOS!$A$5:$A$1005&lt;&gt;"")*(MOVIMIENTOS!$A$5:$A$1005&lt;=$A312)*MOVIMIENTOS!$E$5:$E$1005)+SUMPRODUCT((MOVIMIENTOS!$B$5:$B$1005="PROCESO")*(MOVIMIENTOS!$C$5:$C$1005="C")*(MOVIMIENTOS!$D$5:$D$1005="jabas")*(MOVIMIENTOS!$A$5:$A$1005&lt;&gt;"")*(MOVIMIENTOS!$A$5:$A$1005&lt;=$A312)*MOVIMIENTOS!$E$5:$E$1005)-SUMPRODUCT((MOVIMIENTOS!$B$5:$B$1005="ENVÍO A SUPESA")*(MOVIMIENTOS!$C$5:$C$1005="C")*(MOVIMIENTOS!$D$5:$D$1005="jabas")*(MOVIMIENTOS!$A$5:$A$1005&lt;&gt;"")*(MOVIMIENTOS!$A$5:$A$1005&lt;=$A312)*MOVIMIENTOS!$E$5:$E$1005)+SUMPRODUCT((MOVIMIENTOS!$B$5:$B$1005="DEVOLUCIÓN")*(MOVIMIENTOS!$C$5:$C$1005="C")*(MOVIMIENTOS!$D$5:$D$1005="jabas")*(MOVIMIENTOS!$A$5:$A$1005&lt;&gt;"")*(MOVIMIENTOS!$A$5:$A$1005&lt;=$A312)*MOVIMIENTOS!$E$5:$E$1005)-SUMPRODUCT((MOVIMIENTOS!$B$5:$B$1005="TRASIEGO")*(MOVIMIENTOS!$C$5:$C$1005="C")*(MOVIMIENTOS!$D$5:$D$1005="jabas")*(MOVIMIENTOS!$A$5:$A$1005&lt;&gt;"")*(MOVIMIENTOS!$A$5:$A$1005&lt;=$A312)*MOVIMIENTOS!$E$5:$E$1005)-SUMPRODUCT((MOVIMIENTOS!$B$5:$B$1005="REGALO")*(MOVIMIENTOS!$C$5:$C$1005="C")*(MOVIMIENTOS!$D$5:$D$1005="jabas")*(MOVIMIENTOS!$A$5:$A$1005&lt;&gt;"")*(MOVIMIENTOS!$A$5:$A$1005&lt;=$A312)*MOVIMIENTOS!$E$5:$E$1005)-SUMPRODUCT((MOVIMIENTOS!$B$5:$B$1005="VENTA")*(MOVIMIENTOS!$C$5:$C$1005="C")*(MOVIMIENTOS!$D$5:$D$1005="jabas")*(MOVIMIENTOS!$A$5:$A$1005&lt;&gt;"")*(MOVIMIENTOS!$A$5:$A$1005&lt;=$A312)*MOVIMIENTOS!$E$5:$E$1005)+SUMPRODUCT((MOVIMIENTOS!$B$5:$B$1005="AJUSTE")*(MOVIMIENTOS!$C$5:$C$1005="C")*(MOVIMIENTOS!$D$5:$D$1005="jabas")*(MOVIMIENTOS!$A$5:$A$1005&lt;&gt;"")*(MOVIMIENTOS!$A$5:$A$1005&lt;=$A312)*MOVIMIENTOS!$E$5:$E$1005))</f>
        <v/>
      </c>
      <c r="E312" s="63" t="str">
        <f>IF($A312="","",SUMPRODUCT((MOVIMIENTOS!$B$5:$B$1005="SALDO INICIAL")*(MOVIMIENTOS!$C$5:$C$1005="M")*(MOVIMIENTOS!$D$5:$D$1005="jabas")*(MOVIMIENTOS!$A$5:$A$1005&lt;&gt;"")*(MOVIMIENTOS!$A$5:$A$1005&lt;=$A312)*MOVIMIENTOS!$E$5:$E$1005)+SUMPRODUCT((MOVIMIENTOS!$B$5:$B$1005="PROCESO")*(MOVIMIENTOS!$C$5:$C$1005="M")*(MOVIMIENTOS!$D$5:$D$1005="jabas")*(MOVIMIENTOS!$A$5:$A$1005&lt;&gt;"")*(MOVIMIENTOS!$A$5:$A$1005&lt;=$A312)*MOVIMIENTOS!$E$5:$E$1005)-SUMPRODUCT((MOVIMIENTOS!$B$5:$B$1005="ENVÍO A SUPESA")*(MOVIMIENTOS!$C$5:$C$1005="M")*(MOVIMIENTOS!$D$5:$D$1005="jabas")*(MOVIMIENTOS!$A$5:$A$1005&lt;&gt;"")*(MOVIMIENTOS!$A$5:$A$1005&lt;=$A312)*MOVIMIENTOS!$E$5:$E$1005)+SUMPRODUCT((MOVIMIENTOS!$B$5:$B$1005="DEVOLUCIÓN")*(MOVIMIENTOS!$C$5:$C$1005="M")*(MOVIMIENTOS!$D$5:$D$1005="jabas")*(MOVIMIENTOS!$A$5:$A$1005&lt;&gt;"")*(MOVIMIENTOS!$A$5:$A$1005&lt;=$A312)*MOVIMIENTOS!$E$5:$E$1005)-SUMPRODUCT((MOVIMIENTOS!$B$5:$B$1005="TRASIEGO")*(MOVIMIENTOS!$C$5:$C$1005="M")*(MOVIMIENTOS!$D$5:$D$1005="jabas")*(MOVIMIENTOS!$A$5:$A$1005&lt;&gt;"")*(MOVIMIENTOS!$A$5:$A$1005&lt;=$A312)*MOVIMIENTOS!$E$5:$E$1005)-SUMPRODUCT((MOVIMIENTOS!$B$5:$B$1005="REGALO")*(MOVIMIENTOS!$C$5:$C$1005="M")*(MOVIMIENTOS!$D$5:$D$1005="jabas")*(MOVIMIENTOS!$A$5:$A$1005&lt;&gt;"")*(MOVIMIENTOS!$A$5:$A$1005&lt;=$A312)*MOVIMIENTOS!$E$5:$E$1005)-SUMPRODUCT((MOVIMIENTOS!$B$5:$B$1005="VENTA")*(MOVIMIENTOS!$C$5:$C$1005="M")*(MOVIMIENTOS!$D$5:$D$1005="jabas")*(MOVIMIENTOS!$A$5:$A$1005&lt;&gt;"")*(MOVIMIENTOS!$A$5:$A$1005&lt;=$A312)*MOVIMIENTOS!$E$5:$E$1005)+SUMPRODUCT((MOVIMIENTOS!$B$5:$B$1005="AJUSTE")*(MOVIMIENTOS!$C$5:$C$1005="M")*(MOVIMIENTOS!$D$5:$D$1005="jabas")*(MOVIMIENTOS!$A$5:$A$1005&lt;&gt;"")*(MOVIMIENTOS!$A$5:$A$1005&lt;=$A312)*MOVIMIENTOS!$E$5:$E$1005))</f>
        <v/>
      </c>
      <c r="F312" s="63" t="str">
        <f>IF($A312="","",SUMPRODUCT((MOVIMIENTOS!$B$5:$B$1005="SALDO INICIAL")*(MOVIMIENTOS!$C$5:$C$1005="Chancho")*(MOVIMIENTOS!$D$5:$D$1005="sacos")*(MOVIMIENTOS!$A$5:$A$1005&lt;&gt;"")*(MOVIMIENTOS!$A$5:$A$1005&lt;=$A312)*MOVIMIENTOS!$E$5:$E$1005)+SUMPRODUCT((MOVIMIENTOS!$B$5:$B$1005="PROCESO")*(MOVIMIENTOS!$C$5:$C$1005="Chancho")*(MOVIMIENTOS!$D$5:$D$1005="sacos")*(MOVIMIENTOS!$A$5:$A$1005&lt;&gt;"")*(MOVIMIENTOS!$A$5:$A$1005&lt;=$A312)*MOVIMIENTOS!$E$5:$E$1005)-SUMPRODUCT((MOVIMIENTOS!$B$5:$B$1005="VENTA CHANCHO")*(MOVIMIENTOS!$C$5:$C$1005="Chancho")*(MOVIMIENTOS!$D$5:$D$1005="sacos")*(MOVIMIENTOS!$A$5:$A$1005&lt;&gt;"")*(MOVIMIENTOS!$A$5:$A$1005&lt;=$A312)*MOVIMIENTOS!$E$5:$E$1005)-SUMPRODUCT((MOVIMIENTOS!$B$5:$B$1005="REGALO")*(MOVIMIENTOS!$C$5:$C$1005="Chancho")*(MOVIMIENTOS!$D$5:$D$1005="sacos")*(MOVIMIENTOS!$A$5:$A$1005&lt;&gt;"")*(MOVIMIENTOS!$A$5:$A$1005&lt;=$A312)*MOVIMIENTOS!$E$5:$E$1005)-SUMPRODUCT((MOVIMIENTOS!$B$5:$B$1005="VENTA")*(MOVIMIENTOS!$C$5:$C$1005="Chancho")*(MOVIMIENTOS!$D$5:$D$1005="sacos")*(MOVIMIENTOS!$A$5:$A$1005&lt;&gt;"")*(MOVIMIENTOS!$A$5:$A$1005&lt;=$A312)*MOVIMIENTOS!$E$5:$E$1005)+SUMPRODUCT((MOVIMIENTOS!$B$5:$B$1005="AJUSTE")*(MOVIMIENTOS!$C$5:$C$1005="Chancho")*(MOVIMIENTOS!$D$5:$D$1005="sacos")*(MOVIMIENTOS!$A$5:$A$1005&lt;&gt;"")*(MOVIMIENTOS!$A$5:$A$1005&lt;=$A312)*MOVIMIENTOS!$E$5:$E$1005))</f>
        <v/>
      </c>
      <c r="G312" s="95" t="str">
        <f t="shared" si="9"/>
        <v/>
      </c>
      <c r="H312" s="63" t="str">
        <f>IF($A312="","",SUMPRODUCT((((MOVIMIENTOS!$B$5:$B$1005="SALDO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312)*MOVIMIENTOS!$J$5:$J$1005))</f>
        <v/>
      </c>
      <c r="I312" s="63"/>
      <c r="J312" s="63" t="str">
        <f>IF(AND(MOVIMIENTOS!$A311&lt;&gt;"",COUNTIF(MOVIMIENTOS!$A$5:$A310,MOVIMIENTOS!$A311)=0),COUNT(J$4:J311)+1,"")</f>
        <v/>
      </c>
      <c r="K312" s="66">
        <f>MOVIMIENTOS!$A311</f>
        <v>46241</v>
      </c>
      <c r="L312" s="63"/>
      <c r="M312" s="63"/>
      <c r="N312" s="63"/>
    </row>
    <row r="313" spans="1:14" ht="15" customHeight="1" x14ac:dyDescent="0.2">
      <c r="A313" s="63" t="str">
        <f t="shared" si="8"/>
        <v/>
      </c>
      <c r="B313" s="63" t="str">
        <f>IF($A313="","",SUMPRODUCT((MOVIMIENTOS!$B$5:$B$1005="SALDO INICIAL")*(MOVIMIENTOS!$C$5:$C$1005="A")*(MOVIMIENTOS!$D$5:$D$1005="jabas")*(MOVIMIENTOS!$A$5:$A$1005&lt;&gt;"")*(MOVIMIENTOS!$A$5:$A$1005&lt;=$A313)*MOVIMIENTOS!$E$5:$E$1005)+SUMPRODUCT((MOVIMIENTOS!$B$5:$B$1005="PROCESO")*(MOVIMIENTOS!$C$5:$C$1005="A")*(MOVIMIENTOS!$D$5:$D$1005="jabas")*(MOVIMIENTOS!$A$5:$A$1005&lt;&gt;"")*(MOVIMIENTOS!$A$5:$A$1005&lt;=$A313)*MOVIMIENTOS!$E$5:$E$1005)-SUMPRODUCT((MOVIMIENTOS!$B$5:$B$1005="ENVÍO A SUPESA")*(MOVIMIENTOS!$C$5:$C$1005="A")*(MOVIMIENTOS!$D$5:$D$1005="jabas")*(MOVIMIENTOS!$A$5:$A$1005&lt;&gt;"")*(MOVIMIENTOS!$A$5:$A$1005&lt;=$A313)*MOVIMIENTOS!$E$5:$E$1005)+SUMPRODUCT((MOVIMIENTOS!$B$5:$B$1005="DEVOLUCIÓN")*(MOVIMIENTOS!$C$5:$C$1005="A")*(MOVIMIENTOS!$D$5:$D$1005="jabas")*(MOVIMIENTOS!$A$5:$A$1005&lt;&gt;"")*(MOVIMIENTOS!$A$5:$A$1005&lt;=$A313)*MOVIMIENTOS!$E$5:$E$1005)-SUMPRODUCT((MOVIMIENTOS!$B$5:$B$1005="TRASIEGO")*(MOVIMIENTOS!$C$5:$C$1005="A")*(MOVIMIENTOS!$D$5:$D$1005="jabas")*(MOVIMIENTOS!$A$5:$A$1005&lt;&gt;"")*(MOVIMIENTOS!$A$5:$A$1005&lt;=$A313)*MOVIMIENTOS!$E$5:$E$1005)-SUMPRODUCT((MOVIMIENTOS!$B$5:$B$1005="REGALO")*(MOVIMIENTOS!$C$5:$C$1005="A")*(MOVIMIENTOS!$D$5:$D$1005="jabas")*(MOVIMIENTOS!$A$5:$A$1005&lt;&gt;"")*(MOVIMIENTOS!$A$5:$A$1005&lt;=$A313)*MOVIMIENTOS!$E$5:$E$1005)-SUMPRODUCT((MOVIMIENTOS!$B$5:$B$1005="VENTA")*(MOVIMIENTOS!$C$5:$C$1005="A")*(MOVIMIENTOS!$D$5:$D$1005="jabas")*(MOVIMIENTOS!$A$5:$A$1005&lt;&gt;"")*(MOVIMIENTOS!$A$5:$A$1005&lt;=$A313)*MOVIMIENTOS!$E$5:$E$1005)+SUMPRODUCT((MOVIMIENTOS!$B$5:$B$1005="AJUSTE")*(MOVIMIENTOS!$C$5:$C$1005="A")*(MOVIMIENTOS!$D$5:$D$1005="jabas")*(MOVIMIENTOS!$A$5:$A$1005&lt;&gt;"")*(MOVIMIENTOS!$A$5:$A$1005&lt;=$A313)*MOVIMIENTOS!$E$5:$E$1005))</f>
        <v/>
      </c>
      <c r="C313" s="63" t="str">
        <f>IF($A313="","",SUMPRODUCT((MOVIMIENTOS!$B$5:$B$1005="SALDO INICIAL")*(MOVIMIENTOS!$C$5:$C$1005="P")*(MOVIMIENTOS!$D$5:$D$1005="jabas")*(MOVIMIENTOS!$A$5:$A$1005&lt;&gt;"")*(MOVIMIENTOS!$A$5:$A$1005&lt;=$A313)*MOVIMIENTOS!$E$5:$E$1005)+SUMPRODUCT((MOVIMIENTOS!$B$5:$B$1005="PROCESO")*(MOVIMIENTOS!$C$5:$C$1005="P")*(MOVIMIENTOS!$D$5:$D$1005="jabas")*(MOVIMIENTOS!$A$5:$A$1005&lt;&gt;"")*(MOVIMIENTOS!$A$5:$A$1005&lt;=$A313)*MOVIMIENTOS!$E$5:$E$1005)-SUMPRODUCT((MOVIMIENTOS!$B$5:$B$1005="ENVÍO A SUPESA")*(MOVIMIENTOS!$C$5:$C$1005="P")*(MOVIMIENTOS!$D$5:$D$1005="jabas")*(MOVIMIENTOS!$A$5:$A$1005&lt;&gt;"")*(MOVIMIENTOS!$A$5:$A$1005&lt;=$A313)*MOVIMIENTOS!$E$5:$E$1005)+SUMPRODUCT((MOVIMIENTOS!$B$5:$B$1005="DEVOLUCIÓN")*(MOVIMIENTOS!$C$5:$C$1005="P")*(MOVIMIENTOS!$D$5:$D$1005="jabas")*(MOVIMIENTOS!$A$5:$A$1005&lt;&gt;"")*(MOVIMIENTOS!$A$5:$A$1005&lt;=$A313)*MOVIMIENTOS!$E$5:$E$1005)-SUMPRODUCT((MOVIMIENTOS!$B$5:$B$1005="TRASIEGO")*(MOVIMIENTOS!$C$5:$C$1005="P")*(MOVIMIENTOS!$D$5:$D$1005="jabas")*(MOVIMIENTOS!$A$5:$A$1005&lt;&gt;"")*(MOVIMIENTOS!$A$5:$A$1005&lt;=$A313)*MOVIMIENTOS!$E$5:$E$1005)-SUMPRODUCT((MOVIMIENTOS!$B$5:$B$1005="REGALO")*(MOVIMIENTOS!$C$5:$C$1005="P")*(MOVIMIENTOS!$D$5:$D$1005="jabas")*(MOVIMIENTOS!$A$5:$A$1005&lt;&gt;"")*(MOVIMIENTOS!$A$5:$A$1005&lt;=$A313)*MOVIMIENTOS!$E$5:$E$1005)-SUMPRODUCT((MOVIMIENTOS!$B$5:$B$1005="VENTA")*(MOVIMIENTOS!$C$5:$C$1005="P")*(MOVIMIENTOS!$D$5:$D$1005="jabas")*(MOVIMIENTOS!$A$5:$A$1005&lt;&gt;"")*(MOVIMIENTOS!$A$5:$A$1005&lt;=$A313)*MOVIMIENTOS!$E$5:$E$1005)+SUMPRODUCT((MOVIMIENTOS!$B$5:$B$1005="AJUSTE")*(MOVIMIENTOS!$C$5:$C$1005="P")*(MOVIMIENTOS!$D$5:$D$1005="jabas")*(MOVIMIENTOS!$A$5:$A$1005&lt;&gt;"")*(MOVIMIENTOS!$A$5:$A$1005&lt;=$A313)*MOVIMIENTOS!$E$5:$E$1005))</f>
        <v/>
      </c>
      <c r="D313" s="63" t="str">
        <f>IF($A313="","",SUMPRODUCT((MOVIMIENTOS!$B$5:$B$1005="SALDO INICIAL")*(MOVIMIENTOS!$C$5:$C$1005="C")*(MOVIMIENTOS!$D$5:$D$1005="jabas")*(MOVIMIENTOS!$A$5:$A$1005&lt;&gt;"")*(MOVIMIENTOS!$A$5:$A$1005&lt;=$A313)*MOVIMIENTOS!$E$5:$E$1005)+SUMPRODUCT((MOVIMIENTOS!$B$5:$B$1005="PROCESO")*(MOVIMIENTOS!$C$5:$C$1005="C")*(MOVIMIENTOS!$D$5:$D$1005="jabas")*(MOVIMIENTOS!$A$5:$A$1005&lt;&gt;"")*(MOVIMIENTOS!$A$5:$A$1005&lt;=$A313)*MOVIMIENTOS!$E$5:$E$1005)-SUMPRODUCT((MOVIMIENTOS!$B$5:$B$1005="ENVÍO A SUPESA")*(MOVIMIENTOS!$C$5:$C$1005="C")*(MOVIMIENTOS!$D$5:$D$1005="jabas")*(MOVIMIENTOS!$A$5:$A$1005&lt;&gt;"")*(MOVIMIENTOS!$A$5:$A$1005&lt;=$A313)*MOVIMIENTOS!$E$5:$E$1005)+SUMPRODUCT((MOVIMIENTOS!$B$5:$B$1005="DEVOLUCIÓN")*(MOVIMIENTOS!$C$5:$C$1005="C")*(MOVIMIENTOS!$D$5:$D$1005="jabas")*(MOVIMIENTOS!$A$5:$A$1005&lt;&gt;"")*(MOVIMIENTOS!$A$5:$A$1005&lt;=$A313)*MOVIMIENTOS!$E$5:$E$1005)-SUMPRODUCT((MOVIMIENTOS!$B$5:$B$1005="TRASIEGO")*(MOVIMIENTOS!$C$5:$C$1005="C")*(MOVIMIENTOS!$D$5:$D$1005="jabas")*(MOVIMIENTOS!$A$5:$A$1005&lt;&gt;"")*(MOVIMIENTOS!$A$5:$A$1005&lt;=$A313)*MOVIMIENTOS!$E$5:$E$1005)-SUMPRODUCT((MOVIMIENTOS!$B$5:$B$1005="REGALO")*(MOVIMIENTOS!$C$5:$C$1005="C")*(MOVIMIENTOS!$D$5:$D$1005="jabas")*(MOVIMIENTOS!$A$5:$A$1005&lt;&gt;"")*(MOVIMIENTOS!$A$5:$A$1005&lt;=$A313)*MOVIMIENTOS!$E$5:$E$1005)-SUMPRODUCT((MOVIMIENTOS!$B$5:$B$1005="VENTA")*(MOVIMIENTOS!$C$5:$C$1005="C")*(MOVIMIENTOS!$D$5:$D$1005="jabas")*(MOVIMIENTOS!$A$5:$A$1005&lt;&gt;"")*(MOVIMIENTOS!$A$5:$A$1005&lt;=$A313)*MOVIMIENTOS!$E$5:$E$1005)+SUMPRODUCT((MOVIMIENTOS!$B$5:$B$1005="AJUSTE")*(MOVIMIENTOS!$C$5:$C$1005="C")*(MOVIMIENTOS!$D$5:$D$1005="jabas")*(MOVIMIENTOS!$A$5:$A$1005&lt;&gt;"")*(MOVIMIENTOS!$A$5:$A$1005&lt;=$A313)*MOVIMIENTOS!$E$5:$E$1005))</f>
        <v/>
      </c>
      <c r="E313" s="63" t="str">
        <f>IF($A313="","",SUMPRODUCT((MOVIMIENTOS!$B$5:$B$1005="SALDO INICIAL")*(MOVIMIENTOS!$C$5:$C$1005="M")*(MOVIMIENTOS!$D$5:$D$1005="jabas")*(MOVIMIENTOS!$A$5:$A$1005&lt;&gt;"")*(MOVIMIENTOS!$A$5:$A$1005&lt;=$A313)*MOVIMIENTOS!$E$5:$E$1005)+SUMPRODUCT((MOVIMIENTOS!$B$5:$B$1005="PROCESO")*(MOVIMIENTOS!$C$5:$C$1005="M")*(MOVIMIENTOS!$D$5:$D$1005="jabas")*(MOVIMIENTOS!$A$5:$A$1005&lt;&gt;"")*(MOVIMIENTOS!$A$5:$A$1005&lt;=$A313)*MOVIMIENTOS!$E$5:$E$1005)-SUMPRODUCT((MOVIMIENTOS!$B$5:$B$1005="ENVÍO A SUPESA")*(MOVIMIENTOS!$C$5:$C$1005="M")*(MOVIMIENTOS!$D$5:$D$1005="jabas")*(MOVIMIENTOS!$A$5:$A$1005&lt;&gt;"")*(MOVIMIENTOS!$A$5:$A$1005&lt;=$A313)*MOVIMIENTOS!$E$5:$E$1005)+SUMPRODUCT((MOVIMIENTOS!$B$5:$B$1005="DEVOLUCIÓN")*(MOVIMIENTOS!$C$5:$C$1005="M")*(MOVIMIENTOS!$D$5:$D$1005="jabas")*(MOVIMIENTOS!$A$5:$A$1005&lt;&gt;"")*(MOVIMIENTOS!$A$5:$A$1005&lt;=$A313)*MOVIMIENTOS!$E$5:$E$1005)-SUMPRODUCT((MOVIMIENTOS!$B$5:$B$1005="TRASIEGO")*(MOVIMIENTOS!$C$5:$C$1005="M")*(MOVIMIENTOS!$D$5:$D$1005="jabas")*(MOVIMIENTOS!$A$5:$A$1005&lt;&gt;"")*(MOVIMIENTOS!$A$5:$A$1005&lt;=$A313)*MOVIMIENTOS!$E$5:$E$1005)-SUMPRODUCT((MOVIMIENTOS!$B$5:$B$1005="REGALO")*(MOVIMIENTOS!$C$5:$C$1005="M")*(MOVIMIENTOS!$D$5:$D$1005="jabas")*(MOVIMIENTOS!$A$5:$A$1005&lt;&gt;"")*(MOVIMIENTOS!$A$5:$A$1005&lt;=$A313)*MOVIMIENTOS!$E$5:$E$1005)-SUMPRODUCT((MOVIMIENTOS!$B$5:$B$1005="VENTA")*(MOVIMIENTOS!$C$5:$C$1005="M")*(MOVIMIENTOS!$D$5:$D$1005="jabas")*(MOVIMIENTOS!$A$5:$A$1005&lt;&gt;"")*(MOVIMIENTOS!$A$5:$A$1005&lt;=$A313)*MOVIMIENTOS!$E$5:$E$1005)+SUMPRODUCT((MOVIMIENTOS!$B$5:$B$1005="AJUSTE")*(MOVIMIENTOS!$C$5:$C$1005="M")*(MOVIMIENTOS!$D$5:$D$1005="jabas")*(MOVIMIENTOS!$A$5:$A$1005&lt;&gt;"")*(MOVIMIENTOS!$A$5:$A$1005&lt;=$A313)*MOVIMIENTOS!$E$5:$E$1005))</f>
        <v/>
      </c>
      <c r="F313" s="63" t="str">
        <f>IF($A313="","",SUMPRODUCT((MOVIMIENTOS!$B$5:$B$1005="SALDO INICIAL")*(MOVIMIENTOS!$C$5:$C$1005="Chancho")*(MOVIMIENTOS!$D$5:$D$1005="sacos")*(MOVIMIENTOS!$A$5:$A$1005&lt;&gt;"")*(MOVIMIENTOS!$A$5:$A$1005&lt;=$A313)*MOVIMIENTOS!$E$5:$E$1005)+SUMPRODUCT((MOVIMIENTOS!$B$5:$B$1005="PROCESO")*(MOVIMIENTOS!$C$5:$C$1005="Chancho")*(MOVIMIENTOS!$D$5:$D$1005="sacos")*(MOVIMIENTOS!$A$5:$A$1005&lt;&gt;"")*(MOVIMIENTOS!$A$5:$A$1005&lt;=$A313)*MOVIMIENTOS!$E$5:$E$1005)-SUMPRODUCT((MOVIMIENTOS!$B$5:$B$1005="VENTA CHANCHO")*(MOVIMIENTOS!$C$5:$C$1005="Chancho")*(MOVIMIENTOS!$D$5:$D$1005="sacos")*(MOVIMIENTOS!$A$5:$A$1005&lt;&gt;"")*(MOVIMIENTOS!$A$5:$A$1005&lt;=$A313)*MOVIMIENTOS!$E$5:$E$1005)-SUMPRODUCT((MOVIMIENTOS!$B$5:$B$1005="REGALO")*(MOVIMIENTOS!$C$5:$C$1005="Chancho")*(MOVIMIENTOS!$D$5:$D$1005="sacos")*(MOVIMIENTOS!$A$5:$A$1005&lt;&gt;"")*(MOVIMIENTOS!$A$5:$A$1005&lt;=$A313)*MOVIMIENTOS!$E$5:$E$1005)-SUMPRODUCT((MOVIMIENTOS!$B$5:$B$1005="VENTA")*(MOVIMIENTOS!$C$5:$C$1005="Chancho")*(MOVIMIENTOS!$D$5:$D$1005="sacos")*(MOVIMIENTOS!$A$5:$A$1005&lt;&gt;"")*(MOVIMIENTOS!$A$5:$A$1005&lt;=$A313)*MOVIMIENTOS!$E$5:$E$1005)+SUMPRODUCT((MOVIMIENTOS!$B$5:$B$1005="AJUSTE")*(MOVIMIENTOS!$C$5:$C$1005="Chancho")*(MOVIMIENTOS!$D$5:$D$1005="sacos")*(MOVIMIENTOS!$A$5:$A$1005&lt;&gt;"")*(MOVIMIENTOS!$A$5:$A$1005&lt;=$A313)*MOVIMIENTOS!$E$5:$E$1005))</f>
        <v/>
      </c>
      <c r="G313" s="95" t="str">
        <f t="shared" si="9"/>
        <v/>
      </c>
      <c r="H313" s="63" t="str">
        <f>IF($A313="","",SUMPRODUCT((((MOVIMIENTOS!$B$5:$B$1005="SALDO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313)*MOVIMIENTOS!$J$5:$J$1005))</f>
        <v/>
      </c>
      <c r="I313" s="63"/>
      <c r="J313" s="63" t="str">
        <f>IF(AND(MOVIMIENTOS!$A312&lt;&gt;"",COUNTIF(MOVIMIENTOS!$A$5:$A311,MOVIMIENTOS!$A312)=0),COUNT(J$4:J312)+1,"")</f>
        <v/>
      </c>
      <c r="K313" s="66">
        <f>MOVIMIENTOS!$A312</f>
        <v>46241</v>
      </c>
      <c r="L313" s="63"/>
      <c r="M313" s="63"/>
      <c r="N313" s="63"/>
    </row>
    <row r="314" spans="1:14" ht="15" customHeight="1" x14ac:dyDescent="0.2">
      <c r="A314" s="63" t="str">
        <f t="shared" si="8"/>
        <v/>
      </c>
      <c r="B314" s="63" t="str">
        <f>IF($A314="","",SUMPRODUCT((MOVIMIENTOS!$B$5:$B$1005="SALDO INICIAL")*(MOVIMIENTOS!$C$5:$C$1005="A")*(MOVIMIENTOS!$D$5:$D$1005="jabas")*(MOVIMIENTOS!$A$5:$A$1005&lt;&gt;"")*(MOVIMIENTOS!$A$5:$A$1005&lt;=$A314)*MOVIMIENTOS!$E$5:$E$1005)+SUMPRODUCT((MOVIMIENTOS!$B$5:$B$1005="PROCESO")*(MOVIMIENTOS!$C$5:$C$1005="A")*(MOVIMIENTOS!$D$5:$D$1005="jabas")*(MOVIMIENTOS!$A$5:$A$1005&lt;&gt;"")*(MOVIMIENTOS!$A$5:$A$1005&lt;=$A314)*MOVIMIENTOS!$E$5:$E$1005)-SUMPRODUCT((MOVIMIENTOS!$B$5:$B$1005="ENVÍO A SUPESA")*(MOVIMIENTOS!$C$5:$C$1005="A")*(MOVIMIENTOS!$D$5:$D$1005="jabas")*(MOVIMIENTOS!$A$5:$A$1005&lt;&gt;"")*(MOVIMIENTOS!$A$5:$A$1005&lt;=$A314)*MOVIMIENTOS!$E$5:$E$1005)+SUMPRODUCT((MOVIMIENTOS!$B$5:$B$1005="DEVOLUCIÓN")*(MOVIMIENTOS!$C$5:$C$1005="A")*(MOVIMIENTOS!$D$5:$D$1005="jabas")*(MOVIMIENTOS!$A$5:$A$1005&lt;&gt;"")*(MOVIMIENTOS!$A$5:$A$1005&lt;=$A314)*MOVIMIENTOS!$E$5:$E$1005)-SUMPRODUCT((MOVIMIENTOS!$B$5:$B$1005="TRASIEGO")*(MOVIMIENTOS!$C$5:$C$1005="A")*(MOVIMIENTOS!$D$5:$D$1005="jabas")*(MOVIMIENTOS!$A$5:$A$1005&lt;&gt;"")*(MOVIMIENTOS!$A$5:$A$1005&lt;=$A314)*MOVIMIENTOS!$E$5:$E$1005)-SUMPRODUCT((MOVIMIENTOS!$B$5:$B$1005="REGALO")*(MOVIMIENTOS!$C$5:$C$1005="A")*(MOVIMIENTOS!$D$5:$D$1005="jabas")*(MOVIMIENTOS!$A$5:$A$1005&lt;&gt;"")*(MOVIMIENTOS!$A$5:$A$1005&lt;=$A314)*MOVIMIENTOS!$E$5:$E$1005)-SUMPRODUCT((MOVIMIENTOS!$B$5:$B$1005="VENTA")*(MOVIMIENTOS!$C$5:$C$1005="A")*(MOVIMIENTOS!$D$5:$D$1005="jabas")*(MOVIMIENTOS!$A$5:$A$1005&lt;&gt;"")*(MOVIMIENTOS!$A$5:$A$1005&lt;=$A314)*MOVIMIENTOS!$E$5:$E$1005)+SUMPRODUCT((MOVIMIENTOS!$B$5:$B$1005="AJUSTE")*(MOVIMIENTOS!$C$5:$C$1005="A")*(MOVIMIENTOS!$D$5:$D$1005="jabas")*(MOVIMIENTOS!$A$5:$A$1005&lt;&gt;"")*(MOVIMIENTOS!$A$5:$A$1005&lt;=$A314)*MOVIMIENTOS!$E$5:$E$1005))</f>
        <v/>
      </c>
      <c r="C314" s="63" t="str">
        <f>IF($A314="","",SUMPRODUCT((MOVIMIENTOS!$B$5:$B$1005="SALDO INICIAL")*(MOVIMIENTOS!$C$5:$C$1005="P")*(MOVIMIENTOS!$D$5:$D$1005="jabas")*(MOVIMIENTOS!$A$5:$A$1005&lt;&gt;"")*(MOVIMIENTOS!$A$5:$A$1005&lt;=$A314)*MOVIMIENTOS!$E$5:$E$1005)+SUMPRODUCT((MOVIMIENTOS!$B$5:$B$1005="PROCESO")*(MOVIMIENTOS!$C$5:$C$1005="P")*(MOVIMIENTOS!$D$5:$D$1005="jabas")*(MOVIMIENTOS!$A$5:$A$1005&lt;&gt;"")*(MOVIMIENTOS!$A$5:$A$1005&lt;=$A314)*MOVIMIENTOS!$E$5:$E$1005)-SUMPRODUCT((MOVIMIENTOS!$B$5:$B$1005="ENVÍO A SUPESA")*(MOVIMIENTOS!$C$5:$C$1005="P")*(MOVIMIENTOS!$D$5:$D$1005="jabas")*(MOVIMIENTOS!$A$5:$A$1005&lt;&gt;"")*(MOVIMIENTOS!$A$5:$A$1005&lt;=$A314)*MOVIMIENTOS!$E$5:$E$1005)+SUMPRODUCT((MOVIMIENTOS!$B$5:$B$1005="DEVOLUCIÓN")*(MOVIMIENTOS!$C$5:$C$1005="P")*(MOVIMIENTOS!$D$5:$D$1005="jabas")*(MOVIMIENTOS!$A$5:$A$1005&lt;&gt;"")*(MOVIMIENTOS!$A$5:$A$1005&lt;=$A314)*MOVIMIENTOS!$E$5:$E$1005)-SUMPRODUCT((MOVIMIENTOS!$B$5:$B$1005="TRASIEGO")*(MOVIMIENTOS!$C$5:$C$1005="P")*(MOVIMIENTOS!$D$5:$D$1005="jabas")*(MOVIMIENTOS!$A$5:$A$1005&lt;&gt;"")*(MOVIMIENTOS!$A$5:$A$1005&lt;=$A314)*MOVIMIENTOS!$E$5:$E$1005)-SUMPRODUCT((MOVIMIENTOS!$B$5:$B$1005="REGALO")*(MOVIMIENTOS!$C$5:$C$1005="P")*(MOVIMIENTOS!$D$5:$D$1005="jabas")*(MOVIMIENTOS!$A$5:$A$1005&lt;&gt;"")*(MOVIMIENTOS!$A$5:$A$1005&lt;=$A314)*MOVIMIENTOS!$E$5:$E$1005)-SUMPRODUCT((MOVIMIENTOS!$B$5:$B$1005="VENTA")*(MOVIMIENTOS!$C$5:$C$1005="P")*(MOVIMIENTOS!$D$5:$D$1005="jabas")*(MOVIMIENTOS!$A$5:$A$1005&lt;&gt;"")*(MOVIMIENTOS!$A$5:$A$1005&lt;=$A314)*MOVIMIENTOS!$E$5:$E$1005)+SUMPRODUCT((MOVIMIENTOS!$B$5:$B$1005="AJUSTE")*(MOVIMIENTOS!$C$5:$C$1005="P")*(MOVIMIENTOS!$D$5:$D$1005="jabas")*(MOVIMIENTOS!$A$5:$A$1005&lt;&gt;"")*(MOVIMIENTOS!$A$5:$A$1005&lt;=$A314)*MOVIMIENTOS!$E$5:$E$1005))</f>
        <v/>
      </c>
      <c r="D314" s="63" t="str">
        <f>IF($A314="","",SUMPRODUCT((MOVIMIENTOS!$B$5:$B$1005="SALDO INICIAL")*(MOVIMIENTOS!$C$5:$C$1005="C")*(MOVIMIENTOS!$D$5:$D$1005="jabas")*(MOVIMIENTOS!$A$5:$A$1005&lt;&gt;"")*(MOVIMIENTOS!$A$5:$A$1005&lt;=$A314)*MOVIMIENTOS!$E$5:$E$1005)+SUMPRODUCT((MOVIMIENTOS!$B$5:$B$1005="PROCESO")*(MOVIMIENTOS!$C$5:$C$1005="C")*(MOVIMIENTOS!$D$5:$D$1005="jabas")*(MOVIMIENTOS!$A$5:$A$1005&lt;&gt;"")*(MOVIMIENTOS!$A$5:$A$1005&lt;=$A314)*MOVIMIENTOS!$E$5:$E$1005)-SUMPRODUCT((MOVIMIENTOS!$B$5:$B$1005="ENVÍO A SUPESA")*(MOVIMIENTOS!$C$5:$C$1005="C")*(MOVIMIENTOS!$D$5:$D$1005="jabas")*(MOVIMIENTOS!$A$5:$A$1005&lt;&gt;"")*(MOVIMIENTOS!$A$5:$A$1005&lt;=$A314)*MOVIMIENTOS!$E$5:$E$1005)+SUMPRODUCT((MOVIMIENTOS!$B$5:$B$1005="DEVOLUCIÓN")*(MOVIMIENTOS!$C$5:$C$1005="C")*(MOVIMIENTOS!$D$5:$D$1005="jabas")*(MOVIMIENTOS!$A$5:$A$1005&lt;&gt;"")*(MOVIMIENTOS!$A$5:$A$1005&lt;=$A314)*MOVIMIENTOS!$E$5:$E$1005)-SUMPRODUCT((MOVIMIENTOS!$B$5:$B$1005="TRASIEGO")*(MOVIMIENTOS!$C$5:$C$1005="C")*(MOVIMIENTOS!$D$5:$D$1005="jabas")*(MOVIMIENTOS!$A$5:$A$1005&lt;&gt;"")*(MOVIMIENTOS!$A$5:$A$1005&lt;=$A314)*MOVIMIENTOS!$E$5:$E$1005)-SUMPRODUCT((MOVIMIENTOS!$B$5:$B$1005="REGALO")*(MOVIMIENTOS!$C$5:$C$1005="C")*(MOVIMIENTOS!$D$5:$D$1005="jabas")*(MOVIMIENTOS!$A$5:$A$1005&lt;&gt;"")*(MOVIMIENTOS!$A$5:$A$1005&lt;=$A314)*MOVIMIENTOS!$E$5:$E$1005)-SUMPRODUCT((MOVIMIENTOS!$B$5:$B$1005="VENTA")*(MOVIMIENTOS!$C$5:$C$1005="C")*(MOVIMIENTOS!$D$5:$D$1005="jabas")*(MOVIMIENTOS!$A$5:$A$1005&lt;&gt;"")*(MOVIMIENTOS!$A$5:$A$1005&lt;=$A314)*MOVIMIENTOS!$E$5:$E$1005)+SUMPRODUCT((MOVIMIENTOS!$B$5:$B$1005="AJUSTE")*(MOVIMIENTOS!$C$5:$C$1005="C")*(MOVIMIENTOS!$D$5:$D$1005="jabas")*(MOVIMIENTOS!$A$5:$A$1005&lt;&gt;"")*(MOVIMIENTOS!$A$5:$A$1005&lt;=$A314)*MOVIMIENTOS!$E$5:$E$1005))</f>
        <v/>
      </c>
      <c r="E314" s="63" t="str">
        <f>IF($A314="","",SUMPRODUCT((MOVIMIENTOS!$B$5:$B$1005="SALDO INICIAL")*(MOVIMIENTOS!$C$5:$C$1005="M")*(MOVIMIENTOS!$D$5:$D$1005="jabas")*(MOVIMIENTOS!$A$5:$A$1005&lt;&gt;"")*(MOVIMIENTOS!$A$5:$A$1005&lt;=$A314)*MOVIMIENTOS!$E$5:$E$1005)+SUMPRODUCT((MOVIMIENTOS!$B$5:$B$1005="PROCESO")*(MOVIMIENTOS!$C$5:$C$1005="M")*(MOVIMIENTOS!$D$5:$D$1005="jabas")*(MOVIMIENTOS!$A$5:$A$1005&lt;&gt;"")*(MOVIMIENTOS!$A$5:$A$1005&lt;=$A314)*MOVIMIENTOS!$E$5:$E$1005)-SUMPRODUCT((MOVIMIENTOS!$B$5:$B$1005="ENVÍO A SUPESA")*(MOVIMIENTOS!$C$5:$C$1005="M")*(MOVIMIENTOS!$D$5:$D$1005="jabas")*(MOVIMIENTOS!$A$5:$A$1005&lt;&gt;"")*(MOVIMIENTOS!$A$5:$A$1005&lt;=$A314)*MOVIMIENTOS!$E$5:$E$1005)+SUMPRODUCT((MOVIMIENTOS!$B$5:$B$1005="DEVOLUCIÓN")*(MOVIMIENTOS!$C$5:$C$1005="M")*(MOVIMIENTOS!$D$5:$D$1005="jabas")*(MOVIMIENTOS!$A$5:$A$1005&lt;&gt;"")*(MOVIMIENTOS!$A$5:$A$1005&lt;=$A314)*MOVIMIENTOS!$E$5:$E$1005)-SUMPRODUCT((MOVIMIENTOS!$B$5:$B$1005="TRASIEGO")*(MOVIMIENTOS!$C$5:$C$1005="M")*(MOVIMIENTOS!$D$5:$D$1005="jabas")*(MOVIMIENTOS!$A$5:$A$1005&lt;&gt;"")*(MOVIMIENTOS!$A$5:$A$1005&lt;=$A314)*MOVIMIENTOS!$E$5:$E$1005)-SUMPRODUCT((MOVIMIENTOS!$B$5:$B$1005="REGALO")*(MOVIMIENTOS!$C$5:$C$1005="M")*(MOVIMIENTOS!$D$5:$D$1005="jabas")*(MOVIMIENTOS!$A$5:$A$1005&lt;&gt;"")*(MOVIMIENTOS!$A$5:$A$1005&lt;=$A314)*MOVIMIENTOS!$E$5:$E$1005)-SUMPRODUCT((MOVIMIENTOS!$B$5:$B$1005="VENTA")*(MOVIMIENTOS!$C$5:$C$1005="M")*(MOVIMIENTOS!$D$5:$D$1005="jabas")*(MOVIMIENTOS!$A$5:$A$1005&lt;&gt;"")*(MOVIMIENTOS!$A$5:$A$1005&lt;=$A314)*MOVIMIENTOS!$E$5:$E$1005)+SUMPRODUCT((MOVIMIENTOS!$B$5:$B$1005="AJUSTE")*(MOVIMIENTOS!$C$5:$C$1005="M")*(MOVIMIENTOS!$D$5:$D$1005="jabas")*(MOVIMIENTOS!$A$5:$A$1005&lt;&gt;"")*(MOVIMIENTOS!$A$5:$A$1005&lt;=$A314)*MOVIMIENTOS!$E$5:$E$1005))</f>
        <v/>
      </c>
      <c r="F314" s="63" t="str">
        <f>IF($A314="","",SUMPRODUCT((MOVIMIENTOS!$B$5:$B$1005="SALDO INICIAL")*(MOVIMIENTOS!$C$5:$C$1005="Chancho")*(MOVIMIENTOS!$D$5:$D$1005="sacos")*(MOVIMIENTOS!$A$5:$A$1005&lt;&gt;"")*(MOVIMIENTOS!$A$5:$A$1005&lt;=$A314)*MOVIMIENTOS!$E$5:$E$1005)+SUMPRODUCT((MOVIMIENTOS!$B$5:$B$1005="PROCESO")*(MOVIMIENTOS!$C$5:$C$1005="Chancho")*(MOVIMIENTOS!$D$5:$D$1005="sacos")*(MOVIMIENTOS!$A$5:$A$1005&lt;&gt;"")*(MOVIMIENTOS!$A$5:$A$1005&lt;=$A314)*MOVIMIENTOS!$E$5:$E$1005)-SUMPRODUCT((MOVIMIENTOS!$B$5:$B$1005="VENTA CHANCHO")*(MOVIMIENTOS!$C$5:$C$1005="Chancho")*(MOVIMIENTOS!$D$5:$D$1005="sacos")*(MOVIMIENTOS!$A$5:$A$1005&lt;&gt;"")*(MOVIMIENTOS!$A$5:$A$1005&lt;=$A314)*MOVIMIENTOS!$E$5:$E$1005)-SUMPRODUCT((MOVIMIENTOS!$B$5:$B$1005="REGALO")*(MOVIMIENTOS!$C$5:$C$1005="Chancho")*(MOVIMIENTOS!$D$5:$D$1005="sacos")*(MOVIMIENTOS!$A$5:$A$1005&lt;&gt;"")*(MOVIMIENTOS!$A$5:$A$1005&lt;=$A314)*MOVIMIENTOS!$E$5:$E$1005)-SUMPRODUCT((MOVIMIENTOS!$B$5:$B$1005="VENTA")*(MOVIMIENTOS!$C$5:$C$1005="Chancho")*(MOVIMIENTOS!$D$5:$D$1005="sacos")*(MOVIMIENTOS!$A$5:$A$1005&lt;&gt;"")*(MOVIMIENTOS!$A$5:$A$1005&lt;=$A314)*MOVIMIENTOS!$E$5:$E$1005)+SUMPRODUCT((MOVIMIENTOS!$B$5:$B$1005="AJUSTE")*(MOVIMIENTOS!$C$5:$C$1005="Chancho")*(MOVIMIENTOS!$D$5:$D$1005="sacos")*(MOVIMIENTOS!$A$5:$A$1005&lt;&gt;"")*(MOVIMIENTOS!$A$5:$A$1005&lt;=$A314)*MOVIMIENTOS!$E$5:$E$1005))</f>
        <v/>
      </c>
      <c r="G314" s="95" t="str">
        <f t="shared" si="9"/>
        <v/>
      </c>
      <c r="H314" s="63" t="str">
        <f>IF($A314="","",SUMPRODUCT((((MOVIMIENTOS!$B$5:$B$1005="SALDO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314)*MOVIMIENTOS!$J$5:$J$1005))</f>
        <v/>
      </c>
      <c r="I314" s="63"/>
      <c r="J314" s="63" t="str">
        <f>IF(AND(MOVIMIENTOS!$A313&lt;&gt;"",COUNTIF(MOVIMIENTOS!$A$5:$A312,MOVIMIENTOS!$A313)=0),COUNT(J$4:J313)+1,"")</f>
        <v/>
      </c>
      <c r="K314" s="66">
        <f>MOVIMIENTOS!$A313</f>
        <v>46241</v>
      </c>
      <c r="L314" s="63"/>
      <c r="M314" s="63"/>
      <c r="N314" s="63"/>
    </row>
    <row r="315" spans="1:14" ht="15" customHeight="1" x14ac:dyDescent="0.2">
      <c r="A315" s="63" t="str">
        <f t="shared" si="8"/>
        <v/>
      </c>
      <c r="B315" s="63" t="str">
        <f>IF($A315="","",SUMPRODUCT((MOVIMIENTOS!$B$5:$B$1005="SALDO INICIAL")*(MOVIMIENTOS!$C$5:$C$1005="A")*(MOVIMIENTOS!$D$5:$D$1005="jabas")*(MOVIMIENTOS!$A$5:$A$1005&lt;&gt;"")*(MOVIMIENTOS!$A$5:$A$1005&lt;=$A315)*MOVIMIENTOS!$E$5:$E$1005)+SUMPRODUCT((MOVIMIENTOS!$B$5:$B$1005="PROCESO")*(MOVIMIENTOS!$C$5:$C$1005="A")*(MOVIMIENTOS!$D$5:$D$1005="jabas")*(MOVIMIENTOS!$A$5:$A$1005&lt;&gt;"")*(MOVIMIENTOS!$A$5:$A$1005&lt;=$A315)*MOVIMIENTOS!$E$5:$E$1005)-SUMPRODUCT((MOVIMIENTOS!$B$5:$B$1005="ENVÍO A SUPESA")*(MOVIMIENTOS!$C$5:$C$1005="A")*(MOVIMIENTOS!$D$5:$D$1005="jabas")*(MOVIMIENTOS!$A$5:$A$1005&lt;&gt;"")*(MOVIMIENTOS!$A$5:$A$1005&lt;=$A315)*MOVIMIENTOS!$E$5:$E$1005)+SUMPRODUCT((MOVIMIENTOS!$B$5:$B$1005="DEVOLUCIÓN")*(MOVIMIENTOS!$C$5:$C$1005="A")*(MOVIMIENTOS!$D$5:$D$1005="jabas")*(MOVIMIENTOS!$A$5:$A$1005&lt;&gt;"")*(MOVIMIENTOS!$A$5:$A$1005&lt;=$A315)*MOVIMIENTOS!$E$5:$E$1005)-SUMPRODUCT((MOVIMIENTOS!$B$5:$B$1005="TRASIEGO")*(MOVIMIENTOS!$C$5:$C$1005="A")*(MOVIMIENTOS!$D$5:$D$1005="jabas")*(MOVIMIENTOS!$A$5:$A$1005&lt;&gt;"")*(MOVIMIENTOS!$A$5:$A$1005&lt;=$A315)*MOVIMIENTOS!$E$5:$E$1005)-SUMPRODUCT((MOVIMIENTOS!$B$5:$B$1005="REGALO")*(MOVIMIENTOS!$C$5:$C$1005="A")*(MOVIMIENTOS!$D$5:$D$1005="jabas")*(MOVIMIENTOS!$A$5:$A$1005&lt;&gt;"")*(MOVIMIENTOS!$A$5:$A$1005&lt;=$A315)*MOVIMIENTOS!$E$5:$E$1005)-SUMPRODUCT((MOVIMIENTOS!$B$5:$B$1005="VENTA")*(MOVIMIENTOS!$C$5:$C$1005="A")*(MOVIMIENTOS!$D$5:$D$1005="jabas")*(MOVIMIENTOS!$A$5:$A$1005&lt;&gt;"")*(MOVIMIENTOS!$A$5:$A$1005&lt;=$A315)*MOVIMIENTOS!$E$5:$E$1005)+SUMPRODUCT((MOVIMIENTOS!$B$5:$B$1005="AJUSTE")*(MOVIMIENTOS!$C$5:$C$1005="A")*(MOVIMIENTOS!$D$5:$D$1005="jabas")*(MOVIMIENTOS!$A$5:$A$1005&lt;&gt;"")*(MOVIMIENTOS!$A$5:$A$1005&lt;=$A315)*MOVIMIENTOS!$E$5:$E$1005))</f>
        <v/>
      </c>
      <c r="C315" s="63" t="str">
        <f>IF($A315="","",SUMPRODUCT((MOVIMIENTOS!$B$5:$B$1005="SALDO INICIAL")*(MOVIMIENTOS!$C$5:$C$1005="P")*(MOVIMIENTOS!$D$5:$D$1005="jabas")*(MOVIMIENTOS!$A$5:$A$1005&lt;&gt;"")*(MOVIMIENTOS!$A$5:$A$1005&lt;=$A315)*MOVIMIENTOS!$E$5:$E$1005)+SUMPRODUCT((MOVIMIENTOS!$B$5:$B$1005="PROCESO")*(MOVIMIENTOS!$C$5:$C$1005="P")*(MOVIMIENTOS!$D$5:$D$1005="jabas")*(MOVIMIENTOS!$A$5:$A$1005&lt;&gt;"")*(MOVIMIENTOS!$A$5:$A$1005&lt;=$A315)*MOVIMIENTOS!$E$5:$E$1005)-SUMPRODUCT((MOVIMIENTOS!$B$5:$B$1005="ENVÍO A SUPESA")*(MOVIMIENTOS!$C$5:$C$1005="P")*(MOVIMIENTOS!$D$5:$D$1005="jabas")*(MOVIMIENTOS!$A$5:$A$1005&lt;&gt;"")*(MOVIMIENTOS!$A$5:$A$1005&lt;=$A315)*MOVIMIENTOS!$E$5:$E$1005)+SUMPRODUCT((MOVIMIENTOS!$B$5:$B$1005="DEVOLUCIÓN")*(MOVIMIENTOS!$C$5:$C$1005="P")*(MOVIMIENTOS!$D$5:$D$1005="jabas")*(MOVIMIENTOS!$A$5:$A$1005&lt;&gt;"")*(MOVIMIENTOS!$A$5:$A$1005&lt;=$A315)*MOVIMIENTOS!$E$5:$E$1005)-SUMPRODUCT((MOVIMIENTOS!$B$5:$B$1005="TRASIEGO")*(MOVIMIENTOS!$C$5:$C$1005="P")*(MOVIMIENTOS!$D$5:$D$1005="jabas")*(MOVIMIENTOS!$A$5:$A$1005&lt;&gt;"")*(MOVIMIENTOS!$A$5:$A$1005&lt;=$A315)*MOVIMIENTOS!$E$5:$E$1005)-SUMPRODUCT((MOVIMIENTOS!$B$5:$B$1005="REGALO")*(MOVIMIENTOS!$C$5:$C$1005="P")*(MOVIMIENTOS!$D$5:$D$1005="jabas")*(MOVIMIENTOS!$A$5:$A$1005&lt;&gt;"")*(MOVIMIENTOS!$A$5:$A$1005&lt;=$A315)*MOVIMIENTOS!$E$5:$E$1005)-SUMPRODUCT((MOVIMIENTOS!$B$5:$B$1005="VENTA")*(MOVIMIENTOS!$C$5:$C$1005="P")*(MOVIMIENTOS!$D$5:$D$1005="jabas")*(MOVIMIENTOS!$A$5:$A$1005&lt;&gt;"")*(MOVIMIENTOS!$A$5:$A$1005&lt;=$A315)*MOVIMIENTOS!$E$5:$E$1005)+SUMPRODUCT((MOVIMIENTOS!$B$5:$B$1005="AJUSTE")*(MOVIMIENTOS!$C$5:$C$1005="P")*(MOVIMIENTOS!$D$5:$D$1005="jabas")*(MOVIMIENTOS!$A$5:$A$1005&lt;&gt;"")*(MOVIMIENTOS!$A$5:$A$1005&lt;=$A315)*MOVIMIENTOS!$E$5:$E$1005))</f>
        <v/>
      </c>
      <c r="D315" s="63" t="str">
        <f>IF($A315="","",SUMPRODUCT((MOVIMIENTOS!$B$5:$B$1005="SALDO INICIAL")*(MOVIMIENTOS!$C$5:$C$1005="C")*(MOVIMIENTOS!$D$5:$D$1005="jabas")*(MOVIMIENTOS!$A$5:$A$1005&lt;&gt;"")*(MOVIMIENTOS!$A$5:$A$1005&lt;=$A315)*MOVIMIENTOS!$E$5:$E$1005)+SUMPRODUCT((MOVIMIENTOS!$B$5:$B$1005="PROCESO")*(MOVIMIENTOS!$C$5:$C$1005="C")*(MOVIMIENTOS!$D$5:$D$1005="jabas")*(MOVIMIENTOS!$A$5:$A$1005&lt;&gt;"")*(MOVIMIENTOS!$A$5:$A$1005&lt;=$A315)*MOVIMIENTOS!$E$5:$E$1005)-SUMPRODUCT((MOVIMIENTOS!$B$5:$B$1005="ENVÍO A SUPESA")*(MOVIMIENTOS!$C$5:$C$1005="C")*(MOVIMIENTOS!$D$5:$D$1005="jabas")*(MOVIMIENTOS!$A$5:$A$1005&lt;&gt;"")*(MOVIMIENTOS!$A$5:$A$1005&lt;=$A315)*MOVIMIENTOS!$E$5:$E$1005)+SUMPRODUCT((MOVIMIENTOS!$B$5:$B$1005="DEVOLUCIÓN")*(MOVIMIENTOS!$C$5:$C$1005="C")*(MOVIMIENTOS!$D$5:$D$1005="jabas")*(MOVIMIENTOS!$A$5:$A$1005&lt;&gt;"")*(MOVIMIENTOS!$A$5:$A$1005&lt;=$A315)*MOVIMIENTOS!$E$5:$E$1005)-SUMPRODUCT((MOVIMIENTOS!$B$5:$B$1005="TRASIEGO")*(MOVIMIENTOS!$C$5:$C$1005="C")*(MOVIMIENTOS!$D$5:$D$1005="jabas")*(MOVIMIENTOS!$A$5:$A$1005&lt;&gt;"")*(MOVIMIENTOS!$A$5:$A$1005&lt;=$A315)*MOVIMIENTOS!$E$5:$E$1005)-SUMPRODUCT((MOVIMIENTOS!$B$5:$B$1005="REGALO")*(MOVIMIENTOS!$C$5:$C$1005="C")*(MOVIMIENTOS!$D$5:$D$1005="jabas")*(MOVIMIENTOS!$A$5:$A$1005&lt;&gt;"")*(MOVIMIENTOS!$A$5:$A$1005&lt;=$A315)*MOVIMIENTOS!$E$5:$E$1005)-SUMPRODUCT((MOVIMIENTOS!$B$5:$B$1005="VENTA")*(MOVIMIENTOS!$C$5:$C$1005="C")*(MOVIMIENTOS!$D$5:$D$1005="jabas")*(MOVIMIENTOS!$A$5:$A$1005&lt;&gt;"")*(MOVIMIENTOS!$A$5:$A$1005&lt;=$A315)*MOVIMIENTOS!$E$5:$E$1005)+SUMPRODUCT((MOVIMIENTOS!$B$5:$B$1005="AJUSTE")*(MOVIMIENTOS!$C$5:$C$1005="C")*(MOVIMIENTOS!$D$5:$D$1005="jabas")*(MOVIMIENTOS!$A$5:$A$1005&lt;&gt;"")*(MOVIMIENTOS!$A$5:$A$1005&lt;=$A315)*MOVIMIENTOS!$E$5:$E$1005))</f>
        <v/>
      </c>
      <c r="E315" s="63" t="str">
        <f>IF($A315="","",SUMPRODUCT((MOVIMIENTOS!$B$5:$B$1005="SALDO INICIAL")*(MOVIMIENTOS!$C$5:$C$1005="M")*(MOVIMIENTOS!$D$5:$D$1005="jabas")*(MOVIMIENTOS!$A$5:$A$1005&lt;&gt;"")*(MOVIMIENTOS!$A$5:$A$1005&lt;=$A315)*MOVIMIENTOS!$E$5:$E$1005)+SUMPRODUCT((MOVIMIENTOS!$B$5:$B$1005="PROCESO")*(MOVIMIENTOS!$C$5:$C$1005="M")*(MOVIMIENTOS!$D$5:$D$1005="jabas")*(MOVIMIENTOS!$A$5:$A$1005&lt;&gt;"")*(MOVIMIENTOS!$A$5:$A$1005&lt;=$A315)*MOVIMIENTOS!$E$5:$E$1005)-SUMPRODUCT((MOVIMIENTOS!$B$5:$B$1005="ENVÍO A SUPESA")*(MOVIMIENTOS!$C$5:$C$1005="M")*(MOVIMIENTOS!$D$5:$D$1005="jabas")*(MOVIMIENTOS!$A$5:$A$1005&lt;&gt;"")*(MOVIMIENTOS!$A$5:$A$1005&lt;=$A315)*MOVIMIENTOS!$E$5:$E$1005)+SUMPRODUCT((MOVIMIENTOS!$B$5:$B$1005="DEVOLUCIÓN")*(MOVIMIENTOS!$C$5:$C$1005="M")*(MOVIMIENTOS!$D$5:$D$1005="jabas")*(MOVIMIENTOS!$A$5:$A$1005&lt;&gt;"")*(MOVIMIENTOS!$A$5:$A$1005&lt;=$A315)*MOVIMIENTOS!$E$5:$E$1005)-SUMPRODUCT((MOVIMIENTOS!$B$5:$B$1005="TRASIEGO")*(MOVIMIENTOS!$C$5:$C$1005="M")*(MOVIMIENTOS!$D$5:$D$1005="jabas")*(MOVIMIENTOS!$A$5:$A$1005&lt;&gt;"")*(MOVIMIENTOS!$A$5:$A$1005&lt;=$A315)*MOVIMIENTOS!$E$5:$E$1005)-SUMPRODUCT((MOVIMIENTOS!$B$5:$B$1005="REGALO")*(MOVIMIENTOS!$C$5:$C$1005="M")*(MOVIMIENTOS!$D$5:$D$1005="jabas")*(MOVIMIENTOS!$A$5:$A$1005&lt;&gt;"")*(MOVIMIENTOS!$A$5:$A$1005&lt;=$A315)*MOVIMIENTOS!$E$5:$E$1005)-SUMPRODUCT((MOVIMIENTOS!$B$5:$B$1005="VENTA")*(MOVIMIENTOS!$C$5:$C$1005="M")*(MOVIMIENTOS!$D$5:$D$1005="jabas")*(MOVIMIENTOS!$A$5:$A$1005&lt;&gt;"")*(MOVIMIENTOS!$A$5:$A$1005&lt;=$A315)*MOVIMIENTOS!$E$5:$E$1005)+SUMPRODUCT((MOVIMIENTOS!$B$5:$B$1005="AJUSTE")*(MOVIMIENTOS!$C$5:$C$1005="M")*(MOVIMIENTOS!$D$5:$D$1005="jabas")*(MOVIMIENTOS!$A$5:$A$1005&lt;&gt;"")*(MOVIMIENTOS!$A$5:$A$1005&lt;=$A315)*MOVIMIENTOS!$E$5:$E$1005))</f>
        <v/>
      </c>
      <c r="F315" s="63" t="str">
        <f>IF($A315="","",SUMPRODUCT((MOVIMIENTOS!$B$5:$B$1005="SALDO INICIAL")*(MOVIMIENTOS!$C$5:$C$1005="Chancho")*(MOVIMIENTOS!$D$5:$D$1005="sacos")*(MOVIMIENTOS!$A$5:$A$1005&lt;&gt;"")*(MOVIMIENTOS!$A$5:$A$1005&lt;=$A315)*MOVIMIENTOS!$E$5:$E$1005)+SUMPRODUCT((MOVIMIENTOS!$B$5:$B$1005="PROCESO")*(MOVIMIENTOS!$C$5:$C$1005="Chancho")*(MOVIMIENTOS!$D$5:$D$1005="sacos")*(MOVIMIENTOS!$A$5:$A$1005&lt;&gt;"")*(MOVIMIENTOS!$A$5:$A$1005&lt;=$A315)*MOVIMIENTOS!$E$5:$E$1005)-SUMPRODUCT((MOVIMIENTOS!$B$5:$B$1005="VENTA CHANCHO")*(MOVIMIENTOS!$C$5:$C$1005="Chancho")*(MOVIMIENTOS!$D$5:$D$1005="sacos")*(MOVIMIENTOS!$A$5:$A$1005&lt;&gt;"")*(MOVIMIENTOS!$A$5:$A$1005&lt;=$A315)*MOVIMIENTOS!$E$5:$E$1005)-SUMPRODUCT((MOVIMIENTOS!$B$5:$B$1005="REGALO")*(MOVIMIENTOS!$C$5:$C$1005="Chancho")*(MOVIMIENTOS!$D$5:$D$1005="sacos")*(MOVIMIENTOS!$A$5:$A$1005&lt;&gt;"")*(MOVIMIENTOS!$A$5:$A$1005&lt;=$A315)*MOVIMIENTOS!$E$5:$E$1005)-SUMPRODUCT((MOVIMIENTOS!$B$5:$B$1005="VENTA")*(MOVIMIENTOS!$C$5:$C$1005="Chancho")*(MOVIMIENTOS!$D$5:$D$1005="sacos")*(MOVIMIENTOS!$A$5:$A$1005&lt;&gt;"")*(MOVIMIENTOS!$A$5:$A$1005&lt;=$A315)*MOVIMIENTOS!$E$5:$E$1005)+SUMPRODUCT((MOVIMIENTOS!$B$5:$B$1005="AJUSTE")*(MOVIMIENTOS!$C$5:$C$1005="Chancho")*(MOVIMIENTOS!$D$5:$D$1005="sacos")*(MOVIMIENTOS!$A$5:$A$1005&lt;&gt;"")*(MOVIMIENTOS!$A$5:$A$1005&lt;=$A315)*MOVIMIENTOS!$E$5:$E$1005))</f>
        <v/>
      </c>
      <c r="G315" s="95" t="str">
        <f t="shared" si="9"/>
        <v/>
      </c>
      <c r="H315" s="63" t="str">
        <f>IF($A315="","",SUMPRODUCT((((MOVIMIENTOS!$B$5:$B$1005="SALDO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315)*MOVIMIENTOS!$J$5:$J$1005))</f>
        <v/>
      </c>
      <c r="I315" s="63"/>
      <c r="J315" s="63" t="str">
        <f>IF(AND(MOVIMIENTOS!$A314&lt;&gt;"",COUNTIF(MOVIMIENTOS!$A$5:$A313,MOVIMIENTOS!$A314)=0),COUNT(J$4:J314)+1,"")</f>
        <v/>
      </c>
      <c r="K315" s="66">
        <f>MOVIMIENTOS!$A314</f>
        <v>46241</v>
      </c>
      <c r="L315" s="63"/>
      <c r="M315" s="63"/>
      <c r="N315" s="63"/>
    </row>
    <row r="316" spans="1:14" ht="15" customHeight="1" x14ac:dyDescent="0.2">
      <c r="A316" s="63" t="str">
        <f t="shared" si="8"/>
        <v/>
      </c>
      <c r="B316" s="63" t="str">
        <f>IF($A316="","",SUMPRODUCT((MOVIMIENTOS!$B$5:$B$1005="SALDO INICIAL")*(MOVIMIENTOS!$C$5:$C$1005="A")*(MOVIMIENTOS!$D$5:$D$1005="jabas")*(MOVIMIENTOS!$A$5:$A$1005&lt;&gt;"")*(MOVIMIENTOS!$A$5:$A$1005&lt;=$A316)*MOVIMIENTOS!$E$5:$E$1005)+SUMPRODUCT((MOVIMIENTOS!$B$5:$B$1005="PROCESO")*(MOVIMIENTOS!$C$5:$C$1005="A")*(MOVIMIENTOS!$D$5:$D$1005="jabas")*(MOVIMIENTOS!$A$5:$A$1005&lt;&gt;"")*(MOVIMIENTOS!$A$5:$A$1005&lt;=$A316)*MOVIMIENTOS!$E$5:$E$1005)-SUMPRODUCT((MOVIMIENTOS!$B$5:$B$1005="ENVÍO A SUPESA")*(MOVIMIENTOS!$C$5:$C$1005="A")*(MOVIMIENTOS!$D$5:$D$1005="jabas")*(MOVIMIENTOS!$A$5:$A$1005&lt;&gt;"")*(MOVIMIENTOS!$A$5:$A$1005&lt;=$A316)*MOVIMIENTOS!$E$5:$E$1005)+SUMPRODUCT((MOVIMIENTOS!$B$5:$B$1005="DEVOLUCIÓN")*(MOVIMIENTOS!$C$5:$C$1005="A")*(MOVIMIENTOS!$D$5:$D$1005="jabas")*(MOVIMIENTOS!$A$5:$A$1005&lt;&gt;"")*(MOVIMIENTOS!$A$5:$A$1005&lt;=$A316)*MOVIMIENTOS!$E$5:$E$1005)-SUMPRODUCT((MOVIMIENTOS!$B$5:$B$1005="TRASIEGO")*(MOVIMIENTOS!$C$5:$C$1005="A")*(MOVIMIENTOS!$D$5:$D$1005="jabas")*(MOVIMIENTOS!$A$5:$A$1005&lt;&gt;"")*(MOVIMIENTOS!$A$5:$A$1005&lt;=$A316)*MOVIMIENTOS!$E$5:$E$1005)-SUMPRODUCT((MOVIMIENTOS!$B$5:$B$1005="REGALO")*(MOVIMIENTOS!$C$5:$C$1005="A")*(MOVIMIENTOS!$D$5:$D$1005="jabas")*(MOVIMIENTOS!$A$5:$A$1005&lt;&gt;"")*(MOVIMIENTOS!$A$5:$A$1005&lt;=$A316)*MOVIMIENTOS!$E$5:$E$1005)-SUMPRODUCT((MOVIMIENTOS!$B$5:$B$1005="VENTA")*(MOVIMIENTOS!$C$5:$C$1005="A")*(MOVIMIENTOS!$D$5:$D$1005="jabas")*(MOVIMIENTOS!$A$5:$A$1005&lt;&gt;"")*(MOVIMIENTOS!$A$5:$A$1005&lt;=$A316)*MOVIMIENTOS!$E$5:$E$1005)+SUMPRODUCT((MOVIMIENTOS!$B$5:$B$1005="AJUSTE")*(MOVIMIENTOS!$C$5:$C$1005="A")*(MOVIMIENTOS!$D$5:$D$1005="jabas")*(MOVIMIENTOS!$A$5:$A$1005&lt;&gt;"")*(MOVIMIENTOS!$A$5:$A$1005&lt;=$A316)*MOVIMIENTOS!$E$5:$E$1005))</f>
        <v/>
      </c>
      <c r="C316" s="63" t="str">
        <f>IF($A316="","",SUMPRODUCT((MOVIMIENTOS!$B$5:$B$1005="SALDO INICIAL")*(MOVIMIENTOS!$C$5:$C$1005="P")*(MOVIMIENTOS!$D$5:$D$1005="jabas")*(MOVIMIENTOS!$A$5:$A$1005&lt;&gt;"")*(MOVIMIENTOS!$A$5:$A$1005&lt;=$A316)*MOVIMIENTOS!$E$5:$E$1005)+SUMPRODUCT((MOVIMIENTOS!$B$5:$B$1005="PROCESO")*(MOVIMIENTOS!$C$5:$C$1005="P")*(MOVIMIENTOS!$D$5:$D$1005="jabas")*(MOVIMIENTOS!$A$5:$A$1005&lt;&gt;"")*(MOVIMIENTOS!$A$5:$A$1005&lt;=$A316)*MOVIMIENTOS!$E$5:$E$1005)-SUMPRODUCT((MOVIMIENTOS!$B$5:$B$1005="ENVÍO A SUPESA")*(MOVIMIENTOS!$C$5:$C$1005="P")*(MOVIMIENTOS!$D$5:$D$1005="jabas")*(MOVIMIENTOS!$A$5:$A$1005&lt;&gt;"")*(MOVIMIENTOS!$A$5:$A$1005&lt;=$A316)*MOVIMIENTOS!$E$5:$E$1005)+SUMPRODUCT((MOVIMIENTOS!$B$5:$B$1005="DEVOLUCIÓN")*(MOVIMIENTOS!$C$5:$C$1005="P")*(MOVIMIENTOS!$D$5:$D$1005="jabas")*(MOVIMIENTOS!$A$5:$A$1005&lt;&gt;"")*(MOVIMIENTOS!$A$5:$A$1005&lt;=$A316)*MOVIMIENTOS!$E$5:$E$1005)-SUMPRODUCT((MOVIMIENTOS!$B$5:$B$1005="TRASIEGO")*(MOVIMIENTOS!$C$5:$C$1005="P")*(MOVIMIENTOS!$D$5:$D$1005="jabas")*(MOVIMIENTOS!$A$5:$A$1005&lt;&gt;"")*(MOVIMIENTOS!$A$5:$A$1005&lt;=$A316)*MOVIMIENTOS!$E$5:$E$1005)-SUMPRODUCT((MOVIMIENTOS!$B$5:$B$1005="REGALO")*(MOVIMIENTOS!$C$5:$C$1005="P")*(MOVIMIENTOS!$D$5:$D$1005="jabas")*(MOVIMIENTOS!$A$5:$A$1005&lt;&gt;"")*(MOVIMIENTOS!$A$5:$A$1005&lt;=$A316)*MOVIMIENTOS!$E$5:$E$1005)-SUMPRODUCT((MOVIMIENTOS!$B$5:$B$1005="VENTA")*(MOVIMIENTOS!$C$5:$C$1005="P")*(MOVIMIENTOS!$D$5:$D$1005="jabas")*(MOVIMIENTOS!$A$5:$A$1005&lt;&gt;"")*(MOVIMIENTOS!$A$5:$A$1005&lt;=$A316)*MOVIMIENTOS!$E$5:$E$1005)+SUMPRODUCT((MOVIMIENTOS!$B$5:$B$1005="AJUSTE")*(MOVIMIENTOS!$C$5:$C$1005="P")*(MOVIMIENTOS!$D$5:$D$1005="jabas")*(MOVIMIENTOS!$A$5:$A$1005&lt;&gt;"")*(MOVIMIENTOS!$A$5:$A$1005&lt;=$A316)*MOVIMIENTOS!$E$5:$E$1005))</f>
        <v/>
      </c>
      <c r="D316" s="63" t="str">
        <f>IF($A316="","",SUMPRODUCT((MOVIMIENTOS!$B$5:$B$1005="SALDO INICIAL")*(MOVIMIENTOS!$C$5:$C$1005="C")*(MOVIMIENTOS!$D$5:$D$1005="jabas")*(MOVIMIENTOS!$A$5:$A$1005&lt;&gt;"")*(MOVIMIENTOS!$A$5:$A$1005&lt;=$A316)*MOVIMIENTOS!$E$5:$E$1005)+SUMPRODUCT((MOVIMIENTOS!$B$5:$B$1005="PROCESO")*(MOVIMIENTOS!$C$5:$C$1005="C")*(MOVIMIENTOS!$D$5:$D$1005="jabas")*(MOVIMIENTOS!$A$5:$A$1005&lt;&gt;"")*(MOVIMIENTOS!$A$5:$A$1005&lt;=$A316)*MOVIMIENTOS!$E$5:$E$1005)-SUMPRODUCT((MOVIMIENTOS!$B$5:$B$1005="ENVÍO A SUPESA")*(MOVIMIENTOS!$C$5:$C$1005="C")*(MOVIMIENTOS!$D$5:$D$1005="jabas")*(MOVIMIENTOS!$A$5:$A$1005&lt;&gt;"")*(MOVIMIENTOS!$A$5:$A$1005&lt;=$A316)*MOVIMIENTOS!$E$5:$E$1005)+SUMPRODUCT((MOVIMIENTOS!$B$5:$B$1005="DEVOLUCIÓN")*(MOVIMIENTOS!$C$5:$C$1005="C")*(MOVIMIENTOS!$D$5:$D$1005="jabas")*(MOVIMIENTOS!$A$5:$A$1005&lt;&gt;"")*(MOVIMIENTOS!$A$5:$A$1005&lt;=$A316)*MOVIMIENTOS!$E$5:$E$1005)-SUMPRODUCT((MOVIMIENTOS!$B$5:$B$1005="TRASIEGO")*(MOVIMIENTOS!$C$5:$C$1005="C")*(MOVIMIENTOS!$D$5:$D$1005="jabas")*(MOVIMIENTOS!$A$5:$A$1005&lt;&gt;"")*(MOVIMIENTOS!$A$5:$A$1005&lt;=$A316)*MOVIMIENTOS!$E$5:$E$1005)-SUMPRODUCT((MOVIMIENTOS!$B$5:$B$1005="REGALO")*(MOVIMIENTOS!$C$5:$C$1005="C")*(MOVIMIENTOS!$D$5:$D$1005="jabas")*(MOVIMIENTOS!$A$5:$A$1005&lt;&gt;"")*(MOVIMIENTOS!$A$5:$A$1005&lt;=$A316)*MOVIMIENTOS!$E$5:$E$1005)-SUMPRODUCT((MOVIMIENTOS!$B$5:$B$1005="VENTA")*(MOVIMIENTOS!$C$5:$C$1005="C")*(MOVIMIENTOS!$D$5:$D$1005="jabas")*(MOVIMIENTOS!$A$5:$A$1005&lt;&gt;"")*(MOVIMIENTOS!$A$5:$A$1005&lt;=$A316)*MOVIMIENTOS!$E$5:$E$1005)+SUMPRODUCT((MOVIMIENTOS!$B$5:$B$1005="AJUSTE")*(MOVIMIENTOS!$C$5:$C$1005="C")*(MOVIMIENTOS!$D$5:$D$1005="jabas")*(MOVIMIENTOS!$A$5:$A$1005&lt;&gt;"")*(MOVIMIENTOS!$A$5:$A$1005&lt;=$A316)*MOVIMIENTOS!$E$5:$E$1005))</f>
        <v/>
      </c>
      <c r="E316" s="63" t="str">
        <f>IF($A316="","",SUMPRODUCT((MOVIMIENTOS!$B$5:$B$1005="SALDO INICIAL")*(MOVIMIENTOS!$C$5:$C$1005="M")*(MOVIMIENTOS!$D$5:$D$1005="jabas")*(MOVIMIENTOS!$A$5:$A$1005&lt;&gt;"")*(MOVIMIENTOS!$A$5:$A$1005&lt;=$A316)*MOVIMIENTOS!$E$5:$E$1005)+SUMPRODUCT((MOVIMIENTOS!$B$5:$B$1005="PROCESO")*(MOVIMIENTOS!$C$5:$C$1005="M")*(MOVIMIENTOS!$D$5:$D$1005="jabas")*(MOVIMIENTOS!$A$5:$A$1005&lt;&gt;"")*(MOVIMIENTOS!$A$5:$A$1005&lt;=$A316)*MOVIMIENTOS!$E$5:$E$1005)-SUMPRODUCT((MOVIMIENTOS!$B$5:$B$1005="ENVÍO A SUPESA")*(MOVIMIENTOS!$C$5:$C$1005="M")*(MOVIMIENTOS!$D$5:$D$1005="jabas")*(MOVIMIENTOS!$A$5:$A$1005&lt;&gt;"")*(MOVIMIENTOS!$A$5:$A$1005&lt;=$A316)*MOVIMIENTOS!$E$5:$E$1005)+SUMPRODUCT((MOVIMIENTOS!$B$5:$B$1005="DEVOLUCIÓN")*(MOVIMIENTOS!$C$5:$C$1005="M")*(MOVIMIENTOS!$D$5:$D$1005="jabas")*(MOVIMIENTOS!$A$5:$A$1005&lt;&gt;"")*(MOVIMIENTOS!$A$5:$A$1005&lt;=$A316)*MOVIMIENTOS!$E$5:$E$1005)-SUMPRODUCT((MOVIMIENTOS!$B$5:$B$1005="TRASIEGO")*(MOVIMIENTOS!$C$5:$C$1005="M")*(MOVIMIENTOS!$D$5:$D$1005="jabas")*(MOVIMIENTOS!$A$5:$A$1005&lt;&gt;"")*(MOVIMIENTOS!$A$5:$A$1005&lt;=$A316)*MOVIMIENTOS!$E$5:$E$1005)-SUMPRODUCT((MOVIMIENTOS!$B$5:$B$1005="REGALO")*(MOVIMIENTOS!$C$5:$C$1005="M")*(MOVIMIENTOS!$D$5:$D$1005="jabas")*(MOVIMIENTOS!$A$5:$A$1005&lt;&gt;"")*(MOVIMIENTOS!$A$5:$A$1005&lt;=$A316)*MOVIMIENTOS!$E$5:$E$1005)-SUMPRODUCT((MOVIMIENTOS!$B$5:$B$1005="VENTA")*(MOVIMIENTOS!$C$5:$C$1005="M")*(MOVIMIENTOS!$D$5:$D$1005="jabas")*(MOVIMIENTOS!$A$5:$A$1005&lt;&gt;"")*(MOVIMIENTOS!$A$5:$A$1005&lt;=$A316)*MOVIMIENTOS!$E$5:$E$1005)+SUMPRODUCT((MOVIMIENTOS!$B$5:$B$1005="AJUSTE")*(MOVIMIENTOS!$C$5:$C$1005="M")*(MOVIMIENTOS!$D$5:$D$1005="jabas")*(MOVIMIENTOS!$A$5:$A$1005&lt;&gt;"")*(MOVIMIENTOS!$A$5:$A$1005&lt;=$A316)*MOVIMIENTOS!$E$5:$E$1005))</f>
        <v/>
      </c>
      <c r="F316" s="63" t="str">
        <f>IF($A316="","",SUMPRODUCT((MOVIMIENTOS!$B$5:$B$1005="SALDO INICIAL")*(MOVIMIENTOS!$C$5:$C$1005="Chancho")*(MOVIMIENTOS!$D$5:$D$1005="sacos")*(MOVIMIENTOS!$A$5:$A$1005&lt;&gt;"")*(MOVIMIENTOS!$A$5:$A$1005&lt;=$A316)*MOVIMIENTOS!$E$5:$E$1005)+SUMPRODUCT((MOVIMIENTOS!$B$5:$B$1005="PROCESO")*(MOVIMIENTOS!$C$5:$C$1005="Chancho")*(MOVIMIENTOS!$D$5:$D$1005="sacos")*(MOVIMIENTOS!$A$5:$A$1005&lt;&gt;"")*(MOVIMIENTOS!$A$5:$A$1005&lt;=$A316)*MOVIMIENTOS!$E$5:$E$1005)-SUMPRODUCT((MOVIMIENTOS!$B$5:$B$1005="VENTA CHANCHO")*(MOVIMIENTOS!$C$5:$C$1005="Chancho")*(MOVIMIENTOS!$D$5:$D$1005="sacos")*(MOVIMIENTOS!$A$5:$A$1005&lt;&gt;"")*(MOVIMIENTOS!$A$5:$A$1005&lt;=$A316)*MOVIMIENTOS!$E$5:$E$1005)-SUMPRODUCT((MOVIMIENTOS!$B$5:$B$1005="REGALO")*(MOVIMIENTOS!$C$5:$C$1005="Chancho")*(MOVIMIENTOS!$D$5:$D$1005="sacos")*(MOVIMIENTOS!$A$5:$A$1005&lt;&gt;"")*(MOVIMIENTOS!$A$5:$A$1005&lt;=$A316)*MOVIMIENTOS!$E$5:$E$1005)-SUMPRODUCT((MOVIMIENTOS!$B$5:$B$1005="VENTA")*(MOVIMIENTOS!$C$5:$C$1005="Chancho")*(MOVIMIENTOS!$D$5:$D$1005="sacos")*(MOVIMIENTOS!$A$5:$A$1005&lt;&gt;"")*(MOVIMIENTOS!$A$5:$A$1005&lt;=$A316)*MOVIMIENTOS!$E$5:$E$1005)+SUMPRODUCT((MOVIMIENTOS!$B$5:$B$1005="AJUSTE")*(MOVIMIENTOS!$C$5:$C$1005="Chancho")*(MOVIMIENTOS!$D$5:$D$1005="sacos")*(MOVIMIENTOS!$A$5:$A$1005&lt;&gt;"")*(MOVIMIENTOS!$A$5:$A$1005&lt;=$A316)*MOVIMIENTOS!$E$5:$E$1005))</f>
        <v/>
      </c>
      <c r="G316" s="95" t="str">
        <f t="shared" si="9"/>
        <v/>
      </c>
      <c r="H316" s="63" t="str">
        <f>IF($A316="","",SUMPRODUCT((((MOVIMIENTOS!$B$5:$B$1005="SALDO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316)*MOVIMIENTOS!$J$5:$J$1005))</f>
        <v/>
      </c>
      <c r="I316" s="63"/>
      <c r="J316" s="63" t="str">
        <f>IF(AND(MOVIMIENTOS!$A315&lt;&gt;"",COUNTIF(MOVIMIENTOS!$A$5:$A314,MOVIMIENTOS!$A315)=0),COUNT(J$4:J315)+1,"")</f>
        <v/>
      </c>
      <c r="K316" s="66">
        <f>MOVIMIENTOS!$A315</f>
        <v>46241</v>
      </c>
      <c r="L316" s="63"/>
      <c r="M316" s="63"/>
      <c r="N316" s="63"/>
    </row>
    <row r="317" spans="1:14" ht="15" customHeight="1" x14ac:dyDescent="0.2">
      <c r="A317" s="63" t="str">
        <f t="shared" si="8"/>
        <v/>
      </c>
      <c r="B317" s="63" t="str">
        <f>IF($A317="","",SUMPRODUCT((MOVIMIENTOS!$B$5:$B$1005="SALDO INICIAL")*(MOVIMIENTOS!$C$5:$C$1005="A")*(MOVIMIENTOS!$D$5:$D$1005="jabas")*(MOVIMIENTOS!$A$5:$A$1005&lt;&gt;"")*(MOVIMIENTOS!$A$5:$A$1005&lt;=$A317)*MOVIMIENTOS!$E$5:$E$1005)+SUMPRODUCT((MOVIMIENTOS!$B$5:$B$1005="PROCESO")*(MOVIMIENTOS!$C$5:$C$1005="A")*(MOVIMIENTOS!$D$5:$D$1005="jabas")*(MOVIMIENTOS!$A$5:$A$1005&lt;&gt;"")*(MOVIMIENTOS!$A$5:$A$1005&lt;=$A317)*MOVIMIENTOS!$E$5:$E$1005)-SUMPRODUCT((MOVIMIENTOS!$B$5:$B$1005="ENVÍO A SUPESA")*(MOVIMIENTOS!$C$5:$C$1005="A")*(MOVIMIENTOS!$D$5:$D$1005="jabas")*(MOVIMIENTOS!$A$5:$A$1005&lt;&gt;"")*(MOVIMIENTOS!$A$5:$A$1005&lt;=$A317)*MOVIMIENTOS!$E$5:$E$1005)+SUMPRODUCT((MOVIMIENTOS!$B$5:$B$1005="DEVOLUCIÓN")*(MOVIMIENTOS!$C$5:$C$1005="A")*(MOVIMIENTOS!$D$5:$D$1005="jabas")*(MOVIMIENTOS!$A$5:$A$1005&lt;&gt;"")*(MOVIMIENTOS!$A$5:$A$1005&lt;=$A317)*MOVIMIENTOS!$E$5:$E$1005)-SUMPRODUCT((MOVIMIENTOS!$B$5:$B$1005="TRASIEGO")*(MOVIMIENTOS!$C$5:$C$1005="A")*(MOVIMIENTOS!$D$5:$D$1005="jabas")*(MOVIMIENTOS!$A$5:$A$1005&lt;&gt;"")*(MOVIMIENTOS!$A$5:$A$1005&lt;=$A317)*MOVIMIENTOS!$E$5:$E$1005)-SUMPRODUCT((MOVIMIENTOS!$B$5:$B$1005="REGALO")*(MOVIMIENTOS!$C$5:$C$1005="A")*(MOVIMIENTOS!$D$5:$D$1005="jabas")*(MOVIMIENTOS!$A$5:$A$1005&lt;&gt;"")*(MOVIMIENTOS!$A$5:$A$1005&lt;=$A317)*MOVIMIENTOS!$E$5:$E$1005)-SUMPRODUCT((MOVIMIENTOS!$B$5:$B$1005="VENTA")*(MOVIMIENTOS!$C$5:$C$1005="A")*(MOVIMIENTOS!$D$5:$D$1005="jabas")*(MOVIMIENTOS!$A$5:$A$1005&lt;&gt;"")*(MOVIMIENTOS!$A$5:$A$1005&lt;=$A317)*MOVIMIENTOS!$E$5:$E$1005)+SUMPRODUCT((MOVIMIENTOS!$B$5:$B$1005="AJUSTE")*(MOVIMIENTOS!$C$5:$C$1005="A")*(MOVIMIENTOS!$D$5:$D$1005="jabas")*(MOVIMIENTOS!$A$5:$A$1005&lt;&gt;"")*(MOVIMIENTOS!$A$5:$A$1005&lt;=$A317)*MOVIMIENTOS!$E$5:$E$1005))</f>
        <v/>
      </c>
      <c r="C317" s="63" t="str">
        <f>IF($A317="","",SUMPRODUCT((MOVIMIENTOS!$B$5:$B$1005="SALDO INICIAL")*(MOVIMIENTOS!$C$5:$C$1005="P")*(MOVIMIENTOS!$D$5:$D$1005="jabas")*(MOVIMIENTOS!$A$5:$A$1005&lt;&gt;"")*(MOVIMIENTOS!$A$5:$A$1005&lt;=$A317)*MOVIMIENTOS!$E$5:$E$1005)+SUMPRODUCT((MOVIMIENTOS!$B$5:$B$1005="PROCESO")*(MOVIMIENTOS!$C$5:$C$1005="P")*(MOVIMIENTOS!$D$5:$D$1005="jabas")*(MOVIMIENTOS!$A$5:$A$1005&lt;&gt;"")*(MOVIMIENTOS!$A$5:$A$1005&lt;=$A317)*MOVIMIENTOS!$E$5:$E$1005)-SUMPRODUCT((MOVIMIENTOS!$B$5:$B$1005="ENVÍO A SUPESA")*(MOVIMIENTOS!$C$5:$C$1005="P")*(MOVIMIENTOS!$D$5:$D$1005="jabas")*(MOVIMIENTOS!$A$5:$A$1005&lt;&gt;"")*(MOVIMIENTOS!$A$5:$A$1005&lt;=$A317)*MOVIMIENTOS!$E$5:$E$1005)+SUMPRODUCT((MOVIMIENTOS!$B$5:$B$1005="DEVOLUCIÓN")*(MOVIMIENTOS!$C$5:$C$1005="P")*(MOVIMIENTOS!$D$5:$D$1005="jabas")*(MOVIMIENTOS!$A$5:$A$1005&lt;&gt;"")*(MOVIMIENTOS!$A$5:$A$1005&lt;=$A317)*MOVIMIENTOS!$E$5:$E$1005)-SUMPRODUCT((MOVIMIENTOS!$B$5:$B$1005="TRASIEGO")*(MOVIMIENTOS!$C$5:$C$1005="P")*(MOVIMIENTOS!$D$5:$D$1005="jabas")*(MOVIMIENTOS!$A$5:$A$1005&lt;&gt;"")*(MOVIMIENTOS!$A$5:$A$1005&lt;=$A317)*MOVIMIENTOS!$E$5:$E$1005)-SUMPRODUCT((MOVIMIENTOS!$B$5:$B$1005="REGALO")*(MOVIMIENTOS!$C$5:$C$1005="P")*(MOVIMIENTOS!$D$5:$D$1005="jabas")*(MOVIMIENTOS!$A$5:$A$1005&lt;&gt;"")*(MOVIMIENTOS!$A$5:$A$1005&lt;=$A317)*MOVIMIENTOS!$E$5:$E$1005)-SUMPRODUCT((MOVIMIENTOS!$B$5:$B$1005="VENTA")*(MOVIMIENTOS!$C$5:$C$1005="P")*(MOVIMIENTOS!$D$5:$D$1005="jabas")*(MOVIMIENTOS!$A$5:$A$1005&lt;&gt;"")*(MOVIMIENTOS!$A$5:$A$1005&lt;=$A317)*MOVIMIENTOS!$E$5:$E$1005)+SUMPRODUCT((MOVIMIENTOS!$B$5:$B$1005="AJUSTE")*(MOVIMIENTOS!$C$5:$C$1005="P")*(MOVIMIENTOS!$D$5:$D$1005="jabas")*(MOVIMIENTOS!$A$5:$A$1005&lt;&gt;"")*(MOVIMIENTOS!$A$5:$A$1005&lt;=$A317)*MOVIMIENTOS!$E$5:$E$1005))</f>
        <v/>
      </c>
      <c r="D317" s="63" t="str">
        <f>IF($A317="","",SUMPRODUCT((MOVIMIENTOS!$B$5:$B$1005="SALDO INICIAL")*(MOVIMIENTOS!$C$5:$C$1005="C")*(MOVIMIENTOS!$D$5:$D$1005="jabas")*(MOVIMIENTOS!$A$5:$A$1005&lt;&gt;"")*(MOVIMIENTOS!$A$5:$A$1005&lt;=$A317)*MOVIMIENTOS!$E$5:$E$1005)+SUMPRODUCT((MOVIMIENTOS!$B$5:$B$1005="PROCESO")*(MOVIMIENTOS!$C$5:$C$1005="C")*(MOVIMIENTOS!$D$5:$D$1005="jabas")*(MOVIMIENTOS!$A$5:$A$1005&lt;&gt;"")*(MOVIMIENTOS!$A$5:$A$1005&lt;=$A317)*MOVIMIENTOS!$E$5:$E$1005)-SUMPRODUCT((MOVIMIENTOS!$B$5:$B$1005="ENVÍO A SUPESA")*(MOVIMIENTOS!$C$5:$C$1005="C")*(MOVIMIENTOS!$D$5:$D$1005="jabas")*(MOVIMIENTOS!$A$5:$A$1005&lt;&gt;"")*(MOVIMIENTOS!$A$5:$A$1005&lt;=$A317)*MOVIMIENTOS!$E$5:$E$1005)+SUMPRODUCT((MOVIMIENTOS!$B$5:$B$1005="DEVOLUCIÓN")*(MOVIMIENTOS!$C$5:$C$1005="C")*(MOVIMIENTOS!$D$5:$D$1005="jabas")*(MOVIMIENTOS!$A$5:$A$1005&lt;&gt;"")*(MOVIMIENTOS!$A$5:$A$1005&lt;=$A317)*MOVIMIENTOS!$E$5:$E$1005)-SUMPRODUCT((MOVIMIENTOS!$B$5:$B$1005="TRASIEGO")*(MOVIMIENTOS!$C$5:$C$1005="C")*(MOVIMIENTOS!$D$5:$D$1005="jabas")*(MOVIMIENTOS!$A$5:$A$1005&lt;&gt;"")*(MOVIMIENTOS!$A$5:$A$1005&lt;=$A317)*MOVIMIENTOS!$E$5:$E$1005)-SUMPRODUCT((MOVIMIENTOS!$B$5:$B$1005="REGALO")*(MOVIMIENTOS!$C$5:$C$1005="C")*(MOVIMIENTOS!$D$5:$D$1005="jabas")*(MOVIMIENTOS!$A$5:$A$1005&lt;&gt;"")*(MOVIMIENTOS!$A$5:$A$1005&lt;=$A317)*MOVIMIENTOS!$E$5:$E$1005)-SUMPRODUCT((MOVIMIENTOS!$B$5:$B$1005="VENTA")*(MOVIMIENTOS!$C$5:$C$1005="C")*(MOVIMIENTOS!$D$5:$D$1005="jabas")*(MOVIMIENTOS!$A$5:$A$1005&lt;&gt;"")*(MOVIMIENTOS!$A$5:$A$1005&lt;=$A317)*MOVIMIENTOS!$E$5:$E$1005)+SUMPRODUCT((MOVIMIENTOS!$B$5:$B$1005="AJUSTE")*(MOVIMIENTOS!$C$5:$C$1005="C")*(MOVIMIENTOS!$D$5:$D$1005="jabas")*(MOVIMIENTOS!$A$5:$A$1005&lt;&gt;"")*(MOVIMIENTOS!$A$5:$A$1005&lt;=$A317)*MOVIMIENTOS!$E$5:$E$1005))</f>
        <v/>
      </c>
      <c r="E317" s="63" t="str">
        <f>IF($A317="","",SUMPRODUCT((MOVIMIENTOS!$B$5:$B$1005="SALDO INICIAL")*(MOVIMIENTOS!$C$5:$C$1005="M")*(MOVIMIENTOS!$D$5:$D$1005="jabas")*(MOVIMIENTOS!$A$5:$A$1005&lt;&gt;"")*(MOVIMIENTOS!$A$5:$A$1005&lt;=$A317)*MOVIMIENTOS!$E$5:$E$1005)+SUMPRODUCT((MOVIMIENTOS!$B$5:$B$1005="PROCESO")*(MOVIMIENTOS!$C$5:$C$1005="M")*(MOVIMIENTOS!$D$5:$D$1005="jabas")*(MOVIMIENTOS!$A$5:$A$1005&lt;&gt;"")*(MOVIMIENTOS!$A$5:$A$1005&lt;=$A317)*MOVIMIENTOS!$E$5:$E$1005)-SUMPRODUCT((MOVIMIENTOS!$B$5:$B$1005="ENVÍO A SUPESA")*(MOVIMIENTOS!$C$5:$C$1005="M")*(MOVIMIENTOS!$D$5:$D$1005="jabas")*(MOVIMIENTOS!$A$5:$A$1005&lt;&gt;"")*(MOVIMIENTOS!$A$5:$A$1005&lt;=$A317)*MOVIMIENTOS!$E$5:$E$1005)+SUMPRODUCT((MOVIMIENTOS!$B$5:$B$1005="DEVOLUCIÓN")*(MOVIMIENTOS!$C$5:$C$1005="M")*(MOVIMIENTOS!$D$5:$D$1005="jabas")*(MOVIMIENTOS!$A$5:$A$1005&lt;&gt;"")*(MOVIMIENTOS!$A$5:$A$1005&lt;=$A317)*MOVIMIENTOS!$E$5:$E$1005)-SUMPRODUCT((MOVIMIENTOS!$B$5:$B$1005="TRASIEGO")*(MOVIMIENTOS!$C$5:$C$1005="M")*(MOVIMIENTOS!$D$5:$D$1005="jabas")*(MOVIMIENTOS!$A$5:$A$1005&lt;&gt;"")*(MOVIMIENTOS!$A$5:$A$1005&lt;=$A317)*MOVIMIENTOS!$E$5:$E$1005)-SUMPRODUCT((MOVIMIENTOS!$B$5:$B$1005="REGALO")*(MOVIMIENTOS!$C$5:$C$1005="M")*(MOVIMIENTOS!$D$5:$D$1005="jabas")*(MOVIMIENTOS!$A$5:$A$1005&lt;&gt;"")*(MOVIMIENTOS!$A$5:$A$1005&lt;=$A317)*MOVIMIENTOS!$E$5:$E$1005)-SUMPRODUCT((MOVIMIENTOS!$B$5:$B$1005="VENTA")*(MOVIMIENTOS!$C$5:$C$1005="M")*(MOVIMIENTOS!$D$5:$D$1005="jabas")*(MOVIMIENTOS!$A$5:$A$1005&lt;&gt;"")*(MOVIMIENTOS!$A$5:$A$1005&lt;=$A317)*MOVIMIENTOS!$E$5:$E$1005)+SUMPRODUCT((MOVIMIENTOS!$B$5:$B$1005="AJUSTE")*(MOVIMIENTOS!$C$5:$C$1005="M")*(MOVIMIENTOS!$D$5:$D$1005="jabas")*(MOVIMIENTOS!$A$5:$A$1005&lt;&gt;"")*(MOVIMIENTOS!$A$5:$A$1005&lt;=$A317)*MOVIMIENTOS!$E$5:$E$1005))</f>
        <v/>
      </c>
      <c r="F317" s="63" t="str">
        <f>IF($A317="","",SUMPRODUCT((MOVIMIENTOS!$B$5:$B$1005="SALDO INICIAL")*(MOVIMIENTOS!$C$5:$C$1005="Chancho")*(MOVIMIENTOS!$D$5:$D$1005="sacos")*(MOVIMIENTOS!$A$5:$A$1005&lt;&gt;"")*(MOVIMIENTOS!$A$5:$A$1005&lt;=$A317)*MOVIMIENTOS!$E$5:$E$1005)+SUMPRODUCT((MOVIMIENTOS!$B$5:$B$1005="PROCESO")*(MOVIMIENTOS!$C$5:$C$1005="Chancho")*(MOVIMIENTOS!$D$5:$D$1005="sacos")*(MOVIMIENTOS!$A$5:$A$1005&lt;&gt;"")*(MOVIMIENTOS!$A$5:$A$1005&lt;=$A317)*MOVIMIENTOS!$E$5:$E$1005)-SUMPRODUCT((MOVIMIENTOS!$B$5:$B$1005="VENTA CHANCHO")*(MOVIMIENTOS!$C$5:$C$1005="Chancho")*(MOVIMIENTOS!$D$5:$D$1005="sacos")*(MOVIMIENTOS!$A$5:$A$1005&lt;&gt;"")*(MOVIMIENTOS!$A$5:$A$1005&lt;=$A317)*MOVIMIENTOS!$E$5:$E$1005)-SUMPRODUCT((MOVIMIENTOS!$B$5:$B$1005="REGALO")*(MOVIMIENTOS!$C$5:$C$1005="Chancho")*(MOVIMIENTOS!$D$5:$D$1005="sacos")*(MOVIMIENTOS!$A$5:$A$1005&lt;&gt;"")*(MOVIMIENTOS!$A$5:$A$1005&lt;=$A317)*MOVIMIENTOS!$E$5:$E$1005)-SUMPRODUCT((MOVIMIENTOS!$B$5:$B$1005="VENTA")*(MOVIMIENTOS!$C$5:$C$1005="Chancho")*(MOVIMIENTOS!$D$5:$D$1005="sacos")*(MOVIMIENTOS!$A$5:$A$1005&lt;&gt;"")*(MOVIMIENTOS!$A$5:$A$1005&lt;=$A317)*MOVIMIENTOS!$E$5:$E$1005)+SUMPRODUCT((MOVIMIENTOS!$B$5:$B$1005="AJUSTE")*(MOVIMIENTOS!$C$5:$C$1005="Chancho")*(MOVIMIENTOS!$D$5:$D$1005="sacos")*(MOVIMIENTOS!$A$5:$A$1005&lt;&gt;"")*(MOVIMIENTOS!$A$5:$A$1005&lt;=$A317)*MOVIMIENTOS!$E$5:$E$1005))</f>
        <v/>
      </c>
      <c r="G317" s="95" t="str">
        <f t="shared" si="9"/>
        <v/>
      </c>
      <c r="H317" s="63" t="str">
        <f>IF($A317="","",SUMPRODUCT((((MOVIMIENTOS!$B$5:$B$1005="SALDO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317)*MOVIMIENTOS!$J$5:$J$1005))</f>
        <v/>
      </c>
      <c r="I317" s="63"/>
      <c r="J317" s="63" t="str">
        <f>IF(AND(MOVIMIENTOS!$A316&lt;&gt;"",COUNTIF(MOVIMIENTOS!$A$5:$A315,MOVIMIENTOS!$A316)=0),COUNT(J$4:J316)+1,"")</f>
        <v/>
      </c>
      <c r="K317" s="66">
        <f>MOVIMIENTOS!$A316</f>
        <v>46241</v>
      </c>
      <c r="L317" s="63"/>
      <c r="M317" s="63"/>
      <c r="N317" s="63"/>
    </row>
    <row r="318" spans="1:14" ht="15" customHeight="1" x14ac:dyDescent="0.2">
      <c r="A318" s="63" t="str">
        <f t="shared" si="8"/>
        <v/>
      </c>
      <c r="B318" s="63" t="str">
        <f>IF($A318="","",SUMPRODUCT((MOVIMIENTOS!$B$5:$B$1005="SALDO INICIAL")*(MOVIMIENTOS!$C$5:$C$1005="A")*(MOVIMIENTOS!$D$5:$D$1005="jabas")*(MOVIMIENTOS!$A$5:$A$1005&lt;&gt;"")*(MOVIMIENTOS!$A$5:$A$1005&lt;=$A318)*MOVIMIENTOS!$E$5:$E$1005)+SUMPRODUCT((MOVIMIENTOS!$B$5:$B$1005="PROCESO")*(MOVIMIENTOS!$C$5:$C$1005="A")*(MOVIMIENTOS!$D$5:$D$1005="jabas")*(MOVIMIENTOS!$A$5:$A$1005&lt;&gt;"")*(MOVIMIENTOS!$A$5:$A$1005&lt;=$A318)*MOVIMIENTOS!$E$5:$E$1005)-SUMPRODUCT((MOVIMIENTOS!$B$5:$B$1005="ENVÍO A SUPESA")*(MOVIMIENTOS!$C$5:$C$1005="A")*(MOVIMIENTOS!$D$5:$D$1005="jabas")*(MOVIMIENTOS!$A$5:$A$1005&lt;&gt;"")*(MOVIMIENTOS!$A$5:$A$1005&lt;=$A318)*MOVIMIENTOS!$E$5:$E$1005)+SUMPRODUCT((MOVIMIENTOS!$B$5:$B$1005="DEVOLUCIÓN")*(MOVIMIENTOS!$C$5:$C$1005="A")*(MOVIMIENTOS!$D$5:$D$1005="jabas")*(MOVIMIENTOS!$A$5:$A$1005&lt;&gt;"")*(MOVIMIENTOS!$A$5:$A$1005&lt;=$A318)*MOVIMIENTOS!$E$5:$E$1005)-SUMPRODUCT((MOVIMIENTOS!$B$5:$B$1005="TRASIEGO")*(MOVIMIENTOS!$C$5:$C$1005="A")*(MOVIMIENTOS!$D$5:$D$1005="jabas")*(MOVIMIENTOS!$A$5:$A$1005&lt;&gt;"")*(MOVIMIENTOS!$A$5:$A$1005&lt;=$A318)*MOVIMIENTOS!$E$5:$E$1005)-SUMPRODUCT((MOVIMIENTOS!$B$5:$B$1005="REGALO")*(MOVIMIENTOS!$C$5:$C$1005="A")*(MOVIMIENTOS!$D$5:$D$1005="jabas")*(MOVIMIENTOS!$A$5:$A$1005&lt;&gt;"")*(MOVIMIENTOS!$A$5:$A$1005&lt;=$A318)*MOVIMIENTOS!$E$5:$E$1005)-SUMPRODUCT((MOVIMIENTOS!$B$5:$B$1005="VENTA")*(MOVIMIENTOS!$C$5:$C$1005="A")*(MOVIMIENTOS!$D$5:$D$1005="jabas")*(MOVIMIENTOS!$A$5:$A$1005&lt;&gt;"")*(MOVIMIENTOS!$A$5:$A$1005&lt;=$A318)*MOVIMIENTOS!$E$5:$E$1005)+SUMPRODUCT((MOVIMIENTOS!$B$5:$B$1005="AJUSTE")*(MOVIMIENTOS!$C$5:$C$1005="A")*(MOVIMIENTOS!$D$5:$D$1005="jabas")*(MOVIMIENTOS!$A$5:$A$1005&lt;&gt;"")*(MOVIMIENTOS!$A$5:$A$1005&lt;=$A318)*MOVIMIENTOS!$E$5:$E$1005))</f>
        <v/>
      </c>
      <c r="C318" s="63" t="str">
        <f>IF($A318="","",SUMPRODUCT((MOVIMIENTOS!$B$5:$B$1005="SALDO INICIAL")*(MOVIMIENTOS!$C$5:$C$1005="P")*(MOVIMIENTOS!$D$5:$D$1005="jabas")*(MOVIMIENTOS!$A$5:$A$1005&lt;&gt;"")*(MOVIMIENTOS!$A$5:$A$1005&lt;=$A318)*MOVIMIENTOS!$E$5:$E$1005)+SUMPRODUCT((MOVIMIENTOS!$B$5:$B$1005="PROCESO")*(MOVIMIENTOS!$C$5:$C$1005="P")*(MOVIMIENTOS!$D$5:$D$1005="jabas")*(MOVIMIENTOS!$A$5:$A$1005&lt;&gt;"")*(MOVIMIENTOS!$A$5:$A$1005&lt;=$A318)*MOVIMIENTOS!$E$5:$E$1005)-SUMPRODUCT((MOVIMIENTOS!$B$5:$B$1005="ENVÍO A SUPESA")*(MOVIMIENTOS!$C$5:$C$1005="P")*(MOVIMIENTOS!$D$5:$D$1005="jabas")*(MOVIMIENTOS!$A$5:$A$1005&lt;&gt;"")*(MOVIMIENTOS!$A$5:$A$1005&lt;=$A318)*MOVIMIENTOS!$E$5:$E$1005)+SUMPRODUCT((MOVIMIENTOS!$B$5:$B$1005="DEVOLUCIÓN")*(MOVIMIENTOS!$C$5:$C$1005="P")*(MOVIMIENTOS!$D$5:$D$1005="jabas")*(MOVIMIENTOS!$A$5:$A$1005&lt;&gt;"")*(MOVIMIENTOS!$A$5:$A$1005&lt;=$A318)*MOVIMIENTOS!$E$5:$E$1005)-SUMPRODUCT((MOVIMIENTOS!$B$5:$B$1005="TRASIEGO")*(MOVIMIENTOS!$C$5:$C$1005="P")*(MOVIMIENTOS!$D$5:$D$1005="jabas")*(MOVIMIENTOS!$A$5:$A$1005&lt;&gt;"")*(MOVIMIENTOS!$A$5:$A$1005&lt;=$A318)*MOVIMIENTOS!$E$5:$E$1005)-SUMPRODUCT((MOVIMIENTOS!$B$5:$B$1005="REGALO")*(MOVIMIENTOS!$C$5:$C$1005="P")*(MOVIMIENTOS!$D$5:$D$1005="jabas")*(MOVIMIENTOS!$A$5:$A$1005&lt;&gt;"")*(MOVIMIENTOS!$A$5:$A$1005&lt;=$A318)*MOVIMIENTOS!$E$5:$E$1005)-SUMPRODUCT((MOVIMIENTOS!$B$5:$B$1005="VENTA")*(MOVIMIENTOS!$C$5:$C$1005="P")*(MOVIMIENTOS!$D$5:$D$1005="jabas")*(MOVIMIENTOS!$A$5:$A$1005&lt;&gt;"")*(MOVIMIENTOS!$A$5:$A$1005&lt;=$A318)*MOVIMIENTOS!$E$5:$E$1005)+SUMPRODUCT((MOVIMIENTOS!$B$5:$B$1005="AJUSTE")*(MOVIMIENTOS!$C$5:$C$1005="P")*(MOVIMIENTOS!$D$5:$D$1005="jabas")*(MOVIMIENTOS!$A$5:$A$1005&lt;&gt;"")*(MOVIMIENTOS!$A$5:$A$1005&lt;=$A318)*MOVIMIENTOS!$E$5:$E$1005))</f>
        <v/>
      </c>
      <c r="D318" s="63" t="str">
        <f>IF($A318="","",SUMPRODUCT((MOVIMIENTOS!$B$5:$B$1005="SALDO INICIAL")*(MOVIMIENTOS!$C$5:$C$1005="C")*(MOVIMIENTOS!$D$5:$D$1005="jabas")*(MOVIMIENTOS!$A$5:$A$1005&lt;&gt;"")*(MOVIMIENTOS!$A$5:$A$1005&lt;=$A318)*MOVIMIENTOS!$E$5:$E$1005)+SUMPRODUCT((MOVIMIENTOS!$B$5:$B$1005="PROCESO")*(MOVIMIENTOS!$C$5:$C$1005="C")*(MOVIMIENTOS!$D$5:$D$1005="jabas")*(MOVIMIENTOS!$A$5:$A$1005&lt;&gt;"")*(MOVIMIENTOS!$A$5:$A$1005&lt;=$A318)*MOVIMIENTOS!$E$5:$E$1005)-SUMPRODUCT((MOVIMIENTOS!$B$5:$B$1005="ENVÍO A SUPESA")*(MOVIMIENTOS!$C$5:$C$1005="C")*(MOVIMIENTOS!$D$5:$D$1005="jabas")*(MOVIMIENTOS!$A$5:$A$1005&lt;&gt;"")*(MOVIMIENTOS!$A$5:$A$1005&lt;=$A318)*MOVIMIENTOS!$E$5:$E$1005)+SUMPRODUCT((MOVIMIENTOS!$B$5:$B$1005="DEVOLUCIÓN")*(MOVIMIENTOS!$C$5:$C$1005="C")*(MOVIMIENTOS!$D$5:$D$1005="jabas")*(MOVIMIENTOS!$A$5:$A$1005&lt;&gt;"")*(MOVIMIENTOS!$A$5:$A$1005&lt;=$A318)*MOVIMIENTOS!$E$5:$E$1005)-SUMPRODUCT((MOVIMIENTOS!$B$5:$B$1005="TRASIEGO")*(MOVIMIENTOS!$C$5:$C$1005="C")*(MOVIMIENTOS!$D$5:$D$1005="jabas")*(MOVIMIENTOS!$A$5:$A$1005&lt;&gt;"")*(MOVIMIENTOS!$A$5:$A$1005&lt;=$A318)*MOVIMIENTOS!$E$5:$E$1005)-SUMPRODUCT((MOVIMIENTOS!$B$5:$B$1005="REGALO")*(MOVIMIENTOS!$C$5:$C$1005="C")*(MOVIMIENTOS!$D$5:$D$1005="jabas")*(MOVIMIENTOS!$A$5:$A$1005&lt;&gt;"")*(MOVIMIENTOS!$A$5:$A$1005&lt;=$A318)*MOVIMIENTOS!$E$5:$E$1005)-SUMPRODUCT((MOVIMIENTOS!$B$5:$B$1005="VENTA")*(MOVIMIENTOS!$C$5:$C$1005="C")*(MOVIMIENTOS!$D$5:$D$1005="jabas")*(MOVIMIENTOS!$A$5:$A$1005&lt;&gt;"")*(MOVIMIENTOS!$A$5:$A$1005&lt;=$A318)*MOVIMIENTOS!$E$5:$E$1005)+SUMPRODUCT((MOVIMIENTOS!$B$5:$B$1005="AJUSTE")*(MOVIMIENTOS!$C$5:$C$1005="C")*(MOVIMIENTOS!$D$5:$D$1005="jabas")*(MOVIMIENTOS!$A$5:$A$1005&lt;&gt;"")*(MOVIMIENTOS!$A$5:$A$1005&lt;=$A318)*MOVIMIENTOS!$E$5:$E$1005))</f>
        <v/>
      </c>
      <c r="E318" s="63" t="str">
        <f>IF($A318="","",SUMPRODUCT((MOVIMIENTOS!$B$5:$B$1005="SALDO INICIAL")*(MOVIMIENTOS!$C$5:$C$1005="M")*(MOVIMIENTOS!$D$5:$D$1005="jabas")*(MOVIMIENTOS!$A$5:$A$1005&lt;&gt;"")*(MOVIMIENTOS!$A$5:$A$1005&lt;=$A318)*MOVIMIENTOS!$E$5:$E$1005)+SUMPRODUCT((MOVIMIENTOS!$B$5:$B$1005="PROCESO")*(MOVIMIENTOS!$C$5:$C$1005="M")*(MOVIMIENTOS!$D$5:$D$1005="jabas")*(MOVIMIENTOS!$A$5:$A$1005&lt;&gt;"")*(MOVIMIENTOS!$A$5:$A$1005&lt;=$A318)*MOVIMIENTOS!$E$5:$E$1005)-SUMPRODUCT((MOVIMIENTOS!$B$5:$B$1005="ENVÍO A SUPESA")*(MOVIMIENTOS!$C$5:$C$1005="M")*(MOVIMIENTOS!$D$5:$D$1005="jabas")*(MOVIMIENTOS!$A$5:$A$1005&lt;&gt;"")*(MOVIMIENTOS!$A$5:$A$1005&lt;=$A318)*MOVIMIENTOS!$E$5:$E$1005)+SUMPRODUCT((MOVIMIENTOS!$B$5:$B$1005="DEVOLUCIÓN")*(MOVIMIENTOS!$C$5:$C$1005="M")*(MOVIMIENTOS!$D$5:$D$1005="jabas")*(MOVIMIENTOS!$A$5:$A$1005&lt;&gt;"")*(MOVIMIENTOS!$A$5:$A$1005&lt;=$A318)*MOVIMIENTOS!$E$5:$E$1005)-SUMPRODUCT((MOVIMIENTOS!$B$5:$B$1005="TRASIEGO")*(MOVIMIENTOS!$C$5:$C$1005="M")*(MOVIMIENTOS!$D$5:$D$1005="jabas")*(MOVIMIENTOS!$A$5:$A$1005&lt;&gt;"")*(MOVIMIENTOS!$A$5:$A$1005&lt;=$A318)*MOVIMIENTOS!$E$5:$E$1005)-SUMPRODUCT((MOVIMIENTOS!$B$5:$B$1005="REGALO")*(MOVIMIENTOS!$C$5:$C$1005="M")*(MOVIMIENTOS!$D$5:$D$1005="jabas")*(MOVIMIENTOS!$A$5:$A$1005&lt;&gt;"")*(MOVIMIENTOS!$A$5:$A$1005&lt;=$A318)*MOVIMIENTOS!$E$5:$E$1005)-SUMPRODUCT((MOVIMIENTOS!$B$5:$B$1005="VENTA")*(MOVIMIENTOS!$C$5:$C$1005="M")*(MOVIMIENTOS!$D$5:$D$1005="jabas")*(MOVIMIENTOS!$A$5:$A$1005&lt;&gt;"")*(MOVIMIENTOS!$A$5:$A$1005&lt;=$A318)*MOVIMIENTOS!$E$5:$E$1005)+SUMPRODUCT((MOVIMIENTOS!$B$5:$B$1005="AJUSTE")*(MOVIMIENTOS!$C$5:$C$1005="M")*(MOVIMIENTOS!$D$5:$D$1005="jabas")*(MOVIMIENTOS!$A$5:$A$1005&lt;&gt;"")*(MOVIMIENTOS!$A$5:$A$1005&lt;=$A318)*MOVIMIENTOS!$E$5:$E$1005))</f>
        <v/>
      </c>
      <c r="F318" s="63" t="str">
        <f>IF($A318="","",SUMPRODUCT((MOVIMIENTOS!$B$5:$B$1005="SALDO INICIAL")*(MOVIMIENTOS!$C$5:$C$1005="Chancho")*(MOVIMIENTOS!$D$5:$D$1005="sacos")*(MOVIMIENTOS!$A$5:$A$1005&lt;&gt;"")*(MOVIMIENTOS!$A$5:$A$1005&lt;=$A318)*MOVIMIENTOS!$E$5:$E$1005)+SUMPRODUCT((MOVIMIENTOS!$B$5:$B$1005="PROCESO")*(MOVIMIENTOS!$C$5:$C$1005="Chancho")*(MOVIMIENTOS!$D$5:$D$1005="sacos")*(MOVIMIENTOS!$A$5:$A$1005&lt;&gt;"")*(MOVIMIENTOS!$A$5:$A$1005&lt;=$A318)*MOVIMIENTOS!$E$5:$E$1005)-SUMPRODUCT((MOVIMIENTOS!$B$5:$B$1005="VENTA CHANCHO")*(MOVIMIENTOS!$C$5:$C$1005="Chancho")*(MOVIMIENTOS!$D$5:$D$1005="sacos")*(MOVIMIENTOS!$A$5:$A$1005&lt;&gt;"")*(MOVIMIENTOS!$A$5:$A$1005&lt;=$A318)*MOVIMIENTOS!$E$5:$E$1005)-SUMPRODUCT((MOVIMIENTOS!$B$5:$B$1005="REGALO")*(MOVIMIENTOS!$C$5:$C$1005="Chancho")*(MOVIMIENTOS!$D$5:$D$1005="sacos")*(MOVIMIENTOS!$A$5:$A$1005&lt;&gt;"")*(MOVIMIENTOS!$A$5:$A$1005&lt;=$A318)*MOVIMIENTOS!$E$5:$E$1005)-SUMPRODUCT((MOVIMIENTOS!$B$5:$B$1005="VENTA")*(MOVIMIENTOS!$C$5:$C$1005="Chancho")*(MOVIMIENTOS!$D$5:$D$1005="sacos")*(MOVIMIENTOS!$A$5:$A$1005&lt;&gt;"")*(MOVIMIENTOS!$A$5:$A$1005&lt;=$A318)*MOVIMIENTOS!$E$5:$E$1005)+SUMPRODUCT((MOVIMIENTOS!$B$5:$B$1005="AJUSTE")*(MOVIMIENTOS!$C$5:$C$1005="Chancho")*(MOVIMIENTOS!$D$5:$D$1005="sacos")*(MOVIMIENTOS!$A$5:$A$1005&lt;&gt;"")*(MOVIMIENTOS!$A$5:$A$1005&lt;=$A318)*MOVIMIENTOS!$E$5:$E$1005))</f>
        <v/>
      </c>
      <c r="G318" s="95" t="str">
        <f t="shared" si="9"/>
        <v/>
      </c>
      <c r="H318" s="63" t="str">
        <f>IF($A318="","",SUMPRODUCT((((MOVIMIENTOS!$B$5:$B$1005="SALDO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318)*MOVIMIENTOS!$J$5:$J$1005))</f>
        <v/>
      </c>
      <c r="I318" s="63"/>
      <c r="J318" s="63" t="str">
        <f>IF(AND(MOVIMIENTOS!$A317&lt;&gt;"",COUNTIF(MOVIMIENTOS!$A$5:$A316,MOVIMIENTOS!$A317)=0),COUNT(J$4:J317)+1,"")</f>
        <v/>
      </c>
      <c r="K318" s="66">
        <f>MOVIMIENTOS!$A317</f>
        <v>46241</v>
      </c>
      <c r="L318" s="63"/>
      <c r="M318" s="63"/>
      <c r="N318" s="63"/>
    </row>
    <row r="319" spans="1:14" ht="15" customHeight="1" x14ac:dyDescent="0.2">
      <c r="A319" s="63" t="str">
        <f t="shared" si="8"/>
        <v/>
      </c>
      <c r="B319" s="63" t="str">
        <f>IF($A319="","",SUMPRODUCT((MOVIMIENTOS!$B$5:$B$1005="SALDO INICIAL")*(MOVIMIENTOS!$C$5:$C$1005="A")*(MOVIMIENTOS!$D$5:$D$1005="jabas")*(MOVIMIENTOS!$A$5:$A$1005&lt;&gt;"")*(MOVIMIENTOS!$A$5:$A$1005&lt;=$A319)*MOVIMIENTOS!$E$5:$E$1005)+SUMPRODUCT((MOVIMIENTOS!$B$5:$B$1005="PROCESO")*(MOVIMIENTOS!$C$5:$C$1005="A")*(MOVIMIENTOS!$D$5:$D$1005="jabas")*(MOVIMIENTOS!$A$5:$A$1005&lt;&gt;"")*(MOVIMIENTOS!$A$5:$A$1005&lt;=$A319)*MOVIMIENTOS!$E$5:$E$1005)-SUMPRODUCT((MOVIMIENTOS!$B$5:$B$1005="ENVÍO A SUPESA")*(MOVIMIENTOS!$C$5:$C$1005="A")*(MOVIMIENTOS!$D$5:$D$1005="jabas")*(MOVIMIENTOS!$A$5:$A$1005&lt;&gt;"")*(MOVIMIENTOS!$A$5:$A$1005&lt;=$A319)*MOVIMIENTOS!$E$5:$E$1005)+SUMPRODUCT((MOVIMIENTOS!$B$5:$B$1005="DEVOLUCIÓN")*(MOVIMIENTOS!$C$5:$C$1005="A")*(MOVIMIENTOS!$D$5:$D$1005="jabas")*(MOVIMIENTOS!$A$5:$A$1005&lt;&gt;"")*(MOVIMIENTOS!$A$5:$A$1005&lt;=$A319)*MOVIMIENTOS!$E$5:$E$1005)-SUMPRODUCT((MOVIMIENTOS!$B$5:$B$1005="TRASIEGO")*(MOVIMIENTOS!$C$5:$C$1005="A")*(MOVIMIENTOS!$D$5:$D$1005="jabas")*(MOVIMIENTOS!$A$5:$A$1005&lt;&gt;"")*(MOVIMIENTOS!$A$5:$A$1005&lt;=$A319)*MOVIMIENTOS!$E$5:$E$1005)-SUMPRODUCT((MOVIMIENTOS!$B$5:$B$1005="REGALO")*(MOVIMIENTOS!$C$5:$C$1005="A")*(MOVIMIENTOS!$D$5:$D$1005="jabas")*(MOVIMIENTOS!$A$5:$A$1005&lt;&gt;"")*(MOVIMIENTOS!$A$5:$A$1005&lt;=$A319)*MOVIMIENTOS!$E$5:$E$1005)-SUMPRODUCT((MOVIMIENTOS!$B$5:$B$1005="VENTA")*(MOVIMIENTOS!$C$5:$C$1005="A")*(MOVIMIENTOS!$D$5:$D$1005="jabas")*(MOVIMIENTOS!$A$5:$A$1005&lt;&gt;"")*(MOVIMIENTOS!$A$5:$A$1005&lt;=$A319)*MOVIMIENTOS!$E$5:$E$1005)+SUMPRODUCT((MOVIMIENTOS!$B$5:$B$1005="AJUSTE")*(MOVIMIENTOS!$C$5:$C$1005="A")*(MOVIMIENTOS!$D$5:$D$1005="jabas")*(MOVIMIENTOS!$A$5:$A$1005&lt;&gt;"")*(MOVIMIENTOS!$A$5:$A$1005&lt;=$A319)*MOVIMIENTOS!$E$5:$E$1005))</f>
        <v/>
      </c>
      <c r="C319" s="63" t="str">
        <f>IF($A319="","",SUMPRODUCT((MOVIMIENTOS!$B$5:$B$1005="SALDO INICIAL")*(MOVIMIENTOS!$C$5:$C$1005="P")*(MOVIMIENTOS!$D$5:$D$1005="jabas")*(MOVIMIENTOS!$A$5:$A$1005&lt;&gt;"")*(MOVIMIENTOS!$A$5:$A$1005&lt;=$A319)*MOVIMIENTOS!$E$5:$E$1005)+SUMPRODUCT((MOVIMIENTOS!$B$5:$B$1005="PROCESO")*(MOVIMIENTOS!$C$5:$C$1005="P")*(MOVIMIENTOS!$D$5:$D$1005="jabas")*(MOVIMIENTOS!$A$5:$A$1005&lt;&gt;"")*(MOVIMIENTOS!$A$5:$A$1005&lt;=$A319)*MOVIMIENTOS!$E$5:$E$1005)-SUMPRODUCT((MOVIMIENTOS!$B$5:$B$1005="ENVÍO A SUPESA")*(MOVIMIENTOS!$C$5:$C$1005="P")*(MOVIMIENTOS!$D$5:$D$1005="jabas")*(MOVIMIENTOS!$A$5:$A$1005&lt;&gt;"")*(MOVIMIENTOS!$A$5:$A$1005&lt;=$A319)*MOVIMIENTOS!$E$5:$E$1005)+SUMPRODUCT((MOVIMIENTOS!$B$5:$B$1005="DEVOLUCIÓN")*(MOVIMIENTOS!$C$5:$C$1005="P")*(MOVIMIENTOS!$D$5:$D$1005="jabas")*(MOVIMIENTOS!$A$5:$A$1005&lt;&gt;"")*(MOVIMIENTOS!$A$5:$A$1005&lt;=$A319)*MOVIMIENTOS!$E$5:$E$1005)-SUMPRODUCT((MOVIMIENTOS!$B$5:$B$1005="TRASIEGO")*(MOVIMIENTOS!$C$5:$C$1005="P")*(MOVIMIENTOS!$D$5:$D$1005="jabas")*(MOVIMIENTOS!$A$5:$A$1005&lt;&gt;"")*(MOVIMIENTOS!$A$5:$A$1005&lt;=$A319)*MOVIMIENTOS!$E$5:$E$1005)-SUMPRODUCT((MOVIMIENTOS!$B$5:$B$1005="REGALO")*(MOVIMIENTOS!$C$5:$C$1005="P")*(MOVIMIENTOS!$D$5:$D$1005="jabas")*(MOVIMIENTOS!$A$5:$A$1005&lt;&gt;"")*(MOVIMIENTOS!$A$5:$A$1005&lt;=$A319)*MOVIMIENTOS!$E$5:$E$1005)-SUMPRODUCT((MOVIMIENTOS!$B$5:$B$1005="VENTA")*(MOVIMIENTOS!$C$5:$C$1005="P")*(MOVIMIENTOS!$D$5:$D$1005="jabas")*(MOVIMIENTOS!$A$5:$A$1005&lt;&gt;"")*(MOVIMIENTOS!$A$5:$A$1005&lt;=$A319)*MOVIMIENTOS!$E$5:$E$1005)+SUMPRODUCT((MOVIMIENTOS!$B$5:$B$1005="AJUSTE")*(MOVIMIENTOS!$C$5:$C$1005="P")*(MOVIMIENTOS!$D$5:$D$1005="jabas")*(MOVIMIENTOS!$A$5:$A$1005&lt;&gt;"")*(MOVIMIENTOS!$A$5:$A$1005&lt;=$A319)*MOVIMIENTOS!$E$5:$E$1005))</f>
        <v/>
      </c>
      <c r="D319" s="63" t="str">
        <f>IF($A319="","",SUMPRODUCT((MOVIMIENTOS!$B$5:$B$1005="SALDO INICIAL")*(MOVIMIENTOS!$C$5:$C$1005="C")*(MOVIMIENTOS!$D$5:$D$1005="jabas")*(MOVIMIENTOS!$A$5:$A$1005&lt;&gt;"")*(MOVIMIENTOS!$A$5:$A$1005&lt;=$A319)*MOVIMIENTOS!$E$5:$E$1005)+SUMPRODUCT((MOVIMIENTOS!$B$5:$B$1005="PROCESO")*(MOVIMIENTOS!$C$5:$C$1005="C")*(MOVIMIENTOS!$D$5:$D$1005="jabas")*(MOVIMIENTOS!$A$5:$A$1005&lt;&gt;"")*(MOVIMIENTOS!$A$5:$A$1005&lt;=$A319)*MOVIMIENTOS!$E$5:$E$1005)-SUMPRODUCT((MOVIMIENTOS!$B$5:$B$1005="ENVÍO A SUPESA")*(MOVIMIENTOS!$C$5:$C$1005="C")*(MOVIMIENTOS!$D$5:$D$1005="jabas")*(MOVIMIENTOS!$A$5:$A$1005&lt;&gt;"")*(MOVIMIENTOS!$A$5:$A$1005&lt;=$A319)*MOVIMIENTOS!$E$5:$E$1005)+SUMPRODUCT((MOVIMIENTOS!$B$5:$B$1005="DEVOLUCIÓN")*(MOVIMIENTOS!$C$5:$C$1005="C")*(MOVIMIENTOS!$D$5:$D$1005="jabas")*(MOVIMIENTOS!$A$5:$A$1005&lt;&gt;"")*(MOVIMIENTOS!$A$5:$A$1005&lt;=$A319)*MOVIMIENTOS!$E$5:$E$1005)-SUMPRODUCT((MOVIMIENTOS!$B$5:$B$1005="TRASIEGO")*(MOVIMIENTOS!$C$5:$C$1005="C")*(MOVIMIENTOS!$D$5:$D$1005="jabas")*(MOVIMIENTOS!$A$5:$A$1005&lt;&gt;"")*(MOVIMIENTOS!$A$5:$A$1005&lt;=$A319)*MOVIMIENTOS!$E$5:$E$1005)-SUMPRODUCT((MOVIMIENTOS!$B$5:$B$1005="REGALO")*(MOVIMIENTOS!$C$5:$C$1005="C")*(MOVIMIENTOS!$D$5:$D$1005="jabas")*(MOVIMIENTOS!$A$5:$A$1005&lt;&gt;"")*(MOVIMIENTOS!$A$5:$A$1005&lt;=$A319)*MOVIMIENTOS!$E$5:$E$1005)-SUMPRODUCT((MOVIMIENTOS!$B$5:$B$1005="VENTA")*(MOVIMIENTOS!$C$5:$C$1005="C")*(MOVIMIENTOS!$D$5:$D$1005="jabas")*(MOVIMIENTOS!$A$5:$A$1005&lt;&gt;"")*(MOVIMIENTOS!$A$5:$A$1005&lt;=$A319)*MOVIMIENTOS!$E$5:$E$1005)+SUMPRODUCT((MOVIMIENTOS!$B$5:$B$1005="AJUSTE")*(MOVIMIENTOS!$C$5:$C$1005="C")*(MOVIMIENTOS!$D$5:$D$1005="jabas")*(MOVIMIENTOS!$A$5:$A$1005&lt;&gt;"")*(MOVIMIENTOS!$A$5:$A$1005&lt;=$A319)*MOVIMIENTOS!$E$5:$E$1005))</f>
        <v/>
      </c>
      <c r="E319" s="63" t="str">
        <f>IF($A319="","",SUMPRODUCT((MOVIMIENTOS!$B$5:$B$1005="SALDO INICIAL")*(MOVIMIENTOS!$C$5:$C$1005="M")*(MOVIMIENTOS!$D$5:$D$1005="jabas")*(MOVIMIENTOS!$A$5:$A$1005&lt;&gt;"")*(MOVIMIENTOS!$A$5:$A$1005&lt;=$A319)*MOVIMIENTOS!$E$5:$E$1005)+SUMPRODUCT((MOVIMIENTOS!$B$5:$B$1005="PROCESO")*(MOVIMIENTOS!$C$5:$C$1005="M")*(MOVIMIENTOS!$D$5:$D$1005="jabas")*(MOVIMIENTOS!$A$5:$A$1005&lt;&gt;"")*(MOVIMIENTOS!$A$5:$A$1005&lt;=$A319)*MOVIMIENTOS!$E$5:$E$1005)-SUMPRODUCT((MOVIMIENTOS!$B$5:$B$1005="ENVÍO A SUPESA")*(MOVIMIENTOS!$C$5:$C$1005="M")*(MOVIMIENTOS!$D$5:$D$1005="jabas")*(MOVIMIENTOS!$A$5:$A$1005&lt;&gt;"")*(MOVIMIENTOS!$A$5:$A$1005&lt;=$A319)*MOVIMIENTOS!$E$5:$E$1005)+SUMPRODUCT((MOVIMIENTOS!$B$5:$B$1005="DEVOLUCIÓN")*(MOVIMIENTOS!$C$5:$C$1005="M")*(MOVIMIENTOS!$D$5:$D$1005="jabas")*(MOVIMIENTOS!$A$5:$A$1005&lt;&gt;"")*(MOVIMIENTOS!$A$5:$A$1005&lt;=$A319)*MOVIMIENTOS!$E$5:$E$1005)-SUMPRODUCT((MOVIMIENTOS!$B$5:$B$1005="TRASIEGO")*(MOVIMIENTOS!$C$5:$C$1005="M")*(MOVIMIENTOS!$D$5:$D$1005="jabas")*(MOVIMIENTOS!$A$5:$A$1005&lt;&gt;"")*(MOVIMIENTOS!$A$5:$A$1005&lt;=$A319)*MOVIMIENTOS!$E$5:$E$1005)-SUMPRODUCT((MOVIMIENTOS!$B$5:$B$1005="REGALO")*(MOVIMIENTOS!$C$5:$C$1005="M")*(MOVIMIENTOS!$D$5:$D$1005="jabas")*(MOVIMIENTOS!$A$5:$A$1005&lt;&gt;"")*(MOVIMIENTOS!$A$5:$A$1005&lt;=$A319)*MOVIMIENTOS!$E$5:$E$1005)-SUMPRODUCT((MOVIMIENTOS!$B$5:$B$1005="VENTA")*(MOVIMIENTOS!$C$5:$C$1005="M")*(MOVIMIENTOS!$D$5:$D$1005="jabas")*(MOVIMIENTOS!$A$5:$A$1005&lt;&gt;"")*(MOVIMIENTOS!$A$5:$A$1005&lt;=$A319)*MOVIMIENTOS!$E$5:$E$1005)+SUMPRODUCT((MOVIMIENTOS!$B$5:$B$1005="AJUSTE")*(MOVIMIENTOS!$C$5:$C$1005="M")*(MOVIMIENTOS!$D$5:$D$1005="jabas")*(MOVIMIENTOS!$A$5:$A$1005&lt;&gt;"")*(MOVIMIENTOS!$A$5:$A$1005&lt;=$A319)*MOVIMIENTOS!$E$5:$E$1005))</f>
        <v/>
      </c>
      <c r="F319" s="63" t="str">
        <f>IF($A319="","",SUMPRODUCT((MOVIMIENTOS!$B$5:$B$1005="SALDO INICIAL")*(MOVIMIENTOS!$C$5:$C$1005="Chancho")*(MOVIMIENTOS!$D$5:$D$1005="sacos")*(MOVIMIENTOS!$A$5:$A$1005&lt;&gt;"")*(MOVIMIENTOS!$A$5:$A$1005&lt;=$A319)*MOVIMIENTOS!$E$5:$E$1005)+SUMPRODUCT((MOVIMIENTOS!$B$5:$B$1005="PROCESO")*(MOVIMIENTOS!$C$5:$C$1005="Chancho")*(MOVIMIENTOS!$D$5:$D$1005="sacos")*(MOVIMIENTOS!$A$5:$A$1005&lt;&gt;"")*(MOVIMIENTOS!$A$5:$A$1005&lt;=$A319)*MOVIMIENTOS!$E$5:$E$1005)-SUMPRODUCT((MOVIMIENTOS!$B$5:$B$1005="VENTA CHANCHO")*(MOVIMIENTOS!$C$5:$C$1005="Chancho")*(MOVIMIENTOS!$D$5:$D$1005="sacos")*(MOVIMIENTOS!$A$5:$A$1005&lt;&gt;"")*(MOVIMIENTOS!$A$5:$A$1005&lt;=$A319)*MOVIMIENTOS!$E$5:$E$1005)-SUMPRODUCT((MOVIMIENTOS!$B$5:$B$1005="REGALO")*(MOVIMIENTOS!$C$5:$C$1005="Chancho")*(MOVIMIENTOS!$D$5:$D$1005="sacos")*(MOVIMIENTOS!$A$5:$A$1005&lt;&gt;"")*(MOVIMIENTOS!$A$5:$A$1005&lt;=$A319)*MOVIMIENTOS!$E$5:$E$1005)-SUMPRODUCT((MOVIMIENTOS!$B$5:$B$1005="VENTA")*(MOVIMIENTOS!$C$5:$C$1005="Chancho")*(MOVIMIENTOS!$D$5:$D$1005="sacos")*(MOVIMIENTOS!$A$5:$A$1005&lt;&gt;"")*(MOVIMIENTOS!$A$5:$A$1005&lt;=$A319)*MOVIMIENTOS!$E$5:$E$1005)+SUMPRODUCT((MOVIMIENTOS!$B$5:$B$1005="AJUSTE")*(MOVIMIENTOS!$C$5:$C$1005="Chancho")*(MOVIMIENTOS!$D$5:$D$1005="sacos")*(MOVIMIENTOS!$A$5:$A$1005&lt;&gt;"")*(MOVIMIENTOS!$A$5:$A$1005&lt;=$A319)*MOVIMIENTOS!$E$5:$E$1005))</f>
        <v/>
      </c>
      <c r="G319" s="95" t="str">
        <f t="shared" si="9"/>
        <v/>
      </c>
      <c r="H319" s="63" t="str">
        <f>IF($A319="","",SUMPRODUCT((((MOVIMIENTOS!$B$5:$B$1005="SALDO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319)*MOVIMIENTOS!$J$5:$J$1005))</f>
        <v/>
      </c>
      <c r="I319" s="63"/>
      <c r="J319" s="63">
        <f>IF(AND(MOVIMIENTOS!$A318&lt;&gt;"",COUNTIF(MOVIMIENTOS!$A$5:$A317,MOVIMIENTOS!$A318)=0),COUNT(J$4:J318)+1,"")</f>
        <v>29</v>
      </c>
      <c r="K319" s="66">
        <f>MOVIMIENTOS!$A318</f>
        <v>46242</v>
      </c>
      <c r="L319" s="63"/>
      <c r="M319" s="63"/>
      <c r="N319" s="63"/>
    </row>
    <row r="320" spans="1:14" ht="15" customHeight="1" x14ac:dyDescent="0.2">
      <c r="A320" s="63" t="str">
        <f t="shared" si="8"/>
        <v/>
      </c>
      <c r="B320" s="63" t="str">
        <f>IF($A320="","",SUMPRODUCT((MOVIMIENTOS!$B$5:$B$1005="SALDO INICIAL")*(MOVIMIENTOS!$C$5:$C$1005="A")*(MOVIMIENTOS!$D$5:$D$1005="jabas")*(MOVIMIENTOS!$A$5:$A$1005&lt;&gt;"")*(MOVIMIENTOS!$A$5:$A$1005&lt;=$A320)*MOVIMIENTOS!$E$5:$E$1005)+SUMPRODUCT((MOVIMIENTOS!$B$5:$B$1005="PROCESO")*(MOVIMIENTOS!$C$5:$C$1005="A")*(MOVIMIENTOS!$D$5:$D$1005="jabas")*(MOVIMIENTOS!$A$5:$A$1005&lt;&gt;"")*(MOVIMIENTOS!$A$5:$A$1005&lt;=$A320)*MOVIMIENTOS!$E$5:$E$1005)-SUMPRODUCT((MOVIMIENTOS!$B$5:$B$1005="ENVÍO A SUPESA")*(MOVIMIENTOS!$C$5:$C$1005="A")*(MOVIMIENTOS!$D$5:$D$1005="jabas")*(MOVIMIENTOS!$A$5:$A$1005&lt;&gt;"")*(MOVIMIENTOS!$A$5:$A$1005&lt;=$A320)*MOVIMIENTOS!$E$5:$E$1005)+SUMPRODUCT((MOVIMIENTOS!$B$5:$B$1005="DEVOLUCIÓN")*(MOVIMIENTOS!$C$5:$C$1005="A")*(MOVIMIENTOS!$D$5:$D$1005="jabas")*(MOVIMIENTOS!$A$5:$A$1005&lt;&gt;"")*(MOVIMIENTOS!$A$5:$A$1005&lt;=$A320)*MOVIMIENTOS!$E$5:$E$1005)-SUMPRODUCT((MOVIMIENTOS!$B$5:$B$1005="TRASIEGO")*(MOVIMIENTOS!$C$5:$C$1005="A")*(MOVIMIENTOS!$D$5:$D$1005="jabas")*(MOVIMIENTOS!$A$5:$A$1005&lt;&gt;"")*(MOVIMIENTOS!$A$5:$A$1005&lt;=$A320)*MOVIMIENTOS!$E$5:$E$1005)-SUMPRODUCT((MOVIMIENTOS!$B$5:$B$1005="REGALO")*(MOVIMIENTOS!$C$5:$C$1005="A")*(MOVIMIENTOS!$D$5:$D$1005="jabas")*(MOVIMIENTOS!$A$5:$A$1005&lt;&gt;"")*(MOVIMIENTOS!$A$5:$A$1005&lt;=$A320)*MOVIMIENTOS!$E$5:$E$1005)-SUMPRODUCT((MOVIMIENTOS!$B$5:$B$1005="VENTA")*(MOVIMIENTOS!$C$5:$C$1005="A")*(MOVIMIENTOS!$D$5:$D$1005="jabas")*(MOVIMIENTOS!$A$5:$A$1005&lt;&gt;"")*(MOVIMIENTOS!$A$5:$A$1005&lt;=$A320)*MOVIMIENTOS!$E$5:$E$1005)+SUMPRODUCT((MOVIMIENTOS!$B$5:$B$1005="AJUSTE")*(MOVIMIENTOS!$C$5:$C$1005="A")*(MOVIMIENTOS!$D$5:$D$1005="jabas")*(MOVIMIENTOS!$A$5:$A$1005&lt;&gt;"")*(MOVIMIENTOS!$A$5:$A$1005&lt;=$A320)*MOVIMIENTOS!$E$5:$E$1005))</f>
        <v/>
      </c>
      <c r="C320" s="63" t="str">
        <f>IF($A320="","",SUMPRODUCT((MOVIMIENTOS!$B$5:$B$1005="SALDO INICIAL")*(MOVIMIENTOS!$C$5:$C$1005="P")*(MOVIMIENTOS!$D$5:$D$1005="jabas")*(MOVIMIENTOS!$A$5:$A$1005&lt;&gt;"")*(MOVIMIENTOS!$A$5:$A$1005&lt;=$A320)*MOVIMIENTOS!$E$5:$E$1005)+SUMPRODUCT((MOVIMIENTOS!$B$5:$B$1005="PROCESO")*(MOVIMIENTOS!$C$5:$C$1005="P")*(MOVIMIENTOS!$D$5:$D$1005="jabas")*(MOVIMIENTOS!$A$5:$A$1005&lt;&gt;"")*(MOVIMIENTOS!$A$5:$A$1005&lt;=$A320)*MOVIMIENTOS!$E$5:$E$1005)-SUMPRODUCT((MOVIMIENTOS!$B$5:$B$1005="ENVÍO A SUPESA")*(MOVIMIENTOS!$C$5:$C$1005="P")*(MOVIMIENTOS!$D$5:$D$1005="jabas")*(MOVIMIENTOS!$A$5:$A$1005&lt;&gt;"")*(MOVIMIENTOS!$A$5:$A$1005&lt;=$A320)*MOVIMIENTOS!$E$5:$E$1005)+SUMPRODUCT((MOVIMIENTOS!$B$5:$B$1005="DEVOLUCIÓN")*(MOVIMIENTOS!$C$5:$C$1005="P")*(MOVIMIENTOS!$D$5:$D$1005="jabas")*(MOVIMIENTOS!$A$5:$A$1005&lt;&gt;"")*(MOVIMIENTOS!$A$5:$A$1005&lt;=$A320)*MOVIMIENTOS!$E$5:$E$1005)-SUMPRODUCT((MOVIMIENTOS!$B$5:$B$1005="TRASIEGO")*(MOVIMIENTOS!$C$5:$C$1005="P")*(MOVIMIENTOS!$D$5:$D$1005="jabas")*(MOVIMIENTOS!$A$5:$A$1005&lt;&gt;"")*(MOVIMIENTOS!$A$5:$A$1005&lt;=$A320)*MOVIMIENTOS!$E$5:$E$1005)-SUMPRODUCT((MOVIMIENTOS!$B$5:$B$1005="REGALO")*(MOVIMIENTOS!$C$5:$C$1005="P")*(MOVIMIENTOS!$D$5:$D$1005="jabas")*(MOVIMIENTOS!$A$5:$A$1005&lt;&gt;"")*(MOVIMIENTOS!$A$5:$A$1005&lt;=$A320)*MOVIMIENTOS!$E$5:$E$1005)-SUMPRODUCT((MOVIMIENTOS!$B$5:$B$1005="VENTA")*(MOVIMIENTOS!$C$5:$C$1005="P")*(MOVIMIENTOS!$D$5:$D$1005="jabas")*(MOVIMIENTOS!$A$5:$A$1005&lt;&gt;"")*(MOVIMIENTOS!$A$5:$A$1005&lt;=$A320)*MOVIMIENTOS!$E$5:$E$1005)+SUMPRODUCT((MOVIMIENTOS!$B$5:$B$1005="AJUSTE")*(MOVIMIENTOS!$C$5:$C$1005="P")*(MOVIMIENTOS!$D$5:$D$1005="jabas")*(MOVIMIENTOS!$A$5:$A$1005&lt;&gt;"")*(MOVIMIENTOS!$A$5:$A$1005&lt;=$A320)*MOVIMIENTOS!$E$5:$E$1005))</f>
        <v/>
      </c>
      <c r="D320" s="63" t="str">
        <f>IF($A320="","",SUMPRODUCT((MOVIMIENTOS!$B$5:$B$1005="SALDO INICIAL")*(MOVIMIENTOS!$C$5:$C$1005="C")*(MOVIMIENTOS!$D$5:$D$1005="jabas")*(MOVIMIENTOS!$A$5:$A$1005&lt;&gt;"")*(MOVIMIENTOS!$A$5:$A$1005&lt;=$A320)*MOVIMIENTOS!$E$5:$E$1005)+SUMPRODUCT((MOVIMIENTOS!$B$5:$B$1005="PROCESO")*(MOVIMIENTOS!$C$5:$C$1005="C")*(MOVIMIENTOS!$D$5:$D$1005="jabas")*(MOVIMIENTOS!$A$5:$A$1005&lt;&gt;"")*(MOVIMIENTOS!$A$5:$A$1005&lt;=$A320)*MOVIMIENTOS!$E$5:$E$1005)-SUMPRODUCT((MOVIMIENTOS!$B$5:$B$1005="ENVÍO A SUPESA")*(MOVIMIENTOS!$C$5:$C$1005="C")*(MOVIMIENTOS!$D$5:$D$1005="jabas")*(MOVIMIENTOS!$A$5:$A$1005&lt;&gt;"")*(MOVIMIENTOS!$A$5:$A$1005&lt;=$A320)*MOVIMIENTOS!$E$5:$E$1005)+SUMPRODUCT((MOVIMIENTOS!$B$5:$B$1005="DEVOLUCIÓN")*(MOVIMIENTOS!$C$5:$C$1005="C")*(MOVIMIENTOS!$D$5:$D$1005="jabas")*(MOVIMIENTOS!$A$5:$A$1005&lt;&gt;"")*(MOVIMIENTOS!$A$5:$A$1005&lt;=$A320)*MOVIMIENTOS!$E$5:$E$1005)-SUMPRODUCT((MOVIMIENTOS!$B$5:$B$1005="TRASIEGO")*(MOVIMIENTOS!$C$5:$C$1005="C")*(MOVIMIENTOS!$D$5:$D$1005="jabas")*(MOVIMIENTOS!$A$5:$A$1005&lt;&gt;"")*(MOVIMIENTOS!$A$5:$A$1005&lt;=$A320)*MOVIMIENTOS!$E$5:$E$1005)-SUMPRODUCT((MOVIMIENTOS!$B$5:$B$1005="REGALO")*(MOVIMIENTOS!$C$5:$C$1005="C")*(MOVIMIENTOS!$D$5:$D$1005="jabas")*(MOVIMIENTOS!$A$5:$A$1005&lt;&gt;"")*(MOVIMIENTOS!$A$5:$A$1005&lt;=$A320)*MOVIMIENTOS!$E$5:$E$1005)-SUMPRODUCT((MOVIMIENTOS!$B$5:$B$1005="VENTA")*(MOVIMIENTOS!$C$5:$C$1005="C")*(MOVIMIENTOS!$D$5:$D$1005="jabas")*(MOVIMIENTOS!$A$5:$A$1005&lt;&gt;"")*(MOVIMIENTOS!$A$5:$A$1005&lt;=$A320)*MOVIMIENTOS!$E$5:$E$1005)+SUMPRODUCT((MOVIMIENTOS!$B$5:$B$1005="AJUSTE")*(MOVIMIENTOS!$C$5:$C$1005="C")*(MOVIMIENTOS!$D$5:$D$1005="jabas")*(MOVIMIENTOS!$A$5:$A$1005&lt;&gt;"")*(MOVIMIENTOS!$A$5:$A$1005&lt;=$A320)*MOVIMIENTOS!$E$5:$E$1005))</f>
        <v/>
      </c>
      <c r="E320" s="63" t="str">
        <f>IF($A320="","",SUMPRODUCT((MOVIMIENTOS!$B$5:$B$1005="SALDO INICIAL")*(MOVIMIENTOS!$C$5:$C$1005="M")*(MOVIMIENTOS!$D$5:$D$1005="jabas")*(MOVIMIENTOS!$A$5:$A$1005&lt;&gt;"")*(MOVIMIENTOS!$A$5:$A$1005&lt;=$A320)*MOVIMIENTOS!$E$5:$E$1005)+SUMPRODUCT((MOVIMIENTOS!$B$5:$B$1005="PROCESO")*(MOVIMIENTOS!$C$5:$C$1005="M")*(MOVIMIENTOS!$D$5:$D$1005="jabas")*(MOVIMIENTOS!$A$5:$A$1005&lt;&gt;"")*(MOVIMIENTOS!$A$5:$A$1005&lt;=$A320)*MOVIMIENTOS!$E$5:$E$1005)-SUMPRODUCT((MOVIMIENTOS!$B$5:$B$1005="ENVÍO A SUPESA")*(MOVIMIENTOS!$C$5:$C$1005="M")*(MOVIMIENTOS!$D$5:$D$1005="jabas")*(MOVIMIENTOS!$A$5:$A$1005&lt;&gt;"")*(MOVIMIENTOS!$A$5:$A$1005&lt;=$A320)*MOVIMIENTOS!$E$5:$E$1005)+SUMPRODUCT((MOVIMIENTOS!$B$5:$B$1005="DEVOLUCIÓN")*(MOVIMIENTOS!$C$5:$C$1005="M")*(MOVIMIENTOS!$D$5:$D$1005="jabas")*(MOVIMIENTOS!$A$5:$A$1005&lt;&gt;"")*(MOVIMIENTOS!$A$5:$A$1005&lt;=$A320)*MOVIMIENTOS!$E$5:$E$1005)-SUMPRODUCT((MOVIMIENTOS!$B$5:$B$1005="TRASIEGO")*(MOVIMIENTOS!$C$5:$C$1005="M")*(MOVIMIENTOS!$D$5:$D$1005="jabas")*(MOVIMIENTOS!$A$5:$A$1005&lt;&gt;"")*(MOVIMIENTOS!$A$5:$A$1005&lt;=$A320)*MOVIMIENTOS!$E$5:$E$1005)-SUMPRODUCT((MOVIMIENTOS!$B$5:$B$1005="REGALO")*(MOVIMIENTOS!$C$5:$C$1005="M")*(MOVIMIENTOS!$D$5:$D$1005="jabas")*(MOVIMIENTOS!$A$5:$A$1005&lt;&gt;"")*(MOVIMIENTOS!$A$5:$A$1005&lt;=$A320)*MOVIMIENTOS!$E$5:$E$1005)-SUMPRODUCT((MOVIMIENTOS!$B$5:$B$1005="VENTA")*(MOVIMIENTOS!$C$5:$C$1005="M")*(MOVIMIENTOS!$D$5:$D$1005="jabas")*(MOVIMIENTOS!$A$5:$A$1005&lt;&gt;"")*(MOVIMIENTOS!$A$5:$A$1005&lt;=$A320)*MOVIMIENTOS!$E$5:$E$1005)+SUMPRODUCT((MOVIMIENTOS!$B$5:$B$1005="AJUSTE")*(MOVIMIENTOS!$C$5:$C$1005="M")*(MOVIMIENTOS!$D$5:$D$1005="jabas")*(MOVIMIENTOS!$A$5:$A$1005&lt;&gt;"")*(MOVIMIENTOS!$A$5:$A$1005&lt;=$A320)*MOVIMIENTOS!$E$5:$E$1005))</f>
        <v/>
      </c>
      <c r="F320" s="63" t="str">
        <f>IF($A320="","",SUMPRODUCT((MOVIMIENTOS!$B$5:$B$1005="SALDO INICIAL")*(MOVIMIENTOS!$C$5:$C$1005="Chancho")*(MOVIMIENTOS!$D$5:$D$1005="sacos")*(MOVIMIENTOS!$A$5:$A$1005&lt;&gt;"")*(MOVIMIENTOS!$A$5:$A$1005&lt;=$A320)*MOVIMIENTOS!$E$5:$E$1005)+SUMPRODUCT((MOVIMIENTOS!$B$5:$B$1005="PROCESO")*(MOVIMIENTOS!$C$5:$C$1005="Chancho")*(MOVIMIENTOS!$D$5:$D$1005="sacos")*(MOVIMIENTOS!$A$5:$A$1005&lt;&gt;"")*(MOVIMIENTOS!$A$5:$A$1005&lt;=$A320)*MOVIMIENTOS!$E$5:$E$1005)-SUMPRODUCT((MOVIMIENTOS!$B$5:$B$1005="VENTA CHANCHO")*(MOVIMIENTOS!$C$5:$C$1005="Chancho")*(MOVIMIENTOS!$D$5:$D$1005="sacos")*(MOVIMIENTOS!$A$5:$A$1005&lt;&gt;"")*(MOVIMIENTOS!$A$5:$A$1005&lt;=$A320)*MOVIMIENTOS!$E$5:$E$1005)-SUMPRODUCT((MOVIMIENTOS!$B$5:$B$1005="REGALO")*(MOVIMIENTOS!$C$5:$C$1005="Chancho")*(MOVIMIENTOS!$D$5:$D$1005="sacos")*(MOVIMIENTOS!$A$5:$A$1005&lt;&gt;"")*(MOVIMIENTOS!$A$5:$A$1005&lt;=$A320)*MOVIMIENTOS!$E$5:$E$1005)-SUMPRODUCT((MOVIMIENTOS!$B$5:$B$1005="VENTA")*(MOVIMIENTOS!$C$5:$C$1005="Chancho")*(MOVIMIENTOS!$D$5:$D$1005="sacos")*(MOVIMIENTOS!$A$5:$A$1005&lt;&gt;"")*(MOVIMIENTOS!$A$5:$A$1005&lt;=$A320)*MOVIMIENTOS!$E$5:$E$1005)+SUMPRODUCT((MOVIMIENTOS!$B$5:$B$1005="AJUSTE")*(MOVIMIENTOS!$C$5:$C$1005="Chancho")*(MOVIMIENTOS!$D$5:$D$1005="sacos")*(MOVIMIENTOS!$A$5:$A$1005&lt;&gt;"")*(MOVIMIENTOS!$A$5:$A$1005&lt;=$A320)*MOVIMIENTOS!$E$5:$E$1005))</f>
        <v/>
      </c>
      <c r="G320" s="95" t="str">
        <f t="shared" si="9"/>
        <v/>
      </c>
      <c r="H320" s="63" t="str">
        <f>IF($A320="","",SUMPRODUCT((((MOVIMIENTOS!$B$5:$B$1005="SALDO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320)*MOVIMIENTOS!$J$5:$J$1005))</f>
        <v/>
      </c>
      <c r="I320" s="63"/>
      <c r="J320" s="63" t="str">
        <f>IF(AND(MOVIMIENTOS!$A319&lt;&gt;"",COUNTIF(MOVIMIENTOS!$A$5:$A318,MOVIMIENTOS!$A319)=0),COUNT(J$4:J319)+1,"")</f>
        <v/>
      </c>
      <c r="K320" s="66">
        <f>MOVIMIENTOS!$A319</f>
        <v>46242</v>
      </c>
      <c r="L320" s="63"/>
      <c r="M320" s="63"/>
      <c r="N320" s="63"/>
    </row>
    <row r="321" spans="1:14" ht="15" customHeight="1" x14ac:dyDescent="0.2">
      <c r="A321" s="63" t="str">
        <f t="shared" si="8"/>
        <v/>
      </c>
      <c r="B321" s="63" t="str">
        <f>IF($A321="","",SUMPRODUCT((MOVIMIENTOS!$B$5:$B$1005="SALDO INICIAL")*(MOVIMIENTOS!$C$5:$C$1005="A")*(MOVIMIENTOS!$D$5:$D$1005="jabas")*(MOVIMIENTOS!$A$5:$A$1005&lt;&gt;"")*(MOVIMIENTOS!$A$5:$A$1005&lt;=$A321)*MOVIMIENTOS!$E$5:$E$1005)+SUMPRODUCT((MOVIMIENTOS!$B$5:$B$1005="PROCESO")*(MOVIMIENTOS!$C$5:$C$1005="A")*(MOVIMIENTOS!$D$5:$D$1005="jabas")*(MOVIMIENTOS!$A$5:$A$1005&lt;&gt;"")*(MOVIMIENTOS!$A$5:$A$1005&lt;=$A321)*MOVIMIENTOS!$E$5:$E$1005)-SUMPRODUCT((MOVIMIENTOS!$B$5:$B$1005="ENVÍO A SUPESA")*(MOVIMIENTOS!$C$5:$C$1005="A")*(MOVIMIENTOS!$D$5:$D$1005="jabas")*(MOVIMIENTOS!$A$5:$A$1005&lt;&gt;"")*(MOVIMIENTOS!$A$5:$A$1005&lt;=$A321)*MOVIMIENTOS!$E$5:$E$1005)+SUMPRODUCT((MOVIMIENTOS!$B$5:$B$1005="DEVOLUCIÓN")*(MOVIMIENTOS!$C$5:$C$1005="A")*(MOVIMIENTOS!$D$5:$D$1005="jabas")*(MOVIMIENTOS!$A$5:$A$1005&lt;&gt;"")*(MOVIMIENTOS!$A$5:$A$1005&lt;=$A321)*MOVIMIENTOS!$E$5:$E$1005)-SUMPRODUCT((MOVIMIENTOS!$B$5:$B$1005="TRASIEGO")*(MOVIMIENTOS!$C$5:$C$1005="A")*(MOVIMIENTOS!$D$5:$D$1005="jabas")*(MOVIMIENTOS!$A$5:$A$1005&lt;&gt;"")*(MOVIMIENTOS!$A$5:$A$1005&lt;=$A321)*MOVIMIENTOS!$E$5:$E$1005)-SUMPRODUCT((MOVIMIENTOS!$B$5:$B$1005="REGALO")*(MOVIMIENTOS!$C$5:$C$1005="A")*(MOVIMIENTOS!$D$5:$D$1005="jabas")*(MOVIMIENTOS!$A$5:$A$1005&lt;&gt;"")*(MOVIMIENTOS!$A$5:$A$1005&lt;=$A321)*MOVIMIENTOS!$E$5:$E$1005)-SUMPRODUCT((MOVIMIENTOS!$B$5:$B$1005="VENTA")*(MOVIMIENTOS!$C$5:$C$1005="A")*(MOVIMIENTOS!$D$5:$D$1005="jabas")*(MOVIMIENTOS!$A$5:$A$1005&lt;&gt;"")*(MOVIMIENTOS!$A$5:$A$1005&lt;=$A321)*MOVIMIENTOS!$E$5:$E$1005)+SUMPRODUCT((MOVIMIENTOS!$B$5:$B$1005="AJUSTE")*(MOVIMIENTOS!$C$5:$C$1005="A")*(MOVIMIENTOS!$D$5:$D$1005="jabas")*(MOVIMIENTOS!$A$5:$A$1005&lt;&gt;"")*(MOVIMIENTOS!$A$5:$A$1005&lt;=$A321)*MOVIMIENTOS!$E$5:$E$1005))</f>
        <v/>
      </c>
      <c r="C321" s="63" t="str">
        <f>IF($A321="","",SUMPRODUCT((MOVIMIENTOS!$B$5:$B$1005="SALDO INICIAL")*(MOVIMIENTOS!$C$5:$C$1005="P")*(MOVIMIENTOS!$D$5:$D$1005="jabas")*(MOVIMIENTOS!$A$5:$A$1005&lt;&gt;"")*(MOVIMIENTOS!$A$5:$A$1005&lt;=$A321)*MOVIMIENTOS!$E$5:$E$1005)+SUMPRODUCT((MOVIMIENTOS!$B$5:$B$1005="PROCESO")*(MOVIMIENTOS!$C$5:$C$1005="P")*(MOVIMIENTOS!$D$5:$D$1005="jabas")*(MOVIMIENTOS!$A$5:$A$1005&lt;&gt;"")*(MOVIMIENTOS!$A$5:$A$1005&lt;=$A321)*MOVIMIENTOS!$E$5:$E$1005)-SUMPRODUCT((MOVIMIENTOS!$B$5:$B$1005="ENVÍO A SUPESA")*(MOVIMIENTOS!$C$5:$C$1005="P")*(MOVIMIENTOS!$D$5:$D$1005="jabas")*(MOVIMIENTOS!$A$5:$A$1005&lt;&gt;"")*(MOVIMIENTOS!$A$5:$A$1005&lt;=$A321)*MOVIMIENTOS!$E$5:$E$1005)+SUMPRODUCT((MOVIMIENTOS!$B$5:$B$1005="DEVOLUCIÓN")*(MOVIMIENTOS!$C$5:$C$1005="P")*(MOVIMIENTOS!$D$5:$D$1005="jabas")*(MOVIMIENTOS!$A$5:$A$1005&lt;&gt;"")*(MOVIMIENTOS!$A$5:$A$1005&lt;=$A321)*MOVIMIENTOS!$E$5:$E$1005)-SUMPRODUCT((MOVIMIENTOS!$B$5:$B$1005="TRASIEGO")*(MOVIMIENTOS!$C$5:$C$1005="P")*(MOVIMIENTOS!$D$5:$D$1005="jabas")*(MOVIMIENTOS!$A$5:$A$1005&lt;&gt;"")*(MOVIMIENTOS!$A$5:$A$1005&lt;=$A321)*MOVIMIENTOS!$E$5:$E$1005)-SUMPRODUCT((MOVIMIENTOS!$B$5:$B$1005="REGALO")*(MOVIMIENTOS!$C$5:$C$1005="P")*(MOVIMIENTOS!$D$5:$D$1005="jabas")*(MOVIMIENTOS!$A$5:$A$1005&lt;&gt;"")*(MOVIMIENTOS!$A$5:$A$1005&lt;=$A321)*MOVIMIENTOS!$E$5:$E$1005)-SUMPRODUCT((MOVIMIENTOS!$B$5:$B$1005="VENTA")*(MOVIMIENTOS!$C$5:$C$1005="P")*(MOVIMIENTOS!$D$5:$D$1005="jabas")*(MOVIMIENTOS!$A$5:$A$1005&lt;&gt;"")*(MOVIMIENTOS!$A$5:$A$1005&lt;=$A321)*MOVIMIENTOS!$E$5:$E$1005)+SUMPRODUCT((MOVIMIENTOS!$B$5:$B$1005="AJUSTE")*(MOVIMIENTOS!$C$5:$C$1005="P")*(MOVIMIENTOS!$D$5:$D$1005="jabas")*(MOVIMIENTOS!$A$5:$A$1005&lt;&gt;"")*(MOVIMIENTOS!$A$5:$A$1005&lt;=$A321)*MOVIMIENTOS!$E$5:$E$1005))</f>
        <v/>
      </c>
      <c r="D321" s="63" t="str">
        <f>IF($A321="","",SUMPRODUCT((MOVIMIENTOS!$B$5:$B$1005="SALDO INICIAL")*(MOVIMIENTOS!$C$5:$C$1005="C")*(MOVIMIENTOS!$D$5:$D$1005="jabas")*(MOVIMIENTOS!$A$5:$A$1005&lt;&gt;"")*(MOVIMIENTOS!$A$5:$A$1005&lt;=$A321)*MOVIMIENTOS!$E$5:$E$1005)+SUMPRODUCT((MOVIMIENTOS!$B$5:$B$1005="PROCESO")*(MOVIMIENTOS!$C$5:$C$1005="C")*(MOVIMIENTOS!$D$5:$D$1005="jabas")*(MOVIMIENTOS!$A$5:$A$1005&lt;&gt;"")*(MOVIMIENTOS!$A$5:$A$1005&lt;=$A321)*MOVIMIENTOS!$E$5:$E$1005)-SUMPRODUCT((MOVIMIENTOS!$B$5:$B$1005="ENVÍO A SUPESA")*(MOVIMIENTOS!$C$5:$C$1005="C")*(MOVIMIENTOS!$D$5:$D$1005="jabas")*(MOVIMIENTOS!$A$5:$A$1005&lt;&gt;"")*(MOVIMIENTOS!$A$5:$A$1005&lt;=$A321)*MOVIMIENTOS!$E$5:$E$1005)+SUMPRODUCT((MOVIMIENTOS!$B$5:$B$1005="DEVOLUCIÓN")*(MOVIMIENTOS!$C$5:$C$1005="C")*(MOVIMIENTOS!$D$5:$D$1005="jabas")*(MOVIMIENTOS!$A$5:$A$1005&lt;&gt;"")*(MOVIMIENTOS!$A$5:$A$1005&lt;=$A321)*MOVIMIENTOS!$E$5:$E$1005)-SUMPRODUCT((MOVIMIENTOS!$B$5:$B$1005="TRASIEGO")*(MOVIMIENTOS!$C$5:$C$1005="C")*(MOVIMIENTOS!$D$5:$D$1005="jabas")*(MOVIMIENTOS!$A$5:$A$1005&lt;&gt;"")*(MOVIMIENTOS!$A$5:$A$1005&lt;=$A321)*MOVIMIENTOS!$E$5:$E$1005)-SUMPRODUCT((MOVIMIENTOS!$B$5:$B$1005="REGALO")*(MOVIMIENTOS!$C$5:$C$1005="C")*(MOVIMIENTOS!$D$5:$D$1005="jabas")*(MOVIMIENTOS!$A$5:$A$1005&lt;&gt;"")*(MOVIMIENTOS!$A$5:$A$1005&lt;=$A321)*MOVIMIENTOS!$E$5:$E$1005)-SUMPRODUCT((MOVIMIENTOS!$B$5:$B$1005="VENTA")*(MOVIMIENTOS!$C$5:$C$1005="C")*(MOVIMIENTOS!$D$5:$D$1005="jabas")*(MOVIMIENTOS!$A$5:$A$1005&lt;&gt;"")*(MOVIMIENTOS!$A$5:$A$1005&lt;=$A321)*MOVIMIENTOS!$E$5:$E$1005)+SUMPRODUCT((MOVIMIENTOS!$B$5:$B$1005="AJUSTE")*(MOVIMIENTOS!$C$5:$C$1005="C")*(MOVIMIENTOS!$D$5:$D$1005="jabas")*(MOVIMIENTOS!$A$5:$A$1005&lt;&gt;"")*(MOVIMIENTOS!$A$5:$A$1005&lt;=$A321)*MOVIMIENTOS!$E$5:$E$1005))</f>
        <v/>
      </c>
      <c r="E321" s="63" t="str">
        <f>IF($A321="","",SUMPRODUCT((MOVIMIENTOS!$B$5:$B$1005="SALDO INICIAL")*(MOVIMIENTOS!$C$5:$C$1005="M")*(MOVIMIENTOS!$D$5:$D$1005="jabas")*(MOVIMIENTOS!$A$5:$A$1005&lt;&gt;"")*(MOVIMIENTOS!$A$5:$A$1005&lt;=$A321)*MOVIMIENTOS!$E$5:$E$1005)+SUMPRODUCT((MOVIMIENTOS!$B$5:$B$1005="PROCESO")*(MOVIMIENTOS!$C$5:$C$1005="M")*(MOVIMIENTOS!$D$5:$D$1005="jabas")*(MOVIMIENTOS!$A$5:$A$1005&lt;&gt;"")*(MOVIMIENTOS!$A$5:$A$1005&lt;=$A321)*MOVIMIENTOS!$E$5:$E$1005)-SUMPRODUCT((MOVIMIENTOS!$B$5:$B$1005="ENVÍO A SUPESA")*(MOVIMIENTOS!$C$5:$C$1005="M")*(MOVIMIENTOS!$D$5:$D$1005="jabas")*(MOVIMIENTOS!$A$5:$A$1005&lt;&gt;"")*(MOVIMIENTOS!$A$5:$A$1005&lt;=$A321)*MOVIMIENTOS!$E$5:$E$1005)+SUMPRODUCT((MOVIMIENTOS!$B$5:$B$1005="DEVOLUCIÓN")*(MOVIMIENTOS!$C$5:$C$1005="M")*(MOVIMIENTOS!$D$5:$D$1005="jabas")*(MOVIMIENTOS!$A$5:$A$1005&lt;&gt;"")*(MOVIMIENTOS!$A$5:$A$1005&lt;=$A321)*MOVIMIENTOS!$E$5:$E$1005)-SUMPRODUCT((MOVIMIENTOS!$B$5:$B$1005="TRASIEGO")*(MOVIMIENTOS!$C$5:$C$1005="M")*(MOVIMIENTOS!$D$5:$D$1005="jabas")*(MOVIMIENTOS!$A$5:$A$1005&lt;&gt;"")*(MOVIMIENTOS!$A$5:$A$1005&lt;=$A321)*MOVIMIENTOS!$E$5:$E$1005)-SUMPRODUCT((MOVIMIENTOS!$B$5:$B$1005="REGALO")*(MOVIMIENTOS!$C$5:$C$1005="M")*(MOVIMIENTOS!$D$5:$D$1005="jabas")*(MOVIMIENTOS!$A$5:$A$1005&lt;&gt;"")*(MOVIMIENTOS!$A$5:$A$1005&lt;=$A321)*MOVIMIENTOS!$E$5:$E$1005)-SUMPRODUCT((MOVIMIENTOS!$B$5:$B$1005="VENTA")*(MOVIMIENTOS!$C$5:$C$1005="M")*(MOVIMIENTOS!$D$5:$D$1005="jabas")*(MOVIMIENTOS!$A$5:$A$1005&lt;&gt;"")*(MOVIMIENTOS!$A$5:$A$1005&lt;=$A321)*MOVIMIENTOS!$E$5:$E$1005)+SUMPRODUCT((MOVIMIENTOS!$B$5:$B$1005="AJUSTE")*(MOVIMIENTOS!$C$5:$C$1005="M")*(MOVIMIENTOS!$D$5:$D$1005="jabas")*(MOVIMIENTOS!$A$5:$A$1005&lt;&gt;"")*(MOVIMIENTOS!$A$5:$A$1005&lt;=$A321)*MOVIMIENTOS!$E$5:$E$1005))</f>
        <v/>
      </c>
      <c r="F321" s="63" t="str">
        <f>IF($A321="","",SUMPRODUCT((MOVIMIENTOS!$B$5:$B$1005="SALDO INICIAL")*(MOVIMIENTOS!$C$5:$C$1005="Chancho")*(MOVIMIENTOS!$D$5:$D$1005="sacos")*(MOVIMIENTOS!$A$5:$A$1005&lt;&gt;"")*(MOVIMIENTOS!$A$5:$A$1005&lt;=$A321)*MOVIMIENTOS!$E$5:$E$1005)+SUMPRODUCT((MOVIMIENTOS!$B$5:$B$1005="PROCESO")*(MOVIMIENTOS!$C$5:$C$1005="Chancho")*(MOVIMIENTOS!$D$5:$D$1005="sacos")*(MOVIMIENTOS!$A$5:$A$1005&lt;&gt;"")*(MOVIMIENTOS!$A$5:$A$1005&lt;=$A321)*MOVIMIENTOS!$E$5:$E$1005)-SUMPRODUCT((MOVIMIENTOS!$B$5:$B$1005="VENTA CHANCHO")*(MOVIMIENTOS!$C$5:$C$1005="Chancho")*(MOVIMIENTOS!$D$5:$D$1005="sacos")*(MOVIMIENTOS!$A$5:$A$1005&lt;&gt;"")*(MOVIMIENTOS!$A$5:$A$1005&lt;=$A321)*MOVIMIENTOS!$E$5:$E$1005)-SUMPRODUCT((MOVIMIENTOS!$B$5:$B$1005="REGALO")*(MOVIMIENTOS!$C$5:$C$1005="Chancho")*(MOVIMIENTOS!$D$5:$D$1005="sacos")*(MOVIMIENTOS!$A$5:$A$1005&lt;&gt;"")*(MOVIMIENTOS!$A$5:$A$1005&lt;=$A321)*MOVIMIENTOS!$E$5:$E$1005)-SUMPRODUCT((MOVIMIENTOS!$B$5:$B$1005="VENTA")*(MOVIMIENTOS!$C$5:$C$1005="Chancho")*(MOVIMIENTOS!$D$5:$D$1005="sacos")*(MOVIMIENTOS!$A$5:$A$1005&lt;&gt;"")*(MOVIMIENTOS!$A$5:$A$1005&lt;=$A321)*MOVIMIENTOS!$E$5:$E$1005)+SUMPRODUCT((MOVIMIENTOS!$B$5:$B$1005="AJUSTE")*(MOVIMIENTOS!$C$5:$C$1005="Chancho")*(MOVIMIENTOS!$D$5:$D$1005="sacos")*(MOVIMIENTOS!$A$5:$A$1005&lt;&gt;"")*(MOVIMIENTOS!$A$5:$A$1005&lt;=$A321)*MOVIMIENTOS!$E$5:$E$1005))</f>
        <v/>
      </c>
      <c r="G321" s="95" t="str">
        <f t="shared" si="9"/>
        <v/>
      </c>
      <c r="H321" s="63" t="str">
        <f>IF($A321="","",SUMPRODUCT((((MOVIMIENTOS!$B$5:$B$1005="SALDO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321)*MOVIMIENTOS!$J$5:$J$1005))</f>
        <v/>
      </c>
      <c r="I321" s="63"/>
      <c r="J321" s="63" t="str">
        <f>IF(AND(MOVIMIENTOS!$A320&lt;&gt;"",COUNTIF(MOVIMIENTOS!$A$5:$A319,MOVIMIENTOS!$A320)=0),COUNT(J$4:J320)+1,"")</f>
        <v/>
      </c>
      <c r="K321" s="66">
        <f>MOVIMIENTOS!$A320</f>
        <v>46242</v>
      </c>
      <c r="L321" s="63"/>
      <c r="M321" s="63"/>
      <c r="N321" s="63"/>
    </row>
    <row r="322" spans="1:14" ht="15" customHeight="1" x14ac:dyDescent="0.2">
      <c r="A322" s="63" t="str">
        <f t="shared" si="8"/>
        <v/>
      </c>
      <c r="B322" s="63" t="str">
        <f>IF($A322="","",SUMPRODUCT((MOVIMIENTOS!$B$5:$B$1005="SALDO INICIAL")*(MOVIMIENTOS!$C$5:$C$1005="A")*(MOVIMIENTOS!$D$5:$D$1005="jabas")*(MOVIMIENTOS!$A$5:$A$1005&lt;&gt;"")*(MOVIMIENTOS!$A$5:$A$1005&lt;=$A322)*MOVIMIENTOS!$E$5:$E$1005)+SUMPRODUCT((MOVIMIENTOS!$B$5:$B$1005="PROCESO")*(MOVIMIENTOS!$C$5:$C$1005="A")*(MOVIMIENTOS!$D$5:$D$1005="jabas")*(MOVIMIENTOS!$A$5:$A$1005&lt;&gt;"")*(MOVIMIENTOS!$A$5:$A$1005&lt;=$A322)*MOVIMIENTOS!$E$5:$E$1005)-SUMPRODUCT((MOVIMIENTOS!$B$5:$B$1005="ENVÍO A SUPESA")*(MOVIMIENTOS!$C$5:$C$1005="A")*(MOVIMIENTOS!$D$5:$D$1005="jabas")*(MOVIMIENTOS!$A$5:$A$1005&lt;&gt;"")*(MOVIMIENTOS!$A$5:$A$1005&lt;=$A322)*MOVIMIENTOS!$E$5:$E$1005)+SUMPRODUCT((MOVIMIENTOS!$B$5:$B$1005="DEVOLUCIÓN")*(MOVIMIENTOS!$C$5:$C$1005="A")*(MOVIMIENTOS!$D$5:$D$1005="jabas")*(MOVIMIENTOS!$A$5:$A$1005&lt;&gt;"")*(MOVIMIENTOS!$A$5:$A$1005&lt;=$A322)*MOVIMIENTOS!$E$5:$E$1005)-SUMPRODUCT((MOVIMIENTOS!$B$5:$B$1005="TRASIEGO")*(MOVIMIENTOS!$C$5:$C$1005="A")*(MOVIMIENTOS!$D$5:$D$1005="jabas")*(MOVIMIENTOS!$A$5:$A$1005&lt;&gt;"")*(MOVIMIENTOS!$A$5:$A$1005&lt;=$A322)*MOVIMIENTOS!$E$5:$E$1005)-SUMPRODUCT((MOVIMIENTOS!$B$5:$B$1005="REGALO")*(MOVIMIENTOS!$C$5:$C$1005="A")*(MOVIMIENTOS!$D$5:$D$1005="jabas")*(MOVIMIENTOS!$A$5:$A$1005&lt;&gt;"")*(MOVIMIENTOS!$A$5:$A$1005&lt;=$A322)*MOVIMIENTOS!$E$5:$E$1005)-SUMPRODUCT((MOVIMIENTOS!$B$5:$B$1005="VENTA")*(MOVIMIENTOS!$C$5:$C$1005="A")*(MOVIMIENTOS!$D$5:$D$1005="jabas")*(MOVIMIENTOS!$A$5:$A$1005&lt;&gt;"")*(MOVIMIENTOS!$A$5:$A$1005&lt;=$A322)*MOVIMIENTOS!$E$5:$E$1005)+SUMPRODUCT((MOVIMIENTOS!$B$5:$B$1005="AJUSTE")*(MOVIMIENTOS!$C$5:$C$1005="A")*(MOVIMIENTOS!$D$5:$D$1005="jabas")*(MOVIMIENTOS!$A$5:$A$1005&lt;&gt;"")*(MOVIMIENTOS!$A$5:$A$1005&lt;=$A322)*MOVIMIENTOS!$E$5:$E$1005))</f>
        <v/>
      </c>
      <c r="C322" s="63" t="str">
        <f>IF($A322="","",SUMPRODUCT((MOVIMIENTOS!$B$5:$B$1005="SALDO INICIAL")*(MOVIMIENTOS!$C$5:$C$1005="P")*(MOVIMIENTOS!$D$5:$D$1005="jabas")*(MOVIMIENTOS!$A$5:$A$1005&lt;&gt;"")*(MOVIMIENTOS!$A$5:$A$1005&lt;=$A322)*MOVIMIENTOS!$E$5:$E$1005)+SUMPRODUCT((MOVIMIENTOS!$B$5:$B$1005="PROCESO")*(MOVIMIENTOS!$C$5:$C$1005="P")*(MOVIMIENTOS!$D$5:$D$1005="jabas")*(MOVIMIENTOS!$A$5:$A$1005&lt;&gt;"")*(MOVIMIENTOS!$A$5:$A$1005&lt;=$A322)*MOVIMIENTOS!$E$5:$E$1005)-SUMPRODUCT((MOVIMIENTOS!$B$5:$B$1005="ENVÍO A SUPESA")*(MOVIMIENTOS!$C$5:$C$1005="P")*(MOVIMIENTOS!$D$5:$D$1005="jabas")*(MOVIMIENTOS!$A$5:$A$1005&lt;&gt;"")*(MOVIMIENTOS!$A$5:$A$1005&lt;=$A322)*MOVIMIENTOS!$E$5:$E$1005)+SUMPRODUCT((MOVIMIENTOS!$B$5:$B$1005="DEVOLUCIÓN")*(MOVIMIENTOS!$C$5:$C$1005="P")*(MOVIMIENTOS!$D$5:$D$1005="jabas")*(MOVIMIENTOS!$A$5:$A$1005&lt;&gt;"")*(MOVIMIENTOS!$A$5:$A$1005&lt;=$A322)*MOVIMIENTOS!$E$5:$E$1005)-SUMPRODUCT((MOVIMIENTOS!$B$5:$B$1005="TRASIEGO")*(MOVIMIENTOS!$C$5:$C$1005="P")*(MOVIMIENTOS!$D$5:$D$1005="jabas")*(MOVIMIENTOS!$A$5:$A$1005&lt;&gt;"")*(MOVIMIENTOS!$A$5:$A$1005&lt;=$A322)*MOVIMIENTOS!$E$5:$E$1005)-SUMPRODUCT((MOVIMIENTOS!$B$5:$B$1005="REGALO")*(MOVIMIENTOS!$C$5:$C$1005="P")*(MOVIMIENTOS!$D$5:$D$1005="jabas")*(MOVIMIENTOS!$A$5:$A$1005&lt;&gt;"")*(MOVIMIENTOS!$A$5:$A$1005&lt;=$A322)*MOVIMIENTOS!$E$5:$E$1005)-SUMPRODUCT((MOVIMIENTOS!$B$5:$B$1005="VENTA")*(MOVIMIENTOS!$C$5:$C$1005="P")*(MOVIMIENTOS!$D$5:$D$1005="jabas")*(MOVIMIENTOS!$A$5:$A$1005&lt;&gt;"")*(MOVIMIENTOS!$A$5:$A$1005&lt;=$A322)*MOVIMIENTOS!$E$5:$E$1005)+SUMPRODUCT((MOVIMIENTOS!$B$5:$B$1005="AJUSTE")*(MOVIMIENTOS!$C$5:$C$1005="P")*(MOVIMIENTOS!$D$5:$D$1005="jabas")*(MOVIMIENTOS!$A$5:$A$1005&lt;&gt;"")*(MOVIMIENTOS!$A$5:$A$1005&lt;=$A322)*MOVIMIENTOS!$E$5:$E$1005))</f>
        <v/>
      </c>
      <c r="D322" s="63" t="str">
        <f>IF($A322="","",SUMPRODUCT((MOVIMIENTOS!$B$5:$B$1005="SALDO INICIAL")*(MOVIMIENTOS!$C$5:$C$1005="C")*(MOVIMIENTOS!$D$5:$D$1005="jabas")*(MOVIMIENTOS!$A$5:$A$1005&lt;&gt;"")*(MOVIMIENTOS!$A$5:$A$1005&lt;=$A322)*MOVIMIENTOS!$E$5:$E$1005)+SUMPRODUCT((MOVIMIENTOS!$B$5:$B$1005="PROCESO")*(MOVIMIENTOS!$C$5:$C$1005="C")*(MOVIMIENTOS!$D$5:$D$1005="jabas")*(MOVIMIENTOS!$A$5:$A$1005&lt;&gt;"")*(MOVIMIENTOS!$A$5:$A$1005&lt;=$A322)*MOVIMIENTOS!$E$5:$E$1005)-SUMPRODUCT((MOVIMIENTOS!$B$5:$B$1005="ENVÍO A SUPESA")*(MOVIMIENTOS!$C$5:$C$1005="C")*(MOVIMIENTOS!$D$5:$D$1005="jabas")*(MOVIMIENTOS!$A$5:$A$1005&lt;&gt;"")*(MOVIMIENTOS!$A$5:$A$1005&lt;=$A322)*MOVIMIENTOS!$E$5:$E$1005)+SUMPRODUCT((MOVIMIENTOS!$B$5:$B$1005="DEVOLUCIÓN")*(MOVIMIENTOS!$C$5:$C$1005="C")*(MOVIMIENTOS!$D$5:$D$1005="jabas")*(MOVIMIENTOS!$A$5:$A$1005&lt;&gt;"")*(MOVIMIENTOS!$A$5:$A$1005&lt;=$A322)*MOVIMIENTOS!$E$5:$E$1005)-SUMPRODUCT((MOVIMIENTOS!$B$5:$B$1005="TRASIEGO")*(MOVIMIENTOS!$C$5:$C$1005="C")*(MOVIMIENTOS!$D$5:$D$1005="jabas")*(MOVIMIENTOS!$A$5:$A$1005&lt;&gt;"")*(MOVIMIENTOS!$A$5:$A$1005&lt;=$A322)*MOVIMIENTOS!$E$5:$E$1005)-SUMPRODUCT((MOVIMIENTOS!$B$5:$B$1005="REGALO")*(MOVIMIENTOS!$C$5:$C$1005="C")*(MOVIMIENTOS!$D$5:$D$1005="jabas")*(MOVIMIENTOS!$A$5:$A$1005&lt;&gt;"")*(MOVIMIENTOS!$A$5:$A$1005&lt;=$A322)*MOVIMIENTOS!$E$5:$E$1005)-SUMPRODUCT((MOVIMIENTOS!$B$5:$B$1005="VENTA")*(MOVIMIENTOS!$C$5:$C$1005="C")*(MOVIMIENTOS!$D$5:$D$1005="jabas")*(MOVIMIENTOS!$A$5:$A$1005&lt;&gt;"")*(MOVIMIENTOS!$A$5:$A$1005&lt;=$A322)*MOVIMIENTOS!$E$5:$E$1005)+SUMPRODUCT((MOVIMIENTOS!$B$5:$B$1005="AJUSTE")*(MOVIMIENTOS!$C$5:$C$1005="C")*(MOVIMIENTOS!$D$5:$D$1005="jabas")*(MOVIMIENTOS!$A$5:$A$1005&lt;&gt;"")*(MOVIMIENTOS!$A$5:$A$1005&lt;=$A322)*MOVIMIENTOS!$E$5:$E$1005))</f>
        <v/>
      </c>
      <c r="E322" s="63" t="str">
        <f>IF($A322="","",SUMPRODUCT((MOVIMIENTOS!$B$5:$B$1005="SALDO INICIAL")*(MOVIMIENTOS!$C$5:$C$1005="M")*(MOVIMIENTOS!$D$5:$D$1005="jabas")*(MOVIMIENTOS!$A$5:$A$1005&lt;&gt;"")*(MOVIMIENTOS!$A$5:$A$1005&lt;=$A322)*MOVIMIENTOS!$E$5:$E$1005)+SUMPRODUCT((MOVIMIENTOS!$B$5:$B$1005="PROCESO")*(MOVIMIENTOS!$C$5:$C$1005="M")*(MOVIMIENTOS!$D$5:$D$1005="jabas")*(MOVIMIENTOS!$A$5:$A$1005&lt;&gt;"")*(MOVIMIENTOS!$A$5:$A$1005&lt;=$A322)*MOVIMIENTOS!$E$5:$E$1005)-SUMPRODUCT((MOVIMIENTOS!$B$5:$B$1005="ENVÍO A SUPESA")*(MOVIMIENTOS!$C$5:$C$1005="M")*(MOVIMIENTOS!$D$5:$D$1005="jabas")*(MOVIMIENTOS!$A$5:$A$1005&lt;&gt;"")*(MOVIMIENTOS!$A$5:$A$1005&lt;=$A322)*MOVIMIENTOS!$E$5:$E$1005)+SUMPRODUCT((MOVIMIENTOS!$B$5:$B$1005="DEVOLUCIÓN")*(MOVIMIENTOS!$C$5:$C$1005="M")*(MOVIMIENTOS!$D$5:$D$1005="jabas")*(MOVIMIENTOS!$A$5:$A$1005&lt;&gt;"")*(MOVIMIENTOS!$A$5:$A$1005&lt;=$A322)*MOVIMIENTOS!$E$5:$E$1005)-SUMPRODUCT((MOVIMIENTOS!$B$5:$B$1005="TRASIEGO")*(MOVIMIENTOS!$C$5:$C$1005="M")*(MOVIMIENTOS!$D$5:$D$1005="jabas")*(MOVIMIENTOS!$A$5:$A$1005&lt;&gt;"")*(MOVIMIENTOS!$A$5:$A$1005&lt;=$A322)*MOVIMIENTOS!$E$5:$E$1005)-SUMPRODUCT((MOVIMIENTOS!$B$5:$B$1005="REGALO")*(MOVIMIENTOS!$C$5:$C$1005="M")*(MOVIMIENTOS!$D$5:$D$1005="jabas")*(MOVIMIENTOS!$A$5:$A$1005&lt;&gt;"")*(MOVIMIENTOS!$A$5:$A$1005&lt;=$A322)*MOVIMIENTOS!$E$5:$E$1005)-SUMPRODUCT((MOVIMIENTOS!$B$5:$B$1005="VENTA")*(MOVIMIENTOS!$C$5:$C$1005="M")*(MOVIMIENTOS!$D$5:$D$1005="jabas")*(MOVIMIENTOS!$A$5:$A$1005&lt;&gt;"")*(MOVIMIENTOS!$A$5:$A$1005&lt;=$A322)*MOVIMIENTOS!$E$5:$E$1005)+SUMPRODUCT((MOVIMIENTOS!$B$5:$B$1005="AJUSTE")*(MOVIMIENTOS!$C$5:$C$1005="M")*(MOVIMIENTOS!$D$5:$D$1005="jabas")*(MOVIMIENTOS!$A$5:$A$1005&lt;&gt;"")*(MOVIMIENTOS!$A$5:$A$1005&lt;=$A322)*MOVIMIENTOS!$E$5:$E$1005))</f>
        <v/>
      </c>
      <c r="F322" s="63" t="str">
        <f>IF($A322="","",SUMPRODUCT((MOVIMIENTOS!$B$5:$B$1005="SALDO INICIAL")*(MOVIMIENTOS!$C$5:$C$1005="Chancho")*(MOVIMIENTOS!$D$5:$D$1005="sacos")*(MOVIMIENTOS!$A$5:$A$1005&lt;&gt;"")*(MOVIMIENTOS!$A$5:$A$1005&lt;=$A322)*MOVIMIENTOS!$E$5:$E$1005)+SUMPRODUCT((MOVIMIENTOS!$B$5:$B$1005="PROCESO")*(MOVIMIENTOS!$C$5:$C$1005="Chancho")*(MOVIMIENTOS!$D$5:$D$1005="sacos")*(MOVIMIENTOS!$A$5:$A$1005&lt;&gt;"")*(MOVIMIENTOS!$A$5:$A$1005&lt;=$A322)*MOVIMIENTOS!$E$5:$E$1005)-SUMPRODUCT((MOVIMIENTOS!$B$5:$B$1005="VENTA CHANCHO")*(MOVIMIENTOS!$C$5:$C$1005="Chancho")*(MOVIMIENTOS!$D$5:$D$1005="sacos")*(MOVIMIENTOS!$A$5:$A$1005&lt;&gt;"")*(MOVIMIENTOS!$A$5:$A$1005&lt;=$A322)*MOVIMIENTOS!$E$5:$E$1005)-SUMPRODUCT((MOVIMIENTOS!$B$5:$B$1005="REGALO")*(MOVIMIENTOS!$C$5:$C$1005="Chancho")*(MOVIMIENTOS!$D$5:$D$1005="sacos")*(MOVIMIENTOS!$A$5:$A$1005&lt;&gt;"")*(MOVIMIENTOS!$A$5:$A$1005&lt;=$A322)*MOVIMIENTOS!$E$5:$E$1005)-SUMPRODUCT((MOVIMIENTOS!$B$5:$B$1005="VENTA")*(MOVIMIENTOS!$C$5:$C$1005="Chancho")*(MOVIMIENTOS!$D$5:$D$1005="sacos")*(MOVIMIENTOS!$A$5:$A$1005&lt;&gt;"")*(MOVIMIENTOS!$A$5:$A$1005&lt;=$A322)*MOVIMIENTOS!$E$5:$E$1005)+SUMPRODUCT((MOVIMIENTOS!$B$5:$B$1005="AJUSTE")*(MOVIMIENTOS!$C$5:$C$1005="Chancho")*(MOVIMIENTOS!$D$5:$D$1005="sacos")*(MOVIMIENTOS!$A$5:$A$1005&lt;&gt;"")*(MOVIMIENTOS!$A$5:$A$1005&lt;=$A322)*MOVIMIENTOS!$E$5:$E$1005))</f>
        <v/>
      </c>
      <c r="G322" s="95" t="str">
        <f t="shared" si="9"/>
        <v/>
      </c>
      <c r="H322" s="63" t="str">
        <f>IF($A322="","",SUMPRODUCT((((MOVIMIENTOS!$B$5:$B$1005="SALDO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322)*MOVIMIENTOS!$J$5:$J$1005))</f>
        <v/>
      </c>
      <c r="I322" s="63"/>
      <c r="J322" s="63" t="str">
        <f>IF(AND(MOVIMIENTOS!$A321&lt;&gt;"",COUNTIF(MOVIMIENTOS!$A$5:$A320,MOVIMIENTOS!$A321)=0),COUNT(J$4:J321)+1,"")</f>
        <v/>
      </c>
      <c r="K322" s="66">
        <f>MOVIMIENTOS!$A321</f>
        <v>46242</v>
      </c>
      <c r="L322" s="63"/>
      <c r="M322" s="63"/>
      <c r="N322" s="63"/>
    </row>
    <row r="323" spans="1:14" ht="15" customHeight="1" x14ac:dyDescent="0.2">
      <c r="A323" s="63" t="str">
        <f t="shared" si="8"/>
        <v/>
      </c>
      <c r="B323" s="63" t="str">
        <f>IF($A323="","",SUMPRODUCT((MOVIMIENTOS!$B$5:$B$1005="SALDO INICIAL")*(MOVIMIENTOS!$C$5:$C$1005="A")*(MOVIMIENTOS!$D$5:$D$1005="jabas")*(MOVIMIENTOS!$A$5:$A$1005&lt;&gt;"")*(MOVIMIENTOS!$A$5:$A$1005&lt;=$A323)*MOVIMIENTOS!$E$5:$E$1005)+SUMPRODUCT((MOVIMIENTOS!$B$5:$B$1005="PROCESO")*(MOVIMIENTOS!$C$5:$C$1005="A")*(MOVIMIENTOS!$D$5:$D$1005="jabas")*(MOVIMIENTOS!$A$5:$A$1005&lt;&gt;"")*(MOVIMIENTOS!$A$5:$A$1005&lt;=$A323)*MOVIMIENTOS!$E$5:$E$1005)-SUMPRODUCT((MOVIMIENTOS!$B$5:$B$1005="ENVÍO A SUPESA")*(MOVIMIENTOS!$C$5:$C$1005="A")*(MOVIMIENTOS!$D$5:$D$1005="jabas")*(MOVIMIENTOS!$A$5:$A$1005&lt;&gt;"")*(MOVIMIENTOS!$A$5:$A$1005&lt;=$A323)*MOVIMIENTOS!$E$5:$E$1005)+SUMPRODUCT((MOVIMIENTOS!$B$5:$B$1005="DEVOLUCIÓN")*(MOVIMIENTOS!$C$5:$C$1005="A")*(MOVIMIENTOS!$D$5:$D$1005="jabas")*(MOVIMIENTOS!$A$5:$A$1005&lt;&gt;"")*(MOVIMIENTOS!$A$5:$A$1005&lt;=$A323)*MOVIMIENTOS!$E$5:$E$1005)-SUMPRODUCT((MOVIMIENTOS!$B$5:$B$1005="TRASIEGO")*(MOVIMIENTOS!$C$5:$C$1005="A")*(MOVIMIENTOS!$D$5:$D$1005="jabas")*(MOVIMIENTOS!$A$5:$A$1005&lt;&gt;"")*(MOVIMIENTOS!$A$5:$A$1005&lt;=$A323)*MOVIMIENTOS!$E$5:$E$1005)-SUMPRODUCT((MOVIMIENTOS!$B$5:$B$1005="REGALO")*(MOVIMIENTOS!$C$5:$C$1005="A")*(MOVIMIENTOS!$D$5:$D$1005="jabas")*(MOVIMIENTOS!$A$5:$A$1005&lt;&gt;"")*(MOVIMIENTOS!$A$5:$A$1005&lt;=$A323)*MOVIMIENTOS!$E$5:$E$1005)-SUMPRODUCT((MOVIMIENTOS!$B$5:$B$1005="VENTA")*(MOVIMIENTOS!$C$5:$C$1005="A")*(MOVIMIENTOS!$D$5:$D$1005="jabas")*(MOVIMIENTOS!$A$5:$A$1005&lt;&gt;"")*(MOVIMIENTOS!$A$5:$A$1005&lt;=$A323)*MOVIMIENTOS!$E$5:$E$1005)+SUMPRODUCT((MOVIMIENTOS!$B$5:$B$1005="AJUSTE")*(MOVIMIENTOS!$C$5:$C$1005="A")*(MOVIMIENTOS!$D$5:$D$1005="jabas")*(MOVIMIENTOS!$A$5:$A$1005&lt;&gt;"")*(MOVIMIENTOS!$A$5:$A$1005&lt;=$A323)*MOVIMIENTOS!$E$5:$E$1005))</f>
        <v/>
      </c>
      <c r="C323" s="63" t="str">
        <f>IF($A323="","",SUMPRODUCT((MOVIMIENTOS!$B$5:$B$1005="SALDO INICIAL")*(MOVIMIENTOS!$C$5:$C$1005="P")*(MOVIMIENTOS!$D$5:$D$1005="jabas")*(MOVIMIENTOS!$A$5:$A$1005&lt;&gt;"")*(MOVIMIENTOS!$A$5:$A$1005&lt;=$A323)*MOVIMIENTOS!$E$5:$E$1005)+SUMPRODUCT((MOVIMIENTOS!$B$5:$B$1005="PROCESO")*(MOVIMIENTOS!$C$5:$C$1005="P")*(MOVIMIENTOS!$D$5:$D$1005="jabas")*(MOVIMIENTOS!$A$5:$A$1005&lt;&gt;"")*(MOVIMIENTOS!$A$5:$A$1005&lt;=$A323)*MOVIMIENTOS!$E$5:$E$1005)-SUMPRODUCT((MOVIMIENTOS!$B$5:$B$1005="ENVÍO A SUPESA")*(MOVIMIENTOS!$C$5:$C$1005="P")*(MOVIMIENTOS!$D$5:$D$1005="jabas")*(MOVIMIENTOS!$A$5:$A$1005&lt;&gt;"")*(MOVIMIENTOS!$A$5:$A$1005&lt;=$A323)*MOVIMIENTOS!$E$5:$E$1005)+SUMPRODUCT((MOVIMIENTOS!$B$5:$B$1005="DEVOLUCIÓN")*(MOVIMIENTOS!$C$5:$C$1005="P")*(MOVIMIENTOS!$D$5:$D$1005="jabas")*(MOVIMIENTOS!$A$5:$A$1005&lt;&gt;"")*(MOVIMIENTOS!$A$5:$A$1005&lt;=$A323)*MOVIMIENTOS!$E$5:$E$1005)-SUMPRODUCT((MOVIMIENTOS!$B$5:$B$1005="TRASIEGO")*(MOVIMIENTOS!$C$5:$C$1005="P")*(MOVIMIENTOS!$D$5:$D$1005="jabas")*(MOVIMIENTOS!$A$5:$A$1005&lt;&gt;"")*(MOVIMIENTOS!$A$5:$A$1005&lt;=$A323)*MOVIMIENTOS!$E$5:$E$1005)-SUMPRODUCT((MOVIMIENTOS!$B$5:$B$1005="REGALO")*(MOVIMIENTOS!$C$5:$C$1005="P")*(MOVIMIENTOS!$D$5:$D$1005="jabas")*(MOVIMIENTOS!$A$5:$A$1005&lt;&gt;"")*(MOVIMIENTOS!$A$5:$A$1005&lt;=$A323)*MOVIMIENTOS!$E$5:$E$1005)-SUMPRODUCT((MOVIMIENTOS!$B$5:$B$1005="VENTA")*(MOVIMIENTOS!$C$5:$C$1005="P")*(MOVIMIENTOS!$D$5:$D$1005="jabas")*(MOVIMIENTOS!$A$5:$A$1005&lt;&gt;"")*(MOVIMIENTOS!$A$5:$A$1005&lt;=$A323)*MOVIMIENTOS!$E$5:$E$1005)+SUMPRODUCT((MOVIMIENTOS!$B$5:$B$1005="AJUSTE")*(MOVIMIENTOS!$C$5:$C$1005="P")*(MOVIMIENTOS!$D$5:$D$1005="jabas")*(MOVIMIENTOS!$A$5:$A$1005&lt;&gt;"")*(MOVIMIENTOS!$A$5:$A$1005&lt;=$A323)*MOVIMIENTOS!$E$5:$E$1005))</f>
        <v/>
      </c>
      <c r="D323" s="63" t="str">
        <f>IF($A323="","",SUMPRODUCT((MOVIMIENTOS!$B$5:$B$1005="SALDO INICIAL")*(MOVIMIENTOS!$C$5:$C$1005="C")*(MOVIMIENTOS!$D$5:$D$1005="jabas")*(MOVIMIENTOS!$A$5:$A$1005&lt;&gt;"")*(MOVIMIENTOS!$A$5:$A$1005&lt;=$A323)*MOVIMIENTOS!$E$5:$E$1005)+SUMPRODUCT((MOVIMIENTOS!$B$5:$B$1005="PROCESO")*(MOVIMIENTOS!$C$5:$C$1005="C")*(MOVIMIENTOS!$D$5:$D$1005="jabas")*(MOVIMIENTOS!$A$5:$A$1005&lt;&gt;"")*(MOVIMIENTOS!$A$5:$A$1005&lt;=$A323)*MOVIMIENTOS!$E$5:$E$1005)-SUMPRODUCT((MOVIMIENTOS!$B$5:$B$1005="ENVÍO A SUPESA")*(MOVIMIENTOS!$C$5:$C$1005="C")*(MOVIMIENTOS!$D$5:$D$1005="jabas")*(MOVIMIENTOS!$A$5:$A$1005&lt;&gt;"")*(MOVIMIENTOS!$A$5:$A$1005&lt;=$A323)*MOVIMIENTOS!$E$5:$E$1005)+SUMPRODUCT((MOVIMIENTOS!$B$5:$B$1005="DEVOLUCIÓN")*(MOVIMIENTOS!$C$5:$C$1005="C")*(MOVIMIENTOS!$D$5:$D$1005="jabas")*(MOVIMIENTOS!$A$5:$A$1005&lt;&gt;"")*(MOVIMIENTOS!$A$5:$A$1005&lt;=$A323)*MOVIMIENTOS!$E$5:$E$1005)-SUMPRODUCT((MOVIMIENTOS!$B$5:$B$1005="TRASIEGO")*(MOVIMIENTOS!$C$5:$C$1005="C")*(MOVIMIENTOS!$D$5:$D$1005="jabas")*(MOVIMIENTOS!$A$5:$A$1005&lt;&gt;"")*(MOVIMIENTOS!$A$5:$A$1005&lt;=$A323)*MOVIMIENTOS!$E$5:$E$1005)-SUMPRODUCT((MOVIMIENTOS!$B$5:$B$1005="REGALO")*(MOVIMIENTOS!$C$5:$C$1005="C")*(MOVIMIENTOS!$D$5:$D$1005="jabas")*(MOVIMIENTOS!$A$5:$A$1005&lt;&gt;"")*(MOVIMIENTOS!$A$5:$A$1005&lt;=$A323)*MOVIMIENTOS!$E$5:$E$1005)-SUMPRODUCT((MOVIMIENTOS!$B$5:$B$1005="VENTA")*(MOVIMIENTOS!$C$5:$C$1005="C")*(MOVIMIENTOS!$D$5:$D$1005="jabas")*(MOVIMIENTOS!$A$5:$A$1005&lt;&gt;"")*(MOVIMIENTOS!$A$5:$A$1005&lt;=$A323)*MOVIMIENTOS!$E$5:$E$1005)+SUMPRODUCT((MOVIMIENTOS!$B$5:$B$1005="AJUSTE")*(MOVIMIENTOS!$C$5:$C$1005="C")*(MOVIMIENTOS!$D$5:$D$1005="jabas")*(MOVIMIENTOS!$A$5:$A$1005&lt;&gt;"")*(MOVIMIENTOS!$A$5:$A$1005&lt;=$A323)*MOVIMIENTOS!$E$5:$E$1005))</f>
        <v/>
      </c>
      <c r="E323" s="63" t="str">
        <f>IF($A323="","",SUMPRODUCT((MOVIMIENTOS!$B$5:$B$1005="SALDO INICIAL")*(MOVIMIENTOS!$C$5:$C$1005="M")*(MOVIMIENTOS!$D$5:$D$1005="jabas")*(MOVIMIENTOS!$A$5:$A$1005&lt;&gt;"")*(MOVIMIENTOS!$A$5:$A$1005&lt;=$A323)*MOVIMIENTOS!$E$5:$E$1005)+SUMPRODUCT((MOVIMIENTOS!$B$5:$B$1005="PROCESO")*(MOVIMIENTOS!$C$5:$C$1005="M")*(MOVIMIENTOS!$D$5:$D$1005="jabas")*(MOVIMIENTOS!$A$5:$A$1005&lt;&gt;"")*(MOVIMIENTOS!$A$5:$A$1005&lt;=$A323)*MOVIMIENTOS!$E$5:$E$1005)-SUMPRODUCT((MOVIMIENTOS!$B$5:$B$1005="ENVÍO A SUPESA")*(MOVIMIENTOS!$C$5:$C$1005="M")*(MOVIMIENTOS!$D$5:$D$1005="jabas")*(MOVIMIENTOS!$A$5:$A$1005&lt;&gt;"")*(MOVIMIENTOS!$A$5:$A$1005&lt;=$A323)*MOVIMIENTOS!$E$5:$E$1005)+SUMPRODUCT((MOVIMIENTOS!$B$5:$B$1005="DEVOLUCIÓN")*(MOVIMIENTOS!$C$5:$C$1005="M")*(MOVIMIENTOS!$D$5:$D$1005="jabas")*(MOVIMIENTOS!$A$5:$A$1005&lt;&gt;"")*(MOVIMIENTOS!$A$5:$A$1005&lt;=$A323)*MOVIMIENTOS!$E$5:$E$1005)-SUMPRODUCT((MOVIMIENTOS!$B$5:$B$1005="TRASIEGO")*(MOVIMIENTOS!$C$5:$C$1005="M")*(MOVIMIENTOS!$D$5:$D$1005="jabas")*(MOVIMIENTOS!$A$5:$A$1005&lt;&gt;"")*(MOVIMIENTOS!$A$5:$A$1005&lt;=$A323)*MOVIMIENTOS!$E$5:$E$1005)-SUMPRODUCT((MOVIMIENTOS!$B$5:$B$1005="REGALO")*(MOVIMIENTOS!$C$5:$C$1005="M")*(MOVIMIENTOS!$D$5:$D$1005="jabas")*(MOVIMIENTOS!$A$5:$A$1005&lt;&gt;"")*(MOVIMIENTOS!$A$5:$A$1005&lt;=$A323)*MOVIMIENTOS!$E$5:$E$1005)-SUMPRODUCT((MOVIMIENTOS!$B$5:$B$1005="VENTA")*(MOVIMIENTOS!$C$5:$C$1005="M")*(MOVIMIENTOS!$D$5:$D$1005="jabas")*(MOVIMIENTOS!$A$5:$A$1005&lt;&gt;"")*(MOVIMIENTOS!$A$5:$A$1005&lt;=$A323)*MOVIMIENTOS!$E$5:$E$1005)+SUMPRODUCT((MOVIMIENTOS!$B$5:$B$1005="AJUSTE")*(MOVIMIENTOS!$C$5:$C$1005="M")*(MOVIMIENTOS!$D$5:$D$1005="jabas")*(MOVIMIENTOS!$A$5:$A$1005&lt;&gt;"")*(MOVIMIENTOS!$A$5:$A$1005&lt;=$A323)*MOVIMIENTOS!$E$5:$E$1005))</f>
        <v/>
      </c>
      <c r="F323" s="63" t="str">
        <f>IF($A323="","",SUMPRODUCT((MOVIMIENTOS!$B$5:$B$1005="SALDO INICIAL")*(MOVIMIENTOS!$C$5:$C$1005="Chancho")*(MOVIMIENTOS!$D$5:$D$1005="sacos")*(MOVIMIENTOS!$A$5:$A$1005&lt;&gt;"")*(MOVIMIENTOS!$A$5:$A$1005&lt;=$A323)*MOVIMIENTOS!$E$5:$E$1005)+SUMPRODUCT((MOVIMIENTOS!$B$5:$B$1005="PROCESO")*(MOVIMIENTOS!$C$5:$C$1005="Chancho")*(MOVIMIENTOS!$D$5:$D$1005="sacos")*(MOVIMIENTOS!$A$5:$A$1005&lt;&gt;"")*(MOVIMIENTOS!$A$5:$A$1005&lt;=$A323)*MOVIMIENTOS!$E$5:$E$1005)-SUMPRODUCT((MOVIMIENTOS!$B$5:$B$1005="VENTA CHANCHO")*(MOVIMIENTOS!$C$5:$C$1005="Chancho")*(MOVIMIENTOS!$D$5:$D$1005="sacos")*(MOVIMIENTOS!$A$5:$A$1005&lt;&gt;"")*(MOVIMIENTOS!$A$5:$A$1005&lt;=$A323)*MOVIMIENTOS!$E$5:$E$1005)-SUMPRODUCT((MOVIMIENTOS!$B$5:$B$1005="REGALO")*(MOVIMIENTOS!$C$5:$C$1005="Chancho")*(MOVIMIENTOS!$D$5:$D$1005="sacos")*(MOVIMIENTOS!$A$5:$A$1005&lt;&gt;"")*(MOVIMIENTOS!$A$5:$A$1005&lt;=$A323)*MOVIMIENTOS!$E$5:$E$1005)-SUMPRODUCT((MOVIMIENTOS!$B$5:$B$1005="VENTA")*(MOVIMIENTOS!$C$5:$C$1005="Chancho")*(MOVIMIENTOS!$D$5:$D$1005="sacos")*(MOVIMIENTOS!$A$5:$A$1005&lt;&gt;"")*(MOVIMIENTOS!$A$5:$A$1005&lt;=$A323)*MOVIMIENTOS!$E$5:$E$1005)+SUMPRODUCT((MOVIMIENTOS!$B$5:$B$1005="AJUSTE")*(MOVIMIENTOS!$C$5:$C$1005="Chancho")*(MOVIMIENTOS!$D$5:$D$1005="sacos")*(MOVIMIENTOS!$A$5:$A$1005&lt;&gt;"")*(MOVIMIENTOS!$A$5:$A$1005&lt;=$A323)*MOVIMIENTOS!$E$5:$E$1005))</f>
        <v/>
      </c>
      <c r="G323" s="95" t="str">
        <f t="shared" si="9"/>
        <v/>
      </c>
      <c r="H323" s="63" t="str">
        <f>IF($A323="","",SUMPRODUCT((((MOVIMIENTOS!$B$5:$B$1005="SALDO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323)*MOVIMIENTOS!$J$5:$J$1005))</f>
        <v/>
      </c>
      <c r="I323" s="63"/>
      <c r="J323" s="63" t="str">
        <f>IF(AND(MOVIMIENTOS!$A322&lt;&gt;"",COUNTIF(MOVIMIENTOS!$A$5:$A321,MOVIMIENTOS!$A322)=0),COUNT(J$4:J322)+1,"")</f>
        <v/>
      </c>
      <c r="K323" s="66">
        <f>MOVIMIENTOS!$A322</f>
        <v>46242</v>
      </c>
      <c r="L323" s="63"/>
      <c r="M323" s="63"/>
      <c r="N323" s="63"/>
    </row>
    <row r="324" spans="1:14" ht="15" customHeight="1" x14ac:dyDescent="0.2">
      <c r="A324" s="63" t="str">
        <f t="shared" si="8"/>
        <v/>
      </c>
      <c r="B324" s="63" t="str">
        <f>IF($A324="","",SUMPRODUCT((MOVIMIENTOS!$B$5:$B$1005="SALDO INICIAL")*(MOVIMIENTOS!$C$5:$C$1005="A")*(MOVIMIENTOS!$D$5:$D$1005="jabas")*(MOVIMIENTOS!$A$5:$A$1005&lt;&gt;"")*(MOVIMIENTOS!$A$5:$A$1005&lt;=$A324)*MOVIMIENTOS!$E$5:$E$1005)+SUMPRODUCT((MOVIMIENTOS!$B$5:$B$1005="PROCESO")*(MOVIMIENTOS!$C$5:$C$1005="A")*(MOVIMIENTOS!$D$5:$D$1005="jabas")*(MOVIMIENTOS!$A$5:$A$1005&lt;&gt;"")*(MOVIMIENTOS!$A$5:$A$1005&lt;=$A324)*MOVIMIENTOS!$E$5:$E$1005)-SUMPRODUCT((MOVIMIENTOS!$B$5:$B$1005="ENVÍO A SUPESA")*(MOVIMIENTOS!$C$5:$C$1005="A")*(MOVIMIENTOS!$D$5:$D$1005="jabas")*(MOVIMIENTOS!$A$5:$A$1005&lt;&gt;"")*(MOVIMIENTOS!$A$5:$A$1005&lt;=$A324)*MOVIMIENTOS!$E$5:$E$1005)+SUMPRODUCT((MOVIMIENTOS!$B$5:$B$1005="DEVOLUCIÓN")*(MOVIMIENTOS!$C$5:$C$1005="A")*(MOVIMIENTOS!$D$5:$D$1005="jabas")*(MOVIMIENTOS!$A$5:$A$1005&lt;&gt;"")*(MOVIMIENTOS!$A$5:$A$1005&lt;=$A324)*MOVIMIENTOS!$E$5:$E$1005)-SUMPRODUCT((MOVIMIENTOS!$B$5:$B$1005="TRASIEGO")*(MOVIMIENTOS!$C$5:$C$1005="A")*(MOVIMIENTOS!$D$5:$D$1005="jabas")*(MOVIMIENTOS!$A$5:$A$1005&lt;&gt;"")*(MOVIMIENTOS!$A$5:$A$1005&lt;=$A324)*MOVIMIENTOS!$E$5:$E$1005)-SUMPRODUCT((MOVIMIENTOS!$B$5:$B$1005="REGALO")*(MOVIMIENTOS!$C$5:$C$1005="A")*(MOVIMIENTOS!$D$5:$D$1005="jabas")*(MOVIMIENTOS!$A$5:$A$1005&lt;&gt;"")*(MOVIMIENTOS!$A$5:$A$1005&lt;=$A324)*MOVIMIENTOS!$E$5:$E$1005)-SUMPRODUCT((MOVIMIENTOS!$B$5:$B$1005="VENTA")*(MOVIMIENTOS!$C$5:$C$1005="A")*(MOVIMIENTOS!$D$5:$D$1005="jabas")*(MOVIMIENTOS!$A$5:$A$1005&lt;&gt;"")*(MOVIMIENTOS!$A$5:$A$1005&lt;=$A324)*MOVIMIENTOS!$E$5:$E$1005)+SUMPRODUCT((MOVIMIENTOS!$B$5:$B$1005="AJUSTE")*(MOVIMIENTOS!$C$5:$C$1005="A")*(MOVIMIENTOS!$D$5:$D$1005="jabas")*(MOVIMIENTOS!$A$5:$A$1005&lt;&gt;"")*(MOVIMIENTOS!$A$5:$A$1005&lt;=$A324)*MOVIMIENTOS!$E$5:$E$1005))</f>
        <v/>
      </c>
      <c r="C324" s="63" t="str">
        <f>IF($A324="","",SUMPRODUCT((MOVIMIENTOS!$B$5:$B$1005="SALDO INICIAL")*(MOVIMIENTOS!$C$5:$C$1005="P")*(MOVIMIENTOS!$D$5:$D$1005="jabas")*(MOVIMIENTOS!$A$5:$A$1005&lt;&gt;"")*(MOVIMIENTOS!$A$5:$A$1005&lt;=$A324)*MOVIMIENTOS!$E$5:$E$1005)+SUMPRODUCT((MOVIMIENTOS!$B$5:$B$1005="PROCESO")*(MOVIMIENTOS!$C$5:$C$1005="P")*(MOVIMIENTOS!$D$5:$D$1005="jabas")*(MOVIMIENTOS!$A$5:$A$1005&lt;&gt;"")*(MOVIMIENTOS!$A$5:$A$1005&lt;=$A324)*MOVIMIENTOS!$E$5:$E$1005)-SUMPRODUCT((MOVIMIENTOS!$B$5:$B$1005="ENVÍO A SUPESA")*(MOVIMIENTOS!$C$5:$C$1005="P")*(MOVIMIENTOS!$D$5:$D$1005="jabas")*(MOVIMIENTOS!$A$5:$A$1005&lt;&gt;"")*(MOVIMIENTOS!$A$5:$A$1005&lt;=$A324)*MOVIMIENTOS!$E$5:$E$1005)+SUMPRODUCT((MOVIMIENTOS!$B$5:$B$1005="DEVOLUCIÓN")*(MOVIMIENTOS!$C$5:$C$1005="P")*(MOVIMIENTOS!$D$5:$D$1005="jabas")*(MOVIMIENTOS!$A$5:$A$1005&lt;&gt;"")*(MOVIMIENTOS!$A$5:$A$1005&lt;=$A324)*MOVIMIENTOS!$E$5:$E$1005)-SUMPRODUCT((MOVIMIENTOS!$B$5:$B$1005="TRASIEGO")*(MOVIMIENTOS!$C$5:$C$1005="P")*(MOVIMIENTOS!$D$5:$D$1005="jabas")*(MOVIMIENTOS!$A$5:$A$1005&lt;&gt;"")*(MOVIMIENTOS!$A$5:$A$1005&lt;=$A324)*MOVIMIENTOS!$E$5:$E$1005)-SUMPRODUCT((MOVIMIENTOS!$B$5:$B$1005="REGALO")*(MOVIMIENTOS!$C$5:$C$1005="P")*(MOVIMIENTOS!$D$5:$D$1005="jabas")*(MOVIMIENTOS!$A$5:$A$1005&lt;&gt;"")*(MOVIMIENTOS!$A$5:$A$1005&lt;=$A324)*MOVIMIENTOS!$E$5:$E$1005)-SUMPRODUCT((MOVIMIENTOS!$B$5:$B$1005="VENTA")*(MOVIMIENTOS!$C$5:$C$1005="P")*(MOVIMIENTOS!$D$5:$D$1005="jabas")*(MOVIMIENTOS!$A$5:$A$1005&lt;&gt;"")*(MOVIMIENTOS!$A$5:$A$1005&lt;=$A324)*MOVIMIENTOS!$E$5:$E$1005)+SUMPRODUCT((MOVIMIENTOS!$B$5:$B$1005="AJUSTE")*(MOVIMIENTOS!$C$5:$C$1005="P")*(MOVIMIENTOS!$D$5:$D$1005="jabas")*(MOVIMIENTOS!$A$5:$A$1005&lt;&gt;"")*(MOVIMIENTOS!$A$5:$A$1005&lt;=$A324)*MOVIMIENTOS!$E$5:$E$1005))</f>
        <v/>
      </c>
      <c r="D324" s="63" t="str">
        <f>IF($A324="","",SUMPRODUCT((MOVIMIENTOS!$B$5:$B$1005="SALDO INICIAL")*(MOVIMIENTOS!$C$5:$C$1005="C")*(MOVIMIENTOS!$D$5:$D$1005="jabas")*(MOVIMIENTOS!$A$5:$A$1005&lt;&gt;"")*(MOVIMIENTOS!$A$5:$A$1005&lt;=$A324)*MOVIMIENTOS!$E$5:$E$1005)+SUMPRODUCT((MOVIMIENTOS!$B$5:$B$1005="PROCESO")*(MOVIMIENTOS!$C$5:$C$1005="C")*(MOVIMIENTOS!$D$5:$D$1005="jabas")*(MOVIMIENTOS!$A$5:$A$1005&lt;&gt;"")*(MOVIMIENTOS!$A$5:$A$1005&lt;=$A324)*MOVIMIENTOS!$E$5:$E$1005)-SUMPRODUCT((MOVIMIENTOS!$B$5:$B$1005="ENVÍO A SUPESA")*(MOVIMIENTOS!$C$5:$C$1005="C")*(MOVIMIENTOS!$D$5:$D$1005="jabas")*(MOVIMIENTOS!$A$5:$A$1005&lt;&gt;"")*(MOVIMIENTOS!$A$5:$A$1005&lt;=$A324)*MOVIMIENTOS!$E$5:$E$1005)+SUMPRODUCT((MOVIMIENTOS!$B$5:$B$1005="DEVOLUCIÓN")*(MOVIMIENTOS!$C$5:$C$1005="C")*(MOVIMIENTOS!$D$5:$D$1005="jabas")*(MOVIMIENTOS!$A$5:$A$1005&lt;&gt;"")*(MOVIMIENTOS!$A$5:$A$1005&lt;=$A324)*MOVIMIENTOS!$E$5:$E$1005)-SUMPRODUCT((MOVIMIENTOS!$B$5:$B$1005="TRASIEGO")*(MOVIMIENTOS!$C$5:$C$1005="C")*(MOVIMIENTOS!$D$5:$D$1005="jabas")*(MOVIMIENTOS!$A$5:$A$1005&lt;&gt;"")*(MOVIMIENTOS!$A$5:$A$1005&lt;=$A324)*MOVIMIENTOS!$E$5:$E$1005)-SUMPRODUCT((MOVIMIENTOS!$B$5:$B$1005="REGALO")*(MOVIMIENTOS!$C$5:$C$1005="C")*(MOVIMIENTOS!$D$5:$D$1005="jabas")*(MOVIMIENTOS!$A$5:$A$1005&lt;&gt;"")*(MOVIMIENTOS!$A$5:$A$1005&lt;=$A324)*MOVIMIENTOS!$E$5:$E$1005)-SUMPRODUCT((MOVIMIENTOS!$B$5:$B$1005="VENTA")*(MOVIMIENTOS!$C$5:$C$1005="C")*(MOVIMIENTOS!$D$5:$D$1005="jabas")*(MOVIMIENTOS!$A$5:$A$1005&lt;&gt;"")*(MOVIMIENTOS!$A$5:$A$1005&lt;=$A324)*MOVIMIENTOS!$E$5:$E$1005)+SUMPRODUCT((MOVIMIENTOS!$B$5:$B$1005="AJUSTE")*(MOVIMIENTOS!$C$5:$C$1005="C")*(MOVIMIENTOS!$D$5:$D$1005="jabas")*(MOVIMIENTOS!$A$5:$A$1005&lt;&gt;"")*(MOVIMIENTOS!$A$5:$A$1005&lt;=$A324)*MOVIMIENTOS!$E$5:$E$1005))</f>
        <v/>
      </c>
      <c r="E324" s="63" t="str">
        <f>IF($A324="","",SUMPRODUCT((MOVIMIENTOS!$B$5:$B$1005="SALDO INICIAL")*(MOVIMIENTOS!$C$5:$C$1005="M")*(MOVIMIENTOS!$D$5:$D$1005="jabas")*(MOVIMIENTOS!$A$5:$A$1005&lt;&gt;"")*(MOVIMIENTOS!$A$5:$A$1005&lt;=$A324)*MOVIMIENTOS!$E$5:$E$1005)+SUMPRODUCT((MOVIMIENTOS!$B$5:$B$1005="PROCESO")*(MOVIMIENTOS!$C$5:$C$1005="M")*(MOVIMIENTOS!$D$5:$D$1005="jabas")*(MOVIMIENTOS!$A$5:$A$1005&lt;&gt;"")*(MOVIMIENTOS!$A$5:$A$1005&lt;=$A324)*MOVIMIENTOS!$E$5:$E$1005)-SUMPRODUCT((MOVIMIENTOS!$B$5:$B$1005="ENVÍO A SUPESA")*(MOVIMIENTOS!$C$5:$C$1005="M")*(MOVIMIENTOS!$D$5:$D$1005="jabas")*(MOVIMIENTOS!$A$5:$A$1005&lt;&gt;"")*(MOVIMIENTOS!$A$5:$A$1005&lt;=$A324)*MOVIMIENTOS!$E$5:$E$1005)+SUMPRODUCT((MOVIMIENTOS!$B$5:$B$1005="DEVOLUCIÓN")*(MOVIMIENTOS!$C$5:$C$1005="M")*(MOVIMIENTOS!$D$5:$D$1005="jabas")*(MOVIMIENTOS!$A$5:$A$1005&lt;&gt;"")*(MOVIMIENTOS!$A$5:$A$1005&lt;=$A324)*MOVIMIENTOS!$E$5:$E$1005)-SUMPRODUCT((MOVIMIENTOS!$B$5:$B$1005="TRASIEGO")*(MOVIMIENTOS!$C$5:$C$1005="M")*(MOVIMIENTOS!$D$5:$D$1005="jabas")*(MOVIMIENTOS!$A$5:$A$1005&lt;&gt;"")*(MOVIMIENTOS!$A$5:$A$1005&lt;=$A324)*MOVIMIENTOS!$E$5:$E$1005)-SUMPRODUCT((MOVIMIENTOS!$B$5:$B$1005="REGALO")*(MOVIMIENTOS!$C$5:$C$1005="M")*(MOVIMIENTOS!$D$5:$D$1005="jabas")*(MOVIMIENTOS!$A$5:$A$1005&lt;&gt;"")*(MOVIMIENTOS!$A$5:$A$1005&lt;=$A324)*MOVIMIENTOS!$E$5:$E$1005)-SUMPRODUCT((MOVIMIENTOS!$B$5:$B$1005="VENTA")*(MOVIMIENTOS!$C$5:$C$1005="M")*(MOVIMIENTOS!$D$5:$D$1005="jabas")*(MOVIMIENTOS!$A$5:$A$1005&lt;&gt;"")*(MOVIMIENTOS!$A$5:$A$1005&lt;=$A324)*MOVIMIENTOS!$E$5:$E$1005)+SUMPRODUCT((MOVIMIENTOS!$B$5:$B$1005="AJUSTE")*(MOVIMIENTOS!$C$5:$C$1005="M")*(MOVIMIENTOS!$D$5:$D$1005="jabas")*(MOVIMIENTOS!$A$5:$A$1005&lt;&gt;"")*(MOVIMIENTOS!$A$5:$A$1005&lt;=$A324)*MOVIMIENTOS!$E$5:$E$1005))</f>
        <v/>
      </c>
      <c r="F324" s="63" t="str">
        <f>IF($A324="","",SUMPRODUCT((MOVIMIENTOS!$B$5:$B$1005="SALDO INICIAL")*(MOVIMIENTOS!$C$5:$C$1005="Chancho")*(MOVIMIENTOS!$D$5:$D$1005="sacos")*(MOVIMIENTOS!$A$5:$A$1005&lt;&gt;"")*(MOVIMIENTOS!$A$5:$A$1005&lt;=$A324)*MOVIMIENTOS!$E$5:$E$1005)+SUMPRODUCT((MOVIMIENTOS!$B$5:$B$1005="PROCESO")*(MOVIMIENTOS!$C$5:$C$1005="Chancho")*(MOVIMIENTOS!$D$5:$D$1005="sacos")*(MOVIMIENTOS!$A$5:$A$1005&lt;&gt;"")*(MOVIMIENTOS!$A$5:$A$1005&lt;=$A324)*MOVIMIENTOS!$E$5:$E$1005)-SUMPRODUCT((MOVIMIENTOS!$B$5:$B$1005="VENTA CHANCHO")*(MOVIMIENTOS!$C$5:$C$1005="Chancho")*(MOVIMIENTOS!$D$5:$D$1005="sacos")*(MOVIMIENTOS!$A$5:$A$1005&lt;&gt;"")*(MOVIMIENTOS!$A$5:$A$1005&lt;=$A324)*MOVIMIENTOS!$E$5:$E$1005)-SUMPRODUCT((MOVIMIENTOS!$B$5:$B$1005="REGALO")*(MOVIMIENTOS!$C$5:$C$1005="Chancho")*(MOVIMIENTOS!$D$5:$D$1005="sacos")*(MOVIMIENTOS!$A$5:$A$1005&lt;&gt;"")*(MOVIMIENTOS!$A$5:$A$1005&lt;=$A324)*MOVIMIENTOS!$E$5:$E$1005)-SUMPRODUCT((MOVIMIENTOS!$B$5:$B$1005="VENTA")*(MOVIMIENTOS!$C$5:$C$1005="Chancho")*(MOVIMIENTOS!$D$5:$D$1005="sacos")*(MOVIMIENTOS!$A$5:$A$1005&lt;&gt;"")*(MOVIMIENTOS!$A$5:$A$1005&lt;=$A324)*MOVIMIENTOS!$E$5:$E$1005)+SUMPRODUCT((MOVIMIENTOS!$B$5:$B$1005="AJUSTE")*(MOVIMIENTOS!$C$5:$C$1005="Chancho")*(MOVIMIENTOS!$D$5:$D$1005="sacos")*(MOVIMIENTOS!$A$5:$A$1005&lt;&gt;"")*(MOVIMIENTOS!$A$5:$A$1005&lt;=$A324)*MOVIMIENTOS!$E$5:$E$1005))</f>
        <v/>
      </c>
      <c r="G324" s="95" t="str">
        <f t="shared" si="9"/>
        <v/>
      </c>
      <c r="H324" s="63" t="str">
        <f>IF($A324="","",SUMPRODUCT((((MOVIMIENTOS!$B$5:$B$1005="SALDO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324)*MOVIMIENTOS!$J$5:$J$1005))</f>
        <v/>
      </c>
      <c r="I324" s="63"/>
      <c r="J324" s="63" t="str">
        <f>IF(AND(MOVIMIENTOS!$A323&lt;&gt;"",COUNTIF(MOVIMIENTOS!$A$5:$A322,MOVIMIENTOS!$A323)=0),COUNT(J$4:J323)+1,"")</f>
        <v/>
      </c>
      <c r="K324" s="66">
        <f>MOVIMIENTOS!$A323</f>
        <v>46242</v>
      </c>
      <c r="L324" s="63"/>
      <c r="M324" s="63"/>
      <c r="N324" s="63"/>
    </row>
    <row r="325" spans="1:14" ht="15" customHeight="1" x14ac:dyDescent="0.2">
      <c r="A325" s="63" t="str">
        <f t="shared" ref="A325:A388" si="10">IFERROR(INDEX(K$5:K$1000,MATCH(ROW()-4,J$5:J$1000,0)),"")</f>
        <v/>
      </c>
      <c r="B325" s="63" t="str">
        <f>IF($A325="","",SUMPRODUCT((MOVIMIENTOS!$B$5:$B$1005="SALDO INICIAL")*(MOVIMIENTOS!$C$5:$C$1005="A")*(MOVIMIENTOS!$D$5:$D$1005="jabas")*(MOVIMIENTOS!$A$5:$A$1005&lt;&gt;"")*(MOVIMIENTOS!$A$5:$A$1005&lt;=$A325)*MOVIMIENTOS!$E$5:$E$1005)+SUMPRODUCT((MOVIMIENTOS!$B$5:$B$1005="PROCESO")*(MOVIMIENTOS!$C$5:$C$1005="A")*(MOVIMIENTOS!$D$5:$D$1005="jabas")*(MOVIMIENTOS!$A$5:$A$1005&lt;&gt;"")*(MOVIMIENTOS!$A$5:$A$1005&lt;=$A325)*MOVIMIENTOS!$E$5:$E$1005)-SUMPRODUCT((MOVIMIENTOS!$B$5:$B$1005="ENVÍO A SUPESA")*(MOVIMIENTOS!$C$5:$C$1005="A")*(MOVIMIENTOS!$D$5:$D$1005="jabas")*(MOVIMIENTOS!$A$5:$A$1005&lt;&gt;"")*(MOVIMIENTOS!$A$5:$A$1005&lt;=$A325)*MOVIMIENTOS!$E$5:$E$1005)+SUMPRODUCT((MOVIMIENTOS!$B$5:$B$1005="DEVOLUCIÓN")*(MOVIMIENTOS!$C$5:$C$1005="A")*(MOVIMIENTOS!$D$5:$D$1005="jabas")*(MOVIMIENTOS!$A$5:$A$1005&lt;&gt;"")*(MOVIMIENTOS!$A$5:$A$1005&lt;=$A325)*MOVIMIENTOS!$E$5:$E$1005)-SUMPRODUCT((MOVIMIENTOS!$B$5:$B$1005="TRASIEGO")*(MOVIMIENTOS!$C$5:$C$1005="A")*(MOVIMIENTOS!$D$5:$D$1005="jabas")*(MOVIMIENTOS!$A$5:$A$1005&lt;&gt;"")*(MOVIMIENTOS!$A$5:$A$1005&lt;=$A325)*MOVIMIENTOS!$E$5:$E$1005)-SUMPRODUCT((MOVIMIENTOS!$B$5:$B$1005="REGALO")*(MOVIMIENTOS!$C$5:$C$1005="A")*(MOVIMIENTOS!$D$5:$D$1005="jabas")*(MOVIMIENTOS!$A$5:$A$1005&lt;&gt;"")*(MOVIMIENTOS!$A$5:$A$1005&lt;=$A325)*MOVIMIENTOS!$E$5:$E$1005)-SUMPRODUCT((MOVIMIENTOS!$B$5:$B$1005="VENTA")*(MOVIMIENTOS!$C$5:$C$1005="A")*(MOVIMIENTOS!$D$5:$D$1005="jabas")*(MOVIMIENTOS!$A$5:$A$1005&lt;&gt;"")*(MOVIMIENTOS!$A$5:$A$1005&lt;=$A325)*MOVIMIENTOS!$E$5:$E$1005)+SUMPRODUCT((MOVIMIENTOS!$B$5:$B$1005="AJUSTE")*(MOVIMIENTOS!$C$5:$C$1005="A")*(MOVIMIENTOS!$D$5:$D$1005="jabas")*(MOVIMIENTOS!$A$5:$A$1005&lt;&gt;"")*(MOVIMIENTOS!$A$5:$A$1005&lt;=$A325)*MOVIMIENTOS!$E$5:$E$1005))</f>
        <v/>
      </c>
      <c r="C325" s="63" t="str">
        <f>IF($A325="","",SUMPRODUCT((MOVIMIENTOS!$B$5:$B$1005="SALDO INICIAL")*(MOVIMIENTOS!$C$5:$C$1005="P")*(MOVIMIENTOS!$D$5:$D$1005="jabas")*(MOVIMIENTOS!$A$5:$A$1005&lt;&gt;"")*(MOVIMIENTOS!$A$5:$A$1005&lt;=$A325)*MOVIMIENTOS!$E$5:$E$1005)+SUMPRODUCT((MOVIMIENTOS!$B$5:$B$1005="PROCESO")*(MOVIMIENTOS!$C$5:$C$1005="P")*(MOVIMIENTOS!$D$5:$D$1005="jabas")*(MOVIMIENTOS!$A$5:$A$1005&lt;&gt;"")*(MOVIMIENTOS!$A$5:$A$1005&lt;=$A325)*MOVIMIENTOS!$E$5:$E$1005)-SUMPRODUCT((MOVIMIENTOS!$B$5:$B$1005="ENVÍO A SUPESA")*(MOVIMIENTOS!$C$5:$C$1005="P")*(MOVIMIENTOS!$D$5:$D$1005="jabas")*(MOVIMIENTOS!$A$5:$A$1005&lt;&gt;"")*(MOVIMIENTOS!$A$5:$A$1005&lt;=$A325)*MOVIMIENTOS!$E$5:$E$1005)+SUMPRODUCT((MOVIMIENTOS!$B$5:$B$1005="DEVOLUCIÓN")*(MOVIMIENTOS!$C$5:$C$1005="P")*(MOVIMIENTOS!$D$5:$D$1005="jabas")*(MOVIMIENTOS!$A$5:$A$1005&lt;&gt;"")*(MOVIMIENTOS!$A$5:$A$1005&lt;=$A325)*MOVIMIENTOS!$E$5:$E$1005)-SUMPRODUCT((MOVIMIENTOS!$B$5:$B$1005="TRASIEGO")*(MOVIMIENTOS!$C$5:$C$1005="P")*(MOVIMIENTOS!$D$5:$D$1005="jabas")*(MOVIMIENTOS!$A$5:$A$1005&lt;&gt;"")*(MOVIMIENTOS!$A$5:$A$1005&lt;=$A325)*MOVIMIENTOS!$E$5:$E$1005)-SUMPRODUCT((MOVIMIENTOS!$B$5:$B$1005="REGALO")*(MOVIMIENTOS!$C$5:$C$1005="P")*(MOVIMIENTOS!$D$5:$D$1005="jabas")*(MOVIMIENTOS!$A$5:$A$1005&lt;&gt;"")*(MOVIMIENTOS!$A$5:$A$1005&lt;=$A325)*MOVIMIENTOS!$E$5:$E$1005)-SUMPRODUCT((MOVIMIENTOS!$B$5:$B$1005="VENTA")*(MOVIMIENTOS!$C$5:$C$1005="P")*(MOVIMIENTOS!$D$5:$D$1005="jabas")*(MOVIMIENTOS!$A$5:$A$1005&lt;&gt;"")*(MOVIMIENTOS!$A$5:$A$1005&lt;=$A325)*MOVIMIENTOS!$E$5:$E$1005)+SUMPRODUCT((MOVIMIENTOS!$B$5:$B$1005="AJUSTE")*(MOVIMIENTOS!$C$5:$C$1005="P")*(MOVIMIENTOS!$D$5:$D$1005="jabas")*(MOVIMIENTOS!$A$5:$A$1005&lt;&gt;"")*(MOVIMIENTOS!$A$5:$A$1005&lt;=$A325)*MOVIMIENTOS!$E$5:$E$1005))</f>
        <v/>
      </c>
      <c r="D325" s="63" t="str">
        <f>IF($A325="","",SUMPRODUCT((MOVIMIENTOS!$B$5:$B$1005="SALDO INICIAL")*(MOVIMIENTOS!$C$5:$C$1005="C")*(MOVIMIENTOS!$D$5:$D$1005="jabas")*(MOVIMIENTOS!$A$5:$A$1005&lt;&gt;"")*(MOVIMIENTOS!$A$5:$A$1005&lt;=$A325)*MOVIMIENTOS!$E$5:$E$1005)+SUMPRODUCT((MOVIMIENTOS!$B$5:$B$1005="PROCESO")*(MOVIMIENTOS!$C$5:$C$1005="C")*(MOVIMIENTOS!$D$5:$D$1005="jabas")*(MOVIMIENTOS!$A$5:$A$1005&lt;&gt;"")*(MOVIMIENTOS!$A$5:$A$1005&lt;=$A325)*MOVIMIENTOS!$E$5:$E$1005)-SUMPRODUCT((MOVIMIENTOS!$B$5:$B$1005="ENVÍO A SUPESA")*(MOVIMIENTOS!$C$5:$C$1005="C")*(MOVIMIENTOS!$D$5:$D$1005="jabas")*(MOVIMIENTOS!$A$5:$A$1005&lt;&gt;"")*(MOVIMIENTOS!$A$5:$A$1005&lt;=$A325)*MOVIMIENTOS!$E$5:$E$1005)+SUMPRODUCT((MOVIMIENTOS!$B$5:$B$1005="DEVOLUCIÓN")*(MOVIMIENTOS!$C$5:$C$1005="C")*(MOVIMIENTOS!$D$5:$D$1005="jabas")*(MOVIMIENTOS!$A$5:$A$1005&lt;&gt;"")*(MOVIMIENTOS!$A$5:$A$1005&lt;=$A325)*MOVIMIENTOS!$E$5:$E$1005)-SUMPRODUCT((MOVIMIENTOS!$B$5:$B$1005="TRASIEGO")*(MOVIMIENTOS!$C$5:$C$1005="C")*(MOVIMIENTOS!$D$5:$D$1005="jabas")*(MOVIMIENTOS!$A$5:$A$1005&lt;&gt;"")*(MOVIMIENTOS!$A$5:$A$1005&lt;=$A325)*MOVIMIENTOS!$E$5:$E$1005)-SUMPRODUCT((MOVIMIENTOS!$B$5:$B$1005="REGALO")*(MOVIMIENTOS!$C$5:$C$1005="C")*(MOVIMIENTOS!$D$5:$D$1005="jabas")*(MOVIMIENTOS!$A$5:$A$1005&lt;&gt;"")*(MOVIMIENTOS!$A$5:$A$1005&lt;=$A325)*MOVIMIENTOS!$E$5:$E$1005)-SUMPRODUCT((MOVIMIENTOS!$B$5:$B$1005="VENTA")*(MOVIMIENTOS!$C$5:$C$1005="C")*(MOVIMIENTOS!$D$5:$D$1005="jabas")*(MOVIMIENTOS!$A$5:$A$1005&lt;&gt;"")*(MOVIMIENTOS!$A$5:$A$1005&lt;=$A325)*MOVIMIENTOS!$E$5:$E$1005)+SUMPRODUCT((MOVIMIENTOS!$B$5:$B$1005="AJUSTE")*(MOVIMIENTOS!$C$5:$C$1005="C")*(MOVIMIENTOS!$D$5:$D$1005="jabas")*(MOVIMIENTOS!$A$5:$A$1005&lt;&gt;"")*(MOVIMIENTOS!$A$5:$A$1005&lt;=$A325)*MOVIMIENTOS!$E$5:$E$1005))</f>
        <v/>
      </c>
      <c r="E325" s="63" t="str">
        <f>IF($A325="","",SUMPRODUCT((MOVIMIENTOS!$B$5:$B$1005="SALDO INICIAL")*(MOVIMIENTOS!$C$5:$C$1005="M")*(MOVIMIENTOS!$D$5:$D$1005="jabas")*(MOVIMIENTOS!$A$5:$A$1005&lt;&gt;"")*(MOVIMIENTOS!$A$5:$A$1005&lt;=$A325)*MOVIMIENTOS!$E$5:$E$1005)+SUMPRODUCT((MOVIMIENTOS!$B$5:$B$1005="PROCESO")*(MOVIMIENTOS!$C$5:$C$1005="M")*(MOVIMIENTOS!$D$5:$D$1005="jabas")*(MOVIMIENTOS!$A$5:$A$1005&lt;&gt;"")*(MOVIMIENTOS!$A$5:$A$1005&lt;=$A325)*MOVIMIENTOS!$E$5:$E$1005)-SUMPRODUCT((MOVIMIENTOS!$B$5:$B$1005="ENVÍO A SUPESA")*(MOVIMIENTOS!$C$5:$C$1005="M")*(MOVIMIENTOS!$D$5:$D$1005="jabas")*(MOVIMIENTOS!$A$5:$A$1005&lt;&gt;"")*(MOVIMIENTOS!$A$5:$A$1005&lt;=$A325)*MOVIMIENTOS!$E$5:$E$1005)+SUMPRODUCT((MOVIMIENTOS!$B$5:$B$1005="DEVOLUCIÓN")*(MOVIMIENTOS!$C$5:$C$1005="M")*(MOVIMIENTOS!$D$5:$D$1005="jabas")*(MOVIMIENTOS!$A$5:$A$1005&lt;&gt;"")*(MOVIMIENTOS!$A$5:$A$1005&lt;=$A325)*MOVIMIENTOS!$E$5:$E$1005)-SUMPRODUCT((MOVIMIENTOS!$B$5:$B$1005="TRASIEGO")*(MOVIMIENTOS!$C$5:$C$1005="M")*(MOVIMIENTOS!$D$5:$D$1005="jabas")*(MOVIMIENTOS!$A$5:$A$1005&lt;&gt;"")*(MOVIMIENTOS!$A$5:$A$1005&lt;=$A325)*MOVIMIENTOS!$E$5:$E$1005)-SUMPRODUCT((MOVIMIENTOS!$B$5:$B$1005="REGALO")*(MOVIMIENTOS!$C$5:$C$1005="M")*(MOVIMIENTOS!$D$5:$D$1005="jabas")*(MOVIMIENTOS!$A$5:$A$1005&lt;&gt;"")*(MOVIMIENTOS!$A$5:$A$1005&lt;=$A325)*MOVIMIENTOS!$E$5:$E$1005)-SUMPRODUCT((MOVIMIENTOS!$B$5:$B$1005="VENTA")*(MOVIMIENTOS!$C$5:$C$1005="M")*(MOVIMIENTOS!$D$5:$D$1005="jabas")*(MOVIMIENTOS!$A$5:$A$1005&lt;&gt;"")*(MOVIMIENTOS!$A$5:$A$1005&lt;=$A325)*MOVIMIENTOS!$E$5:$E$1005)+SUMPRODUCT((MOVIMIENTOS!$B$5:$B$1005="AJUSTE")*(MOVIMIENTOS!$C$5:$C$1005="M")*(MOVIMIENTOS!$D$5:$D$1005="jabas")*(MOVIMIENTOS!$A$5:$A$1005&lt;&gt;"")*(MOVIMIENTOS!$A$5:$A$1005&lt;=$A325)*MOVIMIENTOS!$E$5:$E$1005))</f>
        <v/>
      </c>
      <c r="F325" s="63" t="str">
        <f>IF($A325="","",SUMPRODUCT((MOVIMIENTOS!$B$5:$B$1005="SALDO INICIAL")*(MOVIMIENTOS!$C$5:$C$1005="Chancho")*(MOVIMIENTOS!$D$5:$D$1005="sacos")*(MOVIMIENTOS!$A$5:$A$1005&lt;&gt;"")*(MOVIMIENTOS!$A$5:$A$1005&lt;=$A325)*MOVIMIENTOS!$E$5:$E$1005)+SUMPRODUCT((MOVIMIENTOS!$B$5:$B$1005="PROCESO")*(MOVIMIENTOS!$C$5:$C$1005="Chancho")*(MOVIMIENTOS!$D$5:$D$1005="sacos")*(MOVIMIENTOS!$A$5:$A$1005&lt;&gt;"")*(MOVIMIENTOS!$A$5:$A$1005&lt;=$A325)*MOVIMIENTOS!$E$5:$E$1005)-SUMPRODUCT((MOVIMIENTOS!$B$5:$B$1005="VENTA CHANCHO")*(MOVIMIENTOS!$C$5:$C$1005="Chancho")*(MOVIMIENTOS!$D$5:$D$1005="sacos")*(MOVIMIENTOS!$A$5:$A$1005&lt;&gt;"")*(MOVIMIENTOS!$A$5:$A$1005&lt;=$A325)*MOVIMIENTOS!$E$5:$E$1005)-SUMPRODUCT((MOVIMIENTOS!$B$5:$B$1005="REGALO")*(MOVIMIENTOS!$C$5:$C$1005="Chancho")*(MOVIMIENTOS!$D$5:$D$1005="sacos")*(MOVIMIENTOS!$A$5:$A$1005&lt;&gt;"")*(MOVIMIENTOS!$A$5:$A$1005&lt;=$A325)*MOVIMIENTOS!$E$5:$E$1005)-SUMPRODUCT((MOVIMIENTOS!$B$5:$B$1005="VENTA")*(MOVIMIENTOS!$C$5:$C$1005="Chancho")*(MOVIMIENTOS!$D$5:$D$1005="sacos")*(MOVIMIENTOS!$A$5:$A$1005&lt;&gt;"")*(MOVIMIENTOS!$A$5:$A$1005&lt;=$A325)*MOVIMIENTOS!$E$5:$E$1005)+SUMPRODUCT((MOVIMIENTOS!$B$5:$B$1005="AJUSTE")*(MOVIMIENTOS!$C$5:$C$1005="Chancho")*(MOVIMIENTOS!$D$5:$D$1005="sacos")*(MOVIMIENTOS!$A$5:$A$1005&lt;&gt;"")*(MOVIMIENTOS!$A$5:$A$1005&lt;=$A325)*MOVIMIENTOS!$E$5:$E$1005))</f>
        <v/>
      </c>
      <c r="G325" s="95" t="str">
        <f t="shared" ref="G325:G388" si="11">IF($A325="","",SUM(B325:E325))</f>
        <v/>
      </c>
      <c r="H325" s="63" t="str">
        <f>IF($A325="","",SUMPRODUCT((((MOVIMIENTOS!$B$5:$B$1005="SALDO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325)*MOVIMIENTOS!$J$5:$J$1005))</f>
        <v/>
      </c>
      <c r="I325" s="63"/>
      <c r="J325" s="63" t="str">
        <f>IF(AND(MOVIMIENTOS!$A324&lt;&gt;"",COUNTIF(MOVIMIENTOS!$A$5:$A323,MOVIMIENTOS!$A324)=0),COUNT(J$4:J324)+1,"")</f>
        <v/>
      </c>
      <c r="K325" s="66">
        <f>MOVIMIENTOS!$A324</f>
        <v>46242</v>
      </c>
      <c r="L325" s="63"/>
      <c r="M325" s="63"/>
      <c r="N325" s="63"/>
    </row>
    <row r="326" spans="1:14" ht="15" customHeight="1" x14ac:dyDescent="0.2">
      <c r="A326" s="63" t="str">
        <f t="shared" si="10"/>
        <v/>
      </c>
      <c r="B326" s="63" t="str">
        <f>IF($A326="","",SUMPRODUCT((MOVIMIENTOS!$B$5:$B$1005="SALDO INICIAL")*(MOVIMIENTOS!$C$5:$C$1005="A")*(MOVIMIENTOS!$D$5:$D$1005="jabas")*(MOVIMIENTOS!$A$5:$A$1005&lt;&gt;"")*(MOVIMIENTOS!$A$5:$A$1005&lt;=$A326)*MOVIMIENTOS!$E$5:$E$1005)+SUMPRODUCT((MOVIMIENTOS!$B$5:$B$1005="PROCESO")*(MOVIMIENTOS!$C$5:$C$1005="A")*(MOVIMIENTOS!$D$5:$D$1005="jabas")*(MOVIMIENTOS!$A$5:$A$1005&lt;&gt;"")*(MOVIMIENTOS!$A$5:$A$1005&lt;=$A326)*MOVIMIENTOS!$E$5:$E$1005)-SUMPRODUCT((MOVIMIENTOS!$B$5:$B$1005="ENVÍO A SUPESA")*(MOVIMIENTOS!$C$5:$C$1005="A")*(MOVIMIENTOS!$D$5:$D$1005="jabas")*(MOVIMIENTOS!$A$5:$A$1005&lt;&gt;"")*(MOVIMIENTOS!$A$5:$A$1005&lt;=$A326)*MOVIMIENTOS!$E$5:$E$1005)+SUMPRODUCT((MOVIMIENTOS!$B$5:$B$1005="DEVOLUCIÓN")*(MOVIMIENTOS!$C$5:$C$1005="A")*(MOVIMIENTOS!$D$5:$D$1005="jabas")*(MOVIMIENTOS!$A$5:$A$1005&lt;&gt;"")*(MOVIMIENTOS!$A$5:$A$1005&lt;=$A326)*MOVIMIENTOS!$E$5:$E$1005)-SUMPRODUCT((MOVIMIENTOS!$B$5:$B$1005="TRASIEGO")*(MOVIMIENTOS!$C$5:$C$1005="A")*(MOVIMIENTOS!$D$5:$D$1005="jabas")*(MOVIMIENTOS!$A$5:$A$1005&lt;&gt;"")*(MOVIMIENTOS!$A$5:$A$1005&lt;=$A326)*MOVIMIENTOS!$E$5:$E$1005)-SUMPRODUCT((MOVIMIENTOS!$B$5:$B$1005="REGALO")*(MOVIMIENTOS!$C$5:$C$1005="A")*(MOVIMIENTOS!$D$5:$D$1005="jabas")*(MOVIMIENTOS!$A$5:$A$1005&lt;&gt;"")*(MOVIMIENTOS!$A$5:$A$1005&lt;=$A326)*MOVIMIENTOS!$E$5:$E$1005)-SUMPRODUCT((MOVIMIENTOS!$B$5:$B$1005="VENTA")*(MOVIMIENTOS!$C$5:$C$1005="A")*(MOVIMIENTOS!$D$5:$D$1005="jabas")*(MOVIMIENTOS!$A$5:$A$1005&lt;&gt;"")*(MOVIMIENTOS!$A$5:$A$1005&lt;=$A326)*MOVIMIENTOS!$E$5:$E$1005)+SUMPRODUCT((MOVIMIENTOS!$B$5:$B$1005="AJUSTE")*(MOVIMIENTOS!$C$5:$C$1005="A")*(MOVIMIENTOS!$D$5:$D$1005="jabas")*(MOVIMIENTOS!$A$5:$A$1005&lt;&gt;"")*(MOVIMIENTOS!$A$5:$A$1005&lt;=$A326)*MOVIMIENTOS!$E$5:$E$1005))</f>
        <v/>
      </c>
      <c r="C326" s="63" t="str">
        <f>IF($A326="","",SUMPRODUCT((MOVIMIENTOS!$B$5:$B$1005="SALDO INICIAL")*(MOVIMIENTOS!$C$5:$C$1005="P")*(MOVIMIENTOS!$D$5:$D$1005="jabas")*(MOVIMIENTOS!$A$5:$A$1005&lt;&gt;"")*(MOVIMIENTOS!$A$5:$A$1005&lt;=$A326)*MOVIMIENTOS!$E$5:$E$1005)+SUMPRODUCT((MOVIMIENTOS!$B$5:$B$1005="PROCESO")*(MOVIMIENTOS!$C$5:$C$1005="P")*(MOVIMIENTOS!$D$5:$D$1005="jabas")*(MOVIMIENTOS!$A$5:$A$1005&lt;&gt;"")*(MOVIMIENTOS!$A$5:$A$1005&lt;=$A326)*MOVIMIENTOS!$E$5:$E$1005)-SUMPRODUCT((MOVIMIENTOS!$B$5:$B$1005="ENVÍO A SUPESA")*(MOVIMIENTOS!$C$5:$C$1005="P")*(MOVIMIENTOS!$D$5:$D$1005="jabas")*(MOVIMIENTOS!$A$5:$A$1005&lt;&gt;"")*(MOVIMIENTOS!$A$5:$A$1005&lt;=$A326)*MOVIMIENTOS!$E$5:$E$1005)+SUMPRODUCT((MOVIMIENTOS!$B$5:$B$1005="DEVOLUCIÓN")*(MOVIMIENTOS!$C$5:$C$1005="P")*(MOVIMIENTOS!$D$5:$D$1005="jabas")*(MOVIMIENTOS!$A$5:$A$1005&lt;&gt;"")*(MOVIMIENTOS!$A$5:$A$1005&lt;=$A326)*MOVIMIENTOS!$E$5:$E$1005)-SUMPRODUCT((MOVIMIENTOS!$B$5:$B$1005="TRASIEGO")*(MOVIMIENTOS!$C$5:$C$1005="P")*(MOVIMIENTOS!$D$5:$D$1005="jabas")*(MOVIMIENTOS!$A$5:$A$1005&lt;&gt;"")*(MOVIMIENTOS!$A$5:$A$1005&lt;=$A326)*MOVIMIENTOS!$E$5:$E$1005)-SUMPRODUCT((MOVIMIENTOS!$B$5:$B$1005="REGALO")*(MOVIMIENTOS!$C$5:$C$1005="P")*(MOVIMIENTOS!$D$5:$D$1005="jabas")*(MOVIMIENTOS!$A$5:$A$1005&lt;&gt;"")*(MOVIMIENTOS!$A$5:$A$1005&lt;=$A326)*MOVIMIENTOS!$E$5:$E$1005)-SUMPRODUCT((MOVIMIENTOS!$B$5:$B$1005="VENTA")*(MOVIMIENTOS!$C$5:$C$1005="P")*(MOVIMIENTOS!$D$5:$D$1005="jabas")*(MOVIMIENTOS!$A$5:$A$1005&lt;&gt;"")*(MOVIMIENTOS!$A$5:$A$1005&lt;=$A326)*MOVIMIENTOS!$E$5:$E$1005)+SUMPRODUCT((MOVIMIENTOS!$B$5:$B$1005="AJUSTE")*(MOVIMIENTOS!$C$5:$C$1005="P")*(MOVIMIENTOS!$D$5:$D$1005="jabas")*(MOVIMIENTOS!$A$5:$A$1005&lt;&gt;"")*(MOVIMIENTOS!$A$5:$A$1005&lt;=$A326)*MOVIMIENTOS!$E$5:$E$1005))</f>
        <v/>
      </c>
      <c r="D326" s="63" t="str">
        <f>IF($A326="","",SUMPRODUCT((MOVIMIENTOS!$B$5:$B$1005="SALDO INICIAL")*(MOVIMIENTOS!$C$5:$C$1005="C")*(MOVIMIENTOS!$D$5:$D$1005="jabas")*(MOVIMIENTOS!$A$5:$A$1005&lt;&gt;"")*(MOVIMIENTOS!$A$5:$A$1005&lt;=$A326)*MOVIMIENTOS!$E$5:$E$1005)+SUMPRODUCT((MOVIMIENTOS!$B$5:$B$1005="PROCESO")*(MOVIMIENTOS!$C$5:$C$1005="C")*(MOVIMIENTOS!$D$5:$D$1005="jabas")*(MOVIMIENTOS!$A$5:$A$1005&lt;&gt;"")*(MOVIMIENTOS!$A$5:$A$1005&lt;=$A326)*MOVIMIENTOS!$E$5:$E$1005)-SUMPRODUCT((MOVIMIENTOS!$B$5:$B$1005="ENVÍO A SUPESA")*(MOVIMIENTOS!$C$5:$C$1005="C")*(MOVIMIENTOS!$D$5:$D$1005="jabas")*(MOVIMIENTOS!$A$5:$A$1005&lt;&gt;"")*(MOVIMIENTOS!$A$5:$A$1005&lt;=$A326)*MOVIMIENTOS!$E$5:$E$1005)+SUMPRODUCT((MOVIMIENTOS!$B$5:$B$1005="DEVOLUCIÓN")*(MOVIMIENTOS!$C$5:$C$1005="C")*(MOVIMIENTOS!$D$5:$D$1005="jabas")*(MOVIMIENTOS!$A$5:$A$1005&lt;&gt;"")*(MOVIMIENTOS!$A$5:$A$1005&lt;=$A326)*MOVIMIENTOS!$E$5:$E$1005)-SUMPRODUCT((MOVIMIENTOS!$B$5:$B$1005="TRASIEGO")*(MOVIMIENTOS!$C$5:$C$1005="C")*(MOVIMIENTOS!$D$5:$D$1005="jabas")*(MOVIMIENTOS!$A$5:$A$1005&lt;&gt;"")*(MOVIMIENTOS!$A$5:$A$1005&lt;=$A326)*MOVIMIENTOS!$E$5:$E$1005)-SUMPRODUCT((MOVIMIENTOS!$B$5:$B$1005="REGALO")*(MOVIMIENTOS!$C$5:$C$1005="C")*(MOVIMIENTOS!$D$5:$D$1005="jabas")*(MOVIMIENTOS!$A$5:$A$1005&lt;&gt;"")*(MOVIMIENTOS!$A$5:$A$1005&lt;=$A326)*MOVIMIENTOS!$E$5:$E$1005)-SUMPRODUCT((MOVIMIENTOS!$B$5:$B$1005="VENTA")*(MOVIMIENTOS!$C$5:$C$1005="C")*(MOVIMIENTOS!$D$5:$D$1005="jabas")*(MOVIMIENTOS!$A$5:$A$1005&lt;&gt;"")*(MOVIMIENTOS!$A$5:$A$1005&lt;=$A326)*MOVIMIENTOS!$E$5:$E$1005)+SUMPRODUCT((MOVIMIENTOS!$B$5:$B$1005="AJUSTE")*(MOVIMIENTOS!$C$5:$C$1005="C")*(MOVIMIENTOS!$D$5:$D$1005="jabas")*(MOVIMIENTOS!$A$5:$A$1005&lt;&gt;"")*(MOVIMIENTOS!$A$5:$A$1005&lt;=$A326)*MOVIMIENTOS!$E$5:$E$1005))</f>
        <v/>
      </c>
      <c r="E326" s="63" t="str">
        <f>IF($A326="","",SUMPRODUCT((MOVIMIENTOS!$B$5:$B$1005="SALDO INICIAL")*(MOVIMIENTOS!$C$5:$C$1005="M")*(MOVIMIENTOS!$D$5:$D$1005="jabas")*(MOVIMIENTOS!$A$5:$A$1005&lt;&gt;"")*(MOVIMIENTOS!$A$5:$A$1005&lt;=$A326)*MOVIMIENTOS!$E$5:$E$1005)+SUMPRODUCT((MOVIMIENTOS!$B$5:$B$1005="PROCESO")*(MOVIMIENTOS!$C$5:$C$1005="M")*(MOVIMIENTOS!$D$5:$D$1005="jabas")*(MOVIMIENTOS!$A$5:$A$1005&lt;&gt;"")*(MOVIMIENTOS!$A$5:$A$1005&lt;=$A326)*MOVIMIENTOS!$E$5:$E$1005)-SUMPRODUCT((MOVIMIENTOS!$B$5:$B$1005="ENVÍO A SUPESA")*(MOVIMIENTOS!$C$5:$C$1005="M")*(MOVIMIENTOS!$D$5:$D$1005="jabas")*(MOVIMIENTOS!$A$5:$A$1005&lt;&gt;"")*(MOVIMIENTOS!$A$5:$A$1005&lt;=$A326)*MOVIMIENTOS!$E$5:$E$1005)+SUMPRODUCT((MOVIMIENTOS!$B$5:$B$1005="DEVOLUCIÓN")*(MOVIMIENTOS!$C$5:$C$1005="M")*(MOVIMIENTOS!$D$5:$D$1005="jabas")*(MOVIMIENTOS!$A$5:$A$1005&lt;&gt;"")*(MOVIMIENTOS!$A$5:$A$1005&lt;=$A326)*MOVIMIENTOS!$E$5:$E$1005)-SUMPRODUCT((MOVIMIENTOS!$B$5:$B$1005="TRASIEGO")*(MOVIMIENTOS!$C$5:$C$1005="M")*(MOVIMIENTOS!$D$5:$D$1005="jabas")*(MOVIMIENTOS!$A$5:$A$1005&lt;&gt;"")*(MOVIMIENTOS!$A$5:$A$1005&lt;=$A326)*MOVIMIENTOS!$E$5:$E$1005)-SUMPRODUCT((MOVIMIENTOS!$B$5:$B$1005="REGALO")*(MOVIMIENTOS!$C$5:$C$1005="M")*(MOVIMIENTOS!$D$5:$D$1005="jabas")*(MOVIMIENTOS!$A$5:$A$1005&lt;&gt;"")*(MOVIMIENTOS!$A$5:$A$1005&lt;=$A326)*MOVIMIENTOS!$E$5:$E$1005)-SUMPRODUCT((MOVIMIENTOS!$B$5:$B$1005="VENTA")*(MOVIMIENTOS!$C$5:$C$1005="M")*(MOVIMIENTOS!$D$5:$D$1005="jabas")*(MOVIMIENTOS!$A$5:$A$1005&lt;&gt;"")*(MOVIMIENTOS!$A$5:$A$1005&lt;=$A326)*MOVIMIENTOS!$E$5:$E$1005)+SUMPRODUCT((MOVIMIENTOS!$B$5:$B$1005="AJUSTE")*(MOVIMIENTOS!$C$5:$C$1005="M")*(MOVIMIENTOS!$D$5:$D$1005="jabas")*(MOVIMIENTOS!$A$5:$A$1005&lt;&gt;"")*(MOVIMIENTOS!$A$5:$A$1005&lt;=$A326)*MOVIMIENTOS!$E$5:$E$1005))</f>
        <v/>
      </c>
      <c r="F326" s="63" t="str">
        <f>IF($A326="","",SUMPRODUCT((MOVIMIENTOS!$B$5:$B$1005="SALDO INICIAL")*(MOVIMIENTOS!$C$5:$C$1005="Chancho")*(MOVIMIENTOS!$D$5:$D$1005="sacos")*(MOVIMIENTOS!$A$5:$A$1005&lt;&gt;"")*(MOVIMIENTOS!$A$5:$A$1005&lt;=$A326)*MOVIMIENTOS!$E$5:$E$1005)+SUMPRODUCT((MOVIMIENTOS!$B$5:$B$1005="PROCESO")*(MOVIMIENTOS!$C$5:$C$1005="Chancho")*(MOVIMIENTOS!$D$5:$D$1005="sacos")*(MOVIMIENTOS!$A$5:$A$1005&lt;&gt;"")*(MOVIMIENTOS!$A$5:$A$1005&lt;=$A326)*MOVIMIENTOS!$E$5:$E$1005)-SUMPRODUCT((MOVIMIENTOS!$B$5:$B$1005="VENTA CHANCHO")*(MOVIMIENTOS!$C$5:$C$1005="Chancho")*(MOVIMIENTOS!$D$5:$D$1005="sacos")*(MOVIMIENTOS!$A$5:$A$1005&lt;&gt;"")*(MOVIMIENTOS!$A$5:$A$1005&lt;=$A326)*MOVIMIENTOS!$E$5:$E$1005)-SUMPRODUCT((MOVIMIENTOS!$B$5:$B$1005="REGALO")*(MOVIMIENTOS!$C$5:$C$1005="Chancho")*(MOVIMIENTOS!$D$5:$D$1005="sacos")*(MOVIMIENTOS!$A$5:$A$1005&lt;&gt;"")*(MOVIMIENTOS!$A$5:$A$1005&lt;=$A326)*MOVIMIENTOS!$E$5:$E$1005)-SUMPRODUCT((MOVIMIENTOS!$B$5:$B$1005="VENTA")*(MOVIMIENTOS!$C$5:$C$1005="Chancho")*(MOVIMIENTOS!$D$5:$D$1005="sacos")*(MOVIMIENTOS!$A$5:$A$1005&lt;&gt;"")*(MOVIMIENTOS!$A$5:$A$1005&lt;=$A326)*MOVIMIENTOS!$E$5:$E$1005)+SUMPRODUCT((MOVIMIENTOS!$B$5:$B$1005="AJUSTE")*(MOVIMIENTOS!$C$5:$C$1005="Chancho")*(MOVIMIENTOS!$D$5:$D$1005="sacos")*(MOVIMIENTOS!$A$5:$A$1005&lt;&gt;"")*(MOVIMIENTOS!$A$5:$A$1005&lt;=$A326)*MOVIMIENTOS!$E$5:$E$1005))</f>
        <v/>
      </c>
      <c r="G326" s="95" t="str">
        <f t="shared" si="11"/>
        <v/>
      </c>
      <c r="H326" s="63" t="str">
        <f>IF($A326="","",SUMPRODUCT((((MOVIMIENTOS!$B$5:$B$1005="SALDO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326)*MOVIMIENTOS!$J$5:$J$1005))</f>
        <v/>
      </c>
      <c r="I326" s="63"/>
      <c r="J326" s="63" t="str">
        <f>IF(AND(MOVIMIENTOS!$A325&lt;&gt;"",COUNTIF(MOVIMIENTOS!$A$5:$A324,MOVIMIENTOS!$A325)=0),COUNT(J$4:J325)+1,"")</f>
        <v/>
      </c>
      <c r="K326" s="66">
        <f>MOVIMIENTOS!$A325</f>
        <v>46242</v>
      </c>
      <c r="L326" s="63"/>
      <c r="M326" s="63"/>
      <c r="N326" s="63"/>
    </row>
    <row r="327" spans="1:14" ht="15" customHeight="1" x14ac:dyDescent="0.2">
      <c r="A327" s="63" t="str">
        <f t="shared" si="10"/>
        <v/>
      </c>
      <c r="B327" s="63" t="str">
        <f>IF($A327="","",SUMPRODUCT((MOVIMIENTOS!$B$5:$B$1005="SALDO INICIAL")*(MOVIMIENTOS!$C$5:$C$1005="A")*(MOVIMIENTOS!$D$5:$D$1005="jabas")*(MOVIMIENTOS!$A$5:$A$1005&lt;&gt;"")*(MOVIMIENTOS!$A$5:$A$1005&lt;=$A327)*MOVIMIENTOS!$E$5:$E$1005)+SUMPRODUCT((MOVIMIENTOS!$B$5:$B$1005="PROCESO")*(MOVIMIENTOS!$C$5:$C$1005="A")*(MOVIMIENTOS!$D$5:$D$1005="jabas")*(MOVIMIENTOS!$A$5:$A$1005&lt;&gt;"")*(MOVIMIENTOS!$A$5:$A$1005&lt;=$A327)*MOVIMIENTOS!$E$5:$E$1005)-SUMPRODUCT((MOVIMIENTOS!$B$5:$B$1005="ENVÍO A SUPESA")*(MOVIMIENTOS!$C$5:$C$1005="A")*(MOVIMIENTOS!$D$5:$D$1005="jabas")*(MOVIMIENTOS!$A$5:$A$1005&lt;&gt;"")*(MOVIMIENTOS!$A$5:$A$1005&lt;=$A327)*MOVIMIENTOS!$E$5:$E$1005)+SUMPRODUCT((MOVIMIENTOS!$B$5:$B$1005="DEVOLUCIÓN")*(MOVIMIENTOS!$C$5:$C$1005="A")*(MOVIMIENTOS!$D$5:$D$1005="jabas")*(MOVIMIENTOS!$A$5:$A$1005&lt;&gt;"")*(MOVIMIENTOS!$A$5:$A$1005&lt;=$A327)*MOVIMIENTOS!$E$5:$E$1005)-SUMPRODUCT((MOVIMIENTOS!$B$5:$B$1005="TRASIEGO")*(MOVIMIENTOS!$C$5:$C$1005="A")*(MOVIMIENTOS!$D$5:$D$1005="jabas")*(MOVIMIENTOS!$A$5:$A$1005&lt;&gt;"")*(MOVIMIENTOS!$A$5:$A$1005&lt;=$A327)*MOVIMIENTOS!$E$5:$E$1005)-SUMPRODUCT((MOVIMIENTOS!$B$5:$B$1005="REGALO")*(MOVIMIENTOS!$C$5:$C$1005="A")*(MOVIMIENTOS!$D$5:$D$1005="jabas")*(MOVIMIENTOS!$A$5:$A$1005&lt;&gt;"")*(MOVIMIENTOS!$A$5:$A$1005&lt;=$A327)*MOVIMIENTOS!$E$5:$E$1005)-SUMPRODUCT((MOVIMIENTOS!$B$5:$B$1005="VENTA")*(MOVIMIENTOS!$C$5:$C$1005="A")*(MOVIMIENTOS!$D$5:$D$1005="jabas")*(MOVIMIENTOS!$A$5:$A$1005&lt;&gt;"")*(MOVIMIENTOS!$A$5:$A$1005&lt;=$A327)*MOVIMIENTOS!$E$5:$E$1005)+SUMPRODUCT((MOVIMIENTOS!$B$5:$B$1005="AJUSTE")*(MOVIMIENTOS!$C$5:$C$1005="A")*(MOVIMIENTOS!$D$5:$D$1005="jabas")*(MOVIMIENTOS!$A$5:$A$1005&lt;&gt;"")*(MOVIMIENTOS!$A$5:$A$1005&lt;=$A327)*MOVIMIENTOS!$E$5:$E$1005))</f>
        <v/>
      </c>
      <c r="C327" s="63" t="str">
        <f>IF($A327="","",SUMPRODUCT((MOVIMIENTOS!$B$5:$B$1005="SALDO INICIAL")*(MOVIMIENTOS!$C$5:$C$1005="P")*(MOVIMIENTOS!$D$5:$D$1005="jabas")*(MOVIMIENTOS!$A$5:$A$1005&lt;&gt;"")*(MOVIMIENTOS!$A$5:$A$1005&lt;=$A327)*MOVIMIENTOS!$E$5:$E$1005)+SUMPRODUCT((MOVIMIENTOS!$B$5:$B$1005="PROCESO")*(MOVIMIENTOS!$C$5:$C$1005="P")*(MOVIMIENTOS!$D$5:$D$1005="jabas")*(MOVIMIENTOS!$A$5:$A$1005&lt;&gt;"")*(MOVIMIENTOS!$A$5:$A$1005&lt;=$A327)*MOVIMIENTOS!$E$5:$E$1005)-SUMPRODUCT((MOVIMIENTOS!$B$5:$B$1005="ENVÍO A SUPESA")*(MOVIMIENTOS!$C$5:$C$1005="P")*(MOVIMIENTOS!$D$5:$D$1005="jabas")*(MOVIMIENTOS!$A$5:$A$1005&lt;&gt;"")*(MOVIMIENTOS!$A$5:$A$1005&lt;=$A327)*MOVIMIENTOS!$E$5:$E$1005)+SUMPRODUCT((MOVIMIENTOS!$B$5:$B$1005="DEVOLUCIÓN")*(MOVIMIENTOS!$C$5:$C$1005="P")*(MOVIMIENTOS!$D$5:$D$1005="jabas")*(MOVIMIENTOS!$A$5:$A$1005&lt;&gt;"")*(MOVIMIENTOS!$A$5:$A$1005&lt;=$A327)*MOVIMIENTOS!$E$5:$E$1005)-SUMPRODUCT((MOVIMIENTOS!$B$5:$B$1005="TRASIEGO")*(MOVIMIENTOS!$C$5:$C$1005="P")*(MOVIMIENTOS!$D$5:$D$1005="jabas")*(MOVIMIENTOS!$A$5:$A$1005&lt;&gt;"")*(MOVIMIENTOS!$A$5:$A$1005&lt;=$A327)*MOVIMIENTOS!$E$5:$E$1005)-SUMPRODUCT((MOVIMIENTOS!$B$5:$B$1005="REGALO")*(MOVIMIENTOS!$C$5:$C$1005="P")*(MOVIMIENTOS!$D$5:$D$1005="jabas")*(MOVIMIENTOS!$A$5:$A$1005&lt;&gt;"")*(MOVIMIENTOS!$A$5:$A$1005&lt;=$A327)*MOVIMIENTOS!$E$5:$E$1005)-SUMPRODUCT((MOVIMIENTOS!$B$5:$B$1005="VENTA")*(MOVIMIENTOS!$C$5:$C$1005="P")*(MOVIMIENTOS!$D$5:$D$1005="jabas")*(MOVIMIENTOS!$A$5:$A$1005&lt;&gt;"")*(MOVIMIENTOS!$A$5:$A$1005&lt;=$A327)*MOVIMIENTOS!$E$5:$E$1005)+SUMPRODUCT((MOVIMIENTOS!$B$5:$B$1005="AJUSTE")*(MOVIMIENTOS!$C$5:$C$1005="P")*(MOVIMIENTOS!$D$5:$D$1005="jabas")*(MOVIMIENTOS!$A$5:$A$1005&lt;&gt;"")*(MOVIMIENTOS!$A$5:$A$1005&lt;=$A327)*MOVIMIENTOS!$E$5:$E$1005))</f>
        <v/>
      </c>
      <c r="D327" s="63" t="str">
        <f>IF($A327="","",SUMPRODUCT((MOVIMIENTOS!$B$5:$B$1005="SALDO INICIAL")*(MOVIMIENTOS!$C$5:$C$1005="C")*(MOVIMIENTOS!$D$5:$D$1005="jabas")*(MOVIMIENTOS!$A$5:$A$1005&lt;&gt;"")*(MOVIMIENTOS!$A$5:$A$1005&lt;=$A327)*MOVIMIENTOS!$E$5:$E$1005)+SUMPRODUCT((MOVIMIENTOS!$B$5:$B$1005="PROCESO")*(MOVIMIENTOS!$C$5:$C$1005="C")*(MOVIMIENTOS!$D$5:$D$1005="jabas")*(MOVIMIENTOS!$A$5:$A$1005&lt;&gt;"")*(MOVIMIENTOS!$A$5:$A$1005&lt;=$A327)*MOVIMIENTOS!$E$5:$E$1005)-SUMPRODUCT((MOVIMIENTOS!$B$5:$B$1005="ENVÍO A SUPESA")*(MOVIMIENTOS!$C$5:$C$1005="C")*(MOVIMIENTOS!$D$5:$D$1005="jabas")*(MOVIMIENTOS!$A$5:$A$1005&lt;&gt;"")*(MOVIMIENTOS!$A$5:$A$1005&lt;=$A327)*MOVIMIENTOS!$E$5:$E$1005)+SUMPRODUCT((MOVIMIENTOS!$B$5:$B$1005="DEVOLUCIÓN")*(MOVIMIENTOS!$C$5:$C$1005="C")*(MOVIMIENTOS!$D$5:$D$1005="jabas")*(MOVIMIENTOS!$A$5:$A$1005&lt;&gt;"")*(MOVIMIENTOS!$A$5:$A$1005&lt;=$A327)*MOVIMIENTOS!$E$5:$E$1005)-SUMPRODUCT((MOVIMIENTOS!$B$5:$B$1005="TRASIEGO")*(MOVIMIENTOS!$C$5:$C$1005="C")*(MOVIMIENTOS!$D$5:$D$1005="jabas")*(MOVIMIENTOS!$A$5:$A$1005&lt;&gt;"")*(MOVIMIENTOS!$A$5:$A$1005&lt;=$A327)*MOVIMIENTOS!$E$5:$E$1005)-SUMPRODUCT((MOVIMIENTOS!$B$5:$B$1005="REGALO")*(MOVIMIENTOS!$C$5:$C$1005="C")*(MOVIMIENTOS!$D$5:$D$1005="jabas")*(MOVIMIENTOS!$A$5:$A$1005&lt;&gt;"")*(MOVIMIENTOS!$A$5:$A$1005&lt;=$A327)*MOVIMIENTOS!$E$5:$E$1005)-SUMPRODUCT((MOVIMIENTOS!$B$5:$B$1005="VENTA")*(MOVIMIENTOS!$C$5:$C$1005="C")*(MOVIMIENTOS!$D$5:$D$1005="jabas")*(MOVIMIENTOS!$A$5:$A$1005&lt;&gt;"")*(MOVIMIENTOS!$A$5:$A$1005&lt;=$A327)*MOVIMIENTOS!$E$5:$E$1005)+SUMPRODUCT((MOVIMIENTOS!$B$5:$B$1005="AJUSTE")*(MOVIMIENTOS!$C$5:$C$1005="C")*(MOVIMIENTOS!$D$5:$D$1005="jabas")*(MOVIMIENTOS!$A$5:$A$1005&lt;&gt;"")*(MOVIMIENTOS!$A$5:$A$1005&lt;=$A327)*MOVIMIENTOS!$E$5:$E$1005))</f>
        <v/>
      </c>
      <c r="E327" s="63" t="str">
        <f>IF($A327="","",SUMPRODUCT((MOVIMIENTOS!$B$5:$B$1005="SALDO INICIAL")*(MOVIMIENTOS!$C$5:$C$1005="M")*(MOVIMIENTOS!$D$5:$D$1005="jabas")*(MOVIMIENTOS!$A$5:$A$1005&lt;&gt;"")*(MOVIMIENTOS!$A$5:$A$1005&lt;=$A327)*MOVIMIENTOS!$E$5:$E$1005)+SUMPRODUCT((MOVIMIENTOS!$B$5:$B$1005="PROCESO")*(MOVIMIENTOS!$C$5:$C$1005="M")*(MOVIMIENTOS!$D$5:$D$1005="jabas")*(MOVIMIENTOS!$A$5:$A$1005&lt;&gt;"")*(MOVIMIENTOS!$A$5:$A$1005&lt;=$A327)*MOVIMIENTOS!$E$5:$E$1005)-SUMPRODUCT((MOVIMIENTOS!$B$5:$B$1005="ENVÍO A SUPESA")*(MOVIMIENTOS!$C$5:$C$1005="M")*(MOVIMIENTOS!$D$5:$D$1005="jabas")*(MOVIMIENTOS!$A$5:$A$1005&lt;&gt;"")*(MOVIMIENTOS!$A$5:$A$1005&lt;=$A327)*MOVIMIENTOS!$E$5:$E$1005)+SUMPRODUCT((MOVIMIENTOS!$B$5:$B$1005="DEVOLUCIÓN")*(MOVIMIENTOS!$C$5:$C$1005="M")*(MOVIMIENTOS!$D$5:$D$1005="jabas")*(MOVIMIENTOS!$A$5:$A$1005&lt;&gt;"")*(MOVIMIENTOS!$A$5:$A$1005&lt;=$A327)*MOVIMIENTOS!$E$5:$E$1005)-SUMPRODUCT((MOVIMIENTOS!$B$5:$B$1005="TRASIEGO")*(MOVIMIENTOS!$C$5:$C$1005="M")*(MOVIMIENTOS!$D$5:$D$1005="jabas")*(MOVIMIENTOS!$A$5:$A$1005&lt;&gt;"")*(MOVIMIENTOS!$A$5:$A$1005&lt;=$A327)*MOVIMIENTOS!$E$5:$E$1005)-SUMPRODUCT((MOVIMIENTOS!$B$5:$B$1005="REGALO")*(MOVIMIENTOS!$C$5:$C$1005="M")*(MOVIMIENTOS!$D$5:$D$1005="jabas")*(MOVIMIENTOS!$A$5:$A$1005&lt;&gt;"")*(MOVIMIENTOS!$A$5:$A$1005&lt;=$A327)*MOVIMIENTOS!$E$5:$E$1005)-SUMPRODUCT((MOVIMIENTOS!$B$5:$B$1005="VENTA")*(MOVIMIENTOS!$C$5:$C$1005="M")*(MOVIMIENTOS!$D$5:$D$1005="jabas")*(MOVIMIENTOS!$A$5:$A$1005&lt;&gt;"")*(MOVIMIENTOS!$A$5:$A$1005&lt;=$A327)*MOVIMIENTOS!$E$5:$E$1005)+SUMPRODUCT((MOVIMIENTOS!$B$5:$B$1005="AJUSTE")*(MOVIMIENTOS!$C$5:$C$1005="M")*(MOVIMIENTOS!$D$5:$D$1005="jabas")*(MOVIMIENTOS!$A$5:$A$1005&lt;&gt;"")*(MOVIMIENTOS!$A$5:$A$1005&lt;=$A327)*MOVIMIENTOS!$E$5:$E$1005))</f>
        <v/>
      </c>
      <c r="F327" s="63" t="str">
        <f>IF($A327="","",SUMPRODUCT((MOVIMIENTOS!$B$5:$B$1005="SALDO INICIAL")*(MOVIMIENTOS!$C$5:$C$1005="Chancho")*(MOVIMIENTOS!$D$5:$D$1005="sacos")*(MOVIMIENTOS!$A$5:$A$1005&lt;&gt;"")*(MOVIMIENTOS!$A$5:$A$1005&lt;=$A327)*MOVIMIENTOS!$E$5:$E$1005)+SUMPRODUCT((MOVIMIENTOS!$B$5:$B$1005="PROCESO")*(MOVIMIENTOS!$C$5:$C$1005="Chancho")*(MOVIMIENTOS!$D$5:$D$1005="sacos")*(MOVIMIENTOS!$A$5:$A$1005&lt;&gt;"")*(MOVIMIENTOS!$A$5:$A$1005&lt;=$A327)*MOVIMIENTOS!$E$5:$E$1005)-SUMPRODUCT((MOVIMIENTOS!$B$5:$B$1005="VENTA CHANCHO")*(MOVIMIENTOS!$C$5:$C$1005="Chancho")*(MOVIMIENTOS!$D$5:$D$1005="sacos")*(MOVIMIENTOS!$A$5:$A$1005&lt;&gt;"")*(MOVIMIENTOS!$A$5:$A$1005&lt;=$A327)*MOVIMIENTOS!$E$5:$E$1005)-SUMPRODUCT((MOVIMIENTOS!$B$5:$B$1005="REGALO")*(MOVIMIENTOS!$C$5:$C$1005="Chancho")*(MOVIMIENTOS!$D$5:$D$1005="sacos")*(MOVIMIENTOS!$A$5:$A$1005&lt;&gt;"")*(MOVIMIENTOS!$A$5:$A$1005&lt;=$A327)*MOVIMIENTOS!$E$5:$E$1005)-SUMPRODUCT((MOVIMIENTOS!$B$5:$B$1005="VENTA")*(MOVIMIENTOS!$C$5:$C$1005="Chancho")*(MOVIMIENTOS!$D$5:$D$1005="sacos")*(MOVIMIENTOS!$A$5:$A$1005&lt;&gt;"")*(MOVIMIENTOS!$A$5:$A$1005&lt;=$A327)*MOVIMIENTOS!$E$5:$E$1005)+SUMPRODUCT((MOVIMIENTOS!$B$5:$B$1005="AJUSTE")*(MOVIMIENTOS!$C$5:$C$1005="Chancho")*(MOVIMIENTOS!$D$5:$D$1005="sacos")*(MOVIMIENTOS!$A$5:$A$1005&lt;&gt;"")*(MOVIMIENTOS!$A$5:$A$1005&lt;=$A327)*MOVIMIENTOS!$E$5:$E$1005))</f>
        <v/>
      </c>
      <c r="G327" s="95" t="str">
        <f t="shared" si="11"/>
        <v/>
      </c>
      <c r="H327" s="63" t="str">
        <f>IF($A327="","",SUMPRODUCT((((MOVIMIENTOS!$B$5:$B$1005="SALDO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327)*MOVIMIENTOS!$J$5:$J$1005))</f>
        <v/>
      </c>
      <c r="I327" s="63"/>
      <c r="J327" s="63" t="str">
        <f>IF(AND(MOVIMIENTOS!$A326&lt;&gt;"",COUNTIF(MOVIMIENTOS!$A$5:$A325,MOVIMIENTOS!$A326)=0),COUNT(J$4:J326)+1,"")</f>
        <v/>
      </c>
      <c r="K327" s="66">
        <f>MOVIMIENTOS!$A326</f>
        <v>46242</v>
      </c>
      <c r="L327" s="63"/>
      <c r="M327" s="63"/>
      <c r="N327" s="63"/>
    </row>
    <row r="328" spans="1:14" ht="15" customHeight="1" x14ac:dyDescent="0.2">
      <c r="A328" s="63" t="str">
        <f t="shared" si="10"/>
        <v/>
      </c>
      <c r="B328" s="63" t="str">
        <f>IF($A328="","",SUMPRODUCT((MOVIMIENTOS!$B$5:$B$1005="SALDO INICIAL")*(MOVIMIENTOS!$C$5:$C$1005="A")*(MOVIMIENTOS!$D$5:$D$1005="jabas")*(MOVIMIENTOS!$A$5:$A$1005&lt;&gt;"")*(MOVIMIENTOS!$A$5:$A$1005&lt;=$A328)*MOVIMIENTOS!$E$5:$E$1005)+SUMPRODUCT((MOVIMIENTOS!$B$5:$B$1005="PROCESO")*(MOVIMIENTOS!$C$5:$C$1005="A")*(MOVIMIENTOS!$D$5:$D$1005="jabas")*(MOVIMIENTOS!$A$5:$A$1005&lt;&gt;"")*(MOVIMIENTOS!$A$5:$A$1005&lt;=$A328)*MOVIMIENTOS!$E$5:$E$1005)-SUMPRODUCT((MOVIMIENTOS!$B$5:$B$1005="ENVÍO A SUPESA")*(MOVIMIENTOS!$C$5:$C$1005="A")*(MOVIMIENTOS!$D$5:$D$1005="jabas")*(MOVIMIENTOS!$A$5:$A$1005&lt;&gt;"")*(MOVIMIENTOS!$A$5:$A$1005&lt;=$A328)*MOVIMIENTOS!$E$5:$E$1005)+SUMPRODUCT((MOVIMIENTOS!$B$5:$B$1005="DEVOLUCIÓN")*(MOVIMIENTOS!$C$5:$C$1005="A")*(MOVIMIENTOS!$D$5:$D$1005="jabas")*(MOVIMIENTOS!$A$5:$A$1005&lt;&gt;"")*(MOVIMIENTOS!$A$5:$A$1005&lt;=$A328)*MOVIMIENTOS!$E$5:$E$1005)-SUMPRODUCT((MOVIMIENTOS!$B$5:$B$1005="TRASIEGO")*(MOVIMIENTOS!$C$5:$C$1005="A")*(MOVIMIENTOS!$D$5:$D$1005="jabas")*(MOVIMIENTOS!$A$5:$A$1005&lt;&gt;"")*(MOVIMIENTOS!$A$5:$A$1005&lt;=$A328)*MOVIMIENTOS!$E$5:$E$1005)-SUMPRODUCT((MOVIMIENTOS!$B$5:$B$1005="REGALO")*(MOVIMIENTOS!$C$5:$C$1005="A")*(MOVIMIENTOS!$D$5:$D$1005="jabas")*(MOVIMIENTOS!$A$5:$A$1005&lt;&gt;"")*(MOVIMIENTOS!$A$5:$A$1005&lt;=$A328)*MOVIMIENTOS!$E$5:$E$1005)-SUMPRODUCT((MOVIMIENTOS!$B$5:$B$1005="VENTA")*(MOVIMIENTOS!$C$5:$C$1005="A")*(MOVIMIENTOS!$D$5:$D$1005="jabas")*(MOVIMIENTOS!$A$5:$A$1005&lt;&gt;"")*(MOVIMIENTOS!$A$5:$A$1005&lt;=$A328)*MOVIMIENTOS!$E$5:$E$1005)+SUMPRODUCT((MOVIMIENTOS!$B$5:$B$1005="AJUSTE")*(MOVIMIENTOS!$C$5:$C$1005="A")*(MOVIMIENTOS!$D$5:$D$1005="jabas")*(MOVIMIENTOS!$A$5:$A$1005&lt;&gt;"")*(MOVIMIENTOS!$A$5:$A$1005&lt;=$A328)*MOVIMIENTOS!$E$5:$E$1005))</f>
        <v/>
      </c>
      <c r="C328" s="63" t="str">
        <f>IF($A328="","",SUMPRODUCT((MOVIMIENTOS!$B$5:$B$1005="SALDO INICIAL")*(MOVIMIENTOS!$C$5:$C$1005="P")*(MOVIMIENTOS!$D$5:$D$1005="jabas")*(MOVIMIENTOS!$A$5:$A$1005&lt;&gt;"")*(MOVIMIENTOS!$A$5:$A$1005&lt;=$A328)*MOVIMIENTOS!$E$5:$E$1005)+SUMPRODUCT((MOVIMIENTOS!$B$5:$B$1005="PROCESO")*(MOVIMIENTOS!$C$5:$C$1005="P")*(MOVIMIENTOS!$D$5:$D$1005="jabas")*(MOVIMIENTOS!$A$5:$A$1005&lt;&gt;"")*(MOVIMIENTOS!$A$5:$A$1005&lt;=$A328)*MOVIMIENTOS!$E$5:$E$1005)-SUMPRODUCT((MOVIMIENTOS!$B$5:$B$1005="ENVÍO A SUPESA")*(MOVIMIENTOS!$C$5:$C$1005="P")*(MOVIMIENTOS!$D$5:$D$1005="jabas")*(MOVIMIENTOS!$A$5:$A$1005&lt;&gt;"")*(MOVIMIENTOS!$A$5:$A$1005&lt;=$A328)*MOVIMIENTOS!$E$5:$E$1005)+SUMPRODUCT((MOVIMIENTOS!$B$5:$B$1005="DEVOLUCIÓN")*(MOVIMIENTOS!$C$5:$C$1005="P")*(MOVIMIENTOS!$D$5:$D$1005="jabas")*(MOVIMIENTOS!$A$5:$A$1005&lt;&gt;"")*(MOVIMIENTOS!$A$5:$A$1005&lt;=$A328)*MOVIMIENTOS!$E$5:$E$1005)-SUMPRODUCT((MOVIMIENTOS!$B$5:$B$1005="TRASIEGO")*(MOVIMIENTOS!$C$5:$C$1005="P")*(MOVIMIENTOS!$D$5:$D$1005="jabas")*(MOVIMIENTOS!$A$5:$A$1005&lt;&gt;"")*(MOVIMIENTOS!$A$5:$A$1005&lt;=$A328)*MOVIMIENTOS!$E$5:$E$1005)-SUMPRODUCT((MOVIMIENTOS!$B$5:$B$1005="REGALO")*(MOVIMIENTOS!$C$5:$C$1005="P")*(MOVIMIENTOS!$D$5:$D$1005="jabas")*(MOVIMIENTOS!$A$5:$A$1005&lt;&gt;"")*(MOVIMIENTOS!$A$5:$A$1005&lt;=$A328)*MOVIMIENTOS!$E$5:$E$1005)-SUMPRODUCT((MOVIMIENTOS!$B$5:$B$1005="VENTA")*(MOVIMIENTOS!$C$5:$C$1005="P")*(MOVIMIENTOS!$D$5:$D$1005="jabas")*(MOVIMIENTOS!$A$5:$A$1005&lt;&gt;"")*(MOVIMIENTOS!$A$5:$A$1005&lt;=$A328)*MOVIMIENTOS!$E$5:$E$1005)+SUMPRODUCT((MOVIMIENTOS!$B$5:$B$1005="AJUSTE")*(MOVIMIENTOS!$C$5:$C$1005="P")*(MOVIMIENTOS!$D$5:$D$1005="jabas")*(MOVIMIENTOS!$A$5:$A$1005&lt;&gt;"")*(MOVIMIENTOS!$A$5:$A$1005&lt;=$A328)*MOVIMIENTOS!$E$5:$E$1005))</f>
        <v/>
      </c>
      <c r="D328" s="63" t="str">
        <f>IF($A328="","",SUMPRODUCT((MOVIMIENTOS!$B$5:$B$1005="SALDO INICIAL")*(MOVIMIENTOS!$C$5:$C$1005="C")*(MOVIMIENTOS!$D$5:$D$1005="jabas")*(MOVIMIENTOS!$A$5:$A$1005&lt;&gt;"")*(MOVIMIENTOS!$A$5:$A$1005&lt;=$A328)*MOVIMIENTOS!$E$5:$E$1005)+SUMPRODUCT((MOVIMIENTOS!$B$5:$B$1005="PROCESO")*(MOVIMIENTOS!$C$5:$C$1005="C")*(MOVIMIENTOS!$D$5:$D$1005="jabas")*(MOVIMIENTOS!$A$5:$A$1005&lt;&gt;"")*(MOVIMIENTOS!$A$5:$A$1005&lt;=$A328)*MOVIMIENTOS!$E$5:$E$1005)-SUMPRODUCT((MOVIMIENTOS!$B$5:$B$1005="ENVÍO A SUPESA")*(MOVIMIENTOS!$C$5:$C$1005="C")*(MOVIMIENTOS!$D$5:$D$1005="jabas")*(MOVIMIENTOS!$A$5:$A$1005&lt;&gt;"")*(MOVIMIENTOS!$A$5:$A$1005&lt;=$A328)*MOVIMIENTOS!$E$5:$E$1005)+SUMPRODUCT((MOVIMIENTOS!$B$5:$B$1005="DEVOLUCIÓN")*(MOVIMIENTOS!$C$5:$C$1005="C")*(MOVIMIENTOS!$D$5:$D$1005="jabas")*(MOVIMIENTOS!$A$5:$A$1005&lt;&gt;"")*(MOVIMIENTOS!$A$5:$A$1005&lt;=$A328)*MOVIMIENTOS!$E$5:$E$1005)-SUMPRODUCT((MOVIMIENTOS!$B$5:$B$1005="TRASIEGO")*(MOVIMIENTOS!$C$5:$C$1005="C")*(MOVIMIENTOS!$D$5:$D$1005="jabas")*(MOVIMIENTOS!$A$5:$A$1005&lt;&gt;"")*(MOVIMIENTOS!$A$5:$A$1005&lt;=$A328)*MOVIMIENTOS!$E$5:$E$1005)-SUMPRODUCT((MOVIMIENTOS!$B$5:$B$1005="REGALO")*(MOVIMIENTOS!$C$5:$C$1005="C")*(MOVIMIENTOS!$D$5:$D$1005="jabas")*(MOVIMIENTOS!$A$5:$A$1005&lt;&gt;"")*(MOVIMIENTOS!$A$5:$A$1005&lt;=$A328)*MOVIMIENTOS!$E$5:$E$1005)-SUMPRODUCT((MOVIMIENTOS!$B$5:$B$1005="VENTA")*(MOVIMIENTOS!$C$5:$C$1005="C")*(MOVIMIENTOS!$D$5:$D$1005="jabas")*(MOVIMIENTOS!$A$5:$A$1005&lt;&gt;"")*(MOVIMIENTOS!$A$5:$A$1005&lt;=$A328)*MOVIMIENTOS!$E$5:$E$1005)+SUMPRODUCT((MOVIMIENTOS!$B$5:$B$1005="AJUSTE")*(MOVIMIENTOS!$C$5:$C$1005="C")*(MOVIMIENTOS!$D$5:$D$1005="jabas")*(MOVIMIENTOS!$A$5:$A$1005&lt;&gt;"")*(MOVIMIENTOS!$A$5:$A$1005&lt;=$A328)*MOVIMIENTOS!$E$5:$E$1005))</f>
        <v/>
      </c>
      <c r="E328" s="63" t="str">
        <f>IF($A328="","",SUMPRODUCT((MOVIMIENTOS!$B$5:$B$1005="SALDO INICIAL")*(MOVIMIENTOS!$C$5:$C$1005="M")*(MOVIMIENTOS!$D$5:$D$1005="jabas")*(MOVIMIENTOS!$A$5:$A$1005&lt;&gt;"")*(MOVIMIENTOS!$A$5:$A$1005&lt;=$A328)*MOVIMIENTOS!$E$5:$E$1005)+SUMPRODUCT((MOVIMIENTOS!$B$5:$B$1005="PROCESO")*(MOVIMIENTOS!$C$5:$C$1005="M")*(MOVIMIENTOS!$D$5:$D$1005="jabas")*(MOVIMIENTOS!$A$5:$A$1005&lt;&gt;"")*(MOVIMIENTOS!$A$5:$A$1005&lt;=$A328)*MOVIMIENTOS!$E$5:$E$1005)-SUMPRODUCT((MOVIMIENTOS!$B$5:$B$1005="ENVÍO A SUPESA")*(MOVIMIENTOS!$C$5:$C$1005="M")*(MOVIMIENTOS!$D$5:$D$1005="jabas")*(MOVIMIENTOS!$A$5:$A$1005&lt;&gt;"")*(MOVIMIENTOS!$A$5:$A$1005&lt;=$A328)*MOVIMIENTOS!$E$5:$E$1005)+SUMPRODUCT((MOVIMIENTOS!$B$5:$B$1005="DEVOLUCIÓN")*(MOVIMIENTOS!$C$5:$C$1005="M")*(MOVIMIENTOS!$D$5:$D$1005="jabas")*(MOVIMIENTOS!$A$5:$A$1005&lt;&gt;"")*(MOVIMIENTOS!$A$5:$A$1005&lt;=$A328)*MOVIMIENTOS!$E$5:$E$1005)-SUMPRODUCT((MOVIMIENTOS!$B$5:$B$1005="TRASIEGO")*(MOVIMIENTOS!$C$5:$C$1005="M")*(MOVIMIENTOS!$D$5:$D$1005="jabas")*(MOVIMIENTOS!$A$5:$A$1005&lt;&gt;"")*(MOVIMIENTOS!$A$5:$A$1005&lt;=$A328)*MOVIMIENTOS!$E$5:$E$1005)-SUMPRODUCT((MOVIMIENTOS!$B$5:$B$1005="REGALO")*(MOVIMIENTOS!$C$5:$C$1005="M")*(MOVIMIENTOS!$D$5:$D$1005="jabas")*(MOVIMIENTOS!$A$5:$A$1005&lt;&gt;"")*(MOVIMIENTOS!$A$5:$A$1005&lt;=$A328)*MOVIMIENTOS!$E$5:$E$1005)-SUMPRODUCT((MOVIMIENTOS!$B$5:$B$1005="VENTA")*(MOVIMIENTOS!$C$5:$C$1005="M")*(MOVIMIENTOS!$D$5:$D$1005="jabas")*(MOVIMIENTOS!$A$5:$A$1005&lt;&gt;"")*(MOVIMIENTOS!$A$5:$A$1005&lt;=$A328)*MOVIMIENTOS!$E$5:$E$1005)+SUMPRODUCT((MOVIMIENTOS!$B$5:$B$1005="AJUSTE")*(MOVIMIENTOS!$C$5:$C$1005="M")*(MOVIMIENTOS!$D$5:$D$1005="jabas")*(MOVIMIENTOS!$A$5:$A$1005&lt;&gt;"")*(MOVIMIENTOS!$A$5:$A$1005&lt;=$A328)*MOVIMIENTOS!$E$5:$E$1005))</f>
        <v/>
      </c>
      <c r="F328" s="63" t="str">
        <f>IF($A328="","",SUMPRODUCT((MOVIMIENTOS!$B$5:$B$1005="SALDO INICIAL")*(MOVIMIENTOS!$C$5:$C$1005="Chancho")*(MOVIMIENTOS!$D$5:$D$1005="sacos")*(MOVIMIENTOS!$A$5:$A$1005&lt;&gt;"")*(MOVIMIENTOS!$A$5:$A$1005&lt;=$A328)*MOVIMIENTOS!$E$5:$E$1005)+SUMPRODUCT((MOVIMIENTOS!$B$5:$B$1005="PROCESO")*(MOVIMIENTOS!$C$5:$C$1005="Chancho")*(MOVIMIENTOS!$D$5:$D$1005="sacos")*(MOVIMIENTOS!$A$5:$A$1005&lt;&gt;"")*(MOVIMIENTOS!$A$5:$A$1005&lt;=$A328)*MOVIMIENTOS!$E$5:$E$1005)-SUMPRODUCT((MOVIMIENTOS!$B$5:$B$1005="VENTA CHANCHO")*(MOVIMIENTOS!$C$5:$C$1005="Chancho")*(MOVIMIENTOS!$D$5:$D$1005="sacos")*(MOVIMIENTOS!$A$5:$A$1005&lt;&gt;"")*(MOVIMIENTOS!$A$5:$A$1005&lt;=$A328)*MOVIMIENTOS!$E$5:$E$1005)-SUMPRODUCT((MOVIMIENTOS!$B$5:$B$1005="REGALO")*(MOVIMIENTOS!$C$5:$C$1005="Chancho")*(MOVIMIENTOS!$D$5:$D$1005="sacos")*(MOVIMIENTOS!$A$5:$A$1005&lt;&gt;"")*(MOVIMIENTOS!$A$5:$A$1005&lt;=$A328)*MOVIMIENTOS!$E$5:$E$1005)-SUMPRODUCT((MOVIMIENTOS!$B$5:$B$1005="VENTA")*(MOVIMIENTOS!$C$5:$C$1005="Chancho")*(MOVIMIENTOS!$D$5:$D$1005="sacos")*(MOVIMIENTOS!$A$5:$A$1005&lt;&gt;"")*(MOVIMIENTOS!$A$5:$A$1005&lt;=$A328)*MOVIMIENTOS!$E$5:$E$1005)+SUMPRODUCT((MOVIMIENTOS!$B$5:$B$1005="AJUSTE")*(MOVIMIENTOS!$C$5:$C$1005="Chancho")*(MOVIMIENTOS!$D$5:$D$1005="sacos")*(MOVIMIENTOS!$A$5:$A$1005&lt;&gt;"")*(MOVIMIENTOS!$A$5:$A$1005&lt;=$A328)*MOVIMIENTOS!$E$5:$E$1005))</f>
        <v/>
      </c>
      <c r="G328" s="95" t="str">
        <f t="shared" si="11"/>
        <v/>
      </c>
      <c r="H328" s="63" t="str">
        <f>IF($A328="","",SUMPRODUCT((((MOVIMIENTOS!$B$5:$B$1005="SALDO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328)*MOVIMIENTOS!$J$5:$J$1005))</f>
        <v/>
      </c>
      <c r="I328" s="63"/>
      <c r="J328" s="63" t="str">
        <f>IF(AND(MOVIMIENTOS!$A327&lt;&gt;"",COUNTIF(MOVIMIENTOS!$A$5:$A326,MOVIMIENTOS!$A327)=0),COUNT(J$4:J327)+1,"")</f>
        <v/>
      </c>
      <c r="K328" s="66">
        <f>MOVIMIENTOS!$A327</f>
        <v>46242</v>
      </c>
      <c r="L328" s="63"/>
      <c r="M328" s="63"/>
      <c r="N328" s="63"/>
    </row>
    <row r="329" spans="1:14" ht="15" customHeight="1" x14ac:dyDescent="0.2">
      <c r="A329" s="63" t="str">
        <f t="shared" si="10"/>
        <v/>
      </c>
      <c r="B329" s="63" t="str">
        <f>IF($A329="","",SUMPRODUCT((MOVIMIENTOS!$B$5:$B$1005="SALDO INICIAL")*(MOVIMIENTOS!$C$5:$C$1005="A")*(MOVIMIENTOS!$D$5:$D$1005="jabas")*(MOVIMIENTOS!$A$5:$A$1005&lt;&gt;"")*(MOVIMIENTOS!$A$5:$A$1005&lt;=$A329)*MOVIMIENTOS!$E$5:$E$1005)+SUMPRODUCT((MOVIMIENTOS!$B$5:$B$1005="PROCESO")*(MOVIMIENTOS!$C$5:$C$1005="A")*(MOVIMIENTOS!$D$5:$D$1005="jabas")*(MOVIMIENTOS!$A$5:$A$1005&lt;&gt;"")*(MOVIMIENTOS!$A$5:$A$1005&lt;=$A329)*MOVIMIENTOS!$E$5:$E$1005)-SUMPRODUCT((MOVIMIENTOS!$B$5:$B$1005="ENVÍO A SUPESA")*(MOVIMIENTOS!$C$5:$C$1005="A")*(MOVIMIENTOS!$D$5:$D$1005="jabas")*(MOVIMIENTOS!$A$5:$A$1005&lt;&gt;"")*(MOVIMIENTOS!$A$5:$A$1005&lt;=$A329)*MOVIMIENTOS!$E$5:$E$1005)+SUMPRODUCT((MOVIMIENTOS!$B$5:$B$1005="DEVOLUCIÓN")*(MOVIMIENTOS!$C$5:$C$1005="A")*(MOVIMIENTOS!$D$5:$D$1005="jabas")*(MOVIMIENTOS!$A$5:$A$1005&lt;&gt;"")*(MOVIMIENTOS!$A$5:$A$1005&lt;=$A329)*MOVIMIENTOS!$E$5:$E$1005)-SUMPRODUCT((MOVIMIENTOS!$B$5:$B$1005="TRASIEGO")*(MOVIMIENTOS!$C$5:$C$1005="A")*(MOVIMIENTOS!$D$5:$D$1005="jabas")*(MOVIMIENTOS!$A$5:$A$1005&lt;&gt;"")*(MOVIMIENTOS!$A$5:$A$1005&lt;=$A329)*MOVIMIENTOS!$E$5:$E$1005)-SUMPRODUCT((MOVIMIENTOS!$B$5:$B$1005="REGALO")*(MOVIMIENTOS!$C$5:$C$1005="A")*(MOVIMIENTOS!$D$5:$D$1005="jabas")*(MOVIMIENTOS!$A$5:$A$1005&lt;&gt;"")*(MOVIMIENTOS!$A$5:$A$1005&lt;=$A329)*MOVIMIENTOS!$E$5:$E$1005)-SUMPRODUCT((MOVIMIENTOS!$B$5:$B$1005="VENTA")*(MOVIMIENTOS!$C$5:$C$1005="A")*(MOVIMIENTOS!$D$5:$D$1005="jabas")*(MOVIMIENTOS!$A$5:$A$1005&lt;&gt;"")*(MOVIMIENTOS!$A$5:$A$1005&lt;=$A329)*MOVIMIENTOS!$E$5:$E$1005)+SUMPRODUCT((MOVIMIENTOS!$B$5:$B$1005="AJUSTE")*(MOVIMIENTOS!$C$5:$C$1005="A")*(MOVIMIENTOS!$D$5:$D$1005="jabas")*(MOVIMIENTOS!$A$5:$A$1005&lt;&gt;"")*(MOVIMIENTOS!$A$5:$A$1005&lt;=$A329)*MOVIMIENTOS!$E$5:$E$1005))</f>
        <v/>
      </c>
      <c r="C329" s="63" t="str">
        <f>IF($A329="","",SUMPRODUCT((MOVIMIENTOS!$B$5:$B$1005="SALDO INICIAL")*(MOVIMIENTOS!$C$5:$C$1005="P")*(MOVIMIENTOS!$D$5:$D$1005="jabas")*(MOVIMIENTOS!$A$5:$A$1005&lt;&gt;"")*(MOVIMIENTOS!$A$5:$A$1005&lt;=$A329)*MOVIMIENTOS!$E$5:$E$1005)+SUMPRODUCT((MOVIMIENTOS!$B$5:$B$1005="PROCESO")*(MOVIMIENTOS!$C$5:$C$1005="P")*(MOVIMIENTOS!$D$5:$D$1005="jabas")*(MOVIMIENTOS!$A$5:$A$1005&lt;&gt;"")*(MOVIMIENTOS!$A$5:$A$1005&lt;=$A329)*MOVIMIENTOS!$E$5:$E$1005)-SUMPRODUCT((MOVIMIENTOS!$B$5:$B$1005="ENVÍO A SUPESA")*(MOVIMIENTOS!$C$5:$C$1005="P")*(MOVIMIENTOS!$D$5:$D$1005="jabas")*(MOVIMIENTOS!$A$5:$A$1005&lt;&gt;"")*(MOVIMIENTOS!$A$5:$A$1005&lt;=$A329)*MOVIMIENTOS!$E$5:$E$1005)+SUMPRODUCT((MOVIMIENTOS!$B$5:$B$1005="DEVOLUCIÓN")*(MOVIMIENTOS!$C$5:$C$1005="P")*(MOVIMIENTOS!$D$5:$D$1005="jabas")*(MOVIMIENTOS!$A$5:$A$1005&lt;&gt;"")*(MOVIMIENTOS!$A$5:$A$1005&lt;=$A329)*MOVIMIENTOS!$E$5:$E$1005)-SUMPRODUCT((MOVIMIENTOS!$B$5:$B$1005="TRASIEGO")*(MOVIMIENTOS!$C$5:$C$1005="P")*(MOVIMIENTOS!$D$5:$D$1005="jabas")*(MOVIMIENTOS!$A$5:$A$1005&lt;&gt;"")*(MOVIMIENTOS!$A$5:$A$1005&lt;=$A329)*MOVIMIENTOS!$E$5:$E$1005)-SUMPRODUCT((MOVIMIENTOS!$B$5:$B$1005="REGALO")*(MOVIMIENTOS!$C$5:$C$1005="P")*(MOVIMIENTOS!$D$5:$D$1005="jabas")*(MOVIMIENTOS!$A$5:$A$1005&lt;&gt;"")*(MOVIMIENTOS!$A$5:$A$1005&lt;=$A329)*MOVIMIENTOS!$E$5:$E$1005)-SUMPRODUCT((MOVIMIENTOS!$B$5:$B$1005="VENTA")*(MOVIMIENTOS!$C$5:$C$1005="P")*(MOVIMIENTOS!$D$5:$D$1005="jabas")*(MOVIMIENTOS!$A$5:$A$1005&lt;&gt;"")*(MOVIMIENTOS!$A$5:$A$1005&lt;=$A329)*MOVIMIENTOS!$E$5:$E$1005)+SUMPRODUCT((MOVIMIENTOS!$B$5:$B$1005="AJUSTE")*(MOVIMIENTOS!$C$5:$C$1005="P")*(MOVIMIENTOS!$D$5:$D$1005="jabas")*(MOVIMIENTOS!$A$5:$A$1005&lt;&gt;"")*(MOVIMIENTOS!$A$5:$A$1005&lt;=$A329)*MOVIMIENTOS!$E$5:$E$1005))</f>
        <v/>
      </c>
      <c r="D329" s="63" t="str">
        <f>IF($A329="","",SUMPRODUCT((MOVIMIENTOS!$B$5:$B$1005="SALDO INICIAL")*(MOVIMIENTOS!$C$5:$C$1005="C")*(MOVIMIENTOS!$D$5:$D$1005="jabas")*(MOVIMIENTOS!$A$5:$A$1005&lt;&gt;"")*(MOVIMIENTOS!$A$5:$A$1005&lt;=$A329)*MOVIMIENTOS!$E$5:$E$1005)+SUMPRODUCT((MOVIMIENTOS!$B$5:$B$1005="PROCESO")*(MOVIMIENTOS!$C$5:$C$1005="C")*(MOVIMIENTOS!$D$5:$D$1005="jabas")*(MOVIMIENTOS!$A$5:$A$1005&lt;&gt;"")*(MOVIMIENTOS!$A$5:$A$1005&lt;=$A329)*MOVIMIENTOS!$E$5:$E$1005)-SUMPRODUCT((MOVIMIENTOS!$B$5:$B$1005="ENVÍO A SUPESA")*(MOVIMIENTOS!$C$5:$C$1005="C")*(MOVIMIENTOS!$D$5:$D$1005="jabas")*(MOVIMIENTOS!$A$5:$A$1005&lt;&gt;"")*(MOVIMIENTOS!$A$5:$A$1005&lt;=$A329)*MOVIMIENTOS!$E$5:$E$1005)+SUMPRODUCT((MOVIMIENTOS!$B$5:$B$1005="DEVOLUCIÓN")*(MOVIMIENTOS!$C$5:$C$1005="C")*(MOVIMIENTOS!$D$5:$D$1005="jabas")*(MOVIMIENTOS!$A$5:$A$1005&lt;&gt;"")*(MOVIMIENTOS!$A$5:$A$1005&lt;=$A329)*MOVIMIENTOS!$E$5:$E$1005)-SUMPRODUCT((MOVIMIENTOS!$B$5:$B$1005="TRASIEGO")*(MOVIMIENTOS!$C$5:$C$1005="C")*(MOVIMIENTOS!$D$5:$D$1005="jabas")*(MOVIMIENTOS!$A$5:$A$1005&lt;&gt;"")*(MOVIMIENTOS!$A$5:$A$1005&lt;=$A329)*MOVIMIENTOS!$E$5:$E$1005)-SUMPRODUCT((MOVIMIENTOS!$B$5:$B$1005="REGALO")*(MOVIMIENTOS!$C$5:$C$1005="C")*(MOVIMIENTOS!$D$5:$D$1005="jabas")*(MOVIMIENTOS!$A$5:$A$1005&lt;&gt;"")*(MOVIMIENTOS!$A$5:$A$1005&lt;=$A329)*MOVIMIENTOS!$E$5:$E$1005)-SUMPRODUCT((MOVIMIENTOS!$B$5:$B$1005="VENTA")*(MOVIMIENTOS!$C$5:$C$1005="C")*(MOVIMIENTOS!$D$5:$D$1005="jabas")*(MOVIMIENTOS!$A$5:$A$1005&lt;&gt;"")*(MOVIMIENTOS!$A$5:$A$1005&lt;=$A329)*MOVIMIENTOS!$E$5:$E$1005)+SUMPRODUCT((MOVIMIENTOS!$B$5:$B$1005="AJUSTE")*(MOVIMIENTOS!$C$5:$C$1005="C")*(MOVIMIENTOS!$D$5:$D$1005="jabas")*(MOVIMIENTOS!$A$5:$A$1005&lt;&gt;"")*(MOVIMIENTOS!$A$5:$A$1005&lt;=$A329)*MOVIMIENTOS!$E$5:$E$1005))</f>
        <v/>
      </c>
      <c r="E329" s="63" t="str">
        <f>IF($A329="","",SUMPRODUCT((MOVIMIENTOS!$B$5:$B$1005="SALDO INICIAL")*(MOVIMIENTOS!$C$5:$C$1005="M")*(MOVIMIENTOS!$D$5:$D$1005="jabas")*(MOVIMIENTOS!$A$5:$A$1005&lt;&gt;"")*(MOVIMIENTOS!$A$5:$A$1005&lt;=$A329)*MOVIMIENTOS!$E$5:$E$1005)+SUMPRODUCT((MOVIMIENTOS!$B$5:$B$1005="PROCESO")*(MOVIMIENTOS!$C$5:$C$1005="M")*(MOVIMIENTOS!$D$5:$D$1005="jabas")*(MOVIMIENTOS!$A$5:$A$1005&lt;&gt;"")*(MOVIMIENTOS!$A$5:$A$1005&lt;=$A329)*MOVIMIENTOS!$E$5:$E$1005)-SUMPRODUCT((MOVIMIENTOS!$B$5:$B$1005="ENVÍO A SUPESA")*(MOVIMIENTOS!$C$5:$C$1005="M")*(MOVIMIENTOS!$D$5:$D$1005="jabas")*(MOVIMIENTOS!$A$5:$A$1005&lt;&gt;"")*(MOVIMIENTOS!$A$5:$A$1005&lt;=$A329)*MOVIMIENTOS!$E$5:$E$1005)+SUMPRODUCT((MOVIMIENTOS!$B$5:$B$1005="DEVOLUCIÓN")*(MOVIMIENTOS!$C$5:$C$1005="M")*(MOVIMIENTOS!$D$5:$D$1005="jabas")*(MOVIMIENTOS!$A$5:$A$1005&lt;&gt;"")*(MOVIMIENTOS!$A$5:$A$1005&lt;=$A329)*MOVIMIENTOS!$E$5:$E$1005)-SUMPRODUCT((MOVIMIENTOS!$B$5:$B$1005="TRASIEGO")*(MOVIMIENTOS!$C$5:$C$1005="M")*(MOVIMIENTOS!$D$5:$D$1005="jabas")*(MOVIMIENTOS!$A$5:$A$1005&lt;&gt;"")*(MOVIMIENTOS!$A$5:$A$1005&lt;=$A329)*MOVIMIENTOS!$E$5:$E$1005)-SUMPRODUCT((MOVIMIENTOS!$B$5:$B$1005="REGALO")*(MOVIMIENTOS!$C$5:$C$1005="M")*(MOVIMIENTOS!$D$5:$D$1005="jabas")*(MOVIMIENTOS!$A$5:$A$1005&lt;&gt;"")*(MOVIMIENTOS!$A$5:$A$1005&lt;=$A329)*MOVIMIENTOS!$E$5:$E$1005)-SUMPRODUCT((MOVIMIENTOS!$B$5:$B$1005="VENTA")*(MOVIMIENTOS!$C$5:$C$1005="M")*(MOVIMIENTOS!$D$5:$D$1005="jabas")*(MOVIMIENTOS!$A$5:$A$1005&lt;&gt;"")*(MOVIMIENTOS!$A$5:$A$1005&lt;=$A329)*MOVIMIENTOS!$E$5:$E$1005)+SUMPRODUCT((MOVIMIENTOS!$B$5:$B$1005="AJUSTE")*(MOVIMIENTOS!$C$5:$C$1005="M")*(MOVIMIENTOS!$D$5:$D$1005="jabas")*(MOVIMIENTOS!$A$5:$A$1005&lt;&gt;"")*(MOVIMIENTOS!$A$5:$A$1005&lt;=$A329)*MOVIMIENTOS!$E$5:$E$1005))</f>
        <v/>
      </c>
      <c r="F329" s="63" t="str">
        <f>IF($A329="","",SUMPRODUCT((MOVIMIENTOS!$B$5:$B$1005="SALDO INICIAL")*(MOVIMIENTOS!$C$5:$C$1005="Chancho")*(MOVIMIENTOS!$D$5:$D$1005="sacos")*(MOVIMIENTOS!$A$5:$A$1005&lt;&gt;"")*(MOVIMIENTOS!$A$5:$A$1005&lt;=$A329)*MOVIMIENTOS!$E$5:$E$1005)+SUMPRODUCT((MOVIMIENTOS!$B$5:$B$1005="PROCESO")*(MOVIMIENTOS!$C$5:$C$1005="Chancho")*(MOVIMIENTOS!$D$5:$D$1005="sacos")*(MOVIMIENTOS!$A$5:$A$1005&lt;&gt;"")*(MOVIMIENTOS!$A$5:$A$1005&lt;=$A329)*MOVIMIENTOS!$E$5:$E$1005)-SUMPRODUCT((MOVIMIENTOS!$B$5:$B$1005="VENTA CHANCHO")*(MOVIMIENTOS!$C$5:$C$1005="Chancho")*(MOVIMIENTOS!$D$5:$D$1005="sacos")*(MOVIMIENTOS!$A$5:$A$1005&lt;&gt;"")*(MOVIMIENTOS!$A$5:$A$1005&lt;=$A329)*MOVIMIENTOS!$E$5:$E$1005)-SUMPRODUCT((MOVIMIENTOS!$B$5:$B$1005="REGALO")*(MOVIMIENTOS!$C$5:$C$1005="Chancho")*(MOVIMIENTOS!$D$5:$D$1005="sacos")*(MOVIMIENTOS!$A$5:$A$1005&lt;&gt;"")*(MOVIMIENTOS!$A$5:$A$1005&lt;=$A329)*MOVIMIENTOS!$E$5:$E$1005)-SUMPRODUCT((MOVIMIENTOS!$B$5:$B$1005="VENTA")*(MOVIMIENTOS!$C$5:$C$1005="Chancho")*(MOVIMIENTOS!$D$5:$D$1005="sacos")*(MOVIMIENTOS!$A$5:$A$1005&lt;&gt;"")*(MOVIMIENTOS!$A$5:$A$1005&lt;=$A329)*MOVIMIENTOS!$E$5:$E$1005)+SUMPRODUCT((MOVIMIENTOS!$B$5:$B$1005="AJUSTE")*(MOVIMIENTOS!$C$5:$C$1005="Chancho")*(MOVIMIENTOS!$D$5:$D$1005="sacos")*(MOVIMIENTOS!$A$5:$A$1005&lt;&gt;"")*(MOVIMIENTOS!$A$5:$A$1005&lt;=$A329)*MOVIMIENTOS!$E$5:$E$1005))</f>
        <v/>
      </c>
      <c r="G329" s="95" t="str">
        <f t="shared" si="11"/>
        <v/>
      </c>
      <c r="H329" s="63" t="str">
        <f>IF($A329="","",SUMPRODUCT((((MOVIMIENTOS!$B$5:$B$1005="SALDO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329)*MOVIMIENTOS!$J$5:$J$1005))</f>
        <v/>
      </c>
      <c r="I329" s="63"/>
      <c r="J329" s="63" t="str">
        <f>IF(AND(MOVIMIENTOS!$A328&lt;&gt;"",COUNTIF(MOVIMIENTOS!$A$5:$A327,MOVIMIENTOS!$A328)=0),COUNT(J$4:J328)+1,"")</f>
        <v/>
      </c>
      <c r="K329" s="66">
        <f>MOVIMIENTOS!$A328</f>
        <v>46242</v>
      </c>
      <c r="L329" s="63"/>
      <c r="M329" s="63"/>
      <c r="N329" s="63"/>
    </row>
    <row r="330" spans="1:14" ht="15" customHeight="1" x14ac:dyDescent="0.2">
      <c r="A330" s="63" t="str">
        <f t="shared" si="10"/>
        <v/>
      </c>
      <c r="B330" s="63" t="str">
        <f>IF($A330="","",SUMPRODUCT((MOVIMIENTOS!$B$5:$B$1005="SALDO INICIAL")*(MOVIMIENTOS!$C$5:$C$1005="A")*(MOVIMIENTOS!$D$5:$D$1005="jabas")*(MOVIMIENTOS!$A$5:$A$1005&lt;&gt;"")*(MOVIMIENTOS!$A$5:$A$1005&lt;=$A330)*MOVIMIENTOS!$E$5:$E$1005)+SUMPRODUCT((MOVIMIENTOS!$B$5:$B$1005="PROCESO")*(MOVIMIENTOS!$C$5:$C$1005="A")*(MOVIMIENTOS!$D$5:$D$1005="jabas")*(MOVIMIENTOS!$A$5:$A$1005&lt;&gt;"")*(MOVIMIENTOS!$A$5:$A$1005&lt;=$A330)*MOVIMIENTOS!$E$5:$E$1005)-SUMPRODUCT((MOVIMIENTOS!$B$5:$B$1005="ENVÍO A SUPESA")*(MOVIMIENTOS!$C$5:$C$1005="A")*(MOVIMIENTOS!$D$5:$D$1005="jabas")*(MOVIMIENTOS!$A$5:$A$1005&lt;&gt;"")*(MOVIMIENTOS!$A$5:$A$1005&lt;=$A330)*MOVIMIENTOS!$E$5:$E$1005)+SUMPRODUCT((MOVIMIENTOS!$B$5:$B$1005="DEVOLUCIÓN")*(MOVIMIENTOS!$C$5:$C$1005="A")*(MOVIMIENTOS!$D$5:$D$1005="jabas")*(MOVIMIENTOS!$A$5:$A$1005&lt;&gt;"")*(MOVIMIENTOS!$A$5:$A$1005&lt;=$A330)*MOVIMIENTOS!$E$5:$E$1005)-SUMPRODUCT((MOVIMIENTOS!$B$5:$B$1005="TRASIEGO")*(MOVIMIENTOS!$C$5:$C$1005="A")*(MOVIMIENTOS!$D$5:$D$1005="jabas")*(MOVIMIENTOS!$A$5:$A$1005&lt;&gt;"")*(MOVIMIENTOS!$A$5:$A$1005&lt;=$A330)*MOVIMIENTOS!$E$5:$E$1005)-SUMPRODUCT((MOVIMIENTOS!$B$5:$B$1005="REGALO")*(MOVIMIENTOS!$C$5:$C$1005="A")*(MOVIMIENTOS!$D$5:$D$1005="jabas")*(MOVIMIENTOS!$A$5:$A$1005&lt;&gt;"")*(MOVIMIENTOS!$A$5:$A$1005&lt;=$A330)*MOVIMIENTOS!$E$5:$E$1005)-SUMPRODUCT((MOVIMIENTOS!$B$5:$B$1005="VENTA")*(MOVIMIENTOS!$C$5:$C$1005="A")*(MOVIMIENTOS!$D$5:$D$1005="jabas")*(MOVIMIENTOS!$A$5:$A$1005&lt;&gt;"")*(MOVIMIENTOS!$A$5:$A$1005&lt;=$A330)*MOVIMIENTOS!$E$5:$E$1005)+SUMPRODUCT((MOVIMIENTOS!$B$5:$B$1005="AJUSTE")*(MOVIMIENTOS!$C$5:$C$1005="A")*(MOVIMIENTOS!$D$5:$D$1005="jabas")*(MOVIMIENTOS!$A$5:$A$1005&lt;&gt;"")*(MOVIMIENTOS!$A$5:$A$1005&lt;=$A330)*MOVIMIENTOS!$E$5:$E$1005))</f>
        <v/>
      </c>
      <c r="C330" s="63" t="str">
        <f>IF($A330="","",SUMPRODUCT((MOVIMIENTOS!$B$5:$B$1005="SALDO INICIAL")*(MOVIMIENTOS!$C$5:$C$1005="P")*(MOVIMIENTOS!$D$5:$D$1005="jabas")*(MOVIMIENTOS!$A$5:$A$1005&lt;&gt;"")*(MOVIMIENTOS!$A$5:$A$1005&lt;=$A330)*MOVIMIENTOS!$E$5:$E$1005)+SUMPRODUCT((MOVIMIENTOS!$B$5:$B$1005="PROCESO")*(MOVIMIENTOS!$C$5:$C$1005="P")*(MOVIMIENTOS!$D$5:$D$1005="jabas")*(MOVIMIENTOS!$A$5:$A$1005&lt;&gt;"")*(MOVIMIENTOS!$A$5:$A$1005&lt;=$A330)*MOVIMIENTOS!$E$5:$E$1005)-SUMPRODUCT((MOVIMIENTOS!$B$5:$B$1005="ENVÍO A SUPESA")*(MOVIMIENTOS!$C$5:$C$1005="P")*(MOVIMIENTOS!$D$5:$D$1005="jabas")*(MOVIMIENTOS!$A$5:$A$1005&lt;&gt;"")*(MOVIMIENTOS!$A$5:$A$1005&lt;=$A330)*MOVIMIENTOS!$E$5:$E$1005)+SUMPRODUCT((MOVIMIENTOS!$B$5:$B$1005="DEVOLUCIÓN")*(MOVIMIENTOS!$C$5:$C$1005="P")*(MOVIMIENTOS!$D$5:$D$1005="jabas")*(MOVIMIENTOS!$A$5:$A$1005&lt;&gt;"")*(MOVIMIENTOS!$A$5:$A$1005&lt;=$A330)*MOVIMIENTOS!$E$5:$E$1005)-SUMPRODUCT((MOVIMIENTOS!$B$5:$B$1005="TRASIEGO")*(MOVIMIENTOS!$C$5:$C$1005="P")*(MOVIMIENTOS!$D$5:$D$1005="jabas")*(MOVIMIENTOS!$A$5:$A$1005&lt;&gt;"")*(MOVIMIENTOS!$A$5:$A$1005&lt;=$A330)*MOVIMIENTOS!$E$5:$E$1005)-SUMPRODUCT((MOVIMIENTOS!$B$5:$B$1005="REGALO")*(MOVIMIENTOS!$C$5:$C$1005="P")*(MOVIMIENTOS!$D$5:$D$1005="jabas")*(MOVIMIENTOS!$A$5:$A$1005&lt;&gt;"")*(MOVIMIENTOS!$A$5:$A$1005&lt;=$A330)*MOVIMIENTOS!$E$5:$E$1005)-SUMPRODUCT((MOVIMIENTOS!$B$5:$B$1005="VENTA")*(MOVIMIENTOS!$C$5:$C$1005="P")*(MOVIMIENTOS!$D$5:$D$1005="jabas")*(MOVIMIENTOS!$A$5:$A$1005&lt;&gt;"")*(MOVIMIENTOS!$A$5:$A$1005&lt;=$A330)*MOVIMIENTOS!$E$5:$E$1005)+SUMPRODUCT((MOVIMIENTOS!$B$5:$B$1005="AJUSTE")*(MOVIMIENTOS!$C$5:$C$1005="P")*(MOVIMIENTOS!$D$5:$D$1005="jabas")*(MOVIMIENTOS!$A$5:$A$1005&lt;&gt;"")*(MOVIMIENTOS!$A$5:$A$1005&lt;=$A330)*MOVIMIENTOS!$E$5:$E$1005))</f>
        <v/>
      </c>
      <c r="D330" s="63" t="str">
        <f>IF($A330="","",SUMPRODUCT((MOVIMIENTOS!$B$5:$B$1005="SALDO INICIAL")*(MOVIMIENTOS!$C$5:$C$1005="C")*(MOVIMIENTOS!$D$5:$D$1005="jabas")*(MOVIMIENTOS!$A$5:$A$1005&lt;&gt;"")*(MOVIMIENTOS!$A$5:$A$1005&lt;=$A330)*MOVIMIENTOS!$E$5:$E$1005)+SUMPRODUCT((MOVIMIENTOS!$B$5:$B$1005="PROCESO")*(MOVIMIENTOS!$C$5:$C$1005="C")*(MOVIMIENTOS!$D$5:$D$1005="jabas")*(MOVIMIENTOS!$A$5:$A$1005&lt;&gt;"")*(MOVIMIENTOS!$A$5:$A$1005&lt;=$A330)*MOVIMIENTOS!$E$5:$E$1005)-SUMPRODUCT((MOVIMIENTOS!$B$5:$B$1005="ENVÍO A SUPESA")*(MOVIMIENTOS!$C$5:$C$1005="C")*(MOVIMIENTOS!$D$5:$D$1005="jabas")*(MOVIMIENTOS!$A$5:$A$1005&lt;&gt;"")*(MOVIMIENTOS!$A$5:$A$1005&lt;=$A330)*MOVIMIENTOS!$E$5:$E$1005)+SUMPRODUCT((MOVIMIENTOS!$B$5:$B$1005="DEVOLUCIÓN")*(MOVIMIENTOS!$C$5:$C$1005="C")*(MOVIMIENTOS!$D$5:$D$1005="jabas")*(MOVIMIENTOS!$A$5:$A$1005&lt;&gt;"")*(MOVIMIENTOS!$A$5:$A$1005&lt;=$A330)*MOVIMIENTOS!$E$5:$E$1005)-SUMPRODUCT((MOVIMIENTOS!$B$5:$B$1005="TRASIEGO")*(MOVIMIENTOS!$C$5:$C$1005="C")*(MOVIMIENTOS!$D$5:$D$1005="jabas")*(MOVIMIENTOS!$A$5:$A$1005&lt;&gt;"")*(MOVIMIENTOS!$A$5:$A$1005&lt;=$A330)*MOVIMIENTOS!$E$5:$E$1005)-SUMPRODUCT((MOVIMIENTOS!$B$5:$B$1005="REGALO")*(MOVIMIENTOS!$C$5:$C$1005="C")*(MOVIMIENTOS!$D$5:$D$1005="jabas")*(MOVIMIENTOS!$A$5:$A$1005&lt;&gt;"")*(MOVIMIENTOS!$A$5:$A$1005&lt;=$A330)*MOVIMIENTOS!$E$5:$E$1005)-SUMPRODUCT((MOVIMIENTOS!$B$5:$B$1005="VENTA")*(MOVIMIENTOS!$C$5:$C$1005="C")*(MOVIMIENTOS!$D$5:$D$1005="jabas")*(MOVIMIENTOS!$A$5:$A$1005&lt;&gt;"")*(MOVIMIENTOS!$A$5:$A$1005&lt;=$A330)*MOVIMIENTOS!$E$5:$E$1005)+SUMPRODUCT((MOVIMIENTOS!$B$5:$B$1005="AJUSTE")*(MOVIMIENTOS!$C$5:$C$1005="C")*(MOVIMIENTOS!$D$5:$D$1005="jabas")*(MOVIMIENTOS!$A$5:$A$1005&lt;&gt;"")*(MOVIMIENTOS!$A$5:$A$1005&lt;=$A330)*MOVIMIENTOS!$E$5:$E$1005))</f>
        <v/>
      </c>
      <c r="E330" s="63" t="str">
        <f>IF($A330="","",SUMPRODUCT((MOVIMIENTOS!$B$5:$B$1005="SALDO INICIAL")*(MOVIMIENTOS!$C$5:$C$1005="M")*(MOVIMIENTOS!$D$5:$D$1005="jabas")*(MOVIMIENTOS!$A$5:$A$1005&lt;&gt;"")*(MOVIMIENTOS!$A$5:$A$1005&lt;=$A330)*MOVIMIENTOS!$E$5:$E$1005)+SUMPRODUCT((MOVIMIENTOS!$B$5:$B$1005="PROCESO")*(MOVIMIENTOS!$C$5:$C$1005="M")*(MOVIMIENTOS!$D$5:$D$1005="jabas")*(MOVIMIENTOS!$A$5:$A$1005&lt;&gt;"")*(MOVIMIENTOS!$A$5:$A$1005&lt;=$A330)*MOVIMIENTOS!$E$5:$E$1005)-SUMPRODUCT((MOVIMIENTOS!$B$5:$B$1005="ENVÍO A SUPESA")*(MOVIMIENTOS!$C$5:$C$1005="M")*(MOVIMIENTOS!$D$5:$D$1005="jabas")*(MOVIMIENTOS!$A$5:$A$1005&lt;&gt;"")*(MOVIMIENTOS!$A$5:$A$1005&lt;=$A330)*MOVIMIENTOS!$E$5:$E$1005)+SUMPRODUCT((MOVIMIENTOS!$B$5:$B$1005="DEVOLUCIÓN")*(MOVIMIENTOS!$C$5:$C$1005="M")*(MOVIMIENTOS!$D$5:$D$1005="jabas")*(MOVIMIENTOS!$A$5:$A$1005&lt;&gt;"")*(MOVIMIENTOS!$A$5:$A$1005&lt;=$A330)*MOVIMIENTOS!$E$5:$E$1005)-SUMPRODUCT((MOVIMIENTOS!$B$5:$B$1005="TRASIEGO")*(MOVIMIENTOS!$C$5:$C$1005="M")*(MOVIMIENTOS!$D$5:$D$1005="jabas")*(MOVIMIENTOS!$A$5:$A$1005&lt;&gt;"")*(MOVIMIENTOS!$A$5:$A$1005&lt;=$A330)*MOVIMIENTOS!$E$5:$E$1005)-SUMPRODUCT((MOVIMIENTOS!$B$5:$B$1005="REGALO")*(MOVIMIENTOS!$C$5:$C$1005="M")*(MOVIMIENTOS!$D$5:$D$1005="jabas")*(MOVIMIENTOS!$A$5:$A$1005&lt;&gt;"")*(MOVIMIENTOS!$A$5:$A$1005&lt;=$A330)*MOVIMIENTOS!$E$5:$E$1005)-SUMPRODUCT((MOVIMIENTOS!$B$5:$B$1005="VENTA")*(MOVIMIENTOS!$C$5:$C$1005="M")*(MOVIMIENTOS!$D$5:$D$1005="jabas")*(MOVIMIENTOS!$A$5:$A$1005&lt;&gt;"")*(MOVIMIENTOS!$A$5:$A$1005&lt;=$A330)*MOVIMIENTOS!$E$5:$E$1005)+SUMPRODUCT((MOVIMIENTOS!$B$5:$B$1005="AJUSTE")*(MOVIMIENTOS!$C$5:$C$1005="M")*(MOVIMIENTOS!$D$5:$D$1005="jabas")*(MOVIMIENTOS!$A$5:$A$1005&lt;&gt;"")*(MOVIMIENTOS!$A$5:$A$1005&lt;=$A330)*MOVIMIENTOS!$E$5:$E$1005))</f>
        <v/>
      </c>
      <c r="F330" s="63" t="str">
        <f>IF($A330="","",SUMPRODUCT((MOVIMIENTOS!$B$5:$B$1005="SALDO INICIAL")*(MOVIMIENTOS!$C$5:$C$1005="Chancho")*(MOVIMIENTOS!$D$5:$D$1005="sacos")*(MOVIMIENTOS!$A$5:$A$1005&lt;&gt;"")*(MOVIMIENTOS!$A$5:$A$1005&lt;=$A330)*MOVIMIENTOS!$E$5:$E$1005)+SUMPRODUCT((MOVIMIENTOS!$B$5:$B$1005="PROCESO")*(MOVIMIENTOS!$C$5:$C$1005="Chancho")*(MOVIMIENTOS!$D$5:$D$1005="sacos")*(MOVIMIENTOS!$A$5:$A$1005&lt;&gt;"")*(MOVIMIENTOS!$A$5:$A$1005&lt;=$A330)*MOVIMIENTOS!$E$5:$E$1005)-SUMPRODUCT((MOVIMIENTOS!$B$5:$B$1005="VENTA CHANCHO")*(MOVIMIENTOS!$C$5:$C$1005="Chancho")*(MOVIMIENTOS!$D$5:$D$1005="sacos")*(MOVIMIENTOS!$A$5:$A$1005&lt;&gt;"")*(MOVIMIENTOS!$A$5:$A$1005&lt;=$A330)*MOVIMIENTOS!$E$5:$E$1005)-SUMPRODUCT((MOVIMIENTOS!$B$5:$B$1005="REGALO")*(MOVIMIENTOS!$C$5:$C$1005="Chancho")*(MOVIMIENTOS!$D$5:$D$1005="sacos")*(MOVIMIENTOS!$A$5:$A$1005&lt;&gt;"")*(MOVIMIENTOS!$A$5:$A$1005&lt;=$A330)*MOVIMIENTOS!$E$5:$E$1005)-SUMPRODUCT((MOVIMIENTOS!$B$5:$B$1005="VENTA")*(MOVIMIENTOS!$C$5:$C$1005="Chancho")*(MOVIMIENTOS!$D$5:$D$1005="sacos")*(MOVIMIENTOS!$A$5:$A$1005&lt;&gt;"")*(MOVIMIENTOS!$A$5:$A$1005&lt;=$A330)*MOVIMIENTOS!$E$5:$E$1005)+SUMPRODUCT((MOVIMIENTOS!$B$5:$B$1005="AJUSTE")*(MOVIMIENTOS!$C$5:$C$1005="Chancho")*(MOVIMIENTOS!$D$5:$D$1005="sacos")*(MOVIMIENTOS!$A$5:$A$1005&lt;&gt;"")*(MOVIMIENTOS!$A$5:$A$1005&lt;=$A330)*MOVIMIENTOS!$E$5:$E$1005))</f>
        <v/>
      </c>
      <c r="G330" s="95" t="str">
        <f t="shared" si="11"/>
        <v/>
      </c>
      <c r="H330" s="63" t="str">
        <f>IF($A330="","",SUMPRODUCT((((MOVIMIENTOS!$B$5:$B$1005="SALDO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330)*MOVIMIENTOS!$J$5:$J$1005))</f>
        <v/>
      </c>
      <c r="I330" s="63"/>
      <c r="J330" s="63" t="str">
        <f>IF(AND(MOVIMIENTOS!$A329&lt;&gt;"",COUNTIF(MOVIMIENTOS!$A$5:$A328,MOVIMIENTOS!$A329)=0),COUNT(J$4:J329)+1,"")</f>
        <v/>
      </c>
      <c r="K330" s="66">
        <f>MOVIMIENTOS!$A329</f>
        <v>46242</v>
      </c>
      <c r="L330" s="63"/>
      <c r="M330" s="63"/>
      <c r="N330" s="63"/>
    </row>
    <row r="331" spans="1:14" ht="15" customHeight="1" x14ac:dyDescent="0.2">
      <c r="A331" s="63" t="str">
        <f t="shared" si="10"/>
        <v/>
      </c>
      <c r="B331" s="63" t="str">
        <f>IF($A331="","",SUMPRODUCT((MOVIMIENTOS!$B$5:$B$1005="SALDO INICIAL")*(MOVIMIENTOS!$C$5:$C$1005="A")*(MOVIMIENTOS!$D$5:$D$1005="jabas")*(MOVIMIENTOS!$A$5:$A$1005&lt;&gt;"")*(MOVIMIENTOS!$A$5:$A$1005&lt;=$A331)*MOVIMIENTOS!$E$5:$E$1005)+SUMPRODUCT((MOVIMIENTOS!$B$5:$B$1005="PROCESO")*(MOVIMIENTOS!$C$5:$C$1005="A")*(MOVIMIENTOS!$D$5:$D$1005="jabas")*(MOVIMIENTOS!$A$5:$A$1005&lt;&gt;"")*(MOVIMIENTOS!$A$5:$A$1005&lt;=$A331)*MOVIMIENTOS!$E$5:$E$1005)-SUMPRODUCT((MOVIMIENTOS!$B$5:$B$1005="ENVÍO A SUPESA")*(MOVIMIENTOS!$C$5:$C$1005="A")*(MOVIMIENTOS!$D$5:$D$1005="jabas")*(MOVIMIENTOS!$A$5:$A$1005&lt;&gt;"")*(MOVIMIENTOS!$A$5:$A$1005&lt;=$A331)*MOVIMIENTOS!$E$5:$E$1005)+SUMPRODUCT((MOVIMIENTOS!$B$5:$B$1005="DEVOLUCIÓN")*(MOVIMIENTOS!$C$5:$C$1005="A")*(MOVIMIENTOS!$D$5:$D$1005="jabas")*(MOVIMIENTOS!$A$5:$A$1005&lt;&gt;"")*(MOVIMIENTOS!$A$5:$A$1005&lt;=$A331)*MOVIMIENTOS!$E$5:$E$1005)-SUMPRODUCT((MOVIMIENTOS!$B$5:$B$1005="TRASIEGO")*(MOVIMIENTOS!$C$5:$C$1005="A")*(MOVIMIENTOS!$D$5:$D$1005="jabas")*(MOVIMIENTOS!$A$5:$A$1005&lt;&gt;"")*(MOVIMIENTOS!$A$5:$A$1005&lt;=$A331)*MOVIMIENTOS!$E$5:$E$1005)-SUMPRODUCT((MOVIMIENTOS!$B$5:$B$1005="REGALO")*(MOVIMIENTOS!$C$5:$C$1005="A")*(MOVIMIENTOS!$D$5:$D$1005="jabas")*(MOVIMIENTOS!$A$5:$A$1005&lt;&gt;"")*(MOVIMIENTOS!$A$5:$A$1005&lt;=$A331)*MOVIMIENTOS!$E$5:$E$1005)-SUMPRODUCT((MOVIMIENTOS!$B$5:$B$1005="VENTA")*(MOVIMIENTOS!$C$5:$C$1005="A")*(MOVIMIENTOS!$D$5:$D$1005="jabas")*(MOVIMIENTOS!$A$5:$A$1005&lt;&gt;"")*(MOVIMIENTOS!$A$5:$A$1005&lt;=$A331)*MOVIMIENTOS!$E$5:$E$1005)+SUMPRODUCT((MOVIMIENTOS!$B$5:$B$1005="AJUSTE")*(MOVIMIENTOS!$C$5:$C$1005="A")*(MOVIMIENTOS!$D$5:$D$1005="jabas")*(MOVIMIENTOS!$A$5:$A$1005&lt;&gt;"")*(MOVIMIENTOS!$A$5:$A$1005&lt;=$A331)*MOVIMIENTOS!$E$5:$E$1005))</f>
        <v/>
      </c>
      <c r="C331" s="63" t="str">
        <f>IF($A331="","",SUMPRODUCT((MOVIMIENTOS!$B$5:$B$1005="SALDO INICIAL")*(MOVIMIENTOS!$C$5:$C$1005="P")*(MOVIMIENTOS!$D$5:$D$1005="jabas")*(MOVIMIENTOS!$A$5:$A$1005&lt;&gt;"")*(MOVIMIENTOS!$A$5:$A$1005&lt;=$A331)*MOVIMIENTOS!$E$5:$E$1005)+SUMPRODUCT((MOVIMIENTOS!$B$5:$B$1005="PROCESO")*(MOVIMIENTOS!$C$5:$C$1005="P")*(MOVIMIENTOS!$D$5:$D$1005="jabas")*(MOVIMIENTOS!$A$5:$A$1005&lt;&gt;"")*(MOVIMIENTOS!$A$5:$A$1005&lt;=$A331)*MOVIMIENTOS!$E$5:$E$1005)-SUMPRODUCT((MOVIMIENTOS!$B$5:$B$1005="ENVÍO A SUPESA")*(MOVIMIENTOS!$C$5:$C$1005="P")*(MOVIMIENTOS!$D$5:$D$1005="jabas")*(MOVIMIENTOS!$A$5:$A$1005&lt;&gt;"")*(MOVIMIENTOS!$A$5:$A$1005&lt;=$A331)*MOVIMIENTOS!$E$5:$E$1005)+SUMPRODUCT((MOVIMIENTOS!$B$5:$B$1005="DEVOLUCIÓN")*(MOVIMIENTOS!$C$5:$C$1005="P")*(MOVIMIENTOS!$D$5:$D$1005="jabas")*(MOVIMIENTOS!$A$5:$A$1005&lt;&gt;"")*(MOVIMIENTOS!$A$5:$A$1005&lt;=$A331)*MOVIMIENTOS!$E$5:$E$1005)-SUMPRODUCT((MOVIMIENTOS!$B$5:$B$1005="TRASIEGO")*(MOVIMIENTOS!$C$5:$C$1005="P")*(MOVIMIENTOS!$D$5:$D$1005="jabas")*(MOVIMIENTOS!$A$5:$A$1005&lt;&gt;"")*(MOVIMIENTOS!$A$5:$A$1005&lt;=$A331)*MOVIMIENTOS!$E$5:$E$1005)-SUMPRODUCT((MOVIMIENTOS!$B$5:$B$1005="REGALO")*(MOVIMIENTOS!$C$5:$C$1005="P")*(MOVIMIENTOS!$D$5:$D$1005="jabas")*(MOVIMIENTOS!$A$5:$A$1005&lt;&gt;"")*(MOVIMIENTOS!$A$5:$A$1005&lt;=$A331)*MOVIMIENTOS!$E$5:$E$1005)-SUMPRODUCT((MOVIMIENTOS!$B$5:$B$1005="VENTA")*(MOVIMIENTOS!$C$5:$C$1005="P")*(MOVIMIENTOS!$D$5:$D$1005="jabas")*(MOVIMIENTOS!$A$5:$A$1005&lt;&gt;"")*(MOVIMIENTOS!$A$5:$A$1005&lt;=$A331)*MOVIMIENTOS!$E$5:$E$1005)+SUMPRODUCT((MOVIMIENTOS!$B$5:$B$1005="AJUSTE")*(MOVIMIENTOS!$C$5:$C$1005="P")*(MOVIMIENTOS!$D$5:$D$1005="jabas")*(MOVIMIENTOS!$A$5:$A$1005&lt;&gt;"")*(MOVIMIENTOS!$A$5:$A$1005&lt;=$A331)*MOVIMIENTOS!$E$5:$E$1005))</f>
        <v/>
      </c>
      <c r="D331" s="63" t="str">
        <f>IF($A331="","",SUMPRODUCT((MOVIMIENTOS!$B$5:$B$1005="SALDO INICIAL")*(MOVIMIENTOS!$C$5:$C$1005="C")*(MOVIMIENTOS!$D$5:$D$1005="jabas")*(MOVIMIENTOS!$A$5:$A$1005&lt;&gt;"")*(MOVIMIENTOS!$A$5:$A$1005&lt;=$A331)*MOVIMIENTOS!$E$5:$E$1005)+SUMPRODUCT((MOVIMIENTOS!$B$5:$B$1005="PROCESO")*(MOVIMIENTOS!$C$5:$C$1005="C")*(MOVIMIENTOS!$D$5:$D$1005="jabas")*(MOVIMIENTOS!$A$5:$A$1005&lt;&gt;"")*(MOVIMIENTOS!$A$5:$A$1005&lt;=$A331)*MOVIMIENTOS!$E$5:$E$1005)-SUMPRODUCT((MOVIMIENTOS!$B$5:$B$1005="ENVÍO A SUPESA")*(MOVIMIENTOS!$C$5:$C$1005="C")*(MOVIMIENTOS!$D$5:$D$1005="jabas")*(MOVIMIENTOS!$A$5:$A$1005&lt;&gt;"")*(MOVIMIENTOS!$A$5:$A$1005&lt;=$A331)*MOVIMIENTOS!$E$5:$E$1005)+SUMPRODUCT((MOVIMIENTOS!$B$5:$B$1005="DEVOLUCIÓN")*(MOVIMIENTOS!$C$5:$C$1005="C")*(MOVIMIENTOS!$D$5:$D$1005="jabas")*(MOVIMIENTOS!$A$5:$A$1005&lt;&gt;"")*(MOVIMIENTOS!$A$5:$A$1005&lt;=$A331)*MOVIMIENTOS!$E$5:$E$1005)-SUMPRODUCT((MOVIMIENTOS!$B$5:$B$1005="TRASIEGO")*(MOVIMIENTOS!$C$5:$C$1005="C")*(MOVIMIENTOS!$D$5:$D$1005="jabas")*(MOVIMIENTOS!$A$5:$A$1005&lt;&gt;"")*(MOVIMIENTOS!$A$5:$A$1005&lt;=$A331)*MOVIMIENTOS!$E$5:$E$1005)-SUMPRODUCT((MOVIMIENTOS!$B$5:$B$1005="REGALO")*(MOVIMIENTOS!$C$5:$C$1005="C")*(MOVIMIENTOS!$D$5:$D$1005="jabas")*(MOVIMIENTOS!$A$5:$A$1005&lt;&gt;"")*(MOVIMIENTOS!$A$5:$A$1005&lt;=$A331)*MOVIMIENTOS!$E$5:$E$1005)-SUMPRODUCT((MOVIMIENTOS!$B$5:$B$1005="VENTA")*(MOVIMIENTOS!$C$5:$C$1005="C")*(MOVIMIENTOS!$D$5:$D$1005="jabas")*(MOVIMIENTOS!$A$5:$A$1005&lt;&gt;"")*(MOVIMIENTOS!$A$5:$A$1005&lt;=$A331)*MOVIMIENTOS!$E$5:$E$1005)+SUMPRODUCT((MOVIMIENTOS!$B$5:$B$1005="AJUSTE")*(MOVIMIENTOS!$C$5:$C$1005="C")*(MOVIMIENTOS!$D$5:$D$1005="jabas")*(MOVIMIENTOS!$A$5:$A$1005&lt;&gt;"")*(MOVIMIENTOS!$A$5:$A$1005&lt;=$A331)*MOVIMIENTOS!$E$5:$E$1005))</f>
        <v/>
      </c>
      <c r="E331" s="63" t="str">
        <f>IF($A331="","",SUMPRODUCT((MOVIMIENTOS!$B$5:$B$1005="SALDO INICIAL")*(MOVIMIENTOS!$C$5:$C$1005="M")*(MOVIMIENTOS!$D$5:$D$1005="jabas")*(MOVIMIENTOS!$A$5:$A$1005&lt;&gt;"")*(MOVIMIENTOS!$A$5:$A$1005&lt;=$A331)*MOVIMIENTOS!$E$5:$E$1005)+SUMPRODUCT((MOVIMIENTOS!$B$5:$B$1005="PROCESO")*(MOVIMIENTOS!$C$5:$C$1005="M")*(MOVIMIENTOS!$D$5:$D$1005="jabas")*(MOVIMIENTOS!$A$5:$A$1005&lt;&gt;"")*(MOVIMIENTOS!$A$5:$A$1005&lt;=$A331)*MOVIMIENTOS!$E$5:$E$1005)-SUMPRODUCT((MOVIMIENTOS!$B$5:$B$1005="ENVÍO A SUPESA")*(MOVIMIENTOS!$C$5:$C$1005="M")*(MOVIMIENTOS!$D$5:$D$1005="jabas")*(MOVIMIENTOS!$A$5:$A$1005&lt;&gt;"")*(MOVIMIENTOS!$A$5:$A$1005&lt;=$A331)*MOVIMIENTOS!$E$5:$E$1005)+SUMPRODUCT((MOVIMIENTOS!$B$5:$B$1005="DEVOLUCIÓN")*(MOVIMIENTOS!$C$5:$C$1005="M")*(MOVIMIENTOS!$D$5:$D$1005="jabas")*(MOVIMIENTOS!$A$5:$A$1005&lt;&gt;"")*(MOVIMIENTOS!$A$5:$A$1005&lt;=$A331)*MOVIMIENTOS!$E$5:$E$1005)-SUMPRODUCT((MOVIMIENTOS!$B$5:$B$1005="TRASIEGO")*(MOVIMIENTOS!$C$5:$C$1005="M")*(MOVIMIENTOS!$D$5:$D$1005="jabas")*(MOVIMIENTOS!$A$5:$A$1005&lt;&gt;"")*(MOVIMIENTOS!$A$5:$A$1005&lt;=$A331)*MOVIMIENTOS!$E$5:$E$1005)-SUMPRODUCT((MOVIMIENTOS!$B$5:$B$1005="REGALO")*(MOVIMIENTOS!$C$5:$C$1005="M")*(MOVIMIENTOS!$D$5:$D$1005="jabas")*(MOVIMIENTOS!$A$5:$A$1005&lt;&gt;"")*(MOVIMIENTOS!$A$5:$A$1005&lt;=$A331)*MOVIMIENTOS!$E$5:$E$1005)-SUMPRODUCT((MOVIMIENTOS!$B$5:$B$1005="VENTA")*(MOVIMIENTOS!$C$5:$C$1005="M")*(MOVIMIENTOS!$D$5:$D$1005="jabas")*(MOVIMIENTOS!$A$5:$A$1005&lt;&gt;"")*(MOVIMIENTOS!$A$5:$A$1005&lt;=$A331)*MOVIMIENTOS!$E$5:$E$1005)+SUMPRODUCT((MOVIMIENTOS!$B$5:$B$1005="AJUSTE")*(MOVIMIENTOS!$C$5:$C$1005="M")*(MOVIMIENTOS!$D$5:$D$1005="jabas")*(MOVIMIENTOS!$A$5:$A$1005&lt;&gt;"")*(MOVIMIENTOS!$A$5:$A$1005&lt;=$A331)*MOVIMIENTOS!$E$5:$E$1005))</f>
        <v/>
      </c>
      <c r="F331" s="63" t="str">
        <f>IF($A331="","",SUMPRODUCT((MOVIMIENTOS!$B$5:$B$1005="SALDO INICIAL")*(MOVIMIENTOS!$C$5:$C$1005="Chancho")*(MOVIMIENTOS!$D$5:$D$1005="sacos")*(MOVIMIENTOS!$A$5:$A$1005&lt;&gt;"")*(MOVIMIENTOS!$A$5:$A$1005&lt;=$A331)*MOVIMIENTOS!$E$5:$E$1005)+SUMPRODUCT((MOVIMIENTOS!$B$5:$B$1005="PROCESO")*(MOVIMIENTOS!$C$5:$C$1005="Chancho")*(MOVIMIENTOS!$D$5:$D$1005="sacos")*(MOVIMIENTOS!$A$5:$A$1005&lt;&gt;"")*(MOVIMIENTOS!$A$5:$A$1005&lt;=$A331)*MOVIMIENTOS!$E$5:$E$1005)-SUMPRODUCT((MOVIMIENTOS!$B$5:$B$1005="VENTA CHANCHO")*(MOVIMIENTOS!$C$5:$C$1005="Chancho")*(MOVIMIENTOS!$D$5:$D$1005="sacos")*(MOVIMIENTOS!$A$5:$A$1005&lt;&gt;"")*(MOVIMIENTOS!$A$5:$A$1005&lt;=$A331)*MOVIMIENTOS!$E$5:$E$1005)-SUMPRODUCT((MOVIMIENTOS!$B$5:$B$1005="REGALO")*(MOVIMIENTOS!$C$5:$C$1005="Chancho")*(MOVIMIENTOS!$D$5:$D$1005="sacos")*(MOVIMIENTOS!$A$5:$A$1005&lt;&gt;"")*(MOVIMIENTOS!$A$5:$A$1005&lt;=$A331)*MOVIMIENTOS!$E$5:$E$1005)-SUMPRODUCT((MOVIMIENTOS!$B$5:$B$1005="VENTA")*(MOVIMIENTOS!$C$5:$C$1005="Chancho")*(MOVIMIENTOS!$D$5:$D$1005="sacos")*(MOVIMIENTOS!$A$5:$A$1005&lt;&gt;"")*(MOVIMIENTOS!$A$5:$A$1005&lt;=$A331)*MOVIMIENTOS!$E$5:$E$1005)+SUMPRODUCT((MOVIMIENTOS!$B$5:$B$1005="AJUSTE")*(MOVIMIENTOS!$C$5:$C$1005="Chancho")*(MOVIMIENTOS!$D$5:$D$1005="sacos")*(MOVIMIENTOS!$A$5:$A$1005&lt;&gt;"")*(MOVIMIENTOS!$A$5:$A$1005&lt;=$A331)*MOVIMIENTOS!$E$5:$E$1005))</f>
        <v/>
      </c>
      <c r="G331" s="95" t="str">
        <f t="shared" si="11"/>
        <v/>
      </c>
      <c r="H331" s="63" t="str">
        <f>IF($A331="","",SUMPRODUCT((((MOVIMIENTOS!$B$5:$B$1005="SALDO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331)*MOVIMIENTOS!$J$5:$J$1005))</f>
        <v/>
      </c>
      <c r="I331" s="63"/>
      <c r="J331" s="63">
        <f>IF(AND(MOVIMIENTOS!$A330&lt;&gt;"",COUNTIF(MOVIMIENTOS!$A$5:$A329,MOVIMIENTOS!$A330)=0),COUNT(J$4:J330)+1,"")</f>
        <v>30</v>
      </c>
      <c r="K331" s="66">
        <f>MOVIMIENTOS!$A330</f>
        <v>46243</v>
      </c>
      <c r="L331" s="63"/>
      <c r="M331" s="63"/>
      <c r="N331" s="63"/>
    </row>
    <row r="332" spans="1:14" ht="15" customHeight="1" x14ac:dyDescent="0.2">
      <c r="A332" s="63" t="str">
        <f t="shared" si="10"/>
        <v/>
      </c>
      <c r="B332" s="63" t="str">
        <f>IF($A332="","",SUMPRODUCT((MOVIMIENTOS!$B$5:$B$1005="SALDO INICIAL")*(MOVIMIENTOS!$C$5:$C$1005="A")*(MOVIMIENTOS!$D$5:$D$1005="jabas")*(MOVIMIENTOS!$A$5:$A$1005&lt;&gt;"")*(MOVIMIENTOS!$A$5:$A$1005&lt;=$A332)*MOVIMIENTOS!$E$5:$E$1005)+SUMPRODUCT((MOVIMIENTOS!$B$5:$B$1005="PROCESO")*(MOVIMIENTOS!$C$5:$C$1005="A")*(MOVIMIENTOS!$D$5:$D$1005="jabas")*(MOVIMIENTOS!$A$5:$A$1005&lt;&gt;"")*(MOVIMIENTOS!$A$5:$A$1005&lt;=$A332)*MOVIMIENTOS!$E$5:$E$1005)-SUMPRODUCT((MOVIMIENTOS!$B$5:$B$1005="ENVÍO A SUPESA")*(MOVIMIENTOS!$C$5:$C$1005="A")*(MOVIMIENTOS!$D$5:$D$1005="jabas")*(MOVIMIENTOS!$A$5:$A$1005&lt;&gt;"")*(MOVIMIENTOS!$A$5:$A$1005&lt;=$A332)*MOVIMIENTOS!$E$5:$E$1005)+SUMPRODUCT((MOVIMIENTOS!$B$5:$B$1005="DEVOLUCIÓN")*(MOVIMIENTOS!$C$5:$C$1005="A")*(MOVIMIENTOS!$D$5:$D$1005="jabas")*(MOVIMIENTOS!$A$5:$A$1005&lt;&gt;"")*(MOVIMIENTOS!$A$5:$A$1005&lt;=$A332)*MOVIMIENTOS!$E$5:$E$1005)-SUMPRODUCT((MOVIMIENTOS!$B$5:$B$1005="TRASIEGO")*(MOVIMIENTOS!$C$5:$C$1005="A")*(MOVIMIENTOS!$D$5:$D$1005="jabas")*(MOVIMIENTOS!$A$5:$A$1005&lt;&gt;"")*(MOVIMIENTOS!$A$5:$A$1005&lt;=$A332)*MOVIMIENTOS!$E$5:$E$1005)-SUMPRODUCT((MOVIMIENTOS!$B$5:$B$1005="REGALO")*(MOVIMIENTOS!$C$5:$C$1005="A")*(MOVIMIENTOS!$D$5:$D$1005="jabas")*(MOVIMIENTOS!$A$5:$A$1005&lt;&gt;"")*(MOVIMIENTOS!$A$5:$A$1005&lt;=$A332)*MOVIMIENTOS!$E$5:$E$1005)-SUMPRODUCT((MOVIMIENTOS!$B$5:$B$1005="VENTA")*(MOVIMIENTOS!$C$5:$C$1005="A")*(MOVIMIENTOS!$D$5:$D$1005="jabas")*(MOVIMIENTOS!$A$5:$A$1005&lt;&gt;"")*(MOVIMIENTOS!$A$5:$A$1005&lt;=$A332)*MOVIMIENTOS!$E$5:$E$1005)+SUMPRODUCT((MOVIMIENTOS!$B$5:$B$1005="AJUSTE")*(MOVIMIENTOS!$C$5:$C$1005="A")*(MOVIMIENTOS!$D$5:$D$1005="jabas")*(MOVIMIENTOS!$A$5:$A$1005&lt;&gt;"")*(MOVIMIENTOS!$A$5:$A$1005&lt;=$A332)*MOVIMIENTOS!$E$5:$E$1005))</f>
        <v/>
      </c>
      <c r="C332" s="63" t="str">
        <f>IF($A332="","",SUMPRODUCT((MOVIMIENTOS!$B$5:$B$1005="SALDO INICIAL")*(MOVIMIENTOS!$C$5:$C$1005="P")*(MOVIMIENTOS!$D$5:$D$1005="jabas")*(MOVIMIENTOS!$A$5:$A$1005&lt;&gt;"")*(MOVIMIENTOS!$A$5:$A$1005&lt;=$A332)*MOVIMIENTOS!$E$5:$E$1005)+SUMPRODUCT((MOVIMIENTOS!$B$5:$B$1005="PROCESO")*(MOVIMIENTOS!$C$5:$C$1005="P")*(MOVIMIENTOS!$D$5:$D$1005="jabas")*(MOVIMIENTOS!$A$5:$A$1005&lt;&gt;"")*(MOVIMIENTOS!$A$5:$A$1005&lt;=$A332)*MOVIMIENTOS!$E$5:$E$1005)-SUMPRODUCT((MOVIMIENTOS!$B$5:$B$1005="ENVÍO A SUPESA")*(MOVIMIENTOS!$C$5:$C$1005="P")*(MOVIMIENTOS!$D$5:$D$1005="jabas")*(MOVIMIENTOS!$A$5:$A$1005&lt;&gt;"")*(MOVIMIENTOS!$A$5:$A$1005&lt;=$A332)*MOVIMIENTOS!$E$5:$E$1005)+SUMPRODUCT((MOVIMIENTOS!$B$5:$B$1005="DEVOLUCIÓN")*(MOVIMIENTOS!$C$5:$C$1005="P")*(MOVIMIENTOS!$D$5:$D$1005="jabas")*(MOVIMIENTOS!$A$5:$A$1005&lt;&gt;"")*(MOVIMIENTOS!$A$5:$A$1005&lt;=$A332)*MOVIMIENTOS!$E$5:$E$1005)-SUMPRODUCT((MOVIMIENTOS!$B$5:$B$1005="TRASIEGO")*(MOVIMIENTOS!$C$5:$C$1005="P")*(MOVIMIENTOS!$D$5:$D$1005="jabas")*(MOVIMIENTOS!$A$5:$A$1005&lt;&gt;"")*(MOVIMIENTOS!$A$5:$A$1005&lt;=$A332)*MOVIMIENTOS!$E$5:$E$1005)-SUMPRODUCT((MOVIMIENTOS!$B$5:$B$1005="REGALO")*(MOVIMIENTOS!$C$5:$C$1005="P")*(MOVIMIENTOS!$D$5:$D$1005="jabas")*(MOVIMIENTOS!$A$5:$A$1005&lt;&gt;"")*(MOVIMIENTOS!$A$5:$A$1005&lt;=$A332)*MOVIMIENTOS!$E$5:$E$1005)-SUMPRODUCT((MOVIMIENTOS!$B$5:$B$1005="VENTA")*(MOVIMIENTOS!$C$5:$C$1005="P")*(MOVIMIENTOS!$D$5:$D$1005="jabas")*(MOVIMIENTOS!$A$5:$A$1005&lt;&gt;"")*(MOVIMIENTOS!$A$5:$A$1005&lt;=$A332)*MOVIMIENTOS!$E$5:$E$1005)+SUMPRODUCT((MOVIMIENTOS!$B$5:$B$1005="AJUSTE")*(MOVIMIENTOS!$C$5:$C$1005="P")*(MOVIMIENTOS!$D$5:$D$1005="jabas")*(MOVIMIENTOS!$A$5:$A$1005&lt;&gt;"")*(MOVIMIENTOS!$A$5:$A$1005&lt;=$A332)*MOVIMIENTOS!$E$5:$E$1005))</f>
        <v/>
      </c>
      <c r="D332" s="63" t="str">
        <f>IF($A332="","",SUMPRODUCT((MOVIMIENTOS!$B$5:$B$1005="SALDO INICIAL")*(MOVIMIENTOS!$C$5:$C$1005="C")*(MOVIMIENTOS!$D$5:$D$1005="jabas")*(MOVIMIENTOS!$A$5:$A$1005&lt;&gt;"")*(MOVIMIENTOS!$A$5:$A$1005&lt;=$A332)*MOVIMIENTOS!$E$5:$E$1005)+SUMPRODUCT((MOVIMIENTOS!$B$5:$B$1005="PROCESO")*(MOVIMIENTOS!$C$5:$C$1005="C")*(MOVIMIENTOS!$D$5:$D$1005="jabas")*(MOVIMIENTOS!$A$5:$A$1005&lt;&gt;"")*(MOVIMIENTOS!$A$5:$A$1005&lt;=$A332)*MOVIMIENTOS!$E$5:$E$1005)-SUMPRODUCT((MOVIMIENTOS!$B$5:$B$1005="ENVÍO A SUPESA")*(MOVIMIENTOS!$C$5:$C$1005="C")*(MOVIMIENTOS!$D$5:$D$1005="jabas")*(MOVIMIENTOS!$A$5:$A$1005&lt;&gt;"")*(MOVIMIENTOS!$A$5:$A$1005&lt;=$A332)*MOVIMIENTOS!$E$5:$E$1005)+SUMPRODUCT((MOVIMIENTOS!$B$5:$B$1005="DEVOLUCIÓN")*(MOVIMIENTOS!$C$5:$C$1005="C")*(MOVIMIENTOS!$D$5:$D$1005="jabas")*(MOVIMIENTOS!$A$5:$A$1005&lt;&gt;"")*(MOVIMIENTOS!$A$5:$A$1005&lt;=$A332)*MOVIMIENTOS!$E$5:$E$1005)-SUMPRODUCT((MOVIMIENTOS!$B$5:$B$1005="TRASIEGO")*(MOVIMIENTOS!$C$5:$C$1005="C")*(MOVIMIENTOS!$D$5:$D$1005="jabas")*(MOVIMIENTOS!$A$5:$A$1005&lt;&gt;"")*(MOVIMIENTOS!$A$5:$A$1005&lt;=$A332)*MOVIMIENTOS!$E$5:$E$1005)-SUMPRODUCT((MOVIMIENTOS!$B$5:$B$1005="REGALO")*(MOVIMIENTOS!$C$5:$C$1005="C")*(MOVIMIENTOS!$D$5:$D$1005="jabas")*(MOVIMIENTOS!$A$5:$A$1005&lt;&gt;"")*(MOVIMIENTOS!$A$5:$A$1005&lt;=$A332)*MOVIMIENTOS!$E$5:$E$1005)-SUMPRODUCT((MOVIMIENTOS!$B$5:$B$1005="VENTA")*(MOVIMIENTOS!$C$5:$C$1005="C")*(MOVIMIENTOS!$D$5:$D$1005="jabas")*(MOVIMIENTOS!$A$5:$A$1005&lt;&gt;"")*(MOVIMIENTOS!$A$5:$A$1005&lt;=$A332)*MOVIMIENTOS!$E$5:$E$1005)+SUMPRODUCT((MOVIMIENTOS!$B$5:$B$1005="AJUSTE")*(MOVIMIENTOS!$C$5:$C$1005="C")*(MOVIMIENTOS!$D$5:$D$1005="jabas")*(MOVIMIENTOS!$A$5:$A$1005&lt;&gt;"")*(MOVIMIENTOS!$A$5:$A$1005&lt;=$A332)*MOVIMIENTOS!$E$5:$E$1005))</f>
        <v/>
      </c>
      <c r="E332" s="63" t="str">
        <f>IF($A332="","",SUMPRODUCT((MOVIMIENTOS!$B$5:$B$1005="SALDO INICIAL")*(MOVIMIENTOS!$C$5:$C$1005="M")*(MOVIMIENTOS!$D$5:$D$1005="jabas")*(MOVIMIENTOS!$A$5:$A$1005&lt;&gt;"")*(MOVIMIENTOS!$A$5:$A$1005&lt;=$A332)*MOVIMIENTOS!$E$5:$E$1005)+SUMPRODUCT((MOVIMIENTOS!$B$5:$B$1005="PROCESO")*(MOVIMIENTOS!$C$5:$C$1005="M")*(MOVIMIENTOS!$D$5:$D$1005="jabas")*(MOVIMIENTOS!$A$5:$A$1005&lt;&gt;"")*(MOVIMIENTOS!$A$5:$A$1005&lt;=$A332)*MOVIMIENTOS!$E$5:$E$1005)-SUMPRODUCT((MOVIMIENTOS!$B$5:$B$1005="ENVÍO A SUPESA")*(MOVIMIENTOS!$C$5:$C$1005="M")*(MOVIMIENTOS!$D$5:$D$1005="jabas")*(MOVIMIENTOS!$A$5:$A$1005&lt;&gt;"")*(MOVIMIENTOS!$A$5:$A$1005&lt;=$A332)*MOVIMIENTOS!$E$5:$E$1005)+SUMPRODUCT((MOVIMIENTOS!$B$5:$B$1005="DEVOLUCIÓN")*(MOVIMIENTOS!$C$5:$C$1005="M")*(MOVIMIENTOS!$D$5:$D$1005="jabas")*(MOVIMIENTOS!$A$5:$A$1005&lt;&gt;"")*(MOVIMIENTOS!$A$5:$A$1005&lt;=$A332)*MOVIMIENTOS!$E$5:$E$1005)-SUMPRODUCT((MOVIMIENTOS!$B$5:$B$1005="TRASIEGO")*(MOVIMIENTOS!$C$5:$C$1005="M")*(MOVIMIENTOS!$D$5:$D$1005="jabas")*(MOVIMIENTOS!$A$5:$A$1005&lt;&gt;"")*(MOVIMIENTOS!$A$5:$A$1005&lt;=$A332)*MOVIMIENTOS!$E$5:$E$1005)-SUMPRODUCT((MOVIMIENTOS!$B$5:$B$1005="REGALO")*(MOVIMIENTOS!$C$5:$C$1005="M")*(MOVIMIENTOS!$D$5:$D$1005="jabas")*(MOVIMIENTOS!$A$5:$A$1005&lt;&gt;"")*(MOVIMIENTOS!$A$5:$A$1005&lt;=$A332)*MOVIMIENTOS!$E$5:$E$1005)-SUMPRODUCT((MOVIMIENTOS!$B$5:$B$1005="VENTA")*(MOVIMIENTOS!$C$5:$C$1005="M")*(MOVIMIENTOS!$D$5:$D$1005="jabas")*(MOVIMIENTOS!$A$5:$A$1005&lt;&gt;"")*(MOVIMIENTOS!$A$5:$A$1005&lt;=$A332)*MOVIMIENTOS!$E$5:$E$1005)+SUMPRODUCT((MOVIMIENTOS!$B$5:$B$1005="AJUSTE")*(MOVIMIENTOS!$C$5:$C$1005="M")*(MOVIMIENTOS!$D$5:$D$1005="jabas")*(MOVIMIENTOS!$A$5:$A$1005&lt;&gt;"")*(MOVIMIENTOS!$A$5:$A$1005&lt;=$A332)*MOVIMIENTOS!$E$5:$E$1005))</f>
        <v/>
      </c>
      <c r="F332" s="63" t="str">
        <f>IF($A332="","",SUMPRODUCT((MOVIMIENTOS!$B$5:$B$1005="SALDO INICIAL")*(MOVIMIENTOS!$C$5:$C$1005="Chancho")*(MOVIMIENTOS!$D$5:$D$1005="sacos")*(MOVIMIENTOS!$A$5:$A$1005&lt;&gt;"")*(MOVIMIENTOS!$A$5:$A$1005&lt;=$A332)*MOVIMIENTOS!$E$5:$E$1005)+SUMPRODUCT((MOVIMIENTOS!$B$5:$B$1005="PROCESO")*(MOVIMIENTOS!$C$5:$C$1005="Chancho")*(MOVIMIENTOS!$D$5:$D$1005="sacos")*(MOVIMIENTOS!$A$5:$A$1005&lt;&gt;"")*(MOVIMIENTOS!$A$5:$A$1005&lt;=$A332)*MOVIMIENTOS!$E$5:$E$1005)-SUMPRODUCT((MOVIMIENTOS!$B$5:$B$1005="VENTA CHANCHO")*(MOVIMIENTOS!$C$5:$C$1005="Chancho")*(MOVIMIENTOS!$D$5:$D$1005="sacos")*(MOVIMIENTOS!$A$5:$A$1005&lt;&gt;"")*(MOVIMIENTOS!$A$5:$A$1005&lt;=$A332)*MOVIMIENTOS!$E$5:$E$1005)-SUMPRODUCT((MOVIMIENTOS!$B$5:$B$1005="REGALO")*(MOVIMIENTOS!$C$5:$C$1005="Chancho")*(MOVIMIENTOS!$D$5:$D$1005="sacos")*(MOVIMIENTOS!$A$5:$A$1005&lt;&gt;"")*(MOVIMIENTOS!$A$5:$A$1005&lt;=$A332)*MOVIMIENTOS!$E$5:$E$1005)-SUMPRODUCT((MOVIMIENTOS!$B$5:$B$1005="VENTA")*(MOVIMIENTOS!$C$5:$C$1005="Chancho")*(MOVIMIENTOS!$D$5:$D$1005="sacos")*(MOVIMIENTOS!$A$5:$A$1005&lt;&gt;"")*(MOVIMIENTOS!$A$5:$A$1005&lt;=$A332)*MOVIMIENTOS!$E$5:$E$1005)+SUMPRODUCT((MOVIMIENTOS!$B$5:$B$1005="AJUSTE")*(MOVIMIENTOS!$C$5:$C$1005="Chancho")*(MOVIMIENTOS!$D$5:$D$1005="sacos")*(MOVIMIENTOS!$A$5:$A$1005&lt;&gt;"")*(MOVIMIENTOS!$A$5:$A$1005&lt;=$A332)*MOVIMIENTOS!$E$5:$E$1005))</f>
        <v/>
      </c>
      <c r="G332" s="95" t="str">
        <f t="shared" si="11"/>
        <v/>
      </c>
      <c r="H332" s="63" t="str">
        <f>IF($A332="","",SUMPRODUCT((((MOVIMIENTOS!$B$5:$B$1005="SALDO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332)*MOVIMIENTOS!$J$5:$J$1005))</f>
        <v/>
      </c>
      <c r="I332" s="63"/>
      <c r="J332" s="63" t="str">
        <f>IF(AND(MOVIMIENTOS!$A331&lt;&gt;"",COUNTIF(MOVIMIENTOS!$A$5:$A330,MOVIMIENTOS!$A331)=0),COUNT(J$4:J331)+1,"")</f>
        <v/>
      </c>
      <c r="K332" s="66">
        <f>MOVIMIENTOS!$A331</f>
        <v>46243</v>
      </c>
      <c r="L332" s="63"/>
      <c r="M332" s="63"/>
      <c r="N332" s="63"/>
    </row>
    <row r="333" spans="1:14" ht="15" customHeight="1" x14ac:dyDescent="0.2">
      <c r="A333" s="63" t="str">
        <f t="shared" si="10"/>
        <v/>
      </c>
      <c r="B333" s="63" t="str">
        <f>IF($A333="","",SUMPRODUCT((MOVIMIENTOS!$B$5:$B$1005="SALDO INICIAL")*(MOVIMIENTOS!$C$5:$C$1005="A")*(MOVIMIENTOS!$D$5:$D$1005="jabas")*(MOVIMIENTOS!$A$5:$A$1005&lt;&gt;"")*(MOVIMIENTOS!$A$5:$A$1005&lt;=$A333)*MOVIMIENTOS!$E$5:$E$1005)+SUMPRODUCT((MOVIMIENTOS!$B$5:$B$1005="PROCESO")*(MOVIMIENTOS!$C$5:$C$1005="A")*(MOVIMIENTOS!$D$5:$D$1005="jabas")*(MOVIMIENTOS!$A$5:$A$1005&lt;&gt;"")*(MOVIMIENTOS!$A$5:$A$1005&lt;=$A333)*MOVIMIENTOS!$E$5:$E$1005)-SUMPRODUCT((MOVIMIENTOS!$B$5:$B$1005="ENVÍO A SUPESA")*(MOVIMIENTOS!$C$5:$C$1005="A")*(MOVIMIENTOS!$D$5:$D$1005="jabas")*(MOVIMIENTOS!$A$5:$A$1005&lt;&gt;"")*(MOVIMIENTOS!$A$5:$A$1005&lt;=$A333)*MOVIMIENTOS!$E$5:$E$1005)+SUMPRODUCT((MOVIMIENTOS!$B$5:$B$1005="DEVOLUCIÓN")*(MOVIMIENTOS!$C$5:$C$1005="A")*(MOVIMIENTOS!$D$5:$D$1005="jabas")*(MOVIMIENTOS!$A$5:$A$1005&lt;&gt;"")*(MOVIMIENTOS!$A$5:$A$1005&lt;=$A333)*MOVIMIENTOS!$E$5:$E$1005)-SUMPRODUCT((MOVIMIENTOS!$B$5:$B$1005="TRASIEGO")*(MOVIMIENTOS!$C$5:$C$1005="A")*(MOVIMIENTOS!$D$5:$D$1005="jabas")*(MOVIMIENTOS!$A$5:$A$1005&lt;&gt;"")*(MOVIMIENTOS!$A$5:$A$1005&lt;=$A333)*MOVIMIENTOS!$E$5:$E$1005)-SUMPRODUCT((MOVIMIENTOS!$B$5:$B$1005="REGALO")*(MOVIMIENTOS!$C$5:$C$1005="A")*(MOVIMIENTOS!$D$5:$D$1005="jabas")*(MOVIMIENTOS!$A$5:$A$1005&lt;&gt;"")*(MOVIMIENTOS!$A$5:$A$1005&lt;=$A333)*MOVIMIENTOS!$E$5:$E$1005)-SUMPRODUCT((MOVIMIENTOS!$B$5:$B$1005="VENTA")*(MOVIMIENTOS!$C$5:$C$1005="A")*(MOVIMIENTOS!$D$5:$D$1005="jabas")*(MOVIMIENTOS!$A$5:$A$1005&lt;&gt;"")*(MOVIMIENTOS!$A$5:$A$1005&lt;=$A333)*MOVIMIENTOS!$E$5:$E$1005)+SUMPRODUCT((MOVIMIENTOS!$B$5:$B$1005="AJUSTE")*(MOVIMIENTOS!$C$5:$C$1005="A")*(MOVIMIENTOS!$D$5:$D$1005="jabas")*(MOVIMIENTOS!$A$5:$A$1005&lt;&gt;"")*(MOVIMIENTOS!$A$5:$A$1005&lt;=$A333)*MOVIMIENTOS!$E$5:$E$1005))</f>
        <v/>
      </c>
      <c r="C333" s="63" t="str">
        <f>IF($A333="","",SUMPRODUCT((MOVIMIENTOS!$B$5:$B$1005="SALDO INICIAL")*(MOVIMIENTOS!$C$5:$C$1005="P")*(MOVIMIENTOS!$D$5:$D$1005="jabas")*(MOVIMIENTOS!$A$5:$A$1005&lt;&gt;"")*(MOVIMIENTOS!$A$5:$A$1005&lt;=$A333)*MOVIMIENTOS!$E$5:$E$1005)+SUMPRODUCT((MOVIMIENTOS!$B$5:$B$1005="PROCESO")*(MOVIMIENTOS!$C$5:$C$1005="P")*(MOVIMIENTOS!$D$5:$D$1005="jabas")*(MOVIMIENTOS!$A$5:$A$1005&lt;&gt;"")*(MOVIMIENTOS!$A$5:$A$1005&lt;=$A333)*MOVIMIENTOS!$E$5:$E$1005)-SUMPRODUCT((MOVIMIENTOS!$B$5:$B$1005="ENVÍO A SUPESA")*(MOVIMIENTOS!$C$5:$C$1005="P")*(MOVIMIENTOS!$D$5:$D$1005="jabas")*(MOVIMIENTOS!$A$5:$A$1005&lt;&gt;"")*(MOVIMIENTOS!$A$5:$A$1005&lt;=$A333)*MOVIMIENTOS!$E$5:$E$1005)+SUMPRODUCT((MOVIMIENTOS!$B$5:$B$1005="DEVOLUCIÓN")*(MOVIMIENTOS!$C$5:$C$1005="P")*(MOVIMIENTOS!$D$5:$D$1005="jabas")*(MOVIMIENTOS!$A$5:$A$1005&lt;&gt;"")*(MOVIMIENTOS!$A$5:$A$1005&lt;=$A333)*MOVIMIENTOS!$E$5:$E$1005)-SUMPRODUCT((MOVIMIENTOS!$B$5:$B$1005="TRASIEGO")*(MOVIMIENTOS!$C$5:$C$1005="P")*(MOVIMIENTOS!$D$5:$D$1005="jabas")*(MOVIMIENTOS!$A$5:$A$1005&lt;&gt;"")*(MOVIMIENTOS!$A$5:$A$1005&lt;=$A333)*MOVIMIENTOS!$E$5:$E$1005)-SUMPRODUCT((MOVIMIENTOS!$B$5:$B$1005="REGALO")*(MOVIMIENTOS!$C$5:$C$1005="P")*(MOVIMIENTOS!$D$5:$D$1005="jabas")*(MOVIMIENTOS!$A$5:$A$1005&lt;&gt;"")*(MOVIMIENTOS!$A$5:$A$1005&lt;=$A333)*MOVIMIENTOS!$E$5:$E$1005)-SUMPRODUCT((MOVIMIENTOS!$B$5:$B$1005="VENTA")*(MOVIMIENTOS!$C$5:$C$1005="P")*(MOVIMIENTOS!$D$5:$D$1005="jabas")*(MOVIMIENTOS!$A$5:$A$1005&lt;&gt;"")*(MOVIMIENTOS!$A$5:$A$1005&lt;=$A333)*MOVIMIENTOS!$E$5:$E$1005)+SUMPRODUCT((MOVIMIENTOS!$B$5:$B$1005="AJUSTE")*(MOVIMIENTOS!$C$5:$C$1005="P")*(MOVIMIENTOS!$D$5:$D$1005="jabas")*(MOVIMIENTOS!$A$5:$A$1005&lt;&gt;"")*(MOVIMIENTOS!$A$5:$A$1005&lt;=$A333)*MOVIMIENTOS!$E$5:$E$1005))</f>
        <v/>
      </c>
      <c r="D333" s="63" t="str">
        <f>IF($A333="","",SUMPRODUCT((MOVIMIENTOS!$B$5:$B$1005="SALDO INICIAL")*(MOVIMIENTOS!$C$5:$C$1005="C")*(MOVIMIENTOS!$D$5:$D$1005="jabas")*(MOVIMIENTOS!$A$5:$A$1005&lt;&gt;"")*(MOVIMIENTOS!$A$5:$A$1005&lt;=$A333)*MOVIMIENTOS!$E$5:$E$1005)+SUMPRODUCT((MOVIMIENTOS!$B$5:$B$1005="PROCESO")*(MOVIMIENTOS!$C$5:$C$1005="C")*(MOVIMIENTOS!$D$5:$D$1005="jabas")*(MOVIMIENTOS!$A$5:$A$1005&lt;&gt;"")*(MOVIMIENTOS!$A$5:$A$1005&lt;=$A333)*MOVIMIENTOS!$E$5:$E$1005)-SUMPRODUCT((MOVIMIENTOS!$B$5:$B$1005="ENVÍO A SUPESA")*(MOVIMIENTOS!$C$5:$C$1005="C")*(MOVIMIENTOS!$D$5:$D$1005="jabas")*(MOVIMIENTOS!$A$5:$A$1005&lt;&gt;"")*(MOVIMIENTOS!$A$5:$A$1005&lt;=$A333)*MOVIMIENTOS!$E$5:$E$1005)+SUMPRODUCT((MOVIMIENTOS!$B$5:$B$1005="DEVOLUCIÓN")*(MOVIMIENTOS!$C$5:$C$1005="C")*(MOVIMIENTOS!$D$5:$D$1005="jabas")*(MOVIMIENTOS!$A$5:$A$1005&lt;&gt;"")*(MOVIMIENTOS!$A$5:$A$1005&lt;=$A333)*MOVIMIENTOS!$E$5:$E$1005)-SUMPRODUCT((MOVIMIENTOS!$B$5:$B$1005="TRASIEGO")*(MOVIMIENTOS!$C$5:$C$1005="C")*(MOVIMIENTOS!$D$5:$D$1005="jabas")*(MOVIMIENTOS!$A$5:$A$1005&lt;&gt;"")*(MOVIMIENTOS!$A$5:$A$1005&lt;=$A333)*MOVIMIENTOS!$E$5:$E$1005)-SUMPRODUCT((MOVIMIENTOS!$B$5:$B$1005="REGALO")*(MOVIMIENTOS!$C$5:$C$1005="C")*(MOVIMIENTOS!$D$5:$D$1005="jabas")*(MOVIMIENTOS!$A$5:$A$1005&lt;&gt;"")*(MOVIMIENTOS!$A$5:$A$1005&lt;=$A333)*MOVIMIENTOS!$E$5:$E$1005)-SUMPRODUCT((MOVIMIENTOS!$B$5:$B$1005="VENTA")*(MOVIMIENTOS!$C$5:$C$1005="C")*(MOVIMIENTOS!$D$5:$D$1005="jabas")*(MOVIMIENTOS!$A$5:$A$1005&lt;&gt;"")*(MOVIMIENTOS!$A$5:$A$1005&lt;=$A333)*MOVIMIENTOS!$E$5:$E$1005)+SUMPRODUCT((MOVIMIENTOS!$B$5:$B$1005="AJUSTE")*(MOVIMIENTOS!$C$5:$C$1005="C")*(MOVIMIENTOS!$D$5:$D$1005="jabas")*(MOVIMIENTOS!$A$5:$A$1005&lt;&gt;"")*(MOVIMIENTOS!$A$5:$A$1005&lt;=$A333)*MOVIMIENTOS!$E$5:$E$1005))</f>
        <v/>
      </c>
      <c r="E333" s="63" t="str">
        <f>IF($A333="","",SUMPRODUCT((MOVIMIENTOS!$B$5:$B$1005="SALDO INICIAL")*(MOVIMIENTOS!$C$5:$C$1005="M")*(MOVIMIENTOS!$D$5:$D$1005="jabas")*(MOVIMIENTOS!$A$5:$A$1005&lt;&gt;"")*(MOVIMIENTOS!$A$5:$A$1005&lt;=$A333)*MOVIMIENTOS!$E$5:$E$1005)+SUMPRODUCT((MOVIMIENTOS!$B$5:$B$1005="PROCESO")*(MOVIMIENTOS!$C$5:$C$1005="M")*(MOVIMIENTOS!$D$5:$D$1005="jabas")*(MOVIMIENTOS!$A$5:$A$1005&lt;&gt;"")*(MOVIMIENTOS!$A$5:$A$1005&lt;=$A333)*MOVIMIENTOS!$E$5:$E$1005)-SUMPRODUCT((MOVIMIENTOS!$B$5:$B$1005="ENVÍO A SUPESA")*(MOVIMIENTOS!$C$5:$C$1005="M")*(MOVIMIENTOS!$D$5:$D$1005="jabas")*(MOVIMIENTOS!$A$5:$A$1005&lt;&gt;"")*(MOVIMIENTOS!$A$5:$A$1005&lt;=$A333)*MOVIMIENTOS!$E$5:$E$1005)+SUMPRODUCT((MOVIMIENTOS!$B$5:$B$1005="DEVOLUCIÓN")*(MOVIMIENTOS!$C$5:$C$1005="M")*(MOVIMIENTOS!$D$5:$D$1005="jabas")*(MOVIMIENTOS!$A$5:$A$1005&lt;&gt;"")*(MOVIMIENTOS!$A$5:$A$1005&lt;=$A333)*MOVIMIENTOS!$E$5:$E$1005)-SUMPRODUCT((MOVIMIENTOS!$B$5:$B$1005="TRASIEGO")*(MOVIMIENTOS!$C$5:$C$1005="M")*(MOVIMIENTOS!$D$5:$D$1005="jabas")*(MOVIMIENTOS!$A$5:$A$1005&lt;&gt;"")*(MOVIMIENTOS!$A$5:$A$1005&lt;=$A333)*MOVIMIENTOS!$E$5:$E$1005)-SUMPRODUCT((MOVIMIENTOS!$B$5:$B$1005="REGALO")*(MOVIMIENTOS!$C$5:$C$1005="M")*(MOVIMIENTOS!$D$5:$D$1005="jabas")*(MOVIMIENTOS!$A$5:$A$1005&lt;&gt;"")*(MOVIMIENTOS!$A$5:$A$1005&lt;=$A333)*MOVIMIENTOS!$E$5:$E$1005)-SUMPRODUCT((MOVIMIENTOS!$B$5:$B$1005="VENTA")*(MOVIMIENTOS!$C$5:$C$1005="M")*(MOVIMIENTOS!$D$5:$D$1005="jabas")*(MOVIMIENTOS!$A$5:$A$1005&lt;&gt;"")*(MOVIMIENTOS!$A$5:$A$1005&lt;=$A333)*MOVIMIENTOS!$E$5:$E$1005)+SUMPRODUCT((MOVIMIENTOS!$B$5:$B$1005="AJUSTE")*(MOVIMIENTOS!$C$5:$C$1005="M")*(MOVIMIENTOS!$D$5:$D$1005="jabas")*(MOVIMIENTOS!$A$5:$A$1005&lt;&gt;"")*(MOVIMIENTOS!$A$5:$A$1005&lt;=$A333)*MOVIMIENTOS!$E$5:$E$1005))</f>
        <v/>
      </c>
      <c r="F333" s="63" t="str">
        <f>IF($A333="","",SUMPRODUCT((MOVIMIENTOS!$B$5:$B$1005="SALDO INICIAL")*(MOVIMIENTOS!$C$5:$C$1005="Chancho")*(MOVIMIENTOS!$D$5:$D$1005="sacos")*(MOVIMIENTOS!$A$5:$A$1005&lt;&gt;"")*(MOVIMIENTOS!$A$5:$A$1005&lt;=$A333)*MOVIMIENTOS!$E$5:$E$1005)+SUMPRODUCT((MOVIMIENTOS!$B$5:$B$1005="PROCESO")*(MOVIMIENTOS!$C$5:$C$1005="Chancho")*(MOVIMIENTOS!$D$5:$D$1005="sacos")*(MOVIMIENTOS!$A$5:$A$1005&lt;&gt;"")*(MOVIMIENTOS!$A$5:$A$1005&lt;=$A333)*MOVIMIENTOS!$E$5:$E$1005)-SUMPRODUCT((MOVIMIENTOS!$B$5:$B$1005="VENTA CHANCHO")*(MOVIMIENTOS!$C$5:$C$1005="Chancho")*(MOVIMIENTOS!$D$5:$D$1005="sacos")*(MOVIMIENTOS!$A$5:$A$1005&lt;&gt;"")*(MOVIMIENTOS!$A$5:$A$1005&lt;=$A333)*MOVIMIENTOS!$E$5:$E$1005)-SUMPRODUCT((MOVIMIENTOS!$B$5:$B$1005="REGALO")*(MOVIMIENTOS!$C$5:$C$1005="Chancho")*(MOVIMIENTOS!$D$5:$D$1005="sacos")*(MOVIMIENTOS!$A$5:$A$1005&lt;&gt;"")*(MOVIMIENTOS!$A$5:$A$1005&lt;=$A333)*MOVIMIENTOS!$E$5:$E$1005)-SUMPRODUCT((MOVIMIENTOS!$B$5:$B$1005="VENTA")*(MOVIMIENTOS!$C$5:$C$1005="Chancho")*(MOVIMIENTOS!$D$5:$D$1005="sacos")*(MOVIMIENTOS!$A$5:$A$1005&lt;&gt;"")*(MOVIMIENTOS!$A$5:$A$1005&lt;=$A333)*MOVIMIENTOS!$E$5:$E$1005)+SUMPRODUCT((MOVIMIENTOS!$B$5:$B$1005="AJUSTE")*(MOVIMIENTOS!$C$5:$C$1005="Chancho")*(MOVIMIENTOS!$D$5:$D$1005="sacos")*(MOVIMIENTOS!$A$5:$A$1005&lt;&gt;"")*(MOVIMIENTOS!$A$5:$A$1005&lt;=$A333)*MOVIMIENTOS!$E$5:$E$1005))</f>
        <v/>
      </c>
      <c r="G333" s="95" t="str">
        <f t="shared" si="11"/>
        <v/>
      </c>
      <c r="H333" s="63" t="str">
        <f>IF($A333="","",SUMPRODUCT((((MOVIMIENTOS!$B$5:$B$1005="SALDO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333)*MOVIMIENTOS!$J$5:$J$1005))</f>
        <v/>
      </c>
      <c r="I333" s="63"/>
      <c r="J333" s="63" t="str">
        <f>IF(AND(MOVIMIENTOS!$A332&lt;&gt;"",COUNTIF(MOVIMIENTOS!$A$5:$A331,MOVIMIENTOS!$A332)=0),COUNT(J$4:J332)+1,"")</f>
        <v/>
      </c>
      <c r="K333" s="66">
        <f>MOVIMIENTOS!$A332</f>
        <v>46243</v>
      </c>
      <c r="L333" s="63"/>
      <c r="M333" s="63"/>
      <c r="N333" s="63"/>
    </row>
    <row r="334" spans="1:14" ht="15" customHeight="1" x14ac:dyDescent="0.2">
      <c r="A334" s="63" t="str">
        <f t="shared" si="10"/>
        <v/>
      </c>
      <c r="B334" s="63" t="str">
        <f>IF($A334="","",SUMPRODUCT((MOVIMIENTOS!$B$5:$B$1005="SALDO INICIAL")*(MOVIMIENTOS!$C$5:$C$1005="A")*(MOVIMIENTOS!$D$5:$D$1005="jabas")*(MOVIMIENTOS!$A$5:$A$1005&lt;&gt;"")*(MOVIMIENTOS!$A$5:$A$1005&lt;=$A334)*MOVIMIENTOS!$E$5:$E$1005)+SUMPRODUCT((MOVIMIENTOS!$B$5:$B$1005="PROCESO")*(MOVIMIENTOS!$C$5:$C$1005="A")*(MOVIMIENTOS!$D$5:$D$1005="jabas")*(MOVIMIENTOS!$A$5:$A$1005&lt;&gt;"")*(MOVIMIENTOS!$A$5:$A$1005&lt;=$A334)*MOVIMIENTOS!$E$5:$E$1005)-SUMPRODUCT((MOVIMIENTOS!$B$5:$B$1005="ENVÍO A SUPESA")*(MOVIMIENTOS!$C$5:$C$1005="A")*(MOVIMIENTOS!$D$5:$D$1005="jabas")*(MOVIMIENTOS!$A$5:$A$1005&lt;&gt;"")*(MOVIMIENTOS!$A$5:$A$1005&lt;=$A334)*MOVIMIENTOS!$E$5:$E$1005)+SUMPRODUCT((MOVIMIENTOS!$B$5:$B$1005="DEVOLUCIÓN")*(MOVIMIENTOS!$C$5:$C$1005="A")*(MOVIMIENTOS!$D$5:$D$1005="jabas")*(MOVIMIENTOS!$A$5:$A$1005&lt;&gt;"")*(MOVIMIENTOS!$A$5:$A$1005&lt;=$A334)*MOVIMIENTOS!$E$5:$E$1005)-SUMPRODUCT((MOVIMIENTOS!$B$5:$B$1005="TRASIEGO")*(MOVIMIENTOS!$C$5:$C$1005="A")*(MOVIMIENTOS!$D$5:$D$1005="jabas")*(MOVIMIENTOS!$A$5:$A$1005&lt;&gt;"")*(MOVIMIENTOS!$A$5:$A$1005&lt;=$A334)*MOVIMIENTOS!$E$5:$E$1005)-SUMPRODUCT((MOVIMIENTOS!$B$5:$B$1005="REGALO")*(MOVIMIENTOS!$C$5:$C$1005="A")*(MOVIMIENTOS!$D$5:$D$1005="jabas")*(MOVIMIENTOS!$A$5:$A$1005&lt;&gt;"")*(MOVIMIENTOS!$A$5:$A$1005&lt;=$A334)*MOVIMIENTOS!$E$5:$E$1005)-SUMPRODUCT((MOVIMIENTOS!$B$5:$B$1005="VENTA")*(MOVIMIENTOS!$C$5:$C$1005="A")*(MOVIMIENTOS!$D$5:$D$1005="jabas")*(MOVIMIENTOS!$A$5:$A$1005&lt;&gt;"")*(MOVIMIENTOS!$A$5:$A$1005&lt;=$A334)*MOVIMIENTOS!$E$5:$E$1005)+SUMPRODUCT((MOVIMIENTOS!$B$5:$B$1005="AJUSTE")*(MOVIMIENTOS!$C$5:$C$1005="A")*(MOVIMIENTOS!$D$5:$D$1005="jabas")*(MOVIMIENTOS!$A$5:$A$1005&lt;&gt;"")*(MOVIMIENTOS!$A$5:$A$1005&lt;=$A334)*MOVIMIENTOS!$E$5:$E$1005))</f>
        <v/>
      </c>
      <c r="C334" s="63" t="str">
        <f>IF($A334="","",SUMPRODUCT((MOVIMIENTOS!$B$5:$B$1005="SALDO INICIAL")*(MOVIMIENTOS!$C$5:$C$1005="P")*(MOVIMIENTOS!$D$5:$D$1005="jabas")*(MOVIMIENTOS!$A$5:$A$1005&lt;&gt;"")*(MOVIMIENTOS!$A$5:$A$1005&lt;=$A334)*MOVIMIENTOS!$E$5:$E$1005)+SUMPRODUCT((MOVIMIENTOS!$B$5:$B$1005="PROCESO")*(MOVIMIENTOS!$C$5:$C$1005="P")*(MOVIMIENTOS!$D$5:$D$1005="jabas")*(MOVIMIENTOS!$A$5:$A$1005&lt;&gt;"")*(MOVIMIENTOS!$A$5:$A$1005&lt;=$A334)*MOVIMIENTOS!$E$5:$E$1005)-SUMPRODUCT((MOVIMIENTOS!$B$5:$B$1005="ENVÍO A SUPESA")*(MOVIMIENTOS!$C$5:$C$1005="P")*(MOVIMIENTOS!$D$5:$D$1005="jabas")*(MOVIMIENTOS!$A$5:$A$1005&lt;&gt;"")*(MOVIMIENTOS!$A$5:$A$1005&lt;=$A334)*MOVIMIENTOS!$E$5:$E$1005)+SUMPRODUCT((MOVIMIENTOS!$B$5:$B$1005="DEVOLUCIÓN")*(MOVIMIENTOS!$C$5:$C$1005="P")*(MOVIMIENTOS!$D$5:$D$1005="jabas")*(MOVIMIENTOS!$A$5:$A$1005&lt;&gt;"")*(MOVIMIENTOS!$A$5:$A$1005&lt;=$A334)*MOVIMIENTOS!$E$5:$E$1005)-SUMPRODUCT((MOVIMIENTOS!$B$5:$B$1005="TRASIEGO")*(MOVIMIENTOS!$C$5:$C$1005="P")*(MOVIMIENTOS!$D$5:$D$1005="jabas")*(MOVIMIENTOS!$A$5:$A$1005&lt;&gt;"")*(MOVIMIENTOS!$A$5:$A$1005&lt;=$A334)*MOVIMIENTOS!$E$5:$E$1005)-SUMPRODUCT((MOVIMIENTOS!$B$5:$B$1005="REGALO")*(MOVIMIENTOS!$C$5:$C$1005="P")*(MOVIMIENTOS!$D$5:$D$1005="jabas")*(MOVIMIENTOS!$A$5:$A$1005&lt;&gt;"")*(MOVIMIENTOS!$A$5:$A$1005&lt;=$A334)*MOVIMIENTOS!$E$5:$E$1005)-SUMPRODUCT((MOVIMIENTOS!$B$5:$B$1005="VENTA")*(MOVIMIENTOS!$C$5:$C$1005="P")*(MOVIMIENTOS!$D$5:$D$1005="jabas")*(MOVIMIENTOS!$A$5:$A$1005&lt;&gt;"")*(MOVIMIENTOS!$A$5:$A$1005&lt;=$A334)*MOVIMIENTOS!$E$5:$E$1005)+SUMPRODUCT((MOVIMIENTOS!$B$5:$B$1005="AJUSTE")*(MOVIMIENTOS!$C$5:$C$1005="P")*(MOVIMIENTOS!$D$5:$D$1005="jabas")*(MOVIMIENTOS!$A$5:$A$1005&lt;&gt;"")*(MOVIMIENTOS!$A$5:$A$1005&lt;=$A334)*MOVIMIENTOS!$E$5:$E$1005))</f>
        <v/>
      </c>
      <c r="D334" s="63" t="str">
        <f>IF($A334="","",SUMPRODUCT((MOVIMIENTOS!$B$5:$B$1005="SALDO INICIAL")*(MOVIMIENTOS!$C$5:$C$1005="C")*(MOVIMIENTOS!$D$5:$D$1005="jabas")*(MOVIMIENTOS!$A$5:$A$1005&lt;&gt;"")*(MOVIMIENTOS!$A$5:$A$1005&lt;=$A334)*MOVIMIENTOS!$E$5:$E$1005)+SUMPRODUCT((MOVIMIENTOS!$B$5:$B$1005="PROCESO")*(MOVIMIENTOS!$C$5:$C$1005="C")*(MOVIMIENTOS!$D$5:$D$1005="jabas")*(MOVIMIENTOS!$A$5:$A$1005&lt;&gt;"")*(MOVIMIENTOS!$A$5:$A$1005&lt;=$A334)*MOVIMIENTOS!$E$5:$E$1005)-SUMPRODUCT((MOVIMIENTOS!$B$5:$B$1005="ENVÍO A SUPESA")*(MOVIMIENTOS!$C$5:$C$1005="C")*(MOVIMIENTOS!$D$5:$D$1005="jabas")*(MOVIMIENTOS!$A$5:$A$1005&lt;&gt;"")*(MOVIMIENTOS!$A$5:$A$1005&lt;=$A334)*MOVIMIENTOS!$E$5:$E$1005)+SUMPRODUCT((MOVIMIENTOS!$B$5:$B$1005="DEVOLUCIÓN")*(MOVIMIENTOS!$C$5:$C$1005="C")*(MOVIMIENTOS!$D$5:$D$1005="jabas")*(MOVIMIENTOS!$A$5:$A$1005&lt;&gt;"")*(MOVIMIENTOS!$A$5:$A$1005&lt;=$A334)*MOVIMIENTOS!$E$5:$E$1005)-SUMPRODUCT((MOVIMIENTOS!$B$5:$B$1005="TRASIEGO")*(MOVIMIENTOS!$C$5:$C$1005="C")*(MOVIMIENTOS!$D$5:$D$1005="jabas")*(MOVIMIENTOS!$A$5:$A$1005&lt;&gt;"")*(MOVIMIENTOS!$A$5:$A$1005&lt;=$A334)*MOVIMIENTOS!$E$5:$E$1005)-SUMPRODUCT((MOVIMIENTOS!$B$5:$B$1005="REGALO")*(MOVIMIENTOS!$C$5:$C$1005="C")*(MOVIMIENTOS!$D$5:$D$1005="jabas")*(MOVIMIENTOS!$A$5:$A$1005&lt;&gt;"")*(MOVIMIENTOS!$A$5:$A$1005&lt;=$A334)*MOVIMIENTOS!$E$5:$E$1005)-SUMPRODUCT((MOVIMIENTOS!$B$5:$B$1005="VENTA")*(MOVIMIENTOS!$C$5:$C$1005="C")*(MOVIMIENTOS!$D$5:$D$1005="jabas")*(MOVIMIENTOS!$A$5:$A$1005&lt;&gt;"")*(MOVIMIENTOS!$A$5:$A$1005&lt;=$A334)*MOVIMIENTOS!$E$5:$E$1005)+SUMPRODUCT((MOVIMIENTOS!$B$5:$B$1005="AJUSTE")*(MOVIMIENTOS!$C$5:$C$1005="C")*(MOVIMIENTOS!$D$5:$D$1005="jabas")*(MOVIMIENTOS!$A$5:$A$1005&lt;&gt;"")*(MOVIMIENTOS!$A$5:$A$1005&lt;=$A334)*MOVIMIENTOS!$E$5:$E$1005))</f>
        <v/>
      </c>
      <c r="E334" s="63" t="str">
        <f>IF($A334="","",SUMPRODUCT((MOVIMIENTOS!$B$5:$B$1005="SALDO INICIAL")*(MOVIMIENTOS!$C$5:$C$1005="M")*(MOVIMIENTOS!$D$5:$D$1005="jabas")*(MOVIMIENTOS!$A$5:$A$1005&lt;&gt;"")*(MOVIMIENTOS!$A$5:$A$1005&lt;=$A334)*MOVIMIENTOS!$E$5:$E$1005)+SUMPRODUCT((MOVIMIENTOS!$B$5:$B$1005="PROCESO")*(MOVIMIENTOS!$C$5:$C$1005="M")*(MOVIMIENTOS!$D$5:$D$1005="jabas")*(MOVIMIENTOS!$A$5:$A$1005&lt;&gt;"")*(MOVIMIENTOS!$A$5:$A$1005&lt;=$A334)*MOVIMIENTOS!$E$5:$E$1005)-SUMPRODUCT((MOVIMIENTOS!$B$5:$B$1005="ENVÍO A SUPESA")*(MOVIMIENTOS!$C$5:$C$1005="M")*(MOVIMIENTOS!$D$5:$D$1005="jabas")*(MOVIMIENTOS!$A$5:$A$1005&lt;&gt;"")*(MOVIMIENTOS!$A$5:$A$1005&lt;=$A334)*MOVIMIENTOS!$E$5:$E$1005)+SUMPRODUCT((MOVIMIENTOS!$B$5:$B$1005="DEVOLUCIÓN")*(MOVIMIENTOS!$C$5:$C$1005="M")*(MOVIMIENTOS!$D$5:$D$1005="jabas")*(MOVIMIENTOS!$A$5:$A$1005&lt;&gt;"")*(MOVIMIENTOS!$A$5:$A$1005&lt;=$A334)*MOVIMIENTOS!$E$5:$E$1005)-SUMPRODUCT((MOVIMIENTOS!$B$5:$B$1005="TRASIEGO")*(MOVIMIENTOS!$C$5:$C$1005="M")*(MOVIMIENTOS!$D$5:$D$1005="jabas")*(MOVIMIENTOS!$A$5:$A$1005&lt;&gt;"")*(MOVIMIENTOS!$A$5:$A$1005&lt;=$A334)*MOVIMIENTOS!$E$5:$E$1005)-SUMPRODUCT((MOVIMIENTOS!$B$5:$B$1005="REGALO")*(MOVIMIENTOS!$C$5:$C$1005="M")*(MOVIMIENTOS!$D$5:$D$1005="jabas")*(MOVIMIENTOS!$A$5:$A$1005&lt;&gt;"")*(MOVIMIENTOS!$A$5:$A$1005&lt;=$A334)*MOVIMIENTOS!$E$5:$E$1005)-SUMPRODUCT((MOVIMIENTOS!$B$5:$B$1005="VENTA")*(MOVIMIENTOS!$C$5:$C$1005="M")*(MOVIMIENTOS!$D$5:$D$1005="jabas")*(MOVIMIENTOS!$A$5:$A$1005&lt;&gt;"")*(MOVIMIENTOS!$A$5:$A$1005&lt;=$A334)*MOVIMIENTOS!$E$5:$E$1005)+SUMPRODUCT((MOVIMIENTOS!$B$5:$B$1005="AJUSTE")*(MOVIMIENTOS!$C$5:$C$1005="M")*(MOVIMIENTOS!$D$5:$D$1005="jabas")*(MOVIMIENTOS!$A$5:$A$1005&lt;&gt;"")*(MOVIMIENTOS!$A$5:$A$1005&lt;=$A334)*MOVIMIENTOS!$E$5:$E$1005))</f>
        <v/>
      </c>
      <c r="F334" s="63" t="str">
        <f>IF($A334="","",SUMPRODUCT((MOVIMIENTOS!$B$5:$B$1005="SALDO INICIAL")*(MOVIMIENTOS!$C$5:$C$1005="Chancho")*(MOVIMIENTOS!$D$5:$D$1005="sacos")*(MOVIMIENTOS!$A$5:$A$1005&lt;&gt;"")*(MOVIMIENTOS!$A$5:$A$1005&lt;=$A334)*MOVIMIENTOS!$E$5:$E$1005)+SUMPRODUCT((MOVIMIENTOS!$B$5:$B$1005="PROCESO")*(MOVIMIENTOS!$C$5:$C$1005="Chancho")*(MOVIMIENTOS!$D$5:$D$1005="sacos")*(MOVIMIENTOS!$A$5:$A$1005&lt;&gt;"")*(MOVIMIENTOS!$A$5:$A$1005&lt;=$A334)*MOVIMIENTOS!$E$5:$E$1005)-SUMPRODUCT((MOVIMIENTOS!$B$5:$B$1005="VENTA CHANCHO")*(MOVIMIENTOS!$C$5:$C$1005="Chancho")*(MOVIMIENTOS!$D$5:$D$1005="sacos")*(MOVIMIENTOS!$A$5:$A$1005&lt;&gt;"")*(MOVIMIENTOS!$A$5:$A$1005&lt;=$A334)*MOVIMIENTOS!$E$5:$E$1005)-SUMPRODUCT((MOVIMIENTOS!$B$5:$B$1005="REGALO")*(MOVIMIENTOS!$C$5:$C$1005="Chancho")*(MOVIMIENTOS!$D$5:$D$1005="sacos")*(MOVIMIENTOS!$A$5:$A$1005&lt;&gt;"")*(MOVIMIENTOS!$A$5:$A$1005&lt;=$A334)*MOVIMIENTOS!$E$5:$E$1005)-SUMPRODUCT((MOVIMIENTOS!$B$5:$B$1005="VENTA")*(MOVIMIENTOS!$C$5:$C$1005="Chancho")*(MOVIMIENTOS!$D$5:$D$1005="sacos")*(MOVIMIENTOS!$A$5:$A$1005&lt;&gt;"")*(MOVIMIENTOS!$A$5:$A$1005&lt;=$A334)*MOVIMIENTOS!$E$5:$E$1005)+SUMPRODUCT((MOVIMIENTOS!$B$5:$B$1005="AJUSTE")*(MOVIMIENTOS!$C$5:$C$1005="Chancho")*(MOVIMIENTOS!$D$5:$D$1005="sacos")*(MOVIMIENTOS!$A$5:$A$1005&lt;&gt;"")*(MOVIMIENTOS!$A$5:$A$1005&lt;=$A334)*MOVIMIENTOS!$E$5:$E$1005))</f>
        <v/>
      </c>
      <c r="G334" s="95" t="str">
        <f t="shared" si="11"/>
        <v/>
      </c>
      <c r="H334" s="63" t="str">
        <f>IF($A334="","",SUMPRODUCT((((MOVIMIENTOS!$B$5:$B$1005="SALDO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334)*MOVIMIENTOS!$J$5:$J$1005))</f>
        <v/>
      </c>
      <c r="I334" s="63"/>
      <c r="J334" s="63" t="str">
        <f>IF(AND(MOVIMIENTOS!$A333&lt;&gt;"",COUNTIF(MOVIMIENTOS!$A$5:$A332,MOVIMIENTOS!$A333)=0),COUNT(J$4:J333)+1,"")</f>
        <v/>
      </c>
      <c r="K334" s="66">
        <f>MOVIMIENTOS!$A333</f>
        <v>46243</v>
      </c>
      <c r="L334" s="63"/>
      <c r="M334" s="63"/>
      <c r="N334" s="63"/>
    </row>
    <row r="335" spans="1:14" ht="15" customHeight="1" x14ac:dyDescent="0.2">
      <c r="A335" s="63" t="str">
        <f t="shared" si="10"/>
        <v/>
      </c>
      <c r="B335" s="63" t="str">
        <f>IF($A335="","",SUMPRODUCT((MOVIMIENTOS!$B$5:$B$1005="SALDO INICIAL")*(MOVIMIENTOS!$C$5:$C$1005="A")*(MOVIMIENTOS!$D$5:$D$1005="jabas")*(MOVIMIENTOS!$A$5:$A$1005&lt;&gt;"")*(MOVIMIENTOS!$A$5:$A$1005&lt;=$A335)*MOVIMIENTOS!$E$5:$E$1005)+SUMPRODUCT((MOVIMIENTOS!$B$5:$B$1005="PROCESO")*(MOVIMIENTOS!$C$5:$C$1005="A")*(MOVIMIENTOS!$D$5:$D$1005="jabas")*(MOVIMIENTOS!$A$5:$A$1005&lt;&gt;"")*(MOVIMIENTOS!$A$5:$A$1005&lt;=$A335)*MOVIMIENTOS!$E$5:$E$1005)-SUMPRODUCT((MOVIMIENTOS!$B$5:$B$1005="ENVÍO A SUPESA")*(MOVIMIENTOS!$C$5:$C$1005="A")*(MOVIMIENTOS!$D$5:$D$1005="jabas")*(MOVIMIENTOS!$A$5:$A$1005&lt;&gt;"")*(MOVIMIENTOS!$A$5:$A$1005&lt;=$A335)*MOVIMIENTOS!$E$5:$E$1005)+SUMPRODUCT((MOVIMIENTOS!$B$5:$B$1005="DEVOLUCIÓN")*(MOVIMIENTOS!$C$5:$C$1005="A")*(MOVIMIENTOS!$D$5:$D$1005="jabas")*(MOVIMIENTOS!$A$5:$A$1005&lt;&gt;"")*(MOVIMIENTOS!$A$5:$A$1005&lt;=$A335)*MOVIMIENTOS!$E$5:$E$1005)-SUMPRODUCT((MOVIMIENTOS!$B$5:$B$1005="TRASIEGO")*(MOVIMIENTOS!$C$5:$C$1005="A")*(MOVIMIENTOS!$D$5:$D$1005="jabas")*(MOVIMIENTOS!$A$5:$A$1005&lt;&gt;"")*(MOVIMIENTOS!$A$5:$A$1005&lt;=$A335)*MOVIMIENTOS!$E$5:$E$1005)-SUMPRODUCT((MOVIMIENTOS!$B$5:$B$1005="REGALO")*(MOVIMIENTOS!$C$5:$C$1005="A")*(MOVIMIENTOS!$D$5:$D$1005="jabas")*(MOVIMIENTOS!$A$5:$A$1005&lt;&gt;"")*(MOVIMIENTOS!$A$5:$A$1005&lt;=$A335)*MOVIMIENTOS!$E$5:$E$1005)-SUMPRODUCT((MOVIMIENTOS!$B$5:$B$1005="VENTA")*(MOVIMIENTOS!$C$5:$C$1005="A")*(MOVIMIENTOS!$D$5:$D$1005="jabas")*(MOVIMIENTOS!$A$5:$A$1005&lt;&gt;"")*(MOVIMIENTOS!$A$5:$A$1005&lt;=$A335)*MOVIMIENTOS!$E$5:$E$1005)+SUMPRODUCT((MOVIMIENTOS!$B$5:$B$1005="AJUSTE")*(MOVIMIENTOS!$C$5:$C$1005="A")*(MOVIMIENTOS!$D$5:$D$1005="jabas")*(MOVIMIENTOS!$A$5:$A$1005&lt;&gt;"")*(MOVIMIENTOS!$A$5:$A$1005&lt;=$A335)*MOVIMIENTOS!$E$5:$E$1005))</f>
        <v/>
      </c>
      <c r="C335" s="63" t="str">
        <f>IF($A335="","",SUMPRODUCT((MOVIMIENTOS!$B$5:$B$1005="SALDO INICIAL")*(MOVIMIENTOS!$C$5:$C$1005="P")*(MOVIMIENTOS!$D$5:$D$1005="jabas")*(MOVIMIENTOS!$A$5:$A$1005&lt;&gt;"")*(MOVIMIENTOS!$A$5:$A$1005&lt;=$A335)*MOVIMIENTOS!$E$5:$E$1005)+SUMPRODUCT((MOVIMIENTOS!$B$5:$B$1005="PROCESO")*(MOVIMIENTOS!$C$5:$C$1005="P")*(MOVIMIENTOS!$D$5:$D$1005="jabas")*(MOVIMIENTOS!$A$5:$A$1005&lt;&gt;"")*(MOVIMIENTOS!$A$5:$A$1005&lt;=$A335)*MOVIMIENTOS!$E$5:$E$1005)-SUMPRODUCT((MOVIMIENTOS!$B$5:$B$1005="ENVÍO A SUPESA")*(MOVIMIENTOS!$C$5:$C$1005="P")*(MOVIMIENTOS!$D$5:$D$1005="jabas")*(MOVIMIENTOS!$A$5:$A$1005&lt;&gt;"")*(MOVIMIENTOS!$A$5:$A$1005&lt;=$A335)*MOVIMIENTOS!$E$5:$E$1005)+SUMPRODUCT((MOVIMIENTOS!$B$5:$B$1005="DEVOLUCIÓN")*(MOVIMIENTOS!$C$5:$C$1005="P")*(MOVIMIENTOS!$D$5:$D$1005="jabas")*(MOVIMIENTOS!$A$5:$A$1005&lt;&gt;"")*(MOVIMIENTOS!$A$5:$A$1005&lt;=$A335)*MOVIMIENTOS!$E$5:$E$1005)-SUMPRODUCT((MOVIMIENTOS!$B$5:$B$1005="TRASIEGO")*(MOVIMIENTOS!$C$5:$C$1005="P")*(MOVIMIENTOS!$D$5:$D$1005="jabas")*(MOVIMIENTOS!$A$5:$A$1005&lt;&gt;"")*(MOVIMIENTOS!$A$5:$A$1005&lt;=$A335)*MOVIMIENTOS!$E$5:$E$1005)-SUMPRODUCT((MOVIMIENTOS!$B$5:$B$1005="REGALO")*(MOVIMIENTOS!$C$5:$C$1005="P")*(MOVIMIENTOS!$D$5:$D$1005="jabas")*(MOVIMIENTOS!$A$5:$A$1005&lt;&gt;"")*(MOVIMIENTOS!$A$5:$A$1005&lt;=$A335)*MOVIMIENTOS!$E$5:$E$1005)-SUMPRODUCT((MOVIMIENTOS!$B$5:$B$1005="VENTA")*(MOVIMIENTOS!$C$5:$C$1005="P")*(MOVIMIENTOS!$D$5:$D$1005="jabas")*(MOVIMIENTOS!$A$5:$A$1005&lt;&gt;"")*(MOVIMIENTOS!$A$5:$A$1005&lt;=$A335)*MOVIMIENTOS!$E$5:$E$1005)+SUMPRODUCT((MOVIMIENTOS!$B$5:$B$1005="AJUSTE")*(MOVIMIENTOS!$C$5:$C$1005="P")*(MOVIMIENTOS!$D$5:$D$1005="jabas")*(MOVIMIENTOS!$A$5:$A$1005&lt;&gt;"")*(MOVIMIENTOS!$A$5:$A$1005&lt;=$A335)*MOVIMIENTOS!$E$5:$E$1005))</f>
        <v/>
      </c>
      <c r="D335" s="63" t="str">
        <f>IF($A335="","",SUMPRODUCT((MOVIMIENTOS!$B$5:$B$1005="SALDO INICIAL")*(MOVIMIENTOS!$C$5:$C$1005="C")*(MOVIMIENTOS!$D$5:$D$1005="jabas")*(MOVIMIENTOS!$A$5:$A$1005&lt;&gt;"")*(MOVIMIENTOS!$A$5:$A$1005&lt;=$A335)*MOVIMIENTOS!$E$5:$E$1005)+SUMPRODUCT((MOVIMIENTOS!$B$5:$B$1005="PROCESO")*(MOVIMIENTOS!$C$5:$C$1005="C")*(MOVIMIENTOS!$D$5:$D$1005="jabas")*(MOVIMIENTOS!$A$5:$A$1005&lt;&gt;"")*(MOVIMIENTOS!$A$5:$A$1005&lt;=$A335)*MOVIMIENTOS!$E$5:$E$1005)-SUMPRODUCT((MOVIMIENTOS!$B$5:$B$1005="ENVÍO A SUPESA")*(MOVIMIENTOS!$C$5:$C$1005="C")*(MOVIMIENTOS!$D$5:$D$1005="jabas")*(MOVIMIENTOS!$A$5:$A$1005&lt;&gt;"")*(MOVIMIENTOS!$A$5:$A$1005&lt;=$A335)*MOVIMIENTOS!$E$5:$E$1005)+SUMPRODUCT((MOVIMIENTOS!$B$5:$B$1005="DEVOLUCIÓN")*(MOVIMIENTOS!$C$5:$C$1005="C")*(MOVIMIENTOS!$D$5:$D$1005="jabas")*(MOVIMIENTOS!$A$5:$A$1005&lt;&gt;"")*(MOVIMIENTOS!$A$5:$A$1005&lt;=$A335)*MOVIMIENTOS!$E$5:$E$1005)-SUMPRODUCT((MOVIMIENTOS!$B$5:$B$1005="TRASIEGO")*(MOVIMIENTOS!$C$5:$C$1005="C")*(MOVIMIENTOS!$D$5:$D$1005="jabas")*(MOVIMIENTOS!$A$5:$A$1005&lt;&gt;"")*(MOVIMIENTOS!$A$5:$A$1005&lt;=$A335)*MOVIMIENTOS!$E$5:$E$1005)-SUMPRODUCT((MOVIMIENTOS!$B$5:$B$1005="REGALO")*(MOVIMIENTOS!$C$5:$C$1005="C")*(MOVIMIENTOS!$D$5:$D$1005="jabas")*(MOVIMIENTOS!$A$5:$A$1005&lt;&gt;"")*(MOVIMIENTOS!$A$5:$A$1005&lt;=$A335)*MOVIMIENTOS!$E$5:$E$1005)-SUMPRODUCT((MOVIMIENTOS!$B$5:$B$1005="VENTA")*(MOVIMIENTOS!$C$5:$C$1005="C")*(MOVIMIENTOS!$D$5:$D$1005="jabas")*(MOVIMIENTOS!$A$5:$A$1005&lt;&gt;"")*(MOVIMIENTOS!$A$5:$A$1005&lt;=$A335)*MOVIMIENTOS!$E$5:$E$1005)+SUMPRODUCT((MOVIMIENTOS!$B$5:$B$1005="AJUSTE")*(MOVIMIENTOS!$C$5:$C$1005="C")*(MOVIMIENTOS!$D$5:$D$1005="jabas")*(MOVIMIENTOS!$A$5:$A$1005&lt;&gt;"")*(MOVIMIENTOS!$A$5:$A$1005&lt;=$A335)*MOVIMIENTOS!$E$5:$E$1005))</f>
        <v/>
      </c>
      <c r="E335" s="63" t="str">
        <f>IF($A335="","",SUMPRODUCT((MOVIMIENTOS!$B$5:$B$1005="SALDO INICIAL")*(MOVIMIENTOS!$C$5:$C$1005="M")*(MOVIMIENTOS!$D$5:$D$1005="jabas")*(MOVIMIENTOS!$A$5:$A$1005&lt;&gt;"")*(MOVIMIENTOS!$A$5:$A$1005&lt;=$A335)*MOVIMIENTOS!$E$5:$E$1005)+SUMPRODUCT((MOVIMIENTOS!$B$5:$B$1005="PROCESO")*(MOVIMIENTOS!$C$5:$C$1005="M")*(MOVIMIENTOS!$D$5:$D$1005="jabas")*(MOVIMIENTOS!$A$5:$A$1005&lt;&gt;"")*(MOVIMIENTOS!$A$5:$A$1005&lt;=$A335)*MOVIMIENTOS!$E$5:$E$1005)-SUMPRODUCT((MOVIMIENTOS!$B$5:$B$1005="ENVÍO A SUPESA")*(MOVIMIENTOS!$C$5:$C$1005="M")*(MOVIMIENTOS!$D$5:$D$1005="jabas")*(MOVIMIENTOS!$A$5:$A$1005&lt;&gt;"")*(MOVIMIENTOS!$A$5:$A$1005&lt;=$A335)*MOVIMIENTOS!$E$5:$E$1005)+SUMPRODUCT((MOVIMIENTOS!$B$5:$B$1005="DEVOLUCIÓN")*(MOVIMIENTOS!$C$5:$C$1005="M")*(MOVIMIENTOS!$D$5:$D$1005="jabas")*(MOVIMIENTOS!$A$5:$A$1005&lt;&gt;"")*(MOVIMIENTOS!$A$5:$A$1005&lt;=$A335)*MOVIMIENTOS!$E$5:$E$1005)-SUMPRODUCT((MOVIMIENTOS!$B$5:$B$1005="TRASIEGO")*(MOVIMIENTOS!$C$5:$C$1005="M")*(MOVIMIENTOS!$D$5:$D$1005="jabas")*(MOVIMIENTOS!$A$5:$A$1005&lt;&gt;"")*(MOVIMIENTOS!$A$5:$A$1005&lt;=$A335)*MOVIMIENTOS!$E$5:$E$1005)-SUMPRODUCT((MOVIMIENTOS!$B$5:$B$1005="REGALO")*(MOVIMIENTOS!$C$5:$C$1005="M")*(MOVIMIENTOS!$D$5:$D$1005="jabas")*(MOVIMIENTOS!$A$5:$A$1005&lt;&gt;"")*(MOVIMIENTOS!$A$5:$A$1005&lt;=$A335)*MOVIMIENTOS!$E$5:$E$1005)-SUMPRODUCT((MOVIMIENTOS!$B$5:$B$1005="VENTA")*(MOVIMIENTOS!$C$5:$C$1005="M")*(MOVIMIENTOS!$D$5:$D$1005="jabas")*(MOVIMIENTOS!$A$5:$A$1005&lt;&gt;"")*(MOVIMIENTOS!$A$5:$A$1005&lt;=$A335)*MOVIMIENTOS!$E$5:$E$1005)+SUMPRODUCT((MOVIMIENTOS!$B$5:$B$1005="AJUSTE")*(MOVIMIENTOS!$C$5:$C$1005="M")*(MOVIMIENTOS!$D$5:$D$1005="jabas")*(MOVIMIENTOS!$A$5:$A$1005&lt;&gt;"")*(MOVIMIENTOS!$A$5:$A$1005&lt;=$A335)*MOVIMIENTOS!$E$5:$E$1005))</f>
        <v/>
      </c>
      <c r="F335" s="63" t="str">
        <f>IF($A335="","",SUMPRODUCT((MOVIMIENTOS!$B$5:$B$1005="SALDO INICIAL")*(MOVIMIENTOS!$C$5:$C$1005="Chancho")*(MOVIMIENTOS!$D$5:$D$1005="sacos")*(MOVIMIENTOS!$A$5:$A$1005&lt;&gt;"")*(MOVIMIENTOS!$A$5:$A$1005&lt;=$A335)*MOVIMIENTOS!$E$5:$E$1005)+SUMPRODUCT((MOVIMIENTOS!$B$5:$B$1005="PROCESO")*(MOVIMIENTOS!$C$5:$C$1005="Chancho")*(MOVIMIENTOS!$D$5:$D$1005="sacos")*(MOVIMIENTOS!$A$5:$A$1005&lt;&gt;"")*(MOVIMIENTOS!$A$5:$A$1005&lt;=$A335)*MOVIMIENTOS!$E$5:$E$1005)-SUMPRODUCT((MOVIMIENTOS!$B$5:$B$1005="VENTA CHANCHO")*(MOVIMIENTOS!$C$5:$C$1005="Chancho")*(MOVIMIENTOS!$D$5:$D$1005="sacos")*(MOVIMIENTOS!$A$5:$A$1005&lt;&gt;"")*(MOVIMIENTOS!$A$5:$A$1005&lt;=$A335)*MOVIMIENTOS!$E$5:$E$1005)-SUMPRODUCT((MOVIMIENTOS!$B$5:$B$1005="REGALO")*(MOVIMIENTOS!$C$5:$C$1005="Chancho")*(MOVIMIENTOS!$D$5:$D$1005="sacos")*(MOVIMIENTOS!$A$5:$A$1005&lt;&gt;"")*(MOVIMIENTOS!$A$5:$A$1005&lt;=$A335)*MOVIMIENTOS!$E$5:$E$1005)-SUMPRODUCT((MOVIMIENTOS!$B$5:$B$1005="VENTA")*(MOVIMIENTOS!$C$5:$C$1005="Chancho")*(MOVIMIENTOS!$D$5:$D$1005="sacos")*(MOVIMIENTOS!$A$5:$A$1005&lt;&gt;"")*(MOVIMIENTOS!$A$5:$A$1005&lt;=$A335)*MOVIMIENTOS!$E$5:$E$1005)+SUMPRODUCT((MOVIMIENTOS!$B$5:$B$1005="AJUSTE")*(MOVIMIENTOS!$C$5:$C$1005="Chancho")*(MOVIMIENTOS!$D$5:$D$1005="sacos")*(MOVIMIENTOS!$A$5:$A$1005&lt;&gt;"")*(MOVIMIENTOS!$A$5:$A$1005&lt;=$A335)*MOVIMIENTOS!$E$5:$E$1005))</f>
        <v/>
      </c>
      <c r="G335" s="95" t="str">
        <f t="shared" si="11"/>
        <v/>
      </c>
      <c r="H335" s="63" t="str">
        <f>IF($A335="","",SUMPRODUCT((((MOVIMIENTOS!$B$5:$B$1005="SALDO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335)*MOVIMIENTOS!$J$5:$J$1005))</f>
        <v/>
      </c>
      <c r="I335" s="63"/>
      <c r="J335" s="63" t="str">
        <f>IF(AND(MOVIMIENTOS!$A334&lt;&gt;"",COUNTIF(MOVIMIENTOS!$A$5:$A333,MOVIMIENTOS!$A334)=0),COUNT(J$4:J334)+1,"")</f>
        <v/>
      </c>
      <c r="K335" s="66">
        <f>MOVIMIENTOS!$A334</f>
        <v>46243</v>
      </c>
      <c r="L335" s="63"/>
      <c r="M335" s="63"/>
      <c r="N335" s="63"/>
    </row>
    <row r="336" spans="1:14" ht="15" customHeight="1" x14ac:dyDescent="0.2">
      <c r="A336" s="63" t="str">
        <f t="shared" si="10"/>
        <v/>
      </c>
      <c r="B336" s="63" t="str">
        <f>IF($A336="","",SUMPRODUCT((MOVIMIENTOS!$B$5:$B$1005="SALDO INICIAL")*(MOVIMIENTOS!$C$5:$C$1005="A")*(MOVIMIENTOS!$D$5:$D$1005="jabas")*(MOVIMIENTOS!$A$5:$A$1005&lt;&gt;"")*(MOVIMIENTOS!$A$5:$A$1005&lt;=$A336)*MOVIMIENTOS!$E$5:$E$1005)+SUMPRODUCT((MOVIMIENTOS!$B$5:$B$1005="PROCESO")*(MOVIMIENTOS!$C$5:$C$1005="A")*(MOVIMIENTOS!$D$5:$D$1005="jabas")*(MOVIMIENTOS!$A$5:$A$1005&lt;&gt;"")*(MOVIMIENTOS!$A$5:$A$1005&lt;=$A336)*MOVIMIENTOS!$E$5:$E$1005)-SUMPRODUCT((MOVIMIENTOS!$B$5:$B$1005="ENVÍO A SUPESA")*(MOVIMIENTOS!$C$5:$C$1005="A")*(MOVIMIENTOS!$D$5:$D$1005="jabas")*(MOVIMIENTOS!$A$5:$A$1005&lt;&gt;"")*(MOVIMIENTOS!$A$5:$A$1005&lt;=$A336)*MOVIMIENTOS!$E$5:$E$1005)+SUMPRODUCT((MOVIMIENTOS!$B$5:$B$1005="DEVOLUCIÓN")*(MOVIMIENTOS!$C$5:$C$1005="A")*(MOVIMIENTOS!$D$5:$D$1005="jabas")*(MOVIMIENTOS!$A$5:$A$1005&lt;&gt;"")*(MOVIMIENTOS!$A$5:$A$1005&lt;=$A336)*MOVIMIENTOS!$E$5:$E$1005)-SUMPRODUCT((MOVIMIENTOS!$B$5:$B$1005="TRASIEGO")*(MOVIMIENTOS!$C$5:$C$1005="A")*(MOVIMIENTOS!$D$5:$D$1005="jabas")*(MOVIMIENTOS!$A$5:$A$1005&lt;&gt;"")*(MOVIMIENTOS!$A$5:$A$1005&lt;=$A336)*MOVIMIENTOS!$E$5:$E$1005)-SUMPRODUCT((MOVIMIENTOS!$B$5:$B$1005="REGALO")*(MOVIMIENTOS!$C$5:$C$1005="A")*(MOVIMIENTOS!$D$5:$D$1005="jabas")*(MOVIMIENTOS!$A$5:$A$1005&lt;&gt;"")*(MOVIMIENTOS!$A$5:$A$1005&lt;=$A336)*MOVIMIENTOS!$E$5:$E$1005)-SUMPRODUCT((MOVIMIENTOS!$B$5:$B$1005="VENTA")*(MOVIMIENTOS!$C$5:$C$1005="A")*(MOVIMIENTOS!$D$5:$D$1005="jabas")*(MOVIMIENTOS!$A$5:$A$1005&lt;&gt;"")*(MOVIMIENTOS!$A$5:$A$1005&lt;=$A336)*MOVIMIENTOS!$E$5:$E$1005)+SUMPRODUCT((MOVIMIENTOS!$B$5:$B$1005="AJUSTE")*(MOVIMIENTOS!$C$5:$C$1005="A")*(MOVIMIENTOS!$D$5:$D$1005="jabas")*(MOVIMIENTOS!$A$5:$A$1005&lt;&gt;"")*(MOVIMIENTOS!$A$5:$A$1005&lt;=$A336)*MOVIMIENTOS!$E$5:$E$1005))</f>
        <v/>
      </c>
      <c r="C336" s="63" t="str">
        <f>IF($A336="","",SUMPRODUCT((MOVIMIENTOS!$B$5:$B$1005="SALDO INICIAL")*(MOVIMIENTOS!$C$5:$C$1005="P")*(MOVIMIENTOS!$D$5:$D$1005="jabas")*(MOVIMIENTOS!$A$5:$A$1005&lt;&gt;"")*(MOVIMIENTOS!$A$5:$A$1005&lt;=$A336)*MOVIMIENTOS!$E$5:$E$1005)+SUMPRODUCT((MOVIMIENTOS!$B$5:$B$1005="PROCESO")*(MOVIMIENTOS!$C$5:$C$1005="P")*(MOVIMIENTOS!$D$5:$D$1005="jabas")*(MOVIMIENTOS!$A$5:$A$1005&lt;&gt;"")*(MOVIMIENTOS!$A$5:$A$1005&lt;=$A336)*MOVIMIENTOS!$E$5:$E$1005)-SUMPRODUCT((MOVIMIENTOS!$B$5:$B$1005="ENVÍO A SUPESA")*(MOVIMIENTOS!$C$5:$C$1005="P")*(MOVIMIENTOS!$D$5:$D$1005="jabas")*(MOVIMIENTOS!$A$5:$A$1005&lt;&gt;"")*(MOVIMIENTOS!$A$5:$A$1005&lt;=$A336)*MOVIMIENTOS!$E$5:$E$1005)+SUMPRODUCT((MOVIMIENTOS!$B$5:$B$1005="DEVOLUCIÓN")*(MOVIMIENTOS!$C$5:$C$1005="P")*(MOVIMIENTOS!$D$5:$D$1005="jabas")*(MOVIMIENTOS!$A$5:$A$1005&lt;&gt;"")*(MOVIMIENTOS!$A$5:$A$1005&lt;=$A336)*MOVIMIENTOS!$E$5:$E$1005)-SUMPRODUCT((MOVIMIENTOS!$B$5:$B$1005="TRASIEGO")*(MOVIMIENTOS!$C$5:$C$1005="P")*(MOVIMIENTOS!$D$5:$D$1005="jabas")*(MOVIMIENTOS!$A$5:$A$1005&lt;&gt;"")*(MOVIMIENTOS!$A$5:$A$1005&lt;=$A336)*MOVIMIENTOS!$E$5:$E$1005)-SUMPRODUCT((MOVIMIENTOS!$B$5:$B$1005="REGALO")*(MOVIMIENTOS!$C$5:$C$1005="P")*(MOVIMIENTOS!$D$5:$D$1005="jabas")*(MOVIMIENTOS!$A$5:$A$1005&lt;&gt;"")*(MOVIMIENTOS!$A$5:$A$1005&lt;=$A336)*MOVIMIENTOS!$E$5:$E$1005)-SUMPRODUCT((MOVIMIENTOS!$B$5:$B$1005="VENTA")*(MOVIMIENTOS!$C$5:$C$1005="P")*(MOVIMIENTOS!$D$5:$D$1005="jabas")*(MOVIMIENTOS!$A$5:$A$1005&lt;&gt;"")*(MOVIMIENTOS!$A$5:$A$1005&lt;=$A336)*MOVIMIENTOS!$E$5:$E$1005)+SUMPRODUCT((MOVIMIENTOS!$B$5:$B$1005="AJUSTE")*(MOVIMIENTOS!$C$5:$C$1005="P")*(MOVIMIENTOS!$D$5:$D$1005="jabas")*(MOVIMIENTOS!$A$5:$A$1005&lt;&gt;"")*(MOVIMIENTOS!$A$5:$A$1005&lt;=$A336)*MOVIMIENTOS!$E$5:$E$1005))</f>
        <v/>
      </c>
      <c r="D336" s="63" t="str">
        <f>IF($A336="","",SUMPRODUCT((MOVIMIENTOS!$B$5:$B$1005="SALDO INICIAL")*(MOVIMIENTOS!$C$5:$C$1005="C")*(MOVIMIENTOS!$D$5:$D$1005="jabas")*(MOVIMIENTOS!$A$5:$A$1005&lt;&gt;"")*(MOVIMIENTOS!$A$5:$A$1005&lt;=$A336)*MOVIMIENTOS!$E$5:$E$1005)+SUMPRODUCT((MOVIMIENTOS!$B$5:$B$1005="PROCESO")*(MOVIMIENTOS!$C$5:$C$1005="C")*(MOVIMIENTOS!$D$5:$D$1005="jabas")*(MOVIMIENTOS!$A$5:$A$1005&lt;&gt;"")*(MOVIMIENTOS!$A$5:$A$1005&lt;=$A336)*MOVIMIENTOS!$E$5:$E$1005)-SUMPRODUCT((MOVIMIENTOS!$B$5:$B$1005="ENVÍO A SUPESA")*(MOVIMIENTOS!$C$5:$C$1005="C")*(MOVIMIENTOS!$D$5:$D$1005="jabas")*(MOVIMIENTOS!$A$5:$A$1005&lt;&gt;"")*(MOVIMIENTOS!$A$5:$A$1005&lt;=$A336)*MOVIMIENTOS!$E$5:$E$1005)+SUMPRODUCT((MOVIMIENTOS!$B$5:$B$1005="DEVOLUCIÓN")*(MOVIMIENTOS!$C$5:$C$1005="C")*(MOVIMIENTOS!$D$5:$D$1005="jabas")*(MOVIMIENTOS!$A$5:$A$1005&lt;&gt;"")*(MOVIMIENTOS!$A$5:$A$1005&lt;=$A336)*MOVIMIENTOS!$E$5:$E$1005)-SUMPRODUCT((MOVIMIENTOS!$B$5:$B$1005="TRASIEGO")*(MOVIMIENTOS!$C$5:$C$1005="C")*(MOVIMIENTOS!$D$5:$D$1005="jabas")*(MOVIMIENTOS!$A$5:$A$1005&lt;&gt;"")*(MOVIMIENTOS!$A$5:$A$1005&lt;=$A336)*MOVIMIENTOS!$E$5:$E$1005)-SUMPRODUCT((MOVIMIENTOS!$B$5:$B$1005="REGALO")*(MOVIMIENTOS!$C$5:$C$1005="C")*(MOVIMIENTOS!$D$5:$D$1005="jabas")*(MOVIMIENTOS!$A$5:$A$1005&lt;&gt;"")*(MOVIMIENTOS!$A$5:$A$1005&lt;=$A336)*MOVIMIENTOS!$E$5:$E$1005)-SUMPRODUCT((MOVIMIENTOS!$B$5:$B$1005="VENTA")*(MOVIMIENTOS!$C$5:$C$1005="C")*(MOVIMIENTOS!$D$5:$D$1005="jabas")*(MOVIMIENTOS!$A$5:$A$1005&lt;&gt;"")*(MOVIMIENTOS!$A$5:$A$1005&lt;=$A336)*MOVIMIENTOS!$E$5:$E$1005)+SUMPRODUCT((MOVIMIENTOS!$B$5:$B$1005="AJUSTE")*(MOVIMIENTOS!$C$5:$C$1005="C")*(MOVIMIENTOS!$D$5:$D$1005="jabas")*(MOVIMIENTOS!$A$5:$A$1005&lt;&gt;"")*(MOVIMIENTOS!$A$5:$A$1005&lt;=$A336)*MOVIMIENTOS!$E$5:$E$1005))</f>
        <v/>
      </c>
      <c r="E336" s="63" t="str">
        <f>IF($A336="","",SUMPRODUCT((MOVIMIENTOS!$B$5:$B$1005="SALDO INICIAL")*(MOVIMIENTOS!$C$5:$C$1005="M")*(MOVIMIENTOS!$D$5:$D$1005="jabas")*(MOVIMIENTOS!$A$5:$A$1005&lt;&gt;"")*(MOVIMIENTOS!$A$5:$A$1005&lt;=$A336)*MOVIMIENTOS!$E$5:$E$1005)+SUMPRODUCT((MOVIMIENTOS!$B$5:$B$1005="PROCESO")*(MOVIMIENTOS!$C$5:$C$1005="M")*(MOVIMIENTOS!$D$5:$D$1005="jabas")*(MOVIMIENTOS!$A$5:$A$1005&lt;&gt;"")*(MOVIMIENTOS!$A$5:$A$1005&lt;=$A336)*MOVIMIENTOS!$E$5:$E$1005)-SUMPRODUCT((MOVIMIENTOS!$B$5:$B$1005="ENVÍO A SUPESA")*(MOVIMIENTOS!$C$5:$C$1005="M")*(MOVIMIENTOS!$D$5:$D$1005="jabas")*(MOVIMIENTOS!$A$5:$A$1005&lt;&gt;"")*(MOVIMIENTOS!$A$5:$A$1005&lt;=$A336)*MOVIMIENTOS!$E$5:$E$1005)+SUMPRODUCT((MOVIMIENTOS!$B$5:$B$1005="DEVOLUCIÓN")*(MOVIMIENTOS!$C$5:$C$1005="M")*(MOVIMIENTOS!$D$5:$D$1005="jabas")*(MOVIMIENTOS!$A$5:$A$1005&lt;&gt;"")*(MOVIMIENTOS!$A$5:$A$1005&lt;=$A336)*MOVIMIENTOS!$E$5:$E$1005)-SUMPRODUCT((MOVIMIENTOS!$B$5:$B$1005="TRASIEGO")*(MOVIMIENTOS!$C$5:$C$1005="M")*(MOVIMIENTOS!$D$5:$D$1005="jabas")*(MOVIMIENTOS!$A$5:$A$1005&lt;&gt;"")*(MOVIMIENTOS!$A$5:$A$1005&lt;=$A336)*MOVIMIENTOS!$E$5:$E$1005)-SUMPRODUCT((MOVIMIENTOS!$B$5:$B$1005="REGALO")*(MOVIMIENTOS!$C$5:$C$1005="M")*(MOVIMIENTOS!$D$5:$D$1005="jabas")*(MOVIMIENTOS!$A$5:$A$1005&lt;&gt;"")*(MOVIMIENTOS!$A$5:$A$1005&lt;=$A336)*MOVIMIENTOS!$E$5:$E$1005)-SUMPRODUCT((MOVIMIENTOS!$B$5:$B$1005="VENTA")*(MOVIMIENTOS!$C$5:$C$1005="M")*(MOVIMIENTOS!$D$5:$D$1005="jabas")*(MOVIMIENTOS!$A$5:$A$1005&lt;&gt;"")*(MOVIMIENTOS!$A$5:$A$1005&lt;=$A336)*MOVIMIENTOS!$E$5:$E$1005)+SUMPRODUCT((MOVIMIENTOS!$B$5:$B$1005="AJUSTE")*(MOVIMIENTOS!$C$5:$C$1005="M")*(MOVIMIENTOS!$D$5:$D$1005="jabas")*(MOVIMIENTOS!$A$5:$A$1005&lt;&gt;"")*(MOVIMIENTOS!$A$5:$A$1005&lt;=$A336)*MOVIMIENTOS!$E$5:$E$1005))</f>
        <v/>
      </c>
      <c r="F336" s="63" t="str">
        <f>IF($A336="","",SUMPRODUCT((MOVIMIENTOS!$B$5:$B$1005="SALDO INICIAL")*(MOVIMIENTOS!$C$5:$C$1005="Chancho")*(MOVIMIENTOS!$D$5:$D$1005="sacos")*(MOVIMIENTOS!$A$5:$A$1005&lt;&gt;"")*(MOVIMIENTOS!$A$5:$A$1005&lt;=$A336)*MOVIMIENTOS!$E$5:$E$1005)+SUMPRODUCT((MOVIMIENTOS!$B$5:$B$1005="PROCESO")*(MOVIMIENTOS!$C$5:$C$1005="Chancho")*(MOVIMIENTOS!$D$5:$D$1005="sacos")*(MOVIMIENTOS!$A$5:$A$1005&lt;&gt;"")*(MOVIMIENTOS!$A$5:$A$1005&lt;=$A336)*MOVIMIENTOS!$E$5:$E$1005)-SUMPRODUCT((MOVIMIENTOS!$B$5:$B$1005="VENTA CHANCHO")*(MOVIMIENTOS!$C$5:$C$1005="Chancho")*(MOVIMIENTOS!$D$5:$D$1005="sacos")*(MOVIMIENTOS!$A$5:$A$1005&lt;&gt;"")*(MOVIMIENTOS!$A$5:$A$1005&lt;=$A336)*MOVIMIENTOS!$E$5:$E$1005)-SUMPRODUCT((MOVIMIENTOS!$B$5:$B$1005="REGALO")*(MOVIMIENTOS!$C$5:$C$1005="Chancho")*(MOVIMIENTOS!$D$5:$D$1005="sacos")*(MOVIMIENTOS!$A$5:$A$1005&lt;&gt;"")*(MOVIMIENTOS!$A$5:$A$1005&lt;=$A336)*MOVIMIENTOS!$E$5:$E$1005)-SUMPRODUCT((MOVIMIENTOS!$B$5:$B$1005="VENTA")*(MOVIMIENTOS!$C$5:$C$1005="Chancho")*(MOVIMIENTOS!$D$5:$D$1005="sacos")*(MOVIMIENTOS!$A$5:$A$1005&lt;&gt;"")*(MOVIMIENTOS!$A$5:$A$1005&lt;=$A336)*MOVIMIENTOS!$E$5:$E$1005)+SUMPRODUCT((MOVIMIENTOS!$B$5:$B$1005="AJUSTE")*(MOVIMIENTOS!$C$5:$C$1005="Chancho")*(MOVIMIENTOS!$D$5:$D$1005="sacos")*(MOVIMIENTOS!$A$5:$A$1005&lt;&gt;"")*(MOVIMIENTOS!$A$5:$A$1005&lt;=$A336)*MOVIMIENTOS!$E$5:$E$1005))</f>
        <v/>
      </c>
      <c r="G336" s="95" t="str">
        <f t="shared" si="11"/>
        <v/>
      </c>
      <c r="H336" s="63" t="str">
        <f>IF($A336="","",SUMPRODUCT((((MOVIMIENTOS!$B$5:$B$1005="SALDO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336)*MOVIMIENTOS!$J$5:$J$1005))</f>
        <v/>
      </c>
      <c r="I336" s="63"/>
      <c r="J336" s="63" t="str">
        <f>IF(AND(MOVIMIENTOS!$A335&lt;&gt;"",COUNTIF(MOVIMIENTOS!$A$5:$A334,MOVIMIENTOS!$A335)=0),COUNT(J$4:J335)+1,"")</f>
        <v/>
      </c>
      <c r="K336" s="66">
        <f>MOVIMIENTOS!$A335</f>
        <v>46243</v>
      </c>
      <c r="L336" s="63"/>
      <c r="M336" s="63"/>
      <c r="N336" s="63"/>
    </row>
    <row r="337" spans="1:14" ht="15" customHeight="1" x14ac:dyDescent="0.2">
      <c r="A337" s="63" t="str">
        <f t="shared" si="10"/>
        <v/>
      </c>
      <c r="B337" s="63" t="str">
        <f>IF($A337="","",SUMPRODUCT((MOVIMIENTOS!$B$5:$B$1005="SALDO INICIAL")*(MOVIMIENTOS!$C$5:$C$1005="A")*(MOVIMIENTOS!$D$5:$D$1005="jabas")*(MOVIMIENTOS!$A$5:$A$1005&lt;&gt;"")*(MOVIMIENTOS!$A$5:$A$1005&lt;=$A337)*MOVIMIENTOS!$E$5:$E$1005)+SUMPRODUCT((MOVIMIENTOS!$B$5:$B$1005="PROCESO")*(MOVIMIENTOS!$C$5:$C$1005="A")*(MOVIMIENTOS!$D$5:$D$1005="jabas")*(MOVIMIENTOS!$A$5:$A$1005&lt;&gt;"")*(MOVIMIENTOS!$A$5:$A$1005&lt;=$A337)*MOVIMIENTOS!$E$5:$E$1005)-SUMPRODUCT((MOVIMIENTOS!$B$5:$B$1005="ENVÍO A SUPESA")*(MOVIMIENTOS!$C$5:$C$1005="A")*(MOVIMIENTOS!$D$5:$D$1005="jabas")*(MOVIMIENTOS!$A$5:$A$1005&lt;&gt;"")*(MOVIMIENTOS!$A$5:$A$1005&lt;=$A337)*MOVIMIENTOS!$E$5:$E$1005)+SUMPRODUCT((MOVIMIENTOS!$B$5:$B$1005="DEVOLUCIÓN")*(MOVIMIENTOS!$C$5:$C$1005="A")*(MOVIMIENTOS!$D$5:$D$1005="jabas")*(MOVIMIENTOS!$A$5:$A$1005&lt;&gt;"")*(MOVIMIENTOS!$A$5:$A$1005&lt;=$A337)*MOVIMIENTOS!$E$5:$E$1005)-SUMPRODUCT((MOVIMIENTOS!$B$5:$B$1005="TRASIEGO")*(MOVIMIENTOS!$C$5:$C$1005="A")*(MOVIMIENTOS!$D$5:$D$1005="jabas")*(MOVIMIENTOS!$A$5:$A$1005&lt;&gt;"")*(MOVIMIENTOS!$A$5:$A$1005&lt;=$A337)*MOVIMIENTOS!$E$5:$E$1005)-SUMPRODUCT((MOVIMIENTOS!$B$5:$B$1005="REGALO")*(MOVIMIENTOS!$C$5:$C$1005="A")*(MOVIMIENTOS!$D$5:$D$1005="jabas")*(MOVIMIENTOS!$A$5:$A$1005&lt;&gt;"")*(MOVIMIENTOS!$A$5:$A$1005&lt;=$A337)*MOVIMIENTOS!$E$5:$E$1005)-SUMPRODUCT((MOVIMIENTOS!$B$5:$B$1005="VENTA")*(MOVIMIENTOS!$C$5:$C$1005="A")*(MOVIMIENTOS!$D$5:$D$1005="jabas")*(MOVIMIENTOS!$A$5:$A$1005&lt;&gt;"")*(MOVIMIENTOS!$A$5:$A$1005&lt;=$A337)*MOVIMIENTOS!$E$5:$E$1005)+SUMPRODUCT((MOVIMIENTOS!$B$5:$B$1005="AJUSTE")*(MOVIMIENTOS!$C$5:$C$1005="A")*(MOVIMIENTOS!$D$5:$D$1005="jabas")*(MOVIMIENTOS!$A$5:$A$1005&lt;&gt;"")*(MOVIMIENTOS!$A$5:$A$1005&lt;=$A337)*MOVIMIENTOS!$E$5:$E$1005))</f>
        <v/>
      </c>
      <c r="C337" s="63" t="str">
        <f>IF($A337="","",SUMPRODUCT((MOVIMIENTOS!$B$5:$B$1005="SALDO INICIAL")*(MOVIMIENTOS!$C$5:$C$1005="P")*(MOVIMIENTOS!$D$5:$D$1005="jabas")*(MOVIMIENTOS!$A$5:$A$1005&lt;&gt;"")*(MOVIMIENTOS!$A$5:$A$1005&lt;=$A337)*MOVIMIENTOS!$E$5:$E$1005)+SUMPRODUCT((MOVIMIENTOS!$B$5:$B$1005="PROCESO")*(MOVIMIENTOS!$C$5:$C$1005="P")*(MOVIMIENTOS!$D$5:$D$1005="jabas")*(MOVIMIENTOS!$A$5:$A$1005&lt;&gt;"")*(MOVIMIENTOS!$A$5:$A$1005&lt;=$A337)*MOVIMIENTOS!$E$5:$E$1005)-SUMPRODUCT((MOVIMIENTOS!$B$5:$B$1005="ENVÍO A SUPESA")*(MOVIMIENTOS!$C$5:$C$1005="P")*(MOVIMIENTOS!$D$5:$D$1005="jabas")*(MOVIMIENTOS!$A$5:$A$1005&lt;&gt;"")*(MOVIMIENTOS!$A$5:$A$1005&lt;=$A337)*MOVIMIENTOS!$E$5:$E$1005)+SUMPRODUCT((MOVIMIENTOS!$B$5:$B$1005="DEVOLUCIÓN")*(MOVIMIENTOS!$C$5:$C$1005="P")*(MOVIMIENTOS!$D$5:$D$1005="jabas")*(MOVIMIENTOS!$A$5:$A$1005&lt;&gt;"")*(MOVIMIENTOS!$A$5:$A$1005&lt;=$A337)*MOVIMIENTOS!$E$5:$E$1005)-SUMPRODUCT((MOVIMIENTOS!$B$5:$B$1005="TRASIEGO")*(MOVIMIENTOS!$C$5:$C$1005="P")*(MOVIMIENTOS!$D$5:$D$1005="jabas")*(MOVIMIENTOS!$A$5:$A$1005&lt;&gt;"")*(MOVIMIENTOS!$A$5:$A$1005&lt;=$A337)*MOVIMIENTOS!$E$5:$E$1005)-SUMPRODUCT((MOVIMIENTOS!$B$5:$B$1005="REGALO")*(MOVIMIENTOS!$C$5:$C$1005="P")*(MOVIMIENTOS!$D$5:$D$1005="jabas")*(MOVIMIENTOS!$A$5:$A$1005&lt;&gt;"")*(MOVIMIENTOS!$A$5:$A$1005&lt;=$A337)*MOVIMIENTOS!$E$5:$E$1005)-SUMPRODUCT((MOVIMIENTOS!$B$5:$B$1005="VENTA")*(MOVIMIENTOS!$C$5:$C$1005="P")*(MOVIMIENTOS!$D$5:$D$1005="jabas")*(MOVIMIENTOS!$A$5:$A$1005&lt;&gt;"")*(MOVIMIENTOS!$A$5:$A$1005&lt;=$A337)*MOVIMIENTOS!$E$5:$E$1005)+SUMPRODUCT((MOVIMIENTOS!$B$5:$B$1005="AJUSTE")*(MOVIMIENTOS!$C$5:$C$1005="P")*(MOVIMIENTOS!$D$5:$D$1005="jabas")*(MOVIMIENTOS!$A$5:$A$1005&lt;&gt;"")*(MOVIMIENTOS!$A$5:$A$1005&lt;=$A337)*MOVIMIENTOS!$E$5:$E$1005))</f>
        <v/>
      </c>
      <c r="D337" s="63" t="str">
        <f>IF($A337="","",SUMPRODUCT((MOVIMIENTOS!$B$5:$B$1005="SALDO INICIAL")*(MOVIMIENTOS!$C$5:$C$1005="C")*(MOVIMIENTOS!$D$5:$D$1005="jabas")*(MOVIMIENTOS!$A$5:$A$1005&lt;&gt;"")*(MOVIMIENTOS!$A$5:$A$1005&lt;=$A337)*MOVIMIENTOS!$E$5:$E$1005)+SUMPRODUCT((MOVIMIENTOS!$B$5:$B$1005="PROCESO")*(MOVIMIENTOS!$C$5:$C$1005="C")*(MOVIMIENTOS!$D$5:$D$1005="jabas")*(MOVIMIENTOS!$A$5:$A$1005&lt;&gt;"")*(MOVIMIENTOS!$A$5:$A$1005&lt;=$A337)*MOVIMIENTOS!$E$5:$E$1005)-SUMPRODUCT((MOVIMIENTOS!$B$5:$B$1005="ENVÍO A SUPESA")*(MOVIMIENTOS!$C$5:$C$1005="C")*(MOVIMIENTOS!$D$5:$D$1005="jabas")*(MOVIMIENTOS!$A$5:$A$1005&lt;&gt;"")*(MOVIMIENTOS!$A$5:$A$1005&lt;=$A337)*MOVIMIENTOS!$E$5:$E$1005)+SUMPRODUCT((MOVIMIENTOS!$B$5:$B$1005="DEVOLUCIÓN")*(MOVIMIENTOS!$C$5:$C$1005="C")*(MOVIMIENTOS!$D$5:$D$1005="jabas")*(MOVIMIENTOS!$A$5:$A$1005&lt;&gt;"")*(MOVIMIENTOS!$A$5:$A$1005&lt;=$A337)*MOVIMIENTOS!$E$5:$E$1005)-SUMPRODUCT((MOVIMIENTOS!$B$5:$B$1005="TRASIEGO")*(MOVIMIENTOS!$C$5:$C$1005="C")*(MOVIMIENTOS!$D$5:$D$1005="jabas")*(MOVIMIENTOS!$A$5:$A$1005&lt;&gt;"")*(MOVIMIENTOS!$A$5:$A$1005&lt;=$A337)*MOVIMIENTOS!$E$5:$E$1005)-SUMPRODUCT((MOVIMIENTOS!$B$5:$B$1005="REGALO")*(MOVIMIENTOS!$C$5:$C$1005="C")*(MOVIMIENTOS!$D$5:$D$1005="jabas")*(MOVIMIENTOS!$A$5:$A$1005&lt;&gt;"")*(MOVIMIENTOS!$A$5:$A$1005&lt;=$A337)*MOVIMIENTOS!$E$5:$E$1005)-SUMPRODUCT((MOVIMIENTOS!$B$5:$B$1005="VENTA")*(MOVIMIENTOS!$C$5:$C$1005="C")*(MOVIMIENTOS!$D$5:$D$1005="jabas")*(MOVIMIENTOS!$A$5:$A$1005&lt;&gt;"")*(MOVIMIENTOS!$A$5:$A$1005&lt;=$A337)*MOVIMIENTOS!$E$5:$E$1005)+SUMPRODUCT((MOVIMIENTOS!$B$5:$B$1005="AJUSTE")*(MOVIMIENTOS!$C$5:$C$1005="C")*(MOVIMIENTOS!$D$5:$D$1005="jabas")*(MOVIMIENTOS!$A$5:$A$1005&lt;&gt;"")*(MOVIMIENTOS!$A$5:$A$1005&lt;=$A337)*MOVIMIENTOS!$E$5:$E$1005))</f>
        <v/>
      </c>
      <c r="E337" s="63" t="str">
        <f>IF($A337="","",SUMPRODUCT((MOVIMIENTOS!$B$5:$B$1005="SALDO INICIAL")*(MOVIMIENTOS!$C$5:$C$1005="M")*(MOVIMIENTOS!$D$5:$D$1005="jabas")*(MOVIMIENTOS!$A$5:$A$1005&lt;&gt;"")*(MOVIMIENTOS!$A$5:$A$1005&lt;=$A337)*MOVIMIENTOS!$E$5:$E$1005)+SUMPRODUCT((MOVIMIENTOS!$B$5:$B$1005="PROCESO")*(MOVIMIENTOS!$C$5:$C$1005="M")*(MOVIMIENTOS!$D$5:$D$1005="jabas")*(MOVIMIENTOS!$A$5:$A$1005&lt;&gt;"")*(MOVIMIENTOS!$A$5:$A$1005&lt;=$A337)*MOVIMIENTOS!$E$5:$E$1005)-SUMPRODUCT((MOVIMIENTOS!$B$5:$B$1005="ENVÍO A SUPESA")*(MOVIMIENTOS!$C$5:$C$1005="M")*(MOVIMIENTOS!$D$5:$D$1005="jabas")*(MOVIMIENTOS!$A$5:$A$1005&lt;&gt;"")*(MOVIMIENTOS!$A$5:$A$1005&lt;=$A337)*MOVIMIENTOS!$E$5:$E$1005)+SUMPRODUCT((MOVIMIENTOS!$B$5:$B$1005="DEVOLUCIÓN")*(MOVIMIENTOS!$C$5:$C$1005="M")*(MOVIMIENTOS!$D$5:$D$1005="jabas")*(MOVIMIENTOS!$A$5:$A$1005&lt;&gt;"")*(MOVIMIENTOS!$A$5:$A$1005&lt;=$A337)*MOVIMIENTOS!$E$5:$E$1005)-SUMPRODUCT((MOVIMIENTOS!$B$5:$B$1005="TRASIEGO")*(MOVIMIENTOS!$C$5:$C$1005="M")*(MOVIMIENTOS!$D$5:$D$1005="jabas")*(MOVIMIENTOS!$A$5:$A$1005&lt;&gt;"")*(MOVIMIENTOS!$A$5:$A$1005&lt;=$A337)*MOVIMIENTOS!$E$5:$E$1005)-SUMPRODUCT((MOVIMIENTOS!$B$5:$B$1005="REGALO")*(MOVIMIENTOS!$C$5:$C$1005="M")*(MOVIMIENTOS!$D$5:$D$1005="jabas")*(MOVIMIENTOS!$A$5:$A$1005&lt;&gt;"")*(MOVIMIENTOS!$A$5:$A$1005&lt;=$A337)*MOVIMIENTOS!$E$5:$E$1005)-SUMPRODUCT((MOVIMIENTOS!$B$5:$B$1005="VENTA")*(MOVIMIENTOS!$C$5:$C$1005="M")*(MOVIMIENTOS!$D$5:$D$1005="jabas")*(MOVIMIENTOS!$A$5:$A$1005&lt;&gt;"")*(MOVIMIENTOS!$A$5:$A$1005&lt;=$A337)*MOVIMIENTOS!$E$5:$E$1005)+SUMPRODUCT((MOVIMIENTOS!$B$5:$B$1005="AJUSTE")*(MOVIMIENTOS!$C$5:$C$1005="M")*(MOVIMIENTOS!$D$5:$D$1005="jabas")*(MOVIMIENTOS!$A$5:$A$1005&lt;&gt;"")*(MOVIMIENTOS!$A$5:$A$1005&lt;=$A337)*MOVIMIENTOS!$E$5:$E$1005))</f>
        <v/>
      </c>
      <c r="F337" s="63" t="str">
        <f>IF($A337="","",SUMPRODUCT((MOVIMIENTOS!$B$5:$B$1005="SALDO INICIAL")*(MOVIMIENTOS!$C$5:$C$1005="Chancho")*(MOVIMIENTOS!$D$5:$D$1005="sacos")*(MOVIMIENTOS!$A$5:$A$1005&lt;&gt;"")*(MOVIMIENTOS!$A$5:$A$1005&lt;=$A337)*MOVIMIENTOS!$E$5:$E$1005)+SUMPRODUCT((MOVIMIENTOS!$B$5:$B$1005="PROCESO")*(MOVIMIENTOS!$C$5:$C$1005="Chancho")*(MOVIMIENTOS!$D$5:$D$1005="sacos")*(MOVIMIENTOS!$A$5:$A$1005&lt;&gt;"")*(MOVIMIENTOS!$A$5:$A$1005&lt;=$A337)*MOVIMIENTOS!$E$5:$E$1005)-SUMPRODUCT((MOVIMIENTOS!$B$5:$B$1005="VENTA CHANCHO")*(MOVIMIENTOS!$C$5:$C$1005="Chancho")*(MOVIMIENTOS!$D$5:$D$1005="sacos")*(MOVIMIENTOS!$A$5:$A$1005&lt;&gt;"")*(MOVIMIENTOS!$A$5:$A$1005&lt;=$A337)*MOVIMIENTOS!$E$5:$E$1005)-SUMPRODUCT((MOVIMIENTOS!$B$5:$B$1005="REGALO")*(MOVIMIENTOS!$C$5:$C$1005="Chancho")*(MOVIMIENTOS!$D$5:$D$1005="sacos")*(MOVIMIENTOS!$A$5:$A$1005&lt;&gt;"")*(MOVIMIENTOS!$A$5:$A$1005&lt;=$A337)*MOVIMIENTOS!$E$5:$E$1005)-SUMPRODUCT((MOVIMIENTOS!$B$5:$B$1005="VENTA")*(MOVIMIENTOS!$C$5:$C$1005="Chancho")*(MOVIMIENTOS!$D$5:$D$1005="sacos")*(MOVIMIENTOS!$A$5:$A$1005&lt;&gt;"")*(MOVIMIENTOS!$A$5:$A$1005&lt;=$A337)*MOVIMIENTOS!$E$5:$E$1005)+SUMPRODUCT((MOVIMIENTOS!$B$5:$B$1005="AJUSTE")*(MOVIMIENTOS!$C$5:$C$1005="Chancho")*(MOVIMIENTOS!$D$5:$D$1005="sacos")*(MOVIMIENTOS!$A$5:$A$1005&lt;&gt;"")*(MOVIMIENTOS!$A$5:$A$1005&lt;=$A337)*MOVIMIENTOS!$E$5:$E$1005))</f>
        <v/>
      </c>
      <c r="G337" s="95" t="str">
        <f t="shared" si="11"/>
        <v/>
      </c>
      <c r="H337" s="63" t="str">
        <f>IF($A337="","",SUMPRODUCT((((MOVIMIENTOS!$B$5:$B$1005="SALDO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337)*MOVIMIENTOS!$J$5:$J$1005))</f>
        <v/>
      </c>
      <c r="I337" s="63"/>
      <c r="J337" s="63" t="str">
        <f>IF(AND(MOVIMIENTOS!$A336&lt;&gt;"",COUNTIF(MOVIMIENTOS!$A$5:$A335,MOVIMIENTOS!$A336)=0),COUNT(J$4:J336)+1,"")</f>
        <v/>
      </c>
      <c r="K337" s="66">
        <f>MOVIMIENTOS!$A336</f>
        <v>46243</v>
      </c>
      <c r="L337" s="63"/>
      <c r="M337" s="63"/>
      <c r="N337" s="63"/>
    </row>
    <row r="338" spans="1:14" ht="15" customHeight="1" x14ac:dyDescent="0.2">
      <c r="A338" s="63" t="str">
        <f t="shared" si="10"/>
        <v/>
      </c>
      <c r="B338" s="63" t="str">
        <f>IF($A338="","",SUMPRODUCT((MOVIMIENTOS!$B$5:$B$1005="SALDO INICIAL")*(MOVIMIENTOS!$C$5:$C$1005="A")*(MOVIMIENTOS!$D$5:$D$1005="jabas")*(MOVIMIENTOS!$A$5:$A$1005&lt;&gt;"")*(MOVIMIENTOS!$A$5:$A$1005&lt;=$A338)*MOVIMIENTOS!$E$5:$E$1005)+SUMPRODUCT((MOVIMIENTOS!$B$5:$B$1005="PROCESO")*(MOVIMIENTOS!$C$5:$C$1005="A")*(MOVIMIENTOS!$D$5:$D$1005="jabas")*(MOVIMIENTOS!$A$5:$A$1005&lt;&gt;"")*(MOVIMIENTOS!$A$5:$A$1005&lt;=$A338)*MOVIMIENTOS!$E$5:$E$1005)-SUMPRODUCT((MOVIMIENTOS!$B$5:$B$1005="ENVÍO A SUPESA")*(MOVIMIENTOS!$C$5:$C$1005="A")*(MOVIMIENTOS!$D$5:$D$1005="jabas")*(MOVIMIENTOS!$A$5:$A$1005&lt;&gt;"")*(MOVIMIENTOS!$A$5:$A$1005&lt;=$A338)*MOVIMIENTOS!$E$5:$E$1005)+SUMPRODUCT((MOVIMIENTOS!$B$5:$B$1005="DEVOLUCIÓN")*(MOVIMIENTOS!$C$5:$C$1005="A")*(MOVIMIENTOS!$D$5:$D$1005="jabas")*(MOVIMIENTOS!$A$5:$A$1005&lt;&gt;"")*(MOVIMIENTOS!$A$5:$A$1005&lt;=$A338)*MOVIMIENTOS!$E$5:$E$1005)-SUMPRODUCT((MOVIMIENTOS!$B$5:$B$1005="TRASIEGO")*(MOVIMIENTOS!$C$5:$C$1005="A")*(MOVIMIENTOS!$D$5:$D$1005="jabas")*(MOVIMIENTOS!$A$5:$A$1005&lt;&gt;"")*(MOVIMIENTOS!$A$5:$A$1005&lt;=$A338)*MOVIMIENTOS!$E$5:$E$1005)-SUMPRODUCT((MOVIMIENTOS!$B$5:$B$1005="REGALO")*(MOVIMIENTOS!$C$5:$C$1005="A")*(MOVIMIENTOS!$D$5:$D$1005="jabas")*(MOVIMIENTOS!$A$5:$A$1005&lt;&gt;"")*(MOVIMIENTOS!$A$5:$A$1005&lt;=$A338)*MOVIMIENTOS!$E$5:$E$1005)-SUMPRODUCT((MOVIMIENTOS!$B$5:$B$1005="VENTA")*(MOVIMIENTOS!$C$5:$C$1005="A")*(MOVIMIENTOS!$D$5:$D$1005="jabas")*(MOVIMIENTOS!$A$5:$A$1005&lt;&gt;"")*(MOVIMIENTOS!$A$5:$A$1005&lt;=$A338)*MOVIMIENTOS!$E$5:$E$1005)+SUMPRODUCT((MOVIMIENTOS!$B$5:$B$1005="AJUSTE")*(MOVIMIENTOS!$C$5:$C$1005="A")*(MOVIMIENTOS!$D$5:$D$1005="jabas")*(MOVIMIENTOS!$A$5:$A$1005&lt;&gt;"")*(MOVIMIENTOS!$A$5:$A$1005&lt;=$A338)*MOVIMIENTOS!$E$5:$E$1005))</f>
        <v/>
      </c>
      <c r="C338" s="63" t="str">
        <f>IF($A338="","",SUMPRODUCT((MOVIMIENTOS!$B$5:$B$1005="SALDO INICIAL")*(MOVIMIENTOS!$C$5:$C$1005="P")*(MOVIMIENTOS!$D$5:$D$1005="jabas")*(MOVIMIENTOS!$A$5:$A$1005&lt;&gt;"")*(MOVIMIENTOS!$A$5:$A$1005&lt;=$A338)*MOVIMIENTOS!$E$5:$E$1005)+SUMPRODUCT((MOVIMIENTOS!$B$5:$B$1005="PROCESO")*(MOVIMIENTOS!$C$5:$C$1005="P")*(MOVIMIENTOS!$D$5:$D$1005="jabas")*(MOVIMIENTOS!$A$5:$A$1005&lt;&gt;"")*(MOVIMIENTOS!$A$5:$A$1005&lt;=$A338)*MOVIMIENTOS!$E$5:$E$1005)-SUMPRODUCT((MOVIMIENTOS!$B$5:$B$1005="ENVÍO A SUPESA")*(MOVIMIENTOS!$C$5:$C$1005="P")*(MOVIMIENTOS!$D$5:$D$1005="jabas")*(MOVIMIENTOS!$A$5:$A$1005&lt;&gt;"")*(MOVIMIENTOS!$A$5:$A$1005&lt;=$A338)*MOVIMIENTOS!$E$5:$E$1005)+SUMPRODUCT((MOVIMIENTOS!$B$5:$B$1005="DEVOLUCIÓN")*(MOVIMIENTOS!$C$5:$C$1005="P")*(MOVIMIENTOS!$D$5:$D$1005="jabas")*(MOVIMIENTOS!$A$5:$A$1005&lt;&gt;"")*(MOVIMIENTOS!$A$5:$A$1005&lt;=$A338)*MOVIMIENTOS!$E$5:$E$1005)-SUMPRODUCT((MOVIMIENTOS!$B$5:$B$1005="TRASIEGO")*(MOVIMIENTOS!$C$5:$C$1005="P")*(MOVIMIENTOS!$D$5:$D$1005="jabas")*(MOVIMIENTOS!$A$5:$A$1005&lt;&gt;"")*(MOVIMIENTOS!$A$5:$A$1005&lt;=$A338)*MOVIMIENTOS!$E$5:$E$1005)-SUMPRODUCT((MOVIMIENTOS!$B$5:$B$1005="REGALO")*(MOVIMIENTOS!$C$5:$C$1005="P")*(MOVIMIENTOS!$D$5:$D$1005="jabas")*(MOVIMIENTOS!$A$5:$A$1005&lt;&gt;"")*(MOVIMIENTOS!$A$5:$A$1005&lt;=$A338)*MOVIMIENTOS!$E$5:$E$1005)-SUMPRODUCT((MOVIMIENTOS!$B$5:$B$1005="VENTA")*(MOVIMIENTOS!$C$5:$C$1005="P")*(MOVIMIENTOS!$D$5:$D$1005="jabas")*(MOVIMIENTOS!$A$5:$A$1005&lt;&gt;"")*(MOVIMIENTOS!$A$5:$A$1005&lt;=$A338)*MOVIMIENTOS!$E$5:$E$1005)+SUMPRODUCT((MOVIMIENTOS!$B$5:$B$1005="AJUSTE")*(MOVIMIENTOS!$C$5:$C$1005="P")*(MOVIMIENTOS!$D$5:$D$1005="jabas")*(MOVIMIENTOS!$A$5:$A$1005&lt;&gt;"")*(MOVIMIENTOS!$A$5:$A$1005&lt;=$A338)*MOVIMIENTOS!$E$5:$E$1005))</f>
        <v/>
      </c>
      <c r="D338" s="63" t="str">
        <f>IF($A338="","",SUMPRODUCT((MOVIMIENTOS!$B$5:$B$1005="SALDO INICIAL")*(MOVIMIENTOS!$C$5:$C$1005="C")*(MOVIMIENTOS!$D$5:$D$1005="jabas")*(MOVIMIENTOS!$A$5:$A$1005&lt;&gt;"")*(MOVIMIENTOS!$A$5:$A$1005&lt;=$A338)*MOVIMIENTOS!$E$5:$E$1005)+SUMPRODUCT((MOVIMIENTOS!$B$5:$B$1005="PROCESO")*(MOVIMIENTOS!$C$5:$C$1005="C")*(MOVIMIENTOS!$D$5:$D$1005="jabas")*(MOVIMIENTOS!$A$5:$A$1005&lt;&gt;"")*(MOVIMIENTOS!$A$5:$A$1005&lt;=$A338)*MOVIMIENTOS!$E$5:$E$1005)-SUMPRODUCT((MOVIMIENTOS!$B$5:$B$1005="ENVÍO A SUPESA")*(MOVIMIENTOS!$C$5:$C$1005="C")*(MOVIMIENTOS!$D$5:$D$1005="jabas")*(MOVIMIENTOS!$A$5:$A$1005&lt;&gt;"")*(MOVIMIENTOS!$A$5:$A$1005&lt;=$A338)*MOVIMIENTOS!$E$5:$E$1005)+SUMPRODUCT((MOVIMIENTOS!$B$5:$B$1005="DEVOLUCIÓN")*(MOVIMIENTOS!$C$5:$C$1005="C")*(MOVIMIENTOS!$D$5:$D$1005="jabas")*(MOVIMIENTOS!$A$5:$A$1005&lt;&gt;"")*(MOVIMIENTOS!$A$5:$A$1005&lt;=$A338)*MOVIMIENTOS!$E$5:$E$1005)-SUMPRODUCT((MOVIMIENTOS!$B$5:$B$1005="TRASIEGO")*(MOVIMIENTOS!$C$5:$C$1005="C")*(MOVIMIENTOS!$D$5:$D$1005="jabas")*(MOVIMIENTOS!$A$5:$A$1005&lt;&gt;"")*(MOVIMIENTOS!$A$5:$A$1005&lt;=$A338)*MOVIMIENTOS!$E$5:$E$1005)-SUMPRODUCT((MOVIMIENTOS!$B$5:$B$1005="REGALO")*(MOVIMIENTOS!$C$5:$C$1005="C")*(MOVIMIENTOS!$D$5:$D$1005="jabas")*(MOVIMIENTOS!$A$5:$A$1005&lt;&gt;"")*(MOVIMIENTOS!$A$5:$A$1005&lt;=$A338)*MOVIMIENTOS!$E$5:$E$1005)-SUMPRODUCT((MOVIMIENTOS!$B$5:$B$1005="VENTA")*(MOVIMIENTOS!$C$5:$C$1005="C")*(MOVIMIENTOS!$D$5:$D$1005="jabas")*(MOVIMIENTOS!$A$5:$A$1005&lt;&gt;"")*(MOVIMIENTOS!$A$5:$A$1005&lt;=$A338)*MOVIMIENTOS!$E$5:$E$1005)+SUMPRODUCT((MOVIMIENTOS!$B$5:$B$1005="AJUSTE")*(MOVIMIENTOS!$C$5:$C$1005="C")*(MOVIMIENTOS!$D$5:$D$1005="jabas")*(MOVIMIENTOS!$A$5:$A$1005&lt;&gt;"")*(MOVIMIENTOS!$A$5:$A$1005&lt;=$A338)*MOVIMIENTOS!$E$5:$E$1005))</f>
        <v/>
      </c>
      <c r="E338" s="63" t="str">
        <f>IF($A338="","",SUMPRODUCT((MOVIMIENTOS!$B$5:$B$1005="SALDO INICIAL")*(MOVIMIENTOS!$C$5:$C$1005="M")*(MOVIMIENTOS!$D$5:$D$1005="jabas")*(MOVIMIENTOS!$A$5:$A$1005&lt;&gt;"")*(MOVIMIENTOS!$A$5:$A$1005&lt;=$A338)*MOVIMIENTOS!$E$5:$E$1005)+SUMPRODUCT((MOVIMIENTOS!$B$5:$B$1005="PROCESO")*(MOVIMIENTOS!$C$5:$C$1005="M")*(MOVIMIENTOS!$D$5:$D$1005="jabas")*(MOVIMIENTOS!$A$5:$A$1005&lt;&gt;"")*(MOVIMIENTOS!$A$5:$A$1005&lt;=$A338)*MOVIMIENTOS!$E$5:$E$1005)-SUMPRODUCT((MOVIMIENTOS!$B$5:$B$1005="ENVÍO A SUPESA")*(MOVIMIENTOS!$C$5:$C$1005="M")*(MOVIMIENTOS!$D$5:$D$1005="jabas")*(MOVIMIENTOS!$A$5:$A$1005&lt;&gt;"")*(MOVIMIENTOS!$A$5:$A$1005&lt;=$A338)*MOVIMIENTOS!$E$5:$E$1005)+SUMPRODUCT((MOVIMIENTOS!$B$5:$B$1005="DEVOLUCIÓN")*(MOVIMIENTOS!$C$5:$C$1005="M")*(MOVIMIENTOS!$D$5:$D$1005="jabas")*(MOVIMIENTOS!$A$5:$A$1005&lt;&gt;"")*(MOVIMIENTOS!$A$5:$A$1005&lt;=$A338)*MOVIMIENTOS!$E$5:$E$1005)-SUMPRODUCT((MOVIMIENTOS!$B$5:$B$1005="TRASIEGO")*(MOVIMIENTOS!$C$5:$C$1005="M")*(MOVIMIENTOS!$D$5:$D$1005="jabas")*(MOVIMIENTOS!$A$5:$A$1005&lt;&gt;"")*(MOVIMIENTOS!$A$5:$A$1005&lt;=$A338)*MOVIMIENTOS!$E$5:$E$1005)-SUMPRODUCT((MOVIMIENTOS!$B$5:$B$1005="REGALO")*(MOVIMIENTOS!$C$5:$C$1005="M")*(MOVIMIENTOS!$D$5:$D$1005="jabas")*(MOVIMIENTOS!$A$5:$A$1005&lt;&gt;"")*(MOVIMIENTOS!$A$5:$A$1005&lt;=$A338)*MOVIMIENTOS!$E$5:$E$1005)-SUMPRODUCT((MOVIMIENTOS!$B$5:$B$1005="VENTA")*(MOVIMIENTOS!$C$5:$C$1005="M")*(MOVIMIENTOS!$D$5:$D$1005="jabas")*(MOVIMIENTOS!$A$5:$A$1005&lt;&gt;"")*(MOVIMIENTOS!$A$5:$A$1005&lt;=$A338)*MOVIMIENTOS!$E$5:$E$1005)+SUMPRODUCT((MOVIMIENTOS!$B$5:$B$1005="AJUSTE")*(MOVIMIENTOS!$C$5:$C$1005="M")*(MOVIMIENTOS!$D$5:$D$1005="jabas")*(MOVIMIENTOS!$A$5:$A$1005&lt;&gt;"")*(MOVIMIENTOS!$A$5:$A$1005&lt;=$A338)*MOVIMIENTOS!$E$5:$E$1005))</f>
        <v/>
      </c>
      <c r="F338" s="63" t="str">
        <f>IF($A338="","",SUMPRODUCT((MOVIMIENTOS!$B$5:$B$1005="SALDO INICIAL")*(MOVIMIENTOS!$C$5:$C$1005="Chancho")*(MOVIMIENTOS!$D$5:$D$1005="sacos")*(MOVIMIENTOS!$A$5:$A$1005&lt;&gt;"")*(MOVIMIENTOS!$A$5:$A$1005&lt;=$A338)*MOVIMIENTOS!$E$5:$E$1005)+SUMPRODUCT((MOVIMIENTOS!$B$5:$B$1005="PROCESO")*(MOVIMIENTOS!$C$5:$C$1005="Chancho")*(MOVIMIENTOS!$D$5:$D$1005="sacos")*(MOVIMIENTOS!$A$5:$A$1005&lt;&gt;"")*(MOVIMIENTOS!$A$5:$A$1005&lt;=$A338)*MOVIMIENTOS!$E$5:$E$1005)-SUMPRODUCT((MOVIMIENTOS!$B$5:$B$1005="VENTA CHANCHO")*(MOVIMIENTOS!$C$5:$C$1005="Chancho")*(MOVIMIENTOS!$D$5:$D$1005="sacos")*(MOVIMIENTOS!$A$5:$A$1005&lt;&gt;"")*(MOVIMIENTOS!$A$5:$A$1005&lt;=$A338)*MOVIMIENTOS!$E$5:$E$1005)-SUMPRODUCT((MOVIMIENTOS!$B$5:$B$1005="REGALO")*(MOVIMIENTOS!$C$5:$C$1005="Chancho")*(MOVIMIENTOS!$D$5:$D$1005="sacos")*(MOVIMIENTOS!$A$5:$A$1005&lt;&gt;"")*(MOVIMIENTOS!$A$5:$A$1005&lt;=$A338)*MOVIMIENTOS!$E$5:$E$1005)-SUMPRODUCT((MOVIMIENTOS!$B$5:$B$1005="VENTA")*(MOVIMIENTOS!$C$5:$C$1005="Chancho")*(MOVIMIENTOS!$D$5:$D$1005="sacos")*(MOVIMIENTOS!$A$5:$A$1005&lt;&gt;"")*(MOVIMIENTOS!$A$5:$A$1005&lt;=$A338)*MOVIMIENTOS!$E$5:$E$1005)+SUMPRODUCT((MOVIMIENTOS!$B$5:$B$1005="AJUSTE")*(MOVIMIENTOS!$C$5:$C$1005="Chancho")*(MOVIMIENTOS!$D$5:$D$1005="sacos")*(MOVIMIENTOS!$A$5:$A$1005&lt;&gt;"")*(MOVIMIENTOS!$A$5:$A$1005&lt;=$A338)*MOVIMIENTOS!$E$5:$E$1005))</f>
        <v/>
      </c>
      <c r="G338" s="95" t="str">
        <f t="shared" si="11"/>
        <v/>
      </c>
      <c r="H338" s="63" t="str">
        <f>IF($A338="","",SUMPRODUCT((((MOVIMIENTOS!$B$5:$B$1005="SALDO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338)*MOVIMIENTOS!$J$5:$J$1005))</f>
        <v/>
      </c>
      <c r="I338" s="63"/>
      <c r="J338" s="63" t="str">
        <f>IF(AND(MOVIMIENTOS!$A337&lt;&gt;"",COUNTIF(MOVIMIENTOS!$A$5:$A336,MOVIMIENTOS!$A337)=0),COUNT(J$4:J337)+1,"")</f>
        <v/>
      </c>
      <c r="K338" s="66">
        <f>MOVIMIENTOS!$A337</f>
        <v>46243</v>
      </c>
      <c r="L338" s="63"/>
      <c r="M338" s="63"/>
      <c r="N338" s="63"/>
    </row>
    <row r="339" spans="1:14" ht="15" customHeight="1" x14ac:dyDescent="0.2">
      <c r="A339" s="63" t="str">
        <f t="shared" si="10"/>
        <v/>
      </c>
      <c r="B339" s="63" t="str">
        <f>IF($A339="","",SUMPRODUCT((MOVIMIENTOS!$B$5:$B$1005="SALDO INICIAL")*(MOVIMIENTOS!$C$5:$C$1005="A")*(MOVIMIENTOS!$D$5:$D$1005="jabas")*(MOVIMIENTOS!$A$5:$A$1005&lt;&gt;"")*(MOVIMIENTOS!$A$5:$A$1005&lt;=$A339)*MOVIMIENTOS!$E$5:$E$1005)+SUMPRODUCT((MOVIMIENTOS!$B$5:$B$1005="PROCESO")*(MOVIMIENTOS!$C$5:$C$1005="A")*(MOVIMIENTOS!$D$5:$D$1005="jabas")*(MOVIMIENTOS!$A$5:$A$1005&lt;&gt;"")*(MOVIMIENTOS!$A$5:$A$1005&lt;=$A339)*MOVIMIENTOS!$E$5:$E$1005)-SUMPRODUCT((MOVIMIENTOS!$B$5:$B$1005="ENVÍO A SUPESA")*(MOVIMIENTOS!$C$5:$C$1005="A")*(MOVIMIENTOS!$D$5:$D$1005="jabas")*(MOVIMIENTOS!$A$5:$A$1005&lt;&gt;"")*(MOVIMIENTOS!$A$5:$A$1005&lt;=$A339)*MOVIMIENTOS!$E$5:$E$1005)+SUMPRODUCT((MOVIMIENTOS!$B$5:$B$1005="DEVOLUCIÓN")*(MOVIMIENTOS!$C$5:$C$1005="A")*(MOVIMIENTOS!$D$5:$D$1005="jabas")*(MOVIMIENTOS!$A$5:$A$1005&lt;&gt;"")*(MOVIMIENTOS!$A$5:$A$1005&lt;=$A339)*MOVIMIENTOS!$E$5:$E$1005)-SUMPRODUCT((MOVIMIENTOS!$B$5:$B$1005="TRASIEGO")*(MOVIMIENTOS!$C$5:$C$1005="A")*(MOVIMIENTOS!$D$5:$D$1005="jabas")*(MOVIMIENTOS!$A$5:$A$1005&lt;&gt;"")*(MOVIMIENTOS!$A$5:$A$1005&lt;=$A339)*MOVIMIENTOS!$E$5:$E$1005)-SUMPRODUCT((MOVIMIENTOS!$B$5:$B$1005="REGALO")*(MOVIMIENTOS!$C$5:$C$1005="A")*(MOVIMIENTOS!$D$5:$D$1005="jabas")*(MOVIMIENTOS!$A$5:$A$1005&lt;&gt;"")*(MOVIMIENTOS!$A$5:$A$1005&lt;=$A339)*MOVIMIENTOS!$E$5:$E$1005)-SUMPRODUCT((MOVIMIENTOS!$B$5:$B$1005="VENTA")*(MOVIMIENTOS!$C$5:$C$1005="A")*(MOVIMIENTOS!$D$5:$D$1005="jabas")*(MOVIMIENTOS!$A$5:$A$1005&lt;&gt;"")*(MOVIMIENTOS!$A$5:$A$1005&lt;=$A339)*MOVIMIENTOS!$E$5:$E$1005)+SUMPRODUCT((MOVIMIENTOS!$B$5:$B$1005="AJUSTE")*(MOVIMIENTOS!$C$5:$C$1005="A")*(MOVIMIENTOS!$D$5:$D$1005="jabas")*(MOVIMIENTOS!$A$5:$A$1005&lt;&gt;"")*(MOVIMIENTOS!$A$5:$A$1005&lt;=$A339)*MOVIMIENTOS!$E$5:$E$1005))</f>
        <v/>
      </c>
      <c r="C339" s="63" t="str">
        <f>IF($A339="","",SUMPRODUCT((MOVIMIENTOS!$B$5:$B$1005="SALDO INICIAL")*(MOVIMIENTOS!$C$5:$C$1005="P")*(MOVIMIENTOS!$D$5:$D$1005="jabas")*(MOVIMIENTOS!$A$5:$A$1005&lt;&gt;"")*(MOVIMIENTOS!$A$5:$A$1005&lt;=$A339)*MOVIMIENTOS!$E$5:$E$1005)+SUMPRODUCT((MOVIMIENTOS!$B$5:$B$1005="PROCESO")*(MOVIMIENTOS!$C$5:$C$1005="P")*(MOVIMIENTOS!$D$5:$D$1005="jabas")*(MOVIMIENTOS!$A$5:$A$1005&lt;&gt;"")*(MOVIMIENTOS!$A$5:$A$1005&lt;=$A339)*MOVIMIENTOS!$E$5:$E$1005)-SUMPRODUCT((MOVIMIENTOS!$B$5:$B$1005="ENVÍO A SUPESA")*(MOVIMIENTOS!$C$5:$C$1005="P")*(MOVIMIENTOS!$D$5:$D$1005="jabas")*(MOVIMIENTOS!$A$5:$A$1005&lt;&gt;"")*(MOVIMIENTOS!$A$5:$A$1005&lt;=$A339)*MOVIMIENTOS!$E$5:$E$1005)+SUMPRODUCT((MOVIMIENTOS!$B$5:$B$1005="DEVOLUCIÓN")*(MOVIMIENTOS!$C$5:$C$1005="P")*(MOVIMIENTOS!$D$5:$D$1005="jabas")*(MOVIMIENTOS!$A$5:$A$1005&lt;&gt;"")*(MOVIMIENTOS!$A$5:$A$1005&lt;=$A339)*MOVIMIENTOS!$E$5:$E$1005)-SUMPRODUCT((MOVIMIENTOS!$B$5:$B$1005="TRASIEGO")*(MOVIMIENTOS!$C$5:$C$1005="P")*(MOVIMIENTOS!$D$5:$D$1005="jabas")*(MOVIMIENTOS!$A$5:$A$1005&lt;&gt;"")*(MOVIMIENTOS!$A$5:$A$1005&lt;=$A339)*MOVIMIENTOS!$E$5:$E$1005)-SUMPRODUCT((MOVIMIENTOS!$B$5:$B$1005="REGALO")*(MOVIMIENTOS!$C$5:$C$1005="P")*(MOVIMIENTOS!$D$5:$D$1005="jabas")*(MOVIMIENTOS!$A$5:$A$1005&lt;&gt;"")*(MOVIMIENTOS!$A$5:$A$1005&lt;=$A339)*MOVIMIENTOS!$E$5:$E$1005)-SUMPRODUCT((MOVIMIENTOS!$B$5:$B$1005="VENTA")*(MOVIMIENTOS!$C$5:$C$1005="P")*(MOVIMIENTOS!$D$5:$D$1005="jabas")*(MOVIMIENTOS!$A$5:$A$1005&lt;&gt;"")*(MOVIMIENTOS!$A$5:$A$1005&lt;=$A339)*MOVIMIENTOS!$E$5:$E$1005)+SUMPRODUCT((MOVIMIENTOS!$B$5:$B$1005="AJUSTE")*(MOVIMIENTOS!$C$5:$C$1005="P")*(MOVIMIENTOS!$D$5:$D$1005="jabas")*(MOVIMIENTOS!$A$5:$A$1005&lt;&gt;"")*(MOVIMIENTOS!$A$5:$A$1005&lt;=$A339)*MOVIMIENTOS!$E$5:$E$1005))</f>
        <v/>
      </c>
      <c r="D339" s="63" t="str">
        <f>IF($A339="","",SUMPRODUCT((MOVIMIENTOS!$B$5:$B$1005="SALDO INICIAL")*(MOVIMIENTOS!$C$5:$C$1005="C")*(MOVIMIENTOS!$D$5:$D$1005="jabas")*(MOVIMIENTOS!$A$5:$A$1005&lt;&gt;"")*(MOVIMIENTOS!$A$5:$A$1005&lt;=$A339)*MOVIMIENTOS!$E$5:$E$1005)+SUMPRODUCT((MOVIMIENTOS!$B$5:$B$1005="PROCESO")*(MOVIMIENTOS!$C$5:$C$1005="C")*(MOVIMIENTOS!$D$5:$D$1005="jabas")*(MOVIMIENTOS!$A$5:$A$1005&lt;&gt;"")*(MOVIMIENTOS!$A$5:$A$1005&lt;=$A339)*MOVIMIENTOS!$E$5:$E$1005)-SUMPRODUCT((MOVIMIENTOS!$B$5:$B$1005="ENVÍO A SUPESA")*(MOVIMIENTOS!$C$5:$C$1005="C")*(MOVIMIENTOS!$D$5:$D$1005="jabas")*(MOVIMIENTOS!$A$5:$A$1005&lt;&gt;"")*(MOVIMIENTOS!$A$5:$A$1005&lt;=$A339)*MOVIMIENTOS!$E$5:$E$1005)+SUMPRODUCT((MOVIMIENTOS!$B$5:$B$1005="DEVOLUCIÓN")*(MOVIMIENTOS!$C$5:$C$1005="C")*(MOVIMIENTOS!$D$5:$D$1005="jabas")*(MOVIMIENTOS!$A$5:$A$1005&lt;&gt;"")*(MOVIMIENTOS!$A$5:$A$1005&lt;=$A339)*MOVIMIENTOS!$E$5:$E$1005)-SUMPRODUCT((MOVIMIENTOS!$B$5:$B$1005="TRASIEGO")*(MOVIMIENTOS!$C$5:$C$1005="C")*(MOVIMIENTOS!$D$5:$D$1005="jabas")*(MOVIMIENTOS!$A$5:$A$1005&lt;&gt;"")*(MOVIMIENTOS!$A$5:$A$1005&lt;=$A339)*MOVIMIENTOS!$E$5:$E$1005)-SUMPRODUCT((MOVIMIENTOS!$B$5:$B$1005="REGALO")*(MOVIMIENTOS!$C$5:$C$1005="C")*(MOVIMIENTOS!$D$5:$D$1005="jabas")*(MOVIMIENTOS!$A$5:$A$1005&lt;&gt;"")*(MOVIMIENTOS!$A$5:$A$1005&lt;=$A339)*MOVIMIENTOS!$E$5:$E$1005)-SUMPRODUCT((MOVIMIENTOS!$B$5:$B$1005="VENTA")*(MOVIMIENTOS!$C$5:$C$1005="C")*(MOVIMIENTOS!$D$5:$D$1005="jabas")*(MOVIMIENTOS!$A$5:$A$1005&lt;&gt;"")*(MOVIMIENTOS!$A$5:$A$1005&lt;=$A339)*MOVIMIENTOS!$E$5:$E$1005)+SUMPRODUCT((MOVIMIENTOS!$B$5:$B$1005="AJUSTE")*(MOVIMIENTOS!$C$5:$C$1005="C")*(MOVIMIENTOS!$D$5:$D$1005="jabas")*(MOVIMIENTOS!$A$5:$A$1005&lt;&gt;"")*(MOVIMIENTOS!$A$5:$A$1005&lt;=$A339)*MOVIMIENTOS!$E$5:$E$1005))</f>
        <v/>
      </c>
      <c r="E339" s="63" t="str">
        <f>IF($A339="","",SUMPRODUCT((MOVIMIENTOS!$B$5:$B$1005="SALDO INICIAL")*(MOVIMIENTOS!$C$5:$C$1005="M")*(MOVIMIENTOS!$D$5:$D$1005="jabas")*(MOVIMIENTOS!$A$5:$A$1005&lt;&gt;"")*(MOVIMIENTOS!$A$5:$A$1005&lt;=$A339)*MOVIMIENTOS!$E$5:$E$1005)+SUMPRODUCT((MOVIMIENTOS!$B$5:$B$1005="PROCESO")*(MOVIMIENTOS!$C$5:$C$1005="M")*(MOVIMIENTOS!$D$5:$D$1005="jabas")*(MOVIMIENTOS!$A$5:$A$1005&lt;&gt;"")*(MOVIMIENTOS!$A$5:$A$1005&lt;=$A339)*MOVIMIENTOS!$E$5:$E$1005)-SUMPRODUCT((MOVIMIENTOS!$B$5:$B$1005="ENVÍO A SUPESA")*(MOVIMIENTOS!$C$5:$C$1005="M")*(MOVIMIENTOS!$D$5:$D$1005="jabas")*(MOVIMIENTOS!$A$5:$A$1005&lt;&gt;"")*(MOVIMIENTOS!$A$5:$A$1005&lt;=$A339)*MOVIMIENTOS!$E$5:$E$1005)+SUMPRODUCT((MOVIMIENTOS!$B$5:$B$1005="DEVOLUCIÓN")*(MOVIMIENTOS!$C$5:$C$1005="M")*(MOVIMIENTOS!$D$5:$D$1005="jabas")*(MOVIMIENTOS!$A$5:$A$1005&lt;&gt;"")*(MOVIMIENTOS!$A$5:$A$1005&lt;=$A339)*MOVIMIENTOS!$E$5:$E$1005)-SUMPRODUCT((MOVIMIENTOS!$B$5:$B$1005="TRASIEGO")*(MOVIMIENTOS!$C$5:$C$1005="M")*(MOVIMIENTOS!$D$5:$D$1005="jabas")*(MOVIMIENTOS!$A$5:$A$1005&lt;&gt;"")*(MOVIMIENTOS!$A$5:$A$1005&lt;=$A339)*MOVIMIENTOS!$E$5:$E$1005)-SUMPRODUCT((MOVIMIENTOS!$B$5:$B$1005="REGALO")*(MOVIMIENTOS!$C$5:$C$1005="M")*(MOVIMIENTOS!$D$5:$D$1005="jabas")*(MOVIMIENTOS!$A$5:$A$1005&lt;&gt;"")*(MOVIMIENTOS!$A$5:$A$1005&lt;=$A339)*MOVIMIENTOS!$E$5:$E$1005)-SUMPRODUCT((MOVIMIENTOS!$B$5:$B$1005="VENTA")*(MOVIMIENTOS!$C$5:$C$1005="M")*(MOVIMIENTOS!$D$5:$D$1005="jabas")*(MOVIMIENTOS!$A$5:$A$1005&lt;&gt;"")*(MOVIMIENTOS!$A$5:$A$1005&lt;=$A339)*MOVIMIENTOS!$E$5:$E$1005)+SUMPRODUCT((MOVIMIENTOS!$B$5:$B$1005="AJUSTE")*(MOVIMIENTOS!$C$5:$C$1005="M")*(MOVIMIENTOS!$D$5:$D$1005="jabas")*(MOVIMIENTOS!$A$5:$A$1005&lt;&gt;"")*(MOVIMIENTOS!$A$5:$A$1005&lt;=$A339)*MOVIMIENTOS!$E$5:$E$1005))</f>
        <v/>
      </c>
      <c r="F339" s="63" t="str">
        <f>IF($A339="","",SUMPRODUCT((MOVIMIENTOS!$B$5:$B$1005="SALDO INICIAL")*(MOVIMIENTOS!$C$5:$C$1005="Chancho")*(MOVIMIENTOS!$D$5:$D$1005="sacos")*(MOVIMIENTOS!$A$5:$A$1005&lt;&gt;"")*(MOVIMIENTOS!$A$5:$A$1005&lt;=$A339)*MOVIMIENTOS!$E$5:$E$1005)+SUMPRODUCT((MOVIMIENTOS!$B$5:$B$1005="PROCESO")*(MOVIMIENTOS!$C$5:$C$1005="Chancho")*(MOVIMIENTOS!$D$5:$D$1005="sacos")*(MOVIMIENTOS!$A$5:$A$1005&lt;&gt;"")*(MOVIMIENTOS!$A$5:$A$1005&lt;=$A339)*MOVIMIENTOS!$E$5:$E$1005)-SUMPRODUCT((MOVIMIENTOS!$B$5:$B$1005="VENTA CHANCHO")*(MOVIMIENTOS!$C$5:$C$1005="Chancho")*(MOVIMIENTOS!$D$5:$D$1005="sacos")*(MOVIMIENTOS!$A$5:$A$1005&lt;&gt;"")*(MOVIMIENTOS!$A$5:$A$1005&lt;=$A339)*MOVIMIENTOS!$E$5:$E$1005)-SUMPRODUCT((MOVIMIENTOS!$B$5:$B$1005="REGALO")*(MOVIMIENTOS!$C$5:$C$1005="Chancho")*(MOVIMIENTOS!$D$5:$D$1005="sacos")*(MOVIMIENTOS!$A$5:$A$1005&lt;&gt;"")*(MOVIMIENTOS!$A$5:$A$1005&lt;=$A339)*MOVIMIENTOS!$E$5:$E$1005)-SUMPRODUCT((MOVIMIENTOS!$B$5:$B$1005="VENTA")*(MOVIMIENTOS!$C$5:$C$1005="Chancho")*(MOVIMIENTOS!$D$5:$D$1005="sacos")*(MOVIMIENTOS!$A$5:$A$1005&lt;&gt;"")*(MOVIMIENTOS!$A$5:$A$1005&lt;=$A339)*MOVIMIENTOS!$E$5:$E$1005)+SUMPRODUCT((MOVIMIENTOS!$B$5:$B$1005="AJUSTE")*(MOVIMIENTOS!$C$5:$C$1005="Chancho")*(MOVIMIENTOS!$D$5:$D$1005="sacos")*(MOVIMIENTOS!$A$5:$A$1005&lt;&gt;"")*(MOVIMIENTOS!$A$5:$A$1005&lt;=$A339)*MOVIMIENTOS!$E$5:$E$1005))</f>
        <v/>
      </c>
      <c r="G339" s="95" t="str">
        <f t="shared" si="11"/>
        <v/>
      </c>
      <c r="H339" s="63" t="str">
        <f>IF($A339="","",SUMPRODUCT((((MOVIMIENTOS!$B$5:$B$1005="SALDO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339)*MOVIMIENTOS!$J$5:$J$1005))</f>
        <v/>
      </c>
      <c r="I339" s="63"/>
      <c r="J339" s="63" t="str">
        <f>IF(AND(MOVIMIENTOS!$A338&lt;&gt;"",COUNTIF(MOVIMIENTOS!$A$5:$A337,MOVIMIENTOS!$A338)=0),COUNT(J$4:J338)+1,"")</f>
        <v/>
      </c>
      <c r="K339" s="66">
        <f>MOVIMIENTOS!$A338</f>
        <v>46243</v>
      </c>
      <c r="L339" s="63"/>
      <c r="M339" s="63"/>
      <c r="N339" s="63"/>
    </row>
    <row r="340" spans="1:14" ht="15" customHeight="1" x14ac:dyDescent="0.2">
      <c r="A340" s="63" t="str">
        <f t="shared" si="10"/>
        <v/>
      </c>
      <c r="B340" s="63" t="str">
        <f>IF($A340="","",SUMPRODUCT((MOVIMIENTOS!$B$5:$B$1005="SALDO INICIAL")*(MOVIMIENTOS!$C$5:$C$1005="A")*(MOVIMIENTOS!$D$5:$D$1005="jabas")*(MOVIMIENTOS!$A$5:$A$1005&lt;&gt;"")*(MOVIMIENTOS!$A$5:$A$1005&lt;=$A340)*MOVIMIENTOS!$E$5:$E$1005)+SUMPRODUCT((MOVIMIENTOS!$B$5:$B$1005="PROCESO")*(MOVIMIENTOS!$C$5:$C$1005="A")*(MOVIMIENTOS!$D$5:$D$1005="jabas")*(MOVIMIENTOS!$A$5:$A$1005&lt;&gt;"")*(MOVIMIENTOS!$A$5:$A$1005&lt;=$A340)*MOVIMIENTOS!$E$5:$E$1005)-SUMPRODUCT((MOVIMIENTOS!$B$5:$B$1005="ENVÍO A SUPESA")*(MOVIMIENTOS!$C$5:$C$1005="A")*(MOVIMIENTOS!$D$5:$D$1005="jabas")*(MOVIMIENTOS!$A$5:$A$1005&lt;&gt;"")*(MOVIMIENTOS!$A$5:$A$1005&lt;=$A340)*MOVIMIENTOS!$E$5:$E$1005)+SUMPRODUCT((MOVIMIENTOS!$B$5:$B$1005="DEVOLUCIÓN")*(MOVIMIENTOS!$C$5:$C$1005="A")*(MOVIMIENTOS!$D$5:$D$1005="jabas")*(MOVIMIENTOS!$A$5:$A$1005&lt;&gt;"")*(MOVIMIENTOS!$A$5:$A$1005&lt;=$A340)*MOVIMIENTOS!$E$5:$E$1005)-SUMPRODUCT((MOVIMIENTOS!$B$5:$B$1005="TRASIEGO")*(MOVIMIENTOS!$C$5:$C$1005="A")*(MOVIMIENTOS!$D$5:$D$1005="jabas")*(MOVIMIENTOS!$A$5:$A$1005&lt;&gt;"")*(MOVIMIENTOS!$A$5:$A$1005&lt;=$A340)*MOVIMIENTOS!$E$5:$E$1005)-SUMPRODUCT((MOVIMIENTOS!$B$5:$B$1005="REGALO")*(MOVIMIENTOS!$C$5:$C$1005="A")*(MOVIMIENTOS!$D$5:$D$1005="jabas")*(MOVIMIENTOS!$A$5:$A$1005&lt;&gt;"")*(MOVIMIENTOS!$A$5:$A$1005&lt;=$A340)*MOVIMIENTOS!$E$5:$E$1005)-SUMPRODUCT((MOVIMIENTOS!$B$5:$B$1005="VENTA")*(MOVIMIENTOS!$C$5:$C$1005="A")*(MOVIMIENTOS!$D$5:$D$1005="jabas")*(MOVIMIENTOS!$A$5:$A$1005&lt;&gt;"")*(MOVIMIENTOS!$A$5:$A$1005&lt;=$A340)*MOVIMIENTOS!$E$5:$E$1005)+SUMPRODUCT((MOVIMIENTOS!$B$5:$B$1005="AJUSTE")*(MOVIMIENTOS!$C$5:$C$1005="A")*(MOVIMIENTOS!$D$5:$D$1005="jabas")*(MOVIMIENTOS!$A$5:$A$1005&lt;&gt;"")*(MOVIMIENTOS!$A$5:$A$1005&lt;=$A340)*MOVIMIENTOS!$E$5:$E$1005))</f>
        <v/>
      </c>
      <c r="C340" s="63" t="str">
        <f>IF($A340="","",SUMPRODUCT((MOVIMIENTOS!$B$5:$B$1005="SALDO INICIAL")*(MOVIMIENTOS!$C$5:$C$1005="P")*(MOVIMIENTOS!$D$5:$D$1005="jabas")*(MOVIMIENTOS!$A$5:$A$1005&lt;&gt;"")*(MOVIMIENTOS!$A$5:$A$1005&lt;=$A340)*MOVIMIENTOS!$E$5:$E$1005)+SUMPRODUCT((MOVIMIENTOS!$B$5:$B$1005="PROCESO")*(MOVIMIENTOS!$C$5:$C$1005="P")*(MOVIMIENTOS!$D$5:$D$1005="jabas")*(MOVIMIENTOS!$A$5:$A$1005&lt;&gt;"")*(MOVIMIENTOS!$A$5:$A$1005&lt;=$A340)*MOVIMIENTOS!$E$5:$E$1005)-SUMPRODUCT((MOVIMIENTOS!$B$5:$B$1005="ENVÍO A SUPESA")*(MOVIMIENTOS!$C$5:$C$1005="P")*(MOVIMIENTOS!$D$5:$D$1005="jabas")*(MOVIMIENTOS!$A$5:$A$1005&lt;&gt;"")*(MOVIMIENTOS!$A$5:$A$1005&lt;=$A340)*MOVIMIENTOS!$E$5:$E$1005)+SUMPRODUCT((MOVIMIENTOS!$B$5:$B$1005="DEVOLUCIÓN")*(MOVIMIENTOS!$C$5:$C$1005="P")*(MOVIMIENTOS!$D$5:$D$1005="jabas")*(MOVIMIENTOS!$A$5:$A$1005&lt;&gt;"")*(MOVIMIENTOS!$A$5:$A$1005&lt;=$A340)*MOVIMIENTOS!$E$5:$E$1005)-SUMPRODUCT((MOVIMIENTOS!$B$5:$B$1005="TRASIEGO")*(MOVIMIENTOS!$C$5:$C$1005="P")*(MOVIMIENTOS!$D$5:$D$1005="jabas")*(MOVIMIENTOS!$A$5:$A$1005&lt;&gt;"")*(MOVIMIENTOS!$A$5:$A$1005&lt;=$A340)*MOVIMIENTOS!$E$5:$E$1005)-SUMPRODUCT((MOVIMIENTOS!$B$5:$B$1005="REGALO")*(MOVIMIENTOS!$C$5:$C$1005="P")*(MOVIMIENTOS!$D$5:$D$1005="jabas")*(MOVIMIENTOS!$A$5:$A$1005&lt;&gt;"")*(MOVIMIENTOS!$A$5:$A$1005&lt;=$A340)*MOVIMIENTOS!$E$5:$E$1005)-SUMPRODUCT((MOVIMIENTOS!$B$5:$B$1005="VENTA")*(MOVIMIENTOS!$C$5:$C$1005="P")*(MOVIMIENTOS!$D$5:$D$1005="jabas")*(MOVIMIENTOS!$A$5:$A$1005&lt;&gt;"")*(MOVIMIENTOS!$A$5:$A$1005&lt;=$A340)*MOVIMIENTOS!$E$5:$E$1005)+SUMPRODUCT((MOVIMIENTOS!$B$5:$B$1005="AJUSTE")*(MOVIMIENTOS!$C$5:$C$1005="P")*(MOVIMIENTOS!$D$5:$D$1005="jabas")*(MOVIMIENTOS!$A$5:$A$1005&lt;&gt;"")*(MOVIMIENTOS!$A$5:$A$1005&lt;=$A340)*MOVIMIENTOS!$E$5:$E$1005))</f>
        <v/>
      </c>
      <c r="D340" s="63" t="str">
        <f>IF($A340="","",SUMPRODUCT((MOVIMIENTOS!$B$5:$B$1005="SALDO INICIAL")*(MOVIMIENTOS!$C$5:$C$1005="C")*(MOVIMIENTOS!$D$5:$D$1005="jabas")*(MOVIMIENTOS!$A$5:$A$1005&lt;&gt;"")*(MOVIMIENTOS!$A$5:$A$1005&lt;=$A340)*MOVIMIENTOS!$E$5:$E$1005)+SUMPRODUCT((MOVIMIENTOS!$B$5:$B$1005="PROCESO")*(MOVIMIENTOS!$C$5:$C$1005="C")*(MOVIMIENTOS!$D$5:$D$1005="jabas")*(MOVIMIENTOS!$A$5:$A$1005&lt;&gt;"")*(MOVIMIENTOS!$A$5:$A$1005&lt;=$A340)*MOVIMIENTOS!$E$5:$E$1005)-SUMPRODUCT((MOVIMIENTOS!$B$5:$B$1005="ENVÍO A SUPESA")*(MOVIMIENTOS!$C$5:$C$1005="C")*(MOVIMIENTOS!$D$5:$D$1005="jabas")*(MOVIMIENTOS!$A$5:$A$1005&lt;&gt;"")*(MOVIMIENTOS!$A$5:$A$1005&lt;=$A340)*MOVIMIENTOS!$E$5:$E$1005)+SUMPRODUCT((MOVIMIENTOS!$B$5:$B$1005="DEVOLUCIÓN")*(MOVIMIENTOS!$C$5:$C$1005="C")*(MOVIMIENTOS!$D$5:$D$1005="jabas")*(MOVIMIENTOS!$A$5:$A$1005&lt;&gt;"")*(MOVIMIENTOS!$A$5:$A$1005&lt;=$A340)*MOVIMIENTOS!$E$5:$E$1005)-SUMPRODUCT((MOVIMIENTOS!$B$5:$B$1005="TRASIEGO")*(MOVIMIENTOS!$C$5:$C$1005="C")*(MOVIMIENTOS!$D$5:$D$1005="jabas")*(MOVIMIENTOS!$A$5:$A$1005&lt;&gt;"")*(MOVIMIENTOS!$A$5:$A$1005&lt;=$A340)*MOVIMIENTOS!$E$5:$E$1005)-SUMPRODUCT((MOVIMIENTOS!$B$5:$B$1005="REGALO")*(MOVIMIENTOS!$C$5:$C$1005="C")*(MOVIMIENTOS!$D$5:$D$1005="jabas")*(MOVIMIENTOS!$A$5:$A$1005&lt;&gt;"")*(MOVIMIENTOS!$A$5:$A$1005&lt;=$A340)*MOVIMIENTOS!$E$5:$E$1005)-SUMPRODUCT((MOVIMIENTOS!$B$5:$B$1005="VENTA")*(MOVIMIENTOS!$C$5:$C$1005="C")*(MOVIMIENTOS!$D$5:$D$1005="jabas")*(MOVIMIENTOS!$A$5:$A$1005&lt;&gt;"")*(MOVIMIENTOS!$A$5:$A$1005&lt;=$A340)*MOVIMIENTOS!$E$5:$E$1005)+SUMPRODUCT((MOVIMIENTOS!$B$5:$B$1005="AJUSTE")*(MOVIMIENTOS!$C$5:$C$1005="C")*(MOVIMIENTOS!$D$5:$D$1005="jabas")*(MOVIMIENTOS!$A$5:$A$1005&lt;&gt;"")*(MOVIMIENTOS!$A$5:$A$1005&lt;=$A340)*MOVIMIENTOS!$E$5:$E$1005))</f>
        <v/>
      </c>
      <c r="E340" s="63" t="str">
        <f>IF($A340="","",SUMPRODUCT((MOVIMIENTOS!$B$5:$B$1005="SALDO INICIAL")*(MOVIMIENTOS!$C$5:$C$1005="M")*(MOVIMIENTOS!$D$5:$D$1005="jabas")*(MOVIMIENTOS!$A$5:$A$1005&lt;&gt;"")*(MOVIMIENTOS!$A$5:$A$1005&lt;=$A340)*MOVIMIENTOS!$E$5:$E$1005)+SUMPRODUCT((MOVIMIENTOS!$B$5:$B$1005="PROCESO")*(MOVIMIENTOS!$C$5:$C$1005="M")*(MOVIMIENTOS!$D$5:$D$1005="jabas")*(MOVIMIENTOS!$A$5:$A$1005&lt;&gt;"")*(MOVIMIENTOS!$A$5:$A$1005&lt;=$A340)*MOVIMIENTOS!$E$5:$E$1005)-SUMPRODUCT((MOVIMIENTOS!$B$5:$B$1005="ENVÍO A SUPESA")*(MOVIMIENTOS!$C$5:$C$1005="M")*(MOVIMIENTOS!$D$5:$D$1005="jabas")*(MOVIMIENTOS!$A$5:$A$1005&lt;&gt;"")*(MOVIMIENTOS!$A$5:$A$1005&lt;=$A340)*MOVIMIENTOS!$E$5:$E$1005)+SUMPRODUCT((MOVIMIENTOS!$B$5:$B$1005="DEVOLUCIÓN")*(MOVIMIENTOS!$C$5:$C$1005="M")*(MOVIMIENTOS!$D$5:$D$1005="jabas")*(MOVIMIENTOS!$A$5:$A$1005&lt;&gt;"")*(MOVIMIENTOS!$A$5:$A$1005&lt;=$A340)*MOVIMIENTOS!$E$5:$E$1005)-SUMPRODUCT((MOVIMIENTOS!$B$5:$B$1005="TRASIEGO")*(MOVIMIENTOS!$C$5:$C$1005="M")*(MOVIMIENTOS!$D$5:$D$1005="jabas")*(MOVIMIENTOS!$A$5:$A$1005&lt;&gt;"")*(MOVIMIENTOS!$A$5:$A$1005&lt;=$A340)*MOVIMIENTOS!$E$5:$E$1005)-SUMPRODUCT((MOVIMIENTOS!$B$5:$B$1005="REGALO")*(MOVIMIENTOS!$C$5:$C$1005="M")*(MOVIMIENTOS!$D$5:$D$1005="jabas")*(MOVIMIENTOS!$A$5:$A$1005&lt;&gt;"")*(MOVIMIENTOS!$A$5:$A$1005&lt;=$A340)*MOVIMIENTOS!$E$5:$E$1005)-SUMPRODUCT((MOVIMIENTOS!$B$5:$B$1005="VENTA")*(MOVIMIENTOS!$C$5:$C$1005="M")*(MOVIMIENTOS!$D$5:$D$1005="jabas")*(MOVIMIENTOS!$A$5:$A$1005&lt;&gt;"")*(MOVIMIENTOS!$A$5:$A$1005&lt;=$A340)*MOVIMIENTOS!$E$5:$E$1005)+SUMPRODUCT((MOVIMIENTOS!$B$5:$B$1005="AJUSTE")*(MOVIMIENTOS!$C$5:$C$1005="M")*(MOVIMIENTOS!$D$5:$D$1005="jabas")*(MOVIMIENTOS!$A$5:$A$1005&lt;&gt;"")*(MOVIMIENTOS!$A$5:$A$1005&lt;=$A340)*MOVIMIENTOS!$E$5:$E$1005))</f>
        <v/>
      </c>
      <c r="F340" s="63" t="str">
        <f>IF($A340="","",SUMPRODUCT((MOVIMIENTOS!$B$5:$B$1005="SALDO INICIAL")*(MOVIMIENTOS!$C$5:$C$1005="Chancho")*(MOVIMIENTOS!$D$5:$D$1005="sacos")*(MOVIMIENTOS!$A$5:$A$1005&lt;&gt;"")*(MOVIMIENTOS!$A$5:$A$1005&lt;=$A340)*MOVIMIENTOS!$E$5:$E$1005)+SUMPRODUCT((MOVIMIENTOS!$B$5:$B$1005="PROCESO")*(MOVIMIENTOS!$C$5:$C$1005="Chancho")*(MOVIMIENTOS!$D$5:$D$1005="sacos")*(MOVIMIENTOS!$A$5:$A$1005&lt;&gt;"")*(MOVIMIENTOS!$A$5:$A$1005&lt;=$A340)*MOVIMIENTOS!$E$5:$E$1005)-SUMPRODUCT((MOVIMIENTOS!$B$5:$B$1005="VENTA CHANCHO")*(MOVIMIENTOS!$C$5:$C$1005="Chancho")*(MOVIMIENTOS!$D$5:$D$1005="sacos")*(MOVIMIENTOS!$A$5:$A$1005&lt;&gt;"")*(MOVIMIENTOS!$A$5:$A$1005&lt;=$A340)*MOVIMIENTOS!$E$5:$E$1005)-SUMPRODUCT((MOVIMIENTOS!$B$5:$B$1005="REGALO")*(MOVIMIENTOS!$C$5:$C$1005="Chancho")*(MOVIMIENTOS!$D$5:$D$1005="sacos")*(MOVIMIENTOS!$A$5:$A$1005&lt;&gt;"")*(MOVIMIENTOS!$A$5:$A$1005&lt;=$A340)*MOVIMIENTOS!$E$5:$E$1005)-SUMPRODUCT((MOVIMIENTOS!$B$5:$B$1005="VENTA")*(MOVIMIENTOS!$C$5:$C$1005="Chancho")*(MOVIMIENTOS!$D$5:$D$1005="sacos")*(MOVIMIENTOS!$A$5:$A$1005&lt;&gt;"")*(MOVIMIENTOS!$A$5:$A$1005&lt;=$A340)*MOVIMIENTOS!$E$5:$E$1005)+SUMPRODUCT((MOVIMIENTOS!$B$5:$B$1005="AJUSTE")*(MOVIMIENTOS!$C$5:$C$1005="Chancho")*(MOVIMIENTOS!$D$5:$D$1005="sacos")*(MOVIMIENTOS!$A$5:$A$1005&lt;&gt;"")*(MOVIMIENTOS!$A$5:$A$1005&lt;=$A340)*MOVIMIENTOS!$E$5:$E$1005))</f>
        <v/>
      </c>
      <c r="G340" s="95" t="str">
        <f t="shared" si="11"/>
        <v/>
      </c>
      <c r="H340" s="63" t="str">
        <f>IF($A340="","",SUMPRODUCT((((MOVIMIENTOS!$B$5:$B$1005="SALDO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340)*MOVIMIENTOS!$J$5:$J$1005))</f>
        <v/>
      </c>
      <c r="I340" s="63"/>
      <c r="J340" s="63" t="str">
        <f>IF(AND(MOVIMIENTOS!$A339&lt;&gt;"",COUNTIF(MOVIMIENTOS!$A$5:$A338,MOVIMIENTOS!$A339)=0),COUNT(J$4:J339)+1,"")</f>
        <v/>
      </c>
      <c r="K340" s="66">
        <f>MOVIMIENTOS!$A339</f>
        <v>46243</v>
      </c>
      <c r="L340" s="63"/>
      <c r="M340" s="63"/>
      <c r="N340" s="63"/>
    </row>
    <row r="341" spans="1:14" ht="15" customHeight="1" x14ac:dyDescent="0.2">
      <c r="A341" s="63" t="str">
        <f t="shared" si="10"/>
        <v/>
      </c>
      <c r="B341" s="63" t="str">
        <f>IF($A341="","",SUMPRODUCT((MOVIMIENTOS!$B$5:$B$1005="SALDO INICIAL")*(MOVIMIENTOS!$C$5:$C$1005="A")*(MOVIMIENTOS!$D$5:$D$1005="jabas")*(MOVIMIENTOS!$A$5:$A$1005&lt;&gt;"")*(MOVIMIENTOS!$A$5:$A$1005&lt;=$A341)*MOVIMIENTOS!$E$5:$E$1005)+SUMPRODUCT((MOVIMIENTOS!$B$5:$B$1005="PROCESO")*(MOVIMIENTOS!$C$5:$C$1005="A")*(MOVIMIENTOS!$D$5:$D$1005="jabas")*(MOVIMIENTOS!$A$5:$A$1005&lt;&gt;"")*(MOVIMIENTOS!$A$5:$A$1005&lt;=$A341)*MOVIMIENTOS!$E$5:$E$1005)-SUMPRODUCT((MOVIMIENTOS!$B$5:$B$1005="ENVÍO A SUPESA")*(MOVIMIENTOS!$C$5:$C$1005="A")*(MOVIMIENTOS!$D$5:$D$1005="jabas")*(MOVIMIENTOS!$A$5:$A$1005&lt;&gt;"")*(MOVIMIENTOS!$A$5:$A$1005&lt;=$A341)*MOVIMIENTOS!$E$5:$E$1005)+SUMPRODUCT((MOVIMIENTOS!$B$5:$B$1005="DEVOLUCIÓN")*(MOVIMIENTOS!$C$5:$C$1005="A")*(MOVIMIENTOS!$D$5:$D$1005="jabas")*(MOVIMIENTOS!$A$5:$A$1005&lt;&gt;"")*(MOVIMIENTOS!$A$5:$A$1005&lt;=$A341)*MOVIMIENTOS!$E$5:$E$1005)-SUMPRODUCT((MOVIMIENTOS!$B$5:$B$1005="TRASIEGO")*(MOVIMIENTOS!$C$5:$C$1005="A")*(MOVIMIENTOS!$D$5:$D$1005="jabas")*(MOVIMIENTOS!$A$5:$A$1005&lt;&gt;"")*(MOVIMIENTOS!$A$5:$A$1005&lt;=$A341)*MOVIMIENTOS!$E$5:$E$1005)-SUMPRODUCT((MOVIMIENTOS!$B$5:$B$1005="REGALO")*(MOVIMIENTOS!$C$5:$C$1005="A")*(MOVIMIENTOS!$D$5:$D$1005="jabas")*(MOVIMIENTOS!$A$5:$A$1005&lt;&gt;"")*(MOVIMIENTOS!$A$5:$A$1005&lt;=$A341)*MOVIMIENTOS!$E$5:$E$1005)-SUMPRODUCT((MOVIMIENTOS!$B$5:$B$1005="VENTA")*(MOVIMIENTOS!$C$5:$C$1005="A")*(MOVIMIENTOS!$D$5:$D$1005="jabas")*(MOVIMIENTOS!$A$5:$A$1005&lt;&gt;"")*(MOVIMIENTOS!$A$5:$A$1005&lt;=$A341)*MOVIMIENTOS!$E$5:$E$1005)+SUMPRODUCT((MOVIMIENTOS!$B$5:$B$1005="AJUSTE")*(MOVIMIENTOS!$C$5:$C$1005="A")*(MOVIMIENTOS!$D$5:$D$1005="jabas")*(MOVIMIENTOS!$A$5:$A$1005&lt;&gt;"")*(MOVIMIENTOS!$A$5:$A$1005&lt;=$A341)*MOVIMIENTOS!$E$5:$E$1005))</f>
        <v/>
      </c>
      <c r="C341" s="63" t="str">
        <f>IF($A341="","",SUMPRODUCT((MOVIMIENTOS!$B$5:$B$1005="SALDO INICIAL")*(MOVIMIENTOS!$C$5:$C$1005="P")*(MOVIMIENTOS!$D$5:$D$1005="jabas")*(MOVIMIENTOS!$A$5:$A$1005&lt;&gt;"")*(MOVIMIENTOS!$A$5:$A$1005&lt;=$A341)*MOVIMIENTOS!$E$5:$E$1005)+SUMPRODUCT((MOVIMIENTOS!$B$5:$B$1005="PROCESO")*(MOVIMIENTOS!$C$5:$C$1005="P")*(MOVIMIENTOS!$D$5:$D$1005="jabas")*(MOVIMIENTOS!$A$5:$A$1005&lt;&gt;"")*(MOVIMIENTOS!$A$5:$A$1005&lt;=$A341)*MOVIMIENTOS!$E$5:$E$1005)-SUMPRODUCT((MOVIMIENTOS!$B$5:$B$1005="ENVÍO A SUPESA")*(MOVIMIENTOS!$C$5:$C$1005="P")*(MOVIMIENTOS!$D$5:$D$1005="jabas")*(MOVIMIENTOS!$A$5:$A$1005&lt;&gt;"")*(MOVIMIENTOS!$A$5:$A$1005&lt;=$A341)*MOVIMIENTOS!$E$5:$E$1005)+SUMPRODUCT((MOVIMIENTOS!$B$5:$B$1005="DEVOLUCIÓN")*(MOVIMIENTOS!$C$5:$C$1005="P")*(MOVIMIENTOS!$D$5:$D$1005="jabas")*(MOVIMIENTOS!$A$5:$A$1005&lt;&gt;"")*(MOVIMIENTOS!$A$5:$A$1005&lt;=$A341)*MOVIMIENTOS!$E$5:$E$1005)-SUMPRODUCT((MOVIMIENTOS!$B$5:$B$1005="TRASIEGO")*(MOVIMIENTOS!$C$5:$C$1005="P")*(MOVIMIENTOS!$D$5:$D$1005="jabas")*(MOVIMIENTOS!$A$5:$A$1005&lt;&gt;"")*(MOVIMIENTOS!$A$5:$A$1005&lt;=$A341)*MOVIMIENTOS!$E$5:$E$1005)-SUMPRODUCT((MOVIMIENTOS!$B$5:$B$1005="REGALO")*(MOVIMIENTOS!$C$5:$C$1005="P")*(MOVIMIENTOS!$D$5:$D$1005="jabas")*(MOVIMIENTOS!$A$5:$A$1005&lt;&gt;"")*(MOVIMIENTOS!$A$5:$A$1005&lt;=$A341)*MOVIMIENTOS!$E$5:$E$1005)-SUMPRODUCT((MOVIMIENTOS!$B$5:$B$1005="VENTA")*(MOVIMIENTOS!$C$5:$C$1005="P")*(MOVIMIENTOS!$D$5:$D$1005="jabas")*(MOVIMIENTOS!$A$5:$A$1005&lt;&gt;"")*(MOVIMIENTOS!$A$5:$A$1005&lt;=$A341)*MOVIMIENTOS!$E$5:$E$1005)+SUMPRODUCT((MOVIMIENTOS!$B$5:$B$1005="AJUSTE")*(MOVIMIENTOS!$C$5:$C$1005="P")*(MOVIMIENTOS!$D$5:$D$1005="jabas")*(MOVIMIENTOS!$A$5:$A$1005&lt;&gt;"")*(MOVIMIENTOS!$A$5:$A$1005&lt;=$A341)*MOVIMIENTOS!$E$5:$E$1005))</f>
        <v/>
      </c>
      <c r="D341" s="63" t="str">
        <f>IF($A341="","",SUMPRODUCT((MOVIMIENTOS!$B$5:$B$1005="SALDO INICIAL")*(MOVIMIENTOS!$C$5:$C$1005="C")*(MOVIMIENTOS!$D$5:$D$1005="jabas")*(MOVIMIENTOS!$A$5:$A$1005&lt;&gt;"")*(MOVIMIENTOS!$A$5:$A$1005&lt;=$A341)*MOVIMIENTOS!$E$5:$E$1005)+SUMPRODUCT((MOVIMIENTOS!$B$5:$B$1005="PROCESO")*(MOVIMIENTOS!$C$5:$C$1005="C")*(MOVIMIENTOS!$D$5:$D$1005="jabas")*(MOVIMIENTOS!$A$5:$A$1005&lt;&gt;"")*(MOVIMIENTOS!$A$5:$A$1005&lt;=$A341)*MOVIMIENTOS!$E$5:$E$1005)-SUMPRODUCT((MOVIMIENTOS!$B$5:$B$1005="ENVÍO A SUPESA")*(MOVIMIENTOS!$C$5:$C$1005="C")*(MOVIMIENTOS!$D$5:$D$1005="jabas")*(MOVIMIENTOS!$A$5:$A$1005&lt;&gt;"")*(MOVIMIENTOS!$A$5:$A$1005&lt;=$A341)*MOVIMIENTOS!$E$5:$E$1005)+SUMPRODUCT((MOVIMIENTOS!$B$5:$B$1005="DEVOLUCIÓN")*(MOVIMIENTOS!$C$5:$C$1005="C")*(MOVIMIENTOS!$D$5:$D$1005="jabas")*(MOVIMIENTOS!$A$5:$A$1005&lt;&gt;"")*(MOVIMIENTOS!$A$5:$A$1005&lt;=$A341)*MOVIMIENTOS!$E$5:$E$1005)-SUMPRODUCT((MOVIMIENTOS!$B$5:$B$1005="TRASIEGO")*(MOVIMIENTOS!$C$5:$C$1005="C")*(MOVIMIENTOS!$D$5:$D$1005="jabas")*(MOVIMIENTOS!$A$5:$A$1005&lt;&gt;"")*(MOVIMIENTOS!$A$5:$A$1005&lt;=$A341)*MOVIMIENTOS!$E$5:$E$1005)-SUMPRODUCT((MOVIMIENTOS!$B$5:$B$1005="REGALO")*(MOVIMIENTOS!$C$5:$C$1005="C")*(MOVIMIENTOS!$D$5:$D$1005="jabas")*(MOVIMIENTOS!$A$5:$A$1005&lt;&gt;"")*(MOVIMIENTOS!$A$5:$A$1005&lt;=$A341)*MOVIMIENTOS!$E$5:$E$1005)-SUMPRODUCT((MOVIMIENTOS!$B$5:$B$1005="VENTA")*(MOVIMIENTOS!$C$5:$C$1005="C")*(MOVIMIENTOS!$D$5:$D$1005="jabas")*(MOVIMIENTOS!$A$5:$A$1005&lt;&gt;"")*(MOVIMIENTOS!$A$5:$A$1005&lt;=$A341)*MOVIMIENTOS!$E$5:$E$1005)+SUMPRODUCT((MOVIMIENTOS!$B$5:$B$1005="AJUSTE")*(MOVIMIENTOS!$C$5:$C$1005="C")*(MOVIMIENTOS!$D$5:$D$1005="jabas")*(MOVIMIENTOS!$A$5:$A$1005&lt;&gt;"")*(MOVIMIENTOS!$A$5:$A$1005&lt;=$A341)*MOVIMIENTOS!$E$5:$E$1005))</f>
        <v/>
      </c>
      <c r="E341" s="63" t="str">
        <f>IF($A341="","",SUMPRODUCT((MOVIMIENTOS!$B$5:$B$1005="SALDO INICIAL")*(MOVIMIENTOS!$C$5:$C$1005="M")*(MOVIMIENTOS!$D$5:$D$1005="jabas")*(MOVIMIENTOS!$A$5:$A$1005&lt;&gt;"")*(MOVIMIENTOS!$A$5:$A$1005&lt;=$A341)*MOVIMIENTOS!$E$5:$E$1005)+SUMPRODUCT((MOVIMIENTOS!$B$5:$B$1005="PROCESO")*(MOVIMIENTOS!$C$5:$C$1005="M")*(MOVIMIENTOS!$D$5:$D$1005="jabas")*(MOVIMIENTOS!$A$5:$A$1005&lt;&gt;"")*(MOVIMIENTOS!$A$5:$A$1005&lt;=$A341)*MOVIMIENTOS!$E$5:$E$1005)-SUMPRODUCT((MOVIMIENTOS!$B$5:$B$1005="ENVÍO A SUPESA")*(MOVIMIENTOS!$C$5:$C$1005="M")*(MOVIMIENTOS!$D$5:$D$1005="jabas")*(MOVIMIENTOS!$A$5:$A$1005&lt;&gt;"")*(MOVIMIENTOS!$A$5:$A$1005&lt;=$A341)*MOVIMIENTOS!$E$5:$E$1005)+SUMPRODUCT((MOVIMIENTOS!$B$5:$B$1005="DEVOLUCIÓN")*(MOVIMIENTOS!$C$5:$C$1005="M")*(MOVIMIENTOS!$D$5:$D$1005="jabas")*(MOVIMIENTOS!$A$5:$A$1005&lt;&gt;"")*(MOVIMIENTOS!$A$5:$A$1005&lt;=$A341)*MOVIMIENTOS!$E$5:$E$1005)-SUMPRODUCT((MOVIMIENTOS!$B$5:$B$1005="TRASIEGO")*(MOVIMIENTOS!$C$5:$C$1005="M")*(MOVIMIENTOS!$D$5:$D$1005="jabas")*(MOVIMIENTOS!$A$5:$A$1005&lt;&gt;"")*(MOVIMIENTOS!$A$5:$A$1005&lt;=$A341)*MOVIMIENTOS!$E$5:$E$1005)-SUMPRODUCT((MOVIMIENTOS!$B$5:$B$1005="REGALO")*(MOVIMIENTOS!$C$5:$C$1005="M")*(MOVIMIENTOS!$D$5:$D$1005="jabas")*(MOVIMIENTOS!$A$5:$A$1005&lt;&gt;"")*(MOVIMIENTOS!$A$5:$A$1005&lt;=$A341)*MOVIMIENTOS!$E$5:$E$1005)-SUMPRODUCT((MOVIMIENTOS!$B$5:$B$1005="VENTA")*(MOVIMIENTOS!$C$5:$C$1005="M")*(MOVIMIENTOS!$D$5:$D$1005="jabas")*(MOVIMIENTOS!$A$5:$A$1005&lt;&gt;"")*(MOVIMIENTOS!$A$5:$A$1005&lt;=$A341)*MOVIMIENTOS!$E$5:$E$1005)+SUMPRODUCT((MOVIMIENTOS!$B$5:$B$1005="AJUSTE")*(MOVIMIENTOS!$C$5:$C$1005="M")*(MOVIMIENTOS!$D$5:$D$1005="jabas")*(MOVIMIENTOS!$A$5:$A$1005&lt;&gt;"")*(MOVIMIENTOS!$A$5:$A$1005&lt;=$A341)*MOVIMIENTOS!$E$5:$E$1005))</f>
        <v/>
      </c>
      <c r="F341" s="63" t="str">
        <f>IF($A341="","",SUMPRODUCT((MOVIMIENTOS!$B$5:$B$1005="SALDO INICIAL")*(MOVIMIENTOS!$C$5:$C$1005="Chancho")*(MOVIMIENTOS!$D$5:$D$1005="sacos")*(MOVIMIENTOS!$A$5:$A$1005&lt;&gt;"")*(MOVIMIENTOS!$A$5:$A$1005&lt;=$A341)*MOVIMIENTOS!$E$5:$E$1005)+SUMPRODUCT((MOVIMIENTOS!$B$5:$B$1005="PROCESO")*(MOVIMIENTOS!$C$5:$C$1005="Chancho")*(MOVIMIENTOS!$D$5:$D$1005="sacos")*(MOVIMIENTOS!$A$5:$A$1005&lt;&gt;"")*(MOVIMIENTOS!$A$5:$A$1005&lt;=$A341)*MOVIMIENTOS!$E$5:$E$1005)-SUMPRODUCT((MOVIMIENTOS!$B$5:$B$1005="VENTA CHANCHO")*(MOVIMIENTOS!$C$5:$C$1005="Chancho")*(MOVIMIENTOS!$D$5:$D$1005="sacos")*(MOVIMIENTOS!$A$5:$A$1005&lt;&gt;"")*(MOVIMIENTOS!$A$5:$A$1005&lt;=$A341)*MOVIMIENTOS!$E$5:$E$1005)-SUMPRODUCT((MOVIMIENTOS!$B$5:$B$1005="REGALO")*(MOVIMIENTOS!$C$5:$C$1005="Chancho")*(MOVIMIENTOS!$D$5:$D$1005="sacos")*(MOVIMIENTOS!$A$5:$A$1005&lt;&gt;"")*(MOVIMIENTOS!$A$5:$A$1005&lt;=$A341)*MOVIMIENTOS!$E$5:$E$1005)-SUMPRODUCT((MOVIMIENTOS!$B$5:$B$1005="VENTA")*(MOVIMIENTOS!$C$5:$C$1005="Chancho")*(MOVIMIENTOS!$D$5:$D$1005="sacos")*(MOVIMIENTOS!$A$5:$A$1005&lt;&gt;"")*(MOVIMIENTOS!$A$5:$A$1005&lt;=$A341)*MOVIMIENTOS!$E$5:$E$1005)+SUMPRODUCT((MOVIMIENTOS!$B$5:$B$1005="AJUSTE")*(MOVIMIENTOS!$C$5:$C$1005="Chancho")*(MOVIMIENTOS!$D$5:$D$1005="sacos")*(MOVIMIENTOS!$A$5:$A$1005&lt;&gt;"")*(MOVIMIENTOS!$A$5:$A$1005&lt;=$A341)*MOVIMIENTOS!$E$5:$E$1005))</f>
        <v/>
      </c>
      <c r="G341" s="95" t="str">
        <f t="shared" si="11"/>
        <v/>
      </c>
      <c r="H341" s="63" t="str">
        <f>IF($A341="","",SUMPRODUCT((((MOVIMIENTOS!$B$5:$B$1005="SALDO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341)*MOVIMIENTOS!$J$5:$J$1005))</f>
        <v/>
      </c>
      <c r="I341" s="63"/>
      <c r="J341" s="63" t="str">
        <f>IF(AND(MOVIMIENTOS!$A340&lt;&gt;"",COUNTIF(MOVIMIENTOS!$A$5:$A339,MOVIMIENTOS!$A340)=0),COUNT(J$4:J340)+1,"")</f>
        <v/>
      </c>
      <c r="K341" s="66">
        <f>MOVIMIENTOS!$A340</f>
        <v>46243</v>
      </c>
      <c r="L341" s="63"/>
      <c r="M341" s="63"/>
      <c r="N341" s="63"/>
    </row>
    <row r="342" spans="1:14" ht="15" customHeight="1" x14ac:dyDescent="0.2">
      <c r="A342" s="63" t="str">
        <f t="shared" si="10"/>
        <v/>
      </c>
      <c r="B342" s="63" t="str">
        <f>IF($A342="","",SUMPRODUCT((MOVIMIENTOS!$B$5:$B$1005="SALDO INICIAL")*(MOVIMIENTOS!$C$5:$C$1005="A")*(MOVIMIENTOS!$D$5:$D$1005="jabas")*(MOVIMIENTOS!$A$5:$A$1005&lt;&gt;"")*(MOVIMIENTOS!$A$5:$A$1005&lt;=$A342)*MOVIMIENTOS!$E$5:$E$1005)+SUMPRODUCT((MOVIMIENTOS!$B$5:$B$1005="PROCESO")*(MOVIMIENTOS!$C$5:$C$1005="A")*(MOVIMIENTOS!$D$5:$D$1005="jabas")*(MOVIMIENTOS!$A$5:$A$1005&lt;&gt;"")*(MOVIMIENTOS!$A$5:$A$1005&lt;=$A342)*MOVIMIENTOS!$E$5:$E$1005)-SUMPRODUCT((MOVIMIENTOS!$B$5:$B$1005="ENVÍO A SUPESA")*(MOVIMIENTOS!$C$5:$C$1005="A")*(MOVIMIENTOS!$D$5:$D$1005="jabas")*(MOVIMIENTOS!$A$5:$A$1005&lt;&gt;"")*(MOVIMIENTOS!$A$5:$A$1005&lt;=$A342)*MOVIMIENTOS!$E$5:$E$1005)+SUMPRODUCT((MOVIMIENTOS!$B$5:$B$1005="DEVOLUCIÓN")*(MOVIMIENTOS!$C$5:$C$1005="A")*(MOVIMIENTOS!$D$5:$D$1005="jabas")*(MOVIMIENTOS!$A$5:$A$1005&lt;&gt;"")*(MOVIMIENTOS!$A$5:$A$1005&lt;=$A342)*MOVIMIENTOS!$E$5:$E$1005)-SUMPRODUCT((MOVIMIENTOS!$B$5:$B$1005="TRASIEGO")*(MOVIMIENTOS!$C$5:$C$1005="A")*(MOVIMIENTOS!$D$5:$D$1005="jabas")*(MOVIMIENTOS!$A$5:$A$1005&lt;&gt;"")*(MOVIMIENTOS!$A$5:$A$1005&lt;=$A342)*MOVIMIENTOS!$E$5:$E$1005)-SUMPRODUCT((MOVIMIENTOS!$B$5:$B$1005="REGALO")*(MOVIMIENTOS!$C$5:$C$1005="A")*(MOVIMIENTOS!$D$5:$D$1005="jabas")*(MOVIMIENTOS!$A$5:$A$1005&lt;&gt;"")*(MOVIMIENTOS!$A$5:$A$1005&lt;=$A342)*MOVIMIENTOS!$E$5:$E$1005)-SUMPRODUCT((MOVIMIENTOS!$B$5:$B$1005="VENTA")*(MOVIMIENTOS!$C$5:$C$1005="A")*(MOVIMIENTOS!$D$5:$D$1005="jabas")*(MOVIMIENTOS!$A$5:$A$1005&lt;&gt;"")*(MOVIMIENTOS!$A$5:$A$1005&lt;=$A342)*MOVIMIENTOS!$E$5:$E$1005)+SUMPRODUCT((MOVIMIENTOS!$B$5:$B$1005="AJUSTE")*(MOVIMIENTOS!$C$5:$C$1005="A")*(MOVIMIENTOS!$D$5:$D$1005="jabas")*(MOVIMIENTOS!$A$5:$A$1005&lt;&gt;"")*(MOVIMIENTOS!$A$5:$A$1005&lt;=$A342)*MOVIMIENTOS!$E$5:$E$1005))</f>
        <v/>
      </c>
      <c r="C342" s="63" t="str">
        <f>IF($A342="","",SUMPRODUCT((MOVIMIENTOS!$B$5:$B$1005="SALDO INICIAL")*(MOVIMIENTOS!$C$5:$C$1005="P")*(MOVIMIENTOS!$D$5:$D$1005="jabas")*(MOVIMIENTOS!$A$5:$A$1005&lt;&gt;"")*(MOVIMIENTOS!$A$5:$A$1005&lt;=$A342)*MOVIMIENTOS!$E$5:$E$1005)+SUMPRODUCT((MOVIMIENTOS!$B$5:$B$1005="PROCESO")*(MOVIMIENTOS!$C$5:$C$1005="P")*(MOVIMIENTOS!$D$5:$D$1005="jabas")*(MOVIMIENTOS!$A$5:$A$1005&lt;&gt;"")*(MOVIMIENTOS!$A$5:$A$1005&lt;=$A342)*MOVIMIENTOS!$E$5:$E$1005)-SUMPRODUCT((MOVIMIENTOS!$B$5:$B$1005="ENVÍO A SUPESA")*(MOVIMIENTOS!$C$5:$C$1005="P")*(MOVIMIENTOS!$D$5:$D$1005="jabas")*(MOVIMIENTOS!$A$5:$A$1005&lt;&gt;"")*(MOVIMIENTOS!$A$5:$A$1005&lt;=$A342)*MOVIMIENTOS!$E$5:$E$1005)+SUMPRODUCT((MOVIMIENTOS!$B$5:$B$1005="DEVOLUCIÓN")*(MOVIMIENTOS!$C$5:$C$1005="P")*(MOVIMIENTOS!$D$5:$D$1005="jabas")*(MOVIMIENTOS!$A$5:$A$1005&lt;&gt;"")*(MOVIMIENTOS!$A$5:$A$1005&lt;=$A342)*MOVIMIENTOS!$E$5:$E$1005)-SUMPRODUCT((MOVIMIENTOS!$B$5:$B$1005="TRASIEGO")*(MOVIMIENTOS!$C$5:$C$1005="P")*(MOVIMIENTOS!$D$5:$D$1005="jabas")*(MOVIMIENTOS!$A$5:$A$1005&lt;&gt;"")*(MOVIMIENTOS!$A$5:$A$1005&lt;=$A342)*MOVIMIENTOS!$E$5:$E$1005)-SUMPRODUCT((MOVIMIENTOS!$B$5:$B$1005="REGALO")*(MOVIMIENTOS!$C$5:$C$1005="P")*(MOVIMIENTOS!$D$5:$D$1005="jabas")*(MOVIMIENTOS!$A$5:$A$1005&lt;&gt;"")*(MOVIMIENTOS!$A$5:$A$1005&lt;=$A342)*MOVIMIENTOS!$E$5:$E$1005)-SUMPRODUCT((MOVIMIENTOS!$B$5:$B$1005="VENTA")*(MOVIMIENTOS!$C$5:$C$1005="P")*(MOVIMIENTOS!$D$5:$D$1005="jabas")*(MOVIMIENTOS!$A$5:$A$1005&lt;&gt;"")*(MOVIMIENTOS!$A$5:$A$1005&lt;=$A342)*MOVIMIENTOS!$E$5:$E$1005)+SUMPRODUCT((MOVIMIENTOS!$B$5:$B$1005="AJUSTE")*(MOVIMIENTOS!$C$5:$C$1005="P")*(MOVIMIENTOS!$D$5:$D$1005="jabas")*(MOVIMIENTOS!$A$5:$A$1005&lt;&gt;"")*(MOVIMIENTOS!$A$5:$A$1005&lt;=$A342)*MOVIMIENTOS!$E$5:$E$1005))</f>
        <v/>
      </c>
      <c r="D342" s="63" t="str">
        <f>IF($A342="","",SUMPRODUCT((MOVIMIENTOS!$B$5:$B$1005="SALDO INICIAL")*(MOVIMIENTOS!$C$5:$C$1005="C")*(MOVIMIENTOS!$D$5:$D$1005="jabas")*(MOVIMIENTOS!$A$5:$A$1005&lt;&gt;"")*(MOVIMIENTOS!$A$5:$A$1005&lt;=$A342)*MOVIMIENTOS!$E$5:$E$1005)+SUMPRODUCT((MOVIMIENTOS!$B$5:$B$1005="PROCESO")*(MOVIMIENTOS!$C$5:$C$1005="C")*(MOVIMIENTOS!$D$5:$D$1005="jabas")*(MOVIMIENTOS!$A$5:$A$1005&lt;&gt;"")*(MOVIMIENTOS!$A$5:$A$1005&lt;=$A342)*MOVIMIENTOS!$E$5:$E$1005)-SUMPRODUCT((MOVIMIENTOS!$B$5:$B$1005="ENVÍO A SUPESA")*(MOVIMIENTOS!$C$5:$C$1005="C")*(MOVIMIENTOS!$D$5:$D$1005="jabas")*(MOVIMIENTOS!$A$5:$A$1005&lt;&gt;"")*(MOVIMIENTOS!$A$5:$A$1005&lt;=$A342)*MOVIMIENTOS!$E$5:$E$1005)+SUMPRODUCT((MOVIMIENTOS!$B$5:$B$1005="DEVOLUCIÓN")*(MOVIMIENTOS!$C$5:$C$1005="C")*(MOVIMIENTOS!$D$5:$D$1005="jabas")*(MOVIMIENTOS!$A$5:$A$1005&lt;&gt;"")*(MOVIMIENTOS!$A$5:$A$1005&lt;=$A342)*MOVIMIENTOS!$E$5:$E$1005)-SUMPRODUCT((MOVIMIENTOS!$B$5:$B$1005="TRASIEGO")*(MOVIMIENTOS!$C$5:$C$1005="C")*(MOVIMIENTOS!$D$5:$D$1005="jabas")*(MOVIMIENTOS!$A$5:$A$1005&lt;&gt;"")*(MOVIMIENTOS!$A$5:$A$1005&lt;=$A342)*MOVIMIENTOS!$E$5:$E$1005)-SUMPRODUCT((MOVIMIENTOS!$B$5:$B$1005="REGALO")*(MOVIMIENTOS!$C$5:$C$1005="C")*(MOVIMIENTOS!$D$5:$D$1005="jabas")*(MOVIMIENTOS!$A$5:$A$1005&lt;&gt;"")*(MOVIMIENTOS!$A$5:$A$1005&lt;=$A342)*MOVIMIENTOS!$E$5:$E$1005)-SUMPRODUCT((MOVIMIENTOS!$B$5:$B$1005="VENTA")*(MOVIMIENTOS!$C$5:$C$1005="C")*(MOVIMIENTOS!$D$5:$D$1005="jabas")*(MOVIMIENTOS!$A$5:$A$1005&lt;&gt;"")*(MOVIMIENTOS!$A$5:$A$1005&lt;=$A342)*MOVIMIENTOS!$E$5:$E$1005)+SUMPRODUCT((MOVIMIENTOS!$B$5:$B$1005="AJUSTE")*(MOVIMIENTOS!$C$5:$C$1005="C")*(MOVIMIENTOS!$D$5:$D$1005="jabas")*(MOVIMIENTOS!$A$5:$A$1005&lt;&gt;"")*(MOVIMIENTOS!$A$5:$A$1005&lt;=$A342)*MOVIMIENTOS!$E$5:$E$1005))</f>
        <v/>
      </c>
      <c r="E342" s="63" t="str">
        <f>IF($A342="","",SUMPRODUCT((MOVIMIENTOS!$B$5:$B$1005="SALDO INICIAL")*(MOVIMIENTOS!$C$5:$C$1005="M")*(MOVIMIENTOS!$D$5:$D$1005="jabas")*(MOVIMIENTOS!$A$5:$A$1005&lt;&gt;"")*(MOVIMIENTOS!$A$5:$A$1005&lt;=$A342)*MOVIMIENTOS!$E$5:$E$1005)+SUMPRODUCT((MOVIMIENTOS!$B$5:$B$1005="PROCESO")*(MOVIMIENTOS!$C$5:$C$1005="M")*(MOVIMIENTOS!$D$5:$D$1005="jabas")*(MOVIMIENTOS!$A$5:$A$1005&lt;&gt;"")*(MOVIMIENTOS!$A$5:$A$1005&lt;=$A342)*MOVIMIENTOS!$E$5:$E$1005)-SUMPRODUCT((MOVIMIENTOS!$B$5:$B$1005="ENVÍO A SUPESA")*(MOVIMIENTOS!$C$5:$C$1005="M")*(MOVIMIENTOS!$D$5:$D$1005="jabas")*(MOVIMIENTOS!$A$5:$A$1005&lt;&gt;"")*(MOVIMIENTOS!$A$5:$A$1005&lt;=$A342)*MOVIMIENTOS!$E$5:$E$1005)+SUMPRODUCT((MOVIMIENTOS!$B$5:$B$1005="DEVOLUCIÓN")*(MOVIMIENTOS!$C$5:$C$1005="M")*(MOVIMIENTOS!$D$5:$D$1005="jabas")*(MOVIMIENTOS!$A$5:$A$1005&lt;&gt;"")*(MOVIMIENTOS!$A$5:$A$1005&lt;=$A342)*MOVIMIENTOS!$E$5:$E$1005)-SUMPRODUCT((MOVIMIENTOS!$B$5:$B$1005="TRASIEGO")*(MOVIMIENTOS!$C$5:$C$1005="M")*(MOVIMIENTOS!$D$5:$D$1005="jabas")*(MOVIMIENTOS!$A$5:$A$1005&lt;&gt;"")*(MOVIMIENTOS!$A$5:$A$1005&lt;=$A342)*MOVIMIENTOS!$E$5:$E$1005)-SUMPRODUCT((MOVIMIENTOS!$B$5:$B$1005="REGALO")*(MOVIMIENTOS!$C$5:$C$1005="M")*(MOVIMIENTOS!$D$5:$D$1005="jabas")*(MOVIMIENTOS!$A$5:$A$1005&lt;&gt;"")*(MOVIMIENTOS!$A$5:$A$1005&lt;=$A342)*MOVIMIENTOS!$E$5:$E$1005)-SUMPRODUCT((MOVIMIENTOS!$B$5:$B$1005="VENTA")*(MOVIMIENTOS!$C$5:$C$1005="M")*(MOVIMIENTOS!$D$5:$D$1005="jabas")*(MOVIMIENTOS!$A$5:$A$1005&lt;&gt;"")*(MOVIMIENTOS!$A$5:$A$1005&lt;=$A342)*MOVIMIENTOS!$E$5:$E$1005)+SUMPRODUCT((MOVIMIENTOS!$B$5:$B$1005="AJUSTE")*(MOVIMIENTOS!$C$5:$C$1005="M")*(MOVIMIENTOS!$D$5:$D$1005="jabas")*(MOVIMIENTOS!$A$5:$A$1005&lt;&gt;"")*(MOVIMIENTOS!$A$5:$A$1005&lt;=$A342)*MOVIMIENTOS!$E$5:$E$1005))</f>
        <v/>
      </c>
      <c r="F342" s="63" t="str">
        <f>IF($A342="","",SUMPRODUCT((MOVIMIENTOS!$B$5:$B$1005="SALDO INICIAL")*(MOVIMIENTOS!$C$5:$C$1005="Chancho")*(MOVIMIENTOS!$D$5:$D$1005="sacos")*(MOVIMIENTOS!$A$5:$A$1005&lt;&gt;"")*(MOVIMIENTOS!$A$5:$A$1005&lt;=$A342)*MOVIMIENTOS!$E$5:$E$1005)+SUMPRODUCT((MOVIMIENTOS!$B$5:$B$1005="PROCESO")*(MOVIMIENTOS!$C$5:$C$1005="Chancho")*(MOVIMIENTOS!$D$5:$D$1005="sacos")*(MOVIMIENTOS!$A$5:$A$1005&lt;&gt;"")*(MOVIMIENTOS!$A$5:$A$1005&lt;=$A342)*MOVIMIENTOS!$E$5:$E$1005)-SUMPRODUCT((MOVIMIENTOS!$B$5:$B$1005="VENTA CHANCHO")*(MOVIMIENTOS!$C$5:$C$1005="Chancho")*(MOVIMIENTOS!$D$5:$D$1005="sacos")*(MOVIMIENTOS!$A$5:$A$1005&lt;&gt;"")*(MOVIMIENTOS!$A$5:$A$1005&lt;=$A342)*MOVIMIENTOS!$E$5:$E$1005)-SUMPRODUCT((MOVIMIENTOS!$B$5:$B$1005="REGALO")*(MOVIMIENTOS!$C$5:$C$1005="Chancho")*(MOVIMIENTOS!$D$5:$D$1005="sacos")*(MOVIMIENTOS!$A$5:$A$1005&lt;&gt;"")*(MOVIMIENTOS!$A$5:$A$1005&lt;=$A342)*MOVIMIENTOS!$E$5:$E$1005)-SUMPRODUCT((MOVIMIENTOS!$B$5:$B$1005="VENTA")*(MOVIMIENTOS!$C$5:$C$1005="Chancho")*(MOVIMIENTOS!$D$5:$D$1005="sacos")*(MOVIMIENTOS!$A$5:$A$1005&lt;&gt;"")*(MOVIMIENTOS!$A$5:$A$1005&lt;=$A342)*MOVIMIENTOS!$E$5:$E$1005)+SUMPRODUCT((MOVIMIENTOS!$B$5:$B$1005="AJUSTE")*(MOVIMIENTOS!$C$5:$C$1005="Chancho")*(MOVIMIENTOS!$D$5:$D$1005="sacos")*(MOVIMIENTOS!$A$5:$A$1005&lt;&gt;"")*(MOVIMIENTOS!$A$5:$A$1005&lt;=$A342)*MOVIMIENTOS!$E$5:$E$1005))</f>
        <v/>
      </c>
      <c r="G342" s="95" t="str">
        <f t="shared" si="11"/>
        <v/>
      </c>
      <c r="H342" s="63" t="str">
        <f>IF($A342="","",SUMPRODUCT((((MOVIMIENTOS!$B$5:$B$1005="SALDO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342)*MOVIMIENTOS!$J$5:$J$1005))</f>
        <v/>
      </c>
      <c r="I342" s="63"/>
      <c r="J342" s="63">
        <f>IF(AND(MOVIMIENTOS!$A341&lt;&gt;"",COUNTIF(MOVIMIENTOS!$A$5:$A340,MOVIMIENTOS!$A341)=0),COUNT(J$4:J341)+1,"")</f>
        <v>31</v>
      </c>
      <c r="K342" s="66">
        <f>MOVIMIENTOS!$A341</f>
        <v>46244</v>
      </c>
      <c r="L342" s="63"/>
      <c r="M342" s="63"/>
      <c r="N342" s="63"/>
    </row>
    <row r="343" spans="1:14" ht="15" customHeight="1" x14ac:dyDescent="0.2">
      <c r="A343" s="63" t="str">
        <f t="shared" si="10"/>
        <v/>
      </c>
      <c r="B343" s="63" t="str">
        <f>IF($A343="","",SUMPRODUCT((MOVIMIENTOS!$B$5:$B$1005="SALDO INICIAL")*(MOVIMIENTOS!$C$5:$C$1005="A")*(MOVIMIENTOS!$D$5:$D$1005="jabas")*(MOVIMIENTOS!$A$5:$A$1005&lt;&gt;"")*(MOVIMIENTOS!$A$5:$A$1005&lt;=$A343)*MOVIMIENTOS!$E$5:$E$1005)+SUMPRODUCT((MOVIMIENTOS!$B$5:$B$1005="PROCESO")*(MOVIMIENTOS!$C$5:$C$1005="A")*(MOVIMIENTOS!$D$5:$D$1005="jabas")*(MOVIMIENTOS!$A$5:$A$1005&lt;&gt;"")*(MOVIMIENTOS!$A$5:$A$1005&lt;=$A343)*MOVIMIENTOS!$E$5:$E$1005)-SUMPRODUCT((MOVIMIENTOS!$B$5:$B$1005="ENVÍO A SUPESA")*(MOVIMIENTOS!$C$5:$C$1005="A")*(MOVIMIENTOS!$D$5:$D$1005="jabas")*(MOVIMIENTOS!$A$5:$A$1005&lt;&gt;"")*(MOVIMIENTOS!$A$5:$A$1005&lt;=$A343)*MOVIMIENTOS!$E$5:$E$1005)+SUMPRODUCT((MOVIMIENTOS!$B$5:$B$1005="DEVOLUCIÓN")*(MOVIMIENTOS!$C$5:$C$1005="A")*(MOVIMIENTOS!$D$5:$D$1005="jabas")*(MOVIMIENTOS!$A$5:$A$1005&lt;&gt;"")*(MOVIMIENTOS!$A$5:$A$1005&lt;=$A343)*MOVIMIENTOS!$E$5:$E$1005)-SUMPRODUCT((MOVIMIENTOS!$B$5:$B$1005="TRASIEGO")*(MOVIMIENTOS!$C$5:$C$1005="A")*(MOVIMIENTOS!$D$5:$D$1005="jabas")*(MOVIMIENTOS!$A$5:$A$1005&lt;&gt;"")*(MOVIMIENTOS!$A$5:$A$1005&lt;=$A343)*MOVIMIENTOS!$E$5:$E$1005)-SUMPRODUCT((MOVIMIENTOS!$B$5:$B$1005="REGALO")*(MOVIMIENTOS!$C$5:$C$1005="A")*(MOVIMIENTOS!$D$5:$D$1005="jabas")*(MOVIMIENTOS!$A$5:$A$1005&lt;&gt;"")*(MOVIMIENTOS!$A$5:$A$1005&lt;=$A343)*MOVIMIENTOS!$E$5:$E$1005)-SUMPRODUCT((MOVIMIENTOS!$B$5:$B$1005="VENTA")*(MOVIMIENTOS!$C$5:$C$1005="A")*(MOVIMIENTOS!$D$5:$D$1005="jabas")*(MOVIMIENTOS!$A$5:$A$1005&lt;&gt;"")*(MOVIMIENTOS!$A$5:$A$1005&lt;=$A343)*MOVIMIENTOS!$E$5:$E$1005)+SUMPRODUCT((MOVIMIENTOS!$B$5:$B$1005="AJUSTE")*(MOVIMIENTOS!$C$5:$C$1005="A")*(MOVIMIENTOS!$D$5:$D$1005="jabas")*(MOVIMIENTOS!$A$5:$A$1005&lt;&gt;"")*(MOVIMIENTOS!$A$5:$A$1005&lt;=$A343)*MOVIMIENTOS!$E$5:$E$1005))</f>
        <v/>
      </c>
      <c r="C343" s="63" t="str">
        <f>IF($A343="","",SUMPRODUCT((MOVIMIENTOS!$B$5:$B$1005="SALDO INICIAL")*(MOVIMIENTOS!$C$5:$C$1005="P")*(MOVIMIENTOS!$D$5:$D$1005="jabas")*(MOVIMIENTOS!$A$5:$A$1005&lt;&gt;"")*(MOVIMIENTOS!$A$5:$A$1005&lt;=$A343)*MOVIMIENTOS!$E$5:$E$1005)+SUMPRODUCT((MOVIMIENTOS!$B$5:$B$1005="PROCESO")*(MOVIMIENTOS!$C$5:$C$1005="P")*(MOVIMIENTOS!$D$5:$D$1005="jabas")*(MOVIMIENTOS!$A$5:$A$1005&lt;&gt;"")*(MOVIMIENTOS!$A$5:$A$1005&lt;=$A343)*MOVIMIENTOS!$E$5:$E$1005)-SUMPRODUCT((MOVIMIENTOS!$B$5:$B$1005="ENVÍO A SUPESA")*(MOVIMIENTOS!$C$5:$C$1005="P")*(MOVIMIENTOS!$D$5:$D$1005="jabas")*(MOVIMIENTOS!$A$5:$A$1005&lt;&gt;"")*(MOVIMIENTOS!$A$5:$A$1005&lt;=$A343)*MOVIMIENTOS!$E$5:$E$1005)+SUMPRODUCT((MOVIMIENTOS!$B$5:$B$1005="DEVOLUCIÓN")*(MOVIMIENTOS!$C$5:$C$1005="P")*(MOVIMIENTOS!$D$5:$D$1005="jabas")*(MOVIMIENTOS!$A$5:$A$1005&lt;&gt;"")*(MOVIMIENTOS!$A$5:$A$1005&lt;=$A343)*MOVIMIENTOS!$E$5:$E$1005)-SUMPRODUCT((MOVIMIENTOS!$B$5:$B$1005="TRASIEGO")*(MOVIMIENTOS!$C$5:$C$1005="P")*(MOVIMIENTOS!$D$5:$D$1005="jabas")*(MOVIMIENTOS!$A$5:$A$1005&lt;&gt;"")*(MOVIMIENTOS!$A$5:$A$1005&lt;=$A343)*MOVIMIENTOS!$E$5:$E$1005)-SUMPRODUCT((MOVIMIENTOS!$B$5:$B$1005="REGALO")*(MOVIMIENTOS!$C$5:$C$1005="P")*(MOVIMIENTOS!$D$5:$D$1005="jabas")*(MOVIMIENTOS!$A$5:$A$1005&lt;&gt;"")*(MOVIMIENTOS!$A$5:$A$1005&lt;=$A343)*MOVIMIENTOS!$E$5:$E$1005)-SUMPRODUCT((MOVIMIENTOS!$B$5:$B$1005="VENTA")*(MOVIMIENTOS!$C$5:$C$1005="P")*(MOVIMIENTOS!$D$5:$D$1005="jabas")*(MOVIMIENTOS!$A$5:$A$1005&lt;&gt;"")*(MOVIMIENTOS!$A$5:$A$1005&lt;=$A343)*MOVIMIENTOS!$E$5:$E$1005)+SUMPRODUCT((MOVIMIENTOS!$B$5:$B$1005="AJUSTE")*(MOVIMIENTOS!$C$5:$C$1005="P")*(MOVIMIENTOS!$D$5:$D$1005="jabas")*(MOVIMIENTOS!$A$5:$A$1005&lt;&gt;"")*(MOVIMIENTOS!$A$5:$A$1005&lt;=$A343)*MOVIMIENTOS!$E$5:$E$1005))</f>
        <v/>
      </c>
      <c r="D343" s="63" t="str">
        <f>IF($A343="","",SUMPRODUCT((MOVIMIENTOS!$B$5:$B$1005="SALDO INICIAL")*(MOVIMIENTOS!$C$5:$C$1005="C")*(MOVIMIENTOS!$D$5:$D$1005="jabas")*(MOVIMIENTOS!$A$5:$A$1005&lt;&gt;"")*(MOVIMIENTOS!$A$5:$A$1005&lt;=$A343)*MOVIMIENTOS!$E$5:$E$1005)+SUMPRODUCT((MOVIMIENTOS!$B$5:$B$1005="PROCESO")*(MOVIMIENTOS!$C$5:$C$1005="C")*(MOVIMIENTOS!$D$5:$D$1005="jabas")*(MOVIMIENTOS!$A$5:$A$1005&lt;&gt;"")*(MOVIMIENTOS!$A$5:$A$1005&lt;=$A343)*MOVIMIENTOS!$E$5:$E$1005)-SUMPRODUCT((MOVIMIENTOS!$B$5:$B$1005="ENVÍO A SUPESA")*(MOVIMIENTOS!$C$5:$C$1005="C")*(MOVIMIENTOS!$D$5:$D$1005="jabas")*(MOVIMIENTOS!$A$5:$A$1005&lt;&gt;"")*(MOVIMIENTOS!$A$5:$A$1005&lt;=$A343)*MOVIMIENTOS!$E$5:$E$1005)+SUMPRODUCT((MOVIMIENTOS!$B$5:$B$1005="DEVOLUCIÓN")*(MOVIMIENTOS!$C$5:$C$1005="C")*(MOVIMIENTOS!$D$5:$D$1005="jabas")*(MOVIMIENTOS!$A$5:$A$1005&lt;&gt;"")*(MOVIMIENTOS!$A$5:$A$1005&lt;=$A343)*MOVIMIENTOS!$E$5:$E$1005)-SUMPRODUCT((MOVIMIENTOS!$B$5:$B$1005="TRASIEGO")*(MOVIMIENTOS!$C$5:$C$1005="C")*(MOVIMIENTOS!$D$5:$D$1005="jabas")*(MOVIMIENTOS!$A$5:$A$1005&lt;&gt;"")*(MOVIMIENTOS!$A$5:$A$1005&lt;=$A343)*MOVIMIENTOS!$E$5:$E$1005)-SUMPRODUCT((MOVIMIENTOS!$B$5:$B$1005="REGALO")*(MOVIMIENTOS!$C$5:$C$1005="C")*(MOVIMIENTOS!$D$5:$D$1005="jabas")*(MOVIMIENTOS!$A$5:$A$1005&lt;&gt;"")*(MOVIMIENTOS!$A$5:$A$1005&lt;=$A343)*MOVIMIENTOS!$E$5:$E$1005)-SUMPRODUCT((MOVIMIENTOS!$B$5:$B$1005="VENTA")*(MOVIMIENTOS!$C$5:$C$1005="C")*(MOVIMIENTOS!$D$5:$D$1005="jabas")*(MOVIMIENTOS!$A$5:$A$1005&lt;&gt;"")*(MOVIMIENTOS!$A$5:$A$1005&lt;=$A343)*MOVIMIENTOS!$E$5:$E$1005)+SUMPRODUCT((MOVIMIENTOS!$B$5:$B$1005="AJUSTE")*(MOVIMIENTOS!$C$5:$C$1005="C")*(MOVIMIENTOS!$D$5:$D$1005="jabas")*(MOVIMIENTOS!$A$5:$A$1005&lt;&gt;"")*(MOVIMIENTOS!$A$5:$A$1005&lt;=$A343)*MOVIMIENTOS!$E$5:$E$1005))</f>
        <v/>
      </c>
      <c r="E343" s="63" t="str">
        <f>IF($A343="","",SUMPRODUCT((MOVIMIENTOS!$B$5:$B$1005="SALDO INICIAL")*(MOVIMIENTOS!$C$5:$C$1005="M")*(MOVIMIENTOS!$D$5:$D$1005="jabas")*(MOVIMIENTOS!$A$5:$A$1005&lt;&gt;"")*(MOVIMIENTOS!$A$5:$A$1005&lt;=$A343)*MOVIMIENTOS!$E$5:$E$1005)+SUMPRODUCT((MOVIMIENTOS!$B$5:$B$1005="PROCESO")*(MOVIMIENTOS!$C$5:$C$1005="M")*(MOVIMIENTOS!$D$5:$D$1005="jabas")*(MOVIMIENTOS!$A$5:$A$1005&lt;&gt;"")*(MOVIMIENTOS!$A$5:$A$1005&lt;=$A343)*MOVIMIENTOS!$E$5:$E$1005)-SUMPRODUCT((MOVIMIENTOS!$B$5:$B$1005="ENVÍO A SUPESA")*(MOVIMIENTOS!$C$5:$C$1005="M")*(MOVIMIENTOS!$D$5:$D$1005="jabas")*(MOVIMIENTOS!$A$5:$A$1005&lt;&gt;"")*(MOVIMIENTOS!$A$5:$A$1005&lt;=$A343)*MOVIMIENTOS!$E$5:$E$1005)+SUMPRODUCT((MOVIMIENTOS!$B$5:$B$1005="DEVOLUCIÓN")*(MOVIMIENTOS!$C$5:$C$1005="M")*(MOVIMIENTOS!$D$5:$D$1005="jabas")*(MOVIMIENTOS!$A$5:$A$1005&lt;&gt;"")*(MOVIMIENTOS!$A$5:$A$1005&lt;=$A343)*MOVIMIENTOS!$E$5:$E$1005)-SUMPRODUCT((MOVIMIENTOS!$B$5:$B$1005="TRASIEGO")*(MOVIMIENTOS!$C$5:$C$1005="M")*(MOVIMIENTOS!$D$5:$D$1005="jabas")*(MOVIMIENTOS!$A$5:$A$1005&lt;&gt;"")*(MOVIMIENTOS!$A$5:$A$1005&lt;=$A343)*MOVIMIENTOS!$E$5:$E$1005)-SUMPRODUCT((MOVIMIENTOS!$B$5:$B$1005="REGALO")*(MOVIMIENTOS!$C$5:$C$1005="M")*(MOVIMIENTOS!$D$5:$D$1005="jabas")*(MOVIMIENTOS!$A$5:$A$1005&lt;&gt;"")*(MOVIMIENTOS!$A$5:$A$1005&lt;=$A343)*MOVIMIENTOS!$E$5:$E$1005)-SUMPRODUCT((MOVIMIENTOS!$B$5:$B$1005="VENTA")*(MOVIMIENTOS!$C$5:$C$1005="M")*(MOVIMIENTOS!$D$5:$D$1005="jabas")*(MOVIMIENTOS!$A$5:$A$1005&lt;&gt;"")*(MOVIMIENTOS!$A$5:$A$1005&lt;=$A343)*MOVIMIENTOS!$E$5:$E$1005)+SUMPRODUCT((MOVIMIENTOS!$B$5:$B$1005="AJUSTE")*(MOVIMIENTOS!$C$5:$C$1005="M")*(MOVIMIENTOS!$D$5:$D$1005="jabas")*(MOVIMIENTOS!$A$5:$A$1005&lt;&gt;"")*(MOVIMIENTOS!$A$5:$A$1005&lt;=$A343)*MOVIMIENTOS!$E$5:$E$1005))</f>
        <v/>
      </c>
      <c r="F343" s="63" t="str">
        <f>IF($A343="","",SUMPRODUCT((MOVIMIENTOS!$B$5:$B$1005="SALDO INICIAL")*(MOVIMIENTOS!$C$5:$C$1005="Chancho")*(MOVIMIENTOS!$D$5:$D$1005="sacos")*(MOVIMIENTOS!$A$5:$A$1005&lt;&gt;"")*(MOVIMIENTOS!$A$5:$A$1005&lt;=$A343)*MOVIMIENTOS!$E$5:$E$1005)+SUMPRODUCT((MOVIMIENTOS!$B$5:$B$1005="PROCESO")*(MOVIMIENTOS!$C$5:$C$1005="Chancho")*(MOVIMIENTOS!$D$5:$D$1005="sacos")*(MOVIMIENTOS!$A$5:$A$1005&lt;&gt;"")*(MOVIMIENTOS!$A$5:$A$1005&lt;=$A343)*MOVIMIENTOS!$E$5:$E$1005)-SUMPRODUCT((MOVIMIENTOS!$B$5:$B$1005="VENTA CHANCHO")*(MOVIMIENTOS!$C$5:$C$1005="Chancho")*(MOVIMIENTOS!$D$5:$D$1005="sacos")*(MOVIMIENTOS!$A$5:$A$1005&lt;&gt;"")*(MOVIMIENTOS!$A$5:$A$1005&lt;=$A343)*MOVIMIENTOS!$E$5:$E$1005)-SUMPRODUCT((MOVIMIENTOS!$B$5:$B$1005="REGALO")*(MOVIMIENTOS!$C$5:$C$1005="Chancho")*(MOVIMIENTOS!$D$5:$D$1005="sacos")*(MOVIMIENTOS!$A$5:$A$1005&lt;&gt;"")*(MOVIMIENTOS!$A$5:$A$1005&lt;=$A343)*MOVIMIENTOS!$E$5:$E$1005)-SUMPRODUCT((MOVIMIENTOS!$B$5:$B$1005="VENTA")*(MOVIMIENTOS!$C$5:$C$1005="Chancho")*(MOVIMIENTOS!$D$5:$D$1005="sacos")*(MOVIMIENTOS!$A$5:$A$1005&lt;&gt;"")*(MOVIMIENTOS!$A$5:$A$1005&lt;=$A343)*MOVIMIENTOS!$E$5:$E$1005)+SUMPRODUCT((MOVIMIENTOS!$B$5:$B$1005="AJUSTE")*(MOVIMIENTOS!$C$5:$C$1005="Chancho")*(MOVIMIENTOS!$D$5:$D$1005="sacos")*(MOVIMIENTOS!$A$5:$A$1005&lt;&gt;"")*(MOVIMIENTOS!$A$5:$A$1005&lt;=$A343)*MOVIMIENTOS!$E$5:$E$1005))</f>
        <v/>
      </c>
      <c r="G343" s="95" t="str">
        <f t="shared" si="11"/>
        <v/>
      </c>
      <c r="H343" s="63" t="str">
        <f>IF($A343="","",SUMPRODUCT((((MOVIMIENTOS!$B$5:$B$1005="SALDO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343)*MOVIMIENTOS!$J$5:$J$1005))</f>
        <v/>
      </c>
      <c r="I343" s="63"/>
      <c r="J343" s="63" t="str">
        <f>IF(AND(MOVIMIENTOS!$A342&lt;&gt;"",COUNTIF(MOVIMIENTOS!$A$5:$A341,MOVIMIENTOS!$A342)=0),COUNT(J$4:J342)+1,"")</f>
        <v/>
      </c>
      <c r="K343" s="66">
        <f>MOVIMIENTOS!$A342</f>
        <v>46244</v>
      </c>
      <c r="L343" s="63"/>
      <c r="M343" s="63"/>
      <c r="N343" s="63"/>
    </row>
    <row r="344" spans="1:14" ht="15" customHeight="1" x14ac:dyDescent="0.2">
      <c r="A344" s="63" t="str">
        <f t="shared" si="10"/>
        <v/>
      </c>
      <c r="B344" s="63" t="str">
        <f>IF($A344="","",SUMPRODUCT((MOVIMIENTOS!$B$5:$B$1005="SALDO INICIAL")*(MOVIMIENTOS!$C$5:$C$1005="A")*(MOVIMIENTOS!$D$5:$D$1005="jabas")*(MOVIMIENTOS!$A$5:$A$1005&lt;&gt;"")*(MOVIMIENTOS!$A$5:$A$1005&lt;=$A344)*MOVIMIENTOS!$E$5:$E$1005)+SUMPRODUCT((MOVIMIENTOS!$B$5:$B$1005="PROCESO")*(MOVIMIENTOS!$C$5:$C$1005="A")*(MOVIMIENTOS!$D$5:$D$1005="jabas")*(MOVIMIENTOS!$A$5:$A$1005&lt;&gt;"")*(MOVIMIENTOS!$A$5:$A$1005&lt;=$A344)*MOVIMIENTOS!$E$5:$E$1005)-SUMPRODUCT((MOVIMIENTOS!$B$5:$B$1005="ENVÍO A SUPESA")*(MOVIMIENTOS!$C$5:$C$1005="A")*(MOVIMIENTOS!$D$5:$D$1005="jabas")*(MOVIMIENTOS!$A$5:$A$1005&lt;&gt;"")*(MOVIMIENTOS!$A$5:$A$1005&lt;=$A344)*MOVIMIENTOS!$E$5:$E$1005)+SUMPRODUCT((MOVIMIENTOS!$B$5:$B$1005="DEVOLUCIÓN")*(MOVIMIENTOS!$C$5:$C$1005="A")*(MOVIMIENTOS!$D$5:$D$1005="jabas")*(MOVIMIENTOS!$A$5:$A$1005&lt;&gt;"")*(MOVIMIENTOS!$A$5:$A$1005&lt;=$A344)*MOVIMIENTOS!$E$5:$E$1005)-SUMPRODUCT((MOVIMIENTOS!$B$5:$B$1005="TRASIEGO")*(MOVIMIENTOS!$C$5:$C$1005="A")*(MOVIMIENTOS!$D$5:$D$1005="jabas")*(MOVIMIENTOS!$A$5:$A$1005&lt;&gt;"")*(MOVIMIENTOS!$A$5:$A$1005&lt;=$A344)*MOVIMIENTOS!$E$5:$E$1005)-SUMPRODUCT((MOVIMIENTOS!$B$5:$B$1005="REGALO")*(MOVIMIENTOS!$C$5:$C$1005="A")*(MOVIMIENTOS!$D$5:$D$1005="jabas")*(MOVIMIENTOS!$A$5:$A$1005&lt;&gt;"")*(MOVIMIENTOS!$A$5:$A$1005&lt;=$A344)*MOVIMIENTOS!$E$5:$E$1005)-SUMPRODUCT((MOVIMIENTOS!$B$5:$B$1005="VENTA")*(MOVIMIENTOS!$C$5:$C$1005="A")*(MOVIMIENTOS!$D$5:$D$1005="jabas")*(MOVIMIENTOS!$A$5:$A$1005&lt;&gt;"")*(MOVIMIENTOS!$A$5:$A$1005&lt;=$A344)*MOVIMIENTOS!$E$5:$E$1005)+SUMPRODUCT((MOVIMIENTOS!$B$5:$B$1005="AJUSTE")*(MOVIMIENTOS!$C$5:$C$1005="A")*(MOVIMIENTOS!$D$5:$D$1005="jabas")*(MOVIMIENTOS!$A$5:$A$1005&lt;&gt;"")*(MOVIMIENTOS!$A$5:$A$1005&lt;=$A344)*MOVIMIENTOS!$E$5:$E$1005))</f>
        <v/>
      </c>
      <c r="C344" s="63" t="str">
        <f>IF($A344="","",SUMPRODUCT((MOVIMIENTOS!$B$5:$B$1005="SALDO INICIAL")*(MOVIMIENTOS!$C$5:$C$1005="P")*(MOVIMIENTOS!$D$5:$D$1005="jabas")*(MOVIMIENTOS!$A$5:$A$1005&lt;&gt;"")*(MOVIMIENTOS!$A$5:$A$1005&lt;=$A344)*MOVIMIENTOS!$E$5:$E$1005)+SUMPRODUCT((MOVIMIENTOS!$B$5:$B$1005="PROCESO")*(MOVIMIENTOS!$C$5:$C$1005="P")*(MOVIMIENTOS!$D$5:$D$1005="jabas")*(MOVIMIENTOS!$A$5:$A$1005&lt;&gt;"")*(MOVIMIENTOS!$A$5:$A$1005&lt;=$A344)*MOVIMIENTOS!$E$5:$E$1005)-SUMPRODUCT((MOVIMIENTOS!$B$5:$B$1005="ENVÍO A SUPESA")*(MOVIMIENTOS!$C$5:$C$1005="P")*(MOVIMIENTOS!$D$5:$D$1005="jabas")*(MOVIMIENTOS!$A$5:$A$1005&lt;&gt;"")*(MOVIMIENTOS!$A$5:$A$1005&lt;=$A344)*MOVIMIENTOS!$E$5:$E$1005)+SUMPRODUCT((MOVIMIENTOS!$B$5:$B$1005="DEVOLUCIÓN")*(MOVIMIENTOS!$C$5:$C$1005="P")*(MOVIMIENTOS!$D$5:$D$1005="jabas")*(MOVIMIENTOS!$A$5:$A$1005&lt;&gt;"")*(MOVIMIENTOS!$A$5:$A$1005&lt;=$A344)*MOVIMIENTOS!$E$5:$E$1005)-SUMPRODUCT((MOVIMIENTOS!$B$5:$B$1005="TRASIEGO")*(MOVIMIENTOS!$C$5:$C$1005="P")*(MOVIMIENTOS!$D$5:$D$1005="jabas")*(MOVIMIENTOS!$A$5:$A$1005&lt;&gt;"")*(MOVIMIENTOS!$A$5:$A$1005&lt;=$A344)*MOVIMIENTOS!$E$5:$E$1005)-SUMPRODUCT((MOVIMIENTOS!$B$5:$B$1005="REGALO")*(MOVIMIENTOS!$C$5:$C$1005="P")*(MOVIMIENTOS!$D$5:$D$1005="jabas")*(MOVIMIENTOS!$A$5:$A$1005&lt;&gt;"")*(MOVIMIENTOS!$A$5:$A$1005&lt;=$A344)*MOVIMIENTOS!$E$5:$E$1005)-SUMPRODUCT((MOVIMIENTOS!$B$5:$B$1005="VENTA")*(MOVIMIENTOS!$C$5:$C$1005="P")*(MOVIMIENTOS!$D$5:$D$1005="jabas")*(MOVIMIENTOS!$A$5:$A$1005&lt;&gt;"")*(MOVIMIENTOS!$A$5:$A$1005&lt;=$A344)*MOVIMIENTOS!$E$5:$E$1005)+SUMPRODUCT((MOVIMIENTOS!$B$5:$B$1005="AJUSTE")*(MOVIMIENTOS!$C$5:$C$1005="P")*(MOVIMIENTOS!$D$5:$D$1005="jabas")*(MOVIMIENTOS!$A$5:$A$1005&lt;&gt;"")*(MOVIMIENTOS!$A$5:$A$1005&lt;=$A344)*MOVIMIENTOS!$E$5:$E$1005))</f>
        <v/>
      </c>
      <c r="D344" s="63" t="str">
        <f>IF($A344="","",SUMPRODUCT((MOVIMIENTOS!$B$5:$B$1005="SALDO INICIAL")*(MOVIMIENTOS!$C$5:$C$1005="C")*(MOVIMIENTOS!$D$5:$D$1005="jabas")*(MOVIMIENTOS!$A$5:$A$1005&lt;&gt;"")*(MOVIMIENTOS!$A$5:$A$1005&lt;=$A344)*MOVIMIENTOS!$E$5:$E$1005)+SUMPRODUCT((MOVIMIENTOS!$B$5:$B$1005="PROCESO")*(MOVIMIENTOS!$C$5:$C$1005="C")*(MOVIMIENTOS!$D$5:$D$1005="jabas")*(MOVIMIENTOS!$A$5:$A$1005&lt;&gt;"")*(MOVIMIENTOS!$A$5:$A$1005&lt;=$A344)*MOVIMIENTOS!$E$5:$E$1005)-SUMPRODUCT((MOVIMIENTOS!$B$5:$B$1005="ENVÍO A SUPESA")*(MOVIMIENTOS!$C$5:$C$1005="C")*(MOVIMIENTOS!$D$5:$D$1005="jabas")*(MOVIMIENTOS!$A$5:$A$1005&lt;&gt;"")*(MOVIMIENTOS!$A$5:$A$1005&lt;=$A344)*MOVIMIENTOS!$E$5:$E$1005)+SUMPRODUCT((MOVIMIENTOS!$B$5:$B$1005="DEVOLUCIÓN")*(MOVIMIENTOS!$C$5:$C$1005="C")*(MOVIMIENTOS!$D$5:$D$1005="jabas")*(MOVIMIENTOS!$A$5:$A$1005&lt;&gt;"")*(MOVIMIENTOS!$A$5:$A$1005&lt;=$A344)*MOVIMIENTOS!$E$5:$E$1005)-SUMPRODUCT((MOVIMIENTOS!$B$5:$B$1005="TRASIEGO")*(MOVIMIENTOS!$C$5:$C$1005="C")*(MOVIMIENTOS!$D$5:$D$1005="jabas")*(MOVIMIENTOS!$A$5:$A$1005&lt;&gt;"")*(MOVIMIENTOS!$A$5:$A$1005&lt;=$A344)*MOVIMIENTOS!$E$5:$E$1005)-SUMPRODUCT((MOVIMIENTOS!$B$5:$B$1005="REGALO")*(MOVIMIENTOS!$C$5:$C$1005="C")*(MOVIMIENTOS!$D$5:$D$1005="jabas")*(MOVIMIENTOS!$A$5:$A$1005&lt;&gt;"")*(MOVIMIENTOS!$A$5:$A$1005&lt;=$A344)*MOVIMIENTOS!$E$5:$E$1005)-SUMPRODUCT((MOVIMIENTOS!$B$5:$B$1005="VENTA")*(MOVIMIENTOS!$C$5:$C$1005="C")*(MOVIMIENTOS!$D$5:$D$1005="jabas")*(MOVIMIENTOS!$A$5:$A$1005&lt;&gt;"")*(MOVIMIENTOS!$A$5:$A$1005&lt;=$A344)*MOVIMIENTOS!$E$5:$E$1005)+SUMPRODUCT((MOVIMIENTOS!$B$5:$B$1005="AJUSTE")*(MOVIMIENTOS!$C$5:$C$1005="C")*(MOVIMIENTOS!$D$5:$D$1005="jabas")*(MOVIMIENTOS!$A$5:$A$1005&lt;&gt;"")*(MOVIMIENTOS!$A$5:$A$1005&lt;=$A344)*MOVIMIENTOS!$E$5:$E$1005))</f>
        <v/>
      </c>
      <c r="E344" s="63" t="str">
        <f>IF($A344="","",SUMPRODUCT((MOVIMIENTOS!$B$5:$B$1005="SALDO INICIAL")*(MOVIMIENTOS!$C$5:$C$1005="M")*(MOVIMIENTOS!$D$5:$D$1005="jabas")*(MOVIMIENTOS!$A$5:$A$1005&lt;&gt;"")*(MOVIMIENTOS!$A$5:$A$1005&lt;=$A344)*MOVIMIENTOS!$E$5:$E$1005)+SUMPRODUCT((MOVIMIENTOS!$B$5:$B$1005="PROCESO")*(MOVIMIENTOS!$C$5:$C$1005="M")*(MOVIMIENTOS!$D$5:$D$1005="jabas")*(MOVIMIENTOS!$A$5:$A$1005&lt;&gt;"")*(MOVIMIENTOS!$A$5:$A$1005&lt;=$A344)*MOVIMIENTOS!$E$5:$E$1005)-SUMPRODUCT((MOVIMIENTOS!$B$5:$B$1005="ENVÍO A SUPESA")*(MOVIMIENTOS!$C$5:$C$1005="M")*(MOVIMIENTOS!$D$5:$D$1005="jabas")*(MOVIMIENTOS!$A$5:$A$1005&lt;&gt;"")*(MOVIMIENTOS!$A$5:$A$1005&lt;=$A344)*MOVIMIENTOS!$E$5:$E$1005)+SUMPRODUCT((MOVIMIENTOS!$B$5:$B$1005="DEVOLUCIÓN")*(MOVIMIENTOS!$C$5:$C$1005="M")*(MOVIMIENTOS!$D$5:$D$1005="jabas")*(MOVIMIENTOS!$A$5:$A$1005&lt;&gt;"")*(MOVIMIENTOS!$A$5:$A$1005&lt;=$A344)*MOVIMIENTOS!$E$5:$E$1005)-SUMPRODUCT((MOVIMIENTOS!$B$5:$B$1005="TRASIEGO")*(MOVIMIENTOS!$C$5:$C$1005="M")*(MOVIMIENTOS!$D$5:$D$1005="jabas")*(MOVIMIENTOS!$A$5:$A$1005&lt;&gt;"")*(MOVIMIENTOS!$A$5:$A$1005&lt;=$A344)*MOVIMIENTOS!$E$5:$E$1005)-SUMPRODUCT((MOVIMIENTOS!$B$5:$B$1005="REGALO")*(MOVIMIENTOS!$C$5:$C$1005="M")*(MOVIMIENTOS!$D$5:$D$1005="jabas")*(MOVIMIENTOS!$A$5:$A$1005&lt;&gt;"")*(MOVIMIENTOS!$A$5:$A$1005&lt;=$A344)*MOVIMIENTOS!$E$5:$E$1005)-SUMPRODUCT((MOVIMIENTOS!$B$5:$B$1005="VENTA")*(MOVIMIENTOS!$C$5:$C$1005="M")*(MOVIMIENTOS!$D$5:$D$1005="jabas")*(MOVIMIENTOS!$A$5:$A$1005&lt;&gt;"")*(MOVIMIENTOS!$A$5:$A$1005&lt;=$A344)*MOVIMIENTOS!$E$5:$E$1005)+SUMPRODUCT((MOVIMIENTOS!$B$5:$B$1005="AJUSTE")*(MOVIMIENTOS!$C$5:$C$1005="M")*(MOVIMIENTOS!$D$5:$D$1005="jabas")*(MOVIMIENTOS!$A$5:$A$1005&lt;&gt;"")*(MOVIMIENTOS!$A$5:$A$1005&lt;=$A344)*MOVIMIENTOS!$E$5:$E$1005))</f>
        <v/>
      </c>
      <c r="F344" s="63" t="str">
        <f>IF($A344="","",SUMPRODUCT((MOVIMIENTOS!$B$5:$B$1005="SALDO INICIAL")*(MOVIMIENTOS!$C$5:$C$1005="Chancho")*(MOVIMIENTOS!$D$5:$D$1005="sacos")*(MOVIMIENTOS!$A$5:$A$1005&lt;&gt;"")*(MOVIMIENTOS!$A$5:$A$1005&lt;=$A344)*MOVIMIENTOS!$E$5:$E$1005)+SUMPRODUCT((MOVIMIENTOS!$B$5:$B$1005="PROCESO")*(MOVIMIENTOS!$C$5:$C$1005="Chancho")*(MOVIMIENTOS!$D$5:$D$1005="sacos")*(MOVIMIENTOS!$A$5:$A$1005&lt;&gt;"")*(MOVIMIENTOS!$A$5:$A$1005&lt;=$A344)*MOVIMIENTOS!$E$5:$E$1005)-SUMPRODUCT((MOVIMIENTOS!$B$5:$B$1005="VENTA CHANCHO")*(MOVIMIENTOS!$C$5:$C$1005="Chancho")*(MOVIMIENTOS!$D$5:$D$1005="sacos")*(MOVIMIENTOS!$A$5:$A$1005&lt;&gt;"")*(MOVIMIENTOS!$A$5:$A$1005&lt;=$A344)*MOVIMIENTOS!$E$5:$E$1005)-SUMPRODUCT((MOVIMIENTOS!$B$5:$B$1005="REGALO")*(MOVIMIENTOS!$C$5:$C$1005="Chancho")*(MOVIMIENTOS!$D$5:$D$1005="sacos")*(MOVIMIENTOS!$A$5:$A$1005&lt;&gt;"")*(MOVIMIENTOS!$A$5:$A$1005&lt;=$A344)*MOVIMIENTOS!$E$5:$E$1005)-SUMPRODUCT((MOVIMIENTOS!$B$5:$B$1005="VENTA")*(MOVIMIENTOS!$C$5:$C$1005="Chancho")*(MOVIMIENTOS!$D$5:$D$1005="sacos")*(MOVIMIENTOS!$A$5:$A$1005&lt;&gt;"")*(MOVIMIENTOS!$A$5:$A$1005&lt;=$A344)*MOVIMIENTOS!$E$5:$E$1005)+SUMPRODUCT((MOVIMIENTOS!$B$5:$B$1005="AJUSTE")*(MOVIMIENTOS!$C$5:$C$1005="Chancho")*(MOVIMIENTOS!$D$5:$D$1005="sacos")*(MOVIMIENTOS!$A$5:$A$1005&lt;&gt;"")*(MOVIMIENTOS!$A$5:$A$1005&lt;=$A344)*MOVIMIENTOS!$E$5:$E$1005))</f>
        <v/>
      </c>
      <c r="G344" s="95" t="str">
        <f t="shared" si="11"/>
        <v/>
      </c>
      <c r="H344" s="63" t="str">
        <f>IF($A344="","",SUMPRODUCT((((MOVIMIENTOS!$B$5:$B$1005="SALDO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344)*MOVIMIENTOS!$J$5:$J$1005))</f>
        <v/>
      </c>
      <c r="I344" s="63"/>
      <c r="J344" s="63" t="str">
        <f>IF(AND(MOVIMIENTOS!$A343&lt;&gt;"",COUNTIF(MOVIMIENTOS!$A$5:$A342,MOVIMIENTOS!$A343)=0),COUNT(J$4:J343)+1,"")</f>
        <v/>
      </c>
      <c r="K344" s="66">
        <f>MOVIMIENTOS!$A343</f>
        <v>46244</v>
      </c>
      <c r="L344" s="63"/>
      <c r="M344" s="63"/>
      <c r="N344" s="63"/>
    </row>
    <row r="345" spans="1:14" ht="15" customHeight="1" x14ac:dyDescent="0.2">
      <c r="A345" s="63" t="str">
        <f t="shared" si="10"/>
        <v/>
      </c>
      <c r="B345" s="63" t="str">
        <f>IF($A345="","",SUMPRODUCT((MOVIMIENTOS!$B$5:$B$1005="SALDO INICIAL")*(MOVIMIENTOS!$C$5:$C$1005="A")*(MOVIMIENTOS!$D$5:$D$1005="jabas")*(MOVIMIENTOS!$A$5:$A$1005&lt;&gt;"")*(MOVIMIENTOS!$A$5:$A$1005&lt;=$A345)*MOVIMIENTOS!$E$5:$E$1005)+SUMPRODUCT((MOVIMIENTOS!$B$5:$B$1005="PROCESO")*(MOVIMIENTOS!$C$5:$C$1005="A")*(MOVIMIENTOS!$D$5:$D$1005="jabas")*(MOVIMIENTOS!$A$5:$A$1005&lt;&gt;"")*(MOVIMIENTOS!$A$5:$A$1005&lt;=$A345)*MOVIMIENTOS!$E$5:$E$1005)-SUMPRODUCT((MOVIMIENTOS!$B$5:$B$1005="ENVÍO A SUPESA")*(MOVIMIENTOS!$C$5:$C$1005="A")*(MOVIMIENTOS!$D$5:$D$1005="jabas")*(MOVIMIENTOS!$A$5:$A$1005&lt;&gt;"")*(MOVIMIENTOS!$A$5:$A$1005&lt;=$A345)*MOVIMIENTOS!$E$5:$E$1005)+SUMPRODUCT((MOVIMIENTOS!$B$5:$B$1005="DEVOLUCIÓN")*(MOVIMIENTOS!$C$5:$C$1005="A")*(MOVIMIENTOS!$D$5:$D$1005="jabas")*(MOVIMIENTOS!$A$5:$A$1005&lt;&gt;"")*(MOVIMIENTOS!$A$5:$A$1005&lt;=$A345)*MOVIMIENTOS!$E$5:$E$1005)-SUMPRODUCT((MOVIMIENTOS!$B$5:$B$1005="TRASIEGO")*(MOVIMIENTOS!$C$5:$C$1005="A")*(MOVIMIENTOS!$D$5:$D$1005="jabas")*(MOVIMIENTOS!$A$5:$A$1005&lt;&gt;"")*(MOVIMIENTOS!$A$5:$A$1005&lt;=$A345)*MOVIMIENTOS!$E$5:$E$1005)-SUMPRODUCT((MOVIMIENTOS!$B$5:$B$1005="REGALO")*(MOVIMIENTOS!$C$5:$C$1005="A")*(MOVIMIENTOS!$D$5:$D$1005="jabas")*(MOVIMIENTOS!$A$5:$A$1005&lt;&gt;"")*(MOVIMIENTOS!$A$5:$A$1005&lt;=$A345)*MOVIMIENTOS!$E$5:$E$1005)-SUMPRODUCT((MOVIMIENTOS!$B$5:$B$1005="VENTA")*(MOVIMIENTOS!$C$5:$C$1005="A")*(MOVIMIENTOS!$D$5:$D$1005="jabas")*(MOVIMIENTOS!$A$5:$A$1005&lt;&gt;"")*(MOVIMIENTOS!$A$5:$A$1005&lt;=$A345)*MOVIMIENTOS!$E$5:$E$1005)+SUMPRODUCT((MOVIMIENTOS!$B$5:$B$1005="AJUSTE")*(MOVIMIENTOS!$C$5:$C$1005="A")*(MOVIMIENTOS!$D$5:$D$1005="jabas")*(MOVIMIENTOS!$A$5:$A$1005&lt;&gt;"")*(MOVIMIENTOS!$A$5:$A$1005&lt;=$A345)*MOVIMIENTOS!$E$5:$E$1005))</f>
        <v/>
      </c>
      <c r="C345" s="63" t="str">
        <f>IF($A345="","",SUMPRODUCT((MOVIMIENTOS!$B$5:$B$1005="SALDO INICIAL")*(MOVIMIENTOS!$C$5:$C$1005="P")*(MOVIMIENTOS!$D$5:$D$1005="jabas")*(MOVIMIENTOS!$A$5:$A$1005&lt;&gt;"")*(MOVIMIENTOS!$A$5:$A$1005&lt;=$A345)*MOVIMIENTOS!$E$5:$E$1005)+SUMPRODUCT((MOVIMIENTOS!$B$5:$B$1005="PROCESO")*(MOVIMIENTOS!$C$5:$C$1005="P")*(MOVIMIENTOS!$D$5:$D$1005="jabas")*(MOVIMIENTOS!$A$5:$A$1005&lt;&gt;"")*(MOVIMIENTOS!$A$5:$A$1005&lt;=$A345)*MOVIMIENTOS!$E$5:$E$1005)-SUMPRODUCT((MOVIMIENTOS!$B$5:$B$1005="ENVÍO A SUPESA")*(MOVIMIENTOS!$C$5:$C$1005="P")*(MOVIMIENTOS!$D$5:$D$1005="jabas")*(MOVIMIENTOS!$A$5:$A$1005&lt;&gt;"")*(MOVIMIENTOS!$A$5:$A$1005&lt;=$A345)*MOVIMIENTOS!$E$5:$E$1005)+SUMPRODUCT((MOVIMIENTOS!$B$5:$B$1005="DEVOLUCIÓN")*(MOVIMIENTOS!$C$5:$C$1005="P")*(MOVIMIENTOS!$D$5:$D$1005="jabas")*(MOVIMIENTOS!$A$5:$A$1005&lt;&gt;"")*(MOVIMIENTOS!$A$5:$A$1005&lt;=$A345)*MOVIMIENTOS!$E$5:$E$1005)-SUMPRODUCT((MOVIMIENTOS!$B$5:$B$1005="TRASIEGO")*(MOVIMIENTOS!$C$5:$C$1005="P")*(MOVIMIENTOS!$D$5:$D$1005="jabas")*(MOVIMIENTOS!$A$5:$A$1005&lt;&gt;"")*(MOVIMIENTOS!$A$5:$A$1005&lt;=$A345)*MOVIMIENTOS!$E$5:$E$1005)-SUMPRODUCT((MOVIMIENTOS!$B$5:$B$1005="REGALO")*(MOVIMIENTOS!$C$5:$C$1005="P")*(MOVIMIENTOS!$D$5:$D$1005="jabas")*(MOVIMIENTOS!$A$5:$A$1005&lt;&gt;"")*(MOVIMIENTOS!$A$5:$A$1005&lt;=$A345)*MOVIMIENTOS!$E$5:$E$1005)-SUMPRODUCT((MOVIMIENTOS!$B$5:$B$1005="VENTA")*(MOVIMIENTOS!$C$5:$C$1005="P")*(MOVIMIENTOS!$D$5:$D$1005="jabas")*(MOVIMIENTOS!$A$5:$A$1005&lt;&gt;"")*(MOVIMIENTOS!$A$5:$A$1005&lt;=$A345)*MOVIMIENTOS!$E$5:$E$1005)+SUMPRODUCT((MOVIMIENTOS!$B$5:$B$1005="AJUSTE")*(MOVIMIENTOS!$C$5:$C$1005="P")*(MOVIMIENTOS!$D$5:$D$1005="jabas")*(MOVIMIENTOS!$A$5:$A$1005&lt;&gt;"")*(MOVIMIENTOS!$A$5:$A$1005&lt;=$A345)*MOVIMIENTOS!$E$5:$E$1005))</f>
        <v/>
      </c>
      <c r="D345" s="63" t="str">
        <f>IF($A345="","",SUMPRODUCT((MOVIMIENTOS!$B$5:$B$1005="SALDO INICIAL")*(MOVIMIENTOS!$C$5:$C$1005="C")*(MOVIMIENTOS!$D$5:$D$1005="jabas")*(MOVIMIENTOS!$A$5:$A$1005&lt;&gt;"")*(MOVIMIENTOS!$A$5:$A$1005&lt;=$A345)*MOVIMIENTOS!$E$5:$E$1005)+SUMPRODUCT((MOVIMIENTOS!$B$5:$B$1005="PROCESO")*(MOVIMIENTOS!$C$5:$C$1005="C")*(MOVIMIENTOS!$D$5:$D$1005="jabas")*(MOVIMIENTOS!$A$5:$A$1005&lt;&gt;"")*(MOVIMIENTOS!$A$5:$A$1005&lt;=$A345)*MOVIMIENTOS!$E$5:$E$1005)-SUMPRODUCT((MOVIMIENTOS!$B$5:$B$1005="ENVÍO A SUPESA")*(MOVIMIENTOS!$C$5:$C$1005="C")*(MOVIMIENTOS!$D$5:$D$1005="jabas")*(MOVIMIENTOS!$A$5:$A$1005&lt;&gt;"")*(MOVIMIENTOS!$A$5:$A$1005&lt;=$A345)*MOVIMIENTOS!$E$5:$E$1005)+SUMPRODUCT((MOVIMIENTOS!$B$5:$B$1005="DEVOLUCIÓN")*(MOVIMIENTOS!$C$5:$C$1005="C")*(MOVIMIENTOS!$D$5:$D$1005="jabas")*(MOVIMIENTOS!$A$5:$A$1005&lt;&gt;"")*(MOVIMIENTOS!$A$5:$A$1005&lt;=$A345)*MOVIMIENTOS!$E$5:$E$1005)-SUMPRODUCT((MOVIMIENTOS!$B$5:$B$1005="TRASIEGO")*(MOVIMIENTOS!$C$5:$C$1005="C")*(MOVIMIENTOS!$D$5:$D$1005="jabas")*(MOVIMIENTOS!$A$5:$A$1005&lt;&gt;"")*(MOVIMIENTOS!$A$5:$A$1005&lt;=$A345)*MOVIMIENTOS!$E$5:$E$1005)-SUMPRODUCT((MOVIMIENTOS!$B$5:$B$1005="REGALO")*(MOVIMIENTOS!$C$5:$C$1005="C")*(MOVIMIENTOS!$D$5:$D$1005="jabas")*(MOVIMIENTOS!$A$5:$A$1005&lt;&gt;"")*(MOVIMIENTOS!$A$5:$A$1005&lt;=$A345)*MOVIMIENTOS!$E$5:$E$1005)-SUMPRODUCT((MOVIMIENTOS!$B$5:$B$1005="VENTA")*(MOVIMIENTOS!$C$5:$C$1005="C")*(MOVIMIENTOS!$D$5:$D$1005="jabas")*(MOVIMIENTOS!$A$5:$A$1005&lt;&gt;"")*(MOVIMIENTOS!$A$5:$A$1005&lt;=$A345)*MOVIMIENTOS!$E$5:$E$1005)+SUMPRODUCT((MOVIMIENTOS!$B$5:$B$1005="AJUSTE")*(MOVIMIENTOS!$C$5:$C$1005="C")*(MOVIMIENTOS!$D$5:$D$1005="jabas")*(MOVIMIENTOS!$A$5:$A$1005&lt;&gt;"")*(MOVIMIENTOS!$A$5:$A$1005&lt;=$A345)*MOVIMIENTOS!$E$5:$E$1005))</f>
        <v/>
      </c>
      <c r="E345" s="63" t="str">
        <f>IF($A345="","",SUMPRODUCT((MOVIMIENTOS!$B$5:$B$1005="SALDO INICIAL")*(MOVIMIENTOS!$C$5:$C$1005="M")*(MOVIMIENTOS!$D$5:$D$1005="jabas")*(MOVIMIENTOS!$A$5:$A$1005&lt;&gt;"")*(MOVIMIENTOS!$A$5:$A$1005&lt;=$A345)*MOVIMIENTOS!$E$5:$E$1005)+SUMPRODUCT((MOVIMIENTOS!$B$5:$B$1005="PROCESO")*(MOVIMIENTOS!$C$5:$C$1005="M")*(MOVIMIENTOS!$D$5:$D$1005="jabas")*(MOVIMIENTOS!$A$5:$A$1005&lt;&gt;"")*(MOVIMIENTOS!$A$5:$A$1005&lt;=$A345)*MOVIMIENTOS!$E$5:$E$1005)-SUMPRODUCT((MOVIMIENTOS!$B$5:$B$1005="ENVÍO A SUPESA")*(MOVIMIENTOS!$C$5:$C$1005="M")*(MOVIMIENTOS!$D$5:$D$1005="jabas")*(MOVIMIENTOS!$A$5:$A$1005&lt;&gt;"")*(MOVIMIENTOS!$A$5:$A$1005&lt;=$A345)*MOVIMIENTOS!$E$5:$E$1005)+SUMPRODUCT((MOVIMIENTOS!$B$5:$B$1005="DEVOLUCIÓN")*(MOVIMIENTOS!$C$5:$C$1005="M")*(MOVIMIENTOS!$D$5:$D$1005="jabas")*(MOVIMIENTOS!$A$5:$A$1005&lt;&gt;"")*(MOVIMIENTOS!$A$5:$A$1005&lt;=$A345)*MOVIMIENTOS!$E$5:$E$1005)-SUMPRODUCT((MOVIMIENTOS!$B$5:$B$1005="TRASIEGO")*(MOVIMIENTOS!$C$5:$C$1005="M")*(MOVIMIENTOS!$D$5:$D$1005="jabas")*(MOVIMIENTOS!$A$5:$A$1005&lt;&gt;"")*(MOVIMIENTOS!$A$5:$A$1005&lt;=$A345)*MOVIMIENTOS!$E$5:$E$1005)-SUMPRODUCT((MOVIMIENTOS!$B$5:$B$1005="REGALO")*(MOVIMIENTOS!$C$5:$C$1005="M")*(MOVIMIENTOS!$D$5:$D$1005="jabas")*(MOVIMIENTOS!$A$5:$A$1005&lt;&gt;"")*(MOVIMIENTOS!$A$5:$A$1005&lt;=$A345)*MOVIMIENTOS!$E$5:$E$1005)-SUMPRODUCT((MOVIMIENTOS!$B$5:$B$1005="VENTA")*(MOVIMIENTOS!$C$5:$C$1005="M")*(MOVIMIENTOS!$D$5:$D$1005="jabas")*(MOVIMIENTOS!$A$5:$A$1005&lt;&gt;"")*(MOVIMIENTOS!$A$5:$A$1005&lt;=$A345)*MOVIMIENTOS!$E$5:$E$1005)+SUMPRODUCT((MOVIMIENTOS!$B$5:$B$1005="AJUSTE")*(MOVIMIENTOS!$C$5:$C$1005="M")*(MOVIMIENTOS!$D$5:$D$1005="jabas")*(MOVIMIENTOS!$A$5:$A$1005&lt;&gt;"")*(MOVIMIENTOS!$A$5:$A$1005&lt;=$A345)*MOVIMIENTOS!$E$5:$E$1005))</f>
        <v/>
      </c>
      <c r="F345" s="63" t="str">
        <f>IF($A345="","",SUMPRODUCT((MOVIMIENTOS!$B$5:$B$1005="SALDO INICIAL")*(MOVIMIENTOS!$C$5:$C$1005="Chancho")*(MOVIMIENTOS!$D$5:$D$1005="sacos")*(MOVIMIENTOS!$A$5:$A$1005&lt;&gt;"")*(MOVIMIENTOS!$A$5:$A$1005&lt;=$A345)*MOVIMIENTOS!$E$5:$E$1005)+SUMPRODUCT((MOVIMIENTOS!$B$5:$B$1005="PROCESO")*(MOVIMIENTOS!$C$5:$C$1005="Chancho")*(MOVIMIENTOS!$D$5:$D$1005="sacos")*(MOVIMIENTOS!$A$5:$A$1005&lt;&gt;"")*(MOVIMIENTOS!$A$5:$A$1005&lt;=$A345)*MOVIMIENTOS!$E$5:$E$1005)-SUMPRODUCT((MOVIMIENTOS!$B$5:$B$1005="VENTA CHANCHO")*(MOVIMIENTOS!$C$5:$C$1005="Chancho")*(MOVIMIENTOS!$D$5:$D$1005="sacos")*(MOVIMIENTOS!$A$5:$A$1005&lt;&gt;"")*(MOVIMIENTOS!$A$5:$A$1005&lt;=$A345)*MOVIMIENTOS!$E$5:$E$1005)-SUMPRODUCT((MOVIMIENTOS!$B$5:$B$1005="REGALO")*(MOVIMIENTOS!$C$5:$C$1005="Chancho")*(MOVIMIENTOS!$D$5:$D$1005="sacos")*(MOVIMIENTOS!$A$5:$A$1005&lt;&gt;"")*(MOVIMIENTOS!$A$5:$A$1005&lt;=$A345)*MOVIMIENTOS!$E$5:$E$1005)-SUMPRODUCT((MOVIMIENTOS!$B$5:$B$1005="VENTA")*(MOVIMIENTOS!$C$5:$C$1005="Chancho")*(MOVIMIENTOS!$D$5:$D$1005="sacos")*(MOVIMIENTOS!$A$5:$A$1005&lt;&gt;"")*(MOVIMIENTOS!$A$5:$A$1005&lt;=$A345)*MOVIMIENTOS!$E$5:$E$1005)+SUMPRODUCT((MOVIMIENTOS!$B$5:$B$1005="AJUSTE")*(MOVIMIENTOS!$C$5:$C$1005="Chancho")*(MOVIMIENTOS!$D$5:$D$1005="sacos")*(MOVIMIENTOS!$A$5:$A$1005&lt;&gt;"")*(MOVIMIENTOS!$A$5:$A$1005&lt;=$A345)*MOVIMIENTOS!$E$5:$E$1005))</f>
        <v/>
      </c>
      <c r="G345" s="95" t="str">
        <f t="shared" si="11"/>
        <v/>
      </c>
      <c r="H345" s="63" t="str">
        <f>IF($A345="","",SUMPRODUCT((((MOVIMIENTOS!$B$5:$B$1005="SALDO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345)*MOVIMIENTOS!$J$5:$J$1005))</f>
        <v/>
      </c>
      <c r="I345" s="63"/>
      <c r="J345" s="63" t="str">
        <f>IF(AND(MOVIMIENTOS!$A344&lt;&gt;"",COUNTIF(MOVIMIENTOS!$A$5:$A343,MOVIMIENTOS!$A344)=0),COUNT(J$4:J344)+1,"")</f>
        <v/>
      </c>
      <c r="K345" s="66">
        <f>MOVIMIENTOS!$A344</f>
        <v>46244</v>
      </c>
      <c r="L345" s="63"/>
      <c r="M345" s="63"/>
      <c r="N345" s="63"/>
    </row>
    <row r="346" spans="1:14" ht="15" customHeight="1" x14ac:dyDescent="0.2">
      <c r="A346" s="63" t="str">
        <f t="shared" si="10"/>
        <v/>
      </c>
      <c r="B346" s="63" t="str">
        <f>IF($A346="","",SUMPRODUCT((MOVIMIENTOS!$B$5:$B$1005="SALDO INICIAL")*(MOVIMIENTOS!$C$5:$C$1005="A")*(MOVIMIENTOS!$D$5:$D$1005="jabas")*(MOVIMIENTOS!$A$5:$A$1005&lt;&gt;"")*(MOVIMIENTOS!$A$5:$A$1005&lt;=$A346)*MOVIMIENTOS!$E$5:$E$1005)+SUMPRODUCT((MOVIMIENTOS!$B$5:$B$1005="PROCESO")*(MOVIMIENTOS!$C$5:$C$1005="A")*(MOVIMIENTOS!$D$5:$D$1005="jabas")*(MOVIMIENTOS!$A$5:$A$1005&lt;&gt;"")*(MOVIMIENTOS!$A$5:$A$1005&lt;=$A346)*MOVIMIENTOS!$E$5:$E$1005)-SUMPRODUCT((MOVIMIENTOS!$B$5:$B$1005="ENVÍO A SUPESA")*(MOVIMIENTOS!$C$5:$C$1005="A")*(MOVIMIENTOS!$D$5:$D$1005="jabas")*(MOVIMIENTOS!$A$5:$A$1005&lt;&gt;"")*(MOVIMIENTOS!$A$5:$A$1005&lt;=$A346)*MOVIMIENTOS!$E$5:$E$1005)+SUMPRODUCT((MOVIMIENTOS!$B$5:$B$1005="DEVOLUCIÓN")*(MOVIMIENTOS!$C$5:$C$1005="A")*(MOVIMIENTOS!$D$5:$D$1005="jabas")*(MOVIMIENTOS!$A$5:$A$1005&lt;&gt;"")*(MOVIMIENTOS!$A$5:$A$1005&lt;=$A346)*MOVIMIENTOS!$E$5:$E$1005)-SUMPRODUCT((MOVIMIENTOS!$B$5:$B$1005="TRASIEGO")*(MOVIMIENTOS!$C$5:$C$1005="A")*(MOVIMIENTOS!$D$5:$D$1005="jabas")*(MOVIMIENTOS!$A$5:$A$1005&lt;&gt;"")*(MOVIMIENTOS!$A$5:$A$1005&lt;=$A346)*MOVIMIENTOS!$E$5:$E$1005)-SUMPRODUCT((MOVIMIENTOS!$B$5:$B$1005="REGALO")*(MOVIMIENTOS!$C$5:$C$1005="A")*(MOVIMIENTOS!$D$5:$D$1005="jabas")*(MOVIMIENTOS!$A$5:$A$1005&lt;&gt;"")*(MOVIMIENTOS!$A$5:$A$1005&lt;=$A346)*MOVIMIENTOS!$E$5:$E$1005)-SUMPRODUCT((MOVIMIENTOS!$B$5:$B$1005="VENTA")*(MOVIMIENTOS!$C$5:$C$1005="A")*(MOVIMIENTOS!$D$5:$D$1005="jabas")*(MOVIMIENTOS!$A$5:$A$1005&lt;&gt;"")*(MOVIMIENTOS!$A$5:$A$1005&lt;=$A346)*MOVIMIENTOS!$E$5:$E$1005)+SUMPRODUCT((MOVIMIENTOS!$B$5:$B$1005="AJUSTE")*(MOVIMIENTOS!$C$5:$C$1005="A")*(MOVIMIENTOS!$D$5:$D$1005="jabas")*(MOVIMIENTOS!$A$5:$A$1005&lt;&gt;"")*(MOVIMIENTOS!$A$5:$A$1005&lt;=$A346)*MOVIMIENTOS!$E$5:$E$1005))</f>
        <v/>
      </c>
      <c r="C346" s="63" t="str">
        <f>IF($A346="","",SUMPRODUCT((MOVIMIENTOS!$B$5:$B$1005="SALDO INICIAL")*(MOVIMIENTOS!$C$5:$C$1005="P")*(MOVIMIENTOS!$D$5:$D$1005="jabas")*(MOVIMIENTOS!$A$5:$A$1005&lt;&gt;"")*(MOVIMIENTOS!$A$5:$A$1005&lt;=$A346)*MOVIMIENTOS!$E$5:$E$1005)+SUMPRODUCT((MOVIMIENTOS!$B$5:$B$1005="PROCESO")*(MOVIMIENTOS!$C$5:$C$1005="P")*(MOVIMIENTOS!$D$5:$D$1005="jabas")*(MOVIMIENTOS!$A$5:$A$1005&lt;&gt;"")*(MOVIMIENTOS!$A$5:$A$1005&lt;=$A346)*MOVIMIENTOS!$E$5:$E$1005)-SUMPRODUCT((MOVIMIENTOS!$B$5:$B$1005="ENVÍO A SUPESA")*(MOVIMIENTOS!$C$5:$C$1005="P")*(MOVIMIENTOS!$D$5:$D$1005="jabas")*(MOVIMIENTOS!$A$5:$A$1005&lt;&gt;"")*(MOVIMIENTOS!$A$5:$A$1005&lt;=$A346)*MOVIMIENTOS!$E$5:$E$1005)+SUMPRODUCT((MOVIMIENTOS!$B$5:$B$1005="DEVOLUCIÓN")*(MOVIMIENTOS!$C$5:$C$1005="P")*(MOVIMIENTOS!$D$5:$D$1005="jabas")*(MOVIMIENTOS!$A$5:$A$1005&lt;&gt;"")*(MOVIMIENTOS!$A$5:$A$1005&lt;=$A346)*MOVIMIENTOS!$E$5:$E$1005)-SUMPRODUCT((MOVIMIENTOS!$B$5:$B$1005="TRASIEGO")*(MOVIMIENTOS!$C$5:$C$1005="P")*(MOVIMIENTOS!$D$5:$D$1005="jabas")*(MOVIMIENTOS!$A$5:$A$1005&lt;&gt;"")*(MOVIMIENTOS!$A$5:$A$1005&lt;=$A346)*MOVIMIENTOS!$E$5:$E$1005)-SUMPRODUCT((MOVIMIENTOS!$B$5:$B$1005="REGALO")*(MOVIMIENTOS!$C$5:$C$1005="P")*(MOVIMIENTOS!$D$5:$D$1005="jabas")*(MOVIMIENTOS!$A$5:$A$1005&lt;&gt;"")*(MOVIMIENTOS!$A$5:$A$1005&lt;=$A346)*MOVIMIENTOS!$E$5:$E$1005)-SUMPRODUCT((MOVIMIENTOS!$B$5:$B$1005="VENTA")*(MOVIMIENTOS!$C$5:$C$1005="P")*(MOVIMIENTOS!$D$5:$D$1005="jabas")*(MOVIMIENTOS!$A$5:$A$1005&lt;&gt;"")*(MOVIMIENTOS!$A$5:$A$1005&lt;=$A346)*MOVIMIENTOS!$E$5:$E$1005)+SUMPRODUCT((MOVIMIENTOS!$B$5:$B$1005="AJUSTE")*(MOVIMIENTOS!$C$5:$C$1005="P")*(MOVIMIENTOS!$D$5:$D$1005="jabas")*(MOVIMIENTOS!$A$5:$A$1005&lt;&gt;"")*(MOVIMIENTOS!$A$5:$A$1005&lt;=$A346)*MOVIMIENTOS!$E$5:$E$1005))</f>
        <v/>
      </c>
      <c r="D346" s="63" t="str">
        <f>IF($A346="","",SUMPRODUCT((MOVIMIENTOS!$B$5:$B$1005="SALDO INICIAL")*(MOVIMIENTOS!$C$5:$C$1005="C")*(MOVIMIENTOS!$D$5:$D$1005="jabas")*(MOVIMIENTOS!$A$5:$A$1005&lt;&gt;"")*(MOVIMIENTOS!$A$5:$A$1005&lt;=$A346)*MOVIMIENTOS!$E$5:$E$1005)+SUMPRODUCT((MOVIMIENTOS!$B$5:$B$1005="PROCESO")*(MOVIMIENTOS!$C$5:$C$1005="C")*(MOVIMIENTOS!$D$5:$D$1005="jabas")*(MOVIMIENTOS!$A$5:$A$1005&lt;&gt;"")*(MOVIMIENTOS!$A$5:$A$1005&lt;=$A346)*MOVIMIENTOS!$E$5:$E$1005)-SUMPRODUCT((MOVIMIENTOS!$B$5:$B$1005="ENVÍO A SUPESA")*(MOVIMIENTOS!$C$5:$C$1005="C")*(MOVIMIENTOS!$D$5:$D$1005="jabas")*(MOVIMIENTOS!$A$5:$A$1005&lt;&gt;"")*(MOVIMIENTOS!$A$5:$A$1005&lt;=$A346)*MOVIMIENTOS!$E$5:$E$1005)+SUMPRODUCT((MOVIMIENTOS!$B$5:$B$1005="DEVOLUCIÓN")*(MOVIMIENTOS!$C$5:$C$1005="C")*(MOVIMIENTOS!$D$5:$D$1005="jabas")*(MOVIMIENTOS!$A$5:$A$1005&lt;&gt;"")*(MOVIMIENTOS!$A$5:$A$1005&lt;=$A346)*MOVIMIENTOS!$E$5:$E$1005)-SUMPRODUCT((MOVIMIENTOS!$B$5:$B$1005="TRASIEGO")*(MOVIMIENTOS!$C$5:$C$1005="C")*(MOVIMIENTOS!$D$5:$D$1005="jabas")*(MOVIMIENTOS!$A$5:$A$1005&lt;&gt;"")*(MOVIMIENTOS!$A$5:$A$1005&lt;=$A346)*MOVIMIENTOS!$E$5:$E$1005)-SUMPRODUCT((MOVIMIENTOS!$B$5:$B$1005="REGALO")*(MOVIMIENTOS!$C$5:$C$1005="C")*(MOVIMIENTOS!$D$5:$D$1005="jabas")*(MOVIMIENTOS!$A$5:$A$1005&lt;&gt;"")*(MOVIMIENTOS!$A$5:$A$1005&lt;=$A346)*MOVIMIENTOS!$E$5:$E$1005)-SUMPRODUCT((MOVIMIENTOS!$B$5:$B$1005="VENTA")*(MOVIMIENTOS!$C$5:$C$1005="C")*(MOVIMIENTOS!$D$5:$D$1005="jabas")*(MOVIMIENTOS!$A$5:$A$1005&lt;&gt;"")*(MOVIMIENTOS!$A$5:$A$1005&lt;=$A346)*MOVIMIENTOS!$E$5:$E$1005)+SUMPRODUCT((MOVIMIENTOS!$B$5:$B$1005="AJUSTE")*(MOVIMIENTOS!$C$5:$C$1005="C")*(MOVIMIENTOS!$D$5:$D$1005="jabas")*(MOVIMIENTOS!$A$5:$A$1005&lt;&gt;"")*(MOVIMIENTOS!$A$5:$A$1005&lt;=$A346)*MOVIMIENTOS!$E$5:$E$1005))</f>
        <v/>
      </c>
      <c r="E346" s="63" t="str">
        <f>IF($A346="","",SUMPRODUCT((MOVIMIENTOS!$B$5:$B$1005="SALDO INICIAL")*(MOVIMIENTOS!$C$5:$C$1005="M")*(MOVIMIENTOS!$D$5:$D$1005="jabas")*(MOVIMIENTOS!$A$5:$A$1005&lt;&gt;"")*(MOVIMIENTOS!$A$5:$A$1005&lt;=$A346)*MOVIMIENTOS!$E$5:$E$1005)+SUMPRODUCT((MOVIMIENTOS!$B$5:$B$1005="PROCESO")*(MOVIMIENTOS!$C$5:$C$1005="M")*(MOVIMIENTOS!$D$5:$D$1005="jabas")*(MOVIMIENTOS!$A$5:$A$1005&lt;&gt;"")*(MOVIMIENTOS!$A$5:$A$1005&lt;=$A346)*MOVIMIENTOS!$E$5:$E$1005)-SUMPRODUCT((MOVIMIENTOS!$B$5:$B$1005="ENVÍO A SUPESA")*(MOVIMIENTOS!$C$5:$C$1005="M")*(MOVIMIENTOS!$D$5:$D$1005="jabas")*(MOVIMIENTOS!$A$5:$A$1005&lt;&gt;"")*(MOVIMIENTOS!$A$5:$A$1005&lt;=$A346)*MOVIMIENTOS!$E$5:$E$1005)+SUMPRODUCT((MOVIMIENTOS!$B$5:$B$1005="DEVOLUCIÓN")*(MOVIMIENTOS!$C$5:$C$1005="M")*(MOVIMIENTOS!$D$5:$D$1005="jabas")*(MOVIMIENTOS!$A$5:$A$1005&lt;&gt;"")*(MOVIMIENTOS!$A$5:$A$1005&lt;=$A346)*MOVIMIENTOS!$E$5:$E$1005)-SUMPRODUCT((MOVIMIENTOS!$B$5:$B$1005="TRASIEGO")*(MOVIMIENTOS!$C$5:$C$1005="M")*(MOVIMIENTOS!$D$5:$D$1005="jabas")*(MOVIMIENTOS!$A$5:$A$1005&lt;&gt;"")*(MOVIMIENTOS!$A$5:$A$1005&lt;=$A346)*MOVIMIENTOS!$E$5:$E$1005)-SUMPRODUCT((MOVIMIENTOS!$B$5:$B$1005="REGALO")*(MOVIMIENTOS!$C$5:$C$1005="M")*(MOVIMIENTOS!$D$5:$D$1005="jabas")*(MOVIMIENTOS!$A$5:$A$1005&lt;&gt;"")*(MOVIMIENTOS!$A$5:$A$1005&lt;=$A346)*MOVIMIENTOS!$E$5:$E$1005)-SUMPRODUCT((MOVIMIENTOS!$B$5:$B$1005="VENTA")*(MOVIMIENTOS!$C$5:$C$1005="M")*(MOVIMIENTOS!$D$5:$D$1005="jabas")*(MOVIMIENTOS!$A$5:$A$1005&lt;&gt;"")*(MOVIMIENTOS!$A$5:$A$1005&lt;=$A346)*MOVIMIENTOS!$E$5:$E$1005)+SUMPRODUCT((MOVIMIENTOS!$B$5:$B$1005="AJUSTE")*(MOVIMIENTOS!$C$5:$C$1005="M")*(MOVIMIENTOS!$D$5:$D$1005="jabas")*(MOVIMIENTOS!$A$5:$A$1005&lt;&gt;"")*(MOVIMIENTOS!$A$5:$A$1005&lt;=$A346)*MOVIMIENTOS!$E$5:$E$1005))</f>
        <v/>
      </c>
      <c r="F346" s="63" t="str">
        <f>IF($A346="","",SUMPRODUCT((MOVIMIENTOS!$B$5:$B$1005="SALDO INICIAL")*(MOVIMIENTOS!$C$5:$C$1005="Chancho")*(MOVIMIENTOS!$D$5:$D$1005="sacos")*(MOVIMIENTOS!$A$5:$A$1005&lt;&gt;"")*(MOVIMIENTOS!$A$5:$A$1005&lt;=$A346)*MOVIMIENTOS!$E$5:$E$1005)+SUMPRODUCT((MOVIMIENTOS!$B$5:$B$1005="PROCESO")*(MOVIMIENTOS!$C$5:$C$1005="Chancho")*(MOVIMIENTOS!$D$5:$D$1005="sacos")*(MOVIMIENTOS!$A$5:$A$1005&lt;&gt;"")*(MOVIMIENTOS!$A$5:$A$1005&lt;=$A346)*MOVIMIENTOS!$E$5:$E$1005)-SUMPRODUCT((MOVIMIENTOS!$B$5:$B$1005="VENTA CHANCHO")*(MOVIMIENTOS!$C$5:$C$1005="Chancho")*(MOVIMIENTOS!$D$5:$D$1005="sacos")*(MOVIMIENTOS!$A$5:$A$1005&lt;&gt;"")*(MOVIMIENTOS!$A$5:$A$1005&lt;=$A346)*MOVIMIENTOS!$E$5:$E$1005)-SUMPRODUCT((MOVIMIENTOS!$B$5:$B$1005="REGALO")*(MOVIMIENTOS!$C$5:$C$1005="Chancho")*(MOVIMIENTOS!$D$5:$D$1005="sacos")*(MOVIMIENTOS!$A$5:$A$1005&lt;&gt;"")*(MOVIMIENTOS!$A$5:$A$1005&lt;=$A346)*MOVIMIENTOS!$E$5:$E$1005)-SUMPRODUCT((MOVIMIENTOS!$B$5:$B$1005="VENTA")*(MOVIMIENTOS!$C$5:$C$1005="Chancho")*(MOVIMIENTOS!$D$5:$D$1005="sacos")*(MOVIMIENTOS!$A$5:$A$1005&lt;&gt;"")*(MOVIMIENTOS!$A$5:$A$1005&lt;=$A346)*MOVIMIENTOS!$E$5:$E$1005)+SUMPRODUCT((MOVIMIENTOS!$B$5:$B$1005="AJUSTE")*(MOVIMIENTOS!$C$5:$C$1005="Chancho")*(MOVIMIENTOS!$D$5:$D$1005="sacos")*(MOVIMIENTOS!$A$5:$A$1005&lt;&gt;"")*(MOVIMIENTOS!$A$5:$A$1005&lt;=$A346)*MOVIMIENTOS!$E$5:$E$1005))</f>
        <v/>
      </c>
      <c r="G346" s="95" t="str">
        <f t="shared" si="11"/>
        <v/>
      </c>
      <c r="H346" s="63" t="str">
        <f>IF($A346="","",SUMPRODUCT((((MOVIMIENTOS!$B$5:$B$1005="SALDO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346)*MOVIMIENTOS!$J$5:$J$1005))</f>
        <v/>
      </c>
      <c r="I346" s="63"/>
      <c r="J346" s="63" t="str">
        <f>IF(AND(MOVIMIENTOS!$A345&lt;&gt;"",COUNTIF(MOVIMIENTOS!$A$5:$A344,MOVIMIENTOS!$A345)=0),COUNT(J$4:J345)+1,"")</f>
        <v/>
      </c>
      <c r="K346" s="66">
        <f>MOVIMIENTOS!$A345</f>
        <v>46244</v>
      </c>
      <c r="L346" s="63"/>
      <c r="M346" s="63"/>
      <c r="N346" s="63"/>
    </row>
    <row r="347" spans="1:14" ht="15" customHeight="1" x14ac:dyDescent="0.2">
      <c r="A347" s="63" t="str">
        <f t="shared" si="10"/>
        <v/>
      </c>
      <c r="B347" s="63" t="str">
        <f>IF($A347="","",SUMPRODUCT((MOVIMIENTOS!$B$5:$B$1005="SALDO INICIAL")*(MOVIMIENTOS!$C$5:$C$1005="A")*(MOVIMIENTOS!$D$5:$D$1005="jabas")*(MOVIMIENTOS!$A$5:$A$1005&lt;&gt;"")*(MOVIMIENTOS!$A$5:$A$1005&lt;=$A347)*MOVIMIENTOS!$E$5:$E$1005)+SUMPRODUCT((MOVIMIENTOS!$B$5:$B$1005="PROCESO")*(MOVIMIENTOS!$C$5:$C$1005="A")*(MOVIMIENTOS!$D$5:$D$1005="jabas")*(MOVIMIENTOS!$A$5:$A$1005&lt;&gt;"")*(MOVIMIENTOS!$A$5:$A$1005&lt;=$A347)*MOVIMIENTOS!$E$5:$E$1005)-SUMPRODUCT((MOVIMIENTOS!$B$5:$B$1005="ENVÍO A SUPESA")*(MOVIMIENTOS!$C$5:$C$1005="A")*(MOVIMIENTOS!$D$5:$D$1005="jabas")*(MOVIMIENTOS!$A$5:$A$1005&lt;&gt;"")*(MOVIMIENTOS!$A$5:$A$1005&lt;=$A347)*MOVIMIENTOS!$E$5:$E$1005)+SUMPRODUCT((MOVIMIENTOS!$B$5:$B$1005="DEVOLUCIÓN")*(MOVIMIENTOS!$C$5:$C$1005="A")*(MOVIMIENTOS!$D$5:$D$1005="jabas")*(MOVIMIENTOS!$A$5:$A$1005&lt;&gt;"")*(MOVIMIENTOS!$A$5:$A$1005&lt;=$A347)*MOVIMIENTOS!$E$5:$E$1005)-SUMPRODUCT((MOVIMIENTOS!$B$5:$B$1005="TRASIEGO")*(MOVIMIENTOS!$C$5:$C$1005="A")*(MOVIMIENTOS!$D$5:$D$1005="jabas")*(MOVIMIENTOS!$A$5:$A$1005&lt;&gt;"")*(MOVIMIENTOS!$A$5:$A$1005&lt;=$A347)*MOVIMIENTOS!$E$5:$E$1005)-SUMPRODUCT((MOVIMIENTOS!$B$5:$B$1005="REGALO")*(MOVIMIENTOS!$C$5:$C$1005="A")*(MOVIMIENTOS!$D$5:$D$1005="jabas")*(MOVIMIENTOS!$A$5:$A$1005&lt;&gt;"")*(MOVIMIENTOS!$A$5:$A$1005&lt;=$A347)*MOVIMIENTOS!$E$5:$E$1005)-SUMPRODUCT((MOVIMIENTOS!$B$5:$B$1005="VENTA")*(MOVIMIENTOS!$C$5:$C$1005="A")*(MOVIMIENTOS!$D$5:$D$1005="jabas")*(MOVIMIENTOS!$A$5:$A$1005&lt;&gt;"")*(MOVIMIENTOS!$A$5:$A$1005&lt;=$A347)*MOVIMIENTOS!$E$5:$E$1005)+SUMPRODUCT((MOVIMIENTOS!$B$5:$B$1005="AJUSTE")*(MOVIMIENTOS!$C$5:$C$1005="A")*(MOVIMIENTOS!$D$5:$D$1005="jabas")*(MOVIMIENTOS!$A$5:$A$1005&lt;&gt;"")*(MOVIMIENTOS!$A$5:$A$1005&lt;=$A347)*MOVIMIENTOS!$E$5:$E$1005))</f>
        <v/>
      </c>
      <c r="C347" s="63" t="str">
        <f>IF($A347="","",SUMPRODUCT((MOVIMIENTOS!$B$5:$B$1005="SALDO INICIAL")*(MOVIMIENTOS!$C$5:$C$1005="P")*(MOVIMIENTOS!$D$5:$D$1005="jabas")*(MOVIMIENTOS!$A$5:$A$1005&lt;&gt;"")*(MOVIMIENTOS!$A$5:$A$1005&lt;=$A347)*MOVIMIENTOS!$E$5:$E$1005)+SUMPRODUCT((MOVIMIENTOS!$B$5:$B$1005="PROCESO")*(MOVIMIENTOS!$C$5:$C$1005="P")*(MOVIMIENTOS!$D$5:$D$1005="jabas")*(MOVIMIENTOS!$A$5:$A$1005&lt;&gt;"")*(MOVIMIENTOS!$A$5:$A$1005&lt;=$A347)*MOVIMIENTOS!$E$5:$E$1005)-SUMPRODUCT((MOVIMIENTOS!$B$5:$B$1005="ENVÍO A SUPESA")*(MOVIMIENTOS!$C$5:$C$1005="P")*(MOVIMIENTOS!$D$5:$D$1005="jabas")*(MOVIMIENTOS!$A$5:$A$1005&lt;&gt;"")*(MOVIMIENTOS!$A$5:$A$1005&lt;=$A347)*MOVIMIENTOS!$E$5:$E$1005)+SUMPRODUCT((MOVIMIENTOS!$B$5:$B$1005="DEVOLUCIÓN")*(MOVIMIENTOS!$C$5:$C$1005="P")*(MOVIMIENTOS!$D$5:$D$1005="jabas")*(MOVIMIENTOS!$A$5:$A$1005&lt;&gt;"")*(MOVIMIENTOS!$A$5:$A$1005&lt;=$A347)*MOVIMIENTOS!$E$5:$E$1005)-SUMPRODUCT((MOVIMIENTOS!$B$5:$B$1005="TRASIEGO")*(MOVIMIENTOS!$C$5:$C$1005="P")*(MOVIMIENTOS!$D$5:$D$1005="jabas")*(MOVIMIENTOS!$A$5:$A$1005&lt;&gt;"")*(MOVIMIENTOS!$A$5:$A$1005&lt;=$A347)*MOVIMIENTOS!$E$5:$E$1005)-SUMPRODUCT((MOVIMIENTOS!$B$5:$B$1005="REGALO")*(MOVIMIENTOS!$C$5:$C$1005="P")*(MOVIMIENTOS!$D$5:$D$1005="jabas")*(MOVIMIENTOS!$A$5:$A$1005&lt;&gt;"")*(MOVIMIENTOS!$A$5:$A$1005&lt;=$A347)*MOVIMIENTOS!$E$5:$E$1005)-SUMPRODUCT((MOVIMIENTOS!$B$5:$B$1005="VENTA")*(MOVIMIENTOS!$C$5:$C$1005="P")*(MOVIMIENTOS!$D$5:$D$1005="jabas")*(MOVIMIENTOS!$A$5:$A$1005&lt;&gt;"")*(MOVIMIENTOS!$A$5:$A$1005&lt;=$A347)*MOVIMIENTOS!$E$5:$E$1005)+SUMPRODUCT((MOVIMIENTOS!$B$5:$B$1005="AJUSTE")*(MOVIMIENTOS!$C$5:$C$1005="P")*(MOVIMIENTOS!$D$5:$D$1005="jabas")*(MOVIMIENTOS!$A$5:$A$1005&lt;&gt;"")*(MOVIMIENTOS!$A$5:$A$1005&lt;=$A347)*MOVIMIENTOS!$E$5:$E$1005))</f>
        <v/>
      </c>
      <c r="D347" s="63" t="str">
        <f>IF($A347="","",SUMPRODUCT((MOVIMIENTOS!$B$5:$B$1005="SALDO INICIAL")*(MOVIMIENTOS!$C$5:$C$1005="C")*(MOVIMIENTOS!$D$5:$D$1005="jabas")*(MOVIMIENTOS!$A$5:$A$1005&lt;&gt;"")*(MOVIMIENTOS!$A$5:$A$1005&lt;=$A347)*MOVIMIENTOS!$E$5:$E$1005)+SUMPRODUCT((MOVIMIENTOS!$B$5:$B$1005="PROCESO")*(MOVIMIENTOS!$C$5:$C$1005="C")*(MOVIMIENTOS!$D$5:$D$1005="jabas")*(MOVIMIENTOS!$A$5:$A$1005&lt;&gt;"")*(MOVIMIENTOS!$A$5:$A$1005&lt;=$A347)*MOVIMIENTOS!$E$5:$E$1005)-SUMPRODUCT((MOVIMIENTOS!$B$5:$B$1005="ENVÍO A SUPESA")*(MOVIMIENTOS!$C$5:$C$1005="C")*(MOVIMIENTOS!$D$5:$D$1005="jabas")*(MOVIMIENTOS!$A$5:$A$1005&lt;&gt;"")*(MOVIMIENTOS!$A$5:$A$1005&lt;=$A347)*MOVIMIENTOS!$E$5:$E$1005)+SUMPRODUCT((MOVIMIENTOS!$B$5:$B$1005="DEVOLUCIÓN")*(MOVIMIENTOS!$C$5:$C$1005="C")*(MOVIMIENTOS!$D$5:$D$1005="jabas")*(MOVIMIENTOS!$A$5:$A$1005&lt;&gt;"")*(MOVIMIENTOS!$A$5:$A$1005&lt;=$A347)*MOVIMIENTOS!$E$5:$E$1005)-SUMPRODUCT((MOVIMIENTOS!$B$5:$B$1005="TRASIEGO")*(MOVIMIENTOS!$C$5:$C$1005="C")*(MOVIMIENTOS!$D$5:$D$1005="jabas")*(MOVIMIENTOS!$A$5:$A$1005&lt;&gt;"")*(MOVIMIENTOS!$A$5:$A$1005&lt;=$A347)*MOVIMIENTOS!$E$5:$E$1005)-SUMPRODUCT((MOVIMIENTOS!$B$5:$B$1005="REGALO")*(MOVIMIENTOS!$C$5:$C$1005="C")*(MOVIMIENTOS!$D$5:$D$1005="jabas")*(MOVIMIENTOS!$A$5:$A$1005&lt;&gt;"")*(MOVIMIENTOS!$A$5:$A$1005&lt;=$A347)*MOVIMIENTOS!$E$5:$E$1005)-SUMPRODUCT((MOVIMIENTOS!$B$5:$B$1005="VENTA")*(MOVIMIENTOS!$C$5:$C$1005="C")*(MOVIMIENTOS!$D$5:$D$1005="jabas")*(MOVIMIENTOS!$A$5:$A$1005&lt;&gt;"")*(MOVIMIENTOS!$A$5:$A$1005&lt;=$A347)*MOVIMIENTOS!$E$5:$E$1005)+SUMPRODUCT((MOVIMIENTOS!$B$5:$B$1005="AJUSTE")*(MOVIMIENTOS!$C$5:$C$1005="C")*(MOVIMIENTOS!$D$5:$D$1005="jabas")*(MOVIMIENTOS!$A$5:$A$1005&lt;&gt;"")*(MOVIMIENTOS!$A$5:$A$1005&lt;=$A347)*MOVIMIENTOS!$E$5:$E$1005))</f>
        <v/>
      </c>
      <c r="E347" s="63" t="str">
        <f>IF($A347="","",SUMPRODUCT((MOVIMIENTOS!$B$5:$B$1005="SALDO INICIAL")*(MOVIMIENTOS!$C$5:$C$1005="M")*(MOVIMIENTOS!$D$5:$D$1005="jabas")*(MOVIMIENTOS!$A$5:$A$1005&lt;&gt;"")*(MOVIMIENTOS!$A$5:$A$1005&lt;=$A347)*MOVIMIENTOS!$E$5:$E$1005)+SUMPRODUCT((MOVIMIENTOS!$B$5:$B$1005="PROCESO")*(MOVIMIENTOS!$C$5:$C$1005="M")*(MOVIMIENTOS!$D$5:$D$1005="jabas")*(MOVIMIENTOS!$A$5:$A$1005&lt;&gt;"")*(MOVIMIENTOS!$A$5:$A$1005&lt;=$A347)*MOVIMIENTOS!$E$5:$E$1005)-SUMPRODUCT((MOVIMIENTOS!$B$5:$B$1005="ENVÍO A SUPESA")*(MOVIMIENTOS!$C$5:$C$1005="M")*(MOVIMIENTOS!$D$5:$D$1005="jabas")*(MOVIMIENTOS!$A$5:$A$1005&lt;&gt;"")*(MOVIMIENTOS!$A$5:$A$1005&lt;=$A347)*MOVIMIENTOS!$E$5:$E$1005)+SUMPRODUCT((MOVIMIENTOS!$B$5:$B$1005="DEVOLUCIÓN")*(MOVIMIENTOS!$C$5:$C$1005="M")*(MOVIMIENTOS!$D$5:$D$1005="jabas")*(MOVIMIENTOS!$A$5:$A$1005&lt;&gt;"")*(MOVIMIENTOS!$A$5:$A$1005&lt;=$A347)*MOVIMIENTOS!$E$5:$E$1005)-SUMPRODUCT((MOVIMIENTOS!$B$5:$B$1005="TRASIEGO")*(MOVIMIENTOS!$C$5:$C$1005="M")*(MOVIMIENTOS!$D$5:$D$1005="jabas")*(MOVIMIENTOS!$A$5:$A$1005&lt;&gt;"")*(MOVIMIENTOS!$A$5:$A$1005&lt;=$A347)*MOVIMIENTOS!$E$5:$E$1005)-SUMPRODUCT((MOVIMIENTOS!$B$5:$B$1005="REGALO")*(MOVIMIENTOS!$C$5:$C$1005="M")*(MOVIMIENTOS!$D$5:$D$1005="jabas")*(MOVIMIENTOS!$A$5:$A$1005&lt;&gt;"")*(MOVIMIENTOS!$A$5:$A$1005&lt;=$A347)*MOVIMIENTOS!$E$5:$E$1005)-SUMPRODUCT((MOVIMIENTOS!$B$5:$B$1005="VENTA")*(MOVIMIENTOS!$C$5:$C$1005="M")*(MOVIMIENTOS!$D$5:$D$1005="jabas")*(MOVIMIENTOS!$A$5:$A$1005&lt;&gt;"")*(MOVIMIENTOS!$A$5:$A$1005&lt;=$A347)*MOVIMIENTOS!$E$5:$E$1005)+SUMPRODUCT((MOVIMIENTOS!$B$5:$B$1005="AJUSTE")*(MOVIMIENTOS!$C$5:$C$1005="M")*(MOVIMIENTOS!$D$5:$D$1005="jabas")*(MOVIMIENTOS!$A$5:$A$1005&lt;&gt;"")*(MOVIMIENTOS!$A$5:$A$1005&lt;=$A347)*MOVIMIENTOS!$E$5:$E$1005))</f>
        <v/>
      </c>
      <c r="F347" s="63" t="str">
        <f>IF($A347="","",SUMPRODUCT((MOVIMIENTOS!$B$5:$B$1005="SALDO INICIAL")*(MOVIMIENTOS!$C$5:$C$1005="Chancho")*(MOVIMIENTOS!$D$5:$D$1005="sacos")*(MOVIMIENTOS!$A$5:$A$1005&lt;&gt;"")*(MOVIMIENTOS!$A$5:$A$1005&lt;=$A347)*MOVIMIENTOS!$E$5:$E$1005)+SUMPRODUCT((MOVIMIENTOS!$B$5:$B$1005="PROCESO")*(MOVIMIENTOS!$C$5:$C$1005="Chancho")*(MOVIMIENTOS!$D$5:$D$1005="sacos")*(MOVIMIENTOS!$A$5:$A$1005&lt;&gt;"")*(MOVIMIENTOS!$A$5:$A$1005&lt;=$A347)*MOVIMIENTOS!$E$5:$E$1005)-SUMPRODUCT((MOVIMIENTOS!$B$5:$B$1005="VENTA CHANCHO")*(MOVIMIENTOS!$C$5:$C$1005="Chancho")*(MOVIMIENTOS!$D$5:$D$1005="sacos")*(MOVIMIENTOS!$A$5:$A$1005&lt;&gt;"")*(MOVIMIENTOS!$A$5:$A$1005&lt;=$A347)*MOVIMIENTOS!$E$5:$E$1005)-SUMPRODUCT((MOVIMIENTOS!$B$5:$B$1005="REGALO")*(MOVIMIENTOS!$C$5:$C$1005="Chancho")*(MOVIMIENTOS!$D$5:$D$1005="sacos")*(MOVIMIENTOS!$A$5:$A$1005&lt;&gt;"")*(MOVIMIENTOS!$A$5:$A$1005&lt;=$A347)*MOVIMIENTOS!$E$5:$E$1005)-SUMPRODUCT((MOVIMIENTOS!$B$5:$B$1005="VENTA")*(MOVIMIENTOS!$C$5:$C$1005="Chancho")*(MOVIMIENTOS!$D$5:$D$1005="sacos")*(MOVIMIENTOS!$A$5:$A$1005&lt;&gt;"")*(MOVIMIENTOS!$A$5:$A$1005&lt;=$A347)*MOVIMIENTOS!$E$5:$E$1005)+SUMPRODUCT((MOVIMIENTOS!$B$5:$B$1005="AJUSTE")*(MOVIMIENTOS!$C$5:$C$1005="Chancho")*(MOVIMIENTOS!$D$5:$D$1005="sacos")*(MOVIMIENTOS!$A$5:$A$1005&lt;&gt;"")*(MOVIMIENTOS!$A$5:$A$1005&lt;=$A347)*MOVIMIENTOS!$E$5:$E$1005))</f>
        <v/>
      </c>
      <c r="G347" s="95" t="str">
        <f t="shared" si="11"/>
        <v/>
      </c>
      <c r="H347" s="63" t="str">
        <f>IF($A347="","",SUMPRODUCT((((MOVIMIENTOS!$B$5:$B$1005="SALDO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347)*MOVIMIENTOS!$J$5:$J$1005))</f>
        <v/>
      </c>
      <c r="I347" s="63"/>
      <c r="J347" s="63" t="str">
        <f>IF(AND(MOVIMIENTOS!$A346&lt;&gt;"",COUNTIF(MOVIMIENTOS!$A$5:$A345,MOVIMIENTOS!$A346)=0),COUNT(J$4:J346)+1,"")</f>
        <v/>
      </c>
      <c r="K347" s="66">
        <f>MOVIMIENTOS!$A346</f>
        <v>46244</v>
      </c>
      <c r="L347" s="63"/>
      <c r="M347" s="63"/>
      <c r="N347" s="63"/>
    </row>
    <row r="348" spans="1:14" ht="15" customHeight="1" x14ac:dyDescent="0.2">
      <c r="A348" s="63" t="str">
        <f t="shared" si="10"/>
        <v/>
      </c>
      <c r="B348" s="63" t="str">
        <f>IF($A348="","",SUMPRODUCT((MOVIMIENTOS!$B$5:$B$1005="SALDO INICIAL")*(MOVIMIENTOS!$C$5:$C$1005="A")*(MOVIMIENTOS!$D$5:$D$1005="jabas")*(MOVIMIENTOS!$A$5:$A$1005&lt;&gt;"")*(MOVIMIENTOS!$A$5:$A$1005&lt;=$A348)*MOVIMIENTOS!$E$5:$E$1005)+SUMPRODUCT((MOVIMIENTOS!$B$5:$B$1005="PROCESO")*(MOVIMIENTOS!$C$5:$C$1005="A")*(MOVIMIENTOS!$D$5:$D$1005="jabas")*(MOVIMIENTOS!$A$5:$A$1005&lt;&gt;"")*(MOVIMIENTOS!$A$5:$A$1005&lt;=$A348)*MOVIMIENTOS!$E$5:$E$1005)-SUMPRODUCT((MOVIMIENTOS!$B$5:$B$1005="ENVÍO A SUPESA")*(MOVIMIENTOS!$C$5:$C$1005="A")*(MOVIMIENTOS!$D$5:$D$1005="jabas")*(MOVIMIENTOS!$A$5:$A$1005&lt;&gt;"")*(MOVIMIENTOS!$A$5:$A$1005&lt;=$A348)*MOVIMIENTOS!$E$5:$E$1005)+SUMPRODUCT((MOVIMIENTOS!$B$5:$B$1005="DEVOLUCIÓN")*(MOVIMIENTOS!$C$5:$C$1005="A")*(MOVIMIENTOS!$D$5:$D$1005="jabas")*(MOVIMIENTOS!$A$5:$A$1005&lt;&gt;"")*(MOVIMIENTOS!$A$5:$A$1005&lt;=$A348)*MOVIMIENTOS!$E$5:$E$1005)-SUMPRODUCT((MOVIMIENTOS!$B$5:$B$1005="TRASIEGO")*(MOVIMIENTOS!$C$5:$C$1005="A")*(MOVIMIENTOS!$D$5:$D$1005="jabas")*(MOVIMIENTOS!$A$5:$A$1005&lt;&gt;"")*(MOVIMIENTOS!$A$5:$A$1005&lt;=$A348)*MOVIMIENTOS!$E$5:$E$1005)-SUMPRODUCT((MOVIMIENTOS!$B$5:$B$1005="REGALO")*(MOVIMIENTOS!$C$5:$C$1005="A")*(MOVIMIENTOS!$D$5:$D$1005="jabas")*(MOVIMIENTOS!$A$5:$A$1005&lt;&gt;"")*(MOVIMIENTOS!$A$5:$A$1005&lt;=$A348)*MOVIMIENTOS!$E$5:$E$1005)-SUMPRODUCT((MOVIMIENTOS!$B$5:$B$1005="VENTA")*(MOVIMIENTOS!$C$5:$C$1005="A")*(MOVIMIENTOS!$D$5:$D$1005="jabas")*(MOVIMIENTOS!$A$5:$A$1005&lt;&gt;"")*(MOVIMIENTOS!$A$5:$A$1005&lt;=$A348)*MOVIMIENTOS!$E$5:$E$1005)+SUMPRODUCT((MOVIMIENTOS!$B$5:$B$1005="AJUSTE")*(MOVIMIENTOS!$C$5:$C$1005="A")*(MOVIMIENTOS!$D$5:$D$1005="jabas")*(MOVIMIENTOS!$A$5:$A$1005&lt;&gt;"")*(MOVIMIENTOS!$A$5:$A$1005&lt;=$A348)*MOVIMIENTOS!$E$5:$E$1005))</f>
        <v/>
      </c>
      <c r="C348" s="63" t="str">
        <f>IF($A348="","",SUMPRODUCT((MOVIMIENTOS!$B$5:$B$1005="SALDO INICIAL")*(MOVIMIENTOS!$C$5:$C$1005="P")*(MOVIMIENTOS!$D$5:$D$1005="jabas")*(MOVIMIENTOS!$A$5:$A$1005&lt;&gt;"")*(MOVIMIENTOS!$A$5:$A$1005&lt;=$A348)*MOVIMIENTOS!$E$5:$E$1005)+SUMPRODUCT((MOVIMIENTOS!$B$5:$B$1005="PROCESO")*(MOVIMIENTOS!$C$5:$C$1005="P")*(MOVIMIENTOS!$D$5:$D$1005="jabas")*(MOVIMIENTOS!$A$5:$A$1005&lt;&gt;"")*(MOVIMIENTOS!$A$5:$A$1005&lt;=$A348)*MOVIMIENTOS!$E$5:$E$1005)-SUMPRODUCT((MOVIMIENTOS!$B$5:$B$1005="ENVÍO A SUPESA")*(MOVIMIENTOS!$C$5:$C$1005="P")*(MOVIMIENTOS!$D$5:$D$1005="jabas")*(MOVIMIENTOS!$A$5:$A$1005&lt;&gt;"")*(MOVIMIENTOS!$A$5:$A$1005&lt;=$A348)*MOVIMIENTOS!$E$5:$E$1005)+SUMPRODUCT((MOVIMIENTOS!$B$5:$B$1005="DEVOLUCIÓN")*(MOVIMIENTOS!$C$5:$C$1005="P")*(MOVIMIENTOS!$D$5:$D$1005="jabas")*(MOVIMIENTOS!$A$5:$A$1005&lt;&gt;"")*(MOVIMIENTOS!$A$5:$A$1005&lt;=$A348)*MOVIMIENTOS!$E$5:$E$1005)-SUMPRODUCT((MOVIMIENTOS!$B$5:$B$1005="TRASIEGO")*(MOVIMIENTOS!$C$5:$C$1005="P")*(MOVIMIENTOS!$D$5:$D$1005="jabas")*(MOVIMIENTOS!$A$5:$A$1005&lt;&gt;"")*(MOVIMIENTOS!$A$5:$A$1005&lt;=$A348)*MOVIMIENTOS!$E$5:$E$1005)-SUMPRODUCT((MOVIMIENTOS!$B$5:$B$1005="REGALO")*(MOVIMIENTOS!$C$5:$C$1005="P")*(MOVIMIENTOS!$D$5:$D$1005="jabas")*(MOVIMIENTOS!$A$5:$A$1005&lt;&gt;"")*(MOVIMIENTOS!$A$5:$A$1005&lt;=$A348)*MOVIMIENTOS!$E$5:$E$1005)-SUMPRODUCT((MOVIMIENTOS!$B$5:$B$1005="VENTA")*(MOVIMIENTOS!$C$5:$C$1005="P")*(MOVIMIENTOS!$D$5:$D$1005="jabas")*(MOVIMIENTOS!$A$5:$A$1005&lt;&gt;"")*(MOVIMIENTOS!$A$5:$A$1005&lt;=$A348)*MOVIMIENTOS!$E$5:$E$1005)+SUMPRODUCT((MOVIMIENTOS!$B$5:$B$1005="AJUSTE")*(MOVIMIENTOS!$C$5:$C$1005="P")*(MOVIMIENTOS!$D$5:$D$1005="jabas")*(MOVIMIENTOS!$A$5:$A$1005&lt;&gt;"")*(MOVIMIENTOS!$A$5:$A$1005&lt;=$A348)*MOVIMIENTOS!$E$5:$E$1005))</f>
        <v/>
      </c>
      <c r="D348" s="63" t="str">
        <f>IF($A348="","",SUMPRODUCT((MOVIMIENTOS!$B$5:$B$1005="SALDO INICIAL")*(MOVIMIENTOS!$C$5:$C$1005="C")*(MOVIMIENTOS!$D$5:$D$1005="jabas")*(MOVIMIENTOS!$A$5:$A$1005&lt;&gt;"")*(MOVIMIENTOS!$A$5:$A$1005&lt;=$A348)*MOVIMIENTOS!$E$5:$E$1005)+SUMPRODUCT((MOVIMIENTOS!$B$5:$B$1005="PROCESO")*(MOVIMIENTOS!$C$5:$C$1005="C")*(MOVIMIENTOS!$D$5:$D$1005="jabas")*(MOVIMIENTOS!$A$5:$A$1005&lt;&gt;"")*(MOVIMIENTOS!$A$5:$A$1005&lt;=$A348)*MOVIMIENTOS!$E$5:$E$1005)-SUMPRODUCT((MOVIMIENTOS!$B$5:$B$1005="ENVÍO A SUPESA")*(MOVIMIENTOS!$C$5:$C$1005="C")*(MOVIMIENTOS!$D$5:$D$1005="jabas")*(MOVIMIENTOS!$A$5:$A$1005&lt;&gt;"")*(MOVIMIENTOS!$A$5:$A$1005&lt;=$A348)*MOVIMIENTOS!$E$5:$E$1005)+SUMPRODUCT((MOVIMIENTOS!$B$5:$B$1005="DEVOLUCIÓN")*(MOVIMIENTOS!$C$5:$C$1005="C")*(MOVIMIENTOS!$D$5:$D$1005="jabas")*(MOVIMIENTOS!$A$5:$A$1005&lt;&gt;"")*(MOVIMIENTOS!$A$5:$A$1005&lt;=$A348)*MOVIMIENTOS!$E$5:$E$1005)-SUMPRODUCT((MOVIMIENTOS!$B$5:$B$1005="TRASIEGO")*(MOVIMIENTOS!$C$5:$C$1005="C")*(MOVIMIENTOS!$D$5:$D$1005="jabas")*(MOVIMIENTOS!$A$5:$A$1005&lt;&gt;"")*(MOVIMIENTOS!$A$5:$A$1005&lt;=$A348)*MOVIMIENTOS!$E$5:$E$1005)-SUMPRODUCT((MOVIMIENTOS!$B$5:$B$1005="REGALO")*(MOVIMIENTOS!$C$5:$C$1005="C")*(MOVIMIENTOS!$D$5:$D$1005="jabas")*(MOVIMIENTOS!$A$5:$A$1005&lt;&gt;"")*(MOVIMIENTOS!$A$5:$A$1005&lt;=$A348)*MOVIMIENTOS!$E$5:$E$1005)-SUMPRODUCT((MOVIMIENTOS!$B$5:$B$1005="VENTA")*(MOVIMIENTOS!$C$5:$C$1005="C")*(MOVIMIENTOS!$D$5:$D$1005="jabas")*(MOVIMIENTOS!$A$5:$A$1005&lt;&gt;"")*(MOVIMIENTOS!$A$5:$A$1005&lt;=$A348)*MOVIMIENTOS!$E$5:$E$1005)+SUMPRODUCT((MOVIMIENTOS!$B$5:$B$1005="AJUSTE")*(MOVIMIENTOS!$C$5:$C$1005="C")*(MOVIMIENTOS!$D$5:$D$1005="jabas")*(MOVIMIENTOS!$A$5:$A$1005&lt;&gt;"")*(MOVIMIENTOS!$A$5:$A$1005&lt;=$A348)*MOVIMIENTOS!$E$5:$E$1005))</f>
        <v/>
      </c>
      <c r="E348" s="63" t="str">
        <f>IF($A348="","",SUMPRODUCT((MOVIMIENTOS!$B$5:$B$1005="SALDO INICIAL")*(MOVIMIENTOS!$C$5:$C$1005="M")*(MOVIMIENTOS!$D$5:$D$1005="jabas")*(MOVIMIENTOS!$A$5:$A$1005&lt;&gt;"")*(MOVIMIENTOS!$A$5:$A$1005&lt;=$A348)*MOVIMIENTOS!$E$5:$E$1005)+SUMPRODUCT((MOVIMIENTOS!$B$5:$B$1005="PROCESO")*(MOVIMIENTOS!$C$5:$C$1005="M")*(MOVIMIENTOS!$D$5:$D$1005="jabas")*(MOVIMIENTOS!$A$5:$A$1005&lt;&gt;"")*(MOVIMIENTOS!$A$5:$A$1005&lt;=$A348)*MOVIMIENTOS!$E$5:$E$1005)-SUMPRODUCT((MOVIMIENTOS!$B$5:$B$1005="ENVÍO A SUPESA")*(MOVIMIENTOS!$C$5:$C$1005="M")*(MOVIMIENTOS!$D$5:$D$1005="jabas")*(MOVIMIENTOS!$A$5:$A$1005&lt;&gt;"")*(MOVIMIENTOS!$A$5:$A$1005&lt;=$A348)*MOVIMIENTOS!$E$5:$E$1005)+SUMPRODUCT((MOVIMIENTOS!$B$5:$B$1005="DEVOLUCIÓN")*(MOVIMIENTOS!$C$5:$C$1005="M")*(MOVIMIENTOS!$D$5:$D$1005="jabas")*(MOVIMIENTOS!$A$5:$A$1005&lt;&gt;"")*(MOVIMIENTOS!$A$5:$A$1005&lt;=$A348)*MOVIMIENTOS!$E$5:$E$1005)-SUMPRODUCT((MOVIMIENTOS!$B$5:$B$1005="TRASIEGO")*(MOVIMIENTOS!$C$5:$C$1005="M")*(MOVIMIENTOS!$D$5:$D$1005="jabas")*(MOVIMIENTOS!$A$5:$A$1005&lt;&gt;"")*(MOVIMIENTOS!$A$5:$A$1005&lt;=$A348)*MOVIMIENTOS!$E$5:$E$1005)-SUMPRODUCT((MOVIMIENTOS!$B$5:$B$1005="REGALO")*(MOVIMIENTOS!$C$5:$C$1005="M")*(MOVIMIENTOS!$D$5:$D$1005="jabas")*(MOVIMIENTOS!$A$5:$A$1005&lt;&gt;"")*(MOVIMIENTOS!$A$5:$A$1005&lt;=$A348)*MOVIMIENTOS!$E$5:$E$1005)-SUMPRODUCT((MOVIMIENTOS!$B$5:$B$1005="VENTA")*(MOVIMIENTOS!$C$5:$C$1005="M")*(MOVIMIENTOS!$D$5:$D$1005="jabas")*(MOVIMIENTOS!$A$5:$A$1005&lt;&gt;"")*(MOVIMIENTOS!$A$5:$A$1005&lt;=$A348)*MOVIMIENTOS!$E$5:$E$1005)+SUMPRODUCT((MOVIMIENTOS!$B$5:$B$1005="AJUSTE")*(MOVIMIENTOS!$C$5:$C$1005="M")*(MOVIMIENTOS!$D$5:$D$1005="jabas")*(MOVIMIENTOS!$A$5:$A$1005&lt;&gt;"")*(MOVIMIENTOS!$A$5:$A$1005&lt;=$A348)*MOVIMIENTOS!$E$5:$E$1005))</f>
        <v/>
      </c>
      <c r="F348" s="63" t="str">
        <f>IF($A348="","",SUMPRODUCT((MOVIMIENTOS!$B$5:$B$1005="SALDO INICIAL")*(MOVIMIENTOS!$C$5:$C$1005="Chancho")*(MOVIMIENTOS!$D$5:$D$1005="sacos")*(MOVIMIENTOS!$A$5:$A$1005&lt;&gt;"")*(MOVIMIENTOS!$A$5:$A$1005&lt;=$A348)*MOVIMIENTOS!$E$5:$E$1005)+SUMPRODUCT((MOVIMIENTOS!$B$5:$B$1005="PROCESO")*(MOVIMIENTOS!$C$5:$C$1005="Chancho")*(MOVIMIENTOS!$D$5:$D$1005="sacos")*(MOVIMIENTOS!$A$5:$A$1005&lt;&gt;"")*(MOVIMIENTOS!$A$5:$A$1005&lt;=$A348)*MOVIMIENTOS!$E$5:$E$1005)-SUMPRODUCT((MOVIMIENTOS!$B$5:$B$1005="VENTA CHANCHO")*(MOVIMIENTOS!$C$5:$C$1005="Chancho")*(MOVIMIENTOS!$D$5:$D$1005="sacos")*(MOVIMIENTOS!$A$5:$A$1005&lt;&gt;"")*(MOVIMIENTOS!$A$5:$A$1005&lt;=$A348)*MOVIMIENTOS!$E$5:$E$1005)-SUMPRODUCT((MOVIMIENTOS!$B$5:$B$1005="REGALO")*(MOVIMIENTOS!$C$5:$C$1005="Chancho")*(MOVIMIENTOS!$D$5:$D$1005="sacos")*(MOVIMIENTOS!$A$5:$A$1005&lt;&gt;"")*(MOVIMIENTOS!$A$5:$A$1005&lt;=$A348)*MOVIMIENTOS!$E$5:$E$1005)-SUMPRODUCT((MOVIMIENTOS!$B$5:$B$1005="VENTA")*(MOVIMIENTOS!$C$5:$C$1005="Chancho")*(MOVIMIENTOS!$D$5:$D$1005="sacos")*(MOVIMIENTOS!$A$5:$A$1005&lt;&gt;"")*(MOVIMIENTOS!$A$5:$A$1005&lt;=$A348)*MOVIMIENTOS!$E$5:$E$1005)+SUMPRODUCT((MOVIMIENTOS!$B$5:$B$1005="AJUSTE")*(MOVIMIENTOS!$C$5:$C$1005="Chancho")*(MOVIMIENTOS!$D$5:$D$1005="sacos")*(MOVIMIENTOS!$A$5:$A$1005&lt;&gt;"")*(MOVIMIENTOS!$A$5:$A$1005&lt;=$A348)*MOVIMIENTOS!$E$5:$E$1005))</f>
        <v/>
      </c>
      <c r="G348" s="95" t="str">
        <f t="shared" si="11"/>
        <v/>
      </c>
      <c r="H348" s="63" t="str">
        <f>IF($A348="","",SUMPRODUCT((((MOVIMIENTOS!$B$5:$B$1005="SALDO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348)*MOVIMIENTOS!$J$5:$J$1005))</f>
        <v/>
      </c>
      <c r="I348" s="63"/>
      <c r="J348" s="63" t="str">
        <f>IF(AND(MOVIMIENTOS!$A347&lt;&gt;"",COUNTIF(MOVIMIENTOS!$A$5:$A346,MOVIMIENTOS!$A347)=0),COUNT(J$4:J347)+1,"")</f>
        <v/>
      </c>
      <c r="K348" s="66">
        <f>MOVIMIENTOS!$A347</f>
        <v>46244</v>
      </c>
      <c r="L348" s="63"/>
      <c r="M348" s="63"/>
      <c r="N348" s="63"/>
    </row>
    <row r="349" spans="1:14" ht="15" customHeight="1" x14ac:dyDescent="0.2">
      <c r="A349" s="63" t="str">
        <f t="shared" si="10"/>
        <v/>
      </c>
      <c r="B349" s="63" t="str">
        <f>IF($A349="","",SUMPRODUCT((MOVIMIENTOS!$B$5:$B$1005="SALDO INICIAL")*(MOVIMIENTOS!$C$5:$C$1005="A")*(MOVIMIENTOS!$D$5:$D$1005="jabas")*(MOVIMIENTOS!$A$5:$A$1005&lt;&gt;"")*(MOVIMIENTOS!$A$5:$A$1005&lt;=$A349)*MOVIMIENTOS!$E$5:$E$1005)+SUMPRODUCT((MOVIMIENTOS!$B$5:$B$1005="PROCESO")*(MOVIMIENTOS!$C$5:$C$1005="A")*(MOVIMIENTOS!$D$5:$D$1005="jabas")*(MOVIMIENTOS!$A$5:$A$1005&lt;&gt;"")*(MOVIMIENTOS!$A$5:$A$1005&lt;=$A349)*MOVIMIENTOS!$E$5:$E$1005)-SUMPRODUCT((MOVIMIENTOS!$B$5:$B$1005="ENVÍO A SUPESA")*(MOVIMIENTOS!$C$5:$C$1005="A")*(MOVIMIENTOS!$D$5:$D$1005="jabas")*(MOVIMIENTOS!$A$5:$A$1005&lt;&gt;"")*(MOVIMIENTOS!$A$5:$A$1005&lt;=$A349)*MOVIMIENTOS!$E$5:$E$1005)+SUMPRODUCT((MOVIMIENTOS!$B$5:$B$1005="DEVOLUCIÓN")*(MOVIMIENTOS!$C$5:$C$1005="A")*(MOVIMIENTOS!$D$5:$D$1005="jabas")*(MOVIMIENTOS!$A$5:$A$1005&lt;&gt;"")*(MOVIMIENTOS!$A$5:$A$1005&lt;=$A349)*MOVIMIENTOS!$E$5:$E$1005)-SUMPRODUCT((MOVIMIENTOS!$B$5:$B$1005="TRASIEGO")*(MOVIMIENTOS!$C$5:$C$1005="A")*(MOVIMIENTOS!$D$5:$D$1005="jabas")*(MOVIMIENTOS!$A$5:$A$1005&lt;&gt;"")*(MOVIMIENTOS!$A$5:$A$1005&lt;=$A349)*MOVIMIENTOS!$E$5:$E$1005)-SUMPRODUCT((MOVIMIENTOS!$B$5:$B$1005="REGALO")*(MOVIMIENTOS!$C$5:$C$1005="A")*(MOVIMIENTOS!$D$5:$D$1005="jabas")*(MOVIMIENTOS!$A$5:$A$1005&lt;&gt;"")*(MOVIMIENTOS!$A$5:$A$1005&lt;=$A349)*MOVIMIENTOS!$E$5:$E$1005)-SUMPRODUCT((MOVIMIENTOS!$B$5:$B$1005="VENTA")*(MOVIMIENTOS!$C$5:$C$1005="A")*(MOVIMIENTOS!$D$5:$D$1005="jabas")*(MOVIMIENTOS!$A$5:$A$1005&lt;&gt;"")*(MOVIMIENTOS!$A$5:$A$1005&lt;=$A349)*MOVIMIENTOS!$E$5:$E$1005)+SUMPRODUCT((MOVIMIENTOS!$B$5:$B$1005="AJUSTE")*(MOVIMIENTOS!$C$5:$C$1005="A")*(MOVIMIENTOS!$D$5:$D$1005="jabas")*(MOVIMIENTOS!$A$5:$A$1005&lt;&gt;"")*(MOVIMIENTOS!$A$5:$A$1005&lt;=$A349)*MOVIMIENTOS!$E$5:$E$1005))</f>
        <v/>
      </c>
      <c r="C349" s="63" t="str">
        <f>IF($A349="","",SUMPRODUCT((MOVIMIENTOS!$B$5:$B$1005="SALDO INICIAL")*(MOVIMIENTOS!$C$5:$C$1005="P")*(MOVIMIENTOS!$D$5:$D$1005="jabas")*(MOVIMIENTOS!$A$5:$A$1005&lt;&gt;"")*(MOVIMIENTOS!$A$5:$A$1005&lt;=$A349)*MOVIMIENTOS!$E$5:$E$1005)+SUMPRODUCT((MOVIMIENTOS!$B$5:$B$1005="PROCESO")*(MOVIMIENTOS!$C$5:$C$1005="P")*(MOVIMIENTOS!$D$5:$D$1005="jabas")*(MOVIMIENTOS!$A$5:$A$1005&lt;&gt;"")*(MOVIMIENTOS!$A$5:$A$1005&lt;=$A349)*MOVIMIENTOS!$E$5:$E$1005)-SUMPRODUCT((MOVIMIENTOS!$B$5:$B$1005="ENVÍO A SUPESA")*(MOVIMIENTOS!$C$5:$C$1005="P")*(MOVIMIENTOS!$D$5:$D$1005="jabas")*(MOVIMIENTOS!$A$5:$A$1005&lt;&gt;"")*(MOVIMIENTOS!$A$5:$A$1005&lt;=$A349)*MOVIMIENTOS!$E$5:$E$1005)+SUMPRODUCT((MOVIMIENTOS!$B$5:$B$1005="DEVOLUCIÓN")*(MOVIMIENTOS!$C$5:$C$1005="P")*(MOVIMIENTOS!$D$5:$D$1005="jabas")*(MOVIMIENTOS!$A$5:$A$1005&lt;&gt;"")*(MOVIMIENTOS!$A$5:$A$1005&lt;=$A349)*MOVIMIENTOS!$E$5:$E$1005)-SUMPRODUCT((MOVIMIENTOS!$B$5:$B$1005="TRASIEGO")*(MOVIMIENTOS!$C$5:$C$1005="P")*(MOVIMIENTOS!$D$5:$D$1005="jabas")*(MOVIMIENTOS!$A$5:$A$1005&lt;&gt;"")*(MOVIMIENTOS!$A$5:$A$1005&lt;=$A349)*MOVIMIENTOS!$E$5:$E$1005)-SUMPRODUCT((MOVIMIENTOS!$B$5:$B$1005="REGALO")*(MOVIMIENTOS!$C$5:$C$1005="P")*(MOVIMIENTOS!$D$5:$D$1005="jabas")*(MOVIMIENTOS!$A$5:$A$1005&lt;&gt;"")*(MOVIMIENTOS!$A$5:$A$1005&lt;=$A349)*MOVIMIENTOS!$E$5:$E$1005)-SUMPRODUCT((MOVIMIENTOS!$B$5:$B$1005="VENTA")*(MOVIMIENTOS!$C$5:$C$1005="P")*(MOVIMIENTOS!$D$5:$D$1005="jabas")*(MOVIMIENTOS!$A$5:$A$1005&lt;&gt;"")*(MOVIMIENTOS!$A$5:$A$1005&lt;=$A349)*MOVIMIENTOS!$E$5:$E$1005)+SUMPRODUCT((MOVIMIENTOS!$B$5:$B$1005="AJUSTE")*(MOVIMIENTOS!$C$5:$C$1005="P")*(MOVIMIENTOS!$D$5:$D$1005="jabas")*(MOVIMIENTOS!$A$5:$A$1005&lt;&gt;"")*(MOVIMIENTOS!$A$5:$A$1005&lt;=$A349)*MOVIMIENTOS!$E$5:$E$1005))</f>
        <v/>
      </c>
      <c r="D349" s="63" t="str">
        <f>IF($A349="","",SUMPRODUCT((MOVIMIENTOS!$B$5:$B$1005="SALDO INICIAL")*(MOVIMIENTOS!$C$5:$C$1005="C")*(MOVIMIENTOS!$D$5:$D$1005="jabas")*(MOVIMIENTOS!$A$5:$A$1005&lt;&gt;"")*(MOVIMIENTOS!$A$5:$A$1005&lt;=$A349)*MOVIMIENTOS!$E$5:$E$1005)+SUMPRODUCT((MOVIMIENTOS!$B$5:$B$1005="PROCESO")*(MOVIMIENTOS!$C$5:$C$1005="C")*(MOVIMIENTOS!$D$5:$D$1005="jabas")*(MOVIMIENTOS!$A$5:$A$1005&lt;&gt;"")*(MOVIMIENTOS!$A$5:$A$1005&lt;=$A349)*MOVIMIENTOS!$E$5:$E$1005)-SUMPRODUCT((MOVIMIENTOS!$B$5:$B$1005="ENVÍO A SUPESA")*(MOVIMIENTOS!$C$5:$C$1005="C")*(MOVIMIENTOS!$D$5:$D$1005="jabas")*(MOVIMIENTOS!$A$5:$A$1005&lt;&gt;"")*(MOVIMIENTOS!$A$5:$A$1005&lt;=$A349)*MOVIMIENTOS!$E$5:$E$1005)+SUMPRODUCT((MOVIMIENTOS!$B$5:$B$1005="DEVOLUCIÓN")*(MOVIMIENTOS!$C$5:$C$1005="C")*(MOVIMIENTOS!$D$5:$D$1005="jabas")*(MOVIMIENTOS!$A$5:$A$1005&lt;&gt;"")*(MOVIMIENTOS!$A$5:$A$1005&lt;=$A349)*MOVIMIENTOS!$E$5:$E$1005)-SUMPRODUCT((MOVIMIENTOS!$B$5:$B$1005="TRASIEGO")*(MOVIMIENTOS!$C$5:$C$1005="C")*(MOVIMIENTOS!$D$5:$D$1005="jabas")*(MOVIMIENTOS!$A$5:$A$1005&lt;&gt;"")*(MOVIMIENTOS!$A$5:$A$1005&lt;=$A349)*MOVIMIENTOS!$E$5:$E$1005)-SUMPRODUCT((MOVIMIENTOS!$B$5:$B$1005="REGALO")*(MOVIMIENTOS!$C$5:$C$1005="C")*(MOVIMIENTOS!$D$5:$D$1005="jabas")*(MOVIMIENTOS!$A$5:$A$1005&lt;&gt;"")*(MOVIMIENTOS!$A$5:$A$1005&lt;=$A349)*MOVIMIENTOS!$E$5:$E$1005)-SUMPRODUCT((MOVIMIENTOS!$B$5:$B$1005="VENTA")*(MOVIMIENTOS!$C$5:$C$1005="C")*(MOVIMIENTOS!$D$5:$D$1005="jabas")*(MOVIMIENTOS!$A$5:$A$1005&lt;&gt;"")*(MOVIMIENTOS!$A$5:$A$1005&lt;=$A349)*MOVIMIENTOS!$E$5:$E$1005)+SUMPRODUCT((MOVIMIENTOS!$B$5:$B$1005="AJUSTE")*(MOVIMIENTOS!$C$5:$C$1005="C")*(MOVIMIENTOS!$D$5:$D$1005="jabas")*(MOVIMIENTOS!$A$5:$A$1005&lt;&gt;"")*(MOVIMIENTOS!$A$5:$A$1005&lt;=$A349)*MOVIMIENTOS!$E$5:$E$1005))</f>
        <v/>
      </c>
      <c r="E349" s="63" t="str">
        <f>IF($A349="","",SUMPRODUCT((MOVIMIENTOS!$B$5:$B$1005="SALDO INICIAL")*(MOVIMIENTOS!$C$5:$C$1005="M")*(MOVIMIENTOS!$D$5:$D$1005="jabas")*(MOVIMIENTOS!$A$5:$A$1005&lt;&gt;"")*(MOVIMIENTOS!$A$5:$A$1005&lt;=$A349)*MOVIMIENTOS!$E$5:$E$1005)+SUMPRODUCT((MOVIMIENTOS!$B$5:$B$1005="PROCESO")*(MOVIMIENTOS!$C$5:$C$1005="M")*(MOVIMIENTOS!$D$5:$D$1005="jabas")*(MOVIMIENTOS!$A$5:$A$1005&lt;&gt;"")*(MOVIMIENTOS!$A$5:$A$1005&lt;=$A349)*MOVIMIENTOS!$E$5:$E$1005)-SUMPRODUCT((MOVIMIENTOS!$B$5:$B$1005="ENVÍO A SUPESA")*(MOVIMIENTOS!$C$5:$C$1005="M")*(MOVIMIENTOS!$D$5:$D$1005="jabas")*(MOVIMIENTOS!$A$5:$A$1005&lt;&gt;"")*(MOVIMIENTOS!$A$5:$A$1005&lt;=$A349)*MOVIMIENTOS!$E$5:$E$1005)+SUMPRODUCT((MOVIMIENTOS!$B$5:$B$1005="DEVOLUCIÓN")*(MOVIMIENTOS!$C$5:$C$1005="M")*(MOVIMIENTOS!$D$5:$D$1005="jabas")*(MOVIMIENTOS!$A$5:$A$1005&lt;&gt;"")*(MOVIMIENTOS!$A$5:$A$1005&lt;=$A349)*MOVIMIENTOS!$E$5:$E$1005)-SUMPRODUCT((MOVIMIENTOS!$B$5:$B$1005="TRASIEGO")*(MOVIMIENTOS!$C$5:$C$1005="M")*(MOVIMIENTOS!$D$5:$D$1005="jabas")*(MOVIMIENTOS!$A$5:$A$1005&lt;&gt;"")*(MOVIMIENTOS!$A$5:$A$1005&lt;=$A349)*MOVIMIENTOS!$E$5:$E$1005)-SUMPRODUCT((MOVIMIENTOS!$B$5:$B$1005="REGALO")*(MOVIMIENTOS!$C$5:$C$1005="M")*(MOVIMIENTOS!$D$5:$D$1005="jabas")*(MOVIMIENTOS!$A$5:$A$1005&lt;&gt;"")*(MOVIMIENTOS!$A$5:$A$1005&lt;=$A349)*MOVIMIENTOS!$E$5:$E$1005)-SUMPRODUCT((MOVIMIENTOS!$B$5:$B$1005="VENTA")*(MOVIMIENTOS!$C$5:$C$1005="M")*(MOVIMIENTOS!$D$5:$D$1005="jabas")*(MOVIMIENTOS!$A$5:$A$1005&lt;&gt;"")*(MOVIMIENTOS!$A$5:$A$1005&lt;=$A349)*MOVIMIENTOS!$E$5:$E$1005)+SUMPRODUCT((MOVIMIENTOS!$B$5:$B$1005="AJUSTE")*(MOVIMIENTOS!$C$5:$C$1005="M")*(MOVIMIENTOS!$D$5:$D$1005="jabas")*(MOVIMIENTOS!$A$5:$A$1005&lt;&gt;"")*(MOVIMIENTOS!$A$5:$A$1005&lt;=$A349)*MOVIMIENTOS!$E$5:$E$1005))</f>
        <v/>
      </c>
      <c r="F349" s="63" t="str">
        <f>IF($A349="","",SUMPRODUCT((MOVIMIENTOS!$B$5:$B$1005="SALDO INICIAL")*(MOVIMIENTOS!$C$5:$C$1005="Chancho")*(MOVIMIENTOS!$D$5:$D$1005="sacos")*(MOVIMIENTOS!$A$5:$A$1005&lt;&gt;"")*(MOVIMIENTOS!$A$5:$A$1005&lt;=$A349)*MOVIMIENTOS!$E$5:$E$1005)+SUMPRODUCT((MOVIMIENTOS!$B$5:$B$1005="PROCESO")*(MOVIMIENTOS!$C$5:$C$1005="Chancho")*(MOVIMIENTOS!$D$5:$D$1005="sacos")*(MOVIMIENTOS!$A$5:$A$1005&lt;&gt;"")*(MOVIMIENTOS!$A$5:$A$1005&lt;=$A349)*MOVIMIENTOS!$E$5:$E$1005)-SUMPRODUCT((MOVIMIENTOS!$B$5:$B$1005="VENTA CHANCHO")*(MOVIMIENTOS!$C$5:$C$1005="Chancho")*(MOVIMIENTOS!$D$5:$D$1005="sacos")*(MOVIMIENTOS!$A$5:$A$1005&lt;&gt;"")*(MOVIMIENTOS!$A$5:$A$1005&lt;=$A349)*MOVIMIENTOS!$E$5:$E$1005)-SUMPRODUCT((MOVIMIENTOS!$B$5:$B$1005="REGALO")*(MOVIMIENTOS!$C$5:$C$1005="Chancho")*(MOVIMIENTOS!$D$5:$D$1005="sacos")*(MOVIMIENTOS!$A$5:$A$1005&lt;&gt;"")*(MOVIMIENTOS!$A$5:$A$1005&lt;=$A349)*MOVIMIENTOS!$E$5:$E$1005)-SUMPRODUCT((MOVIMIENTOS!$B$5:$B$1005="VENTA")*(MOVIMIENTOS!$C$5:$C$1005="Chancho")*(MOVIMIENTOS!$D$5:$D$1005="sacos")*(MOVIMIENTOS!$A$5:$A$1005&lt;&gt;"")*(MOVIMIENTOS!$A$5:$A$1005&lt;=$A349)*MOVIMIENTOS!$E$5:$E$1005)+SUMPRODUCT((MOVIMIENTOS!$B$5:$B$1005="AJUSTE")*(MOVIMIENTOS!$C$5:$C$1005="Chancho")*(MOVIMIENTOS!$D$5:$D$1005="sacos")*(MOVIMIENTOS!$A$5:$A$1005&lt;&gt;"")*(MOVIMIENTOS!$A$5:$A$1005&lt;=$A349)*MOVIMIENTOS!$E$5:$E$1005))</f>
        <v/>
      </c>
      <c r="G349" s="95" t="str">
        <f t="shared" si="11"/>
        <v/>
      </c>
      <c r="H349" s="63" t="str">
        <f>IF($A349="","",SUMPRODUCT((((MOVIMIENTOS!$B$5:$B$1005="SALDO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349)*MOVIMIENTOS!$J$5:$J$1005))</f>
        <v/>
      </c>
      <c r="I349" s="63"/>
      <c r="J349" s="63" t="str">
        <f>IF(AND(MOVIMIENTOS!$A348&lt;&gt;"",COUNTIF(MOVIMIENTOS!$A$5:$A347,MOVIMIENTOS!$A348)=0),COUNT(J$4:J348)+1,"")</f>
        <v/>
      </c>
      <c r="K349" s="66">
        <f>MOVIMIENTOS!$A348</f>
        <v>46244</v>
      </c>
      <c r="L349" s="63"/>
      <c r="M349" s="63"/>
      <c r="N349" s="63"/>
    </row>
    <row r="350" spans="1:14" ht="15" customHeight="1" x14ac:dyDescent="0.2">
      <c r="A350" s="63" t="str">
        <f t="shared" si="10"/>
        <v/>
      </c>
      <c r="B350" s="63" t="str">
        <f>IF($A350="","",SUMPRODUCT((MOVIMIENTOS!$B$5:$B$1005="SALDO INICIAL")*(MOVIMIENTOS!$C$5:$C$1005="A")*(MOVIMIENTOS!$D$5:$D$1005="jabas")*(MOVIMIENTOS!$A$5:$A$1005&lt;&gt;"")*(MOVIMIENTOS!$A$5:$A$1005&lt;=$A350)*MOVIMIENTOS!$E$5:$E$1005)+SUMPRODUCT((MOVIMIENTOS!$B$5:$B$1005="PROCESO")*(MOVIMIENTOS!$C$5:$C$1005="A")*(MOVIMIENTOS!$D$5:$D$1005="jabas")*(MOVIMIENTOS!$A$5:$A$1005&lt;&gt;"")*(MOVIMIENTOS!$A$5:$A$1005&lt;=$A350)*MOVIMIENTOS!$E$5:$E$1005)-SUMPRODUCT((MOVIMIENTOS!$B$5:$B$1005="ENVÍO A SUPESA")*(MOVIMIENTOS!$C$5:$C$1005="A")*(MOVIMIENTOS!$D$5:$D$1005="jabas")*(MOVIMIENTOS!$A$5:$A$1005&lt;&gt;"")*(MOVIMIENTOS!$A$5:$A$1005&lt;=$A350)*MOVIMIENTOS!$E$5:$E$1005)+SUMPRODUCT((MOVIMIENTOS!$B$5:$B$1005="DEVOLUCIÓN")*(MOVIMIENTOS!$C$5:$C$1005="A")*(MOVIMIENTOS!$D$5:$D$1005="jabas")*(MOVIMIENTOS!$A$5:$A$1005&lt;&gt;"")*(MOVIMIENTOS!$A$5:$A$1005&lt;=$A350)*MOVIMIENTOS!$E$5:$E$1005)-SUMPRODUCT((MOVIMIENTOS!$B$5:$B$1005="TRASIEGO")*(MOVIMIENTOS!$C$5:$C$1005="A")*(MOVIMIENTOS!$D$5:$D$1005="jabas")*(MOVIMIENTOS!$A$5:$A$1005&lt;&gt;"")*(MOVIMIENTOS!$A$5:$A$1005&lt;=$A350)*MOVIMIENTOS!$E$5:$E$1005)-SUMPRODUCT((MOVIMIENTOS!$B$5:$B$1005="REGALO")*(MOVIMIENTOS!$C$5:$C$1005="A")*(MOVIMIENTOS!$D$5:$D$1005="jabas")*(MOVIMIENTOS!$A$5:$A$1005&lt;&gt;"")*(MOVIMIENTOS!$A$5:$A$1005&lt;=$A350)*MOVIMIENTOS!$E$5:$E$1005)-SUMPRODUCT((MOVIMIENTOS!$B$5:$B$1005="VENTA")*(MOVIMIENTOS!$C$5:$C$1005="A")*(MOVIMIENTOS!$D$5:$D$1005="jabas")*(MOVIMIENTOS!$A$5:$A$1005&lt;&gt;"")*(MOVIMIENTOS!$A$5:$A$1005&lt;=$A350)*MOVIMIENTOS!$E$5:$E$1005)+SUMPRODUCT((MOVIMIENTOS!$B$5:$B$1005="AJUSTE")*(MOVIMIENTOS!$C$5:$C$1005="A")*(MOVIMIENTOS!$D$5:$D$1005="jabas")*(MOVIMIENTOS!$A$5:$A$1005&lt;&gt;"")*(MOVIMIENTOS!$A$5:$A$1005&lt;=$A350)*MOVIMIENTOS!$E$5:$E$1005))</f>
        <v/>
      </c>
      <c r="C350" s="63" t="str">
        <f>IF($A350="","",SUMPRODUCT((MOVIMIENTOS!$B$5:$B$1005="SALDO INICIAL")*(MOVIMIENTOS!$C$5:$C$1005="P")*(MOVIMIENTOS!$D$5:$D$1005="jabas")*(MOVIMIENTOS!$A$5:$A$1005&lt;&gt;"")*(MOVIMIENTOS!$A$5:$A$1005&lt;=$A350)*MOVIMIENTOS!$E$5:$E$1005)+SUMPRODUCT((MOVIMIENTOS!$B$5:$B$1005="PROCESO")*(MOVIMIENTOS!$C$5:$C$1005="P")*(MOVIMIENTOS!$D$5:$D$1005="jabas")*(MOVIMIENTOS!$A$5:$A$1005&lt;&gt;"")*(MOVIMIENTOS!$A$5:$A$1005&lt;=$A350)*MOVIMIENTOS!$E$5:$E$1005)-SUMPRODUCT((MOVIMIENTOS!$B$5:$B$1005="ENVÍO A SUPESA")*(MOVIMIENTOS!$C$5:$C$1005="P")*(MOVIMIENTOS!$D$5:$D$1005="jabas")*(MOVIMIENTOS!$A$5:$A$1005&lt;&gt;"")*(MOVIMIENTOS!$A$5:$A$1005&lt;=$A350)*MOVIMIENTOS!$E$5:$E$1005)+SUMPRODUCT((MOVIMIENTOS!$B$5:$B$1005="DEVOLUCIÓN")*(MOVIMIENTOS!$C$5:$C$1005="P")*(MOVIMIENTOS!$D$5:$D$1005="jabas")*(MOVIMIENTOS!$A$5:$A$1005&lt;&gt;"")*(MOVIMIENTOS!$A$5:$A$1005&lt;=$A350)*MOVIMIENTOS!$E$5:$E$1005)-SUMPRODUCT((MOVIMIENTOS!$B$5:$B$1005="TRASIEGO")*(MOVIMIENTOS!$C$5:$C$1005="P")*(MOVIMIENTOS!$D$5:$D$1005="jabas")*(MOVIMIENTOS!$A$5:$A$1005&lt;&gt;"")*(MOVIMIENTOS!$A$5:$A$1005&lt;=$A350)*MOVIMIENTOS!$E$5:$E$1005)-SUMPRODUCT((MOVIMIENTOS!$B$5:$B$1005="REGALO")*(MOVIMIENTOS!$C$5:$C$1005="P")*(MOVIMIENTOS!$D$5:$D$1005="jabas")*(MOVIMIENTOS!$A$5:$A$1005&lt;&gt;"")*(MOVIMIENTOS!$A$5:$A$1005&lt;=$A350)*MOVIMIENTOS!$E$5:$E$1005)-SUMPRODUCT((MOVIMIENTOS!$B$5:$B$1005="VENTA")*(MOVIMIENTOS!$C$5:$C$1005="P")*(MOVIMIENTOS!$D$5:$D$1005="jabas")*(MOVIMIENTOS!$A$5:$A$1005&lt;&gt;"")*(MOVIMIENTOS!$A$5:$A$1005&lt;=$A350)*MOVIMIENTOS!$E$5:$E$1005)+SUMPRODUCT((MOVIMIENTOS!$B$5:$B$1005="AJUSTE")*(MOVIMIENTOS!$C$5:$C$1005="P")*(MOVIMIENTOS!$D$5:$D$1005="jabas")*(MOVIMIENTOS!$A$5:$A$1005&lt;&gt;"")*(MOVIMIENTOS!$A$5:$A$1005&lt;=$A350)*MOVIMIENTOS!$E$5:$E$1005))</f>
        <v/>
      </c>
      <c r="D350" s="63" t="str">
        <f>IF($A350="","",SUMPRODUCT((MOVIMIENTOS!$B$5:$B$1005="SALDO INICIAL")*(MOVIMIENTOS!$C$5:$C$1005="C")*(MOVIMIENTOS!$D$5:$D$1005="jabas")*(MOVIMIENTOS!$A$5:$A$1005&lt;&gt;"")*(MOVIMIENTOS!$A$5:$A$1005&lt;=$A350)*MOVIMIENTOS!$E$5:$E$1005)+SUMPRODUCT((MOVIMIENTOS!$B$5:$B$1005="PROCESO")*(MOVIMIENTOS!$C$5:$C$1005="C")*(MOVIMIENTOS!$D$5:$D$1005="jabas")*(MOVIMIENTOS!$A$5:$A$1005&lt;&gt;"")*(MOVIMIENTOS!$A$5:$A$1005&lt;=$A350)*MOVIMIENTOS!$E$5:$E$1005)-SUMPRODUCT((MOVIMIENTOS!$B$5:$B$1005="ENVÍO A SUPESA")*(MOVIMIENTOS!$C$5:$C$1005="C")*(MOVIMIENTOS!$D$5:$D$1005="jabas")*(MOVIMIENTOS!$A$5:$A$1005&lt;&gt;"")*(MOVIMIENTOS!$A$5:$A$1005&lt;=$A350)*MOVIMIENTOS!$E$5:$E$1005)+SUMPRODUCT((MOVIMIENTOS!$B$5:$B$1005="DEVOLUCIÓN")*(MOVIMIENTOS!$C$5:$C$1005="C")*(MOVIMIENTOS!$D$5:$D$1005="jabas")*(MOVIMIENTOS!$A$5:$A$1005&lt;&gt;"")*(MOVIMIENTOS!$A$5:$A$1005&lt;=$A350)*MOVIMIENTOS!$E$5:$E$1005)-SUMPRODUCT((MOVIMIENTOS!$B$5:$B$1005="TRASIEGO")*(MOVIMIENTOS!$C$5:$C$1005="C")*(MOVIMIENTOS!$D$5:$D$1005="jabas")*(MOVIMIENTOS!$A$5:$A$1005&lt;&gt;"")*(MOVIMIENTOS!$A$5:$A$1005&lt;=$A350)*MOVIMIENTOS!$E$5:$E$1005)-SUMPRODUCT((MOVIMIENTOS!$B$5:$B$1005="REGALO")*(MOVIMIENTOS!$C$5:$C$1005="C")*(MOVIMIENTOS!$D$5:$D$1005="jabas")*(MOVIMIENTOS!$A$5:$A$1005&lt;&gt;"")*(MOVIMIENTOS!$A$5:$A$1005&lt;=$A350)*MOVIMIENTOS!$E$5:$E$1005)-SUMPRODUCT((MOVIMIENTOS!$B$5:$B$1005="VENTA")*(MOVIMIENTOS!$C$5:$C$1005="C")*(MOVIMIENTOS!$D$5:$D$1005="jabas")*(MOVIMIENTOS!$A$5:$A$1005&lt;&gt;"")*(MOVIMIENTOS!$A$5:$A$1005&lt;=$A350)*MOVIMIENTOS!$E$5:$E$1005)+SUMPRODUCT((MOVIMIENTOS!$B$5:$B$1005="AJUSTE")*(MOVIMIENTOS!$C$5:$C$1005="C")*(MOVIMIENTOS!$D$5:$D$1005="jabas")*(MOVIMIENTOS!$A$5:$A$1005&lt;&gt;"")*(MOVIMIENTOS!$A$5:$A$1005&lt;=$A350)*MOVIMIENTOS!$E$5:$E$1005))</f>
        <v/>
      </c>
      <c r="E350" s="63" t="str">
        <f>IF($A350="","",SUMPRODUCT((MOVIMIENTOS!$B$5:$B$1005="SALDO INICIAL")*(MOVIMIENTOS!$C$5:$C$1005="M")*(MOVIMIENTOS!$D$5:$D$1005="jabas")*(MOVIMIENTOS!$A$5:$A$1005&lt;&gt;"")*(MOVIMIENTOS!$A$5:$A$1005&lt;=$A350)*MOVIMIENTOS!$E$5:$E$1005)+SUMPRODUCT((MOVIMIENTOS!$B$5:$B$1005="PROCESO")*(MOVIMIENTOS!$C$5:$C$1005="M")*(MOVIMIENTOS!$D$5:$D$1005="jabas")*(MOVIMIENTOS!$A$5:$A$1005&lt;&gt;"")*(MOVIMIENTOS!$A$5:$A$1005&lt;=$A350)*MOVIMIENTOS!$E$5:$E$1005)-SUMPRODUCT((MOVIMIENTOS!$B$5:$B$1005="ENVÍO A SUPESA")*(MOVIMIENTOS!$C$5:$C$1005="M")*(MOVIMIENTOS!$D$5:$D$1005="jabas")*(MOVIMIENTOS!$A$5:$A$1005&lt;&gt;"")*(MOVIMIENTOS!$A$5:$A$1005&lt;=$A350)*MOVIMIENTOS!$E$5:$E$1005)+SUMPRODUCT((MOVIMIENTOS!$B$5:$B$1005="DEVOLUCIÓN")*(MOVIMIENTOS!$C$5:$C$1005="M")*(MOVIMIENTOS!$D$5:$D$1005="jabas")*(MOVIMIENTOS!$A$5:$A$1005&lt;&gt;"")*(MOVIMIENTOS!$A$5:$A$1005&lt;=$A350)*MOVIMIENTOS!$E$5:$E$1005)-SUMPRODUCT((MOVIMIENTOS!$B$5:$B$1005="TRASIEGO")*(MOVIMIENTOS!$C$5:$C$1005="M")*(MOVIMIENTOS!$D$5:$D$1005="jabas")*(MOVIMIENTOS!$A$5:$A$1005&lt;&gt;"")*(MOVIMIENTOS!$A$5:$A$1005&lt;=$A350)*MOVIMIENTOS!$E$5:$E$1005)-SUMPRODUCT((MOVIMIENTOS!$B$5:$B$1005="REGALO")*(MOVIMIENTOS!$C$5:$C$1005="M")*(MOVIMIENTOS!$D$5:$D$1005="jabas")*(MOVIMIENTOS!$A$5:$A$1005&lt;&gt;"")*(MOVIMIENTOS!$A$5:$A$1005&lt;=$A350)*MOVIMIENTOS!$E$5:$E$1005)-SUMPRODUCT((MOVIMIENTOS!$B$5:$B$1005="VENTA")*(MOVIMIENTOS!$C$5:$C$1005="M")*(MOVIMIENTOS!$D$5:$D$1005="jabas")*(MOVIMIENTOS!$A$5:$A$1005&lt;&gt;"")*(MOVIMIENTOS!$A$5:$A$1005&lt;=$A350)*MOVIMIENTOS!$E$5:$E$1005)+SUMPRODUCT((MOVIMIENTOS!$B$5:$B$1005="AJUSTE")*(MOVIMIENTOS!$C$5:$C$1005="M")*(MOVIMIENTOS!$D$5:$D$1005="jabas")*(MOVIMIENTOS!$A$5:$A$1005&lt;&gt;"")*(MOVIMIENTOS!$A$5:$A$1005&lt;=$A350)*MOVIMIENTOS!$E$5:$E$1005))</f>
        <v/>
      </c>
      <c r="F350" s="63" t="str">
        <f>IF($A350="","",SUMPRODUCT((MOVIMIENTOS!$B$5:$B$1005="SALDO INICIAL")*(MOVIMIENTOS!$C$5:$C$1005="Chancho")*(MOVIMIENTOS!$D$5:$D$1005="sacos")*(MOVIMIENTOS!$A$5:$A$1005&lt;&gt;"")*(MOVIMIENTOS!$A$5:$A$1005&lt;=$A350)*MOVIMIENTOS!$E$5:$E$1005)+SUMPRODUCT((MOVIMIENTOS!$B$5:$B$1005="PROCESO")*(MOVIMIENTOS!$C$5:$C$1005="Chancho")*(MOVIMIENTOS!$D$5:$D$1005="sacos")*(MOVIMIENTOS!$A$5:$A$1005&lt;&gt;"")*(MOVIMIENTOS!$A$5:$A$1005&lt;=$A350)*MOVIMIENTOS!$E$5:$E$1005)-SUMPRODUCT((MOVIMIENTOS!$B$5:$B$1005="VENTA CHANCHO")*(MOVIMIENTOS!$C$5:$C$1005="Chancho")*(MOVIMIENTOS!$D$5:$D$1005="sacos")*(MOVIMIENTOS!$A$5:$A$1005&lt;&gt;"")*(MOVIMIENTOS!$A$5:$A$1005&lt;=$A350)*MOVIMIENTOS!$E$5:$E$1005)-SUMPRODUCT((MOVIMIENTOS!$B$5:$B$1005="REGALO")*(MOVIMIENTOS!$C$5:$C$1005="Chancho")*(MOVIMIENTOS!$D$5:$D$1005="sacos")*(MOVIMIENTOS!$A$5:$A$1005&lt;&gt;"")*(MOVIMIENTOS!$A$5:$A$1005&lt;=$A350)*MOVIMIENTOS!$E$5:$E$1005)-SUMPRODUCT((MOVIMIENTOS!$B$5:$B$1005="VENTA")*(MOVIMIENTOS!$C$5:$C$1005="Chancho")*(MOVIMIENTOS!$D$5:$D$1005="sacos")*(MOVIMIENTOS!$A$5:$A$1005&lt;&gt;"")*(MOVIMIENTOS!$A$5:$A$1005&lt;=$A350)*MOVIMIENTOS!$E$5:$E$1005)+SUMPRODUCT((MOVIMIENTOS!$B$5:$B$1005="AJUSTE")*(MOVIMIENTOS!$C$5:$C$1005="Chancho")*(MOVIMIENTOS!$D$5:$D$1005="sacos")*(MOVIMIENTOS!$A$5:$A$1005&lt;&gt;"")*(MOVIMIENTOS!$A$5:$A$1005&lt;=$A350)*MOVIMIENTOS!$E$5:$E$1005))</f>
        <v/>
      </c>
      <c r="G350" s="95" t="str">
        <f t="shared" si="11"/>
        <v/>
      </c>
      <c r="H350" s="63" t="str">
        <f>IF($A350="","",SUMPRODUCT((((MOVIMIENTOS!$B$5:$B$1005="SALDO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350)*MOVIMIENTOS!$J$5:$J$1005))</f>
        <v/>
      </c>
      <c r="I350" s="63"/>
      <c r="J350" s="63" t="str">
        <f>IF(AND(MOVIMIENTOS!$A349&lt;&gt;"",COUNTIF(MOVIMIENTOS!$A$5:$A348,MOVIMIENTOS!$A349)=0),COUNT(J$4:J349)+1,"")</f>
        <v/>
      </c>
      <c r="K350" s="66">
        <f>MOVIMIENTOS!$A349</f>
        <v>46244</v>
      </c>
      <c r="L350" s="63"/>
      <c r="M350" s="63"/>
      <c r="N350" s="63"/>
    </row>
    <row r="351" spans="1:14" ht="15" customHeight="1" x14ac:dyDescent="0.2">
      <c r="A351" s="63" t="str">
        <f t="shared" si="10"/>
        <v/>
      </c>
      <c r="B351" s="63" t="str">
        <f>IF($A351="","",SUMPRODUCT((MOVIMIENTOS!$B$5:$B$1005="SALDO INICIAL")*(MOVIMIENTOS!$C$5:$C$1005="A")*(MOVIMIENTOS!$D$5:$D$1005="jabas")*(MOVIMIENTOS!$A$5:$A$1005&lt;&gt;"")*(MOVIMIENTOS!$A$5:$A$1005&lt;=$A351)*MOVIMIENTOS!$E$5:$E$1005)+SUMPRODUCT((MOVIMIENTOS!$B$5:$B$1005="PROCESO")*(MOVIMIENTOS!$C$5:$C$1005="A")*(MOVIMIENTOS!$D$5:$D$1005="jabas")*(MOVIMIENTOS!$A$5:$A$1005&lt;&gt;"")*(MOVIMIENTOS!$A$5:$A$1005&lt;=$A351)*MOVIMIENTOS!$E$5:$E$1005)-SUMPRODUCT((MOVIMIENTOS!$B$5:$B$1005="ENVÍO A SUPESA")*(MOVIMIENTOS!$C$5:$C$1005="A")*(MOVIMIENTOS!$D$5:$D$1005="jabas")*(MOVIMIENTOS!$A$5:$A$1005&lt;&gt;"")*(MOVIMIENTOS!$A$5:$A$1005&lt;=$A351)*MOVIMIENTOS!$E$5:$E$1005)+SUMPRODUCT((MOVIMIENTOS!$B$5:$B$1005="DEVOLUCIÓN")*(MOVIMIENTOS!$C$5:$C$1005="A")*(MOVIMIENTOS!$D$5:$D$1005="jabas")*(MOVIMIENTOS!$A$5:$A$1005&lt;&gt;"")*(MOVIMIENTOS!$A$5:$A$1005&lt;=$A351)*MOVIMIENTOS!$E$5:$E$1005)-SUMPRODUCT((MOVIMIENTOS!$B$5:$B$1005="TRASIEGO")*(MOVIMIENTOS!$C$5:$C$1005="A")*(MOVIMIENTOS!$D$5:$D$1005="jabas")*(MOVIMIENTOS!$A$5:$A$1005&lt;&gt;"")*(MOVIMIENTOS!$A$5:$A$1005&lt;=$A351)*MOVIMIENTOS!$E$5:$E$1005)-SUMPRODUCT((MOVIMIENTOS!$B$5:$B$1005="REGALO")*(MOVIMIENTOS!$C$5:$C$1005="A")*(MOVIMIENTOS!$D$5:$D$1005="jabas")*(MOVIMIENTOS!$A$5:$A$1005&lt;&gt;"")*(MOVIMIENTOS!$A$5:$A$1005&lt;=$A351)*MOVIMIENTOS!$E$5:$E$1005)-SUMPRODUCT((MOVIMIENTOS!$B$5:$B$1005="VENTA")*(MOVIMIENTOS!$C$5:$C$1005="A")*(MOVIMIENTOS!$D$5:$D$1005="jabas")*(MOVIMIENTOS!$A$5:$A$1005&lt;&gt;"")*(MOVIMIENTOS!$A$5:$A$1005&lt;=$A351)*MOVIMIENTOS!$E$5:$E$1005)+SUMPRODUCT((MOVIMIENTOS!$B$5:$B$1005="AJUSTE")*(MOVIMIENTOS!$C$5:$C$1005="A")*(MOVIMIENTOS!$D$5:$D$1005="jabas")*(MOVIMIENTOS!$A$5:$A$1005&lt;&gt;"")*(MOVIMIENTOS!$A$5:$A$1005&lt;=$A351)*MOVIMIENTOS!$E$5:$E$1005))</f>
        <v/>
      </c>
      <c r="C351" s="63" t="str">
        <f>IF($A351="","",SUMPRODUCT((MOVIMIENTOS!$B$5:$B$1005="SALDO INICIAL")*(MOVIMIENTOS!$C$5:$C$1005="P")*(MOVIMIENTOS!$D$5:$D$1005="jabas")*(MOVIMIENTOS!$A$5:$A$1005&lt;&gt;"")*(MOVIMIENTOS!$A$5:$A$1005&lt;=$A351)*MOVIMIENTOS!$E$5:$E$1005)+SUMPRODUCT((MOVIMIENTOS!$B$5:$B$1005="PROCESO")*(MOVIMIENTOS!$C$5:$C$1005="P")*(MOVIMIENTOS!$D$5:$D$1005="jabas")*(MOVIMIENTOS!$A$5:$A$1005&lt;&gt;"")*(MOVIMIENTOS!$A$5:$A$1005&lt;=$A351)*MOVIMIENTOS!$E$5:$E$1005)-SUMPRODUCT((MOVIMIENTOS!$B$5:$B$1005="ENVÍO A SUPESA")*(MOVIMIENTOS!$C$5:$C$1005="P")*(MOVIMIENTOS!$D$5:$D$1005="jabas")*(MOVIMIENTOS!$A$5:$A$1005&lt;&gt;"")*(MOVIMIENTOS!$A$5:$A$1005&lt;=$A351)*MOVIMIENTOS!$E$5:$E$1005)+SUMPRODUCT((MOVIMIENTOS!$B$5:$B$1005="DEVOLUCIÓN")*(MOVIMIENTOS!$C$5:$C$1005="P")*(MOVIMIENTOS!$D$5:$D$1005="jabas")*(MOVIMIENTOS!$A$5:$A$1005&lt;&gt;"")*(MOVIMIENTOS!$A$5:$A$1005&lt;=$A351)*MOVIMIENTOS!$E$5:$E$1005)-SUMPRODUCT((MOVIMIENTOS!$B$5:$B$1005="TRASIEGO")*(MOVIMIENTOS!$C$5:$C$1005="P")*(MOVIMIENTOS!$D$5:$D$1005="jabas")*(MOVIMIENTOS!$A$5:$A$1005&lt;&gt;"")*(MOVIMIENTOS!$A$5:$A$1005&lt;=$A351)*MOVIMIENTOS!$E$5:$E$1005)-SUMPRODUCT((MOVIMIENTOS!$B$5:$B$1005="REGALO")*(MOVIMIENTOS!$C$5:$C$1005="P")*(MOVIMIENTOS!$D$5:$D$1005="jabas")*(MOVIMIENTOS!$A$5:$A$1005&lt;&gt;"")*(MOVIMIENTOS!$A$5:$A$1005&lt;=$A351)*MOVIMIENTOS!$E$5:$E$1005)-SUMPRODUCT((MOVIMIENTOS!$B$5:$B$1005="VENTA")*(MOVIMIENTOS!$C$5:$C$1005="P")*(MOVIMIENTOS!$D$5:$D$1005="jabas")*(MOVIMIENTOS!$A$5:$A$1005&lt;&gt;"")*(MOVIMIENTOS!$A$5:$A$1005&lt;=$A351)*MOVIMIENTOS!$E$5:$E$1005)+SUMPRODUCT((MOVIMIENTOS!$B$5:$B$1005="AJUSTE")*(MOVIMIENTOS!$C$5:$C$1005="P")*(MOVIMIENTOS!$D$5:$D$1005="jabas")*(MOVIMIENTOS!$A$5:$A$1005&lt;&gt;"")*(MOVIMIENTOS!$A$5:$A$1005&lt;=$A351)*MOVIMIENTOS!$E$5:$E$1005))</f>
        <v/>
      </c>
      <c r="D351" s="63" t="str">
        <f>IF($A351="","",SUMPRODUCT((MOVIMIENTOS!$B$5:$B$1005="SALDO INICIAL")*(MOVIMIENTOS!$C$5:$C$1005="C")*(MOVIMIENTOS!$D$5:$D$1005="jabas")*(MOVIMIENTOS!$A$5:$A$1005&lt;&gt;"")*(MOVIMIENTOS!$A$5:$A$1005&lt;=$A351)*MOVIMIENTOS!$E$5:$E$1005)+SUMPRODUCT((MOVIMIENTOS!$B$5:$B$1005="PROCESO")*(MOVIMIENTOS!$C$5:$C$1005="C")*(MOVIMIENTOS!$D$5:$D$1005="jabas")*(MOVIMIENTOS!$A$5:$A$1005&lt;&gt;"")*(MOVIMIENTOS!$A$5:$A$1005&lt;=$A351)*MOVIMIENTOS!$E$5:$E$1005)-SUMPRODUCT((MOVIMIENTOS!$B$5:$B$1005="ENVÍO A SUPESA")*(MOVIMIENTOS!$C$5:$C$1005="C")*(MOVIMIENTOS!$D$5:$D$1005="jabas")*(MOVIMIENTOS!$A$5:$A$1005&lt;&gt;"")*(MOVIMIENTOS!$A$5:$A$1005&lt;=$A351)*MOVIMIENTOS!$E$5:$E$1005)+SUMPRODUCT((MOVIMIENTOS!$B$5:$B$1005="DEVOLUCIÓN")*(MOVIMIENTOS!$C$5:$C$1005="C")*(MOVIMIENTOS!$D$5:$D$1005="jabas")*(MOVIMIENTOS!$A$5:$A$1005&lt;&gt;"")*(MOVIMIENTOS!$A$5:$A$1005&lt;=$A351)*MOVIMIENTOS!$E$5:$E$1005)-SUMPRODUCT((MOVIMIENTOS!$B$5:$B$1005="TRASIEGO")*(MOVIMIENTOS!$C$5:$C$1005="C")*(MOVIMIENTOS!$D$5:$D$1005="jabas")*(MOVIMIENTOS!$A$5:$A$1005&lt;&gt;"")*(MOVIMIENTOS!$A$5:$A$1005&lt;=$A351)*MOVIMIENTOS!$E$5:$E$1005)-SUMPRODUCT((MOVIMIENTOS!$B$5:$B$1005="REGALO")*(MOVIMIENTOS!$C$5:$C$1005="C")*(MOVIMIENTOS!$D$5:$D$1005="jabas")*(MOVIMIENTOS!$A$5:$A$1005&lt;&gt;"")*(MOVIMIENTOS!$A$5:$A$1005&lt;=$A351)*MOVIMIENTOS!$E$5:$E$1005)-SUMPRODUCT((MOVIMIENTOS!$B$5:$B$1005="VENTA")*(MOVIMIENTOS!$C$5:$C$1005="C")*(MOVIMIENTOS!$D$5:$D$1005="jabas")*(MOVIMIENTOS!$A$5:$A$1005&lt;&gt;"")*(MOVIMIENTOS!$A$5:$A$1005&lt;=$A351)*MOVIMIENTOS!$E$5:$E$1005)+SUMPRODUCT((MOVIMIENTOS!$B$5:$B$1005="AJUSTE")*(MOVIMIENTOS!$C$5:$C$1005="C")*(MOVIMIENTOS!$D$5:$D$1005="jabas")*(MOVIMIENTOS!$A$5:$A$1005&lt;&gt;"")*(MOVIMIENTOS!$A$5:$A$1005&lt;=$A351)*MOVIMIENTOS!$E$5:$E$1005))</f>
        <v/>
      </c>
      <c r="E351" s="63" t="str">
        <f>IF($A351="","",SUMPRODUCT((MOVIMIENTOS!$B$5:$B$1005="SALDO INICIAL")*(MOVIMIENTOS!$C$5:$C$1005="M")*(MOVIMIENTOS!$D$5:$D$1005="jabas")*(MOVIMIENTOS!$A$5:$A$1005&lt;&gt;"")*(MOVIMIENTOS!$A$5:$A$1005&lt;=$A351)*MOVIMIENTOS!$E$5:$E$1005)+SUMPRODUCT((MOVIMIENTOS!$B$5:$B$1005="PROCESO")*(MOVIMIENTOS!$C$5:$C$1005="M")*(MOVIMIENTOS!$D$5:$D$1005="jabas")*(MOVIMIENTOS!$A$5:$A$1005&lt;&gt;"")*(MOVIMIENTOS!$A$5:$A$1005&lt;=$A351)*MOVIMIENTOS!$E$5:$E$1005)-SUMPRODUCT((MOVIMIENTOS!$B$5:$B$1005="ENVÍO A SUPESA")*(MOVIMIENTOS!$C$5:$C$1005="M")*(MOVIMIENTOS!$D$5:$D$1005="jabas")*(MOVIMIENTOS!$A$5:$A$1005&lt;&gt;"")*(MOVIMIENTOS!$A$5:$A$1005&lt;=$A351)*MOVIMIENTOS!$E$5:$E$1005)+SUMPRODUCT((MOVIMIENTOS!$B$5:$B$1005="DEVOLUCIÓN")*(MOVIMIENTOS!$C$5:$C$1005="M")*(MOVIMIENTOS!$D$5:$D$1005="jabas")*(MOVIMIENTOS!$A$5:$A$1005&lt;&gt;"")*(MOVIMIENTOS!$A$5:$A$1005&lt;=$A351)*MOVIMIENTOS!$E$5:$E$1005)-SUMPRODUCT((MOVIMIENTOS!$B$5:$B$1005="TRASIEGO")*(MOVIMIENTOS!$C$5:$C$1005="M")*(MOVIMIENTOS!$D$5:$D$1005="jabas")*(MOVIMIENTOS!$A$5:$A$1005&lt;&gt;"")*(MOVIMIENTOS!$A$5:$A$1005&lt;=$A351)*MOVIMIENTOS!$E$5:$E$1005)-SUMPRODUCT((MOVIMIENTOS!$B$5:$B$1005="REGALO")*(MOVIMIENTOS!$C$5:$C$1005="M")*(MOVIMIENTOS!$D$5:$D$1005="jabas")*(MOVIMIENTOS!$A$5:$A$1005&lt;&gt;"")*(MOVIMIENTOS!$A$5:$A$1005&lt;=$A351)*MOVIMIENTOS!$E$5:$E$1005)-SUMPRODUCT((MOVIMIENTOS!$B$5:$B$1005="VENTA")*(MOVIMIENTOS!$C$5:$C$1005="M")*(MOVIMIENTOS!$D$5:$D$1005="jabas")*(MOVIMIENTOS!$A$5:$A$1005&lt;&gt;"")*(MOVIMIENTOS!$A$5:$A$1005&lt;=$A351)*MOVIMIENTOS!$E$5:$E$1005)+SUMPRODUCT((MOVIMIENTOS!$B$5:$B$1005="AJUSTE")*(MOVIMIENTOS!$C$5:$C$1005="M")*(MOVIMIENTOS!$D$5:$D$1005="jabas")*(MOVIMIENTOS!$A$5:$A$1005&lt;&gt;"")*(MOVIMIENTOS!$A$5:$A$1005&lt;=$A351)*MOVIMIENTOS!$E$5:$E$1005))</f>
        <v/>
      </c>
      <c r="F351" s="63" t="str">
        <f>IF($A351="","",SUMPRODUCT((MOVIMIENTOS!$B$5:$B$1005="SALDO INICIAL")*(MOVIMIENTOS!$C$5:$C$1005="Chancho")*(MOVIMIENTOS!$D$5:$D$1005="sacos")*(MOVIMIENTOS!$A$5:$A$1005&lt;&gt;"")*(MOVIMIENTOS!$A$5:$A$1005&lt;=$A351)*MOVIMIENTOS!$E$5:$E$1005)+SUMPRODUCT((MOVIMIENTOS!$B$5:$B$1005="PROCESO")*(MOVIMIENTOS!$C$5:$C$1005="Chancho")*(MOVIMIENTOS!$D$5:$D$1005="sacos")*(MOVIMIENTOS!$A$5:$A$1005&lt;&gt;"")*(MOVIMIENTOS!$A$5:$A$1005&lt;=$A351)*MOVIMIENTOS!$E$5:$E$1005)-SUMPRODUCT((MOVIMIENTOS!$B$5:$B$1005="VENTA CHANCHO")*(MOVIMIENTOS!$C$5:$C$1005="Chancho")*(MOVIMIENTOS!$D$5:$D$1005="sacos")*(MOVIMIENTOS!$A$5:$A$1005&lt;&gt;"")*(MOVIMIENTOS!$A$5:$A$1005&lt;=$A351)*MOVIMIENTOS!$E$5:$E$1005)-SUMPRODUCT((MOVIMIENTOS!$B$5:$B$1005="REGALO")*(MOVIMIENTOS!$C$5:$C$1005="Chancho")*(MOVIMIENTOS!$D$5:$D$1005="sacos")*(MOVIMIENTOS!$A$5:$A$1005&lt;&gt;"")*(MOVIMIENTOS!$A$5:$A$1005&lt;=$A351)*MOVIMIENTOS!$E$5:$E$1005)-SUMPRODUCT((MOVIMIENTOS!$B$5:$B$1005="VENTA")*(MOVIMIENTOS!$C$5:$C$1005="Chancho")*(MOVIMIENTOS!$D$5:$D$1005="sacos")*(MOVIMIENTOS!$A$5:$A$1005&lt;&gt;"")*(MOVIMIENTOS!$A$5:$A$1005&lt;=$A351)*MOVIMIENTOS!$E$5:$E$1005)+SUMPRODUCT((MOVIMIENTOS!$B$5:$B$1005="AJUSTE")*(MOVIMIENTOS!$C$5:$C$1005="Chancho")*(MOVIMIENTOS!$D$5:$D$1005="sacos")*(MOVIMIENTOS!$A$5:$A$1005&lt;&gt;"")*(MOVIMIENTOS!$A$5:$A$1005&lt;=$A351)*MOVIMIENTOS!$E$5:$E$1005))</f>
        <v/>
      </c>
      <c r="G351" s="95" t="str">
        <f t="shared" si="11"/>
        <v/>
      </c>
      <c r="H351" s="63" t="str">
        <f>IF($A351="","",SUMPRODUCT((((MOVIMIENTOS!$B$5:$B$1005="SALDO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351)*MOVIMIENTOS!$J$5:$J$1005))</f>
        <v/>
      </c>
      <c r="I351" s="63"/>
      <c r="J351" s="63" t="str">
        <f>IF(AND(MOVIMIENTOS!$A350&lt;&gt;"",COUNTIF(MOVIMIENTOS!$A$5:$A349,MOVIMIENTOS!$A350)=0),COUNT(J$4:J350)+1,"")</f>
        <v/>
      </c>
      <c r="K351" s="66">
        <f>MOVIMIENTOS!$A350</f>
        <v>46244</v>
      </c>
      <c r="L351" s="63"/>
      <c r="M351" s="63"/>
      <c r="N351" s="63"/>
    </row>
    <row r="352" spans="1:14" ht="15" customHeight="1" x14ac:dyDescent="0.2">
      <c r="A352" s="63" t="str">
        <f t="shared" si="10"/>
        <v/>
      </c>
      <c r="B352" s="63" t="str">
        <f>IF($A352="","",SUMPRODUCT((MOVIMIENTOS!$B$5:$B$1005="SALDO INICIAL")*(MOVIMIENTOS!$C$5:$C$1005="A")*(MOVIMIENTOS!$D$5:$D$1005="jabas")*(MOVIMIENTOS!$A$5:$A$1005&lt;&gt;"")*(MOVIMIENTOS!$A$5:$A$1005&lt;=$A352)*MOVIMIENTOS!$E$5:$E$1005)+SUMPRODUCT((MOVIMIENTOS!$B$5:$B$1005="PROCESO")*(MOVIMIENTOS!$C$5:$C$1005="A")*(MOVIMIENTOS!$D$5:$D$1005="jabas")*(MOVIMIENTOS!$A$5:$A$1005&lt;&gt;"")*(MOVIMIENTOS!$A$5:$A$1005&lt;=$A352)*MOVIMIENTOS!$E$5:$E$1005)-SUMPRODUCT((MOVIMIENTOS!$B$5:$B$1005="ENVÍO A SUPESA")*(MOVIMIENTOS!$C$5:$C$1005="A")*(MOVIMIENTOS!$D$5:$D$1005="jabas")*(MOVIMIENTOS!$A$5:$A$1005&lt;&gt;"")*(MOVIMIENTOS!$A$5:$A$1005&lt;=$A352)*MOVIMIENTOS!$E$5:$E$1005)+SUMPRODUCT((MOVIMIENTOS!$B$5:$B$1005="DEVOLUCIÓN")*(MOVIMIENTOS!$C$5:$C$1005="A")*(MOVIMIENTOS!$D$5:$D$1005="jabas")*(MOVIMIENTOS!$A$5:$A$1005&lt;&gt;"")*(MOVIMIENTOS!$A$5:$A$1005&lt;=$A352)*MOVIMIENTOS!$E$5:$E$1005)-SUMPRODUCT((MOVIMIENTOS!$B$5:$B$1005="TRASIEGO")*(MOVIMIENTOS!$C$5:$C$1005="A")*(MOVIMIENTOS!$D$5:$D$1005="jabas")*(MOVIMIENTOS!$A$5:$A$1005&lt;&gt;"")*(MOVIMIENTOS!$A$5:$A$1005&lt;=$A352)*MOVIMIENTOS!$E$5:$E$1005)-SUMPRODUCT((MOVIMIENTOS!$B$5:$B$1005="REGALO")*(MOVIMIENTOS!$C$5:$C$1005="A")*(MOVIMIENTOS!$D$5:$D$1005="jabas")*(MOVIMIENTOS!$A$5:$A$1005&lt;&gt;"")*(MOVIMIENTOS!$A$5:$A$1005&lt;=$A352)*MOVIMIENTOS!$E$5:$E$1005)-SUMPRODUCT((MOVIMIENTOS!$B$5:$B$1005="VENTA")*(MOVIMIENTOS!$C$5:$C$1005="A")*(MOVIMIENTOS!$D$5:$D$1005="jabas")*(MOVIMIENTOS!$A$5:$A$1005&lt;&gt;"")*(MOVIMIENTOS!$A$5:$A$1005&lt;=$A352)*MOVIMIENTOS!$E$5:$E$1005)+SUMPRODUCT((MOVIMIENTOS!$B$5:$B$1005="AJUSTE")*(MOVIMIENTOS!$C$5:$C$1005="A")*(MOVIMIENTOS!$D$5:$D$1005="jabas")*(MOVIMIENTOS!$A$5:$A$1005&lt;&gt;"")*(MOVIMIENTOS!$A$5:$A$1005&lt;=$A352)*MOVIMIENTOS!$E$5:$E$1005))</f>
        <v/>
      </c>
      <c r="C352" s="63" t="str">
        <f>IF($A352="","",SUMPRODUCT((MOVIMIENTOS!$B$5:$B$1005="SALDO INICIAL")*(MOVIMIENTOS!$C$5:$C$1005="P")*(MOVIMIENTOS!$D$5:$D$1005="jabas")*(MOVIMIENTOS!$A$5:$A$1005&lt;&gt;"")*(MOVIMIENTOS!$A$5:$A$1005&lt;=$A352)*MOVIMIENTOS!$E$5:$E$1005)+SUMPRODUCT((MOVIMIENTOS!$B$5:$B$1005="PROCESO")*(MOVIMIENTOS!$C$5:$C$1005="P")*(MOVIMIENTOS!$D$5:$D$1005="jabas")*(MOVIMIENTOS!$A$5:$A$1005&lt;&gt;"")*(MOVIMIENTOS!$A$5:$A$1005&lt;=$A352)*MOVIMIENTOS!$E$5:$E$1005)-SUMPRODUCT((MOVIMIENTOS!$B$5:$B$1005="ENVÍO A SUPESA")*(MOVIMIENTOS!$C$5:$C$1005="P")*(MOVIMIENTOS!$D$5:$D$1005="jabas")*(MOVIMIENTOS!$A$5:$A$1005&lt;&gt;"")*(MOVIMIENTOS!$A$5:$A$1005&lt;=$A352)*MOVIMIENTOS!$E$5:$E$1005)+SUMPRODUCT((MOVIMIENTOS!$B$5:$B$1005="DEVOLUCIÓN")*(MOVIMIENTOS!$C$5:$C$1005="P")*(MOVIMIENTOS!$D$5:$D$1005="jabas")*(MOVIMIENTOS!$A$5:$A$1005&lt;&gt;"")*(MOVIMIENTOS!$A$5:$A$1005&lt;=$A352)*MOVIMIENTOS!$E$5:$E$1005)-SUMPRODUCT((MOVIMIENTOS!$B$5:$B$1005="TRASIEGO")*(MOVIMIENTOS!$C$5:$C$1005="P")*(MOVIMIENTOS!$D$5:$D$1005="jabas")*(MOVIMIENTOS!$A$5:$A$1005&lt;&gt;"")*(MOVIMIENTOS!$A$5:$A$1005&lt;=$A352)*MOVIMIENTOS!$E$5:$E$1005)-SUMPRODUCT((MOVIMIENTOS!$B$5:$B$1005="REGALO")*(MOVIMIENTOS!$C$5:$C$1005="P")*(MOVIMIENTOS!$D$5:$D$1005="jabas")*(MOVIMIENTOS!$A$5:$A$1005&lt;&gt;"")*(MOVIMIENTOS!$A$5:$A$1005&lt;=$A352)*MOVIMIENTOS!$E$5:$E$1005)-SUMPRODUCT((MOVIMIENTOS!$B$5:$B$1005="VENTA")*(MOVIMIENTOS!$C$5:$C$1005="P")*(MOVIMIENTOS!$D$5:$D$1005="jabas")*(MOVIMIENTOS!$A$5:$A$1005&lt;&gt;"")*(MOVIMIENTOS!$A$5:$A$1005&lt;=$A352)*MOVIMIENTOS!$E$5:$E$1005)+SUMPRODUCT((MOVIMIENTOS!$B$5:$B$1005="AJUSTE")*(MOVIMIENTOS!$C$5:$C$1005="P")*(MOVIMIENTOS!$D$5:$D$1005="jabas")*(MOVIMIENTOS!$A$5:$A$1005&lt;&gt;"")*(MOVIMIENTOS!$A$5:$A$1005&lt;=$A352)*MOVIMIENTOS!$E$5:$E$1005))</f>
        <v/>
      </c>
      <c r="D352" s="63" t="str">
        <f>IF($A352="","",SUMPRODUCT((MOVIMIENTOS!$B$5:$B$1005="SALDO INICIAL")*(MOVIMIENTOS!$C$5:$C$1005="C")*(MOVIMIENTOS!$D$5:$D$1005="jabas")*(MOVIMIENTOS!$A$5:$A$1005&lt;&gt;"")*(MOVIMIENTOS!$A$5:$A$1005&lt;=$A352)*MOVIMIENTOS!$E$5:$E$1005)+SUMPRODUCT((MOVIMIENTOS!$B$5:$B$1005="PROCESO")*(MOVIMIENTOS!$C$5:$C$1005="C")*(MOVIMIENTOS!$D$5:$D$1005="jabas")*(MOVIMIENTOS!$A$5:$A$1005&lt;&gt;"")*(MOVIMIENTOS!$A$5:$A$1005&lt;=$A352)*MOVIMIENTOS!$E$5:$E$1005)-SUMPRODUCT((MOVIMIENTOS!$B$5:$B$1005="ENVÍO A SUPESA")*(MOVIMIENTOS!$C$5:$C$1005="C")*(MOVIMIENTOS!$D$5:$D$1005="jabas")*(MOVIMIENTOS!$A$5:$A$1005&lt;&gt;"")*(MOVIMIENTOS!$A$5:$A$1005&lt;=$A352)*MOVIMIENTOS!$E$5:$E$1005)+SUMPRODUCT((MOVIMIENTOS!$B$5:$B$1005="DEVOLUCIÓN")*(MOVIMIENTOS!$C$5:$C$1005="C")*(MOVIMIENTOS!$D$5:$D$1005="jabas")*(MOVIMIENTOS!$A$5:$A$1005&lt;&gt;"")*(MOVIMIENTOS!$A$5:$A$1005&lt;=$A352)*MOVIMIENTOS!$E$5:$E$1005)-SUMPRODUCT((MOVIMIENTOS!$B$5:$B$1005="TRASIEGO")*(MOVIMIENTOS!$C$5:$C$1005="C")*(MOVIMIENTOS!$D$5:$D$1005="jabas")*(MOVIMIENTOS!$A$5:$A$1005&lt;&gt;"")*(MOVIMIENTOS!$A$5:$A$1005&lt;=$A352)*MOVIMIENTOS!$E$5:$E$1005)-SUMPRODUCT((MOVIMIENTOS!$B$5:$B$1005="REGALO")*(MOVIMIENTOS!$C$5:$C$1005="C")*(MOVIMIENTOS!$D$5:$D$1005="jabas")*(MOVIMIENTOS!$A$5:$A$1005&lt;&gt;"")*(MOVIMIENTOS!$A$5:$A$1005&lt;=$A352)*MOVIMIENTOS!$E$5:$E$1005)-SUMPRODUCT((MOVIMIENTOS!$B$5:$B$1005="VENTA")*(MOVIMIENTOS!$C$5:$C$1005="C")*(MOVIMIENTOS!$D$5:$D$1005="jabas")*(MOVIMIENTOS!$A$5:$A$1005&lt;&gt;"")*(MOVIMIENTOS!$A$5:$A$1005&lt;=$A352)*MOVIMIENTOS!$E$5:$E$1005)+SUMPRODUCT((MOVIMIENTOS!$B$5:$B$1005="AJUSTE")*(MOVIMIENTOS!$C$5:$C$1005="C")*(MOVIMIENTOS!$D$5:$D$1005="jabas")*(MOVIMIENTOS!$A$5:$A$1005&lt;&gt;"")*(MOVIMIENTOS!$A$5:$A$1005&lt;=$A352)*MOVIMIENTOS!$E$5:$E$1005))</f>
        <v/>
      </c>
      <c r="E352" s="63" t="str">
        <f>IF($A352="","",SUMPRODUCT((MOVIMIENTOS!$B$5:$B$1005="SALDO INICIAL")*(MOVIMIENTOS!$C$5:$C$1005="M")*(MOVIMIENTOS!$D$5:$D$1005="jabas")*(MOVIMIENTOS!$A$5:$A$1005&lt;&gt;"")*(MOVIMIENTOS!$A$5:$A$1005&lt;=$A352)*MOVIMIENTOS!$E$5:$E$1005)+SUMPRODUCT((MOVIMIENTOS!$B$5:$B$1005="PROCESO")*(MOVIMIENTOS!$C$5:$C$1005="M")*(MOVIMIENTOS!$D$5:$D$1005="jabas")*(MOVIMIENTOS!$A$5:$A$1005&lt;&gt;"")*(MOVIMIENTOS!$A$5:$A$1005&lt;=$A352)*MOVIMIENTOS!$E$5:$E$1005)-SUMPRODUCT((MOVIMIENTOS!$B$5:$B$1005="ENVÍO A SUPESA")*(MOVIMIENTOS!$C$5:$C$1005="M")*(MOVIMIENTOS!$D$5:$D$1005="jabas")*(MOVIMIENTOS!$A$5:$A$1005&lt;&gt;"")*(MOVIMIENTOS!$A$5:$A$1005&lt;=$A352)*MOVIMIENTOS!$E$5:$E$1005)+SUMPRODUCT((MOVIMIENTOS!$B$5:$B$1005="DEVOLUCIÓN")*(MOVIMIENTOS!$C$5:$C$1005="M")*(MOVIMIENTOS!$D$5:$D$1005="jabas")*(MOVIMIENTOS!$A$5:$A$1005&lt;&gt;"")*(MOVIMIENTOS!$A$5:$A$1005&lt;=$A352)*MOVIMIENTOS!$E$5:$E$1005)-SUMPRODUCT((MOVIMIENTOS!$B$5:$B$1005="TRASIEGO")*(MOVIMIENTOS!$C$5:$C$1005="M")*(MOVIMIENTOS!$D$5:$D$1005="jabas")*(MOVIMIENTOS!$A$5:$A$1005&lt;&gt;"")*(MOVIMIENTOS!$A$5:$A$1005&lt;=$A352)*MOVIMIENTOS!$E$5:$E$1005)-SUMPRODUCT((MOVIMIENTOS!$B$5:$B$1005="REGALO")*(MOVIMIENTOS!$C$5:$C$1005="M")*(MOVIMIENTOS!$D$5:$D$1005="jabas")*(MOVIMIENTOS!$A$5:$A$1005&lt;&gt;"")*(MOVIMIENTOS!$A$5:$A$1005&lt;=$A352)*MOVIMIENTOS!$E$5:$E$1005)-SUMPRODUCT((MOVIMIENTOS!$B$5:$B$1005="VENTA")*(MOVIMIENTOS!$C$5:$C$1005="M")*(MOVIMIENTOS!$D$5:$D$1005="jabas")*(MOVIMIENTOS!$A$5:$A$1005&lt;&gt;"")*(MOVIMIENTOS!$A$5:$A$1005&lt;=$A352)*MOVIMIENTOS!$E$5:$E$1005)+SUMPRODUCT((MOVIMIENTOS!$B$5:$B$1005="AJUSTE")*(MOVIMIENTOS!$C$5:$C$1005="M")*(MOVIMIENTOS!$D$5:$D$1005="jabas")*(MOVIMIENTOS!$A$5:$A$1005&lt;&gt;"")*(MOVIMIENTOS!$A$5:$A$1005&lt;=$A352)*MOVIMIENTOS!$E$5:$E$1005))</f>
        <v/>
      </c>
      <c r="F352" s="63" t="str">
        <f>IF($A352="","",SUMPRODUCT((MOVIMIENTOS!$B$5:$B$1005="SALDO INICIAL")*(MOVIMIENTOS!$C$5:$C$1005="Chancho")*(MOVIMIENTOS!$D$5:$D$1005="sacos")*(MOVIMIENTOS!$A$5:$A$1005&lt;&gt;"")*(MOVIMIENTOS!$A$5:$A$1005&lt;=$A352)*MOVIMIENTOS!$E$5:$E$1005)+SUMPRODUCT((MOVIMIENTOS!$B$5:$B$1005="PROCESO")*(MOVIMIENTOS!$C$5:$C$1005="Chancho")*(MOVIMIENTOS!$D$5:$D$1005="sacos")*(MOVIMIENTOS!$A$5:$A$1005&lt;&gt;"")*(MOVIMIENTOS!$A$5:$A$1005&lt;=$A352)*MOVIMIENTOS!$E$5:$E$1005)-SUMPRODUCT((MOVIMIENTOS!$B$5:$B$1005="VENTA CHANCHO")*(MOVIMIENTOS!$C$5:$C$1005="Chancho")*(MOVIMIENTOS!$D$5:$D$1005="sacos")*(MOVIMIENTOS!$A$5:$A$1005&lt;&gt;"")*(MOVIMIENTOS!$A$5:$A$1005&lt;=$A352)*MOVIMIENTOS!$E$5:$E$1005)-SUMPRODUCT((MOVIMIENTOS!$B$5:$B$1005="REGALO")*(MOVIMIENTOS!$C$5:$C$1005="Chancho")*(MOVIMIENTOS!$D$5:$D$1005="sacos")*(MOVIMIENTOS!$A$5:$A$1005&lt;&gt;"")*(MOVIMIENTOS!$A$5:$A$1005&lt;=$A352)*MOVIMIENTOS!$E$5:$E$1005)-SUMPRODUCT((MOVIMIENTOS!$B$5:$B$1005="VENTA")*(MOVIMIENTOS!$C$5:$C$1005="Chancho")*(MOVIMIENTOS!$D$5:$D$1005="sacos")*(MOVIMIENTOS!$A$5:$A$1005&lt;&gt;"")*(MOVIMIENTOS!$A$5:$A$1005&lt;=$A352)*MOVIMIENTOS!$E$5:$E$1005)+SUMPRODUCT((MOVIMIENTOS!$B$5:$B$1005="AJUSTE")*(MOVIMIENTOS!$C$5:$C$1005="Chancho")*(MOVIMIENTOS!$D$5:$D$1005="sacos")*(MOVIMIENTOS!$A$5:$A$1005&lt;&gt;"")*(MOVIMIENTOS!$A$5:$A$1005&lt;=$A352)*MOVIMIENTOS!$E$5:$E$1005))</f>
        <v/>
      </c>
      <c r="G352" s="95" t="str">
        <f t="shared" si="11"/>
        <v/>
      </c>
      <c r="H352" s="63" t="str">
        <f>IF($A352="","",SUMPRODUCT((((MOVIMIENTOS!$B$5:$B$1005="SALDO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352)*MOVIMIENTOS!$J$5:$J$1005))</f>
        <v/>
      </c>
      <c r="I352" s="63"/>
      <c r="J352" s="63" t="str">
        <f>IF(AND(MOVIMIENTOS!$A351&lt;&gt;"",COUNTIF(MOVIMIENTOS!$A$5:$A350,MOVIMIENTOS!$A351)=0),COUNT(J$4:J351)+1,"")</f>
        <v/>
      </c>
      <c r="K352" s="66">
        <f>MOVIMIENTOS!$A351</f>
        <v>46244</v>
      </c>
      <c r="L352" s="63"/>
      <c r="M352" s="63"/>
      <c r="N352" s="63"/>
    </row>
    <row r="353" spans="1:14" ht="15" customHeight="1" x14ac:dyDescent="0.2">
      <c r="A353" s="63" t="str">
        <f t="shared" si="10"/>
        <v/>
      </c>
      <c r="B353" s="63" t="str">
        <f>IF($A353="","",SUMPRODUCT((MOVIMIENTOS!$B$5:$B$1005="SALDO INICIAL")*(MOVIMIENTOS!$C$5:$C$1005="A")*(MOVIMIENTOS!$D$5:$D$1005="jabas")*(MOVIMIENTOS!$A$5:$A$1005&lt;&gt;"")*(MOVIMIENTOS!$A$5:$A$1005&lt;=$A353)*MOVIMIENTOS!$E$5:$E$1005)+SUMPRODUCT((MOVIMIENTOS!$B$5:$B$1005="PROCESO")*(MOVIMIENTOS!$C$5:$C$1005="A")*(MOVIMIENTOS!$D$5:$D$1005="jabas")*(MOVIMIENTOS!$A$5:$A$1005&lt;&gt;"")*(MOVIMIENTOS!$A$5:$A$1005&lt;=$A353)*MOVIMIENTOS!$E$5:$E$1005)-SUMPRODUCT((MOVIMIENTOS!$B$5:$B$1005="ENVÍO A SUPESA")*(MOVIMIENTOS!$C$5:$C$1005="A")*(MOVIMIENTOS!$D$5:$D$1005="jabas")*(MOVIMIENTOS!$A$5:$A$1005&lt;&gt;"")*(MOVIMIENTOS!$A$5:$A$1005&lt;=$A353)*MOVIMIENTOS!$E$5:$E$1005)+SUMPRODUCT((MOVIMIENTOS!$B$5:$B$1005="DEVOLUCIÓN")*(MOVIMIENTOS!$C$5:$C$1005="A")*(MOVIMIENTOS!$D$5:$D$1005="jabas")*(MOVIMIENTOS!$A$5:$A$1005&lt;&gt;"")*(MOVIMIENTOS!$A$5:$A$1005&lt;=$A353)*MOVIMIENTOS!$E$5:$E$1005)-SUMPRODUCT((MOVIMIENTOS!$B$5:$B$1005="TRASIEGO")*(MOVIMIENTOS!$C$5:$C$1005="A")*(MOVIMIENTOS!$D$5:$D$1005="jabas")*(MOVIMIENTOS!$A$5:$A$1005&lt;&gt;"")*(MOVIMIENTOS!$A$5:$A$1005&lt;=$A353)*MOVIMIENTOS!$E$5:$E$1005)-SUMPRODUCT((MOVIMIENTOS!$B$5:$B$1005="REGALO")*(MOVIMIENTOS!$C$5:$C$1005="A")*(MOVIMIENTOS!$D$5:$D$1005="jabas")*(MOVIMIENTOS!$A$5:$A$1005&lt;&gt;"")*(MOVIMIENTOS!$A$5:$A$1005&lt;=$A353)*MOVIMIENTOS!$E$5:$E$1005)-SUMPRODUCT((MOVIMIENTOS!$B$5:$B$1005="VENTA")*(MOVIMIENTOS!$C$5:$C$1005="A")*(MOVIMIENTOS!$D$5:$D$1005="jabas")*(MOVIMIENTOS!$A$5:$A$1005&lt;&gt;"")*(MOVIMIENTOS!$A$5:$A$1005&lt;=$A353)*MOVIMIENTOS!$E$5:$E$1005)+SUMPRODUCT((MOVIMIENTOS!$B$5:$B$1005="AJUSTE")*(MOVIMIENTOS!$C$5:$C$1005="A")*(MOVIMIENTOS!$D$5:$D$1005="jabas")*(MOVIMIENTOS!$A$5:$A$1005&lt;&gt;"")*(MOVIMIENTOS!$A$5:$A$1005&lt;=$A353)*MOVIMIENTOS!$E$5:$E$1005))</f>
        <v/>
      </c>
      <c r="C353" s="63" t="str">
        <f>IF($A353="","",SUMPRODUCT((MOVIMIENTOS!$B$5:$B$1005="SALDO INICIAL")*(MOVIMIENTOS!$C$5:$C$1005="P")*(MOVIMIENTOS!$D$5:$D$1005="jabas")*(MOVIMIENTOS!$A$5:$A$1005&lt;&gt;"")*(MOVIMIENTOS!$A$5:$A$1005&lt;=$A353)*MOVIMIENTOS!$E$5:$E$1005)+SUMPRODUCT((MOVIMIENTOS!$B$5:$B$1005="PROCESO")*(MOVIMIENTOS!$C$5:$C$1005="P")*(MOVIMIENTOS!$D$5:$D$1005="jabas")*(MOVIMIENTOS!$A$5:$A$1005&lt;&gt;"")*(MOVIMIENTOS!$A$5:$A$1005&lt;=$A353)*MOVIMIENTOS!$E$5:$E$1005)-SUMPRODUCT((MOVIMIENTOS!$B$5:$B$1005="ENVÍO A SUPESA")*(MOVIMIENTOS!$C$5:$C$1005="P")*(MOVIMIENTOS!$D$5:$D$1005="jabas")*(MOVIMIENTOS!$A$5:$A$1005&lt;&gt;"")*(MOVIMIENTOS!$A$5:$A$1005&lt;=$A353)*MOVIMIENTOS!$E$5:$E$1005)+SUMPRODUCT((MOVIMIENTOS!$B$5:$B$1005="DEVOLUCIÓN")*(MOVIMIENTOS!$C$5:$C$1005="P")*(MOVIMIENTOS!$D$5:$D$1005="jabas")*(MOVIMIENTOS!$A$5:$A$1005&lt;&gt;"")*(MOVIMIENTOS!$A$5:$A$1005&lt;=$A353)*MOVIMIENTOS!$E$5:$E$1005)-SUMPRODUCT((MOVIMIENTOS!$B$5:$B$1005="TRASIEGO")*(MOVIMIENTOS!$C$5:$C$1005="P")*(MOVIMIENTOS!$D$5:$D$1005="jabas")*(MOVIMIENTOS!$A$5:$A$1005&lt;&gt;"")*(MOVIMIENTOS!$A$5:$A$1005&lt;=$A353)*MOVIMIENTOS!$E$5:$E$1005)-SUMPRODUCT((MOVIMIENTOS!$B$5:$B$1005="REGALO")*(MOVIMIENTOS!$C$5:$C$1005="P")*(MOVIMIENTOS!$D$5:$D$1005="jabas")*(MOVIMIENTOS!$A$5:$A$1005&lt;&gt;"")*(MOVIMIENTOS!$A$5:$A$1005&lt;=$A353)*MOVIMIENTOS!$E$5:$E$1005)-SUMPRODUCT((MOVIMIENTOS!$B$5:$B$1005="VENTA")*(MOVIMIENTOS!$C$5:$C$1005="P")*(MOVIMIENTOS!$D$5:$D$1005="jabas")*(MOVIMIENTOS!$A$5:$A$1005&lt;&gt;"")*(MOVIMIENTOS!$A$5:$A$1005&lt;=$A353)*MOVIMIENTOS!$E$5:$E$1005)+SUMPRODUCT((MOVIMIENTOS!$B$5:$B$1005="AJUSTE")*(MOVIMIENTOS!$C$5:$C$1005="P")*(MOVIMIENTOS!$D$5:$D$1005="jabas")*(MOVIMIENTOS!$A$5:$A$1005&lt;&gt;"")*(MOVIMIENTOS!$A$5:$A$1005&lt;=$A353)*MOVIMIENTOS!$E$5:$E$1005))</f>
        <v/>
      </c>
      <c r="D353" s="63" t="str">
        <f>IF($A353="","",SUMPRODUCT((MOVIMIENTOS!$B$5:$B$1005="SALDO INICIAL")*(MOVIMIENTOS!$C$5:$C$1005="C")*(MOVIMIENTOS!$D$5:$D$1005="jabas")*(MOVIMIENTOS!$A$5:$A$1005&lt;&gt;"")*(MOVIMIENTOS!$A$5:$A$1005&lt;=$A353)*MOVIMIENTOS!$E$5:$E$1005)+SUMPRODUCT((MOVIMIENTOS!$B$5:$B$1005="PROCESO")*(MOVIMIENTOS!$C$5:$C$1005="C")*(MOVIMIENTOS!$D$5:$D$1005="jabas")*(MOVIMIENTOS!$A$5:$A$1005&lt;&gt;"")*(MOVIMIENTOS!$A$5:$A$1005&lt;=$A353)*MOVIMIENTOS!$E$5:$E$1005)-SUMPRODUCT((MOVIMIENTOS!$B$5:$B$1005="ENVÍO A SUPESA")*(MOVIMIENTOS!$C$5:$C$1005="C")*(MOVIMIENTOS!$D$5:$D$1005="jabas")*(MOVIMIENTOS!$A$5:$A$1005&lt;&gt;"")*(MOVIMIENTOS!$A$5:$A$1005&lt;=$A353)*MOVIMIENTOS!$E$5:$E$1005)+SUMPRODUCT((MOVIMIENTOS!$B$5:$B$1005="DEVOLUCIÓN")*(MOVIMIENTOS!$C$5:$C$1005="C")*(MOVIMIENTOS!$D$5:$D$1005="jabas")*(MOVIMIENTOS!$A$5:$A$1005&lt;&gt;"")*(MOVIMIENTOS!$A$5:$A$1005&lt;=$A353)*MOVIMIENTOS!$E$5:$E$1005)-SUMPRODUCT((MOVIMIENTOS!$B$5:$B$1005="TRASIEGO")*(MOVIMIENTOS!$C$5:$C$1005="C")*(MOVIMIENTOS!$D$5:$D$1005="jabas")*(MOVIMIENTOS!$A$5:$A$1005&lt;&gt;"")*(MOVIMIENTOS!$A$5:$A$1005&lt;=$A353)*MOVIMIENTOS!$E$5:$E$1005)-SUMPRODUCT((MOVIMIENTOS!$B$5:$B$1005="REGALO")*(MOVIMIENTOS!$C$5:$C$1005="C")*(MOVIMIENTOS!$D$5:$D$1005="jabas")*(MOVIMIENTOS!$A$5:$A$1005&lt;&gt;"")*(MOVIMIENTOS!$A$5:$A$1005&lt;=$A353)*MOVIMIENTOS!$E$5:$E$1005)-SUMPRODUCT((MOVIMIENTOS!$B$5:$B$1005="VENTA")*(MOVIMIENTOS!$C$5:$C$1005="C")*(MOVIMIENTOS!$D$5:$D$1005="jabas")*(MOVIMIENTOS!$A$5:$A$1005&lt;&gt;"")*(MOVIMIENTOS!$A$5:$A$1005&lt;=$A353)*MOVIMIENTOS!$E$5:$E$1005)+SUMPRODUCT((MOVIMIENTOS!$B$5:$B$1005="AJUSTE")*(MOVIMIENTOS!$C$5:$C$1005="C")*(MOVIMIENTOS!$D$5:$D$1005="jabas")*(MOVIMIENTOS!$A$5:$A$1005&lt;&gt;"")*(MOVIMIENTOS!$A$5:$A$1005&lt;=$A353)*MOVIMIENTOS!$E$5:$E$1005))</f>
        <v/>
      </c>
      <c r="E353" s="63" t="str">
        <f>IF($A353="","",SUMPRODUCT((MOVIMIENTOS!$B$5:$B$1005="SALDO INICIAL")*(MOVIMIENTOS!$C$5:$C$1005="M")*(MOVIMIENTOS!$D$5:$D$1005="jabas")*(MOVIMIENTOS!$A$5:$A$1005&lt;&gt;"")*(MOVIMIENTOS!$A$5:$A$1005&lt;=$A353)*MOVIMIENTOS!$E$5:$E$1005)+SUMPRODUCT((MOVIMIENTOS!$B$5:$B$1005="PROCESO")*(MOVIMIENTOS!$C$5:$C$1005="M")*(MOVIMIENTOS!$D$5:$D$1005="jabas")*(MOVIMIENTOS!$A$5:$A$1005&lt;&gt;"")*(MOVIMIENTOS!$A$5:$A$1005&lt;=$A353)*MOVIMIENTOS!$E$5:$E$1005)-SUMPRODUCT((MOVIMIENTOS!$B$5:$B$1005="ENVÍO A SUPESA")*(MOVIMIENTOS!$C$5:$C$1005="M")*(MOVIMIENTOS!$D$5:$D$1005="jabas")*(MOVIMIENTOS!$A$5:$A$1005&lt;&gt;"")*(MOVIMIENTOS!$A$5:$A$1005&lt;=$A353)*MOVIMIENTOS!$E$5:$E$1005)+SUMPRODUCT((MOVIMIENTOS!$B$5:$B$1005="DEVOLUCIÓN")*(MOVIMIENTOS!$C$5:$C$1005="M")*(MOVIMIENTOS!$D$5:$D$1005="jabas")*(MOVIMIENTOS!$A$5:$A$1005&lt;&gt;"")*(MOVIMIENTOS!$A$5:$A$1005&lt;=$A353)*MOVIMIENTOS!$E$5:$E$1005)-SUMPRODUCT((MOVIMIENTOS!$B$5:$B$1005="TRASIEGO")*(MOVIMIENTOS!$C$5:$C$1005="M")*(MOVIMIENTOS!$D$5:$D$1005="jabas")*(MOVIMIENTOS!$A$5:$A$1005&lt;&gt;"")*(MOVIMIENTOS!$A$5:$A$1005&lt;=$A353)*MOVIMIENTOS!$E$5:$E$1005)-SUMPRODUCT((MOVIMIENTOS!$B$5:$B$1005="REGALO")*(MOVIMIENTOS!$C$5:$C$1005="M")*(MOVIMIENTOS!$D$5:$D$1005="jabas")*(MOVIMIENTOS!$A$5:$A$1005&lt;&gt;"")*(MOVIMIENTOS!$A$5:$A$1005&lt;=$A353)*MOVIMIENTOS!$E$5:$E$1005)-SUMPRODUCT((MOVIMIENTOS!$B$5:$B$1005="VENTA")*(MOVIMIENTOS!$C$5:$C$1005="M")*(MOVIMIENTOS!$D$5:$D$1005="jabas")*(MOVIMIENTOS!$A$5:$A$1005&lt;&gt;"")*(MOVIMIENTOS!$A$5:$A$1005&lt;=$A353)*MOVIMIENTOS!$E$5:$E$1005)+SUMPRODUCT((MOVIMIENTOS!$B$5:$B$1005="AJUSTE")*(MOVIMIENTOS!$C$5:$C$1005="M")*(MOVIMIENTOS!$D$5:$D$1005="jabas")*(MOVIMIENTOS!$A$5:$A$1005&lt;&gt;"")*(MOVIMIENTOS!$A$5:$A$1005&lt;=$A353)*MOVIMIENTOS!$E$5:$E$1005))</f>
        <v/>
      </c>
      <c r="F353" s="63" t="str">
        <f>IF($A353="","",SUMPRODUCT((MOVIMIENTOS!$B$5:$B$1005="SALDO INICIAL")*(MOVIMIENTOS!$C$5:$C$1005="Chancho")*(MOVIMIENTOS!$D$5:$D$1005="sacos")*(MOVIMIENTOS!$A$5:$A$1005&lt;&gt;"")*(MOVIMIENTOS!$A$5:$A$1005&lt;=$A353)*MOVIMIENTOS!$E$5:$E$1005)+SUMPRODUCT((MOVIMIENTOS!$B$5:$B$1005="PROCESO")*(MOVIMIENTOS!$C$5:$C$1005="Chancho")*(MOVIMIENTOS!$D$5:$D$1005="sacos")*(MOVIMIENTOS!$A$5:$A$1005&lt;&gt;"")*(MOVIMIENTOS!$A$5:$A$1005&lt;=$A353)*MOVIMIENTOS!$E$5:$E$1005)-SUMPRODUCT((MOVIMIENTOS!$B$5:$B$1005="VENTA CHANCHO")*(MOVIMIENTOS!$C$5:$C$1005="Chancho")*(MOVIMIENTOS!$D$5:$D$1005="sacos")*(MOVIMIENTOS!$A$5:$A$1005&lt;&gt;"")*(MOVIMIENTOS!$A$5:$A$1005&lt;=$A353)*MOVIMIENTOS!$E$5:$E$1005)-SUMPRODUCT((MOVIMIENTOS!$B$5:$B$1005="REGALO")*(MOVIMIENTOS!$C$5:$C$1005="Chancho")*(MOVIMIENTOS!$D$5:$D$1005="sacos")*(MOVIMIENTOS!$A$5:$A$1005&lt;&gt;"")*(MOVIMIENTOS!$A$5:$A$1005&lt;=$A353)*MOVIMIENTOS!$E$5:$E$1005)-SUMPRODUCT((MOVIMIENTOS!$B$5:$B$1005="VENTA")*(MOVIMIENTOS!$C$5:$C$1005="Chancho")*(MOVIMIENTOS!$D$5:$D$1005="sacos")*(MOVIMIENTOS!$A$5:$A$1005&lt;&gt;"")*(MOVIMIENTOS!$A$5:$A$1005&lt;=$A353)*MOVIMIENTOS!$E$5:$E$1005)+SUMPRODUCT((MOVIMIENTOS!$B$5:$B$1005="AJUSTE")*(MOVIMIENTOS!$C$5:$C$1005="Chancho")*(MOVIMIENTOS!$D$5:$D$1005="sacos")*(MOVIMIENTOS!$A$5:$A$1005&lt;&gt;"")*(MOVIMIENTOS!$A$5:$A$1005&lt;=$A353)*MOVIMIENTOS!$E$5:$E$1005))</f>
        <v/>
      </c>
      <c r="G353" s="95" t="str">
        <f t="shared" si="11"/>
        <v/>
      </c>
      <c r="H353" s="63" t="str">
        <f>IF($A353="","",SUMPRODUCT((((MOVIMIENTOS!$B$5:$B$1005="SALDO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353)*MOVIMIENTOS!$J$5:$J$1005))</f>
        <v/>
      </c>
      <c r="I353" s="63"/>
      <c r="J353" s="63">
        <f>IF(AND(MOVIMIENTOS!$A354&lt;&gt;"",COUNTIF(MOVIMIENTOS!$A$5:$A351,MOVIMIENTOS!$A354)=0),COUNT(J$4:J352)+1,"")</f>
        <v>32</v>
      </c>
      <c r="K353" s="66">
        <f>MOVIMIENTOS!$A354</f>
        <v>46245</v>
      </c>
      <c r="L353" s="63"/>
      <c r="M353" s="63"/>
      <c r="N353" s="63"/>
    </row>
    <row r="354" spans="1:14" ht="15" customHeight="1" x14ac:dyDescent="0.2">
      <c r="A354" s="63" t="str">
        <f t="shared" si="10"/>
        <v/>
      </c>
      <c r="B354" s="63" t="str">
        <f>IF($A354="","",SUMPRODUCT((MOVIMIENTOS!$B$5:$B$1005="SALDO INICIAL")*(MOVIMIENTOS!$C$5:$C$1005="A")*(MOVIMIENTOS!$D$5:$D$1005="jabas")*(MOVIMIENTOS!$A$5:$A$1005&lt;&gt;"")*(MOVIMIENTOS!$A$5:$A$1005&lt;=$A354)*MOVIMIENTOS!$E$5:$E$1005)+SUMPRODUCT((MOVIMIENTOS!$B$5:$B$1005="PROCESO")*(MOVIMIENTOS!$C$5:$C$1005="A")*(MOVIMIENTOS!$D$5:$D$1005="jabas")*(MOVIMIENTOS!$A$5:$A$1005&lt;&gt;"")*(MOVIMIENTOS!$A$5:$A$1005&lt;=$A354)*MOVIMIENTOS!$E$5:$E$1005)-SUMPRODUCT((MOVIMIENTOS!$B$5:$B$1005="ENVÍO A SUPESA")*(MOVIMIENTOS!$C$5:$C$1005="A")*(MOVIMIENTOS!$D$5:$D$1005="jabas")*(MOVIMIENTOS!$A$5:$A$1005&lt;&gt;"")*(MOVIMIENTOS!$A$5:$A$1005&lt;=$A354)*MOVIMIENTOS!$E$5:$E$1005)+SUMPRODUCT((MOVIMIENTOS!$B$5:$B$1005="DEVOLUCIÓN")*(MOVIMIENTOS!$C$5:$C$1005="A")*(MOVIMIENTOS!$D$5:$D$1005="jabas")*(MOVIMIENTOS!$A$5:$A$1005&lt;&gt;"")*(MOVIMIENTOS!$A$5:$A$1005&lt;=$A354)*MOVIMIENTOS!$E$5:$E$1005)-SUMPRODUCT((MOVIMIENTOS!$B$5:$B$1005="TRASIEGO")*(MOVIMIENTOS!$C$5:$C$1005="A")*(MOVIMIENTOS!$D$5:$D$1005="jabas")*(MOVIMIENTOS!$A$5:$A$1005&lt;&gt;"")*(MOVIMIENTOS!$A$5:$A$1005&lt;=$A354)*MOVIMIENTOS!$E$5:$E$1005)-SUMPRODUCT((MOVIMIENTOS!$B$5:$B$1005="REGALO")*(MOVIMIENTOS!$C$5:$C$1005="A")*(MOVIMIENTOS!$D$5:$D$1005="jabas")*(MOVIMIENTOS!$A$5:$A$1005&lt;&gt;"")*(MOVIMIENTOS!$A$5:$A$1005&lt;=$A354)*MOVIMIENTOS!$E$5:$E$1005)-SUMPRODUCT((MOVIMIENTOS!$B$5:$B$1005="VENTA")*(MOVIMIENTOS!$C$5:$C$1005="A")*(MOVIMIENTOS!$D$5:$D$1005="jabas")*(MOVIMIENTOS!$A$5:$A$1005&lt;&gt;"")*(MOVIMIENTOS!$A$5:$A$1005&lt;=$A354)*MOVIMIENTOS!$E$5:$E$1005)+SUMPRODUCT((MOVIMIENTOS!$B$5:$B$1005="AJUSTE")*(MOVIMIENTOS!$C$5:$C$1005="A")*(MOVIMIENTOS!$D$5:$D$1005="jabas")*(MOVIMIENTOS!$A$5:$A$1005&lt;&gt;"")*(MOVIMIENTOS!$A$5:$A$1005&lt;=$A354)*MOVIMIENTOS!$E$5:$E$1005))</f>
        <v/>
      </c>
      <c r="C354" s="63" t="str">
        <f>IF($A354="","",SUMPRODUCT((MOVIMIENTOS!$B$5:$B$1005="SALDO INICIAL")*(MOVIMIENTOS!$C$5:$C$1005="P")*(MOVIMIENTOS!$D$5:$D$1005="jabas")*(MOVIMIENTOS!$A$5:$A$1005&lt;&gt;"")*(MOVIMIENTOS!$A$5:$A$1005&lt;=$A354)*MOVIMIENTOS!$E$5:$E$1005)+SUMPRODUCT((MOVIMIENTOS!$B$5:$B$1005="PROCESO")*(MOVIMIENTOS!$C$5:$C$1005="P")*(MOVIMIENTOS!$D$5:$D$1005="jabas")*(MOVIMIENTOS!$A$5:$A$1005&lt;&gt;"")*(MOVIMIENTOS!$A$5:$A$1005&lt;=$A354)*MOVIMIENTOS!$E$5:$E$1005)-SUMPRODUCT((MOVIMIENTOS!$B$5:$B$1005="ENVÍO A SUPESA")*(MOVIMIENTOS!$C$5:$C$1005="P")*(MOVIMIENTOS!$D$5:$D$1005="jabas")*(MOVIMIENTOS!$A$5:$A$1005&lt;&gt;"")*(MOVIMIENTOS!$A$5:$A$1005&lt;=$A354)*MOVIMIENTOS!$E$5:$E$1005)+SUMPRODUCT((MOVIMIENTOS!$B$5:$B$1005="DEVOLUCIÓN")*(MOVIMIENTOS!$C$5:$C$1005="P")*(MOVIMIENTOS!$D$5:$D$1005="jabas")*(MOVIMIENTOS!$A$5:$A$1005&lt;&gt;"")*(MOVIMIENTOS!$A$5:$A$1005&lt;=$A354)*MOVIMIENTOS!$E$5:$E$1005)-SUMPRODUCT((MOVIMIENTOS!$B$5:$B$1005="TRASIEGO")*(MOVIMIENTOS!$C$5:$C$1005="P")*(MOVIMIENTOS!$D$5:$D$1005="jabas")*(MOVIMIENTOS!$A$5:$A$1005&lt;&gt;"")*(MOVIMIENTOS!$A$5:$A$1005&lt;=$A354)*MOVIMIENTOS!$E$5:$E$1005)-SUMPRODUCT((MOVIMIENTOS!$B$5:$B$1005="REGALO")*(MOVIMIENTOS!$C$5:$C$1005="P")*(MOVIMIENTOS!$D$5:$D$1005="jabas")*(MOVIMIENTOS!$A$5:$A$1005&lt;&gt;"")*(MOVIMIENTOS!$A$5:$A$1005&lt;=$A354)*MOVIMIENTOS!$E$5:$E$1005)-SUMPRODUCT((MOVIMIENTOS!$B$5:$B$1005="VENTA")*(MOVIMIENTOS!$C$5:$C$1005="P")*(MOVIMIENTOS!$D$5:$D$1005="jabas")*(MOVIMIENTOS!$A$5:$A$1005&lt;&gt;"")*(MOVIMIENTOS!$A$5:$A$1005&lt;=$A354)*MOVIMIENTOS!$E$5:$E$1005)+SUMPRODUCT((MOVIMIENTOS!$B$5:$B$1005="AJUSTE")*(MOVIMIENTOS!$C$5:$C$1005="P")*(MOVIMIENTOS!$D$5:$D$1005="jabas")*(MOVIMIENTOS!$A$5:$A$1005&lt;&gt;"")*(MOVIMIENTOS!$A$5:$A$1005&lt;=$A354)*MOVIMIENTOS!$E$5:$E$1005))</f>
        <v/>
      </c>
      <c r="D354" s="63" t="str">
        <f>IF($A354="","",SUMPRODUCT((MOVIMIENTOS!$B$5:$B$1005="SALDO INICIAL")*(MOVIMIENTOS!$C$5:$C$1005="C")*(MOVIMIENTOS!$D$5:$D$1005="jabas")*(MOVIMIENTOS!$A$5:$A$1005&lt;&gt;"")*(MOVIMIENTOS!$A$5:$A$1005&lt;=$A354)*MOVIMIENTOS!$E$5:$E$1005)+SUMPRODUCT((MOVIMIENTOS!$B$5:$B$1005="PROCESO")*(MOVIMIENTOS!$C$5:$C$1005="C")*(MOVIMIENTOS!$D$5:$D$1005="jabas")*(MOVIMIENTOS!$A$5:$A$1005&lt;&gt;"")*(MOVIMIENTOS!$A$5:$A$1005&lt;=$A354)*MOVIMIENTOS!$E$5:$E$1005)-SUMPRODUCT((MOVIMIENTOS!$B$5:$B$1005="ENVÍO A SUPESA")*(MOVIMIENTOS!$C$5:$C$1005="C")*(MOVIMIENTOS!$D$5:$D$1005="jabas")*(MOVIMIENTOS!$A$5:$A$1005&lt;&gt;"")*(MOVIMIENTOS!$A$5:$A$1005&lt;=$A354)*MOVIMIENTOS!$E$5:$E$1005)+SUMPRODUCT((MOVIMIENTOS!$B$5:$B$1005="DEVOLUCIÓN")*(MOVIMIENTOS!$C$5:$C$1005="C")*(MOVIMIENTOS!$D$5:$D$1005="jabas")*(MOVIMIENTOS!$A$5:$A$1005&lt;&gt;"")*(MOVIMIENTOS!$A$5:$A$1005&lt;=$A354)*MOVIMIENTOS!$E$5:$E$1005)-SUMPRODUCT((MOVIMIENTOS!$B$5:$B$1005="TRASIEGO")*(MOVIMIENTOS!$C$5:$C$1005="C")*(MOVIMIENTOS!$D$5:$D$1005="jabas")*(MOVIMIENTOS!$A$5:$A$1005&lt;&gt;"")*(MOVIMIENTOS!$A$5:$A$1005&lt;=$A354)*MOVIMIENTOS!$E$5:$E$1005)-SUMPRODUCT((MOVIMIENTOS!$B$5:$B$1005="REGALO")*(MOVIMIENTOS!$C$5:$C$1005="C")*(MOVIMIENTOS!$D$5:$D$1005="jabas")*(MOVIMIENTOS!$A$5:$A$1005&lt;&gt;"")*(MOVIMIENTOS!$A$5:$A$1005&lt;=$A354)*MOVIMIENTOS!$E$5:$E$1005)-SUMPRODUCT((MOVIMIENTOS!$B$5:$B$1005="VENTA")*(MOVIMIENTOS!$C$5:$C$1005="C")*(MOVIMIENTOS!$D$5:$D$1005="jabas")*(MOVIMIENTOS!$A$5:$A$1005&lt;&gt;"")*(MOVIMIENTOS!$A$5:$A$1005&lt;=$A354)*MOVIMIENTOS!$E$5:$E$1005)+SUMPRODUCT((MOVIMIENTOS!$B$5:$B$1005="AJUSTE")*(MOVIMIENTOS!$C$5:$C$1005="C")*(MOVIMIENTOS!$D$5:$D$1005="jabas")*(MOVIMIENTOS!$A$5:$A$1005&lt;&gt;"")*(MOVIMIENTOS!$A$5:$A$1005&lt;=$A354)*MOVIMIENTOS!$E$5:$E$1005))</f>
        <v/>
      </c>
      <c r="E354" s="63" t="str">
        <f>IF($A354="","",SUMPRODUCT((MOVIMIENTOS!$B$5:$B$1005="SALDO INICIAL")*(MOVIMIENTOS!$C$5:$C$1005="M")*(MOVIMIENTOS!$D$5:$D$1005="jabas")*(MOVIMIENTOS!$A$5:$A$1005&lt;&gt;"")*(MOVIMIENTOS!$A$5:$A$1005&lt;=$A354)*MOVIMIENTOS!$E$5:$E$1005)+SUMPRODUCT((MOVIMIENTOS!$B$5:$B$1005="PROCESO")*(MOVIMIENTOS!$C$5:$C$1005="M")*(MOVIMIENTOS!$D$5:$D$1005="jabas")*(MOVIMIENTOS!$A$5:$A$1005&lt;&gt;"")*(MOVIMIENTOS!$A$5:$A$1005&lt;=$A354)*MOVIMIENTOS!$E$5:$E$1005)-SUMPRODUCT((MOVIMIENTOS!$B$5:$B$1005="ENVÍO A SUPESA")*(MOVIMIENTOS!$C$5:$C$1005="M")*(MOVIMIENTOS!$D$5:$D$1005="jabas")*(MOVIMIENTOS!$A$5:$A$1005&lt;&gt;"")*(MOVIMIENTOS!$A$5:$A$1005&lt;=$A354)*MOVIMIENTOS!$E$5:$E$1005)+SUMPRODUCT((MOVIMIENTOS!$B$5:$B$1005="DEVOLUCIÓN")*(MOVIMIENTOS!$C$5:$C$1005="M")*(MOVIMIENTOS!$D$5:$D$1005="jabas")*(MOVIMIENTOS!$A$5:$A$1005&lt;&gt;"")*(MOVIMIENTOS!$A$5:$A$1005&lt;=$A354)*MOVIMIENTOS!$E$5:$E$1005)-SUMPRODUCT((MOVIMIENTOS!$B$5:$B$1005="TRASIEGO")*(MOVIMIENTOS!$C$5:$C$1005="M")*(MOVIMIENTOS!$D$5:$D$1005="jabas")*(MOVIMIENTOS!$A$5:$A$1005&lt;&gt;"")*(MOVIMIENTOS!$A$5:$A$1005&lt;=$A354)*MOVIMIENTOS!$E$5:$E$1005)-SUMPRODUCT((MOVIMIENTOS!$B$5:$B$1005="REGALO")*(MOVIMIENTOS!$C$5:$C$1005="M")*(MOVIMIENTOS!$D$5:$D$1005="jabas")*(MOVIMIENTOS!$A$5:$A$1005&lt;&gt;"")*(MOVIMIENTOS!$A$5:$A$1005&lt;=$A354)*MOVIMIENTOS!$E$5:$E$1005)-SUMPRODUCT((MOVIMIENTOS!$B$5:$B$1005="VENTA")*(MOVIMIENTOS!$C$5:$C$1005="M")*(MOVIMIENTOS!$D$5:$D$1005="jabas")*(MOVIMIENTOS!$A$5:$A$1005&lt;&gt;"")*(MOVIMIENTOS!$A$5:$A$1005&lt;=$A354)*MOVIMIENTOS!$E$5:$E$1005)+SUMPRODUCT((MOVIMIENTOS!$B$5:$B$1005="AJUSTE")*(MOVIMIENTOS!$C$5:$C$1005="M")*(MOVIMIENTOS!$D$5:$D$1005="jabas")*(MOVIMIENTOS!$A$5:$A$1005&lt;&gt;"")*(MOVIMIENTOS!$A$5:$A$1005&lt;=$A354)*MOVIMIENTOS!$E$5:$E$1005))</f>
        <v/>
      </c>
      <c r="F354" s="63" t="str">
        <f>IF($A354="","",SUMPRODUCT((MOVIMIENTOS!$B$5:$B$1005="SALDO INICIAL")*(MOVIMIENTOS!$C$5:$C$1005="Chancho")*(MOVIMIENTOS!$D$5:$D$1005="sacos")*(MOVIMIENTOS!$A$5:$A$1005&lt;&gt;"")*(MOVIMIENTOS!$A$5:$A$1005&lt;=$A354)*MOVIMIENTOS!$E$5:$E$1005)+SUMPRODUCT((MOVIMIENTOS!$B$5:$B$1005="PROCESO")*(MOVIMIENTOS!$C$5:$C$1005="Chancho")*(MOVIMIENTOS!$D$5:$D$1005="sacos")*(MOVIMIENTOS!$A$5:$A$1005&lt;&gt;"")*(MOVIMIENTOS!$A$5:$A$1005&lt;=$A354)*MOVIMIENTOS!$E$5:$E$1005)-SUMPRODUCT((MOVIMIENTOS!$B$5:$B$1005="VENTA CHANCHO")*(MOVIMIENTOS!$C$5:$C$1005="Chancho")*(MOVIMIENTOS!$D$5:$D$1005="sacos")*(MOVIMIENTOS!$A$5:$A$1005&lt;&gt;"")*(MOVIMIENTOS!$A$5:$A$1005&lt;=$A354)*MOVIMIENTOS!$E$5:$E$1005)-SUMPRODUCT((MOVIMIENTOS!$B$5:$B$1005="REGALO")*(MOVIMIENTOS!$C$5:$C$1005="Chancho")*(MOVIMIENTOS!$D$5:$D$1005="sacos")*(MOVIMIENTOS!$A$5:$A$1005&lt;&gt;"")*(MOVIMIENTOS!$A$5:$A$1005&lt;=$A354)*MOVIMIENTOS!$E$5:$E$1005)-SUMPRODUCT((MOVIMIENTOS!$B$5:$B$1005="VENTA")*(MOVIMIENTOS!$C$5:$C$1005="Chancho")*(MOVIMIENTOS!$D$5:$D$1005="sacos")*(MOVIMIENTOS!$A$5:$A$1005&lt;&gt;"")*(MOVIMIENTOS!$A$5:$A$1005&lt;=$A354)*MOVIMIENTOS!$E$5:$E$1005)+SUMPRODUCT((MOVIMIENTOS!$B$5:$B$1005="AJUSTE")*(MOVIMIENTOS!$C$5:$C$1005="Chancho")*(MOVIMIENTOS!$D$5:$D$1005="sacos")*(MOVIMIENTOS!$A$5:$A$1005&lt;&gt;"")*(MOVIMIENTOS!$A$5:$A$1005&lt;=$A354)*MOVIMIENTOS!$E$5:$E$1005))</f>
        <v/>
      </c>
      <c r="G354" s="95" t="str">
        <f t="shared" si="11"/>
        <v/>
      </c>
      <c r="H354" s="63" t="str">
        <f>IF($A354="","",SUMPRODUCT((((MOVIMIENTOS!$B$5:$B$1005="SALDO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354)*MOVIMIENTOS!$J$5:$J$1005))</f>
        <v/>
      </c>
      <c r="I354" s="63"/>
      <c r="J354" s="63" t="str">
        <f>IF(AND(MOVIMIENTOS!$A355&lt;&gt;"",COUNTIF(MOVIMIENTOS!$A$5:$A354,MOVIMIENTOS!$A355)=0),COUNT(J$4:J353)+1,"")</f>
        <v/>
      </c>
      <c r="K354" s="66">
        <f>MOVIMIENTOS!$A355</f>
        <v>46245</v>
      </c>
      <c r="L354" s="63"/>
      <c r="M354" s="63"/>
      <c r="N354" s="63"/>
    </row>
    <row r="355" spans="1:14" ht="15" customHeight="1" x14ac:dyDescent="0.2">
      <c r="A355" s="63" t="str">
        <f t="shared" si="10"/>
        <v/>
      </c>
      <c r="B355" s="63" t="str">
        <f>IF($A355="","",SUMPRODUCT((MOVIMIENTOS!$B$5:$B$1005="SALDO INICIAL")*(MOVIMIENTOS!$C$5:$C$1005="A")*(MOVIMIENTOS!$D$5:$D$1005="jabas")*(MOVIMIENTOS!$A$5:$A$1005&lt;&gt;"")*(MOVIMIENTOS!$A$5:$A$1005&lt;=$A355)*MOVIMIENTOS!$E$5:$E$1005)+SUMPRODUCT((MOVIMIENTOS!$B$5:$B$1005="PROCESO")*(MOVIMIENTOS!$C$5:$C$1005="A")*(MOVIMIENTOS!$D$5:$D$1005="jabas")*(MOVIMIENTOS!$A$5:$A$1005&lt;&gt;"")*(MOVIMIENTOS!$A$5:$A$1005&lt;=$A355)*MOVIMIENTOS!$E$5:$E$1005)-SUMPRODUCT((MOVIMIENTOS!$B$5:$B$1005="ENVÍO A SUPESA")*(MOVIMIENTOS!$C$5:$C$1005="A")*(MOVIMIENTOS!$D$5:$D$1005="jabas")*(MOVIMIENTOS!$A$5:$A$1005&lt;&gt;"")*(MOVIMIENTOS!$A$5:$A$1005&lt;=$A355)*MOVIMIENTOS!$E$5:$E$1005)+SUMPRODUCT((MOVIMIENTOS!$B$5:$B$1005="DEVOLUCIÓN")*(MOVIMIENTOS!$C$5:$C$1005="A")*(MOVIMIENTOS!$D$5:$D$1005="jabas")*(MOVIMIENTOS!$A$5:$A$1005&lt;&gt;"")*(MOVIMIENTOS!$A$5:$A$1005&lt;=$A355)*MOVIMIENTOS!$E$5:$E$1005)-SUMPRODUCT((MOVIMIENTOS!$B$5:$B$1005="TRASIEGO")*(MOVIMIENTOS!$C$5:$C$1005="A")*(MOVIMIENTOS!$D$5:$D$1005="jabas")*(MOVIMIENTOS!$A$5:$A$1005&lt;&gt;"")*(MOVIMIENTOS!$A$5:$A$1005&lt;=$A355)*MOVIMIENTOS!$E$5:$E$1005)-SUMPRODUCT((MOVIMIENTOS!$B$5:$B$1005="REGALO")*(MOVIMIENTOS!$C$5:$C$1005="A")*(MOVIMIENTOS!$D$5:$D$1005="jabas")*(MOVIMIENTOS!$A$5:$A$1005&lt;&gt;"")*(MOVIMIENTOS!$A$5:$A$1005&lt;=$A355)*MOVIMIENTOS!$E$5:$E$1005)-SUMPRODUCT((MOVIMIENTOS!$B$5:$B$1005="VENTA")*(MOVIMIENTOS!$C$5:$C$1005="A")*(MOVIMIENTOS!$D$5:$D$1005="jabas")*(MOVIMIENTOS!$A$5:$A$1005&lt;&gt;"")*(MOVIMIENTOS!$A$5:$A$1005&lt;=$A355)*MOVIMIENTOS!$E$5:$E$1005)+SUMPRODUCT((MOVIMIENTOS!$B$5:$B$1005="AJUSTE")*(MOVIMIENTOS!$C$5:$C$1005="A")*(MOVIMIENTOS!$D$5:$D$1005="jabas")*(MOVIMIENTOS!$A$5:$A$1005&lt;&gt;"")*(MOVIMIENTOS!$A$5:$A$1005&lt;=$A355)*MOVIMIENTOS!$E$5:$E$1005))</f>
        <v/>
      </c>
      <c r="C355" s="63" t="str">
        <f>IF($A355="","",SUMPRODUCT((MOVIMIENTOS!$B$5:$B$1005="SALDO INICIAL")*(MOVIMIENTOS!$C$5:$C$1005="P")*(MOVIMIENTOS!$D$5:$D$1005="jabas")*(MOVIMIENTOS!$A$5:$A$1005&lt;&gt;"")*(MOVIMIENTOS!$A$5:$A$1005&lt;=$A355)*MOVIMIENTOS!$E$5:$E$1005)+SUMPRODUCT((MOVIMIENTOS!$B$5:$B$1005="PROCESO")*(MOVIMIENTOS!$C$5:$C$1005="P")*(MOVIMIENTOS!$D$5:$D$1005="jabas")*(MOVIMIENTOS!$A$5:$A$1005&lt;&gt;"")*(MOVIMIENTOS!$A$5:$A$1005&lt;=$A355)*MOVIMIENTOS!$E$5:$E$1005)-SUMPRODUCT((MOVIMIENTOS!$B$5:$B$1005="ENVÍO A SUPESA")*(MOVIMIENTOS!$C$5:$C$1005="P")*(MOVIMIENTOS!$D$5:$D$1005="jabas")*(MOVIMIENTOS!$A$5:$A$1005&lt;&gt;"")*(MOVIMIENTOS!$A$5:$A$1005&lt;=$A355)*MOVIMIENTOS!$E$5:$E$1005)+SUMPRODUCT((MOVIMIENTOS!$B$5:$B$1005="DEVOLUCIÓN")*(MOVIMIENTOS!$C$5:$C$1005="P")*(MOVIMIENTOS!$D$5:$D$1005="jabas")*(MOVIMIENTOS!$A$5:$A$1005&lt;&gt;"")*(MOVIMIENTOS!$A$5:$A$1005&lt;=$A355)*MOVIMIENTOS!$E$5:$E$1005)-SUMPRODUCT((MOVIMIENTOS!$B$5:$B$1005="TRASIEGO")*(MOVIMIENTOS!$C$5:$C$1005="P")*(MOVIMIENTOS!$D$5:$D$1005="jabas")*(MOVIMIENTOS!$A$5:$A$1005&lt;&gt;"")*(MOVIMIENTOS!$A$5:$A$1005&lt;=$A355)*MOVIMIENTOS!$E$5:$E$1005)-SUMPRODUCT((MOVIMIENTOS!$B$5:$B$1005="REGALO")*(MOVIMIENTOS!$C$5:$C$1005="P")*(MOVIMIENTOS!$D$5:$D$1005="jabas")*(MOVIMIENTOS!$A$5:$A$1005&lt;&gt;"")*(MOVIMIENTOS!$A$5:$A$1005&lt;=$A355)*MOVIMIENTOS!$E$5:$E$1005)-SUMPRODUCT((MOVIMIENTOS!$B$5:$B$1005="VENTA")*(MOVIMIENTOS!$C$5:$C$1005="P")*(MOVIMIENTOS!$D$5:$D$1005="jabas")*(MOVIMIENTOS!$A$5:$A$1005&lt;&gt;"")*(MOVIMIENTOS!$A$5:$A$1005&lt;=$A355)*MOVIMIENTOS!$E$5:$E$1005)+SUMPRODUCT((MOVIMIENTOS!$B$5:$B$1005="AJUSTE")*(MOVIMIENTOS!$C$5:$C$1005="P")*(MOVIMIENTOS!$D$5:$D$1005="jabas")*(MOVIMIENTOS!$A$5:$A$1005&lt;&gt;"")*(MOVIMIENTOS!$A$5:$A$1005&lt;=$A355)*MOVIMIENTOS!$E$5:$E$1005))</f>
        <v/>
      </c>
      <c r="D355" s="63" t="str">
        <f>IF($A355="","",SUMPRODUCT((MOVIMIENTOS!$B$5:$B$1005="SALDO INICIAL")*(MOVIMIENTOS!$C$5:$C$1005="C")*(MOVIMIENTOS!$D$5:$D$1005="jabas")*(MOVIMIENTOS!$A$5:$A$1005&lt;&gt;"")*(MOVIMIENTOS!$A$5:$A$1005&lt;=$A355)*MOVIMIENTOS!$E$5:$E$1005)+SUMPRODUCT((MOVIMIENTOS!$B$5:$B$1005="PROCESO")*(MOVIMIENTOS!$C$5:$C$1005="C")*(MOVIMIENTOS!$D$5:$D$1005="jabas")*(MOVIMIENTOS!$A$5:$A$1005&lt;&gt;"")*(MOVIMIENTOS!$A$5:$A$1005&lt;=$A355)*MOVIMIENTOS!$E$5:$E$1005)-SUMPRODUCT((MOVIMIENTOS!$B$5:$B$1005="ENVÍO A SUPESA")*(MOVIMIENTOS!$C$5:$C$1005="C")*(MOVIMIENTOS!$D$5:$D$1005="jabas")*(MOVIMIENTOS!$A$5:$A$1005&lt;&gt;"")*(MOVIMIENTOS!$A$5:$A$1005&lt;=$A355)*MOVIMIENTOS!$E$5:$E$1005)+SUMPRODUCT((MOVIMIENTOS!$B$5:$B$1005="DEVOLUCIÓN")*(MOVIMIENTOS!$C$5:$C$1005="C")*(MOVIMIENTOS!$D$5:$D$1005="jabas")*(MOVIMIENTOS!$A$5:$A$1005&lt;&gt;"")*(MOVIMIENTOS!$A$5:$A$1005&lt;=$A355)*MOVIMIENTOS!$E$5:$E$1005)-SUMPRODUCT((MOVIMIENTOS!$B$5:$B$1005="TRASIEGO")*(MOVIMIENTOS!$C$5:$C$1005="C")*(MOVIMIENTOS!$D$5:$D$1005="jabas")*(MOVIMIENTOS!$A$5:$A$1005&lt;&gt;"")*(MOVIMIENTOS!$A$5:$A$1005&lt;=$A355)*MOVIMIENTOS!$E$5:$E$1005)-SUMPRODUCT((MOVIMIENTOS!$B$5:$B$1005="REGALO")*(MOVIMIENTOS!$C$5:$C$1005="C")*(MOVIMIENTOS!$D$5:$D$1005="jabas")*(MOVIMIENTOS!$A$5:$A$1005&lt;&gt;"")*(MOVIMIENTOS!$A$5:$A$1005&lt;=$A355)*MOVIMIENTOS!$E$5:$E$1005)-SUMPRODUCT((MOVIMIENTOS!$B$5:$B$1005="VENTA")*(MOVIMIENTOS!$C$5:$C$1005="C")*(MOVIMIENTOS!$D$5:$D$1005="jabas")*(MOVIMIENTOS!$A$5:$A$1005&lt;&gt;"")*(MOVIMIENTOS!$A$5:$A$1005&lt;=$A355)*MOVIMIENTOS!$E$5:$E$1005)+SUMPRODUCT((MOVIMIENTOS!$B$5:$B$1005="AJUSTE")*(MOVIMIENTOS!$C$5:$C$1005="C")*(MOVIMIENTOS!$D$5:$D$1005="jabas")*(MOVIMIENTOS!$A$5:$A$1005&lt;&gt;"")*(MOVIMIENTOS!$A$5:$A$1005&lt;=$A355)*MOVIMIENTOS!$E$5:$E$1005))</f>
        <v/>
      </c>
      <c r="E355" s="63" t="str">
        <f>IF($A355="","",SUMPRODUCT((MOVIMIENTOS!$B$5:$B$1005="SALDO INICIAL")*(MOVIMIENTOS!$C$5:$C$1005="M")*(MOVIMIENTOS!$D$5:$D$1005="jabas")*(MOVIMIENTOS!$A$5:$A$1005&lt;&gt;"")*(MOVIMIENTOS!$A$5:$A$1005&lt;=$A355)*MOVIMIENTOS!$E$5:$E$1005)+SUMPRODUCT((MOVIMIENTOS!$B$5:$B$1005="PROCESO")*(MOVIMIENTOS!$C$5:$C$1005="M")*(MOVIMIENTOS!$D$5:$D$1005="jabas")*(MOVIMIENTOS!$A$5:$A$1005&lt;&gt;"")*(MOVIMIENTOS!$A$5:$A$1005&lt;=$A355)*MOVIMIENTOS!$E$5:$E$1005)-SUMPRODUCT((MOVIMIENTOS!$B$5:$B$1005="ENVÍO A SUPESA")*(MOVIMIENTOS!$C$5:$C$1005="M")*(MOVIMIENTOS!$D$5:$D$1005="jabas")*(MOVIMIENTOS!$A$5:$A$1005&lt;&gt;"")*(MOVIMIENTOS!$A$5:$A$1005&lt;=$A355)*MOVIMIENTOS!$E$5:$E$1005)+SUMPRODUCT((MOVIMIENTOS!$B$5:$B$1005="DEVOLUCIÓN")*(MOVIMIENTOS!$C$5:$C$1005="M")*(MOVIMIENTOS!$D$5:$D$1005="jabas")*(MOVIMIENTOS!$A$5:$A$1005&lt;&gt;"")*(MOVIMIENTOS!$A$5:$A$1005&lt;=$A355)*MOVIMIENTOS!$E$5:$E$1005)-SUMPRODUCT((MOVIMIENTOS!$B$5:$B$1005="TRASIEGO")*(MOVIMIENTOS!$C$5:$C$1005="M")*(MOVIMIENTOS!$D$5:$D$1005="jabas")*(MOVIMIENTOS!$A$5:$A$1005&lt;&gt;"")*(MOVIMIENTOS!$A$5:$A$1005&lt;=$A355)*MOVIMIENTOS!$E$5:$E$1005)-SUMPRODUCT((MOVIMIENTOS!$B$5:$B$1005="REGALO")*(MOVIMIENTOS!$C$5:$C$1005="M")*(MOVIMIENTOS!$D$5:$D$1005="jabas")*(MOVIMIENTOS!$A$5:$A$1005&lt;&gt;"")*(MOVIMIENTOS!$A$5:$A$1005&lt;=$A355)*MOVIMIENTOS!$E$5:$E$1005)-SUMPRODUCT((MOVIMIENTOS!$B$5:$B$1005="VENTA")*(MOVIMIENTOS!$C$5:$C$1005="M")*(MOVIMIENTOS!$D$5:$D$1005="jabas")*(MOVIMIENTOS!$A$5:$A$1005&lt;&gt;"")*(MOVIMIENTOS!$A$5:$A$1005&lt;=$A355)*MOVIMIENTOS!$E$5:$E$1005)+SUMPRODUCT((MOVIMIENTOS!$B$5:$B$1005="AJUSTE")*(MOVIMIENTOS!$C$5:$C$1005="M")*(MOVIMIENTOS!$D$5:$D$1005="jabas")*(MOVIMIENTOS!$A$5:$A$1005&lt;&gt;"")*(MOVIMIENTOS!$A$5:$A$1005&lt;=$A355)*MOVIMIENTOS!$E$5:$E$1005))</f>
        <v/>
      </c>
      <c r="F355" s="63" t="str">
        <f>IF($A355="","",SUMPRODUCT((MOVIMIENTOS!$B$5:$B$1005="SALDO INICIAL")*(MOVIMIENTOS!$C$5:$C$1005="Chancho")*(MOVIMIENTOS!$D$5:$D$1005="sacos")*(MOVIMIENTOS!$A$5:$A$1005&lt;&gt;"")*(MOVIMIENTOS!$A$5:$A$1005&lt;=$A355)*MOVIMIENTOS!$E$5:$E$1005)+SUMPRODUCT((MOVIMIENTOS!$B$5:$B$1005="PROCESO")*(MOVIMIENTOS!$C$5:$C$1005="Chancho")*(MOVIMIENTOS!$D$5:$D$1005="sacos")*(MOVIMIENTOS!$A$5:$A$1005&lt;&gt;"")*(MOVIMIENTOS!$A$5:$A$1005&lt;=$A355)*MOVIMIENTOS!$E$5:$E$1005)-SUMPRODUCT((MOVIMIENTOS!$B$5:$B$1005="VENTA CHANCHO")*(MOVIMIENTOS!$C$5:$C$1005="Chancho")*(MOVIMIENTOS!$D$5:$D$1005="sacos")*(MOVIMIENTOS!$A$5:$A$1005&lt;&gt;"")*(MOVIMIENTOS!$A$5:$A$1005&lt;=$A355)*MOVIMIENTOS!$E$5:$E$1005)-SUMPRODUCT((MOVIMIENTOS!$B$5:$B$1005="REGALO")*(MOVIMIENTOS!$C$5:$C$1005="Chancho")*(MOVIMIENTOS!$D$5:$D$1005="sacos")*(MOVIMIENTOS!$A$5:$A$1005&lt;&gt;"")*(MOVIMIENTOS!$A$5:$A$1005&lt;=$A355)*MOVIMIENTOS!$E$5:$E$1005)-SUMPRODUCT((MOVIMIENTOS!$B$5:$B$1005="VENTA")*(MOVIMIENTOS!$C$5:$C$1005="Chancho")*(MOVIMIENTOS!$D$5:$D$1005="sacos")*(MOVIMIENTOS!$A$5:$A$1005&lt;&gt;"")*(MOVIMIENTOS!$A$5:$A$1005&lt;=$A355)*MOVIMIENTOS!$E$5:$E$1005)+SUMPRODUCT((MOVIMIENTOS!$B$5:$B$1005="AJUSTE")*(MOVIMIENTOS!$C$5:$C$1005="Chancho")*(MOVIMIENTOS!$D$5:$D$1005="sacos")*(MOVIMIENTOS!$A$5:$A$1005&lt;&gt;"")*(MOVIMIENTOS!$A$5:$A$1005&lt;=$A355)*MOVIMIENTOS!$E$5:$E$1005))</f>
        <v/>
      </c>
      <c r="G355" s="95" t="str">
        <f t="shared" si="11"/>
        <v/>
      </c>
      <c r="H355" s="63" t="str">
        <f>IF($A355="","",SUMPRODUCT((((MOVIMIENTOS!$B$5:$B$1005="SALDO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355)*MOVIMIENTOS!$J$5:$J$1005))</f>
        <v/>
      </c>
      <c r="I355" s="63"/>
      <c r="J355" s="63" t="str">
        <f>IF(AND(MOVIMIENTOS!$A356&lt;&gt;"",COUNTIF(MOVIMIENTOS!$A$5:$A355,MOVIMIENTOS!$A356)=0),COUNT(J$4:J354)+1,"")</f>
        <v/>
      </c>
      <c r="K355" s="66">
        <f>MOVIMIENTOS!$A356</f>
        <v>46245</v>
      </c>
      <c r="L355" s="63"/>
      <c r="M355" s="63"/>
      <c r="N355" s="63"/>
    </row>
    <row r="356" spans="1:14" ht="15" customHeight="1" x14ac:dyDescent="0.2">
      <c r="A356" s="63" t="str">
        <f t="shared" si="10"/>
        <v/>
      </c>
      <c r="B356" s="63" t="str">
        <f>IF($A356="","",SUMPRODUCT((MOVIMIENTOS!$B$5:$B$1005="SALDO INICIAL")*(MOVIMIENTOS!$C$5:$C$1005="A")*(MOVIMIENTOS!$D$5:$D$1005="jabas")*(MOVIMIENTOS!$A$5:$A$1005&lt;&gt;"")*(MOVIMIENTOS!$A$5:$A$1005&lt;=$A356)*MOVIMIENTOS!$E$5:$E$1005)+SUMPRODUCT((MOVIMIENTOS!$B$5:$B$1005="PROCESO")*(MOVIMIENTOS!$C$5:$C$1005="A")*(MOVIMIENTOS!$D$5:$D$1005="jabas")*(MOVIMIENTOS!$A$5:$A$1005&lt;&gt;"")*(MOVIMIENTOS!$A$5:$A$1005&lt;=$A356)*MOVIMIENTOS!$E$5:$E$1005)-SUMPRODUCT((MOVIMIENTOS!$B$5:$B$1005="ENVÍO A SUPESA")*(MOVIMIENTOS!$C$5:$C$1005="A")*(MOVIMIENTOS!$D$5:$D$1005="jabas")*(MOVIMIENTOS!$A$5:$A$1005&lt;&gt;"")*(MOVIMIENTOS!$A$5:$A$1005&lt;=$A356)*MOVIMIENTOS!$E$5:$E$1005)+SUMPRODUCT((MOVIMIENTOS!$B$5:$B$1005="DEVOLUCIÓN")*(MOVIMIENTOS!$C$5:$C$1005="A")*(MOVIMIENTOS!$D$5:$D$1005="jabas")*(MOVIMIENTOS!$A$5:$A$1005&lt;&gt;"")*(MOVIMIENTOS!$A$5:$A$1005&lt;=$A356)*MOVIMIENTOS!$E$5:$E$1005)-SUMPRODUCT((MOVIMIENTOS!$B$5:$B$1005="TRASIEGO")*(MOVIMIENTOS!$C$5:$C$1005="A")*(MOVIMIENTOS!$D$5:$D$1005="jabas")*(MOVIMIENTOS!$A$5:$A$1005&lt;&gt;"")*(MOVIMIENTOS!$A$5:$A$1005&lt;=$A356)*MOVIMIENTOS!$E$5:$E$1005)-SUMPRODUCT((MOVIMIENTOS!$B$5:$B$1005="REGALO")*(MOVIMIENTOS!$C$5:$C$1005="A")*(MOVIMIENTOS!$D$5:$D$1005="jabas")*(MOVIMIENTOS!$A$5:$A$1005&lt;&gt;"")*(MOVIMIENTOS!$A$5:$A$1005&lt;=$A356)*MOVIMIENTOS!$E$5:$E$1005)-SUMPRODUCT((MOVIMIENTOS!$B$5:$B$1005="VENTA")*(MOVIMIENTOS!$C$5:$C$1005="A")*(MOVIMIENTOS!$D$5:$D$1005="jabas")*(MOVIMIENTOS!$A$5:$A$1005&lt;&gt;"")*(MOVIMIENTOS!$A$5:$A$1005&lt;=$A356)*MOVIMIENTOS!$E$5:$E$1005)+SUMPRODUCT((MOVIMIENTOS!$B$5:$B$1005="AJUSTE")*(MOVIMIENTOS!$C$5:$C$1005="A")*(MOVIMIENTOS!$D$5:$D$1005="jabas")*(MOVIMIENTOS!$A$5:$A$1005&lt;&gt;"")*(MOVIMIENTOS!$A$5:$A$1005&lt;=$A356)*MOVIMIENTOS!$E$5:$E$1005))</f>
        <v/>
      </c>
      <c r="C356" s="63" t="str">
        <f>IF($A356="","",SUMPRODUCT((MOVIMIENTOS!$B$5:$B$1005="SALDO INICIAL")*(MOVIMIENTOS!$C$5:$C$1005="P")*(MOVIMIENTOS!$D$5:$D$1005="jabas")*(MOVIMIENTOS!$A$5:$A$1005&lt;&gt;"")*(MOVIMIENTOS!$A$5:$A$1005&lt;=$A356)*MOVIMIENTOS!$E$5:$E$1005)+SUMPRODUCT((MOVIMIENTOS!$B$5:$B$1005="PROCESO")*(MOVIMIENTOS!$C$5:$C$1005="P")*(MOVIMIENTOS!$D$5:$D$1005="jabas")*(MOVIMIENTOS!$A$5:$A$1005&lt;&gt;"")*(MOVIMIENTOS!$A$5:$A$1005&lt;=$A356)*MOVIMIENTOS!$E$5:$E$1005)-SUMPRODUCT((MOVIMIENTOS!$B$5:$B$1005="ENVÍO A SUPESA")*(MOVIMIENTOS!$C$5:$C$1005="P")*(MOVIMIENTOS!$D$5:$D$1005="jabas")*(MOVIMIENTOS!$A$5:$A$1005&lt;&gt;"")*(MOVIMIENTOS!$A$5:$A$1005&lt;=$A356)*MOVIMIENTOS!$E$5:$E$1005)+SUMPRODUCT((MOVIMIENTOS!$B$5:$B$1005="DEVOLUCIÓN")*(MOVIMIENTOS!$C$5:$C$1005="P")*(MOVIMIENTOS!$D$5:$D$1005="jabas")*(MOVIMIENTOS!$A$5:$A$1005&lt;&gt;"")*(MOVIMIENTOS!$A$5:$A$1005&lt;=$A356)*MOVIMIENTOS!$E$5:$E$1005)-SUMPRODUCT((MOVIMIENTOS!$B$5:$B$1005="TRASIEGO")*(MOVIMIENTOS!$C$5:$C$1005="P")*(MOVIMIENTOS!$D$5:$D$1005="jabas")*(MOVIMIENTOS!$A$5:$A$1005&lt;&gt;"")*(MOVIMIENTOS!$A$5:$A$1005&lt;=$A356)*MOVIMIENTOS!$E$5:$E$1005)-SUMPRODUCT((MOVIMIENTOS!$B$5:$B$1005="REGALO")*(MOVIMIENTOS!$C$5:$C$1005="P")*(MOVIMIENTOS!$D$5:$D$1005="jabas")*(MOVIMIENTOS!$A$5:$A$1005&lt;&gt;"")*(MOVIMIENTOS!$A$5:$A$1005&lt;=$A356)*MOVIMIENTOS!$E$5:$E$1005)-SUMPRODUCT((MOVIMIENTOS!$B$5:$B$1005="VENTA")*(MOVIMIENTOS!$C$5:$C$1005="P")*(MOVIMIENTOS!$D$5:$D$1005="jabas")*(MOVIMIENTOS!$A$5:$A$1005&lt;&gt;"")*(MOVIMIENTOS!$A$5:$A$1005&lt;=$A356)*MOVIMIENTOS!$E$5:$E$1005)+SUMPRODUCT((MOVIMIENTOS!$B$5:$B$1005="AJUSTE")*(MOVIMIENTOS!$C$5:$C$1005="P")*(MOVIMIENTOS!$D$5:$D$1005="jabas")*(MOVIMIENTOS!$A$5:$A$1005&lt;&gt;"")*(MOVIMIENTOS!$A$5:$A$1005&lt;=$A356)*MOVIMIENTOS!$E$5:$E$1005))</f>
        <v/>
      </c>
      <c r="D356" s="63" t="str">
        <f>IF($A356="","",SUMPRODUCT((MOVIMIENTOS!$B$5:$B$1005="SALDO INICIAL")*(MOVIMIENTOS!$C$5:$C$1005="C")*(MOVIMIENTOS!$D$5:$D$1005="jabas")*(MOVIMIENTOS!$A$5:$A$1005&lt;&gt;"")*(MOVIMIENTOS!$A$5:$A$1005&lt;=$A356)*MOVIMIENTOS!$E$5:$E$1005)+SUMPRODUCT((MOVIMIENTOS!$B$5:$B$1005="PROCESO")*(MOVIMIENTOS!$C$5:$C$1005="C")*(MOVIMIENTOS!$D$5:$D$1005="jabas")*(MOVIMIENTOS!$A$5:$A$1005&lt;&gt;"")*(MOVIMIENTOS!$A$5:$A$1005&lt;=$A356)*MOVIMIENTOS!$E$5:$E$1005)-SUMPRODUCT((MOVIMIENTOS!$B$5:$B$1005="ENVÍO A SUPESA")*(MOVIMIENTOS!$C$5:$C$1005="C")*(MOVIMIENTOS!$D$5:$D$1005="jabas")*(MOVIMIENTOS!$A$5:$A$1005&lt;&gt;"")*(MOVIMIENTOS!$A$5:$A$1005&lt;=$A356)*MOVIMIENTOS!$E$5:$E$1005)+SUMPRODUCT((MOVIMIENTOS!$B$5:$B$1005="DEVOLUCIÓN")*(MOVIMIENTOS!$C$5:$C$1005="C")*(MOVIMIENTOS!$D$5:$D$1005="jabas")*(MOVIMIENTOS!$A$5:$A$1005&lt;&gt;"")*(MOVIMIENTOS!$A$5:$A$1005&lt;=$A356)*MOVIMIENTOS!$E$5:$E$1005)-SUMPRODUCT((MOVIMIENTOS!$B$5:$B$1005="TRASIEGO")*(MOVIMIENTOS!$C$5:$C$1005="C")*(MOVIMIENTOS!$D$5:$D$1005="jabas")*(MOVIMIENTOS!$A$5:$A$1005&lt;&gt;"")*(MOVIMIENTOS!$A$5:$A$1005&lt;=$A356)*MOVIMIENTOS!$E$5:$E$1005)-SUMPRODUCT((MOVIMIENTOS!$B$5:$B$1005="REGALO")*(MOVIMIENTOS!$C$5:$C$1005="C")*(MOVIMIENTOS!$D$5:$D$1005="jabas")*(MOVIMIENTOS!$A$5:$A$1005&lt;&gt;"")*(MOVIMIENTOS!$A$5:$A$1005&lt;=$A356)*MOVIMIENTOS!$E$5:$E$1005)-SUMPRODUCT((MOVIMIENTOS!$B$5:$B$1005="VENTA")*(MOVIMIENTOS!$C$5:$C$1005="C")*(MOVIMIENTOS!$D$5:$D$1005="jabas")*(MOVIMIENTOS!$A$5:$A$1005&lt;&gt;"")*(MOVIMIENTOS!$A$5:$A$1005&lt;=$A356)*MOVIMIENTOS!$E$5:$E$1005)+SUMPRODUCT((MOVIMIENTOS!$B$5:$B$1005="AJUSTE")*(MOVIMIENTOS!$C$5:$C$1005="C")*(MOVIMIENTOS!$D$5:$D$1005="jabas")*(MOVIMIENTOS!$A$5:$A$1005&lt;&gt;"")*(MOVIMIENTOS!$A$5:$A$1005&lt;=$A356)*MOVIMIENTOS!$E$5:$E$1005))</f>
        <v/>
      </c>
      <c r="E356" s="63" t="str">
        <f>IF($A356="","",SUMPRODUCT((MOVIMIENTOS!$B$5:$B$1005="SALDO INICIAL")*(MOVIMIENTOS!$C$5:$C$1005="M")*(MOVIMIENTOS!$D$5:$D$1005="jabas")*(MOVIMIENTOS!$A$5:$A$1005&lt;&gt;"")*(MOVIMIENTOS!$A$5:$A$1005&lt;=$A356)*MOVIMIENTOS!$E$5:$E$1005)+SUMPRODUCT((MOVIMIENTOS!$B$5:$B$1005="PROCESO")*(MOVIMIENTOS!$C$5:$C$1005="M")*(MOVIMIENTOS!$D$5:$D$1005="jabas")*(MOVIMIENTOS!$A$5:$A$1005&lt;&gt;"")*(MOVIMIENTOS!$A$5:$A$1005&lt;=$A356)*MOVIMIENTOS!$E$5:$E$1005)-SUMPRODUCT((MOVIMIENTOS!$B$5:$B$1005="ENVÍO A SUPESA")*(MOVIMIENTOS!$C$5:$C$1005="M")*(MOVIMIENTOS!$D$5:$D$1005="jabas")*(MOVIMIENTOS!$A$5:$A$1005&lt;&gt;"")*(MOVIMIENTOS!$A$5:$A$1005&lt;=$A356)*MOVIMIENTOS!$E$5:$E$1005)+SUMPRODUCT((MOVIMIENTOS!$B$5:$B$1005="DEVOLUCIÓN")*(MOVIMIENTOS!$C$5:$C$1005="M")*(MOVIMIENTOS!$D$5:$D$1005="jabas")*(MOVIMIENTOS!$A$5:$A$1005&lt;&gt;"")*(MOVIMIENTOS!$A$5:$A$1005&lt;=$A356)*MOVIMIENTOS!$E$5:$E$1005)-SUMPRODUCT((MOVIMIENTOS!$B$5:$B$1005="TRASIEGO")*(MOVIMIENTOS!$C$5:$C$1005="M")*(MOVIMIENTOS!$D$5:$D$1005="jabas")*(MOVIMIENTOS!$A$5:$A$1005&lt;&gt;"")*(MOVIMIENTOS!$A$5:$A$1005&lt;=$A356)*MOVIMIENTOS!$E$5:$E$1005)-SUMPRODUCT((MOVIMIENTOS!$B$5:$B$1005="REGALO")*(MOVIMIENTOS!$C$5:$C$1005="M")*(MOVIMIENTOS!$D$5:$D$1005="jabas")*(MOVIMIENTOS!$A$5:$A$1005&lt;&gt;"")*(MOVIMIENTOS!$A$5:$A$1005&lt;=$A356)*MOVIMIENTOS!$E$5:$E$1005)-SUMPRODUCT((MOVIMIENTOS!$B$5:$B$1005="VENTA")*(MOVIMIENTOS!$C$5:$C$1005="M")*(MOVIMIENTOS!$D$5:$D$1005="jabas")*(MOVIMIENTOS!$A$5:$A$1005&lt;&gt;"")*(MOVIMIENTOS!$A$5:$A$1005&lt;=$A356)*MOVIMIENTOS!$E$5:$E$1005)+SUMPRODUCT((MOVIMIENTOS!$B$5:$B$1005="AJUSTE")*(MOVIMIENTOS!$C$5:$C$1005="M")*(MOVIMIENTOS!$D$5:$D$1005="jabas")*(MOVIMIENTOS!$A$5:$A$1005&lt;&gt;"")*(MOVIMIENTOS!$A$5:$A$1005&lt;=$A356)*MOVIMIENTOS!$E$5:$E$1005))</f>
        <v/>
      </c>
      <c r="F356" s="63" t="str">
        <f>IF($A356="","",SUMPRODUCT((MOVIMIENTOS!$B$5:$B$1005="SALDO INICIAL")*(MOVIMIENTOS!$C$5:$C$1005="Chancho")*(MOVIMIENTOS!$D$5:$D$1005="sacos")*(MOVIMIENTOS!$A$5:$A$1005&lt;&gt;"")*(MOVIMIENTOS!$A$5:$A$1005&lt;=$A356)*MOVIMIENTOS!$E$5:$E$1005)+SUMPRODUCT((MOVIMIENTOS!$B$5:$B$1005="PROCESO")*(MOVIMIENTOS!$C$5:$C$1005="Chancho")*(MOVIMIENTOS!$D$5:$D$1005="sacos")*(MOVIMIENTOS!$A$5:$A$1005&lt;&gt;"")*(MOVIMIENTOS!$A$5:$A$1005&lt;=$A356)*MOVIMIENTOS!$E$5:$E$1005)-SUMPRODUCT((MOVIMIENTOS!$B$5:$B$1005="VENTA CHANCHO")*(MOVIMIENTOS!$C$5:$C$1005="Chancho")*(MOVIMIENTOS!$D$5:$D$1005="sacos")*(MOVIMIENTOS!$A$5:$A$1005&lt;&gt;"")*(MOVIMIENTOS!$A$5:$A$1005&lt;=$A356)*MOVIMIENTOS!$E$5:$E$1005)-SUMPRODUCT((MOVIMIENTOS!$B$5:$B$1005="REGALO")*(MOVIMIENTOS!$C$5:$C$1005="Chancho")*(MOVIMIENTOS!$D$5:$D$1005="sacos")*(MOVIMIENTOS!$A$5:$A$1005&lt;&gt;"")*(MOVIMIENTOS!$A$5:$A$1005&lt;=$A356)*MOVIMIENTOS!$E$5:$E$1005)-SUMPRODUCT((MOVIMIENTOS!$B$5:$B$1005="VENTA")*(MOVIMIENTOS!$C$5:$C$1005="Chancho")*(MOVIMIENTOS!$D$5:$D$1005="sacos")*(MOVIMIENTOS!$A$5:$A$1005&lt;&gt;"")*(MOVIMIENTOS!$A$5:$A$1005&lt;=$A356)*MOVIMIENTOS!$E$5:$E$1005)+SUMPRODUCT((MOVIMIENTOS!$B$5:$B$1005="AJUSTE")*(MOVIMIENTOS!$C$5:$C$1005="Chancho")*(MOVIMIENTOS!$D$5:$D$1005="sacos")*(MOVIMIENTOS!$A$5:$A$1005&lt;&gt;"")*(MOVIMIENTOS!$A$5:$A$1005&lt;=$A356)*MOVIMIENTOS!$E$5:$E$1005))</f>
        <v/>
      </c>
      <c r="G356" s="95" t="str">
        <f t="shared" si="11"/>
        <v/>
      </c>
      <c r="H356" s="63" t="str">
        <f>IF($A356="","",SUMPRODUCT((((MOVIMIENTOS!$B$5:$B$1005="SALDO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356)*MOVIMIENTOS!$J$5:$J$1005))</f>
        <v/>
      </c>
      <c r="I356" s="63"/>
      <c r="J356" s="63" t="str">
        <f>IF(AND(MOVIMIENTOS!$A357&lt;&gt;"",COUNTIF(MOVIMIENTOS!$A$5:$A356,MOVIMIENTOS!$A357)=0),COUNT(J$4:J355)+1,"")</f>
        <v/>
      </c>
      <c r="K356" s="66">
        <f>MOVIMIENTOS!$A357</f>
        <v>46245</v>
      </c>
      <c r="L356" s="63"/>
      <c r="M356" s="63"/>
      <c r="N356" s="63"/>
    </row>
    <row r="357" spans="1:14" ht="15" customHeight="1" x14ac:dyDescent="0.2">
      <c r="A357" s="63" t="str">
        <f t="shared" si="10"/>
        <v/>
      </c>
      <c r="B357" s="63" t="str">
        <f>IF($A357="","",SUMPRODUCT((MOVIMIENTOS!$B$5:$B$1005="SALDO INICIAL")*(MOVIMIENTOS!$C$5:$C$1005="A")*(MOVIMIENTOS!$D$5:$D$1005="jabas")*(MOVIMIENTOS!$A$5:$A$1005&lt;&gt;"")*(MOVIMIENTOS!$A$5:$A$1005&lt;=$A357)*MOVIMIENTOS!$E$5:$E$1005)+SUMPRODUCT((MOVIMIENTOS!$B$5:$B$1005="PROCESO")*(MOVIMIENTOS!$C$5:$C$1005="A")*(MOVIMIENTOS!$D$5:$D$1005="jabas")*(MOVIMIENTOS!$A$5:$A$1005&lt;&gt;"")*(MOVIMIENTOS!$A$5:$A$1005&lt;=$A357)*MOVIMIENTOS!$E$5:$E$1005)-SUMPRODUCT((MOVIMIENTOS!$B$5:$B$1005="ENVÍO A SUPESA")*(MOVIMIENTOS!$C$5:$C$1005="A")*(MOVIMIENTOS!$D$5:$D$1005="jabas")*(MOVIMIENTOS!$A$5:$A$1005&lt;&gt;"")*(MOVIMIENTOS!$A$5:$A$1005&lt;=$A357)*MOVIMIENTOS!$E$5:$E$1005)+SUMPRODUCT((MOVIMIENTOS!$B$5:$B$1005="DEVOLUCIÓN")*(MOVIMIENTOS!$C$5:$C$1005="A")*(MOVIMIENTOS!$D$5:$D$1005="jabas")*(MOVIMIENTOS!$A$5:$A$1005&lt;&gt;"")*(MOVIMIENTOS!$A$5:$A$1005&lt;=$A357)*MOVIMIENTOS!$E$5:$E$1005)-SUMPRODUCT((MOVIMIENTOS!$B$5:$B$1005="TRASIEGO")*(MOVIMIENTOS!$C$5:$C$1005="A")*(MOVIMIENTOS!$D$5:$D$1005="jabas")*(MOVIMIENTOS!$A$5:$A$1005&lt;&gt;"")*(MOVIMIENTOS!$A$5:$A$1005&lt;=$A357)*MOVIMIENTOS!$E$5:$E$1005)-SUMPRODUCT((MOVIMIENTOS!$B$5:$B$1005="REGALO")*(MOVIMIENTOS!$C$5:$C$1005="A")*(MOVIMIENTOS!$D$5:$D$1005="jabas")*(MOVIMIENTOS!$A$5:$A$1005&lt;&gt;"")*(MOVIMIENTOS!$A$5:$A$1005&lt;=$A357)*MOVIMIENTOS!$E$5:$E$1005)-SUMPRODUCT((MOVIMIENTOS!$B$5:$B$1005="VENTA")*(MOVIMIENTOS!$C$5:$C$1005="A")*(MOVIMIENTOS!$D$5:$D$1005="jabas")*(MOVIMIENTOS!$A$5:$A$1005&lt;&gt;"")*(MOVIMIENTOS!$A$5:$A$1005&lt;=$A357)*MOVIMIENTOS!$E$5:$E$1005)+SUMPRODUCT((MOVIMIENTOS!$B$5:$B$1005="AJUSTE")*(MOVIMIENTOS!$C$5:$C$1005="A")*(MOVIMIENTOS!$D$5:$D$1005="jabas")*(MOVIMIENTOS!$A$5:$A$1005&lt;&gt;"")*(MOVIMIENTOS!$A$5:$A$1005&lt;=$A357)*MOVIMIENTOS!$E$5:$E$1005))</f>
        <v/>
      </c>
      <c r="C357" s="63" t="str">
        <f>IF($A357="","",SUMPRODUCT((MOVIMIENTOS!$B$5:$B$1005="SALDO INICIAL")*(MOVIMIENTOS!$C$5:$C$1005="P")*(MOVIMIENTOS!$D$5:$D$1005="jabas")*(MOVIMIENTOS!$A$5:$A$1005&lt;&gt;"")*(MOVIMIENTOS!$A$5:$A$1005&lt;=$A357)*MOVIMIENTOS!$E$5:$E$1005)+SUMPRODUCT((MOVIMIENTOS!$B$5:$B$1005="PROCESO")*(MOVIMIENTOS!$C$5:$C$1005="P")*(MOVIMIENTOS!$D$5:$D$1005="jabas")*(MOVIMIENTOS!$A$5:$A$1005&lt;&gt;"")*(MOVIMIENTOS!$A$5:$A$1005&lt;=$A357)*MOVIMIENTOS!$E$5:$E$1005)-SUMPRODUCT((MOVIMIENTOS!$B$5:$B$1005="ENVÍO A SUPESA")*(MOVIMIENTOS!$C$5:$C$1005="P")*(MOVIMIENTOS!$D$5:$D$1005="jabas")*(MOVIMIENTOS!$A$5:$A$1005&lt;&gt;"")*(MOVIMIENTOS!$A$5:$A$1005&lt;=$A357)*MOVIMIENTOS!$E$5:$E$1005)+SUMPRODUCT((MOVIMIENTOS!$B$5:$B$1005="DEVOLUCIÓN")*(MOVIMIENTOS!$C$5:$C$1005="P")*(MOVIMIENTOS!$D$5:$D$1005="jabas")*(MOVIMIENTOS!$A$5:$A$1005&lt;&gt;"")*(MOVIMIENTOS!$A$5:$A$1005&lt;=$A357)*MOVIMIENTOS!$E$5:$E$1005)-SUMPRODUCT((MOVIMIENTOS!$B$5:$B$1005="TRASIEGO")*(MOVIMIENTOS!$C$5:$C$1005="P")*(MOVIMIENTOS!$D$5:$D$1005="jabas")*(MOVIMIENTOS!$A$5:$A$1005&lt;&gt;"")*(MOVIMIENTOS!$A$5:$A$1005&lt;=$A357)*MOVIMIENTOS!$E$5:$E$1005)-SUMPRODUCT((MOVIMIENTOS!$B$5:$B$1005="REGALO")*(MOVIMIENTOS!$C$5:$C$1005="P")*(MOVIMIENTOS!$D$5:$D$1005="jabas")*(MOVIMIENTOS!$A$5:$A$1005&lt;&gt;"")*(MOVIMIENTOS!$A$5:$A$1005&lt;=$A357)*MOVIMIENTOS!$E$5:$E$1005)-SUMPRODUCT((MOVIMIENTOS!$B$5:$B$1005="VENTA")*(MOVIMIENTOS!$C$5:$C$1005="P")*(MOVIMIENTOS!$D$5:$D$1005="jabas")*(MOVIMIENTOS!$A$5:$A$1005&lt;&gt;"")*(MOVIMIENTOS!$A$5:$A$1005&lt;=$A357)*MOVIMIENTOS!$E$5:$E$1005)+SUMPRODUCT((MOVIMIENTOS!$B$5:$B$1005="AJUSTE")*(MOVIMIENTOS!$C$5:$C$1005="P")*(MOVIMIENTOS!$D$5:$D$1005="jabas")*(MOVIMIENTOS!$A$5:$A$1005&lt;&gt;"")*(MOVIMIENTOS!$A$5:$A$1005&lt;=$A357)*MOVIMIENTOS!$E$5:$E$1005))</f>
        <v/>
      </c>
      <c r="D357" s="63" t="str">
        <f>IF($A357="","",SUMPRODUCT((MOVIMIENTOS!$B$5:$B$1005="SALDO INICIAL")*(MOVIMIENTOS!$C$5:$C$1005="C")*(MOVIMIENTOS!$D$5:$D$1005="jabas")*(MOVIMIENTOS!$A$5:$A$1005&lt;&gt;"")*(MOVIMIENTOS!$A$5:$A$1005&lt;=$A357)*MOVIMIENTOS!$E$5:$E$1005)+SUMPRODUCT((MOVIMIENTOS!$B$5:$B$1005="PROCESO")*(MOVIMIENTOS!$C$5:$C$1005="C")*(MOVIMIENTOS!$D$5:$D$1005="jabas")*(MOVIMIENTOS!$A$5:$A$1005&lt;&gt;"")*(MOVIMIENTOS!$A$5:$A$1005&lt;=$A357)*MOVIMIENTOS!$E$5:$E$1005)-SUMPRODUCT((MOVIMIENTOS!$B$5:$B$1005="ENVÍO A SUPESA")*(MOVIMIENTOS!$C$5:$C$1005="C")*(MOVIMIENTOS!$D$5:$D$1005="jabas")*(MOVIMIENTOS!$A$5:$A$1005&lt;&gt;"")*(MOVIMIENTOS!$A$5:$A$1005&lt;=$A357)*MOVIMIENTOS!$E$5:$E$1005)+SUMPRODUCT((MOVIMIENTOS!$B$5:$B$1005="DEVOLUCIÓN")*(MOVIMIENTOS!$C$5:$C$1005="C")*(MOVIMIENTOS!$D$5:$D$1005="jabas")*(MOVIMIENTOS!$A$5:$A$1005&lt;&gt;"")*(MOVIMIENTOS!$A$5:$A$1005&lt;=$A357)*MOVIMIENTOS!$E$5:$E$1005)-SUMPRODUCT((MOVIMIENTOS!$B$5:$B$1005="TRASIEGO")*(MOVIMIENTOS!$C$5:$C$1005="C")*(MOVIMIENTOS!$D$5:$D$1005="jabas")*(MOVIMIENTOS!$A$5:$A$1005&lt;&gt;"")*(MOVIMIENTOS!$A$5:$A$1005&lt;=$A357)*MOVIMIENTOS!$E$5:$E$1005)-SUMPRODUCT((MOVIMIENTOS!$B$5:$B$1005="REGALO")*(MOVIMIENTOS!$C$5:$C$1005="C")*(MOVIMIENTOS!$D$5:$D$1005="jabas")*(MOVIMIENTOS!$A$5:$A$1005&lt;&gt;"")*(MOVIMIENTOS!$A$5:$A$1005&lt;=$A357)*MOVIMIENTOS!$E$5:$E$1005)-SUMPRODUCT((MOVIMIENTOS!$B$5:$B$1005="VENTA")*(MOVIMIENTOS!$C$5:$C$1005="C")*(MOVIMIENTOS!$D$5:$D$1005="jabas")*(MOVIMIENTOS!$A$5:$A$1005&lt;&gt;"")*(MOVIMIENTOS!$A$5:$A$1005&lt;=$A357)*MOVIMIENTOS!$E$5:$E$1005)+SUMPRODUCT((MOVIMIENTOS!$B$5:$B$1005="AJUSTE")*(MOVIMIENTOS!$C$5:$C$1005="C")*(MOVIMIENTOS!$D$5:$D$1005="jabas")*(MOVIMIENTOS!$A$5:$A$1005&lt;&gt;"")*(MOVIMIENTOS!$A$5:$A$1005&lt;=$A357)*MOVIMIENTOS!$E$5:$E$1005))</f>
        <v/>
      </c>
      <c r="E357" s="63" t="str">
        <f>IF($A357="","",SUMPRODUCT((MOVIMIENTOS!$B$5:$B$1005="SALDO INICIAL")*(MOVIMIENTOS!$C$5:$C$1005="M")*(MOVIMIENTOS!$D$5:$D$1005="jabas")*(MOVIMIENTOS!$A$5:$A$1005&lt;&gt;"")*(MOVIMIENTOS!$A$5:$A$1005&lt;=$A357)*MOVIMIENTOS!$E$5:$E$1005)+SUMPRODUCT((MOVIMIENTOS!$B$5:$B$1005="PROCESO")*(MOVIMIENTOS!$C$5:$C$1005="M")*(MOVIMIENTOS!$D$5:$D$1005="jabas")*(MOVIMIENTOS!$A$5:$A$1005&lt;&gt;"")*(MOVIMIENTOS!$A$5:$A$1005&lt;=$A357)*MOVIMIENTOS!$E$5:$E$1005)-SUMPRODUCT((MOVIMIENTOS!$B$5:$B$1005="ENVÍO A SUPESA")*(MOVIMIENTOS!$C$5:$C$1005="M")*(MOVIMIENTOS!$D$5:$D$1005="jabas")*(MOVIMIENTOS!$A$5:$A$1005&lt;&gt;"")*(MOVIMIENTOS!$A$5:$A$1005&lt;=$A357)*MOVIMIENTOS!$E$5:$E$1005)+SUMPRODUCT((MOVIMIENTOS!$B$5:$B$1005="DEVOLUCIÓN")*(MOVIMIENTOS!$C$5:$C$1005="M")*(MOVIMIENTOS!$D$5:$D$1005="jabas")*(MOVIMIENTOS!$A$5:$A$1005&lt;&gt;"")*(MOVIMIENTOS!$A$5:$A$1005&lt;=$A357)*MOVIMIENTOS!$E$5:$E$1005)-SUMPRODUCT((MOVIMIENTOS!$B$5:$B$1005="TRASIEGO")*(MOVIMIENTOS!$C$5:$C$1005="M")*(MOVIMIENTOS!$D$5:$D$1005="jabas")*(MOVIMIENTOS!$A$5:$A$1005&lt;&gt;"")*(MOVIMIENTOS!$A$5:$A$1005&lt;=$A357)*MOVIMIENTOS!$E$5:$E$1005)-SUMPRODUCT((MOVIMIENTOS!$B$5:$B$1005="REGALO")*(MOVIMIENTOS!$C$5:$C$1005="M")*(MOVIMIENTOS!$D$5:$D$1005="jabas")*(MOVIMIENTOS!$A$5:$A$1005&lt;&gt;"")*(MOVIMIENTOS!$A$5:$A$1005&lt;=$A357)*MOVIMIENTOS!$E$5:$E$1005)-SUMPRODUCT((MOVIMIENTOS!$B$5:$B$1005="VENTA")*(MOVIMIENTOS!$C$5:$C$1005="M")*(MOVIMIENTOS!$D$5:$D$1005="jabas")*(MOVIMIENTOS!$A$5:$A$1005&lt;&gt;"")*(MOVIMIENTOS!$A$5:$A$1005&lt;=$A357)*MOVIMIENTOS!$E$5:$E$1005)+SUMPRODUCT((MOVIMIENTOS!$B$5:$B$1005="AJUSTE")*(MOVIMIENTOS!$C$5:$C$1005="M")*(MOVIMIENTOS!$D$5:$D$1005="jabas")*(MOVIMIENTOS!$A$5:$A$1005&lt;&gt;"")*(MOVIMIENTOS!$A$5:$A$1005&lt;=$A357)*MOVIMIENTOS!$E$5:$E$1005))</f>
        <v/>
      </c>
      <c r="F357" s="63" t="str">
        <f>IF($A357="","",SUMPRODUCT((MOVIMIENTOS!$B$5:$B$1005="SALDO INICIAL")*(MOVIMIENTOS!$C$5:$C$1005="Chancho")*(MOVIMIENTOS!$D$5:$D$1005="sacos")*(MOVIMIENTOS!$A$5:$A$1005&lt;&gt;"")*(MOVIMIENTOS!$A$5:$A$1005&lt;=$A357)*MOVIMIENTOS!$E$5:$E$1005)+SUMPRODUCT((MOVIMIENTOS!$B$5:$B$1005="PROCESO")*(MOVIMIENTOS!$C$5:$C$1005="Chancho")*(MOVIMIENTOS!$D$5:$D$1005="sacos")*(MOVIMIENTOS!$A$5:$A$1005&lt;&gt;"")*(MOVIMIENTOS!$A$5:$A$1005&lt;=$A357)*MOVIMIENTOS!$E$5:$E$1005)-SUMPRODUCT((MOVIMIENTOS!$B$5:$B$1005="VENTA CHANCHO")*(MOVIMIENTOS!$C$5:$C$1005="Chancho")*(MOVIMIENTOS!$D$5:$D$1005="sacos")*(MOVIMIENTOS!$A$5:$A$1005&lt;&gt;"")*(MOVIMIENTOS!$A$5:$A$1005&lt;=$A357)*MOVIMIENTOS!$E$5:$E$1005)-SUMPRODUCT((MOVIMIENTOS!$B$5:$B$1005="REGALO")*(MOVIMIENTOS!$C$5:$C$1005="Chancho")*(MOVIMIENTOS!$D$5:$D$1005="sacos")*(MOVIMIENTOS!$A$5:$A$1005&lt;&gt;"")*(MOVIMIENTOS!$A$5:$A$1005&lt;=$A357)*MOVIMIENTOS!$E$5:$E$1005)-SUMPRODUCT((MOVIMIENTOS!$B$5:$B$1005="VENTA")*(MOVIMIENTOS!$C$5:$C$1005="Chancho")*(MOVIMIENTOS!$D$5:$D$1005="sacos")*(MOVIMIENTOS!$A$5:$A$1005&lt;&gt;"")*(MOVIMIENTOS!$A$5:$A$1005&lt;=$A357)*MOVIMIENTOS!$E$5:$E$1005)+SUMPRODUCT((MOVIMIENTOS!$B$5:$B$1005="AJUSTE")*(MOVIMIENTOS!$C$5:$C$1005="Chancho")*(MOVIMIENTOS!$D$5:$D$1005="sacos")*(MOVIMIENTOS!$A$5:$A$1005&lt;&gt;"")*(MOVIMIENTOS!$A$5:$A$1005&lt;=$A357)*MOVIMIENTOS!$E$5:$E$1005))</f>
        <v/>
      </c>
      <c r="G357" s="95" t="str">
        <f t="shared" si="11"/>
        <v/>
      </c>
      <c r="H357" s="63" t="str">
        <f>IF($A357="","",SUMPRODUCT((((MOVIMIENTOS!$B$5:$B$1005="SALDO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357)*MOVIMIENTOS!$J$5:$J$1005))</f>
        <v/>
      </c>
      <c r="I357" s="63"/>
      <c r="J357" s="63" t="str">
        <f>IF(AND(MOVIMIENTOS!$A358&lt;&gt;"",COUNTIF(MOVIMIENTOS!$A$5:$A357,MOVIMIENTOS!$A358)=0),COUNT(J$4:J356)+1,"")</f>
        <v/>
      </c>
      <c r="K357" s="66">
        <f>MOVIMIENTOS!$A358</f>
        <v>46245</v>
      </c>
      <c r="L357" s="63"/>
      <c r="M357" s="63"/>
      <c r="N357" s="63"/>
    </row>
    <row r="358" spans="1:14" ht="15" customHeight="1" x14ac:dyDescent="0.2">
      <c r="A358" s="63" t="str">
        <f t="shared" si="10"/>
        <v/>
      </c>
      <c r="B358" s="63" t="str">
        <f>IF($A358="","",SUMPRODUCT((MOVIMIENTOS!$B$5:$B$1005="SALDO INICIAL")*(MOVIMIENTOS!$C$5:$C$1005="A")*(MOVIMIENTOS!$D$5:$D$1005="jabas")*(MOVIMIENTOS!$A$5:$A$1005&lt;&gt;"")*(MOVIMIENTOS!$A$5:$A$1005&lt;=$A358)*MOVIMIENTOS!$E$5:$E$1005)+SUMPRODUCT((MOVIMIENTOS!$B$5:$B$1005="PROCESO")*(MOVIMIENTOS!$C$5:$C$1005="A")*(MOVIMIENTOS!$D$5:$D$1005="jabas")*(MOVIMIENTOS!$A$5:$A$1005&lt;&gt;"")*(MOVIMIENTOS!$A$5:$A$1005&lt;=$A358)*MOVIMIENTOS!$E$5:$E$1005)-SUMPRODUCT((MOVIMIENTOS!$B$5:$B$1005="ENVÍO A SUPESA")*(MOVIMIENTOS!$C$5:$C$1005="A")*(MOVIMIENTOS!$D$5:$D$1005="jabas")*(MOVIMIENTOS!$A$5:$A$1005&lt;&gt;"")*(MOVIMIENTOS!$A$5:$A$1005&lt;=$A358)*MOVIMIENTOS!$E$5:$E$1005)+SUMPRODUCT((MOVIMIENTOS!$B$5:$B$1005="DEVOLUCIÓN")*(MOVIMIENTOS!$C$5:$C$1005="A")*(MOVIMIENTOS!$D$5:$D$1005="jabas")*(MOVIMIENTOS!$A$5:$A$1005&lt;&gt;"")*(MOVIMIENTOS!$A$5:$A$1005&lt;=$A358)*MOVIMIENTOS!$E$5:$E$1005)-SUMPRODUCT((MOVIMIENTOS!$B$5:$B$1005="TRASIEGO")*(MOVIMIENTOS!$C$5:$C$1005="A")*(MOVIMIENTOS!$D$5:$D$1005="jabas")*(MOVIMIENTOS!$A$5:$A$1005&lt;&gt;"")*(MOVIMIENTOS!$A$5:$A$1005&lt;=$A358)*MOVIMIENTOS!$E$5:$E$1005)-SUMPRODUCT((MOVIMIENTOS!$B$5:$B$1005="REGALO")*(MOVIMIENTOS!$C$5:$C$1005="A")*(MOVIMIENTOS!$D$5:$D$1005="jabas")*(MOVIMIENTOS!$A$5:$A$1005&lt;&gt;"")*(MOVIMIENTOS!$A$5:$A$1005&lt;=$A358)*MOVIMIENTOS!$E$5:$E$1005)-SUMPRODUCT((MOVIMIENTOS!$B$5:$B$1005="VENTA")*(MOVIMIENTOS!$C$5:$C$1005="A")*(MOVIMIENTOS!$D$5:$D$1005="jabas")*(MOVIMIENTOS!$A$5:$A$1005&lt;&gt;"")*(MOVIMIENTOS!$A$5:$A$1005&lt;=$A358)*MOVIMIENTOS!$E$5:$E$1005)+SUMPRODUCT((MOVIMIENTOS!$B$5:$B$1005="AJUSTE")*(MOVIMIENTOS!$C$5:$C$1005="A")*(MOVIMIENTOS!$D$5:$D$1005="jabas")*(MOVIMIENTOS!$A$5:$A$1005&lt;&gt;"")*(MOVIMIENTOS!$A$5:$A$1005&lt;=$A358)*MOVIMIENTOS!$E$5:$E$1005))</f>
        <v/>
      </c>
      <c r="C358" s="63" t="str">
        <f>IF($A358="","",SUMPRODUCT((MOVIMIENTOS!$B$5:$B$1005="SALDO INICIAL")*(MOVIMIENTOS!$C$5:$C$1005="P")*(MOVIMIENTOS!$D$5:$D$1005="jabas")*(MOVIMIENTOS!$A$5:$A$1005&lt;&gt;"")*(MOVIMIENTOS!$A$5:$A$1005&lt;=$A358)*MOVIMIENTOS!$E$5:$E$1005)+SUMPRODUCT((MOVIMIENTOS!$B$5:$B$1005="PROCESO")*(MOVIMIENTOS!$C$5:$C$1005="P")*(MOVIMIENTOS!$D$5:$D$1005="jabas")*(MOVIMIENTOS!$A$5:$A$1005&lt;&gt;"")*(MOVIMIENTOS!$A$5:$A$1005&lt;=$A358)*MOVIMIENTOS!$E$5:$E$1005)-SUMPRODUCT((MOVIMIENTOS!$B$5:$B$1005="ENVÍO A SUPESA")*(MOVIMIENTOS!$C$5:$C$1005="P")*(MOVIMIENTOS!$D$5:$D$1005="jabas")*(MOVIMIENTOS!$A$5:$A$1005&lt;&gt;"")*(MOVIMIENTOS!$A$5:$A$1005&lt;=$A358)*MOVIMIENTOS!$E$5:$E$1005)+SUMPRODUCT((MOVIMIENTOS!$B$5:$B$1005="DEVOLUCIÓN")*(MOVIMIENTOS!$C$5:$C$1005="P")*(MOVIMIENTOS!$D$5:$D$1005="jabas")*(MOVIMIENTOS!$A$5:$A$1005&lt;&gt;"")*(MOVIMIENTOS!$A$5:$A$1005&lt;=$A358)*MOVIMIENTOS!$E$5:$E$1005)-SUMPRODUCT((MOVIMIENTOS!$B$5:$B$1005="TRASIEGO")*(MOVIMIENTOS!$C$5:$C$1005="P")*(MOVIMIENTOS!$D$5:$D$1005="jabas")*(MOVIMIENTOS!$A$5:$A$1005&lt;&gt;"")*(MOVIMIENTOS!$A$5:$A$1005&lt;=$A358)*MOVIMIENTOS!$E$5:$E$1005)-SUMPRODUCT((MOVIMIENTOS!$B$5:$B$1005="REGALO")*(MOVIMIENTOS!$C$5:$C$1005="P")*(MOVIMIENTOS!$D$5:$D$1005="jabas")*(MOVIMIENTOS!$A$5:$A$1005&lt;&gt;"")*(MOVIMIENTOS!$A$5:$A$1005&lt;=$A358)*MOVIMIENTOS!$E$5:$E$1005)-SUMPRODUCT((MOVIMIENTOS!$B$5:$B$1005="VENTA")*(MOVIMIENTOS!$C$5:$C$1005="P")*(MOVIMIENTOS!$D$5:$D$1005="jabas")*(MOVIMIENTOS!$A$5:$A$1005&lt;&gt;"")*(MOVIMIENTOS!$A$5:$A$1005&lt;=$A358)*MOVIMIENTOS!$E$5:$E$1005)+SUMPRODUCT((MOVIMIENTOS!$B$5:$B$1005="AJUSTE")*(MOVIMIENTOS!$C$5:$C$1005="P")*(MOVIMIENTOS!$D$5:$D$1005="jabas")*(MOVIMIENTOS!$A$5:$A$1005&lt;&gt;"")*(MOVIMIENTOS!$A$5:$A$1005&lt;=$A358)*MOVIMIENTOS!$E$5:$E$1005))</f>
        <v/>
      </c>
      <c r="D358" s="63" t="str">
        <f>IF($A358="","",SUMPRODUCT((MOVIMIENTOS!$B$5:$B$1005="SALDO INICIAL")*(MOVIMIENTOS!$C$5:$C$1005="C")*(MOVIMIENTOS!$D$5:$D$1005="jabas")*(MOVIMIENTOS!$A$5:$A$1005&lt;&gt;"")*(MOVIMIENTOS!$A$5:$A$1005&lt;=$A358)*MOVIMIENTOS!$E$5:$E$1005)+SUMPRODUCT((MOVIMIENTOS!$B$5:$B$1005="PROCESO")*(MOVIMIENTOS!$C$5:$C$1005="C")*(MOVIMIENTOS!$D$5:$D$1005="jabas")*(MOVIMIENTOS!$A$5:$A$1005&lt;&gt;"")*(MOVIMIENTOS!$A$5:$A$1005&lt;=$A358)*MOVIMIENTOS!$E$5:$E$1005)-SUMPRODUCT((MOVIMIENTOS!$B$5:$B$1005="ENVÍO A SUPESA")*(MOVIMIENTOS!$C$5:$C$1005="C")*(MOVIMIENTOS!$D$5:$D$1005="jabas")*(MOVIMIENTOS!$A$5:$A$1005&lt;&gt;"")*(MOVIMIENTOS!$A$5:$A$1005&lt;=$A358)*MOVIMIENTOS!$E$5:$E$1005)+SUMPRODUCT((MOVIMIENTOS!$B$5:$B$1005="DEVOLUCIÓN")*(MOVIMIENTOS!$C$5:$C$1005="C")*(MOVIMIENTOS!$D$5:$D$1005="jabas")*(MOVIMIENTOS!$A$5:$A$1005&lt;&gt;"")*(MOVIMIENTOS!$A$5:$A$1005&lt;=$A358)*MOVIMIENTOS!$E$5:$E$1005)-SUMPRODUCT((MOVIMIENTOS!$B$5:$B$1005="TRASIEGO")*(MOVIMIENTOS!$C$5:$C$1005="C")*(MOVIMIENTOS!$D$5:$D$1005="jabas")*(MOVIMIENTOS!$A$5:$A$1005&lt;&gt;"")*(MOVIMIENTOS!$A$5:$A$1005&lt;=$A358)*MOVIMIENTOS!$E$5:$E$1005)-SUMPRODUCT((MOVIMIENTOS!$B$5:$B$1005="REGALO")*(MOVIMIENTOS!$C$5:$C$1005="C")*(MOVIMIENTOS!$D$5:$D$1005="jabas")*(MOVIMIENTOS!$A$5:$A$1005&lt;&gt;"")*(MOVIMIENTOS!$A$5:$A$1005&lt;=$A358)*MOVIMIENTOS!$E$5:$E$1005)-SUMPRODUCT((MOVIMIENTOS!$B$5:$B$1005="VENTA")*(MOVIMIENTOS!$C$5:$C$1005="C")*(MOVIMIENTOS!$D$5:$D$1005="jabas")*(MOVIMIENTOS!$A$5:$A$1005&lt;&gt;"")*(MOVIMIENTOS!$A$5:$A$1005&lt;=$A358)*MOVIMIENTOS!$E$5:$E$1005)+SUMPRODUCT((MOVIMIENTOS!$B$5:$B$1005="AJUSTE")*(MOVIMIENTOS!$C$5:$C$1005="C")*(MOVIMIENTOS!$D$5:$D$1005="jabas")*(MOVIMIENTOS!$A$5:$A$1005&lt;&gt;"")*(MOVIMIENTOS!$A$5:$A$1005&lt;=$A358)*MOVIMIENTOS!$E$5:$E$1005))</f>
        <v/>
      </c>
      <c r="E358" s="63" t="str">
        <f>IF($A358="","",SUMPRODUCT((MOVIMIENTOS!$B$5:$B$1005="SALDO INICIAL")*(MOVIMIENTOS!$C$5:$C$1005="M")*(MOVIMIENTOS!$D$5:$D$1005="jabas")*(MOVIMIENTOS!$A$5:$A$1005&lt;&gt;"")*(MOVIMIENTOS!$A$5:$A$1005&lt;=$A358)*MOVIMIENTOS!$E$5:$E$1005)+SUMPRODUCT((MOVIMIENTOS!$B$5:$B$1005="PROCESO")*(MOVIMIENTOS!$C$5:$C$1005="M")*(MOVIMIENTOS!$D$5:$D$1005="jabas")*(MOVIMIENTOS!$A$5:$A$1005&lt;&gt;"")*(MOVIMIENTOS!$A$5:$A$1005&lt;=$A358)*MOVIMIENTOS!$E$5:$E$1005)-SUMPRODUCT((MOVIMIENTOS!$B$5:$B$1005="ENVÍO A SUPESA")*(MOVIMIENTOS!$C$5:$C$1005="M")*(MOVIMIENTOS!$D$5:$D$1005="jabas")*(MOVIMIENTOS!$A$5:$A$1005&lt;&gt;"")*(MOVIMIENTOS!$A$5:$A$1005&lt;=$A358)*MOVIMIENTOS!$E$5:$E$1005)+SUMPRODUCT((MOVIMIENTOS!$B$5:$B$1005="DEVOLUCIÓN")*(MOVIMIENTOS!$C$5:$C$1005="M")*(MOVIMIENTOS!$D$5:$D$1005="jabas")*(MOVIMIENTOS!$A$5:$A$1005&lt;&gt;"")*(MOVIMIENTOS!$A$5:$A$1005&lt;=$A358)*MOVIMIENTOS!$E$5:$E$1005)-SUMPRODUCT((MOVIMIENTOS!$B$5:$B$1005="TRASIEGO")*(MOVIMIENTOS!$C$5:$C$1005="M")*(MOVIMIENTOS!$D$5:$D$1005="jabas")*(MOVIMIENTOS!$A$5:$A$1005&lt;&gt;"")*(MOVIMIENTOS!$A$5:$A$1005&lt;=$A358)*MOVIMIENTOS!$E$5:$E$1005)-SUMPRODUCT((MOVIMIENTOS!$B$5:$B$1005="REGALO")*(MOVIMIENTOS!$C$5:$C$1005="M")*(MOVIMIENTOS!$D$5:$D$1005="jabas")*(MOVIMIENTOS!$A$5:$A$1005&lt;&gt;"")*(MOVIMIENTOS!$A$5:$A$1005&lt;=$A358)*MOVIMIENTOS!$E$5:$E$1005)-SUMPRODUCT((MOVIMIENTOS!$B$5:$B$1005="VENTA")*(MOVIMIENTOS!$C$5:$C$1005="M")*(MOVIMIENTOS!$D$5:$D$1005="jabas")*(MOVIMIENTOS!$A$5:$A$1005&lt;&gt;"")*(MOVIMIENTOS!$A$5:$A$1005&lt;=$A358)*MOVIMIENTOS!$E$5:$E$1005)+SUMPRODUCT((MOVIMIENTOS!$B$5:$B$1005="AJUSTE")*(MOVIMIENTOS!$C$5:$C$1005="M")*(MOVIMIENTOS!$D$5:$D$1005="jabas")*(MOVIMIENTOS!$A$5:$A$1005&lt;&gt;"")*(MOVIMIENTOS!$A$5:$A$1005&lt;=$A358)*MOVIMIENTOS!$E$5:$E$1005))</f>
        <v/>
      </c>
      <c r="F358" s="63" t="str">
        <f>IF($A358="","",SUMPRODUCT((MOVIMIENTOS!$B$5:$B$1005="SALDO INICIAL")*(MOVIMIENTOS!$C$5:$C$1005="Chancho")*(MOVIMIENTOS!$D$5:$D$1005="sacos")*(MOVIMIENTOS!$A$5:$A$1005&lt;&gt;"")*(MOVIMIENTOS!$A$5:$A$1005&lt;=$A358)*MOVIMIENTOS!$E$5:$E$1005)+SUMPRODUCT((MOVIMIENTOS!$B$5:$B$1005="PROCESO")*(MOVIMIENTOS!$C$5:$C$1005="Chancho")*(MOVIMIENTOS!$D$5:$D$1005="sacos")*(MOVIMIENTOS!$A$5:$A$1005&lt;&gt;"")*(MOVIMIENTOS!$A$5:$A$1005&lt;=$A358)*MOVIMIENTOS!$E$5:$E$1005)-SUMPRODUCT((MOVIMIENTOS!$B$5:$B$1005="VENTA CHANCHO")*(MOVIMIENTOS!$C$5:$C$1005="Chancho")*(MOVIMIENTOS!$D$5:$D$1005="sacos")*(MOVIMIENTOS!$A$5:$A$1005&lt;&gt;"")*(MOVIMIENTOS!$A$5:$A$1005&lt;=$A358)*MOVIMIENTOS!$E$5:$E$1005)-SUMPRODUCT((MOVIMIENTOS!$B$5:$B$1005="REGALO")*(MOVIMIENTOS!$C$5:$C$1005="Chancho")*(MOVIMIENTOS!$D$5:$D$1005="sacos")*(MOVIMIENTOS!$A$5:$A$1005&lt;&gt;"")*(MOVIMIENTOS!$A$5:$A$1005&lt;=$A358)*MOVIMIENTOS!$E$5:$E$1005)-SUMPRODUCT((MOVIMIENTOS!$B$5:$B$1005="VENTA")*(MOVIMIENTOS!$C$5:$C$1005="Chancho")*(MOVIMIENTOS!$D$5:$D$1005="sacos")*(MOVIMIENTOS!$A$5:$A$1005&lt;&gt;"")*(MOVIMIENTOS!$A$5:$A$1005&lt;=$A358)*MOVIMIENTOS!$E$5:$E$1005)+SUMPRODUCT((MOVIMIENTOS!$B$5:$B$1005="AJUSTE")*(MOVIMIENTOS!$C$5:$C$1005="Chancho")*(MOVIMIENTOS!$D$5:$D$1005="sacos")*(MOVIMIENTOS!$A$5:$A$1005&lt;&gt;"")*(MOVIMIENTOS!$A$5:$A$1005&lt;=$A358)*MOVIMIENTOS!$E$5:$E$1005))</f>
        <v/>
      </c>
      <c r="G358" s="95" t="str">
        <f t="shared" si="11"/>
        <v/>
      </c>
      <c r="H358" s="63" t="str">
        <f>IF($A358="","",SUMPRODUCT((((MOVIMIENTOS!$B$5:$B$1005="SALDO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358)*MOVIMIENTOS!$J$5:$J$1005))</f>
        <v/>
      </c>
      <c r="I358" s="63"/>
      <c r="J358" s="63" t="str">
        <f>IF(AND(MOVIMIENTOS!$A359&lt;&gt;"",COUNTIF(MOVIMIENTOS!$A$5:$A358,MOVIMIENTOS!$A359)=0),COUNT(J$4:J357)+1,"")</f>
        <v/>
      </c>
      <c r="K358" s="66">
        <f>MOVIMIENTOS!$A359</f>
        <v>46245</v>
      </c>
      <c r="L358" s="63"/>
      <c r="M358" s="63"/>
      <c r="N358" s="63"/>
    </row>
    <row r="359" spans="1:14" ht="15" customHeight="1" x14ac:dyDescent="0.2">
      <c r="A359" s="63" t="str">
        <f t="shared" si="10"/>
        <v/>
      </c>
      <c r="B359" s="63" t="str">
        <f>IF($A359="","",SUMPRODUCT((MOVIMIENTOS!$B$5:$B$1005="SALDO INICIAL")*(MOVIMIENTOS!$C$5:$C$1005="A")*(MOVIMIENTOS!$D$5:$D$1005="jabas")*(MOVIMIENTOS!$A$5:$A$1005&lt;&gt;"")*(MOVIMIENTOS!$A$5:$A$1005&lt;=$A359)*MOVIMIENTOS!$E$5:$E$1005)+SUMPRODUCT((MOVIMIENTOS!$B$5:$B$1005="PROCESO")*(MOVIMIENTOS!$C$5:$C$1005="A")*(MOVIMIENTOS!$D$5:$D$1005="jabas")*(MOVIMIENTOS!$A$5:$A$1005&lt;&gt;"")*(MOVIMIENTOS!$A$5:$A$1005&lt;=$A359)*MOVIMIENTOS!$E$5:$E$1005)-SUMPRODUCT((MOVIMIENTOS!$B$5:$B$1005="ENVÍO A SUPESA")*(MOVIMIENTOS!$C$5:$C$1005="A")*(MOVIMIENTOS!$D$5:$D$1005="jabas")*(MOVIMIENTOS!$A$5:$A$1005&lt;&gt;"")*(MOVIMIENTOS!$A$5:$A$1005&lt;=$A359)*MOVIMIENTOS!$E$5:$E$1005)+SUMPRODUCT((MOVIMIENTOS!$B$5:$B$1005="DEVOLUCIÓN")*(MOVIMIENTOS!$C$5:$C$1005="A")*(MOVIMIENTOS!$D$5:$D$1005="jabas")*(MOVIMIENTOS!$A$5:$A$1005&lt;&gt;"")*(MOVIMIENTOS!$A$5:$A$1005&lt;=$A359)*MOVIMIENTOS!$E$5:$E$1005)-SUMPRODUCT((MOVIMIENTOS!$B$5:$B$1005="TRASIEGO")*(MOVIMIENTOS!$C$5:$C$1005="A")*(MOVIMIENTOS!$D$5:$D$1005="jabas")*(MOVIMIENTOS!$A$5:$A$1005&lt;&gt;"")*(MOVIMIENTOS!$A$5:$A$1005&lt;=$A359)*MOVIMIENTOS!$E$5:$E$1005)-SUMPRODUCT((MOVIMIENTOS!$B$5:$B$1005="REGALO")*(MOVIMIENTOS!$C$5:$C$1005="A")*(MOVIMIENTOS!$D$5:$D$1005="jabas")*(MOVIMIENTOS!$A$5:$A$1005&lt;&gt;"")*(MOVIMIENTOS!$A$5:$A$1005&lt;=$A359)*MOVIMIENTOS!$E$5:$E$1005)-SUMPRODUCT((MOVIMIENTOS!$B$5:$B$1005="VENTA")*(MOVIMIENTOS!$C$5:$C$1005="A")*(MOVIMIENTOS!$D$5:$D$1005="jabas")*(MOVIMIENTOS!$A$5:$A$1005&lt;&gt;"")*(MOVIMIENTOS!$A$5:$A$1005&lt;=$A359)*MOVIMIENTOS!$E$5:$E$1005)+SUMPRODUCT((MOVIMIENTOS!$B$5:$B$1005="AJUSTE")*(MOVIMIENTOS!$C$5:$C$1005="A")*(MOVIMIENTOS!$D$5:$D$1005="jabas")*(MOVIMIENTOS!$A$5:$A$1005&lt;&gt;"")*(MOVIMIENTOS!$A$5:$A$1005&lt;=$A359)*MOVIMIENTOS!$E$5:$E$1005))</f>
        <v/>
      </c>
      <c r="C359" s="63" t="str">
        <f>IF($A359="","",SUMPRODUCT((MOVIMIENTOS!$B$5:$B$1005="SALDO INICIAL")*(MOVIMIENTOS!$C$5:$C$1005="P")*(MOVIMIENTOS!$D$5:$D$1005="jabas")*(MOVIMIENTOS!$A$5:$A$1005&lt;&gt;"")*(MOVIMIENTOS!$A$5:$A$1005&lt;=$A359)*MOVIMIENTOS!$E$5:$E$1005)+SUMPRODUCT((MOVIMIENTOS!$B$5:$B$1005="PROCESO")*(MOVIMIENTOS!$C$5:$C$1005="P")*(MOVIMIENTOS!$D$5:$D$1005="jabas")*(MOVIMIENTOS!$A$5:$A$1005&lt;&gt;"")*(MOVIMIENTOS!$A$5:$A$1005&lt;=$A359)*MOVIMIENTOS!$E$5:$E$1005)-SUMPRODUCT((MOVIMIENTOS!$B$5:$B$1005="ENVÍO A SUPESA")*(MOVIMIENTOS!$C$5:$C$1005="P")*(MOVIMIENTOS!$D$5:$D$1005="jabas")*(MOVIMIENTOS!$A$5:$A$1005&lt;&gt;"")*(MOVIMIENTOS!$A$5:$A$1005&lt;=$A359)*MOVIMIENTOS!$E$5:$E$1005)+SUMPRODUCT((MOVIMIENTOS!$B$5:$B$1005="DEVOLUCIÓN")*(MOVIMIENTOS!$C$5:$C$1005="P")*(MOVIMIENTOS!$D$5:$D$1005="jabas")*(MOVIMIENTOS!$A$5:$A$1005&lt;&gt;"")*(MOVIMIENTOS!$A$5:$A$1005&lt;=$A359)*MOVIMIENTOS!$E$5:$E$1005)-SUMPRODUCT((MOVIMIENTOS!$B$5:$B$1005="TRASIEGO")*(MOVIMIENTOS!$C$5:$C$1005="P")*(MOVIMIENTOS!$D$5:$D$1005="jabas")*(MOVIMIENTOS!$A$5:$A$1005&lt;&gt;"")*(MOVIMIENTOS!$A$5:$A$1005&lt;=$A359)*MOVIMIENTOS!$E$5:$E$1005)-SUMPRODUCT((MOVIMIENTOS!$B$5:$B$1005="REGALO")*(MOVIMIENTOS!$C$5:$C$1005="P")*(MOVIMIENTOS!$D$5:$D$1005="jabas")*(MOVIMIENTOS!$A$5:$A$1005&lt;&gt;"")*(MOVIMIENTOS!$A$5:$A$1005&lt;=$A359)*MOVIMIENTOS!$E$5:$E$1005)-SUMPRODUCT((MOVIMIENTOS!$B$5:$B$1005="VENTA")*(MOVIMIENTOS!$C$5:$C$1005="P")*(MOVIMIENTOS!$D$5:$D$1005="jabas")*(MOVIMIENTOS!$A$5:$A$1005&lt;&gt;"")*(MOVIMIENTOS!$A$5:$A$1005&lt;=$A359)*MOVIMIENTOS!$E$5:$E$1005)+SUMPRODUCT((MOVIMIENTOS!$B$5:$B$1005="AJUSTE")*(MOVIMIENTOS!$C$5:$C$1005="P")*(MOVIMIENTOS!$D$5:$D$1005="jabas")*(MOVIMIENTOS!$A$5:$A$1005&lt;&gt;"")*(MOVIMIENTOS!$A$5:$A$1005&lt;=$A359)*MOVIMIENTOS!$E$5:$E$1005))</f>
        <v/>
      </c>
      <c r="D359" s="63" t="str">
        <f>IF($A359="","",SUMPRODUCT((MOVIMIENTOS!$B$5:$B$1005="SALDO INICIAL")*(MOVIMIENTOS!$C$5:$C$1005="C")*(MOVIMIENTOS!$D$5:$D$1005="jabas")*(MOVIMIENTOS!$A$5:$A$1005&lt;&gt;"")*(MOVIMIENTOS!$A$5:$A$1005&lt;=$A359)*MOVIMIENTOS!$E$5:$E$1005)+SUMPRODUCT((MOVIMIENTOS!$B$5:$B$1005="PROCESO")*(MOVIMIENTOS!$C$5:$C$1005="C")*(MOVIMIENTOS!$D$5:$D$1005="jabas")*(MOVIMIENTOS!$A$5:$A$1005&lt;&gt;"")*(MOVIMIENTOS!$A$5:$A$1005&lt;=$A359)*MOVIMIENTOS!$E$5:$E$1005)-SUMPRODUCT((MOVIMIENTOS!$B$5:$B$1005="ENVÍO A SUPESA")*(MOVIMIENTOS!$C$5:$C$1005="C")*(MOVIMIENTOS!$D$5:$D$1005="jabas")*(MOVIMIENTOS!$A$5:$A$1005&lt;&gt;"")*(MOVIMIENTOS!$A$5:$A$1005&lt;=$A359)*MOVIMIENTOS!$E$5:$E$1005)+SUMPRODUCT((MOVIMIENTOS!$B$5:$B$1005="DEVOLUCIÓN")*(MOVIMIENTOS!$C$5:$C$1005="C")*(MOVIMIENTOS!$D$5:$D$1005="jabas")*(MOVIMIENTOS!$A$5:$A$1005&lt;&gt;"")*(MOVIMIENTOS!$A$5:$A$1005&lt;=$A359)*MOVIMIENTOS!$E$5:$E$1005)-SUMPRODUCT((MOVIMIENTOS!$B$5:$B$1005="TRASIEGO")*(MOVIMIENTOS!$C$5:$C$1005="C")*(MOVIMIENTOS!$D$5:$D$1005="jabas")*(MOVIMIENTOS!$A$5:$A$1005&lt;&gt;"")*(MOVIMIENTOS!$A$5:$A$1005&lt;=$A359)*MOVIMIENTOS!$E$5:$E$1005)-SUMPRODUCT((MOVIMIENTOS!$B$5:$B$1005="REGALO")*(MOVIMIENTOS!$C$5:$C$1005="C")*(MOVIMIENTOS!$D$5:$D$1005="jabas")*(MOVIMIENTOS!$A$5:$A$1005&lt;&gt;"")*(MOVIMIENTOS!$A$5:$A$1005&lt;=$A359)*MOVIMIENTOS!$E$5:$E$1005)-SUMPRODUCT((MOVIMIENTOS!$B$5:$B$1005="VENTA")*(MOVIMIENTOS!$C$5:$C$1005="C")*(MOVIMIENTOS!$D$5:$D$1005="jabas")*(MOVIMIENTOS!$A$5:$A$1005&lt;&gt;"")*(MOVIMIENTOS!$A$5:$A$1005&lt;=$A359)*MOVIMIENTOS!$E$5:$E$1005)+SUMPRODUCT((MOVIMIENTOS!$B$5:$B$1005="AJUSTE")*(MOVIMIENTOS!$C$5:$C$1005="C")*(MOVIMIENTOS!$D$5:$D$1005="jabas")*(MOVIMIENTOS!$A$5:$A$1005&lt;&gt;"")*(MOVIMIENTOS!$A$5:$A$1005&lt;=$A359)*MOVIMIENTOS!$E$5:$E$1005))</f>
        <v/>
      </c>
      <c r="E359" s="63" t="str">
        <f>IF($A359="","",SUMPRODUCT((MOVIMIENTOS!$B$5:$B$1005="SALDO INICIAL")*(MOVIMIENTOS!$C$5:$C$1005="M")*(MOVIMIENTOS!$D$5:$D$1005="jabas")*(MOVIMIENTOS!$A$5:$A$1005&lt;&gt;"")*(MOVIMIENTOS!$A$5:$A$1005&lt;=$A359)*MOVIMIENTOS!$E$5:$E$1005)+SUMPRODUCT((MOVIMIENTOS!$B$5:$B$1005="PROCESO")*(MOVIMIENTOS!$C$5:$C$1005="M")*(MOVIMIENTOS!$D$5:$D$1005="jabas")*(MOVIMIENTOS!$A$5:$A$1005&lt;&gt;"")*(MOVIMIENTOS!$A$5:$A$1005&lt;=$A359)*MOVIMIENTOS!$E$5:$E$1005)-SUMPRODUCT((MOVIMIENTOS!$B$5:$B$1005="ENVÍO A SUPESA")*(MOVIMIENTOS!$C$5:$C$1005="M")*(MOVIMIENTOS!$D$5:$D$1005="jabas")*(MOVIMIENTOS!$A$5:$A$1005&lt;&gt;"")*(MOVIMIENTOS!$A$5:$A$1005&lt;=$A359)*MOVIMIENTOS!$E$5:$E$1005)+SUMPRODUCT((MOVIMIENTOS!$B$5:$B$1005="DEVOLUCIÓN")*(MOVIMIENTOS!$C$5:$C$1005="M")*(MOVIMIENTOS!$D$5:$D$1005="jabas")*(MOVIMIENTOS!$A$5:$A$1005&lt;&gt;"")*(MOVIMIENTOS!$A$5:$A$1005&lt;=$A359)*MOVIMIENTOS!$E$5:$E$1005)-SUMPRODUCT((MOVIMIENTOS!$B$5:$B$1005="TRASIEGO")*(MOVIMIENTOS!$C$5:$C$1005="M")*(MOVIMIENTOS!$D$5:$D$1005="jabas")*(MOVIMIENTOS!$A$5:$A$1005&lt;&gt;"")*(MOVIMIENTOS!$A$5:$A$1005&lt;=$A359)*MOVIMIENTOS!$E$5:$E$1005)-SUMPRODUCT((MOVIMIENTOS!$B$5:$B$1005="REGALO")*(MOVIMIENTOS!$C$5:$C$1005="M")*(MOVIMIENTOS!$D$5:$D$1005="jabas")*(MOVIMIENTOS!$A$5:$A$1005&lt;&gt;"")*(MOVIMIENTOS!$A$5:$A$1005&lt;=$A359)*MOVIMIENTOS!$E$5:$E$1005)-SUMPRODUCT((MOVIMIENTOS!$B$5:$B$1005="VENTA")*(MOVIMIENTOS!$C$5:$C$1005="M")*(MOVIMIENTOS!$D$5:$D$1005="jabas")*(MOVIMIENTOS!$A$5:$A$1005&lt;&gt;"")*(MOVIMIENTOS!$A$5:$A$1005&lt;=$A359)*MOVIMIENTOS!$E$5:$E$1005)+SUMPRODUCT((MOVIMIENTOS!$B$5:$B$1005="AJUSTE")*(MOVIMIENTOS!$C$5:$C$1005="M")*(MOVIMIENTOS!$D$5:$D$1005="jabas")*(MOVIMIENTOS!$A$5:$A$1005&lt;&gt;"")*(MOVIMIENTOS!$A$5:$A$1005&lt;=$A359)*MOVIMIENTOS!$E$5:$E$1005))</f>
        <v/>
      </c>
      <c r="F359" s="63" t="str">
        <f>IF($A359="","",SUMPRODUCT((MOVIMIENTOS!$B$5:$B$1005="SALDO INICIAL")*(MOVIMIENTOS!$C$5:$C$1005="Chancho")*(MOVIMIENTOS!$D$5:$D$1005="sacos")*(MOVIMIENTOS!$A$5:$A$1005&lt;&gt;"")*(MOVIMIENTOS!$A$5:$A$1005&lt;=$A359)*MOVIMIENTOS!$E$5:$E$1005)+SUMPRODUCT((MOVIMIENTOS!$B$5:$B$1005="PROCESO")*(MOVIMIENTOS!$C$5:$C$1005="Chancho")*(MOVIMIENTOS!$D$5:$D$1005="sacos")*(MOVIMIENTOS!$A$5:$A$1005&lt;&gt;"")*(MOVIMIENTOS!$A$5:$A$1005&lt;=$A359)*MOVIMIENTOS!$E$5:$E$1005)-SUMPRODUCT((MOVIMIENTOS!$B$5:$B$1005="VENTA CHANCHO")*(MOVIMIENTOS!$C$5:$C$1005="Chancho")*(MOVIMIENTOS!$D$5:$D$1005="sacos")*(MOVIMIENTOS!$A$5:$A$1005&lt;&gt;"")*(MOVIMIENTOS!$A$5:$A$1005&lt;=$A359)*MOVIMIENTOS!$E$5:$E$1005)-SUMPRODUCT((MOVIMIENTOS!$B$5:$B$1005="REGALO")*(MOVIMIENTOS!$C$5:$C$1005="Chancho")*(MOVIMIENTOS!$D$5:$D$1005="sacos")*(MOVIMIENTOS!$A$5:$A$1005&lt;&gt;"")*(MOVIMIENTOS!$A$5:$A$1005&lt;=$A359)*MOVIMIENTOS!$E$5:$E$1005)-SUMPRODUCT((MOVIMIENTOS!$B$5:$B$1005="VENTA")*(MOVIMIENTOS!$C$5:$C$1005="Chancho")*(MOVIMIENTOS!$D$5:$D$1005="sacos")*(MOVIMIENTOS!$A$5:$A$1005&lt;&gt;"")*(MOVIMIENTOS!$A$5:$A$1005&lt;=$A359)*MOVIMIENTOS!$E$5:$E$1005)+SUMPRODUCT((MOVIMIENTOS!$B$5:$B$1005="AJUSTE")*(MOVIMIENTOS!$C$5:$C$1005="Chancho")*(MOVIMIENTOS!$D$5:$D$1005="sacos")*(MOVIMIENTOS!$A$5:$A$1005&lt;&gt;"")*(MOVIMIENTOS!$A$5:$A$1005&lt;=$A359)*MOVIMIENTOS!$E$5:$E$1005))</f>
        <v/>
      </c>
      <c r="G359" s="95" t="str">
        <f t="shared" si="11"/>
        <v/>
      </c>
      <c r="H359" s="63" t="str">
        <f>IF($A359="","",SUMPRODUCT((((MOVIMIENTOS!$B$5:$B$1005="SALDO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359)*MOVIMIENTOS!$J$5:$J$1005))</f>
        <v/>
      </c>
      <c r="I359" s="63"/>
      <c r="J359" s="63" t="str">
        <f>IF(AND(MOVIMIENTOS!$A360&lt;&gt;"",COUNTIF(MOVIMIENTOS!$A$5:$A359,MOVIMIENTOS!$A360)=0),COUNT(J$4:J358)+1,"")</f>
        <v/>
      </c>
      <c r="K359" s="66">
        <f>MOVIMIENTOS!$A360</f>
        <v>46245</v>
      </c>
      <c r="L359" s="63"/>
      <c r="M359" s="63"/>
      <c r="N359" s="63"/>
    </row>
    <row r="360" spans="1:14" ht="15" customHeight="1" x14ac:dyDescent="0.2">
      <c r="A360" s="63" t="str">
        <f t="shared" si="10"/>
        <v/>
      </c>
      <c r="B360" s="63" t="str">
        <f>IF($A360="","",SUMPRODUCT((MOVIMIENTOS!$B$5:$B$1005="SALDO INICIAL")*(MOVIMIENTOS!$C$5:$C$1005="A")*(MOVIMIENTOS!$D$5:$D$1005="jabas")*(MOVIMIENTOS!$A$5:$A$1005&lt;&gt;"")*(MOVIMIENTOS!$A$5:$A$1005&lt;=$A360)*MOVIMIENTOS!$E$5:$E$1005)+SUMPRODUCT((MOVIMIENTOS!$B$5:$B$1005="PROCESO")*(MOVIMIENTOS!$C$5:$C$1005="A")*(MOVIMIENTOS!$D$5:$D$1005="jabas")*(MOVIMIENTOS!$A$5:$A$1005&lt;&gt;"")*(MOVIMIENTOS!$A$5:$A$1005&lt;=$A360)*MOVIMIENTOS!$E$5:$E$1005)-SUMPRODUCT((MOVIMIENTOS!$B$5:$B$1005="ENVÍO A SUPESA")*(MOVIMIENTOS!$C$5:$C$1005="A")*(MOVIMIENTOS!$D$5:$D$1005="jabas")*(MOVIMIENTOS!$A$5:$A$1005&lt;&gt;"")*(MOVIMIENTOS!$A$5:$A$1005&lt;=$A360)*MOVIMIENTOS!$E$5:$E$1005)+SUMPRODUCT((MOVIMIENTOS!$B$5:$B$1005="DEVOLUCIÓN")*(MOVIMIENTOS!$C$5:$C$1005="A")*(MOVIMIENTOS!$D$5:$D$1005="jabas")*(MOVIMIENTOS!$A$5:$A$1005&lt;&gt;"")*(MOVIMIENTOS!$A$5:$A$1005&lt;=$A360)*MOVIMIENTOS!$E$5:$E$1005)-SUMPRODUCT((MOVIMIENTOS!$B$5:$B$1005="TRASIEGO")*(MOVIMIENTOS!$C$5:$C$1005="A")*(MOVIMIENTOS!$D$5:$D$1005="jabas")*(MOVIMIENTOS!$A$5:$A$1005&lt;&gt;"")*(MOVIMIENTOS!$A$5:$A$1005&lt;=$A360)*MOVIMIENTOS!$E$5:$E$1005)-SUMPRODUCT((MOVIMIENTOS!$B$5:$B$1005="REGALO")*(MOVIMIENTOS!$C$5:$C$1005="A")*(MOVIMIENTOS!$D$5:$D$1005="jabas")*(MOVIMIENTOS!$A$5:$A$1005&lt;&gt;"")*(MOVIMIENTOS!$A$5:$A$1005&lt;=$A360)*MOVIMIENTOS!$E$5:$E$1005)-SUMPRODUCT((MOVIMIENTOS!$B$5:$B$1005="VENTA")*(MOVIMIENTOS!$C$5:$C$1005="A")*(MOVIMIENTOS!$D$5:$D$1005="jabas")*(MOVIMIENTOS!$A$5:$A$1005&lt;&gt;"")*(MOVIMIENTOS!$A$5:$A$1005&lt;=$A360)*MOVIMIENTOS!$E$5:$E$1005)+SUMPRODUCT((MOVIMIENTOS!$B$5:$B$1005="AJUSTE")*(MOVIMIENTOS!$C$5:$C$1005="A")*(MOVIMIENTOS!$D$5:$D$1005="jabas")*(MOVIMIENTOS!$A$5:$A$1005&lt;&gt;"")*(MOVIMIENTOS!$A$5:$A$1005&lt;=$A360)*MOVIMIENTOS!$E$5:$E$1005))</f>
        <v/>
      </c>
      <c r="C360" s="63" t="str">
        <f>IF($A360="","",SUMPRODUCT((MOVIMIENTOS!$B$5:$B$1005="SALDO INICIAL")*(MOVIMIENTOS!$C$5:$C$1005="P")*(MOVIMIENTOS!$D$5:$D$1005="jabas")*(MOVIMIENTOS!$A$5:$A$1005&lt;&gt;"")*(MOVIMIENTOS!$A$5:$A$1005&lt;=$A360)*MOVIMIENTOS!$E$5:$E$1005)+SUMPRODUCT((MOVIMIENTOS!$B$5:$B$1005="PROCESO")*(MOVIMIENTOS!$C$5:$C$1005="P")*(MOVIMIENTOS!$D$5:$D$1005="jabas")*(MOVIMIENTOS!$A$5:$A$1005&lt;&gt;"")*(MOVIMIENTOS!$A$5:$A$1005&lt;=$A360)*MOVIMIENTOS!$E$5:$E$1005)-SUMPRODUCT((MOVIMIENTOS!$B$5:$B$1005="ENVÍO A SUPESA")*(MOVIMIENTOS!$C$5:$C$1005="P")*(MOVIMIENTOS!$D$5:$D$1005="jabas")*(MOVIMIENTOS!$A$5:$A$1005&lt;&gt;"")*(MOVIMIENTOS!$A$5:$A$1005&lt;=$A360)*MOVIMIENTOS!$E$5:$E$1005)+SUMPRODUCT((MOVIMIENTOS!$B$5:$B$1005="DEVOLUCIÓN")*(MOVIMIENTOS!$C$5:$C$1005="P")*(MOVIMIENTOS!$D$5:$D$1005="jabas")*(MOVIMIENTOS!$A$5:$A$1005&lt;&gt;"")*(MOVIMIENTOS!$A$5:$A$1005&lt;=$A360)*MOVIMIENTOS!$E$5:$E$1005)-SUMPRODUCT((MOVIMIENTOS!$B$5:$B$1005="TRASIEGO")*(MOVIMIENTOS!$C$5:$C$1005="P")*(MOVIMIENTOS!$D$5:$D$1005="jabas")*(MOVIMIENTOS!$A$5:$A$1005&lt;&gt;"")*(MOVIMIENTOS!$A$5:$A$1005&lt;=$A360)*MOVIMIENTOS!$E$5:$E$1005)-SUMPRODUCT((MOVIMIENTOS!$B$5:$B$1005="REGALO")*(MOVIMIENTOS!$C$5:$C$1005="P")*(MOVIMIENTOS!$D$5:$D$1005="jabas")*(MOVIMIENTOS!$A$5:$A$1005&lt;&gt;"")*(MOVIMIENTOS!$A$5:$A$1005&lt;=$A360)*MOVIMIENTOS!$E$5:$E$1005)-SUMPRODUCT((MOVIMIENTOS!$B$5:$B$1005="VENTA")*(MOVIMIENTOS!$C$5:$C$1005="P")*(MOVIMIENTOS!$D$5:$D$1005="jabas")*(MOVIMIENTOS!$A$5:$A$1005&lt;&gt;"")*(MOVIMIENTOS!$A$5:$A$1005&lt;=$A360)*MOVIMIENTOS!$E$5:$E$1005)+SUMPRODUCT((MOVIMIENTOS!$B$5:$B$1005="AJUSTE")*(MOVIMIENTOS!$C$5:$C$1005="P")*(MOVIMIENTOS!$D$5:$D$1005="jabas")*(MOVIMIENTOS!$A$5:$A$1005&lt;&gt;"")*(MOVIMIENTOS!$A$5:$A$1005&lt;=$A360)*MOVIMIENTOS!$E$5:$E$1005))</f>
        <v/>
      </c>
      <c r="D360" s="63" t="str">
        <f>IF($A360="","",SUMPRODUCT((MOVIMIENTOS!$B$5:$B$1005="SALDO INICIAL")*(MOVIMIENTOS!$C$5:$C$1005="C")*(MOVIMIENTOS!$D$5:$D$1005="jabas")*(MOVIMIENTOS!$A$5:$A$1005&lt;&gt;"")*(MOVIMIENTOS!$A$5:$A$1005&lt;=$A360)*MOVIMIENTOS!$E$5:$E$1005)+SUMPRODUCT((MOVIMIENTOS!$B$5:$B$1005="PROCESO")*(MOVIMIENTOS!$C$5:$C$1005="C")*(MOVIMIENTOS!$D$5:$D$1005="jabas")*(MOVIMIENTOS!$A$5:$A$1005&lt;&gt;"")*(MOVIMIENTOS!$A$5:$A$1005&lt;=$A360)*MOVIMIENTOS!$E$5:$E$1005)-SUMPRODUCT((MOVIMIENTOS!$B$5:$B$1005="ENVÍO A SUPESA")*(MOVIMIENTOS!$C$5:$C$1005="C")*(MOVIMIENTOS!$D$5:$D$1005="jabas")*(MOVIMIENTOS!$A$5:$A$1005&lt;&gt;"")*(MOVIMIENTOS!$A$5:$A$1005&lt;=$A360)*MOVIMIENTOS!$E$5:$E$1005)+SUMPRODUCT((MOVIMIENTOS!$B$5:$B$1005="DEVOLUCIÓN")*(MOVIMIENTOS!$C$5:$C$1005="C")*(MOVIMIENTOS!$D$5:$D$1005="jabas")*(MOVIMIENTOS!$A$5:$A$1005&lt;&gt;"")*(MOVIMIENTOS!$A$5:$A$1005&lt;=$A360)*MOVIMIENTOS!$E$5:$E$1005)-SUMPRODUCT((MOVIMIENTOS!$B$5:$B$1005="TRASIEGO")*(MOVIMIENTOS!$C$5:$C$1005="C")*(MOVIMIENTOS!$D$5:$D$1005="jabas")*(MOVIMIENTOS!$A$5:$A$1005&lt;&gt;"")*(MOVIMIENTOS!$A$5:$A$1005&lt;=$A360)*MOVIMIENTOS!$E$5:$E$1005)-SUMPRODUCT((MOVIMIENTOS!$B$5:$B$1005="REGALO")*(MOVIMIENTOS!$C$5:$C$1005="C")*(MOVIMIENTOS!$D$5:$D$1005="jabas")*(MOVIMIENTOS!$A$5:$A$1005&lt;&gt;"")*(MOVIMIENTOS!$A$5:$A$1005&lt;=$A360)*MOVIMIENTOS!$E$5:$E$1005)-SUMPRODUCT((MOVIMIENTOS!$B$5:$B$1005="VENTA")*(MOVIMIENTOS!$C$5:$C$1005="C")*(MOVIMIENTOS!$D$5:$D$1005="jabas")*(MOVIMIENTOS!$A$5:$A$1005&lt;&gt;"")*(MOVIMIENTOS!$A$5:$A$1005&lt;=$A360)*MOVIMIENTOS!$E$5:$E$1005)+SUMPRODUCT((MOVIMIENTOS!$B$5:$B$1005="AJUSTE")*(MOVIMIENTOS!$C$5:$C$1005="C")*(MOVIMIENTOS!$D$5:$D$1005="jabas")*(MOVIMIENTOS!$A$5:$A$1005&lt;&gt;"")*(MOVIMIENTOS!$A$5:$A$1005&lt;=$A360)*MOVIMIENTOS!$E$5:$E$1005))</f>
        <v/>
      </c>
      <c r="E360" s="63" t="str">
        <f>IF($A360="","",SUMPRODUCT((MOVIMIENTOS!$B$5:$B$1005="SALDO INICIAL")*(MOVIMIENTOS!$C$5:$C$1005="M")*(MOVIMIENTOS!$D$5:$D$1005="jabas")*(MOVIMIENTOS!$A$5:$A$1005&lt;&gt;"")*(MOVIMIENTOS!$A$5:$A$1005&lt;=$A360)*MOVIMIENTOS!$E$5:$E$1005)+SUMPRODUCT((MOVIMIENTOS!$B$5:$B$1005="PROCESO")*(MOVIMIENTOS!$C$5:$C$1005="M")*(MOVIMIENTOS!$D$5:$D$1005="jabas")*(MOVIMIENTOS!$A$5:$A$1005&lt;&gt;"")*(MOVIMIENTOS!$A$5:$A$1005&lt;=$A360)*MOVIMIENTOS!$E$5:$E$1005)-SUMPRODUCT((MOVIMIENTOS!$B$5:$B$1005="ENVÍO A SUPESA")*(MOVIMIENTOS!$C$5:$C$1005="M")*(MOVIMIENTOS!$D$5:$D$1005="jabas")*(MOVIMIENTOS!$A$5:$A$1005&lt;&gt;"")*(MOVIMIENTOS!$A$5:$A$1005&lt;=$A360)*MOVIMIENTOS!$E$5:$E$1005)+SUMPRODUCT((MOVIMIENTOS!$B$5:$B$1005="DEVOLUCIÓN")*(MOVIMIENTOS!$C$5:$C$1005="M")*(MOVIMIENTOS!$D$5:$D$1005="jabas")*(MOVIMIENTOS!$A$5:$A$1005&lt;&gt;"")*(MOVIMIENTOS!$A$5:$A$1005&lt;=$A360)*MOVIMIENTOS!$E$5:$E$1005)-SUMPRODUCT((MOVIMIENTOS!$B$5:$B$1005="TRASIEGO")*(MOVIMIENTOS!$C$5:$C$1005="M")*(MOVIMIENTOS!$D$5:$D$1005="jabas")*(MOVIMIENTOS!$A$5:$A$1005&lt;&gt;"")*(MOVIMIENTOS!$A$5:$A$1005&lt;=$A360)*MOVIMIENTOS!$E$5:$E$1005)-SUMPRODUCT((MOVIMIENTOS!$B$5:$B$1005="REGALO")*(MOVIMIENTOS!$C$5:$C$1005="M")*(MOVIMIENTOS!$D$5:$D$1005="jabas")*(MOVIMIENTOS!$A$5:$A$1005&lt;&gt;"")*(MOVIMIENTOS!$A$5:$A$1005&lt;=$A360)*MOVIMIENTOS!$E$5:$E$1005)-SUMPRODUCT((MOVIMIENTOS!$B$5:$B$1005="VENTA")*(MOVIMIENTOS!$C$5:$C$1005="M")*(MOVIMIENTOS!$D$5:$D$1005="jabas")*(MOVIMIENTOS!$A$5:$A$1005&lt;&gt;"")*(MOVIMIENTOS!$A$5:$A$1005&lt;=$A360)*MOVIMIENTOS!$E$5:$E$1005)+SUMPRODUCT((MOVIMIENTOS!$B$5:$B$1005="AJUSTE")*(MOVIMIENTOS!$C$5:$C$1005="M")*(MOVIMIENTOS!$D$5:$D$1005="jabas")*(MOVIMIENTOS!$A$5:$A$1005&lt;&gt;"")*(MOVIMIENTOS!$A$5:$A$1005&lt;=$A360)*MOVIMIENTOS!$E$5:$E$1005))</f>
        <v/>
      </c>
      <c r="F360" s="63" t="str">
        <f>IF($A360="","",SUMPRODUCT((MOVIMIENTOS!$B$5:$B$1005="SALDO INICIAL")*(MOVIMIENTOS!$C$5:$C$1005="Chancho")*(MOVIMIENTOS!$D$5:$D$1005="sacos")*(MOVIMIENTOS!$A$5:$A$1005&lt;&gt;"")*(MOVIMIENTOS!$A$5:$A$1005&lt;=$A360)*MOVIMIENTOS!$E$5:$E$1005)+SUMPRODUCT((MOVIMIENTOS!$B$5:$B$1005="PROCESO")*(MOVIMIENTOS!$C$5:$C$1005="Chancho")*(MOVIMIENTOS!$D$5:$D$1005="sacos")*(MOVIMIENTOS!$A$5:$A$1005&lt;&gt;"")*(MOVIMIENTOS!$A$5:$A$1005&lt;=$A360)*MOVIMIENTOS!$E$5:$E$1005)-SUMPRODUCT((MOVIMIENTOS!$B$5:$B$1005="VENTA CHANCHO")*(MOVIMIENTOS!$C$5:$C$1005="Chancho")*(MOVIMIENTOS!$D$5:$D$1005="sacos")*(MOVIMIENTOS!$A$5:$A$1005&lt;&gt;"")*(MOVIMIENTOS!$A$5:$A$1005&lt;=$A360)*MOVIMIENTOS!$E$5:$E$1005)-SUMPRODUCT((MOVIMIENTOS!$B$5:$B$1005="REGALO")*(MOVIMIENTOS!$C$5:$C$1005="Chancho")*(MOVIMIENTOS!$D$5:$D$1005="sacos")*(MOVIMIENTOS!$A$5:$A$1005&lt;&gt;"")*(MOVIMIENTOS!$A$5:$A$1005&lt;=$A360)*MOVIMIENTOS!$E$5:$E$1005)-SUMPRODUCT((MOVIMIENTOS!$B$5:$B$1005="VENTA")*(MOVIMIENTOS!$C$5:$C$1005="Chancho")*(MOVIMIENTOS!$D$5:$D$1005="sacos")*(MOVIMIENTOS!$A$5:$A$1005&lt;&gt;"")*(MOVIMIENTOS!$A$5:$A$1005&lt;=$A360)*MOVIMIENTOS!$E$5:$E$1005)+SUMPRODUCT((MOVIMIENTOS!$B$5:$B$1005="AJUSTE")*(MOVIMIENTOS!$C$5:$C$1005="Chancho")*(MOVIMIENTOS!$D$5:$D$1005="sacos")*(MOVIMIENTOS!$A$5:$A$1005&lt;&gt;"")*(MOVIMIENTOS!$A$5:$A$1005&lt;=$A360)*MOVIMIENTOS!$E$5:$E$1005))</f>
        <v/>
      </c>
      <c r="G360" s="95" t="str">
        <f t="shared" si="11"/>
        <v/>
      </c>
      <c r="H360" s="63" t="str">
        <f>IF($A360="","",SUMPRODUCT((((MOVIMIENTOS!$B$5:$B$1005="SALDO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360)*MOVIMIENTOS!$J$5:$J$1005))</f>
        <v/>
      </c>
      <c r="I360" s="63"/>
      <c r="J360" s="63" t="str">
        <f>IF(AND(MOVIMIENTOS!$A361&lt;&gt;"",COUNTIF(MOVIMIENTOS!$A$5:$A360,MOVIMIENTOS!$A361)=0),COUNT(J$4:J359)+1,"")</f>
        <v/>
      </c>
      <c r="K360" s="66">
        <f>MOVIMIENTOS!$A361</f>
        <v>46245</v>
      </c>
      <c r="L360" s="63"/>
      <c r="M360" s="63"/>
      <c r="N360" s="63"/>
    </row>
    <row r="361" spans="1:14" ht="15" customHeight="1" x14ac:dyDescent="0.2">
      <c r="A361" s="63" t="str">
        <f t="shared" si="10"/>
        <v/>
      </c>
      <c r="B361" s="63" t="str">
        <f>IF($A361="","",SUMPRODUCT((MOVIMIENTOS!$B$5:$B$1005="SALDO INICIAL")*(MOVIMIENTOS!$C$5:$C$1005="A")*(MOVIMIENTOS!$D$5:$D$1005="jabas")*(MOVIMIENTOS!$A$5:$A$1005&lt;&gt;"")*(MOVIMIENTOS!$A$5:$A$1005&lt;=$A361)*MOVIMIENTOS!$E$5:$E$1005)+SUMPRODUCT((MOVIMIENTOS!$B$5:$B$1005="PROCESO")*(MOVIMIENTOS!$C$5:$C$1005="A")*(MOVIMIENTOS!$D$5:$D$1005="jabas")*(MOVIMIENTOS!$A$5:$A$1005&lt;&gt;"")*(MOVIMIENTOS!$A$5:$A$1005&lt;=$A361)*MOVIMIENTOS!$E$5:$E$1005)-SUMPRODUCT((MOVIMIENTOS!$B$5:$B$1005="ENVÍO A SUPESA")*(MOVIMIENTOS!$C$5:$C$1005="A")*(MOVIMIENTOS!$D$5:$D$1005="jabas")*(MOVIMIENTOS!$A$5:$A$1005&lt;&gt;"")*(MOVIMIENTOS!$A$5:$A$1005&lt;=$A361)*MOVIMIENTOS!$E$5:$E$1005)+SUMPRODUCT((MOVIMIENTOS!$B$5:$B$1005="DEVOLUCIÓN")*(MOVIMIENTOS!$C$5:$C$1005="A")*(MOVIMIENTOS!$D$5:$D$1005="jabas")*(MOVIMIENTOS!$A$5:$A$1005&lt;&gt;"")*(MOVIMIENTOS!$A$5:$A$1005&lt;=$A361)*MOVIMIENTOS!$E$5:$E$1005)-SUMPRODUCT((MOVIMIENTOS!$B$5:$B$1005="TRASIEGO")*(MOVIMIENTOS!$C$5:$C$1005="A")*(MOVIMIENTOS!$D$5:$D$1005="jabas")*(MOVIMIENTOS!$A$5:$A$1005&lt;&gt;"")*(MOVIMIENTOS!$A$5:$A$1005&lt;=$A361)*MOVIMIENTOS!$E$5:$E$1005)-SUMPRODUCT((MOVIMIENTOS!$B$5:$B$1005="REGALO")*(MOVIMIENTOS!$C$5:$C$1005="A")*(MOVIMIENTOS!$D$5:$D$1005="jabas")*(MOVIMIENTOS!$A$5:$A$1005&lt;&gt;"")*(MOVIMIENTOS!$A$5:$A$1005&lt;=$A361)*MOVIMIENTOS!$E$5:$E$1005)-SUMPRODUCT((MOVIMIENTOS!$B$5:$B$1005="VENTA")*(MOVIMIENTOS!$C$5:$C$1005="A")*(MOVIMIENTOS!$D$5:$D$1005="jabas")*(MOVIMIENTOS!$A$5:$A$1005&lt;&gt;"")*(MOVIMIENTOS!$A$5:$A$1005&lt;=$A361)*MOVIMIENTOS!$E$5:$E$1005)+SUMPRODUCT((MOVIMIENTOS!$B$5:$B$1005="AJUSTE")*(MOVIMIENTOS!$C$5:$C$1005="A")*(MOVIMIENTOS!$D$5:$D$1005="jabas")*(MOVIMIENTOS!$A$5:$A$1005&lt;&gt;"")*(MOVIMIENTOS!$A$5:$A$1005&lt;=$A361)*MOVIMIENTOS!$E$5:$E$1005))</f>
        <v/>
      </c>
      <c r="C361" s="63" t="str">
        <f>IF($A361="","",SUMPRODUCT((MOVIMIENTOS!$B$5:$B$1005="SALDO INICIAL")*(MOVIMIENTOS!$C$5:$C$1005="P")*(MOVIMIENTOS!$D$5:$D$1005="jabas")*(MOVIMIENTOS!$A$5:$A$1005&lt;&gt;"")*(MOVIMIENTOS!$A$5:$A$1005&lt;=$A361)*MOVIMIENTOS!$E$5:$E$1005)+SUMPRODUCT((MOVIMIENTOS!$B$5:$B$1005="PROCESO")*(MOVIMIENTOS!$C$5:$C$1005="P")*(MOVIMIENTOS!$D$5:$D$1005="jabas")*(MOVIMIENTOS!$A$5:$A$1005&lt;&gt;"")*(MOVIMIENTOS!$A$5:$A$1005&lt;=$A361)*MOVIMIENTOS!$E$5:$E$1005)-SUMPRODUCT((MOVIMIENTOS!$B$5:$B$1005="ENVÍO A SUPESA")*(MOVIMIENTOS!$C$5:$C$1005="P")*(MOVIMIENTOS!$D$5:$D$1005="jabas")*(MOVIMIENTOS!$A$5:$A$1005&lt;&gt;"")*(MOVIMIENTOS!$A$5:$A$1005&lt;=$A361)*MOVIMIENTOS!$E$5:$E$1005)+SUMPRODUCT((MOVIMIENTOS!$B$5:$B$1005="DEVOLUCIÓN")*(MOVIMIENTOS!$C$5:$C$1005="P")*(MOVIMIENTOS!$D$5:$D$1005="jabas")*(MOVIMIENTOS!$A$5:$A$1005&lt;&gt;"")*(MOVIMIENTOS!$A$5:$A$1005&lt;=$A361)*MOVIMIENTOS!$E$5:$E$1005)-SUMPRODUCT((MOVIMIENTOS!$B$5:$B$1005="TRASIEGO")*(MOVIMIENTOS!$C$5:$C$1005="P")*(MOVIMIENTOS!$D$5:$D$1005="jabas")*(MOVIMIENTOS!$A$5:$A$1005&lt;&gt;"")*(MOVIMIENTOS!$A$5:$A$1005&lt;=$A361)*MOVIMIENTOS!$E$5:$E$1005)-SUMPRODUCT((MOVIMIENTOS!$B$5:$B$1005="REGALO")*(MOVIMIENTOS!$C$5:$C$1005="P")*(MOVIMIENTOS!$D$5:$D$1005="jabas")*(MOVIMIENTOS!$A$5:$A$1005&lt;&gt;"")*(MOVIMIENTOS!$A$5:$A$1005&lt;=$A361)*MOVIMIENTOS!$E$5:$E$1005)-SUMPRODUCT((MOVIMIENTOS!$B$5:$B$1005="VENTA")*(MOVIMIENTOS!$C$5:$C$1005="P")*(MOVIMIENTOS!$D$5:$D$1005="jabas")*(MOVIMIENTOS!$A$5:$A$1005&lt;&gt;"")*(MOVIMIENTOS!$A$5:$A$1005&lt;=$A361)*MOVIMIENTOS!$E$5:$E$1005)+SUMPRODUCT((MOVIMIENTOS!$B$5:$B$1005="AJUSTE")*(MOVIMIENTOS!$C$5:$C$1005="P")*(MOVIMIENTOS!$D$5:$D$1005="jabas")*(MOVIMIENTOS!$A$5:$A$1005&lt;&gt;"")*(MOVIMIENTOS!$A$5:$A$1005&lt;=$A361)*MOVIMIENTOS!$E$5:$E$1005))</f>
        <v/>
      </c>
      <c r="D361" s="63" t="str">
        <f>IF($A361="","",SUMPRODUCT((MOVIMIENTOS!$B$5:$B$1005="SALDO INICIAL")*(MOVIMIENTOS!$C$5:$C$1005="C")*(MOVIMIENTOS!$D$5:$D$1005="jabas")*(MOVIMIENTOS!$A$5:$A$1005&lt;&gt;"")*(MOVIMIENTOS!$A$5:$A$1005&lt;=$A361)*MOVIMIENTOS!$E$5:$E$1005)+SUMPRODUCT((MOVIMIENTOS!$B$5:$B$1005="PROCESO")*(MOVIMIENTOS!$C$5:$C$1005="C")*(MOVIMIENTOS!$D$5:$D$1005="jabas")*(MOVIMIENTOS!$A$5:$A$1005&lt;&gt;"")*(MOVIMIENTOS!$A$5:$A$1005&lt;=$A361)*MOVIMIENTOS!$E$5:$E$1005)-SUMPRODUCT((MOVIMIENTOS!$B$5:$B$1005="ENVÍO A SUPESA")*(MOVIMIENTOS!$C$5:$C$1005="C")*(MOVIMIENTOS!$D$5:$D$1005="jabas")*(MOVIMIENTOS!$A$5:$A$1005&lt;&gt;"")*(MOVIMIENTOS!$A$5:$A$1005&lt;=$A361)*MOVIMIENTOS!$E$5:$E$1005)+SUMPRODUCT((MOVIMIENTOS!$B$5:$B$1005="DEVOLUCIÓN")*(MOVIMIENTOS!$C$5:$C$1005="C")*(MOVIMIENTOS!$D$5:$D$1005="jabas")*(MOVIMIENTOS!$A$5:$A$1005&lt;&gt;"")*(MOVIMIENTOS!$A$5:$A$1005&lt;=$A361)*MOVIMIENTOS!$E$5:$E$1005)-SUMPRODUCT((MOVIMIENTOS!$B$5:$B$1005="TRASIEGO")*(MOVIMIENTOS!$C$5:$C$1005="C")*(MOVIMIENTOS!$D$5:$D$1005="jabas")*(MOVIMIENTOS!$A$5:$A$1005&lt;&gt;"")*(MOVIMIENTOS!$A$5:$A$1005&lt;=$A361)*MOVIMIENTOS!$E$5:$E$1005)-SUMPRODUCT((MOVIMIENTOS!$B$5:$B$1005="REGALO")*(MOVIMIENTOS!$C$5:$C$1005="C")*(MOVIMIENTOS!$D$5:$D$1005="jabas")*(MOVIMIENTOS!$A$5:$A$1005&lt;&gt;"")*(MOVIMIENTOS!$A$5:$A$1005&lt;=$A361)*MOVIMIENTOS!$E$5:$E$1005)-SUMPRODUCT((MOVIMIENTOS!$B$5:$B$1005="VENTA")*(MOVIMIENTOS!$C$5:$C$1005="C")*(MOVIMIENTOS!$D$5:$D$1005="jabas")*(MOVIMIENTOS!$A$5:$A$1005&lt;&gt;"")*(MOVIMIENTOS!$A$5:$A$1005&lt;=$A361)*MOVIMIENTOS!$E$5:$E$1005)+SUMPRODUCT((MOVIMIENTOS!$B$5:$B$1005="AJUSTE")*(MOVIMIENTOS!$C$5:$C$1005="C")*(MOVIMIENTOS!$D$5:$D$1005="jabas")*(MOVIMIENTOS!$A$5:$A$1005&lt;&gt;"")*(MOVIMIENTOS!$A$5:$A$1005&lt;=$A361)*MOVIMIENTOS!$E$5:$E$1005))</f>
        <v/>
      </c>
      <c r="E361" s="63" t="str">
        <f>IF($A361="","",SUMPRODUCT((MOVIMIENTOS!$B$5:$B$1005="SALDO INICIAL")*(MOVIMIENTOS!$C$5:$C$1005="M")*(MOVIMIENTOS!$D$5:$D$1005="jabas")*(MOVIMIENTOS!$A$5:$A$1005&lt;&gt;"")*(MOVIMIENTOS!$A$5:$A$1005&lt;=$A361)*MOVIMIENTOS!$E$5:$E$1005)+SUMPRODUCT((MOVIMIENTOS!$B$5:$B$1005="PROCESO")*(MOVIMIENTOS!$C$5:$C$1005="M")*(MOVIMIENTOS!$D$5:$D$1005="jabas")*(MOVIMIENTOS!$A$5:$A$1005&lt;&gt;"")*(MOVIMIENTOS!$A$5:$A$1005&lt;=$A361)*MOVIMIENTOS!$E$5:$E$1005)-SUMPRODUCT((MOVIMIENTOS!$B$5:$B$1005="ENVÍO A SUPESA")*(MOVIMIENTOS!$C$5:$C$1005="M")*(MOVIMIENTOS!$D$5:$D$1005="jabas")*(MOVIMIENTOS!$A$5:$A$1005&lt;&gt;"")*(MOVIMIENTOS!$A$5:$A$1005&lt;=$A361)*MOVIMIENTOS!$E$5:$E$1005)+SUMPRODUCT((MOVIMIENTOS!$B$5:$B$1005="DEVOLUCIÓN")*(MOVIMIENTOS!$C$5:$C$1005="M")*(MOVIMIENTOS!$D$5:$D$1005="jabas")*(MOVIMIENTOS!$A$5:$A$1005&lt;&gt;"")*(MOVIMIENTOS!$A$5:$A$1005&lt;=$A361)*MOVIMIENTOS!$E$5:$E$1005)-SUMPRODUCT((MOVIMIENTOS!$B$5:$B$1005="TRASIEGO")*(MOVIMIENTOS!$C$5:$C$1005="M")*(MOVIMIENTOS!$D$5:$D$1005="jabas")*(MOVIMIENTOS!$A$5:$A$1005&lt;&gt;"")*(MOVIMIENTOS!$A$5:$A$1005&lt;=$A361)*MOVIMIENTOS!$E$5:$E$1005)-SUMPRODUCT((MOVIMIENTOS!$B$5:$B$1005="REGALO")*(MOVIMIENTOS!$C$5:$C$1005="M")*(MOVIMIENTOS!$D$5:$D$1005="jabas")*(MOVIMIENTOS!$A$5:$A$1005&lt;&gt;"")*(MOVIMIENTOS!$A$5:$A$1005&lt;=$A361)*MOVIMIENTOS!$E$5:$E$1005)-SUMPRODUCT((MOVIMIENTOS!$B$5:$B$1005="VENTA")*(MOVIMIENTOS!$C$5:$C$1005="M")*(MOVIMIENTOS!$D$5:$D$1005="jabas")*(MOVIMIENTOS!$A$5:$A$1005&lt;&gt;"")*(MOVIMIENTOS!$A$5:$A$1005&lt;=$A361)*MOVIMIENTOS!$E$5:$E$1005)+SUMPRODUCT((MOVIMIENTOS!$B$5:$B$1005="AJUSTE")*(MOVIMIENTOS!$C$5:$C$1005="M")*(MOVIMIENTOS!$D$5:$D$1005="jabas")*(MOVIMIENTOS!$A$5:$A$1005&lt;&gt;"")*(MOVIMIENTOS!$A$5:$A$1005&lt;=$A361)*MOVIMIENTOS!$E$5:$E$1005))</f>
        <v/>
      </c>
      <c r="F361" s="63" t="str">
        <f>IF($A361="","",SUMPRODUCT((MOVIMIENTOS!$B$5:$B$1005="SALDO INICIAL")*(MOVIMIENTOS!$C$5:$C$1005="Chancho")*(MOVIMIENTOS!$D$5:$D$1005="sacos")*(MOVIMIENTOS!$A$5:$A$1005&lt;&gt;"")*(MOVIMIENTOS!$A$5:$A$1005&lt;=$A361)*MOVIMIENTOS!$E$5:$E$1005)+SUMPRODUCT((MOVIMIENTOS!$B$5:$B$1005="PROCESO")*(MOVIMIENTOS!$C$5:$C$1005="Chancho")*(MOVIMIENTOS!$D$5:$D$1005="sacos")*(MOVIMIENTOS!$A$5:$A$1005&lt;&gt;"")*(MOVIMIENTOS!$A$5:$A$1005&lt;=$A361)*MOVIMIENTOS!$E$5:$E$1005)-SUMPRODUCT((MOVIMIENTOS!$B$5:$B$1005="VENTA CHANCHO")*(MOVIMIENTOS!$C$5:$C$1005="Chancho")*(MOVIMIENTOS!$D$5:$D$1005="sacos")*(MOVIMIENTOS!$A$5:$A$1005&lt;&gt;"")*(MOVIMIENTOS!$A$5:$A$1005&lt;=$A361)*MOVIMIENTOS!$E$5:$E$1005)-SUMPRODUCT((MOVIMIENTOS!$B$5:$B$1005="REGALO")*(MOVIMIENTOS!$C$5:$C$1005="Chancho")*(MOVIMIENTOS!$D$5:$D$1005="sacos")*(MOVIMIENTOS!$A$5:$A$1005&lt;&gt;"")*(MOVIMIENTOS!$A$5:$A$1005&lt;=$A361)*MOVIMIENTOS!$E$5:$E$1005)-SUMPRODUCT((MOVIMIENTOS!$B$5:$B$1005="VENTA")*(MOVIMIENTOS!$C$5:$C$1005="Chancho")*(MOVIMIENTOS!$D$5:$D$1005="sacos")*(MOVIMIENTOS!$A$5:$A$1005&lt;&gt;"")*(MOVIMIENTOS!$A$5:$A$1005&lt;=$A361)*MOVIMIENTOS!$E$5:$E$1005)+SUMPRODUCT((MOVIMIENTOS!$B$5:$B$1005="AJUSTE")*(MOVIMIENTOS!$C$5:$C$1005="Chancho")*(MOVIMIENTOS!$D$5:$D$1005="sacos")*(MOVIMIENTOS!$A$5:$A$1005&lt;&gt;"")*(MOVIMIENTOS!$A$5:$A$1005&lt;=$A361)*MOVIMIENTOS!$E$5:$E$1005))</f>
        <v/>
      </c>
      <c r="G361" s="95" t="str">
        <f t="shared" si="11"/>
        <v/>
      </c>
      <c r="H361" s="63" t="str">
        <f>IF($A361="","",SUMPRODUCT((((MOVIMIENTOS!$B$5:$B$1005="SALDO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361)*MOVIMIENTOS!$J$5:$J$1005))</f>
        <v/>
      </c>
      <c r="I361" s="63"/>
      <c r="J361" s="63">
        <f>IF(AND(MOVIMIENTOS!$A362&lt;&gt;"",COUNTIF(MOVIMIENTOS!$A$5:$A361,MOVIMIENTOS!$A362)=0),COUNT(J$4:J360)+1,"")</f>
        <v>33</v>
      </c>
      <c r="K361" s="66">
        <f>MOVIMIENTOS!$A362</f>
        <v>46246</v>
      </c>
      <c r="L361" s="63"/>
      <c r="M361" s="63"/>
      <c r="N361" s="63"/>
    </row>
    <row r="362" spans="1:14" ht="15" customHeight="1" x14ac:dyDescent="0.2">
      <c r="A362" s="63" t="str">
        <f t="shared" si="10"/>
        <v/>
      </c>
      <c r="B362" s="63" t="str">
        <f>IF($A362="","",SUMPRODUCT((MOVIMIENTOS!$B$5:$B$1005="SALDO INICIAL")*(MOVIMIENTOS!$C$5:$C$1005="A")*(MOVIMIENTOS!$D$5:$D$1005="jabas")*(MOVIMIENTOS!$A$5:$A$1005&lt;&gt;"")*(MOVIMIENTOS!$A$5:$A$1005&lt;=$A362)*MOVIMIENTOS!$E$5:$E$1005)+SUMPRODUCT((MOVIMIENTOS!$B$5:$B$1005="PROCESO")*(MOVIMIENTOS!$C$5:$C$1005="A")*(MOVIMIENTOS!$D$5:$D$1005="jabas")*(MOVIMIENTOS!$A$5:$A$1005&lt;&gt;"")*(MOVIMIENTOS!$A$5:$A$1005&lt;=$A362)*MOVIMIENTOS!$E$5:$E$1005)-SUMPRODUCT((MOVIMIENTOS!$B$5:$B$1005="ENVÍO A SUPESA")*(MOVIMIENTOS!$C$5:$C$1005="A")*(MOVIMIENTOS!$D$5:$D$1005="jabas")*(MOVIMIENTOS!$A$5:$A$1005&lt;&gt;"")*(MOVIMIENTOS!$A$5:$A$1005&lt;=$A362)*MOVIMIENTOS!$E$5:$E$1005)+SUMPRODUCT((MOVIMIENTOS!$B$5:$B$1005="DEVOLUCIÓN")*(MOVIMIENTOS!$C$5:$C$1005="A")*(MOVIMIENTOS!$D$5:$D$1005="jabas")*(MOVIMIENTOS!$A$5:$A$1005&lt;&gt;"")*(MOVIMIENTOS!$A$5:$A$1005&lt;=$A362)*MOVIMIENTOS!$E$5:$E$1005)-SUMPRODUCT((MOVIMIENTOS!$B$5:$B$1005="TRASIEGO")*(MOVIMIENTOS!$C$5:$C$1005="A")*(MOVIMIENTOS!$D$5:$D$1005="jabas")*(MOVIMIENTOS!$A$5:$A$1005&lt;&gt;"")*(MOVIMIENTOS!$A$5:$A$1005&lt;=$A362)*MOVIMIENTOS!$E$5:$E$1005)-SUMPRODUCT((MOVIMIENTOS!$B$5:$B$1005="REGALO")*(MOVIMIENTOS!$C$5:$C$1005="A")*(MOVIMIENTOS!$D$5:$D$1005="jabas")*(MOVIMIENTOS!$A$5:$A$1005&lt;&gt;"")*(MOVIMIENTOS!$A$5:$A$1005&lt;=$A362)*MOVIMIENTOS!$E$5:$E$1005)-SUMPRODUCT((MOVIMIENTOS!$B$5:$B$1005="VENTA")*(MOVIMIENTOS!$C$5:$C$1005="A")*(MOVIMIENTOS!$D$5:$D$1005="jabas")*(MOVIMIENTOS!$A$5:$A$1005&lt;&gt;"")*(MOVIMIENTOS!$A$5:$A$1005&lt;=$A362)*MOVIMIENTOS!$E$5:$E$1005)+SUMPRODUCT((MOVIMIENTOS!$B$5:$B$1005="AJUSTE")*(MOVIMIENTOS!$C$5:$C$1005="A")*(MOVIMIENTOS!$D$5:$D$1005="jabas")*(MOVIMIENTOS!$A$5:$A$1005&lt;&gt;"")*(MOVIMIENTOS!$A$5:$A$1005&lt;=$A362)*MOVIMIENTOS!$E$5:$E$1005))</f>
        <v/>
      </c>
      <c r="C362" s="63" t="str">
        <f>IF($A362="","",SUMPRODUCT((MOVIMIENTOS!$B$5:$B$1005="SALDO INICIAL")*(MOVIMIENTOS!$C$5:$C$1005="P")*(MOVIMIENTOS!$D$5:$D$1005="jabas")*(MOVIMIENTOS!$A$5:$A$1005&lt;&gt;"")*(MOVIMIENTOS!$A$5:$A$1005&lt;=$A362)*MOVIMIENTOS!$E$5:$E$1005)+SUMPRODUCT((MOVIMIENTOS!$B$5:$B$1005="PROCESO")*(MOVIMIENTOS!$C$5:$C$1005="P")*(MOVIMIENTOS!$D$5:$D$1005="jabas")*(MOVIMIENTOS!$A$5:$A$1005&lt;&gt;"")*(MOVIMIENTOS!$A$5:$A$1005&lt;=$A362)*MOVIMIENTOS!$E$5:$E$1005)-SUMPRODUCT((MOVIMIENTOS!$B$5:$B$1005="ENVÍO A SUPESA")*(MOVIMIENTOS!$C$5:$C$1005="P")*(MOVIMIENTOS!$D$5:$D$1005="jabas")*(MOVIMIENTOS!$A$5:$A$1005&lt;&gt;"")*(MOVIMIENTOS!$A$5:$A$1005&lt;=$A362)*MOVIMIENTOS!$E$5:$E$1005)+SUMPRODUCT((MOVIMIENTOS!$B$5:$B$1005="DEVOLUCIÓN")*(MOVIMIENTOS!$C$5:$C$1005="P")*(MOVIMIENTOS!$D$5:$D$1005="jabas")*(MOVIMIENTOS!$A$5:$A$1005&lt;&gt;"")*(MOVIMIENTOS!$A$5:$A$1005&lt;=$A362)*MOVIMIENTOS!$E$5:$E$1005)-SUMPRODUCT((MOVIMIENTOS!$B$5:$B$1005="TRASIEGO")*(MOVIMIENTOS!$C$5:$C$1005="P")*(MOVIMIENTOS!$D$5:$D$1005="jabas")*(MOVIMIENTOS!$A$5:$A$1005&lt;&gt;"")*(MOVIMIENTOS!$A$5:$A$1005&lt;=$A362)*MOVIMIENTOS!$E$5:$E$1005)-SUMPRODUCT((MOVIMIENTOS!$B$5:$B$1005="REGALO")*(MOVIMIENTOS!$C$5:$C$1005="P")*(MOVIMIENTOS!$D$5:$D$1005="jabas")*(MOVIMIENTOS!$A$5:$A$1005&lt;&gt;"")*(MOVIMIENTOS!$A$5:$A$1005&lt;=$A362)*MOVIMIENTOS!$E$5:$E$1005)-SUMPRODUCT((MOVIMIENTOS!$B$5:$B$1005="VENTA")*(MOVIMIENTOS!$C$5:$C$1005="P")*(MOVIMIENTOS!$D$5:$D$1005="jabas")*(MOVIMIENTOS!$A$5:$A$1005&lt;&gt;"")*(MOVIMIENTOS!$A$5:$A$1005&lt;=$A362)*MOVIMIENTOS!$E$5:$E$1005)+SUMPRODUCT((MOVIMIENTOS!$B$5:$B$1005="AJUSTE")*(MOVIMIENTOS!$C$5:$C$1005="P")*(MOVIMIENTOS!$D$5:$D$1005="jabas")*(MOVIMIENTOS!$A$5:$A$1005&lt;&gt;"")*(MOVIMIENTOS!$A$5:$A$1005&lt;=$A362)*MOVIMIENTOS!$E$5:$E$1005))</f>
        <v/>
      </c>
      <c r="D362" s="63" t="str">
        <f>IF($A362="","",SUMPRODUCT((MOVIMIENTOS!$B$5:$B$1005="SALDO INICIAL")*(MOVIMIENTOS!$C$5:$C$1005="C")*(MOVIMIENTOS!$D$5:$D$1005="jabas")*(MOVIMIENTOS!$A$5:$A$1005&lt;&gt;"")*(MOVIMIENTOS!$A$5:$A$1005&lt;=$A362)*MOVIMIENTOS!$E$5:$E$1005)+SUMPRODUCT((MOVIMIENTOS!$B$5:$B$1005="PROCESO")*(MOVIMIENTOS!$C$5:$C$1005="C")*(MOVIMIENTOS!$D$5:$D$1005="jabas")*(MOVIMIENTOS!$A$5:$A$1005&lt;&gt;"")*(MOVIMIENTOS!$A$5:$A$1005&lt;=$A362)*MOVIMIENTOS!$E$5:$E$1005)-SUMPRODUCT((MOVIMIENTOS!$B$5:$B$1005="ENVÍO A SUPESA")*(MOVIMIENTOS!$C$5:$C$1005="C")*(MOVIMIENTOS!$D$5:$D$1005="jabas")*(MOVIMIENTOS!$A$5:$A$1005&lt;&gt;"")*(MOVIMIENTOS!$A$5:$A$1005&lt;=$A362)*MOVIMIENTOS!$E$5:$E$1005)+SUMPRODUCT((MOVIMIENTOS!$B$5:$B$1005="DEVOLUCIÓN")*(MOVIMIENTOS!$C$5:$C$1005="C")*(MOVIMIENTOS!$D$5:$D$1005="jabas")*(MOVIMIENTOS!$A$5:$A$1005&lt;&gt;"")*(MOVIMIENTOS!$A$5:$A$1005&lt;=$A362)*MOVIMIENTOS!$E$5:$E$1005)-SUMPRODUCT((MOVIMIENTOS!$B$5:$B$1005="TRASIEGO")*(MOVIMIENTOS!$C$5:$C$1005="C")*(MOVIMIENTOS!$D$5:$D$1005="jabas")*(MOVIMIENTOS!$A$5:$A$1005&lt;&gt;"")*(MOVIMIENTOS!$A$5:$A$1005&lt;=$A362)*MOVIMIENTOS!$E$5:$E$1005)-SUMPRODUCT((MOVIMIENTOS!$B$5:$B$1005="REGALO")*(MOVIMIENTOS!$C$5:$C$1005="C")*(MOVIMIENTOS!$D$5:$D$1005="jabas")*(MOVIMIENTOS!$A$5:$A$1005&lt;&gt;"")*(MOVIMIENTOS!$A$5:$A$1005&lt;=$A362)*MOVIMIENTOS!$E$5:$E$1005)-SUMPRODUCT((MOVIMIENTOS!$B$5:$B$1005="VENTA")*(MOVIMIENTOS!$C$5:$C$1005="C")*(MOVIMIENTOS!$D$5:$D$1005="jabas")*(MOVIMIENTOS!$A$5:$A$1005&lt;&gt;"")*(MOVIMIENTOS!$A$5:$A$1005&lt;=$A362)*MOVIMIENTOS!$E$5:$E$1005)+SUMPRODUCT((MOVIMIENTOS!$B$5:$B$1005="AJUSTE")*(MOVIMIENTOS!$C$5:$C$1005="C")*(MOVIMIENTOS!$D$5:$D$1005="jabas")*(MOVIMIENTOS!$A$5:$A$1005&lt;&gt;"")*(MOVIMIENTOS!$A$5:$A$1005&lt;=$A362)*MOVIMIENTOS!$E$5:$E$1005))</f>
        <v/>
      </c>
      <c r="E362" s="63" t="str">
        <f>IF($A362="","",SUMPRODUCT((MOVIMIENTOS!$B$5:$B$1005="SALDO INICIAL")*(MOVIMIENTOS!$C$5:$C$1005="M")*(MOVIMIENTOS!$D$5:$D$1005="jabas")*(MOVIMIENTOS!$A$5:$A$1005&lt;&gt;"")*(MOVIMIENTOS!$A$5:$A$1005&lt;=$A362)*MOVIMIENTOS!$E$5:$E$1005)+SUMPRODUCT((MOVIMIENTOS!$B$5:$B$1005="PROCESO")*(MOVIMIENTOS!$C$5:$C$1005="M")*(MOVIMIENTOS!$D$5:$D$1005="jabas")*(MOVIMIENTOS!$A$5:$A$1005&lt;&gt;"")*(MOVIMIENTOS!$A$5:$A$1005&lt;=$A362)*MOVIMIENTOS!$E$5:$E$1005)-SUMPRODUCT((MOVIMIENTOS!$B$5:$B$1005="ENVÍO A SUPESA")*(MOVIMIENTOS!$C$5:$C$1005="M")*(MOVIMIENTOS!$D$5:$D$1005="jabas")*(MOVIMIENTOS!$A$5:$A$1005&lt;&gt;"")*(MOVIMIENTOS!$A$5:$A$1005&lt;=$A362)*MOVIMIENTOS!$E$5:$E$1005)+SUMPRODUCT((MOVIMIENTOS!$B$5:$B$1005="DEVOLUCIÓN")*(MOVIMIENTOS!$C$5:$C$1005="M")*(MOVIMIENTOS!$D$5:$D$1005="jabas")*(MOVIMIENTOS!$A$5:$A$1005&lt;&gt;"")*(MOVIMIENTOS!$A$5:$A$1005&lt;=$A362)*MOVIMIENTOS!$E$5:$E$1005)-SUMPRODUCT((MOVIMIENTOS!$B$5:$B$1005="TRASIEGO")*(MOVIMIENTOS!$C$5:$C$1005="M")*(MOVIMIENTOS!$D$5:$D$1005="jabas")*(MOVIMIENTOS!$A$5:$A$1005&lt;&gt;"")*(MOVIMIENTOS!$A$5:$A$1005&lt;=$A362)*MOVIMIENTOS!$E$5:$E$1005)-SUMPRODUCT((MOVIMIENTOS!$B$5:$B$1005="REGALO")*(MOVIMIENTOS!$C$5:$C$1005="M")*(MOVIMIENTOS!$D$5:$D$1005="jabas")*(MOVIMIENTOS!$A$5:$A$1005&lt;&gt;"")*(MOVIMIENTOS!$A$5:$A$1005&lt;=$A362)*MOVIMIENTOS!$E$5:$E$1005)-SUMPRODUCT((MOVIMIENTOS!$B$5:$B$1005="VENTA")*(MOVIMIENTOS!$C$5:$C$1005="M")*(MOVIMIENTOS!$D$5:$D$1005="jabas")*(MOVIMIENTOS!$A$5:$A$1005&lt;&gt;"")*(MOVIMIENTOS!$A$5:$A$1005&lt;=$A362)*MOVIMIENTOS!$E$5:$E$1005)+SUMPRODUCT((MOVIMIENTOS!$B$5:$B$1005="AJUSTE")*(MOVIMIENTOS!$C$5:$C$1005="M")*(MOVIMIENTOS!$D$5:$D$1005="jabas")*(MOVIMIENTOS!$A$5:$A$1005&lt;&gt;"")*(MOVIMIENTOS!$A$5:$A$1005&lt;=$A362)*MOVIMIENTOS!$E$5:$E$1005))</f>
        <v/>
      </c>
      <c r="F362" s="63" t="str">
        <f>IF($A362="","",SUMPRODUCT((MOVIMIENTOS!$B$5:$B$1005="SALDO INICIAL")*(MOVIMIENTOS!$C$5:$C$1005="Chancho")*(MOVIMIENTOS!$D$5:$D$1005="sacos")*(MOVIMIENTOS!$A$5:$A$1005&lt;&gt;"")*(MOVIMIENTOS!$A$5:$A$1005&lt;=$A362)*MOVIMIENTOS!$E$5:$E$1005)+SUMPRODUCT((MOVIMIENTOS!$B$5:$B$1005="PROCESO")*(MOVIMIENTOS!$C$5:$C$1005="Chancho")*(MOVIMIENTOS!$D$5:$D$1005="sacos")*(MOVIMIENTOS!$A$5:$A$1005&lt;&gt;"")*(MOVIMIENTOS!$A$5:$A$1005&lt;=$A362)*MOVIMIENTOS!$E$5:$E$1005)-SUMPRODUCT((MOVIMIENTOS!$B$5:$B$1005="VENTA CHANCHO")*(MOVIMIENTOS!$C$5:$C$1005="Chancho")*(MOVIMIENTOS!$D$5:$D$1005="sacos")*(MOVIMIENTOS!$A$5:$A$1005&lt;&gt;"")*(MOVIMIENTOS!$A$5:$A$1005&lt;=$A362)*MOVIMIENTOS!$E$5:$E$1005)-SUMPRODUCT((MOVIMIENTOS!$B$5:$B$1005="REGALO")*(MOVIMIENTOS!$C$5:$C$1005="Chancho")*(MOVIMIENTOS!$D$5:$D$1005="sacos")*(MOVIMIENTOS!$A$5:$A$1005&lt;&gt;"")*(MOVIMIENTOS!$A$5:$A$1005&lt;=$A362)*MOVIMIENTOS!$E$5:$E$1005)-SUMPRODUCT((MOVIMIENTOS!$B$5:$B$1005="VENTA")*(MOVIMIENTOS!$C$5:$C$1005="Chancho")*(MOVIMIENTOS!$D$5:$D$1005="sacos")*(MOVIMIENTOS!$A$5:$A$1005&lt;&gt;"")*(MOVIMIENTOS!$A$5:$A$1005&lt;=$A362)*MOVIMIENTOS!$E$5:$E$1005)+SUMPRODUCT((MOVIMIENTOS!$B$5:$B$1005="AJUSTE")*(MOVIMIENTOS!$C$5:$C$1005="Chancho")*(MOVIMIENTOS!$D$5:$D$1005="sacos")*(MOVIMIENTOS!$A$5:$A$1005&lt;&gt;"")*(MOVIMIENTOS!$A$5:$A$1005&lt;=$A362)*MOVIMIENTOS!$E$5:$E$1005))</f>
        <v/>
      </c>
      <c r="G362" s="95" t="str">
        <f t="shared" si="11"/>
        <v/>
      </c>
      <c r="H362" s="63" t="str">
        <f>IF($A362="","",SUMPRODUCT((((MOVIMIENTOS!$B$5:$B$1005="SALDO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362)*MOVIMIENTOS!$J$5:$J$1005))</f>
        <v/>
      </c>
      <c r="I362" s="63"/>
      <c r="J362" s="63" t="str">
        <f>IF(AND(MOVIMIENTOS!$A363&lt;&gt;"",COUNTIF(MOVIMIENTOS!$A$5:$A362,MOVIMIENTOS!$A363)=0),COUNT(J$4:J361)+1,"")</f>
        <v/>
      </c>
      <c r="K362" s="66">
        <f>MOVIMIENTOS!$A363</f>
        <v>46246</v>
      </c>
      <c r="L362" s="63"/>
      <c r="M362" s="63"/>
      <c r="N362" s="63"/>
    </row>
    <row r="363" spans="1:14" ht="15" customHeight="1" x14ac:dyDescent="0.2">
      <c r="A363" s="63" t="str">
        <f t="shared" si="10"/>
        <v/>
      </c>
      <c r="B363" s="63" t="str">
        <f>IF($A363="","",SUMPRODUCT((MOVIMIENTOS!$B$5:$B$1005="SALDO INICIAL")*(MOVIMIENTOS!$C$5:$C$1005="A")*(MOVIMIENTOS!$D$5:$D$1005="jabas")*(MOVIMIENTOS!$A$5:$A$1005&lt;&gt;"")*(MOVIMIENTOS!$A$5:$A$1005&lt;=$A363)*MOVIMIENTOS!$E$5:$E$1005)+SUMPRODUCT((MOVIMIENTOS!$B$5:$B$1005="PROCESO")*(MOVIMIENTOS!$C$5:$C$1005="A")*(MOVIMIENTOS!$D$5:$D$1005="jabas")*(MOVIMIENTOS!$A$5:$A$1005&lt;&gt;"")*(MOVIMIENTOS!$A$5:$A$1005&lt;=$A363)*MOVIMIENTOS!$E$5:$E$1005)-SUMPRODUCT((MOVIMIENTOS!$B$5:$B$1005="ENVÍO A SUPESA")*(MOVIMIENTOS!$C$5:$C$1005="A")*(MOVIMIENTOS!$D$5:$D$1005="jabas")*(MOVIMIENTOS!$A$5:$A$1005&lt;&gt;"")*(MOVIMIENTOS!$A$5:$A$1005&lt;=$A363)*MOVIMIENTOS!$E$5:$E$1005)+SUMPRODUCT((MOVIMIENTOS!$B$5:$B$1005="DEVOLUCIÓN")*(MOVIMIENTOS!$C$5:$C$1005="A")*(MOVIMIENTOS!$D$5:$D$1005="jabas")*(MOVIMIENTOS!$A$5:$A$1005&lt;&gt;"")*(MOVIMIENTOS!$A$5:$A$1005&lt;=$A363)*MOVIMIENTOS!$E$5:$E$1005)-SUMPRODUCT((MOVIMIENTOS!$B$5:$B$1005="TRASIEGO")*(MOVIMIENTOS!$C$5:$C$1005="A")*(MOVIMIENTOS!$D$5:$D$1005="jabas")*(MOVIMIENTOS!$A$5:$A$1005&lt;&gt;"")*(MOVIMIENTOS!$A$5:$A$1005&lt;=$A363)*MOVIMIENTOS!$E$5:$E$1005)-SUMPRODUCT((MOVIMIENTOS!$B$5:$B$1005="REGALO")*(MOVIMIENTOS!$C$5:$C$1005="A")*(MOVIMIENTOS!$D$5:$D$1005="jabas")*(MOVIMIENTOS!$A$5:$A$1005&lt;&gt;"")*(MOVIMIENTOS!$A$5:$A$1005&lt;=$A363)*MOVIMIENTOS!$E$5:$E$1005)-SUMPRODUCT((MOVIMIENTOS!$B$5:$B$1005="VENTA")*(MOVIMIENTOS!$C$5:$C$1005="A")*(MOVIMIENTOS!$D$5:$D$1005="jabas")*(MOVIMIENTOS!$A$5:$A$1005&lt;&gt;"")*(MOVIMIENTOS!$A$5:$A$1005&lt;=$A363)*MOVIMIENTOS!$E$5:$E$1005)+SUMPRODUCT((MOVIMIENTOS!$B$5:$B$1005="AJUSTE")*(MOVIMIENTOS!$C$5:$C$1005="A")*(MOVIMIENTOS!$D$5:$D$1005="jabas")*(MOVIMIENTOS!$A$5:$A$1005&lt;&gt;"")*(MOVIMIENTOS!$A$5:$A$1005&lt;=$A363)*MOVIMIENTOS!$E$5:$E$1005))</f>
        <v/>
      </c>
      <c r="C363" s="63" t="str">
        <f>IF($A363="","",SUMPRODUCT((MOVIMIENTOS!$B$5:$B$1005="SALDO INICIAL")*(MOVIMIENTOS!$C$5:$C$1005="P")*(MOVIMIENTOS!$D$5:$D$1005="jabas")*(MOVIMIENTOS!$A$5:$A$1005&lt;&gt;"")*(MOVIMIENTOS!$A$5:$A$1005&lt;=$A363)*MOVIMIENTOS!$E$5:$E$1005)+SUMPRODUCT((MOVIMIENTOS!$B$5:$B$1005="PROCESO")*(MOVIMIENTOS!$C$5:$C$1005="P")*(MOVIMIENTOS!$D$5:$D$1005="jabas")*(MOVIMIENTOS!$A$5:$A$1005&lt;&gt;"")*(MOVIMIENTOS!$A$5:$A$1005&lt;=$A363)*MOVIMIENTOS!$E$5:$E$1005)-SUMPRODUCT((MOVIMIENTOS!$B$5:$B$1005="ENVÍO A SUPESA")*(MOVIMIENTOS!$C$5:$C$1005="P")*(MOVIMIENTOS!$D$5:$D$1005="jabas")*(MOVIMIENTOS!$A$5:$A$1005&lt;&gt;"")*(MOVIMIENTOS!$A$5:$A$1005&lt;=$A363)*MOVIMIENTOS!$E$5:$E$1005)+SUMPRODUCT((MOVIMIENTOS!$B$5:$B$1005="DEVOLUCIÓN")*(MOVIMIENTOS!$C$5:$C$1005="P")*(MOVIMIENTOS!$D$5:$D$1005="jabas")*(MOVIMIENTOS!$A$5:$A$1005&lt;&gt;"")*(MOVIMIENTOS!$A$5:$A$1005&lt;=$A363)*MOVIMIENTOS!$E$5:$E$1005)-SUMPRODUCT((MOVIMIENTOS!$B$5:$B$1005="TRASIEGO")*(MOVIMIENTOS!$C$5:$C$1005="P")*(MOVIMIENTOS!$D$5:$D$1005="jabas")*(MOVIMIENTOS!$A$5:$A$1005&lt;&gt;"")*(MOVIMIENTOS!$A$5:$A$1005&lt;=$A363)*MOVIMIENTOS!$E$5:$E$1005)-SUMPRODUCT((MOVIMIENTOS!$B$5:$B$1005="REGALO")*(MOVIMIENTOS!$C$5:$C$1005="P")*(MOVIMIENTOS!$D$5:$D$1005="jabas")*(MOVIMIENTOS!$A$5:$A$1005&lt;&gt;"")*(MOVIMIENTOS!$A$5:$A$1005&lt;=$A363)*MOVIMIENTOS!$E$5:$E$1005)-SUMPRODUCT((MOVIMIENTOS!$B$5:$B$1005="VENTA")*(MOVIMIENTOS!$C$5:$C$1005="P")*(MOVIMIENTOS!$D$5:$D$1005="jabas")*(MOVIMIENTOS!$A$5:$A$1005&lt;&gt;"")*(MOVIMIENTOS!$A$5:$A$1005&lt;=$A363)*MOVIMIENTOS!$E$5:$E$1005)+SUMPRODUCT((MOVIMIENTOS!$B$5:$B$1005="AJUSTE")*(MOVIMIENTOS!$C$5:$C$1005="P")*(MOVIMIENTOS!$D$5:$D$1005="jabas")*(MOVIMIENTOS!$A$5:$A$1005&lt;&gt;"")*(MOVIMIENTOS!$A$5:$A$1005&lt;=$A363)*MOVIMIENTOS!$E$5:$E$1005))</f>
        <v/>
      </c>
      <c r="D363" s="63" t="str">
        <f>IF($A363="","",SUMPRODUCT((MOVIMIENTOS!$B$5:$B$1005="SALDO INICIAL")*(MOVIMIENTOS!$C$5:$C$1005="C")*(MOVIMIENTOS!$D$5:$D$1005="jabas")*(MOVIMIENTOS!$A$5:$A$1005&lt;&gt;"")*(MOVIMIENTOS!$A$5:$A$1005&lt;=$A363)*MOVIMIENTOS!$E$5:$E$1005)+SUMPRODUCT((MOVIMIENTOS!$B$5:$B$1005="PROCESO")*(MOVIMIENTOS!$C$5:$C$1005="C")*(MOVIMIENTOS!$D$5:$D$1005="jabas")*(MOVIMIENTOS!$A$5:$A$1005&lt;&gt;"")*(MOVIMIENTOS!$A$5:$A$1005&lt;=$A363)*MOVIMIENTOS!$E$5:$E$1005)-SUMPRODUCT((MOVIMIENTOS!$B$5:$B$1005="ENVÍO A SUPESA")*(MOVIMIENTOS!$C$5:$C$1005="C")*(MOVIMIENTOS!$D$5:$D$1005="jabas")*(MOVIMIENTOS!$A$5:$A$1005&lt;&gt;"")*(MOVIMIENTOS!$A$5:$A$1005&lt;=$A363)*MOVIMIENTOS!$E$5:$E$1005)+SUMPRODUCT((MOVIMIENTOS!$B$5:$B$1005="DEVOLUCIÓN")*(MOVIMIENTOS!$C$5:$C$1005="C")*(MOVIMIENTOS!$D$5:$D$1005="jabas")*(MOVIMIENTOS!$A$5:$A$1005&lt;&gt;"")*(MOVIMIENTOS!$A$5:$A$1005&lt;=$A363)*MOVIMIENTOS!$E$5:$E$1005)-SUMPRODUCT((MOVIMIENTOS!$B$5:$B$1005="TRASIEGO")*(MOVIMIENTOS!$C$5:$C$1005="C")*(MOVIMIENTOS!$D$5:$D$1005="jabas")*(MOVIMIENTOS!$A$5:$A$1005&lt;&gt;"")*(MOVIMIENTOS!$A$5:$A$1005&lt;=$A363)*MOVIMIENTOS!$E$5:$E$1005)-SUMPRODUCT((MOVIMIENTOS!$B$5:$B$1005="REGALO")*(MOVIMIENTOS!$C$5:$C$1005="C")*(MOVIMIENTOS!$D$5:$D$1005="jabas")*(MOVIMIENTOS!$A$5:$A$1005&lt;&gt;"")*(MOVIMIENTOS!$A$5:$A$1005&lt;=$A363)*MOVIMIENTOS!$E$5:$E$1005)-SUMPRODUCT((MOVIMIENTOS!$B$5:$B$1005="VENTA")*(MOVIMIENTOS!$C$5:$C$1005="C")*(MOVIMIENTOS!$D$5:$D$1005="jabas")*(MOVIMIENTOS!$A$5:$A$1005&lt;&gt;"")*(MOVIMIENTOS!$A$5:$A$1005&lt;=$A363)*MOVIMIENTOS!$E$5:$E$1005)+SUMPRODUCT((MOVIMIENTOS!$B$5:$B$1005="AJUSTE")*(MOVIMIENTOS!$C$5:$C$1005="C")*(MOVIMIENTOS!$D$5:$D$1005="jabas")*(MOVIMIENTOS!$A$5:$A$1005&lt;&gt;"")*(MOVIMIENTOS!$A$5:$A$1005&lt;=$A363)*MOVIMIENTOS!$E$5:$E$1005))</f>
        <v/>
      </c>
      <c r="E363" s="63" t="str">
        <f>IF($A363="","",SUMPRODUCT((MOVIMIENTOS!$B$5:$B$1005="SALDO INICIAL")*(MOVIMIENTOS!$C$5:$C$1005="M")*(MOVIMIENTOS!$D$5:$D$1005="jabas")*(MOVIMIENTOS!$A$5:$A$1005&lt;&gt;"")*(MOVIMIENTOS!$A$5:$A$1005&lt;=$A363)*MOVIMIENTOS!$E$5:$E$1005)+SUMPRODUCT((MOVIMIENTOS!$B$5:$B$1005="PROCESO")*(MOVIMIENTOS!$C$5:$C$1005="M")*(MOVIMIENTOS!$D$5:$D$1005="jabas")*(MOVIMIENTOS!$A$5:$A$1005&lt;&gt;"")*(MOVIMIENTOS!$A$5:$A$1005&lt;=$A363)*MOVIMIENTOS!$E$5:$E$1005)-SUMPRODUCT((MOVIMIENTOS!$B$5:$B$1005="ENVÍO A SUPESA")*(MOVIMIENTOS!$C$5:$C$1005="M")*(MOVIMIENTOS!$D$5:$D$1005="jabas")*(MOVIMIENTOS!$A$5:$A$1005&lt;&gt;"")*(MOVIMIENTOS!$A$5:$A$1005&lt;=$A363)*MOVIMIENTOS!$E$5:$E$1005)+SUMPRODUCT((MOVIMIENTOS!$B$5:$B$1005="DEVOLUCIÓN")*(MOVIMIENTOS!$C$5:$C$1005="M")*(MOVIMIENTOS!$D$5:$D$1005="jabas")*(MOVIMIENTOS!$A$5:$A$1005&lt;&gt;"")*(MOVIMIENTOS!$A$5:$A$1005&lt;=$A363)*MOVIMIENTOS!$E$5:$E$1005)-SUMPRODUCT((MOVIMIENTOS!$B$5:$B$1005="TRASIEGO")*(MOVIMIENTOS!$C$5:$C$1005="M")*(MOVIMIENTOS!$D$5:$D$1005="jabas")*(MOVIMIENTOS!$A$5:$A$1005&lt;&gt;"")*(MOVIMIENTOS!$A$5:$A$1005&lt;=$A363)*MOVIMIENTOS!$E$5:$E$1005)-SUMPRODUCT((MOVIMIENTOS!$B$5:$B$1005="REGALO")*(MOVIMIENTOS!$C$5:$C$1005="M")*(MOVIMIENTOS!$D$5:$D$1005="jabas")*(MOVIMIENTOS!$A$5:$A$1005&lt;&gt;"")*(MOVIMIENTOS!$A$5:$A$1005&lt;=$A363)*MOVIMIENTOS!$E$5:$E$1005)-SUMPRODUCT((MOVIMIENTOS!$B$5:$B$1005="VENTA")*(MOVIMIENTOS!$C$5:$C$1005="M")*(MOVIMIENTOS!$D$5:$D$1005="jabas")*(MOVIMIENTOS!$A$5:$A$1005&lt;&gt;"")*(MOVIMIENTOS!$A$5:$A$1005&lt;=$A363)*MOVIMIENTOS!$E$5:$E$1005)+SUMPRODUCT((MOVIMIENTOS!$B$5:$B$1005="AJUSTE")*(MOVIMIENTOS!$C$5:$C$1005="M")*(MOVIMIENTOS!$D$5:$D$1005="jabas")*(MOVIMIENTOS!$A$5:$A$1005&lt;&gt;"")*(MOVIMIENTOS!$A$5:$A$1005&lt;=$A363)*MOVIMIENTOS!$E$5:$E$1005))</f>
        <v/>
      </c>
      <c r="F363" s="63" t="str">
        <f>IF($A363="","",SUMPRODUCT((MOVIMIENTOS!$B$5:$B$1005="SALDO INICIAL")*(MOVIMIENTOS!$C$5:$C$1005="Chancho")*(MOVIMIENTOS!$D$5:$D$1005="sacos")*(MOVIMIENTOS!$A$5:$A$1005&lt;&gt;"")*(MOVIMIENTOS!$A$5:$A$1005&lt;=$A363)*MOVIMIENTOS!$E$5:$E$1005)+SUMPRODUCT((MOVIMIENTOS!$B$5:$B$1005="PROCESO")*(MOVIMIENTOS!$C$5:$C$1005="Chancho")*(MOVIMIENTOS!$D$5:$D$1005="sacos")*(MOVIMIENTOS!$A$5:$A$1005&lt;&gt;"")*(MOVIMIENTOS!$A$5:$A$1005&lt;=$A363)*MOVIMIENTOS!$E$5:$E$1005)-SUMPRODUCT((MOVIMIENTOS!$B$5:$B$1005="VENTA CHANCHO")*(MOVIMIENTOS!$C$5:$C$1005="Chancho")*(MOVIMIENTOS!$D$5:$D$1005="sacos")*(MOVIMIENTOS!$A$5:$A$1005&lt;&gt;"")*(MOVIMIENTOS!$A$5:$A$1005&lt;=$A363)*MOVIMIENTOS!$E$5:$E$1005)-SUMPRODUCT((MOVIMIENTOS!$B$5:$B$1005="REGALO")*(MOVIMIENTOS!$C$5:$C$1005="Chancho")*(MOVIMIENTOS!$D$5:$D$1005="sacos")*(MOVIMIENTOS!$A$5:$A$1005&lt;&gt;"")*(MOVIMIENTOS!$A$5:$A$1005&lt;=$A363)*MOVIMIENTOS!$E$5:$E$1005)-SUMPRODUCT((MOVIMIENTOS!$B$5:$B$1005="VENTA")*(MOVIMIENTOS!$C$5:$C$1005="Chancho")*(MOVIMIENTOS!$D$5:$D$1005="sacos")*(MOVIMIENTOS!$A$5:$A$1005&lt;&gt;"")*(MOVIMIENTOS!$A$5:$A$1005&lt;=$A363)*MOVIMIENTOS!$E$5:$E$1005)+SUMPRODUCT((MOVIMIENTOS!$B$5:$B$1005="AJUSTE")*(MOVIMIENTOS!$C$5:$C$1005="Chancho")*(MOVIMIENTOS!$D$5:$D$1005="sacos")*(MOVIMIENTOS!$A$5:$A$1005&lt;&gt;"")*(MOVIMIENTOS!$A$5:$A$1005&lt;=$A363)*MOVIMIENTOS!$E$5:$E$1005))</f>
        <v/>
      </c>
      <c r="G363" s="95" t="str">
        <f t="shared" si="11"/>
        <v/>
      </c>
      <c r="H363" s="63" t="str">
        <f>IF($A363="","",SUMPRODUCT((((MOVIMIENTOS!$B$5:$B$1005="SALDO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363)*MOVIMIENTOS!$J$5:$J$1005))</f>
        <v/>
      </c>
      <c r="I363" s="63"/>
      <c r="J363" s="63" t="str">
        <f>IF(AND(MOVIMIENTOS!$A364&lt;&gt;"",COUNTIF(MOVIMIENTOS!$A$5:$A363,MOVIMIENTOS!$A364)=0),COUNT(J$4:J362)+1,"")</f>
        <v/>
      </c>
      <c r="K363" s="66">
        <f>MOVIMIENTOS!$A364</f>
        <v>46246</v>
      </c>
      <c r="L363" s="63"/>
      <c r="M363" s="63"/>
      <c r="N363" s="63"/>
    </row>
    <row r="364" spans="1:14" ht="15" customHeight="1" x14ac:dyDescent="0.2">
      <c r="A364" s="63" t="str">
        <f t="shared" si="10"/>
        <v/>
      </c>
      <c r="B364" s="63" t="str">
        <f>IF($A364="","",SUMPRODUCT((MOVIMIENTOS!$B$5:$B$1005="SALDO INICIAL")*(MOVIMIENTOS!$C$5:$C$1005="A")*(MOVIMIENTOS!$D$5:$D$1005="jabas")*(MOVIMIENTOS!$A$5:$A$1005&lt;&gt;"")*(MOVIMIENTOS!$A$5:$A$1005&lt;=$A364)*MOVIMIENTOS!$E$5:$E$1005)+SUMPRODUCT((MOVIMIENTOS!$B$5:$B$1005="PROCESO")*(MOVIMIENTOS!$C$5:$C$1005="A")*(MOVIMIENTOS!$D$5:$D$1005="jabas")*(MOVIMIENTOS!$A$5:$A$1005&lt;&gt;"")*(MOVIMIENTOS!$A$5:$A$1005&lt;=$A364)*MOVIMIENTOS!$E$5:$E$1005)-SUMPRODUCT((MOVIMIENTOS!$B$5:$B$1005="ENVÍO A SUPESA")*(MOVIMIENTOS!$C$5:$C$1005="A")*(MOVIMIENTOS!$D$5:$D$1005="jabas")*(MOVIMIENTOS!$A$5:$A$1005&lt;&gt;"")*(MOVIMIENTOS!$A$5:$A$1005&lt;=$A364)*MOVIMIENTOS!$E$5:$E$1005)+SUMPRODUCT((MOVIMIENTOS!$B$5:$B$1005="DEVOLUCIÓN")*(MOVIMIENTOS!$C$5:$C$1005="A")*(MOVIMIENTOS!$D$5:$D$1005="jabas")*(MOVIMIENTOS!$A$5:$A$1005&lt;&gt;"")*(MOVIMIENTOS!$A$5:$A$1005&lt;=$A364)*MOVIMIENTOS!$E$5:$E$1005)-SUMPRODUCT((MOVIMIENTOS!$B$5:$B$1005="TRASIEGO")*(MOVIMIENTOS!$C$5:$C$1005="A")*(MOVIMIENTOS!$D$5:$D$1005="jabas")*(MOVIMIENTOS!$A$5:$A$1005&lt;&gt;"")*(MOVIMIENTOS!$A$5:$A$1005&lt;=$A364)*MOVIMIENTOS!$E$5:$E$1005)-SUMPRODUCT((MOVIMIENTOS!$B$5:$B$1005="REGALO")*(MOVIMIENTOS!$C$5:$C$1005="A")*(MOVIMIENTOS!$D$5:$D$1005="jabas")*(MOVIMIENTOS!$A$5:$A$1005&lt;&gt;"")*(MOVIMIENTOS!$A$5:$A$1005&lt;=$A364)*MOVIMIENTOS!$E$5:$E$1005)-SUMPRODUCT((MOVIMIENTOS!$B$5:$B$1005="VENTA")*(MOVIMIENTOS!$C$5:$C$1005="A")*(MOVIMIENTOS!$D$5:$D$1005="jabas")*(MOVIMIENTOS!$A$5:$A$1005&lt;&gt;"")*(MOVIMIENTOS!$A$5:$A$1005&lt;=$A364)*MOVIMIENTOS!$E$5:$E$1005)+SUMPRODUCT((MOVIMIENTOS!$B$5:$B$1005="AJUSTE")*(MOVIMIENTOS!$C$5:$C$1005="A")*(MOVIMIENTOS!$D$5:$D$1005="jabas")*(MOVIMIENTOS!$A$5:$A$1005&lt;&gt;"")*(MOVIMIENTOS!$A$5:$A$1005&lt;=$A364)*MOVIMIENTOS!$E$5:$E$1005))</f>
        <v/>
      </c>
      <c r="C364" s="63" t="str">
        <f>IF($A364="","",SUMPRODUCT((MOVIMIENTOS!$B$5:$B$1005="SALDO INICIAL")*(MOVIMIENTOS!$C$5:$C$1005="P")*(MOVIMIENTOS!$D$5:$D$1005="jabas")*(MOVIMIENTOS!$A$5:$A$1005&lt;&gt;"")*(MOVIMIENTOS!$A$5:$A$1005&lt;=$A364)*MOVIMIENTOS!$E$5:$E$1005)+SUMPRODUCT((MOVIMIENTOS!$B$5:$B$1005="PROCESO")*(MOVIMIENTOS!$C$5:$C$1005="P")*(MOVIMIENTOS!$D$5:$D$1005="jabas")*(MOVIMIENTOS!$A$5:$A$1005&lt;&gt;"")*(MOVIMIENTOS!$A$5:$A$1005&lt;=$A364)*MOVIMIENTOS!$E$5:$E$1005)-SUMPRODUCT((MOVIMIENTOS!$B$5:$B$1005="ENVÍO A SUPESA")*(MOVIMIENTOS!$C$5:$C$1005="P")*(MOVIMIENTOS!$D$5:$D$1005="jabas")*(MOVIMIENTOS!$A$5:$A$1005&lt;&gt;"")*(MOVIMIENTOS!$A$5:$A$1005&lt;=$A364)*MOVIMIENTOS!$E$5:$E$1005)+SUMPRODUCT((MOVIMIENTOS!$B$5:$B$1005="DEVOLUCIÓN")*(MOVIMIENTOS!$C$5:$C$1005="P")*(MOVIMIENTOS!$D$5:$D$1005="jabas")*(MOVIMIENTOS!$A$5:$A$1005&lt;&gt;"")*(MOVIMIENTOS!$A$5:$A$1005&lt;=$A364)*MOVIMIENTOS!$E$5:$E$1005)-SUMPRODUCT((MOVIMIENTOS!$B$5:$B$1005="TRASIEGO")*(MOVIMIENTOS!$C$5:$C$1005="P")*(MOVIMIENTOS!$D$5:$D$1005="jabas")*(MOVIMIENTOS!$A$5:$A$1005&lt;&gt;"")*(MOVIMIENTOS!$A$5:$A$1005&lt;=$A364)*MOVIMIENTOS!$E$5:$E$1005)-SUMPRODUCT((MOVIMIENTOS!$B$5:$B$1005="REGALO")*(MOVIMIENTOS!$C$5:$C$1005="P")*(MOVIMIENTOS!$D$5:$D$1005="jabas")*(MOVIMIENTOS!$A$5:$A$1005&lt;&gt;"")*(MOVIMIENTOS!$A$5:$A$1005&lt;=$A364)*MOVIMIENTOS!$E$5:$E$1005)-SUMPRODUCT((MOVIMIENTOS!$B$5:$B$1005="VENTA")*(MOVIMIENTOS!$C$5:$C$1005="P")*(MOVIMIENTOS!$D$5:$D$1005="jabas")*(MOVIMIENTOS!$A$5:$A$1005&lt;&gt;"")*(MOVIMIENTOS!$A$5:$A$1005&lt;=$A364)*MOVIMIENTOS!$E$5:$E$1005)+SUMPRODUCT((MOVIMIENTOS!$B$5:$B$1005="AJUSTE")*(MOVIMIENTOS!$C$5:$C$1005="P")*(MOVIMIENTOS!$D$5:$D$1005="jabas")*(MOVIMIENTOS!$A$5:$A$1005&lt;&gt;"")*(MOVIMIENTOS!$A$5:$A$1005&lt;=$A364)*MOVIMIENTOS!$E$5:$E$1005))</f>
        <v/>
      </c>
      <c r="D364" s="63" t="str">
        <f>IF($A364="","",SUMPRODUCT((MOVIMIENTOS!$B$5:$B$1005="SALDO INICIAL")*(MOVIMIENTOS!$C$5:$C$1005="C")*(MOVIMIENTOS!$D$5:$D$1005="jabas")*(MOVIMIENTOS!$A$5:$A$1005&lt;&gt;"")*(MOVIMIENTOS!$A$5:$A$1005&lt;=$A364)*MOVIMIENTOS!$E$5:$E$1005)+SUMPRODUCT((MOVIMIENTOS!$B$5:$B$1005="PROCESO")*(MOVIMIENTOS!$C$5:$C$1005="C")*(MOVIMIENTOS!$D$5:$D$1005="jabas")*(MOVIMIENTOS!$A$5:$A$1005&lt;&gt;"")*(MOVIMIENTOS!$A$5:$A$1005&lt;=$A364)*MOVIMIENTOS!$E$5:$E$1005)-SUMPRODUCT((MOVIMIENTOS!$B$5:$B$1005="ENVÍO A SUPESA")*(MOVIMIENTOS!$C$5:$C$1005="C")*(MOVIMIENTOS!$D$5:$D$1005="jabas")*(MOVIMIENTOS!$A$5:$A$1005&lt;&gt;"")*(MOVIMIENTOS!$A$5:$A$1005&lt;=$A364)*MOVIMIENTOS!$E$5:$E$1005)+SUMPRODUCT((MOVIMIENTOS!$B$5:$B$1005="DEVOLUCIÓN")*(MOVIMIENTOS!$C$5:$C$1005="C")*(MOVIMIENTOS!$D$5:$D$1005="jabas")*(MOVIMIENTOS!$A$5:$A$1005&lt;&gt;"")*(MOVIMIENTOS!$A$5:$A$1005&lt;=$A364)*MOVIMIENTOS!$E$5:$E$1005)-SUMPRODUCT((MOVIMIENTOS!$B$5:$B$1005="TRASIEGO")*(MOVIMIENTOS!$C$5:$C$1005="C")*(MOVIMIENTOS!$D$5:$D$1005="jabas")*(MOVIMIENTOS!$A$5:$A$1005&lt;&gt;"")*(MOVIMIENTOS!$A$5:$A$1005&lt;=$A364)*MOVIMIENTOS!$E$5:$E$1005)-SUMPRODUCT((MOVIMIENTOS!$B$5:$B$1005="REGALO")*(MOVIMIENTOS!$C$5:$C$1005="C")*(MOVIMIENTOS!$D$5:$D$1005="jabas")*(MOVIMIENTOS!$A$5:$A$1005&lt;&gt;"")*(MOVIMIENTOS!$A$5:$A$1005&lt;=$A364)*MOVIMIENTOS!$E$5:$E$1005)-SUMPRODUCT((MOVIMIENTOS!$B$5:$B$1005="VENTA")*(MOVIMIENTOS!$C$5:$C$1005="C")*(MOVIMIENTOS!$D$5:$D$1005="jabas")*(MOVIMIENTOS!$A$5:$A$1005&lt;&gt;"")*(MOVIMIENTOS!$A$5:$A$1005&lt;=$A364)*MOVIMIENTOS!$E$5:$E$1005)+SUMPRODUCT((MOVIMIENTOS!$B$5:$B$1005="AJUSTE")*(MOVIMIENTOS!$C$5:$C$1005="C")*(MOVIMIENTOS!$D$5:$D$1005="jabas")*(MOVIMIENTOS!$A$5:$A$1005&lt;&gt;"")*(MOVIMIENTOS!$A$5:$A$1005&lt;=$A364)*MOVIMIENTOS!$E$5:$E$1005))</f>
        <v/>
      </c>
      <c r="E364" s="63" t="str">
        <f>IF($A364="","",SUMPRODUCT((MOVIMIENTOS!$B$5:$B$1005="SALDO INICIAL")*(MOVIMIENTOS!$C$5:$C$1005="M")*(MOVIMIENTOS!$D$5:$D$1005="jabas")*(MOVIMIENTOS!$A$5:$A$1005&lt;&gt;"")*(MOVIMIENTOS!$A$5:$A$1005&lt;=$A364)*MOVIMIENTOS!$E$5:$E$1005)+SUMPRODUCT((MOVIMIENTOS!$B$5:$B$1005="PROCESO")*(MOVIMIENTOS!$C$5:$C$1005="M")*(MOVIMIENTOS!$D$5:$D$1005="jabas")*(MOVIMIENTOS!$A$5:$A$1005&lt;&gt;"")*(MOVIMIENTOS!$A$5:$A$1005&lt;=$A364)*MOVIMIENTOS!$E$5:$E$1005)-SUMPRODUCT((MOVIMIENTOS!$B$5:$B$1005="ENVÍO A SUPESA")*(MOVIMIENTOS!$C$5:$C$1005="M")*(MOVIMIENTOS!$D$5:$D$1005="jabas")*(MOVIMIENTOS!$A$5:$A$1005&lt;&gt;"")*(MOVIMIENTOS!$A$5:$A$1005&lt;=$A364)*MOVIMIENTOS!$E$5:$E$1005)+SUMPRODUCT((MOVIMIENTOS!$B$5:$B$1005="DEVOLUCIÓN")*(MOVIMIENTOS!$C$5:$C$1005="M")*(MOVIMIENTOS!$D$5:$D$1005="jabas")*(MOVIMIENTOS!$A$5:$A$1005&lt;&gt;"")*(MOVIMIENTOS!$A$5:$A$1005&lt;=$A364)*MOVIMIENTOS!$E$5:$E$1005)-SUMPRODUCT((MOVIMIENTOS!$B$5:$B$1005="TRASIEGO")*(MOVIMIENTOS!$C$5:$C$1005="M")*(MOVIMIENTOS!$D$5:$D$1005="jabas")*(MOVIMIENTOS!$A$5:$A$1005&lt;&gt;"")*(MOVIMIENTOS!$A$5:$A$1005&lt;=$A364)*MOVIMIENTOS!$E$5:$E$1005)-SUMPRODUCT((MOVIMIENTOS!$B$5:$B$1005="REGALO")*(MOVIMIENTOS!$C$5:$C$1005="M")*(MOVIMIENTOS!$D$5:$D$1005="jabas")*(MOVIMIENTOS!$A$5:$A$1005&lt;&gt;"")*(MOVIMIENTOS!$A$5:$A$1005&lt;=$A364)*MOVIMIENTOS!$E$5:$E$1005)-SUMPRODUCT((MOVIMIENTOS!$B$5:$B$1005="VENTA")*(MOVIMIENTOS!$C$5:$C$1005="M")*(MOVIMIENTOS!$D$5:$D$1005="jabas")*(MOVIMIENTOS!$A$5:$A$1005&lt;&gt;"")*(MOVIMIENTOS!$A$5:$A$1005&lt;=$A364)*MOVIMIENTOS!$E$5:$E$1005)+SUMPRODUCT((MOVIMIENTOS!$B$5:$B$1005="AJUSTE")*(MOVIMIENTOS!$C$5:$C$1005="M")*(MOVIMIENTOS!$D$5:$D$1005="jabas")*(MOVIMIENTOS!$A$5:$A$1005&lt;&gt;"")*(MOVIMIENTOS!$A$5:$A$1005&lt;=$A364)*MOVIMIENTOS!$E$5:$E$1005))</f>
        <v/>
      </c>
      <c r="F364" s="63" t="str">
        <f>IF($A364="","",SUMPRODUCT((MOVIMIENTOS!$B$5:$B$1005="SALDO INICIAL")*(MOVIMIENTOS!$C$5:$C$1005="Chancho")*(MOVIMIENTOS!$D$5:$D$1005="sacos")*(MOVIMIENTOS!$A$5:$A$1005&lt;&gt;"")*(MOVIMIENTOS!$A$5:$A$1005&lt;=$A364)*MOVIMIENTOS!$E$5:$E$1005)+SUMPRODUCT((MOVIMIENTOS!$B$5:$B$1005="PROCESO")*(MOVIMIENTOS!$C$5:$C$1005="Chancho")*(MOVIMIENTOS!$D$5:$D$1005="sacos")*(MOVIMIENTOS!$A$5:$A$1005&lt;&gt;"")*(MOVIMIENTOS!$A$5:$A$1005&lt;=$A364)*MOVIMIENTOS!$E$5:$E$1005)-SUMPRODUCT((MOVIMIENTOS!$B$5:$B$1005="VENTA CHANCHO")*(MOVIMIENTOS!$C$5:$C$1005="Chancho")*(MOVIMIENTOS!$D$5:$D$1005="sacos")*(MOVIMIENTOS!$A$5:$A$1005&lt;&gt;"")*(MOVIMIENTOS!$A$5:$A$1005&lt;=$A364)*MOVIMIENTOS!$E$5:$E$1005)-SUMPRODUCT((MOVIMIENTOS!$B$5:$B$1005="REGALO")*(MOVIMIENTOS!$C$5:$C$1005="Chancho")*(MOVIMIENTOS!$D$5:$D$1005="sacos")*(MOVIMIENTOS!$A$5:$A$1005&lt;&gt;"")*(MOVIMIENTOS!$A$5:$A$1005&lt;=$A364)*MOVIMIENTOS!$E$5:$E$1005)-SUMPRODUCT((MOVIMIENTOS!$B$5:$B$1005="VENTA")*(MOVIMIENTOS!$C$5:$C$1005="Chancho")*(MOVIMIENTOS!$D$5:$D$1005="sacos")*(MOVIMIENTOS!$A$5:$A$1005&lt;&gt;"")*(MOVIMIENTOS!$A$5:$A$1005&lt;=$A364)*MOVIMIENTOS!$E$5:$E$1005)+SUMPRODUCT((MOVIMIENTOS!$B$5:$B$1005="AJUSTE")*(MOVIMIENTOS!$C$5:$C$1005="Chancho")*(MOVIMIENTOS!$D$5:$D$1005="sacos")*(MOVIMIENTOS!$A$5:$A$1005&lt;&gt;"")*(MOVIMIENTOS!$A$5:$A$1005&lt;=$A364)*MOVIMIENTOS!$E$5:$E$1005))</f>
        <v/>
      </c>
      <c r="G364" s="95" t="str">
        <f t="shared" si="11"/>
        <v/>
      </c>
      <c r="H364" s="63" t="str">
        <f>IF($A364="","",SUMPRODUCT((((MOVIMIENTOS!$B$5:$B$1005="SALDO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364)*MOVIMIENTOS!$J$5:$J$1005))</f>
        <v/>
      </c>
      <c r="I364" s="63"/>
      <c r="J364" s="63" t="str">
        <f>IF(AND(MOVIMIENTOS!$A365&lt;&gt;"",COUNTIF(MOVIMIENTOS!$A$5:$A364,MOVIMIENTOS!$A365)=0),COUNT(J$4:J363)+1,"")</f>
        <v/>
      </c>
      <c r="K364" s="66">
        <f>MOVIMIENTOS!$A365</f>
        <v>46246</v>
      </c>
      <c r="L364" s="63"/>
      <c r="M364" s="63"/>
      <c r="N364" s="63"/>
    </row>
    <row r="365" spans="1:14" ht="15" customHeight="1" x14ac:dyDescent="0.2">
      <c r="A365" s="63" t="str">
        <f t="shared" si="10"/>
        <v/>
      </c>
      <c r="B365" s="63" t="str">
        <f>IF($A365="","",SUMPRODUCT((MOVIMIENTOS!$B$5:$B$1005="SALDO INICIAL")*(MOVIMIENTOS!$C$5:$C$1005="A")*(MOVIMIENTOS!$D$5:$D$1005="jabas")*(MOVIMIENTOS!$A$5:$A$1005&lt;&gt;"")*(MOVIMIENTOS!$A$5:$A$1005&lt;=$A365)*MOVIMIENTOS!$E$5:$E$1005)+SUMPRODUCT((MOVIMIENTOS!$B$5:$B$1005="PROCESO")*(MOVIMIENTOS!$C$5:$C$1005="A")*(MOVIMIENTOS!$D$5:$D$1005="jabas")*(MOVIMIENTOS!$A$5:$A$1005&lt;&gt;"")*(MOVIMIENTOS!$A$5:$A$1005&lt;=$A365)*MOVIMIENTOS!$E$5:$E$1005)-SUMPRODUCT((MOVIMIENTOS!$B$5:$B$1005="ENVÍO A SUPESA")*(MOVIMIENTOS!$C$5:$C$1005="A")*(MOVIMIENTOS!$D$5:$D$1005="jabas")*(MOVIMIENTOS!$A$5:$A$1005&lt;&gt;"")*(MOVIMIENTOS!$A$5:$A$1005&lt;=$A365)*MOVIMIENTOS!$E$5:$E$1005)+SUMPRODUCT((MOVIMIENTOS!$B$5:$B$1005="DEVOLUCIÓN")*(MOVIMIENTOS!$C$5:$C$1005="A")*(MOVIMIENTOS!$D$5:$D$1005="jabas")*(MOVIMIENTOS!$A$5:$A$1005&lt;&gt;"")*(MOVIMIENTOS!$A$5:$A$1005&lt;=$A365)*MOVIMIENTOS!$E$5:$E$1005)-SUMPRODUCT((MOVIMIENTOS!$B$5:$B$1005="TRASIEGO")*(MOVIMIENTOS!$C$5:$C$1005="A")*(MOVIMIENTOS!$D$5:$D$1005="jabas")*(MOVIMIENTOS!$A$5:$A$1005&lt;&gt;"")*(MOVIMIENTOS!$A$5:$A$1005&lt;=$A365)*MOVIMIENTOS!$E$5:$E$1005)-SUMPRODUCT((MOVIMIENTOS!$B$5:$B$1005="REGALO")*(MOVIMIENTOS!$C$5:$C$1005="A")*(MOVIMIENTOS!$D$5:$D$1005="jabas")*(MOVIMIENTOS!$A$5:$A$1005&lt;&gt;"")*(MOVIMIENTOS!$A$5:$A$1005&lt;=$A365)*MOVIMIENTOS!$E$5:$E$1005)-SUMPRODUCT((MOVIMIENTOS!$B$5:$B$1005="VENTA")*(MOVIMIENTOS!$C$5:$C$1005="A")*(MOVIMIENTOS!$D$5:$D$1005="jabas")*(MOVIMIENTOS!$A$5:$A$1005&lt;&gt;"")*(MOVIMIENTOS!$A$5:$A$1005&lt;=$A365)*MOVIMIENTOS!$E$5:$E$1005)+SUMPRODUCT((MOVIMIENTOS!$B$5:$B$1005="AJUSTE")*(MOVIMIENTOS!$C$5:$C$1005="A")*(MOVIMIENTOS!$D$5:$D$1005="jabas")*(MOVIMIENTOS!$A$5:$A$1005&lt;&gt;"")*(MOVIMIENTOS!$A$5:$A$1005&lt;=$A365)*MOVIMIENTOS!$E$5:$E$1005))</f>
        <v/>
      </c>
      <c r="C365" s="63" t="str">
        <f>IF($A365="","",SUMPRODUCT((MOVIMIENTOS!$B$5:$B$1005="SALDO INICIAL")*(MOVIMIENTOS!$C$5:$C$1005="P")*(MOVIMIENTOS!$D$5:$D$1005="jabas")*(MOVIMIENTOS!$A$5:$A$1005&lt;&gt;"")*(MOVIMIENTOS!$A$5:$A$1005&lt;=$A365)*MOVIMIENTOS!$E$5:$E$1005)+SUMPRODUCT((MOVIMIENTOS!$B$5:$B$1005="PROCESO")*(MOVIMIENTOS!$C$5:$C$1005="P")*(MOVIMIENTOS!$D$5:$D$1005="jabas")*(MOVIMIENTOS!$A$5:$A$1005&lt;&gt;"")*(MOVIMIENTOS!$A$5:$A$1005&lt;=$A365)*MOVIMIENTOS!$E$5:$E$1005)-SUMPRODUCT((MOVIMIENTOS!$B$5:$B$1005="ENVÍO A SUPESA")*(MOVIMIENTOS!$C$5:$C$1005="P")*(MOVIMIENTOS!$D$5:$D$1005="jabas")*(MOVIMIENTOS!$A$5:$A$1005&lt;&gt;"")*(MOVIMIENTOS!$A$5:$A$1005&lt;=$A365)*MOVIMIENTOS!$E$5:$E$1005)+SUMPRODUCT((MOVIMIENTOS!$B$5:$B$1005="DEVOLUCIÓN")*(MOVIMIENTOS!$C$5:$C$1005="P")*(MOVIMIENTOS!$D$5:$D$1005="jabas")*(MOVIMIENTOS!$A$5:$A$1005&lt;&gt;"")*(MOVIMIENTOS!$A$5:$A$1005&lt;=$A365)*MOVIMIENTOS!$E$5:$E$1005)-SUMPRODUCT((MOVIMIENTOS!$B$5:$B$1005="TRASIEGO")*(MOVIMIENTOS!$C$5:$C$1005="P")*(MOVIMIENTOS!$D$5:$D$1005="jabas")*(MOVIMIENTOS!$A$5:$A$1005&lt;&gt;"")*(MOVIMIENTOS!$A$5:$A$1005&lt;=$A365)*MOVIMIENTOS!$E$5:$E$1005)-SUMPRODUCT((MOVIMIENTOS!$B$5:$B$1005="REGALO")*(MOVIMIENTOS!$C$5:$C$1005="P")*(MOVIMIENTOS!$D$5:$D$1005="jabas")*(MOVIMIENTOS!$A$5:$A$1005&lt;&gt;"")*(MOVIMIENTOS!$A$5:$A$1005&lt;=$A365)*MOVIMIENTOS!$E$5:$E$1005)-SUMPRODUCT((MOVIMIENTOS!$B$5:$B$1005="VENTA")*(MOVIMIENTOS!$C$5:$C$1005="P")*(MOVIMIENTOS!$D$5:$D$1005="jabas")*(MOVIMIENTOS!$A$5:$A$1005&lt;&gt;"")*(MOVIMIENTOS!$A$5:$A$1005&lt;=$A365)*MOVIMIENTOS!$E$5:$E$1005)+SUMPRODUCT((MOVIMIENTOS!$B$5:$B$1005="AJUSTE")*(MOVIMIENTOS!$C$5:$C$1005="P")*(MOVIMIENTOS!$D$5:$D$1005="jabas")*(MOVIMIENTOS!$A$5:$A$1005&lt;&gt;"")*(MOVIMIENTOS!$A$5:$A$1005&lt;=$A365)*MOVIMIENTOS!$E$5:$E$1005))</f>
        <v/>
      </c>
      <c r="D365" s="63" t="str">
        <f>IF($A365="","",SUMPRODUCT((MOVIMIENTOS!$B$5:$B$1005="SALDO INICIAL")*(MOVIMIENTOS!$C$5:$C$1005="C")*(MOVIMIENTOS!$D$5:$D$1005="jabas")*(MOVIMIENTOS!$A$5:$A$1005&lt;&gt;"")*(MOVIMIENTOS!$A$5:$A$1005&lt;=$A365)*MOVIMIENTOS!$E$5:$E$1005)+SUMPRODUCT((MOVIMIENTOS!$B$5:$B$1005="PROCESO")*(MOVIMIENTOS!$C$5:$C$1005="C")*(MOVIMIENTOS!$D$5:$D$1005="jabas")*(MOVIMIENTOS!$A$5:$A$1005&lt;&gt;"")*(MOVIMIENTOS!$A$5:$A$1005&lt;=$A365)*MOVIMIENTOS!$E$5:$E$1005)-SUMPRODUCT((MOVIMIENTOS!$B$5:$B$1005="ENVÍO A SUPESA")*(MOVIMIENTOS!$C$5:$C$1005="C")*(MOVIMIENTOS!$D$5:$D$1005="jabas")*(MOVIMIENTOS!$A$5:$A$1005&lt;&gt;"")*(MOVIMIENTOS!$A$5:$A$1005&lt;=$A365)*MOVIMIENTOS!$E$5:$E$1005)+SUMPRODUCT((MOVIMIENTOS!$B$5:$B$1005="DEVOLUCIÓN")*(MOVIMIENTOS!$C$5:$C$1005="C")*(MOVIMIENTOS!$D$5:$D$1005="jabas")*(MOVIMIENTOS!$A$5:$A$1005&lt;&gt;"")*(MOVIMIENTOS!$A$5:$A$1005&lt;=$A365)*MOVIMIENTOS!$E$5:$E$1005)-SUMPRODUCT((MOVIMIENTOS!$B$5:$B$1005="TRASIEGO")*(MOVIMIENTOS!$C$5:$C$1005="C")*(MOVIMIENTOS!$D$5:$D$1005="jabas")*(MOVIMIENTOS!$A$5:$A$1005&lt;&gt;"")*(MOVIMIENTOS!$A$5:$A$1005&lt;=$A365)*MOVIMIENTOS!$E$5:$E$1005)-SUMPRODUCT((MOVIMIENTOS!$B$5:$B$1005="REGALO")*(MOVIMIENTOS!$C$5:$C$1005="C")*(MOVIMIENTOS!$D$5:$D$1005="jabas")*(MOVIMIENTOS!$A$5:$A$1005&lt;&gt;"")*(MOVIMIENTOS!$A$5:$A$1005&lt;=$A365)*MOVIMIENTOS!$E$5:$E$1005)-SUMPRODUCT((MOVIMIENTOS!$B$5:$B$1005="VENTA")*(MOVIMIENTOS!$C$5:$C$1005="C")*(MOVIMIENTOS!$D$5:$D$1005="jabas")*(MOVIMIENTOS!$A$5:$A$1005&lt;&gt;"")*(MOVIMIENTOS!$A$5:$A$1005&lt;=$A365)*MOVIMIENTOS!$E$5:$E$1005)+SUMPRODUCT((MOVIMIENTOS!$B$5:$B$1005="AJUSTE")*(MOVIMIENTOS!$C$5:$C$1005="C")*(MOVIMIENTOS!$D$5:$D$1005="jabas")*(MOVIMIENTOS!$A$5:$A$1005&lt;&gt;"")*(MOVIMIENTOS!$A$5:$A$1005&lt;=$A365)*MOVIMIENTOS!$E$5:$E$1005))</f>
        <v/>
      </c>
      <c r="E365" s="63" t="str">
        <f>IF($A365="","",SUMPRODUCT((MOVIMIENTOS!$B$5:$B$1005="SALDO INICIAL")*(MOVIMIENTOS!$C$5:$C$1005="M")*(MOVIMIENTOS!$D$5:$D$1005="jabas")*(MOVIMIENTOS!$A$5:$A$1005&lt;&gt;"")*(MOVIMIENTOS!$A$5:$A$1005&lt;=$A365)*MOVIMIENTOS!$E$5:$E$1005)+SUMPRODUCT((MOVIMIENTOS!$B$5:$B$1005="PROCESO")*(MOVIMIENTOS!$C$5:$C$1005="M")*(MOVIMIENTOS!$D$5:$D$1005="jabas")*(MOVIMIENTOS!$A$5:$A$1005&lt;&gt;"")*(MOVIMIENTOS!$A$5:$A$1005&lt;=$A365)*MOVIMIENTOS!$E$5:$E$1005)-SUMPRODUCT((MOVIMIENTOS!$B$5:$B$1005="ENVÍO A SUPESA")*(MOVIMIENTOS!$C$5:$C$1005="M")*(MOVIMIENTOS!$D$5:$D$1005="jabas")*(MOVIMIENTOS!$A$5:$A$1005&lt;&gt;"")*(MOVIMIENTOS!$A$5:$A$1005&lt;=$A365)*MOVIMIENTOS!$E$5:$E$1005)+SUMPRODUCT((MOVIMIENTOS!$B$5:$B$1005="DEVOLUCIÓN")*(MOVIMIENTOS!$C$5:$C$1005="M")*(MOVIMIENTOS!$D$5:$D$1005="jabas")*(MOVIMIENTOS!$A$5:$A$1005&lt;&gt;"")*(MOVIMIENTOS!$A$5:$A$1005&lt;=$A365)*MOVIMIENTOS!$E$5:$E$1005)-SUMPRODUCT((MOVIMIENTOS!$B$5:$B$1005="TRASIEGO")*(MOVIMIENTOS!$C$5:$C$1005="M")*(MOVIMIENTOS!$D$5:$D$1005="jabas")*(MOVIMIENTOS!$A$5:$A$1005&lt;&gt;"")*(MOVIMIENTOS!$A$5:$A$1005&lt;=$A365)*MOVIMIENTOS!$E$5:$E$1005)-SUMPRODUCT((MOVIMIENTOS!$B$5:$B$1005="REGALO")*(MOVIMIENTOS!$C$5:$C$1005="M")*(MOVIMIENTOS!$D$5:$D$1005="jabas")*(MOVIMIENTOS!$A$5:$A$1005&lt;&gt;"")*(MOVIMIENTOS!$A$5:$A$1005&lt;=$A365)*MOVIMIENTOS!$E$5:$E$1005)-SUMPRODUCT((MOVIMIENTOS!$B$5:$B$1005="VENTA")*(MOVIMIENTOS!$C$5:$C$1005="M")*(MOVIMIENTOS!$D$5:$D$1005="jabas")*(MOVIMIENTOS!$A$5:$A$1005&lt;&gt;"")*(MOVIMIENTOS!$A$5:$A$1005&lt;=$A365)*MOVIMIENTOS!$E$5:$E$1005)+SUMPRODUCT((MOVIMIENTOS!$B$5:$B$1005="AJUSTE")*(MOVIMIENTOS!$C$5:$C$1005="M")*(MOVIMIENTOS!$D$5:$D$1005="jabas")*(MOVIMIENTOS!$A$5:$A$1005&lt;&gt;"")*(MOVIMIENTOS!$A$5:$A$1005&lt;=$A365)*MOVIMIENTOS!$E$5:$E$1005))</f>
        <v/>
      </c>
      <c r="F365" s="63" t="str">
        <f>IF($A365="","",SUMPRODUCT((MOVIMIENTOS!$B$5:$B$1005="SALDO INICIAL")*(MOVIMIENTOS!$C$5:$C$1005="Chancho")*(MOVIMIENTOS!$D$5:$D$1005="sacos")*(MOVIMIENTOS!$A$5:$A$1005&lt;&gt;"")*(MOVIMIENTOS!$A$5:$A$1005&lt;=$A365)*MOVIMIENTOS!$E$5:$E$1005)+SUMPRODUCT((MOVIMIENTOS!$B$5:$B$1005="PROCESO")*(MOVIMIENTOS!$C$5:$C$1005="Chancho")*(MOVIMIENTOS!$D$5:$D$1005="sacos")*(MOVIMIENTOS!$A$5:$A$1005&lt;&gt;"")*(MOVIMIENTOS!$A$5:$A$1005&lt;=$A365)*MOVIMIENTOS!$E$5:$E$1005)-SUMPRODUCT((MOVIMIENTOS!$B$5:$B$1005="VENTA CHANCHO")*(MOVIMIENTOS!$C$5:$C$1005="Chancho")*(MOVIMIENTOS!$D$5:$D$1005="sacos")*(MOVIMIENTOS!$A$5:$A$1005&lt;&gt;"")*(MOVIMIENTOS!$A$5:$A$1005&lt;=$A365)*MOVIMIENTOS!$E$5:$E$1005)-SUMPRODUCT((MOVIMIENTOS!$B$5:$B$1005="REGALO")*(MOVIMIENTOS!$C$5:$C$1005="Chancho")*(MOVIMIENTOS!$D$5:$D$1005="sacos")*(MOVIMIENTOS!$A$5:$A$1005&lt;&gt;"")*(MOVIMIENTOS!$A$5:$A$1005&lt;=$A365)*MOVIMIENTOS!$E$5:$E$1005)-SUMPRODUCT((MOVIMIENTOS!$B$5:$B$1005="VENTA")*(MOVIMIENTOS!$C$5:$C$1005="Chancho")*(MOVIMIENTOS!$D$5:$D$1005="sacos")*(MOVIMIENTOS!$A$5:$A$1005&lt;&gt;"")*(MOVIMIENTOS!$A$5:$A$1005&lt;=$A365)*MOVIMIENTOS!$E$5:$E$1005)+SUMPRODUCT((MOVIMIENTOS!$B$5:$B$1005="AJUSTE")*(MOVIMIENTOS!$C$5:$C$1005="Chancho")*(MOVIMIENTOS!$D$5:$D$1005="sacos")*(MOVIMIENTOS!$A$5:$A$1005&lt;&gt;"")*(MOVIMIENTOS!$A$5:$A$1005&lt;=$A365)*MOVIMIENTOS!$E$5:$E$1005))</f>
        <v/>
      </c>
      <c r="G365" s="95" t="str">
        <f t="shared" si="11"/>
        <v/>
      </c>
      <c r="H365" s="63" t="str">
        <f>IF($A365="","",SUMPRODUCT((((MOVIMIENTOS!$B$5:$B$1005="SALDO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365)*MOVIMIENTOS!$J$5:$J$1005))</f>
        <v/>
      </c>
      <c r="I365" s="63"/>
      <c r="J365" s="63" t="str">
        <f>IF(AND(MOVIMIENTOS!$A366&lt;&gt;"",COUNTIF(MOVIMIENTOS!$A$5:$A365,MOVIMIENTOS!$A366)=0),COUNT(J$4:J364)+1,"")</f>
        <v/>
      </c>
      <c r="K365" s="66">
        <f>MOVIMIENTOS!$A366</f>
        <v>46246</v>
      </c>
      <c r="L365" s="63"/>
      <c r="M365" s="63"/>
      <c r="N365" s="63"/>
    </row>
    <row r="366" spans="1:14" ht="15" customHeight="1" x14ac:dyDescent="0.2">
      <c r="A366" s="63" t="str">
        <f t="shared" si="10"/>
        <v/>
      </c>
      <c r="B366" s="63" t="str">
        <f>IF($A366="","",SUMPRODUCT((MOVIMIENTOS!$B$5:$B$1005="SALDO INICIAL")*(MOVIMIENTOS!$C$5:$C$1005="A")*(MOVIMIENTOS!$D$5:$D$1005="jabas")*(MOVIMIENTOS!$A$5:$A$1005&lt;&gt;"")*(MOVIMIENTOS!$A$5:$A$1005&lt;=$A366)*MOVIMIENTOS!$E$5:$E$1005)+SUMPRODUCT((MOVIMIENTOS!$B$5:$B$1005="PROCESO")*(MOVIMIENTOS!$C$5:$C$1005="A")*(MOVIMIENTOS!$D$5:$D$1005="jabas")*(MOVIMIENTOS!$A$5:$A$1005&lt;&gt;"")*(MOVIMIENTOS!$A$5:$A$1005&lt;=$A366)*MOVIMIENTOS!$E$5:$E$1005)-SUMPRODUCT((MOVIMIENTOS!$B$5:$B$1005="ENVÍO A SUPESA")*(MOVIMIENTOS!$C$5:$C$1005="A")*(MOVIMIENTOS!$D$5:$D$1005="jabas")*(MOVIMIENTOS!$A$5:$A$1005&lt;&gt;"")*(MOVIMIENTOS!$A$5:$A$1005&lt;=$A366)*MOVIMIENTOS!$E$5:$E$1005)+SUMPRODUCT((MOVIMIENTOS!$B$5:$B$1005="DEVOLUCIÓN")*(MOVIMIENTOS!$C$5:$C$1005="A")*(MOVIMIENTOS!$D$5:$D$1005="jabas")*(MOVIMIENTOS!$A$5:$A$1005&lt;&gt;"")*(MOVIMIENTOS!$A$5:$A$1005&lt;=$A366)*MOVIMIENTOS!$E$5:$E$1005)-SUMPRODUCT((MOVIMIENTOS!$B$5:$B$1005="TRASIEGO")*(MOVIMIENTOS!$C$5:$C$1005="A")*(MOVIMIENTOS!$D$5:$D$1005="jabas")*(MOVIMIENTOS!$A$5:$A$1005&lt;&gt;"")*(MOVIMIENTOS!$A$5:$A$1005&lt;=$A366)*MOVIMIENTOS!$E$5:$E$1005)-SUMPRODUCT((MOVIMIENTOS!$B$5:$B$1005="REGALO")*(MOVIMIENTOS!$C$5:$C$1005="A")*(MOVIMIENTOS!$D$5:$D$1005="jabas")*(MOVIMIENTOS!$A$5:$A$1005&lt;&gt;"")*(MOVIMIENTOS!$A$5:$A$1005&lt;=$A366)*MOVIMIENTOS!$E$5:$E$1005)-SUMPRODUCT((MOVIMIENTOS!$B$5:$B$1005="VENTA")*(MOVIMIENTOS!$C$5:$C$1005="A")*(MOVIMIENTOS!$D$5:$D$1005="jabas")*(MOVIMIENTOS!$A$5:$A$1005&lt;&gt;"")*(MOVIMIENTOS!$A$5:$A$1005&lt;=$A366)*MOVIMIENTOS!$E$5:$E$1005)+SUMPRODUCT((MOVIMIENTOS!$B$5:$B$1005="AJUSTE")*(MOVIMIENTOS!$C$5:$C$1005="A")*(MOVIMIENTOS!$D$5:$D$1005="jabas")*(MOVIMIENTOS!$A$5:$A$1005&lt;&gt;"")*(MOVIMIENTOS!$A$5:$A$1005&lt;=$A366)*MOVIMIENTOS!$E$5:$E$1005))</f>
        <v/>
      </c>
      <c r="C366" s="63" t="str">
        <f>IF($A366="","",SUMPRODUCT((MOVIMIENTOS!$B$5:$B$1005="SALDO INICIAL")*(MOVIMIENTOS!$C$5:$C$1005="P")*(MOVIMIENTOS!$D$5:$D$1005="jabas")*(MOVIMIENTOS!$A$5:$A$1005&lt;&gt;"")*(MOVIMIENTOS!$A$5:$A$1005&lt;=$A366)*MOVIMIENTOS!$E$5:$E$1005)+SUMPRODUCT((MOVIMIENTOS!$B$5:$B$1005="PROCESO")*(MOVIMIENTOS!$C$5:$C$1005="P")*(MOVIMIENTOS!$D$5:$D$1005="jabas")*(MOVIMIENTOS!$A$5:$A$1005&lt;&gt;"")*(MOVIMIENTOS!$A$5:$A$1005&lt;=$A366)*MOVIMIENTOS!$E$5:$E$1005)-SUMPRODUCT((MOVIMIENTOS!$B$5:$B$1005="ENVÍO A SUPESA")*(MOVIMIENTOS!$C$5:$C$1005="P")*(MOVIMIENTOS!$D$5:$D$1005="jabas")*(MOVIMIENTOS!$A$5:$A$1005&lt;&gt;"")*(MOVIMIENTOS!$A$5:$A$1005&lt;=$A366)*MOVIMIENTOS!$E$5:$E$1005)+SUMPRODUCT((MOVIMIENTOS!$B$5:$B$1005="DEVOLUCIÓN")*(MOVIMIENTOS!$C$5:$C$1005="P")*(MOVIMIENTOS!$D$5:$D$1005="jabas")*(MOVIMIENTOS!$A$5:$A$1005&lt;&gt;"")*(MOVIMIENTOS!$A$5:$A$1005&lt;=$A366)*MOVIMIENTOS!$E$5:$E$1005)-SUMPRODUCT((MOVIMIENTOS!$B$5:$B$1005="TRASIEGO")*(MOVIMIENTOS!$C$5:$C$1005="P")*(MOVIMIENTOS!$D$5:$D$1005="jabas")*(MOVIMIENTOS!$A$5:$A$1005&lt;&gt;"")*(MOVIMIENTOS!$A$5:$A$1005&lt;=$A366)*MOVIMIENTOS!$E$5:$E$1005)-SUMPRODUCT((MOVIMIENTOS!$B$5:$B$1005="REGALO")*(MOVIMIENTOS!$C$5:$C$1005="P")*(MOVIMIENTOS!$D$5:$D$1005="jabas")*(MOVIMIENTOS!$A$5:$A$1005&lt;&gt;"")*(MOVIMIENTOS!$A$5:$A$1005&lt;=$A366)*MOVIMIENTOS!$E$5:$E$1005)-SUMPRODUCT((MOVIMIENTOS!$B$5:$B$1005="VENTA")*(MOVIMIENTOS!$C$5:$C$1005="P")*(MOVIMIENTOS!$D$5:$D$1005="jabas")*(MOVIMIENTOS!$A$5:$A$1005&lt;&gt;"")*(MOVIMIENTOS!$A$5:$A$1005&lt;=$A366)*MOVIMIENTOS!$E$5:$E$1005)+SUMPRODUCT((MOVIMIENTOS!$B$5:$B$1005="AJUSTE")*(MOVIMIENTOS!$C$5:$C$1005="P")*(MOVIMIENTOS!$D$5:$D$1005="jabas")*(MOVIMIENTOS!$A$5:$A$1005&lt;&gt;"")*(MOVIMIENTOS!$A$5:$A$1005&lt;=$A366)*MOVIMIENTOS!$E$5:$E$1005))</f>
        <v/>
      </c>
      <c r="D366" s="63" t="str">
        <f>IF($A366="","",SUMPRODUCT((MOVIMIENTOS!$B$5:$B$1005="SALDO INICIAL")*(MOVIMIENTOS!$C$5:$C$1005="C")*(MOVIMIENTOS!$D$5:$D$1005="jabas")*(MOVIMIENTOS!$A$5:$A$1005&lt;&gt;"")*(MOVIMIENTOS!$A$5:$A$1005&lt;=$A366)*MOVIMIENTOS!$E$5:$E$1005)+SUMPRODUCT((MOVIMIENTOS!$B$5:$B$1005="PROCESO")*(MOVIMIENTOS!$C$5:$C$1005="C")*(MOVIMIENTOS!$D$5:$D$1005="jabas")*(MOVIMIENTOS!$A$5:$A$1005&lt;&gt;"")*(MOVIMIENTOS!$A$5:$A$1005&lt;=$A366)*MOVIMIENTOS!$E$5:$E$1005)-SUMPRODUCT((MOVIMIENTOS!$B$5:$B$1005="ENVÍO A SUPESA")*(MOVIMIENTOS!$C$5:$C$1005="C")*(MOVIMIENTOS!$D$5:$D$1005="jabas")*(MOVIMIENTOS!$A$5:$A$1005&lt;&gt;"")*(MOVIMIENTOS!$A$5:$A$1005&lt;=$A366)*MOVIMIENTOS!$E$5:$E$1005)+SUMPRODUCT((MOVIMIENTOS!$B$5:$B$1005="DEVOLUCIÓN")*(MOVIMIENTOS!$C$5:$C$1005="C")*(MOVIMIENTOS!$D$5:$D$1005="jabas")*(MOVIMIENTOS!$A$5:$A$1005&lt;&gt;"")*(MOVIMIENTOS!$A$5:$A$1005&lt;=$A366)*MOVIMIENTOS!$E$5:$E$1005)-SUMPRODUCT((MOVIMIENTOS!$B$5:$B$1005="TRASIEGO")*(MOVIMIENTOS!$C$5:$C$1005="C")*(MOVIMIENTOS!$D$5:$D$1005="jabas")*(MOVIMIENTOS!$A$5:$A$1005&lt;&gt;"")*(MOVIMIENTOS!$A$5:$A$1005&lt;=$A366)*MOVIMIENTOS!$E$5:$E$1005)-SUMPRODUCT((MOVIMIENTOS!$B$5:$B$1005="REGALO")*(MOVIMIENTOS!$C$5:$C$1005="C")*(MOVIMIENTOS!$D$5:$D$1005="jabas")*(MOVIMIENTOS!$A$5:$A$1005&lt;&gt;"")*(MOVIMIENTOS!$A$5:$A$1005&lt;=$A366)*MOVIMIENTOS!$E$5:$E$1005)-SUMPRODUCT((MOVIMIENTOS!$B$5:$B$1005="VENTA")*(MOVIMIENTOS!$C$5:$C$1005="C")*(MOVIMIENTOS!$D$5:$D$1005="jabas")*(MOVIMIENTOS!$A$5:$A$1005&lt;&gt;"")*(MOVIMIENTOS!$A$5:$A$1005&lt;=$A366)*MOVIMIENTOS!$E$5:$E$1005)+SUMPRODUCT((MOVIMIENTOS!$B$5:$B$1005="AJUSTE")*(MOVIMIENTOS!$C$5:$C$1005="C")*(MOVIMIENTOS!$D$5:$D$1005="jabas")*(MOVIMIENTOS!$A$5:$A$1005&lt;&gt;"")*(MOVIMIENTOS!$A$5:$A$1005&lt;=$A366)*MOVIMIENTOS!$E$5:$E$1005))</f>
        <v/>
      </c>
      <c r="E366" s="63" t="str">
        <f>IF($A366="","",SUMPRODUCT((MOVIMIENTOS!$B$5:$B$1005="SALDO INICIAL")*(MOVIMIENTOS!$C$5:$C$1005="M")*(MOVIMIENTOS!$D$5:$D$1005="jabas")*(MOVIMIENTOS!$A$5:$A$1005&lt;&gt;"")*(MOVIMIENTOS!$A$5:$A$1005&lt;=$A366)*MOVIMIENTOS!$E$5:$E$1005)+SUMPRODUCT((MOVIMIENTOS!$B$5:$B$1005="PROCESO")*(MOVIMIENTOS!$C$5:$C$1005="M")*(MOVIMIENTOS!$D$5:$D$1005="jabas")*(MOVIMIENTOS!$A$5:$A$1005&lt;&gt;"")*(MOVIMIENTOS!$A$5:$A$1005&lt;=$A366)*MOVIMIENTOS!$E$5:$E$1005)-SUMPRODUCT((MOVIMIENTOS!$B$5:$B$1005="ENVÍO A SUPESA")*(MOVIMIENTOS!$C$5:$C$1005="M")*(MOVIMIENTOS!$D$5:$D$1005="jabas")*(MOVIMIENTOS!$A$5:$A$1005&lt;&gt;"")*(MOVIMIENTOS!$A$5:$A$1005&lt;=$A366)*MOVIMIENTOS!$E$5:$E$1005)+SUMPRODUCT((MOVIMIENTOS!$B$5:$B$1005="DEVOLUCIÓN")*(MOVIMIENTOS!$C$5:$C$1005="M")*(MOVIMIENTOS!$D$5:$D$1005="jabas")*(MOVIMIENTOS!$A$5:$A$1005&lt;&gt;"")*(MOVIMIENTOS!$A$5:$A$1005&lt;=$A366)*MOVIMIENTOS!$E$5:$E$1005)-SUMPRODUCT((MOVIMIENTOS!$B$5:$B$1005="TRASIEGO")*(MOVIMIENTOS!$C$5:$C$1005="M")*(MOVIMIENTOS!$D$5:$D$1005="jabas")*(MOVIMIENTOS!$A$5:$A$1005&lt;&gt;"")*(MOVIMIENTOS!$A$5:$A$1005&lt;=$A366)*MOVIMIENTOS!$E$5:$E$1005)-SUMPRODUCT((MOVIMIENTOS!$B$5:$B$1005="REGALO")*(MOVIMIENTOS!$C$5:$C$1005="M")*(MOVIMIENTOS!$D$5:$D$1005="jabas")*(MOVIMIENTOS!$A$5:$A$1005&lt;&gt;"")*(MOVIMIENTOS!$A$5:$A$1005&lt;=$A366)*MOVIMIENTOS!$E$5:$E$1005)-SUMPRODUCT((MOVIMIENTOS!$B$5:$B$1005="VENTA")*(MOVIMIENTOS!$C$5:$C$1005="M")*(MOVIMIENTOS!$D$5:$D$1005="jabas")*(MOVIMIENTOS!$A$5:$A$1005&lt;&gt;"")*(MOVIMIENTOS!$A$5:$A$1005&lt;=$A366)*MOVIMIENTOS!$E$5:$E$1005)+SUMPRODUCT((MOVIMIENTOS!$B$5:$B$1005="AJUSTE")*(MOVIMIENTOS!$C$5:$C$1005="M")*(MOVIMIENTOS!$D$5:$D$1005="jabas")*(MOVIMIENTOS!$A$5:$A$1005&lt;&gt;"")*(MOVIMIENTOS!$A$5:$A$1005&lt;=$A366)*MOVIMIENTOS!$E$5:$E$1005))</f>
        <v/>
      </c>
      <c r="F366" s="63" t="str">
        <f>IF($A366="","",SUMPRODUCT((MOVIMIENTOS!$B$5:$B$1005="SALDO INICIAL")*(MOVIMIENTOS!$C$5:$C$1005="Chancho")*(MOVIMIENTOS!$D$5:$D$1005="sacos")*(MOVIMIENTOS!$A$5:$A$1005&lt;&gt;"")*(MOVIMIENTOS!$A$5:$A$1005&lt;=$A366)*MOVIMIENTOS!$E$5:$E$1005)+SUMPRODUCT((MOVIMIENTOS!$B$5:$B$1005="PROCESO")*(MOVIMIENTOS!$C$5:$C$1005="Chancho")*(MOVIMIENTOS!$D$5:$D$1005="sacos")*(MOVIMIENTOS!$A$5:$A$1005&lt;&gt;"")*(MOVIMIENTOS!$A$5:$A$1005&lt;=$A366)*MOVIMIENTOS!$E$5:$E$1005)-SUMPRODUCT((MOVIMIENTOS!$B$5:$B$1005="VENTA CHANCHO")*(MOVIMIENTOS!$C$5:$C$1005="Chancho")*(MOVIMIENTOS!$D$5:$D$1005="sacos")*(MOVIMIENTOS!$A$5:$A$1005&lt;&gt;"")*(MOVIMIENTOS!$A$5:$A$1005&lt;=$A366)*MOVIMIENTOS!$E$5:$E$1005)-SUMPRODUCT((MOVIMIENTOS!$B$5:$B$1005="REGALO")*(MOVIMIENTOS!$C$5:$C$1005="Chancho")*(MOVIMIENTOS!$D$5:$D$1005="sacos")*(MOVIMIENTOS!$A$5:$A$1005&lt;&gt;"")*(MOVIMIENTOS!$A$5:$A$1005&lt;=$A366)*MOVIMIENTOS!$E$5:$E$1005)-SUMPRODUCT((MOVIMIENTOS!$B$5:$B$1005="VENTA")*(MOVIMIENTOS!$C$5:$C$1005="Chancho")*(MOVIMIENTOS!$D$5:$D$1005="sacos")*(MOVIMIENTOS!$A$5:$A$1005&lt;&gt;"")*(MOVIMIENTOS!$A$5:$A$1005&lt;=$A366)*MOVIMIENTOS!$E$5:$E$1005)+SUMPRODUCT((MOVIMIENTOS!$B$5:$B$1005="AJUSTE")*(MOVIMIENTOS!$C$5:$C$1005="Chancho")*(MOVIMIENTOS!$D$5:$D$1005="sacos")*(MOVIMIENTOS!$A$5:$A$1005&lt;&gt;"")*(MOVIMIENTOS!$A$5:$A$1005&lt;=$A366)*MOVIMIENTOS!$E$5:$E$1005))</f>
        <v/>
      </c>
      <c r="G366" s="95" t="str">
        <f t="shared" si="11"/>
        <v/>
      </c>
      <c r="H366" s="63" t="str">
        <f>IF($A366="","",SUMPRODUCT((((MOVIMIENTOS!$B$5:$B$1005="SALDO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366)*MOVIMIENTOS!$J$5:$J$1005))</f>
        <v/>
      </c>
      <c r="I366" s="63"/>
      <c r="J366" s="63" t="str">
        <f>IF(AND(MOVIMIENTOS!$A367&lt;&gt;"",COUNTIF(MOVIMIENTOS!$A$5:$A366,MOVIMIENTOS!$A367)=0),COUNT(J$4:J365)+1,"")</f>
        <v/>
      </c>
      <c r="K366" s="66">
        <f>MOVIMIENTOS!$A367</f>
        <v>46246</v>
      </c>
      <c r="L366" s="63"/>
      <c r="M366" s="63"/>
      <c r="N366" s="63"/>
    </row>
    <row r="367" spans="1:14" ht="15" customHeight="1" x14ac:dyDescent="0.2">
      <c r="A367" s="63" t="str">
        <f t="shared" si="10"/>
        <v/>
      </c>
      <c r="B367" s="63" t="str">
        <f>IF($A367="","",SUMPRODUCT((MOVIMIENTOS!$B$5:$B$1005="SALDO INICIAL")*(MOVIMIENTOS!$C$5:$C$1005="A")*(MOVIMIENTOS!$D$5:$D$1005="jabas")*(MOVIMIENTOS!$A$5:$A$1005&lt;&gt;"")*(MOVIMIENTOS!$A$5:$A$1005&lt;=$A367)*MOVIMIENTOS!$E$5:$E$1005)+SUMPRODUCT((MOVIMIENTOS!$B$5:$B$1005="PROCESO")*(MOVIMIENTOS!$C$5:$C$1005="A")*(MOVIMIENTOS!$D$5:$D$1005="jabas")*(MOVIMIENTOS!$A$5:$A$1005&lt;&gt;"")*(MOVIMIENTOS!$A$5:$A$1005&lt;=$A367)*MOVIMIENTOS!$E$5:$E$1005)-SUMPRODUCT((MOVIMIENTOS!$B$5:$B$1005="ENVÍO A SUPESA")*(MOVIMIENTOS!$C$5:$C$1005="A")*(MOVIMIENTOS!$D$5:$D$1005="jabas")*(MOVIMIENTOS!$A$5:$A$1005&lt;&gt;"")*(MOVIMIENTOS!$A$5:$A$1005&lt;=$A367)*MOVIMIENTOS!$E$5:$E$1005)+SUMPRODUCT((MOVIMIENTOS!$B$5:$B$1005="DEVOLUCIÓN")*(MOVIMIENTOS!$C$5:$C$1005="A")*(MOVIMIENTOS!$D$5:$D$1005="jabas")*(MOVIMIENTOS!$A$5:$A$1005&lt;&gt;"")*(MOVIMIENTOS!$A$5:$A$1005&lt;=$A367)*MOVIMIENTOS!$E$5:$E$1005)-SUMPRODUCT((MOVIMIENTOS!$B$5:$B$1005="TRASIEGO")*(MOVIMIENTOS!$C$5:$C$1005="A")*(MOVIMIENTOS!$D$5:$D$1005="jabas")*(MOVIMIENTOS!$A$5:$A$1005&lt;&gt;"")*(MOVIMIENTOS!$A$5:$A$1005&lt;=$A367)*MOVIMIENTOS!$E$5:$E$1005)-SUMPRODUCT((MOVIMIENTOS!$B$5:$B$1005="REGALO")*(MOVIMIENTOS!$C$5:$C$1005="A")*(MOVIMIENTOS!$D$5:$D$1005="jabas")*(MOVIMIENTOS!$A$5:$A$1005&lt;&gt;"")*(MOVIMIENTOS!$A$5:$A$1005&lt;=$A367)*MOVIMIENTOS!$E$5:$E$1005)-SUMPRODUCT((MOVIMIENTOS!$B$5:$B$1005="VENTA")*(MOVIMIENTOS!$C$5:$C$1005="A")*(MOVIMIENTOS!$D$5:$D$1005="jabas")*(MOVIMIENTOS!$A$5:$A$1005&lt;&gt;"")*(MOVIMIENTOS!$A$5:$A$1005&lt;=$A367)*MOVIMIENTOS!$E$5:$E$1005)+SUMPRODUCT((MOVIMIENTOS!$B$5:$B$1005="AJUSTE")*(MOVIMIENTOS!$C$5:$C$1005="A")*(MOVIMIENTOS!$D$5:$D$1005="jabas")*(MOVIMIENTOS!$A$5:$A$1005&lt;&gt;"")*(MOVIMIENTOS!$A$5:$A$1005&lt;=$A367)*MOVIMIENTOS!$E$5:$E$1005))</f>
        <v/>
      </c>
      <c r="C367" s="63" t="str">
        <f>IF($A367="","",SUMPRODUCT((MOVIMIENTOS!$B$5:$B$1005="SALDO INICIAL")*(MOVIMIENTOS!$C$5:$C$1005="P")*(MOVIMIENTOS!$D$5:$D$1005="jabas")*(MOVIMIENTOS!$A$5:$A$1005&lt;&gt;"")*(MOVIMIENTOS!$A$5:$A$1005&lt;=$A367)*MOVIMIENTOS!$E$5:$E$1005)+SUMPRODUCT((MOVIMIENTOS!$B$5:$B$1005="PROCESO")*(MOVIMIENTOS!$C$5:$C$1005="P")*(MOVIMIENTOS!$D$5:$D$1005="jabas")*(MOVIMIENTOS!$A$5:$A$1005&lt;&gt;"")*(MOVIMIENTOS!$A$5:$A$1005&lt;=$A367)*MOVIMIENTOS!$E$5:$E$1005)-SUMPRODUCT((MOVIMIENTOS!$B$5:$B$1005="ENVÍO A SUPESA")*(MOVIMIENTOS!$C$5:$C$1005="P")*(MOVIMIENTOS!$D$5:$D$1005="jabas")*(MOVIMIENTOS!$A$5:$A$1005&lt;&gt;"")*(MOVIMIENTOS!$A$5:$A$1005&lt;=$A367)*MOVIMIENTOS!$E$5:$E$1005)+SUMPRODUCT((MOVIMIENTOS!$B$5:$B$1005="DEVOLUCIÓN")*(MOVIMIENTOS!$C$5:$C$1005="P")*(MOVIMIENTOS!$D$5:$D$1005="jabas")*(MOVIMIENTOS!$A$5:$A$1005&lt;&gt;"")*(MOVIMIENTOS!$A$5:$A$1005&lt;=$A367)*MOVIMIENTOS!$E$5:$E$1005)-SUMPRODUCT((MOVIMIENTOS!$B$5:$B$1005="TRASIEGO")*(MOVIMIENTOS!$C$5:$C$1005="P")*(MOVIMIENTOS!$D$5:$D$1005="jabas")*(MOVIMIENTOS!$A$5:$A$1005&lt;&gt;"")*(MOVIMIENTOS!$A$5:$A$1005&lt;=$A367)*MOVIMIENTOS!$E$5:$E$1005)-SUMPRODUCT((MOVIMIENTOS!$B$5:$B$1005="REGALO")*(MOVIMIENTOS!$C$5:$C$1005="P")*(MOVIMIENTOS!$D$5:$D$1005="jabas")*(MOVIMIENTOS!$A$5:$A$1005&lt;&gt;"")*(MOVIMIENTOS!$A$5:$A$1005&lt;=$A367)*MOVIMIENTOS!$E$5:$E$1005)-SUMPRODUCT((MOVIMIENTOS!$B$5:$B$1005="VENTA")*(MOVIMIENTOS!$C$5:$C$1005="P")*(MOVIMIENTOS!$D$5:$D$1005="jabas")*(MOVIMIENTOS!$A$5:$A$1005&lt;&gt;"")*(MOVIMIENTOS!$A$5:$A$1005&lt;=$A367)*MOVIMIENTOS!$E$5:$E$1005)+SUMPRODUCT((MOVIMIENTOS!$B$5:$B$1005="AJUSTE")*(MOVIMIENTOS!$C$5:$C$1005="P")*(MOVIMIENTOS!$D$5:$D$1005="jabas")*(MOVIMIENTOS!$A$5:$A$1005&lt;&gt;"")*(MOVIMIENTOS!$A$5:$A$1005&lt;=$A367)*MOVIMIENTOS!$E$5:$E$1005))</f>
        <v/>
      </c>
      <c r="D367" s="63" t="str">
        <f>IF($A367="","",SUMPRODUCT((MOVIMIENTOS!$B$5:$B$1005="SALDO INICIAL")*(MOVIMIENTOS!$C$5:$C$1005="C")*(MOVIMIENTOS!$D$5:$D$1005="jabas")*(MOVIMIENTOS!$A$5:$A$1005&lt;&gt;"")*(MOVIMIENTOS!$A$5:$A$1005&lt;=$A367)*MOVIMIENTOS!$E$5:$E$1005)+SUMPRODUCT((MOVIMIENTOS!$B$5:$B$1005="PROCESO")*(MOVIMIENTOS!$C$5:$C$1005="C")*(MOVIMIENTOS!$D$5:$D$1005="jabas")*(MOVIMIENTOS!$A$5:$A$1005&lt;&gt;"")*(MOVIMIENTOS!$A$5:$A$1005&lt;=$A367)*MOVIMIENTOS!$E$5:$E$1005)-SUMPRODUCT((MOVIMIENTOS!$B$5:$B$1005="ENVÍO A SUPESA")*(MOVIMIENTOS!$C$5:$C$1005="C")*(MOVIMIENTOS!$D$5:$D$1005="jabas")*(MOVIMIENTOS!$A$5:$A$1005&lt;&gt;"")*(MOVIMIENTOS!$A$5:$A$1005&lt;=$A367)*MOVIMIENTOS!$E$5:$E$1005)+SUMPRODUCT((MOVIMIENTOS!$B$5:$B$1005="DEVOLUCIÓN")*(MOVIMIENTOS!$C$5:$C$1005="C")*(MOVIMIENTOS!$D$5:$D$1005="jabas")*(MOVIMIENTOS!$A$5:$A$1005&lt;&gt;"")*(MOVIMIENTOS!$A$5:$A$1005&lt;=$A367)*MOVIMIENTOS!$E$5:$E$1005)-SUMPRODUCT((MOVIMIENTOS!$B$5:$B$1005="TRASIEGO")*(MOVIMIENTOS!$C$5:$C$1005="C")*(MOVIMIENTOS!$D$5:$D$1005="jabas")*(MOVIMIENTOS!$A$5:$A$1005&lt;&gt;"")*(MOVIMIENTOS!$A$5:$A$1005&lt;=$A367)*MOVIMIENTOS!$E$5:$E$1005)-SUMPRODUCT((MOVIMIENTOS!$B$5:$B$1005="REGALO")*(MOVIMIENTOS!$C$5:$C$1005="C")*(MOVIMIENTOS!$D$5:$D$1005="jabas")*(MOVIMIENTOS!$A$5:$A$1005&lt;&gt;"")*(MOVIMIENTOS!$A$5:$A$1005&lt;=$A367)*MOVIMIENTOS!$E$5:$E$1005)-SUMPRODUCT((MOVIMIENTOS!$B$5:$B$1005="VENTA")*(MOVIMIENTOS!$C$5:$C$1005="C")*(MOVIMIENTOS!$D$5:$D$1005="jabas")*(MOVIMIENTOS!$A$5:$A$1005&lt;&gt;"")*(MOVIMIENTOS!$A$5:$A$1005&lt;=$A367)*MOVIMIENTOS!$E$5:$E$1005)+SUMPRODUCT((MOVIMIENTOS!$B$5:$B$1005="AJUSTE")*(MOVIMIENTOS!$C$5:$C$1005="C")*(MOVIMIENTOS!$D$5:$D$1005="jabas")*(MOVIMIENTOS!$A$5:$A$1005&lt;&gt;"")*(MOVIMIENTOS!$A$5:$A$1005&lt;=$A367)*MOVIMIENTOS!$E$5:$E$1005))</f>
        <v/>
      </c>
      <c r="E367" s="63" t="str">
        <f>IF($A367="","",SUMPRODUCT((MOVIMIENTOS!$B$5:$B$1005="SALDO INICIAL")*(MOVIMIENTOS!$C$5:$C$1005="M")*(MOVIMIENTOS!$D$5:$D$1005="jabas")*(MOVIMIENTOS!$A$5:$A$1005&lt;&gt;"")*(MOVIMIENTOS!$A$5:$A$1005&lt;=$A367)*MOVIMIENTOS!$E$5:$E$1005)+SUMPRODUCT((MOVIMIENTOS!$B$5:$B$1005="PROCESO")*(MOVIMIENTOS!$C$5:$C$1005="M")*(MOVIMIENTOS!$D$5:$D$1005="jabas")*(MOVIMIENTOS!$A$5:$A$1005&lt;&gt;"")*(MOVIMIENTOS!$A$5:$A$1005&lt;=$A367)*MOVIMIENTOS!$E$5:$E$1005)-SUMPRODUCT((MOVIMIENTOS!$B$5:$B$1005="ENVÍO A SUPESA")*(MOVIMIENTOS!$C$5:$C$1005="M")*(MOVIMIENTOS!$D$5:$D$1005="jabas")*(MOVIMIENTOS!$A$5:$A$1005&lt;&gt;"")*(MOVIMIENTOS!$A$5:$A$1005&lt;=$A367)*MOVIMIENTOS!$E$5:$E$1005)+SUMPRODUCT((MOVIMIENTOS!$B$5:$B$1005="DEVOLUCIÓN")*(MOVIMIENTOS!$C$5:$C$1005="M")*(MOVIMIENTOS!$D$5:$D$1005="jabas")*(MOVIMIENTOS!$A$5:$A$1005&lt;&gt;"")*(MOVIMIENTOS!$A$5:$A$1005&lt;=$A367)*MOVIMIENTOS!$E$5:$E$1005)-SUMPRODUCT((MOVIMIENTOS!$B$5:$B$1005="TRASIEGO")*(MOVIMIENTOS!$C$5:$C$1005="M")*(MOVIMIENTOS!$D$5:$D$1005="jabas")*(MOVIMIENTOS!$A$5:$A$1005&lt;&gt;"")*(MOVIMIENTOS!$A$5:$A$1005&lt;=$A367)*MOVIMIENTOS!$E$5:$E$1005)-SUMPRODUCT((MOVIMIENTOS!$B$5:$B$1005="REGALO")*(MOVIMIENTOS!$C$5:$C$1005="M")*(MOVIMIENTOS!$D$5:$D$1005="jabas")*(MOVIMIENTOS!$A$5:$A$1005&lt;&gt;"")*(MOVIMIENTOS!$A$5:$A$1005&lt;=$A367)*MOVIMIENTOS!$E$5:$E$1005)-SUMPRODUCT((MOVIMIENTOS!$B$5:$B$1005="VENTA")*(MOVIMIENTOS!$C$5:$C$1005="M")*(MOVIMIENTOS!$D$5:$D$1005="jabas")*(MOVIMIENTOS!$A$5:$A$1005&lt;&gt;"")*(MOVIMIENTOS!$A$5:$A$1005&lt;=$A367)*MOVIMIENTOS!$E$5:$E$1005)+SUMPRODUCT((MOVIMIENTOS!$B$5:$B$1005="AJUSTE")*(MOVIMIENTOS!$C$5:$C$1005="M")*(MOVIMIENTOS!$D$5:$D$1005="jabas")*(MOVIMIENTOS!$A$5:$A$1005&lt;&gt;"")*(MOVIMIENTOS!$A$5:$A$1005&lt;=$A367)*MOVIMIENTOS!$E$5:$E$1005))</f>
        <v/>
      </c>
      <c r="F367" s="63" t="str">
        <f>IF($A367="","",SUMPRODUCT((MOVIMIENTOS!$B$5:$B$1005="SALDO INICIAL")*(MOVIMIENTOS!$C$5:$C$1005="Chancho")*(MOVIMIENTOS!$D$5:$D$1005="sacos")*(MOVIMIENTOS!$A$5:$A$1005&lt;&gt;"")*(MOVIMIENTOS!$A$5:$A$1005&lt;=$A367)*MOVIMIENTOS!$E$5:$E$1005)+SUMPRODUCT((MOVIMIENTOS!$B$5:$B$1005="PROCESO")*(MOVIMIENTOS!$C$5:$C$1005="Chancho")*(MOVIMIENTOS!$D$5:$D$1005="sacos")*(MOVIMIENTOS!$A$5:$A$1005&lt;&gt;"")*(MOVIMIENTOS!$A$5:$A$1005&lt;=$A367)*MOVIMIENTOS!$E$5:$E$1005)-SUMPRODUCT((MOVIMIENTOS!$B$5:$B$1005="VENTA CHANCHO")*(MOVIMIENTOS!$C$5:$C$1005="Chancho")*(MOVIMIENTOS!$D$5:$D$1005="sacos")*(MOVIMIENTOS!$A$5:$A$1005&lt;&gt;"")*(MOVIMIENTOS!$A$5:$A$1005&lt;=$A367)*MOVIMIENTOS!$E$5:$E$1005)-SUMPRODUCT((MOVIMIENTOS!$B$5:$B$1005="REGALO")*(MOVIMIENTOS!$C$5:$C$1005="Chancho")*(MOVIMIENTOS!$D$5:$D$1005="sacos")*(MOVIMIENTOS!$A$5:$A$1005&lt;&gt;"")*(MOVIMIENTOS!$A$5:$A$1005&lt;=$A367)*MOVIMIENTOS!$E$5:$E$1005)-SUMPRODUCT((MOVIMIENTOS!$B$5:$B$1005="VENTA")*(MOVIMIENTOS!$C$5:$C$1005="Chancho")*(MOVIMIENTOS!$D$5:$D$1005="sacos")*(MOVIMIENTOS!$A$5:$A$1005&lt;&gt;"")*(MOVIMIENTOS!$A$5:$A$1005&lt;=$A367)*MOVIMIENTOS!$E$5:$E$1005)+SUMPRODUCT((MOVIMIENTOS!$B$5:$B$1005="AJUSTE")*(MOVIMIENTOS!$C$5:$C$1005="Chancho")*(MOVIMIENTOS!$D$5:$D$1005="sacos")*(MOVIMIENTOS!$A$5:$A$1005&lt;&gt;"")*(MOVIMIENTOS!$A$5:$A$1005&lt;=$A367)*MOVIMIENTOS!$E$5:$E$1005))</f>
        <v/>
      </c>
      <c r="G367" s="95" t="str">
        <f t="shared" si="11"/>
        <v/>
      </c>
      <c r="H367" s="63" t="str">
        <f>IF($A367="","",SUMPRODUCT((((MOVIMIENTOS!$B$5:$B$1005="SALDO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367)*MOVIMIENTOS!$J$5:$J$1005))</f>
        <v/>
      </c>
      <c r="I367" s="63"/>
      <c r="J367" s="63" t="str">
        <f>IF(AND(MOVIMIENTOS!$A368&lt;&gt;"",COUNTIF(MOVIMIENTOS!$A$5:$A367,MOVIMIENTOS!$A368)=0),COUNT(J$4:J366)+1,"")</f>
        <v/>
      </c>
      <c r="K367" s="66">
        <f>MOVIMIENTOS!$A368</f>
        <v>46246</v>
      </c>
      <c r="L367" s="63"/>
      <c r="M367" s="63"/>
      <c r="N367" s="63"/>
    </row>
    <row r="368" spans="1:14" ht="15" customHeight="1" x14ac:dyDescent="0.2">
      <c r="A368" s="63" t="str">
        <f t="shared" si="10"/>
        <v/>
      </c>
      <c r="B368" s="63" t="str">
        <f>IF($A368="","",SUMPRODUCT((MOVIMIENTOS!$B$5:$B$1005="SALDO INICIAL")*(MOVIMIENTOS!$C$5:$C$1005="A")*(MOVIMIENTOS!$D$5:$D$1005="jabas")*(MOVIMIENTOS!$A$5:$A$1005&lt;&gt;"")*(MOVIMIENTOS!$A$5:$A$1005&lt;=$A368)*MOVIMIENTOS!$E$5:$E$1005)+SUMPRODUCT((MOVIMIENTOS!$B$5:$B$1005="PROCESO")*(MOVIMIENTOS!$C$5:$C$1005="A")*(MOVIMIENTOS!$D$5:$D$1005="jabas")*(MOVIMIENTOS!$A$5:$A$1005&lt;&gt;"")*(MOVIMIENTOS!$A$5:$A$1005&lt;=$A368)*MOVIMIENTOS!$E$5:$E$1005)-SUMPRODUCT((MOVIMIENTOS!$B$5:$B$1005="ENVÍO A SUPESA")*(MOVIMIENTOS!$C$5:$C$1005="A")*(MOVIMIENTOS!$D$5:$D$1005="jabas")*(MOVIMIENTOS!$A$5:$A$1005&lt;&gt;"")*(MOVIMIENTOS!$A$5:$A$1005&lt;=$A368)*MOVIMIENTOS!$E$5:$E$1005)+SUMPRODUCT((MOVIMIENTOS!$B$5:$B$1005="DEVOLUCIÓN")*(MOVIMIENTOS!$C$5:$C$1005="A")*(MOVIMIENTOS!$D$5:$D$1005="jabas")*(MOVIMIENTOS!$A$5:$A$1005&lt;&gt;"")*(MOVIMIENTOS!$A$5:$A$1005&lt;=$A368)*MOVIMIENTOS!$E$5:$E$1005)-SUMPRODUCT((MOVIMIENTOS!$B$5:$B$1005="TRASIEGO")*(MOVIMIENTOS!$C$5:$C$1005="A")*(MOVIMIENTOS!$D$5:$D$1005="jabas")*(MOVIMIENTOS!$A$5:$A$1005&lt;&gt;"")*(MOVIMIENTOS!$A$5:$A$1005&lt;=$A368)*MOVIMIENTOS!$E$5:$E$1005)-SUMPRODUCT((MOVIMIENTOS!$B$5:$B$1005="REGALO")*(MOVIMIENTOS!$C$5:$C$1005="A")*(MOVIMIENTOS!$D$5:$D$1005="jabas")*(MOVIMIENTOS!$A$5:$A$1005&lt;&gt;"")*(MOVIMIENTOS!$A$5:$A$1005&lt;=$A368)*MOVIMIENTOS!$E$5:$E$1005)-SUMPRODUCT((MOVIMIENTOS!$B$5:$B$1005="VENTA")*(MOVIMIENTOS!$C$5:$C$1005="A")*(MOVIMIENTOS!$D$5:$D$1005="jabas")*(MOVIMIENTOS!$A$5:$A$1005&lt;&gt;"")*(MOVIMIENTOS!$A$5:$A$1005&lt;=$A368)*MOVIMIENTOS!$E$5:$E$1005)+SUMPRODUCT((MOVIMIENTOS!$B$5:$B$1005="AJUSTE")*(MOVIMIENTOS!$C$5:$C$1005="A")*(MOVIMIENTOS!$D$5:$D$1005="jabas")*(MOVIMIENTOS!$A$5:$A$1005&lt;&gt;"")*(MOVIMIENTOS!$A$5:$A$1005&lt;=$A368)*MOVIMIENTOS!$E$5:$E$1005))</f>
        <v/>
      </c>
      <c r="C368" s="63" t="str">
        <f>IF($A368="","",SUMPRODUCT((MOVIMIENTOS!$B$5:$B$1005="SALDO INICIAL")*(MOVIMIENTOS!$C$5:$C$1005="P")*(MOVIMIENTOS!$D$5:$D$1005="jabas")*(MOVIMIENTOS!$A$5:$A$1005&lt;&gt;"")*(MOVIMIENTOS!$A$5:$A$1005&lt;=$A368)*MOVIMIENTOS!$E$5:$E$1005)+SUMPRODUCT((MOVIMIENTOS!$B$5:$B$1005="PROCESO")*(MOVIMIENTOS!$C$5:$C$1005="P")*(MOVIMIENTOS!$D$5:$D$1005="jabas")*(MOVIMIENTOS!$A$5:$A$1005&lt;&gt;"")*(MOVIMIENTOS!$A$5:$A$1005&lt;=$A368)*MOVIMIENTOS!$E$5:$E$1005)-SUMPRODUCT((MOVIMIENTOS!$B$5:$B$1005="ENVÍO A SUPESA")*(MOVIMIENTOS!$C$5:$C$1005="P")*(MOVIMIENTOS!$D$5:$D$1005="jabas")*(MOVIMIENTOS!$A$5:$A$1005&lt;&gt;"")*(MOVIMIENTOS!$A$5:$A$1005&lt;=$A368)*MOVIMIENTOS!$E$5:$E$1005)+SUMPRODUCT((MOVIMIENTOS!$B$5:$B$1005="DEVOLUCIÓN")*(MOVIMIENTOS!$C$5:$C$1005="P")*(MOVIMIENTOS!$D$5:$D$1005="jabas")*(MOVIMIENTOS!$A$5:$A$1005&lt;&gt;"")*(MOVIMIENTOS!$A$5:$A$1005&lt;=$A368)*MOVIMIENTOS!$E$5:$E$1005)-SUMPRODUCT((MOVIMIENTOS!$B$5:$B$1005="TRASIEGO")*(MOVIMIENTOS!$C$5:$C$1005="P")*(MOVIMIENTOS!$D$5:$D$1005="jabas")*(MOVIMIENTOS!$A$5:$A$1005&lt;&gt;"")*(MOVIMIENTOS!$A$5:$A$1005&lt;=$A368)*MOVIMIENTOS!$E$5:$E$1005)-SUMPRODUCT((MOVIMIENTOS!$B$5:$B$1005="REGALO")*(MOVIMIENTOS!$C$5:$C$1005="P")*(MOVIMIENTOS!$D$5:$D$1005="jabas")*(MOVIMIENTOS!$A$5:$A$1005&lt;&gt;"")*(MOVIMIENTOS!$A$5:$A$1005&lt;=$A368)*MOVIMIENTOS!$E$5:$E$1005)-SUMPRODUCT((MOVIMIENTOS!$B$5:$B$1005="VENTA")*(MOVIMIENTOS!$C$5:$C$1005="P")*(MOVIMIENTOS!$D$5:$D$1005="jabas")*(MOVIMIENTOS!$A$5:$A$1005&lt;&gt;"")*(MOVIMIENTOS!$A$5:$A$1005&lt;=$A368)*MOVIMIENTOS!$E$5:$E$1005)+SUMPRODUCT((MOVIMIENTOS!$B$5:$B$1005="AJUSTE")*(MOVIMIENTOS!$C$5:$C$1005="P")*(MOVIMIENTOS!$D$5:$D$1005="jabas")*(MOVIMIENTOS!$A$5:$A$1005&lt;&gt;"")*(MOVIMIENTOS!$A$5:$A$1005&lt;=$A368)*MOVIMIENTOS!$E$5:$E$1005))</f>
        <v/>
      </c>
      <c r="D368" s="63" t="str">
        <f>IF($A368="","",SUMPRODUCT((MOVIMIENTOS!$B$5:$B$1005="SALDO INICIAL")*(MOVIMIENTOS!$C$5:$C$1005="C")*(MOVIMIENTOS!$D$5:$D$1005="jabas")*(MOVIMIENTOS!$A$5:$A$1005&lt;&gt;"")*(MOVIMIENTOS!$A$5:$A$1005&lt;=$A368)*MOVIMIENTOS!$E$5:$E$1005)+SUMPRODUCT((MOVIMIENTOS!$B$5:$B$1005="PROCESO")*(MOVIMIENTOS!$C$5:$C$1005="C")*(MOVIMIENTOS!$D$5:$D$1005="jabas")*(MOVIMIENTOS!$A$5:$A$1005&lt;&gt;"")*(MOVIMIENTOS!$A$5:$A$1005&lt;=$A368)*MOVIMIENTOS!$E$5:$E$1005)-SUMPRODUCT((MOVIMIENTOS!$B$5:$B$1005="ENVÍO A SUPESA")*(MOVIMIENTOS!$C$5:$C$1005="C")*(MOVIMIENTOS!$D$5:$D$1005="jabas")*(MOVIMIENTOS!$A$5:$A$1005&lt;&gt;"")*(MOVIMIENTOS!$A$5:$A$1005&lt;=$A368)*MOVIMIENTOS!$E$5:$E$1005)+SUMPRODUCT((MOVIMIENTOS!$B$5:$B$1005="DEVOLUCIÓN")*(MOVIMIENTOS!$C$5:$C$1005="C")*(MOVIMIENTOS!$D$5:$D$1005="jabas")*(MOVIMIENTOS!$A$5:$A$1005&lt;&gt;"")*(MOVIMIENTOS!$A$5:$A$1005&lt;=$A368)*MOVIMIENTOS!$E$5:$E$1005)-SUMPRODUCT((MOVIMIENTOS!$B$5:$B$1005="TRASIEGO")*(MOVIMIENTOS!$C$5:$C$1005="C")*(MOVIMIENTOS!$D$5:$D$1005="jabas")*(MOVIMIENTOS!$A$5:$A$1005&lt;&gt;"")*(MOVIMIENTOS!$A$5:$A$1005&lt;=$A368)*MOVIMIENTOS!$E$5:$E$1005)-SUMPRODUCT((MOVIMIENTOS!$B$5:$B$1005="REGALO")*(MOVIMIENTOS!$C$5:$C$1005="C")*(MOVIMIENTOS!$D$5:$D$1005="jabas")*(MOVIMIENTOS!$A$5:$A$1005&lt;&gt;"")*(MOVIMIENTOS!$A$5:$A$1005&lt;=$A368)*MOVIMIENTOS!$E$5:$E$1005)-SUMPRODUCT((MOVIMIENTOS!$B$5:$B$1005="VENTA")*(MOVIMIENTOS!$C$5:$C$1005="C")*(MOVIMIENTOS!$D$5:$D$1005="jabas")*(MOVIMIENTOS!$A$5:$A$1005&lt;&gt;"")*(MOVIMIENTOS!$A$5:$A$1005&lt;=$A368)*MOVIMIENTOS!$E$5:$E$1005)+SUMPRODUCT((MOVIMIENTOS!$B$5:$B$1005="AJUSTE")*(MOVIMIENTOS!$C$5:$C$1005="C")*(MOVIMIENTOS!$D$5:$D$1005="jabas")*(MOVIMIENTOS!$A$5:$A$1005&lt;&gt;"")*(MOVIMIENTOS!$A$5:$A$1005&lt;=$A368)*MOVIMIENTOS!$E$5:$E$1005))</f>
        <v/>
      </c>
      <c r="E368" s="63" t="str">
        <f>IF($A368="","",SUMPRODUCT((MOVIMIENTOS!$B$5:$B$1005="SALDO INICIAL")*(MOVIMIENTOS!$C$5:$C$1005="M")*(MOVIMIENTOS!$D$5:$D$1005="jabas")*(MOVIMIENTOS!$A$5:$A$1005&lt;&gt;"")*(MOVIMIENTOS!$A$5:$A$1005&lt;=$A368)*MOVIMIENTOS!$E$5:$E$1005)+SUMPRODUCT((MOVIMIENTOS!$B$5:$B$1005="PROCESO")*(MOVIMIENTOS!$C$5:$C$1005="M")*(MOVIMIENTOS!$D$5:$D$1005="jabas")*(MOVIMIENTOS!$A$5:$A$1005&lt;&gt;"")*(MOVIMIENTOS!$A$5:$A$1005&lt;=$A368)*MOVIMIENTOS!$E$5:$E$1005)-SUMPRODUCT((MOVIMIENTOS!$B$5:$B$1005="ENVÍO A SUPESA")*(MOVIMIENTOS!$C$5:$C$1005="M")*(MOVIMIENTOS!$D$5:$D$1005="jabas")*(MOVIMIENTOS!$A$5:$A$1005&lt;&gt;"")*(MOVIMIENTOS!$A$5:$A$1005&lt;=$A368)*MOVIMIENTOS!$E$5:$E$1005)+SUMPRODUCT((MOVIMIENTOS!$B$5:$B$1005="DEVOLUCIÓN")*(MOVIMIENTOS!$C$5:$C$1005="M")*(MOVIMIENTOS!$D$5:$D$1005="jabas")*(MOVIMIENTOS!$A$5:$A$1005&lt;&gt;"")*(MOVIMIENTOS!$A$5:$A$1005&lt;=$A368)*MOVIMIENTOS!$E$5:$E$1005)-SUMPRODUCT((MOVIMIENTOS!$B$5:$B$1005="TRASIEGO")*(MOVIMIENTOS!$C$5:$C$1005="M")*(MOVIMIENTOS!$D$5:$D$1005="jabas")*(MOVIMIENTOS!$A$5:$A$1005&lt;&gt;"")*(MOVIMIENTOS!$A$5:$A$1005&lt;=$A368)*MOVIMIENTOS!$E$5:$E$1005)-SUMPRODUCT((MOVIMIENTOS!$B$5:$B$1005="REGALO")*(MOVIMIENTOS!$C$5:$C$1005="M")*(MOVIMIENTOS!$D$5:$D$1005="jabas")*(MOVIMIENTOS!$A$5:$A$1005&lt;&gt;"")*(MOVIMIENTOS!$A$5:$A$1005&lt;=$A368)*MOVIMIENTOS!$E$5:$E$1005)-SUMPRODUCT((MOVIMIENTOS!$B$5:$B$1005="VENTA")*(MOVIMIENTOS!$C$5:$C$1005="M")*(MOVIMIENTOS!$D$5:$D$1005="jabas")*(MOVIMIENTOS!$A$5:$A$1005&lt;&gt;"")*(MOVIMIENTOS!$A$5:$A$1005&lt;=$A368)*MOVIMIENTOS!$E$5:$E$1005)+SUMPRODUCT((MOVIMIENTOS!$B$5:$B$1005="AJUSTE")*(MOVIMIENTOS!$C$5:$C$1005="M")*(MOVIMIENTOS!$D$5:$D$1005="jabas")*(MOVIMIENTOS!$A$5:$A$1005&lt;&gt;"")*(MOVIMIENTOS!$A$5:$A$1005&lt;=$A368)*MOVIMIENTOS!$E$5:$E$1005))</f>
        <v/>
      </c>
      <c r="F368" s="63" t="str">
        <f>IF($A368="","",SUMPRODUCT((MOVIMIENTOS!$B$5:$B$1005="SALDO INICIAL")*(MOVIMIENTOS!$C$5:$C$1005="Chancho")*(MOVIMIENTOS!$D$5:$D$1005="sacos")*(MOVIMIENTOS!$A$5:$A$1005&lt;&gt;"")*(MOVIMIENTOS!$A$5:$A$1005&lt;=$A368)*MOVIMIENTOS!$E$5:$E$1005)+SUMPRODUCT((MOVIMIENTOS!$B$5:$B$1005="PROCESO")*(MOVIMIENTOS!$C$5:$C$1005="Chancho")*(MOVIMIENTOS!$D$5:$D$1005="sacos")*(MOVIMIENTOS!$A$5:$A$1005&lt;&gt;"")*(MOVIMIENTOS!$A$5:$A$1005&lt;=$A368)*MOVIMIENTOS!$E$5:$E$1005)-SUMPRODUCT((MOVIMIENTOS!$B$5:$B$1005="VENTA CHANCHO")*(MOVIMIENTOS!$C$5:$C$1005="Chancho")*(MOVIMIENTOS!$D$5:$D$1005="sacos")*(MOVIMIENTOS!$A$5:$A$1005&lt;&gt;"")*(MOVIMIENTOS!$A$5:$A$1005&lt;=$A368)*MOVIMIENTOS!$E$5:$E$1005)-SUMPRODUCT((MOVIMIENTOS!$B$5:$B$1005="REGALO")*(MOVIMIENTOS!$C$5:$C$1005="Chancho")*(MOVIMIENTOS!$D$5:$D$1005="sacos")*(MOVIMIENTOS!$A$5:$A$1005&lt;&gt;"")*(MOVIMIENTOS!$A$5:$A$1005&lt;=$A368)*MOVIMIENTOS!$E$5:$E$1005)-SUMPRODUCT((MOVIMIENTOS!$B$5:$B$1005="VENTA")*(MOVIMIENTOS!$C$5:$C$1005="Chancho")*(MOVIMIENTOS!$D$5:$D$1005="sacos")*(MOVIMIENTOS!$A$5:$A$1005&lt;&gt;"")*(MOVIMIENTOS!$A$5:$A$1005&lt;=$A368)*MOVIMIENTOS!$E$5:$E$1005)+SUMPRODUCT((MOVIMIENTOS!$B$5:$B$1005="AJUSTE")*(MOVIMIENTOS!$C$5:$C$1005="Chancho")*(MOVIMIENTOS!$D$5:$D$1005="sacos")*(MOVIMIENTOS!$A$5:$A$1005&lt;&gt;"")*(MOVIMIENTOS!$A$5:$A$1005&lt;=$A368)*MOVIMIENTOS!$E$5:$E$1005))</f>
        <v/>
      </c>
      <c r="G368" s="95" t="str">
        <f t="shared" si="11"/>
        <v/>
      </c>
      <c r="H368" s="63" t="str">
        <f>IF($A368="","",SUMPRODUCT((((MOVIMIENTOS!$B$5:$B$1005="SALDO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368)*MOVIMIENTOS!$J$5:$J$1005))</f>
        <v/>
      </c>
      <c r="I368" s="63"/>
      <c r="J368" s="63" t="str">
        <f>IF(AND(MOVIMIENTOS!$A369&lt;&gt;"",COUNTIF(MOVIMIENTOS!$A$5:$A368,MOVIMIENTOS!$A369)=0),COUNT(J$4:J367)+1,"")</f>
        <v/>
      </c>
      <c r="K368" s="66">
        <f>MOVIMIENTOS!$A369</f>
        <v>46246</v>
      </c>
      <c r="L368" s="63"/>
      <c r="M368" s="63"/>
      <c r="N368" s="63"/>
    </row>
    <row r="369" spans="1:14" ht="15" customHeight="1" x14ac:dyDescent="0.2">
      <c r="A369" s="63" t="str">
        <f t="shared" si="10"/>
        <v/>
      </c>
      <c r="B369" s="63" t="str">
        <f>IF($A369="","",SUMPRODUCT((MOVIMIENTOS!$B$5:$B$1005="SALDO INICIAL")*(MOVIMIENTOS!$C$5:$C$1005="A")*(MOVIMIENTOS!$D$5:$D$1005="jabas")*(MOVIMIENTOS!$A$5:$A$1005&lt;&gt;"")*(MOVIMIENTOS!$A$5:$A$1005&lt;=$A369)*MOVIMIENTOS!$E$5:$E$1005)+SUMPRODUCT((MOVIMIENTOS!$B$5:$B$1005="PROCESO")*(MOVIMIENTOS!$C$5:$C$1005="A")*(MOVIMIENTOS!$D$5:$D$1005="jabas")*(MOVIMIENTOS!$A$5:$A$1005&lt;&gt;"")*(MOVIMIENTOS!$A$5:$A$1005&lt;=$A369)*MOVIMIENTOS!$E$5:$E$1005)-SUMPRODUCT((MOVIMIENTOS!$B$5:$B$1005="ENVÍO A SUPESA")*(MOVIMIENTOS!$C$5:$C$1005="A")*(MOVIMIENTOS!$D$5:$D$1005="jabas")*(MOVIMIENTOS!$A$5:$A$1005&lt;&gt;"")*(MOVIMIENTOS!$A$5:$A$1005&lt;=$A369)*MOVIMIENTOS!$E$5:$E$1005)+SUMPRODUCT((MOVIMIENTOS!$B$5:$B$1005="DEVOLUCIÓN")*(MOVIMIENTOS!$C$5:$C$1005="A")*(MOVIMIENTOS!$D$5:$D$1005="jabas")*(MOVIMIENTOS!$A$5:$A$1005&lt;&gt;"")*(MOVIMIENTOS!$A$5:$A$1005&lt;=$A369)*MOVIMIENTOS!$E$5:$E$1005)-SUMPRODUCT((MOVIMIENTOS!$B$5:$B$1005="TRASIEGO")*(MOVIMIENTOS!$C$5:$C$1005="A")*(MOVIMIENTOS!$D$5:$D$1005="jabas")*(MOVIMIENTOS!$A$5:$A$1005&lt;&gt;"")*(MOVIMIENTOS!$A$5:$A$1005&lt;=$A369)*MOVIMIENTOS!$E$5:$E$1005)-SUMPRODUCT((MOVIMIENTOS!$B$5:$B$1005="REGALO")*(MOVIMIENTOS!$C$5:$C$1005="A")*(MOVIMIENTOS!$D$5:$D$1005="jabas")*(MOVIMIENTOS!$A$5:$A$1005&lt;&gt;"")*(MOVIMIENTOS!$A$5:$A$1005&lt;=$A369)*MOVIMIENTOS!$E$5:$E$1005)-SUMPRODUCT((MOVIMIENTOS!$B$5:$B$1005="VENTA")*(MOVIMIENTOS!$C$5:$C$1005="A")*(MOVIMIENTOS!$D$5:$D$1005="jabas")*(MOVIMIENTOS!$A$5:$A$1005&lt;&gt;"")*(MOVIMIENTOS!$A$5:$A$1005&lt;=$A369)*MOVIMIENTOS!$E$5:$E$1005)+SUMPRODUCT((MOVIMIENTOS!$B$5:$B$1005="AJUSTE")*(MOVIMIENTOS!$C$5:$C$1005="A")*(MOVIMIENTOS!$D$5:$D$1005="jabas")*(MOVIMIENTOS!$A$5:$A$1005&lt;&gt;"")*(MOVIMIENTOS!$A$5:$A$1005&lt;=$A369)*MOVIMIENTOS!$E$5:$E$1005))</f>
        <v/>
      </c>
      <c r="C369" s="63" t="str">
        <f>IF($A369="","",SUMPRODUCT((MOVIMIENTOS!$B$5:$B$1005="SALDO INICIAL")*(MOVIMIENTOS!$C$5:$C$1005="P")*(MOVIMIENTOS!$D$5:$D$1005="jabas")*(MOVIMIENTOS!$A$5:$A$1005&lt;&gt;"")*(MOVIMIENTOS!$A$5:$A$1005&lt;=$A369)*MOVIMIENTOS!$E$5:$E$1005)+SUMPRODUCT((MOVIMIENTOS!$B$5:$B$1005="PROCESO")*(MOVIMIENTOS!$C$5:$C$1005="P")*(MOVIMIENTOS!$D$5:$D$1005="jabas")*(MOVIMIENTOS!$A$5:$A$1005&lt;&gt;"")*(MOVIMIENTOS!$A$5:$A$1005&lt;=$A369)*MOVIMIENTOS!$E$5:$E$1005)-SUMPRODUCT((MOVIMIENTOS!$B$5:$B$1005="ENVÍO A SUPESA")*(MOVIMIENTOS!$C$5:$C$1005="P")*(MOVIMIENTOS!$D$5:$D$1005="jabas")*(MOVIMIENTOS!$A$5:$A$1005&lt;&gt;"")*(MOVIMIENTOS!$A$5:$A$1005&lt;=$A369)*MOVIMIENTOS!$E$5:$E$1005)+SUMPRODUCT((MOVIMIENTOS!$B$5:$B$1005="DEVOLUCIÓN")*(MOVIMIENTOS!$C$5:$C$1005="P")*(MOVIMIENTOS!$D$5:$D$1005="jabas")*(MOVIMIENTOS!$A$5:$A$1005&lt;&gt;"")*(MOVIMIENTOS!$A$5:$A$1005&lt;=$A369)*MOVIMIENTOS!$E$5:$E$1005)-SUMPRODUCT((MOVIMIENTOS!$B$5:$B$1005="TRASIEGO")*(MOVIMIENTOS!$C$5:$C$1005="P")*(MOVIMIENTOS!$D$5:$D$1005="jabas")*(MOVIMIENTOS!$A$5:$A$1005&lt;&gt;"")*(MOVIMIENTOS!$A$5:$A$1005&lt;=$A369)*MOVIMIENTOS!$E$5:$E$1005)-SUMPRODUCT((MOVIMIENTOS!$B$5:$B$1005="REGALO")*(MOVIMIENTOS!$C$5:$C$1005="P")*(MOVIMIENTOS!$D$5:$D$1005="jabas")*(MOVIMIENTOS!$A$5:$A$1005&lt;&gt;"")*(MOVIMIENTOS!$A$5:$A$1005&lt;=$A369)*MOVIMIENTOS!$E$5:$E$1005)-SUMPRODUCT((MOVIMIENTOS!$B$5:$B$1005="VENTA")*(MOVIMIENTOS!$C$5:$C$1005="P")*(MOVIMIENTOS!$D$5:$D$1005="jabas")*(MOVIMIENTOS!$A$5:$A$1005&lt;&gt;"")*(MOVIMIENTOS!$A$5:$A$1005&lt;=$A369)*MOVIMIENTOS!$E$5:$E$1005)+SUMPRODUCT((MOVIMIENTOS!$B$5:$B$1005="AJUSTE")*(MOVIMIENTOS!$C$5:$C$1005="P")*(MOVIMIENTOS!$D$5:$D$1005="jabas")*(MOVIMIENTOS!$A$5:$A$1005&lt;&gt;"")*(MOVIMIENTOS!$A$5:$A$1005&lt;=$A369)*MOVIMIENTOS!$E$5:$E$1005))</f>
        <v/>
      </c>
      <c r="D369" s="63" t="str">
        <f>IF($A369="","",SUMPRODUCT((MOVIMIENTOS!$B$5:$B$1005="SALDO INICIAL")*(MOVIMIENTOS!$C$5:$C$1005="C")*(MOVIMIENTOS!$D$5:$D$1005="jabas")*(MOVIMIENTOS!$A$5:$A$1005&lt;&gt;"")*(MOVIMIENTOS!$A$5:$A$1005&lt;=$A369)*MOVIMIENTOS!$E$5:$E$1005)+SUMPRODUCT((MOVIMIENTOS!$B$5:$B$1005="PROCESO")*(MOVIMIENTOS!$C$5:$C$1005="C")*(MOVIMIENTOS!$D$5:$D$1005="jabas")*(MOVIMIENTOS!$A$5:$A$1005&lt;&gt;"")*(MOVIMIENTOS!$A$5:$A$1005&lt;=$A369)*MOVIMIENTOS!$E$5:$E$1005)-SUMPRODUCT((MOVIMIENTOS!$B$5:$B$1005="ENVÍO A SUPESA")*(MOVIMIENTOS!$C$5:$C$1005="C")*(MOVIMIENTOS!$D$5:$D$1005="jabas")*(MOVIMIENTOS!$A$5:$A$1005&lt;&gt;"")*(MOVIMIENTOS!$A$5:$A$1005&lt;=$A369)*MOVIMIENTOS!$E$5:$E$1005)+SUMPRODUCT((MOVIMIENTOS!$B$5:$B$1005="DEVOLUCIÓN")*(MOVIMIENTOS!$C$5:$C$1005="C")*(MOVIMIENTOS!$D$5:$D$1005="jabas")*(MOVIMIENTOS!$A$5:$A$1005&lt;&gt;"")*(MOVIMIENTOS!$A$5:$A$1005&lt;=$A369)*MOVIMIENTOS!$E$5:$E$1005)-SUMPRODUCT((MOVIMIENTOS!$B$5:$B$1005="TRASIEGO")*(MOVIMIENTOS!$C$5:$C$1005="C")*(MOVIMIENTOS!$D$5:$D$1005="jabas")*(MOVIMIENTOS!$A$5:$A$1005&lt;&gt;"")*(MOVIMIENTOS!$A$5:$A$1005&lt;=$A369)*MOVIMIENTOS!$E$5:$E$1005)-SUMPRODUCT((MOVIMIENTOS!$B$5:$B$1005="REGALO")*(MOVIMIENTOS!$C$5:$C$1005="C")*(MOVIMIENTOS!$D$5:$D$1005="jabas")*(MOVIMIENTOS!$A$5:$A$1005&lt;&gt;"")*(MOVIMIENTOS!$A$5:$A$1005&lt;=$A369)*MOVIMIENTOS!$E$5:$E$1005)-SUMPRODUCT((MOVIMIENTOS!$B$5:$B$1005="VENTA")*(MOVIMIENTOS!$C$5:$C$1005="C")*(MOVIMIENTOS!$D$5:$D$1005="jabas")*(MOVIMIENTOS!$A$5:$A$1005&lt;&gt;"")*(MOVIMIENTOS!$A$5:$A$1005&lt;=$A369)*MOVIMIENTOS!$E$5:$E$1005)+SUMPRODUCT((MOVIMIENTOS!$B$5:$B$1005="AJUSTE")*(MOVIMIENTOS!$C$5:$C$1005="C")*(MOVIMIENTOS!$D$5:$D$1005="jabas")*(MOVIMIENTOS!$A$5:$A$1005&lt;&gt;"")*(MOVIMIENTOS!$A$5:$A$1005&lt;=$A369)*MOVIMIENTOS!$E$5:$E$1005))</f>
        <v/>
      </c>
      <c r="E369" s="63" t="str">
        <f>IF($A369="","",SUMPRODUCT((MOVIMIENTOS!$B$5:$B$1005="SALDO INICIAL")*(MOVIMIENTOS!$C$5:$C$1005="M")*(MOVIMIENTOS!$D$5:$D$1005="jabas")*(MOVIMIENTOS!$A$5:$A$1005&lt;&gt;"")*(MOVIMIENTOS!$A$5:$A$1005&lt;=$A369)*MOVIMIENTOS!$E$5:$E$1005)+SUMPRODUCT((MOVIMIENTOS!$B$5:$B$1005="PROCESO")*(MOVIMIENTOS!$C$5:$C$1005="M")*(MOVIMIENTOS!$D$5:$D$1005="jabas")*(MOVIMIENTOS!$A$5:$A$1005&lt;&gt;"")*(MOVIMIENTOS!$A$5:$A$1005&lt;=$A369)*MOVIMIENTOS!$E$5:$E$1005)-SUMPRODUCT((MOVIMIENTOS!$B$5:$B$1005="ENVÍO A SUPESA")*(MOVIMIENTOS!$C$5:$C$1005="M")*(MOVIMIENTOS!$D$5:$D$1005="jabas")*(MOVIMIENTOS!$A$5:$A$1005&lt;&gt;"")*(MOVIMIENTOS!$A$5:$A$1005&lt;=$A369)*MOVIMIENTOS!$E$5:$E$1005)+SUMPRODUCT((MOVIMIENTOS!$B$5:$B$1005="DEVOLUCIÓN")*(MOVIMIENTOS!$C$5:$C$1005="M")*(MOVIMIENTOS!$D$5:$D$1005="jabas")*(MOVIMIENTOS!$A$5:$A$1005&lt;&gt;"")*(MOVIMIENTOS!$A$5:$A$1005&lt;=$A369)*MOVIMIENTOS!$E$5:$E$1005)-SUMPRODUCT((MOVIMIENTOS!$B$5:$B$1005="TRASIEGO")*(MOVIMIENTOS!$C$5:$C$1005="M")*(MOVIMIENTOS!$D$5:$D$1005="jabas")*(MOVIMIENTOS!$A$5:$A$1005&lt;&gt;"")*(MOVIMIENTOS!$A$5:$A$1005&lt;=$A369)*MOVIMIENTOS!$E$5:$E$1005)-SUMPRODUCT((MOVIMIENTOS!$B$5:$B$1005="REGALO")*(MOVIMIENTOS!$C$5:$C$1005="M")*(MOVIMIENTOS!$D$5:$D$1005="jabas")*(MOVIMIENTOS!$A$5:$A$1005&lt;&gt;"")*(MOVIMIENTOS!$A$5:$A$1005&lt;=$A369)*MOVIMIENTOS!$E$5:$E$1005)-SUMPRODUCT((MOVIMIENTOS!$B$5:$B$1005="VENTA")*(MOVIMIENTOS!$C$5:$C$1005="M")*(MOVIMIENTOS!$D$5:$D$1005="jabas")*(MOVIMIENTOS!$A$5:$A$1005&lt;&gt;"")*(MOVIMIENTOS!$A$5:$A$1005&lt;=$A369)*MOVIMIENTOS!$E$5:$E$1005)+SUMPRODUCT((MOVIMIENTOS!$B$5:$B$1005="AJUSTE")*(MOVIMIENTOS!$C$5:$C$1005="M")*(MOVIMIENTOS!$D$5:$D$1005="jabas")*(MOVIMIENTOS!$A$5:$A$1005&lt;&gt;"")*(MOVIMIENTOS!$A$5:$A$1005&lt;=$A369)*MOVIMIENTOS!$E$5:$E$1005))</f>
        <v/>
      </c>
      <c r="F369" s="63" t="str">
        <f>IF($A369="","",SUMPRODUCT((MOVIMIENTOS!$B$5:$B$1005="SALDO INICIAL")*(MOVIMIENTOS!$C$5:$C$1005="Chancho")*(MOVIMIENTOS!$D$5:$D$1005="sacos")*(MOVIMIENTOS!$A$5:$A$1005&lt;&gt;"")*(MOVIMIENTOS!$A$5:$A$1005&lt;=$A369)*MOVIMIENTOS!$E$5:$E$1005)+SUMPRODUCT((MOVIMIENTOS!$B$5:$B$1005="PROCESO")*(MOVIMIENTOS!$C$5:$C$1005="Chancho")*(MOVIMIENTOS!$D$5:$D$1005="sacos")*(MOVIMIENTOS!$A$5:$A$1005&lt;&gt;"")*(MOVIMIENTOS!$A$5:$A$1005&lt;=$A369)*MOVIMIENTOS!$E$5:$E$1005)-SUMPRODUCT((MOVIMIENTOS!$B$5:$B$1005="VENTA CHANCHO")*(MOVIMIENTOS!$C$5:$C$1005="Chancho")*(MOVIMIENTOS!$D$5:$D$1005="sacos")*(MOVIMIENTOS!$A$5:$A$1005&lt;&gt;"")*(MOVIMIENTOS!$A$5:$A$1005&lt;=$A369)*MOVIMIENTOS!$E$5:$E$1005)-SUMPRODUCT((MOVIMIENTOS!$B$5:$B$1005="REGALO")*(MOVIMIENTOS!$C$5:$C$1005="Chancho")*(MOVIMIENTOS!$D$5:$D$1005="sacos")*(MOVIMIENTOS!$A$5:$A$1005&lt;&gt;"")*(MOVIMIENTOS!$A$5:$A$1005&lt;=$A369)*MOVIMIENTOS!$E$5:$E$1005)-SUMPRODUCT((MOVIMIENTOS!$B$5:$B$1005="VENTA")*(MOVIMIENTOS!$C$5:$C$1005="Chancho")*(MOVIMIENTOS!$D$5:$D$1005="sacos")*(MOVIMIENTOS!$A$5:$A$1005&lt;&gt;"")*(MOVIMIENTOS!$A$5:$A$1005&lt;=$A369)*MOVIMIENTOS!$E$5:$E$1005)+SUMPRODUCT((MOVIMIENTOS!$B$5:$B$1005="AJUSTE")*(MOVIMIENTOS!$C$5:$C$1005="Chancho")*(MOVIMIENTOS!$D$5:$D$1005="sacos")*(MOVIMIENTOS!$A$5:$A$1005&lt;&gt;"")*(MOVIMIENTOS!$A$5:$A$1005&lt;=$A369)*MOVIMIENTOS!$E$5:$E$1005))</f>
        <v/>
      </c>
      <c r="G369" s="95" t="str">
        <f t="shared" si="11"/>
        <v/>
      </c>
      <c r="H369" s="63" t="str">
        <f>IF($A369="","",SUMPRODUCT((((MOVIMIENTOS!$B$5:$B$1005="SALDO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369)*MOVIMIENTOS!$J$5:$J$1005))</f>
        <v/>
      </c>
      <c r="I369" s="63"/>
      <c r="J369" s="63" t="str">
        <f>IF(AND(MOVIMIENTOS!$A370&lt;&gt;"",COUNTIF(MOVIMIENTOS!$A$5:$A369,MOVIMIENTOS!$A370)=0),COUNT(J$4:J368)+1,"")</f>
        <v/>
      </c>
      <c r="K369" s="66">
        <f>MOVIMIENTOS!$A370</f>
        <v>46246</v>
      </c>
      <c r="L369" s="63"/>
      <c r="M369" s="63"/>
      <c r="N369" s="63"/>
    </row>
    <row r="370" spans="1:14" ht="15" customHeight="1" x14ac:dyDescent="0.2">
      <c r="A370" s="63" t="str">
        <f t="shared" si="10"/>
        <v/>
      </c>
      <c r="B370" s="63" t="str">
        <f>IF($A370="","",SUMPRODUCT((MOVIMIENTOS!$B$5:$B$1005="SALDO INICIAL")*(MOVIMIENTOS!$C$5:$C$1005="A")*(MOVIMIENTOS!$D$5:$D$1005="jabas")*(MOVIMIENTOS!$A$5:$A$1005&lt;&gt;"")*(MOVIMIENTOS!$A$5:$A$1005&lt;=$A370)*MOVIMIENTOS!$E$5:$E$1005)+SUMPRODUCT((MOVIMIENTOS!$B$5:$B$1005="PROCESO")*(MOVIMIENTOS!$C$5:$C$1005="A")*(MOVIMIENTOS!$D$5:$D$1005="jabas")*(MOVIMIENTOS!$A$5:$A$1005&lt;&gt;"")*(MOVIMIENTOS!$A$5:$A$1005&lt;=$A370)*MOVIMIENTOS!$E$5:$E$1005)-SUMPRODUCT((MOVIMIENTOS!$B$5:$B$1005="ENVÍO A SUPESA")*(MOVIMIENTOS!$C$5:$C$1005="A")*(MOVIMIENTOS!$D$5:$D$1005="jabas")*(MOVIMIENTOS!$A$5:$A$1005&lt;&gt;"")*(MOVIMIENTOS!$A$5:$A$1005&lt;=$A370)*MOVIMIENTOS!$E$5:$E$1005)+SUMPRODUCT((MOVIMIENTOS!$B$5:$B$1005="DEVOLUCIÓN")*(MOVIMIENTOS!$C$5:$C$1005="A")*(MOVIMIENTOS!$D$5:$D$1005="jabas")*(MOVIMIENTOS!$A$5:$A$1005&lt;&gt;"")*(MOVIMIENTOS!$A$5:$A$1005&lt;=$A370)*MOVIMIENTOS!$E$5:$E$1005)-SUMPRODUCT((MOVIMIENTOS!$B$5:$B$1005="TRASIEGO")*(MOVIMIENTOS!$C$5:$C$1005="A")*(MOVIMIENTOS!$D$5:$D$1005="jabas")*(MOVIMIENTOS!$A$5:$A$1005&lt;&gt;"")*(MOVIMIENTOS!$A$5:$A$1005&lt;=$A370)*MOVIMIENTOS!$E$5:$E$1005)-SUMPRODUCT((MOVIMIENTOS!$B$5:$B$1005="REGALO")*(MOVIMIENTOS!$C$5:$C$1005="A")*(MOVIMIENTOS!$D$5:$D$1005="jabas")*(MOVIMIENTOS!$A$5:$A$1005&lt;&gt;"")*(MOVIMIENTOS!$A$5:$A$1005&lt;=$A370)*MOVIMIENTOS!$E$5:$E$1005)-SUMPRODUCT((MOVIMIENTOS!$B$5:$B$1005="VENTA")*(MOVIMIENTOS!$C$5:$C$1005="A")*(MOVIMIENTOS!$D$5:$D$1005="jabas")*(MOVIMIENTOS!$A$5:$A$1005&lt;&gt;"")*(MOVIMIENTOS!$A$5:$A$1005&lt;=$A370)*MOVIMIENTOS!$E$5:$E$1005)+SUMPRODUCT((MOVIMIENTOS!$B$5:$B$1005="AJUSTE")*(MOVIMIENTOS!$C$5:$C$1005="A")*(MOVIMIENTOS!$D$5:$D$1005="jabas")*(MOVIMIENTOS!$A$5:$A$1005&lt;&gt;"")*(MOVIMIENTOS!$A$5:$A$1005&lt;=$A370)*MOVIMIENTOS!$E$5:$E$1005))</f>
        <v/>
      </c>
      <c r="C370" s="63" t="str">
        <f>IF($A370="","",SUMPRODUCT((MOVIMIENTOS!$B$5:$B$1005="SALDO INICIAL")*(MOVIMIENTOS!$C$5:$C$1005="P")*(MOVIMIENTOS!$D$5:$D$1005="jabas")*(MOVIMIENTOS!$A$5:$A$1005&lt;&gt;"")*(MOVIMIENTOS!$A$5:$A$1005&lt;=$A370)*MOVIMIENTOS!$E$5:$E$1005)+SUMPRODUCT((MOVIMIENTOS!$B$5:$B$1005="PROCESO")*(MOVIMIENTOS!$C$5:$C$1005="P")*(MOVIMIENTOS!$D$5:$D$1005="jabas")*(MOVIMIENTOS!$A$5:$A$1005&lt;&gt;"")*(MOVIMIENTOS!$A$5:$A$1005&lt;=$A370)*MOVIMIENTOS!$E$5:$E$1005)-SUMPRODUCT((MOVIMIENTOS!$B$5:$B$1005="ENVÍO A SUPESA")*(MOVIMIENTOS!$C$5:$C$1005="P")*(MOVIMIENTOS!$D$5:$D$1005="jabas")*(MOVIMIENTOS!$A$5:$A$1005&lt;&gt;"")*(MOVIMIENTOS!$A$5:$A$1005&lt;=$A370)*MOVIMIENTOS!$E$5:$E$1005)+SUMPRODUCT((MOVIMIENTOS!$B$5:$B$1005="DEVOLUCIÓN")*(MOVIMIENTOS!$C$5:$C$1005="P")*(MOVIMIENTOS!$D$5:$D$1005="jabas")*(MOVIMIENTOS!$A$5:$A$1005&lt;&gt;"")*(MOVIMIENTOS!$A$5:$A$1005&lt;=$A370)*MOVIMIENTOS!$E$5:$E$1005)-SUMPRODUCT((MOVIMIENTOS!$B$5:$B$1005="TRASIEGO")*(MOVIMIENTOS!$C$5:$C$1005="P")*(MOVIMIENTOS!$D$5:$D$1005="jabas")*(MOVIMIENTOS!$A$5:$A$1005&lt;&gt;"")*(MOVIMIENTOS!$A$5:$A$1005&lt;=$A370)*MOVIMIENTOS!$E$5:$E$1005)-SUMPRODUCT((MOVIMIENTOS!$B$5:$B$1005="REGALO")*(MOVIMIENTOS!$C$5:$C$1005="P")*(MOVIMIENTOS!$D$5:$D$1005="jabas")*(MOVIMIENTOS!$A$5:$A$1005&lt;&gt;"")*(MOVIMIENTOS!$A$5:$A$1005&lt;=$A370)*MOVIMIENTOS!$E$5:$E$1005)-SUMPRODUCT((MOVIMIENTOS!$B$5:$B$1005="VENTA")*(MOVIMIENTOS!$C$5:$C$1005="P")*(MOVIMIENTOS!$D$5:$D$1005="jabas")*(MOVIMIENTOS!$A$5:$A$1005&lt;&gt;"")*(MOVIMIENTOS!$A$5:$A$1005&lt;=$A370)*MOVIMIENTOS!$E$5:$E$1005)+SUMPRODUCT((MOVIMIENTOS!$B$5:$B$1005="AJUSTE")*(MOVIMIENTOS!$C$5:$C$1005="P")*(MOVIMIENTOS!$D$5:$D$1005="jabas")*(MOVIMIENTOS!$A$5:$A$1005&lt;&gt;"")*(MOVIMIENTOS!$A$5:$A$1005&lt;=$A370)*MOVIMIENTOS!$E$5:$E$1005))</f>
        <v/>
      </c>
      <c r="D370" s="63" t="str">
        <f>IF($A370="","",SUMPRODUCT((MOVIMIENTOS!$B$5:$B$1005="SALDO INICIAL")*(MOVIMIENTOS!$C$5:$C$1005="C")*(MOVIMIENTOS!$D$5:$D$1005="jabas")*(MOVIMIENTOS!$A$5:$A$1005&lt;&gt;"")*(MOVIMIENTOS!$A$5:$A$1005&lt;=$A370)*MOVIMIENTOS!$E$5:$E$1005)+SUMPRODUCT((MOVIMIENTOS!$B$5:$B$1005="PROCESO")*(MOVIMIENTOS!$C$5:$C$1005="C")*(MOVIMIENTOS!$D$5:$D$1005="jabas")*(MOVIMIENTOS!$A$5:$A$1005&lt;&gt;"")*(MOVIMIENTOS!$A$5:$A$1005&lt;=$A370)*MOVIMIENTOS!$E$5:$E$1005)-SUMPRODUCT((MOVIMIENTOS!$B$5:$B$1005="ENVÍO A SUPESA")*(MOVIMIENTOS!$C$5:$C$1005="C")*(MOVIMIENTOS!$D$5:$D$1005="jabas")*(MOVIMIENTOS!$A$5:$A$1005&lt;&gt;"")*(MOVIMIENTOS!$A$5:$A$1005&lt;=$A370)*MOVIMIENTOS!$E$5:$E$1005)+SUMPRODUCT((MOVIMIENTOS!$B$5:$B$1005="DEVOLUCIÓN")*(MOVIMIENTOS!$C$5:$C$1005="C")*(MOVIMIENTOS!$D$5:$D$1005="jabas")*(MOVIMIENTOS!$A$5:$A$1005&lt;&gt;"")*(MOVIMIENTOS!$A$5:$A$1005&lt;=$A370)*MOVIMIENTOS!$E$5:$E$1005)-SUMPRODUCT((MOVIMIENTOS!$B$5:$B$1005="TRASIEGO")*(MOVIMIENTOS!$C$5:$C$1005="C")*(MOVIMIENTOS!$D$5:$D$1005="jabas")*(MOVIMIENTOS!$A$5:$A$1005&lt;&gt;"")*(MOVIMIENTOS!$A$5:$A$1005&lt;=$A370)*MOVIMIENTOS!$E$5:$E$1005)-SUMPRODUCT((MOVIMIENTOS!$B$5:$B$1005="REGALO")*(MOVIMIENTOS!$C$5:$C$1005="C")*(MOVIMIENTOS!$D$5:$D$1005="jabas")*(MOVIMIENTOS!$A$5:$A$1005&lt;&gt;"")*(MOVIMIENTOS!$A$5:$A$1005&lt;=$A370)*MOVIMIENTOS!$E$5:$E$1005)-SUMPRODUCT((MOVIMIENTOS!$B$5:$B$1005="VENTA")*(MOVIMIENTOS!$C$5:$C$1005="C")*(MOVIMIENTOS!$D$5:$D$1005="jabas")*(MOVIMIENTOS!$A$5:$A$1005&lt;&gt;"")*(MOVIMIENTOS!$A$5:$A$1005&lt;=$A370)*MOVIMIENTOS!$E$5:$E$1005)+SUMPRODUCT((MOVIMIENTOS!$B$5:$B$1005="AJUSTE")*(MOVIMIENTOS!$C$5:$C$1005="C")*(MOVIMIENTOS!$D$5:$D$1005="jabas")*(MOVIMIENTOS!$A$5:$A$1005&lt;&gt;"")*(MOVIMIENTOS!$A$5:$A$1005&lt;=$A370)*MOVIMIENTOS!$E$5:$E$1005))</f>
        <v/>
      </c>
      <c r="E370" s="63" t="str">
        <f>IF($A370="","",SUMPRODUCT((MOVIMIENTOS!$B$5:$B$1005="SALDO INICIAL")*(MOVIMIENTOS!$C$5:$C$1005="M")*(MOVIMIENTOS!$D$5:$D$1005="jabas")*(MOVIMIENTOS!$A$5:$A$1005&lt;&gt;"")*(MOVIMIENTOS!$A$5:$A$1005&lt;=$A370)*MOVIMIENTOS!$E$5:$E$1005)+SUMPRODUCT((MOVIMIENTOS!$B$5:$B$1005="PROCESO")*(MOVIMIENTOS!$C$5:$C$1005="M")*(MOVIMIENTOS!$D$5:$D$1005="jabas")*(MOVIMIENTOS!$A$5:$A$1005&lt;&gt;"")*(MOVIMIENTOS!$A$5:$A$1005&lt;=$A370)*MOVIMIENTOS!$E$5:$E$1005)-SUMPRODUCT((MOVIMIENTOS!$B$5:$B$1005="ENVÍO A SUPESA")*(MOVIMIENTOS!$C$5:$C$1005="M")*(MOVIMIENTOS!$D$5:$D$1005="jabas")*(MOVIMIENTOS!$A$5:$A$1005&lt;&gt;"")*(MOVIMIENTOS!$A$5:$A$1005&lt;=$A370)*MOVIMIENTOS!$E$5:$E$1005)+SUMPRODUCT((MOVIMIENTOS!$B$5:$B$1005="DEVOLUCIÓN")*(MOVIMIENTOS!$C$5:$C$1005="M")*(MOVIMIENTOS!$D$5:$D$1005="jabas")*(MOVIMIENTOS!$A$5:$A$1005&lt;&gt;"")*(MOVIMIENTOS!$A$5:$A$1005&lt;=$A370)*MOVIMIENTOS!$E$5:$E$1005)-SUMPRODUCT((MOVIMIENTOS!$B$5:$B$1005="TRASIEGO")*(MOVIMIENTOS!$C$5:$C$1005="M")*(MOVIMIENTOS!$D$5:$D$1005="jabas")*(MOVIMIENTOS!$A$5:$A$1005&lt;&gt;"")*(MOVIMIENTOS!$A$5:$A$1005&lt;=$A370)*MOVIMIENTOS!$E$5:$E$1005)-SUMPRODUCT((MOVIMIENTOS!$B$5:$B$1005="REGALO")*(MOVIMIENTOS!$C$5:$C$1005="M")*(MOVIMIENTOS!$D$5:$D$1005="jabas")*(MOVIMIENTOS!$A$5:$A$1005&lt;&gt;"")*(MOVIMIENTOS!$A$5:$A$1005&lt;=$A370)*MOVIMIENTOS!$E$5:$E$1005)-SUMPRODUCT((MOVIMIENTOS!$B$5:$B$1005="VENTA")*(MOVIMIENTOS!$C$5:$C$1005="M")*(MOVIMIENTOS!$D$5:$D$1005="jabas")*(MOVIMIENTOS!$A$5:$A$1005&lt;&gt;"")*(MOVIMIENTOS!$A$5:$A$1005&lt;=$A370)*MOVIMIENTOS!$E$5:$E$1005)+SUMPRODUCT((MOVIMIENTOS!$B$5:$B$1005="AJUSTE")*(MOVIMIENTOS!$C$5:$C$1005="M")*(MOVIMIENTOS!$D$5:$D$1005="jabas")*(MOVIMIENTOS!$A$5:$A$1005&lt;&gt;"")*(MOVIMIENTOS!$A$5:$A$1005&lt;=$A370)*MOVIMIENTOS!$E$5:$E$1005))</f>
        <v/>
      </c>
      <c r="F370" s="63" t="str">
        <f>IF($A370="","",SUMPRODUCT((MOVIMIENTOS!$B$5:$B$1005="SALDO INICIAL")*(MOVIMIENTOS!$C$5:$C$1005="Chancho")*(MOVIMIENTOS!$D$5:$D$1005="sacos")*(MOVIMIENTOS!$A$5:$A$1005&lt;&gt;"")*(MOVIMIENTOS!$A$5:$A$1005&lt;=$A370)*MOVIMIENTOS!$E$5:$E$1005)+SUMPRODUCT((MOVIMIENTOS!$B$5:$B$1005="PROCESO")*(MOVIMIENTOS!$C$5:$C$1005="Chancho")*(MOVIMIENTOS!$D$5:$D$1005="sacos")*(MOVIMIENTOS!$A$5:$A$1005&lt;&gt;"")*(MOVIMIENTOS!$A$5:$A$1005&lt;=$A370)*MOVIMIENTOS!$E$5:$E$1005)-SUMPRODUCT((MOVIMIENTOS!$B$5:$B$1005="VENTA CHANCHO")*(MOVIMIENTOS!$C$5:$C$1005="Chancho")*(MOVIMIENTOS!$D$5:$D$1005="sacos")*(MOVIMIENTOS!$A$5:$A$1005&lt;&gt;"")*(MOVIMIENTOS!$A$5:$A$1005&lt;=$A370)*MOVIMIENTOS!$E$5:$E$1005)-SUMPRODUCT((MOVIMIENTOS!$B$5:$B$1005="REGALO")*(MOVIMIENTOS!$C$5:$C$1005="Chancho")*(MOVIMIENTOS!$D$5:$D$1005="sacos")*(MOVIMIENTOS!$A$5:$A$1005&lt;&gt;"")*(MOVIMIENTOS!$A$5:$A$1005&lt;=$A370)*MOVIMIENTOS!$E$5:$E$1005)-SUMPRODUCT((MOVIMIENTOS!$B$5:$B$1005="VENTA")*(MOVIMIENTOS!$C$5:$C$1005="Chancho")*(MOVIMIENTOS!$D$5:$D$1005="sacos")*(MOVIMIENTOS!$A$5:$A$1005&lt;&gt;"")*(MOVIMIENTOS!$A$5:$A$1005&lt;=$A370)*MOVIMIENTOS!$E$5:$E$1005)+SUMPRODUCT((MOVIMIENTOS!$B$5:$B$1005="AJUSTE")*(MOVIMIENTOS!$C$5:$C$1005="Chancho")*(MOVIMIENTOS!$D$5:$D$1005="sacos")*(MOVIMIENTOS!$A$5:$A$1005&lt;&gt;"")*(MOVIMIENTOS!$A$5:$A$1005&lt;=$A370)*MOVIMIENTOS!$E$5:$E$1005))</f>
        <v/>
      </c>
      <c r="G370" s="95" t="str">
        <f t="shared" si="11"/>
        <v/>
      </c>
      <c r="H370" s="63" t="str">
        <f>IF($A370="","",SUMPRODUCT((((MOVIMIENTOS!$B$5:$B$1005="SALDO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370)*MOVIMIENTOS!$J$5:$J$1005))</f>
        <v/>
      </c>
      <c r="I370" s="63"/>
      <c r="J370" s="63" t="str">
        <f>IF(AND(MOVIMIENTOS!$A371&lt;&gt;"",COUNTIF(MOVIMIENTOS!$A$5:$A370,MOVIMIENTOS!$A371)=0),COUNT(J$4:J369)+1,"")</f>
        <v/>
      </c>
      <c r="K370" s="66">
        <f>MOVIMIENTOS!$A371</f>
        <v>46246</v>
      </c>
      <c r="L370" s="63"/>
      <c r="M370" s="63"/>
      <c r="N370" s="63"/>
    </row>
    <row r="371" spans="1:14" ht="15" customHeight="1" x14ac:dyDescent="0.2">
      <c r="A371" s="63" t="str">
        <f t="shared" si="10"/>
        <v/>
      </c>
      <c r="B371" s="63" t="str">
        <f>IF($A371="","",SUMPRODUCT((MOVIMIENTOS!$B$5:$B$1005="SALDO INICIAL")*(MOVIMIENTOS!$C$5:$C$1005="A")*(MOVIMIENTOS!$D$5:$D$1005="jabas")*(MOVIMIENTOS!$A$5:$A$1005&lt;&gt;"")*(MOVIMIENTOS!$A$5:$A$1005&lt;=$A371)*MOVIMIENTOS!$E$5:$E$1005)+SUMPRODUCT((MOVIMIENTOS!$B$5:$B$1005="PROCESO")*(MOVIMIENTOS!$C$5:$C$1005="A")*(MOVIMIENTOS!$D$5:$D$1005="jabas")*(MOVIMIENTOS!$A$5:$A$1005&lt;&gt;"")*(MOVIMIENTOS!$A$5:$A$1005&lt;=$A371)*MOVIMIENTOS!$E$5:$E$1005)-SUMPRODUCT((MOVIMIENTOS!$B$5:$B$1005="ENVÍO A SUPESA")*(MOVIMIENTOS!$C$5:$C$1005="A")*(MOVIMIENTOS!$D$5:$D$1005="jabas")*(MOVIMIENTOS!$A$5:$A$1005&lt;&gt;"")*(MOVIMIENTOS!$A$5:$A$1005&lt;=$A371)*MOVIMIENTOS!$E$5:$E$1005)+SUMPRODUCT((MOVIMIENTOS!$B$5:$B$1005="DEVOLUCIÓN")*(MOVIMIENTOS!$C$5:$C$1005="A")*(MOVIMIENTOS!$D$5:$D$1005="jabas")*(MOVIMIENTOS!$A$5:$A$1005&lt;&gt;"")*(MOVIMIENTOS!$A$5:$A$1005&lt;=$A371)*MOVIMIENTOS!$E$5:$E$1005)-SUMPRODUCT((MOVIMIENTOS!$B$5:$B$1005="TRASIEGO")*(MOVIMIENTOS!$C$5:$C$1005="A")*(MOVIMIENTOS!$D$5:$D$1005="jabas")*(MOVIMIENTOS!$A$5:$A$1005&lt;&gt;"")*(MOVIMIENTOS!$A$5:$A$1005&lt;=$A371)*MOVIMIENTOS!$E$5:$E$1005)-SUMPRODUCT((MOVIMIENTOS!$B$5:$B$1005="REGALO")*(MOVIMIENTOS!$C$5:$C$1005="A")*(MOVIMIENTOS!$D$5:$D$1005="jabas")*(MOVIMIENTOS!$A$5:$A$1005&lt;&gt;"")*(MOVIMIENTOS!$A$5:$A$1005&lt;=$A371)*MOVIMIENTOS!$E$5:$E$1005)-SUMPRODUCT((MOVIMIENTOS!$B$5:$B$1005="VENTA")*(MOVIMIENTOS!$C$5:$C$1005="A")*(MOVIMIENTOS!$D$5:$D$1005="jabas")*(MOVIMIENTOS!$A$5:$A$1005&lt;&gt;"")*(MOVIMIENTOS!$A$5:$A$1005&lt;=$A371)*MOVIMIENTOS!$E$5:$E$1005)+SUMPRODUCT((MOVIMIENTOS!$B$5:$B$1005="AJUSTE")*(MOVIMIENTOS!$C$5:$C$1005="A")*(MOVIMIENTOS!$D$5:$D$1005="jabas")*(MOVIMIENTOS!$A$5:$A$1005&lt;&gt;"")*(MOVIMIENTOS!$A$5:$A$1005&lt;=$A371)*MOVIMIENTOS!$E$5:$E$1005))</f>
        <v/>
      </c>
      <c r="C371" s="63" t="str">
        <f>IF($A371="","",SUMPRODUCT((MOVIMIENTOS!$B$5:$B$1005="SALDO INICIAL")*(MOVIMIENTOS!$C$5:$C$1005="P")*(MOVIMIENTOS!$D$5:$D$1005="jabas")*(MOVIMIENTOS!$A$5:$A$1005&lt;&gt;"")*(MOVIMIENTOS!$A$5:$A$1005&lt;=$A371)*MOVIMIENTOS!$E$5:$E$1005)+SUMPRODUCT((MOVIMIENTOS!$B$5:$B$1005="PROCESO")*(MOVIMIENTOS!$C$5:$C$1005="P")*(MOVIMIENTOS!$D$5:$D$1005="jabas")*(MOVIMIENTOS!$A$5:$A$1005&lt;&gt;"")*(MOVIMIENTOS!$A$5:$A$1005&lt;=$A371)*MOVIMIENTOS!$E$5:$E$1005)-SUMPRODUCT((MOVIMIENTOS!$B$5:$B$1005="ENVÍO A SUPESA")*(MOVIMIENTOS!$C$5:$C$1005="P")*(MOVIMIENTOS!$D$5:$D$1005="jabas")*(MOVIMIENTOS!$A$5:$A$1005&lt;&gt;"")*(MOVIMIENTOS!$A$5:$A$1005&lt;=$A371)*MOVIMIENTOS!$E$5:$E$1005)+SUMPRODUCT((MOVIMIENTOS!$B$5:$B$1005="DEVOLUCIÓN")*(MOVIMIENTOS!$C$5:$C$1005="P")*(MOVIMIENTOS!$D$5:$D$1005="jabas")*(MOVIMIENTOS!$A$5:$A$1005&lt;&gt;"")*(MOVIMIENTOS!$A$5:$A$1005&lt;=$A371)*MOVIMIENTOS!$E$5:$E$1005)-SUMPRODUCT((MOVIMIENTOS!$B$5:$B$1005="TRASIEGO")*(MOVIMIENTOS!$C$5:$C$1005="P")*(MOVIMIENTOS!$D$5:$D$1005="jabas")*(MOVIMIENTOS!$A$5:$A$1005&lt;&gt;"")*(MOVIMIENTOS!$A$5:$A$1005&lt;=$A371)*MOVIMIENTOS!$E$5:$E$1005)-SUMPRODUCT((MOVIMIENTOS!$B$5:$B$1005="REGALO")*(MOVIMIENTOS!$C$5:$C$1005="P")*(MOVIMIENTOS!$D$5:$D$1005="jabas")*(MOVIMIENTOS!$A$5:$A$1005&lt;&gt;"")*(MOVIMIENTOS!$A$5:$A$1005&lt;=$A371)*MOVIMIENTOS!$E$5:$E$1005)-SUMPRODUCT((MOVIMIENTOS!$B$5:$B$1005="VENTA")*(MOVIMIENTOS!$C$5:$C$1005="P")*(MOVIMIENTOS!$D$5:$D$1005="jabas")*(MOVIMIENTOS!$A$5:$A$1005&lt;&gt;"")*(MOVIMIENTOS!$A$5:$A$1005&lt;=$A371)*MOVIMIENTOS!$E$5:$E$1005)+SUMPRODUCT((MOVIMIENTOS!$B$5:$B$1005="AJUSTE")*(MOVIMIENTOS!$C$5:$C$1005="P")*(MOVIMIENTOS!$D$5:$D$1005="jabas")*(MOVIMIENTOS!$A$5:$A$1005&lt;&gt;"")*(MOVIMIENTOS!$A$5:$A$1005&lt;=$A371)*MOVIMIENTOS!$E$5:$E$1005))</f>
        <v/>
      </c>
      <c r="D371" s="63" t="str">
        <f>IF($A371="","",SUMPRODUCT((MOVIMIENTOS!$B$5:$B$1005="SALDO INICIAL")*(MOVIMIENTOS!$C$5:$C$1005="C")*(MOVIMIENTOS!$D$5:$D$1005="jabas")*(MOVIMIENTOS!$A$5:$A$1005&lt;&gt;"")*(MOVIMIENTOS!$A$5:$A$1005&lt;=$A371)*MOVIMIENTOS!$E$5:$E$1005)+SUMPRODUCT((MOVIMIENTOS!$B$5:$B$1005="PROCESO")*(MOVIMIENTOS!$C$5:$C$1005="C")*(MOVIMIENTOS!$D$5:$D$1005="jabas")*(MOVIMIENTOS!$A$5:$A$1005&lt;&gt;"")*(MOVIMIENTOS!$A$5:$A$1005&lt;=$A371)*MOVIMIENTOS!$E$5:$E$1005)-SUMPRODUCT((MOVIMIENTOS!$B$5:$B$1005="ENVÍO A SUPESA")*(MOVIMIENTOS!$C$5:$C$1005="C")*(MOVIMIENTOS!$D$5:$D$1005="jabas")*(MOVIMIENTOS!$A$5:$A$1005&lt;&gt;"")*(MOVIMIENTOS!$A$5:$A$1005&lt;=$A371)*MOVIMIENTOS!$E$5:$E$1005)+SUMPRODUCT((MOVIMIENTOS!$B$5:$B$1005="DEVOLUCIÓN")*(MOVIMIENTOS!$C$5:$C$1005="C")*(MOVIMIENTOS!$D$5:$D$1005="jabas")*(MOVIMIENTOS!$A$5:$A$1005&lt;&gt;"")*(MOVIMIENTOS!$A$5:$A$1005&lt;=$A371)*MOVIMIENTOS!$E$5:$E$1005)-SUMPRODUCT((MOVIMIENTOS!$B$5:$B$1005="TRASIEGO")*(MOVIMIENTOS!$C$5:$C$1005="C")*(MOVIMIENTOS!$D$5:$D$1005="jabas")*(MOVIMIENTOS!$A$5:$A$1005&lt;&gt;"")*(MOVIMIENTOS!$A$5:$A$1005&lt;=$A371)*MOVIMIENTOS!$E$5:$E$1005)-SUMPRODUCT((MOVIMIENTOS!$B$5:$B$1005="REGALO")*(MOVIMIENTOS!$C$5:$C$1005="C")*(MOVIMIENTOS!$D$5:$D$1005="jabas")*(MOVIMIENTOS!$A$5:$A$1005&lt;&gt;"")*(MOVIMIENTOS!$A$5:$A$1005&lt;=$A371)*MOVIMIENTOS!$E$5:$E$1005)-SUMPRODUCT((MOVIMIENTOS!$B$5:$B$1005="VENTA")*(MOVIMIENTOS!$C$5:$C$1005="C")*(MOVIMIENTOS!$D$5:$D$1005="jabas")*(MOVIMIENTOS!$A$5:$A$1005&lt;&gt;"")*(MOVIMIENTOS!$A$5:$A$1005&lt;=$A371)*MOVIMIENTOS!$E$5:$E$1005)+SUMPRODUCT((MOVIMIENTOS!$B$5:$B$1005="AJUSTE")*(MOVIMIENTOS!$C$5:$C$1005="C")*(MOVIMIENTOS!$D$5:$D$1005="jabas")*(MOVIMIENTOS!$A$5:$A$1005&lt;&gt;"")*(MOVIMIENTOS!$A$5:$A$1005&lt;=$A371)*MOVIMIENTOS!$E$5:$E$1005))</f>
        <v/>
      </c>
      <c r="E371" s="63" t="str">
        <f>IF($A371="","",SUMPRODUCT((MOVIMIENTOS!$B$5:$B$1005="SALDO INICIAL")*(MOVIMIENTOS!$C$5:$C$1005="M")*(MOVIMIENTOS!$D$5:$D$1005="jabas")*(MOVIMIENTOS!$A$5:$A$1005&lt;&gt;"")*(MOVIMIENTOS!$A$5:$A$1005&lt;=$A371)*MOVIMIENTOS!$E$5:$E$1005)+SUMPRODUCT((MOVIMIENTOS!$B$5:$B$1005="PROCESO")*(MOVIMIENTOS!$C$5:$C$1005="M")*(MOVIMIENTOS!$D$5:$D$1005="jabas")*(MOVIMIENTOS!$A$5:$A$1005&lt;&gt;"")*(MOVIMIENTOS!$A$5:$A$1005&lt;=$A371)*MOVIMIENTOS!$E$5:$E$1005)-SUMPRODUCT((MOVIMIENTOS!$B$5:$B$1005="ENVÍO A SUPESA")*(MOVIMIENTOS!$C$5:$C$1005="M")*(MOVIMIENTOS!$D$5:$D$1005="jabas")*(MOVIMIENTOS!$A$5:$A$1005&lt;&gt;"")*(MOVIMIENTOS!$A$5:$A$1005&lt;=$A371)*MOVIMIENTOS!$E$5:$E$1005)+SUMPRODUCT((MOVIMIENTOS!$B$5:$B$1005="DEVOLUCIÓN")*(MOVIMIENTOS!$C$5:$C$1005="M")*(MOVIMIENTOS!$D$5:$D$1005="jabas")*(MOVIMIENTOS!$A$5:$A$1005&lt;&gt;"")*(MOVIMIENTOS!$A$5:$A$1005&lt;=$A371)*MOVIMIENTOS!$E$5:$E$1005)-SUMPRODUCT((MOVIMIENTOS!$B$5:$B$1005="TRASIEGO")*(MOVIMIENTOS!$C$5:$C$1005="M")*(MOVIMIENTOS!$D$5:$D$1005="jabas")*(MOVIMIENTOS!$A$5:$A$1005&lt;&gt;"")*(MOVIMIENTOS!$A$5:$A$1005&lt;=$A371)*MOVIMIENTOS!$E$5:$E$1005)-SUMPRODUCT((MOVIMIENTOS!$B$5:$B$1005="REGALO")*(MOVIMIENTOS!$C$5:$C$1005="M")*(MOVIMIENTOS!$D$5:$D$1005="jabas")*(MOVIMIENTOS!$A$5:$A$1005&lt;&gt;"")*(MOVIMIENTOS!$A$5:$A$1005&lt;=$A371)*MOVIMIENTOS!$E$5:$E$1005)-SUMPRODUCT((MOVIMIENTOS!$B$5:$B$1005="VENTA")*(MOVIMIENTOS!$C$5:$C$1005="M")*(MOVIMIENTOS!$D$5:$D$1005="jabas")*(MOVIMIENTOS!$A$5:$A$1005&lt;&gt;"")*(MOVIMIENTOS!$A$5:$A$1005&lt;=$A371)*MOVIMIENTOS!$E$5:$E$1005)+SUMPRODUCT((MOVIMIENTOS!$B$5:$B$1005="AJUSTE")*(MOVIMIENTOS!$C$5:$C$1005="M")*(MOVIMIENTOS!$D$5:$D$1005="jabas")*(MOVIMIENTOS!$A$5:$A$1005&lt;&gt;"")*(MOVIMIENTOS!$A$5:$A$1005&lt;=$A371)*MOVIMIENTOS!$E$5:$E$1005))</f>
        <v/>
      </c>
      <c r="F371" s="63" t="str">
        <f>IF($A371="","",SUMPRODUCT((MOVIMIENTOS!$B$5:$B$1005="SALDO INICIAL")*(MOVIMIENTOS!$C$5:$C$1005="Chancho")*(MOVIMIENTOS!$D$5:$D$1005="sacos")*(MOVIMIENTOS!$A$5:$A$1005&lt;&gt;"")*(MOVIMIENTOS!$A$5:$A$1005&lt;=$A371)*MOVIMIENTOS!$E$5:$E$1005)+SUMPRODUCT((MOVIMIENTOS!$B$5:$B$1005="PROCESO")*(MOVIMIENTOS!$C$5:$C$1005="Chancho")*(MOVIMIENTOS!$D$5:$D$1005="sacos")*(MOVIMIENTOS!$A$5:$A$1005&lt;&gt;"")*(MOVIMIENTOS!$A$5:$A$1005&lt;=$A371)*MOVIMIENTOS!$E$5:$E$1005)-SUMPRODUCT((MOVIMIENTOS!$B$5:$B$1005="VENTA CHANCHO")*(MOVIMIENTOS!$C$5:$C$1005="Chancho")*(MOVIMIENTOS!$D$5:$D$1005="sacos")*(MOVIMIENTOS!$A$5:$A$1005&lt;&gt;"")*(MOVIMIENTOS!$A$5:$A$1005&lt;=$A371)*MOVIMIENTOS!$E$5:$E$1005)-SUMPRODUCT((MOVIMIENTOS!$B$5:$B$1005="REGALO")*(MOVIMIENTOS!$C$5:$C$1005="Chancho")*(MOVIMIENTOS!$D$5:$D$1005="sacos")*(MOVIMIENTOS!$A$5:$A$1005&lt;&gt;"")*(MOVIMIENTOS!$A$5:$A$1005&lt;=$A371)*MOVIMIENTOS!$E$5:$E$1005)-SUMPRODUCT((MOVIMIENTOS!$B$5:$B$1005="VENTA")*(MOVIMIENTOS!$C$5:$C$1005="Chancho")*(MOVIMIENTOS!$D$5:$D$1005="sacos")*(MOVIMIENTOS!$A$5:$A$1005&lt;&gt;"")*(MOVIMIENTOS!$A$5:$A$1005&lt;=$A371)*MOVIMIENTOS!$E$5:$E$1005)+SUMPRODUCT((MOVIMIENTOS!$B$5:$B$1005="AJUSTE")*(MOVIMIENTOS!$C$5:$C$1005="Chancho")*(MOVIMIENTOS!$D$5:$D$1005="sacos")*(MOVIMIENTOS!$A$5:$A$1005&lt;&gt;"")*(MOVIMIENTOS!$A$5:$A$1005&lt;=$A371)*MOVIMIENTOS!$E$5:$E$1005))</f>
        <v/>
      </c>
      <c r="G371" s="95" t="str">
        <f t="shared" si="11"/>
        <v/>
      </c>
      <c r="H371" s="63" t="str">
        <f>IF($A371="","",SUMPRODUCT((((MOVIMIENTOS!$B$5:$B$1005="SALDO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371)*MOVIMIENTOS!$J$5:$J$1005))</f>
        <v/>
      </c>
      <c r="I371" s="63"/>
      <c r="J371" s="63" t="str">
        <f>IF(AND(MOVIMIENTOS!$A372&lt;&gt;"",COUNTIF(MOVIMIENTOS!$A$5:$A371,MOVIMIENTOS!$A372)=0),COUNT(J$4:J370)+1,"")</f>
        <v/>
      </c>
      <c r="K371" s="66">
        <f>MOVIMIENTOS!$A372</f>
        <v>46246</v>
      </c>
      <c r="L371" s="63"/>
      <c r="M371" s="63"/>
      <c r="N371" s="63"/>
    </row>
    <row r="372" spans="1:14" ht="15" customHeight="1" x14ac:dyDescent="0.2">
      <c r="A372" s="63" t="str">
        <f t="shared" si="10"/>
        <v/>
      </c>
      <c r="B372" s="63" t="str">
        <f>IF($A372="","",SUMPRODUCT((MOVIMIENTOS!$B$5:$B$1005="SALDO INICIAL")*(MOVIMIENTOS!$C$5:$C$1005="A")*(MOVIMIENTOS!$D$5:$D$1005="jabas")*(MOVIMIENTOS!$A$5:$A$1005&lt;&gt;"")*(MOVIMIENTOS!$A$5:$A$1005&lt;=$A372)*MOVIMIENTOS!$E$5:$E$1005)+SUMPRODUCT((MOVIMIENTOS!$B$5:$B$1005="PROCESO")*(MOVIMIENTOS!$C$5:$C$1005="A")*(MOVIMIENTOS!$D$5:$D$1005="jabas")*(MOVIMIENTOS!$A$5:$A$1005&lt;&gt;"")*(MOVIMIENTOS!$A$5:$A$1005&lt;=$A372)*MOVIMIENTOS!$E$5:$E$1005)-SUMPRODUCT((MOVIMIENTOS!$B$5:$B$1005="ENVÍO A SUPESA")*(MOVIMIENTOS!$C$5:$C$1005="A")*(MOVIMIENTOS!$D$5:$D$1005="jabas")*(MOVIMIENTOS!$A$5:$A$1005&lt;&gt;"")*(MOVIMIENTOS!$A$5:$A$1005&lt;=$A372)*MOVIMIENTOS!$E$5:$E$1005)+SUMPRODUCT((MOVIMIENTOS!$B$5:$B$1005="DEVOLUCIÓN")*(MOVIMIENTOS!$C$5:$C$1005="A")*(MOVIMIENTOS!$D$5:$D$1005="jabas")*(MOVIMIENTOS!$A$5:$A$1005&lt;&gt;"")*(MOVIMIENTOS!$A$5:$A$1005&lt;=$A372)*MOVIMIENTOS!$E$5:$E$1005)-SUMPRODUCT((MOVIMIENTOS!$B$5:$B$1005="TRASIEGO")*(MOVIMIENTOS!$C$5:$C$1005="A")*(MOVIMIENTOS!$D$5:$D$1005="jabas")*(MOVIMIENTOS!$A$5:$A$1005&lt;&gt;"")*(MOVIMIENTOS!$A$5:$A$1005&lt;=$A372)*MOVIMIENTOS!$E$5:$E$1005)-SUMPRODUCT((MOVIMIENTOS!$B$5:$B$1005="REGALO")*(MOVIMIENTOS!$C$5:$C$1005="A")*(MOVIMIENTOS!$D$5:$D$1005="jabas")*(MOVIMIENTOS!$A$5:$A$1005&lt;&gt;"")*(MOVIMIENTOS!$A$5:$A$1005&lt;=$A372)*MOVIMIENTOS!$E$5:$E$1005)-SUMPRODUCT((MOVIMIENTOS!$B$5:$B$1005="VENTA")*(MOVIMIENTOS!$C$5:$C$1005="A")*(MOVIMIENTOS!$D$5:$D$1005="jabas")*(MOVIMIENTOS!$A$5:$A$1005&lt;&gt;"")*(MOVIMIENTOS!$A$5:$A$1005&lt;=$A372)*MOVIMIENTOS!$E$5:$E$1005)+SUMPRODUCT((MOVIMIENTOS!$B$5:$B$1005="AJUSTE")*(MOVIMIENTOS!$C$5:$C$1005="A")*(MOVIMIENTOS!$D$5:$D$1005="jabas")*(MOVIMIENTOS!$A$5:$A$1005&lt;&gt;"")*(MOVIMIENTOS!$A$5:$A$1005&lt;=$A372)*MOVIMIENTOS!$E$5:$E$1005))</f>
        <v/>
      </c>
      <c r="C372" s="63" t="str">
        <f>IF($A372="","",SUMPRODUCT((MOVIMIENTOS!$B$5:$B$1005="SALDO INICIAL")*(MOVIMIENTOS!$C$5:$C$1005="P")*(MOVIMIENTOS!$D$5:$D$1005="jabas")*(MOVIMIENTOS!$A$5:$A$1005&lt;&gt;"")*(MOVIMIENTOS!$A$5:$A$1005&lt;=$A372)*MOVIMIENTOS!$E$5:$E$1005)+SUMPRODUCT((MOVIMIENTOS!$B$5:$B$1005="PROCESO")*(MOVIMIENTOS!$C$5:$C$1005="P")*(MOVIMIENTOS!$D$5:$D$1005="jabas")*(MOVIMIENTOS!$A$5:$A$1005&lt;&gt;"")*(MOVIMIENTOS!$A$5:$A$1005&lt;=$A372)*MOVIMIENTOS!$E$5:$E$1005)-SUMPRODUCT((MOVIMIENTOS!$B$5:$B$1005="ENVÍO A SUPESA")*(MOVIMIENTOS!$C$5:$C$1005="P")*(MOVIMIENTOS!$D$5:$D$1005="jabas")*(MOVIMIENTOS!$A$5:$A$1005&lt;&gt;"")*(MOVIMIENTOS!$A$5:$A$1005&lt;=$A372)*MOVIMIENTOS!$E$5:$E$1005)+SUMPRODUCT((MOVIMIENTOS!$B$5:$B$1005="DEVOLUCIÓN")*(MOVIMIENTOS!$C$5:$C$1005="P")*(MOVIMIENTOS!$D$5:$D$1005="jabas")*(MOVIMIENTOS!$A$5:$A$1005&lt;&gt;"")*(MOVIMIENTOS!$A$5:$A$1005&lt;=$A372)*MOVIMIENTOS!$E$5:$E$1005)-SUMPRODUCT((MOVIMIENTOS!$B$5:$B$1005="TRASIEGO")*(MOVIMIENTOS!$C$5:$C$1005="P")*(MOVIMIENTOS!$D$5:$D$1005="jabas")*(MOVIMIENTOS!$A$5:$A$1005&lt;&gt;"")*(MOVIMIENTOS!$A$5:$A$1005&lt;=$A372)*MOVIMIENTOS!$E$5:$E$1005)-SUMPRODUCT((MOVIMIENTOS!$B$5:$B$1005="REGALO")*(MOVIMIENTOS!$C$5:$C$1005="P")*(MOVIMIENTOS!$D$5:$D$1005="jabas")*(MOVIMIENTOS!$A$5:$A$1005&lt;&gt;"")*(MOVIMIENTOS!$A$5:$A$1005&lt;=$A372)*MOVIMIENTOS!$E$5:$E$1005)-SUMPRODUCT((MOVIMIENTOS!$B$5:$B$1005="VENTA")*(MOVIMIENTOS!$C$5:$C$1005="P")*(MOVIMIENTOS!$D$5:$D$1005="jabas")*(MOVIMIENTOS!$A$5:$A$1005&lt;&gt;"")*(MOVIMIENTOS!$A$5:$A$1005&lt;=$A372)*MOVIMIENTOS!$E$5:$E$1005)+SUMPRODUCT((MOVIMIENTOS!$B$5:$B$1005="AJUSTE")*(MOVIMIENTOS!$C$5:$C$1005="P")*(MOVIMIENTOS!$D$5:$D$1005="jabas")*(MOVIMIENTOS!$A$5:$A$1005&lt;&gt;"")*(MOVIMIENTOS!$A$5:$A$1005&lt;=$A372)*MOVIMIENTOS!$E$5:$E$1005))</f>
        <v/>
      </c>
      <c r="D372" s="63" t="str">
        <f>IF($A372="","",SUMPRODUCT((MOVIMIENTOS!$B$5:$B$1005="SALDO INICIAL")*(MOVIMIENTOS!$C$5:$C$1005="C")*(MOVIMIENTOS!$D$5:$D$1005="jabas")*(MOVIMIENTOS!$A$5:$A$1005&lt;&gt;"")*(MOVIMIENTOS!$A$5:$A$1005&lt;=$A372)*MOVIMIENTOS!$E$5:$E$1005)+SUMPRODUCT((MOVIMIENTOS!$B$5:$B$1005="PROCESO")*(MOVIMIENTOS!$C$5:$C$1005="C")*(MOVIMIENTOS!$D$5:$D$1005="jabas")*(MOVIMIENTOS!$A$5:$A$1005&lt;&gt;"")*(MOVIMIENTOS!$A$5:$A$1005&lt;=$A372)*MOVIMIENTOS!$E$5:$E$1005)-SUMPRODUCT((MOVIMIENTOS!$B$5:$B$1005="ENVÍO A SUPESA")*(MOVIMIENTOS!$C$5:$C$1005="C")*(MOVIMIENTOS!$D$5:$D$1005="jabas")*(MOVIMIENTOS!$A$5:$A$1005&lt;&gt;"")*(MOVIMIENTOS!$A$5:$A$1005&lt;=$A372)*MOVIMIENTOS!$E$5:$E$1005)+SUMPRODUCT((MOVIMIENTOS!$B$5:$B$1005="DEVOLUCIÓN")*(MOVIMIENTOS!$C$5:$C$1005="C")*(MOVIMIENTOS!$D$5:$D$1005="jabas")*(MOVIMIENTOS!$A$5:$A$1005&lt;&gt;"")*(MOVIMIENTOS!$A$5:$A$1005&lt;=$A372)*MOVIMIENTOS!$E$5:$E$1005)-SUMPRODUCT((MOVIMIENTOS!$B$5:$B$1005="TRASIEGO")*(MOVIMIENTOS!$C$5:$C$1005="C")*(MOVIMIENTOS!$D$5:$D$1005="jabas")*(MOVIMIENTOS!$A$5:$A$1005&lt;&gt;"")*(MOVIMIENTOS!$A$5:$A$1005&lt;=$A372)*MOVIMIENTOS!$E$5:$E$1005)-SUMPRODUCT((MOVIMIENTOS!$B$5:$B$1005="REGALO")*(MOVIMIENTOS!$C$5:$C$1005="C")*(MOVIMIENTOS!$D$5:$D$1005="jabas")*(MOVIMIENTOS!$A$5:$A$1005&lt;&gt;"")*(MOVIMIENTOS!$A$5:$A$1005&lt;=$A372)*MOVIMIENTOS!$E$5:$E$1005)-SUMPRODUCT((MOVIMIENTOS!$B$5:$B$1005="VENTA")*(MOVIMIENTOS!$C$5:$C$1005="C")*(MOVIMIENTOS!$D$5:$D$1005="jabas")*(MOVIMIENTOS!$A$5:$A$1005&lt;&gt;"")*(MOVIMIENTOS!$A$5:$A$1005&lt;=$A372)*MOVIMIENTOS!$E$5:$E$1005)+SUMPRODUCT((MOVIMIENTOS!$B$5:$B$1005="AJUSTE")*(MOVIMIENTOS!$C$5:$C$1005="C")*(MOVIMIENTOS!$D$5:$D$1005="jabas")*(MOVIMIENTOS!$A$5:$A$1005&lt;&gt;"")*(MOVIMIENTOS!$A$5:$A$1005&lt;=$A372)*MOVIMIENTOS!$E$5:$E$1005))</f>
        <v/>
      </c>
      <c r="E372" s="63" t="str">
        <f>IF($A372="","",SUMPRODUCT((MOVIMIENTOS!$B$5:$B$1005="SALDO INICIAL")*(MOVIMIENTOS!$C$5:$C$1005="M")*(MOVIMIENTOS!$D$5:$D$1005="jabas")*(MOVIMIENTOS!$A$5:$A$1005&lt;&gt;"")*(MOVIMIENTOS!$A$5:$A$1005&lt;=$A372)*MOVIMIENTOS!$E$5:$E$1005)+SUMPRODUCT((MOVIMIENTOS!$B$5:$B$1005="PROCESO")*(MOVIMIENTOS!$C$5:$C$1005="M")*(MOVIMIENTOS!$D$5:$D$1005="jabas")*(MOVIMIENTOS!$A$5:$A$1005&lt;&gt;"")*(MOVIMIENTOS!$A$5:$A$1005&lt;=$A372)*MOVIMIENTOS!$E$5:$E$1005)-SUMPRODUCT((MOVIMIENTOS!$B$5:$B$1005="ENVÍO A SUPESA")*(MOVIMIENTOS!$C$5:$C$1005="M")*(MOVIMIENTOS!$D$5:$D$1005="jabas")*(MOVIMIENTOS!$A$5:$A$1005&lt;&gt;"")*(MOVIMIENTOS!$A$5:$A$1005&lt;=$A372)*MOVIMIENTOS!$E$5:$E$1005)+SUMPRODUCT((MOVIMIENTOS!$B$5:$B$1005="DEVOLUCIÓN")*(MOVIMIENTOS!$C$5:$C$1005="M")*(MOVIMIENTOS!$D$5:$D$1005="jabas")*(MOVIMIENTOS!$A$5:$A$1005&lt;&gt;"")*(MOVIMIENTOS!$A$5:$A$1005&lt;=$A372)*MOVIMIENTOS!$E$5:$E$1005)-SUMPRODUCT((MOVIMIENTOS!$B$5:$B$1005="TRASIEGO")*(MOVIMIENTOS!$C$5:$C$1005="M")*(MOVIMIENTOS!$D$5:$D$1005="jabas")*(MOVIMIENTOS!$A$5:$A$1005&lt;&gt;"")*(MOVIMIENTOS!$A$5:$A$1005&lt;=$A372)*MOVIMIENTOS!$E$5:$E$1005)-SUMPRODUCT((MOVIMIENTOS!$B$5:$B$1005="REGALO")*(MOVIMIENTOS!$C$5:$C$1005="M")*(MOVIMIENTOS!$D$5:$D$1005="jabas")*(MOVIMIENTOS!$A$5:$A$1005&lt;&gt;"")*(MOVIMIENTOS!$A$5:$A$1005&lt;=$A372)*MOVIMIENTOS!$E$5:$E$1005)-SUMPRODUCT((MOVIMIENTOS!$B$5:$B$1005="VENTA")*(MOVIMIENTOS!$C$5:$C$1005="M")*(MOVIMIENTOS!$D$5:$D$1005="jabas")*(MOVIMIENTOS!$A$5:$A$1005&lt;&gt;"")*(MOVIMIENTOS!$A$5:$A$1005&lt;=$A372)*MOVIMIENTOS!$E$5:$E$1005)+SUMPRODUCT((MOVIMIENTOS!$B$5:$B$1005="AJUSTE")*(MOVIMIENTOS!$C$5:$C$1005="M")*(MOVIMIENTOS!$D$5:$D$1005="jabas")*(MOVIMIENTOS!$A$5:$A$1005&lt;&gt;"")*(MOVIMIENTOS!$A$5:$A$1005&lt;=$A372)*MOVIMIENTOS!$E$5:$E$1005))</f>
        <v/>
      </c>
      <c r="F372" s="63" t="str">
        <f>IF($A372="","",SUMPRODUCT((MOVIMIENTOS!$B$5:$B$1005="SALDO INICIAL")*(MOVIMIENTOS!$C$5:$C$1005="Chancho")*(MOVIMIENTOS!$D$5:$D$1005="sacos")*(MOVIMIENTOS!$A$5:$A$1005&lt;&gt;"")*(MOVIMIENTOS!$A$5:$A$1005&lt;=$A372)*MOVIMIENTOS!$E$5:$E$1005)+SUMPRODUCT((MOVIMIENTOS!$B$5:$B$1005="PROCESO")*(MOVIMIENTOS!$C$5:$C$1005="Chancho")*(MOVIMIENTOS!$D$5:$D$1005="sacos")*(MOVIMIENTOS!$A$5:$A$1005&lt;&gt;"")*(MOVIMIENTOS!$A$5:$A$1005&lt;=$A372)*MOVIMIENTOS!$E$5:$E$1005)-SUMPRODUCT((MOVIMIENTOS!$B$5:$B$1005="VENTA CHANCHO")*(MOVIMIENTOS!$C$5:$C$1005="Chancho")*(MOVIMIENTOS!$D$5:$D$1005="sacos")*(MOVIMIENTOS!$A$5:$A$1005&lt;&gt;"")*(MOVIMIENTOS!$A$5:$A$1005&lt;=$A372)*MOVIMIENTOS!$E$5:$E$1005)-SUMPRODUCT((MOVIMIENTOS!$B$5:$B$1005="REGALO")*(MOVIMIENTOS!$C$5:$C$1005="Chancho")*(MOVIMIENTOS!$D$5:$D$1005="sacos")*(MOVIMIENTOS!$A$5:$A$1005&lt;&gt;"")*(MOVIMIENTOS!$A$5:$A$1005&lt;=$A372)*MOVIMIENTOS!$E$5:$E$1005)-SUMPRODUCT((MOVIMIENTOS!$B$5:$B$1005="VENTA")*(MOVIMIENTOS!$C$5:$C$1005="Chancho")*(MOVIMIENTOS!$D$5:$D$1005="sacos")*(MOVIMIENTOS!$A$5:$A$1005&lt;&gt;"")*(MOVIMIENTOS!$A$5:$A$1005&lt;=$A372)*MOVIMIENTOS!$E$5:$E$1005)+SUMPRODUCT((MOVIMIENTOS!$B$5:$B$1005="AJUSTE")*(MOVIMIENTOS!$C$5:$C$1005="Chancho")*(MOVIMIENTOS!$D$5:$D$1005="sacos")*(MOVIMIENTOS!$A$5:$A$1005&lt;&gt;"")*(MOVIMIENTOS!$A$5:$A$1005&lt;=$A372)*MOVIMIENTOS!$E$5:$E$1005))</f>
        <v/>
      </c>
      <c r="G372" s="95" t="str">
        <f t="shared" si="11"/>
        <v/>
      </c>
      <c r="H372" s="63" t="str">
        <f>IF($A372="","",SUMPRODUCT((((MOVIMIENTOS!$B$5:$B$1005="SALDO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372)*MOVIMIENTOS!$J$5:$J$1005))</f>
        <v/>
      </c>
      <c r="I372" s="63"/>
      <c r="J372" s="63" t="str">
        <f>IF(AND(MOVIMIENTOS!$A373&lt;&gt;"",COUNTIF(MOVIMIENTOS!$A$5:$A372,MOVIMIENTOS!$A373)=0),COUNT(J$4:J371)+1,"")</f>
        <v/>
      </c>
      <c r="K372" s="66">
        <f>MOVIMIENTOS!$A373</f>
        <v>46246</v>
      </c>
      <c r="L372" s="63"/>
      <c r="M372" s="63"/>
      <c r="N372" s="63"/>
    </row>
    <row r="373" spans="1:14" ht="15" customHeight="1" x14ac:dyDescent="0.2">
      <c r="A373" s="63" t="str">
        <f t="shared" si="10"/>
        <v/>
      </c>
      <c r="B373" s="63" t="str">
        <f>IF($A373="","",SUMPRODUCT((MOVIMIENTOS!$B$5:$B$1005="SALDO INICIAL")*(MOVIMIENTOS!$C$5:$C$1005="A")*(MOVIMIENTOS!$D$5:$D$1005="jabas")*(MOVIMIENTOS!$A$5:$A$1005&lt;&gt;"")*(MOVIMIENTOS!$A$5:$A$1005&lt;=$A373)*MOVIMIENTOS!$E$5:$E$1005)+SUMPRODUCT((MOVIMIENTOS!$B$5:$B$1005="PROCESO")*(MOVIMIENTOS!$C$5:$C$1005="A")*(MOVIMIENTOS!$D$5:$D$1005="jabas")*(MOVIMIENTOS!$A$5:$A$1005&lt;&gt;"")*(MOVIMIENTOS!$A$5:$A$1005&lt;=$A373)*MOVIMIENTOS!$E$5:$E$1005)-SUMPRODUCT((MOVIMIENTOS!$B$5:$B$1005="ENVÍO A SUPESA")*(MOVIMIENTOS!$C$5:$C$1005="A")*(MOVIMIENTOS!$D$5:$D$1005="jabas")*(MOVIMIENTOS!$A$5:$A$1005&lt;&gt;"")*(MOVIMIENTOS!$A$5:$A$1005&lt;=$A373)*MOVIMIENTOS!$E$5:$E$1005)+SUMPRODUCT((MOVIMIENTOS!$B$5:$B$1005="DEVOLUCIÓN")*(MOVIMIENTOS!$C$5:$C$1005="A")*(MOVIMIENTOS!$D$5:$D$1005="jabas")*(MOVIMIENTOS!$A$5:$A$1005&lt;&gt;"")*(MOVIMIENTOS!$A$5:$A$1005&lt;=$A373)*MOVIMIENTOS!$E$5:$E$1005)-SUMPRODUCT((MOVIMIENTOS!$B$5:$B$1005="TRASIEGO")*(MOVIMIENTOS!$C$5:$C$1005="A")*(MOVIMIENTOS!$D$5:$D$1005="jabas")*(MOVIMIENTOS!$A$5:$A$1005&lt;&gt;"")*(MOVIMIENTOS!$A$5:$A$1005&lt;=$A373)*MOVIMIENTOS!$E$5:$E$1005)-SUMPRODUCT((MOVIMIENTOS!$B$5:$B$1005="REGALO")*(MOVIMIENTOS!$C$5:$C$1005="A")*(MOVIMIENTOS!$D$5:$D$1005="jabas")*(MOVIMIENTOS!$A$5:$A$1005&lt;&gt;"")*(MOVIMIENTOS!$A$5:$A$1005&lt;=$A373)*MOVIMIENTOS!$E$5:$E$1005)-SUMPRODUCT((MOVIMIENTOS!$B$5:$B$1005="VENTA")*(MOVIMIENTOS!$C$5:$C$1005="A")*(MOVIMIENTOS!$D$5:$D$1005="jabas")*(MOVIMIENTOS!$A$5:$A$1005&lt;&gt;"")*(MOVIMIENTOS!$A$5:$A$1005&lt;=$A373)*MOVIMIENTOS!$E$5:$E$1005)+SUMPRODUCT((MOVIMIENTOS!$B$5:$B$1005="AJUSTE")*(MOVIMIENTOS!$C$5:$C$1005="A")*(MOVIMIENTOS!$D$5:$D$1005="jabas")*(MOVIMIENTOS!$A$5:$A$1005&lt;&gt;"")*(MOVIMIENTOS!$A$5:$A$1005&lt;=$A373)*MOVIMIENTOS!$E$5:$E$1005))</f>
        <v/>
      </c>
      <c r="C373" s="63" t="str">
        <f>IF($A373="","",SUMPRODUCT((MOVIMIENTOS!$B$5:$B$1005="SALDO INICIAL")*(MOVIMIENTOS!$C$5:$C$1005="P")*(MOVIMIENTOS!$D$5:$D$1005="jabas")*(MOVIMIENTOS!$A$5:$A$1005&lt;&gt;"")*(MOVIMIENTOS!$A$5:$A$1005&lt;=$A373)*MOVIMIENTOS!$E$5:$E$1005)+SUMPRODUCT((MOVIMIENTOS!$B$5:$B$1005="PROCESO")*(MOVIMIENTOS!$C$5:$C$1005="P")*(MOVIMIENTOS!$D$5:$D$1005="jabas")*(MOVIMIENTOS!$A$5:$A$1005&lt;&gt;"")*(MOVIMIENTOS!$A$5:$A$1005&lt;=$A373)*MOVIMIENTOS!$E$5:$E$1005)-SUMPRODUCT((MOVIMIENTOS!$B$5:$B$1005="ENVÍO A SUPESA")*(MOVIMIENTOS!$C$5:$C$1005="P")*(MOVIMIENTOS!$D$5:$D$1005="jabas")*(MOVIMIENTOS!$A$5:$A$1005&lt;&gt;"")*(MOVIMIENTOS!$A$5:$A$1005&lt;=$A373)*MOVIMIENTOS!$E$5:$E$1005)+SUMPRODUCT((MOVIMIENTOS!$B$5:$B$1005="DEVOLUCIÓN")*(MOVIMIENTOS!$C$5:$C$1005="P")*(MOVIMIENTOS!$D$5:$D$1005="jabas")*(MOVIMIENTOS!$A$5:$A$1005&lt;&gt;"")*(MOVIMIENTOS!$A$5:$A$1005&lt;=$A373)*MOVIMIENTOS!$E$5:$E$1005)-SUMPRODUCT((MOVIMIENTOS!$B$5:$B$1005="TRASIEGO")*(MOVIMIENTOS!$C$5:$C$1005="P")*(MOVIMIENTOS!$D$5:$D$1005="jabas")*(MOVIMIENTOS!$A$5:$A$1005&lt;&gt;"")*(MOVIMIENTOS!$A$5:$A$1005&lt;=$A373)*MOVIMIENTOS!$E$5:$E$1005)-SUMPRODUCT((MOVIMIENTOS!$B$5:$B$1005="REGALO")*(MOVIMIENTOS!$C$5:$C$1005="P")*(MOVIMIENTOS!$D$5:$D$1005="jabas")*(MOVIMIENTOS!$A$5:$A$1005&lt;&gt;"")*(MOVIMIENTOS!$A$5:$A$1005&lt;=$A373)*MOVIMIENTOS!$E$5:$E$1005)-SUMPRODUCT((MOVIMIENTOS!$B$5:$B$1005="VENTA")*(MOVIMIENTOS!$C$5:$C$1005="P")*(MOVIMIENTOS!$D$5:$D$1005="jabas")*(MOVIMIENTOS!$A$5:$A$1005&lt;&gt;"")*(MOVIMIENTOS!$A$5:$A$1005&lt;=$A373)*MOVIMIENTOS!$E$5:$E$1005)+SUMPRODUCT((MOVIMIENTOS!$B$5:$B$1005="AJUSTE")*(MOVIMIENTOS!$C$5:$C$1005="P")*(MOVIMIENTOS!$D$5:$D$1005="jabas")*(MOVIMIENTOS!$A$5:$A$1005&lt;&gt;"")*(MOVIMIENTOS!$A$5:$A$1005&lt;=$A373)*MOVIMIENTOS!$E$5:$E$1005))</f>
        <v/>
      </c>
      <c r="D373" s="63" t="str">
        <f>IF($A373="","",SUMPRODUCT((MOVIMIENTOS!$B$5:$B$1005="SALDO INICIAL")*(MOVIMIENTOS!$C$5:$C$1005="C")*(MOVIMIENTOS!$D$5:$D$1005="jabas")*(MOVIMIENTOS!$A$5:$A$1005&lt;&gt;"")*(MOVIMIENTOS!$A$5:$A$1005&lt;=$A373)*MOVIMIENTOS!$E$5:$E$1005)+SUMPRODUCT((MOVIMIENTOS!$B$5:$B$1005="PROCESO")*(MOVIMIENTOS!$C$5:$C$1005="C")*(MOVIMIENTOS!$D$5:$D$1005="jabas")*(MOVIMIENTOS!$A$5:$A$1005&lt;&gt;"")*(MOVIMIENTOS!$A$5:$A$1005&lt;=$A373)*MOVIMIENTOS!$E$5:$E$1005)-SUMPRODUCT((MOVIMIENTOS!$B$5:$B$1005="ENVÍO A SUPESA")*(MOVIMIENTOS!$C$5:$C$1005="C")*(MOVIMIENTOS!$D$5:$D$1005="jabas")*(MOVIMIENTOS!$A$5:$A$1005&lt;&gt;"")*(MOVIMIENTOS!$A$5:$A$1005&lt;=$A373)*MOVIMIENTOS!$E$5:$E$1005)+SUMPRODUCT((MOVIMIENTOS!$B$5:$B$1005="DEVOLUCIÓN")*(MOVIMIENTOS!$C$5:$C$1005="C")*(MOVIMIENTOS!$D$5:$D$1005="jabas")*(MOVIMIENTOS!$A$5:$A$1005&lt;&gt;"")*(MOVIMIENTOS!$A$5:$A$1005&lt;=$A373)*MOVIMIENTOS!$E$5:$E$1005)-SUMPRODUCT((MOVIMIENTOS!$B$5:$B$1005="TRASIEGO")*(MOVIMIENTOS!$C$5:$C$1005="C")*(MOVIMIENTOS!$D$5:$D$1005="jabas")*(MOVIMIENTOS!$A$5:$A$1005&lt;&gt;"")*(MOVIMIENTOS!$A$5:$A$1005&lt;=$A373)*MOVIMIENTOS!$E$5:$E$1005)-SUMPRODUCT((MOVIMIENTOS!$B$5:$B$1005="REGALO")*(MOVIMIENTOS!$C$5:$C$1005="C")*(MOVIMIENTOS!$D$5:$D$1005="jabas")*(MOVIMIENTOS!$A$5:$A$1005&lt;&gt;"")*(MOVIMIENTOS!$A$5:$A$1005&lt;=$A373)*MOVIMIENTOS!$E$5:$E$1005)-SUMPRODUCT((MOVIMIENTOS!$B$5:$B$1005="VENTA")*(MOVIMIENTOS!$C$5:$C$1005="C")*(MOVIMIENTOS!$D$5:$D$1005="jabas")*(MOVIMIENTOS!$A$5:$A$1005&lt;&gt;"")*(MOVIMIENTOS!$A$5:$A$1005&lt;=$A373)*MOVIMIENTOS!$E$5:$E$1005)+SUMPRODUCT((MOVIMIENTOS!$B$5:$B$1005="AJUSTE")*(MOVIMIENTOS!$C$5:$C$1005="C")*(MOVIMIENTOS!$D$5:$D$1005="jabas")*(MOVIMIENTOS!$A$5:$A$1005&lt;&gt;"")*(MOVIMIENTOS!$A$5:$A$1005&lt;=$A373)*MOVIMIENTOS!$E$5:$E$1005))</f>
        <v/>
      </c>
      <c r="E373" s="63" t="str">
        <f>IF($A373="","",SUMPRODUCT((MOVIMIENTOS!$B$5:$B$1005="SALDO INICIAL")*(MOVIMIENTOS!$C$5:$C$1005="M")*(MOVIMIENTOS!$D$5:$D$1005="jabas")*(MOVIMIENTOS!$A$5:$A$1005&lt;&gt;"")*(MOVIMIENTOS!$A$5:$A$1005&lt;=$A373)*MOVIMIENTOS!$E$5:$E$1005)+SUMPRODUCT((MOVIMIENTOS!$B$5:$B$1005="PROCESO")*(MOVIMIENTOS!$C$5:$C$1005="M")*(MOVIMIENTOS!$D$5:$D$1005="jabas")*(MOVIMIENTOS!$A$5:$A$1005&lt;&gt;"")*(MOVIMIENTOS!$A$5:$A$1005&lt;=$A373)*MOVIMIENTOS!$E$5:$E$1005)-SUMPRODUCT((MOVIMIENTOS!$B$5:$B$1005="ENVÍO A SUPESA")*(MOVIMIENTOS!$C$5:$C$1005="M")*(MOVIMIENTOS!$D$5:$D$1005="jabas")*(MOVIMIENTOS!$A$5:$A$1005&lt;&gt;"")*(MOVIMIENTOS!$A$5:$A$1005&lt;=$A373)*MOVIMIENTOS!$E$5:$E$1005)+SUMPRODUCT((MOVIMIENTOS!$B$5:$B$1005="DEVOLUCIÓN")*(MOVIMIENTOS!$C$5:$C$1005="M")*(MOVIMIENTOS!$D$5:$D$1005="jabas")*(MOVIMIENTOS!$A$5:$A$1005&lt;&gt;"")*(MOVIMIENTOS!$A$5:$A$1005&lt;=$A373)*MOVIMIENTOS!$E$5:$E$1005)-SUMPRODUCT((MOVIMIENTOS!$B$5:$B$1005="TRASIEGO")*(MOVIMIENTOS!$C$5:$C$1005="M")*(MOVIMIENTOS!$D$5:$D$1005="jabas")*(MOVIMIENTOS!$A$5:$A$1005&lt;&gt;"")*(MOVIMIENTOS!$A$5:$A$1005&lt;=$A373)*MOVIMIENTOS!$E$5:$E$1005)-SUMPRODUCT((MOVIMIENTOS!$B$5:$B$1005="REGALO")*(MOVIMIENTOS!$C$5:$C$1005="M")*(MOVIMIENTOS!$D$5:$D$1005="jabas")*(MOVIMIENTOS!$A$5:$A$1005&lt;&gt;"")*(MOVIMIENTOS!$A$5:$A$1005&lt;=$A373)*MOVIMIENTOS!$E$5:$E$1005)-SUMPRODUCT((MOVIMIENTOS!$B$5:$B$1005="VENTA")*(MOVIMIENTOS!$C$5:$C$1005="M")*(MOVIMIENTOS!$D$5:$D$1005="jabas")*(MOVIMIENTOS!$A$5:$A$1005&lt;&gt;"")*(MOVIMIENTOS!$A$5:$A$1005&lt;=$A373)*MOVIMIENTOS!$E$5:$E$1005)+SUMPRODUCT((MOVIMIENTOS!$B$5:$B$1005="AJUSTE")*(MOVIMIENTOS!$C$5:$C$1005="M")*(MOVIMIENTOS!$D$5:$D$1005="jabas")*(MOVIMIENTOS!$A$5:$A$1005&lt;&gt;"")*(MOVIMIENTOS!$A$5:$A$1005&lt;=$A373)*MOVIMIENTOS!$E$5:$E$1005))</f>
        <v/>
      </c>
      <c r="F373" s="63" t="str">
        <f>IF($A373="","",SUMPRODUCT((MOVIMIENTOS!$B$5:$B$1005="SALDO INICIAL")*(MOVIMIENTOS!$C$5:$C$1005="Chancho")*(MOVIMIENTOS!$D$5:$D$1005="sacos")*(MOVIMIENTOS!$A$5:$A$1005&lt;&gt;"")*(MOVIMIENTOS!$A$5:$A$1005&lt;=$A373)*MOVIMIENTOS!$E$5:$E$1005)+SUMPRODUCT((MOVIMIENTOS!$B$5:$B$1005="PROCESO")*(MOVIMIENTOS!$C$5:$C$1005="Chancho")*(MOVIMIENTOS!$D$5:$D$1005="sacos")*(MOVIMIENTOS!$A$5:$A$1005&lt;&gt;"")*(MOVIMIENTOS!$A$5:$A$1005&lt;=$A373)*MOVIMIENTOS!$E$5:$E$1005)-SUMPRODUCT((MOVIMIENTOS!$B$5:$B$1005="VENTA CHANCHO")*(MOVIMIENTOS!$C$5:$C$1005="Chancho")*(MOVIMIENTOS!$D$5:$D$1005="sacos")*(MOVIMIENTOS!$A$5:$A$1005&lt;&gt;"")*(MOVIMIENTOS!$A$5:$A$1005&lt;=$A373)*MOVIMIENTOS!$E$5:$E$1005)-SUMPRODUCT((MOVIMIENTOS!$B$5:$B$1005="REGALO")*(MOVIMIENTOS!$C$5:$C$1005="Chancho")*(MOVIMIENTOS!$D$5:$D$1005="sacos")*(MOVIMIENTOS!$A$5:$A$1005&lt;&gt;"")*(MOVIMIENTOS!$A$5:$A$1005&lt;=$A373)*MOVIMIENTOS!$E$5:$E$1005)-SUMPRODUCT((MOVIMIENTOS!$B$5:$B$1005="VENTA")*(MOVIMIENTOS!$C$5:$C$1005="Chancho")*(MOVIMIENTOS!$D$5:$D$1005="sacos")*(MOVIMIENTOS!$A$5:$A$1005&lt;&gt;"")*(MOVIMIENTOS!$A$5:$A$1005&lt;=$A373)*MOVIMIENTOS!$E$5:$E$1005)+SUMPRODUCT((MOVIMIENTOS!$B$5:$B$1005="AJUSTE")*(MOVIMIENTOS!$C$5:$C$1005="Chancho")*(MOVIMIENTOS!$D$5:$D$1005="sacos")*(MOVIMIENTOS!$A$5:$A$1005&lt;&gt;"")*(MOVIMIENTOS!$A$5:$A$1005&lt;=$A373)*MOVIMIENTOS!$E$5:$E$1005))</f>
        <v/>
      </c>
      <c r="G373" s="95" t="str">
        <f t="shared" si="11"/>
        <v/>
      </c>
      <c r="H373" s="63" t="str">
        <f>IF($A373="","",SUMPRODUCT((((MOVIMIENTOS!$B$5:$B$1005="SALDO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373)*MOVIMIENTOS!$J$5:$J$1005))</f>
        <v/>
      </c>
      <c r="I373" s="63"/>
      <c r="J373" s="63" t="str">
        <f>IF(AND(MOVIMIENTOS!$A374&lt;&gt;"",COUNTIF(MOVIMIENTOS!$A$5:$A373,MOVIMIENTOS!$A374)=0),COUNT(J$4:J372)+1,"")</f>
        <v/>
      </c>
      <c r="K373" s="66">
        <f>MOVIMIENTOS!$A374</f>
        <v>46246</v>
      </c>
      <c r="L373" s="63"/>
      <c r="M373" s="63"/>
      <c r="N373" s="63"/>
    </row>
    <row r="374" spans="1:14" ht="15" customHeight="1" x14ac:dyDescent="0.2">
      <c r="A374" s="63" t="str">
        <f t="shared" si="10"/>
        <v/>
      </c>
      <c r="B374" s="63" t="str">
        <f>IF($A374="","",SUMPRODUCT((MOVIMIENTOS!$B$5:$B$1005="SALDO INICIAL")*(MOVIMIENTOS!$C$5:$C$1005="A")*(MOVIMIENTOS!$D$5:$D$1005="jabas")*(MOVIMIENTOS!$A$5:$A$1005&lt;&gt;"")*(MOVIMIENTOS!$A$5:$A$1005&lt;=$A374)*MOVIMIENTOS!$E$5:$E$1005)+SUMPRODUCT((MOVIMIENTOS!$B$5:$B$1005="PROCESO")*(MOVIMIENTOS!$C$5:$C$1005="A")*(MOVIMIENTOS!$D$5:$D$1005="jabas")*(MOVIMIENTOS!$A$5:$A$1005&lt;&gt;"")*(MOVIMIENTOS!$A$5:$A$1005&lt;=$A374)*MOVIMIENTOS!$E$5:$E$1005)-SUMPRODUCT((MOVIMIENTOS!$B$5:$B$1005="ENVÍO A SUPESA")*(MOVIMIENTOS!$C$5:$C$1005="A")*(MOVIMIENTOS!$D$5:$D$1005="jabas")*(MOVIMIENTOS!$A$5:$A$1005&lt;&gt;"")*(MOVIMIENTOS!$A$5:$A$1005&lt;=$A374)*MOVIMIENTOS!$E$5:$E$1005)+SUMPRODUCT((MOVIMIENTOS!$B$5:$B$1005="DEVOLUCIÓN")*(MOVIMIENTOS!$C$5:$C$1005="A")*(MOVIMIENTOS!$D$5:$D$1005="jabas")*(MOVIMIENTOS!$A$5:$A$1005&lt;&gt;"")*(MOVIMIENTOS!$A$5:$A$1005&lt;=$A374)*MOVIMIENTOS!$E$5:$E$1005)-SUMPRODUCT((MOVIMIENTOS!$B$5:$B$1005="TRASIEGO")*(MOVIMIENTOS!$C$5:$C$1005="A")*(MOVIMIENTOS!$D$5:$D$1005="jabas")*(MOVIMIENTOS!$A$5:$A$1005&lt;&gt;"")*(MOVIMIENTOS!$A$5:$A$1005&lt;=$A374)*MOVIMIENTOS!$E$5:$E$1005)-SUMPRODUCT((MOVIMIENTOS!$B$5:$B$1005="REGALO")*(MOVIMIENTOS!$C$5:$C$1005="A")*(MOVIMIENTOS!$D$5:$D$1005="jabas")*(MOVIMIENTOS!$A$5:$A$1005&lt;&gt;"")*(MOVIMIENTOS!$A$5:$A$1005&lt;=$A374)*MOVIMIENTOS!$E$5:$E$1005)-SUMPRODUCT((MOVIMIENTOS!$B$5:$B$1005="VENTA")*(MOVIMIENTOS!$C$5:$C$1005="A")*(MOVIMIENTOS!$D$5:$D$1005="jabas")*(MOVIMIENTOS!$A$5:$A$1005&lt;&gt;"")*(MOVIMIENTOS!$A$5:$A$1005&lt;=$A374)*MOVIMIENTOS!$E$5:$E$1005)+SUMPRODUCT((MOVIMIENTOS!$B$5:$B$1005="AJUSTE")*(MOVIMIENTOS!$C$5:$C$1005="A")*(MOVIMIENTOS!$D$5:$D$1005="jabas")*(MOVIMIENTOS!$A$5:$A$1005&lt;&gt;"")*(MOVIMIENTOS!$A$5:$A$1005&lt;=$A374)*MOVIMIENTOS!$E$5:$E$1005))</f>
        <v/>
      </c>
      <c r="C374" s="63" t="str">
        <f>IF($A374="","",SUMPRODUCT((MOVIMIENTOS!$B$5:$B$1005="SALDO INICIAL")*(MOVIMIENTOS!$C$5:$C$1005="P")*(MOVIMIENTOS!$D$5:$D$1005="jabas")*(MOVIMIENTOS!$A$5:$A$1005&lt;&gt;"")*(MOVIMIENTOS!$A$5:$A$1005&lt;=$A374)*MOVIMIENTOS!$E$5:$E$1005)+SUMPRODUCT((MOVIMIENTOS!$B$5:$B$1005="PROCESO")*(MOVIMIENTOS!$C$5:$C$1005="P")*(MOVIMIENTOS!$D$5:$D$1005="jabas")*(MOVIMIENTOS!$A$5:$A$1005&lt;&gt;"")*(MOVIMIENTOS!$A$5:$A$1005&lt;=$A374)*MOVIMIENTOS!$E$5:$E$1005)-SUMPRODUCT((MOVIMIENTOS!$B$5:$B$1005="ENVÍO A SUPESA")*(MOVIMIENTOS!$C$5:$C$1005="P")*(MOVIMIENTOS!$D$5:$D$1005="jabas")*(MOVIMIENTOS!$A$5:$A$1005&lt;&gt;"")*(MOVIMIENTOS!$A$5:$A$1005&lt;=$A374)*MOVIMIENTOS!$E$5:$E$1005)+SUMPRODUCT((MOVIMIENTOS!$B$5:$B$1005="DEVOLUCIÓN")*(MOVIMIENTOS!$C$5:$C$1005="P")*(MOVIMIENTOS!$D$5:$D$1005="jabas")*(MOVIMIENTOS!$A$5:$A$1005&lt;&gt;"")*(MOVIMIENTOS!$A$5:$A$1005&lt;=$A374)*MOVIMIENTOS!$E$5:$E$1005)-SUMPRODUCT((MOVIMIENTOS!$B$5:$B$1005="TRASIEGO")*(MOVIMIENTOS!$C$5:$C$1005="P")*(MOVIMIENTOS!$D$5:$D$1005="jabas")*(MOVIMIENTOS!$A$5:$A$1005&lt;&gt;"")*(MOVIMIENTOS!$A$5:$A$1005&lt;=$A374)*MOVIMIENTOS!$E$5:$E$1005)-SUMPRODUCT((MOVIMIENTOS!$B$5:$B$1005="REGALO")*(MOVIMIENTOS!$C$5:$C$1005="P")*(MOVIMIENTOS!$D$5:$D$1005="jabas")*(MOVIMIENTOS!$A$5:$A$1005&lt;&gt;"")*(MOVIMIENTOS!$A$5:$A$1005&lt;=$A374)*MOVIMIENTOS!$E$5:$E$1005)-SUMPRODUCT((MOVIMIENTOS!$B$5:$B$1005="VENTA")*(MOVIMIENTOS!$C$5:$C$1005="P")*(MOVIMIENTOS!$D$5:$D$1005="jabas")*(MOVIMIENTOS!$A$5:$A$1005&lt;&gt;"")*(MOVIMIENTOS!$A$5:$A$1005&lt;=$A374)*MOVIMIENTOS!$E$5:$E$1005)+SUMPRODUCT((MOVIMIENTOS!$B$5:$B$1005="AJUSTE")*(MOVIMIENTOS!$C$5:$C$1005="P")*(MOVIMIENTOS!$D$5:$D$1005="jabas")*(MOVIMIENTOS!$A$5:$A$1005&lt;&gt;"")*(MOVIMIENTOS!$A$5:$A$1005&lt;=$A374)*MOVIMIENTOS!$E$5:$E$1005))</f>
        <v/>
      </c>
      <c r="D374" s="63" t="str">
        <f>IF($A374="","",SUMPRODUCT((MOVIMIENTOS!$B$5:$B$1005="SALDO INICIAL")*(MOVIMIENTOS!$C$5:$C$1005="C")*(MOVIMIENTOS!$D$5:$D$1005="jabas")*(MOVIMIENTOS!$A$5:$A$1005&lt;&gt;"")*(MOVIMIENTOS!$A$5:$A$1005&lt;=$A374)*MOVIMIENTOS!$E$5:$E$1005)+SUMPRODUCT((MOVIMIENTOS!$B$5:$B$1005="PROCESO")*(MOVIMIENTOS!$C$5:$C$1005="C")*(MOVIMIENTOS!$D$5:$D$1005="jabas")*(MOVIMIENTOS!$A$5:$A$1005&lt;&gt;"")*(MOVIMIENTOS!$A$5:$A$1005&lt;=$A374)*MOVIMIENTOS!$E$5:$E$1005)-SUMPRODUCT((MOVIMIENTOS!$B$5:$B$1005="ENVÍO A SUPESA")*(MOVIMIENTOS!$C$5:$C$1005="C")*(MOVIMIENTOS!$D$5:$D$1005="jabas")*(MOVIMIENTOS!$A$5:$A$1005&lt;&gt;"")*(MOVIMIENTOS!$A$5:$A$1005&lt;=$A374)*MOVIMIENTOS!$E$5:$E$1005)+SUMPRODUCT((MOVIMIENTOS!$B$5:$B$1005="DEVOLUCIÓN")*(MOVIMIENTOS!$C$5:$C$1005="C")*(MOVIMIENTOS!$D$5:$D$1005="jabas")*(MOVIMIENTOS!$A$5:$A$1005&lt;&gt;"")*(MOVIMIENTOS!$A$5:$A$1005&lt;=$A374)*MOVIMIENTOS!$E$5:$E$1005)-SUMPRODUCT((MOVIMIENTOS!$B$5:$B$1005="TRASIEGO")*(MOVIMIENTOS!$C$5:$C$1005="C")*(MOVIMIENTOS!$D$5:$D$1005="jabas")*(MOVIMIENTOS!$A$5:$A$1005&lt;&gt;"")*(MOVIMIENTOS!$A$5:$A$1005&lt;=$A374)*MOVIMIENTOS!$E$5:$E$1005)-SUMPRODUCT((MOVIMIENTOS!$B$5:$B$1005="REGALO")*(MOVIMIENTOS!$C$5:$C$1005="C")*(MOVIMIENTOS!$D$5:$D$1005="jabas")*(MOVIMIENTOS!$A$5:$A$1005&lt;&gt;"")*(MOVIMIENTOS!$A$5:$A$1005&lt;=$A374)*MOVIMIENTOS!$E$5:$E$1005)-SUMPRODUCT((MOVIMIENTOS!$B$5:$B$1005="VENTA")*(MOVIMIENTOS!$C$5:$C$1005="C")*(MOVIMIENTOS!$D$5:$D$1005="jabas")*(MOVIMIENTOS!$A$5:$A$1005&lt;&gt;"")*(MOVIMIENTOS!$A$5:$A$1005&lt;=$A374)*MOVIMIENTOS!$E$5:$E$1005)+SUMPRODUCT((MOVIMIENTOS!$B$5:$B$1005="AJUSTE")*(MOVIMIENTOS!$C$5:$C$1005="C")*(MOVIMIENTOS!$D$5:$D$1005="jabas")*(MOVIMIENTOS!$A$5:$A$1005&lt;&gt;"")*(MOVIMIENTOS!$A$5:$A$1005&lt;=$A374)*MOVIMIENTOS!$E$5:$E$1005))</f>
        <v/>
      </c>
      <c r="E374" s="63" t="str">
        <f>IF($A374="","",SUMPRODUCT((MOVIMIENTOS!$B$5:$B$1005="SALDO INICIAL")*(MOVIMIENTOS!$C$5:$C$1005="M")*(MOVIMIENTOS!$D$5:$D$1005="jabas")*(MOVIMIENTOS!$A$5:$A$1005&lt;&gt;"")*(MOVIMIENTOS!$A$5:$A$1005&lt;=$A374)*MOVIMIENTOS!$E$5:$E$1005)+SUMPRODUCT((MOVIMIENTOS!$B$5:$B$1005="PROCESO")*(MOVIMIENTOS!$C$5:$C$1005="M")*(MOVIMIENTOS!$D$5:$D$1005="jabas")*(MOVIMIENTOS!$A$5:$A$1005&lt;&gt;"")*(MOVIMIENTOS!$A$5:$A$1005&lt;=$A374)*MOVIMIENTOS!$E$5:$E$1005)-SUMPRODUCT((MOVIMIENTOS!$B$5:$B$1005="ENVÍO A SUPESA")*(MOVIMIENTOS!$C$5:$C$1005="M")*(MOVIMIENTOS!$D$5:$D$1005="jabas")*(MOVIMIENTOS!$A$5:$A$1005&lt;&gt;"")*(MOVIMIENTOS!$A$5:$A$1005&lt;=$A374)*MOVIMIENTOS!$E$5:$E$1005)+SUMPRODUCT((MOVIMIENTOS!$B$5:$B$1005="DEVOLUCIÓN")*(MOVIMIENTOS!$C$5:$C$1005="M")*(MOVIMIENTOS!$D$5:$D$1005="jabas")*(MOVIMIENTOS!$A$5:$A$1005&lt;&gt;"")*(MOVIMIENTOS!$A$5:$A$1005&lt;=$A374)*MOVIMIENTOS!$E$5:$E$1005)-SUMPRODUCT((MOVIMIENTOS!$B$5:$B$1005="TRASIEGO")*(MOVIMIENTOS!$C$5:$C$1005="M")*(MOVIMIENTOS!$D$5:$D$1005="jabas")*(MOVIMIENTOS!$A$5:$A$1005&lt;&gt;"")*(MOVIMIENTOS!$A$5:$A$1005&lt;=$A374)*MOVIMIENTOS!$E$5:$E$1005)-SUMPRODUCT((MOVIMIENTOS!$B$5:$B$1005="REGALO")*(MOVIMIENTOS!$C$5:$C$1005="M")*(MOVIMIENTOS!$D$5:$D$1005="jabas")*(MOVIMIENTOS!$A$5:$A$1005&lt;&gt;"")*(MOVIMIENTOS!$A$5:$A$1005&lt;=$A374)*MOVIMIENTOS!$E$5:$E$1005)-SUMPRODUCT((MOVIMIENTOS!$B$5:$B$1005="VENTA")*(MOVIMIENTOS!$C$5:$C$1005="M")*(MOVIMIENTOS!$D$5:$D$1005="jabas")*(MOVIMIENTOS!$A$5:$A$1005&lt;&gt;"")*(MOVIMIENTOS!$A$5:$A$1005&lt;=$A374)*MOVIMIENTOS!$E$5:$E$1005)+SUMPRODUCT((MOVIMIENTOS!$B$5:$B$1005="AJUSTE")*(MOVIMIENTOS!$C$5:$C$1005="M")*(MOVIMIENTOS!$D$5:$D$1005="jabas")*(MOVIMIENTOS!$A$5:$A$1005&lt;&gt;"")*(MOVIMIENTOS!$A$5:$A$1005&lt;=$A374)*MOVIMIENTOS!$E$5:$E$1005))</f>
        <v/>
      </c>
      <c r="F374" s="63" t="str">
        <f>IF($A374="","",SUMPRODUCT((MOVIMIENTOS!$B$5:$B$1005="SALDO INICIAL")*(MOVIMIENTOS!$C$5:$C$1005="Chancho")*(MOVIMIENTOS!$D$5:$D$1005="sacos")*(MOVIMIENTOS!$A$5:$A$1005&lt;&gt;"")*(MOVIMIENTOS!$A$5:$A$1005&lt;=$A374)*MOVIMIENTOS!$E$5:$E$1005)+SUMPRODUCT((MOVIMIENTOS!$B$5:$B$1005="PROCESO")*(MOVIMIENTOS!$C$5:$C$1005="Chancho")*(MOVIMIENTOS!$D$5:$D$1005="sacos")*(MOVIMIENTOS!$A$5:$A$1005&lt;&gt;"")*(MOVIMIENTOS!$A$5:$A$1005&lt;=$A374)*MOVIMIENTOS!$E$5:$E$1005)-SUMPRODUCT((MOVIMIENTOS!$B$5:$B$1005="VENTA CHANCHO")*(MOVIMIENTOS!$C$5:$C$1005="Chancho")*(MOVIMIENTOS!$D$5:$D$1005="sacos")*(MOVIMIENTOS!$A$5:$A$1005&lt;&gt;"")*(MOVIMIENTOS!$A$5:$A$1005&lt;=$A374)*MOVIMIENTOS!$E$5:$E$1005)-SUMPRODUCT((MOVIMIENTOS!$B$5:$B$1005="REGALO")*(MOVIMIENTOS!$C$5:$C$1005="Chancho")*(MOVIMIENTOS!$D$5:$D$1005="sacos")*(MOVIMIENTOS!$A$5:$A$1005&lt;&gt;"")*(MOVIMIENTOS!$A$5:$A$1005&lt;=$A374)*MOVIMIENTOS!$E$5:$E$1005)-SUMPRODUCT((MOVIMIENTOS!$B$5:$B$1005="VENTA")*(MOVIMIENTOS!$C$5:$C$1005="Chancho")*(MOVIMIENTOS!$D$5:$D$1005="sacos")*(MOVIMIENTOS!$A$5:$A$1005&lt;&gt;"")*(MOVIMIENTOS!$A$5:$A$1005&lt;=$A374)*MOVIMIENTOS!$E$5:$E$1005)+SUMPRODUCT((MOVIMIENTOS!$B$5:$B$1005="AJUSTE")*(MOVIMIENTOS!$C$5:$C$1005="Chancho")*(MOVIMIENTOS!$D$5:$D$1005="sacos")*(MOVIMIENTOS!$A$5:$A$1005&lt;&gt;"")*(MOVIMIENTOS!$A$5:$A$1005&lt;=$A374)*MOVIMIENTOS!$E$5:$E$1005))</f>
        <v/>
      </c>
      <c r="G374" s="95" t="str">
        <f t="shared" si="11"/>
        <v/>
      </c>
      <c r="H374" s="63" t="str">
        <f>IF($A374="","",SUMPRODUCT((((MOVIMIENTOS!$B$5:$B$1005="SALDO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374)*MOVIMIENTOS!$J$5:$J$1005))</f>
        <v/>
      </c>
      <c r="I374" s="63"/>
      <c r="J374" s="63" t="str">
        <f>IF(AND(MOVIMIENTOS!$A375&lt;&gt;"",COUNTIF(MOVIMIENTOS!$A$5:$A374,MOVIMIENTOS!$A375)=0),COUNT(J$4:J373)+1,"")</f>
        <v/>
      </c>
      <c r="K374" s="66">
        <f>MOVIMIENTOS!$A375</f>
        <v>46246</v>
      </c>
      <c r="L374" s="63"/>
      <c r="M374" s="63"/>
      <c r="N374" s="63"/>
    </row>
    <row r="375" spans="1:14" ht="15" customHeight="1" x14ac:dyDescent="0.2">
      <c r="A375" s="63" t="str">
        <f t="shared" si="10"/>
        <v/>
      </c>
      <c r="B375" s="63" t="str">
        <f>IF($A375="","",SUMPRODUCT((MOVIMIENTOS!$B$5:$B$1005="SALDO INICIAL")*(MOVIMIENTOS!$C$5:$C$1005="A")*(MOVIMIENTOS!$D$5:$D$1005="jabas")*(MOVIMIENTOS!$A$5:$A$1005&lt;&gt;"")*(MOVIMIENTOS!$A$5:$A$1005&lt;=$A375)*MOVIMIENTOS!$E$5:$E$1005)+SUMPRODUCT((MOVIMIENTOS!$B$5:$B$1005="PROCESO")*(MOVIMIENTOS!$C$5:$C$1005="A")*(MOVIMIENTOS!$D$5:$D$1005="jabas")*(MOVIMIENTOS!$A$5:$A$1005&lt;&gt;"")*(MOVIMIENTOS!$A$5:$A$1005&lt;=$A375)*MOVIMIENTOS!$E$5:$E$1005)-SUMPRODUCT((MOVIMIENTOS!$B$5:$B$1005="ENVÍO A SUPESA")*(MOVIMIENTOS!$C$5:$C$1005="A")*(MOVIMIENTOS!$D$5:$D$1005="jabas")*(MOVIMIENTOS!$A$5:$A$1005&lt;&gt;"")*(MOVIMIENTOS!$A$5:$A$1005&lt;=$A375)*MOVIMIENTOS!$E$5:$E$1005)+SUMPRODUCT((MOVIMIENTOS!$B$5:$B$1005="DEVOLUCIÓN")*(MOVIMIENTOS!$C$5:$C$1005="A")*(MOVIMIENTOS!$D$5:$D$1005="jabas")*(MOVIMIENTOS!$A$5:$A$1005&lt;&gt;"")*(MOVIMIENTOS!$A$5:$A$1005&lt;=$A375)*MOVIMIENTOS!$E$5:$E$1005)-SUMPRODUCT((MOVIMIENTOS!$B$5:$B$1005="TRASIEGO")*(MOVIMIENTOS!$C$5:$C$1005="A")*(MOVIMIENTOS!$D$5:$D$1005="jabas")*(MOVIMIENTOS!$A$5:$A$1005&lt;&gt;"")*(MOVIMIENTOS!$A$5:$A$1005&lt;=$A375)*MOVIMIENTOS!$E$5:$E$1005)-SUMPRODUCT((MOVIMIENTOS!$B$5:$B$1005="REGALO")*(MOVIMIENTOS!$C$5:$C$1005="A")*(MOVIMIENTOS!$D$5:$D$1005="jabas")*(MOVIMIENTOS!$A$5:$A$1005&lt;&gt;"")*(MOVIMIENTOS!$A$5:$A$1005&lt;=$A375)*MOVIMIENTOS!$E$5:$E$1005)-SUMPRODUCT((MOVIMIENTOS!$B$5:$B$1005="VENTA")*(MOVIMIENTOS!$C$5:$C$1005="A")*(MOVIMIENTOS!$D$5:$D$1005="jabas")*(MOVIMIENTOS!$A$5:$A$1005&lt;&gt;"")*(MOVIMIENTOS!$A$5:$A$1005&lt;=$A375)*MOVIMIENTOS!$E$5:$E$1005)+SUMPRODUCT((MOVIMIENTOS!$B$5:$B$1005="AJUSTE")*(MOVIMIENTOS!$C$5:$C$1005="A")*(MOVIMIENTOS!$D$5:$D$1005="jabas")*(MOVIMIENTOS!$A$5:$A$1005&lt;&gt;"")*(MOVIMIENTOS!$A$5:$A$1005&lt;=$A375)*MOVIMIENTOS!$E$5:$E$1005))</f>
        <v/>
      </c>
      <c r="C375" s="63" t="str">
        <f>IF($A375="","",SUMPRODUCT((MOVIMIENTOS!$B$5:$B$1005="SALDO INICIAL")*(MOVIMIENTOS!$C$5:$C$1005="P")*(MOVIMIENTOS!$D$5:$D$1005="jabas")*(MOVIMIENTOS!$A$5:$A$1005&lt;&gt;"")*(MOVIMIENTOS!$A$5:$A$1005&lt;=$A375)*MOVIMIENTOS!$E$5:$E$1005)+SUMPRODUCT((MOVIMIENTOS!$B$5:$B$1005="PROCESO")*(MOVIMIENTOS!$C$5:$C$1005="P")*(MOVIMIENTOS!$D$5:$D$1005="jabas")*(MOVIMIENTOS!$A$5:$A$1005&lt;&gt;"")*(MOVIMIENTOS!$A$5:$A$1005&lt;=$A375)*MOVIMIENTOS!$E$5:$E$1005)-SUMPRODUCT((MOVIMIENTOS!$B$5:$B$1005="ENVÍO A SUPESA")*(MOVIMIENTOS!$C$5:$C$1005="P")*(MOVIMIENTOS!$D$5:$D$1005="jabas")*(MOVIMIENTOS!$A$5:$A$1005&lt;&gt;"")*(MOVIMIENTOS!$A$5:$A$1005&lt;=$A375)*MOVIMIENTOS!$E$5:$E$1005)+SUMPRODUCT((MOVIMIENTOS!$B$5:$B$1005="DEVOLUCIÓN")*(MOVIMIENTOS!$C$5:$C$1005="P")*(MOVIMIENTOS!$D$5:$D$1005="jabas")*(MOVIMIENTOS!$A$5:$A$1005&lt;&gt;"")*(MOVIMIENTOS!$A$5:$A$1005&lt;=$A375)*MOVIMIENTOS!$E$5:$E$1005)-SUMPRODUCT((MOVIMIENTOS!$B$5:$B$1005="TRASIEGO")*(MOVIMIENTOS!$C$5:$C$1005="P")*(MOVIMIENTOS!$D$5:$D$1005="jabas")*(MOVIMIENTOS!$A$5:$A$1005&lt;&gt;"")*(MOVIMIENTOS!$A$5:$A$1005&lt;=$A375)*MOVIMIENTOS!$E$5:$E$1005)-SUMPRODUCT((MOVIMIENTOS!$B$5:$B$1005="REGALO")*(MOVIMIENTOS!$C$5:$C$1005="P")*(MOVIMIENTOS!$D$5:$D$1005="jabas")*(MOVIMIENTOS!$A$5:$A$1005&lt;&gt;"")*(MOVIMIENTOS!$A$5:$A$1005&lt;=$A375)*MOVIMIENTOS!$E$5:$E$1005)-SUMPRODUCT((MOVIMIENTOS!$B$5:$B$1005="VENTA")*(MOVIMIENTOS!$C$5:$C$1005="P")*(MOVIMIENTOS!$D$5:$D$1005="jabas")*(MOVIMIENTOS!$A$5:$A$1005&lt;&gt;"")*(MOVIMIENTOS!$A$5:$A$1005&lt;=$A375)*MOVIMIENTOS!$E$5:$E$1005)+SUMPRODUCT((MOVIMIENTOS!$B$5:$B$1005="AJUSTE")*(MOVIMIENTOS!$C$5:$C$1005="P")*(MOVIMIENTOS!$D$5:$D$1005="jabas")*(MOVIMIENTOS!$A$5:$A$1005&lt;&gt;"")*(MOVIMIENTOS!$A$5:$A$1005&lt;=$A375)*MOVIMIENTOS!$E$5:$E$1005))</f>
        <v/>
      </c>
      <c r="D375" s="63" t="str">
        <f>IF($A375="","",SUMPRODUCT((MOVIMIENTOS!$B$5:$B$1005="SALDO INICIAL")*(MOVIMIENTOS!$C$5:$C$1005="C")*(MOVIMIENTOS!$D$5:$D$1005="jabas")*(MOVIMIENTOS!$A$5:$A$1005&lt;&gt;"")*(MOVIMIENTOS!$A$5:$A$1005&lt;=$A375)*MOVIMIENTOS!$E$5:$E$1005)+SUMPRODUCT((MOVIMIENTOS!$B$5:$B$1005="PROCESO")*(MOVIMIENTOS!$C$5:$C$1005="C")*(MOVIMIENTOS!$D$5:$D$1005="jabas")*(MOVIMIENTOS!$A$5:$A$1005&lt;&gt;"")*(MOVIMIENTOS!$A$5:$A$1005&lt;=$A375)*MOVIMIENTOS!$E$5:$E$1005)-SUMPRODUCT((MOVIMIENTOS!$B$5:$B$1005="ENVÍO A SUPESA")*(MOVIMIENTOS!$C$5:$C$1005="C")*(MOVIMIENTOS!$D$5:$D$1005="jabas")*(MOVIMIENTOS!$A$5:$A$1005&lt;&gt;"")*(MOVIMIENTOS!$A$5:$A$1005&lt;=$A375)*MOVIMIENTOS!$E$5:$E$1005)+SUMPRODUCT((MOVIMIENTOS!$B$5:$B$1005="DEVOLUCIÓN")*(MOVIMIENTOS!$C$5:$C$1005="C")*(MOVIMIENTOS!$D$5:$D$1005="jabas")*(MOVIMIENTOS!$A$5:$A$1005&lt;&gt;"")*(MOVIMIENTOS!$A$5:$A$1005&lt;=$A375)*MOVIMIENTOS!$E$5:$E$1005)-SUMPRODUCT((MOVIMIENTOS!$B$5:$B$1005="TRASIEGO")*(MOVIMIENTOS!$C$5:$C$1005="C")*(MOVIMIENTOS!$D$5:$D$1005="jabas")*(MOVIMIENTOS!$A$5:$A$1005&lt;&gt;"")*(MOVIMIENTOS!$A$5:$A$1005&lt;=$A375)*MOVIMIENTOS!$E$5:$E$1005)-SUMPRODUCT((MOVIMIENTOS!$B$5:$B$1005="REGALO")*(MOVIMIENTOS!$C$5:$C$1005="C")*(MOVIMIENTOS!$D$5:$D$1005="jabas")*(MOVIMIENTOS!$A$5:$A$1005&lt;&gt;"")*(MOVIMIENTOS!$A$5:$A$1005&lt;=$A375)*MOVIMIENTOS!$E$5:$E$1005)-SUMPRODUCT((MOVIMIENTOS!$B$5:$B$1005="VENTA")*(MOVIMIENTOS!$C$5:$C$1005="C")*(MOVIMIENTOS!$D$5:$D$1005="jabas")*(MOVIMIENTOS!$A$5:$A$1005&lt;&gt;"")*(MOVIMIENTOS!$A$5:$A$1005&lt;=$A375)*MOVIMIENTOS!$E$5:$E$1005)+SUMPRODUCT((MOVIMIENTOS!$B$5:$B$1005="AJUSTE")*(MOVIMIENTOS!$C$5:$C$1005="C")*(MOVIMIENTOS!$D$5:$D$1005="jabas")*(MOVIMIENTOS!$A$5:$A$1005&lt;&gt;"")*(MOVIMIENTOS!$A$5:$A$1005&lt;=$A375)*MOVIMIENTOS!$E$5:$E$1005))</f>
        <v/>
      </c>
      <c r="E375" s="63" t="str">
        <f>IF($A375="","",SUMPRODUCT((MOVIMIENTOS!$B$5:$B$1005="SALDO INICIAL")*(MOVIMIENTOS!$C$5:$C$1005="M")*(MOVIMIENTOS!$D$5:$D$1005="jabas")*(MOVIMIENTOS!$A$5:$A$1005&lt;&gt;"")*(MOVIMIENTOS!$A$5:$A$1005&lt;=$A375)*MOVIMIENTOS!$E$5:$E$1005)+SUMPRODUCT((MOVIMIENTOS!$B$5:$B$1005="PROCESO")*(MOVIMIENTOS!$C$5:$C$1005="M")*(MOVIMIENTOS!$D$5:$D$1005="jabas")*(MOVIMIENTOS!$A$5:$A$1005&lt;&gt;"")*(MOVIMIENTOS!$A$5:$A$1005&lt;=$A375)*MOVIMIENTOS!$E$5:$E$1005)-SUMPRODUCT((MOVIMIENTOS!$B$5:$B$1005="ENVÍO A SUPESA")*(MOVIMIENTOS!$C$5:$C$1005="M")*(MOVIMIENTOS!$D$5:$D$1005="jabas")*(MOVIMIENTOS!$A$5:$A$1005&lt;&gt;"")*(MOVIMIENTOS!$A$5:$A$1005&lt;=$A375)*MOVIMIENTOS!$E$5:$E$1005)+SUMPRODUCT((MOVIMIENTOS!$B$5:$B$1005="DEVOLUCIÓN")*(MOVIMIENTOS!$C$5:$C$1005="M")*(MOVIMIENTOS!$D$5:$D$1005="jabas")*(MOVIMIENTOS!$A$5:$A$1005&lt;&gt;"")*(MOVIMIENTOS!$A$5:$A$1005&lt;=$A375)*MOVIMIENTOS!$E$5:$E$1005)-SUMPRODUCT((MOVIMIENTOS!$B$5:$B$1005="TRASIEGO")*(MOVIMIENTOS!$C$5:$C$1005="M")*(MOVIMIENTOS!$D$5:$D$1005="jabas")*(MOVIMIENTOS!$A$5:$A$1005&lt;&gt;"")*(MOVIMIENTOS!$A$5:$A$1005&lt;=$A375)*MOVIMIENTOS!$E$5:$E$1005)-SUMPRODUCT((MOVIMIENTOS!$B$5:$B$1005="REGALO")*(MOVIMIENTOS!$C$5:$C$1005="M")*(MOVIMIENTOS!$D$5:$D$1005="jabas")*(MOVIMIENTOS!$A$5:$A$1005&lt;&gt;"")*(MOVIMIENTOS!$A$5:$A$1005&lt;=$A375)*MOVIMIENTOS!$E$5:$E$1005)-SUMPRODUCT((MOVIMIENTOS!$B$5:$B$1005="VENTA")*(MOVIMIENTOS!$C$5:$C$1005="M")*(MOVIMIENTOS!$D$5:$D$1005="jabas")*(MOVIMIENTOS!$A$5:$A$1005&lt;&gt;"")*(MOVIMIENTOS!$A$5:$A$1005&lt;=$A375)*MOVIMIENTOS!$E$5:$E$1005)+SUMPRODUCT((MOVIMIENTOS!$B$5:$B$1005="AJUSTE")*(MOVIMIENTOS!$C$5:$C$1005="M")*(MOVIMIENTOS!$D$5:$D$1005="jabas")*(MOVIMIENTOS!$A$5:$A$1005&lt;&gt;"")*(MOVIMIENTOS!$A$5:$A$1005&lt;=$A375)*MOVIMIENTOS!$E$5:$E$1005))</f>
        <v/>
      </c>
      <c r="F375" s="63" t="str">
        <f>IF($A375="","",SUMPRODUCT((MOVIMIENTOS!$B$5:$B$1005="SALDO INICIAL")*(MOVIMIENTOS!$C$5:$C$1005="Chancho")*(MOVIMIENTOS!$D$5:$D$1005="sacos")*(MOVIMIENTOS!$A$5:$A$1005&lt;&gt;"")*(MOVIMIENTOS!$A$5:$A$1005&lt;=$A375)*MOVIMIENTOS!$E$5:$E$1005)+SUMPRODUCT((MOVIMIENTOS!$B$5:$B$1005="PROCESO")*(MOVIMIENTOS!$C$5:$C$1005="Chancho")*(MOVIMIENTOS!$D$5:$D$1005="sacos")*(MOVIMIENTOS!$A$5:$A$1005&lt;&gt;"")*(MOVIMIENTOS!$A$5:$A$1005&lt;=$A375)*MOVIMIENTOS!$E$5:$E$1005)-SUMPRODUCT((MOVIMIENTOS!$B$5:$B$1005="VENTA CHANCHO")*(MOVIMIENTOS!$C$5:$C$1005="Chancho")*(MOVIMIENTOS!$D$5:$D$1005="sacos")*(MOVIMIENTOS!$A$5:$A$1005&lt;&gt;"")*(MOVIMIENTOS!$A$5:$A$1005&lt;=$A375)*MOVIMIENTOS!$E$5:$E$1005)-SUMPRODUCT((MOVIMIENTOS!$B$5:$B$1005="REGALO")*(MOVIMIENTOS!$C$5:$C$1005="Chancho")*(MOVIMIENTOS!$D$5:$D$1005="sacos")*(MOVIMIENTOS!$A$5:$A$1005&lt;&gt;"")*(MOVIMIENTOS!$A$5:$A$1005&lt;=$A375)*MOVIMIENTOS!$E$5:$E$1005)-SUMPRODUCT((MOVIMIENTOS!$B$5:$B$1005="VENTA")*(MOVIMIENTOS!$C$5:$C$1005="Chancho")*(MOVIMIENTOS!$D$5:$D$1005="sacos")*(MOVIMIENTOS!$A$5:$A$1005&lt;&gt;"")*(MOVIMIENTOS!$A$5:$A$1005&lt;=$A375)*MOVIMIENTOS!$E$5:$E$1005)+SUMPRODUCT((MOVIMIENTOS!$B$5:$B$1005="AJUSTE")*(MOVIMIENTOS!$C$5:$C$1005="Chancho")*(MOVIMIENTOS!$D$5:$D$1005="sacos")*(MOVIMIENTOS!$A$5:$A$1005&lt;&gt;"")*(MOVIMIENTOS!$A$5:$A$1005&lt;=$A375)*MOVIMIENTOS!$E$5:$E$1005))</f>
        <v/>
      </c>
      <c r="G375" s="95" t="str">
        <f t="shared" si="11"/>
        <v/>
      </c>
      <c r="H375" s="63" t="str">
        <f>IF($A375="","",SUMPRODUCT((((MOVIMIENTOS!$B$5:$B$1005="SALDO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375)*MOVIMIENTOS!$J$5:$J$1005))</f>
        <v/>
      </c>
      <c r="I375" s="63"/>
      <c r="J375" s="63">
        <f>IF(AND(MOVIMIENTOS!$A376&lt;&gt;"",COUNTIF(MOVIMIENTOS!$A$5:$A375,MOVIMIENTOS!$A376)=0),COUNT(J$4:J374)+1,"")</f>
        <v>34</v>
      </c>
      <c r="K375" s="66">
        <f>MOVIMIENTOS!$A376</f>
        <v>46247</v>
      </c>
      <c r="L375" s="63"/>
      <c r="M375" s="63"/>
      <c r="N375" s="63"/>
    </row>
    <row r="376" spans="1:14" ht="15" customHeight="1" x14ac:dyDescent="0.2">
      <c r="A376" s="63" t="str">
        <f t="shared" si="10"/>
        <v/>
      </c>
      <c r="B376" s="63" t="str">
        <f>IF($A376="","",SUMPRODUCT((MOVIMIENTOS!$B$5:$B$1005="SALDO INICIAL")*(MOVIMIENTOS!$C$5:$C$1005="A")*(MOVIMIENTOS!$D$5:$D$1005="jabas")*(MOVIMIENTOS!$A$5:$A$1005&lt;&gt;"")*(MOVIMIENTOS!$A$5:$A$1005&lt;=$A376)*MOVIMIENTOS!$E$5:$E$1005)+SUMPRODUCT((MOVIMIENTOS!$B$5:$B$1005="PROCESO")*(MOVIMIENTOS!$C$5:$C$1005="A")*(MOVIMIENTOS!$D$5:$D$1005="jabas")*(MOVIMIENTOS!$A$5:$A$1005&lt;&gt;"")*(MOVIMIENTOS!$A$5:$A$1005&lt;=$A376)*MOVIMIENTOS!$E$5:$E$1005)-SUMPRODUCT((MOVIMIENTOS!$B$5:$B$1005="ENVÍO A SUPESA")*(MOVIMIENTOS!$C$5:$C$1005="A")*(MOVIMIENTOS!$D$5:$D$1005="jabas")*(MOVIMIENTOS!$A$5:$A$1005&lt;&gt;"")*(MOVIMIENTOS!$A$5:$A$1005&lt;=$A376)*MOVIMIENTOS!$E$5:$E$1005)+SUMPRODUCT((MOVIMIENTOS!$B$5:$B$1005="DEVOLUCIÓN")*(MOVIMIENTOS!$C$5:$C$1005="A")*(MOVIMIENTOS!$D$5:$D$1005="jabas")*(MOVIMIENTOS!$A$5:$A$1005&lt;&gt;"")*(MOVIMIENTOS!$A$5:$A$1005&lt;=$A376)*MOVIMIENTOS!$E$5:$E$1005)-SUMPRODUCT((MOVIMIENTOS!$B$5:$B$1005="TRASIEGO")*(MOVIMIENTOS!$C$5:$C$1005="A")*(MOVIMIENTOS!$D$5:$D$1005="jabas")*(MOVIMIENTOS!$A$5:$A$1005&lt;&gt;"")*(MOVIMIENTOS!$A$5:$A$1005&lt;=$A376)*MOVIMIENTOS!$E$5:$E$1005)-SUMPRODUCT((MOVIMIENTOS!$B$5:$B$1005="REGALO")*(MOVIMIENTOS!$C$5:$C$1005="A")*(MOVIMIENTOS!$D$5:$D$1005="jabas")*(MOVIMIENTOS!$A$5:$A$1005&lt;&gt;"")*(MOVIMIENTOS!$A$5:$A$1005&lt;=$A376)*MOVIMIENTOS!$E$5:$E$1005)-SUMPRODUCT((MOVIMIENTOS!$B$5:$B$1005="VENTA")*(MOVIMIENTOS!$C$5:$C$1005="A")*(MOVIMIENTOS!$D$5:$D$1005="jabas")*(MOVIMIENTOS!$A$5:$A$1005&lt;&gt;"")*(MOVIMIENTOS!$A$5:$A$1005&lt;=$A376)*MOVIMIENTOS!$E$5:$E$1005)+SUMPRODUCT((MOVIMIENTOS!$B$5:$B$1005="AJUSTE")*(MOVIMIENTOS!$C$5:$C$1005="A")*(MOVIMIENTOS!$D$5:$D$1005="jabas")*(MOVIMIENTOS!$A$5:$A$1005&lt;&gt;"")*(MOVIMIENTOS!$A$5:$A$1005&lt;=$A376)*MOVIMIENTOS!$E$5:$E$1005))</f>
        <v/>
      </c>
      <c r="C376" s="63" t="str">
        <f>IF($A376="","",SUMPRODUCT((MOVIMIENTOS!$B$5:$B$1005="SALDO INICIAL")*(MOVIMIENTOS!$C$5:$C$1005="P")*(MOVIMIENTOS!$D$5:$D$1005="jabas")*(MOVIMIENTOS!$A$5:$A$1005&lt;&gt;"")*(MOVIMIENTOS!$A$5:$A$1005&lt;=$A376)*MOVIMIENTOS!$E$5:$E$1005)+SUMPRODUCT((MOVIMIENTOS!$B$5:$B$1005="PROCESO")*(MOVIMIENTOS!$C$5:$C$1005="P")*(MOVIMIENTOS!$D$5:$D$1005="jabas")*(MOVIMIENTOS!$A$5:$A$1005&lt;&gt;"")*(MOVIMIENTOS!$A$5:$A$1005&lt;=$A376)*MOVIMIENTOS!$E$5:$E$1005)-SUMPRODUCT((MOVIMIENTOS!$B$5:$B$1005="ENVÍO A SUPESA")*(MOVIMIENTOS!$C$5:$C$1005="P")*(MOVIMIENTOS!$D$5:$D$1005="jabas")*(MOVIMIENTOS!$A$5:$A$1005&lt;&gt;"")*(MOVIMIENTOS!$A$5:$A$1005&lt;=$A376)*MOVIMIENTOS!$E$5:$E$1005)+SUMPRODUCT((MOVIMIENTOS!$B$5:$B$1005="DEVOLUCIÓN")*(MOVIMIENTOS!$C$5:$C$1005="P")*(MOVIMIENTOS!$D$5:$D$1005="jabas")*(MOVIMIENTOS!$A$5:$A$1005&lt;&gt;"")*(MOVIMIENTOS!$A$5:$A$1005&lt;=$A376)*MOVIMIENTOS!$E$5:$E$1005)-SUMPRODUCT((MOVIMIENTOS!$B$5:$B$1005="TRASIEGO")*(MOVIMIENTOS!$C$5:$C$1005="P")*(MOVIMIENTOS!$D$5:$D$1005="jabas")*(MOVIMIENTOS!$A$5:$A$1005&lt;&gt;"")*(MOVIMIENTOS!$A$5:$A$1005&lt;=$A376)*MOVIMIENTOS!$E$5:$E$1005)-SUMPRODUCT((MOVIMIENTOS!$B$5:$B$1005="REGALO")*(MOVIMIENTOS!$C$5:$C$1005="P")*(MOVIMIENTOS!$D$5:$D$1005="jabas")*(MOVIMIENTOS!$A$5:$A$1005&lt;&gt;"")*(MOVIMIENTOS!$A$5:$A$1005&lt;=$A376)*MOVIMIENTOS!$E$5:$E$1005)-SUMPRODUCT((MOVIMIENTOS!$B$5:$B$1005="VENTA")*(MOVIMIENTOS!$C$5:$C$1005="P")*(MOVIMIENTOS!$D$5:$D$1005="jabas")*(MOVIMIENTOS!$A$5:$A$1005&lt;&gt;"")*(MOVIMIENTOS!$A$5:$A$1005&lt;=$A376)*MOVIMIENTOS!$E$5:$E$1005)+SUMPRODUCT((MOVIMIENTOS!$B$5:$B$1005="AJUSTE")*(MOVIMIENTOS!$C$5:$C$1005="P")*(MOVIMIENTOS!$D$5:$D$1005="jabas")*(MOVIMIENTOS!$A$5:$A$1005&lt;&gt;"")*(MOVIMIENTOS!$A$5:$A$1005&lt;=$A376)*MOVIMIENTOS!$E$5:$E$1005))</f>
        <v/>
      </c>
      <c r="D376" s="63" t="str">
        <f>IF($A376="","",SUMPRODUCT((MOVIMIENTOS!$B$5:$B$1005="SALDO INICIAL")*(MOVIMIENTOS!$C$5:$C$1005="C")*(MOVIMIENTOS!$D$5:$D$1005="jabas")*(MOVIMIENTOS!$A$5:$A$1005&lt;&gt;"")*(MOVIMIENTOS!$A$5:$A$1005&lt;=$A376)*MOVIMIENTOS!$E$5:$E$1005)+SUMPRODUCT((MOVIMIENTOS!$B$5:$B$1005="PROCESO")*(MOVIMIENTOS!$C$5:$C$1005="C")*(MOVIMIENTOS!$D$5:$D$1005="jabas")*(MOVIMIENTOS!$A$5:$A$1005&lt;&gt;"")*(MOVIMIENTOS!$A$5:$A$1005&lt;=$A376)*MOVIMIENTOS!$E$5:$E$1005)-SUMPRODUCT((MOVIMIENTOS!$B$5:$B$1005="ENVÍO A SUPESA")*(MOVIMIENTOS!$C$5:$C$1005="C")*(MOVIMIENTOS!$D$5:$D$1005="jabas")*(MOVIMIENTOS!$A$5:$A$1005&lt;&gt;"")*(MOVIMIENTOS!$A$5:$A$1005&lt;=$A376)*MOVIMIENTOS!$E$5:$E$1005)+SUMPRODUCT((MOVIMIENTOS!$B$5:$B$1005="DEVOLUCIÓN")*(MOVIMIENTOS!$C$5:$C$1005="C")*(MOVIMIENTOS!$D$5:$D$1005="jabas")*(MOVIMIENTOS!$A$5:$A$1005&lt;&gt;"")*(MOVIMIENTOS!$A$5:$A$1005&lt;=$A376)*MOVIMIENTOS!$E$5:$E$1005)-SUMPRODUCT((MOVIMIENTOS!$B$5:$B$1005="TRASIEGO")*(MOVIMIENTOS!$C$5:$C$1005="C")*(MOVIMIENTOS!$D$5:$D$1005="jabas")*(MOVIMIENTOS!$A$5:$A$1005&lt;&gt;"")*(MOVIMIENTOS!$A$5:$A$1005&lt;=$A376)*MOVIMIENTOS!$E$5:$E$1005)-SUMPRODUCT((MOVIMIENTOS!$B$5:$B$1005="REGALO")*(MOVIMIENTOS!$C$5:$C$1005="C")*(MOVIMIENTOS!$D$5:$D$1005="jabas")*(MOVIMIENTOS!$A$5:$A$1005&lt;&gt;"")*(MOVIMIENTOS!$A$5:$A$1005&lt;=$A376)*MOVIMIENTOS!$E$5:$E$1005)-SUMPRODUCT((MOVIMIENTOS!$B$5:$B$1005="VENTA")*(MOVIMIENTOS!$C$5:$C$1005="C")*(MOVIMIENTOS!$D$5:$D$1005="jabas")*(MOVIMIENTOS!$A$5:$A$1005&lt;&gt;"")*(MOVIMIENTOS!$A$5:$A$1005&lt;=$A376)*MOVIMIENTOS!$E$5:$E$1005)+SUMPRODUCT((MOVIMIENTOS!$B$5:$B$1005="AJUSTE")*(MOVIMIENTOS!$C$5:$C$1005="C")*(MOVIMIENTOS!$D$5:$D$1005="jabas")*(MOVIMIENTOS!$A$5:$A$1005&lt;&gt;"")*(MOVIMIENTOS!$A$5:$A$1005&lt;=$A376)*MOVIMIENTOS!$E$5:$E$1005))</f>
        <v/>
      </c>
      <c r="E376" s="63" t="str">
        <f>IF($A376="","",SUMPRODUCT((MOVIMIENTOS!$B$5:$B$1005="SALDO INICIAL")*(MOVIMIENTOS!$C$5:$C$1005="M")*(MOVIMIENTOS!$D$5:$D$1005="jabas")*(MOVIMIENTOS!$A$5:$A$1005&lt;&gt;"")*(MOVIMIENTOS!$A$5:$A$1005&lt;=$A376)*MOVIMIENTOS!$E$5:$E$1005)+SUMPRODUCT((MOVIMIENTOS!$B$5:$B$1005="PROCESO")*(MOVIMIENTOS!$C$5:$C$1005="M")*(MOVIMIENTOS!$D$5:$D$1005="jabas")*(MOVIMIENTOS!$A$5:$A$1005&lt;&gt;"")*(MOVIMIENTOS!$A$5:$A$1005&lt;=$A376)*MOVIMIENTOS!$E$5:$E$1005)-SUMPRODUCT((MOVIMIENTOS!$B$5:$B$1005="ENVÍO A SUPESA")*(MOVIMIENTOS!$C$5:$C$1005="M")*(MOVIMIENTOS!$D$5:$D$1005="jabas")*(MOVIMIENTOS!$A$5:$A$1005&lt;&gt;"")*(MOVIMIENTOS!$A$5:$A$1005&lt;=$A376)*MOVIMIENTOS!$E$5:$E$1005)+SUMPRODUCT((MOVIMIENTOS!$B$5:$B$1005="DEVOLUCIÓN")*(MOVIMIENTOS!$C$5:$C$1005="M")*(MOVIMIENTOS!$D$5:$D$1005="jabas")*(MOVIMIENTOS!$A$5:$A$1005&lt;&gt;"")*(MOVIMIENTOS!$A$5:$A$1005&lt;=$A376)*MOVIMIENTOS!$E$5:$E$1005)-SUMPRODUCT((MOVIMIENTOS!$B$5:$B$1005="TRASIEGO")*(MOVIMIENTOS!$C$5:$C$1005="M")*(MOVIMIENTOS!$D$5:$D$1005="jabas")*(MOVIMIENTOS!$A$5:$A$1005&lt;&gt;"")*(MOVIMIENTOS!$A$5:$A$1005&lt;=$A376)*MOVIMIENTOS!$E$5:$E$1005)-SUMPRODUCT((MOVIMIENTOS!$B$5:$B$1005="REGALO")*(MOVIMIENTOS!$C$5:$C$1005="M")*(MOVIMIENTOS!$D$5:$D$1005="jabas")*(MOVIMIENTOS!$A$5:$A$1005&lt;&gt;"")*(MOVIMIENTOS!$A$5:$A$1005&lt;=$A376)*MOVIMIENTOS!$E$5:$E$1005)-SUMPRODUCT((MOVIMIENTOS!$B$5:$B$1005="VENTA")*(MOVIMIENTOS!$C$5:$C$1005="M")*(MOVIMIENTOS!$D$5:$D$1005="jabas")*(MOVIMIENTOS!$A$5:$A$1005&lt;&gt;"")*(MOVIMIENTOS!$A$5:$A$1005&lt;=$A376)*MOVIMIENTOS!$E$5:$E$1005)+SUMPRODUCT((MOVIMIENTOS!$B$5:$B$1005="AJUSTE")*(MOVIMIENTOS!$C$5:$C$1005="M")*(MOVIMIENTOS!$D$5:$D$1005="jabas")*(MOVIMIENTOS!$A$5:$A$1005&lt;&gt;"")*(MOVIMIENTOS!$A$5:$A$1005&lt;=$A376)*MOVIMIENTOS!$E$5:$E$1005))</f>
        <v/>
      </c>
      <c r="F376" s="63" t="str">
        <f>IF($A376="","",SUMPRODUCT((MOVIMIENTOS!$B$5:$B$1005="SALDO INICIAL")*(MOVIMIENTOS!$C$5:$C$1005="Chancho")*(MOVIMIENTOS!$D$5:$D$1005="sacos")*(MOVIMIENTOS!$A$5:$A$1005&lt;&gt;"")*(MOVIMIENTOS!$A$5:$A$1005&lt;=$A376)*MOVIMIENTOS!$E$5:$E$1005)+SUMPRODUCT((MOVIMIENTOS!$B$5:$B$1005="PROCESO")*(MOVIMIENTOS!$C$5:$C$1005="Chancho")*(MOVIMIENTOS!$D$5:$D$1005="sacos")*(MOVIMIENTOS!$A$5:$A$1005&lt;&gt;"")*(MOVIMIENTOS!$A$5:$A$1005&lt;=$A376)*MOVIMIENTOS!$E$5:$E$1005)-SUMPRODUCT((MOVIMIENTOS!$B$5:$B$1005="VENTA CHANCHO")*(MOVIMIENTOS!$C$5:$C$1005="Chancho")*(MOVIMIENTOS!$D$5:$D$1005="sacos")*(MOVIMIENTOS!$A$5:$A$1005&lt;&gt;"")*(MOVIMIENTOS!$A$5:$A$1005&lt;=$A376)*MOVIMIENTOS!$E$5:$E$1005)-SUMPRODUCT((MOVIMIENTOS!$B$5:$B$1005="REGALO")*(MOVIMIENTOS!$C$5:$C$1005="Chancho")*(MOVIMIENTOS!$D$5:$D$1005="sacos")*(MOVIMIENTOS!$A$5:$A$1005&lt;&gt;"")*(MOVIMIENTOS!$A$5:$A$1005&lt;=$A376)*MOVIMIENTOS!$E$5:$E$1005)-SUMPRODUCT((MOVIMIENTOS!$B$5:$B$1005="VENTA")*(MOVIMIENTOS!$C$5:$C$1005="Chancho")*(MOVIMIENTOS!$D$5:$D$1005="sacos")*(MOVIMIENTOS!$A$5:$A$1005&lt;&gt;"")*(MOVIMIENTOS!$A$5:$A$1005&lt;=$A376)*MOVIMIENTOS!$E$5:$E$1005)+SUMPRODUCT((MOVIMIENTOS!$B$5:$B$1005="AJUSTE")*(MOVIMIENTOS!$C$5:$C$1005="Chancho")*(MOVIMIENTOS!$D$5:$D$1005="sacos")*(MOVIMIENTOS!$A$5:$A$1005&lt;&gt;"")*(MOVIMIENTOS!$A$5:$A$1005&lt;=$A376)*MOVIMIENTOS!$E$5:$E$1005))</f>
        <v/>
      </c>
      <c r="G376" s="95" t="str">
        <f t="shared" si="11"/>
        <v/>
      </c>
      <c r="H376" s="63" t="str">
        <f>IF($A376="","",SUMPRODUCT((((MOVIMIENTOS!$B$5:$B$1005="SALDO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376)*MOVIMIENTOS!$J$5:$J$1005))</f>
        <v/>
      </c>
      <c r="I376" s="63"/>
      <c r="J376" s="63" t="str">
        <f>IF(AND(MOVIMIENTOS!$A377&lt;&gt;"",COUNTIF(MOVIMIENTOS!$A$5:$A376,MOVIMIENTOS!$A377)=0),COUNT(J$4:J375)+1,"")</f>
        <v/>
      </c>
      <c r="K376" s="66">
        <f>MOVIMIENTOS!$A377</f>
        <v>46247</v>
      </c>
      <c r="L376" s="63"/>
      <c r="M376" s="63"/>
      <c r="N376" s="63"/>
    </row>
    <row r="377" spans="1:14" ht="15" customHeight="1" x14ac:dyDescent="0.2">
      <c r="A377" s="63" t="str">
        <f t="shared" si="10"/>
        <v/>
      </c>
      <c r="B377" s="63" t="str">
        <f>IF($A377="","",SUMPRODUCT((MOVIMIENTOS!$B$5:$B$1005="SALDO INICIAL")*(MOVIMIENTOS!$C$5:$C$1005="A")*(MOVIMIENTOS!$D$5:$D$1005="jabas")*(MOVIMIENTOS!$A$5:$A$1005&lt;&gt;"")*(MOVIMIENTOS!$A$5:$A$1005&lt;=$A377)*MOVIMIENTOS!$E$5:$E$1005)+SUMPRODUCT((MOVIMIENTOS!$B$5:$B$1005="PROCESO")*(MOVIMIENTOS!$C$5:$C$1005="A")*(MOVIMIENTOS!$D$5:$D$1005="jabas")*(MOVIMIENTOS!$A$5:$A$1005&lt;&gt;"")*(MOVIMIENTOS!$A$5:$A$1005&lt;=$A377)*MOVIMIENTOS!$E$5:$E$1005)-SUMPRODUCT((MOVIMIENTOS!$B$5:$B$1005="ENVÍO A SUPESA")*(MOVIMIENTOS!$C$5:$C$1005="A")*(MOVIMIENTOS!$D$5:$D$1005="jabas")*(MOVIMIENTOS!$A$5:$A$1005&lt;&gt;"")*(MOVIMIENTOS!$A$5:$A$1005&lt;=$A377)*MOVIMIENTOS!$E$5:$E$1005)+SUMPRODUCT((MOVIMIENTOS!$B$5:$B$1005="DEVOLUCIÓN")*(MOVIMIENTOS!$C$5:$C$1005="A")*(MOVIMIENTOS!$D$5:$D$1005="jabas")*(MOVIMIENTOS!$A$5:$A$1005&lt;&gt;"")*(MOVIMIENTOS!$A$5:$A$1005&lt;=$A377)*MOVIMIENTOS!$E$5:$E$1005)-SUMPRODUCT((MOVIMIENTOS!$B$5:$B$1005="TRASIEGO")*(MOVIMIENTOS!$C$5:$C$1005="A")*(MOVIMIENTOS!$D$5:$D$1005="jabas")*(MOVIMIENTOS!$A$5:$A$1005&lt;&gt;"")*(MOVIMIENTOS!$A$5:$A$1005&lt;=$A377)*MOVIMIENTOS!$E$5:$E$1005)-SUMPRODUCT((MOVIMIENTOS!$B$5:$B$1005="REGALO")*(MOVIMIENTOS!$C$5:$C$1005="A")*(MOVIMIENTOS!$D$5:$D$1005="jabas")*(MOVIMIENTOS!$A$5:$A$1005&lt;&gt;"")*(MOVIMIENTOS!$A$5:$A$1005&lt;=$A377)*MOVIMIENTOS!$E$5:$E$1005)-SUMPRODUCT((MOVIMIENTOS!$B$5:$B$1005="VENTA")*(MOVIMIENTOS!$C$5:$C$1005="A")*(MOVIMIENTOS!$D$5:$D$1005="jabas")*(MOVIMIENTOS!$A$5:$A$1005&lt;&gt;"")*(MOVIMIENTOS!$A$5:$A$1005&lt;=$A377)*MOVIMIENTOS!$E$5:$E$1005)+SUMPRODUCT((MOVIMIENTOS!$B$5:$B$1005="AJUSTE")*(MOVIMIENTOS!$C$5:$C$1005="A")*(MOVIMIENTOS!$D$5:$D$1005="jabas")*(MOVIMIENTOS!$A$5:$A$1005&lt;&gt;"")*(MOVIMIENTOS!$A$5:$A$1005&lt;=$A377)*MOVIMIENTOS!$E$5:$E$1005))</f>
        <v/>
      </c>
      <c r="C377" s="63" t="str">
        <f>IF($A377="","",SUMPRODUCT((MOVIMIENTOS!$B$5:$B$1005="SALDO INICIAL")*(MOVIMIENTOS!$C$5:$C$1005="P")*(MOVIMIENTOS!$D$5:$D$1005="jabas")*(MOVIMIENTOS!$A$5:$A$1005&lt;&gt;"")*(MOVIMIENTOS!$A$5:$A$1005&lt;=$A377)*MOVIMIENTOS!$E$5:$E$1005)+SUMPRODUCT((MOVIMIENTOS!$B$5:$B$1005="PROCESO")*(MOVIMIENTOS!$C$5:$C$1005="P")*(MOVIMIENTOS!$D$5:$D$1005="jabas")*(MOVIMIENTOS!$A$5:$A$1005&lt;&gt;"")*(MOVIMIENTOS!$A$5:$A$1005&lt;=$A377)*MOVIMIENTOS!$E$5:$E$1005)-SUMPRODUCT((MOVIMIENTOS!$B$5:$B$1005="ENVÍO A SUPESA")*(MOVIMIENTOS!$C$5:$C$1005="P")*(MOVIMIENTOS!$D$5:$D$1005="jabas")*(MOVIMIENTOS!$A$5:$A$1005&lt;&gt;"")*(MOVIMIENTOS!$A$5:$A$1005&lt;=$A377)*MOVIMIENTOS!$E$5:$E$1005)+SUMPRODUCT((MOVIMIENTOS!$B$5:$B$1005="DEVOLUCIÓN")*(MOVIMIENTOS!$C$5:$C$1005="P")*(MOVIMIENTOS!$D$5:$D$1005="jabas")*(MOVIMIENTOS!$A$5:$A$1005&lt;&gt;"")*(MOVIMIENTOS!$A$5:$A$1005&lt;=$A377)*MOVIMIENTOS!$E$5:$E$1005)-SUMPRODUCT((MOVIMIENTOS!$B$5:$B$1005="TRASIEGO")*(MOVIMIENTOS!$C$5:$C$1005="P")*(MOVIMIENTOS!$D$5:$D$1005="jabas")*(MOVIMIENTOS!$A$5:$A$1005&lt;&gt;"")*(MOVIMIENTOS!$A$5:$A$1005&lt;=$A377)*MOVIMIENTOS!$E$5:$E$1005)-SUMPRODUCT((MOVIMIENTOS!$B$5:$B$1005="REGALO")*(MOVIMIENTOS!$C$5:$C$1005="P")*(MOVIMIENTOS!$D$5:$D$1005="jabas")*(MOVIMIENTOS!$A$5:$A$1005&lt;&gt;"")*(MOVIMIENTOS!$A$5:$A$1005&lt;=$A377)*MOVIMIENTOS!$E$5:$E$1005)-SUMPRODUCT((MOVIMIENTOS!$B$5:$B$1005="VENTA")*(MOVIMIENTOS!$C$5:$C$1005="P")*(MOVIMIENTOS!$D$5:$D$1005="jabas")*(MOVIMIENTOS!$A$5:$A$1005&lt;&gt;"")*(MOVIMIENTOS!$A$5:$A$1005&lt;=$A377)*MOVIMIENTOS!$E$5:$E$1005)+SUMPRODUCT((MOVIMIENTOS!$B$5:$B$1005="AJUSTE")*(MOVIMIENTOS!$C$5:$C$1005="P")*(MOVIMIENTOS!$D$5:$D$1005="jabas")*(MOVIMIENTOS!$A$5:$A$1005&lt;&gt;"")*(MOVIMIENTOS!$A$5:$A$1005&lt;=$A377)*MOVIMIENTOS!$E$5:$E$1005))</f>
        <v/>
      </c>
      <c r="D377" s="63" t="str">
        <f>IF($A377="","",SUMPRODUCT((MOVIMIENTOS!$B$5:$B$1005="SALDO INICIAL")*(MOVIMIENTOS!$C$5:$C$1005="C")*(MOVIMIENTOS!$D$5:$D$1005="jabas")*(MOVIMIENTOS!$A$5:$A$1005&lt;&gt;"")*(MOVIMIENTOS!$A$5:$A$1005&lt;=$A377)*MOVIMIENTOS!$E$5:$E$1005)+SUMPRODUCT((MOVIMIENTOS!$B$5:$B$1005="PROCESO")*(MOVIMIENTOS!$C$5:$C$1005="C")*(MOVIMIENTOS!$D$5:$D$1005="jabas")*(MOVIMIENTOS!$A$5:$A$1005&lt;&gt;"")*(MOVIMIENTOS!$A$5:$A$1005&lt;=$A377)*MOVIMIENTOS!$E$5:$E$1005)-SUMPRODUCT((MOVIMIENTOS!$B$5:$B$1005="ENVÍO A SUPESA")*(MOVIMIENTOS!$C$5:$C$1005="C")*(MOVIMIENTOS!$D$5:$D$1005="jabas")*(MOVIMIENTOS!$A$5:$A$1005&lt;&gt;"")*(MOVIMIENTOS!$A$5:$A$1005&lt;=$A377)*MOVIMIENTOS!$E$5:$E$1005)+SUMPRODUCT((MOVIMIENTOS!$B$5:$B$1005="DEVOLUCIÓN")*(MOVIMIENTOS!$C$5:$C$1005="C")*(MOVIMIENTOS!$D$5:$D$1005="jabas")*(MOVIMIENTOS!$A$5:$A$1005&lt;&gt;"")*(MOVIMIENTOS!$A$5:$A$1005&lt;=$A377)*MOVIMIENTOS!$E$5:$E$1005)-SUMPRODUCT((MOVIMIENTOS!$B$5:$B$1005="TRASIEGO")*(MOVIMIENTOS!$C$5:$C$1005="C")*(MOVIMIENTOS!$D$5:$D$1005="jabas")*(MOVIMIENTOS!$A$5:$A$1005&lt;&gt;"")*(MOVIMIENTOS!$A$5:$A$1005&lt;=$A377)*MOVIMIENTOS!$E$5:$E$1005)-SUMPRODUCT((MOVIMIENTOS!$B$5:$B$1005="REGALO")*(MOVIMIENTOS!$C$5:$C$1005="C")*(MOVIMIENTOS!$D$5:$D$1005="jabas")*(MOVIMIENTOS!$A$5:$A$1005&lt;&gt;"")*(MOVIMIENTOS!$A$5:$A$1005&lt;=$A377)*MOVIMIENTOS!$E$5:$E$1005)-SUMPRODUCT((MOVIMIENTOS!$B$5:$B$1005="VENTA")*(MOVIMIENTOS!$C$5:$C$1005="C")*(MOVIMIENTOS!$D$5:$D$1005="jabas")*(MOVIMIENTOS!$A$5:$A$1005&lt;&gt;"")*(MOVIMIENTOS!$A$5:$A$1005&lt;=$A377)*MOVIMIENTOS!$E$5:$E$1005)+SUMPRODUCT((MOVIMIENTOS!$B$5:$B$1005="AJUSTE")*(MOVIMIENTOS!$C$5:$C$1005="C")*(MOVIMIENTOS!$D$5:$D$1005="jabas")*(MOVIMIENTOS!$A$5:$A$1005&lt;&gt;"")*(MOVIMIENTOS!$A$5:$A$1005&lt;=$A377)*MOVIMIENTOS!$E$5:$E$1005))</f>
        <v/>
      </c>
      <c r="E377" s="63" t="str">
        <f>IF($A377="","",SUMPRODUCT((MOVIMIENTOS!$B$5:$B$1005="SALDO INICIAL")*(MOVIMIENTOS!$C$5:$C$1005="M")*(MOVIMIENTOS!$D$5:$D$1005="jabas")*(MOVIMIENTOS!$A$5:$A$1005&lt;&gt;"")*(MOVIMIENTOS!$A$5:$A$1005&lt;=$A377)*MOVIMIENTOS!$E$5:$E$1005)+SUMPRODUCT((MOVIMIENTOS!$B$5:$B$1005="PROCESO")*(MOVIMIENTOS!$C$5:$C$1005="M")*(MOVIMIENTOS!$D$5:$D$1005="jabas")*(MOVIMIENTOS!$A$5:$A$1005&lt;&gt;"")*(MOVIMIENTOS!$A$5:$A$1005&lt;=$A377)*MOVIMIENTOS!$E$5:$E$1005)-SUMPRODUCT((MOVIMIENTOS!$B$5:$B$1005="ENVÍO A SUPESA")*(MOVIMIENTOS!$C$5:$C$1005="M")*(MOVIMIENTOS!$D$5:$D$1005="jabas")*(MOVIMIENTOS!$A$5:$A$1005&lt;&gt;"")*(MOVIMIENTOS!$A$5:$A$1005&lt;=$A377)*MOVIMIENTOS!$E$5:$E$1005)+SUMPRODUCT((MOVIMIENTOS!$B$5:$B$1005="DEVOLUCIÓN")*(MOVIMIENTOS!$C$5:$C$1005="M")*(MOVIMIENTOS!$D$5:$D$1005="jabas")*(MOVIMIENTOS!$A$5:$A$1005&lt;&gt;"")*(MOVIMIENTOS!$A$5:$A$1005&lt;=$A377)*MOVIMIENTOS!$E$5:$E$1005)-SUMPRODUCT((MOVIMIENTOS!$B$5:$B$1005="TRASIEGO")*(MOVIMIENTOS!$C$5:$C$1005="M")*(MOVIMIENTOS!$D$5:$D$1005="jabas")*(MOVIMIENTOS!$A$5:$A$1005&lt;&gt;"")*(MOVIMIENTOS!$A$5:$A$1005&lt;=$A377)*MOVIMIENTOS!$E$5:$E$1005)-SUMPRODUCT((MOVIMIENTOS!$B$5:$B$1005="REGALO")*(MOVIMIENTOS!$C$5:$C$1005="M")*(MOVIMIENTOS!$D$5:$D$1005="jabas")*(MOVIMIENTOS!$A$5:$A$1005&lt;&gt;"")*(MOVIMIENTOS!$A$5:$A$1005&lt;=$A377)*MOVIMIENTOS!$E$5:$E$1005)-SUMPRODUCT((MOVIMIENTOS!$B$5:$B$1005="VENTA")*(MOVIMIENTOS!$C$5:$C$1005="M")*(MOVIMIENTOS!$D$5:$D$1005="jabas")*(MOVIMIENTOS!$A$5:$A$1005&lt;&gt;"")*(MOVIMIENTOS!$A$5:$A$1005&lt;=$A377)*MOVIMIENTOS!$E$5:$E$1005)+SUMPRODUCT((MOVIMIENTOS!$B$5:$B$1005="AJUSTE")*(MOVIMIENTOS!$C$5:$C$1005="M")*(MOVIMIENTOS!$D$5:$D$1005="jabas")*(MOVIMIENTOS!$A$5:$A$1005&lt;&gt;"")*(MOVIMIENTOS!$A$5:$A$1005&lt;=$A377)*MOVIMIENTOS!$E$5:$E$1005))</f>
        <v/>
      </c>
      <c r="F377" s="63" t="str">
        <f>IF($A377="","",SUMPRODUCT((MOVIMIENTOS!$B$5:$B$1005="SALDO INICIAL")*(MOVIMIENTOS!$C$5:$C$1005="Chancho")*(MOVIMIENTOS!$D$5:$D$1005="sacos")*(MOVIMIENTOS!$A$5:$A$1005&lt;&gt;"")*(MOVIMIENTOS!$A$5:$A$1005&lt;=$A377)*MOVIMIENTOS!$E$5:$E$1005)+SUMPRODUCT((MOVIMIENTOS!$B$5:$B$1005="PROCESO")*(MOVIMIENTOS!$C$5:$C$1005="Chancho")*(MOVIMIENTOS!$D$5:$D$1005="sacos")*(MOVIMIENTOS!$A$5:$A$1005&lt;&gt;"")*(MOVIMIENTOS!$A$5:$A$1005&lt;=$A377)*MOVIMIENTOS!$E$5:$E$1005)-SUMPRODUCT((MOVIMIENTOS!$B$5:$B$1005="VENTA CHANCHO")*(MOVIMIENTOS!$C$5:$C$1005="Chancho")*(MOVIMIENTOS!$D$5:$D$1005="sacos")*(MOVIMIENTOS!$A$5:$A$1005&lt;&gt;"")*(MOVIMIENTOS!$A$5:$A$1005&lt;=$A377)*MOVIMIENTOS!$E$5:$E$1005)-SUMPRODUCT((MOVIMIENTOS!$B$5:$B$1005="REGALO")*(MOVIMIENTOS!$C$5:$C$1005="Chancho")*(MOVIMIENTOS!$D$5:$D$1005="sacos")*(MOVIMIENTOS!$A$5:$A$1005&lt;&gt;"")*(MOVIMIENTOS!$A$5:$A$1005&lt;=$A377)*MOVIMIENTOS!$E$5:$E$1005)-SUMPRODUCT((MOVIMIENTOS!$B$5:$B$1005="VENTA")*(MOVIMIENTOS!$C$5:$C$1005="Chancho")*(MOVIMIENTOS!$D$5:$D$1005="sacos")*(MOVIMIENTOS!$A$5:$A$1005&lt;&gt;"")*(MOVIMIENTOS!$A$5:$A$1005&lt;=$A377)*MOVIMIENTOS!$E$5:$E$1005)+SUMPRODUCT((MOVIMIENTOS!$B$5:$B$1005="AJUSTE")*(MOVIMIENTOS!$C$5:$C$1005="Chancho")*(MOVIMIENTOS!$D$5:$D$1005="sacos")*(MOVIMIENTOS!$A$5:$A$1005&lt;&gt;"")*(MOVIMIENTOS!$A$5:$A$1005&lt;=$A377)*MOVIMIENTOS!$E$5:$E$1005))</f>
        <v/>
      </c>
      <c r="G377" s="95" t="str">
        <f t="shared" si="11"/>
        <v/>
      </c>
      <c r="H377" s="63" t="str">
        <f>IF($A377="","",SUMPRODUCT((((MOVIMIENTOS!$B$5:$B$1005="SALDO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377)*MOVIMIENTOS!$J$5:$J$1005))</f>
        <v/>
      </c>
      <c r="I377" s="63"/>
      <c r="J377" s="63" t="str">
        <f>IF(AND(MOVIMIENTOS!$A378&lt;&gt;"",COUNTIF(MOVIMIENTOS!$A$5:$A377,MOVIMIENTOS!$A378)=0),COUNT(J$4:J376)+1,"")</f>
        <v/>
      </c>
      <c r="K377" s="66">
        <f>MOVIMIENTOS!$A378</f>
        <v>46247</v>
      </c>
      <c r="L377" s="63"/>
      <c r="M377" s="63"/>
      <c r="N377" s="63"/>
    </row>
    <row r="378" spans="1:14" ht="15" customHeight="1" x14ac:dyDescent="0.2">
      <c r="A378" s="63" t="str">
        <f t="shared" si="10"/>
        <v/>
      </c>
      <c r="B378" s="63" t="str">
        <f>IF($A378="","",SUMPRODUCT((MOVIMIENTOS!$B$5:$B$1005="SALDO INICIAL")*(MOVIMIENTOS!$C$5:$C$1005="A")*(MOVIMIENTOS!$D$5:$D$1005="jabas")*(MOVIMIENTOS!$A$5:$A$1005&lt;&gt;"")*(MOVIMIENTOS!$A$5:$A$1005&lt;=$A378)*MOVIMIENTOS!$E$5:$E$1005)+SUMPRODUCT((MOVIMIENTOS!$B$5:$B$1005="PROCESO")*(MOVIMIENTOS!$C$5:$C$1005="A")*(MOVIMIENTOS!$D$5:$D$1005="jabas")*(MOVIMIENTOS!$A$5:$A$1005&lt;&gt;"")*(MOVIMIENTOS!$A$5:$A$1005&lt;=$A378)*MOVIMIENTOS!$E$5:$E$1005)-SUMPRODUCT((MOVIMIENTOS!$B$5:$B$1005="ENVÍO A SUPESA")*(MOVIMIENTOS!$C$5:$C$1005="A")*(MOVIMIENTOS!$D$5:$D$1005="jabas")*(MOVIMIENTOS!$A$5:$A$1005&lt;&gt;"")*(MOVIMIENTOS!$A$5:$A$1005&lt;=$A378)*MOVIMIENTOS!$E$5:$E$1005)+SUMPRODUCT((MOVIMIENTOS!$B$5:$B$1005="DEVOLUCIÓN")*(MOVIMIENTOS!$C$5:$C$1005="A")*(MOVIMIENTOS!$D$5:$D$1005="jabas")*(MOVIMIENTOS!$A$5:$A$1005&lt;&gt;"")*(MOVIMIENTOS!$A$5:$A$1005&lt;=$A378)*MOVIMIENTOS!$E$5:$E$1005)-SUMPRODUCT((MOVIMIENTOS!$B$5:$B$1005="TRASIEGO")*(MOVIMIENTOS!$C$5:$C$1005="A")*(MOVIMIENTOS!$D$5:$D$1005="jabas")*(MOVIMIENTOS!$A$5:$A$1005&lt;&gt;"")*(MOVIMIENTOS!$A$5:$A$1005&lt;=$A378)*MOVIMIENTOS!$E$5:$E$1005)-SUMPRODUCT((MOVIMIENTOS!$B$5:$B$1005="REGALO")*(MOVIMIENTOS!$C$5:$C$1005="A")*(MOVIMIENTOS!$D$5:$D$1005="jabas")*(MOVIMIENTOS!$A$5:$A$1005&lt;&gt;"")*(MOVIMIENTOS!$A$5:$A$1005&lt;=$A378)*MOVIMIENTOS!$E$5:$E$1005)-SUMPRODUCT((MOVIMIENTOS!$B$5:$B$1005="VENTA")*(MOVIMIENTOS!$C$5:$C$1005="A")*(MOVIMIENTOS!$D$5:$D$1005="jabas")*(MOVIMIENTOS!$A$5:$A$1005&lt;&gt;"")*(MOVIMIENTOS!$A$5:$A$1005&lt;=$A378)*MOVIMIENTOS!$E$5:$E$1005)+SUMPRODUCT((MOVIMIENTOS!$B$5:$B$1005="AJUSTE")*(MOVIMIENTOS!$C$5:$C$1005="A")*(MOVIMIENTOS!$D$5:$D$1005="jabas")*(MOVIMIENTOS!$A$5:$A$1005&lt;&gt;"")*(MOVIMIENTOS!$A$5:$A$1005&lt;=$A378)*MOVIMIENTOS!$E$5:$E$1005))</f>
        <v/>
      </c>
      <c r="C378" s="63" t="str">
        <f>IF($A378="","",SUMPRODUCT((MOVIMIENTOS!$B$5:$B$1005="SALDO INICIAL")*(MOVIMIENTOS!$C$5:$C$1005="P")*(MOVIMIENTOS!$D$5:$D$1005="jabas")*(MOVIMIENTOS!$A$5:$A$1005&lt;&gt;"")*(MOVIMIENTOS!$A$5:$A$1005&lt;=$A378)*MOVIMIENTOS!$E$5:$E$1005)+SUMPRODUCT((MOVIMIENTOS!$B$5:$B$1005="PROCESO")*(MOVIMIENTOS!$C$5:$C$1005="P")*(MOVIMIENTOS!$D$5:$D$1005="jabas")*(MOVIMIENTOS!$A$5:$A$1005&lt;&gt;"")*(MOVIMIENTOS!$A$5:$A$1005&lt;=$A378)*MOVIMIENTOS!$E$5:$E$1005)-SUMPRODUCT((MOVIMIENTOS!$B$5:$B$1005="ENVÍO A SUPESA")*(MOVIMIENTOS!$C$5:$C$1005="P")*(MOVIMIENTOS!$D$5:$D$1005="jabas")*(MOVIMIENTOS!$A$5:$A$1005&lt;&gt;"")*(MOVIMIENTOS!$A$5:$A$1005&lt;=$A378)*MOVIMIENTOS!$E$5:$E$1005)+SUMPRODUCT((MOVIMIENTOS!$B$5:$B$1005="DEVOLUCIÓN")*(MOVIMIENTOS!$C$5:$C$1005="P")*(MOVIMIENTOS!$D$5:$D$1005="jabas")*(MOVIMIENTOS!$A$5:$A$1005&lt;&gt;"")*(MOVIMIENTOS!$A$5:$A$1005&lt;=$A378)*MOVIMIENTOS!$E$5:$E$1005)-SUMPRODUCT((MOVIMIENTOS!$B$5:$B$1005="TRASIEGO")*(MOVIMIENTOS!$C$5:$C$1005="P")*(MOVIMIENTOS!$D$5:$D$1005="jabas")*(MOVIMIENTOS!$A$5:$A$1005&lt;&gt;"")*(MOVIMIENTOS!$A$5:$A$1005&lt;=$A378)*MOVIMIENTOS!$E$5:$E$1005)-SUMPRODUCT((MOVIMIENTOS!$B$5:$B$1005="REGALO")*(MOVIMIENTOS!$C$5:$C$1005="P")*(MOVIMIENTOS!$D$5:$D$1005="jabas")*(MOVIMIENTOS!$A$5:$A$1005&lt;&gt;"")*(MOVIMIENTOS!$A$5:$A$1005&lt;=$A378)*MOVIMIENTOS!$E$5:$E$1005)-SUMPRODUCT((MOVIMIENTOS!$B$5:$B$1005="VENTA")*(MOVIMIENTOS!$C$5:$C$1005="P")*(MOVIMIENTOS!$D$5:$D$1005="jabas")*(MOVIMIENTOS!$A$5:$A$1005&lt;&gt;"")*(MOVIMIENTOS!$A$5:$A$1005&lt;=$A378)*MOVIMIENTOS!$E$5:$E$1005)+SUMPRODUCT((MOVIMIENTOS!$B$5:$B$1005="AJUSTE")*(MOVIMIENTOS!$C$5:$C$1005="P")*(MOVIMIENTOS!$D$5:$D$1005="jabas")*(MOVIMIENTOS!$A$5:$A$1005&lt;&gt;"")*(MOVIMIENTOS!$A$5:$A$1005&lt;=$A378)*MOVIMIENTOS!$E$5:$E$1005))</f>
        <v/>
      </c>
      <c r="D378" s="63" t="str">
        <f>IF($A378="","",SUMPRODUCT((MOVIMIENTOS!$B$5:$B$1005="SALDO INICIAL")*(MOVIMIENTOS!$C$5:$C$1005="C")*(MOVIMIENTOS!$D$5:$D$1005="jabas")*(MOVIMIENTOS!$A$5:$A$1005&lt;&gt;"")*(MOVIMIENTOS!$A$5:$A$1005&lt;=$A378)*MOVIMIENTOS!$E$5:$E$1005)+SUMPRODUCT((MOVIMIENTOS!$B$5:$B$1005="PROCESO")*(MOVIMIENTOS!$C$5:$C$1005="C")*(MOVIMIENTOS!$D$5:$D$1005="jabas")*(MOVIMIENTOS!$A$5:$A$1005&lt;&gt;"")*(MOVIMIENTOS!$A$5:$A$1005&lt;=$A378)*MOVIMIENTOS!$E$5:$E$1005)-SUMPRODUCT((MOVIMIENTOS!$B$5:$B$1005="ENVÍO A SUPESA")*(MOVIMIENTOS!$C$5:$C$1005="C")*(MOVIMIENTOS!$D$5:$D$1005="jabas")*(MOVIMIENTOS!$A$5:$A$1005&lt;&gt;"")*(MOVIMIENTOS!$A$5:$A$1005&lt;=$A378)*MOVIMIENTOS!$E$5:$E$1005)+SUMPRODUCT((MOVIMIENTOS!$B$5:$B$1005="DEVOLUCIÓN")*(MOVIMIENTOS!$C$5:$C$1005="C")*(MOVIMIENTOS!$D$5:$D$1005="jabas")*(MOVIMIENTOS!$A$5:$A$1005&lt;&gt;"")*(MOVIMIENTOS!$A$5:$A$1005&lt;=$A378)*MOVIMIENTOS!$E$5:$E$1005)-SUMPRODUCT((MOVIMIENTOS!$B$5:$B$1005="TRASIEGO")*(MOVIMIENTOS!$C$5:$C$1005="C")*(MOVIMIENTOS!$D$5:$D$1005="jabas")*(MOVIMIENTOS!$A$5:$A$1005&lt;&gt;"")*(MOVIMIENTOS!$A$5:$A$1005&lt;=$A378)*MOVIMIENTOS!$E$5:$E$1005)-SUMPRODUCT((MOVIMIENTOS!$B$5:$B$1005="REGALO")*(MOVIMIENTOS!$C$5:$C$1005="C")*(MOVIMIENTOS!$D$5:$D$1005="jabas")*(MOVIMIENTOS!$A$5:$A$1005&lt;&gt;"")*(MOVIMIENTOS!$A$5:$A$1005&lt;=$A378)*MOVIMIENTOS!$E$5:$E$1005)-SUMPRODUCT((MOVIMIENTOS!$B$5:$B$1005="VENTA")*(MOVIMIENTOS!$C$5:$C$1005="C")*(MOVIMIENTOS!$D$5:$D$1005="jabas")*(MOVIMIENTOS!$A$5:$A$1005&lt;&gt;"")*(MOVIMIENTOS!$A$5:$A$1005&lt;=$A378)*MOVIMIENTOS!$E$5:$E$1005)+SUMPRODUCT((MOVIMIENTOS!$B$5:$B$1005="AJUSTE")*(MOVIMIENTOS!$C$5:$C$1005="C")*(MOVIMIENTOS!$D$5:$D$1005="jabas")*(MOVIMIENTOS!$A$5:$A$1005&lt;&gt;"")*(MOVIMIENTOS!$A$5:$A$1005&lt;=$A378)*MOVIMIENTOS!$E$5:$E$1005))</f>
        <v/>
      </c>
      <c r="E378" s="63" t="str">
        <f>IF($A378="","",SUMPRODUCT((MOVIMIENTOS!$B$5:$B$1005="SALDO INICIAL")*(MOVIMIENTOS!$C$5:$C$1005="M")*(MOVIMIENTOS!$D$5:$D$1005="jabas")*(MOVIMIENTOS!$A$5:$A$1005&lt;&gt;"")*(MOVIMIENTOS!$A$5:$A$1005&lt;=$A378)*MOVIMIENTOS!$E$5:$E$1005)+SUMPRODUCT((MOVIMIENTOS!$B$5:$B$1005="PROCESO")*(MOVIMIENTOS!$C$5:$C$1005="M")*(MOVIMIENTOS!$D$5:$D$1005="jabas")*(MOVIMIENTOS!$A$5:$A$1005&lt;&gt;"")*(MOVIMIENTOS!$A$5:$A$1005&lt;=$A378)*MOVIMIENTOS!$E$5:$E$1005)-SUMPRODUCT((MOVIMIENTOS!$B$5:$B$1005="ENVÍO A SUPESA")*(MOVIMIENTOS!$C$5:$C$1005="M")*(MOVIMIENTOS!$D$5:$D$1005="jabas")*(MOVIMIENTOS!$A$5:$A$1005&lt;&gt;"")*(MOVIMIENTOS!$A$5:$A$1005&lt;=$A378)*MOVIMIENTOS!$E$5:$E$1005)+SUMPRODUCT((MOVIMIENTOS!$B$5:$B$1005="DEVOLUCIÓN")*(MOVIMIENTOS!$C$5:$C$1005="M")*(MOVIMIENTOS!$D$5:$D$1005="jabas")*(MOVIMIENTOS!$A$5:$A$1005&lt;&gt;"")*(MOVIMIENTOS!$A$5:$A$1005&lt;=$A378)*MOVIMIENTOS!$E$5:$E$1005)-SUMPRODUCT((MOVIMIENTOS!$B$5:$B$1005="TRASIEGO")*(MOVIMIENTOS!$C$5:$C$1005="M")*(MOVIMIENTOS!$D$5:$D$1005="jabas")*(MOVIMIENTOS!$A$5:$A$1005&lt;&gt;"")*(MOVIMIENTOS!$A$5:$A$1005&lt;=$A378)*MOVIMIENTOS!$E$5:$E$1005)-SUMPRODUCT((MOVIMIENTOS!$B$5:$B$1005="REGALO")*(MOVIMIENTOS!$C$5:$C$1005="M")*(MOVIMIENTOS!$D$5:$D$1005="jabas")*(MOVIMIENTOS!$A$5:$A$1005&lt;&gt;"")*(MOVIMIENTOS!$A$5:$A$1005&lt;=$A378)*MOVIMIENTOS!$E$5:$E$1005)-SUMPRODUCT((MOVIMIENTOS!$B$5:$B$1005="VENTA")*(MOVIMIENTOS!$C$5:$C$1005="M")*(MOVIMIENTOS!$D$5:$D$1005="jabas")*(MOVIMIENTOS!$A$5:$A$1005&lt;&gt;"")*(MOVIMIENTOS!$A$5:$A$1005&lt;=$A378)*MOVIMIENTOS!$E$5:$E$1005)+SUMPRODUCT((MOVIMIENTOS!$B$5:$B$1005="AJUSTE")*(MOVIMIENTOS!$C$5:$C$1005="M")*(MOVIMIENTOS!$D$5:$D$1005="jabas")*(MOVIMIENTOS!$A$5:$A$1005&lt;&gt;"")*(MOVIMIENTOS!$A$5:$A$1005&lt;=$A378)*MOVIMIENTOS!$E$5:$E$1005))</f>
        <v/>
      </c>
      <c r="F378" s="63" t="str">
        <f>IF($A378="","",SUMPRODUCT((MOVIMIENTOS!$B$5:$B$1005="SALDO INICIAL")*(MOVIMIENTOS!$C$5:$C$1005="Chancho")*(MOVIMIENTOS!$D$5:$D$1005="sacos")*(MOVIMIENTOS!$A$5:$A$1005&lt;&gt;"")*(MOVIMIENTOS!$A$5:$A$1005&lt;=$A378)*MOVIMIENTOS!$E$5:$E$1005)+SUMPRODUCT((MOVIMIENTOS!$B$5:$B$1005="PROCESO")*(MOVIMIENTOS!$C$5:$C$1005="Chancho")*(MOVIMIENTOS!$D$5:$D$1005="sacos")*(MOVIMIENTOS!$A$5:$A$1005&lt;&gt;"")*(MOVIMIENTOS!$A$5:$A$1005&lt;=$A378)*MOVIMIENTOS!$E$5:$E$1005)-SUMPRODUCT((MOVIMIENTOS!$B$5:$B$1005="VENTA CHANCHO")*(MOVIMIENTOS!$C$5:$C$1005="Chancho")*(MOVIMIENTOS!$D$5:$D$1005="sacos")*(MOVIMIENTOS!$A$5:$A$1005&lt;&gt;"")*(MOVIMIENTOS!$A$5:$A$1005&lt;=$A378)*MOVIMIENTOS!$E$5:$E$1005)-SUMPRODUCT((MOVIMIENTOS!$B$5:$B$1005="REGALO")*(MOVIMIENTOS!$C$5:$C$1005="Chancho")*(MOVIMIENTOS!$D$5:$D$1005="sacos")*(MOVIMIENTOS!$A$5:$A$1005&lt;&gt;"")*(MOVIMIENTOS!$A$5:$A$1005&lt;=$A378)*MOVIMIENTOS!$E$5:$E$1005)-SUMPRODUCT((MOVIMIENTOS!$B$5:$B$1005="VENTA")*(MOVIMIENTOS!$C$5:$C$1005="Chancho")*(MOVIMIENTOS!$D$5:$D$1005="sacos")*(MOVIMIENTOS!$A$5:$A$1005&lt;&gt;"")*(MOVIMIENTOS!$A$5:$A$1005&lt;=$A378)*MOVIMIENTOS!$E$5:$E$1005)+SUMPRODUCT((MOVIMIENTOS!$B$5:$B$1005="AJUSTE")*(MOVIMIENTOS!$C$5:$C$1005="Chancho")*(MOVIMIENTOS!$D$5:$D$1005="sacos")*(MOVIMIENTOS!$A$5:$A$1005&lt;&gt;"")*(MOVIMIENTOS!$A$5:$A$1005&lt;=$A378)*MOVIMIENTOS!$E$5:$E$1005))</f>
        <v/>
      </c>
      <c r="G378" s="95" t="str">
        <f t="shared" si="11"/>
        <v/>
      </c>
      <c r="H378" s="63" t="str">
        <f>IF($A378="","",SUMPRODUCT((((MOVIMIENTOS!$B$5:$B$1005="SALDO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378)*MOVIMIENTOS!$J$5:$J$1005))</f>
        <v/>
      </c>
      <c r="I378" s="63"/>
      <c r="J378" s="63" t="str">
        <f>IF(AND(MOVIMIENTOS!$A379&lt;&gt;"",COUNTIF(MOVIMIENTOS!$A$5:$A378,MOVIMIENTOS!$A379)=0),COUNT(J$4:J377)+1,"")</f>
        <v/>
      </c>
      <c r="K378" s="66">
        <f>MOVIMIENTOS!$A379</f>
        <v>46247</v>
      </c>
      <c r="L378" s="63"/>
      <c r="M378" s="63"/>
      <c r="N378" s="63"/>
    </row>
    <row r="379" spans="1:14" ht="15" customHeight="1" x14ac:dyDescent="0.2">
      <c r="A379" s="63" t="str">
        <f t="shared" si="10"/>
        <v/>
      </c>
      <c r="B379" s="63" t="str">
        <f>IF($A379="","",SUMPRODUCT((MOVIMIENTOS!$B$5:$B$1005="SALDO INICIAL")*(MOVIMIENTOS!$C$5:$C$1005="A")*(MOVIMIENTOS!$D$5:$D$1005="jabas")*(MOVIMIENTOS!$A$5:$A$1005&lt;&gt;"")*(MOVIMIENTOS!$A$5:$A$1005&lt;=$A379)*MOVIMIENTOS!$E$5:$E$1005)+SUMPRODUCT((MOVIMIENTOS!$B$5:$B$1005="PROCESO")*(MOVIMIENTOS!$C$5:$C$1005="A")*(MOVIMIENTOS!$D$5:$D$1005="jabas")*(MOVIMIENTOS!$A$5:$A$1005&lt;&gt;"")*(MOVIMIENTOS!$A$5:$A$1005&lt;=$A379)*MOVIMIENTOS!$E$5:$E$1005)-SUMPRODUCT((MOVIMIENTOS!$B$5:$B$1005="ENVÍO A SUPESA")*(MOVIMIENTOS!$C$5:$C$1005="A")*(MOVIMIENTOS!$D$5:$D$1005="jabas")*(MOVIMIENTOS!$A$5:$A$1005&lt;&gt;"")*(MOVIMIENTOS!$A$5:$A$1005&lt;=$A379)*MOVIMIENTOS!$E$5:$E$1005)+SUMPRODUCT((MOVIMIENTOS!$B$5:$B$1005="DEVOLUCIÓN")*(MOVIMIENTOS!$C$5:$C$1005="A")*(MOVIMIENTOS!$D$5:$D$1005="jabas")*(MOVIMIENTOS!$A$5:$A$1005&lt;&gt;"")*(MOVIMIENTOS!$A$5:$A$1005&lt;=$A379)*MOVIMIENTOS!$E$5:$E$1005)-SUMPRODUCT((MOVIMIENTOS!$B$5:$B$1005="TRASIEGO")*(MOVIMIENTOS!$C$5:$C$1005="A")*(MOVIMIENTOS!$D$5:$D$1005="jabas")*(MOVIMIENTOS!$A$5:$A$1005&lt;&gt;"")*(MOVIMIENTOS!$A$5:$A$1005&lt;=$A379)*MOVIMIENTOS!$E$5:$E$1005)-SUMPRODUCT((MOVIMIENTOS!$B$5:$B$1005="REGALO")*(MOVIMIENTOS!$C$5:$C$1005="A")*(MOVIMIENTOS!$D$5:$D$1005="jabas")*(MOVIMIENTOS!$A$5:$A$1005&lt;&gt;"")*(MOVIMIENTOS!$A$5:$A$1005&lt;=$A379)*MOVIMIENTOS!$E$5:$E$1005)-SUMPRODUCT((MOVIMIENTOS!$B$5:$B$1005="VENTA")*(MOVIMIENTOS!$C$5:$C$1005="A")*(MOVIMIENTOS!$D$5:$D$1005="jabas")*(MOVIMIENTOS!$A$5:$A$1005&lt;&gt;"")*(MOVIMIENTOS!$A$5:$A$1005&lt;=$A379)*MOVIMIENTOS!$E$5:$E$1005)+SUMPRODUCT((MOVIMIENTOS!$B$5:$B$1005="AJUSTE")*(MOVIMIENTOS!$C$5:$C$1005="A")*(MOVIMIENTOS!$D$5:$D$1005="jabas")*(MOVIMIENTOS!$A$5:$A$1005&lt;&gt;"")*(MOVIMIENTOS!$A$5:$A$1005&lt;=$A379)*MOVIMIENTOS!$E$5:$E$1005))</f>
        <v/>
      </c>
      <c r="C379" s="63" t="str">
        <f>IF($A379="","",SUMPRODUCT((MOVIMIENTOS!$B$5:$B$1005="SALDO INICIAL")*(MOVIMIENTOS!$C$5:$C$1005="P")*(MOVIMIENTOS!$D$5:$D$1005="jabas")*(MOVIMIENTOS!$A$5:$A$1005&lt;&gt;"")*(MOVIMIENTOS!$A$5:$A$1005&lt;=$A379)*MOVIMIENTOS!$E$5:$E$1005)+SUMPRODUCT((MOVIMIENTOS!$B$5:$B$1005="PROCESO")*(MOVIMIENTOS!$C$5:$C$1005="P")*(MOVIMIENTOS!$D$5:$D$1005="jabas")*(MOVIMIENTOS!$A$5:$A$1005&lt;&gt;"")*(MOVIMIENTOS!$A$5:$A$1005&lt;=$A379)*MOVIMIENTOS!$E$5:$E$1005)-SUMPRODUCT((MOVIMIENTOS!$B$5:$B$1005="ENVÍO A SUPESA")*(MOVIMIENTOS!$C$5:$C$1005="P")*(MOVIMIENTOS!$D$5:$D$1005="jabas")*(MOVIMIENTOS!$A$5:$A$1005&lt;&gt;"")*(MOVIMIENTOS!$A$5:$A$1005&lt;=$A379)*MOVIMIENTOS!$E$5:$E$1005)+SUMPRODUCT((MOVIMIENTOS!$B$5:$B$1005="DEVOLUCIÓN")*(MOVIMIENTOS!$C$5:$C$1005="P")*(MOVIMIENTOS!$D$5:$D$1005="jabas")*(MOVIMIENTOS!$A$5:$A$1005&lt;&gt;"")*(MOVIMIENTOS!$A$5:$A$1005&lt;=$A379)*MOVIMIENTOS!$E$5:$E$1005)-SUMPRODUCT((MOVIMIENTOS!$B$5:$B$1005="TRASIEGO")*(MOVIMIENTOS!$C$5:$C$1005="P")*(MOVIMIENTOS!$D$5:$D$1005="jabas")*(MOVIMIENTOS!$A$5:$A$1005&lt;&gt;"")*(MOVIMIENTOS!$A$5:$A$1005&lt;=$A379)*MOVIMIENTOS!$E$5:$E$1005)-SUMPRODUCT((MOVIMIENTOS!$B$5:$B$1005="REGALO")*(MOVIMIENTOS!$C$5:$C$1005="P")*(MOVIMIENTOS!$D$5:$D$1005="jabas")*(MOVIMIENTOS!$A$5:$A$1005&lt;&gt;"")*(MOVIMIENTOS!$A$5:$A$1005&lt;=$A379)*MOVIMIENTOS!$E$5:$E$1005)-SUMPRODUCT((MOVIMIENTOS!$B$5:$B$1005="VENTA")*(MOVIMIENTOS!$C$5:$C$1005="P")*(MOVIMIENTOS!$D$5:$D$1005="jabas")*(MOVIMIENTOS!$A$5:$A$1005&lt;&gt;"")*(MOVIMIENTOS!$A$5:$A$1005&lt;=$A379)*MOVIMIENTOS!$E$5:$E$1005)+SUMPRODUCT((MOVIMIENTOS!$B$5:$B$1005="AJUSTE")*(MOVIMIENTOS!$C$5:$C$1005="P")*(MOVIMIENTOS!$D$5:$D$1005="jabas")*(MOVIMIENTOS!$A$5:$A$1005&lt;&gt;"")*(MOVIMIENTOS!$A$5:$A$1005&lt;=$A379)*MOVIMIENTOS!$E$5:$E$1005))</f>
        <v/>
      </c>
      <c r="D379" s="63" t="str">
        <f>IF($A379="","",SUMPRODUCT((MOVIMIENTOS!$B$5:$B$1005="SALDO INICIAL")*(MOVIMIENTOS!$C$5:$C$1005="C")*(MOVIMIENTOS!$D$5:$D$1005="jabas")*(MOVIMIENTOS!$A$5:$A$1005&lt;&gt;"")*(MOVIMIENTOS!$A$5:$A$1005&lt;=$A379)*MOVIMIENTOS!$E$5:$E$1005)+SUMPRODUCT((MOVIMIENTOS!$B$5:$B$1005="PROCESO")*(MOVIMIENTOS!$C$5:$C$1005="C")*(MOVIMIENTOS!$D$5:$D$1005="jabas")*(MOVIMIENTOS!$A$5:$A$1005&lt;&gt;"")*(MOVIMIENTOS!$A$5:$A$1005&lt;=$A379)*MOVIMIENTOS!$E$5:$E$1005)-SUMPRODUCT((MOVIMIENTOS!$B$5:$B$1005="ENVÍO A SUPESA")*(MOVIMIENTOS!$C$5:$C$1005="C")*(MOVIMIENTOS!$D$5:$D$1005="jabas")*(MOVIMIENTOS!$A$5:$A$1005&lt;&gt;"")*(MOVIMIENTOS!$A$5:$A$1005&lt;=$A379)*MOVIMIENTOS!$E$5:$E$1005)+SUMPRODUCT((MOVIMIENTOS!$B$5:$B$1005="DEVOLUCIÓN")*(MOVIMIENTOS!$C$5:$C$1005="C")*(MOVIMIENTOS!$D$5:$D$1005="jabas")*(MOVIMIENTOS!$A$5:$A$1005&lt;&gt;"")*(MOVIMIENTOS!$A$5:$A$1005&lt;=$A379)*MOVIMIENTOS!$E$5:$E$1005)-SUMPRODUCT((MOVIMIENTOS!$B$5:$B$1005="TRASIEGO")*(MOVIMIENTOS!$C$5:$C$1005="C")*(MOVIMIENTOS!$D$5:$D$1005="jabas")*(MOVIMIENTOS!$A$5:$A$1005&lt;&gt;"")*(MOVIMIENTOS!$A$5:$A$1005&lt;=$A379)*MOVIMIENTOS!$E$5:$E$1005)-SUMPRODUCT((MOVIMIENTOS!$B$5:$B$1005="REGALO")*(MOVIMIENTOS!$C$5:$C$1005="C")*(MOVIMIENTOS!$D$5:$D$1005="jabas")*(MOVIMIENTOS!$A$5:$A$1005&lt;&gt;"")*(MOVIMIENTOS!$A$5:$A$1005&lt;=$A379)*MOVIMIENTOS!$E$5:$E$1005)-SUMPRODUCT((MOVIMIENTOS!$B$5:$B$1005="VENTA")*(MOVIMIENTOS!$C$5:$C$1005="C")*(MOVIMIENTOS!$D$5:$D$1005="jabas")*(MOVIMIENTOS!$A$5:$A$1005&lt;&gt;"")*(MOVIMIENTOS!$A$5:$A$1005&lt;=$A379)*MOVIMIENTOS!$E$5:$E$1005)+SUMPRODUCT((MOVIMIENTOS!$B$5:$B$1005="AJUSTE")*(MOVIMIENTOS!$C$5:$C$1005="C")*(MOVIMIENTOS!$D$5:$D$1005="jabas")*(MOVIMIENTOS!$A$5:$A$1005&lt;&gt;"")*(MOVIMIENTOS!$A$5:$A$1005&lt;=$A379)*MOVIMIENTOS!$E$5:$E$1005))</f>
        <v/>
      </c>
      <c r="E379" s="63" t="str">
        <f>IF($A379="","",SUMPRODUCT((MOVIMIENTOS!$B$5:$B$1005="SALDO INICIAL")*(MOVIMIENTOS!$C$5:$C$1005="M")*(MOVIMIENTOS!$D$5:$D$1005="jabas")*(MOVIMIENTOS!$A$5:$A$1005&lt;&gt;"")*(MOVIMIENTOS!$A$5:$A$1005&lt;=$A379)*MOVIMIENTOS!$E$5:$E$1005)+SUMPRODUCT((MOVIMIENTOS!$B$5:$B$1005="PROCESO")*(MOVIMIENTOS!$C$5:$C$1005="M")*(MOVIMIENTOS!$D$5:$D$1005="jabas")*(MOVIMIENTOS!$A$5:$A$1005&lt;&gt;"")*(MOVIMIENTOS!$A$5:$A$1005&lt;=$A379)*MOVIMIENTOS!$E$5:$E$1005)-SUMPRODUCT((MOVIMIENTOS!$B$5:$B$1005="ENVÍO A SUPESA")*(MOVIMIENTOS!$C$5:$C$1005="M")*(MOVIMIENTOS!$D$5:$D$1005="jabas")*(MOVIMIENTOS!$A$5:$A$1005&lt;&gt;"")*(MOVIMIENTOS!$A$5:$A$1005&lt;=$A379)*MOVIMIENTOS!$E$5:$E$1005)+SUMPRODUCT((MOVIMIENTOS!$B$5:$B$1005="DEVOLUCIÓN")*(MOVIMIENTOS!$C$5:$C$1005="M")*(MOVIMIENTOS!$D$5:$D$1005="jabas")*(MOVIMIENTOS!$A$5:$A$1005&lt;&gt;"")*(MOVIMIENTOS!$A$5:$A$1005&lt;=$A379)*MOVIMIENTOS!$E$5:$E$1005)-SUMPRODUCT((MOVIMIENTOS!$B$5:$B$1005="TRASIEGO")*(MOVIMIENTOS!$C$5:$C$1005="M")*(MOVIMIENTOS!$D$5:$D$1005="jabas")*(MOVIMIENTOS!$A$5:$A$1005&lt;&gt;"")*(MOVIMIENTOS!$A$5:$A$1005&lt;=$A379)*MOVIMIENTOS!$E$5:$E$1005)-SUMPRODUCT((MOVIMIENTOS!$B$5:$B$1005="REGALO")*(MOVIMIENTOS!$C$5:$C$1005="M")*(MOVIMIENTOS!$D$5:$D$1005="jabas")*(MOVIMIENTOS!$A$5:$A$1005&lt;&gt;"")*(MOVIMIENTOS!$A$5:$A$1005&lt;=$A379)*MOVIMIENTOS!$E$5:$E$1005)-SUMPRODUCT((MOVIMIENTOS!$B$5:$B$1005="VENTA")*(MOVIMIENTOS!$C$5:$C$1005="M")*(MOVIMIENTOS!$D$5:$D$1005="jabas")*(MOVIMIENTOS!$A$5:$A$1005&lt;&gt;"")*(MOVIMIENTOS!$A$5:$A$1005&lt;=$A379)*MOVIMIENTOS!$E$5:$E$1005)+SUMPRODUCT((MOVIMIENTOS!$B$5:$B$1005="AJUSTE")*(MOVIMIENTOS!$C$5:$C$1005="M")*(MOVIMIENTOS!$D$5:$D$1005="jabas")*(MOVIMIENTOS!$A$5:$A$1005&lt;&gt;"")*(MOVIMIENTOS!$A$5:$A$1005&lt;=$A379)*MOVIMIENTOS!$E$5:$E$1005))</f>
        <v/>
      </c>
      <c r="F379" s="63" t="str">
        <f>IF($A379="","",SUMPRODUCT((MOVIMIENTOS!$B$5:$B$1005="SALDO INICIAL")*(MOVIMIENTOS!$C$5:$C$1005="Chancho")*(MOVIMIENTOS!$D$5:$D$1005="sacos")*(MOVIMIENTOS!$A$5:$A$1005&lt;&gt;"")*(MOVIMIENTOS!$A$5:$A$1005&lt;=$A379)*MOVIMIENTOS!$E$5:$E$1005)+SUMPRODUCT((MOVIMIENTOS!$B$5:$B$1005="PROCESO")*(MOVIMIENTOS!$C$5:$C$1005="Chancho")*(MOVIMIENTOS!$D$5:$D$1005="sacos")*(MOVIMIENTOS!$A$5:$A$1005&lt;&gt;"")*(MOVIMIENTOS!$A$5:$A$1005&lt;=$A379)*MOVIMIENTOS!$E$5:$E$1005)-SUMPRODUCT((MOVIMIENTOS!$B$5:$B$1005="VENTA CHANCHO")*(MOVIMIENTOS!$C$5:$C$1005="Chancho")*(MOVIMIENTOS!$D$5:$D$1005="sacos")*(MOVIMIENTOS!$A$5:$A$1005&lt;&gt;"")*(MOVIMIENTOS!$A$5:$A$1005&lt;=$A379)*MOVIMIENTOS!$E$5:$E$1005)-SUMPRODUCT((MOVIMIENTOS!$B$5:$B$1005="REGALO")*(MOVIMIENTOS!$C$5:$C$1005="Chancho")*(MOVIMIENTOS!$D$5:$D$1005="sacos")*(MOVIMIENTOS!$A$5:$A$1005&lt;&gt;"")*(MOVIMIENTOS!$A$5:$A$1005&lt;=$A379)*MOVIMIENTOS!$E$5:$E$1005)-SUMPRODUCT((MOVIMIENTOS!$B$5:$B$1005="VENTA")*(MOVIMIENTOS!$C$5:$C$1005="Chancho")*(MOVIMIENTOS!$D$5:$D$1005="sacos")*(MOVIMIENTOS!$A$5:$A$1005&lt;&gt;"")*(MOVIMIENTOS!$A$5:$A$1005&lt;=$A379)*MOVIMIENTOS!$E$5:$E$1005)+SUMPRODUCT((MOVIMIENTOS!$B$5:$B$1005="AJUSTE")*(MOVIMIENTOS!$C$5:$C$1005="Chancho")*(MOVIMIENTOS!$D$5:$D$1005="sacos")*(MOVIMIENTOS!$A$5:$A$1005&lt;&gt;"")*(MOVIMIENTOS!$A$5:$A$1005&lt;=$A379)*MOVIMIENTOS!$E$5:$E$1005))</f>
        <v/>
      </c>
      <c r="G379" s="95" t="str">
        <f t="shared" si="11"/>
        <v/>
      </c>
      <c r="H379" s="63" t="str">
        <f>IF($A379="","",SUMPRODUCT((((MOVIMIENTOS!$B$5:$B$1005="SALDO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379)*MOVIMIENTOS!$J$5:$J$1005))</f>
        <v/>
      </c>
      <c r="I379" s="63"/>
      <c r="J379" s="63" t="str">
        <f>IF(AND(MOVIMIENTOS!$A380&lt;&gt;"",COUNTIF(MOVIMIENTOS!$A$5:$A379,MOVIMIENTOS!$A380)=0),COUNT(J$4:J378)+1,"")</f>
        <v/>
      </c>
      <c r="K379" s="66">
        <f>MOVIMIENTOS!$A380</f>
        <v>46247</v>
      </c>
      <c r="L379" s="63"/>
      <c r="M379" s="63"/>
      <c r="N379" s="63"/>
    </row>
    <row r="380" spans="1:14" ht="15" customHeight="1" x14ac:dyDescent="0.2">
      <c r="A380" s="63" t="str">
        <f t="shared" si="10"/>
        <v/>
      </c>
      <c r="B380" s="63" t="str">
        <f>IF($A380="","",SUMPRODUCT((MOVIMIENTOS!$B$5:$B$1005="SALDO INICIAL")*(MOVIMIENTOS!$C$5:$C$1005="A")*(MOVIMIENTOS!$D$5:$D$1005="jabas")*(MOVIMIENTOS!$A$5:$A$1005&lt;&gt;"")*(MOVIMIENTOS!$A$5:$A$1005&lt;=$A380)*MOVIMIENTOS!$E$5:$E$1005)+SUMPRODUCT((MOVIMIENTOS!$B$5:$B$1005="PROCESO")*(MOVIMIENTOS!$C$5:$C$1005="A")*(MOVIMIENTOS!$D$5:$D$1005="jabas")*(MOVIMIENTOS!$A$5:$A$1005&lt;&gt;"")*(MOVIMIENTOS!$A$5:$A$1005&lt;=$A380)*MOVIMIENTOS!$E$5:$E$1005)-SUMPRODUCT((MOVIMIENTOS!$B$5:$B$1005="ENVÍO A SUPESA")*(MOVIMIENTOS!$C$5:$C$1005="A")*(MOVIMIENTOS!$D$5:$D$1005="jabas")*(MOVIMIENTOS!$A$5:$A$1005&lt;&gt;"")*(MOVIMIENTOS!$A$5:$A$1005&lt;=$A380)*MOVIMIENTOS!$E$5:$E$1005)+SUMPRODUCT((MOVIMIENTOS!$B$5:$B$1005="DEVOLUCIÓN")*(MOVIMIENTOS!$C$5:$C$1005="A")*(MOVIMIENTOS!$D$5:$D$1005="jabas")*(MOVIMIENTOS!$A$5:$A$1005&lt;&gt;"")*(MOVIMIENTOS!$A$5:$A$1005&lt;=$A380)*MOVIMIENTOS!$E$5:$E$1005)-SUMPRODUCT((MOVIMIENTOS!$B$5:$B$1005="TRASIEGO")*(MOVIMIENTOS!$C$5:$C$1005="A")*(MOVIMIENTOS!$D$5:$D$1005="jabas")*(MOVIMIENTOS!$A$5:$A$1005&lt;&gt;"")*(MOVIMIENTOS!$A$5:$A$1005&lt;=$A380)*MOVIMIENTOS!$E$5:$E$1005)-SUMPRODUCT((MOVIMIENTOS!$B$5:$B$1005="REGALO")*(MOVIMIENTOS!$C$5:$C$1005="A")*(MOVIMIENTOS!$D$5:$D$1005="jabas")*(MOVIMIENTOS!$A$5:$A$1005&lt;&gt;"")*(MOVIMIENTOS!$A$5:$A$1005&lt;=$A380)*MOVIMIENTOS!$E$5:$E$1005)-SUMPRODUCT((MOVIMIENTOS!$B$5:$B$1005="VENTA")*(MOVIMIENTOS!$C$5:$C$1005="A")*(MOVIMIENTOS!$D$5:$D$1005="jabas")*(MOVIMIENTOS!$A$5:$A$1005&lt;&gt;"")*(MOVIMIENTOS!$A$5:$A$1005&lt;=$A380)*MOVIMIENTOS!$E$5:$E$1005)+SUMPRODUCT((MOVIMIENTOS!$B$5:$B$1005="AJUSTE")*(MOVIMIENTOS!$C$5:$C$1005="A")*(MOVIMIENTOS!$D$5:$D$1005="jabas")*(MOVIMIENTOS!$A$5:$A$1005&lt;&gt;"")*(MOVIMIENTOS!$A$5:$A$1005&lt;=$A380)*MOVIMIENTOS!$E$5:$E$1005))</f>
        <v/>
      </c>
      <c r="C380" s="63" t="str">
        <f>IF($A380="","",SUMPRODUCT((MOVIMIENTOS!$B$5:$B$1005="SALDO INICIAL")*(MOVIMIENTOS!$C$5:$C$1005="P")*(MOVIMIENTOS!$D$5:$D$1005="jabas")*(MOVIMIENTOS!$A$5:$A$1005&lt;&gt;"")*(MOVIMIENTOS!$A$5:$A$1005&lt;=$A380)*MOVIMIENTOS!$E$5:$E$1005)+SUMPRODUCT((MOVIMIENTOS!$B$5:$B$1005="PROCESO")*(MOVIMIENTOS!$C$5:$C$1005="P")*(MOVIMIENTOS!$D$5:$D$1005="jabas")*(MOVIMIENTOS!$A$5:$A$1005&lt;&gt;"")*(MOVIMIENTOS!$A$5:$A$1005&lt;=$A380)*MOVIMIENTOS!$E$5:$E$1005)-SUMPRODUCT((MOVIMIENTOS!$B$5:$B$1005="ENVÍO A SUPESA")*(MOVIMIENTOS!$C$5:$C$1005="P")*(MOVIMIENTOS!$D$5:$D$1005="jabas")*(MOVIMIENTOS!$A$5:$A$1005&lt;&gt;"")*(MOVIMIENTOS!$A$5:$A$1005&lt;=$A380)*MOVIMIENTOS!$E$5:$E$1005)+SUMPRODUCT((MOVIMIENTOS!$B$5:$B$1005="DEVOLUCIÓN")*(MOVIMIENTOS!$C$5:$C$1005="P")*(MOVIMIENTOS!$D$5:$D$1005="jabas")*(MOVIMIENTOS!$A$5:$A$1005&lt;&gt;"")*(MOVIMIENTOS!$A$5:$A$1005&lt;=$A380)*MOVIMIENTOS!$E$5:$E$1005)-SUMPRODUCT((MOVIMIENTOS!$B$5:$B$1005="TRASIEGO")*(MOVIMIENTOS!$C$5:$C$1005="P")*(MOVIMIENTOS!$D$5:$D$1005="jabas")*(MOVIMIENTOS!$A$5:$A$1005&lt;&gt;"")*(MOVIMIENTOS!$A$5:$A$1005&lt;=$A380)*MOVIMIENTOS!$E$5:$E$1005)-SUMPRODUCT((MOVIMIENTOS!$B$5:$B$1005="REGALO")*(MOVIMIENTOS!$C$5:$C$1005="P")*(MOVIMIENTOS!$D$5:$D$1005="jabas")*(MOVIMIENTOS!$A$5:$A$1005&lt;&gt;"")*(MOVIMIENTOS!$A$5:$A$1005&lt;=$A380)*MOVIMIENTOS!$E$5:$E$1005)-SUMPRODUCT((MOVIMIENTOS!$B$5:$B$1005="VENTA")*(MOVIMIENTOS!$C$5:$C$1005="P")*(MOVIMIENTOS!$D$5:$D$1005="jabas")*(MOVIMIENTOS!$A$5:$A$1005&lt;&gt;"")*(MOVIMIENTOS!$A$5:$A$1005&lt;=$A380)*MOVIMIENTOS!$E$5:$E$1005)+SUMPRODUCT((MOVIMIENTOS!$B$5:$B$1005="AJUSTE")*(MOVIMIENTOS!$C$5:$C$1005="P")*(MOVIMIENTOS!$D$5:$D$1005="jabas")*(MOVIMIENTOS!$A$5:$A$1005&lt;&gt;"")*(MOVIMIENTOS!$A$5:$A$1005&lt;=$A380)*MOVIMIENTOS!$E$5:$E$1005))</f>
        <v/>
      </c>
      <c r="D380" s="63" t="str">
        <f>IF($A380="","",SUMPRODUCT((MOVIMIENTOS!$B$5:$B$1005="SALDO INICIAL")*(MOVIMIENTOS!$C$5:$C$1005="C")*(MOVIMIENTOS!$D$5:$D$1005="jabas")*(MOVIMIENTOS!$A$5:$A$1005&lt;&gt;"")*(MOVIMIENTOS!$A$5:$A$1005&lt;=$A380)*MOVIMIENTOS!$E$5:$E$1005)+SUMPRODUCT((MOVIMIENTOS!$B$5:$B$1005="PROCESO")*(MOVIMIENTOS!$C$5:$C$1005="C")*(MOVIMIENTOS!$D$5:$D$1005="jabas")*(MOVIMIENTOS!$A$5:$A$1005&lt;&gt;"")*(MOVIMIENTOS!$A$5:$A$1005&lt;=$A380)*MOVIMIENTOS!$E$5:$E$1005)-SUMPRODUCT((MOVIMIENTOS!$B$5:$B$1005="ENVÍO A SUPESA")*(MOVIMIENTOS!$C$5:$C$1005="C")*(MOVIMIENTOS!$D$5:$D$1005="jabas")*(MOVIMIENTOS!$A$5:$A$1005&lt;&gt;"")*(MOVIMIENTOS!$A$5:$A$1005&lt;=$A380)*MOVIMIENTOS!$E$5:$E$1005)+SUMPRODUCT((MOVIMIENTOS!$B$5:$B$1005="DEVOLUCIÓN")*(MOVIMIENTOS!$C$5:$C$1005="C")*(MOVIMIENTOS!$D$5:$D$1005="jabas")*(MOVIMIENTOS!$A$5:$A$1005&lt;&gt;"")*(MOVIMIENTOS!$A$5:$A$1005&lt;=$A380)*MOVIMIENTOS!$E$5:$E$1005)-SUMPRODUCT((MOVIMIENTOS!$B$5:$B$1005="TRASIEGO")*(MOVIMIENTOS!$C$5:$C$1005="C")*(MOVIMIENTOS!$D$5:$D$1005="jabas")*(MOVIMIENTOS!$A$5:$A$1005&lt;&gt;"")*(MOVIMIENTOS!$A$5:$A$1005&lt;=$A380)*MOVIMIENTOS!$E$5:$E$1005)-SUMPRODUCT((MOVIMIENTOS!$B$5:$B$1005="REGALO")*(MOVIMIENTOS!$C$5:$C$1005="C")*(MOVIMIENTOS!$D$5:$D$1005="jabas")*(MOVIMIENTOS!$A$5:$A$1005&lt;&gt;"")*(MOVIMIENTOS!$A$5:$A$1005&lt;=$A380)*MOVIMIENTOS!$E$5:$E$1005)-SUMPRODUCT((MOVIMIENTOS!$B$5:$B$1005="VENTA")*(MOVIMIENTOS!$C$5:$C$1005="C")*(MOVIMIENTOS!$D$5:$D$1005="jabas")*(MOVIMIENTOS!$A$5:$A$1005&lt;&gt;"")*(MOVIMIENTOS!$A$5:$A$1005&lt;=$A380)*MOVIMIENTOS!$E$5:$E$1005)+SUMPRODUCT((MOVIMIENTOS!$B$5:$B$1005="AJUSTE")*(MOVIMIENTOS!$C$5:$C$1005="C")*(MOVIMIENTOS!$D$5:$D$1005="jabas")*(MOVIMIENTOS!$A$5:$A$1005&lt;&gt;"")*(MOVIMIENTOS!$A$5:$A$1005&lt;=$A380)*MOVIMIENTOS!$E$5:$E$1005))</f>
        <v/>
      </c>
      <c r="E380" s="63" t="str">
        <f>IF($A380="","",SUMPRODUCT((MOVIMIENTOS!$B$5:$B$1005="SALDO INICIAL")*(MOVIMIENTOS!$C$5:$C$1005="M")*(MOVIMIENTOS!$D$5:$D$1005="jabas")*(MOVIMIENTOS!$A$5:$A$1005&lt;&gt;"")*(MOVIMIENTOS!$A$5:$A$1005&lt;=$A380)*MOVIMIENTOS!$E$5:$E$1005)+SUMPRODUCT((MOVIMIENTOS!$B$5:$B$1005="PROCESO")*(MOVIMIENTOS!$C$5:$C$1005="M")*(MOVIMIENTOS!$D$5:$D$1005="jabas")*(MOVIMIENTOS!$A$5:$A$1005&lt;&gt;"")*(MOVIMIENTOS!$A$5:$A$1005&lt;=$A380)*MOVIMIENTOS!$E$5:$E$1005)-SUMPRODUCT((MOVIMIENTOS!$B$5:$B$1005="ENVÍO A SUPESA")*(MOVIMIENTOS!$C$5:$C$1005="M")*(MOVIMIENTOS!$D$5:$D$1005="jabas")*(MOVIMIENTOS!$A$5:$A$1005&lt;&gt;"")*(MOVIMIENTOS!$A$5:$A$1005&lt;=$A380)*MOVIMIENTOS!$E$5:$E$1005)+SUMPRODUCT((MOVIMIENTOS!$B$5:$B$1005="DEVOLUCIÓN")*(MOVIMIENTOS!$C$5:$C$1005="M")*(MOVIMIENTOS!$D$5:$D$1005="jabas")*(MOVIMIENTOS!$A$5:$A$1005&lt;&gt;"")*(MOVIMIENTOS!$A$5:$A$1005&lt;=$A380)*MOVIMIENTOS!$E$5:$E$1005)-SUMPRODUCT((MOVIMIENTOS!$B$5:$B$1005="TRASIEGO")*(MOVIMIENTOS!$C$5:$C$1005="M")*(MOVIMIENTOS!$D$5:$D$1005="jabas")*(MOVIMIENTOS!$A$5:$A$1005&lt;&gt;"")*(MOVIMIENTOS!$A$5:$A$1005&lt;=$A380)*MOVIMIENTOS!$E$5:$E$1005)-SUMPRODUCT((MOVIMIENTOS!$B$5:$B$1005="REGALO")*(MOVIMIENTOS!$C$5:$C$1005="M")*(MOVIMIENTOS!$D$5:$D$1005="jabas")*(MOVIMIENTOS!$A$5:$A$1005&lt;&gt;"")*(MOVIMIENTOS!$A$5:$A$1005&lt;=$A380)*MOVIMIENTOS!$E$5:$E$1005)-SUMPRODUCT((MOVIMIENTOS!$B$5:$B$1005="VENTA")*(MOVIMIENTOS!$C$5:$C$1005="M")*(MOVIMIENTOS!$D$5:$D$1005="jabas")*(MOVIMIENTOS!$A$5:$A$1005&lt;&gt;"")*(MOVIMIENTOS!$A$5:$A$1005&lt;=$A380)*MOVIMIENTOS!$E$5:$E$1005)+SUMPRODUCT((MOVIMIENTOS!$B$5:$B$1005="AJUSTE")*(MOVIMIENTOS!$C$5:$C$1005="M")*(MOVIMIENTOS!$D$5:$D$1005="jabas")*(MOVIMIENTOS!$A$5:$A$1005&lt;&gt;"")*(MOVIMIENTOS!$A$5:$A$1005&lt;=$A380)*MOVIMIENTOS!$E$5:$E$1005))</f>
        <v/>
      </c>
      <c r="F380" s="63" t="str">
        <f>IF($A380="","",SUMPRODUCT((MOVIMIENTOS!$B$5:$B$1005="SALDO INICIAL")*(MOVIMIENTOS!$C$5:$C$1005="Chancho")*(MOVIMIENTOS!$D$5:$D$1005="sacos")*(MOVIMIENTOS!$A$5:$A$1005&lt;&gt;"")*(MOVIMIENTOS!$A$5:$A$1005&lt;=$A380)*MOVIMIENTOS!$E$5:$E$1005)+SUMPRODUCT((MOVIMIENTOS!$B$5:$B$1005="PROCESO")*(MOVIMIENTOS!$C$5:$C$1005="Chancho")*(MOVIMIENTOS!$D$5:$D$1005="sacos")*(MOVIMIENTOS!$A$5:$A$1005&lt;&gt;"")*(MOVIMIENTOS!$A$5:$A$1005&lt;=$A380)*MOVIMIENTOS!$E$5:$E$1005)-SUMPRODUCT((MOVIMIENTOS!$B$5:$B$1005="VENTA CHANCHO")*(MOVIMIENTOS!$C$5:$C$1005="Chancho")*(MOVIMIENTOS!$D$5:$D$1005="sacos")*(MOVIMIENTOS!$A$5:$A$1005&lt;&gt;"")*(MOVIMIENTOS!$A$5:$A$1005&lt;=$A380)*MOVIMIENTOS!$E$5:$E$1005)-SUMPRODUCT((MOVIMIENTOS!$B$5:$B$1005="REGALO")*(MOVIMIENTOS!$C$5:$C$1005="Chancho")*(MOVIMIENTOS!$D$5:$D$1005="sacos")*(MOVIMIENTOS!$A$5:$A$1005&lt;&gt;"")*(MOVIMIENTOS!$A$5:$A$1005&lt;=$A380)*MOVIMIENTOS!$E$5:$E$1005)-SUMPRODUCT((MOVIMIENTOS!$B$5:$B$1005="VENTA")*(MOVIMIENTOS!$C$5:$C$1005="Chancho")*(MOVIMIENTOS!$D$5:$D$1005="sacos")*(MOVIMIENTOS!$A$5:$A$1005&lt;&gt;"")*(MOVIMIENTOS!$A$5:$A$1005&lt;=$A380)*MOVIMIENTOS!$E$5:$E$1005)+SUMPRODUCT((MOVIMIENTOS!$B$5:$B$1005="AJUSTE")*(MOVIMIENTOS!$C$5:$C$1005="Chancho")*(MOVIMIENTOS!$D$5:$D$1005="sacos")*(MOVIMIENTOS!$A$5:$A$1005&lt;&gt;"")*(MOVIMIENTOS!$A$5:$A$1005&lt;=$A380)*MOVIMIENTOS!$E$5:$E$1005))</f>
        <v/>
      </c>
      <c r="G380" s="95" t="str">
        <f t="shared" si="11"/>
        <v/>
      </c>
      <c r="H380" s="63" t="str">
        <f>IF($A380="","",SUMPRODUCT((((MOVIMIENTOS!$B$5:$B$1005="SALDO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380)*MOVIMIENTOS!$J$5:$J$1005))</f>
        <v/>
      </c>
      <c r="I380" s="63"/>
      <c r="J380" s="63" t="str">
        <f>IF(AND(MOVIMIENTOS!$A381&lt;&gt;"",COUNTIF(MOVIMIENTOS!$A$5:$A380,MOVIMIENTOS!$A381)=0),COUNT(J$4:J379)+1,"")</f>
        <v/>
      </c>
      <c r="K380" s="66">
        <f>MOVIMIENTOS!$A381</f>
        <v>46247</v>
      </c>
      <c r="L380" s="63"/>
      <c r="M380" s="63"/>
      <c r="N380" s="63"/>
    </row>
    <row r="381" spans="1:14" ht="15" customHeight="1" x14ac:dyDescent="0.2">
      <c r="A381" s="63" t="str">
        <f t="shared" si="10"/>
        <v/>
      </c>
      <c r="B381" s="63" t="str">
        <f>IF($A381="","",SUMPRODUCT((MOVIMIENTOS!$B$5:$B$1005="SALDO INICIAL")*(MOVIMIENTOS!$C$5:$C$1005="A")*(MOVIMIENTOS!$D$5:$D$1005="jabas")*(MOVIMIENTOS!$A$5:$A$1005&lt;&gt;"")*(MOVIMIENTOS!$A$5:$A$1005&lt;=$A381)*MOVIMIENTOS!$E$5:$E$1005)+SUMPRODUCT((MOVIMIENTOS!$B$5:$B$1005="PROCESO")*(MOVIMIENTOS!$C$5:$C$1005="A")*(MOVIMIENTOS!$D$5:$D$1005="jabas")*(MOVIMIENTOS!$A$5:$A$1005&lt;&gt;"")*(MOVIMIENTOS!$A$5:$A$1005&lt;=$A381)*MOVIMIENTOS!$E$5:$E$1005)-SUMPRODUCT((MOVIMIENTOS!$B$5:$B$1005="ENVÍO A SUPESA")*(MOVIMIENTOS!$C$5:$C$1005="A")*(MOVIMIENTOS!$D$5:$D$1005="jabas")*(MOVIMIENTOS!$A$5:$A$1005&lt;&gt;"")*(MOVIMIENTOS!$A$5:$A$1005&lt;=$A381)*MOVIMIENTOS!$E$5:$E$1005)+SUMPRODUCT((MOVIMIENTOS!$B$5:$B$1005="DEVOLUCIÓN")*(MOVIMIENTOS!$C$5:$C$1005="A")*(MOVIMIENTOS!$D$5:$D$1005="jabas")*(MOVIMIENTOS!$A$5:$A$1005&lt;&gt;"")*(MOVIMIENTOS!$A$5:$A$1005&lt;=$A381)*MOVIMIENTOS!$E$5:$E$1005)-SUMPRODUCT((MOVIMIENTOS!$B$5:$B$1005="TRASIEGO")*(MOVIMIENTOS!$C$5:$C$1005="A")*(MOVIMIENTOS!$D$5:$D$1005="jabas")*(MOVIMIENTOS!$A$5:$A$1005&lt;&gt;"")*(MOVIMIENTOS!$A$5:$A$1005&lt;=$A381)*MOVIMIENTOS!$E$5:$E$1005)-SUMPRODUCT((MOVIMIENTOS!$B$5:$B$1005="REGALO")*(MOVIMIENTOS!$C$5:$C$1005="A")*(MOVIMIENTOS!$D$5:$D$1005="jabas")*(MOVIMIENTOS!$A$5:$A$1005&lt;&gt;"")*(MOVIMIENTOS!$A$5:$A$1005&lt;=$A381)*MOVIMIENTOS!$E$5:$E$1005)-SUMPRODUCT((MOVIMIENTOS!$B$5:$B$1005="VENTA")*(MOVIMIENTOS!$C$5:$C$1005="A")*(MOVIMIENTOS!$D$5:$D$1005="jabas")*(MOVIMIENTOS!$A$5:$A$1005&lt;&gt;"")*(MOVIMIENTOS!$A$5:$A$1005&lt;=$A381)*MOVIMIENTOS!$E$5:$E$1005)+SUMPRODUCT((MOVIMIENTOS!$B$5:$B$1005="AJUSTE")*(MOVIMIENTOS!$C$5:$C$1005="A")*(MOVIMIENTOS!$D$5:$D$1005="jabas")*(MOVIMIENTOS!$A$5:$A$1005&lt;&gt;"")*(MOVIMIENTOS!$A$5:$A$1005&lt;=$A381)*MOVIMIENTOS!$E$5:$E$1005))</f>
        <v/>
      </c>
      <c r="C381" s="63" t="str">
        <f>IF($A381="","",SUMPRODUCT((MOVIMIENTOS!$B$5:$B$1005="SALDO INICIAL")*(MOVIMIENTOS!$C$5:$C$1005="P")*(MOVIMIENTOS!$D$5:$D$1005="jabas")*(MOVIMIENTOS!$A$5:$A$1005&lt;&gt;"")*(MOVIMIENTOS!$A$5:$A$1005&lt;=$A381)*MOVIMIENTOS!$E$5:$E$1005)+SUMPRODUCT((MOVIMIENTOS!$B$5:$B$1005="PROCESO")*(MOVIMIENTOS!$C$5:$C$1005="P")*(MOVIMIENTOS!$D$5:$D$1005="jabas")*(MOVIMIENTOS!$A$5:$A$1005&lt;&gt;"")*(MOVIMIENTOS!$A$5:$A$1005&lt;=$A381)*MOVIMIENTOS!$E$5:$E$1005)-SUMPRODUCT((MOVIMIENTOS!$B$5:$B$1005="ENVÍO A SUPESA")*(MOVIMIENTOS!$C$5:$C$1005="P")*(MOVIMIENTOS!$D$5:$D$1005="jabas")*(MOVIMIENTOS!$A$5:$A$1005&lt;&gt;"")*(MOVIMIENTOS!$A$5:$A$1005&lt;=$A381)*MOVIMIENTOS!$E$5:$E$1005)+SUMPRODUCT((MOVIMIENTOS!$B$5:$B$1005="DEVOLUCIÓN")*(MOVIMIENTOS!$C$5:$C$1005="P")*(MOVIMIENTOS!$D$5:$D$1005="jabas")*(MOVIMIENTOS!$A$5:$A$1005&lt;&gt;"")*(MOVIMIENTOS!$A$5:$A$1005&lt;=$A381)*MOVIMIENTOS!$E$5:$E$1005)-SUMPRODUCT((MOVIMIENTOS!$B$5:$B$1005="TRASIEGO")*(MOVIMIENTOS!$C$5:$C$1005="P")*(MOVIMIENTOS!$D$5:$D$1005="jabas")*(MOVIMIENTOS!$A$5:$A$1005&lt;&gt;"")*(MOVIMIENTOS!$A$5:$A$1005&lt;=$A381)*MOVIMIENTOS!$E$5:$E$1005)-SUMPRODUCT((MOVIMIENTOS!$B$5:$B$1005="REGALO")*(MOVIMIENTOS!$C$5:$C$1005="P")*(MOVIMIENTOS!$D$5:$D$1005="jabas")*(MOVIMIENTOS!$A$5:$A$1005&lt;&gt;"")*(MOVIMIENTOS!$A$5:$A$1005&lt;=$A381)*MOVIMIENTOS!$E$5:$E$1005)-SUMPRODUCT((MOVIMIENTOS!$B$5:$B$1005="VENTA")*(MOVIMIENTOS!$C$5:$C$1005="P")*(MOVIMIENTOS!$D$5:$D$1005="jabas")*(MOVIMIENTOS!$A$5:$A$1005&lt;&gt;"")*(MOVIMIENTOS!$A$5:$A$1005&lt;=$A381)*MOVIMIENTOS!$E$5:$E$1005)+SUMPRODUCT((MOVIMIENTOS!$B$5:$B$1005="AJUSTE")*(MOVIMIENTOS!$C$5:$C$1005="P")*(MOVIMIENTOS!$D$5:$D$1005="jabas")*(MOVIMIENTOS!$A$5:$A$1005&lt;&gt;"")*(MOVIMIENTOS!$A$5:$A$1005&lt;=$A381)*MOVIMIENTOS!$E$5:$E$1005))</f>
        <v/>
      </c>
      <c r="D381" s="63" t="str">
        <f>IF($A381="","",SUMPRODUCT((MOVIMIENTOS!$B$5:$B$1005="SALDO INICIAL")*(MOVIMIENTOS!$C$5:$C$1005="C")*(MOVIMIENTOS!$D$5:$D$1005="jabas")*(MOVIMIENTOS!$A$5:$A$1005&lt;&gt;"")*(MOVIMIENTOS!$A$5:$A$1005&lt;=$A381)*MOVIMIENTOS!$E$5:$E$1005)+SUMPRODUCT((MOVIMIENTOS!$B$5:$B$1005="PROCESO")*(MOVIMIENTOS!$C$5:$C$1005="C")*(MOVIMIENTOS!$D$5:$D$1005="jabas")*(MOVIMIENTOS!$A$5:$A$1005&lt;&gt;"")*(MOVIMIENTOS!$A$5:$A$1005&lt;=$A381)*MOVIMIENTOS!$E$5:$E$1005)-SUMPRODUCT((MOVIMIENTOS!$B$5:$B$1005="ENVÍO A SUPESA")*(MOVIMIENTOS!$C$5:$C$1005="C")*(MOVIMIENTOS!$D$5:$D$1005="jabas")*(MOVIMIENTOS!$A$5:$A$1005&lt;&gt;"")*(MOVIMIENTOS!$A$5:$A$1005&lt;=$A381)*MOVIMIENTOS!$E$5:$E$1005)+SUMPRODUCT((MOVIMIENTOS!$B$5:$B$1005="DEVOLUCIÓN")*(MOVIMIENTOS!$C$5:$C$1005="C")*(MOVIMIENTOS!$D$5:$D$1005="jabas")*(MOVIMIENTOS!$A$5:$A$1005&lt;&gt;"")*(MOVIMIENTOS!$A$5:$A$1005&lt;=$A381)*MOVIMIENTOS!$E$5:$E$1005)-SUMPRODUCT((MOVIMIENTOS!$B$5:$B$1005="TRASIEGO")*(MOVIMIENTOS!$C$5:$C$1005="C")*(MOVIMIENTOS!$D$5:$D$1005="jabas")*(MOVIMIENTOS!$A$5:$A$1005&lt;&gt;"")*(MOVIMIENTOS!$A$5:$A$1005&lt;=$A381)*MOVIMIENTOS!$E$5:$E$1005)-SUMPRODUCT((MOVIMIENTOS!$B$5:$B$1005="REGALO")*(MOVIMIENTOS!$C$5:$C$1005="C")*(MOVIMIENTOS!$D$5:$D$1005="jabas")*(MOVIMIENTOS!$A$5:$A$1005&lt;&gt;"")*(MOVIMIENTOS!$A$5:$A$1005&lt;=$A381)*MOVIMIENTOS!$E$5:$E$1005)-SUMPRODUCT((MOVIMIENTOS!$B$5:$B$1005="VENTA")*(MOVIMIENTOS!$C$5:$C$1005="C")*(MOVIMIENTOS!$D$5:$D$1005="jabas")*(MOVIMIENTOS!$A$5:$A$1005&lt;&gt;"")*(MOVIMIENTOS!$A$5:$A$1005&lt;=$A381)*MOVIMIENTOS!$E$5:$E$1005)+SUMPRODUCT((MOVIMIENTOS!$B$5:$B$1005="AJUSTE")*(MOVIMIENTOS!$C$5:$C$1005="C")*(MOVIMIENTOS!$D$5:$D$1005="jabas")*(MOVIMIENTOS!$A$5:$A$1005&lt;&gt;"")*(MOVIMIENTOS!$A$5:$A$1005&lt;=$A381)*MOVIMIENTOS!$E$5:$E$1005))</f>
        <v/>
      </c>
      <c r="E381" s="63" t="str">
        <f>IF($A381="","",SUMPRODUCT((MOVIMIENTOS!$B$5:$B$1005="SALDO INICIAL")*(MOVIMIENTOS!$C$5:$C$1005="M")*(MOVIMIENTOS!$D$5:$D$1005="jabas")*(MOVIMIENTOS!$A$5:$A$1005&lt;&gt;"")*(MOVIMIENTOS!$A$5:$A$1005&lt;=$A381)*MOVIMIENTOS!$E$5:$E$1005)+SUMPRODUCT((MOVIMIENTOS!$B$5:$B$1005="PROCESO")*(MOVIMIENTOS!$C$5:$C$1005="M")*(MOVIMIENTOS!$D$5:$D$1005="jabas")*(MOVIMIENTOS!$A$5:$A$1005&lt;&gt;"")*(MOVIMIENTOS!$A$5:$A$1005&lt;=$A381)*MOVIMIENTOS!$E$5:$E$1005)-SUMPRODUCT((MOVIMIENTOS!$B$5:$B$1005="ENVÍO A SUPESA")*(MOVIMIENTOS!$C$5:$C$1005="M")*(MOVIMIENTOS!$D$5:$D$1005="jabas")*(MOVIMIENTOS!$A$5:$A$1005&lt;&gt;"")*(MOVIMIENTOS!$A$5:$A$1005&lt;=$A381)*MOVIMIENTOS!$E$5:$E$1005)+SUMPRODUCT((MOVIMIENTOS!$B$5:$B$1005="DEVOLUCIÓN")*(MOVIMIENTOS!$C$5:$C$1005="M")*(MOVIMIENTOS!$D$5:$D$1005="jabas")*(MOVIMIENTOS!$A$5:$A$1005&lt;&gt;"")*(MOVIMIENTOS!$A$5:$A$1005&lt;=$A381)*MOVIMIENTOS!$E$5:$E$1005)-SUMPRODUCT((MOVIMIENTOS!$B$5:$B$1005="TRASIEGO")*(MOVIMIENTOS!$C$5:$C$1005="M")*(MOVIMIENTOS!$D$5:$D$1005="jabas")*(MOVIMIENTOS!$A$5:$A$1005&lt;&gt;"")*(MOVIMIENTOS!$A$5:$A$1005&lt;=$A381)*MOVIMIENTOS!$E$5:$E$1005)-SUMPRODUCT((MOVIMIENTOS!$B$5:$B$1005="REGALO")*(MOVIMIENTOS!$C$5:$C$1005="M")*(MOVIMIENTOS!$D$5:$D$1005="jabas")*(MOVIMIENTOS!$A$5:$A$1005&lt;&gt;"")*(MOVIMIENTOS!$A$5:$A$1005&lt;=$A381)*MOVIMIENTOS!$E$5:$E$1005)-SUMPRODUCT((MOVIMIENTOS!$B$5:$B$1005="VENTA")*(MOVIMIENTOS!$C$5:$C$1005="M")*(MOVIMIENTOS!$D$5:$D$1005="jabas")*(MOVIMIENTOS!$A$5:$A$1005&lt;&gt;"")*(MOVIMIENTOS!$A$5:$A$1005&lt;=$A381)*MOVIMIENTOS!$E$5:$E$1005)+SUMPRODUCT((MOVIMIENTOS!$B$5:$B$1005="AJUSTE")*(MOVIMIENTOS!$C$5:$C$1005="M")*(MOVIMIENTOS!$D$5:$D$1005="jabas")*(MOVIMIENTOS!$A$5:$A$1005&lt;&gt;"")*(MOVIMIENTOS!$A$5:$A$1005&lt;=$A381)*MOVIMIENTOS!$E$5:$E$1005))</f>
        <v/>
      </c>
      <c r="F381" s="63" t="str">
        <f>IF($A381="","",SUMPRODUCT((MOVIMIENTOS!$B$5:$B$1005="SALDO INICIAL")*(MOVIMIENTOS!$C$5:$C$1005="Chancho")*(MOVIMIENTOS!$D$5:$D$1005="sacos")*(MOVIMIENTOS!$A$5:$A$1005&lt;&gt;"")*(MOVIMIENTOS!$A$5:$A$1005&lt;=$A381)*MOVIMIENTOS!$E$5:$E$1005)+SUMPRODUCT((MOVIMIENTOS!$B$5:$B$1005="PROCESO")*(MOVIMIENTOS!$C$5:$C$1005="Chancho")*(MOVIMIENTOS!$D$5:$D$1005="sacos")*(MOVIMIENTOS!$A$5:$A$1005&lt;&gt;"")*(MOVIMIENTOS!$A$5:$A$1005&lt;=$A381)*MOVIMIENTOS!$E$5:$E$1005)-SUMPRODUCT((MOVIMIENTOS!$B$5:$B$1005="VENTA CHANCHO")*(MOVIMIENTOS!$C$5:$C$1005="Chancho")*(MOVIMIENTOS!$D$5:$D$1005="sacos")*(MOVIMIENTOS!$A$5:$A$1005&lt;&gt;"")*(MOVIMIENTOS!$A$5:$A$1005&lt;=$A381)*MOVIMIENTOS!$E$5:$E$1005)-SUMPRODUCT((MOVIMIENTOS!$B$5:$B$1005="REGALO")*(MOVIMIENTOS!$C$5:$C$1005="Chancho")*(MOVIMIENTOS!$D$5:$D$1005="sacos")*(MOVIMIENTOS!$A$5:$A$1005&lt;&gt;"")*(MOVIMIENTOS!$A$5:$A$1005&lt;=$A381)*MOVIMIENTOS!$E$5:$E$1005)-SUMPRODUCT((MOVIMIENTOS!$B$5:$B$1005="VENTA")*(MOVIMIENTOS!$C$5:$C$1005="Chancho")*(MOVIMIENTOS!$D$5:$D$1005="sacos")*(MOVIMIENTOS!$A$5:$A$1005&lt;&gt;"")*(MOVIMIENTOS!$A$5:$A$1005&lt;=$A381)*MOVIMIENTOS!$E$5:$E$1005)+SUMPRODUCT((MOVIMIENTOS!$B$5:$B$1005="AJUSTE")*(MOVIMIENTOS!$C$5:$C$1005="Chancho")*(MOVIMIENTOS!$D$5:$D$1005="sacos")*(MOVIMIENTOS!$A$5:$A$1005&lt;&gt;"")*(MOVIMIENTOS!$A$5:$A$1005&lt;=$A381)*MOVIMIENTOS!$E$5:$E$1005))</f>
        <v/>
      </c>
      <c r="G381" s="95" t="str">
        <f t="shared" si="11"/>
        <v/>
      </c>
      <c r="H381" s="63" t="str">
        <f>IF($A381="","",SUMPRODUCT((((MOVIMIENTOS!$B$5:$B$1005="SALDO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381)*MOVIMIENTOS!$J$5:$J$1005))</f>
        <v/>
      </c>
      <c r="I381" s="63"/>
      <c r="J381" s="63" t="str">
        <f>IF(AND(MOVIMIENTOS!$A382&lt;&gt;"",COUNTIF(MOVIMIENTOS!$A$5:$A381,MOVIMIENTOS!$A382)=0),COUNT(J$4:J380)+1,"")</f>
        <v/>
      </c>
      <c r="K381" s="66">
        <f>MOVIMIENTOS!$A382</f>
        <v>46247</v>
      </c>
      <c r="L381" s="63"/>
      <c r="M381" s="63"/>
      <c r="N381" s="63"/>
    </row>
    <row r="382" spans="1:14" ht="15" customHeight="1" x14ac:dyDescent="0.2">
      <c r="A382" s="63" t="str">
        <f t="shared" si="10"/>
        <v/>
      </c>
      <c r="B382" s="63" t="str">
        <f>IF($A382="","",SUMPRODUCT((MOVIMIENTOS!$B$5:$B$1005="SALDO INICIAL")*(MOVIMIENTOS!$C$5:$C$1005="A")*(MOVIMIENTOS!$D$5:$D$1005="jabas")*(MOVIMIENTOS!$A$5:$A$1005&lt;&gt;"")*(MOVIMIENTOS!$A$5:$A$1005&lt;=$A382)*MOVIMIENTOS!$E$5:$E$1005)+SUMPRODUCT((MOVIMIENTOS!$B$5:$B$1005="PROCESO")*(MOVIMIENTOS!$C$5:$C$1005="A")*(MOVIMIENTOS!$D$5:$D$1005="jabas")*(MOVIMIENTOS!$A$5:$A$1005&lt;&gt;"")*(MOVIMIENTOS!$A$5:$A$1005&lt;=$A382)*MOVIMIENTOS!$E$5:$E$1005)-SUMPRODUCT((MOVIMIENTOS!$B$5:$B$1005="ENVÍO A SUPESA")*(MOVIMIENTOS!$C$5:$C$1005="A")*(MOVIMIENTOS!$D$5:$D$1005="jabas")*(MOVIMIENTOS!$A$5:$A$1005&lt;&gt;"")*(MOVIMIENTOS!$A$5:$A$1005&lt;=$A382)*MOVIMIENTOS!$E$5:$E$1005)+SUMPRODUCT((MOVIMIENTOS!$B$5:$B$1005="DEVOLUCIÓN")*(MOVIMIENTOS!$C$5:$C$1005="A")*(MOVIMIENTOS!$D$5:$D$1005="jabas")*(MOVIMIENTOS!$A$5:$A$1005&lt;&gt;"")*(MOVIMIENTOS!$A$5:$A$1005&lt;=$A382)*MOVIMIENTOS!$E$5:$E$1005)-SUMPRODUCT((MOVIMIENTOS!$B$5:$B$1005="TRASIEGO")*(MOVIMIENTOS!$C$5:$C$1005="A")*(MOVIMIENTOS!$D$5:$D$1005="jabas")*(MOVIMIENTOS!$A$5:$A$1005&lt;&gt;"")*(MOVIMIENTOS!$A$5:$A$1005&lt;=$A382)*MOVIMIENTOS!$E$5:$E$1005)-SUMPRODUCT((MOVIMIENTOS!$B$5:$B$1005="REGALO")*(MOVIMIENTOS!$C$5:$C$1005="A")*(MOVIMIENTOS!$D$5:$D$1005="jabas")*(MOVIMIENTOS!$A$5:$A$1005&lt;&gt;"")*(MOVIMIENTOS!$A$5:$A$1005&lt;=$A382)*MOVIMIENTOS!$E$5:$E$1005)-SUMPRODUCT((MOVIMIENTOS!$B$5:$B$1005="VENTA")*(MOVIMIENTOS!$C$5:$C$1005="A")*(MOVIMIENTOS!$D$5:$D$1005="jabas")*(MOVIMIENTOS!$A$5:$A$1005&lt;&gt;"")*(MOVIMIENTOS!$A$5:$A$1005&lt;=$A382)*MOVIMIENTOS!$E$5:$E$1005)+SUMPRODUCT((MOVIMIENTOS!$B$5:$B$1005="AJUSTE")*(MOVIMIENTOS!$C$5:$C$1005="A")*(MOVIMIENTOS!$D$5:$D$1005="jabas")*(MOVIMIENTOS!$A$5:$A$1005&lt;&gt;"")*(MOVIMIENTOS!$A$5:$A$1005&lt;=$A382)*MOVIMIENTOS!$E$5:$E$1005))</f>
        <v/>
      </c>
      <c r="C382" s="63" t="str">
        <f>IF($A382="","",SUMPRODUCT((MOVIMIENTOS!$B$5:$B$1005="SALDO INICIAL")*(MOVIMIENTOS!$C$5:$C$1005="P")*(MOVIMIENTOS!$D$5:$D$1005="jabas")*(MOVIMIENTOS!$A$5:$A$1005&lt;&gt;"")*(MOVIMIENTOS!$A$5:$A$1005&lt;=$A382)*MOVIMIENTOS!$E$5:$E$1005)+SUMPRODUCT((MOVIMIENTOS!$B$5:$B$1005="PROCESO")*(MOVIMIENTOS!$C$5:$C$1005="P")*(MOVIMIENTOS!$D$5:$D$1005="jabas")*(MOVIMIENTOS!$A$5:$A$1005&lt;&gt;"")*(MOVIMIENTOS!$A$5:$A$1005&lt;=$A382)*MOVIMIENTOS!$E$5:$E$1005)-SUMPRODUCT((MOVIMIENTOS!$B$5:$B$1005="ENVÍO A SUPESA")*(MOVIMIENTOS!$C$5:$C$1005="P")*(MOVIMIENTOS!$D$5:$D$1005="jabas")*(MOVIMIENTOS!$A$5:$A$1005&lt;&gt;"")*(MOVIMIENTOS!$A$5:$A$1005&lt;=$A382)*MOVIMIENTOS!$E$5:$E$1005)+SUMPRODUCT((MOVIMIENTOS!$B$5:$B$1005="DEVOLUCIÓN")*(MOVIMIENTOS!$C$5:$C$1005="P")*(MOVIMIENTOS!$D$5:$D$1005="jabas")*(MOVIMIENTOS!$A$5:$A$1005&lt;&gt;"")*(MOVIMIENTOS!$A$5:$A$1005&lt;=$A382)*MOVIMIENTOS!$E$5:$E$1005)-SUMPRODUCT((MOVIMIENTOS!$B$5:$B$1005="TRASIEGO")*(MOVIMIENTOS!$C$5:$C$1005="P")*(MOVIMIENTOS!$D$5:$D$1005="jabas")*(MOVIMIENTOS!$A$5:$A$1005&lt;&gt;"")*(MOVIMIENTOS!$A$5:$A$1005&lt;=$A382)*MOVIMIENTOS!$E$5:$E$1005)-SUMPRODUCT((MOVIMIENTOS!$B$5:$B$1005="REGALO")*(MOVIMIENTOS!$C$5:$C$1005="P")*(MOVIMIENTOS!$D$5:$D$1005="jabas")*(MOVIMIENTOS!$A$5:$A$1005&lt;&gt;"")*(MOVIMIENTOS!$A$5:$A$1005&lt;=$A382)*MOVIMIENTOS!$E$5:$E$1005)-SUMPRODUCT((MOVIMIENTOS!$B$5:$B$1005="VENTA")*(MOVIMIENTOS!$C$5:$C$1005="P")*(MOVIMIENTOS!$D$5:$D$1005="jabas")*(MOVIMIENTOS!$A$5:$A$1005&lt;&gt;"")*(MOVIMIENTOS!$A$5:$A$1005&lt;=$A382)*MOVIMIENTOS!$E$5:$E$1005)+SUMPRODUCT((MOVIMIENTOS!$B$5:$B$1005="AJUSTE")*(MOVIMIENTOS!$C$5:$C$1005="P")*(MOVIMIENTOS!$D$5:$D$1005="jabas")*(MOVIMIENTOS!$A$5:$A$1005&lt;&gt;"")*(MOVIMIENTOS!$A$5:$A$1005&lt;=$A382)*MOVIMIENTOS!$E$5:$E$1005))</f>
        <v/>
      </c>
      <c r="D382" s="63" t="str">
        <f>IF($A382="","",SUMPRODUCT((MOVIMIENTOS!$B$5:$B$1005="SALDO INICIAL")*(MOVIMIENTOS!$C$5:$C$1005="C")*(MOVIMIENTOS!$D$5:$D$1005="jabas")*(MOVIMIENTOS!$A$5:$A$1005&lt;&gt;"")*(MOVIMIENTOS!$A$5:$A$1005&lt;=$A382)*MOVIMIENTOS!$E$5:$E$1005)+SUMPRODUCT((MOVIMIENTOS!$B$5:$B$1005="PROCESO")*(MOVIMIENTOS!$C$5:$C$1005="C")*(MOVIMIENTOS!$D$5:$D$1005="jabas")*(MOVIMIENTOS!$A$5:$A$1005&lt;&gt;"")*(MOVIMIENTOS!$A$5:$A$1005&lt;=$A382)*MOVIMIENTOS!$E$5:$E$1005)-SUMPRODUCT((MOVIMIENTOS!$B$5:$B$1005="ENVÍO A SUPESA")*(MOVIMIENTOS!$C$5:$C$1005="C")*(MOVIMIENTOS!$D$5:$D$1005="jabas")*(MOVIMIENTOS!$A$5:$A$1005&lt;&gt;"")*(MOVIMIENTOS!$A$5:$A$1005&lt;=$A382)*MOVIMIENTOS!$E$5:$E$1005)+SUMPRODUCT((MOVIMIENTOS!$B$5:$B$1005="DEVOLUCIÓN")*(MOVIMIENTOS!$C$5:$C$1005="C")*(MOVIMIENTOS!$D$5:$D$1005="jabas")*(MOVIMIENTOS!$A$5:$A$1005&lt;&gt;"")*(MOVIMIENTOS!$A$5:$A$1005&lt;=$A382)*MOVIMIENTOS!$E$5:$E$1005)-SUMPRODUCT((MOVIMIENTOS!$B$5:$B$1005="TRASIEGO")*(MOVIMIENTOS!$C$5:$C$1005="C")*(MOVIMIENTOS!$D$5:$D$1005="jabas")*(MOVIMIENTOS!$A$5:$A$1005&lt;&gt;"")*(MOVIMIENTOS!$A$5:$A$1005&lt;=$A382)*MOVIMIENTOS!$E$5:$E$1005)-SUMPRODUCT((MOVIMIENTOS!$B$5:$B$1005="REGALO")*(MOVIMIENTOS!$C$5:$C$1005="C")*(MOVIMIENTOS!$D$5:$D$1005="jabas")*(MOVIMIENTOS!$A$5:$A$1005&lt;&gt;"")*(MOVIMIENTOS!$A$5:$A$1005&lt;=$A382)*MOVIMIENTOS!$E$5:$E$1005)-SUMPRODUCT((MOVIMIENTOS!$B$5:$B$1005="VENTA")*(MOVIMIENTOS!$C$5:$C$1005="C")*(MOVIMIENTOS!$D$5:$D$1005="jabas")*(MOVIMIENTOS!$A$5:$A$1005&lt;&gt;"")*(MOVIMIENTOS!$A$5:$A$1005&lt;=$A382)*MOVIMIENTOS!$E$5:$E$1005)+SUMPRODUCT((MOVIMIENTOS!$B$5:$B$1005="AJUSTE")*(MOVIMIENTOS!$C$5:$C$1005="C")*(MOVIMIENTOS!$D$5:$D$1005="jabas")*(MOVIMIENTOS!$A$5:$A$1005&lt;&gt;"")*(MOVIMIENTOS!$A$5:$A$1005&lt;=$A382)*MOVIMIENTOS!$E$5:$E$1005))</f>
        <v/>
      </c>
      <c r="E382" s="63" t="str">
        <f>IF($A382="","",SUMPRODUCT((MOVIMIENTOS!$B$5:$B$1005="SALDO INICIAL")*(MOVIMIENTOS!$C$5:$C$1005="M")*(MOVIMIENTOS!$D$5:$D$1005="jabas")*(MOVIMIENTOS!$A$5:$A$1005&lt;&gt;"")*(MOVIMIENTOS!$A$5:$A$1005&lt;=$A382)*MOVIMIENTOS!$E$5:$E$1005)+SUMPRODUCT((MOVIMIENTOS!$B$5:$B$1005="PROCESO")*(MOVIMIENTOS!$C$5:$C$1005="M")*(MOVIMIENTOS!$D$5:$D$1005="jabas")*(MOVIMIENTOS!$A$5:$A$1005&lt;&gt;"")*(MOVIMIENTOS!$A$5:$A$1005&lt;=$A382)*MOVIMIENTOS!$E$5:$E$1005)-SUMPRODUCT((MOVIMIENTOS!$B$5:$B$1005="ENVÍO A SUPESA")*(MOVIMIENTOS!$C$5:$C$1005="M")*(MOVIMIENTOS!$D$5:$D$1005="jabas")*(MOVIMIENTOS!$A$5:$A$1005&lt;&gt;"")*(MOVIMIENTOS!$A$5:$A$1005&lt;=$A382)*MOVIMIENTOS!$E$5:$E$1005)+SUMPRODUCT((MOVIMIENTOS!$B$5:$B$1005="DEVOLUCIÓN")*(MOVIMIENTOS!$C$5:$C$1005="M")*(MOVIMIENTOS!$D$5:$D$1005="jabas")*(MOVIMIENTOS!$A$5:$A$1005&lt;&gt;"")*(MOVIMIENTOS!$A$5:$A$1005&lt;=$A382)*MOVIMIENTOS!$E$5:$E$1005)-SUMPRODUCT((MOVIMIENTOS!$B$5:$B$1005="TRASIEGO")*(MOVIMIENTOS!$C$5:$C$1005="M")*(MOVIMIENTOS!$D$5:$D$1005="jabas")*(MOVIMIENTOS!$A$5:$A$1005&lt;&gt;"")*(MOVIMIENTOS!$A$5:$A$1005&lt;=$A382)*MOVIMIENTOS!$E$5:$E$1005)-SUMPRODUCT((MOVIMIENTOS!$B$5:$B$1005="REGALO")*(MOVIMIENTOS!$C$5:$C$1005="M")*(MOVIMIENTOS!$D$5:$D$1005="jabas")*(MOVIMIENTOS!$A$5:$A$1005&lt;&gt;"")*(MOVIMIENTOS!$A$5:$A$1005&lt;=$A382)*MOVIMIENTOS!$E$5:$E$1005)-SUMPRODUCT((MOVIMIENTOS!$B$5:$B$1005="VENTA")*(MOVIMIENTOS!$C$5:$C$1005="M")*(MOVIMIENTOS!$D$5:$D$1005="jabas")*(MOVIMIENTOS!$A$5:$A$1005&lt;&gt;"")*(MOVIMIENTOS!$A$5:$A$1005&lt;=$A382)*MOVIMIENTOS!$E$5:$E$1005)+SUMPRODUCT((MOVIMIENTOS!$B$5:$B$1005="AJUSTE")*(MOVIMIENTOS!$C$5:$C$1005="M")*(MOVIMIENTOS!$D$5:$D$1005="jabas")*(MOVIMIENTOS!$A$5:$A$1005&lt;&gt;"")*(MOVIMIENTOS!$A$5:$A$1005&lt;=$A382)*MOVIMIENTOS!$E$5:$E$1005))</f>
        <v/>
      </c>
      <c r="F382" s="63" t="str">
        <f>IF($A382="","",SUMPRODUCT((MOVIMIENTOS!$B$5:$B$1005="SALDO INICIAL")*(MOVIMIENTOS!$C$5:$C$1005="Chancho")*(MOVIMIENTOS!$D$5:$D$1005="sacos")*(MOVIMIENTOS!$A$5:$A$1005&lt;&gt;"")*(MOVIMIENTOS!$A$5:$A$1005&lt;=$A382)*MOVIMIENTOS!$E$5:$E$1005)+SUMPRODUCT((MOVIMIENTOS!$B$5:$B$1005="PROCESO")*(MOVIMIENTOS!$C$5:$C$1005="Chancho")*(MOVIMIENTOS!$D$5:$D$1005="sacos")*(MOVIMIENTOS!$A$5:$A$1005&lt;&gt;"")*(MOVIMIENTOS!$A$5:$A$1005&lt;=$A382)*MOVIMIENTOS!$E$5:$E$1005)-SUMPRODUCT((MOVIMIENTOS!$B$5:$B$1005="VENTA CHANCHO")*(MOVIMIENTOS!$C$5:$C$1005="Chancho")*(MOVIMIENTOS!$D$5:$D$1005="sacos")*(MOVIMIENTOS!$A$5:$A$1005&lt;&gt;"")*(MOVIMIENTOS!$A$5:$A$1005&lt;=$A382)*MOVIMIENTOS!$E$5:$E$1005)-SUMPRODUCT((MOVIMIENTOS!$B$5:$B$1005="REGALO")*(MOVIMIENTOS!$C$5:$C$1005="Chancho")*(MOVIMIENTOS!$D$5:$D$1005="sacos")*(MOVIMIENTOS!$A$5:$A$1005&lt;&gt;"")*(MOVIMIENTOS!$A$5:$A$1005&lt;=$A382)*MOVIMIENTOS!$E$5:$E$1005)-SUMPRODUCT((MOVIMIENTOS!$B$5:$B$1005="VENTA")*(MOVIMIENTOS!$C$5:$C$1005="Chancho")*(MOVIMIENTOS!$D$5:$D$1005="sacos")*(MOVIMIENTOS!$A$5:$A$1005&lt;&gt;"")*(MOVIMIENTOS!$A$5:$A$1005&lt;=$A382)*MOVIMIENTOS!$E$5:$E$1005)+SUMPRODUCT((MOVIMIENTOS!$B$5:$B$1005="AJUSTE")*(MOVIMIENTOS!$C$5:$C$1005="Chancho")*(MOVIMIENTOS!$D$5:$D$1005="sacos")*(MOVIMIENTOS!$A$5:$A$1005&lt;&gt;"")*(MOVIMIENTOS!$A$5:$A$1005&lt;=$A382)*MOVIMIENTOS!$E$5:$E$1005))</f>
        <v/>
      </c>
      <c r="G382" s="95" t="str">
        <f t="shared" si="11"/>
        <v/>
      </c>
      <c r="H382" s="63" t="str">
        <f>IF($A382="","",SUMPRODUCT((((MOVIMIENTOS!$B$5:$B$1005="SALDO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382)*MOVIMIENTOS!$J$5:$J$1005))</f>
        <v/>
      </c>
      <c r="I382" s="63"/>
      <c r="J382" s="63" t="str">
        <f>IF(AND(MOVIMIENTOS!$A383&lt;&gt;"",COUNTIF(MOVIMIENTOS!$A$5:$A382,MOVIMIENTOS!$A383)=0),COUNT(J$4:J381)+1,"")</f>
        <v/>
      </c>
      <c r="K382" s="66">
        <f>MOVIMIENTOS!$A383</f>
        <v>46247</v>
      </c>
      <c r="L382" s="63"/>
      <c r="M382" s="63"/>
      <c r="N382" s="63"/>
    </row>
    <row r="383" spans="1:14" ht="15" customHeight="1" x14ac:dyDescent="0.2">
      <c r="A383" s="63" t="str">
        <f t="shared" si="10"/>
        <v/>
      </c>
      <c r="B383" s="63" t="str">
        <f>IF($A383="","",SUMPRODUCT((MOVIMIENTOS!$B$5:$B$1005="SALDO INICIAL")*(MOVIMIENTOS!$C$5:$C$1005="A")*(MOVIMIENTOS!$D$5:$D$1005="jabas")*(MOVIMIENTOS!$A$5:$A$1005&lt;&gt;"")*(MOVIMIENTOS!$A$5:$A$1005&lt;=$A383)*MOVIMIENTOS!$E$5:$E$1005)+SUMPRODUCT((MOVIMIENTOS!$B$5:$B$1005="PROCESO")*(MOVIMIENTOS!$C$5:$C$1005="A")*(MOVIMIENTOS!$D$5:$D$1005="jabas")*(MOVIMIENTOS!$A$5:$A$1005&lt;&gt;"")*(MOVIMIENTOS!$A$5:$A$1005&lt;=$A383)*MOVIMIENTOS!$E$5:$E$1005)-SUMPRODUCT((MOVIMIENTOS!$B$5:$B$1005="ENVÍO A SUPESA")*(MOVIMIENTOS!$C$5:$C$1005="A")*(MOVIMIENTOS!$D$5:$D$1005="jabas")*(MOVIMIENTOS!$A$5:$A$1005&lt;&gt;"")*(MOVIMIENTOS!$A$5:$A$1005&lt;=$A383)*MOVIMIENTOS!$E$5:$E$1005)+SUMPRODUCT((MOVIMIENTOS!$B$5:$B$1005="DEVOLUCIÓN")*(MOVIMIENTOS!$C$5:$C$1005="A")*(MOVIMIENTOS!$D$5:$D$1005="jabas")*(MOVIMIENTOS!$A$5:$A$1005&lt;&gt;"")*(MOVIMIENTOS!$A$5:$A$1005&lt;=$A383)*MOVIMIENTOS!$E$5:$E$1005)-SUMPRODUCT((MOVIMIENTOS!$B$5:$B$1005="TRASIEGO")*(MOVIMIENTOS!$C$5:$C$1005="A")*(MOVIMIENTOS!$D$5:$D$1005="jabas")*(MOVIMIENTOS!$A$5:$A$1005&lt;&gt;"")*(MOVIMIENTOS!$A$5:$A$1005&lt;=$A383)*MOVIMIENTOS!$E$5:$E$1005)-SUMPRODUCT((MOVIMIENTOS!$B$5:$B$1005="REGALO")*(MOVIMIENTOS!$C$5:$C$1005="A")*(MOVIMIENTOS!$D$5:$D$1005="jabas")*(MOVIMIENTOS!$A$5:$A$1005&lt;&gt;"")*(MOVIMIENTOS!$A$5:$A$1005&lt;=$A383)*MOVIMIENTOS!$E$5:$E$1005)-SUMPRODUCT((MOVIMIENTOS!$B$5:$B$1005="VENTA")*(MOVIMIENTOS!$C$5:$C$1005="A")*(MOVIMIENTOS!$D$5:$D$1005="jabas")*(MOVIMIENTOS!$A$5:$A$1005&lt;&gt;"")*(MOVIMIENTOS!$A$5:$A$1005&lt;=$A383)*MOVIMIENTOS!$E$5:$E$1005)+SUMPRODUCT((MOVIMIENTOS!$B$5:$B$1005="AJUSTE")*(MOVIMIENTOS!$C$5:$C$1005="A")*(MOVIMIENTOS!$D$5:$D$1005="jabas")*(MOVIMIENTOS!$A$5:$A$1005&lt;&gt;"")*(MOVIMIENTOS!$A$5:$A$1005&lt;=$A383)*MOVIMIENTOS!$E$5:$E$1005))</f>
        <v/>
      </c>
      <c r="C383" s="63" t="str">
        <f>IF($A383="","",SUMPRODUCT((MOVIMIENTOS!$B$5:$B$1005="SALDO INICIAL")*(MOVIMIENTOS!$C$5:$C$1005="P")*(MOVIMIENTOS!$D$5:$D$1005="jabas")*(MOVIMIENTOS!$A$5:$A$1005&lt;&gt;"")*(MOVIMIENTOS!$A$5:$A$1005&lt;=$A383)*MOVIMIENTOS!$E$5:$E$1005)+SUMPRODUCT((MOVIMIENTOS!$B$5:$B$1005="PROCESO")*(MOVIMIENTOS!$C$5:$C$1005="P")*(MOVIMIENTOS!$D$5:$D$1005="jabas")*(MOVIMIENTOS!$A$5:$A$1005&lt;&gt;"")*(MOVIMIENTOS!$A$5:$A$1005&lt;=$A383)*MOVIMIENTOS!$E$5:$E$1005)-SUMPRODUCT((MOVIMIENTOS!$B$5:$B$1005="ENVÍO A SUPESA")*(MOVIMIENTOS!$C$5:$C$1005="P")*(MOVIMIENTOS!$D$5:$D$1005="jabas")*(MOVIMIENTOS!$A$5:$A$1005&lt;&gt;"")*(MOVIMIENTOS!$A$5:$A$1005&lt;=$A383)*MOVIMIENTOS!$E$5:$E$1005)+SUMPRODUCT((MOVIMIENTOS!$B$5:$B$1005="DEVOLUCIÓN")*(MOVIMIENTOS!$C$5:$C$1005="P")*(MOVIMIENTOS!$D$5:$D$1005="jabas")*(MOVIMIENTOS!$A$5:$A$1005&lt;&gt;"")*(MOVIMIENTOS!$A$5:$A$1005&lt;=$A383)*MOVIMIENTOS!$E$5:$E$1005)-SUMPRODUCT((MOVIMIENTOS!$B$5:$B$1005="TRASIEGO")*(MOVIMIENTOS!$C$5:$C$1005="P")*(MOVIMIENTOS!$D$5:$D$1005="jabas")*(MOVIMIENTOS!$A$5:$A$1005&lt;&gt;"")*(MOVIMIENTOS!$A$5:$A$1005&lt;=$A383)*MOVIMIENTOS!$E$5:$E$1005)-SUMPRODUCT((MOVIMIENTOS!$B$5:$B$1005="REGALO")*(MOVIMIENTOS!$C$5:$C$1005="P")*(MOVIMIENTOS!$D$5:$D$1005="jabas")*(MOVIMIENTOS!$A$5:$A$1005&lt;&gt;"")*(MOVIMIENTOS!$A$5:$A$1005&lt;=$A383)*MOVIMIENTOS!$E$5:$E$1005)-SUMPRODUCT((MOVIMIENTOS!$B$5:$B$1005="VENTA")*(MOVIMIENTOS!$C$5:$C$1005="P")*(MOVIMIENTOS!$D$5:$D$1005="jabas")*(MOVIMIENTOS!$A$5:$A$1005&lt;&gt;"")*(MOVIMIENTOS!$A$5:$A$1005&lt;=$A383)*MOVIMIENTOS!$E$5:$E$1005)+SUMPRODUCT((MOVIMIENTOS!$B$5:$B$1005="AJUSTE")*(MOVIMIENTOS!$C$5:$C$1005="P")*(MOVIMIENTOS!$D$5:$D$1005="jabas")*(MOVIMIENTOS!$A$5:$A$1005&lt;&gt;"")*(MOVIMIENTOS!$A$5:$A$1005&lt;=$A383)*MOVIMIENTOS!$E$5:$E$1005))</f>
        <v/>
      </c>
      <c r="D383" s="63" t="str">
        <f>IF($A383="","",SUMPRODUCT((MOVIMIENTOS!$B$5:$B$1005="SALDO INICIAL")*(MOVIMIENTOS!$C$5:$C$1005="C")*(MOVIMIENTOS!$D$5:$D$1005="jabas")*(MOVIMIENTOS!$A$5:$A$1005&lt;&gt;"")*(MOVIMIENTOS!$A$5:$A$1005&lt;=$A383)*MOVIMIENTOS!$E$5:$E$1005)+SUMPRODUCT((MOVIMIENTOS!$B$5:$B$1005="PROCESO")*(MOVIMIENTOS!$C$5:$C$1005="C")*(MOVIMIENTOS!$D$5:$D$1005="jabas")*(MOVIMIENTOS!$A$5:$A$1005&lt;&gt;"")*(MOVIMIENTOS!$A$5:$A$1005&lt;=$A383)*MOVIMIENTOS!$E$5:$E$1005)-SUMPRODUCT((MOVIMIENTOS!$B$5:$B$1005="ENVÍO A SUPESA")*(MOVIMIENTOS!$C$5:$C$1005="C")*(MOVIMIENTOS!$D$5:$D$1005="jabas")*(MOVIMIENTOS!$A$5:$A$1005&lt;&gt;"")*(MOVIMIENTOS!$A$5:$A$1005&lt;=$A383)*MOVIMIENTOS!$E$5:$E$1005)+SUMPRODUCT((MOVIMIENTOS!$B$5:$B$1005="DEVOLUCIÓN")*(MOVIMIENTOS!$C$5:$C$1005="C")*(MOVIMIENTOS!$D$5:$D$1005="jabas")*(MOVIMIENTOS!$A$5:$A$1005&lt;&gt;"")*(MOVIMIENTOS!$A$5:$A$1005&lt;=$A383)*MOVIMIENTOS!$E$5:$E$1005)-SUMPRODUCT((MOVIMIENTOS!$B$5:$B$1005="TRASIEGO")*(MOVIMIENTOS!$C$5:$C$1005="C")*(MOVIMIENTOS!$D$5:$D$1005="jabas")*(MOVIMIENTOS!$A$5:$A$1005&lt;&gt;"")*(MOVIMIENTOS!$A$5:$A$1005&lt;=$A383)*MOVIMIENTOS!$E$5:$E$1005)-SUMPRODUCT((MOVIMIENTOS!$B$5:$B$1005="REGALO")*(MOVIMIENTOS!$C$5:$C$1005="C")*(MOVIMIENTOS!$D$5:$D$1005="jabas")*(MOVIMIENTOS!$A$5:$A$1005&lt;&gt;"")*(MOVIMIENTOS!$A$5:$A$1005&lt;=$A383)*MOVIMIENTOS!$E$5:$E$1005)-SUMPRODUCT((MOVIMIENTOS!$B$5:$B$1005="VENTA")*(MOVIMIENTOS!$C$5:$C$1005="C")*(MOVIMIENTOS!$D$5:$D$1005="jabas")*(MOVIMIENTOS!$A$5:$A$1005&lt;&gt;"")*(MOVIMIENTOS!$A$5:$A$1005&lt;=$A383)*MOVIMIENTOS!$E$5:$E$1005)+SUMPRODUCT((MOVIMIENTOS!$B$5:$B$1005="AJUSTE")*(MOVIMIENTOS!$C$5:$C$1005="C")*(MOVIMIENTOS!$D$5:$D$1005="jabas")*(MOVIMIENTOS!$A$5:$A$1005&lt;&gt;"")*(MOVIMIENTOS!$A$5:$A$1005&lt;=$A383)*MOVIMIENTOS!$E$5:$E$1005))</f>
        <v/>
      </c>
      <c r="E383" s="63" t="str">
        <f>IF($A383="","",SUMPRODUCT((MOVIMIENTOS!$B$5:$B$1005="SALDO INICIAL")*(MOVIMIENTOS!$C$5:$C$1005="M")*(MOVIMIENTOS!$D$5:$D$1005="jabas")*(MOVIMIENTOS!$A$5:$A$1005&lt;&gt;"")*(MOVIMIENTOS!$A$5:$A$1005&lt;=$A383)*MOVIMIENTOS!$E$5:$E$1005)+SUMPRODUCT((MOVIMIENTOS!$B$5:$B$1005="PROCESO")*(MOVIMIENTOS!$C$5:$C$1005="M")*(MOVIMIENTOS!$D$5:$D$1005="jabas")*(MOVIMIENTOS!$A$5:$A$1005&lt;&gt;"")*(MOVIMIENTOS!$A$5:$A$1005&lt;=$A383)*MOVIMIENTOS!$E$5:$E$1005)-SUMPRODUCT((MOVIMIENTOS!$B$5:$B$1005="ENVÍO A SUPESA")*(MOVIMIENTOS!$C$5:$C$1005="M")*(MOVIMIENTOS!$D$5:$D$1005="jabas")*(MOVIMIENTOS!$A$5:$A$1005&lt;&gt;"")*(MOVIMIENTOS!$A$5:$A$1005&lt;=$A383)*MOVIMIENTOS!$E$5:$E$1005)+SUMPRODUCT((MOVIMIENTOS!$B$5:$B$1005="DEVOLUCIÓN")*(MOVIMIENTOS!$C$5:$C$1005="M")*(MOVIMIENTOS!$D$5:$D$1005="jabas")*(MOVIMIENTOS!$A$5:$A$1005&lt;&gt;"")*(MOVIMIENTOS!$A$5:$A$1005&lt;=$A383)*MOVIMIENTOS!$E$5:$E$1005)-SUMPRODUCT((MOVIMIENTOS!$B$5:$B$1005="TRASIEGO")*(MOVIMIENTOS!$C$5:$C$1005="M")*(MOVIMIENTOS!$D$5:$D$1005="jabas")*(MOVIMIENTOS!$A$5:$A$1005&lt;&gt;"")*(MOVIMIENTOS!$A$5:$A$1005&lt;=$A383)*MOVIMIENTOS!$E$5:$E$1005)-SUMPRODUCT((MOVIMIENTOS!$B$5:$B$1005="REGALO")*(MOVIMIENTOS!$C$5:$C$1005="M")*(MOVIMIENTOS!$D$5:$D$1005="jabas")*(MOVIMIENTOS!$A$5:$A$1005&lt;&gt;"")*(MOVIMIENTOS!$A$5:$A$1005&lt;=$A383)*MOVIMIENTOS!$E$5:$E$1005)-SUMPRODUCT((MOVIMIENTOS!$B$5:$B$1005="VENTA")*(MOVIMIENTOS!$C$5:$C$1005="M")*(MOVIMIENTOS!$D$5:$D$1005="jabas")*(MOVIMIENTOS!$A$5:$A$1005&lt;&gt;"")*(MOVIMIENTOS!$A$5:$A$1005&lt;=$A383)*MOVIMIENTOS!$E$5:$E$1005)+SUMPRODUCT((MOVIMIENTOS!$B$5:$B$1005="AJUSTE")*(MOVIMIENTOS!$C$5:$C$1005="M")*(MOVIMIENTOS!$D$5:$D$1005="jabas")*(MOVIMIENTOS!$A$5:$A$1005&lt;&gt;"")*(MOVIMIENTOS!$A$5:$A$1005&lt;=$A383)*MOVIMIENTOS!$E$5:$E$1005))</f>
        <v/>
      </c>
      <c r="F383" s="63" t="str">
        <f>IF($A383="","",SUMPRODUCT((MOVIMIENTOS!$B$5:$B$1005="SALDO INICIAL")*(MOVIMIENTOS!$C$5:$C$1005="Chancho")*(MOVIMIENTOS!$D$5:$D$1005="sacos")*(MOVIMIENTOS!$A$5:$A$1005&lt;&gt;"")*(MOVIMIENTOS!$A$5:$A$1005&lt;=$A383)*MOVIMIENTOS!$E$5:$E$1005)+SUMPRODUCT((MOVIMIENTOS!$B$5:$B$1005="PROCESO")*(MOVIMIENTOS!$C$5:$C$1005="Chancho")*(MOVIMIENTOS!$D$5:$D$1005="sacos")*(MOVIMIENTOS!$A$5:$A$1005&lt;&gt;"")*(MOVIMIENTOS!$A$5:$A$1005&lt;=$A383)*MOVIMIENTOS!$E$5:$E$1005)-SUMPRODUCT((MOVIMIENTOS!$B$5:$B$1005="VENTA CHANCHO")*(MOVIMIENTOS!$C$5:$C$1005="Chancho")*(MOVIMIENTOS!$D$5:$D$1005="sacos")*(MOVIMIENTOS!$A$5:$A$1005&lt;&gt;"")*(MOVIMIENTOS!$A$5:$A$1005&lt;=$A383)*MOVIMIENTOS!$E$5:$E$1005)-SUMPRODUCT((MOVIMIENTOS!$B$5:$B$1005="REGALO")*(MOVIMIENTOS!$C$5:$C$1005="Chancho")*(MOVIMIENTOS!$D$5:$D$1005="sacos")*(MOVIMIENTOS!$A$5:$A$1005&lt;&gt;"")*(MOVIMIENTOS!$A$5:$A$1005&lt;=$A383)*MOVIMIENTOS!$E$5:$E$1005)-SUMPRODUCT((MOVIMIENTOS!$B$5:$B$1005="VENTA")*(MOVIMIENTOS!$C$5:$C$1005="Chancho")*(MOVIMIENTOS!$D$5:$D$1005="sacos")*(MOVIMIENTOS!$A$5:$A$1005&lt;&gt;"")*(MOVIMIENTOS!$A$5:$A$1005&lt;=$A383)*MOVIMIENTOS!$E$5:$E$1005)+SUMPRODUCT((MOVIMIENTOS!$B$5:$B$1005="AJUSTE")*(MOVIMIENTOS!$C$5:$C$1005="Chancho")*(MOVIMIENTOS!$D$5:$D$1005="sacos")*(MOVIMIENTOS!$A$5:$A$1005&lt;&gt;"")*(MOVIMIENTOS!$A$5:$A$1005&lt;=$A383)*MOVIMIENTOS!$E$5:$E$1005))</f>
        <v/>
      </c>
      <c r="G383" s="95" t="str">
        <f t="shared" si="11"/>
        <v/>
      </c>
      <c r="H383" s="63" t="str">
        <f>IF($A383="","",SUMPRODUCT((((MOVIMIENTOS!$B$5:$B$1005="SALDO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383)*MOVIMIENTOS!$J$5:$J$1005))</f>
        <v/>
      </c>
      <c r="I383" s="63"/>
      <c r="J383" s="63" t="str">
        <f>IF(AND(MOVIMIENTOS!$A384&lt;&gt;"",COUNTIF(MOVIMIENTOS!$A$5:$A383,MOVIMIENTOS!$A384)=0),COUNT(J$4:J382)+1,"")</f>
        <v/>
      </c>
      <c r="K383" s="66">
        <f>MOVIMIENTOS!$A384</f>
        <v>46247</v>
      </c>
      <c r="L383" s="63"/>
      <c r="M383" s="63"/>
      <c r="N383" s="63"/>
    </row>
    <row r="384" spans="1:14" ht="15" customHeight="1" x14ac:dyDescent="0.2">
      <c r="A384" s="63" t="str">
        <f t="shared" si="10"/>
        <v/>
      </c>
      <c r="B384" s="63" t="str">
        <f>IF($A384="","",SUMPRODUCT((MOVIMIENTOS!$B$5:$B$1005="SALDO INICIAL")*(MOVIMIENTOS!$C$5:$C$1005="A")*(MOVIMIENTOS!$D$5:$D$1005="jabas")*(MOVIMIENTOS!$A$5:$A$1005&lt;&gt;"")*(MOVIMIENTOS!$A$5:$A$1005&lt;=$A384)*MOVIMIENTOS!$E$5:$E$1005)+SUMPRODUCT((MOVIMIENTOS!$B$5:$B$1005="PROCESO")*(MOVIMIENTOS!$C$5:$C$1005="A")*(MOVIMIENTOS!$D$5:$D$1005="jabas")*(MOVIMIENTOS!$A$5:$A$1005&lt;&gt;"")*(MOVIMIENTOS!$A$5:$A$1005&lt;=$A384)*MOVIMIENTOS!$E$5:$E$1005)-SUMPRODUCT((MOVIMIENTOS!$B$5:$B$1005="ENVÍO A SUPESA")*(MOVIMIENTOS!$C$5:$C$1005="A")*(MOVIMIENTOS!$D$5:$D$1005="jabas")*(MOVIMIENTOS!$A$5:$A$1005&lt;&gt;"")*(MOVIMIENTOS!$A$5:$A$1005&lt;=$A384)*MOVIMIENTOS!$E$5:$E$1005)+SUMPRODUCT((MOVIMIENTOS!$B$5:$B$1005="DEVOLUCIÓN")*(MOVIMIENTOS!$C$5:$C$1005="A")*(MOVIMIENTOS!$D$5:$D$1005="jabas")*(MOVIMIENTOS!$A$5:$A$1005&lt;&gt;"")*(MOVIMIENTOS!$A$5:$A$1005&lt;=$A384)*MOVIMIENTOS!$E$5:$E$1005)-SUMPRODUCT((MOVIMIENTOS!$B$5:$B$1005="TRASIEGO")*(MOVIMIENTOS!$C$5:$C$1005="A")*(MOVIMIENTOS!$D$5:$D$1005="jabas")*(MOVIMIENTOS!$A$5:$A$1005&lt;&gt;"")*(MOVIMIENTOS!$A$5:$A$1005&lt;=$A384)*MOVIMIENTOS!$E$5:$E$1005)-SUMPRODUCT((MOVIMIENTOS!$B$5:$B$1005="REGALO")*(MOVIMIENTOS!$C$5:$C$1005="A")*(MOVIMIENTOS!$D$5:$D$1005="jabas")*(MOVIMIENTOS!$A$5:$A$1005&lt;&gt;"")*(MOVIMIENTOS!$A$5:$A$1005&lt;=$A384)*MOVIMIENTOS!$E$5:$E$1005)-SUMPRODUCT((MOVIMIENTOS!$B$5:$B$1005="VENTA")*(MOVIMIENTOS!$C$5:$C$1005="A")*(MOVIMIENTOS!$D$5:$D$1005="jabas")*(MOVIMIENTOS!$A$5:$A$1005&lt;&gt;"")*(MOVIMIENTOS!$A$5:$A$1005&lt;=$A384)*MOVIMIENTOS!$E$5:$E$1005)+SUMPRODUCT((MOVIMIENTOS!$B$5:$B$1005="AJUSTE")*(MOVIMIENTOS!$C$5:$C$1005="A")*(MOVIMIENTOS!$D$5:$D$1005="jabas")*(MOVIMIENTOS!$A$5:$A$1005&lt;&gt;"")*(MOVIMIENTOS!$A$5:$A$1005&lt;=$A384)*MOVIMIENTOS!$E$5:$E$1005))</f>
        <v/>
      </c>
      <c r="C384" s="63" t="str">
        <f>IF($A384="","",SUMPRODUCT((MOVIMIENTOS!$B$5:$B$1005="SALDO INICIAL")*(MOVIMIENTOS!$C$5:$C$1005="P")*(MOVIMIENTOS!$D$5:$D$1005="jabas")*(MOVIMIENTOS!$A$5:$A$1005&lt;&gt;"")*(MOVIMIENTOS!$A$5:$A$1005&lt;=$A384)*MOVIMIENTOS!$E$5:$E$1005)+SUMPRODUCT((MOVIMIENTOS!$B$5:$B$1005="PROCESO")*(MOVIMIENTOS!$C$5:$C$1005="P")*(MOVIMIENTOS!$D$5:$D$1005="jabas")*(MOVIMIENTOS!$A$5:$A$1005&lt;&gt;"")*(MOVIMIENTOS!$A$5:$A$1005&lt;=$A384)*MOVIMIENTOS!$E$5:$E$1005)-SUMPRODUCT((MOVIMIENTOS!$B$5:$B$1005="ENVÍO A SUPESA")*(MOVIMIENTOS!$C$5:$C$1005="P")*(MOVIMIENTOS!$D$5:$D$1005="jabas")*(MOVIMIENTOS!$A$5:$A$1005&lt;&gt;"")*(MOVIMIENTOS!$A$5:$A$1005&lt;=$A384)*MOVIMIENTOS!$E$5:$E$1005)+SUMPRODUCT((MOVIMIENTOS!$B$5:$B$1005="DEVOLUCIÓN")*(MOVIMIENTOS!$C$5:$C$1005="P")*(MOVIMIENTOS!$D$5:$D$1005="jabas")*(MOVIMIENTOS!$A$5:$A$1005&lt;&gt;"")*(MOVIMIENTOS!$A$5:$A$1005&lt;=$A384)*MOVIMIENTOS!$E$5:$E$1005)-SUMPRODUCT((MOVIMIENTOS!$B$5:$B$1005="TRASIEGO")*(MOVIMIENTOS!$C$5:$C$1005="P")*(MOVIMIENTOS!$D$5:$D$1005="jabas")*(MOVIMIENTOS!$A$5:$A$1005&lt;&gt;"")*(MOVIMIENTOS!$A$5:$A$1005&lt;=$A384)*MOVIMIENTOS!$E$5:$E$1005)-SUMPRODUCT((MOVIMIENTOS!$B$5:$B$1005="REGALO")*(MOVIMIENTOS!$C$5:$C$1005="P")*(MOVIMIENTOS!$D$5:$D$1005="jabas")*(MOVIMIENTOS!$A$5:$A$1005&lt;&gt;"")*(MOVIMIENTOS!$A$5:$A$1005&lt;=$A384)*MOVIMIENTOS!$E$5:$E$1005)-SUMPRODUCT((MOVIMIENTOS!$B$5:$B$1005="VENTA")*(MOVIMIENTOS!$C$5:$C$1005="P")*(MOVIMIENTOS!$D$5:$D$1005="jabas")*(MOVIMIENTOS!$A$5:$A$1005&lt;&gt;"")*(MOVIMIENTOS!$A$5:$A$1005&lt;=$A384)*MOVIMIENTOS!$E$5:$E$1005)+SUMPRODUCT((MOVIMIENTOS!$B$5:$B$1005="AJUSTE")*(MOVIMIENTOS!$C$5:$C$1005="P")*(MOVIMIENTOS!$D$5:$D$1005="jabas")*(MOVIMIENTOS!$A$5:$A$1005&lt;&gt;"")*(MOVIMIENTOS!$A$5:$A$1005&lt;=$A384)*MOVIMIENTOS!$E$5:$E$1005))</f>
        <v/>
      </c>
      <c r="D384" s="63" t="str">
        <f>IF($A384="","",SUMPRODUCT((MOVIMIENTOS!$B$5:$B$1005="SALDO INICIAL")*(MOVIMIENTOS!$C$5:$C$1005="C")*(MOVIMIENTOS!$D$5:$D$1005="jabas")*(MOVIMIENTOS!$A$5:$A$1005&lt;&gt;"")*(MOVIMIENTOS!$A$5:$A$1005&lt;=$A384)*MOVIMIENTOS!$E$5:$E$1005)+SUMPRODUCT((MOVIMIENTOS!$B$5:$B$1005="PROCESO")*(MOVIMIENTOS!$C$5:$C$1005="C")*(MOVIMIENTOS!$D$5:$D$1005="jabas")*(MOVIMIENTOS!$A$5:$A$1005&lt;&gt;"")*(MOVIMIENTOS!$A$5:$A$1005&lt;=$A384)*MOVIMIENTOS!$E$5:$E$1005)-SUMPRODUCT((MOVIMIENTOS!$B$5:$B$1005="ENVÍO A SUPESA")*(MOVIMIENTOS!$C$5:$C$1005="C")*(MOVIMIENTOS!$D$5:$D$1005="jabas")*(MOVIMIENTOS!$A$5:$A$1005&lt;&gt;"")*(MOVIMIENTOS!$A$5:$A$1005&lt;=$A384)*MOVIMIENTOS!$E$5:$E$1005)+SUMPRODUCT((MOVIMIENTOS!$B$5:$B$1005="DEVOLUCIÓN")*(MOVIMIENTOS!$C$5:$C$1005="C")*(MOVIMIENTOS!$D$5:$D$1005="jabas")*(MOVIMIENTOS!$A$5:$A$1005&lt;&gt;"")*(MOVIMIENTOS!$A$5:$A$1005&lt;=$A384)*MOVIMIENTOS!$E$5:$E$1005)-SUMPRODUCT((MOVIMIENTOS!$B$5:$B$1005="TRASIEGO")*(MOVIMIENTOS!$C$5:$C$1005="C")*(MOVIMIENTOS!$D$5:$D$1005="jabas")*(MOVIMIENTOS!$A$5:$A$1005&lt;&gt;"")*(MOVIMIENTOS!$A$5:$A$1005&lt;=$A384)*MOVIMIENTOS!$E$5:$E$1005)-SUMPRODUCT((MOVIMIENTOS!$B$5:$B$1005="REGALO")*(MOVIMIENTOS!$C$5:$C$1005="C")*(MOVIMIENTOS!$D$5:$D$1005="jabas")*(MOVIMIENTOS!$A$5:$A$1005&lt;&gt;"")*(MOVIMIENTOS!$A$5:$A$1005&lt;=$A384)*MOVIMIENTOS!$E$5:$E$1005)-SUMPRODUCT((MOVIMIENTOS!$B$5:$B$1005="VENTA")*(MOVIMIENTOS!$C$5:$C$1005="C")*(MOVIMIENTOS!$D$5:$D$1005="jabas")*(MOVIMIENTOS!$A$5:$A$1005&lt;&gt;"")*(MOVIMIENTOS!$A$5:$A$1005&lt;=$A384)*MOVIMIENTOS!$E$5:$E$1005)+SUMPRODUCT((MOVIMIENTOS!$B$5:$B$1005="AJUSTE")*(MOVIMIENTOS!$C$5:$C$1005="C")*(MOVIMIENTOS!$D$5:$D$1005="jabas")*(MOVIMIENTOS!$A$5:$A$1005&lt;&gt;"")*(MOVIMIENTOS!$A$5:$A$1005&lt;=$A384)*MOVIMIENTOS!$E$5:$E$1005))</f>
        <v/>
      </c>
      <c r="E384" s="63" t="str">
        <f>IF($A384="","",SUMPRODUCT((MOVIMIENTOS!$B$5:$B$1005="SALDO INICIAL")*(MOVIMIENTOS!$C$5:$C$1005="M")*(MOVIMIENTOS!$D$5:$D$1005="jabas")*(MOVIMIENTOS!$A$5:$A$1005&lt;&gt;"")*(MOVIMIENTOS!$A$5:$A$1005&lt;=$A384)*MOVIMIENTOS!$E$5:$E$1005)+SUMPRODUCT((MOVIMIENTOS!$B$5:$B$1005="PROCESO")*(MOVIMIENTOS!$C$5:$C$1005="M")*(MOVIMIENTOS!$D$5:$D$1005="jabas")*(MOVIMIENTOS!$A$5:$A$1005&lt;&gt;"")*(MOVIMIENTOS!$A$5:$A$1005&lt;=$A384)*MOVIMIENTOS!$E$5:$E$1005)-SUMPRODUCT((MOVIMIENTOS!$B$5:$B$1005="ENVÍO A SUPESA")*(MOVIMIENTOS!$C$5:$C$1005="M")*(MOVIMIENTOS!$D$5:$D$1005="jabas")*(MOVIMIENTOS!$A$5:$A$1005&lt;&gt;"")*(MOVIMIENTOS!$A$5:$A$1005&lt;=$A384)*MOVIMIENTOS!$E$5:$E$1005)+SUMPRODUCT((MOVIMIENTOS!$B$5:$B$1005="DEVOLUCIÓN")*(MOVIMIENTOS!$C$5:$C$1005="M")*(MOVIMIENTOS!$D$5:$D$1005="jabas")*(MOVIMIENTOS!$A$5:$A$1005&lt;&gt;"")*(MOVIMIENTOS!$A$5:$A$1005&lt;=$A384)*MOVIMIENTOS!$E$5:$E$1005)-SUMPRODUCT((MOVIMIENTOS!$B$5:$B$1005="TRASIEGO")*(MOVIMIENTOS!$C$5:$C$1005="M")*(MOVIMIENTOS!$D$5:$D$1005="jabas")*(MOVIMIENTOS!$A$5:$A$1005&lt;&gt;"")*(MOVIMIENTOS!$A$5:$A$1005&lt;=$A384)*MOVIMIENTOS!$E$5:$E$1005)-SUMPRODUCT((MOVIMIENTOS!$B$5:$B$1005="REGALO")*(MOVIMIENTOS!$C$5:$C$1005="M")*(MOVIMIENTOS!$D$5:$D$1005="jabas")*(MOVIMIENTOS!$A$5:$A$1005&lt;&gt;"")*(MOVIMIENTOS!$A$5:$A$1005&lt;=$A384)*MOVIMIENTOS!$E$5:$E$1005)-SUMPRODUCT((MOVIMIENTOS!$B$5:$B$1005="VENTA")*(MOVIMIENTOS!$C$5:$C$1005="M")*(MOVIMIENTOS!$D$5:$D$1005="jabas")*(MOVIMIENTOS!$A$5:$A$1005&lt;&gt;"")*(MOVIMIENTOS!$A$5:$A$1005&lt;=$A384)*MOVIMIENTOS!$E$5:$E$1005)+SUMPRODUCT((MOVIMIENTOS!$B$5:$B$1005="AJUSTE")*(MOVIMIENTOS!$C$5:$C$1005="M")*(MOVIMIENTOS!$D$5:$D$1005="jabas")*(MOVIMIENTOS!$A$5:$A$1005&lt;&gt;"")*(MOVIMIENTOS!$A$5:$A$1005&lt;=$A384)*MOVIMIENTOS!$E$5:$E$1005))</f>
        <v/>
      </c>
      <c r="F384" s="63" t="str">
        <f>IF($A384="","",SUMPRODUCT((MOVIMIENTOS!$B$5:$B$1005="SALDO INICIAL")*(MOVIMIENTOS!$C$5:$C$1005="Chancho")*(MOVIMIENTOS!$D$5:$D$1005="sacos")*(MOVIMIENTOS!$A$5:$A$1005&lt;&gt;"")*(MOVIMIENTOS!$A$5:$A$1005&lt;=$A384)*MOVIMIENTOS!$E$5:$E$1005)+SUMPRODUCT((MOVIMIENTOS!$B$5:$B$1005="PROCESO")*(MOVIMIENTOS!$C$5:$C$1005="Chancho")*(MOVIMIENTOS!$D$5:$D$1005="sacos")*(MOVIMIENTOS!$A$5:$A$1005&lt;&gt;"")*(MOVIMIENTOS!$A$5:$A$1005&lt;=$A384)*MOVIMIENTOS!$E$5:$E$1005)-SUMPRODUCT((MOVIMIENTOS!$B$5:$B$1005="VENTA CHANCHO")*(MOVIMIENTOS!$C$5:$C$1005="Chancho")*(MOVIMIENTOS!$D$5:$D$1005="sacos")*(MOVIMIENTOS!$A$5:$A$1005&lt;&gt;"")*(MOVIMIENTOS!$A$5:$A$1005&lt;=$A384)*MOVIMIENTOS!$E$5:$E$1005)-SUMPRODUCT((MOVIMIENTOS!$B$5:$B$1005="REGALO")*(MOVIMIENTOS!$C$5:$C$1005="Chancho")*(MOVIMIENTOS!$D$5:$D$1005="sacos")*(MOVIMIENTOS!$A$5:$A$1005&lt;&gt;"")*(MOVIMIENTOS!$A$5:$A$1005&lt;=$A384)*MOVIMIENTOS!$E$5:$E$1005)-SUMPRODUCT((MOVIMIENTOS!$B$5:$B$1005="VENTA")*(MOVIMIENTOS!$C$5:$C$1005="Chancho")*(MOVIMIENTOS!$D$5:$D$1005="sacos")*(MOVIMIENTOS!$A$5:$A$1005&lt;&gt;"")*(MOVIMIENTOS!$A$5:$A$1005&lt;=$A384)*MOVIMIENTOS!$E$5:$E$1005)+SUMPRODUCT((MOVIMIENTOS!$B$5:$B$1005="AJUSTE")*(MOVIMIENTOS!$C$5:$C$1005="Chancho")*(MOVIMIENTOS!$D$5:$D$1005="sacos")*(MOVIMIENTOS!$A$5:$A$1005&lt;&gt;"")*(MOVIMIENTOS!$A$5:$A$1005&lt;=$A384)*MOVIMIENTOS!$E$5:$E$1005))</f>
        <v/>
      </c>
      <c r="G384" s="95" t="str">
        <f t="shared" si="11"/>
        <v/>
      </c>
      <c r="H384" s="63" t="str">
        <f>IF($A384="","",SUMPRODUCT((((MOVIMIENTOS!$B$5:$B$1005="SALDO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384)*MOVIMIENTOS!$J$5:$J$1005))</f>
        <v/>
      </c>
      <c r="I384" s="63"/>
      <c r="J384" s="63" t="str">
        <f>IF(AND(MOVIMIENTOS!$A385&lt;&gt;"",COUNTIF(MOVIMIENTOS!$A$5:$A384,MOVIMIENTOS!$A385)=0),COUNT(J$4:J383)+1,"")</f>
        <v/>
      </c>
      <c r="K384" s="66">
        <f>MOVIMIENTOS!$A385</f>
        <v>46247</v>
      </c>
      <c r="L384" s="63"/>
      <c r="M384" s="63"/>
      <c r="N384" s="63"/>
    </row>
    <row r="385" spans="1:14" ht="15" customHeight="1" x14ac:dyDescent="0.2">
      <c r="A385" s="63" t="str">
        <f t="shared" si="10"/>
        <v/>
      </c>
      <c r="B385" s="63" t="str">
        <f>IF($A385="","",SUMPRODUCT((MOVIMIENTOS!$B$5:$B$1005="SALDO INICIAL")*(MOVIMIENTOS!$C$5:$C$1005="A")*(MOVIMIENTOS!$D$5:$D$1005="jabas")*(MOVIMIENTOS!$A$5:$A$1005&lt;&gt;"")*(MOVIMIENTOS!$A$5:$A$1005&lt;=$A385)*MOVIMIENTOS!$E$5:$E$1005)+SUMPRODUCT((MOVIMIENTOS!$B$5:$B$1005="PROCESO")*(MOVIMIENTOS!$C$5:$C$1005="A")*(MOVIMIENTOS!$D$5:$D$1005="jabas")*(MOVIMIENTOS!$A$5:$A$1005&lt;&gt;"")*(MOVIMIENTOS!$A$5:$A$1005&lt;=$A385)*MOVIMIENTOS!$E$5:$E$1005)-SUMPRODUCT((MOVIMIENTOS!$B$5:$B$1005="ENVÍO A SUPESA")*(MOVIMIENTOS!$C$5:$C$1005="A")*(MOVIMIENTOS!$D$5:$D$1005="jabas")*(MOVIMIENTOS!$A$5:$A$1005&lt;&gt;"")*(MOVIMIENTOS!$A$5:$A$1005&lt;=$A385)*MOVIMIENTOS!$E$5:$E$1005)+SUMPRODUCT((MOVIMIENTOS!$B$5:$B$1005="DEVOLUCIÓN")*(MOVIMIENTOS!$C$5:$C$1005="A")*(MOVIMIENTOS!$D$5:$D$1005="jabas")*(MOVIMIENTOS!$A$5:$A$1005&lt;&gt;"")*(MOVIMIENTOS!$A$5:$A$1005&lt;=$A385)*MOVIMIENTOS!$E$5:$E$1005)-SUMPRODUCT((MOVIMIENTOS!$B$5:$B$1005="TRASIEGO")*(MOVIMIENTOS!$C$5:$C$1005="A")*(MOVIMIENTOS!$D$5:$D$1005="jabas")*(MOVIMIENTOS!$A$5:$A$1005&lt;&gt;"")*(MOVIMIENTOS!$A$5:$A$1005&lt;=$A385)*MOVIMIENTOS!$E$5:$E$1005)-SUMPRODUCT((MOVIMIENTOS!$B$5:$B$1005="REGALO")*(MOVIMIENTOS!$C$5:$C$1005="A")*(MOVIMIENTOS!$D$5:$D$1005="jabas")*(MOVIMIENTOS!$A$5:$A$1005&lt;&gt;"")*(MOVIMIENTOS!$A$5:$A$1005&lt;=$A385)*MOVIMIENTOS!$E$5:$E$1005)-SUMPRODUCT((MOVIMIENTOS!$B$5:$B$1005="VENTA")*(MOVIMIENTOS!$C$5:$C$1005="A")*(MOVIMIENTOS!$D$5:$D$1005="jabas")*(MOVIMIENTOS!$A$5:$A$1005&lt;&gt;"")*(MOVIMIENTOS!$A$5:$A$1005&lt;=$A385)*MOVIMIENTOS!$E$5:$E$1005)+SUMPRODUCT((MOVIMIENTOS!$B$5:$B$1005="AJUSTE")*(MOVIMIENTOS!$C$5:$C$1005="A")*(MOVIMIENTOS!$D$5:$D$1005="jabas")*(MOVIMIENTOS!$A$5:$A$1005&lt;&gt;"")*(MOVIMIENTOS!$A$5:$A$1005&lt;=$A385)*MOVIMIENTOS!$E$5:$E$1005))</f>
        <v/>
      </c>
      <c r="C385" s="63" t="str">
        <f>IF($A385="","",SUMPRODUCT((MOVIMIENTOS!$B$5:$B$1005="SALDO INICIAL")*(MOVIMIENTOS!$C$5:$C$1005="P")*(MOVIMIENTOS!$D$5:$D$1005="jabas")*(MOVIMIENTOS!$A$5:$A$1005&lt;&gt;"")*(MOVIMIENTOS!$A$5:$A$1005&lt;=$A385)*MOVIMIENTOS!$E$5:$E$1005)+SUMPRODUCT((MOVIMIENTOS!$B$5:$B$1005="PROCESO")*(MOVIMIENTOS!$C$5:$C$1005="P")*(MOVIMIENTOS!$D$5:$D$1005="jabas")*(MOVIMIENTOS!$A$5:$A$1005&lt;&gt;"")*(MOVIMIENTOS!$A$5:$A$1005&lt;=$A385)*MOVIMIENTOS!$E$5:$E$1005)-SUMPRODUCT((MOVIMIENTOS!$B$5:$B$1005="ENVÍO A SUPESA")*(MOVIMIENTOS!$C$5:$C$1005="P")*(MOVIMIENTOS!$D$5:$D$1005="jabas")*(MOVIMIENTOS!$A$5:$A$1005&lt;&gt;"")*(MOVIMIENTOS!$A$5:$A$1005&lt;=$A385)*MOVIMIENTOS!$E$5:$E$1005)+SUMPRODUCT((MOVIMIENTOS!$B$5:$B$1005="DEVOLUCIÓN")*(MOVIMIENTOS!$C$5:$C$1005="P")*(MOVIMIENTOS!$D$5:$D$1005="jabas")*(MOVIMIENTOS!$A$5:$A$1005&lt;&gt;"")*(MOVIMIENTOS!$A$5:$A$1005&lt;=$A385)*MOVIMIENTOS!$E$5:$E$1005)-SUMPRODUCT((MOVIMIENTOS!$B$5:$B$1005="TRASIEGO")*(MOVIMIENTOS!$C$5:$C$1005="P")*(MOVIMIENTOS!$D$5:$D$1005="jabas")*(MOVIMIENTOS!$A$5:$A$1005&lt;&gt;"")*(MOVIMIENTOS!$A$5:$A$1005&lt;=$A385)*MOVIMIENTOS!$E$5:$E$1005)-SUMPRODUCT((MOVIMIENTOS!$B$5:$B$1005="REGALO")*(MOVIMIENTOS!$C$5:$C$1005="P")*(MOVIMIENTOS!$D$5:$D$1005="jabas")*(MOVIMIENTOS!$A$5:$A$1005&lt;&gt;"")*(MOVIMIENTOS!$A$5:$A$1005&lt;=$A385)*MOVIMIENTOS!$E$5:$E$1005)-SUMPRODUCT((MOVIMIENTOS!$B$5:$B$1005="VENTA")*(MOVIMIENTOS!$C$5:$C$1005="P")*(MOVIMIENTOS!$D$5:$D$1005="jabas")*(MOVIMIENTOS!$A$5:$A$1005&lt;&gt;"")*(MOVIMIENTOS!$A$5:$A$1005&lt;=$A385)*MOVIMIENTOS!$E$5:$E$1005)+SUMPRODUCT((MOVIMIENTOS!$B$5:$B$1005="AJUSTE")*(MOVIMIENTOS!$C$5:$C$1005="P")*(MOVIMIENTOS!$D$5:$D$1005="jabas")*(MOVIMIENTOS!$A$5:$A$1005&lt;&gt;"")*(MOVIMIENTOS!$A$5:$A$1005&lt;=$A385)*MOVIMIENTOS!$E$5:$E$1005))</f>
        <v/>
      </c>
      <c r="D385" s="63" t="str">
        <f>IF($A385="","",SUMPRODUCT((MOVIMIENTOS!$B$5:$B$1005="SALDO INICIAL")*(MOVIMIENTOS!$C$5:$C$1005="C")*(MOVIMIENTOS!$D$5:$D$1005="jabas")*(MOVIMIENTOS!$A$5:$A$1005&lt;&gt;"")*(MOVIMIENTOS!$A$5:$A$1005&lt;=$A385)*MOVIMIENTOS!$E$5:$E$1005)+SUMPRODUCT((MOVIMIENTOS!$B$5:$B$1005="PROCESO")*(MOVIMIENTOS!$C$5:$C$1005="C")*(MOVIMIENTOS!$D$5:$D$1005="jabas")*(MOVIMIENTOS!$A$5:$A$1005&lt;&gt;"")*(MOVIMIENTOS!$A$5:$A$1005&lt;=$A385)*MOVIMIENTOS!$E$5:$E$1005)-SUMPRODUCT((MOVIMIENTOS!$B$5:$B$1005="ENVÍO A SUPESA")*(MOVIMIENTOS!$C$5:$C$1005="C")*(MOVIMIENTOS!$D$5:$D$1005="jabas")*(MOVIMIENTOS!$A$5:$A$1005&lt;&gt;"")*(MOVIMIENTOS!$A$5:$A$1005&lt;=$A385)*MOVIMIENTOS!$E$5:$E$1005)+SUMPRODUCT((MOVIMIENTOS!$B$5:$B$1005="DEVOLUCIÓN")*(MOVIMIENTOS!$C$5:$C$1005="C")*(MOVIMIENTOS!$D$5:$D$1005="jabas")*(MOVIMIENTOS!$A$5:$A$1005&lt;&gt;"")*(MOVIMIENTOS!$A$5:$A$1005&lt;=$A385)*MOVIMIENTOS!$E$5:$E$1005)-SUMPRODUCT((MOVIMIENTOS!$B$5:$B$1005="TRASIEGO")*(MOVIMIENTOS!$C$5:$C$1005="C")*(MOVIMIENTOS!$D$5:$D$1005="jabas")*(MOVIMIENTOS!$A$5:$A$1005&lt;&gt;"")*(MOVIMIENTOS!$A$5:$A$1005&lt;=$A385)*MOVIMIENTOS!$E$5:$E$1005)-SUMPRODUCT((MOVIMIENTOS!$B$5:$B$1005="REGALO")*(MOVIMIENTOS!$C$5:$C$1005="C")*(MOVIMIENTOS!$D$5:$D$1005="jabas")*(MOVIMIENTOS!$A$5:$A$1005&lt;&gt;"")*(MOVIMIENTOS!$A$5:$A$1005&lt;=$A385)*MOVIMIENTOS!$E$5:$E$1005)-SUMPRODUCT((MOVIMIENTOS!$B$5:$B$1005="VENTA")*(MOVIMIENTOS!$C$5:$C$1005="C")*(MOVIMIENTOS!$D$5:$D$1005="jabas")*(MOVIMIENTOS!$A$5:$A$1005&lt;&gt;"")*(MOVIMIENTOS!$A$5:$A$1005&lt;=$A385)*MOVIMIENTOS!$E$5:$E$1005)+SUMPRODUCT((MOVIMIENTOS!$B$5:$B$1005="AJUSTE")*(MOVIMIENTOS!$C$5:$C$1005="C")*(MOVIMIENTOS!$D$5:$D$1005="jabas")*(MOVIMIENTOS!$A$5:$A$1005&lt;&gt;"")*(MOVIMIENTOS!$A$5:$A$1005&lt;=$A385)*MOVIMIENTOS!$E$5:$E$1005))</f>
        <v/>
      </c>
      <c r="E385" s="63" t="str">
        <f>IF($A385="","",SUMPRODUCT((MOVIMIENTOS!$B$5:$B$1005="SALDO INICIAL")*(MOVIMIENTOS!$C$5:$C$1005="M")*(MOVIMIENTOS!$D$5:$D$1005="jabas")*(MOVIMIENTOS!$A$5:$A$1005&lt;&gt;"")*(MOVIMIENTOS!$A$5:$A$1005&lt;=$A385)*MOVIMIENTOS!$E$5:$E$1005)+SUMPRODUCT((MOVIMIENTOS!$B$5:$B$1005="PROCESO")*(MOVIMIENTOS!$C$5:$C$1005="M")*(MOVIMIENTOS!$D$5:$D$1005="jabas")*(MOVIMIENTOS!$A$5:$A$1005&lt;&gt;"")*(MOVIMIENTOS!$A$5:$A$1005&lt;=$A385)*MOVIMIENTOS!$E$5:$E$1005)-SUMPRODUCT((MOVIMIENTOS!$B$5:$B$1005="ENVÍO A SUPESA")*(MOVIMIENTOS!$C$5:$C$1005="M")*(MOVIMIENTOS!$D$5:$D$1005="jabas")*(MOVIMIENTOS!$A$5:$A$1005&lt;&gt;"")*(MOVIMIENTOS!$A$5:$A$1005&lt;=$A385)*MOVIMIENTOS!$E$5:$E$1005)+SUMPRODUCT((MOVIMIENTOS!$B$5:$B$1005="DEVOLUCIÓN")*(MOVIMIENTOS!$C$5:$C$1005="M")*(MOVIMIENTOS!$D$5:$D$1005="jabas")*(MOVIMIENTOS!$A$5:$A$1005&lt;&gt;"")*(MOVIMIENTOS!$A$5:$A$1005&lt;=$A385)*MOVIMIENTOS!$E$5:$E$1005)-SUMPRODUCT((MOVIMIENTOS!$B$5:$B$1005="TRASIEGO")*(MOVIMIENTOS!$C$5:$C$1005="M")*(MOVIMIENTOS!$D$5:$D$1005="jabas")*(MOVIMIENTOS!$A$5:$A$1005&lt;&gt;"")*(MOVIMIENTOS!$A$5:$A$1005&lt;=$A385)*MOVIMIENTOS!$E$5:$E$1005)-SUMPRODUCT((MOVIMIENTOS!$B$5:$B$1005="REGALO")*(MOVIMIENTOS!$C$5:$C$1005="M")*(MOVIMIENTOS!$D$5:$D$1005="jabas")*(MOVIMIENTOS!$A$5:$A$1005&lt;&gt;"")*(MOVIMIENTOS!$A$5:$A$1005&lt;=$A385)*MOVIMIENTOS!$E$5:$E$1005)-SUMPRODUCT((MOVIMIENTOS!$B$5:$B$1005="VENTA")*(MOVIMIENTOS!$C$5:$C$1005="M")*(MOVIMIENTOS!$D$5:$D$1005="jabas")*(MOVIMIENTOS!$A$5:$A$1005&lt;&gt;"")*(MOVIMIENTOS!$A$5:$A$1005&lt;=$A385)*MOVIMIENTOS!$E$5:$E$1005)+SUMPRODUCT((MOVIMIENTOS!$B$5:$B$1005="AJUSTE")*(MOVIMIENTOS!$C$5:$C$1005="M")*(MOVIMIENTOS!$D$5:$D$1005="jabas")*(MOVIMIENTOS!$A$5:$A$1005&lt;&gt;"")*(MOVIMIENTOS!$A$5:$A$1005&lt;=$A385)*MOVIMIENTOS!$E$5:$E$1005))</f>
        <v/>
      </c>
      <c r="F385" s="63" t="str">
        <f>IF($A385="","",SUMPRODUCT((MOVIMIENTOS!$B$5:$B$1005="SALDO INICIAL")*(MOVIMIENTOS!$C$5:$C$1005="Chancho")*(MOVIMIENTOS!$D$5:$D$1005="sacos")*(MOVIMIENTOS!$A$5:$A$1005&lt;&gt;"")*(MOVIMIENTOS!$A$5:$A$1005&lt;=$A385)*MOVIMIENTOS!$E$5:$E$1005)+SUMPRODUCT((MOVIMIENTOS!$B$5:$B$1005="PROCESO")*(MOVIMIENTOS!$C$5:$C$1005="Chancho")*(MOVIMIENTOS!$D$5:$D$1005="sacos")*(MOVIMIENTOS!$A$5:$A$1005&lt;&gt;"")*(MOVIMIENTOS!$A$5:$A$1005&lt;=$A385)*MOVIMIENTOS!$E$5:$E$1005)-SUMPRODUCT((MOVIMIENTOS!$B$5:$B$1005="VENTA CHANCHO")*(MOVIMIENTOS!$C$5:$C$1005="Chancho")*(MOVIMIENTOS!$D$5:$D$1005="sacos")*(MOVIMIENTOS!$A$5:$A$1005&lt;&gt;"")*(MOVIMIENTOS!$A$5:$A$1005&lt;=$A385)*MOVIMIENTOS!$E$5:$E$1005)-SUMPRODUCT((MOVIMIENTOS!$B$5:$B$1005="REGALO")*(MOVIMIENTOS!$C$5:$C$1005="Chancho")*(MOVIMIENTOS!$D$5:$D$1005="sacos")*(MOVIMIENTOS!$A$5:$A$1005&lt;&gt;"")*(MOVIMIENTOS!$A$5:$A$1005&lt;=$A385)*MOVIMIENTOS!$E$5:$E$1005)-SUMPRODUCT((MOVIMIENTOS!$B$5:$B$1005="VENTA")*(MOVIMIENTOS!$C$5:$C$1005="Chancho")*(MOVIMIENTOS!$D$5:$D$1005="sacos")*(MOVIMIENTOS!$A$5:$A$1005&lt;&gt;"")*(MOVIMIENTOS!$A$5:$A$1005&lt;=$A385)*MOVIMIENTOS!$E$5:$E$1005)+SUMPRODUCT((MOVIMIENTOS!$B$5:$B$1005="AJUSTE")*(MOVIMIENTOS!$C$5:$C$1005="Chancho")*(MOVIMIENTOS!$D$5:$D$1005="sacos")*(MOVIMIENTOS!$A$5:$A$1005&lt;&gt;"")*(MOVIMIENTOS!$A$5:$A$1005&lt;=$A385)*MOVIMIENTOS!$E$5:$E$1005))</f>
        <v/>
      </c>
      <c r="G385" s="95" t="str">
        <f t="shared" si="11"/>
        <v/>
      </c>
      <c r="H385" s="63" t="str">
        <f>IF($A385="","",SUMPRODUCT((((MOVIMIENTOS!$B$5:$B$1005="SALDO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385)*MOVIMIENTOS!$J$5:$J$1005))</f>
        <v/>
      </c>
      <c r="I385" s="63"/>
      <c r="J385" s="63">
        <f>IF(AND(MOVIMIENTOS!$A388&lt;&gt;"",COUNTIF(MOVIMIENTOS!$A$5:$A385,MOVIMIENTOS!$A388)=0),COUNT(J$4:J384)+1,"")</f>
        <v>35</v>
      </c>
      <c r="K385" s="66">
        <f>MOVIMIENTOS!$A388</f>
        <v>46248</v>
      </c>
      <c r="L385" s="63"/>
      <c r="M385" s="63"/>
      <c r="N385" s="63"/>
    </row>
    <row r="386" spans="1:14" ht="15" customHeight="1" x14ac:dyDescent="0.2">
      <c r="A386" s="63" t="str">
        <f t="shared" si="10"/>
        <v/>
      </c>
      <c r="B386" s="63" t="str">
        <f>IF($A386="","",SUMPRODUCT((MOVIMIENTOS!$B$5:$B$1005="SALDO INICIAL")*(MOVIMIENTOS!$C$5:$C$1005="A")*(MOVIMIENTOS!$D$5:$D$1005="jabas")*(MOVIMIENTOS!$A$5:$A$1005&lt;&gt;"")*(MOVIMIENTOS!$A$5:$A$1005&lt;=$A386)*MOVIMIENTOS!$E$5:$E$1005)+SUMPRODUCT((MOVIMIENTOS!$B$5:$B$1005="PROCESO")*(MOVIMIENTOS!$C$5:$C$1005="A")*(MOVIMIENTOS!$D$5:$D$1005="jabas")*(MOVIMIENTOS!$A$5:$A$1005&lt;&gt;"")*(MOVIMIENTOS!$A$5:$A$1005&lt;=$A386)*MOVIMIENTOS!$E$5:$E$1005)-SUMPRODUCT((MOVIMIENTOS!$B$5:$B$1005="ENVÍO A SUPESA")*(MOVIMIENTOS!$C$5:$C$1005="A")*(MOVIMIENTOS!$D$5:$D$1005="jabas")*(MOVIMIENTOS!$A$5:$A$1005&lt;&gt;"")*(MOVIMIENTOS!$A$5:$A$1005&lt;=$A386)*MOVIMIENTOS!$E$5:$E$1005)+SUMPRODUCT((MOVIMIENTOS!$B$5:$B$1005="DEVOLUCIÓN")*(MOVIMIENTOS!$C$5:$C$1005="A")*(MOVIMIENTOS!$D$5:$D$1005="jabas")*(MOVIMIENTOS!$A$5:$A$1005&lt;&gt;"")*(MOVIMIENTOS!$A$5:$A$1005&lt;=$A386)*MOVIMIENTOS!$E$5:$E$1005)-SUMPRODUCT((MOVIMIENTOS!$B$5:$B$1005="TRASIEGO")*(MOVIMIENTOS!$C$5:$C$1005="A")*(MOVIMIENTOS!$D$5:$D$1005="jabas")*(MOVIMIENTOS!$A$5:$A$1005&lt;&gt;"")*(MOVIMIENTOS!$A$5:$A$1005&lt;=$A386)*MOVIMIENTOS!$E$5:$E$1005)-SUMPRODUCT((MOVIMIENTOS!$B$5:$B$1005="REGALO")*(MOVIMIENTOS!$C$5:$C$1005="A")*(MOVIMIENTOS!$D$5:$D$1005="jabas")*(MOVIMIENTOS!$A$5:$A$1005&lt;&gt;"")*(MOVIMIENTOS!$A$5:$A$1005&lt;=$A386)*MOVIMIENTOS!$E$5:$E$1005)-SUMPRODUCT((MOVIMIENTOS!$B$5:$B$1005="VENTA")*(MOVIMIENTOS!$C$5:$C$1005="A")*(MOVIMIENTOS!$D$5:$D$1005="jabas")*(MOVIMIENTOS!$A$5:$A$1005&lt;&gt;"")*(MOVIMIENTOS!$A$5:$A$1005&lt;=$A386)*MOVIMIENTOS!$E$5:$E$1005)+SUMPRODUCT((MOVIMIENTOS!$B$5:$B$1005="AJUSTE")*(MOVIMIENTOS!$C$5:$C$1005="A")*(MOVIMIENTOS!$D$5:$D$1005="jabas")*(MOVIMIENTOS!$A$5:$A$1005&lt;&gt;"")*(MOVIMIENTOS!$A$5:$A$1005&lt;=$A386)*MOVIMIENTOS!$E$5:$E$1005))</f>
        <v/>
      </c>
      <c r="C386" s="63" t="str">
        <f>IF($A386="","",SUMPRODUCT((MOVIMIENTOS!$B$5:$B$1005="SALDO INICIAL")*(MOVIMIENTOS!$C$5:$C$1005="P")*(MOVIMIENTOS!$D$5:$D$1005="jabas")*(MOVIMIENTOS!$A$5:$A$1005&lt;&gt;"")*(MOVIMIENTOS!$A$5:$A$1005&lt;=$A386)*MOVIMIENTOS!$E$5:$E$1005)+SUMPRODUCT((MOVIMIENTOS!$B$5:$B$1005="PROCESO")*(MOVIMIENTOS!$C$5:$C$1005="P")*(MOVIMIENTOS!$D$5:$D$1005="jabas")*(MOVIMIENTOS!$A$5:$A$1005&lt;&gt;"")*(MOVIMIENTOS!$A$5:$A$1005&lt;=$A386)*MOVIMIENTOS!$E$5:$E$1005)-SUMPRODUCT((MOVIMIENTOS!$B$5:$B$1005="ENVÍO A SUPESA")*(MOVIMIENTOS!$C$5:$C$1005="P")*(MOVIMIENTOS!$D$5:$D$1005="jabas")*(MOVIMIENTOS!$A$5:$A$1005&lt;&gt;"")*(MOVIMIENTOS!$A$5:$A$1005&lt;=$A386)*MOVIMIENTOS!$E$5:$E$1005)+SUMPRODUCT((MOVIMIENTOS!$B$5:$B$1005="DEVOLUCIÓN")*(MOVIMIENTOS!$C$5:$C$1005="P")*(MOVIMIENTOS!$D$5:$D$1005="jabas")*(MOVIMIENTOS!$A$5:$A$1005&lt;&gt;"")*(MOVIMIENTOS!$A$5:$A$1005&lt;=$A386)*MOVIMIENTOS!$E$5:$E$1005)-SUMPRODUCT((MOVIMIENTOS!$B$5:$B$1005="TRASIEGO")*(MOVIMIENTOS!$C$5:$C$1005="P")*(MOVIMIENTOS!$D$5:$D$1005="jabas")*(MOVIMIENTOS!$A$5:$A$1005&lt;&gt;"")*(MOVIMIENTOS!$A$5:$A$1005&lt;=$A386)*MOVIMIENTOS!$E$5:$E$1005)-SUMPRODUCT((MOVIMIENTOS!$B$5:$B$1005="REGALO")*(MOVIMIENTOS!$C$5:$C$1005="P")*(MOVIMIENTOS!$D$5:$D$1005="jabas")*(MOVIMIENTOS!$A$5:$A$1005&lt;&gt;"")*(MOVIMIENTOS!$A$5:$A$1005&lt;=$A386)*MOVIMIENTOS!$E$5:$E$1005)-SUMPRODUCT((MOVIMIENTOS!$B$5:$B$1005="VENTA")*(MOVIMIENTOS!$C$5:$C$1005="P")*(MOVIMIENTOS!$D$5:$D$1005="jabas")*(MOVIMIENTOS!$A$5:$A$1005&lt;&gt;"")*(MOVIMIENTOS!$A$5:$A$1005&lt;=$A386)*MOVIMIENTOS!$E$5:$E$1005)+SUMPRODUCT((MOVIMIENTOS!$B$5:$B$1005="AJUSTE")*(MOVIMIENTOS!$C$5:$C$1005="P")*(MOVIMIENTOS!$D$5:$D$1005="jabas")*(MOVIMIENTOS!$A$5:$A$1005&lt;&gt;"")*(MOVIMIENTOS!$A$5:$A$1005&lt;=$A386)*MOVIMIENTOS!$E$5:$E$1005))</f>
        <v/>
      </c>
      <c r="D386" s="63" t="str">
        <f>IF($A386="","",SUMPRODUCT((MOVIMIENTOS!$B$5:$B$1005="SALDO INICIAL")*(MOVIMIENTOS!$C$5:$C$1005="C")*(MOVIMIENTOS!$D$5:$D$1005="jabas")*(MOVIMIENTOS!$A$5:$A$1005&lt;&gt;"")*(MOVIMIENTOS!$A$5:$A$1005&lt;=$A386)*MOVIMIENTOS!$E$5:$E$1005)+SUMPRODUCT((MOVIMIENTOS!$B$5:$B$1005="PROCESO")*(MOVIMIENTOS!$C$5:$C$1005="C")*(MOVIMIENTOS!$D$5:$D$1005="jabas")*(MOVIMIENTOS!$A$5:$A$1005&lt;&gt;"")*(MOVIMIENTOS!$A$5:$A$1005&lt;=$A386)*MOVIMIENTOS!$E$5:$E$1005)-SUMPRODUCT((MOVIMIENTOS!$B$5:$B$1005="ENVÍO A SUPESA")*(MOVIMIENTOS!$C$5:$C$1005="C")*(MOVIMIENTOS!$D$5:$D$1005="jabas")*(MOVIMIENTOS!$A$5:$A$1005&lt;&gt;"")*(MOVIMIENTOS!$A$5:$A$1005&lt;=$A386)*MOVIMIENTOS!$E$5:$E$1005)+SUMPRODUCT((MOVIMIENTOS!$B$5:$B$1005="DEVOLUCIÓN")*(MOVIMIENTOS!$C$5:$C$1005="C")*(MOVIMIENTOS!$D$5:$D$1005="jabas")*(MOVIMIENTOS!$A$5:$A$1005&lt;&gt;"")*(MOVIMIENTOS!$A$5:$A$1005&lt;=$A386)*MOVIMIENTOS!$E$5:$E$1005)-SUMPRODUCT((MOVIMIENTOS!$B$5:$B$1005="TRASIEGO")*(MOVIMIENTOS!$C$5:$C$1005="C")*(MOVIMIENTOS!$D$5:$D$1005="jabas")*(MOVIMIENTOS!$A$5:$A$1005&lt;&gt;"")*(MOVIMIENTOS!$A$5:$A$1005&lt;=$A386)*MOVIMIENTOS!$E$5:$E$1005)-SUMPRODUCT((MOVIMIENTOS!$B$5:$B$1005="REGALO")*(MOVIMIENTOS!$C$5:$C$1005="C")*(MOVIMIENTOS!$D$5:$D$1005="jabas")*(MOVIMIENTOS!$A$5:$A$1005&lt;&gt;"")*(MOVIMIENTOS!$A$5:$A$1005&lt;=$A386)*MOVIMIENTOS!$E$5:$E$1005)-SUMPRODUCT((MOVIMIENTOS!$B$5:$B$1005="VENTA")*(MOVIMIENTOS!$C$5:$C$1005="C")*(MOVIMIENTOS!$D$5:$D$1005="jabas")*(MOVIMIENTOS!$A$5:$A$1005&lt;&gt;"")*(MOVIMIENTOS!$A$5:$A$1005&lt;=$A386)*MOVIMIENTOS!$E$5:$E$1005)+SUMPRODUCT((MOVIMIENTOS!$B$5:$B$1005="AJUSTE")*(MOVIMIENTOS!$C$5:$C$1005="C")*(MOVIMIENTOS!$D$5:$D$1005="jabas")*(MOVIMIENTOS!$A$5:$A$1005&lt;&gt;"")*(MOVIMIENTOS!$A$5:$A$1005&lt;=$A386)*MOVIMIENTOS!$E$5:$E$1005))</f>
        <v/>
      </c>
      <c r="E386" s="63" t="str">
        <f>IF($A386="","",SUMPRODUCT((MOVIMIENTOS!$B$5:$B$1005="SALDO INICIAL")*(MOVIMIENTOS!$C$5:$C$1005="M")*(MOVIMIENTOS!$D$5:$D$1005="jabas")*(MOVIMIENTOS!$A$5:$A$1005&lt;&gt;"")*(MOVIMIENTOS!$A$5:$A$1005&lt;=$A386)*MOVIMIENTOS!$E$5:$E$1005)+SUMPRODUCT((MOVIMIENTOS!$B$5:$B$1005="PROCESO")*(MOVIMIENTOS!$C$5:$C$1005="M")*(MOVIMIENTOS!$D$5:$D$1005="jabas")*(MOVIMIENTOS!$A$5:$A$1005&lt;&gt;"")*(MOVIMIENTOS!$A$5:$A$1005&lt;=$A386)*MOVIMIENTOS!$E$5:$E$1005)-SUMPRODUCT((MOVIMIENTOS!$B$5:$B$1005="ENVÍO A SUPESA")*(MOVIMIENTOS!$C$5:$C$1005="M")*(MOVIMIENTOS!$D$5:$D$1005="jabas")*(MOVIMIENTOS!$A$5:$A$1005&lt;&gt;"")*(MOVIMIENTOS!$A$5:$A$1005&lt;=$A386)*MOVIMIENTOS!$E$5:$E$1005)+SUMPRODUCT((MOVIMIENTOS!$B$5:$B$1005="DEVOLUCIÓN")*(MOVIMIENTOS!$C$5:$C$1005="M")*(MOVIMIENTOS!$D$5:$D$1005="jabas")*(MOVIMIENTOS!$A$5:$A$1005&lt;&gt;"")*(MOVIMIENTOS!$A$5:$A$1005&lt;=$A386)*MOVIMIENTOS!$E$5:$E$1005)-SUMPRODUCT((MOVIMIENTOS!$B$5:$B$1005="TRASIEGO")*(MOVIMIENTOS!$C$5:$C$1005="M")*(MOVIMIENTOS!$D$5:$D$1005="jabas")*(MOVIMIENTOS!$A$5:$A$1005&lt;&gt;"")*(MOVIMIENTOS!$A$5:$A$1005&lt;=$A386)*MOVIMIENTOS!$E$5:$E$1005)-SUMPRODUCT((MOVIMIENTOS!$B$5:$B$1005="REGALO")*(MOVIMIENTOS!$C$5:$C$1005="M")*(MOVIMIENTOS!$D$5:$D$1005="jabas")*(MOVIMIENTOS!$A$5:$A$1005&lt;&gt;"")*(MOVIMIENTOS!$A$5:$A$1005&lt;=$A386)*MOVIMIENTOS!$E$5:$E$1005)-SUMPRODUCT((MOVIMIENTOS!$B$5:$B$1005="VENTA")*(MOVIMIENTOS!$C$5:$C$1005="M")*(MOVIMIENTOS!$D$5:$D$1005="jabas")*(MOVIMIENTOS!$A$5:$A$1005&lt;&gt;"")*(MOVIMIENTOS!$A$5:$A$1005&lt;=$A386)*MOVIMIENTOS!$E$5:$E$1005)+SUMPRODUCT((MOVIMIENTOS!$B$5:$B$1005="AJUSTE")*(MOVIMIENTOS!$C$5:$C$1005="M")*(MOVIMIENTOS!$D$5:$D$1005="jabas")*(MOVIMIENTOS!$A$5:$A$1005&lt;&gt;"")*(MOVIMIENTOS!$A$5:$A$1005&lt;=$A386)*MOVIMIENTOS!$E$5:$E$1005))</f>
        <v/>
      </c>
      <c r="F386" s="63" t="str">
        <f>IF($A386="","",SUMPRODUCT((MOVIMIENTOS!$B$5:$B$1005="SALDO INICIAL")*(MOVIMIENTOS!$C$5:$C$1005="Chancho")*(MOVIMIENTOS!$D$5:$D$1005="sacos")*(MOVIMIENTOS!$A$5:$A$1005&lt;&gt;"")*(MOVIMIENTOS!$A$5:$A$1005&lt;=$A386)*MOVIMIENTOS!$E$5:$E$1005)+SUMPRODUCT((MOVIMIENTOS!$B$5:$B$1005="PROCESO")*(MOVIMIENTOS!$C$5:$C$1005="Chancho")*(MOVIMIENTOS!$D$5:$D$1005="sacos")*(MOVIMIENTOS!$A$5:$A$1005&lt;&gt;"")*(MOVIMIENTOS!$A$5:$A$1005&lt;=$A386)*MOVIMIENTOS!$E$5:$E$1005)-SUMPRODUCT((MOVIMIENTOS!$B$5:$B$1005="VENTA CHANCHO")*(MOVIMIENTOS!$C$5:$C$1005="Chancho")*(MOVIMIENTOS!$D$5:$D$1005="sacos")*(MOVIMIENTOS!$A$5:$A$1005&lt;&gt;"")*(MOVIMIENTOS!$A$5:$A$1005&lt;=$A386)*MOVIMIENTOS!$E$5:$E$1005)-SUMPRODUCT((MOVIMIENTOS!$B$5:$B$1005="REGALO")*(MOVIMIENTOS!$C$5:$C$1005="Chancho")*(MOVIMIENTOS!$D$5:$D$1005="sacos")*(MOVIMIENTOS!$A$5:$A$1005&lt;&gt;"")*(MOVIMIENTOS!$A$5:$A$1005&lt;=$A386)*MOVIMIENTOS!$E$5:$E$1005)-SUMPRODUCT((MOVIMIENTOS!$B$5:$B$1005="VENTA")*(MOVIMIENTOS!$C$5:$C$1005="Chancho")*(MOVIMIENTOS!$D$5:$D$1005="sacos")*(MOVIMIENTOS!$A$5:$A$1005&lt;&gt;"")*(MOVIMIENTOS!$A$5:$A$1005&lt;=$A386)*MOVIMIENTOS!$E$5:$E$1005)+SUMPRODUCT((MOVIMIENTOS!$B$5:$B$1005="AJUSTE")*(MOVIMIENTOS!$C$5:$C$1005="Chancho")*(MOVIMIENTOS!$D$5:$D$1005="sacos")*(MOVIMIENTOS!$A$5:$A$1005&lt;&gt;"")*(MOVIMIENTOS!$A$5:$A$1005&lt;=$A386)*MOVIMIENTOS!$E$5:$E$1005))</f>
        <v/>
      </c>
      <c r="G386" s="95" t="str">
        <f t="shared" si="11"/>
        <v/>
      </c>
      <c r="H386" s="63" t="str">
        <f>IF($A386="","",SUMPRODUCT((((MOVIMIENTOS!$B$5:$B$1005="SALDO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386)*MOVIMIENTOS!$J$5:$J$1005))</f>
        <v/>
      </c>
      <c r="I386" s="63"/>
      <c r="J386" s="63" t="str">
        <f>IF(AND(MOVIMIENTOS!$A389&lt;&gt;"",COUNTIF(MOVIMIENTOS!$A$5:$A388,MOVIMIENTOS!$A389)=0),COUNT(J$4:J385)+1,"")</f>
        <v/>
      </c>
      <c r="K386" s="66">
        <f>MOVIMIENTOS!$A389</f>
        <v>46248</v>
      </c>
      <c r="L386" s="63"/>
      <c r="M386" s="63"/>
      <c r="N386" s="63"/>
    </row>
    <row r="387" spans="1:14" ht="15" customHeight="1" x14ac:dyDescent="0.2">
      <c r="A387" s="63" t="str">
        <f t="shared" si="10"/>
        <v/>
      </c>
      <c r="B387" s="63" t="str">
        <f>IF($A387="","",SUMPRODUCT((MOVIMIENTOS!$B$5:$B$1005="SALDO INICIAL")*(MOVIMIENTOS!$C$5:$C$1005="A")*(MOVIMIENTOS!$D$5:$D$1005="jabas")*(MOVIMIENTOS!$A$5:$A$1005&lt;&gt;"")*(MOVIMIENTOS!$A$5:$A$1005&lt;=$A387)*MOVIMIENTOS!$E$5:$E$1005)+SUMPRODUCT((MOVIMIENTOS!$B$5:$B$1005="PROCESO")*(MOVIMIENTOS!$C$5:$C$1005="A")*(MOVIMIENTOS!$D$5:$D$1005="jabas")*(MOVIMIENTOS!$A$5:$A$1005&lt;&gt;"")*(MOVIMIENTOS!$A$5:$A$1005&lt;=$A387)*MOVIMIENTOS!$E$5:$E$1005)-SUMPRODUCT((MOVIMIENTOS!$B$5:$B$1005="ENVÍO A SUPESA")*(MOVIMIENTOS!$C$5:$C$1005="A")*(MOVIMIENTOS!$D$5:$D$1005="jabas")*(MOVIMIENTOS!$A$5:$A$1005&lt;&gt;"")*(MOVIMIENTOS!$A$5:$A$1005&lt;=$A387)*MOVIMIENTOS!$E$5:$E$1005)+SUMPRODUCT((MOVIMIENTOS!$B$5:$B$1005="DEVOLUCIÓN")*(MOVIMIENTOS!$C$5:$C$1005="A")*(MOVIMIENTOS!$D$5:$D$1005="jabas")*(MOVIMIENTOS!$A$5:$A$1005&lt;&gt;"")*(MOVIMIENTOS!$A$5:$A$1005&lt;=$A387)*MOVIMIENTOS!$E$5:$E$1005)-SUMPRODUCT((MOVIMIENTOS!$B$5:$B$1005="TRASIEGO")*(MOVIMIENTOS!$C$5:$C$1005="A")*(MOVIMIENTOS!$D$5:$D$1005="jabas")*(MOVIMIENTOS!$A$5:$A$1005&lt;&gt;"")*(MOVIMIENTOS!$A$5:$A$1005&lt;=$A387)*MOVIMIENTOS!$E$5:$E$1005)-SUMPRODUCT((MOVIMIENTOS!$B$5:$B$1005="REGALO")*(MOVIMIENTOS!$C$5:$C$1005="A")*(MOVIMIENTOS!$D$5:$D$1005="jabas")*(MOVIMIENTOS!$A$5:$A$1005&lt;&gt;"")*(MOVIMIENTOS!$A$5:$A$1005&lt;=$A387)*MOVIMIENTOS!$E$5:$E$1005)-SUMPRODUCT((MOVIMIENTOS!$B$5:$B$1005="VENTA")*(MOVIMIENTOS!$C$5:$C$1005="A")*(MOVIMIENTOS!$D$5:$D$1005="jabas")*(MOVIMIENTOS!$A$5:$A$1005&lt;&gt;"")*(MOVIMIENTOS!$A$5:$A$1005&lt;=$A387)*MOVIMIENTOS!$E$5:$E$1005)+SUMPRODUCT((MOVIMIENTOS!$B$5:$B$1005="AJUSTE")*(MOVIMIENTOS!$C$5:$C$1005="A")*(MOVIMIENTOS!$D$5:$D$1005="jabas")*(MOVIMIENTOS!$A$5:$A$1005&lt;&gt;"")*(MOVIMIENTOS!$A$5:$A$1005&lt;=$A387)*MOVIMIENTOS!$E$5:$E$1005))</f>
        <v/>
      </c>
      <c r="C387" s="63" t="str">
        <f>IF($A387="","",SUMPRODUCT((MOVIMIENTOS!$B$5:$B$1005="SALDO INICIAL")*(MOVIMIENTOS!$C$5:$C$1005="P")*(MOVIMIENTOS!$D$5:$D$1005="jabas")*(MOVIMIENTOS!$A$5:$A$1005&lt;&gt;"")*(MOVIMIENTOS!$A$5:$A$1005&lt;=$A387)*MOVIMIENTOS!$E$5:$E$1005)+SUMPRODUCT((MOVIMIENTOS!$B$5:$B$1005="PROCESO")*(MOVIMIENTOS!$C$5:$C$1005="P")*(MOVIMIENTOS!$D$5:$D$1005="jabas")*(MOVIMIENTOS!$A$5:$A$1005&lt;&gt;"")*(MOVIMIENTOS!$A$5:$A$1005&lt;=$A387)*MOVIMIENTOS!$E$5:$E$1005)-SUMPRODUCT((MOVIMIENTOS!$B$5:$B$1005="ENVÍO A SUPESA")*(MOVIMIENTOS!$C$5:$C$1005="P")*(MOVIMIENTOS!$D$5:$D$1005="jabas")*(MOVIMIENTOS!$A$5:$A$1005&lt;&gt;"")*(MOVIMIENTOS!$A$5:$A$1005&lt;=$A387)*MOVIMIENTOS!$E$5:$E$1005)+SUMPRODUCT((MOVIMIENTOS!$B$5:$B$1005="DEVOLUCIÓN")*(MOVIMIENTOS!$C$5:$C$1005="P")*(MOVIMIENTOS!$D$5:$D$1005="jabas")*(MOVIMIENTOS!$A$5:$A$1005&lt;&gt;"")*(MOVIMIENTOS!$A$5:$A$1005&lt;=$A387)*MOVIMIENTOS!$E$5:$E$1005)-SUMPRODUCT((MOVIMIENTOS!$B$5:$B$1005="TRASIEGO")*(MOVIMIENTOS!$C$5:$C$1005="P")*(MOVIMIENTOS!$D$5:$D$1005="jabas")*(MOVIMIENTOS!$A$5:$A$1005&lt;&gt;"")*(MOVIMIENTOS!$A$5:$A$1005&lt;=$A387)*MOVIMIENTOS!$E$5:$E$1005)-SUMPRODUCT((MOVIMIENTOS!$B$5:$B$1005="REGALO")*(MOVIMIENTOS!$C$5:$C$1005="P")*(MOVIMIENTOS!$D$5:$D$1005="jabas")*(MOVIMIENTOS!$A$5:$A$1005&lt;&gt;"")*(MOVIMIENTOS!$A$5:$A$1005&lt;=$A387)*MOVIMIENTOS!$E$5:$E$1005)-SUMPRODUCT((MOVIMIENTOS!$B$5:$B$1005="VENTA")*(MOVIMIENTOS!$C$5:$C$1005="P")*(MOVIMIENTOS!$D$5:$D$1005="jabas")*(MOVIMIENTOS!$A$5:$A$1005&lt;&gt;"")*(MOVIMIENTOS!$A$5:$A$1005&lt;=$A387)*MOVIMIENTOS!$E$5:$E$1005)+SUMPRODUCT((MOVIMIENTOS!$B$5:$B$1005="AJUSTE")*(MOVIMIENTOS!$C$5:$C$1005="P")*(MOVIMIENTOS!$D$5:$D$1005="jabas")*(MOVIMIENTOS!$A$5:$A$1005&lt;&gt;"")*(MOVIMIENTOS!$A$5:$A$1005&lt;=$A387)*MOVIMIENTOS!$E$5:$E$1005))</f>
        <v/>
      </c>
      <c r="D387" s="63" t="str">
        <f>IF($A387="","",SUMPRODUCT((MOVIMIENTOS!$B$5:$B$1005="SALDO INICIAL")*(MOVIMIENTOS!$C$5:$C$1005="C")*(MOVIMIENTOS!$D$5:$D$1005="jabas")*(MOVIMIENTOS!$A$5:$A$1005&lt;&gt;"")*(MOVIMIENTOS!$A$5:$A$1005&lt;=$A387)*MOVIMIENTOS!$E$5:$E$1005)+SUMPRODUCT((MOVIMIENTOS!$B$5:$B$1005="PROCESO")*(MOVIMIENTOS!$C$5:$C$1005="C")*(MOVIMIENTOS!$D$5:$D$1005="jabas")*(MOVIMIENTOS!$A$5:$A$1005&lt;&gt;"")*(MOVIMIENTOS!$A$5:$A$1005&lt;=$A387)*MOVIMIENTOS!$E$5:$E$1005)-SUMPRODUCT((MOVIMIENTOS!$B$5:$B$1005="ENVÍO A SUPESA")*(MOVIMIENTOS!$C$5:$C$1005="C")*(MOVIMIENTOS!$D$5:$D$1005="jabas")*(MOVIMIENTOS!$A$5:$A$1005&lt;&gt;"")*(MOVIMIENTOS!$A$5:$A$1005&lt;=$A387)*MOVIMIENTOS!$E$5:$E$1005)+SUMPRODUCT((MOVIMIENTOS!$B$5:$B$1005="DEVOLUCIÓN")*(MOVIMIENTOS!$C$5:$C$1005="C")*(MOVIMIENTOS!$D$5:$D$1005="jabas")*(MOVIMIENTOS!$A$5:$A$1005&lt;&gt;"")*(MOVIMIENTOS!$A$5:$A$1005&lt;=$A387)*MOVIMIENTOS!$E$5:$E$1005)-SUMPRODUCT((MOVIMIENTOS!$B$5:$B$1005="TRASIEGO")*(MOVIMIENTOS!$C$5:$C$1005="C")*(MOVIMIENTOS!$D$5:$D$1005="jabas")*(MOVIMIENTOS!$A$5:$A$1005&lt;&gt;"")*(MOVIMIENTOS!$A$5:$A$1005&lt;=$A387)*MOVIMIENTOS!$E$5:$E$1005)-SUMPRODUCT((MOVIMIENTOS!$B$5:$B$1005="REGALO")*(MOVIMIENTOS!$C$5:$C$1005="C")*(MOVIMIENTOS!$D$5:$D$1005="jabas")*(MOVIMIENTOS!$A$5:$A$1005&lt;&gt;"")*(MOVIMIENTOS!$A$5:$A$1005&lt;=$A387)*MOVIMIENTOS!$E$5:$E$1005)-SUMPRODUCT((MOVIMIENTOS!$B$5:$B$1005="VENTA")*(MOVIMIENTOS!$C$5:$C$1005="C")*(MOVIMIENTOS!$D$5:$D$1005="jabas")*(MOVIMIENTOS!$A$5:$A$1005&lt;&gt;"")*(MOVIMIENTOS!$A$5:$A$1005&lt;=$A387)*MOVIMIENTOS!$E$5:$E$1005)+SUMPRODUCT((MOVIMIENTOS!$B$5:$B$1005="AJUSTE")*(MOVIMIENTOS!$C$5:$C$1005="C")*(MOVIMIENTOS!$D$5:$D$1005="jabas")*(MOVIMIENTOS!$A$5:$A$1005&lt;&gt;"")*(MOVIMIENTOS!$A$5:$A$1005&lt;=$A387)*MOVIMIENTOS!$E$5:$E$1005))</f>
        <v/>
      </c>
      <c r="E387" s="63" t="str">
        <f>IF($A387="","",SUMPRODUCT((MOVIMIENTOS!$B$5:$B$1005="SALDO INICIAL")*(MOVIMIENTOS!$C$5:$C$1005="M")*(MOVIMIENTOS!$D$5:$D$1005="jabas")*(MOVIMIENTOS!$A$5:$A$1005&lt;&gt;"")*(MOVIMIENTOS!$A$5:$A$1005&lt;=$A387)*MOVIMIENTOS!$E$5:$E$1005)+SUMPRODUCT((MOVIMIENTOS!$B$5:$B$1005="PROCESO")*(MOVIMIENTOS!$C$5:$C$1005="M")*(MOVIMIENTOS!$D$5:$D$1005="jabas")*(MOVIMIENTOS!$A$5:$A$1005&lt;&gt;"")*(MOVIMIENTOS!$A$5:$A$1005&lt;=$A387)*MOVIMIENTOS!$E$5:$E$1005)-SUMPRODUCT((MOVIMIENTOS!$B$5:$B$1005="ENVÍO A SUPESA")*(MOVIMIENTOS!$C$5:$C$1005="M")*(MOVIMIENTOS!$D$5:$D$1005="jabas")*(MOVIMIENTOS!$A$5:$A$1005&lt;&gt;"")*(MOVIMIENTOS!$A$5:$A$1005&lt;=$A387)*MOVIMIENTOS!$E$5:$E$1005)+SUMPRODUCT((MOVIMIENTOS!$B$5:$B$1005="DEVOLUCIÓN")*(MOVIMIENTOS!$C$5:$C$1005="M")*(MOVIMIENTOS!$D$5:$D$1005="jabas")*(MOVIMIENTOS!$A$5:$A$1005&lt;&gt;"")*(MOVIMIENTOS!$A$5:$A$1005&lt;=$A387)*MOVIMIENTOS!$E$5:$E$1005)-SUMPRODUCT((MOVIMIENTOS!$B$5:$B$1005="TRASIEGO")*(MOVIMIENTOS!$C$5:$C$1005="M")*(MOVIMIENTOS!$D$5:$D$1005="jabas")*(MOVIMIENTOS!$A$5:$A$1005&lt;&gt;"")*(MOVIMIENTOS!$A$5:$A$1005&lt;=$A387)*MOVIMIENTOS!$E$5:$E$1005)-SUMPRODUCT((MOVIMIENTOS!$B$5:$B$1005="REGALO")*(MOVIMIENTOS!$C$5:$C$1005="M")*(MOVIMIENTOS!$D$5:$D$1005="jabas")*(MOVIMIENTOS!$A$5:$A$1005&lt;&gt;"")*(MOVIMIENTOS!$A$5:$A$1005&lt;=$A387)*MOVIMIENTOS!$E$5:$E$1005)-SUMPRODUCT((MOVIMIENTOS!$B$5:$B$1005="VENTA")*(MOVIMIENTOS!$C$5:$C$1005="M")*(MOVIMIENTOS!$D$5:$D$1005="jabas")*(MOVIMIENTOS!$A$5:$A$1005&lt;&gt;"")*(MOVIMIENTOS!$A$5:$A$1005&lt;=$A387)*MOVIMIENTOS!$E$5:$E$1005)+SUMPRODUCT((MOVIMIENTOS!$B$5:$B$1005="AJUSTE")*(MOVIMIENTOS!$C$5:$C$1005="M")*(MOVIMIENTOS!$D$5:$D$1005="jabas")*(MOVIMIENTOS!$A$5:$A$1005&lt;&gt;"")*(MOVIMIENTOS!$A$5:$A$1005&lt;=$A387)*MOVIMIENTOS!$E$5:$E$1005))</f>
        <v/>
      </c>
      <c r="F387" s="63" t="str">
        <f>IF($A387="","",SUMPRODUCT((MOVIMIENTOS!$B$5:$B$1005="SALDO INICIAL")*(MOVIMIENTOS!$C$5:$C$1005="Chancho")*(MOVIMIENTOS!$D$5:$D$1005="sacos")*(MOVIMIENTOS!$A$5:$A$1005&lt;&gt;"")*(MOVIMIENTOS!$A$5:$A$1005&lt;=$A387)*MOVIMIENTOS!$E$5:$E$1005)+SUMPRODUCT((MOVIMIENTOS!$B$5:$B$1005="PROCESO")*(MOVIMIENTOS!$C$5:$C$1005="Chancho")*(MOVIMIENTOS!$D$5:$D$1005="sacos")*(MOVIMIENTOS!$A$5:$A$1005&lt;&gt;"")*(MOVIMIENTOS!$A$5:$A$1005&lt;=$A387)*MOVIMIENTOS!$E$5:$E$1005)-SUMPRODUCT((MOVIMIENTOS!$B$5:$B$1005="VENTA CHANCHO")*(MOVIMIENTOS!$C$5:$C$1005="Chancho")*(MOVIMIENTOS!$D$5:$D$1005="sacos")*(MOVIMIENTOS!$A$5:$A$1005&lt;&gt;"")*(MOVIMIENTOS!$A$5:$A$1005&lt;=$A387)*MOVIMIENTOS!$E$5:$E$1005)-SUMPRODUCT((MOVIMIENTOS!$B$5:$B$1005="REGALO")*(MOVIMIENTOS!$C$5:$C$1005="Chancho")*(MOVIMIENTOS!$D$5:$D$1005="sacos")*(MOVIMIENTOS!$A$5:$A$1005&lt;&gt;"")*(MOVIMIENTOS!$A$5:$A$1005&lt;=$A387)*MOVIMIENTOS!$E$5:$E$1005)-SUMPRODUCT((MOVIMIENTOS!$B$5:$B$1005="VENTA")*(MOVIMIENTOS!$C$5:$C$1005="Chancho")*(MOVIMIENTOS!$D$5:$D$1005="sacos")*(MOVIMIENTOS!$A$5:$A$1005&lt;&gt;"")*(MOVIMIENTOS!$A$5:$A$1005&lt;=$A387)*MOVIMIENTOS!$E$5:$E$1005)+SUMPRODUCT((MOVIMIENTOS!$B$5:$B$1005="AJUSTE")*(MOVIMIENTOS!$C$5:$C$1005="Chancho")*(MOVIMIENTOS!$D$5:$D$1005="sacos")*(MOVIMIENTOS!$A$5:$A$1005&lt;&gt;"")*(MOVIMIENTOS!$A$5:$A$1005&lt;=$A387)*MOVIMIENTOS!$E$5:$E$1005))</f>
        <v/>
      </c>
      <c r="G387" s="95" t="str">
        <f t="shared" si="11"/>
        <v/>
      </c>
      <c r="H387" s="63" t="str">
        <f>IF($A387="","",SUMPRODUCT((((MOVIMIENTOS!$B$5:$B$1005="SALDO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387)*MOVIMIENTOS!$J$5:$J$1005))</f>
        <v/>
      </c>
      <c r="I387" s="63"/>
      <c r="J387" s="63" t="str">
        <f>IF(AND(MOVIMIENTOS!$A390&lt;&gt;"",COUNTIF(MOVIMIENTOS!$A$5:$A389,MOVIMIENTOS!$A390)=0),COUNT(J$4:J386)+1,"")</f>
        <v/>
      </c>
      <c r="K387" s="66">
        <f>MOVIMIENTOS!$A390</f>
        <v>46248</v>
      </c>
      <c r="L387" s="63"/>
      <c r="M387" s="63"/>
      <c r="N387" s="63"/>
    </row>
    <row r="388" spans="1:14" ht="15" customHeight="1" x14ac:dyDescent="0.2">
      <c r="A388" s="63" t="str">
        <f t="shared" si="10"/>
        <v/>
      </c>
      <c r="B388" s="63" t="str">
        <f>IF($A388="","",SUMPRODUCT((MOVIMIENTOS!$B$5:$B$1005="SALDO INICIAL")*(MOVIMIENTOS!$C$5:$C$1005="A")*(MOVIMIENTOS!$D$5:$D$1005="jabas")*(MOVIMIENTOS!$A$5:$A$1005&lt;&gt;"")*(MOVIMIENTOS!$A$5:$A$1005&lt;=$A388)*MOVIMIENTOS!$E$5:$E$1005)+SUMPRODUCT((MOVIMIENTOS!$B$5:$B$1005="PROCESO")*(MOVIMIENTOS!$C$5:$C$1005="A")*(MOVIMIENTOS!$D$5:$D$1005="jabas")*(MOVIMIENTOS!$A$5:$A$1005&lt;&gt;"")*(MOVIMIENTOS!$A$5:$A$1005&lt;=$A388)*MOVIMIENTOS!$E$5:$E$1005)-SUMPRODUCT((MOVIMIENTOS!$B$5:$B$1005="ENVÍO A SUPESA")*(MOVIMIENTOS!$C$5:$C$1005="A")*(MOVIMIENTOS!$D$5:$D$1005="jabas")*(MOVIMIENTOS!$A$5:$A$1005&lt;&gt;"")*(MOVIMIENTOS!$A$5:$A$1005&lt;=$A388)*MOVIMIENTOS!$E$5:$E$1005)+SUMPRODUCT((MOVIMIENTOS!$B$5:$B$1005="DEVOLUCIÓN")*(MOVIMIENTOS!$C$5:$C$1005="A")*(MOVIMIENTOS!$D$5:$D$1005="jabas")*(MOVIMIENTOS!$A$5:$A$1005&lt;&gt;"")*(MOVIMIENTOS!$A$5:$A$1005&lt;=$A388)*MOVIMIENTOS!$E$5:$E$1005)-SUMPRODUCT((MOVIMIENTOS!$B$5:$B$1005="TRASIEGO")*(MOVIMIENTOS!$C$5:$C$1005="A")*(MOVIMIENTOS!$D$5:$D$1005="jabas")*(MOVIMIENTOS!$A$5:$A$1005&lt;&gt;"")*(MOVIMIENTOS!$A$5:$A$1005&lt;=$A388)*MOVIMIENTOS!$E$5:$E$1005)-SUMPRODUCT((MOVIMIENTOS!$B$5:$B$1005="REGALO")*(MOVIMIENTOS!$C$5:$C$1005="A")*(MOVIMIENTOS!$D$5:$D$1005="jabas")*(MOVIMIENTOS!$A$5:$A$1005&lt;&gt;"")*(MOVIMIENTOS!$A$5:$A$1005&lt;=$A388)*MOVIMIENTOS!$E$5:$E$1005)-SUMPRODUCT((MOVIMIENTOS!$B$5:$B$1005="VENTA")*(MOVIMIENTOS!$C$5:$C$1005="A")*(MOVIMIENTOS!$D$5:$D$1005="jabas")*(MOVIMIENTOS!$A$5:$A$1005&lt;&gt;"")*(MOVIMIENTOS!$A$5:$A$1005&lt;=$A388)*MOVIMIENTOS!$E$5:$E$1005)+SUMPRODUCT((MOVIMIENTOS!$B$5:$B$1005="AJUSTE")*(MOVIMIENTOS!$C$5:$C$1005="A")*(MOVIMIENTOS!$D$5:$D$1005="jabas")*(MOVIMIENTOS!$A$5:$A$1005&lt;&gt;"")*(MOVIMIENTOS!$A$5:$A$1005&lt;=$A388)*MOVIMIENTOS!$E$5:$E$1005))</f>
        <v/>
      </c>
      <c r="C388" s="63" t="str">
        <f>IF($A388="","",SUMPRODUCT((MOVIMIENTOS!$B$5:$B$1005="SALDO INICIAL")*(MOVIMIENTOS!$C$5:$C$1005="P")*(MOVIMIENTOS!$D$5:$D$1005="jabas")*(MOVIMIENTOS!$A$5:$A$1005&lt;&gt;"")*(MOVIMIENTOS!$A$5:$A$1005&lt;=$A388)*MOVIMIENTOS!$E$5:$E$1005)+SUMPRODUCT((MOVIMIENTOS!$B$5:$B$1005="PROCESO")*(MOVIMIENTOS!$C$5:$C$1005="P")*(MOVIMIENTOS!$D$5:$D$1005="jabas")*(MOVIMIENTOS!$A$5:$A$1005&lt;&gt;"")*(MOVIMIENTOS!$A$5:$A$1005&lt;=$A388)*MOVIMIENTOS!$E$5:$E$1005)-SUMPRODUCT((MOVIMIENTOS!$B$5:$B$1005="ENVÍO A SUPESA")*(MOVIMIENTOS!$C$5:$C$1005="P")*(MOVIMIENTOS!$D$5:$D$1005="jabas")*(MOVIMIENTOS!$A$5:$A$1005&lt;&gt;"")*(MOVIMIENTOS!$A$5:$A$1005&lt;=$A388)*MOVIMIENTOS!$E$5:$E$1005)+SUMPRODUCT((MOVIMIENTOS!$B$5:$B$1005="DEVOLUCIÓN")*(MOVIMIENTOS!$C$5:$C$1005="P")*(MOVIMIENTOS!$D$5:$D$1005="jabas")*(MOVIMIENTOS!$A$5:$A$1005&lt;&gt;"")*(MOVIMIENTOS!$A$5:$A$1005&lt;=$A388)*MOVIMIENTOS!$E$5:$E$1005)-SUMPRODUCT((MOVIMIENTOS!$B$5:$B$1005="TRASIEGO")*(MOVIMIENTOS!$C$5:$C$1005="P")*(MOVIMIENTOS!$D$5:$D$1005="jabas")*(MOVIMIENTOS!$A$5:$A$1005&lt;&gt;"")*(MOVIMIENTOS!$A$5:$A$1005&lt;=$A388)*MOVIMIENTOS!$E$5:$E$1005)-SUMPRODUCT((MOVIMIENTOS!$B$5:$B$1005="REGALO")*(MOVIMIENTOS!$C$5:$C$1005="P")*(MOVIMIENTOS!$D$5:$D$1005="jabas")*(MOVIMIENTOS!$A$5:$A$1005&lt;&gt;"")*(MOVIMIENTOS!$A$5:$A$1005&lt;=$A388)*MOVIMIENTOS!$E$5:$E$1005)-SUMPRODUCT((MOVIMIENTOS!$B$5:$B$1005="VENTA")*(MOVIMIENTOS!$C$5:$C$1005="P")*(MOVIMIENTOS!$D$5:$D$1005="jabas")*(MOVIMIENTOS!$A$5:$A$1005&lt;&gt;"")*(MOVIMIENTOS!$A$5:$A$1005&lt;=$A388)*MOVIMIENTOS!$E$5:$E$1005)+SUMPRODUCT((MOVIMIENTOS!$B$5:$B$1005="AJUSTE")*(MOVIMIENTOS!$C$5:$C$1005="P")*(MOVIMIENTOS!$D$5:$D$1005="jabas")*(MOVIMIENTOS!$A$5:$A$1005&lt;&gt;"")*(MOVIMIENTOS!$A$5:$A$1005&lt;=$A388)*MOVIMIENTOS!$E$5:$E$1005))</f>
        <v/>
      </c>
      <c r="D388" s="63" t="str">
        <f>IF($A388="","",SUMPRODUCT((MOVIMIENTOS!$B$5:$B$1005="SALDO INICIAL")*(MOVIMIENTOS!$C$5:$C$1005="C")*(MOVIMIENTOS!$D$5:$D$1005="jabas")*(MOVIMIENTOS!$A$5:$A$1005&lt;&gt;"")*(MOVIMIENTOS!$A$5:$A$1005&lt;=$A388)*MOVIMIENTOS!$E$5:$E$1005)+SUMPRODUCT((MOVIMIENTOS!$B$5:$B$1005="PROCESO")*(MOVIMIENTOS!$C$5:$C$1005="C")*(MOVIMIENTOS!$D$5:$D$1005="jabas")*(MOVIMIENTOS!$A$5:$A$1005&lt;&gt;"")*(MOVIMIENTOS!$A$5:$A$1005&lt;=$A388)*MOVIMIENTOS!$E$5:$E$1005)-SUMPRODUCT((MOVIMIENTOS!$B$5:$B$1005="ENVÍO A SUPESA")*(MOVIMIENTOS!$C$5:$C$1005="C")*(MOVIMIENTOS!$D$5:$D$1005="jabas")*(MOVIMIENTOS!$A$5:$A$1005&lt;&gt;"")*(MOVIMIENTOS!$A$5:$A$1005&lt;=$A388)*MOVIMIENTOS!$E$5:$E$1005)+SUMPRODUCT((MOVIMIENTOS!$B$5:$B$1005="DEVOLUCIÓN")*(MOVIMIENTOS!$C$5:$C$1005="C")*(MOVIMIENTOS!$D$5:$D$1005="jabas")*(MOVIMIENTOS!$A$5:$A$1005&lt;&gt;"")*(MOVIMIENTOS!$A$5:$A$1005&lt;=$A388)*MOVIMIENTOS!$E$5:$E$1005)-SUMPRODUCT((MOVIMIENTOS!$B$5:$B$1005="TRASIEGO")*(MOVIMIENTOS!$C$5:$C$1005="C")*(MOVIMIENTOS!$D$5:$D$1005="jabas")*(MOVIMIENTOS!$A$5:$A$1005&lt;&gt;"")*(MOVIMIENTOS!$A$5:$A$1005&lt;=$A388)*MOVIMIENTOS!$E$5:$E$1005)-SUMPRODUCT((MOVIMIENTOS!$B$5:$B$1005="REGALO")*(MOVIMIENTOS!$C$5:$C$1005="C")*(MOVIMIENTOS!$D$5:$D$1005="jabas")*(MOVIMIENTOS!$A$5:$A$1005&lt;&gt;"")*(MOVIMIENTOS!$A$5:$A$1005&lt;=$A388)*MOVIMIENTOS!$E$5:$E$1005)-SUMPRODUCT((MOVIMIENTOS!$B$5:$B$1005="VENTA")*(MOVIMIENTOS!$C$5:$C$1005="C")*(MOVIMIENTOS!$D$5:$D$1005="jabas")*(MOVIMIENTOS!$A$5:$A$1005&lt;&gt;"")*(MOVIMIENTOS!$A$5:$A$1005&lt;=$A388)*MOVIMIENTOS!$E$5:$E$1005)+SUMPRODUCT((MOVIMIENTOS!$B$5:$B$1005="AJUSTE")*(MOVIMIENTOS!$C$5:$C$1005="C")*(MOVIMIENTOS!$D$5:$D$1005="jabas")*(MOVIMIENTOS!$A$5:$A$1005&lt;&gt;"")*(MOVIMIENTOS!$A$5:$A$1005&lt;=$A388)*MOVIMIENTOS!$E$5:$E$1005))</f>
        <v/>
      </c>
      <c r="E388" s="63" t="str">
        <f>IF($A388="","",SUMPRODUCT((MOVIMIENTOS!$B$5:$B$1005="SALDO INICIAL")*(MOVIMIENTOS!$C$5:$C$1005="M")*(MOVIMIENTOS!$D$5:$D$1005="jabas")*(MOVIMIENTOS!$A$5:$A$1005&lt;&gt;"")*(MOVIMIENTOS!$A$5:$A$1005&lt;=$A388)*MOVIMIENTOS!$E$5:$E$1005)+SUMPRODUCT((MOVIMIENTOS!$B$5:$B$1005="PROCESO")*(MOVIMIENTOS!$C$5:$C$1005="M")*(MOVIMIENTOS!$D$5:$D$1005="jabas")*(MOVIMIENTOS!$A$5:$A$1005&lt;&gt;"")*(MOVIMIENTOS!$A$5:$A$1005&lt;=$A388)*MOVIMIENTOS!$E$5:$E$1005)-SUMPRODUCT((MOVIMIENTOS!$B$5:$B$1005="ENVÍO A SUPESA")*(MOVIMIENTOS!$C$5:$C$1005="M")*(MOVIMIENTOS!$D$5:$D$1005="jabas")*(MOVIMIENTOS!$A$5:$A$1005&lt;&gt;"")*(MOVIMIENTOS!$A$5:$A$1005&lt;=$A388)*MOVIMIENTOS!$E$5:$E$1005)+SUMPRODUCT((MOVIMIENTOS!$B$5:$B$1005="DEVOLUCIÓN")*(MOVIMIENTOS!$C$5:$C$1005="M")*(MOVIMIENTOS!$D$5:$D$1005="jabas")*(MOVIMIENTOS!$A$5:$A$1005&lt;&gt;"")*(MOVIMIENTOS!$A$5:$A$1005&lt;=$A388)*MOVIMIENTOS!$E$5:$E$1005)-SUMPRODUCT((MOVIMIENTOS!$B$5:$B$1005="TRASIEGO")*(MOVIMIENTOS!$C$5:$C$1005="M")*(MOVIMIENTOS!$D$5:$D$1005="jabas")*(MOVIMIENTOS!$A$5:$A$1005&lt;&gt;"")*(MOVIMIENTOS!$A$5:$A$1005&lt;=$A388)*MOVIMIENTOS!$E$5:$E$1005)-SUMPRODUCT((MOVIMIENTOS!$B$5:$B$1005="REGALO")*(MOVIMIENTOS!$C$5:$C$1005="M")*(MOVIMIENTOS!$D$5:$D$1005="jabas")*(MOVIMIENTOS!$A$5:$A$1005&lt;&gt;"")*(MOVIMIENTOS!$A$5:$A$1005&lt;=$A388)*MOVIMIENTOS!$E$5:$E$1005)-SUMPRODUCT((MOVIMIENTOS!$B$5:$B$1005="VENTA")*(MOVIMIENTOS!$C$5:$C$1005="M")*(MOVIMIENTOS!$D$5:$D$1005="jabas")*(MOVIMIENTOS!$A$5:$A$1005&lt;&gt;"")*(MOVIMIENTOS!$A$5:$A$1005&lt;=$A388)*MOVIMIENTOS!$E$5:$E$1005)+SUMPRODUCT((MOVIMIENTOS!$B$5:$B$1005="AJUSTE")*(MOVIMIENTOS!$C$5:$C$1005="M")*(MOVIMIENTOS!$D$5:$D$1005="jabas")*(MOVIMIENTOS!$A$5:$A$1005&lt;&gt;"")*(MOVIMIENTOS!$A$5:$A$1005&lt;=$A388)*MOVIMIENTOS!$E$5:$E$1005))</f>
        <v/>
      </c>
      <c r="F388" s="63" t="str">
        <f>IF($A388="","",SUMPRODUCT((MOVIMIENTOS!$B$5:$B$1005="SALDO INICIAL")*(MOVIMIENTOS!$C$5:$C$1005="Chancho")*(MOVIMIENTOS!$D$5:$D$1005="sacos")*(MOVIMIENTOS!$A$5:$A$1005&lt;&gt;"")*(MOVIMIENTOS!$A$5:$A$1005&lt;=$A388)*MOVIMIENTOS!$E$5:$E$1005)+SUMPRODUCT((MOVIMIENTOS!$B$5:$B$1005="PROCESO")*(MOVIMIENTOS!$C$5:$C$1005="Chancho")*(MOVIMIENTOS!$D$5:$D$1005="sacos")*(MOVIMIENTOS!$A$5:$A$1005&lt;&gt;"")*(MOVIMIENTOS!$A$5:$A$1005&lt;=$A388)*MOVIMIENTOS!$E$5:$E$1005)-SUMPRODUCT((MOVIMIENTOS!$B$5:$B$1005="VENTA CHANCHO")*(MOVIMIENTOS!$C$5:$C$1005="Chancho")*(MOVIMIENTOS!$D$5:$D$1005="sacos")*(MOVIMIENTOS!$A$5:$A$1005&lt;&gt;"")*(MOVIMIENTOS!$A$5:$A$1005&lt;=$A388)*MOVIMIENTOS!$E$5:$E$1005)-SUMPRODUCT((MOVIMIENTOS!$B$5:$B$1005="REGALO")*(MOVIMIENTOS!$C$5:$C$1005="Chancho")*(MOVIMIENTOS!$D$5:$D$1005="sacos")*(MOVIMIENTOS!$A$5:$A$1005&lt;&gt;"")*(MOVIMIENTOS!$A$5:$A$1005&lt;=$A388)*MOVIMIENTOS!$E$5:$E$1005)-SUMPRODUCT((MOVIMIENTOS!$B$5:$B$1005="VENTA")*(MOVIMIENTOS!$C$5:$C$1005="Chancho")*(MOVIMIENTOS!$D$5:$D$1005="sacos")*(MOVIMIENTOS!$A$5:$A$1005&lt;&gt;"")*(MOVIMIENTOS!$A$5:$A$1005&lt;=$A388)*MOVIMIENTOS!$E$5:$E$1005)+SUMPRODUCT((MOVIMIENTOS!$B$5:$B$1005="AJUSTE")*(MOVIMIENTOS!$C$5:$C$1005="Chancho")*(MOVIMIENTOS!$D$5:$D$1005="sacos")*(MOVIMIENTOS!$A$5:$A$1005&lt;&gt;"")*(MOVIMIENTOS!$A$5:$A$1005&lt;=$A388)*MOVIMIENTOS!$E$5:$E$1005))</f>
        <v/>
      </c>
      <c r="G388" s="95" t="str">
        <f t="shared" si="11"/>
        <v/>
      </c>
      <c r="H388" s="63" t="str">
        <f>IF($A388="","",SUMPRODUCT((((MOVIMIENTOS!$B$5:$B$1005="SALDO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388)*MOVIMIENTOS!$J$5:$J$1005))</f>
        <v/>
      </c>
      <c r="I388" s="63"/>
      <c r="J388" s="63" t="str">
        <f>IF(AND(MOVIMIENTOS!$A391&lt;&gt;"",COUNTIF(MOVIMIENTOS!$A$5:$A390,MOVIMIENTOS!$A391)=0),COUNT(J$4:J387)+1,"")</f>
        <v/>
      </c>
      <c r="K388" s="66">
        <f>MOVIMIENTOS!$A391</f>
        <v>46248</v>
      </c>
      <c r="L388" s="63"/>
      <c r="M388" s="63"/>
      <c r="N388" s="63"/>
    </row>
    <row r="389" spans="1:14" ht="15" customHeight="1" x14ac:dyDescent="0.2">
      <c r="A389" s="63" t="str">
        <f t="shared" ref="A389:A452" si="12">IFERROR(INDEX(K$5:K$1000,MATCH(ROW()-4,J$5:J$1000,0)),"")</f>
        <v/>
      </c>
      <c r="B389" s="63" t="str">
        <f>IF($A389="","",SUMPRODUCT((MOVIMIENTOS!$B$5:$B$1005="SALDO INICIAL")*(MOVIMIENTOS!$C$5:$C$1005="A")*(MOVIMIENTOS!$D$5:$D$1005="jabas")*(MOVIMIENTOS!$A$5:$A$1005&lt;&gt;"")*(MOVIMIENTOS!$A$5:$A$1005&lt;=$A389)*MOVIMIENTOS!$E$5:$E$1005)+SUMPRODUCT((MOVIMIENTOS!$B$5:$B$1005="PROCESO")*(MOVIMIENTOS!$C$5:$C$1005="A")*(MOVIMIENTOS!$D$5:$D$1005="jabas")*(MOVIMIENTOS!$A$5:$A$1005&lt;&gt;"")*(MOVIMIENTOS!$A$5:$A$1005&lt;=$A389)*MOVIMIENTOS!$E$5:$E$1005)-SUMPRODUCT((MOVIMIENTOS!$B$5:$B$1005="ENVÍO A SUPESA")*(MOVIMIENTOS!$C$5:$C$1005="A")*(MOVIMIENTOS!$D$5:$D$1005="jabas")*(MOVIMIENTOS!$A$5:$A$1005&lt;&gt;"")*(MOVIMIENTOS!$A$5:$A$1005&lt;=$A389)*MOVIMIENTOS!$E$5:$E$1005)+SUMPRODUCT((MOVIMIENTOS!$B$5:$B$1005="DEVOLUCIÓN")*(MOVIMIENTOS!$C$5:$C$1005="A")*(MOVIMIENTOS!$D$5:$D$1005="jabas")*(MOVIMIENTOS!$A$5:$A$1005&lt;&gt;"")*(MOVIMIENTOS!$A$5:$A$1005&lt;=$A389)*MOVIMIENTOS!$E$5:$E$1005)-SUMPRODUCT((MOVIMIENTOS!$B$5:$B$1005="TRASIEGO")*(MOVIMIENTOS!$C$5:$C$1005="A")*(MOVIMIENTOS!$D$5:$D$1005="jabas")*(MOVIMIENTOS!$A$5:$A$1005&lt;&gt;"")*(MOVIMIENTOS!$A$5:$A$1005&lt;=$A389)*MOVIMIENTOS!$E$5:$E$1005)-SUMPRODUCT((MOVIMIENTOS!$B$5:$B$1005="REGALO")*(MOVIMIENTOS!$C$5:$C$1005="A")*(MOVIMIENTOS!$D$5:$D$1005="jabas")*(MOVIMIENTOS!$A$5:$A$1005&lt;&gt;"")*(MOVIMIENTOS!$A$5:$A$1005&lt;=$A389)*MOVIMIENTOS!$E$5:$E$1005)-SUMPRODUCT((MOVIMIENTOS!$B$5:$B$1005="VENTA")*(MOVIMIENTOS!$C$5:$C$1005="A")*(MOVIMIENTOS!$D$5:$D$1005="jabas")*(MOVIMIENTOS!$A$5:$A$1005&lt;&gt;"")*(MOVIMIENTOS!$A$5:$A$1005&lt;=$A389)*MOVIMIENTOS!$E$5:$E$1005)+SUMPRODUCT((MOVIMIENTOS!$B$5:$B$1005="AJUSTE")*(MOVIMIENTOS!$C$5:$C$1005="A")*(MOVIMIENTOS!$D$5:$D$1005="jabas")*(MOVIMIENTOS!$A$5:$A$1005&lt;&gt;"")*(MOVIMIENTOS!$A$5:$A$1005&lt;=$A389)*MOVIMIENTOS!$E$5:$E$1005))</f>
        <v/>
      </c>
      <c r="C389" s="63" t="str">
        <f>IF($A389="","",SUMPRODUCT((MOVIMIENTOS!$B$5:$B$1005="SALDO INICIAL")*(MOVIMIENTOS!$C$5:$C$1005="P")*(MOVIMIENTOS!$D$5:$D$1005="jabas")*(MOVIMIENTOS!$A$5:$A$1005&lt;&gt;"")*(MOVIMIENTOS!$A$5:$A$1005&lt;=$A389)*MOVIMIENTOS!$E$5:$E$1005)+SUMPRODUCT((MOVIMIENTOS!$B$5:$B$1005="PROCESO")*(MOVIMIENTOS!$C$5:$C$1005="P")*(MOVIMIENTOS!$D$5:$D$1005="jabas")*(MOVIMIENTOS!$A$5:$A$1005&lt;&gt;"")*(MOVIMIENTOS!$A$5:$A$1005&lt;=$A389)*MOVIMIENTOS!$E$5:$E$1005)-SUMPRODUCT((MOVIMIENTOS!$B$5:$B$1005="ENVÍO A SUPESA")*(MOVIMIENTOS!$C$5:$C$1005="P")*(MOVIMIENTOS!$D$5:$D$1005="jabas")*(MOVIMIENTOS!$A$5:$A$1005&lt;&gt;"")*(MOVIMIENTOS!$A$5:$A$1005&lt;=$A389)*MOVIMIENTOS!$E$5:$E$1005)+SUMPRODUCT((MOVIMIENTOS!$B$5:$B$1005="DEVOLUCIÓN")*(MOVIMIENTOS!$C$5:$C$1005="P")*(MOVIMIENTOS!$D$5:$D$1005="jabas")*(MOVIMIENTOS!$A$5:$A$1005&lt;&gt;"")*(MOVIMIENTOS!$A$5:$A$1005&lt;=$A389)*MOVIMIENTOS!$E$5:$E$1005)-SUMPRODUCT((MOVIMIENTOS!$B$5:$B$1005="TRASIEGO")*(MOVIMIENTOS!$C$5:$C$1005="P")*(MOVIMIENTOS!$D$5:$D$1005="jabas")*(MOVIMIENTOS!$A$5:$A$1005&lt;&gt;"")*(MOVIMIENTOS!$A$5:$A$1005&lt;=$A389)*MOVIMIENTOS!$E$5:$E$1005)-SUMPRODUCT((MOVIMIENTOS!$B$5:$B$1005="REGALO")*(MOVIMIENTOS!$C$5:$C$1005="P")*(MOVIMIENTOS!$D$5:$D$1005="jabas")*(MOVIMIENTOS!$A$5:$A$1005&lt;&gt;"")*(MOVIMIENTOS!$A$5:$A$1005&lt;=$A389)*MOVIMIENTOS!$E$5:$E$1005)-SUMPRODUCT((MOVIMIENTOS!$B$5:$B$1005="VENTA")*(MOVIMIENTOS!$C$5:$C$1005="P")*(MOVIMIENTOS!$D$5:$D$1005="jabas")*(MOVIMIENTOS!$A$5:$A$1005&lt;&gt;"")*(MOVIMIENTOS!$A$5:$A$1005&lt;=$A389)*MOVIMIENTOS!$E$5:$E$1005)+SUMPRODUCT((MOVIMIENTOS!$B$5:$B$1005="AJUSTE")*(MOVIMIENTOS!$C$5:$C$1005="P")*(MOVIMIENTOS!$D$5:$D$1005="jabas")*(MOVIMIENTOS!$A$5:$A$1005&lt;&gt;"")*(MOVIMIENTOS!$A$5:$A$1005&lt;=$A389)*MOVIMIENTOS!$E$5:$E$1005))</f>
        <v/>
      </c>
      <c r="D389" s="63" t="str">
        <f>IF($A389="","",SUMPRODUCT((MOVIMIENTOS!$B$5:$B$1005="SALDO INICIAL")*(MOVIMIENTOS!$C$5:$C$1005="C")*(MOVIMIENTOS!$D$5:$D$1005="jabas")*(MOVIMIENTOS!$A$5:$A$1005&lt;&gt;"")*(MOVIMIENTOS!$A$5:$A$1005&lt;=$A389)*MOVIMIENTOS!$E$5:$E$1005)+SUMPRODUCT((MOVIMIENTOS!$B$5:$B$1005="PROCESO")*(MOVIMIENTOS!$C$5:$C$1005="C")*(MOVIMIENTOS!$D$5:$D$1005="jabas")*(MOVIMIENTOS!$A$5:$A$1005&lt;&gt;"")*(MOVIMIENTOS!$A$5:$A$1005&lt;=$A389)*MOVIMIENTOS!$E$5:$E$1005)-SUMPRODUCT((MOVIMIENTOS!$B$5:$B$1005="ENVÍO A SUPESA")*(MOVIMIENTOS!$C$5:$C$1005="C")*(MOVIMIENTOS!$D$5:$D$1005="jabas")*(MOVIMIENTOS!$A$5:$A$1005&lt;&gt;"")*(MOVIMIENTOS!$A$5:$A$1005&lt;=$A389)*MOVIMIENTOS!$E$5:$E$1005)+SUMPRODUCT((MOVIMIENTOS!$B$5:$B$1005="DEVOLUCIÓN")*(MOVIMIENTOS!$C$5:$C$1005="C")*(MOVIMIENTOS!$D$5:$D$1005="jabas")*(MOVIMIENTOS!$A$5:$A$1005&lt;&gt;"")*(MOVIMIENTOS!$A$5:$A$1005&lt;=$A389)*MOVIMIENTOS!$E$5:$E$1005)-SUMPRODUCT((MOVIMIENTOS!$B$5:$B$1005="TRASIEGO")*(MOVIMIENTOS!$C$5:$C$1005="C")*(MOVIMIENTOS!$D$5:$D$1005="jabas")*(MOVIMIENTOS!$A$5:$A$1005&lt;&gt;"")*(MOVIMIENTOS!$A$5:$A$1005&lt;=$A389)*MOVIMIENTOS!$E$5:$E$1005)-SUMPRODUCT((MOVIMIENTOS!$B$5:$B$1005="REGALO")*(MOVIMIENTOS!$C$5:$C$1005="C")*(MOVIMIENTOS!$D$5:$D$1005="jabas")*(MOVIMIENTOS!$A$5:$A$1005&lt;&gt;"")*(MOVIMIENTOS!$A$5:$A$1005&lt;=$A389)*MOVIMIENTOS!$E$5:$E$1005)-SUMPRODUCT((MOVIMIENTOS!$B$5:$B$1005="VENTA")*(MOVIMIENTOS!$C$5:$C$1005="C")*(MOVIMIENTOS!$D$5:$D$1005="jabas")*(MOVIMIENTOS!$A$5:$A$1005&lt;&gt;"")*(MOVIMIENTOS!$A$5:$A$1005&lt;=$A389)*MOVIMIENTOS!$E$5:$E$1005)+SUMPRODUCT((MOVIMIENTOS!$B$5:$B$1005="AJUSTE")*(MOVIMIENTOS!$C$5:$C$1005="C")*(MOVIMIENTOS!$D$5:$D$1005="jabas")*(MOVIMIENTOS!$A$5:$A$1005&lt;&gt;"")*(MOVIMIENTOS!$A$5:$A$1005&lt;=$A389)*MOVIMIENTOS!$E$5:$E$1005))</f>
        <v/>
      </c>
      <c r="E389" s="63" t="str">
        <f>IF($A389="","",SUMPRODUCT((MOVIMIENTOS!$B$5:$B$1005="SALDO INICIAL")*(MOVIMIENTOS!$C$5:$C$1005="M")*(MOVIMIENTOS!$D$5:$D$1005="jabas")*(MOVIMIENTOS!$A$5:$A$1005&lt;&gt;"")*(MOVIMIENTOS!$A$5:$A$1005&lt;=$A389)*MOVIMIENTOS!$E$5:$E$1005)+SUMPRODUCT((MOVIMIENTOS!$B$5:$B$1005="PROCESO")*(MOVIMIENTOS!$C$5:$C$1005="M")*(MOVIMIENTOS!$D$5:$D$1005="jabas")*(MOVIMIENTOS!$A$5:$A$1005&lt;&gt;"")*(MOVIMIENTOS!$A$5:$A$1005&lt;=$A389)*MOVIMIENTOS!$E$5:$E$1005)-SUMPRODUCT((MOVIMIENTOS!$B$5:$B$1005="ENVÍO A SUPESA")*(MOVIMIENTOS!$C$5:$C$1005="M")*(MOVIMIENTOS!$D$5:$D$1005="jabas")*(MOVIMIENTOS!$A$5:$A$1005&lt;&gt;"")*(MOVIMIENTOS!$A$5:$A$1005&lt;=$A389)*MOVIMIENTOS!$E$5:$E$1005)+SUMPRODUCT((MOVIMIENTOS!$B$5:$B$1005="DEVOLUCIÓN")*(MOVIMIENTOS!$C$5:$C$1005="M")*(MOVIMIENTOS!$D$5:$D$1005="jabas")*(MOVIMIENTOS!$A$5:$A$1005&lt;&gt;"")*(MOVIMIENTOS!$A$5:$A$1005&lt;=$A389)*MOVIMIENTOS!$E$5:$E$1005)-SUMPRODUCT((MOVIMIENTOS!$B$5:$B$1005="TRASIEGO")*(MOVIMIENTOS!$C$5:$C$1005="M")*(MOVIMIENTOS!$D$5:$D$1005="jabas")*(MOVIMIENTOS!$A$5:$A$1005&lt;&gt;"")*(MOVIMIENTOS!$A$5:$A$1005&lt;=$A389)*MOVIMIENTOS!$E$5:$E$1005)-SUMPRODUCT((MOVIMIENTOS!$B$5:$B$1005="REGALO")*(MOVIMIENTOS!$C$5:$C$1005="M")*(MOVIMIENTOS!$D$5:$D$1005="jabas")*(MOVIMIENTOS!$A$5:$A$1005&lt;&gt;"")*(MOVIMIENTOS!$A$5:$A$1005&lt;=$A389)*MOVIMIENTOS!$E$5:$E$1005)-SUMPRODUCT((MOVIMIENTOS!$B$5:$B$1005="VENTA")*(MOVIMIENTOS!$C$5:$C$1005="M")*(MOVIMIENTOS!$D$5:$D$1005="jabas")*(MOVIMIENTOS!$A$5:$A$1005&lt;&gt;"")*(MOVIMIENTOS!$A$5:$A$1005&lt;=$A389)*MOVIMIENTOS!$E$5:$E$1005)+SUMPRODUCT((MOVIMIENTOS!$B$5:$B$1005="AJUSTE")*(MOVIMIENTOS!$C$5:$C$1005="M")*(MOVIMIENTOS!$D$5:$D$1005="jabas")*(MOVIMIENTOS!$A$5:$A$1005&lt;&gt;"")*(MOVIMIENTOS!$A$5:$A$1005&lt;=$A389)*MOVIMIENTOS!$E$5:$E$1005))</f>
        <v/>
      </c>
      <c r="F389" s="63" t="str">
        <f>IF($A389="","",SUMPRODUCT((MOVIMIENTOS!$B$5:$B$1005="SALDO INICIAL")*(MOVIMIENTOS!$C$5:$C$1005="Chancho")*(MOVIMIENTOS!$D$5:$D$1005="sacos")*(MOVIMIENTOS!$A$5:$A$1005&lt;&gt;"")*(MOVIMIENTOS!$A$5:$A$1005&lt;=$A389)*MOVIMIENTOS!$E$5:$E$1005)+SUMPRODUCT((MOVIMIENTOS!$B$5:$B$1005="PROCESO")*(MOVIMIENTOS!$C$5:$C$1005="Chancho")*(MOVIMIENTOS!$D$5:$D$1005="sacos")*(MOVIMIENTOS!$A$5:$A$1005&lt;&gt;"")*(MOVIMIENTOS!$A$5:$A$1005&lt;=$A389)*MOVIMIENTOS!$E$5:$E$1005)-SUMPRODUCT((MOVIMIENTOS!$B$5:$B$1005="VENTA CHANCHO")*(MOVIMIENTOS!$C$5:$C$1005="Chancho")*(MOVIMIENTOS!$D$5:$D$1005="sacos")*(MOVIMIENTOS!$A$5:$A$1005&lt;&gt;"")*(MOVIMIENTOS!$A$5:$A$1005&lt;=$A389)*MOVIMIENTOS!$E$5:$E$1005)-SUMPRODUCT((MOVIMIENTOS!$B$5:$B$1005="REGALO")*(MOVIMIENTOS!$C$5:$C$1005="Chancho")*(MOVIMIENTOS!$D$5:$D$1005="sacos")*(MOVIMIENTOS!$A$5:$A$1005&lt;&gt;"")*(MOVIMIENTOS!$A$5:$A$1005&lt;=$A389)*MOVIMIENTOS!$E$5:$E$1005)-SUMPRODUCT((MOVIMIENTOS!$B$5:$B$1005="VENTA")*(MOVIMIENTOS!$C$5:$C$1005="Chancho")*(MOVIMIENTOS!$D$5:$D$1005="sacos")*(MOVIMIENTOS!$A$5:$A$1005&lt;&gt;"")*(MOVIMIENTOS!$A$5:$A$1005&lt;=$A389)*MOVIMIENTOS!$E$5:$E$1005)+SUMPRODUCT((MOVIMIENTOS!$B$5:$B$1005="AJUSTE")*(MOVIMIENTOS!$C$5:$C$1005="Chancho")*(MOVIMIENTOS!$D$5:$D$1005="sacos")*(MOVIMIENTOS!$A$5:$A$1005&lt;&gt;"")*(MOVIMIENTOS!$A$5:$A$1005&lt;=$A389)*MOVIMIENTOS!$E$5:$E$1005))</f>
        <v/>
      </c>
      <c r="G389" s="95" t="str">
        <f t="shared" ref="G389:G452" si="13">IF($A389="","",SUM(B389:E389))</f>
        <v/>
      </c>
      <c r="H389" s="63" t="str">
        <f>IF($A389="","",SUMPRODUCT((((MOVIMIENTOS!$B$5:$B$1005="SALDO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389)*MOVIMIENTOS!$J$5:$J$1005))</f>
        <v/>
      </c>
      <c r="I389" s="63"/>
      <c r="J389" s="63" t="str">
        <f>IF(AND(MOVIMIENTOS!$A392&lt;&gt;"",COUNTIF(MOVIMIENTOS!$A$5:$A391,MOVIMIENTOS!$A392)=0),COUNT(J$4:J388)+1,"")</f>
        <v/>
      </c>
      <c r="K389" s="66">
        <f>MOVIMIENTOS!$A392</f>
        <v>46248</v>
      </c>
      <c r="L389" s="63"/>
      <c r="M389" s="63"/>
      <c r="N389" s="63"/>
    </row>
    <row r="390" spans="1:14" ht="15" customHeight="1" x14ac:dyDescent="0.2">
      <c r="A390" s="63" t="str">
        <f t="shared" si="12"/>
        <v/>
      </c>
      <c r="B390" s="63" t="str">
        <f>IF($A390="","",SUMPRODUCT((MOVIMIENTOS!$B$5:$B$1005="SALDO INICIAL")*(MOVIMIENTOS!$C$5:$C$1005="A")*(MOVIMIENTOS!$D$5:$D$1005="jabas")*(MOVIMIENTOS!$A$5:$A$1005&lt;&gt;"")*(MOVIMIENTOS!$A$5:$A$1005&lt;=$A390)*MOVIMIENTOS!$E$5:$E$1005)+SUMPRODUCT((MOVIMIENTOS!$B$5:$B$1005="PROCESO")*(MOVIMIENTOS!$C$5:$C$1005="A")*(MOVIMIENTOS!$D$5:$D$1005="jabas")*(MOVIMIENTOS!$A$5:$A$1005&lt;&gt;"")*(MOVIMIENTOS!$A$5:$A$1005&lt;=$A390)*MOVIMIENTOS!$E$5:$E$1005)-SUMPRODUCT((MOVIMIENTOS!$B$5:$B$1005="ENVÍO A SUPESA")*(MOVIMIENTOS!$C$5:$C$1005="A")*(MOVIMIENTOS!$D$5:$D$1005="jabas")*(MOVIMIENTOS!$A$5:$A$1005&lt;&gt;"")*(MOVIMIENTOS!$A$5:$A$1005&lt;=$A390)*MOVIMIENTOS!$E$5:$E$1005)+SUMPRODUCT((MOVIMIENTOS!$B$5:$B$1005="DEVOLUCIÓN")*(MOVIMIENTOS!$C$5:$C$1005="A")*(MOVIMIENTOS!$D$5:$D$1005="jabas")*(MOVIMIENTOS!$A$5:$A$1005&lt;&gt;"")*(MOVIMIENTOS!$A$5:$A$1005&lt;=$A390)*MOVIMIENTOS!$E$5:$E$1005)-SUMPRODUCT((MOVIMIENTOS!$B$5:$B$1005="TRASIEGO")*(MOVIMIENTOS!$C$5:$C$1005="A")*(MOVIMIENTOS!$D$5:$D$1005="jabas")*(MOVIMIENTOS!$A$5:$A$1005&lt;&gt;"")*(MOVIMIENTOS!$A$5:$A$1005&lt;=$A390)*MOVIMIENTOS!$E$5:$E$1005)-SUMPRODUCT((MOVIMIENTOS!$B$5:$B$1005="REGALO")*(MOVIMIENTOS!$C$5:$C$1005="A")*(MOVIMIENTOS!$D$5:$D$1005="jabas")*(MOVIMIENTOS!$A$5:$A$1005&lt;&gt;"")*(MOVIMIENTOS!$A$5:$A$1005&lt;=$A390)*MOVIMIENTOS!$E$5:$E$1005)-SUMPRODUCT((MOVIMIENTOS!$B$5:$B$1005="VENTA")*(MOVIMIENTOS!$C$5:$C$1005="A")*(MOVIMIENTOS!$D$5:$D$1005="jabas")*(MOVIMIENTOS!$A$5:$A$1005&lt;&gt;"")*(MOVIMIENTOS!$A$5:$A$1005&lt;=$A390)*MOVIMIENTOS!$E$5:$E$1005)+SUMPRODUCT((MOVIMIENTOS!$B$5:$B$1005="AJUSTE")*(MOVIMIENTOS!$C$5:$C$1005="A")*(MOVIMIENTOS!$D$5:$D$1005="jabas")*(MOVIMIENTOS!$A$5:$A$1005&lt;&gt;"")*(MOVIMIENTOS!$A$5:$A$1005&lt;=$A390)*MOVIMIENTOS!$E$5:$E$1005))</f>
        <v/>
      </c>
      <c r="C390" s="63" t="str">
        <f>IF($A390="","",SUMPRODUCT((MOVIMIENTOS!$B$5:$B$1005="SALDO INICIAL")*(MOVIMIENTOS!$C$5:$C$1005="P")*(MOVIMIENTOS!$D$5:$D$1005="jabas")*(MOVIMIENTOS!$A$5:$A$1005&lt;&gt;"")*(MOVIMIENTOS!$A$5:$A$1005&lt;=$A390)*MOVIMIENTOS!$E$5:$E$1005)+SUMPRODUCT((MOVIMIENTOS!$B$5:$B$1005="PROCESO")*(MOVIMIENTOS!$C$5:$C$1005="P")*(MOVIMIENTOS!$D$5:$D$1005="jabas")*(MOVIMIENTOS!$A$5:$A$1005&lt;&gt;"")*(MOVIMIENTOS!$A$5:$A$1005&lt;=$A390)*MOVIMIENTOS!$E$5:$E$1005)-SUMPRODUCT((MOVIMIENTOS!$B$5:$B$1005="ENVÍO A SUPESA")*(MOVIMIENTOS!$C$5:$C$1005="P")*(MOVIMIENTOS!$D$5:$D$1005="jabas")*(MOVIMIENTOS!$A$5:$A$1005&lt;&gt;"")*(MOVIMIENTOS!$A$5:$A$1005&lt;=$A390)*MOVIMIENTOS!$E$5:$E$1005)+SUMPRODUCT((MOVIMIENTOS!$B$5:$B$1005="DEVOLUCIÓN")*(MOVIMIENTOS!$C$5:$C$1005="P")*(MOVIMIENTOS!$D$5:$D$1005="jabas")*(MOVIMIENTOS!$A$5:$A$1005&lt;&gt;"")*(MOVIMIENTOS!$A$5:$A$1005&lt;=$A390)*MOVIMIENTOS!$E$5:$E$1005)-SUMPRODUCT((MOVIMIENTOS!$B$5:$B$1005="TRASIEGO")*(MOVIMIENTOS!$C$5:$C$1005="P")*(MOVIMIENTOS!$D$5:$D$1005="jabas")*(MOVIMIENTOS!$A$5:$A$1005&lt;&gt;"")*(MOVIMIENTOS!$A$5:$A$1005&lt;=$A390)*MOVIMIENTOS!$E$5:$E$1005)-SUMPRODUCT((MOVIMIENTOS!$B$5:$B$1005="REGALO")*(MOVIMIENTOS!$C$5:$C$1005="P")*(MOVIMIENTOS!$D$5:$D$1005="jabas")*(MOVIMIENTOS!$A$5:$A$1005&lt;&gt;"")*(MOVIMIENTOS!$A$5:$A$1005&lt;=$A390)*MOVIMIENTOS!$E$5:$E$1005)-SUMPRODUCT((MOVIMIENTOS!$B$5:$B$1005="VENTA")*(MOVIMIENTOS!$C$5:$C$1005="P")*(MOVIMIENTOS!$D$5:$D$1005="jabas")*(MOVIMIENTOS!$A$5:$A$1005&lt;&gt;"")*(MOVIMIENTOS!$A$5:$A$1005&lt;=$A390)*MOVIMIENTOS!$E$5:$E$1005)+SUMPRODUCT((MOVIMIENTOS!$B$5:$B$1005="AJUSTE")*(MOVIMIENTOS!$C$5:$C$1005="P")*(MOVIMIENTOS!$D$5:$D$1005="jabas")*(MOVIMIENTOS!$A$5:$A$1005&lt;&gt;"")*(MOVIMIENTOS!$A$5:$A$1005&lt;=$A390)*MOVIMIENTOS!$E$5:$E$1005))</f>
        <v/>
      </c>
      <c r="D390" s="63" t="str">
        <f>IF($A390="","",SUMPRODUCT((MOVIMIENTOS!$B$5:$B$1005="SALDO INICIAL")*(MOVIMIENTOS!$C$5:$C$1005="C")*(MOVIMIENTOS!$D$5:$D$1005="jabas")*(MOVIMIENTOS!$A$5:$A$1005&lt;&gt;"")*(MOVIMIENTOS!$A$5:$A$1005&lt;=$A390)*MOVIMIENTOS!$E$5:$E$1005)+SUMPRODUCT((MOVIMIENTOS!$B$5:$B$1005="PROCESO")*(MOVIMIENTOS!$C$5:$C$1005="C")*(MOVIMIENTOS!$D$5:$D$1005="jabas")*(MOVIMIENTOS!$A$5:$A$1005&lt;&gt;"")*(MOVIMIENTOS!$A$5:$A$1005&lt;=$A390)*MOVIMIENTOS!$E$5:$E$1005)-SUMPRODUCT((MOVIMIENTOS!$B$5:$B$1005="ENVÍO A SUPESA")*(MOVIMIENTOS!$C$5:$C$1005="C")*(MOVIMIENTOS!$D$5:$D$1005="jabas")*(MOVIMIENTOS!$A$5:$A$1005&lt;&gt;"")*(MOVIMIENTOS!$A$5:$A$1005&lt;=$A390)*MOVIMIENTOS!$E$5:$E$1005)+SUMPRODUCT((MOVIMIENTOS!$B$5:$B$1005="DEVOLUCIÓN")*(MOVIMIENTOS!$C$5:$C$1005="C")*(MOVIMIENTOS!$D$5:$D$1005="jabas")*(MOVIMIENTOS!$A$5:$A$1005&lt;&gt;"")*(MOVIMIENTOS!$A$5:$A$1005&lt;=$A390)*MOVIMIENTOS!$E$5:$E$1005)-SUMPRODUCT((MOVIMIENTOS!$B$5:$B$1005="TRASIEGO")*(MOVIMIENTOS!$C$5:$C$1005="C")*(MOVIMIENTOS!$D$5:$D$1005="jabas")*(MOVIMIENTOS!$A$5:$A$1005&lt;&gt;"")*(MOVIMIENTOS!$A$5:$A$1005&lt;=$A390)*MOVIMIENTOS!$E$5:$E$1005)-SUMPRODUCT((MOVIMIENTOS!$B$5:$B$1005="REGALO")*(MOVIMIENTOS!$C$5:$C$1005="C")*(MOVIMIENTOS!$D$5:$D$1005="jabas")*(MOVIMIENTOS!$A$5:$A$1005&lt;&gt;"")*(MOVIMIENTOS!$A$5:$A$1005&lt;=$A390)*MOVIMIENTOS!$E$5:$E$1005)-SUMPRODUCT((MOVIMIENTOS!$B$5:$B$1005="VENTA")*(MOVIMIENTOS!$C$5:$C$1005="C")*(MOVIMIENTOS!$D$5:$D$1005="jabas")*(MOVIMIENTOS!$A$5:$A$1005&lt;&gt;"")*(MOVIMIENTOS!$A$5:$A$1005&lt;=$A390)*MOVIMIENTOS!$E$5:$E$1005)+SUMPRODUCT((MOVIMIENTOS!$B$5:$B$1005="AJUSTE")*(MOVIMIENTOS!$C$5:$C$1005="C")*(MOVIMIENTOS!$D$5:$D$1005="jabas")*(MOVIMIENTOS!$A$5:$A$1005&lt;&gt;"")*(MOVIMIENTOS!$A$5:$A$1005&lt;=$A390)*MOVIMIENTOS!$E$5:$E$1005))</f>
        <v/>
      </c>
      <c r="E390" s="63" t="str">
        <f>IF($A390="","",SUMPRODUCT((MOVIMIENTOS!$B$5:$B$1005="SALDO INICIAL")*(MOVIMIENTOS!$C$5:$C$1005="M")*(MOVIMIENTOS!$D$5:$D$1005="jabas")*(MOVIMIENTOS!$A$5:$A$1005&lt;&gt;"")*(MOVIMIENTOS!$A$5:$A$1005&lt;=$A390)*MOVIMIENTOS!$E$5:$E$1005)+SUMPRODUCT((MOVIMIENTOS!$B$5:$B$1005="PROCESO")*(MOVIMIENTOS!$C$5:$C$1005="M")*(MOVIMIENTOS!$D$5:$D$1005="jabas")*(MOVIMIENTOS!$A$5:$A$1005&lt;&gt;"")*(MOVIMIENTOS!$A$5:$A$1005&lt;=$A390)*MOVIMIENTOS!$E$5:$E$1005)-SUMPRODUCT((MOVIMIENTOS!$B$5:$B$1005="ENVÍO A SUPESA")*(MOVIMIENTOS!$C$5:$C$1005="M")*(MOVIMIENTOS!$D$5:$D$1005="jabas")*(MOVIMIENTOS!$A$5:$A$1005&lt;&gt;"")*(MOVIMIENTOS!$A$5:$A$1005&lt;=$A390)*MOVIMIENTOS!$E$5:$E$1005)+SUMPRODUCT((MOVIMIENTOS!$B$5:$B$1005="DEVOLUCIÓN")*(MOVIMIENTOS!$C$5:$C$1005="M")*(MOVIMIENTOS!$D$5:$D$1005="jabas")*(MOVIMIENTOS!$A$5:$A$1005&lt;&gt;"")*(MOVIMIENTOS!$A$5:$A$1005&lt;=$A390)*MOVIMIENTOS!$E$5:$E$1005)-SUMPRODUCT((MOVIMIENTOS!$B$5:$B$1005="TRASIEGO")*(MOVIMIENTOS!$C$5:$C$1005="M")*(MOVIMIENTOS!$D$5:$D$1005="jabas")*(MOVIMIENTOS!$A$5:$A$1005&lt;&gt;"")*(MOVIMIENTOS!$A$5:$A$1005&lt;=$A390)*MOVIMIENTOS!$E$5:$E$1005)-SUMPRODUCT((MOVIMIENTOS!$B$5:$B$1005="REGALO")*(MOVIMIENTOS!$C$5:$C$1005="M")*(MOVIMIENTOS!$D$5:$D$1005="jabas")*(MOVIMIENTOS!$A$5:$A$1005&lt;&gt;"")*(MOVIMIENTOS!$A$5:$A$1005&lt;=$A390)*MOVIMIENTOS!$E$5:$E$1005)-SUMPRODUCT((MOVIMIENTOS!$B$5:$B$1005="VENTA")*(MOVIMIENTOS!$C$5:$C$1005="M")*(MOVIMIENTOS!$D$5:$D$1005="jabas")*(MOVIMIENTOS!$A$5:$A$1005&lt;&gt;"")*(MOVIMIENTOS!$A$5:$A$1005&lt;=$A390)*MOVIMIENTOS!$E$5:$E$1005)+SUMPRODUCT((MOVIMIENTOS!$B$5:$B$1005="AJUSTE")*(MOVIMIENTOS!$C$5:$C$1005="M")*(MOVIMIENTOS!$D$5:$D$1005="jabas")*(MOVIMIENTOS!$A$5:$A$1005&lt;&gt;"")*(MOVIMIENTOS!$A$5:$A$1005&lt;=$A390)*MOVIMIENTOS!$E$5:$E$1005))</f>
        <v/>
      </c>
      <c r="F390" s="63" t="str">
        <f>IF($A390="","",SUMPRODUCT((MOVIMIENTOS!$B$5:$B$1005="SALDO INICIAL")*(MOVIMIENTOS!$C$5:$C$1005="Chancho")*(MOVIMIENTOS!$D$5:$D$1005="sacos")*(MOVIMIENTOS!$A$5:$A$1005&lt;&gt;"")*(MOVIMIENTOS!$A$5:$A$1005&lt;=$A390)*MOVIMIENTOS!$E$5:$E$1005)+SUMPRODUCT((MOVIMIENTOS!$B$5:$B$1005="PROCESO")*(MOVIMIENTOS!$C$5:$C$1005="Chancho")*(MOVIMIENTOS!$D$5:$D$1005="sacos")*(MOVIMIENTOS!$A$5:$A$1005&lt;&gt;"")*(MOVIMIENTOS!$A$5:$A$1005&lt;=$A390)*MOVIMIENTOS!$E$5:$E$1005)-SUMPRODUCT((MOVIMIENTOS!$B$5:$B$1005="VENTA CHANCHO")*(MOVIMIENTOS!$C$5:$C$1005="Chancho")*(MOVIMIENTOS!$D$5:$D$1005="sacos")*(MOVIMIENTOS!$A$5:$A$1005&lt;&gt;"")*(MOVIMIENTOS!$A$5:$A$1005&lt;=$A390)*MOVIMIENTOS!$E$5:$E$1005)-SUMPRODUCT((MOVIMIENTOS!$B$5:$B$1005="REGALO")*(MOVIMIENTOS!$C$5:$C$1005="Chancho")*(MOVIMIENTOS!$D$5:$D$1005="sacos")*(MOVIMIENTOS!$A$5:$A$1005&lt;&gt;"")*(MOVIMIENTOS!$A$5:$A$1005&lt;=$A390)*MOVIMIENTOS!$E$5:$E$1005)-SUMPRODUCT((MOVIMIENTOS!$B$5:$B$1005="VENTA")*(MOVIMIENTOS!$C$5:$C$1005="Chancho")*(MOVIMIENTOS!$D$5:$D$1005="sacos")*(MOVIMIENTOS!$A$5:$A$1005&lt;&gt;"")*(MOVIMIENTOS!$A$5:$A$1005&lt;=$A390)*MOVIMIENTOS!$E$5:$E$1005)+SUMPRODUCT((MOVIMIENTOS!$B$5:$B$1005="AJUSTE")*(MOVIMIENTOS!$C$5:$C$1005="Chancho")*(MOVIMIENTOS!$D$5:$D$1005="sacos")*(MOVIMIENTOS!$A$5:$A$1005&lt;&gt;"")*(MOVIMIENTOS!$A$5:$A$1005&lt;=$A390)*MOVIMIENTOS!$E$5:$E$1005))</f>
        <v/>
      </c>
      <c r="G390" s="95" t="str">
        <f t="shared" si="13"/>
        <v/>
      </c>
      <c r="H390" s="63" t="str">
        <f>IF($A390="","",SUMPRODUCT((((MOVIMIENTOS!$B$5:$B$1005="SALDO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390)*MOVIMIENTOS!$J$5:$J$1005))</f>
        <v/>
      </c>
      <c r="I390" s="63"/>
      <c r="J390" s="63" t="str">
        <f>IF(AND(MOVIMIENTOS!$A393&lt;&gt;"",COUNTIF(MOVIMIENTOS!$A$5:$A392,MOVIMIENTOS!$A393)=0),COUNT(J$4:J389)+1,"")</f>
        <v/>
      </c>
      <c r="K390" s="66">
        <f>MOVIMIENTOS!$A393</f>
        <v>46248</v>
      </c>
      <c r="L390" s="63"/>
      <c r="M390" s="63"/>
      <c r="N390" s="63"/>
    </row>
    <row r="391" spans="1:14" ht="15" customHeight="1" x14ac:dyDescent="0.2">
      <c r="A391" s="63" t="str">
        <f t="shared" si="12"/>
        <v/>
      </c>
      <c r="B391" s="63" t="str">
        <f>IF($A391="","",SUMPRODUCT((MOVIMIENTOS!$B$5:$B$1005="SALDO INICIAL")*(MOVIMIENTOS!$C$5:$C$1005="A")*(MOVIMIENTOS!$D$5:$D$1005="jabas")*(MOVIMIENTOS!$A$5:$A$1005&lt;&gt;"")*(MOVIMIENTOS!$A$5:$A$1005&lt;=$A391)*MOVIMIENTOS!$E$5:$E$1005)+SUMPRODUCT((MOVIMIENTOS!$B$5:$B$1005="PROCESO")*(MOVIMIENTOS!$C$5:$C$1005="A")*(MOVIMIENTOS!$D$5:$D$1005="jabas")*(MOVIMIENTOS!$A$5:$A$1005&lt;&gt;"")*(MOVIMIENTOS!$A$5:$A$1005&lt;=$A391)*MOVIMIENTOS!$E$5:$E$1005)-SUMPRODUCT((MOVIMIENTOS!$B$5:$B$1005="ENVÍO A SUPESA")*(MOVIMIENTOS!$C$5:$C$1005="A")*(MOVIMIENTOS!$D$5:$D$1005="jabas")*(MOVIMIENTOS!$A$5:$A$1005&lt;&gt;"")*(MOVIMIENTOS!$A$5:$A$1005&lt;=$A391)*MOVIMIENTOS!$E$5:$E$1005)+SUMPRODUCT((MOVIMIENTOS!$B$5:$B$1005="DEVOLUCIÓN")*(MOVIMIENTOS!$C$5:$C$1005="A")*(MOVIMIENTOS!$D$5:$D$1005="jabas")*(MOVIMIENTOS!$A$5:$A$1005&lt;&gt;"")*(MOVIMIENTOS!$A$5:$A$1005&lt;=$A391)*MOVIMIENTOS!$E$5:$E$1005)-SUMPRODUCT((MOVIMIENTOS!$B$5:$B$1005="TRASIEGO")*(MOVIMIENTOS!$C$5:$C$1005="A")*(MOVIMIENTOS!$D$5:$D$1005="jabas")*(MOVIMIENTOS!$A$5:$A$1005&lt;&gt;"")*(MOVIMIENTOS!$A$5:$A$1005&lt;=$A391)*MOVIMIENTOS!$E$5:$E$1005)-SUMPRODUCT((MOVIMIENTOS!$B$5:$B$1005="REGALO")*(MOVIMIENTOS!$C$5:$C$1005="A")*(MOVIMIENTOS!$D$5:$D$1005="jabas")*(MOVIMIENTOS!$A$5:$A$1005&lt;&gt;"")*(MOVIMIENTOS!$A$5:$A$1005&lt;=$A391)*MOVIMIENTOS!$E$5:$E$1005)-SUMPRODUCT((MOVIMIENTOS!$B$5:$B$1005="VENTA")*(MOVIMIENTOS!$C$5:$C$1005="A")*(MOVIMIENTOS!$D$5:$D$1005="jabas")*(MOVIMIENTOS!$A$5:$A$1005&lt;&gt;"")*(MOVIMIENTOS!$A$5:$A$1005&lt;=$A391)*MOVIMIENTOS!$E$5:$E$1005)+SUMPRODUCT((MOVIMIENTOS!$B$5:$B$1005="AJUSTE")*(MOVIMIENTOS!$C$5:$C$1005="A")*(MOVIMIENTOS!$D$5:$D$1005="jabas")*(MOVIMIENTOS!$A$5:$A$1005&lt;&gt;"")*(MOVIMIENTOS!$A$5:$A$1005&lt;=$A391)*MOVIMIENTOS!$E$5:$E$1005))</f>
        <v/>
      </c>
      <c r="C391" s="63" t="str">
        <f>IF($A391="","",SUMPRODUCT((MOVIMIENTOS!$B$5:$B$1005="SALDO INICIAL")*(MOVIMIENTOS!$C$5:$C$1005="P")*(MOVIMIENTOS!$D$5:$D$1005="jabas")*(MOVIMIENTOS!$A$5:$A$1005&lt;&gt;"")*(MOVIMIENTOS!$A$5:$A$1005&lt;=$A391)*MOVIMIENTOS!$E$5:$E$1005)+SUMPRODUCT((MOVIMIENTOS!$B$5:$B$1005="PROCESO")*(MOVIMIENTOS!$C$5:$C$1005="P")*(MOVIMIENTOS!$D$5:$D$1005="jabas")*(MOVIMIENTOS!$A$5:$A$1005&lt;&gt;"")*(MOVIMIENTOS!$A$5:$A$1005&lt;=$A391)*MOVIMIENTOS!$E$5:$E$1005)-SUMPRODUCT((MOVIMIENTOS!$B$5:$B$1005="ENVÍO A SUPESA")*(MOVIMIENTOS!$C$5:$C$1005="P")*(MOVIMIENTOS!$D$5:$D$1005="jabas")*(MOVIMIENTOS!$A$5:$A$1005&lt;&gt;"")*(MOVIMIENTOS!$A$5:$A$1005&lt;=$A391)*MOVIMIENTOS!$E$5:$E$1005)+SUMPRODUCT((MOVIMIENTOS!$B$5:$B$1005="DEVOLUCIÓN")*(MOVIMIENTOS!$C$5:$C$1005="P")*(MOVIMIENTOS!$D$5:$D$1005="jabas")*(MOVIMIENTOS!$A$5:$A$1005&lt;&gt;"")*(MOVIMIENTOS!$A$5:$A$1005&lt;=$A391)*MOVIMIENTOS!$E$5:$E$1005)-SUMPRODUCT((MOVIMIENTOS!$B$5:$B$1005="TRASIEGO")*(MOVIMIENTOS!$C$5:$C$1005="P")*(MOVIMIENTOS!$D$5:$D$1005="jabas")*(MOVIMIENTOS!$A$5:$A$1005&lt;&gt;"")*(MOVIMIENTOS!$A$5:$A$1005&lt;=$A391)*MOVIMIENTOS!$E$5:$E$1005)-SUMPRODUCT((MOVIMIENTOS!$B$5:$B$1005="REGALO")*(MOVIMIENTOS!$C$5:$C$1005="P")*(MOVIMIENTOS!$D$5:$D$1005="jabas")*(MOVIMIENTOS!$A$5:$A$1005&lt;&gt;"")*(MOVIMIENTOS!$A$5:$A$1005&lt;=$A391)*MOVIMIENTOS!$E$5:$E$1005)-SUMPRODUCT((MOVIMIENTOS!$B$5:$B$1005="VENTA")*(MOVIMIENTOS!$C$5:$C$1005="P")*(MOVIMIENTOS!$D$5:$D$1005="jabas")*(MOVIMIENTOS!$A$5:$A$1005&lt;&gt;"")*(MOVIMIENTOS!$A$5:$A$1005&lt;=$A391)*MOVIMIENTOS!$E$5:$E$1005)+SUMPRODUCT((MOVIMIENTOS!$B$5:$B$1005="AJUSTE")*(MOVIMIENTOS!$C$5:$C$1005="P")*(MOVIMIENTOS!$D$5:$D$1005="jabas")*(MOVIMIENTOS!$A$5:$A$1005&lt;&gt;"")*(MOVIMIENTOS!$A$5:$A$1005&lt;=$A391)*MOVIMIENTOS!$E$5:$E$1005))</f>
        <v/>
      </c>
      <c r="D391" s="63" t="str">
        <f>IF($A391="","",SUMPRODUCT((MOVIMIENTOS!$B$5:$B$1005="SALDO INICIAL")*(MOVIMIENTOS!$C$5:$C$1005="C")*(MOVIMIENTOS!$D$5:$D$1005="jabas")*(MOVIMIENTOS!$A$5:$A$1005&lt;&gt;"")*(MOVIMIENTOS!$A$5:$A$1005&lt;=$A391)*MOVIMIENTOS!$E$5:$E$1005)+SUMPRODUCT((MOVIMIENTOS!$B$5:$B$1005="PROCESO")*(MOVIMIENTOS!$C$5:$C$1005="C")*(MOVIMIENTOS!$D$5:$D$1005="jabas")*(MOVIMIENTOS!$A$5:$A$1005&lt;&gt;"")*(MOVIMIENTOS!$A$5:$A$1005&lt;=$A391)*MOVIMIENTOS!$E$5:$E$1005)-SUMPRODUCT((MOVIMIENTOS!$B$5:$B$1005="ENVÍO A SUPESA")*(MOVIMIENTOS!$C$5:$C$1005="C")*(MOVIMIENTOS!$D$5:$D$1005="jabas")*(MOVIMIENTOS!$A$5:$A$1005&lt;&gt;"")*(MOVIMIENTOS!$A$5:$A$1005&lt;=$A391)*MOVIMIENTOS!$E$5:$E$1005)+SUMPRODUCT((MOVIMIENTOS!$B$5:$B$1005="DEVOLUCIÓN")*(MOVIMIENTOS!$C$5:$C$1005="C")*(MOVIMIENTOS!$D$5:$D$1005="jabas")*(MOVIMIENTOS!$A$5:$A$1005&lt;&gt;"")*(MOVIMIENTOS!$A$5:$A$1005&lt;=$A391)*MOVIMIENTOS!$E$5:$E$1005)-SUMPRODUCT((MOVIMIENTOS!$B$5:$B$1005="TRASIEGO")*(MOVIMIENTOS!$C$5:$C$1005="C")*(MOVIMIENTOS!$D$5:$D$1005="jabas")*(MOVIMIENTOS!$A$5:$A$1005&lt;&gt;"")*(MOVIMIENTOS!$A$5:$A$1005&lt;=$A391)*MOVIMIENTOS!$E$5:$E$1005)-SUMPRODUCT((MOVIMIENTOS!$B$5:$B$1005="REGALO")*(MOVIMIENTOS!$C$5:$C$1005="C")*(MOVIMIENTOS!$D$5:$D$1005="jabas")*(MOVIMIENTOS!$A$5:$A$1005&lt;&gt;"")*(MOVIMIENTOS!$A$5:$A$1005&lt;=$A391)*MOVIMIENTOS!$E$5:$E$1005)-SUMPRODUCT((MOVIMIENTOS!$B$5:$B$1005="VENTA")*(MOVIMIENTOS!$C$5:$C$1005="C")*(MOVIMIENTOS!$D$5:$D$1005="jabas")*(MOVIMIENTOS!$A$5:$A$1005&lt;&gt;"")*(MOVIMIENTOS!$A$5:$A$1005&lt;=$A391)*MOVIMIENTOS!$E$5:$E$1005)+SUMPRODUCT((MOVIMIENTOS!$B$5:$B$1005="AJUSTE")*(MOVIMIENTOS!$C$5:$C$1005="C")*(MOVIMIENTOS!$D$5:$D$1005="jabas")*(MOVIMIENTOS!$A$5:$A$1005&lt;&gt;"")*(MOVIMIENTOS!$A$5:$A$1005&lt;=$A391)*MOVIMIENTOS!$E$5:$E$1005))</f>
        <v/>
      </c>
      <c r="E391" s="63" t="str">
        <f>IF($A391="","",SUMPRODUCT((MOVIMIENTOS!$B$5:$B$1005="SALDO INICIAL")*(MOVIMIENTOS!$C$5:$C$1005="M")*(MOVIMIENTOS!$D$5:$D$1005="jabas")*(MOVIMIENTOS!$A$5:$A$1005&lt;&gt;"")*(MOVIMIENTOS!$A$5:$A$1005&lt;=$A391)*MOVIMIENTOS!$E$5:$E$1005)+SUMPRODUCT((MOVIMIENTOS!$B$5:$B$1005="PROCESO")*(MOVIMIENTOS!$C$5:$C$1005="M")*(MOVIMIENTOS!$D$5:$D$1005="jabas")*(MOVIMIENTOS!$A$5:$A$1005&lt;&gt;"")*(MOVIMIENTOS!$A$5:$A$1005&lt;=$A391)*MOVIMIENTOS!$E$5:$E$1005)-SUMPRODUCT((MOVIMIENTOS!$B$5:$B$1005="ENVÍO A SUPESA")*(MOVIMIENTOS!$C$5:$C$1005="M")*(MOVIMIENTOS!$D$5:$D$1005="jabas")*(MOVIMIENTOS!$A$5:$A$1005&lt;&gt;"")*(MOVIMIENTOS!$A$5:$A$1005&lt;=$A391)*MOVIMIENTOS!$E$5:$E$1005)+SUMPRODUCT((MOVIMIENTOS!$B$5:$B$1005="DEVOLUCIÓN")*(MOVIMIENTOS!$C$5:$C$1005="M")*(MOVIMIENTOS!$D$5:$D$1005="jabas")*(MOVIMIENTOS!$A$5:$A$1005&lt;&gt;"")*(MOVIMIENTOS!$A$5:$A$1005&lt;=$A391)*MOVIMIENTOS!$E$5:$E$1005)-SUMPRODUCT((MOVIMIENTOS!$B$5:$B$1005="TRASIEGO")*(MOVIMIENTOS!$C$5:$C$1005="M")*(MOVIMIENTOS!$D$5:$D$1005="jabas")*(MOVIMIENTOS!$A$5:$A$1005&lt;&gt;"")*(MOVIMIENTOS!$A$5:$A$1005&lt;=$A391)*MOVIMIENTOS!$E$5:$E$1005)-SUMPRODUCT((MOVIMIENTOS!$B$5:$B$1005="REGALO")*(MOVIMIENTOS!$C$5:$C$1005="M")*(MOVIMIENTOS!$D$5:$D$1005="jabas")*(MOVIMIENTOS!$A$5:$A$1005&lt;&gt;"")*(MOVIMIENTOS!$A$5:$A$1005&lt;=$A391)*MOVIMIENTOS!$E$5:$E$1005)-SUMPRODUCT((MOVIMIENTOS!$B$5:$B$1005="VENTA")*(MOVIMIENTOS!$C$5:$C$1005="M")*(MOVIMIENTOS!$D$5:$D$1005="jabas")*(MOVIMIENTOS!$A$5:$A$1005&lt;&gt;"")*(MOVIMIENTOS!$A$5:$A$1005&lt;=$A391)*MOVIMIENTOS!$E$5:$E$1005)+SUMPRODUCT((MOVIMIENTOS!$B$5:$B$1005="AJUSTE")*(MOVIMIENTOS!$C$5:$C$1005="M")*(MOVIMIENTOS!$D$5:$D$1005="jabas")*(MOVIMIENTOS!$A$5:$A$1005&lt;&gt;"")*(MOVIMIENTOS!$A$5:$A$1005&lt;=$A391)*MOVIMIENTOS!$E$5:$E$1005))</f>
        <v/>
      </c>
      <c r="F391" s="63" t="str">
        <f>IF($A391="","",SUMPRODUCT((MOVIMIENTOS!$B$5:$B$1005="SALDO INICIAL")*(MOVIMIENTOS!$C$5:$C$1005="Chancho")*(MOVIMIENTOS!$D$5:$D$1005="sacos")*(MOVIMIENTOS!$A$5:$A$1005&lt;&gt;"")*(MOVIMIENTOS!$A$5:$A$1005&lt;=$A391)*MOVIMIENTOS!$E$5:$E$1005)+SUMPRODUCT((MOVIMIENTOS!$B$5:$B$1005="PROCESO")*(MOVIMIENTOS!$C$5:$C$1005="Chancho")*(MOVIMIENTOS!$D$5:$D$1005="sacos")*(MOVIMIENTOS!$A$5:$A$1005&lt;&gt;"")*(MOVIMIENTOS!$A$5:$A$1005&lt;=$A391)*MOVIMIENTOS!$E$5:$E$1005)-SUMPRODUCT((MOVIMIENTOS!$B$5:$B$1005="VENTA CHANCHO")*(MOVIMIENTOS!$C$5:$C$1005="Chancho")*(MOVIMIENTOS!$D$5:$D$1005="sacos")*(MOVIMIENTOS!$A$5:$A$1005&lt;&gt;"")*(MOVIMIENTOS!$A$5:$A$1005&lt;=$A391)*MOVIMIENTOS!$E$5:$E$1005)-SUMPRODUCT((MOVIMIENTOS!$B$5:$B$1005="REGALO")*(MOVIMIENTOS!$C$5:$C$1005="Chancho")*(MOVIMIENTOS!$D$5:$D$1005="sacos")*(MOVIMIENTOS!$A$5:$A$1005&lt;&gt;"")*(MOVIMIENTOS!$A$5:$A$1005&lt;=$A391)*MOVIMIENTOS!$E$5:$E$1005)-SUMPRODUCT((MOVIMIENTOS!$B$5:$B$1005="VENTA")*(MOVIMIENTOS!$C$5:$C$1005="Chancho")*(MOVIMIENTOS!$D$5:$D$1005="sacos")*(MOVIMIENTOS!$A$5:$A$1005&lt;&gt;"")*(MOVIMIENTOS!$A$5:$A$1005&lt;=$A391)*MOVIMIENTOS!$E$5:$E$1005)+SUMPRODUCT((MOVIMIENTOS!$B$5:$B$1005="AJUSTE")*(MOVIMIENTOS!$C$5:$C$1005="Chancho")*(MOVIMIENTOS!$D$5:$D$1005="sacos")*(MOVIMIENTOS!$A$5:$A$1005&lt;&gt;"")*(MOVIMIENTOS!$A$5:$A$1005&lt;=$A391)*MOVIMIENTOS!$E$5:$E$1005))</f>
        <v/>
      </c>
      <c r="G391" s="95" t="str">
        <f t="shared" si="13"/>
        <v/>
      </c>
      <c r="H391" s="63" t="str">
        <f>IF($A391="","",SUMPRODUCT((((MOVIMIENTOS!$B$5:$B$1005="SALDO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391)*MOVIMIENTOS!$J$5:$J$1005))</f>
        <v/>
      </c>
      <c r="I391" s="63"/>
      <c r="J391" s="63" t="str">
        <f>IF(AND(MOVIMIENTOS!$A394&lt;&gt;"",COUNTIF(MOVIMIENTOS!$A$5:$A393,MOVIMIENTOS!$A394)=0),COUNT(J$4:J390)+1,"")</f>
        <v/>
      </c>
      <c r="K391" s="66">
        <f>MOVIMIENTOS!$A394</f>
        <v>46248</v>
      </c>
      <c r="L391" s="63"/>
      <c r="M391" s="63"/>
      <c r="N391" s="63"/>
    </row>
    <row r="392" spans="1:14" ht="15" customHeight="1" x14ac:dyDescent="0.2">
      <c r="A392" s="63" t="str">
        <f t="shared" si="12"/>
        <v/>
      </c>
      <c r="B392" s="63" t="str">
        <f>IF($A392="","",SUMPRODUCT((MOVIMIENTOS!$B$5:$B$1005="SALDO INICIAL")*(MOVIMIENTOS!$C$5:$C$1005="A")*(MOVIMIENTOS!$D$5:$D$1005="jabas")*(MOVIMIENTOS!$A$5:$A$1005&lt;&gt;"")*(MOVIMIENTOS!$A$5:$A$1005&lt;=$A392)*MOVIMIENTOS!$E$5:$E$1005)+SUMPRODUCT((MOVIMIENTOS!$B$5:$B$1005="PROCESO")*(MOVIMIENTOS!$C$5:$C$1005="A")*(MOVIMIENTOS!$D$5:$D$1005="jabas")*(MOVIMIENTOS!$A$5:$A$1005&lt;&gt;"")*(MOVIMIENTOS!$A$5:$A$1005&lt;=$A392)*MOVIMIENTOS!$E$5:$E$1005)-SUMPRODUCT((MOVIMIENTOS!$B$5:$B$1005="ENVÍO A SUPESA")*(MOVIMIENTOS!$C$5:$C$1005="A")*(MOVIMIENTOS!$D$5:$D$1005="jabas")*(MOVIMIENTOS!$A$5:$A$1005&lt;&gt;"")*(MOVIMIENTOS!$A$5:$A$1005&lt;=$A392)*MOVIMIENTOS!$E$5:$E$1005)+SUMPRODUCT((MOVIMIENTOS!$B$5:$B$1005="DEVOLUCIÓN")*(MOVIMIENTOS!$C$5:$C$1005="A")*(MOVIMIENTOS!$D$5:$D$1005="jabas")*(MOVIMIENTOS!$A$5:$A$1005&lt;&gt;"")*(MOVIMIENTOS!$A$5:$A$1005&lt;=$A392)*MOVIMIENTOS!$E$5:$E$1005)-SUMPRODUCT((MOVIMIENTOS!$B$5:$B$1005="TRASIEGO")*(MOVIMIENTOS!$C$5:$C$1005="A")*(MOVIMIENTOS!$D$5:$D$1005="jabas")*(MOVIMIENTOS!$A$5:$A$1005&lt;&gt;"")*(MOVIMIENTOS!$A$5:$A$1005&lt;=$A392)*MOVIMIENTOS!$E$5:$E$1005)-SUMPRODUCT((MOVIMIENTOS!$B$5:$B$1005="REGALO")*(MOVIMIENTOS!$C$5:$C$1005="A")*(MOVIMIENTOS!$D$5:$D$1005="jabas")*(MOVIMIENTOS!$A$5:$A$1005&lt;&gt;"")*(MOVIMIENTOS!$A$5:$A$1005&lt;=$A392)*MOVIMIENTOS!$E$5:$E$1005)-SUMPRODUCT((MOVIMIENTOS!$B$5:$B$1005="VENTA")*(MOVIMIENTOS!$C$5:$C$1005="A")*(MOVIMIENTOS!$D$5:$D$1005="jabas")*(MOVIMIENTOS!$A$5:$A$1005&lt;&gt;"")*(MOVIMIENTOS!$A$5:$A$1005&lt;=$A392)*MOVIMIENTOS!$E$5:$E$1005)+SUMPRODUCT((MOVIMIENTOS!$B$5:$B$1005="AJUSTE")*(MOVIMIENTOS!$C$5:$C$1005="A")*(MOVIMIENTOS!$D$5:$D$1005="jabas")*(MOVIMIENTOS!$A$5:$A$1005&lt;&gt;"")*(MOVIMIENTOS!$A$5:$A$1005&lt;=$A392)*MOVIMIENTOS!$E$5:$E$1005))</f>
        <v/>
      </c>
      <c r="C392" s="63" t="str">
        <f>IF($A392="","",SUMPRODUCT((MOVIMIENTOS!$B$5:$B$1005="SALDO INICIAL")*(MOVIMIENTOS!$C$5:$C$1005="P")*(MOVIMIENTOS!$D$5:$D$1005="jabas")*(MOVIMIENTOS!$A$5:$A$1005&lt;&gt;"")*(MOVIMIENTOS!$A$5:$A$1005&lt;=$A392)*MOVIMIENTOS!$E$5:$E$1005)+SUMPRODUCT((MOVIMIENTOS!$B$5:$B$1005="PROCESO")*(MOVIMIENTOS!$C$5:$C$1005="P")*(MOVIMIENTOS!$D$5:$D$1005="jabas")*(MOVIMIENTOS!$A$5:$A$1005&lt;&gt;"")*(MOVIMIENTOS!$A$5:$A$1005&lt;=$A392)*MOVIMIENTOS!$E$5:$E$1005)-SUMPRODUCT((MOVIMIENTOS!$B$5:$B$1005="ENVÍO A SUPESA")*(MOVIMIENTOS!$C$5:$C$1005="P")*(MOVIMIENTOS!$D$5:$D$1005="jabas")*(MOVIMIENTOS!$A$5:$A$1005&lt;&gt;"")*(MOVIMIENTOS!$A$5:$A$1005&lt;=$A392)*MOVIMIENTOS!$E$5:$E$1005)+SUMPRODUCT((MOVIMIENTOS!$B$5:$B$1005="DEVOLUCIÓN")*(MOVIMIENTOS!$C$5:$C$1005="P")*(MOVIMIENTOS!$D$5:$D$1005="jabas")*(MOVIMIENTOS!$A$5:$A$1005&lt;&gt;"")*(MOVIMIENTOS!$A$5:$A$1005&lt;=$A392)*MOVIMIENTOS!$E$5:$E$1005)-SUMPRODUCT((MOVIMIENTOS!$B$5:$B$1005="TRASIEGO")*(MOVIMIENTOS!$C$5:$C$1005="P")*(MOVIMIENTOS!$D$5:$D$1005="jabas")*(MOVIMIENTOS!$A$5:$A$1005&lt;&gt;"")*(MOVIMIENTOS!$A$5:$A$1005&lt;=$A392)*MOVIMIENTOS!$E$5:$E$1005)-SUMPRODUCT((MOVIMIENTOS!$B$5:$B$1005="REGALO")*(MOVIMIENTOS!$C$5:$C$1005="P")*(MOVIMIENTOS!$D$5:$D$1005="jabas")*(MOVIMIENTOS!$A$5:$A$1005&lt;&gt;"")*(MOVIMIENTOS!$A$5:$A$1005&lt;=$A392)*MOVIMIENTOS!$E$5:$E$1005)-SUMPRODUCT((MOVIMIENTOS!$B$5:$B$1005="VENTA")*(MOVIMIENTOS!$C$5:$C$1005="P")*(MOVIMIENTOS!$D$5:$D$1005="jabas")*(MOVIMIENTOS!$A$5:$A$1005&lt;&gt;"")*(MOVIMIENTOS!$A$5:$A$1005&lt;=$A392)*MOVIMIENTOS!$E$5:$E$1005)+SUMPRODUCT((MOVIMIENTOS!$B$5:$B$1005="AJUSTE")*(MOVIMIENTOS!$C$5:$C$1005="P")*(MOVIMIENTOS!$D$5:$D$1005="jabas")*(MOVIMIENTOS!$A$5:$A$1005&lt;&gt;"")*(MOVIMIENTOS!$A$5:$A$1005&lt;=$A392)*MOVIMIENTOS!$E$5:$E$1005))</f>
        <v/>
      </c>
      <c r="D392" s="63" t="str">
        <f>IF($A392="","",SUMPRODUCT((MOVIMIENTOS!$B$5:$B$1005="SALDO INICIAL")*(MOVIMIENTOS!$C$5:$C$1005="C")*(MOVIMIENTOS!$D$5:$D$1005="jabas")*(MOVIMIENTOS!$A$5:$A$1005&lt;&gt;"")*(MOVIMIENTOS!$A$5:$A$1005&lt;=$A392)*MOVIMIENTOS!$E$5:$E$1005)+SUMPRODUCT((MOVIMIENTOS!$B$5:$B$1005="PROCESO")*(MOVIMIENTOS!$C$5:$C$1005="C")*(MOVIMIENTOS!$D$5:$D$1005="jabas")*(MOVIMIENTOS!$A$5:$A$1005&lt;&gt;"")*(MOVIMIENTOS!$A$5:$A$1005&lt;=$A392)*MOVIMIENTOS!$E$5:$E$1005)-SUMPRODUCT((MOVIMIENTOS!$B$5:$B$1005="ENVÍO A SUPESA")*(MOVIMIENTOS!$C$5:$C$1005="C")*(MOVIMIENTOS!$D$5:$D$1005="jabas")*(MOVIMIENTOS!$A$5:$A$1005&lt;&gt;"")*(MOVIMIENTOS!$A$5:$A$1005&lt;=$A392)*MOVIMIENTOS!$E$5:$E$1005)+SUMPRODUCT((MOVIMIENTOS!$B$5:$B$1005="DEVOLUCIÓN")*(MOVIMIENTOS!$C$5:$C$1005="C")*(MOVIMIENTOS!$D$5:$D$1005="jabas")*(MOVIMIENTOS!$A$5:$A$1005&lt;&gt;"")*(MOVIMIENTOS!$A$5:$A$1005&lt;=$A392)*MOVIMIENTOS!$E$5:$E$1005)-SUMPRODUCT((MOVIMIENTOS!$B$5:$B$1005="TRASIEGO")*(MOVIMIENTOS!$C$5:$C$1005="C")*(MOVIMIENTOS!$D$5:$D$1005="jabas")*(MOVIMIENTOS!$A$5:$A$1005&lt;&gt;"")*(MOVIMIENTOS!$A$5:$A$1005&lt;=$A392)*MOVIMIENTOS!$E$5:$E$1005)-SUMPRODUCT((MOVIMIENTOS!$B$5:$B$1005="REGALO")*(MOVIMIENTOS!$C$5:$C$1005="C")*(MOVIMIENTOS!$D$5:$D$1005="jabas")*(MOVIMIENTOS!$A$5:$A$1005&lt;&gt;"")*(MOVIMIENTOS!$A$5:$A$1005&lt;=$A392)*MOVIMIENTOS!$E$5:$E$1005)-SUMPRODUCT((MOVIMIENTOS!$B$5:$B$1005="VENTA")*(MOVIMIENTOS!$C$5:$C$1005="C")*(MOVIMIENTOS!$D$5:$D$1005="jabas")*(MOVIMIENTOS!$A$5:$A$1005&lt;&gt;"")*(MOVIMIENTOS!$A$5:$A$1005&lt;=$A392)*MOVIMIENTOS!$E$5:$E$1005)+SUMPRODUCT((MOVIMIENTOS!$B$5:$B$1005="AJUSTE")*(MOVIMIENTOS!$C$5:$C$1005="C")*(MOVIMIENTOS!$D$5:$D$1005="jabas")*(MOVIMIENTOS!$A$5:$A$1005&lt;&gt;"")*(MOVIMIENTOS!$A$5:$A$1005&lt;=$A392)*MOVIMIENTOS!$E$5:$E$1005))</f>
        <v/>
      </c>
      <c r="E392" s="63" t="str">
        <f>IF($A392="","",SUMPRODUCT((MOVIMIENTOS!$B$5:$B$1005="SALDO INICIAL")*(MOVIMIENTOS!$C$5:$C$1005="M")*(MOVIMIENTOS!$D$5:$D$1005="jabas")*(MOVIMIENTOS!$A$5:$A$1005&lt;&gt;"")*(MOVIMIENTOS!$A$5:$A$1005&lt;=$A392)*MOVIMIENTOS!$E$5:$E$1005)+SUMPRODUCT((MOVIMIENTOS!$B$5:$B$1005="PROCESO")*(MOVIMIENTOS!$C$5:$C$1005="M")*(MOVIMIENTOS!$D$5:$D$1005="jabas")*(MOVIMIENTOS!$A$5:$A$1005&lt;&gt;"")*(MOVIMIENTOS!$A$5:$A$1005&lt;=$A392)*MOVIMIENTOS!$E$5:$E$1005)-SUMPRODUCT((MOVIMIENTOS!$B$5:$B$1005="ENVÍO A SUPESA")*(MOVIMIENTOS!$C$5:$C$1005="M")*(MOVIMIENTOS!$D$5:$D$1005="jabas")*(MOVIMIENTOS!$A$5:$A$1005&lt;&gt;"")*(MOVIMIENTOS!$A$5:$A$1005&lt;=$A392)*MOVIMIENTOS!$E$5:$E$1005)+SUMPRODUCT((MOVIMIENTOS!$B$5:$B$1005="DEVOLUCIÓN")*(MOVIMIENTOS!$C$5:$C$1005="M")*(MOVIMIENTOS!$D$5:$D$1005="jabas")*(MOVIMIENTOS!$A$5:$A$1005&lt;&gt;"")*(MOVIMIENTOS!$A$5:$A$1005&lt;=$A392)*MOVIMIENTOS!$E$5:$E$1005)-SUMPRODUCT((MOVIMIENTOS!$B$5:$B$1005="TRASIEGO")*(MOVIMIENTOS!$C$5:$C$1005="M")*(MOVIMIENTOS!$D$5:$D$1005="jabas")*(MOVIMIENTOS!$A$5:$A$1005&lt;&gt;"")*(MOVIMIENTOS!$A$5:$A$1005&lt;=$A392)*MOVIMIENTOS!$E$5:$E$1005)-SUMPRODUCT((MOVIMIENTOS!$B$5:$B$1005="REGALO")*(MOVIMIENTOS!$C$5:$C$1005="M")*(MOVIMIENTOS!$D$5:$D$1005="jabas")*(MOVIMIENTOS!$A$5:$A$1005&lt;&gt;"")*(MOVIMIENTOS!$A$5:$A$1005&lt;=$A392)*MOVIMIENTOS!$E$5:$E$1005)-SUMPRODUCT((MOVIMIENTOS!$B$5:$B$1005="VENTA")*(MOVIMIENTOS!$C$5:$C$1005="M")*(MOVIMIENTOS!$D$5:$D$1005="jabas")*(MOVIMIENTOS!$A$5:$A$1005&lt;&gt;"")*(MOVIMIENTOS!$A$5:$A$1005&lt;=$A392)*MOVIMIENTOS!$E$5:$E$1005)+SUMPRODUCT((MOVIMIENTOS!$B$5:$B$1005="AJUSTE")*(MOVIMIENTOS!$C$5:$C$1005="M")*(MOVIMIENTOS!$D$5:$D$1005="jabas")*(MOVIMIENTOS!$A$5:$A$1005&lt;&gt;"")*(MOVIMIENTOS!$A$5:$A$1005&lt;=$A392)*MOVIMIENTOS!$E$5:$E$1005))</f>
        <v/>
      </c>
      <c r="F392" s="63" t="str">
        <f>IF($A392="","",SUMPRODUCT((MOVIMIENTOS!$B$5:$B$1005="SALDO INICIAL")*(MOVIMIENTOS!$C$5:$C$1005="Chancho")*(MOVIMIENTOS!$D$5:$D$1005="sacos")*(MOVIMIENTOS!$A$5:$A$1005&lt;&gt;"")*(MOVIMIENTOS!$A$5:$A$1005&lt;=$A392)*MOVIMIENTOS!$E$5:$E$1005)+SUMPRODUCT((MOVIMIENTOS!$B$5:$B$1005="PROCESO")*(MOVIMIENTOS!$C$5:$C$1005="Chancho")*(MOVIMIENTOS!$D$5:$D$1005="sacos")*(MOVIMIENTOS!$A$5:$A$1005&lt;&gt;"")*(MOVIMIENTOS!$A$5:$A$1005&lt;=$A392)*MOVIMIENTOS!$E$5:$E$1005)-SUMPRODUCT((MOVIMIENTOS!$B$5:$B$1005="VENTA CHANCHO")*(MOVIMIENTOS!$C$5:$C$1005="Chancho")*(MOVIMIENTOS!$D$5:$D$1005="sacos")*(MOVIMIENTOS!$A$5:$A$1005&lt;&gt;"")*(MOVIMIENTOS!$A$5:$A$1005&lt;=$A392)*MOVIMIENTOS!$E$5:$E$1005)-SUMPRODUCT((MOVIMIENTOS!$B$5:$B$1005="REGALO")*(MOVIMIENTOS!$C$5:$C$1005="Chancho")*(MOVIMIENTOS!$D$5:$D$1005="sacos")*(MOVIMIENTOS!$A$5:$A$1005&lt;&gt;"")*(MOVIMIENTOS!$A$5:$A$1005&lt;=$A392)*MOVIMIENTOS!$E$5:$E$1005)-SUMPRODUCT((MOVIMIENTOS!$B$5:$B$1005="VENTA")*(MOVIMIENTOS!$C$5:$C$1005="Chancho")*(MOVIMIENTOS!$D$5:$D$1005="sacos")*(MOVIMIENTOS!$A$5:$A$1005&lt;&gt;"")*(MOVIMIENTOS!$A$5:$A$1005&lt;=$A392)*MOVIMIENTOS!$E$5:$E$1005)+SUMPRODUCT((MOVIMIENTOS!$B$5:$B$1005="AJUSTE")*(MOVIMIENTOS!$C$5:$C$1005="Chancho")*(MOVIMIENTOS!$D$5:$D$1005="sacos")*(MOVIMIENTOS!$A$5:$A$1005&lt;&gt;"")*(MOVIMIENTOS!$A$5:$A$1005&lt;=$A392)*MOVIMIENTOS!$E$5:$E$1005))</f>
        <v/>
      </c>
      <c r="G392" s="95" t="str">
        <f t="shared" si="13"/>
        <v/>
      </c>
      <c r="H392" s="63" t="str">
        <f>IF($A392="","",SUMPRODUCT((((MOVIMIENTOS!$B$5:$B$1005="SALDO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392)*MOVIMIENTOS!$J$5:$J$1005))</f>
        <v/>
      </c>
      <c r="I392" s="63"/>
      <c r="J392" s="63" t="str">
        <f>IF(AND(MOVIMIENTOS!$A395&lt;&gt;"",COUNTIF(MOVIMIENTOS!$A$5:$A394,MOVIMIENTOS!$A395)=0),COUNT(J$4:J391)+1,"")</f>
        <v/>
      </c>
      <c r="K392" s="66">
        <f>MOVIMIENTOS!$A395</f>
        <v>46248</v>
      </c>
      <c r="L392" s="63"/>
      <c r="M392" s="63"/>
      <c r="N392" s="63"/>
    </row>
    <row r="393" spans="1:14" ht="15" customHeight="1" x14ac:dyDescent="0.2">
      <c r="A393" s="63" t="str">
        <f t="shared" si="12"/>
        <v/>
      </c>
      <c r="B393" s="63" t="str">
        <f>IF($A393="","",SUMPRODUCT((MOVIMIENTOS!$B$5:$B$1005="SALDO INICIAL")*(MOVIMIENTOS!$C$5:$C$1005="A")*(MOVIMIENTOS!$D$5:$D$1005="jabas")*(MOVIMIENTOS!$A$5:$A$1005&lt;&gt;"")*(MOVIMIENTOS!$A$5:$A$1005&lt;=$A393)*MOVIMIENTOS!$E$5:$E$1005)+SUMPRODUCT((MOVIMIENTOS!$B$5:$B$1005="PROCESO")*(MOVIMIENTOS!$C$5:$C$1005="A")*(MOVIMIENTOS!$D$5:$D$1005="jabas")*(MOVIMIENTOS!$A$5:$A$1005&lt;&gt;"")*(MOVIMIENTOS!$A$5:$A$1005&lt;=$A393)*MOVIMIENTOS!$E$5:$E$1005)-SUMPRODUCT((MOVIMIENTOS!$B$5:$B$1005="ENVÍO A SUPESA")*(MOVIMIENTOS!$C$5:$C$1005="A")*(MOVIMIENTOS!$D$5:$D$1005="jabas")*(MOVIMIENTOS!$A$5:$A$1005&lt;&gt;"")*(MOVIMIENTOS!$A$5:$A$1005&lt;=$A393)*MOVIMIENTOS!$E$5:$E$1005)+SUMPRODUCT((MOVIMIENTOS!$B$5:$B$1005="DEVOLUCIÓN")*(MOVIMIENTOS!$C$5:$C$1005="A")*(MOVIMIENTOS!$D$5:$D$1005="jabas")*(MOVIMIENTOS!$A$5:$A$1005&lt;&gt;"")*(MOVIMIENTOS!$A$5:$A$1005&lt;=$A393)*MOVIMIENTOS!$E$5:$E$1005)-SUMPRODUCT((MOVIMIENTOS!$B$5:$B$1005="TRASIEGO")*(MOVIMIENTOS!$C$5:$C$1005="A")*(MOVIMIENTOS!$D$5:$D$1005="jabas")*(MOVIMIENTOS!$A$5:$A$1005&lt;&gt;"")*(MOVIMIENTOS!$A$5:$A$1005&lt;=$A393)*MOVIMIENTOS!$E$5:$E$1005)-SUMPRODUCT((MOVIMIENTOS!$B$5:$B$1005="REGALO")*(MOVIMIENTOS!$C$5:$C$1005="A")*(MOVIMIENTOS!$D$5:$D$1005="jabas")*(MOVIMIENTOS!$A$5:$A$1005&lt;&gt;"")*(MOVIMIENTOS!$A$5:$A$1005&lt;=$A393)*MOVIMIENTOS!$E$5:$E$1005)-SUMPRODUCT((MOVIMIENTOS!$B$5:$B$1005="VENTA")*(MOVIMIENTOS!$C$5:$C$1005="A")*(MOVIMIENTOS!$D$5:$D$1005="jabas")*(MOVIMIENTOS!$A$5:$A$1005&lt;&gt;"")*(MOVIMIENTOS!$A$5:$A$1005&lt;=$A393)*MOVIMIENTOS!$E$5:$E$1005)+SUMPRODUCT((MOVIMIENTOS!$B$5:$B$1005="AJUSTE")*(MOVIMIENTOS!$C$5:$C$1005="A")*(MOVIMIENTOS!$D$5:$D$1005="jabas")*(MOVIMIENTOS!$A$5:$A$1005&lt;&gt;"")*(MOVIMIENTOS!$A$5:$A$1005&lt;=$A393)*MOVIMIENTOS!$E$5:$E$1005))</f>
        <v/>
      </c>
      <c r="C393" s="63" t="str">
        <f>IF($A393="","",SUMPRODUCT((MOVIMIENTOS!$B$5:$B$1005="SALDO INICIAL")*(MOVIMIENTOS!$C$5:$C$1005="P")*(MOVIMIENTOS!$D$5:$D$1005="jabas")*(MOVIMIENTOS!$A$5:$A$1005&lt;&gt;"")*(MOVIMIENTOS!$A$5:$A$1005&lt;=$A393)*MOVIMIENTOS!$E$5:$E$1005)+SUMPRODUCT((MOVIMIENTOS!$B$5:$B$1005="PROCESO")*(MOVIMIENTOS!$C$5:$C$1005="P")*(MOVIMIENTOS!$D$5:$D$1005="jabas")*(MOVIMIENTOS!$A$5:$A$1005&lt;&gt;"")*(MOVIMIENTOS!$A$5:$A$1005&lt;=$A393)*MOVIMIENTOS!$E$5:$E$1005)-SUMPRODUCT((MOVIMIENTOS!$B$5:$B$1005="ENVÍO A SUPESA")*(MOVIMIENTOS!$C$5:$C$1005="P")*(MOVIMIENTOS!$D$5:$D$1005="jabas")*(MOVIMIENTOS!$A$5:$A$1005&lt;&gt;"")*(MOVIMIENTOS!$A$5:$A$1005&lt;=$A393)*MOVIMIENTOS!$E$5:$E$1005)+SUMPRODUCT((MOVIMIENTOS!$B$5:$B$1005="DEVOLUCIÓN")*(MOVIMIENTOS!$C$5:$C$1005="P")*(MOVIMIENTOS!$D$5:$D$1005="jabas")*(MOVIMIENTOS!$A$5:$A$1005&lt;&gt;"")*(MOVIMIENTOS!$A$5:$A$1005&lt;=$A393)*MOVIMIENTOS!$E$5:$E$1005)-SUMPRODUCT((MOVIMIENTOS!$B$5:$B$1005="TRASIEGO")*(MOVIMIENTOS!$C$5:$C$1005="P")*(MOVIMIENTOS!$D$5:$D$1005="jabas")*(MOVIMIENTOS!$A$5:$A$1005&lt;&gt;"")*(MOVIMIENTOS!$A$5:$A$1005&lt;=$A393)*MOVIMIENTOS!$E$5:$E$1005)-SUMPRODUCT((MOVIMIENTOS!$B$5:$B$1005="REGALO")*(MOVIMIENTOS!$C$5:$C$1005="P")*(MOVIMIENTOS!$D$5:$D$1005="jabas")*(MOVIMIENTOS!$A$5:$A$1005&lt;&gt;"")*(MOVIMIENTOS!$A$5:$A$1005&lt;=$A393)*MOVIMIENTOS!$E$5:$E$1005)-SUMPRODUCT((MOVIMIENTOS!$B$5:$B$1005="VENTA")*(MOVIMIENTOS!$C$5:$C$1005="P")*(MOVIMIENTOS!$D$5:$D$1005="jabas")*(MOVIMIENTOS!$A$5:$A$1005&lt;&gt;"")*(MOVIMIENTOS!$A$5:$A$1005&lt;=$A393)*MOVIMIENTOS!$E$5:$E$1005)+SUMPRODUCT((MOVIMIENTOS!$B$5:$B$1005="AJUSTE")*(MOVIMIENTOS!$C$5:$C$1005="P")*(MOVIMIENTOS!$D$5:$D$1005="jabas")*(MOVIMIENTOS!$A$5:$A$1005&lt;&gt;"")*(MOVIMIENTOS!$A$5:$A$1005&lt;=$A393)*MOVIMIENTOS!$E$5:$E$1005))</f>
        <v/>
      </c>
      <c r="D393" s="63" t="str">
        <f>IF($A393="","",SUMPRODUCT((MOVIMIENTOS!$B$5:$B$1005="SALDO INICIAL")*(MOVIMIENTOS!$C$5:$C$1005="C")*(MOVIMIENTOS!$D$5:$D$1005="jabas")*(MOVIMIENTOS!$A$5:$A$1005&lt;&gt;"")*(MOVIMIENTOS!$A$5:$A$1005&lt;=$A393)*MOVIMIENTOS!$E$5:$E$1005)+SUMPRODUCT((MOVIMIENTOS!$B$5:$B$1005="PROCESO")*(MOVIMIENTOS!$C$5:$C$1005="C")*(MOVIMIENTOS!$D$5:$D$1005="jabas")*(MOVIMIENTOS!$A$5:$A$1005&lt;&gt;"")*(MOVIMIENTOS!$A$5:$A$1005&lt;=$A393)*MOVIMIENTOS!$E$5:$E$1005)-SUMPRODUCT((MOVIMIENTOS!$B$5:$B$1005="ENVÍO A SUPESA")*(MOVIMIENTOS!$C$5:$C$1005="C")*(MOVIMIENTOS!$D$5:$D$1005="jabas")*(MOVIMIENTOS!$A$5:$A$1005&lt;&gt;"")*(MOVIMIENTOS!$A$5:$A$1005&lt;=$A393)*MOVIMIENTOS!$E$5:$E$1005)+SUMPRODUCT((MOVIMIENTOS!$B$5:$B$1005="DEVOLUCIÓN")*(MOVIMIENTOS!$C$5:$C$1005="C")*(MOVIMIENTOS!$D$5:$D$1005="jabas")*(MOVIMIENTOS!$A$5:$A$1005&lt;&gt;"")*(MOVIMIENTOS!$A$5:$A$1005&lt;=$A393)*MOVIMIENTOS!$E$5:$E$1005)-SUMPRODUCT((MOVIMIENTOS!$B$5:$B$1005="TRASIEGO")*(MOVIMIENTOS!$C$5:$C$1005="C")*(MOVIMIENTOS!$D$5:$D$1005="jabas")*(MOVIMIENTOS!$A$5:$A$1005&lt;&gt;"")*(MOVIMIENTOS!$A$5:$A$1005&lt;=$A393)*MOVIMIENTOS!$E$5:$E$1005)-SUMPRODUCT((MOVIMIENTOS!$B$5:$B$1005="REGALO")*(MOVIMIENTOS!$C$5:$C$1005="C")*(MOVIMIENTOS!$D$5:$D$1005="jabas")*(MOVIMIENTOS!$A$5:$A$1005&lt;&gt;"")*(MOVIMIENTOS!$A$5:$A$1005&lt;=$A393)*MOVIMIENTOS!$E$5:$E$1005)-SUMPRODUCT((MOVIMIENTOS!$B$5:$B$1005="VENTA")*(MOVIMIENTOS!$C$5:$C$1005="C")*(MOVIMIENTOS!$D$5:$D$1005="jabas")*(MOVIMIENTOS!$A$5:$A$1005&lt;&gt;"")*(MOVIMIENTOS!$A$5:$A$1005&lt;=$A393)*MOVIMIENTOS!$E$5:$E$1005)+SUMPRODUCT((MOVIMIENTOS!$B$5:$B$1005="AJUSTE")*(MOVIMIENTOS!$C$5:$C$1005="C")*(MOVIMIENTOS!$D$5:$D$1005="jabas")*(MOVIMIENTOS!$A$5:$A$1005&lt;&gt;"")*(MOVIMIENTOS!$A$5:$A$1005&lt;=$A393)*MOVIMIENTOS!$E$5:$E$1005))</f>
        <v/>
      </c>
      <c r="E393" s="63" t="str">
        <f>IF($A393="","",SUMPRODUCT((MOVIMIENTOS!$B$5:$B$1005="SALDO INICIAL")*(MOVIMIENTOS!$C$5:$C$1005="M")*(MOVIMIENTOS!$D$5:$D$1005="jabas")*(MOVIMIENTOS!$A$5:$A$1005&lt;&gt;"")*(MOVIMIENTOS!$A$5:$A$1005&lt;=$A393)*MOVIMIENTOS!$E$5:$E$1005)+SUMPRODUCT((MOVIMIENTOS!$B$5:$B$1005="PROCESO")*(MOVIMIENTOS!$C$5:$C$1005="M")*(MOVIMIENTOS!$D$5:$D$1005="jabas")*(MOVIMIENTOS!$A$5:$A$1005&lt;&gt;"")*(MOVIMIENTOS!$A$5:$A$1005&lt;=$A393)*MOVIMIENTOS!$E$5:$E$1005)-SUMPRODUCT((MOVIMIENTOS!$B$5:$B$1005="ENVÍO A SUPESA")*(MOVIMIENTOS!$C$5:$C$1005="M")*(MOVIMIENTOS!$D$5:$D$1005="jabas")*(MOVIMIENTOS!$A$5:$A$1005&lt;&gt;"")*(MOVIMIENTOS!$A$5:$A$1005&lt;=$A393)*MOVIMIENTOS!$E$5:$E$1005)+SUMPRODUCT((MOVIMIENTOS!$B$5:$B$1005="DEVOLUCIÓN")*(MOVIMIENTOS!$C$5:$C$1005="M")*(MOVIMIENTOS!$D$5:$D$1005="jabas")*(MOVIMIENTOS!$A$5:$A$1005&lt;&gt;"")*(MOVIMIENTOS!$A$5:$A$1005&lt;=$A393)*MOVIMIENTOS!$E$5:$E$1005)-SUMPRODUCT((MOVIMIENTOS!$B$5:$B$1005="TRASIEGO")*(MOVIMIENTOS!$C$5:$C$1005="M")*(MOVIMIENTOS!$D$5:$D$1005="jabas")*(MOVIMIENTOS!$A$5:$A$1005&lt;&gt;"")*(MOVIMIENTOS!$A$5:$A$1005&lt;=$A393)*MOVIMIENTOS!$E$5:$E$1005)-SUMPRODUCT((MOVIMIENTOS!$B$5:$B$1005="REGALO")*(MOVIMIENTOS!$C$5:$C$1005="M")*(MOVIMIENTOS!$D$5:$D$1005="jabas")*(MOVIMIENTOS!$A$5:$A$1005&lt;&gt;"")*(MOVIMIENTOS!$A$5:$A$1005&lt;=$A393)*MOVIMIENTOS!$E$5:$E$1005)-SUMPRODUCT((MOVIMIENTOS!$B$5:$B$1005="VENTA")*(MOVIMIENTOS!$C$5:$C$1005="M")*(MOVIMIENTOS!$D$5:$D$1005="jabas")*(MOVIMIENTOS!$A$5:$A$1005&lt;&gt;"")*(MOVIMIENTOS!$A$5:$A$1005&lt;=$A393)*MOVIMIENTOS!$E$5:$E$1005)+SUMPRODUCT((MOVIMIENTOS!$B$5:$B$1005="AJUSTE")*(MOVIMIENTOS!$C$5:$C$1005="M")*(MOVIMIENTOS!$D$5:$D$1005="jabas")*(MOVIMIENTOS!$A$5:$A$1005&lt;&gt;"")*(MOVIMIENTOS!$A$5:$A$1005&lt;=$A393)*MOVIMIENTOS!$E$5:$E$1005))</f>
        <v/>
      </c>
      <c r="F393" s="63" t="str">
        <f>IF($A393="","",SUMPRODUCT((MOVIMIENTOS!$B$5:$B$1005="SALDO INICIAL")*(MOVIMIENTOS!$C$5:$C$1005="Chancho")*(MOVIMIENTOS!$D$5:$D$1005="sacos")*(MOVIMIENTOS!$A$5:$A$1005&lt;&gt;"")*(MOVIMIENTOS!$A$5:$A$1005&lt;=$A393)*MOVIMIENTOS!$E$5:$E$1005)+SUMPRODUCT((MOVIMIENTOS!$B$5:$B$1005="PROCESO")*(MOVIMIENTOS!$C$5:$C$1005="Chancho")*(MOVIMIENTOS!$D$5:$D$1005="sacos")*(MOVIMIENTOS!$A$5:$A$1005&lt;&gt;"")*(MOVIMIENTOS!$A$5:$A$1005&lt;=$A393)*MOVIMIENTOS!$E$5:$E$1005)-SUMPRODUCT((MOVIMIENTOS!$B$5:$B$1005="VENTA CHANCHO")*(MOVIMIENTOS!$C$5:$C$1005="Chancho")*(MOVIMIENTOS!$D$5:$D$1005="sacos")*(MOVIMIENTOS!$A$5:$A$1005&lt;&gt;"")*(MOVIMIENTOS!$A$5:$A$1005&lt;=$A393)*MOVIMIENTOS!$E$5:$E$1005)-SUMPRODUCT((MOVIMIENTOS!$B$5:$B$1005="REGALO")*(MOVIMIENTOS!$C$5:$C$1005="Chancho")*(MOVIMIENTOS!$D$5:$D$1005="sacos")*(MOVIMIENTOS!$A$5:$A$1005&lt;&gt;"")*(MOVIMIENTOS!$A$5:$A$1005&lt;=$A393)*MOVIMIENTOS!$E$5:$E$1005)-SUMPRODUCT((MOVIMIENTOS!$B$5:$B$1005="VENTA")*(MOVIMIENTOS!$C$5:$C$1005="Chancho")*(MOVIMIENTOS!$D$5:$D$1005="sacos")*(MOVIMIENTOS!$A$5:$A$1005&lt;&gt;"")*(MOVIMIENTOS!$A$5:$A$1005&lt;=$A393)*MOVIMIENTOS!$E$5:$E$1005)+SUMPRODUCT((MOVIMIENTOS!$B$5:$B$1005="AJUSTE")*(MOVIMIENTOS!$C$5:$C$1005="Chancho")*(MOVIMIENTOS!$D$5:$D$1005="sacos")*(MOVIMIENTOS!$A$5:$A$1005&lt;&gt;"")*(MOVIMIENTOS!$A$5:$A$1005&lt;=$A393)*MOVIMIENTOS!$E$5:$E$1005))</f>
        <v/>
      </c>
      <c r="G393" s="95" t="str">
        <f t="shared" si="13"/>
        <v/>
      </c>
      <c r="H393" s="63" t="str">
        <f>IF($A393="","",SUMPRODUCT((((MOVIMIENTOS!$B$5:$B$1005="SALDO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393)*MOVIMIENTOS!$J$5:$J$1005))</f>
        <v/>
      </c>
      <c r="I393" s="63"/>
      <c r="J393" s="63" t="str">
        <f>IF(AND(MOVIMIENTOS!$A396&lt;&gt;"",COUNTIF(MOVIMIENTOS!$A$5:$A395,MOVIMIENTOS!$A396)=0),COUNT(J$4:J392)+1,"")</f>
        <v/>
      </c>
      <c r="K393" s="66">
        <f>MOVIMIENTOS!$A396</f>
        <v>46248</v>
      </c>
      <c r="L393" s="63"/>
      <c r="M393" s="63"/>
      <c r="N393" s="63"/>
    </row>
    <row r="394" spans="1:14" ht="15" customHeight="1" x14ac:dyDescent="0.2">
      <c r="A394" s="63" t="str">
        <f t="shared" si="12"/>
        <v/>
      </c>
      <c r="B394" s="63" t="str">
        <f>IF($A394="","",SUMPRODUCT((MOVIMIENTOS!$B$5:$B$1005="SALDO INICIAL")*(MOVIMIENTOS!$C$5:$C$1005="A")*(MOVIMIENTOS!$D$5:$D$1005="jabas")*(MOVIMIENTOS!$A$5:$A$1005&lt;&gt;"")*(MOVIMIENTOS!$A$5:$A$1005&lt;=$A394)*MOVIMIENTOS!$E$5:$E$1005)+SUMPRODUCT((MOVIMIENTOS!$B$5:$B$1005="PROCESO")*(MOVIMIENTOS!$C$5:$C$1005="A")*(MOVIMIENTOS!$D$5:$D$1005="jabas")*(MOVIMIENTOS!$A$5:$A$1005&lt;&gt;"")*(MOVIMIENTOS!$A$5:$A$1005&lt;=$A394)*MOVIMIENTOS!$E$5:$E$1005)-SUMPRODUCT((MOVIMIENTOS!$B$5:$B$1005="ENVÍO A SUPESA")*(MOVIMIENTOS!$C$5:$C$1005="A")*(MOVIMIENTOS!$D$5:$D$1005="jabas")*(MOVIMIENTOS!$A$5:$A$1005&lt;&gt;"")*(MOVIMIENTOS!$A$5:$A$1005&lt;=$A394)*MOVIMIENTOS!$E$5:$E$1005)+SUMPRODUCT((MOVIMIENTOS!$B$5:$B$1005="DEVOLUCIÓN")*(MOVIMIENTOS!$C$5:$C$1005="A")*(MOVIMIENTOS!$D$5:$D$1005="jabas")*(MOVIMIENTOS!$A$5:$A$1005&lt;&gt;"")*(MOVIMIENTOS!$A$5:$A$1005&lt;=$A394)*MOVIMIENTOS!$E$5:$E$1005)-SUMPRODUCT((MOVIMIENTOS!$B$5:$B$1005="TRASIEGO")*(MOVIMIENTOS!$C$5:$C$1005="A")*(MOVIMIENTOS!$D$5:$D$1005="jabas")*(MOVIMIENTOS!$A$5:$A$1005&lt;&gt;"")*(MOVIMIENTOS!$A$5:$A$1005&lt;=$A394)*MOVIMIENTOS!$E$5:$E$1005)-SUMPRODUCT((MOVIMIENTOS!$B$5:$B$1005="REGALO")*(MOVIMIENTOS!$C$5:$C$1005="A")*(MOVIMIENTOS!$D$5:$D$1005="jabas")*(MOVIMIENTOS!$A$5:$A$1005&lt;&gt;"")*(MOVIMIENTOS!$A$5:$A$1005&lt;=$A394)*MOVIMIENTOS!$E$5:$E$1005)-SUMPRODUCT((MOVIMIENTOS!$B$5:$B$1005="VENTA")*(MOVIMIENTOS!$C$5:$C$1005="A")*(MOVIMIENTOS!$D$5:$D$1005="jabas")*(MOVIMIENTOS!$A$5:$A$1005&lt;&gt;"")*(MOVIMIENTOS!$A$5:$A$1005&lt;=$A394)*MOVIMIENTOS!$E$5:$E$1005)+SUMPRODUCT((MOVIMIENTOS!$B$5:$B$1005="AJUSTE")*(MOVIMIENTOS!$C$5:$C$1005="A")*(MOVIMIENTOS!$D$5:$D$1005="jabas")*(MOVIMIENTOS!$A$5:$A$1005&lt;&gt;"")*(MOVIMIENTOS!$A$5:$A$1005&lt;=$A394)*MOVIMIENTOS!$E$5:$E$1005))</f>
        <v/>
      </c>
      <c r="C394" s="63" t="str">
        <f>IF($A394="","",SUMPRODUCT((MOVIMIENTOS!$B$5:$B$1005="SALDO INICIAL")*(MOVIMIENTOS!$C$5:$C$1005="P")*(MOVIMIENTOS!$D$5:$D$1005="jabas")*(MOVIMIENTOS!$A$5:$A$1005&lt;&gt;"")*(MOVIMIENTOS!$A$5:$A$1005&lt;=$A394)*MOVIMIENTOS!$E$5:$E$1005)+SUMPRODUCT((MOVIMIENTOS!$B$5:$B$1005="PROCESO")*(MOVIMIENTOS!$C$5:$C$1005="P")*(MOVIMIENTOS!$D$5:$D$1005="jabas")*(MOVIMIENTOS!$A$5:$A$1005&lt;&gt;"")*(MOVIMIENTOS!$A$5:$A$1005&lt;=$A394)*MOVIMIENTOS!$E$5:$E$1005)-SUMPRODUCT((MOVIMIENTOS!$B$5:$B$1005="ENVÍO A SUPESA")*(MOVIMIENTOS!$C$5:$C$1005="P")*(MOVIMIENTOS!$D$5:$D$1005="jabas")*(MOVIMIENTOS!$A$5:$A$1005&lt;&gt;"")*(MOVIMIENTOS!$A$5:$A$1005&lt;=$A394)*MOVIMIENTOS!$E$5:$E$1005)+SUMPRODUCT((MOVIMIENTOS!$B$5:$B$1005="DEVOLUCIÓN")*(MOVIMIENTOS!$C$5:$C$1005="P")*(MOVIMIENTOS!$D$5:$D$1005="jabas")*(MOVIMIENTOS!$A$5:$A$1005&lt;&gt;"")*(MOVIMIENTOS!$A$5:$A$1005&lt;=$A394)*MOVIMIENTOS!$E$5:$E$1005)-SUMPRODUCT((MOVIMIENTOS!$B$5:$B$1005="TRASIEGO")*(MOVIMIENTOS!$C$5:$C$1005="P")*(MOVIMIENTOS!$D$5:$D$1005="jabas")*(MOVIMIENTOS!$A$5:$A$1005&lt;&gt;"")*(MOVIMIENTOS!$A$5:$A$1005&lt;=$A394)*MOVIMIENTOS!$E$5:$E$1005)-SUMPRODUCT((MOVIMIENTOS!$B$5:$B$1005="REGALO")*(MOVIMIENTOS!$C$5:$C$1005="P")*(MOVIMIENTOS!$D$5:$D$1005="jabas")*(MOVIMIENTOS!$A$5:$A$1005&lt;&gt;"")*(MOVIMIENTOS!$A$5:$A$1005&lt;=$A394)*MOVIMIENTOS!$E$5:$E$1005)-SUMPRODUCT((MOVIMIENTOS!$B$5:$B$1005="VENTA")*(MOVIMIENTOS!$C$5:$C$1005="P")*(MOVIMIENTOS!$D$5:$D$1005="jabas")*(MOVIMIENTOS!$A$5:$A$1005&lt;&gt;"")*(MOVIMIENTOS!$A$5:$A$1005&lt;=$A394)*MOVIMIENTOS!$E$5:$E$1005)+SUMPRODUCT((MOVIMIENTOS!$B$5:$B$1005="AJUSTE")*(MOVIMIENTOS!$C$5:$C$1005="P")*(MOVIMIENTOS!$D$5:$D$1005="jabas")*(MOVIMIENTOS!$A$5:$A$1005&lt;&gt;"")*(MOVIMIENTOS!$A$5:$A$1005&lt;=$A394)*MOVIMIENTOS!$E$5:$E$1005))</f>
        <v/>
      </c>
      <c r="D394" s="63" t="str">
        <f>IF($A394="","",SUMPRODUCT((MOVIMIENTOS!$B$5:$B$1005="SALDO INICIAL")*(MOVIMIENTOS!$C$5:$C$1005="C")*(MOVIMIENTOS!$D$5:$D$1005="jabas")*(MOVIMIENTOS!$A$5:$A$1005&lt;&gt;"")*(MOVIMIENTOS!$A$5:$A$1005&lt;=$A394)*MOVIMIENTOS!$E$5:$E$1005)+SUMPRODUCT((MOVIMIENTOS!$B$5:$B$1005="PROCESO")*(MOVIMIENTOS!$C$5:$C$1005="C")*(MOVIMIENTOS!$D$5:$D$1005="jabas")*(MOVIMIENTOS!$A$5:$A$1005&lt;&gt;"")*(MOVIMIENTOS!$A$5:$A$1005&lt;=$A394)*MOVIMIENTOS!$E$5:$E$1005)-SUMPRODUCT((MOVIMIENTOS!$B$5:$B$1005="ENVÍO A SUPESA")*(MOVIMIENTOS!$C$5:$C$1005="C")*(MOVIMIENTOS!$D$5:$D$1005="jabas")*(MOVIMIENTOS!$A$5:$A$1005&lt;&gt;"")*(MOVIMIENTOS!$A$5:$A$1005&lt;=$A394)*MOVIMIENTOS!$E$5:$E$1005)+SUMPRODUCT((MOVIMIENTOS!$B$5:$B$1005="DEVOLUCIÓN")*(MOVIMIENTOS!$C$5:$C$1005="C")*(MOVIMIENTOS!$D$5:$D$1005="jabas")*(MOVIMIENTOS!$A$5:$A$1005&lt;&gt;"")*(MOVIMIENTOS!$A$5:$A$1005&lt;=$A394)*MOVIMIENTOS!$E$5:$E$1005)-SUMPRODUCT((MOVIMIENTOS!$B$5:$B$1005="TRASIEGO")*(MOVIMIENTOS!$C$5:$C$1005="C")*(MOVIMIENTOS!$D$5:$D$1005="jabas")*(MOVIMIENTOS!$A$5:$A$1005&lt;&gt;"")*(MOVIMIENTOS!$A$5:$A$1005&lt;=$A394)*MOVIMIENTOS!$E$5:$E$1005)-SUMPRODUCT((MOVIMIENTOS!$B$5:$B$1005="REGALO")*(MOVIMIENTOS!$C$5:$C$1005="C")*(MOVIMIENTOS!$D$5:$D$1005="jabas")*(MOVIMIENTOS!$A$5:$A$1005&lt;&gt;"")*(MOVIMIENTOS!$A$5:$A$1005&lt;=$A394)*MOVIMIENTOS!$E$5:$E$1005)-SUMPRODUCT((MOVIMIENTOS!$B$5:$B$1005="VENTA")*(MOVIMIENTOS!$C$5:$C$1005="C")*(MOVIMIENTOS!$D$5:$D$1005="jabas")*(MOVIMIENTOS!$A$5:$A$1005&lt;&gt;"")*(MOVIMIENTOS!$A$5:$A$1005&lt;=$A394)*MOVIMIENTOS!$E$5:$E$1005)+SUMPRODUCT((MOVIMIENTOS!$B$5:$B$1005="AJUSTE")*(MOVIMIENTOS!$C$5:$C$1005="C")*(MOVIMIENTOS!$D$5:$D$1005="jabas")*(MOVIMIENTOS!$A$5:$A$1005&lt;&gt;"")*(MOVIMIENTOS!$A$5:$A$1005&lt;=$A394)*MOVIMIENTOS!$E$5:$E$1005))</f>
        <v/>
      </c>
      <c r="E394" s="63" t="str">
        <f>IF($A394="","",SUMPRODUCT((MOVIMIENTOS!$B$5:$B$1005="SALDO INICIAL")*(MOVIMIENTOS!$C$5:$C$1005="M")*(MOVIMIENTOS!$D$5:$D$1005="jabas")*(MOVIMIENTOS!$A$5:$A$1005&lt;&gt;"")*(MOVIMIENTOS!$A$5:$A$1005&lt;=$A394)*MOVIMIENTOS!$E$5:$E$1005)+SUMPRODUCT((MOVIMIENTOS!$B$5:$B$1005="PROCESO")*(MOVIMIENTOS!$C$5:$C$1005="M")*(MOVIMIENTOS!$D$5:$D$1005="jabas")*(MOVIMIENTOS!$A$5:$A$1005&lt;&gt;"")*(MOVIMIENTOS!$A$5:$A$1005&lt;=$A394)*MOVIMIENTOS!$E$5:$E$1005)-SUMPRODUCT((MOVIMIENTOS!$B$5:$B$1005="ENVÍO A SUPESA")*(MOVIMIENTOS!$C$5:$C$1005="M")*(MOVIMIENTOS!$D$5:$D$1005="jabas")*(MOVIMIENTOS!$A$5:$A$1005&lt;&gt;"")*(MOVIMIENTOS!$A$5:$A$1005&lt;=$A394)*MOVIMIENTOS!$E$5:$E$1005)+SUMPRODUCT((MOVIMIENTOS!$B$5:$B$1005="DEVOLUCIÓN")*(MOVIMIENTOS!$C$5:$C$1005="M")*(MOVIMIENTOS!$D$5:$D$1005="jabas")*(MOVIMIENTOS!$A$5:$A$1005&lt;&gt;"")*(MOVIMIENTOS!$A$5:$A$1005&lt;=$A394)*MOVIMIENTOS!$E$5:$E$1005)-SUMPRODUCT((MOVIMIENTOS!$B$5:$B$1005="TRASIEGO")*(MOVIMIENTOS!$C$5:$C$1005="M")*(MOVIMIENTOS!$D$5:$D$1005="jabas")*(MOVIMIENTOS!$A$5:$A$1005&lt;&gt;"")*(MOVIMIENTOS!$A$5:$A$1005&lt;=$A394)*MOVIMIENTOS!$E$5:$E$1005)-SUMPRODUCT((MOVIMIENTOS!$B$5:$B$1005="REGALO")*(MOVIMIENTOS!$C$5:$C$1005="M")*(MOVIMIENTOS!$D$5:$D$1005="jabas")*(MOVIMIENTOS!$A$5:$A$1005&lt;&gt;"")*(MOVIMIENTOS!$A$5:$A$1005&lt;=$A394)*MOVIMIENTOS!$E$5:$E$1005)-SUMPRODUCT((MOVIMIENTOS!$B$5:$B$1005="VENTA")*(MOVIMIENTOS!$C$5:$C$1005="M")*(MOVIMIENTOS!$D$5:$D$1005="jabas")*(MOVIMIENTOS!$A$5:$A$1005&lt;&gt;"")*(MOVIMIENTOS!$A$5:$A$1005&lt;=$A394)*MOVIMIENTOS!$E$5:$E$1005)+SUMPRODUCT((MOVIMIENTOS!$B$5:$B$1005="AJUSTE")*(MOVIMIENTOS!$C$5:$C$1005="M")*(MOVIMIENTOS!$D$5:$D$1005="jabas")*(MOVIMIENTOS!$A$5:$A$1005&lt;&gt;"")*(MOVIMIENTOS!$A$5:$A$1005&lt;=$A394)*MOVIMIENTOS!$E$5:$E$1005))</f>
        <v/>
      </c>
      <c r="F394" s="63" t="str">
        <f>IF($A394="","",SUMPRODUCT((MOVIMIENTOS!$B$5:$B$1005="SALDO INICIAL")*(MOVIMIENTOS!$C$5:$C$1005="Chancho")*(MOVIMIENTOS!$D$5:$D$1005="sacos")*(MOVIMIENTOS!$A$5:$A$1005&lt;&gt;"")*(MOVIMIENTOS!$A$5:$A$1005&lt;=$A394)*MOVIMIENTOS!$E$5:$E$1005)+SUMPRODUCT((MOVIMIENTOS!$B$5:$B$1005="PROCESO")*(MOVIMIENTOS!$C$5:$C$1005="Chancho")*(MOVIMIENTOS!$D$5:$D$1005="sacos")*(MOVIMIENTOS!$A$5:$A$1005&lt;&gt;"")*(MOVIMIENTOS!$A$5:$A$1005&lt;=$A394)*MOVIMIENTOS!$E$5:$E$1005)-SUMPRODUCT((MOVIMIENTOS!$B$5:$B$1005="VENTA CHANCHO")*(MOVIMIENTOS!$C$5:$C$1005="Chancho")*(MOVIMIENTOS!$D$5:$D$1005="sacos")*(MOVIMIENTOS!$A$5:$A$1005&lt;&gt;"")*(MOVIMIENTOS!$A$5:$A$1005&lt;=$A394)*MOVIMIENTOS!$E$5:$E$1005)-SUMPRODUCT((MOVIMIENTOS!$B$5:$B$1005="REGALO")*(MOVIMIENTOS!$C$5:$C$1005="Chancho")*(MOVIMIENTOS!$D$5:$D$1005="sacos")*(MOVIMIENTOS!$A$5:$A$1005&lt;&gt;"")*(MOVIMIENTOS!$A$5:$A$1005&lt;=$A394)*MOVIMIENTOS!$E$5:$E$1005)-SUMPRODUCT((MOVIMIENTOS!$B$5:$B$1005="VENTA")*(MOVIMIENTOS!$C$5:$C$1005="Chancho")*(MOVIMIENTOS!$D$5:$D$1005="sacos")*(MOVIMIENTOS!$A$5:$A$1005&lt;&gt;"")*(MOVIMIENTOS!$A$5:$A$1005&lt;=$A394)*MOVIMIENTOS!$E$5:$E$1005)+SUMPRODUCT((MOVIMIENTOS!$B$5:$B$1005="AJUSTE")*(MOVIMIENTOS!$C$5:$C$1005="Chancho")*(MOVIMIENTOS!$D$5:$D$1005="sacos")*(MOVIMIENTOS!$A$5:$A$1005&lt;&gt;"")*(MOVIMIENTOS!$A$5:$A$1005&lt;=$A394)*MOVIMIENTOS!$E$5:$E$1005))</f>
        <v/>
      </c>
      <c r="G394" s="95" t="str">
        <f t="shared" si="13"/>
        <v/>
      </c>
      <c r="H394" s="63" t="str">
        <f>IF($A394="","",SUMPRODUCT((((MOVIMIENTOS!$B$5:$B$1005="SALDO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394)*MOVIMIENTOS!$J$5:$J$1005))</f>
        <v/>
      </c>
      <c r="I394" s="63"/>
      <c r="J394" s="63" t="str">
        <f>IF(AND(MOVIMIENTOS!$A397&lt;&gt;"",COUNTIF(MOVIMIENTOS!$A$5:$A396,MOVIMIENTOS!$A397)=0),COUNT(J$4:J393)+1,"")</f>
        <v/>
      </c>
      <c r="K394" s="66">
        <f>MOVIMIENTOS!$A397</f>
        <v>46248</v>
      </c>
      <c r="L394" s="63"/>
      <c r="M394" s="63"/>
      <c r="N394" s="63"/>
    </row>
    <row r="395" spans="1:14" ht="15" customHeight="1" x14ac:dyDescent="0.2">
      <c r="A395" s="63" t="str">
        <f t="shared" si="12"/>
        <v/>
      </c>
      <c r="B395" s="63" t="str">
        <f>IF($A395="","",SUMPRODUCT((MOVIMIENTOS!$B$5:$B$1005="SALDO INICIAL")*(MOVIMIENTOS!$C$5:$C$1005="A")*(MOVIMIENTOS!$D$5:$D$1005="jabas")*(MOVIMIENTOS!$A$5:$A$1005&lt;&gt;"")*(MOVIMIENTOS!$A$5:$A$1005&lt;=$A395)*MOVIMIENTOS!$E$5:$E$1005)+SUMPRODUCT((MOVIMIENTOS!$B$5:$B$1005="PROCESO")*(MOVIMIENTOS!$C$5:$C$1005="A")*(MOVIMIENTOS!$D$5:$D$1005="jabas")*(MOVIMIENTOS!$A$5:$A$1005&lt;&gt;"")*(MOVIMIENTOS!$A$5:$A$1005&lt;=$A395)*MOVIMIENTOS!$E$5:$E$1005)-SUMPRODUCT((MOVIMIENTOS!$B$5:$B$1005="ENVÍO A SUPESA")*(MOVIMIENTOS!$C$5:$C$1005="A")*(MOVIMIENTOS!$D$5:$D$1005="jabas")*(MOVIMIENTOS!$A$5:$A$1005&lt;&gt;"")*(MOVIMIENTOS!$A$5:$A$1005&lt;=$A395)*MOVIMIENTOS!$E$5:$E$1005)+SUMPRODUCT((MOVIMIENTOS!$B$5:$B$1005="DEVOLUCIÓN")*(MOVIMIENTOS!$C$5:$C$1005="A")*(MOVIMIENTOS!$D$5:$D$1005="jabas")*(MOVIMIENTOS!$A$5:$A$1005&lt;&gt;"")*(MOVIMIENTOS!$A$5:$A$1005&lt;=$A395)*MOVIMIENTOS!$E$5:$E$1005)-SUMPRODUCT((MOVIMIENTOS!$B$5:$B$1005="TRASIEGO")*(MOVIMIENTOS!$C$5:$C$1005="A")*(MOVIMIENTOS!$D$5:$D$1005="jabas")*(MOVIMIENTOS!$A$5:$A$1005&lt;&gt;"")*(MOVIMIENTOS!$A$5:$A$1005&lt;=$A395)*MOVIMIENTOS!$E$5:$E$1005)-SUMPRODUCT((MOVIMIENTOS!$B$5:$B$1005="REGALO")*(MOVIMIENTOS!$C$5:$C$1005="A")*(MOVIMIENTOS!$D$5:$D$1005="jabas")*(MOVIMIENTOS!$A$5:$A$1005&lt;&gt;"")*(MOVIMIENTOS!$A$5:$A$1005&lt;=$A395)*MOVIMIENTOS!$E$5:$E$1005)-SUMPRODUCT((MOVIMIENTOS!$B$5:$B$1005="VENTA")*(MOVIMIENTOS!$C$5:$C$1005="A")*(MOVIMIENTOS!$D$5:$D$1005="jabas")*(MOVIMIENTOS!$A$5:$A$1005&lt;&gt;"")*(MOVIMIENTOS!$A$5:$A$1005&lt;=$A395)*MOVIMIENTOS!$E$5:$E$1005)+SUMPRODUCT((MOVIMIENTOS!$B$5:$B$1005="AJUSTE")*(MOVIMIENTOS!$C$5:$C$1005="A")*(MOVIMIENTOS!$D$5:$D$1005="jabas")*(MOVIMIENTOS!$A$5:$A$1005&lt;&gt;"")*(MOVIMIENTOS!$A$5:$A$1005&lt;=$A395)*MOVIMIENTOS!$E$5:$E$1005))</f>
        <v/>
      </c>
      <c r="C395" s="63" t="str">
        <f>IF($A395="","",SUMPRODUCT((MOVIMIENTOS!$B$5:$B$1005="SALDO INICIAL")*(MOVIMIENTOS!$C$5:$C$1005="P")*(MOVIMIENTOS!$D$5:$D$1005="jabas")*(MOVIMIENTOS!$A$5:$A$1005&lt;&gt;"")*(MOVIMIENTOS!$A$5:$A$1005&lt;=$A395)*MOVIMIENTOS!$E$5:$E$1005)+SUMPRODUCT((MOVIMIENTOS!$B$5:$B$1005="PROCESO")*(MOVIMIENTOS!$C$5:$C$1005="P")*(MOVIMIENTOS!$D$5:$D$1005="jabas")*(MOVIMIENTOS!$A$5:$A$1005&lt;&gt;"")*(MOVIMIENTOS!$A$5:$A$1005&lt;=$A395)*MOVIMIENTOS!$E$5:$E$1005)-SUMPRODUCT((MOVIMIENTOS!$B$5:$B$1005="ENVÍO A SUPESA")*(MOVIMIENTOS!$C$5:$C$1005="P")*(MOVIMIENTOS!$D$5:$D$1005="jabas")*(MOVIMIENTOS!$A$5:$A$1005&lt;&gt;"")*(MOVIMIENTOS!$A$5:$A$1005&lt;=$A395)*MOVIMIENTOS!$E$5:$E$1005)+SUMPRODUCT((MOVIMIENTOS!$B$5:$B$1005="DEVOLUCIÓN")*(MOVIMIENTOS!$C$5:$C$1005="P")*(MOVIMIENTOS!$D$5:$D$1005="jabas")*(MOVIMIENTOS!$A$5:$A$1005&lt;&gt;"")*(MOVIMIENTOS!$A$5:$A$1005&lt;=$A395)*MOVIMIENTOS!$E$5:$E$1005)-SUMPRODUCT((MOVIMIENTOS!$B$5:$B$1005="TRASIEGO")*(MOVIMIENTOS!$C$5:$C$1005="P")*(MOVIMIENTOS!$D$5:$D$1005="jabas")*(MOVIMIENTOS!$A$5:$A$1005&lt;&gt;"")*(MOVIMIENTOS!$A$5:$A$1005&lt;=$A395)*MOVIMIENTOS!$E$5:$E$1005)-SUMPRODUCT((MOVIMIENTOS!$B$5:$B$1005="REGALO")*(MOVIMIENTOS!$C$5:$C$1005="P")*(MOVIMIENTOS!$D$5:$D$1005="jabas")*(MOVIMIENTOS!$A$5:$A$1005&lt;&gt;"")*(MOVIMIENTOS!$A$5:$A$1005&lt;=$A395)*MOVIMIENTOS!$E$5:$E$1005)-SUMPRODUCT((MOVIMIENTOS!$B$5:$B$1005="VENTA")*(MOVIMIENTOS!$C$5:$C$1005="P")*(MOVIMIENTOS!$D$5:$D$1005="jabas")*(MOVIMIENTOS!$A$5:$A$1005&lt;&gt;"")*(MOVIMIENTOS!$A$5:$A$1005&lt;=$A395)*MOVIMIENTOS!$E$5:$E$1005)+SUMPRODUCT((MOVIMIENTOS!$B$5:$B$1005="AJUSTE")*(MOVIMIENTOS!$C$5:$C$1005="P")*(MOVIMIENTOS!$D$5:$D$1005="jabas")*(MOVIMIENTOS!$A$5:$A$1005&lt;&gt;"")*(MOVIMIENTOS!$A$5:$A$1005&lt;=$A395)*MOVIMIENTOS!$E$5:$E$1005))</f>
        <v/>
      </c>
      <c r="D395" s="63" t="str">
        <f>IF($A395="","",SUMPRODUCT((MOVIMIENTOS!$B$5:$B$1005="SALDO INICIAL")*(MOVIMIENTOS!$C$5:$C$1005="C")*(MOVIMIENTOS!$D$5:$D$1005="jabas")*(MOVIMIENTOS!$A$5:$A$1005&lt;&gt;"")*(MOVIMIENTOS!$A$5:$A$1005&lt;=$A395)*MOVIMIENTOS!$E$5:$E$1005)+SUMPRODUCT((MOVIMIENTOS!$B$5:$B$1005="PROCESO")*(MOVIMIENTOS!$C$5:$C$1005="C")*(MOVIMIENTOS!$D$5:$D$1005="jabas")*(MOVIMIENTOS!$A$5:$A$1005&lt;&gt;"")*(MOVIMIENTOS!$A$5:$A$1005&lt;=$A395)*MOVIMIENTOS!$E$5:$E$1005)-SUMPRODUCT((MOVIMIENTOS!$B$5:$B$1005="ENVÍO A SUPESA")*(MOVIMIENTOS!$C$5:$C$1005="C")*(MOVIMIENTOS!$D$5:$D$1005="jabas")*(MOVIMIENTOS!$A$5:$A$1005&lt;&gt;"")*(MOVIMIENTOS!$A$5:$A$1005&lt;=$A395)*MOVIMIENTOS!$E$5:$E$1005)+SUMPRODUCT((MOVIMIENTOS!$B$5:$B$1005="DEVOLUCIÓN")*(MOVIMIENTOS!$C$5:$C$1005="C")*(MOVIMIENTOS!$D$5:$D$1005="jabas")*(MOVIMIENTOS!$A$5:$A$1005&lt;&gt;"")*(MOVIMIENTOS!$A$5:$A$1005&lt;=$A395)*MOVIMIENTOS!$E$5:$E$1005)-SUMPRODUCT((MOVIMIENTOS!$B$5:$B$1005="TRASIEGO")*(MOVIMIENTOS!$C$5:$C$1005="C")*(MOVIMIENTOS!$D$5:$D$1005="jabas")*(MOVIMIENTOS!$A$5:$A$1005&lt;&gt;"")*(MOVIMIENTOS!$A$5:$A$1005&lt;=$A395)*MOVIMIENTOS!$E$5:$E$1005)-SUMPRODUCT((MOVIMIENTOS!$B$5:$B$1005="REGALO")*(MOVIMIENTOS!$C$5:$C$1005="C")*(MOVIMIENTOS!$D$5:$D$1005="jabas")*(MOVIMIENTOS!$A$5:$A$1005&lt;&gt;"")*(MOVIMIENTOS!$A$5:$A$1005&lt;=$A395)*MOVIMIENTOS!$E$5:$E$1005)-SUMPRODUCT((MOVIMIENTOS!$B$5:$B$1005="VENTA")*(MOVIMIENTOS!$C$5:$C$1005="C")*(MOVIMIENTOS!$D$5:$D$1005="jabas")*(MOVIMIENTOS!$A$5:$A$1005&lt;&gt;"")*(MOVIMIENTOS!$A$5:$A$1005&lt;=$A395)*MOVIMIENTOS!$E$5:$E$1005)+SUMPRODUCT((MOVIMIENTOS!$B$5:$B$1005="AJUSTE")*(MOVIMIENTOS!$C$5:$C$1005="C")*(MOVIMIENTOS!$D$5:$D$1005="jabas")*(MOVIMIENTOS!$A$5:$A$1005&lt;&gt;"")*(MOVIMIENTOS!$A$5:$A$1005&lt;=$A395)*MOVIMIENTOS!$E$5:$E$1005))</f>
        <v/>
      </c>
      <c r="E395" s="63" t="str">
        <f>IF($A395="","",SUMPRODUCT((MOVIMIENTOS!$B$5:$B$1005="SALDO INICIAL")*(MOVIMIENTOS!$C$5:$C$1005="M")*(MOVIMIENTOS!$D$5:$D$1005="jabas")*(MOVIMIENTOS!$A$5:$A$1005&lt;&gt;"")*(MOVIMIENTOS!$A$5:$A$1005&lt;=$A395)*MOVIMIENTOS!$E$5:$E$1005)+SUMPRODUCT((MOVIMIENTOS!$B$5:$B$1005="PROCESO")*(MOVIMIENTOS!$C$5:$C$1005="M")*(MOVIMIENTOS!$D$5:$D$1005="jabas")*(MOVIMIENTOS!$A$5:$A$1005&lt;&gt;"")*(MOVIMIENTOS!$A$5:$A$1005&lt;=$A395)*MOVIMIENTOS!$E$5:$E$1005)-SUMPRODUCT((MOVIMIENTOS!$B$5:$B$1005="ENVÍO A SUPESA")*(MOVIMIENTOS!$C$5:$C$1005="M")*(MOVIMIENTOS!$D$5:$D$1005="jabas")*(MOVIMIENTOS!$A$5:$A$1005&lt;&gt;"")*(MOVIMIENTOS!$A$5:$A$1005&lt;=$A395)*MOVIMIENTOS!$E$5:$E$1005)+SUMPRODUCT((MOVIMIENTOS!$B$5:$B$1005="DEVOLUCIÓN")*(MOVIMIENTOS!$C$5:$C$1005="M")*(MOVIMIENTOS!$D$5:$D$1005="jabas")*(MOVIMIENTOS!$A$5:$A$1005&lt;&gt;"")*(MOVIMIENTOS!$A$5:$A$1005&lt;=$A395)*MOVIMIENTOS!$E$5:$E$1005)-SUMPRODUCT((MOVIMIENTOS!$B$5:$B$1005="TRASIEGO")*(MOVIMIENTOS!$C$5:$C$1005="M")*(MOVIMIENTOS!$D$5:$D$1005="jabas")*(MOVIMIENTOS!$A$5:$A$1005&lt;&gt;"")*(MOVIMIENTOS!$A$5:$A$1005&lt;=$A395)*MOVIMIENTOS!$E$5:$E$1005)-SUMPRODUCT((MOVIMIENTOS!$B$5:$B$1005="REGALO")*(MOVIMIENTOS!$C$5:$C$1005="M")*(MOVIMIENTOS!$D$5:$D$1005="jabas")*(MOVIMIENTOS!$A$5:$A$1005&lt;&gt;"")*(MOVIMIENTOS!$A$5:$A$1005&lt;=$A395)*MOVIMIENTOS!$E$5:$E$1005)-SUMPRODUCT((MOVIMIENTOS!$B$5:$B$1005="VENTA")*(MOVIMIENTOS!$C$5:$C$1005="M")*(MOVIMIENTOS!$D$5:$D$1005="jabas")*(MOVIMIENTOS!$A$5:$A$1005&lt;&gt;"")*(MOVIMIENTOS!$A$5:$A$1005&lt;=$A395)*MOVIMIENTOS!$E$5:$E$1005)+SUMPRODUCT((MOVIMIENTOS!$B$5:$B$1005="AJUSTE")*(MOVIMIENTOS!$C$5:$C$1005="M")*(MOVIMIENTOS!$D$5:$D$1005="jabas")*(MOVIMIENTOS!$A$5:$A$1005&lt;&gt;"")*(MOVIMIENTOS!$A$5:$A$1005&lt;=$A395)*MOVIMIENTOS!$E$5:$E$1005))</f>
        <v/>
      </c>
      <c r="F395" s="63" t="str">
        <f>IF($A395="","",SUMPRODUCT((MOVIMIENTOS!$B$5:$B$1005="SALDO INICIAL")*(MOVIMIENTOS!$C$5:$C$1005="Chancho")*(MOVIMIENTOS!$D$5:$D$1005="sacos")*(MOVIMIENTOS!$A$5:$A$1005&lt;&gt;"")*(MOVIMIENTOS!$A$5:$A$1005&lt;=$A395)*MOVIMIENTOS!$E$5:$E$1005)+SUMPRODUCT((MOVIMIENTOS!$B$5:$B$1005="PROCESO")*(MOVIMIENTOS!$C$5:$C$1005="Chancho")*(MOVIMIENTOS!$D$5:$D$1005="sacos")*(MOVIMIENTOS!$A$5:$A$1005&lt;&gt;"")*(MOVIMIENTOS!$A$5:$A$1005&lt;=$A395)*MOVIMIENTOS!$E$5:$E$1005)-SUMPRODUCT((MOVIMIENTOS!$B$5:$B$1005="VENTA CHANCHO")*(MOVIMIENTOS!$C$5:$C$1005="Chancho")*(MOVIMIENTOS!$D$5:$D$1005="sacos")*(MOVIMIENTOS!$A$5:$A$1005&lt;&gt;"")*(MOVIMIENTOS!$A$5:$A$1005&lt;=$A395)*MOVIMIENTOS!$E$5:$E$1005)-SUMPRODUCT((MOVIMIENTOS!$B$5:$B$1005="REGALO")*(MOVIMIENTOS!$C$5:$C$1005="Chancho")*(MOVIMIENTOS!$D$5:$D$1005="sacos")*(MOVIMIENTOS!$A$5:$A$1005&lt;&gt;"")*(MOVIMIENTOS!$A$5:$A$1005&lt;=$A395)*MOVIMIENTOS!$E$5:$E$1005)-SUMPRODUCT((MOVIMIENTOS!$B$5:$B$1005="VENTA")*(MOVIMIENTOS!$C$5:$C$1005="Chancho")*(MOVIMIENTOS!$D$5:$D$1005="sacos")*(MOVIMIENTOS!$A$5:$A$1005&lt;&gt;"")*(MOVIMIENTOS!$A$5:$A$1005&lt;=$A395)*MOVIMIENTOS!$E$5:$E$1005)+SUMPRODUCT((MOVIMIENTOS!$B$5:$B$1005="AJUSTE")*(MOVIMIENTOS!$C$5:$C$1005="Chancho")*(MOVIMIENTOS!$D$5:$D$1005="sacos")*(MOVIMIENTOS!$A$5:$A$1005&lt;&gt;"")*(MOVIMIENTOS!$A$5:$A$1005&lt;=$A395)*MOVIMIENTOS!$E$5:$E$1005))</f>
        <v/>
      </c>
      <c r="G395" s="95" t="str">
        <f t="shared" si="13"/>
        <v/>
      </c>
      <c r="H395" s="63" t="str">
        <f>IF($A395="","",SUMPRODUCT((((MOVIMIENTOS!$B$5:$B$1005="SALDO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395)*MOVIMIENTOS!$J$5:$J$1005))</f>
        <v/>
      </c>
      <c r="I395" s="63"/>
      <c r="J395" s="63" t="str">
        <f>IF(AND(MOVIMIENTOS!$A398&lt;&gt;"",COUNTIF(MOVIMIENTOS!$A$5:$A397,MOVIMIENTOS!$A398)=0),COUNT(J$4:J394)+1,"")</f>
        <v/>
      </c>
      <c r="K395" s="66">
        <f>MOVIMIENTOS!$A398</f>
        <v>46248</v>
      </c>
      <c r="L395" s="63"/>
      <c r="M395" s="63"/>
      <c r="N395" s="63"/>
    </row>
    <row r="396" spans="1:14" ht="15" customHeight="1" x14ac:dyDescent="0.2">
      <c r="A396" s="63" t="str">
        <f t="shared" si="12"/>
        <v/>
      </c>
      <c r="B396" s="63" t="str">
        <f>IF($A396="","",SUMPRODUCT((MOVIMIENTOS!$B$5:$B$1005="SALDO INICIAL")*(MOVIMIENTOS!$C$5:$C$1005="A")*(MOVIMIENTOS!$D$5:$D$1005="jabas")*(MOVIMIENTOS!$A$5:$A$1005&lt;&gt;"")*(MOVIMIENTOS!$A$5:$A$1005&lt;=$A396)*MOVIMIENTOS!$E$5:$E$1005)+SUMPRODUCT((MOVIMIENTOS!$B$5:$B$1005="PROCESO")*(MOVIMIENTOS!$C$5:$C$1005="A")*(MOVIMIENTOS!$D$5:$D$1005="jabas")*(MOVIMIENTOS!$A$5:$A$1005&lt;&gt;"")*(MOVIMIENTOS!$A$5:$A$1005&lt;=$A396)*MOVIMIENTOS!$E$5:$E$1005)-SUMPRODUCT((MOVIMIENTOS!$B$5:$B$1005="ENVÍO A SUPESA")*(MOVIMIENTOS!$C$5:$C$1005="A")*(MOVIMIENTOS!$D$5:$D$1005="jabas")*(MOVIMIENTOS!$A$5:$A$1005&lt;&gt;"")*(MOVIMIENTOS!$A$5:$A$1005&lt;=$A396)*MOVIMIENTOS!$E$5:$E$1005)+SUMPRODUCT((MOVIMIENTOS!$B$5:$B$1005="DEVOLUCIÓN")*(MOVIMIENTOS!$C$5:$C$1005="A")*(MOVIMIENTOS!$D$5:$D$1005="jabas")*(MOVIMIENTOS!$A$5:$A$1005&lt;&gt;"")*(MOVIMIENTOS!$A$5:$A$1005&lt;=$A396)*MOVIMIENTOS!$E$5:$E$1005)-SUMPRODUCT((MOVIMIENTOS!$B$5:$B$1005="TRASIEGO")*(MOVIMIENTOS!$C$5:$C$1005="A")*(MOVIMIENTOS!$D$5:$D$1005="jabas")*(MOVIMIENTOS!$A$5:$A$1005&lt;&gt;"")*(MOVIMIENTOS!$A$5:$A$1005&lt;=$A396)*MOVIMIENTOS!$E$5:$E$1005)-SUMPRODUCT((MOVIMIENTOS!$B$5:$B$1005="REGALO")*(MOVIMIENTOS!$C$5:$C$1005="A")*(MOVIMIENTOS!$D$5:$D$1005="jabas")*(MOVIMIENTOS!$A$5:$A$1005&lt;&gt;"")*(MOVIMIENTOS!$A$5:$A$1005&lt;=$A396)*MOVIMIENTOS!$E$5:$E$1005)-SUMPRODUCT((MOVIMIENTOS!$B$5:$B$1005="VENTA")*(MOVIMIENTOS!$C$5:$C$1005="A")*(MOVIMIENTOS!$D$5:$D$1005="jabas")*(MOVIMIENTOS!$A$5:$A$1005&lt;&gt;"")*(MOVIMIENTOS!$A$5:$A$1005&lt;=$A396)*MOVIMIENTOS!$E$5:$E$1005)+SUMPRODUCT((MOVIMIENTOS!$B$5:$B$1005="AJUSTE")*(MOVIMIENTOS!$C$5:$C$1005="A")*(MOVIMIENTOS!$D$5:$D$1005="jabas")*(MOVIMIENTOS!$A$5:$A$1005&lt;&gt;"")*(MOVIMIENTOS!$A$5:$A$1005&lt;=$A396)*MOVIMIENTOS!$E$5:$E$1005))</f>
        <v/>
      </c>
      <c r="C396" s="63" t="str">
        <f>IF($A396="","",SUMPRODUCT((MOVIMIENTOS!$B$5:$B$1005="SALDO INICIAL")*(MOVIMIENTOS!$C$5:$C$1005="P")*(MOVIMIENTOS!$D$5:$D$1005="jabas")*(MOVIMIENTOS!$A$5:$A$1005&lt;&gt;"")*(MOVIMIENTOS!$A$5:$A$1005&lt;=$A396)*MOVIMIENTOS!$E$5:$E$1005)+SUMPRODUCT((MOVIMIENTOS!$B$5:$B$1005="PROCESO")*(MOVIMIENTOS!$C$5:$C$1005="P")*(MOVIMIENTOS!$D$5:$D$1005="jabas")*(MOVIMIENTOS!$A$5:$A$1005&lt;&gt;"")*(MOVIMIENTOS!$A$5:$A$1005&lt;=$A396)*MOVIMIENTOS!$E$5:$E$1005)-SUMPRODUCT((MOVIMIENTOS!$B$5:$B$1005="ENVÍO A SUPESA")*(MOVIMIENTOS!$C$5:$C$1005="P")*(MOVIMIENTOS!$D$5:$D$1005="jabas")*(MOVIMIENTOS!$A$5:$A$1005&lt;&gt;"")*(MOVIMIENTOS!$A$5:$A$1005&lt;=$A396)*MOVIMIENTOS!$E$5:$E$1005)+SUMPRODUCT((MOVIMIENTOS!$B$5:$B$1005="DEVOLUCIÓN")*(MOVIMIENTOS!$C$5:$C$1005="P")*(MOVIMIENTOS!$D$5:$D$1005="jabas")*(MOVIMIENTOS!$A$5:$A$1005&lt;&gt;"")*(MOVIMIENTOS!$A$5:$A$1005&lt;=$A396)*MOVIMIENTOS!$E$5:$E$1005)-SUMPRODUCT((MOVIMIENTOS!$B$5:$B$1005="TRASIEGO")*(MOVIMIENTOS!$C$5:$C$1005="P")*(MOVIMIENTOS!$D$5:$D$1005="jabas")*(MOVIMIENTOS!$A$5:$A$1005&lt;&gt;"")*(MOVIMIENTOS!$A$5:$A$1005&lt;=$A396)*MOVIMIENTOS!$E$5:$E$1005)-SUMPRODUCT((MOVIMIENTOS!$B$5:$B$1005="REGALO")*(MOVIMIENTOS!$C$5:$C$1005="P")*(MOVIMIENTOS!$D$5:$D$1005="jabas")*(MOVIMIENTOS!$A$5:$A$1005&lt;&gt;"")*(MOVIMIENTOS!$A$5:$A$1005&lt;=$A396)*MOVIMIENTOS!$E$5:$E$1005)-SUMPRODUCT((MOVIMIENTOS!$B$5:$B$1005="VENTA")*(MOVIMIENTOS!$C$5:$C$1005="P")*(MOVIMIENTOS!$D$5:$D$1005="jabas")*(MOVIMIENTOS!$A$5:$A$1005&lt;&gt;"")*(MOVIMIENTOS!$A$5:$A$1005&lt;=$A396)*MOVIMIENTOS!$E$5:$E$1005)+SUMPRODUCT((MOVIMIENTOS!$B$5:$B$1005="AJUSTE")*(MOVIMIENTOS!$C$5:$C$1005="P")*(MOVIMIENTOS!$D$5:$D$1005="jabas")*(MOVIMIENTOS!$A$5:$A$1005&lt;&gt;"")*(MOVIMIENTOS!$A$5:$A$1005&lt;=$A396)*MOVIMIENTOS!$E$5:$E$1005))</f>
        <v/>
      </c>
      <c r="D396" s="63" t="str">
        <f>IF($A396="","",SUMPRODUCT((MOVIMIENTOS!$B$5:$B$1005="SALDO INICIAL")*(MOVIMIENTOS!$C$5:$C$1005="C")*(MOVIMIENTOS!$D$5:$D$1005="jabas")*(MOVIMIENTOS!$A$5:$A$1005&lt;&gt;"")*(MOVIMIENTOS!$A$5:$A$1005&lt;=$A396)*MOVIMIENTOS!$E$5:$E$1005)+SUMPRODUCT((MOVIMIENTOS!$B$5:$B$1005="PROCESO")*(MOVIMIENTOS!$C$5:$C$1005="C")*(MOVIMIENTOS!$D$5:$D$1005="jabas")*(MOVIMIENTOS!$A$5:$A$1005&lt;&gt;"")*(MOVIMIENTOS!$A$5:$A$1005&lt;=$A396)*MOVIMIENTOS!$E$5:$E$1005)-SUMPRODUCT((MOVIMIENTOS!$B$5:$B$1005="ENVÍO A SUPESA")*(MOVIMIENTOS!$C$5:$C$1005="C")*(MOVIMIENTOS!$D$5:$D$1005="jabas")*(MOVIMIENTOS!$A$5:$A$1005&lt;&gt;"")*(MOVIMIENTOS!$A$5:$A$1005&lt;=$A396)*MOVIMIENTOS!$E$5:$E$1005)+SUMPRODUCT((MOVIMIENTOS!$B$5:$B$1005="DEVOLUCIÓN")*(MOVIMIENTOS!$C$5:$C$1005="C")*(MOVIMIENTOS!$D$5:$D$1005="jabas")*(MOVIMIENTOS!$A$5:$A$1005&lt;&gt;"")*(MOVIMIENTOS!$A$5:$A$1005&lt;=$A396)*MOVIMIENTOS!$E$5:$E$1005)-SUMPRODUCT((MOVIMIENTOS!$B$5:$B$1005="TRASIEGO")*(MOVIMIENTOS!$C$5:$C$1005="C")*(MOVIMIENTOS!$D$5:$D$1005="jabas")*(MOVIMIENTOS!$A$5:$A$1005&lt;&gt;"")*(MOVIMIENTOS!$A$5:$A$1005&lt;=$A396)*MOVIMIENTOS!$E$5:$E$1005)-SUMPRODUCT((MOVIMIENTOS!$B$5:$B$1005="REGALO")*(MOVIMIENTOS!$C$5:$C$1005="C")*(MOVIMIENTOS!$D$5:$D$1005="jabas")*(MOVIMIENTOS!$A$5:$A$1005&lt;&gt;"")*(MOVIMIENTOS!$A$5:$A$1005&lt;=$A396)*MOVIMIENTOS!$E$5:$E$1005)-SUMPRODUCT((MOVIMIENTOS!$B$5:$B$1005="VENTA")*(MOVIMIENTOS!$C$5:$C$1005="C")*(MOVIMIENTOS!$D$5:$D$1005="jabas")*(MOVIMIENTOS!$A$5:$A$1005&lt;&gt;"")*(MOVIMIENTOS!$A$5:$A$1005&lt;=$A396)*MOVIMIENTOS!$E$5:$E$1005)+SUMPRODUCT((MOVIMIENTOS!$B$5:$B$1005="AJUSTE")*(MOVIMIENTOS!$C$5:$C$1005="C")*(MOVIMIENTOS!$D$5:$D$1005="jabas")*(MOVIMIENTOS!$A$5:$A$1005&lt;&gt;"")*(MOVIMIENTOS!$A$5:$A$1005&lt;=$A396)*MOVIMIENTOS!$E$5:$E$1005))</f>
        <v/>
      </c>
      <c r="E396" s="63" t="str">
        <f>IF($A396="","",SUMPRODUCT((MOVIMIENTOS!$B$5:$B$1005="SALDO INICIAL")*(MOVIMIENTOS!$C$5:$C$1005="M")*(MOVIMIENTOS!$D$5:$D$1005="jabas")*(MOVIMIENTOS!$A$5:$A$1005&lt;&gt;"")*(MOVIMIENTOS!$A$5:$A$1005&lt;=$A396)*MOVIMIENTOS!$E$5:$E$1005)+SUMPRODUCT((MOVIMIENTOS!$B$5:$B$1005="PROCESO")*(MOVIMIENTOS!$C$5:$C$1005="M")*(MOVIMIENTOS!$D$5:$D$1005="jabas")*(MOVIMIENTOS!$A$5:$A$1005&lt;&gt;"")*(MOVIMIENTOS!$A$5:$A$1005&lt;=$A396)*MOVIMIENTOS!$E$5:$E$1005)-SUMPRODUCT((MOVIMIENTOS!$B$5:$B$1005="ENVÍO A SUPESA")*(MOVIMIENTOS!$C$5:$C$1005="M")*(MOVIMIENTOS!$D$5:$D$1005="jabas")*(MOVIMIENTOS!$A$5:$A$1005&lt;&gt;"")*(MOVIMIENTOS!$A$5:$A$1005&lt;=$A396)*MOVIMIENTOS!$E$5:$E$1005)+SUMPRODUCT((MOVIMIENTOS!$B$5:$B$1005="DEVOLUCIÓN")*(MOVIMIENTOS!$C$5:$C$1005="M")*(MOVIMIENTOS!$D$5:$D$1005="jabas")*(MOVIMIENTOS!$A$5:$A$1005&lt;&gt;"")*(MOVIMIENTOS!$A$5:$A$1005&lt;=$A396)*MOVIMIENTOS!$E$5:$E$1005)-SUMPRODUCT((MOVIMIENTOS!$B$5:$B$1005="TRASIEGO")*(MOVIMIENTOS!$C$5:$C$1005="M")*(MOVIMIENTOS!$D$5:$D$1005="jabas")*(MOVIMIENTOS!$A$5:$A$1005&lt;&gt;"")*(MOVIMIENTOS!$A$5:$A$1005&lt;=$A396)*MOVIMIENTOS!$E$5:$E$1005)-SUMPRODUCT((MOVIMIENTOS!$B$5:$B$1005="REGALO")*(MOVIMIENTOS!$C$5:$C$1005="M")*(MOVIMIENTOS!$D$5:$D$1005="jabas")*(MOVIMIENTOS!$A$5:$A$1005&lt;&gt;"")*(MOVIMIENTOS!$A$5:$A$1005&lt;=$A396)*MOVIMIENTOS!$E$5:$E$1005)-SUMPRODUCT((MOVIMIENTOS!$B$5:$B$1005="VENTA")*(MOVIMIENTOS!$C$5:$C$1005="M")*(MOVIMIENTOS!$D$5:$D$1005="jabas")*(MOVIMIENTOS!$A$5:$A$1005&lt;&gt;"")*(MOVIMIENTOS!$A$5:$A$1005&lt;=$A396)*MOVIMIENTOS!$E$5:$E$1005)+SUMPRODUCT((MOVIMIENTOS!$B$5:$B$1005="AJUSTE")*(MOVIMIENTOS!$C$5:$C$1005="M")*(MOVIMIENTOS!$D$5:$D$1005="jabas")*(MOVIMIENTOS!$A$5:$A$1005&lt;&gt;"")*(MOVIMIENTOS!$A$5:$A$1005&lt;=$A396)*MOVIMIENTOS!$E$5:$E$1005))</f>
        <v/>
      </c>
      <c r="F396" s="63" t="str">
        <f>IF($A396="","",SUMPRODUCT((MOVIMIENTOS!$B$5:$B$1005="SALDO INICIAL")*(MOVIMIENTOS!$C$5:$C$1005="Chancho")*(MOVIMIENTOS!$D$5:$D$1005="sacos")*(MOVIMIENTOS!$A$5:$A$1005&lt;&gt;"")*(MOVIMIENTOS!$A$5:$A$1005&lt;=$A396)*MOVIMIENTOS!$E$5:$E$1005)+SUMPRODUCT((MOVIMIENTOS!$B$5:$B$1005="PROCESO")*(MOVIMIENTOS!$C$5:$C$1005="Chancho")*(MOVIMIENTOS!$D$5:$D$1005="sacos")*(MOVIMIENTOS!$A$5:$A$1005&lt;&gt;"")*(MOVIMIENTOS!$A$5:$A$1005&lt;=$A396)*MOVIMIENTOS!$E$5:$E$1005)-SUMPRODUCT((MOVIMIENTOS!$B$5:$B$1005="VENTA CHANCHO")*(MOVIMIENTOS!$C$5:$C$1005="Chancho")*(MOVIMIENTOS!$D$5:$D$1005="sacos")*(MOVIMIENTOS!$A$5:$A$1005&lt;&gt;"")*(MOVIMIENTOS!$A$5:$A$1005&lt;=$A396)*MOVIMIENTOS!$E$5:$E$1005)-SUMPRODUCT((MOVIMIENTOS!$B$5:$B$1005="REGALO")*(MOVIMIENTOS!$C$5:$C$1005="Chancho")*(MOVIMIENTOS!$D$5:$D$1005="sacos")*(MOVIMIENTOS!$A$5:$A$1005&lt;&gt;"")*(MOVIMIENTOS!$A$5:$A$1005&lt;=$A396)*MOVIMIENTOS!$E$5:$E$1005)-SUMPRODUCT((MOVIMIENTOS!$B$5:$B$1005="VENTA")*(MOVIMIENTOS!$C$5:$C$1005="Chancho")*(MOVIMIENTOS!$D$5:$D$1005="sacos")*(MOVIMIENTOS!$A$5:$A$1005&lt;&gt;"")*(MOVIMIENTOS!$A$5:$A$1005&lt;=$A396)*MOVIMIENTOS!$E$5:$E$1005)+SUMPRODUCT((MOVIMIENTOS!$B$5:$B$1005="AJUSTE")*(MOVIMIENTOS!$C$5:$C$1005="Chancho")*(MOVIMIENTOS!$D$5:$D$1005="sacos")*(MOVIMIENTOS!$A$5:$A$1005&lt;&gt;"")*(MOVIMIENTOS!$A$5:$A$1005&lt;=$A396)*MOVIMIENTOS!$E$5:$E$1005))</f>
        <v/>
      </c>
      <c r="G396" s="95" t="str">
        <f t="shared" si="13"/>
        <v/>
      </c>
      <c r="H396" s="63" t="str">
        <f>IF($A396="","",SUMPRODUCT((((MOVIMIENTOS!$B$5:$B$1005="SALDO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396)*MOVIMIENTOS!$J$5:$J$1005))</f>
        <v/>
      </c>
      <c r="I396" s="63"/>
      <c r="J396" s="63" t="str">
        <f>IF(AND(MOVIMIENTOS!$A399&lt;&gt;"",COUNTIF(MOVIMIENTOS!$A$5:$A398,MOVIMIENTOS!$A399)=0),COUNT(J$4:J395)+1,"")</f>
        <v/>
      </c>
      <c r="K396" s="66">
        <f>MOVIMIENTOS!$A399</f>
        <v>46248</v>
      </c>
      <c r="L396" s="63"/>
      <c r="M396" s="63"/>
      <c r="N396" s="63"/>
    </row>
    <row r="397" spans="1:14" ht="15" customHeight="1" x14ac:dyDescent="0.2">
      <c r="A397" s="63" t="str">
        <f t="shared" si="12"/>
        <v/>
      </c>
      <c r="B397" s="63" t="str">
        <f>IF($A397="","",SUMPRODUCT((MOVIMIENTOS!$B$5:$B$1005="SALDO INICIAL")*(MOVIMIENTOS!$C$5:$C$1005="A")*(MOVIMIENTOS!$D$5:$D$1005="jabas")*(MOVIMIENTOS!$A$5:$A$1005&lt;&gt;"")*(MOVIMIENTOS!$A$5:$A$1005&lt;=$A397)*MOVIMIENTOS!$E$5:$E$1005)+SUMPRODUCT((MOVIMIENTOS!$B$5:$B$1005="PROCESO")*(MOVIMIENTOS!$C$5:$C$1005="A")*(MOVIMIENTOS!$D$5:$D$1005="jabas")*(MOVIMIENTOS!$A$5:$A$1005&lt;&gt;"")*(MOVIMIENTOS!$A$5:$A$1005&lt;=$A397)*MOVIMIENTOS!$E$5:$E$1005)-SUMPRODUCT((MOVIMIENTOS!$B$5:$B$1005="ENVÍO A SUPESA")*(MOVIMIENTOS!$C$5:$C$1005="A")*(MOVIMIENTOS!$D$5:$D$1005="jabas")*(MOVIMIENTOS!$A$5:$A$1005&lt;&gt;"")*(MOVIMIENTOS!$A$5:$A$1005&lt;=$A397)*MOVIMIENTOS!$E$5:$E$1005)+SUMPRODUCT((MOVIMIENTOS!$B$5:$B$1005="DEVOLUCIÓN")*(MOVIMIENTOS!$C$5:$C$1005="A")*(MOVIMIENTOS!$D$5:$D$1005="jabas")*(MOVIMIENTOS!$A$5:$A$1005&lt;&gt;"")*(MOVIMIENTOS!$A$5:$A$1005&lt;=$A397)*MOVIMIENTOS!$E$5:$E$1005)-SUMPRODUCT((MOVIMIENTOS!$B$5:$B$1005="TRASIEGO")*(MOVIMIENTOS!$C$5:$C$1005="A")*(MOVIMIENTOS!$D$5:$D$1005="jabas")*(MOVIMIENTOS!$A$5:$A$1005&lt;&gt;"")*(MOVIMIENTOS!$A$5:$A$1005&lt;=$A397)*MOVIMIENTOS!$E$5:$E$1005)-SUMPRODUCT((MOVIMIENTOS!$B$5:$B$1005="REGALO")*(MOVIMIENTOS!$C$5:$C$1005="A")*(MOVIMIENTOS!$D$5:$D$1005="jabas")*(MOVIMIENTOS!$A$5:$A$1005&lt;&gt;"")*(MOVIMIENTOS!$A$5:$A$1005&lt;=$A397)*MOVIMIENTOS!$E$5:$E$1005)-SUMPRODUCT((MOVIMIENTOS!$B$5:$B$1005="VENTA")*(MOVIMIENTOS!$C$5:$C$1005="A")*(MOVIMIENTOS!$D$5:$D$1005="jabas")*(MOVIMIENTOS!$A$5:$A$1005&lt;&gt;"")*(MOVIMIENTOS!$A$5:$A$1005&lt;=$A397)*MOVIMIENTOS!$E$5:$E$1005)+SUMPRODUCT((MOVIMIENTOS!$B$5:$B$1005="AJUSTE")*(MOVIMIENTOS!$C$5:$C$1005="A")*(MOVIMIENTOS!$D$5:$D$1005="jabas")*(MOVIMIENTOS!$A$5:$A$1005&lt;&gt;"")*(MOVIMIENTOS!$A$5:$A$1005&lt;=$A397)*MOVIMIENTOS!$E$5:$E$1005))</f>
        <v/>
      </c>
      <c r="C397" s="63" t="str">
        <f>IF($A397="","",SUMPRODUCT((MOVIMIENTOS!$B$5:$B$1005="SALDO INICIAL")*(MOVIMIENTOS!$C$5:$C$1005="P")*(MOVIMIENTOS!$D$5:$D$1005="jabas")*(MOVIMIENTOS!$A$5:$A$1005&lt;&gt;"")*(MOVIMIENTOS!$A$5:$A$1005&lt;=$A397)*MOVIMIENTOS!$E$5:$E$1005)+SUMPRODUCT((MOVIMIENTOS!$B$5:$B$1005="PROCESO")*(MOVIMIENTOS!$C$5:$C$1005="P")*(MOVIMIENTOS!$D$5:$D$1005="jabas")*(MOVIMIENTOS!$A$5:$A$1005&lt;&gt;"")*(MOVIMIENTOS!$A$5:$A$1005&lt;=$A397)*MOVIMIENTOS!$E$5:$E$1005)-SUMPRODUCT((MOVIMIENTOS!$B$5:$B$1005="ENVÍO A SUPESA")*(MOVIMIENTOS!$C$5:$C$1005="P")*(MOVIMIENTOS!$D$5:$D$1005="jabas")*(MOVIMIENTOS!$A$5:$A$1005&lt;&gt;"")*(MOVIMIENTOS!$A$5:$A$1005&lt;=$A397)*MOVIMIENTOS!$E$5:$E$1005)+SUMPRODUCT((MOVIMIENTOS!$B$5:$B$1005="DEVOLUCIÓN")*(MOVIMIENTOS!$C$5:$C$1005="P")*(MOVIMIENTOS!$D$5:$D$1005="jabas")*(MOVIMIENTOS!$A$5:$A$1005&lt;&gt;"")*(MOVIMIENTOS!$A$5:$A$1005&lt;=$A397)*MOVIMIENTOS!$E$5:$E$1005)-SUMPRODUCT((MOVIMIENTOS!$B$5:$B$1005="TRASIEGO")*(MOVIMIENTOS!$C$5:$C$1005="P")*(MOVIMIENTOS!$D$5:$D$1005="jabas")*(MOVIMIENTOS!$A$5:$A$1005&lt;&gt;"")*(MOVIMIENTOS!$A$5:$A$1005&lt;=$A397)*MOVIMIENTOS!$E$5:$E$1005)-SUMPRODUCT((MOVIMIENTOS!$B$5:$B$1005="REGALO")*(MOVIMIENTOS!$C$5:$C$1005="P")*(MOVIMIENTOS!$D$5:$D$1005="jabas")*(MOVIMIENTOS!$A$5:$A$1005&lt;&gt;"")*(MOVIMIENTOS!$A$5:$A$1005&lt;=$A397)*MOVIMIENTOS!$E$5:$E$1005)-SUMPRODUCT((MOVIMIENTOS!$B$5:$B$1005="VENTA")*(MOVIMIENTOS!$C$5:$C$1005="P")*(MOVIMIENTOS!$D$5:$D$1005="jabas")*(MOVIMIENTOS!$A$5:$A$1005&lt;&gt;"")*(MOVIMIENTOS!$A$5:$A$1005&lt;=$A397)*MOVIMIENTOS!$E$5:$E$1005)+SUMPRODUCT((MOVIMIENTOS!$B$5:$B$1005="AJUSTE")*(MOVIMIENTOS!$C$5:$C$1005="P")*(MOVIMIENTOS!$D$5:$D$1005="jabas")*(MOVIMIENTOS!$A$5:$A$1005&lt;&gt;"")*(MOVIMIENTOS!$A$5:$A$1005&lt;=$A397)*MOVIMIENTOS!$E$5:$E$1005))</f>
        <v/>
      </c>
      <c r="D397" s="63" t="str">
        <f>IF($A397="","",SUMPRODUCT((MOVIMIENTOS!$B$5:$B$1005="SALDO INICIAL")*(MOVIMIENTOS!$C$5:$C$1005="C")*(MOVIMIENTOS!$D$5:$D$1005="jabas")*(MOVIMIENTOS!$A$5:$A$1005&lt;&gt;"")*(MOVIMIENTOS!$A$5:$A$1005&lt;=$A397)*MOVIMIENTOS!$E$5:$E$1005)+SUMPRODUCT((MOVIMIENTOS!$B$5:$B$1005="PROCESO")*(MOVIMIENTOS!$C$5:$C$1005="C")*(MOVIMIENTOS!$D$5:$D$1005="jabas")*(MOVIMIENTOS!$A$5:$A$1005&lt;&gt;"")*(MOVIMIENTOS!$A$5:$A$1005&lt;=$A397)*MOVIMIENTOS!$E$5:$E$1005)-SUMPRODUCT((MOVIMIENTOS!$B$5:$B$1005="ENVÍO A SUPESA")*(MOVIMIENTOS!$C$5:$C$1005="C")*(MOVIMIENTOS!$D$5:$D$1005="jabas")*(MOVIMIENTOS!$A$5:$A$1005&lt;&gt;"")*(MOVIMIENTOS!$A$5:$A$1005&lt;=$A397)*MOVIMIENTOS!$E$5:$E$1005)+SUMPRODUCT((MOVIMIENTOS!$B$5:$B$1005="DEVOLUCIÓN")*(MOVIMIENTOS!$C$5:$C$1005="C")*(MOVIMIENTOS!$D$5:$D$1005="jabas")*(MOVIMIENTOS!$A$5:$A$1005&lt;&gt;"")*(MOVIMIENTOS!$A$5:$A$1005&lt;=$A397)*MOVIMIENTOS!$E$5:$E$1005)-SUMPRODUCT((MOVIMIENTOS!$B$5:$B$1005="TRASIEGO")*(MOVIMIENTOS!$C$5:$C$1005="C")*(MOVIMIENTOS!$D$5:$D$1005="jabas")*(MOVIMIENTOS!$A$5:$A$1005&lt;&gt;"")*(MOVIMIENTOS!$A$5:$A$1005&lt;=$A397)*MOVIMIENTOS!$E$5:$E$1005)-SUMPRODUCT((MOVIMIENTOS!$B$5:$B$1005="REGALO")*(MOVIMIENTOS!$C$5:$C$1005="C")*(MOVIMIENTOS!$D$5:$D$1005="jabas")*(MOVIMIENTOS!$A$5:$A$1005&lt;&gt;"")*(MOVIMIENTOS!$A$5:$A$1005&lt;=$A397)*MOVIMIENTOS!$E$5:$E$1005)-SUMPRODUCT((MOVIMIENTOS!$B$5:$B$1005="VENTA")*(MOVIMIENTOS!$C$5:$C$1005="C")*(MOVIMIENTOS!$D$5:$D$1005="jabas")*(MOVIMIENTOS!$A$5:$A$1005&lt;&gt;"")*(MOVIMIENTOS!$A$5:$A$1005&lt;=$A397)*MOVIMIENTOS!$E$5:$E$1005)+SUMPRODUCT((MOVIMIENTOS!$B$5:$B$1005="AJUSTE")*(MOVIMIENTOS!$C$5:$C$1005="C")*(MOVIMIENTOS!$D$5:$D$1005="jabas")*(MOVIMIENTOS!$A$5:$A$1005&lt;&gt;"")*(MOVIMIENTOS!$A$5:$A$1005&lt;=$A397)*MOVIMIENTOS!$E$5:$E$1005))</f>
        <v/>
      </c>
      <c r="E397" s="63" t="str">
        <f>IF($A397="","",SUMPRODUCT((MOVIMIENTOS!$B$5:$B$1005="SALDO INICIAL")*(MOVIMIENTOS!$C$5:$C$1005="M")*(MOVIMIENTOS!$D$5:$D$1005="jabas")*(MOVIMIENTOS!$A$5:$A$1005&lt;&gt;"")*(MOVIMIENTOS!$A$5:$A$1005&lt;=$A397)*MOVIMIENTOS!$E$5:$E$1005)+SUMPRODUCT((MOVIMIENTOS!$B$5:$B$1005="PROCESO")*(MOVIMIENTOS!$C$5:$C$1005="M")*(MOVIMIENTOS!$D$5:$D$1005="jabas")*(MOVIMIENTOS!$A$5:$A$1005&lt;&gt;"")*(MOVIMIENTOS!$A$5:$A$1005&lt;=$A397)*MOVIMIENTOS!$E$5:$E$1005)-SUMPRODUCT((MOVIMIENTOS!$B$5:$B$1005="ENVÍO A SUPESA")*(MOVIMIENTOS!$C$5:$C$1005="M")*(MOVIMIENTOS!$D$5:$D$1005="jabas")*(MOVIMIENTOS!$A$5:$A$1005&lt;&gt;"")*(MOVIMIENTOS!$A$5:$A$1005&lt;=$A397)*MOVIMIENTOS!$E$5:$E$1005)+SUMPRODUCT((MOVIMIENTOS!$B$5:$B$1005="DEVOLUCIÓN")*(MOVIMIENTOS!$C$5:$C$1005="M")*(MOVIMIENTOS!$D$5:$D$1005="jabas")*(MOVIMIENTOS!$A$5:$A$1005&lt;&gt;"")*(MOVIMIENTOS!$A$5:$A$1005&lt;=$A397)*MOVIMIENTOS!$E$5:$E$1005)-SUMPRODUCT((MOVIMIENTOS!$B$5:$B$1005="TRASIEGO")*(MOVIMIENTOS!$C$5:$C$1005="M")*(MOVIMIENTOS!$D$5:$D$1005="jabas")*(MOVIMIENTOS!$A$5:$A$1005&lt;&gt;"")*(MOVIMIENTOS!$A$5:$A$1005&lt;=$A397)*MOVIMIENTOS!$E$5:$E$1005)-SUMPRODUCT((MOVIMIENTOS!$B$5:$B$1005="REGALO")*(MOVIMIENTOS!$C$5:$C$1005="M")*(MOVIMIENTOS!$D$5:$D$1005="jabas")*(MOVIMIENTOS!$A$5:$A$1005&lt;&gt;"")*(MOVIMIENTOS!$A$5:$A$1005&lt;=$A397)*MOVIMIENTOS!$E$5:$E$1005)-SUMPRODUCT((MOVIMIENTOS!$B$5:$B$1005="VENTA")*(MOVIMIENTOS!$C$5:$C$1005="M")*(MOVIMIENTOS!$D$5:$D$1005="jabas")*(MOVIMIENTOS!$A$5:$A$1005&lt;&gt;"")*(MOVIMIENTOS!$A$5:$A$1005&lt;=$A397)*MOVIMIENTOS!$E$5:$E$1005)+SUMPRODUCT((MOVIMIENTOS!$B$5:$B$1005="AJUSTE")*(MOVIMIENTOS!$C$5:$C$1005="M")*(MOVIMIENTOS!$D$5:$D$1005="jabas")*(MOVIMIENTOS!$A$5:$A$1005&lt;&gt;"")*(MOVIMIENTOS!$A$5:$A$1005&lt;=$A397)*MOVIMIENTOS!$E$5:$E$1005))</f>
        <v/>
      </c>
      <c r="F397" s="63" t="str">
        <f>IF($A397="","",SUMPRODUCT((MOVIMIENTOS!$B$5:$B$1005="SALDO INICIAL")*(MOVIMIENTOS!$C$5:$C$1005="Chancho")*(MOVIMIENTOS!$D$5:$D$1005="sacos")*(MOVIMIENTOS!$A$5:$A$1005&lt;&gt;"")*(MOVIMIENTOS!$A$5:$A$1005&lt;=$A397)*MOVIMIENTOS!$E$5:$E$1005)+SUMPRODUCT((MOVIMIENTOS!$B$5:$B$1005="PROCESO")*(MOVIMIENTOS!$C$5:$C$1005="Chancho")*(MOVIMIENTOS!$D$5:$D$1005="sacos")*(MOVIMIENTOS!$A$5:$A$1005&lt;&gt;"")*(MOVIMIENTOS!$A$5:$A$1005&lt;=$A397)*MOVIMIENTOS!$E$5:$E$1005)-SUMPRODUCT((MOVIMIENTOS!$B$5:$B$1005="VENTA CHANCHO")*(MOVIMIENTOS!$C$5:$C$1005="Chancho")*(MOVIMIENTOS!$D$5:$D$1005="sacos")*(MOVIMIENTOS!$A$5:$A$1005&lt;&gt;"")*(MOVIMIENTOS!$A$5:$A$1005&lt;=$A397)*MOVIMIENTOS!$E$5:$E$1005)-SUMPRODUCT((MOVIMIENTOS!$B$5:$B$1005="REGALO")*(MOVIMIENTOS!$C$5:$C$1005="Chancho")*(MOVIMIENTOS!$D$5:$D$1005="sacos")*(MOVIMIENTOS!$A$5:$A$1005&lt;&gt;"")*(MOVIMIENTOS!$A$5:$A$1005&lt;=$A397)*MOVIMIENTOS!$E$5:$E$1005)-SUMPRODUCT((MOVIMIENTOS!$B$5:$B$1005="VENTA")*(MOVIMIENTOS!$C$5:$C$1005="Chancho")*(MOVIMIENTOS!$D$5:$D$1005="sacos")*(MOVIMIENTOS!$A$5:$A$1005&lt;&gt;"")*(MOVIMIENTOS!$A$5:$A$1005&lt;=$A397)*MOVIMIENTOS!$E$5:$E$1005)+SUMPRODUCT((MOVIMIENTOS!$B$5:$B$1005="AJUSTE")*(MOVIMIENTOS!$C$5:$C$1005="Chancho")*(MOVIMIENTOS!$D$5:$D$1005="sacos")*(MOVIMIENTOS!$A$5:$A$1005&lt;&gt;"")*(MOVIMIENTOS!$A$5:$A$1005&lt;=$A397)*MOVIMIENTOS!$E$5:$E$1005))</f>
        <v/>
      </c>
      <c r="G397" s="95" t="str">
        <f t="shared" si="13"/>
        <v/>
      </c>
      <c r="H397" s="63" t="str">
        <f>IF($A397="","",SUMPRODUCT((((MOVIMIENTOS!$B$5:$B$1005="SALDO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397)*MOVIMIENTOS!$J$5:$J$1005))</f>
        <v/>
      </c>
      <c r="I397" s="63"/>
      <c r="J397" s="63" t="str">
        <f>IF(AND(MOVIMIENTOS!$A400&lt;&gt;"",COUNTIF(MOVIMIENTOS!$A$5:$A399,MOVIMIENTOS!$A400)=0),COUNT(J$4:J396)+1,"")</f>
        <v/>
      </c>
      <c r="K397" s="66">
        <f>MOVIMIENTOS!$A400</f>
        <v>46248</v>
      </c>
      <c r="L397" s="63"/>
      <c r="M397" s="63"/>
      <c r="N397" s="63"/>
    </row>
    <row r="398" spans="1:14" ht="15" customHeight="1" x14ac:dyDescent="0.2">
      <c r="A398" s="63" t="str">
        <f t="shared" si="12"/>
        <v/>
      </c>
      <c r="B398" s="63" t="str">
        <f>IF($A398="","",SUMPRODUCT((MOVIMIENTOS!$B$5:$B$1005="SALDO INICIAL")*(MOVIMIENTOS!$C$5:$C$1005="A")*(MOVIMIENTOS!$D$5:$D$1005="jabas")*(MOVIMIENTOS!$A$5:$A$1005&lt;&gt;"")*(MOVIMIENTOS!$A$5:$A$1005&lt;=$A398)*MOVIMIENTOS!$E$5:$E$1005)+SUMPRODUCT((MOVIMIENTOS!$B$5:$B$1005="PROCESO")*(MOVIMIENTOS!$C$5:$C$1005="A")*(MOVIMIENTOS!$D$5:$D$1005="jabas")*(MOVIMIENTOS!$A$5:$A$1005&lt;&gt;"")*(MOVIMIENTOS!$A$5:$A$1005&lt;=$A398)*MOVIMIENTOS!$E$5:$E$1005)-SUMPRODUCT((MOVIMIENTOS!$B$5:$B$1005="ENVÍO A SUPESA")*(MOVIMIENTOS!$C$5:$C$1005="A")*(MOVIMIENTOS!$D$5:$D$1005="jabas")*(MOVIMIENTOS!$A$5:$A$1005&lt;&gt;"")*(MOVIMIENTOS!$A$5:$A$1005&lt;=$A398)*MOVIMIENTOS!$E$5:$E$1005)+SUMPRODUCT((MOVIMIENTOS!$B$5:$B$1005="DEVOLUCIÓN")*(MOVIMIENTOS!$C$5:$C$1005="A")*(MOVIMIENTOS!$D$5:$D$1005="jabas")*(MOVIMIENTOS!$A$5:$A$1005&lt;&gt;"")*(MOVIMIENTOS!$A$5:$A$1005&lt;=$A398)*MOVIMIENTOS!$E$5:$E$1005)-SUMPRODUCT((MOVIMIENTOS!$B$5:$B$1005="TRASIEGO")*(MOVIMIENTOS!$C$5:$C$1005="A")*(MOVIMIENTOS!$D$5:$D$1005="jabas")*(MOVIMIENTOS!$A$5:$A$1005&lt;&gt;"")*(MOVIMIENTOS!$A$5:$A$1005&lt;=$A398)*MOVIMIENTOS!$E$5:$E$1005)-SUMPRODUCT((MOVIMIENTOS!$B$5:$B$1005="REGALO")*(MOVIMIENTOS!$C$5:$C$1005="A")*(MOVIMIENTOS!$D$5:$D$1005="jabas")*(MOVIMIENTOS!$A$5:$A$1005&lt;&gt;"")*(MOVIMIENTOS!$A$5:$A$1005&lt;=$A398)*MOVIMIENTOS!$E$5:$E$1005)-SUMPRODUCT((MOVIMIENTOS!$B$5:$B$1005="VENTA")*(MOVIMIENTOS!$C$5:$C$1005="A")*(MOVIMIENTOS!$D$5:$D$1005="jabas")*(MOVIMIENTOS!$A$5:$A$1005&lt;&gt;"")*(MOVIMIENTOS!$A$5:$A$1005&lt;=$A398)*MOVIMIENTOS!$E$5:$E$1005)+SUMPRODUCT((MOVIMIENTOS!$B$5:$B$1005="AJUSTE")*(MOVIMIENTOS!$C$5:$C$1005="A")*(MOVIMIENTOS!$D$5:$D$1005="jabas")*(MOVIMIENTOS!$A$5:$A$1005&lt;&gt;"")*(MOVIMIENTOS!$A$5:$A$1005&lt;=$A398)*MOVIMIENTOS!$E$5:$E$1005))</f>
        <v/>
      </c>
      <c r="C398" s="63" t="str">
        <f>IF($A398="","",SUMPRODUCT((MOVIMIENTOS!$B$5:$B$1005="SALDO INICIAL")*(MOVIMIENTOS!$C$5:$C$1005="P")*(MOVIMIENTOS!$D$5:$D$1005="jabas")*(MOVIMIENTOS!$A$5:$A$1005&lt;&gt;"")*(MOVIMIENTOS!$A$5:$A$1005&lt;=$A398)*MOVIMIENTOS!$E$5:$E$1005)+SUMPRODUCT((MOVIMIENTOS!$B$5:$B$1005="PROCESO")*(MOVIMIENTOS!$C$5:$C$1005="P")*(MOVIMIENTOS!$D$5:$D$1005="jabas")*(MOVIMIENTOS!$A$5:$A$1005&lt;&gt;"")*(MOVIMIENTOS!$A$5:$A$1005&lt;=$A398)*MOVIMIENTOS!$E$5:$E$1005)-SUMPRODUCT((MOVIMIENTOS!$B$5:$B$1005="ENVÍO A SUPESA")*(MOVIMIENTOS!$C$5:$C$1005="P")*(MOVIMIENTOS!$D$5:$D$1005="jabas")*(MOVIMIENTOS!$A$5:$A$1005&lt;&gt;"")*(MOVIMIENTOS!$A$5:$A$1005&lt;=$A398)*MOVIMIENTOS!$E$5:$E$1005)+SUMPRODUCT((MOVIMIENTOS!$B$5:$B$1005="DEVOLUCIÓN")*(MOVIMIENTOS!$C$5:$C$1005="P")*(MOVIMIENTOS!$D$5:$D$1005="jabas")*(MOVIMIENTOS!$A$5:$A$1005&lt;&gt;"")*(MOVIMIENTOS!$A$5:$A$1005&lt;=$A398)*MOVIMIENTOS!$E$5:$E$1005)-SUMPRODUCT((MOVIMIENTOS!$B$5:$B$1005="TRASIEGO")*(MOVIMIENTOS!$C$5:$C$1005="P")*(MOVIMIENTOS!$D$5:$D$1005="jabas")*(MOVIMIENTOS!$A$5:$A$1005&lt;&gt;"")*(MOVIMIENTOS!$A$5:$A$1005&lt;=$A398)*MOVIMIENTOS!$E$5:$E$1005)-SUMPRODUCT((MOVIMIENTOS!$B$5:$B$1005="REGALO")*(MOVIMIENTOS!$C$5:$C$1005="P")*(MOVIMIENTOS!$D$5:$D$1005="jabas")*(MOVIMIENTOS!$A$5:$A$1005&lt;&gt;"")*(MOVIMIENTOS!$A$5:$A$1005&lt;=$A398)*MOVIMIENTOS!$E$5:$E$1005)-SUMPRODUCT((MOVIMIENTOS!$B$5:$B$1005="VENTA")*(MOVIMIENTOS!$C$5:$C$1005="P")*(MOVIMIENTOS!$D$5:$D$1005="jabas")*(MOVIMIENTOS!$A$5:$A$1005&lt;&gt;"")*(MOVIMIENTOS!$A$5:$A$1005&lt;=$A398)*MOVIMIENTOS!$E$5:$E$1005)+SUMPRODUCT((MOVIMIENTOS!$B$5:$B$1005="AJUSTE")*(MOVIMIENTOS!$C$5:$C$1005="P")*(MOVIMIENTOS!$D$5:$D$1005="jabas")*(MOVIMIENTOS!$A$5:$A$1005&lt;&gt;"")*(MOVIMIENTOS!$A$5:$A$1005&lt;=$A398)*MOVIMIENTOS!$E$5:$E$1005))</f>
        <v/>
      </c>
      <c r="D398" s="63" t="str">
        <f>IF($A398="","",SUMPRODUCT((MOVIMIENTOS!$B$5:$B$1005="SALDO INICIAL")*(MOVIMIENTOS!$C$5:$C$1005="C")*(MOVIMIENTOS!$D$5:$D$1005="jabas")*(MOVIMIENTOS!$A$5:$A$1005&lt;&gt;"")*(MOVIMIENTOS!$A$5:$A$1005&lt;=$A398)*MOVIMIENTOS!$E$5:$E$1005)+SUMPRODUCT((MOVIMIENTOS!$B$5:$B$1005="PROCESO")*(MOVIMIENTOS!$C$5:$C$1005="C")*(MOVIMIENTOS!$D$5:$D$1005="jabas")*(MOVIMIENTOS!$A$5:$A$1005&lt;&gt;"")*(MOVIMIENTOS!$A$5:$A$1005&lt;=$A398)*MOVIMIENTOS!$E$5:$E$1005)-SUMPRODUCT((MOVIMIENTOS!$B$5:$B$1005="ENVÍO A SUPESA")*(MOVIMIENTOS!$C$5:$C$1005="C")*(MOVIMIENTOS!$D$5:$D$1005="jabas")*(MOVIMIENTOS!$A$5:$A$1005&lt;&gt;"")*(MOVIMIENTOS!$A$5:$A$1005&lt;=$A398)*MOVIMIENTOS!$E$5:$E$1005)+SUMPRODUCT((MOVIMIENTOS!$B$5:$B$1005="DEVOLUCIÓN")*(MOVIMIENTOS!$C$5:$C$1005="C")*(MOVIMIENTOS!$D$5:$D$1005="jabas")*(MOVIMIENTOS!$A$5:$A$1005&lt;&gt;"")*(MOVIMIENTOS!$A$5:$A$1005&lt;=$A398)*MOVIMIENTOS!$E$5:$E$1005)-SUMPRODUCT((MOVIMIENTOS!$B$5:$B$1005="TRASIEGO")*(MOVIMIENTOS!$C$5:$C$1005="C")*(MOVIMIENTOS!$D$5:$D$1005="jabas")*(MOVIMIENTOS!$A$5:$A$1005&lt;&gt;"")*(MOVIMIENTOS!$A$5:$A$1005&lt;=$A398)*MOVIMIENTOS!$E$5:$E$1005)-SUMPRODUCT((MOVIMIENTOS!$B$5:$B$1005="REGALO")*(MOVIMIENTOS!$C$5:$C$1005="C")*(MOVIMIENTOS!$D$5:$D$1005="jabas")*(MOVIMIENTOS!$A$5:$A$1005&lt;&gt;"")*(MOVIMIENTOS!$A$5:$A$1005&lt;=$A398)*MOVIMIENTOS!$E$5:$E$1005)-SUMPRODUCT((MOVIMIENTOS!$B$5:$B$1005="VENTA")*(MOVIMIENTOS!$C$5:$C$1005="C")*(MOVIMIENTOS!$D$5:$D$1005="jabas")*(MOVIMIENTOS!$A$5:$A$1005&lt;&gt;"")*(MOVIMIENTOS!$A$5:$A$1005&lt;=$A398)*MOVIMIENTOS!$E$5:$E$1005)+SUMPRODUCT((MOVIMIENTOS!$B$5:$B$1005="AJUSTE")*(MOVIMIENTOS!$C$5:$C$1005="C")*(MOVIMIENTOS!$D$5:$D$1005="jabas")*(MOVIMIENTOS!$A$5:$A$1005&lt;&gt;"")*(MOVIMIENTOS!$A$5:$A$1005&lt;=$A398)*MOVIMIENTOS!$E$5:$E$1005))</f>
        <v/>
      </c>
      <c r="E398" s="63" t="str">
        <f>IF($A398="","",SUMPRODUCT((MOVIMIENTOS!$B$5:$B$1005="SALDO INICIAL")*(MOVIMIENTOS!$C$5:$C$1005="M")*(MOVIMIENTOS!$D$5:$D$1005="jabas")*(MOVIMIENTOS!$A$5:$A$1005&lt;&gt;"")*(MOVIMIENTOS!$A$5:$A$1005&lt;=$A398)*MOVIMIENTOS!$E$5:$E$1005)+SUMPRODUCT((MOVIMIENTOS!$B$5:$B$1005="PROCESO")*(MOVIMIENTOS!$C$5:$C$1005="M")*(MOVIMIENTOS!$D$5:$D$1005="jabas")*(MOVIMIENTOS!$A$5:$A$1005&lt;&gt;"")*(MOVIMIENTOS!$A$5:$A$1005&lt;=$A398)*MOVIMIENTOS!$E$5:$E$1005)-SUMPRODUCT((MOVIMIENTOS!$B$5:$B$1005="ENVÍO A SUPESA")*(MOVIMIENTOS!$C$5:$C$1005="M")*(MOVIMIENTOS!$D$5:$D$1005="jabas")*(MOVIMIENTOS!$A$5:$A$1005&lt;&gt;"")*(MOVIMIENTOS!$A$5:$A$1005&lt;=$A398)*MOVIMIENTOS!$E$5:$E$1005)+SUMPRODUCT((MOVIMIENTOS!$B$5:$B$1005="DEVOLUCIÓN")*(MOVIMIENTOS!$C$5:$C$1005="M")*(MOVIMIENTOS!$D$5:$D$1005="jabas")*(MOVIMIENTOS!$A$5:$A$1005&lt;&gt;"")*(MOVIMIENTOS!$A$5:$A$1005&lt;=$A398)*MOVIMIENTOS!$E$5:$E$1005)-SUMPRODUCT((MOVIMIENTOS!$B$5:$B$1005="TRASIEGO")*(MOVIMIENTOS!$C$5:$C$1005="M")*(MOVIMIENTOS!$D$5:$D$1005="jabas")*(MOVIMIENTOS!$A$5:$A$1005&lt;&gt;"")*(MOVIMIENTOS!$A$5:$A$1005&lt;=$A398)*MOVIMIENTOS!$E$5:$E$1005)-SUMPRODUCT((MOVIMIENTOS!$B$5:$B$1005="REGALO")*(MOVIMIENTOS!$C$5:$C$1005="M")*(MOVIMIENTOS!$D$5:$D$1005="jabas")*(MOVIMIENTOS!$A$5:$A$1005&lt;&gt;"")*(MOVIMIENTOS!$A$5:$A$1005&lt;=$A398)*MOVIMIENTOS!$E$5:$E$1005)-SUMPRODUCT((MOVIMIENTOS!$B$5:$B$1005="VENTA")*(MOVIMIENTOS!$C$5:$C$1005="M")*(MOVIMIENTOS!$D$5:$D$1005="jabas")*(MOVIMIENTOS!$A$5:$A$1005&lt;&gt;"")*(MOVIMIENTOS!$A$5:$A$1005&lt;=$A398)*MOVIMIENTOS!$E$5:$E$1005)+SUMPRODUCT((MOVIMIENTOS!$B$5:$B$1005="AJUSTE")*(MOVIMIENTOS!$C$5:$C$1005="M")*(MOVIMIENTOS!$D$5:$D$1005="jabas")*(MOVIMIENTOS!$A$5:$A$1005&lt;&gt;"")*(MOVIMIENTOS!$A$5:$A$1005&lt;=$A398)*MOVIMIENTOS!$E$5:$E$1005))</f>
        <v/>
      </c>
      <c r="F398" s="63" t="str">
        <f>IF($A398="","",SUMPRODUCT((MOVIMIENTOS!$B$5:$B$1005="SALDO INICIAL")*(MOVIMIENTOS!$C$5:$C$1005="Chancho")*(MOVIMIENTOS!$D$5:$D$1005="sacos")*(MOVIMIENTOS!$A$5:$A$1005&lt;&gt;"")*(MOVIMIENTOS!$A$5:$A$1005&lt;=$A398)*MOVIMIENTOS!$E$5:$E$1005)+SUMPRODUCT((MOVIMIENTOS!$B$5:$B$1005="PROCESO")*(MOVIMIENTOS!$C$5:$C$1005="Chancho")*(MOVIMIENTOS!$D$5:$D$1005="sacos")*(MOVIMIENTOS!$A$5:$A$1005&lt;&gt;"")*(MOVIMIENTOS!$A$5:$A$1005&lt;=$A398)*MOVIMIENTOS!$E$5:$E$1005)-SUMPRODUCT((MOVIMIENTOS!$B$5:$B$1005="VENTA CHANCHO")*(MOVIMIENTOS!$C$5:$C$1005="Chancho")*(MOVIMIENTOS!$D$5:$D$1005="sacos")*(MOVIMIENTOS!$A$5:$A$1005&lt;&gt;"")*(MOVIMIENTOS!$A$5:$A$1005&lt;=$A398)*MOVIMIENTOS!$E$5:$E$1005)-SUMPRODUCT((MOVIMIENTOS!$B$5:$B$1005="REGALO")*(MOVIMIENTOS!$C$5:$C$1005="Chancho")*(MOVIMIENTOS!$D$5:$D$1005="sacos")*(MOVIMIENTOS!$A$5:$A$1005&lt;&gt;"")*(MOVIMIENTOS!$A$5:$A$1005&lt;=$A398)*MOVIMIENTOS!$E$5:$E$1005)-SUMPRODUCT((MOVIMIENTOS!$B$5:$B$1005="VENTA")*(MOVIMIENTOS!$C$5:$C$1005="Chancho")*(MOVIMIENTOS!$D$5:$D$1005="sacos")*(MOVIMIENTOS!$A$5:$A$1005&lt;&gt;"")*(MOVIMIENTOS!$A$5:$A$1005&lt;=$A398)*MOVIMIENTOS!$E$5:$E$1005)+SUMPRODUCT((MOVIMIENTOS!$B$5:$B$1005="AJUSTE")*(MOVIMIENTOS!$C$5:$C$1005="Chancho")*(MOVIMIENTOS!$D$5:$D$1005="sacos")*(MOVIMIENTOS!$A$5:$A$1005&lt;&gt;"")*(MOVIMIENTOS!$A$5:$A$1005&lt;=$A398)*MOVIMIENTOS!$E$5:$E$1005))</f>
        <v/>
      </c>
      <c r="G398" s="95" t="str">
        <f t="shared" si="13"/>
        <v/>
      </c>
      <c r="H398" s="63" t="str">
        <f>IF($A398="","",SUMPRODUCT((((MOVIMIENTOS!$B$5:$B$1005="SALDO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398)*MOVIMIENTOS!$J$5:$J$1005))</f>
        <v/>
      </c>
      <c r="I398" s="63"/>
      <c r="J398" s="63" t="str">
        <f>IF(AND(MOVIMIENTOS!$A401&lt;&gt;"",COUNTIF(MOVIMIENTOS!$A$5:$A400,MOVIMIENTOS!$A401)=0),COUNT(J$4:J397)+1,"")</f>
        <v/>
      </c>
      <c r="K398" s="66">
        <f>MOVIMIENTOS!$A401</f>
        <v>46248</v>
      </c>
      <c r="L398" s="63"/>
      <c r="M398" s="63"/>
      <c r="N398" s="63"/>
    </row>
    <row r="399" spans="1:14" ht="15" customHeight="1" x14ac:dyDescent="0.2">
      <c r="A399" s="63" t="str">
        <f t="shared" si="12"/>
        <v/>
      </c>
      <c r="B399" s="63" t="str">
        <f>IF($A399="","",SUMPRODUCT((MOVIMIENTOS!$B$5:$B$1005="SALDO INICIAL")*(MOVIMIENTOS!$C$5:$C$1005="A")*(MOVIMIENTOS!$D$5:$D$1005="jabas")*(MOVIMIENTOS!$A$5:$A$1005&lt;&gt;"")*(MOVIMIENTOS!$A$5:$A$1005&lt;=$A399)*MOVIMIENTOS!$E$5:$E$1005)+SUMPRODUCT((MOVIMIENTOS!$B$5:$B$1005="PROCESO")*(MOVIMIENTOS!$C$5:$C$1005="A")*(MOVIMIENTOS!$D$5:$D$1005="jabas")*(MOVIMIENTOS!$A$5:$A$1005&lt;&gt;"")*(MOVIMIENTOS!$A$5:$A$1005&lt;=$A399)*MOVIMIENTOS!$E$5:$E$1005)-SUMPRODUCT((MOVIMIENTOS!$B$5:$B$1005="ENVÍO A SUPESA")*(MOVIMIENTOS!$C$5:$C$1005="A")*(MOVIMIENTOS!$D$5:$D$1005="jabas")*(MOVIMIENTOS!$A$5:$A$1005&lt;&gt;"")*(MOVIMIENTOS!$A$5:$A$1005&lt;=$A399)*MOVIMIENTOS!$E$5:$E$1005)+SUMPRODUCT((MOVIMIENTOS!$B$5:$B$1005="DEVOLUCIÓN")*(MOVIMIENTOS!$C$5:$C$1005="A")*(MOVIMIENTOS!$D$5:$D$1005="jabas")*(MOVIMIENTOS!$A$5:$A$1005&lt;&gt;"")*(MOVIMIENTOS!$A$5:$A$1005&lt;=$A399)*MOVIMIENTOS!$E$5:$E$1005)-SUMPRODUCT((MOVIMIENTOS!$B$5:$B$1005="TRASIEGO")*(MOVIMIENTOS!$C$5:$C$1005="A")*(MOVIMIENTOS!$D$5:$D$1005="jabas")*(MOVIMIENTOS!$A$5:$A$1005&lt;&gt;"")*(MOVIMIENTOS!$A$5:$A$1005&lt;=$A399)*MOVIMIENTOS!$E$5:$E$1005)-SUMPRODUCT((MOVIMIENTOS!$B$5:$B$1005="REGALO")*(MOVIMIENTOS!$C$5:$C$1005="A")*(MOVIMIENTOS!$D$5:$D$1005="jabas")*(MOVIMIENTOS!$A$5:$A$1005&lt;&gt;"")*(MOVIMIENTOS!$A$5:$A$1005&lt;=$A399)*MOVIMIENTOS!$E$5:$E$1005)-SUMPRODUCT((MOVIMIENTOS!$B$5:$B$1005="VENTA")*(MOVIMIENTOS!$C$5:$C$1005="A")*(MOVIMIENTOS!$D$5:$D$1005="jabas")*(MOVIMIENTOS!$A$5:$A$1005&lt;&gt;"")*(MOVIMIENTOS!$A$5:$A$1005&lt;=$A399)*MOVIMIENTOS!$E$5:$E$1005)+SUMPRODUCT((MOVIMIENTOS!$B$5:$B$1005="AJUSTE")*(MOVIMIENTOS!$C$5:$C$1005="A")*(MOVIMIENTOS!$D$5:$D$1005="jabas")*(MOVIMIENTOS!$A$5:$A$1005&lt;&gt;"")*(MOVIMIENTOS!$A$5:$A$1005&lt;=$A399)*MOVIMIENTOS!$E$5:$E$1005))</f>
        <v/>
      </c>
      <c r="C399" s="63" t="str">
        <f>IF($A399="","",SUMPRODUCT((MOVIMIENTOS!$B$5:$B$1005="SALDO INICIAL")*(MOVIMIENTOS!$C$5:$C$1005="P")*(MOVIMIENTOS!$D$5:$D$1005="jabas")*(MOVIMIENTOS!$A$5:$A$1005&lt;&gt;"")*(MOVIMIENTOS!$A$5:$A$1005&lt;=$A399)*MOVIMIENTOS!$E$5:$E$1005)+SUMPRODUCT((MOVIMIENTOS!$B$5:$B$1005="PROCESO")*(MOVIMIENTOS!$C$5:$C$1005="P")*(MOVIMIENTOS!$D$5:$D$1005="jabas")*(MOVIMIENTOS!$A$5:$A$1005&lt;&gt;"")*(MOVIMIENTOS!$A$5:$A$1005&lt;=$A399)*MOVIMIENTOS!$E$5:$E$1005)-SUMPRODUCT((MOVIMIENTOS!$B$5:$B$1005="ENVÍO A SUPESA")*(MOVIMIENTOS!$C$5:$C$1005="P")*(MOVIMIENTOS!$D$5:$D$1005="jabas")*(MOVIMIENTOS!$A$5:$A$1005&lt;&gt;"")*(MOVIMIENTOS!$A$5:$A$1005&lt;=$A399)*MOVIMIENTOS!$E$5:$E$1005)+SUMPRODUCT((MOVIMIENTOS!$B$5:$B$1005="DEVOLUCIÓN")*(MOVIMIENTOS!$C$5:$C$1005="P")*(MOVIMIENTOS!$D$5:$D$1005="jabas")*(MOVIMIENTOS!$A$5:$A$1005&lt;&gt;"")*(MOVIMIENTOS!$A$5:$A$1005&lt;=$A399)*MOVIMIENTOS!$E$5:$E$1005)-SUMPRODUCT((MOVIMIENTOS!$B$5:$B$1005="TRASIEGO")*(MOVIMIENTOS!$C$5:$C$1005="P")*(MOVIMIENTOS!$D$5:$D$1005="jabas")*(MOVIMIENTOS!$A$5:$A$1005&lt;&gt;"")*(MOVIMIENTOS!$A$5:$A$1005&lt;=$A399)*MOVIMIENTOS!$E$5:$E$1005)-SUMPRODUCT((MOVIMIENTOS!$B$5:$B$1005="REGALO")*(MOVIMIENTOS!$C$5:$C$1005="P")*(MOVIMIENTOS!$D$5:$D$1005="jabas")*(MOVIMIENTOS!$A$5:$A$1005&lt;&gt;"")*(MOVIMIENTOS!$A$5:$A$1005&lt;=$A399)*MOVIMIENTOS!$E$5:$E$1005)-SUMPRODUCT((MOVIMIENTOS!$B$5:$B$1005="VENTA")*(MOVIMIENTOS!$C$5:$C$1005="P")*(MOVIMIENTOS!$D$5:$D$1005="jabas")*(MOVIMIENTOS!$A$5:$A$1005&lt;&gt;"")*(MOVIMIENTOS!$A$5:$A$1005&lt;=$A399)*MOVIMIENTOS!$E$5:$E$1005)+SUMPRODUCT((MOVIMIENTOS!$B$5:$B$1005="AJUSTE")*(MOVIMIENTOS!$C$5:$C$1005="P")*(MOVIMIENTOS!$D$5:$D$1005="jabas")*(MOVIMIENTOS!$A$5:$A$1005&lt;&gt;"")*(MOVIMIENTOS!$A$5:$A$1005&lt;=$A399)*MOVIMIENTOS!$E$5:$E$1005))</f>
        <v/>
      </c>
      <c r="D399" s="63" t="str">
        <f>IF($A399="","",SUMPRODUCT((MOVIMIENTOS!$B$5:$B$1005="SALDO INICIAL")*(MOVIMIENTOS!$C$5:$C$1005="C")*(MOVIMIENTOS!$D$5:$D$1005="jabas")*(MOVIMIENTOS!$A$5:$A$1005&lt;&gt;"")*(MOVIMIENTOS!$A$5:$A$1005&lt;=$A399)*MOVIMIENTOS!$E$5:$E$1005)+SUMPRODUCT((MOVIMIENTOS!$B$5:$B$1005="PROCESO")*(MOVIMIENTOS!$C$5:$C$1005="C")*(MOVIMIENTOS!$D$5:$D$1005="jabas")*(MOVIMIENTOS!$A$5:$A$1005&lt;&gt;"")*(MOVIMIENTOS!$A$5:$A$1005&lt;=$A399)*MOVIMIENTOS!$E$5:$E$1005)-SUMPRODUCT((MOVIMIENTOS!$B$5:$B$1005="ENVÍO A SUPESA")*(MOVIMIENTOS!$C$5:$C$1005="C")*(MOVIMIENTOS!$D$5:$D$1005="jabas")*(MOVIMIENTOS!$A$5:$A$1005&lt;&gt;"")*(MOVIMIENTOS!$A$5:$A$1005&lt;=$A399)*MOVIMIENTOS!$E$5:$E$1005)+SUMPRODUCT((MOVIMIENTOS!$B$5:$B$1005="DEVOLUCIÓN")*(MOVIMIENTOS!$C$5:$C$1005="C")*(MOVIMIENTOS!$D$5:$D$1005="jabas")*(MOVIMIENTOS!$A$5:$A$1005&lt;&gt;"")*(MOVIMIENTOS!$A$5:$A$1005&lt;=$A399)*MOVIMIENTOS!$E$5:$E$1005)-SUMPRODUCT((MOVIMIENTOS!$B$5:$B$1005="TRASIEGO")*(MOVIMIENTOS!$C$5:$C$1005="C")*(MOVIMIENTOS!$D$5:$D$1005="jabas")*(MOVIMIENTOS!$A$5:$A$1005&lt;&gt;"")*(MOVIMIENTOS!$A$5:$A$1005&lt;=$A399)*MOVIMIENTOS!$E$5:$E$1005)-SUMPRODUCT((MOVIMIENTOS!$B$5:$B$1005="REGALO")*(MOVIMIENTOS!$C$5:$C$1005="C")*(MOVIMIENTOS!$D$5:$D$1005="jabas")*(MOVIMIENTOS!$A$5:$A$1005&lt;&gt;"")*(MOVIMIENTOS!$A$5:$A$1005&lt;=$A399)*MOVIMIENTOS!$E$5:$E$1005)-SUMPRODUCT((MOVIMIENTOS!$B$5:$B$1005="VENTA")*(MOVIMIENTOS!$C$5:$C$1005="C")*(MOVIMIENTOS!$D$5:$D$1005="jabas")*(MOVIMIENTOS!$A$5:$A$1005&lt;&gt;"")*(MOVIMIENTOS!$A$5:$A$1005&lt;=$A399)*MOVIMIENTOS!$E$5:$E$1005)+SUMPRODUCT((MOVIMIENTOS!$B$5:$B$1005="AJUSTE")*(MOVIMIENTOS!$C$5:$C$1005="C")*(MOVIMIENTOS!$D$5:$D$1005="jabas")*(MOVIMIENTOS!$A$5:$A$1005&lt;&gt;"")*(MOVIMIENTOS!$A$5:$A$1005&lt;=$A399)*MOVIMIENTOS!$E$5:$E$1005))</f>
        <v/>
      </c>
      <c r="E399" s="63" t="str">
        <f>IF($A399="","",SUMPRODUCT((MOVIMIENTOS!$B$5:$B$1005="SALDO INICIAL")*(MOVIMIENTOS!$C$5:$C$1005="M")*(MOVIMIENTOS!$D$5:$D$1005="jabas")*(MOVIMIENTOS!$A$5:$A$1005&lt;&gt;"")*(MOVIMIENTOS!$A$5:$A$1005&lt;=$A399)*MOVIMIENTOS!$E$5:$E$1005)+SUMPRODUCT((MOVIMIENTOS!$B$5:$B$1005="PROCESO")*(MOVIMIENTOS!$C$5:$C$1005="M")*(MOVIMIENTOS!$D$5:$D$1005="jabas")*(MOVIMIENTOS!$A$5:$A$1005&lt;&gt;"")*(MOVIMIENTOS!$A$5:$A$1005&lt;=$A399)*MOVIMIENTOS!$E$5:$E$1005)-SUMPRODUCT((MOVIMIENTOS!$B$5:$B$1005="ENVÍO A SUPESA")*(MOVIMIENTOS!$C$5:$C$1005="M")*(MOVIMIENTOS!$D$5:$D$1005="jabas")*(MOVIMIENTOS!$A$5:$A$1005&lt;&gt;"")*(MOVIMIENTOS!$A$5:$A$1005&lt;=$A399)*MOVIMIENTOS!$E$5:$E$1005)+SUMPRODUCT((MOVIMIENTOS!$B$5:$B$1005="DEVOLUCIÓN")*(MOVIMIENTOS!$C$5:$C$1005="M")*(MOVIMIENTOS!$D$5:$D$1005="jabas")*(MOVIMIENTOS!$A$5:$A$1005&lt;&gt;"")*(MOVIMIENTOS!$A$5:$A$1005&lt;=$A399)*MOVIMIENTOS!$E$5:$E$1005)-SUMPRODUCT((MOVIMIENTOS!$B$5:$B$1005="TRASIEGO")*(MOVIMIENTOS!$C$5:$C$1005="M")*(MOVIMIENTOS!$D$5:$D$1005="jabas")*(MOVIMIENTOS!$A$5:$A$1005&lt;&gt;"")*(MOVIMIENTOS!$A$5:$A$1005&lt;=$A399)*MOVIMIENTOS!$E$5:$E$1005)-SUMPRODUCT((MOVIMIENTOS!$B$5:$B$1005="REGALO")*(MOVIMIENTOS!$C$5:$C$1005="M")*(MOVIMIENTOS!$D$5:$D$1005="jabas")*(MOVIMIENTOS!$A$5:$A$1005&lt;&gt;"")*(MOVIMIENTOS!$A$5:$A$1005&lt;=$A399)*MOVIMIENTOS!$E$5:$E$1005)-SUMPRODUCT((MOVIMIENTOS!$B$5:$B$1005="VENTA")*(MOVIMIENTOS!$C$5:$C$1005="M")*(MOVIMIENTOS!$D$5:$D$1005="jabas")*(MOVIMIENTOS!$A$5:$A$1005&lt;&gt;"")*(MOVIMIENTOS!$A$5:$A$1005&lt;=$A399)*MOVIMIENTOS!$E$5:$E$1005)+SUMPRODUCT((MOVIMIENTOS!$B$5:$B$1005="AJUSTE")*(MOVIMIENTOS!$C$5:$C$1005="M")*(MOVIMIENTOS!$D$5:$D$1005="jabas")*(MOVIMIENTOS!$A$5:$A$1005&lt;&gt;"")*(MOVIMIENTOS!$A$5:$A$1005&lt;=$A399)*MOVIMIENTOS!$E$5:$E$1005))</f>
        <v/>
      </c>
      <c r="F399" s="63" t="str">
        <f>IF($A399="","",SUMPRODUCT((MOVIMIENTOS!$B$5:$B$1005="SALDO INICIAL")*(MOVIMIENTOS!$C$5:$C$1005="Chancho")*(MOVIMIENTOS!$D$5:$D$1005="sacos")*(MOVIMIENTOS!$A$5:$A$1005&lt;&gt;"")*(MOVIMIENTOS!$A$5:$A$1005&lt;=$A399)*MOVIMIENTOS!$E$5:$E$1005)+SUMPRODUCT((MOVIMIENTOS!$B$5:$B$1005="PROCESO")*(MOVIMIENTOS!$C$5:$C$1005="Chancho")*(MOVIMIENTOS!$D$5:$D$1005="sacos")*(MOVIMIENTOS!$A$5:$A$1005&lt;&gt;"")*(MOVIMIENTOS!$A$5:$A$1005&lt;=$A399)*MOVIMIENTOS!$E$5:$E$1005)-SUMPRODUCT((MOVIMIENTOS!$B$5:$B$1005="VENTA CHANCHO")*(MOVIMIENTOS!$C$5:$C$1005="Chancho")*(MOVIMIENTOS!$D$5:$D$1005="sacos")*(MOVIMIENTOS!$A$5:$A$1005&lt;&gt;"")*(MOVIMIENTOS!$A$5:$A$1005&lt;=$A399)*MOVIMIENTOS!$E$5:$E$1005)-SUMPRODUCT((MOVIMIENTOS!$B$5:$B$1005="REGALO")*(MOVIMIENTOS!$C$5:$C$1005="Chancho")*(MOVIMIENTOS!$D$5:$D$1005="sacos")*(MOVIMIENTOS!$A$5:$A$1005&lt;&gt;"")*(MOVIMIENTOS!$A$5:$A$1005&lt;=$A399)*MOVIMIENTOS!$E$5:$E$1005)-SUMPRODUCT((MOVIMIENTOS!$B$5:$B$1005="VENTA")*(MOVIMIENTOS!$C$5:$C$1005="Chancho")*(MOVIMIENTOS!$D$5:$D$1005="sacos")*(MOVIMIENTOS!$A$5:$A$1005&lt;&gt;"")*(MOVIMIENTOS!$A$5:$A$1005&lt;=$A399)*MOVIMIENTOS!$E$5:$E$1005)+SUMPRODUCT((MOVIMIENTOS!$B$5:$B$1005="AJUSTE")*(MOVIMIENTOS!$C$5:$C$1005="Chancho")*(MOVIMIENTOS!$D$5:$D$1005="sacos")*(MOVIMIENTOS!$A$5:$A$1005&lt;&gt;"")*(MOVIMIENTOS!$A$5:$A$1005&lt;=$A399)*MOVIMIENTOS!$E$5:$E$1005))</f>
        <v/>
      </c>
      <c r="G399" s="95" t="str">
        <f t="shared" si="13"/>
        <v/>
      </c>
      <c r="H399" s="63" t="str">
        <f>IF($A399="","",SUMPRODUCT((((MOVIMIENTOS!$B$5:$B$1005="SALDO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399)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399)*MOVIMIENTOS!$J$5:$J$1005))</f>
        <v/>
      </c>
      <c r="I399" s="63"/>
      <c r="J399" s="63" t="str">
        <f>IF(AND(MOVIMIENTOS!$A402&lt;&gt;"",COUNTIF(MOVIMIENTOS!$A$5:$A401,MOVIMIENTOS!$A402)=0),COUNT(J$4:J398)+1,"")</f>
        <v/>
      </c>
      <c r="K399" s="66">
        <f>MOVIMIENTOS!$A402</f>
        <v>46248</v>
      </c>
      <c r="L399" s="63"/>
      <c r="M399" s="63"/>
      <c r="N399" s="63"/>
    </row>
    <row r="400" spans="1:14" ht="15" customHeight="1" x14ac:dyDescent="0.2">
      <c r="A400" s="63" t="str">
        <f t="shared" si="12"/>
        <v/>
      </c>
      <c r="B400" s="63" t="str">
        <f>IF($A400="","",SUMPRODUCT((MOVIMIENTOS!$B$5:$B$1005="SALDO INICIAL")*(MOVIMIENTOS!$C$5:$C$1005="A")*(MOVIMIENTOS!$D$5:$D$1005="jabas")*(MOVIMIENTOS!$A$5:$A$1005&lt;&gt;"")*(MOVIMIENTOS!$A$5:$A$1005&lt;=$A400)*MOVIMIENTOS!$E$5:$E$1005)+SUMPRODUCT((MOVIMIENTOS!$B$5:$B$1005="PROCESO")*(MOVIMIENTOS!$C$5:$C$1005="A")*(MOVIMIENTOS!$D$5:$D$1005="jabas")*(MOVIMIENTOS!$A$5:$A$1005&lt;&gt;"")*(MOVIMIENTOS!$A$5:$A$1005&lt;=$A400)*MOVIMIENTOS!$E$5:$E$1005)-SUMPRODUCT((MOVIMIENTOS!$B$5:$B$1005="ENVÍO A SUPESA")*(MOVIMIENTOS!$C$5:$C$1005="A")*(MOVIMIENTOS!$D$5:$D$1005="jabas")*(MOVIMIENTOS!$A$5:$A$1005&lt;&gt;"")*(MOVIMIENTOS!$A$5:$A$1005&lt;=$A400)*MOVIMIENTOS!$E$5:$E$1005)+SUMPRODUCT((MOVIMIENTOS!$B$5:$B$1005="DEVOLUCIÓN")*(MOVIMIENTOS!$C$5:$C$1005="A")*(MOVIMIENTOS!$D$5:$D$1005="jabas")*(MOVIMIENTOS!$A$5:$A$1005&lt;&gt;"")*(MOVIMIENTOS!$A$5:$A$1005&lt;=$A400)*MOVIMIENTOS!$E$5:$E$1005)-SUMPRODUCT((MOVIMIENTOS!$B$5:$B$1005="TRASIEGO")*(MOVIMIENTOS!$C$5:$C$1005="A")*(MOVIMIENTOS!$D$5:$D$1005="jabas")*(MOVIMIENTOS!$A$5:$A$1005&lt;&gt;"")*(MOVIMIENTOS!$A$5:$A$1005&lt;=$A400)*MOVIMIENTOS!$E$5:$E$1005)-SUMPRODUCT((MOVIMIENTOS!$B$5:$B$1005="REGALO")*(MOVIMIENTOS!$C$5:$C$1005="A")*(MOVIMIENTOS!$D$5:$D$1005="jabas")*(MOVIMIENTOS!$A$5:$A$1005&lt;&gt;"")*(MOVIMIENTOS!$A$5:$A$1005&lt;=$A400)*MOVIMIENTOS!$E$5:$E$1005)-SUMPRODUCT((MOVIMIENTOS!$B$5:$B$1005="VENTA")*(MOVIMIENTOS!$C$5:$C$1005="A")*(MOVIMIENTOS!$D$5:$D$1005="jabas")*(MOVIMIENTOS!$A$5:$A$1005&lt;&gt;"")*(MOVIMIENTOS!$A$5:$A$1005&lt;=$A400)*MOVIMIENTOS!$E$5:$E$1005)+SUMPRODUCT((MOVIMIENTOS!$B$5:$B$1005="AJUSTE")*(MOVIMIENTOS!$C$5:$C$1005="A")*(MOVIMIENTOS!$D$5:$D$1005="jabas")*(MOVIMIENTOS!$A$5:$A$1005&lt;&gt;"")*(MOVIMIENTOS!$A$5:$A$1005&lt;=$A400)*MOVIMIENTOS!$E$5:$E$1005))</f>
        <v/>
      </c>
      <c r="C400" s="63" t="str">
        <f>IF($A400="","",SUMPRODUCT((MOVIMIENTOS!$B$5:$B$1005="SALDO INICIAL")*(MOVIMIENTOS!$C$5:$C$1005="P")*(MOVIMIENTOS!$D$5:$D$1005="jabas")*(MOVIMIENTOS!$A$5:$A$1005&lt;&gt;"")*(MOVIMIENTOS!$A$5:$A$1005&lt;=$A400)*MOVIMIENTOS!$E$5:$E$1005)+SUMPRODUCT((MOVIMIENTOS!$B$5:$B$1005="PROCESO")*(MOVIMIENTOS!$C$5:$C$1005="P")*(MOVIMIENTOS!$D$5:$D$1005="jabas")*(MOVIMIENTOS!$A$5:$A$1005&lt;&gt;"")*(MOVIMIENTOS!$A$5:$A$1005&lt;=$A400)*MOVIMIENTOS!$E$5:$E$1005)-SUMPRODUCT((MOVIMIENTOS!$B$5:$B$1005="ENVÍO A SUPESA")*(MOVIMIENTOS!$C$5:$C$1005="P")*(MOVIMIENTOS!$D$5:$D$1005="jabas")*(MOVIMIENTOS!$A$5:$A$1005&lt;&gt;"")*(MOVIMIENTOS!$A$5:$A$1005&lt;=$A400)*MOVIMIENTOS!$E$5:$E$1005)+SUMPRODUCT((MOVIMIENTOS!$B$5:$B$1005="DEVOLUCIÓN")*(MOVIMIENTOS!$C$5:$C$1005="P")*(MOVIMIENTOS!$D$5:$D$1005="jabas")*(MOVIMIENTOS!$A$5:$A$1005&lt;&gt;"")*(MOVIMIENTOS!$A$5:$A$1005&lt;=$A400)*MOVIMIENTOS!$E$5:$E$1005)-SUMPRODUCT((MOVIMIENTOS!$B$5:$B$1005="TRASIEGO")*(MOVIMIENTOS!$C$5:$C$1005="P")*(MOVIMIENTOS!$D$5:$D$1005="jabas")*(MOVIMIENTOS!$A$5:$A$1005&lt;&gt;"")*(MOVIMIENTOS!$A$5:$A$1005&lt;=$A400)*MOVIMIENTOS!$E$5:$E$1005)-SUMPRODUCT((MOVIMIENTOS!$B$5:$B$1005="REGALO")*(MOVIMIENTOS!$C$5:$C$1005="P")*(MOVIMIENTOS!$D$5:$D$1005="jabas")*(MOVIMIENTOS!$A$5:$A$1005&lt;&gt;"")*(MOVIMIENTOS!$A$5:$A$1005&lt;=$A400)*MOVIMIENTOS!$E$5:$E$1005)-SUMPRODUCT((MOVIMIENTOS!$B$5:$B$1005="VENTA")*(MOVIMIENTOS!$C$5:$C$1005="P")*(MOVIMIENTOS!$D$5:$D$1005="jabas")*(MOVIMIENTOS!$A$5:$A$1005&lt;&gt;"")*(MOVIMIENTOS!$A$5:$A$1005&lt;=$A400)*MOVIMIENTOS!$E$5:$E$1005)+SUMPRODUCT((MOVIMIENTOS!$B$5:$B$1005="AJUSTE")*(MOVIMIENTOS!$C$5:$C$1005="P")*(MOVIMIENTOS!$D$5:$D$1005="jabas")*(MOVIMIENTOS!$A$5:$A$1005&lt;&gt;"")*(MOVIMIENTOS!$A$5:$A$1005&lt;=$A400)*MOVIMIENTOS!$E$5:$E$1005))</f>
        <v/>
      </c>
      <c r="D400" s="63" t="str">
        <f>IF($A400="","",SUMPRODUCT((MOVIMIENTOS!$B$5:$B$1005="SALDO INICIAL")*(MOVIMIENTOS!$C$5:$C$1005="C")*(MOVIMIENTOS!$D$5:$D$1005="jabas")*(MOVIMIENTOS!$A$5:$A$1005&lt;&gt;"")*(MOVIMIENTOS!$A$5:$A$1005&lt;=$A400)*MOVIMIENTOS!$E$5:$E$1005)+SUMPRODUCT((MOVIMIENTOS!$B$5:$B$1005="PROCESO")*(MOVIMIENTOS!$C$5:$C$1005="C")*(MOVIMIENTOS!$D$5:$D$1005="jabas")*(MOVIMIENTOS!$A$5:$A$1005&lt;&gt;"")*(MOVIMIENTOS!$A$5:$A$1005&lt;=$A400)*MOVIMIENTOS!$E$5:$E$1005)-SUMPRODUCT((MOVIMIENTOS!$B$5:$B$1005="ENVÍO A SUPESA")*(MOVIMIENTOS!$C$5:$C$1005="C")*(MOVIMIENTOS!$D$5:$D$1005="jabas")*(MOVIMIENTOS!$A$5:$A$1005&lt;&gt;"")*(MOVIMIENTOS!$A$5:$A$1005&lt;=$A400)*MOVIMIENTOS!$E$5:$E$1005)+SUMPRODUCT((MOVIMIENTOS!$B$5:$B$1005="DEVOLUCIÓN")*(MOVIMIENTOS!$C$5:$C$1005="C")*(MOVIMIENTOS!$D$5:$D$1005="jabas")*(MOVIMIENTOS!$A$5:$A$1005&lt;&gt;"")*(MOVIMIENTOS!$A$5:$A$1005&lt;=$A400)*MOVIMIENTOS!$E$5:$E$1005)-SUMPRODUCT((MOVIMIENTOS!$B$5:$B$1005="TRASIEGO")*(MOVIMIENTOS!$C$5:$C$1005="C")*(MOVIMIENTOS!$D$5:$D$1005="jabas")*(MOVIMIENTOS!$A$5:$A$1005&lt;&gt;"")*(MOVIMIENTOS!$A$5:$A$1005&lt;=$A400)*MOVIMIENTOS!$E$5:$E$1005)-SUMPRODUCT((MOVIMIENTOS!$B$5:$B$1005="REGALO")*(MOVIMIENTOS!$C$5:$C$1005="C")*(MOVIMIENTOS!$D$5:$D$1005="jabas")*(MOVIMIENTOS!$A$5:$A$1005&lt;&gt;"")*(MOVIMIENTOS!$A$5:$A$1005&lt;=$A400)*MOVIMIENTOS!$E$5:$E$1005)-SUMPRODUCT((MOVIMIENTOS!$B$5:$B$1005="VENTA")*(MOVIMIENTOS!$C$5:$C$1005="C")*(MOVIMIENTOS!$D$5:$D$1005="jabas")*(MOVIMIENTOS!$A$5:$A$1005&lt;&gt;"")*(MOVIMIENTOS!$A$5:$A$1005&lt;=$A400)*MOVIMIENTOS!$E$5:$E$1005)+SUMPRODUCT((MOVIMIENTOS!$B$5:$B$1005="AJUSTE")*(MOVIMIENTOS!$C$5:$C$1005="C")*(MOVIMIENTOS!$D$5:$D$1005="jabas")*(MOVIMIENTOS!$A$5:$A$1005&lt;&gt;"")*(MOVIMIENTOS!$A$5:$A$1005&lt;=$A400)*MOVIMIENTOS!$E$5:$E$1005))</f>
        <v/>
      </c>
      <c r="E400" s="63" t="str">
        <f>IF($A400="","",SUMPRODUCT((MOVIMIENTOS!$B$5:$B$1005="SALDO INICIAL")*(MOVIMIENTOS!$C$5:$C$1005="M")*(MOVIMIENTOS!$D$5:$D$1005="jabas")*(MOVIMIENTOS!$A$5:$A$1005&lt;&gt;"")*(MOVIMIENTOS!$A$5:$A$1005&lt;=$A400)*MOVIMIENTOS!$E$5:$E$1005)+SUMPRODUCT((MOVIMIENTOS!$B$5:$B$1005="PROCESO")*(MOVIMIENTOS!$C$5:$C$1005="M")*(MOVIMIENTOS!$D$5:$D$1005="jabas")*(MOVIMIENTOS!$A$5:$A$1005&lt;&gt;"")*(MOVIMIENTOS!$A$5:$A$1005&lt;=$A400)*MOVIMIENTOS!$E$5:$E$1005)-SUMPRODUCT((MOVIMIENTOS!$B$5:$B$1005="ENVÍO A SUPESA")*(MOVIMIENTOS!$C$5:$C$1005="M")*(MOVIMIENTOS!$D$5:$D$1005="jabas")*(MOVIMIENTOS!$A$5:$A$1005&lt;&gt;"")*(MOVIMIENTOS!$A$5:$A$1005&lt;=$A400)*MOVIMIENTOS!$E$5:$E$1005)+SUMPRODUCT((MOVIMIENTOS!$B$5:$B$1005="DEVOLUCIÓN")*(MOVIMIENTOS!$C$5:$C$1005="M")*(MOVIMIENTOS!$D$5:$D$1005="jabas")*(MOVIMIENTOS!$A$5:$A$1005&lt;&gt;"")*(MOVIMIENTOS!$A$5:$A$1005&lt;=$A400)*MOVIMIENTOS!$E$5:$E$1005)-SUMPRODUCT((MOVIMIENTOS!$B$5:$B$1005="TRASIEGO")*(MOVIMIENTOS!$C$5:$C$1005="M")*(MOVIMIENTOS!$D$5:$D$1005="jabas")*(MOVIMIENTOS!$A$5:$A$1005&lt;&gt;"")*(MOVIMIENTOS!$A$5:$A$1005&lt;=$A400)*MOVIMIENTOS!$E$5:$E$1005)-SUMPRODUCT((MOVIMIENTOS!$B$5:$B$1005="REGALO")*(MOVIMIENTOS!$C$5:$C$1005="M")*(MOVIMIENTOS!$D$5:$D$1005="jabas")*(MOVIMIENTOS!$A$5:$A$1005&lt;&gt;"")*(MOVIMIENTOS!$A$5:$A$1005&lt;=$A400)*MOVIMIENTOS!$E$5:$E$1005)-SUMPRODUCT((MOVIMIENTOS!$B$5:$B$1005="VENTA")*(MOVIMIENTOS!$C$5:$C$1005="M")*(MOVIMIENTOS!$D$5:$D$1005="jabas")*(MOVIMIENTOS!$A$5:$A$1005&lt;&gt;"")*(MOVIMIENTOS!$A$5:$A$1005&lt;=$A400)*MOVIMIENTOS!$E$5:$E$1005)+SUMPRODUCT((MOVIMIENTOS!$B$5:$B$1005="AJUSTE")*(MOVIMIENTOS!$C$5:$C$1005="M")*(MOVIMIENTOS!$D$5:$D$1005="jabas")*(MOVIMIENTOS!$A$5:$A$1005&lt;&gt;"")*(MOVIMIENTOS!$A$5:$A$1005&lt;=$A400)*MOVIMIENTOS!$E$5:$E$1005))</f>
        <v/>
      </c>
      <c r="F400" s="63" t="str">
        <f>IF($A400="","",SUMPRODUCT((MOVIMIENTOS!$B$5:$B$1005="SALDO INICIAL")*(MOVIMIENTOS!$C$5:$C$1005="Chancho")*(MOVIMIENTOS!$D$5:$D$1005="sacos")*(MOVIMIENTOS!$A$5:$A$1005&lt;&gt;"")*(MOVIMIENTOS!$A$5:$A$1005&lt;=$A400)*MOVIMIENTOS!$E$5:$E$1005)+SUMPRODUCT((MOVIMIENTOS!$B$5:$B$1005="PROCESO")*(MOVIMIENTOS!$C$5:$C$1005="Chancho")*(MOVIMIENTOS!$D$5:$D$1005="sacos")*(MOVIMIENTOS!$A$5:$A$1005&lt;&gt;"")*(MOVIMIENTOS!$A$5:$A$1005&lt;=$A400)*MOVIMIENTOS!$E$5:$E$1005)-SUMPRODUCT((MOVIMIENTOS!$B$5:$B$1005="VENTA CHANCHO")*(MOVIMIENTOS!$C$5:$C$1005="Chancho")*(MOVIMIENTOS!$D$5:$D$1005="sacos")*(MOVIMIENTOS!$A$5:$A$1005&lt;&gt;"")*(MOVIMIENTOS!$A$5:$A$1005&lt;=$A400)*MOVIMIENTOS!$E$5:$E$1005)-SUMPRODUCT((MOVIMIENTOS!$B$5:$B$1005="REGALO")*(MOVIMIENTOS!$C$5:$C$1005="Chancho")*(MOVIMIENTOS!$D$5:$D$1005="sacos")*(MOVIMIENTOS!$A$5:$A$1005&lt;&gt;"")*(MOVIMIENTOS!$A$5:$A$1005&lt;=$A400)*MOVIMIENTOS!$E$5:$E$1005)-SUMPRODUCT((MOVIMIENTOS!$B$5:$B$1005="VENTA")*(MOVIMIENTOS!$C$5:$C$1005="Chancho")*(MOVIMIENTOS!$D$5:$D$1005="sacos")*(MOVIMIENTOS!$A$5:$A$1005&lt;&gt;"")*(MOVIMIENTOS!$A$5:$A$1005&lt;=$A400)*MOVIMIENTOS!$E$5:$E$1005)+SUMPRODUCT((MOVIMIENTOS!$B$5:$B$1005="AJUSTE")*(MOVIMIENTOS!$C$5:$C$1005="Chancho")*(MOVIMIENTOS!$D$5:$D$1005="sacos")*(MOVIMIENTOS!$A$5:$A$1005&lt;&gt;"")*(MOVIMIENTOS!$A$5:$A$1005&lt;=$A400)*MOVIMIENTOS!$E$5:$E$1005))</f>
        <v/>
      </c>
      <c r="G400" s="95" t="str">
        <f t="shared" si="13"/>
        <v/>
      </c>
      <c r="H400" s="63" t="str">
        <f>IF($A400="","",SUMPRODUCT((((MOVIMIENTOS!$B$5:$B$1005="SALDO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400)*MOVIMIENTOS!$J$5:$J$1005))</f>
        <v/>
      </c>
      <c r="I400" s="63"/>
      <c r="J400" s="63" t="str">
        <f>IF(AND(MOVIMIENTOS!$A403&lt;&gt;"",COUNTIF(MOVIMIENTOS!$A$5:$A402,MOVIMIENTOS!$A403)=0),COUNT(J$4:J399)+1,"")</f>
        <v/>
      </c>
      <c r="K400" s="66">
        <f>MOVIMIENTOS!$A403</f>
        <v>46248</v>
      </c>
      <c r="L400" s="63"/>
      <c r="M400" s="63"/>
      <c r="N400" s="63"/>
    </row>
    <row r="401" spans="1:11" ht="15" customHeight="1" x14ac:dyDescent="0.2">
      <c r="A401" t="str">
        <f t="shared" si="12"/>
        <v/>
      </c>
      <c r="B401" t="str">
        <f>IF($A401="","",SUMPRODUCT((MOVIMIENTOS!$B$5:$B$1005="SALDO INICIAL")*(MOVIMIENTOS!$C$5:$C$1005="A")*(MOVIMIENTOS!$D$5:$D$1005="jabas")*(MOVIMIENTOS!$A$5:$A$1005&lt;&gt;"")*(MOVIMIENTOS!$A$5:$A$1005&lt;=$A401)*MOVIMIENTOS!$E$5:$E$1005)+SUMPRODUCT((MOVIMIENTOS!$B$5:$B$1005="PROCESO")*(MOVIMIENTOS!$C$5:$C$1005="A")*(MOVIMIENTOS!$D$5:$D$1005="jabas")*(MOVIMIENTOS!$A$5:$A$1005&lt;&gt;"")*(MOVIMIENTOS!$A$5:$A$1005&lt;=$A401)*MOVIMIENTOS!$E$5:$E$1005)-SUMPRODUCT((MOVIMIENTOS!$B$5:$B$1005="ENVÍO A SUPESA")*(MOVIMIENTOS!$C$5:$C$1005="A")*(MOVIMIENTOS!$D$5:$D$1005="jabas")*(MOVIMIENTOS!$A$5:$A$1005&lt;&gt;"")*(MOVIMIENTOS!$A$5:$A$1005&lt;=$A401)*MOVIMIENTOS!$E$5:$E$1005)+SUMPRODUCT((MOVIMIENTOS!$B$5:$B$1005="DEVOLUCIÓN")*(MOVIMIENTOS!$C$5:$C$1005="A")*(MOVIMIENTOS!$D$5:$D$1005="jabas")*(MOVIMIENTOS!$A$5:$A$1005&lt;&gt;"")*(MOVIMIENTOS!$A$5:$A$1005&lt;=$A401)*MOVIMIENTOS!$E$5:$E$1005)-SUMPRODUCT((MOVIMIENTOS!$B$5:$B$1005="TRASIEGO")*(MOVIMIENTOS!$C$5:$C$1005="A")*(MOVIMIENTOS!$D$5:$D$1005="jabas")*(MOVIMIENTOS!$A$5:$A$1005&lt;&gt;"")*(MOVIMIENTOS!$A$5:$A$1005&lt;=$A401)*MOVIMIENTOS!$E$5:$E$1005)-SUMPRODUCT((MOVIMIENTOS!$B$5:$B$1005="REGALO")*(MOVIMIENTOS!$C$5:$C$1005="A")*(MOVIMIENTOS!$D$5:$D$1005="jabas")*(MOVIMIENTOS!$A$5:$A$1005&lt;&gt;"")*(MOVIMIENTOS!$A$5:$A$1005&lt;=$A401)*MOVIMIENTOS!$E$5:$E$1005)-SUMPRODUCT((MOVIMIENTOS!$B$5:$B$1005="VENTA")*(MOVIMIENTOS!$C$5:$C$1005="A")*(MOVIMIENTOS!$D$5:$D$1005="jabas")*(MOVIMIENTOS!$A$5:$A$1005&lt;&gt;"")*(MOVIMIENTOS!$A$5:$A$1005&lt;=$A401)*MOVIMIENTOS!$E$5:$E$1005)+SUMPRODUCT((MOVIMIENTOS!$B$5:$B$1005="AJUSTE")*(MOVIMIENTOS!$C$5:$C$1005="A")*(MOVIMIENTOS!$D$5:$D$1005="jabas")*(MOVIMIENTOS!$A$5:$A$1005&lt;&gt;"")*(MOVIMIENTOS!$A$5:$A$1005&lt;=$A401)*MOVIMIENTOS!$E$5:$E$1005))</f>
        <v/>
      </c>
      <c r="C401" t="str">
        <f>IF($A401="","",SUMPRODUCT((MOVIMIENTOS!$B$5:$B$1005="SALDO INICIAL")*(MOVIMIENTOS!$C$5:$C$1005="P")*(MOVIMIENTOS!$D$5:$D$1005="jabas")*(MOVIMIENTOS!$A$5:$A$1005&lt;&gt;"")*(MOVIMIENTOS!$A$5:$A$1005&lt;=$A401)*MOVIMIENTOS!$E$5:$E$1005)+SUMPRODUCT((MOVIMIENTOS!$B$5:$B$1005="PROCESO")*(MOVIMIENTOS!$C$5:$C$1005="P")*(MOVIMIENTOS!$D$5:$D$1005="jabas")*(MOVIMIENTOS!$A$5:$A$1005&lt;&gt;"")*(MOVIMIENTOS!$A$5:$A$1005&lt;=$A401)*MOVIMIENTOS!$E$5:$E$1005)-SUMPRODUCT((MOVIMIENTOS!$B$5:$B$1005="ENVÍO A SUPESA")*(MOVIMIENTOS!$C$5:$C$1005="P")*(MOVIMIENTOS!$D$5:$D$1005="jabas")*(MOVIMIENTOS!$A$5:$A$1005&lt;&gt;"")*(MOVIMIENTOS!$A$5:$A$1005&lt;=$A401)*MOVIMIENTOS!$E$5:$E$1005)+SUMPRODUCT((MOVIMIENTOS!$B$5:$B$1005="DEVOLUCIÓN")*(MOVIMIENTOS!$C$5:$C$1005="P")*(MOVIMIENTOS!$D$5:$D$1005="jabas")*(MOVIMIENTOS!$A$5:$A$1005&lt;&gt;"")*(MOVIMIENTOS!$A$5:$A$1005&lt;=$A401)*MOVIMIENTOS!$E$5:$E$1005)-SUMPRODUCT((MOVIMIENTOS!$B$5:$B$1005="TRASIEGO")*(MOVIMIENTOS!$C$5:$C$1005="P")*(MOVIMIENTOS!$D$5:$D$1005="jabas")*(MOVIMIENTOS!$A$5:$A$1005&lt;&gt;"")*(MOVIMIENTOS!$A$5:$A$1005&lt;=$A401)*MOVIMIENTOS!$E$5:$E$1005)-SUMPRODUCT((MOVIMIENTOS!$B$5:$B$1005="REGALO")*(MOVIMIENTOS!$C$5:$C$1005="P")*(MOVIMIENTOS!$D$5:$D$1005="jabas")*(MOVIMIENTOS!$A$5:$A$1005&lt;&gt;"")*(MOVIMIENTOS!$A$5:$A$1005&lt;=$A401)*MOVIMIENTOS!$E$5:$E$1005)-SUMPRODUCT((MOVIMIENTOS!$B$5:$B$1005="VENTA")*(MOVIMIENTOS!$C$5:$C$1005="P")*(MOVIMIENTOS!$D$5:$D$1005="jabas")*(MOVIMIENTOS!$A$5:$A$1005&lt;&gt;"")*(MOVIMIENTOS!$A$5:$A$1005&lt;=$A401)*MOVIMIENTOS!$E$5:$E$1005)+SUMPRODUCT((MOVIMIENTOS!$B$5:$B$1005="AJUSTE")*(MOVIMIENTOS!$C$5:$C$1005="P")*(MOVIMIENTOS!$D$5:$D$1005="jabas")*(MOVIMIENTOS!$A$5:$A$1005&lt;&gt;"")*(MOVIMIENTOS!$A$5:$A$1005&lt;=$A401)*MOVIMIENTOS!$E$5:$E$1005))</f>
        <v/>
      </c>
      <c r="D401" t="str">
        <f>IF($A401="","",SUMPRODUCT((MOVIMIENTOS!$B$5:$B$1005="SALDO INICIAL")*(MOVIMIENTOS!$C$5:$C$1005="C")*(MOVIMIENTOS!$D$5:$D$1005="jabas")*(MOVIMIENTOS!$A$5:$A$1005&lt;&gt;"")*(MOVIMIENTOS!$A$5:$A$1005&lt;=$A401)*MOVIMIENTOS!$E$5:$E$1005)+SUMPRODUCT((MOVIMIENTOS!$B$5:$B$1005="PROCESO")*(MOVIMIENTOS!$C$5:$C$1005="C")*(MOVIMIENTOS!$D$5:$D$1005="jabas")*(MOVIMIENTOS!$A$5:$A$1005&lt;&gt;"")*(MOVIMIENTOS!$A$5:$A$1005&lt;=$A401)*MOVIMIENTOS!$E$5:$E$1005)-SUMPRODUCT((MOVIMIENTOS!$B$5:$B$1005="ENVÍO A SUPESA")*(MOVIMIENTOS!$C$5:$C$1005="C")*(MOVIMIENTOS!$D$5:$D$1005="jabas")*(MOVIMIENTOS!$A$5:$A$1005&lt;&gt;"")*(MOVIMIENTOS!$A$5:$A$1005&lt;=$A401)*MOVIMIENTOS!$E$5:$E$1005)+SUMPRODUCT((MOVIMIENTOS!$B$5:$B$1005="DEVOLUCIÓN")*(MOVIMIENTOS!$C$5:$C$1005="C")*(MOVIMIENTOS!$D$5:$D$1005="jabas")*(MOVIMIENTOS!$A$5:$A$1005&lt;&gt;"")*(MOVIMIENTOS!$A$5:$A$1005&lt;=$A401)*MOVIMIENTOS!$E$5:$E$1005)-SUMPRODUCT((MOVIMIENTOS!$B$5:$B$1005="TRASIEGO")*(MOVIMIENTOS!$C$5:$C$1005="C")*(MOVIMIENTOS!$D$5:$D$1005="jabas")*(MOVIMIENTOS!$A$5:$A$1005&lt;&gt;"")*(MOVIMIENTOS!$A$5:$A$1005&lt;=$A401)*MOVIMIENTOS!$E$5:$E$1005)-SUMPRODUCT((MOVIMIENTOS!$B$5:$B$1005="REGALO")*(MOVIMIENTOS!$C$5:$C$1005="C")*(MOVIMIENTOS!$D$5:$D$1005="jabas")*(MOVIMIENTOS!$A$5:$A$1005&lt;&gt;"")*(MOVIMIENTOS!$A$5:$A$1005&lt;=$A401)*MOVIMIENTOS!$E$5:$E$1005)-SUMPRODUCT((MOVIMIENTOS!$B$5:$B$1005="VENTA")*(MOVIMIENTOS!$C$5:$C$1005="C")*(MOVIMIENTOS!$D$5:$D$1005="jabas")*(MOVIMIENTOS!$A$5:$A$1005&lt;&gt;"")*(MOVIMIENTOS!$A$5:$A$1005&lt;=$A401)*MOVIMIENTOS!$E$5:$E$1005)+SUMPRODUCT((MOVIMIENTOS!$B$5:$B$1005="AJUSTE")*(MOVIMIENTOS!$C$5:$C$1005="C")*(MOVIMIENTOS!$D$5:$D$1005="jabas")*(MOVIMIENTOS!$A$5:$A$1005&lt;&gt;"")*(MOVIMIENTOS!$A$5:$A$1005&lt;=$A401)*MOVIMIENTOS!$E$5:$E$1005))</f>
        <v/>
      </c>
      <c r="E401" t="str">
        <f>IF($A401="","",SUMPRODUCT((MOVIMIENTOS!$B$5:$B$1005="SALDO INICIAL")*(MOVIMIENTOS!$C$5:$C$1005="M")*(MOVIMIENTOS!$D$5:$D$1005="jabas")*(MOVIMIENTOS!$A$5:$A$1005&lt;&gt;"")*(MOVIMIENTOS!$A$5:$A$1005&lt;=$A401)*MOVIMIENTOS!$E$5:$E$1005)+SUMPRODUCT((MOVIMIENTOS!$B$5:$B$1005="PROCESO")*(MOVIMIENTOS!$C$5:$C$1005="M")*(MOVIMIENTOS!$D$5:$D$1005="jabas")*(MOVIMIENTOS!$A$5:$A$1005&lt;&gt;"")*(MOVIMIENTOS!$A$5:$A$1005&lt;=$A401)*MOVIMIENTOS!$E$5:$E$1005)-SUMPRODUCT((MOVIMIENTOS!$B$5:$B$1005="ENVÍO A SUPESA")*(MOVIMIENTOS!$C$5:$C$1005="M")*(MOVIMIENTOS!$D$5:$D$1005="jabas")*(MOVIMIENTOS!$A$5:$A$1005&lt;&gt;"")*(MOVIMIENTOS!$A$5:$A$1005&lt;=$A401)*MOVIMIENTOS!$E$5:$E$1005)+SUMPRODUCT((MOVIMIENTOS!$B$5:$B$1005="DEVOLUCIÓN")*(MOVIMIENTOS!$C$5:$C$1005="M")*(MOVIMIENTOS!$D$5:$D$1005="jabas")*(MOVIMIENTOS!$A$5:$A$1005&lt;&gt;"")*(MOVIMIENTOS!$A$5:$A$1005&lt;=$A401)*MOVIMIENTOS!$E$5:$E$1005)-SUMPRODUCT((MOVIMIENTOS!$B$5:$B$1005="TRASIEGO")*(MOVIMIENTOS!$C$5:$C$1005="M")*(MOVIMIENTOS!$D$5:$D$1005="jabas")*(MOVIMIENTOS!$A$5:$A$1005&lt;&gt;"")*(MOVIMIENTOS!$A$5:$A$1005&lt;=$A401)*MOVIMIENTOS!$E$5:$E$1005)-SUMPRODUCT((MOVIMIENTOS!$B$5:$B$1005="REGALO")*(MOVIMIENTOS!$C$5:$C$1005="M")*(MOVIMIENTOS!$D$5:$D$1005="jabas")*(MOVIMIENTOS!$A$5:$A$1005&lt;&gt;"")*(MOVIMIENTOS!$A$5:$A$1005&lt;=$A401)*MOVIMIENTOS!$E$5:$E$1005)-SUMPRODUCT((MOVIMIENTOS!$B$5:$B$1005="VENTA")*(MOVIMIENTOS!$C$5:$C$1005="M")*(MOVIMIENTOS!$D$5:$D$1005="jabas")*(MOVIMIENTOS!$A$5:$A$1005&lt;&gt;"")*(MOVIMIENTOS!$A$5:$A$1005&lt;=$A401)*MOVIMIENTOS!$E$5:$E$1005)+SUMPRODUCT((MOVIMIENTOS!$B$5:$B$1005="AJUSTE")*(MOVIMIENTOS!$C$5:$C$1005="M")*(MOVIMIENTOS!$D$5:$D$1005="jabas")*(MOVIMIENTOS!$A$5:$A$1005&lt;&gt;"")*(MOVIMIENTOS!$A$5:$A$1005&lt;=$A401)*MOVIMIENTOS!$E$5:$E$1005))</f>
        <v/>
      </c>
      <c r="F401" s="62" t="str">
        <f>IF($A401="","",SUMPRODUCT((MOVIMIENTOS!$B$5:$B$1005="SALDO INICIAL")*(MOVIMIENTOS!$C$5:$C$1005="Chancho")*(MOVIMIENTOS!$D$5:$D$1005="sacos")*(MOVIMIENTOS!$A$5:$A$1005&lt;&gt;"")*(MOVIMIENTOS!$A$5:$A$1005&lt;=$A401)*MOVIMIENTOS!$E$5:$E$1005)+SUMPRODUCT((MOVIMIENTOS!$B$5:$B$1005="PROCESO")*(MOVIMIENTOS!$C$5:$C$1005="Chancho")*(MOVIMIENTOS!$D$5:$D$1005="sacos")*(MOVIMIENTOS!$A$5:$A$1005&lt;&gt;"")*(MOVIMIENTOS!$A$5:$A$1005&lt;=$A401)*MOVIMIENTOS!$E$5:$E$1005)-SUMPRODUCT((MOVIMIENTOS!$B$5:$B$1005="VENTA CHANCHO")*(MOVIMIENTOS!$C$5:$C$1005="Chancho")*(MOVIMIENTOS!$D$5:$D$1005="sacos")*(MOVIMIENTOS!$A$5:$A$1005&lt;&gt;"")*(MOVIMIENTOS!$A$5:$A$1005&lt;=$A401)*MOVIMIENTOS!$E$5:$E$1005)-SUMPRODUCT((MOVIMIENTOS!$B$5:$B$1005="REGALO")*(MOVIMIENTOS!$C$5:$C$1005="Chancho")*(MOVIMIENTOS!$D$5:$D$1005="sacos")*(MOVIMIENTOS!$A$5:$A$1005&lt;&gt;"")*(MOVIMIENTOS!$A$5:$A$1005&lt;=$A401)*MOVIMIENTOS!$E$5:$E$1005)-SUMPRODUCT((MOVIMIENTOS!$B$5:$B$1005="VENTA")*(MOVIMIENTOS!$C$5:$C$1005="Chancho")*(MOVIMIENTOS!$D$5:$D$1005="sacos")*(MOVIMIENTOS!$A$5:$A$1005&lt;&gt;"")*(MOVIMIENTOS!$A$5:$A$1005&lt;=$A401)*MOVIMIENTOS!$E$5:$E$1005)+SUMPRODUCT((MOVIMIENTOS!$B$5:$B$1005="AJUSTE")*(MOVIMIENTOS!$C$5:$C$1005="Chancho")*(MOVIMIENTOS!$D$5:$D$1005="sacos")*(MOVIMIENTOS!$A$5:$A$1005&lt;&gt;"")*(MOVIMIENTOS!$A$5:$A$1005&lt;=$A401)*MOVIMIENTOS!$E$5:$E$1005))</f>
        <v/>
      </c>
      <c r="G401" s="62" t="str">
        <f t="shared" si="13"/>
        <v/>
      </c>
      <c r="H401" t="str">
        <f>IF($A401="","",SUMPRODUCT((((MOVIMIENTOS!$B$5:$B$1005="SALDO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401)*MOVIMIENTOS!$J$5:$J$1005))</f>
        <v/>
      </c>
      <c r="J401" t="str">
        <f>IF(AND(MOVIMIENTOS!$A404&lt;&gt;"",COUNTIF(MOVIMIENTOS!$A$5:$A403,MOVIMIENTOS!$A404)=0),COUNT(J$4:J400)+1,"")</f>
        <v/>
      </c>
      <c r="K401" s="67">
        <f>MOVIMIENTOS!$A404</f>
        <v>46248</v>
      </c>
    </row>
    <row r="402" spans="1:11" ht="15" customHeight="1" x14ac:dyDescent="0.2">
      <c r="A402" t="str">
        <f t="shared" si="12"/>
        <v/>
      </c>
      <c r="B402" t="str">
        <f>IF($A402="","",SUMPRODUCT((MOVIMIENTOS!$B$5:$B$1005="SALDO INICIAL")*(MOVIMIENTOS!$C$5:$C$1005="A")*(MOVIMIENTOS!$D$5:$D$1005="jabas")*(MOVIMIENTOS!$A$5:$A$1005&lt;&gt;"")*(MOVIMIENTOS!$A$5:$A$1005&lt;=$A402)*MOVIMIENTOS!$E$5:$E$1005)+SUMPRODUCT((MOVIMIENTOS!$B$5:$B$1005="PROCESO")*(MOVIMIENTOS!$C$5:$C$1005="A")*(MOVIMIENTOS!$D$5:$D$1005="jabas")*(MOVIMIENTOS!$A$5:$A$1005&lt;&gt;"")*(MOVIMIENTOS!$A$5:$A$1005&lt;=$A402)*MOVIMIENTOS!$E$5:$E$1005)-SUMPRODUCT((MOVIMIENTOS!$B$5:$B$1005="ENVÍO A SUPESA")*(MOVIMIENTOS!$C$5:$C$1005="A")*(MOVIMIENTOS!$D$5:$D$1005="jabas")*(MOVIMIENTOS!$A$5:$A$1005&lt;&gt;"")*(MOVIMIENTOS!$A$5:$A$1005&lt;=$A402)*MOVIMIENTOS!$E$5:$E$1005)+SUMPRODUCT((MOVIMIENTOS!$B$5:$B$1005="DEVOLUCIÓN")*(MOVIMIENTOS!$C$5:$C$1005="A")*(MOVIMIENTOS!$D$5:$D$1005="jabas")*(MOVIMIENTOS!$A$5:$A$1005&lt;&gt;"")*(MOVIMIENTOS!$A$5:$A$1005&lt;=$A402)*MOVIMIENTOS!$E$5:$E$1005)-SUMPRODUCT((MOVIMIENTOS!$B$5:$B$1005="TRASIEGO")*(MOVIMIENTOS!$C$5:$C$1005="A")*(MOVIMIENTOS!$D$5:$D$1005="jabas")*(MOVIMIENTOS!$A$5:$A$1005&lt;&gt;"")*(MOVIMIENTOS!$A$5:$A$1005&lt;=$A402)*MOVIMIENTOS!$E$5:$E$1005)-SUMPRODUCT((MOVIMIENTOS!$B$5:$B$1005="REGALO")*(MOVIMIENTOS!$C$5:$C$1005="A")*(MOVIMIENTOS!$D$5:$D$1005="jabas")*(MOVIMIENTOS!$A$5:$A$1005&lt;&gt;"")*(MOVIMIENTOS!$A$5:$A$1005&lt;=$A402)*MOVIMIENTOS!$E$5:$E$1005)-SUMPRODUCT((MOVIMIENTOS!$B$5:$B$1005="VENTA")*(MOVIMIENTOS!$C$5:$C$1005="A")*(MOVIMIENTOS!$D$5:$D$1005="jabas")*(MOVIMIENTOS!$A$5:$A$1005&lt;&gt;"")*(MOVIMIENTOS!$A$5:$A$1005&lt;=$A402)*MOVIMIENTOS!$E$5:$E$1005)+SUMPRODUCT((MOVIMIENTOS!$B$5:$B$1005="AJUSTE")*(MOVIMIENTOS!$C$5:$C$1005="A")*(MOVIMIENTOS!$D$5:$D$1005="jabas")*(MOVIMIENTOS!$A$5:$A$1005&lt;&gt;"")*(MOVIMIENTOS!$A$5:$A$1005&lt;=$A402)*MOVIMIENTOS!$E$5:$E$1005))</f>
        <v/>
      </c>
      <c r="C402" t="str">
        <f>IF($A402="","",SUMPRODUCT((MOVIMIENTOS!$B$5:$B$1005="SALDO INICIAL")*(MOVIMIENTOS!$C$5:$C$1005="P")*(MOVIMIENTOS!$D$5:$D$1005="jabas")*(MOVIMIENTOS!$A$5:$A$1005&lt;&gt;"")*(MOVIMIENTOS!$A$5:$A$1005&lt;=$A402)*MOVIMIENTOS!$E$5:$E$1005)+SUMPRODUCT((MOVIMIENTOS!$B$5:$B$1005="PROCESO")*(MOVIMIENTOS!$C$5:$C$1005="P")*(MOVIMIENTOS!$D$5:$D$1005="jabas")*(MOVIMIENTOS!$A$5:$A$1005&lt;&gt;"")*(MOVIMIENTOS!$A$5:$A$1005&lt;=$A402)*MOVIMIENTOS!$E$5:$E$1005)-SUMPRODUCT((MOVIMIENTOS!$B$5:$B$1005="ENVÍO A SUPESA")*(MOVIMIENTOS!$C$5:$C$1005="P")*(MOVIMIENTOS!$D$5:$D$1005="jabas")*(MOVIMIENTOS!$A$5:$A$1005&lt;&gt;"")*(MOVIMIENTOS!$A$5:$A$1005&lt;=$A402)*MOVIMIENTOS!$E$5:$E$1005)+SUMPRODUCT((MOVIMIENTOS!$B$5:$B$1005="DEVOLUCIÓN")*(MOVIMIENTOS!$C$5:$C$1005="P")*(MOVIMIENTOS!$D$5:$D$1005="jabas")*(MOVIMIENTOS!$A$5:$A$1005&lt;&gt;"")*(MOVIMIENTOS!$A$5:$A$1005&lt;=$A402)*MOVIMIENTOS!$E$5:$E$1005)-SUMPRODUCT((MOVIMIENTOS!$B$5:$B$1005="TRASIEGO")*(MOVIMIENTOS!$C$5:$C$1005="P")*(MOVIMIENTOS!$D$5:$D$1005="jabas")*(MOVIMIENTOS!$A$5:$A$1005&lt;&gt;"")*(MOVIMIENTOS!$A$5:$A$1005&lt;=$A402)*MOVIMIENTOS!$E$5:$E$1005)-SUMPRODUCT((MOVIMIENTOS!$B$5:$B$1005="REGALO")*(MOVIMIENTOS!$C$5:$C$1005="P")*(MOVIMIENTOS!$D$5:$D$1005="jabas")*(MOVIMIENTOS!$A$5:$A$1005&lt;&gt;"")*(MOVIMIENTOS!$A$5:$A$1005&lt;=$A402)*MOVIMIENTOS!$E$5:$E$1005)-SUMPRODUCT((MOVIMIENTOS!$B$5:$B$1005="VENTA")*(MOVIMIENTOS!$C$5:$C$1005="P")*(MOVIMIENTOS!$D$5:$D$1005="jabas")*(MOVIMIENTOS!$A$5:$A$1005&lt;&gt;"")*(MOVIMIENTOS!$A$5:$A$1005&lt;=$A402)*MOVIMIENTOS!$E$5:$E$1005)+SUMPRODUCT((MOVIMIENTOS!$B$5:$B$1005="AJUSTE")*(MOVIMIENTOS!$C$5:$C$1005="P")*(MOVIMIENTOS!$D$5:$D$1005="jabas")*(MOVIMIENTOS!$A$5:$A$1005&lt;&gt;"")*(MOVIMIENTOS!$A$5:$A$1005&lt;=$A402)*MOVIMIENTOS!$E$5:$E$1005))</f>
        <v/>
      </c>
      <c r="D402" t="str">
        <f>IF($A402="","",SUMPRODUCT((MOVIMIENTOS!$B$5:$B$1005="SALDO INICIAL")*(MOVIMIENTOS!$C$5:$C$1005="C")*(MOVIMIENTOS!$D$5:$D$1005="jabas")*(MOVIMIENTOS!$A$5:$A$1005&lt;&gt;"")*(MOVIMIENTOS!$A$5:$A$1005&lt;=$A402)*MOVIMIENTOS!$E$5:$E$1005)+SUMPRODUCT((MOVIMIENTOS!$B$5:$B$1005="PROCESO")*(MOVIMIENTOS!$C$5:$C$1005="C")*(MOVIMIENTOS!$D$5:$D$1005="jabas")*(MOVIMIENTOS!$A$5:$A$1005&lt;&gt;"")*(MOVIMIENTOS!$A$5:$A$1005&lt;=$A402)*MOVIMIENTOS!$E$5:$E$1005)-SUMPRODUCT((MOVIMIENTOS!$B$5:$B$1005="ENVÍO A SUPESA")*(MOVIMIENTOS!$C$5:$C$1005="C")*(MOVIMIENTOS!$D$5:$D$1005="jabas")*(MOVIMIENTOS!$A$5:$A$1005&lt;&gt;"")*(MOVIMIENTOS!$A$5:$A$1005&lt;=$A402)*MOVIMIENTOS!$E$5:$E$1005)+SUMPRODUCT((MOVIMIENTOS!$B$5:$B$1005="DEVOLUCIÓN")*(MOVIMIENTOS!$C$5:$C$1005="C")*(MOVIMIENTOS!$D$5:$D$1005="jabas")*(MOVIMIENTOS!$A$5:$A$1005&lt;&gt;"")*(MOVIMIENTOS!$A$5:$A$1005&lt;=$A402)*MOVIMIENTOS!$E$5:$E$1005)-SUMPRODUCT((MOVIMIENTOS!$B$5:$B$1005="TRASIEGO")*(MOVIMIENTOS!$C$5:$C$1005="C")*(MOVIMIENTOS!$D$5:$D$1005="jabas")*(MOVIMIENTOS!$A$5:$A$1005&lt;&gt;"")*(MOVIMIENTOS!$A$5:$A$1005&lt;=$A402)*MOVIMIENTOS!$E$5:$E$1005)-SUMPRODUCT((MOVIMIENTOS!$B$5:$B$1005="REGALO")*(MOVIMIENTOS!$C$5:$C$1005="C")*(MOVIMIENTOS!$D$5:$D$1005="jabas")*(MOVIMIENTOS!$A$5:$A$1005&lt;&gt;"")*(MOVIMIENTOS!$A$5:$A$1005&lt;=$A402)*MOVIMIENTOS!$E$5:$E$1005)-SUMPRODUCT((MOVIMIENTOS!$B$5:$B$1005="VENTA")*(MOVIMIENTOS!$C$5:$C$1005="C")*(MOVIMIENTOS!$D$5:$D$1005="jabas")*(MOVIMIENTOS!$A$5:$A$1005&lt;&gt;"")*(MOVIMIENTOS!$A$5:$A$1005&lt;=$A402)*MOVIMIENTOS!$E$5:$E$1005)+SUMPRODUCT((MOVIMIENTOS!$B$5:$B$1005="AJUSTE")*(MOVIMIENTOS!$C$5:$C$1005="C")*(MOVIMIENTOS!$D$5:$D$1005="jabas")*(MOVIMIENTOS!$A$5:$A$1005&lt;&gt;"")*(MOVIMIENTOS!$A$5:$A$1005&lt;=$A402)*MOVIMIENTOS!$E$5:$E$1005))</f>
        <v/>
      </c>
      <c r="E402" t="str">
        <f>IF($A402="","",SUMPRODUCT((MOVIMIENTOS!$B$5:$B$1005="SALDO INICIAL")*(MOVIMIENTOS!$C$5:$C$1005="M")*(MOVIMIENTOS!$D$5:$D$1005="jabas")*(MOVIMIENTOS!$A$5:$A$1005&lt;&gt;"")*(MOVIMIENTOS!$A$5:$A$1005&lt;=$A402)*MOVIMIENTOS!$E$5:$E$1005)+SUMPRODUCT((MOVIMIENTOS!$B$5:$B$1005="PROCESO")*(MOVIMIENTOS!$C$5:$C$1005="M")*(MOVIMIENTOS!$D$5:$D$1005="jabas")*(MOVIMIENTOS!$A$5:$A$1005&lt;&gt;"")*(MOVIMIENTOS!$A$5:$A$1005&lt;=$A402)*MOVIMIENTOS!$E$5:$E$1005)-SUMPRODUCT((MOVIMIENTOS!$B$5:$B$1005="ENVÍO A SUPESA")*(MOVIMIENTOS!$C$5:$C$1005="M")*(MOVIMIENTOS!$D$5:$D$1005="jabas")*(MOVIMIENTOS!$A$5:$A$1005&lt;&gt;"")*(MOVIMIENTOS!$A$5:$A$1005&lt;=$A402)*MOVIMIENTOS!$E$5:$E$1005)+SUMPRODUCT((MOVIMIENTOS!$B$5:$B$1005="DEVOLUCIÓN")*(MOVIMIENTOS!$C$5:$C$1005="M")*(MOVIMIENTOS!$D$5:$D$1005="jabas")*(MOVIMIENTOS!$A$5:$A$1005&lt;&gt;"")*(MOVIMIENTOS!$A$5:$A$1005&lt;=$A402)*MOVIMIENTOS!$E$5:$E$1005)-SUMPRODUCT((MOVIMIENTOS!$B$5:$B$1005="TRASIEGO")*(MOVIMIENTOS!$C$5:$C$1005="M")*(MOVIMIENTOS!$D$5:$D$1005="jabas")*(MOVIMIENTOS!$A$5:$A$1005&lt;&gt;"")*(MOVIMIENTOS!$A$5:$A$1005&lt;=$A402)*MOVIMIENTOS!$E$5:$E$1005)-SUMPRODUCT((MOVIMIENTOS!$B$5:$B$1005="REGALO")*(MOVIMIENTOS!$C$5:$C$1005="M")*(MOVIMIENTOS!$D$5:$D$1005="jabas")*(MOVIMIENTOS!$A$5:$A$1005&lt;&gt;"")*(MOVIMIENTOS!$A$5:$A$1005&lt;=$A402)*MOVIMIENTOS!$E$5:$E$1005)-SUMPRODUCT((MOVIMIENTOS!$B$5:$B$1005="VENTA")*(MOVIMIENTOS!$C$5:$C$1005="M")*(MOVIMIENTOS!$D$5:$D$1005="jabas")*(MOVIMIENTOS!$A$5:$A$1005&lt;&gt;"")*(MOVIMIENTOS!$A$5:$A$1005&lt;=$A402)*MOVIMIENTOS!$E$5:$E$1005)+SUMPRODUCT((MOVIMIENTOS!$B$5:$B$1005="AJUSTE")*(MOVIMIENTOS!$C$5:$C$1005="M")*(MOVIMIENTOS!$D$5:$D$1005="jabas")*(MOVIMIENTOS!$A$5:$A$1005&lt;&gt;"")*(MOVIMIENTOS!$A$5:$A$1005&lt;=$A402)*MOVIMIENTOS!$E$5:$E$1005))</f>
        <v/>
      </c>
      <c r="F402" s="62" t="str">
        <f>IF($A402="","",SUMPRODUCT((MOVIMIENTOS!$B$5:$B$1005="SALDO INICIAL")*(MOVIMIENTOS!$C$5:$C$1005="Chancho")*(MOVIMIENTOS!$D$5:$D$1005="sacos")*(MOVIMIENTOS!$A$5:$A$1005&lt;&gt;"")*(MOVIMIENTOS!$A$5:$A$1005&lt;=$A402)*MOVIMIENTOS!$E$5:$E$1005)+SUMPRODUCT((MOVIMIENTOS!$B$5:$B$1005="PROCESO")*(MOVIMIENTOS!$C$5:$C$1005="Chancho")*(MOVIMIENTOS!$D$5:$D$1005="sacos")*(MOVIMIENTOS!$A$5:$A$1005&lt;&gt;"")*(MOVIMIENTOS!$A$5:$A$1005&lt;=$A402)*MOVIMIENTOS!$E$5:$E$1005)-SUMPRODUCT((MOVIMIENTOS!$B$5:$B$1005="VENTA CHANCHO")*(MOVIMIENTOS!$C$5:$C$1005="Chancho")*(MOVIMIENTOS!$D$5:$D$1005="sacos")*(MOVIMIENTOS!$A$5:$A$1005&lt;&gt;"")*(MOVIMIENTOS!$A$5:$A$1005&lt;=$A402)*MOVIMIENTOS!$E$5:$E$1005)-SUMPRODUCT((MOVIMIENTOS!$B$5:$B$1005="REGALO")*(MOVIMIENTOS!$C$5:$C$1005="Chancho")*(MOVIMIENTOS!$D$5:$D$1005="sacos")*(MOVIMIENTOS!$A$5:$A$1005&lt;&gt;"")*(MOVIMIENTOS!$A$5:$A$1005&lt;=$A402)*MOVIMIENTOS!$E$5:$E$1005)-SUMPRODUCT((MOVIMIENTOS!$B$5:$B$1005="VENTA")*(MOVIMIENTOS!$C$5:$C$1005="Chancho")*(MOVIMIENTOS!$D$5:$D$1005="sacos")*(MOVIMIENTOS!$A$5:$A$1005&lt;&gt;"")*(MOVIMIENTOS!$A$5:$A$1005&lt;=$A402)*MOVIMIENTOS!$E$5:$E$1005)+SUMPRODUCT((MOVIMIENTOS!$B$5:$B$1005="AJUSTE")*(MOVIMIENTOS!$C$5:$C$1005="Chancho")*(MOVIMIENTOS!$D$5:$D$1005="sacos")*(MOVIMIENTOS!$A$5:$A$1005&lt;&gt;"")*(MOVIMIENTOS!$A$5:$A$1005&lt;=$A402)*MOVIMIENTOS!$E$5:$E$1005))</f>
        <v/>
      </c>
      <c r="G402" s="62" t="str">
        <f t="shared" si="13"/>
        <v/>
      </c>
      <c r="H402" t="str">
        <f>IF($A402="","",SUMPRODUCT((((MOVIMIENTOS!$B$5:$B$1005="SALDO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402)*MOVIMIENTOS!$J$5:$J$1005))</f>
        <v/>
      </c>
      <c r="J402">
        <f>IF(AND(MOVIMIENTOS!$A405&lt;&gt;"",COUNTIF(MOVIMIENTOS!$A$5:$A404,MOVIMIENTOS!$A405)=0),COUNT(J$4:J401)+1,"")</f>
        <v>36</v>
      </c>
      <c r="K402" s="67">
        <f>MOVIMIENTOS!$A405</f>
        <v>46249</v>
      </c>
    </row>
    <row r="403" spans="1:11" ht="15" customHeight="1" x14ac:dyDescent="0.2">
      <c r="A403" t="str">
        <f t="shared" si="12"/>
        <v/>
      </c>
      <c r="B403" t="str">
        <f>IF($A403="","",SUMPRODUCT((MOVIMIENTOS!$B$5:$B$1005="SALDO INICIAL")*(MOVIMIENTOS!$C$5:$C$1005="A")*(MOVIMIENTOS!$D$5:$D$1005="jabas")*(MOVIMIENTOS!$A$5:$A$1005&lt;&gt;"")*(MOVIMIENTOS!$A$5:$A$1005&lt;=$A403)*MOVIMIENTOS!$E$5:$E$1005)+SUMPRODUCT((MOVIMIENTOS!$B$5:$B$1005="PROCESO")*(MOVIMIENTOS!$C$5:$C$1005="A")*(MOVIMIENTOS!$D$5:$D$1005="jabas")*(MOVIMIENTOS!$A$5:$A$1005&lt;&gt;"")*(MOVIMIENTOS!$A$5:$A$1005&lt;=$A403)*MOVIMIENTOS!$E$5:$E$1005)-SUMPRODUCT((MOVIMIENTOS!$B$5:$B$1005="ENVÍO A SUPESA")*(MOVIMIENTOS!$C$5:$C$1005="A")*(MOVIMIENTOS!$D$5:$D$1005="jabas")*(MOVIMIENTOS!$A$5:$A$1005&lt;&gt;"")*(MOVIMIENTOS!$A$5:$A$1005&lt;=$A403)*MOVIMIENTOS!$E$5:$E$1005)+SUMPRODUCT((MOVIMIENTOS!$B$5:$B$1005="DEVOLUCIÓN")*(MOVIMIENTOS!$C$5:$C$1005="A")*(MOVIMIENTOS!$D$5:$D$1005="jabas")*(MOVIMIENTOS!$A$5:$A$1005&lt;&gt;"")*(MOVIMIENTOS!$A$5:$A$1005&lt;=$A403)*MOVIMIENTOS!$E$5:$E$1005)-SUMPRODUCT((MOVIMIENTOS!$B$5:$B$1005="TRASIEGO")*(MOVIMIENTOS!$C$5:$C$1005="A")*(MOVIMIENTOS!$D$5:$D$1005="jabas")*(MOVIMIENTOS!$A$5:$A$1005&lt;&gt;"")*(MOVIMIENTOS!$A$5:$A$1005&lt;=$A403)*MOVIMIENTOS!$E$5:$E$1005)-SUMPRODUCT((MOVIMIENTOS!$B$5:$B$1005="REGALO")*(MOVIMIENTOS!$C$5:$C$1005="A")*(MOVIMIENTOS!$D$5:$D$1005="jabas")*(MOVIMIENTOS!$A$5:$A$1005&lt;&gt;"")*(MOVIMIENTOS!$A$5:$A$1005&lt;=$A403)*MOVIMIENTOS!$E$5:$E$1005)-SUMPRODUCT((MOVIMIENTOS!$B$5:$B$1005="VENTA")*(MOVIMIENTOS!$C$5:$C$1005="A")*(MOVIMIENTOS!$D$5:$D$1005="jabas")*(MOVIMIENTOS!$A$5:$A$1005&lt;&gt;"")*(MOVIMIENTOS!$A$5:$A$1005&lt;=$A403)*MOVIMIENTOS!$E$5:$E$1005)+SUMPRODUCT((MOVIMIENTOS!$B$5:$B$1005="AJUSTE")*(MOVIMIENTOS!$C$5:$C$1005="A")*(MOVIMIENTOS!$D$5:$D$1005="jabas")*(MOVIMIENTOS!$A$5:$A$1005&lt;&gt;"")*(MOVIMIENTOS!$A$5:$A$1005&lt;=$A403)*MOVIMIENTOS!$E$5:$E$1005))</f>
        <v/>
      </c>
      <c r="C403" t="str">
        <f>IF($A403="","",SUMPRODUCT((MOVIMIENTOS!$B$5:$B$1005="SALDO INICIAL")*(MOVIMIENTOS!$C$5:$C$1005="P")*(MOVIMIENTOS!$D$5:$D$1005="jabas")*(MOVIMIENTOS!$A$5:$A$1005&lt;&gt;"")*(MOVIMIENTOS!$A$5:$A$1005&lt;=$A403)*MOVIMIENTOS!$E$5:$E$1005)+SUMPRODUCT((MOVIMIENTOS!$B$5:$B$1005="PROCESO")*(MOVIMIENTOS!$C$5:$C$1005="P")*(MOVIMIENTOS!$D$5:$D$1005="jabas")*(MOVIMIENTOS!$A$5:$A$1005&lt;&gt;"")*(MOVIMIENTOS!$A$5:$A$1005&lt;=$A403)*MOVIMIENTOS!$E$5:$E$1005)-SUMPRODUCT((MOVIMIENTOS!$B$5:$B$1005="ENVÍO A SUPESA")*(MOVIMIENTOS!$C$5:$C$1005="P")*(MOVIMIENTOS!$D$5:$D$1005="jabas")*(MOVIMIENTOS!$A$5:$A$1005&lt;&gt;"")*(MOVIMIENTOS!$A$5:$A$1005&lt;=$A403)*MOVIMIENTOS!$E$5:$E$1005)+SUMPRODUCT((MOVIMIENTOS!$B$5:$B$1005="DEVOLUCIÓN")*(MOVIMIENTOS!$C$5:$C$1005="P")*(MOVIMIENTOS!$D$5:$D$1005="jabas")*(MOVIMIENTOS!$A$5:$A$1005&lt;&gt;"")*(MOVIMIENTOS!$A$5:$A$1005&lt;=$A403)*MOVIMIENTOS!$E$5:$E$1005)-SUMPRODUCT((MOVIMIENTOS!$B$5:$B$1005="TRASIEGO")*(MOVIMIENTOS!$C$5:$C$1005="P")*(MOVIMIENTOS!$D$5:$D$1005="jabas")*(MOVIMIENTOS!$A$5:$A$1005&lt;&gt;"")*(MOVIMIENTOS!$A$5:$A$1005&lt;=$A403)*MOVIMIENTOS!$E$5:$E$1005)-SUMPRODUCT((MOVIMIENTOS!$B$5:$B$1005="REGALO")*(MOVIMIENTOS!$C$5:$C$1005="P")*(MOVIMIENTOS!$D$5:$D$1005="jabas")*(MOVIMIENTOS!$A$5:$A$1005&lt;&gt;"")*(MOVIMIENTOS!$A$5:$A$1005&lt;=$A403)*MOVIMIENTOS!$E$5:$E$1005)-SUMPRODUCT((MOVIMIENTOS!$B$5:$B$1005="VENTA")*(MOVIMIENTOS!$C$5:$C$1005="P")*(MOVIMIENTOS!$D$5:$D$1005="jabas")*(MOVIMIENTOS!$A$5:$A$1005&lt;&gt;"")*(MOVIMIENTOS!$A$5:$A$1005&lt;=$A403)*MOVIMIENTOS!$E$5:$E$1005)+SUMPRODUCT((MOVIMIENTOS!$B$5:$B$1005="AJUSTE")*(MOVIMIENTOS!$C$5:$C$1005="P")*(MOVIMIENTOS!$D$5:$D$1005="jabas")*(MOVIMIENTOS!$A$5:$A$1005&lt;&gt;"")*(MOVIMIENTOS!$A$5:$A$1005&lt;=$A403)*MOVIMIENTOS!$E$5:$E$1005))</f>
        <v/>
      </c>
      <c r="D403" t="str">
        <f>IF($A403="","",SUMPRODUCT((MOVIMIENTOS!$B$5:$B$1005="SALDO INICIAL")*(MOVIMIENTOS!$C$5:$C$1005="C")*(MOVIMIENTOS!$D$5:$D$1005="jabas")*(MOVIMIENTOS!$A$5:$A$1005&lt;&gt;"")*(MOVIMIENTOS!$A$5:$A$1005&lt;=$A403)*MOVIMIENTOS!$E$5:$E$1005)+SUMPRODUCT((MOVIMIENTOS!$B$5:$B$1005="PROCESO")*(MOVIMIENTOS!$C$5:$C$1005="C")*(MOVIMIENTOS!$D$5:$D$1005="jabas")*(MOVIMIENTOS!$A$5:$A$1005&lt;&gt;"")*(MOVIMIENTOS!$A$5:$A$1005&lt;=$A403)*MOVIMIENTOS!$E$5:$E$1005)-SUMPRODUCT((MOVIMIENTOS!$B$5:$B$1005="ENVÍO A SUPESA")*(MOVIMIENTOS!$C$5:$C$1005="C")*(MOVIMIENTOS!$D$5:$D$1005="jabas")*(MOVIMIENTOS!$A$5:$A$1005&lt;&gt;"")*(MOVIMIENTOS!$A$5:$A$1005&lt;=$A403)*MOVIMIENTOS!$E$5:$E$1005)+SUMPRODUCT((MOVIMIENTOS!$B$5:$B$1005="DEVOLUCIÓN")*(MOVIMIENTOS!$C$5:$C$1005="C")*(MOVIMIENTOS!$D$5:$D$1005="jabas")*(MOVIMIENTOS!$A$5:$A$1005&lt;&gt;"")*(MOVIMIENTOS!$A$5:$A$1005&lt;=$A403)*MOVIMIENTOS!$E$5:$E$1005)-SUMPRODUCT((MOVIMIENTOS!$B$5:$B$1005="TRASIEGO")*(MOVIMIENTOS!$C$5:$C$1005="C")*(MOVIMIENTOS!$D$5:$D$1005="jabas")*(MOVIMIENTOS!$A$5:$A$1005&lt;&gt;"")*(MOVIMIENTOS!$A$5:$A$1005&lt;=$A403)*MOVIMIENTOS!$E$5:$E$1005)-SUMPRODUCT((MOVIMIENTOS!$B$5:$B$1005="REGALO")*(MOVIMIENTOS!$C$5:$C$1005="C")*(MOVIMIENTOS!$D$5:$D$1005="jabas")*(MOVIMIENTOS!$A$5:$A$1005&lt;&gt;"")*(MOVIMIENTOS!$A$5:$A$1005&lt;=$A403)*MOVIMIENTOS!$E$5:$E$1005)-SUMPRODUCT((MOVIMIENTOS!$B$5:$B$1005="VENTA")*(MOVIMIENTOS!$C$5:$C$1005="C")*(MOVIMIENTOS!$D$5:$D$1005="jabas")*(MOVIMIENTOS!$A$5:$A$1005&lt;&gt;"")*(MOVIMIENTOS!$A$5:$A$1005&lt;=$A403)*MOVIMIENTOS!$E$5:$E$1005)+SUMPRODUCT((MOVIMIENTOS!$B$5:$B$1005="AJUSTE")*(MOVIMIENTOS!$C$5:$C$1005="C")*(MOVIMIENTOS!$D$5:$D$1005="jabas")*(MOVIMIENTOS!$A$5:$A$1005&lt;&gt;"")*(MOVIMIENTOS!$A$5:$A$1005&lt;=$A403)*MOVIMIENTOS!$E$5:$E$1005))</f>
        <v/>
      </c>
      <c r="E403" t="str">
        <f>IF($A403="","",SUMPRODUCT((MOVIMIENTOS!$B$5:$B$1005="SALDO INICIAL")*(MOVIMIENTOS!$C$5:$C$1005="M")*(MOVIMIENTOS!$D$5:$D$1005="jabas")*(MOVIMIENTOS!$A$5:$A$1005&lt;&gt;"")*(MOVIMIENTOS!$A$5:$A$1005&lt;=$A403)*MOVIMIENTOS!$E$5:$E$1005)+SUMPRODUCT((MOVIMIENTOS!$B$5:$B$1005="PROCESO")*(MOVIMIENTOS!$C$5:$C$1005="M")*(MOVIMIENTOS!$D$5:$D$1005="jabas")*(MOVIMIENTOS!$A$5:$A$1005&lt;&gt;"")*(MOVIMIENTOS!$A$5:$A$1005&lt;=$A403)*MOVIMIENTOS!$E$5:$E$1005)-SUMPRODUCT((MOVIMIENTOS!$B$5:$B$1005="ENVÍO A SUPESA")*(MOVIMIENTOS!$C$5:$C$1005="M")*(MOVIMIENTOS!$D$5:$D$1005="jabas")*(MOVIMIENTOS!$A$5:$A$1005&lt;&gt;"")*(MOVIMIENTOS!$A$5:$A$1005&lt;=$A403)*MOVIMIENTOS!$E$5:$E$1005)+SUMPRODUCT((MOVIMIENTOS!$B$5:$B$1005="DEVOLUCIÓN")*(MOVIMIENTOS!$C$5:$C$1005="M")*(MOVIMIENTOS!$D$5:$D$1005="jabas")*(MOVIMIENTOS!$A$5:$A$1005&lt;&gt;"")*(MOVIMIENTOS!$A$5:$A$1005&lt;=$A403)*MOVIMIENTOS!$E$5:$E$1005)-SUMPRODUCT((MOVIMIENTOS!$B$5:$B$1005="TRASIEGO")*(MOVIMIENTOS!$C$5:$C$1005="M")*(MOVIMIENTOS!$D$5:$D$1005="jabas")*(MOVIMIENTOS!$A$5:$A$1005&lt;&gt;"")*(MOVIMIENTOS!$A$5:$A$1005&lt;=$A403)*MOVIMIENTOS!$E$5:$E$1005)-SUMPRODUCT((MOVIMIENTOS!$B$5:$B$1005="REGALO")*(MOVIMIENTOS!$C$5:$C$1005="M")*(MOVIMIENTOS!$D$5:$D$1005="jabas")*(MOVIMIENTOS!$A$5:$A$1005&lt;&gt;"")*(MOVIMIENTOS!$A$5:$A$1005&lt;=$A403)*MOVIMIENTOS!$E$5:$E$1005)-SUMPRODUCT((MOVIMIENTOS!$B$5:$B$1005="VENTA")*(MOVIMIENTOS!$C$5:$C$1005="M")*(MOVIMIENTOS!$D$5:$D$1005="jabas")*(MOVIMIENTOS!$A$5:$A$1005&lt;&gt;"")*(MOVIMIENTOS!$A$5:$A$1005&lt;=$A403)*MOVIMIENTOS!$E$5:$E$1005)+SUMPRODUCT((MOVIMIENTOS!$B$5:$B$1005="AJUSTE")*(MOVIMIENTOS!$C$5:$C$1005="M")*(MOVIMIENTOS!$D$5:$D$1005="jabas")*(MOVIMIENTOS!$A$5:$A$1005&lt;&gt;"")*(MOVIMIENTOS!$A$5:$A$1005&lt;=$A403)*MOVIMIENTOS!$E$5:$E$1005))</f>
        <v/>
      </c>
      <c r="F403" s="62" t="str">
        <f>IF($A403="","",SUMPRODUCT((MOVIMIENTOS!$B$5:$B$1005="SALDO INICIAL")*(MOVIMIENTOS!$C$5:$C$1005="Chancho")*(MOVIMIENTOS!$D$5:$D$1005="sacos")*(MOVIMIENTOS!$A$5:$A$1005&lt;&gt;"")*(MOVIMIENTOS!$A$5:$A$1005&lt;=$A403)*MOVIMIENTOS!$E$5:$E$1005)+SUMPRODUCT((MOVIMIENTOS!$B$5:$B$1005="PROCESO")*(MOVIMIENTOS!$C$5:$C$1005="Chancho")*(MOVIMIENTOS!$D$5:$D$1005="sacos")*(MOVIMIENTOS!$A$5:$A$1005&lt;&gt;"")*(MOVIMIENTOS!$A$5:$A$1005&lt;=$A403)*MOVIMIENTOS!$E$5:$E$1005)-SUMPRODUCT((MOVIMIENTOS!$B$5:$B$1005="VENTA CHANCHO")*(MOVIMIENTOS!$C$5:$C$1005="Chancho")*(MOVIMIENTOS!$D$5:$D$1005="sacos")*(MOVIMIENTOS!$A$5:$A$1005&lt;&gt;"")*(MOVIMIENTOS!$A$5:$A$1005&lt;=$A403)*MOVIMIENTOS!$E$5:$E$1005)-SUMPRODUCT((MOVIMIENTOS!$B$5:$B$1005="REGALO")*(MOVIMIENTOS!$C$5:$C$1005="Chancho")*(MOVIMIENTOS!$D$5:$D$1005="sacos")*(MOVIMIENTOS!$A$5:$A$1005&lt;&gt;"")*(MOVIMIENTOS!$A$5:$A$1005&lt;=$A403)*MOVIMIENTOS!$E$5:$E$1005)-SUMPRODUCT((MOVIMIENTOS!$B$5:$B$1005="VENTA")*(MOVIMIENTOS!$C$5:$C$1005="Chancho")*(MOVIMIENTOS!$D$5:$D$1005="sacos")*(MOVIMIENTOS!$A$5:$A$1005&lt;&gt;"")*(MOVIMIENTOS!$A$5:$A$1005&lt;=$A403)*MOVIMIENTOS!$E$5:$E$1005)+SUMPRODUCT((MOVIMIENTOS!$B$5:$B$1005="AJUSTE")*(MOVIMIENTOS!$C$5:$C$1005="Chancho")*(MOVIMIENTOS!$D$5:$D$1005="sacos")*(MOVIMIENTOS!$A$5:$A$1005&lt;&gt;"")*(MOVIMIENTOS!$A$5:$A$1005&lt;=$A403)*MOVIMIENTOS!$E$5:$E$1005))</f>
        <v/>
      </c>
      <c r="G403" s="62" t="str">
        <f t="shared" si="13"/>
        <v/>
      </c>
      <c r="H403" t="str">
        <f>IF($A403="","",SUMPRODUCT((((MOVIMIENTOS!$B$5:$B$1005="SALDO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403)*MOVIMIENTOS!$J$5:$J$1005))</f>
        <v/>
      </c>
      <c r="J403" t="str">
        <f>IF(AND(MOVIMIENTOS!$A406&lt;&gt;"",COUNTIF(MOVIMIENTOS!$A$5:$A405,MOVIMIENTOS!$A406)=0),COUNT(J$4:J402)+1,"")</f>
        <v/>
      </c>
      <c r="K403" s="67">
        <f>MOVIMIENTOS!$A406</f>
        <v>46249</v>
      </c>
    </row>
    <row r="404" spans="1:11" ht="15" customHeight="1" x14ac:dyDescent="0.2">
      <c r="A404" t="str">
        <f t="shared" si="12"/>
        <v/>
      </c>
      <c r="B404" t="str">
        <f>IF($A404="","",SUMPRODUCT((MOVIMIENTOS!$B$5:$B$1005="SALDO INICIAL")*(MOVIMIENTOS!$C$5:$C$1005="A")*(MOVIMIENTOS!$D$5:$D$1005="jabas")*(MOVIMIENTOS!$A$5:$A$1005&lt;&gt;"")*(MOVIMIENTOS!$A$5:$A$1005&lt;=$A404)*MOVIMIENTOS!$E$5:$E$1005)+SUMPRODUCT((MOVIMIENTOS!$B$5:$B$1005="PROCESO")*(MOVIMIENTOS!$C$5:$C$1005="A")*(MOVIMIENTOS!$D$5:$D$1005="jabas")*(MOVIMIENTOS!$A$5:$A$1005&lt;&gt;"")*(MOVIMIENTOS!$A$5:$A$1005&lt;=$A404)*MOVIMIENTOS!$E$5:$E$1005)-SUMPRODUCT((MOVIMIENTOS!$B$5:$B$1005="ENVÍO A SUPESA")*(MOVIMIENTOS!$C$5:$C$1005="A")*(MOVIMIENTOS!$D$5:$D$1005="jabas")*(MOVIMIENTOS!$A$5:$A$1005&lt;&gt;"")*(MOVIMIENTOS!$A$5:$A$1005&lt;=$A404)*MOVIMIENTOS!$E$5:$E$1005)+SUMPRODUCT((MOVIMIENTOS!$B$5:$B$1005="DEVOLUCIÓN")*(MOVIMIENTOS!$C$5:$C$1005="A")*(MOVIMIENTOS!$D$5:$D$1005="jabas")*(MOVIMIENTOS!$A$5:$A$1005&lt;&gt;"")*(MOVIMIENTOS!$A$5:$A$1005&lt;=$A404)*MOVIMIENTOS!$E$5:$E$1005)-SUMPRODUCT((MOVIMIENTOS!$B$5:$B$1005="TRASIEGO")*(MOVIMIENTOS!$C$5:$C$1005="A")*(MOVIMIENTOS!$D$5:$D$1005="jabas")*(MOVIMIENTOS!$A$5:$A$1005&lt;&gt;"")*(MOVIMIENTOS!$A$5:$A$1005&lt;=$A404)*MOVIMIENTOS!$E$5:$E$1005)-SUMPRODUCT((MOVIMIENTOS!$B$5:$B$1005="REGALO")*(MOVIMIENTOS!$C$5:$C$1005="A")*(MOVIMIENTOS!$D$5:$D$1005="jabas")*(MOVIMIENTOS!$A$5:$A$1005&lt;&gt;"")*(MOVIMIENTOS!$A$5:$A$1005&lt;=$A404)*MOVIMIENTOS!$E$5:$E$1005)-SUMPRODUCT((MOVIMIENTOS!$B$5:$B$1005="VENTA")*(MOVIMIENTOS!$C$5:$C$1005="A")*(MOVIMIENTOS!$D$5:$D$1005="jabas")*(MOVIMIENTOS!$A$5:$A$1005&lt;&gt;"")*(MOVIMIENTOS!$A$5:$A$1005&lt;=$A404)*MOVIMIENTOS!$E$5:$E$1005)+SUMPRODUCT((MOVIMIENTOS!$B$5:$B$1005="AJUSTE")*(MOVIMIENTOS!$C$5:$C$1005="A")*(MOVIMIENTOS!$D$5:$D$1005="jabas")*(MOVIMIENTOS!$A$5:$A$1005&lt;&gt;"")*(MOVIMIENTOS!$A$5:$A$1005&lt;=$A404)*MOVIMIENTOS!$E$5:$E$1005))</f>
        <v/>
      </c>
      <c r="C404" t="str">
        <f>IF($A404="","",SUMPRODUCT((MOVIMIENTOS!$B$5:$B$1005="SALDO INICIAL")*(MOVIMIENTOS!$C$5:$C$1005="P")*(MOVIMIENTOS!$D$5:$D$1005="jabas")*(MOVIMIENTOS!$A$5:$A$1005&lt;&gt;"")*(MOVIMIENTOS!$A$5:$A$1005&lt;=$A404)*MOVIMIENTOS!$E$5:$E$1005)+SUMPRODUCT((MOVIMIENTOS!$B$5:$B$1005="PROCESO")*(MOVIMIENTOS!$C$5:$C$1005="P")*(MOVIMIENTOS!$D$5:$D$1005="jabas")*(MOVIMIENTOS!$A$5:$A$1005&lt;&gt;"")*(MOVIMIENTOS!$A$5:$A$1005&lt;=$A404)*MOVIMIENTOS!$E$5:$E$1005)-SUMPRODUCT((MOVIMIENTOS!$B$5:$B$1005="ENVÍO A SUPESA")*(MOVIMIENTOS!$C$5:$C$1005="P")*(MOVIMIENTOS!$D$5:$D$1005="jabas")*(MOVIMIENTOS!$A$5:$A$1005&lt;&gt;"")*(MOVIMIENTOS!$A$5:$A$1005&lt;=$A404)*MOVIMIENTOS!$E$5:$E$1005)+SUMPRODUCT((MOVIMIENTOS!$B$5:$B$1005="DEVOLUCIÓN")*(MOVIMIENTOS!$C$5:$C$1005="P")*(MOVIMIENTOS!$D$5:$D$1005="jabas")*(MOVIMIENTOS!$A$5:$A$1005&lt;&gt;"")*(MOVIMIENTOS!$A$5:$A$1005&lt;=$A404)*MOVIMIENTOS!$E$5:$E$1005)-SUMPRODUCT((MOVIMIENTOS!$B$5:$B$1005="TRASIEGO")*(MOVIMIENTOS!$C$5:$C$1005="P")*(MOVIMIENTOS!$D$5:$D$1005="jabas")*(MOVIMIENTOS!$A$5:$A$1005&lt;&gt;"")*(MOVIMIENTOS!$A$5:$A$1005&lt;=$A404)*MOVIMIENTOS!$E$5:$E$1005)-SUMPRODUCT((MOVIMIENTOS!$B$5:$B$1005="REGALO")*(MOVIMIENTOS!$C$5:$C$1005="P")*(MOVIMIENTOS!$D$5:$D$1005="jabas")*(MOVIMIENTOS!$A$5:$A$1005&lt;&gt;"")*(MOVIMIENTOS!$A$5:$A$1005&lt;=$A404)*MOVIMIENTOS!$E$5:$E$1005)-SUMPRODUCT((MOVIMIENTOS!$B$5:$B$1005="VENTA")*(MOVIMIENTOS!$C$5:$C$1005="P")*(MOVIMIENTOS!$D$5:$D$1005="jabas")*(MOVIMIENTOS!$A$5:$A$1005&lt;&gt;"")*(MOVIMIENTOS!$A$5:$A$1005&lt;=$A404)*MOVIMIENTOS!$E$5:$E$1005)+SUMPRODUCT((MOVIMIENTOS!$B$5:$B$1005="AJUSTE")*(MOVIMIENTOS!$C$5:$C$1005="P")*(MOVIMIENTOS!$D$5:$D$1005="jabas")*(MOVIMIENTOS!$A$5:$A$1005&lt;&gt;"")*(MOVIMIENTOS!$A$5:$A$1005&lt;=$A404)*MOVIMIENTOS!$E$5:$E$1005))</f>
        <v/>
      </c>
      <c r="D404" t="str">
        <f>IF($A404="","",SUMPRODUCT((MOVIMIENTOS!$B$5:$B$1005="SALDO INICIAL")*(MOVIMIENTOS!$C$5:$C$1005="C")*(MOVIMIENTOS!$D$5:$D$1005="jabas")*(MOVIMIENTOS!$A$5:$A$1005&lt;&gt;"")*(MOVIMIENTOS!$A$5:$A$1005&lt;=$A404)*MOVIMIENTOS!$E$5:$E$1005)+SUMPRODUCT((MOVIMIENTOS!$B$5:$B$1005="PROCESO")*(MOVIMIENTOS!$C$5:$C$1005="C")*(MOVIMIENTOS!$D$5:$D$1005="jabas")*(MOVIMIENTOS!$A$5:$A$1005&lt;&gt;"")*(MOVIMIENTOS!$A$5:$A$1005&lt;=$A404)*MOVIMIENTOS!$E$5:$E$1005)-SUMPRODUCT((MOVIMIENTOS!$B$5:$B$1005="ENVÍO A SUPESA")*(MOVIMIENTOS!$C$5:$C$1005="C")*(MOVIMIENTOS!$D$5:$D$1005="jabas")*(MOVIMIENTOS!$A$5:$A$1005&lt;&gt;"")*(MOVIMIENTOS!$A$5:$A$1005&lt;=$A404)*MOVIMIENTOS!$E$5:$E$1005)+SUMPRODUCT((MOVIMIENTOS!$B$5:$B$1005="DEVOLUCIÓN")*(MOVIMIENTOS!$C$5:$C$1005="C")*(MOVIMIENTOS!$D$5:$D$1005="jabas")*(MOVIMIENTOS!$A$5:$A$1005&lt;&gt;"")*(MOVIMIENTOS!$A$5:$A$1005&lt;=$A404)*MOVIMIENTOS!$E$5:$E$1005)-SUMPRODUCT((MOVIMIENTOS!$B$5:$B$1005="TRASIEGO")*(MOVIMIENTOS!$C$5:$C$1005="C")*(MOVIMIENTOS!$D$5:$D$1005="jabas")*(MOVIMIENTOS!$A$5:$A$1005&lt;&gt;"")*(MOVIMIENTOS!$A$5:$A$1005&lt;=$A404)*MOVIMIENTOS!$E$5:$E$1005)-SUMPRODUCT((MOVIMIENTOS!$B$5:$B$1005="REGALO")*(MOVIMIENTOS!$C$5:$C$1005="C")*(MOVIMIENTOS!$D$5:$D$1005="jabas")*(MOVIMIENTOS!$A$5:$A$1005&lt;&gt;"")*(MOVIMIENTOS!$A$5:$A$1005&lt;=$A404)*MOVIMIENTOS!$E$5:$E$1005)-SUMPRODUCT((MOVIMIENTOS!$B$5:$B$1005="VENTA")*(MOVIMIENTOS!$C$5:$C$1005="C")*(MOVIMIENTOS!$D$5:$D$1005="jabas")*(MOVIMIENTOS!$A$5:$A$1005&lt;&gt;"")*(MOVIMIENTOS!$A$5:$A$1005&lt;=$A404)*MOVIMIENTOS!$E$5:$E$1005)+SUMPRODUCT((MOVIMIENTOS!$B$5:$B$1005="AJUSTE")*(MOVIMIENTOS!$C$5:$C$1005="C")*(MOVIMIENTOS!$D$5:$D$1005="jabas")*(MOVIMIENTOS!$A$5:$A$1005&lt;&gt;"")*(MOVIMIENTOS!$A$5:$A$1005&lt;=$A404)*MOVIMIENTOS!$E$5:$E$1005))</f>
        <v/>
      </c>
      <c r="E404" t="str">
        <f>IF($A404="","",SUMPRODUCT((MOVIMIENTOS!$B$5:$B$1005="SALDO INICIAL")*(MOVIMIENTOS!$C$5:$C$1005="M")*(MOVIMIENTOS!$D$5:$D$1005="jabas")*(MOVIMIENTOS!$A$5:$A$1005&lt;&gt;"")*(MOVIMIENTOS!$A$5:$A$1005&lt;=$A404)*MOVIMIENTOS!$E$5:$E$1005)+SUMPRODUCT((MOVIMIENTOS!$B$5:$B$1005="PROCESO")*(MOVIMIENTOS!$C$5:$C$1005="M")*(MOVIMIENTOS!$D$5:$D$1005="jabas")*(MOVIMIENTOS!$A$5:$A$1005&lt;&gt;"")*(MOVIMIENTOS!$A$5:$A$1005&lt;=$A404)*MOVIMIENTOS!$E$5:$E$1005)-SUMPRODUCT((MOVIMIENTOS!$B$5:$B$1005="ENVÍO A SUPESA")*(MOVIMIENTOS!$C$5:$C$1005="M")*(MOVIMIENTOS!$D$5:$D$1005="jabas")*(MOVIMIENTOS!$A$5:$A$1005&lt;&gt;"")*(MOVIMIENTOS!$A$5:$A$1005&lt;=$A404)*MOVIMIENTOS!$E$5:$E$1005)+SUMPRODUCT((MOVIMIENTOS!$B$5:$B$1005="DEVOLUCIÓN")*(MOVIMIENTOS!$C$5:$C$1005="M")*(MOVIMIENTOS!$D$5:$D$1005="jabas")*(MOVIMIENTOS!$A$5:$A$1005&lt;&gt;"")*(MOVIMIENTOS!$A$5:$A$1005&lt;=$A404)*MOVIMIENTOS!$E$5:$E$1005)-SUMPRODUCT((MOVIMIENTOS!$B$5:$B$1005="TRASIEGO")*(MOVIMIENTOS!$C$5:$C$1005="M")*(MOVIMIENTOS!$D$5:$D$1005="jabas")*(MOVIMIENTOS!$A$5:$A$1005&lt;&gt;"")*(MOVIMIENTOS!$A$5:$A$1005&lt;=$A404)*MOVIMIENTOS!$E$5:$E$1005)-SUMPRODUCT((MOVIMIENTOS!$B$5:$B$1005="REGALO")*(MOVIMIENTOS!$C$5:$C$1005="M")*(MOVIMIENTOS!$D$5:$D$1005="jabas")*(MOVIMIENTOS!$A$5:$A$1005&lt;&gt;"")*(MOVIMIENTOS!$A$5:$A$1005&lt;=$A404)*MOVIMIENTOS!$E$5:$E$1005)-SUMPRODUCT((MOVIMIENTOS!$B$5:$B$1005="VENTA")*(MOVIMIENTOS!$C$5:$C$1005="M")*(MOVIMIENTOS!$D$5:$D$1005="jabas")*(MOVIMIENTOS!$A$5:$A$1005&lt;&gt;"")*(MOVIMIENTOS!$A$5:$A$1005&lt;=$A404)*MOVIMIENTOS!$E$5:$E$1005)+SUMPRODUCT((MOVIMIENTOS!$B$5:$B$1005="AJUSTE")*(MOVIMIENTOS!$C$5:$C$1005="M")*(MOVIMIENTOS!$D$5:$D$1005="jabas")*(MOVIMIENTOS!$A$5:$A$1005&lt;&gt;"")*(MOVIMIENTOS!$A$5:$A$1005&lt;=$A404)*MOVIMIENTOS!$E$5:$E$1005))</f>
        <v/>
      </c>
      <c r="F404" s="62" t="str">
        <f>IF($A404="","",SUMPRODUCT((MOVIMIENTOS!$B$5:$B$1005="SALDO INICIAL")*(MOVIMIENTOS!$C$5:$C$1005="Chancho")*(MOVIMIENTOS!$D$5:$D$1005="sacos")*(MOVIMIENTOS!$A$5:$A$1005&lt;&gt;"")*(MOVIMIENTOS!$A$5:$A$1005&lt;=$A404)*MOVIMIENTOS!$E$5:$E$1005)+SUMPRODUCT((MOVIMIENTOS!$B$5:$B$1005="PROCESO")*(MOVIMIENTOS!$C$5:$C$1005="Chancho")*(MOVIMIENTOS!$D$5:$D$1005="sacos")*(MOVIMIENTOS!$A$5:$A$1005&lt;&gt;"")*(MOVIMIENTOS!$A$5:$A$1005&lt;=$A404)*MOVIMIENTOS!$E$5:$E$1005)-SUMPRODUCT((MOVIMIENTOS!$B$5:$B$1005="VENTA CHANCHO")*(MOVIMIENTOS!$C$5:$C$1005="Chancho")*(MOVIMIENTOS!$D$5:$D$1005="sacos")*(MOVIMIENTOS!$A$5:$A$1005&lt;&gt;"")*(MOVIMIENTOS!$A$5:$A$1005&lt;=$A404)*MOVIMIENTOS!$E$5:$E$1005)-SUMPRODUCT((MOVIMIENTOS!$B$5:$B$1005="REGALO")*(MOVIMIENTOS!$C$5:$C$1005="Chancho")*(MOVIMIENTOS!$D$5:$D$1005="sacos")*(MOVIMIENTOS!$A$5:$A$1005&lt;&gt;"")*(MOVIMIENTOS!$A$5:$A$1005&lt;=$A404)*MOVIMIENTOS!$E$5:$E$1005)-SUMPRODUCT((MOVIMIENTOS!$B$5:$B$1005="VENTA")*(MOVIMIENTOS!$C$5:$C$1005="Chancho")*(MOVIMIENTOS!$D$5:$D$1005="sacos")*(MOVIMIENTOS!$A$5:$A$1005&lt;&gt;"")*(MOVIMIENTOS!$A$5:$A$1005&lt;=$A404)*MOVIMIENTOS!$E$5:$E$1005)+SUMPRODUCT((MOVIMIENTOS!$B$5:$B$1005="AJUSTE")*(MOVIMIENTOS!$C$5:$C$1005="Chancho")*(MOVIMIENTOS!$D$5:$D$1005="sacos")*(MOVIMIENTOS!$A$5:$A$1005&lt;&gt;"")*(MOVIMIENTOS!$A$5:$A$1005&lt;=$A404)*MOVIMIENTOS!$E$5:$E$1005))</f>
        <v/>
      </c>
      <c r="G404" s="62" t="str">
        <f t="shared" si="13"/>
        <v/>
      </c>
      <c r="H404" t="str">
        <f>IF($A404="","",SUMPRODUCT((((MOVIMIENTOS!$B$5:$B$1005="SALDO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404)*MOVIMIENTOS!$J$5:$J$1005))</f>
        <v/>
      </c>
      <c r="J404" t="str">
        <f>IF(AND(MOVIMIENTOS!$A407&lt;&gt;"",COUNTIF(MOVIMIENTOS!$A$5:$A406,MOVIMIENTOS!$A407)=0),COUNT(J$4:J403)+1,"")</f>
        <v/>
      </c>
      <c r="K404" s="67">
        <f>MOVIMIENTOS!$A407</f>
        <v>46249</v>
      </c>
    </row>
    <row r="405" spans="1:11" ht="15" customHeight="1" x14ac:dyDescent="0.2">
      <c r="A405" t="str">
        <f t="shared" si="12"/>
        <v/>
      </c>
      <c r="B405" t="str">
        <f>IF($A405="","",SUMPRODUCT((MOVIMIENTOS!$B$5:$B$1005="SALDO INICIAL")*(MOVIMIENTOS!$C$5:$C$1005="A")*(MOVIMIENTOS!$D$5:$D$1005="jabas")*(MOVIMIENTOS!$A$5:$A$1005&lt;&gt;"")*(MOVIMIENTOS!$A$5:$A$1005&lt;=$A405)*MOVIMIENTOS!$E$5:$E$1005)+SUMPRODUCT((MOVIMIENTOS!$B$5:$B$1005="PROCESO")*(MOVIMIENTOS!$C$5:$C$1005="A")*(MOVIMIENTOS!$D$5:$D$1005="jabas")*(MOVIMIENTOS!$A$5:$A$1005&lt;&gt;"")*(MOVIMIENTOS!$A$5:$A$1005&lt;=$A405)*MOVIMIENTOS!$E$5:$E$1005)-SUMPRODUCT((MOVIMIENTOS!$B$5:$B$1005="ENVÍO A SUPESA")*(MOVIMIENTOS!$C$5:$C$1005="A")*(MOVIMIENTOS!$D$5:$D$1005="jabas")*(MOVIMIENTOS!$A$5:$A$1005&lt;&gt;"")*(MOVIMIENTOS!$A$5:$A$1005&lt;=$A405)*MOVIMIENTOS!$E$5:$E$1005)+SUMPRODUCT((MOVIMIENTOS!$B$5:$B$1005="DEVOLUCIÓN")*(MOVIMIENTOS!$C$5:$C$1005="A")*(MOVIMIENTOS!$D$5:$D$1005="jabas")*(MOVIMIENTOS!$A$5:$A$1005&lt;&gt;"")*(MOVIMIENTOS!$A$5:$A$1005&lt;=$A405)*MOVIMIENTOS!$E$5:$E$1005)-SUMPRODUCT((MOVIMIENTOS!$B$5:$B$1005="TRASIEGO")*(MOVIMIENTOS!$C$5:$C$1005="A")*(MOVIMIENTOS!$D$5:$D$1005="jabas")*(MOVIMIENTOS!$A$5:$A$1005&lt;&gt;"")*(MOVIMIENTOS!$A$5:$A$1005&lt;=$A405)*MOVIMIENTOS!$E$5:$E$1005)-SUMPRODUCT((MOVIMIENTOS!$B$5:$B$1005="REGALO")*(MOVIMIENTOS!$C$5:$C$1005="A")*(MOVIMIENTOS!$D$5:$D$1005="jabas")*(MOVIMIENTOS!$A$5:$A$1005&lt;&gt;"")*(MOVIMIENTOS!$A$5:$A$1005&lt;=$A405)*MOVIMIENTOS!$E$5:$E$1005)-SUMPRODUCT((MOVIMIENTOS!$B$5:$B$1005="VENTA")*(MOVIMIENTOS!$C$5:$C$1005="A")*(MOVIMIENTOS!$D$5:$D$1005="jabas")*(MOVIMIENTOS!$A$5:$A$1005&lt;&gt;"")*(MOVIMIENTOS!$A$5:$A$1005&lt;=$A405)*MOVIMIENTOS!$E$5:$E$1005)+SUMPRODUCT((MOVIMIENTOS!$B$5:$B$1005="AJUSTE")*(MOVIMIENTOS!$C$5:$C$1005="A")*(MOVIMIENTOS!$D$5:$D$1005="jabas")*(MOVIMIENTOS!$A$5:$A$1005&lt;&gt;"")*(MOVIMIENTOS!$A$5:$A$1005&lt;=$A405)*MOVIMIENTOS!$E$5:$E$1005))</f>
        <v/>
      </c>
      <c r="C405" t="str">
        <f>IF($A405="","",SUMPRODUCT((MOVIMIENTOS!$B$5:$B$1005="SALDO INICIAL")*(MOVIMIENTOS!$C$5:$C$1005="P")*(MOVIMIENTOS!$D$5:$D$1005="jabas")*(MOVIMIENTOS!$A$5:$A$1005&lt;&gt;"")*(MOVIMIENTOS!$A$5:$A$1005&lt;=$A405)*MOVIMIENTOS!$E$5:$E$1005)+SUMPRODUCT((MOVIMIENTOS!$B$5:$B$1005="PROCESO")*(MOVIMIENTOS!$C$5:$C$1005="P")*(MOVIMIENTOS!$D$5:$D$1005="jabas")*(MOVIMIENTOS!$A$5:$A$1005&lt;&gt;"")*(MOVIMIENTOS!$A$5:$A$1005&lt;=$A405)*MOVIMIENTOS!$E$5:$E$1005)-SUMPRODUCT((MOVIMIENTOS!$B$5:$B$1005="ENVÍO A SUPESA")*(MOVIMIENTOS!$C$5:$C$1005="P")*(MOVIMIENTOS!$D$5:$D$1005="jabas")*(MOVIMIENTOS!$A$5:$A$1005&lt;&gt;"")*(MOVIMIENTOS!$A$5:$A$1005&lt;=$A405)*MOVIMIENTOS!$E$5:$E$1005)+SUMPRODUCT((MOVIMIENTOS!$B$5:$B$1005="DEVOLUCIÓN")*(MOVIMIENTOS!$C$5:$C$1005="P")*(MOVIMIENTOS!$D$5:$D$1005="jabas")*(MOVIMIENTOS!$A$5:$A$1005&lt;&gt;"")*(MOVIMIENTOS!$A$5:$A$1005&lt;=$A405)*MOVIMIENTOS!$E$5:$E$1005)-SUMPRODUCT((MOVIMIENTOS!$B$5:$B$1005="TRASIEGO")*(MOVIMIENTOS!$C$5:$C$1005="P")*(MOVIMIENTOS!$D$5:$D$1005="jabas")*(MOVIMIENTOS!$A$5:$A$1005&lt;&gt;"")*(MOVIMIENTOS!$A$5:$A$1005&lt;=$A405)*MOVIMIENTOS!$E$5:$E$1005)-SUMPRODUCT((MOVIMIENTOS!$B$5:$B$1005="REGALO")*(MOVIMIENTOS!$C$5:$C$1005="P")*(MOVIMIENTOS!$D$5:$D$1005="jabas")*(MOVIMIENTOS!$A$5:$A$1005&lt;&gt;"")*(MOVIMIENTOS!$A$5:$A$1005&lt;=$A405)*MOVIMIENTOS!$E$5:$E$1005)-SUMPRODUCT((MOVIMIENTOS!$B$5:$B$1005="VENTA")*(MOVIMIENTOS!$C$5:$C$1005="P")*(MOVIMIENTOS!$D$5:$D$1005="jabas")*(MOVIMIENTOS!$A$5:$A$1005&lt;&gt;"")*(MOVIMIENTOS!$A$5:$A$1005&lt;=$A405)*MOVIMIENTOS!$E$5:$E$1005)+SUMPRODUCT((MOVIMIENTOS!$B$5:$B$1005="AJUSTE")*(MOVIMIENTOS!$C$5:$C$1005="P")*(MOVIMIENTOS!$D$5:$D$1005="jabas")*(MOVIMIENTOS!$A$5:$A$1005&lt;&gt;"")*(MOVIMIENTOS!$A$5:$A$1005&lt;=$A405)*MOVIMIENTOS!$E$5:$E$1005))</f>
        <v/>
      </c>
      <c r="D405" t="str">
        <f>IF($A405="","",SUMPRODUCT((MOVIMIENTOS!$B$5:$B$1005="SALDO INICIAL")*(MOVIMIENTOS!$C$5:$C$1005="C")*(MOVIMIENTOS!$D$5:$D$1005="jabas")*(MOVIMIENTOS!$A$5:$A$1005&lt;&gt;"")*(MOVIMIENTOS!$A$5:$A$1005&lt;=$A405)*MOVIMIENTOS!$E$5:$E$1005)+SUMPRODUCT((MOVIMIENTOS!$B$5:$B$1005="PROCESO")*(MOVIMIENTOS!$C$5:$C$1005="C")*(MOVIMIENTOS!$D$5:$D$1005="jabas")*(MOVIMIENTOS!$A$5:$A$1005&lt;&gt;"")*(MOVIMIENTOS!$A$5:$A$1005&lt;=$A405)*MOVIMIENTOS!$E$5:$E$1005)-SUMPRODUCT((MOVIMIENTOS!$B$5:$B$1005="ENVÍO A SUPESA")*(MOVIMIENTOS!$C$5:$C$1005="C")*(MOVIMIENTOS!$D$5:$D$1005="jabas")*(MOVIMIENTOS!$A$5:$A$1005&lt;&gt;"")*(MOVIMIENTOS!$A$5:$A$1005&lt;=$A405)*MOVIMIENTOS!$E$5:$E$1005)+SUMPRODUCT((MOVIMIENTOS!$B$5:$B$1005="DEVOLUCIÓN")*(MOVIMIENTOS!$C$5:$C$1005="C")*(MOVIMIENTOS!$D$5:$D$1005="jabas")*(MOVIMIENTOS!$A$5:$A$1005&lt;&gt;"")*(MOVIMIENTOS!$A$5:$A$1005&lt;=$A405)*MOVIMIENTOS!$E$5:$E$1005)-SUMPRODUCT((MOVIMIENTOS!$B$5:$B$1005="TRASIEGO")*(MOVIMIENTOS!$C$5:$C$1005="C")*(MOVIMIENTOS!$D$5:$D$1005="jabas")*(MOVIMIENTOS!$A$5:$A$1005&lt;&gt;"")*(MOVIMIENTOS!$A$5:$A$1005&lt;=$A405)*MOVIMIENTOS!$E$5:$E$1005)-SUMPRODUCT((MOVIMIENTOS!$B$5:$B$1005="REGALO")*(MOVIMIENTOS!$C$5:$C$1005="C")*(MOVIMIENTOS!$D$5:$D$1005="jabas")*(MOVIMIENTOS!$A$5:$A$1005&lt;&gt;"")*(MOVIMIENTOS!$A$5:$A$1005&lt;=$A405)*MOVIMIENTOS!$E$5:$E$1005)-SUMPRODUCT((MOVIMIENTOS!$B$5:$B$1005="VENTA")*(MOVIMIENTOS!$C$5:$C$1005="C")*(MOVIMIENTOS!$D$5:$D$1005="jabas")*(MOVIMIENTOS!$A$5:$A$1005&lt;&gt;"")*(MOVIMIENTOS!$A$5:$A$1005&lt;=$A405)*MOVIMIENTOS!$E$5:$E$1005)+SUMPRODUCT((MOVIMIENTOS!$B$5:$B$1005="AJUSTE")*(MOVIMIENTOS!$C$5:$C$1005="C")*(MOVIMIENTOS!$D$5:$D$1005="jabas")*(MOVIMIENTOS!$A$5:$A$1005&lt;&gt;"")*(MOVIMIENTOS!$A$5:$A$1005&lt;=$A405)*MOVIMIENTOS!$E$5:$E$1005))</f>
        <v/>
      </c>
      <c r="E405" t="str">
        <f>IF($A405="","",SUMPRODUCT((MOVIMIENTOS!$B$5:$B$1005="SALDO INICIAL")*(MOVIMIENTOS!$C$5:$C$1005="M")*(MOVIMIENTOS!$D$5:$D$1005="jabas")*(MOVIMIENTOS!$A$5:$A$1005&lt;&gt;"")*(MOVIMIENTOS!$A$5:$A$1005&lt;=$A405)*MOVIMIENTOS!$E$5:$E$1005)+SUMPRODUCT((MOVIMIENTOS!$B$5:$B$1005="PROCESO")*(MOVIMIENTOS!$C$5:$C$1005="M")*(MOVIMIENTOS!$D$5:$D$1005="jabas")*(MOVIMIENTOS!$A$5:$A$1005&lt;&gt;"")*(MOVIMIENTOS!$A$5:$A$1005&lt;=$A405)*MOVIMIENTOS!$E$5:$E$1005)-SUMPRODUCT((MOVIMIENTOS!$B$5:$B$1005="ENVÍO A SUPESA")*(MOVIMIENTOS!$C$5:$C$1005="M")*(MOVIMIENTOS!$D$5:$D$1005="jabas")*(MOVIMIENTOS!$A$5:$A$1005&lt;&gt;"")*(MOVIMIENTOS!$A$5:$A$1005&lt;=$A405)*MOVIMIENTOS!$E$5:$E$1005)+SUMPRODUCT((MOVIMIENTOS!$B$5:$B$1005="DEVOLUCIÓN")*(MOVIMIENTOS!$C$5:$C$1005="M")*(MOVIMIENTOS!$D$5:$D$1005="jabas")*(MOVIMIENTOS!$A$5:$A$1005&lt;&gt;"")*(MOVIMIENTOS!$A$5:$A$1005&lt;=$A405)*MOVIMIENTOS!$E$5:$E$1005)-SUMPRODUCT((MOVIMIENTOS!$B$5:$B$1005="TRASIEGO")*(MOVIMIENTOS!$C$5:$C$1005="M")*(MOVIMIENTOS!$D$5:$D$1005="jabas")*(MOVIMIENTOS!$A$5:$A$1005&lt;&gt;"")*(MOVIMIENTOS!$A$5:$A$1005&lt;=$A405)*MOVIMIENTOS!$E$5:$E$1005)-SUMPRODUCT((MOVIMIENTOS!$B$5:$B$1005="REGALO")*(MOVIMIENTOS!$C$5:$C$1005="M")*(MOVIMIENTOS!$D$5:$D$1005="jabas")*(MOVIMIENTOS!$A$5:$A$1005&lt;&gt;"")*(MOVIMIENTOS!$A$5:$A$1005&lt;=$A405)*MOVIMIENTOS!$E$5:$E$1005)-SUMPRODUCT((MOVIMIENTOS!$B$5:$B$1005="VENTA")*(MOVIMIENTOS!$C$5:$C$1005="M")*(MOVIMIENTOS!$D$5:$D$1005="jabas")*(MOVIMIENTOS!$A$5:$A$1005&lt;&gt;"")*(MOVIMIENTOS!$A$5:$A$1005&lt;=$A405)*MOVIMIENTOS!$E$5:$E$1005)+SUMPRODUCT((MOVIMIENTOS!$B$5:$B$1005="AJUSTE")*(MOVIMIENTOS!$C$5:$C$1005="M")*(MOVIMIENTOS!$D$5:$D$1005="jabas")*(MOVIMIENTOS!$A$5:$A$1005&lt;&gt;"")*(MOVIMIENTOS!$A$5:$A$1005&lt;=$A405)*MOVIMIENTOS!$E$5:$E$1005))</f>
        <v/>
      </c>
      <c r="F405" s="62" t="str">
        <f>IF($A405="","",SUMPRODUCT((MOVIMIENTOS!$B$5:$B$1005="SALDO INICIAL")*(MOVIMIENTOS!$C$5:$C$1005="Chancho")*(MOVIMIENTOS!$D$5:$D$1005="sacos")*(MOVIMIENTOS!$A$5:$A$1005&lt;&gt;"")*(MOVIMIENTOS!$A$5:$A$1005&lt;=$A405)*MOVIMIENTOS!$E$5:$E$1005)+SUMPRODUCT((MOVIMIENTOS!$B$5:$B$1005="PROCESO")*(MOVIMIENTOS!$C$5:$C$1005="Chancho")*(MOVIMIENTOS!$D$5:$D$1005="sacos")*(MOVIMIENTOS!$A$5:$A$1005&lt;&gt;"")*(MOVIMIENTOS!$A$5:$A$1005&lt;=$A405)*MOVIMIENTOS!$E$5:$E$1005)-SUMPRODUCT((MOVIMIENTOS!$B$5:$B$1005="VENTA CHANCHO")*(MOVIMIENTOS!$C$5:$C$1005="Chancho")*(MOVIMIENTOS!$D$5:$D$1005="sacos")*(MOVIMIENTOS!$A$5:$A$1005&lt;&gt;"")*(MOVIMIENTOS!$A$5:$A$1005&lt;=$A405)*MOVIMIENTOS!$E$5:$E$1005)-SUMPRODUCT((MOVIMIENTOS!$B$5:$B$1005="REGALO")*(MOVIMIENTOS!$C$5:$C$1005="Chancho")*(MOVIMIENTOS!$D$5:$D$1005="sacos")*(MOVIMIENTOS!$A$5:$A$1005&lt;&gt;"")*(MOVIMIENTOS!$A$5:$A$1005&lt;=$A405)*MOVIMIENTOS!$E$5:$E$1005)-SUMPRODUCT((MOVIMIENTOS!$B$5:$B$1005="VENTA")*(MOVIMIENTOS!$C$5:$C$1005="Chancho")*(MOVIMIENTOS!$D$5:$D$1005="sacos")*(MOVIMIENTOS!$A$5:$A$1005&lt;&gt;"")*(MOVIMIENTOS!$A$5:$A$1005&lt;=$A405)*MOVIMIENTOS!$E$5:$E$1005)+SUMPRODUCT((MOVIMIENTOS!$B$5:$B$1005="AJUSTE")*(MOVIMIENTOS!$C$5:$C$1005="Chancho")*(MOVIMIENTOS!$D$5:$D$1005="sacos")*(MOVIMIENTOS!$A$5:$A$1005&lt;&gt;"")*(MOVIMIENTOS!$A$5:$A$1005&lt;=$A405)*MOVIMIENTOS!$E$5:$E$1005))</f>
        <v/>
      </c>
      <c r="G405" s="62" t="str">
        <f t="shared" si="13"/>
        <v/>
      </c>
      <c r="H405" t="str">
        <f>IF($A405="","",SUMPRODUCT((((MOVIMIENTOS!$B$5:$B$1005="SALDO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405)*MOVIMIENTOS!$J$5:$J$1005))</f>
        <v/>
      </c>
      <c r="J405" t="str">
        <f>IF(AND(MOVIMIENTOS!$A408&lt;&gt;"",COUNTIF(MOVIMIENTOS!$A$5:$A407,MOVIMIENTOS!$A408)=0),COUNT(J$4:J404)+1,"")</f>
        <v/>
      </c>
      <c r="K405" s="67">
        <f>MOVIMIENTOS!$A408</f>
        <v>46249</v>
      </c>
    </row>
    <row r="406" spans="1:11" ht="15" customHeight="1" x14ac:dyDescent="0.2">
      <c r="A406" t="str">
        <f t="shared" si="12"/>
        <v/>
      </c>
      <c r="B406" t="str">
        <f>IF($A406="","",SUMPRODUCT((MOVIMIENTOS!$B$5:$B$1005="SALDO INICIAL")*(MOVIMIENTOS!$C$5:$C$1005="A")*(MOVIMIENTOS!$D$5:$D$1005="jabas")*(MOVIMIENTOS!$A$5:$A$1005&lt;&gt;"")*(MOVIMIENTOS!$A$5:$A$1005&lt;=$A406)*MOVIMIENTOS!$E$5:$E$1005)+SUMPRODUCT((MOVIMIENTOS!$B$5:$B$1005="PROCESO")*(MOVIMIENTOS!$C$5:$C$1005="A")*(MOVIMIENTOS!$D$5:$D$1005="jabas")*(MOVIMIENTOS!$A$5:$A$1005&lt;&gt;"")*(MOVIMIENTOS!$A$5:$A$1005&lt;=$A406)*MOVIMIENTOS!$E$5:$E$1005)-SUMPRODUCT((MOVIMIENTOS!$B$5:$B$1005="ENVÍO A SUPESA")*(MOVIMIENTOS!$C$5:$C$1005="A")*(MOVIMIENTOS!$D$5:$D$1005="jabas")*(MOVIMIENTOS!$A$5:$A$1005&lt;&gt;"")*(MOVIMIENTOS!$A$5:$A$1005&lt;=$A406)*MOVIMIENTOS!$E$5:$E$1005)+SUMPRODUCT((MOVIMIENTOS!$B$5:$B$1005="DEVOLUCIÓN")*(MOVIMIENTOS!$C$5:$C$1005="A")*(MOVIMIENTOS!$D$5:$D$1005="jabas")*(MOVIMIENTOS!$A$5:$A$1005&lt;&gt;"")*(MOVIMIENTOS!$A$5:$A$1005&lt;=$A406)*MOVIMIENTOS!$E$5:$E$1005)-SUMPRODUCT((MOVIMIENTOS!$B$5:$B$1005="TRASIEGO")*(MOVIMIENTOS!$C$5:$C$1005="A")*(MOVIMIENTOS!$D$5:$D$1005="jabas")*(MOVIMIENTOS!$A$5:$A$1005&lt;&gt;"")*(MOVIMIENTOS!$A$5:$A$1005&lt;=$A406)*MOVIMIENTOS!$E$5:$E$1005)-SUMPRODUCT((MOVIMIENTOS!$B$5:$B$1005="REGALO")*(MOVIMIENTOS!$C$5:$C$1005="A")*(MOVIMIENTOS!$D$5:$D$1005="jabas")*(MOVIMIENTOS!$A$5:$A$1005&lt;&gt;"")*(MOVIMIENTOS!$A$5:$A$1005&lt;=$A406)*MOVIMIENTOS!$E$5:$E$1005)-SUMPRODUCT((MOVIMIENTOS!$B$5:$B$1005="VENTA")*(MOVIMIENTOS!$C$5:$C$1005="A")*(MOVIMIENTOS!$D$5:$D$1005="jabas")*(MOVIMIENTOS!$A$5:$A$1005&lt;&gt;"")*(MOVIMIENTOS!$A$5:$A$1005&lt;=$A406)*MOVIMIENTOS!$E$5:$E$1005)+SUMPRODUCT((MOVIMIENTOS!$B$5:$B$1005="AJUSTE")*(MOVIMIENTOS!$C$5:$C$1005="A")*(MOVIMIENTOS!$D$5:$D$1005="jabas")*(MOVIMIENTOS!$A$5:$A$1005&lt;&gt;"")*(MOVIMIENTOS!$A$5:$A$1005&lt;=$A406)*MOVIMIENTOS!$E$5:$E$1005))</f>
        <v/>
      </c>
      <c r="C406" t="str">
        <f>IF($A406="","",SUMPRODUCT((MOVIMIENTOS!$B$5:$B$1005="SALDO INICIAL")*(MOVIMIENTOS!$C$5:$C$1005="P")*(MOVIMIENTOS!$D$5:$D$1005="jabas")*(MOVIMIENTOS!$A$5:$A$1005&lt;&gt;"")*(MOVIMIENTOS!$A$5:$A$1005&lt;=$A406)*MOVIMIENTOS!$E$5:$E$1005)+SUMPRODUCT((MOVIMIENTOS!$B$5:$B$1005="PROCESO")*(MOVIMIENTOS!$C$5:$C$1005="P")*(MOVIMIENTOS!$D$5:$D$1005="jabas")*(MOVIMIENTOS!$A$5:$A$1005&lt;&gt;"")*(MOVIMIENTOS!$A$5:$A$1005&lt;=$A406)*MOVIMIENTOS!$E$5:$E$1005)-SUMPRODUCT((MOVIMIENTOS!$B$5:$B$1005="ENVÍO A SUPESA")*(MOVIMIENTOS!$C$5:$C$1005="P")*(MOVIMIENTOS!$D$5:$D$1005="jabas")*(MOVIMIENTOS!$A$5:$A$1005&lt;&gt;"")*(MOVIMIENTOS!$A$5:$A$1005&lt;=$A406)*MOVIMIENTOS!$E$5:$E$1005)+SUMPRODUCT((MOVIMIENTOS!$B$5:$B$1005="DEVOLUCIÓN")*(MOVIMIENTOS!$C$5:$C$1005="P")*(MOVIMIENTOS!$D$5:$D$1005="jabas")*(MOVIMIENTOS!$A$5:$A$1005&lt;&gt;"")*(MOVIMIENTOS!$A$5:$A$1005&lt;=$A406)*MOVIMIENTOS!$E$5:$E$1005)-SUMPRODUCT((MOVIMIENTOS!$B$5:$B$1005="TRASIEGO")*(MOVIMIENTOS!$C$5:$C$1005="P")*(MOVIMIENTOS!$D$5:$D$1005="jabas")*(MOVIMIENTOS!$A$5:$A$1005&lt;&gt;"")*(MOVIMIENTOS!$A$5:$A$1005&lt;=$A406)*MOVIMIENTOS!$E$5:$E$1005)-SUMPRODUCT((MOVIMIENTOS!$B$5:$B$1005="REGALO")*(MOVIMIENTOS!$C$5:$C$1005="P")*(MOVIMIENTOS!$D$5:$D$1005="jabas")*(MOVIMIENTOS!$A$5:$A$1005&lt;&gt;"")*(MOVIMIENTOS!$A$5:$A$1005&lt;=$A406)*MOVIMIENTOS!$E$5:$E$1005)-SUMPRODUCT((MOVIMIENTOS!$B$5:$B$1005="VENTA")*(MOVIMIENTOS!$C$5:$C$1005="P")*(MOVIMIENTOS!$D$5:$D$1005="jabas")*(MOVIMIENTOS!$A$5:$A$1005&lt;&gt;"")*(MOVIMIENTOS!$A$5:$A$1005&lt;=$A406)*MOVIMIENTOS!$E$5:$E$1005)+SUMPRODUCT((MOVIMIENTOS!$B$5:$B$1005="AJUSTE")*(MOVIMIENTOS!$C$5:$C$1005="P")*(MOVIMIENTOS!$D$5:$D$1005="jabas")*(MOVIMIENTOS!$A$5:$A$1005&lt;&gt;"")*(MOVIMIENTOS!$A$5:$A$1005&lt;=$A406)*MOVIMIENTOS!$E$5:$E$1005))</f>
        <v/>
      </c>
      <c r="D406" t="str">
        <f>IF($A406="","",SUMPRODUCT((MOVIMIENTOS!$B$5:$B$1005="SALDO INICIAL")*(MOVIMIENTOS!$C$5:$C$1005="C")*(MOVIMIENTOS!$D$5:$D$1005="jabas")*(MOVIMIENTOS!$A$5:$A$1005&lt;&gt;"")*(MOVIMIENTOS!$A$5:$A$1005&lt;=$A406)*MOVIMIENTOS!$E$5:$E$1005)+SUMPRODUCT((MOVIMIENTOS!$B$5:$B$1005="PROCESO")*(MOVIMIENTOS!$C$5:$C$1005="C")*(MOVIMIENTOS!$D$5:$D$1005="jabas")*(MOVIMIENTOS!$A$5:$A$1005&lt;&gt;"")*(MOVIMIENTOS!$A$5:$A$1005&lt;=$A406)*MOVIMIENTOS!$E$5:$E$1005)-SUMPRODUCT((MOVIMIENTOS!$B$5:$B$1005="ENVÍO A SUPESA")*(MOVIMIENTOS!$C$5:$C$1005="C")*(MOVIMIENTOS!$D$5:$D$1005="jabas")*(MOVIMIENTOS!$A$5:$A$1005&lt;&gt;"")*(MOVIMIENTOS!$A$5:$A$1005&lt;=$A406)*MOVIMIENTOS!$E$5:$E$1005)+SUMPRODUCT((MOVIMIENTOS!$B$5:$B$1005="DEVOLUCIÓN")*(MOVIMIENTOS!$C$5:$C$1005="C")*(MOVIMIENTOS!$D$5:$D$1005="jabas")*(MOVIMIENTOS!$A$5:$A$1005&lt;&gt;"")*(MOVIMIENTOS!$A$5:$A$1005&lt;=$A406)*MOVIMIENTOS!$E$5:$E$1005)-SUMPRODUCT((MOVIMIENTOS!$B$5:$B$1005="TRASIEGO")*(MOVIMIENTOS!$C$5:$C$1005="C")*(MOVIMIENTOS!$D$5:$D$1005="jabas")*(MOVIMIENTOS!$A$5:$A$1005&lt;&gt;"")*(MOVIMIENTOS!$A$5:$A$1005&lt;=$A406)*MOVIMIENTOS!$E$5:$E$1005)-SUMPRODUCT((MOVIMIENTOS!$B$5:$B$1005="REGALO")*(MOVIMIENTOS!$C$5:$C$1005="C")*(MOVIMIENTOS!$D$5:$D$1005="jabas")*(MOVIMIENTOS!$A$5:$A$1005&lt;&gt;"")*(MOVIMIENTOS!$A$5:$A$1005&lt;=$A406)*MOVIMIENTOS!$E$5:$E$1005)-SUMPRODUCT((MOVIMIENTOS!$B$5:$B$1005="VENTA")*(MOVIMIENTOS!$C$5:$C$1005="C")*(MOVIMIENTOS!$D$5:$D$1005="jabas")*(MOVIMIENTOS!$A$5:$A$1005&lt;&gt;"")*(MOVIMIENTOS!$A$5:$A$1005&lt;=$A406)*MOVIMIENTOS!$E$5:$E$1005)+SUMPRODUCT((MOVIMIENTOS!$B$5:$B$1005="AJUSTE")*(MOVIMIENTOS!$C$5:$C$1005="C")*(MOVIMIENTOS!$D$5:$D$1005="jabas")*(MOVIMIENTOS!$A$5:$A$1005&lt;&gt;"")*(MOVIMIENTOS!$A$5:$A$1005&lt;=$A406)*MOVIMIENTOS!$E$5:$E$1005))</f>
        <v/>
      </c>
      <c r="E406" t="str">
        <f>IF($A406="","",SUMPRODUCT((MOVIMIENTOS!$B$5:$B$1005="SALDO INICIAL")*(MOVIMIENTOS!$C$5:$C$1005="M")*(MOVIMIENTOS!$D$5:$D$1005="jabas")*(MOVIMIENTOS!$A$5:$A$1005&lt;&gt;"")*(MOVIMIENTOS!$A$5:$A$1005&lt;=$A406)*MOVIMIENTOS!$E$5:$E$1005)+SUMPRODUCT((MOVIMIENTOS!$B$5:$B$1005="PROCESO")*(MOVIMIENTOS!$C$5:$C$1005="M")*(MOVIMIENTOS!$D$5:$D$1005="jabas")*(MOVIMIENTOS!$A$5:$A$1005&lt;&gt;"")*(MOVIMIENTOS!$A$5:$A$1005&lt;=$A406)*MOVIMIENTOS!$E$5:$E$1005)-SUMPRODUCT((MOVIMIENTOS!$B$5:$B$1005="ENVÍO A SUPESA")*(MOVIMIENTOS!$C$5:$C$1005="M")*(MOVIMIENTOS!$D$5:$D$1005="jabas")*(MOVIMIENTOS!$A$5:$A$1005&lt;&gt;"")*(MOVIMIENTOS!$A$5:$A$1005&lt;=$A406)*MOVIMIENTOS!$E$5:$E$1005)+SUMPRODUCT((MOVIMIENTOS!$B$5:$B$1005="DEVOLUCIÓN")*(MOVIMIENTOS!$C$5:$C$1005="M")*(MOVIMIENTOS!$D$5:$D$1005="jabas")*(MOVIMIENTOS!$A$5:$A$1005&lt;&gt;"")*(MOVIMIENTOS!$A$5:$A$1005&lt;=$A406)*MOVIMIENTOS!$E$5:$E$1005)-SUMPRODUCT((MOVIMIENTOS!$B$5:$B$1005="TRASIEGO")*(MOVIMIENTOS!$C$5:$C$1005="M")*(MOVIMIENTOS!$D$5:$D$1005="jabas")*(MOVIMIENTOS!$A$5:$A$1005&lt;&gt;"")*(MOVIMIENTOS!$A$5:$A$1005&lt;=$A406)*MOVIMIENTOS!$E$5:$E$1005)-SUMPRODUCT((MOVIMIENTOS!$B$5:$B$1005="REGALO")*(MOVIMIENTOS!$C$5:$C$1005="M")*(MOVIMIENTOS!$D$5:$D$1005="jabas")*(MOVIMIENTOS!$A$5:$A$1005&lt;&gt;"")*(MOVIMIENTOS!$A$5:$A$1005&lt;=$A406)*MOVIMIENTOS!$E$5:$E$1005)-SUMPRODUCT((MOVIMIENTOS!$B$5:$B$1005="VENTA")*(MOVIMIENTOS!$C$5:$C$1005="M")*(MOVIMIENTOS!$D$5:$D$1005="jabas")*(MOVIMIENTOS!$A$5:$A$1005&lt;&gt;"")*(MOVIMIENTOS!$A$5:$A$1005&lt;=$A406)*MOVIMIENTOS!$E$5:$E$1005)+SUMPRODUCT((MOVIMIENTOS!$B$5:$B$1005="AJUSTE")*(MOVIMIENTOS!$C$5:$C$1005="M")*(MOVIMIENTOS!$D$5:$D$1005="jabas")*(MOVIMIENTOS!$A$5:$A$1005&lt;&gt;"")*(MOVIMIENTOS!$A$5:$A$1005&lt;=$A406)*MOVIMIENTOS!$E$5:$E$1005))</f>
        <v/>
      </c>
      <c r="F406" s="62" t="str">
        <f>IF($A406="","",SUMPRODUCT((MOVIMIENTOS!$B$5:$B$1005="SALDO INICIAL")*(MOVIMIENTOS!$C$5:$C$1005="Chancho")*(MOVIMIENTOS!$D$5:$D$1005="sacos")*(MOVIMIENTOS!$A$5:$A$1005&lt;&gt;"")*(MOVIMIENTOS!$A$5:$A$1005&lt;=$A406)*MOVIMIENTOS!$E$5:$E$1005)+SUMPRODUCT((MOVIMIENTOS!$B$5:$B$1005="PROCESO")*(MOVIMIENTOS!$C$5:$C$1005="Chancho")*(MOVIMIENTOS!$D$5:$D$1005="sacos")*(MOVIMIENTOS!$A$5:$A$1005&lt;&gt;"")*(MOVIMIENTOS!$A$5:$A$1005&lt;=$A406)*MOVIMIENTOS!$E$5:$E$1005)-SUMPRODUCT((MOVIMIENTOS!$B$5:$B$1005="VENTA CHANCHO")*(MOVIMIENTOS!$C$5:$C$1005="Chancho")*(MOVIMIENTOS!$D$5:$D$1005="sacos")*(MOVIMIENTOS!$A$5:$A$1005&lt;&gt;"")*(MOVIMIENTOS!$A$5:$A$1005&lt;=$A406)*MOVIMIENTOS!$E$5:$E$1005)-SUMPRODUCT((MOVIMIENTOS!$B$5:$B$1005="REGALO")*(MOVIMIENTOS!$C$5:$C$1005="Chancho")*(MOVIMIENTOS!$D$5:$D$1005="sacos")*(MOVIMIENTOS!$A$5:$A$1005&lt;&gt;"")*(MOVIMIENTOS!$A$5:$A$1005&lt;=$A406)*MOVIMIENTOS!$E$5:$E$1005)-SUMPRODUCT((MOVIMIENTOS!$B$5:$B$1005="VENTA")*(MOVIMIENTOS!$C$5:$C$1005="Chancho")*(MOVIMIENTOS!$D$5:$D$1005="sacos")*(MOVIMIENTOS!$A$5:$A$1005&lt;&gt;"")*(MOVIMIENTOS!$A$5:$A$1005&lt;=$A406)*MOVIMIENTOS!$E$5:$E$1005)+SUMPRODUCT((MOVIMIENTOS!$B$5:$B$1005="AJUSTE")*(MOVIMIENTOS!$C$5:$C$1005="Chancho")*(MOVIMIENTOS!$D$5:$D$1005="sacos")*(MOVIMIENTOS!$A$5:$A$1005&lt;&gt;"")*(MOVIMIENTOS!$A$5:$A$1005&lt;=$A406)*MOVIMIENTOS!$E$5:$E$1005))</f>
        <v/>
      </c>
      <c r="G406" s="62" t="str">
        <f t="shared" si="13"/>
        <v/>
      </c>
      <c r="H406" t="str">
        <f>IF($A406="","",SUMPRODUCT((((MOVIMIENTOS!$B$5:$B$1005="SALDO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406)*MOVIMIENTOS!$J$5:$J$1005))</f>
        <v/>
      </c>
      <c r="J406" t="str">
        <f>IF(AND(MOVIMIENTOS!$A409&lt;&gt;"",COUNTIF(MOVIMIENTOS!$A$5:$A408,MOVIMIENTOS!$A409)=0),COUNT(J$4:J405)+1,"")</f>
        <v/>
      </c>
      <c r="K406" s="67">
        <f>MOVIMIENTOS!$A409</f>
        <v>46249</v>
      </c>
    </row>
    <row r="407" spans="1:11" ht="15" customHeight="1" x14ac:dyDescent="0.2">
      <c r="A407" t="str">
        <f t="shared" si="12"/>
        <v/>
      </c>
      <c r="B407" t="str">
        <f>IF($A407="","",SUMPRODUCT((MOVIMIENTOS!$B$5:$B$1005="SALDO INICIAL")*(MOVIMIENTOS!$C$5:$C$1005="A")*(MOVIMIENTOS!$D$5:$D$1005="jabas")*(MOVIMIENTOS!$A$5:$A$1005&lt;&gt;"")*(MOVIMIENTOS!$A$5:$A$1005&lt;=$A407)*MOVIMIENTOS!$E$5:$E$1005)+SUMPRODUCT((MOVIMIENTOS!$B$5:$B$1005="PROCESO")*(MOVIMIENTOS!$C$5:$C$1005="A")*(MOVIMIENTOS!$D$5:$D$1005="jabas")*(MOVIMIENTOS!$A$5:$A$1005&lt;&gt;"")*(MOVIMIENTOS!$A$5:$A$1005&lt;=$A407)*MOVIMIENTOS!$E$5:$E$1005)-SUMPRODUCT((MOVIMIENTOS!$B$5:$B$1005="ENVÍO A SUPESA")*(MOVIMIENTOS!$C$5:$C$1005="A")*(MOVIMIENTOS!$D$5:$D$1005="jabas")*(MOVIMIENTOS!$A$5:$A$1005&lt;&gt;"")*(MOVIMIENTOS!$A$5:$A$1005&lt;=$A407)*MOVIMIENTOS!$E$5:$E$1005)+SUMPRODUCT((MOVIMIENTOS!$B$5:$B$1005="DEVOLUCIÓN")*(MOVIMIENTOS!$C$5:$C$1005="A")*(MOVIMIENTOS!$D$5:$D$1005="jabas")*(MOVIMIENTOS!$A$5:$A$1005&lt;&gt;"")*(MOVIMIENTOS!$A$5:$A$1005&lt;=$A407)*MOVIMIENTOS!$E$5:$E$1005)-SUMPRODUCT((MOVIMIENTOS!$B$5:$B$1005="TRASIEGO")*(MOVIMIENTOS!$C$5:$C$1005="A")*(MOVIMIENTOS!$D$5:$D$1005="jabas")*(MOVIMIENTOS!$A$5:$A$1005&lt;&gt;"")*(MOVIMIENTOS!$A$5:$A$1005&lt;=$A407)*MOVIMIENTOS!$E$5:$E$1005)-SUMPRODUCT((MOVIMIENTOS!$B$5:$B$1005="REGALO")*(MOVIMIENTOS!$C$5:$C$1005="A")*(MOVIMIENTOS!$D$5:$D$1005="jabas")*(MOVIMIENTOS!$A$5:$A$1005&lt;&gt;"")*(MOVIMIENTOS!$A$5:$A$1005&lt;=$A407)*MOVIMIENTOS!$E$5:$E$1005)-SUMPRODUCT((MOVIMIENTOS!$B$5:$B$1005="VENTA")*(MOVIMIENTOS!$C$5:$C$1005="A")*(MOVIMIENTOS!$D$5:$D$1005="jabas")*(MOVIMIENTOS!$A$5:$A$1005&lt;&gt;"")*(MOVIMIENTOS!$A$5:$A$1005&lt;=$A407)*MOVIMIENTOS!$E$5:$E$1005)+SUMPRODUCT((MOVIMIENTOS!$B$5:$B$1005="AJUSTE")*(MOVIMIENTOS!$C$5:$C$1005="A")*(MOVIMIENTOS!$D$5:$D$1005="jabas")*(MOVIMIENTOS!$A$5:$A$1005&lt;&gt;"")*(MOVIMIENTOS!$A$5:$A$1005&lt;=$A407)*MOVIMIENTOS!$E$5:$E$1005))</f>
        <v/>
      </c>
      <c r="C407" t="str">
        <f>IF($A407="","",SUMPRODUCT((MOVIMIENTOS!$B$5:$B$1005="SALDO INICIAL")*(MOVIMIENTOS!$C$5:$C$1005="P")*(MOVIMIENTOS!$D$5:$D$1005="jabas")*(MOVIMIENTOS!$A$5:$A$1005&lt;&gt;"")*(MOVIMIENTOS!$A$5:$A$1005&lt;=$A407)*MOVIMIENTOS!$E$5:$E$1005)+SUMPRODUCT((MOVIMIENTOS!$B$5:$B$1005="PROCESO")*(MOVIMIENTOS!$C$5:$C$1005="P")*(MOVIMIENTOS!$D$5:$D$1005="jabas")*(MOVIMIENTOS!$A$5:$A$1005&lt;&gt;"")*(MOVIMIENTOS!$A$5:$A$1005&lt;=$A407)*MOVIMIENTOS!$E$5:$E$1005)-SUMPRODUCT((MOVIMIENTOS!$B$5:$B$1005="ENVÍO A SUPESA")*(MOVIMIENTOS!$C$5:$C$1005="P")*(MOVIMIENTOS!$D$5:$D$1005="jabas")*(MOVIMIENTOS!$A$5:$A$1005&lt;&gt;"")*(MOVIMIENTOS!$A$5:$A$1005&lt;=$A407)*MOVIMIENTOS!$E$5:$E$1005)+SUMPRODUCT((MOVIMIENTOS!$B$5:$B$1005="DEVOLUCIÓN")*(MOVIMIENTOS!$C$5:$C$1005="P")*(MOVIMIENTOS!$D$5:$D$1005="jabas")*(MOVIMIENTOS!$A$5:$A$1005&lt;&gt;"")*(MOVIMIENTOS!$A$5:$A$1005&lt;=$A407)*MOVIMIENTOS!$E$5:$E$1005)-SUMPRODUCT((MOVIMIENTOS!$B$5:$B$1005="TRASIEGO")*(MOVIMIENTOS!$C$5:$C$1005="P")*(MOVIMIENTOS!$D$5:$D$1005="jabas")*(MOVIMIENTOS!$A$5:$A$1005&lt;&gt;"")*(MOVIMIENTOS!$A$5:$A$1005&lt;=$A407)*MOVIMIENTOS!$E$5:$E$1005)-SUMPRODUCT((MOVIMIENTOS!$B$5:$B$1005="REGALO")*(MOVIMIENTOS!$C$5:$C$1005="P")*(MOVIMIENTOS!$D$5:$D$1005="jabas")*(MOVIMIENTOS!$A$5:$A$1005&lt;&gt;"")*(MOVIMIENTOS!$A$5:$A$1005&lt;=$A407)*MOVIMIENTOS!$E$5:$E$1005)-SUMPRODUCT((MOVIMIENTOS!$B$5:$B$1005="VENTA")*(MOVIMIENTOS!$C$5:$C$1005="P")*(MOVIMIENTOS!$D$5:$D$1005="jabas")*(MOVIMIENTOS!$A$5:$A$1005&lt;&gt;"")*(MOVIMIENTOS!$A$5:$A$1005&lt;=$A407)*MOVIMIENTOS!$E$5:$E$1005)+SUMPRODUCT((MOVIMIENTOS!$B$5:$B$1005="AJUSTE")*(MOVIMIENTOS!$C$5:$C$1005="P")*(MOVIMIENTOS!$D$5:$D$1005="jabas")*(MOVIMIENTOS!$A$5:$A$1005&lt;&gt;"")*(MOVIMIENTOS!$A$5:$A$1005&lt;=$A407)*MOVIMIENTOS!$E$5:$E$1005))</f>
        <v/>
      </c>
      <c r="D407" t="str">
        <f>IF($A407="","",SUMPRODUCT((MOVIMIENTOS!$B$5:$B$1005="SALDO INICIAL")*(MOVIMIENTOS!$C$5:$C$1005="C")*(MOVIMIENTOS!$D$5:$D$1005="jabas")*(MOVIMIENTOS!$A$5:$A$1005&lt;&gt;"")*(MOVIMIENTOS!$A$5:$A$1005&lt;=$A407)*MOVIMIENTOS!$E$5:$E$1005)+SUMPRODUCT((MOVIMIENTOS!$B$5:$B$1005="PROCESO")*(MOVIMIENTOS!$C$5:$C$1005="C")*(MOVIMIENTOS!$D$5:$D$1005="jabas")*(MOVIMIENTOS!$A$5:$A$1005&lt;&gt;"")*(MOVIMIENTOS!$A$5:$A$1005&lt;=$A407)*MOVIMIENTOS!$E$5:$E$1005)-SUMPRODUCT((MOVIMIENTOS!$B$5:$B$1005="ENVÍO A SUPESA")*(MOVIMIENTOS!$C$5:$C$1005="C")*(MOVIMIENTOS!$D$5:$D$1005="jabas")*(MOVIMIENTOS!$A$5:$A$1005&lt;&gt;"")*(MOVIMIENTOS!$A$5:$A$1005&lt;=$A407)*MOVIMIENTOS!$E$5:$E$1005)+SUMPRODUCT((MOVIMIENTOS!$B$5:$B$1005="DEVOLUCIÓN")*(MOVIMIENTOS!$C$5:$C$1005="C")*(MOVIMIENTOS!$D$5:$D$1005="jabas")*(MOVIMIENTOS!$A$5:$A$1005&lt;&gt;"")*(MOVIMIENTOS!$A$5:$A$1005&lt;=$A407)*MOVIMIENTOS!$E$5:$E$1005)-SUMPRODUCT((MOVIMIENTOS!$B$5:$B$1005="TRASIEGO")*(MOVIMIENTOS!$C$5:$C$1005="C")*(MOVIMIENTOS!$D$5:$D$1005="jabas")*(MOVIMIENTOS!$A$5:$A$1005&lt;&gt;"")*(MOVIMIENTOS!$A$5:$A$1005&lt;=$A407)*MOVIMIENTOS!$E$5:$E$1005)-SUMPRODUCT((MOVIMIENTOS!$B$5:$B$1005="REGALO")*(MOVIMIENTOS!$C$5:$C$1005="C")*(MOVIMIENTOS!$D$5:$D$1005="jabas")*(MOVIMIENTOS!$A$5:$A$1005&lt;&gt;"")*(MOVIMIENTOS!$A$5:$A$1005&lt;=$A407)*MOVIMIENTOS!$E$5:$E$1005)-SUMPRODUCT((MOVIMIENTOS!$B$5:$B$1005="VENTA")*(MOVIMIENTOS!$C$5:$C$1005="C")*(MOVIMIENTOS!$D$5:$D$1005="jabas")*(MOVIMIENTOS!$A$5:$A$1005&lt;&gt;"")*(MOVIMIENTOS!$A$5:$A$1005&lt;=$A407)*MOVIMIENTOS!$E$5:$E$1005)+SUMPRODUCT((MOVIMIENTOS!$B$5:$B$1005="AJUSTE")*(MOVIMIENTOS!$C$5:$C$1005="C")*(MOVIMIENTOS!$D$5:$D$1005="jabas")*(MOVIMIENTOS!$A$5:$A$1005&lt;&gt;"")*(MOVIMIENTOS!$A$5:$A$1005&lt;=$A407)*MOVIMIENTOS!$E$5:$E$1005))</f>
        <v/>
      </c>
      <c r="E407" t="str">
        <f>IF($A407="","",SUMPRODUCT((MOVIMIENTOS!$B$5:$B$1005="SALDO INICIAL")*(MOVIMIENTOS!$C$5:$C$1005="M")*(MOVIMIENTOS!$D$5:$D$1005="jabas")*(MOVIMIENTOS!$A$5:$A$1005&lt;&gt;"")*(MOVIMIENTOS!$A$5:$A$1005&lt;=$A407)*MOVIMIENTOS!$E$5:$E$1005)+SUMPRODUCT((MOVIMIENTOS!$B$5:$B$1005="PROCESO")*(MOVIMIENTOS!$C$5:$C$1005="M")*(MOVIMIENTOS!$D$5:$D$1005="jabas")*(MOVIMIENTOS!$A$5:$A$1005&lt;&gt;"")*(MOVIMIENTOS!$A$5:$A$1005&lt;=$A407)*MOVIMIENTOS!$E$5:$E$1005)-SUMPRODUCT((MOVIMIENTOS!$B$5:$B$1005="ENVÍO A SUPESA")*(MOVIMIENTOS!$C$5:$C$1005="M")*(MOVIMIENTOS!$D$5:$D$1005="jabas")*(MOVIMIENTOS!$A$5:$A$1005&lt;&gt;"")*(MOVIMIENTOS!$A$5:$A$1005&lt;=$A407)*MOVIMIENTOS!$E$5:$E$1005)+SUMPRODUCT((MOVIMIENTOS!$B$5:$B$1005="DEVOLUCIÓN")*(MOVIMIENTOS!$C$5:$C$1005="M")*(MOVIMIENTOS!$D$5:$D$1005="jabas")*(MOVIMIENTOS!$A$5:$A$1005&lt;&gt;"")*(MOVIMIENTOS!$A$5:$A$1005&lt;=$A407)*MOVIMIENTOS!$E$5:$E$1005)-SUMPRODUCT((MOVIMIENTOS!$B$5:$B$1005="TRASIEGO")*(MOVIMIENTOS!$C$5:$C$1005="M")*(MOVIMIENTOS!$D$5:$D$1005="jabas")*(MOVIMIENTOS!$A$5:$A$1005&lt;&gt;"")*(MOVIMIENTOS!$A$5:$A$1005&lt;=$A407)*MOVIMIENTOS!$E$5:$E$1005)-SUMPRODUCT((MOVIMIENTOS!$B$5:$B$1005="REGALO")*(MOVIMIENTOS!$C$5:$C$1005="M")*(MOVIMIENTOS!$D$5:$D$1005="jabas")*(MOVIMIENTOS!$A$5:$A$1005&lt;&gt;"")*(MOVIMIENTOS!$A$5:$A$1005&lt;=$A407)*MOVIMIENTOS!$E$5:$E$1005)-SUMPRODUCT((MOVIMIENTOS!$B$5:$B$1005="VENTA")*(MOVIMIENTOS!$C$5:$C$1005="M")*(MOVIMIENTOS!$D$5:$D$1005="jabas")*(MOVIMIENTOS!$A$5:$A$1005&lt;&gt;"")*(MOVIMIENTOS!$A$5:$A$1005&lt;=$A407)*MOVIMIENTOS!$E$5:$E$1005)+SUMPRODUCT((MOVIMIENTOS!$B$5:$B$1005="AJUSTE")*(MOVIMIENTOS!$C$5:$C$1005="M")*(MOVIMIENTOS!$D$5:$D$1005="jabas")*(MOVIMIENTOS!$A$5:$A$1005&lt;&gt;"")*(MOVIMIENTOS!$A$5:$A$1005&lt;=$A407)*MOVIMIENTOS!$E$5:$E$1005))</f>
        <v/>
      </c>
      <c r="F407" s="62" t="str">
        <f>IF($A407="","",SUMPRODUCT((MOVIMIENTOS!$B$5:$B$1005="SALDO INICIAL")*(MOVIMIENTOS!$C$5:$C$1005="Chancho")*(MOVIMIENTOS!$D$5:$D$1005="sacos")*(MOVIMIENTOS!$A$5:$A$1005&lt;&gt;"")*(MOVIMIENTOS!$A$5:$A$1005&lt;=$A407)*MOVIMIENTOS!$E$5:$E$1005)+SUMPRODUCT((MOVIMIENTOS!$B$5:$B$1005="PROCESO")*(MOVIMIENTOS!$C$5:$C$1005="Chancho")*(MOVIMIENTOS!$D$5:$D$1005="sacos")*(MOVIMIENTOS!$A$5:$A$1005&lt;&gt;"")*(MOVIMIENTOS!$A$5:$A$1005&lt;=$A407)*MOVIMIENTOS!$E$5:$E$1005)-SUMPRODUCT((MOVIMIENTOS!$B$5:$B$1005="VENTA CHANCHO")*(MOVIMIENTOS!$C$5:$C$1005="Chancho")*(MOVIMIENTOS!$D$5:$D$1005="sacos")*(MOVIMIENTOS!$A$5:$A$1005&lt;&gt;"")*(MOVIMIENTOS!$A$5:$A$1005&lt;=$A407)*MOVIMIENTOS!$E$5:$E$1005)-SUMPRODUCT((MOVIMIENTOS!$B$5:$B$1005="REGALO")*(MOVIMIENTOS!$C$5:$C$1005="Chancho")*(MOVIMIENTOS!$D$5:$D$1005="sacos")*(MOVIMIENTOS!$A$5:$A$1005&lt;&gt;"")*(MOVIMIENTOS!$A$5:$A$1005&lt;=$A407)*MOVIMIENTOS!$E$5:$E$1005)-SUMPRODUCT((MOVIMIENTOS!$B$5:$B$1005="VENTA")*(MOVIMIENTOS!$C$5:$C$1005="Chancho")*(MOVIMIENTOS!$D$5:$D$1005="sacos")*(MOVIMIENTOS!$A$5:$A$1005&lt;&gt;"")*(MOVIMIENTOS!$A$5:$A$1005&lt;=$A407)*MOVIMIENTOS!$E$5:$E$1005)+SUMPRODUCT((MOVIMIENTOS!$B$5:$B$1005="AJUSTE")*(MOVIMIENTOS!$C$5:$C$1005="Chancho")*(MOVIMIENTOS!$D$5:$D$1005="sacos")*(MOVIMIENTOS!$A$5:$A$1005&lt;&gt;"")*(MOVIMIENTOS!$A$5:$A$1005&lt;=$A407)*MOVIMIENTOS!$E$5:$E$1005))</f>
        <v/>
      </c>
      <c r="G407" s="62" t="str">
        <f t="shared" si="13"/>
        <v/>
      </c>
      <c r="H407" t="str">
        <f>IF($A407="","",SUMPRODUCT((((MOVIMIENTOS!$B$5:$B$1005="SALDO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407)*MOVIMIENTOS!$J$5:$J$1005))</f>
        <v/>
      </c>
      <c r="J407" t="str">
        <f>IF(AND(MOVIMIENTOS!$A410&lt;&gt;"",COUNTIF(MOVIMIENTOS!$A$5:$A409,MOVIMIENTOS!$A410)=0),COUNT(J$4:J406)+1,"")</f>
        <v/>
      </c>
      <c r="K407" s="67">
        <f>MOVIMIENTOS!$A410</f>
        <v>46249</v>
      </c>
    </row>
    <row r="408" spans="1:11" ht="15" customHeight="1" x14ac:dyDescent="0.2">
      <c r="A408" t="str">
        <f t="shared" si="12"/>
        <v/>
      </c>
      <c r="B408" t="str">
        <f>IF($A408="","",SUMPRODUCT((MOVIMIENTOS!$B$5:$B$1005="SALDO INICIAL")*(MOVIMIENTOS!$C$5:$C$1005="A")*(MOVIMIENTOS!$D$5:$D$1005="jabas")*(MOVIMIENTOS!$A$5:$A$1005&lt;&gt;"")*(MOVIMIENTOS!$A$5:$A$1005&lt;=$A408)*MOVIMIENTOS!$E$5:$E$1005)+SUMPRODUCT((MOVIMIENTOS!$B$5:$B$1005="PROCESO")*(MOVIMIENTOS!$C$5:$C$1005="A")*(MOVIMIENTOS!$D$5:$D$1005="jabas")*(MOVIMIENTOS!$A$5:$A$1005&lt;&gt;"")*(MOVIMIENTOS!$A$5:$A$1005&lt;=$A408)*MOVIMIENTOS!$E$5:$E$1005)-SUMPRODUCT((MOVIMIENTOS!$B$5:$B$1005="ENVÍO A SUPESA")*(MOVIMIENTOS!$C$5:$C$1005="A")*(MOVIMIENTOS!$D$5:$D$1005="jabas")*(MOVIMIENTOS!$A$5:$A$1005&lt;&gt;"")*(MOVIMIENTOS!$A$5:$A$1005&lt;=$A408)*MOVIMIENTOS!$E$5:$E$1005)+SUMPRODUCT((MOVIMIENTOS!$B$5:$B$1005="DEVOLUCIÓN")*(MOVIMIENTOS!$C$5:$C$1005="A")*(MOVIMIENTOS!$D$5:$D$1005="jabas")*(MOVIMIENTOS!$A$5:$A$1005&lt;&gt;"")*(MOVIMIENTOS!$A$5:$A$1005&lt;=$A408)*MOVIMIENTOS!$E$5:$E$1005)-SUMPRODUCT((MOVIMIENTOS!$B$5:$B$1005="TRASIEGO")*(MOVIMIENTOS!$C$5:$C$1005="A")*(MOVIMIENTOS!$D$5:$D$1005="jabas")*(MOVIMIENTOS!$A$5:$A$1005&lt;&gt;"")*(MOVIMIENTOS!$A$5:$A$1005&lt;=$A408)*MOVIMIENTOS!$E$5:$E$1005)-SUMPRODUCT((MOVIMIENTOS!$B$5:$B$1005="REGALO")*(MOVIMIENTOS!$C$5:$C$1005="A")*(MOVIMIENTOS!$D$5:$D$1005="jabas")*(MOVIMIENTOS!$A$5:$A$1005&lt;&gt;"")*(MOVIMIENTOS!$A$5:$A$1005&lt;=$A408)*MOVIMIENTOS!$E$5:$E$1005)-SUMPRODUCT((MOVIMIENTOS!$B$5:$B$1005="VENTA")*(MOVIMIENTOS!$C$5:$C$1005="A")*(MOVIMIENTOS!$D$5:$D$1005="jabas")*(MOVIMIENTOS!$A$5:$A$1005&lt;&gt;"")*(MOVIMIENTOS!$A$5:$A$1005&lt;=$A408)*MOVIMIENTOS!$E$5:$E$1005)+SUMPRODUCT((MOVIMIENTOS!$B$5:$B$1005="AJUSTE")*(MOVIMIENTOS!$C$5:$C$1005="A")*(MOVIMIENTOS!$D$5:$D$1005="jabas")*(MOVIMIENTOS!$A$5:$A$1005&lt;&gt;"")*(MOVIMIENTOS!$A$5:$A$1005&lt;=$A408)*MOVIMIENTOS!$E$5:$E$1005))</f>
        <v/>
      </c>
      <c r="C408" t="str">
        <f>IF($A408="","",SUMPRODUCT((MOVIMIENTOS!$B$5:$B$1005="SALDO INICIAL")*(MOVIMIENTOS!$C$5:$C$1005="P")*(MOVIMIENTOS!$D$5:$D$1005="jabas")*(MOVIMIENTOS!$A$5:$A$1005&lt;&gt;"")*(MOVIMIENTOS!$A$5:$A$1005&lt;=$A408)*MOVIMIENTOS!$E$5:$E$1005)+SUMPRODUCT((MOVIMIENTOS!$B$5:$B$1005="PROCESO")*(MOVIMIENTOS!$C$5:$C$1005="P")*(MOVIMIENTOS!$D$5:$D$1005="jabas")*(MOVIMIENTOS!$A$5:$A$1005&lt;&gt;"")*(MOVIMIENTOS!$A$5:$A$1005&lt;=$A408)*MOVIMIENTOS!$E$5:$E$1005)-SUMPRODUCT((MOVIMIENTOS!$B$5:$B$1005="ENVÍO A SUPESA")*(MOVIMIENTOS!$C$5:$C$1005="P")*(MOVIMIENTOS!$D$5:$D$1005="jabas")*(MOVIMIENTOS!$A$5:$A$1005&lt;&gt;"")*(MOVIMIENTOS!$A$5:$A$1005&lt;=$A408)*MOVIMIENTOS!$E$5:$E$1005)+SUMPRODUCT((MOVIMIENTOS!$B$5:$B$1005="DEVOLUCIÓN")*(MOVIMIENTOS!$C$5:$C$1005="P")*(MOVIMIENTOS!$D$5:$D$1005="jabas")*(MOVIMIENTOS!$A$5:$A$1005&lt;&gt;"")*(MOVIMIENTOS!$A$5:$A$1005&lt;=$A408)*MOVIMIENTOS!$E$5:$E$1005)-SUMPRODUCT((MOVIMIENTOS!$B$5:$B$1005="TRASIEGO")*(MOVIMIENTOS!$C$5:$C$1005="P")*(MOVIMIENTOS!$D$5:$D$1005="jabas")*(MOVIMIENTOS!$A$5:$A$1005&lt;&gt;"")*(MOVIMIENTOS!$A$5:$A$1005&lt;=$A408)*MOVIMIENTOS!$E$5:$E$1005)-SUMPRODUCT((MOVIMIENTOS!$B$5:$B$1005="REGALO")*(MOVIMIENTOS!$C$5:$C$1005="P")*(MOVIMIENTOS!$D$5:$D$1005="jabas")*(MOVIMIENTOS!$A$5:$A$1005&lt;&gt;"")*(MOVIMIENTOS!$A$5:$A$1005&lt;=$A408)*MOVIMIENTOS!$E$5:$E$1005)-SUMPRODUCT((MOVIMIENTOS!$B$5:$B$1005="VENTA")*(MOVIMIENTOS!$C$5:$C$1005="P")*(MOVIMIENTOS!$D$5:$D$1005="jabas")*(MOVIMIENTOS!$A$5:$A$1005&lt;&gt;"")*(MOVIMIENTOS!$A$5:$A$1005&lt;=$A408)*MOVIMIENTOS!$E$5:$E$1005)+SUMPRODUCT((MOVIMIENTOS!$B$5:$B$1005="AJUSTE")*(MOVIMIENTOS!$C$5:$C$1005="P")*(MOVIMIENTOS!$D$5:$D$1005="jabas")*(MOVIMIENTOS!$A$5:$A$1005&lt;&gt;"")*(MOVIMIENTOS!$A$5:$A$1005&lt;=$A408)*MOVIMIENTOS!$E$5:$E$1005))</f>
        <v/>
      </c>
      <c r="D408" t="str">
        <f>IF($A408="","",SUMPRODUCT((MOVIMIENTOS!$B$5:$B$1005="SALDO INICIAL")*(MOVIMIENTOS!$C$5:$C$1005="C")*(MOVIMIENTOS!$D$5:$D$1005="jabas")*(MOVIMIENTOS!$A$5:$A$1005&lt;&gt;"")*(MOVIMIENTOS!$A$5:$A$1005&lt;=$A408)*MOVIMIENTOS!$E$5:$E$1005)+SUMPRODUCT((MOVIMIENTOS!$B$5:$B$1005="PROCESO")*(MOVIMIENTOS!$C$5:$C$1005="C")*(MOVIMIENTOS!$D$5:$D$1005="jabas")*(MOVIMIENTOS!$A$5:$A$1005&lt;&gt;"")*(MOVIMIENTOS!$A$5:$A$1005&lt;=$A408)*MOVIMIENTOS!$E$5:$E$1005)-SUMPRODUCT((MOVIMIENTOS!$B$5:$B$1005="ENVÍO A SUPESA")*(MOVIMIENTOS!$C$5:$C$1005="C")*(MOVIMIENTOS!$D$5:$D$1005="jabas")*(MOVIMIENTOS!$A$5:$A$1005&lt;&gt;"")*(MOVIMIENTOS!$A$5:$A$1005&lt;=$A408)*MOVIMIENTOS!$E$5:$E$1005)+SUMPRODUCT((MOVIMIENTOS!$B$5:$B$1005="DEVOLUCIÓN")*(MOVIMIENTOS!$C$5:$C$1005="C")*(MOVIMIENTOS!$D$5:$D$1005="jabas")*(MOVIMIENTOS!$A$5:$A$1005&lt;&gt;"")*(MOVIMIENTOS!$A$5:$A$1005&lt;=$A408)*MOVIMIENTOS!$E$5:$E$1005)-SUMPRODUCT((MOVIMIENTOS!$B$5:$B$1005="TRASIEGO")*(MOVIMIENTOS!$C$5:$C$1005="C")*(MOVIMIENTOS!$D$5:$D$1005="jabas")*(MOVIMIENTOS!$A$5:$A$1005&lt;&gt;"")*(MOVIMIENTOS!$A$5:$A$1005&lt;=$A408)*MOVIMIENTOS!$E$5:$E$1005)-SUMPRODUCT((MOVIMIENTOS!$B$5:$B$1005="REGALO")*(MOVIMIENTOS!$C$5:$C$1005="C")*(MOVIMIENTOS!$D$5:$D$1005="jabas")*(MOVIMIENTOS!$A$5:$A$1005&lt;&gt;"")*(MOVIMIENTOS!$A$5:$A$1005&lt;=$A408)*MOVIMIENTOS!$E$5:$E$1005)-SUMPRODUCT((MOVIMIENTOS!$B$5:$B$1005="VENTA")*(MOVIMIENTOS!$C$5:$C$1005="C")*(MOVIMIENTOS!$D$5:$D$1005="jabas")*(MOVIMIENTOS!$A$5:$A$1005&lt;&gt;"")*(MOVIMIENTOS!$A$5:$A$1005&lt;=$A408)*MOVIMIENTOS!$E$5:$E$1005)+SUMPRODUCT((MOVIMIENTOS!$B$5:$B$1005="AJUSTE")*(MOVIMIENTOS!$C$5:$C$1005="C")*(MOVIMIENTOS!$D$5:$D$1005="jabas")*(MOVIMIENTOS!$A$5:$A$1005&lt;&gt;"")*(MOVIMIENTOS!$A$5:$A$1005&lt;=$A408)*MOVIMIENTOS!$E$5:$E$1005))</f>
        <v/>
      </c>
      <c r="E408" t="str">
        <f>IF($A408="","",SUMPRODUCT((MOVIMIENTOS!$B$5:$B$1005="SALDO INICIAL")*(MOVIMIENTOS!$C$5:$C$1005="M")*(MOVIMIENTOS!$D$5:$D$1005="jabas")*(MOVIMIENTOS!$A$5:$A$1005&lt;&gt;"")*(MOVIMIENTOS!$A$5:$A$1005&lt;=$A408)*MOVIMIENTOS!$E$5:$E$1005)+SUMPRODUCT((MOVIMIENTOS!$B$5:$B$1005="PROCESO")*(MOVIMIENTOS!$C$5:$C$1005="M")*(MOVIMIENTOS!$D$5:$D$1005="jabas")*(MOVIMIENTOS!$A$5:$A$1005&lt;&gt;"")*(MOVIMIENTOS!$A$5:$A$1005&lt;=$A408)*MOVIMIENTOS!$E$5:$E$1005)-SUMPRODUCT((MOVIMIENTOS!$B$5:$B$1005="ENVÍO A SUPESA")*(MOVIMIENTOS!$C$5:$C$1005="M")*(MOVIMIENTOS!$D$5:$D$1005="jabas")*(MOVIMIENTOS!$A$5:$A$1005&lt;&gt;"")*(MOVIMIENTOS!$A$5:$A$1005&lt;=$A408)*MOVIMIENTOS!$E$5:$E$1005)+SUMPRODUCT((MOVIMIENTOS!$B$5:$B$1005="DEVOLUCIÓN")*(MOVIMIENTOS!$C$5:$C$1005="M")*(MOVIMIENTOS!$D$5:$D$1005="jabas")*(MOVIMIENTOS!$A$5:$A$1005&lt;&gt;"")*(MOVIMIENTOS!$A$5:$A$1005&lt;=$A408)*MOVIMIENTOS!$E$5:$E$1005)-SUMPRODUCT((MOVIMIENTOS!$B$5:$B$1005="TRASIEGO")*(MOVIMIENTOS!$C$5:$C$1005="M")*(MOVIMIENTOS!$D$5:$D$1005="jabas")*(MOVIMIENTOS!$A$5:$A$1005&lt;&gt;"")*(MOVIMIENTOS!$A$5:$A$1005&lt;=$A408)*MOVIMIENTOS!$E$5:$E$1005)-SUMPRODUCT((MOVIMIENTOS!$B$5:$B$1005="REGALO")*(MOVIMIENTOS!$C$5:$C$1005="M")*(MOVIMIENTOS!$D$5:$D$1005="jabas")*(MOVIMIENTOS!$A$5:$A$1005&lt;&gt;"")*(MOVIMIENTOS!$A$5:$A$1005&lt;=$A408)*MOVIMIENTOS!$E$5:$E$1005)-SUMPRODUCT((MOVIMIENTOS!$B$5:$B$1005="VENTA")*(MOVIMIENTOS!$C$5:$C$1005="M")*(MOVIMIENTOS!$D$5:$D$1005="jabas")*(MOVIMIENTOS!$A$5:$A$1005&lt;&gt;"")*(MOVIMIENTOS!$A$5:$A$1005&lt;=$A408)*MOVIMIENTOS!$E$5:$E$1005)+SUMPRODUCT((MOVIMIENTOS!$B$5:$B$1005="AJUSTE")*(MOVIMIENTOS!$C$5:$C$1005="M")*(MOVIMIENTOS!$D$5:$D$1005="jabas")*(MOVIMIENTOS!$A$5:$A$1005&lt;&gt;"")*(MOVIMIENTOS!$A$5:$A$1005&lt;=$A408)*MOVIMIENTOS!$E$5:$E$1005))</f>
        <v/>
      </c>
      <c r="F408" s="62" t="str">
        <f>IF($A408="","",SUMPRODUCT((MOVIMIENTOS!$B$5:$B$1005="SALDO INICIAL")*(MOVIMIENTOS!$C$5:$C$1005="Chancho")*(MOVIMIENTOS!$D$5:$D$1005="sacos")*(MOVIMIENTOS!$A$5:$A$1005&lt;&gt;"")*(MOVIMIENTOS!$A$5:$A$1005&lt;=$A408)*MOVIMIENTOS!$E$5:$E$1005)+SUMPRODUCT((MOVIMIENTOS!$B$5:$B$1005="PROCESO")*(MOVIMIENTOS!$C$5:$C$1005="Chancho")*(MOVIMIENTOS!$D$5:$D$1005="sacos")*(MOVIMIENTOS!$A$5:$A$1005&lt;&gt;"")*(MOVIMIENTOS!$A$5:$A$1005&lt;=$A408)*MOVIMIENTOS!$E$5:$E$1005)-SUMPRODUCT((MOVIMIENTOS!$B$5:$B$1005="VENTA CHANCHO")*(MOVIMIENTOS!$C$5:$C$1005="Chancho")*(MOVIMIENTOS!$D$5:$D$1005="sacos")*(MOVIMIENTOS!$A$5:$A$1005&lt;&gt;"")*(MOVIMIENTOS!$A$5:$A$1005&lt;=$A408)*MOVIMIENTOS!$E$5:$E$1005)-SUMPRODUCT((MOVIMIENTOS!$B$5:$B$1005="REGALO")*(MOVIMIENTOS!$C$5:$C$1005="Chancho")*(MOVIMIENTOS!$D$5:$D$1005="sacos")*(MOVIMIENTOS!$A$5:$A$1005&lt;&gt;"")*(MOVIMIENTOS!$A$5:$A$1005&lt;=$A408)*MOVIMIENTOS!$E$5:$E$1005)-SUMPRODUCT((MOVIMIENTOS!$B$5:$B$1005="VENTA")*(MOVIMIENTOS!$C$5:$C$1005="Chancho")*(MOVIMIENTOS!$D$5:$D$1005="sacos")*(MOVIMIENTOS!$A$5:$A$1005&lt;&gt;"")*(MOVIMIENTOS!$A$5:$A$1005&lt;=$A408)*MOVIMIENTOS!$E$5:$E$1005)+SUMPRODUCT((MOVIMIENTOS!$B$5:$B$1005="AJUSTE")*(MOVIMIENTOS!$C$5:$C$1005="Chancho")*(MOVIMIENTOS!$D$5:$D$1005="sacos")*(MOVIMIENTOS!$A$5:$A$1005&lt;&gt;"")*(MOVIMIENTOS!$A$5:$A$1005&lt;=$A408)*MOVIMIENTOS!$E$5:$E$1005))</f>
        <v/>
      </c>
      <c r="G408" s="62" t="str">
        <f t="shared" si="13"/>
        <v/>
      </c>
      <c r="H408" t="str">
        <f>IF($A408="","",SUMPRODUCT((((MOVIMIENTOS!$B$5:$B$1005="SALDO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408)*MOVIMIENTOS!$J$5:$J$1005))</f>
        <v/>
      </c>
      <c r="J408" t="str">
        <f>IF(AND(MOVIMIENTOS!$A411&lt;&gt;"",COUNTIF(MOVIMIENTOS!$A$5:$A410,MOVIMIENTOS!$A411)=0),COUNT(J$4:J407)+1,"")</f>
        <v/>
      </c>
      <c r="K408" s="67">
        <f>MOVIMIENTOS!$A411</f>
        <v>46249</v>
      </c>
    </row>
    <row r="409" spans="1:11" ht="15" customHeight="1" x14ac:dyDescent="0.2">
      <c r="A409" t="str">
        <f t="shared" si="12"/>
        <v/>
      </c>
      <c r="B409" t="str">
        <f>IF($A409="","",SUMPRODUCT((MOVIMIENTOS!$B$5:$B$1005="SALDO INICIAL")*(MOVIMIENTOS!$C$5:$C$1005="A")*(MOVIMIENTOS!$D$5:$D$1005="jabas")*(MOVIMIENTOS!$A$5:$A$1005&lt;&gt;"")*(MOVIMIENTOS!$A$5:$A$1005&lt;=$A409)*MOVIMIENTOS!$E$5:$E$1005)+SUMPRODUCT((MOVIMIENTOS!$B$5:$B$1005="PROCESO")*(MOVIMIENTOS!$C$5:$C$1005="A")*(MOVIMIENTOS!$D$5:$D$1005="jabas")*(MOVIMIENTOS!$A$5:$A$1005&lt;&gt;"")*(MOVIMIENTOS!$A$5:$A$1005&lt;=$A409)*MOVIMIENTOS!$E$5:$E$1005)-SUMPRODUCT((MOVIMIENTOS!$B$5:$B$1005="ENVÍO A SUPESA")*(MOVIMIENTOS!$C$5:$C$1005="A")*(MOVIMIENTOS!$D$5:$D$1005="jabas")*(MOVIMIENTOS!$A$5:$A$1005&lt;&gt;"")*(MOVIMIENTOS!$A$5:$A$1005&lt;=$A409)*MOVIMIENTOS!$E$5:$E$1005)+SUMPRODUCT((MOVIMIENTOS!$B$5:$B$1005="DEVOLUCIÓN")*(MOVIMIENTOS!$C$5:$C$1005="A")*(MOVIMIENTOS!$D$5:$D$1005="jabas")*(MOVIMIENTOS!$A$5:$A$1005&lt;&gt;"")*(MOVIMIENTOS!$A$5:$A$1005&lt;=$A409)*MOVIMIENTOS!$E$5:$E$1005)-SUMPRODUCT((MOVIMIENTOS!$B$5:$B$1005="TRASIEGO")*(MOVIMIENTOS!$C$5:$C$1005="A")*(MOVIMIENTOS!$D$5:$D$1005="jabas")*(MOVIMIENTOS!$A$5:$A$1005&lt;&gt;"")*(MOVIMIENTOS!$A$5:$A$1005&lt;=$A409)*MOVIMIENTOS!$E$5:$E$1005)-SUMPRODUCT((MOVIMIENTOS!$B$5:$B$1005="REGALO")*(MOVIMIENTOS!$C$5:$C$1005="A")*(MOVIMIENTOS!$D$5:$D$1005="jabas")*(MOVIMIENTOS!$A$5:$A$1005&lt;&gt;"")*(MOVIMIENTOS!$A$5:$A$1005&lt;=$A409)*MOVIMIENTOS!$E$5:$E$1005)-SUMPRODUCT((MOVIMIENTOS!$B$5:$B$1005="VENTA")*(MOVIMIENTOS!$C$5:$C$1005="A")*(MOVIMIENTOS!$D$5:$D$1005="jabas")*(MOVIMIENTOS!$A$5:$A$1005&lt;&gt;"")*(MOVIMIENTOS!$A$5:$A$1005&lt;=$A409)*MOVIMIENTOS!$E$5:$E$1005)+SUMPRODUCT((MOVIMIENTOS!$B$5:$B$1005="AJUSTE")*(MOVIMIENTOS!$C$5:$C$1005="A")*(MOVIMIENTOS!$D$5:$D$1005="jabas")*(MOVIMIENTOS!$A$5:$A$1005&lt;&gt;"")*(MOVIMIENTOS!$A$5:$A$1005&lt;=$A409)*MOVIMIENTOS!$E$5:$E$1005))</f>
        <v/>
      </c>
      <c r="C409" t="str">
        <f>IF($A409="","",SUMPRODUCT((MOVIMIENTOS!$B$5:$B$1005="SALDO INICIAL")*(MOVIMIENTOS!$C$5:$C$1005="P")*(MOVIMIENTOS!$D$5:$D$1005="jabas")*(MOVIMIENTOS!$A$5:$A$1005&lt;&gt;"")*(MOVIMIENTOS!$A$5:$A$1005&lt;=$A409)*MOVIMIENTOS!$E$5:$E$1005)+SUMPRODUCT((MOVIMIENTOS!$B$5:$B$1005="PROCESO")*(MOVIMIENTOS!$C$5:$C$1005="P")*(MOVIMIENTOS!$D$5:$D$1005="jabas")*(MOVIMIENTOS!$A$5:$A$1005&lt;&gt;"")*(MOVIMIENTOS!$A$5:$A$1005&lt;=$A409)*MOVIMIENTOS!$E$5:$E$1005)-SUMPRODUCT((MOVIMIENTOS!$B$5:$B$1005="ENVÍO A SUPESA")*(MOVIMIENTOS!$C$5:$C$1005="P")*(MOVIMIENTOS!$D$5:$D$1005="jabas")*(MOVIMIENTOS!$A$5:$A$1005&lt;&gt;"")*(MOVIMIENTOS!$A$5:$A$1005&lt;=$A409)*MOVIMIENTOS!$E$5:$E$1005)+SUMPRODUCT((MOVIMIENTOS!$B$5:$B$1005="DEVOLUCIÓN")*(MOVIMIENTOS!$C$5:$C$1005="P")*(MOVIMIENTOS!$D$5:$D$1005="jabas")*(MOVIMIENTOS!$A$5:$A$1005&lt;&gt;"")*(MOVIMIENTOS!$A$5:$A$1005&lt;=$A409)*MOVIMIENTOS!$E$5:$E$1005)-SUMPRODUCT((MOVIMIENTOS!$B$5:$B$1005="TRASIEGO")*(MOVIMIENTOS!$C$5:$C$1005="P")*(MOVIMIENTOS!$D$5:$D$1005="jabas")*(MOVIMIENTOS!$A$5:$A$1005&lt;&gt;"")*(MOVIMIENTOS!$A$5:$A$1005&lt;=$A409)*MOVIMIENTOS!$E$5:$E$1005)-SUMPRODUCT((MOVIMIENTOS!$B$5:$B$1005="REGALO")*(MOVIMIENTOS!$C$5:$C$1005="P")*(MOVIMIENTOS!$D$5:$D$1005="jabas")*(MOVIMIENTOS!$A$5:$A$1005&lt;&gt;"")*(MOVIMIENTOS!$A$5:$A$1005&lt;=$A409)*MOVIMIENTOS!$E$5:$E$1005)-SUMPRODUCT((MOVIMIENTOS!$B$5:$B$1005="VENTA")*(MOVIMIENTOS!$C$5:$C$1005="P")*(MOVIMIENTOS!$D$5:$D$1005="jabas")*(MOVIMIENTOS!$A$5:$A$1005&lt;&gt;"")*(MOVIMIENTOS!$A$5:$A$1005&lt;=$A409)*MOVIMIENTOS!$E$5:$E$1005)+SUMPRODUCT((MOVIMIENTOS!$B$5:$B$1005="AJUSTE")*(MOVIMIENTOS!$C$5:$C$1005="P")*(MOVIMIENTOS!$D$5:$D$1005="jabas")*(MOVIMIENTOS!$A$5:$A$1005&lt;&gt;"")*(MOVIMIENTOS!$A$5:$A$1005&lt;=$A409)*MOVIMIENTOS!$E$5:$E$1005))</f>
        <v/>
      </c>
      <c r="D409" t="str">
        <f>IF($A409="","",SUMPRODUCT((MOVIMIENTOS!$B$5:$B$1005="SALDO INICIAL")*(MOVIMIENTOS!$C$5:$C$1005="C")*(MOVIMIENTOS!$D$5:$D$1005="jabas")*(MOVIMIENTOS!$A$5:$A$1005&lt;&gt;"")*(MOVIMIENTOS!$A$5:$A$1005&lt;=$A409)*MOVIMIENTOS!$E$5:$E$1005)+SUMPRODUCT((MOVIMIENTOS!$B$5:$B$1005="PROCESO")*(MOVIMIENTOS!$C$5:$C$1005="C")*(MOVIMIENTOS!$D$5:$D$1005="jabas")*(MOVIMIENTOS!$A$5:$A$1005&lt;&gt;"")*(MOVIMIENTOS!$A$5:$A$1005&lt;=$A409)*MOVIMIENTOS!$E$5:$E$1005)-SUMPRODUCT((MOVIMIENTOS!$B$5:$B$1005="ENVÍO A SUPESA")*(MOVIMIENTOS!$C$5:$C$1005="C")*(MOVIMIENTOS!$D$5:$D$1005="jabas")*(MOVIMIENTOS!$A$5:$A$1005&lt;&gt;"")*(MOVIMIENTOS!$A$5:$A$1005&lt;=$A409)*MOVIMIENTOS!$E$5:$E$1005)+SUMPRODUCT((MOVIMIENTOS!$B$5:$B$1005="DEVOLUCIÓN")*(MOVIMIENTOS!$C$5:$C$1005="C")*(MOVIMIENTOS!$D$5:$D$1005="jabas")*(MOVIMIENTOS!$A$5:$A$1005&lt;&gt;"")*(MOVIMIENTOS!$A$5:$A$1005&lt;=$A409)*MOVIMIENTOS!$E$5:$E$1005)-SUMPRODUCT((MOVIMIENTOS!$B$5:$B$1005="TRASIEGO")*(MOVIMIENTOS!$C$5:$C$1005="C")*(MOVIMIENTOS!$D$5:$D$1005="jabas")*(MOVIMIENTOS!$A$5:$A$1005&lt;&gt;"")*(MOVIMIENTOS!$A$5:$A$1005&lt;=$A409)*MOVIMIENTOS!$E$5:$E$1005)-SUMPRODUCT((MOVIMIENTOS!$B$5:$B$1005="REGALO")*(MOVIMIENTOS!$C$5:$C$1005="C")*(MOVIMIENTOS!$D$5:$D$1005="jabas")*(MOVIMIENTOS!$A$5:$A$1005&lt;&gt;"")*(MOVIMIENTOS!$A$5:$A$1005&lt;=$A409)*MOVIMIENTOS!$E$5:$E$1005)-SUMPRODUCT((MOVIMIENTOS!$B$5:$B$1005="VENTA")*(MOVIMIENTOS!$C$5:$C$1005="C")*(MOVIMIENTOS!$D$5:$D$1005="jabas")*(MOVIMIENTOS!$A$5:$A$1005&lt;&gt;"")*(MOVIMIENTOS!$A$5:$A$1005&lt;=$A409)*MOVIMIENTOS!$E$5:$E$1005)+SUMPRODUCT((MOVIMIENTOS!$B$5:$B$1005="AJUSTE")*(MOVIMIENTOS!$C$5:$C$1005="C")*(MOVIMIENTOS!$D$5:$D$1005="jabas")*(MOVIMIENTOS!$A$5:$A$1005&lt;&gt;"")*(MOVIMIENTOS!$A$5:$A$1005&lt;=$A409)*MOVIMIENTOS!$E$5:$E$1005))</f>
        <v/>
      </c>
      <c r="E409" t="str">
        <f>IF($A409="","",SUMPRODUCT((MOVIMIENTOS!$B$5:$B$1005="SALDO INICIAL")*(MOVIMIENTOS!$C$5:$C$1005="M")*(MOVIMIENTOS!$D$5:$D$1005="jabas")*(MOVIMIENTOS!$A$5:$A$1005&lt;&gt;"")*(MOVIMIENTOS!$A$5:$A$1005&lt;=$A409)*MOVIMIENTOS!$E$5:$E$1005)+SUMPRODUCT((MOVIMIENTOS!$B$5:$B$1005="PROCESO")*(MOVIMIENTOS!$C$5:$C$1005="M")*(MOVIMIENTOS!$D$5:$D$1005="jabas")*(MOVIMIENTOS!$A$5:$A$1005&lt;&gt;"")*(MOVIMIENTOS!$A$5:$A$1005&lt;=$A409)*MOVIMIENTOS!$E$5:$E$1005)-SUMPRODUCT((MOVIMIENTOS!$B$5:$B$1005="ENVÍO A SUPESA")*(MOVIMIENTOS!$C$5:$C$1005="M")*(MOVIMIENTOS!$D$5:$D$1005="jabas")*(MOVIMIENTOS!$A$5:$A$1005&lt;&gt;"")*(MOVIMIENTOS!$A$5:$A$1005&lt;=$A409)*MOVIMIENTOS!$E$5:$E$1005)+SUMPRODUCT((MOVIMIENTOS!$B$5:$B$1005="DEVOLUCIÓN")*(MOVIMIENTOS!$C$5:$C$1005="M")*(MOVIMIENTOS!$D$5:$D$1005="jabas")*(MOVIMIENTOS!$A$5:$A$1005&lt;&gt;"")*(MOVIMIENTOS!$A$5:$A$1005&lt;=$A409)*MOVIMIENTOS!$E$5:$E$1005)-SUMPRODUCT((MOVIMIENTOS!$B$5:$B$1005="TRASIEGO")*(MOVIMIENTOS!$C$5:$C$1005="M")*(MOVIMIENTOS!$D$5:$D$1005="jabas")*(MOVIMIENTOS!$A$5:$A$1005&lt;&gt;"")*(MOVIMIENTOS!$A$5:$A$1005&lt;=$A409)*MOVIMIENTOS!$E$5:$E$1005)-SUMPRODUCT((MOVIMIENTOS!$B$5:$B$1005="REGALO")*(MOVIMIENTOS!$C$5:$C$1005="M")*(MOVIMIENTOS!$D$5:$D$1005="jabas")*(MOVIMIENTOS!$A$5:$A$1005&lt;&gt;"")*(MOVIMIENTOS!$A$5:$A$1005&lt;=$A409)*MOVIMIENTOS!$E$5:$E$1005)-SUMPRODUCT((MOVIMIENTOS!$B$5:$B$1005="VENTA")*(MOVIMIENTOS!$C$5:$C$1005="M")*(MOVIMIENTOS!$D$5:$D$1005="jabas")*(MOVIMIENTOS!$A$5:$A$1005&lt;&gt;"")*(MOVIMIENTOS!$A$5:$A$1005&lt;=$A409)*MOVIMIENTOS!$E$5:$E$1005)+SUMPRODUCT((MOVIMIENTOS!$B$5:$B$1005="AJUSTE")*(MOVIMIENTOS!$C$5:$C$1005="M")*(MOVIMIENTOS!$D$5:$D$1005="jabas")*(MOVIMIENTOS!$A$5:$A$1005&lt;&gt;"")*(MOVIMIENTOS!$A$5:$A$1005&lt;=$A409)*MOVIMIENTOS!$E$5:$E$1005))</f>
        <v/>
      </c>
      <c r="F409" s="62" t="str">
        <f>IF($A409="","",SUMPRODUCT((MOVIMIENTOS!$B$5:$B$1005="SALDO INICIAL")*(MOVIMIENTOS!$C$5:$C$1005="Chancho")*(MOVIMIENTOS!$D$5:$D$1005="sacos")*(MOVIMIENTOS!$A$5:$A$1005&lt;&gt;"")*(MOVIMIENTOS!$A$5:$A$1005&lt;=$A409)*MOVIMIENTOS!$E$5:$E$1005)+SUMPRODUCT((MOVIMIENTOS!$B$5:$B$1005="PROCESO")*(MOVIMIENTOS!$C$5:$C$1005="Chancho")*(MOVIMIENTOS!$D$5:$D$1005="sacos")*(MOVIMIENTOS!$A$5:$A$1005&lt;&gt;"")*(MOVIMIENTOS!$A$5:$A$1005&lt;=$A409)*MOVIMIENTOS!$E$5:$E$1005)-SUMPRODUCT((MOVIMIENTOS!$B$5:$B$1005="VENTA CHANCHO")*(MOVIMIENTOS!$C$5:$C$1005="Chancho")*(MOVIMIENTOS!$D$5:$D$1005="sacos")*(MOVIMIENTOS!$A$5:$A$1005&lt;&gt;"")*(MOVIMIENTOS!$A$5:$A$1005&lt;=$A409)*MOVIMIENTOS!$E$5:$E$1005)-SUMPRODUCT((MOVIMIENTOS!$B$5:$B$1005="REGALO")*(MOVIMIENTOS!$C$5:$C$1005="Chancho")*(MOVIMIENTOS!$D$5:$D$1005="sacos")*(MOVIMIENTOS!$A$5:$A$1005&lt;&gt;"")*(MOVIMIENTOS!$A$5:$A$1005&lt;=$A409)*MOVIMIENTOS!$E$5:$E$1005)-SUMPRODUCT((MOVIMIENTOS!$B$5:$B$1005="VENTA")*(MOVIMIENTOS!$C$5:$C$1005="Chancho")*(MOVIMIENTOS!$D$5:$D$1005="sacos")*(MOVIMIENTOS!$A$5:$A$1005&lt;&gt;"")*(MOVIMIENTOS!$A$5:$A$1005&lt;=$A409)*MOVIMIENTOS!$E$5:$E$1005)+SUMPRODUCT((MOVIMIENTOS!$B$5:$B$1005="AJUSTE")*(MOVIMIENTOS!$C$5:$C$1005="Chancho")*(MOVIMIENTOS!$D$5:$D$1005="sacos")*(MOVIMIENTOS!$A$5:$A$1005&lt;&gt;"")*(MOVIMIENTOS!$A$5:$A$1005&lt;=$A409)*MOVIMIENTOS!$E$5:$E$1005))</f>
        <v/>
      </c>
      <c r="G409" s="62" t="str">
        <f t="shared" si="13"/>
        <v/>
      </c>
      <c r="H409" t="str">
        <f>IF($A409="","",SUMPRODUCT((((MOVIMIENTOS!$B$5:$B$1005="SALDO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409)*MOVIMIENTOS!$J$5:$J$1005))</f>
        <v/>
      </c>
      <c r="J409" t="str">
        <f>IF(AND(MOVIMIENTOS!$A412&lt;&gt;"",COUNTIF(MOVIMIENTOS!$A$5:$A411,MOVIMIENTOS!$A412)=0),COUNT(J$4:J408)+1,"")</f>
        <v/>
      </c>
      <c r="K409" s="67">
        <f>MOVIMIENTOS!$A412</f>
        <v>46249</v>
      </c>
    </row>
    <row r="410" spans="1:11" ht="15" customHeight="1" x14ac:dyDescent="0.2">
      <c r="A410" t="str">
        <f t="shared" si="12"/>
        <v/>
      </c>
      <c r="B410" t="str">
        <f>IF($A410="","",SUMPRODUCT((MOVIMIENTOS!$B$5:$B$1005="SALDO INICIAL")*(MOVIMIENTOS!$C$5:$C$1005="A")*(MOVIMIENTOS!$D$5:$D$1005="jabas")*(MOVIMIENTOS!$A$5:$A$1005&lt;&gt;"")*(MOVIMIENTOS!$A$5:$A$1005&lt;=$A410)*MOVIMIENTOS!$E$5:$E$1005)+SUMPRODUCT((MOVIMIENTOS!$B$5:$B$1005="PROCESO")*(MOVIMIENTOS!$C$5:$C$1005="A")*(MOVIMIENTOS!$D$5:$D$1005="jabas")*(MOVIMIENTOS!$A$5:$A$1005&lt;&gt;"")*(MOVIMIENTOS!$A$5:$A$1005&lt;=$A410)*MOVIMIENTOS!$E$5:$E$1005)-SUMPRODUCT((MOVIMIENTOS!$B$5:$B$1005="ENVÍO A SUPESA")*(MOVIMIENTOS!$C$5:$C$1005="A")*(MOVIMIENTOS!$D$5:$D$1005="jabas")*(MOVIMIENTOS!$A$5:$A$1005&lt;&gt;"")*(MOVIMIENTOS!$A$5:$A$1005&lt;=$A410)*MOVIMIENTOS!$E$5:$E$1005)+SUMPRODUCT((MOVIMIENTOS!$B$5:$B$1005="DEVOLUCIÓN")*(MOVIMIENTOS!$C$5:$C$1005="A")*(MOVIMIENTOS!$D$5:$D$1005="jabas")*(MOVIMIENTOS!$A$5:$A$1005&lt;&gt;"")*(MOVIMIENTOS!$A$5:$A$1005&lt;=$A410)*MOVIMIENTOS!$E$5:$E$1005)-SUMPRODUCT((MOVIMIENTOS!$B$5:$B$1005="TRASIEGO")*(MOVIMIENTOS!$C$5:$C$1005="A")*(MOVIMIENTOS!$D$5:$D$1005="jabas")*(MOVIMIENTOS!$A$5:$A$1005&lt;&gt;"")*(MOVIMIENTOS!$A$5:$A$1005&lt;=$A410)*MOVIMIENTOS!$E$5:$E$1005)-SUMPRODUCT((MOVIMIENTOS!$B$5:$B$1005="REGALO")*(MOVIMIENTOS!$C$5:$C$1005="A")*(MOVIMIENTOS!$D$5:$D$1005="jabas")*(MOVIMIENTOS!$A$5:$A$1005&lt;&gt;"")*(MOVIMIENTOS!$A$5:$A$1005&lt;=$A410)*MOVIMIENTOS!$E$5:$E$1005)-SUMPRODUCT((MOVIMIENTOS!$B$5:$B$1005="VENTA")*(MOVIMIENTOS!$C$5:$C$1005="A")*(MOVIMIENTOS!$D$5:$D$1005="jabas")*(MOVIMIENTOS!$A$5:$A$1005&lt;&gt;"")*(MOVIMIENTOS!$A$5:$A$1005&lt;=$A410)*MOVIMIENTOS!$E$5:$E$1005)+SUMPRODUCT((MOVIMIENTOS!$B$5:$B$1005="AJUSTE")*(MOVIMIENTOS!$C$5:$C$1005="A")*(MOVIMIENTOS!$D$5:$D$1005="jabas")*(MOVIMIENTOS!$A$5:$A$1005&lt;&gt;"")*(MOVIMIENTOS!$A$5:$A$1005&lt;=$A410)*MOVIMIENTOS!$E$5:$E$1005))</f>
        <v/>
      </c>
      <c r="C410" t="str">
        <f>IF($A410="","",SUMPRODUCT((MOVIMIENTOS!$B$5:$B$1005="SALDO INICIAL")*(MOVIMIENTOS!$C$5:$C$1005="P")*(MOVIMIENTOS!$D$5:$D$1005="jabas")*(MOVIMIENTOS!$A$5:$A$1005&lt;&gt;"")*(MOVIMIENTOS!$A$5:$A$1005&lt;=$A410)*MOVIMIENTOS!$E$5:$E$1005)+SUMPRODUCT((MOVIMIENTOS!$B$5:$B$1005="PROCESO")*(MOVIMIENTOS!$C$5:$C$1005="P")*(MOVIMIENTOS!$D$5:$D$1005="jabas")*(MOVIMIENTOS!$A$5:$A$1005&lt;&gt;"")*(MOVIMIENTOS!$A$5:$A$1005&lt;=$A410)*MOVIMIENTOS!$E$5:$E$1005)-SUMPRODUCT((MOVIMIENTOS!$B$5:$B$1005="ENVÍO A SUPESA")*(MOVIMIENTOS!$C$5:$C$1005="P")*(MOVIMIENTOS!$D$5:$D$1005="jabas")*(MOVIMIENTOS!$A$5:$A$1005&lt;&gt;"")*(MOVIMIENTOS!$A$5:$A$1005&lt;=$A410)*MOVIMIENTOS!$E$5:$E$1005)+SUMPRODUCT((MOVIMIENTOS!$B$5:$B$1005="DEVOLUCIÓN")*(MOVIMIENTOS!$C$5:$C$1005="P")*(MOVIMIENTOS!$D$5:$D$1005="jabas")*(MOVIMIENTOS!$A$5:$A$1005&lt;&gt;"")*(MOVIMIENTOS!$A$5:$A$1005&lt;=$A410)*MOVIMIENTOS!$E$5:$E$1005)-SUMPRODUCT((MOVIMIENTOS!$B$5:$B$1005="TRASIEGO")*(MOVIMIENTOS!$C$5:$C$1005="P")*(MOVIMIENTOS!$D$5:$D$1005="jabas")*(MOVIMIENTOS!$A$5:$A$1005&lt;&gt;"")*(MOVIMIENTOS!$A$5:$A$1005&lt;=$A410)*MOVIMIENTOS!$E$5:$E$1005)-SUMPRODUCT((MOVIMIENTOS!$B$5:$B$1005="REGALO")*(MOVIMIENTOS!$C$5:$C$1005="P")*(MOVIMIENTOS!$D$5:$D$1005="jabas")*(MOVIMIENTOS!$A$5:$A$1005&lt;&gt;"")*(MOVIMIENTOS!$A$5:$A$1005&lt;=$A410)*MOVIMIENTOS!$E$5:$E$1005)-SUMPRODUCT((MOVIMIENTOS!$B$5:$B$1005="VENTA")*(MOVIMIENTOS!$C$5:$C$1005="P")*(MOVIMIENTOS!$D$5:$D$1005="jabas")*(MOVIMIENTOS!$A$5:$A$1005&lt;&gt;"")*(MOVIMIENTOS!$A$5:$A$1005&lt;=$A410)*MOVIMIENTOS!$E$5:$E$1005)+SUMPRODUCT((MOVIMIENTOS!$B$5:$B$1005="AJUSTE")*(MOVIMIENTOS!$C$5:$C$1005="P")*(MOVIMIENTOS!$D$5:$D$1005="jabas")*(MOVIMIENTOS!$A$5:$A$1005&lt;&gt;"")*(MOVIMIENTOS!$A$5:$A$1005&lt;=$A410)*MOVIMIENTOS!$E$5:$E$1005))</f>
        <v/>
      </c>
      <c r="D410" t="str">
        <f>IF($A410="","",SUMPRODUCT((MOVIMIENTOS!$B$5:$B$1005="SALDO INICIAL")*(MOVIMIENTOS!$C$5:$C$1005="C")*(MOVIMIENTOS!$D$5:$D$1005="jabas")*(MOVIMIENTOS!$A$5:$A$1005&lt;&gt;"")*(MOVIMIENTOS!$A$5:$A$1005&lt;=$A410)*MOVIMIENTOS!$E$5:$E$1005)+SUMPRODUCT((MOVIMIENTOS!$B$5:$B$1005="PROCESO")*(MOVIMIENTOS!$C$5:$C$1005="C")*(MOVIMIENTOS!$D$5:$D$1005="jabas")*(MOVIMIENTOS!$A$5:$A$1005&lt;&gt;"")*(MOVIMIENTOS!$A$5:$A$1005&lt;=$A410)*MOVIMIENTOS!$E$5:$E$1005)-SUMPRODUCT((MOVIMIENTOS!$B$5:$B$1005="ENVÍO A SUPESA")*(MOVIMIENTOS!$C$5:$C$1005="C")*(MOVIMIENTOS!$D$5:$D$1005="jabas")*(MOVIMIENTOS!$A$5:$A$1005&lt;&gt;"")*(MOVIMIENTOS!$A$5:$A$1005&lt;=$A410)*MOVIMIENTOS!$E$5:$E$1005)+SUMPRODUCT((MOVIMIENTOS!$B$5:$B$1005="DEVOLUCIÓN")*(MOVIMIENTOS!$C$5:$C$1005="C")*(MOVIMIENTOS!$D$5:$D$1005="jabas")*(MOVIMIENTOS!$A$5:$A$1005&lt;&gt;"")*(MOVIMIENTOS!$A$5:$A$1005&lt;=$A410)*MOVIMIENTOS!$E$5:$E$1005)-SUMPRODUCT((MOVIMIENTOS!$B$5:$B$1005="TRASIEGO")*(MOVIMIENTOS!$C$5:$C$1005="C")*(MOVIMIENTOS!$D$5:$D$1005="jabas")*(MOVIMIENTOS!$A$5:$A$1005&lt;&gt;"")*(MOVIMIENTOS!$A$5:$A$1005&lt;=$A410)*MOVIMIENTOS!$E$5:$E$1005)-SUMPRODUCT((MOVIMIENTOS!$B$5:$B$1005="REGALO")*(MOVIMIENTOS!$C$5:$C$1005="C")*(MOVIMIENTOS!$D$5:$D$1005="jabas")*(MOVIMIENTOS!$A$5:$A$1005&lt;&gt;"")*(MOVIMIENTOS!$A$5:$A$1005&lt;=$A410)*MOVIMIENTOS!$E$5:$E$1005)-SUMPRODUCT((MOVIMIENTOS!$B$5:$B$1005="VENTA")*(MOVIMIENTOS!$C$5:$C$1005="C")*(MOVIMIENTOS!$D$5:$D$1005="jabas")*(MOVIMIENTOS!$A$5:$A$1005&lt;&gt;"")*(MOVIMIENTOS!$A$5:$A$1005&lt;=$A410)*MOVIMIENTOS!$E$5:$E$1005)+SUMPRODUCT((MOVIMIENTOS!$B$5:$B$1005="AJUSTE")*(MOVIMIENTOS!$C$5:$C$1005="C")*(MOVIMIENTOS!$D$5:$D$1005="jabas")*(MOVIMIENTOS!$A$5:$A$1005&lt;&gt;"")*(MOVIMIENTOS!$A$5:$A$1005&lt;=$A410)*MOVIMIENTOS!$E$5:$E$1005))</f>
        <v/>
      </c>
      <c r="E410" t="str">
        <f>IF($A410="","",SUMPRODUCT((MOVIMIENTOS!$B$5:$B$1005="SALDO INICIAL")*(MOVIMIENTOS!$C$5:$C$1005="M")*(MOVIMIENTOS!$D$5:$D$1005="jabas")*(MOVIMIENTOS!$A$5:$A$1005&lt;&gt;"")*(MOVIMIENTOS!$A$5:$A$1005&lt;=$A410)*MOVIMIENTOS!$E$5:$E$1005)+SUMPRODUCT((MOVIMIENTOS!$B$5:$B$1005="PROCESO")*(MOVIMIENTOS!$C$5:$C$1005="M")*(MOVIMIENTOS!$D$5:$D$1005="jabas")*(MOVIMIENTOS!$A$5:$A$1005&lt;&gt;"")*(MOVIMIENTOS!$A$5:$A$1005&lt;=$A410)*MOVIMIENTOS!$E$5:$E$1005)-SUMPRODUCT((MOVIMIENTOS!$B$5:$B$1005="ENVÍO A SUPESA")*(MOVIMIENTOS!$C$5:$C$1005="M")*(MOVIMIENTOS!$D$5:$D$1005="jabas")*(MOVIMIENTOS!$A$5:$A$1005&lt;&gt;"")*(MOVIMIENTOS!$A$5:$A$1005&lt;=$A410)*MOVIMIENTOS!$E$5:$E$1005)+SUMPRODUCT((MOVIMIENTOS!$B$5:$B$1005="DEVOLUCIÓN")*(MOVIMIENTOS!$C$5:$C$1005="M")*(MOVIMIENTOS!$D$5:$D$1005="jabas")*(MOVIMIENTOS!$A$5:$A$1005&lt;&gt;"")*(MOVIMIENTOS!$A$5:$A$1005&lt;=$A410)*MOVIMIENTOS!$E$5:$E$1005)-SUMPRODUCT((MOVIMIENTOS!$B$5:$B$1005="TRASIEGO")*(MOVIMIENTOS!$C$5:$C$1005="M")*(MOVIMIENTOS!$D$5:$D$1005="jabas")*(MOVIMIENTOS!$A$5:$A$1005&lt;&gt;"")*(MOVIMIENTOS!$A$5:$A$1005&lt;=$A410)*MOVIMIENTOS!$E$5:$E$1005)-SUMPRODUCT((MOVIMIENTOS!$B$5:$B$1005="REGALO")*(MOVIMIENTOS!$C$5:$C$1005="M")*(MOVIMIENTOS!$D$5:$D$1005="jabas")*(MOVIMIENTOS!$A$5:$A$1005&lt;&gt;"")*(MOVIMIENTOS!$A$5:$A$1005&lt;=$A410)*MOVIMIENTOS!$E$5:$E$1005)-SUMPRODUCT((MOVIMIENTOS!$B$5:$B$1005="VENTA")*(MOVIMIENTOS!$C$5:$C$1005="M")*(MOVIMIENTOS!$D$5:$D$1005="jabas")*(MOVIMIENTOS!$A$5:$A$1005&lt;&gt;"")*(MOVIMIENTOS!$A$5:$A$1005&lt;=$A410)*MOVIMIENTOS!$E$5:$E$1005)+SUMPRODUCT((MOVIMIENTOS!$B$5:$B$1005="AJUSTE")*(MOVIMIENTOS!$C$5:$C$1005="M")*(MOVIMIENTOS!$D$5:$D$1005="jabas")*(MOVIMIENTOS!$A$5:$A$1005&lt;&gt;"")*(MOVIMIENTOS!$A$5:$A$1005&lt;=$A410)*MOVIMIENTOS!$E$5:$E$1005))</f>
        <v/>
      </c>
      <c r="F410" s="62" t="str">
        <f>IF($A410="","",SUMPRODUCT((MOVIMIENTOS!$B$5:$B$1005="SALDO INICIAL")*(MOVIMIENTOS!$C$5:$C$1005="Chancho")*(MOVIMIENTOS!$D$5:$D$1005="sacos")*(MOVIMIENTOS!$A$5:$A$1005&lt;&gt;"")*(MOVIMIENTOS!$A$5:$A$1005&lt;=$A410)*MOVIMIENTOS!$E$5:$E$1005)+SUMPRODUCT((MOVIMIENTOS!$B$5:$B$1005="PROCESO")*(MOVIMIENTOS!$C$5:$C$1005="Chancho")*(MOVIMIENTOS!$D$5:$D$1005="sacos")*(MOVIMIENTOS!$A$5:$A$1005&lt;&gt;"")*(MOVIMIENTOS!$A$5:$A$1005&lt;=$A410)*MOVIMIENTOS!$E$5:$E$1005)-SUMPRODUCT((MOVIMIENTOS!$B$5:$B$1005="VENTA CHANCHO")*(MOVIMIENTOS!$C$5:$C$1005="Chancho")*(MOVIMIENTOS!$D$5:$D$1005="sacos")*(MOVIMIENTOS!$A$5:$A$1005&lt;&gt;"")*(MOVIMIENTOS!$A$5:$A$1005&lt;=$A410)*MOVIMIENTOS!$E$5:$E$1005)-SUMPRODUCT((MOVIMIENTOS!$B$5:$B$1005="REGALO")*(MOVIMIENTOS!$C$5:$C$1005="Chancho")*(MOVIMIENTOS!$D$5:$D$1005="sacos")*(MOVIMIENTOS!$A$5:$A$1005&lt;&gt;"")*(MOVIMIENTOS!$A$5:$A$1005&lt;=$A410)*MOVIMIENTOS!$E$5:$E$1005)-SUMPRODUCT((MOVIMIENTOS!$B$5:$B$1005="VENTA")*(MOVIMIENTOS!$C$5:$C$1005="Chancho")*(MOVIMIENTOS!$D$5:$D$1005="sacos")*(MOVIMIENTOS!$A$5:$A$1005&lt;&gt;"")*(MOVIMIENTOS!$A$5:$A$1005&lt;=$A410)*MOVIMIENTOS!$E$5:$E$1005)+SUMPRODUCT((MOVIMIENTOS!$B$5:$B$1005="AJUSTE")*(MOVIMIENTOS!$C$5:$C$1005="Chancho")*(MOVIMIENTOS!$D$5:$D$1005="sacos")*(MOVIMIENTOS!$A$5:$A$1005&lt;&gt;"")*(MOVIMIENTOS!$A$5:$A$1005&lt;=$A410)*MOVIMIENTOS!$E$5:$E$1005))</f>
        <v/>
      </c>
      <c r="G410" s="62" t="str">
        <f t="shared" si="13"/>
        <v/>
      </c>
      <c r="H410" t="str">
        <f>IF($A410="","",SUMPRODUCT((((MOVIMIENTOS!$B$5:$B$1005="SALDO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410)*MOVIMIENTOS!$J$5:$J$1005))</f>
        <v/>
      </c>
      <c r="J410" t="str">
        <f>IF(AND(MOVIMIENTOS!$A413&lt;&gt;"",COUNTIF(MOVIMIENTOS!$A$5:$A412,MOVIMIENTOS!$A413)=0),COUNT(J$4:J409)+1,"")</f>
        <v/>
      </c>
      <c r="K410" s="67">
        <f>MOVIMIENTOS!$A413</f>
        <v>46249</v>
      </c>
    </row>
    <row r="411" spans="1:11" ht="15" customHeight="1" x14ac:dyDescent="0.2">
      <c r="A411" t="str">
        <f t="shared" si="12"/>
        <v/>
      </c>
      <c r="B411" t="str">
        <f>IF($A411="","",SUMPRODUCT((MOVIMIENTOS!$B$5:$B$1005="SALDO INICIAL")*(MOVIMIENTOS!$C$5:$C$1005="A")*(MOVIMIENTOS!$D$5:$D$1005="jabas")*(MOVIMIENTOS!$A$5:$A$1005&lt;&gt;"")*(MOVIMIENTOS!$A$5:$A$1005&lt;=$A411)*MOVIMIENTOS!$E$5:$E$1005)+SUMPRODUCT((MOVIMIENTOS!$B$5:$B$1005="PROCESO")*(MOVIMIENTOS!$C$5:$C$1005="A")*(MOVIMIENTOS!$D$5:$D$1005="jabas")*(MOVIMIENTOS!$A$5:$A$1005&lt;&gt;"")*(MOVIMIENTOS!$A$5:$A$1005&lt;=$A411)*MOVIMIENTOS!$E$5:$E$1005)-SUMPRODUCT((MOVIMIENTOS!$B$5:$B$1005="ENVÍO A SUPESA")*(MOVIMIENTOS!$C$5:$C$1005="A")*(MOVIMIENTOS!$D$5:$D$1005="jabas")*(MOVIMIENTOS!$A$5:$A$1005&lt;&gt;"")*(MOVIMIENTOS!$A$5:$A$1005&lt;=$A411)*MOVIMIENTOS!$E$5:$E$1005)+SUMPRODUCT((MOVIMIENTOS!$B$5:$B$1005="DEVOLUCIÓN")*(MOVIMIENTOS!$C$5:$C$1005="A")*(MOVIMIENTOS!$D$5:$D$1005="jabas")*(MOVIMIENTOS!$A$5:$A$1005&lt;&gt;"")*(MOVIMIENTOS!$A$5:$A$1005&lt;=$A411)*MOVIMIENTOS!$E$5:$E$1005)-SUMPRODUCT((MOVIMIENTOS!$B$5:$B$1005="TRASIEGO")*(MOVIMIENTOS!$C$5:$C$1005="A")*(MOVIMIENTOS!$D$5:$D$1005="jabas")*(MOVIMIENTOS!$A$5:$A$1005&lt;&gt;"")*(MOVIMIENTOS!$A$5:$A$1005&lt;=$A411)*MOVIMIENTOS!$E$5:$E$1005)-SUMPRODUCT((MOVIMIENTOS!$B$5:$B$1005="REGALO")*(MOVIMIENTOS!$C$5:$C$1005="A")*(MOVIMIENTOS!$D$5:$D$1005="jabas")*(MOVIMIENTOS!$A$5:$A$1005&lt;&gt;"")*(MOVIMIENTOS!$A$5:$A$1005&lt;=$A411)*MOVIMIENTOS!$E$5:$E$1005)-SUMPRODUCT((MOVIMIENTOS!$B$5:$B$1005="VENTA")*(MOVIMIENTOS!$C$5:$C$1005="A")*(MOVIMIENTOS!$D$5:$D$1005="jabas")*(MOVIMIENTOS!$A$5:$A$1005&lt;&gt;"")*(MOVIMIENTOS!$A$5:$A$1005&lt;=$A411)*MOVIMIENTOS!$E$5:$E$1005)+SUMPRODUCT((MOVIMIENTOS!$B$5:$B$1005="AJUSTE")*(MOVIMIENTOS!$C$5:$C$1005="A")*(MOVIMIENTOS!$D$5:$D$1005="jabas")*(MOVIMIENTOS!$A$5:$A$1005&lt;&gt;"")*(MOVIMIENTOS!$A$5:$A$1005&lt;=$A411)*MOVIMIENTOS!$E$5:$E$1005))</f>
        <v/>
      </c>
      <c r="C411" t="str">
        <f>IF($A411="","",SUMPRODUCT((MOVIMIENTOS!$B$5:$B$1005="SALDO INICIAL")*(MOVIMIENTOS!$C$5:$C$1005="P")*(MOVIMIENTOS!$D$5:$D$1005="jabas")*(MOVIMIENTOS!$A$5:$A$1005&lt;&gt;"")*(MOVIMIENTOS!$A$5:$A$1005&lt;=$A411)*MOVIMIENTOS!$E$5:$E$1005)+SUMPRODUCT((MOVIMIENTOS!$B$5:$B$1005="PROCESO")*(MOVIMIENTOS!$C$5:$C$1005="P")*(MOVIMIENTOS!$D$5:$D$1005="jabas")*(MOVIMIENTOS!$A$5:$A$1005&lt;&gt;"")*(MOVIMIENTOS!$A$5:$A$1005&lt;=$A411)*MOVIMIENTOS!$E$5:$E$1005)-SUMPRODUCT((MOVIMIENTOS!$B$5:$B$1005="ENVÍO A SUPESA")*(MOVIMIENTOS!$C$5:$C$1005="P")*(MOVIMIENTOS!$D$5:$D$1005="jabas")*(MOVIMIENTOS!$A$5:$A$1005&lt;&gt;"")*(MOVIMIENTOS!$A$5:$A$1005&lt;=$A411)*MOVIMIENTOS!$E$5:$E$1005)+SUMPRODUCT((MOVIMIENTOS!$B$5:$B$1005="DEVOLUCIÓN")*(MOVIMIENTOS!$C$5:$C$1005="P")*(MOVIMIENTOS!$D$5:$D$1005="jabas")*(MOVIMIENTOS!$A$5:$A$1005&lt;&gt;"")*(MOVIMIENTOS!$A$5:$A$1005&lt;=$A411)*MOVIMIENTOS!$E$5:$E$1005)-SUMPRODUCT((MOVIMIENTOS!$B$5:$B$1005="TRASIEGO")*(MOVIMIENTOS!$C$5:$C$1005="P")*(MOVIMIENTOS!$D$5:$D$1005="jabas")*(MOVIMIENTOS!$A$5:$A$1005&lt;&gt;"")*(MOVIMIENTOS!$A$5:$A$1005&lt;=$A411)*MOVIMIENTOS!$E$5:$E$1005)-SUMPRODUCT((MOVIMIENTOS!$B$5:$B$1005="REGALO")*(MOVIMIENTOS!$C$5:$C$1005="P")*(MOVIMIENTOS!$D$5:$D$1005="jabas")*(MOVIMIENTOS!$A$5:$A$1005&lt;&gt;"")*(MOVIMIENTOS!$A$5:$A$1005&lt;=$A411)*MOVIMIENTOS!$E$5:$E$1005)-SUMPRODUCT((MOVIMIENTOS!$B$5:$B$1005="VENTA")*(MOVIMIENTOS!$C$5:$C$1005="P")*(MOVIMIENTOS!$D$5:$D$1005="jabas")*(MOVIMIENTOS!$A$5:$A$1005&lt;&gt;"")*(MOVIMIENTOS!$A$5:$A$1005&lt;=$A411)*MOVIMIENTOS!$E$5:$E$1005)+SUMPRODUCT((MOVIMIENTOS!$B$5:$B$1005="AJUSTE")*(MOVIMIENTOS!$C$5:$C$1005="P")*(MOVIMIENTOS!$D$5:$D$1005="jabas")*(MOVIMIENTOS!$A$5:$A$1005&lt;&gt;"")*(MOVIMIENTOS!$A$5:$A$1005&lt;=$A411)*MOVIMIENTOS!$E$5:$E$1005))</f>
        <v/>
      </c>
      <c r="D411" t="str">
        <f>IF($A411="","",SUMPRODUCT((MOVIMIENTOS!$B$5:$B$1005="SALDO INICIAL")*(MOVIMIENTOS!$C$5:$C$1005="C")*(MOVIMIENTOS!$D$5:$D$1005="jabas")*(MOVIMIENTOS!$A$5:$A$1005&lt;&gt;"")*(MOVIMIENTOS!$A$5:$A$1005&lt;=$A411)*MOVIMIENTOS!$E$5:$E$1005)+SUMPRODUCT((MOVIMIENTOS!$B$5:$B$1005="PROCESO")*(MOVIMIENTOS!$C$5:$C$1005="C")*(MOVIMIENTOS!$D$5:$D$1005="jabas")*(MOVIMIENTOS!$A$5:$A$1005&lt;&gt;"")*(MOVIMIENTOS!$A$5:$A$1005&lt;=$A411)*MOVIMIENTOS!$E$5:$E$1005)-SUMPRODUCT((MOVIMIENTOS!$B$5:$B$1005="ENVÍO A SUPESA")*(MOVIMIENTOS!$C$5:$C$1005="C")*(MOVIMIENTOS!$D$5:$D$1005="jabas")*(MOVIMIENTOS!$A$5:$A$1005&lt;&gt;"")*(MOVIMIENTOS!$A$5:$A$1005&lt;=$A411)*MOVIMIENTOS!$E$5:$E$1005)+SUMPRODUCT((MOVIMIENTOS!$B$5:$B$1005="DEVOLUCIÓN")*(MOVIMIENTOS!$C$5:$C$1005="C")*(MOVIMIENTOS!$D$5:$D$1005="jabas")*(MOVIMIENTOS!$A$5:$A$1005&lt;&gt;"")*(MOVIMIENTOS!$A$5:$A$1005&lt;=$A411)*MOVIMIENTOS!$E$5:$E$1005)-SUMPRODUCT((MOVIMIENTOS!$B$5:$B$1005="TRASIEGO")*(MOVIMIENTOS!$C$5:$C$1005="C")*(MOVIMIENTOS!$D$5:$D$1005="jabas")*(MOVIMIENTOS!$A$5:$A$1005&lt;&gt;"")*(MOVIMIENTOS!$A$5:$A$1005&lt;=$A411)*MOVIMIENTOS!$E$5:$E$1005)-SUMPRODUCT((MOVIMIENTOS!$B$5:$B$1005="REGALO")*(MOVIMIENTOS!$C$5:$C$1005="C")*(MOVIMIENTOS!$D$5:$D$1005="jabas")*(MOVIMIENTOS!$A$5:$A$1005&lt;&gt;"")*(MOVIMIENTOS!$A$5:$A$1005&lt;=$A411)*MOVIMIENTOS!$E$5:$E$1005)-SUMPRODUCT((MOVIMIENTOS!$B$5:$B$1005="VENTA")*(MOVIMIENTOS!$C$5:$C$1005="C")*(MOVIMIENTOS!$D$5:$D$1005="jabas")*(MOVIMIENTOS!$A$5:$A$1005&lt;&gt;"")*(MOVIMIENTOS!$A$5:$A$1005&lt;=$A411)*MOVIMIENTOS!$E$5:$E$1005)+SUMPRODUCT((MOVIMIENTOS!$B$5:$B$1005="AJUSTE")*(MOVIMIENTOS!$C$5:$C$1005="C")*(MOVIMIENTOS!$D$5:$D$1005="jabas")*(MOVIMIENTOS!$A$5:$A$1005&lt;&gt;"")*(MOVIMIENTOS!$A$5:$A$1005&lt;=$A411)*MOVIMIENTOS!$E$5:$E$1005))</f>
        <v/>
      </c>
      <c r="E411" t="str">
        <f>IF($A411="","",SUMPRODUCT((MOVIMIENTOS!$B$5:$B$1005="SALDO INICIAL")*(MOVIMIENTOS!$C$5:$C$1005="M")*(MOVIMIENTOS!$D$5:$D$1005="jabas")*(MOVIMIENTOS!$A$5:$A$1005&lt;&gt;"")*(MOVIMIENTOS!$A$5:$A$1005&lt;=$A411)*MOVIMIENTOS!$E$5:$E$1005)+SUMPRODUCT((MOVIMIENTOS!$B$5:$B$1005="PROCESO")*(MOVIMIENTOS!$C$5:$C$1005="M")*(MOVIMIENTOS!$D$5:$D$1005="jabas")*(MOVIMIENTOS!$A$5:$A$1005&lt;&gt;"")*(MOVIMIENTOS!$A$5:$A$1005&lt;=$A411)*MOVIMIENTOS!$E$5:$E$1005)-SUMPRODUCT((MOVIMIENTOS!$B$5:$B$1005="ENVÍO A SUPESA")*(MOVIMIENTOS!$C$5:$C$1005="M")*(MOVIMIENTOS!$D$5:$D$1005="jabas")*(MOVIMIENTOS!$A$5:$A$1005&lt;&gt;"")*(MOVIMIENTOS!$A$5:$A$1005&lt;=$A411)*MOVIMIENTOS!$E$5:$E$1005)+SUMPRODUCT((MOVIMIENTOS!$B$5:$B$1005="DEVOLUCIÓN")*(MOVIMIENTOS!$C$5:$C$1005="M")*(MOVIMIENTOS!$D$5:$D$1005="jabas")*(MOVIMIENTOS!$A$5:$A$1005&lt;&gt;"")*(MOVIMIENTOS!$A$5:$A$1005&lt;=$A411)*MOVIMIENTOS!$E$5:$E$1005)-SUMPRODUCT((MOVIMIENTOS!$B$5:$B$1005="TRASIEGO")*(MOVIMIENTOS!$C$5:$C$1005="M")*(MOVIMIENTOS!$D$5:$D$1005="jabas")*(MOVIMIENTOS!$A$5:$A$1005&lt;&gt;"")*(MOVIMIENTOS!$A$5:$A$1005&lt;=$A411)*MOVIMIENTOS!$E$5:$E$1005)-SUMPRODUCT((MOVIMIENTOS!$B$5:$B$1005="REGALO")*(MOVIMIENTOS!$C$5:$C$1005="M")*(MOVIMIENTOS!$D$5:$D$1005="jabas")*(MOVIMIENTOS!$A$5:$A$1005&lt;&gt;"")*(MOVIMIENTOS!$A$5:$A$1005&lt;=$A411)*MOVIMIENTOS!$E$5:$E$1005)-SUMPRODUCT((MOVIMIENTOS!$B$5:$B$1005="VENTA")*(MOVIMIENTOS!$C$5:$C$1005="M")*(MOVIMIENTOS!$D$5:$D$1005="jabas")*(MOVIMIENTOS!$A$5:$A$1005&lt;&gt;"")*(MOVIMIENTOS!$A$5:$A$1005&lt;=$A411)*MOVIMIENTOS!$E$5:$E$1005)+SUMPRODUCT((MOVIMIENTOS!$B$5:$B$1005="AJUSTE")*(MOVIMIENTOS!$C$5:$C$1005="M")*(MOVIMIENTOS!$D$5:$D$1005="jabas")*(MOVIMIENTOS!$A$5:$A$1005&lt;&gt;"")*(MOVIMIENTOS!$A$5:$A$1005&lt;=$A411)*MOVIMIENTOS!$E$5:$E$1005))</f>
        <v/>
      </c>
      <c r="F411" s="62" t="str">
        <f>IF($A411="","",SUMPRODUCT((MOVIMIENTOS!$B$5:$B$1005="SALDO INICIAL")*(MOVIMIENTOS!$C$5:$C$1005="Chancho")*(MOVIMIENTOS!$D$5:$D$1005="sacos")*(MOVIMIENTOS!$A$5:$A$1005&lt;&gt;"")*(MOVIMIENTOS!$A$5:$A$1005&lt;=$A411)*MOVIMIENTOS!$E$5:$E$1005)+SUMPRODUCT((MOVIMIENTOS!$B$5:$B$1005="PROCESO")*(MOVIMIENTOS!$C$5:$C$1005="Chancho")*(MOVIMIENTOS!$D$5:$D$1005="sacos")*(MOVIMIENTOS!$A$5:$A$1005&lt;&gt;"")*(MOVIMIENTOS!$A$5:$A$1005&lt;=$A411)*MOVIMIENTOS!$E$5:$E$1005)-SUMPRODUCT((MOVIMIENTOS!$B$5:$B$1005="VENTA CHANCHO")*(MOVIMIENTOS!$C$5:$C$1005="Chancho")*(MOVIMIENTOS!$D$5:$D$1005="sacos")*(MOVIMIENTOS!$A$5:$A$1005&lt;&gt;"")*(MOVIMIENTOS!$A$5:$A$1005&lt;=$A411)*MOVIMIENTOS!$E$5:$E$1005)-SUMPRODUCT((MOVIMIENTOS!$B$5:$B$1005="REGALO")*(MOVIMIENTOS!$C$5:$C$1005="Chancho")*(MOVIMIENTOS!$D$5:$D$1005="sacos")*(MOVIMIENTOS!$A$5:$A$1005&lt;&gt;"")*(MOVIMIENTOS!$A$5:$A$1005&lt;=$A411)*MOVIMIENTOS!$E$5:$E$1005)-SUMPRODUCT((MOVIMIENTOS!$B$5:$B$1005="VENTA")*(MOVIMIENTOS!$C$5:$C$1005="Chancho")*(MOVIMIENTOS!$D$5:$D$1005="sacos")*(MOVIMIENTOS!$A$5:$A$1005&lt;&gt;"")*(MOVIMIENTOS!$A$5:$A$1005&lt;=$A411)*MOVIMIENTOS!$E$5:$E$1005)+SUMPRODUCT((MOVIMIENTOS!$B$5:$B$1005="AJUSTE")*(MOVIMIENTOS!$C$5:$C$1005="Chancho")*(MOVIMIENTOS!$D$5:$D$1005="sacos")*(MOVIMIENTOS!$A$5:$A$1005&lt;&gt;"")*(MOVIMIENTOS!$A$5:$A$1005&lt;=$A411)*MOVIMIENTOS!$E$5:$E$1005))</f>
        <v/>
      </c>
      <c r="G411" s="62" t="str">
        <f t="shared" si="13"/>
        <v/>
      </c>
      <c r="H411" t="str">
        <f>IF($A411="","",SUMPRODUCT((((MOVIMIENTOS!$B$5:$B$1005="SALDO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411)*MOVIMIENTOS!$J$5:$J$1005))</f>
        <v/>
      </c>
      <c r="J411" t="str">
        <f>IF(AND(MOVIMIENTOS!$A414&lt;&gt;"",COUNTIF(MOVIMIENTOS!$A$5:$A413,MOVIMIENTOS!$A414)=0),COUNT(J$4:J410)+1,"")</f>
        <v/>
      </c>
      <c r="K411" s="67">
        <f>MOVIMIENTOS!$A414</f>
        <v>46249</v>
      </c>
    </row>
    <row r="412" spans="1:11" ht="15" customHeight="1" x14ac:dyDescent="0.2">
      <c r="A412" t="str">
        <f t="shared" si="12"/>
        <v/>
      </c>
      <c r="B412" t="str">
        <f>IF($A412="","",SUMPRODUCT((MOVIMIENTOS!$B$5:$B$1005="SALDO INICIAL")*(MOVIMIENTOS!$C$5:$C$1005="A")*(MOVIMIENTOS!$D$5:$D$1005="jabas")*(MOVIMIENTOS!$A$5:$A$1005&lt;&gt;"")*(MOVIMIENTOS!$A$5:$A$1005&lt;=$A412)*MOVIMIENTOS!$E$5:$E$1005)+SUMPRODUCT((MOVIMIENTOS!$B$5:$B$1005="PROCESO")*(MOVIMIENTOS!$C$5:$C$1005="A")*(MOVIMIENTOS!$D$5:$D$1005="jabas")*(MOVIMIENTOS!$A$5:$A$1005&lt;&gt;"")*(MOVIMIENTOS!$A$5:$A$1005&lt;=$A412)*MOVIMIENTOS!$E$5:$E$1005)-SUMPRODUCT((MOVIMIENTOS!$B$5:$B$1005="ENVÍO A SUPESA")*(MOVIMIENTOS!$C$5:$C$1005="A")*(MOVIMIENTOS!$D$5:$D$1005="jabas")*(MOVIMIENTOS!$A$5:$A$1005&lt;&gt;"")*(MOVIMIENTOS!$A$5:$A$1005&lt;=$A412)*MOVIMIENTOS!$E$5:$E$1005)+SUMPRODUCT((MOVIMIENTOS!$B$5:$B$1005="DEVOLUCIÓN")*(MOVIMIENTOS!$C$5:$C$1005="A")*(MOVIMIENTOS!$D$5:$D$1005="jabas")*(MOVIMIENTOS!$A$5:$A$1005&lt;&gt;"")*(MOVIMIENTOS!$A$5:$A$1005&lt;=$A412)*MOVIMIENTOS!$E$5:$E$1005)-SUMPRODUCT((MOVIMIENTOS!$B$5:$B$1005="TRASIEGO")*(MOVIMIENTOS!$C$5:$C$1005="A")*(MOVIMIENTOS!$D$5:$D$1005="jabas")*(MOVIMIENTOS!$A$5:$A$1005&lt;&gt;"")*(MOVIMIENTOS!$A$5:$A$1005&lt;=$A412)*MOVIMIENTOS!$E$5:$E$1005)-SUMPRODUCT((MOVIMIENTOS!$B$5:$B$1005="REGALO")*(MOVIMIENTOS!$C$5:$C$1005="A")*(MOVIMIENTOS!$D$5:$D$1005="jabas")*(MOVIMIENTOS!$A$5:$A$1005&lt;&gt;"")*(MOVIMIENTOS!$A$5:$A$1005&lt;=$A412)*MOVIMIENTOS!$E$5:$E$1005)-SUMPRODUCT((MOVIMIENTOS!$B$5:$B$1005="VENTA")*(MOVIMIENTOS!$C$5:$C$1005="A")*(MOVIMIENTOS!$D$5:$D$1005="jabas")*(MOVIMIENTOS!$A$5:$A$1005&lt;&gt;"")*(MOVIMIENTOS!$A$5:$A$1005&lt;=$A412)*MOVIMIENTOS!$E$5:$E$1005)+SUMPRODUCT((MOVIMIENTOS!$B$5:$B$1005="AJUSTE")*(MOVIMIENTOS!$C$5:$C$1005="A")*(MOVIMIENTOS!$D$5:$D$1005="jabas")*(MOVIMIENTOS!$A$5:$A$1005&lt;&gt;"")*(MOVIMIENTOS!$A$5:$A$1005&lt;=$A412)*MOVIMIENTOS!$E$5:$E$1005))</f>
        <v/>
      </c>
      <c r="C412" t="str">
        <f>IF($A412="","",SUMPRODUCT((MOVIMIENTOS!$B$5:$B$1005="SALDO INICIAL")*(MOVIMIENTOS!$C$5:$C$1005="P")*(MOVIMIENTOS!$D$5:$D$1005="jabas")*(MOVIMIENTOS!$A$5:$A$1005&lt;&gt;"")*(MOVIMIENTOS!$A$5:$A$1005&lt;=$A412)*MOVIMIENTOS!$E$5:$E$1005)+SUMPRODUCT((MOVIMIENTOS!$B$5:$B$1005="PROCESO")*(MOVIMIENTOS!$C$5:$C$1005="P")*(MOVIMIENTOS!$D$5:$D$1005="jabas")*(MOVIMIENTOS!$A$5:$A$1005&lt;&gt;"")*(MOVIMIENTOS!$A$5:$A$1005&lt;=$A412)*MOVIMIENTOS!$E$5:$E$1005)-SUMPRODUCT((MOVIMIENTOS!$B$5:$B$1005="ENVÍO A SUPESA")*(MOVIMIENTOS!$C$5:$C$1005="P")*(MOVIMIENTOS!$D$5:$D$1005="jabas")*(MOVIMIENTOS!$A$5:$A$1005&lt;&gt;"")*(MOVIMIENTOS!$A$5:$A$1005&lt;=$A412)*MOVIMIENTOS!$E$5:$E$1005)+SUMPRODUCT((MOVIMIENTOS!$B$5:$B$1005="DEVOLUCIÓN")*(MOVIMIENTOS!$C$5:$C$1005="P")*(MOVIMIENTOS!$D$5:$D$1005="jabas")*(MOVIMIENTOS!$A$5:$A$1005&lt;&gt;"")*(MOVIMIENTOS!$A$5:$A$1005&lt;=$A412)*MOVIMIENTOS!$E$5:$E$1005)-SUMPRODUCT((MOVIMIENTOS!$B$5:$B$1005="TRASIEGO")*(MOVIMIENTOS!$C$5:$C$1005="P")*(MOVIMIENTOS!$D$5:$D$1005="jabas")*(MOVIMIENTOS!$A$5:$A$1005&lt;&gt;"")*(MOVIMIENTOS!$A$5:$A$1005&lt;=$A412)*MOVIMIENTOS!$E$5:$E$1005)-SUMPRODUCT((MOVIMIENTOS!$B$5:$B$1005="REGALO")*(MOVIMIENTOS!$C$5:$C$1005="P")*(MOVIMIENTOS!$D$5:$D$1005="jabas")*(MOVIMIENTOS!$A$5:$A$1005&lt;&gt;"")*(MOVIMIENTOS!$A$5:$A$1005&lt;=$A412)*MOVIMIENTOS!$E$5:$E$1005)-SUMPRODUCT((MOVIMIENTOS!$B$5:$B$1005="VENTA")*(MOVIMIENTOS!$C$5:$C$1005="P")*(MOVIMIENTOS!$D$5:$D$1005="jabas")*(MOVIMIENTOS!$A$5:$A$1005&lt;&gt;"")*(MOVIMIENTOS!$A$5:$A$1005&lt;=$A412)*MOVIMIENTOS!$E$5:$E$1005)+SUMPRODUCT((MOVIMIENTOS!$B$5:$B$1005="AJUSTE")*(MOVIMIENTOS!$C$5:$C$1005="P")*(MOVIMIENTOS!$D$5:$D$1005="jabas")*(MOVIMIENTOS!$A$5:$A$1005&lt;&gt;"")*(MOVIMIENTOS!$A$5:$A$1005&lt;=$A412)*MOVIMIENTOS!$E$5:$E$1005))</f>
        <v/>
      </c>
      <c r="D412" t="str">
        <f>IF($A412="","",SUMPRODUCT((MOVIMIENTOS!$B$5:$B$1005="SALDO INICIAL")*(MOVIMIENTOS!$C$5:$C$1005="C")*(MOVIMIENTOS!$D$5:$D$1005="jabas")*(MOVIMIENTOS!$A$5:$A$1005&lt;&gt;"")*(MOVIMIENTOS!$A$5:$A$1005&lt;=$A412)*MOVIMIENTOS!$E$5:$E$1005)+SUMPRODUCT((MOVIMIENTOS!$B$5:$B$1005="PROCESO")*(MOVIMIENTOS!$C$5:$C$1005="C")*(MOVIMIENTOS!$D$5:$D$1005="jabas")*(MOVIMIENTOS!$A$5:$A$1005&lt;&gt;"")*(MOVIMIENTOS!$A$5:$A$1005&lt;=$A412)*MOVIMIENTOS!$E$5:$E$1005)-SUMPRODUCT((MOVIMIENTOS!$B$5:$B$1005="ENVÍO A SUPESA")*(MOVIMIENTOS!$C$5:$C$1005="C")*(MOVIMIENTOS!$D$5:$D$1005="jabas")*(MOVIMIENTOS!$A$5:$A$1005&lt;&gt;"")*(MOVIMIENTOS!$A$5:$A$1005&lt;=$A412)*MOVIMIENTOS!$E$5:$E$1005)+SUMPRODUCT((MOVIMIENTOS!$B$5:$B$1005="DEVOLUCIÓN")*(MOVIMIENTOS!$C$5:$C$1005="C")*(MOVIMIENTOS!$D$5:$D$1005="jabas")*(MOVIMIENTOS!$A$5:$A$1005&lt;&gt;"")*(MOVIMIENTOS!$A$5:$A$1005&lt;=$A412)*MOVIMIENTOS!$E$5:$E$1005)-SUMPRODUCT((MOVIMIENTOS!$B$5:$B$1005="TRASIEGO")*(MOVIMIENTOS!$C$5:$C$1005="C")*(MOVIMIENTOS!$D$5:$D$1005="jabas")*(MOVIMIENTOS!$A$5:$A$1005&lt;&gt;"")*(MOVIMIENTOS!$A$5:$A$1005&lt;=$A412)*MOVIMIENTOS!$E$5:$E$1005)-SUMPRODUCT((MOVIMIENTOS!$B$5:$B$1005="REGALO")*(MOVIMIENTOS!$C$5:$C$1005="C")*(MOVIMIENTOS!$D$5:$D$1005="jabas")*(MOVIMIENTOS!$A$5:$A$1005&lt;&gt;"")*(MOVIMIENTOS!$A$5:$A$1005&lt;=$A412)*MOVIMIENTOS!$E$5:$E$1005)-SUMPRODUCT((MOVIMIENTOS!$B$5:$B$1005="VENTA")*(MOVIMIENTOS!$C$5:$C$1005="C")*(MOVIMIENTOS!$D$5:$D$1005="jabas")*(MOVIMIENTOS!$A$5:$A$1005&lt;&gt;"")*(MOVIMIENTOS!$A$5:$A$1005&lt;=$A412)*MOVIMIENTOS!$E$5:$E$1005)+SUMPRODUCT((MOVIMIENTOS!$B$5:$B$1005="AJUSTE")*(MOVIMIENTOS!$C$5:$C$1005="C")*(MOVIMIENTOS!$D$5:$D$1005="jabas")*(MOVIMIENTOS!$A$5:$A$1005&lt;&gt;"")*(MOVIMIENTOS!$A$5:$A$1005&lt;=$A412)*MOVIMIENTOS!$E$5:$E$1005))</f>
        <v/>
      </c>
      <c r="E412" t="str">
        <f>IF($A412="","",SUMPRODUCT((MOVIMIENTOS!$B$5:$B$1005="SALDO INICIAL")*(MOVIMIENTOS!$C$5:$C$1005="M")*(MOVIMIENTOS!$D$5:$D$1005="jabas")*(MOVIMIENTOS!$A$5:$A$1005&lt;&gt;"")*(MOVIMIENTOS!$A$5:$A$1005&lt;=$A412)*MOVIMIENTOS!$E$5:$E$1005)+SUMPRODUCT((MOVIMIENTOS!$B$5:$B$1005="PROCESO")*(MOVIMIENTOS!$C$5:$C$1005="M")*(MOVIMIENTOS!$D$5:$D$1005="jabas")*(MOVIMIENTOS!$A$5:$A$1005&lt;&gt;"")*(MOVIMIENTOS!$A$5:$A$1005&lt;=$A412)*MOVIMIENTOS!$E$5:$E$1005)-SUMPRODUCT((MOVIMIENTOS!$B$5:$B$1005="ENVÍO A SUPESA")*(MOVIMIENTOS!$C$5:$C$1005="M")*(MOVIMIENTOS!$D$5:$D$1005="jabas")*(MOVIMIENTOS!$A$5:$A$1005&lt;&gt;"")*(MOVIMIENTOS!$A$5:$A$1005&lt;=$A412)*MOVIMIENTOS!$E$5:$E$1005)+SUMPRODUCT((MOVIMIENTOS!$B$5:$B$1005="DEVOLUCIÓN")*(MOVIMIENTOS!$C$5:$C$1005="M")*(MOVIMIENTOS!$D$5:$D$1005="jabas")*(MOVIMIENTOS!$A$5:$A$1005&lt;&gt;"")*(MOVIMIENTOS!$A$5:$A$1005&lt;=$A412)*MOVIMIENTOS!$E$5:$E$1005)-SUMPRODUCT((MOVIMIENTOS!$B$5:$B$1005="TRASIEGO")*(MOVIMIENTOS!$C$5:$C$1005="M")*(MOVIMIENTOS!$D$5:$D$1005="jabas")*(MOVIMIENTOS!$A$5:$A$1005&lt;&gt;"")*(MOVIMIENTOS!$A$5:$A$1005&lt;=$A412)*MOVIMIENTOS!$E$5:$E$1005)-SUMPRODUCT((MOVIMIENTOS!$B$5:$B$1005="REGALO")*(MOVIMIENTOS!$C$5:$C$1005="M")*(MOVIMIENTOS!$D$5:$D$1005="jabas")*(MOVIMIENTOS!$A$5:$A$1005&lt;&gt;"")*(MOVIMIENTOS!$A$5:$A$1005&lt;=$A412)*MOVIMIENTOS!$E$5:$E$1005)-SUMPRODUCT((MOVIMIENTOS!$B$5:$B$1005="VENTA")*(MOVIMIENTOS!$C$5:$C$1005="M")*(MOVIMIENTOS!$D$5:$D$1005="jabas")*(MOVIMIENTOS!$A$5:$A$1005&lt;&gt;"")*(MOVIMIENTOS!$A$5:$A$1005&lt;=$A412)*MOVIMIENTOS!$E$5:$E$1005)+SUMPRODUCT((MOVIMIENTOS!$B$5:$B$1005="AJUSTE")*(MOVIMIENTOS!$C$5:$C$1005="M")*(MOVIMIENTOS!$D$5:$D$1005="jabas")*(MOVIMIENTOS!$A$5:$A$1005&lt;&gt;"")*(MOVIMIENTOS!$A$5:$A$1005&lt;=$A412)*MOVIMIENTOS!$E$5:$E$1005))</f>
        <v/>
      </c>
      <c r="F412" s="62" t="str">
        <f>IF($A412="","",SUMPRODUCT((MOVIMIENTOS!$B$5:$B$1005="SALDO INICIAL")*(MOVIMIENTOS!$C$5:$C$1005="Chancho")*(MOVIMIENTOS!$D$5:$D$1005="sacos")*(MOVIMIENTOS!$A$5:$A$1005&lt;&gt;"")*(MOVIMIENTOS!$A$5:$A$1005&lt;=$A412)*MOVIMIENTOS!$E$5:$E$1005)+SUMPRODUCT((MOVIMIENTOS!$B$5:$B$1005="PROCESO")*(MOVIMIENTOS!$C$5:$C$1005="Chancho")*(MOVIMIENTOS!$D$5:$D$1005="sacos")*(MOVIMIENTOS!$A$5:$A$1005&lt;&gt;"")*(MOVIMIENTOS!$A$5:$A$1005&lt;=$A412)*MOVIMIENTOS!$E$5:$E$1005)-SUMPRODUCT((MOVIMIENTOS!$B$5:$B$1005="VENTA CHANCHO")*(MOVIMIENTOS!$C$5:$C$1005="Chancho")*(MOVIMIENTOS!$D$5:$D$1005="sacos")*(MOVIMIENTOS!$A$5:$A$1005&lt;&gt;"")*(MOVIMIENTOS!$A$5:$A$1005&lt;=$A412)*MOVIMIENTOS!$E$5:$E$1005)-SUMPRODUCT((MOVIMIENTOS!$B$5:$B$1005="REGALO")*(MOVIMIENTOS!$C$5:$C$1005="Chancho")*(MOVIMIENTOS!$D$5:$D$1005="sacos")*(MOVIMIENTOS!$A$5:$A$1005&lt;&gt;"")*(MOVIMIENTOS!$A$5:$A$1005&lt;=$A412)*MOVIMIENTOS!$E$5:$E$1005)-SUMPRODUCT((MOVIMIENTOS!$B$5:$B$1005="VENTA")*(MOVIMIENTOS!$C$5:$C$1005="Chancho")*(MOVIMIENTOS!$D$5:$D$1005="sacos")*(MOVIMIENTOS!$A$5:$A$1005&lt;&gt;"")*(MOVIMIENTOS!$A$5:$A$1005&lt;=$A412)*MOVIMIENTOS!$E$5:$E$1005)+SUMPRODUCT((MOVIMIENTOS!$B$5:$B$1005="AJUSTE")*(MOVIMIENTOS!$C$5:$C$1005="Chancho")*(MOVIMIENTOS!$D$5:$D$1005="sacos")*(MOVIMIENTOS!$A$5:$A$1005&lt;&gt;"")*(MOVIMIENTOS!$A$5:$A$1005&lt;=$A412)*MOVIMIENTOS!$E$5:$E$1005))</f>
        <v/>
      </c>
      <c r="G412" s="62" t="str">
        <f t="shared" si="13"/>
        <v/>
      </c>
      <c r="H412" t="str">
        <f>IF($A412="","",SUMPRODUCT((((MOVIMIENTOS!$B$5:$B$1005="SALDO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412)*MOVIMIENTOS!$J$5:$J$1005))</f>
        <v/>
      </c>
      <c r="J412" t="str">
        <f>IF(AND(MOVIMIENTOS!$A415&lt;&gt;"",COUNTIF(MOVIMIENTOS!$A$5:$A414,MOVIMIENTOS!$A415)=0),COUNT(J$4:J411)+1,"")</f>
        <v/>
      </c>
      <c r="K412" s="67">
        <f>MOVIMIENTOS!$A415</f>
        <v>46249</v>
      </c>
    </row>
    <row r="413" spans="1:11" ht="15" customHeight="1" x14ac:dyDescent="0.2">
      <c r="A413" t="str">
        <f t="shared" si="12"/>
        <v/>
      </c>
      <c r="B413" t="str">
        <f>IF($A413="","",SUMPRODUCT((MOVIMIENTOS!$B$5:$B$1005="SALDO INICIAL")*(MOVIMIENTOS!$C$5:$C$1005="A")*(MOVIMIENTOS!$D$5:$D$1005="jabas")*(MOVIMIENTOS!$A$5:$A$1005&lt;&gt;"")*(MOVIMIENTOS!$A$5:$A$1005&lt;=$A413)*MOVIMIENTOS!$E$5:$E$1005)+SUMPRODUCT((MOVIMIENTOS!$B$5:$B$1005="PROCESO")*(MOVIMIENTOS!$C$5:$C$1005="A")*(MOVIMIENTOS!$D$5:$D$1005="jabas")*(MOVIMIENTOS!$A$5:$A$1005&lt;&gt;"")*(MOVIMIENTOS!$A$5:$A$1005&lt;=$A413)*MOVIMIENTOS!$E$5:$E$1005)-SUMPRODUCT((MOVIMIENTOS!$B$5:$B$1005="ENVÍO A SUPESA")*(MOVIMIENTOS!$C$5:$C$1005="A")*(MOVIMIENTOS!$D$5:$D$1005="jabas")*(MOVIMIENTOS!$A$5:$A$1005&lt;&gt;"")*(MOVIMIENTOS!$A$5:$A$1005&lt;=$A413)*MOVIMIENTOS!$E$5:$E$1005)+SUMPRODUCT((MOVIMIENTOS!$B$5:$B$1005="DEVOLUCIÓN")*(MOVIMIENTOS!$C$5:$C$1005="A")*(MOVIMIENTOS!$D$5:$D$1005="jabas")*(MOVIMIENTOS!$A$5:$A$1005&lt;&gt;"")*(MOVIMIENTOS!$A$5:$A$1005&lt;=$A413)*MOVIMIENTOS!$E$5:$E$1005)-SUMPRODUCT((MOVIMIENTOS!$B$5:$B$1005="TRASIEGO")*(MOVIMIENTOS!$C$5:$C$1005="A")*(MOVIMIENTOS!$D$5:$D$1005="jabas")*(MOVIMIENTOS!$A$5:$A$1005&lt;&gt;"")*(MOVIMIENTOS!$A$5:$A$1005&lt;=$A413)*MOVIMIENTOS!$E$5:$E$1005)-SUMPRODUCT((MOVIMIENTOS!$B$5:$B$1005="REGALO")*(MOVIMIENTOS!$C$5:$C$1005="A")*(MOVIMIENTOS!$D$5:$D$1005="jabas")*(MOVIMIENTOS!$A$5:$A$1005&lt;&gt;"")*(MOVIMIENTOS!$A$5:$A$1005&lt;=$A413)*MOVIMIENTOS!$E$5:$E$1005)-SUMPRODUCT((MOVIMIENTOS!$B$5:$B$1005="VENTA")*(MOVIMIENTOS!$C$5:$C$1005="A")*(MOVIMIENTOS!$D$5:$D$1005="jabas")*(MOVIMIENTOS!$A$5:$A$1005&lt;&gt;"")*(MOVIMIENTOS!$A$5:$A$1005&lt;=$A413)*MOVIMIENTOS!$E$5:$E$1005)+SUMPRODUCT((MOVIMIENTOS!$B$5:$B$1005="AJUSTE")*(MOVIMIENTOS!$C$5:$C$1005="A")*(MOVIMIENTOS!$D$5:$D$1005="jabas")*(MOVIMIENTOS!$A$5:$A$1005&lt;&gt;"")*(MOVIMIENTOS!$A$5:$A$1005&lt;=$A413)*MOVIMIENTOS!$E$5:$E$1005))</f>
        <v/>
      </c>
      <c r="C413" t="str">
        <f>IF($A413="","",SUMPRODUCT((MOVIMIENTOS!$B$5:$B$1005="SALDO INICIAL")*(MOVIMIENTOS!$C$5:$C$1005="P")*(MOVIMIENTOS!$D$5:$D$1005="jabas")*(MOVIMIENTOS!$A$5:$A$1005&lt;&gt;"")*(MOVIMIENTOS!$A$5:$A$1005&lt;=$A413)*MOVIMIENTOS!$E$5:$E$1005)+SUMPRODUCT((MOVIMIENTOS!$B$5:$B$1005="PROCESO")*(MOVIMIENTOS!$C$5:$C$1005="P")*(MOVIMIENTOS!$D$5:$D$1005="jabas")*(MOVIMIENTOS!$A$5:$A$1005&lt;&gt;"")*(MOVIMIENTOS!$A$5:$A$1005&lt;=$A413)*MOVIMIENTOS!$E$5:$E$1005)-SUMPRODUCT((MOVIMIENTOS!$B$5:$B$1005="ENVÍO A SUPESA")*(MOVIMIENTOS!$C$5:$C$1005="P")*(MOVIMIENTOS!$D$5:$D$1005="jabas")*(MOVIMIENTOS!$A$5:$A$1005&lt;&gt;"")*(MOVIMIENTOS!$A$5:$A$1005&lt;=$A413)*MOVIMIENTOS!$E$5:$E$1005)+SUMPRODUCT((MOVIMIENTOS!$B$5:$B$1005="DEVOLUCIÓN")*(MOVIMIENTOS!$C$5:$C$1005="P")*(MOVIMIENTOS!$D$5:$D$1005="jabas")*(MOVIMIENTOS!$A$5:$A$1005&lt;&gt;"")*(MOVIMIENTOS!$A$5:$A$1005&lt;=$A413)*MOVIMIENTOS!$E$5:$E$1005)-SUMPRODUCT((MOVIMIENTOS!$B$5:$B$1005="TRASIEGO")*(MOVIMIENTOS!$C$5:$C$1005="P")*(MOVIMIENTOS!$D$5:$D$1005="jabas")*(MOVIMIENTOS!$A$5:$A$1005&lt;&gt;"")*(MOVIMIENTOS!$A$5:$A$1005&lt;=$A413)*MOVIMIENTOS!$E$5:$E$1005)-SUMPRODUCT((MOVIMIENTOS!$B$5:$B$1005="REGALO")*(MOVIMIENTOS!$C$5:$C$1005="P")*(MOVIMIENTOS!$D$5:$D$1005="jabas")*(MOVIMIENTOS!$A$5:$A$1005&lt;&gt;"")*(MOVIMIENTOS!$A$5:$A$1005&lt;=$A413)*MOVIMIENTOS!$E$5:$E$1005)-SUMPRODUCT((MOVIMIENTOS!$B$5:$B$1005="VENTA")*(MOVIMIENTOS!$C$5:$C$1005="P")*(MOVIMIENTOS!$D$5:$D$1005="jabas")*(MOVIMIENTOS!$A$5:$A$1005&lt;&gt;"")*(MOVIMIENTOS!$A$5:$A$1005&lt;=$A413)*MOVIMIENTOS!$E$5:$E$1005)+SUMPRODUCT((MOVIMIENTOS!$B$5:$B$1005="AJUSTE")*(MOVIMIENTOS!$C$5:$C$1005="P")*(MOVIMIENTOS!$D$5:$D$1005="jabas")*(MOVIMIENTOS!$A$5:$A$1005&lt;&gt;"")*(MOVIMIENTOS!$A$5:$A$1005&lt;=$A413)*MOVIMIENTOS!$E$5:$E$1005))</f>
        <v/>
      </c>
      <c r="D413" t="str">
        <f>IF($A413="","",SUMPRODUCT((MOVIMIENTOS!$B$5:$B$1005="SALDO INICIAL")*(MOVIMIENTOS!$C$5:$C$1005="C")*(MOVIMIENTOS!$D$5:$D$1005="jabas")*(MOVIMIENTOS!$A$5:$A$1005&lt;&gt;"")*(MOVIMIENTOS!$A$5:$A$1005&lt;=$A413)*MOVIMIENTOS!$E$5:$E$1005)+SUMPRODUCT((MOVIMIENTOS!$B$5:$B$1005="PROCESO")*(MOVIMIENTOS!$C$5:$C$1005="C")*(MOVIMIENTOS!$D$5:$D$1005="jabas")*(MOVIMIENTOS!$A$5:$A$1005&lt;&gt;"")*(MOVIMIENTOS!$A$5:$A$1005&lt;=$A413)*MOVIMIENTOS!$E$5:$E$1005)-SUMPRODUCT((MOVIMIENTOS!$B$5:$B$1005="ENVÍO A SUPESA")*(MOVIMIENTOS!$C$5:$C$1005="C")*(MOVIMIENTOS!$D$5:$D$1005="jabas")*(MOVIMIENTOS!$A$5:$A$1005&lt;&gt;"")*(MOVIMIENTOS!$A$5:$A$1005&lt;=$A413)*MOVIMIENTOS!$E$5:$E$1005)+SUMPRODUCT((MOVIMIENTOS!$B$5:$B$1005="DEVOLUCIÓN")*(MOVIMIENTOS!$C$5:$C$1005="C")*(MOVIMIENTOS!$D$5:$D$1005="jabas")*(MOVIMIENTOS!$A$5:$A$1005&lt;&gt;"")*(MOVIMIENTOS!$A$5:$A$1005&lt;=$A413)*MOVIMIENTOS!$E$5:$E$1005)-SUMPRODUCT((MOVIMIENTOS!$B$5:$B$1005="TRASIEGO")*(MOVIMIENTOS!$C$5:$C$1005="C")*(MOVIMIENTOS!$D$5:$D$1005="jabas")*(MOVIMIENTOS!$A$5:$A$1005&lt;&gt;"")*(MOVIMIENTOS!$A$5:$A$1005&lt;=$A413)*MOVIMIENTOS!$E$5:$E$1005)-SUMPRODUCT((MOVIMIENTOS!$B$5:$B$1005="REGALO")*(MOVIMIENTOS!$C$5:$C$1005="C")*(MOVIMIENTOS!$D$5:$D$1005="jabas")*(MOVIMIENTOS!$A$5:$A$1005&lt;&gt;"")*(MOVIMIENTOS!$A$5:$A$1005&lt;=$A413)*MOVIMIENTOS!$E$5:$E$1005)-SUMPRODUCT((MOVIMIENTOS!$B$5:$B$1005="VENTA")*(MOVIMIENTOS!$C$5:$C$1005="C")*(MOVIMIENTOS!$D$5:$D$1005="jabas")*(MOVIMIENTOS!$A$5:$A$1005&lt;&gt;"")*(MOVIMIENTOS!$A$5:$A$1005&lt;=$A413)*MOVIMIENTOS!$E$5:$E$1005)+SUMPRODUCT((MOVIMIENTOS!$B$5:$B$1005="AJUSTE")*(MOVIMIENTOS!$C$5:$C$1005="C")*(MOVIMIENTOS!$D$5:$D$1005="jabas")*(MOVIMIENTOS!$A$5:$A$1005&lt;&gt;"")*(MOVIMIENTOS!$A$5:$A$1005&lt;=$A413)*MOVIMIENTOS!$E$5:$E$1005))</f>
        <v/>
      </c>
      <c r="E413" t="str">
        <f>IF($A413="","",SUMPRODUCT((MOVIMIENTOS!$B$5:$B$1005="SALDO INICIAL")*(MOVIMIENTOS!$C$5:$C$1005="M")*(MOVIMIENTOS!$D$5:$D$1005="jabas")*(MOVIMIENTOS!$A$5:$A$1005&lt;&gt;"")*(MOVIMIENTOS!$A$5:$A$1005&lt;=$A413)*MOVIMIENTOS!$E$5:$E$1005)+SUMPRODUCT((MOVIMIENTOS!$B$5:$B$1005="PROCESO")*(MOVIMIENTOS!$C$5:$C$1005="M")*(MOVIMIENTOS!$D$5:$D$1005="jabas")*(MOVIMIENTOS!$A$5:$A$1005&lt;&gt;"")*(MOVIMIENTOS!$A$5:$A$1005&lt;=$A413)*MOVIMIENTOS!$E$5:$E$1005)-SUMPRODUCT((MOVIMIENTOS!$B$5:$B$1005="ENVÍO A SUPESA")*(MOVIMIENTOS!$C$5:$C$1005="M")*(MOVIMIENTOS!$D$5:$D$1005="jabas")*(MOVIMIENTOS!$A$5:$A$1005&lt;&gt;"")*(MOVIMIENTOS!$A$5:$A$1005&lt;=$A413)*MOVIMIENTOS!$E$5:$E$1005)+SUMPRODUCT((MOVIMIENTOS!$B$5:$B$1005="DEVOLUCIÓN")*(MOVIMIENTOS!$C$5:$C$1005="M")*(MOVIMIENTOS!$D$5:$D$1005="jabas")*(MOVIMIENTOS!$A$5:$A$1005&lt;&gt;"")*(MOVIMIENTOS!$A$5:$A$1005&lt;=$A413)*MOVIMIENTOS!$E$5:$E$1005)-SUMPRODUCT((MOVIMIENTOS!$B$5:$B$1005="TRASIEGO")*(MOVIMIENTOS!$C$5:$C$1005="M")*(MOVIMIENTOS!$D$5:$D$1005="jabas")*(MOVIMIENTOS!$A$5:$A$1005&lt;&gt;"")*(MOVIMIENTOS!$A$5:$A$1005&lt;=$A413)*MOVIMIENTOS!$E$5:$E$1005)-SUMPRODUCT((MOVIMIENTOS!$B$5:$B$1005="REGALO")*(MOVIMIENTOS!$C$5:$C$1005="M")*(MOVIMIENTOS!$D$5:$D$1005="jabas")*(MOVIMIENTOS!$A$5:$A$1005&lt;&gt;"")*(MOVIMIENTOS!$A$5:$A$1005&lt;=$A413)*MOVIMIENTOS!$E$5:$E$1005)-SUMPRODUCT((MOVIMIENTOS!$B$5:$B$1005="VENTA")*(MOVIMIENTOS!$C$5:$C$1005="M")*(MOVIMIENTOS!$D$5:$D$1005="jabas")*(MOVIMIENTOS!$A$5:$A$1005&lt;&gt;"")*(MOVIMIENTOS!$A$5:$A$1005&lt;=$A413)*MOVIMIENTOS!$E$5:$E$1005)+SUMPRODUCT((MOVIMIENTOS!$B$5:$B$1005="AJUSTE")*(MOVIMIENTOS!$C$5:$C$1005="M")*(MOVIMIENTOS!$D$5:$D$1005="jabas")*(MOVIMIENTOS!$A$5:$A$1005&lt;&gt;"")*(MOVIMIENTOS!$A$5:$A$1005&lt;=$A413)*MOVIMIENTOS!$E$5:$E$1005))</f>
        <v/>
      </c>
      <c r="F413" s="62" t="str">
        <f>IF($A413="","",SUMPRODUCT((MOVIMIENTOS!$B$5:$B$1005="SALDO INICIAL")*(MOVIMIENTOS!$C$5:$C$1005="Chancho")*(MOVIMIENTOS!$D$5:$D$1005="sacos")*(MOVIMIENTOS!$A$5:$A$1005&lt;&gt;"")*(MOVIMIENTOS!$A$5:$A$1005&lt;=$A413)*MOVIMIENTOS!$E$5:$E$1005)+SUMPRODUCT((MOVIMIENTOS!$B$5:$B$1005="PROCESO")*(MOVIMIENTOS!$C$5:$C$1005="Chancho")*(MOVIMIENTOS!$D$5:$D$1005="sacos")*(MOVIMIENTOS!$A$5:$A$1005&lt;&gt;"")*(MOVIMIENTOS!$A$5:$A$1005&lt;=$A413)*MOVIMIENTOS!$E$5:$E$1005)-SUMPRODUCT((MOVIMIENTOS!$B$5:$B$1005="VENTA CHANCHO")*(MOVIMIENTOS!$C$5:$C$1005="Chancho")*(MOVIMIENTOS!$D$5:$D$1005="sacos")*(MOVIMIENTOS!$A$5:$A$1005&lt;&gt;"")*(MOVIMIENTOS!$A$5:$A$1005&lt;=$A413)*MOVIMIENTOS!$E$5:$E$1005)-SUMPRODUCT((MOVIMIENTOS!$B$5:$B$1005="REGALO")*(MOVIMIENTOS!$C$5:$C$1005="Chancho")*(MOVIMIENTOS!$D$5:$D$1005="sacos")*(MOVIMIENTOS!$A$5:$A$1005&lt;&gt;"")*(MOVIMIENTOS!$A$5:$A$1005&lt;=$A413)*MOVIMIENTOS!$E$5:$E$1005)-SUMPRODUCT((MOVIMIENTOS!$B$5:$B$1005="VENTA")*(MOVIMIENTOS!$C$5:$C$1005="Chancho")*(MOVIMIENTOS!$D$5:$D$1005="sacos")*(MOVIMIENTOS!$A$5:$A$1005&lt;&gt;"")*(MOVIMIENTOS!$A$5:$A$1005&lt;=$A413)*MOVIMIENTOS!$E$5:$E$1005)+SUMPRODUCT((MOVIMIENTOS!$B$5:$B$1005="AJUSTE")*(MOVIMIENTOS!$C$5:$C$1005="Chancho")*(MOVIMIENTOS!$D$5:$D$1005="sacos")*(MOVIMIENTOS!$A$5:$A$1005&lt;&gt;"")*(MOVIMIENTOS!$A$5:$A$1005&lt;=$A413)*MOVIMIENTOS!$E$5:$E$1005))</f>
        <v/>
      </c>
      <c r="G413" s="62" t="str">
        <f t="shared" si="13"/>
        <v/>
      </c>
      <c r="H413" t="str">
        <f>IF($A413="","",SUMPRODUCT((((MOVIMIENTOS!$B$5:$B$1005="SALDO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413)*MOVIMIENTOS!$J$5:$J$1005))</f>
        <v/>
      </c>
      <c r="J413" t="str">
        <f>IF(AND(MOVIMIENTOS!$A416&lt;&gt;"",COUNTIF(MOVIMIENTOS!$A$5:$A415,MOVIMIENTOS!$A416)=0),COUNT(J$4:J412)+1,"")</f>
        <v/>
      </c>
      <c r="K413" s="67">
        <f>MOVIMIENTOS!$A416</f>
        <v>46249</v>
      </c>
    </row>
    <row r="414" spans="1:11" ht="15" customHeight="1" x14ac:dyDescent="0.2">
      <c r="A414" t="str">
        <f t="shared" si="12"/>
        <v/>
      </c>
      <c r="B414" t="str">
        <f>IF($A414="","",SUMPRODUCT((MOVIMIENTOS!$B$5:$B$1005="SALDO INICIAL")*(MOVIMIENTOS!$C$5:$C$1005="A")*(MOVIMIENTOS!$D$5:$D$1005="jabas")*(MOVIMIENTOS!$A$5:$A$1005&lt;&gt;"")*(MOVIMIENTOS!$A$5:$A$1005&lt;=$A414)*MOVIMIENTOS!$E$5:$E$1005)+SUMPRODUCT((MOVIMIENTOS!$B$5:$B$1005="PROCESO")*(MOVIMIENTOS!$C$5:$C$1005="A")*(MOVIMIENTOS!$D$5:$D$1005="jabas")*(MOVIMIENTOS!$A$5:$A$1005&lt;&gt;"")*(MOVIMIENTOS!$A$5:$A$1005&lt;=$A414)*MOVIMIENTOS!$E$5:$E$1005)-SUMPRODUCT((MOVIMIENTOS!$B$5:$B$1005="ENVÍO A SUPESA")*(MOVIMIENTOS!$C$5:$C$1005="A")*(MOVIMIENTOS!$D$5:$D$1005="jabas")*(MOVIMIENTOS!$A$5:$A$1005&lt;&gt;"")*(MOVIMIENTOS!$A$5:$A$1005&lt;=$A414)*MOVIMIENTOS!$E$5:$E$1005)+SUMPRODUCT((MOVIMIENTOS!$B$5:$B$1005="DEVOLUCIÓN")*(MOVIMIENTOS!$C$5:$C$1005="A")*(MOVIMIENTOS!$D$5:$D$1005="jabas")*(MOVIMIENTOS!$A$5:$A$1005&lt;&gt;"")*(MOVIMIENTOS!$A$5:$A$1005&lt;=$A414)*MOVIMIENTOS!$E$5:$E$1005)-SUMPRODUCT((MOVIMIENTOS!$B$5:$B$1005="TRASIEGO")*(MOVIMIENTOS!$C$5:$C$1005="A")*(MOVIMIENTOS!$D$5:$D$1005="jabas")*(MOVIMIENTOS!$A$5:$A$1005&lt;&gt;"")*(MOVIMIENTOS!$A$5:$A$1005&lt;=$A414)*MOVIMIENTOS!$E$5:$E$1005)-SUMPRODUCT((MOVIMIENTOS!$B$5:$B$1005="REGALO")*(MOVIMIENTOS!$C$5:$C$1005="A")*(MOVIMIENTOS!$D$5:$D$1005="jabas")*(MOVIMIENTOS!$A$5:$A$1005&lt;&gt;"")*(MOVIMIENTOS!$A$5:$A$1005&lt;=$A414)*MOVIMIENTOS!$E$5:$E$1005)-SUMPRODUCT((MOVIMIENTOS!$B$5:$B$1005="VENTA")*(MOVIMIENTOS!$C$5:$C$1005="A")*(MOVIMIENTOS!$D$5:$D$1005="jabas")*(MOVIMIENTOS!$A$5:$A$1005&lt;&gt;"")*(MOVIMIENTOS!$A$5:$A$1005&lt;=$A414)*MOVIMIENTOS!$E$5:$E$1005)+SUMPRODUCT((MOVIMIENTOS!$B$5:$B$1005="AJUSTE")*(MOVIMIENTOS!$C$5:$C$1005="A")*(MOVIMIENTOS!$D$5:$D$1005="jabas")*(MOVIMIENTOS!$A$5:$A$1005&lt;&gt;"")*(MOVIMIENTOS!$A$5:$A$1005&lt;=$A414)*MOVIMIENTOS!$E$5:$E$1005))</f>
        <v/>
      </c>
      <c r="C414" t="str">
        <f>IF($A414="","",SUMPRODUCT((MOVIMIENTOS!$B$5:$B$1005="SALDO INICIAL")*(MOVIMIENTOS!$C$5:$C$1005="P")*(MOVIMIENTOS!$D$5:$D$1005="jabas")*(MOVIMIENTOS!$A$5:$A$1005&lt;&gt;"")*(MOVIMIENTOS!$A$5:$A$1005&lt;=$A414)*MOVIMIENTOS!$E$5:$E$1005)+SUMPRODUCT((MOVIMIENTOS!$B$5:$B$1005="PROCESO")*(MOVIMIENTOS!$C$5:$C$1005="P")*(MOVIMIENTOS!$D$5:$D$1005="jabas")*(MOVIMIENTOS!$A$5:$A$1005&lt;&gt;"")*(MOVIMIENTOS!$A$5:$A$1005&lt;=$A414)*MOVIMIENTOS!$E$5:$E$1005)-SUMPRODUCT((MOVIMIENTOS!$B$5:$B$1005="ENVÍO A SUPESA")*(MOVIMIENTOS!$C$5:$C$1005="P")*(MOVIMIENTOS!$D$5:$D$1005="jabas")*(MOVIMIENTOS!$A$5:$A$1005&lt;&gt;"")*(MOVIMIENTOS!$A$5:$A$1005&lt;=$A414)*MOVIMIENTOS!$E$5:$E$1005)+SUMPRODUCT((MOVIMIENTOS!$B$5:$B$1005="DEVOLUCIÓN")*(MOVIMIENTOS!$C$5:$C$1005="P")*(MOVIMIENTOS!$D$5:$D$1005="jabas")*(MOVIMIENTOS!$A$5:$A$1005&lt;&gt;"")*(MOVIMIENTOS!$A$5:$A$1005&lt;=$A414)*MOVIMIENTOS!$E$5:$E$1005)-SUMPRODUCT((MOVIMIENTOS!$B$5:$B$1005="TRASIEGO")*(MOVIMIENTOS!$C$5:$C$1005="P")*(MOVIMIENTOS!$D$5:$D$1005="jabas")*(MOVIMIENTOS!$A$5:$A$1005&lt;&gt;"")*(MOVIMIENTOS!$A$5:$A$1005&lt;=$A414)*MOVIMIENTOS!$E$5:$E$1005)-SUMPRODUCT((MOVIMIENTOS!$B$5:$B$1005="REGALO")*(MOVIMIENTOS!$C$5:$C$1005="P")*(MOVIMIENTOS!$D$5:$D$1005="jabas")*(MOVIMIENTOS!$A$5:$A$1005&lt;&gt;"")*(MOVIMIENTOS!$A$5:$A$1005&lt;=$A414)*MOVIMIENTOS!$E$5:$E$1005)-SUMPRODUCT((MOVIMIENTOS!$B$5:$B$1005="VENTA")*(MOVIMIENTOS!$C$5:$C$1005="P")*(MOVIMIENTOS!$D$5:$D$1005="jabas")*(MOVIMIENTOS!$A$5:$A$1005&lt;&gt;"")*(MOVIMIENTOS!$A$5:$A$1005&lt;=$A414)*MOVIMIENTOS!$E$5:$E$1005)+SUMPRODUCT((MOVIMIENTOS!$B$5:$B$1005="AJUSTE")*(MOVIMIENTOS!$C$5:$C$1005="P")*(MOVIMIENTOS!$D$5:$D$1005="jabas")*(MOVIMIENTOS!$A$5:$A$1005&lt;&gt;"")*(MOVIMIENTOS!$A$5:$A$1005&lt;=$A414)*MOVIMIENTOS!$E$5:$E$1005))</f>
        <v/>
      </c>
      <c r="D414" t="str">
        <f>IF($A414="","",SUMPRODUCT((MOVIMIENTOS!$B$5:$B$1005="SALDO INICIAL")*(MOVIMIENTOS!$C$5:$C$1005="C")*(MOVIMIENTOS!$D$5:$D$1005="jabas")*(MOVIMIENTOS!$A$5:$A$1005&lt;&gt;"")*(MOVIMIENTOS!$A$5:$A$1005&lt;=$A414)*MOVIMIENTOS!$E$5:$E$1005)+SUMPRODUCT((MOVIMIENTOS!$B$5:$B$1005="PROCESO")*(MOVIMIENTOS!$C$5:$C$1005="C")*(MOVIMIENTOS!$D$5:$D$1005="jabas")*(MOVIMIENTOS!$A$5:$A$1005&lt;&gt;"")*(MOVIMIENTOS!$A$5:$A$1005&lt;=$A414)*MOVIMIENTOS!$E$5:$E$1005)-SUMPRODUCT((MOVIMIENTOS!$B$5:$B$1005="ENVÍO A SUPESA")*(MOVIMIENTOS!$C$5:$C$1005="C")*(MOVIMIENTOS!$D$5:$D$1005="jabas")*(MOVIMIENTOS!$A$5:$A$1005&lt;&gt;"")*(MOVIMIENTOS!$A$5:$A$1005&lt;=$A414)*MOVIMIENTOS!$E$5:$E$1005)+SUMPRODUCT((MOVIMIENTOS!$B$5:$B$1005="DEVOLUCIÓN")*(MOVIMIENTOS!$C$5:$C$1005="C")*(MOVIMIENTOS!$D$5:$D$1005="jabas")*(MOVIMIENTOS!$A$5:$A$1005&lt;&gt;"")*(MOVIMIENTOS!$A$5:$A$1005&lt;=$A414)*MOVIMIENTOS!$E$5:$E$1005)-SUMPRODUCT((MOVIMIENTOS!$B$5:$B$1005="TRASIEGO")*(MOVIMIENTOS!$C$5:$C$1005="C")*(MOVIMIENTOS!$D$5:$D$1005="jabas")*(MOVIMIENTOS!$A$5:$A$1005&lt;&gt;"")*(MOVIMIENTOS!$A$5:$A$1005&lt;=$A414)*MOVIMIENTOS!$E$5:$E$1005)-SUMPRODUCT((MOVIMIENTOS!$B$5:$B$1005="REGALO")*(MOVIMIENTOS!$C$5:$C$1005="C")*(MOVIMIENTOS!$D$5:$D$1005="jabas")*(MOVIMIENTOS!$A$5:$A$1005&lt;&gt;"")*(MOVIMIENTOS!$A$5:$A$1005&lt;=$A414)*MOVIMIENTOS!$E$5:$E$1005)-SUMPRODUCT((MOVIMIENTOS!$B$5:$B$1005="VENTA")*(MOVIMIENTOS!$C$5:$C$1005="C")*(MOVIMIENTOS!$D$5:$D$1005="jabas")*(MOVIMIENTOS!$A$5:$A$1005&lt;&gt;"")*(MOVIMIENTOS!$A$5:$A$1005&lt;=$A414)*MOVIMIENTOS!$E$5:$E$1005)+SUMPRODUCT((MOVIMIENTOS!$B$5:$B$1005="AJUSTE")*(MOVIMIENTOS!$C$5:$C$1005="C")*(MOVIMIENTOS!$D$5:$D$1005="jabas")*(MOVIMIENTOS!$A$5:$A$1005&lt;&gt;"")*(MOVIMIENTOS!$A$5:$A$1005&lt;=$A414)*MOVIMIENTOS!$E$5:$E$1005))</f>
        <v/>
      </c>
      <c r="E414" t="str">
        <f>IF($A414="","",SUMPRODUCT((MOVIMIENTOS!$B$5:$B$1005="SALDO INICIAL")*(MOVIMIENTOS!$C$5:$C$1005="M")*(MOVIMIENTOS!$D$5:$D$1005="jabas")*(MOVIMIENTOS!$A$5:$A$1005&lt;&gt;"")*(MOVIMIENTOS!$A$5:$A$1005&lt;=$A414)*MOVIMIENTOS!$E$5:$E$1005)+SUMPRODUCT((MOVIMIENTOS!$B$5:$B$1005="PROCESO")*(MOVIMIENTOS!$C$5:$C$1005="M")*(MOVIMIENTOS!$D$5:$D$1005="jabas")*(MOVIMIENTOS!$A$5:$A$1005&lt;&gt;"")*(MOVIMIENTOS!$A$5:$A$1005&lt;=$A414)*MOVIMIENTOS!$E$5:$E$1005)-SUMPRODUCT((MOVIMIENTOS!$B$5:$B$1005="ENVÍO A SUPESA")*(MOVIMIENTOS!$C$5:$C$1005="M")*(MOVIMIENTOS!$D$5:$D$1005="jabas")*(MOVIMIENTOS!$A$5:$A$1005&lt;&gt;"")*(MOVIMIENTOS!$A$5:$A$1005&lt;=$A414)*MOVIMIENTOS!$E$5:$E$1005)+SUMPRODUCT((MOVIMIENTOS!$B$5:$B$1005="DEVOLUCIÓN")*(MOVIMIENTOS!$C$5:$C$1005="M")*(MOVIMIENTOS!$D$5:$D$1005="jabas")*(MOVIMIENTOS!$A$5:$A$1005&lt;&gt;"")*(MOVIMIENTOS!$A$5:$A$1005&lt;=$A414)*MOVIMIENTOS!$E$5:$E$1005)-SUMPRODUCT((MOVIMIENTOS!$B$5:$B$1005="TRASIEGO")*(MOVIMIENTOS!$C$5:$C$1005="M")*(MOVIMIENTOS!$D$5:$D$1005="jabas")*(MOVIMIENTOS!$A$5:$A$1005&lt;&gt;"")*(MOVIMIENTOS!$A$5:$A$1005&lt;=$A414)*MOVIMIENTOS!$E$5:$E$1005)-SUMPRODUCT((MOVIMIENTOS!$B$5:$B$1005="REGALO")*(MOVIMIENTOS!$C$5:$C$1005="M")*(MOVIMIENTOS!$D$5:$D$1005="jabas")*(MOVIMIENTOS!$A$5:$A$1005&lt;&gt;"")*(MOVIMIENTOS!$A$5:$A$1005&lt;=$A414)*MOVIMIENTOS!$E$5:$E$1005)-SUMPRODUCT((MOVIMIENTOS!$B$5:$B$1005="VENTA")*(MOVIMIENTOS!$C$5:$C$1005="M")*(MOVIMIENTOS!$D$5:$D$1005="jabas")*(MOVIMIENTOS!$A$5:$A$1005&lt;&gt;"")*(MOVIMIENTOS!$A$5:$A$1005&lt;=$A414)*MOVIMIENTOS!$E$5:$E$1005)+SUMPRODUCT((MOVIMIENTOS!$B$5:$B$1005="AJUSTE")*(MOVIMIENTOS!$C$5:$C$1005="M")*(MOVIMIENTOS!$D$5:$D$1005="jabas")*(MOVIMIENTOS!$A$5:$A$1005&lt;&gt;"")*(MOVIMIENTOS!$A$5:$A$1005&lt;=$A414)*MOVIMIENTOS!$E$5:$E$1005))</f>
        <v/>
      </c>
      <c r="F414" s="62" t="str">
        <f>IF($A414="","",SUMPRODUCT((MOVIMIENTOS!$B$5:$B$1005="SALDO INICIAL")*(MOVIMIENTOS!$C$5:$C$1005="Chancho")*(MOVIMIENTOS!$D$5:$D$1005="sacos")*(MOVIMIENTOS!$A$5:$A$1005&lt;&gt;"")*(MOVIMIENTOS!$A$5:$A$1005&lt;=$A414)*MOVIMIENTOS!$E$5:$E$1005)+SUMPRODUCT((MOVIMIENTOS!$B$5:$B$1005="PROCESO")*(MOVIMIENTOS!$C$5:$C$1005="Chancho")*(MOVIMIENTOS!$D$5:$D$1005="sacos")*(MOVIMIENTOS!$A$5:$A$1005&lt;&gt;"")*(MOVIMIENTOS!$A$5:$A$1005&lt;=$A414)*MOVIMIENTOS!$E$5:$E$1005)-SUMPRODUCT((MOVIMIENTOS!$B$5:$B$1005="VENTA CHANCHO")*(MOVIMIENTOS!$C$5:$C$1005="Chancho")*(MOVIMIENTOS!$D$5:$D$1005="sacos")*(MOVIMIENTOS!$A$5:$A$1005&lt;&gt;"")*(MOVIMIENTOS!$A$5:$A$1005&lt;=$A414)*MOVIMIENTOS!$E$5:$E$1005)-SUMPRODUCT((MOVIMIENTOS!$B$5:$B$1005="REGALO")*(MOVIMIENTOS!$C$5:$C$1005="Chancho")*(MOVIMIENTOS!$D$5:$D$1005="sacos")*(MOVIMIENTOS!$A$5:$A$1005&lt;&gt;"")*(MOVIMIENTOS!$A$5:$A$1005&lt;=$A414)*MOVIMIENTOS!$E$5:$E$1005)-SUMPRODUCT((MOVIMIENTOS!$B$5:$B$1005="VENTA")*(MOVIMIENTOS!$C$5:$C$1005="Chancho")*(MOVIMIENTOS!$D$5:$D$1005="sacos")*(MOVIMIENTOS!$A$5:$A$1005&lt;&gt;"")*(MOVIMIENTOS!$A$5:$A$1005&lt;=$A414)*MOVIMIENTOS!$E$5:$E$1005)+SUMPRODUCT((MOVIMIENTOS!$B$5:$B$1005="AJUSTE")*(MOVIMIENTOS!$C$5:$C$1005="Chancho")*(MOVIMIENTOS!$D$5:$D$1005="sacos")*(MOVIMIENTOS!$A$5:$A$1005&lt;&gt;"")*(MOVIMIENTOS!$A$5:$A$1005&lt;=$A414)*MOVIMIENTOS!$E$5:$E$1005))</f>
        <v/>
      </c>
      <c r="G414" s="62" t="str">
        <f t="shared" si="13"/>
        <v/>
      </c>
      <c r="H414" t="str">
        <f>IF($A414="","",SUMPRODUCT((((MOVIMIENTOS!$B$5:$B$1005="SALDO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414)*MOVIMIENTOS!$J$5:$J$1005))</f>
        <v/>
      </c>
      <c r="J414" t="str">
        <f>IF(AND(MOVIMIENTOS!$A417&lt;&gt;"",COUNTIF(MOVIMIENTOS!$A$5:$A416,MOVIMIENTOS!$A417)=0),COUNT(J$4:J413)+1,"")</f>
        <v/>
      </c>
      <c r="K414" s="67">
        <f>MOVIMIENTOS!$A417</f>
        <v>46249</v>
      </c>
    </row>
    <row r="415" spans="1:11" ht="15" customHeight="1" x14ac:dyDescent="0.2">
      <c r="A415" t="str">
        <f t="shared" si="12"/>
        <v/>
      </c>
      <c r="B415" t="str">
        <f>IF($A415="","",SUMPRODUCT((MOVIMIENTOS!$B$5:$B$1005="SALDO INICIAL")*(MOVIMIENTOS!$C$5:$C$1005="A")*(MOVIMIENTOS!$D$5:$D$1005="jabas")*(MOVIMIENTOS!$A$5:$A$1005&lt;&gt;"")*(MOVIMIENTOS!$A$5:$A$1005&lt;=$A415)*MOVIMIENTOS!$E$5:$E$1005)+SUMPRODUCT((MOVIMIENTOS!$B$5:$B$1005="PROCESO")*(MOVIMIENTOS!$C$5:$C$1005="A")*(MOVIMIENTOS!$D$5:$D$1005="jabas")*(MOVIMIENTOS!$A$5:$A$1005&lt;&gt;"")*(MOVIMIENTOS!$A$5:$A$1005&lt;=$A415)*MOVIMIENTOS!$E$5:$E$1005)-SUMPRODUCT((MOVIMIENTOS!$B$5:$B$1005="ENVÍO A SUPESA")*(MOVIMIENTOS!$C$5:$C$1005="A")*(MOVIMIENTOS!$D$5:$D$1005="jabas")*(MOVIMIENTOS!$A$5:$A$1005&lt;&gt;"")*(MOVIMIENTOS!$A$5:$A$1005&lt;=$A415)*MOVIMIENTOS!$E$5:$E$1005)+SUMPRODUCT((MOVIMIENTOS!$B$5:$B$1005="DEVOLUCIÓN")*(MOVIMIENTOS!$C$5:$C$1005="A")*(MOVIMIENTOS!$D$5:$D$1005="jabas")*(MOVIMIENTOS!$A$5:$A$1005&lt;&gt;"")*(MOVIMIENTOS!$A$5:$A$1005&lt;=$A415)*MOVIMIENTOS!$E$5:$E$1005)-SUMPRODUCT((MOVIMIENTOS!$B$5:$B$1005="TRASIEGO")*(MOVIMIENTOS!$C$5:$C$1005="A")*(MOVIMIENTOS!$D$5:$D$1005="jabas")*(MOVIMIENTOS!$A$5:$A$1005&lt;&gt;"")*(MOVIMIENTOS!$A$5:$A$1005&lt;=$A415)*MOVIMIENTOS!$E$5:$E$1005)-SUMPRODUCT((MOVIMIENTOS!$B$5:$B$1005="REGALO")*(MOVIMIENTOS!$C$5:$C$1005="A")*(MOVIMIENTOS!$D$5:$D$1005="jabas")*(MOVIMIENTOS!$A$5:$A$1005&lt;&gt;"")*(MOVIMIENTOS!$A$5:$A$1005&lt;=$A415)*MOVIMIENTOS!$E$5:$E$1005)-SUMPRODUCT((MOVIMIENTOS!$B$5:$B$1005="VENTA")*(MOVIMIENTOS!$C$5:$C$1005="A")*(MOVIMIENTOS!$D$5:$D$1005="jabas")*(MOVIMIENTOS!$A$5:$A$1005&lt;&gt;"")*(MOVIMIENTOS!$A$5:$A$1005&lt;=$A415)*MOVIMIENTOS!$E$5:$E$1005)+SUMPRODUCT((MOVIMIENTOS!$B$5:$B$1005="AJUSTE")*(MOVIMIENTOS!$C$5:$C$1005="A")*(MOVIMIENTOS!$D$5:$D$1005="jabas")*(MOVIMIENTOS!$A$5:$A$1005&lt;&gt;"")*(MOVIMIENTOS!$A$5:$A$1005&lt;=$A415)*MOVIMIENTOS!$E$5:$E$1005))</f>
        <v/>
      </c>
      <c r="C415" t="str">
        <f>IF($A415="","",SUMPRODUCT((MOVIMIENTOS!$B$5:$B$1005="SALDO INICIAL")*(MOVIMIENTOS!$C$5:$C$1005="P")*(MOVIMIENTOS!$D$5:$D$1005="jabas")*(MOVIMIENTOS!$A$5:$A$1005&lt;&gt;"")*(MOVIMIENTOS!$A$5:$A$1005&lt;=$A415)*MOVIMIENTOS!$E$5:$E$1005)+SUMPRODUCT((MOVIMIENTOS!$B$5:$B$1005="PROCESO")*(MOVIMIENTOS!$C$5:$C$1005="P")*(MOVIMIENTOS!$D$5:$D$1005="jabas")*(MOVIMIENTOS!$A$5:$A$1005&lt;&gt;"")*(MOVIMIENTOS!$A$5:$A$1005&lt;=$A415)*MOVIMIENTOS!$E$5:$E$1005)-SUMPRODUCT((MOVIMIENTOS!$B$5:$B$1005="ENVÍO A SUPESA")*(MOVIMIENTOS!$C$5:$C$1005="P")*(MOVIMIENTOS!$D$5:$D$1005="jabas")*(MOVIMIENTOS!$A$5:$A$1005&lt;&gt;"")*(MOVIMIENTOS!$A$5:$A$1005&lt;=$A415)*MOVIMIENTOS!$E$5:$E$1005)+SUMPRODUCT((MOVIMIENTOS!$B$5:$B$1005="DEVOLUCIÓN")*(MOVIMIENTOS!$C$5:$C$1005="P")*(MOVIMIENTOS!$D$5:$D$1005="jabas")*(MOVIMIENTOS!$A$5:$A$1005&lt;&gt;"")*(MOVIMIENTOS!$A$5:$A$1005&lt;=$A415)*MOVIMIENTOS!$E$5:$E$1005)-SUMPRODUCT((MOVIMIENTOS!$B$5:$B$1005="TRASIEGO")*(MOVIMIENTOS!$C$5:$C$1005="P")*(MOVIMIENTOS!$D$5:$D$1005="jabas")*(MOVIMIENTOS!$A$5:$A$1005&lt;&gt;"")*(MOVIMIENTOS!$A$5:$A$1005&lt;=$A415)*MOVIMIENTOS!$E$5:$E$1005)-SUMPRODUCT((MOVIMIENTOS!$B$5:$B$1005="REGALO")*(MOVIMIENTOS!$C$5:$C$1005="P")*(MOVIMIENTOS!$D$5:$D$1005="jabas")*(MOVIMIENTOS!$A$5:$A$1005&lt;&gt;"")*(MOVIMIENTOS!$A$5:$A$1005&lt;=$A415)*MOVIMIENTOS!$E$5:$E$1005)-SUMPRODUCT((MOVIMIENTOS!$B$5:$B$1005="VENTA")*(MOVIMIENTOS!$C$5:$C$1005="P")*(MOVIMIENTOS!$D$5:$D$1005="jabas")*(MOVIMIENTOS!$A$5:$A$1005&lt;&gt;"")*(MOVIMIENTOS!$A$5:$A$1005&lt;=$A415)*MOVIMIENTOS!$E$5:$E$1005)+SUMPRODUCT((MOVIMIENTOS!$B$5:$B$1005="AJUSTE")*(MOVIMIENTOS!$C$5:$C$1005="P")*(MOVIMIENTOS!$D$5:$D$1005="jabas")*(MOVIMIENTOS!$A$5:$A$1005&lt;&gt;"")*(MOVIMIENTOS!$A$5:$A$1005&lt;=$A415)*MOVIMIENTOS!$E$5:$E$1005))</f>
        <v/>
      </c>
      <c r="D415" t="str">
        <f>IF($A415="","",SUMPRODUCT((MOVIMIENTOS!$B$5:$B$1005="SALDO INICIAL")*(MOVIMIENTOS!$C$5:$C$1005="C")*(MOVIMIENTOS!$D$5:$D$1005="jabas")*(MOVIMIENTOS!$A$5:$A$1005&lt;&gt;"")*(MOVIMIENTOS!$A$5:$A$1005&lt;=$A415)*MOVIMIENTOS!$E$5:$E$1005)+SUMPRODUCT((MOVIMIENTOS!$B$5:$B$1005="PROCESO")*(MOVIMIENTOS!$C$5:$C$1005="C")*(MOVIMIENTOS!$D$5:$D$1005="jabas")*(MOVIMIENTOS!$A$5:$A$1005&lt;&gt;"")*(MOVIMIENTOS!$A$5:$A$1005&lt;=$A415)*MOVIMIENTOS!$E$5:$E$1005)-SUMPRODUCT((MOVIMIENTOS!$B$5:$B$1005="ENVÍO A SUPESA")*(MOVIMIENTOS!$C$5:$C$1005="C")*(MOVIMIENTOS!$D$5:$D$1005="jabas")*(MOVIMIENTOS!$A$5:$A$1005&lt;&gt;"")*(MOVIMIENTOS!$A$5:$A$1005&lt;=$A415)*MOVIMIENTOS!$E$5:$E$1005)+SUMPRODUCT((MOVIMIENTOS!$B$5:$B$1005="DEVOLUCIÓN")*(MOVIMIENTOS!$C$5:$C$1005="C")*(MOVIMIENTOS!$D$5:$D$1005="jabas")*(MOVIMIENTOS!$A$5:$A$1005&lt;&gt;"")*(MOVIMIENTOS!$A$5:$A$1005&lt;=$A415)*MOVIMIENTOS!$E$5:$E$1005)-SUMPRODUCT((MOVIMIENTOS!$B$5:$B$1005="TRASIEGO")*(MOVIMIENTOS!$C$5:$C$1005="C")*(MOVIMIENTOS!$D$5:$D$1005="jabas")*(MOVIMIENTOS!$A$5:$A$1005&lt;&gt;"")*(MOVIMIENTOS!$A$5:$A$1005&lt;=$A415)*MOVIMIENTOS!$E$5:$E$1005)-SUMPRODUCT((MOVIMIENTOS!$B$5:$B$1005="REGALO")*(MOVIMIENTOS!$C$5:$C$1005="C")*(MOVIMIENTOS!$D$5:$D$1005="jabas")*(MOVIMIENTOS!$A$5:$A$1005&lt;&gt;"")*(MOVIMIENTOS!$A$5:$A$1005&lt;=$A415)*MOVIMIENTOS!$E$5:$E$1005)-SUMPRODUCT((MOVIMIENTOS!$B$5:$B$1005="VENTA")*(MOVIMIENTOS!$C$5:$C$1005="C")*(MOVIMIENTOS!$D$5:$D$1005="jabas")*(MOVIMIENTOS!$A$5:$A$1005&lt;&gt;"")*(MOVIMIENTOS!$A$5:$A$1005&lt;=$A415)*MOVIMIENTOS!$E$5:$E$1005)+SUMPRODUCT((MOVIMIENTOS!$B$5:$B$1005="AJUSTE")*(MOVIMIENTOS!$C$5:$C$1005="C")*(MOVIMIENTOS!$D$5:$D$1005="jabas")*(MOVIMIENTOS!$A$5:$A$1005&lt;&gt;"")*(MOVIMIENTOS!$A$5:$A$1005&lt;=$A415)*MOVIMIENTOS!$E$5:$E$1005))</f>
        <v/>
      </c>
      <c r="E415" t="str">
        <f>IF($A415="","",SUMPRODUCT((MOVIMIENTOS!$B$5:$B$1005="SALDO INICIAL")*(MOVIMIENTOS!$C$5:$C$1005="M")*(MOVIMIENTOS!$D$5:$D$1005="jabas")*(MOVIMIENTOS!$A$5:$A$1005&lt;&gt;"")*(MOVIMIENTOS!$A$5:$A$1005&lt;=$A415)*MOVIMIENTOS!$E$5:$E$1005)+SUMPRODUCT((MOVIMIENTOS!$B$5:$B$1005="PROCESO")*(MOVIMIENTOS!$C$5:$C$1005="M")*(MOVIMIENTOS!$D$5:$D$1005="jabas")*(MOVIMIENTOS!$A$5:$A$1005&lt;&gt;"")*(MOVIMIENTOS!$A$5:$A$1005&lt;=$A415)*MOVIMIENTOS!$E$5:$E$1005)-SUMPRODUCT((MOVIMIENTOS!$B$5:$B$1005="ENVÍO A SUPESA")*(MOVIMIENTOS!$C$5:$C$1005="M")*(MOVIMIENTOS!$D$5:$D$1005="jabas")*(MOVIMIENTOS!$A$5:$A$1005&lt;&gt;"")*(MOVIMIENTOS!$A$5:$A$1005&lt;=$A415)*MOVIMIENTOS!$E$5:$E$1005)+SUMPRODUCT((MOVIMIENTOS!$B$5:$B$1005="DEVOLUCIÓN")*(MOVIMIENTOS!$C$5:$C$1005="M")*(MOVIMIENTOS!$D$5:$D$1005="jabas")*(MOVIMIENTOS!$A$5:$A$1005&lt;&gt;"")*(MOVIMIENTOS!$A$5:$A$1005&lt;=$A415)*MOVIMIENTOS!$E$5:$E$1005)-SUMPRODUCT((MOVIMIENTOS!$B$5:$B$1005="TRASIEGO")*(MOVIMIENTOS!$C$5:$C$1005="M")*(MOVIMIENTOS!$D$5:$D$1005="jabas")*(MOVIMIENTOS!$A$5:$A$1005&lt;&gt;"")*(MOVIMIENTOS!$A$5:$A$1005&lt;=$A415)*MOVIMIENTOS!$E$5:$E$1005)-SUMPRODUCT((MOVIMIENTOS!$B$5:$B$1005="REGALO")*(MOVIMIENTOS!$C$5:$C$1005="M")*(MOVIMIENTOS!$D$5:$D$1005="jabas")*(MOVIMIENTOS!$A$5:$A$1005&lt;&gt;"")*(MOVIMIENTOS!$A$5:$A$1005&lt;=$A415)*MOVIMIENTOS!$E$5:$E$1005)-SUMPRODUCT((MOVIMIENTOS!$B$5:$B$1005="VENTA")*(MOVIMIENTOS!$C$5:$C$1005="M")*(MOVIMIENTOS!$D$5:$D$1005="jabas")*(MOVIMIENTOS!$A$5:$A$1005&lt;&gt;"")*(MOVIMIENTOS!$A$5:$A$1005&lt;=$A415)*MOVIMIENTOS!$E$5:$E$1005)+SUMPRODUCT((MOVIMIENTOS!$B$5:$B$1005="AJUSTE")*(MOVIMIENTOS!$C$5:$C$1005="M")*(MOVIMIENTOS!$D$5:$D$1005="jabas")*(MOVIMIENTOS!$A$5:$A$1005&lt;&gt;"")*(MOVIMIENTOS!$A$5:$A$1005&lt;=$A415)*MOVIMIENTOS!$E$5:$E$1005))</f>
        <v/>
      </c>
      <c r="F415" s="62" t="str">
        <f>IF($A415="","",SUMPRODUCT((MOVIMIENTOS!$B$5:$B$1005="SALDO INICIAL")*(MOVIMIENTOS!$C$5:$C$1005="Chancho")*(MOVIMIENTOS!$D$5:$D$1005="sacos")*(MOVIMIENTOS!$A$5:$A$1005&lt;&gt;"")*(MOVIMIENTOS!$A$5:$A$1005&lt;=$A415)*MOVIMIENTOS!$E$5:$E$1005)+SUMPRODUCT((MOVIMIENTOS!$B$5:$B$1005="PROCESO")*(MOVIMIENTOS!$C$5:$C$1005="Chancho")*(MOVIMIENTOS!$D$5:$D$1005="sacos")*(MOVIMIENTOS!$A$5:$A$1005&lt;&gt;"")*(MOVIMIENTOS!$A$5:$A$1005&lt;=$A415)*MOVIMIENTOS!$E$5:$E$1005)-SUMPRODUCT((MOVIMIENTOS!$B$5:$B$1005="VENTA CHANCHO")*(MOVIMIENTOS!$C$5:$C$1005="Chancho")*(MOVIMIENTOS!$D$5:$D$1005="sacos")*(MOVIMIENTOS!$A$5:$A$1005&lt;&gt;"")*(MOVIMIENTOS!$A$5:$A$1005&lt;=$A415)*MOVIMIENTOS!$E$5:$E$1005)-SUMPRODUCT((MOVIMIENTOS!$B$5:$B$1005="REGALO")*(MOVIMIENTOS!$C$5:$C$1005="Chancho")*(MOVIMIENTOS!$D$5:$D$1005="sacos")*(MOVIMIENTOS!$A$5:$A$1005&lt;&gt;"")*(MOVIMIENTOS!$A$5:$A$1005&lt;=$A415)*MOVIMIENTOS!$E$5:$E$1005)-SUMPRODUCT((MOVIMIENTOS!$B$5:$B$1005="VENTA")*(MOVIMIENTOS!$C$5:$C$1005="Chancho")*(MOVIMIENTOS!$D$5:$D$1005="sacos")*(MOVIMIENTOS!$A$5:$A$1005&lt;&gt;"")*(MOVIMIENTOS!$A$5:$A$1005&lt;=$A415)*MOVIMIENTOS!$E$5:$E$1005)+SUMPRODUCT((MOVIMIENTOS!$B$5:$B$1005="AJUSTE")*(MOVIMIENTOS!$C$5:$C$1005="Chancho")*(MOVIMIENTOS!$D$5:$D$1005="sacos")*(MOVIMIENTOS!$A$5:$A$1005&lt;&gt;"")*(MOVIMIENTOS!$A$5:$A$1005&lt;=$A415)*MOVIMIENTOS!$E$5:$E$1005))</f>
        <v/>
      </c>
      <c r="G415" s="62" t="str">
        <f t="shared" si="13"/>
        <v/>
      </c>
      <c r="H415" t="str">
        <f>IF($A415="","",SUMPRODUCT((((MOVIMIENTOS!$B$5:$B$1005="SALDO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415)*MOVIMIENTOS!$J$5:$J$1005))</f>
        <v/>
      </c>
      <c r="J415" t="str">
        <f>IF(AND(MOVIMIENTOS!$A418&lt;&gt;"",COUNTIF(MOVIMIENTOS!$A$5:$A417,MOVIMIENTOS!$A418)=0),COUNT(J$4:J414)+1,"")</f>
        <v/>
      </c>
      <c r="K415" s="67">
        <f>MOVIMIENTOS!$A418</f>
        <v>46249</v>
      </c>
    </row>
    <row r="416" spans="1:11" ht="15" customHeight="1" x14ac:dyDescent="0.2">
      <c r="A416" t="str">
        <f t="shared" si="12"/>
        <v/>
      </c>
      <c r="B416" t="str">
        <f>IF($A416="","",SUMPRODUCT((MOVIMIENTOS!$B$5:$B$1005="SALDO INICIAL")*(MOVIMIENTOS!$C$5:$C$1005="A")*(MOVIMIENTOS!$D$5:$D$1005="jabas")*(MOVIMIENTOS!$A$5:$A$1005&lt;&gt;"")*(MOVIMIENTOS!$A$5:$A$1005&lt;=$A416)*MOVIMIENTOS!$E$5:$E$1005)+SUMPRODUCT((MOVIMIENTOS!$B$5:$B$1005="PROCESO")*(MOVIMIENTOS!$C$5:$C$1005="A")*(MOVIMIENTOS!$D$5:$D$1005="jabas")*(MOVIMIENTOS!$A$5:$A$1005&lt;&gt;"")*(MOVIMIENTOS!$A$5:$A$1005&lt;=$A416)*MOVIMIENTOS!$E$5:$E$1005)-SUMPRODUCT((MOVIMIENTOS!$B$5:$B$1005="ENVÍO A SUPESA")*(MOVIMIENTOS!$C$5:$C$1005="A")*(MOVIMIENTOS!$D$5:$D$1005="jabas")*(MOVIMIENTOS!$A$5:$A$1005&lt;&gt;"")*(MOVIMIENTOS!$A$5:$A$1005&lt;=$A416)*MOVIMIENTOS!$E$5:$E$1005)+SUMPRODUCT((MOVIMIENTOS!$B$5:$B$1005="DEVOLUCIÓN")*(MOVIMIENTOS!$C$5:$C$1005="A")*(MOVIMIENTOS!$D$5:$D$1005="jabas")*(MOVIMIENTOS!$A$5:$A$1005&lt;&gt;"")*(MOVIMIENTOS!$A$5:$A$1005&lt;=$A416)*MOVIMIENTOS!$E$5:$E$1005)-SUMPRODUCT((MOVIMIENTOS!$B$5:$B$1005="TRASIEGO")*(MOVIMIENTOS!$C$5:$C$1005="A")*(MOVIMIENTOS!$D$5:$D$1005="jabas")*(MOVIMIENTOS!$A$5:$A$1005&lt;&gt;"")*(MOVIMIENTOS!$A$5:$A$1005&lt;=$A416)*MOVIMIENTOS!$E$5:$E$1005)-SUMPRODUCT((MOVIMIENTOS!$B$5:$B$1005="REGALO")*(MOVIMIENTOS!$C$5:$C$1005="A")*(MOVIMIENTOS!$D$5:$D$1005="jabas")*(MOVIMIENTOS!$A$5:$A$1005&lt;&gt;"")*(MOVIMIENTOS!$A$5:$A$1005&lt;=$A416)*MOVIMIENTOS!$E$5:$E$1005)-SUMPRODUCT((MOVIMIENTOS!$B$5:$B$1005="VENTA")*(MOVIMIENTOS!$C$5:$C$1005="A")*(MOVIMIENTOS!$D$5:$D$1005="jabas")*(MOVIMIENTOS!$A$5:$A$1005&lt;&gt;"")*(MOVIMIENTOS!$A$5:$A$1005&lt;=$A416)*MOVIMIENTOS!$E$5:$E$1005)+SUMPRODUCT((MOVIMIENTOS!$B$5:$B$1005="AJUSTE")*(MOVIMIENTOS!$C$5:$C$1005="A")*(MOVIMIENTOS!$D$5:$D$1005="jabas")*(MOVIMIENTOS!$A$5:$A$1005&lt;&gt;"")*(MOVIMIENTOS!$A$5:$A$1005&lt;=$A416)*MOVIMIENTOS!$E$5:$E$1005))</f>
        <v/>
      </c>
      <c r="C416" t="str">
        <f>IF($A416="","",SUMPRODUCT((MOVIMIENTOS!$B$5:$B$1005="SALDO INICIAL")*(MOVIMIENTOS!$C$5:$C$1005="P")*(MOVIMIENTOS!$D$5:$D$1005="jabas")*(MOVIMIENTOS!$A$5:$A$1005&lt;&gt;"")*(MOVIMIENTOS!$A$5:$A$1005&lt;=$A416)*MOVIMIENTOS!$E$5:$E$1005)+SUMPRODUCT((MOVIMIENTOS!$B$5:$B$1005="PROCESO")*(MOVIMIENTOS!$C$5:$C$1005="P")*(MOVIMIENTOS!$D$5:$D$1005="jabas")*(MOVIMIENTOS!$A$5:$A$1005&lt;&gt;"")*(MOVIMIENTOS!$A$5:$A$1005&lt;=$A416)*MOVIMIENTOS!$E$5:$E$1005)-SUMPRODUCT((MOVIMIENTOS!$B$5:$B$1005="ENVÍO A SUPESA")*(MOVIMIENTOS!$C$5:$C$1005="P")*(MOVIMIENTOS!$D$5:$D$1005="jabas")*(MOVIMIENTOS!$A$5:$A$1005&lt;&gt;"")*(MOVIMIENTOS!$A$5:$A$1005&lt;=$A416)*MOVIMIENTOS!$E$5:$E$1005)+SUMPRODUCT((MOVIMIENTOS!$B$5:$B$1005="DEVOLUCIÓN")*(MOVIMIENTOS!$C$5:$C$1005="P")*(MOVIMIENTOS!$D$5:$D$1005="jabas")*(MOVIMIENTOS!$A$5:$A$1005&lt;&gt;"")*(MOVIMIENTOS!$A$5:$A$1005&lt;=$A416)*MOVIMIENTOS!$E$5:$E$1005)-SUMPRODUCT((MOVIMIENTOS!$B$5:$B$1005="TRASIEGO")*(MOVIMIENTOS!$C$5:$C$1005="P")*(MOVIMIENTOS!$D$5:$D$1005="jabas")*(MOVIMIENTOS!$A$5:$A$1005&lt;&gt;"")*(MOVIMIENTOS!$A$5:$A$1005&lt;=$A416)*MOVIMIENTOS!$E$5:$E$1005)-SUMPRODUCT((MOVIMIENTOS!$B$5:$B$1005="REGALO")*(MOVIMIENTOS!$C$5:$C$1005="P")*(MOVIMIENTOS!$D$5:$D$1005="jabas")*(MOVIMIENTOS!$A$5:$A$1005&lt;&gt;"")*(MOVIMIENTOS!$A$5:$A$1005&lt;=$A416)*MOVIMIENTOS!$E$5:$E$1005)-SUMPRODUCT((MOVIMIENTOS!$B$5:$B$1005="VENTA")*(MOVIMIENTOS!$C$5:$C$1005="P")*(MOVIMIENTOS!$D$5:$D$1005="jabas")*(MOVIMIENTOS!$A$5:$A$1005&lt;&gt;"")*(MOVIMIENTOS!$A$5:$A$1005&lt;=$A416)*MOVIMIENTOS!$E$5:$E$1005)+SUMPRODUCT((MOVIMIENTOS!$B$5:$B$1005="AJUSTE")*(MOVIMIENTOS!$C$5:$C$1005="P")*(MOVIMIENTOS!$D$5:$D$1005="jabas")*(MOVIMIENTOS!$A$5:$A$1005&lt;&gt;"")*(MOVIMIENTOS!$A$5:$A$1005&lt;=$A416)*MOVIMIENTOS!$E$5:$E$1005))</f>
        <v/>
      </c>
      <c r="D416" t="str">
        <f>IF($A416="","",SUMPRODUCT((MOVIMIENTOS!$B$5:$B$1005="SALDO INICIAL")*(MOVIMIENTOS!$C$5:$C$1005="C")*(MOVIMIENTOS!$D$5:$D$1005="jabas")*(MOVIMIENTOS!$A$5:$A$1005&lt;&gt;"")*(MOVIMIENTOS!$A$5:$A$1005&lt;=$A416)*MOVIMIENTOS!$E$5:$E$1005)+SUMPRODUCT((MOVIMIENTOS!$B$5:$B$1005="PROCESO")*(MOVIMIENTOS!$C$5:$C$1005="C")*(MOVIMIENTOS!$D$5:$D$1005="jabas")*(MOVIMIENTOS!$A$5:$A$1005&lt;&gt;"")*(MOVIMIENTOS!$A$5:$A$1005&lt;=$A416)*MOVIMIENTOS!$E$5:$E$1005)-SUMPRODUCT((MOVIMIENTOS!$B$5:$B$1005="ENVÍO A SUPESA")*(MOVIMIENTOS!$C$5:$C$1005="C")*(MOVIMIENTOS!$D$5:$D$1005="jabas")*(MOVIMIENTOS!$A$5:$A$1005&lt;&gt;"")*(MOVIMIENTOS!$A$5:$A$1005&lt;=$A416)*MOVIMIENTOS!$E$5:$E$1005)+SUMPRODUCT((MOVIMIENTOS!$B$5:$B$1005="DEVOLUCIÓN")*(MOVIMIENTOS!$C$5:$C$1005="C")*(MOVIMIENTOS!$D$5:$D$1005="jabas")*(MOVIMIENTOS!$A$5:$A$1005&lt;&gt;"")*(MOVIMIENTOS!$A$5:$A$1005&lt;=$A416)*MOVIMIENTOS!$E$5:$E$1005)-SUMPRODUCT((MOVIMIENTOS!$B$5:$B$1005="TRASIEGO")*(MOVIMIENTOS!$C$5:$C$1005="C")*(MOVIMIENTOS!$D$5:$D$1005="jabas")*(MOVIMIENTOS!$A$5:$A$1005&lt;&gt;"")*(MOVIMIENTOS!$A$5:$A$1005&lt;=$A416)*MOVIMIENTOS!$E$5:$E$1005)-SUMPRODUCT((MOVIMIENTOS!$B$5:$B$1005="REGALO")*(MOVIMIENTOS!$C$5:$C$1005="C")*(MOVIMIENTOS!$D$5:$D$1005="jabas")*(MOVIMIENTOS!$A$5:$A$1005&lt;&gt;"")*(MOVIMIENTOS!$A$5:$A$1005&lt;=$A416)*MOVIMIENTOS!$E$5:$E$1005)-SUMPRODUCT((MOVIMIENTOS!$B$5:$B$1005="VENTA")*(MOVIMIENTOS!$C$5:$C$1005="C")*(MOVIMIENTOS!$D$5:$D$1005="jabas")*(MOVIMIENTOS!$A$5:$A$1005&lt;&gt;"")*(MOVIMIENTOS!$A$5:$A$1005&lt;=$A416)*MOVIMIENTOS!$E$5:$E$1005)+SUMPRODUCT((MOVIMIENTOS!$B$5:$B$1005="AJUSTE")*(MOVIMIENTOS!$C$5:$C$1005="C")*(MOVIMIENTOS!$D$5:$D$1005="jabas")*(MOVIMIENTOS!$A$5:$A$1005&lt;&gt;"")*(MOVIMIENTOS!$A$5:$A$1005&lt;=$A416)*MOVIMIENTOS!$E$5:$E$1005))</f>
        <v/>
      </c>
      <c r="E416" t="str">
        <f>IF($A416="","",SUMPRODUCT((MOVIMIENTOS!$B$5:$B$1005="SALDO INICIAL")*(MOVIMIENTOS!$C$5:$C$1005="M")*(MOVIMIENTOS!$D$5:$D$1005="jabas")*(MOVIMIENTOS!$A$5:$A$1005&lt;&gt;"")*(MOVIMIENTOS!$A$5:$A$1005&lt;=$A416)*MOVIMIENTOS!$E$5:$E$1005)+SUMPRODUCT((MOVIMIENTOS!$B$5:$B$1005="PROCESO")*(MOVIMIENTOS!$C$5:$C$1005="M")*(MOVIMIENTOS!$D$5:$D$1005="jabas")*(MOVIMIENTOS!$A$5:$A$1005&lt;&gt;"")*(MOVIMIENTOS!$A$5:$A$1005&lt;=$A416)*MOVIMIENTOS!$E$5:$E$1005)-SUMPRODUCT((MOVIMIENTOS!$B$5:$B$1005="ENVÍO A SUPESA")*(MOVIMIENTOS!$C$5:$C$1005="M")*(MOVIMIENTOS!$D$5:$D$1005="jabas")*(MOVIMIENTOS!$A$5:$A$1005&lt;&gt;"")*(MOVIMIENTOS!$A$5:$A$1005&lt;=$A416)*MOVIMIENTOS!$E$5:$E$1005)+SUMPRODUCT((MOVIMIENTOS!$B$5:$B$1005="DEVOLUCIÓN")*(MOVIMIENTOS!$C$5:$C$1005="M")*(MOVIMIENTOS!$D$5:$D$1005="jabas")*(MOVIMIENTOS!$A$5:$A$1005&lt;&gt;"")*(MOVIMIENTOS!$A$5:$A$1005&lt;=$A416)*MOVIMIENTOS!$E$5:$E$1005)-SUMPRODUCT((MOVIMIENTOS!$B$5:$B$1005="TRASIEGO")*(MOVIMIENTOS!$C$5:$C$1005="M")*(MOVIMIENTOS!$D$5:$D$1005="jabas")*(MOVIMIENTOS!$A$5:$A$1005&lt;&gt;"")*(MOVIMIENTOS!$A$5:$A$1005&lt;=$A416)*MOVIMIENTOS!$E$5:$E$1005)-SUMPRODUCT((MOVIMIENTOS!$B$5:$B$1005="REGALO")*(MOVIMIENTOS!$C$5:$C$1005="M")*(MOVIMIENTOS!$D$5:$D$1005="jabas")*(MOVIMIENTOS!$A$5:$A$1005&lt;&gt;"")*(MOVIMIENTOS!$A$5:$A$1005&lt;=$A416)*MOVIMIENTOS!$E$5:$E$1005)-SUMPRODUCT((MOVIMIENTOS!$B$5:$B$1005="VENTA")*(MOVIMIENTOS!$C$5:$C$1005="M")*(MOVIMIENTOS!$D$5:$D$1005="jabas")*(MOVIMIENTOS!$A$5:$A$1005&lt;&gt;"")*(MOVIMIENTOS!$A$5:$A$1005&lt;=$A416)*MOVIMIENTOS!$E$5:$E$1005)+SUMPRODUCT((MOVIMIENTOS!$B$5:$B$1005="AJUSTE")*(MOVIMIENTOS!$C$5:$C$1005="M")*(MOVIMIENTOS!$D$5:$D$1005="jabas")*(MOVIMIENTOS!$A$5:$A$1005&lt;&gt;"")*(MOVIMIENTOS!$A$5:$A$1005&lt;=$A416)*MOVIMIENTOS!$E$5:$E$1005))</f>
        <v/>
      </c>
      <c r="F416" s="62" t="str">
        <f>IF($A416="","",SUMPRODUCT((MOVIMIENTOS!$B$5:$B$1005="SALDO INICIAL")*(MOVIMIENTOS!$C$5:$C$1005="Chancho")*(MOVIMIENTOS!$D$5:$D$1005="sacos")*(MOVIMIENTOS!$A$5:$A$1005&lt;&gt;"")*(MOVIMIENTOS!$A$5:$A$1005&lt;=$A416)*MOVIMIENTOS!$E$5:$E$1005)+SUMPRODUCT((MOVIMIENTOS!$B$5:$B$1005="PROCESO")*(MOVIMIENTOS!$C$5:$C$1005="Chancho")*(MOVIMIENTOS!$D$5:$D$1005="sacos")*(MOVIMIENTOS!$A$5:$A$1005&lt;&gt;"")*(MOVIMIENTOS!$A$5:$A$1005&lt;=$A416)*MOVIMIENTOS!$E$5:$E$1005)-SUMPRODUCT((MOVIMIENTOS!$B$5:$B$1005="VENTA CHANCHO")*(MOVIMIENTOS!$C$5:$C$1005="Chancho")*(MOVIMIENTOS!$D$5:$D$1005="sacos")*(MOVIMIENTOS!$A$5:$A$1005&lt;&gt;"")*(MOVIMIENTOS!$A$5:$A$1005&lt;=$A416)*MOVIMIENTOS!$E$5:$E$1005)-SUMPRODUCT((MOVIMIENTOS!$B$5:$B$1005="REGALO")*(MOVIMIENTOS!$C$5:$C$1005="Chancho")*(MOVIMIENTOS!$D$5:$D$1005="sacos")*(MOVIMIENTOS!$A$5:$A$1005&lt;&gt;"")*(MOVIMIENTOS!$A$5:$A$1005&lt;=$A416)*MOVIMIENTOS!$E$5:$E$1005)-SUMPRODUCT((MOVIMIENTOS!$B$5:$B$1005="VENTA")*(MOVIMIENTOS!$C$5:$C$1005="Chancho")*(MOVIMIENTOS!$D$5:$D$1005="sacos")*(MOVIMIENTOS!$A$5:$A$1005&lt;&gt;"")*(MOVIMIENTOS!$A$5:$A$1005&lt;=$A416)*MOVIMIENTOS!$E$5:$E$1005)+SUMPRODUCT((MOVIMIENTOS!$B$5:$B$1005="AJUSTE")*(MOVIMIENTOS!$C$5:$C$1005="Chancho")*(MOVIMIENTOS!$D$5:$D$1005="sacos")*(MOVIMIENTOS!$A$5:$A$1005&lt;&gt;"")*(MOVIMIENTOS!$A$5:$A$1005&lt;=$A416)*MOVIMIENTOS!$E$5:$E$1005))</f>
        <v/>
      </c>
      <c r="G416" s="62" t="str">
        <f t="shared" si="13"/>
        <v/>
      </c>
      <c r="H416" t="str">
        <f>IF($A416="","",SUMPRODUCT((((MOVIMIENTOS!$B$5:$B$1005="SALDO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416)*MOVIMIENTOS!$J$5:$J$1005))</f>
        <v/>
      </c>
      <c r="J416" t="str">
        <f>IF(AND(MOVIMIENTOS!$A419&lt;&gt;"",COUNTIF(MOVIMIENTOS!$A$5:$A418,MOVIMIENTOS!$A419)=0),COUNT(J$4:J415)+1,"")</f>
        <v/>
      </c>
      <c r="K416" s="67">
        <f>MOVIMIENTOS!$A419</f>
        <v>46249</v>
      </c>
    </row>
    <row r="417" spans="1:11" ht="15" customHeight="1" x14ac:dyDescent="0.2">
      <c r="A417" t="str">
        <f t="shared" si="12"/>
        <v/>
      </c>
      <c r="B417" t="str">
        <f>IF($A417="","",SUMPRODUCT((MOVIMIENTOS!$B$5:$B$1005="SALDO INICIAL")*(MOVIMIENTOS!$C$5:$C$1005="A")*(MOVIMIENTOS!$D$5:$D$1005="jabas")*(MOVIMIENTOS!$A$5:$A$1005&lt;&gt;"")*(MOVIMIENTOS!$A$5:$A$1005&lt;=$A417)*MOVIMIENTOS!$E$5:$E$1005)+SUMPRODUCT((MOVIMIENTOS!$B$5:$B$1005="PROCESO")*(MOVIMIENTOS!$C$5:$C$1005="A")*(MOVIMIENTOS!$D$5:$D$1005="jabas")*(MOVIMIENTOS!$A$5:$A$1005&lt;&gt;"")*(MOVIMIENTOS!$A$5:$A$1005&lt;=$A417)*MOVIMIENTOS!$E$5:$E$1005)-SUMPRODUCT((MOVIMIENTOS!$B$5:$B$1005="ENVÍO A SUPESA")*(MOVIMIENTOS!$C$5:$C$1005="A")*(MOVIMIENTOS!$D$5:$D$1005="jabas")*(MOVIMIENTOS!$A$5:$A$1005&lt;&gt;"")*(MOVIMIENTOS!$A$5:$A$1005&lt;=$A417)*MOVIMIENTOS!$E$5:$E$1005)+SUMPRODUCT((MOVIMIENTOS!$B$5:$B$1005="DEVOLUCIÓN")*(MOVIMIENTOS!$C$5:$C$1005="A")*(MOVIMIENTOS!$D$5:$D$1005="jabas")*(MOVIMIENTOS!$A$5:$A$1005&lt;&gt;"")*(MOVIMIENTOS!$A$5:$A$1005&lt;=$A417)*MOVIMIENTOS!$E$5:$E$1005)-SUMPRODUCT((MOVIMIENTOS!$B$5:$B$1005="TRASIEGO")*(MOVIMIENTOS!$C$5:$C$1005="A")*(MOVIMIENTOS!$D$5:$D$1005="jabas")*(MOVIMIENTOS!$A$5:$A$1005&lt;&gt;"")*(MOVIMIENTOS!$A$5:$A$1005&lt;=$A417)*MOVIMIENTOS!$E$5:$E$1005)-SUMPRODUCT((MOVIMIENTOS!$B$5:$B$1005="REGALO")*(MOVIMIENTOS!$C$5:$C$1005="A")*(MOVIMIENTOS!$D$5:$D$1005="jabas")*(MOVIMIENTOS!$A$5:$A$1005&lt;&gt;"")*(MOVIMIENTOS!$A$5:$A$1005&lt;=$A417)*MOVIMIENTOS!$E$5:$E$1005)-SUMPRODUCT((MOVIMIENTOS!$B$5:$B$1005="VENTA")*(MOVIMIENTOS!$C$5:$C$1005="A")*(MOVIMIENTOS!$D$5:$D$1005="jabas")*(MOVIMIENTOS!$A$5:$A$1005&lt;&gt;"")*(MOVIMIENTOS!$A$5:$A$1005&lt;=$A417)*MOVIMIENTOS!$E$5:$E$1005)+SUMPRODUCT((MOVIMIENTOS!$B$5:$B$1005="AJUSTE")*(MOVIMIENTOS!$C$5:$C$1005="A")*(MOVIMIENTOS!$D$5:$D$1005="jabas")*(MOVIMIENTOS!$A$5:$A$1005&lt;&gt;"")*(MOVIMIENTOS!$A$5:$A$1005&lt;=$A417)*MOVIMIENTOS!$E$5:$E$1005))</f>
        <v/>
      </c>
      <c r="C417" t="str">
        <f>IF($A417="","",SUMPRODUCT((MOVIMIENTOS!$B$5:$B$1005="SALDO INICIAL")*(MOVIMIENTOS!$C$5:$C$1005="P")*(MOVIMIENTOS!$D$5:$D$1005="jabas")*(MOVIMIENTOS!$A$5:$A$1005&lt;&gt;"")*(MOVIMIENTOS!$A$5:$A$1005&lt;=$A417)*MOVIMIENTOS!$E$5:$E$1005)+SUMPRODUCT((MOVIMIENTOS!$B$5:$B$1005="PROCESO")*(MOVIMIENTOS!$C$5:$C$1005="P")*(MOVIMIENTOS!$D$5:$D$1005="jabas")*(MOVIMIENTOS!$A$5:$A$1005&lt;&gt;"")*(MOVIMIENTOS!$A$5:$A$1005&lt;=$A417)*MOVIMIENTOS!$E$5:$E$1005)-SUMPRODUCT((MOVIMIENTOS!$B$5:$B$1005="ENVÍO A SUPESA")*(MOVIMIENTOS!$C$5:$C$1005="P")*(MOVIMIENTOS!$D$5:$D$1005="jabas")*(MOVIMIENTOS!$A$5:$A$1005&lt;&gt;"")*(MOVIMIENTOS!$A$5:$A$1005&lt;=$A417)*MOVIMIENTOS!$E$5:$E$1005)+SUMPRODUCT((MOVIMIENTOS!$B$5:$B$1005="DEVOLUCIÓN")*(MOVIMIENTOS!$C$5:$C$1005="P")*(MOVIMIENTOS!$D$5:$D$1005="jabas")*(MOVIMIENTOS!$A$5:$A$1005&lt;&gt;"")*(MOVIMIENTOS!$A$5:$A$1005&lt;=$A417)*MOVIMIENTOS!$E$5:$E$1005)-SUMPRODUCT((MOVIMIENTOS!$B$5:$B$1005="TRASIEGO")*(MOVIMIENTOS!$C$5:$C$1005="P")*(MOVIMIENTOS!$D$5:$D$1005="jabas")*(MOVIMIENTOS!$A$5:$A$1005&lt;&gt;"")*(MOVIMIENTOS!$A$5:$A$1005&lt;=$A417)*MOVIMIENTOS!$E$5:$E$1005)-SUMPRODUCT((MOVIMIENTOS!$B$5:$B$1005="REGALO")*(MOVIMIENTOS!$C$5:$C$1005="P")*(MOVIMIENTOS!$D$5:$D$1005="jabas")*(MOVIMIENTOS!$A$5:$A$1005&lt;&gt;"")*(MOVIMIENTOS!$A$5:$A$1005&lt;=$A417)*MOVIMIENTOS!$E$5:$E$1005)-SUMPRODUCT((MOVIMIENTOS!$B$5:$B$1005="VENTA")*(MOVIMIENTOS!$C$5:$C$1005="P")*(MOVIMIENTOS!$D$5:$D$1005="jabas")*(MOVIMIENTOS!$A$5:$A$1005&lt;&gt;"")*(MOVIMIENTOS!$A$5:$A$1005&lt;=$A417)*MOVIMIENTOS!$E$5:$E$1005)+SUMPRODUCT((MOVIMIENTOS!$B$5:$B$1005="AJUSTE")*(MOVIMIENTOS!$C$5:$C$1005="P")*(MOVIMIENTOS!$D$5:$D$1005="jabas")*(MOVIMIENTOS!$A$5:$A$1005&lt;&gt;"")*(MOVIMIENTOS!$A$5:$A$1005&lt;=$A417)*MOVIMIENTOS!$E$5:$E$1005))</f>
        <v/>
      </c>
      <c r="D417" t="str">
        <f>IF($A417="","",SUMPRODUCT((MOVIMIENTOS!$B$5:$B$1005="SALDO INICIAL")*(MOVIMIENTOS!$C$5:$C$1005="C")*(MOVIMIENTOS!$D$5:$D$1005="jabas")*(MOVIMIENTOS!$A$5:$A$1005&lt;&gt;"")*(MOVIMIENTOS!$A$5:$A$1005&lt;=$A417)*MOVIMIENTOS!$E$5:$E$1005)+SUMPRODUCT((MOVIMIENTOS!$B$5:$B$1005="PROCESO")*(MOVIMIENTOS!$C$5:$C$1005="C")*(MOVIMIENTOS!$D$5:$D$1005="jabas")*(MOVIMIENTOS!$A$5:$A$1005&lt;&gt;"")*(MOVIMIENTOS!$A$5:$A$1005&lt;=$A417)*MOVIMIENTOS!$E$5:$E$1005)-SUMPRODUCT((MOVIMIENTOS!$B$5:$B$1005="ENVÍO A SUPESA")*(MOVIMIENTOS!$C$5:$C$1005="C")*(MOVIMIENTOS!$D$5:$D$1005="jabas")*(MOVIMIENTOS!$A$5:$A$1005&lt;&gt;"")*(MOVIMIENTOS!$A$5:$A$1005&lt;=$A417)*MOVIMIENTOS!$E$5:$E$1005)+SUMPRODUCT((MOVIMIENTOS!$B$5:$B$1005="DEVOLUCIÓN")*(MOVIMIENTOS!$C$5:$C$1005="C")*(MOVIMIENTOS!$D$5:$D$1005="jabas")*(MOVIMIENTOS!$A$5:$A$1005&lt;&gt;"")*(MOVIMIENTOS!$A$5:$A$1005&lt;=$A417)*MOVIMIENTOS!$E$5:$E$1005)-SUMPRODUCT((MOVIMIENTOS!$B$5:$B$1005="TRASIEGO")*(MOVIMIENTOS!$C$5:$C$1005="C")*(MOVIMIENTOS!$D$5:$D$1005="jabas")*(MOVIMIENTOS!$A$5:$A$1005&lt;&gt;"")*(MOVIMIENTOS!$A$5:$A$1005&lt;=$A417)*MOVIMIENTOS!$E$5:$E$1005)-SUMPRODUCT((MOVIMIENTOS!$B$5:$B$1005="REGALO")*(MOVIMIENTOS!$C$5:$C$1005="C")*(MOVIMIENTOS!$D$5:$D$1005="jabas")*(MOVIMIENTOS!$A$5:$A$1005&lt;&gt;"")*(MOVIMIENTOS!$A$5:$A$1005&lt;=$A417)*MOVIMIENTOS!$E$5:$E$1005)-SUMPRODUCT((MOVIMIENTOS!$B$5:$B$1005="VENTA")*(MOVIMIENTOS!$C$5:$C$1005="C")*(MOVIMIENTOS!$D$5:$D$1005="jabas")*(MOVIMIENTOS!$A$5:$A$1005&lt;&gt;"")*(MOVIMIENTOS!$A$5:$A$1005&lt;=$A417)*MOVIMIENTOS!$E$5:$E$1005)+SUMPRODUCT((MOVIMIENTOS!$B$5:$B$1005="AJUSTE")*(MOVIMIENTOS!$C$5:$C$1005="C")*(MOVIMIENTOS!$D$5:$D$1005="jabas")*(MOVIMIENTOS!$A$5:$A$1005&lt;&gt;"")*(MOVIMIENTOS!$A$5:$A$1005&lt;=$A417)*MOVIMIENTOS!$E$5:$E$1005))</f>
        <v/>
      </c>
      <c r="E417" t="str">
        <f>IF($A417="","",SUMPRODUCT((MOVIMIENTOS!$B$5:$B$1005="SALDO INICIAL")*(MOVIMIENTOS!$C$5:$C$1005="M")*(MOVIMIENTOS!$D$5:$D$1005="jabas")*(MOVIMIENTOS!$A$5:$A$1005&lt;&gt;"")*(MOVIMIENTOS!$A$5:$A$1005&lt;=$A417)*MOVIMIENTOS!$E$5:$E$1005)+SUMPRODUCT((MOVIMIENTOS!$B$5:$B$1005="PROCESO")*(MOVIMIENTOS!$C$5:$C$1005="M")*(MOVIMIENTOS!$D$5:$D$1005="jabas")*(MOVIMIENTOS!$A$5:$A$1005&lt;&gt;"")*(MOVIMIENTOS!$A$5:$A$1005&lt;=$A417)*MOVIMIENTOS!$E$5:$E$1005)-SUMPRODUCT((MOVIMIENTOS!$B$5:$B$1005="ENVÍO A SUPESA")*(MOVIMIENTOS!$C$5:$C$1005="M")*(MOVIMIENTOS!$D$5:$D$1005="jabas")*(MOVIMIENTOS!$A$5:$A$1005&lt;&gt;"")*(MOVIMIENTOS!$A$5:$A$1005&lt;=$A417)*MOVIMIENTOS!$E$5:$E$1005)+SUMPRODUCT((MOVIMIENTOS!$B$5:$B$1005="DEVOLUCIÓN")*(MOVIMIENTOS!$C$5:$C$1005="M")*(MOVIMIENTOS!$D$5:$D$1005="jabas")*(MOVIMIENTOS!$A$5:$A$1005&lt;&gt;"")*(MOVIMIENTOS!$A$5:$A$1005&lt;=$A417)*MOVIMIENTOS!$E$5:$E$1005)-SUMPRODUCT((MOVIMIENTOS!$B$5:$B$1005="TRASIEGO")*(MOVIMIENTOS!$C$5:$C$1005="M")*(MOVIMIENTOS!$D$5:$D$1005="jabas")*(MOVIMIENTOS!$A$5:$A$1005&lt;&gt;"")*(MOVIMIENTOS!$A$5:$A$1005&lt;=$A417)*MOVIMIENTOS!$E$5:$E$1005)-SUMPRODUCT((MOVIMIENTOS!$B$5:$B$1005="REGALO")*(MOVIMIENTOS!$C$5:$C$1005="M")*(MOVIMIENTOS!$D$5:$D$1005="jabas")*(MOVIMIENTOS!$A$5:$A$1005&lt;&gt;"")*(MOVIMIENTOS!$A$5:$A$1005&lt;=$A417)*MOVIMIENTOS!$E$5:$E$1005)-SUMPRODUCT((MOVIMIENTOS!$B$5:$B$1005="VENTA")*(MOVIMIENTOS!$C$5:$C$1005="M")*(MOVIMIENTOS!$D$5:$D$1005="jabas")*(MOVIMIENTOS!$A$5:$A$1005&lt;&gt;"")*(MOVIMIENTOS!$A$5:$A$1005&lt;=$A417)*MOVIMIENTOS!$E$5:$E$1005)+SUMPRODUCT((MOVIMIENTOS!$B$5:$B$1005="AJUSTE")*(MOVIMIENTOS!$C$5:$C$1005="M")*(MOVIMIENTOS!$D$5:$D$1005="jabas")*(MOVIMIENTOS!$A$5:$A$1005&lt;&gt;"")*(MOVIMIENTOS!$A$5:$A$1005&lt;=$A417)*MOVIMIENTOS!$E$5:$E$1005))</f>
        <v/>
      </c>
      <c r="F417" s="62" t="str">
        <f>IF($A417="","",SUMPRODUCT((MOVIMIENTOS!$B$5:$B$1005="SALDO INICIAL")*(MOVIMIENTOS!$C$5:$C$1005="Chancho")*(MOVIMIENTOS!$D$5:$D$1005="sacos")*(MOVIMIENTOS!$A$5:$A$1005&lt;&gt;"")*(MOVIMIENTOS!$A$5:$A$1005&lt;=$A417)*MOVIMIENTOS!$E$5:$E$1005)+SUMPRODUCT((MOVIMIENTOS!$B$5:$B$1005="PROCESO")*(MOVIMIENTOS!$C$5:$C$1005="Chancho")*(MOVIMIENTOS!$D$5:$D$1005="sacos")*(MOVIMIENTOS!$A$5:$A$1005&lt;&gt;"")*(MOVIMIENTOS!$A$5:$A$1005&lt;=$A417)*MOVIMIENTOS!$E$5:$E$1005)-SUMPRODUCT((MOVIMIENTOS!$B$5:$B$1005="VENTA CHANCHO")*(MOVIMIENTOS!$C$5:$C$1005="Chancho")*(MOVIMIENTOS!$D$5:$D$1005="sacos")*(MOVIMIENTOS!$A$5:$A$1005&lt;&gt;"")*(MOVIMIENTOS!$A$5:$A$1005&lt;=$A417)*MOVIMIENTOS!$E$5:$E$1005)-SUMPRODUCT((MOVIMIENTOS!$B$5:$B$1005="REGALO")*(MOVIMIENTOS!$C$5:$C$1005="Chancho")*(MOVIMIENTOS!$D$5:$D$1005="sacos")*(MOVIMIENTOS!$A$5:$A$1005&lt;&gt;"")*(MOVIMIENTOS!$A$5:$A$1005&lt;=$A417)*MOVIMIENTOS!$E$5:$E$1005)-SUMPRODUCT((MOVIMIENTOS!$B$5:$B$1005="VENTA")*(MOVIMIENTOS!$C$5:$C$1005="Chancho")*(MOVIMIENTOS!$D$5:$D$1005="sacos")*(MOVIMIENTOS!$A$5:$A$1005&lt;&gt;"")*(MOVIMIENTOS!$A$5:$A$1005&lt;=$A417)*MOVIMIENTOS!$E$5:$E$1005)+SUMPRODUCT((MOVIMIENTOS!$B$5:$B$1005="AJUSTE")*(MOVIMIENTOS!$C$5:$C$1005="Chancho")*(MOVIMIENTOS!$D$5:$D$1005="sacos")*(MOVIMIENTOS!$A$5:$A$1005&lt;&gt;"")*(MOVIMIENTOS!$A$5:$A$1005&lt;=$A417)*MOVIMIENTOS!$E$5:$E$1005))</f>
        <v/>
      </c>
      <c r="G417" s="62" t="str">
        <f t="shared" si="13"/>
        <v/>
      </c>
      <c r="H417" t="str">
        <f>IF($A417="","",SUMPRODUCT((((MOVIMIENTOS!$B$5:$B$1005="SALDO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417)*MOVIMIENTOS!$J$5:$J$1005))</f>
        <v/>
      </c>
      <c r="J417" t="str">
        <f>IF(AND(MOVIMIENTOS!$A420&lt;&gt;"",COUNTIF(MOVIMIENTOS!$A$5:$A419,MOVIMIENTOS!$A420)=0),COUNT(J$4:J416)+1,"")</f>
        <v/>
      </c>
      <c r="K417" s="67">
        <f>MOVIMIENTOS!$A420</f>
        <v>46249</v>
      </c>
    </row>
    <row r="418" spans="1:11" ht="15" customHeight="1" x14ac:dyDescent="0.2">
      <c r="A418" t="str">
        <f t="shared" si="12"/>
        <v/>
      </c>
      <c r="B418" t="str">
        <f>IF($A418="","",SUMPRODUCT((MOVIMIENTOS!$B$5:$B$1005="SALDO INICIAL")*(MOVIMIENTOS!$C$5:$C$1005="A")*(MOVIMIENTOS!$D$5:$D$1005="jabas")*(MOVIMIENTOS!$A$5:$A$1005&lt;&gt;"")*(MOVIMIENTOS!$A$5:$A$1005&lt;=$A418)*MOVIMIENTOS!$E$5:$E$1005)+SUMPRODUCT((MOVIMIENTOS!$B$5:$B$1005="PROCESO")*(MOVIMIENTOS!$C$5:$C$1005="A")*(MOVIMIENTOS!$D$5:$D$1005="jabas")*(MOVIMIENTOS!$A$5:$A$1005&lt;&gt;"")*(MOVIMIENTOS!$A$5:$A$1005&lt;=$A418)*MOVIMIENTOS!$E$5:$E$1005)-SUMPRODUCT((MOVIMIENTOS!$B$5:$B$1005="ENVÍO A SUPESA")*(MOVIMIENTOS!$C$5:$C$1005="A")*(MOVIMIENTOS!$D$5:$D$1005="jabas")*(MOVIMIENTOS!$A$5:$A$1005&lt;&gt;"")*(MOVIMIENTOS!$A$5:$A$1005&lt;=$A418)*MOVIMIENTOS!$E$5:$E$1005)+SUMPRODUCT((MOVIMIENTOS!$B$5:$B$1005="DEVOLUCIÓN")*(MOVIMIENTOS!$C$5:$C$1005="A")*(MOVIMIENTOS!$D$5:$D$1005="jabas")*(MOVIMIENTOS!$A$5:$A$1005&lt;&gt;"")*(MOVIMIENTOS!$A$5:$A$1005&lt;=$A418)*MOVIMIENTOS!$E$5:$E$1005)-SUMPRODUCT((MOVIMIENTOS!$B$5:$B$1005="TRASIEGO")*(MOVIMIENTOS!$C$5:$C$1005="A")*(MOVIMIENTOS!$D$5:$D$1005="jabas")*(MOVIMIENTOS!$A$5:$A$1005&lt;&gt;"")*(MOVIMIENTOS!$A$5:$A$1005&lt;=$A418)*MOVIMIENTOS!$E$5:$E$1005)-SUMPRODUCT((MOVIMIENTOS!$B$5:$B$1005="REGALO")*(MOVIMIENTOS!$C$5:$C$1005="A")*(MOVIMIENTOS!$D$5:$D$1005="jabas")*(MOVIMIENTOS!$A$5:$A$1005&lt;&gt;"")*(MOVIMIENTOS!$A$5:$A$1005&lt;=$A418)*MOVIMIENTOS!$E$5:$E$1005)-SUMPRODUCT((MOVIMIENTOS!$B$5:$B$1005="VENTA")*(MOVIMIENTOS!$C$5:$C$1005="A")*(MOVIMIENTOS!$D$5:$D$1005="jabas")*(MOVIMIENTOS!$A$5:$A$1005&lt;&gt;"")*(MOVIMIENTOS!$A$5:$A$1005&lt;=$A418)*MOVIMIENTOS!$E$5:$E$1005)+SUMPRODUCT((MOVIMIENTOS!$B$5:$B$1005="AJUSTE")*(MOVIMIENTOS!$C$5:$C$1005="A")*(MOVIMIENTOS!$D$5:$D$1005="jabas")*(MOVIMIENTOS!$A$5:$A$1005&lt;&gt;"")*(MOVIMIENTOS!$A$5:$A$1005&lt;=$A418)*MOVIMIENTOS!$E$5:$E$1005))</f>
        <v/>
      </c>
      <c r="C418" t="str">
        <f>IF($A418="","",SUMPRODUCT((MOVIMIENTOS!$B$5:$B$1005="SALDO INICIAL")*(MOVIMIENTOS!$C$5:$C$1005="P")*(MOVIMIENTOS!$D$5:$D$1005="jabas")*(MOVIMIENTOS!$A$5:$A$1005&lt;&gt;"")*(MOVIMIENTOS!$A$5:$A$1005&lt;=$A418)*MOVIMIENTOS!$E$5:$E$1005)+SUMPRODUCT((MOVIMIENTOS!$B$5:$B$1005="PROCESO")*(MOVIMIENTOS!$C$5:$C$1005="P")*(MOVIMIENTOS!$D$5:$D$1005="jabas")*(MOVIMIENTOS!$A$5:$A$1005&lt;&gt;"")*(MOVIMIENTOS!$A$5:$A$1005&lt;=$A418)*MOVIMIENTOS!$E$5:$E$1005)-SUMPRODUCT((MOVIMIENTOS!$B$5:$B$1005="ENVÍO A SUPESA")*(MOVIMIENTOS!$C$5:$C$1005="P")*(MOVIMIENTOS!$D$5:$D$1005="jabas")*(MOVIMIENTOS!$A$5:$A$1005&lt;&gt;"")*(MOVIMIENTOS!$A$5:$A$1005&lt;=$A418)*MOVIMIENTOS!$E$5:$E$1005)+SUMPRODUCT((MOVIMIENTOS!$B$5:$B$1005="DEVOLUCIÓN")*(MOVIMIENTOS!$C$5:$C$1005="P")*(MOVIMIENTOS!$D$5:$D$1005="jabas")*(MOVIMIENTOS!$A$5:$A$1005&lt;&gt;"")*(MOVIMIENTOS!$A$5:$A$1005&lt;=$A418)*MOVIMIENTOS!$E$5:$E$1005)-SUMPRODUCT((MOVIMIENTOS!$B$5:$B$1005="TRASIEGO")*(MOVIMIENTOS!$C$5:$C$1005="P")*(MOVIMIENTOS!$D$5:$D$1005="jabas")*(MOVIMIENTOS!$A$5:$A$1005&lt;&gt;"")*(MOVIMIENTOS!$A$5:$A$1005&lt;=$A418)*MOVIMIENTOS!$E$5:$E$1005)-SUMPRODUCT((MOVIMIENTOS!$B$5:$B$1005="REGALO")*(MOVIMIENTOS!$C$5:$C$1005="P")*(MOVIMIENTOS!$D$5:$D$1005="jabas")*(MOVIMIENTOS!$A$5:$A$1005&lt;&gt;"")*(MOVIMIENTOS!$A$5:$A$1005&lt;=$A418)*MOVIMIENTOS!$E$5:$E$1005)-SUMPRODUCT((MOVIMIENTOS!$B$5:$B$1005="VENTA")*(MOVIMIENTOS!$C$5:$C$1005="P")*(MOVIMIENTOS!$D$5:$D$1005="jabas")*(MOVIMIENTOS!$A$5:$A$1005&lt;&gt;"")*(MOVIMIENTOS!$A$5:$A$1005&lt;=$A418)*MOVIMIENTOS!$E$5:$E$1005)+SUMPRODUCT((MOVIMIENTOS!$B$5:$B$1005="AJUSTE")*(MOVIMIENTOS!$C$5:$C$1005="P")*(MOVIMIENTOS!$D$5:$D$1005="jabas")*(MOVIMIENTOS!$A$5:$A$1005&lt;&gt;"")*(MOVIMIENTOS!$A$5:$A$1005&lt;=$A418)*MOVIMIENTOS!$E$5:$E$1005))</f>
        <v/>
      </c>
      <c r="D418" t="str">
        <f>IF($A418="","",SUMPRODUCT((MOVIMIENTOS!$B$5:$B$1005="SALDO INICIAL")*(MOVIMIENTOS!$C$5:$C$1005="C")*(MOVIMIENTOS!$D$5:$D$1005="jabas")*(MOVIMIENTOS!$A$5:$A$1005&lt;&gt;"")*(MOVIMIENTOS!$A$5:$A$1005&lt;=$A418)*MOVIMIENTOS!$E$5:$E$1005)+SUMPRODUCT((MOVIMIENTOS!$B$5:$B$1005="PROCESO")*(MOVIMIENTOS!$C$5:$C$1005="C")*(MOVIMIENTOS!$D$5:$D$1005="jabas")*(MOVIMIENTOS!$A$5:$A$1005&lt;&gt;"")*(MOVIMIENTOS!$A$5:$A$1005&lt;=$A418)*MOVIMIENTOS!$E$5:$E$1005)-SUMPRODUCT((MOVIMIENTOS!$B$5:$B$1005="ENVÍO A SUPESA")*(MOVIMIENTOS!$C$5:$C$1005="C")*(MOVIMIENTOS!$D$5:$D$1005="jabas")*(MOVIMIENTOS!$A$5:$A$1005&lt;&gt;"")*(MOVIMIENTOS!$A$5:$A$1005&lt;=$A418)*MOVIMIENTOS!$E$5:$E$1005)+SUMPRODUCT((MOVIMIENTOS!$B$5:$B$1005="DEVOLUCIÓN")*(MOVIMIENTOS!$C$5:$C$1005="C")*(MOVIMIENTOS!$D$5:$D$1005="jabas")*(MOVIMIENTOS!$A$5:$A$1005&lt;&gt;"")*(MOVIMIENTOS!$A$5:$A$1005&lt;=$A418)*MOVIMIENTOS!$E$5:$E$1005)-SUMPRODUCT((MOVIMIENTOS!$B$5:$B$1005="TRASIEGO")*(MOVIMIENTOS!$C$5:$C$1005="C")*(MOVIMIENTOS!$D$5:$D$1005="jabas")*(MOVIMIENTOS!$A$5:$A$1005&lt;&gt;"")*(MOVIMIENTOS!$A$5:$A$1005&lt;=$A418)*MOVIMIENTOS!$E$5:$E$1005)-SUMPRODUCT((MOVIMIENTOS!$B$5:$B$1005="REGALO")*(MOVIMIENTOS!$C$5:$C$1005="C")*(MOVIMIENTOS!$D$5:$D$1005="jabas")*(MOVIMIENTOS!$A$5:$A$1005&lt;&gt;"")*(MOVIMIENTOS!$A$5:$A$1005&lt;=$A418)*MOVIMIENTOS!$E$5:$E$1005)-SUMPRODUCT((MOVIMIENTOS!$B$5:$B$1005="VENTA")*(MOVIMIENTOS!$C$5:$C$1005="C")*(MOVIMIENTOS!$D$5:$D$1005="jabas")*(MOVIMIENTOS!$A$5:$A$1005&lt;&gt;"")*(MOVIMIENTOS!$A$5:$A$1005&lt;=$A418)*MOVIMIENTOS!$E$5:$E$1005)+SUMPRODUCT((MOVIMIENTOS!$B$5:$B$1005="AJUSTE")*(MOVIMIENTOS!$C$5:$C$1005="C")*(MOVIMIENTOS!$D$5:$D$1005="jabas")*(MOVIMIENTOS!$A$5:$A$1005&lt;&gt;"")*(MOVIMIENTOS!$A$5:$A$1005&lt;=$A418)*MOVIMIENTOS!$E$5:$E$1005))</f>
        <v/>
      </c>
      <c r="E418" t="str">
        <f>IF($A418="","",SUMPRODUCT((MOVIMIENTOS!$B$5:$B$1005="SALDO INICIAL")*(MOVIMIENTOS!$C$5:$C$1005="M")*(MOVIMIENTOS!$D$5:$D$1005="jabas")*(MOVIMIENTOS!$A$5:$A$1005&lt;&gt;"")*(MOVIMIENTOS!$A$5:$A$1005&lt;=$A418)*MOVIMIENTOS!$E$5:$E$1005)+SUMPRODUCT((MOVIMIENTOS!$B$5:$B$1005="PROCESO")*(MOVIMIENTOS!$C$5:$C$1005="M")*(MOVIMIENTOS!$D$5:$D$1005="jabas")*(MOVIMIENTOS!$A$5:$A$1005&lt;&gt;"")*(MOVIMIENTOS!$A$5:$A$1005&lt;=$A418)*MOVIMIENTOS!$E$5:$E$1005)-SUMPRODUCT((MOVIMIENTOS!$B$5:$B$1005="ENVÍO A SUPESA")*(MOVIMIENTOS!$C$5:$C$1005="M")*(MOVIMIENTOS!$D$5:$D$1005="jabas")*(MOVIMIENTOS!$A$5:$A$1005&lt;&gt;"")*(MOVIMIENTOS!$A$5:$A$1005&lt;=$A418)*MOVIMIENTOS!$E$5:$E$1005)+SUMPRODUCT((MOVIMIENTOS!$B$5:$B$1005="DEVOLUCIÓN")*(MOVIMIENTOS!$C$5:$C$1005="M")*(MOVIMIENTOS!$D$5:$D$1005="jabas")*(MOVIMIENTOS!$A$5:$A$1005&lt;&gt;"")*(MOVIMIENTOS!$A$5:$A$1005&lt;=$A418)*MOVIMIENTOS!$E$5:$E$1005)-SUMPRODUCT((MOVIMIENTOS!$B$5:$B$1005="TRASIEGO")*(MOVIMIENTOS!$C$5:$C$1005="M")*(MOVIMIENTOS!$D$5:$D$1005="jabas")*(MOVIMIENTOS!$A$5:$A$1005&lt;&gt;"")*(MOVIMIENTOS!$A$5:$A$1005&lt;=$A418)*MOVIMIENTOS!$E$5:$E$1005)-SUMPRODUCT((MOVIMIENTOS!$B$5:$B$1005="REGALO")*(MOVIMIENTOS!$C$5:$C$1005="M")*(MOVIMIENTOS!$D$5:$D$1005="jabas")*(MOVIMIENTOS!$A$5:$A$1005&lt;&gt;"")*(MOVIMIENTOS!$A$5:$A$1005&lt;=$A418)*MOVIMIENTOS!$E$5:$E$1005)-SUMPRODUCT((MOVIMIENTOS!$B$5:$B$1005="VENTA")*(MOVIMIENTOS!$C$5:$C$1005="M")*(MOVIMIENTOS!$D$5:$D$1005="jabas")*(MOVIMIENTOS!$A$5:$A$1005&lt;&gt;"")*(MOVIMIENTOS!$A$5:$A$1005&lt;=$A418)*MOVIMIENTOS!$E$5:$E$1005)+SUMPRODUCT((MOVIMIENTOS!$B$5:$B$1005="AJUSTE")*(MOVIMIENTOS!$C$5:$C$1005="M")*(MOVIMIENTOS!$D$5:$D$1005="jabas")*(MOVIMIENTOS!$A$5:$A$1005&lt;&gt;"")*(MOVIMIENTOS!$A$5:$A$1005&lt;=$A418)*MOVIMIENTOS!$E$5:$E$1005))</f>
        <v/>
      </c>
      <c r="F418" s="62" t="str">
        <f>IF($A418="","",SUMPRODUCT((MOVIMIENTOS!$B$5:$B$1005="SALDO INICIAL")*(MOVIMIENTOS!$C$5:$C$1005="Chancho")*(MOVIMIENTOS!$D$5:$D$1005="sacos")*(MOVIMIENTOS!$A$5:$A$1005&lt;&gt;"")*(MOVIMIENTOS!$A$5:$A$1005&lt;=$A418)*MOVIMIENTOS!$E$5:$E$1005)+SUMPRODUCT((MOVIMIENTOS!$B$5:$B$1005="PROCESO")*(MOVIMIENTOS!$C$5:$C$1005="Chancho")*(MOVIMIENTOS!$D$5:$D$1005="sacos")*(MOVIMIENTOS!$A$5:$A$1005&lt;&gt;"")*(MOVIMIENTOS!$A$5:$A$1005&lt;=$A418)*MOVIMIENTOS!$E$5:$E$1005)-SUMPRODUCT((MOVIMIENTOS!$B$5:$B$1005="VENTA CHANCHO")*(MOVIMIENTOS!$C$5:$C$1005="Chancho")*(MOVIMIENTOS!$D$5:$D$1005="sacos")*(MOVIMIENTOS!$A$5:$A$1005&lt;&gt;"")*(MOVIMIENTOS!$A$5:$A$1005&lt;=$A418)*MOVIMIENTOS!$E$5:$E$1005)-SUMPRODUCT((MOVIMIENTOS!$B$5:$B$1005="REGALO")*(MOVIMIENTOS!$C$5:$C$1005="Chancho")*(MOVIMIENTOS!$D$5:$D$1005="sacos")*(MOVIMIENTOS!$A$5:$A$1005&lt;&gt;"")*(MOVIMIENTOS!$A$5:$A$1005&lt;=$A418)*MOVIMIENTOS!$E$5:$E$1005)-SUMPRODUCT((MOVIMIENTOS!$B$5:$B$1005="VENTA")*(MOVIMIENTOS!$C$5:$C$1005="Chancho")*(MOVIMIENTOS!$D$5:$D$1005="sacos")*(MOVIMIENTOS!$A$5:$A$1005&lt;&gt;"")*(MOVIMIENTOS!$A$5:$A$1005&lt;=$A418)*MOVIMIENTOS!$E$5:$E$1005)+SUMPRODUCT((MOVIMIENTOS!$B$5:$B$1005="AJUSTE")*(MOVIMIENTOS!$C$5:$C$1005="Chancho")*(MOVIMIENTOS!$D$5:$D$1005="sacos")*(MOVIMIENTOS!$A$5:$A$1005&lt;&gt;"")*(MOVIMIENTOS!$A$5:$A$1005&lt;=$A418)*MOVIMIENTOS!$E$5:$E$1005))</f>
        <v/>
      </c>
      <c r="G418" s="62" t="str">
        <f t="shared" si="13"/>
        <v/>
      </c>
      <c r="H418" t="str">
        <f>IF($A418="","",SUMPRODUCT((((MOVIMIENTOS!$B$5:$B$1005="SALDO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418)*MOVIMIENTOS!$J$5:$J$1005))</f>
        <v/>
      </c>
      <c r="J418" t="str">
        <f>IF(AND(MOVIMIENTOS!$A421&lt;&gt;"",COUNTIF(MOVIMIENTOS!$A$5:$A420,MOVIMIENTOS!$A421)=0),COUNT(J$4:J417)+1,"")</f>
        <v/>
      </c>
      <c r="K418" s="67">
        <f>MOVIMIENTOS!$A421</f>
        <v>46249</v>
      </c>
    </row>
    <row r="419" spans="1:11" ht="15" customHeight="1" x14ac:dyDescent="0.2">
      <c r="A419" t="str">
        <f t="shared" si="12"/>
        <v/>
      </c>
      <c r="B419" t="str">
        <f>IF($A419="","",SUMPRODUCT((MOVIMIENTOS!$B$5:$B$1005="SALDO INICIAL")*(MOVIMIENTOS!$C$5:$C$1005="A")*(MOVIMIENTOS!$D$5:$D$1005="jabas")*(MOVIMIENTOS!$A$5:$A$1005&lt;&gt;"")*(MOVIMIENTOS!$A$5:$A$1005&lt;=$A419)*MOVIMIENTOS!$E$5:$E$1005)+SUMPRODUCT((MOVIMIENTOS!$B$5:$B$1005="PROCESO")*(MOVIMIENTOS!$C$5:$C$1005="A")*(MOVIMIENTOS!$D$5:$D$1005="jabas")*(MOVIMIENTOS!$A$5:$A$1005&lt;&gt;"")*(MOVIMIENTOS!$A$5:$A$1005&lt;=$A419)*MOVIMIENTOS!$E$5:$E$1005)-SUMPRODUCT((MOVIMIENTOS!$B$5:$B$1005="ENVÍO A SUPESA")*(MOVIMIENTOS!$C$5:$C$1005="A")*(MOVIMIENTOS!$D$5:$D$1005="jabas")*(MOVIMIENTOS!$A$5:$A$1005&lt;&gt;"")*(MOVIMIENTOS!$A$5:$A$1005&lt;=$A419)*MOVIMIENTOS!$E$5:$E$1005)+SUMPRODUCT((MOVIMIENTOS!$B$5:$B$1005="DEVOLUCIÓN")*(MOVIMIENTOS!$C$5:$C$1005="A")*(MOVIMIENTOS!$D$5:$D$1005="jabas")*(MOVIMIENTOS!$A$5:$A$1005&lt;&gt;"")*(MOVIMIENTOS!$A$5:$A$1005&lt;=$A419)*MOVIMIENTOS!$E$5:$E$1005)-SUMPRODUCT((MOVIMIENTOS!$B$5:$B$1005="TRASIEGO")*(MOVIMIENTOS!$C$5:$C$1005="A")*(MOVIMIENTOS!$D$5:$D$1005="jabas")*(MOVIMIENTOS!$A$5:$A$1005&lt;&gt;"")*(MOVIMIENTOS!$A$5:$A$1005&lt;=$A419)*MOVIMIENTOS!$E$5:$E$1005)-SUMPRODUCT((MOVIMIENTOS!$B$5:$B$1005="REGALO")*(MOVIMIENTOS!$C$5:$C$1005="A")*(MOVIMIENTOS!$D$5:$D$1005="jabas")*(MOVIMIENTOS!$A$5:$A$1005&lt;&gt;"")*(MOVIMIENTOS!$A$5:$A$1005&lt;=$A419)*MOVIMIENTOS!$E$5:$E$1005)-SUMPRODUCT((MOVIMIENTOS!$B$5:$B$1005="VENTA")*(MOVIMIENTOS!$C$5:$C$1005="A")*(MOVIMIENTOS!$D$5:$D$1005="jabas")*(MOVIMIENTOS!$A$5:$A$1005&lt;&gt;"")*(MOVIMIENTOS!$A$5:$A$1005&lt;=$A419)*MOVIMIENTOS!$E$5:$E$1005)+SUMPRODUCT((MOVIMIENTOS!$B$5:$B$1005="AJUSTE")*(MOVIMIENTOS!$C$5:$C$1005="A")*(MOVIMIENTOS!$D$5:$D$1005="jabas")*(MOVIMIENTOS!$A$5:$A$1005&lt;&gt;"")*(MOVIMIENTOS!$A$5:$A$1005&lt;=$A419)*MOVIMIENTOS!$E$5:$E$1005))</f>
        <v/>
      </c>
      <c r="C419" t="str">
        <f>IF($A419="","",SUMPRODUCT((MOVIMIENTOS!$B$5:$B$1005="SALDO INICIAL")*(MOVIMIENTOS!$C$5:$C$1005="P")*(MOVIMIENTOS!$D$5:$D$1005="jabas")*(MOVIMIENTOS!$A$5:$A$1005&lt;&gt;"")*(MOVIMIENTOS!$A$5:$A$1005&lt;=$A419)*MOVIMIENTOS!$E$5:$E$1005)+SUMPRODUCT((MOVIMIENTOS!$B$5:$B$1005="PROCESO")*(MOVIMIENTOS!$C$5:$C$1005="P")*(MOVIMIENTOS!$D$5:$D$1005="jabas")*(MOVIMIENTOS!$A$5:$A$1005&lt;&gt;"")*(MOVIMIENTOS!$A$5:$A$1005&lt;=$A419)*MOVIMIENTOS!$E$5:$E$1005)-SUMPRODUCT((MOVIMIENTOS!$B$5:$B$1005="ENVÍO A SUPESA")*(MOVIMIENTOS!$C$5:$C$1005="P")*(MOVIMIENTOS!$D$5:$D$1005="jabas")*(MOVIMIENTOS!$A$5:$A$1005&lt;&gt;"")*(MOVIMIENTOS!$A$5:$A$1005&lt;=$A419)*MOVIMIENTOS!$E$5:$E$1005)+SUMPRODUCT((MOVIMIENTOS!$B$5:$B$1005="DEVOLUCIÓN")*(MOVIMIENTOS!$C$5:$C$1005="P")*(MOVIMIENTOS!$D$5:$D$1005="jabas")*(MOVIMIENTOS!$A$5:$A$1005&lt;&gt;"")*(MOVIMIENTOS!$A$5:$A$1005&lt;=$A419)*MOVIMIENTOS!$E$5:$E$1005)-SUMPRODUCT((MOVIMIENTOS!$B$5:$B$1005="TRASIEGO")*(MOVIMIENTOS!$C$5:$C$1005="P")*(MOVIMIENTOS!$D$5:$D$1005="jabas")*(MOVIMIENTOS!$A$5:$A$1005&lt;&gt;"")*(MOVIMIENTOS!$A$5:$A$1005&lt;=$A419)*MOVIMIENTOS!$E$5:$E$1005)-SUMPRODUCT((MOVIMIENTOS!$B$5:$B$1005="REGALO")*(MOVIMIENTOS!$C$5:$C$1005="P")*(MOVIMIENTOS!$D$5:$D$1005="jabas")*(MOVIMIENTOS!$A$5:$A$1005&lt;&gt;"")*(MOVIMIENTOS!$A$5:$A$1005&lt;=$A419)*MOVIMIENTOS!$E$5:$E$1005)-SUMPRODUCT((MOVIMIENTOS!$B$5:$B$1005="VENTA")*(MOVIMIENTOS!$C$5:$C$1005="P")*(MOVIMIENTOS!$D$5:$D$1005="jabas")*(MOVIMIENTOS!$A$5:$A$1005&lt;&gt;"")*(MOVIMIENTOS!$A$5:$A$1005&lt;=$A419)*MOVIMIENTOS!$E$5:$E$1005)+SUMPRODUCT((MOVIMIENTOS!$B$5:$B$1005="AJUSTE")*(MOVIMIENTOS!$C$5:$C$1005="P")*(MOVIMIENTOS!$D$5:$D$1005="jabas")*(MOVIMIENTOS!$A$5:$A$1005&lt;&gt;"")*(MOVIMIENTOS!$A$5:$A$1005&lt;=$A419)*MOVIMIENTOS!$E$5:$E$1005))</f>
        <v/>
      </c>
      <c r="D419" t="str">
        <f>IF($A419="","",SUMPRODUCT((MOVIMIENTOS!$B$5:$B$1005="SALDO INICIAL")*(MOVIMIENTOS!$C$5:$C$1005="C")*(MOVIMIENTOS!$D$5:$D$1005="jabas")*(MOVIMIENTOS!$A$5:$A$1005&lt;&gt;"")*(MOVIMIENTOS!$A$5:$A$1005&lt;=$A419)*MOVIMIENTOS!$E$5:$E$1005)+SUMPRODUCT((MOVIMIENTOS!$B$5:$B$1005="PROCESO")*(MOVIMIENTOS!$C$5:$C$1005="C")*(MOVIMIENTOS!$D$5:$D$1005="jabas")*(MOVIMIENTOS!$A$5:$A$1005&lt;&gt;"")*(MOVIMIENTOS!$A$5:$A$1005&lt;=$A419)*MOVIMIENTOS!$E$5:$E$1005)-SUMPRODUCT((MOVIMIENTOS!$B$5:$B$1005="ENVÍO A SUPESA")*(MOVIMIENTOS!$C$5:$C$1005="C")*(MOVIMIENTOS!$D$5:$D$1005="jabas")*(MOVIMIENTOS!$A$5:$A$1005&lt;&gt;"")*(MOVIMIENTOS!$A$5:$A$1005&lt;=$A419)*MOVIMIENTOS!$E$5:$E$1005)+SUMPRODUCT((MOVIMIENTOS!$B$5:$B$1005="DEVOLUCIÓN")*(MOVIMIENTOS!$C$5:$C$1005="C")*(MOVIMIENTOS!$D$5:$D$1005="jabas")*(MOVIMIENTOS!$A$5:$A$1005&lt;&gt;"")*(MOVIMIENTOS!$A$5:$A$1005&lt;=$A419)*MOVIMIENTOS!$E$5:$E$1005)-SUMPRODUCT((MOVIMIENTOS!$B$5:$B$1005="TRASIEGO")*(MOVIMIENTOS!$C$5:$C$1005="C")*(MOVIMIENTOS!$D$5:$D$1005="jabas")*(MOVIMIENTOS!$A$5:$A$1005&lt;&gt;"")*(MOVIMIENTOS!$A$5:$A$1005&lt;=$A419)*MOVIMIENTOS!$E$5:$E$1005)-SUMPRODUCT((MOVIMIENTOS!$B$5:$B$1005="REGALO")*(MOVIMIENTOS!$C$5:$C$1005="C")*(MOVIMIENTOS!$D$5:$D$1005="jabas")*(MOVIMIENTOS!$A$5:$A$1005&lt;&gt;"")*(MOVIMIENTOS!$A$5:$A$1005&lt;=$A419)*MOVIMIENTOS!$E$5:$E$1005)-SUMPRODUCT((MOVIMIENTOS!$B$5:$B$1005="VENTA")*(MOVIMIENTOS!$C$5:$C$1005="C")*(MOVIMIENTOS!$D$5:$D$1005="jabas")*(MOVIMIENTOS!$A$5:$A$1005&lt;&gt;"")*(MOVIMIENTOS!$A$5:$A$1005&lt;=$A419)*MOVIMIENTOS!$E$5:$E$1005)+SUMPRODUCT((MOVIMIENTOS!$B$5:$B$1005="AJUSTE")*(MOVIMIENTOS!$C$5:$C$1005="C")*(MOVIMIENTOS!$D$5:$D$1005="jabas")*(MOVIMIENTOS!$A$5:$A$1005&lt;&gt;"")*(MOVIMIENTOS!$A$5:$A$1005&lt;=$A419)*MOVIMIENTOS!$E$5:$E$1005))</f>
        <v/>
      </c>
      <c r="E419" t="str">
        <f>IF($A419="","",SUMPRODUCT((MOVIMIENTOS!$B$5:$B$1005="SALDO INICIAL")*(MOVIMIENTOS!$C$5:$C$1005="M")*(MOVIMIENTOS!$D$5:$D$1005="jabas")*(MOVIMIENTOS!$A$5:$A$1005&lt;&gt;"")*(MOVIMIENTOS!$A$5:$A$1005&lt;=$A419)*MOVIMIENTOS!$E$5:$E$1005)+SUMPRODUCT((MOVIMIENTOS!$B$5:$B$1005="PROCESO")*(MOVIMIENTOS!$C$5:$C$1005="M")*(MOVIMIENTOS!$D$5:$D$1005="jabas")*(MOVIMIENTOS!$A$5:$A$1005&lt;&gt;"")*(MOVIMIENTOS!$A$5:$A$1005&lt;=$A419)*MOVIMIENTOS!$E$5:$E$1005)-SUMPRODUCT((MOVIMIENTOS!$B$5:$B$1005="ENVÍO A SUPESA")*(MOVIMIENTOS!$C$5:$C$1005="M")*(MOVIMIENTOS!$D$5:$D$1005="jabas")*(MOVIMIENTOS!$A$5:$A$1005&lt;&gt;"")*(MOVIMIENTOS!$A$5:$A$1005&lt;=$A419)*MOVIMIENTOS!$E$5:$E$1005)+SUMPRODUCT((MOVIMIENTOS!$B$5:$B$1005="DEVOLUCIÓN")*(MOVIMIENTOS!$C$5:$C$1005="M")*(MOVIMIENTOS!$D$5:$D$1005="jabas")*(MOVIMIENTOS!$A$5:$A$1005&lt;&gt;"")*(MOVIMIENTOS!$A$5:$A$1005&lt;=$A419)*MOVIMIENTOS!$E$5:$E$1005)-SUMPRODUCT((MOVIMIENTOS!$B$5:$B$1005="TRASIEGO")*(MOVIMIENTOS!$C$5:$C$1005="M")*(MOVIMIENTOS!$D$5:$D$1005="jabas")*(MOVIMIENTOS!$A$5:$A$1005&lt;&gt;"")*(MOVIMIENTOS!$A$5:$A$1005&lt;=$A419)*MOVIMIENTOS!$E$5:$E$1005)-SUMPRODUCT((MOVIMIENTOS!$B$5:$B$1005="REGALO")*(MOVIMIENTOS!$C$5:$C$1005="M")*(MOVIMIENTOS!$D$5:$D$1005="jabas")*(MOVIMIENTOS!$A$5:$A$1005&lt;&gt;"")*(MOVIMIENTOS!$A$5:$A$1005&lt;=$A419)*MOVIMIENTOS!$E$5:$E$1005)-SUMPRODUCT((MOVIMIENTOS!$B$5:$B$1005="VENTA")*(MOVIMIENTOS!$C$5:$C$1005="M")*(MOVIMIENTOS!$D$5:$D$1005="jabas")*(MOVIMIENTOS!$A$5:$A$1005&lt;&gt;"")*(MOVIMIENTOS!$A$5:$A$1005&lt;=$A419)*MOVIMIENTOS!$E$5:$E$1005)+SUMPRODUCT((MOVIMIENTOS!$B$5:$B$1005="AJUSTE")*(MOVIMIENTOS!$C$5:$C$1005="M")*(MOVIMIENTOS!$D$5:$D$1005="jabas")*(MOVIMIENTOS!$A$5:$A$1005&lt;&gt;"")*(MOVIMIENTOS!$A$5:$A$1005&lt;=$A419)*MOVIMIENTOS!$E$5:$E$1005))</f>
        <v/>
      </c>
      <c r="F419" s="62" t="str">
        <f>IF($A419="","",SUMPRODUCT((MOVIMIENTOS!$B$5:$B$1005="SALDO INICIAL")*(MOVIMIENTOS!$C$5:$C$1005="Chancho")*(MOVIMIENTOS!$D$5:$D$1005="sacos")*(MOVIMIENTOS!$A$5:$A$1005&lt;&gt;"")*(MOVIMIENTOS!$A$5:$A$1005&lt;=$A419)*MOVIMIENTOS!$E$5:$E$1005)+SUMPRODUCT((MOVIMIENTOS!$B$5:$B$1005="PROCESO")*(MOVIMIENTOS!$C$5:$C$1005="Chancho")*(MOVIMIENTOS!$D$5:$D$1005="sacos")*(MOVIMIENTOS!$A$5:$A$1005&lt;&gt;"")*(MOVIMIENTOS!$A$5:$A$1005&lt;=$A419)*MOVIMIENTOS!$E$5:$E$1005)-SUMPRODUCT((MOVIMIENTOS!$B$5:$B$1005="VENTA CHANCHO")*(MOVIMIENTOS!$C$5:$C$1005="Chancho")*(MOVIMIENTOS!$D$5:$D$1005="sacos")*(MOVIMIENTOS!$A$5:$A$1005&lt;&gt;"")*(MOVIMIENTOS!$A$5:$A$1005&lt;=$A419)*MOVIMIENTOS!$E$5:$E$1005)-SUMPRODUCT((MOVIMIENTOS!$B$5:$B$1005="REGALO")*(MOVIMIENTOS!$C$5:$C$1005="Chancho")*(MOVIMIENTOS!$D$5:$D$1005="sacos")*(MOVIMIENTOS!$A$5:$A$1005&lt;&gt;"")*(MOVIMIENTOS!$A$5:$A$1005&lt;=$A419)*MOVIMIENTOS!$E$5:$E$1005)-SUMPRODUCT((MOVIMIENTOS!$B$5:$B$1005="VENTA")*(MOVIMIENTOS!$C$5:$C$1005="Chancho")*(MOVIMIENTOS!$D$5:$D$1005="sacos")*(MOVIMIENTOS!$A$5:$A$1005&lt;&gt;"")*(MOVIMIENTOS!$A$5:$A$1005&lt;=$A419)*MOVIMIENTOS!$E$5:$E$1005)+SUMPRODUCT((MOVIMIENTOS!$B$5:$B$1005="AJUSTE")*(MOVIMIENTOS!$C$5:$C$1005="Chancho")*(MOVIMIENTOS!$D$5:$D$1005="sacos")*(MOVIMIENTOS!$A$5:$A$1005&lt;&gt;"")*(MOVIMIENTOS!$A$5:$A$1005&lt;=$A419)*MOVIMIENTOS!$E$5:$E$1005))</f>
        <v/>
      </c>
      <c r="G419" s="62" t="str">
        <f t="shared" si="13"/>
        <v/>
      </c>
      <c r="H419" t="str">
        <f>IF($A419="","",SUMPRODUCT((((MOVIMIENTOS!$B$5:$B$1005="SALDO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419)*MOVIMIENTOS!$J$5:$J$1005))</f>
        <v/>
      </c>
      <c r="J419">
        <f>IF(AND(MOVIMIENTOS!$A422&lt;&gt;"",COUNTIF(MOVIMIENTOS!$A$5:$A421,MOVIMIENTOS!$A422)=0),COUNT(J$4:J418)+1,"")</f>
        <v>37</v>
      </c>
      <c r="K419" s="67">
        <f>MOVIMIENTOS!$A422</f>
        <v>46250</v>
      </c>
    </row>
    <row r="420" spans="1:11" ht="15" customHeight="1" x14ac:dyDescent="0.2">
      <c r="A420" t="str">
        <f t="shared" si="12"/>
        <v/>
      </c>
      <c r="B420" t="str">
        <f>IF($A420="","",SUMPRODUCT((MOVIMIENTOS!$B$5:$B$1005="SALDO INICIAL")*(MOVIMIENTOS!$C$5:$C$1005="A")*(MOVIMIENTOS!$D$5:$D$1005="jabas")*(MOVIMIENTOS!$A$5:$A$1005&lt;&gt;"")*(MOVIMIENTOS!$A$5:$A$1005&lt;=$A420)*MOVIMIENTOS!$E$5:$E$1005)+SUMPRODUCT((MOVIMIENTOS!$B$5:$B$1005="PROCESO")*(MOVIMIENTOS!$C$5:$C$1005="A")*(MOVIMIENTOS!$D$5:$D$1005="jabas")*(MOVIMIENTOS!$A$5:$A$1005&lt;&gt;"")*(MOVIMIENTOS!$A$5:$A$1005&lt;=$A420)*MOVIMIENTOS!$E$5:$E$1005)-SUMPRODUCT((MOVIMIENTOS!$B$5:$B$1005="ENVÍO A SUPESA")*(MOVIMIENTOS!$C$5:$C$1005="A")*(MOVIMIENTOS!$D$5:$D$1005="jabas")*(MOVIMIENTOS!$A$5:$A$1005&lt;&gt;"")*(MOVIMIENTOS!$A$5:$A$1005&lt;=$A420)*MOVIMIENTOS!$E$5:$E$1005)+SUMPRODUCT((MOVIMIENTOS!$B$5:$B$1005="DEVOLUCIÓN")*(MOVIMIENTOS!$C$5:$C$1005="A")*(MOVIMIENTOS!$D$5:$D$1005="jabas")*(MOVIMIENTOS!$A$5:$A$1005&lt;&gt;"")*(MOVIMIENTOS!$A$5:$A$1005&lt;=$A420)*MOVIMIENTOS!$E$5:$E$1005)-SUMPRODUCT((MOVIMIENTOS!$B$5:$B$1005="TRASIEGO")*(MOVIMIENTOS!$C$5:$C$1005="A")*(MOVIMIENTOS!$D$5:$D$1005="jabas")*(MOVIMIENTOS!$A$5:$A$1005&lt;&gt;"")*(MOVIMIENTOS!$A$5:$A$1005&lt;=$A420)*MOVIMIENTOS!$E$5:$E$1005)-SUMPRODUCT((MOVIMIENTOS!$B$5:$B$1005="REGALO")*(MOVIMIENTOS!$C$5:$C$1005="A")*(MOVIMIENTOS!$D$5:$D$1005="jabas")*(MOVIMIENTOS!$A$5:$A$1005&lt;&gt;"")*(MOVIMIENTOS!$A$5:$A$1005&lt;=$A420)*MOVIMIENTOS!$E$5:$E$1005)-SUMPRODUCT((MOVIMIENTOS!$B$5:$B$1005="VENTA")*(MOVIMIENTOS!$C$5:$C$1005="A")*(MOVIMIENTOS!$D$5:$D$1005="jabas")*(MOVIMIENTOS!$A$5:$A$1005&lt;&gt;"")*(MOVIMIENTOS!$A$5:$A$1005&lt;=$A420)*MOVIMIENTOS!$E$5:$E$1005)+SUMPRODUCT((MOVIMIENTOS!$B$5:$B$1005="AJUSTE")*(MOVIMIENTOS!$C$5:$C$1005="A")*(MOVIMIENTOS!$D$5:$D$1005="jabas")*(MOVIMIENTOS!$A$5:$A$1005&lt;&gt;"")*(MOVIMIENTOS!$A$5:$A$1005&lt;=$A420)*MOVIMIENTOS!$E$5:$E$1005))</f>
        <v/>
      </c>
      <c r="C420" t="str">
        <f>IF($A420="","",SUMPRODUCT((MOVIMIENTOS!$B$5:$B$1005="SALDO INICIAL")*(MOVIMIENTOS!$C$5:$C$1005="P")*(MOVIMIENTOS!$D$5:$D$1005="jabas")*(MOVIMIENTOS!$A$5:$A$1005&lt;&gt;"")*(MOVIMIENTOS!$A$5:$A$1005&lt;=$A420)*MOVIMIENTOS!$E$5:$E$1005)+SUMPRODUCT((MOVIMIENTOS!$B$5:$B$1005="PROCESO")*(MOVIMIENTOS!$C$5:$C$1005="P")*(MOVIMIENTOS!$D$5:$D$1005="jabas")*(MOVIMIENTOS!$A$5:$A$1005&lt;&gt;"")*(MOVIMIENTOS!$A$5:$A$1005&lt;=$A420)*MOVIMIENTOS!$E$5:$E$1005)-SUMPRODUCT((MOVIMIENTOS!$B$5:$B$1005="ENVÍO A SUPESA")*(MOVIMIENTOS!$C$5:$C$1005="P")*(MOVIMIENTOS!$D$5:$D$1005="jabas")*(MOVIMIENTOS!$A$5:$A$1005&lt;&gt;"")*(MOVIMIENTOS!$A$5:$A$1005&lt;=$A420)*MOVIMIENTOS!$E$5:$E$1005)+SUMPRODUCT((MOVIMIENTOS!$B$5:$B$1005="DEVOLUCIÓN")*(MOVIMIENTOS!$C$5:$C$1005="P")*(MOVIMIENTOS!$D$5:$D$1005="jabas")*(MOVIMIENTOS!$A$5:$A$1005&lt;&gt;"")*(MOVIMIENTOS!$A$5:$A$1005&lt;=$A420)*MOVIMIENTOS!$E$5:$E$1005)-SUMPRODUCT((MOVIMIENTOS!$B$5:$B$1005="TRASIEGO")*(MOVIMIENTOS!$C$5:$C$1005="P")*(MOVIMIENTOS!$D$5:$D$1005="jabas")*(MOVIMIENTOS!$A$5:$A$1005&lt;&gt;"")*(MOVIMIENTOS!$A$5:$A$1005&lt;=$A420)*MOVIMIENTOS!$E$5:$E$1005)-SUMPRODUCT((MOVIMIENTOS!$B$5:$B$1005="REGALO")*(MOVIMIENTOS!$C$5:$C$1005="P")*(MOVIMIENTOS!$D$5:$D$1005="jabas")*(MOVIMIENTOS!$A$5:$A$1005&lt;&gt;"")*(MOVIMIENTOS!$A$5:$A$1005&lt;=$A420)*MOVIMIENTOS!$E$5:$E$1005)-SUMPRODUCT((MOVIMIENTOS!$B$5:$B$1005="VENTA")*(MOVIMIENTOS!$C$5:$C$1005="P")*(MOVIMIENTOS!$D$5:$D$1005="jabas")*(MOVIMIENTOS!$A$5:$A$1005&lt;&gt;"")*(MOVIMIENTOS!$A$5:$A$1005&lt;=$A420)*MOVIMIENTOS!$E$5:$E$1005)+SUMPRODUCT((MOVIMIENTOS!$B$5:$B$1005="AJUSTE")*(MOVIMIENTOS!$C$5:$C$1005="P")*(MOVIMIENTOS!$D$5:$D$1005="jabas")*(MOVIMIENTOS!$A$5:$A$1005&lt;&gt;"")*(MOVIMIENTOS!$A$5:$A$1005&lt;=$A420)*MOVIMIENTOS!$E$5:$E$1005))</f>
        <v/>
      </c>
      <c r="D420" t="str">
        <f>IF($A420="","",SUMPRODUCT((MOVIMIENTOS!$B$5:$B$1005="SALDO INICIAL")*(MOVIMIENTOS!$C$5:$C$1005="C")*(MOVIMIENTOS!$D$5:$D$1005="jabas")*(MOVIMIENTOS!$A$5:$A$1005&lt;&gt;"")*(MOVIMIENTOS!$A$5:$A$1005&lt;=$A420)*MOVIMIENTOS!$E$5:$E$1005)+SUMPRODUCT((MOVIMIENTOS!$B$5:$B$1005="PROCESO")*(MOVIMIENTOS!$C$5:$C$1005="C")*(MOVIMIENTOS!$D$5:$D$1005="jabas")*(MOVIMIENTOS!$A$5:$A$1005&lt;&gt;"")*(MOVIMIENTOS!$A$5:$A$1005&lt;=$A420)*MOVIMIENTOS!$E$5:$E$1005)-SUMPRODUCT((MOVIMIENTOS!$B$5:$B$1005="ENVÍO A SUPESA")*(MOVIMIENTOS!$C$5:$C$1005="C")*(MOVIMIENTOS!$D$5:$D$1005="jabas")*(MOVIMIENTOS!$A$5:$A$1005&lt;&gt;"")*(MOVIMIENTOS!$A$5:$A$1005&lt;=$A420)*MOVIMIENTOS!$E$5:$E$1005)+SUMPRODUCT((MOVIMIENTOS!$B$5:$B$1005="DEVOLUCIÓN")*(MOVIMIENTOS!$C$5:$C$1005="C")*(MOVIMIENTOS!$D$5:$D$1005="jabas")*(MOVIMIENTOS!$A$5:$A$1005&lt;&gt;"")*(MOVIMIENTOS!$A$5:$A$1005&lt;=$A420)*MOVIMIENTOS!$E$5:$E$1005)-SUMPRODUCT((MOVIMIENTOS!$B$5:$B$1005="TRASIEGO")*(MOVIMIENTOS!$C$5:$C$1005="C")*(MOVIMIENTOS!$D$5:$D$1005="jabas")*(MOVIMIENTOS!$A$5:$A$1005&lt;&gt;"")*(MOVIMIENTOS!$A$5:$A$1005&lt;=$A420)*MOVIMIENTOS!$E$5:$E$1005)-SUMPRODUCT((MOVIMIENTOS!$B$5:$B$1005="REGALO")*(MOVIMIENTOS!$C$5:$C$1005="C")*(MOVIMIENTOS!$D$5:$D$1005="jabas")*(MOVIMIENTOS!$A$5:$A$1005&lt;&gt;"")*(MOVIMIENTOS!$A$5:$A$1005&lt;=$A420)*MOVIMIENTOS!$E$5:$E$1005)-SUMPRODUCT((MOVIMIENTOS!$B$5:$B$1005="VENTA")*(MOVIMIENTOS!$C$5:$C$1005="C")*(MOVIMIENTOS!$D$5:$D$1005="jabas")*(MOVIMIENTOS!$A$5:$A$1005&lt;&gt;"")*(MOVIMIENTOS!$A$5:$A$1005&lt;=$A420)*MOVIMIENTOS!$E$5:$E$1005)+SUMPRODUCT((MOVIMIENTOS!$B$5:$B$1005="AJUSTE")*(MOVIMIENTOS!$C$5:$C$1005="C")*(MOVIMIENTOS!$D$5:$D$1005="jabas")*(MOVIMIENTOS!$A$5:$A$1005&lt;&gt;"")*(MOVIMIENTOS!$A$5:$A$1005&lt;=$A420)*MOVIMIENTOS!$E$5:$E$1005))</f>
        <v/>
      </c>
      <c r="E420" t="str">
        <f>IF($A420="","",SUMPRODUCT((MOVIMIENTOS!$B$5:$B$1005="SALDO INICIAL")*(MOVIMIENTOS!$C$5:$C$1005="M")*(MOVIMIENTOS!$D$5:$D$1005="jabas")*(MOVIMIENTOS!$A$5:$A$1005&lt;&gt;"")*(MOVIMIENTOS!$A$5:$A$1005&lt;=$A420)*MOVIMIENTOS!$E$5:$E$1005)+SUMPRODUCT((MOVIMIENTOS!$B$5:$B$1005="PROCESO")*(MOVIMIENTOS!$C$5:$C$1005="M")*(MOVIMIENTOS!$D$5:$D$1005="jabas")*(MOVIMIENTOS!$A$5:$A$1005&lt;&gt;"")*(MOVIMIENTOS!$A$5:$A$1005&lt;=$A420)*MOVIMIENTOS!$E$5:$E$1005)-SUMPRODUCT((MOVIMIENTOS!$B$5:$B$1005="ENVÍO A SUPESA")*(MOVIMIENTOS!$C$5:$C$1005="M")*(MOVIMIENTOS!$D$5:$D$1005="jabas")*(MOVIMIENTOS!$A$5:$A$1005&lt;&gt;"")*(MOVIMIENTOS!$A$5:$A$1005&lt;=$A420)*MOVIMIENTOS!$E$5:$E$1005)+SUMPRODUCT((MOVIMIENTOS!$B$5:$B$1005="DEVOLUCIÓN")*(MOVIMIENTOS!$C$5:$C$1005="M")*(MOVIMIENTOS!$D$5:$D$1005="jabas")*(MOVIMIENTOS!$A$5:$A$1005&lt;&gt;"")*(MOVIMIENTOS!$A$5:$A$1005&lt;=$A420)*MOVIMIENTOS!$E$5:$E$1005)-SUMPRODUCT((MOVIMIENTOS!$B$5:$B$1005="TRASIEGO")*(MOVIMIENTOS!$C$5:$C$1005="M")*(MOVIMIENTOS!$D$5:$D$1005="jabas")*(MOVIMIENTOS!$A$5:$A$1005&lt;&gt;"")*(MOVIMIENTOS!$A$5:$A$1005&lt;=$A420)*MOVIMIENTOS!$E$5:$E$1005)-SUMPRODUCT((MOVIMIENTOS!$B$5:$B$1005="REGALO")*(MOVIMIENTOS!$C$5:$C$1005="M")*(MOVIMIENTOS!$D$5:$D$1005="jabas")*(MOVIMIENTOS!$A$5:$A$1005&lt;&gt;"")*(MOVIMIENTOS!$A$5:$A$1005&lt;=$A420)*MOVIMIENTOS!$E$5:$E$1005)-SUMPRODUCT((MOVIMIENTOS!$B$5:$B$1005="VENTA")*(MOVIMIENTOS!$C$5:$C$1005="M")*(MOVIMIENTOS!$D$5:$D$1005="jabas")*(MOVIMIENTOS!$A$5:$A$1005&lt;&gt;"")*(MOVIMIENTOS!$A$5:$A$1005&lt;=$A420)*MOVIMIENTOS!$E$5:$E$1005)+SUMPRODUCT((MOVIMIENTOS!$B$5:$B$1005="AJUSTE")*(MOVIMIENTOS!$C$5:$C$1005="M")*(MOVIMIENTOS!$D$5:$D$1005="jabas")*(MOVIMIENTOS!$A$5:$A$1005&lt;&gt;"")*(MOVIMIENTOS!$A$5:$A$1005&lt;=$A420)*MOVIMIENTOS!$E$5:$E$1005))</f>
        <v/>
      </c>
      <c r="F420" s="62" t="str">
        <f>IF($A420="","",SUMPRODUCT((MOVIMIENTOS!$B$5:$B$1005="SALDO INICIAL")*(MOVIMIENTOS!$C$5:$C$1005="Chancho")*(MOVIMIENTOS!$D$5:$D$1005="sacos")*(MOVIMIENTOS!$A$5:$A$1005&lt;&gt;"")*(MOVIMIENTOS!$A$5:$A$1005&lt;=$A420)*MOVIMIENTOS!$E$5:$E$1005)+SUMPRODUCT((MOVIMIENTOS!$B$5:$B$1005="PROCESO")*(MOVIMIENTOS!$C$5:$C$1005="Chancho")*(MOVIMIENTOS!$D$5:$D$1005="sacos")*(MOVIMIENTOS!$A$5:$A$1005&lt;&gt;"")*(MOVIMIENTOS!$A$5:$A$1005&lt;=$A420)*MOVIMIENTOS!$E$5:$E$1005)-SUMPRODUCT((MOVIMIENTOS!$B$5:$B$1005="VENTA CHANCHO")*(MOVIMIENTOS!$C$5:$C$1005="Chancho")*(MOVIMIENTOS!$D$5:$D$1005="sacos")*(MOVIMIENTOS!$A$5:$A$1005&lt;&gt;"")*(MOVIMIENTOS!$A$5:$A$1005&lt;=$A420)*MOVIMIENTOS!$E$5:$E$1005)-SUMPRODUCT((MOVIMIENTOS!$B$5:$B$1005="REGALO")*(MOVIMIENTOS!$C$5:$C$1005="Chancho")*(MOVIMIENTOS!$D$5:$D$1005="sacos")*(MOVIMIENTOS!$A$5:$A$1005&lt;&gt;"")*(MOVIMIENTOS!$A$5:$A$1005&lt;=$A420)*MOVIMIENTOS!$E$5:$E$1005)-SUMPRODUCT((MOVIMIENTOS!$B$5:$B$1005="VENTA")*(MOVIMIENTOS!$C$5:$C$1005="Chancho")*(MOVIMIENTOS!$D$5:$D$1005="sacos")*(MOVIMIENTOS!$A$5:$A$1005&lt;&gt;"")*(MOVIMIENTOS!$A$5:$A$1005&lt;=$A420)*MOVIMIENTOS!$E$5:$E$1005)+SUMPRODUCT((MOVIMIENTOS!$B$5:$B$1005="AJUSTE")*(MOVIMIENTOS!$C$5:$C$1005="Chancho")*(MOVIMIENTOS!$D$5:$D$1005="sacos")*(MOVIMIENTOS!$A$5:$A$1005&lt;&gt;"")*(MOVIMIENTOS!$A$5:$A$1005&lt;=$A420)*MOVIMIENTOS!$E$5:$E$1005))</f>
        <v/>
      </c>
      <c r="G420" s="62" t="str">
        <f t="shared" si="13"/>
        <v/>
      </c>
      <c r="H420" t="str">
        <f>IF($A420="","",SUMPRODUCT((((MOVIMIENTOS!$B$5:$B$1005="SALDO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420)*MOVIMIENTOS!$J$5:$J$1005))</f>
        <v/>
      </c>
      <c r="J420" t="str">
        <f>IF(AND(MOVIMIENTOS!$A423&lt;&gt;"",COUNTIF(MOVIMIENTOS!$A$5:$A422,MOVIMIENTOS!$A423)=0),COUNT(J$4:J419)+1,"")</f>
        <v/>
      </c>
      <c r="K420" s="67">
        <f>MOVIMIENTOS!$A423</f>
        <v>46250</v>
      </c>
    </row>
    <row r="421" spans="1:11" ht="15" customHeight="1" x14ac:dyDescent="0.2">
      <c r="A421" t="str">
        <f t="shared" si="12"/>
        <v/>
      </c>
      <c r="B421" t="str">
        <f>IF($A421="","",SUMPRODUCT((MOVIMIENTOS!$B$5:$B$1005="SALDO INICIAL")*(MOVIMIENTOS!$C$5:$C$1005="A")*(MOVIMIENTOS!$D$5:$D$1005="jabas")*(MOVIMIENTOS!$A$5:$A$1005&lt;&gt;"")*(MOVIMIENTOS!$A$5:$A$1005&lt;=$A421)*MOVIMIENTOS!$E$5:$E$1005)+SUMPRODUCT((MOVIMIENTOS!$B$5:$B$1005="PROCESO")*(MOVIMIENTOS!$C$5:$C$1005="A")*(MOVIMIENTOS!$D$5:$D$1005="jabas")*(MOVIMIENTOS!$A$5:$A$1005&lt;&gt;"")*(MOVIMIENTOS!$A$5:$A$1005&lt;=$A421)*MOVIMIENTOS!$E$5:$E$1005)-SUMPRODUCT((MOVIMIENTOS!$B$5:$B$1005="ENVÍO A SUPESA")*(MOVIMIENTOS!$C$5:$C$1005="A")*(MOVIMIENTOS!$D$5:$D$1005="jabas")*(MOVIMIENTOS!$A$5:$A$1005&lt;&gt;"")*(MOVIMIENTOS!$A$5:$A$1005&lt;=$A421)*MOVIMIENTOS!$E$5:$E$1005)+SUMPRODUCT((MOVIMIENTOS!$B$5:$B$1005="DEVOLUCIÓN")*(MOVIMIENTOS!$C$5:$C$1005="A")*(MOVIMIENTOS!$D$5:$D$1005="jabas")*(MOVIMIENTOS!$A$5:$A$1005&lt;&gt;"")*(MOVIMIENTOS!$A$5:$A$1005&lt;=$A421)*MOVIMIENTOS!$E$5:$E$1005)-SUMPRODUCT((MOVIMIENTOS!$B$5:$B$1005="TRASIEGO")*(MOVIMIENTOS!$C$5:$C$1005="A")*(MOVIMIENTOS!$D$5:$D$1005="jabas")*(MOVIMIENTOS!$A$5:$A$1005&lt;&gt;"")*(MOVIMIENTOS!$A$5:$A$1005&lt;=$A421)*MOVIMIENTOS!$E$5:$E$1005)-SUMPRODUCT((MOVIMIENTOS!$B$5:$B$1005="REGALO")*(MOVIMIENTOS!$C$5:$C$1005="A")*(MOVIMIENTOS!$D$5:$D$1005="jabas")*(MOVIMIENTOS!$A$5:$A$1005&lt;&gt;"")*(MOVIMIENTOS!$A$5:$A$1005&lt;=$A421)*MOVIMIENTOS!$E$5:$E$1005)-SUMPRODUCT((MOVIMIENTOS!$B$5:$B$1005="VENTA")*(MOVIMIENTOS!$C$5:$C$1005="A")*(MOVIMIENTOS!$D$5:$D$1005="jabas")*(MOVIMIENTOS!$A$5:$A$1005&lt;&gt;"")*(MOVIMIENTOS!$A$5:$A$1005&lt;=$A421)*MOVIMIENTOS!$E$5:$E$1005)+SUMPRODUCT((MOVIMIENTOS!$B$5:$B$1005="AJUSTE")*(MOVIMIENTOS!$C$5:$C$1005="A")*(MOVIMIENTOS!$D$5:$D$1005="jabas")*(MOVIMIENTOS!$A$5:$A$1005&lt;&gt;"")*(MOVIMIENTOS!$A$5:$A$1005&lt;=$A421)*MOVIMIENTOS!$E$5:$E$1005))</f>
        <v/>
      </c>
      <c r="C421" t="str">
        <f>IF($A421="","",SUMPRODUCT((MOVIMIENTOS!$B$5:$B$1005="SALDO INICIAL")*(MOVIMIENTOS!$C$5:$C$1005="P")*(MOVIMIENTOS!$D$5:$D$1005="jabas")*(MOVIMIENTOS!$A$5:$A$1005&lt;&gt;"")*(MOVIMIENTOS!$A$5:$A$1005&lt;=$A421)*MOVIMIENTOS!$E$5:$E$1005)+SUMPRODUCT((MOVIMIENTOS!$B$5:$B$1005="PROCESO")*(MOVIMIENTOS!$C$5:$C$1005="P")*(MOVIMIENTOS!$D$5:$D$1005="jabas")*(MOVIMIENTOS!$A$5:$A$1005&lt;&gt;"")*(MOVIMIENTOS!$A$5:$A$1005&lt;=$A421)*MOVIMIENTOS!$E$5:$E$1005)-SUMPRODUCT((MOVIMIENTOS!$B$5:$B$1005="ENVÍO A SUPESA")*(MOVIMIENTOS!$C$5:$C$1005="P")*(MOVIMIENTOS!$D$5:$D$1005="jabas")*(MOVIMIENTOS!$A$5:$A$1005&lt;&gt;"")*(MOVIMIENTOS!$A$5:$A$1005&lt;=$A421)*MOVIMIENTOS!$E$5:$E$1005)+SUMPRODUCT((MOVIMIENTOS!$B$5:$B$1005="DEVOLUCIÓN")*(MOVIMIENTOS!$C$5:$C$1005="P")*(MOVIMIENTOS!$D$5:$D$1005="jabas")*(MOVIMIENTOS!$A$5:$A$1005&lt;&gt;"")*(MOVIMIENTOS!$A$5:$A$1005&lt;=$A421)*MOVIMIENTOS!$E$5:$E$1005)-SUMPRODUCT((MOVIMIENTOS!$B$5:$B$1005="TRASIEGO")*(MOVIMIENTOS!$C$5:$C$1005="P")*(MOVIMIENTOS!$D$5:$D$1005="jabas")*(MOVIMIENTOS!$A$5:$A$1005&lt;&gt;"")*(MOVIMIENTOS!$A$5:$A$1005&lt;=$A421)*MOVIMIENTOS!$E$5:$E$1005)-SUMPRODUCT((MOVIMIENTOS!$B$5:$B$1005="REGALO")*(MOVIMIENTOS!$C$5:$C$1005="P")*(MOVIMIENTOS!$D$5:$D$1005="jabas")*(MOVIMIENTOS!$A$5:$A$1005&lt;&gt;"")*(MOVIMIENTOS!$A$5:$A$1005&lt;=$A421)*MOVIMIENTOS!$E$5:$E$1005)-SUMPRODUCT((MOVIMIENTOS!$B$5:$B$1005="VENTA")*(MOVIMIENTOS!$C$5:$C$1005="P")*(MOVIMIENTOS!$D$5:$D$1005="jabas")*(MOVIMIENTOS!$A$5:$A$1005&lt;&gt;"")*(MOVIMIENTOS!$A$5:$A$1005&lt;=$A421)*MOVIMIENTOS!$E$5:$E$1005)+SUMPRODUCT((MOVIMIENTOS!$B$5:$B$1005="AJUSTE")*(MOVIMIENTOS!$C$5:$C$1005="P")*(MOVIMIENTOS!$D$5:$D$1005="jabas")*(MOVIMIENTOS!$A$5:$A$1005&lt;&gt;"")*(MOVIMIENTOS!$A$5:$A$1005&lt;=$A421)*MOVIMIENTOS!$E$5:$E$1005))</f>
        <v/>
      </c>
      <c r="D421" t="str">
        <f>IF($A421="","",SUMPRODUCT((MOVIMIENTOS!$B$5:$B$1005="SALDO INICIAL")*(MOVIMIENTOS!$C$5:$C$1005="C")*(MOVIMIENTOS!$D$5:$D$1005="jabas")*(MOVIMIENTOS!$A$5:$A$1005&lt;&gt;"")*(MOVIMIENTOS!$A$5:$A$1005&lt;=$A421)*MOVIMIENTOS!$E$5:$E$1005)+SUMPRODUCT((MOVIMIENTOS!$B$5:$B$1005="PROCESO")*(MOVIMIENTOS!$C$5:$C$1005="C")*(MOVIMIENTOS!$D$5:$D$1005="jabas")*(MOVIMIENTOS!$A$5:$A$1005&lt;&gt;"")*(MOVIMIENTOS!$A$5:$A$1005&lt;=$A421)*MOVIMIENTOS!$E$5:$E$1005)-SUMPRODUCT((MOVIMIENTOS!$B$5:$B$1005="ENVÍO A SUPESA")*(MOVIMIENTOS!$C$5:$C$1005="C")*(MOVIMIENTOS!$D$5:$D$1005="jabas")*(MOVIMIENTOS!$A$5:$A$1005&lt;&gt;"")*(MOVIMIENTOS!$A$5:$A$1005&lt;=$A421)*MOVIMIENTOS!$E$5:$E$1005)+SUMPRODUCT((MOVIMIENTOS!$B$5:$B$1005="DEVOLUCIÓN")*(MOVIMIENTOS!$C$5:$C$1005="C")*(MOVIMIENTOS!$D$5:$D$1005="jabas")*(MOVIMIENTOS!$A$5:$A$1005&lt;&gt;"")*(MOVIMIENTOS!$A$5:$A$1005&lt;=$A421)*MOVIMIENTOS!$E$5:$E$1005)-SUMPRODUCT((MOVIMIENTOS!$B$5:$B$1005="TRASIEGO")*(MOVIMIENTOS!$C$5:$C$1005="C")*(MOVIMIENTOS!$D$5:$D$1005="jabas")*(MOVIMIENTOS!$A$5:$A$1005&lt;&gt;"")*(MOVIMIENTOS!$A$5:$A$1005&lt;=$A421)*MOVIMIENTOS!$E$5:$E$1005)-SUMPRODUCT((MOVIMIENTOS!$B$5:$B$1005="REGALO")*(MOVIMIENTOS!$C$5:$C$1005="C")*(MOVIMIENTOS!$D$5:$D$1005="jabas")*(MOVIMIENTOS!$A$5:$A$1005&lt;&gt;"")*(MOVIMIENTOS!$A$5:$A$1005&lt;=$A421)*MOVIMIENTOS!$E$5:$E$1005)-SUMPRODUCT((MOVIMIENTOS!$B$5:$B$1005="VENTA")*(MOVIMIENTOS!$C$5:$C$1005="C")*(MOVIMIENTOS!$D$5:$D$1005="jabas")*(MOVIMIENTOS!$A$5:$A$1005&lt;&gt;"")*(MOVIMIENTOS!$A$5:$A$1005&lt;=$A421)*MOVIMIENTOS!$E$5:$E$1005)+SUMPRODUCT((MOVIMIENTOS!$B$5:$B$1005="AJUSTE")*(MOVIMIENTOS!$C$5:$C$1005="C")*(MOVIMIENTOS!$D$5:$D$1005="jabas")*(MOVIMIENTOS!$A$5:$A$1005&lt;&gt;"")*(MOVIMIENTOS!$A$5:$A$1005&lt;=$A421)*MOVIMIENTOS!$E$5:$E$1005))</f>
        <v/>
      </c>
      <c r="E421" t="str">
        <f>IF($A421="","",SUMPRODUCT((MOVIMIENTOS!$B$5:$B$1005="SALDO INICIAL")*(MOVIMIENTOS!$C$5:$C$1005="M")*(MOVIMIENTOS!$D$5:$D$1005="jabas")*(MOVIMIENTOS!$A$5:$A$1005&lt;&gt;"")*(MOVIMIENTOS!$A$5:$A$1005&lt;=$A421)*MOVIMIENTOS!$E$5:$E$1005)+SUMPRODUCT((MOVIMIENTOS!$B$5:$B$1005="PROCESO")*(MOVIMIENTOS!$C$5:$C$1005="M")*(MOVIMIENTOS!$D$5:$D$1005="jabas")*(MOVIMIENTOS!$A$5:$A$1005&lt;&gt;"")*(MOVIMIENTOS!$A$5:$A$1005&lt;=$A421)*MOVIMIENTOS!$E$5:$E$1005)-SUMPRODUCT((MOVIMIENTOS!$B$5:$B$1005="ENVÍO A SUPESA")*(MOVIMIENTOS!$C$5:$C$1005="M")*(MOVIMIENTOS!$D$5:$D$1005="jabas")*(MOVIMIENTOS!$A$5:$A$1005&lt;&gt;"")*(MOVIMIENTOS!$A$5:$A$1005&lt;=$A421)*MOVIMIENTOS!$E$5:$E$1005)+SUMPRODUCT((MOVIMIENTOS!$B$5:$B$1005="DEVOLUCIÓN")*(MOVIMIENTOS!$C$5:$C$1005="M")*(MOVIMIENTOS!$D$5:$D$1005="jabas")*(MOVIMIENTOS!$A$5:$A$1005&lt;&gt;"")*(MOVIMIENTOS!$A$5:$A$1005&lt;=$A421)*MOVIMIENTOS!$E$5:$E$1005)-SUMPRODUCT((MOVIMIENTOS!$B$5:$B$1005="TRASIEGO")*(MOVIMIENTOS!$C$5:$C$1005="M")*(MOVIMIENTOS!$D$5:$D$1005="jabas")*(MOVIMIENTOS!$A$5:$A$1005&lt;&gt;"")*(MOVIMIENTOS!$A$5:$A$1005&lt;=$A421)*MOVIMIENTOS!$E$5:$E$1005)-SUMPRODUCT((MOVIMIENTOS!$B$5:$B$1005="REGALO")*(MOVIMIENTOS!$C$5:$C$1005="M")*(MOVIMIENTOS!$D$5:$D$1005="jabas")*(MOVIMIENTOS!$A$5:$A$1005&lt;&gt;"")*(MOVIMIENTOS!$A$5:$A$1005&lt;=$A421)*MOVIMIENTOS!$E$5:$E$1005)-SUMPRODUCT((MOVIMIENTOS!$B$5:$B$1005="VENTA")*(MOVIMIENTOS!$C$5:$C$1005="M")*(MOVIMIENTOS!$D$5:$D$1005="jabas")*(MOVIMIENTOS!$A$5:$A$1005&lt;&gt;"")*(MOVIMIENTOS!$A$5:$A$1005&lt;=$A421)*MOVIMIENTOS!$E$5:$E$1005)+SUMPRODUCT((MOVIMIENTOS!$B$5:$B$1005="AJUSTE")*(MOVIMIENTOS!$C$5:$C$1005="M")*(MOVIMIENTOS!$D$5:$D$1005="jabas")*(MOVIMIENTOS!$A$5:$A$1005&lt;&gt;"")*(MOVIMIENTOS!$A$5:$A$1005&lt;=$A421)*MOVIMIENTOS!$E$5:$E$1005))</f>
        <v/>
      </c>
      <c r="F421" s="62" t="str">
        <f>IF($A421="","",SUMPRODUCT((MOVIMIENTOS!$B$5:$B$1005="SALDO INICIAL")*(MOVIMIENTOS!$C$5:$C$1005="Chancho")*(MOVIMIENTOS!$D$5:$D$1005="sacos")*(MOVIMIENTOS!$A$5:$A$1005&lt;&gt;"")*(MOVIMIENTOS!$A$5:$A$1005&lt;=$A421)*MOVIMIENTOS!$E$5:$E$1005)+SUMPRODUCT((MOVIMIENTOS!$B$5:$B$1005="PROCESO")*(MOVIMIENTOS!$C$5:$C$1005="Chancho")*(MOVIMIENTOS!$D$5:$D$1005="sacos")*(MOVIMIENTOS!$A$5:$A$1005&lt;&gt;"")*(MOVIMIENTOS!$A$5:$A$1005&lt;=$A421)*MOVIMIENTOS!$E$5:$E$1005)-SUMPRODUCT((MOVIMIENTOS!$B$5:$B$1005="VENTA CHANCHO")*(MOVIMIENTOS!$C$5:$C$1005="Chancho")*(MOVIMIENTOS!$D$5:$D$1005="sacos")*(MOVIMIENTOS!$A$5:$A$1005&lt;&gt;"")*(MOVIMIENTOS!$A$5:$A$1005&lt;=$A421)*MOVIMIENTOS!$E$5:$E$1005)-SUMPRODUCT((MOVIMIENTOS!$B$5:$B$1005="REGALO")*(MOVIMIENTOS!$C$5:$C$1005="Chancho")*(MOVIMIENTOS!$D$5:$D$1005="sacos")*(MOVIMIENTOS!$A$5:$A$1005&lt;&gt;"")*(MOVIMIENTOS!$A$5:$A$1005&lt;=$A421)*MOVIMIENTOS!$E$5:$E$1005)-SUMPRODUCT((MOVIMIENTOS!$B$5:$B$1005="VENTA")*(MOVIMIENTOS!$C$5:$C$1005="Chancho")*(MOVIMIENTOS!$D$5:$D$1005="sacos")*(MOVIMIENTOS!$A$5:$A$1005&lt;&gt;"")*(MOVIMIENTOS!$A$5:$A$1005&lt;=$A421)*MOVIMIENTOS!$E$5:$E$1005)+SUMPRODUCT((MOVIMIENTOS!$B$5:$B$1005="AJUSTE")*(MOVIMIENTOS!$C$5:$C$1005="Chancho")*(MOVIMIENTOS!$D$5:$D$1005="sacos")*(MOVIMIENTOS!$A$5:$A$1005&lt;&gt;"")*(MOVIMIENTOS!$A$5:$A$1005&lt;=$A421)*MOVIMIENTOS!$E$5:$E$1005))</f>
        <v/>
      </c>
      <c r="G421" s="62" t="str">
        <f t="shared" si="13"/>
        <v/>
      </c>
      <c r="H421" t="str">
        <f>IF($A421="","",SUMPRODUCT((((MOVIMIENTOS!$B$5:$B$1005="SALDO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421)*MOVIMIENTOS!$J$5:$J$1005))</f>
        <v/>
      </c>
      <c r="J421" t="str">
        <f>IF(AND(MOVIMIENTOS!$A424&lt;&gt;"",COUNTIF(MOVIMIENTOS!$A$5:$A423,MOVIMIENTOS!$A424)=0),COUNT(J$4:J420)+1,"")</f>
        <v/>
      </c>
      <c r="K421" s="67">
        <f>MOVIMIENTOS!$A424</f>
        <v>46250</v>
      </c>
    </row>
    <row r="422" spans="1:11" ht="15" customHeight="1" x14ac:dyDescent="0.2">
      <c r="A422" t="str">
        <f t="shared" si="12"/>
        <v/>
      </c>
      <c r="B422" t="str">
        <f>IF($A422="","",SUMPRODUCT((MOVIMIENTOS!$B$5:$B$1005="SALDO INICIAL")*(MOVIMIENTOS!$C$5:$C$1005="A")*(MOVIMIENTOS!$D$5:$D$1005="jabas")*(MOVIMIENTOS!$A$5:$A$1005&lt;&gt;"")*(MOVIMIENTOS!$A$5:$A$1005&lt;=$A422)*MOVIMIENTOS!$E$5:$E$1005)+SUMPRODUCT((MOVIMIENTOS!$B$5:$B$1005="PROCESO")*(MOVIMIENTOS!$C$5:$C$1005="A")*(MOVIMIENTOS!$D$5:$D$1005="jabas")*(MOVIMIENTOS!$A$5:$A$1005&lt;&gt;"")*(MOVIMIENTOS!$A$5:$A$1005&lt;=$A422)*MOVIMIENTOS!$E$5:$E$1005)-SUMPRODUCT((MOVIMIENTOS!$B$5:$B$1005="ENVÍO A SUPESA")*(MOVIMIENTOS!$C$5:$C$1005="A")*(MOVIMIENTOS!$D$5:$D$1005="jabas")*(MOVIMIENTOS!$A$5:$A$1005&lt;&gt;"")*(MOVIMIENTOS!$A$5:$A$1005&lt;=$A422)*MOVIMIENTOS!$E$5:$E$1005)+SUMPRODUCT((MOVIMIENTOS!$B$5:$B$1005="DEVOLUCIÓN")*(MOVIMIENTOS!$C$5:$C$1005="A")*(MOVIMIENTOS!$D$5:$D$1005="jabas")*(MOVIMIENTOS!$A$5:$A$1005&lt;&gt;"")*(MOVIMIENTOS!$A$5:$A$1005&lt;=$A422)*MOVIMIENTOS!$E$5:$E$1005)-SUMPRODUCT((MOVIMIENTOS!$B$5:$B$1005="TRASIEGO")*(MOVIMIENTOS!$C$5:$C$1005="A")*(MOVIMIENTOS!$D$5:$D$1005="jabas")*(MOVIMIENTOS!$A$5:$A$1005&lt;&gt;"")*(MOVIMIENTOS!$A$5:$A$1005&lt;=$A422)*MOVIMIENTOS!$E$5:$E$1005)-SUMPRODUCT((MOVIMIENTOS!$B$5:$B$1005="REGALO")*(MOVIMIENTOS!$C$5:$C$1005="A")*(MOVIMIENTOS!$D$5:$D$1005="jabas")*(MOVIMIENTOS!$A$5:$A$1005&lt;&gt;"")*(MOVIMIENTOS!$A$5:$A$1005&lt;=$A422)*MOVIMIENTOS!$E$5:$E$1005)-SUMPRODUCT((MOVIMIENTOS!$B$5:$B$1005="VENTA")*(MOVIMIENTOS!$C$5:$C$1005="A")*(MOVIMIENTOS!$D$5:$D$1005="jabas")*(MOVIMIENTOS!$A$5:$A$1005&lt;&gt;"")*(MOVIMIENTOS!$A$5:$A$1005&lt;=$A422)*MOVIMIENTOS!$E$5:$E$1005)+SUMPRODUCT((MOVIMIENTOS!$B$5:$B$1005="AJUSTE")*(MOVIMIENTOS!$C$5:$C$1005="A")*(MOVIMIENTOS!$D$5:$D$1005="jabas")*(MOVIMIENTOS!$A$5:$A$1005&lt;&gt;"")*(MOVIMIENTOS!$A$5:$A$1005&lt;=$A422)*MOVIMIENTOS!$E$5:$E$1005))</f>
        <v/>
      </c>
      <c r="C422" t="str">
        <f>IF($A422="","",SUMPRODUCT((MOVIMIENTOS!$B$5:$B$1005="SALDO INICIAL")*(MOVIMIENTOS!$C$5:$C$1005="P")*(MOVIMIENTOS!$D$5:$D$1005="jabas")*(MOVIMIENTOS!$A$5:$A$1005&lt;&gt;"")*(MOVIMIENTOS!$A$5:$A$1005&lt;=$A422)*MOVIMIENTOS!$E$5:$E$1005)+SUMPRODUCT((MOVIMIENTOS!$B$5:$B$1005="PROCESO")*(MOVIMIENTOS!$C$5:$C$1005="P")*(MOVIMIENTOS!$D$5:$D$1005="jabas")*(MOVIMIENTOS!$A$5:$A$1005&lt;&gt;"")*(MOVIMIENTOS!$A$5:$A$1005&lt;=$A422)*MOVIMIENTOS!$E$5:$E$1005)-SUMPRODUCT((MOVIMIENTOS!$B$5:$B$1005="ENVÍO A SUPESA")*(MOVIMIENTOS!$C$5:$C$1005="P")*(MOVIMIENTOS!$D$5:$D$1005="jabas")*(MOVIMIENTOS!$A$5:$A$1005&lt;&gt;"")*(MOVIMIENTOS!$A$5:$A$1005&lt;=$A422)*MOVIMIENTOS!$E$5:$E$1005)+SUMPRODUCT((MOVIMIENTOS!$B$5:$B$1005="DEVOLUCIÓN")*(MOVIMIENTOS!$C$5:$C$1005="P")*(MOVIMIENTOS!$D$5:$D$1005="jabas")*(MOVIMIENTOS!$A$5:$A$1005&lt;&gt;"")*(MOVIMIENTOS!$A$5:$A$1005&lt;=$A422)*MOVIMIENTOS!$E$5:$E$1005)-SUMPRODUCT((MOVIMIENTOS!$B$5:$B$1005="TRASIEGO")*(MOVIMIENTOS!$C$5:$C$1005="P")*(MOVIMIENTOS!$D$5:$D$1005="jabas")*(MOVIMIENTOS!$A$5:$A$1005&lt;&gt;"")*(MOVIMIENTOS!$A$5:$A$1005&lt;=$A422)*MOVIMIENTOS!$E$5:$E$1005)-SUMPRODUCT((MOVIMIENTOS!$B$5:$B$1005="REGALO")*(MOVIMIENTOS!$C$5:$C$1005="P")*(MOVIMIENTOS!$D$5:$D$1005="jabas")*(MOVIMIENTOS!$A$5:$A$1005&lt;&gt;"")*(MOVIMIENTOS!$A$5:$A$1005&lt;=$A422)*MOVIMIENTOS!$E$5:$E$1005)-SUMPRODUCT((MOVIMIENTOS!$B$5:$B$1005="VENTA")*(MOVIMIENTOS!$C$5:$C$1005="P")*(MOVIMIENTOS!$D$5:$D$1005="jabas")*(MOVIMIENTOS!$A$5:$A$1005&lt;&gt;"")*(MOVIMIENTOS!$A$5:$A$1005&lt;=$A422)*MOVIMIENTOS!$E$5:$E$1005)+SUMPRODUCT((MOVIMIENTOS!$B$5:$B$1005="AJUSTE")*(MOVIMIENTOS!$C$5:$C$1005="P")*(MOVIMIENTOS!$D$5:$D$1005="jabas")*(MOVIMIENTOS!$A$5:$A$1005&lt;&gt;"")*(MOVIMIENTOS!$A$5:$A$1005&lt;=$A422)*MOVIMIENTOS!$E$5:$E$1005))</f>
        <v/>
      </c>
      <c r="D422" t="str">
        <f>IF($A422="","",SUMPRODUCT((MOVIMIENTOS!$B$5:$B$1005="SALDO INICIAL")*(MOVIMIENTOS!$C$5:$C$1005="C")*(MOVIMIENTOS!$D$5:$D$1005="jabas")*(MOVIMIENTOS!$A$5:$A$1005&lt;&gt;"")*(MOVIMIENTOS!$A$5:$A$1005&lt;=$A422)*MOVIMIENTOS!$E$5:$E$1005)+SUMPRODUCT((MOVIMIENTOS!$B$5:$B$1005="PROCESO")*(MOVIMIENTOS!$C$5:$C$1005="C")*(MOVIMIENTOS!$D$5:$D$1005="jabas")*(MOVIMIENTOS!$A$5:$A$1005&lt;&gt;"")*(MOVIMIENTOS!$A$5:$A$1005&lt;=$A422)*MOVIMIENTOS!$E$5:$E$1005)-SUMPRODUCT((MOVIMIENTOS!$B$5:$B$1005="ENVÍO A SUPESA")*(MOVIMIENTOS!$C$5:$C$1005="C")*(MOVIMIENTOS!$D$5:$D$1005="jabas")*(MOVIMIENTOS!$A$5:$A$1005&lt;&gt;"")*(MOVIMIENTOS!$A$5:$A$1005&lt;=$A422)*MOVIMIENTOS!$E$5:$E$1005)+SUMPRODUCT((MOVIMIENTOS!$B$5:$B$1005="DEVOLUCIÓN")*(MOVIMIENTOS!$C$5:$C$1005="C")*(MOVIMIENTOS!$D$5:$D$1005="jabas")*(MOVIMIENTOS!$A$5:$A$1005&lt;&gt;"")*(MOVIMIENTOS!$A$5:$A$1005&lt;=$A422)*MOVIMIENTOS!$E$5:$E$1005)-SUMPRODUCT((MOVIMIENTOS!$B$5:$B$1005="TRASIEGO")*(MOVIMIENTOS!$C$5:$C$1005="C")*(MOVIMIENTOS!$D$5:$D$1005="jabas")*(MOVIMIENTOS!$A$5:$A$1005&lt;&gt;"")*(MOVIMIENTOS!$A$5:$A$1005&lt;=$A422)*MOVIMIENTOS!$E$5:$E$1005)-SUMPRODUCT((MOVIMIENTOS!$B$5:$B$1005="REGALO")*(MOVIMIENTOS!$C$5:$C$1005="C")*(MOVIMIENTOS!$D$5:$D$1005="jabas")*(MOVIMIENTOS!$A$5:$A$1005&lt;&gt;"")*(MOVIMIENTOS!$A$5:$A$1005&lt;=$A422)*MOVIMIENTOS!$E$5:$E$1005)-SUMPRODUCT((MOVIMIENTOS!$B$5:$B$1005="VENTA")*(MOVIMIENTOS!$C$5:$C$1005="C")*(MOVIMIENTOS!$D$5:$D$1005="jabas")*(MOVIMIENTOS!$A$5:$A$1005&lt;&gt;"")*(MOVIMIENTOS!$A$5:$A$1005&lt;=$A422)*MOVIMIENTOS!$E$5:$E$1005)+SUMPRODUCT((MOVIMIENTOS!$B$5:$B$1005="AJUSTE")*(MOVIMIENTOS!$C$5:$C$1005="C")*(MOVIMIENTOS!$D$5:$D$1005="jabas")*(MOVIMIENTOS!$A$5:$A$1005&lt;&gt;"")*(MOVIMIENTOS!$A$5:$A$1005&lt;=$A422)*MOVIMIENTOS!$E$5:$E$1005))</f>
        <v/>
      </c>
      <c r="E422" t="str">
        <f>IF($A422="","",SUMPRODUCT((MOVIMIENTOS!$B$5:$B$1005="SALDO INICIAL")*(MOVIMIENTOS!$C$5:$C$1005="M")*(MOVIMIENTOS!$D$5:$D$1005="jabas")*(MOVIMIENTOS!$A$5:$A$1005&lt;&gt;"")*(MOVIMIENTOS!$A$5:$A$1005&lt;=$A422)*MOVIMIENTOS!$E$5:$E$1005)+SUMPRODUCT((MOVIMIENTOS!$B$5:$B$1005="PROCESO")*(MOVIMIENTOS!$C$5:$C$1005="M")*(MOVIMIENTOS!$D$5:$D$1005="jabas")*(MOVIMIENTOS!$A$5:$A$1005&lt;&gt;"")*(MOVIMIENTOS!$A$5:$A$1005&lt;=$A422)*MOVIMIENTOS!$E$5:$E$1005)-SUMPRODUCT((MOVIMIENTOS!$B$5:$B$1005="ENVÍO A SUPESA")*(MOVIMIENTOS!$C$5:$C$1005="M")*(MOVIMIENTOS!$D$5:$D$1005="jabas")*(MOVIMIENTOS!$A$5:$A$1005&lt;&gt;"")*(MOVIMIENTOS!$A$5:$A$1005&lt;=$A422)*MOVIMIENTOS!$E$5:$E$1005)+SUMPRODUCT((MOVIMIENTOS!$B$5:$B$1005="DEVOLUCIÓN")*(MOVIMIENTOS!$C$5:$C$1005="M")*(MOVIMIENTOS!$D$5:$D$1005="jabas")*(MOVIMIENTOS!$A$5:$A$1005&lt;&gt;"")*(MOVIMIENTOS!$A$5:$A$1005&lt;=$A422)*MOVIMIENTOS!$E$5:$E$1005)-SUMPRODUCT((MOVIMIENTOS!$B$5:$B$1005="TRASIEGO")*(MOVIMIENTOS!$C$5:$C$1005="M")*(MOVIMIENTOS!$D$5:$D$1005="jabas")*(MOVIMIENTOS!$A$5:$A$1005&lt;&gt;"")*(MOVIMIENTOS!$A$5:$A$1005&lt;=$A422)*MOVIMIENTOS!$E$5:$E$1005)-SUMPRODUCT((MOVIMIENTOS!$B$5:$B$1005="REGALO")*(MOVIMIENTOS!$C$5:$C$1005="M")*(MOVIMIENTOS!$D$5:$D$1005="jabas")*(MOVIMIENTOS!$A$5:$A$1005&lt;&gt;"")*(MOVIMIENTOS!$A$5:$A$1005&lt;=$A422)*MOVIMIENTOS!$E$5:$E$1005)-SUMPRODUCT((MOVIMIENTOS!$B$5:$B$1005="VENTA")*(MOVIMIENTOS!$C$5:$C$1005="M")*(MOVIMIENTOS!$D$5:$D$1005="jabas")*(MOVIMIENTOS!$A$5:$A$1005&lt;&gt;"")*(MOVIMIENTOS!$A$5:$A$1005&lt;=$A422)*MOVIMIENTOS!$E$5:$E$1005)+SUMPRODUCT((MOVIMIENTOS!$B$5:$B$1005="AJUSTE")*(MOVIMIENTOS!$C$5:$C$1005="M")*(MOVIMIENTOS!$D$5:$D$1005="jabas")*(MOVIMIENTOS!$A$5:$A$1005&lt;&gt;"")*(MOVIMIENTOS!$A$5:$A$1005&lt;=$A422)*MOVIMIENTOS!$E$5:$E$1005))</f>
        <v/>
      </c>
      <c r="F422" s="62" t="str">
        <f>IF($A422="","",SUMPRODUCT((MOVIMIENTOS!$B$5:$B$1005="SALDO INICIAL")*(MOVIMIENTOS!$C$5:$C$1005="Chancho")*(MOVIMIENTOS!$D$5:$D$1005="sacos")*(MOVIMIENTOS!$A$5:$A$1005&lt;&gt;"")*(MOVIMIENTOS!$A$5:$A$1005&lt;=$A422)*MOVIMIENTOS!$E$5:$E$1005)+SUMPRODUCT((MOVIMIENTOS!$B$5:$B$1005="PROCESO")*(MOVIMIENTOS!$C$5:$C$1005="Chancho")*(MOVIMIENTOS!$D$5:$D$1005="sacos")*(MOVIMIENTOS!$A$5:$A$1005&lt;&gt;"")*(MOVIMIENTOS!$A$5:$A$1005&lt;=$A422)*MOVIMIENTOS!$E$5:$E$1005)-SUMPRODUCT((MOVIMIENTOS!$B$5:$B$1005="VENTA CHANCHO")*(MOVIMIENTOS!$C$5:$C$1005="Chancho")*(MOVIMIENTOS!$D$5:$D$1005="sacos")*(MOVIMIENTOS!$A$5:$A$1005&lt;&gt;"")*(MOVIMIENTOS!$A$5:$A$1005&lt;=$A422)*MOVIMIENTOS!$E$5:$E$1005)-SUMPRODUCT((MOVIMIENTOS!$B$5:$B$1005="REGALO")*(MOVIMIENTOS!$C$5:$C$1005="Chancho")*(MOVIMIENTOS!$D$5:$D$1005="sacos")*(MOVIMIENTOS!$A$5:$A$1005&lt;&gt;"")*(MOVIMIENTOS!$A$5:$A$1005&lt;=$A422)*MOVIMIENTOS!$E$5:$E$1005)-SUMPRODUCT((MOVIMIENTOS!$B$5:$B$1005="VENTA")*(MOVIMIENTOS!$C$5:$C$1005="Chancho")*(MOVIMIENTOS!$D$5:$D$1005="sacos")*(MOVIMIENTOS!$A$5:$A$1005&lt;&gt;"")*(MOVIMIENTOS!$A$5:$A$1005&lt;=$A422)*MOVIMIENTOS!$E$5:$E$1005)+SUMPRODUCT((MOVIMIENTOS!$B$5:$B$1005="AJUSTE")*(MOVIMIENTOS!$C$5:$C$1005="Chancho")*(MOVIMIENTOS!$D$5:$D$1005="sacos")*(MOVIMIENTOS!$A$5:$A$1005&lt;&gt;"")*(MOVIMIENTOS!$A$5:$A$1005&lt;=$A422)*MOVIMIENTOS!$E$5:$E$1005))</f>
        <v/>
      </c>
      <c r="G422" s="62" t="str">
        <f t="shared" si="13"/>
        <v/>
      </c>
      <c r="H422" t="str">
        <f>IF($A422="","",SUMPRODUCT((((MOVIMIENTOS!$B$5:$B$1005="SALDO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422)*MOVIMIENTOS!$J$5:$J$1005))</f>
        <v/>
      </c>
      <c r="J422" t="str">
        <f>IF(AND(MOVIMIENTOS!$A425&lt;&gt;"",COUNTIF(MOVIMIENTOS!$A$5:$A424,MOVIMIENTOS!$A425)=0),COUNT(J$4:J421)+1,"")</f>
        <v/>
      </c>
      <c r="K422" s="67">
        <f>MOVIMIENTOS!$A425</f>
        <v>46250</v>
      </c>
    </row>
    <row r="423" spans="1:11" ht="15" customHeight="1" x14ac:dyDescent="0.2">
      <c r="A423" t="str">
        <f t="shared" si="12"/>
        <v/>
      </c>
      <c r="B423" t="str">
        <f>IF($A423="","",SUMPRODUCT((MOVIMIENTOS!$B$5:$B$1005="SALDO INICIAL")*(MOVIMIENTOS!$C$5:$C$1005="A")*(MOVIMIENTOS!$D$5:$D$1005="jabas")*(MOVIMIENTOS!$A$5:$A$1005&lt;&gt;"")*(MOVIMIENTOS!$A$5:$A$1005&lt;=$A423)*MOVIMIENTOS!$E$5:$E$1005)+SUMPRODUCT((MOVIMIENTOS!$B$5:$B$1005="PROCESO")*(MOVIMIENTOS!$C$5:$C$1005="A")*(MOVIMIENTOS!$D$5:$D$1005="jabas")*(MOVIMIENTOS!$A$5:$A$1005&lt;&gt;"")*(MOVIMIENTOS!$A$5:$A$1005&lt;=$A423)*MOVIMIENTOS!$E$5:$E$1005)-SUMPRODUCT((MOVIMIENTOS!$B$5:$B$1005="ENVÍO A SUPESA")*(MOVIMIENTOS!$C$5:$C$1005="A")*(MOVIMIENTOS!$D$5:$D$1005="jabas")*(MOVIMIENTOS!$A$5:$A$1005&lt;&gt;"")*(MOVIMIENTOS!$A$5:$A$1005&lt;=$A423)*MOVIMIENTOS!$E$5:$E$1005)+SUMPRODUCT((MOVIMIENTOS!$B$5:$B$1005="DEVOLUCIÓN")*(MOVIMIENTOS!$C$5:$C$1005="A")*(MOVIMIENTOS!$D$5:$D$1005="jabas")*(MOVIMIENTOS!$A$5:$A$1005&lt;&gt;"")*(MOVIMIENTOS!$A$5:$A$1005&lt;=$A423)*MOVIMIENTOS!$E$5:$E$1005)-SUMPRODUCT((MOVIMIENTOS!$B$5:$B$1005="TRASIEGO")*(MOVIMIENTOS!$C$5:$C$1005="A")*(MOVIMIENTOS!$D$5:$D$1005="jabas")*(MOVIMIENTOS!$A$5:$A$1005&lt;&gt;"")*(MOVIMIENTOS!$A$5:$A$1005&lt;=$A423)*MOVIMIENTOS!$E$5:$E$1005)-SUMPRODUCT((MOVIMIENTOS!$B$5:$B$1005="REGALO")*(MOVIMIENTOS!$C$5:$C$1005="A")*(MOVIMIENTOS!$D$5:$D$1005="jabas")*(MOVIMIENTOS!$A$5:$A$1005&lt;&gt;"")*(MOVIMIENTOS!$A$5:$A$1005&lt;=$A423)*MOVIMIENTOS!$E$5:$E$1005)-SUMPRODUCT((MOVIMIENTOS!$B$5:$B$1005="VENTA")*(MOVIMIENTOS!$C$5:$C$1005="A")*(MOVIMIENTOS!$D$5:$D$1005="jabas")*(MOVIMIENTOS!$A$5:$A$1005&lt;&gt;"")*(MOVIMIENTOS!$A$5:$A$1005&lt;=$A423)*MOVIMIENTOS!$E$5:$E$1005)+SUMPRODUCT((MOVIMIENTOS!$B$5:$B$1005="AJUSTE")*(MOVIMIENTOS!$C$5:$C$1005="A")*(MOVIMIENTOS!$D$5:$D$1005="jabas")*(MOVIMIENTOS!$A$5:$A$1005&lt;&gt;"")*(MOVIMIENTOS!$A$5:$A$1005&lt;=$A423)*MOVIMIENTOS!$E$5:$E$1005))</f>
        <v/>
      </c>
      <c r="C423" t="str">
        <f>IF($A423="","",SUMPRODUCT((MOVIMIENTOS!$B$5:$B$1005="SALDO INICIAL")*(MOVIMIENTOS!$C$5:$C$1005="P")*(MOVIMIENTOS!$D$5:$D$1005="jabas")*(MOVIMIENTOS!$A$5:$A$1005&lt;&gt;"")*(MOVIMIENTOS!$A$5:$A$1005&lt;=$A423)*MOVIMIENTOS!$E$5:$E$1005)+SUMPRODUCT((MOVIMIENTOS!$B$5:$B$1005="PROCESO")*(MOVIMIENTOS!$C$5:$C$1005="P")*(MOVIMIENTOS!$D$5:$D$1005="jabas")*(MOVIMIENTOS!$A$5:$A$1005&lt;&gt;"")*(MOVIMIENTOS!$A$5:$A$1005&lt;=$A423)*MOVIMIENTOS!$E$5:$E$1005)-SUMPRODUCT((MOVIMIENTOS!$B$5:$B$1005="ENVÍO A SUPESA")*(MOVIMIENTOS!$C$5:$C$1005="P")*(MOVIMIENTOS!$D$5:$D$1005="jabas")*(MOVIMIENTOS!$A$5:$A$1005&lt;&gt;"")*(MOVIMIENTOS!$A$5:$A$1005&lt;=$A423)*MOVIMIENTOS!$E$5:$E$1005)+SUMPRODUCT((MOVIMIENTOS!$B$5:$B$1005="DEVOLUCIÓN")*(MOVIMIENTOS!$C$5:$C$1005="P")*(MOVIMIENTOS!$D$5:$D$1005="jabas")*(MOVIMIENTOS!$A$5:$A$1005&lt;&gt;"")*(MOVIMIENTOS!$A$5:$A$1005&lt;=$A423)*MOVIMIENTOS!$E$5:$E$1005)-SUMPRODUCT((MOVIMIENTOS!$B$5:$B$1005="TRASIEGO")*(MOVIMIENTOS!$C$5:$C$1005="P")*(MOVIMIENTOS!$D$5:$D$1005="jabas")*(MOVIMIENTOS!$A$5:$A$1005&lt;&gt;"")*(MOVIMIENTOS!$A$5:$A$1005&lt;=$A423)*MOVIMIENTOS!$E$5:$E$1005)-SUMPRODUCT((MOVIMIENTOS!$B$5:$B$1005="REGALO")*(MOVIMIENTOS!$C$5:$C$1005="P")*(MOVIMIENTOS!$D$5:$D$1005="jabas")*(MOVIMIENTOS!$A$5:$A$1005&lt;&gt;"")*(MOVIMIENTOS!$A$5:$A$1005&lt;=$A423)*MOVIMIENTOS!$E$5:$E$1005)-SUMPRODUCT((MOVIMIENTOS!$B$5:$B$1005="VENTA")*(MOVIMIENTOS!$C$5:$C$1005="P")*(MOVIMIENTOS!$D$5:$D$1005="jabas")*(MOVIMIENTOS!$A$5:$A$1005&lt;&gt;"")*(MOVIMIENTOS!$A$5:$A$1005&lt;=$A423)*MOVIMIENTOS!$E$5:$E$1005)+SUMPRODUCT((MOVIMIENTOS!$B$5:$B$1005="AJUSTE")*(MOVIMIENTOS!$C$5:$C$1005="P")*(MOVIMIENTOS!$D$5:$D$1005="jabas")*(MOVIMIENTOS!$A$5:$A$1005&lt;&gt;"")*(MOVIMIENTOS!$A$5:$A$1005&lt;=$A423)*MOVIMIENTOS!$E$5:$E$1005))</f>
        <v/>
      </c>
      <c r="D423" t="str">
        <f>IF($A423="","",SUMPRODUCT((MOVIMIENTOS!$B$5:$B$1005="SALDO INICIAL")*(MOVIMIENTOS!$C$5:$C$1005="C")*(MOVIMIENTOS!$D$5:$D$1005="jabas")*(MOVIMIENTOS!$A$5:$A$1005&lt;&gt;"")*(MOVIMIENTOS!$A$5:$A$1005&lt;=$A423)*MOVIMIENTOS!$E$5:$E$1005)+SUMPRODUCT((MOVIMIENTOS!$B$5:$B$1005="PROCESO")*(MOVIMIENTOS!$C$5:$C$1005="C")*(MOVIMIENTOS!$D$5:$D$1005="jabas")*(MOVIMIENTOS!$A$5:$A$1005&lt;&gt;"")*(MOVIMIENTOS!$A$5:$A$1005&lt;=$A423)*MOVIMIENTOS!$E$5:$E$1005)-SUMPRODUCT((MOVIMIENTOS!$B$5:$B$1005="ENVÍO A SUPESA")*(MOVIMIENTOS!$C$5:$C$1005="C")*(MOVIMIENTOS!$D$5:$D$1005="jabas")*(MOVIMIENTOS!$A$5:$A$1005&lt;&gt;"")*(MOVIMIENTOS!$A$5:$A$1005&lt;=$A423)*MOVIMIENTOS!$E$5:$E$1005)+SUMPRODUCT((MOVIMIENTOS!$B$5:$B$1005="DEVOLUCIÓN")*(MOVIMIENTOS!$C$5:$C$1005="C")*(MOVIMIENTOS!$D$5:$D$1005="jabas")*(MOVIMIENTOS!$A$5:$A$1005&lt;&gt;"")*(MOVIMIENTOS!$A$5:$A$1005&lt;=$A423)*MOVIMIENTOS!$E$5:$E$1005)-SUMPRODUCT((MOVIMIENTOS!$B$5:$B$1005="TRASIEGO")*(MOVIMIENTOS!$C$5:$C$1005="C")*(MOVIMIENTOS!$D$5:$D$1005="jabas")*(MOVIMIENTOS!$A$5:$A$1005&lt;&gt;"")*(MOVIMIENTOS!$A$5:$A$1005&lt;=$A423)*MOVIMIENTOS!$E$5:$E$1005)-SUMPRODUCT((MOVIMIENTOS!$B$5:$B$1005="REGALO")*(MOVIMIENTOS!$C$5:$C$1005="C")*(MOVIMIENTOS!$D$5:$D$1005="jabas")*(MOVIMIENTOS!$A$5:$A$1005&lt;&gt;"")*(MOVIMIENTOS!$A$5:$A$1005&lt;=$A423)*MOVIMIENTOS!$E$5:$E$1005)-SUMPRODUCT((MOVIMIENTOS!$B$5:$B$1005="VENTA")*(MOVIMIENTOS!$C$5:$C$1005="C")*(MOVIMIENTOS!$D$5:$D$1005="jabas")*(MOVIMIENTOS!$A$5:$A$1005&lt;&gt;"")*(MOVIMIENTOS!$A$5:$A$1005&lt;=$A423)*MOVIMIENTOS!$E$5:$E$1005)+SUMPRODUCT((MOVIMIENTOS!$B$5:$B$1005="AJUSTE")*(MOVIMIENTOS!$C$5:$C$1005="C")*(MOVIMIENTOS!$D$5:$D$1005="jabas")*(MOVIMIENTOS!$A$5:$A$1005&lt;&gt;"")*(MOVIMIENTOS!$A$5:$A$1005&lt;=$A423)*MOVIMIENTOS!$E$5:$E$1005))</f>
        <v/>
      </c>
      <c r="E423" t="str">
        <f>IF($A423="","",SUMPRODUCT((MOVIMIENTOS!$B$5:$B$1005="SALDO INICIAL")*(MOVIMIENTOS!$C$5:$C$1005="M")*(MOVIMIENTOS!$D$5:$D$1005="jabas")*(MOVIMIENTOS!$A$5:$A$1005&lt;&gt;"")*(MOVIMIENTOS!$A$5:$A$1005&lt;=$A423)*MOVIMIENTOS!$E$5:$E$1005)+SUMPRODUCT((MOVIMIENTOS!$B$5:$B$1005="PROCESO")*(MOVIMIENTOS!$C$5:$C$1005="M")*(MOVIMIENTOS!$D$5:$D$1005="jabas")*(MOVIMIENTOS!$A$5:$A$1005&lt;&gt;"")*(MOVIMIENTOS!$A$5:$A$1005&lt;=$A423)*MOVIMIENTOS!$E$5:$E$1005)-SUMPRODUCT((MOVIMIENTOS!$B$5:$B$1005="ENVÍO A SUPESA")*(MOVIMIENTOS!$C$5:$C$1005="M")*(MOVIMIENTOS!$D$5:$D$1005="jabas")*(MOVIMIENTOS!$A$5:$A$1005&lt;&gt;"")*(MOVIMIENTOS!$A$5:$A$1005&lt;=$A423)*MOVIMIENTOS!$E$5:$E$1005)+SUMPRODUCT((MOVIMIENTOS!$B$5:$B$1005="DEVOLUCIÓN")*(MOVIMIENTOS!$C$5:$C$1005="M")*(MOVIMIENTOS!$D$5:$D$1005="jabas")*(MOVIMIENTOS!$A$5:$A$1005&lt;&gt;"")*(MOVIMIENTOS!$A$5:$A$1005&lt;=$A423)*MOVIMIENTOS!$E$5:$E$1005)-SUMPRODUCT((MOVIMIENTOS!$B$5:$B$1005="TRASIEGO")*(MOVIMIENTOS!$C$5:$C$1005="M")*(MOVIMIENTOS!$D$5:$D$1005="jabas")*(MOVIMIENTOS!$A$5:$A$1005&lt;&gt;"")*(MOVIMIENTOS!$A$5:$A$1005&lt;=$A423)*MOVIMIENTOS!$E$5:$E$1005)-SUMPRODUCT((MOVIMIENTOS!$B$5:$B$1005="REGALO")*(MOVIMIENTOS!$C$5:$C$1005="M")*(MOVIMIENTOS!$D$5:$D$1005="jabas")*(MOVIMIENTOS!$A$5:$A$1005&lt;&gt;"")*(MOVIMIENTOS!$A$5:$A$1005&lt;=$A423)*MOVIMIENTOS!$E$5:$E$1005)-SUMPRODUCT((MOVIMIENTOS!$B$5:$B$1005="VENTA")*(MOVIMIENTOS!$C$5:$C$1005="M")*(MOVIMIENTOS!$D$5:$D$1005="jabas")*(MOVIMIENTOS!$A$5:$A$1005&lt;&gt;"")*(MOVIMIENTOS!$A$5:$A$1005&lt;=$A423)*MOVIMIENTOS!$E$5:$E$1005)+SUMPRODUCT((MOVIMIENTOS!$B$5:$B$1005="AJUSTE")*(MOVIMIENTOS!$C$5:$C$1005="M")*(MOVIMIENTOS!$D$5:$D$1005="jabas")*(MOVIMIENTOS!$A$5:$A$1005&lt;&gt;"")*(MOVIMIENTOS!$A$5:$A$1005&lt;=$A423)*MOVIMIENTOS!$E$5:$E$1005))</f>
        <v/>
      </c>
      <c r="F423" s="62" t="str">
        <f>IF($A423="","",SUMPRODUCT((MOVIMIENTOS!$B$5:$B$1005="SALDO INICIAL")*(MOVIMIENTOS!$C$5:$C$1005="Chancho")*(MOVIMIENTOS!$D$5:$D$1005="sacos")*(MOVIMIENTOS!$A$5:$A$1005&lt;&gt;"")*(MOVIMIENTOS!$A$5:$A$1005&lt;=$A423)*MOVIMIENTOS!$E$5:$E$1005)+SUMPRODUCT((MOVIMIENTOS!$B$5:$B$1005="PROCESO")*(MOVIMIENTOS!$C$5:$C$1005="Chancho")*(MOVIMIENTOS!$D$5:$D$1005="sacos")*(MOVIMIENTOS!$A$5:$A$1005&lt;&gt;"")*(MOVIMIENTOS!$A$5:$A$1005&lt;=$A423)*MOVIMIENTOS!$E$5:$E$1005)-SUMPRODUCT((MOVIMIENTOS!$B$5:$B$1005="VENTA CHANCHO")*(MOVIMIENTOS!$C$5:$C$1005="Chancho")*(MOVIMIENTOS!$D$5:$D$1005="sacos")*(MOVIMIENTOS!$A$5:$A$1005&lt;&gt;"")*(MOVIMIENTOS!$A$5:$A$1005&lt;=$A423)*MOVIMIENTOS!$E$5:$E$1005)-SUMPRODUCT((MOVIMIENTOS!$B$5:$B$1005="REGALO")*(MOVIMIENTOS!$C$5:$C$1005="Chancho")*(MOVIMIENTOS!$D$5:$D$1005="sacos")*(MOVIMIENTOS!$A$5:$A$1005&lt;&gt;"")*(MOVIMIENTOS!$A$5:$A$1005&lt;=$A423)*MOVIMIENTOS!$E$5:$E$1005)-SUMPRODUCT((MOVIMIENTOS!$B$5:$B$1005="VENTA")*(MOVIMIENTOS!$C$5:$C$1005="Chancho")*(MOVIMIENTOS!$D$5:$D$1005="sacos")*(MOVIMIENTOS!$A$5:$A$1005&lt;&gt;"")*(MOVIMIENTOS!$A$5:$A$1005&lt;=$A423)*MOVIMIENTOS!$E$5:$E$1005)+SUMPRODUCT((MOVIMIENTOS!$B$5:$B$1005="AJUSTE")*(MOVIMIENTOS!$C$5:$C$1005="Chancho")*(MOVIMIENTOS!$D$5:$D$1005="sacos")*(MOVIMIENTOS!$A$5:$A$1005&lt;&gt;"")*(MOVIMIENTOS!$A$5:$A$1005&lt;=$A423)*MOVIMIENTOS!$E$5:$E$1005))</f>
        <v/>
      </c>
      <c r="G423" s="62" t="str">
        <f t="shared" si="13"/>
        <v/>
      </c>
      <c r="H423" t="str">
        <f>IF($A423="","",SUMPRODUCT((((MOVIMIENTOS!$B$5:$B$1005="SALDO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423)*MOVIMIENTOS!$J$5:$J$1005))</f>
        <v/>
      </c>
      <c r="J423" t="str">
        <f>IF(AND(MOVIMIENTOS!$A426&lt;&gt;"",COUNTIF(MOVIMIENTOS!$A$5:$A425,MOVIMIENTOS!$A426)=0),COUNT(J$4:J422)+1,"")</f>
        <v/>
      </c>
      <c r="K423" s="67">
        <f>MOVIMIENTOS!$A426</f>
        <v>46250</v>
      </c>
    </row>
    <row r="424" spans="1:11" ht="15" customHeight="1" x14ac:dyDescent="0.2">
      <c r="A424" t="str">
        <f t="shared" si="12"/>
        <v/>
      </c>
      <c r="B424" t="str">
        <f>IF($A424="","",SUMPRODUCT((MOVIMIENTOS!$B$5:$B$1005="SALDO INICIAL")*(MOVIMIENTOS!$C$5:$C$1005="A")*(MOVIMIENTOS!$D$5:$D$1005="jabas")*(MOVIMIENTOS!$A$5:$A$1005&lt;&gt;"")*(MOVIMIENTOS!$A$5:$A$1005&lt;=$A424)*MOVIMIENTOS!$E$5:$E$1005)+SUMPRODUCT((MOVIMIENTOS!$B$5:$B$1005="PROCESO")*(MOVIMIENTOS!$C$5:$C$1005="A")*(MOVIMIENTOS!$D$5:$D$1005="jabas")*(MOVIMIENTOS!$A$5:$A$1005&lt;&gt;"")*(MOVIMIENTOS!$A$5:$A$1005&lt;=$A424)*MOVIMIENTOS!$E$5:$E$1005)-SUMPRODUCT((MOVIMIENTOS!$B$5:$B$1005="ENVÍO A SUPESA")*(MOVIMIENTOS!$C$5:$C$1005="A")*(MOVIMIENTOS!$D$5:$D$1005="jabas")*(MOVIMIENTOS!$A$5:$A$1005&lt;&gt;"")*(MOVIMIENTOS!$A$5:$A$1005&lt;=$A424)*MOVIMIENTOS!$E$5:$E$1005)+SUMPRODUCT((MOVIMIENTOS!$B$5:$B$1005="DEVOLUCIÓN")*(MOVIMIENTOS!$C$5:$C$1005="A")*(MOVIMIENTOS!$D$5:$D$1005="jabas")*(MOVIMIENTOS!$A$5:$A$1005&lt;&gt;"")*(MOVIMIENTOS!$A$5:$A$1005&lt;=$A424)*MOVIMIENTOS!$E$5:$E$1005)-SUMPRODUCT((MOVIMIENTOS!$B$5:$B$1005="TRASIEGO")*(MOVIMIENTOS!$C$5:$C$1005="A")*(MOVIMIENTOS!$D$5:$D$1005="jabas")*(MOVIMIENTOS!$A$5:$A$1005&lt;&gt;"")*(MOVIMIENTOS!$A$5:$A$1005&lt;=$A424)*MOVIMIENTOS!$E$5:$E$1005)-SUMPRODUCT((MOVIMIENTOS!$B$5:$B$1005="REGALO")*(MOVIMIENTOS!$C$5:$C$1005="A")*(MOVIMIENTOS!$D$5:$D$1005="jabas")*(MOVIMIENTOS!$A$5:$A$1005&lt;&gt;"")*(MOVIMIENTOS!$A$5:$A$1005&lt;=$A424)*MOVIMIENTOS!$E$5:$E$1005)-SUMPRODUCT((MOVIMIENTOS!$B$5:$B$1005="VENTA")*(MOVIMIENTOS!$C$5:$C$1005="A")*(MOVIMIENTOS!$D$5:$D$1005="jabas")*(MOVIMIENTOS!$A$5:$A$1005&lt;&gt;"")*(MOVIMIENTOS!$A$5:$A$1005&lt;=$A424)*MOVIMIENTOS!$E$5:$E$1005)+SUMPRODUCT((MOVIMIENTOS!$B$5:$B$1005="AJUSTE")*(MOVIMIENTOS!$C$5:$C$1005="A")*(MOVIMIENTOS!$D$5:$D$1005="jabas")*(MOVIMIENTOS!$A$5:$A$1005&lt;&gt;"")*(MOVIMIENTOS!$A$5:$A$1005&lt;=$A424)*MOVIMIENTOS!$E$5:$E$1005))</f>
        <v/>
      </c>
      <c r="C424" t="str">
        <f>IF($A424="","",SUMPRODUCT((MOVIMIENTOS!$B$5:$B$1005="SALDO INICIAL")*(MOVIMIENTOS!$C$5:$C$1005="P")*(MOVIMIENTOS!$D$5:$D$1005="jabas")*(MOVIMIENTOS!$A$5:$A$1005&lt;&gt;"")*(MOVIMIENTOS!$A$5:$A$1005&lt;=$A424)*MOVIMIENTOS!$E$5:$E$1005)+SUMPRODUCT((MOVIMIENTOS!$B$5:$B$1005="PROCESO")*(MOVIMIENTOS!$C$5:$C$1005="P")*(MOVIMIENTOS!$D$5:$D$1005="jabas")*(MOVIMIENTOS!$A$5:$A$1005&lt;&gt;"")*(MOVIMIENTOS!$A$5:$A$1005&lt;=$A424)*MOVIMIENTOS!$E$5:$E$1005)-SUMPRODUCT((MOVIMIENTOS!$B$5:$B$1005="ENVÍO A SUPESA")*(MOVIMIENTOS!$C$5:$C$1005="P")*(MOVIMIENTOS!$D$5:$D$1005="jabas")*(MOVIMIENTOS!$A$5:$A$1005&lt;&gt;"")*(MOVIMIENTOS!$A$5:$A$1005&lt;=$A424)*MOVIMIENTOS!$E$5:$E$1005)+SUMPRODUCT((MOVIMIENTOS!$B$5:$B$1005="DEVOLUCIÓN")*(MOVIMIENTOS!$C$5:$C$1005="P")*(MOVIMIENTOS!$D$5:$D$1005="jabas")*(MOVIMIENTOS!$A$5:$A$1005&lt;&gt;"")*(MOVIMIENTOS!$A$5:$A$1005&lt;=$A424)*MOVIMIENTOS!$E$5:$E$1005)-SUMPRODUCT((MOVIMIENTOS!$B$5:$B$1005="TRASIEGO")*(MOVIMIENTOS!$C$5:$C$1005="P")*(MOVIMIENTOS!$D$5:$D$1005="jabas")*(MOVIMIENTOS!$A$5:$A$1005&lt;&gt;"")*(MOVIMIENTOS!$A$5:$A$1005&lt;=$A424)*MOVIMIENTOS!$E$5:$E$1005)-SUMPRODUCT((MOVIMIENTOS!$B$5:$B$1005="REGALO")*(MOVIMIENTOS!$C$5:$C$1005="P")*(MOVIMIENTOS!$D$5:$D$1005="jabas")*(MOVIMIENTOS!$A$5:$A$1005&lt;&gt;"")*(MOVIMIENTOS!$A$5:$A$1005&lt;=$A424)*MOVIMIENTOS!$E$5:$E$1005)-SUMPRODUCT((MOVIMIENTOS!$B$5:$B$1005="VENTA")*(MOVIMIENTOS!$C$5:$C$1005="P")*(MOVIMIENTOS!$D$5:$D$1005="jabas")*(MOVIMIENTOS!$A$5:$A$1005&lt;&gt;"")*(MOVIMIENTOS!$A$5:$A$1005&lt;=$A424)*MOVIMIENTOS!$E$5:$E$1005)+SUMPRODUCT((MOVIMIENTOS!$B$5:$B$1005="AJUSTE")*(MOVIMIENTOS!$C$5:$C$1005="P")*(MOVIMIENTOS!$D$5:$D$1005="jabas")*(MOVIMIENTOS!$A$5:$A$1005&lt;&gt;"")*(MOVIMIENTOS!$A$5:$A$1005&lt;=$A424)*MOVIMIENTOS!$E$5:$E$1005))</f>
        <v/>
      </c>
      <c r="D424" t="str">
        <f>IF($A424="","",SUMPRODUCT((MOVIMIENTOS!$B$5:$B$1005="SALDO INICIAL")*(MOVIMIENTOS!$C$5:$C$1005="C")*(MOVIMIENTOS!$D$5:$D$1005="jabas")*(MOVIMIENTOS!$A$5:$A$1005&lt;&gt;"")*(MOVIMIENTOS!$A$5:$A$1005&lt;=$A424)*MOVIMIENTOS!$E$5:$E$1005)+SUMPRODUCT((MOVIMIENTOS!$B$5:$B$1005="PROCESO")*(MOVIMIENTOS!$C$5:$C$1005="C")*(MOVIMIENTOS!$D$5:$D$1005="jabas")*(MOVIMIENTOS!$A$5:$A$1005&lt;&gt;"")*(MOVIMIENTOS!$A$5:$A$1005&lt;=$A424)*MOVIMIENTOS!$E$5:$E$1005)-SUMPRODUCT((MOVIMIENTOS!$B$5:$B$1005="ENVÍO A SUPESA")*(MOVIMIENTOS!$C$5:$C$1005="C")*(MOVIMIENTOS!$D$5:$D$1005="jabas")*(MOVIMIENTOS!$A$5:$A$1005&lt;&gt;"")*(MOVIMIENTOS!$A$5:$A$1005&lt;=$A424)*MOVIMIENTOS!$E$5:$E$1005)+SUMPRODUCT((MOVIMIENTOS!$B$5:$B$1005="DEVOLUCIÓN")*(MOVIMIENTOS!$C$5:$C$1005="C")*(MOVIMIENTOS!$D$5:$D$1005="jabas")*(MOVIMIENTOS!$A$5:$A$1005&lt;&gt;"")*(MOVIMIENTOS!$A$5:$A$1005&lt;=$A424)*MOVIMIENTOS!$E$5:$E$1005)-SUMPRODUCT((MOVIMIENTOS!$B$5:$B$1005="TRASIEGO")*(MOVIMIENTOS!$C$5:$C$1005="C")*(MOVIMIENTOS!$D$5:$D$1005="jabas")*(MOVIMIENTOS!$A$5:$A$1005&lt;&gt;"")*(MOVIMIENTOS!$A$5:$A$1005&lt;=$A424)*MOVIMIENTOS!$E$5:$E$1005)-SUMPRODUCT((MOVIMIENTOS!$B$5:$B$1005="REGALO")*(MOVIMIENTOS!$C$5:$C$1005="C")*(MOVIMIENTOS!$D$5:$D$1005="jabas")*(MOVIMIENTOS!$A$5:$A$1005&lt;&gt;"")*(MOVIMIENTOS!$A$5:$A$1005&lt;=$A424)*MOVIMIENTOS!$E$5:$E$1005)-SUMPRODUCT((MOVIMIENTOS!$B$5:$B$1005="VENTA")*(MOVIMIENTOS!$C$5:$C$1005="C")*(MOVIMIENTOS!$D$5:$D$1005="jabas")*(MOVIMIENTOS!$A$5:$A$1005&lt;&gt;"")*(MOVIMIENTOS!$A$5:$A$1005&lt;=$A424)*MOVIMIENTOS!$E$5:$E$1005)+SUMPRODUCT((MOVIMIENTOS!$B$5:$B$1005="AJUSTE")*(MOVIMIENTOS!$C$5:$C$1005="C")*(MOVIMIENTOS!$D$5:$D$1005="jabas")*(MOVIMIENTOS!$A$5:$A$1005&lt;&gt;"")*(MOVIMIENTOS!$A$5:$A$1005&lt;=$A424)*MOVIMIENTOS!$E$5:$E$1005))</f>
        <v/>
      </c>
      <c r="E424" t="str">
        <f>IF($A424="","",SUMPRODUCT((MOVIMIENTOS!$B$5:$B$1005="SALDO INICIAL")*(MOVIMIENTOS!$C$5:$C$1005="M")*(MOVIMIENTOS!$D$5:$D$1005="jabas")*(MOVIMIENTOS!$A$5:$A$1005&lt;&gt;"")*(MOVIMIENTOS!$A$5:$A$1005&lt;=$A424)*MOVIMIENTOS!$E$5:$E$1005)+SUMPRODUCT((MOVIMIENTOS!$B$5:$B$1005="PROCESO")*(MOVIMIENTOS!$C$5:$C$1005="M")*(MOVIMIENTOS!$D$5:$D$1005="jabas")*(MOVIMIENTOS!$A$5:$A$1005&lt;&gt;"")*(MOVIMIENTOS!$A$5:$A$1005&lt;=$A424)*MOVIMIENTOS!$E$5:$E$1005)-SUMPRODUCT((MOVIMIENTOS!$B$5:$B$1005="ENVÍO A SUPESA")*(MOVIMIENTOS!$C$5:$C$1005="M")*(MOVIMIENTOS!$D$5:$D$1005="jabas")*(MOVIMIENTOS!$A$5:$A$1005&lt;&gt;"")*(MOVIMIENTOS!$A$5:$A$1005&lt;=$A424)*MOVIMIENTOS!$E$5:$E$1005)+SUMPRODUCT((MOVIMIENTOS!$B$5:$B$1005="DEVOLUCIÓN")*(MOVIMIENTOS!$C$5:$C$1005="M")*(MOVIMIENTOS!$D$5:$D$1005="jabas")*(MOVIMIENTOS!$A$5:$A$1005&lt;&gt;"")*(MOVIMIENTOS!$A$5:$A$1005&lt;=$A424)*MOVIMIENTOS!$E$5:$E$1005)-SUMPRODUCT((MOVIMIENTOS!$B$5:$B$1005="TRASIEGO")*(MOVIMIENTOS!$C$5:$C$1005="M")*(MOVIMIENTOS!$D$5:$D$1005="jabas")*(MOVIMIENTOS!$A$5:$A$1005&lt;&gt;"")*(MOVIMIENTOS!$A$5:$A$1005&lt;=$A424)*MOVIMIENTOS!$E$5:$E$1005)-SUMPRODUCT((MOVIMIENTOS!$B$5:$B$1005="REGALO")*(MOVIMIENTOS!$C$5:$C$1005="M")*(MOVIMIENTOS!$D$5:$D$1005="jabas")*(MOVIMIENTOS!$A$5:$A$1005&lt;&gt;"")*(MOVIMIENTOS!$A$5:$A$1005&lt;=$A424)*MOVIMIENTOS!$E$5:$E$1005)-SUMPRODUCT((MOVIMIENTOS!$B$5:$B$1005="VENTA")*(MOVIMIENTOS!$C$5:$C$1005="M")*(MOVIMIENTOS!$D$5:$D$1005="jabas")*(MOVIMIENTOS!$A$5:$A$1005&lt;&gt;"")*(MOVIMIENTOS!$A$5:$A$1005&lt;=$A424)*MOVIMIENTOS!$E$5:$E$1005)+SUMPRODUCT((MOVIMIENTOS!$B$5:$B$1005="AJUSTE")*(MOVIMIENTOS!$C$5:$C$1005="M")*(MOVIMIENTOS!$D$5:$D$1005="jabas")*(MOVIMIENTOS!$A$5:$A$1005&lt;&gt;"")*(MOVIMIENTOS!$A$5:$A$1005&lt;=$A424)*MOVIMIENTOS!$E$5:$E$1005))</f>
        <v/>
      </c>
      <c r="F424" s="62" t="str">
        <f>IF($A424="","",SUMPRODUCT((MOVIMIENTOS!$B$5:$B$1005="SALDO INICIAL")*(MOVIMIENTOS!$C$5:$C$1005="Chancho")*(MOVIMIENTOS!$D$5:$D$1005="sacos")*(MOVIMIENTOS!$A$5:$A$1005&lt;&gt;"")*(MOVIMIENTOS!$A$5:$A$1005&lt;=$A424)*MOVIMIENTOS!$E$5:$E$1005)+SUMPRODUCT((MOVIMIENTOS!$B$5:$B$1005="PROCESO")*(MOVIMIENTOS!$C$5:$C$1005="Chancho")*(MOVIMIENTOS!$D$5:$D$1005="sacos")*(MOVIMIENTOS!$A$5:$A$1005&lt;&gt;"")*(MOVIMIENTOS!$A$5:$A$1005&lt;=$A424)*MOVIMIENTOS!$E$5:$E$1005)-SUMPRODUCT((MOVIMIENTOS!$B$5:$B$1005="VENTA CHANCHO")*(MOVIMIENTOS!$C$5:$C$1005="Chancho")*(MOVIMIENTOS!$D$5:$D$1005="sacos")*(MOVIMIENTOS!$A$5:$A$1005&lt;&gt;"")*(MOVIMIENTOS!$A$5:$A$1005&lt;=$A424)*MOVIMIENTOS!$E$5:$E$1005)-SUMPRODUCT((MOVIMIENTOS!$B$5:$B$1005="REGALO")*(MOVIMIENTOS!$C$5:$C$1005="Chancho")*(MOVIMIENTOS!$D$5:$D$1005="sacos")*(MOVIMIENTOS!$A$5:$A$1005&lt;&gt;"")*(MOVIMIENTOS!$A$5:$A$1005&lt;=$A424)*MOVIMIENTOS!$E$5:$E$1005)-SUMPRODUCT((MOVIMIENTOS!$B$5:$B$1005="VENTA")*(MOVIMIENTOS!$C$5:$C$1005="Chancho")*(MOVIMIENTOS!$D$5:$D$1005="sacos")*(MOVIMIENTOS!$A$5:$A$1005&lt;&gt;"")*(MOVIMIENTOS!$A$5:$A$1005&lt;=$A424)*MOVIMIENTOS!$E$5:$E$1005)+SUMPRODUCT((MOVIMIENTOS!$B$5:$B$1005="AJUSTE")*(MOVIMIENTOS!$C$5:$C$1005="Chancho")*(MOVIMIENTOS!$D$5:$D$1005="sacos")*(MOVIMIENTOS!$A$5:$A$1005&lt;&gt;"")*(MOVIMIENTOS!$A$5:$A$1005&lt;=$A424)*MOVIMIENTOS!$E$5:$E$1005))</f>
        <v/>
      </c>
      <c r="G424" s="62" t="str">
        <f t="shared" si="13"/>
        <v/>
      </c>
      <c r="H424" t="str">
        <f>IF($A424="","",SUMPRODUCT((((MOVIMIENTOS!$B$5:$B$1005="SALDO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424)*MOVIMIENTOS!$J$5:$J$1005))</f>
        <v/>
      </c>
      <c r="J424" t="str">
        <f>IF(AND(MOVIMIENTOS!$A427&lt;&gt;"",COUNTIF(MOVIMIENTOS!$A$5:$A426,MOVIMIENTOS!$A427)=0),COUNT(J$4:J423)+1,"")</f>
        <v/>
      </c>
      <c r="K424" s="67">
        <f>MOVIMIENTOS!$A427</f>
        <v>46250</v>
      </c>
    </row>
    <row r="425" spans="1:11" ht="15" customHeight="1" x14ac:dyDescent="0.2">
      <c r="A425" t="str">
        <f t="shared" si="12"/>
        <v/>
      </c>
      <c r="B425" t="str">
        <f>IF($A425="","",SUMPRODUCT((MOVIMIENTOS!$B$5:$B$1005="SALDO INICIAL")*(MOVIMIENTOS!$C$5:$C$1005="A")*(MOVIMIENTOS!$D$5:$D$1005="jabas")*(MOVIMIENTOS!$A$5:$A$1005&lt;&gt;"")*(MOVIMIENTOS!$A$5:$A$1005&lt;=$A425)*MOVIMIENTOS!$E$5:$E$1005)+SUMPRODUCT((MOVIMIENTOS!$B$5:$B$1005="PROCESO")*(MOVIMIENTOS!$C$5:$C$1005="A")*(MOVIMIENTOS!$D$5:$D$1005="jabas")*(MOVIMIENTOS!$A$5:$A$1005&lt;&gt;"")*(MOVIMIENTOS!$A$5:$A$1005&lt;=$A425)*MOVIMIENTOS!$E$5:$E$1005)-SUMPRODUCT((MOVIMIENTOS!$B$5:$B$1005="ENVÍO A SUPESA")*(MOVIMIENTOS!$C$5:$C$1005="A")*(MOVIMIENTOS!$D$5:$D$1005="jabas")*(MOVIMIENTOS!$A$5:$A$1005&lt;&gt;"")*(MOVIMIENTOS!$A$5:$A$1005&lt;=$A425)*MOVIMIENTOS!$E$5:$E$1005)+SUMPRODUCT((MOVIMIENTOS!$B$5:$B$1005="DEVOLUCIÓN")*(MOVIMIENTOS!$C$5:$C$1005="A")*(MOVIMIENTOS!$D$5:$D$1005="jabas")*(MOVIMIENTOS!$A$5:$A$1005&lt;&gt;"")*(MOVIMIENTOS!$A$5:$A$1005&lt;=$A425)*MOVIMIENTOS!$E$5:$E$1005)-SUMPRODUCT((MOVIMIENTOS!$B$5:$B$1005="TRASIEGO")*(MOVIMIENTOS!$C$5:$C$1005="A")*(MOVIMIENTOS!$D$5:$D$1005="jabas")*(MOVIMIENTOS!$A$5:$A$1005&lt;&gt;"")*(MOVIMIENTOS!$A$5:$A$1005&lt;=$A425)*MOVIMIENTOS!$E$5:$E$1005)-SUMPRODUCT((MOVIMIENTOS!$B$5:$B$1005="REGALO")*(MOVIMIENTOS!$C$5:$C$1005="A")*(MOVIMIENTOS!$D$5:$D$1005="jabas")*(MOVIMIENTOS!$A$5:$A$1005&lt;&gt;"")*(MOVIMIENTOS!$A$5:$A$1005&lt;=$A425)*MOVIMIENTOS!$E$5:$E$1005)-SUMPRODUCT((MOVIMIENTOS!$B$5:$B$1005="VENTA")*(MOVIMIENTOS!$C$5:$C$1005="A")*(MOVIMIENTOS!$D$5:$D$1005="jabas")*(MOVIMIENTOS!$A$5:$A$1005&lt;&gt;"")*(MOVIMIENTOS!$A$5:$A$1005&lt;=$A425)*MOVIMIENTOS!$E$5:$E$1005)+SUMPRODUCT((MOVIMIENTOS!$B$5:$B$1005="AJUSTE")*(MOVIMIENTOS!$C$5:$C$1005="A")*(MOVIMIENTOS!$D$5:$D$1005="jabas")*(MOVIMIENTOS!$A$5:$A$1005&lt;&gt;"")*(MOVIMIENTOS!$A$5:$A$1005&lt;=$A425)*MOVIMIENTOS!$E$5:$E$1005))</f>
        <v/>
      </c>
      <c r="C425" t="str">
        <f>IF($A425="","",SUMPRODUCT((MOVIMIENTOS!$B$5:$B$1005="SALDO INICIAL")*(MOVIMIENTOS!$C$5:$C$1005="P")*(MOVIMIENTOS!$D$5:$D$1005="jabas")*(MOVIMIENTOS!$A$5:$A$1005&lt;&gt;"")*(MOVIMIENTOS!$A$5:$A$1005&lt;=$A425)*MOVIMIENTOS!$E$5:$E$1005)+SUMPRODUCT((MOVIMIENTOS!$B$5:$B$1005="PROCESO")*(MOVIMIENTOS!$C$5:$C$1005="P")*(MOVIMIENTOS!$D$5:$D$1005="jabas")*(MOVIMIENTOS!$A$5:$A$1005&lt;&gt;"")*(MOVIMIENTOS!$A$5:$A$1005&lt;=$A425)*MOVIMIENTOS!$E$5:$E$1005)-SUMPRODUCT((MOVIMIENTOS!$B$5:$B$1005="ENVÍO A SUPESA")*(MOVIMIENTOS!$C$5:$C$1005="P")*(MOVIMIENTOS!$D$5:$D$1005="jabas")*(MOVIMIENTOS!$A$5:$A$1005&lt;&gt;"")*(MOVIMIENTOS!$A$5:$A$1005&lt;=$A425)*MOVIMIENTOS!$E$5:$E$1005)+SUMPRODUCT((MOVIMIENTOS!$B$5:$B$1005="DEVOLUCIÓN")*(MOVIMIENTOS!$C$5:$C$1005="P")*(MOVIMIENTOS!$D$5:$D$1005="jabas")*(MOVIMIENTOS!$A$5:$A$1005&lt;&gt;"")*(MOVIMIENTOS!$A$5:$A$1005&lt;=$A425)*MOVIMIENTOS!$E$5:$E$1005)-SUMPRODUCT((MOVIMIENTOS!$B$5:$B$1005="TRASIEGO")*(MOVIMIENTOS!$C$5:$C$1005="P")*(MOVIMIENTOS!$D$5:$D$1005="jabas")*(MOVIMIENTOS!$A$5:$A$1005&lt;&gt;"")*(MOVIMIENTOS!$A$5:$A$1005&lt;=$A425)*MOVIMIENTOS!$E$5:$E$1005)-SUMPRODUCT((MOVIMIENTOS!$B$5:$B$1005="REGALO")*(MOVIMIENTOS!$C$5:$C$1005="P")*(MOVIMIENTOS!$D$5:$D$1005="jabas")*(MOVIMIENTOS!$A$5:$A$1005&lt;&gt;"")*(MOVIMIENTOS!$A$5:$A$1005&lt;=$A425)*MOVIMIENTOS!$E$5:$E$1005)-SUMPRODUCT((MOVIMIENTOS!$B$5:$B$1005="VENTA")*(MOVIMIENTOS!$C$5:$C$1005="P")*(MOVIMIENTOS!$D$5:$D$1005="jabas")*(MOVIMIENTOS!$A$5:$A$1005&lt;&gt;"")*(MOVIMIENTOS!$A$5:$A$1005&lt;=$A425)*MOVIMIENTOS!$E$5:$E$1005)+SUMPRODUCT((MOVIMIENTOS!$B$5:$B$1005="AJUSTE")*(MOVIMIENTOS!$C$5:$C$1005="P")*(MOVIMIENTOS!$D$5:$D$1005="jabas")*(MOVIMIENTOS!$A$5:$A$1005&lt;&gt;"")*(MOVIMIENTOS!$A$5:$A$1005&lt;=$A425)*MOVIMIENTOS!$E$5:$E$1005))</f>
        <v/>
      </c>
      <c r="D425" t="str">
        <f>IF($A425="","",SUMPRODUCT((MOVIMIENTOS!$B$5:$B$1005="SALDO INICIAL")*(MOVIMIENTOS!$C$5:$C$1005="C")*(MOVIMIENTOS!$D$5:$D$1005="jabas")*(MOVIMIENTOS!$A$5:$A$1005&lt;&gt;"")*(MOVIMIENTOS!$A$5:$A$1005&lt;=$A425)*MOVIMIENTOS!$E$5:$E$1005)+SUMPRODUCT((MOVIMIENTOS!$B$5:$B$1005="PROCESO")*(MOVIMIENTOS!$C$5:$C$1005="C")*(MOVIMIENTOS!$D$5:$D$1005="jabas")*(MOVIMIENTOS!$A$5:$A$1005&lt;&gt;"")*(MOVIMIENTOS!$A$5:$A$1005&lt;=$A425)*MOVIMIENTOS!$E$5:$E$1005)-SUMPRODUCT((MOVIMIENTOS!$B$5:$B$1005="ENVÍO A SUPESA")*(MOVIMIENTOS!$C$5:$C$1005="C")*(MOVIMIENTOS!$D$5:$D$1005="jabas")*(MOVIMIENTOS!$A$5:$A$1005&lt;&gt;"")*(MOVIMIENTOS!$A$5:$A$1005&lt;=$A425)*MOVIMIENTOS!$E$5:$E$1005)+SUMPRODUCT((MOVIMIENTOS!$B$5:$B$1005="DEVOLUCIÓN")*(MOVIMIENTOS!$C$5:$C$1005="C")*(MOVIMIENTOS!$D$5:$D$1005="jabas")*(MOVIMIENTOS!$A$5:$A$1005&lt;&gt;"")*(MOVIMIENTOS!$A$5:$A$1005&lt;=$A425)*MOVIMIENTOS!$E$5:$E$1005)-SUMPRODUCT((MOVIMIENTOS!$B$5:$B$1005="TRASIEGO")*(MOVIMIENTOS!$C$5:$C$1005="C")*(MOVIMIENTOS!$D$5:$D$1005="jabas")*(MOVIMIENTOS!$A$5:$A$1005&lt;&gt;"")*(MOVIMIENTOS!$A$5:$A$1005&lt;=$A425)*MOVIMIENTOS!$E$5:$E$1005)-SUMPRODUCT((MOVIMIENTOS!$B$5:$B$1005="REGALO")*(MOVIMIENTOS!$C$5:$C$1005="C")*(MOVIMIENTOS!$D$5:$D$1005="jabas")*(MOVIMIENTOS!$A$5:$A$1005&lt;&gt;"")*(MOVIMIENTOS!$A$5:$A$1005&lt;=$A425)*MOVIMIENTOS!$E$5:$E$1005)-SUMPRODUCT((MOVIMIENTOS!$B$5:$B$1005="VENTA")*(MOVIMIENTOS!$C$5:$C$1005="C")*(MOVIMIENTOS!$D$5:$D$1005="jabas")*(MOVIMIENTOS!$A$5:$A$1005&lt;&gt;"")*(MOVIMIENTOS!$A$5:$A$1005&lt;=$A425)*MOVIMIENTOS!$E$5:$E$1005)+SUMPRODUCT((MOVIMIENTOS!$B$5:$B$1005="AJUSTE")*(MOVIMIENTOS!$C$5:$C$1005="C")*(MOVIMIENTOS!$D$5:$D$1005="jabas")*(MOVIMIENTOS!$A$5:$A$1005&lt;&gt;"")*(MOVIMIENTOS!$A$5:$A$1005&lt;=$A425)*MOVIMIENTOS!$E$5:$E$1005))</f>
        <v/>
      </c>
      <c r="E425" t="str">
        <f>IF($A425="","",SUMPRODUCT((MOVIMIENTOS!$B$5:$B$1005="SALDO INICIAL")*(MOVIMIENTOS!$C$5:$C$1005="M")*(MOVIMIENTOS!$D$5:$D$1005="jabas")*(MOVIMIENTOS!$A$5:$A$1005&lt;&gt;"")*(MOVIMIENTOS!$A$5:$A$1005&lt;=$A425)*MOVIMIENTOS!$E$5:$E$1005)+SUMPRODUCT((MOVIMIENTOS!$B$5:$B$1005="PROCESO")*(MOVIMIENTOS!$C$5:$C$1005="M")*(MOVIMIENTOS!$D$5:$D$1005="jabas")*(MOVIMIENTOS!$A$5:$A$1005&lt;&gt;"")*(MOVIMIENTOS!$A$5:$A$1005&lt;=$A425)*MOVIMIENTOS!$E$5:$E$1005)-SUMPRODUCT((MOVIMIENTOS!$B$5:$B$1005="ENVÍO A SUPESA")*(MOVIMIENTOS!$C$5:$C$1005="M")*(MOVIMIENTOS!$D$5:$D$1005="jabas")*(MOVIMIENTOS!$A$5:$A$1005&lt;&gt;"")*(MOVIMIENTOS!$A$5:$A$1005&lt;=$A425)*MOVIMIENTOS!$E$5:$E$1005)+SUMPRODUCT((MOVIMIENTOS!$B$5:$B$1005="DEVOLUCIÓN")*(MOVIMIENTOS!$C$5:$C$1005="M")*(MOVIMIENTOS!$D$5:$D$1005="jabas")*(MOVIMIENTOS!$A$5:$A$1005&lt;&gt;"")*(MOVIMIENTOS!$A$5:$A$1005&lt;=$A425)*MOVIMIENTOS!$E$5:$E$1005)-SUMPRODUCT((MOVIMIENTOS!$B$5:$B$1005="TRASIEGO")*(MOVIMIENTOS!$C$5:$C$1005="M")*(MOVIMIENTOS!$D$5:$D$1005="jabas")*(MOVIMIENTOS!$A$5:$A$1005&lt;&gt;"")*(MOVIMIENTOS!$A$5:$A$1005&lt;=$A425)*MOVIMIENTOS!$E$5:$E$1005)-SUMPRODUCT((MOVIMIENTOS!$B$5:$B$1005="REGALO")*(MOVIMIENTOS!$C$5:$C$1005="M")*(MOVIMIENTOS!$D$5:$D$1005="jabas")*(MOVIMIENTOS!$A$5:$A$1005&lt;&gt;"")*(MOVIMIENTOS!$A$5:$A$1005&lt;=$A425)*MOVIMIENTOS!$E$5:$E$1005)-SUMPRODUCT((MOVIMIENTOS!$B$5:$B$1005="VENTA")*(MOVIMIENTOS!$C$5:$C$1005="M")*(MOVIMIENTOS!$D$5:$D$1005="jabas")*(MOVIMIENTOS!$A$5:$A$1005&lt;&gt;"")*(MOVIMIENTOS!$A$5:$A$1005&lt;=$A425)*MOVIMIENTOS!$E$5:$E$1005)+SUMPRODUCT((MOVIMIENTOS!$B$5:$B$1005="AJUSTE")*(MOVIMIENTOS!$C$5:$C$1005="M")*(MOVIMIENTOS!$D$5:$D$1005="jabas")*(MOVIMIENTOS!$A$5:$A$1005&lt;&gt;"")*(MOVIMIENTOS!$A$5:$A$1005&lt;=$A425)*MOVIMIENTOS!$E$5:$E$1005))</f>
        <v/>
      </c>
      <c r="F425" s="62" t="str">
        <f>IF($A425="","",SUMPRODUCT((MOVIMIENTOS!$B$5:$B$1005="SALDO INICIAL")*(MOVIMIENTOS!$C$5:$C$1005="Chancho")*(MOVIMIENTOS!$D$5:$D$1005="sacos")*(MOVIMIENTOS!$A$5:$A$1005&lt;&gt;"")*(MOVIMIENTOS!$A$5:$A$1005&lt;=$A425)*MOVIMIENTOS!$E$5:$E$1005)+SUMPRODUCT((MOVIMIENTOS!$B$5:$B$1005="PROCESO")*(MOVIMIENTOS!$C$5:$C$1005="Chancho")*(MOVIMIENTOS!$D$5:$D$1005="sacos")*(MOVIMIENTOS!$A$5:$A$1005&lt;&gt;"")*(MOVIMIENTOS!$A$5:$A$1005&lt;=$A425)*MOVIMIENTOS!$E$5:$E$1005)-SUMPRODUCT((MOVIMIENTOS!$B$5:$B$1005="VENTA CHANCHO")*(MOVIMIENTOS!$C$5:$C$1005="Chancho")*(MOVIMIENTOS!$D$5:$D$1005="sacos")*(MOVIMIENTOS!$A$5:$A$1005&lt;&gt;"")*(MOVIMIENTOS!$A$5:$A$1005&lt;=$A425)*MOVIMIENTOS!$E$5:$E$1005)-SUMPRODUCT((MOVIMIENTOS!$B$5:$B$1005="REGALO")*(MOVIMIENTOS!$C$5:$C$1005="Chancho")*(MOVIMIENTOS!$D$5:$D$1005="sacos")*(MOVIMIENTOS!$A$5:$A$1005&lt;&gt;"")*(MOVIMIENTOS!$A$5:$A$1005&lt;=$A425)*MOVIMIENTOS!$E$5:$E$1005)-SUMPRODUCT((MOVIMIENTOS!$B$5:$B$1005="VENTA")*(MOVIMIENTOS!$C$5:$C$1005="Chancho")*(MOVIMIENTOS!$D$5:$D$1005="sacos")*(MOVIMIENTOS!$A$5:$A$1005&lt;&gt;"")*(MOVIMIENTOS!$A$5:$A$1005&lt;=$A425)*MOVIMIENTOS!$E$5:$E$1005)+SUMPRODUCT((MOVIMIENTOS!$B$5:$B$1005="AJUSTE")*(MOVIMIENTOS!$C$5:$C$1005="Chancho")*(MOVIMIENTOS!$D$5:$D$1005="sacos")*(MOVIMIENTOS!$A$5:$A$1005&lt;&gt;"")*(MOVIMIENTOS!$A$5:$A$1005&lt;=$A425)*MOVIMIENTOS!$E$5:$E$1005))</f>
        <v/>
      </c>
      <c r="G425" s="62" t="str">
        <f t="shared" si="13"/>
        <v/>
      </c>
      <c r="H425" t="str">
        <f>IF($A425="","",SUMPRODUCT((((MOVIMIENTOS!$B$5:$B$1005="SALDO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425)*MOVIMIENTOS!$J$5:$J$1005))</f>
        <v/>
      </c>
      <c r="J425" t="str">
        <f>IF(AND(MOVIMIENTOS!$A428&lt;&gt;"",COUNTIF(MOVIMIENTOS!$A$5:$A427,MOVIMIENTOS!$A428)=0),COUNT(J$4:J424)+1,"")</f>
        <v/>
      </c>
      <c r="K425" s="67">
        <f>MOVIMIENTOS!$A428</f>
        <v>46250</v>
      </c>
    </row>
    <row r="426" spans="1:11" ht="15" customHeight="1" x14ac:dyDescent="0.2">
      <c r="A426" t="str">
        <f t="shared" si="12"/>
        <v/>
      </c>
      <c r="B426" t="str">
        <f>IF($A426="","",SUMPRODUCT((MOVIMIENTOS!$B$5:$B$1005="SALDO INICIAL")*(MOVIMIENTOS!$C$5:$C$1005="A")*(MOVIMIENTOS!$D$5:$D$1005="jabas")*(MOVIMIENTOS!$A$5:$A$1005&lt;&gt;"")*(MOVIMIENTOS!$A$5:$A$1005&lt;=$A426)*MOVIMIENTOS!$E$5:$E$1005)+SUMPRODUCT((MOVIMIENTOS!$B$5:$B$1005="PROCESO")*(MOVIMIENTOS!$C$5:$C$1005="A")*(MOVIMIENTOS!$D$5:$D$1005="jabas")*(MOVIMIENTOS!$A$5:$A$1005&lt;&gt;"")*(MOVIMIENTOS!$A$5:$A$1005&lt;=$A426)*MOVIMIENTOS!$E$5:$E$1005)-SUMPRODUCT((MOVIMIENTOS!$B$5:$B$1005="ENVÍO A SUPESA")*(MOVIMIENTOS!$C$5:$C$1005="A")*(MOVIMIENTOS!$D$5:$D$1005="jabas")*(MOVIMIENTOS!$A$5:$A$1005&lt;&gt;"")*(MOVIMIENTOS!$A$5:$A$1005&lt;=$A426)*MOVIMIENTOS!$E$5:$E$1005)+SUMPRODUCT((MOVIMIENTOS!$B$5:$B$1005="DEVOLUCIÓN")*(MOVIMIENTOS!$C$5:$C$1005="A")*(MOVIMIENTOS!$D$5:$D$1005="jabas")*(MOVIMIENTOS!$A$5:$A$1005&lt;&gt;"")*(MOVIMIENTOS!$A$5:$A$1005&lt;=$A426)*MOVIMIENTOS!$E$5:$E$1005)-SUMPRODUCT((MOVIMIENTOS!$B$5:$B$1005="TRASIEGO")*(MOVIMIENTOS!$C$5:$C$1005="A")*(MOVIMIENTOS!$D$5:$D$1005="jabas")*(MOVIMIENTOS!$A$5:$A$1005&lt;&gt;"")*(MOVIMIENTOS!$A$5:$A$1005&lt;=$A426)*MOVIMIENTOS!$E$5:$E$1005)-SUMPRODUCT((MOVIMIENTOS!$B$5:$B$1005="REGALO")*(MOVIMIENTOS!$C$5:$C$1005="A")*(MOVIMIENTOS!$D$5:$D$1005="jabas")*(MOVIMIENTOS!$A$5:$A$1005&lt;&gt;"")*(MOVIMIENTOS!$A$5:$A$1005&lt;=$A426)*MOVIMIENTOS!$E$5:$E$1005)-SUMPRODUCT((MOVIMIENTOS!$B$5:$B$1005="VENTA")*(MOVIMIENTOS!$C$5:$C$1005="A")*(MOVIMIENTOS!$D$5:$D$1005="jabas")*(MOVIMIENTOS!$A$5:$A$1005&lt;&gt;"")*(MOVIMIENTOS!$A$5:$A$1005&lt;=$A426)*MOVIMIENTOS!$E$5:$E$1005)+SUMPRODUCT((MOVIMIENTOS!$B$5:$B$1005="AJUSTE")*(MOVIMIENTOS!$C$5:$C$1005="A")*(MOVIMIENTOS!$D$5:$D$1005="jabas")*(MOVIMIENTOS!$A$5:$A$1005&lt;&gt;"")*(MOVIMIENTOS!$A$5:$A$1005&lt;=$A426)*MOVIMIENTOS!$E$5:$E$1005))</f>
        <v/>
      </c>
      <c r="C426" t="str">
        <f>IF($A426="","",SUMPRODUCT((MOVIMIENTOS!$B$5:$B$1005="SALDO INICIAL")*(MOVIMIENTOS!$C$5:$C$1005="P")*(MOVIMIENTOS!$D$5:$D$1005="jabas")*(MOVIMIENTOS!$A$5:$A$1005&lt;&gt;"")*(MOVIMIENTOS!$A$5:$A$1005&lt;=$A426)*MOVIMIENTOS!$E$5:$E$1005)+SUMPRODUCT((MOVIMIENTOS!$B$5:$B$1005="PROCESO")*(MOVIMIENTOS!$C$5:$C$1005="P")*(MOVIMIENTOS!$D$5:$D$1005="jabas")*(MOVIMIENTOS!$A$5:$A$1005&lt;&gt;"")*(MOVIMIENTOS!$A$5:$A$1005&lt;=$A426)*MOVIMIENTOS!$E$5:$E$1005)-SUMPRODUCT((MOVIMIENTOS!$B$5:$B$1005="ENVÍO A SUPESA")*(MOVIMIENTOS!$C$5:$C$1005="P")*(MOVIMIENTOS!$D$5:$D$1005="jabas")*(MOVIMIENTOS!$A$5:$A$1005&lt;&gt;"")*(MOVIMIENTOS!$A$5:$A$1005&lt;=$A426)*MOVIMIENTOS!$E$5:$E$1005)+SUMPRODUCT((MOVIMIENTOS!$B$5:$B$1005="DEVOLUCIÓN")*(MOVIMIENTOS!$C$5:$C$1005="P")*(MOVIMIENTOS!$D$5:$D$1005="jabas")*(MOVIMIENTOS!$A$5:$A$1005&lt;&gt;"")*(MOVIMIENTOS!$A$5:$A$1005&lt;=$A426)*MOVIMIENTOS!$E$5:$E$1005)-SUMPRODUCT((MOVIMIENTOS!$B$5:$B$1005="TRASIEGO")*(MOVIMIENTOS!$C$5:$C$1005="P")*(MOVIMIENTOS!$D$5:$D$1005="jabas")*(MOVIMIENTOS!$A$5:$A$1005&lt;&gt;"")*(MOVIMIENTOS!$A$5:$A$1005&lt;=$A426)*MOVIMIENTOS!$E$5:$E$1005)-SUMPRODUCT((MOVIMIENTOS!$B$5:$B$1005="REGALO")*(MOVIMIENTOS!$C$5:$C$1005="P")*(MOVIMIENTOS!$D$5:$D$1005="jabas")*(MOVIMIENTOS!$A$5:$A$1005&lt;&gt;"")*(MOVIMIENTOS!$A$5:$A$1005&lt;=$A426)*MOVIMIENTOS!$E$5:$E$1005)-SUMPRODUCT((MOVIMIENTOS!$B$5:$B$1005="VENTA")*(MOVIMIENTOS!$C$5:$C$1005="P")*(MOVIMIENTOS!$D$5:$D$1005="jabas")*(MOVIMIENTOS!$A$5:$A$1005&lt;&gt;"")*(MOVIMIENTOS!$A$5:$A$1005&lt;=$A426)*MOVIMIENTOS!$E$5:$E$1005)+SUMPRODUCT((MOVIMIENTOS!$B$5:$B$1005="AJUSTE")*(MOVIMIENTOS!$C$5:$C$1005="P")*(MOVIMIENTOS!$D$5:$D$1005="jabas")*(MOVIMIENTOS!$A$5:$A$1005&lt;&gt;"")*(MOVIMIENTOS!$A$5:$A$1005&lt;=$A426)*MOVIMIENTOS!$E$5:$E$1005))</f>
        <v/>
      </c>
      <c r="D426" t="str">
        <f>IF($A426="","",SUMPRODUCT((MOVIMIENTOS!$B$5:$B$1005="SALDO INICIAL")*(MOVIMIENTOS!$C$5:$C$1005="C")*(MOVIMIENTOS!$D$5:$D$1005="jabas")*(MOVIMIENTOS!$A$5:$A$1005&lt;&gt;"")*(MOVIMIENTOS!$A$5:$A$1005&lt;=$A426)*MOVIMIENTOS!$E$5:$E$1005)+SUMPRODUCT((MOVIMIENTOS!$B$5:$B$1005="PROCESO")*(MOVIMIENTOS!$C$5:$C$1005="C")*(MOVIMIENTOS!$D$5:$D$1005="jabas")*(MOVIMIENTOS!$A$5:$A$1005&lt;&gt;"")*(MOVIMIENTOS!$A$5:$A$1005&lt;=$A426)*MOVIMIENTOS!$E$5:$E$1005)-SUMPRODUCT((MOVIMIENTOS!$B$5:$B$1005="ENVÍO A SUPESA")*(MOVIMIENTOS!$C$5:$C$1005="C")*(MOVIMIENTOS!$D$5:$D$1005="jabas")*(MOVIMIENTOS!$A$5:$A$1005&lt;&gt;"")*(MOVIMIENTOS!$A$5:$A$1005&lt;=$A426)*MOVIMIENTOS!$E$5:$E$1005)+SUMPRODUCT((MOVIMIENTOS!$B$5:$B$1005="DEVOLUCIÓN")*(MOVIMIENTOS!$C$5:$C$1005="C")*(MOVIMIENTOS!$D$5:$D$1005="jabas")*(MOVIMIENTOS!$A$5:$A$1005&lt;&gt;"")*(MOVIMIENTOS!$A$5:$A$1005&lt;=$A426)*MOVIMIENTOS!$E$5:$E$1005)-SUMPRODUCT((MOVIMIENTOS!$B$5:$B$1005="TRASIEGO")*(MOVIMIENTOS!$C$5:$C$1005="C")*(MOVIMIENTOS!$D$5:$D$1005="jabas")*(MOVIMIENTOS!$A$5:$A$1005&lt;&gt;"")*(MOVIMIENTOS!$A$5:$A$1005&lt;=$A426)*MOVIMIENTOS!$E$5:$E$1005)-SUMPRODUCT((MOVIMIENTOS!$B$5:$B$1005="REGALO")*(MOVIMIENTOS!$C$5:$C$1005="C")*(MOVIMIENTOS!$D$5:$D$1005="jabas")*(MOVIMIENTOS!$A$5:$A$1005&lt;&gt;"")*(MOVIMIENTOS!$A$5:$A$1005&lt;=$A426)*MOVIMIENTOS!$E$5:$E$1005)-SUMPRODUCT((MOVIMIENTOS!$B$5:$B$1005="VENTA")*(MOVIMIENTOS!$C$5:$C$1005="C")*(MOVIMIENTOS!$D$5:$D$1005="jabas")*(MOVIMIENTOS!$A$5:$A$1005&lt;&gt;"")*(MOVIMIENTOS!$A$5:$A$1005&lt;=$A426)*MOVIMIENTOS!$E$5:$E$1005)+SUMPRODUCT((MOVIMIENTOS!$B$5:$B$1005="AJUSTE")*(MOVIMIENTOS!$C$5:$C$1005="C")*(MOVIMIENTOS!$D$5:$D$1005="jabas")*(MOVIMIENTOS!$A$5:$A$1005&lt;&gt;"")*(MOVIMIENTOS!$A$5:$A$1005&lt;=$A426)*MOVIMIENTOS!$E$5:$E$1005))</f>
        <v/>
      </c>
      <c r="E426" t="str">
        <f>IF($A426="","",SUMPRODUCT((MOVIMIENTOS!$B$5:$B$1005="SALDO INICIAL")*(MOVIMIENTOS!$C$5:$C$1005="M")*(MOVIMIENTOS!$D$5:$D$1005="jabas")*(MOVIMIENTOS!$A$5:$A$1005&lt;&gt;"")*(MOVIMIENTOS!$A$5:$A$1005&lt;=$A426)*MOVIMIENTOS!$E$5:$E$1005)+SUMPRODUCT((MOVIMIENTOS!$B$5:$B$1005="PROCESO")*(MOVIMIENTOS!$C$5:$C$1005="M")*(MOVIMIENTOS!$D$5:$D$1005="jabas")*(MOVIMIENTOS!$A$5:$A$1005&lt;&gt;"")*(MOVIMIENTOS!$A$5:$A$1005&lt;=$A426)*MOVIMIENTOS!$E$5:$E$1005)-SUMPRODUCT((MOVIMIENTOS!$B$5:$B$1005="ENVÍO A SUPESA")*(MOVIMIENTOS!$C$5:$C$1005="M")*(MOVIMIENTOS!$D$5:$D$1005="jabas")*(MOVIMIENTOS!$A$5:$A$1005&lt;&gt;"")*(MOVIMIENTOS!$A$5:$A$1005&lt;=$A426)*MOVIMIENTOS!$E$5:$E$1005)+SUMPRODUCT((MOVIMIENTOS!$B$5:$B$1005="DEVOLUCIÓN")*(MOVIMIENTOS!$C$5:$C$1005="M")*(MOVIMIENTOS!$D$5:$D$1005="jabas")*(MOVIMIENTOS!$A$5:$A$1005&lt;&gt;"")*(MOVIMIENTOS!$A$5:$A$1005&lt;=$A426)*MOVIMIENTOS!$E$5:$E$1005)-SUMPRODUCT((MOVIMIENTOS!$B$5:$B$1005="TRASIEGO")*(MOVIMIENTOS!$C$5:$C$1005="M")*(MOVIMIENTOS!$D$5:$D$1005="jabas")*(MOVIMIENTOS!$A$5:$A$1005&lt;&gt;"")*(MOVIMIENTOS!$A$5:$A$1005&lt;=$A426)*MOVIMIENTOS!$E$5:$E$1005)-SUMPRODUCT((MOVIMIENTOS!$B$5:$B$1005="REGALO")*(MOVIMIENTOS!$C$5:$C$1005="M")*(MOVIMIENTOS!$D$5:$D$1005="jabas")*(MOVIMIENTOS!$A$5:$A$1005&lt;&gt;"")*(MOVIMIENTOS!$A$5:$A$1005&lt;=$A426)*MOVIMIENTOS!$E$5:$E$1005)-SUMPRODUCT((MOVIMIENTOS!$B$5:$B$1005="VENTA")*(MOVIMIENTOS!$C$5:$C$1005="M")*(MOVIMIENTOS!$D$5:$D$1005="jabas")*(MOVIMIENTOS!$A$5:$A$1005&lt;&gt;"")*(MOVIMIENTOS!$A$5:$A$1005&lt;=$A426)*MOVIMIENTOS!$E$5:$E$1005)+SUMPRODUCT((MOVIMIENTOS!$B$5:$B$1005="AJUSTE")*(MOVIMIENTOS!$C$5:$C$1005="M")*(MOVIMIENTOS!$D$5:$D$1005="jabas")*(MOVIMIENTOS!$A$5:$A$1005&lt;&gt;"")*(MOVIMIENTOS!$A$5:$A$1005&lt;=$A426)*MOVIMIENTOS!$E$5:$E$1005))</f>
        <v/>
      </c>
      <c r="F426" s="62" t="str">
        <f>IF($A426="","",SUMPRODUCT((MOVIMIENTOS!$B$5:$B$1005="SALDO INICIAL")*(MOVIMIENTOS!$C$5:$C$1005="Chancho")*(MOVIMIENTOS!$D$5:$D$1005="sacos")*(MOVIMIENTOS!$A$5:$A$1005&lt;&gt;"")*(MOVIMIENTOS!$A$5:$A$1005&lt;=$A426)*MOVIMIENTOS!$E$5:$E$1005)+SUMPRODUCT((MOVIMIENTOS!$B$5:$B$1005="PROCESO")*(MOVIMIENTOS!$C$5:$C$1005="Chancho")*(MOVIMIENTOS!$D$5:$D$1005="sacos")*(MOVIMIENTOS!$A$5:$A$1005&lt;&gt;"")*(MOVIMIENTOS!$A$5:$A$1005&lt;=$A426)*MOVIMIENTOS!$E$5:$E$1005)-SUMPRODUCT((MOVIMIENTOS!$B$5:$B$1005="VENTA CHANCHO")*(MOVIMIENTOS!$C$5:$C$1005="Chancho")*(MOVIMIENTOS!$D$5:$D$1005="sacos")*(MOVIMIENTOS!$A$5:$A$1005&lt;&gt;"")*(MOVIMIENTOS!$A$5:$A$1005&lt;=$A426)*MOVIMIENTOS!$E$5:$E$1005)-SUMPRODUCT((MOVIMIENTOS!$B$5:$B$1005="REGALO")*(MOVIMIENTOS!$C$5:$C$1005="Chancho")*(MOVIMIENTOS!$D$5:$D$1005="sacos")*(MOVIMIENTOS!$A$5:$A$1005&lt;&gt;"")*(MOVIMIENTOS!$A$5:$A$1005&lt;=$A426)*MOVIMIENTOS!$E$5:$E$1005)-SUMPRODUCT((MOVIMIENTOS!$B$5:$B$1005="VENTA")*(MOVIMIENTOS!$C$5:$C$1005="Chancho")*(MOVIMIENTOS!$D$5:$D$1005="sacos")*(MOVIMIENTOS!$A$5:$A$1005&lt;&gt;"")*(MOVIMIENTOS!$A$5:$A$1005&lt;=$A426)*MOVIMIENTOS!$E$5:$E$1005)+SUMPRODUCT((MOVIMIENTOS!$B$5:$B$1005="AJUSTE")*(MOVIMIENTOS!$C$5:$C$1005="Chancho")*(MOVIMIENTOS!$D$5:$D$1005="sacos")*(MOVIMIENTOS!$A$5:$A$1005&lt;&gt;"")*(MOVIMIENTOS!$A$5:$A$1005&lt;=$A426)*MOVIMIENTOS!$E$5:$E$1005))</f>
        <v/>
      </c>
      <c r="G426" s="62" t="str">
        <f t="shared" si="13"/>
        <v/>
      </c>
      <c r="H426" t="str">
        <f>IF($A426="","",SUMPRODUCT((((MOVIMIENTOS!$B$5:$B$1005="SALDO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426)*MOVIMIENTOS!$J$5:$J$1005))</f>
        <v/>
      </c>
      <c r="J426" t="str">
        <f>IF(AND(MOVIMIENTOS!$A429&lt;&gt;"",COUNTIF(MOVIMIENTOS!$A$5:$A428,MOVIMIENTOS!$A429)=0),COUNT(J$4:J425)+1,"")</f>
        <v/>
      </c>
      <c r="K426" s="67">
        <f>MOVIMIENTOS!$A429</f>
        <v>46250</v>
      </c>
    </row>
    <row r="427" spans="1:11" ht="15" customHeight="1" x14ac:dyDescent="0.2">
      <c r="A427" t="str">
        <f t="shared" si="12"/>
        <v/>
      </c>
      <c r="B427" t="str">
        <f>IF($A427="","",SUMPRODUCT((MOVIMIENTOS!$B$5:$B$1005="SALDO INICIAL")*(MOVIMIENTOS!$C$5:$C$1005="A")*(MOVIMIENTOS!$D$5:$D$1005="jabas")*(MOVIMIENTOS!$A$5:$A$1005&lt;&gt;"")*(MOVIMIENTOS!$A$5:$A$1005&lt;=$A427)*MOVIMIENTOS!$E$5:$E$1005)+SUMPRODUCT((MOVIMIENTOS!$B$5:$B$1005="PROCESO")*(MOVIMIENTOS!$C$5:$C$1005="A")*(MOVIMIENTOS!$D$5:$D$1005="jabas")*(MOVIMIENTOS!$A$5:$A$1005&lt;&gt;"")*(MOVIMIENTOS!$A$5:$A$1005&lt;=$A427)*MOVIMIENTOS!$E$5:$E$1005)-SUMPRODUCT((MOVIMIENTOS!$B$5:$B$1005="ENVÍO A SUPESA")*(MOVIMIENTOS!$C$5:$C$1005="A")*(MOVIMIENTOS!$D$5:$D$1005="jabas")*(MOVIMIENTOS!$A$5:$A$1005&lt;&gt;"")*(MOVIMIENTOS!$A$5:$A$1005&lt;=$A427)*MOVIMIENTOS!$E$5:$E$1005)+SUMPRODUCT((MOVIMIENTOS!$B$5:$B$1005="DEVOLUCIÓN")*(MOVIMIENTOS!$C$5:$C$1005="A")*(MOVIMIENTOS!$D$5:$D$1005="jabas")*(MOVIMIENTOS!$A$5:$A$1005&lt;&gt;"")*(MOVIMIENTOS!$A$5:$A$1005&lt;=$A427)*MOVIMIENTOS!$E$5:$E$1005)-SUMPRODUCT((MOVIMIENTOS!$B$5:$B$1005="TRASIEGO")*(MOVIMIENTOS!$C$5:$C$1005="A")*(MOVIMIENTOS!$D$5:$D$1005="jabas")*(MOVIMIENTOS!$A$5:$A$1005&lt;&gt;"")*(MOVIMIENTOS!$A$5:$A$1005&lt;=$A427)*MOVIMIENTOS!$E$5:$E$1005)-SUMPRODUCT((MOVIMIENTOS!$B$5:$B$1005="REGALO")*(MOVIMIENTOS!$C$5:$C$1005="A")*(MOVIMIENTOS!$D$5:$D$1005="jabas")*(MOVIMIENTOS!$A$5:$A$1005&lt;&gt;"")*(MOVIMIENTOS!$A$5:$A$1005&lt;=$A427)*MOVIMIENTOS!$E$5:$E$1005)-SUMPRODUCT((MOVIMIENTOS!$B$5:$B$1005="VENTA")*(MOVIMIENTOS!$C$5:$C$1005="A")*(MOVIMIENTOS!$D$5:$D$1005="jabas")*(MOVIMIENTOS!$A$5:$A$1005&lt;&gt;"")*(MOVIMIENTOS!$A$5:$A$1005&lt;=$A427)*MOVIMIENTOS!$E$5:$E$1005)+SUMPRODUCT((MOVIMIENTOS!$B$5:$B$1005="AJUSTE")*(MOVIMIENTOS!$C$5:$C$1005="A")*(MOVIMIENTOS!$D$5:$D$1005="jabas")*(MOVIMIENTOS!$A$5:$A$1005&lt;&gt;"")*(MOVIMIENTOS!$A$5:$A$1005&lt;=$A427)*MOVIMIENTOS!$E$5:$E$1005))</f>
        <v/>
      </c>
      <c r="C427" t="str">
        <f>IF($A427="","",SUMPRODUCT((MOVIMIENTOS!$B$5:$B$1005="SALDO INICIAL")*(MOVIMIENTOS!$C$5:$C$1005="P")*(MOVIMIENTOS!$D$5:$D$1005="jabas")*(MOVIMIENTOS!$A$5:$A$1005&lt;&gt;"")*(MOVIMIENTOS!$A$5:$A$1005&lt;=$A427)*MOVIMIENTOS!$E$5:$E$1005)+SUMPRODUCT((MOVIMIENTOS!$B$5:$B$1005="PROCESO")*(MOVIMIENTOS!$C$5:$C$1005="P")*(MOVIMIENTOS!$D$5:$D$1005="jabas")*(MOVIMIENTOS!$A$5:$A$1005&lt;&gt;"")*(MOVIMIENTOS!$A$5:$A$1005&lt;=$A427)*MOVIMIENTOS!$E$5:$E$1005)-SUMPRODUCT((MOVIMIENTOS!$B$5:$B$1005="ENVÍO A SUPESA")*(MOVIMIENTOS!$C$5:$C$1005="P")*(MOVIMIENTOS!$D$5:$D$1005="jabas")*(MOVIMIENTOS!$A$5:$A$1005&lt;&gt;"")*(MOVIMIENTOS!$A$5:$A$1005&lt;=$A427)*MOVIMIENTOS!$E$5:$E$1005)+SUMPRODUCT((MOVIMIENTOS!$B$5:$B$1005="DEVOLUCIÓN")*(MOVIMIENTOS!$C$5:$C$1005="P")*(MOVIMIENTOS!$D$5:$D$1005="jabas")*(MOVIMIENTOS!$A$5:$A$1005&lt;&gt;"")*(MOVIMIENTOS!$A$5:$A$1005&lt;=$A427)*MOVIMIENTOS!$E$5:$E$1005)-SUMPRODUCT((MOVIMIENTOS!$B$5:$B$1005="TRASIEGO")*(MOVIMIENTOS!$C$5:$C$1005="P")*(MOVIMIENTOS!$D$5:$D$1005="jabas")*(MOVIMIENTOS!$A$5:$A$1005&lt;&gt;"")*(MOVIMIENTOS!$A$5:$A$1005&lt;=$A427)*MOVIMIENTOS!$E$5:$E$1005)-SUMPRODUCT((MOVIMIENTOS!$B$5:$B$1005="REGALO")*(MOVIMIENTOS!$C$5:$C$1005="P")*(MOVIMIENTOS!$D$5:$D$1005="jabas")*(MOVIMIENTOS!$A$5:$A$1005&lt;&gt;"")*(MOVIMIENTOS!$A$5:$A$1005&lt;=$A427)*MOVIMIENTOS!$E$5:$E$1005)-SUMPRODUCT((MOVIMIENTOS!$B$5:$B$1005="VENTA")*(MOVIMIENTOS!$C$5:$C$1005="P")*(MOVIMIENTOS!$D$5:$D$1005="jabas")*(MOVIMIENTOS!$A$5:$A$1005&lt;&gt;"")*(MOVIMIENTOS!$A$5:$A$1005&lt;=$A427)*MOVIMIENTOS!$E$5:$E$1005)+SUMPRODUCT((MOVIMIENTOS!$B$5:$B$1005="AJUSTE")*(MOVIMIENTOS!$C$5:$C$1005="P")*(MOVIMIENTOS!$D$5:$D$1005="jabas")*(MOVIMIENTOS!$A$5:$A$1005&lt;&gt;"")*(MOVIMIENTOS!$A$5:$A$1005&lt;=$A427)*MOVIMIENTOS!$E$5:$E$1005))</f>
        <v/>
      </c>
      <c r="D427" t="str">
        <f>IF($A427="","",SUMPRODUCT((MOVIMIENTOS!$B$5:$B$1005="SALDO INICIAL")*(MOVIMIENTOS!$C$5:$C$1005="C")*(MOVIMIENTOS!$D$5:$D$1005="jabas")*(MOVIMIENTOS!$A$5:$A$1005&lt;&gt;"")*(MOVIMIENTOS!$A$5:$A$1005&lt;=$A427)*MOVIMIENTOS!$E$5:$E$1005)+SUMPRODUCT((MOVIMIENTOS!$B$5:$B$1005="PROCESO")*(MOVIMIENTOS!$C$5:$C$1005="C")*(MOVIMIENTOS!$D$5:$D$1005="jabas")*(MOVIMIENTOS!$A$5:$A$1005&lt;&gt;"")*(MOVIMIENTOS!$A$5:$A$1005&lt;=$A427)*MOVIMIENTOS!$E$5:$E$1005)-SUMPRODUCT((MOVIMIENTOS!$B$5:$B$1005="ENVÍO A SUPESA")*(MOVIMIENTOS!$C$5:$C$1005="C")*(MOVIMIENTOS!$D$5:$D$1005="jabas")*(MOVIMIENTOS!$A$5:$A$1005&lt;&gt;"")*(MOVIMIENTOS!$A$5:$A$1005&lt;=$A427)*MOVIMIENTOS!$E$5:$E$1005)+SUMPRODUCT((MOVIMIENTOS!$B$5:$B$1005="DEVOLUCIÓN")*(MOVIMIENTOS!$C$5:$C$1005="C")*(MOVIMIENTOS!$D$5:$D$1005="jabas")*(MOVIMIENTOS!$A$5:$A$1005&lt;&gt;"")*(MOVIMIENTOS!$A$5:$A$1005&lt;=$A427)*MOVIMIENTOS!$E$5:$E$1005)-SUMPRODUCT((MOVIMIENTOS!$B$5:$B$1005="TRASIEGO")*(MOVIMIENTOS!$C$5:$C$1005="C")*(MOVIMIENTOS!$D$5:$D$1005="jabas")*(MOVIMIENTOS!$A$5:$A$1005&lt;&gt;"")*(MOVIMIENTOS!$A$5:$A$1005&lt;=$A427)*MOVIMIENTOS!$E$5:$E$1005)-SUMPRODUCT((MOVIMIENTOS!$B$5:$B$1005="REGALO")*(MOVIMIENTOS!$C$5:$C$1005="C")*(MOVIMIENTOS!$D$5:$D$1005="jabas")*(MOVIMIENTOS!$A$5:$A$1005&lt;&gt;"")*(MOVIMIENTOS!$A$5:$A$1005&lt;=$A427)*MOVIMIENTOS!$E$5:$E$1005)-SUMPRODUCT((MOVIMIENTOS!$B$5:$B$1005="VENTA")*(MOVIMIENTOS!$C$5:$C$1005="C")*(MOVIMIENTOS!$D$5:$D$1005="jabas")*(MOVIMIENTOS!$A$5:$A$1005&lt;&gt;"")*(MOVIMIENTOS!$A$5:$A$1005&lt;=$A427)*MOVIMIENTOS!$E$5:$E$1005)+SUMPRODUCT((MOVIMIENTOS!$B$5:$B$1005="AJUSTE")*(MOVIMIENTOS!$C$5:$C$1005="C")*(MOVIMIENTOS!$D$5:$D$1005="jabas")*(MOVIMIENTOS!$A$5:$A$1005&lt;&gt;"")*(MOVIMIENTOS!$A$5:$A$1005&lt;=$A427)*MOVIMIENTOS!$E$5:$E$1005))</f>
        <v/>
      </c>
      <c r="E427" t="str">
        <f>IF($A427="","",SUMPRODUCT((MOVIMIENTOS!$B$5:$B$1005="SALDO INICIAL")*(MOVIMIENTOS!$C$5:$C$1005="M")*(MOVIMIENTOS!$D$5:$D$1005="jabas")*(MOVIMIENTOS!$A$5:$A$1005&lt;&gt;"")*(MOVIMIENTOS!$A$5:$A$1005&lt;=$A427)*MOVIMIENTOS!$E$5:$E$1005)+SUMPRODUCT((MOVIMIENTOS!$B$5:$B$1005="PROCESO")*(MOVIMIENTOS!$C$5:$C$1005="M")*(MOVIMIENTOS!$D$5:$D$1005="jabas")*(MOVIMIENTOS!$A$5:$A$1005&lt;&gt;"")*(MOVIMIENTOS!$A$5:$A$1005&lt;=$A427)*MOVIMIENTOS!$E$5:$E$1005)-SUMPRODUCT((MOVIMIENTOS!$B$5:$B$1005="ENVÍO A SUPESA")*(MOVIMIENTOS!$C$5:$C$1005="M")*(MOVIMIENTOS!$D$5:$D$1005="jabas")*(MOVIMIENTOS!$A$5:$A$1005&lt;&gt;"")*(MOVIMIENTOS!$A$5:$A$1005&lt;=$A427)*MOVIMIENTOS!$E$5:$E$1005)+SUMPRODUCT((MOVIMIENTOS!$B$5:$B$1005="DEVOLUCIÓN")*(MOVIMIENTOS!$C$5:$C$1005="M")*(MOVIMIENTOS!$D$5:$D$1005="jabas")*(MOVIMIENTOS!$A$5:$A$1005&lt;&gt;"")*(MOVIMIENTOS!$A$5:$A$1005&lt;=$A427)*MOVIMIENTOS!$E$5:$E$1005)-SUMPRODUCT((MOVIMIENTOS!$B$5:$B$1005="TRASIEGO")*(MOVIMIENTOS!$C$5:$C$1005="M")*(MOVIMIENTOS!$D$5:$D$1005="jabas")*(MOVIMIENTOS!$A$5:$A$1005&lt;&gt;"")*(MOVIMIENTOS!$A$5:$A$1005&lt;=$A427)*MOVIMIENTOS!$E$5:$E$1005)-SUMPRODUCT((MOVIMIENTOS!$B$5:$B$1005="REGALO")*(MOVIMIENTOS!$C$5:$C$1005="M")*(MOVIMIENTOS!$D$5:$D$1005="jabas")*(MOVIMIENTOS!$A$5:$A$1005&lt;&gt;"")*(MOVIMIENTOS!$A$5:$A$1005&lt;=$A427)*MOVIMIENTOS!$E$5:$E$1005)-SUMPRODUCT((MOVIMIENTOS!$B$5:$B$1005="VENTA")*(MOVIMIENTOS!$C$5:$C$1005="M")*(MOVIMIENTOS!$D$5:$D$1005="jabas")*(MOVIMIENTOS!$A$5:$A$1005&lt;&gt;"")*(MOVIMIENTOS!$A$5:$A$1005&lt;=$A427)*MOVIMIENTOS!$E$5:$E$1005)+SUMPRODUCT((MOVIMIENTOS!$B$5:$B$1005="AJUSTE")*(MOVIMIENTOS!$C$5:$C$1005="M")*(MOVIMIENTOS!$D$5:$D$1005="jabas")*(MOVIMIENTOS!$A$5:$A$1005&lt;&gt;"")*(MOVIMIENTOS!$A$5:$A$1005&lt;=$A427)*MOVIMIENTOS!$E$5:$E$1005))</f>
        <v/>
      </c>
      <c r="F427" s="62" t="str">
        <f>IF($A427="","",SUMPRODUCT((MOVIMIENTOS!$B$5:$B$1005="SALDO INICIAL")*(MOVIMIENTOS!$C$5:$C$1005="Chancho")*(MOVIMIENTOS!$D$5:$D$1005="sacos")*(MOVIMIENTOS!$A$5:$A$1005&lt;&gt;"")*(MOVIMIENTOS!$A$5:$A$1005&lt;=$A427)*MOVIMIENTOS!$E$5:$E$1005)+SUMPRODUCT((MOVIMIENTOS!$B$5:$B$1005="PROCESO")*(MOVIMIENTOS!$C$5:$C$1005="Chancho")*(MOVIMIENTOS!$D$5:$D$1005="sacos")*(MOVIMIENTOS!$A$5:$A$1005&lt;&gt;"")*(MOVIMIENTOS!$A$5:$A$1005&lt;=$A427)*MOVIMIENTOS!$E$5:$E$1005)-SUMPRODUCT((MOVIMIENTOS!$B$5:$B$1005="VENTA CHANCHO")*(MOVIMIENTOS!$C$5:$C$1005="Chancho")*(MOVIMIENTOS!$D$5:$D$1005="sacos")*(MOVIMIENTOS!$A$5:$A$1005&lt;&gt;"")*(MOVIMIENTOS!$A$5:$A$1005&lt;=$A427)*MOVIMIENTOS!$E$5:$E$1005)-SUMPRODUCT((MOVIMIENTOS!$B$5:$B$1005="REGALO")*(MOVIMIENTOS!$C$5:$C$1005="Chancho")*(MOVIMIENTOS!$D$5:$D$1005="sacos")*(MOVIMIENTOS!$A$5:$A$1005&lt;&gt;"")*(MOVIMIENTOS!$A$5:$A$1005&lt;=$A427)*MOVIMIENTOS!$E$5:$E$1005)-SUMPRODUCT((MOVIMIENTOS!$B$5:$B$1005="VENTA")*(MOVIMIENTOS!$C$5:$C$1005="Chancho")*(MOVIMIENTOS!$D$5:$D$1005="sacos")*(MOVIMIENTOS!$A$5:$A$1005&lt;&gt;"")*(MOVIMIENTOS!$A$5:$A$1005&lt;=$A427)*MOVIMIENTOS!$E$5:$E$1005)+SUMPRODUCT((MOVIMIENTOS!$B$5:$B$1005="AJUSTE")*(MOVIMIENTOS!$C$5:$C$1005="Chancho")*(MOVIMIENTOS!$D$5:$D$1005="sacos")*(MOVIMIENTOS!$A$5:$A$1005&lt;&gt;"")*(MOVIMIENTOS!$A$5:$A$1005&lt;=$A427)*MOVIMIENTOS!$E$5:$E$1005))</f>
        <v/>
      </c>
      <c r="G427" s="62" t="str">
        <f t="shared" si="13"/>
        <v/>
      </c>
      <c r="H427" t="str">
        <f>IF($A427="","",SUMPRODUCT((((MOVIMIENTOS!$B$5:$B$1005="SALDO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427)*MOVIMIENTOS!$J$5:$J$1005))</f>
        <v/>
      </c>
      <c r="J427" t="str">
        <f>IF(AND(MOVIMIENTOS!$A430&lt;&gt;"",COUNTIF(MOVIMIENTOS!$A$5:$A429,MOVIMIENTOS!$A430)=0),COUNT(J$4:J426)+1,"")</f>
        <v/>
      </c>
      <c r="K427" s="67">
        <f>MOVIMIENTOS!$A430</f>
        <v>46250</v>
      </c>
    </row>
    <row r="428" spans="1:11" ht="15" customHeight="1" x14ac:dyDescent="0.2">
      <c r="A428" t="str">
        <f t="shared" si="12"/>
        <v/>
      </c>
      <c r="B428" t="str">
        <f>IF($A428="","",SUMPRODUCT((MOVIMIENTOS!$B$5:$B$1005="SALDO INICIAL")*(MOVIMIENTOS!$C$5:$C$1005="A")*(MOVIMIENTOS!$D$5:$D$1005="jabas")*(MOVIMIENTOS!$A$5:$A$1005&lt;&gt;"")*(MOVIMIENTOS!$A$5:$A$1005&lt;=$A428)*MOVIMIENTOS!$E$5:$E$1005)+SUMPRODUCT((MOVIMIENTOS!$B$5:$B$1005="PROCESO")*(MOVIMIENTOS!$C$5:$C$1005="A")*(MOVIMIENTOS!$D$5:$D$1005="jabas")*(MOVIMIENTOS!$A$5:$A$1005&lt;&gt;"")*(MOVIMIENTOS!$A$5:$A$1005&lt;=$A428)*MOVIMIENTOS!$E$5:$E$1005)-SUMPRODUCT((MOVIMIENTOS!$B$5:$B$1005="ENVÍO A SUPESA")*(MOVIMIENTOS!$C$5:$C$1005="A")*(MOVIMIENTOS!$D$5:$D$1005="jabas")*(MOVIMIENTOS!$A$5:$A$1005&lt;&gt;"")*(MOVIMIENTOS!$A$5:$A$1005&lt;=$A428)*MOVIMIENTOS!$E$5:$E$1005)+SUMPRODUCT((MOVIMIENTOS!$B$5:$B$1005="DEVOLUCIÓN")*(MOVIMIENTOS!$C$5:$C$1005="A")*(MOVIMIENTOS!$D$5:$D$1005="jabas")*(MOVIMIENTOS!$A$5:$A$1005&lt;&gt;"")*(MOVIMIENTOS!$A$5:$A$1005&lt;=$A428)*MOVIMIENTOS!$E$5:$E$1005)-SUMPRODUCT((MOVIMIENTOS!$B$5:$B$1005="TRASIEGO")*(MOVIMIENTOS!$C$5:$C$1005="A")*(MOVIMIENTOS!$D$5:$D$1005="jabas")*(MOVIMIENTOS!$A$5:$A$1005&lt;&gt;"")*(MOVIMIENTOS!$A$5:$A$1005&lt;=$A428)*MOVIMIENTOS!$E$5:$E$1005)-SUMPRODUCT((MOVIMIENTOS!$B$5:$B$1005="REGALO")*(MOVIMIENTOS!$C$5:$C$1005="A")*(MOVIMIENTOS!$D$5:$D$1005="jabas")*(MOVIMIENTOS!$A$5:$A$1005&lt;&gt;"")*(MOVIMIENTOS!$A$5:$A$1005&lt;=$A428)*MOVIMIENTOS!$E$5:$E$1005)-SUMPRODUCT((MOVIMIENTOS!$B$5:$B$1005="VENTA")*(MOVIMIENTOS!$C$5:$C$1005="A")*(MOVIMIENTOS!$D$5:$D$1005="jabas")*(MOVIMIENTOS!$A$5:$A$1005&lt;&gt;"")*(MOVIMIENTOS!$A$5:$A$1005&lt;=$A428)*MOVIMIENTOS!$E$5:$E$1005)+SUMPRODUCT((MOVIMIENTOS!$B$5:$B$1005="AJUSTE")*(MOVIMIENTOS!$C$5:$C$1005="A")*(MOVIMIENTOS!$D$5:$D$1005="jabas")*(MOVIMIENTOS!$A$5:$A$1005&lt;&gt;"")*(MOVIMIENTOS!$A$5:$A$1005&lt;=$A428)*MOVIMIENTOS!$E$5:$E$1005))</f>
        <v/>
      </c>
      <c r="C428" t="str">
        <f>IF($A428="","",SUMPRODUCT((MOVIMIENTOS!$B$5:$B$1005="SALDO INICIAL")*(MOVIMIENTOS!$C$5:$C$1005="P")*(MOVIMIENTOS!$D$5:$D$1005="jabas")*(MOVIMIENTOS!$A$5:$A$1005&lt;&gt;"")*(MOVIMIENTOS!$A$5:$A$1005&lt;=$A428)*MOVIMIENTOS!$E$5:$E$1005)+SUMPRODUCT((MOVIMIENTOS!$B$5:$B$1005="PROCESO")*(MOVIMIENTOS!$C$5:$C$1005="P")*(MOVIMIENTOS!$D$5:$D$1005="jabas")*(MOVIMIENTOS!$A$5:$A$1005&lt;&gt;"")*(MOVIMIENTOS!$A$5:$A$1005&lt;=$A428)*MOVIMIENTOS!$E$5:$E$1005)-SUMPRODUCT((MOVIMIENTOS!$B$5:$B$1005="ENVÍO A SUPESA")*(MOVIMIENTOS!$C$5:$C$1005="P")*(MOVIMIENTOS!$D$5:$D$1005="jabas")*(MOVIMIENTOS!$A$5:$A$1005&lt;&gt;"")*(MOVIMIENTOS!$A$5:$A$1005&lt;=$A428)*MOVIMIENTOS!$E$5:$E$1005)+SUMPRODUCT((MOVIMIENTOS!$B$5:$B$1005="DEVOLUCIÓN")*(MOVIMIENTOS!$C$5:$C$1005="P")*(MOVIMIENTOS!$D$5:$D$1005="jabas")*(MOVIMIENTOS!$A$5:$A$1005&lt;&gt;"")*(MOVIMIENTOS!$A$5:$A$1005&lt;=$A428)*MOVIMIENTOS!$E$5:$E$1005)-SUMPRODUCT((MOVIMIENTOS!$B$5:$B$1005="TRASIEGO")*(MOVIMIENTOS!$C$5:$C$1005="P")*(MOVIMIENTOS!$D$5:$D$1005="jabas")*(MOVIMIENTOS!$A$5:$A$1005&lt;&gt;"")*(MOVIMIENTOS!$A$5:$A$1005&lt;=$A428)*MOVIMIENTOS!$E$5:$E$1005)-SUMPRODUCT((MOVIMIENTOS!$B$5:$B$1005="REGALO")*(MOVIMIENTOS!$C$5:$C$1005="P")*(MOVIMIENTOS!$D$5:$D$1005="jabas")*(MOVIMIENTOS!$A$5:$A$1005&lt;&gt;"")*(MOVIMIENTOS!$A$5:$A$1005&lt;=$A428)*MOVIMIENTOS!$E$5:$E$1005)-SUMPRODUCT((MOVIMIENTOS!$B$5:$B$1005="VENTA")*(MOVIMIENTOS!$C$5:$C$1005="P")*(MOVIMIENTOS!$D$5:$D$1005="jabas")*(MOVIMIENTOS!$A$5:$A$1005&lt;&gt;"")*(MOVIMIENTOS!$A$5:$A$1005&lt;=$A428)*MOVIMIENTOS!$E$5:$E$1005)+SUMPRODUCT((MOVIMIENTOS!$B$5:$B$1005="AJUSTE")*(MOVIMIENTOS!$C$5:$C$1005="P")*(MOVIMIENTOS!$D$5:$D$1005="jabas")*(MOVIMIENTOS!$A$5:$A$1005&lt;&gt;"")*(MOVIMIENTOS!$A$5:$A$1005&lt;=$A428)*MOVIMIENTOS!$E$5:$E$1005))</f>
        <v/>
      </c>
      <c r="D428" t="str">
        <f>IF($A428="","",SUMPRODUCT((MOVIMIENTOS!$B$5:$B$1005="SALDO INICIAL")*(MOVIMIENTOS!$C$5:$C$1005="C")*(MOVIMIENTOS!$D$5:$D$1005="jabas")*(MOVIMIENTOS!$A$5:$A$1005&lt;&gt;"")*(MOVIMIENTOS!$A$5:$A$1005&lt;=$A428)*MOVIMIENTOS!$E$5:$E$1005)+SUMPRODUCT((MOVIMIENTOS!$B$5:$B$1005="PROCESO")*(MOVIMIENTOS!$C$5:$C$1005="C")*(MOVIMIENTOS!$D$5:$D$1005="jabas")*(MOVIMIENTOS!$A$5:$A$1005&lt;&gt;"")*(MOVIMIENTOS!$A$5:$A$1005&lt;=$A428)*MOVIMIENTOS!$E$5:$E$1005)-SUMPRODUCT((MOVIMIENTOS!$B$5:$B$1005="ENVÍO A SUPESA")*(MOVIMIENTOS!$C$5:$C$1005="C")*(MOVIMIENTOS!$D$5:$D$1005="jabas")*(MOVIMIENTOS!$A$5:$A$1005&lt;&gt;"")*(MOVIMIENTOS!$A$5:$A$1005&lt;=$A428)*MOVIMIENTOS!$E$5:$E$1005)+SUMPRODUCT((MOVIMIENTOS!$B$5:$B$1005="DEVOLUCIÓN")*(MOVIMIENTOS!$C$5:$C$1005="C")*(MOVIMIENTOS!$D$5:$D$1005="jabas")*(MOVIMIENTOS!$A$5:$A$1005&lt;&gt;"")*(MOVIMIENTOS!$A$5:$A$1005&lt;=$A428)*MOVIMIENTOS!$E$5:$E$1005)-SUMPRODUCT((MOVIMIENTOS!$B$5:$B$1005="TRASIEGO")*(MOVIMIENTOS!$C$5:$C$1005="C")*(MOVIMIENTOS!$D$5:$D$1005="jabas")*(MOVIMIENTOS!$A$5:$A$1005&lt;&gt;"")*(MOVIMIENTOS!$A$5:$A$1005&lt;=$A428)*MOVIMIENTOS!$E$5:$E$1005)-SUMPRODUCT((MOVIMIENTOS!$B$5:$B$1005="REGALO")*(MOVIMIENTOS!$C$5:$C$1005="C")*(MOVIMIENTOS!$D$5:$D$1005="jabas")*(MOVIMIENTOS!$A$5:$A$1005&lt;&gt;"")*(MOVIMIENTOS!$A$5:$A$1005&lt;=$A428)*MOVIMIENTOS!$E$5:$E$1005)-SUMPRODUCT((MOVIMIENTOS!$B$5:$B$1005="VENTA")*(MOVIMIENTOS!$C$5:$C$1005="C")*(MOVIMIENTOS!$D$5:$D$1005="jabas")*(MOVIMIENTOS!$A$5:$A$1005&lt;&gt;"")*(MOVIMIENTOS!$A$5:$A$1005&lt;=$A428)*MOVIMIENTOS!$E$5:$E$1005)+SUMPRODUCT((MOVIMIENTOS!$B$5:$B$1005="AJUSTE")*(MOVIMIENTOS!$C$5:$C$1005="C")*(MOVIMIENTOS!$D$5:$D$1005="jabas")*(MOVIMIENTOS!$A$5:$A$1005&lt;&gt;"")*(MOVIMIENTOS!$A$5:$A$1005&lt;=$A428)*MOVIMIENTOS!$E$5:$E$1005))</f>
        <v/>
      </c>
      <c r="E428" t="str">
        <f>IF($A428="","",SUMPRODUCT((MOVIMIENTOS!$B$5:$B$1005="SALDO INICIAL")*(MOVIMIENTOS!$C$5:$C$1005="M")*(MOVIMIENTOS!$D$5:$D$1005="jabas")*(MOVIMIENTOS!$A$5:$A$1005&lt;&gt;"")*(MOVIMIENTOS!$A$5:$A$1005&lt;=$A428)*MOVIMIENTOS!$E$5:$E$1005)+SUMPRODUCT((MOVIMIENTOS!$B$5:$B$1005="PROCESO")*(MOVIMIENTOS!$C$5:$C$1005="M")*(MOVIMIENTOS!$D$5:$D$1005="jabas")*(MOVIMIENTOS!$A$5:$A$1005&lt;&gt;"")*(MOVIMIENTOS!$A$5:$A$1005&lt;=$A428)*MOVIMIENTOS!$E$5:$E$1005)-SUMPRODUCT((MOVIMIENTOS!$B$5:$B$1005="ENVÍO A SUPESA")*(MOVIMIENTOS!$C$5:$C$1005="M")*(MOVIMIENTOS!$D$5:$D$1005="jabas")*(MOVIMIENTOS!$A$5:$A$1005&lt;&gt;"")*(MOVIMIENTOS!$A$5:$A$1005&lt;=$A428)*MOVIMIENTOS!$E$5:$E$1005)+SUMPRODUCT((MOVIMIENTOS!$B$5:$B$1005="DEVOLUCIÓN")*(MOVIMIENTOS!$C$5:$C$1005="M")*(MOVIMIENTOS!$D$5:$D$1005="jabas")*(MOVIMIENTOS!$A$5:$A$1005&lt;&gt;"")*(MOVIMIENTOS!$A$5:$A$1005&lt;=$A428)*MOVIMIENTOS!$E$5:$E$1005)-SUMPRODUCT((MOVIMIENTOS!$B$5:$B$1005="TRASIEGO")*(MOVIMIENTOS!$C$5:$C$1005="M")*(MOVIMIENTOS!$D$5:$D$1005="jabas")*(MOVIMIENTOS!$A$5:$A$1005&lt;&gt;"")*(MOVIMIENTOS!$A$5:$A$1005&lt;=$A428)*MOVIMIENTOS!$E$5:$E$1005)-SUMPRODUCT((MOVIMIENTOS!$B$5:$B$1005="REGALO")*(MOVIMIENTOS!$C$5:$C$1005="M")*(MOVIMIENTOS!$D$5:$D$1005="jabas")*(MOVIMIENTOS!$A$5:$A$1005&lt;&gt;"")*(MOVIMIENTOS!$A$5:$A$1005&lt;=$A428)*MOVIMIENTOS!$E$5:$E$1005)-SUMPRODUCT((MOVIMIENTOS!$B$5:$B$1005="VENTA")*(MOVIMIENTOS!$C$5:$C$1005="M")*(MOVIMIENTOS!$D$5:$D$1005="jabas")*(MOVIMIENTOS!$A$5:$A$1005&lt;&gt;"")*(MOVIMIENTOS!$A$5:$A$1005&lt;=$A428)*MOVIMIENTOS!$E$5:$E$1005)+SUMPRODUCT((MOVIMIENTOS!$B$5:$B$1005="AJUSTE")*(MOVIMIENTOS!$C$5:$C$1005="M")*(MOVIMIENTOS!$D$5:$D$1005="jabas")*(MOVIMIENTOS!$A$5:$A$1005&lt;&gt;"")*(MOVIMIENTOS!$A$5:$A$1005&lt;=$A428)*MOVIMIENTOS!$E$5:$E$1005))</f>
        <v/>
      </c>
      <c r="F428" s="62" t="str">
        <f>IF($A428="","",SUMPRODUCT((MOVIMIENTOS!$B$5:$B$1005="SALDO INICIAL")*(MOVIMIENTOS!$C$5:$C$1005="Chancho")*(MOVIMIENTOS!$D$5:$D$1005="sacos")*(MOVIMIENTOS!$A$5:$A$1005&lt;&gt;"")*(MOVIMIENTOS!$A$5:$A$1005&lt;=$A428)*MOVIMIENTOS!$E$5:$E$1005)+SUMPRODUCT((MOVIMIENTOS!$B$5:$B$1005="PROCESO")*(MOVIMIENTOS!$C$5:$C$1005="Chancho")*(MOVIMIENTOS!$D$5:$D$1005="sacos")*(MOVIMIENTOS!$A$5:$A$1005&lt;&gt;"")*(MOVIMIENTOS!$A$5:$A$1005&lt;=$A428)*MOVIMIENTOS!$E$5:$E$1005)-SUMPRODUCT((MOVIMIENTOS!$B$5:$B$1005="VENTA CHANCHO")*(MOVIMIENTOS!$C$5:$C$1005="Chancho")*(MOVIMIENTOS!$D$5:$D$1005="sacos")*(MOVIMIENTOS!$A$5:$A$1005&lt;&gt;"")*(MOVIMIENTOS!$A$5:$A$1005&lt;=$A428)*MOVIMIENTOS!$E$5:$E$1005)-SUMPRODUCT((MOVIMIENTOS!$B$5:$B$1005="REGALO")*(MOVIMIENTOS!$C$5:$C$1005="Chancho")*(MOVIMIENTOS!$D$5:$D$1005="sacos")*(MOVIMIENTOS!$A$5:$A$1005&lt;&gt;"")*(MOVIMIENTOS!$A$5:$A$1005&lt;=$A428)*MOVIMIENTOS!$E$5:$E$1005)-SUMPRODUCT((MOVIMIENTOS!$B$5:$B$1005="VENTA")*(MOVIMIENTOS!$C$5:$C$1005="Chancho")*(MOVIMIENTOS!$D$5:$D$1005="sacos")*(MOVIMIENTOS!$A$5:$A$1005&lt;&gt;"")*(MOVIMIENTOS!$A$5:$A$1005&lt;=$A428)*MOVIMIENTOS!$E$5:$E$1005)+SUMPRODUCT((MOVIMIENTOS!$B$5:$B$1005="AJUSTE")*(MOVIMIENTOS!$C$5:$C$1005="Chancho")*(MOVIMIENTOS!$D$5:$D$1005="sacos")*(MOVIMIENTOS!$A$5:$A$1005&lt;&gt;"")*(MOVIMIENTOS!$A$5:$A$1005&lt;=$A428)*MOVIMIENTOS!$E$5:$E$1005))</f>
        <v/>
      </c>
      <c r="G428" s="62" t="str">
        <f t="shared" si="13"/>
        <v/>
      </c>
      <c r="H428" t="str">
        <f>IF($A428="","",SUMPRODUCT((((MOVIMIENTOS!$B$5:$B$1005="SALDO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428)*MOVIMIENTOS!$J$5:$J$1005))</f>
        <v/>
      </c>
      <c r="J428" t="str">
        <f>IF(AND(MOVIMIENTOS!$A431&lt;&gt;"",COUNTIF(MOVIMIENTOS!$A$5:$A430,MOVIMIENTOS!$A431)=0),COUNT(J$4:J427)+1,"")</f>
        <v/>
      </c>
      <c r="K428" s="67">
        <f>MOVIMIENTOS!$A431</f>
        <v>46250</v>
      </c>
    </row>
    <row r="429" spans="1:11" ht="15" customHeight="1" x14ac:dyDescent="0.2">
      <c r="A429" t="str">
        <f t="shared" si="12"/>
        <v/>
      </c>
      <c r="B429" t="str">
        <f>IF($A429="","",SUMPRODUCT((MOVIMIENTOS!$B$5:$B$1005="SALDO INICIAL")*(MOVIMIENTOS!$C$5:$C$1005="A")*(MOVIMIENTOS!$D$5:$D$1005="jabas")*(MOVIMIENTOS!$A$5:$A$1005&lt;&gt;"")*(MOVIMIENTOS!$A$5:$A$1005&lt;=$A429)*MOVIMIENTOS!$E$5:$E$1005)+SUMPRODUCT((MOVIMIENTOS!$B$5:$B$1005="PROCESO")*(MOVIMIENTOS!$C$5:$C$1005="A")*(MOVIMIENTOS!$D$5:$D$1005="jabas")*(MOVIMIENTOS!$A$5:$A$1005&lt;&gt;"")*(MOVIMIENTOS!$A$5:$A$1005&lt;=$A429)*MOVIMIENTOS!$E$5:$E$1005)-SUMPRODUCT((MOVIMIENTOS!$B$5:$B$1005="ENVÍO A SUPESA")*(MOVIMIENTOS!$C$5:$C$1005="A")*(MOVIMIENTOS!$D$5:$D$1005="jabas")*(MOVIMIENTOS!$A$5:$A$1005&lt;&gt;"")*(MOVIMIENTOS!$A$5:$A$1005&lt;=$A429)*MOVIMIENTOS!$E$5:$E$1005)+SUMPRODUCT((MOVIMIENTOS!$B$5:$B$1005="DEVOLUCIÓN")*(MOVIMIENTOS!$C$5:$C$1005="A")*(MOVIMIENTOS!$D$5:$D$1005="jabas")*(MOVIMIENTOS!$A$5:$A$1005&lt;&gt;"")*(MOVIMIENTOS!$A$5:$A$1005&lt;=$A429)*MOVIMIENTOS!$E$5:$E$1005)-SUMPRODUCT((MOVIMIENTOS!$B$5:$B$1005="TRASIEGO")*(MOVIMIENTOS!$C$5:$C$1005="A")*(MOVIMIENTOS!$D$5:$D$1005="jabas")*(MOVIMIENTOS!$A$5:$A$1005&lt;&gt;"")*(MOVIMIENTOS!$A$5:$A$1005&lt;=$A429)*MOVIMIENTOS!$E$5:$E$1005)-SUMPRODUCT((MOVIMIENTOS!$B$5:$B$1005="REGALO")*(MOVIMIENTOS!$C$5:$C$1005="A")*(MOVIMIENTOS!$D$5:$D$1005="jabas")*(MOVIMIENTOS!$A$5:$A$1005&lt;&gt;"")*(MOVIMIENTOS!$A$5:$A$1005&lt;=$A429)*MOVIMIENTOS!$E$5:$E$1005)-SUMPRODUCT((MOVIMIENTOS!$B$5:$B$1005="VENTA")*(MOVIMIENTOS!$C$5:$C$1005="A")*(MOVIMIENTOS!$D$5:$D$1005="jabas")*(MOVIMIENTOS!$A$5:$A$1005&lt;&gt;"")*(MOVIMIENTOS!$A$5:$A$1005&lt;=$A429)*MOVIMIENTOS!$E$5:$E$1005)+SUMPRODUCT((MOVIMIENTOS!$B$5:$B$1005="AJUSTE")*(MOVIMIENTOS!$C$5:$C$1005="A")*(MOVIMIENTOS!$D$5:$D$1005="jabas")*(MOVIMIENTOS!$A$5:$A$1005&lt;&gt;"")*(MOVIMIENTOS!$A$5:$A$1005&lt;=$A429)*MOVIMIENTOS!$E$5:$E$1005))</f>
        <v/>
      </c>
      <c r="C429" t="str">
        <f>IF($A429="","",SUMPRODUCT((MOVIMIENTOS!$B$5:$B$1005="SALDO INICIAL")*(MOVIMIENTOS!$C$5:$C$1005="P")*(MOVIMIENTOS!$D$5:$D$1005="jabas")*(MOVIMIENTOS!$A$5:$A$1005&lt;&gt;"")*(MOVIMIENTOS!$A$5:$A$1005&lt;=$A429)*MOVIMIENTOS!$E$5:$E$1005)+SUMPRODUCT((MOVIMIENTOS!$B$5:$B$1005="PROCESO")*(MOVIMIENTOS!$C$5:$C$1005="P")*(MOVIMIENTOS!$D$5:$D$1005="jabas")*(MOVIMIENTOS!$A$5:$A$1005&lt;&gt;"")*(MOVIMIENTOS!$A$5:$A$1005&lt;=$A429)*MOVIMIENTOS!$E$5:$E$1005)-SUMPRODUCT((MOVIMIENTOS!$B$5:$B$1005="ENVÍO A SUPESA")*(MOVIMIENTOS!$C$5:$C$1005="P")*(MOVIMIENTOS!$D$5:$D$1005="jabas")*(MOVIMIENTOS!$A$5:$A$1005&lt;&gt;"")*(MOVIMIENTOS!$A$5:$A$1005&lt;=$A429)*MOVIMIENTOS!$E$5:$E$1005)+SUMPRODUCT((MOVIMIENTOS!$B$5:$B$1005="DEVOLUCIÓN")*(MOVIMIENTOS!$C$5:$C$1005="P")*(MOVIMIENTOS!$D$5:$D$1005="jabas")*(MOVIMIENTOS!$A$5:$A$1005&lt;&gt;"")*(MOVIMIENTOS!$A$5:$A$1005&lt;=$A429)*MOVIMIENTOS!$E$5:$E$1005)-SUMPRODUCT((MOVIMIENTOS!$B$5:$B$1005="TRASIEGO")*(MOVIMIENTOS!$C$5:$C$1005="P")*(MOVIMIENTOS!$D$5:$D$1005="jabas")*(MOVIMIENTOS!$A$5:$A$1005&lt;&gt;"")*(MOVIMIENTOS!$A$5:$A$1005&lt;=$A429)*MOVIMIENTOS!$E$5:$E$1005)-SUMPRODUCT((MOVIMIENTOS!$B$5:$B$1005="REGALO")*(MOVIMIENTOS!$C$5:$C$1005="P")*(MOVIMIENTOS!$D$5:$D$1005="jabas")*(MOVIMIENTOS!$A$5:$A$1005&lt;&gt;"")*(MOVIMIENTOS!$A$5:$A$1005&lt;=$A429)*MOVIMIENTOS!$E$5:$E$1005)-SUMPRODUCT((MOVIMIENTOS!$B$5:$B$1005="VENTA")*(MOVIMIENTOS!$C$5:$C$1005="P")*(MOVIMIENTOS!$D$5:$D$1005="jabas")*(MOVIMIENTOS!$A$5:$A$1005&lt;&gt;"")*(MOVIMIENTOS!$A$5:$A$1005&lt;=$A429)*MOVIMIENTOS!$E$5:$E$1005)+SUMPRODUCT((MOVIMIENTOS!$B$5:$B$1005="AJUSTE")*(MOVIMIENTOS!$C$5:$C$1005="P")*(MOVIMIENTOS!$D$5:$D$1005="jabas")*(MOVIMIENTOS!$A$5:$A$1005&lt;&gt;"")*(MOVIMIENTOS!$A$5:$A$1005&lt;=$A429)*MOVIMIENTOS!$E$5:$E$1005))</f>
        <v/>
      </c>
      <c r="D429" t="str">
        <f>IF($A429="","",SUMPRODUCT((MOVIMIENTOS!$B$5:$B$1005="SALDO INICIAL")*(MOVIMIENTOS!$C$5:$C$1005="C")*(MOVIMIENTOS!$D$5:$D$1005="jabas")*(MOVIMIENTOS!$A$5:$A$1005&lt;&gt;"")*(MOVIMIENTOS!$A$5:$A$1005&lt;=$A429)*MOVIMIENTOS!$E$5:$E$1005)+SUMPRODUCT((MOVIMIENTOS!$B$5:$B$1005="PROCESO")*(MOVIMIENTOS!$C$5:$C$1005="C")*(MOVIMIENTOS!$D$5:$D$1005="jabas")*(MOVIMIENTOS!$A$5:$A$1005&lt;&gt;"")*(MOVIMIENTOS!$A$5:$A$1005&lt;=$A429)*MOVIMIENTOS!$E$5:$E$1005)-SUMPRODUCT((MOVIMIENTOS!$B$5:$B$1005="ENVÍO A SUPESA")*(MOVIMIENTOS!$C$5:$C$1005="C")*(MOVIMIENTOS!$D$5:$D$1005="jabas")*(MOVIMIENTOS!$A$5:$A$1005&lt;&gt;"")*(MOVIMIENTOS!$A$5:$A$1005&lt;=$A429)*MOVIMIENTOS!$E$5:$E$1005)+SUMPRODUCT((MOVIMIENTOS!$B$5:$B$1005="DEVOLUCIÓN")*(MOVIMIENTOS!$C$5:$C$1005="C")*(MOVIMIENTOS!$D$5:$D$1005="jabas")*(MOVIMIENTOS!$A$5:$A$1005&lt;&gt;"")*(MOVIMIENTOS!$A$5:$A$1005&lt;=$A429)*MOVIMIENTOS!$E$5:$E$1005)-SUMPRODUCT((MOVIMIENTOS!$B$5:$B$1005="TRASIEGO")*(MOVIMIENTOS!$C$5:$C$1005="C")*(MOVIMIENTOS!$D$5:$D$1005="jabas")*(MOVIMIENTOS!$A$5:$A$1005&lt;&gt;"")*(MOVIMIENTOS!$A$5:$A$1005&lt;=$A429)*MOVIMIENTOS!$E$5:$E$1005)-SUMPRODUCT((MOVIMIENTOS!$B$5:$B$1005="REGALO")*(MOVIMIENTOS!$C$5:$C$1005="C")*(MOVIMIENTOS!$D$5:$D$1005="jabas")*(MOVIMIENTOS!$A$5:$A$1005&lt;&gt;"")*(MOVIMIENTOS!$A$5:$A$1005&lt;=$A429)*MOVIMIENTOS!$E$5:$E$1005)-SUMPRODUCT((MOVIMIENTOS!$B$5:$B$1005="VENTA")*(MOVIMIENTOS!$C$5:$C$1005="C")*(MOVIMIENTOS!$D$5:$D$1005="jabas")*(MOVIMIENTOS!$A$5:$A$1005&lt;&gt;"")*(MOVIMIENTOS!$A$5:$A$1005&lt;=$A429)*MOVIMIENTOS!$E$5:$E$1005)+SUMPRODUCT((MOVIMIENTOS!$B$5:$B$1005="AJUSTE")*(MOVIMIENTOS!$C$5:$C$1005="C")*(MOVIMIENTOS!$D$5:$D$1005="jabas")*(MOVIMIENTOS!$A$5:$A$1005&lt;&gt;"")*(MOVIMIENTOS!$A$5:$A$1005&lt;=$A429)*MOVIMIENTOS!$E$5:$E$1005))</f>
        <v/>
      </c>
      <c r="E429" t="str">
        <f>IF($A429="","",SUMPRODUCT((MOVIMIENTOS!$B$5:$B$1005="SALDO INICIAL")*(MOVIMIENTOS!$C$5:$C$1005="M")*(MOVIMIENTOS!$D$5:$D$1005="jabas")*(MOVIMIENTOS!$A$5:$A$1005&lt;&gt;"")*(MOVIMIENTOS!$A$5:$A$1005&lt;=$A429)*MOVIMIENTOS!$E$5:$E$1005)+SUMPRODUCT((MOVIMIENTOS!$B$5:$B$1005="PROCESO")*(MOVIMIENTOS!$C$5:$C$1005="M")*(MOVIMIENTOS!$D$5:$D$1005="jabas")*(MOVIMIENTOS!$A$5:$A$1005&lt;&gt;"")*(MOVIMIENTOS!$A$5:$A$1005&lt;=$A429)*MOVIMIENTOS!$E$5:$E$1005)-SUMPRODUCT((MOVIMIENTOS!$B$5:$B$1005="ENVÍO A SUPESA")*(MOVIMIENTOS!$C$5:$C$1005="M")*(MOVIMIENTOS!$D$5:$D$1005="jabas")*(MOVIMIENTOS!$A$5:$A$1005&lt;&gt;"")*(MOVIMIENTOS!$A$5:$A$1005&lt;=$A429)*MOVIMIENTOS!$E$5:$E$1005)+SUMPRODUCT((MOVIMIENTOS!$B$5:$B$1005="DEVOLUCIÓN")*(MOVIMIENTOS!$C$5:$C$1005="M")*(MOVIMIENTOS!$D$5:$D$1005="jabas")*(MOVIMIENTOS!$A$5:$A$1005&lt;&gt;"")*(MOVIMIENTOS!$A$5:$A$1005&lt;=$A429)*MOVIMIENTOS!$E$5:$E$1005)-SUMPRODUCT((MOVIMIENTOS!$B$5:$B$1005="TRASIEGO")*(MOVIMIENTOS!$C$5:$C$1005="M")*(MOVIMIENTOS!$D$5:$D$1005="jabas")*(MOVIMIENTOS!$A$5:$A$1005&lt;&gt;"")*(MOVIMIENTOS!$A$5:$A$1005&lt;=$A429)*MOVIMIENTOS!$E$5:$E$1005)-SUMPRODUCT((MOVIMIENTOS!$B$5:$B$1005="REGALO")*(MOVIMIENTOS!$C$5:$C$1005="M")*(MOVIMIENTOS!$D$5:$D$1005="jabas")*(MOVIMIENTOS!$A$5:$A$1005&lt;&gt;"")*(MOVIMIENTOS!$A$5:$A$1005&lt;=$A429)*MOVIMIENTOS!$E$5:$E$1005)-SUMPRODUCT((MOVIMIENTOS!$B$5:$B$1005="VENTA")*(MOVIMIENTOS!$C$5:$C$1005="M")*(MOVIMIENTOS!$D$5:$D$1005="jabas")*(MOVIMIENTOS!$A$5:$A$1005&lt;&gt;"")*(MOVIMIENTOS!$A$5:$A$1005&lt;=$A429)*MOVIMIENTOS!$E$5:$E$1005)+SUMPRODUCT((MOVIMIENTOS!$B$5:$B$1005="AJUSTE")*(MOVIMIENTOS!$C$5:$C$1005="M")*(MOVIMIENTOS!$D$5:$D$1005="jabas")*(MOVIMIENTOS!$A$5:$A$1005&lt;&gt;"")*(MOVIMIENTOS!$A$5:$A$1005&lt;=$A429)*MOVIMIENTOS!$E$5:$E$1005))</f>
        <v/>
      </c>
      <c r="F429" s="62" t="str">
        <f>IF($A429="","",SUMPRODUCT((MOVIMIENTOS!$B$5:$B$1005="SALDO INICIAL")*(MOVIMIENTOS!$C$5:$C$1005="Chancho")*(MOVIMIENTOS!$D$5:$D$1005="sacos")*(MOVIMIENTOS!$A$5:$A$1005&lt;&gt;"")*(MOVIMIENTOS!$A$5:$A$1005&lt;=$A429)*MOVIMIENTOS!$E$5:$E$1005)+SUMPRODUCT((MOVIMIENTOS!$B$5:$B$1005="PROCESO")*(MOVIMIENTOS!$C$5:$C$1005="Chancho")*(MOVIMIENTOS!$D$5:$D$1005="sacos")*(MOVIMIENTOS!$A$5:$A$1005&lt;&gt;"")*(MOVIMIENTOS!$A$5:$A$1005&lt;=$A429)*MOVIMIENTOS!$E$5:$E$1005)-SUMPRODUCT((MOVIMIENTOS!$B$5:$B$1005="VENTA CHANCHO")*(MOVIMIENTOS!$C$5:$C$1005="Chancho")*(MOVIMIENTOS!$D$5:$D$1005="sacos")*(MOVIMIENTOS!$A$5:$A$1005&lt;&gt;"")*(MOVIMIENTOS!$A$5:$A$1005&lt;=$A429)*MOVIMIENTOS!$E$5:$E$1005)-SUMPRODUCT((MOVIMIENTOS!$B$5:$B$1005="REGALO")*(MOVIMIENTOS!$C$5:$C$1005="Chancho")*(MOVIMIENTOS!$D$5:$D$1005="sacos")*(MOVIMIENTOS!$A$5:$A$1005&lt;&gt;"")*(MOVIMIENTOS!$A$5:$A$1005&lt;=$A429)*MOVIMIENTOS!$E$5:$E$1005)-SUMPRODUCT((MOVIMIENTOS!$B$5:$B$1005="VENTA")*(MOVIMIENTOS!$C$5:$C$1005="Chancho")*(MOVIMIENTOS!$D$5:$D$1005="sacos")*(MOVIMIENTOS!$A$5:$A$1005&lt;&gt;"")*(MOVIMIENTOS!$A$5:$A$1005&lt;=$A429)*MOVIMIENTOS!$E$5:$E$1005)+SUMPRODUCT((MOVIMIENTOS!$B$5:$B$1005="AJUSTE")*(MOVIMIENTOS!$C$5:$C$1005="Chancho")*(MOVIMIENTOS!$D$5:$D$1005="sacos")*(MOVIMIENTOS!$A$5:$A$1005&lt;&gt;"")*(MOVIMIENTOS!$A$5:$A$1005&lt;=$A429)*MOVIMIENTOS!$E$5:$E$1005))</f>
        <v/>
      </c>
      <c r="G429" s="62" t="str">
        <f t="shared" si="13"/>
        <v/>
      </c>
      <c r="H429" t="str">
        <f>IF($A429="","",SUMPRODUCT((((MOVIMIENTOS!$B$5:$B$1005="SALDO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429)*MOVIMIENTOS!$J$5:$J$1005))</f>
        <v/>
      </c>
      <c r="J429" t="str">
        <f>IF(AND(MOVIMIENTOS!$A432&lt;&gt;"",COUNTIF(MOVIMIENTOS!$A$5:$A431,MOVIMIENTOS!$A432)=0),COUNT(J$4:J428)+1,"")</f>
        <v/>
      </c>
      <c r="K429" s="67">
        <f>MOVIMIENTOS!$A432</f>
        <v>46250</v>
      </c>
    </row>
    <row r="430" spans="1:11" ht="15" customHeight="1" x14ac:dyDescent="0.2">
      <c r="A430" t="str">
        <f t="shared" si="12"/>
        <v/>
      </c>
      <c r="B430" t="str">
        <f>IF($A430="","",SUMPRODUCT((MOVIMIENTOS!$B$5:$B$1005="SALDO INICIAL")*(MOVIMIENTOS!$C$5:$C$1005="A")*(MOVIMIENTOS!$D$5:$D$1005="jabas")*(MOVIMIENTOS!$A$5:$A$1005&lt;&gt;"")*(MOVIMIENTOS!$A$5:$A$1005&lt;=$A430)*MOVIMIENTOS!$E$5:$E$1005)+SUMPRODUCT((MOVIMIENTOS!$B$5:$B$1005="PROCESO")*(MOVIMIENTOS!$C$5:$C$1005="A")*(MOVIMIENTOS!$D$5:$D$1005="jabas")*(MOVIMIENTOS!$A$5:$A$1005&lt;&gt;"")*(MOVIMIENTOS!$A$5:$A$1005&lt;=$A430)*MOVIMIENTOS!$E$5:$E$1005)-SUMPRODUCT((MOVIMIENTOS!$B$5:$B$1005="ENVÍO A SUPESA")*(MOVIMIENTOS!$C$5:$C$1005="A")*(MOVIMIENTOS!$D$5:$D$1005="jabas")*(MOVIMIENTOS!$A$5:$A$1005&lt;&gt;"")*(MOVIMIENTOS!$A$5:$A$1005&lt;=$A430)*MOVIMIENTOS!$E$5:$E$1005)+SUMPRODUCT((MOVIMIENTOS!$B$5:$B$1005="DEVOLUCIÓN")*(MOVIMIENTOS!$C$5:$C$1005="A")*(MOVIMIENTOS!$D$5:$D$1005="jabas")*(MOVIMIENTOS!$A$5:$A$1005&lt;&gt;"")*(MOVIMIENTOS!$A$5:$A$1005&lt;=$A430)*MOVIMIENTOS!$E$5:$E$1005)-SUMPRODUCT((MOVIMIENTOS!$B$5:$B$1005="TRASIEGO")*(MOVIMIENTOS!$C$5:$C$1005="A")*(MOVIMIENTOS!$D$5:$D$1005="jabas")*(MOVIMIENTOS!$A$5:$A$1005&lt;&gt;"")*(MOVIMIENTOS!$A$5:$A$1005&lt;=$A430)*MOVIMIENTOS!$E$5:$E$1005)-SUMPRODUCT((MOVIMIENTOS!$B$5:$B$1005="REGALO")*(MOVIMIENTOS!$C$5:$C$1005="A")*(MOVIMIENTOS!$D$5:$D$1005="jabas")*(MOVIMIENTOS!$A$5:$A$1005&lt;&gt;"")*(MOVIMIENTOS!$A$5:$A$1005&lt;=$A430)*MOVIMIENTOS!$E$5:$E$1005)-SUMPRODUCT((MOVIMIENTOS!$B$5:$B$1005="VENTA")*(MOVIMIENTOS!$C$5:$C$1005="A")*(MOVIMIENTOS!$D$5:$D$1005="jabas")*(MOVIMIENTOS!$A$5:$A$1005&lt;&gt;"")*(MOVIMIENTOS!$A$5:$A$1005&lt;=$A430)*MOVIMIENTOS!$E$5:$E$1005)+SUMPRODUCT((MOVIMIENTOS!$B$5:$B$1005="AJUSTE")*(MOVIMIENTOS!$C$5:$C$1005="A")*(MOVIMIENTOS!$D$5:$D$1005="jabas")*(MOVIMIENTOS!$A$5:$A$1005&lt;&gt;"")*(MOVIMIENTOS!$A$5:$A$1005&lt;=$A430)*MOVIMIENTOS!$E$5:$E$1005))</f>
        <v/>
      </c>
      <c r="C430" t="str">
        <f>IF($A430="","",SUMPRODUCT((MOVIMIENTOS!$B$5:$B$1005="SALDO INICIAL")*(MOVIMIENTOS!$C$5:$C$1005="P")*(MOVIMIENTOS!$D$5:$D$1005="jabas")*(MOVIMIENTOS!$A$5:$A$1005&lt;&gt;"")*(MOVIMIENTOS!$A$5:$A$1005&lt;=$A430)*MOVIMIENTOS!$E$5:$E$1005)+SUMPRODUCT((MOVIMIENTOS!$B$5:$B$1005="PROCESO")*(MOVIMIENTOS!$C$5:$C$1005="P")*(MOVIMIENTOS!$D$5:$D$1005="jabas")*(MOVIMIENTOS!$A$5:$A$1005&lt;&gt;"")*(MOVIMIENTOS!$A$5:$A$1005&lt;=$A430)*MOVIMIENTOS!$E$5:$E$1005)-SUMPRODUCT((MOVIMIENTOS!$B$5:$B$1005="ENVÍO A SUPESA")*(MOVIMIENTOS!$C$5:$C$1005="P")*(MOVIMIENTOS!$D$5:$D$1005="jabas")*(MOVIMIENTOS!$A$5:$A$1005&lt;&gt;"")*(MOVIMIENTOS!$A$5:$A$1005&lt;=$A430)*MOVIMIENTOS!$E$5:$E$1005)+SUMPRODUCT((MOVIMIENTOS!$B$5:$B$1005="DEVOLUCIÓN")*(MOVIMIENTOS!$C$5:$C$1005="P")*(MOVIMIENTOS!$D$5:$D$1005="jabas")*(MOVIMIENTOS!$A$5:$A$1005&lt;&gt;"")*(MOVIMIENTOS!$A$5:$A$1005&lt;=$A430)*MOVIMIENTOS!$E$5:$E$1005)-SUMPRODUCT((MOVIMIENTOS!$B$5:$B$1005="TRASIEGO")*(MOVIMIENTOS!$C$5:$C$1005="P")*(MOVIMIENTOS!$D$5:$D$1005="jabas")*(MOVIMIENTOS!$A$5:$A$1005&lt;&gt;"")*(MOVIMIENTOS!$A$5:$A$1005&lt;=$A430)*MOVIMIENTOS!$E$5:$E$1005)-SUMPRODUCT((MOVIMIENTOS!$B$5:$B$1005="REGALO")*(MOVIMIENTOS!$C$5:$C$1005="P")*(MOVIMIENTOS!$D$5:$D$1005="jabas")*(MOVIMIENTOS!$A$5:$A$1005&lt;&gt;"")*(MOVIMIENTOS!$A$5:$A$1005&lt;=$A430)*MOVIMIENTOS!$E$5:$E$1005)-SUMPRODUCT((MOVIMIENTOS!$B$5:$B$1005="VENTA")*(MOVIMIENTOS!$C$5:$C$1005="P")*(MOVIMIENTOS!$D$5:$D$1005="jabas")*(MOVIMIENTOS!$A$5:$A$1005&lt;&gt;"")*(MOVIMIENTOS!$A$5:$A$1005&lt;=$A430)*MOVIMIENTOS!$E$5:$E$1005)+SUMPRODUCT((MOVIMIENTOS!$B$5:$B$1005="AJUSTE")*(MOVIMIENTOS!$C$5:$C$1005="P")*(MOVIMIENTOS!$D$5:$D$1005="jabas")*(MOVIMIENTOS!$A$5:$A$1005&lt;&gt;"")*(MOVIMIENTOS!$A$5:$A$1005&lt;=$A430)*MOVIMIENTOS!$E$5:$E$1005))</f>
        <v/>
      </c>
      <c r="D430" t="str">
        <f>IF($A430="","",SUMPRODUCT((MOVIMIENTOS!$B$5:$B$1005="SALDO INICIAL")*(MOVIMIENTOS!$C$5:$C$1005="C")*(MOVIMIENTOS!$D$5:$D$1005="jabas")*(MOVIMIENTOS!$A$5:$A$1005&lt;&gt;"")*(MOVIMIENTOS!$A$5:$A$1005&lt;=$A430)*MOVIMIENTOS!$E$5:$E$1005)+SUMPRODUCT((MOVIMIENTOS!$B$5:$B$1005="PROCESO")*(MOVIMIENTOS!$C$5:$C$1005="C")*(MOVIMIENTOS!$D$5:$D$1005="jabas")*(MOVIMIENTOS!$A$5:$A$1005&lt;&gt;"")*(MOVIMIENTOS!$A$5:$A$1005&lt;=$A430)*MOVIMIENTOS!$E$5:$E$1005)-SUMPRODUCT((MOVIMIENTOS!$B$5:$B$1005="ENVÍO A SUPESA")*(MOVIMIENTOS!$C$5:$C$1005="C")*(MOVIMIENTOS!$D$5:$D$1005="jabas")*(MOVIMIENTOS!$A$5:$A$1005&lt;&gt;"")*(MOVIMIENTOS!$A$5:$A$1005&lt;=$A430)*MOVIMIENTOS!$E$5:$E$1005)+SUMPRODUCT((MOVIMIENTOS!$B$5:$B$1005="DEVOLUCIÓN")*(MOVIMIENTOS!$C$5:$C$1005="C")*(MOVIMIENTOS!$D$5:$D$1005="jabas")*(MOVIMIENTOS!$A$5:$A$1005&lt;&gt;"")*(MOVIMIENTOS!$A$5:$A$1005&lt;=$A430)*MOVIMIENTOS!$E$5:$E$1005)-SUMPRODUCT((MOVIMIENTOS!$B$5:$B$1005="TRASIEGO")*(MOVIMIENTOS!$C$5:$C$1005="C")*(MOVIMIENTOS!$D$5:$D$1005="jabas")*(MOVIMIENTOS!$A$5:$A$1005&lt;&gt;"")*(MOVIMIENTOS!$A$5:$A$1005&lt;=$A430)*MOVIMIENTOS!$E$5:$E$1005)-SUMPRODUCT((MOVIMIENTOS!$B$5:$B$1005="REGALO")*(MOVIMIENTOS!$C$5:$C$1005="C")*(MOVIMIENTOS!$D$5:$D$1005="jabas")*(MOVIMIENTOS!$A$5:$A$1005&lt;&gt;"")*(MOVIMIENTOS!$A$5:$A$1005&lt;=$A430)*MOVIMIENTOS!$E$5:$E$1005)-SUMPRODUCT((MOVIMIENTOS!$B$5:$B$1005="VENTA")*(MOVIMIENTOS!$C$5:$C$1005="C")*(MOVIMIENTOS!$D$5:$D$1005="jabas")*(MOVIMIENTOS!$A$5:$A$1005&lt;&gt;"")*(MOVIMIENTOS!$A$5:$A$1005&lt;=$A430)*MOVIMIENTOS!$E$5:$E$1005)+SUMPRODUCT((MOVIMIENTOS!$B$5:$B$1005="AJUSTE")*(MOVIMIENTOS!$C$5:$C$1005="C")*(MOVIMIENTOS!$D$5:$D$1005="jabas")*(MOVIMIENTOS!$A$5:$A$1005&lt;&gt;"")*(MOVIMIENTOS!$A$5:$A$1005&lt;=$A430)*MOVIMIENTOS!$E$5:$E$1005))</f>
        <v/>
      </c>
      <c r="E430" t="str">
        <f>IF($A430="","",SUMPRODUCT((MOVIMIENTOS!$B$5:$B$1005="SALDO INICIAL")*(MOVIMIENTOS!$C$5:$C$1005="M")*(MOVIMIENTOS!$D$5:$D$1005="jabas")*(MOVIMIENTOS!$A$5:$A$1005&lt;&gt;"")*(MOVIMIENTOS!$A$5:$A$1005&lt;=$A430)*MOVIMIENTOS!$E$5:$E$1005)+SUMPRODUCT((MOVIMIENTOS!$B$5:$B$1005="PROCESO")*(MOVIMIENTOS!$C$5:$C$1005="M")*(MOVIMIENTOS!$D$5:$D$1005="jabas")*(MOVIMIENTOS!$A$5:$A$1005&lt;&gt;"")*(MOVIMIENTOS!$A$5:$A$1005&lt;=$A430)*MOVIMIENTOS!$E$5:$E$1005)-SUMPRODUCT((MOVIMIENTOS!$B$5:$B$1005="ENVÍO A SUPESA")*(MOVIMIENTOS!$C$5:$C$1005="M")*(MOVIMIENTOS!$D$5:$D$1005="jabas")*(MOVIMIENTOS!$A$5:$A$1005&lt;&gt;"")*(MOVIMIENTOS!$A$5:$A$1005&lt;=$A430)*MOVIMIENTOS!$E$5:$E$1005)+SUMPRODUCT((MOVIMIENTOS!$B$5:$B$1005="DEVOLUCIÓN")*(MOVIMIENTOS!$C$5:$C$1005="M")*(MOVIMIENTOS!$D$5:$D$1005="jabas")*(MOVIMIENTOS!$A$5:$A$1005&lt;&gt;"")*(MOVIMIENTOS!$A$5:$A$1005&lt;=$A430)*MOVIMIENTOS!$E$5:$E$1005)-SUMPRODUCT((MOVIMIENTOS!$B$5:$B$1005="TRASIEGO")*(MOVIMIENTOS!$C$5:$C$1005="M")*(MOVIMIENTOS!$D$5:$D$1005="jabas")*(MOVIMIENTOS!$A$5:$A$1005&lt;&gt;"")*(MOVIMIENTOS!$A$5:$A$1005&lt;=$A430)*MOVIMIENTOS!$E$5:$E$1005)-SUMPRODUCT((MOVIMIENTOS!$B$5:$B$1005="REGALO")*(MOVIMIENTOS!$C$5:$C$1005="M")*(MOVIMIENTOS!$D$5:$D$1005="jabas")*(MOVIMIENTOS!$A$5:$A$1005&lt;&gt;"")*(MOVIMIENTOS!$A$5:$A$1005&lt;=$A430)*MOVIMIENTOS!$E$5:$E$1005)-SUMPRODUCT((MOVIMIENTOS!$B$5:$B$1005="VENTA")*(MOVIMIENTOS!$C$5:$C$1005="M")*(MOVIMIENTOS!$D$5:$D$1005="jabas")*(MOVIMIENTOS!$A$5:$A$1005&lt;&gt;"")*(MOVIMIENTOS!$A$5:$A$1005&lt;=$A430)*MOVIMIENTOS!$E$5:$E$1005)+SUMPRODUCT((MOVIMIENTOS!$B$5:$B$1005="AJUSTE")*(MOVIMIENTOS!$C$5:$C$1005="M")*(MOVIMIENTOS!$D$5:$D$1005="jabas")*(MOVIMIENTOS!$A$5:$A$1005&lt;&gt;"")*(MOVIMIENTOS!$A$5:$A$1005&lt;=$A430)*MOVIMIENTOS!$E$5:$E$1005))</f>
        <v/>
      </c>
      <c r="F430" s="62" t="str">
        <f>IF($A430="","",SUMPRODUCT((MOVIMIENTOS!$B$5:$B$1005="SALDO INICIAL")*(MOVIMIENTOS!$C$5:$C$1005="Chancho")*(MOVIMIENTOS!$D$5:$D$1005="sacos")*(MOVIMIENTOS!$A$5:$A$1005&lt;&gt;"")*(MOVIMIENTOS!$A$5:$A$1005&lt;=$A430)*MOVIMIENTOS!$E$5:$E$1005)+SUMPRODUCT((MOVIMIENTOS!$B$5:$B$1005="PROCESO")*(MOVIMIENTOS!$C$5:$C$1005="Chancho")*(MOVIMIENTOS!$D$5:$D$1005="sacos")*(MOVIMIENTOS!$A$5:$A$1005&lt;&gt;"")*(MOVIMIENTOS!$A$5:$A$1005&lt;=$A430)*MOVIMIENTOS!$E$5:$E$1005)-SUMPRODUCT((MOVIMIENTOS!$B$5:$B$1005="VENTA CHANCHO")*(MOVIMIENTOS!$C$5:$C$1005="Chancho")*(MOVIMIENTOS!$D$5:$D$1005="sacos")*(MOVIMIENTOS!$A$5:$A$1005&lt;&gt;"")*(MOVIMIENTOS!$A$5:$A$1005&lt;=$A430)*MOVIMIENTOS!$E$5:$E$1005)-SUMPRODUCT((MOVIMIENTOS!$B$5:$B$1005="REGALO")*(MOVIMIENTOS!$C$5:$C$1005="Chancho")*(MOVIMIENTOS!$D$5:$D$1005="sacos")*(MOVIMIENTOS!$A$5:$A$1005&lt;&gt;"")*(MOVIMIENTOS!$A$5:$A$1005&lt;=$A430)*MOVIMIENTOS!$E$5:$E$1005)-SUMPRODUCT((MOVIMIENTOS!$B$5:$B$1005="VENTA")*(MOVIMIENTOS!$C$5:$C$1005="Chancho")*(MOVIMIENTOS!$D$5:$D$1005="sacos")*(MOVIMIENTOS!$A$5:$A$1005&lt;&gt;"")*(MOVIMIENTOS!$A$5:$A$1005&lt;=$A430)*MOVIMIENTOS!$E$5:$E$1005)+SUMPRODUCT((MOVIMIENTOS!$B$5:$B$1005="AJUSTE")*(MOVIMIENTOS!$C$5:$C$1005="Chancho")*(MOVIMIENTOS!$D$5:$D$1005="sacos")*(MOVIMIENTOS!$A$5:$A$1005&lt;&gt;"")*(MOVIMIENTOS!$A$5:$A$1005&lt;=$A430)*MOVIMIENTOS!$E$5:$E$1005))</f>
        <v/>
      </c>
      <c r="G430" s="62" t="str">
        <f t="shared" si="13"/>
        <v/>
      </c>
      <c r="H430" t="str">
        <f>IF($A430="","",SUMPRODUCT((((MOVIMIENTOS!$B$5:$B$1005="SALDO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430)*MOVIMIENTOS!$J$5:$J$1005))</f>
        <v/>
      </c>
      <c r="J430">
        <f>IF(AND(MOVIMIENTOS!$A435&lt;&gt;"",COUNTIF(MOVIMIENTOS!$A$5:$A432,MOVIMIENTOS!$A435)=0),COUNT(J$4:J429)+1,"")</f>
        <v>38</v>
      </c>
      <c r="K430" s="67">
        <f>MOVIMIENTOS!$A435</f>
        <v>46251</v>
      </c>
    </row>
    <row r="431" spans="1:11" ht="15" customHeight="1" x14ac:dyDescent="0.2">
      <c r="A431" t="str">
        <f t="shared" si="12"/>
        <v/>
      </c>
      <c r="B431" t="str">
        <f>IF($A431="","",SUMPRODUCT((MOVIMIENTOS!$B$5:$B$1005="SALDO INICIAL")*(MOVIMIENTOS!$C$5:$C$1005="A")*(MOVIMIENTOS!$D$5:$D$1005="jabas")*(MOVIMIENTOS!$A$5:$A$1005&lt;&gt;"")*(MOVIMIENTOS!$A$5:$A$1005&lt;=$A431)*MOVIMIENTOS!$E$5:$E$1005)+SUMPRODUCT((MOVIMIENTOS!$B$5:$B$1005="PROCESO")*(MOVIMIENTOS!$C$5:$C$1005="A")*(MOVIMIENTOS!$D$5:$D$1005="jabas")*(MOVIMIENTOS!$A$5:$A$1005&lt;&gt;"")*(MOVIMIENTOS!$A$5:$A$1005&lt;=$A431)*MOVIMIENTOS!$E$5:$E$1005)-SUMPRODUCT((MOVIMIENTOS!$B$5:$B$1005="ENVÍO A SUPESA")*(MOVIMIENTOS!$C$5:$C$1005="A")*(MOVIMIENTOS!$D$5:$D$1005="jabas")*(MOVIMIENTOS!$A$5:$A$1005&lt;&gt;"")*(MOVIMIENTOS!$A$5:$A$1005&lt;=$A431)*MOVIMIENTOS!$E$5:$E$1005)+SUMPRODUCT((MOVIMIENTOS!$B$5:$B$1005="DEVOLUCIÓN")*(MOVIMIENTOS!$C$5:$C$1005="A")*(MOVIMIENTOS!$D$5:$D$1005="jabas")*(MOVIMIENTOS!$A$5:$A$1005&lt;&gt;"")*(MOVIMIENTOS!$A$5:$A$1005&lt;=$A431)*MOVIMIENTOS!$E$5:$E$1005)-SUMPRODUCT((MOVIMIENTOS!$B$5:$B$1005="TRASIEGO")*(MOVIMIENTOS!$C$5:$C$1005="A")*(MOVIMIENTOS!$D$5:$D$1005="jabas")*(MOVIMIENTOS!$A$5:$A$1005&lt;&gt;"")*(MOVIMIENTOS!$A$5:$A$1005&lt;=$A431)*MOVIMIENTOS!$E$5:$E$1005)-SUMPRODUCT((MOVIMIENTOS!$B$5:$B$1005="REGALO")*(MOVIMIENTOS!$C$5:$C$1005="A")*(MOVIMIENTOS!$D$5:$D$1005="jabas")*(MOVIMIENTOS!$A$5:$A$1005&lt;&gt;"")*(MOVIMIENTOS!$A$5:$A$1005&lt;=$A431)*MOVIMIENTOS!$E$5:$E$1005)-SUMPRODUCT((MOVIMIENTOS!$B$5:$B$1005="VENTA")*(MOVIMIENTOS!$C$5:$C$1005="A")*(MOVIMIENTOS!$D$5:$D$1005="jabas")*(MOVIMIENTOS!$A$5:$A$1005&lt;&gt;"")*(MOVIMIENTOS!$A$5:$A$1005&lt;=$A431)*MOVIMIENTOS!$E$5:$E$1005)+SUMPRODUCT((MOVIMIENTOS!$B$5:$B$1005="AJUSTE")*(MOVIMIENTOS!$C$5:$C$1005="A")*(MOVIMIENTOS!$D$5:$D$1005="jabas")*(MOVIMIENTOS!$A$5:$A$1005&lt;&gt;"")*(MOVIMIENTOS!$A$5:$A$1005&lt;=$A431)*MOVIMIENTOS!$E$5:$E$1005))</f>
        <v/>
      </c>
      <c r="C431" t="str">
        <f>IF($A431="","",SUMPRODUCT((MOVIMIENTOS!$B$5:$B$1005="SALDO INICIAL")*(MOVIMIENTOS!$C$5:$C$1005="P")*(MOVIMIENTOS!$D$5:$D$1005="jabas")*(MOVIMIENTOS!$A$5:$A$1005&lt;&gt;"")*(MOVIMIENTOS!$A$5:$A$1005&lt;=$A431)*MOVIMIENTOS!$E$5:$E$1005)+SUMPRODUCT((MOVIMIENTOS!$B$5:$B$1005="PROCESO")*(MOVIMIENTOS!$C$5:$C$1005="P")*(MOVIMIENTOS!$D$5:$D$1005="jabas")*(MOVIMIENTOS!$A$5:$A$1005&lt;&gt;"")*(MOVIMIENTOS!$A$5:$A$1005&lt;=$A431)*MOVIMIENTOS!$E$5:$E$1005)-SUMPRODUCT((MOVIMIENTOS!$B$5:$B$1005="ENVÍO A SUPESA")*(MOVIMIENTOS!$C$5:$C$1005="P")*(MOVIMIENTOS!$D$5:$D$1005="jabas")*(MOVIMIENTOS!$A$5:$A$1005&lt;&gt;"")*(MOVIMIENTOS!$A$5:$A$1005&lt;=$A431)*MOVIMIENTOS!$E$5:$E$1005)+SUMPRODUCT((MOVIMIENTOS!$B$5:$B$1005="DEVOLUCIÓN")*(MOVIMIENTOS!$C$5:$C$1005="P")*(MOVIMIENTOS!$D$5:$D$1005="jabas")*(MOVIMIENTOS!$A$5:$A$1005&lt;&gt;"")*(MOVIMIENTOS!$A$5:$A$1005&lt;=$A431)*MOVIMIENTOS!$E$5:$E$1005)-SUMPRODUCT((MOVIMIENTOS!$B$5:$B$1005="TRASIEGO")*(MOVIMIENTOS!$C$5:$C$1005="P")*(MOVIMIENTOS!$D$5:$D$1005="jabas")*(MOVIMIENTOS!$A$5:$A$1005&lt;&gt;"")*(MOVIMIENTOS!$A$5:$A$1005&lt;=$A431)*MOVIMIENTOS!$E$5:$E$1005)-SUMPRODUCT((MOVIMIENTOS!$B$5:$B$1005="REGALO")*(MOVIMIENTOS!$C$5:$C$1005="P")*(MOVIMIENTOS!$D$5:$D$1005="jabas")*(MOVIMIENTOS!$A$5:$A$1005&lt;&gt;"")*(MOVIMIENTOS!$A$5:$A$1005&lt;=$A431)*MOVIMIENTOS!$E$5:$E$1005)-SUMPRODUCT((MOVIMIENTOS!$B$5:$B$1005="VENTA")*(MOVIMIENTOS!$C$5:$C$1005="P")*(MOVIMIENTOS!$D$5:$D$1005="jabas")*(MOVIMIENTOS!$A$5:$A$1005&lt;&gt;"")*(MOVIMIENTOS!$A$5:$A$1005&lt;=$A431)*MOVIMIENTOS!$E$5:$E$1005)+SUMPRODUCT((MOVIMIENTOS!$B$5:$B$1005="AJUSTE")*(MOVIMIENTOS!$C$5:$C$1005="P")*(MOVIMIENTOS!$D$5:$D$1005="jabas")*(MOVIMIENTOS!$A$5:$A$1005&lt;&gt;"")*(MOVIMIENTOS!$A$5:$A$1005&lt;=$A431)*MOVIMIENTOS!$E$5:$E$1005))</f>
        <v/>
      </c>
      <c r="D431" t="str">
        <f>IF($A431="","",SUMPRODUCT((MOVIMIENTOS!$B$5:$B$1005="SALDO INICIAL")*(MOVIMIENTOS!$C$5:$C$1005="C")*(MOVIMIENTOS!$D$5:$D$1005="jabas")*(MOVIMIENTOS!$A$5:$A$1005&lt;&gt;"")*(MOVIMIENTOS!$A$5:$A$1005&lt;=$A431)*MOVIMIENTOS!$E$5:$E$1005)+SUMPRODUCT((MOVIMIENTOS!$B$5:$B$1005="PROCESO")*(MOVIMIENTOS!$C$5:$C$1005="C")*(MOVIMIENTOS!$D$5:$D$1005="jabas")*(MOVIMIENTOS!$A$5:$A$1005&lt;&gt;"")*(MOVIMIENTOS!$A$5:$A$1005&lt;=$A431)*MOVIMIENTOS!$E$5:$E$1005)-SUMPRODUCT((MOVIMIENTOS!$B$5:$B$1005="ENVÍO A SUPESA")*(MOVIMIENTOS!$C$5:$C$1005="C")*(MOVIMIENTOS!$D$5:$D$1005="jabas")*(MOVIMIENTOS!$A$5:$A$1005&lt;&gt;"")*(MOVIMIENTOS!$A$5:$A$1005&lt;=$A431)*MOVIMIENTOS!$E$5:$E$1005)+SUMPRODUCT((MOVIMIENTOS!$B$5:$B$1005="DEVOLUCIÓN")*(MOVIMIENTOS!$C$5:$C$1005="C")*(MOVIMIENTOS!$D$5:$D$1005="jabas")*(MOVIMIENTOS!$A$5:$A$1005&lt;&gt;"")*(MOVIMIENTOS!$A$5:$A$1005&lt;=$A431)*MOVIMIENTOS!$E$5:$E$1005)-SUMPRODUCT((MOVIMIENTOS!$B$5:$B$1005="TRASIEGO")*(MOVIMIENTOS!$C$5:$C$1005="C")*(MOVIMIENTOS!$D$5:$D$1005="jabas")*(MOVIMIENTOS!$A$5:$A$1005&lt;&gt;"")*(MOVIMIENTOS!$A$5:$A$1005&lt;=$A431)*MOVIMIENTOS!$E$5:$E$1005)-SUMPRODUCT((MOVIMIENTOS!$B$5:$B$1005="REGALO")*(MOVIMIENTOS!$C$5:$C$1005="C")*(MOVIMIENTOS!$D$5:$D$1005="jabas")*(MOVIMIENTOS!$A$5:$A$1005&lt;&gt;"")*(MOVIMIENTOS!$A$5:$A$1005&lt;=$A431)*MOVIMIENTOS!$E$5:$E$1005)-SUMPRODUCT((MOVIMIENTOS!$B$5:$B$1005="VENTA")*(MOVIMIENTOS!$C$5:$C$1005="C")*(MOVIMIENTOS!$D$5:$D$1005="jabas")*(MOVIMIENTOS!$A$5:$A$1005&lt;&gt;"")*(MOVIMIENTOS!$A$5:$A$1005&lt;=$A431)*MOVIMIENTOS!$E$5:$E$1005)+SUMPRODUCT((MOVIMIENTOS!$B$5:$B$1005="AJUSTE")*(MOVIMIENTOS!$C$5:$C$1005="C")*(MOVIMIENTOS!$D$5:$D$1005="jabas")*(MOVIMIENTOS!$A$5:$A$1005&lt;&gt;"")*(MOVIMIENTOS!$A$5:$A$1005&lt;=$A431)*MOVIMIENTOS!$E$5:$E$1005))</f>
        <v/>
      </c>
      <c r="E431" t="str">
        <f>IF($A431="","",SUMPRODUCT((MOVIMIENTOS!$B$5:$B$1005="SALDO INICIAL")*(MOVIMIENTOS!$C$5:$C$1005="M")*(MOVIMIENTOS!$D$5:$D$1005="jabas")*(MOVIMIENTOS!$A$5:$A$1005&lt;&gt;"")*(MOVIMIENTOS!$A$5:$A$1005&lt;=$A431)*MOVIMIENTOS!$E$5:$E$1005)+SUMPRODUCT((MOVIMIENTOS!$B$5:$B$1005="PROCESO")*(MOVIMIENTOS!$C$5:$C$1005="M")*(MOVIMIENTOS!$D$5:$D$1005="jabas")*(MOVIMIENTOS!$A$5:$A$1005&lt;&gt;"")*(MOVIMIENTOS!$A$5:$A$1005&lt;=$A431)*MOVIMIENTOS!$E$5:$E$1005)-SUMPRODUCT((MOVIMIENTOS!$B$5:$B$1005="ENVÍO A SUPESA")*(MOVIMIENTOS!$C$5:$C$1005="M")*(MOVIMIENTOS!$D$5:$D$1005="jabas")*(MOVIMIENTOS!$A$5:$A$1005&lt;&gt;"")*(MOVIMIENTOS!$A$5:$A$1005&lt;=$A431)*MOVIMIENTOS!$E$5:$E$1005)+SUMPRODUCT((MOVIMIENTOS!$B$5:$B$1005="DEVOLUCIÓN")*(MOVIMIENTOS!$C$5:$C$1005="M")*(MOVIMIENTOS!$D$5:$D$1005="jabas")*(MOVIMIENTOS!$A$5:$A$1005&lt;&gt;"")*(MOVIMIENTOS!$A$5:$A$1005&lt;=$A431)*MOVIMIENTOS!$E$5:$E$1005)-SUMPRODUCT((MOVIMIENTOS!$B$5:$B$1005="TRASIEGO")*(MOVIMIENTOS!$C$5:$C$1005="M")*(MOVIMIENTOS!$D$5:$D$1005="jabas")*(MOVIMIENTOS!$A$5:$A$1005&lt;&gt;"")*(MOVIMIENTOS!$A$5:$A$1005&lt;=$A431)*MOVIMIENTOS!$E$5:$E$1005)-SUMPRODUCT((MOVIMIENTOS!$B$5:$B$1005="REGALO")*(MOVIMIENTOS!$C$5:$C$1005="M")*(MOVIMIENTOS!$D$5:$D$1005="jabas")*(MOVIMIENTOS!$A$5:$A$1005&lt;&gt;"")*(MOVIMIENTOS!$A$5:$A$1005&lt;=$A431)*MOVIMIENTOS!$E$5:$E$1005)-SUMPRODUCT((MOVIMIENTOS!$B$5:$B$1005="VENTA")*(MOVIMIENTOS!$C$5:$C$1005="M")*(MOVIMIENTOS!$D$5:$D$1005="jabas")*(MOVIMIENTOS!$A$5:$A$1005&lt;&gt;"")*(MOVIMIENTOS!$A$5:$A$1005&lt;=$A431)*MOVIMIENTOS!$E$5:$E$1005)+SUMPRODUCT((MOVIMIENTOS!$B$5:$B$1005="AJUSTE")*(MOVIMIENTOS!$C$5:$C$1005="M")*(MOVIMIENTOS!$D$5:$D$1005="jabas")*(MOVIMIENTOS!$A$5:$A$1005&lt;&gt;"")*(MOVIMIENTOS!$A$5:$A$1005&lt;=$A431)*MOVIMIENTOS!$E$5:$E$1005))</f>
        <v/>
      </c>
      <c r="F431" s="62" t="str">
        <f>IF($A431="","",SUMPRODUCT((MOVIMIENTOS!$B$5:$B$1005="SALDO INICIAL")*(MOVIMIENTOS!$C$5:$C$1005="Chancho")*(MOVIMIENTOS!$D$5:$D$1005="sacos")*(MOVIMIENTOS!$A$5:$A$1005&lt;&gt;"")*(MOVIMIENTOS!$A$5:$A$1005&lt;=$A431)*MOVIMIENTOS!$E$5:$E$1005)+SUMPRODUCT((MOVIMIENTOS!$B$5:$B$1005="PROCESO")*(MOVIMIENTOS!$C$5:$C$1005="Chancho")*(MOVIMIENTOS!$D$5:$D$1005="sacos")*(MOVIMIENTOS!$A$5:$A$1005&lt;&gt;"")*(MOVIMIENTOS!$A$5:$A$1005&lt;=$A431)*MOVIMIENTOS!$E$5:$E$1005)-SUMPRODUCT((MOVIMIENTOS!$B$5:$B$1005="VENTA CHANCHO")*(MOVIMIENTOS!$C$5:$C$1005="Chancho")*(MOVIMIENTOS!$D$5:$D$1005="sacos")*(MOVIMIENTOS!$A$5:$A$1005&lt;&gt;"")*(MOVIMIENTOS!$A$5:$A$1005&lt;=$A431)*MOVIMIENTOS!$E$5:$E$1005)-SUMPRODUCT((MOVIMIENTOS!$B$5:$B$1005="REGALO")*(MOVIMIENTOS!$C$5:$C$1005="Chancho")*(MOVIMIENTOS!$D$5:$D$1005="sacos")*(MOVIMIENTOS!$A$5:$A$1005&lt;&gt;"")*(MOVIMIENTOS!$A$5:$A$1005&lt;=$A431)*MOVIMIENTOS!$E$5:$E$1005)-SUMPRODUCT((MOVIMIENTOS!$B$5:$B$1005="VENTA")*(MOVIMIENTOS!$C$5:$C$1005="Chancho")*(MOVIMIENTOS!$D$5:$D$1005="sacos")*(MOVIMIENTOS!$A$5:$A$1005&lt;&gt;"")*(MOVIMIENTOS!$A$5:$A$1005&lt;=$A431)*MOVIMIENTOS!$E$5:$E$1005)+SUMPRODUCT((MOVIMIENTOS!$B$5:$B$1005="AJUSTE")*(MOVIMIENTOS!$C$5:$C$1005="Chancho")*(MOVIMIENTOS!$D$5:$D$1005="sacos")*(MOVIMIENTOS!$A$5:$A$1005&lt;&gt;"")*(MOVIMIENTOS!$A$5:$A$1005&lt;=$A431)*MOVIMIENTOS!$E$5:$E$1005))</f>
        <v/>
      </c>
      <c r="G431" s="62" t="str">
        <f t="shared" si="13"/>
        <v/>
      </c>
      <c r="H431" t="str">
        <f>IF($A431="","",SUMPRODUCT((((MOVIMIENTOS!$B$5:$B$1005="SALDO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431)*MOVIMIENTOS!$J$5:$J$1005))</f>
        <v/>
      </c>
      <c r="J431" t="str">
        <f>IF(AND(MOVIMIENTOS!$A436&lt;&gt;"",COUNTIF(MOVIMIENTOS!$A$5:$A435,MOVIMIENTOS!$A436)=0),COUNT(J$4:J430)+1,"")</f>
        <v/>
      </c>
      <c r="K431" s="67">
        <f>MOVIMIENTOS!$A436</f>
        <v>46251</v>
      </c>
    </row>
    <row r="432" spans="1:11" ht="15" customHeight="1" x14ac:dyDescent="0.2">
      <c r="A432" t="str">
        <f t="shared" si="12"/>
        <v/>
      </c>
      <c r="B432" t="str">
        <f>IF($A432="","",SUMPRODUCT((MOVIMIENTOS!$B$5:$B$1005="SALDO INICIAL")*(MOVIMIENTOS!$C$5:$C$1005="A")*(MOVIMIENTOS!$D$5:$D$1005="jabas")*(MOVIMIENTOS!$A$5:$A$1005&lt;&gt;"")*(MOVIMIENTOS!$A$5:$A$1005&lt;=$A432)*MOVIMIENTOS!$E$5:$E$1005)+SUMPRODUCT((MOVIMIENTOS!$B$5:$B$1005="PROCESO")*(MOVIMIENTOS!$C$5:$C$1005="A")*(MOVIMIENTOS!$D$5:$D$1005="jabas")*(MOVIMIENTOS!$A$5:$A$1005&lt;&gt;"")*(MOVIMIENTOS!$A$5:$A$1005&lt;=$A432)*MOVIMIENTOS!$E$5:$E$1005)-SUMPRODUCT((MOVIMIENTOS!$B$5:$B$1005="ENVÍO A SUPESA")*(MOVIMIENTOS!$C$5:$C$1005="A")*(MOVIMIENTOS!$D$5:$D$1005="jabas")*(MOVIMIENTOS!$A$5:$A$1005&lt;&gt;"")*(MOVIMIENTOS!$A$5:$A$1005&lt;=$A432)*MOVIMIENTOS!$E$5:$E$1005)+SUMPRODUCT((MOVIMIENTOS!$B$5:$B$1005="DEVOLUCIÓN")*(MOVIMIENTOS!$C$5:$C$1005="A")*(MOVIMIENTOS!$D$5:$D$1005="jabas")*(MOVIMIENTOS!$A$5:$A$1005&lt;&gt;"")*(MOVIMIENTOS!$A$5:$A$1005&lt;=$A432)*MOVIMIENTOS!$E$5:$E$1005)-SUMPRODUCT((MOVIMIENTOS!$B$5:$B$1005="TRASIEGO")*(MOVIMIENTOS!$C$5:$C$1005="A")*(MOVIMIENTOS!$D$5:$D$1005="jabas")*(MOVIMIENTOS!$A$5:$A$1005&lt;&gt;"")*(MOVIMIENTOS!$A$5:$A$1005&lt;=$A432)*MOVIMIENTOS!$E$5:$E$1005)-SUMPRODUCT((MOVIMIENTOS!$B$5:$B$1005="REGALO")*(MOVIMIENTOS!$C$5:$C$1005="A")*(MOVIMIENTOS!$D$5:$D$1005="jabas")*(MOVIMIENTOS!$A$5:$A$1005&lt;&gt;"")*(MOVIMIENTOS!$A$5:$A$1005&lt;=$A432)*MOVIMIENTOS!$E$5:$E$1005)-SUMPRODUCT((MOVIMIENTOS!$B$5:$B$1005="VENTA")*(MOVIMIENTOS!$C$5:$C$1005="A")*(MOVIMIENTOS!$D$5:$D$1005="jabas")*(MOVIMIENTOS!$A$5:$A$1005&lt;&gt;"")*(MOVIMIENTOS!$A$5:$A$1005&lt;=$A432)*MOVIMIENTOS!$E$5:$E$1005)+SUMPRODUCT((MOVIMIENTOS!$B$5:$B$1005="AJUSTE")*(MOVIMIENTOS!$C$5:$C$1005="A")*(MOVIMIENTOS!$D$5:$D$1005="jabas")*(MOVIMIENTOS!$A$5:$A$1005&lt;&gt;"")*(MOVIMIENTOS!$A$5:$A$1005&lt;=$A432)*MOVIMIENTOS!$E$5:$E$1005))</f>
        <v/>
      </c>
      <c r="C432" t="str">
        <f>IF($A432="","",SUMPRODUCT((MOVIMIENTOS!$B$5:$B$1005="SALDO INICIAL")*(MOVIMIENTOS!$C$5:$C$1005="P")*(MOVIMIENTOS!$D$5:$D$1005="jabas")*(MOVIMIENTOS!$A$5:$A$1005&lt;&gt;"")*(MOVIMIENTOS!$A$5:$A$1005&lt;=$A432)*MOVIMIENTOS!$E$5:$E$1005)+SUMPRODUCT((MOVIMIENTOS!$B$5:$B$1005="PROCESO")*(MOVIMIENTOS!$C$5:$C$1005="P")*(MOVIMIENTOS!$D$5:$D$1005="jabas")*(MOVIMIENTOS!$A$5:$A$1005&lt;&gt;"")*(MOVIMIENTOS!$A$5:$A$1005&lt;=$A432)*MOVIMIENTOS!$E$5:$E$1005)-SUMPRODUCT((MOVIMIENTOS!$B$5:$B$1005="ENVÍO A SUPESA")*(MOVIMIENTOS!$C$5:$C$1005="P")*(MOVIMIENTOS!$D$5:$D$1005="jabas")*(MOVIMIENTOS!$A$5:$A$1005&lt;&gt;"")*(MOVIMIENTOS!$A$5:$A$1005&lt;=$A432)*MOVIMIENTOS!$E$5:$E$1005)+SUMPRODUCT((MOVIMIENTOS!$B$5:$B$1005="DEVOLUCIÓN")*(MOVIMIENTOS!$C$5:$C$1005="P")*(MOVIMIENTOS!$D$5:$D$1005="jabas")*(MOVIMIENTOS!$A$5:$A$1005&lt;&gt;"")*(MOVIMIENTOS!$A$5:$A$1005&lt;=$A432)*MOVIMIENTOS!$E$5:$E$1005)-SUMPRODUCT((MOVIMIENTOS!$B$5:$B$1005="TRASIEGO")*(MOVIMIENTOS!$C$5:$C$1005="P")*(MOVIMIENTOS!$D$5:$D$1005="jabas")*(MOVIMIENTOS!$A$5:$A$1005&lt;&gt;"")*(MOVIMIENTOS!$A$5:$A$1005&lt;=$A432)*MOVIMIENTOS!$E$5:$E$1005)-SUMPRODUCT((MOVIMIENTOS!$B$5:$B$1005="REGALO")*(MOVIMIENTOS!$C$5:$C$1005="P")*(MOVIMIENTOS!$D$5:$D$1005="jabas")*(MOVIMIENTOS!$A$5:$A$1005&lt;&gt;"")*(MOVIMIENTOS!$A$5:$A$1005&lt;=$A432)*MOVIMIENTOS!$E$5:$E$1005)-SUMPRODUCT((MOVIMIENTOS!$B$5:$B$1005="VENTA")*(MOVIMIENTOS!$C$5:$C$1005="P")*(MOVIMIENTOS!$D$5:$D$1005="jabas")*(MOVIMIENTOS!$A$5:$A$1005&lt;&gt;"")*(MOVIMIENTOS!$A$5:$A$1005&lt;=$A432)*MOVIMIENTOS!$E$5:$E$1005)+SUMPRODUCT((MOVIMIENTOS!$B$5:$B$1005="AJUSTE")*(MOVIMIENTOS!$C$5:$C$1005="P")*(MOVIMIENTOS!$D$5:$D$1005="jabas")*(MOVIMIENTOS!$A$5:$A$1005&lt;&gt;"")*(MOVIMIENTOS!$A$5:$A$1005&lt;=$A432)*MOVIMIENTOS!$E$5:$E$1005))</f>
        <v/>
      </c>
      <c r="D432" t="str">
        <f>IF($A432="","",SUMPRODUCT((MOVIMIENTOS!$B$5:$B$1005="SALDO INICIAL")*(MOVIMIENTOS!$C$5:$C$1005="C")*(MOVIMIENTOS!$D$5:$D$1005="jabas")*(MOVIMIENTOS!$A$5:$A$1005&lt;&gt;"")*(MOVIMIENTOS!$A$5:$A$1005&lt;=$A432)*MOVIMIENTOS!$E$5:$E$1005)+SUMPRODUCT((MOVIMIENTOS!$B$5:$B$1005="PROCESO")*(MOVIMIENTOS!$C$5:$C$1005="C")*(MOVIMIENTOS!$D$5:$D$1005="jabas")*(MOVIMIENTOS!$A$5:$A$1005&lt;&gt;"")*(MOVIMIENTOS!$A$5:$A$1005&lt;=$A432)*MOVIMIENTOS!$E$5:$E$1005)-SUMPRODUCT((MOVIMIENTOS!$B$5:$B$1005="ENVÍO A SUPESA")*(MOVIMIENTOS!$C$5:$C$1005="C")*(MOVIMIENTOS!$D$5:$D$1005="jabas")*(MOVIMIENTOS!$A$5:$A$1005&lt;&gt;"")*(MOVIMIENTOS!$A$5:$A$1005&lt;=$A432)*MOVIMIENTOS!$E$5:$E$1005)+SUMPRODUCT((MOVIMIENTOS!$B$5:$B$1005="DEVOLUCIÓN")*(MOVIMIENTOS!$C$5:$C$1005="C")*(MOVIMIENTOS!$D$5:$D$1005="jabas")*(MOVIMIENTOS!$A$5:$A$1005&lt;&gt;"")*(MOVIMIENTOS!$A$5:$A$1005&lt;=$A432)*MOVIMIENTOS!$E$5:$E$1005)-SUMPRODUCT((MOVIMIENTOS!$B$5:$B$1005="TRASIEGO")*(MOVIMIENTOS!$C$5:$C$1005="C")*(MOVIMIENTOS!$D$5:$D$1005="jabas")*(MOVIMIENTOS!$A$5:$A$1005&lt;&gt;"")*(MOVIMIENTOS!$A$5:$A$1005&lt;=$A432)*MOVIMIENTOS!$E$5:$E$1005)-SUMPRODUCT((MOVIMIENTOS!$B$5:$B$1005="REGALO")*(MOVIMIENTOS!$C$5:$C$1005="C")*(MOVIMIENTOS!$D$5:$D$1005="jabas")*(MOVIMIENTOS!$A$5:$A$1005&lt;&gt;"")*(MOVIMIENTOS!$A$5:$A$1005&lt;=$A432)*MOVIMIENTOS!$E$5:$E$1005)-SUMPRODUCT((MOVIMIENTOS!$B$5:$B$1005="VENTA")*(MOVIMIENTOS!$C$5:$C$1005="C")*(MOVIMIENTOS!$D$5:$D$1005="jabas")*(MOVIMIENTOS!$A$5:$A$1005&lt;&gt;"")*(MOVIMIENTOS!$A$5:$A$1005&lt;=$A432)*MOVIMIENTOS!$E$5:$E$1005)+SUMPRODUCT((MOVIMIENTOS!$B$5:$B$1005="AJUSTE")*(MOVIMIENTOS!$C$5:$C$1005="C")*(MOVIMIENTOS!$D$5:$D$1005="jabas")*(MOVIMIENTOS!$A$5:$A$1005&lt;&gt;"")*(MOVIMIENTOS!$A$5:$A$1005&lt;=$A432)*MOVIMIENTOS!$E$5:$E$1005))</f>
        <v/>
      </c>
      <c r="E432" t="str">
        <f>IF($A432="","",SUMPRODUCT((MOVIMIENTOS!$B$5:$B$1005="SALDO INICIAL")*(MOVIMIENTOS!$C$5:$C$1005="M")*(MOVIMIENTOS!$D$5:$D$1005="jabas")*(MOVIMIENTOS!$A$5:$A$1005&lt;&gt;"")*(MOVIMIENTOS!$A$5:$A$1005&lt;=$A432)*MOVIMIENTOS!$E$5:$E$1005)+SUMPRODUCT((MOVIMIENTOS!$B$5:$B$1005="PROCESO")*(MOVIMIENTOS!$C$5:$C$1005="M")*(MOVIMIENTOS!$D$5:$D$1005="jabas")*(MOVIMIENTOS!$A$5:$A$1005&lt;&gt;"")*(MOVIMIENTOS!$A$5:$A$1005&lt;=$A432)*MOVIMIENTOS!$E$5:$E$1005)-SUMPRODUCT((MOVIMIENTOS!$B$5:$B$1005="ENVÍO A SUPESA")*(MOVIMIENTOS!$C$5:$C$1005="M")*(MOVIMIENTOS!$D$5:$D$1005="jabas")*(MOVIMIENTOS!$A$5:$A$1005&lt;&gt;"")*(MOVIMIENTOS!$A$5:$A$1005&lt;=$A432)*MOVIMIENTOS!$E$5:$E$1005)+SUMPRODUCT((MOVIMIENTOS!$B$5:$B$1005="DEVOLUCIÓN")*(MOVIMIENTOS!$C$5:$C$1005="M")*(MOVIMIENTOS!$D$5:$D$1005="jabas")*(MOVIMIENTOS!$A$5:$A$1005&lt;&gt;"")*(MOVIMIENTOS!$A$5:$A$1005&lt;=$A432)*MOVIMIENTOS!$E$5:$E$1005)-SUMPRODUCT((MOVIMIENTOS!$B$5:$B$1005="TRASIEGO")*(MOVIMIENTOS!$C$5:$C$1005="M")*(MOVIMIENTOS!$D$5:$D$1005="jabas")*(MOVIMIENTOS!$A$5:$A$1005&lt;&gt;"")*(MOVIMIENTOS!$A$5:$A$1005&lt;=$A432)*MOVIMIENTOS!$E$5:$E$1005)-SUMPRODUCT((MOVIMIENTOS!$B$5:$B$1005="REGALO")*(MOVIMIENTOS!$C$5:$C$1005="M")*(MOVIMIENTOS!$D$5:$D$1005="jabas")*(MOVIMIENTOS!$A$5:$A$1005&lt;&gt;"")*(MOVIMIENTOS!$A$5:$A$1005&lt;=$A432)*MOVIMIENTOS!$E$5:$E$1005)-SUMPRODUCT((MOVIMIENTOS!$B$5:$B$1005="VENTA")*(MOVIMIENTOS!$C$5:$C$1005="M")*(MOVIMIENTOS!$D$5:$D$1005="jabas")*(MOVIMIENTOS!$A$5:$A$1005&lt;&gt;"")*(MOVIMIENTOS!$A$5:$A$1005&lt;=$A432)*MOVIMIENTOS!$E$5:$E$1005)+SUMPRODUCT((MOVIMIENTOS!$B$5:$B$1005="AJUSTE")*(MOVIMIENTOS!$C$5:$C$1005="M")*(MOVIMIENTOS!$D$5:$D$1005="jabas")*(MOVIMIENTOS!$A$5:$A$1005&lt;&gt;"")*(MOVIMIENTOS!$A$5:$A$1005&lt;=$A432)*MOVIMIENTOS!$E$5:$E$1005))</f>
        <v/>
      </c>
      <c r="F432" s="62" t="str">
        <f>IF($A432="","",SUMPRODUCT((MOVIMIENTOS!$B$5:$B$1005="SALDO INICIAL")*(MOVIMIENTOS!$C$5:$C$1005="Chancho")*(MOVIMIENTOS!$D$5:$D$1005="sacos")*(MOVIMIENTOS!$A$5:$A$1005&lt;&gt;"")*(MOVIMIENTOS!$A$5:$A$1005&lt;=$A432)*MOVIMIENTOS!$E$5:$E$1005)+SUMPRODUCT((MOVIMIENTOS!$B$5:$B$1005="PROCESO")*(MOVIMIENTOS!$C$5:$C$1005="Chancho")*(MOVIMIENTOS!$D$5:$D$1005="sacos")*(MOVIMIENTOS!$A$5:$A$1005&lt;&gt;"")*(MOVIMIENTOS!$A$5:$A$1005&lt;=$A432)*MOVIMIENTOS!$E$5:$E$1005)-SUMPRODUCT((MOVIMIENTOS!$B$5:$B$1005="VENTA CHANCHO")*(MOVIMIENTOS!$C$5:$C$1005="Chancho")*(MOVIMIENTOS!$D$5:$D$1005="sacos")*(MOVIMIENTOS!$A$5:$A$1005&lt;&gt;"")*(MOVIMIENTOS!$A$5:$A$1005&lt;=$A432)*MOVIMIENTOS!$E$5:$E$1005)-SUMPRODUCT((MOVIMIENTOS!$B$5:$B$1005="REGALO")*(MOVIMIENTOS!$C$5:$C$1005="Chancho")*(MOVIMIENTOS!$D$5:$D$1005="sacos")*(MOVIMIENTOS!$A$5:$A$1005&lt;&gt;"")*(MOVIMIENTOS!$A$5:$A$1005&lt;=$A432)*MOVIMIENTOS!$E$5:$E$1005)-SUMPRODUCT((MOVIMIENTOS!$B$5:$B$1005="VENTA")*(MOVIMIENTOS!$C$5:$C$1005="Chancho")*(MOVIMIENTOS!$D$5:$D$1005="sacos")*(MOVIMIENTOS!$A$5:$A$1005&lt;&gt;"")*(MOVIMIENTOS!$A$5:$A$1005&lt;=$A432)*MOVIMIENTOS!$E$5:$E$1005)+SUMPRODUCT((MOVIMIENTOS!$B$5:$B$1005="AJUSTE")*(MOVIMIENTOS!$C$5:$C$1005="Chancho")*(MOVIMIENTOS!$D$5:$D$1005="sacos")*(MOVIMIENTOS!$A$5:$A$1005&lt;&gt;"")*(MOVIMIENTOS!$A$5:$A$1005&lt;=$A432)*MOVIMIENTOS!$E$5:$E$1005))</f>
        <v/>
      </c>
      <c r="G432" s="62" t="str">
        <f t="shared" si="13"/>
        <v/>
      </c>
      <c r="H432" t="str">
        <f>IF($A432="","",SUMPRODUCT((((MOVIMIENTOS!$B$5:$B$1005="SALDO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432)*MOVIMIENTOS!$J$5:$J$1005))</f>
        <v/>
      </c>
      <c r="J432" t="str">
        <f>IF(AND(MOVIMIENTOS!$A437&lt;&gt;"",COUNTIF(MOVIMIENTOS!$A$5:$A436,MOVIMIENTOS!$A437)=0),COUNT(J$4:J431)+1,"")</f>
        <v/>
      </c>
      <c r="K432" s="67">
        <f>MOVIMIENTOS!$A437</f>
        <v>46251</v>
      </c>
    </row>
    <row r="433" spans="1:11" ht="15" customHeight="1" x14ac:dyDescent="0.2">
      <c r="A433" t="str">
        <f t="shared" si="12"/>
        <v/>
      </c>
      <c r="B433" t="str">
        <f>IF($A433="","",SUMPRODUCT((MOVIMIENTOS!$B$5:$B$1005="SALDO INICIAL")*(MOVIMIENTOS!$C$5:$C$1005="A")*(MOVIMIENTOS!$D$5:$D$1005="jabas")*(MOVIMIENTOS!$A$5:$A$1005&lt;&gt;"")*(MOVIMIENTOS!$A$5:$A$1005&lt;=$A433)*MOVIMIENTOS!$E$5:$E$1005)+SUMPRODUCT((MOVIMIENTOS!$B$5:$B$1005="PROCESO")*(MOVIMIENTOS!$C$5:$C$1005="A")*(MOVIMIENTOS!$D$5:$D$1005="jabas")*(MOVIMIENTOS!$A$5:$A$1005&lt;&gt;"")*(MOVIMIENTOS!$A$5:$A$1005&lt;=$A433)*MOVIMIENTOS!$E$5:$E$1005)-SUMPRODUCT((MOVIMIENTOS!$B$5:$B$1005="ENVÍO A SUPESA")*(MOVIMIENTOS!$C$5:$C$1005="A")*(MOVIMIENTOS!$D$5:$D$1005="jabas")*(MOVIMIENTOS!$A$5:$A$1005&lt;&gt;"")*(MOVIMIENTOS!$A$5:$A$1005&lt;=$A433)*MOVIMIENTOS!$E$5:$E$1005)+SUMPRODUCT((MOVIMIENTOS!$B$5:$B$1005="DEVOLUCIÓN")*(MOVIMIENTOS!$C$5:$C$1005="A")*(MOVIMIENTOS!$D$5:$D$1005="jabas")*(MOVIMIENTOS!$A$5:$A$1005&lt;&gt;"")*(MOVIMIENTOS!$A$5:$A$1005&lt;=$A433)*MOVIMIENTOS!$E$5:$E$1005)-SUMPRODUCT((MOVIMIENTOS!$B$5:$B$1005="TRASIEGO")*(MOVIMIENTOS!$C$5:$C$1005="A")*(MOVIMIENTOS!$D$5:$D$1005="jabas")*(MOVIMIENTOS!$A$5:$A$1005&lt;&gt;"")*(MOVIMIENTOS!$A$5:$A$1005&lt;=$A433)*MOVIMIENTOS!$E$5:$E$1005)-SUMPRODUCT((MOVIMIENTOS!$B$5:$B$1005="REGALO")*(MOVIMIENTOS!$C$5:$C$1005="A")*(MOVIMIENTOS!$D$5:$D$1005="jabas")*(MOVIMIENTOS!$A$5:$A$1005&lt;&gt;"")*(MOVIMIENTOS!$A$5:$A$1005&lt;=$A433)*MOVIMIENTOS!$E$5:$E$1005)-SUMPRODUCT((MOVIMIENTOS!$B$5:$B$1005="VENTA")*(MOVIMIENTOS!$C$5:$C$1005="A")*(MOVIMIENTOS!$D$5:$D$1005="jabas")*(MOVIMIENTOS!$A$5:$A$1005&lt;&gt;"")*(MOVIMIENTOS!$A$5:$A$1005&lt;=$A433)*MOVIMIENTOS!$E$5:$E$1005)+SUMPRODUCT((MOVIMIENTOS!$B$5:$B$1005="AJUSTE")*(MOVIMIENTOS!$C$5:$C$1005="A")*(MOVIMIENTOS!$D$5:$D$1005="jabas")*(MOVIMIENTOS!$A$5:$A$1005&lt;&gt;"")*(MOVIMIENTOS!$A$5:$A$1005&lt;=$A433)*MOVIMIENTOS!$E$5:$E$1005))</f>
        <v/>
      </c>
      <c r="C433" t="str">
        <f>IF($A433="","",SUMPRODUCT((MOVIMIENTOS!$B$5:$B$1005="SALDO INICIAL")*(MOVIMIENTOS!$C$5:$C$1005="P")*(MOVIMIENTOS!$D$5:$D$1005="jabas")*(MOVIMIENTOS!$A$5:$A$1005&lt;&gt;"")*(MOVIMIENTOS!$A$5:$A$1005&lt;=$A433)*MOVIMIENTOS!$E$5:$E$1005)+SUMPRODUCT((MOVIMIENTOS!$B$5:$B$1005="PROCESO")*(MOVIMIENTOS!$C$5:$C$1005="P")*(MOVIMIENTOS!$D$5:$D$1005="jabas")*(MOVIMIENTOS!$A$5:$A$1005&lt;&gt;"")*(MOVIMIENTOS!$A$5:$A$1005&lt;=$A433)*MOVIMIENTOS!$E$5:$E$1005)-SUMPRODUCT((MOVIMIENTOS!$B$5:$B$1005="ENVÍO A SUPESA")*(MOVIMIENTOS!$C$5:$C$1005="P")*(MOVIMIENTOS!$D$5:$D$1005="jabas")*(MOVIMIENTOS!$A$5:$A$1005&lt;&gt;"")*(MOVIMIENTOS!$A$5:$A$1005&lt;=$A433)*MOVIMIENTOS!$E$5:$E$1005)+SUMPRODUCT((MOVIMIENTOS!$B$5:$B$1005="DEVOLUCIÓN")*(MOVIMIENTOS!$C$5:$C$1005="P")*(MOVIMIENTOS!$D$5:$D$1005="jabas")*(MOVIMIENTOS!$A$5:$A$1005&lt;&gt;"")*(MOVIMIENTOS!$A$5:$A$1005&lt;=$A433)*MOVIMIENTOS!$E$5:$E$1005)-SUMPRODUCT((MOVIMIENTOS!$B$5:$B$1005="TRASIEGO")*(MOVIMIENTOS!$C$5:$C$1005="P")*(MOVIMIENTOS!$D$5:$D$1005="jabas")*(MOVIMIENTOS!$A$5:$A$1005&lt;&gt;"")*(MOVIMIENTOS!$A$5:$A$1005&lt;=$A433)*MOVIMIENTOS!$E$5:$E$1005)-SUMPRODUCT((MOVIMIENTOS!$B$5:$B$1005="REGALO")*(MOVIMIENTOS!$C$5:$C$1005="P")*(MOVIMIENTOS!$D$5:$D$1005="jabas")*(MOVIMIENTOS!$A$5:$A$1005&lt;&gt;"")*(MOVIMIENTOS!$A$5:$A$1005&lt;=$A433)*MOVIMIENTOS!$E$5:$E$1005)-SUMPRODUCT((MOVIMIENTOS!$B$5:$B$1005="VENTA")*(MOVIMIENTOS!$C$5:$C$1005="P")*(MOVIMIENTOS!$D$5:$D$1005="jabas")*(MOVIMIENTOS!$A$5:$A$1005&lt;&gt;"")*(MOVIMIENTOS!$A$5:$A$1005&lt;=$A433)*MOVIMIENTOS!$E$5:$E$1005)+SUMPRODUCT((MOVIMIENTOS!$B$5:$B$1005="AJUSTE")*(MOVIMIENTOS!$C$5:$C$1005="P")*(MOVIMIENTOS!$D$5:$D$1005="jabas")*(MOVIMIENTOS!$A$5:$A$1005&lt;&gt;"")*(MOVIMIENTOS!$A$5:$A$1005&lt;=$A433)*MOVIMIENTOS!$E$5:$E$1005))</f>
        <v/>
      </c>
      <c r="D433" t="str">
        <f>IF($A433="","",SUMPRODUCT((MOVIMIENTOS!$B$5:$B$1005="SALDO INICIAL")*(MOVIMIENTOS!$C$5:$C$1005="C")*(MOVIMIENTOS!$D$5:$D$1005="jabas")*(MOVIMIENTOS!$A$5:$A$1005&lt;&gt;"")*(MOVIMIENTOS!$A$5:$A$1005&lt;=$A433)*MOVIMIENTOS!$E$5:$E$1005)+SUMPRODUCT((MOVIMIENTOS!$B$5:$B$1005="PROCESO")*(MOVIMIENTOS!$C$5:$C$1005="C")*(MOVIMIENTOS!$D$5:$D$1005="jabas")*(MOVIMIENTOS!$A$5:$A$1005&lt;&gt;"")*(MOVIMIENTOS!$A$5:$A$1005&lt;=$A433)*MOVIMIENTOS!$E$5:$E$1005)-SUMPRODUCT((MOVIMIENTOS!$B$5:$B$1005="ENVÍO A SUPESA")*(MOVIMIENTOS!$C$5:$C$1005="C")*(MOVIMIENTOS!$D$5:$D$1005="jabas")*(MOVIMIENTOS!$A$5:$A$1005&lt;&gt;"")*(MOVIMIENTOS!$A$5:$A$1005&lt;=$A433)*MOVIMIENTOS!$E$5:$E$1005)+SUMPRODUCT((MOVIMIENTOS!$B$5:$B$1005="DEVOLUCIÓN")*(MOVIMIENTOS!$C$5:$C$1005="C")*(MOVIMIENTOS!$D$5:$D$1005="jabas")*(MOVIMIENTOS!$A$5:$A$1005&lt;&gt;"")*(MOVIMIENTOS!$A$5:$A$1005&lt;=$A433)*MOVIMIENTOS!$E$5:$E$1005)-SUMPRODUCT((MOVIMIENTOS!$B$5:$B$1005="TRASIEGO")*(MOVIMIENTOS!$C$5:$C$1005="C")*(MOVIMIENTOS!$D$5:$D$1005="jabas")*(MOVIMIENTOS!$A$5:$A$1005&lt;&gt;"")*(MOVIMIENTOS!$A$5:$A$1005&lt;=$A433)*MOVIMIENTOS!$E$5:$E$1005)-SUMPRODUCT((MOVIMIENTOS!$B$5:$B$1005="REGALO")*(MOVIMIENTOS!$C$5:$C$1005="C")*(MOVIMIENTOS!$D$5:$D$1005="jabas")*(MOVIMIENTOS!$A$5:$A$1005&lt;&gt;"")*(MOVIMIENTOS!$A$5:$A$1005&lt;=$A433)*MOVIMIENTOS!$E$5:$E$1005)-SUMPRODUCT((MOVIMIENTOS!$B$5:$B$1005="VENTA")*(MOVIMIENTOS!$C$5:$C$1005="C")*(MOVIMIENTOS!$D$5:$D$1005="jabas")*(MOVIMIENTOS!$A$5:$A$1005&lt;&gt;"")*(MOVIMIENTOS!$A$5:$A$1005&lt;=$A433)*MOVIMIENTOS!$E$5:$E$1005)+SUMPRODUCT((MOVIMIENTOS!$B$5:$B$1005="AJUSTE")*(MOVIMIENTOS!$C$5:$C$1005="C")*(MOVIMIENTOS!$D$5:$D$1005="jabas")*(MOVIMIENTOS!$A$5:$A$1005&lt;&gt;"")*(MOVIMIENTOS!$A$5:$A$1005&lt;=$A433)*MOVIMIENTOS!$E$5:$E$1005))</f>
        <v/>
      </c>
      <c r="E433" t="str">
        <f>IF($A433="","",SUMPRODUCT((MOVIMIENTOS!$B$5:$B$1005="SALDO INICIAL")*(MOVIMIENTOS!$C$5:$C$1005="M")*(MOVIMIENTOS!$D$5:$D$1005="jabas")*(MOVIMIENTOS!$A$5:$A$1005&lt;&gt;"")*(MOVIMIENTOS!$A$5:$A$1005&lt;=$A433)*MOVIMIENTOS!$E$5:$E$1005)+SUMPRODUCT((MOVIMIENTOS!$B$5:$B$1005="PROCESO")*(MOVIMIENTOS!$C$5:$C$1005="M")*(MOVIMIENTOS!$D$5:$D$1005="jabas")*(MOVIMIENTOS!$A$5:$A$1005&lt;&gt;"")*(MOVIMIENTOS!$A$5:$A$1005&lt;=$A433)*MOVIMIENTOS!$E$5:$E$1005)-SUMPRODUCT((MOVIMIENTOS!$B$5:$B$1005="ENVÍO A SUPESA")*(MOVIMIENTOS!$C$5:$C$1005="M")*(MOVIMIENTOS!$D$5:$D$1005="jabas")*(MOVIMIENTOS!$A$5:$A$1005&lt;&gt;"")*(MOVIMIENTOS!$A$5:$A$1005&lt;=$A433)*MOVIMIENTOS!$E$5:$E$1005)+SUMPRODUCT((MOVIMIENTOS!$B$5:$B$1005="DEVOLUCIÓN")*(MOVIMIENTOS!$C$5:$C$1005="M")*(MOVIMIENTOS!$D$5:$D$1005="jabas")*(MOVIMIENTOS!$A$5:$A$1005&lt;&gt;"")*(MOVIMIENTOS!$A$5:$A$1005&lt;=$A433)*MOVIMIENTOS!$E$5:$E$1005)-SUMPRODUCT((MOVIMIENTOS!$B$5:$B$1005="TRASIEGO")*(MOVIMIENTOS!$C$5:$C$1005="M")*(MOVIMIENTOS!$D$5:$D$1005="jabas")*(MOVIMIENTOS!$A$5:$A$1005&lt;&gt;"")*(MOVIMIENTOS!$A$5:$A$1005&lt;=$A433)*MOVIMIENTOS!$E$5:$E$1005)-SUMPRODUCT((MOVIMIENTOS!$B$5:$B$1005="REGALO")*(MOVIMIENTOS!$C$5:$C$1005="M")*(MOVIMIENTOS!$D$5:$D$1005="jabas")*(MOVIMIENTOS!$A$5:$A$1005&lt;&gt;"")*(MOVIMIENTOS!$A$5:$A$1005&lt;=$A433)*MOVIMIENTOS!$E$5:$E$1005)-SUMPRODUCT((MOVIMIENTOS!$B$5:$B$1005="VENTA")*(MOVIMIENTOS!$C$5:$C$1005="M")*(MOVIMIENTOS!$D$5:$D$1005="jabas")*(MOVIMIENTOS!$A$5:$A$1005&lt;&gt;"")*(MOVIMIENTOS!$A$5:$A$1005&lt;=$A433)*MOVIMIENTOS!$E$5:$E$1005)+SUMPRODUCT((MOVIMIENTOS!$B$5:$B$1005="AJUSTE")*(MOVIMIENTOS!$C$5:$C$1005="M")*(MOVIMIENTOS!$D$5:$D$1005="jabas")*(MOVIMIENTOS!$A$5:$A$1005&lt;&gt;"")*(MOVIMIENTOS!$A$5:$A$1005&lt;=$A433)*MOVIMIENTOS!$E$5:$E$1005))</f>
        <v/>
      </c>
      <c r="F433" s="62" t="str">
        <f>IF($A433="","",SUMPRODUCT((MOVIMIENTOS!$B$5:$B$1005="SALDO INICIAL")*(MOVIMIENTOS!$C$5:$C$1005="Chancho")*(MOVIMIENTOS!$D$5:$D$1005="sacos")*(MOVIMIENTOS!$A$5:$A$1005&lt;&gt;"")*(MOVIMIENTOS!$A$5:$A$1005&lt;=$A433)*MOVIMIENTOS!$E$5:$E$1005)+SUMPRODUCT((MOVIMIENTOS!$B$5:$B$1005="PROCESO")*(MOVIMIENTOS!$C$5:$C$1005="Chancho")*(MOVIMIENTOS!$D$5:$D$1005="sacos")*(MOVIMIENTOS!$A$5:$A$1005&lt;&gt;"")*(MOVIMIENTOS!$A$5:$A$1005&lt;=$A433)*MOVIMIENTOS!$E$5:$E$1005)-SUMPRODUCT((MOVIMIENTOS!$B$5:$B$1005="VENTA CHANCHO")*(MOVIMIENTOS!$C$5:$C$1005="Chancho")*(MOVIMIENTOS!$D$5:$D$1005="sacos")*(MOVIMIENTOS!$A$5:$A$1005&lt;&gt;"")*(MOVIMIENTOS!$A$5:$A$1005&lt;=$A433)*MOVIMIENTOS!$E$5:$E$1005)-SUMPRODUCT((MOVIMIENTOS!$B$5:$B$1005="REGALO")*(MOVIMIENTOS!$C$5:$C$1005="Chancho")*(MOVIMIENTOS!$D$5:$D$1005="sacos")*(MOVIMIENTOS!$A$5:$A$1005&lt;&gt;"")*(MOVIMIENTOS!$A$5:$A$1005&lt;=$A433)*MOVIMIENTOS!$E$5:$E$1005)-SUMPRODUCT((MOVIMIENTOS!$B$5:$B$1005="VENTA")*(MOVIMIENTOS!$C$5:$C$1005="Chancho")*(MOVIMIENTOS!$D$5:$D$1005="sacos")*(MOVIMIENTOS!$A$5:$A$1005&lt;&gt;"")*(MOVIMIENTOS!$A$5:$A$1005&lt;=$A433)*MOVIMIENTOS!$E$5:$E$1005)+SUMPRODUCT((MOVIMIENTOS!$B$5:$B$1005="AJUSTE")*(MOVIMIENTOS!$C$5:$C$1005="Chancho")*(MOVIMIENTOS!$D$5:$D$1005="sacos")*(MOVIMIENTOS!$A$5:$A$1005&lt;&gt;"")*(MOVIMIENTOS!$A$5:$A$1005&lt;=$A433)*MOVIMIENTOS!$E$5:$E$1005))</f>
        <v/>
      </c>
      <c r="G433" s="62" t="str">
        <f t="shared" si="13"/>
        <v/>
      </c>
      <c r="H433" t="str">
        <f>IF($A433="","",SUMPRODUCT((((MOVIMIENTOS!$B$5:$B$1005="SALDO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433)*MOVIMIENTOS!$J$5:$J$1005))</f>
        <v/>
      </c>
      <c r="J433" t="str">
        <f>IF(AND(MOVIMIENTOS!$A438&lt;&gt;"",COUNTIF(MOVIMIENTOS!$A$5:$A437,MOVIMIENTOS!$A438)=0),COUNT(J$4:J432)+1,"")</f>
        <v/>
      </c>
      <c r="K433" s="67">
        <f>MOVIMIENTOS!$A438</f>
        <v>46251</v>
      </c>
    </row>
    <row r="434" spans="1:11" ht="15" customHeight="1" x14ac:dyDescent="0.2">
      <c r="A434" t="str">
        <f t="shared" si="12"/>
        <v/>
      </c>
      <c r="B434" t="str">
        <f>IF($A434="","",SUMPRODUCT((MOVIMIENTOS!$B$5:$B$1005="SALDO INICIAL")*(MOVIMIENTOS!$C$5:$C$1005="A")*(MOVIMIENTOS!$D$5:$D$1005="jabas")*(MOVIMIENTOS!$A$5:$A$1005&lt;&gt;"")*(MOVIMIENTOS!$A$5:$A$1005&lt;=$A434)*MOVIMIENTOS!$E$5:$E$1005)+SUMPRODUCT((MOVIMIENTOS!$B$5:$B$1005="PROCESO")*(MOVIMIENTOS!$C$5:$C$1005="A")*(MOVIMIENTOS!$D$5:$D$1005="jabas")*(MOVIMIENTOS!$A$5:$A$1005&lt;&gt;"")*(MOVIMIENTOS!$A$5:$A$1005&lt;=$A434)*MOVIMIENTOS!$E$5:$E$1005)-SUMPRODUCT((MOVIMIENTOS!$B$5:$B$1005="ENVÍO A SUPESA")*(MOVIMIENTOS!$C$5:$C$1005="A")*(MOVIMIENTOS!$D$5:$D$1005="jabas")*(MOVIMIENTOS!$A$5:$A$1005&lt;&gt;"")*(MOVIMIENTOS!$A$5:$A$1005&lt;=$A434)*MOVIMIENTOS!$E$5:$E$1005)+SUMPRODUCT((MOVIMIENTOS!$B$5:$B$1005="DEVOLUCIÓN")*(MOVIMIENTOS!$C$5:$C$1005="A")*(MOVIMIENTOS!$D$5:$D$1005="jabas")*(MOVIMIENTOS!$A$5:$A$1005&lt;&gt;"")*(MOVIMIENTOS!$A$5:$A$1005&lt;=$A434)*MOVIMIENTOS!$E$5:$E$1005)-SUMPRODUCT((MOVIMIENTOS!$B$5:$B$1005="TRASIEGO")*(MOVIMIENTOS!$C$5:$C$1005="A")*(MOVIMIENTOS!$D$5:$D$1005="jabas")*(MOVIMIENTOS!$A$5:$A$1005&lt;&gt;"")*(MOVIMIENTOS!$A$5:$A$1005&lt;=$A434)*MOVIMIENTOS!$E$5:$E$1005)-SUMPRODUCT((MOVIMIENTOS!$B$5:$B$1005="REGALO")*(MOVIMIENTOS!$C$5:$C$1005="A")*(MOVIMIENTOS!$D$5:$D$1005="jabas")*(MOVIMIENTOS!$A$5:$A$1005&lt;&gt;"")*(MOVIMIENTOS!$A$5:$A$1005&lt;=$A434)*MOVIMIENTOS!$E$5:$E$1005)-SUMPRODUCT((MOVIMIENTOS!$B$5:$B$1005="VENTA")*(MOVIMIENTOS!$C$5:$C$1005="A")*(MOVIMIENTOS!$D$5:$D$1005="jabas")*(MOVIMIENTOS!$A$5:$A$1005&lt;&gt;"")*(MOVIMIENTOS!$A$5:$A$1005&lt;=$A434)*MOVIMIENTOS!$E$5:$E$1005)+SUMPRODUCT((MOVIMIENTOS!$B$5:$B$1005="AJUSTE")*(MOVIMIENTOS!$C$5:$C$1005="A")*(MOVIMIENTOS!$D$5:$D$1005="jabas")*(MOVIMIENTOS!$A$5:$A$1005&lt;&gt;"")*(MOVIMIENTOS!$A$5:$A$1005&lt;=$A434)*MOVIMIENTOS!$E$5:$E$1005))</f>
        <v/>
      </c>
      <c r="C434" t="str">
        <f>IF($A434="","",SUMPRODUCT((MOVIMIENTOS!$B$5:$B$1005="SALDO INICIAL")*(MOVIMIENTOS!$C$5:$C$1005="P")*(MOVIMIENTOS!$D$5:$D$1005="jabas")*(MOVIMIENTOS!$A$5:$A$1005&lt;&gt;"")*(MOVIMIENTOS!$A$5:$A$1005&lt;=$A434)*MOVIMIENTOS!$E$5:$E$1005)+SUMPRODUCT((MOVIMIENTOS!$B$5:$B$1005="PROCESO")*(MOVIMIENTOS!$C$5:$C$1005="P")*(MOVIMIENTOS!$D$5:$D$1005="jabas")*(MOVIMIENTOS!$A$5:$A$1005&lt;&gt;"")*(MOVIMIENTOS!$A$5:$A$1005&lt;=$A434)*MOVIMIENTOS!$E$5:$E$1005)-SUMPRODUCT((MOVIMIENTOS!$B$5:$B$1005="ENVÍO A SUPESA")*(MOVIMIENTOS!$C$5:$C$1005="P")*(MOVIMIENTOS!$D$5:$D$1005="jabas")*(MOVIMIENTOS!$A$5:$A$1005&lt;&gt;"")*(MOVIMIENTOS!$A$5:$A$1005&lt;=$A434)*MOVIMIENTOS!$E$5:$E$1005)+SUMPRODUCT((MOVIMIENTOS!$B$5:$B$1005="DEVOLUCIÓN")*(MOVIMIENTOS!$C$5:$C$1005="P")*(MOVIMIENTOS!$D$5:$D$1005="jabas")*(MOVIMIENTOS!$A$5:$A$1005&lt;&gt;"")*(MOVIMIENTOS!$A$5:$A$1005&lt;=$A434)*MOVIMIENTOS!$E$5:$E$1005)-SUMPRODUCT((MOVIMIENTOS!$B$5:$B$1005="TRASIEGO")*(MOVIMIENTOS!$C$5:$C$1005="P")*(MOVIMIENTOS!$D$5:$D$1005="jabas")*(MOVIMIENTOS!$A$5:$A$1005&lt;&gt;"")*(MOVIMIENTOS!$A$5:$A$1005&lt;=$A434)*MOVIMIENTOS!$E$5:$E$1005)-SUMPRODUCT((MOVIMIENTOS!$B$5:$B$1005="REGALO")*(MOVIMIENTOS!$C$5:$C$1005="P")*(MOVIMIENTOS!$D$5:$D$1005="jabas")*(MOVIMIENTOS!$A$5:$A$1005&lt;&gt;"")*(MOVIMIENTOS!$A$5:$A$1005&lt;=$A434)*MOVIMIENTOS!$E$5:$E$1005)-SUMPRODUCT((MOVIMIENTOS!$B$5:$B$1005="VENTA")*(MOVIMIENTOS!$C$5:$C$1005="P")*(MOVIMIENTOS!$D$5:$D$1005="jabas")*(MOVIMIENTOS!$A$5:$A$1005&lt;&gt;"")*(MOVIMIENTOS!$A$5:$A$1005&lt;=$A434)*MOVIMIENTOS!$E$5:$E$1005)+SUMPRODUCT((MOVIMIENTOS!$B$5:$B$1005="AJUSTE")*(MOVIMIENTOS!$C$5:$C$1005="P")*(MOVIMIENTOS!$D$5:$D$1005="jabas")*(MOVIMIENTOS!$A$5:$A$1005&lt;&gt;"")*(MOVIMIENTOS!$A$5:$A$1005&lt;=$A434)*MOVIMIENTOS!$E$5:$E$1005))</f>
        <v/>
      </c>
      <c r="D434" t="str">
        <f>IF($A434="","",SUMPRODUCT((MOVIMIENTOS!$B$5:$B$1005="SALDO INICIAL")*(MOVIMIENTOS!$C$5:$C$1005="C")*(MOVIMIENTOS!$D$5:$D$1005="jabas")*(MOVIMIENTOS!$A$5:$A$1005&lt;&gt;"")*(MOVIMIENTOS!$A$5:$A$1005&lt;=$A434)*MOVIMIENTOS!$E$5:$E$1005)+SUMPRODUCT((MOVIMIENTOS!$B$5:$B$1005="PROCESO")*(MOVIMIENTOS!$C$5:$C$1005="C")*(MOVIMIENTOS!$D$5:$D$1005="jabas")*(MOVIMIENTOS!$A$5:$A$1005&lt;&gt;"")*(MOVIMIENTOS!$A$5:$A$1005&lt;=$A434)*MOVIMIENTOS!$E$5:$E$1005)-SUMPRODUCT((MOVIMIENTOS!$B$5:$B$1005="ENVÍO A SUPESA")*(MOVIMIENTOS!$C$5:$C$1005="C")*(MOVIMIENTOS!$D$5:$D$1005="jabas")*(MOVIMIENTOS!$A$5:$A$1005&lt;&gt;"")*(MOVIMIENTOS!$A$5:$A$1005&lt;=$A434)*MOVIMIENTOS!$E$5:$E$1005)+SUMPRODUCT((MOVIMIENTOS!$B$5:$B$1005="DEVOLUCIÓN")*(MOVIMIENTOS!$C$5:$C$1005="C")*(MOVIMIENTOS!$D$5:$D$1005="jabas")*(MOVIMIENTOS!$A$5:$A$1005&lt;&gt;"")*(MOVIMIENTOS!$A$5:$A$1005&lt;=$A434)*MOVIMIENTOS!$E$5:$E$1005)-SUMPRODUCT((MOVIMIENTOS!$B$5:$B$1005="TRASIEGO")*(MOVIMIENTOS!$C$5:$C$1005="C")*(MOVIMIENTOS!$D$5:$D$1005="jabas")*(MOVIMIENTOS!$A$5:$A$1005&lt;&gt;"")*(MOVIMIENTOS!$A$5:$A$1005&lt;=$A434)*MOVIMIENTOS!$E$5:$E$1005)-SUMPRODUCT((MOVIMIENTOS!$B$5:$B$1005="REGALO")*(MOVIMIENTOS!$C$5:$C$1005="C")*(MOVIMIENTOS!$D$5:$D$1005="jabas")*(MOVIMIENTOS!$A$5:$A$1005&lt;&gt;"")*(MOVIMIENTOS!$A$5:$A$1005&lt;=$A434)*MOVIMIENTOS!$E$5:$E$1005)-SUMPRODUCT((MOVIMIENTOS!$B$5:$B$1005="VENTA")*(MOVIMIENTOS!$C$5:$C$1005="C")*(MOVIMIENTOS!$D$5:$D$1005="jabas")*(MOVIMIENTOS!$A$5:$A$1005&lt;&gt;"")*(MOVIMIENTOS!$A$5:$A$1005&lt;=$A434)*MOVIMIENTOS!$E$5:$E$1005)+SUMPRODUCT((MOVIMIENTOS!$B$5:$B$1005="AJUSTE")*(MOVIMIENTOS!$C$5:$C$1005="C")*(MOVIMIENTOS!$D$5:$D$1005="jabas")*(MOVIMIENTOS!$A$5:$A$1005&lt;&gt;"")*(MOVIMIENTOS!$A$5:$A$1005&lt;=$A434)*MOVIMIENTOS!$E$5:$E$1005))</f>
        <v/>
      </c>
      <c r="E434" t="str">
        <f>IF($A434="","",SUMPRODUCT((MOVIMIENTOS!$B$5:$B$1005="SALDO INICIAL")*(MOVIMIENTOS!$C$5:$C$1005="M")*(MOVIMIENTOS!$D$5:$D$1005="jabas")*(MOVIMIENTOS!$A$5:$A$1005&lt;&gt;"")*(MOVIMIENTOS!$A$5:$A$1005&lt;=$A434)*MOVIMIENTOS!$E$5:$E$1005)+SUMPRODUCT((MOVIMIENTOS!$B$5:$B$1005="PROCESO")*(MOVIMIENTOS!$C$5:$C$1005="M")*(MOVIMIENTOS!$D$5:$D$1005="jabas")*(MOVIMIENTOS!$A$5:$A$1005&lt;&gt;"")*(MOVIMIENTOS!$A$5:$A$1005&lt;=$A434)*MOVIMIENTOS!$E$5:$E$1005)-SUMPRODUCT((MOVIMIENTOS!$B$5:$B$1005="ENVÍO A SUPESA")*(MOVIMIENTOS!$C$5:$C$1005="M")*(MOVIMIENTOS!$D$5:$D$1005="jabas")*(MOVIMIENTOS!$A$5:$A$1005&lt;&gt;"")*(MOVIMIENTOS!$A$5:$A$1005&lt;=$A434)*MOVIMIENTOS!$E$5:$E$1005)+SUMPRODUCT((MOVIMIENTOS!$B$5:$B$1005="DEVOLUCIÓN")*(MOVIMIENTOS!$C$5:$C$1005="M")*(MOVIMIENTOS!$D$5:$D$1005="jabas")*(MOVIMIENTOS!$A$5:$A$1005&lt;&gt;"")*(MOVIMIENTOS!$A$5:$A$1005&lt;=$A434)*MOVIMIENTOS!$E$5:$E$1005)-SUMPRODUCT((MOVIMIENTOS!$B$5:$B$1005="TRASIEGO")*(MOVIMIENTOS!$C$5:$C$1005="M")*(MOVIMIENTOS!$D$5:$D$1005="jabas")*(MOVIMIENTOS!$A$5:$A$1005&lt;&gt;"")*(MOVIMIENTOS!$A$5:$A$1005&lt;=$A434)*MOVIMIENTOS!$E$5:$E$1005)-SUMPRODUCT((MOVIMIENTOS!$B$5:$B$1005="REGALO")*(MOVIMIENTOS!$C$5:$C$1005="M")*(MOVIMIENTOS!$D$5:$D$1005="jabas")*(MOVIMIENTOS!$A$5:$A$1005&lt;&gt;"")*(MOVIMIENTOS!$A$5:$A$1005&lt;=$A434)*MOVIMIENTOS!$E$5:$E$1005)-SUMPRODUCT((MOVIMIENTOS!$B$5:$B$1005="VENTA")*(MOVIMIENTOS!$C$5:$C$1005="M")*(MOVIMIENTOS!$D$5:$D$1005="jabas")*(MOVIMIENTOS!$A$5:$A$1005&lt;&gt;"")*(MOVIMIENTOS!$A$5:$A$1005&lt;=$A434)*MOVIMIENTOS!$E$5:$E$1005)+SUMPRODUCT((MOVIMIENTOS!$B$5:$B$1005="AJUSTE")*(MOVIMIENTOS!$C$5:$C$1005="M")*(MOVIMIENTOS!$D$5:$D$1005="jabas")*(MOVIMIENTOS!$A$5:$A$1005&lt;&gt;"")*(MOVIMIENTOS!$A$5:$A$1005&lt;=$A434)*MOVIMIENTOS!$E$5:$E$1005))</f>
        <v/>
      </c>
      <c r="F434" s="62" t="str">
        <f>IF($A434="","",SUMPRODUCT((MOVIMIENTOS!$B$5:$B$1005="SALDO INICIAL")*(MOVIMIENTOS!$C$5:$C$1005="Chancho")*(MOVIMIENTOS!$D$5:$D$1005="sacos")*(MOVIMIENTOS!$A$5:$A$1005&lt;&gt;"")*(MOVIMIENTOS!$A$5:$A$1005&lt;=$A434)*MOVIMIENTOS!$E$5:$E$1005)+SUMPRODUCT((MOVIMIENTOS!$B$5:$B$1005="PROCESO")*(MOVIMIENTOS!$C$5:$C$1005="Chancho")*(MOVIMIENTOS!$D$5:$D$1005="sacos")*(MOVIMIENTOS!$A$5:$A$1005&lt;&gt;"")*(MOVIMIENTOS!$A$5:$A$1005&lt;=$A434)*MOVIMIENTOS!$E$5:$E$1005)-SUMPRODUCT((MOVIMIENTOS!$B$5:$B$1005="VENTA CHANCHO")*(MOVIMIENTOS!$C$5:$C$1005="Chancho")*(MOVIMIENTOS!$D$5:$D$1005="sacos")*(MOVIMIENTOS!$A$5:$A$1005&lt;&gt;"")*(MOVIMIENTOS!$A$5:$A$1005&lt;=$A434)*MOVIMIENTOS!$E$5:$E$1005)-SUMPRODUCT((MOVIMIENTOS!$B$5:$B$1005="REGALO")*(MOVIMIENTOS!$C$5:$C$1005="Chancho")*(MOVIMIENTOS!$D$5:$D$1005="sacos")*(MOVIMIENTOS!$A$5:$A$1005&lt;&gt;"")*(MOVIMIENTOS!$A$5:$A$1005&lt;=$A434)*MOVIMIENTOS!$E$5:$E$1005)-SUMPRODUCT((MOVIMIENTOS!$B$5:$B$1005="VENTA")*(MOVIMIENTOS!$C$5:$C$1005="Chancho")*(MOVIMIENTOS!$D$5:$D$1005="sacos")*(MOVIMIENTOS!$A$5:$A$1005&lt;&gt;"")*(MOVIMIENTOS!$A$5:$A$1005&lt;=$A434)*MOVIMIENTOS!$E$5:$E$1005)+SUMPRODUCT((MOVIMIENTOS!$B$5:$B$1005="AJUSTE")*(MOVIMIENTOS!$C$5:$C$1005="Chancho")*(MOVIMIENTOS!$D$5:$D$1005="sacos")*(MOVIMIENTOS!$A$5:$A$1005&lt;&gt;"")*(MOVIMIENTOS!$A$5:$A$1005&lt;=$A434)*MOVIMIENTOS!$E$5:$E$1005))</f>
        <v/>
      </c>
      <c r="G434" s="62" t="str">
        <f t="shared" si="13"/>
        <v/>
      </c>
      <c r="H434" t="str">
        <f>IF($A434="","",SUMPRODUCT((((MOVIMIENTOS!$B$5:$B$1005="SALDO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434)*MOVIMIENTOS!$J$5:$J$1005))</f>
        <v/>
      </c>
      <c r="J434" t="str">
        <f>IF(AND(MOVIMIENTOS!$A439&lt;&gt;"",COUNTIF(MOVIMIENTOS!$A$5:$A438,MOVIMIENTOS!$A439)=0),COUNT(J$4:J433)+1,"")</f>
        <v/>
      </c>
      <c r="K434" s="67">
        <f>MOVIMIENTOS!$A439</f>
        <v>46251</v>
      </c>
    </row>
    <row r="435" spans="1:11" ht="15" customHeight="1" x14ac:dyDescent="0.2">
      <c r="A435" t="str">
        <f t="shared" si="12"/>
        <v/>
      </c>
      <c r="B435" t="str">
        <f>IF($A435="","",SUMPRODUCT((MOVIMIENTOS!$B$5:$B$1005="SALDO INICIAL")*(MOVIMIENTOS!$C$5:$C$1005="A")*(MOVIMIENTOS!$D$5:$D$1005="jabas")*(MOVIMIENTOS!$A$5:$A$1005&lt;&gt;"")*(MOVIMIENTOS!$A$5:$A$1005&lt;=$A435)*MOVIMIENTOS!$E$5:$E$1005)+SUMPRODUCT((MOVIMIENTOS!$B$5:$B$1005="PROCESO")*(MOVIMIENTOS!$C$5:$C$1005="A")*(MOVIMIENTOS!$D$5:$D$1005="jabas")*(MOVIMIENTOS!$A$5:$A$1005&lt;&gt;"")*(MOVIMIENTOS!$A$5:$A$1005&lt;=$A435)*MOVIMIENTOS!$E$5:$E$1005)-SUMPRODUCT((MOVIMIENTOS!$B$5:$B$1005="ENVÍO A SUPESA")*(MOVIMIENTOS!$C$5:$C$1005="A")*(MOVIMIENTOS!$D$5:$D$1005="jabas")*(MOVIMIENTOS!$A$5:$A$1005&lt;&gt;"")*(MOVIMIENTOS!$A$5:$A$1005&lt;=$A435)*MOVIMIENTOS!$E$5:$E$1005)+SUMPRODUCT((MOVIMIENTOS!$B$5:$B$1005="DEVOLUCIÓN")*(MOVIMIENTOS!$C$5:$C$1005="A")*(MOVIMIENTOS!$D$5:$D$1005="jabas")*(MOVIMIENTOS!$A$5:$A$1005&lt;&gt;"")*(MOVIMIENTOS!$A$5:$A$1005&lt;=$A435)*MOVIMIENTOS!$E$5:$E$1005)-SUMPRODUCT((MOVIMIENTOS!$B$5:$B$1005="TRASIEGO")*(MOVIMIENTOS!$C$5:$C$1005="A")*(MOVIMIENTOS!$D$5:$D$1005="jabas")*(MOVIMIENTOS!$A$5:$A$1005&lt;&gt;"")*(MOVIMIENTOS!$A$5:$A$1005&lt;=$A435)*MOVIMIENTOS!$E$5:$E$1005)-SUMPRODUCT((MOVIMIENTOS!$B$5:$B$1005="REGALO")*(MOVIMIENTOS!$C$5:$C$1005="A")*(MOVIMIENTOS!$D$5:$D$1005="jabas")*(MOVIMIENTOS!$A$5:$A$1005&lt;&gt;"")*(MOVIMIENTOS!$A$5:$A$1005&lt;=$A435)*MOVIMIENTOS!$E$5:$E$1005)-SUMPRODUCT((MOVIMIENTOS!$B$5:$B$1005="VENTA")*(MOVIMIENTOS!$C$5:$C$1005="A")*(MOVIMIENTOS!$D$5:$D$1005="jabas")*(MOVIMIENTOS!$A$5:$A$1005&lt;&gt;"")*(MOVIMIENTOS!$A$5:$A$1005&lt;=$A435)*MOVIMIENTOS!$E$5:$E$1005)+SUMPRODUCT((MOVIMIENTOS!$B$5:$B$1005="AJUSTE")*(MOVIMIENTOS!$C$5:$C$1005="A")*(MOVIMIENTOS!$D$5:$D$1005="jabas")*(MOVIMIENTOS!$A$5:$A$1005&lt;&gt;"")*(MOVIMIENTOS!$A$5:$A$1005&lt;=$A435)*MOVIMIENTOS!$E$5:$E$1005))</f>
        <v/>
      </c>
      <c r="C435" t="str">
        <f>IF($A435="","",SUMPRODUCT((MOVIMIENTOS!$B$5:$B$1005="SALDO INICIAL")*(MOVIMIENTOS!$C$5:$C$1005="P")*(MOVIMIENTOS!$D$5:$D$1005="jabas")*(MOVIMIENTOS!$A$5:$A$1005&lt;&gt;"")*(MOVIMIENTOS!$A$5:$A$1005&lt;=$A435)*MOVIMIENTOS!$E$5:$E$1005)+SUMPRODUCT((MOVIMIENTOS!$B$5:$B$1005="PROCESO")*(MOVIMIENTOS!$C$5:$C$1005="P")*(MOVIMIENTOS!$D$5:$D$1005="jabas")*(MOVIMIENTOS!$A$5:$A$1005&lt;&gt;"")*(MOVIMIENTOS!$A$5:$A$1005&lt;=$A435)*MOVIMIENTOS!$E$5:$E$1005)-SUMPRODUCT((MOVIMIENTOS!$B$5:$B$1005="ENVÍO A SUPESA")*(MOVIMIENTOS!$C$5:$C$1005="P")*(MOVIMIENTOS!$D$5:$D$1005="jabas")*(MOVIMIENTOS!$A$5:$A$1005&lt;&gt;"")*(MOVIMIENTOS!$A$5:$A$1005&lt;=$A435)*MOVIMIENTOS!$E$5:$E$1005)+SUMPRODUCT((MOVIMIENTOS!$B$5:$B$1005="DEVOLUCIÓN")*(MOVIMIENTOS!$C$5:$C$1005="P")*(MOVIMIENTOS!$D$5:$D$1005="jabas")*(MOVIMIENTOS!$A$5:$A$1005&lt;&gt;"")*(MOVIMIENTOS!$A$5:$A$1005&lt;=$A435)*MOVIMIENTOS!$E$5:$E$1005)-SUMPRODUCT((MOVIMIENTOS!$B$5:$B$1005="TRASIEGO")*(MOVIMIENTOS!$C$5:$C$1005="P")*(MOVIMIENTOS!$D$5:$D$1005="jabas")*(MOVIMIENTOS!$A$5:$A$1005&lt;&gt;"")*(MOVIMIENTOS!$A$5:$A$1005&lt;=$A435)*MOVIMIENTOS!$E$5:$E$1005)-SUMPRODUCT((MOVIMIENTOS!$B$5:$B$1005="REGALO")*(MOVIMIENTOS!$C$5:$C$1005="P")*(MOVIMIENTOS!$D$5:$D$1005="jabas")*(MOVIMIENTOS!$A$5:$A$1005&lt;&gt;"")*(MOVIMIENTOS!$A$5:$A$1005&lt;=$A435)*MOVIMIENTOS!$E$5:$E$1005)-SUMPRODUCT((MOVIMIENTOS!$B$5:$B$1005="VENTA")*(MOVIMIENTOS!$C$5:$C$1005="P")*(MOVIMIENTOS!$D$5:$D$1005="jabas")*(MOVIMIENTOS!$A$5:$A$1005&lt;&gt;"")*(MOVIMIENTOS!$A$5:$A$1005&lt;=$A435)*MOVIMIENTOS!$E$5:$E$1005)+SUMPRODUCT((MOVIMIENTOS!$B$5:$B$1005="AJUSTE")*(MOVIMIENTOS!$C$5:$C$1005="P")*(MOVIMIENTOS!$D$5:$D$1005="jabas")*(MOVIMIENTOS!$A$5:$A$1005&lt;&gt;"")*(MOVIMIENTOS!$A$5:$A$1005&lt;=$A435)*MOVIMIENTOS!$E$5:$E$1005))</f>
        <v/>
      </c>
      <c r="D435" t="str">
        <f>IF($A435="","",SUMPRODUCT((MOVIMIENTOS!$B$5:$B$1005="SALDO INICIAL")*(MOVIMIENTOS!$C$5:$C$1005="C")*(MOVIMIENTOS!$D$5:$D$1005="jabas")*(MOVIMIENTOS!$A$5:$A$1005&lt;&gt;"")*(MOVIMIENTOS!$A$5:$A$1005&lt;=$A435)*MOVIMIENTOS!$E$5:$E$1005)+SUMPRODUCT((MOVIMIENTOS!$B$5:$B$1005="PROCESO")*(MOVIMIENTOS!$C$5:$C$1005="C")*(MOVIMIENTOS!$D$5:$D$1005="jabas")*(MOVIMIENTOS!$A$5:$A$1005&lt;&gt;"")*(MOVIMIENTOS!$A$5:$A$1005&lt;=$A435)*MOVIMIENTOS!$E$5:$E$1005)-SUMPRODUCT((MOVIMIENTOS!$B$5:$B$1005="ENVÍO A SUPESA")*(MOVIMIENTOS!$C$5:$C$1005="C")*(MOVIMIENTOS!$D$5:$D$1005="jabas")*(MOVIMIENTOS!$A$5:$A$1005&lt;&gt;"")*(MOVIMIENTOS!$A$5:$A$1005&lt;=$A435)*MOVIMIENTOS!$E$5:$E$1005)+SUMPRODUCT((MOVIMIENTOS!$B$5:$B$1005="DEVOLUCIÓN")*(MOVIMIENTOS!$C$5:$C$1005="C")*(MOVIMIENTOS!$D$5:$D$1005="jabas")*(MOVIMIENTOS!$A$5:$A$1005&lt;&gt;"")*(MOVIMIENTOS!$A$5:$A$1005&lt;=$A435)*MOVIMIENTOS!$E$5:$E$1005)-SUMPRODUCT((MOVIMIENTOS!$B$5:$B$1005="TRASIEGO")*(MOVIMIENTOS!$C$5:$C$1005="C")*(MOVIMIENTOS!$D$5:$D$1005="jabas")*(MOVIMIENTOS!$A$5:$A$1005&lt;&gt;"")*(MOVIMIENTOS!$A$5:$A$1005&lt;=$A435)*MOVIMIENTOS!$E$5:$E$1005)-SUMPRODUCT((MOVIMIENTOS!$B$5:$B$1005="REGALO")*(MOVIMIENTOS!$C$5:$C$1005="C")*(MOVIMIENTOS!$D$5:$D$1005="jabas")*(MOVIMIENTOS!$A$5:$A$1005&lt;&gt;"")*(MOVIMIENTOS!$A$5:$A$1005&lt;=$A435)*MOVIMIENTOS!$E$5:$E$1005)-SUMPRODUCT((MOVIMIENTOS!$B$5:$B$1005="VENTA")*(MOVIMIENTOS!$C$5:$C$1005="C")*(MOVIMIENTOS!$D$5:$D$1005="jabas")*(MOVIMIENTOS!$A$5:$A$1005&lt;&gt;"")*(MOVIMIENTOS!$A$5:$A$1005&lt;=$A435)*MOVIMIENTOS!$E$5:$E$1005)+SUMPRODUCT((MOVIMIENTOS!$B$5:$B$1005="AJUSTE")*(MOVIMIENTOS!$C$5:$C$1005="C")*(MOVIMIENTOS!$D$5:$D$1005="jabas")*(MOVIMIENTOS!$A$5:$A$1005&lt;&gt;"")*(MOVIMIENTOS!$A$5:$A$1005&lt;=$A435)*MOVIMIENTOS!$E$5:$E$1005))</f>
        <v/>
      </c>
      <c r="E435" t="str">
        <f>IF($A435="","",SUMPRODUCT((MOVIMIENTOS!$B$5:$B$1005="SALDO INICIAL")*(MOVIMIENTOS!$C$5:$C$1005="M")*(MOVIMIENTOS!$D$5:$D$1005="jabas")*(MOVIMIENTOS!$A$5:$A$1005&lt;&gt;"")*(MOVIMIENTOS!$A$5:$A$1005&lt;=$A435)*MOVIMIENTOS!$E$5:$E$1005)+SUMPRODUCT((MOVIMIENTOS!$B$5:$B$1005="PROCESO")*(MOVIMIENTOS!$C$5:$C$1005="M")*(MOVIMIENTOS!$D$5:$D$1005="jabas")*(MOVIMIENTOS!$A$5:$A$1005&lt;&gt;"")*(MOVIMIENTOS!$A$5:$A$1005&lt;=$A435)*MOVIMIENTOS!$E$5:$E$1005)-SUMPRODUCT((MOVIMIENTOS!$B$5:$B$1005="ENVÍO A SUPESA")*(MOVIMIENTOS!$C$5:$C$1005="M")*(MOVIMIENTOS!$D$5:$D$1005="jabas")*(MOVIMIENTOS!$A$5:$A$1005&lt;&gt;"")*(MOVIMIENTOS!$A$5:$A$1005&lt;=$A435)*MOVIMIENTOS!$E$5:$E$1005)+SUMPRODUCT((MOVIMIENTOS!$B$5:$B$1005="DEVOLUCIÓN")*(MOVIMIENTOS!$C$5:$C$1005="M")*(MOVIMIENTOS!$D$5:$D$1005="jabas")*(MOVIMIENTOS!$A$5:$A$1005&lt;&gt;"")*(MOVIMIENTOS!$A$5:$A$1005&lt;=$A435)*MOVIMIENTOS!$E$5:$E$1005)-SUMPRODUCT((MOVIMIENTOS!$B$5:$B$1005="TRASIEGO")*(MOVIMIENTOS!$C$5:$C$1005="M")*(MOVIMIENTOS!$D$5:$D$1005="jabas")*(MOVIMIENTOS!$A$5:$A$1005&lt;&gt;"")*(MOVIMIENTOS!$A$5:$A$1005&lt;=$A435)*MOVIMIENTOS!$E$5:$E$1005)-SUMPRODUCT((MOVIMIENTOS!$B$5:$B$1005="REGALO")*(MOVIMIENTOS!$C$5:$C$1005="M")*(MOVIMIENTOS!$D$5:$D$1005="jabas")*(MOVIMIENTOS!$A$5:$A$1005&lt;&gt;"")*(MOVIMIENTOS!$A$5:$A$1005&lt;=$A435)*MOVIMIENTOS!$E$5:$E$1005)-SUMPRODUCT((MOVIMIENTOS!$B$5:$B$1005="VENTA")*(MOVIMIENTOS!$C$5:$C$1005="M")*(MOVIMIENTOS!$D$5:$D$1005="jabas")*(MOVIMIENTOS!$A$5:$A$1005&lt;&gt;"")*(MOVIMIENTOS!$A$5:$A$1005&lt;=$A435)*MOVIMIENTOS!$E$5:$E$1005)+SUMPRODUCT((MOVIMIENTOS!$B$5:$B$1005="AJUSTE")*(MOVIMIENTOS!$C$5:$C$1005="M")*(MOVIMIENTOS!$D$5:$D$1005="jabas")*(MOVIMIENTOS!$A$5:$A$1005&lt;&gt;"")*(MOVIMIENTOS!$A$5:$A$1005&lt;=$A435)*MOVIMIENTOS!$E$5:$E$1005))</f>
        <v/>
      </c>
      <c r="F435" s="62" t="str">
        <f>IF($A435="","",SUMPRODUCT((MOVIMIENTOS!$B$5:$B$1005="SALDO INICIAL")*(MOVIMIENTOS!$C$5:$C$1005="Chancho")*(MOVIMIENTOS!$D$5:$D$1005="sacos")*(MOVIMIENTOS!$A$5:$A$1005&lt;&gt;"")*(MOVIMIENTOS!$A$5:$A$1005&lt;=$A435)*MOVIMIENTOS!$E$5:$E$1005)+SUMPRODUCT((MOVIMIENTOS!$B$5:$B$1005="PROCESO")*(MOVIMIENTOS!$C$5:$C$1005="Chancho")*(MOVIMIENTOS!$D$5:$D$1005="sacos")*(MOVIMIENTOS!$A$5:$A$1005&lt;&gt;"")*(MOVIMIENTOS!$A$5:$A$1005&lt;=$A435)*MOVIMIENTOS!$E$5:$E$1005)-SUMPRODUCT((MOVIMIENTOS!$B$5:$B$1005="VENTA CHANCHO")*(MOVIMIENTOS!$C$5:$C$1005="Chancho")*(MOVIMIENTOS!$D$5:$D$1005="sacos")*(MOVIMIENTOS!$A$5:$A$1005&lt;&gt;"")*(MOVIMIENTOS!$A$5:$A$1005&lt;=$A435)*MOVIMIENTOS!$E$5:$E$1005)-SUMPRODUCT((MOVIMIENTOS!$B$5:$B$1005="REGALO")*(MOVIMIENTOS!$C$5:$C$1005="Chancho")*(MOVIMIENTOS!$D$5:$D$1005="sacos")*(MOVIMIENTOS!$A$5:$A$1005&lt;&gt;"")*(MOVIMIENTOS!$A$5:$A$1005&lt;=$A435)*MOVIMIENTOS!$E$5:$E$1005)-SUMPRODUCT((MOVIMIENTOS!$B$5:$B$1005="VENTA")*(MOVIMIENTOS!$C$5:$C$1005="Chancho")*(MOVIMIENTOS!$D$5:$D$1005="sacos")*(MOVIMIENTOS!$A$5:$A$1005&lt;&gt;"")*(MOVIMIENTOS!$A$5:$A$1005&lt;=$A435)*MOVIMIENTOS!$E$5:$E$1005)+SUMPRODUCT((MOVIMIENTOS!$B$5:$B$1005="AJUSTE")*(MOVIMIENTOS!$C$5:$C$1005="Chancho")*(MOVIMIENTOS!$D$5:$D$1005="sacos")*(MOVIMIENTOS!$A$5:$A$1005&lt;&gt;"")*(MOVIMIENTOS!$A$5:$A$1005&lt;=$A435)*MOVIMIENTOS!$E$5:$E$1005))</f>
        <v/>
      </c>
      <c r="G435" s="62" t="str">
        <f t="shared" si="13"/>
        <v/>
      </c>
      <c r="H435" t="str">
        <f>IF($A435="","",SUMPRODUCT((((MOVIMIENTOS!$B$5:$B$1005="SALDO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435)*MOVIMIENTOS!$J$5:$J$1005))</f>
        <v/>
      </c>
      <c r="J435" t="str">
        <f>IF(AND(MOVIMIENTOS!$A440&lt;&gt;"",COUNTIF(MOVIMIENTOS!$A$5:$A439,MOVIMIENTOS!$A440)=0),COUNT(J$4:J434)+1,"")</f>
        <v/>
      </c>
      <c r="K435" s="67">
        <f>MOVIMIENTOS!$A440</f>
        <v>46251</v>
      </c>
    </row>
    <row r="436" spans="1:11" ht="15" customHeight="1" x14ac:dyDescent="0.2">
      <c r="A436" t="str">
        <f t="shared" si="12"/>
        <v/>
      </c>
      <c r="B436" t="str">
        <f>IF($A436="","",SUMPRODUCT((MOVIMIENTOS!$B$5:$B$1005="SALDO INICIAL")*(MOVIMIENTOS!$C$5:$C$1005="A")*(MOVIMIENTOS!$D$5:$D$1005="jabas")*(MOVIMIENTOS!$A$5:$A$1005&lt;&gt;"")*(MOVIMIENTOS!$A$5:$A$1005&lt;=$A436)*MOVIMIENTOS!$E$5:$E$1005)+SUMPRODUCT((MOVIMIENTOS!$B$5:$B$1005="PROCESO")*(MOVIMIENTOS!$C$5:$C$1005="A")*(MOVIMIENTOS!$D$5:$D$1005="jabas")*(MOVIMIENTOS!$A$5:$A$1005&lt;&gt;"")*(MOVIMIENTOS!$A$5:$A$1005&lt;=$A436)*MOVIMIENTOS!$E$5:$E$1005)-SUMPRODUCT((MOVIMIENTOS!$B$5:$B$1005="ENVÍO A SUPESA")*(MOVIMIENTOS!$C$5:$C$1005="A")*(MOVIMIENTOS!$D$5:$D$1005="jabas")*(MOVIMIENTOS!$A$5:$A$1005&lt;&gt;"")*(MOVIMIENTOS!$A$5:$A$1005&lt;=$A436)*MOVIMIENTOS!$E$5:$E$1005)+SUMPRODUCT((MOVIMIENTOS!$B$5:$B$1005="DEVOLUCIÓN")*(MOVIMIENTOS!$C$5:$C$1005="A")*(MOVIMIENTOS!$D$5:$D$1005="jabas")*(MOVIMIENTOS!$A$5:$A$1005&lt;&gt;"")*(MOVIMIENTOS!$A$5:$A$1005&lt;=$A436)*MOVIMIENTOS!$E$5:$E$1005)-SUMPRODUCT((MOVIMIENTOS!$B$5:$B$1005="TRASIEGO")*(MOVIMIENTOS!$C$5:$C$1005="A")*(MOVIMIENTOS!$D$5:$D$1005="jabas")*(MOVIMIENTOS!$A$5:$A$1005&lt;&gt;"")*(MOVIMIENTOS!$A$5:$A$1005&lt;=$A436)*MOVIMIENTOS!$E$5:$E$1005)-SUMPRODUCT((MOVIMIENTOS!$B$5:$B$1005="REGALO")*(MOVIMIENTOS!$C$5:$C$1005="A")*(MOVIMIENTOS!$D$5:$D$1005="jabas")*(MOVIMIENTOS!$A$5:$A$1005&lt;&gt;"")*(MOVIMIENTOS!$A$5:$A$1005&lt;=$A436)*MOVIMIENTOS!$E$5:$E$1005)-SUMPRODUCT((MOVIMIENTOS!$B$5:$B$1005="VENTA")*(MOVIMIENTOS!$C$5:$C$1005="A")*(MOVIMIENTOS!$D$5:$D$1005="jabas")*(MOVIMIENTOS!$A$5:$A$1005&lt;&gt;"")*(MOVIMIENTOS!$A$5:$A$1005&lt;=$A436)*MOVIMIENTOS!$E$5:$E$1005)+SUMPRODUCT((MOVIMIENTOS!$B$5:$B$1005="AJUSTE")*(MOVIMIENTOS!$C$5:$C$1005="A")*(MOVIMIENTOS!$D$5:$D$1005="jabas")*(MOVIMIENTOS!$A$5:$A$1005&lt;&gt;"")*(MOVIMIENTOS!$A$5:$A$1005&lt;=$A436)*MOVIMIENTOS!$E$5:$E$1005))</f>
        <v/>
      </c>
      <c r="C436" t="str">
        <f>IF($A436="","",SUMPRODUCT((MOVIMIENTOS!$B$5:$B$1005="SALDO INICIAL")*(MOVIMIENTOS!$C$5:$C$1005="P")*(MOVIMIENTOS!$D$5:$D$1005="jabas")*(MOVIMIENTOS!$A$5:$A$1005&lt;&gt;"")*(MOVIMIENTOS!$A$5:$A$1005&lt;=$A436)*MOVIMIENTOS!$E$5:$E$1005)+SUMPRODUCT((MOVIMIENTOS!$B$5:$B$1005="PROCESO")*(MOVIMIENTOS!$C$5:$C$1005="P")*(MOVIMIENTOS!$D$5:$D$1005="jabas")*(MOVIMIENTOS!$A$5:$A$1005&lt;&gt;"")*(MOVIMIENTOS!$A$5:$A$1005&lt;=$A436)*MOVIMIENTOS!$E$5:$E$1005)-SUMPRODUCT((MOVIMIENTOS!$B$5:$B$1005="ENVÍO A SUPESA")*(MOVIMIENTOS!$C$5:$C$1005="P")*(MOVIMIENTOS!$D$5:$D$1005="jabas")*(MOVIMIENTOS!$A$5:$A$1005&lt;&gt;"")*(MOVIMIENTOS!$A$5:$A$1005&lt;=$A436)*MOVIMIENTOS!$E$5:$E$1005)+SUMPRODUCT((MOVIMIENTOS!$B$5:$B$1005="DEVOLUCIÓN")*(MOVIMIENTOS!$C$5:$C$1005="P")*(MOVIMIENTOS!$D$5:$D$1005="jabas")*(MOVIMIENTOS!$A$5:$A$1005&lt;&gt;"")*(MOVIMIENTOS!$A$5:$A$1005&lt;=$A436)*MOVIMIENTOS!$E$5:$E$1005)-SUMPRODUCT((MOVIMIENTOS!$B$5:$B$1005="TRASIEGO")*(MOVIMIENTOS!$C$5:$C$1005="P")*(MOVIMIENTOS!$D$5:$D$1005="jabas")*(MOVIMIENTOS!$A$5:$A$1005&lt;&gt;"")*(MOVIMIENTOS!$A$5:$A$1005&lt;=$A436)*MOVIMIENTOS!$E$5:$E$1005)-SUMPRODUCT((MOVIMIENTOS!$B$5:$B$1005="REGALO")*(MOVIMIENTOS!$C$5:$C$1005="P")*(MOVIMIENTOS!$D$5:$D$1005="jabas")*(MOVIMIENTOS!$A$5:$A$1005&lt;&gt;"")*(MOVIMIENTOS!$A$5:$A$1005&lt;=$A436)*MOVIMIENTOS!$E$5:$E$1005)-SUMPRODUCT((MOVIMIENTOS!$B$5:$B$1005="VENTA")*(MOVIMIENTOS!$C$5:$C$1005="P")*(MOVIMIENTOS!$D$5:$D$1005="jabas")*(MOVIMIENTOS!$A$5:$A$1005&lt;&gt;"")*(MOVIMIENTOS!$A$5:$A$1005&lt;=$A436)*MOVIMIENTOS!$E$5:$E$1005)+SUMPRODUCT((MOVIMIENTOS!$B$5:$B$1005="AJUSTE")*(MOVIMIENTOS!$C$5:$C$1005="P")*(MOVIMIENTOS!$D$5:$D$1005="jabas")*(MOVIMIENTOS!$A$5:$A$1005&lt;&gt;"")*(MOVIMIENTOS!$A$5:$A$1005&lt;=$A436)*MOVIMIENTOS!$E$5:$E$1005))</f>
        <v/>
      </c>
      <c r="D436" t="str">
        <f>IF($A436="","",SUMPRODUCT((MOVIMIENTOS!$B$5:$B$1005="SALDO INICIAL")*(MOVIMIENTOS!$C$5:$C$1005="C")*(MOVIMIENTOS!$D$5:$D$1005="jabas")*(MOVIMIENTOS!$A$5:$A$1005&lt;&gt;"")*(MOVIMIENTOS!$A$5:$A$1005&lt;=$A436)*MOVIMIENTOS!$E$5:$E$1005)+SUMPRODUCT((MOVIMIENTOS!$B$5:$B$1005="PROCESO")*(MOVIMIENTOS!$C$5:$C$1005="C")*(MOVIMIENTOS!$D$5:$D$1005="jabas")*(MOVIMIENTOS!$A$5:$A$1005&lt;&gt;"")*(MOVIMIENTOS!$A$5:$A$1005&lt;=$A436)*MOVIMIENTOS!$E$5:$E$1005)-SUMPRODUCT((MOVIMIENTOS!$B$5:$B$1005="ENVÍO A SUPESA")*(MOVIMIENTOS!$C$5:$C$1005="C")*(MOVIMIENTOS!$D$5:$D$1005="jabas")*(MOVIMIENTOS!$A$5:$A$1005&lt;&gt;"")*(MOVIMIENTOS!$A$5:$A$1005&lt;=$A436)*MOVIMIENTOS!$E$5:$E$1005)+SUMPRODUCT((MOVIMIENTOS!$B$5:$B$1005="DEVOLUCIÓN")*(MOVIMIENTOS!$C$5:$C$1005="C")*(MOVIMIENTOS!$D$5:$D$1005="jabas")*(MOVIMIENTOS!$A$5:$A$1005&lt;&gt;"")*(MOVIMIENTOS!$A$5:$A$1005&lt;=$A436)*MOVIMIENTOS!$E$5:$E$1005)-SUMPRODUCT((MOVIMIENTOS!$B$5:$B$1005="TRASIEGO")*(MOVIMIENTOS!$C$5:$C$1005="C")*(MOVIMIENTOS!$D$5:$D$1005="jabas")*(MOVIMIENTOS!$A$5:$A$1005&lt;&gt;"")*(MOVIMIENTOS!$A$5:$A$1005&lt;=$A436)*MOVIMIENTOS!$E$5:$E$1005)-SUMPRODUCT((MOVIMIENTOS!$B$5:$B$1005="REGALO")*(MOVIMIENTOS!$C$5:$C$1005="C")*(MOVIMIENTOS!$D$5:$D$1005="jabas")*(MOVIMIENTOS!$A$5:$A$1005&lt;&gt;"")*(MOVIMIENTOS!$A$5:$A$1005&lt;=$A436)*MOVIMIENTOS!$E$5:$E$1005)-SUMPRODUCT((MOVIMIENTOS!$B$5:$B$1005="VENTA")*(MOVIMIENTOS!$C$5:$C$1005="C")*(MOVIMIENTOS!$D$5:$D$1005="jabas")*(MOVIMIENTOS!$A$5:$A$1005&lt;&gt;"")*(MOVIMIENTOS!$A$5:$A$1005&lt;=$A436)*MOVIMIENTOS!$E$5:$E$1005)+SUMPRODUCT((MOVIMIENTOS!$B$5:$B$1005="AJUSTE")*(MOVIMIENTOS!$C$5:$C$1005="C")*(MOVIMIENTOS!$D$5:$D$1005="jabas")*(MOVIMIENTOS!$A$5:$A$1005&lt;&gt;"")*(MOVIMIENTOS!$A$5:$A$1005&lt;=$A436)*MOVIMIENTOS!$E$5:$E$1005))</f>
        <v/>
      </c>
      <c r="E436" t="str">
        <f>IF($A436="","",SUMPRODUCT((MOVIMIENTOS!$B$5:$B$1005="SALDO INICIAL")*(MOVIMIENTOS!$C$5:$C$1005="M")*(MOVIMIENTOS!$D$5:$D$1005="jabas")*(MOVIMIENTOS!$A$5:$A$1005&lt;&gt;"")*(MOVIMIENTOS!$A$5:$A$1005&lt;=$A436)*MOVIMIENTOS!$E$5:$E$1005)+SUMPRODUCT((MOVIMIENTOS!$B$5:$B$1005="PROCESO")*(MOVIMIENTOS!$C$5:$C$1005="M")*(MOVIMIENTOS!$D$5:$D$1005="jabas")*(MOVIMIENTOS!$A$5:$A$1005&lt;&gt;"")*(MOVIMIENTOS!$A$5:$A$1005&lt;=$A436)*MOVIMIENTOS!$E$5:$E$1005)-SUMPRODUCT((MOVIMIENTOS!$B$5:$B$1005="ENVÍO A SUPESA")*(MOVIMIENTOS!$C$5:$C$1005="M")*(MOVIMIENTOS!$D$5:$D$1005="jabas")*(MOVIMIENTOS!$A$5:$A$1005&lt;&gt;"")*(MOVIMIENTOS!$A$5:$A$1005&lt;=$A436)*MOVIMIENTOS!$E$5:$E$1005)+SUMPRODUCT((MOVIMIENTOS!$B$5:$B$1005="DEVOLUCIÓN")*(MOVIMIENTOS!$C$5:$C$1005="M")*(MOVIMIENTOS!$D$5:$D$1005="jabas")*(MOVIMIENTOS!$A$5:$A$1005&lt;&gt;"")*(MOVIMIENTOS!$A$5:$A$1005&lt;=$A436)*MOVIMIENTOS!$E$5:$E$1005)-SUMPRODUCT((MOVIMIENTOS!$B$5:$B$1005="TRASIEGO")*(MOVIMIENTOS!$C$5:$C$1005="M")*(MOVIMIENTOS!$D$5:$D$1005="jabas")*(MOVIMIENTOS!$A$5:$A$1005&lt;&gt;"")*(MOVIMIENTOS!$A$5:$A$1005&lt;=$A436)*MOVIMIENTOS!$E$5:$E$1005)-SUMPRODUCT((MOVIMIENTOS!$B$5:$B$1005="REGALO")*(MOVIMIENTOS!$C$5:$C$1005="M")*(MOVIMIENTOS!$D$5:$D$1005="jabas")*(MOVIMIENTOS!$A$5:$A$1005&lt;&gt;"")*(MOVIMIENTOS!$A$5:$A$1005&lt;=$A436)*MOVIMIENTOS!$E$5:$E$1005)-SUMPRODUCT((MOVIMIENTOS!$B$5:$B$1005="VENTA")*(MOVIMIENTOS!$C$5:$C$1005="M")*(MOVIMIENTOS!$D$5:$D$1005="jabas")*(MOVIMIENTOS!$A$5:$A$1005&lt;&gt;"")*(MOVIMIENTOS!$A$5:$A$1005&lt;=$A436)*MOVIMIENTOS!$E$5:$E$1005)+SUMPRODUCT((MOVIMIENTOS!$B$5:$B$1005="AJUSTE")*(MOVIMIENTOS!$C$5:$C$1005="M")*(MOVIMIENTOS!$D$5:$D$1005="jabas")*(MOVIMIENTOS!$A$5:$A$1005&lt;&gt;"")*(MOVIMIENTOS!$A$5:$A$1005&lt;=$A436)*MOVIMIENTOS!$E$5:$E$1005))</f>
        <v/>
      </c>
      <c r="F436" s="62" t="str">
        <f>IF($A436="","",SUMPRODUCT((MOVIMIENTOS!$B$5:$B$1005="SALDO INICIAL")*(MOVIMIENTOS!$C$5:$C$1005="Chancho")*(MOVIMIENTOS!$D$5:$D$1005="sacos")*(MOVIMIENTOS!$A$5:$A$1005&lt;&gt;"")*(MOVIMIENTOS!$A$5:$A$1005&lt;=$A436)*MOVIMIENTOS!$E$5:$E$1005)+SUMPRODUCT((MOVIMIENTOS!$B$5:$B$1005="PROCESO")*(MOVIMIENTOS!$C$5:$C$1005="Chancho")*(MOVIMIENTOS!$D$5:$D$1005="sacos")*(MOVIMIENTOS!$A$5:$A$1005&lt;&gt;"")*(MOVIMIENTOS!$A$5:$A$1005&lt;=$A436)*MOVIMIENTOS!$E$5:$E$1005)-SUMPRODUCT((MOVIMIENTOS!$B$5:$B$1005="VENTA CHANCHO")*(MOVIMIENTOS!$C$5:$C$1005="Chancho")*(MOVIMIENTOS!$D$5:$D$1005="sacos")*(MOVIMIENTOS!$A$5:$A$1005&lt;&gt;"")*(MOVIMIENTOS!$A$5:$A$1005&lt;=$A436)*MOVIMIENTOS!$E$5:$E$1005)-SUMPRODUCT((MOVIMIENTOS!$B$5:$B$1005="REGALO")*(MOVIMIENTOS!$C$5:$C$1005="Chancho")*(MOVIMIENTOS!$D$5:$D$1005="sacos")*(MOVIMIENTOS!$A$5:$A$1005&lt;&gt;"")*(MOVIMIENTOS!$A$5:$A$1005&lt;=$A436)*MOVIMIENTOS!$E$5:$E$1005)-SUMPRODUCT((MOVIMIENTOS!$B$5:$B$1005="VENTA")*(MOVIMIENTOS!$C$5:$C$1005="Chancho")*(MOVIMIENTOS!$D$5:$D$1005="sacos")*(MOVIMIENTOS!$A$5:$A$1005&lt;&gt;"")*(MOVIMIENTOS!$A$5:$A$1005&lt;=$A436)*MOVIMIENTOS!$E$5:$E$1005)+SUMPRODUCT((MOVIMIENTOS!$B$5:$B$1005="AJUSTE")*(MOVIMIENTOS!$C$5:$C$1005="Chancho")*(MOVIMIENTOS!$D$5:$D$1005="sacos")*(MOVIMIENTOS!$A$5:$A$1005&lt;&gt;"")*(MOVIMIENTOS!$A$5:$A$1005&lt;=$A436)*MOVIMIENTOS!$E$5:$E$1005))</f>
        <v/>
      </c>
      <c r="G436" s="62" t="str">
        <f t="shared" si="13"/>
        <v/>
      </c>
      <c r="H436" t="str">
        <f>IF($A436="","",SUMPRODUCT((((MOVIMIENTOS!$B$5:$B$1005="SALDO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436)*MOVIMIENTOS!$J$5:$J$1005))</f>
        <v/>
      </c>
      <c r="J436" t="str">
        <f>IF(AND(MOVIMIENTOS!$A441&lt;&gt;"",COUNTIF(MOVIMIENTOS!$A$5:$A440,MOVIMIENTOS!$A441)=0),COUNT(J$4:J435)+1,"")</f>
        <v/>
      </c>
      <c r="K436" s="67">
        <f>MOVIMIENTOS!$A441</f>
        <v>46251</v>
      </c>
    </row>
    <row r="437" spans="1:11" ht="15" customHeight="1" x14ac:dyDescent="0.2">
      <c r="A437" t="str">
        <f t="shared" si="12"/>
        <v/>
      </c>
      <c r="B437" t="str">
        <f>IF($A437="","",SUMPRODUCT((MOVIMIENTOS!$B$5:$B$1005="SALDO INICIAL")*(MOVIMIENTOS!$C$5:$C$1005="A")*(MOVIMIENTOS!$D$5:$D$1005="jabas")*(MOVIMIENTOS!$A$5:$A$1005&lt;&gt;"")*(MOVIMIENTOS!$A$5:$A$1005&lt;=$A437)*MOVIMIENTOS!$E$5:$E$1005)+SUMPRODUCT((MOVIMIENTOS!$B$5:$B$1005="PROCESO")*(MOVIMIENTOS!$C$5:$C$1005="A")*(MOVIMIENTOS!$D$5:$D$1005="jabas")*(MOVIMIENTOS!$A$5:$A$1005&lt;&gt;"")*(MOVIMIENTOS!$A$5:$A$1005&lt;=$A437)*MOVIMIENTOS!$E$5:$E$1005)-SUMPRODUCT((MOVIMIENTOS!$B$5:$B$1005="ENVÍO A SUPESA")*(MOVIMIENTOS!$C$5:$C$1005="A")*(MOVIMIENTOS!$D$5:$D$1005="jabas")*(MOVIMIENTOS!$A$5:$A$1005&lt;&gt;"")*(MOVIMIENTOS!$A$5:$A$1005&lt;=$A437)*MOVIMIENTOS!$E$5:$E$1005)+SUMPRODUCT((MOVIMIENTOS!$B$5:$B$1005="DEVOLUCIÓN")*(MOVIMIENTOS!$C$5:$C$1005="A")*(MOVIMIENTOS!$D$5:$D$1005="jabas")*(MOVIMIENTOS!$A$5:$A$1005&lt;&gt;"")*(MOVIMIENTOS!$A$5:$A$1005&lt;=$A437)*MOVIMIENTOS!$E$5:$E$1005)-SUMPRODUCT((MOVIMIENTOS!$B$5:$B$1005="TRASIEGO")*(MOVIMIENTOS!$C$5:$C$1005="A")*(MOVIMIENTOS!$D$5:$D$1005="jabas")*(MOVIMIENTOS!$A$5:$A$1005&lt;&gt;"")*(MOVIMIENTOS!$A$5:$A$1005&lt;=$A437)*MOVIMIENTOS!$E$5:$E$1005)-SUMPRODUCT((MOVIMIENTOS!$B$5:$B$1005="REGALO")*(MOVIMIENTOS!$C$5:$C$1005="A")*(MOVIMIENTOS!$D$5:$D$1005="jabas")*(MOVIMIENTOS!$A$5:$A$1005&lt;&gt;"")*(MOVIMIENTOS!$A$5:$A$1005&lt;=$A437)*MOVIMIENTOS!$E$5:$E$1005)-SUMPRODUCT((MOVIMIENTOS!$B$5:$B$1005="VENTA")*(MOVIMIENTOS!$C$5:$C$1005="A")*(MOVIMIENTOS!$D$5:$D$1005="jabas")*(MOVIMIENTOS!$A$5:$A$1005&lt;&gt;"")*(MOVIMIENTOS!$A$5:$A$1005&lt;=$A437)*MOVIMIENTOS!$E$5:$E$1005)+SUMPRODUCT((MOVIMIENTOS!$B$5:$B$1005="AJUSTE")*(MOVIMIENTOS!$C$5:$C$1005="A")*(MOVIMIENTOS!$D$5:$D$1005="jabas")*(MOVIMIENTOS!$A$5:$A$1005&lt;&gt;"")*(MOVIMIENTOS!$A$5:$A$1005&lt;=$A437)*MOVIMIENTOS!$E$5:$E$1005))</f>
        <v/>
      </c>
      <c r="C437" t="str">
        <f>IF($A437="","",SUMPRODUCT((MOVIMIENTOS!$B$5:$B$1005="SALDO INICIAL")*(MOVIMIENTOS!$C$5:$C$1005="P")*(MOVIMIENTOS!$D$5:$D$1005="jabas")*(MOVIMIENTOS!$A$5:$A$1005&lt;&gt;"")*(MOVIMIENTOS!$A$5:$A$1005&lt;=$A437)*MOVIMIENTOS!$E$5:$E$1005)+SUMPRODUCT((MOVIMIENTOS!$B$5:$B$1005="PROCESO")*(MOVIMIENTOS!$C$5:$C$1005="P")*(MOVIMIENTOS!$D$5:$D$1005="jabas")*(MOVIMIENTOS!$A$5:$A$1005&lt;&gt;"")*(MOVIMIENTOS!$A$5:$A$1005&lt;=$A437)*MOVIMIENTOS!$E$5:$E$1005)-SUMPRODUCT((MOVIMIENTOS!$B$5:$B$1005="ENVÍO A SUPESA")*(MOVIMIENTOS!$C$5:$C$1005="P")*(MOVIMIENTOS!$D$5:$D$1005="jabas")*(MOVIMIENTOS!$A$5:$A$1005&lt;&gt;"")*(MOVIMIENTOS!$A$5:$A$1005&lt;=$A437)*MOVIMIENTOS!$E$5:$E$1005)+SUMPRODUCT((MOVIMIENTOS!$B$5:$B$1005="DEVOLUCIÓN")*(MOVIMIENTOS!$C$5:$C$1005="P")*(MOVIMIENTOS!$D$5:$D$1005="jabas")*(MOVIMIENTOS!$A$5:$A$1005&lt;&gt;"")*(MOVIMIENTOS!$A$5:$A$1005&lt;=$A437)*MOVIMIENTOS!$E$5:$E$1005)-SUMPRODUCT((MOVIMIENTOS!$B$5:$B$1005="TRASIEGO")*(MOVIMIENTOS!$C$5:$C$1005="P")*(MOVIMIENTOS!$D$5:$D$1005="jabas")*(MOVIMIENTOS!$A$5:$A$1005&lt;&gt;"")*(MOVIMIENTOS!$A$5:$A$1005&lt;=$A437)*MOVIMIENTOS!$E$5:$E$1005)-SUMPRODUCT((MOVIMIENTOS!$B$5:$B$1005="REGALO")*(MOVIMIENTOS!$C$5:$C$1005="P")*(MOVIMIENTOS!$D$5:$D$1005="jabas")*(MOVIMIENTOS!$A$5:$A$1005&lt;&gt;"")*(MOVIMIENTOS!$A$5:$A$1005&lt;=$A437)*MOVIMIENTOS!$E$5:$E$1005)-SUMPRODUCT((MOVIMIENTOS!$B$5:$B$1005="VENTA")*(MOVIMIENTOS!$C$5:$C$1005="P")*(MOVIMIENTOS!$D$5:$D$1005="jabas")*(MOVIMIENTOS!$A$5:$A$1005&lt;&gt;"")*(MOVIMIENTOS!$A$5:$A$1005&lt;=$A437)*MOVIMIENTOS!$E$5:$E$1005)+SUMPRODUCT((MOVIMIENTOS!$B$5:$B$1005="AJUSTE")*(MOVIMIENTOS!$C$5:$C$1005="P")*(MOVIMIENTOS!$D$5:$D$1005="jabas")*(MOVIMIENTOS!$A$5:$A$1005&lt;&gt;"")*(MOVIMIENTOS!$A$5:$A$1005&lt;=$A437)*MOVIMIENTOS!$E$5:$E$1005))</f>
        <v/>
      </c>
      <c r="D437" t="str">
        <f>IF($A437="","",SUMPRODUCT((MOVIMIENTOS!$B$5:$B$1005="SALDO INICIAL")*(MOVIMIENTOS!$C$5:$C$1005="C")*(MOVIMIENTOS!$D$5:$D$1005="jabas")*(MOVIMIENTOS!$A$5:$A$1005&lt;&gt;"")*(MOVIMIENTOS!$A$5:$A$1005&lt;=$A437)*MOVIMIENTOS!$E$5:$E$1005)+SUMPRODUCT((MOVIMIENTOS!$B$5:$B$1005="PROCESO")*(MOVIMIENTOS!$C$5:$C$1005="C")*(MOVIMIENTOS!$D$5:$D$1005="jabas")*(MOVIMIENTOS!$A$5:$A$1005&lt;&gt;"")*(MOVIMIENTOS!$A$5:$A$1005&lt;=$A437)*MOVIMIENTOS!$E$5:$E$1005)-SUMPRODUCT((MOVIMIENTOS!$B$5:$B$1005="ENVÍO A SUPESA")*(MOVIMIENTOS!$C$5:$C$1005="C")*(MOVIMIENTOS!$D$5:$D$1005="jabas")*(MOVIMIENTOS!$A$5:$A$1005&lt;&gt;"")*(MOVIMIENTOS!$A$5:$A$1005&lt;=$A437)*MOVIMIENTOS!$E$5:$E$1005)+SUMPRODUCT((MOVIMIENTOS!$B$5:$B$1005="DEVOLUCIÓN")*(MOVIMIENTOS!$C$5:$C$1005="C")*(MOVIMIENTOS!$D$5:$D$1005="jabas")*(MOVIMIENTOS!$A$5:$A$1005&lt;&gt;"")*(MOVIMIENTOS!$A$5:$A$1005&lt;=$A437)*MOVIMIENTOS!$E$5:$E$1005)-SUMPRODUCT((MOVIMIENTOS!$B$5:$B$1005="TRASIEGO")*(MOVIMIENTOS!$C$5:$C$1005="C")*(MOVIMIENTOS!$D$5:$D$1005="jabas")*(MOVIMIENTOS!$A$5:$A$1005&lt;&gt;"")*(MOVIMIENTOS!$A$5:$A$1005&lt;=$A437)*MOVIMIENTOS!$E$5:$E$1005)-SUMPRODUCT((MOVIMIENTOS!$B$5:$B$1005="REGALO")*(MOVIMIENTOS!$C$5:$C$1005="C")*(MOVIMIENTOS!$D$5:$D$1005="jabas")*(MOVIMIENTOS!$A$5:$A$1005&lt;&gt;"")*(MOVIMIENTOS!$A$5:$A$1005&lt;=$A437)*MOVIMIENTOS!$E$5:$E$1005)-SUMPRODUCT((MOVIMIENTOS!$B$5:$B$1005="VENTA")*(MOVIMIENTOS!$C$5:$C$1005="C")*(MOVIMIENTOS!$D$5:$D$1005="jabas")*(MOVIMIENTOS!$A$5:$A$1005&lt;&gt;"")*(MOVIMIENTOS!$A$5:$A$1005&lt;=$A437)*MOVIMIENTOS!$E$5:$E$1005)+SUMPRODUCT((MOVIMIENTOS!$B$5:$B$1005="AJUSTE")*(MOVIMIENTOS!$C$5:$C$1005="C")*(MOVIMIENTOS!$D$5:$D$1005="jabas")*(MOVIMIENTOS!$A$5:$A$1005&lt;&gt;"")*(MOVIMIENTOS!$A$5:$A$1005&lt;=$A437)*MOVIMIENTOS!$E$5:$E$1005))</f>
        <v/>
      </c>
      <c r="E437" t="str">
        <f>IF($A437="","",SUMPRODUCT((MOVIMIENTOS!$B$5:$B$1005="SALDO INICIAL")*(MOVIMIENTOS!$C$5:$C$1005="M")*(MOVIMIENTOS!$D$5:$D$1005="jabas")*(MOVIMIENTOS!$A$5:$A$1005&lt;&gt;"")*(MOVIMIENTOS!$A$5:$A$1005&lt;=$A437)*MOVIMIENTOS!$E$5:$E$1005)+SUMPRODUCT((MOVIMIENTOS!$B$5:$B$1005="PROCESO")*(MOVIMIENTOS!$C$5:$C$1005="M")*(MOVIMIENTOS!$D$5:$D$1005="jabas")*(MOVIMIENTOS!$A$5:$A$1005&lt;&gt;"")*(MOVIMIENTOS!$A$5:$A$1005&lt;=$A437)*MOVIMIENTOS!$E$5:$E$1005)-SUMPRODUCT((MOVIMIENTOS!$B$5:$B$1005="ENVÍO A SUPESA")*(MOVIMIENTOS!$C$5:$C$1005="M")*(MOVIMIENTOS!$D$5:$D$1005="jabas")*(MOVIMIENTOS!$A$5:$A$1005&lt;&gt;"")*(MOVIMIENTOS!$A$5:$A$1005&lt;=$A437)*MOVIMIENTOS!$E$5:$E$1005)+SUMPRODUCT((MOVIMIENTOS!$B$5:$B$1005="DEVOLUCIÓN")*(MOVIMIENTOS!$C$5:$C$1005="M")*(MOVIMIENTOS!$D$5:$D$1005="jabas")*(MOVIMIENTOS!$A$5:$A$1005&lt;&gt;"")*(MOVIMIENTOS!$A$5:$A$1005&lt;=$A437)*MOVIMIENTOS!$E$5:$E$1005)-SUMPRODUCT((MOVIMIENTOS!$B$5:$B$1005="TRASIEGO")*(MOVIMIENTOS!$C$5:$C$1005="M")*(MOVIMIENTOS!$D$5:$D$1005="jabas")*(MOVIMIENTOS!$A$5:$A$1005&lt;&gt;"")*(MOVIMIENTOS!$A$5:$A$1005&lt;=$A437)*MOVIMIENTOS!$E$5:$E$1005)-SUMPRODUCT((MOVIMIENTOS!$B$5:$B$1005="REGALO")*(MOVIMIENTOS!$C$5:$C$1005="M")*(MOVIMIENTOS!$D$5:$D$1005="jabas")*(MOVIMIENTOS!$A$5:$A$1005&lt;&gt;"")*(MOVIMIENTOS!$A$5:$A$1005&lt;=$A437)*MOVIMIENTOS!$E$5:$E$1005)-SUMPRODUCT((MOVIMIENTOS!$B$5:$B$1005="VENTA")*(MOVIMIENTOS!$C$5:$C$1005="M")*(MOVIMIENTOS!$D$5:$D$1005="jabas")*(MOVIMIENTOS!$A$5:$A$1005&lt;&gt;"")*(MOVIMIENTOS!$A$5:$A$1005&lt;=$A437)*MOVIMIENTOS!$E$5:$E$1005)+SUMPRODUCT((MOVIMIENTOS!$B$5:$B$1005="AJUSTE")*(MOVIMIENTOS!$C$5:$C$1005="M")*(MOVIMIENTOS!$D$5:$D$1005="jabas")*(MOVIMIENTOS!$A$5:$A$1005&lt;&gt;"")*(MOVIMIENTOS!$A$5:$A$1005&lt;=$A437)*MOVIMIENTOS!$E$5:$E$1005))</f>
        <v/>
      </c>
      <c r="F437" s="62" t="str">
        <f>IF($A437="","",SUMPRODUCT((MOVIMIENTOS!$B$5:$B$1005="SALDO INICIAL")*(MOVIMIENTOS!$C$5:$C$1005="Chancho")*(MOVIMIENTOS!$D$5:$D$1005="sacos")*(MOVIMIENTOS!$A$5:$A$1005&lt;&gt;"")*(MOVIMIENTOS!$A$5:$A$1005&lt;=$A437)*MOVIMIENTOS!$E$5:$E$1005)+SUMPRODUCT((MOVIMIENTOS!$B$5:$B$1005="PROCESO")*(MOVIMIENTOS!$C$5:$C$1005="Chancho")*(MOVIMIENTOS!$D$5:$D$1005="sacos")*(MOVIMIENTOS!$A$5:$A$1005&lt;&gt;"")*(MOVIMIENTOS!$A$5:$A$1005&lt;=$A437)*MOVIMIENTOS!$E$5:$E$1005)-SUMPRODUCT((MOVIMIENTOS!$B$5:$B$1005="VENTA CHANCHO")*(MOVIMIENTOS!$C$5:$C$1005="Chancho")*(MOVIMIENTOS!$D$5:$D$1005="sacos")*(MOVIMIENTOS!$A$5:$A$1005&lt;&gt;"")*(MOVIMIENTOS!$A$5:$A$1005&lt;=$A437)*MOVIMIENTOS!$E$5:$E$1005)-SUMPRODUCT((MOVIMIENTOS!$B$5:$B$1005="REGALO")*(MOVIMIENTOS!$C$5:$C$1005="Chancho")*(MOVIMIENTOS!$D$5:$D$1005="sacos")*(MOVIMIENTOS!$A$5:$A$1005&lt;&gt;"")*(MOVIMIENTOS!$A$5:$A$1005&lt;=$A437)*MOVIMIENTOS!$E$5:$E$1005)-SUMPRODUCT((MOVIMIENTOS!$B$5:$B$1005="VENTA")*(MOVIMIENTOS!$C$5:$C$1005="Chancho")*(MOVIMIENTOS!$D$5:$D$1005="sacos")*(MOVIMIENTOS!$A$5:$A$1005&lt;&gt;"")*(MOVIMIENTOS!$A$5:$A$1005&lt;=$A437)*MOVIMIENTOS!$E$5:$E$1005)+SUMPRODUCT((MOVIMIENTOS!$B$5:$B$1005="AJUSTE")*(MOVIMIENTOS!$C$5:$C$1005="Chancho")*(MOVIMIENTOS!$D$5:$D$1005="sacos")*(MOVIMIENTOS!$A$5:$A$1005&lt;&gt;"")*(MOVIMIENTOS!$A$5:$A$1005&lt;=$A437)*MOVIMIENTOS!$E$5:$E$1005))</f>
        <v/>
      </c>
      <c r="G437" s="62" t="str">
        <f t="shared" si="13"/>
        <v/>
      </c>
      <c r="H437" t="str">
        <f>IF($A437="","",SUMPRODUCT((((MOVIMIENTOS!$B$5:$B$1005="SALDO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437)*MOVIMIENTOS!$J$5:$J$1005))</f>
        <v/>
      </c>
      <c r="J437" t="str">
        <f>IF(AND(MOVIMIENTOS!$A442&lt;&gt;"",COUNTIF(MOVIMIENTOS!$A$5:$A441,MOVIMIENTOS!$A442)=0),COUNT(J$4:J436)+1,"")</f>
        <v/>
      </c>
      <c r="K437" s="67">
        <f>MOVIMIENTOS!$A442</f>
        <v>46251</v>
      </c>
    </row>
    <row r="438" spans="1:11" ht="15" customHeight="1" x14ac:dyDescent="0.2">
      <c r="A438" t="str">
        <f t="shared" si="12"/>
        <v/>
      </c>
      <c r="B438" t="str">
        <f>IF($A438="","",SUMPRODUCT((MOVIMIENTOS!$B$5:$B$1005="SALDO INICIAL")*(MOVIMIENTOS!$C$5:$C$1005="A")*(MOVIMIENTOS!$D$5:$D$1005="jabas")*(MOVIMIENTOS!$A$5:$A$1005&lt;&gt;"")*(MOVIMIENTOS!$A$5:$A$1005&lt;=$A438)*MOVIMIENTOS!$E$5:$E$1005)+SUMPRODUCT((MOVIMIENTOS!$B$5:$B$1005="PROCESO")*(MOVIMIENTOS!$C$5:$C$1005="A")*(MOVIMIENTOS!$D$5:$D$1005="jabas")*(MOVIMIENTOS!$A$5:$A$1005&lt;&gt;"")*(MOVIMIENTOS!$A$5:$A$1005&lt;=$A438)*MOVIMIENTOS!$E$5:$E$1005)-SUMPRODUCT((MOVIMIENTOS!$B$5:$B$1005="ENVÍO A SUPESA")*(MOVIMIENTOS!$C$5:$C$1005="A")*(MOVIMIENTOS!$D$5:$D$1005="jabas")*(MOVIMIENTOS!$A$5:$A$1005&lt;&gt;"")*(MOVIMIENTOS!$A$5:$A$1005&lt;=$A438)*MOVIMIENTOS!$E$5:$E$1005)+SUMPRODUCT((MOVIMIENTOS!$B$5:$B$1005="DEVOLUCIÓN")*(MOVIMIENTOS!$C$5:$C$1005="A")*(MOVIMIENTOS!$D$5:$D$1005="jabas")*(MOVIMIENTOS!$A$5:$A$1005&lt;&gt;"")*(MOVIMIENTOS!$A$5:$A$1005&lt;=$A438)*MOVIMIENTOS!$E$5:$E$1005)-SUMPRODUCT((MOVIMIENTOS!$B$5:$B$1005="TRASIEGO")*(MOVIMIENTOS!$C$5:$C$1005="A")*(MOVIMIENTOS!$D$5:$D$1005="jabas")*(MOVIMIENTOS!$A$5:$A$1005&lt;&gt;"")*(MOVIMIENTOS!$A$5:$A$1005&lt;=$A438)*MOVIMIENTOS!$E$5:$E$1005)-SUMPRODUCT((MOVIMIENTOS!$B$5:$B$1005="REGALO")*(MOVIMIENTOS!$C$5:$C$1005="A")*(MOVIMIENTOS!$D$5:$D$1005="jabas")*(MOVIMIENTOS!$A$5:$A$1005&lt;&gt;"")*(MOVIMIENTOS!$A$5:$A$1005&lt;=$A438)*MOVIMIENTOS!$E$5:$E$1005)-SUMPRODUCT((MOVIMIENTOS!$B$5:$B$1005="VENTA")*(MOVIMIENTOS!$C$5:$C$1005="A")*(MOVIMIENTOS!$D$5:$D$1005="jabas")*(MOVIMIENTOS!$A$5:$A$1005&lt;&gt;"")*(MOVIMIENTOS!$A$5:$A$1005&lt;=$A438)*MOVIMIENTOS!$E$5:$E$1005)+SUMPRODUCT((MOVIMIENTOS!$B$5:$B$1005="AJUSTE")*(MOVIMIENTOS!$C$5:$C$1005="A")*(MOVIMIENTOS!$D$5:$D$1005="jabas")*(MOVIMIENTOS!$A$5:$A$1005&lt;&gt;"")*(MOVIMIENTOS!$A$5:$A$1005&lt;=$A438)*MOVIMIENTOS!$E$5:$E$1005))</f>
        <v/>
      </c>
      <c r="C438" t="str">
        <f>IF($A438="","",SUMPRODUCT((MOVIMIENTOS!$B$5:$B$1005="SALDO INICIAL")*(MOVIMIENTOS!$C$5:$C$1005="P")*(MOVIMIENTOS!$D$5:$D$1005="jabas")*(MOVIMIENTOS!$A$5:$A$1005&lt;&gt;"")*(MOVIMIENTOS!$A$5:$A$1005&lt;=$A438)*MOVIMIENTOS!$E$5:$E$1005)+SUMPRODUCT((MOVIMIENTOS!$B$5:$B$1005="PROCESO")*(MOVIMIENTOS!$C$5:$C$1005="P")*(MOVIMIENTOS!$D$5:$D$1005="jabas")*(MOVIMIENTOS!$A$5:$A$1005&lt;&gt;"")*(MOVIMIENTOS!$A$5:$A$1005&lt;=$A438)*MOVIMIENTOS!$E$5:$E$1005)-SUMPRODUCT((MOVIMIENTOS!$B$5:$B$1005="ENVÍO A SUPESA")*(MOVIMIENTOS!$C$5:$C$1005="P")*(MOVIMIENTOS!$D$5:$D$1005="jabas")*(MOVIMIENTOS!$A$5:$A$1005&lt;&gt;"")*(MOVIMIENTOS!$A$5:$A$1005&lt;=$A438)*MOVIMIENTOS!$E$5:$E$1005)+SUMPRODUCT((MOVIMIENTOS!$B$5:$B$1005="DEVOLUCIÓN")*(MOVIMIENTOS!$C$5:$C$1005="P")*(MOVIMIENTOS!$D$5:$D$1005="jabas")*(MOVIMIENTOS!$A$5:$A$1005&lt;&gt;"")*(MOVIMIENTOS!$A$5:$A$1005&lt;=$A438)*MOVIMIENTOS!$E$5:$E$1005)-SUMPRODUCT((MOVIMIENTOS!$B$5:$B$1005="TRASIEGO")*(MOVIMIENTOS!$C$5:$C$1005="P")*(MOVIMIENTOS!$D$5:$D$1005="jabas")*(MOVIMIENTOS!$A$5:$A$1005&lt;&gt;"")*(MOVIMIENTOS!$A$5:$A$1005&lt;=$A438)*MOVIMIENTOS!$E$5:$E$1005)-SUMPRODUCT((MOVIMIENTOS!$B$5:$B$1005="REGALO")*(MOVIMIENTOS!$C$5:$C$1005="P")*(MOVIMIENTOS!$D$5:$D$1005="jabas")*(MOVIMIENTOS!$A$5:$A$1005&lt;&gt;"")*(MOVIMIENTOS!$A$5:$A$1005&lt;=$A438)*MOVIMIENTOS!$E$5:$E$1005)-SUMPRODUCT((MOVIMIENTOS!$B$5:$B$1005="VENTA")*(MOVIMIENTOS!$C$5:$C$1005="P")*(MOVIMIENTOS!$D$5:$D$1005="jabas")*(MOVIMIENTOS!$A$5:$A$1005&lt;&gt;"")*(MOVIMIENTOS!$A$5:$A$1005&lt;=$A438)*MOVIMIENTOS!$E$5:$E$1005)+SUMPRODUCT((MOVIMIENTOS!$B$5:$B$1005="AJUSTE")*(MOVIMIENTOS!$C$5:$C$1005="P")*(MOVIMIENTOS!$D$5:$D$1005="jabas")*(MOVIMIENTOS!$A$5:$A$1005&lt;&gt;"")*(MOVIMIENTOS!$A$5:$A$1005&lt;=$A438)*MOVIMIENTOS!$E$5:$E$1005))</f>
        <v/>
      </c>
      <c r="D438" t="str">
        <f>IF($A438="","",SUMPRODUCT((MOVIMIENTOS!$B$5:$B$1005="SALDO INICIAL")*(MOVIMIENTOS!$C$5:$C$1005="C")*(MOVIMIENTOS!$D$5:$D$1005="jabas")*(MOVIMIENTOS!$A$5:$A$1005&lt;&gt;"")*(MOVIMIENTOS!$A$5:$A$1005&lt;=$A438)*MOVIMIENTOS!$E$5:$E$1005)+SUMPRODUCT((MOVIMIENTOS!$B$5:$B$1005="PROCESO")*(MOVIMIENTOS!$C$5:$C$1005="C")*(MOVIMIENTOS!$D$5:$D$1005="jabas")*(MOVIMIENTOS!$A$5:$A$1005&lt;&gt;"")*(MOVIMIENTOS!$A$5:$A$1005&lt;=$A438)*MOVIMIENTOS!$E$5:$E$1005)-SUMPRODUCT((MOVIMIENTOS!$B$5:$B$1005="ENVÍO A SUPESA")*(MOVIMIENTOS!$C$5:$C$1005="C")*(MOVIMIENTOS!$D$5:$D$1005="jabas")*(MOVIMIENTOS!$A$5:$A$1005&lt;&gt;"")*(MOVIMIENTOS!$A$5:$A$1005&lt;=$A438)*MOVIMIENTOS!$E$5:$E$1005)+SUMPRODUCT((MOVIMIENTOS!$B$5:$B$1005="DEVOLUCIÓN")*(MOVIMIENTOS!$C$5:$C$1005="C")*(MOVIMIENTOS!$D$5:$D$1005="jabas")*(MOVIMIENTOS!$A$5:$A$1005&lt;&gt;"")*(MOVIMIENTOS!$A$5:$A$1005&lt;=$A438)*MOVIMIENTOS!$E$5:$E$1005)-SUMPRODUCT((MOVIMIENTOS!$B$5:$B$1005="TRASIEGO")*(MOVIMIENTOS!$C$5:$C$1005="C")*(MOVIMIENTOS!$D$5:$D$1005="jabas")*(MOVIMIENTOS!$A$5:$A$1005&lt;&gt;"")*(MOVIMIENTOS!$A$5:$A$1005&lt;=$A438)*MOVIMIENTOS!$E$5:$E$1005)-SUMPRODUCT((MOVIMIENTOS!$B$5:$B$1005="REGALO")*(MOVIMIENTOS!$C$5:$C$1005="C")*(MOVIMIENTOS!$D$5:$D$1005="jabas")*(MOVIMIENTOS!$A$5:$A$1005&lt;&gt;"")*(MOVIMIENTOS!$A$5:$A$1005&lt;=$A438)*MOVIMIENTOS!$E$5:$E$1005)-SUMPRODUCT((MOVIMIENTOS!$B$5:$B$1005="VENTA")*(MOVIMIENTOS!$C$5:$C$1005="C")*(MOVIMIENTOS!$D$5:$D$1005="jabas")*(MOVIMIENTOS!$A$5:$A$1005&lt;&gt;"")*(MOVIMIENTOS!$A$5:$A$1005&lt;=$A438)*MOVIMIENTOS!$E$5:$E$1005)+SUMPRODUCT((MOVIMIENTOS!$B$5:$B$1005="AJUSTE")*(MOVIMIENTOS!$C$5:$C$1005="C")*(MOVIMIENTOS!$D$5:$D$1005="jabas")*(MOVIMIENTOS!$A$5:$A$1005&lt;&gt;"")*(MOVIMIENTOS!$A$5:$A$1005&lt;=$A438)*MOVIMIENTOS!$E$5:$E$1005))</f>
        <v/>
      </c>
      <c r="E438" t="str">
        <f>IF($A438="","",SUMPRODUCT((MOVIMIENTOS!$B$5:$B$1005="SALDO INICIAL")*(MOVIMIENTOS!$C$5:$C$1005="M")*(MOVIMIENTOS!$D$5:$D$1005="jabas")*(MOVIMIENTOS!$A$5:$A$1005&lt;&gt;"")*(MOVIMIENTOS!$A$5:$A$1005&lt;=$A438)*MOVIMIENTOS!$E$5:$E$1005)+SUMPRODUCT((MOVIMIENTOS!$B$5:$B$1005="PROCESO")*(MOVIMIENTOS!$C$5:$C$1005="M")*(MOVIMIENTOS!$D$5:$D$1005="jabas")*(MOVIMIENTOS!$A$5:$A$1005&lt;&gt;"")*(MOVIMIENTOS!$A$5:$A$1005&lt;=$A438)*MOVIMIENTOS!$E$5:$E$1005)-SUMPRODUCT((MOVIMIENTOS!$B$5:$B$1005="ENVÍO A SUPESA")*(MOVIMIENTOS!$C$5:$C$1005="M")*(MOVIMIENTOS!$D$5:$D$1005="jabas")*(MOVIMIENTOS!$A$5:$A$1005&lt;&gt;"")*(MOVIMIENTOS!$A$5:$A$1005&lt;=$A438)*MOVIMIENTOS!$E$5:$E$1005)+SUMPRODUCT((MOVIMIENTOS!$B$5:$B$1005="DEVOLUCIÓN")*(MOVIMIENTOS!$C$5:$C$1005="M")*(MOVIMIENTOS!$D$5:$D$1005="jabas")*(MOVIMIENTOS!$A$5:$A$1005&lt;&gt;"")*(MOVIMIENTOS!$A$5:$A$1005&lt;=$A438)*MOVIMIENTOS!$E$5:$E$1005)-SUMPRODUCT((MOVIMIENTOS!$B$5:$B$1005="TRASIEGO")*(MOVIMIENTOS!$C$5:$C$1005="M")*(MOVIMIENTOS!$D$5:$D$1005="jabas")*(MOVIMIENTOS!$A$5:$A$1005&lt;&gt;"")*(MOVIMIENTOS!$A$5:$A$1005&lt;=$A438)*MOVIMIENTOS!$E$5:$E$1005)-SUMPRODUCT((MOVIMIENTOS!$B$5:$B$1005="REGALO")*(MOVIMIENTOS!$C$5:$C$1005="M")*(MOVIMIENTOS!$D$5:$D$1005="jabas")*(MOVIMIENTOS!$A$5:$A$1005&lt;&gt;"")*(MOVIMIENTOS!$A$5:$A$1005&lt;=$A438)*MOVIMIENTOS!$E$5:$E$1005)-SUMPRODUCT((MOVIMIENTOS!$B$5:$B$1005="VENTA")*(MOVIMIENTOS!$C$5:$C$1005="M")*(MOVIMIENTOS!$D$5:$D$1005="jabas")*(MOVIMIENTOS!$A$5:$A$1005&lt;&gt;"")*(MOVIMIENTOS!$A$5:$A$1005&lt;=$A438)*MOVIMIENTOS!$E$5:$E$1005)+SUMPRODUCT((MOVIMIENTOS!$B$5:$B$1005="AJUSTE")*(MOVIMIENTOS!$C$5:$C$1005="M")*(MOVIMIENTOS!$D$5:$D$1005="jabas")*(MOVIMIENTOS!$A$5:$A$1005&lt;&gt;"")*(MOVIMIENTOS!$A$5:$A$1005&lt;=$A438)*MOVIMIENTOS!$E$5:$E$1005))</f>
        <v/>
      </c>
      <c r="F438" s="62" t="str">
        <f>IF($A438="","",SUMPRODUCT((MOVIMIENTOS!$B$5:$B$1005="SALDO INICIAL")*(MOVIMIENTOS!$C$5:$C$1005="Chancho")*(MOVIMIENTOS!$D$5:$D$1005="sacos")*(MOVIMIENTOS!$A$5:$A$1005&lt;&gt;"")*(MOVIMIENTOS!$A$5:$A$1005&lt;=$A438)*MOVIMIENTOS!$E$5:$E$1005)+SUMPRODUCT((MOVIMIENTOS!$B$5:$B$1005="PROCESO")*(MOVIMIENTOS!$C$5:$C$1005="Chancho")*(MOVIMIENTOS!$D$5:$D$1005="sacos")*(MOVIMIENTOS!$A$5:$A$1005&lt;&gt;"")*(MOVIMIENTOS!$A$5:$A$1005&lt;=$A438)*MOVIMIENTOS!$E$5:$E$1005)-SUMPRODUCT((MOVIMIENTOS!$B$5:$B$1005="VENTA CHANCHO")*(MOVIMIENTOS!$C$5:$C$1005="Chancho")*(MOVIMIENTOS!$D$5:$D$1005="sacos")*(MOVIMIENTOS!$A$5:$A$1005&lt;&gt;"")*(MOVIMIENTOS!$A$5:$A$1005&lt;=$A438)*MOVIMIENTOS!$E$5:$E$1005)-SUMPRODUCT((MOVIMIENTOS!$B$5:$B$1005="REGALO")*(MOVIMIENTOS!$C$5:$C$1005="Chancho")*(MOVIMIENTOS!$D$5:$D$1005="sacos")*(MOVIMIENTOS!$A$5:$A$1005&lt;&gt;"")*(MOVIMIENTOS!$A$5:$A$1005&lt;=$A438)*MOVIMIENTOS!$E$5:$E$1005)-SUMPRODUCT((MOVIMIENTOS!$B$5:$B$1005="VENTA")*(MOVIMIENTOS!$C$5:$C$1005="Chancho")*(MOVIMIENTOS!$D$5:$D$1005="sacos")*(MOVIMIENTOS!$A$5:$A$1005&lt;&gt;"")*(MOVIMIENTOS!$A$5:$A$1005&lt;=$A438)*MOVIMIENTOS!$E$5:$E$1005)+SUMPRODUCT((MOVIMIENTOS!$B$5:$B$1005="AJUSTE")*(MOVIMIENTOS!$C$5:$C$1005="Chancho")*(MOVIMIENTOS!$D$5:$D$1005="sacos")*(MOVIMIENTOS!$A$5:$A$1005&lt;&gt;"")*(MOVIMIENTOS!$A$5:$A$1005&lt;=$A438)*MOVIMIENTOS!$E$5:$E$1005))</f>
        <v/>
      </c>
      <c r="G438" s="62" t="str">
        <f t="shared" si="13"/>
        <v/>
      </c>
      <c r="H438" t="str">
        <f>IF($A438="","",SUMPRODUCT((((MOVIMIENTOS!$B$5:$B$1005="SALDO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438)*MOVIMIENTOS!$J$5:$J$1005))</f>
        <v/>
      </c>
      <c r="J438" t="str">
        <f>IF(AND(MOVIMIENTOS!$A443&lt;&gt;"",COUNTIF(MOVIMIENTOS!$A$5:$A442,MOVIMIENTOS!$A443)=0),COUNT(J$4:J437)+1,"")</f>
        <v/>
      </c>
      <c r="K438" s="67">
        <f>MOVIMIENTOS!$A443</f>
        <v>46251</v>
      </c>
    </row>
    <row r="439" spans="1:11" ht="15" customHeight="1" x14ac:dyDescent="0.2">
      <c r="A439" t="str">
        <f t="shared" si="12"/>
        <v/>
      </c>
      <c r="B439" t="str">
        <f>IF($A439="","",SUMPRODUCT((MOVIMIENTOS!$B$5:$B$1005="SALDO INICIAL")*(MOVIMIENTOS!$C$5:$C$1005="A")*(MOVIMIENTOS!$D$5:$D$1005="jabas")*(MOVIMIENTOS!$A$5:$A$1005&lt;&gt;"")*(MOVIMIENTOS!$A$5:$A$1005&lt;=$A439)*MOVIMIENTOS!$E$5:$E$1005)+SUMPRODUCT((MOVIMIENTOS!$B$5:$B$1005="PROCESO")*(MOVIMIENTOS!$C$5:$C$1005="A")*(MOVIMIENTOS!$D$5:$D$1005="jabas")*(MOVIMIENTOS!$A$5:$A$1005&lt;&gt;"")*(MOVIMIENTOS!$A$5:$A$1005&lt;=$A439)*MOVIMIENTOS!$E$5:$E$1005)-SUMPRODUCT((MOVIMIENTOS!$B$5:$B$1005="ENVÍO A SUPESA")*(MOVIMIENTOS!$C$5:$C$1005="A")*(MOVIMIENTOS!$D$5:$D$1005="jabas")*(MOVIMIENTOS!$A$5:$A$1005&lt;&gt;"")*(MOVIMIENTOS!$A$5:$A$1005&lt;=$A439)*MOVIMIENTOS!$E$5:$E$1005)+SUMPRODUCT((MOVIMIENTOS!$B$5:$B$1005="DEVOLUCIÓN")*(MOVIMIENTOS!$C$5:$C$1005="A")*(MOVIMIENTOS!$D$5:$D$1005="jabas")*(MOVIMIENTOS!$A$5:$A$1005&lt;&gt;"")*(MOVIMIENTOS!$A$5:$A$1005&lt;=$A439)*MOVIMIENTOS!$E$5:$E$1005)-SUMPRODUCT((MOVIMIENTOS!$B$5:$B$1005="TRASIEGO")*(MOVIMIENTOS!$C$5:$C$1005="A")*(MOVIMIENTOS!$D$5:$D$1005="jabas")*(MOVIMIENTOS!$A$5:$A$1005&lt;&gt;"")*(MOVIMIENTOS!$A$5:$A$1005&lt;=$A439)*MOVIMIENTOS!$E$5:$E$1005)-SUMPRODUCT((MOVIMIENTOS!$B$5:$B$1005="REGALO")*(MOVIMIENTOS!$C$5:$C$1005="A")*(MOVIMIENTOS!$D$5:$D$1005="jabas")*(MOVIMIENTOS!$A$5:$A$1005&lt;&gt;"")*(MOVIMIENTOS!$A$5:$A$1005&lt;=$A439)*MOVIMIENTOS!$E$5:$E$1005)-SUMPRODUCT((MOVIMIENTOS!$B$5:$B$1005="VENTA")*(MOVIMIENTOS!$C$5:$C$1005="A")*(MOVIMIENTOS!$D$5:$D$1005="jabas")*(MOVIMIENTOS!$A$5:$A$1005&lt;&gt;"")*(MOVIMIENTOS!$A$5:$A$1005&lt;=$A439)*MOVIMIENTOS!$E$5:$E$1005)+SUMPRODUCT((MOVIMIENTOS!$B$5:$B$1005="AJUSTE")*(MOVIMIENTOS!$C$5:$C$1005="A")*(MOVIMIENTOS!$D$5:$D$1005="jabas")*(MOVIMIENTOS!$A$5:$A$1005&lt;&gt;"")*(MOVIMIENTOS!$A$5:$A$1005&lt;=$A439)*MOVIMIENTOS!$E$5:$E$1005))</f>
        <v/>
      </c>
      <c r="C439" t="str">
        <f>IF($A439="","",SUMPRODUCT((MOVIMIENTOS!$B$5:$B$1005="SALDO INICIAL")*(MOVIMIENTOS!$C$5:$C$1005="P")*(MOVIMIENTOS!$D$5:$D$1005="jabas")*(MOVIMIENTOS!$A$5:$A$1005&lt;&gt;"")*(MOVIMIENTOS!$A$5:$A$1005&lt;=$A439)*MOVIMIENTOS!$E$5:$E$1005)+SUMPRODUCT((MOVIMIENTOS!$B$5:$B$1005="PROCESO")*(MOVIMIENTOS!$C$5:$C$1005="P")*(MOVIMIENTOS!$D$5:$D$1005="jabas")*(MOVIMIENTOS!$A$5:$A$1005&lt;&gt;"")*(MOVIMIENTOS!$A$5:$A$1005&lt;=$A439)*MOVIMIENTOS!$E$5:$E$1005)-SUMPRODUCT((MOVIMIENTOS!$B$5:$B$1005="ENVÍO A SUPESA")*(MOVIMIENTOS!$C$5:$C$1005="P")*(MOVIMIENTOS!$D$5:$D$1005="jabas")*(MOVIMIENTOS!$A$5:$A$1005&lt;&gt;"")*(MOVIMIENTOS!$A$5:$A$1005&lt;=$A439)*MOVIMIENTOS!$E$5:$E$1005)+SUMPRODUCT((MOVIMIENTOS!$B$5:$B$1005="DEVOLUCIÓN")*(MOVIMIENTOS!$C$5:$C$1005="P")*(MOVIMIENTOS!$D$5:$D$1005="jabas")*(MOVIMIENTOS!$A$5:$A$1005&lt;&gt;"")*(MOVIMIENTOS!$A$5:$A$1005&lt;=$A439)*MOVIMIENTOS!$E$5:$E$1005)-SUMPRODUCT((MOVIMIENTOS!$B$5:$B$1005="TRASIEGO")*(MOVIMIENTOS!$C$5:$C$1005="P")*(MOVIMIENTOS!$D$5:$D$1005="jabas")*(MOVIMIENTOS!$A$5:$A$1005&lt;&gt;"")*(MOVIMIENTOS!$A$5:$A$1005&lt;=$A439)*MOVIMIENTOS!$E$5:$E$1005)-SUMPRODUCT((MOVIMIENTOS!$B$5:$B$1005="REGALO")*(MOVIMIENTOS!$C$5:$C$1005="P")*(MOVIMIENTOS!$D$5:$D$1005="jabas")*(MOVIMIENTOS!$A$5:$A$1005&lt;&gt;"")*(MOVIMIENTOS!$A$5:$A$1005&lt;=$A439)*MOVIMIENTOS!$E$5:$E$1005)-SUMPRODUCT((MOVIMIENTOS!$B$5:$B$1005="VENTA")*(MOVIMIENTOS!$C$5:$C$1005="P")*(MOVIMIENTOS!$D$5:$D$1005="jabas")*(MOVIMIENTOS!$A$5:$A$1005&lt;&gt;"")*(MOVIMIENTOS!$A$5:$A$1005&lt;=$A439)*MOVIMIENTOS!$E$5:$E$1005)+SUMPRODUCT((MOVIMIENTOS!$B$5:$B$1005="AJUSTE")*(MOVIMIENTOS!$C$5:$C$1005="P")*(MOVIMIENTOS!$D$5:$D$1005="jabas")*(MOVIMIENTOS!$A$5:$A$1005&lt;&gt;"")*(MOVIMIENTOS!$A$5:$A$1005&lt;=$A439)*MOVIMIENTOS!$E$5:$E$1005))</f>
        <v/>
      </c>
      <c r="D439" t="str">
        <f>IF($A439="","",SUMPRODUCT((MOVIMIENTOS!$B$5:$B$1005="SALDO INICIAL")*(MOVIMIENTOS!$C$5:$C$1005="C")*(MOVIMIENTOS!$D$5:$D$1005="jabas")*(MOVIMIENTOS!$A$5:$A$1005&lt;&gt;"")*(MOVIMIENTOS!$A$5:$A$1005&lt;=$A439)*MOVIMIENTOS!$E$5:$E$1005)+SUMPRODUCT((MOVIMIENTOS!$B$5:$B$1005="PROCESO")*(MOVIMIENTOS!$C$5:$C$1005="C")*(MOVIMIENTOS!$D$5:$D$1005="jabas")*(MOVIMIENTOS!$A$5:$A$1005&lt;&gt;"")*(MOVIMIENTOS!$A$5:$A$1005&lt;=$A439)*MOVIMIENTOS!$E$5:$E$1005)-SUMPRODUCT((MOVIMIENTOS!$B$5:$B$1005="ENVÍO A SUPESA")*(MOVIMIENTOS!$C$5:$C$1005="C")*(MOVIMIENTOS!$D$5:$D$1005="jabas")*(MOVIMIENTOS!$A$5:$A$1005&lt;&gt;"")*(MOVIMIENTOS!$A$5:$A$1005&lt;=$A439)*MOVIMIENTOS!$E$5:$E$1005)+SUMPRODUCT((MOVIMIENTOS!$B$5:$B$1005="DEVOLUCIÓN")*(MOVIMIENTOS!$C$5:$C$1005="C")*(MOVIMIENTOS!$D$5:$D$1005="jabas")*(MOVIMIENTOS!$A$5:$A$1005&lt;&gt;"")*(MOVIMIENTOS!$A$5:$A$1005&lt;=$A439)*MOVIMIENTOS!$E$5:$E$1005)-SUMPRODUCT((MOVIMIENTOS!$B$5:$B$1005="TRASIEGO")*(MOVIMIENTOS!$C$5:$C$1005="C")*(MOVIMIENTOS!$D$5:$D$1005="jabas")*(MOVIMIENTOS!$A$5:$A$1005&lt;&gt;"")*(MOVIMIENTOS!$A$5:$A$1005&lt;=$A439)*MOVIMIENTOS!$E$5:$E$1005)-SUMPRODUCT((MOVIMIENTOS!$B$5:$B$1005="REGALO")*(MOVIMIENTOS!$C$5:$C$1005="C")*(MOVIMIENTOS!$D$5:$D$1005="jabas")*(MOVIMIENTOS!$A$5:$A$1005&lt;&gt;"")*(MOVIMIENTOS!$A$5:$A$1005&lt;=$A439)*MOVIMIENTOS!$E$5:$E$1005)-SUMPRODUCT((MOVIMIENTOS!$B$5:$B$1005="VENTA")*(MOVIMIENTOS!$C$5:$C$1005="C")*(MOVIMIENTOS!$D$5:$D$1005="jabas")*(MOVIMIENTOS!$A$5:$A$1005&lt;&gt;"")*(MOVIMIENTOS!$A$5:$A$1005&lt;=$A439)*MOVIMIENTOS!$E$5:$E$1005)+SUMPRODUCT((MOVIMIENTOS!$B$5:$B$1005="AJUSTE")*(MOVIMIENTOS!$C$5:$C$1005="C")*(MOVIMIENTOS!$D$5:$D$1005="jabas")*(MOVIMIENTOS!$A$5:$A$1005&lt;&gt;"")*(MOVIMIENTOS!$A$5:$A$1005&lt;=$A439)*MOVIMIENTOS!$E$5:$E$1005))</f>
        <v/>
      </c>
      <c r="E439" t="str">
        <f>IF($A439="","",SUMPRODUCT((MOVIMIENTOS!$B$5:$B$1005="SALDO INICIAL")*(MOVIMIENTOS!$C$5:$C$1005="M")*(MOVIMIENTOS!$D$5:$D$1005="jabas")*(MOVIMIENTOS!$A$5:$A$1005&lt;&gt;"")*(MOVIMIENTOS!$A$5:$A$1005&lt;=$A439)*MOVIMIENTOS!$E$5:$E$1005)+SUMPRODUCT((MOVIMIENTOS!$B$5:$B$1005="PROCESO")*(MOVIMIENTOS!$C$5:$C$1005="M")*(MOVIMIENTOS!$D$5:$D$1005="jabas")*(MOVIMIENTOS!$A$5:$A$1005&lt;&gt;"")*(MOVIMIENTOS!$A$5:$A$1005&lt;=$A439)*MOVIMIENTOS!$E$5:$E$1005)-SUMPRODUCT((MOVIMIENTOS!$B$5:$B$1005="ENVÍO A SUPESA")*(MOVIMIENTOS!$C$5:$C$1005="M")*(MOVIMIENTOS!$D$5:$D$1005="jabas")*(MOVIMIENTOS!$A$5:$A$1005&lt;&gt;"")*(MOVIMIENTOS!$A$5:$A$1005&lt;=$A439)*MOVIMIENTOS!$E$5:$E$1005)+SUMPRODUCT((MOVIMIENTOS!$B$5:$B$1005="DEVOLUCIÓN")*(MOVIMIENTOS!$C$5:$C$1005="M")*(MOVIMIENTOS!$D$5:$D$1005="jabas")*(MOVIMIENTOS!$A$5:$A$1005&lt;&gt;"")*(MOVIMIENTOS!$A$5:$A$1005&lt;=$A439)*MOVIMIENTOS!$E$5:$E$1005)-SUMPRODUCT((MOVIMIENTOS!$B$5:$B$1005="TRASIEGO")*(MOVIMIENTOS!$C$5:$C$1005="M")*(MOVIMIENTOS!$D$5:$D$1005="jabas")*(MOVIMIENTOS!$A$5:$A$1005&lt;&gt;"")*(MOVIMIENTOS!$A$5:$A$1005&lt;=$A439)*MOVIMIENTOS!$E$5:$E$1005)-SUMPRODUCT((MOVIMIENTOS!$B$5:$B$1005="REGALO")*(MOVIMIENTOS!$C$5:$C$1005="M")*(MOVIMIENTOS!$D$5:$D$1005="jabas")*(MOVIMIENTOS!$A$5:$A$1005&lt;&gt;"")*(MOVIMIENTOS!$A$5:$A$1005&lt;=$A439)*MOVIMIENTOS!$E$5:$E$1005)-SUMPRODUCT((MOVIMIENTOS!$B$5:$B$1005="VENTA")*(MOVIMIENTOS!$C$5:$C$1005="M")*(MOVIMIENTOS!$D$5:$D$1005="jabas")*(MOVIMIENTOS!$A$5:$A$1005&lt;&gt;"")*(MOVIMIENTOS!$A$5:$A$1005&lt;=$A439)*MOVIMIENTOS!$E$5:$E$1005)+SUMPRODUCT((MOVIMIENTOS!$B$5:$B$1005="AJUSTE")*(MOVIMIENTOS!$C$5:$C$1005="M")*(MOVIMIENTOS!$D$5:$D$1005="jabas")*(MOVIMIENTOS!$A$5:$A$1005&lt;&gt;"")*(MOVIMIENTOS!$A$5:$A$1005&lt;=$A439)*MOVIMIENTOS!$E$5:$E$1005))</f>
        <v/>
      </c>
      <c r="F439" s="62" t="str">
        <f>IF($A439="","",SUMPRODUCT((MOVIMIENTOS!$B$5:$B$1005="SALDO INICIAL")*(MOVIMIENTOS!$C$5:$C$1005="Chancho")*(MOVIMIENTOS!$D$5:$D$1005="sacos")*(MOVIMIENTOS!$A$5:$A$1005&lt;&gt;"")*(MOVIMIENTOS!$A$5:$A$1005&lt;=$A439)*MOVIMIENTOS!$E$5:$E$1005)+SUMPRODUCT((MOVIMIENTOS!$B$5:$B$1005="PROCESO")*(MOVIMIENTOS!$C$5:$C$1005="Chancho")*(MOVIMIENTOS!$D$5:$D$1005="sacos")*(MOVIMIENTOS!$A$5:$A$1005&lt;&gt;"")*(MOVIMIENTOS!$A$5:$A$1005&lt;=$A439)*MOVIMIENTOS!$E$5:$E$1005)-SUMPRODUCT((MOVIMIENTOS!$B$5:$B$1005="VENTA CHANCHO")*(MOVIMIENTOS!$C$5:$C$1005="Chancho")*(MOVIMIENTOS!$D$5:$D$1005="sacos")*(MOVIMIENTOS!$A$5:$A$1005&lt;&gt;"")*(MOVIMIENTOS!$A$5:$A$1005&lt;=$A439)*MOVIMIENTOS!$E$5:$E$1005)-SUMPRODUCT((MOVIMIENTOS!$B$5:$B$1005="REGALO")*(MOVIMIENTOS!$C$5:$C$1005="Chancho")*(MOVIMIENTOS!$D$5:$D$1005="sacos")*(MOVIMIENTOS!$A$5:$A$1005&lt;&gt;"")*(MOVIMIENTOS!$A$5:$A$1005&lt;=$A439)*MOVIMIENTOS!$E$5:$E$1005)-SUMPRODUCT((MOVIMIENTOS!$B$5:$B$1005="VENTA")*(MOVIMIENTOS!$C$5:$C$1005="Chancho")*(MOVIMIENTOS!$D$5:$D$1005="sacos")*(MOVIMIENTOS!$A$5:$A$1005&lt;&gt;"")*(MOVIMIENTOS!$A$5:$A$1005&lt;=$A439)*MOVIMIENTOS!$E$5:$E$1005)+SUMPRODUCT((MOVIMIENTOS!$B$5:$B$1005="AJUSTE")*(MOVIMIENTOS!$C$5:$C$1005="Chancho")*(MOVIMIENTOS!$D$5:$D$1005="sacos")*(MOVIMIENTOS!$A$5:$A$1005&lt;&gt;"")*(MOVIMIENTOS!$A$5:$A$1005&lt;=$A439)*MOVIMIENTOS!$E$5:$E$1005))</f>
        <v/>
      </c>
      <c r="G439" s="62" t="str">
        <f t="shared" si="13"/>
        <v/>
      </c>
      <c r="H439" t="str">
        <f>IF($A439="","",SUMPRODUCT((((MOVIMIENTOS!$B$5:$B$1005="SALDO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439)*MOVIMIENTOS!$J$5:$J$1005))</f>
        <v/>
      </c>
      <c r="J439" t="str">
        <f>IF(AND(MOVIMIENTOS!$A444&lt;&gt;"",COUNTIF(MOVIMIENTOS!$A$5:$A443,MOVIMIENTOS!$A444)=0),COUNT(J$4:J438)+1,"")</f>
        <v/>
      </c>
      <c r="K439" s="67">
        <f>MOVIMIENTOS!$A444</f>
        <v>46251</v>
      </c>
    </row>
    <row r="440" spans="1:11" ht="15" customHeight="1" x14ac:dyDescent="0.2">
      <c r="A440" t="str">
        <f t="shared" si="12"/>
        <v/>
      </c>
      <c r="B440" t="str">
        <f>IF($A440="","",SUMPRODUCT((MOVIMIENTOS!$B$5:$B$1005="SALDO INICIAL")*(MOVIMIENTOS!$C$5:$C$1005="A")*(MOVIMIENTOS!$D$5:$D$1005="jabas")*(MOVIMIENTOS!$A$5:$A$1005&lt;&gt;"")*(MOVIMIENTOS!$A$5:$A$1005&lt;=$A440)*MOVIMIENTOS!$E$5:$E$1005)+SUMPRODUCT((MOVIMIENTOS!$B$5:$B$1005="PROCESO")*(MOVIMIENTOS!$C$5:$C$1005="A")*(MOVIMIENTOS!$D$5:$D$1005="jabas")*(MOVIMIENTOS!$A$5:$A$1005&lt;&gt;"")*(MOVIMIENTOS!$A$5:$A$1005&lt;=$A440)*MOVIMIENTOS!$E$5:$E$1005)-SUMPRODUCT((MOVIMIENTOS!$B$5:$B$1005="ENVÍO A SUPESA")*(MOVIMIENTOS!$C$5:$C$1005="A")*(MOVIMIENTOS!$D$5:$D$1005="jabas")*(MOVIMIENTOS!$A$5:$A$1005&lt;&gt;"")*(MOVIMIENTOS!$A$5:$A$1005&lt;=$A440)*MOVIMIENTOS!$E$5:$E$1005)+SUMPRODUCT((MOVIMIENTOS!$B$5:$B$1005="DEVOLUCIÓN")*(MOVIMIENTOS!$C$5:$C$1005="A")*(MOVIMIENTOS!$D$5:$D$1005="jabas")*(MOVIMIENTOS!$A$5:$A$1005&lt;&gt;"")*(MOVIMIENTOS!$A$5:$A$1005&lt;=$A440)*MOVIMIENTOS!$E$5:$E$1005)-SUMPRODUCT((MOVIMIENTOS!$B$5:$B$1005="TRASIEGO")*(MOVIMIENTOS!$C$5:$C$1005="A")*(MOVIMIENTOS!$D$5:$D$1005="jabas")*(MOVIMIENTOS!$A$5:$A$1005&lt;&gt;"")*(MOVIMIENTOS!$A$5:$A$1005&lt;=$A440)*MOVIMIENTOS!$E$5:$E$1005)-SUMPRODUCT((MOVIMIENTOS!$B$5:$B$1005="REGALO")*(MOVIMIENTOS!$C$5:$C$1005="A")*(MOVIMIENTOS!$D$5:$D$1005="jabas")*(MOVIMIENTOS!$A$5:$A$1005&lt;&gt;"")*(MOVIMIENTOS!$A$5:$A$1005&lt;=$A440)*MOVIMIENTOS!$E$5:$E$1005)-SUMPRODUCT((MOVIMIENTOS!$B$5:$B$1005="VENTA")*(MOVIMIENTOS!$C$5:$C$1005="A")*(MOVIMIENTOS!$D$5:$D$1005="jabas")*(MOVIMIENTOS!$A$5:$A$1005&lt;&gt;"")*(MOVIMIENTOS!$A$5:$A$1005&lt;=$A440)*MOVIMIENTOS!$E$5:$E$1005)+SUMPRODUCT((MOVIMIENTOS!$B$5:$B$1005="AJUSTE")*(MOVIMIENTOS!$C$5:$C$1005="A")*(MOVIMIENTOS!$D$5:$D$1005="jabas")*(MOVIMIENTOS!$A$5:$A$1005&lt;&gt;"")*(MOVIMIENTOS!$A$5:$A$1005&lt;=$A440)*MOVIMIENTOS!$E$5:$E$1005))</f>
        <v/>
      </c>
      <c r="C440" t="str">
        <f>IF($A440="","",SUMPRODUCT((MOVIMIENTOS!$B$5:$B$1005="SALDO INICIAL")*(MOVIMIENTOS!$C$5:$C$1005="P")*(MOVIMIENTOS!$D$5:$D$1005="jabas")*(MOVIMIENTOS!$A$5:$A$1005&lt;&gt;"")*(MOVIMIENTOS!$A$5:$A$1005&lt;=$A440)*MOVIMIENTOS!$E$5:$E$1005)+SUMPRODUCT((MOVIMIENTOS!$B$5:$B$1005="PROCESO")*(MOVIMIENTOS!$C$5:$C$1005="P")*(MOVIMIENTOS!$D$5:$D$1005="jabas")*(MOVIMIENTOS!$A$5:$A$1005&lt;&gt;"")*(MOVIMIENTOS!$A$5:$A$1005&lt;=$A440)*MOVIMIENTOS!$E$5:$E$1005)-SUMPRODUCT((MOVIMIENTOS!$B$5:$B$1005="ENVÍO A SUPESA")*(MOVIMIENTOS!$C$5:$C$1005="P")*(MOVIMIENTOS!$D$5:$D$1005="jabas")*(MOVIMIENTOS!$A$5:$A$1005&lt;&gt;"")*(MOVIMIENTOS!$A$5:$A$1005&lt;=$A440)*MOVIMIENTOS!$E$5:$E$1005)+SUMPRODUCT((MOVIMIENTOS!$B$5:$B$1005="DEVOLUCIÓN")*(MOVIMIENTOS!$C$5:$C$1005="P")*(MOVIMIENTOS!$D$5:$D$1005="jabas")*(MOVIMIENTOS!$A$5:$A$1005&lt;&gt;"")*(MOVIMIENTOS!$A$5:$A$1005&lt;=$A440)*MOVIMIENTOS!$E$5:$E$1005)-SUMPRODUCT((MOVIMIENTOS!$B$5:$B$1005="TRASIEGO")*(MOVIMIENTOS!$C$5:$C$1005="P")*(MOVIMIENTOS!$D$5:$D$1005="jabas")*(MOVIMIENTOS!$A$5:$A$1005&lt;&gt;"")*(MOVIMIENTOS!$A$5:$A$1005&lt;=$A440)*MOVIMIENTOS!$E$5:$E$1005)-SUMPRODUCT((MOVIMIENTOS!$B$5:$B$1005="REGALO")*(MOVIMIENTOS!$C$5:$C$1005="P")*(MOVIMIENTOS!$D$5:$D$1005="jabas")*(MOVIMIENTOS!$A$5:$A$1005&lt;&gt;"")*(MOVIMIENTOS!$A$5:$A$1005&lt;=$A440)*MOVIMIENTOS!$E$5:$E$1005)-SUMPRODUCT((MOVIMIENTOS!$B$5:$B$1005="VENTA")*(MOVIMIENTOS!$C$5:$C$1005="P")*(MOVIMIENTOS!$D$5:$D$1005="jabas")*(MOVIMIENTOS!$A$5:$A$1005&lt;&gt;"")*(MOVIMIENTOS!$A$5:$A$1005&lt;=$A440)*MOVIMIENTOS!$E$5:$E$1005)+SUMPRODUCT((MOVIMIENTOS!$B$5:$B$1005="AJUSTE")*(MOVIMIENTOS!$C$5:$C$1005="P")*(MOVIMIENTOS!$D$5:$D$1005="jabas")*(MOVIMIENTOS!$A$5:$A$1005&lt;&gt;"")*(MOVIMIENTOS!$A$5:$A$1005&lt;=$A440)*MOVIMIENTOS!$E$5:$E$1005))</f>
        <v/>
      </c>
      <c r="D440" t="str">
        <f>IF($A440="","",SUMPRODUCT((MOVIMIENTOS!$B$5:$B$1005="SALDO INICIAL")*(MOVIMIENTOS!$C$5:$C$1005="C")*(MOVIMIENTOS!$D$5:$D$1005="jabas")*(MOVIMIENTOS!$A$5:$A$1005&lt;&gt;"")*(MOVIMIENTOS!$A$5:$A$1005&lt;=$A440)*MOVIMIENTOS!$E$5:$E$1005)+SUMPRODUCT((MOVIMIENTOS!$B$5:$B$1005="PROCESO")*(MOVIMIENTOS!$C$5:$C$1005="C")*(MOVIMIENTOS!$D$5:$D$1005="jabas")*(MOVIMIENTOS!$A$5:$A$1005&lt;&gt;"")*(MOVIMIENTOS!$A$5:$A$1005&lt;=$A440)*MOVIMIENTOS!$E$5:$E$1005)-SUMPRODUCT((MOVIMIENTOS!$B$5:$B$1005="ENVÍO A SUPESA")*(MOVIMIENTOS!$C$5:$C$1005="C")*(MOVIMIENTOS!$D$5:$D$1005="jabas")*(MOVIMIENTOS!$A$5:$A$1005&lt;&gt;"")*(MOVIMIENTOS!$A$5:$A$1005&lt;=$A440)*MOVIMIENTOS!$E$5:$E$1005)+SUMPRODUCT((MOVIMIENTOS!$B$5:$B$1005="DEVOLUCIÓN")*(MOVIMIENTOS!$C$5:$C$1005="C")*(MOVIMIENTOS!$D$5:$D$1005="jabas")*(MOVIMIENTOS!$A$5:$A$1005&lt;&gt;"")*(MOVIMIENTOS!$A$5:$A$1005&lt;=$A440)*MOVIMIENTOS!$E$5:$E$1005)-SUMPRODUCT((MOVIMIENTOS!$B$5:$B$1005="TRASIEGO")*(MOVIMIENTOS!$C$5:$C$1005="C")*(MOVIMIENTOS!$D$5:$D$1005="jabas")*(MOVIMIENTOS!$A$5:$A$1005&lt;&gt;"")*(MOVIMIENTOS!$A$5:$A$1005&lt;=$A440)*MOVIMIENTOS!$E$5:$E$1005)-SUMPRODUCT((MOVIMIENTOS!$B$5:$B$1005="REGALO")*(MOVIMIENTOS!$C$5:$C$1005="C")*(MOVIMIENTOS!$D$5:$D$1005="jabas")*(MOVIMIENTOS!$A$5:$A$1005&lt;&gt;"")*(MOVIMIENTOS!$A$5:$A$1005&lt;=$A440)*MOVIMIENTOS!$E$5:$E$1005)-SUMPRODUCT((MOVIMIENTOS!$B$5:$B$1005="VENTA")*(MOVIMIENTOS!$C$5:$C$1005="C")*(MOVIMIENTOS!$D$5:$D$1005="jabas")*(MOVIMIENTOS!$A$5:$A$1005&lt;&gt;"")*(MOVIMIENTOS!$A$5:$A$1005&lt;=$A440)*MOVIMIENTOS!$E$5:$E$1005)+SUMPRODUCT((MOVIMIENTOS!$B$5:$B$1005="AJUSTE")*(MOVIMIENTOS!$C$5:$C$1005="C")*(MOVIMIENTOS!$D$5:$D$1005="jabas")*(MOVIMIENTOS!$A$5:$A$1005&lt;&gt;"")*(MOVIMIENTOS!$A$5:$A$1005&lt;=$A440)*MOVIMIENTOS!$E$5:$E$1005))</f>
        <v/>
      </c>
      <c r="E440" t="str">
        <f>IF($A440="","",SUMPRODUCT((MOVIMIENTOS!$B$5:$B$1005="SALDO INICIAL")*(MOVIMIENTOS!$C$5:$C$1005="M")*(MOVIMIENTOS!$D$5:$D$1005="jabas")*(MOVIMIENTOS!$A$5:$A$1005&lt;&gt;"")*(MOVIMIENTOS!$A$5:$A$1005&lt;=$A440)*MOVIMIENTOS!$E$5:$E$1005)+SUMPRODUCT((MOVIMIENTOS!$B$5:$B$1005="PROCESO")*(MOVIMIENTOS!$C$5:$C$1005="M")*(MOVIMIENTOS!$D$5:$D$1005="jabas")*(MOVIMIENTOS!$A$5:$A$1005&lt;&gt;"")*(MOVIMIENTOS!$A$5:$A$1005&lt;=$A440)*MOVIMIENTOS!$E$5:$E$1005)-SUMPRODUCT((MOVIMIENTOS!$B$5:$B$1005="ENVÍO A SUPESA")*(MOVIMIENTOS!$C$5:$C$1005="M")*(MOVIMIENTOS!$D$5:$D$1005="jabas")*(MOVIMIENTOS!$A$5:$A$1005&lt;&gt;"")*(MOVIMIENTOS!$A$5:$A$1005&lt;=$A440)*MOVIMIENTOS!$E$5:$E$1005)+SUMPRODUCT((MOVIMIENTOS!$B$5:$B$1005="DEVOLUCIÓN")*(MOVIMIENTOS!$C$5:$C$1005="M")*(MOVIMIENTOS!$D$5:$D$1005="jabas")*(MOVIMIENTOS!$A$5:$A$1005&lt;&gt;"")*(MOVIMIENTOS!$A$5:$A$1005&lt;=$A440)*MOVIMIENTOS!$E$5:$E$1005)-SUMPRODUCT((MOVIMIENTOS!$B$5:$B$1005="TRASIEGO")*(MOVIMIENTOS!$C$5:$C$1005="M")*(MOVIMIENTOS!$D$5:$D$1005="jabas")*(MOVIMIENTOS!$A$5:$A$1005&lt;&gt;"")*(MOVIMIENTOS!$A$5:$A$1005&lt;=$A440)*MOVIMIENTOS!$E$5:$E$1005)-SUMPRODUCT((MOVIMIENTOS!$B$5:$B$1005="REGALO")*(MOVIMIENTOS!$C$5:$C$1005="M")*(MOVIMIENTOS!$D$5:$D$1005="jabas")*(MOVIMIENTOS!$A$5:$A$1005&lt;&gt;"")*(MOVIMIENTOS!$A$5:$A$1005&lt;=$A440)*MOVIMIENTOS!$E$5:$E$1005)-SUMPRODUCT((MOVIMIENTOS!$B$5:$B$1005="VENTA")*(MOVIMIENTOS!$C$5:$C$1005="M")*(MOVIMIENTOS!$D$5:$D$1005="jabas")*(MOVIMIENTOS!$A$5:$A$1005&lt;&gt;"")*(MOVIMIENTOS!$A$5:$A$1005&lt;=$A440)*MOVIMIENTOS!$E$5:$E$1005)+SUMPRODUCT((MOVIMIENTOS!$B$5:$B$1005="AJUSTE")*(MOVIMIENTOS!$C$5:$C$1005="M")*(MOVIMIENTOS!$D$5:$D$1005="jabas")*(MOVIMIENTOS!$A$5:$A$1005&lt;&gt;"")*(MOVIMIENTOS!$A$5:$A$1005&lt;=$A440)*MOVIMIENTOS!$E$5:$E$1005))</f>
        <v/>
      </c>
      <c r="F440" s="62" t="str">
        <f>IF($A440="","",SUMPRODUCT((MOVIMIENTOS!$B$5:$B$1005="SALDO INICIAL")*(MOVIMIENTOS!$C$5:$C$1005="Chancho")*(MOVIMIENTOS!$D$5:$D$1005="sacos")*(MOVIMIENTOS!$A$5:$A$1005&lt;&gt;"")*(MOVIMIENTOS!$A$5:$A$1005&lt;=$A440)*MOVIMIENTOS!$E$5:$E$1005)+SUMPRODUCT((MOVIMIENTOS!$B$5:$B$1005="PROCESO")*(MOVIMIENTOS!$C$5:$C$1005="Chancho")*(MOVIMIENTOS!$D$5:$D$1005="sacos")*(MOVIMIENTOS!$A$5:$A$1005&lt;&gt;"")*(MOVIMIENTOS!$A$5:$A$1005&lt;=$A440)*MOVIMIENTOS!$E$5:$E$1005)-SUMPRODUCT((MOVIMIENTOS!$B$5:$B$1005="VENTA CHANCHO")*(MOVIMIENTOS!$C$5:$C$1005="Chancho")*(MOVIMIENTOS!$D$5:$D$1005="sacos")*(MOVIMIENTOS!$A$5:$A$1005&lt;&gt;"")*(MOVIMIENTOS!$A$5:$A$1005&lt;=$A440)*MOVIMIENTOS!$E$5:$E$1005)-SUMPRODUCT((MOVIMIENTOS!$B$5:$B$1005="REGALO")*(MOVIMIENTOS!$C$5:$C$1005="Chancho")*(MOVIMIENTOS!$D$5:$D$1005="sacos")*(MOVIMIENTOS!$A$5:$A$1005&lt;&gt;"")*(MOVIMIENTOS!$A$5:$A$1005&lt;=$A440)*MOVIMIENTOS!$E$5:$E$1005)-SUMPRODUCT((MOVIMIENTOS!$B$5:$B$1005="VENTA")*(MOVIMIENTOS!$C$5:$C$1005="Chancho")*(MOVIMIENTOS!$D$5:$D$1005="sacos")*(MOVIMIENTOS!$A$5:$A$1005&lt;&gt;"")*(MOVIMIENTOS!$A$5:$A$1005&lt;=$A440)*MOVIMIENTOS!$E$5:$E$1005)+SUMPRODUCT((MOVIMIENTOS!$B$5:$B$1005="AJUSTE")*(MOVIMIENTOS!$C$5:$C$1005="Chancho")*(MOVIMIENTOS!$D$5:$D$1005="sacos")*(MOVIMIENTOS!$A$5:$A$1005&lt;&gt;"")*(MOVIMIENTOS!$A$5:$A$1005&lt;=$A440)*MOVIMIENTOS!$E$5:$E$1005))</f>
        <v/>
      </c>
      <c r="G440" s="62" t="str">
        <f t="shared" si="13"/>
        <v/>
      </c>
      <c r="H440" t="str">
        <f>IF($A440="","",SUMPRODUCT((((MOVIMIENTOS!$B$5:$B$1005="SALDO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440)*MOVIMIENTOS!$J$5:$J$1005))</f>
        <v/>
      </c>
      <c r="J440" t="str">
        <f>IF(AND(MOVIMIENTOS!$A445&lt;&gt;"",COUNTIF(MOVIMIENTOS!$A$5:$A444,MOVIMIENTOS!$A445)=0),COUNT(J$4:J439)+1,"")</f>
        <v/>
      </c>
      <c r="K440" s="67">
        <f>MOVIMIENTOS!$A445</f>
        <v>46251</v>
      </c>
    </row>
    <row r="441" spans="1:11" ht="15" customHeight="1" x14ac:dyDescent="0.2">
      <c r="A441" t="str">
        <f t="shared" si="12"/>
        <v/>
      </c>
      <c r="B441" t="str">
        <f>IF($A441="","",SUMPRODUCT((MOVIMIENTOS!$B$5:$B$1005="SALDO INICIAL")*(MOVIMIENTOS!$C$5:$C$1005="A")*(MOVIMIENTOS!$D$5:$D$1005="jabas")*(MOVIMIENTOS!$A$5:$A$1005&lt;&gt;"")*(MOVIMIENTOS!$A$5:$A$1005&lt;=$A441)*MOVIMIENTOS!$E$5:$E$1005)+SUMPRODUCT((MOVIMIENTOS!$B$5:$B$1005="PROCESO")*(MOVIMIENTOS!$C$5:$C$1005="A")*(MOVIMIENTOS!$D$5:$D$1005="jabas")*(MOVIMIENTOS!$A$5:$A$1005&lt;&gt;"")*(MOVIMIENTOS!$A$5:$A$1005&lt;=$A441)*MOVIMIENTOS!$E$5:$E$1005)-SUMPRODUCT((MOVIMIENTOS!$B$5:$B$1005="ENVÍO A SUPESA")*(MOVIMIENTOS!$C$5:$C$1005="A")*(MOVIMIENTOS!$D$5:$D$1005="jabas")*(MOVIMIENTOS!$A$5:$A$1005&lt;&gt;"")*(MOVIMIENTOS!$A$5:$A$1005&lt;=$A441)*MOVIMIENTOS!$E$5:$E$1005)+SUMPRODUCT((MOVIMIENTOS!$B$5:$B$1005="DEVOLUCIÓN")*(MOVIMIENTOS!$C$5:$C$1005="A")*(MOVIMIENTOS!$D$5:$D$1005="jabas")*(MOVIMIENTOS!$A$5:$A$1005&lt;&gt;"")*(MOVIMIENTOS!$A$5:$A$1005&lt;=$A441)*MOVIMIENTOS!$E$5:$E$1005)-SUMPRODUCT((MOVIMIENTOS!$B$5:$B$1005="TRASIEGO")*(MOVIMIENTOS!$C$5:$C$1005="A")*(MOVIMIENTOS!$D$5:$D$1005="jabas")*(MOVIMIENTOS!$A$5:$A$1005&lt;&gt;"")*(MOVIMIENTOS!$A$5:$A$1005&lt;=$A441)*MOVIMIENTOS!$E$5:$E$1005)-SUMPRODUCT((MOVIMIENTOS!$B$5:$B$1005="REGALO")*(MOVIMIENTOS!$C$5:$C$1005="A")*(MOVIMIENTOS!$D$5:$D$1005="jabas")*(MOVIMIENTOS!$A$5:$A$1005&lt;&gt;"")*(MOVIMIENTOS!$A$5:$A$1005&lt;=$A441)*MOVIMIENTOS!$E$5:$E$1005)-SUMPRODUCT((MOVIMIENTOS!$B$5:$B$1005="VENTA")*(MOVIMIENTOS!$C$5:$C$1005="A")*(MOVIMIENTOS!$D$5:$D$1005="jabas")*(MOVIMIENTOS!$A$5:$A$1005&lt;&gt;"")*(MOVIMIENTOS!$A$5:$A$1005&lt;=$A441)*MOVIMIENTOS!$E$5:$E$1005)+SUMPRODUCT((MOVIMIENTOS!$B$5:$B$1005="AJUSTE")*(MOVIMIENTOS!$C$5:$C$1005="A")*(MOVIMIENTOS!$D$5:$D$1005="jabas")*(MOVIMIENTOS!$A$5:$A$1005&lt;&gt;"")*(MOVIMIENTOS!$A$5:$A$1005&lt;=$A441)*MOVIMIENTOS!$E$5:$E$1005))</f>
        <v/>
      </c>
      <c r="C441" t="str">
        <f>IF($A441="","",SUMPRODUCT((MOVIMIENTOS!$B$5:$B$1005="SALDO INICIAL")*(MOVIMIENTOS!$C$5:$C$1005="P")*(MOVIMIENTOS!$D$5:$D$1005="jabas")*(MOVIMIENTOS!$A$5:$A$1005&lt;&gt;"")*(MOVIMIENTOS!$A$5:$A$1005&lt;=$A441)*MOVIMIENTOS!$E$5:$E$1005)+SUMPRODUCT((MOVIMIENTOS!$B$5:$B$1005="PROCESO")*(MOVIMIENTOS!$C$5:$C$1005="P")*(MOVIMIENTOS!$D$5:$D$1005="jabas")*(MOVIMIENTOS!$A$5:$A$1005&lt;&gt;"")*(MOVIMIENTOS!$A$5:$A$1005&lt;=$A441)*MOVIMIENTOS!$E$5:$E$1005)-SUMPRODUCT((MOVIMIENTOS!$B$5:$B$1005="ENVÍO A SUPESA")*(MOVIMIENTOS!$C$5:$C$1005="P")*(MOVIMIENTOS!$D$5:$D$1005="jabas")*(MOVIMIENTOS!$A$5:$A$1005&lt;&gt;"")*(MOVIMIENTOS!$A$5:$A$1005&lt;=$A441)*MOVIMIENTOS!$E$5:$E$1005)+SUMPRODUCT((MOVIMIENTOS!$B$5:$B$1005="DEVOLUCIÓN")*(MOVIMIENTOS!$C$5:$C$1005="P")*(MOVIMIENTOS!$D$5:$D$1005="jabas")*(MOVIMIENTOS!$A$5:$A$1005&lt;&gt;"")*(MOVIMIENTOS!$A$5:$A$1005&lt;=$A441)*MOVIMIENTOS!$E$5:$E$1005)-SUMPRODUCT((MOVIMIENTOS!$B$5:$B$1005="TRASIEGO")*(MOVIMIENTOS!$C$5:$C$1005="P")*(MOVIMIENTOS!$D$5:$D$1005="jabas")*(MOVIMIENTOS!$A$5:$A$1005&lt;&gt;"")*(MOVIMIENTOS!$A$5:$A$1005&lt;=$A441)*MOVIMIENTOS!$E$5:$E$1005)-SUMPRODUCT((MOVIMIENTOS!$B$5:$B$1005="REGALO")*(MOVIMIENTOS!$C$5:$C$1005="P")*(MOVIMIENTOS!$D$5:$D$1005="jabas")*(MOVIMIENTOS!$A$5:$A$1005&lt;&gt;"")*(MOVIMIENTOS!$A$5:$A$1005&lt;=$A441)*MOVIMIENTOS!$E$5:$E$1005)-SUMPRODUCT((MOVIMIENTOS!$B$5:$B$1005="VENTA")*(MOVIMIENTOS!$C$5:$C$1005="P")*(MOVIMIENTOS!$D$5:$D$1005="jabas")*(MOVIMIENTOS!$A$5:$A$1005&lt;&gt;"")*(MOVIMIENTOS!$A$5:$A$1005&lt;=$A441)*MOVIMIENTOS!$E$5:$E$1005)+SUMPRODUCT((MOVIMIENTOS!$B$5:$B$1005="AJUSTE")*(MOVIMIENTOS!$C$5:$C$1005="P")*(MOVIMIENTOS!$D$5:$D$1005="jabas")*(MOVIMIENTOS!$A$5:$A$1005&lt;&gt;"")*(MOVIMIENTOS!$A$5:$A$1005&lt;=$A441)*MOVIMIENTOS!$E$5:$E$1005))</f>
        <v/>
      </c>
      <c r="D441" t="str">
        <f>IF($A441="","",SUMPRODUCT((MOVIMIENTOS!$B$5:$B$1005="SALDO INICIAL")*(MOVIMIENTOS!$C$5:$C$1005="C")*(MOVIMIENTOS!$D$5:$D$1005="jabas")*(MOVIMIENTOS!$A$5:$A$1005&lt;&gt;"")*(MOVIMIENTOS!$A$5:$A$1005&lt;=$A441)*MOVIMIENTOS!$E$5:$E$1005)+SUMPRODUCT((MOVIMIENTOS!$B$5:$B$1005="PROCESO")*(MOVIMIENTOS!$C$5:$C$1005="C")*(MOVIMIENTOS!$D$5:$D$1005="jabas")*(MOVIMIENTOS!$A$5:$A$1005&lt;&gt;"")*(MOVIMIENTOS!$A$5:$A$1005&lt;=$A441)*MOVIMIENTOS!$E$5:$E$1005)-SUMPRODUCT((MOVIMIENTOS!$B$5:$B$1005="ENVÍO A SUPESA")*(MOVIMIENTOS!$C$5:$C$1005="C")*(MOVIMIENTOS!$D$5:$D$1005="jabas")*(MOVIMIENTOS!$A$5:$A$1005&lt;&gt;"")*(MOVIMIENTOS!$A$5:$A$1005&lt;=$A441)*MOVIMIENTOS!$E$5:$E$1005)+SUMPRODUCT((MOVIMIENTOS!$B$5:$B$1005="DEVOLUCIÓN")*(MOVIMIENTOS!$C$5:$C$1005="C")*(MOVIMIENTOS!$D$5:$D$1005="jabas")*(MOVIMIENTOS!$A$5:$A$1005&lt;&gt;"")*(MOVIMIENTOS!$A$5:$A$1005&lt;=$A441)*MOVIMIENTOS!$E$5:$E$1005)-SUMPRODUCT((MOVIMIENTOS!$B$5:$B$1005="TRASIEGO")*(MOVIMIENTOS!$C$5:$C$1005="C")*(MOVIMIENTOS!$D$5:$D$1005="jabas")*(MOVIMIENTOS!$A$5:$A$1005&lt;&gt;"")*(MOVIMIENTOS!$A$5:$A$1005&lt;=$A441)*MOVIMIENTOS!$E$5:$E$1005)-SUMPRODUCT((MOVIMIENTOS!$B$5:$B$1005="REGALO")*(MOVIMIENTOS!$C$5:$C$1005="C")*(MOVIMIENTOS!$D$5:$D$1005="jabas")*(MOVIMIENTOS!$A$5:$A$1005&lt;&gt;"")*(MOVIMIENTOS!$A$5:$A$1005&lt;=$A441)*MOVIMIENTOS!$E$5:$E$1005)-SUMPRODUCT((MOVIMIENTOS!$B$5:$B$1005="VENTA")*(MOVIMIENTOS!$C$5:$C$1005="C")*(MOVIMIENTOS!$D$5:$D$1005="jabas")*(MOVIMIENTOS!$A$5:$A$1005&lt;&gt;"")*(MOVIMIENTOS!$A$5:$A$1005&lt;=$A441)*MOVIMIENTOS!$E$5:$E$1005)+SUMPRODUCT((MOVIMIENTOS!$B$5:$B$1005="AJUSTE")*(MOVIMIENTOS!$C$5:$C$1005="C")*(MOVIMIENTOS!$D$5:$D$1005="jabas")*(MOVIMIENTOS!$A$5:$A$1005&lt;&gt;"")*(MOVIMIENTOS!$A$5:$A$1005&lt;=$A441)*MOVIMIENTOS!$E$5:$E$1005))</f>
        <v/>
      </c>
      <c r="E441" t="str">
        <f>IF($A441="","",SUMPRODUCT((MOVIMIENTOS!$B$5:$B$1005="SALDO INICIAL")*(MOVIMIENTOS!$C$5:$C$1005="M")*(MOVIMIENTOS!$D$5:$D$1005="jabas")*(MOVIMIENTOS!$A$5:$A$1005&lt;&gt;"")*(MOVIMIENTOS!$A$5:$A$1005&lt;=$A441)*MOVIMIENTOS!$E$5:$E$1005)+SUMPRODUCT((MOVIMIENTOS!$B$5:$B$1005="PROCESO")*(MOVIMIENTOS!$C$5:$C$1005="M")*(MOVIMIENTOS!$D$5:$D$1005="jabas")*(MOVIMIENTOS!$A$5:$A$1005&lt;&gt;"")*(MOVIMIENTOS!$A$5:$A$1005&lt;=$A441)*MOVIMIENTOS!$E$5:$E$1005)-SUMPRODUCT((MOVIMIENTOS!$B$5:$B$1005="ENVÍO A SUPESA")*(MOVIMIENTOS!$C$5:$C$1005="M")*(MOVIMIENTOS!$D$5:$D$1005="jabas")*(MOVIMIENTOS!$A$5:$A$1005&lt;&gt;"")*(MOVIMIENTOS!$A$5:$A$1005&lt;=$A441)*MOVIMIENTOS!$E$5:$E$1005)+SUMPRODUCT((MOVIMIENTOS!$B$5:$B$1005="DEVOLUCIÓN")*(MOVIMIENTOS!$C$5:$C$1005="M")*(MOVIMIENTOS!$D$5:$D$1005="jabas")*(MOVIMIENTOS!$A$5:$A$1005&lt;&gt;"")*(MOVIMIENTOS!$A$5:$A$1005&lt;=$A441)*MOVIMIENTOS!$E$5:$E$1005)-SUMPRODUCT((MOVIMIENTOS!$B$5:$B$1005="TRASIEGO")*(MOVIMIENTOS!$C$5:$C$1005="M")*(MOVIMIENTOS!$D$5:$D$1005="jabas")*(MOVIMIENTOS!$A$5:$A$1005&lt;&gt;"")*(MOVIMIENTOS!$A$5:$A$1005&lt;=$A441)*MOVIMIENTOS!$E$5:$E$1005)-SUMPRODUCT((MOVIMIENTOS!$B$5:$B$1005="REGALO")*(MOVIMIENTOS!$C$5:$C$1005="M")*(MOVIMIENTOS!$D$5:$D$1005="jabas")*(MOVIMIENTOS!$A$5:$A$1005&lt;&gt;"")*(MOVIMIENTOS!$A$5:$A$1005&lt;=$A441)*MOVIMIENTOS!$E$5:$E$1005)-SUMPRODUCT((MOVIMIENTOS!$B$5:$B$1005="VENTA")*(MOVIMIENTOS!$C$5:$C$1005="M")*(MOVIMIENTOS!$D$5:$D$1005="jabas")*(MOVIMIENTOS!$A$5:$A$1005&lt;&gt;"")*(MOVIMIENTOS!$A$5:$A$1005&lt;=$A441)*MOVIMIENTOS!$E$5:$E$1005)+SUMPRODUCT((MOVIMIENTOS!$B$5:$B$1005="AJUSTE")*(MOVIMIENTOS!$C$5:$C$1005="M")*(MOVIMIENTOS!$D$5:$D$1005="jabas")*(MOVIMIENTOS!$A$5:$A$1005&lt;&gt;"")*(MOVIMIENTOS!$A$5:$A$1005&lt;=$A441)*MOVIMIENTOS!$E$5:$E$1005))</f>
        <v/>
      </c>
      <c r="F441" s="62" t="str">
        <f>IF($A441="","",SUMPRODUCT((MOVIMIENTOS!$B$5:$B$1005="SALDO INICIAL")*(MOVIMIENTOS!$C$5:$C$1005="Chancho")*(MOVIMIENTOS!$D$5:$D$1005="sacos")*(MOVIMIENTOS!$A$5:$A$1005&lt;&gt;"")*(MOVIMIENTOS!$A$5:$A$1005&lt;=$A441)*MOVIMIENTOS!$E$5:$E$1005)+SUMPRODUCT((MOVIMIENTOS!$B$5:$B$1005="PROCESO")*(MOVIMIENTOS!$C$5:$C$1005="Chancho")*(MOVIMIENTOS!$D$5:$D$1005="sacos")*(MOVIMIENTOS!$A$5:$A$1005&lt;&gt;"")*(MOVIMIENTOS!$A$5:$A$1005&lt;=$A441)*MOVIMIENTOS!$E$5:$E$1005)-SUMPRODUCT((MOVIMIENTOS!$B$5:$B$1005="VENTA CHANCHO")*(MOVIMIENTOS!$C$5:$C$1005="Chancho")*(MOVIMIENTOS!$D$5:$D$1005="sacos")*(MOVIMIENTOS!$A$5:$A$1005&lt;&gt;"")*(MOVIMIENTOS!$A$5:$A$1005&lt;=$A441)*MOVIMIENTOS!$E$5:$E$1005)-SUMPRODUCT((MOVIMIENTOS!$B$5:$B$1005="REGALO")*(MOVIMIENTOS!$C$5:$C$1005="Chancho")*(MOVIMIENTOS!$D$5:$D$1005="sacos")*(MOVIMIENTOS!$A$5:$A$1005&lt;&gt;"")*(MOVIMIENTOS!$A$5:$A$1005&lt;=$A441)*MOVIMIENTOS!$E$5:$E$1005)-SUMPRODUCT((MOVIMIENTOS!$B$5:$B$1005="VENTA")*(MOVIMIENTOS!$C$5:$C$1005="Chancho")*(MOVIMIENTOS!$D$5:$D$1005="sacos")*(MOVIMIENTOS!$A$5:$A$1005&lt;&gt;"")*(MOVIMIENTOS!$A$5:$A$1005&lt;=$A441)*MOVIMIENTOS!$E$5:$E$1005)+SUMPRODUCT((MOVIMIENTOS!$B$5:$B$1005="AJUSTE")*(MOVIMIENTOS!$C$5:$C$1005="Chancho")*(MOVIMIENTOS!$D$5:$D$1005="sacos")*(MOVIMIENTOS!$A$5:$A$1005&lt;&gt;"")*(MOVIMIENTOS!$A$5:$A$1005&lt;=$A441)*MOVIMIENTOS!$E$5:$E$1005))</f>
        <v/>
      </c>
      <c r="G441" s="62" t="str">
        <f t="shared" si="13"/>
        <v/>
      </c>
      <c r="H441" t="str">
        <f>IF($A441="","",SUMPRODUCT((((MOVIMIENTOS!$B$5:$B$1005="SALDO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441)*MOVIMIENTOS!$J$5:$J$1005))</f>
        <v/>
      </c>
      <c r="J441">
        <f>IF(AND(MOVIMIENTOS!$A446&lt;&gt;"",COUNTIF(MOVIMIENTOS!$A$5:$A445,MOVIMIENTOS!$A446)=0),COUNT(J$4:J440)+1,"")</f>
        <v>39</v>
      </c>
      <c r="K441" s="67">
        <f>MOVIMIENTOS!$A446</f>
        <v>46252</v>
      </c>
    </row>
    <row r="442" spans="1:11" ht="15" customHeight="1" x14ac:dyDescent="0.2">
      <c r="A442" t="str">
        <f t="shared" si="12"/>
        <v/>
      </c>
      <c r="B442" t="str">
        <f>IF($A442="","",SUMPRODUCT((MOVIMIENTOS!$B$5:$B$1005="SALDO INICIAL")*(MOVIMIENTOS!$C$5:$C$1005="A")*(MOVIMIENTOS!$D$5:$D$1005="jabas")*(MOVIMIENTOS!$A$5:$A$1005&lt;&gt;"")*(MOVIMIENTOS!$A$5:$A$1005&lt;=$A442)*MOVIMIENTOS!$E$5:$E$1005)+SUMPRODUCT((MOVIMIENTOS!$B$5:$B$1005="PROCESO")*(MOVIMIENTOS!$C$5:$C$1005="A")*(MOVIMIENTOS!$D$5:$D$1005="jabas")*(MOVIMIENTOS!$A$5:$A$1005&lt;&gt;"")*(MOVIMIENTOS!$A$5:$A$1005&lt;=$A442)*MOVIMIENTOS!$E$5:$E$1005)-SUMPRODUCT((MOVIMIENTOS!$B$5:$B$1005="ENVÍO A SUPESA")*(MOVIMIENTOS!$C$5:$C$1005="A")*(MOVIMIENTOS!$D$5:$D$1005="jabas")*(MOVIMIENTOS!$A$5:$A$1005&lt;&gt;"")*(MOVIMIENTOS!$A$5:$A$1005&lt;=$A442)*MOVIMIENTOS!$E$5:$E$1005)+SUMPRODUCT((MOVIMIENTOS!$B$5:$B$1005="DEVOLUCIÓN")*(MOVIMIENTOS!$C$5:$C$1005="A")*(MOVIMIENTOS!$D$5:$D$1005="jabas")*(MOVIMIENTOS!$A$5:$A$1005&lt;&gt;"")*(MOVIMIENTOS!$A$5:$A$1005&lt;=$A442)*MOVIMIENTOS!$E$5:$E$1005)-SUMPRODUCT((MOVIMIENTOS!$B$5:$B$1005="TRASIEGO")*(MOVIMIENTOS!$C$5:$C$1005="A")*(MOVIMIENTOS!$D$5:$D$1005="jabas")*(MOVIMIENTOS!$A$5:$A$1005&lt;&gt;"")*(MOVIMIENTOS!$A$5:$A$1005&lt;=$A442)*MOVIMIENTOS!$E$5:$E$1005)-SUMPRODUCT((MOVIMIENTOS!$B$5:$B$1005="REGALO")*(MOVIMIENTOS!$C$5:$C$1005="A")*(MOVIMIENTOS!$D$5:$D$1005="jabas")*(MOVIMIENTOS!$A$5:$A$1005&lt;&gt;"")*(MOVIMIENTOS!$A$5:$A$1005&lt;=$A442)*MOVIMIENTOS!$E$5:$E$1005)-SUMPRODUCT((MOVIMIENTOS!$B$5:$B$1005="VENTA")*(MOVIMIENTOS!$C$5:$C$1005="A")*(MOVIMIENTOS!$D$5:$D$1005="jabas")*(MOVIMIENTOS!$A$5:$A$1005&lt;&gt;"")*(MOVIMIENTOS!$A$5:$A$1005&lt;=$A442)*MOVIMIENTOS!$E$5:$E$1005)+SUMPRODUCT((MOVIMIENTOS!$B$5:$B$1005="AJUSTE")*(MOVIMIENTOS!$C$5:$C$1005="A")*(MOVIMIENTOS!$D$5:$D$1005="jabas")*(MOVIMIENTOS!$A$5:$A$1005&lt;&gt;"")*(MOVIMIENTOS!$A$5:$A$1005&lt;=$A442)*MOVIMIENTOS!$E$5:$E$1005))</f>
        <v/>
      </c>
      <c r="C442" t="str">
        <f>IF($A442="","",SUMPRODUCT((MOVIMIENTOS!$B$5:$B$1005="SALDO INICIAL")*(MOVIMIENTOS!$C$5:$C$1005="P")*(MOVIMIENTOS!$D$5:$D$1005="jabas")*(MOVIMIENTOS!$A$5:$A$1005&lt;&gt;"")*(MOVIMIENTOS!$A$5:$A$1005&lt;=$A442)*MOVIMIENTOS!$E$5:$E$1005)+SUMPRODUCT((MOVIMIENTOS!$B$5:$B$1005="PROCESO")*(MOVIMIENTOS!$C$5:$C$1005="P")*(MOVIMIENTOS!$D$5:$D$1005="jabas")*(MOVIMIENTOS!$A$5:$A$1005&lt;&gt;"")*(MOVIMIENTOS!$A$5:$A$1005&lt;=$A442)*MOVIMIENTOS!$E$5:$E$1005)-SUMPRODUCT((MOVIMIENTOS!$B$5:$B$1005="ENVÍO A SUPESA")*(MOVIMIENTOS!$C$5:$C$1005="P")*(MOVIMIENTOS!$D$5:$D$1005="jabas")*(MOVIMIENTOS!$A$5:$A$1005&lt;&gt;"")*(MOVIMIENTOS!$A$5:$A$1005&lt;=$A442)*MOVIMIENTOS!$E$5:$E$1005)+SUMPRODUCT((MOVIMIENTOS!$B$5:$B$1005="DEVOLUCIÓN")*(MOVIMIENTOS!$C$5:$C$1005="P")*(MOVIMIENTOS!$D$5:$D$1005="jabas")*(MOVIMIENTOS!$A$5:$A$1005&lt;&gt;"")*(MOVIMIENTOS!$A$5:$A$1005&lt;=$A442)*MOVIMIENTOS!$E$5:$E$1005)-SUMPRODUCT((MOVIMIENTOS!$B$5:$B$1005="TRASIEGO")*(MOVIMIENTOS!$C$5:$C$1005="P")*(MOVIMIENTOS!$D$5:$D$1005="jabas")*(MOVIMIENTOS!$A$5:$A$1005&lt;&gt;"")*(MOVIMIENTOS!$A$5:$A$1005&lt;=$A442)*MOVIMIENTOS!$E$5:$E$1005)-SUMPRODUCT((MOVIMIENTOS!$B$5:$B$1005="REGALO")*(MOVIMIENTOS!$C$5:$C$1005="P")*(MOVIMIENTOS!$D$5:$D$1005="jabas")*(MOVIMIENTOS!$A$5:$A$1005&lt;&gt;"")*(MOVIMIENTOS!$A$5:$A$1005&lt;=$A442)*MOVIMIENTOS!$E$5:$E$1005)-SUMPRODUCT((MOVIMIENTOS!$B$5:$B$1005="VENTA")*(MOVIMIENTOS!$C$5:$C$1005="P")*(MOVIMIENTOS!$D$5:$D$1005="jabas")*(MOVIMIENTOS!$A$5:$A$1005&lt;&gt;"")*(MOVIMIENTOS!$A$5:$A$1005&lt;=$A442)*MOVIMIENTOS!$E$5:$E$1005)+SUMPRODUCT((MOVIMIENTOS!$B$5:$B$1005="AJUSTE")*(MOVIMIENTOS!$C$5:$C$1005="P")*(MOVIMIENTOS!$D$5:$D$1005="jabas")*(MOVIMIENTOS!$A$5:$A$1005&lt;&gt;"")*(MOVIMIENTOS!$A$5:$A$1005&lt;=$A442)*MOVIMIENTOS!$E$5:$E$1005))</f>
        <v/>
      </c>
      <c r="D442" t="str">
        <f>IF($A442="","",SUMPRODUCT((MOVIMIENTOS!$B$5:$B$1005="SALDO INICIAL")*(MOVIMIENTOS!$C$5:$C$1005="C")*(MOVIMIENTOS!$D$5:$D$1005="jabas")*(MOVIMIENTOS!$A$5:$A$1005&lt;&gt;"")*(MOVIMIENTOS!$A$5:$A$1005&lt;=$A442)*MOVIMIENTOS!$E$5:$E$1005)+SUMPRODUCT((MOVIMIENTOS!$B$5:$B$1005="PROCESO")*(MOVIMIENTOS!$C$5:$C$1005="C")*(MOVIMIENTOS!$D$5:$D$1005="jabas")*(MOVIMIENTOS!$A$5:$A$1005&lt;&gt;"")*(MOVIMIENTOS!$A$5:$A$1005&lt;=$A442)*MOVIMIENTOS!$E$5:$E$1005)-SUMPRODUCT((MOVIMIENTOS!$B$5:$B$1005="ENVÍO A SUPESA")*(MOVIMIENTOS!$C$5:$C$1005="C")*(MOVIMIENTOS!$D$5:$D$1005="jabas")*(MOVIMIENTOS!$A$5:$A$1005&lt;&gt;"")*(MOVIMIENTOS!$A$5:$A$1005&lt;=$A442)*MOVIMIENTOS!$E$5:$E$1005)+SUMPRODUCT((MOVIMIENTOS!$B$5:$B$1005="DEVOLUCIÓN")*(MOVIMIENTOS!$C$5:$C$1005="C")*(MOVIMIENTOS!$D$5:$D$1005="jabas")*(MOVIMIENTOS!$A$5:$A$1005&lt;&gt;"")*(MOVIMIENTOS!$A$5:$A$1005&lt;=$A442)*MOVIMIENTOS!$E$5:$E$1005)-SUMPRODUCT((MOVIMIENTOS!$B$5:$B$1005="TRASIEGO")*(MOVIMIENTOS!$C$5:$C$1005="C")*(MOVIMIENTOS!$D$5:$D$1005="jabas")*(MOVIMIENTOS!$A$5:$A$1005&lt;&gt;"")*(MOVIMIENTOS!$A$5:$A$1005&lt;=$A442)*MOVIMIENTOS!$E$5:$E$1005)-SUMPRODUCT((MOVIMIENTOS!$B$5:$B$1005="REGALO")*(MOVIMIENTOS!$C$5:$C$1005="C")*(MOVIMIENTOS!$D$5:$D$1005="jabas")*(MOVIMIENTOS!$A$5:$A$1005&lt;&gt;"")*(MOVIMIENTOS!$A$5:$A$1005&lt;=$A442)*MOVIMIENTOS!$E$5:$E$1005)-SUMPRODUCT((MOVIMIENTOS!$B$5:$B$1005="VENTA")*(MOVIMIENTOS!$C$5:$C$1005="C")*(MOVIMIENTOS!$D$5:$D$1005="jabas")*(MOVIMIENTOS!$A$5:$A$1005&lt;&gt;"")*(MOVIMIENTOS!$A$5:$A$1005&lt;=$A442)*MOVIMIENTOS!$E$5:$E$1005)+SUMPRODUCT((MOVIMIENTOS!$B$5:$B$1005="AJUSTE")*(MOVIMIENTOS!$C$5:$C$1005="C")*(MOVIMIENTOS!$D$5:$D$1005="jabas")*(MOVIMIENTOS!$A$5:$A$1005&lt;&gt;"")*(MOVIMIENTOS!$A$5:$A$1005&lt;=$A442)*MOVIMIENTOS!$E$5:$E$1005))</f>
        <v/>
      </c>
      <c r="E442" t="str">
        <f>IF($A442="","",SUMPRODUCT((MOVIMIENTOS!$B$5:$B$1005="SALDO INICIAL")*(MOVIMIENTOS!$C$5:$C$1005="M")*(MOVIMIENTOS!$D$5:$D$1005="jabas")*(MOVIMIENTOS!$A$5:$A$1005&lt;&gt;"")*(MOVIMIENTOS!$A$5:$A$1005&lt;=$A442)*MOVIMIENTOS!$E$5:$E$1005)+SUMPRODUCT((MOVIMIENTOS!$B$5:$B$1005="PROCESO")*(MOVIMIENTOS!$C$5:$C$1005="M")*(MOVIMIENTOS!$D$5:$D$1005="jabas")*(MOVIMIENTOS!$A$5:$A$1005&lt;&gt;"")*(MOVIMIENTOS!$A$5:$A$1005&lt;=$A442)*MOVIMIENTOS!$E$5:$E$1005)-SUMPRODUCT((MOVIMIENTOS!$B$5:$B$1005="ENVÍO A SUPESA")*(MOVIMIENTOS!$C$5:$C$1005="M")*(MOVIMIENTOS!$D$5:$D$1005="jabas")*(MOVIMIENTOS!$A$5:$A$1005&lt;&gt;"")*(MOVIMIENTOS!$A$5:$A$1005&lt;=$A442)*MOVIMIENTOS!$E$5:$E$1005)+SUMPRODUCT((MOVIMIENTOS!$B$5:$B$1005="DEVOLUCIÓN")*(MOVIMIENTOS!$C$5:$C$1005="M")*(MOVIMIENTOS!$D$5:$D$1005="jabas")*(MOVIMIENTOS!$A$5:$A$1005&lt;&gt;"")*(MOVIMIENTOS!$A$5:$A$1005&lt;=$A442)*MOVIMIENTOS!$E$5:$E$1005)-SUMPRODUCT((MOVIMIENTOS!$B$5:$B$1005="TRASIEGO")*(MOVIMIENTOS!$C$5:$C$1005="M")*(MOVIMIENTOS!$D$5:$D$1005="jabas")*(MOVIMIENTOS!$A$5:$A$1005&lt;&gt;"")*(MOVIMIENTOS!$A$5:$A$1005&lt;=$A442)*MOVIMIENTOS!$E$5:$E$1005)-SUMPRODUCT((MOVIMIENTOS!$B$5:$B$1005="REGALO")*(MOVIMIENTOS!$C$5:$C$1005="M")*(MOVIMIENTOS!$D$5:$D$1005="jabas")*(MOVIMIENTOS!$A$5:$A$1005&lt;&gt;"")*(MOVIMIENTOS!$A$5:$A$1005&lt;=$A442)*MOVIMIENTOS!$E$5:$E$1005)-SUMPRODUCT((MOVIMIENTOS!$B$5:$B$1005="VENTA")*(MOVIMIENTOS!$C$5:$C$1005="M")*(MOVIMIENTOS!$D$5:$D$1005="jabas")*(MOVIMIENTOS!$A$5:$A$1005&lt;&gt;"")*(MOVIMIENTOS!$A$5:$A$1005&lt;=$A442)*MOVIMIENTOS!$E$5:$E$1005)+SUMPRODUCT((MOVIMIENTOS!$B$5:$B$1005="AJUSTE")*(MOVIMIENTOS!$C$5:$C$1005="M")*(MOVIMIENTOS!$D$5:$D$1005="jabas")*(MOVIMIENTOS!$A$5:$A$1005&lt;&gt;"")*(MOVIMIENTOS!$A$5:$A$1005&lt;=$A442)*MOVIMIENTOS!$E$5:$E$1005))</f>
        <v/>
      </c>
      <c r="F442" s="62" t="str">
        <f>IF($A442="","",SUMPRODUCT((MOVIMIENTOS!$B$5:$B$1005="SALDO INICIAL")*(MOVIMIENTOS!$C$5:$C$1005="Chancho")*(MOVIMIENTOS!$D$5:$D$1005="sacos")*(MOVIMIENTOS!$A$5:$A$1005&lt;&gt;"")*(MOVIMIENTOS!$A$5:$A$1005&lt;=$A442)*MOVIMIENTOS!$E$5:$E$1005)+SUMPRODUCT((MOVIMIENTOS!$B$5:$B$1005="PROCESO")*(MOVIMIENTOS!$C$5:$C$1005="Chancho")*(MOVIMIENTOS!$D$5:$D$1005="sacos")*(MOVIMIENTOS!$A$5:$A$1005&lt;&gt;"")*(MOVIMIENTOS!$A$5:$A$1005&lt;=$A442)*MOVIMIENTOS!$E$5:$E$1005)-SUMPRODUCT((MOVIMIENTOS!$B$5:$B$1005="VENTA CHANCHO")*(MOVIMIENTOS!$C$5:$C$1005="Chancho")*(MOVIMIENTOS!$D$5:$D$1005="sacos")*(MOVIMIENTOS!$A$5:$A$1005&lt;&gt;"")*(MOVIMIENTOS!$A$5:$A$1005&lt;=$A442)*MOVIMIENTOS!$E$5:$E$1005)-SUMPRODUCT((MOVIMIENTOS!$B$5:$B$1005="REGALO")*(MOVIMIENTOS!$C$5:$C$1005="Chancho")*(MOVIMIENTOS!$D$5:$D$1005="sacos")*(MOVIMIENTOS!$A$5:$A$1005&lt;&gt;"")*(MOVIMIENTOS!$A$5:$A$1005&lt;=$A442)*MOVIMIENTOS!$E$5:$E$1005)-SUMPRODUCT((MOVIMIENTOS!$B$5:$B$1005="VENTA")*(MOVIMIENTOS!$C$5:$C$1005="Chancho")*(MOVIMIENTOS!$D$5:$D$1005="sacos")*(MOVIMIENTOS!$A$5:$A$1005&lt;&gt;"")*(MOVIMIENTOS!$A$5:$A$1005&lt;=$A442)*MOVIMIENTOS!$E$5:$E$1005)+SUMPRODUCT((MOVIMIENTOS!$B$5:$B$1005="AJUSTE")*(MOVIMIENTOS!$C$5:$C$1005="Chancho")*(MOVIMIENTOS!$D$5:$D$1005="sacos")*(MOVIMIENTOS!$A$5:$A$1005&lt;&gt;"")*(MOVIMIENTOS!$A$5:$A$1005&lt;=$A442)*MOVIMIENTOS!$E$5:$E$1005))</f>
        <v/>
      </c>
      <c r="G442" s="62" t="str">
        <f t="shared" si="13"/>
        <v/>
      </c>
      <c r="H442" t="str">
        <f>IF($A442="","",SUMPRODUCT((((MOVIMIENTOS!$B$5:$B$1005="SALDO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442)*MOVIMIENTOS!$J$5:$J$1005))</f>
        <v/>
      </c>
      <c r="J442" t="str">
        <f>IF(AND(MOVIMIENTOS!$A447&lt;&gt;"",COUNTIF(MOVIMIENTOS!$A$5:$A446,MOVIMIENTOS!$A447)=0),COUNT(J$4:J441)+1,"")</f>
        <v/>
      </c>
      <c r="K442" s="67">
        <f>MOVIMIENTOS!$A447</f>
        <v>46252</v>
      </c>
    </row>
    <row r="443" spans="1:11" ht="15" customHeight="1" x14ac:dyDescent="0.2">
      <c r="A443" t="str">
        <f t="shared" si="12"/>
        <v/>
      </c>
      <c r="B443" t="str">
        <f>IF($A443="","",SUMPRODUCT((MOVIMIENTOS!$B$5:$B$1005="SALDO INICIAL")*(MOVIMIENTOS!$C$5:$C$1005="A")*(MOVIMIENTOS!$D$5:$D$1005="jabas")*(MOVIMIENTOS!$A$5:$A$1005&lt;&gt;"")*(MOVIMIENTOS!$A$5:$A$1005&lt;=$A443)*MOVIMIENTOS!$E$5:$E$1005)+SUMPRODUCT((MOVIMIENTOS!$B$5:$B$1005="PROCESO")*(MOVIMIENTOS!$C$5:$C$1005="A")*(MOVIMIENTOS!$D$5:$D$1005="jabas")*(MOVIMIENTOS!$A$5:$A$1005&lt;&gt;"")*(MOVIMIENTOS!$A$5:$A$1005&lt;=$A443)*MOVIMIENTOS!$E$5:$E$1005)-SUMPRODUCT((MOVIMIENTOS!$B$5:$B$1005="ENVÍO A SUPESA")*(MOVIMIENTOS!$C$5:$C$1005="A")*(MOVIMIENTOS!$D$5:$D$1005="jabas")*(MOVIMIENTOS!$A$5:$A$1005&lt;&gt;"")*(MOVIMIENTOS!$A$5:$A$1005&lt;=$A443)*MOVIMIENTOS!$E$5:$E$1005)+SUMPRODUCT((MOVIMIENTOS!$B$5:$B$1005="DEVOLUCIÓN")*(MOVIMIENTOS!$C$5:$C$1005="A")*(MOVIMIENTOS!$D$5:$D$1005="jabas")*(MOVIMIENTOS!$A$5:$A$1005&lt;&gt;"")*(MOVIMIENTOS!$A$5:$A$1005&lt;=$A443)*MOVIMIENTOS!$E$5:$E$1005)-SUMPRODUCT((MOVIMIENTOS!$B$5:$B$1005="TRASIEGO")*(MOVIMIENTOS!$C$5:$C$1005="A")*(MOVIMIENTOS!$D$5:$D$1005="jabas")*(MOVIMIENTOS!$A$5:$A$1005&lt;&gt;"")*(MOVIMIENTOS!$A$5:$A$1005&lt;=$A443)*MOVIMIENTOS!$E$5:$E$1005)-SUMPRODUCT((MOVIMIENTOS!$B$5:$B$1005="REGALO")*(MOVIMIENTOS!$C$5:$C$1005="A")*(MOVIMIENTOS!$D$5:$D$1005="jabas")*(MOVIMIENTOS!$A$5:$A$1005&lt;&gt;"")*(MOVIMIENTOS!$A$5:$A$1005&lt;=$A443)*MOVIMIENTOS!$E$5:$E$1005)-SUMPRODUCT((MOVIMIENTOS!$B$5:$B$1005="VENTA")*(MOVIMIENTOS!$C$5:$C$1005="A")*(MOVIMIENTOS!$D$5:$D$1005="jabas")*(MOVIMIENTOS!$A$5:$A$1005&lt;&gt;"")*(MOVIMIENTOS!$A$5:$A$1005&lt;=$A443)*MOVIMIENTOS!$E$5:$E$1005)+SUMPRODUCT((MOVIMIENTOS!$B$5:$B$1005="AJUSTE")*(MOVIMIENTOS!$C$5:$C$1005="A")*(MOVIMIENTOS!$D$5:$D$1005="jabas")*(MOVIMIENTOS!$A$5:$A$1005&lt;&gt;"")*(MOVIMIENTOS!$A$5:$A$1005&lt;=$A443)*MOVIMIENTOS!$E$5:$E$1005))</f>
        <v/>
      </c>
      <c r="C443" t="str">
        <f>IF($A443="","",SUMPRODUCT((MOVIMIENTOS!$B$5:$B$1005="SALDO INICIAL")*(MOVIMIENTOS!$C$5:$C$1005="P")*(MOVIMIENTOS!$D$5:$D$1005="jabas")*(MOVIMIENTOS!$A$5:$A$1005&lt;&gt;"")*(MOVIMIENTOS!$A$5:$A$1005&lt;=$A443)*MOVIMIENTOS!$E$5:$E$1005)+SUMPRODUCT((MOVIMIENTOS!$B$5:$B$1005="PROCESO")*(MOVIMIENTOS!$C$5:$C$1005="P")*(MOVIMIENTOS!$D$5:$D$1005="jabas")*(MOVIMIENTOS!$A$5:$A$1005&lt;&gt;"")*(MOVIMIENTOS!$A$5:$A$1005&lt;=$A443)*MOVIMIENTOS!$E$5:$E$1005)-SUMPRODUCT((MOVIMIENTOS!$B$5:$B$1005="ENVÍO A SUPESA")*(MOVIMIENTOS!$C$5:$C$1005="P")*(MOVIMIENTOS!$D$5:$D$1005="jabas")*(MOVIMIENTOS!$A$5:$A$1005&lt;&gt;"")*(MOVIMIENTOS!$A$5:$A$1005&lt;=$A443)*MOVIMIENTOS!$E$5:$E$1005)+SUMPRODUCT((MOVIMIENTOS!$B$5:$B$1005="DEVOLUCIÓN")*(MOVIMIENTOS!$C$5:$C$1005="P")*(MOVIMIENTOS!$D$5:$D$1005="jabas")*(MOVIMIENTOS!$A$5:$A$1005&lt;&gt;"")*(MOVIMIENTOS!$A$5:$A$1005&lt;=$A443)*MOVIMIENTOS!$E$5:$E$1005)-SUMPRODUCT((MOVIMIENTOS!$B$5:$B$1005="TRASIEGO")*(MOVIMIENTOS!$C$5:$C$1005="P")*(MOVIMIENTOS!$D$5:$D$1005="jabas")*(MOVIMIENTOS!$A$5:$A$1005&lt;&gt;"")*(MOVIMIENTOS!$A$5:$A$1005&lt;=$A443)*MOVIMIENTOS!$E$5:$E$1005)-SUMPRODUCT((MOVIMIENTOS!$B$5:$B$1005="REGALO")*(MOVIMIENTOS!$C$5:$C$1005="P")*(MOVIMIENTOS!$D$5:$D$1005="jabas")*(MOVIMIENTOS!$A$5:$A$1005&lt;&gt;"")*(MOVIMIENTOS!$A$5:$A$1005&lt;=$A443)*MOVIMIENTOS!$E$5:$E$1005)-SUMPRODUCT((MOVIMIENTOS!$B$5:$B$1005="VENTA")*(MOVIMIENTOS!$C$5:$C$1005="P")*(MOVIMIENTOS!$D$5:$D$1005="jabas")*(MOVIMIENTOS!$A$5:$A$1005&lt;&gt;"")*(MOVIMIENTOS!$A$5:$A$1005&lt;=$A443)*MOVIMIENTOS!$E$5:$E$1005)+SUMPRODUCT((MOVIMIENTOS!$B$5:$B$1005="AJUSTE")*(MOVIMIENTOS!$C$5:$C$1005="P")*(MOVIMIENTOS!$D$5:$D$1005="jabas")*(MOVIMIENTOS!$A$5:$A$1005&lt;&gt;"")*(MOVIMIENTOS!$A$5:$A$1005&lt;=$A443)*MOVIMIENTOS!$E$5:$E$1005))</f>
        <v/>
      </c>
      <c r="D443" t="str">
        <f>IF($A443="","",SUMPRODUCT((MOVIMIENTOS!$B$5:$B$1005="SALDO INICIAL")*(MOVIMIENTOS!$C$5:$C$1005="C")*(MOVIMIENTOS!$D$5:$D$1005="jabas")*(MOVIMIENTOS!$A$5:$A$1005&lt;&gt;"")*(MOVIMIENTOS!$A$5:$A$1005&lt;=$A443)*MOVIMIENTOS!$E$5:$E$1005)+SUMPRODUCT((MOVIMIENTOS!$B$5:$B$1005="PROCESO")*(MOVIMIENTOS!$C$5:$C$1005="C")*(MOVIMIENTOS!$D$5:$D$1005="jabas")*(MOVIMIENTOS!$A$5:$A$1005&lt;&gt;"")*(MOVIMIENTOS!$A$5:$A$1005&lt;=$A443)*MOVIMIENTOS!$E$5:$E$1005)-SUMPRODUCT((MOVIMIENTOS!$B$5:$B$1005="ENVÍO A SUPESA")*(MOVIMIENTOS!$C$5:$C$1005="C")*(MOVIMIENTOS!$D$5:$D$1005="jabas")*(MOVIMIENTOS!$A$5:$A$1005&lt;&gt;"")*(MOVIMIENTOS!$A$5:$A$1005&lt;=$A443)*MOVIMIENTOS!$E$5:$E$1005)+SUMPRODUCT((MOVIMIENTOS!$B$5:$B$1005="DEVOLUCIÓN")*(MOVIMIENTOS!$C$5:$C$1005="C")*(MOVIMIENTOS!$D$5:$D$1005="jabas")*(MOVIMIENTOS!$A$5:$A$1005&lt;&gt;"")*(MOVIMIENTOS!$A$5:$A$1005&lt;=$A443)*MOVIMIENTOS!$E$5:$E$1005)-SUMPRODUCT((MOVIMIENTOS!$B$5:$B$1005="TRASIEGO")*(MOVIMIENTOS!$C$5:$C$1005="C")*(MOVIMIENTOS!$D$5:$D$1005="jabas")*(MOVIMIENTOS!$A$5:$A$1005&lt;&gt;"")*(MOVIMIENTOS!$A$5:$A$1005&lt;=$A443)*MOVIMIENTOS!$E$5:$E$1005)-SUMPRODUCT((MOVIMIENTOS!$B$5:$B$1005="REGALO")*(MOVIMIENTOS!$C$5:$C$1005="C")*(MOVIMIENTOS!$D$5:$D$1005="jabas")*(MOVIMIENTOS!$A$5:$A$1005&lt;&gt;"")*(MOVIMIENTOS!$A$5:$A$1005&lt;=$A443)*MOVIMIENTOS!$E$5:$E$1005)-SUMPRODUCT((MOVIMIENTOS!$B$5:$B$1005="VENTA")*(MOVIMIENTOS!$C$5:$C$1005="C")*(MOVIMIENTOS!$D$5:$D$1005="jabas")*(MOVIMIENTOS!$A$5:$A$1005&lt;&gt;"")*(MOVIMIENTOS!$A$5:$A$1005&lt;=$A443)*MOVIMIENTOS!$E$5:$E$1005)+SUMPRODUCT((MOVIMIENTOS!$B$5:$B$1005="AJUSTE")*(MOVIMIENTOS!$C$5:$C$1005="C")*(MOVIMIENTOS!$D$5:$D$1005="jabas")*(MOVIMIENTOS!$A$5:$A$1005&lt;&gt;"")*(MOVIMIENTOS!$A$5:$A$1005&lt;=$A443)*MOVIMIENTOS!$E$5:$E$1005))</f>
        <v/>
      </c>
      <c r="E443" t="str">
        <f>IF($A443="","",SUMPRODUCT((MOVIMIENTOS!$B$5:$B$1005="SALDO INICIAL")*(MOVIMIENTOS!$C$5:$C$1005="M")*(MOVIMIENTOS!$D$5:$D$1005="jabas")*(MOVIMIENTOS!$A$5:$A$1005&lt;&gt;"")*(MOVIMIENTOS!$A$5:$A$1005&lt;=$A443)*MOVIMIENTOS!$E$5:$E$1005)+SUMPRODUCT((MOVIMIENTOS!$B$5:$B$1005="PROCESO")*(MOVIMIENTOS!$C$5:$C$1005="M")*(MOVIMIENTOS!$D$5:$D$1005="jabas")*(MOVIMIENTOS!$A$5:$A$1005&lt;&gt;"")*(MOVIMIENTOS!$A$5:$A$1005&lt;=$A443)*MOVIMIENTOS!$E$5:$E$1005)-SUMPRODUCT((MOVIMIENTOS!$B$5:$B$1005="ENVÍO A SUPESA")*(MOVIMIENTOS!$C$5:$C$1005="M")*(MOVIMIENTOS!$D$5:$D$1005="jabas")*(MOVIMIENTOS!$A$5:$A$1005&lt;&gt;"")*(MOVIMIENTOS!$A$5:$A$1005&lt;=$A443)*MOVIMIENTOS!$E$5:$E$1005)+SUMPRODUCT((MOVIMIENTOS!$B$5:$B$1005="DEVOLUCIÓN")*(MOVIMIENTOS!$C$5:$C$1005="M")*(MOVIMIENTOS!$D$5:$D$1005="jabas")*(MOVIMIENTOS!$A$5:$A$1005&lt;&gt;"")*(MOVIMIENTOS!$A$5:$A$1005&lt;=$A443)*MOVIMIENTOS!$E$5:$E$1005)-SUMPRODUCT((MOVIMIENTOS!$B$5:$B$1005="TRASIEGO")*(MOVIMIENTOS!$C$5:$C$1005="M")*(MOVIMIENTOS!$D$5:$D$1005="jabas")*(MOVIMIENTOS!$A$5:$A$1005&lt;&gt;"")*(MOVIMIENTOS!$A$5:$A$1005&lt;=$A443)*MOVIMIENTOS!$E$5:$E$1005)-SUMPRODUCT((MOVIMIENTOS!$B$5:$B$1005="REGALO")*(MOVIMIENTOS!$C$5:$C$1005="M")*(MOVIMIENTOS!$D$5:$D$1005="jabas")*(MOVIMIENTOS!$A$5:$A$1005&lt;&gt;"")*(MOVIMIENTOS!$A$5:$A$1005&lt;=$A443)*MOVIMIENTOS!$E$5:$E$1005)-SUMPRODUCT((MOVIMIENTOS!$B$5:$B$1005="VENTA")*(MOVIMIENTOS!$C$5:$C$1005="M")*(MOVIMIENTOS!$D$5:$D$1005="jabas")*(MOVIMIENTOS!$A$5:$A$1005&lt;&gt;"")*(MOVIMIENTOS!$A$5:$A$1005&lt;=$A443)*MOVIMIENTOS!$E$5:$E$1005)+SUMPRODUCT((MOVIMIENTOS!$B$5:$B$1005="AJUSTE")*(MOVIMIENTOS!$C$5:$C$1005="M")*(MOVIMIENTOS!$D$5:$D$1005="jabas")*(MOVIMIENTOS!$A$5:$A$1005&lt;&gt;"")*(MOVIMIENTOS!$A$5:$A$1005&lt;=$A443)*MOVIMIENTOS!$E$5:$E$1005))</f>
        <v/>
      </c>
      <c r="F443" s="62" t="str">
        <f>IF($A443="","",SUMPRODUCT((MOVIMIENTOS!$B$5:$B$1005="SALDO INICIAL")*(MOVIMIENTOS!$C$5:$C$1005="Chancho")*(MOVIMIENTOS!$D$5:$D$1005="sacos")*(MOVIMIENTOS!$A$5:$A$1005&lt;&gt;"")*(MOVIMIENTOS!$A$5:$A$1005&lt;=$A443)*MOVIMIENTOS!$E$5:$E$1005)+SUMPRODUCT((MOVIMIENTOS!$B$5:$B$1005="PROCESO")*(MOVIMIENTOS!$C$5:$C$1005="Chancho")*(MOVIMIENTOS!$D$5:$D$1005="sacos")*(MOVIMIENTOS!$A$5:$A$1005&lt;&gt;"")*(MOVIMIENTOS!$A$5:$A$1005&lt;=$A443)*MOVIMIENTOS!$E$5:$E$1005)-SUMPRODUCT((MOVIMIENTOS!$B$5:$B$1005="VENTA CHANCHO")*(MOVIMIENTOS!$C$5:$C$1005="Chancho")*(MOVIMIENTOS!$D$5:$D$1005="sacos")*(MOVIMIENTOS!$A$5:$A$1005&lt;&gt;"")*(MOVIMIENTOS!$A$5:$A$1005&lt;=$A443)*MOVIMIENTOS!$E$5:$E$1005)-SUMPRODUCT((MOVIMIENTOS!$B$5:$B$1005="REGALO")*(MOVIMIENTOS!$C$5:$C$1005="Chancho")*(MOVIMIENTOS!$D$5:$D$1005="sacos")*(MOVIMIENTOS!$A$5:$A$1005&lt;&gt;"")*(MOVIMIENTOS!$A$5:$A$1005&lt;=$A443)*MOVIMIENTOS!$E$5:$E$1005)-SUMPRODUCT((MOVIMIENTOS!$B$5:$B$1005="VENTA")*(MOVIMIENTOS!$C$5:$C$1005="Chancho")*(MOVIMIENTOS!$D$5:$D$1005="sacos")*(MOVIMIENTOS!$A$5:$A$1005&lt;&gt;"")*(MOVIMIENTOS!$A$5:$A$1005&lt;=$A443)*MOVIMIENTOS!$E$5:$E$1005)+SUMPRODUCT((MOVIMIENTOS!$B$5:$B$1005="AJUSTE")*(MOVIMIENTOS!$C$5:$C$1005="Chancho")*(MOVIMIENTOS!$D$5:$D$1005="sacos")*(MOVIMIENTOS!$A$5:$A$1005&lt;&gt;"")*(MOVIMIENTOS!$A$5:$A$1005&lt;=$A443)*MOVIMIENTOS!$E$5:$E$1005))</f>
        <v/>
      </c>
      <c r="G443" s="62" t="str">
        <f t="shared" si="13"/>
        <v/>
      </c>
      <c r="H443" t="str">
        <f>IF($A443="","",SUMPRODUCT((((MOVIMIENTOS!$B$5:$B$1005="SALDO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443)*MOVIMIENTOS!$J$5:$J$1005))</f>
        <v/>
      </c>
      <c r="J443" t="str">
        <f>IF(AND(MOVIMIENTOS!$A448&lt;&gt;"",COUNTIF(MOVIMIENTOS!$A$5:$A447,MOVIMIENTOS!$A448)=0),COUNT(J$4:J442)+1,"")</f>
        <v/>
      </c>
      <c r="K443" s="67">
        <f>MOVIMIENTOS!$A448</f>
        <v>46252</v>
      </c>
    </row>
    <row r="444" spans="1:11" ht="15" customHeight="1" x14ac:dyDescent="0.2">
      <c r="A444" t="str">
        <f t="shared" si="12"/>
        <v/>
      </c>
      <c r="B444" t="str">
        <f>IF($A444="","",SUMPRODUCT((MOVIMIENTOS!$B$5:$B$1005="SALDO INICIAL")*(MOVIMIENTOS!$C$5:$C$1005="A")*(MOVIMIENTOS!$D$5:$D$1005="jabas")*(MOVIMIENTOS!$A$5:$A$1005&lt;&gt;"")*(MOVIMIENTOS!$A$5:$A$1005&lt;=$A444)*MOVIMIENTOS!$E$5:$E$1005)+SUMPRODUCT((MOVIMIENTOS!$B$5:$B$1005="PROCESO")*(MOVIMIENTOS!$C$5:$C$1005="A")*(MOVIMIENTOS!$D$5:$D$1005="jabas")*(MOVIMIENTOS!$A$5:$A$1005&lt;&gt;"")*(MOVIMIENTOS!$A$5:$A$1005&lt;=$A444)*MOVIMIENTOS!$E$5:$E$1005)-SUMPRODUCT((MOVIMIENTOS!$B$5:$B$1005="ENVÍO A SUPESA")*(MOVIMIENTOS!$C$5:$C$1005="A")*(MOVIMIENTOS!$D$5:$D$1005="jabas")*(MOVIMIENTOS!$A$5:$A$1005&lt;&gt;"")*(MOVIMIENTOS!$A$5:$A$1005&lt;=$A444)*MOVIMIENTOS!$E$5:$E$1005)+SUMPRODUCT((MOVIMIENTOS!$B$5:$B$1005="DEVOLUCIÓN")*(MOVIMIENTOS!$C$5:$C$1005="A")*(MOVIMIENTOS!$D$5:$D$1005="jabas")*(MOVIMIENTOS!$A$5:$A$1005&lt;&gt;"")*(MOVIMIENTOS!$A$5:$A$1005&lt;=$A444)*MOVIMIENTOS!$E$5:$E$1005)-SUMPRODUCT((MOVIMIENTOS!$B$5:$B$1005="TRASIEGO")*(MOVIMIENTOS!$C$5:$C$1005="A")*(MOVIMIENTOS!$D$5:$D$1005="jabas")*(MOVIMIENTOS!$A$5:$A$1005&lt;&gt;"")*(MOVIMIENTOS!$A$5:$A$1005&lt;=$A444)*MOVIMIENTOS!$E$5:$E$1005)-SUMPRODUCT((MOVIMIENTOS!$B$5:$B$1005="REGALO")*(MOVIMIENTOS!$C$5:$C$1005="A")*(MOVIMIENTOS!$D$5:$D$1005="jabas")*(MOVIMIENTOS!$A$5:$A$1005&lt;&gt;"")*(MOVIMIENTOS!$A$5:$A$1005&lt;=$A444)*MOVIMIENTOS!$E$5:$E$1005)-SUMPRODUCT((MOVIMIENTOS!$B$5:$B$1005="VENTA")*(MOVIMIENTOS!$C$5:$C$1005="A")*(MOVIMIENTOS!$D$5:$D$1005="jabas")*(MOVIMIENTOS!$A$5:$A$1005&lt;&gt;"")*(MOVIMIENTOS!$A$5:$A$1005&lt;=$A444)*MOVIMIENTOS!$E$5:$E$1005)+SUMPRODUCT((MOVIMIENTOS!$B$5:$B$1005="AJUSTE")*(MOVIMIENTOS!$C$5:$C$1005="A")*(MOVIMIENTOS!$D$5:$D$1005="jabas")*(MOVIMIENTOS!$A$5:$A$1005&lt;&gt;"")*(MOVIMIENTOS!$A$5:$A$1005&lt;=$A444)*MOVIMIENTOS!$E$5:$E$1005))</f>
        <v/>
      </c>
      <c r="C444" t="str">
        <f>IF($A444="","",SUMPRODUCT((MOVIMIENTOS!$B$5:$B$1005="SALDO INICIAL")*(MOVIMIENTOS!$C$5:$C$1005="P")*(MOVIMIENTOS!$D$5:$D$1005="jabas")*(MOVIMIENTOS!$A$5:$A$1005&lt;&gt;"")*(MOVIMIENTOS!$A$5:$A$1005&lt;=$A444)*MOVIMIENTOS!$E$5:$E$1005)+SUMPRODUCT((MOVIMIENTOS!$B$5:$B$1005="PROCESO")*(MOVIMIENTOS!$C$5:$C$1005="P")*(MOVIMIENTOS!$D$5:$D$1005="jabas")*(MOVIMIENTOS!$A$5:$A$1005&lt;&gt;"")*(MOVIMIENTOS!$A$5:$A$1005&lt;=$A444)*MOVIMIENTOS!$E$5:$E$1005)-SUMPRODUCT((MOVIMIENTOS!$B$5:$B$1005="ENVÍO A SUPESA")*(MOVIMIENTOS!$C$5:$C$1005="P")*(MOVIMIENTOS!$D$5:$D$1005="jabas")*(MOVIMIENTOS!$A$5:$A$1005&lt;&gt;"")*(MOVIMIENTOS!$A$5:$A$1005&lt;=$A444)*MOVIMIENTOS!$E$5:$E$1005)+SUMPRODUCT((MOVIMIENTOS!$B$5:$B$1005="DEVOLUCIÓN")*(MOVIMIENTOS!$C$5:$C$1005="P")*(MOVIMIENTOS!$D$5:$D$1005="jabas")*(MOVIMIENTOS!$A$5:$A$1005&lt;&gt;"")*(MOVIMIENTOS!$A$5:$A$1005&lt;=$A444)*MOVIMIENTOS!$E$5:$E$1005)-SUMPRODUCT((MOVIMIENTOS!$B$5:$B$1005="TRASIEGO")*(MOVIMIENTOS!$C$5:$C$1005="P")*(MOVIMIENTOS!$D$5:$D$1005="jabas")*(MOVIMIENTOS!$A$5:$A$1005&lt;&gt;"")*(MOVIMIENTOS!$A$5:$A$1005&lt;=$A444)*MOVIMIENTOS!$E$5:$E$1005)-SUMPRODUCT((MOVIMIENTOS!$B$5:$B$1005="REGALO")*(MOVIMIENTOS!$C$5:$C$1005="P")*(MOVIMIENTOS!$D$5:$D$1005="jabas")*(MOVIMIENTOS!$A$5:$A$1005&lt;&gt;"")*(MOVIMIENTOS!$A$5:$A$1005&lt;=$A444)*MOVIMIENTOS!$E$5:$E$1005)-SUMPRODUCT((MOVIMIENTOS!$B$5:$B$1005="VENTA")*(MOVIMIENTOS!$C$5:$C$1005="P")*(MOVIMIENTOS!$D$5:$D$1005="jabas")*(MOVIMIENTOS!$A$5:$A$1005&lt;&gt;"")*(MOVIMIENTOS!$A$5:$A$1005&lt;=$A444)*MOVIMIENTOS!$E$5:$E$1005)+SUMPRODUCT((MOVIMIENTOS!$B$5:$B$1005="AJUSTE")*(MOVIMIENTOS!$C$5:$C$1005="P")*(MOVIMIENTOS!$D$5:$D$1005="jabas")*(MOVIMIENTOS!$A$5:$A$1005&lt;&gt;"")*(MOVIMIENTOS!$A$5:$A$1005&lt;=$A444)*MOVIMIENTOS!$E$5:$E$1005))</f>
        <v/>
      </c>
      <c r="D444" t="str">
        <f>IF($A444="","",SUMPRODUCT((MOVIMIENTOS!$B$5:$B$1005="SALDO INICIAL")*(MOVIMIENTOS!$C$5:$C$1005="C")*(MOVIMIENTOS!$D$5:$D$1005="jabas")*(MOVIMIENTOS!$A$5:$A$1005&lt;&gt;"")*(MOVIMIENTOS!$A$5:$A$1005&lt;=$A444)*MOVIMIENTOS!$E$5:$E$1005)+SUMPRODUCT((MOVIMIENTOS!$B$5:$B$1005="PROCESO")*(MOVIMIENTOS!$C$5:$C$1005="C")*(MOVIMIENTOS!$D$5:$D$1005="jabas")*(MOVIMIENTOS!$A$5:$A$1005&lt;&gt;"")*(MOVIMIENTOS!$A$5:$A$1005&lt;=$A444)*MOVIMIENTOS!$E$5:$E$1005)-SUMPRODUCT((MOVIMIENTOS!$B$5:$B$1005="ENVÍO A SUPESA")*(MOVIMIENTOS!$C$5:$C$1005="C")*(MOVIMIENTOS!$D$5:$D$1005="jabas")*(MOVIMIENTOS!$A$5:$A$1005&lt;&gt;"")*(MOVIMIENTOS!$A$5:$A$1005&lt;=$A444)*MOVIMIENTOS!$E$5:$E$1005)+SUMPRODUCT((MOVIMIENTOS!$B$5:$B$1005="DEVOLUCIÓN")*(MOVIMIENTOS!$C$5:$C$1005="C")*(MOVIMIENTOS!$D$5:$D$1005="jabas")*(MOVIMIENTOS!$A$5:$A$1005&lt;&gt;"")*(MOVIMIENTOS!$A$5:$A$1005&lt;=$A444)*MOVIMIENTOS!$E$5:$E$1005)-SUMPRODUCT((MOVIMIENTOS!$B$5:$B$1005="TRASIEGO")*(MOVIMIENTOS!$C$5:$C$1005="C")*(MOVIMIENTOS!$D$5:$D$1005="jabas")*(MOVIMIENTOS!$A$5:$A$1005&lt;&gt;"")*(MOVIMIENTOS!$A$5:$A$1005&lt;=$A444)*MOVIMIENTOS!$E$5:$E$1005)-SUMPRODUCT((MOVIMIENTOS!$B$5:$B$1005="REGALO")*(MOVIMIENTOS!$C$5:$C$1005="C")*(MOVIMIENTOS!$D$5:$D$1005="jabas")*(MOVIMIENTOS!$A$5:$A$1005&lt;&gt;"")*(MOVIMIENTOS!$A$5:$A$1005&lt;=$A444)*MOVIMIENTOS!$E$5:$E$1005)-SUMPRODUCT((MOVIMIENTOS!$B$5:$B$1005="VENTA")*(MOVIMIENTOS!$C$5:$C$1005="C")*(MOVIMIENTOS!$D$5:$D$1005="jabas")*(MOVIMIENTOS!$A$5:$A$1005&lt;&gt;"")*(MOVIMIENTOS!$A$5:$A$1005&lt;=$A444)*MOVIMIENTOS!$E$5:$E$1005)+SUMPRODUCT((MOVIMIENTOS!$B$5:$B$1005="AJUSTE")*(MOVIMIENTOS!$C$5:$C$1005="C")*(MOVIMIENTOS!$D$5:$D$1005="jabas")*(MOVIMIENTOS!$A$5:$A$1005&lt;&gt;"")*(MOVIMIENTOS!$A$5:$A$1005&lt;=$A444)*MOVIMIENTOS!$E$5:$E$1005))</f>
        <v/>
      </c>
      <c r="E444" t="str">
        <f>IF($A444="","",SUMPRODUCT((MOVIMIENTOS!$B$5:$B$1005="SALDO INICIAL")*(MOVIMIENTOS!$C$5:$C$1005="M")*(MOVIMIENTOS!$D$5:$D$1005="jabas")*(MOVIMIENTOS!$A$5:$A$1005&lt;&gt;"")*(MOVIMIENTOS!$A$5:$A$1005&lt;=$A444)*MOVIMIENTOS!$E$5:$E$1005)+SUMPRODUCT((MOVIMIENTOS!$B$5:$B$1005="PROCESO")*(MOVIMIENTOS!$C$5:$C$1005="M")*(MOVIMIENTOS!$D$5:$D$1005="jabas")*(MOVIMIENTOS!$A$5:$A$1005&lt;&gt;"")*(MOVIMIENTOS!$A$5:$A$1005&lt;=$A444)*MOVIMIENTOS!$E$5:$E$1005)-SUMPRODUCT((MOVIMIENTOS!$B$5:$B$1005="ENVÍO A SUPESA")*(MOVIMIENTOS!$C$5:$C$1005="M")*(MOVIMIENTOS!$D$5:$D$1005="jabas")*(MOVIMIENTOS!$A$5:$A$1005&lt;&gt;"")*(MOVIMIENTOS!$A$5:$A$1005&lt;=$A444)*MOVIMIENTOS!$E$5:$E$1005)+SUMPRODUCT((MOVIMIENTOS!$B$5:$B$1005="DEVOLUCIÓN")*(MOVIMIENTOS!$C$5:$C$1005="M")*(MOVIMIENTOS!$D$5:$D$1005="jabas")*(MOVIMIENTOS!$A$5:$A$1005&lt;&gt;"")*(MOVIMIENTOS!$A$5:$A$1005&lt;=$A444)*MOVIMIENTOS!$E$5:$E$1005)-SUMPRODUCT((MOVIMIENTOS!$B$5:$B$1005="TRASIEGO")*(MOVIMIENTOS!$C$5:$C$1005="M")*(MOVIMIENTOS!$D$5:$D$1005="jabas")*(MOVIMIENTOS!$A$5:$A$1005&lt;&gt;"")*(MOVIMIENTOS!$A$5:$A$1005&lt;=$A444)*MOVIMIENTOS!$E$5:$E$1005)-SUMPRODUCT((MOVIMIENTOS!$B$5:$B$1005="REGALO")*(MOVIMIENTOS!$C$5:$C$1005="M")*(MOVIMIENTOS!$D$5:$D$1005="jabas")*(MOVIMIENTOS!$A$5:$A$1005&lt;&gt;"")*(MOVIMIENTOS!$A$5:$A$1005&lt;=$A444)*MOVIMIENTOS!$E$5:$E$1005)-SUMPRODUCT((MOVIMIENTOS!$B$5:$B$1005="VENTA")*(MOVIMIENTOS!$C$5:$C$1005="M")*(MOVIMIENTOS!$D$5:$D$1005="jabas")*(MOVIMIENTOS!$A$5:$A$1005&lt;&gt;"")*(MOVIMIENTOS!$A$5:$A$1005&lt;=$A444)*MOVIMIENTOS!$E$5:$E$1005)+SUMPRODUCT((MOVIMIENTOS!$B$5:$B$1005="AJUSTE")*(MOVIMIENTOS!$C$5:$C$1005="M")*(MOVIMIENTOS!$D$5:$D$1005="jabas")*(MOVIMIENTOS!$A$5:$A$1005&lt;&gt;"")*(MOVIMIENTOS!$A$5:$A$1005&lt;=$A444)*MOVIMIENTOS!$E$5:$E$1005))</f>
        <v/>
      </c>
      <c r="F444" s="62" t="str">
        <f>IF($A444="","",SUMPRODUCT((MOVIMIENTOS!$B$5:$B$1005="SALDO INICIAL")*(MOVIMIENTOS!$C$5:$C$1005="Chancho")*(MOVIMIENTOS!$D$5:$D$1005="sacos")*(MOVIMIENTOS!$A$5:$A$1005&lt;&gt;"")*(MOVIMIENTOS!$A$5:$A$1005&lt;=$A444)*MOVIMIENTOS!$E$5:$E$1005)+SUMPRODUCT((MOVIMIENTOS!$B$5:$B$1005="PROCESO")*(MOVIMIENTOS!$C$5:$C$1005="Chancho")*(MOVIMIENTOS!$D$5:$D$1005="sacos")*(MOVIMIENTOS!$A$5:$A$1005&lt;&gt;"")*(MOVIMIENTOS!$A$5:$A$1005&lt;=$A444)*MOVIMIENTOS!$E$5:$E$1005)-SUMPRODUCT((MOVIMIENTOS!$B$5:$B$1005="VENTA CHANCHO")*(MOVIMIENTOS!$C$5:$C$1005="Chancho")*(MOVIMIENTOS!$D$5:$D$1005="sacos")*(MOVIMIENTOS!$A$5:$A$1005&lt;&gt;"")*(MOVIMIENTOS!$A$5:$A$1005&lt;=$A444)*MOVIMIENTOS!$E$5:$E$1005)-SUMPRODUCT((MOVIMIENTOS!$B$5:$B$1005="REGALO")*(MOVIMIENTOS!$C$5:$C$1005="Chancho")*(MOVIMIENTOS!$D$5:$D$1005="sacos")*(MOVIMIENTOS!$A$5:$A$1005&lt;&gt;"")*(MOVIMIENTOS!$A$5:$A$1005&lt;=$A444)*MOVIMIENTOS!$E$5:$E$1005)-SUMPRODUCT((MOVIMIENTOS!$B$5:$B$1005="VENTA")*(MOVIMIENTOS!$C$5:$C$1005="Chancho")*(MOVIMIENTOS!$D$5:$D$1005="sacos")*(MOVIMIENTOS!$A$5:$A$1005&lt;&gt;"")*(MOVIMIENTOS!$A$5:$A$1005&lt;=$A444)*MOVIMIENTOS!$E$5:$E$1005)+SUMPRODUCT((MOVIMIENTOS!$B$5:$B$1005="AJUSTE")*(MOVIMIENTOS!$C$5:$C$1005="Chancho")*(MOVIMIENTOS!$D$5:$D$1005="sacos")*(MOVIMIENTOS!$A$5:$A$1005&lt;&gt;"")*(MOVIMIENTOS!$A$5:$A$1005&lt;=$A444)*MOVIMIENTOS!$E$5:$E$1005))</f>
        <v/>
      </c>
      <c r="G444" s="62" t="str">
        <f t="shared" si="13"/>
        <v/>
      </c>
      <c r="H444" t="str">
        <f>IF($A444="","",SUMPRODUCT((((MOVIMIENTOS!$B$5:$B$1005="SALDO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444)*MOVIMIENTOS!$J$5:$J$1005))</f>
        <v/>
      </c>
      <c r="J444" t="str">
        <f>IF(AND(MOVIMIENTOS!$A449&lt;&gt;"",COUNTIF(MOVIMIENTOS!$A$5:$A448,MOVIMIENTOS!$A449)=0),COUNT(J$4:J443)+1,"")</f>
        <v/>
      </c>
      <c r="K444" s="67">
        <f>MOVIMIENTOS!$A449</f>
        <v>46252</v>
      </c>
    </row>
    <row r="445" spans="1:11" ht="15" customHeight="1" x14ac:dyDescent="0.2">
      <c r="A445" t="str">
        <f t="shared" si="12"/>
        <v/>
      </c>
      <c r="B445" t="str">
        <f>IF($A445="","",SUMPRODUCT((MOVIMIENTOS!$B$5:$B$1005="SALDO INICIAL")*(MOVIMIENTOS!$C$5:$C$1005="A")*(MOVIMIENTOS!$D$5:$D$1005="jabas")*(MOVIMIENTOS!$A$5:$A$1005&lt;&gt;"")*(MOVIMIENTOS!$A$5:$A$1005&lt;=$A445)*MOVIMIENTOS!$E$5:$E$1005)+SUMPRODUCT((MOVIMIENTOS!$B$5:$B$1005="PROCESO")*(MOVIMIENTOS!$C$5:$C$1005="A")*(MOVIMIENTOS!$D$5:$D$1005="jabas")*(MOVIMIENTOS!$A$5:$A$1005&lt;&gt;"")*(MOVIMIENTOS!$A$5:$A$1005&lt;=$A445)*MOVIMIENTOS!$E$5:$E$1005)-SUMPRODUCT((MOVIMIENTOS!$B$5:$B$1005="ENVÍO A SUPESA")*(MOVIMIENTOS!$C$5:$C$1005="A")*(MOVIMIENTOS!$D$5:$D$1005="jabas")*(MOVIMIENTOS!$A$5:$A$1005&lt;&gt;"")*(MOVIMIENTOS!$A$5:$A$1005&lt;=$A445)*MOVIMIENTOS!$E$5:$E$1005)+SUMPRODUCT((MOVIMIENTOS!$B$5:$B$1005="DEVOLUCIÓN")*(MOVIMIENTOS!$C$5:$C$1005="A")*(MOVIMIENTOS!$D$5:$D$1005="jabas")*(MOVIMIENTOS!$A$5:$A$1005&lt;&gt;"")*(MOVIMIENTOS!$A$5:$A$1005&lt;=$A445)*MOVIMIENTOS!$E$5:$E$1005)-SUMPRODUCT((MOVIMIENTOS!$B$5:$B$1005="TRASIEGO")*(MOVIMIENTOS!$C$5:$C$1005="A")*(MOVIMIENTOS!$D$5:$D$1005="jabas")*(MOVIMIENTOS!$A$5:$A$1005&lt;&gt;"")*(MOVIMIENTOS!$A$5:$A$1005&lt;=$A445)*MOVIMIENTOS!$E$5:$E$1005)-SUMPRODUCT((MOVIMIENTOS!$B$5:$B$1005="REGALO")*(MOVIMIENTOS!$C$5:$C$1005="A")*(MOVIMIENTOS!$D$5:$D$1005="jabas")*(MOVIMIENTOS!$A$5:$A$1005&lt;&gt;"")*(MOVIMIENTOS!$A$5:$A$1005&lt;=$A445)*MOVIMIENTOS!$E$5:$E$1005)-SUMPRODUCT((MOVIMIENTOS!$B$5:$B$1005="VENTA")*(MOVIMIENTOS!$C$5:$C$1005="A")*(MOVIMIENTOS!$D$5:$D$1005="jabas")*(MOVIMIENTOS!$A$5:$A$1005&lt;&gt;"")*(MOVIMIENTOS!$A$5:$A$1005&lt;=$A445)*MOVIMIENTOS!$E$5:$E$1005)+SUMPRODUCT((MOVIMIENTOS!$B$5:$B$1005="AJUSTE")*(MOVIMIENTOS!$C$5:$C$1005="A")*(MOVIMIENTOS!$D$5:$D$1005="jabas")*(MOVIMIENTOS!$A$5:$A$1005&lt;&gt;"")*(MOVIMIENTOS!$A$5:$A$1005&lt;=$A445)*MOVIMIENTOS!$E$5:$E$1005))</f>
        <v/>
      </c>
      <c r="C445" t="str">
        <f>IF($A445="","",SUMPRODUCT((MOVIMIENTOS!$B$5:$B$1005="SALDO INICIAL")*(MOVIMIENTOS!$C$5:$C$1005="P")*(MOVIMIENTOS!$D$5:$D$1005="jabas")*(MOVIMIENTOS!$A$5:$A$1005&lt;&gt;"")*(MOVIMIENTOS!$A$5:$A$1005&lt;=$A445)*MOVIMIENTOS!$E$5:$E$1005)+SUMPRODUCT((MOVIMIENTOS!$B$5:$B$1005="PROCESO")*(MOVIMIENTOS!$C$5:$C$1005="P")*(MOVIMIENTOS!$D$5:$D$1005="jabas")*(MOVIMIENTOS!$A$5:$A$1005&lt;&gt;"")*(MOVIMIENTOS!$A$5:$A$1005&lt;=$A445)*MOVIMIENTOS!$E$5:$E$1005)-SUMPRODUCT((MOVIMIENTOS!$B$5:$B$1005="ENVÍO A SUPESA")*(MOVIMIENTOS!$C$5:$C$1005="P")*(MOVIMIENTOS!$D$5:$D$1005="jabas")*(MOVIMIENTOS!$A$5:$A$1005&lt;&gt;"")*(MOVIMIENTOS!$A$5:$A$1005&lt;=$A445)*MOVIMIENTOS!$E$5:$E$1005)+SUMPRODUCT((MOVIMIENTOS!$B$5:$B$1005="DEVOLUCIÓN")*(MOVIMIENTOS!$C$5:$C$1005="P")*(MOVIMIENTOS!$D$5:$D$1005="jabas")*(MOVIMIENTOS!$A$5:$A$1005&lt;&gt;"")*(MOVIMIENTOS!$A$5:$A$1005&lt;=$A445)*MOVIMIENTOS!$E$5:$E$1005)-SUMPRODUCT((MOVIMIENTOS!$B$5:$B$1005="TRASIEGO")*(MOVIMIENTOS!$C$5:$C$1005="P")*(MOVIMIENTOS!$D$5:$D$1005="jabas")*(MOVIMIENTOS!$A$5:$A$1005&lt;&gt;"")*(MOVIMIENTOS!$A$5:$A$1005&lt;=$A445)*MOVIMIENTOS!$E$5:$E$1005)-SUMPRODUCT((MOVIMIENTOS!$B$5:$B$1005="REGALO")*(MOVIMIENTOS!$C$5:$C$1005="P")*(MOVIMIENTOS!$D$5:$D$1005="jabas")*(MOVIMIENTOS!$A$5:$A$1005&lt;&gt;"")*(MOVIMIENTOS!$A$5:$A$1005&lt;=$A445)*MOVIMIENTOS!$E$5:$E$1005)-SUMPRODUCT((MOVIMIENTOS!$B$5:$B$1005="VENTA")*(MOVIMIENTOS!$C$5:$C$1005="P")*(MOVIMIENTOS!$D$5:$D$1005="jabas")*(MOVIMIENTOS!$A$5:$A$1005&lt;&gt;"")*(MOVIMIENTOS!$A$5:$A$1005&lt;=$A445)*MOVIMIENTOS!$E$5:$E$1005)+SUMPRODUCT((MOVIMIENTOS!$B$5:$B$1005="AJUSTE")*(MOVIMIENTOS!$C$5:$C$1005="P")*(MOVIMIENTOS!$D$5:$D$1005="jabas")*(MOVIMIENTOS!$A$5:$A$1005&lt;&gt;"")*(MOVIMIENTOS!$A$5:$A$1005&lt;=$A445)*MOVIMIENTOS!$E$5:$E$1005))</f>
        <v/>
      </c>
      <c r="D445" t="str">
        <f>IF($A445="","",SUMPRODUCT((MOVIMIENTOS!$B$5:$B$1005="SALDO INICIAL")*(MOVIMIENTOS!$C$5:$C$1005="C")*(MOVIMIENTOS!$D$5:$D$1005="jabas")*(MOVIMIENTOS!$A$5:$A$1005&lt;&gt;"")*(MOVIMIENTOS!$A$5:$A$1005&lt;=$A445)*MOVIMIENTOS!$E$5:$E$1005)+SUMPRODUCT((MOVIMIENTOS!$B$5:$B$1005="PROCESO")*(MOVIMIENTOS!$C$5:$C$1005="C")*(MOVIMIENTOS!$D$5:$D$1005="jabas")*(MOVIMIENTOS!$A$5:$A$1005&lt;&gt;"")*(MOVIMIENTOS!$A$5:$A$1005&lt;=$A445)*MOVIMIENTOS!$E$5:$E$1005)-SUMPRODUCT((MOVIMIENTOS!$B$5:$B$1005="ENVÍO A SUPESA")*(MOVIMIENTOS!$C$5:$C$1005="C")*(MOVIMIENTOS!$D$5:$D$1005="jabas")*(MOVIMIENTOS!$A$5:$A$1005&lt;&gt;"")*(MOVIMIENTOS!$A$5:$A$1005&lt;=$A445)*MOVIMIENTOS!$E$5:$E$1005)+SUMPRODUCT((MOVIMIENTOS!$B$5:$B$1005="DEVOLUCIÓN")*(MOVIMIENTOS!$C$5:$C$1005="C")*(MOVIMIENTOS!$D$5:$D$1005="jabas")*(MOVIMIENTOS!$A$5:$A$1005&lt;&gt;"")*(MOVIMIENTOS!$A$5:$A$1005&lt;=$A445)*MOVIMIENTOS!$E$5:$E$1005)-SUMPRODUCT((MOVIMIENTOS!$B$5:$B$1005="TRASIEGO")*(MOVIMIENTOS!$C$5:$C$1005="C")*(MOVIMIENTOS!$D$5:$D$1005="jabas")*(MOVIMIENTOS!$A$5:$A$1005&lt;&gt;"")*(MOVIMIENTOS!$A$5:$A$1005&lt;=$A445)*MOVIMIENTOS!$E$5:$E$1005)-SUMPRODUCT((MOVIMIENTOS!$B$5:$B$1005="REGALO")*(MOVIMIENTOS!$C$5:$C$1005="C")*(MOVIMIENTOS!$D$5:$D$1005="jabas")*(MOVIMIENTOS!$A$5:$A$1005&lt;&gt;"")*(MOVIMIENTOS!$A$5:$A$1005&lt;=$A445)*MOVIMIENTOS!$E$5:$E$1005)-SUMPRODUCT((MOVIMIENTOS!$B$5:$B$1005="VENTA")*(MOVIMIENTOS!$C$5:$C$1005="C")*(MOVIMIENTOS!$D$5:$D$1005="jabas")*(MOVIMIENTOS!$A$5:$A$1005&lt;&gt;"")*(MOVIMIENTOS!$A$5:$A$1005&lt;=$A445)*MOVIMIENTOS!$E$5:$E$1005)+SUMPRODUCT((MOVIMIENTOS!$B$5:$B$1005="AJUSTE")*(MOVIMIENTOS!$C$5:$C$1005="C")*(MOVIMIENTOS!$D$5:$D$1005="jabas")*(MOVIMIENTOS!$A$5:$A$1005&lt;&gt;"")*(MOVIMIENTOS!$A$5:$A$1005&lt;=$A445)*MOVIMIENTOS!$E$5:$E$1005))</f>
        <v/>
      </c>
      <c r="E445" t="str">
        <f>IF($A445="","",SUMPRODUCT((MOVIMIENTOS!$B$5:$B$1005="SALDO INICIAL")*(MOVIMIENTOS!$C$5:$C$1005="M")*(MOVIMIENTOS!$D$5:$D$1005="jabas")*(MOVIMIENTOS!$A$5:$A$1005&lt;&gt;"")*(MOVIMIENTOS!$A$5:$A$1005&lt;=$A445)*MOVIMIENTOS!$E$5:$E$1005)+SUMPRODUCT((MOVIMIENTOS!$B$5:$B$1005="PROCESO")*(MOVIMIENTOS!$C$5:$C$1005="M")*(MOVIMIENTOS!$D$5:$D$1005="jabas")*(MOVIMIENTOS!$A$5:$A$1005&lt;&gt;"")*(MOVIMIENTOS!$A$5:$A$1005&lt;=$A445)*MOVIMIENTOS!$E$5:$E$1005)-SUMPRODUCT((MOVIMIENTOS!$B$5:$B$1005="ENVÍO A SUPESA")*(MOVIMIENTOS!$C$5:$C$1005="M")*(MOVIMIENTOS!$D$5:$D$1005="jabas")*(MOVIMIENTOS!$A$5:$A$1005&lt;&gt;"")*(MOVIMIENTOS!$A$5:$A$1005&lt;=$A445)*MOVIMIENTOS!$E$5:$E$1005)+SUMPRODUCT((MOVIMIENTOS!$B$5:$B$1005="DEVOLUCIÓN")*(MOVIMIENTOS!$C$5:$C$1005="M")*(MOVIMIENTOS!$D$5:$D$1005="jabas")*(MOVIMIENTOS!$A$5:$A$1005&lt;&gt;"")*(MOVIMIENTOS!$A$5:$A$1005&lt;=$A445)*MOVIMIENTOS!$E$5:$E$1005)-SUMPRODUCT((MOVIMIENTOS!$B$5:$B$1005="TRASIEGO")*(MOVIMIENTOS!$C$5:$C$1005="M")*(MOVIMIENTOS!$D$5:$D$1005="jabas")*(MOVIMIENTOS!$A$5:$A$1005&lt;&gt;"")*(MOVIMIENTOS!$A$5:$A$1005&lt;=$A445)*MOVIMIENTOS!$E$5:$E$1005)-SUMPRODUCT((MOVIMIENTOS!$B$5:$B$1005="REGALO")*(MOVIMIENTOS!$C$5:$C$1005="M")*(MOVIMIENTOS!$D$5:$D$1005="jabas")*(MOVIMIENTOS!$A$5:$A$1005&lt;&gt;"")*(MOVIMIENTOS!$A$5:$A$1005&lt;=$A445)*MOVIMIENTOS!$E$5:$E$1005)-SUMPRODUCT((MOVIMIENTOS!$B$5:$B$1005="VENTA")*(MOVIMIENTOS!$C$5:$C$1005="M")*(MOVIMIENTOS!$D$5:$D$1005="jabas")*(MOVIMIENTOS!$A$5:$A$1005&lt;&gt;"")*(MOVIMIENTOS!$A$5:$A$1005&lt;=$A445)*MOVIMIENTOS!$E$5:$E$1005)+SUMPRODUCT((MOVIMIENTOS!$B$5:$B$1005="AJUSTE")*(MOVIMIENTOS!$C$5:$C$1005="M")*(MOVIMIENTOS!$D$5:$D$1005="jabas")*(MOVIMIENTOS!$A$5:$A$1005&lt;&gt;"")*(MOVIMIENTOS!$A$5:$A$1005&lt;=$A445)*MOVIMIENTOS!$E$5:$E$1005))</f>
        <v/>
      </c>
      <c r="F445" s="62" t="str">
        <f>IF($A445="","",SUMPRODUCT((MOVIMIENTOS!$B$5:$B$1005="SALDO INICIAL")*(MOVIMIENTOS!$C$5:$C$1005="Chancho")*(MOVIMIENTOS!$D$5:$D$1005="sacos")*(MOVIMIENTOS!$A$5:$A$1005&lt;&gt;"")*(MOVIMIENTOS!$A$5:$A$1005&lt;=$A445)*MOVIMIENTOS!$E$5:$E$1005)+SUMPRODUCT((MOVIMIENTOS!$B$5:$B$1005="PROCESO")*(MOVIMIENTOS!$C$5:$C$1005="Chancho")*(MOVIMIENTOS!$D$5:$D$1005="sacos")*(MOVIMIENTOS!$A$5:$A$1005&lt;&gt;"")*(MOVIMIENTOS!$A$5:$A$1005&lt;=$A445)*MOVIMIENTOS!$E$5:$E$1005)-SUMPRODUCT((MOVIMIENTOS!$B$5:$B$1005="VENTA CHANCHO")*(MOVIMIENTOS!$C$5:$C$1005="Chancho")*(MOVIMIENTOS!$D$5:$D$1005="sacos")*(MOVIMIENTOS!$A$5:$A$1005&lt;&gt;"")*(MOVIMIENTOS!$A$5:$A$1005&lt;=$A445)*MOVIMIENTOS!$E$5:$E$1005)-SUMPRODUCT((MOVIMIENTOS!$B$5:$B$1005="REGALO")*(MOVIMIENTOS!$C$5:$C$1005="Chancho")*(MOVIMIENTOS!$D$5:$D$1005="sacos")*(MOVIMIENTOS!$A$5:$A$1005&lt;&gt;"")*(MOVIMIENTOS!$A$5:$A$1005&lt;=$A445)*MOVIMIENTOS!$E$5:$E$1005)-SUMPRODUCT((MOVIMIENTOS!$B$5:$B$1005="VENTA")*(MOVIMIENTOS!$C$5:$C$1005="Chancho")*(MOVIMIENTOS!$D$5:$D$1005="sacos")*(MOVIMIENTOS!$A$5:$A$1005&lt;&gt;"")*(MOVIMIENTOS!$A$5:$A$1005&lt;=$A445)*MOVIMIENTOS!$E$5:$E$1005)+SUMPRODUCT((MOVIMIENTOS!$B$5:$B$1005="AJUSTE")*(MOVIMIENTOS!$C$5:$C$1005="Chancho")*(MOVIMIENTOS!$D$5:$D$1005="sacos")*(MOVIMIENTOS!$A$5:$A$1005&lt;&gt;"")*(MOVIMIENTOS!$A$5:$A$1005&lt;=$A445)*MOVIMIENTOS!$E$5:$E$1005))</f>
        <v/>
      </c>
      <c r="G445" s="62" t="str">
        <f t="shared" si="13"/>
        <v/>
      </c>
      <c r="H445" t="str">
        <f>IF($A445="","",SUMPRODUCT((((MOVIMIENTOS!$B$5:$B$1005="SALDO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445)*MOVIMIENTOS!$J$5:$J$1005))</f>
        <v/>
      </c>
      <c r="J445" t="str">
        <f>IF(AND(MOVIMIENTOS!$A450&lt;&gt;"",COUNTIF(MOVIMIENTOS!$A$5:$A449,MOVIMIENTOS!$A450)=0),COUNT(J$4:J444)+1,"")</f>
        <v/>
      </c>
      <c r="K445" s="67">
        <f>MOVIMIENTOS!$A450</f>
        <v>46252</v>
      </c>
    </row>
    <row r="446" spans="1:11" ht="15" customHeight="1" x14ac:dyDescent="0.2">
      <c r="A446" t="str">
        <f t="shared" si="12"/>
        <v/>
      </c>
      <c r="B446" t="str">
        <f>IF($A446="","",SUMPRODUCT((MOVIMIENTOS!$B$5:$B$1005="SALDO INICIAL")*(MOVIMIENTOS!$C$5:$C$1005="A")*(MOVIMIENTOS!$D$5:$D$1005="jabas")*(MOVIMIENTOS!$A$5:$A$1005&lt;&gt;"")*(MOVIMIENTOS!$A$5:$A$1005&lt;=$A446)*MOVIMIENTOS!$E$5:$E$1005)+SUMPRODUCT((MOVIMIENTOS!$B$5:$B$1005="PROCESO")*(MOVIMIENTOS!$C$5:$C$1005="A")*(MOVIMIENTOS!$D$5:$D$1005="jabas")*(MOVIMIENTOS!$A$5:$A$1005&lt;&gt;"")*(MOVIMIENTOS!$A$5:$A$1005&lt;=$A446)*MOVIMIENTOS!$E$5:$E$1005)-SUMPRODUCT((MOVIMIENTOS!$B$5:$B$1005="ENVÍO A SUPESA")*(MOVIMIENTOS!$C$5:$C$1005="A")*(MOVIMIENTOS!$D$5:$D$1005="jabas")*(MOVIMIENTOS!$A$5:$A$1005&lt;&gt;"")*(MOVIMIENTOS!$A$5:$A$1005&lt;=$A446)*MOVIMIENTOS!$E$5:$E$1005)+SUMPRODUCT((MOVIMIENTOS!$B$5:$B$1005="DEVOLUCIÓN")*(MOVIMIENTOS!$C$5:$C$1005="A")*(MOVIMIENTOS!$D$5:$D$1005="jabas")*(MOVIMIENTOS!$A$5:$A$1005&lt;&gt;"")*(MOVIMIENTOS!$A$5:$A$1005&lt;=$A446)*MOVIMIENTOS!$E$5:$E$1005)-SUMPRODUCT((MOVIMIENTOS!$B$5:$B$1005="TRASIEGO")*(MOVIMIENTOS!$C$5:$C$1005="A")*(MOVIMIENTOS!$D$5:$D$1005="jabas")*(MOVIMIENTOS!$A$5:$A$1005&lt;&gt;"")*(MOVIMIENTOS!$A$5:$A$1005&lt;=$A446)*MOVIMIENTOS!$E$5:$E$1005)-SUMPRODUCT((MOVIMIENTOS!$B$5:$B$1005="REGALO")*(MOVIMIENTOS!$C$5:$C$1005="A")*(MOVIMIENTOS!$D$5:$D$1005="jabas")*(MOVIMIENTOS!$A$5:$A$1005&lt;&gt;"")*(MOVIMIENTOS!$A$5:$A$1005&lt;=$A446)*MOVIMIENTOS!$E$5:$E$1005)-SUMPRODUCT((MOVIMIENTOS!$B$5:$B$1005="VENTA")*(MOVIMIENTOS!$C$5:$C$1005="A")*(MOVIMIENTOS!$D$5:$D$1005="jabas")*(MOVIMIENTOS!$A$5:$A$1005&lt;&gt;"")*(MOVIMIENTOS!$A$5:$A$1005&lt;=$A446)*MOVIMIENTOS!$E$5:$E$1005)+SUMPRODUCT((MOVIMIENTOS!$B$5:$B$1005="AJUSTE")*(MOVIMIENTOS!$C$5:$C$1005="A")*(MOVIMIENTOS!$D$5:$D$1005="jabas")*(MOVIMIENTOS!$A$5:$A$1005&lt;&gt;"")*(MOVIMIENTOS!$A$5:$A$1005&lt;=$A446)*MOVIMIENTOS!$E$5:$E$1005))</f>
        <v/>
      </c>
      <c r="C446" t="str">
        <f>IF($A446="","",SUMPRODUCT((MOVIMIENTOS!$B$5:$B$1005="SALDO INICIAL")*(MOVIMIENTOS!$C$5:$C$1005="P")*(MOVIMIENTOS!$D$5:$D$1005="jabas")*(MOVIMIENTOS!$A$5:$A$1005&lt;&gt;"")*(MOVIMIENTOS!$A$5:$A$1005&lt;=$A446)*MOVIMIENTOS!$E$5:$E$1005)+SUMPRODUCT((MOVIMIENTOS!$B$5:$B$1005="PROCESO")*(MOVIMIENTOS!$C$5:$C$1005="P")*(MOVIMIENTOS!$D$5:$D$1005="jabas")*(MOVIMIENTOS!$A$5:$A$1005&lt;&gt;"")*(MOVIMIENTOS!$A$5:$A$1005&lt;=$A446)*MOVIMIENTOS!$E$5:$E$1005)-SUMPRODUCT((MOVIMIENTOS!$B$5:$B$1005="ENVÍO A SUPESA")*(MOVIMIENTOS!$C$5:$C$1005="P")*(MOVIMIENTOS!$D$5:$D$1005="jabas")*(MOVIMIENTOS!$A$5:$A$1005&lt;&gt;"")*(MOVIMIENTOS!$A$5:$A$1005&lt;=$A446)*MOVIMIENTOS!$E$5:$E$1005)+SUMPRODUCT((MOVIMIENTOS!$B$5:$B$1005="DEVOLUCIÓN")*(MOVIMIENTOS!$C$5:$C$1005="P")*(MOVIMIENTOS!$D$5:$D$1005="jabas")*(MOVIMIENTOS!$A$5:$A$1005&lt;&gt;"")*(MOVIMIENTOS!$A$5:$A$1005&lt;=$A446)*MOVIMIENTOS!$E$5:$E$1005)-SUMPRODUCT((MOVIMIENTOS!$B$5:$B$1005="TRASIEGO")*(MOVIMIENTOS!$C$5:$C$1005="P")*(MOVIMIENTOS!$D$5:$D$1005="jabas")*(MOVIMIENTOS!$A$5:$A$1005&lt;&gt;"")*(MOVIMIENTOS!$A$5:$A$1005&lt;=$A446)*MOVIMIENTOS!$E$5:$E$1005)-SUMPRODUCT((MOVIMIENTOS!$B$5:$B$1005="REGALO")*(MOVIMIENTOS!$C$5:$C$1005="P")*(MOVIMIENTOS!$D$5:$D$1005="jabas")*(MOVIMIENTOS!$A$5:$A$1005&lt;&gt;"")*(MOVIMIENTOS!$A$5:$A$1005&lt;=$A446)*MOVIMIENTOS!$E$5:$E$1005)-SUMPRODUCT((MOVIMIENTOS!$B$5:$B$1005="VENTA")*(MOVIMIENTOS!$C$5:$C$1005="P")*(MOVIMIENTOS!$D$5:$D$1005="jabas")*(MOVIMIENTOS!$A$5:$A$1005&lt;&gt;"")*(MOVIMIENTOS!$A$5:$A$1005&lt;=$A446)*MOVIMIENTOS!$E$5:$E$1005)+SUMPRODUCT((MOVIMIENTOS!$B$5:$B$1005="AJUSTE")*(MOVIMIENTOS!$C$5:$C$1005="P")*(MOVIMIENTOS!$D$5:$D$1005="jabas")*(MOVIMIENTOS!$A$5:$A$1005&lt;&gt;"")*(MOVIMIENTOS!$A$5:$A$1005&lt;=$A446)*MOVIMIENTOS!$E$5:$E$1005))</f>
        <v/>
      </c>
      <c r="D446" t="str">
        <f>IF($A446="","",SUMPRODUCT((MOVIMIENTOS!$B$5:$B$1005="SALDO INICIAL")*(MOVIMIENTOS!$C$5:$C$1005="C")*(MOVIMIENTOS!$D$5:$D$1005="jabas")*(MOVIMIENTOS!$A$5:$A$1005&lt;&gt;"")*(MOVIMIENTOS!$A$5:$A$1005&lt;=$A446)*MOVIMIENTOS!$E$5:$E$1005)+SUMPRODUCT((MOVIMIENTOS!$B$5:$B$1005="PROCESO")*(MOVIMIENTOS!$C$5:$C$1005="C")*(MOVIMIENTOS!$D$5:$D$1005="jabas")*(MOVIMIENTOS!$A$5:$A$1005&lt;&gt;"")*(MOVIMIENTOS!$A$5:$A$1005&lt;=$A446)*MOVIMIENTOS!$E$5:$E$1005)-SUMPRODUCT((MOVIMIENTOS!$B$5:$B$1005="ENVÍO A SUPESA")*(MOVIMIENTOS!$C$5:$C$1005="C")*(MOVIMIENTOS!$D$5:$D$1005="jabas")*(MOVIMIENTOS!$A$5:$A$1005&lt;&gt;"")*(MOVIMIENTOS!$A$5:$A$1005&lt;=$A446)*MOVIMIENTOS!$E$5:$E$1005)+SUMPRODUCT((MOVIMIENTOS!$B$5:$B$1005="DEVOLUCIÓN")*(MOVIMIENTOS!$C$5:$C$1005="C")*(MOVIMIENTOS!$D$5:$D$1005="jabas")*(MOVIMIENTOS!$A$5:$A$1005&lt;&gt;"")*(MOVIMIENTOS!$A$5:$A$1005&lt;=$A446)*MOVIMIENTOS!$E$5:$E$1005)-SUMPRODUCT((MOVIMIENTOS!$B$5:$B$1005="TRASIEGO")*(MOVIMIENTOS!$C$5:$C$1005="C")*(MOVIMIENTOS!$D$5:$D$1005="jabas")*(MOVIMIENTOS!$A$5:$A$1005&lt;&gt;"")*(MOVIMIENTOS!$A$5:$A$1005&lt;=$A446)*MOVIMIENTOS!$E$5:$E$1005)-SUMPRODUCT((MOVIMIENTOS!$B$5:$B$1005="REGALO")*(MOVIMIENTOS!$C$5:$C$1005="C")*(MOVIMIENTOS!$D$5:$D$1005="jabas")*(MOVIMIENTOS!$A$5:$A$1005&lt;&gt;"")*(MOVIMIENTOS!$A$5:$A$1005&lt;=$A446)*MOVIMIENTOS!$E$5:$E$1005)-SUMPRODUCT((MOVIMIENTOS!$B$5:$B$1005="VENTA")*(MOVIMIENTOS!$C$5:$C$1005="C")*(MOVIMIENTOS!$D$5:$D$1005="jabas")*(MOVIMIENTOS!$A$5:$A$1005&lt;&gt;"")*(MOVIMIENTOS!$A$5:$A$1005&lt;=$A446)*MOVIMIENTOS!$E$5:$E$1005)+SUMPRODUCT((MOVIMIENTOS!$B$5:$B$1005="AJUSTE")*(MOVIMIENTOS!$C$5:$C$1005="C")*(MOVIMIENTOS!$D$5:$D$1005="jabas")*(MOVIMIENTOS!$A$5:$A$1005&lt;&gt;"")*(MOVIMIENTOS!$A$5:$A$1005&lt;=$A446)*MOVIMIENTOS!$E$5:$E$1005))</f>
        <v/>
      </c>
      <c r="E446" t="str">
        <f>IF($A446="","",SUMPRODUCT((MOVIMIENTOS!$B$5:$B$1005="SALDO INICIAL")*(MOVIMIENTOS!$C$5:$C$1005="M")*(MOVIMIENTOS!$D$5:$D$1005="jabas")*(MOVIMIENTOS!$A$5:$A$1005&lt;&gt;"")*(MOVIMIENTOS!$A$5:$A$1005&lt;=$A446)*MOVIMIENTOS!$E$5:$E$1005)+SUMPRODUCT((MOVIMIENTOS!$B$5:$B$1005="PROCESO")*(MOVIMIENTOS!$C$5:$C$1005="M")*(MOVIMIENTOS!$D$5:$D$1005="jabas")*(MOVIMIENTOS!$A$5:$A$1005&lt;&gt;"")*(MOVIMIENTOS!$A$5:$A$1005&lt;=$A446)*MOVIMIENTOS!$E$5:$E$1005)-SUMPRODUCT((MOVIMIENTOS!$B$5:$B$1005="ENVÍO A SUPESA")*(MOVIMIENTOS!$C$5:$C$1005="M")*(MOVIMIENTOS!$D$5:$D$1005="jabas")*(MOVIMIENTOS!$A$5:$A$1005&lt;&gt;"")*(MOVIMIENTOS!$A$5:$A$1005&lt;=$A446)*MOVIMIENTOS!$E$5:$E$1005)+SUMPRODUCT((MOVIMIENTOS!$B$5:$B$1005="DEVOLUCIÓN")*(MOVIMIENTOS!$C$5:$C$1005="M")*(MOVIMIENTOS!$D$5:$D$1005="jabas")*(MOVIMIENTOS!$A$5:$A$1005&lt;&gt;"")*(MOVIMIENTOS!$A$5:$A$1005&lt;=$A446)*MOVIMIENTOS!$E$5:$E$1005)-SUMPRODUCT((MOVIMIENTOS!$B$5:$B$1005="TRASIEGO")*(MOVIMIENTOS!$C$5:$C$1005="M")*(MOVIMIENTOS!$D$5:$D$1005="jabas")*(MOVIMIENTOS!$A$5:$A$1005&lt;&gt;"")*(MOVIMIENTOS!$A$5:$A$1005&lt;=$A446)*MOVIMIENTOS!$E$5:$E$1005)-SUMPRODUCT((MOVIMIENTOS!$B$5:$B$1005="REGALO")*(MOVIMIENTOS!$C$5:$C$1005="M")*(MOVIMIENTOS!$D$5:$D$1005="jabas")*(MOVIMIENTOS!$A$5:$A$1005&lt;&gt;"")*(MOVIMIENTOS!$A$5:$A$1005&lt;=$A446)*MOVIMIENTOS!$E$5:$E$1005)-SUMPRODUCT((MOVIMIENTOS!$B$5:$B$1005="VENTA")*(MOVIMIENTOS!$C$5:$C$1005="M")*(MOVIMIENTOS!$D$5:$D$1005="jabas")*(MOVIMIENTOS!$A$5:$A$1005&lt;&gt;"")*(MOVIMIENTOS!$A$5:$A$1005&lt;=$A446)*MOVIMIENTOS!$E$5:$E$1005)+SUMPRODUCT((MOVIMIENTOS!$B$5:$B$1005="AJUSTE")*(MOVIMIENTOS!$C$5:$C$1005="M")*(MOVIMIENTOS!$D$5:$D$1005="jabas")*(MOVIMIENTOS!$A$5:$A$1005&lt;&gt;"")*(MOVIMIENTOS!$A$5:$A$1005&lt;=$A446)*MOVIMIENTOS!$E$5:$E$1005))</f>
        <v/>
      </c>
      <c r="F446" s="62" t="str">
        <f>IF($A446="","",SUMPRODUCT((MOVIMIENTOS!$B$5:$B$1005="SALDO INICIAL")*(MOVIMIENTOS!$C$5:$C$1005="Chancho")*(MOVIMIENTOS!$D$5:$D$1005="sacos")*(MOVIMIENTOS!$A$5:$A$1005&lt;&gt;"")*(MOVIMIENTOS!$A$5:$A$1005&lt;=$A446)*MOVIMIENTOS!$E$5:$E$1005)+SUMPRODUCT((MOVIMIENTOS!$B$5:$B$1005="PROCESO")*(MOVIMIENTOS!$C$5:$C$1005="Chancho")*(MOVIMIENTOS!$D$5:$D$1005="sacos")*(MOVIMIENTOS!$A$5:$A$1005&lt;&gt;"")*(MOVIMIENTOS!$A$5:$A$1005&lt;=$A446)*MOVIMIENTOS!$E$5:$E$1005)-SUMPRODUCT((MOVIMIENTOS!$B$5:$B$1005="VENTA CHANCHO")*(MOVIMIENTOS!$C$5:$C$1005="Chancho")*(MOVIMIENTOS!$D$5:$D$1005="sacos")*(MOVIMIENTOS!$A$5:$A$1005&lt;&gt;"")*(MOVIMIENTOS!$A$5:$A$1005&lt;=$A446)*MOVIMIENTOS!$E$5:$E$1005)-SUMPRODUCT((MOVIMIENTOS!$B$5:$B$1005="REGALO")*(MOVIMIENTOS!$C$5:$C$1005="Chancho")*(MOVIMIENTOS!$D$5:$D$1005="sacos")*(MOVIMIENTOS!$A$5:$A$1005&lt;&gt;"")*(MOVIMIENTOS!$A$5:$A$1005&lt;=$A446)*MOVIMIENTOS!$E$5:$E$1005)-SUMPRODUCT((MOVIMIENTOS!$B$5:$B$1005="VENTA")*(MOVIMIENTOS!$C$5:$C$1005="Chancho")*(MOVIMIENTOS!$D$5:$D$1005="sacos")*(MOVIMIENTOS!$A$5:$A$1005&lt;&gt;"")*(MOVIMIENTOS!$A$5:$A$1005&lt;=$A446)*MOVIMIENTOS!$E$5:$E$1005)+SUMPRODUCT((MOVIMIENTOS!$B$5:$B$1005="AJUSTE")*(MOVIMIENTOS!$C$5:$C$1005="Chancho")*(MOVIMIENTOS!$D$5:$D$1005="sacos")*(MOVIMIENTOS!$A$5:$A$1005&lt;&gt;"")*(MOVIMIENTOS!$A$5:$A$1005&lt;=$A446)*MOVIMIENTOS!$E$5:$E$1005))</f>
        <v/>
      </c>
      <c r="G446" s="62" t="str">
        <f t="shared" si="13"/>
        <v/>
      </c>
      <c r="H446" t="str">
        <f>IF($A446="","",SUMPRODUCT((((MOVIMIENTOS!$B$5:$B$1005="SALDO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446)*MOVIMIENTOS!$J$5:$J$1005))</f>
        <v/>
      </c>
      <c r="J446" t="str">
        <f>IF(AND(MOVIMIENTOS!$A451&lt;&gt;"",COUNTIF(MOVIMIENTOS!$A$5:$A450,MOVIMIENTOS!$A451)=0),COUNT(J$4:J445)+1,"")</f>
        <v/>
      </c>
      <c r="K446" s="67">
        <f>MOVIMIENTOS!$A451</f>
        <v>46252</v>
      </c>
    </row>
    <row r="447" spans="1:11" ht="15" customHeight="1" x14ac:dyDescent="0.2">
      <c r="A447" t="str">
        <f t="shared" si="12"/>
        <v/>
      </c>
      <c r="B447" t="str">
        <f>IF($A447="","",SUMPRODUCT((MOVIMIENTOS!$B$5:$B$1005="SALDO INICIAL")*(MOVIMIENTOS!$C$5:$C$1005="A")*(MOVIMIENTOS!$D$5:$D$1005="jabas")*(MOVIMIENTOS!$A$5:$A$1005&lt;&gt;"")*(MOVIMIENTOS!$A$5:$A$1005&lt;=$A447)*MOVIMIENTOS!$E$5:$E$1005)+SUMPRODUCT((MOVIMIENTOS!$B$5:$B$1005="PROCESO")*(MOVIMIENTOS!$C$5:$C$1005="A")*(MOVIMIENTOS!$D$5:$D$1005="jabas")*(MOVIMIENTOS!$A$5:$A$1005&lt;&gt;"")*(MOVIMIENTOS!$A$5:$A$1005&lt;=$A447)*MOVIMIENTOS!$E$5:$E$1005)-SUMPRODUCT((MOVIMIENTOS!$B$5:$B$1005="ENVÍO A SUPESA")*(MOVIMIENTOS!$C$5:$C$1005="A")*(MOVIMIENTOS!$D$5:$D$1005="jabas")*(MOVIMIENTOS!$A$5:$A$1005&lt;&gt;"")*(MOVIMIENTOS!$A$5:$A$1005&lt;=$A447)*MOVIMIENTOS!$E$5:$E$1005)+SUMPRODUCT((MOVIMIENTOS!$B$5:$B$1005="DEVOLUCIÓN")*(MOVIMIENTOS!$C$5:$C$1005="A")*(MOVIMIENTOS!$D$5:$D$1005="jabas")*(MOVIMIENTOS!$A$5:$A$1005&lt;&gt;"")*(MOVIMIENTOS!$A$5:$A$1005&lt;=$A447)*MOVIMIENTOS!$E$5:$E$1005)-SUMPRODUCT((MOVIMIENTOS!$B$5:$B$1005="TRASIEGO")*(MOVIMIENTOS!$C$5:$C$1005="A")*(MOVIMIENTOS!$D$5:$D$1005="jabas")*(MOVIMIENTOS!$A$5:$A$1005&lt;&gt;"")*(MOVIMIENTOS!$A$5:$A$1005&lt;=$A447)*MOVIMIENTOS!$E$5:$E$1005)-SUMPRODUCT((MOVIMIENTOS!$B$5:$B$1005="REGALO")*(MOVIMIENTOS!$C$5:$C$1005="A")*(MOVIMIENTOS!$D$5:$D$1005="jabas")*(MOVIMIENTOS!$A$5:$A$1005&lt;&gt;"")*(MOVIMIENTOS!$A$5:$A$1005&lt;=$A447)*MOVIMIENTOS!$E$5:$E$1005)-SUMPRODUCT((MOVIMIENTOS!$B$5:$B$1005="VENTA")*(MOVIMIENTOS!$C$5:$C$1005="A")*(MOVIMIENTOS!$D$5:$D$1005="jabas")*(MOVIMIENTOS!$A$5:$A$1005&lt;&gt;"")*(MOVIMIENTOS!$A$5:$A$1005&lt;=$A447)*MOVIMIENTOS!$E$5:$E$1005)+SUMPRODUCT((MOVIMIENTOS!$B$5:$B$1005="AJUSTE")*(MOVIMIENTOS!$C$5:$C$1005="A")*(MOVIMIENTOS!$D$5:$D$1005="jabas")*(MOVIMIENTOS!$A$5:$A$1005&lt;&gt;"")*(MOVIMIENTOS!$A$5:$A$1005&lt;=$A447)*MOVIMIENTOS!$E$5:$E$1005))</f>
        <v/>
      </c>
      <c r="C447" t="str">
        <f>IF($A447="","",SUMPRODUCT((MOVIMIENTOS!$B$5:$B$1005="SALDO INICIAL")*(MOVIMIENTOS!$C$5:$C$1005="P")*(MOVIMIENTOS!$D$5:$D$1005="jabas")*(MOVIMIENTOS!$A$5:$A$1005&lt;&gt;"")*(MOVIMIENTOS!$A$5:$A$1005&lt;=$A447)*MOVIMIENTOS!$E$5:$E$1005)+SUMPRODUCT((MOVIMIENTOS!$B$5:$B$1005="PROCESO")*(MOVIMIENTOS!$C$5:$C$1005="P")*(MOVIMIENTOS!$D$5:$D$1005="jabas")*(MOVIMIENTOS!$A$5:$A$1005&lt;&gt;"")*(MOVIMIENTOS!$A$5:$A$1005&lt;=$A447)*MOVIMIENTOS!$E$5:$E$1005)-SUMPRODUCT((MOVIMIENTOS!$B$5:$B$1005="ENVÍO A SUPESA")*(MOVIMIENTOS!$C$5:$C$1005="P")*(MOVIMIENTOS!$D$5:$D$1005="jabas")*(MOVIMIENTOS!$A$5:$A$1005&lt;&gt;"")*(MOVIMIENTOS!$A$5:$A$1005&lt;=$A447)*MOVIMIENTOS!$E$5:$E$1005)+SUMPRODUCT((MOVIMIENTOS!$B$5:$B$1005="DEVOLUCIÓN")*(MOVIMIENTOS!$C$5:$C$1005="P")*(MOVIMIENTOS!$D$5:$D$1005="jabas")*(MOVIMIENTOS!$A$5:$A$1005&lt;&gt;"")*(MOVIMIENTOS!$A$5:$A$1005&lt;=$A447)*MOVIMIENTOS!$E$5:$E$1005)-SUMPRODUCT((MOVIMIENTOS!$B$5:$B$1005="TRASIEGO")*(MOVIMIENTOS!$C$5:$C$1005="P")*(MOVIMIENTOS!$D$5:$D$1005="jabas")*(MOVIMIENTOS!$A$5:$A$1005&lt;&gt;"")*(MOVIMIENTOS!$A$5:$A$1005&lt;=$A447)*MOVIMIENTOS!$E$5:$E$1005)-SUMPRODUCT((MOVIMIENTOS!$B$5:$B$1005="REGALO")*(MOVIMIENTOS!$C$5:$C$1005="P")*(MOVIMIENTOS!$D$5:$D$1005="jabas")*(MOVIMIENTOS!$A$5:$A$1005&lt;&gt;"")*(MOVIMIENTOS!$A$5:$A$1005&lt;=$A447)*MOVIMIENTOS!$E$5:$E$1005)-SUMPRODUCT((MOVIMIENTOS!$B$5:$B$1005="VENTA")*(MOVIMIENTOS!$C$5:$C$1005="P")*(MOVIMIENTOS!$D$5:$D$1005="jabas")*(MOVIMIENTOS!$A$5:$A$1005&lt;&gt;"")*(MOVIMIENTOS!$A$5:$A$1005&lt;=$A447)*MOVIMIENTOS!$E$5:$E$1005)+SUMPRODUCT((MOVIMIENTOS!$B$5:$B$1005="AJUSTE")*(MOVIMIENTOS!$C$5:$C$1005="P")*(MOVIMIENTOS!$D$5:$D$1005="jabas")*(MOVIMIENTOS!$A$5:$A$1005&lt;&gt;"")*(MOVIMIENTOS!$A$5:$A$1005&lt;=$A447)*MOVIMIENTOS!$E$5:$E$1005))</f>
        <v/>
      </c>
      <c r="D447" t="str">
        <f>IF($A447="","",SUMPRODUCT((MOVIMIENTOS!$B$5:$B$1005="SALDO INICIAL")*(MOVIMIENTOS!$C$5:$C$1005="C")*(MOVIMIENTOS!$D$5:$D$1005="jabas")*(MOVIMIENTOS!$A$5:$A$1005&lt;&gt;"")*(MOVIMIENTOS!$A$5:$A$1005&lt;=$A447)*MOVIMIENTOS!$E$5:$E$1005)+SUMPRODUCT((MOVIMIENTOS!$B$5:$B$1005="PROCESO")*(MOVIMIENTOS!$C$5:$C$1005="C")*(MOVIMIENTOS!$D$5:$D$1005="jabas")*(MOVIMIENTOS!$A$5:$A$1005&lt;&gt;"")*(MOVIMIENTOS!$A$5:$A$1005&lt;=$A447)*MOVIMIENTOS!$E$5:$E$1005)-SUMPRODUCT((MOVIMIENTOS!$B$5:$B$1005="ENVÍO A SUPESA")*(MOVIMIENTOS!$C$5:$C$1005="C")*(MOVIMIENTOS!$D$5:$D$1005="jabas")*(MOVIMIENTOS!$A$5:$A$1005&lt;&gt;"")*(MOVIMIENTOS!$A$5:$A$1005&lt;=$A447)*MOVIMIENTOS!$E$5:$E$1005)+SUMPRODUCT((MOVIMIENTOS!$B$5:$B$1005="DEVOLUCIÓN")*(MOVIMIENTOS!$C$5:$C$1005="C")*(MOVIMIENTOS!$D$5:$D$1005="jabas")*(MOVIMIENTOS!$A$5:$A$1005&lt;&gt;"")*(MOVIMIENTOS!$A$5:$A$1005&lt;=$A447)*MOVIMIENTOS!$E$5:$E$1005)-SUMPRODUCT((MOVIMIENTOS!$B$5:$B$1005="TRASIEGO")*(MOVIMIENTOS!$C$5:$C$1005="C")*(MOVIMIENTOS!$D$5:$D$1005="jabas")*(MOVIMIENTOS!$A$5:$A$1005&lt;&gt;"")*(MOVIMIENTOS!$A$5:$A$1005&lt;=$A447)*MOVIMIENTOS!$E$5:$E$1005)-SUMPRODUCT((MOVIMIENTOS!$B$5:$B$1005="REGALO")*(MOVIMIENTOS!$C$5:$C$1005="C")*(MOVIMIENTOS!$D$5:$D$1005="jabas")*(MOVIMIENTOS!$A$5:$A$1005&lt;&gt;"")*(MOVIMIENTOS!$A$5:$A$1005&lt;=$A447)*MOVIMIENTOS!$E$5:$E$1005)-SUMPRODUCT((MOVIMIENTOS!$B$5:$B$1005="VENTA")*(MOVIMIENTOS!$C$5:$C$1005="C")*(MOVIMIENTOS!$D$5:$D$1005="jabas")*(MOVIMIENTOS!$A$5:$A$1005&lt;&gt;"")*(MOVIMIENTOS!$A$5:$A$1005&lt;=$A447)*MOVIMIENTOS!$E$5:$E$1005)+SUMPRODUCT((MOVIMIENTOS!$B$5:$B$1005="AJUSTE")*(MOVIMIENTOS!$C$5:$C$1005="C")*(MOVIMIENTOS!$D$5:$D$1005="jabas")*(MOVIMIENTOS!$A$5:$A$1005&lt;&gt;"")*(MOVIMIENTOS!$A$5:$A$1005&lt;=$A447)*MOVIMIENTOS!$E$5:$E$1005))</f>
        <v/>
      </c>
      <c r="E447" t="str">
        <f>IF($A447="","",SUMPRODUCT((MOVIMIENTOS!$B$5:$B$1005="SALDO INICIAL")*(MOVIMIENTOS!$C$5:$C$1005="M")*(MOVIMIENTOS!$D$5:$D$1005="jabas")*(MOVIMIENTOS!$A$5:$A$1005&lt;&gt;"")*(MOVIMIENTOS!$A$5:$A$1005&lt;=$A447)*MOVIMIENTOS!$E$5:$E$1005)+SUMPRODUCT((MOVIMIENTOS!$B$5:$B$1005="PROCESO")*(MOVIMIENTOS!$C$5:$C$1005="M")*(MOVIMIENTOS!$D$5:$D$1005="jabas")*(MOVIMIENTOS!$A$5:$A$1005&lt;&gt;"")*(MOVIMIENTOS!$A$5:$A$1005&lt;=$A447)*MOVIMIENTOS!$E$5:$E$1005)-SUMPRODUCT((MOVIMIENTOS!$B$5:$B$1005="ENVÍO A SUPESA")*(MOVIMIENTOS!$C$5:$C$1005="M")*(MOVIMIENTOS!$D$5:$D$1005="jabas")*(MOVIMIENTOS!$A$5:$A$1005&lt;&gt;"")*(MOVIMIENTOS!$A$5:$A$1005&lt;=$A447)*MOVIMIENTOS!$E$5:$E$1005)+SUMPRODUCT((MOVIMIENTOS!$B$5:$B$1005="DEVOLUCIÓN")*(MOVIMIENTOS!$C$5:$C$1005="M")*(MOVIMIENTOS!$D$5:$D$1005="jabas")*(MOVIMIENTOS!$A$5:$A$1005&lt;&gt;"")*(MOVIMIENTOS!$A$5:$A$1005&lt;=$A447)*MOVIMIENTOS!$E$5:$E$1005)-SUMPRODUCT((MOVIMIENTOS!$B$5:$B$1005="TRASIEGO")*(MOVIMIENTOS!$C$5:$C$1005="M")*(MOVIMIENTOS!$D$5:$D$1005="jabas")*(MOVIMIENTOS!$A$5:$A$1005&lt;&gt;"")*(MOVIMIENTOS!$A$5:$A$1005&lt;=$A447)*MOVIMIENTOS!$E$5:$E$1005)-SUMPRODUCT((MOVIMIENTOS!$B$5:$B$1005="REGALO")*(MOVIMIENTOS!$C$5:$C$1005="M")*(MOVIMIENTOS!$D$5:$D$1005="jabas")*(MOVIMIENTOS!$A$5:$A$1005&lt;&gt;"")*(MOVIMIENTOS!$A$5:$A$1005&lt;=$A447)*MOVIMIENTOS!$E$5:$E$1005)-SUMPRODUCT((MOVIMIENTOS!$B$5:$B$1005="VENTA")*(MOVIMIENTOS!$C$5:$C$1005="M")*(MOVIMIENTOS!$D$5:$D$1005="jabas")*(MOVIMIENTOS!$A$5:$A$1005&lt;&gt;"")*(MOVIMIENTOS!$A$5:$A$1005&lt;=$A447)*MOVIMIENTOS!$E$5:$E$1005)+SUMPRODUCT((MOVIMIENTOS!$B$5:$B$1005="AJUSTE")*(MOVIMIENTOS!$C$5:$C$1005="M")*(MOVIMIENTOS!$D$5:$D$1005="jabas")*(MOVIMIENTOS!$A$5:$A$1005&lt;&gt;"")*(MOVIMIENTOS!$A$5:$A$1005&lt;=$A447)*MOVIMIENTOS!$E$5:$E$1005))</f>
        <v/>
      </c>
      <c r="F447" s="62" t="str">
        <f>IF($A447="","",SUMPRODUCT((MOVIMIENTOS!$B$5:$B$1005="SALDO INICIAL")*(MOVIMIENTOS!$C$5:$C$1005="Chancho")*(MOVIMIENTOS!$D$5:$D$1005="sacos")*(MOVIMIENTOS!$A$5:$A$1005&lt;&gt;"")*(MOVIMIENTOS!$A$5:$A$1005&lt;=$A447)*MOVIMIENTOS!$E$5:$E$1005)+SUMPRODUCT((MOVIMIENTOS!$B$5:$B$1005="PROCESO")*(MOVIMIENTOS!$C$5:$C$1005="Chancho")*(MOVIMIENTOS!$D$5:$D$1005="sacos")*(MOVIMIENTOS!$A$5:$A$1005&lt;&gt;"")*(MOVIMIENTOS!$A$5:$A$1005&lt;=$A447)*MOVIMIENTOS!$E$5:$E$1005)-SUMPRODUCT((MOVIMIENTOS!$B$5:$B$1005="VENTA CHANCHO")*(MOVIMIENTOS!$C$5:$C$1005="Chancho")*(MOVIMIENTOS!$D$5:$D$1005="sacos")*(MOVIMIENTOS!$A$5:$A$1005&lt;&gt;"")*(MOVIMIENTOS!$A$5:$A$1005&lt;=$A447)*MOVIMIENTOS!$E$5:$E$1005)-SUMPRODUCT((MOVIMIENTOS!$B$5:$B$1005="REGALO")*(MOVIMIENTOS!$C$5:$C$1005="Chancho")*(MOVIMIENTOS!$D$5:$D$1005="sacos")*(MOVIMIENTOS!$A$5:$A$1005&lt;&gt;"")*(MOVIMIENTOS!$A$5:$A$1005&lt;=$A447)*MOVIMIENTOS!$E$5:$E$1005)-SUMPRODUCT((MOVIMIENTOS!$B$5:$B$1005="VENTA")*(MOVIMIENTOS!$C$5:$C$1005="Chancho")*(MOVIMIENTOS!$D$5:$D$1005="sacos")*(MOVIMIENTOS!$A$5:$A$1005&lt;&gt;"")*(MOVIMIENTOS!$A$5:$A$1005&lt;=$A447)*MOVIMIENTOS!$E$5:$E$1005)+SUMPRODUCT((MOVIMIENTOS!$B$5:$B$1005="AJUSTE")*(MOVIMIENTOS!$C$5:$C$1005="Chancho")*(MOVIMIENTOS!$D$5:$D$1005="sacos")*(MOVIMIENTOS!$A$5:$A$1005&lt;&gt;"")*(MOVIMIENTOS!$A$5:$A$1005&lt;=$A447)*MOVIMIENTOS!$E$5:$E$1005))</f>
        <v/>
      </c>
      <c r="G447" s="62" t="str">
        <f t="shared" si="13"/>
        <v/>
      </c>
      <c r="H447" t="str">
        <f>IF($A447="","",SUMPRODUCT((((MOVIMIENTOS!$B$5:$B$1005="SALDO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447)*MOVIMIENTOS!$J$5:$J$1005))</f>
        <v/>
      </c>
      <c r="J447" t="str">
        <f>IF(AND(MOVIMIENTOS!$A452&lt;&gt;"",COUNTIF(MOVIMIENTOS!$A$5:$A451,MOVIMIENTOS!$A452)=0),COUNT(J$4:J446)+1,"")</f>
        <v/>
      </c>
      <c r="K447" s="67">
        <f>MOVIMIENTOS!$A452</f>
        <v>46252</v>
      </c>
    </row>
    <row r="448" spans="1:11" ht="15" customHeight="1" x14ac:dyDescent="0.2">
      <c r="A448" t="str">
        <f t="shared" si="12"/>
        <v/>
      </c>
      <c r="B448" t="str">
        <f>IF($A448="","",SUMPRODUCT((MOVIMIENTOS!$B$5:$B$1005="SALDO INICIAL")*(MOVIMIENTOS!$C$5:$C$1005="A")*(MOVIMIENTOS!$D$5:$D$1005="jabas")*(MOVIMIENTOS!$A$5:$A$1005&lt;&gt;"")*(MOVIMIENTOS!$A$5:$A$1005&lt;=$A448)*MOVIMIENTOS!$E$5:$E$1005)+SUMPRODUCT((MOVIMIENTOS!$B$5:$B$1005="PROCESO")*(MOVIMIENTOS!$C$5:$C$1005="A")*(MOVIMIENTOS!$D$5:$D$1005="jabas")*(MOVIMIENTOS!$A$5:$A$1005&lt;&gt;"")*(MOVIMIENTOS!$A$5:$A$1005&lt;=$A448)*MOVIMIENTOS!$E$5:$E$1005)-SUMPRODUCT((MOVIMIENTOS!$B$5:$B$1005="ENVÍO A SUPESA")*(MOVIMIENTOS!$C$5:$C$1005="A")*(MOVIMIENTOS!$D$5:$D$1005="jabas")*(MOVIMIENTOS!$A$5:$A$1005&lt;&gt;"")*(MOVIMIENTOS!$A$5:$A$1005&lt;=$A448)*MOVIMIENTOS!$E$5:$E$1005)+SUMPRODUCT((MOVIMIENTOS!$B$5:$B$1005="DEVOLUCIÓN")*(MOVIMIENTOS!$C$5:$C$1005="A")*(MOVIMIENTOS!$D$5:$D$1005="jabas")*(MOVIMIENTOS!$A$5:$A$1005&lt;&gt;"")*(MOVIMIENTOS!$A$5:$A$1005&lt;=$A448)*MOVIMIENTOS!$E$5:$E$1005)-SUMPRODUCT((MOVIMIENTOS!$B$5:$B$1005="TRASIEGO")*(MOVIMIENTOS!$C$5:$C$1005="A")*(MOVIMIENTOS!$D$5:$D$1005="jabas")*(MOVIMIENTOS!$A$5:$A$1005&lt;&gt;"")*(MOVIMIENTOS!$A$5:$A$1005&lt;=$A448)*MOVIMIENTOS!$E$5:$E$1005)-SUMPRODUCT((MOVIMIENTOS!$B$5:$B$1005="REGALO")*(MOVIMIENTOS!$C$5:$C$1005="A")*(MOVIMIENTOS!$D$5:$D$1005="jabas")*(MOVIMIENTOS!$A$5:$A$1005&lt;&gt;"")*(MOVIMIENTOS!$A$5:$A$1005&lt;=$A448)*MOVIMIENTOS!$E$5:$E$1005)-SUMPRODUCT((MOVIMIENTOS!$B$5:$B$1005="VENTA")*(MOVIMIENTOS!$C$5:$C$1005="A")*(MOVIMIENTOS!$D$5:$D$1005="jabas")*(MOVIMIENTOS!$A$5:$A$1005&lt;&gt;"")*(MOVIMIENTOS!$A$5:$A$1005&lt;=$A448)*MOVIMIENTOS!$E$5:$E$1005)+SUMPRODUCT((MOVIMIENTOS!$B$5:$B$1005="AJUSTE")*(MOVIMIENTOS!$C$5:$C$1005="A")*(MOVIMIENTOS!$D$5:$D$1005="jabas")*(MOVIMIENTOS!$A$5:$A$1005&lt;&gt;"")*(MOVIMIENTOS!$A$5:$A$1005&lt;=$A448)*MOVIMIENTOS!$E$5:$E$1005))</f>
        <v/>
      </c>
      <c r="C448" t="str">
        <f>IF($A448="","",SUMPRODUCT((MOVIMIENTOS!$B$5:$B$1005="SALDO INICIAL")*(MOVIMIENTOS!$C$5:$C$1005="P")*(MOVIMIENTOS!$D$5:$D$1005="jabas")*(MOVIMIENTOS!$A$5:$A$1005&lt;&gt;"")*(MOVIMIENTOS!$A$5:$A$1005&lt;=$A448)*MOVIMIENTOS!$E$5:$E$1005)+SUMPRODUCT((MOVIMIENTOS!$B$5:$B$1005="PROCESO")*(MOVIMIENTOS!$C$5:$C$1005="P")*(MOVIMIENTOS!$D$5:$D$1005="jabas")*(MOVIMIENTOS!$A$5:$A$1005&lt;&gt;"")*(MOVIMIENTOS!$A$5:$A$1005&lt;=$A448)*MOVIMIENTOS!$E$5:$E$1005)-SUMPRODUCT((MOVIMIENTOS!$B$5:$B$1005="ENVÍO A SUPESA")*(MOVIMIENTOS!$C$5:$C$1005="P")*(MOVIMIENTOS!$D$5:$D$1005="jabas")*(MOVIMIENTOS!$A$5:$A$1005&lt;&gt;"")*(MOVIMIENTOS!$A$5:$A$1005&lt;=$A448)*MOVIMIENTOS!$E$5:$E$1005)+SUMPRODUCT((MOVIMIENTOS!$B$5:$B$1005="DEVOLUCIÓN")*(MOVIMIENTOS!$C$5:$C$1005="P")*(MOVIMIENTOS!$D$5:$D$1005="jabas")*(MOVIMIENTOS!$A$5:$A$1005&lt;&gt;"")*(MOVIMIENTOS!$A$5:$A$1005&lt;=$A448)*MOVIMIENTOS!$E$5:$E$1005)-SUMPRODUCT((MOVIMIENTOS!$B$5:$B$1005="TRASIEGO")*(MOVIMIENTOS!$C$5:$C$1005="P")*(MOVIMIENTOS!$D$5:$D$1005="jabas")*(MOVIMIENTOS!$A$5:$A$1005&lt;&gt;"")*(MOVIMIENTOS!$A$5:$A$1005&lt;=$A448)*MOVIMIENTOS!$E$5:$E$1005)-SUMPRODUCT((MOVIMIENTOS!$B$5:$B$1005="REGALO")*(MOVIMIENTOS!$C$5:$C$1005="P")*(MOVIMIENTOS!$D$5:$D$1005="jabas")*(MOVIMIENTOS!$A$5:$A$1005&lt;&gt;"")*(MOVIMIENTOS!$A$5:$A$1005&lt;=$A448)*MOVIMIENTOS!$E$5:$E$1005)-SUMPRODUCT((MOVIMIENTOS!$B$5:$B$1005="VENTA")*(MOVIMIENTOS!$C$5:$C$1005="P")*(MOVIMIENTOS!$D$5:$D$1005="jabas")*(MOVIMIENTOS!$A$5:$A$1005&lt;&gt;"")*(MOVIMIENTOS!$A$5:$A$1005&lt;=$A448)*MOVIMIENTOS!$E$5:$E$1005)+SUMPRODUCT((MOVIMIENTOS!$B$5:$B$1005="AJUSTE")*(MOVIMIENTOS!$C$5:$C$1005="P")*(MOVIMIENTOS!$D$5:$D$1005="jabas")*(MOVIMIENTOS!$A$5:$A$1005&lt;&gt;"")*(MOVIMIENTOS!$A$5:$A$1005&lt;=$A448)*MOVIMIENTOS!$E$5:$E$1005))</f>
        <v/>
      </c>
      <c r="D448" t="str">
        <f>IF($A448="","",SUMPRODUCT((MOVIMIENTOS!$B$5:$B$1005="SALDO INICIAL")*(MOVIMIENTOS!$C$5:$C$1005="C")*(MOVIMIENTOS!$D$5:$D$1005="jabas")*(MOVIMIENTOS!$A$5:$A$1005&lt;&gt;"")*(MOVIMIENTOS!$A$5:$A$1005&lt;=$A448)*MOVIMIENTOS!$E$5:$E$1005)+SUMPRODUCT((MOVIMIENTOS!$B$5:$B$1005="PROCESO")*(MOVIMIENTOS!$C$5:$C$1005="C")*(MOVIMIENTOS!$D$5:$D$1005="jabas")*(MOVIMIENTOS!$A$5:$A$1005&lt;&gt;"")*(MOVIMIENTOS!$A$5:$A$1005&lt;=$A448)*MOVIMIENTOS!$E$5:$E$1005)-SUMPRODUCT((MOVIMIENTOS!$B$5:$B$1005="ENVÍO A SUPESA")*(MOVIMIENTOS!$C$5:$C$1005="C")*(MOVIMIENTOS!$D$5:$D$1005="jabas")*(MOVIMIENTOS!$A$5:$A$1005&lt;&gt;"")*(MOVIMIENTOS!$A$5:$A$1005&lt;=$A448)*MOVIMIENTOS!$E$5:$E$1005)+SUMPRODUCT((MOVIMIENTOS!$B$5:$B$1005="DEVOLUCIÓN")*(MOVIMIENTOS!$C$5:$C$1005="C")*(MOVIMIENTOS!$D$5:$D$1005="jabas")*(MOVIMIENTOS!$A$5:$A$1005&lt;&gt;"")*(MOVIMIENTOS!$A$5:$A$1005&lt;=$A448)*MOVIMIENTOS!$E$5:$E$1005)-SUMPRODUCT((MOVIMIENTOS!$B$5:$B$1005="TRASIEGO")*(MOVIMIENTOS!$C$5:$C$1005="C")*(MOVIMIENTOS!$D$5:$D$1005="jabas")*(MOVIMIENTOS!$A$5:$A$1005&lt;&gt;"")*(MOVIMIENTOS!$A$5:$A$1005&lt;=$A448)*MOVIMIENTOS!$E$5:$E$1005)-SUMPRODUCT((MOVIMIENTOS!$B$5:$B$1005="REGALO")*(MOVIMIENTOS!$C$5:$C$1005="C")*(MOVIMIENTOS!$D$5:$D$1005="jabas")*(MOVIMIENTOS!$A$5:$A$1005&lt;&gt;"")*(MOVIMIENTOS!$A$5:$A$1005&lt;=$A448)*MOVIMIENTOS!$E$5:$E$1005)-SUMPRODUCT((MOVIMIENTOS!$B$5:$B$1005="VENTA")*(MOVIMIENTOS!$C$5:$C$1005="C")*(MOVIMIENTOS!$D$5:$D$1005="jabas")*(MOVIMIENTOS!$A$5:$A$1005&lt;&gt;"")*(MOVIMIENTOS!$A$5:$A$1005&lt;=$A448)*MOVIMIENTOS!$E$5:$E$1005)+SUMPRODUCT((MOVIMIENTOS!$B$5:$B$1005="AJUSTE")*(MOVIMIENTOS!$C$5:$C$1005="C")*(MOVIMIENTOS!$D$5:$D$1005="jabas")*(MOVIMIENTOS!$A$5:$A$1005&lt;&gt;"")*(MOVIMIENTOS!$A$5:$A$1005&lt;=$A448)*MOVIMIENTOS!$E$5:$E$1005))</f>
        <v/>
      </c>
      <c r="E448" t="str">
        <f>IF($A448="","",SUMPRODUCT((MOVIMIENTOS!$B$5:$B$1005="SALDO INICIAL")*(MOVIMIENTOS!$C$5:$C$1005="M")*(MOVIMIENTOS!$D$5:$D$1005="jabas")*(MOVIMIENTOS!$A$5:$A$1005&lt;&gt;"")*(MOVIMIENTOS!$A$5:$A$1005&lt;=$A448)*MOVIMIENTOS!$E$5:$E$1005)+SUMPRODUCT((MOVIMIENTOS!$B$5:$B$1005="PROCESO")*(MOVIMIENTOS!$C$5:$C$1005="M")*(MOVIMIENTOS!$D$5:$D$1005="jabas")*(MOVIMIENTOS!$A$5:$A$1005&lt;&gt;"")*(MOVIMIENTOS!$A$5:$A$1005&lt;=$A448)*MOVIMIENTOS!$E$5:$E$1005)-SUMPRODUCT((MOVIMIENTOS!$B$5:$B$1005="ENVÍO A SUPESA")*(MOVIMIENTOS!$C$5:$C$1005="M")*(MOVIMIENTOS!$D$5:$D$1005="jabas")*(MOVIMIENTOS!$A$5:$A$1005&lt;&gt;"")*(MOVIMIENTOS!$A$5:$A$1005&lt;=$A448)*MOVIMIENTOS!$E$5:$E$1005)+SUMPRODUCT((MOVIMIENTOS!$B$5:$B$1005="DEVOLUCIÓN")*(MOVIMIENTOS!$C$5:$C$1005="M")*(MOVIMIENTOS!$D$5:$D$1005="jabas")*(MOVIMIENTOS!$A$5:$A$1005&lt;&gt;"")*(MOVIMIENTOS!$A$5:$A$1005&lt;=$A448)*MOVIMIENTOS!$E$5:$E$1005)-SUMPRODUCT((MOVIMIENTOS!$B$5:$B$1005="TRASIEGO")*(MOVIMIENTOS!$C$5:$C$1005="M")*(MOVIMIENTOS!$D$5:$D$1005="jabas")*(MOVIMIENTOS!$A$5:$A$1005&lt;&gt;"")*(MOVIMIENTOS!$A$5:$A$1005&lt;=$A448)*MOVIMIENTOS!$E$5:$E$1005)-SUMPRODUCT((MOVIMIENTOS!$B$5:$B$1005="REGALO")*(MOVIMIENTOS!$C$5:$C$1005="M")*(MOVIMIENTOS!$D$5:$D$1005="jabas")*(MOVIMIENTOS!$A$5:$A$1005&lt;&gt;"")*(MOVIMIENTOS!$A$5:$A$1005&lt;=$A448)*MOVIMIENTOS!$E$5:$E$1005)-SUMPRODUCT((MOVIMIENTOS!$B$5:$B$1005="VENTA")*(MOVIMIENTOS!$C$5:$C$1005="M")*(MOVIMIENTOS!$D$5:$D$1005="jabas")*(MOVIMIENTOS!$A$5:$A$1005&lt;&gt;"")*(MOVIMIENTOS!$A$5:$A$1005&lt;=$A448)*MOVIMIENTOS!$E$5:$E$1005)+SUMPRODUCT((MOVIMIENTOS!$B$5:$B$1005="AJUSTE")*(MOVIMIENTOS!$C$5:$C$1005="M")*(MOVIMIENTOS!$D$5:$D$1005="jabas")*(MOVIMIENTOS!$A$5:$A$1005&lt;&gt;"")*(MOVIMIENTOS!$A$5:$A$1005&lt;=$A448)*MOVIMIENTOS!$E$5:$E$1005))</f>
        <v/>
      </c>
      <c r="F448" s="62" t="str">
        <f>IF($A448="","",SUMPRODUCT((MOVIMIENTOS!$B$5:$B$1005="SALDO INICIAL")*(MOVIMIENTOS!$C$5:$C$1005="Chancho")*(MOVIMIENTOS!$D$5:$D$1005="sacos")*(MOVIMIENTOS!$A$5:$A$1005&lt;&gt;"")*(MOVIMIENTOS!$A$5:$A$1005&lt;=$A448)*MOVIMIENTOS!$E$5:$E$1005)+SUMPRODUCT((MOVIMIENTOS!$B$5:$B$1005="PROCESO")*(MOVIMIENTOS!$C$5:$C$1005="Chancho")*(MOVIMIENTOS!$D$5:$D$1005="sacos")*(MOVIMIENTOS!$A$5:$A$1005&lt;&gt;"")*(MOVIMIENTOS!$A$5:$A$1005&lt;=$A448)*MOVIMIENTOS!$E$5:$E$1005)-SUMPRODUCT((MOVIMIENTOS!$B$5:$B$1005="VENTA CHANCHO")*(MOVIMIENTOS!$C$5:$C$1005="Chancho")*(MOVIMIENTOS!$D$5:$D$1005="sacos")*(MOVIMIENTOS!$A$5:$A$1005&lt;&gt;"")*(MOVIMIENTOS!$A$5:$A$1005&lt;=$A448)*MOVIMIENTOS!$E$5:$E$1005)-SUMPRODUCT((MOVIMIENTOS!$B$5:$B$1005="REGALO")*(MOVIMIENTOS!$C$5:$C$1005="Chancho")*(MOVIMIENTOS!$D$5:$D$1005="sacos")*(MOVIMIENTOS!$A$5:$A$1005&lt;&gt;"")*(MOVIMIENTOS!$A$5:$A$1005&lt;=$A448)*MOVIMIENTOS!$E$5:$E$1005)-SUMPRODUCT((MOVIMIENTOS!$B$5:$B$1005="VENTA")*(MOVIMIENTOS!$C$5:$C$1005="Chancho")*(MOVIMIENTOS!$D$5:$D$1005="sacos")*(MOVIMIENTOS!$A$5:$A$1005&lt;&gt;"")*(MOVIMIENTOS!$A$5:$A$1005&lt;=$A448)*MOVIMIENTOS!$E$5:$E$1005)+SUMPRODUCT((MOVIMIENTOS!$B$5:$B$1005="AJUSTE")*(MOVIMIENTOS!$C$5:$C$1005="Chancho")*(MOVIMIENTOS!$D$5:$D$1005="sacos")*(MOVIMIENTOS!$A$5:$A$1005&lt;&gt;"")*(MOVIMIENTOS!$A$5:$A$1005&lt;=$A448)*MOVIMIENTOS!$E$5:$E$1005))</f>
        <v/>
      </c>
      <c r="G448" s="62" t="str">
        <f t="shared" si="13"/>
        <v/>
      </c>
      <c r="H448" t="str">
        <f>IF($A448="","",SUMPRODUCT((((MOVIMIENTOS!$B$5:$B$1005="SALDO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448)*MOVIMIENTOS!$J$5:$J$1005))</f>
        <v/>
      </c>
      <c r="J448" t="str">
        <f>IF(AND(MOVIMIENTOS!$A453&lt;&gt;"",COUNTIF(MOVIMIENTOS!$A$5:$A452,MOVIMIENTOS!$A453)=0),COUNT(J$4:J447)+1,"")</f>
        <v/>
      </c>
      <c r="K448" s="67">
        <f>MOVIMIENTOS!$A453</f>
        <v>46252</v>
      </c>
    </row>
    <row r="449" spans="1:11" ht="15" customHeight="1" x14ac:dyDescent="0.2">
      <c r="A449" t="str">
        <f t="shared" si="12"/>
        <v/>
      </c>
      <c r="B449" t="str">
        <f>IF($A449="","",SUMPRODUCT((MOVIMIENTOS!$B$5:$B$1005="SALDO INICIAL")*(MOVIMIENTOS!$C$5:$C$1005="A")*(MOVIMIENTOS!$D$5:$D$1005="jabas")*(MOVIMIENTOS!$A$5:$A$1005&lt;&gt;"")*(MOVIMIENTOS!$A$5:$A$1005&lt;=$A449)*MOVIMIENTOS!$E$5:$E$1005)+SUMPRODUCT((MOVIMIENTOS!$B$5:$B$1005="PROCESO")*(MOVIMIENTOS!$C$5:$C$1005="A")*(MOVIMIENTOS!$D$5:$D$1005="jabas")*(MOVIMIENTOS!$A$5:$A$1005&lt;&gt;"")*(MOVIMIENTOS!$A$5:$A$1005&lt;=$A449)*MOVIMIENTOS!$E$5:$E$1005)-SUMPRODUCT((MOVIMIENTOS!$B$5:$B$1005="ENVÍO A SUPESA")*(MOVIMIENTOS!$C$5:$C$1005="A")*(MOVIMIENTOS!$D$5:$D$1005="jabas")*(MOVIMIENTOS!$A$5:$A$1005&lt;&gt;"")*(MOVIMIENTOS!$A$5:$A$1005&lt;=$A449)*MOVIMIENTOS!$E$5:$E$1005)+SUMPRODUCT((MOVIMIENTOS!$B$5:$B$1005="DEVOLUCIÓN")*(MOVIMIENTOS!$C$5:$C$1005="A")*(MOVIMIENTOS!$D$5:$D$1005="jabas")*(MOVIMIENTOS!$A$5:$A$1005&lt;&gt;"")*(MOVIMIENTOS!$A$5:$A$1005&lt;=$A449)*MOVIMIENTOS!$E$5:$E$1005)-SUMPRODUCT((MOVIMIENTOS!$B$5:$B$1005="TRASIEGO")*(MOVIMIENTOS!$C$5:$C$1005="A")*(MOVIMIENTOS!$D$5:$D$1005="jabas")*(MOVIMIENTOS!$A$5:$A$1005&lt;&gt;"")*(MOVIMIENTOS!$A$5:$A$1005&lt;=$A449)*MOVIMIENTOS!$E$5:$E$1005)-SUMPRODUCT((MOVIMIENTOS!$B$5:$B$1005="REGALO")*(MOVIMIENTOS!$C$5:$C$1005="A")*(MOVIMIENTOS!$D$5:$D$1005="jabas")*(MOVIMIENTOS!$A$5:$A$1005&lt;&gt;"")*(MOVIMIENTOS!$A$5:$A$1005&lt;=$A449)*MOVIMIENTOS!$E$5:$E$1005)-SUMPRODUCT((MOVIMIENTOS!$B$5:$B$1005="VENTA")*(MOVIMIENTOS!$C$5:$C$1005="A")*(MOVIMIENTOS!$D$5:$D$1005="jabas")*(MOVIMIENTOS!$A$5:$A$1005&lt;&gt;"")*(MOVIMIENTOS!$A$5:$A$1005&lt;=$A449)*MOVIMIENTOS!$E$5:$E$1005)+SUMPRODUCT((MOVIMIENTOS!$B$5:$B$1005="AJUSTE")*(MOVIMIENTOS!$C$5:$C$1005="A")*(MOVIMIENTOS!$D$5:$D$1005="jabas")*(MOVIMIENTOS!$A$5:$A$1005&lt;&gt;"")*(MOVIMIENTOS!$A$5:$A$1005&lt;=$A449)*MOVIMIENTOS!$E$5:$E$1005))</f>
        <v/>
      </c>
      <c r="C449" t="str">
        <f>IF($A449="","",SUMPRODUCT((MOVIMIENTOS!$B$5:$B$1005="SALDO INICIAL")*(MOVIMIENTOS!$C$5:$C$1005="P")*(MOVIMIENTOS!$D$5:$D$1005="jabas")*(MOVIMIENTOS!$A$5:$A$1005&lt;&gt;"")*(MOVIMIENTOS!$A$5:$A$1005&lt;=$A449)*MOVIMIENTOS!$E$5:$E$1005)+SUMPRODUCT((MOVIMIENTOS!$B$5:$B$1005="PROCESO")*(MOVIMIENTOS!$C$5:$C$1005="P")*(MOVIMIENTOS!$D$5:$D$1005="jabas")*(MOVIMIENTOS!$A$5:$A$1005&lt;&gt;"")*(MOVIMIENTOS!$A$5:$A$1005&lt;=$A449)*MOVIMIENTOS!$E$5:$E$1005)-SUMPRODUCT((MOVIMIENTOS!$B$5:$B$1005="ENVÍO A SUPESA")*(MOVIMIENTOS!$C$5:$C$1005="P")*(MOVIMIENTOS!$D$5:$D$1005="jabas")*(MOVIMIENTOS!$A$5:$A$1005&lt;&gt;"")*(MOVIMIENTOS!$A$5:$A$1005&lt;=$A449)*MOVIMIENTOS!$E$5:$E$1005)+SUMPRODUCT((MOVIMIENTOS!$B$5:$B$1005="DEVOLUCIÓN")*(MOVIMIENTOS!$C$5:$C$1005="P")*(MOVIMIENTOS!$D$5:$D$1005="jabas")*(MOVIMIENTOS!$A$5:$A$1005&lt;&gt;"")*(MOVIMIENTOS!$A$5:$A$1005&lt;=$A449)*MOVIMIENTOS!$E$5:$E$1005)-SUMPRODUCT((MOVIMIENTOS!$B$5:$B$1005="TRASIEGO")*(MOVIMIENTOS!$C$5:$C$1005="P")*(MOVIMIENTOS!$D$5:$D$1005="jabas")*(MOVIMIENTOS!$A$5:$A$1005&lt;&gt;"")*(MOVIMIENTOS!$A$5:$A$1005&lt;=$A449)*MOVIMIENTOS!$E$5:$E$1005)-SUMPRODUCT((MOVIMIENTOS!$B$5:$B$1005="REGALO")*(MOVIMIENTOS!$C$5:$C$1005="P")*(MOVIMIENTOS!$D$5:$D$1005="jabas")*(MOVIMIENTOS!$A$5:$A$1005&lt;&gt;"")*(MOVIMIENTOS!$A$5:$A$1005&lt;=$A449)*MOVIMIENTOS!$E$5:$E$1005)-SUMPRODUCT((MOVIMIENTOS!$B$5:$B$1005="VENTA")*(MOVIMIENTOS!$C$5:$C$1005="P")*(MOVIMIENTOS!$D$5:$D$1005="jabas")*(MOVIMIENTOS!$A$5:$A$1005&lt;&gt;"")*(MOVIMIENTOS!$A$5:$A$1005&lt;=$A449)*MOVIMIENTOS!$E$5:$E$1005)+SUMPRODUCT((MOVIMIENTOS!$B$5:$B$1005="AJUSTE")*(MOVIMIENTOS!$C$5:$C$1005="P")*(MOVIMIENTOS!$D$5:$D$1005="jabas")*(MOVIMIENTOS!$A$5:$A$1005&lt;&gt;"")*(MOVIMIENTOS!$A$5:$A$1005&lt;=$A449)*MOVIMIENTOS!$E$5:$E$1005))</f>
        <v/>
      </c>
      <c r="D449" t="str">
        <f>IF($A449="","",SUMPRODUCT((MOVIMIENTOS!$B$5:$B$1005="SALDO INICIAL")*(MOVIMIENTOS!$C$5:$C$1005="C")*(MOVIMIENTOS!$D$5:$D$1005="jabas")*(MOVIMIENTOS!$A$5:$A$1005&lt;&gt;"")*(MOVIMIENTOS!$A$5:$A$1005&lt;=$A449)*MOVIMIENTOS!$E$5:$E$1005)+SUMPRODUCT((MOVIMIENTOS!$B$5:$B$1005="PROCESO")*(MOVIMIENTOS!$C$5:$C$1005="C")*(MOVIMIENTOS!$D$5:$D$1005="jabas")*(MOVIMIENTOS!$A$5:$A$1005&lt;&gt;"")*(MOVIMIENTOS!$A$5:$A$1005&lt;=$A449)*MOVIMIENTOS!$E$5:$E$1005)-SUMPRODUCT((MOVIMIENTOS!$B$5:$B$1005="ENVÍO A SUPESA")*(MOVIMIENTOS!$C$5:$C$1005="C")*(MOVIMIENTOS!$D$5:$D$1005="jabas")*(MOVIMIENTOS!$A$5:$A$1005&lt;&gt;"")*(MOVIMIENTOS!$A$5:$A$1005&lt;=$A449)*MOVIMIENTOS!$E$5:$E$1005)+SUMPRODUCT((MOVIMIENTOS!$B$5:$B$1005="DEVOLUCIÓN")*(MOVIMIENTOS!$C$5:$C$1005="C")*(MOVIMIENTOS!$D$5:$D$1005="jabas")*(MOVIMIENTOS!$A$5:$A$1005&lt;&gt;"")*(MOVIMIENTOS!$A$5:$A$1005&lt;=$A449)*MOVIMIENTOS!$E$5:$E$1005)-SUMPRODUCT((MOVIMIENTOS!$B$5:$B$1005="TRASIEGO")*(MOVIMIENTOS!$C$5:$C$1005="C")*(MOVIMIENTOS!$D$5:$D$1005="jabas")*(MOVIMIENTOS!$A$5:$A$1005&lt;&gt;"")*(MOVIMIENTOS!$A$5:$A$1005&lt;=$A449)*MOVIMIENTOS!$E$5:$E$1005)-SUMPRODUCT((MOVIMIENTOS!$B$5:$B$1005="REGALO")*(MOVIMIENTOS!$C$5:$C$1005="C")*(MOVIMIENTOS!$D$5:$D$1005="jabas")*(MOVIMIENTOS!$A$5:$A$1005&lt;&gt;"")*(MOVIMIENTOS!$A$5:$A$1005&lt;=$A449)*MOVIMIENTOS!$E$5:$E$1005)-SUMPRODUCT((MOVIMIENTOS!$B$5:$B$1005="VENTA")*(MOVIMIENTOS!$C$5:$C$1005="C")*(MOVIMIENTOS!$D$5:$D$1005="jabas")*(MOVIMIENTOS!$A$5:$A$1005&lt;&gt;"")*(MOVIMIENTOS!$A$5:$A$1005&lt;=$A449)*MOVIMIENTOS!$E$5:$E$1005)+SUMPRODUCT((MOVIMIENTOS!$B$5:$B$1005="AJUSTE")*(MOVIMIENTOS!$C$5:$C$1005="C")*(MOVIMIENTOS!$D$5:$D$1005="jabas")*(MOVIMIENTOS!$A$5:$A$1005&lt;&gt;"")*(MOVIMIENTOS!$A$5:$A$1005&lt;=$A449)*MOVIMIENTOS!$E$5:$E$1005))</f>
        <v/>
      </c>
      <c r="E449" t="str">
        <f>IF($A449="","",SUMPRODUCT((MOVIMIENTOS!$B$5:$B$1005="SALDO INICIAL")*(MOVIMIENTOS!$C$5:$C$1005="M")*(MOVIMIENTOS!$D$5:$D$1005="jabas")*(MOVIMIENTOS!$A$5:$A$1005&lt;&gt;"")*(MOVIMIENTOS!$A$5:$A$1005&lt;=$A449)*MOVIMIENTOS!$E$5:$E$1005)+SUMPRODUCT((MOVIMIENTOS!$B$5:$B$1005="PROCESO")*(MOVIMIENTOS!$C$5:$C$1005="M")*(MOVIMIENTOS!$D$5:$D$1005="jabas")*(MOVIMIENTOS!$A$5:$A$1005&lt;&gt;"")*(MOVIMIENTOS!$A$5:$A$1005&lt;=$A449)*MOVIMIENTOS!$E$5:$E$1005)-SUMPRODUCT((MOVIMIENTOS!$B$5:$B$1005="ENVÍO A SUPESA")*(MOVIMIENTOS!$C$5:$C$1005="M")*(MOVIMIENTOS!$D$5:$D$1005="jabas")*(MOVIMIENTOS!$A$5:$A$1005&lt;&gt;"")*(MOVIMIENTOS!$A$5:$A$1005&lt;=$A449)*MOVIMIENTOS!$E$5:$E$1005)+SUMPRODUCT((MOVIMIENTOS!$B$5:$B$1005="DEVOLUCIÓN")*(MOVIMIENTOS!$C$5:$C$1005="M")*(MOVIMIENTOS!$D$5:$D$1005="jabas")*(MOVIMIENTOS!$A$5:$A$1005&lt;&gt;"")*(MOVIMIENTOS!$A$5:$A$1005&lt;=$A449)*MOVIMIENTOS!$E$5:$E$1005)-SUMPRODUCT((MOVIMIENTOS!$B$5:$B$1005="TRASIEGO")*(MOVIMIENTOS!$C$5:$C$1005="M")*(MOVIMIENTOS!$D$5:$D$1005="jabas")*(MOVIMIENTOS!$A$5:$A$1005&lt;&gt;"")*(MOVIMIENTOS!$A$5:$A$1005&lt;=$A449)*MOVIMIENTOS!$E$5:$E$1005)-SUMPRODUCT((MOVIMIENTOS!$B$5:$B$1005="REGALO")*(MOVIMIENTOS!$C$5:$C$1005="M")*(MOVIMIENTOS!$D$5:$D$1005="jabas")*(MOVIMIENTOS!$A$5:$A$1005&lt;&gt;"")*(MOVIMIENTOS!$A$5:$A$1005&lt;=$A449)*MOVIMIENTOS!$E$5:$E$1005)-SUMPRODUCT((MOVIMIENTOS!$B$5:$B$1005="VENTA")*(MOVIMIENTOS!$C$5:$C$1005="M")*(MOVIMIENTOS!$D$5:$D$1005="jabas")*(MOVIMIENTOS!$A$5:$A$1005&lt;&gt;"")*(MOVIMIENTOS!$A$5:$A$1005&lt;=$A449)*MOVIMIENTOS!$E$5:$E$1005)+SUMPRODUCT((MOVIMIENTOS!$B$5:$B$1005="AJUSTE")*(MOVIMIENTOS!$C$5:$C$1005="M")*(MOVIMIENTOS!$D$5:$D$1005="jabas")*(MOVIMIENTOS!$A$5:$A$1005&lt;&gt;"")*(MOVIMIENTOS!$A$5:$A$1005&lt;=$A449)*MOVIMIENTOS!$E$5:$E$1005))</f>
        <v/>
      </c>
      <c r="F449" s="62" t="str">
        <f>IF($A449="","",SUMPRODUCT((MOVIMIENTOS!$B$5:$B$1005="SALDO INICIAL")*(MOVIMIENTOS!$C$5:$C$1005="Chancho")*(MOVIMIENTOS!$D$5:$D$1005="sacos")*(MOVIMIENTOS!$A$5:$A$1005&lt;&gt;"")*(MOVIMIENTOS!$A$5:$A$1005&lt;=$A449)*MOVIMIENTOS!$E$5:$E$1005)+SUMPRODUCT((MOVIMIENTOS!$B$5:$B$1005="PROCESO")*(MOVIMIENTOS!$C$5:$C$1005="Chancho")*(MOVIMIENTOS!$D$5:$D$1005="sacos")*(MOVIMIENTOS!$A$5:$A$1005&lt;&gt;"")*(MOVIMIENTOS!$A$5:$A$1005&lt;=$A449)*MOVIMIENTOS!$E$5:$E$1005)-SUMPRODUCT((MOVIMIENTOS!$B$5:$B$1005="VENTA CHANCHO")*(MOVIMIENTOS!$C$5:$C$1005="Chancho")*(MOVIMIENTOS!$D$5:$D$1005="sacos")*(MOVIMIENTOS!$A$5:$A$1005&lt;&gt;"")*(MOVIMIENTOS!$A$5:$A$1005&lt;=$A449)*MOVIMIENTOS!$E$5:$E$1005)-SUMPRODUCT((MOVIMIENTOS!$B$5:$B$1005="REGALO")*(MOVIMIENTOS!$C$5:$C$1005="Chancho")*(MOVIMIENTOS!$D$5:$D$1005="sacos")*(MOVIMIENTOS!$A$5:$A$1005&lt;&gt;"")*(MOVIMIENTOS!$A$5:$A$1005&lt;=$A449)*MOVIMIENTOS!$E$5:$E$1005)-SUMPRODUCT((MOVIMIENTOS!$B$5:$B$1005="VENTA")*(MOVIMIENTOS!$C$5:$C$1005="Chancho")*(MOVIMIENTOS!$D$5:$D$1005="sacos")*(MOVIMIENTOS!$A$5:$A$1005&lt;&gt;"")*(MOVIMIENTOS!$A$5:$A$1005&lt;=$A449)*MOVIMIENTOS!$E$5:$E$1005)+SUMPRODUCT((MOVIMIENTOS!$B$5:$B$1005="AJUSTE")*(MOVIMIENTOS!$C$5:$C$1005="Chancho")*(MOVIMIENTOS!$D$5:$D$1005="sacos")*(MOVIMIENTOS!$A$5:$A$1005&lt;&gt;"")*(MOVIMIENTOS!$A$5:$A$1005&lt;=$A449)*MOVIMIENTOS!$E$5:$E$1005))</f>
        <v/>
      </c>
      <c r="G449" s="62" t="str">
        <f t="shared" si="13"/>
        <v/>
      </c>
      <c r="H449" t="str">
        <f>IF($A449="","",SUMPRODUCT((((MOVIMIENTOS!$B$5:$B$1005="SALDO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449)*MOVIMIENTOS!$J$5:$J$1005))</f>
        <v/>
      </c>
      <c r="J449" t="str">
        <f>IF(AND(MOVIMIENTOS!$A454&lt;&gt;"",COUNTIF(MOVIMIENTOS!$A$5:$A453,MOVIMIENTOS!$A454)=0),COUNT(J$4:J448)+1,"")</f>
        <v/>
      </c>
      <c r="K449" s="67">
        <f>MOVIMIENTOS!$A454</f>
        <v>46252</v>
      </c>
    </row>
    <row r="450" spans="1:11" ht="15" customHeight="1" x14ac:dyDescent="0.2">
      <c r="A450" t="str">
        <f t="shared" si="12"/>
        <v/>
      </c>
      <c r="B450" t="str">
        <f>IF($A450="","",SUMPRODUCT((MOVIMIENTOS!$B$5:$B$1005="SALDO INICIAL")*(MOVIMIENTOS!$C$5:$C$1005="A")*(MOVIMIENTOS!$D$5:$D$1005="jabas")*(MOVIMIENTOS!$A$5:$A$1005&lt;&gt;"")*(MOVIMIENTOS!$A$5:$A$1005&lt;=$A450)*MOVIMIENTOS!$E$5:$E$1005)+SUMPRODUCT((MOVIMIENTOS!$B$5:$B$1005="PROCESO")*(MOVIMIENTOS!$C$5:$C$1005="A")*(MOVIMIENTOS!$D$5:$D$1005="jabas")*(MOVIMIENTOS!$A$5:$A$1005&lt;&gt;"")*(MOVIMIENTOS!$A$5:$A$1005&lt;=$A450)*MOVIMIENTOS!$E$5:$E$1005)-SUMPRODUCT((MOVIMIENTOS!$B$5:$B$1005="ENVÍO A SUPESA")*(MOVIMIENTOS!$C$5:$C$1005="A")*(MOVIMIENTOS!$D$5:$D$1005="jabas")*(MOVIMIENTOS!$A$5:$A$1005&lt;&gt;"")*(MOVIMIENTOS!$A$5:$A$1005&lt;=$A450)*MOVIMIENTOS!$E$5:$E$1005)+SUMPRODUCT((MOVIMIENTOS!$B$5:$B$1005="DEVOLUCIÓN")*(MOVIMIENTOS!$C$5:$C$1005="A")*(MOVIMIENTOS!$D$5:$D$1005="jabas")*(MOVIMIENTOS!$A$5:$A$1005&lt;&gt;"")*(MOVIMIENTOS!$A$5:$A$1005&lt;=$A450)*MOVIMIENTOS!$E$5:$E$1005)-SUMPRODUCT((MOVIMIENTOS!$B$5:$B$1005="TRASIEGO")*(MOVIMIENTOS!$C$5:$C$1005="A")*(MOVIMIENTOS!$D$5:$D$1005="jabas")*(MOVIMIENTOS!$A$5:$A$1005&lt;&gt;"")*(MOVIMIENTOS!$A$5:$A$1005&lt;=$A450)*MOVIMIENTOS!$E$5:$E$1005)-SUMPRODUCT((MOVIMIENTOS!$B$5:$B$1005="REGALO")*(MOVIMIENTOS!$C$5:$C$1005="A")*(MOVIMIENTOS!$D$5:$D$1005="jabas")*(MOVIMIENTOS!$A$5:$A$1005&lt;&gt;"")*(MOVIMIENTOS!$A$5:$A$1005&lt;=$A450)*MOVIMIENTOS!$E$5:$E$1005)-SUMPRODUCT((MOVIMIENTOS!$B$5:$B$1005="VENTA")*(MOVIMIENTOS!$C$5:$C$1005="A")*(MOVIMIENTOS!$D$5:$D$1005="jabas")*(MOVIMIENTOS!$A$5:$A$1005&lt;&gt;"")*(MOVIMIENTOS!$A$5:$A$1005&lt;=$A450)*MOVIMIENTOS!$E$5:$E$1005)+SUMPRODUCT((MOVIMIENTOS!$B$5:$B$1005="AJUSTE")*(MOVIMIENTOS!$C$5:$C$1005="A")*(MOVIMIENTOS!$D$5:$D$1005="jabas")*(MOVIMIENTOS!$A$5:$A$1005&lt;&gt;"")*(MOVIMIENTOS!$A$5:$A$1005&lt;=$A450)*MOVIMIENTOS!$E$5:$E$1005))</f>
        <v/>
      </c>
      <c r="C450" t="str">
        <f>IF($A450="","",SUMPRODUCT((MOVIMIENTOS!$B$5:$B$1005="SALDO INICIAL")*(MOVIMIENTOS!$C$5:$C$1005="P")*(MOVIMIENTOS!$D$5:$D$1005="jabas")*(MOVIMIENTOS!$A$5:$A$1005&lt;&gt;"")*(MOVIMIENTOS!$A$5:$A$1005&lt;=$A450)*MOVIMIENTOS!$E$5:$E$1005)+SUMPRODUCT((MOVIMIENTOS!$B$5:$B$1005="PROCESO")*(MOVIMIENTOS!$C$5:$C$1005="P")*(MOVIMIENTOS!$D$5:$D$1005="jabas")*(MOVIMIENTOS!$A$5:$A$1005&lt;&gt;"")*(MOVIMIENTOS!$A$5:$A$1005&lt;=$A450)*MOVIMIENTOS!$E$5:$E$1005)-SUMPRODUCT((MOVIMIENTOS!$B$5:$B$1005="ENVÍO A SUPESA")*(MOVIMIENTOS!$C$5:$C$1005="P")*(MOVIMIENTOS!$D$5:$D$1005="jabas")*(MOVIMIENTOS!$A$5:$A$1005&lt;&gt;"")*(MOVIMIENTOS!$A$5:$A$1005&lt;=$A450)*MOVIMIENTOS!$E$5:$E$1005)+SUMPRODUCT((MOVIMIENTOS!$B$5:$B$1005="DEVOLUCIÓN")*(MOVIMIENTOS!$C$5:$C$1005="P")*(MOVIMIENTOS!$D$5:$D$1005="jabas")*(MOVIMIENTOS!$A$5:$A$1005&lt;&gt;"")*(MOVIMIENTOS!$A$5:$A$1005&lt;=$A450)*MOVIMIENTOS!$E$5:$E$1005)-SUMPRODUCT((MOVIMIENTOS!$B$5:$B$1005="TRASIEGO")*(MOVIMIENTOS!$C$5:$C$1005="P")*(MOVIMIENTOS!$D$5:$D$1005="jabas")*(MOVIMIENTOS!$A$5:$A$1005&lt;&gt;"")*(MOVIMIENTOS!$A$5:$A$1005&lt;=$A450)*MOVIMIENTOS!$E$5:$E$1005)-SUMPRODUCT((MOVIMIENTOS!$B$5:$B$1005="REGALO")*(MOVIMIENTOS!$C$5:$C$1005="P")*(MOVIMIENTOS!$D$5:$D$1005="jabas")*(MOVIMIENTOS!$A$5:$A$1005&lt;&gt;"")*(MOVIMIENTOS!$A$5:$A$1005&lt;=$A450)*MOVIMIENTOS!$E$5:$E$1005)-SUMPRODUCT((MOVIMIENTOS!$B$5:$B$1005="VENTA")*(MOVIMIENTOS!$C$5:$C$1005="P")*(MOVIMIENTOS!$D$5:$D$1005="jabas")*(MOVIMIENTOS!$A$5:$A$1005&lt;&gt;"")*(MOVIMIENTOS!$A$5:$A$1005&lt;=$A450)*MOVIMIENTOS!$E$5:$E$1005)+SUMPRODUCT((MOVIMIENTOS!$B$5:$B$1005="AJUSTE")*(MOVIMIENTOS!$C$5:$C$1005="P")*(MOVIMIENTOS!$D$5:$D$1005="jabas")*(MOVIMIENTOS!$A$5:$A$1005&lt;&gt;"")*(MOVIMIENTOS!$A$5:$A$1005&lt;=$A450)*MOVIMIENTOS!$E$5:$E$1005))</f>
        <v/>
      </c>
      <c r="D450" t="str">
        <f>IF($A450="","",SUMPRODUCT((MOVIMIENTOS!$B$5:$B$1005="SALDO INICIAL")*(MOVIMIENTOS!$C$5:$C$1005="C")*(MOVIMIENTOS!$D$5:$D$1005="jabas")*(MOVIMIENTOS!$A$5:$A$1005&lt;&gt;"")*(MOVIMIENTOS!$A$5:$A$1005&lt;=$A450)*MOVIMIENTOS!$E$5:$E$1005)+SUMPRODUCT((MOVIMIENTOS!$B$5:$B$1005="PROCESO")*(MOVIMIENTOS!$C$5:$C$1005="C")*(MOVIMIENTOS!$D$5:$D$1005="jabas")*(MOVIMIENTOS!$A$5:$A$1005&lt;&gt;"")*(MOVIMIENTOS!$A$5:$A$1005&lt;=$A450)*MOVIMIENTOS!$E$5:$E$1005)-SUMPRODUCT((MOVIMIENTOS!$B$5:$B$1005="ENVÍO A SUPESA")*(MOVIMIENTOS!$C$5:$C$1005="C")*(MOVIMIENTOS!$D$5:$D$1005="jabas")*(MOVIMIENTOS!$A$5:$A$1005&lt;&gt;"")*(MOVIMIENTOS!$A$5:$A$1005&lt;=$A450)*MOVIMIENTOS!$E$5:$E$1005)+SUMPRODUCT((MOVIMIENTOS!$B$5:$B$1005="DEVOLUCIÓN")*(MOVIMIENTOS!$C$5:$C$1005="C")*(MOVIMIENTOS!$D$5:$D$1005="jabas")*(MOVIMIENTOS!$A$5:$A$1005&lt;&gt;"")*(MOVIMIENTOS!$A$5:$A$1005&lt;=$A450)*MOVIMIENTOS!$E$5:$E$1005)-SUMPRODUCT((MOVIMIENTOS!$B$5:$B$1005="TRASIEGO")*(MOVIMIENTOS!$C$5:$C$1005="C")*(MOVIMIENTOS!$D$5:$D$1005="jabas")*(MOVIMIENTOS!$A$5:$A$1005&lt;&gt;"")*(MOVIMIENTOS!$A$5:$A$1005&lt;=$A450)*MOVIMIENTOS!$E$5:$E$1005)-SUMPRODUCT((MOVIMIENTOS!$B$5:$B$1005="REGALO")*(MOVIMIENTOS!$C$5:$C$1005="C")*(MOVIMIENTOS!$D$5:$D$1005="jabas")*(MOVIMIENTOS!$A$5:$A$1005&lt;&gt;"")*(MOVIMIENTOS!$A$5:$A$1005&lt;=$A450)*MOVIMIENTOS!$E$5:$E$1005)-SUMPRODUCT((MOVIMIENTOS!$B$5:$B$1005="VENTA")*(MOVIMIENTOS!$C$5:$C$1005="C")*(MOVIMIENTOS!$D$5:$D$1005="jabas")*(MOVIMIENTOS!$A$5:$A$1005&lt;&gt;"")*(MOVIMIENTOS!$A$5:$A$1005&lt;=$A450)*MOVIMIENTOS!$E$5:$E$1005)+SUMPRODUCT((MOVIMIENTOS!$B$5:$B$1005="AJUSTE")*(MOVIMIENTOS!$C$5:$C$1005="C")*(MOVIMIENTOS!$D$5:$D$1005="jabas")*(MOVIMIENTOS!$A$5:$A$1005&lt;&gt;"")*(MOVIMIENTOS!$A$5:$A$1005&lt;=$A450)*MOVIMIENTOS!$E$5:$E$1005))</f>
        <v/>
      </c>
      <c r="E450" t="str">
        <f>IF($A450="","",SUMPRODUCT((MOVIMIENTOS!$B$5:$B$1005="SALDO INICIAL")*(MOVIMIENTOS!$C$5:$C$1005="M")*(MOVIMIENTOS!$D$5:$D$1005="jabas")*(MOVIMIENTOS!$A$5:$A$1005&lt;&gt;"")*(MOVIMIENTOS!$A$5:$A$1005&lt;=$A450)*MOVIMIENTOS!$E$5:$E$1005)+SUMPRODUCT((MOVIMIENTOS!$B$5:$B$1005="PROCESO")*(MOVIMIENTOS!$C$5:$C$1005="M")*(MOVIMIENTOS!$D$5:$D$1005="jabas")*(MOVIMIENTOS!$A$5:$A$1005&lt;&gt;"")*(MOVIMIENTOS!$A$5:$A$1005&lt;=$A450)*MOVIMIENTOS!$E$5:$E$1005)-SUMPRODUCT((MOVIMIENTOS!$B$5:$B$1005="ENVÍO A SUPESA")*(MOVIMIENTOS!$C$5:$C$1005="M")*(MOVIMIENTOS!$D$5:$D$1005="jabas")*(MOVIMIENTOS!$A$5:$A$1005&lt;&gt;"")*(MOVIMIENTOS!$A$5:$A$1005&lt;=$A450)*MOVIMIENTOS!$E$5:$E$1005)+SUMPRODUCT((MOVIMIENTOS!$B$5:$B$1005="DEVOLUCIÓN")*(MOVIMIENTOS!$C$5:$C$1005="M")*(MOVIMIENTOS!$D$5:$D$1005="jabas")*(MOVIMIENTOS!$A$5:$A$1005&lt;&gt;"")*(MOVIMIENTOS!$A$5:$A$1005&lt;=$A450)*MOVIMIENTOS!$E$5:$E$1005)-SUMPRODUCT((MOVIMIENTOS!$B$5:$B$1005="TRASIEGO")*(MOVIMIENTOS!$C$5:$C$1005="M")*(MOVIMIENTOS!$D$5:$D$1005="jabas")*(MOVIMIENTOS!$A$5:$A$1005&lt;&gt;"")*(MOVIMIENTOS!$A$5:$A$1005&lt;=$A450)*MOVIMIENTOS!$E$5:$E$1005)-SUMPRODUCT((MOVIMIENTOS!$B$5:$B$1005="REGALO")*(MOVIMIENTOS!$C$5:$C$1005="M")*(MOVIMIENTOS!$D$5:$D$1005="jabas")*(MOVIMIENTOS!$A$5:$A$1005&lt;&gt;"")*(MOVIMIENTOS!$A$5:$A$1005&lt;=$A450)*MOVIMIENTOS!$E$5:$E$1005)-SUMPRODUCT((MOVIMIENTOS!$B$5:$B$1005="VENTA")*(MOVIMIENTOS!$C$5:$C$1005="M")*(MOVIMIENTOS!$D$5:$D$1005="jabas")*(MOVIMIENTOS!$A$5:$A$1005&lt;&gt;"")*(MOVIMIENTOS!$A$5:$A$1005&lt;=$A450)*MOVIMIENTOS!$E$5:$E$1005)+SUMPRODUCT((MOVIMIENTOS!$B$5:$B$1005="AJUSTE")*(MOVIMIENTOS!$C$5:$C$1005="M")*(MOVIMIENTOS!$D$5:$D$1005="jabas")*(MOVIMIENTOS!$A$5:$A$1005&lt;&gt;"")*(MOVIMIENTOS!$A$5:$A$1005&lt;=$A450)*MOVIMIENTOS!$E$5:$E$1005))</f>
        <v/>
      </c>
      <c r="F450" s="62" t="str">
        <f>IF($A450="","",SUMPRODUCT((MOVIMIENTOS!$B$5:$B$1005="SALDO INICIAL")*(MOVIMIENTOS!$C$5:$C$1005="Chancho")*(MOVIMIENTOS!$D$5:$D$1005="sacos")*(MOVIMIENTOS!$A$5:$A$1005&lt;&gt;"")*(MOVIMIENTOS!$A$5:$A$1005&lt;=$A450)*MOVIMIENTOS!$E$5:$E$1005)+SUMPRODUCT((MOVIMIENTOS!$B$5:$B$1005="PROCESO")*(MOVIMIENTOS!$C$5:$C$1005="Chancho")*(MOVIMIENTOS!$D$5:$D$1005="sacos")*(MOVIMIENTOS!$A$5:$A$1005&lt;&gt;"")*(MOVIMIENTOS!$A$5:$A$1005&lt;=$A450)*MOVIMIENTOS!$E$5:$E$1005)-SUMPRODUCT((MOVIMIENTOS!$B$5:$B$1005="VENTA CHANCHO")*(MOVIMIENTOS!$C$5:$C$1005="Chancho")*(MOVIMIENTOS!$D$5:$D$1005="sacos")*(MOVIMIENTOS!$A$5:$A$1005&lt;&gt;"")*(MOVIMIENTOS!$A$5:$A$1005&lt;=$A450)*MOVIMIENTOS!$E$5:$E$1005)-SUMPRODUCT((MOVIMIENTOS!$B$5:$B$1005="REGALO")*(MOVIMIENTOS!$C$5:$C$1005="Chancho")*(MOVIMIENTOS!$D$5:$D$1005="sacos")*(MOVIMIENTOS!$A$5:$A$1005&lt;&gt;"")*(MOVIMIENTOS!$A$5:$A$1005&lt;=$A450)*MOVIMIENTOS!$E$5:$E$1005)-SUMPRODUCT((MOVIMIENTOS!$B$5:$B$1005="VENTA")*(MOVIMIENTOS!$C$5:$C$1005="Chancho")*(MOVIMIENTOS!$D$5:$D$1005="sacos")*(MOVIMIENTOS!$A$5:$A$1005&lt;&gt;"")*(MOVIMIENTOS!$A$5:$A$1005&lt;=$A450)*MOVIMIENTOS!$E$5:$E$1005)+SUMPRODUCT((MOVIMIENTOS!$B$5:$B$1005="AJUSTE")*(MOVIMIENTOS!$C$5:$C$1005="Chancho")*(MOVIMIENTOS!$D$5:$D$1005="sacos")*(MOVIMIENTOS!$A$5:$A$1005&lt;&gt;"")*(MOVIMIENTOS!$A$5:$A$1005&lt;=$A450)*MOVIMIENTOS!$E$5:$E$1005))</f>
        <v/>
      </c>
      <c r="G450" s="62" t="str">
        <f t="shared" si="13"/>
        <v/>
      </c>
      <c r="H450" t="str">
        <f>IF($A450="","",SUMPRODUCT((((MOVIMIENTOS!$B$5:$B$1005="SALDO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450)*MOVIMIENTOS!$J$5:$J$1005))</f>
        <v/>
      </c>
      <c r="J450" t="str">
        <f>IF(AND(MOVIMIENTOS!$A455&lt;&gt;"",COUNTIF(MOVIMIENTOS!$A$5:$A454,MOVIMIENTOS!$A455)=0),COUNT(J$4:J449)+1,"")</f>
        <v/>
      </c>
      <c r="K450" s="67">
        <f>MOVIMIENTOS!$A455</f>
        <v>46252</v>
      </c>
    </row>
    <row r="451" spans="1:11" ht="15" customHeight="1" x14ac:dyDescent="0.2">
      <c r="A451" t="str">
        <f t="shared" si="12"/>
        <v/>
      </c>
      <c r="B451" t="str">
        <f>IF($A451="","",SUMPRODUCT((MOVIMIENTOS!$B$5:$B$1005="SALDO INICIAL")*(MOVIMIENTOS!$C$5:$C$1005="A")*(MOVIMIENTOS!$D$5:$D$1005="jabas")*(MOVIMIENTOS!$A$5:$A$1005&lt;&gt;"")*(MOVIMIENTOS!$A$5:$A$1005&lt;=$A451)*MOVIMIENTOS!$E$5:$E$1005)+SUMPRODUCT((MOVIMIENTOS!$B$5:$B$1005="PROCESO")*(MOVIMIENTOS!$C$5:$C$1005="A")*(MOVIMIENTOS!$D$5:$D$1005="jabas")*(MOVIMIENTOS!$A$5:$A$1005&lt;&gt;"")*(MOVIMIENTOS!$A$5:$A$1005&lt;=$A451)*MOVIMIENTOS!$E$5:$E$1005)-SUMPRODUCT((MOVIMIENTOS!$B$5:$B$1005="ENVÍO A SUPESA")*(MOVIMIENTOS!$C$5:$C$1005="A")*(MOVIMIENTOS!$D$5:$D$1005="jabas")*(MOVIMIENTOS!$A$5:$A$1005&lt;&gt;"")*(MOVIMIENTOS!$A$5:$A$1005&lt;=$A451)*MOVIMIENTOS!$E$5:$E$1005)+SUMPRODUCT((MOVIMIENTOS!$B$5:$B$1005="DEVOLUCIÓN")*(MOVIMIENTOS!$C$5:$C$1005="A")*(MOVIMIENTOS!$D$5:$D$1005="jabas")*(MOVIMIENTOS!$A$5:$A$1005&lt;&gt;"")*(MOVIMIENTOS!$A$5:$A$1005&lt;=$A451)*MOVIMIENTOS!$E$5:$E$1005)-SUMPRODUCT((MOVIMIENTOS!$B$5:$B$1005="TRASIEGO")*(MOVIMIENTOS!$C$5:$C$1005="A")*(MOVIMIENTOS!$D$5:$D$1005="jabas")*(MOVIMIENTOS!$A$5:$A$1005&lt;&gt;"")*(MOVIMIENTOS!$A$5:$A$1005&lt;=$A451)*MOVIMIENTOS!$E$5:$E$1005)-SUMPRODUCT((MOVIMIENTOS!$B$5:$B$1005="REGALO")*(MOVIMIENTOS!$C$5:$C$1005="A")*(MOVIMIENTOS!$D$5:$D$1005="jabas")*(MOVIMIENTOS!$A$5:$A$1005&lt;&gt;"")*(MOVIMIENTOS!$A$5:$A$1005&lt;=$A451)*MOVIMIENTOS!$E$5:$E$1005)-SUMPRODUCT((MOVIMIENTOS!$B$5:$B$1005="VENTA")*(MOVIMIENTOS!$C$5:$C$1005="A")*(MOVIMIENTOS!$D$5:$D$1005="jabas")*(MOVIMIENTOS!$A$5:$A$1005&lt;&gt;"")*(MOVIMIENTOS!$A$5:$A$1005&lt;=$A451)*MOVIMIENTOS!$E$5:$E$1005)+SUMPRODUCT((MOVIMIENTOS!$B$5:$B$1005="AJUSTE")*(MOVIMIENTOS!$C$5:$C$1005="A")*(MOVIMIENTOS!$D$5:$D$1005="jabas")*(MOVIMIENTOS!$A$5:$A$1005&lt;&gt;"")*(MOVIMIENTOS!$A$5:$A$1005&lt;=$A451)*MOVIMIENTOS!$E$5:$E$1005))</f>
        <v/>
      </c>
      <c r="C451" t="str">
        <f>IF($A451="","",SUMPRODUCT((MOVIMIENTOS!$B$5:$B$1005="SALDO INICIAL")*(MOVIMIENTOS!$C$5:$C$1005="P")*(MOVIMIENTOS!$D$5:$D$1005="jabas")*(MOVIMIENTOS!$A$5:$A$1005&lt;&gt;"")*(MOVIMIENTOS!$A$5:$A$1005&lt;=$A451)*MOVIMIENTOS!$E$5:$E$1005)+SUMPRODUCT((MOVIMIENTOS!$B$5:$B$1005="PROCESO")*(MOVIMIENTOS!$C$5:$C$1005="P")*(MOVIMIENTOS!$D$5:$D$1005="jabas")*(MOVIMIENTOS!$A$5:$A$1005&lt;&gt;"")*(MOVIMIENTOS!$A$5:$A$1005&lt;=$A451)*MOVIMIENTOS!$E$5:$E$1005)-SUMPRODUCT((MOVIMIENTOS!$B$5:$B$1005="ENVÍO A SUPESA")*(MOVIMIENTOS!$C$5:$C$1005="P")*(MOVIMIENTOS!$D$5:$D$1005="jabas")*(MOVIMIENTOS!$A$5:$A$1005&lt;&gt;"")*(MOVIMIENTOS!$A$5:$A$1005&lt;=$A451)*MOVIMIENTOS!$E$5:$E$1005)+SUMPRODUCT((MOVIMIENTOS!$B$5:$B$1005="DEVOLUCIÓN")*(MOVIMIENTOS!$C$5:$C$1005="P")*(MOVIMIENTOS!$D$5:$D$1005="jabas")*(MOVIMIENTOS!$A$5:$A$1005&lt;&gt;"")*(MOVIMIENTOS!$A$5:$A$1005&lt;=$A451)*MOVIMIENTOS!$E$5:$E$1005)-SUMPRODUCT((MOVIMIENTOS!$B$5:$B$1005="TRASIEGO")*(MOVIMIENTOS!$C$5:$C$1005="P")*(MOVIMIENTOS!$D$5:$D$1005="jabas")*(MOVIMIENTOS!$A$5:$A$1005&lt;&gt;"")*(MOVIMIENTOS!$A$5:$A$1005&lt;=$A451)*MOVIMIENTOS!$E$5:$E$1005)-SUMPRODUCT((MOVIMIENTOS!$B$5:$B$1005="REGALO")*(MOVIMIENTOS!$C$5:$C$1005="P")*(MOVIMIENTOS!$D$5:$D$1005="jabas")*(MOVIMIENTOS!$A$5:$A$1005&lt;&gt;"")*(MOVIMIENTOS!$A$5:$A$1005&lt;=$A451)*MOVIMIENTOS!$E$5:$E$1005)-SUMPRODUCT((MOVIMIENTOS!$B$5:$B$1005="VENTA")*(MOVIMIENTOS!$C$5:$C$1005="P")*(MOVIMIENTOS!$D$5:$D$1005="jabas")*(MOVIMIENTOS!$A$5:$A$1005&lt;&gt;"")*(MOVIMIENTOS!$A$5:$A$1005&lt;=$A451)*MOVIMIENTOS!$E$5:$E$1005)+SUMPRODUCT((MOVIMIENTOS!$B$5:$B$1005="AJUSTE")*(MOVIMIENTOS!$C$5:$C$1005="P")*(MOVIMIENTOS!$D$5:$D$1005="jabas")*(MOVIMIENTOS!$A$5:$A$1005&lt;&gt;"")*(MOVIMIENTOS!$A$5:$A$1005&lt;=$A451)*MOVIMIENTOS!$E$5:$E$1005))</f>
        <v/>
      </c>
      <c r="D451" t="str">
        <f>IF($A451="","",SUMPRODUCT((MOVIMIENTOS!$B$5:$B$1005="SALDO INICIAL")*(MOVIMIENTOS!$C$5:$C$1005="C")*(MOVIMIENTOS!$D$5:$D$1005="jabas")*(MOVIMIENTOS!$A$5:$A$1005&lt;&gt;"")*(MOVIMIENTOS!$A$5:$A$1005&lt;=$A451)*MOVIMIENTOS!$E$5:$E$1005)+SUMPRODUCT((MOVIMIENTOS!$B$5:$B$1005="PROCESO")*(MOVIMIENTOS!$C$5:$C$1005="C")*(MOVIMIENTOS!$D$5:$D$1005="jabas")*(MOVIMIENTOS!$A$5:$A$1005&lt;&gt;"")*(MOVIMIENTOS!$A$5:$A$1005&lt;=$A451)*MOVIMIENTOS!$E$5:$E$1005)-SUMPRODUCT((MOVIMIENTOS!$B$5:$B$1005="ENVÍO A SUPESA")*(MOVIMIENTOS!$C$5:$C$1005="C")*(MOVIMIENTOS!$D$5:$D$1005="jabas")*(MOVIMIENTOS!$A$5:$A$1005&lt;&gt;"")*(MOVIMIENTOS!$A$5:$A$1005&lt;=$A451)*MOVIMIENTOS!$E$5:$E$1005)+SUMPRODUCT((MOVIMIENTOS!$B$5:$B$1005="DEVOLUCIÓN")*(MOVIMIENTOS!$C$5:$C$1005="C")*(MOVIMIENTOS!$D$5:$D$1005="jabas")*(MOVIMIENTOS!$A$5:$A$1005&lt;&gt;"")*(MOVIMIENTOS!$A$5:$A$1005&lt;=$A451)*MOVIMIENTOS!$E$5:$E$1005)-SUMPRODUCT((MOVIMIENTOS!$B$5:$B$1005="TRASIEGO")*(MOVIMIENTOS!$C$5:$C$1005="C")*(MOVIMIENTOS!$D$5:$D$1005="jabas")*(MOVIMIENTOS!$A$5:$A$1005&lt;&gt;"")*(MOVIMIENTOS!$A$5:$A$1005&lt;=$A451)*MOVIMIENTOS!$E$5:$E$1005)-SUMPRODUCT((MOVIMIENTOS!$B$5:$B$1005="REGALO")*(MOVIMIENTOS!$C$5:$C$1005="C")*(MOVIMIENTOS!$D$5:$D$1005="jabas")*(MOVIMIENTOS!$A$5:$A$1005&lt;&gt;"")*(MOVIMIENTOS!$A$5:$A$1005&lt;=$A451)*MOVIMIENTOS!$E$5:$E$1005)-SUMPRODUCT((MOVIMIENTOS!$B$5:$B$1005="VENTA")*(MOVIMIENTOS!$C$5:$C$1005="C")*(MOVIMIENTOS!$D$5:$D$1005="jabas")*(MOVIMIENTOS!$A$5:$A$1005&lt;&gt;"")*(MOVIMIENTOS!$A$5:$A$1005&lt;=$A451)*MOVIMIENTOS!$E$5:$E$1005)+SUMPRODUCT((MOVIMIENTOS!$B$5:$B$1005="AJUSTE")*(MOVIMIENTOS!$C$5:$C$1005="C")*(MOVIMIENTOS!$D$5:$D$1005="jabas")*(MOVIMIENTOS!$A$5:$A$1005&lt;&gt;"")*(MOVIMIENTOS!$A$5:$A$1005&lt;=$A451)*MOVIMIENTOS!$E$5:$E$1005))</f>
        <v/>
      </c>
      <c r="E451" t="str">
        <f>IF($A451="","",SUMPRODUCT((MOVIMIENTOS!$B$5:$B$1005="SALDO INICIAL")*(MOVIMIENTOS!$C$5:$C$1005="M")*(MOVIMIENTOS!$D$5:$D$1005="jabas")*(MOVIMIENTOS!$A$5:$A$1005&lt;&gt;"")*(MOVIMIENTOS!$A$5:$A$1005&lt;=$A451)*MOVIMIENTOS!$E$5:$E$1005)+SUMPRODUCT((MOVIMIENTOS!$B$5:$B$1005="PROCESO")*(MOVIMIENTOS!$C$5:$C$1005="M")*(MOVIMIENTOS!$D$5:$D$1005="jabas")*(MOVIMIENTOS!$A$5:$A$1005&lt;&gt;"")*(MOVIMIENTOS!$A$5:$A$1005&lt;=$A451)*MOVIMIENTOS!$E$5:$E$1005)-SUMPRODUCT((MOVIMIENTOS!$B$5:$B$1005="ENVÍO A SUPESA")*(MOVIMIENTOS!$C$5:$C$1005="M")*(MOVIMIENTOS!$D$5:$D$1005="jabas")*(MOVIMIENTOS!$A$5:$A$1005&lt;&gt;"")*(MOVIMIENTOS!$A$5:$A$1005&lt;=$A451)*MOVIMIENTOS!$E$5:$E$1005)+SUMPRODUCT((MOVIMIENTOS!$B$5:$B$1005="DEVOLUCIÓN")*(MOVIMIENTOS!$C$5:$C$1005="M")*(MOVIMIENTOS!$D$5:$D$1005="jabas")*(MOVIMIENTOS!$A$5:$A$1005&lt;&gt;"")*(MOVIMIENTOS!$A$5:$A$1005&lt;=$A451)*MOVIMIENTOS!$E$5:$E$1005)-SUMPRODUCT((MOVIMIENTOS!$B$5:$B$1005="TRASIEGO")*(MOVIMIENTOS!$C$5:$C$1005="M")*(MOVIMIENTOS!$D$5:$D$1005="jabas")*(MOVIMIENTOS!$A$5:$A$1005&lt;&gt;"")*(MOVIMIENTOS!$A$5:$A$1005&lt;=$A451)*MOVIMIENTOS!$E$5:$E$1005)-SUMPRODUCT((MOVIMIENTOS!$B$5:$B$1005="REGALO")*(MOVIMIENTOS!$C$5:$C$1005="M")*(MOVIMIENTOS!$D$5:$D$1005="jabas")*(MOVIMIENTOS!$A$5:$A$1005&lt;&gt;"")*(MOVIMIENTOS!$A$5:$A$1005&lt;=$A451)*MOVIMIENTOS!$E$5:$E$1005)-SUMPRODUCT((MOVIMIENTOS!$B$5:$B$1005="VENTA")*(MOVIMIENTOS!$C$5:$C$1005="M")*(MOVIMIENTOS!$D$5:$D$1005="jabas")*(MOVIMIENTOS!$A$5:$A$1005&lt;&gt;"")*(MOVIMIENTOS!$A$5:$A$1005&lt;=$A451)*MOVIMIENTOS!$E$5:$E$1005)+SUMPRODUCT((MOVIMIENTOS!$B$5:$B$1005="AJUSTE")*(MOVIMIENTOS!$C$5:$C$1005="M")*(MOVIMIENTOS!$D$5:$D$1005="jabas")*(MOVIMIENTOS!$A$5:$A$1005&lt;&gt;"")*(MOVIMIENTOS!$A$5:$A$1005&lt;=$A451)*MOVIMIENTOS!$E$5:$E$1005))</f>
        <v/>
      </c>
      <c r="F451" s="62" t="str">
        <f>IF($A451="","",SUMPRODUCT((MOVIMIENTOS!$B$5:$B$1005="SALDO INICIAL")*(MOVIMIENTOS!$C$5:$C$1005="Chancho")*(MOVIMIENTOS!$D$5:$D$1005="sacos")*(MOVIMIENTOS!$A$5:$A$1005&lt;&gt;"")*(MOVIMIENTOS!$A$5:$A$1005&lt;=$A451)*MOVIMIENTOS!$E$5:$E$1005)+SUMPRODUCT((MOVIMIENTOS!$B$5:$B$1005="PROCESO")*(MOVIMIENTOS!$C$5:$C$1005="Chancho")*(MOVIMIENTOS!$D$5:$D$1005="sacos")*(MOVIMIENTOS!$A$5:$A$1005&lt;&gt;"")*(MOVIMIENTOS!$A$5:$A$1005&lt;=$A451)*MOVIMIENTOS!$E$5:$E$1005)-SUMPRODUCT((MOVIMIENTOS!$B$5:$B$1005="VENTA CHANCHO")*(MOVIMIENTOS!$C$5:$C$1005="Chancho")*(MOVIMIENTOS!$D$5:$D$1005="sacos")*(MOVIMIENTOS!$A$5:$A$1005&lt;&gt;"")*(MOVIMIENTOS!$A$5:$A$1005&lt;=$A451)*MOVIMIENTOS!$E$5:$E$1005)-SUMPRODUCT((MOVIMIENTOS!$B$5:$B$1005="REGALO")*(MOVIMIENTOS!$C$5:$C$1005="Chancho")*(MOVIMIENTOS!$D$5:$D$1005="sacos")*(MOVIMIENTOS!$A$5:$A$1005&lt;&gt;"")*(MOVIMIENTOS!$A$5:$A$1005&lt;=$A451)*MOVIMIENTOS!$E$5:$E$1005)-SUMPRODUCT((MOVIMIENTOS!$B$5:$B$1005="VENTA")*(MOVIMIENTOS!$C$5:$C$1005="Chancho")*(MOVIMIENTOS!$D$5:$D$1005="sacos")*(MOVIMIENTOS!$A$5:$A$1005&lt;&gt;"")*(MOVIMIENTOS!$A$5:$A$1005&lt;=$A451)*MOVIMIENTOS!$E$5:$E$1005)+SUMPRODUCT((MOVIMIENTOS!$B$5:$B$1005="AJUSTE")*(MOVIMIENTOS!$C$5:$C$1005="Chancho")*(MOVIMIENTOS!$D$5:$D$1005="sacos")*(MOVIMIENTOS!$A$5:$A$1005&lt;&gt;"")*(MOVIMIENTOS!$A$5:$A$1005&lt;=$A451)*MOVIMIENTOS!$E$5:$E$1005))</f>
        <v/>
      </c>
      <c r="G451" s="62" t="str">
        <f t="shared" si="13"/>
        <v/>
      </c>
      <c r="H451" t="str">
        <f>IF($A451="","",SUMPRODUCT((((MOVIMIENTOS!$B$5:$B$1005="SALDO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451)*MOVIMIENTOS!$J$5:$J$1005))</f>
        <v/>
      </c>
      <c r="J451" t="str">
        <f>IF(AND(MOVIMIENTOS!$A456&lt;&gt;"",COUNTIF(MOVIMIENTOS!$A$5:$A455,MOVIMIENTOS!$A456)=0),COUNT(J$4:J450)+1,"")</f>
        <v/>
      </c>
      <c r="K451" s="67">
        <f>MOVIMIENTOS!$A456</f>
        <v>46252</v>
      </c>
    </row>
    <row r="452" spans="1:11" ht="15" customHeight="1" x14ac:dyDescent="0.2">
      <c r="A452" t="str">
        <f t="shared" si="12"/>
        <v/>
      </c>
      <c r="B452" t="str">
        <f>IF($A452="","",SUMPRODUCT((MOVIMIENTOS!$B$5:$B$1005="SALDO INICIAL")*(MOVIMIENTOS!$C$5:$C$1005="A")*(MOVIMIENTOS!$D$5:$D$1005="jabas")*(MOVIMIENTOS!$A$5:$A$1005&lt;&gt;"")*(MOVIMIENTOS!$A$5:$A$1005&lt;=$A452)*MOVIMIENTOS!$E$5:$E$1005)+SUMPRODUCT((MOVIMIENTOS!$B$5:$B$1005="PROCESO")*(MOVIMIENTOS!$C$5:$C$1005="A")*(MOVIMIENTOS!$D$5:$D$1005="jabas")*(MOVIMIENTOS!$A$5:$A$1005&lt;&gt;"")*(MOVIMIENTOS!$A$5:$A$1005&lt;=$A452)*MOVIMIENTOS!$E$5:$E$1005)-SUMPRODUCT((MOVIMIENTOS!$B$5:$B$1005="ENVÍO A SUPESA")*(MOVIMIENTOS!$C$5:$C$1005="A")*(MOVIMIENTOS!$D$5:$D$1005="jabas")*(MOVIMIENTOS!$A$5:$A$1005&lt;&gt;"")*(MOVIMIENTOS!$A$5:$A$1005&lt;=$A452)*MOVIMIENTOS!$E$5:$E$1005)+SUMPRODUCT((MOVIMIENTOS!$B$5:$B$1005="DEVOLUCIÓN")*(MOVIMIENTOS!$C$5:$C$1005="A")*(MOVIMIENTOS!$D$5:$D$1005="jabas")*(MOVIMIENTOS!$A$5:$A$1005&lt;&gt;"")*(MOVIMIENTOS!$A$5:$A$1005&lt;=$A452)*MOVIMIENTOS!$E$5:$E$1005)-SUMPRODUCT((MOVIMIENTOS!$B$5:$B$1005="TRASIEGO")*(MOVIMIENTOS!$C$5:$C$1005="A")*(MOVIMIENTOS!$D$5:$D$1005="jabas")*(MOVIMIENTOS!$A$5:$A$1005&lt;&gt;"")*(MOVIMIENTOS!$A$5:$A$1005&lt;=$A452)*MOVIMIENTOS!$E$5:$E$1005)-SUMPRODUCT((MOVIMIENTOS!$B$5:$B$1005="REGALO")*(MOVIMIENTOS!$C$5:$C$1005="A")*(MOVIMIENTOS!$D$5:$D$1005="jabas")*(MOVIMIENTOS!$A$5:$A$1005&lt;&gt;"")*(MOVIMIENTOS!$A$5:$A$1005&lt;=$A452)*MOVIMIENTOS!$E$5:$E$1005)-SUMPRODUCT((MOVIMIENTOS!$B$5:$B$1005="VENTA")*(MOVIMIENTOS!$C$5:$C$1005="A")*(MOVIMIENTOS!$D$5:$D$1005="jabas")*(MOVIMIENTOS!$A$5:$A$1005&lt;&gt;"")*(MOVIMIENTOS!$A$5:$A$1005&lt;=$A452)*MOVIMIENTOS!$E$5:$E$1005)+SUMPRODUCT((MOVIMIENTOS!$B$5:$B$1005="AJUSTE")*(MOVIMIENTOS!$C$5:$C$1005="A")*(MOVIMIENTOS!$D$5:$D$1005="jabas")*(MOVIMIENTOS!$A$5:$A$1005&lt;&gt;"")*(MOVIMIENTOS!$A$5:$A$1005&lt;=$A452)*MOVIMIENTOS!$E$5:$E$1005))</f>
        <v/>
      </c>
      <c r="C452" t="str">
        <f>IF($A452="","",SUMPRODUCT((MOVIMIENTOS!$B$5:$B$1005="SALDO INICIAL")*(MOVIMIENTOS!$C$5:$C$1005="P")*(MOVIMIENTOS!$D$5:$D$1005="jabas")*(MOVIMIENTOS!$A$5:$A$1005&lt;&gt;"")*(MOVIMIENTOS!$A$5:$A$1005&lt;=$A452)*MOVIMIENTOS!$E$5:$E$1005)+SUMPRODUCT((MOVIMIENTOS!$B$5:$B$1005="PROCESO")*(MOVIMIENTOS!$C$5:$C$1005="P")*(MOVIMIENTOS!$D$5:$D$1005="jabas")*(MOVIMIENTOS!$A$5:$A$1005&lt;&gt;"")*(MOVIMIENTOS!$A$5:$A$1005&lt;=$A452)*MOVIMIENTOS!$E$5:$E$1005)-SUMPRODUCT((MOVIMIENTOS!$B$5:$B$1005="ENVÍO A SUPESA")*(MOVIMIENTOS!$C$5:$C$1005="P")*(MOVIMIENTOS!$D$5:$D$1005="jabas")*(MOVIMIENTOS!$A$5:$A$1005&lt;&gt;"")*(MOVIMIENTOS!$A$5:$A$1005&lt;=$A452)*MOVIMIENTOS!$E$5:$E$1005)+SUMPRODUCT((MOVIMIENTOS!$B$5:$B$1005="DEVOLUCIÓN")*(MOVIMIENTOS!$C$5:$C$1005="P")*(MOVIMIENTOS!$D$5:$D$1005="jabas")*(MOVIMIENTOS!$A$5:$A$1005&lt;&gt;"")*(MOVIMIENTOS!$A$5:$A$1005&lt;=$A452)*MOVIMIENTOS!$E$5:$E$1005)-SUMPRODUCT((MOVIMIENTOS!$B$5:$B$1005="TRASIEGO")*(MOVIMIENTOS!$C$5:$C$1005="P")*(MOVIMIENTOS!$D$5:$D$1005="jabas")*(MOVIMIENTOS!$A$5:$A$1005&lt;&gt;"")*(MOVIMIENTOS!$A$5:$A$1005&lt;=$A452)*MOVIMIENTOS!$E$5:$E$1005)-SUMPRODUCT((MOVIMIENTOS!$B$5:$B$1005="REGALO")*(MOVIMIENTOS!$C$5:$C$1005="P")*(MOVIMIENTOS!$D$5:$D$1005="jabas")*(MOVIMIENTOS!$A$5:$A$1005&lt;&gt;"")*(MOVIMIENTOS!$A$5:$A$1005&lt;=$A452)*MOVIMIENTOS!$E$5:$E$1005)-SUMPRODUCT((MOVIMIENTOS!$B$5:$B$1005="VENTA")*(MOVIMIENTOS!$C$5:$C$1005="P")*(MOVIMIENTOS!$D$5:$D$1005="jabas")*(MOVIMIENTOS!$A$5:$A$1005&lt;&gt;"")*(MOVIMIENTOS!$A$5:$A$1005&lt;=$A452)*MOVIMIENTOS!$E$5:$E$1005)+SUMPRODUCT((MOVIMIENTOS!$B$5:$B$1005="AJUSTE")*(MOVIMIENTOS!$C$5:$C$1005="P")*(MOVIMIENTOS!$D$5:$D$1005="jabas")*(MOVIMIENTOS!$A$5:$A$1005&lt;&gt;"")*(MOVIMIENTOS!$A$5:$A$1005&lt;=$A452)*MOVIMIENTOS!$E$5:$E$1005))</f>
        <v/>
      </c>
      <c r="D452" t="str">
        <f>IF($A452="","",SUMPRODUCT((MOVIMIENTOS!$B$5:$B$1005="SALDO INICIAL")*(MOVIMIENTOS!$C$5:$C$1005="C")*(MOVIMIENTOS!$D$5:$D$1005="jabas")*(MOVIMIENTOS!$A$5:$A$1005&lt;&gt;"")*(MOVIMIENTOS!$A$5:$A$1005&lt;=$A452)*MOVIMIENTOS!$E$5:$E$1005)+SUMPRODUCT((MOVIMIENTOS!$B$5:$B$1005="PROCESO")*(MOVIMIENTOS!$C$5:$C$1005="C")*(MOVIMIENTOS!$D$5:$D$1005="jabas")*(MOVIMIENTOS!$A$5:$A$1005&lt;&gt;"")*(MOVIMIENTOS!$A$5:$A$1005&lt;=$A452)*MOVIMIENTOS!$E$5:$E$1005)-SUMPRODUCT((MOVIMIENTOS!$B$5:$B$1005="ENVÍO A SUPESA")*(MOVIMIENTOS!$C$5:$C$1005="C")*(MOVIMIENTOS!$D$5:$D$1005="jabas")*(MOVIMIENTOS!$A$5:$A$1005&lt;&gt;"")*(MOVIMIENTOS!$A$5:$A$1005&lt;=$A452)*MOVIMIENTOS!$E$5:$E$1005)+SUMPRODUCT((MOVIMIENTOS!$B$5:$B$1005="DEVOLUCIÓN")*(MOVIMIENTOS!$C$5:$C$1005="C")*(MOVIMIENTOS!$D$5:$D$1005="jabas")*(MOVIMIENTOS!$A$5:$A$1005&lt;&gt;"")*(MOVIMIENTOS!$A$5:$A$1005&lt;=$A452)*MOVIMIENTOS!$E$5:$E$1005)-SUMPRODUCT((MOVIMIENTOS!$B$5:$B$1005="TRASIEGO")*(MOVIMIENTOS!$C$5:$C$1005="C")*(MOVIMIENTOS!$D$5:$D$1005="jabas")*(MOVIMIENTOS!$A$5:$A$1005&lt;&gt;"")*(MOVIMIENTOS!$A$5:$A$1005&lt;=$A452)*MOVIMIENTOS!$E$5:$E$1005)-SUMPRODUCT((MOVIMIENTOS!$B$5:$B$1005="REGALO")*(MOVIMIENTOS!$C$5:$C$1005="C")*(MOVIMIENTOS!$D$5:$D$1005="jabas")*(MOVIMIENTOS!$A$5:$A$1005&lt;&gt;"")*(MOVIMIENTOS!$A$5:$A$1005&lt;=$A452)*MOVIMIENTOS!$E$5:$E$1005)-SUMPRODUCT((MOVIMIENTOS!$B$5:$B$1005="VENTA")*(MOVIMIENTOS!$C$5:$C$1005="C")*(MOVIMIENTOS!$D$5:$D$1005="jabas")*(MOVIMIENTOS!$A$5:$A$1005&lt;&gt;"")*(MOVIMIENTOS!$A$5:$A$1005&lt;=$A452)*MOVIMIENTOS!$E$5:$E$1005)+SUMPRODUCT((MOVIMIENTOS!$B$5:$B$1005="AJUSTE")*(MOVIMIENTOS!$C$5:$C$1005="C")*(MOVIMIENTOS!$D$5:$D$1005="jabas")*(MOVIMIENTOS!$A$5:$A$1005&lt;&gt;"")*(MOVIMIENTOS!$A$5:$A$1005&lt;=$A452)*MOVIMIENTOS!$E$5:$E$1005))</f>
        <v/>
      </c>
      <c r="E452" t="str">
        <f>IF($A452="","",SUMPRODUCT((MOVIMIENTOS!$B$5:$B$1005="SALDO INICIAL")*(MOVIMIENTOS!$C$5:$C$1005="M")*(MOVIMIENTOS!$D$5:$D$1005="jabas")*(MOVIMIENTOS!$A$5:$A$1005&lt;&gt;"")*(MOVIMIENTOS!$A$5:$A$1005&lt;=$A452)*MOVIMIENTOS!$E$5:$E$1005)+SUMPRODUCT((MOVIMIENTOS!$B$5:$B$1005="PROCESO")*(MOVIMIENTOS!$C$5:$C$1005="M")*(MOVIMIENTOS!$D$5:$D$1005="jabas")*(MOVIMIENTOS!$A$5:$A$1005&lt;&gt;"")*(MOVIMIENTOS!$A$5:$A$1005&lt;=$A452)*MOVIMIENTOS!$E$5:$E$1005)-SUMPRODUCT((MOVIMIENTOS!$B$5:$B$1005="ENVÍO A SUPESA")*(MOVIMIENTOS!$C$5:$C$1005="M")*(MOVIMIENTOS!$D$5:$D$1005="jabas")*(MOVIMIENTOS!$A$5:$A$1005&lt;&gt;"")*(MOVIMIENTOS!$A$5:$A$1005&lt;=$A452)*MOVIMIENTOS!$E$5:$E$1005)+SUMPRODUCT((MOVIMIENTOS!$B$5:$B$1005="DEVOLUCIÓN")*(MOVIMIENTOS!$C$5:$C$1005="M")*(MOVIMIENTOS!$D$5:$D$1005="jabas")*(MOVIMIENTOS!$A$5:$A$1005&lt;&gt;"")*(MOVIMIENTOS!$A$5:$A$1005&lt;=$A452)*MOVIMIENTOS!$E$5:$E$1005)-SUMPRODUCT((MOVIMIENTOS!$B$5:$B$1005="TRASIEGO")*(MOVIMIENTOS!$C$5:$C$1005="M")*(MOVIMIENTOS!$D$5:$D$1005="jabas")*(MOVIMIENTOS!$A$5:$A$1005&lt;&gt;"")*(MOVIMIENTOS!$A$5:$A$1005&lt;=$A452)*MOVIMIENTOS!$E$5:$E$1005)-SUMPRODUCT((MOVIMIENTOS!$B$5:$B$1005="REGALO")*(MOVIMIENTOS!$C$5:$C$1005="M")*(MOVIMIENTOS!$D$5:$D$1005="jabas")*(MOVIMIENTOS!$A$5:$A$1005&lt;&gt;"")*(MOVIMIENTOS!$A$5:$A$1005&lt;=$A452)*MOVIMIENTOS!$E$5:$E$1005)-SUMPRODUCT((MOVIMIENTOS!$B$5:$B$1005="VENTA")*(MOVIMIENTOS!$C$5:$C$1005="M")*(MOVIMIENTOS!$D$5:$D$1005="jabas")*(MOVIMIENTOS!$A$5:$A$1005&lt;&gt;"")*(MOVIMIENTOS!$A$5:$A$1005&lt;=$A452)*MOVIMIENTOS!$E$5:$E$1005)+SUMPRODUCT((MOVIMIENTOS!$B$5:$B$1005="AJUSTE")*(MOVIMIENTOS!$C$5:$C$1005="M")*(MOVIMIENTOS!$D$5:$D$1005="jabas")*(MOVIMIENTOS!$A$5:$A$1005&lt;&gt;"")*(MOVIMIENTOS!$A$5:$A$1005&lt;=$A452)*MOVIMIENTOS!$E$5:$E$1005))</f>
        <v/>
      </c>
      <c r="F452" s="62" t="str">
        <f>IF($A452="","",SUMPRODUCT((MOVIMIENTOS!$B$5:$B$1005="SALDO INICIAL")*(MOVIMIENTOS!$C$5:$C$1005="Chancho")*(MOVIMIENTOS!$D$5:$D$1005="sacos")*(MOVIMIENTOS!$A$5:$A$1005&lt;&gt;"")*(MOVIMIENTOS!$A$5:$A$1005&lt;=$A452)*MOVIMIENTOS!$E$5:$E$1005)+SUMPRODUCT((MOVIMIENTOS!$B$5:$B$1005="PROCESO")*(MOVIMIENTOS!$C$5:$C$1005="Chancho")*(MOVIMIENTOS!$D$5:$D$1005="sacos")*(MOVIMIENTOS!$A$5:$A$1005&lt;&gt;"")*(MOVIMIENTOS!$A$5:$A$1005&lt;=$A452)*MOVIMIENTOS!$E$5:$E$1005)-SUMPRODUCT((MOVIMIENTOS!$B$5:$B$1005="VENTA CHANCHO")*(MOVIMIENTOS!$C$5:$C$1005="Chancho")*(MOVIMIENTOS!$D$5:$D$1005="sacos")*(MOVIMIENTOS!$A$5:$A$1005&lt;&gt;"")*(MOVIMIENTOS!$A$5:$A$1005&lt;=$A452)*MOVIMIENTOS!$E$5:$E$1005)-SUMPRODUCT((MOVIMIENTOS!$B$5:$B$1005="REGALO")*(MOVIMIENTOS!$C$5:$C$1005="Chancho")*(MOVIMIENTOS!$D$5:$D$1005="sacos")*(MOVIMIENTOS!$A$5:$A$1005&lt;&gt;"")*(MOVIMIENTOS!$A$5:$A$1005&lt;=$A452)*MOVIMIENTOS!$E$5:$E$1005)-SUMPRODUCT((MOVIMIENTOS!$B$5:$B$1005="VENTA")*(MOVIMIENTOS!$C$5:$C$1005="Chancho")*(MOVIMIENTOS!$D$5:$D$1005="sacos")*(MOVIMIENTOS!$A$5:$A$1005&lt;&gt;"")*(MOVIMIENTOS!$A$5:$A$1005&lt;=$A452)*MOVIMIENTOS!$E$5:$E$1005)+SUMPRODUCT((MOVIMIENTOS!$B$5:$B$1005="AJUSTE")*(MOVIMIENTOS!$C$5:$C$1005="Chancho")*(MOVIMIENTOS!$D$5:$D$1005="sacos")*(MOVIMIENTOS!$A$5:$A$1005&lt;&gt;"")*(MOVIMIENTOS!$A$5:$A$1005&lt;=$A452)*MOVIMIENTOS!$E$5:$E$1005))</f>
        <v/>
      </c>
      <c r="G452" s="62" t="str">
        <f t="shared" si="13"/>
        <v/>
      </c>
      <c r="H452" t="str">
        <f>IF($A452="","",SUMPRODUCT((((MOVIMIENTOS!$B$5:$B$1005="SALDO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452)*MOVIMIENTOS!$J$5:$J$1005))</f>
        <v/>
      </c>
      <c r="J452" t="str">
        <f>IF(AND(MOVIMIENTOS!$A457&lt;&gt;"",COUNTIF(MOVIMIENTOS!$A$5:$A456,MOVIMIENTOS!$A457)=0),COUNT(J$4:J451)+1,"")</f>
        <v/>
      </c>
      <c r="K452" s="67">
        <f>MOVIMIENTOS!$A457</f>
        <v>46252</v>
      </c>
    </row>
    <row r="453" spans="1:11" ht="15" customHeight="1" x14ac:dyDescent="0.2">
      <c r="A453" t="str">
        <f t="shared" ref="A453:A516" si="14">IFERROR(INDEX(K$5:K$1000,MATCH(ROW()-4,J$5:J$1000,0)),"")</f>
        <v/>
      </c>
      <c r="B453" t="str">
        <f>IF($A453="","",SUMPRODUCT((MOVIMIENTOS!$B$5:$B$1005="SALDO INICIAL")*(MOVIMIENTOS!$C$5:$C$1005="A")*(MOVIMIENTOS!$D$5:$D$1005="jabas")*(MOVIMIENTOS!$A$5:$A$1005&lt;&gt;"")*(MOVIMIENTOS!$A$5:$A$1005&lt;=$A453)*MOVIMIENTOS!$E$5:$E$1005)+SUMPRODUCT((MOVIMIENTOS!$B$5:$B$1005="PROCESO")*(MOVIMIENTOS!$C$5:$C$1005="A")*(MOVIMIENTOS!$D$5:$D$1005="jabas")*(MOVIMIENTOS!$A$5:$A$1005&lt;&gt;"")*(MOVIMIENTOS!$A$5:$A$1005&lt;=$A453)*MOVIMIENTOS!$E$5:$E$1005)-SUMPRODUCT((MOVIMIENTOS!$B$5:$B$1005="ENVÍO A SUPESA")*(MOVIMIENTOS!$C$5:$C$1005="A")*(MOVIMIENTOS!$D$5:$D$1005="jabas")*(MOVIMIENTOS!$A$5:$A$1005&lt;&gt;"")*(MOVIMIENTOS!$A$5:$A$1005&lt;=$A453)*MOVIMIENTOS!$E$5:$E$1005)+SUMPRODUCT((MOVIMIENTOS!$B$5:$B$1005="DEVOLUCIÓN")*(MOVIMIENTOS!$C$5:$C$1005="A")*(MOVIMIENTOS!$D$5:$D$1005="jabas")*(MOVIMIENTOS!$A$5:$A$1005&lt;&gt;"")*(MOVIMIENTOS!$A$5:$A$1005&lt;=$A453)*MOVIMIENTOS!$E$5:$E$1005)-SUMPRODUCT((MOVIMIENTOS!$B$5:$B$1005="TRASIEGO")*(MOVIMIENTOS!$C$5:$C$1005="A")*(MOVIMIENTOS!$D$5:$D$1005="jabas")*(MOVIMIENTOS!$A$5:$A$1005&lt;&gt;"")*(MOVIMIENTOS!$A$5:$A$1005&lt;=$A453)*MOVIMIENTOS!$E$5:$E$1005)-SUMPRODUCT((MOVIMIENTOS!$B$5:$B$1005="REGALO")*(MOVIMIENTOS!$C$5:$C$1005="A")*(MOVIMIENTOS!$D$5:$D$1005="jabas")*(MOVIMIENTOS!$A$5:$A$1005&lt;&gt;"")*(MOVIMIENTOS!$A$5:$A$1005&lt;=$A453)*MOVIMIENTOS!$E$5:$E$1005)-SUMPRODUCT((MOVIMIENTOS!$B$5:$B$1005="VENTA")*(MOVIMIENTOS!$C$5:$C$1005="A")*(MOVIMIENTOS!$D$5:$D$1005="jabas")*(MOVIMIENTOS!$A$5:$A$1005&lt;&gt;"")*(MOVIMIENTOS!$A$5:$A$1005&lt;=$A453)*MOVIMIENTOS!$E$5:$E$1005)+SUMPRODUCT((MOVIMIENTOS!$B$5:$B$1005="AJUSTE")*(MOVIMIENTOS!$C$5:$C$1005="A")*(MOVIMIENTOS!$D$5:$D$1005="jabas")*(MOVIMIENTOS!$A$5:$A$1005&lt;&gt;"")*(MOVIMIENTOS!$A$5:$A$1005&lt;=$A453)*MOVIMIENTOS!$E$5:$E$1005))</f>
        <v/>
      </c>
      <c r="C453" t="str">
        <f>IF($A453="","",SUMPRODUCT((MOVIMIENTOS!$B$5:$B$1005="SALDO INICIAL")*(MOVIMIENTOS!$C$5:$C$1005="P")*(MOVIMIENTOS!$D$5:$D$1005="jabas")*(MOVIMIENTOS!$A$5:$A$1005&lt;&gt;"")*(MOVIMIENTOS!$A$5:$A$1005&lt;=$A453)*MOVIMIENTOS!$E$5:$E$1005)+SUMPRODUCT((MOVIMIENTOS!$B$5:$B$1005="PROCESO")*(MOVIMIENTOS!$C$5:$C$1005="P")*(MOVIMIENTOS!$D$5:$D$1005="jabas")*(MOVIMIENTOS!$A$5:$A$1005&lt;&gt;"")*(MOVIMIENTOS!$A$5:$A$1005&lt;=$A453)*MOVIMIENTOS!$E$5:$E$1005)-SUMPRODUCT((MOVIMIENTOS!$B$5:$B$1005="ENVÍO A SUPESA")*(MOVIMIENTOS!$C$5:$C$1005="P")*(MOVIMIENTOS!$D$5:$D$1005="jabas")*(MOVIMIENTOS!$A$5:$A$1005&lt;&gt;"")*(MOVIMIENTOS!$A$5:$A$1005&lt;=$A453)*MOVIMIENTOS!$E$5:$E$1005)+SUMPRODUCT((MOVIMIENTOS!$B$5:$B$1005="DEVOLUCIÓN")*(MOVIMIENTOS!$C$5:$C$1005="P")*(MOVIMIENTOS!$D$5:$D$1005="jabas")*(MOVIMIENTOS!$A$5:$A$1005&lt;&gt;"")*(MOVIMIENTOS!$A$5:$A$1005&lt;=$A453)*MOVIMIENTOS!$E$5:$E$1005)-SUMPRODUCT((MOVIMIENTOS!$B$5:$B$1005="TRASIEGO")*(MOVIMIENTOS!$C$5:$C$1005="P")*(MOVIMIENTOS!$D$5:$D$1005="jabas")*(MOVIMIENTOS!$A$5:$A$1005&lt;&gt;"")*(MOVIMIENTOS!$A$5:$A$1005&lt;=$A453)*MOVIMIENTOS!$E$5:$E$1005)-SUMPRODUCT((MOVIMIENTOS!$B$5:$B$1005="REGALO")*(MOVIMIENTOS!$C$5:$C$1005="P")*(MOVIMIENTOS!$D$5:$D$1005="jabas")*(MOVIMIENTOS!$A$5:$A$1005&lt;&gt;"")*(MOVIMIENTOS!$A$5:$A$1005&lt;=$A453)*MOVIMIENTOS!$E$5:$E$1005)-SUMPRODUCT((MOVIMIENTOS!$B$5:$B$1005="VENTA")*(MOVIMIENTOS!$C$5:$C$1005="P")*(MOVIMIENTOS!$D$5:$D$1005="jabas")*(MOVIMIENTOS!$A$5:$A$1005&lt;&gt;"")*(MOVIMIENTOS!$A$5:$A$1005&lt;=$A453)*MOVIMIENTOS!$E$5:$E$1005)+SUMPRODUCT((MOVIMIENTOS!$B$5:$B$1005="AJUSTE")*(MOVIMIENTOS!$C$5:$C$1005="P")*(MOVIMIENTOS!$D$5:$D$1005="jabas")*(MOVIMIENTOS!$A$5:$A$1005&lt;&gt;"")*(MOVIMIENTOS!$A$5:$A$1005&lt;=$A453)*MOVIMIENTOS!$E$5:$E$1005))</f>
        <v/>
      </c>
      <c r="D453" t="str">
        <f>IF($A453="","",SUMPRODUCT((MOVIMIENTOS!$B$5:$B$1005="SALDO INICIAL")*(MOVIMIENTOS!$C$5:$C$1005="C")*(MOVIMIENTOS!$D$5:$D$1005="jabas")*(MOVIMIENTOS!$A$5:$A$1005&lt;&gt;"")*(MOVIMIENTOS!$A$5:$A$1005&lt;=$A453)*MOVIMIENTOS!$E$5:$E$1005)+SUMPRODUCT((MOVIMIENTOS!$B$5:$B$1005="PROCESO")*(MOVIMIENTOS!$C$5:$C$1005="C")*(MOVIMIENTOS!$D$5:$D$1005="jabas")*(MOVIMIENTOS!$A$5:$A$1005&lt;&gt;"")*(MOVIMIENTOS!$A$5:$A$1005&lt;=$A453)*MOVIMIENTOS!$E$5:$E$1005)-SUMPRODUCT((MOVIMIENTOS!$B$5:$B$1005="ENVÍO A SUPESA")*(MOVIMIENTOS!$C$5:$C$1005="C")*(MOVIMIENTOS!$D$5:$D$1005="jabas")*(MOVIMIENTOS!$A$5:$A$1005&lt;&gt;"")*(MOVIMIENTOS!$A$5:$A$1005&lt;=$A453)*MOVIMIENTOS!$E$5:$E$1005)+SUMPRODUCT((MOVIMIENTOS!$B$5:$B$1005="DEVOLUCIÓN")*(MOVIMIENTOS!$C$5:$C$1005="C")*(MOVIMIENTOS!$D$5:$D$1005="jabas")*(MOVIMIENTOS!$A$5:$A$1005&lt;&gt;"")*(MOVIMIENTOS!$A$5:$A$1005&lt;=$A453)*MOVIMIENTOS!$E$5:$E$1005)-SUMPRODUCT((MOVIMIENTOS!$B$5:$B$1005="TRASIEGO")*(MOVIMIENTOS!$C$5:$C$1005="C")*(MOVIMIENTOS!$D$5:$D$1005="jabas")*(MOVIMIENTOS!$A$5:$A$1005&lt;&gt;"")*(MOVIMIENTOS!$A$5:$A$1005&lt;=$A453)*MOVIMIENTOS!$E$5:$E$1005)-SUMPRODUCT((MOVIMIENTOS!$B$5:$B$1005="REGALO")*(MOVIMIENTOS!$C$5:$C$1005="C")*(MOVIMIENTOS!$D$5:$D$1005="jabas")*(MOVIMIENTOS!$A$5:$A$1005&lt;&gt;"")*(MOVIMIENTOS!$A$5:$A$1005&lt;=$A453)*MOVIMIENTOS!$E$5:$E$1005)-SUMPRODUCT((MOVIMIENTOS!$B$5:$B$1005="VENTA")*(MOVIMIENTOS!$C$5:$C$1005="C")*(MOVIMIENTOS!$D$5:$D$1005="jabas")*(MOVIMIENTOS!$A$5:$A$1005&lt;&gt;"")*(MOVIMIENTOS!$A$5:$A$1005&lt;=$A453)*MOVIMIENTOS!$E$5:$E$1005)+SUMPRODUCT((MOVIMIENTOS!$B$5:$B$1005="AJUSTE")*(MOVIMIENTOS!$C$5:$C$1005="C")*(MOVIMIENTOS!$D$5:$D$1005="jabas")*(MOVIMIENTOS!$A$5:$A$1005&lt;&gt;"")*(MOVIMIENTOS!$A$5:$A$1005&lt;=$A453)*MOVIMIENTOS!$E$5:$E$1005))</f>
        <v/>
      </c>
      <c r="E453" t="str">
        <f>IF($A453="","",SUMPRODUCT((MOVIMIENTOS!$B$5:$B$1005="SALDO INICIAL")*(MOVIMIENTOS!$C$5:$C$1005="M")*(MOVIMIENTOS!$D$5:$D$1005="jabas")*(MOVIMIENTOS!$A$5:$A$1005&lt;&gt;"")*(MOVIMIENTOS!$A$5:$A$1005&lt;=$A453)*MOVIMIENTOS!$E$5:$E$1005)+SUMPRODUCT((MOVIMIENTOS!$B$5:$B$1005="PROCESO")*(MOVIMIENTOS!$C$5:$C$1005="M")*(MOVIMIENTOS!$D$5:$D$1005="jabas")*(MOVIMIENTOS!$A$5:$A$1005&lt;&gt;"")*(MOVIMIENTOS!$A$5:$A$1005&lt;=$A453)*MOVIMIENTOS!$E$5:$E$1005)-SUMPRODUCT((MOVIMIENTOS!$B$5:$B$1005="ENVÍO A SUPESA")*(MOVIMIENTOS!$C$5:$C$1005="M")*(MOVIMIENTOS!$D$5:$D$1005="jabas")*(MOVIMIENTOS!$A$5:$A$1005&lt;&gt;"")*(MOVIMIENTOS!$A$5:$A$1005&lt;=$A453)*MOVIMIENTOS!$E$5:$E$1005)+SUMPRODUCT((MOVIMIENTOS!$B$5:$B$1005="DEVOLUCIÓN")*(MOVIMIENTOS!$C$5:$C$1005="M")*(MOVIMIENTOS!$D$5:$D$1005="jabas")*(MOVIMIENTOS!$A$5:$A$1005&lt;&gt;"")*(MOVIMIENTOS!$A$5:$A$1005&lt;=$A453)*MOVIMIENTOS!$E$5:$E$1005)-SUMPRODUCT((MOVIMIENTOS!$B$5:$B$1005="TRASIEGO")*(MOVIMIENTOS!$C$5:$C$1005="M")*(MOVIMIENTOS!$D$5:$D$1005="jabas")*(MOVIMIENTOS!$A$5:$A$1005&lt;&gt;"")*(MOVIMIENTOS!$A$5:$A$1005&lt;=$A453)*MOVIMIENTOS!$E$5:$E$1005)-SUMPRODUCT((MOVIMIENTOS!$B$5:$B$1005="REGALO")*(MOVIMIENTOS!$C$5:$C$1005="M")*(MOVIMIENTOS!$D$5:$D$1005="jabas")*(MOVIMIENTOS!$A$5:$A$1005&lt;&gt;"")*(MOVIMIENTOS!$A$5:$A$1005&lt;=$A453)*MOVIMIENTOS!$E$5:$E$1005)-SUMPRODUCT((MOVIMIENTOS!$B$5:$B$1005="VENTA")*(MOVIMIENTOS!$C$5:$C$1005="M")*(MOVIMIENTOS!$D$5:$D$1005="jabas")*(MOVIMIENTOS!$A$5:$A$1005&lt;&gt;"")*(MOVIMIENTOS!$A$5:$A$1005&lt;=$A453)*MOVIMIENTOS!$E$5:$E$1005)+SUMPRODUCT((MOVIMIENTOS!$B$5:$B$1005="AJUSTE")*(MOVIMIENTOS!$C$5:$C$1005="M")*(MOVIMIENTOS!$D$5:$D$1005="jabas")*(MOVIMIENTOS!$A$5:$A$1005&lt;&gt;"")*(MOVIMIENTOS!$A$5:$A$1005&lt;=$A453)*MOVIMIENTOS!$E$5:$E$1005))</f>
        <v/>
      </c>
      <c r="F453" s="62" t="str">
        <f>IF($A453="","",SUMPRODUCT((MOVIMIENTOS!$B$5:$B$1005="SALDO INICIAL")*(MOVIMIENTOS!$C$5:$C$1005="Chancho")*(MOVIMIENTOS!$D$5:$D$1005="sacos")*(MOVIMIENTOS!$A$5:$A$1005&lt;&gt;"")*(MOVIMIENTOS!$A$5:$A$1005&lt;=$A453)*MOVIMIENTOS!$E$5:$E$1005)+SUMPRODUCT((MOVIMIENTOS!$B$5:$B$1005="PROCESO")*(MOVIMIENTOS!$C$5:$C$1005="Chancho")*(MOVIMIENTOS!$D$5:$D$1005="sacos")*(MOVIMIENTOS!$A$5:$A$1005&lt;&gt;"")*(MOVIMIENTOS!$A$5:$A$1005&lt;=$A453)*MOVIMIENTOS!$E$5:$E$1005)-SUMPRODUCT((MOVIMIENTOS!$B$5:$B$1005="VENTA CHANCHO")*(MOVIMIENTOS!$C$5:$C$1005="Chancho")*(MOVIMIENTOS!$D$5:$D$1005="sacos")*(MOVIMIENTOS!$A$5:$A$1005&lt;&gt;"")*(MOVIMIENTOS!$A$5:$A$1005&lt;=$A453)*MOVIMIENTOS!$E$5:$E$1005)-SUMPRODUCT((MOVIMIENTOS!$B$5:$B$1005="REGALO")*(MOVIMIENTOS!$C$5:$C$1005="Chancho")*(MOVIMIENTOS!$D$5:$D$1005="sacos")*(MOVIMIENTOS!$A$5:$A$1005&lt;&gt;"")*(MOVIMIENTOS!$A$5:$A$1005&lt;=$A453)*MOVIMIENTOS!$E$5:$E$1005)-SUMPRODUCT((MOVIMIENTOS!$B$5:$B$1005="VENTA")*(MOVIMIENTOS!$C$5:$C$1005="Chancho")*(MOVIMIENTOS!$D$5:$D$1005="sacos")*(MOVIMIENTOS!$A$5:$A$1005&lt;&gt;"")*(MOVIMIENTOS!$A$5:$A$1005&lt;=$A453)*MOVIMIENTOS!$E$5:$E$1005)+SUMPRODUCT((MOVIMIENTOS!$B$5:$B$1005="AJUSTE")*(MOVIMIENTOS!$C$5:$C$1005="Chancho")*(MOVIMIENTOS!$D$5:$D$1005="sacos")*(MOVIMIENTOS!$A$5:$A$1005&lt;&gt;"")*(MOVIMIENTOS!$A$5:$A$1005&lt;=$A453)*MOVIMIENTOS!$E$5:$E$1005))</f>
        <v/>
      </c>
      <c r="G453" s="62" t="str">
        <f t="shared" ref="G453:G516" si="15">IF($A453="","",SUM(B453:E453))</f>
        <v/>
      </c>
      <c r="H453" t="str">
        <f>IF($A453="","",SUMPRODUCT((((MOVIMIENTOS!$B$5:$B$1005="SALDO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453)*MOVIMIENTOS!$J$5:$J$1005))</f>
        <v/>
      </c>
      <c r="J453" t="str">
        <f>IF(AND(MOVIMIENTOS!$A458&lt;&gt;"",COUNTIF(MOVIMIENTOS!$A$5:$A457,MOVIMIENTOS!$A458)=0),COUNT(J$4:J452)+1,"")</f>
        <v/>
      </c>
      <c r="K453" s="67">
        <f>MOVIMIENTOS!$A458</f>
        <v>46252</v>
      </c>
    </row>
    <row r="454" spans="1:11" ht="15" customHeight="1" x14ac:dyDescent="0.2">
      <c r="A454" t="str">
        <f t="shared" si="14"/>
        <v/>
      </c>
      <c r="B454" t="str">
        <f>IF($A454="","",SUMPRODUCT((MOVIMIENTOS!$B$5:$B$1005="SALDO INICIAL")*(MOVIMIENTOS!$C$5:$C$1005="A")*(MOVIMIENTOS!$D$5:$D$1005="jabas")*(MOVIMIENTOS!$A$5:$A$1005&lt;&gt;"")*(MOVIMIENTOS!$A$5:$A$1005&lt;=$A454)*MOVIMIENTOS!$E$5:$E$1005)+SUMPRODUCT((MOVIMIENTOS!$B$5:$B$1005="PROCESO")*(MOVIMIENTOS!$C$5:$C$1005="A")*(MOVIMIENTOS!$D$5:$D$1005="jabas")*(MOVIMIENTOS!$A$5:$A$1005&lt;&gt;"")*(MOVIMIENTOS!$A$5:$A$1005&lt;=$A454)*MOVIMIENTOS!$E$5:$E$1005)-SUMPRODUCT((MOVIMIENTOS!$B$5:$B$1005="ENVÍO A SUPESA")*(MOVIMIENTOS!$C$5:$C$1005="A")*(MOVIMIENTOS!$D$5:$D$1005="jabas")*(MOVIMIENTOS!$A$5:$A$1005&lt;&gt;"")*(MOVIMIENTOS!$A$5:$A$1005&lt;=$A454)*MOVIMIENTOS!$E$5:$E$1005)+SUMPRODUCT((MOVIMIENTOS!$B$5:$B$1005="DEVOLUCIÓN")*(MOVIMIENTOS!$C$5:$C$1005="A")*(MOVIMIENTOS!$D$5:$D$1005="jabas")*(MOVIMIENTOS!$A$5:$A$1005&lt;&gt;"")*(MOVIMIENTOS!$A$5:$A$1005&lt;=$A454)*MOVIMIENTOS!$E$5:$E$1005)-SUMPRODUCT((MOVIMIENTOS!$B$5:$B$1005="TRASIEGO")*(MOVIMIENTOS!$C$5:$C$1005="A")*(MOVIMIENTOS!$D$5:$D$1005="jabas")*(MOVIMIENTOS!$A$5:$A$1005&lt;&gt;"")*(MOVIMIENTOS!$A$5:$A$1005&lt;=$A454)*MOVIMIENTOS!$E$5:$E$1005)-SUMPRODUCT((MOVIMIENTOS!$B$5:$B$1005="REGALO")*(MOVIMIENTOS!$C$5:$C$1005="A")*(MOVIMIENTOS!$D$5:$D$1005="jabas")*(MOVIMIENTOS!$A$5:$A$1005&lt;&gt;"")*(MOVIMIENTOS!$A$5:$A$1005&lt;=$A454)*MOVIMIENTOS!$E$5:$E$1005)-SUMPRODUCT((MOVIMIENTOS!$B$5:$B$1005="VENTA")*(MOVIMIENTOS!$C$5:$C$1005="A")*(MOVIMIENTOS!$D$5:$D$1005="jabas")*(MOVIMIENTOS!$A$5:$A$1005&lt;&gt;"")*(MOVIMIENTOS!$A$5:$A$1005&lt;=$A454)*MOVIMIENTOS!$E$5:$E$1005)+SUMPRODUCT((MOVIMIENTOS!$B$5:$B$1005="AJUSTE")*(MOVIMIENTOS!$C$5:$C$1005="A")*(MOVIMIENTOS!$D$5:$D$1005="jabas")*(MOVIMIENTOS!$A$5:$A$1005&lt;&gt;"")*(MOVIMIENTOS!$A$5:$A$1005&lt;=$A454)*MOVIMIENTOS!$E$5:$E$1005))</f>
        <v/>
      </c>
      <c r="C454" t="str">
        <f>IF($A454="","",SUMPRODUCT((MOVIMIENTOS!$B$5:$B$1005="SALDO INICIAL")*(MOVIMIENTOS!$C$5:$C$1005="P")*(MOVIMIENTOS!$D$5:$D$1005="jabas")*(MOVIMIENTOS!$A$5:$A$1005&lt;&gt;"")*(MOVIMIENTOS!$A$5:$A$1005&lt;=$A454)*MOVIMIENTOS!$E$5:$E$1005)+SUMPRODUCT((MOVIMIENTOS!$B$5:$B$1005="PROCESO")*(MOVIMIENTOS!$C$5:$C$1005="P")*(MOVIMIENTOS!$D$5:$D$1005="jabas")*(MOVIMIENTOS!$A$5:$A$1005&lt;&gt;"")*(MOVIMIENTOS!$A$5:$A$1005&lt;=$A454)*MOVIMIENTOS!$E$5:$E$1005)-SUMPRODUCT((MOVIMIENTOS!$B$5:$B$1005="ENVÍO A SUPESA")*(MOVIMIENTOS!$C$5:$C$1005="P")*(MOVIMIENTOS!$D$5:$D$1005="jabas")*(MOVIMIENTOS!$A$5:$A$1005&lt;&gt;"")*(MOVIMIENTOS!$A$5:$A$1005&lt;=$A454)*MOVIMIENTOS!$E$5:$E$1005)+SUMPRODUCT((MOVIMIENTOS!$B$5:$B$1005="DEVOLUCIÓN")*(MOVIMIENTOS!$C$5:$C$1005="P")*(MOVIMIENTOS!$D$5:$D$1005="jabas")*(MOVIMIENTOS!$A$5:$A$1005&lt;&gt;"")*(MOVIMIENTOS!$A$5:$A$1005&lt;=$A454)*MOVIMIENTOS!$E$5:$E$1005)-SUMPRODUCT((MOVIMIENTOS!$B$5:$B$1005="TRASIEGO")*(MOVIMIENTOS!$C$5:$C$1005="P")*(MOVIMIENTOS!$D$5:$D$1005="jabas")*(MOVIMIENTOS!$A$5:$A$1005&lt;&gt;"")*(MOVIMIENTOS!$A$5:$A$1005&lt;=$A454)*MOVIMIENTOS!$E$5:$E$1005)-SUMPRODUCT((MOVIMIENTOS!$B$5:$B$1005="REGALO")*(MOVIMIENTOS!$C$5:$C$1005="P")*(MOVIMIENTOS!$D$5:$D$1005="jabas")*(MOVIMIENTOS!$A$5:$A$1005&lt;&gt;"")*(MOVIMIENTOS!$A$5:$A$1005&lt;=$A454)*MOVIMIENTOS!$E$5:$E$1005)-SUMPRODUCT((MOVIMIENTOS!$B$5:$B$1005="VENTA")*(MOVIMIENTOS!$C$5:$C$1005="P")*(MOVIMIENTOS!$D$5:$D$1005="jabas")*(MOVIMIENTOS!$A$5:$A$1005&lt;&gt;"")*(MOVIMIENTOS!$A$5:$A$1005&lt;=$A454)*MOVIMIENTOS!$E$5:$E$1005)+SUMPRODUCT((MOVIMIENTOS!$B$5:$B$1005="AJUSTE")*(MOVIMIENTOS!$C$5:$C$1005="P")*(MOVIMIENTOS!$D$5:$D$1005="jabas")*(MOVIMIENTOS!$A$5:$A$1005&lt;&gt;"")*(MOVIMIENTOS!$A$5:$A$1005&lt;=$A454)*MOVIMIENTOS!$E$5:$E$1005))</f>
        <v/>
      </c>
      <c r="D454" t="str">
        <f>IF($A454="","",SUMPRODUCT((MOVIMIENTOS!$B$5:$B$1005="SALDO INICIAL")*(MOVIMIENTOS!$C$5:$C$1005="C")*(MOVIMIENTOS!$D$5:$D$1005="jabas")*(MOVIMIENTOS!$A$5:$A$1005&lt;&gt;"")*(MOVIMIENTOS!$A$5:$A$1005&lt;=$A454)*MOVIMIENTOS!$E$5:$E$1005)+SUMPRODUCT((MOVIMIENTOS!$B$5:$B$1005="PROCESO")*(MOVIMIENTOS!$C$5:$C$1005="C")*(MOVIMIENTOS!$D$5:$D$1005="jabas")*(MOVIMIENTOS!$A$5:$A$1005&lt;&gt;"")*(MOVIMIENTOS!$A$5:$A$1005&lt;=$A454)*MOVIMIENTOS!$E$5:$E$1005)-SUMPRODUCT((MOVIMIENTOS!$B$5:$B$1005="ENVÍO A SUPESA")*(MOVIMIENTOS!$C$5:$C$1005="C")*(MOVIMIENTOS!$D$5:$D$1005="jabas")*(MOVIMIENTOS!$A$5:$A$1005&lt;&gt;"")*(MOVIMIENTOS!$A$5:$A$1005&lt;=$A454)*MOVIMIENTOS!$E$5:$E$1005)+SUMPRODUCT((MOVIMIENTOS!$B$5:$B$1005="DEVOLUCIÓN")*(MOVIMIENTOS!$C$5:$C$1005="C")*(MOVIMIENTOS!$D$5:$D$1005="jabas")*(MOVIMIENTOS!$A$5:$A$1005&lt;&gt;"")*(MOVIMIENTOS!$A$5:$A$1005&lt;=$A454)*MOVIMIENTOS!$E$5:$E$1005)-SUMPRODUCT((MOVIMIENTOS!$B$5:$B$1005="TRASIEGO")*(MOVIMIENTOS!$C$5:$C$1005="C")*(MOVIMIENTOS!$D$5:$D$1005="jabas")*(MOVIMIENTOS!$A$5:$A$1005&lt;&gt;"")*(MOVIMIENTOS!$A$5:$A$1005&lt;=$A454)*MOVIMIENTOS!$E$5:$E$1005)-SUMPRODUCT((MOVIMIENTOS!$B$5:$B$1005="REGALO")*(MOVIMIENTOS!$C$5:$C$1005="C")*(MOVIMIENTOS!$D$5:$D$1005="jabas")*(MOVIMIENTOS!$A$5:$A$1005&lt;&gt;"")*(MOVIMIENTOS!$A$5:$A$1005&lt;=$A454)*MOVIMIENTOS!$E$5:$E$1005)-SUMPRODUCT((MOVIMIENTOS!$B$5:$B$1005="VENTA")*(MOVIMIENTOS!$C$5:$C$1005="C")*(MOVIMIENTOS!$D$5:$D$1005="jabas")*(MOVIMIENTOS!$A$5:$A$1005&lt;&gt;"")*(MOVIMIENTOS!$A$5:$A$1005&lt;=$A454)*MOVIMIENTOS!$E$5:$E$1005)+SUMPRODUCT((MOVIMIENTOS!$B$5:$B$1005="AJUSTE")*(MOVIMIENTOS!$C$5:$C$1005="C")*(MOVIMIENTOS!$D$5:$D$1005="jabas")*(MOVIMIENTOS!$A$5:$A$1005&lt;&gt;"")*(MOVIMIENTOS!$A$5:$A$1005&lt;=$A454)*MOVIMIENTOS!$E$5:$E$1005))</f>
        <v/>
      </c>
      <c r="E454" t="str">
        <f>IF($A454="","",SUMPRODUCT((MOVIMIENTOS!$B$5:$B$1005="SALDO INICIAL")*(MOVIMIENTOS!$C$5:$C$1005="M")*(MOVIMIENTOS!$D$5:$D$1005="jabas")*(MOVIMIENTOS!$A$5:$A$1005&lt;&gt;"")*(MOVIMIENTOS!$A$5:$A$1005&lt;=$A454)*MOVIMIENTOS!$E$5:$E$1005)+SUMPRODUCT((MOVIMIENTOS!$B$5:$B$1005="PROCESO")*(MOVIMIENTOS!$C$5:$C$1005="M")*(MOVIMIENTOS!$D$5:$D$1005="jabas")*(MOVIMIENTOS!$A$5:$A$1005&lt;&gt;"")*(MOVIMIENTOS!$A$5:$A$1005&lt;=$A454)*MOVIMIENTOS!$E$5:$E$1005)-SUMPRODUCT((MOVIMIENTOS!$B$5:$B$1005="ENVÍO A SUPESA")*(MOVIMIENTOS!$C$5:$C$1005="M")*(MOVIMIENTOS!$D$5:$D$1005="jabas")*(MOVIMIENTOS!$A$5:$A$1005&lt;&gt;"")*(MOVIMIENTOS!$A$5:$A$1005&lt;=$A454)*MOVIMIENTOS!$E$5:$E$1005)+SUMPRODUCT((MOVIMIENTOS!$B$5:$B$1005="DEVOLUCIÓN")*(MOVIMIENTOS!$C$5:$C$1005="M")*(MOVIMIENTOS!$D$5:$D$1005="jabas")*(MOVIMIENTOS!$A$5:$A$1005&lt;&gt;"")*(MOVIMIENTOS!$A$5:$A$1005&lt;=$A454)*MOVIMIENTOS!$E$5:$E$1005)-SUMPRODUCT((MOVIMIENTOS!$B$5:$B$1005="TRASIEGO")*(MOVIMIENTOS!$C$5:$C$1005="M")*(MOVIMIENTOS!$D$5:$D$1005="jabas")*(MOVIMIENTOS!$A$5:$A$1005&lt;&gt;"")*(MOVIMIENTOS!$A$5:$A$1005&lt;=$A454)*MOVIMIENTOS!$E$5:$E$1005)-SUMPRODUCT((MOVIMIENTOS!$B$5:$B$1005="REGALO")*(MOVIMIENTOS!$C$5:$C$1005="M")*(MOVIMIENTOS!$D$5:$D$1005="jabas")*(MOVIMIENTOS!$A$5:$A$1005&lt;&gt;"")*(MOVIMIENTOS!$A$5:$A$1005&lt;=$A454)*MOVIMIENTOS!$E$5:$E$1005)-SUMPRODUCT((MOVIMIENTOS!$B$5:$B$1005="VENTA")*(MOVIMIENTOS!$C$5:$C$1005="M")*(MOVIMIENTOS!$D$5:$D$1005="jabas")*(MOVIMIENTOS!$A$5:$A$1005&lt;&gt;"")*(MOVIMIENTOS!$A$5:$A$1005&lt;=$A454)*MOVIMIENTOS!$E$5:$E$1005)+SUMPRODUCT((MOVIMIENTOS!$B$5:$B$1005="AJUSTE")*(MOVIMIENTOS!$C$5:$C$1005="M")*(MOVIMIENTOS!$D$5:$D$1005="jabas")*(MOVIMIENTOS!$A$5:$A$1005&lt;&gt;"")*(MOVIMIENTOS!$A$5:$A$1005&lt;=$A454)*MOVIMIENTOS!$E$5:$E$1005))</f>
        <v/>
      </c>
      <c r="F454" s="62" t="str">
        <f>IF($A454="","",SUMPRODUCT((MOVIMIENTOS!$B$5:$B$1005="SALDO INICIAL")*(MOVIMIENTOS!$C$5:$C$1005="Chancho")*(MOVIMIENTOS!$D$5:$D$1005="sacos")*(MOVIMIENTOS!$A$5:$A$1005&lt;&gt;"")*(MOVIMIENTOS!$A$5:$A$1005&lt;=$A454)*MOVIMIENTOS!$E$5:$E$1005)+SUMPRODUCT((MOVIMIENTOS!$B$5:$B$1005="PROCESO")*(MOVIMIENTOS!$C$5:$C$1005="Chancho")*(MOVIMIENTOS!$D$5:$D$1005="sacos")*(MOVIMIENTOS!$A$5:$A$1005&lt;&gt;"")*(MOVIMIENTOS!$A$5:$A$1005&lt;=$A454)*MOVIMIENTOS!$E$5:$E$1005)-SUMPRODUCT((MOVIMIENTOS!$B$5:$B$1005="VENTA CHANCHO")*(MOVIMIENTOS!$C$5:$C$1005="Chancho")*(MOVIMIENTOS!$D$5:$D$1005="sacos")*(MOVIMIENTOS!$A$5:$A$1005&lt;&gt;"")*(MOVIMIENTOS!$A$5:$A$1005&lt;=$A454)*MOVIMIENTOS!$E$5:$E$1005)-SUMPRODUCT((MOVIMIENTOS!$B$5:$B$1005="REGALO")*(MOVIMIENTOS!$C$5:$C$1005="Chancho")*(MOVIMIENTOS!$D$5:$D$1005="sacos")*(MOVIMIENTOS!$A$5:$A$1005&lt;&gt;"")*(MOVIMIENTOS!$A$5:$A$1005&lt;=$A454)*MOVIMIENTOS!$E$5:$E$1005)-SUMPRODUCT((MOVIMIENTOS!$B$5:$B$1005="VENTA")*(MOVIMIENTOS!$C$5:$C$1005="Chancho")*(MOVIMIENTOS!$D$5:$D$1005="sacos")*(MOVIMIENTOS!$A$5:$A$1005&lt;&gt;"")*(MOVIMIENTOS!$A$5:$A$1005&lt;=$A454)*MOVIMIENTOS!$E$5:$E$1005)+SUMPRODUCT((MOVIMIENTOS!$B$5:$B$1005="AJUSTE")*(MOVIMIENTOS!$C$5:$C$1005="Chancho")*(MOVIMIENTOS!$D$5:$D$1005="sacos")*(MOVIMIENTOS!$A$5:$A$1005&lt;&gt;"")*(MOVIMIENTOS!$A$5:$A$1005&lt;=$A454)*MOVIMIENTOS!$E$5:$E$1005))</f>
        <v/>
      </c>
      <c r="G454" s="62" t="str">
        <f t="shared" si="15"/>
        <v/>
      </c>
      <c r="H454" t="str">
        <f>IF($A454="","",SUMPRODUCT((((MOVIMIENTOS!$B$5:$B$1005="SALDO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454)*MOVIMIENTOS!$J$5:$J$1005))</f>
        <v/>
      </c>
      <c r="J454" t="str">
        <f>IF(AND(MOVIMIENTOS!$A459&lt;&gt;"",COUNTIF(MOVIMIENTOS!$A$5:$A458,MOVIMIENTOS!$A459)=0),COUNT(J$4:J453)+1,"")</f>
        <v/>
      </c>
      <c r="K454" s="67">
        <f>MOVIMIENTOS!$A459</f>
        <v>46252</v>
      </c>
    </row>
    <row r="455" spans="1:11" ht="15" customHeight="1" x14ac:dyDescent="0.2">
      <c r="A455" t="str">
        <f t="shared" si="14"/>
        <v/>
      </c>
      <c r="B455" t="str">
        <f>IF($A455="","",SUMPRODUCT((MOVIMIENTOS!$B$5:$B$1005="SALDO INICIAL")*(MOVIMIENTOS!$C$5:$C$1005="A")*(MOVIMIENTOS!$D$5:$D$1005="jabas")*(MOVIMIENTOS!$A$5:$A$1005&lt;&gt;"")*(MOVIMIENTOS!$A$5:$A$1005&lt;=$A455)*MOVIMIENTOS!$E$5:$E$1005)+SUMPRODUCT((MOVIMIENTOS!$B$5:$B$1005="PROCESO")*(MOVIMIENTOS!$C$5:$C$1005="A")*(MOVIMIENTOS!$D$5:$D$1005="jabas")*(MOVIMIENTOS!$A$5:$A$1005&lt;&gt;"")*(MOVIMIENTOS!$A$5:$A$1005&lt;=$A455)*MOVIMIENTOS!$E$5:$E$1005)-SUMPRODUCT((MOVIMIENTOS!$B$5:$B$1005="ENVÍO A SUPESA")*(MOVIMIENTOS!$C$5:$C$1005="A")*(MOVIMIENTOS!$D$5:$D$1005="jabas")*(MOVIMIENTOS!$A$5:$A$1005&lt;&gt;"")*(MOVIMIENTOS!$A$5:$A$1005&lt;=$A455)*MOVIMIENTOS!$E$5:$E$1005)+SUMPRODUCT((MOVIMIENTOS!$B$5:$B$1005="DEVOLUCIÓN")*(MOVIMIENTOS!$C$5:$C$1005="A")*(MOVIMIENTOS!$D$5:$D$1005="jabas")*(MOVIMIENTOS!$A$5:$A$1005&lt;&gt;"")*(MOVIMIENTOS!$A$5:$A$1005&lt;=$A455)*MOVIMIENTOS!$E$5:$E$1005)-SUMPRODUCT((MOVIMIENTOS!$B$5:$B$1005="TRASIEGO")*(MOVIMIENTOS!$C$5:$C$1005="A")*(MOVIMIENTOS!$D$5:$D$1005="jabas")*(MOVIMIENTOS!$A$5:$A$1005&lt;&gt;"")*(MOVIMIENTOS!$A$5:$A$1005&lt;=$A455)*MOVIMIENTOS!$E$5:$E$1005)-SUMPRODUCT((MOVIMIENTOS!$B$5:$B$1005="REGALO")*(MOVIMIENTOS!$C$5:$C$1005="A")*(MOVIMIENTOS!$D$5:$D$1005="jabas")*(MOVIMIENTOS!$A$5:$A$1005&lt;&gt;"")*(MOVIMIENTOS!$A$5:$A$1005&lt;=$A455)*MOVIMIENTOS!$E$5:$E$1005)-SUMPRODUCT((MOVIMIENTOS!$B$5:$B$1005="VENTA")*(MOVIMIENTOS!$C$5:$C$1005="A")*(MOVIMIENTOS!$D$5:$D$1005="jabas")*(MOVIMIENTOS!$A$5:$A$1005&lt;&gt;"")*(MOVIMIENTOS!$A$5:$A$1005&lt;=$A455)*MOVIMIENTOS!$E$5:$E$1005)+SUMPRODUCT((MOVIMIENTOS!$B$5:$B$1005="AJUSTE")*(MOVIMIENTOS!$C$5:$C$1005="A")*(MOVIMIENTOS!$D$5:$D$1005="jabas")*(MOVIMIENTOS!$A$5:$A$1005&lt;&gt;"")*(MOVIMIENTOS!$A$5:$A$1005&lt;=$A455)*MOVIMIENTOS!$E$5:$E$1005))</f>
        <v/>
      </c>
      <c r="C455" t="str">
        <f>IF($A455="","",SUMPRODUCT((MOVIMIENTOS!$B$5:$B$1005="SALDO INICIAL")*(MOVIMIENTOS!$C$5:$C$1005="P")*(MOVIMIENTOS!$D$5:$D$1005="jabas")*(MOVIMIENTOS!$A$5:$A$1005&lt;&gt;"")*(MOVIMIENTOS!$A$5:$A$1005&lt;=$A455)*MOVIMIENTOS!$E$5:$E$1005)+SUMPRODUCT((MOVIMIENTOS!$B$5:$B$1005="PROCESO")*(MOVIMIENTOS!$C$5:$C$1005="P")*(MOVIMIENTOS!$D$5:$D$1005="jabas")*(MOVIMIENTOS!$A$5:$A$1005&lt;&gt;"")*(MOVIMIENTOS!$A$5:$A$1005&lt;=$A455)*MOVIMIENTOS!$E$5:$E$1005)-SUMPRODUCT((MOVIMIENTOS!$B$5:$B$1005="ENVÍO A SUPESA")*(MOVIMIENTOS!$C$5:$C$1005="P")*(MOVIMIENTOS!$D$5:$D$1005="jabas")*(MOVIMIENTOS!$A$5:$A$1005&lt;&gt;"")*(MOVIMIENTOS!$A$5:$A$1005&lt;=$A455)*MOVIMIENTOS!$E$5:$E$1005)+SUMPRODUCT((MOVIMIENTOS!$B$5:$B$1005="DEVOLUCIÓN")*(MOVIMIENTOS!$C$5:$C$1005="P")*(MOVIMIENTOS!$D$5:$D$1005="jabas")*(MOVIMIENTOS!$A$5:$A$1005&lt;&gt;"")*(MOVIMIENTOS!$A$5:$A$1005&lt;=$A455)*MOVIMIENTOS!$E$5:$E$1005)-SUMPRODUCT((MOVIMIENTOS!$B$5:$B$1005="TRASIEGO")*(MOVIMIENTOS!$C$5:$C$1005="P")*(MOVIMIENTOS!$D$5:$D$1005="jabas")*(MOVIMIENTOS!$A$5:$A$1005&lt;&gt;"")*(MOVIMIENTOS!$A$5:$A$1005&lt;=$A455)*MOVIMIENTOS!$E$5:$E$1005)-SUMPRODUCT((MOVIMIENTOS!$B$5:$B$1005="REGALO")*(MOVIMIENTOS!$C$5:$C$1005="P")*(MOVIMIENTOS!$D$5:$D$1005="jabas")*(MOVIMIENTOS!$A$5:$A$1005&lt;&gt;"")*(MOVIMIENTOS!$A$5:$A$1005&lt;=$A455)*MOVIMIENTOS!$E$5:$E$1005)-SUMPRODUCT((MOVIMIENTOS!$B$5:$B$1005="VENTA")*(MOVIMIENTOS!$C$5:$C$1005="P")*(MOVIMIENTOS!$D$5:$D$1005="jabas")*(MOVIMIENTOS!$A$5:$A$1005&lt;&gt;"")*(MOVIMIENTOS!$A$5:$A$1005&lt;=$A455)*MOVIMIENTOS!$E$5:$E$1005)+SUMPRODUCT((MOVIMIENTOS!$B$5:$B$1005="AJUSTE")*(MOVIMIENTOS!$C$5:$C$1005="P")*(MOVIMIENTOS!$D$5:$D$1005="jabas")*(MOVIMIENTOS!$A$5:$A$1005&lt;&gt;"")*(MOVIMIENTOS!$A$5:$A$1005&lt;=$A455)*MOVIMIENTOS!$E$5:$E$1005))</f>
        <v/>
      </c>
      <c r="D455" t="str">
        <f>IF($A455="","",SUMPRODUCT((MOVIMIENTOS!$B$5:$B$1005="SALDO INICIAL")*(MOVIMIENTOS!$C$5:$C$1005="C")*(MOVIMIENTOS!$D$5:$D$1005="jabas")*(MOVIMIENTOS!$A$5:$A$1005&lt;&gt;"")*(MOVIMIENTOS!$A$5:$A$1005&lt;=$A455)*MOVIMIENTOS!$E$5:$E$1005)+SUMPRODUCT((MOVIMIENTOS!$B$5:$B$1005="PROCESO")*(MOVIMIENTOS!$C$5:$C$1005="C")*(MOVIMIENTOS!$D$5:$D$1005="jabas")*(MOVIMIENTOS!$A$5:$A$1005&lt;&gt;"")*(MOVIMIENTOS!$A$5:$A$1005&lt;=$A455)*MOVIMIENTOS!$E$5:$E$1005)-SUMPRODUCT((MOVIMIENTOS!$B$5:$B$1005="ENVÍO A SUPESA")*(MOVIMIENTOS!$C$5:$C$1005="C")*(MOVIMIENTOS!$D$5:$D$1005="jabas")*(MOVIMIENTOS!$A$5:$A$1005&lt;&gt;"")*(MOVIMIENTOS!$A$5:$A$1005&lt;=$A455)*MOVIMIENTOS!$E$5:$E$1005)+SUMPRODUCT((MOVIMIENTOS!$B$5:$B$1005="DEVOLUCIÓN")*(MOVIMIENTOS!$C$5:$C$1005="C")*(MOVIMIENTOS!$D$5:$D$1005="jabas")*(MOVIMIENTOS!$A$5:$A$1005&lt;&gt;"")*(MOVIMIENTOS!$A$5:$A$1005&lt;=$A455)*MOVIMIENTOS!$E$5:$E$1005)-SUMPRODUCT((MOVIMIENTOS!$B$5:$B$1005="TRASIEGO")*(MOVIMIENTOS!$C$5:$C$1005="C")*(MOVIMIENTOS!$D$5:$D$1005="jabas")*(MOVIMIENTOS!$A$5:$A$1005&lt;&gt;"")*(MOVIMIENTOS!$A$5:$A$1005&lt;=$A455)*MOVIMIENTOS!$E$5:$E$1005)-SUMPRODUCT((MOVIMIENTOS!$B$5:$B$1005="REGALO")*(MOVIMIENTOS!$C$5:$C$1005="C")*(MOVIMIENTOS!$D$5:$D$1005="jabas")*(MOVIMIENTOS!$A$5:$A$1005&lt;&gt;"")*(MOVIMIENTOS!$A$5:$A$1005&lt;=$A455)*MOVIMIENTOS!$E$5:$E$1005)-SUMPRODUCT((MOVIMIENTOS!$B$5:$B$1005="VENTA")*(MOVIMIENTOS!$C$5:$C$1005="C")*(MOVIMIENTOS!$D$5:$D$1005="jabas")*(MOVIMIENTOS!$A$5:$A$1005&lt;&gt;"")*(MOVIMIENTOS!$A$5:$A$1005&lt;=$A455)*MOVIMIENTOS!$E$5:$E$1005)+SUMPRODUCT((MOVIMIENTOS!$B$5:$B$1005="AJUSTE")*(MOVIMIENTOS!$C$5:$C$1005="C")*(MOVIMIENTOS!$D$5:$D$1005="jabas")*(MOVIMIENTOS!$A$5:$A$1005&lt;&gt;"")*(MOVIMIENTOS!$A$5:$A$1005&lt;=$A455)*MOVIMIENTOS!$E$5:$E$1005))</f>
        <v/>
      </c>
      <c r="E455" t="str">
        <f>IF($A455="","",SUMPRODUCT((MOVIMIENTOS!$B$5:$B$1005="SALDO INICIAL")*(MOVIMIENTOS!$C$5:$C$1005="M")*(MOVIMIENTOS!$D$5:$D$1005="jabas")*(MOVIMIENTOS!$A$5:$A$1005&lt;&gt;"")*(MOVIMIENTOS!$A$5:$A$1005&lt;=$A455)*MOVIMIENTOS!$E$5:$E$1005)+SUMPRODUCT((MOVIMIENTOS!$B$5:$B$1005="PROCESO")*(MOVIMIENTOS!$C$5:$C$1005="M")*(MOVIMIENTOS!$D$5:$D$1005="jabas")*(MOVIMIENTOS!$A$5:$A$1005&lt;&gt;"")*(MOVIMIENTOS!$A$5:$A$1005&lt;=$A455)*MOVIMIENTOS!$E$5:$E$1005)-SUMPRODUCT((MOVIMIENTOS!$B$5:$B$1005="ENVÍO A SUPESA")*(MOVIMIENTOS!$C$5:$C$1005="M")*(MOVIMIENTOS!$D$5:$D$1005="jabas")*(MOVIMIENTOS!$A$5:$A$1005&lt;&gt;"")*(MOVIMIENTOS!$A$5:$A$1005&lt;=$A455)*MOVIMIENTOS!$E$5:$E$1005)+SUMPRODUCT((MOVIMIENTOS!$B$5:$B$1005="DEVOLUCIÓN")*(MOVIMIENTOS!$C$5:$C$1005="M")*(MOVIMIENTOS!$D$5:$D$1005="jabas")*(MOVIMIENTOS!$A$5:$A$1005&lt;&gt;"")*(MOVIMIENTOS!$A$5:$A$1005&lt;=$A455)*MOVIMIENTOS!$E$5:$E$1005)-SUMPRODUCT((MOVIMIENTOS!$B$5:$B$1005="TRASIEGO")*(MOVIMIENTOS!$C$5:$C$1005="M")*(MOVIMIENTOS!$D$5:$D$1005="jabas")*(MOVIMIENTOS!$A$5:$A$1005&lt;&gt;"")*(MOVIMIENTOS!$A$5:$A$1005&lt;=$A455)*MOVIMIENTOS!$E$5:$E$1005)-SUMPRODUCT((MOVIMIENTOS!$B$5:$B$1005="REGALO")*(MOVIMIENTOS!$C$5:$C$1005="M")*(MOVIMIENTOS!$D$5:$D$1005="jabas")*(MOVIMIENTOS!$A$5:$A$1005&lt;&gt;"")*(MOVIMIENTOS!$A$5:$A$1005&lt;=$A455)*MOVIMIENTOS!$E$5:$E$1005)-SUMPRODUCT((MOVIMIENTOS!$B$5:$B$1005="VENTA")*(MOVIMIENTOS!$C$5:$C$1005="M")*(MOVIMIENTOS!$D$5:$D$1005="jabas")*(MOVIMIENTOS!$A$5:$A$1005&lt;&gt;"")*(MOVIMIENTOS!$A$5:$A$1005&lt;=$A455)*MOVIMIENTOS!$E$5:$E$1005)+SUMPRODUCT((MOVIMIENTOS!$B$5:$B$1005="AJUSTE")*(MOVIMIENTOS!$C$5:$C$1005="M")*(MOVIMIENTOS!$D$5:$D$1005="jabas")*(MOVIMIENTOS!$A$5:$A$1005&lt;&gt;"")*(MOVIMIENTOS!$A$5:$A$1005&lt;=$A455)*MOVIMIENTOS!$E$5:$E$1005))</f>
        <v/>
      </c>
      <c r="F455" s="62" t="str">
        <f>IF($A455="","",SUMPRODUCT((MOVIMIENTOS!$B$5:$B$1005="SALDO INICIAL")*(MOVIMIENTOS!$C$5:$C$1005="Chancho")*(MOVIMIENTOS!$D$5:$D$1005="sacos")*(MOVIMIENTOS!$A$5:$A$1005&lt;&gt;"")*(MOVIMIENTOS!$A$5:$A$1005&lt;=$A455)*MOVIMIENTOS!$E$5:$E$1005)+SUMPRODUCT((MOVIMIENTOS!$B$5:$B$1005="PROCESO")*(MOVIMIENTOS!$C$5:$C$1005="Chancho")*(MOVIMIENTOS!$D$5:$D$1005="sacos")*(MOVIMIENTOS!$A$5:$A$1005&lt;&gt;"")*(MOVIMIENTOS!$A$5:$A$1005&lt;=$A455)*MOVIMIENTOS!$E$5:$E$1005)-SUMPRODUCT((MOVIMIENTOS!$B$5:$B$1005="VENTA CHANCHO")*(MOVIMIENTOS!$C$5:$C$1005="Chancho")*(MOVIMIENTOS!$D$5:$D$1005="sacos")*(MOVIMIENTOS!$A$5:$A$1005&lt;&gt;"")*(MOVIMIENTOS!$A$5:$A$1005&lt;=$A455)*MOVIMIENTOS!$E$5:$E$1005)-SUMPRODUCT((MOVIMIENTOS!$B$5:$B$1005="REGALO")*(MOVIMIENTOS!$C$5:$C$1005="Chancho")*(MOVIMIENTOS!$D$5:$D$1005="sacos")*(MOVIMIENTOS!$A$5:$A$1005&lt;&gt;"")*(MOVIMIENTOS!$A$5:$A$1005&lt;=$A455)*MOVIMIENTOS!$E$5:$E$1005)-SUMPRODUCT((MOVIMIENTOS!$B$5:$B$1005="VENTA")*(MOVIMIENTOS!$C$5:$C$1005="Chancho")*(MOVIMIENTOS!$D$5:$D$1005="sacos")*(MOVIMIENTOS!$A$5:$A$1005&lt;&gt;"")*(MOVIMIENTOS!$A$5:$A$1005&lt;=$A455)*MOVIMIENTOS!$E$5:$E$1005)+SUMPRODUCT((MOVIMIENTOS!$B$5:$B$1005="AJUSTE")*(MOVIMIENTOS!$C$5:$C$1005="Chancho")*(MOVIMIENTOS!$D$5:$D$1005="sacos")*(MOVIMIENTOS!$A$5:$A$1005&lt;&gt;"")*(MOVIMIENTOS!$A$5:$A$1005&lt;=$A455)*MOVIMIENTOS!$E$5:$E$1005))</f>
        <v/>
      </c>
      <c r="G455" s="62" t="str">
        <f t="shared" si="15"/>
        <v/>
      </c>
      <c r="H455" t="str">
        <f>IF($A455="","",SUMPRODUCT((((MOVIMIENTOS!$B$5:$B$1005="SALDO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455)*MOVIMIENTOS!$J$5:$J$1005))</f>
        <v/>
      </c>
      <c r="J455" t="str">
        <f>IF(AND(MOVIMIENTOS!$A460&lt;&gt;"",COUNTIF(MOVIMIENTOS!$A$5:$A459,MOVIMIENTOS!$A460)=0),COUNT(J$4:J454)+1,"")</f>
        <v/>
      </c>
      <c r="K455" s="67">
        <f>MOVIMIENTOS!$A460</f>
        <v>46252</v>
      </c>
    </row>
    <row r="456" spans="1:11" ht="15" customHeight="1" x14ac:dyDescent="0.2">
      <c r="A456" t="str">
        <f t="shared" si="14"/>
        <v/>
      </c>
      <c r="B456" t="str">
        <f>IF($A456="","",SUMPRODUCT((MOVIMIENTOS!$B$5:$B$1005="SALDO INICIAL")*(MOVIMIENTOS!$C$5:$C$1005="A")*(MOVIMIENTOS!$D$5:$D$1005="jabas")*(MOVIMIENTOS!$A$5:$A$1005&lt;&gt;"")*(MOVIMIENTOS!$A$5:$A$1005&lt;=$A456)*MOVIMIENTOS!$E$5:$E$1005)+SUMPRODUCT((MOVIMIENTOS!$B$5:$B$1005="PROCESO")*(MOVIMIENTOS!$C$5:$C$1005="A")*(MOVIMIENTOS!$D$5:$D$1005="jabas")*(MOVIMIENTOS!$A$5:$A$1005&lt;&gt;"")*(MOVIMIENTOS!$A$5:$A$1005&lt;=$A456)*MOVIMIENTOS!$E$5:$E$1005)-SUMPRODUCT((MOVIMIENTOS!$B$5:$B$1005="ENVÍO A SUPESA")*(MOVIMIENTOS!$C$5:$C$1005="A")*(MOVIMIENTOS!$D$5:$D$1005="jabas")*(MOVIMIENTOS!$A$5:$A$1005&lt;&gt;"")*(MOVIMIENTOS!$A$5:$A$1005&lt;=$A456)*MOVIMIENTOS!$E$5:$E$1005)+SUMPRODUCT((MOVIMIENTOS!$B$5:$B$1005="DEVOLUCIÓN")*(MOVIMIENTOS!$C$5:$C$1005="A")*(MOVIMIENTOS!$D$5:$D$1005="jabas")*(MOVIMIENTOS!$A$5:$A$1005&lt;&gt;"")*(MOVIMIENTOS!$A$5:$A$1005&lt;=$A456)*MOVIMIENTOS!$E$5:$E$1005)-SUMPRODUCT((MOVIMIENTOS!$B$5:$B$1005="TRASIEGO")*(MOVIMIENTOS!$C$5:$C$1005="A")*(MOVIMIENTOS!$D$5:$D$1005="jabas")*(MOVIMIENTOS!$A$5:$A$1005&lt;&gt;"")*(MOVIMIENTOS!$A$5:$A$1005&lt;=$A456)*MOVIMIENTOS!$E$5:$E$1005)-SUMPRODUCT((MOVIMIENTOS!$B$5:$B$1005="REGALO")*(MOVIMIENTOS!$C$5:$C$1005="A")*(MOVIMIENTOS!$D$5:$D$1005="jabas")*(MOVIMIENTOS!$A$5:$A$1005&lt;&gt;"")*(MOVIMIENTOS!$A$5:$A$1005&lt;=$A456)*MOVIMIENTOS!$E$5:$E$1005)-SUMPRODUCT((MOVIMIENTOS!$B$5:$B$1005="VENTA")*(MOVIMIENTOS!$C$5:$C$1005="A")*(MOVIMIENTOS!$D$5:$D$1005="jabas")*(MOVIMIENTOS!$A$5:$A$1005&lt;&gt;"")*(MOVIMIENTOS!$A$5:$A$1005&lt;=$A456)*MOVIMIENTOS!$E$5:$E$1005)+SUMPRODUCT((MOVIMIENTOS!$B$5:$B$1005="AJUSTE")*(MOVIMIENTOS!$C$5:$C$1005="A")*(MOVIMIENTOS!$D$5:$D$1005="jabas")*(MOVIMIENTOS!$A$5:$A$1005&lt;&gt;"")*(MOVIMIENTOS!$A$5:$A$1005&lt;=$A456)*MOVIMIENTOS!$E$5:$E$1005))</f>
        <v/>
      </c>
      <c r="C456" t="str">
        <f>IF($A456="","",SUMPRODUCT((MOVIMIENTOS!$B$5:$B$1005="SALDO INICIAL")*(MOVIMIENTOS!$C$5:$C$1005="P")*(MOVIMIENTOS!$D$5:$D$1005="jabas")*(MOVIMIENTOS!$A$5:$A$1005&lt;&gt;"")*(MOVIMIENTOS!$A$5:$A$1005&lt;=$A456)*MOVIMIENTOS!$E$5:$E$1005)+SUMPRODUCT((MOVIMIENTOS!$B$5:$B$1005="PROCESO")*(MOVIMIENTOS!$C$5:$C$1005="P")*(MOVIMIENTOS!$D$5:$D$1005="jabas")*(MOVIMIENTOS!$A$5:$A$1005&lt;&gt;"")*(MOVIMIENTOS!$A$5:$A$1005&lt;=$A456)*MOVIMIENTOS!$E$5:$E$1005)-SUMPRODUCT((MOVIMIENTOS!$B$5:$B$1005="ENVÍO A SUPESA")*(MOVIMIENTOS!$C$5:$C$1005="P")*(MOVIMIENTOS!$D$5:$D$1005="jabas")*(MOVIMIENTOS!$A$5:$A$1005&lt;&gt;"")*(MOVIMIENTOS!$A$5:$A$1005&lt;=$A456)*MOVIMIENTOS!$E$5:$E$1005)+SUMPRODUCT((MOVIMIENTOS!$B$5:$B$1005="DEVOLUCIÓN")*(MOVIMIENTOS!$C$5:$C$1005="P")*(MOVIMIENTOS!$D$5:$D$1005="jabas")*(MOVIMIENTOS!$A$5:$A$1005&lt;&gt;"")*(MOVIMIENTOS!$A$5:$A$1005&lt;=$A456)*MOVIMIENTOS!$E$5:$E$1005)-SUMPRODUCT((MOVIMIENTOS!$B$5:$B$1005="TRASIEGO")*(MOVIMIENTOS!$C$5:$C$1005="P")*(MOVIMIENTOS!$D$5:$D$1005="jabas")*(MOVIMIENTOS!$A$5:$A$1005&lt;&gt;"")*(MOVIMIENTOS!$A$5:$A$1005&lt;=$A456)*MOVIMIENTOS!$E$5:$E$1005)-SUMPRODUCT((MOVIMIENTOS!$B$5:$B$1005="REGALO")*(MOVIMIENTOS!$C$5:$C$1005="P")*(MOVIMIENTOS!$D$5:$D$1005="jabas")*(MOVIMIENTOS!$A$5:$A$1005&lt;&gt;"")*(MOVIMIENTOS!$A$5:$A$1005&lt;=$A456)*MOVIMIENTOS!$E$5:$E$1005)-SUMPRODUCT((MOVIMIENTOS!$B$5:$B$1005="VENTA")*(MOVIMIENTOS!$C$5:$C$1005="P")*(MOVIMIENTOS!$D$5:$D$1005="jabas")*(MOVIMIENTOS!$A$5:$A$1005&lt;&gt;"")*(MOVIMIENTOS!$A$5:$A$1005&lt;=$A456)*MOVIMIENTOS!$E$5:$E$1005)+SUMPRODUCT((MOVIMIENTOS!$B$5:$B$1005="AJUSTE")*(MOVIMIENTOS!$C$5:$C$1005="P")*(MOVIMIENTOS!$D$5:$D$1005="jabas")*(MOVIMIENTOS!$A$5:$A$1005&lt;&gt;"")*(MOVIMIENTOS!$A$5:$A$1005&lt;=$A456)*MOVIMIENTOS!$E$5:$E$1005))</f>
        <v/>
      </c>
      <c r="D456" t="str">
        <f>IF($A456="","",SUMPRODUCT((MOVIMIENTOS!$B$5:$B$1005="SALDO INICIAL")*(MOVIMIENTOS!$C$5:$C$1005="C")*(MOVIMIENTOS!$D$5:$D$1005="jabas")*(MOVIMIENTOS!$A$5:$A$1005&lt;&gt;"")*(MOVIMIENTOS!$A$5:$A$1005&lt;=$A456)*MOVIMIENTOS!$E$5:$E$1005)+SUMPRODUCT((MOVIMIENTOS!$B$5:$B$1005="PROCESO")*(MOVIMIENTOS!$C$5:$C$1005="C")*(MOVIMIENTOS!$D$5:$D$1005="jabas")*(MOVIMIENTOS!$A$5:$A$1005&lt;&gt;"")*(MOVIMIENTOS!$A$5:$A$1005&lt;=$A456)*MOVIMIENTOS!$E$5:$E$1005)-SUMPRODUCT((MOVIMIENTOS!$B$5:$B$1005="ENVÍO A SUPESA")*(MOVIMIENTOS!$C$5:$C$1005="C")*(MOVIMIENTOS!$D$5:$D$1005="jabas")*(MOVIMIENTOS!$A$5:$A$1005&lt;&gt;"")*(MOVIMIENTOS!$A$5:$A$1005&lt;=$A456)*MOVIMIENTOS!$E$5:$E$1005)+SUMPRODUCT((MOVIMIENTOS!$B$5:$B$1005="DEVOLUCIÓN")*(MOVIMIENTOS!$C$5:$C$1005="C")*(MOVIMIENTOS!$D$5:$D$1005="jabas")*(MOVIMIENTOS!$A$5:$A$1005&lt;&gt;"")*(MOVIMIENTOS!$A$5:$A$1005&lt;=$A456)*MOVIMIENTOS!$E$5:$E$1005)-SUMPRODUCT((MOVIMIENTOS!$B$5:$B$1005="TRASIEGO")*(MOVIMIENTOS!$C$5:$C$1005="C")*(MOVIMIENTOS!$D$5:$D$1005="jabas")*(MOVIMIENTOS!$A$5:$A$1005&lt;&gt;"")*(MOVIMIENTOS!$A$5:$A$1005&lt;=$A456)*MOVIMIENTOS!$E$5:$E$1005)-SUMPRODUCT((MOVIMIENTOS!$B$5:$B$1005="REGALO")*(MOVIMIENTOS!$C$5:$C$1005="C")*(MOVIMIENTOS!$D$5:$D$1005="jabas")*(MOVIMIENTOS!$A$5:$A$1005&lt;&gt;"")*(MOVIMIENTOS!$A$5:$A$1005&lt;=$A456)*MOVIMIENTOS!$E$5:$E$1005)-SUMPRODUCT((MOVIMIENTOS!$B$5:$B$1005="VENTA")*(MOVIMIENTOS!$C$5:$C$1005="C")*(MOVIMIENTOS!$D$5:$D$1005="jabas")*(MOVIMIENTOS!$A$5:$A$1005&lt;&gt;"")*(MOVIMIENTOS!$A$5:$A$1005&lt;=$A456)*MOVIMIENTOS!$E$5:$E$1005)+SUMPRODUCT((MOVIMIENTOS!$B$5:$B$1005="AJUSTE")*(MOVIMIENTOS!$C$5:$C$1005="C")*(MOVIMIENTOS!$D$5:$D$1005="jabas")*(MOVIMIENTOS!$A$5:$A$1005&lt;&gt;"")*(MOVIMIENTOS!$A$5:$A$1005&lt;=$A456)*MOVIMIENTOS!$E$5:$E$1005))</f>
        <v/>
      </c>
      <c r="E456" t="str">
        <f>IF($A456="","",SUMPRODUCT((MOVIMIENTOS!$B$5:$B$1005="SALDO INICIAL")*(MOVIMIENTOS!$C$5:$C$1005="M")*(MOVIMIENTOS!$D$5:$D$1005="jabas")*(MOVIMIENTOS!$A$5:$A$1005&lt;&gt;"")*(MOVIMIENTOS!$A$5:$A$1005&lt;=$A456)*MOVIMIENTOS!$E$5:$E$1005)+SUMPRODUCT((MOVIMIENTOS!$B$5:$B$1005="PROCESO")*(MOVIMIENTOS!$C$5:$C$1005="M")*(MOVIMIENTOS!$D$5:$D$1005="jabas")*(MOVIMIENTOS!$A$5:$A$1005&lt;&gt;"")*(MOVIMIENTOS!$A$5:$A$1005&lt;=$A456)*MOVIMIENTOS!$E$5:$E$1005)-SUMPRODUCT((MOVIMIENTOS!$B$5:$B$1005="ENVÍO A SUPESA")*(MOVIMIENTOS!$C$5:$C$1005="M")*(MOVIMIENTOS!$D$5:$D$1005="jabas")*(MOVIMIENTOS!$A$5:$A$1005&lt;&gt;"")*(MOVIMIENTOS!$A$5:$A$1005&lt;=$A456)*MOVIMIENTOS!$E$5:$E$1005)+SUMPRODUCT((MOVIMIENTOS!$B$5:$B$1005="DEVOLUCIÓN")*(MOVIMIENTOS!$C$5:$C$1005="M")*(MOVIMIENTOS!$D$5:$D$1005="jabas")*(MOVIMIENTOS!$A$5:$A$1005&lt;&gt;"")*(MOVIMIENTOS!$A$5:$A$1005&lt;=$A456)*MOVIMIENTOS!$E$5:$E$1005)-SUMPRODUCT((MOVIMIENTOS!$B$5:$B$1005="TRASIEGO")*(MOVIMIENTOS!$C$5:$C$1005="M")*(MOVIMIENTOS!$D$5:$D$1005="jabas")*(MOVIMIENTOS!$A$5:$A$1005&lt;&gt;"")*(MOVIMIENTOS!$A$5:$A$1005&lt;=$A456)*MOVIMIENTOS!$E$5:$E$1005)-SUMPRODUCT((MOVIMIENTOS!$B$5:$B$1005="REGALO")*(MOVIMIENTOS!$C$5:$C$1005="M")*(MOVIMIENTOS!$D$5:$D$1005="jabas")*(MOVIMIENTOS!$A$5:$A$1005&lt;&gt;"")*(MOVIMIENTOS!$A$5:$A$1005&lt;=$A456)*MOVIMIENTOS!$E$5:$E$1005)-SUMPRODUCT((MOVIMIENTOS!$B$5:$B$1005="VENTA")*(MOVIMIENTOS!$C$5:$C$1005="M")*(MOVIMIENTOS!$D$5:$D$1005="jabas")*(MOVIMIENTOS!$A$5:$A$1005&lt;&gt;"")*(MOVIMIENTOS!$A$5:$A$1005&lt;=$A456)*MOVIMIENTOS!$E$5:$E$1005)+SUMPRODUCT((MOVIMIENTOS!$B$5:$B$1005="AJUSTE")*(MOVIMIENTOS!$C$5:$C$1005="M")*(MOVIMIENTOS!$D$5:$D$1005="jabas")*(MOVIMIENTOS!$A$5:$A$1005&lt;&gt;"")*(MOVIMIENTOS!$A$5:$A$1005&lt;=$A456)*MOVIMIENTOS!$E$5:$E$1005))</f>
        <v/>
      </c>
      <c r="F456" s="62" t="str">
        <f>IF($A456="","",SUMPRODUCT((MOVIMIENTOS!$B$5:$B$1005="SALDO INICIAL")*(MOVIMIENTOS!$C$5:$C$1005="Chancho")*(MOVIMIENTOS!$D$5:$D$1005="sacos")*(MOVIMIENTOS!$A$5:$A$1005&lt;&gt;"")*(MOVIMIENTOS!$A$5:$A$1005&lt;=$A456)*MOVIMIENTOS!$E$5:$E$1005)+SUMPRODUCT((MOVIMIENTOS!$B$5:$B$1005="PROCESO")*(MOVIMIENTOS!$C$5:$C$1005="Chancho")*(MOVIMIENTOS!$D$5:$D$1005="sacos")*(MOVIMIENTOS!$A$5:$A$1005&lt;&gt;"")*(MOVIMIENTOS!$A$5:$A$1005&lt;=$A456)*MOVIMIENTOS!$E$5:$E$1005)-SUMPRODUCT((MOVIMIENTOS!$B$5:$B$1005="VENTA CHANCHO")*(MOVIMIENTOS!$C$5:$C$1005="Chancho")*(MOVIMIENTOS!$D$5:$D$1005="sacos")*(MOVIMIENTOS!$A$5:$A$1005&lt;&gt;"")*(MOVIMIENTOS!$A$5:$A$1005&lt;=$A456)*MOVIMIENTOS!$E$5:$E$1005)-SUMPRODUCT((MOVIMIENTOS!$B$5:$B$1005="REGALO")*(MOVIMIENTOS!$C$5:$C$1005="Chancho")*(MOVIMIENTOS!$D$5:$D$1005="sacos")*(MOVIMIENTOS!$A$5:$A$1005&lt;&gt;"")*(MOVIMIENTOS!$A$5:$A$1005&lt;=$A456)*MOVIMIENTOS!$E$5:$E$1005)-SUMPRODUCT((MOVIMIENTOS!$B$5:$B$1005="VENTA")*(MOVIMIENTOS!$C$5:$C$1005="Chancho")*(MOVIMIENTOS!$D$5:$D$1005="sacos")*(MOVIMIENTOS!$A$5:$A$1005&lt;&gt;"")*(MOVIMIENTOS!$A$5:$A$1005&lt;=$A456)*MOVIMIENTOS!$E$5:$E$1005)+SUMPRODUCT((MOVIMIENTOS!$B$5:$B$1005="AJUSTE")*(MOVIMIENTOS!$C$5:$C$1005="Chancho")*(MOVIMIENTOS!$D$5:$D$1005="sacos")*(MOVIMIENTOS!$A$5:$A$1005&lt;&gt;"")*(MOVIMIENTOS!$A$5:$A$1005&lt;=$A456)*MOVIMIENTOS!$E$5:$E$1005))</f>
        <v/>
      </c>
      <c r="G456" s="62" t="str">
        <f t="shared" si="15"/>
        <v/>
      </c>
      <c r="H456" t="str">
        <f>IF($A456="","",SUMPRODUCT((((MOVIMIENTOS!$B$5:$B$1005="SALDO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456)*MOVIMIENTOS!$J$5:$J$1005))</f>
        <v/>
      </c>
      <c r="J456">
        <f>IF(AND(MOVIMIENTOS!$A461&lt;&gt;"",COUNTIF(MOVIMIENTOS!$A$5:$A460,MOVIMIENTOS!$A461)=0),COUNT(J$4:J455)+1,"")</f>
        <v>40</v>
      </c>
      <c r="K456" s="67">
        <f>MOVIMIENTOS!$A461</f>
        <v>46253</v>
      </c>
    </row>
    <row r="457" spans="1:11" ht="15" customHeight="1" x14ac:dyDescent="0.2">
      <c r="A457" t="str">
        <f t="shared" si="14"/>
        <v/>
      </c>
      <c r="B457" t="str">
        <f>IF($A457="","",SUMPRODUCT((MOVIMIENTOS!$B$5:$B$1005="SALDO INICIAL")*(MOVIMIENTOS!$C$5:$C$1005="A")*(MOVIMIENTOS!$D$5:$D$1005="jabas")*(MOVIMIENTOS!$A$5:$A$1005&lt;&gt;"")*(MOVIMIENTOS!$A$5:$A$1005&lt;=$A457)*MOVIMIENTOS!$E$5:$E$1005)+SUMPRODUCT((MOVIMIENTOS!$B$5:$B$1005="PROCESO")*(MOVIMIENTOS!$C$5:$C$1005="A")*(MOVIMIENTOS!$D$5:$D$1005="jabas")*(MOVIMIENTOS!$A$5:$A$1005&lt;&gt;"")*(MOVIMIENTOS!$A$5:$A$1005&lt;=$A457)*MOVIMIENTOS!$E$5:$E$1005)-SUMPRODUCT((MOVIMIENTOS!$B$5:$B$1005="ENVÍO A SUPESA")*(MOVIMIENTOS!$C$5:$C$1005="A")*(MOVIMIENTOS!$D$5:$D$1005="jabas")*(MOVIMIENTOS!$A$5:$A$1005&lt;&gt;"")*(MOVIMIENTOS!$A$5:$A$1005&lt;=$A457)*MOVIMIENTOS!$E$5:$E$1005)+SUMPRODUCT((MOVIMIENTOS!$B$5:$B$1005="DEVOLUCIÓN")*(MOVIMIENTOS!$C$5:$C$1005="A")*(MOVIMIENTOS!$D$5:$D$1005="jabas")*(MOVIMIENTOS!$A$5:$A$1005&lt;&gt;"")*(MOVIMIENTOS!$A$5:$A$1005&lt;=$A457)*MOVIMIENTOS!$E$5:$E$1005)-SUMPRODUCT((MOVIMIENTOS!$B$5:$B$1005="TRASIEGO")*(MOVIMIENTOS!$C$5:$C$1005="A")*(MOVIMIENTOS!$D$5:$D$1005="jabas")*(MOVIMIENTOS!$A$5:$A$1005&lt;&gt;"")*(MOVIMIENTOS!$A$5:$A$1005&lt;=$A457)*MOVIMIENTOS!$E$5:$E$1005)-SUMPRODUCT((MOVIMIENTOS!$B$5:$B$1005="REGALO")*(MOVIMIENTOS!$C$5:$C$1005="A")*(MOVIMIENTOS!$D$5:$D$1005="jabas")*(MOVIMIENTOS!$A$5:$A$1005&lt;&gt;"")*(MOVIMIENTOS!$A$5:$A$1005&lt;=$A457)*MOVIMIENTOS!$E$5:$E$1005)-SUMPRODUCT((MOVIMIENTOS!$B$5:$B$1005="VENTA")*(MOVIMIENTOS!$C$5:$C$1005="A")*(MOVIMIENTOS!$D$5:$D$1005="jabas")*(MOVIMIENTOS!$A$5:$A$1005&lt;&gt;"")*(MOVIMIENTOS!$A$5:$A$1005&lt;=$A457)*MOVIMIENTOS!$E$5:$E$1005)+SUMPRODUCT((MOVIMIENTOS!$B$5:$B$1005="AJUSTE")*(MOVIMIENTOS!$C$5:$C$1005="A")*(MOVIMIENTOS!$D$5:$D$1005="jabas")*(MOVIMIENTOS!$A$5:$A$1005&lt;&gt;"")*(MOVIMIENTOS!$A$5:$A$1005&lt;=$A457)*MOVIMIENTOS!$E$5:$E$1005))</f>
        <v/>
      </c>
      <c r="C457" t="str">
        <f>IF($A457="","",SUMPRODUCT((MOVIMIENTOS!$B$5:$B$1005="SALDO INICIAL")*(MOVIMIENTOS!$C$5:$C$1005="P")*(MOVIMIENTOS!$D$5:$D$1005="jabas")*(MOVIMIENTOS!$A$5:$A$1005&lt;&gt;"")*(MOVIMIENTOS!$A$5:$A$1005&lt;=$A457)*MOVIMIENTOS!$E$5:$E$1005)+SUMPRODUCT((MOVIMIENTOS!$B$5:$B$1005="PROCESO")*(MOVIMIENTOS!$C$5:$C$1005="P")*(MOVIMIENTOS!$D$5:$D$1005="jabas")*(MOVIMIENTOS!$A$5:$A$1005&lt;&gt;"")*(MOVIMIENTOS!$A$5:$A$1005&lt;=$A457)*MOVIMIENTOS!$E$5:$E$1005)-SUMPRODUCT((MOVIMIENTOS!$B$5:$B$1005="ENVÍO A SUPESA")*(MOVIMIENTOS!$C$5:$C$1005="P")*(MOVIMIENTOS!$D$5:$D$1005="jabas")*(MOVIMIENTOS!$A$5:$A$1005&lt;&gt;"")*(MOVIMIENTOS!$A$5:$A$1005&lt;=$A457)*MOVIMIENTOS!$E$5:$E$1005)+SUMPRODUCT((MOVIMIENTOS!$B$5:$B$1005="DEVOLUCIÓN")*(MOVIMIENTOS!$C$5:$C$1005="P")*(MOVIMIENTOS!$D$5:$D$1005="jabas")*(MOVIMIENTOS!$A$5:$A$1005&lt;&gt;"")*(MOVIMIENTOS!$A$5:$A$1005&lt;=$A457)*MOVIMIENTOS!$E$5:$E$1005)-SUMPRODUCT((MOVIMIENTOS!$B$5:$B$1005="TRASIEGO")*(MOVIMIENTOS!$C$5:$C$1005="P")*(MOVIMIENTOS!$D$5:$D$1005="jabas")*(MOVIMIENTOS!$A$5:$A$1005&lt;&gt;"")*(MOVIMIENTOS!$A$5:$A$1005&lt;=$A457)*MOVIMIENTOS!$E$5:$E$1005)-SUMPRODUCT((MOVIMIENTOS!$B$5:$B$1005="REGALO")*(MOVIMIENTOS!$C$5:$C$1005="P")*(MOVIMIENTOS!$D$5:$D$1005="jabas")*(MOVIMIENTOS!$A$5:$A$1005&lt;&gt;"")*(MOVIMIENTOS!$A$5:$A$1005&lt;=$A457)*MOVIMIENTOS!$E$5:$E$1005)-SUMPRODUCT((MOVIMIENTOS!$B$5:$B$1005="VENTA")*(MOVIMIENTOS!$C$5:$C$1005="P")*(MOVIMIENTOS!$D$5:$D$1005="jabas")*(MOVIMIENTOS!$A$5:$A$1005&lt;&gt;"")*(MOVIMIENTOS!$A$5:$A$1005&lt;=$A457)*MOVIMIENTOS!$E$5:$E$1005)+SUMPRODUCT((MOVIMIENTOS!$B$5:$B$1005="AJUSTE")*(MOVIMIENTOS!$C$5:$C$1005="P")*(MOVIMIENTOS!$D$5:$D$1005="jabas")*(MOVIMIENTOS!$A$5:$A$1005&lt;&gt;"")*(MOVIMIENTOS!$A$5:$A$1005&lt;=$A457)*MOVIMIENTOS!$E$5:$E$1005))</f>
        <v/>
      </c>
      <c r="D457" t="str">
        <f>IF($A457="","",SUMPRODUCT((MOVIMIENTOS!$B$5:$B$1005="SALDO INICIAL")*(MOVIMIENTOS!$C$5:$C$1005="C")*(MOVIMIENTOS!$D$5:$D$1005="jabas")*(MOVIMIENTOS!$A$5:$A$1005&lt;&gt;"")*(MOVIMIENTOS!$A$5:$A$1005&lt;=$A457)*MOVIMIENTOS!$E$5:$E$1005)+SUMPRODUCT((MOVIMIENTOS!$B$5:$B$1005="PROCESO")*(MOVIMIENTOS!$C$5:$C$1005="C")*(MOVIMIENTOS!$D$5:$D$1005="jabas")*(MOVIMIENTOS!$A$5:$A$1005&lt;&gt;"")*(MOVIMIENTOS!$A$5:$A$1005&lt;=$A457)*MOVIMIENTOS!$E$5:$E$1005)-SUMPRODUCT((MOVIMIENTOS!$B$5:$B$1005="ENVÍO A SUPESA")*(MOVIMIENTOS!$C$5:$C$1005="C")*(MOVIMIENTOS!$D$5:$D$1005="jabas")*(MOVIMIENTOS!$A$5:$A$1005&lt;&gt;"")*(MOVIMIENTOS!$A$5:$A$1005&lt;=$A457)*MOVIMIENTOS!$E$5:$E$1005)+SUMPRODUCT((MOVIMIENTOS!$B$5:$B$1005="DEVOLUCIÓN")*(MOVIMIENTOS!$C$5:$C$1005="C")*(MOVIMIENTOS!$D$5:$D$1005="jabas")*(MOVIMIENTOS!$A$5:$A$1005&lt;&gt;"")*(MOVIMIENTOS!$A$5:$A$1005&lt;=$A457)*MOVIMIENTOS!$E$5:$E$1005)-SUMPRODUCT((MOVIMIENTOS!$B$5:$B$1005="TRASIEGO")*(MOVIMIENTOS!$C$5:$C$1005="C")*(MOVIMIENTOS!$D$5:$D$1005="jabas")*(MOVIMIENTOS!$A$5:$A$1005&lt;&gt;"")*(MOVIMIENTOS!$A$5:$A$1005&lt;=$A457)*MOVIMIENTOS!$E$5:$E$1005)-SUMPRODUCT((MOVIMIENTOS!$B$5:$B$1005="REGALO")*(MOVIMIENTOS!$C$5:$C$1005="C")*(MOVIMIENTOS!$D$5:$D$1005="jabas")*(MOVIMIENTOS!$A$5:$A$1005&lt;&gt;"")*(MOVIMIENTOS!$A$5:$A$1005&lt;=$A457)*MOVIMIENTOS!$E$5:$E$1005)-SUMPRODUCT((MOVIMIENTOS!$B$5:$B$1005="VENTA")*(MOVIMIENTOS!$C$5:$C$1005="C")*(MOVIMIENTOS!$D$5:$D$1005="jabas")*(MOVIMIENTOS!$A$5:$A$1005&lt;&gt;"")*(MOVIMIENTOS!$A$5:$A$1005&lt;=$A457)*MOVIMIENTOS!$E$5:$E$1005)+SUMPRODUCT((MOVIMIENTOS!$B$5:$B$1005="AJUSTE")*(MOVIMIENTOS!$C$5:$C$1005="C")*(MOVIMIENTOS!$D$5:$D$1005="jabas")*(MOVIMIENTOS!$A$5:$A$1005&lt;&gt;"")*(MOVIMIENTOS!$A$5:$A$1005&lt;=$A457)*MOVIMIENTOS!$E$5:$E$1005))</f>
        <v/>
      </c>
      <c r="E457" t="str">
        <f>IF($A457="","",SUMPRODUCT((MOVIMIENTOS!$B$5:$B$1005="SALDO INICIAL")*(MOVIMIENTOS!$C$5:$C$1005="M")*(MOVIMIENTOS!$D$5:$D$1005="jabas")*(MOVIMIENTOS!$A$5:$A$1005&lt;&gt;"")*(MOVIMIENTOS!$A$5:$A$1005&lt;=$A457)*MOVIMIENTOS!$E$5:$E$1005)+SUMPRODUCT((MOVIMIENTOS!$B$5:$B$1005="PROCESO")*(MOVIMIENTOS!$C$5:$C$1005="M")*(MOVIMIENTOS!$D$5:$D$1005="jabas")*(MOVIMIENTOS!$A$5:$A$1005&lt;&gt;"")*(MOVIMIENTOS!$A$5:$A$1005&lt;=$A457)*MOVIMIENTOS!$E$5:$E$1005)-SUMPRODUCT((MOVIMIENTOS!$B$5:$B$1005="ENVÍO A SUPESA")*(MOVIMIENTOS!$C$5:$C$1005="M")*(MOVIMIENTOS!$D$5:$D$1005="jabas")*(MOVIMIENTOS!$A$5:$A$1005&lt;&gt;"")*(MOVIMIENTOS!$A$5:$A$1005&lt;=$A457)*MOVIMIENTOS!$E$5:$E$1005)+SUMPRODUCT((MOVIMIENTOS!$B$5:$B$1005="DEVOLUCIÓN")*(MOVIMIENTOS!$C$5:$C$1005="M")*(MOVIMIENTOS!$D$5:$D$1005="jabas")*(MOVIMIENTOS!$A$5:$A$1005&lt;&gt;"")*(MOVIMIENTOS!$A$5:$A$1005&lt;=$A457)*MOVIMIENTOS!$E$5:$E$1005)-SUMPRODUCT((MOVIMIENTOS!$B$5:$B$1005="TRASIEGO")*(MOVIMIENTOS!$C$5:$C$1005="M")*(MOVIMIENTOS!$D$5:$D$1005="jabas")*(MOVIMIENTOS!$A$5:$A$1005&lt;&gt;"")*(MOVIMIENTOS!$A$5:$A$1005&lt;=$A457)*MOVIMIENTOS!$E$5:$E$1005)-SUMPRODUCT((MOVIMIENTOS!$B$5:$B$1005="REGALO")*(MOVIMIENTOS!$C$5:$C$1005="M")*(MOVIMIENTOS!$D$5:$D$1005="jabas")*(MOVIMIENTOS!$A$5:$A$1005&lt;&gt;"")*(MOVIMIENTOS!$A$5:$A$1005&lt;=$A457)*MOVIMIENTOS!$E$5:$E$1005)-SUMPRODUCT((MOVIMIENTOS!$B$5:$B$1005="VENTA")*(MOVIMIENTOS!$C$5:$C$1005="M")*(MOVIMIENTOS!$D$5:$D$1005="jabas")*(MOVIMIENTOS!$A$5:$A$1005&lt;&gt;"")*(MOVIMIENTOS!$A$5:$A$1005&lt;=$A457)*MOVIMIENTOS!$E$5:$E$1005)+SUMPRODUCT((MOVIMIENTOS!$B$5:$B$1005="AJUSTE")*(MOVIMIENTOS!$C$5:$C$1005="M")*(MOVIMIENTOS!$D$5:$D$1005="jabas")*(MOVIMIENTOS!$A$5:$A$1005&lt;&gt;"")*(MOVIMIENTOS!$A$5:$A$1005&lt;=$A457)*MOVIMIENTOS!$E$5:$E$1005))</f>
        <v/>
      </c>
      <c r="F457" s="62" t="str">
        <f>IF($A457="","",SUMPRODUCT((MOVIMIENTOS!$B$5:$B$1005="SALDO INICIAL")*(MOVIMIENTOS!$C$5:$C$1005="Chancho")*(MOVIMIENTOS!$D$5:$D$1005="sacos")*(MOVIMIENTOS!$A$5:$A$1005&lt;&gt;"")*(MOVIMIENTOS!$A$5:$A$1005&lt;=$A457)*MOVIMIENTOS!$E$5:$E$1005)+SUMPRODUCT((MOVIMIENTOS!$B$5:$B$1005="PROCESO")*(MOVIMIENTOS!$C$5:$C$1005="Chancho")*(MOVIMIENTOS!$D$5:$D$1005="sacos")*(MOVIMIENTOS!$A$5:$A$1005&lt;&gt;"")*(MOVIMIENTOS!$A$5:$A$1005&lt;=$A457)*MOVIMIENTOS!$E$5:$E$1005)-SUMPRODUCT((MOVIMIENTOS!$B$5:$B$1005="VENTA CHANCHO")*(MOVIMIENTOS!$C$5:$C$1005="Chancho")*(MOVIMIENTOS!$D$5:$D$1005="sacos")*(MOVIMIENTOS!$A$5:$A$1005&lt;&gt;"")*(MOVIMIENTOS!$A$5:$A$1005&lt;=$A457)*MOVIMIENTOS!$E$5:$E$1005)-SUMPRODUCT((MOVIMIENTOS!$B$5:$B$1005="REGALO")*(MOVIMIENTOS!$C$5:$C$1005="Chancho")*(MOVIMIENTOS!$D$5:$D$1005="sacos")*(MOVIMIENTOS!$A$5:$A$1005&lt;&gt;"")*(MOVIMIENTOS!$A$5:$A$1005&lt;=$A457)*MOVIMIENTOS!$E$5:$E$1005)-SUMPRODUCT((MOVIMIENTOS!$B$5:$B$1005="VENTA")*(MOVIMIENTOS!$C$5:$C$1005="Chancho")*(MOVIMIENTOS!$D$5:$D$1005="sacos")*(MOVIMIENTOS!$A$5:$A$1005&lt;&gt;"")*(MOVIMIENTOS!$A$5:$A$1005&lt;=$A457)*MOVIMIENTOS!$E$5:$E$1005)+SUMPRODUCT((MOVIMIENTOS!$B$5:$B$1005="AJUSTE")*(MOVIMIENTOS!$C$5:$C$1005="Chancho")*(MOVIMIENTOS!$D$5:$D$1005="sacos")*(MOVIMIENTOS!$A$5:$A$1005&lt;&gt;"")*(MOVIMIENTOS!$A$5:$A$1005&lt;=$A457)*MOVIMIENTOS!$E$5:$E$1005))</f>
        <v/>
      </c>
      <c r="G457" s="62" t="str">
        <f t="shared" si="15"/>
        <v/>
      </c>
      <c r="H457" t="str">
        <f>IF($A457="","",SUMPRODUCT((((MOVIMIENTOS!$B$5:$B$1005="SALDO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457)*MOVIMIENTOS!$J$5:$J$1005))</f>
        <v/>
      </c>
      <c r="J457" t="str">
        <f>IF(AND(MOVIMIENTOS!$A462&lt;&gt;"",COUNTIF(MOVIMIENTOS!$A$5:$A461,MOVIMIENTOS!$A462)=0),COUNT(J$4:J456)+1,"")</f>
        <v/>
      </c>
      <c r="K457" s="67">
        <f>MOVIMIENTOS!$A462</f>
        <v>46253</v>
      </c>
    </row>
    <row r="458" spans="1:11" ht="15" customHeight="1" x14ac:dyDescent="0.2">
      <c r="A458" t="str">
        <f t="shared" si="14"/>
        <v/>
      </c>
      <c r="B458" t="str">
        <f>IF($A458="","",SUMPRODUCT((MOVIMIENTOS!$B$5:$B$1005="SALDO INICIAL")*(MOVIMIENTOS!$C$5:$C$1005="A")*(MOVIMIENTOS!$D$5:$D$1005="jabas")*(MOVIMIENTOS!$A$5:$A$1005&lt;&gt;"")*(MOVIMIENTOS!$A$5:$A$1005&lt;=$A458)*MOVIMIENTOS!$E$5:$E$1005)+SUMPRODUCT((MOVIMIENTOS!$B$5:$B$1005="PROCESO")*(MOVIMIENTOS!$C$5:$C$1005="A")*(MOVIMIENTOS!$D$5:$D$1005="jabas")*(MOVIMIENTOS!$A$5:$A$1005&lt;&gt;"")*(MOVIMIENTOS!$A$5:$A$1005&lt;=$A458)*MOVIMIENTOS!$E$5:$E$1005)-SUMPRODUCT((MOVIMIENTOS!$B$5:$B$1005="ENVÍO A SUPESA")*(MOVIMIENTOS!$C$5:$C$1005="A")*(MOVIMIENTOS!$D$5:$D$1005="jabas")*(MOVIMIENTOS!$A$5:$A$1005&lt;&gt;"")*(MOVIMIENTOS!$A$5:$A$1005&lt;=$A458)*MOVIMIENTOS!$E$5:$E$1005)+SUMPRODUCT((MOVIMIENTOS!$B$5:$B$1005="DEVOLUCIÓN")*(MOVIMIENTOS!$C$5:$C$1005="A")*(MOVIMIENTOS!$D$5:$D$1005="jabas")*(MOVIMIENTOS!$A$5:$A$1005&lt;&gt;"")*(MOVIMIENTOS!$A$5:$A$1005&lt;=$A458)*MOVIMIENTOS!$E$5:$E$1005)-SUMPRODUCT((MOVIMIENTOS!$B$5:$B$1005="TRASIEGO")*(MOVIMIENTOS!$C$5:$C$1005="A")*(MOVIMIENTOS!$D$5:$D$1005="jabas")*(MOVIMIENTOS!$A$5:$A$1005&lt;&gt;"")*(MOVIMIENTOS!$A$5:$A$1005&lt;=$A458)*MOVIMIENTOS!$E$5:$E$1005)-SUMPRODUCT((MOVIMIENTOS!$B$5:$B$1005="REGALO")*(MOVIMIENTOS!$C$5:$C$1005="A")*(MOVIMIENTOS!$D$5:$D$1005="jabas")*(MOVIMIENTOS!$A$5:$A$1005&lt;&gt;"")*(MOVIMIENTOS!$A$5:$A$1005&lt;=$A458)*MOVIMIENTOS!$E$5:$E$1005)-SUMPRODUCT((MOVIMIENTOS!$B$5:$B$1005="VENTA")*(MOVIMIENTOS!$C$5:$C$1005="A")*(MOVIMIENTOS!$D$5:$D$1005="jabas")*(MOVIMIENTOS!$A$5:$A$1005&lt;&gt;"")*(MOVIMIENTOS!$A$5:$A$1005&lt;=$A458)*MOVIMIENTOS!$E$5:$E$1005)+SUMPRODUCT((MOVIMIENTOS!$B$5:$B$1005="AJUSTE")*(MOVIMIENTOS!$C$5:$C$1005="A")*(MOVIMIENTOS!$D$5:$D$1005="jabas")*(MOVIMIENTOS!$A$5:$A$1005&lt;&gt;"")*(MOVIMIENTOS!$A$5:$A$1005&lt;=$A458)*MOVIMIENTOS!$E$5:$E$1005))</f>
        <v/>
      </c>
      <c r="C458" t="str">
        <f>IF($A458="","",SUMPRODUCT((MOVIMIENTOS!$B$5:$B$1005="SALDO INICIAL")*(MOVIMIENTOS!$C$5:$C$1005="P")*(MOVIMIENTOS!$D$5:$D$1005="jabas")*(MOVIMIENTOS!$A$5:$A$1005&lt;&gt;"")*(MOVIMIENTOS!$A$5:$A$1005&lt;=$A458)*MOVIMIENTOS!$E$5:$E$1005)+SUMPRODUCT((MOVIMIENTOS!$B$5:$B$1005="PROCESO")*(MOVIMIENTOS!$C$5:$C$1005="P")*(MOVIMIENTOS!$D$5:$D$1005="jabas")*(MOVIMIENTOS!$A$5:$A$1005&lt;&gt;"")*(MOVIMIENTOS!$A$5:$A$1005&lt;=$A458)*MOVIMIENTOS!$E$5:$E$1005)-SUMPRODUCT((MOVIMIENTOS!$B$5:$B$1005="ENVÍO A SUPESA")*(MOVIMIENTOS!$C$5:$C$1005="P")*(MOVIMIENTOS!$D$5:$D$1005="jabas")*(MOVIMIENTOS!$A$5:$A$1005&lt;&gt;"")*(MOVIMIENTOS!$A$5:$A$1005&lt;=$A458)*MOVIMIENTOS!$E$5:$E$1005)+SUMPRODUCT((MOVIMIENTOS!$B$5:$B$1005="DEVOLUCIÓN")*(MOVIMIENTOS!$C$5:$C$1005="P")*(MOVIMIENTOS!$D$5:$D$1005="jabas")*(MOVIMIENTOS!$A$5:$A$1005&lt;&gt;"")*(MOVIMIENTOS!$A$5:$A$1005&lt;=$A458)*MOVIMIENTOS!$E$5:$E$1005)-SUMPRODUCT((MOVIMIENTOS!$B$5:$B$1005="TRASIEGO")*(MOVIMIENTOS!$C$5:$C$1005="P")*(MOVIMIENTOS!$D$5:$D$1005="jabas")*(MOVIMIENTOS!$A$5:$A$1005&lt;&gt;"")*(MOVIMIENTOS!$A$5:$A$1005&lt;=$A458)*MOVIMIENTOS!$E$5:$E$1005)-SUMPRODUCT((MOVIMIENTOS!$B$5:$B$1005="REGALO")*(MOVIMIENTOS!$C$5:$C$1005="P")*(MOVIMIENTOS!$D$5:$D$1005="jabas")*(MOVIMIENTOS!$A$5:$A$1005&lt;&gt;"")*(MOVIMIENTOS!$A$5:$A$1005&lt;=$A458)*MOVIMIENTOS!$E$5:$E$1005)-SUMPRODUCT((MOVIMIENTOS!$B$5:$B$1005="VENTA")*(MOVIMIENTOS!$C$5:$C$1005="P")*(MOVIMIENTOS!$D$5:$D$1005="jabas")*(MOVIMIENTOS!$A$5:$A$1005&lt;&gt;"")*(MOVIMIENTOS!$A$5:$A$1005&lt;=$A458)*MOVIMIENTOS!$E$5:$E$1005)+SUMPRODUCT((MOVIMIENTOS!$B$5:$B$1005="AJUSTE")*(MOVIMIENTOS!$C$5:$C$1005="P")*(MOVIMIENTOS!$D$5:$D$1005="jabas")*(MOVIMIENTOS!$A$5:$A$1005&lt;&gt;"")*(MOVIMIENTOS!$A$5:$A$1005&lt;=$A458)*MOVIMIENTOS!$E$5:$E$1005))</f>
        <v/>
      </c>
      <c r="D458" t="str">
        <f>IF($A458="","",SUMPRODUCT((MOVIMIENTOS!$B$5:$B$1005="SALDO INICIAL")*(MOVIMIENTOS!$C$5:$C$1005="C")*(MOVIMIENTOS!$D$5:$D$1005="jabas")*(MOVIMIENTOS!$A$5:$A$1005&lt;&gt;"")*(MOVIMIENTOS!$A$5:$A$1005&lt;=$A458)*MOVIMIENTOS!$E$5:$E$1005)+SUMPRODUCT((MOVIMIENTOS!$B$5:$B$1005="PROCESO")*(MOVIMIENTOS!$C$5:$C$1005="C")*(MOVIMIENTOS!$D$5:$D$1005="jabas")*(MOVIMIENTOS!$A$5:$A$1005&lt;&gt;"")*(MOVIMIENTOS!$A$5:$A$1005&lt;=$A458)*MOVIMIENTOS!$E$5:$E$1005)-SUMPRODUCT((MOVIMIENTOS!$B$5:$B$1005="ENVÍO A SUPESA")*(MOVIMIENTOS!$C$5:$C$1005="C")*(MOVIMIENTOS!$D$5:$D$1005="jabas")*(MOVIMIENTOS!$A$5:$A$1005&lt;&gt;"")*(MOVIMIENTOS!$A$5:$A$1005&lt;=$A458)*MOVIMIENTOS!$E$5:$E$1005)+SUMPRODUCT((MOVIMIENTOS!$B$5:$B$1005="DEVOLUCIÓN")*(MOVIMIENTOS!$C$5:$C$1005="C")*(MOVIMIENTOS!$D$5:$D$1005="jabas")*(MOVIMIENTOS!$A$5:$A$1005&lt;&gt;"")*(MOVIMIENTOS!$A$5:$A$1005&lt;=$A458)*MOVIMIENTOS!$E$5:$E$1005)-SUMPRODUCT((MOVIMIENTOS!$B$5:$B$1005="TRASIEGO")*(MOVIMIENTOS!$C$5:$C$1005="C")*(MOVIMIENTOS!$D$5:$D$1005="jabas")*(MOVIMIENTOS!$A$5:$A$1005&lt;&gt;"")*(MOVIMIENTOS!$A$5:$A$1005&lt;=$A458)*MOVIMIENTOS!$E$5:$E$1005)-SUMPRODUCT((MOVIMIENTOS!$B$5:$B$1005="REGALO")*(MOVIMIENTOS!$C$5:$C$1005="C")*(MOVIMIENTOS!$D$5:$D$1005="jabas")*(MOVIMIENTOS!$A$5:$A$1005&lt;&gt;"")*(MOVIMIENTOS!$A$5:$A$1005&lt;=$A458)*MOVIMIENTOS!$E$5:$E$1005)-SUMPRODUCT((MOVIMIENTOS!$B$5:$B$1005="VENTA")*(MOVIMIENTOS!$C$5:$C$1005="C")*(MOVIMIENTOS!$D$5:$D$1005="jabas")*(MOVIMIENTOS!$A$5:$A$1005&lt;&gt;"")*(MOVIMIENTOS!$A$5:$A$1005&lt;=$A458)*MOVIMIENTOS!$E$5:$E$1005)+SUMPRODUCT((MOVIMIENTOS!$B$5:$B$1005="AJUSTE")*(MOVIMIENTOS!$C$5:$C$1005="C")*(MOVIMIENTOS!$D$5:$D$1005="jabas")*(MOVIMIENTOS!$A$5:$A$1005&lt;&gt;"")*(MOVIMIENTOS!$A$5:$A$1005&lt;=$A458)*MOVIMIENTOS!$E$5:$E$1005))</f>
        <v/>
      </c>
      <c r="E458" t="str">
        <f>IF($A458="","",SUMPRODUCT((MOVIMIENTOS!$B$5:$B$1005="SALDO INICIAL")*(MOVIMIENTOS!$C$5:$C$1005="M")*(MOVIMIENTOS!$D$5:$D$1005="jabas")*(MOVIMIENTOS!$A$5:$A$1005&lt;&gt;"")*(MOVIMIENTOS!$A$5:$A$1005&lt;=$A458)*MOVIMIENTOS!$E$5:$E$1005)+SUMPRODUCT((MOVIMIENTOS!$B$5:$B$1005="PROCESO")*(MOVIMIENTOS!$C$5:$C$1005="M")*(MOVIMIENTOS!$D$5:$D$1005="jabas")*(MOVIMIENTOS!$A$5:$A$1005&lt;&gt;"")*(MOVIMIENTOS!$A$5:$A$1005&lt;=$A458)*MOVIMIENTOS!$E$5:$E$1005)-SUMPRODUCT((MOVIMIENTOS!$B$5:$B$1005="ENVÍO A SUPESA")*(MOVIMIENTOS!$C$5:$C$1005="M")*(MOVIMIENTOS!$D$5:$D$1005="jabas")*(MOVIMIENTOS!$A$5:$A$1005&lt;&gt;"")*(MOVIMIENTOS!$A$5:$A$1005&lt;=$A458)*MOVIMIENTOS!$E$5:$E$1005)+SUMPRODUCT((MOVIMIENTOS!$B$5:$B$1005="DEVOLUCIÓN")*(MOVIMIENTOS!$C$5:$C$1005="M")*(MOVIMIENTOS!$D$5:$D$1005="jabas")*(MOVIMIENTOS!$A$5:$A$1005&lt;&gt;"")*(MOVIMIENTOS!$A$5:$A$1005&lt;=$A458)*MOVIMIENTOS!$E$5:$E$1005)-SUMPRODUCT((MOVIMIENTOS!$B$5:$B$1005="TRASIEGO")*(MOVIMIENTOS!$C$5:$C$1005="M")*(MOVIMIENTOS!$D$5:$D$1005="jabas")*(MOVIMIENTOS!$A$5:$A$1005&lt;&gt;"")*(MOVIMIENTOS!$A$5:$A$1005&lt;=$A458)*MOVIMIENTOS!$E$5:$E$1005)-SUMPRODUCT((MOVIMIENTOS!$B$5:$B$1005="REGALO")*(MOVIMIENTOS!$C$5:$C$1005="M")*(MOVIMIENTOS!$D$5:$D$1005="jabas")*(MOVIMIENTOS!$A$5:$A$1005&lt;&gt;"")*(MOVIMIENTOS!$A$5:$A$1005&lt;=$A458)*MOVIMIENTOS!$E$5:$E$1005)-SUMPRODUCT((MOVIMIENTOS!$B$5:$B$1005="VENTA")*(MOVIMIENTOS!$C$5:$C$1005="M")*(MOVIMIENTOS!$D$5:$D$1005="jabas")*(MOVIMIENTOS!$A$5:$A$1005&lt;&gt;"")*(MOVIMIENTOS!$A$5:$A$1005&lt;=$A458)*MOVIMIENTOS!$E$5:$E$1005)+SUMPRODUCT((MOVIMIENTOS!$B$5:$B$1005="AJUSTE")*(MOVIMIENTOS!$C$5:$C$1005="M")*(MOVIMIENTOS!$D$5:$D$1005="jabas")*(MOVIMIENTOS!$A$5:$A$1005&lt;&gt;"")*(MOVIMIENTOS!$A$5:$A$1005&lt;=$A458)*MOVIMIENTOS!$E$5:$E$1005))</f>
        <v/>
      </c>
      <c r="F458" s="62" t="str">
        <f>IF($A458="","",SUMPRODUCT((MOVIMIENTOS!$B$5:$B$1005="SALDO INICIAL")*(MOVIMIENTOS!$C$5:$C$1005="Chancho")*(MOVIMIENTOS!$D$5:$D$1005="sacos")*(MOVIMIENTOS!$A$5:$A$1005&lt;&gt;"")*(MOVIMIENTOS!$A$5:$A$1005&lt;=$A458)*MOVIMIENTOS!$E$5:$E$1005)+SUMPRODUCT((MOVIMIENTOS!$B$5:$B$1005="PROCESO")*(MOVIMIENTOS!$C$5:$C$1005="Chancho")*(MOVIMIENTOS!$D$5:$D$1005="sacos")*(MOVIMIENTOS!$A$5:$A$1005&lt;&gt;"")*(MOVIMIENTOS!$A$5:$A$1005&lt;=$A458)*MOVIMIENTOS!$E$5:$E$1005)-SUMPRODUCT((MOVIMIENTOS!$B$5:$B$1005="VENTA CHANCHO")*(MOVIMIENTOS!$C$5:$C$1005="Chancho")*(MOVIMIENTOS!$D$5:$D$1005="sacos")*(MOVIMIENTOS!$A$5:$A$1005&lt;&gt;"")*(MOVIMIENTOS!$A$5:$A$1005&lt;=$A458)*MOVIMIENTOS!$E$5:$E$1005)-SUMPRODUCT((MOVIMIENTOS!$B$5:$B$1005="REGALO")*(MOVIMIENTOS!$C$5:$C$1005="Chancho")*(MOVIMIENTOS!$D$5:$D$1005="sacos")*(MOVIMIENTOS!$A$5:$A$1005&lt;&gt;"")*(MOVIMIENTOS!$A$5:$A$1005&lt;=$A458)*MOVIMIENTOS!$E$5:$E$1005)-SUMPRODUCT((MOVIMIENTOS!$B$5:$B$1005="VENTA")*(MOVIMIENTOS!$C$5:$C$1005="Chancho")*(MOVIMIENTOS!$D$5:$D$1005="sacos")*(MOVIMIENTOS!$A$5:$A$1005&lt;&gt;"")*(MOVIMIENTOS!$A$5:$A$1005&lt;=$A458)*MOVIMIENTOS!$E$5:$E$1005)+SUMPRODUCT((MOVIMIENTOS!$B$5:$B$1005="AJUSTE")*(MOVIMIENTOS!$C$5:$C$1005="Chancho")*(MOVIMIENTOS!$D$5:$D$1005="sacos")*(MOVIMIENTOS!$A$5:$A$1005&lt;&gt;"")*(MOVIMIENTOS!$A$5:$A$1005&lt;=$A458)*MOVIMIENTOS!$E$5:$E$1005))</f>
        <v/>
      </c>
      <c r="G458" s="62" t="str">
        <f t="shared" si="15"/>
        <v/>
      </c>
      <c r="H458" t="str">
        <f>IF($A458="","",SUMPRODUCT((((MOVIMIENTOS!$B$5:$B$1005="SALDO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458)*MOVIMIENTOS!$J$5:$J$1005))</f>
        <v/>
      </c>
      <c r="J458" t="str">
        <f>IF(AND(MOVIMIENTOS!$A463&lt;&gt;"",COUNTIF(MOVIMIENTOS!$A$5:$A462,MOVIMIENTOS!$A463)=0),COUNT(J$4:J457)+1,"")</f>
        <v/>
      </c>
      <c r="K458" s="67">
        <f>MOVIMIENTOS!$A463</f>
        <v>46253</v>
      </c>
    </row>
    <row r="459" spans="1:11" ht="15" customHeight="1" x14ac:dyDescent="0.2">
      <c r="A459" t="str">
        <f t="shared" si="14"/>
        <v/>
      </c>
      <c r="B459" t="str">
        <f>IF($A459="","",SUMPRODUCT((MOVIMIENTOS!$B$5:$B$1005="SALDO INICIAL")*(MOVIMIENTOS!$C$5:$C$1005="A")*(MOVIMIENTOS!$D$5:$D$1005="jabas")*(MOVIMIENTOS!$A$5:$A$1005&lt;&gt;"")*(MOVIMIENTOS!$A$5:$A$1005&lt;=$A459)*MOVIMIENTOS!$E$5:$E$1005)+SUMPRODUCT((MOVIMIENTOS!$B$5:$B$1005="PROCESO")*(MOVIMIENTOS!$C$5:$C$1005="A")*(MOVIMIENTOS!$D$5:$D$1005="jabas")*(MOVIMIENTOS!$A$5:$A$1005&lt;&gt;"")*(MOVIMIENTOS!$A$5:$A$1005&lt;=$A459)*MOVIMIENTOS!$E$5:$E$1005)-SUMPRODUCT((MOVIMIENTOS!$B$5:$B$1005="ENVÍO A SUPESA")*(MOVIMIENTOS!$C$5:$C$1005="A")*(MOVIMIENTOS!$D$5:$D$1005="jabas")*(MOVIMIENTOS!$A$5:$A$1005&lt;&gt;"")*(MOVIMIENTOS!$A$5:$A$1005&lt;=$A459)*MOVIMIENTOS!$E$5:$E$1005)+SUMPRODUCT((MOVIMIENTOS!$B$5:$B$1005="DEVOLUCIÓN")*(MOVIMIENTOS!$C$5:$C$1005="A")*(MOVIMIENTOS!$D$5:$D$1005="jabas")*(MOVIMIENTOS!$A$5:$A$1005&lt;&gt;"")*(MOVIMIENTOS!$A$5:$A$1005&lt;=$A459)*MOVIMIENTOS!$E$5:$E$1005)-SUMPRODUCT((MOVIMIENTOS!$B$5:$B$1005="TRASIEGO")*(MOVIMIENTOS!$C$5:$C$1005="A")*(MOVIMIENTOS!$D$5:$D$1005="jabas")*(MOVIMIENTOS!$A$5:$A$1005&lt;&gt;"")*(MOVIMIENTOS!$A$5:$A$1005&lt;=$A459)*MOVIMIENTOS!$E$5:$E$1005)-SUMPRODUCT((MOVIMIENTOS!$B$5:$B$1005="REGALO")*(MOVIMIENTOS!$C$5:$C$1005="A")*(MOVIMIENTOS!$D$5:$D$1005="jabas")*(MOVIMIENTOS!$A$5:$A$1005&lt;&gt;"")*(MOVIMIENTOS!$A$5:$A$1005&lt;=$A459)*MOVIMIENTOS!$E$5:$E$1005)-SUMPRODUCT((MOVIMIENTOS!$B$5:$B$1005="VENTA")*(MOVIMIENTOS!$C$5:$C$1005="A")*(MOVIMIENTOS!$D$5:$D$1005="jabas")*(MOVIMIENTOS!$A$5:$A$1005&lt;&gt;"")*(MOVIMIENTOS!$A$5:$A$1005&lt;=$A459)*MOVIMIENTOS!$E$5:$E$1005)+SUMPRODUCT((MOVIMIENTOS!$B$5:$B$1005="AJUSTE")*(MOVIMIENTOS!$C$5:$C$1005="A")*(MOVIMIENTOS!$D$5:$D$1005="jabas")*(MOVIMIENTOS!$A$5:$A$1005&lt;&gt;"")*(MOVIMIENTOS!$A$5:$A$1005&lt;=$A459)*MOVIMIENTOS!$E$5:$E$1005))</f>
        <v/>
      </c>
      <c r="C459" t="str">
        <f>IF($A459="","",SUMPRODUCT((MOVIMIENTOS!$B$5:$B$1005="SALDO INICIAL")*(MOVIMIENTOS!$C$5:$C$1005="P")*(MOVIMIENTOS!$D$5:$D$1005="jabas")*(MOVIMIENTOS!$A$5:$A$1005&lt;&gt;"")*(MOVIMIENTOS!$A$5:$A$1005&lt;=$A459)*MOVIMIENTOS!$E$5:$E$1005)+SUMPRODUCT((MOVIMIENTOS!$B$5:$B$1005="PROCESO")*(MOVIMIENTOS!$C$5:$C$1005="P")*(MOVIMIENTOS!$D$5:$D$1005="jabas")*(MOVIMIENTOS!$A$5:$A$1005&lt;&gt;"")*(MOVIMIENTOS!$A$5:$A$1005&lt;=$A459)*MOVIMIENTOS!$E$5:$E$1005)-SUMPRODUCT((MOVIMIENTOS!$B$5:$B$1005="ENVÍO A SUPESA")*(MOVIMIENTOS!$C$5:$C$1005="P")*(MOVIMIENTOS!$D$5:$D$1005="jabas")*(MOVIMIENTOS!$A$5:$A$1005&lt;&gt;"")*(MOVIMIENTOS!$A$5:$A$1005&lt;=$A459)*MOVIMIENTOS!$E$5:$E$1005)+SUMPRODUCT((MOVIMIENTOS!$B$5:$B$1005="DEVOLUCIÓN")*(MOVIMIENTOS!$C$5:$C$1005="P")*(MOVIMIENTOS!$D$5:$D$1005="jabas")*(MOVIMIENTOS!$A$5:$A$1005&lt;&gt;"")*(MOVIMIENTOS!$A$5:$A$1005&lt;=$A459)*MOVIMIENTOS!$E$5:$E$1005)-SUMPRODUCT((MOVIMIENTOS!$B$5:$B$1005="TRASIEGO")*(MOVIMIENTOS!$C$5:$C$1005="P")*(MOVIMIENTOS!$D$5:$D$1005="jabas")*(MOVIMIENTOS!$A$5:$A$1005&lt;&gt;"")*(MOVIMIENTOS!$A$5:$A$1005&lt;=$A459)*MOVIMIENTOS!$E$5:$E$1005)-SUMPRODUCT((MOVIMIENTOS!$B$5:$B$1005="REGALO")*(MOVIMIENTOS!$C$5:$C$1005="P")*(MOVIMIENTOS!$D$5:$D$1005="jabas")*(MOVIMIENTOS!$A$5:$A$1005&lt;&gt;"")*(MOVIMIENTOS!$A$5:$A$1005&lt;=$A459)*MOVIMIENTOS!$E$5:$E$1005)-SUMPRODUCT((MOVIMIENTOS!$B$5:$B$1005="VENTA")*(MOVIMIENTOS!$C$5:$C$1005="P")*(MOVIMIENTOS!$D$5:$D$1005="jabas")*(MOVIMIENTOS!$A$5:$A$1005&lt;&gt;"")*(MOVIMIENTOS!$A$5:$A$1005&lt;=$A459)*MOVIMIENTOS!$E$5:$E$1005)+SUMPRODUCT((MOVIMIENTOS!$B$5:$B$1005="AJUSTE")*(MOVIMIENTOS!$C$5:$C$1005="P")*(MOVIMIENTOS!$D$5:$D$1005="jabas")*(MOVIMIENTOS!$A$5:$A$1005&lt;&gt;"")*(MOVIMIENTOS!$A$5:$A$1005&lt;=$A459)*MOVIMIENTOS!$E$5:$E$1005))</f>
        <v/>
      </c>
      <c r="D459" t="str">
        <f>IF($A459="","",SUMPRODUCT((MOVIMIENTOS!$B$5:$B$1005="SALDO INICIAL")*(MOVIMIENTOS!$C$5:$C$1005="C")*(MOVIMIENTOS!$D$5:$D$1005="jabas")*(MOVIMIENTOS!$A$5:$A$1005&lt;&gt;"")*(MOVIMIENTOS!$A$5:$A$1005&lt;=$A459)*MOVIMIENTOS!$E$5:$E$1005)+SUMPRODUCT((MOVIMIENTOS!$B$5:$B$1005="PROCESO")*(MOVIMIENTOS!$C$5:$C$1005="C")*(MOVIMIENTOS!$D$5:$D$1005="jabas")*(MOVIMIENTOS!$A$5:$A$1005&lt;&gt;"")*(MOVIMIENTOS!$A$5:$A$1005&lt;=$A459)*MOVIMIENTOS!$E$5:$E$1005)-SUMPRODUCT((MOVIMIENTOS!$B$5:$B$1005="ENVÍO A SUPESA")*(MOVIMIENTOS!$C$5:$C$1005="C")*(MOVIMIENTOS!$D$5:$D$1005="jabas")*(MOVIMIENTOS!$A$5:$A$1005&lt;&gt;"")*(MOVIMIENTOS!$A$5:$A$1005&lt;=$A459)*MOVIMIENTOS!$E$5:$E$1005)+SUMPRODUCT((MOVIMIENTOS!$B$5:$B$1005="DEVOLUCIÓN")*(MOVIMIENTOS!$C$5:$C$1005="C")*(MOVIMIENTOS!$D$5:$D$1005="jabas")*(MOVIMIENTOS!$A$5:$A$1005&lt;&gt;"")*(MOVIMIENTOS!$A$5:$A$1005&lt;=$A459)*MOVIMIENTOS!$E$5:$E$1005)-SUMPRODUCT((MOVIMIENTOS!$B$5:$B$1005="TRASIEGO")*(MOVIMIENTOS!$C$5:$C$1005="C")*(MOVIMIENTOS!$D$5:$D$1005="jabas")*(MOVIMIENTOS!$A$5:$A$1005&lt;&gt;"")*(MOVIMIENTOS!$A$5:$A$1005&lt;=$A459)*MOVIMIENTOS!$E$5:$E$1005)-SUMPRODUCT((MOVIMIENTOS!$B$5:$B$1005="REGALO")*(MOVIMIENTOS!$C$5:$C$1005="C")*(MOVIMIENTOS!$D$5:$D$1005="jabas")*(MOVIMIENTOS!$A$5:$A$1005&lt;&gt;"")*(MOVIMIENTOS!$A$5:$A$1005&lt;=$A459)*MOVIMIENTOS!$E$5:$E$1005)-SUMPRODUCT((MOVIMIENTOS!$B$5:$B$1005="VENTA")*(MOVIMIENTOS!$C$5:$C$1005="C")*(MOVIMIENTOS!$D$5:$D$1005="jabas")*(MOVIMIENTOS!$A$5:$A$1005&lt;&gt;"")*(MOVIMIENTOS!$A$5:$A$1005&lt;=$A459)*MOVIMIENTOS!$E$5:$E$1005)+SUMPRODUCT((MOVIMIENTOS!$B$5:$B$1005="AJUSTE")*(MOVIMIENTOS!$C$5:$C$1005="C")*(MOVIMIENTOS!$D$5:$D$1005="jabas")*(MOVIMIENTOS!$A$5:$A$1005&lt;&gt;"")*(MOVIMIENTOS!$A$5:$A$1005&lt;=$A459)*MOVIMIENTOS!$E$5:$E$1005))</f>
        <v/>
      </c>
      <c r="E459" t="str">
        <f>IF($A459="","",SUMPRODUCT((MOVIMIENTOS!$B$5:$B$1005="SALDO INICIAL")*(MOVIMIENTOS!$C$5:$C$1005="M")*(MOVIMIENTOS!$D$5:$D$1005="jabas")*(MOVIMIENTOS!$A$5:$A$1005&lt;&gt;"")*(MOVIMIENTOS!$A$5:$A$1005&lt;=$A459)*MOVIMIENTOS!$E$5:$E$1005)+SUMPRODUCT((MOVIMIENTOS!$B$5:$B$1005="PROCESO")*(MOVIMIENTOS!$C$5:$C$1005="M")*(MOVIMIENTOS!$D$5:$D$1005="jabas")*(MOVIMIENTOS!$A$5:$A$1005&lt;&gt;"")*(MOVIMIENTOS!$A$5:$A$1005&lt;=$A459)*MOVIMIENTOS!$E$5:$E$1005)-SUMPRODUCT((MOVIMIENTOS!$B$5:$B$1005="ENVÍO A SUPESA")*(MOVIMIENTOS!$C$5:$C$1005="M")*(MOVIMIENTOS!$D$5:$D$1005="jabas")*(MOVIMIENTOS!$A$5:$A$1005&lt;&gt;"")*(MOVIMIENTOS!$A$5:$A$1005&lt;=$A459)*MOVIMIENTOS!$E$5:$E$1005)+SUMPRODUCT((MOVIMIENTOS!$B$5:$B$1005="DEVOLUCIÓN")*(MOVIMIENTOS!$C$5:$C$1005="M")*(MOVIMIENTOS!$D$5:$D$1005="jabas")*(MOVIMIENTOS!$A$5:$A$1005&lt;&gt;"")*(MOVIMIENTOS!$A$5:$A$1005&lt;=$A459)*MOVIMIENTOS!$E$5:$E$1005)-SUMPRODUCT((MOVIMIENTOS!$B$5:$B$1005="TRASIEGO")*(MOVIMIENTOS!$C$5:$C$1005="M")*(MOVIMIENTOS!$D$5:$D$1005="jabas")*(MOVIMIENTOS!$A$5:$A$1005&lt;&gt;"")*(MOVIMIENTOS!$A$5:$A$1005&lt;=$A459)*MOVIMIENTOS!$E$5:$E$1005)-SUMPRODUCT((MOVIMIENTOS!$B$5:$B$1005="REGALO")*(MOVIMIENTOS!$C$5:$C$1005="M")*(MOVIMIENTOS!$D$5:$D$1005="jabas")*(MOVIMIENTOS!$A$5:$A$1005&lt;&gt;"")*(MOVIMIENTOS!$A$5:$A$1005&lt;=$A459)*MOVIMIENTOS!$E$5:$E$1005)-SUMPRODUCT((MOVIMIENTOS!$B$5:$B$1005="VENTA")*(MOVIMIENTOS!$C$5:$C$1005="M")*(MOVIMIENTOS!$D$5:$D$1005="jabas")*(MOVIMIENTOS!$A$5:$A$1005&lt;&gt;"")*(MOVIMIENTOS!$A$5:$A$1005&lt;=$A459)*MOVIMIENTOS!$E$5:$E$1005)+SUMPRODUCT((MOVIMIENTOS!$B$5:$B$1005="AJUSTE")*(MOVIMIENTOS!$C$5:$C$1005="M")*(MOVIMIENTOS!$D$5:$D$1005="jabas")*(MOVIMIENTOS!$A$5:$A$1005&lt;&gt;"")*(MOVIMIENTOS!$A$5:$A$1005&lt;=$A459)*MOVIMIENTOS!$E$5:$E$1005))</f>
        <v/>
      </c>
      <c r="F459" s="62" t="str">
        <f>IF($A459="","",SUMPRODUCT((MOVIMIENTOS!$B$5:$B$1005="SALDO INICIAL")*(MOVIMIENTOS!$C$5:$C$1005="Chancho")*(MOVIMIENTOS!$D$5:$D$1005="sacos")*(MOVIMIENTOS!$A$5:$A$1005&lt;&gt;"")*(MOVIMIENTOS!$A$5:$A$1005&lt;=$A459)*MOVIMIENTOS!$E$5:$E$1005)+SUMPRODUCT((MOVIMIENTOS!$B$5:$B$1005="PROCESO")*(MOVIMIENTOS!$C$5:$C$1005="Chancho")*(MOVIMIENTOS!$D$5:$D$1005="sacos")*(MOVIMIENTOS!$A$5:$A$1005&lt;&gt;"")*(MOVIMIENTOS!$A$5:$A$1005&lt;=$A459)*MOVIMIENTOS!$E$5:$E$1005)-SUMPRODUCT((MOVIMIENTOS!$B$5:$B$1005="VENTA CHANCHO")*(MOVIMIENTOS!$C$5:$C$1005="Chancho")*(MOVIMIENTOS!$D$5:$D$1005="sacos")*(MOVIMIENTOS!$A$5:$A$1005&lt;&gt;"")*(MOVIMIENTOS!$A$5:$A$1005&lt;=$A459)*MOVIMIENTOS!$E$5:$E$1005)-SUMPRODUCT((MOVIMIENTOS!$B$5:$B$1005="REGALO")*(MOVIMIENTOS!$C$5:$C$1005="Chancho")*(MOVIMIENTOS!$D$5:$D$1005="sacos")*(MOVIMIENTOS!$A$5:$A$1005&lt;&gt;"")*(MOVIMIENTOS!$A$5:$A$1005&lt;=$A459)*MOVIMIENTOS!$E$5:$E$1005)-SUMPRODUCT((MOVIMIENTOS!$B$5:$B$1005="VENTA")*(MOVIMIENTOS!$C$5:$C$1005="Chancho")*(MOVIMIENTOS!$D$5:$D$1005="sacos")*(MOVIMIENTOS!$A$5:$A$1005&lt;&gt;"")*(MOVIMIENTOS!$A$5:$A$1005&lt;=$A459)*MOVIMIENTOS!$E$5:$E$1005)+SUMPRODUCT((MOVIMIENTOS!$B$5:$B$1005="AJUSTE")*(MOVIMIENTOS!$C$5:$C$1005="Chancho")*(MOVIMIENTOS!$D$5:$D$1005="sacos")*(MOVIMIENTOS!$A$5:$A$1005&lt;&gt;"")*(MOVIMIENTOS!$A$5:$A$1005&lt;=$A459)*MOVIMIENTOS!$E$5:$E$1005))</f>
        <v/>
      </c>
      <c r="G459" s="62" t="str">
        <f t="shared" si="15"/>
        <v/>
      </c>
      <c r="H459" t="str">
        <f>IF($A459="","",SUMPRODUCT((((MOVIMIENTOS!$B$5:$B$1005="SALDO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459)*MOVIMIENTOS!$J$5:$J$1005))</f>
        <v/>
      </c>
      <c r="J459" t="str">
        <f>IF(AND(MOVIMIENTOS!$A465&lt;&gt;"",COUNTIF(MOVIMIENTOS!$A$5:$A463,MOVIMIENTOS!$A465)=0),COUNT(J$4:J458)+1,"")</f>
        <v/>
      </c>
      <c r="K459" s="67">
        <f>MOVIMIENTOS!$A465</f>
        <v>46253</v>
      </c>
    </row>
    <row r="460" spans="1:11" ht="15" customHeight="1" x14ac:dyDescent="0.2">
      <c r="A460" t="str">
        <f t="shared" si="14"/>
        <v/>
      </c>
      <c r="B460" t="str">
        <f>IF($A460="","",SUMPRODUCT((MOVIMIENTOS!$B$5:$B$1005="SALDO INICIAL")*(MOVIMIENTOS!$C$5:$C$1005="A")*(MOVIMIENTOS!$D$5:$D$1005="jabas")*(MOVIMIENTOS!$A$5:$A$1005&lt;&gt;"")*(MOVIMIENTOS!$A$5:$A$1005&lt;=$A460)*MOVIMIENTOS!$E$5:$E$1005)+SUMPRODUCT((MOVIMIENTOS!$B$5:$B$1005="PROCESO")*(MOVIMIENTOS!$C$5:$C$1005="A")*(MOVIMIENTOS!$D$5:$D$1005="jabas")*(MOVIMIENTOS!$A$5:$A$1005&lt;&gt;"")*(MOVIMIENTOS!$A$5:$A$1005&lt;=$A460)*MOVIMIENTOS!$E$5:$E$1005)-SUMPRODUCT((MOVIMIENTOS!$B$5:$B$1005="ENVÍO A SUPESA")*(MOVIMIENTOS!$C$5:$C$1005="A")*(MOVIMIENTOS!$D$5:$D$1005="jabas")*(MOVIMIENTOS!$A$5:$A$1005&lt;&gt;"")*(MOVIMIENTOS!$A$5:$A$1005&lt;=$A460)*MOVIMIENTOS!$E$5:$E$1005)+SUMPRODUCT((MOVIMIENTOS!$B$5:$B$1005="DEVOLUCIÓN")*(MOVIMIENTOS!$C$5:$C$1005="A")*(MOVIMIENTOS!$D$5:$D$1005="jabas")*(MOVIMIENTOS!$A$5:$A$1005&lt;&gt;"")*(MOVIMIENTOS!$A$5:$A$1005&lt;=$A460)*MOVIMIENTOS!$E$5:$E$1005)-SUMPRODUCT((MOVIMIENTOS!$B$5:$B$1005="TRASIEGO")*(MOVIMIENTOS!$C$5:$C$1005="A")*(MOVIMIENTOS!$D$5:$D$1005="jabas")*(MOVIMIENTOS!$A$5:$A$1005&lt;&gt;"")*(MOVIMIENTOS!$A$5:$A$1005&lt;=$A460)*MOVIMIENTOS!$E$5:$E$1005)-SUMPRODUCT((MOVIMIENTOS!$B$5:$B$1005="REGALO")*(MOVIMIENTOS!$C$5:$C$1005="A")*(MOVIMIENTOS!$D$5:$D$1005="jabas")*(MOVIMIENTOS!$A$5:$A$1005&lt;&gt;"")*(MOVIMIENTOS!$A$5:$A$1005&lt;=$A460)*MOVIMIENTOS!$E$5:$E$1005)-SUMPRODUCT((MOVIMIENTOS!$B$5:$B$1005="VENTA")*(MOVIMIENTOS!$C$5:$C$1005="A")*(MOVIMIENTOS!$D$5:$D$1005="jabas")*(MOVIMIENTOS!$A$5:$A$1005&lt;&gt;"")*(MOVIMIENTOS!$A$5:$A$1005&lt;=$A460)*MOVIMIENTOS!$E$5:$E$1005)+SUMPRODUCT((MOVIMIENTOS!$B$5:$B$1005="AJUSTE")*(MOVIMIENTOS!$C$5:$C$1005="A")*(MOVIMIENTOS!$D$5:$D$1005="jabas")*(MOVIMIENTOS!$A$5:$A$1005&lt;&gt;"")*(MOVIMIENTOS!$A$5:$A$1005&lt;=$A460)*MOVIMIENTOS!$E$5:$E$1005))</f>
        <v/>
      </c>
      <c r="C460" t="str">
        <f>IF($A460="","",SUMPRODUCT((MOVIMIENTOS!$B$5:$B$1005="SALDO INICIAL")*(MOVIMIENTOS!$C$5:$C$1005="P")*(MOVIMIENTOS!$D$5:$D$1005="jabas")*(MOVIMIENTOS!$A$5:$A$1005&lt;&gt;"")*(MOVIMIENTOS!$A$5:$A$1005&lt;=$A460)*MOVIMIENTOS!$E$5:$E$1005)+SUMPRODUCT((MOVIMIENTOS!$B$5:$B$1005="PROCESO")*(MOVIMIENTOS!$C$5:$C$1005="P")*(MOVIMIENTOS!$D$5:$D$1005="jabas")*(MOVIMIENTOS!$A$5:$A$1005&lt;&gt;"")*(MOVIMIENTOS!$A$5:$A$1005&lt;=$A460)*MOVIMIENTOS!$E$5:$E$1005)-SUMPRODUCT((MOVIMIENTOS!$B$5:$B$1005="ENVÍO A SUPESA")*(MOVIMIENTOS!$C$5:$C$1005="P")*(MOVIMIENTOS!$D$5:$D$1005="jabas")*(MOVIMIENTOS!$A$5:$A$1005&lt;&gt;"")*(MOVIMIENTOS!$A$5:$A$1005&lt;=$A460)*MOVIMIENTOS!$E$5:$E$1005)+SUMPRODUCT((MOVIMIENTOS!$B$5:$B$1005="DEVOLUCIÓN")*(MOVIMIENTOS!$C$5:$C$1005="P")*(MOVIMIENTOS!$D$5:$D$1005="jabas")*(MOVIMIENTOS!$A$5:$A$1005&lt;&gt;"")*(MOVIMIENTOS!$A$5:$A$1005&lt;=$A460)*MOVIMIENTOS!$E$5:$E$1005)-SUMPRODUCT((MOVIMIENTOS!$B$5:$B$1005="TRASIEGO")*(MOVIMIENTOS!$C$5:$C$1005="P")*(MOVIMIENTOS!$D$5:$D$1005="jabas")*(MOVIMIENTOS!$A$5:$A$1005&lt;&gt;"")*(MOVIMIENTOS!$A$5:$A$1005&lt;=$A460)*MOVIMIENTOS!$E$5:$E$1005)-SUMPRODUCT((MOVIMIENTOS!$B$5:$B$1005="REGALO")*(MOVIMIENTOS!$C$5:$C$1005="P")*(MOVIMIENTOS!$D$5:$D$1005="jabas")*(MOVIMIENTOS!$A$5:$A$1005&lt;&gt;"")*(MOVIMIENTOS!$A$5:$A$1005&lt;=$A460)*MOVIMIENTOS!$E$5:$E$1005)-SUMPRODUCT((MOVIMIENTOS!$B$5:$B$1005="VENTA")*(MOVIMIENTOS!$C$5:$C$1005="P")*(MOVIMIENTOS!$D$5:$D$1005="jabas")*(MOVIMIENTOS!$A$5:$A$1005&lt;&gt;"")*(MOVIMIENTOS!$A$5:$A$1005&lt;=$A460)*MOVIMIENTOS!$E$5:$E$1005)+SUMPRODUCT((MOVIMIENTOS!$B$5:$B$1005="AJUSTE")*(MOVIMIENTOS!$C$5:$C$1005="P")*(MOVIMIENTOS!$D$5:$D$1005="jabas")*(MOVIMIENTOS!$A$5:$A$1005&lt;&gt;"")*(MOVIMIENTOS!$A$5:$A$1005&lt;=$A460)*MOVIMIENTOS!$E$5:$E$1005))</f>
        <v/>
      </c>
      <c r="D460" t="str">
        <f>IF($A460="","",SUMPRODUCT((MOVIMIENTOS!$B$5:$B$1005="SALDO INICIAL")*(MOVIMIENTOS!$C$5:$C$1005="C")*(MOVIMIENTOS!$D$5:$D$1005="jabas")*(MOVIMIENTOS!$A$5:$A$1005&lt;&gt;"")*(MOVIMIENTOS!$A$5:$A$1005&lt;=$A460)*MOVIMIENTOS!$E$5:$E$1005)+SUMPRODUCT((MOVIMIENTOS!$B$5:$B$1005="PROCESO")*(MOVIMIENTOS!$C$5:$C$1005="C")*(MOVIMIENTOS!$D$5:$D$1005="jabas")*(MOVIMIENTOS!$A$5:$A$1005&lt;&gt;"")*(MOVIMIENTOS!$A$5:$A$1005&lt;=$A460)*MOVIMIENTOS!$E$5:$E$1005)-SUMPRODUCT((MOVIMIENTOS!$B$5:$B$1005="ENVÍO A SUPESA")*(MOVIMIENTOS!$C$5:$C$1005="C")*(MOVIMIENTOS!$D$5:$D$1005="jabas")*(MOVIMIENTOS!$A$5:$A$1005&lt;&gt;"")*(MOVIMIENTOS!$A$5:$A$1005&lt;=$A460)*MOVIMIENTOS!$E$5:$E$1005)+SUMPRODUCT((MOVIMIENTOS!$B$5:$B$1005="DEVOLUCIÓN")*(MOVIMIENTOS!$C$5:$C$1005="C")*(MOVIMIENTOS!$D$5:$D$1005="jabas")*(MOVIMIENTOS!$A$5:$A$1005&lt;&gt;"")*(MOVIMIENTOS!$A$5:$A$1005&lt;=$A460)*MOVIMIENTOS!$E$5:$E$1005)-SUMPRODUCT((MOVIMIENTOS!$B$5:$B$1005="TRASIEGO")*(MOVIMIENTOS!$C$5:$C$1005="C")*(MOVIMIENTOS!$D$5:$D$1005="jabas")*(MOVIMIENTOS!$A$5:$A$1005&lt;&gt;"")*(MOVIMIENTOS!$A$5:$A$1005&lt;=$A460)*MOVIMIENTOS!$E$5:$E$1005)-SUMPRODUCT((MOVIMIENTOS!$B$5:$B$1005="REGALO")*(MOVIMIENTOS!$C$5:$C$1005="C")*(MOVIMIENTOS!$D$5:$D$1005="jabas")*(MOVIMIENTOS!$A$5:$A$1005&lt;&gt;"")*(MOVIMIENTOS!$A$5:$A$1005&lt;=$A460)*MOVIMIENTOS!$E$5:$E$1005)-SUMPRODUCT((MOVIMIENTOS!$B$5:$B$1005="VENTA")*(MOVIMIENTOS!$C$5:$C$1005="C")*(MOVIMIENTOS!$D$5:$D$1005="jabas")*(MOVIMIENTOS!$A$5:$A$1005&lt;&gt;"")*(MOVIMIENTOS!$A$5:$A$1005&lt;=$A460)*MOVIMIENTOS!$E$5:$E$1005)+SUMPRODUCT((MOVIMIENTOS!$B$5:$B$1005="AJUSTE")*(MOVIMIENTOS!$C$5:$C$1005="C")*(MOVIMIENTOS!$D$5:$D$1005="jabas")*(MOVIMIENTOS!$A$5:$A$1005&lt;&gt;"")*(MOVIMIENTOS!$A$5:$A$1005&lt;=$A460)*MOVIMIENTOS!$E$5:$E$1005))</f>
        <v/>
      </c>
      <c r="E460" t="str">
        <f>IF($A460="","",SUMPRODUCT((MOVIMIENTOS!$B$5:$B$1005="SALDO INICIAL")*(MOVIMIENTOS!$C$5:$C$1005="M")*(MOVIMIENTOS!$D$5:$D$1005="jabas")*(MOVIMIENTOS!$A$5:$A$1005&lt;&gt;"")*(MOVIMIENTOS!$A$5:$A$1005&lt;=$A460)*MOVIMIENTOS!$E$5:$E$1005)+SUMPRODUCT((MOVIMIENTOS!$B$5:$B$1005="PROCESO")*(MOVIMIENTOS!$C$5:$C$1005="M")*(MOVIMIENTOS!$D$5:$D$1005="jabas")*(MOVIMIENTOS!$A$5:$A$1005&lt;&gt;"")*(MOVIMIENTOS!$A$5:$A$1005&lt;=$A460)*MOVIMIENTOS!$E$5:$E$1005)-SUMPRODUCT((MOVIMIENTOS!$B$5:$B$1005="ENVÍO A SUPESA")*(MOVIMIENTOS!$C$5:$C$1005="M")*(MOVIMIENTOS!$D$5:$D$1005="jabas")*(MOVIMIENTOS!$A$5:$A$1005&lt;&gt;"")*(MOVIMIENTOS!$A$5:$A$1005&lt;=$A460)*MOVIMIENTOS!$E$5:$E$1005)+SUMPRODUCT((MOVIMIENTOS!$B$5:$B$1005="DEVOLUCIÓN")*(MOVIMIENTOS!$C$5:$C$1005="M")*(MOVIMIENTOS!$D$5:$D$1005="jabas")*(MOVIMIENTOS!$A$5:$A$1005&lt;&gt;"")*(MOVIMIENTOS!$A$5:$A$1005&lt;=$A460)*MOVIMIENTOS!$E$5:$E$1005)-SUMPRODUCT((MOVIMIENTOS!$B$5:$B$1005="TRASIEGO")*(MOVIMIENTOS!$C$5:$C$1005="M")*(MOVIMIENTOS!$D$5:$D$1005="jabas")*(MOVIMIENTOS!$A$5:$A$1005&lt;&gt;"")*(MOVIMIENTOS!$A$5:$A$1005&lt;=$A460)*MOVIMIENTOS!$E$5:$E$1005)-SUMPRODUCT((MOVIMIENTOS!$B$5:$B$1005="REGALO")*(MOVIMIENTOS!$C$5:$C$1005="M")*(MOVIMIENTOS!$D$5:$D$1005="jabas")*(MOVIMIENTOS!$A$5:$A$1005&lt;&gt;"")*(MOVIMIENTOS!$A$5:$A$1005&lt;=$A460)*MOVIMIENTOS!$E$5:$E$1005)-SUMPRODUCT((MOVIMIENTOS!$B$5:$B$1005="VENTA")*(MOVIMIENTOS!$C$5:$C$1005="M")*(MOVIMIENTOS!$D$5:$D$1005="jabas")*(MOVIMIENTOS!$A$5:$A$1005&lt;&gt;"")*(MOVIMIENTOS!$A$5:$A$1005&lt;=$A460)*MOVIMIENTOS!$E$5:$E$1005)+SUMPRODUCT((MOVIMIENTOS!$B$5:$B$1005="AJUSTE")*(MOVIMIENTOS!$C$5:$C$1005="M")*(MOVIMIENTOS!$D$5:$D$1005="jabas")*(MOVIMIENTOS!$A$5:$A$1005&lt;&gt;"")*(MOVIMIENTOS!$A$5:$A$1005&lt;=$A460)*MOVIMIENTOS!$E$5:$E$1005))</f>
        <v/>
      </c>
      <c r="F460" s="62" t="str">
        <f>IF($A460="","",SUMPRODUCT((MOVIMIENTOS!$B$5:$B$1005="SALDO INICIAL")*(MOVIMIENTOS!$C$5:$C$1005="Chancho")*(MOVIMIENTOS!$D$5:$D$1005="sacos")*(MOVIMIENTOS!$A$5:$A$1005&lt;&gt;"")*(MOVIMIENTOS!$A$5:$A$1005&lt;=$A460)*MOVIMIENTOS!$E$5:$E$1005)+SUMPRODUCT((MOVIMIENTOS!$B$5:$B$1005="PROCESO")*(MOVIMIENTOS!$C$5:$C$1005="Chancho")*(MOVIMIENTOS!$D$5:$D$1005="sacos")*(MOVIMIENTOS!$A$5:$A$1005&lt;&gt;"")*(MOVIMIENTOS!$A$5:$A$1005&lt;=$A460)*MOVIMIENTOS!$E$5:$E$1005)-SUMPRODUCT((MOVIMIENTOS!$B$5:$B$1005="VENTA CHANCHO")*(MOVIMIENTOS!$C$5:$C$1005="Chancho")*(MOVIMIENTOS!$D$5:$D$1005="sacos")*(MOVIMIENTOS!$A$5:$A$1005&lt;&gt;"")*(MOVIMIENTOS!$A$5:$A$1005&lt;=$A460)*MOVIMIENTOS!$E$5:$E$1005)-SUMPRODUCT((MOVIMIENTOS!$B$5:$B$1005="REGALO")*(MOVIMIENTOS!$C$5:$C$1005="Chancho")*(MOVIMIENTOS!$D$5:$D$1005="sacos")*(MOVIMIENTOS!$A$5:$A$1005&lt;&gt;"")*(MOVIMIENTOS!$A$5:$A$1005&lt;=$A460)*MOVIMIENTOS!$E$5:$E$1005)-SUMPRODUCT((MOVIMIENTOS!$B$5:$B$1005="VENTA")*(MOVIMIENTOS!$C$5:$C$1005="Chancho")*(MOVIMIENTOS!$D$5:$D$1005="sacos")*(MOVIMIENTOS!$A$5:$A$1005&lt;&gt;"")*(MOVIMIENTOS!$A$5:$A$1005&lt;=$A460)*MOVIMIENTOS!$E$5:$E$1005)+SUMPRODUCT((MOVIMIENTOS!$B$5:$B$1005="AJUSTE")*(MOVIMIENTOS!$C$5:$C$1005="Chancho")*(MOVIMIENTOS!$D$5:$D$1005="sacos")*(MOVIMIENTOS!$A$5:$A$1005&lt;&gt;"")*(MOVIMIENTOS!$A$5:$A$1005&lt;=$A460)*MOVIMIENTOS!$E$5:$E$1005))</f>
        <v/>
      </c>
      <c r="G460" s="62" t="str">
        <f t="shared" si="15"/>
        <v/>
      </c>
      <c r="H460" t="str">
        <f>IF($A460="","",SUMPRODUCT((((MOVIMIENTOS!$B$5:$B$1005="SALDO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460)*MOVIMIENTOS!$J$5:$J$1005))</f>
        <v/>
      </c>
      <c r="J460" t="str">
        <f>IF(AND(MOVIMIENTOS!$A466&lt;&gt;"",COUNTIF(MOVIMIENTOS!$A$5:$A465,MOVIMIENTOS!$A466)=0),COUNT(J$4:J459)+1,"")</f>
        <v/>
      </c>
      <c r="K460" s="67">
        <f>MOVIMIENTOS!$A466</f>
        <v>46253</v>
      </c>
    </row>
    <row r="461" spans="1:11" ht="15" customHeight="1" x14ac:dyDescent="0.2">
      <c r="A461" t="str">
        <f t="shared" si="14"/>
        <v/>
      </c>
      <c r="B461" t="str">
        <f>IF($A461="","",SUMPRODUCT((MOVIMIENTOS!$B$5:$B$1005="SALDO INICIAL")*(MOVIMIENTOS!$C$5:$C$1005="A")*(MOVIMIENTOS!$D$5:$D$1005="jabas")*(MOVIMIENTOS!$A$5:$A$1005&lt;&gt;"")*(MOVIMIENTOS!$A$5:$A$1005&lt;=$A461)*MOVIMIENTOS!$E$5:$E$1005)+SUMPRODUCT((MOVIMIENTOS!$B$5:$B$1005="PROCESO")*(MOVIMIENTOS!$C$5:$C$1005="A")*(MOVIMIENTOS!$D$5:$D$1005="jabas")*(MOVIMIENTOS!$A$5:$A$1005&lt;&gt;"")*(MOVIMIENTOS!$A$5:$A$1005&lt;=$A461)*MOVIMIENTOS!$E$5:$E$1005)-SUMPRODUCT((MOVIMIENTOS!$B$5:$B$1005="ENVÍO A SUPESA")*(MOVIMIENTOS!$C$5:$C$1005="A")*(MOVIMIENTOS!$D$5:$D$1005="jabas")*(MOVIMIENTOS!$A$5:$A$1005&lt;&gt;"")*(MOVIMIENTOS!$A$5:$A$1005&lt;=$A461)*MOVIMIENTOS!$E$5:$E$1005)+SUMPRODUCT((MOVIMIENTOS!$B$5:$B$1005="DEVOLUCIÓN")*(MOVIMIENTOS!$C$5:$C$1005="A")*(MOVIMIENTOS!$D$5:$D$1005="jabas")*(MOVIMIENTOS!$A$5:$A$1005&lt;&gt;"")*(MOVIMIENTOS!$A$5:$A$1005&lt;=$A461)*MOVIMIENTOS!$E$5:$E$1005)-SUMPRODUCT((MOVIMIENTOS!$B$5:$B$1005="TRASIEGO")*(MOVIMIENTOS!$C$5:$C$1005="A")*(MOVIMIENTOS!$D$5:$D$1005="jabas")*(MOVIMIENTOS!$A$5:$A$1005&lt;&gt;"")*(MOVIMIENTOS!$A$5:$A$1005&lt;=$A461)*MOVIMIENTOS!$E$5:$E$1005)-SUMPRODUCT((MOVIMIENTOS!$B$5:$B$1005="REGALO")*(MOVIMIENTOS!$C$5:$C$1005="A")*(MOVIMIENTOS!$D$5:$D$1005="jabas")*(MOVIMIENTOS!$A$5:$A$1005&lt;&gt;"")*(MOVIMIENTOS!$A$5:$A$1005&lt;=$A461)*MOVIMIENTOS!$E$5:$E$1005)-SUMPRODUCT((MOVIMIENTOS!$B$5:$B$1005="VENTA")*(MOVIMIENTOS!$C$5:$C$1005="A")*(MOVIMIENTOS!$D$5:$D$1005="jabas")*(MOVIMIENTOS!$A$5:$A$1005&lt;&gt;"")*(MOVIMIENTOS!$A$5:$A$1005&lt;=$A461)*MOVIMIENTOS!$E$5:$E$1005)+SUMPRODUCT((MOVIMIENTOS!$B$5:$B$1005="AJUSTE")*(MOVIMIENTOS!$C$5:$C$1005="A")*(MOVIMIENTOS!$D$5:$D$1005="jabas")*(MOVIMIENTOS!$A$5:$A$1005&lt;&gt;"")*(MOVIMIENTOS!$A$5:$A$1005&lt;=$A461)*MOVIMIENTOS!$E$5:$E$1005))</f>
        <v/>
      </c>
      <c r="C461" t="str">
        <f>IF($A461="","",SUMPRODUCT((MOVIMIENTOS!$B$5:$B$1005="SALDO INICIAL")*(MOVIMIENTOS!$C$5:$C$1005="P")*(MOVIMIENTOS!$D$5:$D$1005="jabas")*(MOVIMIENTOS!$A$5:$A$1005&lt;&gt;"")*(MOVIMIENTOS!$A$5:$A$1005&lt;=$A461)*MOVIMIENTOS!$E$5:$E$1005)+SUMPRODUCT((MOVIMIENTOS!$B$5:$B$1005="PROCESO")*(MOVIMIENTOS!$C$5:$C$1005="P")*(MOVIMIENTOS!$D$5:$D$1005="jabas")*(MOVIMIENTOS!$A$5:$A$1005&lt;&gt;"")*(MOVIMIENTOS!$A$5:$A$1005&lt;=$A461)*MOVIMIENTOS!$E$5:$E$1005)-SUMPRODUCT((MOVIMIENTOS!$B$5:$B$1005="ENVÍO A SUPESA")*(MOVIMIENTOS!$C$5:$C$1005="P")*(MOVIMIENTOS!$D$5:$D$1005="jabas")*(MOVIMIENTOS!$A$5:$A$1005&lt;&gt;"")*(MOVIMIENTOS!$A$5:$A$1005&lt;=$A461)*MOVIMIENTOS!$E$5:$E$1005)+SUMPRODUCT((MOVIMIENTOS!$B$5:$B$1005="DEVOLUCIÓN")*(MOVIMIENTOS!$C$5:$C$1005="P")*(MOVIMIENTOS!$D$5:$D$1005="jabas")*(MOVIMIENTOS!$A$5:$A$1005&lt;&gt;"")*(MOVIMIENTOS!$A$5:$A$1005&lt;=$A461)*MOVIMIENTOS!$E$5:$E$1005)-SUMPRODUCT((MOVIMIENTOS!$B$5:$B$1005="TRASIEGO")*(MOVIMIENTOS!$C$5:$C$1005="P")*(MOVIMIENTOS!$D$5:$D$1005="jabas")*(MOVIMIENTOS!$A$5:$A$1005&lt;&gt;"")*(MOVIMIENTOS!$A$5:$A$1005&lt;=$A461)*MOVIMIENTOS!$E$5:$E$1005)-SUMPRODUCT((MOVIMIENTOS!$B$5:$B$1005="REGALO")*(MOVIMIENTOS!$C$5:$C$1005="P")*(MOVIMIENTOS!$D$5:$D$1005="jabas")*(MOVIMIENTOS!$A$5:$A$1005&lt;&gt;"")*(MOVIMIENTOS!$A$5:$A$1005&lt;=$A461)*MOVIMIENTOS!$E$5:$E$1005)-SUMPRODUCT((MOVIMIENTOS!$B$5:$B$1005="VENTA")*(MOVIMIENTOS!$C$5:$C$1005="P")*(MOVIMIENTOS!$D$5:$D$1005="jabas")*(MOVIMIENTOS!$A$5:$A$1005&lt;&gt;"")*(MOVIMIENTOS!$A$5:$A$1005&lt;=$A461)*MOVIMIENTOS!$E$5:$E$1005)+SUMPRODUCT((MOVIMIENTOS!$B$5:$B$1005="AJUSTE")*(MOVIMIENTOS!$C$5:$C$1005="P")*(MOVIMIENTOS!$D$5:$D$1005="jabas")*(MOVIMIENTOS!$A$5:$A$1005&lt;&gt;"")*(MOVIMIENTOS!$A$5:$A$1005&lt;=$A461)*MOVIMIENTOS!$E$5:$E$1005))</f>
        <v/>
      </c>
      <c r="D461" t="str">
        <f>IF($A461="","",SUMPRODUCT((MOVIMIENTOS!$B$5:$B$1005="SALDO INICIAL")*(MOVIMIENTOS!$C$5:$C$1005="C")*(MOVIMIENTOS!$D$5:$D$1005="jabas")*(MOVIMIENTOS!$A$5:$A$1005&lt;&gt;"")*(MOVIMIENTOS!$A$5:$A$1005&lt;=$A461)*MOVIMIENTOS!$E$5:$E$1005)+SUMPRODUCT((MOVIMIENTOS!$B$5:$B$1005="PROCESO")*(MOVIMIENTOS!$C$5:$C$1005="C")*(MOVIMIENTOS!$D$5:$D$1005="jabas")*(MOVIMIENTOS!$A$5:$A$1005&lt;&gt;"")*(MOVIMIENTOS!$A$5:$A$1005&lt;=$A461)*MOVIMIENTOS!$E$5:$E$1005)-SUMPRODUCT((MOVIMIENTOS!$B$5:$B$1005="ENVÍO A SUPESA")*(MOVIMIENTOS!$C$5:$C$1005="C")*(MOVIMIENTOS!$D$5:$D$1005="jabas")*(MOVIMIENTOS!$A$5:$A$1005&lt;&gt;"")*(MOVIMIENTOS!$A$5:$A$1005&lt;=$A461)*MOVIMIENTOS!$E$5:$E$1005)+SUMPRODUCT((MOVIMIENTOS!$B$5:$B$1005="DEVOLUCIÓN")*(MOVIMIENTOS!$C$5:$C$1005="C")*(MOVIMIENTOS!$D$5:$D$1005="jabas")*(MOVIMIENTOS!$A$5:$A$1005&lt;&gt;"")*(MOVIMIENTOS!$A$5:$A$1005&lt;=$A461)*MOVIMIENTOS!$E$5:$E$1005)-SUMPRODUCT((MOVIMIENTOS!$B$5:$B$1005="TRASIEGO")*(MOVIMIENTOS!$C$5:$C$1005="C")*(MOVIMIENTOS!$D$5:$D$1005="jabas")*(MOVIMIENTOS!$A$5:$A$1005&lt;&gt;"")*(MOVIMIENTOS!$A$5:$A$1005&lt;=$A461)*MOVIMIENTOS!$E$5:$E$1005)-SUMPRODUCT((MOVIMIENTOS!$B$5:$B$1005="REGALO")*(MOVIMIENTOS!$C$5:$C$1005="C")*(MOVIMIENTOS!$D$5:$D$1005="jabas")*(MOVIMIENTOS!$A$5:$A$1005&lt;&gt;"")*(MOVIMIENTOS!$A$5:$A$1005&lt;=$A461)*MOVIMIENTOS!$E$5:$E$1005)-SUMPRODUCT((MOVIMIENTOS!$B$5:$B$1005="VENTA")*(MOVIMIENTOS!$C$5:$C$1005="C")*(MOVIMIENTOS!$D$5:$D$1005="jabas")*(MOVIMIENTOS!$A$5:$A$1005&lt;&gt;"")*(MOVIMIENTOS!$A$5:$A$1005&lt;=$A461)*MOVIMIENTOS!$E$5:$E$1005)+SUMPRODUCT((MOVIMIENTOS!$B$5:$B$1005="AJUSTE")*(MOVIMIENTOS!$C$5:$C$1005="C")*(MOVIMIENTOS!$D$5:$D$1005="jabas")*(MOVIMIENTOS!$A$5:$A$1005&lt;&gt;"")*(MOVIMIENTOS!$A$5:$A$1005&lt;=$A461)*MOVIMIENTOS!$E$5:$E$1005))</f>
        <v/>
      </c>
      <c r="E461" t="str">
        <f>IF($A461="","",SUMPRODUCT((MOVIMIENTOS!$B$5:$B$1005="SALDO INICIAL")*(MOVIMIENTOS!$C$5:$C$1005="M")*(MOVIMIENTOS!$D$5:$D$1005="jabas")*(MOVIMIENTOS!$A$5:$A$1005&lt;&gt;"")*(MOVIMIENTOS!$A$5:$A$1005&lt;=$A461)*MOVIMIENTOS!$E$5:$E$1005)+SUMPRODUCT((MOVIMIENTOS!$B$5:$B$1005="PROCESO")*(MOVIMIENTOS!$C$5:$C$1005="M")*(MOVIMIENTOS!$D$5:$D$1005="jabas")*(MOVIMIENTOS!$A$5:$A$1005&lt;&gt;"")*(MOVIMIENTOS!$A$5:$A$1005&lt;=$A461)*MOVIMIENTOS!$E$5:$E$1005)-SUMPRODUCT((MOVIMIENTOS!$B$5:$B$1005="ENVÍO A SUPESA")*(MOVIMIENTOS!$C$5:$C$1005="M")*(MOVIMIENTOS!$D$5:$D$1005="jabas")*(MOVIMIENTOS!$A$5:$A$1005&lt;&gt;"")*(MOVIMIENTOS!$A$5:$A$1005&lt;=$A461)*MOVIMIENTOS!$E$5:$E$1005)+SUMPRODUCT((MOVIMIENTOS!$B$5:$B$1005="DEVOLUCIÓN")*(MOVIMIENTOS!$C$5:$C$1005="M")*(MOVIMIENTOS!$D$5:$D$1005="jabas")*(MOVIMIENTOS!$A$5:$A$1005&lt;&gt;"")*(MOVIMIENTOS!$A$5:$A$1005&lt;=$A461)*MOVIMIENTOS!$E$5:$E$1005)-SUMPRODUCT((MOVIMIENTOS!$B$5:$B$1005="TRASIEGO")*(MOVIMIENTOS!$C$5:$C$1005="M")*(MOVIMIENTOS!$D$5:$D$1005="jabas")*(MOVIMIENTOS!$A$5:$A$1005&lt;&gt;"")*(MOVIMIENTOS!$A$5:$A$1005&lt;=$A461)*MOVIMIENTOS!$E$5:$E$1005)-SUMPRODUCT((MOVIMIENTOS!$B$5:$B$1005="REGALO")*(MOVIMIENTOS!$C$5:$C$1005="M")*(MOVIMIENTOS!$D$5:$D$1005="jabas")*(MOVIMIENTOS!$A$5:$A$1005&lt;&gt;"")*(MOVIMIENTOS!$A$5:$A$1005&lt;=$A461)*MOVIMIENTOS!$E$5:$E$1005)-SUMPRODUCT((MOVIMIENTOS!$B$5:$B$1005="VENTA")*(MOVIMIENTOS!$C$5:$C$1005="M")*(MOVIMIENTOS!$D$5:$D$1005="jabas")*(MOVIMIENTOS!$A$5:$A$1005&lt;&gt;"")*(MOVIMIENTOS!$A$5:$A$1005&lt;=$A461)*MOVIMIENTOS!$E$5:$E$1005)+SUMPRODUCT((MOVIMIENTOS!$B$5:$B$1005="AJUSTE")*(MOVIMIENTOS!$C$5:$C$1005="M")*(MOVIMIENTOS!$D$5:$D$1005="jabas")*(MOVIMIENTOS!$A$5:$A$1005&lt;&gt;"")*(MOVIMIENTOS!$A$5:$A$1005&lt;=$A461)*MOVIMIENTOS!$E$5:$E$1005))</f>
        <v/>
      </c>
      <c r="F461" s="62" t="str">
        <f>IF($A461="","",SUMPRODUCT((MOVIMIENTOS!$B$5:$B$1005="SALDO INICIAL")*(MOVIMIENTOS!$C$5:$C$1005="Chancho")*(MOVIMIENTOS!$D$5:$D$1005="sacos")*(MOVIMIENTOS!$A$5:$A$1005&lt;&gt;"")*(MOVIMIENTOS!$A$5:$A$1005&lt;=$A461)*MOVIMIENTOS!$E$5:$E$1005)+SUMPRODUCT((MOVIMIENTOS!$B$5:$B$1005="PROCESO")*(MOVIMIENTOS!$C$5:$C$1005="Chancho")*(MOVIMIENTOS!$D$5:$D$1005="sacos")*(MOVIMIENTOS!$A$5:$A$1005&lt;&gt;"")*(MOVIMIENTOS!$A$5:$A$1005&lt;=$A461)*MOVIMIENTOS!$E$5:$E$1005)-SUMPRODUCT((MOVIMIENTOS!$B$5:$B$1005="VENTA CHANCHO")*(MOVIMIENTOS!$C$5:$C$1005="Chancho")*(MOVIMIENTOS!$D$5:$D$1005="sacos")*(MOVIMIENTOS!$A$5:$A$1005&lt;&gt;"")*(MOVIMIENTOS!$A$5:$A$1005&lt;=$A461)*MOVIMIENTOS!$E$5:$E$1005)-SUMPRODUCT((MOVIMIENTOS!$B$5:$B$1005="REGALO")*(MOVIMIENTOS!$C$5:$C$1005="Chancho")*(MOVIMIENTOS!$D$5:$D$1005="sacos")*(MOVIMIENTOS!$A$5:$A$1005&lt;&gt;"")*(MOVIMIENTOS!$A$5:$A$1005&lt;=$A461)*MOVIMIENTOS!$E$5:$E$1005)-SUMPRODUCT((MOVIMIENTOS!$B$5:$B$1005="VENTA")*(MOVIMIENTOS!$C$5:$C$1005="Chancho")*(MOVIMIENTOS!$D$5:$D$1005="sacos")*(MOVIMIENTOS!$A$5:$A$1005&lt;&gt;"")*(MOVIMIENTOS!$A$5:$A$1005&lt;=$A461)*MOVIMIENTOS!$E$5:$E$1005)+SUMPRODUCT((MOVIMIENTOS!$B$5:$B$1005="AJUSTE")*(MOVIMIENTOS!$C$5:$C$1005="Chancho")*(MOVIMIENTOS!$D$5:$D$1005="sacos")*(MOVIMIENTOS!$A$5:$A$1005&lt;&gt;"")*(MOVIMIENTOS!$A$5:$A$1005&lt;=$A461)*MOVIMIENTOS!$E$5:$E$1005))</f>
        <v/>
      </c>
      <c r="G461" s="62" t="str">
        <f t="shared" si="15"/>
        <v/>
      </c>
      <c r="H461" t="str">
        <f>IF($A461="","",SUMPRODUCT((((MOVIMIENTOS!$B$5:$B$1005="SALDO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461)*MOVIMIENTOS!$J$5:$J$1005))</f>
        <v/>
      </c>
      <c r="J461" t="str">
        <f>IF(AND(MOVIMIENTOS!$A467&lt;&gt;"",COUNTIF(MOVIMIENTOS!$A$5:$A466,MOVIMIENTOS!$A467)=0),COUNT(J$4:J460)+1,"")</f>
        <v/>
      </c>
      <c r="K461" s="67">
        <f>MOVIMIENTOS!$A467</f>
        <v>46253</v>
      </c>
    </row>
    <row r="462" spans="1:11" ht="15" customHeight="1" x14ac:dyDescent="0.2">
      <c r="A462" t="str">
        <f t="shared" si="14"/>
        <v/>
      </c>
      <c r="B462" t="str">
        <f>IF($A462="","",SUMPRODUCT((MOVIMIENTOS!$B$5:$B$1005="SALDO INICIAL")*(MOVIMIENTOS!$C$5:$C$1005="A")*(MOVIMIENTOS!$D$5:$D$1005="jabas")*(MOVIMIENTOS!$A$5:$A$1005&lt;&gt;"")*(MOVIMIENTOS!$A$5:$A$1005&lt;=$A462)*MOVIMIENTOS!$E$5:$E$1005)+SUMPRODUCT((MOVIMIENTOS!$B$5:$B$1005="PROCESO")*(MOVIMIENTOS!$C$5:$C$1005="A")*(MOVIMIENTOS!$D$5:$D$1005="jabas")*(MOVIMIENTOS!$A$5:$A$1005&lt;&gt;"")*(MOVIMIENTOS!$A$5:$A$1005&lt;=$A462)*MOVIMIENTOS!$E$5:$E$1005)-SUMPRODUCT((MOVIMIENTOS!$B$5:$B$1005="ENVÍO A SUPESA")*(MOVIMIENTOS!$C$5:$C$1005="A")*(MOVIMIENTOS!$D$5:$D$1005="jabas")*(MOVIMIENTOS!$A$5:$A$1005&lt;&gt;"")*(MOVIMIENTOS!$A$5:$A$1005&lt;=$A462)*MOVIMIENTOS!$E$5:$E$1005)+SUMPRODUCT((MOVIMIENTOS!$B$5:$B$1005="DEVOLUCIÓN")*(MOVIMIENTOS!$C$5:$C$1005="A")*(MOVIMIENTOS!$D$5:$D$1005="jabas")*(MOVIMIENTOS!$A$5:$A$1005&lt;&gt;"")*(MOVIMIENTOS!$A$5:$A$1005&lt;=$A462)*MOVIMIENTOS!$E$5:$E$1005)-SUMPRODUCT((MOVIMIENTOS!$B$5:$B$1005="TRASIEGO")*(MOVIMIENTOS!$C$5:$C$1005="A")*(MOVIMIENTOS!$D$5:$D$1005="jabas")*(MOVIMIENTOS!$A$5:$A$1005&lt;&gt;"")*(MOVIMIENTOS!$A$5:$A$1005&lt;=$A462)*MOVIMIENTOS!$E$5:$E$1005)-SUMPRODUCT((MOVIMIENTOS!$B$5:$B$1005="REGALO")*(MOVIMIENTOS!$C$5:$C$1005="A")*(MOVIMIENTOS!$D$5:$D$1005="jabas")*(MOVIMIENTOS!$A$5:$A$1005&lt;&gt;"")*(MOVIMIENTOS!$A$5:$A$1005&lt;=$A462)*MOVIMIENTOS!$E$5:$E$1005)-SUMPRODUCT((MOVIMIENTOS!$B$5:$B$1005="VENTA")*(MOVIMIENTOS!$C$5:$C$1005="A")*(MOVIMIENTOS!$D$5:$D$1005="jabas")*(MOVIMIENTOS!$A$5:$A$1005&lt;&gt;"")*(MOVIMIENTOS!$A$5:$A$1005&lt;=$A462)*MOVIMIENTOS!$E$5:$E$1005)+SUMPRODUCT((MOVIMIENTOS!$B$5:$B$1005="AJUSTE")*(MOVIMIENTOS!$C$5:$C$1005="A")*(MOVIMIENTOS!$D$5:$D$1005="jabas")*(MOVIMIENTOS!$A$5:$A$1005&lt;&gt;"")*(MOVIMIENTOS!$A$5:$A$1005&lt;=$A462)*MOVIMIENTOS!$E$5:$E$1005))</f>
        <v/>
      </c>
      <c r="C462" t="str">
        <f>IF($A462="","",SUMPRODUCT((MOVIMIENTOS!$B$5:$B$1005="SALDO INICIAL")*(MOVIMIENTOS!$C$5:$C$1005="P")*(MOVIMIENTOS!$D$5:$D$1005="jabas")*(MOVIMIENTOS!$A$5:$A$1005&lt;&gt;"")*(MOVIMIENTOS!$A$5:$A$1005&lt;=$A462)*MOVIMIENTOS!$E$5:$E$1005)+SUMPRODUCT((MOVIMIENTOS!$B$5:$B$1005="PROCESO")*(MOVIMIENTOS!$C$5:$C$1005="P")*(MOVIMIENTOS!$D$5:$D$1005="jabas")*(MOVIMIENTOS!$A$5:$A$1005&lt;&gt;"")*(MOVIMIENTOS!$A$5:$A$1005&lt;=$A462)*MOVIMIENTOS!$E$5:$E$1005)-SUMPRODUCT((MOVIMIENTOS!$B$5:$B$1005="ENVÍO A SUPESA")*(MOVIMIENTOS!$C$5:$C$1005="P")*(MOVIMIENTOS!$D$5:$D$1005="jabas")*(MOVIMIENTOS!$A$5:$A$1005&lt;&gt;"")*(MOVIMIENTOS!$A$5:$A$1005&lt;=$A462)*MOVIMIENTOS!$E$5:$E$1005)+SUMPRODUCT((MOVIMIENTOS!$B$5:$B$1005="DEVOLUCIÓN")*(MOVIMIENTOS!$C$5:$C$1005="P")*(MOVIMIENTOS!$D$5:$D$1005="jabas")*(MOVIMIENTOS!$A$5:$A$1005&lt;&gt;"")*(MOVIMIENTOS!$A$5:$A$1005&lt;=$A462)*MOVIMIENTOS!$E$5:$E$1005)-SUMPRODUCT((MOVIMIENTOS!$B$5:$B$1005="TRASIEGO")*(MOVIMIENTOS!$C$5:$C$1005="P")*(MOVIMIENTOS!$D$5:$D$1005="jabas")*(MOVIMIENTOS!$A$5:$A$1005&lt;&gt;"")*(MOVIMIENTOS!$A$5:$A$1005&lt;=$A462)*MOVIMIENTOS!$E$5:$E$1005)-SUMPRODUCT((MOVIMIENTOS!$B$5:$B$1005="REGALO")*(MOVIMIENTOS!$C$5:$C$1005="P")*(MOVIMIENTOS!$D$5:$D$1005="jabas")*(MOVIMIENTOS!$A$5:$A$1005&lt;&gt;"")*(MOVIMIENTOS!$A$5:$A$1005&lt;=$A462)*MOVIMIENTOS!$E$5:$E$1005)-SUMPRODUCT((MOVIMIENTOS!$B$5:$B$1005="VENTA")*(MOVIMIENTOS!$C$5:$C$1005="P")*(MOVIMIENTOS!$D$5:$D$1005="jabas")*(MOVIMIENTOS!$A$5:$A$1005&lt;&gt;"")*(MOVIMIENTOS!$A$5:$A$1005&lt;=$A462)*MOVIMIENTOS!$E$5:$E$1005)+SUMPRODUCT((MOVIMIENTOS!$B$5:$B$1005="AJUSTE")*(MOVIMIENTOS!$C$5:$C$1005="P")*(MOVIMIENTOS!$D$5:$D$1005="jabas")*(MOVIMIENTOS!$A$5:$A$1005&lt;&gt;"")*(MOVIMIENTOS!$A$5:$A$1005&lt;=$A462)*MOVIMIENTOS!$E$5:$E$1005))</f>
        <v/>
      </c>
      <c r="D462" t="str">
        <f>IF($A462="","",SUMPRODUCT((MOVIMIENTOS!$B$5:$B$1005="SALDO INICIAL")*(MOVIMIENTOS!$C$5:$C$1005="C")*(MOVIMIENTOS!$D$5:$D$1005="jabas")*(MOVIMIENTOS!$A$5:$A$1005&lt;&gt;"")*(MOVIMIENTOS!$A$5:$A$1005&lt;=$A462)*MOVIMIENTOS!$E$5:$E$1005)+SUMPRODUCT((MOVIMIENTOS!$B$5:$B$1005="PROCESO")*(MOVIMIENTOS!$C$5:$C$1005="C")*(MOVIMIENTOS!$D$5:$D$1005="jabas")*(MOVIMIENTOS!$A$5:$A$1005&lt;&gt;"")*(MOVIMIENTOS!$A$5:$A$1005&lt;=$A462)*MOVIMIENTOS!$E$5:$E$1005)-SUMPRODUCT((MOVIMIENTOS!$B$5:$B$1005="ENVÍO A SUPESA")*(MOVIMIENTOS!$C$5:$C$1005="C")*(MOVIMIENTOS!$D$5:$D$1005="jabas")*(MOVIMIENTOS!$A$5:$A$1005&lt;&gt;"")*(MOVIMIENTOS!$A$5:$A$1005&lt;=$A462)*MOVIMIENTOS!$E$5:$E$1005)+SUMPRODUCT((MOVIMIENTOS!$B$5:$B$1005="DEVOLUCIÓN")*(MOVIMIENTOS!$C$5:$C$1005="C")*(MOVIMIENTOS!$D$5:$D$1005="jabas")*(MOVIMIENTOS!$A$5:$A$1005&lt;&gt;"")*(MOVIMIENTOS!$A$5:$A$1005&lt;=$A462)*MOVIMIENTOS!$E$5:$E$1005)-SUMPRODUCT((MOVIMIENTOS!$B$5:$B$1005="TRASIEGO")*(MOVIMIENTOS!$C$5:$C$1005="C")*(MOVIMIENTOS!$D$5:$D$1005="jabas")*(MOVIMIENTOS!$A$5:$A$1005&lt;&gt;"")*(MOVIMIENTOS!$A$5:$A$1005&lt;=$A462)*MOVIMIENTOS!$E$5:$E$1005)-SUMPRODUCT((MOVIMIENTOS!$B$5:$B$1005="REGALO")*(MOVIMIENTOS!$C$5:$C$1005="C")*(MOVIMIENTOS!$D$5:$D$1005="jabas")*(MOVIMIENTOS!$A$5:$A$1005&lt;&gt;"")*(MOVIMIENTOS!$A$5:$A$1005&lt;=$A462)*MOVIMIENTOS!$E$5:$E$1005)-SUMPRODUCT((MOVIMIENTOS!$B$5:$B$1005="VENTA")*(MOVIMIENTOS!$C$5:$C$1005="C")*(MOVIMIENTOS!$D$5:$D$1005="jabas")*(MOVIMIENTOS!$A$5:$A$1005&lt;&gt;"")*(MOVIMIENTOS!$A$5:$A$1005&lt;=$A462)*MOVIMIENTOS!$E$5:$E$1005)+SUMPRODUCT((MOVIMIENTOS!$B$5:$B$1005="AJUSTE")*(MOVIMIENTOS!$C$5:$C$1005="C")*(MOVIMIENTOS!$D$5:$D$1005="jabas")*(MOVIMIENTOS!$A$5:$A$1005&lt;&gt;"")*(MOVIMIENTOS!$A$5:$A$1005&lt;=$A462)*MOVIMIENTOS!$E$5:$E$1005))</f>
        <v/>
      </c>
      <c r="E462" t="str">
        <f>IF($A462="","",SUMPRODUCT((MOVIMIENTOS!$B$5:$B$1005="SALDO INICIAL")*(MOVIMIENTOS!$C$5:$C$1005="M")*(MOVIMIENTOS!$D$5:$D$1005="jabas")*(MOVIMIENTOS!$A$5:$A$1005&lt;&gt;"")*(MOVIMIENTOS!$A$5:$A$1005&lt;=$A462)*MOVIMIENTOS!$E$5:$E$1005)+SUMPRODUCT((MOVIMIENTOS!$B$5:$B$1005="PROCESO")*(MOVIMIENTOS!$C$5:$C$1005="M")*(MOVIMIENTOS!$D$5:$D$1005="jabas")*(MOVIMIENTOS!$A$5:$A$1005&lt;&gt;"")*(MOVIMIENTOS!$A$5:$A$1005&lt;=$A462)*MOVIMIENTOS!$E$5:$E$1005)-SUMPRODUCT((MOVIMIENTOS!$B$5:$B$1005="ENVÍO A SUPESA")*(MOVIMIENTOS!$C$5:$C$1005="M")*(MOVIMIENTOS!$D$5:$D$1005="jabas")*(MOVIMIENTOS!$A$5:$A$1005&lt;&gt;"")*(MOVIMIENTOS!$A$5:$A$1005&lt;=$A462)*MOVIMIENTOS!$E$5:$E$1005)+SUMPRODUCT((MOVIMIENTOS!$B$5:$B$1005="DEVOLUCIÓN")*(MOVIMIENTOS!$C$5:$C$1005="M")*(MOVIMIENTOS!$D$5:$D$1005="jabas")*(MOVIMIENTOS!$A$5:$A$1005&lt;&gt;"")*(MOVIMIENTOS!$A$5:$A$1005&lt;=$A462)*MOVIMIENTOS!$E$5:$E$1005)-SUMPRODUCT((MOVIMIENTOS!$B$5:$B$1005="TRASIEGO")*(MOVIMIENTOS!$C$5:$C$1005="M")*(MOVIMIENTOS!$D$5:$D$1005="jabas")*(MOVIMIENTOS!$A$5:$A$1005&lt;&gt;"")*(MOVIMIENTOS!$A$5:$A$1005&lt;=$A462)*MOVIMIENTOS!$E$5:$E$1005)-SUMPRODUCT((MOVIMIENTOS!$B$5:$B$1005="REGALO")*(MOVIMIENTOS!$C$5:$C$1005="M")*(MOVIMIENTOS!$D$5:$D$1005="jabas")*(MOVIMIENTOS!$A$5:$A$1005&lt;&gt;"")*(MOVIMIENTOS!$A$5:$A$1005&lt;=$A462)*MOVIMIENTOS!$E$5:$E$1005)-SUMPRODUCT((MOVIMIENTOS!$B$5:$B$1005="VENTA")*(MOVIMIENTOS!$C$5:$C$1005="M")*(MOVIMIENTOS!$D$5:$D$1005="jabas")*(MOVIMIENTOS!$A$5:$A$1005&lt;&gt;"")*(MOVIMIENTOS!$A$5:$A$1005&lt;=$A462)*MOVIMIENTOS!$E$5:$E$1005)+SUMPRODUCT((MOVIMIENTOS!$B$5:$B$1005="AJUSTE")*(MOVIMIENTOS!$C$5:$C$1005="M")*(MOVIMIENTOS!$D$5:$D$1005="jabas")*(MOVIMIENTOS!$A$5:$A$1005&lt;&gt;"")*(MOVIMIENTOS!$A$5:$A$1005&lt;=$A462)*MOVIMIENTOS!$E$5:$E$1005))</f>
        <v/>
      </c>
      <c r="F462" s="62" t="str">
        <f>IF($A462="","",SUMPRODUCT((MOVIMIENTOS!$B$5:$B$1005="SALDO INICIAL")*(MOVIMIENTOS!$C$5:$C$1005="Chancho")*(MOVIMIENTOS!$D$5:$D$1005="sacos")*(MOVIMIENTOS!$A$5:$A$1005&lt;&gt;"")*(MOVIMIENTOS!$A$5:$A$1005&lt;=$A462)*MOVIMIENTOS!$E$5:$E$1005)+SUMPRODUCT((MOVIMIENTOS!$B$5:$B$1005="PROCESO")*(MOVIMIENTOS!$C$5:$C$1005="Chancho")*(MOVIMIENTOS!$D$5:$D$1005="sacos")*(MOVIMIENTOS!$A$5:$A$1005&lt;&gt;"")*(MOVIMIENTOS!$A$5:$A$1005&lt;=$A462)*MOVIMIENTOS!$E$5:$E$1005)-SUMPRODUCT((MOVIMIENTOS!$B$5:$B$1005="VENTA CHANCHO")*(MOVIMIENTOS!$C$5:$C$1005="Chancho")*(MOVIMIENTOS!$D$5:$D$1005="sacos")*(MOVIMIENTOS!$A$5:$A$1005&lt;&gt;"")*(MOVIMIENTOS!$A$5:$A$1005&lt;=$A462)*MOVIMIENTOS!$E$5:$E$1005)-SUMPRODUCT((MOVIMIENTOS!$B$5:$B$1005="REGALO")*(MOVIMIENTOS!$C$5:$C$1005="Chancho")*(MOVIMIENTOS!$D$5:$D$1005="sacos")*(MOVIMIENTOS!$A$5:$A$1005&lt;&gt;"")*(MOVIMIENTOS!$A$5:$A$1005&lt;=$A462)*MOVIMIENTOS!$E$5:$E$1005)-SUMPRODUCT((MOVIMIENTOS!$B$5:$B$1005="VENTA")*(MOVIMIENTOS!$C$5:$C$1005="Chancho")*(MOVIMIENTOS!$D$5:$D$1005="sacos")*(MOVIMIENTOS!$A$5:$A$1005&lt;&gt;"")*(MOVIMIENTOS!$A$5:$A$1005&lt;=$A462)*MOVIMIENTOS!$E$5:$E$1005)+SUMPRODUCT((MOVIMIENTOS!$B$5:$B$1005="AJUSTE")*(MOVIMIENTOS!$C$5:$C$1005="Chancho")*(MOVIMIENTOS!$D$5:$D$1005="sacos")*(MOVIMIENTOS!$A$5:$A$1005&lt;&gt;"")*(MOVIMIENTOS!$A$5:$A$1005&lt;=$A462)*MOVIMIENTOS!$E$5:$E$1005))</f>
        <v/>
      </c>
      <c r="G462" s="62" t="str">
        <f t="shared" si="15"/>
        <v/>
      </c>
      <c r="H462" t="str">
        <f>IF($A462="","",SUMPRODUCT((((MOVIMIENTOS!$B$5:$B$1005="SALDO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462)*MOVIMIENTOS!$J$5:$J$1005))</f>
        <v/>
      </c>
      <c r="J462" t="str">
        <f>IF(AND(MOVIMIENTOS!$A468&lt;&gt;"",COUNTIF(MOVIMIENTOS!$A$5:$A467,MOVIMIENTOS!$A468)=0),COUNT(J$4:J461)+1,"")</f>
        <v/>
      </c>
      <c r="K462" s="67">
        <f>MOVIMIENTOS!$A468</f>
        <v>46253</v>
      </c>
    </row>
    <row r="463" spans="1:11" ht="15" customHeight="1" x14ac:dyDescent="0.2">
      <c r="A463" t="str">
        <f t="shared" si="14"/>
        <v/>
      </c>
      <c r="B463" t="str">
        <f>IF($A463="","",SUMPRODUCT((MOVIMIENTOS!$B$5:$B$1005="SALDO INICIAL")*(MOVIMIENTOS!$C$5:$C$1005="A")*(MOVIMIENTOS!$D$5:$D$1005="jabas")*(MOVIMIENTOS!$A$5:$A$1005&lt;&gt;"")*(MOVIMIENTOS!$A$5:$A$1005&lt;=$A463)*MOVIMIENTOS!$E$5:$E$1005)+SUMPRODUCT((MOVIMIENTOS!$B$5:$B$1005="PROCESO")*(MOVIMIENTOS!$C$5:$C$1005="A")*(MOVIMIENTOS!$D$5:$D$1005="jabas")*(MOVIMIENTOS!$A$5:$A$1005&lt;&gt;"")*(MOVIMIENTOS!$A$5:$A$1005&lt;=$A463)*MOVIMIENTOS!$E$5:$E$1005)-SUMPRODUCT((MOVIMIENTOS!$B$5:$B$1005="ENVÍO A SUPESA")*(MOVIMIENTOS!$C$5:$C$1005="A")*(MOVIMIENTOS!$D$5:$D$1005="jabas")*(MOVIMIENTOS!$A$5:$A$1005&lt;&gt;"")*(MOVIMIENTOS!$A$5:$A$1005&lt;=$A463)*MOVIMIENTOS!$E$5:$E$1005)+SUMPRODUCT((MOVIMIENTOS!$B$5:$B$1005="DEVOLUCIÓN")*(MOVIMIENTOS!$C$5:$C$1005="A")*(MOVIMIENTOS!$D$5:$D$1005="jabas")*(MOVIMIENTOS!$A$5:$A$1005&lt;&gt;"")*(MOVIMIENTOS!$A$5:$A$1005&lt;=$A463)*MOVIMIENTOS!$E$5:$E$1005)-SUMPRODUCT((MOVIMIENTOS!$B$5:$B$1005="TRASIEGO")*(MOVIMIENTOS!$C$5:$C$1005="A")*(MOVIMIENTOS!$D$5:$D$1005="jabas")*(MOVIMIENTOS!$A$5:$A$1005&lt;&gt;"")*(MOVIMIENTOS!$A$5:$A$1005&lt;=$A463)*MOVIMIENTOS!$E$5:$E$1005)-SUMPRODUCT((MOVIMIENTOS!$B$5:$B$1005="REGALO")*(MOVIMIENTOS!$C$5:$C$1005="A")*(MOVIMIENTOS!$D$5:$D$1005="jabas")*(MOVIMIENTOS!$A$5:$A$1005&lt;&gt;"")*(MOVIMIENTOS!$A$5:$A$1005&lt;=$A463)*MOVIMIENTOS!$E$5:$E$1005)-SUMPRODUCT((MOVIMIENTOS!$B$5:$B$1005="VENTA")*(MOVIMIENTOS!$C$5:$C$1005="A")*(MOVIMIENTOS!$D$5:$D$1005="jabas")*(MOVIMIENTOS!$A$5:$A$1005&lt;&gt;"")*(MOVIMIENTOS!$A$5:$A$1005&lt;=$A463)*MOVIMIENTOS!$E$5:$E$1005)+SUMPRODUCT((MOVIMIENTOS!$B$5:$B$1005="AJUSTE")*(MOVIMIENTOS!$C$5:$C$1005="A")*(MOVIMIENTOS!$D$5:$D$1005="jabas")*(MOVIMIENTOS!$A$5:$A$1005&lt;&gt;"")*(MOVIMIENTOS!$A$5:$A$1005&lt;=$A463)*MOVIMIENTOS!$E$5:$E$1005))</f>
        <v/>
      </c>
      <c r="C463" t="str">
        <f>IF($A463="","",SUMPRODUCT((MOVIMIENTOS!$B$5:$B$1005="SALDO INICIAL")*(MOVIMIENTOS!$C$5:$C$1005="P")*(MOVIMIENTOS!$D$5:$D$1005="jabas")*(MOVIMIENTOS!$A$5:$A$1005&lt;&gt;"")*(MOVIMIENTOS!$A$5:$A$1005&lt;=$A463)*MOVIMIENTOS!$E$5:$E$1005)+SUMPRODUCT((MOVIMIENTOS!$B$5:$B$1005="PROCESO")*(MOVIMIENTOS!$C$5:$C$1005="P")*(MOVIMIENTOS!$D$5:$D$1005="jabas")*(MOVIMIENTOS!$A$5:$A$1005&lt;&gt;"")*(MOVIMIENTOS!$A$5:$A$1005&lt;=$A463)*MOVIMIENTOS!$E$5:$E$1005)-SUMPRODUCT((MOVIMIENTOS!$B$5:$B$1005="ENVÍO A SUPESA")*(MOVIMIENTOS!$C$5:$C$1005="P")*(MOVIMIENTOS!$D$5:$D$1005="jabas")*(MOVIMIENTOS!$A$5:$A$1005&lt;&gt;"")*(MOVIMIENTOS!$A$5:$A$1005&lt;=$A463)*MOVIMIENTOS!$E$5:$E$1005)+SUMPRODUCT((MOVIMIENTOS!$B$5:$B$1005="DEVOLUCIÓN")*(MOVIMIENTOS!$C$5:$C$1005="P")*(MOVIMIENTOS!$D$5:$D$1005="jabas")*(MOVIMIENTOS!$A$5:$A$1005&lt;&gt;"")*(MOVIMIENTOS!$A$5:$A$1005&lt;=$A463)*MOVIMIENTOS!$E$5:$E$1005)-SUMPRODUCT((MOVIMIENTOS!$B$5:$B$1005="TRASIEGO")*(MOVIMIENTOS!$C$5:$C$1005="P")*(MOVIMIENTOS!$D$5:$D$1005="jabas")*(MOVIMIENTOS!$A$5:$A$1005&lt;&gt;"")*(MOVIMIENTOS!$A$5:$A$1005&lt;=$A463)*MOVIMIENTOS!$E$5:$E$1005)-SUMPRODUCT((MOVIMIENTOS!$B$5:$B$1005="REGALO")*(MOVIMIENTOS!$C$5:$C$1005="P")*(MOVIMIENTOS!$D$5:$D$1005="jabas")*(MOVIMIENTOS!$A$5:$A$1005&lt;&gt;"")*(MOVIMIENTOS!$A$5:$A$1005&lt;=$A463)*MOVIMIENTOS!$E$5:$E$1005)-SUMPRODUCT((MOVIMIENTOS!$B$5:$B$1005="VENTA")*(MOVIMIENTOS!$C$5:$C$1005="P")*(MOVIMIENTOS!$D$5:$D$1005="jabas")*(MOVIMIENTOS!$A$5:$A$1005&lt;&gt;"")*(MOVIMIENTOS!$A$5:$A$1005&lt;=$A463)*MOVIMIENTOS!$E$5:$E$1005)+SUMPRODUCT((MOVIMIENTOS!$B$5:$B$1005="AJUSTE")*(MOVIMIENTOS!$C$5:$C$1005="P")*(MOVIMIENTOS!$D$5:$D$1005="jabas")*(MOVIMIENTOS!$A$5:$A$1005&lt;&gt;"")*(MOVIMIENTOS!$A$5:$A$1005&lt;=$A463)*MOVIMIENTOS!$E$5:$E$1005))</f>
        <v/>
      </c>
      <c r="D463" t="str">
        <f>IF($A463="","",SUMPRODUCT((MOVIMIENTOS!$B$5:$B$1005="SALDO INICIAL")*(MOVIMIENTOS!$C$5:$C$1005="C")*(MOVIMIENTOS!$D$5:$D$1005="jabas")*(MOVIMIENTOS!$A$5:$A$1005&lt;&gt;"")*(MOVIMIENTOS!$A$5:$A$1005&lt;=$A463)*MOVIMIENTOS!$E$5:$E$1005)+SUMPRODUCT((MOVIMIENTOS!$B$5:$B$1005="PROCESO")*(MOVIMIENTOS!$C$5:$C$1005="C")*(MOVIMIENTOS!$D$5:$D$1005="jabas")*(MOVIMIENTOS!$A$5:$A$1005&lt;&gt;"")*(MOVIMIENTOS!$A$5:$A$1005&lt;=$A463)*MOVIMIENTOS!$E$5:$E$1005)-SUMPRODUCT((MOVIMIENTOS!$B$5:$B$1005="ENVÍO A SUPESA")*(MOVIMIENTOS!$C$5:$C$1005="C")*(MOVIMIENTOS!$D$5:$D$1005="jabas")*(MOVIMIENTOS!$A$5:$A$1005&lt;&gt;"")*(MOVIMIENTOS!$A$5:$A$1005&lt;=$A463)*MOVIMIENTOS!$E$5:$E$1005)+SUMPRODUCT((MOVIMIENTOS!$B$5:$B$1005="DEVOLUCIÓN")*(MOVIMIENTOS!$C$5:$C$1005="C")*(MOVIMIENTOS!$D$5:$D$1005="jabas")*(MOVIMIENTOS!$A$5:$A$1005&lt;&gt;"")*(MOVIMIENTOS!$A$5:$A$1005&lt;=$A463)*MOVIMIENTOS!$E$5:$E$1005)-SUMPRODUCT((MOVIMIENTOS!$B$5:$B$1005="TRASIEGO")*(MOVIMIENTOS!$C$5:$C$1005="C")*(MOVIMIENTOS!$D$5:$D$1005="jabas")*(MOVIMIENTOS!$A$5:$A$1005&lt;&gt;"")*(MOVIMIENTOS!$A$5:$A$1005&lt;=$A463)*MOVIMIENTOS!$E$5:$E$1005)-SUMPRODUCT((MOVIMIENTOS!$B$5:$B$1005="REGALO")*(MOVIMIENTOS!$C$5:$C$1005="C")*(MOVIMIENTOS!$D$5:$D$1005="jabas")*(MOVIMIENTOS!$A$5:$A$1005&lt;&gt;"")*(MOVIMIENTOS!$A$5:$A$1005&lt;=$A463)*MOVIMIENTOS!$E$5:$E$1005)-SUMPRODUCT((MOVIMIENTOS!$B$5:$B$1005="VENTA")*(MOVIMIENTOS!$C$5:$C$1005="C")*(MOVIMIENTOS!$D$5:$D$1005="jabas")*(MOVIMIENTOS!$A$5:$A$1005&lt;&gt;"")*(MOVIMIENTOS!$A$5:$A$1005&lt;=$A463)*MOVIMIENTOS!$E$5:$E$1005)+SUMPRODUCT((MOVIMIENTOS!$B$5:$B$1005="AJUSTE")*(MOVIMIENTOS!$C$5:$C$1005="C")*(MOVIMIENTOS!$D$5:$D$1005="jabas")*(MOVIMIENTOS!$A$5:$A$1005&lt;&gt;"")*(MOVIMIENTOS!$A$5:$A$1005&lt;=$A463)*MOVIMIENTOS!$E$5:$E$1005))</f>
        <v/>
      </c>
      <c r="E463" t="str">
        <f>IF($A463="","",SUMPRODUCT((MOVIMIENTOS!$B$5:$B$1005="SALDO INICIAL")*(MOVIMIENTOS!$C$5:$C$1005="M")*(MOVIMIENTOS!$D$5:$D$1005="jabas")*(MOVIMIENTOS!$A$5:$A$1005&lt;&gt;"")*(MOVIMIENTOS!$A$5:$A$1005&lt;=$A463)*MOVIMIENTOS!$E$5:$E$1005)+SUMPRODUCT((MOVIMIENTOS!$B$5:$B$1005="PROCESO")*(MOVIMIENTOS!$C$5:$C$1005="M")*(MOVIMIENTOS!$D$5:$D$1005="jabas")*(MOVIMIENTOS!$A$5:$A$1005&lt;&gt;"")*(MOVIMIENTOS!$A$5:$A$1005&lt;=$A463)*MOVIMIENTOS!$E$5:$E$1005)-SUMPRODUCT((MOVIMIENTOS!$B$5:$B$1005="ENVÍO A SUPESA")*(MOVIMIENTOS!$C$5:$C$1005="M")*(MOVIMIENTOS!$D$5:$D$1005="jabas")*(MOVIMIENTOS!$A$5:$A$1005&lt;&gt;"")*(MOVIMIENTOS!$A$5:$A$1005&lt;=$A463)*MOVIMIENTOS!$E$5:$E$1005)+SUMPRODUCT((MOVIMIENTOS!$B$5:$B$1005="DEVOLUCIÓN")*(MOVIMIENTOS!$C$5:$C$1005="M")*(MOVIMIENTOS!$D$5:$D$1005="jabas")*(MOVIMIENTOS!$A$5:$A$1005&lt;&gt;"")*(MOVIMIENTOS!$A$5:$A$1005&lt;=$A463)*MOVIMIENTOS!$E$5:$E$1005)-SUMPRODUCT((MOVIMIENTOS!$B$5:$B$1005="TRASIEGO")*(MOVIMIENTOS!$C$5:$C$1005="M")*(MOVIMIENTOS!$D$5:$D$1005="jabas")*(MOVIMIENTOS!$A$5:$A$1005&lt;&gt;"")*(MOVIMIENTOS!$A$5:$A$1005&lt;=$A463)*MOVIMIENTOS!$E$5:$E$1005)-SUMPRODUCT((MOVIMIENTOS!$B$5:$B$1005="REGALO")*(MOVIMIENTOS!$C$5:$C$1005="M")*(MOVIMIENTOS!$D$5:$D$1005="jabas")*(MOVIMIENTOS!$A$5:$A$1005&lt;&gt;"")*(MOVIMIENTOS!$A$5:$A$1005&lt;=$A463)*MOVIMIENTOS!$E$5:$E$1005)-SUMPRODUCT((MOVIMIENTOS!$B$5:$B$1005="VENTA")*(MOVIMIENTOS!$C$5:$C$1005="M")*(MOVIMIENTOS!$D$5:$D$1005="jabas")*(MOVIMIENTOS!$A$5:$A$1005&lt;&gt;"")*(MOVIMIENTOS!$A$5:$A$1005&lt;=$A463)*MOVIMIENTOS!$E$5:$E$1005)+SUMPRODUCT((MOVIMIENTOS!$B$5:$B$1005="AJUSTE")*(MOVIMIENTOS!$C$5:$C$1005="M")*(MOVIMIENTOS!$D$5:$D$1005="jabas")*(MOVIMIENTOS!$A$5:$A$1005&lt;&gt;"")*(MOVIMIENTOS!$A$5:$A$1005&lt;=$A463)*MOVIMIENTOS!$E$5:$E$1005))</f>
        <v/>
      </c>
      <c r="F463" s="62" t="str">
        <f>IF($A463="","",SUMPRODUCT((MOVIMIENTOS!$B$5:$B$1005="SALDO INICIAL")*(MOVIMIENTOS!$C$5:$C$1005="Chancho")*(MOVIMIENTOS!$D$5:$D$1005="sacos")*(MOVIMIENTOS!$A$5:$A$1005&lt;&gt;"")*(MOVIMIENTOS!$A$5:$A$1005&lt;=$A463)*MOVIMIENTOS!$E$5:$E$1005)+SUMPRODUCT((MOVIMIENTOS!$B$5:$B$1005="PROCESO")*(MOVIMIENTOS!$C$5:$C$1005="Chancho")*(MOVIMIENTOS!$D$5:$D$1005="sacos")*(MOVIMIENTOS!$A$5:$A$1005&lt;&gt;"")*(MOVIMIENTOS!$A$5:$A$1005&lt;=$A463)*MOVIMIENTOS!$E$5:$E$1005)-SUMPRODUCT((MOVIMIENTOS!$B$5:$B$1005="VENTA CHANCHO")*(MOVIMIENTOS!$C$5:$C$1005="Chancho")*(MOVIMIENTOS!$D$5:$D$1005="sacos")*(MOVIMIENTOS!$A$5:$A$1005&lt;&gt;"")*(MOVIMIENTOS!$A$5:$A$1005&lt;=$A463)*MOVIMIENTOS!$E$5:$E$1005)-SUMPRODUCT((MOVIMIENTOS!$B$5:$B$1005="REGALO")*(MOVIMIENTOS!$C$5:$C$1005="Chancho")*(MOVIMIENTOS!$D$5:$D$1005="sacos")*(MOVIMIENTOS!$A$5:$A$1005&lt;&gt;"")*(MOVIMIENTOS!$A$5:$A$1005&lt;=$A463)*MOVIMIENTOS!$E$5:$E$1005)-SUMPRODUCT((MOVIMIENTOS!$B$5:$B$1005="VENTA")*(MOVIMIENTOS!$C$5:$C$1005="Chancho")*(MOVIMIENTOS!$D$5:$D$1005="sacos")*(MOVIMIENTOS!$A$5:$A$1005&lt;&gt;"")*(MOVIMIENTOS!$A$5:$A$1005&lt;=$A463)*MOVIMIENTOS!$E$5:$E$1005)+SUMPRODUCT((MOVIMIENTOS!$B$5:$B$1005="AJUSTE")*(MOVIMIENTOS!$C$5:$C$1005="Chancho")*(MOVIMIENTOS!$D$5:$D$1005="sacos")*(MOVIMIENTOS!$A$5:$A$1005&lt;&gt;"")*(MOVIMIENTOS!$A$5:$A$1005&lt;=$A463)*MOVIMIENTOS!$E$5:$E$1005))</f>
        <v/>
      </c>
      <c r="G463" s="62" t="str">
        <f t="shared" si="15"/>
        <v/>
      </c>
      <c r="H463" t="str">
        <f>IF($A463="","",SUMPRODUCT((((MOVIMIENTOS!$B$5:$B$1005="SALDO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463)*MOVIMIENTOS!$J$5:$J$1005))</f>
        <v/>
      </c>
      <c r="J463" t="e">
        <f>IF(AND(MOVIMIENTOS!#REF!&lt;&gt;"",COUNTIF(MOVIMIENTOS!$A$5:$A468,MOVIMIENTOS!#REF!)=0),COUNT(J$4:J462)+1,"")</f>
        <v>#REF!</v>
      </c>
      <c r="K463" s="67" t="e">
        <f>MOVIMIENTOS!#REF!</f>
        <v>#REF!</v>
      </c>
    </row>
    <row r="464" spans="1:11" ht="15" customHeight="1" x14ac:dyDescent="0.2">
      <c r="A464" t="str">
        <f t="shared" si="14"/>
        <v/>
      </c>
      <c r="B464" t="str">
        <f>IF($A464="","",SUMPRODUCT((MOVIMIENTOS!$B$5:$B$1005="SALDO INICIAL")*(MOVIMIENTOS!$C$5:$C$1005="A")*(MOVIMIENTOS!$D$5:$D$1005="jabas")*(MOVIMIENTOS!$A$5:$A$1005&lt;&gt;"")*(MOVIMIENTOS!$A$5:$A$1005&lt;=$A464)*MOVIMIENTOS!$E$5:$E$1005)+SUMPRODUCT((MOVIMIENTOS!$B$5:$B$1005="PROCESO")*(MOVIMIENTOS!$C$5:$C$1005="A")*(MOVIMIENTOS!$D$5:$D$1005="jabas")*(MOVIMIENTOS!$A$5:$A$1005&lt;&gt;"")*(MOVIMIENTOS!$A$5:$A$1005&lt;=$A464)*MOVIMIENTOS!$E$5:$E$1005)-SUMPRODUCT((MOVIMIENTOS!$B$5:$B$1005="ENVÍO A SUPESA")*(MOVIMIENTOS!$C$5:$C$1005="A")*(MOVIMIENTOS!$D$5:$D$1005="jabas")*(MOVIMIENTOS!$A$5:$A$1005&lt;&gt;"")*(MOVIMIENTOS!$A$5:$A$1005&lt;=$A464)*MOVIMIENTOS!$E$5:$E$1005)+SUMPRODUCT((MOVIMIENTOS!$B$5:$B$1005="DEVOLUCIÓN")*(MOVIMIENTOS!$C$5:$C$1005="A")*(MOVIMIENTOS!$D$5:$D$1005="jabas")*(MOVIMIENTOS!$A$5:$A$1005&lt;&gt;"")*(MOVIMIENTOS!$A$5:$A$1005&lt;=$A464)*MOVIMIENTOS!$E$5:$E$1005)-SUMPRODUCT((MOVIMIENTOS!$B$5:$B$1005="TRASIEGO")*(MOVIMIENTOS!$C$5:$C$1005="A")*(MOVIMIENTOS!$D$5:$D$1005="jabas")*(MOVIMIENTOS!$A$5:$A$1005&lt;&gt;"")*(MOVIMIENTOS!$A$5:$A$1005&lt;=$A464)*MOVIMIENTOS!$E$5:$E$1005)-SUMPRODUCT((MOVIMIENTOS!$B$5:$B$1005="REGALO")*(MOVIMIENTOS!$C$5:$C$1005="A")*(MOVIMIENTOS!$D$5:$D$1005="jabas")*(MOVIMIENTOS!$A$5:$A$1005&lt;&gt;"")*(MOVIMIENTOS!$A$5:$A$1005&lt;=$A464)*MOVIMIENTOS!$E$5:$E$1005)-SUMPRODUCT((MOVIMIENTOS!$B$5:$B$1005="VENTA")*(MOVIMIENTOS!$C$5:$C$1005="A")*(MOVIMIENTOS!$D$5:$D$1005="jabas")*(MOVIMIENTOS!$A$5:$A$1005&lt;&gt;"")*(MOVIMIENTOS!$A$5:$A$1005&lt;=$A464)*MOVIMIENTOS!$E$5:$E$1005)+SUMPRODUCT((MOVIMIENTOS!$B$5:$B$1005="AJUSTE")*(MOVIMIENTOS!$C$5:$C$1005="A")*(MOVIMIENTOS!$D$5:$D$1005="jabas")*(MOVIMIENTOS!$A$5:$A$1005&lt;&gt;"")*(MOVIMIENTOS!$A$5:$A$1005&lt;=$A464)*MOVIMIENTOS!$E$5:$E$1005))</f>
        <v/>
      </c>
      <c r="C464" t="str">
        <f>IF($A464="","",SUMPRODUCT((MOVIMIENTOS!$B$5:$B$1005="SALDO INICIAL")*(MOVIMIENTOS!$C$5:$C$1005="P")*(MOVIMIENTOS!$D$5:$D$1005="jabas")*(MOVIMIENTOS!$A$5:$A$1005&lt;&gt;"")*(MOVIMIENTOS!$A$5:$A$1005&lt;=$A464)*MOVIMIENTOS!$E$5:$E$1005)+SUMPRODUCT((MOVIMIENTOS!$B$5:$B$1005="PROCESO")*(MOVIMIENTOS!$C$5:$C$1005="P")*(MOVIMIENTOS!$D$5:$D$1005="jabas")*(MOVIMIENTOS!$A$5:$A$1005&lt;&gt;"")*(MOVIMIENTOS!$A$5:$A$1005&lt;=$A464)*MOVIMIENTOS!$E$5:$E$1005)-SUMPRODUCT((MOVIMIENTOS!$B$5:$B$1005="ENVÍO A SUPESA")*(MOVIMIENTOS!$C$5:$C$1005="P")*(MOVIMIENTOS!$D$5:$D$1005="jabas")*(MOVIMIENTOS!$A$5:$A$1005&lt;&gt;"")*(MOVIMIENTOS!$A$5:$A$1005&lt;=$A464)*MOVIMIENTOS!$E$5:$E$1005)+SUMPRODUCT((MOVIMIENTOS!$B$5:$B$1005="DEVOLUCIÓN")*(MOVIMIENTOS!$C$5:$C$1005="P")*(MOVIMIENTOS!$D$5:$D$1005="jabas")*(MOVIMIENTOS!$A$5:$A$1005&lt;&gt;"")*(MOVIMIENTOS!$A$5:$A$1005&lt;=$A464)*MOVIMIENTOS!$E$5:$E$1005)-SUMPRODUCT((MOVIMIENTOS!$B$5:$B$1005="TRASIEGO")*(MOVIMIENTOS!$C$5:$C$1005="P")*(MOVIMIENTOS!$D$5:$D$1005="jabas")*(MOVIMIENTOS!$A$5:$A$1005&lt;&gt;"")*(MOVIMIENTOS!$A$5:$A$1005&lt;=$A464)*MOVIMIENTOS!$E$5:$E$1005)-SUMPRODUCT((MOVIMIENTOS!$B$5:$B$1005="REGALO")*(MOVIMIENTOS!$C$5:$C$1005="P")*(MOVIMIENTOS!$D$5:$D$1005="jabas")*(MOVIMIENTOS!$A$5:$A$1005&lt;&gt;"")*(MOVIMIENTOS!$A$5:$A$1005&lt;=$A464)*MOVIMIENTOS!$E$5:$E$1005)-SUMPRODUCT((MOVIMIENTOS!$B$5:$B$1005="VENTA")*(MOVIMIENTOS!$C$5:$C$1005="P")*(MOVIMIENTOS!$D$5:$D$1005="jabas")*(MOVIMIENTOS!$A$5:$A$1005&lt;&gt;"")*(MOVIMIENTOS!$A$5:$A$1005&lt;=$A464)*MOVIMIENTOS!$E$5:$E$1005)+SUMPRODUCT((MOVIMIENTOS!$B$5:$B$1005="AJUSTE")*(MOVIMIENTOS!$C$5:$C$1005="P")*(MOVIMIENTOS!$D$5:$D$1005="jabas")*(MOVIMIENTOS!$A$5:$A$1005&lt;&gt;"")*(MOVIMIENTOS!$A$5:$A$1005&lt;=$A464)*MOVIMIENTOS!$E$5:$E$1005))</f>
        <v/>
      </c>
      <c r="D464" t="str">
        <f>IF($A464="","",SUMPRODUCT((MOVIMIENTOS!$B$5:$B$1005="SALDO INICIAL")*(MOVIMIENTOS!$C$5:$C$1005="C")*(MOVIMIENTOS!$D$5:$D$1005="jabas")*(MOVIMIENTOS!$A$5:$A$1005&lt;&gt;"")*(MOVIMIENTOS!$A$5:$A$1005&lt;=$A464)*MOVIMIENTOS!$E$5:$E$1005)+SUMPRODUCT((MOVIMIENTOS!$B$5:$B$1005="PROCESO")*(MOVIMIENTOS!$C$5:$C$1005="C")*(MOVIMIENTOS!$D$5:$D$1005="jabas")*(MOVIMIENTOS!$A$5:$A$1005&lt;&gt;"")*(MOVIMIENTOS!$A$5:$A$1005&lt;=$A464)*MOVIMIENTOS!$E$5:$E$1005)-SUMPRODUCT((MOVIMIENTOS!$B$5:$B$1005="ENVÍO A SUPESA")*(MOVIMIENTOS!$C$5:$C$1005="C")*(MOVIMIENTOS!$D$5:$D$1005="jabas")*(MOVIMIENTOS!$A$5:$A$1005&lt;&gt;"")*(MOVIMIENTOS!$A$5:$A$1005&lt;=$A464)*MOVIMIENTOS!$E$5:$E$1005)+SUMPRODUCT((MOVIMIENTOS!$B$5:$B$1005="DEVOLUCIÓN")*(MOVIMIENTOS!$C$5:$C$1005="C")*(MOVIMIENTOS!$D$5:$D$1005="jabas")*(MOVIMIENTOS!$A$5:$A$1005&lt;&gt;"")*(MOVIMIENTOS!$A$5:$A$1005&lt;=$A464)*MOVIMIENTOS!$E$5:$E$1005)-SUMPRODUCT((MOVIMIENTOS!$B$5:$B$1005="TRASIEGO")*(MOVIMIENTOS!$C$5:$C$1005="C")*(MOVIMIENTOS!$D$5:$D$1005="jabas")*(MOVIMIENTOS!$A$5:$A$1005&lt;&gt;"")*(MOVIMIENTOS!$A$5:$A$1005&lt;=$A464)*MOVIMIENTOS!$E$5:$E$1005)-SUMPRODUCT((MOVIMIENTOS!$B$5:$B$1005="REGALO")*(MOVIMIENTOS!$C$5:$C$1005="C")*(MOVIMIENTOS!$D$5:$D$1005="jabas")*(MOVIMIENTOS!$A$5:$A$1005&lt;&gt;"")*(MOVIMIENTOS!$A$5:$A$1005&lt;=$A464)*MOVIMIENTOS!$E$5:$E$1005)-SUMPRODUCT((MOVIMIENTOS!$B$5:$B$1005="VENTA")*(MOVIMIENTOS!$C$5:$C$1005="C")*(MOVIMIENTOS!$D$5:$D$1005="jabas")*(MOVIMIENTOS!$A$5:$A$1005&lt;&gt;"")*(MOVIMIENTOS!$A$5:$A$1005&lt;=$A464)*MOVIMIENTOS!$E$5:$E$1005)+SUMPRODUCT((MOVIMIENTOS!$B$5:$B$1005="AJUSTE")*(MOVIMIENTOS!$C$5:$C$1005="C")*(MOVIMIENTOS!$D$5:$D$1005="jabas")*(MOVIMIENTOS!$A$5:$A$1005&lt;&gt;"")*(MOVIMIENTOS!$A$5:$A$1005&lt;=$A464)*MOVIMIENTOS!$E$5:$E$1005))</f>
        <v/>
      </c>
      <c r="E464" t="str">
        <f>IF($A464="","",SUMPRODUCT((MOVIMIENTOS!$B$5:$B$1005="SALDO INICIAL")*(MOVIMIENTOS!$C$5:$C$1005="M")*(MOVIMIENTOS!$D$5:$D$1005="jabas")*(MOVIMIENTOS!$A$5:$A$1005&lt;&gt;"")*(MOVIMIENTOS!$A$5:$A$1005&lt;=$A464)*MOVIMIENTOS!$E$5:$E$1005)+SUMPRODUCT((MOVIMIENTOS!$B$5:$B$1005="PROCESO")*(MOVIMIENTOS!$C$5:$C$1005="M")*(MOVIMIENTOS!$D$5:$D$1005="jabas")*(MOVIMIENTOS!$A$5:$A$1005&lt;&gt;"")*(MOVIMIENTOS!$A$5:$A$1005&lt;=$A464)*MOVIMIENTOS!$E$5:$E$1005)-SUMPRODUCT((MOVIMIENTOS!$B$5:$B$1005="ENVÍO A SUPESA")*(MOVIMIENTOS!$C$5:$C$1005="M")*(MOVIMIENTOS!$D$5:$D$1005="jabas")*(MOVIMIENTOS!$A$5:$A$1005&lt;&gt;"")*(MOVIMIENTOS!$A$5:$A$1005&lt;=$A464)*MOVIMIENTOS!$E$5:$E$1005)+SUMPRODUCT((MOVIMIENTOS!$B$5:$B$1005="DEVOLUCIÓN")*(MOVIMIENTOS!$C$5:$C$1005="M")*(MOVIMIENTOS!$D$5:$D$1005="jabas")*(MOVIMIENTOS!$A$5:$A$1005&lt;&gt;"")*(MOVIMIENTOS!$A$5:$A$1005&lt;=$A464)*MOVIMIENTOS!$E$5:$E$1005)-SUMPRODUCT((MOVIMIENTOS!$B$5:$B$1005="TRASIEGO")*(MOVIMIENTOS!$C$5:$C$1005="M")*(MOVIMIENTOS!$D$5:$D$1005="jabas")*(MOVIMIENTOS!$A$5:$A$1005&lt;&gt;"")*(MOVIMIENTOS!$A$5:$A$1005&lt;=$A464)*MOVIMIENTOS!$E$5:$E$1005)-SUMPRODUCT((MOVIMIENTOS!$B$5:$B$1005="REGALO")*(MOVIMIENTOS!$C$5:$C$1005="M")*(MOVIMIENTOS!$D$5:$D$1005="jabas")*(MOVIMIENTOS!$A$5:$A$1005&lt;&gt;"")*(MOVIMIENTOS!$A$5:$A$1005&lt;=$A464)*MOVIMIENTOS!$E$5:$E$1005)-SUMPRODUCT((MOVIMIENTOS!$B$5:$B$1005="VENTA")*(MOVIMIENTOS!$C$5:$C$1005="M")*(MOVIMIENTOS!$D$5:$D$1005="jabas")*(MOVIMIENTOS!$A$5:$A$1005&lt;&gt;"")*(MOVIMIENTOS!$A$5:$A$1005&lt;=$A464)*MOVIMIENTOS!$E$5:$E$1005)+SUMPRODUCT((MOVIMIENTOS!$B$5:$B$1005="AJUSTE")*(MOVIMIENTOS!$C$5:$C$1005="M")*(MOVIMIENTOS!$D$5:$D$1005="jabas")*(MOVIMIENTOS!$A$5:$A$1005&lt;&gt;"")*(MOVIMIENTOS!$A$5:$A$1005&lt;=$A464)*MOVIMIENTOS!$E$5:$E$1005))</f>
        <v/>
      </c>
      <c r="F464" s="62" t="str">
        <f>IF($A464="","",SUMPRODUCT((MOVIMIENTOS!$B$5:$B$1005="SALDO INICIAL")*(MOVIMIENTOS!$C$5:$C$1005="Chancho")*(MOVIMIENTOS!$D$5:$D$1005="sacos")*(MOVIMIENTOS!$A$5:$A$1005&lt;&gt;"")*(MOVIMIENTOS!$A$5:$A$1005&lt;=$A464)*MOVIMIENTOS!$E$5:$E$1005)+SUMPRODUCT((MOVIMIENTOS!$B$5:$B$1005="PROCESO")*(MOVIMIENTOS!$C$5:$C$1005="Chancho")*(MOVIMIENTOS!$D$5:$D$1005="sacos")*(MOVIMIENTOS!$A$5:$A$1005&lt;&gt;"")*(MOVIMIENTOS!$A$5:$A$1005&lt;=$A464)*MOVIMIENTOS!$E$5:$E$1005)-SUMPRODUCT((MOVIMIENTOS!$B$5:$B$1005="VENTA CHANCHO")*(MOVIMIENTOS!$C$5:$C$1005="Chancho")*(MOVIMIENTOS!$D$5:$D$1005="sacos")*(MOVIMIENTOS!$A$5:$A$1005&lt;&gt;"")*(MOVIMIENTOS!$A$5:$A$1005&lt;=$A464)*MOVIMIENTOS!$E$5:$E$1005)-SUMPRODUCT((MOVIMIENTOS!$B$5:$B$1005="REGALO")*(MOVIMIENTOS!$C$5:$C$1005="Chancho")*(MOVIMIENTOS!$D$5:$D$1005="sacos")*(MOVIMIENTOS!$A$5:$A$1005&lt;&gt;"")*(MOVIMIENTOS!$A$5:$A$1005&lt;=$A464)*MOVIMIENTOS!$E$5:$E$1005)-SUMPRODUCT((MOVIMIENTOS!$B$5:$B$1005="VENTA")*(MOVIMIENTOS!$C$5:$C$1005="Chancho")*(MOVIMIENTOS!$D$5:$D$1005="sacos")*(MOVIMIENTOS!$A$5:$A$1005&lt;&gt;"")*(MOVIMIENTOS!$A$5:$A$1005&lt;=$A464)*MOVIMIENTOS!$E$5:$E$1005)+SUMPRODUCT((MOVIMIENTOS!$B$5:$B$1005="AJUSTE")*(MOVIMIENTOS!$C$5:$C$1005="Chancho")*(MOVIMIENTOS!$D$5:$D$1005="sacos")*(MOVIMIENTOS!$A$5:$A$1005&lt;&gt;"")*(MOVIMIENTOS!$A$5:$A$1005&lt;=$A464)*MOVIMIENTOS!$E$5:$E$1005))</f>
        <v/>
      </c>
      <c r="G464" s="62" t="str">
        <f t="shared" si="15"/>
        <v/>
      </c>
      <c r="H464" t="str">
        <f>IF($A464="","",SUMPRODUCT((((MOVIMIENTOS!$B$5:$B$1005="SALDO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464)*MOVIMIENTOS!$J$5:$J$1005))</f>
        <v/>
      </c>
      <c r="J464" t="e">
        <f>IF(AND(MOVIMIENTOS!#REF!&lt;&gt;"",COUNTIF(MOVIMIENTOS!$A$5:$A468,MOVIMIENTOS!#REF!)=0),COUNT(J$4:J463)+1,"")</f>
        <v>#REF!</v>
      </c>
      <c r="K464" s="67" t="e">
        <f>MOVIMIENTOS!#REF!</f>
        <v>#REF!</v>
      </c>
    </row>
    <row r="465" spans="1:11" ht="15" customHeight="1" x14ac:dyDescent="0.2">
      <c r="A465" t="str">
        <f t="shared" si="14"/>
        <v/>
      </c>
      <c r="B465" t="str">
        <f>IF($A465="","",SUMPRODUCT((MOVIMIENTOS!$B$5:$B$1005="SALDO INICIAL")*(MOVIMIENTOS!$C$5:$C$1005="A")*(MOVIMIENTOS!$D$5:$D$1005="jabas")*(MOVIMIENTOS!$A$5:$A$1005&lt;&gt;"")*(MOVIMIENTOS!$A$5:$A$1005&lt;=$A465)*MOVIMIENTOS!$E$5:$E$1005)+SUMPRODUCT((MOVIMIENTOS!$B$5:$B$1005="PROCESO")*(MOVIMIENTOS!$C$5:$C$1005="A")*(MOVIMIENTOS!$D$5:$D$1005="jabas")*(MOVIMIENTOS!$A$5:$A$1005&lt;&gt;"")*(MOVIMIENTOS!$A$5:$A$1005&lt;=$A465)*MOVIMIENTOS!$E$5:$E$1005)-SUMPRODUCT((MOVIMIENTOS!$B$5:$B$1005="ENVÍO A SUPESA")*(MOVIMIENTOS!$C$5:$C$1005="A")*(MOVIMIENTOS!$D$5:$D$1005="jabas")*(MOVIMIENTOS!$A$5:$A$1005&lt;&gt;"")*(MOVIMIENTOS!$A$5:$A$1005&lt;=$A465)*MOVIMIENTOS!$E$5:$E$1005)+SUMPRODUCT((MOVIMIENTOS!$B$5:$B$1005="DEVOLUCIÓN")*(MOVIMIENTOS!$C$5:$C$1005="A")*(MOVIMIENTOS!$D$5:$D$1005="jabas")*(MOVIMIENTOS!$A$5:$A$1005&lt;&gt;"")*(MOVIMIENTOS!$A$5:$A$1005&lt;=$A465)*MOVIMIENTOS!$E$5:$E$1005)-SUMPRODUCT((MOVIMIENTOS!$B$5:$B$1005="TRASIEGO")*(MOVIMIENTOS!$C$5:$C$1005="A")*(MOVIMIENTOS!$D$5:$D$1005="jabas")*(MOVIMIENTOS!$A$5:$A$1005&lt;&gt;"")*(MOVIMIENTOS!$A$5:$A$1005&lt;=$A465)*MOVIMIENTOS!$E$5:$E$1005)-SUMPRODUCT((MOVIMIENTOS!$B$5:$B$1005="REGALO")*(MOVIMIENTOS!$C$5:$C$1005="A")*(MOVIMIENTOS!$D$5:$D$1005="jabas")*(MOVIMIENTOS!$A$5:$A$1005&lt;&gt;"")*(MOVIMIENTOS!$A$5:$A$1005&lt;=$A465)*MOVIMIENTOS!$E$5:$E$1005)-SUMPRODUCT((MOVIMIENTOS!$B$5:$B$1005="VENTA")*(MOVIMIENTOS!$C$5:$C$1005="A")*(MOVIMIENTOS!$D$5:$D$1005="jabas")*(MOVIMIENTOS!$A$5:$A$1005&lt;&gt;"")*(MOVIMIENTOS!$A$5:$A$1005&lt;=$A465)*MOVIMIENTOS!$E$5:$E$1005)+SUMPRODUCT((MOVIMIENTOS!$B$5:$B$1005="AJUSTE")*(MOVIMIENTOS!$C$5:$C$1005="A")*(MOVIMIENTOS!$D$5:$D$1005="jabas")*(MOVIMIENTOS!$A$5:$A$1005&lt;&gt;"")*(MOVIMIENTOS!$A$5:$A$1005&lt;=$A465)*MOVIMIENTOS!$E$5:$E$1005))</f>
        <v/>
      </c>
      <c r="C465" t="str">
        <f>IF($A465="","",SUMPRODUCT((MOVIMIENTOS!$B$5:$B$1005="SALDO INICIAL")*(MOVIMIENTOS!$C$5:$C$1005="P")*(MOVIMIENTOS!$D$5:$D$1005="jabas")*(MOVIMIENTOS!$A$5:$A$1005&lt;&gt;"")*(MOVIMIENTOS!$A$5:$A$1005&lt;=$A465)*MOVIMIENTOS!$E$5:$E$1005)+SUMPRODUCT((MOVIMIENTOS!$B$5:$B$1005="PROCESO")*(MOVIMIENTOS!$C$5:$C$1005="P")*(MOVIMIENTOS!$D$5:$D$1005="jabas")*(MOVIMIENTOS!$A$5:$A$1005&lt;&gt;"")*(MOVIMIENTOS!$A$5:$A$1005&lt;=$A465)*MOVIMIENTOS!$E$5:$E$1005)-SUMPRODUCT((MOVIMIENTOS!$B$5:$B$1005="ENVÍO A SUPESA")*(MOVIMIENTOS!$C$5:$C$1005="P")*(MOVIMIENTOS!$D$5:$D$1005="jabas")*(MOVIMIENTOS!$A$5:$A$1005&lt;&gt;"")*(MOVIMIENTOS!$A$5:$A$1005&lt;=$A465)*MOVIMIENTOS!$E$5:$E$1005)+SUMPRODUCT((MOVIMIENTOS!$B$5:$B$1005="DEVOLUCIÓN")*(MOVIMIENTOS!$C$5:$C$1005="P")*(MOVIMIENTOS!$D$5:$D$1005="jabas")*(MOVIMIENTOS!$A$5:$A$1005&lt;&gt;"")*(MOVIMIENTOS!$A$5:$A$1005&lt;=$A465)*MOVIMIENTOS!$E$5:$E$1005)-SUMPRODUCT((MOVIMIENTOS!$B$5:$B$1005="TRASIEGO")*(MOVIMIENTOS!$C$5:$C$1005="P")*(MOVIMIENTOS!$D$5:$D$1005="jabas")*(MOVIMIENTOS!$A$5:$A$1005&lt;&gt;"")*(MOVIMIENTOS!$A$5:$A$1005&lt;=$A465)*MOVIMIENTOS!$E$5:$E$1005)-SUMPRODUCT((MOVIMIENTOS!$B$5:$B$1005="REGALO")*(MOVIMIENTOS!$C$5:$C$1005="P")*(MOVIMIENTOS!$D$5:$D$1005="jabas")*(MOVIMIENTOS!$A$5:$A$1005&lt;&gt;"")*(MOVIMIENTOS!$A$5:$A$1005&lt;=$A465)*MOVIMIENTOS!$E$5:$E$1005)-SUMPRODUCT((MOVIMIENTOS!$B$5:$B$1005="VENTA")*(MOVIMIENTOS!$C$5:$C$1005="P")*(MOVIMIENTOS!$D$5:$D$1005="jabas")*(MOVIMIENTOS!$A$5:$A$1005&lt;&gt;"")*(MOVIMIENTOS!$A$5:$A$1005&lt;=$A465)*MOVIMIENTOS!$E$5:$E$1005)+SUMPRODUCT((MOVIMIENTOS!$B$5:$B$1005="AJUSTE")*(MOVIMIENTOS!$C$5:$C$1005="P")*(MOVIMIENTOS!$D$5:$D$1005="jabas")*(MOVIMIENTOS!$A$5:$A$1005&lt;&gt;"")*(MOVIMIENTOS!$A$5:$A$1005&lt;=$A465)*MOVIMIENTOS!$E$5:$E$1005))</f>
        <v/>
      </c>
      <c r="D465" t="str">
        <f>IF($A465="","",SUMPRODUCT((MOVIMIENTOS!$B$5:$B$1005="SALDO INICIAL")*(MOVIMIENTOS!$C$5:$C$1005="C")*(MOVIMIENTOS!$D$5:$D$1005="jabas")*(MOVIMIENTOS!$A$5:$A$1005&lt;&gt;"")*(MOVIMIENTOS!$A$5:$A$1005&lt;=$A465)*MOVIMIENTOS!$E$5:$E$1005)+SUMPRODUCT((MOVIMIENTOS!$B$5:$B$1005="PROCESO")*(MOVIMIENTOS!$C$5:$C$1005="C")*(MOVIMIENTOS!$D$5:$D$1005="jabas")*(MOVIMIENTOS!$A$5:$A$1005&lt;&gt;"")*(MOVIMIENTOS!$A$5:$A$1005&lt;=$A465)*MOVIMIENTOS!$E$5:$E$1005)-SUMPRODUCT((MOVIMIENTOS!$B$5:$B$1005="ENVÍO A SUPESA")*(MOVIMIENTOS!$C$5:$C$1005="C")*(MOVIMIENTOS!$D$5:$D$1005="jabas")*(MOVIMIENTOS!$A$5:$A$1005&lt;&gt;"")*(MOVIMIENTOS!$A$5:$A$1005&lt;=$A465)*MOVIMIENTOS!$E$5:$E$1005)+SUMPRODUCT((MOVIMIENTOS!$B$5:$B$1005="DEVOLUCIÓN")*(MOVIMIENTOS!$C$5:$C$1005="C")*(MOVIMIENTOS!$D$5:$D$1005="jabas")*(MOVIMIENTOS!$A$5:$A$1005&lt;&gt;"")*(MOVIMIENTOS!$A$5:$A$1005&lt;=$A465)*MOVIMIENTOS!$E$5:$E$1005)-SUMPRODUCT((MOVIMIENTOS!$B$5:$B$1005="TRASIEGO")*(MOVIMIENTOS!$C$5:$C$1005="C")*(MOVIMIENTOS!$D$5:$D$1005="jabas")*(MOVIMIENTOS!$A$5:$A$1005&lt;&gt;"")*(MOVIMIENTOS!$A$5:$A$1005&lt;=$A465)*MOVIMIENTOS!$E$5:$E$1005)-SUMPRODUCT((MOVIMIENTOS!$B$5:$B$1005="REGALO")*(MOVIMIENTOS!$C$5:$C$1005="C")*(MOVIMIENTOS!$D$5:$D$1005="jabas")*(MOVIMIENTOS!$A$5:$A$1005&lt;&gt;"")*(MOVIMIENTOS!$A$5:$A$1005&lt;=$A465)*MOVIMIENTOS!$E$5:$E$1005)-SUMPRODUCT((MOVIMIENTOS!$B$5:$B$1005="VENTA")*(MOVIMIENTOS!$C$5:$C$1005="C")*(MOVIMIENTOS!$D$5:$D$1005="jabas")*(MOVIMIENTOS!$A$5:$A$1005&lt;&gt;"")*(MOVIMIENTOS!$A$5:$A$1005&lt;=$A465)*MOVIMIENTOS!$E$5:$E$1005)+SUMPRODUCT((MOVIMIENTOS!$B$5:$B$1005="AJUSTE")*(MOVIMIENTOS!$C$5:$C$1005="C")*(MOVIMIENTOS!$D$5:$D$1005="jabas")*(MOVIMIENTOS!$A$5:$A$1005&lt;&gt;"")*(MOVIMIENTOS!$A$5:$A$1005&lt;=$A465)*MOVIMIENTOS!$E$5:$E$1005))</f>
        <v/>
      </c>
      <c r="E465" t="str">
        <f>IF($A465="","",SUMPRODUCT((MOVIMIENTOS!$B$5:$B$1005="SALDO INICIAL")*(MOVIMIENTOS!$C$5:$C$1005="M")*(MOVIMIENTOS!$D$5:$D$1005="jabas")*(MOVIMIENTOS!$A$5:$A$1005&lt;&gt;"")*(MOVIMIENTOS!$A$5:$A$1005&lt;=$A465)*MOVIMIENTOS!$E$5:$E$1005)+SUMPRODUCT((MOVIMIENTOS!$B$5:$B$1005="PROCESO")*(MOVIMIENTOS!$C$5:$C$1005="M")*(MOVIMIENTOS!$D$5:$D$1005="jabas")*(MOVIMIENTOS!$A$5:$A$1005&lt;&gt;"")*(MOVIMIENTOS!$A$5:$A$1005&lt;=$A465)*MOVIMIENTOS!$E$5:$E$1005)-SUMPRODUCT((MOVIMIENTOS!$B$5:$B$1005="ENVÍO A SUPESA")*(MOVIMIENTOS!$C$5:$C$1005="M")*(MOVIMIENTOS!$D$5:$D$1005="jabas")*(MOVIMIENTOS!$A$5:$A$1005&lt;&gt;"")*(MOVIMIENTOS!$A$5:$A$1005&lt;=$A465)*MOVIMIENTOS!$E$5:$E$1005)+SUMPRODUCT((MOVIMIENTOS!$B$5:$B$1005="DEVOLUCIÓN")*(MOVIMIENTOS!$C$5:$C$1005="M")*(MOVIMIENTOS!$D$5:$D$1005="jabas")*(MOVIMIENTOS!$A$5:$A$1005&lt;&gt;"")*(MOVIMIENTOS!$A$5:$A$1005&lt;=$A465)*MOVIMIENTOS!$E$5:$E$1005)-SUMPRODUCT((MOVIMIENTOS!$B$5:$B$1005="TRASIEGO")*(MOVIMIENTOS!$C$5:$C$1005="M")*(MOVIMIENTOS!$D$5:$D$1005="jabas")*(MOVIMIENTOS!$A$5:$A$1005&lt;&gt;"")*(MOVIMIENTOS!$A$5:$A$1005&lt;=$A465)*MOVIMIENTOS!$E$5:$E$1005)-SUMPRODUCT((MOVIMIENTOS!$B$5:$B$1005="REGALO")*(MOVIMIENTOS!$C$5:$C$1005="M")*(MOVIMIENTOS!$D$5:$D$1005="jabas")*(MOVIMIENTOS!$A$5:$A$1005&lt;&gt;"")*(MOVIMIENTOS!$A$5:$A$1005&lt;=$A465)*MOVIMIENTOS!$E$5:$E$1005)-SUMPRODUCT((MOVIMIENTOS!$B$5:$B$1005="VENTA")*(MOVIMIENTOS!$C$5:$C$1005="M")*(MOVIMIENTOS!$D$5:$D$1005="jabas")*(MOVIMIENTOS!$A$5:$A$1005&lt;&gt;"")*(MOVIMIENTOS!$A$5:$A$1005&lt;=$A465)*MOVIMIENTOS!$E$5:$E$1005)+SUMPRODUCT((MOVIMIENTOS!$B$5:$B$1005="AJUSTE")*(MOVIMIENTOS!$C$5:$C$1005="M")*(MOVIMIENTOS!$D$5:$D$1005="jabas")*(MOVIMIENTOS!$A$5:$A$1005&lt;&gt;"")*(MOVIMIENTOS!$A$5:$A$1005&lt;=$A465)*MOVIMIENTOS!$E$5:$E$1005))</f>
        <v/>
      </c>
      <c r="F465" s="62" t="str">
        <f>IF($A465="","",SUMPRODUCT((MOVIMIENTOS!$B$5:$B$1005="SALDO INICIAL")*(MOVIMIENTOS!$C$5:$C$1005="Chancho")*(MOVIMIENTOS!$D$5:$D$1005="sacos")*(MOVIMIENTOS!$A$5:$A$1005&lt;&gt;"")*(MOVIMIENTOS!$A$5:$A$1005&lt;=$A465)*MOVIMIENTOS!$E$5:$E$1005)+SUMPRODUCT((MOVIMIENTOS!$B$5:$B$1005="PROCESO")*(MOVIMIENTOS!$C$5:$C$1005="Chancho")*(MOVIMIENTOS!$D$5:$D$1005="sacos")*(MOVIMIENTOS!$A$5:$A$1005&lt;&gt;"")*(MOVIMIENTOS!$A$5:$A$1005&lt;=$A465)*MOVIMIENTOS!$E$5:$E$1005)-SUMPRODUCT((MOVIMIENTOS!$B$5:$B$1005="VENTA CHANCHO")*(MOVIMIENTOS!$C$5:$C$1005="Chancho")*(MOVIMIENTOS!$D$5:$D$1005="sacos")*(MOVIMIENTOS!$A$5:$A$1005&lt;&gt;"")*(MOVIMIENTOS!$A$5:$A$1005&lt;=$A465)*MOVIMIENTOS!$E$5:$E$1005)-SUMPRODUCT((MOVIMIENTOS!$B$5:$B$1005="REGALO")*(MOVIMIENTOS!$C$5:$C$1005="Chancho")*(MOVIMIENTOS!$D$5:$D$1005="sacos")*(MOVIMIENTOS!$A$5:$A$1005&lt;&gt;"")*(MOVIMIENTOS!$A$5:$A$1005&lt;=$A465)*MOVIMIENTOS!$E$5:$E$1005)-SUMPRODUCT((MOVIMIENTOS!$B$5:$B$1005="VENTA")*(MOVIMIENTOS!$C$5:$C$1005="Chancho")*(MOVIMIENTOS!$D$5:$D$1005="sacos")*(MOVIMIENTOS!$A$5:$A$1005&lt;&gt;"")*(MOVIMIENTOS!$A$5:$A$1005&lt;=$A465)*MOVIMIENTOS!$E$5:$E$1005)+SUMPRODUCT((MOVIMIENTOS!$B$5:$B$1005="AJUSTE")*(MOVIMIENTOS!$C$5:$C$1005="Chancho")*(MOVIMIENTOS!$D$5:$D$1005="sacos")*(MOVIMIENTOS!$A$5:$A$1005&lt;&gt;"")*(MOVIMIENTOS!$A$5:$A$1005&lt;=$A465)*MOVIMIENTOS!$E$5:$E$1005))</f>
        <v/>
      </c>
      <c r="G465" s="62" t="str">
        <f t="shared" si="15"/>
        <v/>
      </c>
      <c r="H465" t="str">
        <f>IF($A465="","",SUMPRODUCT((((MOVIMIENTOS!$B$5:$B$1005="SALDO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465)*MOVIMIENTOS!$J$5:$J$1005))</f>
        <v/>
      </c>
      <c r="J465" t="str">
        <f>IF(AND(MOVIMIENTOS!$A470&lt;&gt;"",COUNTIF(MOVIMIENTOS!$A$5:$A469,MOVIMIENTOS!$A470)=0),COUNT(J$4:J464)+1,"")</f>
        <v/>
      </c>
      <c r="K465" s="67">
        <f>MOVIMIENTOS!$A470</f>
        <v>0</v>
      </c>
    </row>
    <row r="466" spans="1:11" ht="15" customHeight="1" x14ac:dyDescent="0.2">
      <c r="A466" t="str">
        <f t="shared" si="14"/>
        <v/>
      </c>
      <c r="B466" t="str">
        <f>IF($A466="","",SUMPRODUCT((MOVIMIENTOS!$B$5:$B$1005="SALDO INICIAL")*(MOVIMIENTOS!$C$5:$C$1005="A")*(MOVIMIENTOS!$D$5:$D$1005="jabas")*(MOVIMIENTOS!$A$5:$A$1005&lt;&gt;"")*(MOVIMIENTOS!$A$5:$A$1005&lt;=$A466)*MOVIMIENTOS!$E$5:$E$1005)+SUMPRODUCT((MOVIMIENTOS!$B$5:$B$1005="PROCESO")*(MOVIMIENTOS!$C$5:$C$1005="A")*(MOVIMIENTOS!$D$5:$D$1005="jabas")*(MOVIMIENTOS!$A$5:$A$1005&lt;&gt;"")*(MOVIMIENTOS!$A$5:$A$1005&lt;=$A466)*MOVIMIENTOS!$E$5:$E$1005)-SUMPRODUCT((MOVIMIENTOS!$B$5:$B$1005="ENVÍO A SUPESA")*(MOVIMIENTOS!$C$5:$C$1005="A")*(MOVIMIENTOS!$D$5:$D$1005="jabas")*(MOVIMIENTOS!$A$5:$A$1005&lt;&gt;"")*(MOVIMIENTOS!$A$5:$A$1005&lt;=$A466)*MOVIMIENTOS!$E$5:$E$1005)+SUMPRODUCT((MOVIMIENTOS!$B$5:$B$1005="DEVOLUCIÓN")*(MOVIMIENTOS!$C$5:$C$1005="A")*(MOVIMIENTOS!$D$5:$D$1005="jabas")*(MOVIMIENTOS!$A$5:$A$1005&lt;&gt;"")*(MOVIMIENTOS!$A$5:$A$1005&lt;=$A466)*MOVIMIENTOS!$E$5:$E$1005)-SUMPRODUCT((MOVIMIENTOS!$B$5:$B$1005="TRASIEGO")*(MOVIMIENTOS!$C$5:$C$1005="A")*(MOVIMIENTOS!$D$5:$D$1005="jabas")*(MOVIMIENTOS!$A$5:$A$1005&lt;&gt;"")*(MOVIMIENTOS!$A$5:$A$1005&lt;=$A466)*MOVIMIENTOS!$E$5:$E$1005)-SUMPRODUCT((MOVIMIENTOS!$B$5:$B$1005="REGALO")*(MOVIMIENTOS!$C$5:$C$1005="A")*(MOVIMIENTOS!$D$5:$D$1005="jabas")*(MOVIMIENTOS!$A$5:$A$1005&lt;&gt;"")*(MOVIMIENTOS!$A$5:$A$1005&lt;=$A466)*MOVIMIENTOS!$E$5:$E$1005)-SUMPRODUCT((MOVIMIENTOS!$B$5:$B$1005="VENTA")*(MOVIMIENTOS!$C$5:$C$1005="A")*(MOVIMIENTOS!$D$5:$D$1005="jabas")*(MOVIMIENTOS!$A$5:$A$1005&lt;&gt;"")*(MOVIMIENTOS!$A$5:$A$1005&lt;=$A466)*MOVIMIENTOS!$E$5:$E$1005)+SUMPRODUCT((MOVIMIENTOS!$B$5:$B$1005="AJUSTE")*(MOVIMIENTOS!$C$5:$C$1005="A")*(MOVIMIENTOS!$D$5:$D$1005="jabas")*(MOVIMIENTOS!$A$5:$A$1005&lt;&gt;"")*(MOVIMIENTOS!$A$5:$A$1005&lt;=$A466)*MOVIMIENTOS!$E$5:$E$1005))</f>
        <v/>
      </c>
      <c r="C466" t="str">
        <f>IF($A466="","",SUMPRODUCT((MOVIMIENTOS!$B$5:$B$1005="SALDO INICIAL")*(MOVIMIENTOS!$C$5:$C$1005="P")*(MOVIMIENTOS!$D$5:$D$1005="jabas")*(MOVIMIENTOS!$A$5:$A$1005&lt;&gt;"")*(MOVIMIENTOS!$A$5:$A$1005&lt;=$A466)*MOVIMIENTOS!$E$5:$E$1005)+SUMPRODUCT((MOVIMIENTOS!$B$5:$B$1005="PROCESO")*(MOVIMIENTOS!$C$5:$C$1005="P")*(MOVIMIENTOS!$D$5:$D$1005="jabas")*(MOVIMIENTOS!$A$5:$A$1005&lt;&gt;"")*(MOVIMIENTOS!$A$5:$A$1005&lt;=$A466)*MOVIMIENTOS!$E$5:$E$1005)-SUMPRODUCT((MOVIMIENTOS!$B$5:$B$1005="ENVÍO A SUPESA")*(MOVIMIENTOS!$C$5:$C$1005="P")*(MOVIMIENTOS!$D$5:$D$1005="jabas")*(MOVIMIENTOS!$A$5:$A$1005&lt;&gt;"")*(MOVIMIENTOS!$A$5:$A$1005&lt;=$A466)*MOVIMIENTOS!$E$5:$E$1005)+SUMPRODUCT((MOVIMIENTOS!$B$5:$B$1005="DEVOLUCIÓN")*(MOVIMIENTOS!$C$5:$C$1005="P")*(MOVIMIENTOS!$D$5:$D$1005="jabas")*(MOVIMIENTOS!$A$5:$A$1005&lt;&gt;"")*(MOVIMIENTOS!$A$5:$A$1005&lt;=$A466)*MOVIMIENTOS!$E$5:$E$1005)-SUMPRODUCT((MOVIMIENTOS!$B$5:$B$1005="TRASIEGO")*(MOVIMIENTOS!$C$5:$C$1005="P")*(MOVIMIENTOS!$D$5:$D$1005="jabas")*(MOVIMIENTOS!$A$5:$A$1005&lt;&gt;"")*(MOVIMIENTOS!$A$5:$A$1005&lt;=$A466)*MOVIMIENTOS!$E$5:$E$1005)-SUMPRODUCT((MOVIMIENTOS!$B$5:$B$1005="REGALO")*(MOVIMIENTOS!$C$5:$C$1005="P")*(MOVIMIENTOS!$D$5:$D$1005="jabas")*(MOVIMIENTOS!$A$5:$A$1005&lt;&gt;"")*(MOVIMIENTOS!$A$5:$A$1005&lt;=$A466)*MOVIMIENTOS!$E$5:$E$1005)-SUMPRODUCT((MOVIMIENTOS!$B$5:$B$1005="VENTA")*(MOVIMIENTOS!$C$5:$C$1005="P")*(MOVIMIENTOS!$D$5:$D$1005="jabas")*(MOVIMIENTOS!$A$5:$A$1005&lt;&gt;"")*(MOVIMIENTOS!$A$5:$A$1005&lt;=$A466)*MOVIMIENTOS!$E$5:$E$1005)+SUMPRODUCT((MOVIMIENTOS!$B$5:$B$1005="AJUSTE")*(MOVIMIENTOS!$C$5:$C$1005="P")*(MOVIMIENTOS!$D$5:$D$1005="jabas")*(MOVIMIENTOS!$A$5:$A$1005&lt;&gt;"")*(MOVIMIENTOS!$A$5:$A$1005&lt;=$A466)*MOVIMIENTOS!$E$5:$E$1005))</f>
        <v/>
      </c>
      <c r="D466" t="str">
        <f>IF($A466="","",SUMPRODUCT((MOVIMIENTOS!$B$5:$B$1005="SALDO INICIAL")*(MOVIMIENTOS!$C$5:$C$1005="C")*(MOVIMIENTOS!$D$5:$D$1005="jabas")*(MOVIMIENTOS!$A$5:$A$1005&lt;&gt;"")*(MOVIMIENTOS!$A$5:$A$1005&lt;=$A466)*MOVIMIENTOS!$E$5:$E$1005)+SUMPRODUCT((MOVIMIENTOS!$B$5:$B$1005="PROCESO")*(MOVIMIENTOS!$C$5:$C$1005="C")*(MOVIMIENTOS!$D$5:$D$1005="jabas")*(MOVIMIENTOS!$A$5:$A$1005&lt;&gt;"")*(MOVIMIENTOS!$A$5:$A$1005&lt;=$A466)*MOVIMIENTOS!$E$5:$E$1005)-SUMPRODUCT((MOVIMIENTOS!$B$5:$B$1005="ENVÍO A SUPESA")*(MOVIMIENTOS!$C$5:$C$1005="C")*(MOVIMIENTOS!$D$5:$D$1005="jabas")*(MOVIMIENTOS!$A$5:$A$1005&lt;&gt;"")*(MOVIMIENTOS!$A$5:$A$1005&lt;=$A466)*MOVIMIENTOS!$E$5:$E$1005)+SUMPRODUCT((MOVIMIENTOS!$B$5:$B$1005="DEVOLUCIÓN")*(MOVIMIENTOS!$C$5:$C$1005="C")*(MOVIMIENTOS!$D$5:$D$1005="jabas")*(MOVIMIENTOS!$A$5:$A$1005&lt;&gt;"")*(MOVIMIENTOS!$A$5:$A$1005&lt;=$A466)*MOVIMIENTOS!$E$5:$E$1005)-SUMPRODUCT((MOVIMIENTOS!$B$5:$B$1005="TRASIEGO")*(MOVIMIENTOS!$C$5:$C$1005="C")*(MOVIMIENTOS!$D$5:$D$1005="jabas")*(MOVIMIENTOS!$A$5:$A$1005&lt;&gt;"")*(MOVIMIENTOS!$A$5:$A$1005&lt;=$A466)*MOVIMIENTOS!$E$5:$E$1005)-SUMPRODUCT((MOVIMIENTOS!$B$5:$B$1005="REGALO")*(MOVIMIENTOS!$C$5:$C$1005="C")*(MOVIMIENTOS!$D$5:$D$1005="jabas")*(MOVIMIENTOS!$A$5:$A$1005&lt;&gt;"")*(MOVIMIENTOS!$A$5:$A$1005&lt;=$A466)*MOVIMIENTOS!$E$5:$E$1005)-SUMPRODUCT((MOVIMIENTOS!$B$5:$B$1005="VENTA")*(MOVIMIENTOS!$C$5:$C$1005="C")*(MOVIMIENTOS!$D$5:$D$1005="jabas")*(MOVIMIENTOS!$A$5:$A$1005&lt;&gt;"")*(MOVIMIENTOS!$A$5:$A$1005&lt;=$A466)*MOVIMIENTOS!$E$5:$E$1005)+SUMPRODUCT((MOVIMIENTOS!$B$5:$B$1005="AJUSTE")*(MOVIMIENTOS!$C$5:$C$1005="C")*(MOVIMIENTOS!$D$5:$D$1005="jabas")*(MOVIMIENTOS!$A$5:$A$1005&lt;&gt;"")*(MOVIMIENTOS!$A$5:$A$1005&lt;=$A466)*MOVIMIENTOS!$E$5:$E$1005))</f>
        <v/>
      </c>
      <c r="E466" t="str">
        <f>IF($A466="","",SUMPRODUCT((MOVIMIENTOS!$B$5:$B$1005="SALDO INICIAL")*(MOVIMIENTOS!$C$5:$C$1005="M")*(MOVIMIENTOS!$D$5:$D$1005="jabas")*(MOVIMIENTOS!$A$5:$A$1005&lt;&gt;"")*(MOVIMIENTOS!$A$5:$A$1005&lt;=$A466)*MOVIMIENTOS!$E$5:$E$1005)+SUMPRODUCT((MOVIMIENTOS!$B$5:$B$1005="PROCESO")*(MOVIMIENTOS!$C$5:$C$1005="M")*(MOVIMIENTOS!$D$5:$D$1005="jabas")*(MOVIMIENTOS!$A$5:$A$1005&lt;&gt;"")*(MOVIMIENTOS!$A$5:$A$1005&lt;=$A466)*MOVIMIENTOS!$E$5:$E$1005)-SUMPRODUCT((MOVIMIENTOS!$B$5:$B$1005="ENVÍO A SUPESA")*(MOVIMIENTOS!$C$5:$C$1005="M")*(MOVIMIENTOS!$D$5:$D$1005="jabas")*(MOVIMIENTOS!$A$5:$A$1005&lt;&gt;"")*(MOVIMIENTOS!$A$5:$A$1005&lt;=$A466)*MOVIMIENTOS!$E$5:$E$1005)+SUMPRODUCT((MOVIMIENTOS!$B$5:$B$1005="DEVOLUCIÓN")*(MOVIMIENTOS!$C$5:$C$1005="M")*(MOVIMIENTOS!$D$5:$D$1005="jabas")*(MOVIMIENTOS!$A$5:$A$1005&lt;&gt;"")*(MOVIMIENTOS!$A$5:$A$1005&lt;=$A466)*MOVIMIENTOS!$E$5:$E$1005)-SUMPRODUCT((MOVIMIENTOS!$B$5:$B$1005="TRASIEGO")*(MOVIMIENTOS!$C$5:$C$1005="M")*(MOVIMIENTOS!$D$5:$D$1005="jabas")*(MOVIMIENTOS!$A$5:$A$1005&lt;&gt;"")*(MOVIMIENTOS!$A$5:$A$1005&lt;=$A466)*MOVIMIENTOS!$E$5:$E$1005)-SUMPRODUCT((MOVIMIENTOS!$B$5:$B$1005="REGALO")*(MOVIMIENTOS!$C$5:$C$1005="M")*(MOVIMIENTOS!$D$5:$D$1005="jabas")*(MOVIMIENTOS!$A$5:$A$1005&lt;&gt;"")*(MOVIMIENTOS!$A$5:$A$1005&lt;=$A466)*MOVIMIENTOS!$E$5:$E$1005)-SUMPRODUCT((MOVIMIENTOS!$B$5:$B$1005="VENTA")*(MOVIMIENTOS!$C$5:$C$1005="M")*(MOVIMIENTOS!$D$5:$D$1005="jabas")*(MOVIMIENTOS!$A$5:$A$1005&lt;&gt;"")*(MOVIMIENTOS!$A$5:$A$1005&lt;=$A466)*MOVIMIENTOS!$E$5:$E$1005)+SUMPRODUCT((MOVIMIENTOS!$B$5:$B$1005="AJUSTE")*(MOVIMIENTOS!$C$5:$C$1005="M")*(MOVIMIENTOS!$D$5:$D$1005="jabas")*(MOVIMIENTOS!$A$5:$A$1005&lt;&gt;"")*(MOVIMIENTOS!$A$5:$A$1005&lt;=$A466)*MOVIMIENTOS!$E$5:$E$1005))</f>
        <v/>
      </c>
      <c r="F466" s="62" t="str">
        <f>IF($A466="","",SUMPRODUCT((MOVIMIENTOS!$B$5:$B$1005="SALDO INICIAL")*(MOVIMIENTOS!$C$5:$C$1005="Chancho")*(MOVIMIENTOS!$D$5:$D$1005="sacos")*(MOVIMIENTOS!$A$5:$A$1005&lt;&gt;"")*(MOVIMIENTOS!$A$5:$A$1005&lt;=$A466)*MOVIMIENTOS!$E$5:$E$1005)+SUMPRODUCT((MOVIMIENTOS!$B$5:$B$1005="PROCESO")*(MOVIMIENTOS!$C$5:$C$1005="Chancho")*(MOVIMIENTOS!$D$5:$D$1005="sacos")*(MOVIMIENTOS!$A$5:$A$1005&lt;&gt;"")*(MOVIMIENTOS!$A$5:$A$1005&lt;=$A466)*MOVIMIENTOS!$E$5:$E$1005)-SUMPRODUCT((MOVIMIENTOS!$B$5:$B$1005="VENTA CHANCHO")*(MOVIMIENTOS!$C$5:$C$1005="Chancho")*(MOVIMIENTOS!$D$5:$D$1005="sacos")*(MOVIMIENTOS!$A$5:$A$1005&lt;&gt;"")*(MOVIMIENTOS!$A$5:$A$1005&lt;=$A466)*MOVIMIENTOS!$E$5:$E$1005)-SUMPRODUCT((MOVIMIENTOS!$B$5:$B$1005="REGALO")*(MOVIMIENTOS!$C$5:$C$1005="Chancho")*(MOVIMIENTOS!$D$5:$D$1005="sacos")*(MOVIMIENTOS!$A$5:$A$1005&lt;&gt;"")*(MOVIMIENTOS!$A$5:$A$1005&lt;=$A466)*MOVIMIENTOS!$E$5:$E$1005)-SUMPRODUCT((MOVIMIENTOS!$B$5:$B$1005="VENTA")*(MOVIMIENTOS!$C$5:$C$1005="Chancho")*(MOVIMIENTOS!$D$5:$D$1005="sacos")*(MOVIMIENTOS!$A$5:$A$1005&lt;&gt;"")*(MOVIMIENTOS!$A$5:$A$1005&lt;=$A466)*MOVIMIENTOS!$E$5:$E$1005)+SUMPRODUCT((MOVIMIENTOS!$B$5:$B$1005="AJUSTE")*(MOVIMIENTOS!$C$5:$C$1005="Chancho")*(MOVIMIENTOS!$D$5:$D$1005="sacos")*(MOVIMIENTOS!$A$5:$A$1005&lt;&gt;"")*(MOVIMIENTOS!$A$5:$A$1005&lt;=$A466)*MOVIMIENTOS!$E$5:$E$1005))</f>
        <v/>
      </c>
      <c r="G466" s="62" t="str">
        <f t="shared" si="15"/>
        <v/>
      </c>
      <c r="H466" t="str">
        <f>IF($A466="","",SUMPRODUCT((((MOVIMIENTOS!$B$5:$B$1005="SALDO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466)*MOVIMIENTOS!$J$5:$J$1005))</f>
        <v/>
      </c>
      <c r="J466" t="str">
        <f>IF(AND(MOVIMIENTOS!$A471&lt;&gt;"",COUNTIF(MOVIMIENTOS!$A$5:$A470,MOVIMIENTOS!$A471)=0),COUNT(J$4:J465)+1,"")</f>
        <v/>
      </c>
      <c r="K466" s="67">
        <f>MOVIMIENTOS!$A471</f>
        <v>0</v>
      </c>
    </row>
    <row r="467" spans="1:11" ht="15" customHeight="1" x14ac:dyDescent="0.2">
      <c r="A467" t="str">
        <f t="shared" si="14"/>
        <v/>
      </c>
      <c r="B467" t="str">
        <f>IF($A467="","",SUMPRODUCT((MOVIMIENTOS!$B$5:$B$1005="SALDO INICIAL")*(MOVIMIENTOS!$C$5:$C$1005="A")*(MOVIMIENTOS!$D$5:$D$1005="jabas")*(MOVIMIENTOS!$A$5:$A$1005&lt;&gt;"")*(MOVIMIENTOS!$A$5:$A$1005&lt;=$A467)*MOVIMIENTOS!$E$5:$E$1005)+SUMPRODUCT((MOVIMIENTOS!$B$5:$B$1005="PROCESO")*(MOVIMIENTOS!$C$5:$C$1005="A")*(MOVIMIENTOS!$D$5:$D$1005="jabas")*(MOVIMIENTOS!$A$5:$A$1005&lt;&gt;"")*(MOVIMIENTOS!$A$5:$A$1005&lt;=$A467)*MOVIMIENTOS!$E$5:$E$1005)-SUMPRODUCT((MOVIMIENTOS!$B$5:$B$1005="ENVÍO A SUPESA")*(MOVIMIENTOS!$C$5:$C$1005="A")*(MOVIMIENTOS!$D$5:$D$1005="jabas")*(MOVIMIENTOS!$A$5:$A$1005&lt;&gt;"")*(MOVIMIENTOS!$A$5:$A$1005&lt;=$A467)*MOVIMIENTOS!$E$5:$E$1005)+SUMPRODUCT((MOVIMIENTOS!$B$5:$B$1005="DEVOLUCIÓN")*(MOVIMIENTOS!$C$5:$C$1005="A")*(MOVIMIENTOS!$D$5:$D$1005="jabas")*(MOVIMIENTOS!$A$5:$A$1005&lt;&gt;"")*(MOVIMIENTOS!$A$5:$A$1005&lt;=$A467)*MOVIMIENTOS!$E$5:$E$1005)-SUMPRODUCT((MOVIMIENTOS!$B$5:$B$1005="TRASIEGO")*(MOVIMIENTOS!$C$5:$C$1005="A")*(MOVIMIENTOS!$D$5:$D$1005="jabas")*(MOVIMIENTOS!$A$5:$A$1005&lt;&gt;"")*(MOVIMIENTOS!$A$5:$A$1005&lt;=$A467)*MOVIMIENTOS!$E$5:$E$1005)-SUMPRODUCT((MOVIMIENTOS!$B$5:$B$1005="REGALO")*(MOVIMIENTOS!$C$5:$C$1005="A")*(MOVIMIENTOS!$D$5:$D$1005="jabas")*(MOVIMIENTOS!$A$5:$A$1005&lt;&gt;"")*(MOVIMIENTOS!$A$5:$A$1005&lt;=$A467)*MOVIMIENTOS!$E$5:$E$1005)-SUMPRODUCT((MOVIMIENTOS!$B$5:$B$1005="VENTA")*(MOVIMIENTOS!$C$5:$C$1005="A")*(MOVIMIENTOS!$D$5:$D$1005="jabas")*(MOVIMIENTOS!$A$5:$A$1005&lt;&gt;"")*(MOVIMIENTOS!$A$5:$A$1005&lt;=$A467)*MOVIMIENTOS!$E$5:$E$1005)+SUMPRODUCT((MOVIMIENTOS!$B$5:$B$1005="AJUSTE")*(MOVIMIENTOS!$C$5:$C$1005="A")*(MOVIMIENTOS!$D$5:$D$1005="jabas")*(MOVIMIENTOS!$A$5:$A$1005&lt;&gt;"")*(MOVIMIENTOS!$A$5:$A$1005&lt;=$A467)*MOVIMIENTOS!$E$5:$E$1005))</f>
        <v/>
      </c>
      <c r="C467" t="str">
        <f>IF($A467="","",SUMPRODUCT((MOVIMIENTOS!$B$5:$B$1005="SALDO INICIAL")*(MOVIMIENTOS!$C$5:$C$1005="P")*(MOVIMIENTOS!$D$5:$D$1005="jabas")*(MOVIMIENTOS!$A$5:$A$1005&lt;&gt;"")*(MOVIMIENTOS!$A$5:$A$1005&lt;=$A467)*MOVIMIENTOS!$E$5:$E$1005)+SUMPRODUCT((MOVIMIENTOS!$B$5:$B$1005="PROCESO")*(MOVIMIENTOS!$C$5:$C$1005="P")*(MOVIMIENTOS!$D$5:$D$1005="jabas")*(MOVIMIENTOS!$A$5:$A$1005&lt;&gt;"")*(MOVIMIENTOS!$A$5:$A$1005&lt;=$A467)*MOVIMIENTOS!$E$5:$E$1005)-SUMPRODUCT((MOVIMIENTOS!$B$5:$B$1005="ENVÍO A SUPESA")*(MOVIMIENTOS!$C$5:$C$1005="P")*(MOVIMIENTOS!$D$5:$D$1005="jabas")*(MOVIMIENTOS!$A$5:$A$1005&lt;&gt;"")*(MOVIMIENTOS!$A$5:$A$1005&lt;=$A467)*MOVIMIENTOS!$E$5:$E$1005)+SUMPRODUCT((MOVIMIENTOS!$B$5:$B$1005="DEVOLUCIÓN")*(MOVIMIENTOS!$C$5:$C$1005="P")*(MOVIMIENTOS!$D$5:$D$1005="jabas")*(MOVIMIENTOS!$A$5:$A$1005&lt;&gt;"")*(MOVIMIENTOS!$A$5:$A$1005&lt;=$A467)*MOVIMIENTOS!$E$5:$E$1005)-SUMPRODUCT((MOVIMIENTOS!$B$5:$B$1005="TRASIEGO")*(MOVIMIENTOS!$C$5:$C$1005="P")*(MOVIMIENTOS!$D$5:$D$1005="jabas")*(MOVIMIENTOS!$A$5:$A$1005&lt;&gt;"")*(MOVIMIENTOS!$A$5:$A$1005&lt;=$A467)*MOVIMIENTOS!$E$5:$E$1005)-SUMPRODUCT((MOVIMIENTOS!$B$5:$B$1005="REGALO")*(MOVIMIENTOS!$C$5:$C$1005="P")*(MOVIMIENTOS!$D$5:$D$1005="jabas")*(MOVIMIENTOS!$A$5:$A$1005&lt;&gt;"")*(MOVIMIENTOS!$A$5:$A$1005&lt;=$A467)*MOVIMIENTOS!$E$5:$E$1005)-SUMPRODUCT((MOVIMIENTOS!$B$5:$B$1005="VENTA")*(MOVIMIENTOS!$C$5:$C$1005="P")*(MOVIMIENTOS!$D$5:$D$1005="jabas")*(MOVIMIENTOS!$A$5:$A$1005&lt;&gt;"")*(MOVIMIENTOS!$A$5:$A$1005&lt;=$A467)*MOVIMIENTOS!$E$5:$E$1005)+SUMPRODUCT((MOVIMIENTOS!$B$5:$B$1005="AJUSTE")*(MOVIMIENTOS!$C$5:$C$1005="P")*(MOVIMIENTOS!$D$5:$D$1005="jabas")*(MOVIMIENTOS!$A$5:$A$1005&lt;&gt;"")*(MOVIMIENTOS!$A$5:$A$1005&lt;=$A467)*MOVIMIENTOS!$E$5:$E$1005))</f>
        <v/>
      </c>
      <c r="D467" t="str">
        <f>IF($A467="","",SUMPRODUCT((MOVIMIENTOS!$B$5:$B$1005="SALDO INICIAL")*(MOVIMIENTOS!$C$5:$C$1005="C")*(MOVIMIENTOS!$D$5:$D$1005="jabas")*(MOVIMIENTOS!$A$5:$A$1005&lt;&gt;"")*(MOVIMIENTOS!$A$5:$A$1005&lt;=$A467)*MOVIMIENTOS!$E$5:$E$1005)+SUMPRODUCT((MOVIMIENTOS!$B$5:$B$1005="PROCESO")*(MOVIMIENTOS!$C$5:$C$1005="C")*(MOVIMIENTOS!$D$5:$D$1005="jabas")*(MOVIMIENTOS!$A$5:$A$1005&lt;&gt;"")*(MOVIMIENTOS!$A$5:$A$1005&lt;=$A467)*MOVIMIENTOS!$E$5:$E$1005)-SUMPRODUCT((MOVIMIENTOS!$B$5:$B$1005="ENVÍO A SUPESA")*(MOVIMIENTOS!$C$5:$C$1005="C")*(MOVIMIENTOS!$D$5:$D$1005="jabas")*(MOVIMIENTOS!$A$5:$A$1005&lt;&gt;"")*(MOVIMIENTOS!$A$5:$A$1005&lt;=$A467)*MOVIMIENTOS!$E$5:$E$1005)+SUMPRODUCT((MOVIMIENTOS!$B$5:$B$1005="DEVOLUCIÓN")*(MOVIMIENTOS!$C$5:$C$1005="C")*(MOVIMIENTOS!$D$5:$D$1005="jabas")*(MOVIMIENTOS!$A$5:$A$1005&lt;&gt;"")*(MOVIMIENTOS!$A$5:$A$1005&lt;=$A467)*MOVIMIENTOS!$E$5:$E$1005)-SUMPRODUCT((MOVIMIENTOS!$B$5:$B$1005="TRASIEGO")*(MOVIMIENTOS!$C$5:$C$1005="C")*(MOVIMIENTOS!$D$5:$D$1005="jabas")*(MOVIMIENTOS!$A$5:$A$1005&lt;&gt;"")*(MOVIMIENTOS!$A$5:$A$1005&lt;=$A467)*MOVIMIENTOS!$E$5:$E$1005)-SUMPRODUCT((MOVIMIENTOS!$B$5:$B$1005="REGALO")*(MOVIMIENTOS!$C$5:$C$1005="C")*(MOVIMIENTOS!$D$5:$D$1005="jabas")*(MOVIMIENTOS!$A$5:$A$1005&lt;&gt;"")*(MOVIMIENTOS!$A$5:$A$1005&lt;=$A467)*MOVIMIENTOS!$E$5:$E$1005)-SUMPRODUCT((MOVIMIENTOS!$B$5:$B$1005="VENTA")*(MOVIMIENTOS!$C$5:$C$1005="C")*(MOVIMIENTOS!$D$5:$D$1005="jabas")*(MOVIMIENTOS!$A$5:$A$1005&lt;&gt;"")*(MOVIMIENTOS!$A$5:$A$1005&lt;=$A467)*MOVIMIENTOS!$E$5:$E$1005)+SUMPRODUCT((MOVIMIENTOS!$B$5:$B$1005="AJUSTE")*(MOVIMIENTOS!$C$5:$C$1005="C")*(MOVIMIENTOS!$D$5:$D$1005="jabas")*(MOVIMIENTOS!$A$5:$A$1005&lt;&gt;"")*(MOVIMIENTOS!$A$5:$A$1005&lt;=$A467)*MOVIMIENTOS!$E$5:$E$1005))</f>
        <v/>
      </c>
      <c r="E467" t="str">
        <f>IF($A467="","",SUMPRODUCT((MOVIMIENTOS!$B$5:$B$1005="SALDO INICIAL")*(MOVIMIENTOS!$C$5:$C$1005="M")*(MOVIMIENTOS!$D$5:$D$1005="jabas")*(MOVIMIENTOS!$A$5:$A$1005&lt;&gt;"")*(MOVIMIENTOS!$A$5:$A$1005&lt;=$A467)*MOVIMIENTOS!$E$5:$E$1005)+SUMPRODUCT((MOVIMIENTOS!$B$5:$B$1005="PROCESO")*(MOVIMIENTOS!$C$5:$C$1005="M")*(MOVIMIENTOS!$D$5:$D$1005="jabas")*(MOVIMIENTOS!$A$5:$A$1005&lt;&gt;"")*(MOVIMIENTOS!$A$5:$A$1005&lt;=$A467)*MOVIMIENTOS!$E$5:$E$1005)-SUMPRODUCT((MOVIMIENTOS!$B$5:$B$1005="ENVÍO A SUPESA")*(MOVIMIENTOS!$C$5:$C$1005="M")*(MOVIMIENTOS!$D$5:$D$1005="jabas")*(MOVIMIENTOS!$A$5:$A$1005&lt;&gt;"")*(MOVIMIENTOS!$A$5:$A$1005&lt;=$A467)*MOVIMIENTOS!$E$5:$E$1005)+SUMPRODUCT((MOVIMIENTOS!$B$5:$B$1005="DEVOLUCIÓN")*(MOVIMIENTOS!$C$5:$C$1005="M")*(MOVIMIENTOS!$D$5:$D$1005="jabas")*(MOVIMIENTOS!$A$5:$A$1005&lt;&gt;"")*(MOVIMIENTOS!$A$5:$A$1005&lt;=$A467)*MOVIMIENTOS!$E$5:$E$1005)-SUMPRODUCT((MOVIMIENTOS!$B$5:$B$1005="TRASIEGO")*(MOVIMIENTOS!$C$5:$C$1005="M")*(MOVIMIENTOS!$D$5:$D$1005="jabas")*(MOVIMIENTOS!$A$5:$A$1005&lt;&gt;"")*(MOVIMIENTOS!$A$5:$A$1005&lt;=$A467)*MOVIMIENTOS!$E$5:$E$1005)-SUMPRODUCT((MOVIMIENTOS!$B$5:$B$1005="REGALO")*(MOVIMIENTOS!$C$5:$C$1005="M")*(MOVIMIENTOS!$D$5:$D$1005="jabas")*(MOVIMIENTOS!$A$5:$A$1005&lt;&gt;"")*(MOVIMIENTOS!$A$5:$A$1005&lt;=$A467)*MOVIMIENTOS!$E$5:$E$1005)-SUMPRODUCT((MOVIMIENTOS!$B$5:$B$1005="VENTA")*(MOVIMIENTOS!$C$5:$C$1005="M")*(MOVIMIENTOS!$D$5:$D$1005="jabas")*(MOVIMIENTOS!$A$5:$A$1005&lt;&gt;"")*(MOVIMIENTOS!$A$5:$A$1005&lt;=$A467)*MOVIMIENTOS!$E$5:$E$1005)+SUMPRODUCT((MOVIMIENTOS!$B$5:$B$1005="AJUSTE")*(MOVIMIENTOS!$C$5:$C$1005="M")*(MOVIMIENTOS!$D$5:$D$1005="jabas")*(MOVIMIENTOS!$A$5:$A$1005&lt;&gt;"")*(MOVIMIENTOS!$A$5:$A$1005&lt;=$A467)*MOVIMIENTOS!$E$5:$E$1005))</f>
        <v/>
      </c>
      <c r="F467" s="62" t="str">
        <f>IF($A467="","",SUMPRODUCT((MOVIMIENTOS!$B$5:$B$1005="SALDO INICIAL")*(MOVIMIENTOS!$C$5:$C$1005="Chancho")*(MOVIMIENTOS!$D$5:$D$1005="sacos")*(MOVIMIENTOS!$A$5:$A$1005&lt;&gt;"")*(MOVIMIENTOS!$A$5:$A$1005&lt;=$A467)*MOVIMIENTOS!$E$5:$E$1005)+SUMPRODUCT((MOVIMIENTOS!$B$5:$B$1005="PROCESO")*(MOVIMIENTOS!$C$5:$C$1005="Chancho")*(MOVIMIENTOS!$D$5:$D$1005="sacos")*(MOVIMIENTOS!$A$5:$A$1005&lt;&gt;"")*(MOVIMIENTOS!$A$5:$A$1005&lt;=$A467)*MOVIMIENTOS!$E$5:$E$1005)-SUMPRODUCT((MOVIMIENTOS!$B$5:$B$1005="VENTA CHANCHO")*(MOVIMIENTOS!$C$5:$C$1005="Chancho")*(MOVIMIENTOS!$D$5:$D$1005="sacos")*(MOVIMIENTOS!$A$5:$A$1005&lt;&gt;"")*(MOVIMIENTOS!$A$5:$A$1005&lt;=$A467)*MOVIMIENTOS!$E$5:$E$1005)-SUMPRODUCT((MOVIMIENTOS!$B$5:$B$1005="REGALO")*(MOVIMIENTOS!$C$5:$C$1005="Chancho")*(MOVIMIENTOS!$D$5:$D$1005="sacos")*(MOVIMIENTOS!$A$5:$A$1005&lt;&gt;"")*(MOVIMIENTOS!$A$5:$A$1005&lt;=$A467)*MOVIMIENTOS!$E$5:$E$1005)-SUMPRODUCT((MOVIMIENTOS!$B$5:$B$1005="VENTA")*(MOVIMIENTOS!$C$5:$C$1005="Chancho")*(MOVIMIENTOS!$D$5:$D$1005="sacos")*(MOVIMIENTOS!$A$5:$A$1005&lt;&gt;"")*(MOVIMIENTOS!$A$5:$A$1005&lt;=$A467)*MOVIMIENTOS!$E$5:$E$1005)+SUMPRODUCT((MOVIMIENTOS!$B$5:$B$1005="AJUSTE")*(MOVIMIENTOS!$C$5:$C$1005="Chancho")*(MOVIMIENTOS!$D$5:$D$1005="sacos")*(MOVIMIENTOS!$A$5:$A$1005&lt;&gt;"")*(MOVIMIENTOS!$A$5:$A$1005&lt;=$A467)*MOVIMIENTOS!$E$5:$E$1005))</f>
        <v/>
      </c>
      <c r="G467" s="62" t="str">
        <f t="shared" si="15"/>
        <v/>
      </c>
      <c r="H467" t="str">
        <f>IF($A467="","",SUMPRODUCT((((MOVIMIENTOS!$B$5:$B$1005="SALDO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467)*MOVIMIENTOS!$J$5:$J$1005))</f>
        <v/>
      </c>
      <c r="J467" t="str">
        <f>IF(AND(MOVIMIENTOS!$A472&lt;&gt;"",COUNTIF(MOVIMIENTOS!$A$5:$A471,MOVIMIENTOS!$A472)=0),COUNT(J$4:J466)+1,"")</f>
        <v/>
      </c>
      <c r="K467" s="67">
        <f>MOVIMIENTOS!$A472</f>
        <v>0</v>
      </c>
    </row>
    <row r="468" spans="1:11" ht="15" customHeight="1" x14ac:dyDescent="0.2">
      <c r="A468" t="str">
        <f t="shared" si="14"/>
        <v/>
      </c>
      <c r="B468" t="str">
        <f>IF($A468="","",SUMPRODUCT((MOVIMIENTOS!$B$5:$B$1005="SALDO INICIAL")*(MOVIMIENTOS!$C$5:$C$1005="A")*(MOVIMIENTOS!$D$5:$D$1005="jabas")*(MOVIMIENTOS!$A$5:$A$1005&lt;&gt;"")*(MOVIMIENTOS!$A$5:$A$1005&lt;=$A468)*MOVIMIENTOS!$E$5:$E$1005)+SUMPRODUCT((MOVIMIENTOS!$B$5:$B$1005="PROCESO")*(MOVIMIENTOS!$C$5:$C$1005="A")*(MOVIMIENTOS!$D$5:$D$1005="jabas")*(MOVIMIENTOS!$A$5:$A$1005&lt;&gt;"")*(MOVIMIENTOS!$A$5:$A$1005&lt;=$A468)*MOVIMIENTOS!$E$5:$E$1005)-SUMPRODUCT((MOVIMIENTOS!$B$5:$B$1005="ENVÍO A SUPESA")*(MOVIMIENTOS!$C$5:$C$1005="A")*(MOVIMIENTOS!$D$5:$D$1005="jabas")*(MOVIMIENTOS!$A$5:$A$1005&lt;&gt;"")*(MOVIMIENTOS!$A$5:$A$1005&lt;=$A468)*MOVIMIENTOS!$E$5:$E$1005)+SUMPRODUCT((MOVIMIENTOS!$B$5:$B$1005="DEVOLUCIÓN")*(MOVIMIENTOS!$C$5:$C$1005="A")*(MOVIMIENTOS!$D$5:$D$1005="jabas")*(MOVIMIENTOS!$A$5:$A$1005&lt;&gt;"")*(MOVIMIENTOS!$A$5:$A$1005&lt;=$A468)*MOVIMIENTOS!$E$5:$E$1005)-SUMPRODUCT((MOVIMIENTOS!$B$5:$B$1005="TRASIEGO")*(MOVIMIENTOS!$C$5:$C$1005="A")*(MOVIMIENTOS!$D$5:$D$1005="jabas")*(MOVIMIENTOS!$A$5:$A$1005&lt;&gt;"")*(MOVIMIENTOS!$A$5:$A$1005&lt;=$A468)*MOVIMIENTOS!$E$5:$E$1005)-SUMPRODUCT((MOVIMIENTOS!$B$5:$B$1005="REGALO")*(MOVIMIENTOS!$C$5:$C$1005="A")*(MOVIMIENTOS!$D$5:$D$1005="jabas")*(MOVIMIENTOS!$A$5:$A$1005&lt;&gt;"")*(MOVIMIENTOS!$A$5:$A$1005&lt;=$A468)*MOVIMIENTOS!$E$5:$E$1005)-SUMPRODUCT((MOVIMIENTOS!$B$5:$B$1005="VENTA")*(MOVIMIENTOS!$C$5:$C$1005="A")*(MOVIMIENTOS!$D$5:$D$1005="jabas")*(MOVIMIENTOS!$A$5:$A$1005&lt;&gt;"")*(MOVIMIENTOS!$A$5:$A$1005&lt;=$A468)*MOVIMIENTOS!$E$5:$E$1005)+SUMPRODUCT((MOVIMIENTOS!$B$5:$B$1005="AJUSTE")*(MOVIMIENTOS!$C$5:$C$1005="A")*(MOVIMIENTOS!$D$5:$D$1005="jabas")*(MOVIMIENTOS!$A$5:$A$1005&lt;&gt;"")*(MOVIMIENTOS!$A$5:$A$1005&lt;=$A468)*MOVIMIENTOS!$E$5:$E$1005))</f>
        <v/>
      </c>
      <c r="C468" t="str">
        <f>IF($A468="","",SUMPRODUCT((MOVIMIENTOS!$B$5:$B$1005="SALDO INICIAL")*(MOVIMIENTOS!$C$5:$C$1005="P")*(MOVIMIENTOS!$D$5:$D$1005="jabas")*(MOVIMIENTOS!$A$5:$A$1005&lt;&gt;"")*(MOVIMIENTOS!$A$5:$A$1005&lt;=$A468)*MOVIMIENTOS!$E$5:$E$1005)+SUMPRODUCT((MOVIMIENTOS!$B$5:$B$1005="PROCESO")*(MOVIMIENTOS!$C$5:$C$1005="P")*(MOVIMIENTOS!$D$5:$D$1005="jabas")*(MOVIMIENTOS!$A$5:$A$1005&lt;&gt;"")*(MOVIMIENTOS!$A$5:$A$1005&lt;=$A468)*MOVIMIENTOS!$E$5:$E$1005)-SUMPRODUCT((MOVIMIENTOS!$B$5:$B$1005="ENVÍO A SUPESA")*(MOVIMIENTOS!$C$5:$C$1005="P")*(MOVIMIENTOS!$D$5:$D$1005="jabas")*(MOVIMIENTOS!$A$5:$A$1005&lt;&gt;"")*(MOVIMIENTOS!$A$5:$A$1005&lt;=$A468)*MOVIMIENTOS!$E$5:$E$1005)+SUMPRODUCT((MOVIMIENTOS!$B$5:$B$1005="DEVOLUCIÓN")*(MOVIMIENTOS!$C$5:$C$1005="P")*(MOVIMIENTOS!$D$5:$D$1005="jabas")*(MOVIMIENTOS!$A$5:$A$1005&lt;&gt;"")*(MOVIMIENTOS!$A$5:$A$1005&lt;=$A468)*MOVIMIENTOS!$E$5:$E$1005)-SUMPRODUCT((MOVIMIENTOS!$B$5:$B$1005="TRASIEGO")*(MOVIMIENTOS!$C$5:$C$1005="P")*(MOVIMIENTOS!$D$5:$D$1005="jabas")*(MOVIMIENTOS!$A$5:$A$1005&lt;&gt;"")*(MOVIMIENTOS!$A$5:$A$1005&lt;=$A468)*MOVIMIENTOS!$E$5:$E$1005)-SUMPRODUCT((MOVIMIENTOS!$B$5:$B$1005="REGALO")*(MOVIMIENTOS!$C$5:$C$1005="P")*(MOVIMIENTOS!$D$5:$D$1005="jabas")*(MOVIMIENTOS!$A$5:$A$1005&lt;&gt;"")*(MOVIMIENTOS!$A$5:$A$1005&lt;=$A468)*MOVIMIENTOS!$E$5:$E$1005)-SUMPRODUCT((MOVIMIENTOS!$B$5:$B$1005="VENTA")*(MOVIMIENTOS!$C$5:$C$1005="P")*(MOVIMIENTOS!$D$5:$D$1005="jabas")*(MOVIMIENTOS!$A$5:$A$1005&lt;&gt;"")*(MOVIMIENTOS!$A$5:$A$1005&lt;=$A468)*MOVIMIENTOS!$E$5:$E$1005)+SUMPRODUCT((MOVIMIENTOS!$B$5:$B$1005="AJUSTE")*(MOVIMIENTOS!$C$5:$C$1005="P")*(MOVIMIENTOS!$D$5:$D$1005="jabas")*(MOVIMIENTOS!$A$5:$A$1005&lt;&gt;"")*(MOVIMIENTOS!$A$5:$A$1005&lt;=$A468)*MOVIMIENTOS!$E$5:$E$1005))</f>
        <v/>
      </c>
      <c r="D468" t="str">
        <f>IF($A468="","",SUMPRODUCT((MOVIMIENTOS!$B$5:$B$1005="SALDO INICIAL")*(MOVIMIENTOS!$C$5:$C$1005="C")*(MOVIMIENTOS!$D$5:$D$1005="jabas")*(MOVIMIENTOS!$A$5:$A$1005&lt;&gt;"")*(MOVIMIENTOS!$A$5:$A$1005&lt;=$A468)*MOVIMIENTOS!$E$5:$E$1005)+SUMPRODUCT((MOVIMIENTOS!$B$5:$B$1005="PROCESO")*(MOVIMIENTOS!$C$5:$C$1005="C")*(MOVIMIENTOS!$D$5:$D$1005="jabas")*(MOVIMIENTOS!$A$5:$A$1005&lt;&gt;"")*(MOVIMIENTOS!$A$5:$A$1005&lt;=$A468)*MOVIMIENTOS!$E$5:$E$1005)-SUMPRODUCT((MOVIMIENTOS!$B$5:$B$1005="ENVÍO A SUPESA")*(MOVIMIENTOS!$C$5:$C$1005="C")*(MOVIMIENTOS!$D$5:$D$1005="jabas")*(MOVIMIENTOS!$A$5:$A$1005&lt;&gt;"")*(MOVIMIENTOS!$A$5:$A$1005&lt;=$A468)*MOVIMIENTOS!$E$5:$E$1005)+SUMPRODUCT((MOVIMIENTOS!$B$5:$B$1005="DEVOLUCIÓN")*(MOVIMIENTOS!$C$5:$C$1005="C")*(MOVIMIENTOS!$D$5:$D$1005="jabas")*(MOVIMIENTOS!$A$5:$A$1005&lt;&gt;"")*(MOVIMIENTOS!$A$5:$A$1005&lt;=$A468)*MOVIMIENTOS!$E$5:$E$1005)-SUMPRODUCT((MOVIMIENTOS!$B$5:$B$1005="TRASIEGO")*(MOVIMIENTOS!$C$5:$C$1005="C")*(MOVIMIENTOS!$D$5:$D$1005="jabas")*(MOVIMIENTOS!$A$5:$A$1005&lt;&gt;"")*(MOVIMIENTOS!$A$5:$A$1005&lt;=$A468)*MOVIMIENTOS!$E$5:$E$1005)-SUMPRODUCT((MOVIMIENTOS!$B$5:$B$1005="REGALO")*(MOVIMIENTOS!$C$5:$C$1005="C")*(MOVIMIENTOS!$D$5:$D$1005="jabas")*(MOVIMIENTOS!$A$5:$A$1005&lt;&gt;"")*(MOVIMIENTOS!$A$5:$A$1005&lt;=$A468)*MOVIMIENTOS!$E$5:$E$1005)-SUMPRODUCT((MOVIMIENTOS!$B$5:$B$1005="VENTA")*(MOVIMIENTOS!$C$5:$C$1005="C")*(MOVIMIENTOS!$D$5:$D$1005="jabas")*(MOVIMIENTOS!$A$5:$A$1005&lt;&gt;"")*(MOVIMIENTOS!$A$5:$A$1005&lt;=$A468)*MOVIMIENTOS!$E$5:$E$1005)+SUMPRODUCT((MOVIMIENTOS!$B$5:$B$1005="AJUSTE")*(MOVIMIENTOS!$C$5:$C$1005="C")*(MOVIMIENTOS!$D$5:$D$1005="jabas")*(MOVIMIENTOS!$A$5:$A$1005&lt;&gt;"")*(MOVIMIENTOS!$A$5:$A$1005&lt;=$A468)*MOVIMIENTOS!$E$5:$E$1005))</f>
        <v/>
      </c>
      <c r="E468" t="str">
        <f>IF($A468="","",SUMPRODUCT((MOVIMIENTOS!$B$5:$B$1005="SALDO INICIAL")*(MOVIMIENTOS!$C$5:$C$1005="M")*(MOVIMIENTOS!$D$5:$D$1005="jabas")*(MOVIMIENTOS!$A$5:$A$1005&lt;&gt;"")*(MOVIMIENTOS!$A$5:$A$1005&lt;=$A468)*MOVIMIENTOS!$E$5:$E$1005)+SUMPRODUCT((MOVIMIENTOS!$B$5:$B$1005="PROCESO")*(MOVIMIENTOS!$C$5:$C$1005="M")*(MOVIMIENTOS!$D$5:$D$1005="jabas")*(MOVIMIENTOS!$A$5:$A$1005&lt;&gt;"")*(MOVIMIENTOS!$A$5:$A$1005&lt;=$A468)*MOVIMIENTOS!$E$5:$E$1005)-SUMPRODUCT((MOVIMIENTOS!$B$5:$B$1005="ENVÍO A SUPESA")*(MOVIMIENTOS!$C$5:$C$1005="M")*(MOVIMIENTOS!$D$5:$D$1005="jabas")*(MOVIMIENTOS!$A$5:$A$1005&lt;&gt;"")*(MOVIMIENTOS!$A$5:$A$1005&lt;=$A468)*MOVIMIENTOS!$E$5:$E$1005)+SUMPRODUCT((MOVIMIENTOS!$B$5:$B$1005="DEVOLUCIÓN")*(MOVIMIENTOS!$C$5:$C$1005="M")*(MOVIMIENTOS!$D$5:$D$1005="jabas")*(MOVIMIENTOS!$A$5:$A$1005&lt;&gt;"")*(MOVIMIENTOS!$A$5:$A$1005&lt;=$A468)*MOVIMIENTOS!$E$5:$E$1005)-SUMPRODUCT((MOVIMIENTOS!$B$5:$B$1005="TRASIEGO")*(MOVIMIENTOS!$C$5:$C$1005="M")*(MOVIMIENTOS!$D$5:$D$1005="jabas")*(MOVIMIENTOS!$A$5:$A$1005&lt;&gt;"")*(MOVIMIENTOS!$A$5:$A$1005&lt;=$A468)*MOVIMIENTOS!$E$5:$E$1005)-SUMPRODUCT((MOVIMIENTOS!$B$5:$B$1005="REGALO")*(MOVIMIENTOS!$C$5:$C$1005="M")*(MOVIMIENTOS!$D$5:$D$1005="jabas")*(MOVIMIENTOS!$A$5:$A$1005&lt;&gt;"")*(MOVIMIENTOS!$A$5:$A$1005&lt;=$A468)*MOVIMIENTOS!$E$5:$E$1005)-SUMPRODUCT((MOVIMIENTOS!$B$5:$B$1005="VENTA")*(MOVIMIENTOS!$C$5:$C$1005="M")*(MOVIMIENTOS!$D$5:$D$1005="jabas")*(MOVIMIENTOS!$A$5:$A$1005&lt;&gt;"")*(MOVIMIENTOS!$A$5:$A$1005&lt;=$A468)*MOVIMIENTOS!$E$5:$E$1005)+SUMPRODUCT((MOVIMIENTOS!$B$5:$B$1005="AJUSTE")*(MOVIMIENTOS!$C$5:$C$1005="M")*(MOVIMIENTOS!$D$5:$D$1005="jabas")*(MOVIMIENTOS!$A$5:$A$1005&lt;&gt;"")*(MOVIMIENTOS!$A$5:$A$1005&lt;=$A468)*MOVIMIENTOS!$E$5:$E$1005))</f>
        <v/>
      </c>
      <c r="F468" s="62" t="str">
        <f>IF($A468="","",SUMPRODUCT((MOVIMIENTOS!$B$5:$B$1005="SALDO INICIAL")*(MOVIMIENTOS!$C$5:$C$1005="Chancho")*(MOVIMIENTOS!$D$5:$D$1005="sacos")*(MOVIMIENTOS!$A$5:$A$1005&lt;&gt;"")*(MOVIMIENTOS!$A$5:$A$1005&lt;=$A468)*MOVIMIENTOS!$E$5:$E$1005)+SUMPRODUCT((MOVIMIENTOS!$B$5:$B$1005="PROCESO")*(MOVIMIENTOS!$C$5:$C$1005="Chancho")*(MOVIMIENTOS!$D$5:$D$1005="sacos")*(MOVIMIENTOS!$A$5:$A$1005&lt;&gt;"")*(MOVIMIENTOS!$A$5:$A$1005&lt;=$A468)*MOVIMIENTOS!$E$5:$E$1005)-SUMPRODUCT((MOVIMIENTOS!$B$5:$B$1005="VENTA CHANCHO")*(MOVIMIENTOS!$C$5:$C$1005="Chancho")*(MOVIMIENTOS!$D$5:$D$1005="sacos")*(MOVIMIENTOS!$A$5:$A$1005&lt;&gt;"")*(MOVIMIENTOS!$A$5:$A$1005&lt;=$A468)*MOVIMIENTOS!$E$5:$E$1005)-SUMPRODUCT((MOVIMIENTOS!$B$5:$B$1005="REGALO")*(MOVIMIENTOS!$C$5:$C$1005="Chancho")*(MOVIMIENTOS!$D$5:$D$1005="sacos")*(MOVIMIENTOS!$A$5:$A$1005&lt;&gt;"")*(MOVIMIENTOS!$A$5:$A$1005&lt;=$A468)*MOVIMIENTOS!$E$5:$E$1005)-SUMPRODUCT((MOVIMIENTOS!$B$5:$B$1005="VENTA")*(MOVIMIENTOS!$C$5:$C$1005="Chancho")*(MOVIMIENTOS!$D$5:$D$1005="sacos")*(MOVIMIENTOS!$A$5:$A$1005&lt;&gt;"")*(MOVIMIENTOS!$A$5:$A$1005&lt;=$A468)*MOVIMIENTOS!$E$5:$E$1005)+SUMPRODUCT((MOVIMIENTOS!$B$5:$B$1005="AJUSTE")*(MOVIMIENTOS!$C$5:$C$1005="Chancho")*(MOVIMIENTOS!$D$5:$D$1005="sacos")*(MOVIMIENTOS!$A$5:$A$1005&lt;&gt;"")*(MOVIMIENTOS!$A$5:$A$1005&lt;=$A468)*MOVIMIENTOS!$E$5:$E$1005))</f>
        <v/>
      </c>
      <c r="G468" s="62" t="str">
        <f t="shared" si="15"/>
        <v/>
      </c>
      <c r="H468" t="str">
        <f>IF($A468="","",SUMPRODUCT((((MOVIMIENTOS!$B$5:$B$1005="SALDO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468)*MOVIMIENTOS!$J$5:$J$1005))</f>
        <v/>
      </c>
      <c r="J468" t="str">
        <f>IF(AND(MOVIMIENTOS!$A473&lt;&gt;"",COUNTIF(MOVIMIENTOS!$A$5:$A472,MOVIMIENTOS!$A473)=0),COUNT(J$4:J467)+1,"")</f>
        <v/>
      </c>
      <c r="K468" s="67">
        <f>MOVIMIENTOS!$A473</f>
        <v>0</v>
      </c>
    </row>
    <row r="469" spans="1:11" ht="15" customHeight="1" x14ac:dyDescent="0.2">
      <c r="A469" t="str">
        <f t="shared" si="14"/>
        <v/>
      </c>
      <c r="B469" t="str">
        <f>IF($A469="","",SUMPRODUCT((MOVIMIENTOS!$B$5:$B$1005="SALDO INICIAL")*(MOVIMIENTOS!$C$5:$C$1005="A")*(MOVIMIENTOS!$D$5:$D$1005="jabas")*(MOVIMIENTOS!$A$5:$A$1005&lt;&gt;"")*(MOVIMIENTOS!$A$5:$A$1005&lt;=$A469)*MOVIMIENTOS!$E$5:$E$1005)+SUMPRODUCT((MOVIMIENTOS!$B$5:$B$1005="PROCESO")*(MOVIMIENTOS!$C$5:$C$1005="A")*(MOVIMIENTOS!$D$5:$D$1005="jabas")*(MOVIMIENTOS!$A$5:$A$1005&lt;&gt;"")*(MOVIMIENTOS!$A$5:$A$1005&lt;=$A469)*MOVIMIENTOS!$E$5:$E$1005)-SUMPRODUCT((MOVIMIENTOS!$B$5:$B$1005="ENVÍO A SUPESA")*(MOVIMIENTOS!$C$5:$C$1005="A")*(MOVIMIENTOS!$D$5:$D$1005="jabas")*(MOVIMIENTOS!$A$5:$A$1005&lt;&gt;"")*(MOVIMIENTOS!$A$5:$A$1005&lt;=$A469)*MOVIMIENTOS!$E$5:$E$1005)+SUMPRODUCT((MOVIMIENTOS!$B$5:$B$1005="DEVOLUCIÓN")*(MOVIMIENTOS!$C$5:$C$1005="A")*(MOVIMIENTOS!$D$5:$D$1005="jabas")*(MOVIMIENTOS!$A$5:$A$1005&lt;&gt;"")*(MOVIMIENTOS!$A$5:$A$1005&lt;=$A469)*MOVIMIENTOS!$E$5:$E$1005)-SUMPRODUCT((MOVIMIENTOS!$B$5:$B$1005="TRASIEGO")*(MOVIMIENTOS!$C$5:$C$1005="A")*(MOVIMIENTOS!$D$5:$D$1005="jabas")*(MOVIMIENTOS!$A$5:$A$1005&lt;&gt;"")*(MOVIMIENTOS!$A$5:$A$1005&lt;=$A469)*MOVIMIENTOS!$E$5:$E$1005)-SUMPRODUCT((MOVIMIENTOS!$B$5:$B$1005="REGALO")*(MOVIMIENTOS!$C$5:$C$1005="A")*(MOVIMIENTOS!$D$5:$D$1005="jabas")*(MOVIMIENTOS!$A$5:$A$1005&lt;&gt;"")*(MOVIMIENTOS!$A$5:$A$1005&lt;=$A469)*MOVIMIENTOS!$E$5:$E$1005)-SUMPRODUCT((MOVIMIENTOS!$B$5:$B$1005="VENTA")*(MOVIMIENTOS!$C$5:$C$1005="A")*(MOVIMIENTOS!$D$5:$D$1005="jabas")*(MOVIMIENTOS!$A$5:$A$1005&lt;&gt;"")*(MOVIMIENTOS!$A$5:$A$1005&lt;=$A469)*MOVIMIENTOS!$E$5:$E$1005)+SUMPRODUCT((MOVIMIENTOS!$B$5:$B$1005="AJUSTE")*(MOVIMIENTOS!$C$5:$C$1005="A")*(MOVIMIENTOS!$D$5:$D$1005="jabas")*(MOVIMIENTOS!$A$5:$A$1005&lt;&gt;"")*(MOVIMIENTOS!$A$5:$A$1005&lt;=$A469)*MOVIMIENTOS!$E$5:$E$1005))</f>
        <v/>
      </c>
      <c r="C469" t="str">
        <f>IF($A469="","",SUMPRODUCT((MOVIMIENTOS!$B$5:$B$1005="SALDO INICIAL")*(MOVIMIENTOS!$C$5:$C$1005="P")*(MOVIMIENTOS!$D$5:$D$1005="jabas")*(MOVIMIENTOS!$A$5:$A$1005&lt;&gt;"")*(MOVIMIENTOS!$A$5:$A$1005&lt;=$A469)*MOVIMIENTOS!$E$5:$E$1005)+SUMPRODUCT((MOVIMIENTOS!$B$5:$B$1005="PROCESO")*(MOVIMIENTOS!$C$5:$C$1005="P")*(MOVIMIENTOS!$D$5:$D$1005="jabas")*(MOVIMIENTOS!$A$5:$A$1005&lt;&gt;"")*(MOVIMIENTOS!$A$5:$A$1005&lt;=$A469)*MOVIMIENTOS!$E$5:$E$1005)-SUMPRODUCT((MOVIMIENTOS!$B$5:$B$1005="ENVÍO A SUPESA")*(MOVIMIENTOS!$C$5:$C$1005="P")*(MOVIMIENTOS!$D$5:$D$1005="jabas")*(MOVIMIENTOS!$A$5:$A$1005&lt;&gt;"")*(MOVIMIENTOS!$A$5:$A$1005&lt;=$A469)*MOVIMIENTOS!$E$5:$E$1005)+SUMPRODUCT((MOVIMIENTOS!$B$5:$B$1005="DEVOLUCIÓN")*(MOVIMIENTOS!$C$5:$C$1005="P")*(MOVIMIENTOS!$D$5:$D$1005="jabas")*(MOVIMIENTOS!$A$5:$A$1005&lt;&gt;"")*(MOVIMIENTOS!$A$5:$A$1005&lt;=$A469)*MOVIMIENTOS!$E$5:$E$1005)-SUMPRODUCT((MOVIMIENTOS!$B$5:$B$1005="TRASIEGO")*(MOVIMIENTOS!$C$5:$C$1005="P")*(MOVIMIENTOS!$D$5:$D$1005="jabas")*(MOVIMIENTOS!$A$5:$A$1005&lt;&gt;"")*(MOVIMIENTOS!$A$5:$A$1005&lt;=$A469)*MOVIMIENTOS!$E$5:$E$1005)-SUMPRODUCT((MOVIMIENTOS!$B$5:$B$1005="REGALO")*(MOVIMIENTOS!$C$5:$C$1005="P")*(MOVIMIENTOS!$D$5:$D$1005="jabas")*(MOVIMIENTOS!$A$5:$A$1005&lt;&gt;"")*(MOVIMIENTOS!$A$5:$A$1005&lt;=$A469)*MOVIMIENTOS!$E$5:$E$1005)-SUMPRODUCT((MOVIMIENTOS!$B$5:$B$1005="VENTA")*(MOVIMIENTOS!$C$5:$C$1005="P")*(MOVIMIENTOS!$D$5:$D$1005="jabas")*(MOVIMIENTOS!$A$5:$A$1005&lt;&gt;"")*(MOVIMIENTOS!$A$5:$A$1005&lt;=$A469)*MOVIMIENTOS!$E$5:$E$1005)+SUMPRODUCT((MOVIMIENTOS!$B$5:$B$1005="AJUSTE")*(MOVIMIENTOS!$C$5:$C$1005="P")*(MOVIMIENTOS!$D$5:$D$1005="jabas")*(MOVIMIENTOS!$A$5:$A$1005&lt;&gt;"")*(MOVIMIENTOS!$A$5:$A$1005&lt;=$A469)*MOVIMIENTOS!$E$5:$E$1005))</f>
        <v/>
      </c>
      <c r="D469" t="str">
        <f>IF($A469="","",SUMPRODUCT((MOVIMIENTOS!$B$5:$B$1005="SALDO INICIAL")*(MOVIMIENTOS!$C$5:$C$1005="C")*(MOVIMIENTOS!$D$5:$D$1005="jabas")*(MOVIMIENTOS!$A$5:$A$1005&lt;&gt;"")*(MOVIMIENTOS!$A$5:$A$1005&lt;=$A469)*MOVIMIENTOS!$E$5:$E$1005)+SUMPRODUCT((MOVIMIENTOS!$B$5:$B$1005="PROCESO")*(MOVIMIENTOS!$C$5:$C$1005="C")*(MOVIMIENTOS!$D$5:$D$1005="jabas")*(MOVIMIENTOS!$A$5:$A$1005&lt;&gt;"")*(MOVIMIENTOS!$A$5:$A$1005&lt;=$A469)*MOVIMIENTOS!$E$5:$E$1005)-SUMPRODUCT((MOVIMIENTOS!$B$5:$B$1005="ENVÍO A SUPESA")*(MOVIMIENTOS!$C$5:$C$1005="C")*(MOVIMIENTOS!$D$5:$D$1005="jabas")*(MOVIMIENTOS!$A$5:$A$1005&lt;&gt;"")*(MOVIMIENTOS!$A$5:$A$1005&lt;=$A469)*MOVIMIENTOS!$E$5:$E$1005)+SUMPRODUCT((MOVIMIENTOS!$B$5:$B$1005="DEVOLUCIÓN")*(MOVIMIENTOS!$C$5:$C$1005="C")*(MOVIMIENTOS!$D$5:$D$1005="jabas")*(MOVIMIENTOS!$A$5:$A$1005&lt;&gt;"")*(MOVIMIENTOS!$A$5:$A$1005&lt;=$A469)*MOVIMIENTOS!$E$5:$E$1005)-SUMPRODUCT((MOVIMIENTOS!$B$5:$B$1005="TRASIEGO")*(MOVIMIENTOS!$C$5:$C$1005="C")*(MOVIMIENTOS!$D$5:$D$1005="jabas")*(MOVIMIENTOS!$A$5:$A$1005&lt;&gt;"")*(MOVIMIENTOS!$A$5:$A$1005&lt;=$A469)*MOVIMIENTOS!$E$5:$E$1005)-SUMPRODUCT((MOVIMIENTOS!$B$5:$B$1005="REGALO")*(MOVIMIENTOS!$C$5:$C$1005="C")*(MOVIMIENTOS!$D$5:$D$1005="jabas")*(MOVIMIENTOS!$A$5:$A$1005&lt;&gt;"")*(MOVIMIENTOS!$A$5:$A$1005&lt;=$A469)*MOVIMIENTOS!$E$5:$E$1005)-SUMPRODUCT((MOVIMIENTOS!$B$5:$B$1005="VENTA")*(MOVIMIENTOS!$C$5:$C$1005="C")*(MOVIMIENTOS!$D$5:$D$1005="jabas")*(MOVIMIENTOS!$A$5:$A$1005&lt;&gt;"")*(MOVIMIENTOS!$A$5:$A$1005&lt;=$A469)*MOVIMIENTOS!$E$5:$E$1005)+SUMPRODUCT((MOVIMIENTOS!$B$5:$B$1005="AJUSTE")*(MOVIMIENTOS!$C$5:$C$1005="C")*(MOVIMIENTOS!$D$5:$D$1005="jabas")*(MOVIMIENTOS!$A$5:$A$1005&lt;&gt;"")*(MOVIMIENTOS!$A$5:$A$1005&lt;=$A469)*MOVIMIENTOS!$E$5:$E$1005))</f>
        <v/>
      </c>
      <c r="E469" t="str">
        <f>IF($A469="","",SUMPRODUCT((MOVIMIENTOS!$B$5:$B$1005="SALDO INICIAL")*(MOVIMIENTOS!$C$5:$C$1005="M")*(MOVIMIENTOS!$D$5:$D$1005="jabas")*(MOVIMIENTOS!$A$5:$A$1005&lt;&gt;"")*(MOVIMIENTOS!$A$5:$A$1005&lt;=$A469)*MOVIMIENTOS!$E$5:$E$1005)+SUMPRODUCT((MOVIMIENTOS!$B$5:$B$1005="PROCESO")*(MOVIMIENTOS!$C$5:$C$1005="M")*(MOVIMIENTOS!$D$5:$D$1005="jabas")*(MOVIMIENTOS!$A$5:$A$1005&lt;&gt;"")*(MOVIMIENTOS!$A$5:$A$1005&lt;=$A469)*MOVIMIENTOS!$E$5:$E$1005)-SUMPRODUCT((MOVIMIENTOS!$B$5:$B$1005="ENVÍO A SUPESA")*(MOVIMIENTOS!$C$5:$C$1005="M")*(MOVIMIENTOS!$D$5:$D$1005="jabas")*(MOVIMIENTOS!$A$5:$A$1005&lt;&gt;"")*(MOVIMIENTOS!$A$5:$A$1005&lt;=$A469)*MOVIMIENTOS!$E$5:$E$1005)+SUMPRODUCT((MOVIMIENTOS!$B$5:$B$1005="DEVOLUCIÓN")*(MOVIMIENTOS!$C$5:$C$1005="M")*(MOVIMIENTOS!$D$5:$D$1005="jabas")*(MOVIMIENTOS!$A$5:$A$1005&lt;&gt;"")*(MOVIMIENTOS!$A$5:$A$1005&lt;=$A469)*MOVIMIENTOS!$E$5:$E$1005)-SUMPRODUCT((MOVIMIENTOS!$B$5:$B$1005="TRASIEGO")*(MOVIMIENTOS!$C$5:$C$1005="M")*(MOVIMIENTOS!$D$5:$D$1005="jabas")*(MOVIMIENTOS!$A$5:$A$1005&lt;&gt;"")*(MOVIMIENTOS!$A$5:$A$1005&lt;=$A469)*MOVIMIENTOS!$E$5:$E$1005)-SUMPRODUCT((MOVIMIENTOS!$B$5:$B$1005="REGALO")*(MOVIMIENTOS!$C$5:$C$1005="M")*(MOVIMIENTOS!$D$5:$D$1005="jabas")*(MOVIMIENTOS!$A$5:$A$1005&lt;&gt;"")*(MOVIMIENTOS!$A$5:$A$1005&lt;=$A469)*MOVIMIENTOS!$E$5:$E$1005)-SUMPRODUCT((MOVIMIENTOS!$B$5:$B$1005="VENTA")*(MOVIMIENTOS!$C$5:$C$1005="M")*(MOVIMIENTOS!$D$5:$D$1005="jabas")*(MOVIMIENTOS!$A$5:$A$1005&lt;&gt;"")*(MOVIMIENTOS!$A$5:$A$1005&lt;=$A469)*MOVIMIENTOS!$E$5:$E$1005)+SUMPRODUCT((MOVIMIENTOS!$B$5:$B$1005="AJUSTE")*(MOVIMIENTOS!$C$5:$C$1005="M")*(MOVIMIENTOS!$D$5:$D$1005="jabas")*(MOVIMIENTOS!$A$5:$A$1005&lt;&gt;"")*(MOVIMIENTOS!$A$5:$A$1005&lt;=$A469)*MOVIMIENTOS!$E$5:$E$1005))</f>
        <v/>
      </c>
      <c r="F469" s="62" t="str">
        <f>IF($A469="","",SUMPRODUCT((MOVIMIENTOS!$B$5:$B$1005="SALDO INICIAL")*(MOVIMIENTOS!$C$5:$C$1005="Chancho")*(MOVIMIENTOS!$D$5:$D$1005="sacos")*(MOVIMIENTOS!$A$5:$A$1005&lt;&gt;"")*(MOVIMIENTOS!$A$5:$A$1005&lt;=$A469)*MOVIMIENTOS!$E$5:$E$1005)+SUMPRODUCT((MOVIMIENTOS!$B$5:$B$1005="PROCESO")*(MOVIMIENTOS!$C$5:$C$1005="Chancho")*(MOVIMIENTOS!$D$5:$D$1005="sacos")*(MOVIMIENTOS!$A$5:$A$1005&lt;&gt;"")*(MOVIMIENTOS!$A$5:$A$1005&lt;=$A469)*MOVIMIENTOS!$E$5:$E$1005)-SUMPRODUCT((MOVIMIENTOS!$B$5:$B$1005="VENTA CHANCHO")*(MOVIMIENTOS!$C$5:$C$1005="Chancho")*(MOVIMIENTOS!$D$5:$D$1005="sacos")*(MOVIMIENTOS!$A$5:$A$1005&lt;&gt;"")*(MOVIMIENTOS!$A$5:$A$1005&lt;=$A469)*MOVIMIENTOS!$E$5:$E$1005)-SUMPRODUCT((MOVIMIENTOS!$B$5:$B$1005="REGALO")*(MOVIMIENTOS!$C$5:$C$1005="Chancho")*(MOVIMIENTOS!$D$5:$D$1005="sacos")*(MOVIMIENTOS!$A$5:$A$1005&lt;&gt;"")*(MOVIMIENTOS!$A$5:$A$1005&lt;=$A469)*MOVIMIENTOS!$E$5:$E$1005)-SUMPRODUCT((MOVIMIENTOS!$B$5:$B$1005="VENTA")*(MOVIMIENTOS!$C$5:$C$1005="Chancho")*(MOVIMIENTOS!$D$5:$D$1005="sacos")*(MOVIMIENTOS!$A$5:$A$1005&lt;&gt;"")*(MOVIMIENTOS!$A$5:$A$1005&lt;=$A469)*MOVIMIENTOS!$E$5:$E$1005)+SUMPRODUCT((MOVIMIENTOS!$B$5:$B$1005="AJUSTE")*(MOVIMIENTOS!$C$5:$C$1005="Chancho")*(MOVIMIENTOS!$D$5:$D$1005="sacos")*(MOVIMIENTOS!$A$5:$A$1005&lt;&gt;"")*(MOVIMIENTOS!$A$5:$A$1005&lt;=$A469)*MOVIMIENTOS!$E$5:$E$1005))</f>
        <v/>
      </c>
      <c r="G469" s="62" t="str">
        <f t="shared" si="15"/>
        <v/>
      </c>
      <c r="H469" t="str">
        <f>IF($A469="","",SUMPRODUCT((((MOVIMIENTOS!$B$5:$B$1005="SALDO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469)*MOVIMIENTOS!$J$5:$J$1005))</f>
        <v/>
      </c>
      <c r="J469" t="str">
        <f>IF(AND(MOVIMIENTOS!$A474&lt;&gt;"",COUNTIF(MOVIMIENTOS!$A$5:$A473,MOVIMIENTOS!$A474)=0),COUNT(J$4:J468)+1,"")</f>
        <v/>
      </c>
      <c r="K469" s="67">
        <f>MOVIMIENTOS!$A474</f>
        <v>0</v>
      </c>
    </row>
    <row r="470" spans="1:11" ht="15" customHeight="1" x14ac:dyDescent="0.2">
      <c r="A470" t="str">
        <f t="shared" si="14"/>
        <v/>
      </c>
      <c r="B470" t="str">
        <f>IF($A470="","",SUMPRODUCT((MOVIMIENTOS!$B$5:$B$1005="SALDO INICIAL")*(MOVIMIENTOS!$C$5:$C$1005="A")*(MOVIMIENTOS!$D$5:$D$1005="jabas")*(MOVIMIENTOS!$A$5:$A$1005&lt;&gt;"")*(MOVIMIENTOS!$A$5:$A$1005&lt;=$A470)*MOVIMIENTOS!$E$5:$E$1005)+SUMPRODUCT((MOVIMIENTOS!$B$5:$B$1005="PROCESO")*(MOVIMIENTOS!$C$5:$C$1005="A")*(MOVIMIENTOS!$D$5:$D$1005="jabas")*(MOVIMIENTOS!$A$5:$A$1005&lt;&gt;"")*(MOVIMIENTOS!$A$5:$A$1005&lt;=$A470)*MOVIMIENTOS!$E$5:$E$1005)-SUMPRODUCT((MOVIMIENTOS!$B$5:$B$1005="ENVÍO A SUPESA")*(MOVIMIENTOS!$C$5:$C$1005="A")*(MOVIMIENTOS!$D$5:$D$1005="jabas")*(MOVIMIENTOS!$A$5:$A$1005&lt;&gt;"")*(MOVIMIENTOS!$A$5:$A$1005&lt;=$A470)*MOVIMIENTOS!$E$5:$E$1005)+SUMPRODUCT((MOVIMIENTOS!$B$5:$B$1005="DEVOLUCIÓN")*(MOVIMIENTOS!$C$5:$C$1005="A")*(MOVIMIENTOS!$D$5:$D$1005="jabas")*(MOVIMIENTOS!$A$5:$A$1005&lt;&gt;"")*(MOVIMIENTOS!$A$5:$A$1005&lt;=$A470)*MOVIMIENTOS!$E$5:$E$1005)-SUMPRODUCT((MOVIMIENTOS!$B$5:$B$1005="TRASIEGO")*(MOVIMIENTOS!$C$5:$C$1005="A")*(MOVIMIENTOS!$D$5:$D$1005="jabas")*(MOVIMIENTOS!$A$5:$A$1005&lt;&gt;"")*(MOVIMIENTOS!$A$5:$A$1005&lt;=$A470)*MOVIMIENTOS!$E$5:$E$1005)-SUMPRODUCT((MOVIMIENTOS!$B$5:$B$1005="REGALO")*(MOVIMIENTOS!$C$5:$C$1005="A")*(MOVIMIENTOS!$D$5:$D$1005="jabas")*(MOVIMIENTOS!$A$5:$A$1005&lt;&gt;"")*(MOVIMIENTOS!$A$5:$A$1005&lt;=$A470)*MOVIMIENTOS!$E$5:$E$1005)-SUMPRODUCT((MOVIMIENTOS!$B$5:$B$1005="VENTA")*(MOVIMIENTOS!$C$5:$C$1005="A")*(MOVIMIENTOS!$D$5:$D$1005="jabas")*(MOVIMIENTOS!$A$5:$A$1005&lt;&gt;"")*(MOVIMIENTOS!$A$5:$A$1005&lt;=$A470)*MOVIMIENTOS!$E$5:$E$1005)+SUMPRODUCT((MOVIMIENTOS!$B$5:$B$1005="AJUSTE")*(MOVIMIENTOS!$C$5:$C$1005="A")*(MOVIMIENTOS!$D$5:$D$1005="jabas")*(MOVIMIENTOS!$A$5:$A$1005&lt;&gt;"")*(MOVIMIENTOS!$A$5:$A$1005&lt;=$A470)*MOVIMIENTOS!$E$5:$E$1005))</f>
        <v/>
      </c>
      <c r="C470" t="str">
        <f>IF($A470="","",SUMPRODUCT((MOVIMIENTOS!$B$5:$B$1005="SALDO INICIAL")*(MOVIMIENTOS!$C$5:$C$1005="P")*(MOVIMIENTOS!$D$5:$D$1005="jabas")*(MOVIMIENTOS!$A$5:$A$1005&lt;&gt;"")*(MOVIMIENTOS!$A$5:$A$1005&lt;=$A470)*MOVIMIENTOS!$E$5:$E$1005)+SUMPRODUCT((MOVIMIENTOS!$B$5:$B$1005="PROCESO")*(MOVIMIENTOS!$C$5:$C$1005="P")*(MOVIMIENTOS!$D$5:$D$1005="jabas")*(MOVIMIENTOS!$A$5:$A$1005&lt;&gt;"")*(MOVIMIENTOS!$A$5:$A$1005&lt;=$A470)*MOVIMIENTOS!$E$5:$E$1005)-SUMPRODUCT((MOVIMIENTOS!$B$5:$B$1005="ENVÍO A SUPESA")*(MOVIMIENTOS!$C$5:$C$1005="P")*(MOVIMIENTOS!$D$5:$D$1005="jabas")*(MOVIMIENTOS!$A$5:$A$1005&lt;&gt;"")*(MOVIMIENTOS!$A$5:$A$1005&lt;=$A470)*MOVIMIENTOS!$E$5:$E$1005)+SUMPRODUCT((MOVIMIENTOS!$B$5:$B$1005="DEVOLUCIÓN")*(MOVIMIENTOS!$C$5:$C$1005="P")*(MOVIMIENTOS!$D$5:$D$1005="jabas")*(MOVIMIENTOS!$A$5:$A$1005&lt;&gt;"")*(MOVIMIENTOS!$A$5:$A$1005&lt;=$A470)*MOVIMIENTOS!$E$5:$E$1005)-SUMPRODUCT((MOVIMIENTOS!$B$5:$B$1005="TRASIEGO")*(MOVIMIENTOS!$C$5:$C$1005="P")*(MOVIMIENTOS!$D$5:$D$1005="jabas")*(MOVIMIENTOS!$A$5:$A$1005&lt;&gt;"")*(MOVIMIENTOS!$A$5:$A$1005&lt;=$A470)*MOVIMIENTOS!$E$5:$E$1005)-SUMPRODUCT((MOVIMIENTOS!$B$5:$B$1005="REGALO")*(MOVIMIENTOS!$C$5:$C$1005="P")*(MOVIMIENTOS!$D$5:$D$1005="jabas")*(MOVIMIENTOS!$A$5:$A$1005&lt;&gt;"")*(MOVIMIENTOS!$A$5:$A$1005&lt;=$A470)*MOVIMIENTOS!$E$5:$E$1005)-SUMPRODUCT((MOVIMIENTOS!$B$5:$B$1005="VENTA")*(MOVIMIENTOS!$C$5:$C$1005="P")*(MOVIMIENTOS!$D$5:$D$1005="jabas")*(MOVIMIENTOS!$A$5:$A$1005&lt;&gt;"")*(MOVIMIENTOS!$A$5:$A$1005&lt;=$A470)*MOVIMIENTOS!$E$5:$E$1005)+SUMPRODUCT((MOVIMIENTOS!$B$5:$B$1005="AJUSTE")*(MOVIMIENTOS!$C$5:$C$1005="P")*(MOVIMIENTOS!$D$5:$D$1005="jabas")*(MOVIMIENTOS!$A$5:$A$1005&lt;&gt;"")*(MOVIMIENTOS!$A$5:$A$1005&lt;=$A470)*MOVIMIENTOS!$E$5:$E$1005))</f>
        <v/>
      </c>
      <c r="D470" t="str">
        <f>IF($A470="","",SUMPRODUCT((MOVIMIENTOS!$B$5:$B$1005="SALDO INICIAL")*(MOVIMIENTOS!$C$5:$C$1005="C")*(MOVIMIENTOS!$D$5:$D$1005="jabas")*(MOVIMIENTOS!$A$5:$A$1005&lt;&gt;"")*(MOVIMIENTOS!$A$5:$A$1005&lt;=$A470)*MOVIMIENTOS!$E$5:$E$1005)+SUMPRODUCT((MOVIMIENTOS!$B$5:$B$1005="PROCESO")*(MOVIMIENTOS!$C$5:$C$1005="C")*(MOVIMIENTOS!$D$5:$D$1005="jabas")*(MOVIMIENTOS!$A$5:$A$1005&lt;&gt;"")*(MOVIMIENTOS!$A$5:$A$1005&lt;=$A470)*MOVIMIENTOS!$E$5:$E$1005)-SUMPRODUCT((MOVIMIENTOS!$B$5:$B$1005="ENVÍO A SUPESA")*(MOVIMIENTOS!$C$5:$C$1005="C")*(MOVIMIENTOS!$D$5:$D$1005="jabas")*(MOVIMIENTOS!$A$5:$A$1005&lt;&gt;"")*(MOVIMIENTOS!$A$5:$A$1005&lt;=$A470)*MOVIMIENTOS!$E$5:$E$1005)+SUMPRODUCT((MOVIMIENTOS!$B$5:$B$1005="DEVOLUCIÓN")*(MOVIMIENTOS!$C$5:$C$1005="C")*(MOVIMIENTOS!$D$5:$D$1005="jabas")*(MOVIMIENTOS!$A$5:$A$1005&lt;&gt;"")*(MOVIMIENTOS!$A$5:$A$1005&lt;=$A470)*MOVIMIENTOS!$E$5:$E$1005)-SUMPRODUCT((MOVIMIENTOS!$B$5:$B$1005="TRASIEGO")*(MOVIMIENTOS!$C$5:$C$1005="C")*(MOVIMIENTOS!$D$5:$D$1005="jabas")*(MOVIMIENTOS!$A$5:$A$1005&lt;&gt;"")*(MOVIMIENTOS!$A$5:$A$1005&lt;=$A470)*MOVIMIENTOS!$E$5:$E$1005)-SUMPRODUCT((MOVIMIENTOS!$B$5:$B$1005="REGALO")*(MOVIMIENTOS!$C$5:$C$1005="C")*(MOVIMIENTOS!$D$5:$D$1005="jabas")*(MOVIMIENTOS!$A$5:$A$1005&lt;&gt;"")*(MOVIMIENTOS!$A$5:$A$1005&lt;=$A470)*MOVIMIENTOS!$E$5:$E$1005)-SUMPRODUCT((MOVIMIENTOS!$B$5:$B$1005="VENTA")*(MOVIMIENTOS!$C$5:$C$1005="C")*(MOVIMIENTOS!$D$5:$D$1005="jabas")*(MOVIMIENTOS!$A$5:$A$1005&lt;&gt;"")*(MOVIMIENTOS!$A$5:$A$1005&lt;=$A470)*MOVIMIENTOS!$E$5:$E$1005)+SUMPRODUCT((MOVIMIENTOS!$B$5:$B$1005="AJUSTE")*(MOVIMIENTOS!$C$5:$C$1005="C")*(MOVIMIENTOS!$D$5:$D$1005="jabas")*(MOVIMIENTOS!$A$5:$A$1005&lt;&gt;"")*(MOVIMIENTOS!$A$5:$A$1005&lt;=$A470)*MOVIMIENTOS!$E$5:$E$1005))</f>
        <v/>
      </c>
      <c r="E470" t="str">
        <f>IF($A470="","",SUMPRODUCT((MOVIMIENTOS!$B$5:$B$1005="SALDO INICIAL")*(MOVIMIENTOS!$C$5:$C$1005="M")*(MOVIMIENTOS!$D$5:$D$1005="jabas")*(MOVIMIENTOS!$A$5:$A$1005&lt;&gt;"")*(MOVIMIENTOS!$A$5:$A$1005&lt;=$A470)*MOVIMIENTOS!$E$5:$E$1005)+SUMPRODUCT((MOVIMIENTOS!$B$5:$B$1005="PROCESO")*(MOVIMIENTOS!$C$5:$C$1005="M")*(MOVIMIENTOS!$D$5:$D$1005="jabas")*(MOVIMIENTOS!$A$5:$A$1005&lt;&gt;"")*(MOVIMIENTOS!$A$5:$A$1005&lt;=$A470)*MOVIMIENTOS!$E$5:$E$1005)-SUMPRODUCT((MOVIMIENTOS!$B$5:$B$1005="ENVÍO A SUPESA")*(MOVIMIENTOS!$C$5:$C$1005="M")*(MOVIMIENTOS!$D$5:$D$1005="jabas")*(MOVIMIENTOS!$A$5:$A$1005&lt;&gt;"")*(MOVIMIENTOS!$A$5:$A$1005&lt;=$A470)*MOVIMIENTOS!$E$5:$E$1005)+SUMPRODUCT((MOVIMIENTOS!$B$5:$B$1005="DEVOLUCIÓN")*(MOVIMIENTOS!$C$5:$C$1005="M")*(MOVIMIENTOS!$D$5:$D$1005="jabas")*(MOVIMIENTOS!$A$5:$A$1005&lt;&gt;"")*(MOVIMIENTOS!$A$5:$A$1005&lt;=$A470)*MOVIMIENTOS!$E$5:$E$1005)-SUMPRODUCT((MOVIMIENTOS!$B$5:$B$1005="TRASIEGO")*(MOVIMIENTOS!$C$5:$C$1005="M")*(MOVIMIENTOS!$D$5:$D$1005="jabas")*(MOVIMIENTOS!$A$5:$A$1005&lt;&gt;"")*(MOVIMIENTOS!$A$5:$A$1005&lt;=$A470)*MOVIMIENTOS!$E$5:$E$1005)-SUMPRODUCT((MOVIMIENTOS!$B$5:$B$1005="REGALO")*(MOVIMIENTOS!$C$5:$C$1005="M")*(MOVIMIENTOS!$D$5:$D$1005="jabas")*(MOVIMIENTOS!$A$5:$A$1005&lt;&gt;"")*(MOVIMIENTOS!$A$5:$A$1005&lt;=$A470)*MOVIMIENTOS!$E$5:$E$1005)-SUMPRODUCT((MOVIMIENTOS!$B$5:$B$1005="VENTA")*(MOVIMIENTOS!$C$5:$C$1005="M")*(MOVIMIENTOS!$D$5:$D$1005="jabas")*(MOVIMIENTOS!$A$5:$A$1005&lt;&gt;"")*(MOVIMIENTOS!$A$5:$A$1005&lt;=$A470)*MOVIMIENTOS!$E$5:$E$1005)+SUMPRODUCT((MOVIMIENTOS!$B$5:$B$1005="AJUSTE")*(MOVIMIENTOS!$C$5:$C$1005="M")*(MOVIMIENTOS!$D$5:$D$1005="jabas")*(MOVIMIENTOS!$A$5:$A$1005&lt;&gt;"")*(MOVIMIENTOS!$A$5:$A$1005&lt;=$A470)*MOVIMIENTOS!$E$5:$E$1005))</f>
        <v/>
      </c>
      <c r="F470" s="62" t="str">
        <f>IF($A470="","",SUMPRODUCT((MOVIMIENTOS!$B$5:$B$1005="SALDO INICIAL")*(MOVIMIENTOS!$C$5:$C$1005="Chancho")*(MOVIMIENTOS!$D$5:$D$1005="sacos")*(MOVIMIENTOS!$A$5:$A$1005&lt;&gt;"")*(MOVIMIENTOS!$A$5:$A$1005&lt;=$A470)*MOVIMIENTOS!$E$5:$E$1005)+SUMPRODUCT((MOVIMIENTOS!$B$5:$B$1005="PROCESO")*(MOVIMIENTOS!$C$5:$C$1005="Chancho")*(MOVIMIENTOS!$D$5:$D$1005="sacos")*(MOVIMIENTOS!$A$5:$A$1005&lt;&gt;"")*(MOVIMIENTOS!$A$5:$A$1005&lt;=$A470)*MOVIMIENTOS!$E$5:$E$1005)-SUMPRODUCT((MOVIMIENTOS!$B$5:$B$1005="VENTA CHANCHO")*(MOVIMIENTOS!$C$5:$C$1005="Chancho")*(MOVIMIENTOS!$D$5:$D$1005="sacos")*(MOVIMIENTOS!$A$5:$A$1005&lt;&gt;"")*(MOVIMIENTOS!$A$5:$A$1005&lt;=$A470)*MOVIMIENTOS!$E$5:$E$1005)-SUMPRODUCT((MOVIMIENTOS!$B$5:$B$1005="REGALO")*(MOVIMIENTOS!$C$5:$C$1005="Chancho")*(MOVIMIENTOS!$D$5:$D$1005="sacos")*(MOVIMIENTOS!$A$5:$A$1005&lt;&gt;"")*(MOVIMIENTOS!$A$5:$A$1005&lt;=$A470)*MOVIMIENTOS!$E$5:$E$1005)-SUMPRODUCT((MOVIMIENTOS!$B$5:$B$1005="VENTA")*(MOVIMIENTOS!$C$5:$C$1005="Chancho")*(MOVIMIENTOS!$D$5:$D$1005="sacos")*(MOVIMIENTOS!$A$5:$A$1005&lt;&gt;"")*(MOVIMIENTOS!$A$5:$A$1005&lt;=$A470)*MOVIMIENTOS!$E$5:$E$1005)+SUMPRODUCT((MOVIMIENTOS!$B$5:$B$1005="AJUSTE")*(MOVIMIENTOS!$C$5:$C$1005="Chancho")*(MOVIMIENTOS!$D$5:$D$1005="sacos")*(MOVIMIENTOS!$A$5:$A$1005&lt;&gt;"")*(MOVIMIENTOS!$A$5:$A$1005&lt;=$A470)*MOVIMIENTOS!$E$5:$E$1005))</f>
        <v/>
      </c>
      <c r="G470" s="62" t="str">
        <f t="shared" si="15"/>
        <v/>
      </c>
      <c r="H470" t="str">
        <f>IF($A470="","",SUMPRODUCT((((MOVIMIENTOS!$B$5:$B$1005="SALDO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470)*MOVIMIENTOS!$J$5:$J$1005))</f>
        <v/>
      </c>
      <c r="J470" t="str">
        <f>IF(AND(MOVIMIENTOS!$A475&lt;&gt;"",COUNTIF(MOVIMIENTOS!$A$5:$A474,MOVIMIENTOS!$A475)=0),COUNT(J$4:J469)+1,"")</f>
        <v/>
      </c>
      <c r="K470" s="67">
        <f>MOVIMIENTOS!$A475</f>
        <v>0</v>
      </c>
    </row>
    <row r="471" spans="1:11" ht="15" customHeight="1" x14ac:dyDescent="0.2">
      <c r="A471" t="str">
        <f t="shared" si="14"/>
        <v/>
      </c>
      <c r="B471" t="str">
        <f>IF($A471="","",SUMPRODUCT((MOVIMIENTOS!$B$5:$B$1005="SALDO INICIAL")*(MOVIMIENTOS!$C$5:$C$1005="A")*(MOVIMIENTOS!$D$5:$D$1005="jabas")*(MOVIMIENTOS!$A$5:$A$1005&lt;&gt;"")*(MOVIMIENTOS!$A$5:$A$1005&lt;=$A471)*MOVIMIENTOS!$E$5:$E$1005)+SUMPRODUCT((MOVIMIENTOS!$B$5:$B$1005="PROCESO")*(MOVIMIENTOS!$C$5:$C$1005="A")*(MOVIMIENTOS!$D$5:$D$1005="jabas")*(MOVIMIENTOS!$A$5:$A$1005&lt;&gt;"")*(MOVIMIENTOS!$A$5:$A$1005&lt;=$A471)*MOVIMIENTOS!$E$5:$E$1005)-SUMPRODUCT((MOVIMIENTOS!$B$5:$B$1005="ENVÍO A SUPESA")*(MOVIMIENTOS!$C$5:$C$1005="A")*(MOVIMIENTOS!$D$5:$D$1005="jabas")*(MOVIMIENTOS!$A$5:$A$1005&lt;&gt;"")*(MOVIMIENTOS!$A$5:$A$1005&lt;=$A471)*MOVIMIENTOS!$E$5:$E$1005)+SUMPRODUCT((MOVIMIENTOS!$B$5:$B$1005="DEVOLUCIÓN")*(MOVIMIENTOS!$C$5:$C$1005="A")*(MOVIMIENTOS!$D$5:$D$1005="jabas")*(MOVIMIENTOS!$A$5:$A$1005&lt;&gt;"")*(MOVIMIENTOS!$A$5:$A$1005&lt;=$A471)*MOVIMIENTOS!$E$5:$E$1005)-SUMPRODUCT((MOVIMIENTOS!$B$5:$B$1005="TRASIEGO")*(MOVIMIENTOS!$C$5:$C$1005="A")*(MOVIMIENTOS!$D$5:$D$1005="jabas")*(MOVIMIENTOS!$A$5:$A$1005&lt;&gt;"")*(MOVIMIENTOS!$A$5:$A$1005&lt;=$A471)*MOVIMIENTOS!$E$5:$E$1005)-SUMPRODUCT((MOVIMIENTOS!$B$5:$B$1005="REGALO")*(MOVIMIENTOS!$C$5:$C$1005="A")*(MOVIMIENTOS!$D$5:$D$1005="jabas")*(MOVIMIENTOS!$A$5:$A$1005&lt;&gt;"")*(MOVIMIENTOS!$A$5:$A$1005&lt;=$A471)*MOVIMIENTOS!$E$5:$E$1005)-SUMPRODUCT((MOVIMIENTOS!$B$5:$B$1005="VENTA")*(MOVIMIENTOS!$C$5:$C$1005="A")*(MOVIMIENTOS!$D$5:$D$1005="jabas")*(MOVIMIENTOS!$A$5:$A$1005&lt;&gt;"")*(MOVIMIENTOS!$A$5:$A$1005&lt;=$A471)*MOVIMIENTOS!$E$5:$E$1005)+SUMPRODUCT((MOVIMIENTOS!$B$5:$B$1005="AJUSTE")*(MOVIMIENTOS!$C$5:$C$1005="A")*(MOVIMIENTOS!$D$5:$D$1005="jabas")*(MOVIMIENTOS!$A$5:$A$1005&lt;&gt;"")*(MOVIMIENTOS!$A$5:$A$1005&lt;=$A471)*MOVIMIENTOS!$E$5:$E$1005))</f>
        <v/>
      </c>
      <c r="C471" t="str">
        <f>IF($A471="","",SUMPRODUCT((MOVIMIENTOS!$B$5:$B$1005="SALDO INICIAL")*(MOVIMIENTOS!$C$5:$C$1005="P")*(MOVIMIENTOS!$D$5:$D$1005="jabas")*(MOVIMIENTOS!$A$5:$A$1005&lt;&gt;"")*(MOVIMIENTOS!$A$5:$A$1005&lt;=$A471)*MOVIMIENTOS!$E$5:$E$1005)+SUMPRODUCT((MOVIMIENTOS!$B$5:$B$1005="PROCESO")*(MOVIMIENTOS!$C$5:$C$1005="P")*(MOVIMIENTOS!$D$5:$D$1005="jabas")*(MOVIMIENTOS!$A$5:$A$1005&lt;&gt;"")*(MOVIMIENTOS!$A$5:$A$1005&lt;=$A471)*MOVIMIENTOS!$E$5:$E$1005)-SUMPRODUCT((MOVIMIENTOS!$B$5:$B$1005="ENVÍO A SUPESA")*(MOVIMIENTOS!$C$5:$C$1005="P")*(MOVIMIENTOS!$D$5:$D$1005="jabas")*(MOVIMIENTOS!$A$5:$A$1005&lt;&gt;"")*(MOVIMIENTOS!$A$5:$A$1005&lt;=$A471)*MOVIMIENTOS!$E$5:$E$1005)+SUMPRODUCT((MOVIMIENTOS!$B$5:$B$1005="DEVOLUCIÓN")*(MOVIMIENTOS!$C$5:$C$1005="P")*(MOVIMIENTOS!$D$5:$D$1005="jabas")*(MOVIMIENTOS!$A$5:$A$1005&lt;&gt;"")*(MOVIMIENTOS!$A$5:$A$1005&lt;=$A471)*MOVIMIENTOS!$E$5:$E$1005)-SUMPRODUCT((MOVIMIENTOS!$B$5:$B$1005="TRASIEGO")*(MOVIMIENTOS!$C$5:$C$1005="P")*(MOVIMIENTOS!$D$5:$D$1005="jabas")*(MOVIMIENTOS!$A$5:$A$1005&lt;&gt;"")*(MOVIMIENTOS!$A$5:$A$1005&lt;=$A471)*MOVIMIENTOS!$E$5:$E$1005)-SUMPRODUCT((MOVIMIENTOS!$B$5:$B$1005="REGALO")*(MOVIMIENTOS!$C$5:$C$1005="P")*(MOVIMIENTOS!$D$5:$D$1005="jabas")*(MOVIMIENTOS!$A$5:$A$1005&lt;&gt;"")*(MOVIMIENTOS!$A$5:$A$1005&lt;=$A471)*MOVIMIENTOS!$E$5:$E$1005)-SUMPRODUCT((MOVIMIENTOS!$B$5:$B$1005="VENTA")*(MOVIMIENTOS!$C$5:$C$1005="P")*(MOVIMIENTOS!$D$5:$D$1005="jabas")*(MOVIMIENTOS!$A$5:$A$1005&lt;&gt;"")*(MOVIMIENTOS!$A$5:$A$1005&lt;=$A471)*MOVIMIENTOS!$E$5:$E$1005)+SUMPRODUCT((MOVIMIENTOS!$B$5:$B$1005="AJUSTE")*(MOVIMIENTOS!$C$5:$C$1005="P")*(MOVIMIENTOS!$D$5:$D$1005="jabas")*(MOVIMIENTOS!$A$5:$A$1005&lt;&gt;"")*(MOVIMIENTOS!$A$5:$A$1005&lt;=$A471)*MOVIMIENTOS!$E$5:$E$1005))</f>
        <v/>
      </c>
      <c r="D471" t="str">
        <f>IF($A471="","",SUMPRODUCT((MOVIMIENTOS!$B$5:$B$1005="SALDO INICIAL")*(MOVIMIENTOS!$C$5:$C$1005="C")*(MOVIMIENTOS!$D$5:$D$1005="jabas")*(MOVIMIENTOS!$A$5:$A$1005&lt;&gt;"")*(MOVIMIENTOS!$A$5:$A$1005&lt;=$A471)*MOVIMIENTOS!$E$5:$E$1005)+SUMPRODUCT((MOVIMIENTOS!$B$5:$B$1005="PROCESO")*(MOVIMIENTOS!$C$5:$C$1005="C")*(MOVIMIENTOS!$D$5:$D$1005="jabas")*(MOVIMIENTOS!$A$5:$A$1005&lt;&gt;"")*(MOVIMIENTOS!$A$5:$A$1005&lt;=$A471)*MOVIMIENTOS!$E$5:$E$1005)-SUMPRODUCT((MOVIMIENTOS!$B$5:$B$1005="ENVÍO A SUPESA")*(MOVIMIENTOS!$C$5:$C$1005="C")*(MOVIMIENTOS!$D$5:$D$1005="jabas")*(MOVIMIENTOS!$A$5:$A$1005&lt;&gt;"")*(MOVIMIENTOS!$A$5:$A$1005&lt;=$A471)*MOVIMIENTOS!$E$5:$E$1005)+SUMPRODUCT((MOVIMIENTOS!$B$5:$B$1005="DEVOLUCIÓN")*(MOVIMIENTOS!$C$5:$C$1005="C")*(MOVIMIENTOS!$D$5:$D$1005="jabas")*(MOVIMIENTOS!$A$5:$A$1005&lt;&gt;"")*(MOVIMIENTOS!$A$5:$A$1005&lt;=$A471)*MOVIMIENTOS!$E$5:$E$1005)-SUMPRODUCT((MOVIMIENTOS!$B$5:$B$1005="TRASIEGO")*(MOVIMIENTOS!$C$5:$C$1005="C")*(MOVIMIENTOS!$D$5:$D$1005="jabas")*(MOVIMIENTOS!$A$5:$A$1005&lt;&gt;"")*(MOVIMIENTOS!$A$5:$A$1005&lt;=$A471)*MOVIMIENTOS!$E$5:$E$1005)-SUMPRODUCT((MOVIMIENTOS!$B$5:$B$1005="REGALO")*(MOVIMIENTOS!$C$5:$C$1005="C")*(MOVIMIENTOS!$D$5:$D$1005="jabas")*(MOVIMIENTOS!$A$5:$A$1005&lt;&gt;"")*(MOVIMIENTOS!$A$5:$A$1005&lt;=$A471)*MOVIMIENTOS!$E$5:$E$1005)-SUMPRODUCT((MOVIMIENTOS!$B$5:$B$1005="VENTA")*(MOVIMIENTOS!$C$5:$C$1005="C")*(MOVIMIENTOS!$D$5:$D$1005="jabas")*(MOVIMIENTOS!$A$5:$A$1005&lt;&gt;"")*(MOVIMIENTOS!$A$5:$A$1005&lt;=$A471)*MOVIMIENTOS!$E$5:$E$1005)+SUMPRODUCT((MOVIMIENTOS!$B$5:$B$1005="AJUSTE")*(MOVIMIENTOS!$C$5:$C$1005="C")*(MOVIMIENTOS!$D$5:$D$1005="jabas")*(MOVIMIENTOS!$A$5:$A$1005&lt;&gt;"")*(MOVIMIENTOS!$A$5:$A$1005&lt;=$A471)*MOVIMIENTOS!$E$5:$E$1005))</f>
        <v/>
      </c>
      <c r="E471" t="str">
        <f>IF($A471="","",SUMPRODUCT((MOVIMIENTOS!$B$5:$B$1005="SALDO INICIAL")*(MOVIMIENTOS!$C$5:$C$1005="M")*(MOVIMIENTOS!$D$5:$D$1005="jabas")*(MOVIMIENTOS!$A$5:$A$1005&lt;&gt;"")*(MOVIMIENTOS!$A$5:$A$1005&lt;=$A471)*MOVIMIENTOS!$E$5:$E$1005)+SUMPRODUCT((MOVIMIENTOS!$B$5:$B$1005="PROCESO")*(MOVIMIENTOS!$C$5:$C$1005="M")*(MOVIMIENTOS!$D$5:$D$1005="jabas")*(MOVIMIENTOS!$A$5:$A$1005&lt;&gt;"")*(MOVIMIENTOS!$A$5:$A$1005&lt;=$A471)*MOVIMIENTOS!$E$5:$E$1005)-SUMPRODUCT((MOVIMIENTOS!$B$5:$B$1005="ENVÍO A SUPESA")*(MOVIMIENTOS!$C$5:$C$1005="M")*(MOVIMIENTOS!$D$5:$D$1005="jabas")*(MOVIMIENTOS!$A$5:$A$1005&lt;&gt;"")*(MOVIMIENTOS!$A$5:$A$1005&lt;=$A471)*MOVIMIENTOS!$E$5:$E$1005)+SUMPRODUCT((MOVIMIENTOS!$B$5:$B$1005="DEVOLUCIÓN")*(MOVIMIENTOS!$C$5:$C$1005="M")*(MOVIMIENTOS!$D$5:$D$1005="jabas")*(MOVIMIENTOS!$A$5:$A$1005&lt;&gt;"")*(MOVIMIENTOS!$A$5:$A$1005&lt;=$A471)*MOVIMIENTOS!$E$5:$E$1005)-SUMPRODUCT((MOVIMIENTOS!$B$5:$B$1005="TRASIEGO")*(MOVIMIENTOS!$C$5:$C$1005="M")*(MOVIMIENTOS!$D$5:$D$1005="jabas")*(MOVIMIENTOS!$A$5:$A$1005&lt;&gt;"")*(MOVIMIENTOS!$A$5:$A$1005&lt;=$A471)*MOVIMIENTOS!$E$5:$E$1005)-SUMPRODUCT((MOVIMIENTOS!$B$5:$B$1005="REGALO")*(MOVIMIENTOS!$C$5:$C$1005="M")*(MOVIMIENTOS!$D$5:$D$1005="jabas")*(MOVIMIENTOS!$A$5:$A$1005&lt;&gt;"")*(MOVIMIENTOS!$A$5:$A$1005&lt;=$A471)*MOVIMIENTOS!$E$5:$E$1005)-SUMPRODUCT((MOVIMIENTOS!$B$5:$B$1005="VENTA")*(MOVIMIENTOS!$C$5:$C$1005="M")*(MOVIMIENTOS!$D$5:$D$1005="jabas")*(MOVIMIENTOS!$A$5:$A$1005&lt;&gt;"")*(MOVIMIENTOS!$A$5:$A$1005&lt;=$A471)*MOVIMIENTOS!$E$5:$E$1005)+SUMPRODUCT((MOVIMIENTOS!$B$5:$B$1005="AJUSTE")*(MOVIMIENTOS!$C$5:$C$1005="M")*(MOVIMIENTOS!$D$5:$D$1005="jabas")*(MOVIMIENTOS!$A$5:$A$1005&lt;&gt;"")*(MOVIMIENTOS!$A$5:$A$1005&lt;=$A471)*MOVIMIENTOS!$E$5:$E$1005))</f>
        <v/>
      </c>
      <c r="F471" s="62" t="str">
        <f>IF($A471="","",SUMPRODUCT((MOVIMIENTOS!$B$5:$B$1005="SALDO INICIAL")*(MOVIMIENTOS!$C$5:$C$1005="Chancho")*(MOVIMIENTOS!$D$5:$D$1005="sacos")*(MOVIMIENTOS!$A$5:$A$1005&lt;&gt;"")*(MOVIMIENTOS!$A$5:$A$1005&lt;=$A471)*MOVIMIENTOS!$E$5:$E$1005)+SUMPRODUCT((MOVIMIENTOS!$B$5:$B$1005="PROCESO")*(MOVIMIENTOS!$C$5:$C$1005="Chancho")*(MOVIMIENTOS!$D$5:$D$1005="sacos")*(MOVIMIENTOS!$A$5:$A$1005&lt;&gt;"")*(MOVIMIENTOS!$A$5:$A$1005&lt;=$A471)*MOVIMIENTOS!$E$5:$E$1005)-SUMPRODUCT((MOVIMIENTOS!$B$5:$B$1005="VENTA CHANCHO")*(MOVIMIENTOS!$C$5:$C$1005="Chancho")*(MOVIMIENTOS!$D$5:$D$1005="sacos")*(MOVIMIENTOS!$A$5:$A$1005&lt;&gt;"")*(MOVIMIENTOS!$A$5:$A$1005&lt;=$A471)*MOVIMIENTOS!$E$5:$E$1005)-SUMPRODUCT((MOVIMIENTOS!$B$5:$B$1005="REGALO")*(MOVIMIENTOS!$C$5:$C$1005="Chancho")*(MOVIMIENTOS!$D$5:$D$1005="sacos")*(MOVIMIENTOS!$A$5:$A$1005&lt;&gt;"")*(MOVIMIENTOS!$A$5:$A$1005&lt;=$A471)*MOVIMIENTOS!$E$5:$E$1005)-SUMPRODUCT((MOVIMIENTOS!$B$5:$B$1005="VENTA")*(MOVIMIENTOS!$C$5:$C$1005="Chancho")*(MOVIMIENTOS!$D$5:$D$1005="sacos")*(MOVIMIENTOS!$A$5:$A$1005&lt;&gt;"")*(MOVIMIENTOS!$A$5:$A$1005&lt;=$A471)*MOVIMIENTOS!$E$5:$E$1005)+SUMPRODUCT((MOVIMIENTOS!$B$5:$B$1005="AJUSTE")*(MOVIMIENTOS!$C$5:$C$1005="Chancho")*(MOVIMIENTOS!$D$5:$D$1005="sacos")*(MOVIMIENTOS!$A$5:$A$1005&lt;&gt;"")*(MOVIMIENTOS!$A$5:$A$1005&lt;=$A471)*MOVIMIENTOS!$E$5:$E$1005))</f>
        <v/>
      </c>
      <c r="G471" s="62" t="str">
        <f t="shared" si="15"/>
        <v/>
      </c>
      <c r="H471" t="str">
        <f>IF($A471="","",SUMPRODUCT((((MOVIMIENTOS!$B$5:$B$1005="SALDO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471)*MOVIMIENTOS!$J$5:$J$1005))</f>
        <v/>
      </c>
      <c r="J471" t="str">
        <f>IF(AND(MOVIMIENTOS!$A476&lt;&gt;"",COUNTIF(MOVIMIENTOS!$A$5:$A475,MOVIMIENTOS!$A476)=0),COUNT(J$4:J470)+1,"")</f>
        <v/>
      </c>
      <c r="K471" s="67">
        <f>MOVIMIENTOS!$A476</f>
        <v>0</v>
      </c>
    </row>
    <row r="472" spans="1:11" ht="15" customHeight="1" x14ac:dyDescent="0.2">
      <c r="A472" t="str">
        <f t="shared" si="14"/>
        <v/>
      </c>
      <c r="B472" t="str">
        <f>IF($A472="","",SUMPRODUCT((MOVIMIENTOS!$B$5:$B$1005="SALDO INICIAL")*(MOVIMIENTOS!$C$5:$C$1005="A")*(MOVIMIENTOS!$D$5:$D$1005="jabas")*(MOVIMIENTOS!$A$5:$A$1005&lt;&gt;"")*(MOVIMIENTOS!$A$5:$A$1005&lt;=$A472)*MOVIMIENTOS!$E$5:$E$1005)+SUMPRODUCT((MOVIMIENTOS!$B$5:$B$1005="PROCESO")*(MOVIMIENTOS!$C$5:$C$1005="A")*(MOVIMIENTOS!$D$5:$D$1005="jabas")*(MOVIMIENTOS!$A$5:$A$1005&lt;&gt;"")*(MOVIMIENTOS!$A$5:$A$1005&lt;=$A472)*MOVIMIENTOS!$E$5:$E$1005)-SUMPRODUCT((MOVIMIENTOS!$B$5:$B$1005="ENVÍO A SUPESA")*(MOVIMIENTOS!$C$5:$C$1005="A")*(MOVIMIENTOS!$D$5:$D$1005="jabas")*(MOVIMIENTOS!$A$5:$A$1005&lt;&gt;"")*(MOVIMIENTOS!$A$5:$A$1005&lt;=$A472)*MOVIMIENTOS!$E$5:$E$1005)+SUMPRODUCT((MOVIMIENTOS!$B$5:$B$1005="DEVOLUCIÓN")*(MOVIMIENTOS!$C$5:$C$1005="A")*(MOVIMIENTOS!$D$5:$D$1005="jabas")*(MOVIMIENTOS!$A$5:$A$1005&lt;&gt;"")*(MOVIMIENTOS!$A$5:$A$1005&lt;=$A472)*MOVIMIENTOS!$E$5:$E$1005)-SUMPRODUCT((MOVIMIENTOS!$B$5:$B$1005="TRASIEGO")*(MOVIMIENTOS!$C$5:$C$1005="A")*(MOVIMIENTOS!$D$5:$D$1005="jabas")*(MOVIMIENTOS!$A$5:$A$1005&lt;&gt;"")*(MOVIMIENTOS!$A$5:$A$1005&lt;=$A472)*MOVIMIENTOS!$E$5:$E$1005)-SUMPRODUCT((MOVIMIENTOS!$B$5:$B$1005="REGALO")*(MOVIMIENTOS!$C$5:$C$1005="A")*(MOVIMIENTOS!$D$5:$D$1005="jabas")*(MOVIMIENTOS!$A$5:$A$1005&lt;&gt;"")*(MOVIMIENTOS!$A$5:$A$1005&lt;=$A472)*MOVIMIENTOS!$E$5:$E$1005)-SUMPRODUCT((MOVIMIENTOS!$B$5:$B$1005="VENTA")*(MOVIMIENTOS!$C$5:$C$1005="A")*(MOVIMIENTOS!$D$5:$D$1005="jabas")*(MOVIMIENTOS!$A$5:$A$1005&lt;&gt;"")*(MOVIMIENTOS!$A$5:$A$1005&lt;=$A472)*MOVIMIENTOS!$E$5:$E$1005)+SUMPRODUCT((MOVIMIENTOS!$B$5:$B$1005="AJUSTE")*(MOVIMIENTOS!$C$5:$C$1005="A")*(MOVIMIENTOS!$D$5:$D$1005="jabas")*(MOVIMIENTOS!$A$5:$A$1005&lt;&gt;"")*(MOVIMIENTOS!$A$5:$A$1005&lt;=$A472)*MOVIMIENTOS!$E$5:$E$1005))</f>
        <v/>
      </c>
      <c r="C472" t="str">
        <f>IF($A472="","",SUMPRODUCT((MOVIMIENTOS!$B$5:$B$1005="SALDO INICIAL")*(MOVIMIENTOS!$C$5:$C$1005="P")*(MOVIMIENTOS!$D$5:$D$1005="jabas")*(MOVIMIENTOS!$A$5:$A$1005&lt;&gt;"")*(MOVIMIENTOS!$A$5:$A$1005&lt;=$A472)*MOVIMIENTOS!$E$5:$E$1005)+SUMPRODUCT((MOVIMIENTOS!$B$5:$B$1005="PROCESO")*(MOVIMIENTOS!$C$5:$C$1005="P")*(MOVIMIENTOS!$D$5:$D$1005="jabas")*(MOVIMIENTOS!$A$5:$A$1005&lt;&gt;"")*(MOVIMIENTOS!$A$5:$A$1005&lt;=$A472)*MOVIMIENTOS!$E$5:$E$1005)-SUMPRODUCT((MOVIMIENTOS!$B$5:$B$1005="ENVÍO A SUPESA")*(MOVIMIENTOS!$C$5:$C$1005="P")*(MOVIMIENTOS!$D$5:$D$1005="jabas")*(MOVIMIENTOS!$A$5:$A$1005&lt;&gt;"")*(MOVIMIENTOS!$A$5:$A$1005&lt;=$A472)*MOVIMIENTOS!$E$5:$E$1005)+SUMPRODUCT((MOVIMIENTOS!$B$5:$B$1005="DEVOLUCIÓN")*(MOVIMIENTOS!$C$5:$C$1005="P")*(MOVIMIENTOS!$D$5:$D$1005="jabas")*(MOVIMIENTOS!$A$5:$A$1005&lt;&gt;"")*(MOVIMIENTOS!$A$5:$A$1005&lt;=$A472)*MOVIMIENTOS!$E$5:$E$1005)-SUMPRODUCT((MOVIMIENTOS!$B$5:$B$1005="TRASIEGO")*(MOVIMIENTOS!$C$5:$C$1005="P")*(MOVIMIENTOS!$D$5:$D$1005="jabas")*(MOVIMIENTOS!$A$5:$A$1005&lt;&gt;"")*(MOVIMIENTOS!$A$5:$A$1005&lt;=$A472)*MOVIMIENTOS!$E$5:$E$1005)-SUMPRODUCT((MOVIMIENTOS!$B$5:$B$1005="REGALO")*(MOVIMIENTOS!$C$5:$C$1005="P")*(MOVIMIENTOS!$D$5:$D$1005="jabas")*(MOVIMIENTOS!$A$5:$A$1005&lt;&gt;"")*(MOVIMIENTOS!$A$5:$A$1005&lt;=$A472)*MOVIMIENTOS!$E$5:$E$1005)-SUMPRODUCT((MOVIMIENTOS!$B$5:$B$1005="VENTA")*(MOVIMIENTOS!$C$5:$C$1005="P")*(MOVIMIENTOS!$D$5:$D$1005="jabas")*(MOVIMIENTOS!$A$5:$A$1005&lt;&gt;"")*(MOVIMIENTOS!$A$5:$A$1005&lt;=$A472)*MOVIMIENTOS!$E$5:$E$1005)+SUMPRODUCT((MOVIMIENTOS!$B$5:$B$1005="AJUSTE")*(MOVIMIENTOS!$C$5:$C$1005="P")*(MOVIMIENTOS!$D$5:$D$1005="jabas")*(MOVIMIENTOS!$A$5:$A$1005&lt;&gt;"")*(MOVIMIENTOS!$A$5:$A$1005&lt;=$A472)*MOVIMIENTOS!$E$5:$E$1005))</f>
        <v/>
      </c>
      <c r="D472" t="str">
        <f>IF($A472="","",SUMPRODUCT((MOVIMIENTOS!$B$5:$B$1005="SALDO INICIAL")*(MOVIMIENTOS!$C$5:$C$1005="C")*(MOVIMIENTOS!$D$5:$D$1005="jabas")*(MOVIMIENTOS!$A$5:$A$1005&lt;&gt;"")*(MOVIMIENTOS!$A$5:$A$1005&lt;=$A472)*MOVIMIENTOS!$E$5:$E$1005)+SUMPRODUCT((MOVIMIENTOS!$B$5:$B$1005="PROCESO")*(MOVIMIENTOS!$C$5:$C$1005="C")*(MOVIMIENTOS!$D$5:$D$1005="jabas")*(MOVIMIENTOS!$A$5:$A$1005&lt;&gt;"")*(MOVIMIENTOS!$A$5:$A$1005&lt;=$A472)*MOVIMIENTOS!$E$5:$E$1005)-SUMPRODUCT((MOVIMIENTOS!$B$5:$B$1005="ENVÍO A SUPESA")*(MOVIMIENTOS!$C$5:$C$1005="C")*(MOVIMIENTOS!$D$5:$D$1005="jabas")*(MOVIMIENTOS!$A$5:$A$1005&lt;&gt;"")*(MOVIMIENTOS!$A$5:$A$1005&lt;=$A472)*MOVIMIENTOS!$E$5:$E$1005)+SUMPRODUCT((MOVIMIENTOS!$B$5:$B$1005="DEVOLUCIÓN")*(MOVIMIENTOS!$C$5:$C$1005="C")*(MOVIMIENTOS!$D$5:$D$1005="jabas")*(MOVIMIENTOS!$A$5:$A$1005&lt;&gt;"")*(MOVIMIENTOS!$A$5:$A$1005&lt;=$A472)*MOVIMIENTOS!$E$5:$E$1005)-SUMPRODUCT((MOVIMIENTOS!$B$5:$B$1005="TRASIEGO")*(MOVIMIENTOS!$C$5:$C$1005="C")*(MOVIMIENTOS!$D$5:$D$1005="jabas")*(MOVIMIENTOS!$A$5:$A$1005&lt;&gt;"")*(MOVIMIENTOS!$A$5:$A$1005&lt;=$A472)*MOVIMIENTOS!$E$5:$E$1005)-SUMPRODUCT((MOVIMIENTOS!$B$5:$B$1005="REGALO")*(MOVIMIENTOS!$C$5:$C$1005="C")*(MOVIMIENTOS!$D$5:$D$1005="jabas")*(MOVIMIENTOS!$A$5:$A$1005&lt;&gt;"")*(MOVIMIENTOS!$A$5:$A$1005&lt;=$A472)*MOVIMIENTOS!$E$5:$E$1005)-SUMPRODUCT((MOVIMIENTOS!$B$5:$B$1005="VENTA")*(MOVIMIENTOS!$C$5:$C$1005="C")*(MOVIMIENTOS!$D$5:$D$1005="jabas")*(MOVIMIENTOS!$A$5:$A$1005&lt;&gt;"")*(MOVIMIENTOS!$A$5:$A$1005&lt;=$A472)*MOVIMIENTOS!$E$5:$E$1005)+SUMPRODUCT((MOVIMIENTOS!$B$5:$B$1005="AJUSTE")*(MOVIMIENTOS!$C$5:$C$1005="C")*(MOVIMIENTOS!$D$5:$D$1005="jabas")*(MOVIMIENTOS!$A$5:$A$1005&lt;&gt;"")*(MOVIMIENTOS!$A$5:$A$1005&lt;=$A472)*MOVIMIENTOS!$E$5:$E$1005))</f>
        <v/>
      </c>
      <c r="E472" t="str">
        <f>IF($A472="","",SUMPRODUCT((MOVIMIENTOS!$B$5:$B$1005="SALDO INICIAL")*(MOVIMIENTOS!$C$5:$C$1005="M")*(MOVIMIENTOS!$D$5:$D$1005="jabas")*(MOVIMIENTOS!$A$5:$A$1005&lt;&gt;"")*(MOVIMIENTOS!$A$5:$A$1005&lt;=$A472)*MOVIMIENTOS!$E$5:$E$1005)+SUMPRODUCT((MOVIMIENTOS!$B$5:$B$1005="PROCESO")*(MOVIMIENTOS!$C$5:$C$1005="M")*(MOVIMIENTOS!$D$5:$D$1005="jabas")*(MOVIMIENTOS!$A$5:$A$1005&lt;&gt;"")*(MOVIMIENTOS!$A$5:$A$1005&lt;=$A472)*MOVIMIENTOS!$E$5:$E$1005)-SUMPRODUCT((MOVIMIENTOS!$B$5:$B$1005="ENVÍO A SUPESA")*(MOVIMIENTOS!$C$5:$C$1005="M")*(MOVIMIENTOS!$D$5:$D$1005="jabas")*(MOVIMIENTOS!$A$5:$A$1005&lt;&gt;"")*(MOVIMIENTOS!$A$5:$A$1005&lt;=$A472)*MOVIMIENTOS!$E$5:$E$1005)+SUMPRODUCT((MOVIMIENTOS!$B$5:$B$1005="DEVOLUCIÓN")*(MOVIMIENTOS!$C$5:$C$1005="M")*(MOVIMIENTOS!$D$5:$D$1005="jabas")*(MOVIMIENTOS!$A$5:$A$1005&lt;&gt;"")*(MOVIMIENTOS!$A$5:$A$1005&lt;=$A472)*MOVIMIENTOS!$E$5:$E$1005)-SUMPRODUCT((MOVIMIENTOS!$B$5:$B$1005="TRASIEGO")*(MOVIMIENTOS!$C$5:$C$1005="M")*(MOVIMIENTOS!$D$5:$D$1005="jabas")*(MOVIMIENTOS!$A$5:$A$1005&lt;&gt;"")*(MOVIMIENTOS!$A$5:$A$1005&lt;=$A472)*MOVIMIENTOS!$E$5:$E$1005)-SUMPRODUCT((MOVIMIENTOS!$B$5:$B$1005="REGALO")*(MOVIMIENTOS!$C$5:$C$1005="M")*(MOVIMIENTOS!$D$5:$D$1005="jabas")*(MOVIMIENTOS!$A$5:$A$1005&lt;&gt;"")*(MOVIMIENTOS!$A$5:$A$1005&lt;=$A472)*MOVIMIENTOS!$E$5:$E$1005)-SUMPRODUCT((MOVIMIENTOS!$B$5:$B$1005="VENTA")*(MOVIMIENTOS!$C$5:$C$1005="M")*(MOVIMIENTOS!$D$5:$D$1005="jabas")*(MOVIMIENTOS!$A$5:$A$1005&lt;&gt;"")*(MOVIMIENTOS!$A$5:$A$1005&lt;=$A472)*MOVIMIENTOS!$E$5:$E$1005)+SUMPRODUCT((MOVIMIENTOS!$B$5:$B$1005="AJUSTE")*(MOVIMIENTOS!$C$5:$C$1005="M")*(MOVIMIENTOS!$D$5:$D$1005="jabas")*(MOVIMIENTOS!$A$5:$A$1005&lt;&gt;"")*(MOVIMIENTOS!$A$5:$A$1005&lt;=$A472)*MOVIMIENTOS!$E$5:$E$1005))</f>
        <v/>
      </c>
      <c r="F472" s="62" t="str">
        <f>IF($A472="","",SUMPRODUCT((MOVIMIENTOS!$B$5:$B$1005="SALDO INICIAL")*(MOVIMIENTOS!$C$5:$C$1005="Chancho")*(MOVIMIENTOS!$D$5:$D$1005="sacos")*(MOVIMIENTOS!$A$5:$A$1005&lt;&gt;"")*(MOVIMIENTOS!$A$5:$A$1005&lt;=$A472)*MOVIMIENTOS!$E$5:$E$1005)+SUMPRODUCT((MOVIMIENTOS!$B$5:$B$1005="PROCESO")*(MOVIMIENTOS!$C$5:$C$1005="Chancho")*(MOVIMIENTOS!$D$5:$D$1005="sacos")*(MOVIMIENTOS!$A$5:$A$1005&lt;&gt;"")*(MOVIMIENTOS!$A$5:$A$1005&lt;=$A472)*MOVIMIENTOS!$E$5:$E$1005)-SUMPRODUCT((MOVIMIENTOS!$B$5:$B$1005="VENTA CHANCHO")*(MOVIMIENTOS!$C$5:$C$1005="Chancho")*(MOVIMIENTOS!$D$5:$D$1005="sacos")*(MOVIMIENTOS!$A$5:$A$1005&lt;&gt;"")*(MOVIMIENTOS!$A$5:$A$1005&lt;=$A472)*MOVIMIENTOS!$E$5:$E$1005)-SUMPRODUCT((MOVIMIENTOS!$B$5:$B$1005="REGALO")*(MOVIMIENTOS!$C$5:$C$1005="Chancho")*(MOVIMIENTOS!$D$5:$D$1005="sacos")*(MOVIMIENTOS!$A$5:$A$1005&lt;&gt;"")*(MOVIMIENTOS!$A$5:$A$1005&lt;=$A472)*MOVIMIENTOS!$E$5:$E$1005)-SUMPRODUCT((MOVIMIENTOS!$B$5:$B$1005="VENTA")*(MOVIMIENTOS!$C$5:$C$1005="Chancho")*(MOVIMIENTOS!$D$5:$D$1005="sacos")*(MOVIMIENTOS!$A$5:$A$1005&lt;&gt;"")*(MOVIMIENTOS!$A$5:$A$1005&lt;=$A472)*MOVIMIENTOS!$E$5:$E$1005)+SUMPRODUCT((MOVIMIENTOS!$B$5:$B$1005="AJUSTE")*(MOVIMIENTOS!$C$5:$C$1005="Chancho")*(MOVIMIENTOS!$D$5:$D$1005="sacos")*(MOVIMIENTOS!$A$5:$A$1005&lt;&gt;"")*(MOVIMIENTOS!$A$5:$A$1005&lt;=$A472)*MOVIMIENTOS!$E$5:$E$1005))</f>
        <v/>
      </c>
      <c r="G472" s="62" t="str">
        <f t="shared" si="15"/>
        <v/>
      </c>
      <c r="H472" t="str">
        <f>IF($A472="","",SUMPRODUCT((((MOVIMIENTOS!$B$5:$B$1005="SALDO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472)*MOVIMIENTOS!$J$5:$J$1005))</f>
        <v/>
      </c>
      <c r="J472" t="str">
        <f>IF(AND(MOVIMIENTOS!$A477&lt;&gt;"",COUNTIF(MOVIMIENTOS!$A$5:$A476,MOVIMIENTOS!$A477)=0),COUNT(J$4:J471)+1,"")</f>
        <v/>
      </c>
      <c r="K472" s="67">
        <f>MOVIMIENTOS!$A477</f>
        <v>0</v>
      </c>
    </row>
    <row r="473" spans="1:11" ht="15" customHeight="1" x14ac:dyDescent="0.2">
      <c r="A473" t="str">
        <f t="shared" si="14"/>
        <v/>
      </c>
      <c r="B473" t="str">
        <f>IF($A473="","",SUMPRODUCT((MOVIMIENTOS!$B$5:$B$1005="SALDO INICIAL")*(MOVIMIENTOS!$C$5:$C$1005="A")*(MOVIMIENTOS!$D$5:$D$1005="jabas")*(MOVIMIENTOS!$A$5:$A$1005&lt;&gt;"")*(MOVIMIENTOS!$A$5:$A$1005&lt;=$A473)*MOVIMIENTOS!$E$5:$E$1005)+SUMPRODUCT((MOVIMIENTOS!$B$5:$B$1005="PROCESO")*(MOVIMIENTOS!$C$5:$C$1005="A")*(MOVIMIENTOS!$D$5:$D$1005="jabas")*(MOVIMIENTOS!$A$5:$A$1005&lt;&gt;"")*(MOVIMIENTOS!$A$5:$A$1005&lt;=$A473)*MOVIMIENTOS!$E$5:$E$1005)-SUMPRODUCT((MOVIMIENTOS!$B$5:$B$1005="ENVÍO A SUPESA")*(MOVIMIENTOS!$C$5:$C$1005="A")*(MOVIMIENTOS!$D$5:$D$1005="jabas")*(MOVIMIENTOS!$A$5:$A$1005&lt;&gt;"")*(MOVIMIENTOS!$A$5:$A$1005&lt;=$A473)*MOVIMIENTOS!$E$5:$E$1005)+SUMPRODUCT((MOVIMIENTOS!$B$5:$B$1005="DEVOLUCIÓN")*(MOVIMIENTOS!$C$5:$C$1005="A")*(MOVIMIENTOS!$D$5:$D$1005="jabas")*(MOVIMIENTOS!$A$5:$A$1005&lt;&gt;"")*(MOVIMIENTOS!$A$5:$A$1005&lt;=$A473)*MOVIMIENTOS!$E$5:$E$1005)-SUMPRODUCT((MOVIMIENTOS!$B$5:$B$1005="TRASIEGO")*(MOVIMIENTOS!$C$5:$C$1005="A")*(MOVIMIENTOS!$D$5:$D$1005="jabas")*(MOVIMIENTOS!$A$5:$A$1005&lt;&gt;"")*(MOVIMIENTOS!$A$5:$A$1005&lt;=$A473)*MOVIMIENTOS!$E$5:$E$1005)-SUMPRODUCT((MOVIMIENTOS!$B$5:$B$1005="REGALO")*(MOVIMIENTOS!$C$5:$C$1005="A")*(MOVIMIENTOS!$D$5:$D$1005="jabas")*(MOVIMIENTOS!$A$5:$A$1005&lt;&gt;"")*(MOVIMIENTOS!$A$5:$A$1005&lt;=$A473)*MOVIMIENTOS!$E$5:$E$1005)-SUMPRODUCT((MOVIMIENTOS!$B$5:$B$1005="VENTA")*(MOVIMIENTOS!$C$5:$C$1005="A")*(MOVIMIENTOS!$D$5:$D$1005="jabas")*(MOVIMIENTOS!$A$5:$A$1005&lt;&gt;"")*(MOVIMIENTOS!$A$5:$A$1005&lt;=$A473)*MOVIMIENTOS!$E$5:$E$1005)+SUMPRODUCT((MOVIMIENTOS!$B$5:$B$1005="AJUSTE")*(MOVIMIENTOS!$C$5:$C$1005="A")*(MOVIMIENTOS!$D$5:$D$1005="jabas")*(MOVIMIENTOS!$A$5:$A$1005&lt;&gt;"")*(MOVIMIENTOS!$A$5:$A$1005&lt;=$A473)*MOVIMIENTOS!$E$5:$E$1005))</f>
        <v/>
      </c>
      <c r="C473" t="str">
        <f>IF($A473="","",SUMPRODUCT((MOVIMIENTOS!$B$5:$B$1005="SALDO INICIAL")*(MOVIMIENTOS!$C$5:$C$1005="P")*(MOVIMIENTOS!$D$5:$D$1005="jabas")*(MOVIMIENTOS!$A$5:$A$1005&lt;&gt;"")*(MOVIMIENTOS!$A$5:$A$1005&lt;=$A473)*MOVIMIENTOS!$E$5:$E$1005)+SUMPRODUCT((MOVIMIENTOS!$B$5:$B$1005="PROCESO")*(MOVIMIENTOS!$C$5:$C$1005="P")*(MOVIMIENTOS!$D$5:$D$1005="jabas")*(MOVIMIENTOS!$A$5:$A$1005&lt;&gt;"")*(MOVIMIENTOS!$A$5:$A$1005&lt;=$A473)*MOVIMIENTOS!$E$5:$E$1005)-SUMPRODUCT((MOVIMIENTOS!$B$5:$B$1005="ENVÍO A SUPESA")*(MOVIMIENTOS!$C$5:$C$1005="P")*(MOVIMIENTOS!$D$5:$D$1005="jabas")*(MOVIMIENTOS!$A$5:$A$1005&lt;&gt;"")*(MOVIMIENTOS!$A$5:$A$1005&lt;=$A473)*MOVIMIENTOS!$E$5:$E$1005)+SUMPRODUCT((MOVIMIENTOS!$B$5:$B$1005="DEVOLUCIÓN")*(MOVIMIENTOS!$C$5:$C$1005="P")*(MOVIMIENTOS!$D$5:$D$1005="jabas")*(MOVIMIENTOS!$A$5:$A$1005&lt;&gt;"")*(MOVIMIENTOS!$A$5:$A$1005&lt;=$A473)*MOVIMIENTOS!$E$5:$E$1005)-SUMPRODUCT((MOVIMIENTOS!$B$5:$B$1005="TRASIEGO")*(MOVIMIENTOS!$C$5:$C$1005="P")*(MOVIMIENTOS!$D$5:$D$1005="jabas")*(MOVIMIENTOS!$A$5:$A$1005&lt;&gt;"")*(MOVIMIENTOS!$A$5:$A$1005&lt;=$A473)*MOVIMIENTOS!$E$5:$E$1005)-SUMPRODUCT((MOVIMIENTOS!$B$5:$B$1005="REGALO")*(MOVIMIENTOS!$C$5:$C$1005="P")*(MOVIMIENTOS!$D$5:$D$1005="jabas")*(MOVIMIENTOS!$A$5:$A$1005&lt;&gt;"")*(MOVIMIENTOS!$A$5:$A$1005&lt;=$A473)*MOVIMIENTOS!$E$5:$E$1005)-SUMPRODUCT((MOVIMIENTOS!$B$5:$B$1005="VENTA")*(MOVIMIENTOS!$C$5:$C$1005="P")*(MOVIMIENTOS!$D$5:$D$1005="jabas")*(MOVIMIENTOS!$A$5:$A$1005&lt;&gt;"")*(MOVIMIENTOS!$A$5:$A$1005&lt;=$A473)*MOVIMIENTOS!$E$5:$E$1005)+SUMPRODUCT((MOVIMIENTOS!$B$5:$B$1005="AJUSTE")*(MOVIMIENTOS!$C$5:$C$1005="P")*(MOVIMIENTOS!$D$5:$D$1005="jabas")*(MOVIMIENTOS!$A$5:$A$1005&lt;&gt;"")*(MOVIMIENTOS!$A$5:$A$1005&lt;=$A473)*MOVIMIENTOS!$E$5:$E$1005))</f>
        <v/>
      </c>
      <c r="D473" t="str">
        <f>IF($A473="","",SUMPRODUCT((MOVIMIENTOS!$B$5:$B$1005="SALDO INICIAL")*(MOVIMIENTOS!$C$5:$C$1005="C")*(MOVIMIENTOS!$D$5:$D$1005="jabas")*(MOVIMIENTOS!$A$5:$A$1005&lt;&gt;"")*(MOVIMIENTOS!$A$5:$A$1005&lt;=$A473)*MOVIMIENTOS!$E$5:$E$1005)+SUMPRODUCT((MOVIMIENTOS!$B$5:$B$1005="PROCESO")*(MOVIMIENTOS!$C$5:$C$1005="C")*(MOVIMIENTOS!$D$5:$D$1005="jabas")*(MOVIMIENTOS!$A$5:$A$1005&lt;&gt;"")*(MOVIMIENTOS!$A$5:$A$1005&lt;=$A473)*MOVIMIENTOS!$E$5:$E$1005)-SUMPRODUCT((MOVIMIENTOS!$B$5:$B$1005="ENVÍO A SUPESA")*(MOVIMIENTOS!$C$5:$C$1005="C")*(MOVIMIENTOS!$D$5:$D$1005="jabas")*(MOVIMIENTOS!$A$5:$A$1005&lt;&gt;"")*(MOVIMIENTOS!$A$5:$A$1005&lt;=$A473)*MOVIMIENTOS!$E$5:$E$1005)+SUMPRODUCT((MOVIMIENTOS!$B$5:$B$1005="DEVOLUCIÓN")*(MOVIMIENTOS!$C$5:$C$1005="C")*(MOVIMIENTOS!$D$5:$D$1005="jabas")*(MOVIMIENTOS!$A$5:$A$1005&lt;&gt;"")*(MOVIMIENTOS!$A$5:$A$1005&lt;=$A473)*MOVIMIENTOS!$E$5:$E$1005)-SUMPRODUCT((MOVIMIENTOS!$B$5:$B$1005="TRASIEGO")*(MOVIMIENTOS!$C$5:$C$1005="C")*(MOVIMIENTOS!$D$5:$D$1005="jabas")*(MOVIMIENTOS!$A$5:$A$1005&lt;&gt;"")*(MOVIMIENTOS!$A$5:$A$1005&lt;=$A473)*MOVIMIENTOS!$E$5:$E$1005)-SUMPRODUCT((MOVIMIENTOS!$B$5:$B$1005="REGALO")*(MOVIMIENTOS!$C$5:$C$1005="C")*(MOVIMIENTOS!$D$5:$D$1005="jabas")*(MOVIMIENTOS!$A$5:$A$1005&lt;&gt;"")*(MOVIMIENTOS!$A$5:$A$1005&lt;=$A473)*MOVIMIENTOS!$E$5:$E$1005)-SUMPRODUCT((MOVIMIENTOS!$B$5:$B$1005="VENTA")*(MOVIMIENTOS!$C$5:$C$1005="C")*(MOVIMIENTOS!$D$5:$D$1005="jabas")*(MOVIMIENTOS!$A$5:$A$1005&lt;&gt;"")*(MOVIMIENTOS!$A$5:$A$1005&lt;=$A473)*MOVIMIENTOS!$E$5:$E$1005)+SUMPRODUCT((MOVIMIENTOS!$B$5:$B$1005="AJUSTE")*(MOVIMIENTOS!$C$5:$C$1005="C")*(MOVIMIENTOS!$D$5:$D$1005="jabas")*(MOVIMIENTOS!$A$5:$A$1005&lt;&gt;"")*(MOVIMIENTOS!$A$5:$A$1005&lt;=$A473)*MOVIMIENTOS!$E$5:$E$1005))</f>
        <v/>
      </c>
      <c r="E473" t="str">
        <f>IF($A473="","",SUMPRODUCT((MOVIMIENTOS!$B$5:$B$1005="SALDO INICIAL")*(MOVIMIENTOS!$C$5:$C$1005="M")*(MOVIMIENTOS!$D$5:$D$1005="jabas")*(MOVIMIENTOS!$A$5:$A$1005&lt;&gt;"")*(MOVIMIENTOS!$A$5:$A$1005&lt;=$A473)*MOVIMIENTOS!$E$5:$E$1005)+SUMPRODUCT((MOVIMIENTOS!$B$5:$B$1005="PROCESO")*(MOVIMIENTOS!$C$5:$C$1005="M")*(MOVIMIENTOS!$D$5:$D$1005="jabas")*(MOVIMIENTOS!$A$5:$A$1005&lt;&gt;"")*(MOVIMIENTOS!$A$5:$A$1005&lt;=$A473)*MOVIMIENTOS!$E$5:$E$1005)-SUMPRODUCT((MOVIMIENTOS!$B$5:$B$1005="ENVÍO A SUPESA")*(MOVIMIENTOS!$C$5:$C$1005="M")*(MOVIMIENTOS!$D$5:$D$1005="jabas")*(MOVIMIENTOS!$A$5:$A$1005&lt;&gt;"")*(MOVIMIENTOS!$A$5:$A$1005&lt;=$A473)*MOVIMIENTOS!$E$5:$E$1005)+SUMPRODUCT((MOVIMIENTOS!$B$5:$B$1005="DEVOLUCIÓN")*(MOVIMIENTOS!$C$5:$C$1005="M")*(MOVIMIENTOS!$D$5:$D$1005="jabas")*(MOVIMIENTOS!$A$5:$A$1005&lt;&gt;"")*(MOVIMIENTOS!$A$5:$A$1005&lt;=$A473)*MOVIMIENTOS!$E$5:$E$1005)-SUMPRODUCT((MOVIMIENTOS!$B$5:$B$1005="TRASIEGO")*(MOVIMIENTOS!$C$5:$C$1005="M")*(MOVIMIENTOS!$D$5:$D$1005="jabas")*(MOVIMIENTOS!$A$5:$A$1005&lt;&gt;"")*(MOVIMIENTOS!$A$5:$A$1005&lt;=$A473)*MOVIMIENTOS!$E$5:$E$1005)-SUMPRODUCT((MOVIMIENTOS!$B$5:$B$1005="REGALO")*(MOVIMIENTOS!$C$5:$C$1005="M")*(MOVIMIENTOS!$D$5:$D$1005="jabas")*(MOVIMIENTOS!$A$5:$A$1005&lt;&gt;"")*(MOVIMIENTOS!$A$5:$A$1005&lt;=$A473)*MOVIMIENTOS!$E$5:$E$1005)-SUMPRODUCT((MOVIMIENTOS!$B$5:$B$1005="VENTA")*(MOVIMIENTOS!$C$5:$C$1005="M")*(MOVIMIENTOS!$D$5:$D$1005="jabas")*(MOVIMIENTOS!$A$5:$A$1005&lt;&gt;"")*(MOVIMIENTOS!$A$5:$A$1005&lt;=$A473)*MOVIMIENTOS!$E$5:$E$1005)+SUMPRODUCT((MOVIMIENTOS!$B$5:$B$1005="AJUSTE")*(MOVIMIENTOS!$C$5:$C$1005="M")*(MOVIMIENTOS!$D$5:$D$1005="jabas")*(MOVIMIENTOS!$A$5:$A$1005&lt;&gt;"")*(MOVIMIENTOS!$A$5:$A$1005&lt;=$A473)*MOVIMIENTOS!$E$5:$E$1005))</f>
        <v/>
      </c>
      <c r="F473" s="62" t="str">
        <f>IF($A473="","",SUMPRODUCT((MOVIMIENTOS!$B$5:$B$1005="SALDO INICIAL")*(MOVIMIENTOS!$C$5:$C$1005="Chancho")*(MOVIMIENTOS!$D$5:$D$1005="sacos")*(MOVIMIENTOS!$A$5:$A$1005&lt;&gt;"")*(MOVIMIENTOS!$A$5:$A$1005&lt;=$A473)*MOVIMIENTOS!$E$5:$E$1005)+SUMPRODUCT((MOVIMIENTOS!$B$5:$B$1005="PROCESO")*(MOVIMIENTOS!$C$5:$C$1005="Chancho")*(MOVIMIENTOS!$D$5:$D$1005="sacos")*(MOVIMIENTOS!$A$5:$A$1005&lt;&gt;"")*(MOVIMIENTOS!$A$5:$A$1005&lt;=$A473)*MOVIMIENTOS!$E$5:$E$1005)-SUMPRODUCT((MOVIMIENTOS!$B$5:$B$1005="VENTA CHANCHO")*(MOVIMIENTOS!$C$5:$C$1005="Chancho")*(MOVIMIENTOS!$D$5:$D$1005="sacos")*(MOVIMIENTOS!$A$5:$A$1005&lt;&gt;"")*(MOVIMIENTOS!$A$5:$A$1005&lt;=$A473)*MOVIMIENTOS!$E$5:$E$1005)-SUMPRODUCT((MOVIMIENTOS!$B$5:$B$1005="REGALO")*(MOVIMIENTOS!$C$5:$C$1005="Chancho")*(MOVIMIENTOS!$D$5:$D$1005="sacos")*(MOVIMIENTOS!$A$5:$A$1005&lt;&gt;"")*(MOVIMIENTOS!$A$5:$A$1005&lt;=$A473)*MOVIMIENTOS!$E$5:$E$1005)-SUMPRODUCT((MOVIMIENTOS!$B$5:$B$1005="VENTA")*(MOVIMIENTOS!$C$5:$C$1005="Chancho")*(MOVIMIENTOS!$D$5:$D$1005="sacos")*(MOVIMIENTOS!$A$5:$A$1005&lt;&gt;"")*(MOVIMIENTOS!$A$5:$A$1005&lt;=$A473)*MOVIMIENTOS!$E$5:$E$1005)+SUMPRODUCT((MOVIMIENTOS!$B$5:$B$1005="AJUSTE")*(MOVIMIENTOS!$C$5:$C$1005="Chancho")*(MOVIMIENTOS!$D$5:$D$1005="sacos")*(MOVIMIENTOS!$A$5:$A$1005&lt;&gt;"")*(MOVIMIENTOS!$A$5:$A$1005&lt;=$A473)*MOVIMIENTOS!$E$5:$E$1005))</f>
        <v/>
      </c>
      <c r="G473" s="62" t="str">
        <f t="shared" si="15"/>
        <v/>
      </c>
      <c r="H473" t="str">
        <f>IF($A473="","",SUMPRODUCT((((MOVIMIENTOS!$B$5:$B$1005="SALDO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473)*MOVIMIENTOS!$J$5:$J$1005))</f>
        <v/>
      </c>
      <c r="J473" t="str">
        <f>IF(AND(MOVIMIENTOS!$A478&lt;&gt;"",COUNTIF(MOVIMIENTOS!$A$5:$A477,MOVIMIENTOS!$A478)=0),COUNT(J$4:J472)+1,"")</f>
        <v/>
      </c>
      <c r="K473" s="67">
        <f>MOVIMIENTOS!$A478</f>
        <v>0</v>
      </c>
    </row>
    <row r="474" spans="1:11" ht="15" customHeight="1" x14ac:dyDescent="0.2">
      <c r="A474" t="str">
        <f t="shared" si="14"/>
        <v/>
      </c>
      <c r="B474" t="str">
        <f>IF($A474="","",SUMPRODUCT((MOVIMIENTOS!$B$5:$B$1005="SALDO INICIAL")*(MOVIMIENTOS!$C$5:$C$1005="A")*(MOVIMIENTOS!$D$5:$D$1005="jabas")*(MOVIMIENTOS!$A$5:$A$1005&lt;&gt;"")*(MOVIMIENTOS!$A$5:$A$1005&lt;=$A474)*MOVIMIENTOS!$E$5:$E$1005)+SUMPRODUCT((MOVIMIENTOS!$B$5:$B$1005="PROCESO")*(MOVIMIENTOS!$C$5:$C$1005="A")*(MOVIMIENTOS!$D$5:$D$1005="jabas")*(MOVIMIENTOS!$A$5:$A$1005&lt;&gt;"")*(MOVIMIENTOS!$A$5:$A$1005&lt;=$A474)*MOVIMIENTOS!$E$5:$E$1005)-SUMPRODUCT((MOVIMIENTOS!$B$5:$B$1005="ENVÍO A SUPESA")*(MOVIMIENTOS!$C$5:$C$1005="A")*(MOVIMIENTOS!$D$5:$D$1005="jabas")*(MOVIMIENTOS!$A$5:$A$1005&lt;&gt;"")*(MOVIMIENTOS!$A$5:$A$1005&lt;=$A474)*MOVIMIENTOS!$E$5:$E$1005)+SUMPRODUCT((MOVIMIENTOS!$B$5:$B$1005="DEVOLUCIÓN")*(MOVIMIENTOS!$C$5:$C$1005="A")*(MOVIMIENTOS!$D$5:$D$1005="jabas")*(MOVIMIENTOS!$A$5:$A$1005&lt;&gt;"")*(MOVIMIENTOS!$A$5:$A$1005&lt;=$A474)*MOVIMIENTOS!$E$5:$E$1005)-SUMPRODUCT((MOVIMIENTOS!$B$5:$B$1005="TRASIEGO")*(MOVIMIENTOS!$C$5:$C$1005="A")*(MOVIMIENTOS!$D$5:$D$1005="jabas")*(MOVIMIENTOS!$A$5:$A$1005&lt;&gt;"")*(MOVIMIENTOS!$A$5:$A$1005&lt;=$A474)*MOVIMIENTOS!$E$5:$E$1005)-SUMPRODUCT((MOVIMIENTOS!$B$5:$B$1005="REGALO")*(MOVIMIENTOS!$C$5:$C$1005="A")*(MOVIMIENTOS!$D$5:$D$1005="jabas")*(MOVIMIENTOS!$A$5:$A$1005&lt;&gt;"")*(MOVIMIENTOS!$A$5:$A$1005&lt;=$A474)*MOVIMIENTOS!$E$5:$E$1005)-SUMPRODUCT((MOVIMIENTOS!$B$5:$B$1005="VENTA")*(MOVIMIENTOS!$C$5:$C$1005="A")*(MOVIMIENTOS!$D$5:$D$1005="jabas")*(MOVIMIENTOS!$A$5:$A$1005&lt;&gt;"")*(MOVIMIENTOS!$A$5:$A$1005&lt;=$A474)*MOVIMIENTOS!$E$5:$E$1005)+SUMPRODUCT((MOVIMIENTOS!$B$5:$B$1005="AJUSTE")*(MOVIMIENTOS!$C$5:$C$1005="A")*(MOVIMIENTOS!$D$5:$D$1005="jabas")*(MOVIMIENTOS!$A$5:$A$1005&lt;&gt;"")*(MOVIMIENTOS!$A$5:$A$1005&lt;=$A474)*MOVIMIENTOS!$E$5:$E$1005))</f>
        <v/>
      </c>
      <c r="C474" t="str">
        <f>IF($A474="","",SUMPRODUCT((MOVIMIENTOS!$B$5:$B$1005="SALDO INICIAL")*(MOVIMIENTOS!$C$5:$C$1005="P")*(MOVIMIENTOS!$D$5:$D$1005="jabas")*(MOVIMIENTOS!$A$5:$A$1005&lt;&gt;"")*(MOVIMIENTOS!$A$5:$A$1005&lt;=$A474)*MOVIMIENTOS!$E$5:$E$1005)+SUMPRODUCT((MOVIMIENTOS!$B$5:$B$1005="PROCESO")*(MOVIMIENTOS!$C$5:$C$1005="P")*(MOVIMIENTOS!$D$5:$D$1005="jabas")*(MOVIMIENTOS!$A$5:$A$1005&lt;&gt;"")*(MOVIMIENTOS!$A$5:$A$1005&lt;=$A474)*MOVIMIENTOS!$E$5:$E$1005)-SUMPRODUCT((MOVIMIENTOS!$B$5:$B$1005="ENVÍO A SUPESA")*(MOVIMIENTOS!$C$5:$C$1005="P")*(MOVIMIENTOS!$D$5:$D$1005="jabas")*(MOVIMIENTOS!$A$5:$A$1005&lt;&gt;"")*(MOVIMIENTOS!$A$5:$A$1005&lt;=$A474)*MOVIMIENTOS!$E$5:$E$1005)+SUMPRODUCT((MOVIMIENTOS!$B$5:$B$1005="DEVOLUCIÓN")*(MOVIMIENTOS!$C$5:$C$1005="P")*(MOVIMIENTOS!$D$5:$D$1005="jabas")*(MOVIMIENTOS!$A$5:$A$1005&lt;&gt;"")*(MOVIMIENTOS!$A$5:$A$1005&lt;=$A474)*MOVIMIENTOS!$E$5:$E$1005)-SUMPRODUCT((MOVIMIENTOS!$B$5:$B$1005="TRASIEGO")*(MOVIMIENTOS!$C$5:$C$1005="P")*(MOVIMIENTOS!$D$5:$D$1005="jabas")*(MOVIMIENTOS!$A$5:$A$1005&lt;&gt;"")*(MOVIMIENTOS!$A$5:$A$1005&lt;=$A474)*MOVIMIENTOS!$E$5:$E$1005)-SUMPRODUCT((MOVIMIENTOS!$B$5:$B$1005="REGALO")*(MOVIMIENTOS!$C$5:$C$1005="P")*(MOVIMIENTOS!$D$5:$D$1005="jabas")*(MOVIMIENTOS!$A$5:$A$1005&lt;&gt;"")*(MOVIMIENTOS!$A$5:$A$1005&lt;=$A474)*MOVIMIENTOS!$E$5:$E$1005)-SUMPRODUCT((MOVIMIENTOS!$B$5:$B$1005="VENTA")*(MOVIMIENTOS!$C$5:$C$1005="P")*(MOVIMIENTOS!$D$5:$D$1005="jabas")*(MOVIMIENTOS!$A$5:$A$1005&lt;&gt;"")*(MOVIMIENTOS!$A$5:$A$1005&lt;=$A474)*MOVIMIENTOS!$E$5:$E$1005)+SUMPRODUCT((MOVIMIENTOS!$B$5:$B$1005="AJUSTE")*(MOVIMIENTOS!$C$5:$C$1005="P")*(MOVIMIENTOS!$D$5:$D$1005="jabas")*(MOVIMIENTOS!$A$5:$A$1005&lt;&gt;"")*(MOVIMIENTOS!$A$5:$A$1005&lt;=$A474)*MOVIMIENTOS!$E$5:$E$1005))</f>
        <v/>
      </c>
      <c r="D474" t="str">
        <f>IF($A474="","",SUMPRODUCT((MOVIMIENTOS!$B$5:$B$1005="SALDO INICIAL")*(MOVIMIENTOS!$C$5:$C$1005="C")*(MOVIMIENTOS!$D$5:$D$1005="jabas")*(MOVIMIENTOS!$A$5:$A$1005&lt;&gt;"")*(MOVIMIENTOS!$A$5:$A$1005&lt;=$A474)*MOVIMIENTOS!$E$5:$E$1005)+SUMPRODUCT((MOVIMIENTOS!$B$5:$B$1005="PROCESO")*(MOVIMIENTOS!$C$5:$C$1005="C")*(MOVIMIENTOS!$D$5:$D$1005="jabas")*(MOVIMIENTOS!$A$5:$A$1005&lt;&gt;"")*(MOVIMIENTOS!$A$5:$A$1005&lt;=$A474)*MOVIMIENTOS!$E$5:$E$1005)-SUMPRODUCT((MOVIMIENTOS!$B$5:$B$1005="ENVÍO A SUPESA")*(MOVIMIENTOS!$C$5:$C$1005="C")*(MOVIMIENTOS!$D$5:$D$1005="jabas")*(MOVIMIENTOS!$A$5:$A$1005&lt;&gt;"")*(MOVIMIENTOS!$A$5:$A$1005&lt;=$A474)*MOVIMIENTOS!$E$5:$E$1005)+SUMPRODUCT((MOVIMIENTOS!$B$5:$B$1005="DEVOLUCIÓN")*(MOVIMIENTOS!$C$5:$C$1005="C")*(MOVIMIENTOS!$D$5:$D$1005="jabas")*(MOVIMIENTOS!$A$5:$A$1005&lt;&gt;"")*(MOVIMIENTOS!$A$5:$A$1005&lt;=$A474)*MOVIMIENTOS!$E$5:$E$1005)-SUMPRODUCT((MOVIMIENTOS!$B$5:$B$1005="TRASIEGO")*(MOVIMIENTOS!$C$5:$C$1005="C")*(MOVIMIENTOS!$D$5:$D$1005="jabas")*(MOVIMIENTOS!$A$5:$A$1005&lt;&gt;"")*(MOVIMIENTOS!$A$5:$A$1005&lt;=$A474)*MOVIMIENTOS!$E$5:$E$1005)-SUMPRODUCT((MOVIMIENTOS!$B$5:$B$1005="REGALO")*(MOVIMIENTOS!$C$5:$C$1005="C")*(MOVIMIENTOS!$D$5:$D$1005="jabas")*(MOVIMIENTOS!$A$5:$A$1005&lt;&gt;"")*(MOVIMIENTOS!$A$5:$A$1005&lt;=$A474)*MOVIMIENTOS!$E$5:$E$1005)-SUMPRODUCT((MOVIMIENTOS!$B$5:$B$1005="VENTA")*(MOVIMIENTOS!$C$5:$C$1005="C")*(MOVIMIENTOS!$D$5:$D$1005="jabas")*(MOVIMIENTOS!$A$5:$A$1005&lt;&gt;"")*(MOVIMIENTOS!$A$5:$A$1005&lt;=$A474)*MOVIMIENTOS!$E$5:$E$1005)+SUMPRODUCT((MOVIMIENTOS!$B$5:$B$1005="AJUSTE")*(MOVIMIENTOS!$C$5:$C$1005="C")*(MOVIMIENTOS!$D$5:$D$1005="jabas")*(MOVIMIENTOS!$A$5:$A$1005&lt;&gt;"")*(MOVIMIENTOS!$A$5:$A$1005&lt;=$A474)*MOVIMIENTOS!$E$5:$E$1005))</f>
        <v/>
      </c>
      <c r="E474" t="str">
        <f>IF($A474="","",SUMPRODUCT((MOVIMIENTOS!$B$5:$B$1005="SALDO INICIAL")*(MOVIMIENTOS!$C$5:$C$1005="M")*(MOVIMIENTOS!$D$5:$D$1005="jabas")*(MOVIMIENTOS!$A$5:$A$1005&lt;&gt;"")*(MOVIMIENTOS!$A$5:$A$1005&lt;=$A474)*MOVIMIENTOS!$E$5:$E$1005)+SUMPRODUCT((MOVIMIENTOS!$B$5:$B$1005="PROCESO")*(MOVIMIENTOS!$C$5:$C$1005="M")*(MOVIMIENTOS!$D$5:$D$1005="jabas")*(MOVIMIENTOS!$A$5:$A$1005&lt;&gt;"")*(MOVIMIENTOS!$A$5:$A$1005&lt;=$A474)*MOVIMIENTOS!$E$5:$E$1005)-SUMPRODUCT((MOVIMIENTOS!$B$5:$B$1005="ENVÍO A SUPESA")*(MOVIMIENTOS!$C$5:$C$1005="M")*(MOVIMIENTOS!$D$5:$D$1005="jabas")*(MOVIMIENTOS!$A$5:$A$1005&lt;&gt;"")*(MOVIMIENTOS!$A$5:$A$1005&lt;=$A474)*MOVIMIENTOS!$E$5:$E$1005)+SUMPRODUCT((MOVIMIENTOS!$B$5:$B$1005="DEVOLUCIÓN")*(MOVIMIENTOS!$C$5:$C$1005="M")*(MOVIMIENTOS!$D$5:$D$1005="jabas")*(MOVIMIENTOS!$A$5:$A$1005&lt;&gt;"")*(MOVIMIENTOS!$A$5:$A$1005&lt;=$A474)*MOVIMIENTOS!$E$5:$E$1005)-SUMPRODUCT((MOVIMIENTOS!$B$5:$B$1005="TRASIEGO")*(MOVIMIENTOS!$C$5:$C$1005="M")*(MOVIMIENTOS!$D$5:$D$1005="jabas")*(MOVIMIENTOS!$A$5:$A$1005&lt;&gt;"")*(MOVIMIENTOS!$A$5:$A$1005&lt;=$A474)*MOVIMIENTOS!$E$5:$E$1005)-SUMPRODUCT((MOVIMIENTOS!$B$5:$B$1005="REGALO")*(MOVIMIENTOS!$C$5:$C$1005="M")*(MOVIMIENTOS!$D$5:$D$1005="jabas")*(MOVIMIENTOS!$A$5:$A$1005&lt;&gt;"")*(MOVIMIENTOS!$A$5:$A$1005&lt;=$A474)*MOVIMIENTOS!$E$5:$E$1005)-SUMPRODUCT((MOVIMIENTOS!$B$5:$B$1005="VENTA")*(MOVIMIENTOS!$C$5:$C$1005="M")*(MOVIMIENTOS!$D$5:$D$1005="jabas")*(MOVIMIENTOS!$A$5:$A$1005&lt;&gt;"")*(MOVIMIENTOS!$A$5:$A$1005&lt;=$A474)*MOVIMIENTOS!$E$5:$E$1005)+SUMPRODUCT((MOVIMIENTOS!$B$5:$B$1005="AJUSTE")*(MOVIMIENTOS!$C$5:$C$1005="M")*(MOVIMIENTOS!$D$5:$D$1005="jabas")*(MOVIMIENTOS!$A$5:$A$1005&lt;&gt;"")*(MOVIMIENTOS!$A$5:$A$1005&lt;=$A474)*MOVIMIENTOS!$E$5:$E$1005))</f>
        <v/>
      </c>
      <c r="F474" s="62" t="str">
        <f>IF($A474="","",SUMPRODUCT((MOVIMIENTOS!$B$5:$B$1005="SALDO INICIAL")*(MOVIMIENTOS!$C$5:$C$1005="Chancho")*(MOVIMIENTOS!$D$5:$D$1005="sacos")*(MOVIMIENTOS!$A$5:$A$1005&lt;&gt;"")*(MOVIMIENTOS!$A$5:$A$1005&lt;=$A474)*MOVIMIENTOS!$E$5:$E$1005)+SUMPRODUCT((MOVIMIENTOS!$B$5:$B$1005="PROCESO")*(MOVIMIENTOS!$C$5:$C$1005="Chancho")*(MOVIMIENTOS!$D$5:$D$1005="sacos")*(MOVIMIENTOS!$A$5:$A$1005&lt;&gt;"")*(MOVIMIENTOS!$A$5:$A$1005&lt;=$A474)*MOVIMIENTOS!$E$5:$E$1005)-SUMPRODUCT((MOVIMIENTOS!$B$5:$B$1005="VENTA CHANCHO")*(MOVIMIENTOS!$C$5:$C$1005="Chancho")*(MOVIMIENTOS!$D$5:$D$1005="sacos")*(MOVIMIENTOS!$A$5:$A$1005&lt;&gt;"")*(MOVIMIENTOS!$A$5:$A$1005&lt;=$A474)*MOVIMIENTOS!$E$5:$E$1005)-SUMPRODUCT((MOVIMIENTOS!$B$5:$B$1005="REGALO")*(MOVIMIENTOS!$C$5:$C$1005="Chancho")*(MOVIMIENTOS!$D$5:$D$1005="sacos")*(MOVIMIENTOS!$A$5:$A$1005&lt;&gt;"")*(MOVIMIENTOS!$A$5:$A$1005&lt;=$A474)*MOVIMIENTOS!$E$5:$E$1005)-SUMPRODUCT((MOVIMIENTOS!$B$5:$B$1005="VENTA")*(MOVIMIENTOS!$C$5:$C$1005="Chancho")*(MOVIMIENTOS!$D$5:$D$1005="sacos")*(MOVIMIENTOS!$A$5:$A$1005&lt;&gt;"")*(MOVIMIENTOS!$A$5:$A$1005&lt;=$A474)*MOVIMIENTOS!$E$5:$E$1005)+SUMPRODUCT((MOVIMIENTOS!$B$5:$B$1005="AJUSTE")*(MOVIMIENTOS!$C$5:$C$1005="Chancho")*(MOVIMIENTOS!$D$5:$D$1005="sacos")*(MOVIMIENTOS!$A$5:$A$1005&lt;&gt;"")*(MOVIMIENTOS!$A$5:$A$1005&lt;=$A474)*MOVIMIENTOS!$E$5:$E$1005))</f>
        <v/>
      </c>
      <c r="G474" s="62" t="str">
        <f t="shared" si="15"/>
        <v/>
      </c>
      <c r="H474" t="str">
        <f>IF($A474="","",SUMPRODUCT((((MOVIMIENTOS!$B$5:$B$1005="SALDO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474)*MOVIMIENTOS!$J$5:$J$1005))</f>
        <v/>
      </c>
      <c r="J474" t="str">
        <f>IF(AND(MOVIMIENTOS!$A479&lt;&gt;"",COUNTIF(MOVIMIENTOS!$A$5:$A478,MOVIMIENTOS!$A479)=0),COUNT(J$4:J473)+1,"")</f>
        <v/>
      </c>
      <c r="K474" s="67">
        <f>MOVIMIENTOS!$A479</f>
        <v>0</v>
      </c>
    </row>
    <row r="475" spans="1:11" ht="15" customHeight="1" x14ac:dyDescent="0.2">
      <c r="A475" t="str">
        <f t="shared" si="14"/>
        <v/>
      </c>
      <c r="B475" t="str">
        <f>IF($A475="","",SUMPRODUCT((MOVIMIENTOS!$B$5:$B$1005="SALDO INICIAL")*(MOVIMIENTOS!$C$5:$C$1005="A")*(MOVIMIENTOS!$D$5:$D$1005="jabas")*(MOVIMIENTOS!$A$5:$A$1005&lt;&gt;"")*(MOVIMIENTOS!$A$5:$A$1005&lt;=$A475)*MOVIMIENTOS!$E$5:$E$1005)+SUMPRODUCT((MOVIMIENTOS!$B$5:$B$1005="PROCESO")*(MOVIMIENTOS!$C$5:$C$1005="A")*(MOVIMIENTOS!$D$5:$D$1005="jabas")*(MOVIMIENTOS!$A$5:$A$1005&lt;&gt;"")*(MOVIMIENTOS!$A$5:$A$1005&lt;=$A475)*MOVIMIENTOS!$E$5:$E$1005)-SUMPRODUCT((MOVIMIENTOS!$B$5:$B$1005="ENVÍO A SUPESA")*(MOVIMIENTOS!$C$5:$C$1005="A")*(MOVIMIENTOS!$D$5:$D$1005="jabas")*(MOVIMIENTOS!$A$5:$A$1005&lt;&gt;"")*(MOVIMIENTOS!$A$5:$A$1005&lt;=$A475)*MOVIMIENTOS!$E$5:$E$1005)+SUMPRODUCT((MOVIMIENTOS!$B$5:$B$1005="DEVOLUCIÓN")*(MOVIMIENTOS!$C$5:$C$1005="A")*(MOVIMIENTOS!$D$5:$D$1005="jabas")*(MOVIMIENTOS!$A$5:$A$1005&lt;&gt;"")*(MOVIMIENTOS!$A$5:$A$1005&lt;=$A475)*MOVIMIENTOS!$E$5:$E$1005)-SUMPRODUCT((MOVIMIENTOS!$B$5:$B$1005="TRASIEGO")*(MOVIMIENTOS!$C$5:$C$1005="A")*(MOVIMIENTOS!$D$5:$D$1005="jabas")*(MOVIMIENTOS!$A$5:$A$1005&lt;&gt;"")*(MOVIMIENTOS!$A$5:$A$1005&lt;=$A475)*MOVIMIENTOS!$E$5:$E$1005)-SUMPRODUCT((MOVIMIENTOS!$B$5:$B$1005="REGALO")*(MOVIMIENTOS!$C$5:$C$1005="A")*(MOVIMIENTOS!$D$5:$D$1005="jabas")*(MOVIMIENTOS!$A$5:$A$1005&lt;&gt;"")*(MOVIMIENTOS!$A$5:$A$1005&lt;=$A475)*MOVIMIENTOS!$E$5:$E$1005)-SUMPRODUCT((MOVIMIENTOS!$B$5:$B$1005="VENTA")*(MOVIMIENTOS!$C$5:$C$1005="A")*(MOVIMIENTOS!$D$5:$D$1005="jabas")*(MOVIMIENTOS!$A$5:$A$1005&lt;&gt;"")*(MOVIMIENTOS!$A$5:$A$1005&lt;=$A475)*MOVIMIENTOS!$E$5:$E$1005)+SUMPRODUCT((MOVIMIENTOS!$B$5:$B$1005="AJUSTE")*(MOVIMIENTOS!$C$5:$C$1005="A")*(MOVIMIENTOS!$D$5:$D$1005="jabas")*(MOVIMIENTOS!$A$5:$A$1005&lt;&gt;"")*(MOVIMIENTOS!$A$5:$A$1005&lt;=$A475)*MOVIMIENTOS!$E$5:$E$1005))</f>
        <v/>
      </c>
      <c r="C475" t="str">
        <f>IF($A475="","",SUMPRODUCT((MOVIMIENTOS!$B$5:$B$1005="SALDO INICIAL")*(MOVIMIENTOS!$C$5:$C$1005="P")*(MOVIMIENTOS!$D$5:$D$1005="jabas")*(MOVIMIENTOS!$A$5:$A$1005&lt;&gt;"")*(MOVIMIENTOS!$A$5:$A$1005&lt;=$A475)*MOVIMIENTOS!$E$5:$E$1005)+SUMPRODUCT((MOVIMIENTOS!$B$5:$B$1005="PROCESO")*(MOVIMIENTOS!$C$5:$C$1005="P")*(MOVIMIENTOS!$D$5:$D$1005="jabas")*(MOVIMIENTOS!$A$5:$A$1005&lt;&gt;"")*(MOVIMIENTOS!$A$5:$A$1005&lt;=$A475)*MOVIMIENTOS!$E$5:$E$1005)-SUMPRODUCT((MOVIMIENTOS!$B$5:$B$1005="ENVÍO A SUPESA")*(MOVIMIENTOS!$C$5:$C$1005="P")*(MOVIMIENTOS!$D$5:$D$1005="jabas")*(MOVIMIENTOS!$A$5:$A$1005&lt;&gt;"")*(MOVIMIENTOS!$A$5:$A$1005&lt;=$A475)*MOVIMIENTOS!$E$5:$E$1005)+SUMPRODUCT((MOVIMIENTOS!$B$5:$B$1005="DEVOLUCIÓN")*(MOVIMIENTOS!$C$5:$C$1005="P")*(MOVIMIENTOS!$D$5:$D$1005="jabas")*(MOVIMIENTOS!$A$5:$A$1005&lt;&gt;"")*(MOVIMIENTOS!$A$5:$A$1005&lt;=$A475)*MOVIMIENTOS!$E$5:$E$1005)-SUMPRODUCT((MOVIMIENTOS!$B$5:$B$1005="TRASIEGO")*(MOVIMIENTOS!$C$5:$C$1005="P")*(MOVIMIENTOS!$D$5:$D$1005="jabas")*(MOVIMIENTOS!$A$5:$A$1005&lt;&gt;"")*(MOVIMIENTOS!$A$5:$A$1005&lt;=$A475)*MOVIMIENTOS!$E$5:$E$1005)-SUMPRODUCT((MOVIMIENTOS!$B$5:$B$1005="REGALO")*(MOVIMIENTOS!$C$5:$C$1005="P")*(MOVIMIENTOS!$D$5:$D$1005="jabas")*(MOVIMIENTOS!$A$5:$A$1005&lt;&gt;"")*(MOVIMIENTOS!$A$5:$A$1005&lt;=$A475)*MOVIMIENTOS!$E$5:$E$1005)-SUMPRODUCT((MOVIMIENTOS!$B$5:$B$1005="VENTA")*(MOVIMIENTOS!$C$5:$C$1005="P")*(MOVIMIENTOS!$D$5:$D$1005="jabas")*(MOVIMIENTOS!$A$5:$A$1005&lt;&gt;"")*(MOVIMIENTOS!$A$5:$A$1005&lt;=$A475)*MOVIMIENTOS!$E$5:$E$1005)+SUMPRODUCT((MOVIMIENTOS!$B$5:$B$1005="AJUSTE")*(MOVIMIENTOS!$C$5:$C$1005="P")*(MOVIMIENTOS!$D$5:$D$1005="jabas")*(MOVIMIENTOS!$A$5:$A$1005&lt;&gt;"")*(MOVIMIENTOS!$A$5:$A$1005&lt;=$A475)*MOVIMIENTOS!$E$5:$E$1005))</f>
        <v/>
      </c>
      <c r="D475" t="str">
        <f>IF($A475="","",SUMPRODUCT((MOVIMIENTOS!$B$5:$B$1005="SALDO INICIAL")*(MOVIMIENTOS!$C$5:$C$1005="C")*(MOVIMIENTOS!$D$5:$D$1005="jabas")*(MOVIMIENTOS!$A$5:$A$1005&lt;&gt;"")*(MOVIMIENTOS!$A$5:$A$1005&lt;=$A475)*MOVIMIENTOS!$E$5:$E$1005)+SUMPRODUCT((MOVIMIENTOS!$B$5:$B$1005="PROCESO")*(MOVIMIENTOS!$C$5:$C$1005="C")*(MOVIMIENTOS!$D$5:$D$1005="jabas")*(MOVIMIENTOS!$A$5:$A$1005&lt;&gt;"")*(MOVIMIENTOS!$A$5:$A$1005&lt;=$A475)*MOVIMIENTOS!$E$5:$E$1005)-SUMPRODUCT((MOVIMIENTOS!$B$5:$B$1005="ENVÍO A SUPESA")*(MOVIMIENTOS!$C$5:$C$1005="C")*(MOVIMIENTOS!$D$5:$D$1005="jabas")*(MOVIMIENTOS!$A$5:$A$1005&lt;&gt;"")*(MOVIMIENTOS!$A$5:$A$1005&lt;=$A475)*MOVIMIENTOS!$E$5:$E$1005)+SUMPRODUCT((MOVIMIENTOS!$B$5:$B$1005="DEVOLUCIÓN")*(MOVIMIENTOS!$C$5:$C$1005="C")*(MOVIMIENTOS!$D$5:$D$1005="jabas")*(MOVIMIENTOS!$A$5:$A$1005&lt;&gt;"")*(MOVIMIENTOS!$A$5:$A$1005&lt;=$A475)*MOVIMIENTOS!$E$5:$E$1005)-SUMPRODUCT((MOVIMIENTOS!$B$5:$B$1005="TRASIEGO")*(MOVIMIENTOS!$C$5:$C$1005="C")*(MOVIMIENTOS!$D$5:$D$1005="jabas")*(MOVIMIENTOS!$A$5:$A$1005&lt;&gt;"")*(MOVIMIENTOS!$A$5:$A$1005&lt;=$A475)*MOVIMIENTOS!$E$5:$E$1005)-SUMPRODUCT((MOVIMIENTOS!$B$5:$B$1005="REGALO")*(MOVIMIENTOS!$C$5:$C$1005="C")*(MOVIMIENTOS!$D$5:$D$1005="jabas")*(MOVIMIENTOS!$A$5:$A$1005&lt;&gt;"")*(MOVIMIENTOS!$A$5:$A$1005&lt;=$A475)*MOVIMIENTOS!$E$5:$E$1005)-SUMPRODUCT((MOVIMIENTOS!$B$5:$B$1005="VENTA")*(MOVIMIENTOS!$C$5:$C$1005="C")*(MOVIMIENTOS!$D$5:$D$1005="jabas")*(MOVIMIENTOS!$A$5:$A$1005&lt;&gt;"")*(MOVIMIENTOS!$A$5:$A$1005&lt;=$A475)*MOVIMIENTOS!$E$5:$E$1005)+SUMPRODUCT((MOVIMIENTOS!$B$5:$B$1005="AJUSTE")*(MOVIMIENTOS!$C$5:$C$1005="C")*(MOVIMIENTOS!$D$5:$D$1005="jabas")*(MOVIMIENTOS!$A$5:$A$1005&lt;&gt;"")*(MOVIMIENTOS!$A$5:$A$1005&lt;=$A475)*MOVIMIENTOS!$E$5:$E$1005))</f>
        <v/>
      </c>
      <c r="E475" t="str">
        <f>IF($A475="","",SUMPRODUCT((MOVIMIENTOS!$B$5:$B$1005="SALDO INICIAL")*(MOVIMIENTOS!$C$5:$C$1005="M")*(MOVIMIENTOS!$D$5:$D$1005="jabas")*(MOVIMIENTOS!$A$5:$A$1005&lt;&gt;"")*(MOVIMIENTOS!$A$5:$A$1005&lt;=$A475)*MOVIMIENTOS!$E$5:$E$1005)+SUMPRODUCT((MOVIMIENTOS!$B$5:$B$1005="PROCESO")*(MOVIMIENTOS!$C$5:$C$1005="M")*(MOVIMIENTOS!$D$5:$D$1005="jabas")*(MOVIMIENTOS!$A$5:$A$1005&lt;&gt;"")*(MOVIMIENTOS!$A$5:$A$1005&lt;=$A475)*MOVIMIENTOS!$E$5:$E$1005)-SUMPRODUCT((MOVIMIENTOS!$B$5:$B$1005="ENVÍO A SUPESA")*(MOVIMIENTOS!$C$5:$C$1005="M")*(MOVIMIENTOS!$D$5:$D$1005="jabas")*(MOVIMIENTOS!$A$5:$A$1005&lt;&gt;"")*(MOVIMIENTOS!$A$5:$A$1005&lt;=$A475)*MOVIMIENTOS!$E$5:$E$1005)+SUMPRODUCT((MOVIMIENTOS!$B$5:$B$1005="DEVOLUCIÓN")*(MOVIMIENTOS!$C$5:$C$1005="M")*(MOVIMIENTOS!$D$5:$D$1005="jabas")*(MOVIMIENTOS!$A$5:$A$1005&lt;&gt;"")*(MOVIMIENTOS!$A$5:$A$1005&lt;=$A475)*MOVIMIENTOS!$E$5:$E$1005)-SUMPRODUCT((MOVIMIENTOS!$B$5:$B$1005="TRASIEGO")*(MOVIMIENTOS!$C$5:$C$1005="M")*(MOVIMIENTOS!$D$5:$D$1005="jabas")*(MOVIMIENTOS!$A$5:$A$1005&lt;&gt;"")*(MOVIMIENTOS!$A$5:$A$1005&lt;=$A475)*MOVIMIENTOS!$E$5:$E$1005)-SUMPRODUCT((MOVIMIENTOS!$B$5:$B$1005="REGALO")*(MOVIMIENTOS!$C$5:$C$1005="M")*(MOVIMIENTOS!$D$5:$D$1005="jabas")*(MOVIMIENTOS!$A$5:$A$1005&lt;&gt;"")*(MOVIMIENTOS!$A$5:$A$1005&lt;=$A475)*MOVIMIENTOS!$E$5:$E$1005)-SUMPRODUCT((MOVIMIENTOS!$B$5:$B$1005="VENTA")*(MOVIMIENTOS!$C$5:$C$1005="M")*(MOVIMIENTOS!$D$5:$D$1005="jabas")*(MOVIMIENTOS!$A$5:$A$1005&lt;&gt;"")*(MOVIMIENTOS!$A$5:$A$1005&lt;=$A475)*MOVIMIENTOS!$E$5:$E$1005)+SUMPRODUCT((MOVIMIENTOS!$B$5:$B$1005="AJUSTE")*(MOVIMIENTOS!$C$5:$C$1005="M")*(MOVIMIENTOS!$D$5:$D$1005="jabas")*(MOVIMIENTOS!$A$5:$A$1005&lt;&gt;"")*(MOVIMIENTOS!$A$5:$A$1005&lt;=$A475)*MOVIMIENTOS!$E$5:$E$1005))</f>
        <v/>
      </c>
      <c r="F475" s="62" t="str">
        <f>IF($A475="","",SUMPRODUCT((MOVIMIENTOS!$B$5:$B$1005="SALDO INICIAL")*(MOVIMIENTOS!$C$5:$C$1005="Chancho")*(MOVIMIENTOS!$D$5:$D$1005="sacos")*(MOVIMIENTOS!$A$5:$A$1005&lt;&gt;"")*(MOVIMIENTOS!$A$5:$A$1005&lt;=$A475)*MOVIMIENTOS!$E$5:$E$1005)+SUMPRODUCT((MOVIMIENTOS!$B$5:$B$1005="PROCESO")*(MOVIMIENTOS!$C$5:$C$1005="Chancho")*(MOVIMIENTOS!$D$5:$D$1005="sacos")*(MOVIMIENTOS!$A$5:$A$1005&lt;&gt;"")*(MOVIMIENTOS!$A$5:$A$1005&lt;=$A475)*MOVIMIENTOS!$E$5:$E$1005)-SUMPRODUCT((MOVIMIENTOS!$B$5:$B$1005="VENTA CHANCHO")*(MOVIMIENTOS!$C$5:$C$1005="Chancho")*(MOVIMIENTOS!$D$5:$D$1005="sacos")*(MOVIMIENTOS!$A$5:$A$1005&lt;&gt;"")*(MOVIMIENTOS!$A$5:$A$1005&lt;=$A475)*MOVIMIENTOS!$E$5:$E$1005)-SUMPRODUCT((MOVIMIENTOS!$B$5:$B$1005="REGALO")*(MOVIMIENTOS!$C$5:$C$1005="Chancho")*(MOVIMIENTOS!$D$5:$D$1005="sacos")*(MOVIMIENTOS!$A$5:$A$1005&lt;&gt;"")*(MOVIMIENTOS!$A$5:$A$1005&lt;=$A475)*MOVIMIENTOS!$E$5:$E$1005)-SUMPRODUCT((MOVIMIENTOS!$B$5:$B$1005="VENTA")*(MOVIMIENTOS!$C$5:$C$1005="Chancho")*(MOVIMIENTOS!$D$5:$D$1005="sacos")*(MOVIMIENTOS!$A$5:$A$1005&lt;&gt;"")*(MOVIMIENTOS!$A$5:$A$1005&lt;=$A475)*MOVIMIENTOS!$E$5:$E$1005)+SUMPRODUCT((MOVIMIENTOS!$B$5:$B$1005="AJUSTE")*(MOVIMIENTOS!$C$5:$C$1005="Chancho")*(MOVIMIENTOS!$D$5:$D$1005="sacos")*(MOVIMIENTOS!$A$5:$A$1005&lt;&gt;"")*(MOVIMIENTOS!$A$5:$A$1005&lt;=$A475)*MOVIMIENTOS!$E$5:$E$1005))</f>
        <v/>
      </c>
      <c r="G475" s="62" t="str">
        <f t="shared" si="15"/>
        <v/>
      </c>
      <c r="H475" t="str">
        <f>IF($A475="","",SUMPRODUCT((((MOVIMIENTOS!$B$5:$B$1005="SALDO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475)*MOVIMIENTOS!$J$5:$J$1005))</f>
        <v/>
      </c>
      <c r="J475" t="str">
        <f>IF(AND(MOVIMIENTOS!$A480&lt;&gt;"",COUNTIF(MOVIMIENTOS!$A$5:$A479,MOVIMIENTOS!$A480)=0),COUNT(J$4:J474)+1,"")</f>
        <v/>
      </c>
      <c r="K475" s="67">
        <f>MOVIMIENTOS!$A480</f>
        <v>0</v>
      </c>
    </row>
    <row r="476" spans="1:11" ht="15" customHeight="1" x14ac:dyDescent="0.2">
      <c r="A476" t="str">
        <f t="shared" si="14"/>
        <v/>
      </c>
      <c r="B476" t="str">
        <f>IF($A476="","",SUMPRODUCT((MOVIMIENTOS!$B$5:$B$1005="SALDO INICIAL")*(MOVIMIENTOS!$C$5:$C$1005="A")*(MOVIMIENTOS!$D$5:$D$1005="jabas")*(MOVIMIENTOS!$A$5:$A$1005&lt;&gt;"")*(MOVIMIENTOS!$A$5:$A$1005&lt;=$A476)*MOVIMIENTOS!$E$5:$E$1005)+SUMPRODUCT((MOVIMIENTOS!$B$5:$B$1005="PROCESO")*(MOVIMIENTOS!$C$5:$C$1005="A")*(MOVIMIENTOS!$D$5:$D$1005="jabas")*(MOVIMIENTOS!$A$5:$A$1005&lt;&gt;"")*(MOVIMIENTOS!$A$5:$A$1005&lt;=$A476)*MOVIMIENTOS!$E$5:$E$1005)-SUMPRODUCT((MOVIMIENTOS!$B$5:$B$1005="ENVÍO A SUPESA")*(MOVIMIENTOS!$C$5:$C$1005="A")*(MOVIMIENTOS!$D$5:$D$1005="jabas")*(MOVIMIENTOS!$A$5:$A$1005&lt;&gt;"")*(MOVIMIENTOS!$A$5:$A$1005&lt;=$A476)*MOVIMIENTOS!$E$5:$E$1005)+SUMPRODUCT((MOVIMIENTOS!$B$5:$B$1005="DEVOLUCIÓN")*(MOVIMIENTOS!$C$5:$C$1005="A")*(MOVIMIENTOS!$D$5:$D$1005="jabas")*(MOVIMIENTOS!$A$5:$A$1005&lt;&gt;"")*(MOVIMIENTOS!$A$5:$A$1005&lt;=$A476)*MOVIMIENTOS!$E$5:$E$1005)-SUMPRODUCT((MOVIMIENTOS!$B$5:$B$1005="TRASIEGO")*(MOVIMIENTOS!$C$5:$C$1005="A")*(MOVIMIENTOS!$D$5:$D$1005="jabas")*(MOVIMIENTOS!$A$5:$A$1005&lt;&gt;"")*(MOVIMIENTOS!$A$5:$A$1005&lt;=$A476)*MOVIMIENTOS!$E$5:$E$1005)-SUMPRODUCT((MOVIMIENTOS!$B$5:$B$1005="REGALO")*(MOVIMIENTOS!$C$5:$C$1005="A")*(MOVIMIENTOS!$D$5:$D$1005="jabas")*(MOVIMIENTOS!$A$5:$A$1005&lt;&gt;"")*(MOVIMIENTOS!$A$5:$A$1005&lt;=$A476)*MOVIMIENTOS!$E$5:$E$1005)-SUMPRODUCT((MOVIMIENTOS!$B$5:$B$1005="VENTA")*(MOVIMIENTOS!$C$5:$C$1005="A")*(MOVIMIENTOS!$D$5:$D$1005="jabas")*(MOVIMIENTOS!$A$5:$A$1005&lt;&gt;"")*(MOVIMIENTOS!$A$5:$A$1005&lt;=$A476)*MOVIMIENTOS!$E$5:$E$1005)+SUMPRODUCT((MOVIMIENTOS!$B$5:$B$1005="AJUSTE")*(MOVIMIENTOS!$C$5:$C$1005="A")*(MOVIMIENTOS!$D$5:$D$1005="jabas")*(MOVIMIENTOS!$A$5:$A$1005&lt;&gt;"")*(MOVIMIENTOS!$A$5:$A$1005&lt;=$A476)*MOVIMIENTOS!$E$5:$E$1005))</f>
        <v/>
      </c>
      <c r="C476" t="str">
        <f>IF($A476="","",SUMPRODUCT((MOVIMIENTOS!$B$5:$B$1005="SALDO INICIAL")*(MOVIMIENTOS!$C$5:$C$1005="P")*(MOVIMIENTOS!$D$5:$D$1005="jabas")*(MOVIMIENTOS!$A$5:$A$1005&lt;&gt;"")*(MOVIMIENTOS!$A$5:$A$1005&lt;=$A476)*MOVIMIENTOS!$E$5:$E$1005)+SUMPRODUCT((MOVIMIENTOS!$B$5:$B$1005="PROCESO")*(MOVIMIENTOS!$C$5:$C$1005="P")*(MOVIMIENTOS!$D$5:$D$1005="jabas")*(MOVIMIENTOS!$A$5:$A$1005&lt;&gt;"")*(MOVIMIENTOS!$A$5:$A$1005&lt;=$A476)*MOVIMIENTOS!$E$5:$E$1005)-SUMPRODUCT((MOVIMIENTOS!$B$5:$B$1005="ENVÍO A SUPESA")*(MOVIMIENTOS!$C$5:$C$1005="P")*(MOVIMIENTOS!$D$5:$D$1005="jabas")*(MOVIMIENTOS!$A$5:$A$1005&lt;&gt;"")*(MOVIMIENTOS!$A$5:$A$1005&lt;=$A476)*MOVIMIENTOS!$E$5:$E$1005)+SUMPRODUCT((MOVIMIENTOS!$B$5:$B$1005="DEVOLUCIÓN")*(MOVIMIENTOS!$C$5:$C$1005="P")*(MOVIMIENTOS!$D$5:$D$1005="jabas")*(MOVIMIENTOS!$A$5:$A$1005&lt;&gt;"")*(MOVIMIENTOS!$A$5:$A$1005&lt;=$A476)*MOVIMIENTOS!$E$5:$E$1005)-SUMPRODUCT((MOVIMIENTOS!$B$5:$B$1005="TRASIEGO")*(MOVIMIENTOS!$C$5:$C$1005="P")*(MOVIMIENTOS!$D$5:$D$1005="jabas")*(MOVIMIENTOS!$A$5:$A$1005&lt;&gt;"")*(MOVIMIENTOS!$A$5:$A$1005&lt;=$A476)*MOVIMIENTOS!$E$5:$E$1005)-SUMPRODUCT((MOVIMIENTOS!$B$5:$B$1005="REGALO")*(MOVIMIENTOS!$C$5:$C$1005="P")*(MOVIMIENTOS!$D$5:$D$1005="jabas")*(MOVIMIENTOS!$A$5:$A$1005&lt;&gt;"")*(MOVIMIENTOS!$A$5:$A$1005&lt;=$A476)*MOVIMIENTOS!$E$5:$E$1005)-SUMPRODUCT((MOVIMIENTOS!$B$5:$B$1005="VENTA")*(MOVIMIENTOS!$C$5:$C$1005="P")*(MOVIMIENTOS!$D$5:$D$1005="jabas")*(MOVIMIENTOS!$A$5:$A$1005&lt;&gt;"")*(MOVIMIENTOS!$A$5:$A$1005&lt;=$A476)*MOVIMIENTOS!$E$5:$E$1005)+SUMPRODUCT((MOVIMIENTOS!$B$5:$B$1005="AJUSTE")*(MOVIMIENTOS!$C$5:$C$1005="P")*(MOVIMIENTOS!$D$5:$D$1005="jabas")*(MOVIMIENTOS!$A$5:$A$1005&lt;&gt;"")*(MOVIMIENTOS!$A$5:$A$1005&lt;=$A476)*MOVIMIENTOS!$E$5:$E$1005))</f>
        <v/>
      </c>
      <c r="D476" t="str">
        <f>IF($A476="","",SUMPRODUCT((MOVIMIENTOS!$B$5:$B$1005="SALDO INICIAL")*(MOVIMIENTOS!$C$5:$C$1005="C")*(MOVIMIENTOS!$D$5:$D$1005="jabas")*(MOVIMIENTOS!$A$5:$A$1005&lt;&gt;"")*(MOVIMIENTOS!$A$5:$A$1005&lt;=$A476)*MOVIMIENTOS!$E$5:$E$1005)+SUMPRODUCT((MOVIMIENTOS!$B$5:$B$1005="PROCESO")*(MOVIMIENTOS!$C$5:$C$1005="C")*(MOVIMIENTOS!$D$5:$D$1005="jabas")*(MOVIMIENTOS!$A$5:$A$1005&lt;&gt;"")*(MOVIMIENTOS!$A$5:$A$1005&lt;=$A476)*MOVIMIENTOS!$E$5:$E$1005)-SUMPRODUCT((MOVIMIENTOS!$B$5:$B$1005="ENVÍO A SUPESA")*(MOVIMIENTOS!$C$5:$C$1005="C")*(MOVIMIENTOS!$D$5:$D$1005="jabas")*(MOVIMIENTOS!$A$5:$A$1005&lt;&gt;"")*(MOVIMIENTOS!$A$5:$A$1005&lt;=$A476)*MOVIMIENTOS!$E$5:$E$1005)+SUMPRODUCT((MOVIMIENTOS!$B$5:$B$1005="DEVOLUCIÓN")*(MOVIMIENTOS!$C$5:$C$1005="C")*(MOVIMIENTOS!$D$5:$D$1005="jabas")*(MOVIMIENTOS!$A$5:$A$1005&lt;&gt;"")*(MOVIMIENTOS!$A$5:$A$1005&lt;=$A476)*MOVIMIENTOS!$E$5:$E$1005)-SUMPRODUCT((MOVIMIENTOS!$B$5:$B$1005="TRASIEGO")*(MOVIMIENTOS!$C$5:$C$1005="C")*(MOVIMIENTOS!$D$5:$D$1005="jabas")*(MOVIMIENTOS!$A$5:$A$1005&lt;&gt;"")*(MOVIMIENTOS!$A$5:$A$1005&lt;=$A476)*MOVIMIENTOS!$E$5:$E$1005)-SUMPRODUCT((MOVIMIENTOS!$B$5:$B$1005="REGALO")*(MOVIMIENTOS!$C$5:$C$1005="C")*(MOVIMIENTOS!$D$5:$D$1005="jabas")*(MOVIMIENTOS!$A$5:$A$1005&lt;&gt;"")*(MOVIMIENTOS!$A$5:$A$1005&lt;=$A476)*MOVIMIENTOS!$E$5:$E$1005)-SUMPRODUCT((MOVIMIENTOS!$B$5:$B$1005="VENTA")*(MOVIMIENTOS!$C$5:$C$1005="C")*(MOVIMIENTOS!$D$5:$D$1005="jabas")*(MOVIMIENTOS!$A$5:$A$1005&lt;&gt;"")*(MOVIMIENTOS!$A$5:$A$1005&lt;=$A476)*MOVIMIENTOS!$E$5:$E$1005)+SUMPRODUCT((MOVIMIENTOS!$B$5:$B$1005="AJUSTE")*(MOVIMIENTOS!$C$5:$C$1005="C")*(MOVIMIENTOS!$D$5:$D$1005="jabas")*(MOVIMIENTOS!$A$5:$A$1005&lt;&gt;"")*(MOVIMIENTOS!$A$5:$A$1005&lt;=$A476)*MOVIMIENTOS!$E$5:$E$1005))</f>
        <v/>
      </c>
      <c r="E476" t="str">
        <f>IF($A476="","",SUMPRODUCT((MOVIMIENTOS!$B$5:$B$1005="SALDO INICIAL")*(MOVIMIENTOS!$C$5:$C$1005="M")*(MOVIMIENTOS!$D$5:$D$1005="jabas")*(MOVIMIENTOS!$A$5:$A$1005&lt;&gt;"")*(MOVIMIENTOS!$A$5:$A$1005&lt;=$A476)*MOVIMIENTOS!$E$5:$E$1005)+SUMPRODUCT((MOVIMIENTOS!$B$5:$B$1005="PROCESO")*(MOVIMIENTOS!$C$5:$C$1005="M")*(MOVIMIENTOS!$D$5:$D$1005="jabas")*(MOVIMIENTOS!$A$5:$A$1005&lt;&gt;"")*(MOVIMIENTOS!$A$5:$A$1005&lt;=$A476)*MOVIMIENTOS!$E$5:$E$1005)-SUMPRODUCT((MOVIMIENTOS!$B$5:$B$1005="ENVÍO A SUPESA")*(MOVIMIENTOS!$C$5:$C$1005="M")*(MOVIMIENTOS!$D$5:$D$1005="jabas")*(MOVIMIENTOS!$A$5:$A$1005&lt;&gt;"")*(MOVIMIENTOS!$A$5:$A$1005&lt;=$A476)*MOVIMIENTOS!$E$5:$E$1005)+SUMPRODUCT((MOVIMIENTOS!$B$5:$B$1005="DEVOLUCIÓN")*(MOVIMIENTOS!$C$5:$C$1005="M")*(MOVIMIENTOS!$D$5:$D$1005="jabas")*(MOVIMIENTOS!$A$5:$A$1005&lt;&gt;"")*(MOVIMIENTOS!$A$5:$A$1005&lt;=$A476)*MOVIMIENTOS!$E$5:$E$1005)-SUMPRODUCT((MOVIMIENTOS!$B$5:$B$1005="TRASIEGO")*(MOVIMIENTOS!$C$5:$C$1005="M")*(MOVIMIENTOS!$D$5:$D$1005="jabas")*(MOVIMIENTOS!$A$5:$A$1005&lt;&gt;"")*(MOVIMIENTOS!$A$5:$A$1005&lt;=$A476)*MOVIMIENTOS!$E$5:$E$1005)-SUMPRODUCT((MOVIMIENTOS!$B$5:$B$1005="REGALO")*(MOVIMIENTOS!$C$5:$C$1005="M")*(MOVIMIENTOS!$D$5:$D$1005="jabas")*(MOVIMIENTOS!$A$5:$A$1005&lt;&gt;"")*(MOVIMIENTOS!$A$5:$A$1005&lt;=$A476)*MOVIMIENTOS!$E$5:$E$1005)-SUMPRODUCT((MOVIMIENTOS!$B$5:$B$1005="VENTA")*(MOVIMIENTOS!$C$5:$C$1005="M")*(MOVIMIENTOS!$D$5:$D$1005="jabas")*(MOVIMIENTOS!$A$5:$A$1005&lt;&gt;"")*(MOVIMIENTOS!$A$5:$A$1005&lt;=$A476)*MOVIMIENTOS!$E$5:$E$1005)+SUMPRODUCT((MOVIMIENTOS!$B$5:$B$1005="AJUSTE")*(MOVIMIENTOS!$C$5:$C$1005="M")*(MOVIMIENTOS!$D$5:$D$1005="jabas")*(MOVIMIENTOS!$A$5:$A$1005&lt;&gt;"")*(MOVIMIENTOS!$A$5:$A$1005&lt;=$A476)*MOVIMIENTOS!$E$5:$E$1005))</f>
        <v/>
      </c>
      <c r="F476" s="62" t="str">
        <f>IF($A476="","",SUMPRODUCT((MOVIMIENTOS!$B$5:$B$1005="SALDO INICIAL")*(MOVIMIENTOS!$C$5:$C$1005="Chancho")*(MOVIMIENTOS!$D$5:$D$1005="sacos")*(MOVIMIENTOS!$A$5:$A$1005&lt;&gt;"")*(MOVIMIENTOS!$A$5:$A$1005&lt;=$A476)*MOVIMIENTOS!$E$5:$E$1005)+SUMPRODUCT((MOVIMIENTOS!$B$5:$B$1005="PROCESO")*(MOVIMIENTOS!$C$5:$C$1005="Chancho")*(MOVIMIENTOS!$D$5:$D$1005="sacos")*(MOVIMIENTOS!$A$5:$A$1005&lt;&gt;"")*(MOVIMIENTOS!$A$5:$A$1005&lt;=$A476)*MOVIMIENTOS!$E$5:$E$1005)-SUMPRODUCT((MOVIMIENTOS!$B$5:$B$1005="VENTA CHANCHO")*(MOVIMIENTOS!$C$5:$C$1005="Chancho")*(MOVIMIENTOS!$D$5:$D$1005="sacos")*(MOVIMIENTOS!$A$5:$A$1005&lt;&gt;"")*(MOVIMIENTOS!$A$5:$A$1005&lt;=$A476)*MOVIMIENTOS!$E$5:$E$1005)-SUMPRODUCT((MOVIMIENTOS!$B$5:$B$1005="REGALO")*(MOVIMIENTOS!$C$5:$C$1005="Chancho")*(MOVIMIENTOS!$D$5:$D$1005="sacos")*(MOVIMIENTOS!$A$5:$A$1005&lt;&gt;"")*(MOVIMIENTOS!$A$5:$A$1005&lt;=$A476)*MOVIMIENTOS!$E$5:$E$1005)-SUMPRODUCT((MOVIMIENTOS!$B$5:$B$1005="VENTA")*(MOVIMIENTOS!$C$5:$C$1005="Chancho")*(MOVIMIENTOS!$D$5:$D$1005="sacos")*(MOVIMIENTOS!$A$5:$A$1005&lt;&gt;"")*(MOVIMIENTOS!$A$5:$A$1005&lt;=$A476)*MOVIMIENTOS!$E$5:$E$1005)+SUMPRODUCT((MOVIMIENTOS!$B$5:$B$1005="AJUSTE")*(MOVIMIENTOS!$C$5:$C$1005="Chancho")*(MOVIMIENTOS!$D$5:$D$1005="sacos")*(MOVIMIENTOS!$A$5:$A$1005&lt;&gt;"")*(MOVIMIENTOS!$A$5:$A$1005&lt;=$A476)*MOVIMIENTOS!$E$5:$E$1005))</f>
        <v/>
      </c>
      <c r="G476" s="62" t="str">
        <f t="shared" si="15"/>
        <v/>
      </c>
      <c r="H476" t="str">
        <f>IF($A476="","",SUMPRODUCT((((MOVIMIENTOS!$B$5:$B$1005="SALDO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476)*MOVIMIENTOS!$J$5:$J$1005))</f>
        <v/>
      </c>
      <c r="J476" t="str">
        <f>IF(AND(MOVIMIENTOS!$A481&lt;&gt;"",COUNTIF(MOVIMIENTOS!$A$5:$A480,MOVIMIENTOS!$A481)=0),COUNT(J$4:J475)+1,"")</f>
        <v/>
      </c>
      <c r="K476" s="67">
        <f>MOVIMIENTOS!$A481</f>
        <v>0</v>
      </c>
    </row>
    <row r="477" spans="1:11" ht="15" customHeight="1" x14ac:dyDescent="0.2">
      <c r="A477" t="str">
        <f t="shared" si="14"/>
        <v/>
      </c>
      <c r="B477" t="str">
        <f>IF($A477="","",SUMPRODUCT((MOVIMIENTOS!$B$5:$B$1005="SALDO INICIAL")*(MOVIMIENTOS!$C$5:$C$1005="A")*(MOVIMIENTOS!$D$5:$D$1005="jabas")*(MOVIMIENTOS!$A$5:$A$1005&lt;&gt;"")*(MOVIMIENTOS!$A$5:$A$1005&lt;=$A477)*MOVIMIENTOS!$E$5:$E$1005)+SUMPRODUCT((MOVIMIENTOS!$B$5:$B$1005="PROCESO")*(MOVIMIENTOS!$C$5:$C$1005="A")*(MOVIMIENTOS!$D$5:$D$1005="jabas")*(MOVIMIENTOS!$A$5:$A$1005&lt;&gt;"")*(MOVIMIENTOS!$A$5:$A$1005&lt;=$A477)*MOVIMIENTOS!$E$5:$E$1005)-SUMPRODUCT((MOVIMIENTOS!$B$5:$B$1005="ENVÍO A SUPESA")*(MOVIMIENTOS!$C$5:$C$1005="A")*(MOVIMIENTOS!$D$5:$D$1005="jabas")*(MOVIMIENTOS!$A$5:$A$1005&lt;&gt;"")*(MOVIMIENTOS!$A$5:$A$1005&lt;=$A477)*MOVIMIENTOS!$E$5:$E$1005)+SUMPRODUCT((MOVIMIENTOS!$B$5:$B$1005="DEVOLUCIÓN")*(MOVIMIENTOS!$C$5:$C$1005="A")*(MOVIMIENTOS!$D$5:$D$1005="jabas")*(MOVIMIENTOS!$A$5:$A$1005&lt;&gt;"")*(MOVIMIENTOS!$A$5:$A$1005&lt;=$A477)*MOVIMIENTOS!$E$5:$E$1005)-SUMPRODUCT((MOVIMIENTOS!$B$5:$B$1005="TRASIEGO")*(MOVIMIENTOS!$C$5:$C$1005="A")*(MOVIMIENTOS!$D$5:$D$1005="jabas")*(MOVIMIENTOS!$A$5:$A$1005&lt;&gt;"")*(MOVIMIENTOS!$A$5:$A$1005&lt;=$A477)*MOVIMIENTOS!$E$5:$E$1005)-SUMPRODUCT((MOVIMIENTOS!$B$5:$B$1005="REGALO")*(MOVIMIENTOS!$C$5:$C$1005="A")*(MOVIMIENTOS!$D$5:$D$1005="jabas")*(MOVIMIENTOS!$A$5:$A$1005&lt;&gt;"")*(MOVIMIENTOS!$A$5:$A$1005&lt;=$A477)*MOVIMIENTOS!$E$5:$E$1005)-SUMPRODUCT((MOVIMIENTOS!$B$5:$B$1005="VENTA")*(MOVIMIENTOS!$C$5:$C$1005="A")*(MOVIMIENTOS!$D$5:$D$1005="jabas")*(MOVIMIENTOS!$A$5:$A$1005&lt;&gt;"")*(MOVIMIENTOS!$A$5:$A$1005&lt;=$A477)*MOVIMIENTOS!$E$5:$E$1005)+SUMPRODUCT((MOVIMIENTOS!$B$5:$B$1005="AJUSTE")*(MOVIMIENTOS!$C$5:$C$1005="A")*(MOVIMIENTOS!$D$5:$D$1005="jabas")*(MOVIMIENTOS!$A$5:$A$1005&lt;&gt;"")*(MOVIMIENTOS!$A$5:$A$1005&lt;=$A477)*MOVIMIENTOS!$E$5:$E$1005))</f>
        <v/>
      </c>
      <c r="C477" t="str">
        <f>IF($A477="","",SUMPRODUCT((MOVIMIENTOS!$B$5:$B$1005="SALDO INICIAL")*(MOVIMIENTOS!$C$5:$C$1005="P")*(MOVIMIENTOS!$D$5:$D$1005="jabas")*(MOVIMIENTOS!$A$5:$A$1005&lt;&gt;"")*(MOVIMIENTOS!$A$5:$A$1005&lt;=$A477)*MOVIMIENTOS!$E$5:$E$1005)+SUMPRODUCT((MOVIMIENTOS!$B$5:$B$1005="PROCESO")*(MOVIMIENTOS!$C$5:$C$1005="P")*(MOVIMIENTOS!$D$5:$D$1005="jabas")*(MOVIMIENTOS!$A$5:$A$1005&lt;&gt;"")*(MOVIMIENTOS!$A$5:$A$1005&lt;=$A477)*MOVIMIENTOS!$E$5:$E$1005)-SUMPRODUCT((MOVIMIENTOS!$B$5:$B$1005="ENVÍO A SUPESA")*(MOVIMIENTOS!$C$5:$C$1005="P")*(MOVIMIENTOS!$D$5:$D$1005="jabas")*(MOVIMIENTOS!$A$5:$A$1005&lt;&gt;"")*(MOVIMIENTOS!$A$5:$A$1005&lt;=$A477)*MOVIMIENTOS!$E$5:$E$1005)+SUMPRODUCT((MOVIMIENTOS!$B$5:$B$1005="DEVOLUCIÓN")*(MOVIMIENTOS!$C$5:$C$1005="P")*(MOVIMIENTOS!$D$5:$D$1005="jabas")*(MOVIMIENTOS!$A$5:$A$1005&lt;&gt;"")*(MOVIMIENTOS!$A$5:$A$1005&lt;=$A477)*MOVIMIENTOS!$E$5:$E$1005)-SUMPRODUCT((MOVIMIENTOS!$B$5:$B$1005="TRASIEGO")*(MOVIMIENTOS!$C$5:$C$1005="P")*(MOVIMIENTOS!$D$5:$D$1005="jabas")*(MOVIMIENTOS!$A$5:$A$1005&lt;&gt;"")*(MOVIMIENTOS!$A$5:$A$1005&lt;=$A477)*MOVIMIENTOS!$E$5:$E$1005)-SUMPRODUCT((MOVIMIENTOS!$B$5:$B$1005="REGALO")*(MOVIMIENTOS!$C$5:$C$1005="P")*(MOVIMIENTOS!$D$5:$D$1005="jabas")*(MOVIMIENTOS!$A$5:$A$1005&lt;&gt;"")*(MOVIMIENTOS!$A$5:$A$1005&lt;=$A477)*MOVIMIENTOS!$E$5:$E$1005)-SUMPRODUCT((MOVIMIENTOS!$B$5:$B$1005="VENTA")*(MOVIMIENTOS!$C$5:$C$1005="P")*(MOVIMIENTOS!$D$5:$D$1005="jabas")*(MOVIMIENTOS!$A$5:$A$1005&lt;&gt;"")*(MOVIMIENTOS!$A$5:$A$1005&lt;=$A477)*MOVIMIENTOS!$E$5:$E$1005)+SUMPRODUCT((MOVIMIENTOS!$B$5:$B$1005="AJUSTE")*(MOVIMIENTOS!$C$5:$C$1005="P")*(MOVIMIENTOS!$D$5:$D$1005="jabas")*(MOVIMIENTOS!$A$5:$A$1005&lt;&gt;"")*(MOVIMIENTOS!$A$5:$A$1005&lt;=$A477)*MOVIMIENTOS!$E$5:$E$1005))</f>
        <v/>
      </c>
      <c r="D477" t="str">
        <f>IF($A477="","",SUMPRODUCT((MOVIMIENTOS!$B$5:$B$1005="SALDO INICIAL")*(MOVIMIENTOS!$C$5:$C$1005="C")*(MOVIMIENTOS!$D$5:$D$1005="jabas")*(MOVIMIENTOS!$A$5:$A$1005&lt;&gt;"")*(MOVIMIENTOS!$A$5:$A$1005&lt;=$A477)*MOVIMIENTOS!$E$5:$E$1005)+SUMPRODUCT((MOVIMIENTOS!$B$5:$B$1005="PROCESO")*(MOVIMIENTOS!$C$5:$C$1005="C")*(MOVIMIENTOS!$D$5:$D$1005="jabas")*(MOVIMIENTOS!$A$5:$A$1005&lt;&gt;"")*(MOVIMIENTOS!$A$5:$A$1005&lt;=$A477)*MOVIMIENTOS!$E$5:$E$1005)-SUMPRODUCT((MOVIMIENTOS!$B$5:$B$1005="ENVÍO A SUPESA")*(MOVIMIENTOS!$C$5:$C$1005="C")*(MOVIMIENTOS!$D$5:$D$1005="jabas")*(MOVIMIENTOS!$A$5:$A$1005&lt;&gt;"")*(MOVIMIENTOS!$A$5:$A$1005&lt;=$A477)*MOVIMIENTOS!$E$5:$E$1005)+SUMPRODUCT((MOVIMIENTOS!$B$5:$B$1005="DEVOLUCIÓN")*(MOVIMIENTOS!$C$5:$C$1005="C")*(MOVIMIENTOS!$D$5:$D$1005="jabas")*(MOVIMIENTOS!$A$5:$A$1005&lt;&gt;"")*(MOVIMIENTOS!$A$5:$A$1005&lt;=$A477)*MOVIMIENTOS!$E$5:$E$1005)-SUMPRODUCT((MOVIMIENTOS!$B$5:$B$1005="TRASIEGO")*(MOVIMIENTOS!$C$5:$C$1005="C")*(MOVIMIENTOS!$D$5:$D$1005="jabas")*(MOVIMIENTOS!$A$5:$A$1005&lt;&gt;"")*(MOVIMIENTOS!$A$5:$A$1005&lt;=$A477)*MOVIMIENTOS!$E$5:$E$1005)-SUMPRODUCT((MOVIMIENTOS!$B$5:$B$1005="REGALO")*(MOVIMIENTOS!$C$5:$C$1005="C")*(MOVIMIENTOS!$D$5:$D$1005="jabas")*(MOVIMIENTOS!$A$5:$A$1005&lt;&gt;"")*(MOVIMIENTOS!$A$5:$A$1005&lt;=$A477)*MOVIMIENTOS!$E$5:$E$1005)-SUMPRODUCT((MOVIMIENTOS!$B$5:$B$1005="VENTA")*(MOVIMIENTOS!$C$5:$C$1005="C")*(MOVIMIENTOS!$D$5:$D$1005="jabas")*(MOVIMIENTOS!$A$5:$A$1005&lt;&gt;"")*(MOVIMIENTOS!$A$5:$A$1005&lt;=$A477)*MOVIMIENTOS!$E$5:$E$1005)+SUMPRODUCT((MOVIMIENTOS!$B$5:$B$1005="AJUSTE")*(MOVIMIENTOS!$C$5:$C$1005="C")*(MOVIMIENTOS!$D$5:$D$1005="jabas")*(MOVIMIENTOS!$A$5:$A$1005&lt;&gt;"")*(MOVIMIENTOS!$A$5:$A$1005&lt;=$A477)*MOVIMIENTOS!$E$5:$E$1005))</f>
        <v/>
      </c>
      <c r="E477" t="str">
        <f>IF($A477="","",SUMPRODUCT((MOVIMIENTOS!$B$5:$B$1005="SALDO INICIAL")*(MOVIMIENTOS!$C$5:$C$1005="M")*(MOVIMIENTOS!$D$5:$D$1005="jabas")*(MOVIMIENTOS!$A$5:$A$1005&lt;&gt;"")*(MOVIMIENTOS!$A$5:$A$1005&lt;=$A477)*MOVIMIENTOS!$E$5:$E$1005)+SUMPRODUCT((MOVIMIENTOS!$B$5:$B$1005="PROCESO")*(MOVIMIENTOS!$C$5:$C$1005="M")*(MOVIMIENTOS!$D$5:$D$1005="jabas")*(MOVIMIENTOS!$A$5:$A$1005&lt;&gt;"")*(MOVIMIENTOS!$A$5:$A$1005&lt;=$A477)*MOVIMIENTOS!$E$5:$E$1005)-SUMPRODUCT((MOVIMIENTOS!$B$5:$B$1005="ENVÍO A SUPESA")*(MOVIMIENTOS!$C$5:$C$1005="M")*(MOVIMIENTOS!$D$5:$D$1005="jabas")*(MOVIMIENTOS!$A$5:$A$1005&lt;&gt;"")*(MOVIMIENTOS!$A$5:$A$1005&lt;=$A477)*MOVIMIENTOS!$E$5:$E$1005)+SUMPRODUCT((MOVIMIENTOS!$B$5:$B$1005="DEVOLUCIÓN")*(MOVIMIENTOS!$C$5:$C$1005="M")*(MOVIMIENTOS!$D$5:$D$1005="jabas")*(MOVIMIENTOS!$A$5:$A$1005&lt;&gt;"")*(MOVIMIENTOS!$A$5:$A$1005&lt;=$A477)*MOVIMIENTOS!$E$5:$E$1005)-SUMPRODUCT((MOVIMIENTOS!$B$5:$B$1005="TRASIEGO")*(MOVIMIENTOS!$C$5:$C$1005="M")*(MOVIMIENTOS!$D$5:$D$1005="jabas")*(MOVIMIENTOS!$A$5:$A$1005&lt;&gt;"")*(MOVIMIENTOS!$A$5:$A$1005&lt;=$A477)*MOVIMIENTOS!$E$5:$E$1005)-SUMPRODUCT((MOVIMIENTOS!$B$5:$B$1005="REGALO")*(MOVIMIENTOS!$C$5:$C$1005="M")*(MOVIMIENTOS!$D$5:$D$1005="jabas")*(MOVIMIENTOS!$A$5:$A$1005&lt;&gt;"")*(MOVIMIENTOS!$A$5:$A$1005&lt;=$A477)*MOVIMIENTOS!$E$5:$E$1005)-SUMPRODUCT((MOVIMIENTOS!$B$5:$B$1005="VENTA")*(MOVIMIENTOS!$C$5:$C$1005="M")*(MOVIMIENTOS!$D$5:$D$1005="jabas")*(MOVIMIENTOS!$A$5:$A$1005&lt;&gt;"")*(MOVIMIENTOS!$A$5:$A$1005&lt;=$A477)*MOVIMIENTOS!$E$5:$E$1005)+SUMPRODUCT((MOVIMIENTOS!$B$5:$B$1005="AJUSTE")*(MOVIMIENTOS!$C$5:$C$1005="M")*(MOVIMIENTOS!$D$5:$D$1005="jabas")*(MOVIMIENTOS!$A$5:$A$1005&lt;&gt;"")*(MOVIMIENTOS!$A$5:$A$1005&lt;=$A477)*MOVIMIENTOS!$E$5:$E$1005))</f>
        <v/>
      </c>
      <c r="F477" s="62" t="str">
        <f>IF($A477="","",SUMPRODUCT((MOVIMIENTOS!$B$5:$B$1005="SALDO INICIAL")*(MOVIMIENTOS!$C$5:$C$1005="Chancho")*(MOVIMIENTOS!$D$5:$D$1005="sacos")*(MOVIMIENTOS!$A$5:$A$1005&lt;&gt;"")*(MOVIMIENTOS!$A$5:$A$1005&lt;=$A477)*MOVIMIENTOS!$E$5:$E$1005)+SUMPRODUCT((MOVIMIENTOS!$B$5:$B$1005="PROCESO")*(MOVIMIENTOS!$C$5:$C$1005="Chancho")*(MOVIMIENTOS!$D$5:$D$1005="sacos")*(MOVIMIENTOS!$A$5:$A$1005&lt;&gt;"")*(MOVIMIENTOS!$A$5:$A$1005&lt;=$A477)*MOVIMIENTOS!$E$5:$E$1005)-SUMPRODUCT((MOVIMIENTOS!$B$5:$B$1005="VENTA CHANCHO")*(MOVIMIENTOS!$C$5:$C$1005="Chancho")*(MOVIMIENTOS!$D$5:$D$1005="sacos")*(MOVIMIENTOS!$A$5:$A$1005&lt;&gt;"")*(MOVIMIENTOS!$A$5:$A$1005&lt;=$A477)*MOVIMIENTOS!$E$5:$E$1005)-SUMPRODUCT((MOVIMIENTOS!$B$5:$B$1005="REGALO")*(MOVIMIENTOS!$C$5:$C$1005="Chancho")*(MOVIMIENTOS!$D$5:$D$1005="sacos")*(MOVIMIENTOS!$A$5:$A$1005&lt;&gt;"")*(MOVIMIENTOS!$A$5:$A$1005&lt;=$A477)*MOVIMIENTOS!$E$5:$E$1005)-SUMPRODUCT((MOVIMIENTOS!$B$5:$B$1005="VENTA")*(MOVIMIENTOS!$C$5:$C$1005="Chancho")*(MOVIMIENTOS!$D$5:$D$1005="sacos")*(MOVIMIENTOS!$A$5:$A$1005&lt;&gt;"")*(MOVIMIENTOS!$A$5:$A$1005&lt;=$A477)*MOVIMIENTOS!$E$5:$E$1005)+SUMPRODUCT((MOVIMIENTOS!$B$5:$B$1005="AJUSTE")*(MOVIMIENTOS!$C$5:$C$1005="Chancho")*(MOVIMIENTOS!$D$5:$D$1005="sacos")*(MOVIMIENTOS!$A$5:$A$1005&lt;&gt;"")*(MOVIMIENTOS!$A$5:$A$1005&lt;=$A477)*MOVIMIENTOS!$E$5:$E$1005))</f>
        <v/>
      </c>
      <c r="G477" s="62" t="str">
        <f t="shared" si="15"/>
        <v/>
      </c>
      <c r="H477" t="str">
        <f>IF($A477="","",SUMPRODUCT((((MOVIMIENTOS!$B$5:$B$1005="SALDO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477)*MOVIMIENTOS!$J$5:$J$1005))</f>
        <v/>
      </c>
      <c r="J477" t="str">
        <f>IF(AND(MOVIMIENTOS!$A482&lt;&gt;"",COUNTIF(MOVIMIENTOS!$A$5:$A481,MOVIMIENTOS!$A482)=0),COUNT(J$4:J476)+1,"")</f>
        <v/>
      </c>
      <c r="K477" s="67">
        <f>MOVIMIENTOS!$A482</f>
        <v>0</v>
      </c>
    </row>
    <row r="478" spans="1:11" ht="15" customHeight="1" x14ac:dyDescent="0.2">
      <c r="A478" t="str">
        <f t="shared" si="14"/>
        <v/>
      </c>
      <c r="B478" t="str">
        <f>IF($A478="","",SUMPRODUCT((MOVIMIENTOS!$B$5:$B$1005="SALDO INICIAL")*(MOVIMIENTOS!$C$5:$C$1005="A")*(MOVIMIENTOS!$D$5:$D$1005="jabas")*(MOVIMIENTOS!$A$5:$A$1005&lt;&gt;"")*(MOVIMIENTOS!$A$5:$A$1005&lt;=$A478)*MOVIMIENTOS!$E$5:$E$1005)+SUMPRODUCT((MOVIMIENTOS!$B$5:$B$1005="PROCESO")*(MOVIMIENTOS!$C$5:$C$1005="A")*(MOVIMIENTOS!$D$5:$D$1005="jabas")*(MOVIMIENTOS!$A$5:$A$1005&lt;&gt;"")*(MOVIMIENTOS!$A$5:$A$1005&lt;=$A478)*MOVIMIENTOS!$E$5:$E$1005)-SUMPRODUCT((MOVIMIENTOS!$B$5:$B$1005="ENVÍO A SUPESA")*(MOVIMIENTOS!$C$5:$C$1005="A")*(MOVIMIENTOS!$D$5:$D$1005="jabas")*(MOVIMIENTOS!$A$5:$A$1005&lt;&gt;"")*(MOVIMIENTOS!$A$5:$A$1005&lt;=$A478)*MOVIMIENTOS!$E$5:$E$1005)+SUMPRODUCT((MOVIMIENTOS!$B$5:$B$1005="DEVOLUCIÓN")*(MOVIMIENTOS!$C$5:$C$1005="A")*(MOVIMIENTOS!$D$5:$D$1005="jabas")*(MOVIMIENTOS!$A$5:$A$1005&lt;&gt;"")*(MOVIMIENTOS!$A$5:$A$1005&lt;=$A478)*MOVIMIENTOS!$E$5:$E$1005)-SUMPRODUCT((MOVIMIENTOS!$B$5:$B$1005="TRASIEGO")*(MOVIMIENTOS!$C$5:$C$1005="A")*(MOVIMIENTOS!$D$5:$D$1005="jabas")*(MOVIMIENTOS!$A$5:$A$1005&lt;&gt;"")*(MOVIMIENTOS!$A$5:$A$1005&lt;=$A478)*MOVIMIENTOS!$E$5:$E$1005)-SUMPRODUCT((MOVIMIENTOS!$B$5:$B$1005="REGALO")*(MOVIMIENTOS!$C$5:$C$1005="A")*(MOVIMIENTOS!$D$5:$D$1005="jabas")*(MOVIMIENTOS!$A$5:$A$1005&lt;&gt;"")*(MOVIMIENTOS!$A$5:$A$1005&lt;=$A478)*MOVIMIENTOS!$E$5:$E$1005)-SUMPRODUCT((MOVIMIENTOS!$B$5:$B$1005="VENTA")*(MOVIMIENTOS!$C$5:$C$1005="A")*(MOVIMIENTOS!$D$5:$D$1005="jabas")*(MOVIMIENTOS!$A$5:$A$1005&lt;&gt;"")*(MOVIMIENTOS!$A$5:$A$1005&lt;=$A478)*MOVIMIENTOS!$E$5:$E$1005)+SUMPRODUCT((MOVIMIENTOS!$B$5:$B$1005="AJUSTE")*(MOVIMIENTOS!$C$5:$C$1005="A")*(MOVIMIENTOS!$D$5:$D$1005="jabas")*(MOVIMIENTOS!$A$5:$A$1005&lt;&gt;"")*(MOVIMIENTOS!$A$5:$A$1005&lt;=$A478)*MOVIMIENTOS!$E$5:$E$1005))</f>
        <v/>
      </c>
      <c r="C478" t="str">
        <f>IF($A478="","",SUMPRODUCT((MOVIMIENTOS!$B$5:$B$1005="SALDO INICIAL")*(MOVIMIENTOS!$C$5:$C$1005="P")*(MOVIMIENTOS!$D$5:$D$1005="jabas")*(MOVIMIENTOS!$A$5:$A$1005&lt;&gt;"")*(MOVIMIENTOS!$A$5:$A$1005&lt;=$A478)*MOVIMIENTOS!$E$5:$E$1005)+SUMPRODUCT((MOVIMIENTOS!$B$5:$B$1005="PROCESO")*(MOVIMIENTOS!$C$5:$C$1005="P")*(MOVIMIENTOS!$D$5:$D$1005="jabas")*(MOVIMIENTOS!$A$5:$A$1005&lt;&gt;"")*(MOVIMIENTOS!$A$5:$A$1005&lt;=$A478)*MOVIMIENTOS!$E$5:$E$1005)-SUMPRODUCT((MOVIMIENTOS!$B$5:$B$1005="ENVÍO A SUPESA")*(MOVIMIENTOS!$C$5:$C$1005="P")*(MOVIMIENTOS!$D$5:$D$1005="jabas")*(MOVIMIENTOS!$A$5:$A$1005&lt;&gt;"")*(MOVIMIENTOS!$A$5:$A$1005&lt;=$A478)*MOVIMIENTOS!$E$5:$E$1005)+SUMPRODUCT((MOVIMIENTOS!$B$5:$B$1005="DEVOLUCIÓN")*(MOVIMIENTOS!$C$5:$C$1005="P")*(MOVIMIENTOS!$D$5:$D$1005="jabas")*(MOVIMIENTOS!$A$5:$A$1005&lt;&gt;"")*(MOVIMIENTOS!$A$5:$A$1005&lt;=$A478)*MOVIMIENTOS!$E$5:$E$1005)-SUMPRODUCT((MOVIMIENTOS!$B$5:$B$1005="TRASIEGO")*(MOVIMIENTOS!$C$5:$C$1005="P")*(MOVIMIENTOS!$D$5:$D$1005="jabas")*(MOVIMIENTOS!$A$5:$A$1005&lt;&gt;"")*(MOVIMIENTOS!$A$5:$A$1005&lt;=$A478)*MOVIMIENTOS!$E$5:$E$1005)-SUMPRODUCT((MOVIMIENTOS!$B$5:$B$1005="REGALO")*(MOVIMIENTOS!$C$5:$C$1005="P")*(MOVIMIENTOS!$D$5:$D$1005="jabas")*(MOVIMIENTOS!$A$5:$A$1005&lt;&gt;"")*(MOVIMIENTOS!$A$5:$A$1005&lt;=$A478)*MOVIMIENTOS!$E$5:$E$1005)-SUMPRODUCT((MOVIMIENTOS!$B$5:$B$1005="VENTA")*(MOVIMIENTOS!$C$5:$C$1005="P")*(MOVIMIENTOS!$D$5:$D$1005="jabas")*(MOVIMIENTOS!$A$5:$A$1005&lt;&gt;"")*(MOVIMIENTOS!$A$5:$A$1005&lt;=$A478)*MOVIMIENTOS!$E$5:$E$1005)+SUMPRODUCT((MOVIMIENTOS!$B$5:$B$1005="AJUSTE")*(MOVIMIENTOS!$C$5:$C$1005="P")*(MOVIMIENTOS!$D$5:$D$1005="jabas")*(MOVIMIENTOS!$A$5:$A$1005&lt;&gt;"")*(MOVIMIENTOS!$A$5:$A$1005&lt;=$A478)*MOVIMIENTOS!$E$5:$E$1005))</f>
        <v/>
      </c>
      <c r="D478" t="str">
        <f>IF($A478="","",SUMPRODUCT((MOVIMIENTOS!$B$5:$B$1005="SALDO INICIAL")*(MOVIMIENTOS!$C$5:$C$1005="C")*(MOVIMIENTOS!$D$5:$D$1005="jabas")*(MOVIMIENTOS!$A$5:$A$1005&lt;&gt;"")*(MOVIMIENTOS!$A$5:$A$1005&lt;=$A478)*MOVIMIENTOS!$E$5:$E$1005)+SUMPRODUCT((MOVIMIENTOS!$B$5:$B$1005="PROCESO")*(MOVIMIENTOS!$C$5:$C$1005="C")*(MOVIMIENTOS!$D$5:$D$1005="jabas")*(MOVIMIENTOS!$A$5:$A$1005&lt;&gt;"")*(MOVIMIENTOS!$A$5:$A$1005&lt;=$A478)*MOVIMIENTOS!$E$5:$E$1005)-SUMPRODUCT((MOVIMIENTOS!$B$5:$B$1005="ENVÍO A SUPESA")*(MOVIMIENTOS!$C$5:$C$1005="C")*(MOVIMIENTOS!$D$5:$D$1005="jabas")*(MOVIMIENTOS!$A$5:$A$1005&lt;&gt;"")*(MOVIMIENTOS!$A$5:$A$1005&lt;=$A478)*MOVIMIENTOS!$E$5:$E$1005)+SUMPRODUCT((MOVIMIENTOS!$B$5:$B$1005="DEVOLUCIÓN")*(MOVIMIENTOS!$C$5:$C$1005="C")*(MOVIMIENTOS!$D$5:$D$1005="jabas")*(MOVIMIENTOS!$A$5:$A$1005&lt;&gt;"")*(MOVIMIENTOS!$A$5:$A$1005&lt;=$A478)*MOVIMIENTOS!$E$5:$E$1005)-SUMPRODUCT((MOVIMIENTOS!$B$5:$B$1005="TRASIEGO")*(MOVIMIENTOS!$C$5:$C$1005="C")*(MOVIMIENTOS!$D$5:$D$1005="jabas")*(MOVIMIENTOS!$A$5:$A$1005&lt;&gt;"")*(MOVIMIENTOS!$A$5:$A$1005&lt;=$A478)*MOVIMIENTOS!$E$5:$E$1005)-SUMPRODUCT((MOVIMIENTOS!$B$5:$B$1005="REGALO")*(MOVIMIENTOS!$C$5:$C$1005="C")*(MOVIMIENTOS!$D$5:$D$1005="jabas")*(MOVIMIENTOS!$A$5:$A$1005&lt;&gt;"")*(MOVIMIENTOS!$A$5:$A$1005&lt;=$A478)*MOVIMIENTOS!$E$5:$E$1005)-SUMPRODUCT((MOVIMIENTOS!$B$5:$B$1005="VENTA")*(MOVIMIENTOS!$C$5:$C$1005="C")*(MOVIMIENTOS!$D$5:$D$1005="jabas")*(MOVIMIENTOS!$A$5:$A$1005&lt;&gt;"")*(MOVIMIENTOS!$A$5:$A$1005&lt;=$A478)*MOVIMIENTOS!$E$5:$E$1005)+SUMPRODUCT((MOVIMIENTOS!$B$5:$B$1005="AJUSTE")*(MOVIMIENTOS!$C$5:$C$1005="C")*(MOVIMIENTOS!$D$5:$D$1005="jabas")*(MOVIMIENTOS!$A$5:$A$1005&lt;&gt;"")*(MOVIMIENTOS!$A$5:$A$1005&lt;=$A478)*MOVIMIENTOS!$E$5:$E$1005))</f>
        <v/>
      </c>
      <c r="E478" t="str">
        <f>IF($A478="","",SUMPRODUCT((MOVIMIENTOS!$B$5:$B$1005="SALDO INICIAL")*(MOVIMIENTOS!$C$5:$C$1005="M")*(MOVIMIENTOS!$D$5:$D$1005="jabas")*(MOVIMIENTOS!$A$5:$A$1005&lt;&gt;"")*(MOVIMIENTOS!$A$5:$A$1005&lt;=$A478)*MOVIMIENTOS!$E$5:$E$1005)+SUMPRODUCT((MOVIMIENTOS!$B$5:$B$1005="PROCESO")*(MOVIMIENTOS!$C$5:$C$1005="M")*(MOVIMIENTOS!$D$5:$D$1005="jabas")*(MOVIMIENTOS!$A$5:$A$1005&lt;&gt;"")*(MOVIMIENTOS!$A$5:$A$1005&lt;=$A478)*MOVIMIENTOS!$E$5:$E$1005)-SUMPRODUCT((MOVIMIENTOS!$B$5:$B$1005="ENVÍO A SUPESA")*(MOVIMIENTOS!$C$5:$C$1005="M")*(MOVIMIENTOS!$D$5:$D$1005="jabas")*(MOVIMIENTOS!$A$5:$A$1005&lt;&gt;"")*(MOVIMIENTOS!$A$5:$A$1005&lt;=$A478)*MOVIMIENTOS!$E$5:$E$1005)+SUMPRODUCT((MOVIMIENTOS!$B$5:$B$1005="DEVOLUCIÓN")*(MOVIMIENTOS!$C$5:$C$1005="M")*(MOVIMIENTOS!$D$5:$D$1005="jabas")*(MOVIMIENTOS!$A$5:$A$1005&lt;&gt;"")*(MOVIMIENTOS!$A$5:$A$1005&lt;=$A478)*MOVIMIENTOS!$E$5:$E$1005)-SUMPRODUCT((MOVIMIENTOS!$B$5:$B$1005="TRASIEGO")*(MOVIMIENTOS!$C$5:$C$1005="M")*(MOVIMIENTOS!$D$5:$D$1005="jabas")*(MOVIMIENTOS!$A$5:$A$1005&lt;&gt;"")*(MOVIMIENTOS!$A$5:$A$1005&lt;=$A478)*MOVIMIENTOS!$E$5:$E$1005)-SUMPRODUCT((MOVIMIENTOS!$B$5:$B$1005="REGALO")*(MOVIMIENTOS!$C$5:$C$1005="M")*(MOVIMIENTOS!$D$5:$D$1005="jabas")*(MOVIMIENTOS!$A$5:$A$1005&lt;&gt;"")*(MOVIMIENTOS!$A$5:$A$1005&lt;=$A478)*MOVIMIENTOS!$E$5:$E$1005)-SUMPRODUCT((MOVIMIENTOS!$B$5:$B$1005="VENTA")*(MOVIMIENTOS!$C$5:$C$1005="M")*(MOVIMIENTOS!$D$5:$D$1005="jabas")*(MOVIMIENTOS!$A$5:$A$1005&lt;&gt;"")*(MOVIMIENTOS!$A$5:$A$1005&lt;=$A478)*MOVIMIENTOS!$E$5:$E$1005)+SUMPRODUCT((MOVIMIENTOS!$B$5:$B$1005="AJUSTE")*(MOVIMIENTOS!$C$5:$C$1005="M")*(MOVIMIENTOS!$D$5:$D$1005="jabas")*(MOVIMIENTOS!$A$5:$A$1005&lt;&gt;"")*(MOVIMIENTOS!$A$5:$A$1005&lt;=$A478)*MOVIMIENTOS!$E$5:$E$1005))</f>
        <v/>
      </c>
      <c r="F478" s="62" t="str">
        <f>IF($A478="","",SUMPRODUCT((MOVIMIENTOS!$B$5:$B$1005="SALDO INICIAL")*(MOVIMIENTOS!$C$5:$C$1005="Chancho")*(MOVIMIENTOS!$D$5:$D$1005="sacos")*(MOVIMIENTOS!$A$5:$A$1005&lt;&gt;"")*(MOVIMIENTOS!$A$5:$A$1005&lt;=$A478)*MOVIMIENTOS!$E$5:$E$1005)+SUMPRODUCT((MOVIMIENTOS!$B$5:$B$1005="PROCESO")*(MOVIMIENTOS!$C$5:$C$1005="Chancho")*(MOVIMIENTOS!$D$5:$D$1005="sacos")*(MOVIMIENTOS!$A$5:$A$1005&lt;&gt;"")*(MOVIMIENTOS!$A$5:$A$1005&lt;=$A478)*MOVIMIENTOS!$E$5:$E$1005)-SUMPRODUCT((MOVIMIENTOS!$B$5:$B$1005="VENTA CHANCHO")*(MOVIMIENTOS!$C$5:$C$1005="Chancho")*(MOVIMIENTOS!$D$5:$D$1005="sacos")*(MOVIMIENTOS!$A$5:$A$1005&lt;&gt;"")*(MOVIMIENTOS!$A$5:$A$1005&lt;=$A478)*MOVIMIENTOS!$E$5:$E$1005)-SUMPRODUCT((MOVIMIENTOS!$B$5:$B$1005="REGALO")*(MOVIMIENTOS!$C$5:$C$1005="Chancho")*(MOVIMIENTOS!$D$5:$D$1005="sacos")*(MOVIMIENTOS!$A$5:$A$1005&lt;&gt;"")*(MOVIMIENTOS!$A$5:$A$1005&lt;=$A478)*MOVIMIENTOS!$E$5:$E$1005)-SUMPRODUCT((MOVIMIENTOS!$B$5:$B$1005="VENTA")*(MOVIMIENTOS!$C$5:$C$1005="Chancho")*(MOVIMIENTOS!$D$5:$D$1005="sacos")*(MOVIMIENTOS!$A$5:$A$1005&lt;&gt;"")*(MOVIMIENTOS!$A$5:$A$1005&lt;=$A478)*MOVIMIENTOS!$E$5:$E$1005)+SUMPRODUCT((MOVIMIENTOS!$B$5:$B$1005="AJUSTE")*(MOVIMIENTOS!$C$5:$C$1005="Chancho")*(MOVIMIENTOS!$D$5:$D$1005="sacos")*(MOVIMIENTOS!$A$5:$A$1005&lt;&gt;"")*(MOVIMIENTOS!$A$5:$A$1005&lt;=$A478)*MOVIMIENTOS!$E$5:$E$1005))</f>
        <v/>
      </c>
      <c r="G478" s="62" t="str">
        <f t="shared" si="15"/>
        <v/>
      </c>
      <c r="H478" t="str">
        <f>IF($A478="","",SUMPRODUCT((((MOVIMIENTOS!$B$5:$B$1005="SALDO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478)*MOVIMIENTOS!$J$5:$J$1005))</f>
        <v/>
      </c>
      <c r="J478" t="str">
        <f>IF(AND(MOVIMIENTOS!$A483&lt;&gt;"",COUNTIF(MOVIMIENTOS!$A$5:$A482,MOVIMIENTOS!$A483)=0),COUNT(J$4:J477)+1,"")</f>
        <v/>
      </c>
      <c r="K478" s="67">
        <f>MOVIMIENTOS!$A483</f>
        <v>0</v>
      </c>
    </row>
    <row r="479" spans="1:11" ht="15" customHeight="1" x14ac:dyDescent="0.2">
      <c r="A479" t="str">
        <f t="shared" si="14"/>
        <v/>
      </c>
      <c r="B479" t="str">
        <f>IF($A479="","",SUMPRODUCT((MOVIMIENTOS!$B$5:$B$1005="SALDO INICIAL")*(MOVIMIENTOS!$C$5:$C$1005="A")*(MOVIMIENTOS!$D$5:$D$1005="jabas")*(MOVIMIENTOS!$A$5:$A$1005&lt;&gt;"")*(MOVIMIENTOS!$A$5:$A$1005&lt;=$A479)*MOVIMIENTOS!$E$5:$E$1005)+SUMPRODUCT((MOVIMIENTOS!$B$5:$B$1005="PROCESO")*(MOVIMIENTOS!$C$5:$C$1005="A")*(MOVIMIENTOS!$D$5:$D$1005="jabas")*(MOVIMIENTOS!$A$5:$A$1005&lt;&gt;"")*(MOVIMIENTOS!$A$5:$A$1005&lt;=$A479)*MOVIMIENTOS!$E$5:$E$1005)-SUMPRODUCT((MOVIMIENTOS!$B$5:$B$1005="ENVÍO A SUPESA")*(MOVIMIENTOS!$C$5:$C$1005="A")*(MOVIMIENTOS!$D$5:$D$1005="jabas")*(MOVIMIENTOS!$A$5:$A$1005&lt;&gt;"")*(MOVIMIENTOS!$A$5:$A$1005&lt;=$A479)*MOVIMIENTOS!$E$5:$E$1005)+SUMPRODUCT((MOVIMIENTOS!$B$5:$B$1005="DEVOLUCIÓN")*(MOVIMIENTOS!$C$5:$C$1005="A")*(MOVIMIENTOS!$D$5:$D$1005="jabas")*(MOVIMIENTOS!$A$5:$A$1005&lt;&gt;"")*(MOVIMIENTOS!$A$5:$A$1005&lt;=$A479)*MOVIMIENTOS!$E$5:$E$1005)-SUMPRODUCT((MOVIMIENTOS!$B$5:$B$1005="TRASIEGO")*(MOVIMIENTOS!$C$5:$C$1005="A")*(MOVIMIENTOS!$D$5:$D$1005="jabas")*(MOVIMIENTOS!$A$5:$A$1005&lt;&gt;"")*(MOVIMIENTOS!$A$5:$A$1005&lt;=$A479)*MOVIMIENTOS!$E$5:$E$1005)-SUMPRODUCT((MOVIMIENTOS!$B$5:$B$1005="REGALO")*(MOVIMIENTOS!$C$5:$C$1005="A")*(MOVIMIENTOS!$D$5:$D$1005="jabas")*(MOVIMIENTOS!$A$5:$A$1005&lt;&gt;"")*(MOVIMIENTOS!$A$5:$A$1005&lt;=$A479)*MOVIMIENTOS!$E$5:$E$1005)-SUMPRODUCT((MOVIMIENTOS!$B$5:$B$1005="VENTA")*(MOVIMIENTOS!$C$5:$C$1005="A")*(MOVIMIENTOS!$D$5:$D$1005="jabas")*(MOVIMIENTOS!$A$5:$A$1005&lt;&gt;"")*(MOVIMIENTOS!$A$5:$A$1005&lt;=$A479)*MOVIMIENTOS!$E$5:$E$1005)+SUMPRODUCT((MOVIMIENTOS!$B$5:$B$1005="AJUSTE")*(MOVIMIENTOS!$C$5:$C$1005="A")*(MOVIMIENTOS!$D$5:$D$1005="jabas")*(MOVIMIENTOS!$A$5:$A$1005&lt;&gt;"")*(MOVIMIENTOS!$A$5:$A$1005&lt;=$A479)*MOVIMIENTOS!$E$5:$E$1005))</f>
        <v/>
      </c>
      <c r="C479" t="str">
        <f>IF($A479="","",SUMPRODUCT((MOVIMIENTOS!$B$5:$B$1005="SALDO INICIAL")*(MOVIMIENTOS!$C$5:$C$1005="P")*(MOVIMIENTOS!$D$5:$D$1005="jabas")*(MOVIMIENTOS!$A$5:$A$1005&lt;&gt;"")*(MOVIMIENTOS!$A$5:$A$1005&lt;=$A479)*MOVIMIENTOS!$E$5:$E$1005)+SUMPRODUCT((MOVIMIENTOS!$B$5:$B$1005="PROCESO")*(MOVIMIENTOS!$C$5:$C$1005="P")*(MOVIMIENTOS!$D$5:$D$1005="jabas")*(MOVIMIENTOS!$A$5:$A$1005&lt;&gt;"")*(MOVIMIENTOS!$A$5:$A$1005&lt;=$A479)*MOVIMIENTOS!$E$5:$E$1005)-SUMPRODUCT((MOVIMIENTOS!$B$5:$B$1005="ENVÍO A SUPESA")*(MOVIMIENTOS!$C$5:$C$1005="P")*(MOVIMIENTOS!$D$5:$D$1005="jabas")*(MOVIMIENTOS!$A$5:$A$1005&lt;&gt;"")*(MOVIMIENTOS!$A$5:$A$1005&lt;=$A479)*MOVIMIENTOS!$E$5:$E$1005)+SUMPRODUCT((MOVIMIENTOS!$B$5:$B$1005="DEVOLUCIÓN")*(MOVIMIENTOS!$C$5:$C$1005="P")*(MOVIMIENTOS!$D$5:$D$1005="jabas")*(MOVIMIENTOS!$A$5:$A$1005&lt;&gt;"")*(MOVIMIENTOS!$A$5:$A$1005&lt;=$A479)*MOVIMIENTOS!$E$5:$E$1005)-SUMPRODUCT((MOVIMIENTOS!$B$5:$B$1005="TRASIEGO")*(MOVIMIENTOS!$C$5:$C$1005="P")*(MOVIMIENTOS!$D$5:$D$1005="jabas")*(MOVIMIENTOS!$A$5:$A$1005&lt;&gt;"")*(MOVIMIENTOS!$A$5:$A$1005&lt;=$A479)*MOVIMIENTOS!$E$5:$E$1005)-SUMPRODUCT((MOVIMIENTOS!$B$5:$B$1005="REGALO")*(MOVIMIENTOS!$C$5:$C$1005="P")*(MOVIMIENTOS!$D$5:$D$1005="jabas")*(MOVIMIENTOS!$A$5:$A$1005&lt;&gt;"")*(MOVIMIENTOS!$A$5:$A$1005&lt;=$A479)*MOVIMIENTOS!$E$5:$E$1005)-SUMPRODUCT((MOVIMIENTOS!$B$5:$B$1005="VENTA")*(MOVIMIENTOS!$C$5:$C$1005="P")*(MOVIMIENTOS!$D$5:$D$1005="jabas")*(MOVIMIENTOS!$A$5:$A$1005&lt;&gt;"")*(MOVIMIENTOS!$A$5:$A$1005&lt;=$A479)*MOVIMIENTOS!$E$5:$E$1005)+SUMPRODUCT((MOVIMIENTOS!$B$5:$B$1005="AJUSTE")*(MOVIMIENTOS!$C$5:$C$1005="P")*(MOVIMIENTOS!$D$5:$D$1005="jabas")*(MOVIMIENTOS!$A$5:$A$1005&lt;&gt;"")*(MOVIMIENTOS!$A$5:$A$1005&lt;=$A479)*MOVIMIENTOS!$E$5:$E$1005))</f>
        <v/>
      </c>
      <c r="D479" t="str">
        <f>IF($A479="","",SUMPRODUCT((MOVIMIENTOS!$B$5:$B$1005="SALDO INICIAL")*(MOVIMIENTOS!$C$5:$C$1005="C")*(MOVIMIENTOS!$D$5:$D$1005="jabas")*(MOVIMIENTOS!$A$5:$A$1005&lt;&gt;"")*(MOVIMIENTOS!$A$5:$A$1005&lt;=$A479)*MOVIMIENTOS!$E$5:$E$1005)+SUMPRODUCT((MOVIMIENTOS!$B$5:$B$1005="PROCESO")*(MOVIMIENTOS!$C$5:$C$1005="C")*(MOVIMIENTOS!$D$5:$D$1005="jabas")*(MOVIMIENTOS!$A$5:$A$1005&lt;&gt;"")*(MOVIMIENTOS!$A$5:$A$1005&lt;=$A479)*MOVIMIENTOS!$E$5:$E$1005)-SUMPRODUCT((MOVIMIENTOS!$B$5:$B$1005="ENVÍO A SUPESA")*(MOVIMIENTOS!$C$5:$C$1005="C")*(MOVIMIENTOS!$D$5:$D$1005="jabas")*(MOVIMIENTOS!$A$5:$A$1005&lt;&gt;"")*(MOVIMIENTOS!$A$5:$A$1005&lt;=$A479)*MOVIMIENTOS!$E$5:$E$1005)+SUMPRODUCT((MOVIMIENTOS!$B$5:$B$1005="DEVOLUCIÓN")*(MOVIMIENTOS!$C$5:$C$1005="C")*(MOVIMIENTOS!$D$5:$D$1005="jabas")*(MOVIMIENTOS!$A$5:$A$1005&lt;&gt;"")*(MOVIMIENTOS!$A$5:$A$1005&lt;=$A479)*MOVIMIENTOS!$E$5:$E$1005)-SUMPRODUCT((MOVIMIENTOS!$B$5:$B$1005="TRASIEGO")*(MOVIMIENTOS!$C$5:$C$1005="C")*(MOVIMIENTOS!$D$5:$D$1005="jabas")*(MOVIMIENTOS!$A$5:$A$1005&lt;&gt;"")*(MOVIMIENTOS!$A$5:$A$1005&lt;=$A479)*MOVIMIENTOS!$E$5:$E$1005)-SUMPRODUCT((MOVIMIENTOS!$B$5:$B$1005="REGALO")*(MOVIMIENTOS!$C$5:$C$1005="C")*(MOVIMIENTOS!$D$5:$D$1005="jabas")*(MOVIMIENTOS!$A$5:$A$1005&lt;&gt;"")*(MOVIMIENTOS!$A$5:$A$1005&lt;=$A479)*MOVIMIENTOS!$E$5:$E$1005)-SUMPRODUCT((MOVIMIENTOS!$B$5:$B$1005="VENTA")*(MOVIMIENTOS!$C$5:$C$1005="C")*(MOVIMIENTOS!$D$5:$D$1005="jabas")*(MOVIMIENTOS!$A$5:$A$1005&lt;&gt;"")*(MOVIMIENTOS!$A$5:$A$1005&lt;=$A479)*MOVIMIENTOS!$E$5:$E$1005)+SUMPRODUCT((MOVIMIENTOS!$B$5:$B$1005="AJUSTE")*(MOVIMIENTOS!$C$5:$C$1005="C")*(MOVIMIENTOS!$D$5:$D$1005="jabas")*(MOVIMIENTOS!$A$5:$A$1005&lt;&gt;"")*(MOVIMIENTOS!$A$5:$A$1005&lt;=$A479)*MOVIMIENTOS!$E$5:$E$1005))</f>
        <v/>
      </c>
      <c r="E479" t="str">
        <f>IF($A479="","",SUMPRODUCT((MOVIMIENTOS!$B$5:$B$1005="SALDO INICIAL")*(MOVIMIENTOS!$C$5:$C$1005="M")*(MOVIMIENTOS!$D$5:$D$1005="jabas")*(MOVIMIENTOS!$A$5:$A$1005&lt;&gt;"")*(MOVIMIENTOS!$A$5:$A$1005&lt;=$A479)*MOVIMIENTOS!$E$5:$E$1005)+SUMPRODUCT((MOVIMIENTOS!$B$5:$B$1005="PROCESO")*(MOVIMIENTOS!$C$5:$C$1005="M")*(MOVIMIENTOS!$D$5:$D$1005="jabas")*(MOVIMIENTOS!$A$5:$A$1005&lt;&gt;"")*(MOVIMIENTOS!$A$5:$A$1005&lt;=$A479)*MOVIMIENTOS!$E$5:$E$1005)-SUMPRODUCT((MOVIMIENTOS!$B$5:$B$1005="ENVÍO A SUPESA")*(MOVIMIENTOS!$C$5:$C$1005="M")*(MOVIMIENTOS!$D$5:$D$1005="jabas")*(MOVIMIENTOS!$A$5:$A$1005&lt;&gt;"")*(MOVIMIENTOS!$A$5:$A$1005&lt;=$A479)*MOVIMIENTOS!$E$5:$E$1005)+SUMPRODUCT((MOVIMIENTOS!$B$5:$B$1005="DEVOLUCIÓN")*(MOVIMIENTOS!$C$5:$C$1005="M")*(MOVIMIENTOS!$D$5:$D$1005="jabas")*(MOVIMIENTOS!$A$5:$A$1005&lt;&gt;"")*(MOVIMIENTOS!$A$5:$A$1005&lt;=$A479)*MOVIMIENTOS!$E$5:$E$1005)-SUMPRODUCT((MOVIMIENTOS!$B$5:$B$1005="TRASIEGO")*(MOVIMIENTOS!$C$5:$C$1005="M")*(MOVIMIENTOS!$D$5:$D$1005="jabas")*(MOVIMIENTOS!$A$5:$A$1005&lt;&gt;"")*(MOVIMIENTOS!$A$5:$A$1005&lt;=$A479)*MOVIMIENTOS!$E$5:$E$1005)-SUMPRODUCT((MOVIMIENTOS!$B$5:$B$1005="REGALO")*(MOVIMIENTOS!$C$5:$C$1005="M")*(MOVIMIENTOS!$D$5:$D$1005="jabas")*(MOVIMIENTOS!$A$5:$A$1005&lt;&gt;"")*(MOVIMIENTOS!$A$5:$A$1005&lt;=$A479)*MOVIMIENTOS!$E$5:$E$1005)-SUMPRODUCT((MOVIMIENTOS!$B$5:$B$1005="VENTA")*(MOVIMIENTOS!$C$5:$C$1005="M")*(MOVIMIENTOS!$D$5:$D$1005="jabas")*(MOVIMIENTOS!$A$5:$A$1005&lt;&gt;"")*(MOVIMIENTOS!$A$5:$A$1005&lt;=$A479)*MOVIMIENTOS!$E$5:$E$1005)+SUMPRODUCT((MOVIMIENTOS!$B$5:$B$1005="AJUSTE")*(MOVIMIENTOS!$C$5:$C$1005="M")*(MOVIMIENTOS!$D$5:$D$1005="jabas")*(MOVIMIENTOS!$A$5:$A$1005&lt;&gt;"")*(MOVIMIENTOS!$A$5:$A$1005&lt;=$A479)*MOVIMIENTOS!$E$5:$E$1005))</f>
        <v/>
      </c>
      <c r="F479" s="62" t="str">
        <f>IF($A479="","",SUMPRODUCT((MOVIMIENTOS!$B$5:$B$1005="SALDO INICIAL")*(MOVIMIENTOS!$C$5:$C$1005="Chancho")*(MOVIMIENTOS!$D$5:$D$1005="sacos")*(MOVIMIENTOS!$A$5:$A$1005&lt;&gt;"")*(MOVIMIENTOS!$A$5:$A$1005&lt;=$A479)*MOVIMIENTOS!$E$5:$E$1005)+SUMPRODUCT((MOVIMIENTOS!$B$5:$B$1005="PROCESO")*(MOVIMIENTOS!$C$5:$C$1005="Chancho")*(MOVIMIENTOS!$D$5:$D$1005="sacos")*(MOVIMIENTOS!$A$5:$A$1005&lt;&gt;"")*(MOVIMIENTOS!$A$5:$A$1005&lt;=$A479)*MOVIMIENTOS!$E$5:$E$1005)-SUMPRODUCT((MOVIMIENTOS!$B$5:$B$1005="VENTA CHANCHO")*(MOVIMIENTOS!$C$5:$C$1005="Chancho")*(MOVIMIENTOS!$D$5:$D$1005="sacos")*(MOVIMIENTOS!$A$5:$A$1005&lt;&gt;"")*(MOVIMIENTOS!$A$5:$A$1005&lt;=$A479)*MOVIMIENTOS!$E$5:$E$1005)-SUMPRODUCT((MOVIMIENTOS!$B$5:$B$1005="REGALO")*(MOVIMIENTOS!$C$5:$C$1005="Chancho")*(MOVIMIENTOS!$D$5:$D$1005="sacos")*(MOVIMIENTOS!$A$5:$A$1005&lt;&gt;"")*(MOVIMIENTOS!$A$5:$A$1005&lt;=$A479)*MOVIMIENTOS!$E$5:$E$1005)-SUMPRODUCT((MOVIMIENTOS!$B$5:$B$1005="VENTA")*(MOVIMIENTOS!$C$5:$C$1005="Chancho")*(MOVIMIENTOS!$D$5:$D$1005="sacos")*(MOVIMIENTOS!$A$5:$A$1005&lt;&gt;"")*(MOVIMIENTOS!$A$5:$A$1005&lt;=$A479)*MOVIMIENTOS!$E$5:$E$1005)+SUMPRODUCT((MOVIMIENTOS!$B$5:$B$1005="AJUSTE")*(MOVIMIENTOS!$C$5:$C$1005="Chancho")*(MOVIMIENTOS!$D$5:$D$1005="sacos")*(MOVIMIENTOS!$A$5:$A$1005&lt;&gt;"")*(MOVIMIENTOS!$A$5:$A$1005&lt;=$A479)*MOVIMIENTOS!$E$5:$E$1005))</f>
        <v/>
      </c>
      <c r="G479" s="62" t="str">
        <f t="shared" si="15"/>
        <v/>
      </c>
      <c r="H479" t="str">
        <f>IF($A479="","",SUMPRODUCT((((MOVIMIENTOS!$B$5:$B$1005="SALDO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479)*MOVIMIENTOS!$J$5:$J$1005))</f>
        <v/>
      </c>
      <c r="J479" t="str">
        <f>IF(AND(MOVIMIENTOS!$A484&lt;&gt;"",COUNTIF(MOVIMIENTOS!$A$5:$A483,MOVIMIENTOS!$A484)=0),COUNT(J$4:J478)+1,"")</f>
        <v/>
      </c>
      <c r="K479" s="67">
        <f>MOVIMIENTOS!$A484</f>
        <v>0</v>
      </c>
    </row>
    <row r="480" spans="1:11" ht="15" customHeight="1" x14ac:dyDescent="0.2">
      <c r="A480" t="str">
        <f t="shared" si="14"/>
        <v/>
      </c>
      <c r="B480" t="str">
        <f>IF($A480="","",SUMPRODUCT((MOVIMIENTOS!$B$5:$B$1005="SALDO INICIAL")*(MOVIMIENTOS!$C$5:$C$1005="A")*(MOVIMIENTOS!$D$5:$D$1005="jabas")*(MOVIMIENTOS!$A$5:$A$1005&lt;&gt;"")*(MOVIMIENTOS!$A$5:$A$1005&lt;=$A480)*MOVIMIENTOS!$E$5:$E$1005)+SUMPRODUCT((MOVIMIENTOS!$B$5:$B$1005="PROCESO")*(MOVIMIENTOS!$C$5:$C$1005="A")*(MOVIMIENTOS!$D$5:$D$1005="jabas")*(MOVIMIENTOS!$A$5:$A$1005&lt;&gt;"")*(MOVIMIENTOS!$A$5:$A$1005&lt;=$A480)*MOVIMIENTOS!$E$5:$E$1005)-SUMPRODUCT((MOVIMIENTOS!$B$5:$B$1005="ENVÍO A SUPESA")*(MOVIMIENTOS!$C$5:$C$1005="A")*(MOVIMIENTOS!$D$5:$D$1005="jabas")*(MOVIMIENTOS!$A$5:$A$1005&lt;&gt;"")*(MOVIMIENTOS!$A$5:$A$1005&lt;=$A480)*MOVIMIENTOS!$E$5:$E$1005)+SUMPRODUCT((MOVIMIENTOS!$B$5:$B$1005="DEVOLUCIÓN")*(MOVIMIENTOS!$C$5:$C$1005="A")*(MOVIMIENTOS!$D$5:$D$1005="jabas")*(MOVIMIENTOS!$A$5:$A$1005&lt;&gt;"")*(MOVIMIENTOS!$A$5:$A$1005&lt;=$A480)*MOVIMIENTOS!$E$5:$E$1005)-SUMPRODUCT((MOVIMIENTOS!$B$5:$B$1005="TRASIEGO")*(MOVIMIENTOS!$C$5:$C$1005="A")*(MOVIMIENTOS!$D$5:$D$1005="jabas")*(MOVIMIENTOS!$A$5:$A$1005&lt;&gt;"")*(MOVIMIENTOS!$A$5:$A$1005&lt;=$A480)*MOVIMIENTOS!$E$5:$E$1005)-SUMPRODUCT((MOVIMIENTOS!$B$5:$B$1005="REGALO")*(MOVIMIENTOS!$C$5:$C$1005="A")*(MOVIMIENTOS!$D$5:$D$1005="jabas")*(MOVIMIENTOS!$A$5:$A$1005&lt;&gt;"")*(MOVIMIENTOS!$A$5:$A$1005&lt;=$A480)*MOVIMIENTOS!$E$5:$E$1005)-SUMPRODUCT((MOVIMIENTOS!$B$5:$B$1005="VENTA")*(MOVIMIENTOS!$C$5:$C$1005="A")*(MOVIMIENTOS!$D$5:$D$1005="jabas")*(MOVIMIENTOS!$A$5:$A$1005&lt;&gt;"")*(MOVIMIENTOS!$A$5:$A$1005&lt;=$A480)*MOVIMIENTOS!$E$5:$E$1005)+SUMPRODUCT((MOVIMIENTOS!$B$5:$B$1005="AJUSTE")*(MOVIMIENTOS!$C$5:$C$1005="A")*(MOVIMIENTOS!$D$5:$D$1005="jabas")*(MOVIMIENTOS!$A$5:$A$1005&lt;&gt;"")*(MOVIMIENTOS!$A$5:$A$1005&lt;=$A480)*MOVIMIENTOS!$E$5:$E$1005))</f>
        <v/>
      </c>
      <c r="C480" t="str">
        <f>IF($A480="","",SUMPRODUCT((MOVIMIENTOS!$B$5:$B$1005="SALDO INICIAL")*(MOVIMIENTOS!$C$5:$C$1005="P")*(MOVIMIENTOS!$D$5:$D$1005="jabas")*(MOVIMIENTOS!$A$5:$A$1005&lt;&gt;"")*(MOVIMIENTOS!$A$5:$A$1005&lt;=$A480)*MOVIMIENTOS!$E$5:$E$1005)+SUMPRODUCT((MOVIMIENTOS!$B$5:$B$1005="PROCESO")*(MOVIMIENTOS!$C$5:$C$1005="P")*(MOVIMIENTOS!$D$5:$D$1005="jabas")*(MOVIMIENTOS!$A$5:$A$1005&lt;&gt;"")*(MOVIMIENTOS!$A$5:$A$1005&lt;=$A480)*MOVIMIENTOS!$E$5:$E$1005)-SUMPRODUCT((MOVIMIENTOS!$B$5:$B$1005="ENVÍO A SUPESA")*(MOVIMIENTOS!$C$5:$C$1005="P")*(MOVIMIENTOS!$D$5:$D$1005="jabas")*(MOVIMIENTOS!$A$5:$A$1005&lt;&gt;"")*(MOVIMIENTOS!$A$5:$A$1005&lt;=$A480)*MOVIMIENTOS!$E$5:$E$1005)+SUMPRODUCT((MOVIMIENTOS!$B$5:$B$1005="DEVOLUCIÓN")*(MOVIMIENTOS!$C$5:$C$1005="P")*(MOVIMIENTOS!$D$5:$D$1005="jabas")*(MOVIMIENTOS!$A$5:$A$1005&lt;&gt;"")*(MOVIMIENTOS!$A$5:$A$1005&lt;=$A480)*MOVIMIENTOS!$E$5:$E$1005)-SUMPRODUCT((MOVIMIENTOS!$B$5:$B$1005="TRASIEGO")*(MOVIMIENTOS!$C$5:$C$1005="P")*(MOVIMIENTOS!$D$5:$D$1005="jabas")*(MOVIMIENTOS!$A$5:$A$1005&lt;&gt;"")*(MOVIMIENTOS!$A$5:$A$1005&lt;=$A480)*MOVIMIENTOS!$E$5:$E$1005)-SUMPRODUCT((MOVIMIENTOS!$B$5:$B$1005="REGALO")*(MOVIMIENTOS!$C$5:$C$1005="P")*(MOVIMIENTOS!$D$5:$D$1005="jabas")*(MOVIMIENTOS!$A$5:$A$1005&lt;&gt;"")*(MOVIMIENTOS!$A$5:$A$1005&lt;=$A480)*MOVIMIENTOS!$E$5:$E$1005)-SUMPRODUCT((MOVIMIENTOS!$B$5:$B$1005="VENTA")*(MOVIMIENTOS!$C$5:$C$1005="P")*(MOVIMIENTOS!$D$5:$D$1005="jabas")*(MOVIMIENTOS!$A$5:$A$1005&lt;&gt;"")*(MOVIMIENTOS!$A$5:$A$1005&lt;=$A480)*MOVIMIENTOS!$E$5:$E$1005)+SUMPRODUCT((MOVIMIENTOS!$B$5:$B$1005="AJUSTE")*(MOVIMIENTOS!$C$5:$C$1005="P")*(MOVIMIENTOS!$D$5:$D$1005="jabas")*(MOVIMIENTOS!$A$5:$A$1005&lt;&gt;"")*(MOVIMIENTOS!$A$5:$A$1005&lt;=$A480)*MOVIMIENTOS!$E$5:$E$1005))</f>
        <v/>
      </c>
      <c r="D480" t="str">
        <f>IF($A480="","",SUMPRODUCT((MOVIMIENTOS!$B$5:$B$1005="SALDO INICIAL")*(MOVIMIENTOS!$C$5:$C$1005="C")*(MOVIMIENTOS!$D$5:$D$1005="jabas")*(MOVIMIENTOS!$A$5:$A$1005&lt;&gt;"")*(MOVIMIENTOS!$A$5:$A$1005&lt;=$A480)*MOVIMIENTOS!$E$5:$E$1005)+SUMPRODUCT((MOVIMIENTOS!$B$5:$B$1005="PROCESO")*(MOVIMIENTOS!$C$5:$C$1005="C")*(MOVIMIENTOS!$D$5:$D$1005="jabas")*(MOVIMIENTOS!$A$5:$A$1005&lt;&gt;"")*(MOVIMIENTOS!$A$5:$A$1005&lt;=$A480)*MOVIMIENTOS!$E$5:$E$1005)-SUMPRODUCT((MOVIMIENTOS!$B$5:$B$1005="ENVÍO A SUPESA")*(MOVIMIENTOS!$C$5:$C$1005="C")*(MOVIMIENTOS!$D$5:$D$1005="jabas")*(MOVIMIENTOS!$A$5:$A$1005&lt;&gt;"")*(MOVIMIENTOS!$A$5:$A$1005&lt;=$A480)*MOVIMIENTOS!$E$5:$E$1005)+SUMPRODUCT((MOVIMIENTOS!$B$5:$B$1005="DEVOLUCIÓN")*(MOVIMIENTOS!$C$5:$C$1005="C")*(MOVIMIENTOS!$D$5:$D$1005="jabas")*(MOVIMIENTOS!$A$5:$A$1005&lt;&gt;"")*(MOVIMIENTOS!$A$5:$A$1005&lt;=$A480)*MOVIMIENTOS!$E$5:$E$1005)-SUMPRODUCT((MOVIMIENTOS!$B$5:$B$1005="TRASIEGO")*(MOVIMIENTOS!$C$5:$C$1005="C")*(MOVIMIENTOS!$D$5:$D$1005="jabas")*(MOVIMIENTOS!$A$5:$A$1005&lt;&gt;"")*(MOVIMIENTOS!$A$5:$A$1005&lt;=$A480)*MOVIMIENTOS!$E$5:$E$1005)-SUMPRODUCT((MOVIMIENTOS!$B$5:$B$1005="REGALO")*(MOVIMIENTOS!$C$5:$C$1005="C")*(MOVIMIENTOS!$D$5:$D$1005="jabas")*(MOVIMIENTOS!$A$5:$A$1005&lt;&gt;"")*(MOVIMIENTOS!$A$5:$A$1005&lt;=$A480)*MOVIMIENTOS!$E$5:$E$1005)-SUMPRODUCT((MOVIMIENTOS!$B$5:$B$1005="VENTA")*(MOVIMIENTOS!$C$5:$C$1005="C")*(MOVIMIENTOS!$D$5:$D$1005="jabas")*(MOVIMIENTOS!$A$5:$A$1005&lt;&gt;"")*(MOVIMIENTOS!$A$5:$A$1005&lt;=$A480)*MOVIMIENTOS!$E$5:$E$1005)+SUMPRODUCT((MOVIMIENTOS!$B$5:$B$1005="AJUSTE")*(MOVIMIENTOS!$C$5:$C$1005="C")*(MOVIMIENTOS!$D$5:$D$1005="jabas")*(MOVIMIENTOS!$A$5:$A$1005&lt;&gt;"")*(MOVIMIENTOS!$A$5:$A$1005&lt;=$A480)*MOVIMIENTOS!$E$5:$E$1005))</f>
        <v/>
      </c>
      <c r="E480" t="str">
        <f>IF($A480="","",SUMPRODUCT((MOVIMIENTOS!$B$5:$B$1005="SALDO INICIAL")*(MOVIMIENTOS!$C$5:$C$1005="M")*(MOVIMIENTOS!$D$5:$D$1005="jabas")*(MOVIMIENTOS!$A$5:$A$1005&lt;&gt;"")*(MOVIMIENTOS!$A$5:$A$1005&lt;=$A480)*MOVIMIENTOS!$E$5:$E$1005)+SUMPRODUCT((MOVIMIENTOS!$B$5:$B$1005="PROCESO")*(MOVIMIENTOS!$C$5:$C$1005="M")*(MOVIMIENTOS!$D$5:$D$1005="jabas")*(MOVIMIENTOS!$A$5:$A$1005&lt;&gt;"")*(MOVIMIENTOS!$A$5:$A$1005&lt;=$A480)*MOVIMIENTOS!$E$5:$E$1005)-SUMPRODUCT((MOVIMIENTOS!$B$5:$B$1005="ENVÍO A SUPESA")*(MOVIMIENTOS!$C$5:$C$1005="M")*(MOVIMIENTOS!$D$5:$D$1005="jabas")*(MOVIMIENTOS!$A$5:$A$1005&lt;&gt;"")*(MOVIMIENTOS!$A$5:$A$1005&lt;=$A480)*MOVIMIENTOS!$E$5:$E$1005)+SUMPRODUCT((MOVIMIENTOS!$B$5:$B$1005="DEVOLUCIÓN")*(MOVIMIENTOS!$C$5:$C$1005="M")*(MOVIMIENTOS!$D$5:$D$1005="jabas")*(MOVIMIENTOS!$A$5:$A$1005&lt;&gt;"")*(MOVIMIENTOS!$A$5:$A$1005&lt;=$A480)*MOVIMIENTOS!$E$5:$E$1005)-SUMPRODUCT((MOVIMIENTOS!$B$5:$B$1005="TRASIEGO")*(MOVIMIENTOS!$C$5:$C$1005="M")*(MOVIMIENTOS!$D$5:$D$1005="jabas")*(MOVIMIENTOS!$A$5:$A$1005&lt;&gt;"")*(MOVIMIENTOS!$A$5:$A$1005&lt;=$A480)*MOVIMIENTOS!$E$5:$E$1005)-SUMPRODUCT((MOVIMIENTOS!$B$5:$B$1005="REGALO")*(MOVIMIENTOS!$C$5:$C$1005="M")*(MOVIMIENTOS!$D$5:$D$1005="jabas")*(MOVIMIENTOS!$A$5:$A$1005&lt;&gt;"")*(MOVIMIENTOS!$A$5:$A$1005&lt;=$A480)*MOVIMIENTOS!$E$5:$E$1005)-SUMPRODUCT((MOVIMIENTOS!$B$5:$B$1005="VENTA")*(MOVIMIENTOS!$C$5:$C$1005="M")*(MOVIMIENTOS!$D$5:$D$1005="jabas")*(MOVIMIENTOS!$A$5:$A$1005&lt;&gt;"")*(MOVIMIENTOS!$A$5:$A$1005&lt;=$A480)*MOVIMIENTOS!$E$5:$E$1005)+SUMPRODUCT((MOVIMIENTOS!$B$5:$B$1005="AJUSTE")*(MOVIMIENTOS!$C$5:$C$1005="M")*(MOVIMIENTOS!$D$5:$D$1005="jabas")*(MOVIMIENTOS!$A$5:$A$1005&lt;&gt;"")*(MOVIMIENTOS!$A$5:$A$1005&lt;=$A480)*MOVIMIENTOS!$E$5:$E$1005))</f>
        <v/>
      </c>
      <c r="F480" s="62" t="str">
        <f>IF($A480="","",SUMPRODUCT((MOVIMIENTOS!$B$5:$B$1005="SALDO INICIAL")*(MOVIMIENTOS!$C$5:$C$1005="Chancho")*(MOVIMIENTOS!$D$5:$D$1005="sacos")*(MOVIMIENTOS!$A$5:$A$1005&lt;&gt;"")*(MOVIMIENTOS!$A$5:$A$1005&lt;=$A480)*MOVIMIENTOS!$E$5:$E$1005)+SUMPRODUCT((MOVIMIENTOS!$B$5:$B$1005="PROCESO")*(MOVIMIENTOS!$C$5:$C$1005="Chancho")*(MOVIMIENTOS!$D$5:$D$1005="sacos")*(MOVIMIENTOS!$A$5:$A$1005&lt;&gt;"")*(MOVIMIENTOS!$A$5:$A$1005&lt;=$A480)*MOVIMIENTOS!$E$5:$E$1005)-SUMPRODUCT((MOVIMIENTOS!$B$5:$B$1005="VENTA CHANCHO")*(MOVIMIENTOS!$C$5:$C$1005="Chancho")*(MOVIMIENTOS!$D$5:$D$1005="sacos")*(MOVIMIENTOS!$A$5:$A$1005&lt;&gt;"")*(MOVIMIENTOS!$A$5:$A$1005&lt;=$A480)*MOVIMIENTOS!$E$5:$E$1005)-SUMPRODUCT((MOVIMIENTOS!$B$5:$B$1005="REGALO")*(MOVIMIENTOS!$C$5:$C$1005="Chancho")*(MOVIMIENTOS!$D$5:$D$1005="sacos")*(MOVIMIENTOS!$A$5:$A$1005&lt;&gt;"")*(MOVIMIENTOS!$A$5:$A$1005&lt;=$A480)*MOVIMIENTOS!$E$5:$E$1005)-SUMPRODUCT((MOVIMIENTOS!$B$5:$B$1005="VENTA")*(MOVIMIENTOS!$C$5:$C$1005="Chancho")*(MOVIMIENTOS!$D$5:$D$1005="sacos")*(MOVIMIENTOS!$A$5:$A$1005&lt;&gt;"")*(MOVIMIENTOS!$A$5:$A$1005&lt;=$A480)*MOVIMIENTOS!$E$5:$E$1005)+SUMPRODUCT((MOVIMIENTOS!$B$5:$B$1005="AJUSTE")*(MOVIMIENTOS!$C$5:$C$1005="Chancho")*(MOVIMIENTOS!$D$5:$D$1005="sacos")*(MOVIMIENTOS!$A$5:$A$1005&lt;&gt;"")*(MOVIMIENTOS!$A$5:$A$1005&lt;=$A480)*MOVIMIENTOS!$E$5:$E$1005))</f>
        <v/>
      </c>
      <c r="G480" s="62" t="str">
        <f t="shared" si="15"/>
        <v/>
      </c>
      <c r="H480" t="str">
        <f>IF($A480="","",SUMPRODUCT((((MOVIMIENTOS!$B$5:$B$1005="SALDO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480)*MOVIMIENTOS!$J$5:$J$1005))</f>
        <v/>
      </c>
      <c r="J480" t="str">
        <f>IF(AND(MOVIMIENTOS!$A485&lt;&gt;"",COUNTIF(MOVIMIENTOS!$A$5:$A484,MOVIMIENTOS!$A485)=0),COUNT(J$4:J479)+1,"")</f>
        <v/>
      </c>
      <c r="K480">
        <f>MOVIMIENTOS!$A485</f>
        <v>0</v>
      </c>
    </row>
    <row r="481" spans="1:11" ht="15" customHeight="1" x14ac:dyDescent="0.2">
      <c r="A481" t="str">
        <f t="shared" si="14"/>
        <v/>
      </c>
      <c r="B481" t="str">
        <f>IF($A481="","",SUMPRODUCT((MOVIMIENTOS!$B$5:$B$1005="SALDO INICIAL")*(MOVIMIENTOS!$C$5:$C$1005="A")*(MOVIMIENTOS!$D$5:$D$1005="jabas")*(MOVIMIENTOS!$A$5:$A$1005&lt;&gt;"")*(MOVIMIENTOS!$A$5:$A$1005&lt;=$A481)*MOVIMIENTOS!$E$5:$E$1005)+SUMPRODUCT((MOVIMIENTOS!$B$5:$B$1005="PROCESO")*(MOVIMIENTOS!$C$5:$C$1005="A")*(MOVIMIENTOS!$D$5:$D$1005="jabas")*(MOVIMIENTOS!$A$5:$A$1005&lt;&gt;"")*(MOVIMIENTOS!$A$5:$A$1005&lt;=$A481)*MOVIMIENTOS!$E$5:$E$1005)-SUMPRODUCT((MOVIMIENTOS!$B$5:$B$1005="ENVÍO A SUPESA")*(MOVIMIENTOS!$C$5:$C$1005="A")*(MOVIMIENTOS!$D$5:$D$1005="jabas")*(MOVIMIENTOS!$A$5:$A$1005&lt;&gt;"")*(MOVIMIENTOS!$A$5:$A$1005&lt;=$A481)*MOVIMIENTOS!$E$5:$E$1005)+SUMPRODUCT((MOVIMIENTOS!$B$5:$B$1005="DEVOLUCIÓN")*(MOVIMIENTOS!$C$5:$C$1005="A")*(MOVIMIENTOS!$D$5:$D$1005="jabas")*(MOVIMIENTOS!$A$5:$A$1005&lt;&gt;"")*(MOVIMIENTOS!$A$5:$A$1005&lt;=$A481)*MOVIMIENTOS!$E$5:$E$1005)-SUMPRODUCT((MOVIMIENTOS!$B$5:$B$1005="TRASIEGO")*(MOVIMIENTOS!$C$5:$C$1005="A")*(MOVIMIENTOS!$D$5:$D$1005="jabas")*(MOVIMIENTOS!$A$5:$A$1005&lt;&gt;"")*(MOVIMIENTOS!$A$5:$A$1005&lt;=$A481)*MOVIMIENTOS!$E$5:$E$1005)-SUMPRODUCT((MOVIMIENTOS!$B$5:$B$1005="REGALO")*(MOVIMIENTOS!$C$5:$C$1005="A")*(MOVIMIENTOS!$D$5:$D$1005="jabas")*(MOVIMIENTOS!$A$5:$A$1005&lt;&gt;"")*(MOVIMIENTOS!$A$5:$A$1005&lt;=$A481)*MOVIMIENTOS!$E$5:$E$1005)-SUMPRODUCT((MOVIMIENTOS!$B$5:$B$1005="VENTA")*(MOVIMIENTOS!$C$5:$C$1005="A")*(MOVIMIENTOS!$D$5:$D$1005="jabas")*(MOVIMIENTOS!$A$5:$A$1005&lt;&gt;"")*(MOVIMIENTOS!$A$5:$A$1005&lt;=$A481)*MOVIMIENTOS!$E$5:$E$1005)+SUMPRODUCT((MOVIMIENTOS!$B$5:$B$1005="AJUSTE")*(MOVIMIENTOS!$C$5:$C$1005="A")*(MOVIMIENTOS!$D$5:$D$1005="jabas")*(MOVIMIENTOS!$A$5:$A$1005&lt;&gt;"")*(MOVIMIENTOS!$A$5:$A$1005&lt;=$A481)*MOVIMIENTOS!$E$5:$E$1005))</f>
        <v/>
      </c>
      <c r="C481" t="str">
        <f>IF($A481="","",SUMPRODUCT((MOVIMIENTOS!$B$5:$B$1005="SALDO INICIAL")*(MOVIMIENTOS!$C$5:$C$1005="P")*(MOVIMIENTOS!$D$5:$D$1005="jabas")*(MOVIMIENTOS!$A$5:$A$1005&lt;&gt;"")*(MOVIMIENTOS!$A$5:$A$1005&lt;=$A481)*MOVIMIENTOS!$E$5:$E$1005)+SUMPRODUCT((MOVIMIENTOS!$B$5:$B$1005="PROCESO")*(MOVIMIENTOS!$C$5:$C$1005="P")*(MOVIMIENTOS!$D$5:$D$1005="jabas")*(MOVIMIENTOS!$A$5:$A$1005&lt;&gt;"")*(MOVIMIENTOS!$A$5:$A$1005&lt;=$A481)*MOVIMIENTOS!$E$5:$E$1005)-SUMPRODUCT((MOVIMIENTOS!$B$5:$B$1005="ENVÍO A SUPESA")*(MOVIMIENTOS!$C$5:$C$1005="P")*(MOVIMIENTOS!$D$5:$D$1005="jabas")*(MOVIMIENTOS!$A$5:$A$1005&lt;&gt;"")*(MOVIMIENTOS!$A$5:$A$1005&lt;=$A481)*MOVIMIENTOS!$E$5:$E$1005)+SUMPRODUCT((MOVIMIENTOS!$B$5:$B$1005="DEVOLUCIÓN")*(MOVIMIENTOS!$C$5:$C$1005="P")*(MOVIMIENTOS!$D$5:$D$1005="jabas")*(MOVIMIENTOS!$A$5:$A$1005&lt;&gt;"")*(MOVIMIENTOS!$A$5:$A$1005&lt;=$A481)*MOVIMIENTOS!$E$5:$E$1005)-SUMPRODUCT((MOVIMIENTOS!$B$5:$B$1005="TRASIEGO")*(MOVIMIENTOS!$C$5:$C$1005="P")*(MOVIMIENTOS!$D$5:$D$1005="jabas")*(MOVIMIENTOS!$A$5:$A$1005&lt;&gt;"")*(MOVIMIENTOS!$A$5:$A$1005&lt;=$A481)*MOVIMIENTOS!$E$5:$E$1005)-SUMPRODUCT((MOVIMIENTOS!$B$5:$B$1005="REGALO")*(MOVIMIENTOS!$C$5:$C$1005="P")*(MOVIMIENTOS!$D$5:$D$1005="jabas")*(MOVIMIENTOS!$A$5:$A$1005&lt;&gt;"")*(MOVIMIENTOS!$A$5:$A$1005&lt;=$A481)*MOVIMIENTOS!$E$5:$E$1005)-SUMPRODUCT((MOVIMIENTOS!$B$5:$B$1005="VENTA")*(MOVIMIENTOS!$C$5:$C$1005="P")*(MOVIMIENTOS!$D$5:$D$1005="jabas")*(MOVIMIENTOS!$A$5:$A$1005&lt;&gt;"")*(MOVIMIENTOS!$A$5:$A$1005&lt;=$A481)*MOVIMIENTOS!$E$5:$E$1005)+SUMPRODUCT((MOVIMIENTOS!$B$5:$B$1005="AJUSTE")*(MOVIMIENTOS!$C$5:$C$1005="P")*(MOVIMIENTOS!$D$5:$D$1005="jabas")*(MOVIMIENTOS!$A$5:$A$1005&lt;&gt;"")*(MOVIMIENTOS!$A$5:$A$1005&lt;=$A481)*MOVIMIENTOS!$E$5:$E$1005))</f>
        <v/>
      </c>
      <c r="D481" t="str">
        <f>IF($A481="","",SUMPRODUCT((MOVIMIENTOS!$B$5:$B$1005="SALDO INICIAL")*(MOVIMIENTOS!$C$5:$C$1005="C")*(MOVIMIENTOS!$D$5:$D$1005="jabas")*(MOVIMIENTOS!$A$5:$A$1005&lt;&gt;"")*(MOVIMIENTOS!$A$5:$A$1005&lt;=$A481)*MOVIMIENTOS!$E$5:$E$1005)+SUMPRODUCT((MOVIMIENTOS!$B$5:$B$1005="PROCESO")*(MOVIMIENTOS!$C$5:$C$1005="C")*(MOVIMIENTOS!$D$5:$D$1005="jabas")*(MOVIMIENTOS!$A$5:$A$1005&lt;&gt;"")*(MOVIMIENTOS!$A$5:$A$1005&lt;=$A481)*MOVIMIENTOS!$E$5:$E$1005)-SUMPRODUCT((MOVIMIENTOS!$B$5:$B$1005="ENVÍO A SUPESA")*(MOVIMIENTOS!$C$5:$C$1005="C")*(MOVIMIENTOS!$D$5:$D$1005="jabas")*(MOVIMIENTOS!$A$5:$A$1005&lt;&gt;"")*(MOVIMIENTOS!$A$5:$A$1005&lt;=$A481)*MOVIMIENTOS!$E$5:$E$1005)+SUMPRODUCT((MOVIMIENTOS!$B$5:$B$1005="DEVOLUCIÓN")*(MOVIMIENTOS!$C$5:$C$1005="C")*(MOVIMIENTOS!$D$5:$D$1005="jabas")*(MOVIMIENTOS!$A$5:$A$1005&lt;&gt;"")*(MOVIMIENTOS!$A$5:$A$1005&lt;=$A481)*MOVIMIENTOS!$E$5:$E$1005)-SUMPRODUCT((MOVIMIENTOS!$B$5:$B$1005="TRASIEGO")*(MOVIMIENTOS!$C$5:$C$1005="C")*(MOVIMIENTOS!$D$5:$D$1005="jabas")*(MOVIMIENTOS!$A$5:$A$1005&lt;&gt;"")*(MOVIMIENTOS!$A$5:$A$1005&lt;=$A481)*MOVIMIENTOS!$E$5:$E$1005)-SUMPRODUCT((MOVIMIENTOS!$B$5:$B$1005="REGALO")*(MOVIMIENTOS!$C$5:$C$1005="C")*(MOVIMIENTOS!$D$5:$D$1005="jabas")*(MOVIMIENTOS!$A$5:$A$1005&lt;&gt;"")*(MOVIMIENTOS!$A$5:$A$1005&lt;=$A481)*MOVIMIENTOS!$E$5:$E$1005)-SUMPRODUCT((MOVIMIENTOS!$B$5:$B$1005="VENTA")*(MOVIMIENTOS!$C$5:$C$1005="C")*(MOVIMIENTOS!$D$5:$D$1005="jabas")*(MOVIMIENTOS!$A$5:$A$1005&lt;&gt;"")*(MOVIMIENTOS!$A$5:$A$1005&lt;=$A481)*MOVIMIENTOS!$E$5:$E$1005)+SUMPRODUCT((MOVIMIENTOS!$B$5:$B$1005="AJUSTE")*(MOVIMIENTOS!$C$5:$C$1005="C")*(MOVIMIENTOS!$D$5:$D$1005="jabas")*(MOVIMIENTOS!$A$5:$A$1005&lt;&gt;"")*(MOVIMIENTOS!$A$5:$A$1005&lt;=$A481)*MOVIMIENTOS!$E$5:$E$1005))</f>
        <v/>
      </c>
      <c r="E481" t="str">
        <f>IF($A481="","",SUMPRODUCT((MOVIMIENTOS!$B$5:$B$1005="SALDO INICIAL")*(MOVIMIENTOS!$C$5:$C$1005="M")*(MOVIMIENTOS!$D$5:$D$1005="jabas")*(MOVIMIENTOS!$A$5:$A$1005&lt;&gt;"")*(MOVIMIENTOS!$A$5:$A$1005&lt;=$A481)*MOVIMIENTOS!$E$5:$E$1005)+SUMPRODUCT((MOVIMIENTOS!$B$5:$B$1005="PROCESO")*(MOVIMIENTOS!$C$5:$C$1005="M")*(MOVIMIENTOS!$D$5:$D$1005="jabas")*(MOVIMIENTOS!$A$5:$A$1005&lt;&gt;"")*(MOVIMIENTOS!$A$5:$A$1005&lt;=$A481)*MOVIMIENTOS!$E$5:$E$1005)-SUMPRODUCT((MOVIMIENTOS!$B$5:$B$1005="ENVÍO A SUPESA")*(MOVIMIENTOS!$C$5:$C$1005="M")*(MOVIMIENTOS!$D$5:$D$1005="jabas")*(MOVIMIENTOS!$A$5:$A$1005&lt;&gt;"")*(MOVIMIENTOS!$A$5:$A$1005&lt;=$A481)*MOVIMIENTOS!$E$5:$E$1005)+SUMPRODUCT((MOVIMIENTOS!$B$5:$B$1005="DEVOLUCIÓN")*(MOVIMIENTOS!$C$5:$C$1005="M")*(MOVIMIENTOS!$D$5:$D$1005="jabas")*(MOVIMIENTOS!$A$5:$A$1005&lt;&gt;"")*(MOVIMIENTOS!$A$5:$A$1005&lt;=$A481)*MOVIMIENTOS!$E$5:$E$1005)-SUMPRODUCT((MOVIMIENTOS!$B$5:$B$1005="TRASIEGO")*(MOVIMIENTOS!$C$5:$C$1005="M")*(MOVIMIENTOS!$D$5:$D$1005="jabas")*(MOVIMIENTOS!$A$5:$A$1005&lt;&gt;"")*(MOVIMIENTOS!$A$5:$A$1005&lt;=$A481)*MOVIMIENTOS!$E$5:$E$1005)-SUMPRODUCT((MOVIMIENTOS!$B$5:$B$1005="REGALO")*(MOVIMIENTOS!$C$5:$C$1005="M")*(MOVIMIENTOS!$D$5:$D$1005="jabas")*(MOVIMIENTOS!$A$5:$A$1005&lt;&gt;"")*(MOVIMIENTOS!$A$5:$A$1005&lt;=$A481)*MOVIMIENTOS!$E$5:$E$1005)-SUMPRODUCT((MOVIMIENTOS!$B$5:$B$1005="VENTA")*(MOVIMIENTOS!$C$5:$C$1005="M")*(MOVIMIENTOS!$D$5:$D$1005="jabas")*(MOVIMIENTOS!$A$5:$A$1005&lt;&gt;"")*(MOVIMIENTOS!$A$5:$A$1005&lt;=$A481)*MOVIMIENTOS!$E$5:$E$1005)+SUMPRODUCT((MOVIMIENTOS!$B$5:$B$1005="AJUSTE")*(MOVIMIENTOS!$C$5:$C$1005="M")*(MOVIMIENTOS!$D$5:$D$1005="jabas")*(MOVIMIENTOS!$A$5:$A$1005&lt;&gt;"")*(MOVIMIENTOS!$A$5:$A$1005&lt;=$A481)*MOVIMIENTOS!$E$5:$E$1005))</f>
        <v/>
      </c>
      <c r="F481" s="62" t="str">
        <f>IF($A481="","",SUMPRODUCT((MOVIMIENTOS!$B$5:$B$1005="SALDO INICIAL")*(MOVIMIENTOS!$C$5:$C$1005="Chancho")*(MOVIMIENTOS!$D$5:$D$1005="sacos")*(MOVIMIENTOS!$A$5:$A$1005&lt;&gt;"")*(MOVIMIENTOS!$A$5:$A$1005&lt;=$A481)*MOVIMIENTOS!$E$5:$E$1005)+SUMPRODUCT((MOVIMIENTOS!$B$5:$B$1005="PROCESO")*(MOVIMIENTOS!$C$5:$C$1005="Chancho")*(MOVIMIENTOS!$D$5:$D$1005="sacos")*(MOVIMIENTOS!$A$5:$A$1005&lt;&gt;"")*(MOVIMIENTOS!$A$5:$A$1005&lt;=$A481)*MOVIMIENTOS!$E$5:$E$1005)-SUMPRODUCT((MOVIMIENTOS!$B$5:$B$1005="VENTA CHANCHO")*(MOVIMIENTOS!$C$5:$C$1005="Chancho")*(MOVIMIENTOS!$D$5:$D$1005="sacos")*(MOVIMIENTOS!$A$5:$A$1005&lt;&gt;"")*(MOVIMIENTOS!$A$5:$A$1005&lt;=$A481)*MOVIMIENTOS!$E$5:$E$1005)-SUMPRODUCT((MOVIMIENTOS!$B$5:$B$1005="REGALO")*(MOVIMIENTOS!$C$5:$C$1005="Chancho")*(MOVIMIENTOS!$D$5:$D$1005="sacos")*(MOVIMIENTOS!$A$5:$A$1005&lt;&gt;"")*(MOVIMIENTOS!$A$5:$A$1005&lt;=$A481)*MOVIMIENTOS!$E$5:$E$1005)-SUMPRODUCT((MOVIMIENTOS!$B$5:$B$1005="VENTA")*(MOVIMIENTOS!$C$5:$C$1005="Chancho")*(MOVIMIENTOS!$D$5:$D$1005="sacos")*(MOVIMIENTOS!$A$5:$A$1005&lt;&gt;"")*(MOVIMIENTOS!$A$5:$A$1005&lt;=$A481)*MOVIMIENTOS!$E$5:$E$1005)+SUMPRODUCT((MOVIMIENTOS!$B$5:$B$1005="AJUSTE")*(MOVIMIENTOS!$C$5:$C$1005="Chancho")*(MOVIMIENTOS!$D$5:$D$1005="sacos")*(MOVIMIENTOS!$A$5:$A$1005&lt;&gt;"")*(MOVIMIENTOS!$A$5:$A$1005&lt;=$A481)*MOVIMIENTOS!$E$5:$E$1005))</f>
        <v/>
      </c>
      <c r="G481" s="62" t="str">
        <f t="shared" si="15"/>
        <v/>
      </c>
      <c r="H481" t="str">
        <f>IF($A481="","",SUMPRODUCT((((MOVIMIENTOS!$B$5:$B$1005="SALDO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481)*MOVIMIENTOS!$J$5:$J$1005))</f>
        <v/>
      </c>
      <c r="J481" t="str">
        <f>IF(AND(MOVIMIENTOS!$A486&lt;&gt;"",COUNTIF(MOVIMIENTOS!$A$5:$A485,MOVIMIENTOS!$A486)=0),COUNT(J$4:J480)+1,"")</f>
        <v/>
      </c>
      <c r="K481">
        <f>MOVIMIENTOS!$A486</f>
        <v>0</v>
      </c>
    </row>
    <row r="482" spans="1:11" ht="15" customHeight="1" x14ac:dyDescent="0.2">
      <c r="A482" t="str">
        <f t="shared" si="14"/>
        <v/>
      </c>
      <c r="B482" t="str">
        <f>IF($A482="","",SUMPRODUCT((MOVIMIENTOS!$B$5:$B$1005="SALDO INICIAL")*(MOVIMIENTOS!$C$5:$C$1005="A")*(MOVIMIENTOS!$D$5:$D$1005="jabas")*(MOVIMIENTOS!$A$5:$A$1005&lt;&gt;"")*(MOVIMIENTOS!$A$5:$A$1005&lt;=$A482)*MOVIMIENTOS!$E$5:$E$1005)+SUMPRODUCT((MOVIMIENTOS!$B$5:$B$1005="PROCESO")*(MOVIMIENTOS!$C$5:$C$1005="A")*(MOVIMIENTOS!$D$5:$D$1005="jabas")*(MOVIMIENTOS!$A$5:$A$1005&lt;&gt;"")*(MOVIMIENTOS!$A$5:$A$1005&lt;=$A482)*MOVIMIENTOS!$E$5:$E$1005)-SUMPRODUCT((MOVIMIENTOS!$B$5:$B$1005="ENVÍO A SUPESA")*(MOVIMIENTOS!$C$5:$C$1005="A")*(MOVIMIENTOS!$D$5:$D$1005="jabas")*(MOVIMIENTOS!$A$5:$A$1005&lt;&gt;"")*(MOVIMIENTOS!$A$5:$A$1005&lt;=$A482)*MOVIMIENTOS!$E$5:$E$1005)+SUMPRODUCT((MOVIMIENTOS!$B$5:$B$1005="DEVOLUCIÓN")*(MOVIMIENTOS!$C$5:$C$1005="A")*(MOVIMIENTOS!$D$5:$D$1005="jabas")*(MOVIMIENTOS!$A$5:$A$1005&lt;&gt;"")*(MOVIMIENTOS!$A$5:$A$1005&lt;=$A482)*MOVIMIENTOS!$E$5:$E$1005)-SUMPRODUCT((MOVIMIENTOS!$B$5:$B$1005="TRASIEGO")*(MOVIMIENTOS!$C$5:$C$1005="A")*(MOVIMIENTOS!$D$5:$D$1005="jabas")*(MOVIMIENTOS!$A$5:$A$1005&lt;&gt;"")*(MOVIMIENTOS!$A$5:$A$1005&lt;=$A482)*MOVIMIENTOS!$E$5:$E$1005)-SUMPRODUCT((MOVIMIENTOS!$B$5:$B$1005="REGALO")*(MOVIMIENTOS!$C$5:$C$1005="A")*(MOVIMIENTOS!$D$5:$D$1005="jabas")*(MOVIMIENTOS!$A$5:$A$1005&lt;&gt;"")*(MOVIMIENTOS!$A$5:$A$1005&lt;=$A482)*MOVIMIENTOS!$E$5:$E$1005)-SUMPRODUCT((MOVIMIENTOS!$B$5:$B$1005="VENTA")*(MOVIMIENTOS!$C$5:$C$1005="A")*(MOVIMIENTOS!$D$5:$D$1005="jabas")*(MOVIMIENTOS!$A$5:$A$1005&lt;&gt;"")*(MOVIMIENTOS!$A$5:$A$1005&lt;=$A482)*MOVIMIENTOS!$E$5:$E$1005)+SUMPRODUCT((MOVIMIENTOS!$B$5:$B$1005="AJUSTE")*(MOVIMIENTOS!$C$5:$C$1005="A")*(MOVIMIENTOS!$D$5:$D$1005="jabas")*(MOVIMIENTOS!$A$5:$A$1005&lt;&gt;"")*(MOVIMIENTOS!$A$5:$A$1005&lt;=$A482)*MOVIMIENTOS!$E$5:$E$1005))</f>
        <v/>
      </c>
      <c r="C482" t="str">
        <f>IF($A482="","",SUMPRODUCT((MOVIMIENTOS!$B$5:$B$1005="SALDO INICIAL")*(MOVIMIENTOS!$C$5:$C$1005="P")*(MOVIMIENTOS!$D$5:$D$1005="jabas")*(MOVIMIENTOS!$A$5:$A$1005&lt;&gt;"")*(MOVIMIENTOS!$A$5:$A$1005&lt;=$A482)*MOVIMIENTOS!$E$5:$E$1005)+SUMPRODUCT((MOVIMIENTOS!$B$5:$B$1005="PROCESO")*(MOVIMIENTOS!$C$5:$C$1005="P")*(MOVIMIENTOS!$D$5:$D$1005="jabas")*(MOVIMIENTOS!$A$5:$A$1005&lt;&gt;"")*(MOVIMIENTOS!$A$5:$A$1005&lt;=$A482)*MOVIMIENTOS!$E$5:$E$1005)-SUMPRODUCT((MOVIMIENTOS!$B$5:$B$1005="ENVÍO A SUPESA")*(MOVIMIENTOS!$C$5:$C$1005="P")*(MOVIMIENTOS!$D$5:$D$1005="jabas")*(MOVIMIENTOS!$A$5:$A$1005&lt;&gt;"")*(MOVIMIENTOS!$A$5:$A$1005&lt;=$A482)*MOVIMIENTOS!$E$5:$E$1005)+SUMPRODUCT((MOVIMIENTOS!$B$5:$B$1005="DEVOLUCIÓN")*(MOVIMIENTOS!$C$5:$C$1005="P")*(MOVIMIENTOS!$D$5:$D$1005="jabas")*(MOVIMIENTOS!$A$5:$A$1005&lt;&gt;"")*(MOVIMIENTOS!$A$5:$A$1005&lt;=$A482)*MOVIMIENTOS!$E$5:$E$1005)-SUMPRODUCT((MOVIMIENTOS!$B$5:$B$1005="TRASIEGO")*(MOVIMIENTOS!$C$5:$C$1005="P")*(MOVIMIENTOS!$D$5:$D$1005="jabas")*(MOVIMIENTOS!$A$5:$A$1005&lt;&gt;"")*(MOVIMIENTOS!$A$5:$A$1005&lt;=$A482)*MOVIMIENTOS!$E$5:$E$1005)-SUMPRODUCT((MOVIMIENTOS!$B$5:$B$1005="REGALO")*(MOVIMIENTOS!$C$5:$C$1005="P")*(MOVIMIENTOS!$D$5:$D$1005="jabas")*(MOVIMIENTOS!$A$5:$A$1005&lt;&gt;"")*(MOVIMIENTOS!$A$5:$A$1005&lt;=$A482)*MOVIMIENTOS!$E$5:$E$1005)-SUMPRODUCT((MOVIMIENTOS!$B$5:$B$1005="VENTA")*(MOVIMIENTOS!$C$5:$C$1005="P")*(MOVIMIENTOS!$D$5:$D$1005="jabas")*(MOVIMIENTOS!$A$5:$A$1005&lt;&gt;"")*(MOVIMIENTOS!$A$5:$A$1005&lt;=$A482)*MOVIMIENTOS!$E$5:$E$1005)+SUMPRODUCT((MOVIMIENTOS!$B$5:$B$1005="AJUSTE")*(MOVIMIENTOS!$C$5:$C$1005="P")*(MOVIMIENTOS!$D$5:$D$1005="jabas")*(MOVIMIENTOS!$A$5:$A$1005&lt;&gt;"")*(MOVIMIENTOS!$A$5:$A$1005&lt;=$A482)*MOVIMIENTOS!$E$5:$E$1005))</f>
        <v/>
      </c>
      <c r="D482" t="str">
        <f>IF($A482="","",SUMPRODUCT((MOVIMIENTOS!$B$5:$B$1005="SALDO INICIAL")*(MOVIMIENTOS!$C$5:$C$1005="C")*(MOVIMIENTOS!$D$5:$D$1005="jabas")*(MOVIMIENTOS!$A$5:$A$1005&lt;&gt;"")*(MOVIMIENTOS!$A$5:$A$1005&lt;=$A482)*MOVIMIENTOS!$E$5:$E$1005)+SUMPRODUCT((MOVIMIENTOS!$B$5:$B$1005="PROCESO")*(MOVIMIENTOS!$C$5:$C$1005="C")*(MOVIMIENTOS!$D$5:$D$1005="jabas")*(MOVIMIENTOS!$A$5:$A$1005&lt;&gt;"")*(MOVIMIENTOS!$A$5:$A$1005&lt;=$A482)*MOVIMIENTOS!$E$5:$E$1005)-SUMPRODUCT((MOVIMIENTOS!$B$5:$B$1005="ENVÍO A SUPESA")*(MOVIMIENTOS!$C$5:$C$1005="C")*(MOVIMIENTOS!$D$5:$D$1005="jabas")*(MOVIMIENTOS!$A$5:$A$1005&lt;&gt;"")*(MOVIMIENTOS!$A$5:$A$1005&lt;=$A482)*MOVIMIENTOS!$E$5:$E$1005)+SUMPRODUCT((MOVIMIENTOS!$B$5:$B$1005="DEVOLUCIÓN")*(MOVIMIENTOS!$C$5:$C$1005="C")*(MOVIMIENTOS!$D$5:$D$1005="jabas")*(MOVIMIENTOS!$A$5:$A$1005&lt;&gt;"")*(MOVIMIENTOS!$A$5:$A$1005&lt;=$A482)*MOVIMIENTOS!$E$5:$E$1005)-SUMPRODUCT((MOVIMIENTOS!$B$5:$B$1005="TRASIEGO")*(MOVIMIENTOS!$C$5:$C$1005="C")*(MOVIMIENTOS!$D$5:$D$1005="jabas")*(MOVIMIENTOS!$A$5:$A$1005&lt;&gt;"")*(MOVIMIENTOS!$A$5:$A$1005&lt;=$A482)*MOVIMIENTOS!$E$5:$E$1005)-SUMPRODUCT((MOVIMIENTOS!$B$5:$B$1005="REGALO")*(MOVIMIENTOS!$C$5:$C$1005="C")*(MOVIMIENTOS!$D$5:$D$1005="jabas")*(MOVIMIENTOS!$A$5:$A$1005&lt;&gt;"")*(MOVIMIENTOS!$A$5:$A$1005&lt;=$A482)*MOVIMIENTOS!$E$5:$E$1005)-SUMPRODUCT((MOVIMIENTOS!$B$5:$B$1005="VENTA")*(MOVIMIENTOS!$C$5:$C$1005="C")*(MOVIMIENTOS!$D$5:$D$1005="jabas")*(MOVIMIENTOS!$A$5:$A$1005&lt;&gt;"")*(MOVIMIENTOS!$A$5:$A$1005&lt;=$A482)*MOVIMIENTOS!$E$5:$E$1005)+SUMPRODUCT((MOVIMIENTOS!$B$5:$B$1005="AJUSTE")*(MOVIMIENTOS!$C$5:$C$1005="C")*(MOVIMIENTOS!$D$5:$D$1005="jabas")*(MOVIMIENTOS!$A$5:$A$1005&lt;&gt;"")*(MOVIMIENTOS!$A$5:$A$1005&lt;=$A482)*MOVIMIENTOS!$E$5:$E$1005))</f>
        <v/>
      </c>
      <c r="E482" t="str">
        <f>IF($A482="","",SUMPRODUCT((MOVIMIENTOS!$B$5:$B$1005="SALDO INICIAL")*(MOVIMIENTOS!$C$5:$C$1005="M")*(MOVIMIENTOS!$D$5:$D$1005="jabas")*(MOVIMIENTOS!$A$5:$A$1005&lt;&gt;"")*(MOVIMIENTOS!$A$5:$A$1005&lt;=$A482)*MOVIMIENTOS!$E$5:$E$1005)+SUMPRODUCT((MOVIMIENTOS!$B$5:$B$1005="PROCESO")*(MOVIMIENTOS!$C$5:$C$1005="M")*(MOVIMIENTOS!$D$5:$D$1005="jabas")*(MOVIMIENTOS!$A$5:$A$1005&lt;&gt;"")*(MOVIMIENTOS!$A$5:$A$1005&lt;=$A482)*MOVIMIENTOS!$E$5:$E$1005)-SUMPRODUCT((MOVIMIENTOS!$B$5:$B$1005="ENVÍO A SUPESA")*(MOVIMIENTOS!$C$5:$C$1005="M")*(MOVIMIENTOS!$D$5:$D$1005="jabas")*(MOVIMIENTOS!$A$5:$A$1005&lt;&gt;"")*(MOVIMIENTOS!$A$5:$A$1005&lt;=$A482)*MOVIMIENTOS!$E$5:$E$1005)+SUMPRODUCT((MOVIMIENTOS!$B$5:$B$1005="DEVOLUCIÓN")*(MOVIMIENTOS!$C$5:$C$1005="M")*(MOVIMIENTOS!$D$5:$D$1005="jabas")*(MOVIMIENTOS!$A$5:$A$1005&lt;&gt;"")*(MOVIMIENTOS!$A$5:$A$1005&lt;=$A482)*MOVIMIENTOS!$E$5:$E$1005)-SUMPRODUCT((MOVIMIENTOS!$B$5:$B$1005="TRASIEGO")*(MOVIMIENTOS!$C$5:$C$1005="M")*(MOVIMIENTOS!$D$5:$D$1005="jabas")*(MOVIMIENTOS!$A$5:$A$1005&lt;&gt;"")*(MOVIMIENTOS!$A$5:$A$1005&lt;=$A482)*MOVIMIENTOS!$E$5:$E$1005)-SUMPRODUCT((MOVIMIENTOS!$B$5:$B$1005="REGALO")*(MOVIMIENTOS!$C$5:$C$1005="M")*(MOVIMIENTOS!$D$5:$D$1005="jabas")*(MOVIMIENTOS!$A$5:$A$1005&lt;&gt;"")*(MOVIMIENTOS!$A$5:$A$1005&lt;=$A482)*MOVIMIENTOS!$E$5:$E$1005)-SUMPRODUCT((MOVIMIENTOS!$B$5:$B$1005="VENTA")*(MOVIMIENTOS!$C$5:$C$1005="M")*(MOVIMIENTOS!$D$5:$D$1005="jabas")*(MOVIMIENTOS!$A$5:$A$1005&lt;&gt;"")*(MOVIMIENTOS!$A$5:$A$1005&lt;=$A482)*MOVIMIENTOS!$E$5:$E$1005)+SUMPRODUCT((MOVIMIENTOS!$B$5:$B$1005="AJUSTE")*(MOVIMIENTOS!$C$5:$C$1005="M")*(MOVIMIENTOS!$D$5:$D$1005="jabas")*(MOVIMIENTOS!$A$5:$A$1005&lt;&gt;"")*(MOVIMIENTOS!$A$5:$A$1005&lt;=$A482)*MOVIMIENTOS!$E$5:$E$1005))</f>
        <v/>
      </c>
      <c r="F482" s="62" t="str">
        <f>IF($A482="","",SUMPRODUCT((MOVIMIENTOS!$B$5:$B$1005="SALDO INICIAL")*(MOVIMIENTOS!$C$5:$C$1005="Chancho")*(MOVIMIENTOS!$D$5:$D$1005="sacos")*(MOVIMIENTOS!$A$5:$A$1005&lt;&gt;"")*(MOVIMIENTOS!$A$5:$A$1005&lt;=$A482)*MOVIMIENTOS!$E$5:$E$1005)+SUMPRODUCT((MOVIMIENTOS!$B$5:$B$1005="PROCESO")*(MOVIMIENTOS!$C$5:$C$1005="Chancho")*(MOVIMIENTOS!$D$5:$D$1005="sacos")*(MOVIMIENTOS!$A$5:$A$1005&lt;&gt;"")*(MOVIMIENTOS!$A$5:$A$1005&lt;=$A482)*MOVIMIENTOS!$E$5:$E$1005)-SUMPRODUCT((MOVIMIENTOS!$B$5:$B$1005="VENTA CHANCHO")*(MOVIMIENTOS!$C$5:$C$1005="Chancho")*(MOVIMIENTOS!$D$5:$D$1005="sacos")*(MOVIMIENTOS!$A$5:$A$1005&lt;&gt;"")*(MOVIMIENTOS!$A$5:$A$1005&lt;=$A482)*MOVIMIENTOS!$E$5:$E$1005)-SUMPRODUCT((MOVIMIENTOS!$B$5:$B$1005="REGALO")*(MOVIMIENTOS!$C$5:$C$1005="Chancho")*(MOVIMIENTOS!$D$5:$D$1005="sacos")*(MOVIMIENTOS!$A$5:$A$1005&lt;&gt;"")*(MOVIMIENTOS!$A$5:$A$1005&lt;=$A482)*MOVIMIENTOS!$E$5:$E$1005)-SUMPRODUCT((MOVIMIENTOS!$B$5:$B$1005="VENTA")*(MOVIMIENTOS!$C$5:$C$1005="Chancho")*(MOVIMIENTOS!$D$5:$D$1005="sacos")*(MOVIMIENTOS!$A$5:$A$1005&lt;&gt;"")*(MOVIMIENTOS!$A$5:$A$1005&lt;=$A482)*MOVIMIENTOS!$E$5:$E$1005)+SUMPRODUCT((MOVIMIENTOS!$B$5:$B$1005="AJUSTE")*(MOVIMIENTOS!$C$5:$C$1005="Chancho")*(MOVIMIENTOS!$D$5:$D$1005="sacos")*(MOVIMIENTOS!$A$5:$A$1005&lt;&gt;"")*(MOVIMIENTOS!$A$5:$A$1005&lt;=$A482)*MOVIMIENTOS!$E$5:$E$1005))</f>
        <v/>
      </c>
      <c r="G482" s="62" t="str">
        <f t="shared" si="15"/>
        <v/>
      </c>
      <c r="H482" t="str">
        <f>IF($A482="","",SUMPRODUCT((((MOVIMIENTOS!$B$5:$B$1005="SALDO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482)*MOVIMIENTOS!$J$5:$J$1005))</f>
        <v/>
      </c>
      <c r="J482" t="str">
        <f>IF(AND(MOVIMIENTOS!$A487&lt;&gt;"",COUNTIF(MOVIMIENTOS!$A$5:$A486,MOVIMIENTOS!$A487)=0),COUNT(J$4:J481)+1,"")</f>
        <v/>
      </c>
      <c r="K482">
        <f>MOVIMIENTOS!$A487</f>
        <v>0</v>
      </c>
    </row>
    <row r="483" spans="1:11" ht="15" customHeight="1" x14ac:dyDescent="0.2">
      <c r="A483" t="str">
        <f t="shared" si="14"/>
        <v/>
      </c>
      <c r="B483" t="str">
        <f>IF($A483="","",SUMPRODUCT((MOVIMIENTOS!$B$5:$B$1005="SALDO INICIAL")*(MOVIMIENTOS!$C$5:$C$1005="A")*(MOVIMIENTOS!$D$5:$D$1005="jabas")*(MOVIMIENTOS!$A$5:$A$1005&lt;&gt;"")*(MOVIMIENTOS!$A$5:$A$1005&lt;=$A483)*MOVIMIENTOS!$E$5:$E$1005)+SUMPRODUCT((MOVIMIENTOS!$B$5:$B$1005="PROCESO")*(MOVIMIENTOS!$C$5:$C$1005="A")*(MOVIMIENTOS!$D$5:$D$1005="jabas")*(MOVIMIENTOS!$A$5:$A$1005&lt;&gt;"")*(MOVIMIENTOS!$A$5:$A$1005&lt;=$A483)*MOVIMIENTOS!$E$5:$E$1005)-SUMPRODUCT((MOVIMIENTOS!$B$5:$B$1005="ENVÍO A SUPESA")*(MOVIMIENTOS!$C$5:$C$1005="A")*(MOVIMIENTOS!$D$5:$D$1005="jabas")*(MOVIMIENTOS!$A$5:$A$1005&lt;&gt;"")*(MOVIMIENTOS!$A$5:$A$1005&lt;=$A483)*MOVIMIENTOS!$E$5:$E$1005)+SUMPRODUCT((MOVIMIENTOS!$B$5:$B$1005="DEVOLUCIÓN")*(MOVIMIENTOS!$C$5:$C$1005="A")*(MOVIMIENTOS!$D$5:$D$1005="jabas")*(MOVIMIENTOS!$A$5:$A$1005&lt;&gt;"")*(MOVIMIENTOS!$A$5:$A$1005&lt;=$A483)*MOVIMIENTOS!$E$5:$E$1005)-SUMPRODUCT((MOVIMIENTOS!$B$5:$B$1005="TRASIEGO")*(MOVIMIENTOS!$C$5:$C$1005="A")*(MOVIMIENTOS!$D$5:$D$1005="jabas")*(MOVIMIENTOS!$A$5:$A$1005&lt;&gt;"")*(MOVIMIENTOS!$A$5:$A$1005&lt;=$A483)*MOVIMIENTOS!$E$5:$E$1005)-SUMPRODUCT((MOVIMIENTOS!$B$5:$B$1005="REGALO")*(MOVIMIENTOS!$C$5:$C$1005="A")*(MOVIMIENTOS!$D$5:$D$1005="jabas")*(MOVIMIENTOS!$A$5:$A$1005&lt;&gt;"")*(MOVIMIENTOS!$A$5:$A$1005&lt;=$A483)*MOVIMIENTOS!$E$5:$E$1005)-SUMPRODUCT((MOVIMIENTOS!$B$5:$B$1005="VENTA")*(MOVIMIENTOS!$C$5:$C$1005="A")*(MOVIMIENTOS!$D$5:$D$1005="jabas")*(MOVIMIENTOS!$A$5:$A$1005&lt;&gt;"")*(MOVIMIENTOS!$A$5:$A$1005&lt;=$A483)*MOVIMIENTOS!$E$5:$E$1005)+SUMPRODUCT((MOVIMIENTOS!$B$5:$B$1005="AJUSTE")*(MOVIMIENTOS!$C$5:$C$1005="A")*(MOVIMIENTOS!$D$5:$D$1005="jabas")*(MOVIMIENTOS!$A$5:$A$1005&lt;&gt;"")*(MOVIMIENTOS!$A$5:$A$1005&lt;=$A483)*MOVIMIENTOS!$E$5:$E$1005))</f>
        <v/>
      </c>
      <c r="C483" t="str">
        <f>IF($A483="","",SUMPRODUCT((MOVIMIENTOS!$B$5:$B$1005="SALDO INICIAL")*(MOVIMIENTOS!$C$5:$C$1005="P")*(MOVIMIENTOS!$D$5:$D$1005="jabas")*(MOVIMIENTOS!$A$5:$A$1005&lt;&gt;"")*(MOVIMIENTOS!$A$5:$A$1005&lt;=$A483)*MOVIMIENTOS!$E$5:$E$1005)+SUMPRODUCT((MOVIMIENTOS!$B$5:$B$1005="PROCESO")*(MOVIMIENTOS!$C$5:$C$1005="P")*(MOVIMIENTOS!$D$5:$D$1005="jabas")*(MOVIMIENTOS!$A$5:$A$1005&lt;&gt;"")*(MOVIMIENTOS!$A$5:$A$1005&lt;=$A483)*MOVIMIENTOS!$E$5:$E$1005)-SUMPRODUCT((MOVIMIENTOS!$B$5:$B$1005="ENVÍO A SUPESA")*(MOVIMIENTOS!$C$5:$C$1005="P")*(MOVIMIENTOS!$D$5:$D$1005="jabas")*(MOVIMIENTOS!$A$5:$A$1005&lt;&gt;"")*(MOVIMIENTOS!$A$5:$A$1005&lt;=$A483)*MOVIMIENTOS!$E$5:$E$1005)+SUMPRODUCT((MOVIMIENTOS!$B$5:$B$1005="DEVOLUCIÓN")*(MOVIMIENTOS!$C$5:$C$1005="P")*(MOVIMIENTOS!$D$5:$D$1005="jabas")*(MOVIMIENTOS!$A$5:$A$1005&lt;&gt;"")*(MOVIMIENTOS!$A$5:$A$1005&lt;=$A483)*MOVIMIENTOS!$E$5:$E$1005)-SUMPRODUCT((MOVIMIENTOS!$B$5:$B$1005="TRASIEGO")*(MOVIMIENTOS!$C$5:$C$1005="P")*(MOVIMIENTOS!$D$5:$D$1005="jabas")*(MOVIMIENTOS!$A$5:$A$1005&lt;&gt;"")*(MOVIMIENTOS!$A$5:$A$1005&lt;=$A483)*MOVIMIENTOS!$E$5:$E$1005)-SUMPRODUCT((MOVIMIENTOS!$B$5:$B$1005="REGALO")*(MOVIMIENTOS!$C$5:$C$1005="P")*(MOVIMIENTOS!$D$5:$D$1005="jabas")*(MOVIMIENTOS!$A$5:$A$1005&lt;&gt;"")*(MOVIMIENTOS!$A$5:$A$1005&lt;=$A483)*MOVIMIENTOS!$E$5:$E$1005)-SUMPRODUCT((MOVIMIENTOS!$B$5:$B$1005="VENTA")*(MOVIMIENTOS!$C$5:$C$1005="P")*(MOVIMIENTOS!$D$5:$D$1005="jabas")*(MOVIMIENTOS!$A$5:$A$1005&lt;&gt;"")*(MOVIMIENTOS!$A$5:$A$1005&lt;=$A483)*MOVIMIENTOS!$E$5:$E$1005)+SUMPRODUCT((MOVIMIENTOS!$B$5:$B$1005="AJUSTE")*(MOVIMIENTOS!$C$5:$C$1005="P")*(MOVIMIENTOS!$D$5:$D$1005="jabas")*(MOVIMIENTOS!$A$5:$A$1005&lt;&gt;"")*(MOVIMIENTOS!$A$5:$A$1005&lt;=$A483)*MOVIMIENTOS!$E$5:$E$1005))</f>
        <v/>
      </c>
      <c r="D483" t="str">
        <f>IF($A483="","",SUMPRODUCT((MOVIMIENTOS!$B$5:$B$1005="SALDO INICIAL")*(MOVIMIENTOS!$C$5:$C$1005="C")*(MOVIMIENTOS!$D$5:$D$1005="jabas")*(MOVIMIENTOS!$A$5:$A$1005&lt;&gt;"")*(MOVIMIENTOS!$A$5:$A$1005&lt;=$A483)*MOVIMIENTOS!$E$5:$E$1005)+SUMPRODUCT((MOVIMIENTOS!$B$5:$B$1005="PROCESO")*(MOVIMIENTOS!$C$5:$C$1005="C")*(MOVIMIENTOS!$D$5:$D$1005="jabas")*(MOVIMIENTOS!$A$5:$A$1005&lt;&gt;"")*(MOVIMIENTOS!$A$5:$A$1005&lt;=$A483)*MOVIMIENTOS!$E$5:$E$1005)-SUMPRODUCT((MOVIMIENTOS!$B$5:$B$1005="ENVÍO A SUPESA")*(MOVIMIENTOS!$C$5:$C$1005="C")*(MOVIMIENTOS!$D$5:$D$1005="jabas")*(MOVIMIENTOS!$A$5:$A$1005&lt;&gt;"")*(MOVIMIENTOS!$A$5:$A$1005&lt;=$A483)*MOVIMIENTOS!$E$5:$E$1005)+SUMPRODUCT((MOVIMIENTOS!$B$5:$B$1005="DEVOLUCIÓN")*(MOVIMIENTOS!$C$5:$C$1005="C")*(MOVIMIENTOS!$D$5:$D$1005="jabas")*(MOVIMIENTOS!$A$5:$A$1005&lt;&gt;"")*(MOVIMIENTOS!$A$5:$A$1005&lt;=$A483)*MOVIMIENTOS!$E$5:$E$1005)-SUMPRODUCT((MOVIMIENTOS!$B$5:$B$1005="TRASIEGO")*(MOVIMIENTOS!$C$5:$C$1005="C")*(MOVIMIENTOS!$D$5:$D$1005="jabas")*(MOVIMIENTOS!$A$5:$A$1005&lt;&gt;"")*(MOVIMIENTOS!$A$5:$A$1005&lt;=$A483)*MOVIMIENTOS!$E$5:$E$1005)-SUMPRODUCT((MOVIMIENTOS!$B$5:$B$1005="REGALO")*(MOVIMIENTOS!$C$5:$C$1005="C")*(MOVIMIENTOS!$D$5:$D$1005="jabas")*(MOVIMIENTOS!$A$5:$A$1005&lt;&gt;"")*(MOVIMIENTOS!$A$5:$A$1005&lt;=$A483)*MOVIMIENTOS!$E$5:$E$1005)-SUMPRODUCT((MOVIMIENTOS!$B$5:$B$1005="VENTA")*(MOVIMIENTOS!$C$5:$C$1005="C")*(MOVIMIENTOS!$D$5:$D$1005="jabas")*(MOVIMIENTOS!$A$5:$A$1005&lt;&gt;"")*(MOVIMIENTOS!$A$5:$A$1005&lt;=$A483)*MOVIMIENTOS!$E$5:$E$1005)+SUMPRODUCT((MOVIMIENTOS!$B$5:$B$1005="AJUSTE")*(MOVIMIENTOS!$C$5:$C$1005="C")*(MOVIMIENTOS!$D$5:$D$1005="jabas")*(MOVIMIENTOS!$A$5:$A$1005&lt;&gt;"")*(MOVIMIENTOS!$A$5:$A$1005&lt;=$A483)*MOVIMIENTOS!$E$5:$E$1005))</f>
        <v/>
      </c>
      <c r="E483" t="str">
        <f>IF($A483="","",SUMPRODUCT((MOVIMIENTOS!$B$5:$B$1005="SALDO INICIAL")*(MOVIMIENTOS!$C$5:$C$1005="M")*(MOVIMIENTOS!$D$5:$D$1005="jabas")*(MOVIMIENTOS!$A$5:$A$1005&lt;&gt;"")*(MOVIMIENTOS!$A$5:$A$1005&lt;=$A483)*MOVIMIENTOS!$E$5:$E$1005)+SUMPRODUCT((MOVIMIENTOS!$B$5:$B$1005="PROCESO")*(MOVIMIENTOS!$C$5:$C$1005="M")*(MOVIMIENTOS!$D$5:$D$1005="jabas")*(MOVIMIENTOS!$A$5:$A$1005&lt;&gt;"")*(MOVIMIENTOS!$A$5:$A$1005&lt;=$A483)*MOVIMIENTOS!$E$5:$E$1005)-SUMPRODUCT((MOVIMIENTOS!$B$5:$B$1005="ENVÍO A SUPESA")*(MOVIMIENTOS!$C$5:$C$1005="M")*(MOVIMIENTOS!$D$5:$D$1005="jabas")*(MOVIMIENTOS!$A$5:$A$1005&lt;&gt;"")*(MOVIMIENTOS!$A$5:$A$1005&lt;=$A483)*MOVIMIENTOS!$E$5:$E$1005)+SUMPRODUCT((MOVIMIENTOS!$B$5:$B$1005="DEVOLUCIÓN")*(MOVIMIENTOS!$C$5:$C$1005="M")*(MOVIMIENTOS!$D$5:$D$1005="jabas")*(MOVIMIENTOS!$A$5:$A$1005&lt;&gt;"")*(MOVIMIENTOS!$A$5:$A$1005&lt;=$A483)*MOVIMIENTOS!$E$5:$E$1005)-SUMPRODUCT((MOVIMIENTOS!$B$5:$B$1005="TRASIEGO")*(MOVIMIENTOS!$C$5:$C$1005="M")*(MOVIMIENTOS!$D$5:$D$1005="jabas")*(MOVIMIENTOS!$A$5:$A$1005&lt;&gt;"")*(MOVIMIENTOS!$A$5:$A$1005&lt;=$A483)*MOVIMIENTOS!$E$5:$E$1005)-SUMPRODUCT((MOVIMIENTOS!$B$5:$B$1005="REGALO")*(MOVIMIENTOS!$C$5:$C$1005="M")*(MOVIMIENTOS!$D$5:$D$1005="jabas")*(MOVIMIENTOS!$A$5:$A$1005&lt;&gt;"")*(MOVIMIENTOS!$A$5:$A$1005&lt;=$A483)*MOVIMIENTOS!$E$5:$E$1005)-SUMPRODUCT((MOVIMIENTOS!$B$5:$B$1005="VENTA")*(MOVIMIENTOS!$C$5:$C$1005="M")*(MOVIMIENTOS!$D$5:$D$1005="jabas")*(MOVIMIENTOS!$A$5:$A$1005&lt;&gt;"")*(MOVIMIENTOS!$A$5:$A$1005&lt;=$A483)*MOVIMIENTOS!$E$5:$E$1005)+SUMPRODUCT((MOVIMIENTOS!$B$5:$B$1005="AJUSTE")*(MOVIMIENTOS!$C$5:$C$1005="M")*(MOVIMIENTOS!$D$5:$D$1005="jabas")*(MOVIMIENTOS!$A$5:$A$1005&lt;&gt;"")*(MOVIMIENTOS!$A$5:$A$1005&lt;=$A483)*MOVIMIENTOS!$E$5:$E$1005))</f>
        <v/>
      </c>
      <c r="F483" s="62" t="str">
        <f>IF($A483="","",SUMPRODUCT((MOVIMIENTOS!$B$5:$B$1005="SALDO INICIAL")*(MOVIMIENTOS!$C$5:$C$1005="Chancho")*(MOVIMIENTOS!$D$5:$D$1005="sacos")*(MOVIMIENTOS!$A$5:$A$1005&lt;&gt;"")*(MOVIMIENTOS!$A$5:$A$1005&lt;=$A483)*MOVIMIENTOS!$E$5:$E$1005)+SUMPRODUCT((MOVIMIENTOS!$B$5:$B$1005="PROCESO")*(MOVIMIENTOS!$C$5:$C$1005="Chancho")*(MOVIMIENTOS!$D$5:$D$1005="sacos")*(MOVIMIENTOS!$A$5:$A$1005&lt;&gt;"")*(MOVIMIENTOS!$A$5:$A$1005&lt;=$A483)*MOVIMIENTOS!$E$5:$E$1005)-SUMPRODUCT((MOVIMIENTOS!$B$5:$B$1005="VENTA CHANCHO")*(MOVIMIENTOS!$C$5:$C$1005="Chancho")*(MOVIMIENTOS!$D$5:$D$1005="sacos")*(MOVIMIENTOS!$A$5:$A$1005&lt;&gt;"")*(MOVIMIENTOS!$A$5:$A$1005&lt;=$A483)*MOVIMIENTOS!$E$5:$E$1005)-SUMPRODUCT((MOVIMIENTOS!$B$5:$B$1005="REGALO")*(MOVIMIENTOS!$C$5:$C$1005="Chancho")*(MOVIMIENTOS!$D$5:$D$1005="sacos")*(MOVIMIENTOS!$A$5:$A$1005&lt;&gt;"")*(MOVIMIENTOS!$A$5:$A$1005&lt;=$A483)*MOVIMIENTOS!$E$5:$E$1005)-SUMPRODUCT((MOVIMIENTOS!$B$5:$B$1005="VENTA")*(MOVIMIENTOS!$C$5:$C$1005="Chancho")*(MOVIMIENTOS!$D$5:$D$1005="sacos")*(MOVIMIENTOS!$A$5:$A$1005&lt;&gt;"")*(MOVIMIENTOS!$A$5:$A$1005&lt;=$A483)*MOVIMIENTOS!$E$5:$E$1005)+SUMPRODUCT((MOVIMIENTOS!$B$5:$B$1005="AJUSTE")*(MOVIMIENTOS!$C$5:$C$1005="Chancho")*(MOVIMIENTOS!$D$5:$D$1005="sacos")*(MOVIMIENTOS!$A$5:$A$1005&lt;&gt;"")*(MOVIMIENTOS!$A$5:$A$1005&lt;=$A483)*MOVIMIENTOS!$E$5:$E$1005))</f>
        <v/>
      </c>
      <c r="G483" s="62" t="str">
        <f t="shared" si="15"/>
        <v/>
      </c>
      <c r="H483" t="str">
        <f>IF($A483="","",SUMPRODUCT((((MOVIMIENTOS!$B$5:$B$1005="SALDO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483)*MOVIMIENTOS!$J$5:$J$1005))</f>
        <v/>
      </c>
      <c r="J483" t="str">
        <f>IF(AND(MOVIMIENTOS!$A488&lt;&gt;"",COUNTIF(MOVIMIENTOS!$A$5:$A487,MOVIMIENTOS!$A488)=0),COUNT(J$4:J482)+1,"")</f>
        <v/>
      </c>
      <c r="K483">
        <f>MOVIMIENTOS!$A488</f>
        <v>0</v>
      </c>
    </row>
    <row r="484" spans="1:11" ht="15" customHeight="1" x14ac:dyDescent="0.2">
      <c r="A484" t="str">
        <f t="shared" si="14"/>
        <v/>
      </c>
      <c r="B484" t="str">
        <f>IF($A484="","",SUMPRODUCT((MOVIMIENTOS!$B$5:$B$1005="SALDO INICIAL")*(MOVIMIENTOS!$C$5:$C$1005="A")*(MOVIMIENTOS!$D$5:$D$1005="jabas")*(MOVIMIENTOS!$A$5:$A$1005&lt;&gt;"")*(MOVIMIENTOS!$A$5:$A$1005&lt;=$A484)*MOVIMIENTOS!$E$5:$E$1005)+SUMPRODUCT((MOVIMIENTOS!$B$5:$B$1005="PROCESO")*(MOVIMIENTOS!$C$5:$C$1005="A")*(MOVIMIENTOS!$D$5:$D$1005="jabas")*(MOVIMIENTOS!$A$5:$A$1005&lt;&gt;"")*(MOVIMIENTOS!$A$5:$A$1005&lt;=$A484)*MOVIMIENTOS!$E$5:$E$1005)-SUMPRODUCT((MOVIMIENTOS!$B$5:$B$1005="ENVÍO A SUPESA")*(MOVIMIENTOS!$C$5:$C$1005="A")*(MOVIMIENTOS!$D$5:$D$1005="jabas")*(MOVIMIENTOS!$A$5:$A$1005&lt;&gt;"")*(MOVIMIENTOS!$A$5:$A$1005&lt;=$A484)*MOVIMIENTOS!$E$5:$E$1005)+SUMPRODUCT((MOVIMIENTOS!$B$5:$B$1005="DEVOLUCIÓN")*(MOVIMIENTOS!$C$5:$C$1005="A")*(MOVIMIENTOS!$D$5:$D$1005="jabas")*(MOVIMIENTOS!$A$5:$A$1005&lt;&gt;"")*(MOVIMIENTOS!$A$5:$A$1005&lt;=$A484)*MOVIMIENTOS!$E$5:$E$1005)-SUMPRODUCT((MOVIMIENTOS!$B$5:$B$1005="TRASIEGO")*(MOVIMIENTOS!$C$5:$C$1005="A")*(MOVIMIENTOS!$D$5:$D$1005="jabas")*(MOVIMIENTOS!$A$5:$A$1005&lt;&gt;"")*(MOVIMIENTOS!$A$5:$A$1005&lt;=$A484)*MOVIMIENTOS!$E$5:$E$1005)-SUMPRODUCT((MOVIMIENTOS!$B$5:$B$1005="REGALO")*(MOVIMIENTOS!$C$5:$C$1005="A")*(MOVIMIENTOS!$D$5:$D$1005="jabas")*(MOVIMIENTOS!$A$5:$A$1005&lt;&gt;"")*(MOVIMIENTOS!$A$5:$A$1005&lt;=$A484)*MOVIMIENTOS!$E$5:$E$1005)-SUMPRODUCT((MOVIMIENTOS!$B$5:$B$1005="VENTA")*(MOVIMIENTOS!$C$5:$C$1005="A")*(MOVIMIENTOS!$D$5:$D$1005="jabas")*(MOVIMIENTOS!$A$5:$A$1005&lt;&gt;"")*(MOVIMIENTOS!$A$5:$A$1005&lt;=$A484)*MOVIMIENTOS!$E$5:$E$1005)+SUMPRODUCT((MOVIMIENTOS!$B$5:$B$1005="AJUSTE")*(MOVIMIENTOS!$C$5:$C$1005="A")*(MOVIMIENTOS!$D$5:$D$1005="jabas")*(MOVIMIENTOS!$A$5:$A$1005&lt;&gt;"")*(MOVIMIENTOS!$A$5:$A$1005&lt;=$A484)*MOVIMIENTOS!$E$5:$E$1005))</f>
        <v/>
      </c>
      <c r="C484" t="str">
        <f>IF($A484="","",SUMPRODUCT((MOVIMIENTOS!$B$5:$B$1005="SALDO INICIAL")*(MOVIMIENTOS!$C$5:$C$1005="P")*(MOVIMIENTOS!$D$5:$D$1005="jabas")*(MOVIMIENTOS!$A$5:$A$1005&lt;&gt;"")*(MOVIMIENTOS!$A$5:$A$1005&lt;=$A484)*MOVIMIENTOS!$E$5:$E$1005)+SUMPRODUCT((MOVIMIENTOS!$B$5:$B$1005="PROCESO")*(MOVIMIENTOS!$C$5:$C$1005="P")*(MOVIMIENTOS!$D$5:$D$1005="jabas")*(MOVIMIENTOS!$A$5:$A$1005&lt;&gt;"")*(MOVIMIENTOS!$A$5:$A$1005&lt;=$A484)*MOVIMIENTOS!$E$5:$E$1005)-SUMPRODUCT((MOVIMIENTOS!$B$5:$B$1005="ENVÍO A SUPESA")*(MOVIMIENTOS!$C$5:$C$1005="P")*(MOVIMIENTOS!$D$5:$D$1005="jabas")*(MOVIMIENTOS!$A$5:$A$1005&lt;&gt;"")*(MOVIMIENTOS!$A$5:$A$1005&lt;=$A484)*MOVIMIENTOS!$E$5:$E$1005)+SUMPRODUCT((MOVIMIENTOS!$B$5:$B$1005="DEVOLUCIÓN")*(MOVIMIENTOS!$C$5:$C$1005="P")*(MOVIMIENTOS!$D$5:$D$1005="jabas")*(MOVIMIENTOS!$A$5:$A$1005&lt;&gt;"")*(MOVIMIENTOS!$A$5:$A$1005&lt;=$A484)*MOVIMIENTOS!$E$5:$E$1005)-SUMPRODUCT((MOVIMIENTOS!$B$5:$B$1005="TRASIEGO")*(MOVIMIENTOS!$C$5:$C$1005="P")*(MOVIMIENTOS!$D$5:$D$1005="jabas")*(MOVIMIENTOS!$A$5:$A$1005&lt;&gt;"")*(MOVIMIENTOS!$A$5:$A$1005&lt;=$A484)*MOVIMIENTOS!$E$5:$E$1005)-SUMPRODUCT((MOVIMIENTOS!$B$5:$B$1005="REGALO")*(MOVIMIENTOS!$C$5:$C$1005="P")*(MOVIMIENTOS!$D$5:$D$1005="jabas")*(MOVIMIENTOS!$A$5:$A$1005&lt;&gt;"")*(MOVIMIENTOS!$A$5:$A$1005&lt;=$A484)*MOVIMIENTOS!$E$5:$E$1005)-SUMPRODUCT((MOVIMIENTOS!$B$5:$B$1005="VENTA")*(MOVIMIENTOS!$C$5:$C$1005="P")*(MOVIMIENTOS!$D$5:$D$1005="jabas")*(MOVIMIENTOS!$A$5:$A$1005&lt;&gt;"")*(MOVIMIENTOS!$A$5:$A$1005&lt;=$A484)*MOVIMIENTOS!$E$5:$E$1005)+SUMPRODUCT((MOVIMIENTOS!$B$5:$B$1005="AJUSTE")*(MOVIMIENTOS!$C$5:$C$1005="P")*(MOVIMIENTOS!$D$5:$D$1005="jabas")*(MOVIMIENTOS!$A$5:$A$1005&lt;&gt;"")*(MOVIMIENTOS!$A$5:$A$1005&lt;=$A484)*MOVIMIENTOS!$E$5:$E$1005))</f>
        <v/>
      </c>
      <c r="D484" t="str">
        <f>IF($A484="","",SUMPRODUCT((MOVIMIENTOS!$B$5:$B$1005="SALDO INICIAL")*(MOVIMIENTOS!$C$5:$C$1005="C")*(MOVIMIENTOS!$D$5:$D$1005="jabas")*(MOVIMIENTOS!$A$5:$A$1005&lt;&gt;"")*(MOVIMIENTOS!$A$5:$A$1005&lt;=$A484)*MOVIMIENTOS!$E$5:$E$1005)+SUMPRODUCT((MOVIMIENTOS!$B$5:$B$1005="PROCESO")*(MOVIMIENTOS!$C$5:$C$1005="C")*(MOVIMIENTOS!$D$5:$D$1005="jabas")*(MOVIMIENTOS!$A$5:$A$1005&lt;&gt;"")*(MOVIMIENTOS!$A$5:$A$1005&lt;=$A484)*MOVIMIENTOS!$E$5:$E$1005)-SUMPRODUCT((MOVIMIENTOS!$B$5:$B$1005="ENVÍO A SUPESA")*(MOVIMIENTOS!$C$5:$C$1005="C")*(MOVIMIENTOS!$D$5:$D$1005="jabas")*(MOVIMIENTOS!$A$5:$A$1005&lt;&gt;"")*(MOVIMIENTOS!$A$5:$A$1005&lt;=$A484)*MOVIMIENTOS!$E$5:$E$1005)+SUMPRODUCT((MOVIMIENTOS!$B$5:$B$1005="DEVOLUCIÓN")*(MOVIMIENTOS!$C$5:$C$1005="C")*(MOVIMIENTOS!$D$5:$D$1005="jabas")*(MOVIMIENTOS!$A$5:$A$1005&lt;&gt;"")*(MOVIMIENTOS!$A$5:$A$1005&lt;=$A484)*MOVIMIENTOS!$E$5:$E$1005)-SUMPRODUCT((MOVIMIENTOS!$B$5:$B$1005="TRASIEGO")*(MOVIMIENTOS!$C$5:$C$1005="C")*(MOVIMIENTOS!$D$5:$D$1005="jabas")*(MOVIMIENTOS!$A$5:$A$1005&lt;&gt;"")*(MOVIMIENTOS!$A$5:$A$1005&lt;=$A484)*MOVIMIENTOS!$E$5:$E$1005)-SUMPRODUCT((MOVIMIENTOS!$B$5:$B$1005="REGALO")*(MOVIMIENTOS!$C$5:$C$1005="C")*(MOVIMIENTOS!$D$5:$D$1005="jabas")*(MOVIMIENTOS!$A$5:$A$1005&lt;&gt;"")*(MOVIMIENTOS!$A$5:$A$1005&lt;=$A484)*MOVIMIENTOS!$E$5:$E$1005)-SUMPRODUCT((MOVIMIENTOS!$B$5:$B$1005="VENTA")*(MOVIMIENTOS!$C$5:$C$1005="C")*(MOVIMIENTOS!$D$5:$D$1005="jabas")*(MOVIMIENTOS!$A$5:$A$1005&lt;&gt;"")*(MOVIMIENTOS!$A$5:$A$1005&lt;=$A484)*MOVIMIENTOS!$E$5:$E$1005)+SUMPRODUCT((MOVIMIENTOS!$B$5:$B$1005="AJUSTE")*(MOVIMIENTOS!$C$5:$C$1005="C")*(MOVIMIENTOS!$D$5:$D$1005="jabas")*(MOVIMIENTOS!$A$5:$A$1005&lt;&gt;"")*(MOVIMIENTOS!$A$5:$A$1005&lt;=$A484)*MOVIMIENTOS!$E$5:$E$1005))</f>
        <v/>
      </c>
      <c r="E484" t="str">
        <f>IF($A484="","",SUMPRODUCT((MOVIMIENTOS!$B$5:$B$1005="SALDO INICIAL")*(MOVIMIENTOS!$C$5:$C$1005="M")*(MOVIMIENTOS!$D$5:$D$1005="jabas")*(MOVIMIENTOS!$A$5:$A$1005&lt;&gt;"")*(MOVIMIENTOS!$A$5:$A$1005&lt;=$A484)*MOVIMIENTOS!$E$5:$E$1005)+SUMPRODUCT((MOVIMIENTOS!$B$5:$B$1005="PROCESO")*(MOVIMIENTOS!$C$5:$C$1005="M")*(MOVIMIENTOS!$D$5:$D$1005="jabas")*(MOVIMIENTOS!$A$5:$A$1005&lt;&gt;"")*(MOVIMIENTOS!$A$5:$A$1005&lt;=$A484)*MOVIMIENTOS!$E$5:$E$1005)-SUMPRODUCT((MOVIMIENTOS!$B$5:$B$1005="ENVÍO A SUPESA")*(MOVIMIENTOS!$C$5:$C$1005="M")*(MOVIMIENTOS!$D$5:$D$1005="jabas")*(MOVIMIENTOS!$A$5:$A$1005&lt;&gt;"")*(MOVIMIENTOS!$A$5:$A$1005&lt;=$A484)*MOVIMIENTOS!$E$5:$E$1005)+SUMPRODUCT((MOVIMIENTOS!$B$5:$B$1005="DEVOLUCIÓN")*(MOVIMIENTOS!$C$5:$C$1005="M")*(MOVIMIENTOS!$D$5:$D$1005="jabas")*(MOVIMIENTOS!$A$5:$A$1005&lt;&gt;"")*(MOVIMIENTOS!$A$5:$A$1005&lt;=$A484)*MOVIMIENTOS!$E$5:$E$1005)-SUMPRODUCT((MOVIMIENTOS!$B$5:$B$1005="TRASIEGO")*(MOVIMIENTOS!$C$5:$C$1005="M")*(MOVIMIENTOS!$D$5:$D$1005="jabas")*(MOVIMIENTOS!$A$5:$A$1005&lt;&gt;"")*(MOVIMIENTOS!$A$5:$A$1005&lt;=$A484)*MOVIMIENTOS!$E$5:$E$1005)-SUMPRODUCT((MOVIMIENTOS!$B$5:$B$1005="REGALO")*(MOVIMIENTOS!$C$5:$C$1005="M")*(MOVIMIENTOS!$D$5:$D$1005="jabas")*(MOVIMIENTOS!$A$5:$A$1005&lt;&gt;"")*(MOVIMIENTOS!$A$5:$A$1005&lt;=$A484)*MOVIMIENTOS!$E$5:$E$1005)-SUMPRODUCT((MOVIMIENTOS!$B$5:$B$1005="VENTA")*(MOVIMIENTOS!$C$5:$C$1005="M")*(MOVIMIENTOS!$D$5:$D$1005="jabas")*(MOVIMIENTOS!$A$5:$A$1005&lt;&gt;"")*(MOVIMIENTOS!$A$5:$A$1005&lt;=$A484)*MOVIMIENTOS!$E$5:$E$1005)+SUMPRODUCT((MOVIMIENTOS!$B$5:$B$1005="AJUSTE")*(MOVIMIENTOS!$C$5:$C$1005="M")*(MOVIMIENTOS!$D$5:$D$1005="jabas")*(MOVIMIENTOS!$A$5:$A$1005&lt;&gt;"")*(MOVIMIENTOS!$A$5:$A$1005&lt;=$A484)*MOVIMIENTOS!$E$5:$E$1005))</f>
        <v/>
      </c>
      <c r="F484" s="62" t="str">
        <f>IF($A484="","",SUMPRODUCT((MOVIMIENTOS!$B$5:$B$1005="SALDO INICIAL")*(MOVIMIENTOS!$C$5:$C$1005="Chancho")*(MOVIMIENTOS!$D$5:$D$1005="sacos")*(MOVIMIENTOS!$A$5:$A$1005&lt;&gt;"")*(MOVIMIENTOS!$A$5:$A$1005&lt;=$A484)*MOVIMIENTOS!$E$5:$E$1005)+SUMPRODUCT((MOVIMIENTOS!$B$5:$B$1005="PROCESO")*(MOVIMIENTOS!$C$5:$C$1005="Chancho")*(MOVIMIENTOS!$D$5:$D$1005="sacos")*(MOVIMIENTOS!$A$5:$A$1005&lt;&gt;"")*(MOVIMIENTOS!$A$5:$A$1005&lt;=$A484)*MOVIMIENTOS!$E$5:$E$1005)-SUMPRODUCT((MOVIMIENTOS!$B$5:$B$1005="VENTA CHANCHO")*(MOVIMIENTOS!$C$5:$C$1005="Chancho")*(MOVIMIENTOS!$D$5:$D$1005="sacos")*(MOVIMIENTOS!$A$5:$A$1005&lt;&gt;"")*(MOVIMIENTOS!$A$5:$A$1005&lt;=$A484)*MOVIMIENTOS!$E$5:$E$1005)-SUMPRODUCT((MOVIMIENTOS!$B$5:$B$1005="REGALO")*(MOVIMIENTOS!$C$5:$C$1005="Chancho")*(MOVIMIENTOS!$D$5:$D$1005="sacos")*(MOVIMIENTOS!$A$5:$A$1005&lt;&gt;"")*(MOVIMIENTOS!$A$5:$A$1005&lt;=$A484)*MOVIMIENTOS!$E$5:$E$1005)-SUMPRODUCT((MOVIMIENTOS!$B$5:$B$1005="VENTA")*(MOVIMIENTOS!$C$5:$C$1005="Chancho")*(MOVIMIENTOS!$D$5:$D$1005="sacos")*(MOVIMIENTOS!$A$5:$A$1005&lt;&gt;"")*(MOVIMIENTOS!$A$5:$A$1005&lt;=$A484)*MOVIMIENTOS!$E$5:$E$1005)+SUMPRODUCT((MOVIMIENTOS!$B$5:$B$1005="AJUSTE")*(MOVIMIENTOS!$C$5:$C$1005="Chancho")*(MOVIMIENTOS!$D$5:$D$1005="sacos")*(MOVIMIENTOS!$A$5:$A$1005&lt;&gt;"")*(MOVIMIENTOS!$A$5:$A$1005&lt;=$A484)*MOVIMIENTOS!$E$5:$E$1005))</f>
        <v/>
      </c>
      <c r="G484" s="62" t="str">
        <f t="shared" si="15"/>
        <v/>
      </c>
      <c r="H484" t="str">
        <f>IF($A484="","",SUMPRODUCT((((MOVIMIENTOS!$B$5:$B$1005="SALDO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484)*MOVIMIENTOS!$J$5:$J$1005))</f>
        <v/>
      </c>
      <c r="J484" t="str">
        <f>IF(AND(MOVIMIENTOS!$A489&lt;&gt;"",COUNTIF(MOVIMIENTOS!$A$5:$A488,MOVIMIENTOS!$A489)=0),COUNT(J$4:J483)+1,"")</f>
        <v/>
      </c>
      <c r="K484">
        <f>MOVIMIENTOS!$A489</f>
        <v>0</v>
      </c>
    </row>
    <row r="485" spans="1:11" ht="15" customHeight="1" x14ac:dyDescent="0.2">
      <c r="A485" t="str">
        <f t="shared" si="14"/>
        <v/>
      </c>
      <c r="B485" t="str">
        <f>IF($A485="","",SUMPRODUCT((MOVIMIENTOS!$B$5:$B$1005="SALDO INICIAL")*(MOVIMIENTOS!$C$5:$C$1005="A")*(MOVIMIENTOS!$D$5:$D$1005="jabas")*(MOVIMIENTOS!$A$5:$A$1005&lt;&gt;"")*(MOVIMIENTOS!$A$5:$A$1005&lt;=$A485)*MOVIMIENTOS!$E$5:$E$1005)+SUMPRODUCT((MOVIMIENTOS!$B$5:$B$1005="PROCESO")*(MOVIMIENTOS!$C$5:$C$1005="A")*(MOVIMIENTOS!$D$5:$D$1005="jabas")*(MOVIMIENTOS!$A$5:$A$1005&lt;&gt;"")*(MOVIMIENTOS!$A$5:$A$1005&lt;=$A485)*MOVIMIENTOS!$E$5:$E$1005)-SUMPRODUCT((MOVIMIENTOS!$B$5:$B$1005="ENVÍO A SUPESA")*(MOVIMIENTOS!$C$5:$C$1005="A")*(MOVIMIENTOS!$D$5:$D$1005="jabas")*(MOVIMIENTOS!$A$5:$A$1005&lt;&gt;"")*(MOVIMIENTOS!$A$5:$A$1005&lt;=$A485)*MOVIMIENTOS!$E$5:$E$1005)+SUMPRODUCT((MOVIMIENTOS!$B$5:$B$1005="DEVOLUCIÓN")*(MOVIMIENTOS!$C$5:$C$1005="A")*(MOVIMIENTOS!$D$5:$D$1005="jabas")*(MOVIMIENTOS!$A$5:$A$1005&lt;&gt;"")*(MOVIMIENTOS!$A$5:$A$1005&lt;=$A485)*MOVIMIENTOS!$E$5:$E$1005)-SUMPRODUCT((MOVIMIENTOS!$B$5:$B$1005="TRASIEGO")*(MOVIMIENTOS!$C$5:$C$1005="A")*(MOVIMIENTOS!$D$5:$D$1005="jabas")*(MOVIMIENTOS!$A$5:$A$1005&lt;&gt;"")*(MOVIMIENTOS!$A$5:$A$1005&lt;=$A485)*MOVIMIENTOS!$E$5:$E$1005)-SUMPRODUCT((MOVIMIENTOS!$B$5:$B$1005="REGALO")*(MOVIMIENTOS!$C$5:$C$1005="A")*(MOVIMIENTOS!$D$5:$D$1005="jabas")*(MOVIMIENTOS!$A$5:$A$1005&lt;&gt;"")*(MOVIMIENTOS!$A$5:$A$1005&lt;=$A485)*MOVIMIENTOS!$E$5:$E$1005)-SUMPRODUCT((MOVIMIENTOS!$B$5:$B$1005="VENTA")*(MOVIMIENTOS!$C$5:$C$1005="A")*(MOVIMIENTOS!$D$5:$D$1005="jabas")*(MOVIMIENTOS!$A$5:$A$1005&lt;&gt;"")*(MOVIMIENTOS!$A$5:$A$1005&lt;=$A485)*MOVIMIENTOS!$E$5:$E$1005)+SUMPRODUCT((MOVIMIENTOS!$B$5:$B$1005="AJUSTE")*(MOVIMIENTOS!$C$5:$C$1005="A")*(MOVIMIENTOS!$D$5:$D$1005="jabas")*(MOVIMIENTOS!$A$5:$A$1005&lt;&gt;"")*(MOVIMIENTOS!$A$5:$A$1005&lt;=$A485)*MOVIMIENTOS!$E$5:$E$1005))</f>
        <v/>
      </c>
      <c r="C485" t="str">
        <f>IF($A485="","",SUMPRODUCT((MOVIMIENTOS!$B$5:$B$1005="SALDO INICIAL")*(MOVIMIENTOS!$C$5:$C$1005="P")*(MOVIMIENTOS!$D$5:$D$1005="jabas")*(MOVIMIENTOS!$A$5:$A$1005&lt;&gt;"")*(MOVIMIENTOS!$A$5:$A$1005&lt;=$A485)*MOVIMIENTOS!$E$5:$E$1005)+SUMPRODUCT((MOVIMIENTOS!$B$5:$B$1005="PROCESO")*(MOVIMIENTOS!$C$5:$C$1005="P")*(MOVIMIENTOS!$D$5:$D$1005="jabas")*(MOVIMIENTOS!$A$5:$A$1005&lt;&gt;"")*(MOVIMIENTOS!$A$5:$A$1005&lt;=$A485)*MOVIMIENTOS!$E$5:$E$1005)-SUMPRODUCT((MOVIMIENTOS!$B$5:$B$1005="ENVÍO A SUPESA")*(MOVIMIENTOS!$C$5:$C$1005="P")*(MOVIMIENTOS!$D$5:$D$1005="jabas")*(MOVIMIENTOS!$A$5:$A$1005&lt;&gt;"")*(MOVIMIENTOS!$A$5:$A$1005&lt;=$A485)*MOVIMIENTOS!$E$5:$E$1005)+SUMPRODUCT((MOVIMIENTOS!$B$5:$B$1005="DEVOLUCIÓN")*(MOVIMIENTOS!$C$5:$C$1005="P")*(MOVIMIENTOS!$D$5:$D$1005="jabas")*(MOVIMIENTOS!$A$5:$A$1005&lt;&gt;"")*(MOVIMIENTOS!$A$5:$A$1005&lt;=$A485)*MOVIMIENTOS!$E$5:$E$1005)-SUMPRODUCT((MOVIMIENTOS!$B$5:$B$1005="TRASIEGO")*(MOVIMIENTOS!$C$5:$C$1005="P")*(MOVIMIENTOS!$D$5:$D$1005="jabas")*(MOVIMIENTOS!$A$5:$A$1005&lt;&gt;"")*(MOVIMIENTOS!$A$5:$A$1005&lt;=$A485)*MOVIMIENTOS!$E$5:$E$1005)-SUMPRODUCT((MOVIMIENTOS!$B$5:$B$1005="REGALO")*(MOVIMIENTOS!$C$5:$C$1005="P")*(MOVIMIENTOS!$D$5:$D$1005="jabas")*(MOVIMIENTOS!$A$5:$A$1005&lt;&gt;"")*(MOVIMIENTOS!$A$5:$A$1005&lt;=$A485)*MOVIMIENTOS!$E$5:$E$1005)-SUMPRODUCT((MOVIMIENTOS!$B$5:$B$1005="VENTA")*(MOVIMIENTOS!$C$5:$C$1005="P")*(MOVIMIENTOS!$D$5:$D$1005="jabas")*(MOVIMIENTOS!$A$5:$A$1005&lt;&gt;"")*(MOVIMIENTOS!$A$5:$A$1005&lt;=$A485)*MOVIMIENTOS!$E$5:$E$1005)+SUMPRODUCT((MOVIMIENTOS!$B$5:$B$1005="AJUSTE")*(MOVIMIENTOS!$C$5:$C$1005="P")*(MOVIMIENTOS!$D$5:$D$1005="jabas")*(MOVIMIENTOS!$A$5:$A$1005&lt;&gt;"")*(MOVIMIENTOS!$A$5:$A$1005&lt;=$A485)*MOVIMIENTOS!$E$5:$E$1005))</f>
        <v/>
      </c>
      <c r="D485" t="str">
        <f>IF($A485="","",SUMPRODUCT((MOVIMIENTOS!$B$5:$B$1005="SALDO INICIAL")*(MOVIMIENTOS!$C$5:$C$1005="C")*(MOVIMIENTOS!$D$5:$D$1005="jabas")*(MOVIMIENTOS!$A$5:$A$1005&lt;&gt;"")*(MOVIMIENTOS!$A$5:$A$1005&lt;=$A485)*MOVIMIENTOS!$E$5:$E$1005)+SUMPRODUCT((MOVIMIENTOS!$B$5:$B$1005="PROCESO")*(MOVIMIENTOS!$C$5:$C$1005="C")*(MOVIMIENTOS!$D$5:$D$1005="jabas")*(MOVIMIENTOS!$A$5:$A$1005&lt;&gt;"")*(MOVIMIENTOS!$A$5:$A$1005&lt;=$A485)*MOVIMIENTOS!$E$5:$E$1005)-SUMPRODUCT((MOVIMIENTOS!$B$5:$B$1005="ENVÍO A SUPESA")*(MOVIMIENTOS!$C$5:$C$1005="C")*(MOVIMIENTOS!$D$5:$D$1005="jabas")*(MOVIMIENTOS!$A$5:$A$1005&lt;&gt;"")*(MOVIMIENTOS!$A$5:$A$1005&lt;=$A485)*MOVIMIENTOS!$E$5:$E$1005)+SUMPRODUCT((MOVIMIENTOS!$B$5:$B$1005="DEVOLUCIÓN")*(MOVIMIENTOS!$C$5:$C$1005="C")*(MOVIMIENTOS!$D$5:$D$1005="jabas")*(MOVIMIENTOS!$A$5:$A$1005&lt;&gt;"")*(MOVIMIENTOS!$A$5:$A$1005&lt;=$A485)*MOVIMIENTOS!$E$5:$E$1005)-SUMPRODUCT((MOVIMIENTOS!$B$5:$B$1005="TRASIEGO")*(MOVIMIENTOS!$C$5:$C$1005="C")*(MOVIMIENTOS!$D$5:$D$1005="jabas")*(MOVIMIENTOS!$A$5:$A$1005&lt;&gt;"")*(MOVIMIENTOS!$A$5:$A$1005&lt;=$A485)*MOVIMIENTOS!$E$5:$E$1005)-SUMPRODUCT((MOVIMIENTOS!$B$5:$B$1005="REGALO")*(MOVIMIENTOS!$C$5:$C$1005="C")*(MOVIMIENTOS!$D$5:$D$1005="jabas")*(MOVIMIENTOS!$A$5:$A$1005&lt;&gt;"")*(MOVIMIENTOS!$A$5:$A$1005&lt;=$A485)*MOVIMIENTOS!$E$5:$E$1005)-SUMPRODUCT((MOVIMIENTOS!$B$5:$B$1005="VENTA")*(MOVIMIENTOS!$C$5:$C$1005="C")*(MOVIMIENTOS!$D$5:$D$1005="jabas")*(MOVIMIENTOS!$A$5:$A$1005&lt;&gt;"")*(MOVIMIENTOS!$A$5:$A$1005&lt;=$A485)*MOVIMIENTOS!$E$5:$E$1005)+SUMPRODUCT((MOVIMIENTOS!$B$5:$B$1005="AJUSTE")*(MOVIMIENTOS!$C$5:$C$1005="C")*(MOVIMIENTOS!$D$5:$D$1005="jabas")*(MOVIMIENTOS!$A$5:$A$1005&lt;&gt;"")*(MOVIMIENTOS!$A$5:$A$1005&lt;=$A485)*MOVIMIENTOS!$E$5:$E$1005))</f>
        <v/>
      </c>
      <c r="E485" t="str">
        <f>IF($A485="","",SUMPRODUCT((MOVIMIENTOS!$B$5:$B$1005="SALDO INICIAL")*(MOVIMIENTOS!$C$5:$C$1005="M")*(MOVIMIENTOS!$D$5:$D$1005="jabas")*(MOVIMIENTOS!$A$5:$A$1005&lt;&gt;"")*(MOVIMIENTOS!$A$5:$A$1005&lt;=$A485)*MOVIMIENTOS!$E$5:$E$1005)+SUMPRODUCT((MOVIMIENTOS!$B$5:$B$1005="PROCESO")*(MOVIMIENTOS!$C$5:$C$1005="M")*(MOVIMIENTOS!$D$5:$D$1005="jabas")*(MOVIMIENTOS!$A$5:$A$1005&lt;&gt;"")*(MOVIMIENTOS!$A$5:$A$1005&lt;=$A485)*MOVIMIENTOS!$E$5:$E$1005)-SUMPRODUCT((MOVIMIENTOS!$B$5:$B$1005="ENVÍO A SUPESA")*(MOVIMIENTOS!$C$5:$C$1005="M")*(MOVIMIENTOS!$D$5:$D$1005="jabas")*(MOVIMIENTOS!$A$5:$A$1005&lt;&gt;"")*(MOVIMIENTOS!$A$5:$A$1005&lt;=$A485)*MOVIMIENTOS!$E$5:$E$1005)+SUMPRODUCT((MOVIMIENTOS!$B$5:$B$1005="DEVOLUCIÓN")*(MOVIMIENTOS!$C$5:$C$1005="M")*(MOVIMIENTOS!$D$5:$D$1005="jabas")*(MOVIMIENTOS!$A$5:$A$1005&lt;&gt;"")*(MOVIMIENTOS!$A$5:$A$1005&lt;=$A485)*MOVIMIENTOS!$E$5:$E$1005)-SUMPRODUCT((MOVIMIENTOS!$B$5:$B$1005="TRASIEGO")*(MOVIMIENTOS!$C$5:$C$1005="M")*(MOVIMIENTOS!$D$5:$D$1005="jabas")*(MOVIMIENTOS!$A$5:$A$1005&lt;&gt;"")*(MOVIMIENTOS!$A$5:$A$1005&lt;=$A485)*MOVIMIENTOS!$E$5:$E$1005)-SUMPRODUCT((MOVIMIENTOS!$B$5:$B$1005="REGALO")*(MOVIMIENTOS!$C$5:$C$1005="M")*(MOVIMIENTOS!$D$5:$D$1005="jabas")*(MOVIMIENTOS!$A$5:$A$1005&lt;&gt;"")*(MOVIMIENTOS!$A$5:$A$1005&lt;=$A485)*MOVIMIENTOS!$E$5:$E$1005)-SUMPRODUCT((MOVIMIENTOS!$B$5:$B$1005="VENTA")*(MOVIMIENTOS!$C$5:$C$1005="M")*(MOVIMIENTOS!$D$5:$D$1005="jabas")*(MOVIMIENTOS!$A$5:$A$1005&lt;&gt;"")*(MOVIMIENTOS!$A$5:$A$1005&lt;=$A485)*MOVIMIENTOS!$E$5:$E$1005)+SUMPRODUCT((MOVIMIENTOS!$B$5:$B$1005="AJUSTE")*(MOVIMIENTOS!$C$5:$C$1005="M")*(MOVIMIENTOS!$D$5:$D$1005="jabas")*(MOVIMIENTOS!$A$5:$A$1005&lt;&gt;"")*(MOVIMIENTOS!$A$5:$A$1005&lt;=$A485)*MOVIMIENTOS!$E$5:$E$1005))</f>
        <v/>
      </c>
      <c r="F485" s="62" t="str">
        <f>IF($A485="","",SUMPRODUCT((MOVIMIENTOS!$B$5:$B$1005="SALDO INICIAL")*(MOVIMIENTOS!$C$5:$C$1005="Chancho")*(MOVIMIENTOS!$D$5:$D$1005="sacos")*(MOVIMIENTOS!$A$5:$A$1005&lt;&gt;"")*(MOVIMIENTOS!$A$5:$A$1005&lt;=$A485)*MOVIMIENTOS!$E$5:$E$1005)+SUMPRODUCT((MOVIMIENTOS!$B$5:$B$1005="PROCESO")*(MOVIMIENTOS!$C$5:$C$1005="Chancho")*(MOVIMIENTOS!$D$5:$D$1005="sacos")*(MOVIMIENTOS!$A$5:$A$1005&lt;&gt;"")*(MOVIMIENTOS!$A$5:$A$1005&lt;=$A485)*MOVIMIENTOS!$E$5:$E$1005)-SUMPRODUCT((MOVIMIENTOS!$B$5:$B$1005="VENTA CHANCHO")*(MOVIMIENTOS!$C$5:$C$1005="Chancho")*(MOVIMIENTOS!$D$5:$D$1005="sacos")*(MOVIMIENTOS!$A$5:$A$1005&lt;&gt;"")*(MOVIMIENTOS!$A$5:$A$1005&lt;=$A485)*MOVIMIENTOS!$E$5:$E$1005)-SUMPRODUCT((MOVIMIENTOS!$B$5:$B$1005="REGALO")*(MOVIMIENTOS!$C$5:$C$1005="Chancho")*(MOVIMIENTOS!$D$5:$D$1005="sacos")*(MOVIMIENTOS!$A$5:$A$1005&lt;&gt;"")*(MOVIMIENTOS!$A$5:$A$1005&lt;=$A485)*MOVIMIENTOS!$E$5:$E$1005)-SUMPRODUCT((MOVIMIENTOS!$B$5:$B$1005="VENTA")*(MOVIMIENTOS!$C$5:$C$1005="Chancho")*(MOVIMIENTOS!$D$5:$D$1005="sacos")*(MOVIMIENTOS!$A$5:$A$1005&lt;&gt;"")*(MOVIMIENTOS!$A$5:$A$1005&lt;=$A485)*MOVIMIENTOS!$E$5:$E$1005)+SUMPRODUCT((MOVIMIENTOS!$B$5:$B$1005="AJUSTE")*(MOVIMIENTOS!$C$5:$C$1005="Chancho")*(MOVIMIENTOS!$D$5:$D$1005="sacos")*(MOVIMIENTOS!$A$5:$A$1005&lt;&gt;"")*(MOVIMIENTOS!$A$5:$A$1005&lt;=$A485)*MOVIMIENTOS!$E$5:$E$1005))</f>
        <v/>
      </c>
      <c r="G485" s="62" t="str">
        <f t="shared" si="15"/>
        <v/>
      </c>
      <c r="H485" t="str">
        <f>IF($A485="","",SUMPRODUCT((((MOVIMIENTOS!$B$5:$B$1005="SALDO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485)*MOVIMIENTOS!$J$5:$J$1005))</f>
        <v/>
      </c>
      <c r="J485" t="str">
        <f>IF(AND(MOVIMIENTOS!$A490&lt;&gt;"",COUNTIF(MOVIMIENTOS!$A$5:$A489,MOVIMIENTOS!$A490)=0),COUNT(J$4:J484)+1,"")</f>
        <v/>
      </c>
      <c r="K485">
        <f>MOVIMIENTOS!$A490</f>
        <v>0</v>
      </c>
    </row>
    <row r="486" spans="1:11" ht="15" customHeight="1" x14ac:dyDescent="0.2">
      <c r="A486" t="str">
        <f t="shared" si="14"/>
        <v/>
      </c>
      <c r="B486" t="str">
        <f>IF($A486="","",SUMPRODUCT((MOVIMIENTOS!$B$5:$B$1005="SALDO INICIAL")*(MOVIMIENTOS!$C$5:$C$1005="A")*(MOVIMIENTOS!$D$5:$D$1005="jabas")*(MOVIMIENTOS!$A$5:$A$1005&lt;&gt;"")*(MOVIMIENTOS!$A$5:$A$1005&lt;=$A486)*MOVIMIENTOS!$E$5:$E$1005)+SUMPRODUCT((MOVIMIENTOS!$B$5:$B$1005="PROCESO")*(MOVIMIENTOS!$C$5:$C$1005="A")*(MOVIMIENTOS!$D$5:$D$1005="jabas")*(MOVIMIENTOS!$A$5:$A$1005&lt;&gt;"")*(MOVIMIENTOS!$A$5:$A$1005&lt;=$A486)*MOVIMIENTOS!$E$5:$E$1005)-SUMPRODUCT((MOVIMIENTOS!$B$5:$B$1005="ENVÍO A SUPESA")*(MOVIMIENTOS!$C$5:$C$1005="A")*(MOVIMIENTOS!$D$5:$D$1005="jabas")*(MOVIMIENTOS!$A$5:$A$1005&lt;&gt;"")*(MOVIMIENTOS!$A$5:$A$1005&lt;=$A486)*MOVIMIENTOS!$E$5:$E$1005)+SUMPRODUCT((MOVIMIENTOS!$B$5:$B$1005="DEVOLUCIÓN")*(MOVIMIENTOS!$C$5:$C$1005="A")*(MOVIMIENTOS!$D$5:$D$1005="jabas")*(MOVIMIENTOS!$A$5:$A$1005&lt;&gt;"")*(MOVIMIENTOS!$A$5:$A$1005&lt;=$A486)*MOVIMIENTOS!$E$5:$E$1005)-SUMPRODUCT((MOVIMIENTOS!$B$5:$B$1005="TRASIEGO")*(MOVIMIENTOS!$C$5:$C$1005="A")*(MOVIMIENTOS!$D$5:$D$1005="jabas")*(MOVIMIENTOS!$A$5:$A$1005&lt;&gt;"")*(MOVIMIENTOS!$A$5:$A$1005&lt;=$A486)*MOVIMIENTOS!$E$5:$E$1005)-SUMPRODUCT((MOVIMIENTOS!$B$5:$B$1005="REGALO")*(MOVIMIENTOS!$C$5:$C$1005="A")*(MOVIMIENTOS!$D$5:$D$1005="jabas")*(MOVIMIENTOS!$A$5:$A$1005&lt;&gt;"")*(MOVIMIENTOS!$A$5:$A$1005&lt;=$A486)*MOVIMIENTOS!$E$5:$E$1005)-SUMPRODUCT((MOVIMIENTOS!$B$5:$B$1005="VENTA")*(MOVIMIENTOS!$C$5:$C$1005="A")*(MOVIMIENTOS!$D$5:$D$1005="jabas")*(MOVIMIENTOS!$A$5:$A$1005&lt;&gt;"")*(MOVIMIENTOS!$A$5:$A$1005&lt;=$A486)*MOVIMIENTOS!$E$5:$E$1005)+SUMPRODUCT((MOVIMIENTOS!$B$5:$B$1005="AJUSTE")*(MOVIMIENTOS!$C$5:$C$1005="A")*(MOVIMIENTOS!$D$5:$D$1005="jabas")*(MOVIMIENTOS!$A$5:$A$1005&lt;&gt;"")*(MOVIMIENTOS!$A$5:$A$1005&lt;=$A486)*MOVIMIENTOS!$E$5:$E$1005))</f>
        <v/>
      </c>
      <c r="C486" t="str">
        <f>IF($A486="","",SUMPRODUCT((MOVIMIENTOS!$B$5:$B$1005="SALDO INICIAL")*(MOVIMIENTOS!$C$5:$C$1005="P")*(MOVIMIENTOS!$D$5:$D$1005="jabas")*(MOVIMIENTOS!$A$5:$A$1005&lt;&gt;"")*(MOVIMIENTOS!$A$5:$A$1005&lt;=$A486)*MOVIMIENTOS!$E$5:$E$1005)+SUMPRODUCT((MOVIMIENTOS!$B$5:$B$1005="PROCESO")*(MOVIMIENTOS!$C$5:$C$1005="P")*(MOVIMIENTOS!$D$5:$D$1005="jabas")*(MOVIMIENTOS!$A$5:$A$1005&lt;&gt;"")*(MOVIMIENTOS!$A$5:$A$1005&lt;=$A486)*MOVIMIENTOS!$E$5:$E$1005)-SUMPRODUCT((MOVIMIENTOS!$B$5:$B$1005="ENVÍO A SUPESA")*(MOVIMIENTOS!$C$5:$C$1005="P")*(MOVIMIENTOS!$D$5:$D$1005="jabas")*(MOVIMIENTOS!$A$5:$A$1005&lt;&gt;"")*(MOVIMIENTOS!$A$5:$A$1005&lt;=$A486)*MOVIMIENTOS!$E$5:$E$1005)+SUMPRODUCT((MOVIMIENTOS!$B$5:$B$1005="DEVOLUCIÓN")*(MOVIMIENTOS!$C$5:$C$1005="P")*(MOVIMIENTOS!$D$5:$D$1005="jabas")*(MOVIMIENTOS!$A$5:$A$1005&lt;&gt;"")*(MOVIMIENTOS!$A$5:$A$1005&lt;=$A486)*MOVIMIENTOS!$E$5:$E$1005)-SUMPRODUCT((MOVIMIENTOS!$B$5:$B$1005="TRASIEGO")*(MOVIMIENTOS!$C$5:$C$1005="P")*(MOVIMIENTOS!$D$5:$D$1005="jabas")*(MOVIMIENTOS!$A$5:$A$1005&lt;&gt;"")*(MOVIMIENTOS!$A$5:$A$1005&lt;=$A486)*MOVIMIENTOS!$E$5:$E$1005)-SUMPRODUCT((MOVIMIENTOS!$B$5:$B$1005="REGALO")*(MOVIMIENTOS!$C$5:$C$1005="P")*(MOVIMIENTOS!$D$5:$D$1005="jabas")*(MOVIMIENTOS!$A$5:$A$1005&lt;&gt;"")*(MOVIMIENTOS!$A$5:$A$1005&lt;=$A486)*MOVIMIENTOS!$E$5:$E$1005)-SUMPRODUCT((MOVIMIENTOS!$B$5:$B$1005="VENTA")*(MOVIMIENTOS!$C$5:$C$1005="P")*(MOVIMIENTOS!$D$5:$D$1005="jabas")*(MOVIMIENTOS!$A$5:$A$1005&lt;&gt;"")*(MOVIMIENTOS!$A$5:$A$1005&lt;=$A486)*MOVIMIENTOS!$E$5:$E$1005)+SUMPRODUCT((MOVIMIENTOS!$B$5:$B$1005="AJUSTE")*(MOVIMIENTOS!$C$5:$C$1005="P")*(MOVIMIENTOS!$D$5:$D$1005="jabas")*(MOVIMIENTOS!$A$5:$A$1005&lt;&gt;"")*(MOVIMIENTOS!$A$5:$A$1005&lt;=$A486)*MOVIMIENTOS!$E$5:$E$1005))</f>
        <v/>
      </c>
      <c r="D486" t="str">
        <f>IF($A486="","",SUMPRODUCT((MOVIMIENTOS!$B$5:$B$1005="SALDO INICIAL")*(MOVIMIENTOS!$C$5:$C$1005="C")*(MOVIMIENTOS!$D$5:$D$1005="jabas")*(MOVIMIENTOS!$A$5:$A$1005&lt;&gt;"")*(MOVIMIENTOS!$A$5:$A$1005&lt;=$A486)*MOVIMIENTOS!$E$5:$E$1005)+SUMPRODUCT((MOVIMIENTOS!$B$5:$B$1005="PROCESO")*(MOVIMIENTOS!$C$5:$C$1005="C")*(MOVIMIENTOS!$D$5:$D$1005="jabas")*(MOVIMIENTOS!$A$5:$A$1005&lt;&gt;"")*(MOVIMIENTOS!$A$5:$A$1005&lt;=$A486)*MOVIMIENTOS!$E$5:$E$1005)-SUMPRODUCT((MOVIMIENTOS!$B$5:$B$1005="ENVÍO A SUPESA")*(MOVIMIENTOS!$C$5:$C$1005="C")*(MOVIMIENTOS!$D$5:$D$1005="jabas")*(MOVIMIENTOS!$A$5:$A$1005&lt;&gt;"")*(MOVIMIENTOS!$A$5:$A$1005&lt;=$A486)*MOVIMIENTOS!$E$5:$E$1005)+SUMPRODUCT((MOVIMIENTOS!$B$5:$B$1005="DEVOLUCIÓN")*(MOVIMIENTOS!$C$5:$C$1005="C")*(MOVIMIENTOS!$D$5:$D$1005="jabas")*(MOVIMIENTOS!$A$5:$A$1005&lt;&gt;"")*(MOVIMIENTOS!$A$5:$A$1005&lt;=$A486)*MOVIMIENTOS!$E$5:$E$1005)-SUMPRODUCT((MOVIMIENTOS!$B$5:$B$1005="TRASIEGO")*(MOVIMIENTOS!$C$5:$C$1005="C")*(MOVIMIENTOS!$D$5:$D$1005="jabas")*(MOVIMIENTOS!$A$5:$A$1005&lt;&gt;"")*(MOVIMIENTOS!$A$5:$A$1005&lt;=$A486)*MOVIMIENTOS!$E$5:$E$1005)-SUMPRODUCT((MOVIMIENTOS!$B$5:$B$1005="REGALO")*(MOVIMIENTOS!$C$5:$C$1005="C")*(MOVIMIENTOS!$D$5:$D$1005="jabas")*(MOVIMIENTOS!$A$5:$A$1005&lt;&gt;"")*(MOVIMIENTOS!$A$5:$A$1005&lt;=$A486)*MOVIMIENTOS!$E$5:$E$1005)-SUMPRODUCT((MOVIMIENTOS!$B$5:$B$1005="VENTA")*(MOVIMIENTOS!$C$5:$C$1005="C")*(MOVIMIENTOS!$D$5:$D$1005="jabas")*(MOVIMIENTOS!$A$5:$A$1005&lt;&gt;"")*(MOVIMIENTOS!$A$5:$A$1005&lt;=$A486)*MOVIMIENTOS!$E$5:$E$1005)+SUMPRODUCT((MOVIMIENTOS!$B$5:$B$1005="AJUSTE")*(MOVIMIENTOS!$C$5:$C$1005="C")*(MOVIMIENTOS!$D$5:$D$1005="jabas")*(MOVIMIENTOS!$A$5:$A$1005&lt;&gt;"")*(MOVIMIENTOS!$A$5:$A$1005&lt;=$A486)*MOVIMIENTOS!$E$5:$E$1005))</f>
        <v/>
      </c>
      <c r="E486" t="str">
        <f>IF($A486="","",SUMPRODUCT((MOVIMIENTOS!$B$5:$B$1005="SALDO INICIAL")*(MOVIMIENTOS!$C$5:$C$1005="M")*(MOVIMIENTOS!$D$5:$D$1005="jabas")*(MOVIMIENTOS!$A$5:$A$1005&lt;&gt;"")*(MOVIMIENTOS!$A$5:$A$1005&lt;=$A486)*MOVIMIENTOS!$E$5:$E$1005)+SUMPRODUCT((MOVIMIENTOS!$B$5:$B$1005="PROCESO")*(MOVIMIENTOS!$C$5:$C$1005="M")*(MOVIMIENTOS!$D$5:$D$1005="jabas")*(MOVIMIENTOS!$A$5:$A$1005&lt;&gt;"")*(MOVIMIENTOS!$A$5:$A$1005&lt;=$A486)*MOVIMIENTOS!$E$5:$E$1005)-SUMPRODUCT((MOVIMIENTOS!$B$5:$B$1005="ENVÍO A SUPESA")*(MOVIMIENTOS!$C$5:$C$1005="M")*(MOVIMIENTOS!$D$5:$D$1005="jabas")*(MOVIMIENTOS!$A$5:$A$1005&lt;&gt;"")*(MOVIMIENTOS!$A$5:$A$1005&lt;=$A486)*MOVIMIENTOS!$E$5:$E$1005)+SUMPRODUCT((MOVIMIENTOS!$B$5:$B$1005="DEVOLUCIÓN")*(MOVIMIENTOS!$C$5:$C$1005="M")*(MOVIMIENTOS!$D$5:$D$1005="jabas")*(MOVIMIENTOS!$A$5:$A$1005&lt;&gt;"")*(MOVIMIENTOS!$A$5:$A$1005&lt;=$A486)*MOVIMIENTOS!$E$5:$E$1005)-SUMPRODUCT((MOVIMIENTOS!$B$5:$B$1005="TRASIEGO")*(MOVIMIENTOS!$C$5:$C$1005="M")*(MOVIMIENTOS!$D$5:$D$1005="jabas")*(MOVIMIENTOS!$A$5:$A$1005&lt;&gt;"")*(MOVIMIENTOS!$A$5:$A$1005&lt;=$A486)*MOVIMIENTOS!$E$5:$E$1005)-SUMPRODUCT((MOVIMIENTOS!$B$5:$B$1005="REGALO")*(MOVIMIENTOS!$C$5:$C$1005="M")*(MOVIMIENTOS!$D$5:$D$1005="jabas")*(MOVIMIENTOS!$A$5:$A$1005&lt;&gt;"")*(MOVIMIENTOS!$A$5:$A$1005&lt;=$A486)*MOVIMIENTOS!$E$5:$E$1005)-SUMPRODUCT((MOVIMIENTOS!$B$5:$B$1005="VENTA")*(MOVIMIENTOS!$C$5:$C$1005="M")*(MOVIMIENTOS!$D$5:$D$1005="jabas")*(MOVIMIENTOS!$A$5:$A$1005&lt;&gt;"")*(MOVIMIENTOS!$A$5:$A$1005&lt;=$A486)*MOVIMIENTOS!$E$5:$E$1005)+SUMPRODUCT((MOVIMIENTOS!$B$5:$B$1005="AJUSTE")*(MOVIMIENTOS!$C$5:$C$1005="M")*(MOVIMIENTOS!$D$5:$D$1005="jabas")*(MOVIMIENTOS!$A$5:$A$1005&lt;&gt;"")*(MOVIMIENTOS!$A$5:$A$1005&lt;=$A486)*MOVIMIENTOS!$E$5:$E$1005))</f>
        <v/>
      </c>
      <c r="F486" s="62" t="str">
        <f>IF($A486="","",SUMPRODUCT((MOVIMIENTOS!$B$5:$B$1005="SALDO INICIAL")*(MOVIMIENTOS!$C$5:$C$1005="Chancho")*(MOVIMIENTOS!$D$5:$D$1005="sacos")*(MOVIMIENTOS!$A$5:$A$1005&lt;&gt;"")*(MOVIMIENTOS!$A$5:$A$1005&lt;=$A486)*MOVIMIENTOS!$E$5:$E$1005)+SUMPRODUCT((MOVIMIENTOS!$B$5:$B$1005="PROCESO")*(MOVIMIENTOS!$C$5:$C$1005="Chancho")*(MOVIMIENTOS!$D$5:$D$1005="sacos")*(MOVIMIENTOS!$A$5:$A$1005&lt;&gt;"")*(MOVIMIENTOS!$A$5:$A$1005&lt;=$A486)*MOVIMIENTOS!$E$5:$E$1005)-SUMPRODUCT((MOVIMIENTOS!$B$5:$B$1005="VENTA CHANCHO")*(MOVIMIENTOS!$C$5:$C$1005="Chancho")*(MOVIMIENTOS!$D$5:$D$1005="sacos")*(MOVIMIENTOS!$A$5:$A$1005&lt;&gt;"")*(MOVIMIENTOS!$A$5:$A$1005&lt;=$A486)*MOVIMIENTOS!$E$5:$E$1005)-SUMPRODUCT((MOVIMIENTOS!$B$5:$B$1005="REGALO")*(MOVIMIENTOS!$C$5:$C$1005="Chancho")*(MOVIMIENTOS!$D$5:$D$1005="sacos")*(MOVIMIENTOS!$A$5:$A$1005&lt;&gt;"")*(MOVIMIENTOS!$A$5:$A$1005&lt;=$A486)*MOVIMIENTOS!$E$5:$E$1005)-SUMPRODUCT((MOVIMIENTOS!$B$5:$B$1005="VENTA")*(MOVIMIENTOS!$C$5:$C$1005="Chancho")*(MOVIMIENTOS!$D$5:$D$1005="sacos")*(MOVIMIENTOS!$A$5:$A$1005&lt;&gt;"")*(MOVIMIENTOS!$A$5:$A$1005&lt;=$A486)*MOVIMIENTOS!$E$5:$E$1005)+SUMPRODUCT((MOVIMIENTOS!$B$5:$B$1005="AJUSTE")*(MOVIMIENTOS!$C$5:$C$1005="Chancho")*(MOVIMIENTOS!$D$5:$D$1005="sacos")*(MOVIMIENTOS!$A$5:$A$1005&lt;&gt;"")*(MOVIMIENTOS!$A$5:$A$1005&lt;=$A486)*MOVIMIENTOS!$E$5:$E$1005))</f>
        <v/>
      </c>
      <c r="G486" s="62" t="str">
        <f t="shared" si="15"/>
        <v/>
      </c>
      <c r="H486" t="str">
        <f>IF($A486="","",SUMPRODUCT((((MOVIMIENTOS!$B$5:$B$1005="SALDO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486)*MOVIMIENTOS!$J$5:$J$1005))</f>
        <v/>
      </c>
      <c r="J486" t="str">
        <f>IF(AND(MOVIMIENTOS!$A491&lt;&gt;"",COUNTIF(MOVIMIENTOS!$A$5:$A490,MOVIMIENTOS!$A491)=0),COUNT(J$4:J485)+1,"")</f>
        <v/>
      </c>
      <c r="K486">
        <f>MOVIMIENTOS!$A491</f>
        <v>0</v>
      </c>
    </row>
    <row r="487" spans="1:11" ht="15" customHeight="1" x14ac:dyDescent="0.2">
      <c r="A487" t="str">
        <f t="shared" si="14"/>
        <v/>
      </c>
      <c r="B487" t="str">
        <f>IF($A487="","",SUMPRODUCT((MOVIMIENTOS!$B$5:$B$1005="SALDO INICIAL")*(MOVIMIENTOS!$C$5:$C$1005="A")*(MOVIMIENTOS!$D$5:$D$1005="jabas")*(MOVIMIENTOS!$A$5:$A$1005&lt;&gt;"")*(MOVIMIENTOS!$A$5:$A$1005&lt;=$A487)*MOVIMIENTOS!$E$5:$E$1005)+SUMPRODUCT((MOVIMIENTOS!$B$5:$B$1005="PROCESO")*(MOVIMIENTOS!$C$5:$C$1005="A")*(MOVIMIENTOS!$D$5:$D$1005="jabas")*(MOVIMIENTOS!$A$5:$A$1005&lt;&gt;"")*(MOVIMIENTOS!$A$5:$A$1005&lt;=$A487)*MOVIMIENTOS!$E$5:$E$1005)-SUMPRODUCT((MOVIMIENTOS!$B$5:$B$1005="ENVÍO A SUPESA")*(MOVIMIENTOS!$C$5:$C$1005="A")*(MOVIMIENTOS!$D$5:$D$1005="jabas")*(MOVIMIENTOS!$A$5:$A$1005&lt;&gt;"")*(MOVIMIENTOS!$A$5:$A$1005&lt;=$A487)*MOVIMIENTOS!$E$5:$E$1005)+SUMPRODUCT((MOVIMIENTOS!$B$5:$B$1005="DEVOLUCIÓN")*(MOVIMIENTOS!$C$5:$C$1005="A")*(MOVIMIENTOS!$D$5:$D$1005="jabas")*(MOVIMIENTOS!$A$5:$A$1005&lt;&gt;"")*(MOVIMIENTOS!$A$5:$A$1005&lt;=$A487)*MOVIMIENTOS!$E$5:$E$1005)-SUMPRODUCT((MOVIMIENTOS!$B$5:$B$1005="TRASIEGO")*(MOVIMIENTOS!$C$5:$C$1005="A")*(MOVIMIENTOS!$D$5:$D$1005="jabas")*(MOVIMIENTOS!$A$5:$A$1005&lt;&gt;"")*(MOVIMIENTOS!$A$5:$A$1005&lt;=$A487)*MOVIMIENTOS!$E$5:$E$1005)-SUMPRODUCT((MOVIMIENTOS!$B$5:$B$1005="REGALO")*(MOVIMIENTOS!$C$5:$C$1005="A")*(MOVIMIENTOS!$D$5:$D$1005="jabas")*(MOVIMIENTOS!$A$5:$A$1005&lt;&gt;"")*(MOVIMIENTOS!$A$5:$A$1005&lt;=$A487)*MOVIMIENTOS!$E$5:$E$1005)-SUMPRODUCT((MOVIMIENTOS!$B$5:$B$1005="VENTA")*(MOVIMIENTOS!$C$5:$C$1005="A")*(MOVIMIENTOS!$D$5:$D$1005="jabas")*(MOVIMIENTOS!$A$5:$A$1005&lt;&gt;"")*(MOVIMIENTOS!$A$5:$A$1005&lt;=$A487)*MOVIMIENTOS!$E$5:$E$1005)+SUMPRODUCT((MOVIMIENTOS!$B$5:$B$1005="AJUSTE")*(MOVIMIENTOS!$C$5:$C$1005="A")*(MOVIMIENTOS!$D$5:$D$1005="jabas")*(MOVIMIENTOS!$A$5:$A$1005&lt;&gt;"")*(MOVIMIENTOS!$A$5:$A$1005&lt;=$A487)*MOVIMIENTOS!$E$5:$E$1005))</f>
        <v/>
      </c>
      <c r="C487" t="str">
        <f>IF($A487="","",SUMPRODUCT((MOVIMIENTOS!$B$5:$B$1005="SALDO INICIAL")*(MOVIMIENTOS!$C$5:$C$1005="P")*(MOVIMIENTOS!$D$5:$D$1005="jabas")*(MOVIMIENTOS!$A$5:$A$1005&lt;&gt;"")*(MOVIMIENTOS!$A$5:$A$1005&lt;=$A487)*MOVIMIENTOS!$E$5:$E$1005)+SUMPRODUCT((MOVIMIENTOS!$B$5:$B$1005="PROCESO")*(MOVIMIENTOS!$C$5:$C$1005="P")*(MOVIMIENTOS!$D$5:$D$1005="jabas")*(MOVIMIENTOS!$A$5:$A$1005&lt;&gt;"")*(MOVIMIENTOS!$A$5:$A$1005&lt;=$A487)*MOVIMIENTOS!$E$5:$E$1005)-SUMPRODUCT((MOVIMIENTOS!$B$5:$B$1005="ENVÍO A SUPESA")*(MOVIMIENTOS!$C$5:$C$1005="P")*(MOVIMIENTOS!$D$5:$D$1005="jabas")*(MOVIMIENTOS!$A$5:$A$1005&lt;&gt;"")*(MOVIMIENTOS!$A$5:$A$1005&lt;=$A487)*MOVIMIENTOS!$E$5:$E$1005)+SUMPRODUCT((MOVIMIENTOS!$B$5:$B$1005="DEVOLUCIÓN")*(MOVIMIENTOS!$C$5:$C$1005="P")*(MOVIMIENTOS!$D$5:$D$1005="jabas")*(MOVIMIENTOS!$A$5:$A$1005&lt;&gt;"")*(MOVIMIENTOS!$A$5:$A$1005&lt;=$A487)*MOVIMIENTOS!$E$5:$E$1005)-SUMPRODUCT((MOVIMIENTOS!$B$5:$B$1005="TRASIEGO")*(MOVIMIENTOS!$C$5:$C$1005="P")*(MOVIMIENTOS!$D$5:$D$1005="jabas")*(MOVIMIENTOS!$A$5:$A$1005&lt;&gt;"")*(MOVIMIENTOS!$A$5:$A$1005&lt;=$A487)*MOVIMIENTOS!$E$5:$E$1005)-SUMPRODUCT((MOVIMIENTOS!$B$5:$B$1005="REGALO")*(MOVIMIENTOS!$C$5:$C$1005="P")*(MOVIMIENTOS!$D$5:$D$1005="jabas")*(MOVIMIENTOS!$A$5:$A$1005&lt;&gt;"")*(MOVIMIENTOS!$A$5:$A$1005&lt;=$A487)*MOVIMIENTOS!$E$5:$E$1005)-SUMPRODUCT((MOVIMIENTOS!$B$5:$B$1005="VENTA")*(MOVIMIENTOS!$C$5:$C$1005="P")*(MOVIMIENTOS!$D$5:$D$1005="jabas")*(MOVIMIENTOS!$A$5:$A$1005&lt;&gt;"")*(MOVIMIENTOS!$A$5:$A$1005&lt;=$A487)*MOVIMIENTOS!$E$5:$E$1005)+SUMPRODUCT((MOVIMIENTOS!$B$5:$B$1005="AJUSTE")*(MOVIMIENTOS!$C$5:$C$1005="P")*(MOVIMIENTOS!$D$5:$D$1005="jabas")*(MOVIMIENTOS!$A$5:$A$1005&lt;&gt;"")*(MOVIMIENTOS!$A$5:$A$1005&lt;=$A487)*MOVIMIENTOS!$E$5:$E$1005))</f>
        <v/>
      </c>
      <c r="D487" t="str">
        <f>IF($A487="","",SUMPRODUCT((MOVIMIENTOS!$B$5:$B$1005="SALDO INICIAL")*(MOVIMIENTOS!$C$5:$C$1005="C")*(MOVIMIENTOS!$D$5:$D$1005="jabas")*(MOVIMIENTOS!$A$5:$A$1005&lt;&gt;"")*(MOVIMIENTOS!$A$5:$A$1005&lt;=$A487)*MOVIMIENTOS!$E$5:$E$1005)+SUMPRODUCT((MOVIMIENTOS!$B$5:$B$1005="PROCESO")*(MOVIMIENTOS!$C$5:$C$1005="C")*(MOVIMIENTOS!$D$5:$D$1005="jabas")*(MOVIMIENTOS!$A$5:$A$1005&lt;&gt;"")*(MOVIMIENTOS!$A$5:$A$1005&lt;=$A487)*MOVIMIENTOS!$E$5:$E$1005)-SUMPRODUCT((MOVIMIENTOS!$B$5:$B$1005="ENVÍO A SUPESA")*(MOVIMIENTOS!$C$5:$C$1005="C")*(MOVIMIENTOS!$D$5:$D$1005="jabas")*(MOVIMIENTOS!$A$5:$A$1005&lt;&gt;"")*(MOVIMIENTOS!$A$5:$A$1005&lt;=$A487)*MOVIMIENTOS!$E$5:$E$1005)+SUMPRODUCT((MOVIMIENTOS!$B$5:$B$1005="DEVOLUCIÓN")*(MOVIMIENTOS!$C$5:$C$1005="C")*(MOVIMIENTOS!$D$5:$D$1005="jabas")*(MOVIMIENTOS!$A$5:$A$1005&lt;&gt;"")*(MOVIMIENTOS!$A$5:$A$1005&lt;=$A487)*MOVIMIENTOS!$E$5:$E$1005)-SUMPRODUCT((MOVIMIENTOS!$B$5:$B$1005="TRASIEGO")*(MOVIMIENTOS!$C$5:$C$1005="C")*(MOVIMIENTOS!$D$5:$D$1005="jabas")*(MOVIMIENTOS!$A$5:$A$1005&lt;&gt;"")*(MOVIMIENTOS!$A$5:$A$1005&lt;=$A487)*MOVIMIENTOS!$E$5:$E$1005)-SUMPRODUCT((MOVIMIENTOS!$B$5:$B$1005="REGALO")*(MOVIMIENTOS!$C$5:$C$1005="C")*(MOVIMIENTOS!$D$5:$D$1005="jabas")*(MOVIMIENTOS!$A$5:$A$1005&lt;&gt;"")*(MOVIMIENTOS!$A$5:$A$1005&lt;=$A487)*MOVIMIENTOS!$E$5:$E$1005)-SUMPRODUCT((MOVIMIENTOS!$B$5:$B$1005="VENTA")*(MOVIMIENTOS!$C$5:$C$1005="C")*(MOVIMIENTOS!$D$5:$D$1005="jabas")*(MOVIMIENTOS!$A$5:$A$1005&lt;&gt;"")*(MOVIMIENTOS!$A$5:$A$1005&lt;=$A487)*MOVIMIENTOS!$E$5:$E$1005)+SUMPRODUCT((MOVIMIENTOS!$B$5:$B$1005="AJUSTE")*(MOVIMIENTOS!$C$5:$C$1005="C")*(MOVIMIENTOS!$D$5:$D$1005="jabas")*(MOVIMIENTOS!$A$5:$A$1005&lt;&gt;"")*(MOVIMIENTOS!$A$5:$A$1005&lt;=$A487)*MOVIMIENTOS!$E$5:$E$1005))</f>
        <v/>
      </c>
      <c r="E487" t="str">
        <f>IF($A487="","",SUMPRODUCT((MOVIMIENTOS!$B$5:$B$1005="SALDO INICIAL")*(MOVIMIENTOS!$C$5:$C$1005="M")*(MOVIMIENTOS!$D$5:$D$1005="jabas")*(MOVIMIENTOS!$A$5:$A$1005&lt;&gt;"")*(MOVIMIENTOS!$A$5:$A$1005&lt;=$A487)*MOVIMIENTOS!$E$5:$E$1005)+SUMPRODUCT((MOVIMIENTOS!$B$5:$B$1005="PROCESO")*(MOVIMIENTOS!$C$5:$C$1005="M")*(MOVIMIENTOS!$D$5:$D$1005="jabas")*(MOVIMIENTOS!$A$5:$A$1005&lt;&gt;"")*(MOVIMIENTOS!$A$5:$A$1005&lt;=$A487)*MOVIMIENTOS!$E$5:$E$1005)-SUMPRODUCT((MOVIMIENTOS!$B$5:$B$1005="ENVÍO A SUPESA")*(MOVIMIENTOS!$C$5:$C$1005="M")*(MOVIMIENTOS!$D$5:$D$1005="jabas")*(MOVIMIENTOS!$A$5:$A$1005&lt;&gt;"")*(MOVIMIENTOS!$A$5:$A$1005&lt;=$A487)*MOVIMIENTOS!$E$5:$E$1005)+SUMPRODUCT((MOVIMIENTOS!$B$5:$B$1005="DEVOLUCIÓN")*(MOVIMIENTOS!$C$5:$C$1005="M")*(MOVIMIENTOS!$D$5:$D$1005="jabas")*(MOVIMIENTOS!$A$5:$A$1005&lt;&gt;"")*(MOVIMIENTOS!$A$5:$A$1005&lt;=$A487)*MOVIMIENTOS!$E$5:$E$1005)-SUMPRODUCT((MOVIMIENTOS!$B$5:$B$1005="TRASIEGO")*(MOVIMIENTOS!$C$5:$C$1005="M")*(MOVIMIENTOS!$D$5:$D$1005="jabas")*(MOVIMIENTOS!$A$5:$A$1005&lt;&gt;"")*(MOVIMIENTOS!$A$5:$A$1005&lt;=$A487)*MOVIMIENTOS!$E$5:$E$1005)-SUMPRODUCT((MOVIMIENTOS!$B$5:$B$1005="REGALO")*(MOVIMIENTOS!$C$5:$C$1005="M")*(MOVIMIENTOS!$D$5:$D$1005="jabas")*(MOVIMIENTOS!$A$5:$A$1005&lt;&gt;"")*(MOVIMIENTOS!$A$5:$A$1005&lt;=$A487)*MOVIMIENTOS!$E$5:$E$1005)-SUMPRODUCT((MOVIMIENTOS!$B$5:$B$1005="VENTA")*(MOVIMIENTOS!$C$5:$C$1005="M")*(MOVIMIENTOS!$D$5:$D$1005="jabas")*(MOVIMIENTOS!$A$5:$A$1005&lt;&gt;"")*(MOVIMIENTOS!$A$5:$A$1005&lt;=$A487)*MOVIMIENTOS!$E$5:$E$1005)+SUMPRODUCT((MOVIMIENTOS!$B$5:$B$1005="AJUSTE")*(MOVIMIENTOS!$C$5:$C$1005="M")*(MOVIMIENTOS!$D$5:$D$1005="jabas")*(MOVIMIENTOS!$A$5:$A$1005&lt;&gt;"")*(MOVIMIENTOS!$A$5:$A$1005&lt;=$A487)*MOVIMIENTOS!$E$5:$E$1005))</f>
        <v/>
      </c>
      <c r="F487" s="62" t="str">
        <f>IF($A487="","",SUMPRODUCT((MOVIMIENTOS!$B$5:$B$1005="SALDO INICIAL")*(MOVIMIENTOS!$C$5:$C$1005="Chancho")*(MOVIMIENTOS!$D$5:$D$1005="sacos")*(MOVIMIENTOS!$A$5:$A$1005&lt;&gt;"")*(MOVIMIENTOS!$A$5:$A$1005&lt;=$A487)*MOVIMIENTOS!$E$5:$E$1005)+SUMPRODUCT((MOVIMIENTOS!$B$5:$B$1005="PROCESO")*(MOVIMIENTOS!$C$5:$C$1005="Chancho")*(MOVIMIENTOS!$D$5:$D$1005="sacos")*(MOVIMIENTOS!$A$5:$A$1005&lt;&gt;"")*(MOVIMIENTOS!$A$5:$A$1005&lt;=$A487)*MOVIMIENTOS!$E$5:$E$1005)-SUMPRODUCT((MOVIMIENTOS!$B$5:$B$1005="VENTA CHANCHO")*(MOVIMIENTOS!$C$5:$C$1005="Chancho")*(MOVIMIENTOS!$D$5:$D$1005="sacos")*(MOVIMIENTOS!$A$5:$A$1005&lt;&gt;"")*(MOVIMIENTOS!$A$5:$A$1005&lt;=$A487)*MOVIMIENTOS!$E$5:$E$1005)-SUMPRODUCT((MOVIMIENTOS!$B$5:$B$1005="REGALO")*(MOVIMIENTOS!$C$5:$C$1005="Chancho")*(MOVIMIENTOS!$D$5:$D$1005="sacos")*(MOVIMIENTOS!$A$5:$A$1005&lt;&gt;"")*(MOVIMIENTOS!$A$5:$A$1005&lt;=$A487)*MOVIMIENTOS!$E$5:$E$1005)-SUMPRODUCT((MOVIMIENTOS!$B$5:$B$1005="VENTA")*(MOVIMIENTOS!$C$5:$C$1005="Chancho")*(MOVIMIENTOS!$D$5:$D$1005="sacos")*(MOVIMIENTOS!$A$5:$A$1005&lt;&gt;"")*(MOVIMIENTOS!$A$5:$A$1005&lt;=$A487)*MOVIMIENTOS!$E$5:$E$1005)+SUMPRODUCT((MOVIMIENTOS!$B$5:$B$1005="AJUSTE")*(MOVIMIENTOS!$C$5:$C$1005="Chancho")*(MOVIMIENTOS!$D$5:$D$1005="sacos")*(MOVIMIENTOS!$A$5:$A$1005&lt;&gt;"")*(MOVIMIENTOS!$A$5:$A$1005&lt;=$A487)*MOVIMIENTOS!$E$5:$E$1005))</f>
        <v/>
      </c>
      <c r="G487" s="62" t="str">
        <f t="shared" si="15"/>
        <v/>
      </c>
      <c r="H487" t="str">
        <f>IF($A487="","",SUMPRODUCT((((MOVIMIENTOS!$B$5:$B$1005="SALDO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487)*MOVIMIENTOS!$J$5:$J$1005))</f>
        <v/>
      </c>
      <c r="J487" t="str">
        <f>IF(AND(MOVIMIENTOS!$A492&lt;&gt;"",COUNTIF(MOVIMIENTOS!$A$5:$A491,MOVIMIENTOS!$A492)=0),COUNT(J$4:J486)+1,"")</f>
        <v/>
      </c>
      <c r="K487">
        <f>MOVIMIENTOS!$A492</f>
        <v>0</v>
      </c>
    </row>
    <row r="488" spans="1:11" ht="15" customHeight="1" x14ac:dyDescent="0.2">
      <c r="A488" t="str">
        <f t="shared" si="14"/>
        <v/>
      </c>
      <c r="B488" t="str">
        <f>IF($A488="","",SUMPRODUCT((MOVIMIENTOS!$B$5:$B$1005="SALDO INICIAL")*(MOVIMIENTOS!$C$5:$C$1005="A")*(MOVIMIENTOS!$D$5:$D$1005="jabas")*(MOVIMIENTOS!$A$5:$A$1005&lt;&gt;"")*(MOVIMIENTOS!$A$5:$A$1005&lt;=$A488)*MOVIMIENTOS!$E$5:$E$1005)+SUMPRODUCT((MOVIMIENTOS!$B$5:$B$1005="PROCESO")*(MOVIMIENTOS!$C$5:$C$1005="A")*(MOVIMIENTOS!$D$5:$D$1005="jabas")*(MOVIMIENTOS!$A$5:$A$1005&lt;&gt;"")*(MOVIMIENTOS!$A$5:$A$1005&lt;=$A488)*MOVIMIENTOS!$E$5:$E$1005)-SUMPRODUCT((MOVIMIENTOS!$B$5:$B$1005="ENVÍO A SUPESA")*(MOVIMIENTOS!$C$5:$C$1005="A")*(MOVIMIENTOS!$D$5:$D$1005="jabas")*(MOVIMIENTOS!$A$5:$A$1005&lt;&gt;"")*(MOVIMIENTOS!$A$5:$A$1005&lt;=$A488)*MOVIMIENTOS!$E$5:$E$1005)+SUMPRODUCT((MOVIMIENTOS!$B$5:$B$1005="DEVOLUCIÓN")*(MOVIMIENTOS!$C$5:$C$1005="A")*(MOVIMIENTOS!$D$5:$D$1005="jabas")*(MOVIMIENTOS!$A$5:$A$1005&lt;&gt;"")*(MOVIMIENTOS!$A$5:$A$1005&lt;=$A488)*MOVIMIENTOS!$E$5:$E$1005)-SUMPRODUCT((MOVIMIENTOS!$B$5:$B$1005="TRASIEGO")*(MOVIMIENTOS!$C$5:$C$1005="A")*(MOVIMIENTOS!$D$5:$D$1005="jabas")*(MOVIMIENTOS!$A$5:$A$1005&lt;&gt;"")*(MOVIMIENTOS!$A$5:$A$1005&lt;=$A488)*MOVIMIENTOS!$E$5:$E$1005)-SUMPRODUCT((MOVIMIENTOS!$B$5:$B$1005="REGALO")*(MOVIMIENTOS!$C$5:$C$1005="A")*(MOVIMIENTOS!$D$5:$D$1005="jabas")*(MOVIMIENTOS!$A$5:$A$1005&lt;&gt;"")*(MOVIMIENTOS!$A$5:$A$1005&lt;=$A488)*MOVIMIENTOS!$E$5:$E$1005)-SUMPRODUCT((MOVIMIENTOS!$B$5:$B$1005="VENTA")*(MOVIMIENTOS!$C$5:$C$1005="A")*(MOVIMIENTOS!$D$5:$D$1005="jabas")*(MOVIMIENTOS!$A$5:$A$1005&lt;&gt;"")*(MOVIMIENTOS!$A$5:$A$1005&lt;=$A488)*MOVIMIENTOS!$E$5:$E$1005)+SUMPRODUCT((MOVIMIENTOS!$B$5:$B$1005="AJUSTE")*(MOVIMIENTOS!$C$5:$C$1005="A")*(MOVIMIENTOS!$D$5:$D$1005="jabas")*(MOVIMIENTOS!$A$5:$A$1005&lt;&gt;"")*(MOVIMIENTOS!$A$5:$A$1005&lt;=$A488)*MOVIMIENTOS!$E$5:$E$1005))</f>
        <v/>
      </c>
      <c r="C488" t="str">
        <f>IF($A488="","",SUMPRODUCT((MOVIMIENTOS!$B$5:$B$1005="SALDO INICIAL")*(MOVIMIENTOS!$C$5:$C$1005="P")*(MOVIMIENTOS!$D$5:$D$1005="jabas")*(MOVIMIENTOS!$A$5:$A$1005&lt;&gt;"")*(MOVIMIENTOS!$A$5:$A$1005&lt;=$A488)*MOVIMIENTOS!$E$5:$E$1005)+SUMPRODUCT((MOVIMIENTOS!$B$5:$B$1005="PROCESO")*(MOVIMIENTOS!$C$5:$C$1005="P")*(MOVIMIENTOS!$D$5:$D$1005="jabas")*(MOVIMIENTOS!$A$5:$A$1005&lt;&gt;"")*(MOVIMIENTOS!$A$5:$A$1005&lt;=$A488)*MOVIMIENTOS!$E$5:$E$1005)-SUMPRODUCT((MOVIMIENTOS!$B$5:$B$1005="ENVÍO A SUPESA")*(MOVIMIENTOS!$C$5:$C$1005="P")*(MOVIMIENTOS!$D$5:$D$1005="jabas")*(MOVIMIENTOS!$A$5:$A$1005&lt;&gt;"")*(MOVIMIENTOS!$A$5:$A$1005&lt;=$A488)*MOVIMIENTOS!$E$5:$E$1005)+SUMPRODUCT((MOVIMIENTOS!$B$5:$B$1005="DEVOLUCIÓN")*(MOVIMIENTOS!$C$5:$C$1005="P")*(MOVIMIENTOS!$D$5:$D$1005="jabas")*(MOVIMIENTOS!$A$5:$A$1005&lt;&gt;"")*(MOVIMIENTOS!$A$5:$A$1005&lt;=$A488)*MOVIMIENTOS!$E$5:$E$1005)-SUMPRODUCT((MOVIMIENTOS!$B$5:$B$1005="TRASIEGO")*(MOVIMIENTOS!$C$5:$C$1005="P")*(MOVIMIENTOS!$D$5:$D$1005="jabas")*(MOVIMIENTOS!$A$5:$A$1005&lt;&gt;"")*(MOVIMIENTOS!$A$5:$A$1005&lt;=$A488)*MOVIMIENTOS!$E$5:$E$1005)-SUMPRODUCT((MOVIMIENTOS!$B$5:$B$1005="REGALO")*(MOVIMIENTOS!$C$5:$C$1005="P")*(MOVIMIENTOS!$D$5:$D$1005="jabas")*(MOVIMIENTOS!$A$5:$A$1005&lt;&gt;"")*(MOVIMIENTOS!$A$5:$A$1005&lt;=$A488)*MOVIMIENTOS!$E$5:$E$1005)-SUMPRODUCT((MOVIMIENTOS!$B$5:$B$1005="VENTA")*(MOVIMIENTOS!$C$5:$C$1005="P")*(MOVIMIENTOS!$D$5:$D$1005="jabas")*(MOVIMIENTOS!$A$5:$A$1005&lt;&gt;"")*(MOVIMIENTOS!$A$5:$A$1005&lt;=$A488)*MOVIMIENTOS!$E$5:$E$1005)+SUMPRODUCT((MOVIMIENTOS!$B$5:$B$1005="AJUSTE")*(MOVIMIENTOS!$C$5:$C$1005="P")*(MOVIMIENTOS!$D$5:$D$1005="jabas")*(MOVIMIENTOS!$A$5:$A$1005&lt;&gt;"")*(MOVIMIENTOS!$A$5:$A$1005&lt;=$A488)*MOVIMIENTOS!$E$5:$E$1005))</f>
        <v/>
      </c>
      <c r="D488" t="str">
        <f>IF($A488="","",SUMPRODUCT((MOVIMIENTOS!$B$5:$B$1005="SALDO INICIAL")*(MOVIMIENTOS!$C$5:$C$1005="C")*(MOVIMIENTOS!$D$5:$D$1005="jabas")*(MOVIMIENTOS!$A$5:$A$1005&lt;&gt;"")*(MOVIMIENTOS!$A$5:$A$1005&lt;=$A488)*MOVIMIENTOS!$E$5:$E$1005)+SUMPRODUCT((MOVIMIENTOS!$B$5:$B$1005="PROCESO")*(MOVIMIENTOS!$C$5:$C$1005="C")*(MOVIMIENTOS!$D$5:$D$1005="jabas")*(MOVIMIENTOS!$A$5:$A$1005&lt;&gt;"")*(MOVIMIENTOS!$A$5:$A$1005&lt;=$A488)*MOVIMIENTOS!$E$5:$E$1005)-SUMPRODUCT((MOVIMIENTOS!$B$5:$B$1005="ENVÍO A SUPESA")*(MOVIMIENTOS!$C$5:$C$1005="C")*(MOVIMIENTOS!$D$5:$D$1005="jabas")*(MOVIMIENTOS!$A$5:$A$1005&lt;&gt;"")*(MOVIMIENTOS!$A$5:$A$1005&lt;=$A488)*MOVIMIENTOS!$E$5:$E$1005)+SUMPRODUCT((MOVIMIENTOS!$B$5:$B$1005="DEVOLUCIÓN")*(MOVIMIENTOS!$C$5:$C$1005="C")*(MOVIMIENTOS!$D$5:$D$1005="jabas")*(MOVIMIENTOS!$A$5:$A$1005&lt;&gt;"")*(MOVIMIENTOS!$A$5:$A$1005&lt;=$A488)*MOVIMIENTOS!$E$5:$E$1005)-SUMPRODUCT((MOVIMIENTOS!$B$5:$B$1005="TRASIEGO")*(MOVIMIENTOS!$C$5:$C$1005="C")*(MOVIMIENTOS!$D$5:$D$1005="jabas")*(MOVIMIENTOS!$A$5:$A$1005&lt;&gt;"")*(MOVIMIENTOS!$A$5:$A$1005&lt;=$A488)*MOVIMIENTOS!$E$5:$E$1005)-SUMPRODUCT((MOVIMIENTOS!$B$5:$B$1005="REGALO")*(MOVIMIENTOS!$C$5:$C$1005="C")*(MOVIMIENTOS!$D$5:$D$1005="jabas")*(MOVIMIENTOS!$A$5:$A$1005&lt;&gt;"")*(MOVIMIENTOS!$A$5:$A$1005&lt;=$A488)*MOVIMIENTOS!$E$5:$E$1005)-SUMPRODUCT((MOVIMIENTOS!$B$5:$B$1005="VENTA")*(MOVIMIENTOS!$C$5:$C$1005="C")*(MOVIMIENTOS!$D$5:$D$1005="jabas")*(MOVIMIENTOS!$A$5:$A$1005&lt;&gt;"")*(MOVIMIENTOS!$A$5:$A$1005&lt;=$A488)*MOVIMIENTOS!$E$5:$E$1005)+SUMPRODUCT((MOVIMIENTOS!$B$5:$B$1005="AJUSTE")*(MOVIMIENTOS!$C$5:$C$1005="C")*(MOVIMIENTOS!$D$5:$D$1005="jabas")*(MOVIMIENTOS!$A$5:$A$1005&lt;&gt;"")*(MOVIMIENTOS!$A$5:$A$1005&lt;=$A488)*MOVIMIENTOS!$E$5:$E$1005))</f>
        <v/>
      </c>
      <c r="E488" t="str">
        <f>IF($A488="","",SUMPRODUCT((MOVIMIENTOS!$B$5:$B$1005="SALDO INICIAL")*(MOVIMIENTOS!$C$5:$C$1005="M")*(MOVIMIENTOS!$D$5:$D$1005="jabas")*(MOVIMIENTOS!$A$5:$A$1005&lt;&gt;"")*(MOVIMIENTOS!$A$5:$A$1005&lt;=$A488)*MOVIMIENTOS!$E$5:$E$1005)+SUMPRODUCT((MOVIMIENTOS!$B$5:$B$1005="PROCESO")*(MOVIMIENTOS!$C$5:$C$1005="M")*(MOVIMIENTOS!$D$5:$D$1005="jabas")*(MOVIMIENTOS!$A$5:$A$1005&lt;&gt;"")*(MOVIMIENTOS!$A$5:$A$1005&lt;=$A488)*MOVIMIENTOS!$E$5:$E$1005)-SUMPRODUCT((MOVIMIENTOS!$B$5:$B$1005="ENVÍO A SUPESA")*(MOVIMIENTOS!$C$5:$C$1005="M")*(MOVIMIENTOS!$D$5:$D$1005="jabas")*(MOVIMIENTOS!$A$5:$A$1005&lt;&gt;"")*(MOVIMIENTOS!$A$5:$A$1005&lt;=$A488)*MOVIMIENTOS!$E$5:$E$1005)+SUMPRODUCT((MOVIMIENTOS!$B$5:$B$1005="DEVOLUCIÓN")*(MOVIMIENTOS!$C$5:$C$1005="M")*(MOVIMIENTOS!$D$5:$D$1005="jabas")*(MOVIMIENTOS!$A$5:$A$1005&lt;&gt;"")*(MOVIMIENTOS!$A$5:$A$1005&lt;=$A488)*MOVIMIENTOS!$E$5:$E$1005)-SUMPRODUCT((MOVIMIENTOS!$B$5:$B$1005="TRASIEGO")*(MOVIMIENTOS!$C$5:$C$1005="M")*(MOVIMIENTOS!$D$5:$D$1005="jabas")*(MOVIMIENTOS!$A$5:$A$1005&lt;&gt;"")*(MOVIMIENTOS!$A$5:$A$1005&lt;=$A488)*MOVIMIENTOS!$E$5:$E$1005)-SUMPRODUCT((MOVIMIENTOS!$B$5:$B$1005="REGALO")*(MOVIMIENTOS!$C$5:$C$1005="M")*(MOVIMIENTOS!$D$5:$D$1005="jabas")*(MOVIMIENTOS!$A$5:$A$1005&lt;&gt;"")*(MOVIMIENTOS!$A$5:$A$1005&lt;=$A488)*MOVIMIENTOS!$E$5:$E$1005)-SUMPRODUCT((MOVIMIENTOS!$B$5:$B$1005="VENTA")*(MOVIMIENTOS!$C$5:$C$1005="M")*(MOVIMIENTOS!$D$5:$D$1005="jabas")*(MOVIMIENTOS!$A$5:$A$1005&lt;&gt;"")*(MOVIMIENTOS!$A$5:$A$1005&lt;=$A488)*MOVIMIENTOS!$E$5:$E$1005)+SUMPRODUCT((MOVIMIENTOS!$B$5:$B$1005="AJUSTE")*(MOVIMIENTOS!$C$5:$C$1005="M")*(MOVIMIENTOS!$D$5:$D$1005="jabas")*(MOVIMIENTOS!$A$5:$A$1005&lt;&gt;"")*(MOVIMIENTOS!$A$5:$A$1005&lt;=$A488)*MOVIMIENTOS!$E$5:$E$1005))</f>
        <v/>
      </c>
      <c r="F488" s="62" t="str">
        <f>IF($A488="","",SUMPRODUCT((MOVIMIENTOS!$B$5:$B$1005="SALDO INICIAL")*(MOVIMIENTOS!$C$5:$C$1005="Chancho")*(MOVIMIENTOS!$D$5:$D$1005="sacos")*(MOVIMIENTOS!$A$5:$A$1005&lt;&gt;"")*(MOVIMIENTOS!$A$5:$A$1005&lt;=$A488)*MOVIMIENTOS!$E$5:$E$1005)+SUMPRODUCT((MOVIMIENTOS!$B$5:$B$1005="PROCESO")*(MOVIMIENTOS!$C$5:$C$1005="Chancho")*(MOVIMIENTOS!$D$5:$D$1005="sacos")*(MOVIMIENTOS!$A$5:$A$1005&lt;&gt;"")*(MOVIMIENTOS!$A$5:$A$1005&lt;=$A488)*MOVIMIENTOS!$E$5:$E$1005)-SUMPRODUCT((MOVIMIENTOS!$B$5:$B$1005="VENTA CHANCHO")*(MOVIMIENTOS!$C$5:$C$1005="Chancho")*(MOVIMIENTOS!$D$5:$D$1005="sacos")*(MOVIMIENTOS!$A$5:$A$1005&lt;&gt;"")*(MOVIMIENTOS!$A$5:$A$1005&lt;=$A488)*MOVIMIENTOS!$E$5:$E$1005)-SUMPRODUCT((MOVIMIENTOS!$B$5:$B$1005="REGALO")*(MOVIMIENTOS!$C$5:$C$1005="Chancho")*(MOVIMIENTOS!$D$5:$D$1005="sacos")*(MOVIMIENTOS!$A$5:$A$1005&lt;&gt;"")*(MOVIMIENTOS!$A$5:$A$1005&lt;=$A488)*MOVIMIENTOS!$E$5:$E$1005)-SUMPRODUCT((MOVIMIENTOS!$B$5:$B$1005="VENTA")*(MOVIMIENTOS!$C$5:$C$1005="Chancho")*(MOVIMIENTOS!$D$5:$D$1005="sacos")*(MOVIMIENTOS!$A$5:$A$1005&lt;&gt;"")*(MOVIMIENTOS!$A$5:$A$1005&lt;=$A488)*MOVIMIENTOS!$E$5:$E$1005)+SUMPRODUCT((MOVIMIENTOS!$B$5:$B$1005="AJUSTE")*(MOVIMIENTOS!$C$5:$C$1005="Chancho")*(MOVIMIENTOS!$D$5:$D$1005="sacos")*(MOVIMIENTOS!$A$5:$A$1005&lt;&gt;"")*(MOVIMIENTOS!$A$5:$A$1005&lt;=$A488)*MOVIMIENTOS!$E$5:$E$1005))</f>
        <v/>
      </c>
      <c r="G488" s="62" t="str">
        <f t="shared" si="15"/>
        <v/>
      </c>
      <c r="H488" t="str">
        <f>IF($A488="","",SUMPRODUCT((((MOVIMIENTOS!$B$5:$B$1005="SALDO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488)*MOVIMIENTOS!$J$5:$J$1005))</f>
        <v/>
      </c>
      <c r="J488" t="str">
        <f>IF(AND(MOVIMIENTOS!$A493&lt;&gt;"",COUNTIF(MOVIMIENTOS!$A$5:$A492,MOVIMIENTOS!$A493)=0),COUNT(J$4:J487)+1,"")</f>
        <v/>
      </c>
      <c r="K488">
        <f>MOVIMIENTOS!$A493</f>
        <v>0</v>
      </c>
    </row>
    <row r="489" spans="1:11" ht="15" customHeight="1" x14ac:dyDescent="0.2">
      <c r="A489" t="str">
        <f t="shared" si="14"/>
        <v/>
      </c>
      <c r="B489" t="str">
        <f>IF($A489="","",SUMPRODUCT((MOVIMIENTOS!$B$5:$B$1005="SALDO INICIAL")*(MOVIMIENTOS!$C$5:$C$1005="A")*(MOVIMIENTOS!$D$5:$D$1005="jabas")*(MOVIMIENTOS!$A$5:$A$1005&lt;&gt;"")*(MOVIMIENTOS!$A$5:$A$1005&lt;=$A489)*MOVIMIENTOS!$E$5:$E$1005)+SUMPRODUCT((MOVIMIENTOS!$B$5:$B$1005="PROCESO")*(MOVIMIENTOS!$C$5:$C$1005="A")*(MOVIMIENTOS!$D$5:$D$1005="jabas")*(MOVIMIENTOS!$A$5:$A$1005&lt;&gt;"")*(MOVIMIENTOS!$A$5:$A$1005&lt;=$A489)*MOVIMIENTOS!$E$5:$E$1005)-SUMPRODUCT((MOVIMIENTOS!$B$5:$B$1005="ENVÍO A SUPESA")*(MOVIMIENTOS!$C$5:$C$1005="A")*(MOVIMIENTOS!$D$5:$D$1005="jabas")*(MOVIMIENTOS!$A$5:$A$1005&lt;&gt;"")*(MOVIMIENTOS!$A$5:$A$1005&lt;=$A489)*MOVIMIENTOS!$E$5:$E$1005)+SUMPRODUCT((MOVIMIENTOS!$B$5:$B$1005="DEVOLUCIÓN")*(MOVIMIENTOS!$C$5:$C$1005="A")*(MOVIMIENTOS!$D$5:$D$1005="jabas")*(MOVIMIENTOS!$A$5:$A$1005&lt;&gt;"")*(MOVIMIENTOS!$A$5:$A$1005&lt;=$A489)*MOVIMIENTOS!$E$5:$E$1005)-SUMPRODUCT((MOVIMIENTOS!$B$5:$B$1005="TRASIEGO")*(MOVIMIENTOS!$C$5:$C$1005="A")*(MOVIMIENTOS!$D$5:$D$1005="jabas")*(MOVIMIENTOS!$A$5:$A$1005&lt;&gt;"")*(MOVIMIENTOS!$A$5:$A$1005&lt;=$A489)*MOVIMIENTOS!$E$5:$E$1005)-SUMPRODUCT((MOVIMIENTOS!$B$5:$B$1005="REGALO")*(MOVIMIENTOS!$C$5:$C$1005="A")*(MOVIMIENTOS!$D$5:$D$1005="jabas")*(MOVIMIENTOS!$A$5:$A$1005&lt;&gt;"")*(MOVIMIENTOS!$A$5:$A$1005&lt;=$A489)*MOVIMIENTOS!$E$5:$E$1005)-SUMPRODUCT((MOVIMIENTOS!$B$5:$B$1005="VENTA")*(MOVIMIENTOS!$C$5:$C$1005="A")*(MOVIMIENTOS!$D$5:$D$1005="jabas")*(MOVIMIENTOS!$A$5:$A$1005&lt;&gt;"")*(MOVIMIENTOS!$A$5:$A$1005&lt;=$A489)*MOVIMIENTOS!$E$5:$E$1005)+SUMPRODUCT((MOVIMIENTOS!$B$5:$B$1005="AJUSTE")*(MOVIMIENTOS!$C$5:$C$1005="A")*(MOVIMIENTOS!$D$5:$D$1005="jabas")*(MOVIMIENTOS!$A$5:$A$1005&lt;&gt;"")*(MOVIMIENTOS!$A$5:$A$1005&lt;=$A489)*MOVIMIENTOS!$E$5:$E$1005))</f>
        <v/>
      </c>
      <c r="C489" t="str">
        <f>IF($A489="","",SUMPRODUCT((MOVIMIENTOS!$B$5:$B$1005="SALDO INICIAL")*(MOVIMIENTOS!$C$5:$C$1005="P")*(MOVIMIENTOS!$D$5:$D$1005="jabas")*(MOVIMIENTOS!$A$5:$A$1005&lt;&gt;"")*(MOVIMIENTOS!$A$5:$A$1005&lt;=$A489)*MOVIMIENTOS!$E$5:$E$1005)+SUMPRODUCT((MOVIMIENTOS!$B$5:$B$1005="PROCESO")*(MOVIMIENTOS!$C$5:$C$1005="P")*(MOVIMIENTOS!$D$5:$D$1005="jabas")*(MOVIMIENTOS!$A$5:$A$1005&lt;&gt;"")*(MOVIMIENTOS!$A$5:$A$1005&lt;=$A489)*MOVIMIENTOS!$E$5:$E$1005)-SUMPRODUCT((MOVIMIENTOS!$B$5:$B$1005="ENVÍO A SUPESA")*(MOVIMIENTOS!$C$5:$C$1005="P")*(MOVIMIENTOS!$D$5:$D$1005="jabas")*(MOVIMIENTOS!$A$5:$A$1005&lt;&gt;"")*(MOVIMIENTOS!$A$5:$A$1005&lt;=$A489)*MOVIMIENTOS!$E$5:$E$1005)+SUMPRODUCT((MOVIMIENTOS!$B$5:$B$1005="DEVOLUCIÓN")*(MOVIMIENTOS!$C$5:$C$1005="P")*(MOVIMIENTOS!$D$5:$D$1005="jabas")*(MOVIMIENTOS!$A$5:$A$1005&lt;&gt;"")*(MOVIMIENTOS!$A$5:$A$1005&lt;=$A489)*MOVIMIENTOS!$E$5:$E$1005)-SUMPRODUCT((MOVIMIENTOS!$B$5:$B$1005="TRASIEGO")*(MOVIMIENTOS!$C$5:$C$1005="P")*(MOVIMIENTOS!$D$5:$D$1005="jabas")*(MOVIMIENTOS!$A$5:$A$1005&lt;&gt;"")*(MOVIMIENTOS!$A$5:$A$1005&lt;=$A489)*MOVIMIENTOS!$E$5:$E$1005)-SUMPRODUCT((MOVIMIENTOS!$B$5:$B$1005="REGALO")*(MOVIMIENTOS!$C$5:$C$1005="P")*(MOVIMIENTOS!$D$5:$D$1005="jabas")*(MOVIMIENTOS!$A$5:$A$1005&lt;&gt;"")*(MOVIMIENTOS!$A$5:$A$1005&lt;=$A489)*MOVIMIENTOS!$E$5:$E$1005)-SUMPRODUCT((MOVIMIENTOS!$B$5:$B$1005="VENTA")*(MOVIMIENTOS!$C$5:$C$1005="P")*(MOVIMIENTOS!$D$5:$D$1005="jabas")*(MOVIMIENTOS!$A$5:$A$1005&lt;&gt;"")*(MOVIMIENTOS!$A$5:$A$1005&lt;=$A489)*MOVIMIENTOS!$E$5:$E$1005)+SUMPRODUCT((MOVIMIENTOS!$B$5:$B$1005="AJUSTE")*(MOVIMIENTOS!$C$5:$C$1005="P")*(MOVIMIENTOS!$D$5:$D$1005="jabas")*(MOVIMIENTOS!$A$5:$A$1005&lt;&gt;"")*(MOVIMIENTOS!$A$5:$A$1005&lt;=$A489)*MOVIMIENTOS!$E$5:$E$1005))</f>
        <v/>
      </c>
      <c r="D489" t="str">
        <f>IF($A489="","",SUMPRODUCT((MOVIMIENTOS!$B$5:$B$1005="SALDO INICIAL")*(MOVIMIENTOS!$C$5:$C$1005="C")*(MOVIMIENTOS!$D$5:$D$1005="jabas")*(MOVIMIENTOS!$A$5:$A$1005&lt;&gt;"")*(MOVIMIENTOS!$A$5:$A$1005&lt;=$A489)*MOVIMIENTOS!$E$5:$E$1005)+SUMPRODUCT((MOVIMIENTOS!$B$5:$B$1005="PROCESO")*(MOVIMIENTOS!$C$5:$C$1005="C")*(MOVIMIENTOS!$D$5:$D$1005="jabas")*(MOVIMIENTOS!$A$5:$A$1005&lt;&gt;"")*(MOVIMIENTOS!$A$5:$A$1005&lt;=$A489)*MOVIMIENTOS!$E$5:$E$1005)-SUMPRODUCT((MOVIMIENTOS!$B$5:$B$1005="ENVÍO A SUPESA")*(MOVIMIENTOS!$C$5:$C$1005="C")*(MOVIMIENTOS!$D$5:$D$1005="jabas")*(MOVIMIENTOS!$A$5:$A$1005&lt;&gt;"")*(MOVIMIENTOS!$A$5:$A$1005&lt;=$A489)*MOVIMIENTOS!$E$5:$E$1005)+SUMPRODUCT((MOVIMIENTOS!$B$5:$B$1005="DEVOLUCIÓN")*(MOVIMIENTOS!$C$5:$C$1005="C")*(MOVIMIENTOS!$D$5:$D$1005="jabas")*(MOVIMIENTOS!$A$5:$A$1005&lt;&gt;"")*(MOVIMIENTOS!$A$5:$A$1005&lt;=$A489)*MOVIMIENTOS!$E$5:$E$1005)-SUMPRODUCT((MOVIMIENTOS!$B$5:$B$1005="TRASIEGO")*(MOVIMIENTOS!$C$5:$C$1005="C")*(MOVIMIENTOS!$D$5:$D$1005="jabas")*(MOVIMIENTOS!$A$5:$A$1005&lt;&gt;"")*(MOVIMIENTOS!$A$5:$A$1005&lt;=$A489)*MOVIMIENTOS!$E$5:$E$1005)-SUMPRODUCT((MOVIMIENTOS!$B$5:$B$1005="REGALO")*(MOVIMIENTOS!$C$5:$C$1005="C")*(MOVIMIENTOS!$D$5:$D$1005="jabas")*(MOVIMIENTOS!$A$5:$A$1005&lt;&gt;"")*(MOVIMIENTOS!$A$5:$A$1005&lt;=$A489)*MOVIMIENTOS!$E$5:$E$1005)-SUMPRODUCT((MOVIMIENTOS!$B$5:$B$1005="VENTA")*(MOVIMIENTOS!$C$5:$C$1005="C")*(MOVIMIENTOS!$D$5:$D$1005="jabas")*(MOVIMIENTOS!$A$5:$A$1005&lt;&gt;"")*(MOVIMIENTOS!$A$5:$A$1005&lt;=$A489)*MOVIMIENTOS!$E$5:$E$1005)+SUMPRODUCT((MOVIMIENTOS!$B$5:$B$1005="AJUSTE")*(MOVIMIENTOS!$C$5:$C$1005="C")*(MOVIMIENTOS!$D$5:$D$1005="jabas")*(MOVIMIENTOS!$A$5:$A$1005&lt;&gt;"")*(MOVIMIENTOS!$A$5:$A$1005&lt;=$A489)*MOVIMIENTOS!$E$5:$E$1005))</f>
        <v/>
      </c>
      <c r="E489" t="str">
        <f>IF($A489="","",SUMPRODUCT((MOVIMIENTOS!$B$5:$B$1005="SALDO INICIAL")*(MOVIMIENTOS!$C$5:$C$1005="M")*(MOVIMIENTOS!$D$5:$D$1005="jabas")*(MOVIMIENTOS!$A$5:$A$1005&lt;&gt;"")*(MOVIMIENTOS!$A$5:$A$1005&lt;=$A489)*MOVIMIENTOS!$E$5:$E$1005)+SUMPRODUCT((MOVIMIENTOS!$B$5:$B$1005="PROCESO")*(MOVIMIENTOS!$C$5:$C$1005="M")*(MOVIMIENTOS!$D$5:$D$1005="jabas")*(MOVIMIENTOS!$A$5:$A$1005&lt;&gt;"")*(MOVIMIENTOS!$A$5:$A$1005&lt;=$A489)*MOVIMIENTOS!$E$5:$E$1005)-SUMPRODUCT((MOVIMIENTOS!$B$5:$B$1005="ENVÍO A SUPESA")*(MOVIMIENTOS!$C$5:$C$1005="M")*(MOVIMIENTOS!$D$5:$D$1005="jabas")*(MOVIMIENTOS!$A$5:$A$1005&lt;&gt;"")*(MOVIMIENTOS!$A$5:$A$1005&lt;=$A489)*MOVIMIENTOS!$E$5:$E$1005)+SUMPRODUCT((MOVIMIENTOS!$B$5:$B$1005="DEVOLUCIÓN")*(MOVIMIENTOS!$C$5:$C$1005="M")*(MOVIMIENTOS!$D$5:$D$1005="jabas")*(MOVIMIENTOS!$A$5:$A$1005&lt;&gt;"")*(MOVIMIENTOS!$A$5:$A$1005&lt;=$A489)*MOVIMIENTOS!$E$5:$E$1005)-SUMPRODUCT((MOVIMIENTOS!$B$5:$B$1005="TRASIEGO")*(MOVIMIENTOS!$C$5:$C$1005="M")*(MOVIMIENTOS!$D$5:$D$1005="jabas")*(MOVIMIENTOS!$A$5:$A$1005&lt;&gt;"")*(MOVIMIENTOS!$A$5:$A$1005&lt;=$A489)*MOVIMIENTOS!$E$5:$E$1005)-SUMPRODUCT((MOVIMIENTOS!$B$5:$B$1005="REGALO")*(MOVIMIENTOS!$C$5:$C$1005="M")*(MOVIMIENTOS!$D$5:$D$1005="jabas")*(MOVIMIENTOS!$A$5:$A$1005&lt;&gt;"")*(MOVIMIENTOS!$A$5:$A$1005&lt;=$A489)*MOVIMIENTOS!$E$5:$E$1005)-SUMPRODUCT((MOVIMIENTOS!$B$5:$B$1005="VENTA")*(MOVIMIENTOS!$C$5:$C$1005="M")*(MOVIMIENTOS!$D$5:$D$1005="jabas")*(MOVIMIENTOS!$A$5:$A$1005&lt;&gt;"")*(MOVIMIENTOS!$A$5:$A$1005&lt;=$A489)*MOVIMIENTOS!$E$5:$E$1005)+SUMPRODUCT((MOVIMIENTOS!$B$5:$B$1005="AJUSTE")*(MOVIMIENTOS!$C$5:$C$1005="M")*(MOVIMIENTOS!$D$5:$D$1005="jabas")*(MOVIMIENTOS!$A$5:$A$1005&lt;&gt;"")*(MOVIMIENTOS!$A$5:$A$1005&lt;=$A489)*MOVIMIENTOS!$E$5:$E$1005))</f>
        <v/>
      </c>
      <c r="F489" s="62" t="str">
        <f>IF($A489="","",SUMPRODUCT((MOVIMIENTOS!$B$5:$B$1005="SALDO INICIAL")*(MOVIMIENTOS!$C$5:$C$1005="Chancho")*(MOVIMIENTOS!$D$5:$D$1005="sacos")*(MOVIMIENTOS!$A$5:$A$1005&lt;&gt;"")*(MOVIMIENTOS!$A$5:$A$1005&lt;=$A489)*MOVIMIENTOS!$E$5:$E$1005)+SUMPRODUCT((MOVIMIENTOS!$B$5:$B$1005="PROCESO")*(MOVIMIENTOS!$C$5:$C$1005="Chancho")*(MOVIMIENTOS!$D$5:$D$1005="sacos")*(MOVIMIENTOS!$A$5:$A$1005&lt;&gt;"")*(MOVIMIENTOS!$A$5:$A$1005&lt;=$A489)*MOVIMIENTOS!$E$5:$E$1005)-SUMPRODUCT((MOVIMIENTOS!$B$5:$B$1005="VENTA CHANCHO")*(MOVIMIENTOS!$C$5:$C$1005="Chancho")*(MOVIMIENTOS!$D$5:$D$1005="sacos")*(MOVIMIENTOS!$A$5:$A$1005&lt;&gt;"")*(MOVIMIENTOS!$A$5:$A$1005&lt;=$A489)*MOVIMIENTOS!$E$5:$E$1005)-SUMPRODUCT((MOVIMIENTOS!$B$5:$B$1005="REGALO")*(MOVIMIENTOS!$C$5:$C$1005="Chancho")*(MOVIMIENTOS!$D$5:$D$1005="sacos")*(MOVIMIENTOS!$A$5:$A$1005&lt;&gt;"")*(MOVIMIENTOS!$A$5:$A$1005&lt;=$A489)*MOVIMIENTOS!$E$5:$E$1005)-SUMPRODUCT((MOVIMIENTOS!$B$5:$B$1005="VENTA")*(MOVIMIENTOS!$C$5:$C$1005="Chancho")*(MOVIMIENTOS!$D$5:$D$1005="sacos")*(MOVIMIENTOS!$A$5:$A$1005&lt;&gt;"")*(MOVIMIENTOS!$A$5:$A$1005&lt;=$A489)*MOVIMIENTOS!$E$5:$E$1005)+SUMPRODUCT((MOVIMIENTOS!$B$5:$B$1005="AJUSTE")*(MOVIMIENTOS!$C$5:$C$1005="Chancho")*(MOVIMIENTOS!$D$5:$D$1005="sacos")*(MOVIMIENTOS!$A$5:$A$1005&lt;&gt;"")*(MOVIMIENTOS!$A$5:$A$1005&lt;=$A489)*MOVIMIENTOS!$E$5:$E$1005))</f>
        <v/>
      </c>
      <c r="G489" s="62" t="str">
        <f t="shared" si="15"/>
        <v/>
      </c>
      <c r="H489" t="str">
        <f>IF($A489="","",SUMPRODUCT((((MOVIMIENTOS!$B$5:$B$1005="SALDO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489)*MOVIMIENTOS!$J$5:$J$1005))</f>
        <v/>
      </c>
      <c r="J489" t="str">
        <f>IF(AND(MOVIMIENTOS!$A494&lt;&gt;"",COUNTIF(MOVIMIENTOS!$A$5:$A493,MOVIMIENTOS!$A494)=0),COUNT(J$4:J488)+1,"")</f>
        <v/>
      </c>
      <c r="K489">
        <f>MOVIMIENTOS!$A494</f>
        <v>0</v>
      </c>
    </row>
    <row r="490" spans="1:11" ht="15" customHeight="1" x14ac:dyDescent="0.2">
      <c r="A490" t="str">
        <f t="shared" si="14"/>
        <v/>
      </c>
      <c r="B490" t="str">
        <f>IF($A490="","",SUMPRODUCT((MOVIMIENTOS!$B$5:$B$1005="SALDO INICIAL")*(MOVIMIENTOS!$C$5:$C$1005="A")*(MOVIMIENTOS!$D$5:$D$1005="jabas")*(MOVIMIENTOS!$A$5:$A$1005&lt;&gt;"")*(MOVIMIENTOS!$A$5:$A$1005&lt;=$A490)*MOVIMIENTOS!$E$5:$E$1005)+SUMPRODUCT((MOVIMIENTOS!$B$5:$B$1005="PROCESO")*(MOVIMIENTOS!$C$5:$C$1005="A")*(MOVIMIENTOS!$D$5:$D$1005="jabas")*(MOVIMIENTOS!$A$5:$A$1005&lt;&gt;"")*(MOVIMIENTOS!$A$5:$A$1005&lt;=$A490)*MOVIMIENTOS!$E$5:$E$1005)-SUMPRODUCT((MOVIMIENTOS!$B$5:$B$1005="ENVÍO A SUPESA")*(MOVIMIENTOS!$C$5:$C$1005="A")*(MOVIMIENTOS!$D$5:$D$1005="jabas")*(MOVIMIENTOS!$A$5:$A$1005&lt;&gt;"")*(MOVIMIENTOS!$A$5:$A$1005&lt;=$A490)*MOVIMIENTOS!$E$5:$E$1005)+SUMPRODUCT((MOVIMIENTOS!$B$5:$B$1005="DEVOLUCIÓN")*(MOVIMIENTOS!$C$5:$C$1005="A")*(MOVIMIENTOS!$D$5:$D$1005="jabas")*(MOVIMIENTOS!$A$5:$A$1005&lt;&gt;"")*(MOVIMIENTOS!$A$5:$A$1005&lt;=$A490)*MOVIMIENTOS!$E$5:$E$1005)-SUMPRODUCT((MOVIMIENTOS!$B$5:$B$1005="TRASIEGO")*(MOVIMIENTOS!$C$5:$C$1005="A")*(MOVIMIENTOS!$D$5:$D$1005="jabas")*(MOVIMIENTOS!$A$5:$A$1005&lt;&gt;"")*(MOVIMIENTOS!$A$5:$A$1005&lt;=$A490)*MOVIMIENTOS!$E$5:$E$1005)-SUMPRODUCT((MOVIMIENTOS!$B$5:$B$1005="REGALO")*(MOVIMIENTOS!$C$5:$C$1005="A")*(MOVIMIENTOS!$D$5:$D$1005="jabas")*(MOVIMIENTOS!$A$5:$A$1005&lt;&gt;"")*(MOVIMIENTOS!$A$5:$A$1005&lt;=$A490)*MOVIMIENTOS!$E$5:$E$1005)-SUMPRODUCT((MOVIMIENTOS!$B$5:$B$1005="VENTA")*(MOVIMIENTOS!$C$5:$C$1005="A")*(MOVIMIENTOS!$D$5:$D$1005="jabas")*(MOVIMIENTOS!$A$5:$A$1005&lt;&gt;"")*(MOVIMIENTOS!$A$5:$A$1005&lt;=$A490)*MOVIMIENTOS!$E$5:$E$1005)+SUMPRODUCT((MOVIMIENTOS!$B$5:$B$1005="AJUSTE")*(MOVIMIENTOS!$C$5:$C$1005="A")*(MOVIMIENTOS!$D$5:$D$1005="jabas")*(MOVIMIENTOS!$A$5:$A$1005&lt;&gt;"")*(MOVIMIENTOS!$A$5:$A$1005&lt;=$A490)*MOVIMIENTOS!$E$5:$E$1005))</f>
        <v/>
      </c>
      <c r="C490" t="str">
        <f>IF($A490="","",SUMPRODUCT((MOVIMIENTOS!$B$5:$B$1005="SALDO INICIAL")*(MOVIMIENTOS!$C$5:$C$1005="P")*(MOVIMIENTOS!$D$5:$D$1005="jabas")*(MOVIMIENTOS!$A$5:$A$1005&lt;&gt;"")*(MOVIMIENTOS!$A$5:$A$1005&lt;=$A490)*MOVIMIENTOS!$E$5:$E$1005)+SUMPRODUCT((MOVIMIENTOS!$B$5:$B$1005="PROCESO")*(MOVIMIENTOS!$C$5:$C$1005="P")*(MOVIMIENTOS!$D$5:$D$1005="jabas")*(MOVIMIENTOS!$A$5:$A$1005&lt;&gt;"")*(MOVIMIENTOS!$A$5:$A$1005&lt;=$A490)*MOVIMIENTOS!$E$5:$E$1005)-SUMPRODUCT((MOVIMIENTOS!$B$5:$B$1005="ENVÍO A SUPESA")*(MOVIMIENTOS!$C$5:$C$1005="P")*(MOVIMIENTOS!$D$5:$D$1005="jabas")*(MOVIMIENTOS!$A$5:$A$1005&lt;&gt;"")*(MOVIMIENTOS!$A$5:$A$1005&lt;=$A490)*MOVIMIENTOS!$E$5:$E$1005)+SUMPRODUCT((MOVIMIENTOS!$B$5:$B$1005="DEVOLUCIÓN")*(MOVIMIENTOS!$C$5:$C$1005="P")*(MOVIMIENTOS!$D$5:$D$1005="jabas")*(MOVIMIENTOS!$A$5:$A$1005&lt;&gt;"")*(MOVIMIENTOS!$A$5:$A$1005&lt;=$A490)*MOVIMIENTOS!$E$5:$E$1005)-SUMPRODUCT((MOVIMIENTOS!$B$5:$B$1005="TRASIEGO")*(MOVIMIENTOS!$C$5:$C$1005="P")*(MOVIMIENTOS!$D$5:$D$1005="jabas")*(MOVIMIENTOS!$A$5:$A$1005&lt;&gt;"")*(MOVIMIENTOS!$A$5:$A$1005&lt;=$A490)*MOVIMIENTOS!$E$5:$E$1005)-SUMPRODUCT((MOVIMIENTOS!$B$5:$B$1005="REGALO")*(MOVIMIENTOS!$C$5:$C$1005="P")*(MOVIMIENTOS!$D$5:$D$1005="jabas")*(MOVIMIENTOS!$A$5:$A$1005&lt;&gt;"")*(MOVIMIENTOS!$A$5:$A$1005&lt;=$A490)*MOVIMIENTOS!$E$5:$E$1005)-SUMPRODUCT((MOVIMIENTOS!$B$5:$B$1005="VENTA")*(MOVIMIENTOS!$C$5:$C$1005="P")*(MOVIMIENTOS!$D$5:$D$1005="jabas")*(MOVIMIENTOS!$A$5:$A$1005&lt;&gt;"")*(MOVIMIENTOS!$A$5:$A$1005&lt;=$A490)*MOVIMIENTOS!$E$5:$E$1005)+SUMPRODUCT((MOVIMIENTOS!$B$5:$B$1005="AJUSTE")*(MOVIMIENTOS!$C$5:$C$1005="P")*(MOVIMIENTOS!$D$5:$D$1005="jabas")*(MOVIMIENTOS!$A$5:$A$1005&lt;&gt;"")*(MOVIMIENTOS!$A$5:$A$1005&lt;=$A490)*MOVIMIENTOS!$E$5:$E$1005))</f>
        <v/>
      </c>
      <c r="D490" t="str">
        <f>IF($A490="","",SUMPRODUCT((MOVIMIENTOS!$B$5:$B$1005="SALDO INICIAL")*(MOVIMIENTOS!$C$5:$C$1005="C")*(MOVIMIENTOS!$D$5:$D$1005="jabas")*(MOVIMIENTOS!$A$5:$A$1005&lt;&gt;"")*(MOVIMIENTOS!$A$5:$A$1005&lt;=$A490)*MOVIMIENTOS!$E$5:$E$1005)+SUMPRODUCT((MOVIMIENTOS!$B$5:$B$1005="PROCESO")*(MOVIMIENTOS!$C$5:$C$1005="C")*(MOVIMIENTOS!$D$5:$D$1005="jabas")*(MOVIMIENTOS!$A$5:$A$1005&lt;&gt;"")*(MOVIMIENTOS!$A$5:$A$1005&lt;=$A490)*MOVIMIENTOS!$E$5:$E$1005)-SUMPRODUCT((MOVIMIENTOS!$B$5:$B$1005="ENVÍO A SUPESA")*(MOVIMIENTOS!$C$5:$C$1005="C")*(MOVIMIENTOS!$D$5:$D$1005="jabas")*(MOVIMIENTOS!$A$5:$A$1005&lt;&gt;"")*(MOVIMIENTOS!$A$5:$A$1005&lt;=$A490)*MOVIMIENTOS!$E$5:$E$1005)+SUMPRODUCT((MOVIMIENTOS!$B$5:$B$1005="DEVOLUCIÓN")*(MOVIMIENTOS!$C$5:$C$1005="C")*(MOVIMIENTOS!$D$5:$D$1005="jabas")*(MOVIMIENTOS!$A$5:$A$1005&lt;&gt;"")*(MOVIMIENTOS!$A$5:$A$1005&lt;=$A490)*MOVIMIENTOS!$E$5:$E$1005)-SUMPRODUCT((MOVIMIENTOS!$B$5:$B$1005="TRASIEGO")*(MOVIMIENTOS!$C$5:$C$1005="C")*(MOVIMIENTOS!$D$5:$D$1005="jabas")*(MOVIMIENTOS!$A$5:$A$1005&lt;&gt;"")*(MOVIMIENTOS!$A$5:$A$1005&lt;=$A490)*MOVIMIENTOS!$E$5:$E$1005)-SUMPRODUCT((MOVIMIENTOS!$B$5:$B$1005="REGALO")*(MOVIMIENTOS!$C$5:$C$1005="C")*(MOVIMIENTOS!$D$5:$D$1005="jabas")*(MOVIMIENTOS!$A$5:$A$1005&lt;&gt;"")*(MOVIMIENTOS!$A$5:$A$1005&lt;=$A490)*MOVIMIENTOS!$E$5:$E$1005)-SUMPRODUCT((MOVIMIENTOS!$B$5:$B$1005="VENTA")*(MOVIMIENTOS!$C$5:$C$1005="C")*(MOVIMIENTOS!$D$5:$D$1005="jabas")*(MOVIMIENTOS!$A$5:$A$1005&lt;&gt;"")*(MOVIMIENTOS!$A$5:$A$1005&lt;=$A490)*MOVIMIENTOS!$E$5:$E$1005)+SUMPRODUCT((MOVIMIENTOS!$B$5:$B$1005="AJUSTE")*(MOVIMIENTOS!$C$5:$C$1005="C")*(MOVIMIENTOS!$D$5:$D$1005="jabas")*(MOVIMIENTOS!$A$5:$A$1005&lt;&gt;"")*(MOVIMIENTOS!$A$5:$A$1005&lt;=$A490)*MOVIMIENTOS!$E$5:$E$1005))</f>
        <v/>
      </c>
      <c r="E490" t="str">
        <f>IF($A490="","",SUMPRODUCT((MOVIMIENTOS!$B$5:$B$1005="SALDO INICIAL")*(MOVIMIENTOS!$C$5:$C$1005="M")*(MOVIMIENTOS!$D$5:$D$1005="jabas")*(MOVIMIENTOS!$A$5:$A$1005&lt;&gt;"")*(MOVIMIENTOS!$A$5:$A$1005&lt;=$A490)*MOVIMIENTOS!$E$5:$E$1005)+SUMPRODUCT((MOVIMIENTOS!$B$5:$B$1005="PROCESO")*(MOVIMIENTOS!$C$5:$C$1005="M")*(MOVIMIENTOS!$D$5:$D$1005="jabas")*(MOVIMIENTOS!$A$5:$A$1005&lt;&gt;"")*(MOVIMIENTOS!$A$5:$A$1005&lt;=$A490)*MOVIMIENTOS!$E$5:$E$1005)-SUMPRODUCT((MOVIMIENTOS!$B$5:$B$1005="ENVÍO A SUPESA")*(MOVIMIENTOS!$C$5:$C$1005="M")*(MOVIMIENTOS!$D$5:$D$1005="jabas")*(MOVIMIENTOS!$A$5:$A$1005&lt;&gt;"")*(MOVIMIENTOS!$A$5:$A$1005&lt;=$A490)*MOVIMIENTOS!$E$5:$E$1005)+SUMPRODUCT((MOVIMIENTOS!$B$5:$B$1005="DEVOLUCIÓN")*(MOVIMIENTOS!$C$5:$C$1005="M")*(MOVIMIENTOS!$D$5:$D$1005="jabas")*(MOVIMIENTOS!$A$5:$A$1005&lt;&gt;"")*(MOVIMIENTOS!$A$5:$A$1005&lt;=$A490)*MOVIMIENTOS!$E$5:$E$1005)-SUMPRODUCT((MOVIMIENTOS!$B$5:$B$1005="TRASIEGO")*(MOVIMIENTOS!$C$5:$C$1005="M")*(MOVIMIENTOS!$D$5:$D$1005="jabas")*(MOVIMIENTOS!$A$5:$A$1005&lt;&gt;"")*(MOVIMIENTOS!$A$5:$A$1005&lt;=$A490)*MOVIMIENTOS!$E$5:$E$1005)-SUMPRODUCT((MOVIMIENTOS!$B$5:$B$1005="REGALO")*(MOVIMIENTOS!$C$5:$C$1005="M")*(MOVIMIENTOS!$D$5:$D$1005="jabas")*(MOVIMIENTOS!$A$5:$A$1005&lt;&gt;"")*(MOVIMIENTOS!$A$5:$A$1005&lt;=$A490)*MOVIMIENTOS!$E$5:$E$1005)-SUMPRODUCT((MOVIMIENTOS!$B$5:$B$1005="VENTA")*(MOVIMIENTOS!$C$5:$C$1005="M")*(MOVIMIENTOS!$D$5:$D$1005="jabas")*(MOVIMIENTOS!$A$5:$A$1005&lt;&gt;"")*(MOVIMIENTOS!$A$5:$A$1005&lt;=$A490)*MOVIMIENTOS!$E$5:$E$1005)+SUMPRODUCT((MOVIMIENTOS!$B$5:$B$1005="AJUSTE")*(MOVIMIENTOS!$C$5:$C$1005="M")*(MOVIMIENTOS!$D$5:$D$1005="jabas")*(MOVIMIENTOS!$A$5:$A$1005&lt;&gt;"")*(MOVIMIENTOS!$A$5:$A$1005&lt;=$A490)*MOVIMIENTOS!$E$5:$E$1005))</f>
        <v/>
      </c>
      <c r="F490" s="62" t="str">
        <f>IF($A490="","",SUMPRODUCT((MOVIMIENTOS!$B$5:$B$1005="SALDO INICIAL")*(MOVIMIENTOS!$C$5:$C$1005="Chancho")*(MOVIMIENTOS!$D$5:$D$1005="sacos")*(MOVIMIENTOS!$A$5:$A$1005&lt;&gt;"")*(MOVIMIENTOS!$A$5:$A$1005&lt;=$A490)*MOVIMIENTOS!$E$5:$E$1005)+SUMPRODUCT((MOVIMIENTOS!$B$5:$B$1005="PROCESO")*(MOVIMIENTOS!$C$5:$C$1005="Chancho")*(MOVIMIENTOS!$D$5:$D$1005="sacos")*(MOVIMIENTOS!$A$5:$A$1005&lt;&gt;"")*(MOVIMIENTOS!$A$5:$A$1005&lt;=$A490)*MOVIMIENTOS!$E$5:$E$1005)-SUMPRODUCT((MOVIMIENTOS!$B$5:$B$1005="VENTA CHANCHO")*(MOVIMIENTOS!$C$5:$C$1005="Chancho")*(MOVIMIENTOS!$D$5:$D$1005="sacos")*(MOVIMIENTOS!$A$5:$A$1005&lt;&gt;"")*(MOVIMIENTOS!$A$5:$A$1005&lt;=$A490)*MOVIMIENTOS!$E$5:$E$1005)-SUMPRODUCT((MOVIMIENTOS!$B$5:$B$1005="REGALO")*(MOVIMIENTOS!$C$5:$C$1005="Chancho")*(MOVIMIENTOS!$D$5:$D$1005="sacos")*(MOVIMIENTOS!$A$5:$A$1005&lt;&gt;"")*(MOVIMIENTOS!$A$5:$A$1005&lt;=$A490)*MOVIMIENTOS!$E$5:$E$1005)-SUMPRODUCT((MOVIMIENTOS!$B$5:$B$1005="VENTA")*(MOVIMIENTOS!$C$5:$C$1005="Chancho")*(MOVIMIENTOS!$D$5:$D$1005="sacos")*(MOVIMIENTOS!$A$5:$A$1005&lt;&gt;"")*(MOVIMIENTOS!$A$5:$A$1005&lt;=$A490)*MOVIMIENTOS!$E$5:$E$1005)+SUMPRODUCT((MOVIMIENTOS!$B$5:$B$1005="AJUSTE")*(MOVIMIENTOS!$C$5:$C$1005="Chancho")*(MOVIMIENTOS!$D$5:$D$1005="sacos")*(MOVIMIENTOS!$A$5:$A$1005&lt;&gt;"")*(MOVIMIENTOS!$A$5:$A$1005&lt;=$A490)*MOVIMIENTOS!$E$5:$E$1005))</f>
        <v/>
      </c>
      <c r="G490" s="62" t="str">
        <f t="shared" si="15"/>
        <v/>
      </c>
      <c r="H490" t="str">
        <f>IF($A490="","",SUMPRODUCT((((MOVIMIENTOS!$B$5:$B$1005="SALDO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490)*MOVIMIENTOS!$J$5:$J$1005))</f>
        <v/>
      </c>
      <c r="J490" t="str">
        <f>IF(AND(MOVIMIENTOS!$A495&lt;&gt;"",COUNTIF(MOVIMIENTOS!$A$5:$A494,MOVIMIENTOS!$A495)=0),COUNT(J$4:J489)+1,"")</f>
        <v/>
      </c>
      <c r="K490">
        <f>MOVIMIENTOS!$A495</f>
        <v>0</v>
      </c>
    </row>
    <row r="491" spans="1:11" ht="15" customHeight="1" x14ac:dyDescent="0.2">
      <c r="A491" t="str">
        <f t="shared" si="14"/>
        <v/>
      </c>
      <c r="B491" t="str">
        <f>IF($A491="","",SUMPRODUCT((MOVIMIENTOS!$B$5:$B$1005="SALDO INICIAL")*(MOVIMIENTOS!$C$5:$C$1005="A")*(MOVIMIENTOS!$D$5:$D$1005="jabas")*(MOVIMIENTOS!$A$5:$A$1005&lt;&gt;"")*(MOVIMIENTOS!$A$5:$A$1005&lt;=$A491)*MOVIMIENTOS!$E$5:$E$1005)+SUMPRODUCT((MOVIMIENTOS!$B$5:$B$1005="PROCESO")*(MOVIMIENTOS!$C$5:$C$1005="A")*(MOVIMIENTOS!$D$5:$D$1005="jabas")*(MOVIMIENTOS!$A$5:$A$1005&lt;&gt;"")*(MOVIMIENTOS!$A$5:$A$1005&lt;=$A491)*MOVIMIENTOS!$E$5:$E$1005)-SUMPRODUCT((MOVIMIENTOS!$B$5:$B$1005="ENVÍO A SUPESA")*(MOVIMIENTOS!$C$5:$C$1005="A")*(MOVIMIENTOS!$D$5:$D$1005="jabas")*(MOVIMIENTOS!$A$5:$A$1005&lt;&gt;"")*(MOVIMIENTOS!$A$5:$A$1005&lt;=$A491)*MOVIMIENTOS!$E$5:$E$1005)+SUMPRODUCT((MOVIMIENTOS!$B$5:$B$1005="DEVOLUCIÓN")*(MOVIMIENTOS!$C$5:$C$1005="A")*(MOVIMIENTOS!$D$5:$D$1005="jabas")*(MOVIMIENTOS!$A$5:$A$1005&lt;&gt;"")*(MOVIMIENTOS!$A$5:$A$1005&lt;=$A491)*MOVIMIENTOS!$E$5:$E$1005)-SUMPRODUCT((MOVIMIENTOS!$B$5:$B$1005="TRASIEGO")*(MOVIMIENTOS!$C$5:$C$1005="A")*(MOVIMIENTOS!$D$5:$D$1005="jabas")*(MOVIMIENTOS!$A$5:$A$1005&lt;&gt;"")*(MOVIMIENTOS!$A$5:$A$1005&lt;=$A491)*MOVIMIENTOS!$E$5:$E$1005)-SUMPRODUCT((MOVIMIENTOS!$B$5:$B$1005="REGALO")*(MOVIMIENTOS!$C$5:$C$1005="A")*(MOVIMIENTOS!$D$5:$D$1005="jabas")*(MOVIMIENTOS!$A$5:$A$1005&lt;&gt;"")*(MOVIMIENTOS!$A$5:$A$1005&lt;=$A491)*MOVIMIENTOS!$E$5:$E$1005)-SUMPRODUCT((MOVIMIENTOS!$B$5:$B$1005="VENTA")*(MOVIMIENTOS!$C$5:$C$1005="A")*(MOVIMIENTOS!$D$5:$D$1005="jabas")*(MOVIMIENTOS!$A$5:$A$1005&lt;&gt;"")*(MOVIMIENTOS!$A$5:$A$1005&lt;=$A491)*MOVIMIENTOS!$E$5:$E$1005)+SUMPRODUCT((MOVIMIENTOS!$B$5:$B$1005="AJUSTE")*(MOVIMIENTOS!$C$5:$C$1005="A")*(MOVIMIENTOS!$D$5:$D$1005="jabas")*(MOVIMIENTOS!$A$5:$A$1005&lt;&gt;"")*(MOVIMIENTOS!$A$5:$A$1005&lt;=$A491)*MOVIMIENTOS!$E$5:$E$1005))</f>
        <v/>
      </c>
      <c r="C491" t="str">
        <f>IF($A491="","",SUMPRODUCT((MOVIMIENTOS!$B$5:$B$1005="SALDO INICIAL")*(MOVIMIENTOS!$C$5:$C$1005="P")*(MOVIMIENTOS!$D$5:$D$1005="jabas")*(MOVIMIENTOS!$A$5:$A$1005&lt;&gt;"")*(MOVIMIENTOS!$A$5:$A$1005&lt;=$A491)*MOVIMIENTOS!$E$5:$E$1005)+SUMPRODUCT((MOVIMIENTOS!$B$5:$B$1005="PROCESO")*(MOVIMIENTOS!$C$5:$C$1005="P")*(MOVIMIENTOS!$D$5:$D$1005="jabas")*(MOVIMIENTOS!$A$5:$A$1005&lt;&gt;"")*(MOVIMIENTOS!$A$5:$A$1005&lt;=$A491)*MOVIMIENTOS!$E$5:$E$1005)-SUMPRODUCT((MOVIMIENTOS!$B$5:$B$1005="ENVÍO A SUPESA")*(MOVIMIENTOS!$C$5:$C$1005="P")*(MOVIMIENTOS!$D$5:$D$1005="jabas")*(MOVIMIENTOS!$A$5:$A$1005&lt;&gt;"")*(MOVIMIENTOS!$A$5:$A$1005&lt;=$A491)*MOVIMIENTOS!$E$5:$E$1005)+SUMPRODUCT((MOVIMIENTOS!$B$5:$B$1005="DEVOLUCIÓN")*(MOVIMIENTOS!$C$5:$C$1005="P")*(MOVIMIENTOS!$D$5:$D$1005="jabas")*(MOVIMIENTOS!$A$5:$A$1005&lt;&gt;"")*(MOVIMIENTOS!$A$5:$A$1005&lt;=$A491)*MOVIMIENTOS!$E$5:$E$1005)-SUMPRODUCT((MOVIMIENTOS!$B$5:$B$1005="TRASIEGO")*(MOVIMIENTOS!$C$5:$C$1005="P")*(MOVIMIENTOS!$D$5:$D$1005="jabas")*(MOVIMIENTOS!$A$5:$A$1005&lt;&gt;"")*(MOVIMIENTOS!$A$5:$A$1005&lt;=$A491)*MOVIMIENTOS!$E$5:$E$1005)-SUMPRODUCT((MOVIMIENTOS!$B$5:$B$1005="REGALO")*(MOVIMIENTOS!$C$5:$C$1005="P")*(MOVIMIENTOS!$D$5:$D$1005="jabas")*(MOVIMIENTOS!$A$5:$A$1005&lt;&gt;"")*(MOVIMIENTOS!$A$5:$A$1005&lt;=$A491)*MOVIMIENTOS!$E$5:$E$1005)-SUMPRODUCT((MOVIMIENTOS!$B$5:$B$1005="VENTA")*(MOVIMIENTOS!$C$5:$C$1005="P")*(MOVIMIENTOS!$D$5:$D$1005="jabas")*(MOVIMIENTOS!$A$5:$A$1005&lt;&gt;"")*(MOVIMIENTOS!$A$5:$A$1005&lt;=$A491)*MOVIMIENTOS!$E$5:$E$1005)+SUMPRODUCT((MOVIMIENTOS!$B$5:$B$1005="AJUSTE")*(MOVIMIENTOS!$C$5:$C$1005="P")*(MOVIMIENTOS!$D$5:$D$1005="jabas")*(MOVIMIENTOS!$A$5:$A$1005&lt;&gt;"")*(MOVIMIENTOS!$A$5:$A$1005&lt;=$A491)*MOVIMIENTOS!$E$5:$E$1005))</f>
        <v/>
      </c>
      <c r="D491" t="str">
        <f>IF($A491="","",SUMPRODUCT((MOVIMIENTOS!$B$5:$B$1005="SALDO INICIAL")*(MOVIMIENTOS!$C$5:$C$1005="C")*(MOVIMIENTOS!$D$5:$D$1005="jabas")*(MOVIMIENTOS!$A$5:$A$1005&lt;&gt;"")*(MOVIMIENTOS!$A$5:$A$1005&lt;=$A491)*MOVIMIENTOS!$E$5:$E$1005)+SUMPRODUCT((MOVIMIENTOS!$B$5:$B$1005="PROCESO")*(MOVIMIENTOS!$C$5:$C$1005="C")*(MOVIMIENTOS!$D$5:$D$1005="jabas")*(MOVIMIENTOS!$A$5:$A$1005&lt;&gt;"")*(MOVIMIENTOS!$A$5:$A$1005&lt;=$A491)*MOVIMIENTOS!$E$5:$E$1005)-SUMPRODUCT((MOVIMIENTOS!$B$5:$B$1005="ENVÍO A SUPESA")*(MOVIMIENTOS!$C$5:$C$1005="C")*(MOVIMIENTOS!$D$5:$D$1005="jabas")*(MOVIMIENTOS!$A$5:$A$1005&lt;&gt;"")*(MOVIMIENTOS!$A$5:$A$1005&lt;=$A491)*MOVIMIENTOS!$E$5:$E$1005)+SUMPRODUCT((MOVIMIENTOS!$B$5:$B$1005="DEVOLUCIÓN")*(MOVIMIENTOS!$C$5:$C$1005="C")*(MOVIMIENTOS!$D$5:$D$1005="jabas")*(MOVIMIENTOS!$A$5:$A$1005&lt;&gt;"")*(MOVIMIENTOS!$A$5:$A$1005&lt;=$A491)*MOVIMIENTOS!$E$5:$E$1005)-SUMPRODUCT((MOVIMIENTOS!$B$5:$B$1005="TRASIEGO")*(MOVIMIENTOS!$C$5:$C$1005="C")*(MOVIMIENTOS!$D$5:$D$1005="jabas")*(MOVIMIENTOS!$A$5:$A$1005&lt;&gt;"")*(MOVIMIENTOS!$A$5:$A$1005&lt;=$A491)*MOVIMIENTOS!$E$5:$E$1005)-SUMPRODUCT((MOVIMIENTOS!$B$5:$B$1005="REGALO")*(MOVIMIENTOS!$C$5:$C$1005="C")*(MOVIMIENTOS!$D$5:$D$1005="jabas")*(MOVIMIENTOS!$A$5:$A$1005&lt;&gt;"")*(MOVIMIENTOS!$A$5:$A$1005&lt;=$A491)*MOVIMIENTOS!$E$5:$E$1005)-SUMPRODUCT((MOVIMIENTOS!$B$5:$B$1005="VENTA")*(MOVIMIENTOS!$C$5:$C$1005="C")*(MOVIMIENTOS!$D$5:$D$1005="jabas")*(MOVIMIENTOS!$A$5:$A$1005&lt;&gt;"")*(MOVIMIENTOS!$A$5:$A$1005&lt;=$A491)*MOVIMIENTOS!$E$5:$E$1005)+SUMPRODUCT((MOVIMIENTOS!$B$5:$B$1005="AJUSTE")*(MOVIMIENTOS!$C$5:$C$1005="C")*(MOVIMIENTOS!$D$5:$D$1005="jabas")*(MOVIMIENTOS!$A$5:$A$1005&lt;&gt;"")*(MOVIMIENTOS!$A$5:$A$1005&lt;=$A491)*MOVIMIENTOS!$E$5:$E$1005))</f>
        <v/>
      </c>
      <c r="E491" t="str">
        <f>IF($A491="","",SUMPRODUCT((MOVIMIENTOS!$B$5:$B$1005="SALDO INICIAL")*(MOVIMIENTOS!$C$5:$C$1005="M")*(MOVIMIENTOS!$D$5:$D$1005="jabas")*(MOVIMIENTOS!$A$5:$A$1005&lt;&gt;"")*(MOVIMIENTOS!$A$5:$A$1005&lt;=$A491)*MOVIMIENTOS!$E$5:$E$1005)+SUMPRODUCT((MOVIMIENTOS!$B$5:$B$1005="PROCESO")*(MOVIMIENTOS!$C$5:$C$1005="M")*(MOVIMIENTOS!$D$5:$D$1005="jabas")*(MOVIMIENTOS!$A$5:$A$1005&lt;&gt;"")*(MOVIMIENTOS!$A$5:$A$1005&lt;=$A491)*MOVIMIENTOS!$E$5:$E$1005)-SUMPRODUCT((MOVIMIENTOS!$B$5:$B$1005="ENVÍO A SUPESA")*(MOVIMIENTOS!$C$5:$C$1005="M")*(MOVIMIENTOS!$D$5:$D$1005="jabas")*(MOVIMIENTOS!$A$5:$A$1005&lt;&gt;"")*(MOVIMIENTOS!$A$5:$A$1005&lt;=$A491)*MOVIMIENTOS!$E$5:$E$1005)+SUMPRODUCT((MOVIMIENTOS!$B$5:$B$1005="DEVOLUCIÓN")*(MOVIMIENTOS!$C$5:$C$1005="M")*(MOVIMIENTOS!$D$5:$D$1005="jabas")*(MOVIMIENTOS!$A$5:$A$1005&lt;&gt;"")*(MOVIMIENTOS!$A$5:$A$1005&lt;=$A491)*MOVIMIENTOS!$E$5:$E$1005)-SUMPRODUCT((MOVIMIENTOS!$B$5:$B$1005="TRASIEGO")*(MOVIMIENTOS!$C$5:$C$1005="M")*(MOVIMIENTOS!$D$5:$D$1005="jabas")*(MOVIMIENTOS!$A$5:$A$1005&lt;&gt;"")*(MOVIMIENTOS!$A$5:$A$1005&lt;=$A491)*MOVIMIENTOS!$E$5:$E$1005)-SUMPRODUCT((MOVIMIENTOS!$B$5:$B$1005="REGALO")*(MOVIMIENTOS!$C$5:$C$1005="M")*(MOVIMIENTOS!$D$5:$D$1005="jabas")*(MOVIMIENTOS!$A$5:$A$1005&lt;&gt;"")*(MOVIMIENTOS!$A$5:$A$1005&lt;=$A491)*MOVIMIENTOS!$E$5:$E$1005)-SUMPRODUCT((MOVIMIENTOS!$B$5:$B$1005="VENTA")*(MOVIMIENTOS!$C$5:$C$1005="M")*(MOVIMIENTOS!$D$5:$D$1005="jabas")*(MOVIMIENTOS!$A$5:$A$1005&lt;&gt;"")*(MOVIMIENTOS!$A$5:$A$1005&lt;=$A491)*MOVIMIENTOS!$E$5:$E$1005)+SUMPRODUCT((MOVIMIENTOS!$B$5:$B$1005="AJUSTE")*(MOVIMIENTOS!$C$5:$C$1005="M")*(MOVIMIENTOS!$D$5:$D$1005="jabas")*(MOVIMIENTOS!$A$5:$A$1005&lt;&gt;"")*(MOVIMIENTOS!$A$5:$A$1005&lt;=$A491)*MOVIMIENTOS!$E$5:$E$1005))</f>
        <v/>
      </c>
      <c r="F491" s="62" t="str">
        <f>IF($A491="","",SUMPRODUCT((MOVIMIENTOS!$B$5:$B$1005="SALDO INICIAL")*(MOVIMIENTOS!$C$5:$C$1005="Chancho")*(MOVIMIENTOS!$D$5:$D$1005="sacos")*(MOVIMIENTOS!$A$5:$A$1005&lt;&gt;"")*(MOVIMIENTOS!$A$5:$A$1005&lt;=$A491)*MOVIMIENTOS!$E$5:$E$1005)+SUMPRODUCT((MOVIMIENTOS!$B$5:$B$1005="PROCESO")*(MOVIMIENTOS!$C$5:$C$1005="Chancho")*(MOVIMIENTOS!$D$5:$D$1005="sacos")*(MOVIMIENTOS!$A$5:$A$1005&lt;&gt;"")*(MOVIMIENTOS!$A$5:$A$1005&lt;=$A491)*MOVIMIENTOS!$E$5:$E$1005)-SUMPRODUCT((MOVIMIENTOS!$B$5:$B$1005="VENTA CHANCHO")*(MOVIMIENTOS!$C$5:$C$1005="Chancho")*(MOVIMIENTOS!$D$5:$D$1005="sacos")*(MOVIMIENTOS!$A$5:$A$1005&lt;&gt;"")*(MOVIMIENTOS!$A$5:$A$1005&lt;=$A491)*MOVIMIENTOS!$E$5:$E$1005)-SUMPRODUCT((MOVIMIENTOS!$B$5:$B$1005="REGALO")*(MOVIMIENTOS!$C$5:$C$1005="Chancho")*(MOVIMIENTOS!$D$5:$D$1005="sacos")*(MOVIMIENTOS!$A$5:$A$1005&lt;&gt;"")*(MOVIMIENTOS!$A$5:$A$1005&lt;=$A491)*MOVIMIENTOS!$E$5:$E$1005)-SUMPRODUCT((MOVIMIENTOS!$B$5:$B$1005="VENTA")*(MOVIMIENTOS!$C$5:$C$1005="Chancho")*(MOVIMIENTOS!$D$5:$D$1005="sacos")*(MOVIMIENTOS!$A$5:$A$1005&lt;&gt;"")*(MOVIMIENTOS!$A$5:$A$1005&lt;=$A491)*MOVIMIENTOS!$E$5:$E$1005)+SUMPRODUCT((MOVIMIENTOS!$B$5:$B$1005="AJUSTE")*(MOVIMIENTOS!$C$5:$C$1005="Chancho")*(MOVIMIENTOS!$D$5:$D$1005="sacos")*(MOVIMIENTOS!$A$5:$A$1005&lt;&gt;"")*(MOVIMIENTOS!$A$5:$A$1005&lt;=$A491)*MOVIMIENTOS!$E$5:$E$1005))</f>
        <v/>
      </c>
      <c r="G491" s="62" t="str">
        <f t="shared" si="15"/>
        <v/>
      </c>
      <c r="H491" t="str">
        <f>IF($A491="","",SUMPRODUCT((((MOVIMIENTOS!$B$5:$B$1005="SALDO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491)*MOVIMIENTOS!$J$5:$J$1005))</f>
        <v/>
      </c>
      <c r="J491" t="str">
        <f>IF(AND(MOVIMIENTOS!$A496&lt;&gt;"",COUNTIF(MOVIMIENTOS!$A$5:$A495,MOVIMIENTOS!$A496)=0),COUNT(J$4:J490)+1,"")</f>
        <v/>
      </c>
      <c r="K491">
        <f>MOVIMIENTOS!$A496</f>
        <v>0</v>
      </c>
    </row>
    <row r="492" spans="1:11" ht="15" customHeight="1" x14ac:dyDescent="0.2">
      <c r="A492" t="str">
        <f t="shared" si="14"/>
        <v/>
      </c>
      <c r="B492" t="str">
        <f>IF($A492="","",SUMPRODUCT((MOVIMIENTOS!$B$5:$B$1005="SALDO INICIAL")*(MOVIMIENTOS!$C$5:$C$1005="A")*(MOVIMIENTOS!$D$5:$D$1005="jabas")*(MOVIMIENTOS!$A$5:$A$1005&lt;&gt;"")*(MOVIMIENTOS!$A$5:$A$1005&lt;=$A492)*MOVIMIENTOS!$E$5:$E$1005)+SUMPRODUCT((MOVIMIENTOS!$B$5:$B$1005="PROCESO")*(MOVIMIENTOS!$C$5:$C$1005="A")*(MOVIMIENTOS!$D$5:$D$1005="jabas")*(MOVIMIENTOS!$A$5:$A$1005&lt;&gt;"")*(MOVIMIENTOS!$A$5:$A$1005&lt;=$A492)*MOVIMIENTOS!$E$5:$E$1005)-SUMPRODUCT((MOVIMIENTOS!$B$5:$B$1005="ENVÍO A SUPESA")*(MOVIMIENTOS!$C$5:$C$1005="A")*(MOVIMIENTOS!$D$5:$D$1005="jabas")*(MOVIMIENTOS!$A$5:$A$1005&lt;&gt;"")*(MOVIMIENTOS!$A$5:$A$1005&lt;=$A492)*MOVIMIENTOS!$E$5:$E$1005)+SUMPRODUCT((MOVIMIENTOS!$B$5:$B$1005="DEVOLUCIÓN")*(MOVIMIENTOS!$C$5:$C$1005="A")*(MOVIMIENTOS!$D$5:$D$1005="jabas")*(MOVIMIENTOS!$A$5:$A$1005&lt;&gt;"")*(MOVIMIENTOS!$A$5:$A$1005&lt;=$A492)*MOVIMIENTOS!$E$5:$E$1005)-SUMPRODUCT((MOVIMIENTOS!$B$5:$B$1005="TRASIEGO")*(MOVIMIENTOS!$C$5:$C$1005="A")*(MOVIMIENTOS!$D$5:$D$1005="jabas")*(MOVIMIENTOS!$A$5:$A$1005&lt;&gt;"")*(MOVIMIENTOS!$A$5:$A$1005&lt;=$A492)*MOVIMIENTOS!$E$5:$E$1005)-SUMPRODUCT((MOVIMIENTOS!$B$5:$B$1005="REGALO")*(MOVIMIENTOS!$C$5:$C$1005="A")*(MOVIMIENTOS!$D$5:$D$1005="jabas")*(MOVIMIENTOS!$A$5:$A$1005&lt;&gt;"")*(MOVIMIENTOS!$A$5:$A$1005&lt;=$A492)*MOVIMIENTOS!$E$5:$E$1005)-SUMPRODUCT((MOVIMIENTOS!$B$5:$B$1005="VENTA")*(MOVIMIENTOS!$C$5:$C$1005="A")*(MOVIMIENTOS!$D$5:$D$1005="jabas")*(MOVIMIENTOS!$A$5:$A$1005&lt;&gt;"")*(MOVIMIENTOS!$A$5:$A$1005&lt;=$A492)*MOVIMIENTOS!$E$5:$E$1005)+SUMPRODUCT((MOVIMIENTOS!$B$5:$B$1005="AJUSTE")*(MOVIMIENTOS!$C$5:$C$1005="A")*(MOVIMIENTOS!$D$5:$D$1005="jabas")*(MOVIMIENTOS!$A$5:$A$1005&lt;&gt;"")*(MOVIMIENTOS!$A$5:$A$1005&lt;=$A492)*MOVIMIENTOS!$E$5:$E$1005))</f>
        <v/>
      </c>
      <c r="C492" t="str">
        <f>IF($A492="","",SUMPRODUCT((MOVIMIENTOS!$B$5:$B$1005="SALDO INICIAL")*(MOVIMIENTOS!$C$5:$C$1005="P")*(MOVIMIENTOS!$D$5:$D$1005="jabas")*(MOVIMIENTOS!$A$5:$A$1005&lt;&gt;"")*(MOVIMIENTOS!$A$5:$A$1005&lt;=$A492)*MOVIMIENTOS!$E$5:$E$1005)+SUMPRODUCT((MOVIMIENTOS!$B$5:$B$1005="PROCESO")*(MOVIMIENTOS!$C$5:$C$1005="P")*(MOVIMIENTOS!$D$5:$D$1005="jabas")*(MOVIMIENTOS!$A$5:$A$1005&lt;&gt;"")*(MOVIMIENTOS!$A$5:$A$1005&lt;=$A492)*MOVIMIENTOS!$E$5:$E$1005)-SUMPRODUCT((MOVIMIENTOS!$B$5:$B$1005="ENVÍO A SUPESA")*(MOVIMIENTOS!$C$5:$C$1005="P")*(MOVIMIENTOS!$D$5:$D$1005="jabas")*(MOVIMIENTOS!$A$5:$A$1005&lt;&gt;"")*(MOVIMIENTOS!$A$5:$A$1005&lt;=$A492)*MOVIMIENTOS!$E$5:$E$1005)+SUMPRODUCT((MOVIMIENTOS!$B$5:$B$1005="DEVOLUCIÓN")*(MOVIMIENTOS!$C$5:$C$1005="P")*(MOVIMIENTOS!$D$5:$D$1005="jabas")*(MOVIMIENTOS!$A$5:$A$1005&lt;&gt;"")*(MOVIMIENTOS!$A$5:$A$1005&lt;=$A492)*MOVIMIENTOS!$E$5:$E$1005)-SUMPRODUCT((MOVIMIENTOS!$B$5:$B$1005="TRASIEGO")*(MOVIMIENTOS!$C$5:$C$1005="P")*(MOVIMIENTOS!$D$5:$D$1005="jabas")*(MOVIMIENTOS!$A$5:$A$1005&lt;&gt;"")*(MOVIMIENTOS!$A$5:$A$1005&lt;=$A492)*MOVIMIENTOS!$E$5:$E$1005)-SUMPRODUCT((MOVIMIENTOS!$B$5:$B$1005="REGALO")*(MOVIMIENTOS!$C$5:$C$1005="P")*(MOVIMIENTOS!$D$5:$D$1005="jabas")*(MOVIMIENTOS!$A$5:$A$1005&lt;&gt;"")*(MOVIMIENTOS!$A$5:$A$1005&lt;=$A492)*MOVIMIENTOS!$E$5:$E$1005)-SUMPRODUCT((MOVIMIENTOS!$B$5:$B$1005="VENTA")*(MOVIMIENTOS!$C$5:$C$1005="P")*(MOVIMIENTOS!$D$5:$D$1005="jabas")*(MOVIMIENTOS!$A$5:$A$1005&lt;&gt;"")*(MOVIMIENTOS!$A$5:$A$1005&lt;=$A492)*MOVIMIENTOS!$E$5:$E$1005)+SUMPRODUCT((MOVIMIENTOS!$B$5:$B$1005="AJUSTE")*(MOVIMIENTOS!$C$5:$C$1005="P")*(MOVIMIENTOS!$D$5:$D$1005="jabas")*(MOVIMIENTOS!$A$5:$A$1005&lt;&gt;"")*(MOVIMIENTOS!$A$5:$A$1005&lt;=$A492)*MOVIMIENTOS!$E$5:$E$1005))</f>
        <v/>
      </c>
      <c r="D492" t="str">
        <f>IF($A492="","",SUMPRODUCT((MOVIMIENTOS!$B$5:$B$1005="SALDO INICIAL")*(MOVIMIENTOS!$C$5:$C$1005="C")*(MOVIMIENTOS!$D$5:$D$1005="jabas")*(MOVIMIENTOS!$A$5:$A$1005&lt;&gt;"")*(MOVIMIENTOS!$A$5:$A$1005&lt;=$A492)*MOVIMIENTOS!$E$5:$E$1005)+SUMPRODUCT((MOVIMIENTOS!$B$5:$B$1005="PROCESO")*(MOVIMIENTOS!$C$5:$C$1005="C")*(MOVIMIENTOS!$D$5:$D$1005="jabas")*(MOVIMIENTOS!$A$5:$A$1005&lt;&gt;"")*(MOVIMIENTOS!$A$5:$A$1005&lt;=$A492)*MOVIMIENTOS!$E$5:$E$1005)-SUMPRODUCT((MOVIMIENTOS!$B$5:$B$1005="ENVÍO A SUPESA")*(MOVIMIENTOS!$C$5:$C$1005="C")*(MOVIMIENTOS!$D$5:$D$1005="jabas")*(MOVIMIENTOS!$A$5:$A$1005&lt;&gt;"")*(MOVIMIENTOS!$A$5:$A$1005&lt;=$A492)*MOVIMIENTOS!$E$5:$E$1005)+SUMPRODUCT((MOVIMIENTOS!$B$5:$B$1005="DEVOLUCIÓN")*(MOVIMIENTOS!$C$5:$C$1005="C")*(MOVIMIENTOS!$D$5:$D$1005="jabas")*(MOVIMIENTOS!$A$5:$A$1005&lt;&gt;"")*(MOVIMIENTOS!$A$5:$A$1005&lt;=$A492)*MOVIMIENTOS!$E$5:$E$1005)-SUMPRODUCT((MOVIMIENTOS!$B$5:$B$1005="TRASIEGO")*(MOVIMIENTOS!$C$5:$C$1005="C")*(MOVIMIENTOS!$D$5:$D$1005="jabas")*(MOVIMIENTOS!$A$5:$A$1005&lt;&gt;"")*(MOVIMIENTOS!$A$5:$A$1005&lt;=$A492)*MOVIMIENTOS!$E$5:$E$1005)-SUMPRODUCT((MOVIMIENTOS!$B$5:$B$1005="REGALO")*(MOVIMIENTOS!$C$5:$C$1005="C")*(MOVIMIENTOS!$D$5:$D$1005="jabas")*(MOVIMIENTOS!$A$5:$A$1005&lt;&gt;"")*(MOVIMIENTOS!$A$5:$A$1005&lt;=$A492)*MOVIMIENTOS!$E$5:$E$1005)-SUMPRODUCT((MOVIMIENTOS!$B$5:$B$1005="VENTA")*(MOVIMIENTOS!$C$5:$C$1005="C")*(MOVIMIENTOS!$D$5:$D$1005="jabas")*(MOVIMIENTOS!$A$5:$A$1005&lt;&gt;"")*(MOVIMIENTOS!$A$5:$A$1005&lt;=$A492)*MOVIMIENTOS!$E$5:$E$1005)+SUMPRODUCT((MOVIMIENTOS!$B$5:$B$1005="AJUSTE")*(MOVIMIENTOS!$C$5:$C$1005="C")*(MOVIMIENTOS!$D$5:$D$1005="jabas")*(MOVIMIENTOS!$A$5:$A$1005&lt;&gt;"")*(MOVIMIENTOS!$A$5:$A$1005&lt;=$A492)*MOVIMIENTOS!$E$5:$E$1005))</f>
        <v/>
      </c>
      <c r="E492" t="str">
        <f>IF($A492="","",SUMPRODUCT((MOVIMIENTOS!$B$5:$B$1005="SALDO INICIAL")*(MOVIMIENTOS!$C$5:$C$1005="M")*(MOVIMIENTOS!$D$5:$D$1005="jabas")*(MOVIMIENTOS!$A$5:$A$1005&lt;&gt;"")*(MOVIMIENTOS!$A$5:$A$1005&lt;=$A492)*MOVIMIENTOS!$E$5:$E$1005)+SUMPRODUCT((MOVIMIENTOS!$B$5:$B$1005="PROCESO")*(MOVIMIENTOS!$C$5:$C$1005="M")*(MOVIMIENTOS!$D$5:$D$1005="jabas")*(MOVIMIENTOS!$A$5:$A$1005&lt;&gt;"")*(MOVIMIENTOS!$A$5:$A$1005&lt;=$A492)*MOVIMIENTOS!$E$5:$E$1005)-SUMPRODUCT((MOVIMIENTOS!$B$5:$B$1005="ENVÍO A SUPESA")*(MOVIMIENTOS!$C$5:$C$1005="M")*(MOVIMIENTOS!$D$5:$D$1005="jabas")*(MOVIMIENTOS!$A$5:$A$1005&lt;&gt;"")*(MOVIMIENTOS!$A$5:$A$1005&lt;=$A492)*MOVIMIENTOS!$E$5:$E$1005)+SUMPRODUCT((MOVIMIENTOS!$B$5:$B$1005="DEVOLUCIÓN")*(MOVIMIENTOS!$C$5:$C$1005="M")*(MOVIMIENTOS!$D$5:$D$1005="jabas")*(MOVIMIENTOS!$A$5:$A$1005&lt;&gt;"")*(MOVIMIENTOS!$A$5:$A$1005&lt;=$A492)*MOVIMIENTOS!$E$5:$E$1005)-SUMPRODUCT((MOVIMIENTOS!$B$5:$B$1005="TRASIEGO")*(MOVIMIENTOS!$C$5:$C$1005="M")*(MOVIMIENTOS!$D$5:$D$1005="jabas")*(MOVIMIENTOS!$A$5:$A$1005&lt;&gt;"")*(MOVIMIENTOS!$A$5:$A$1005&lt;=$A492)*MOVIMIENTOS!$E$5:$E$1005)-SUMPRODUCT((MOVIMIENTOS!$B$5:$B$1005="REGALO")*(MOVIMIENTOS!$C$5:$C$1005="M")*(MOVIMIENTOS!$D$5:$D$1005="jabas")*(MOVIMIENTOS!$A$5:$A$1005&lt;&gt;"")*(MOVIMIENTOS!$A$5:$A$1005&lt;=$A492)*MOVIMIENTOS!$E$5:$E$1005)-SUMPRODUCT((MOVIMIENTOS!$B$5:$B$1005="VENTA")*(MOVIMIENTOS!$C$5:$C$1005="M")*(MOVIMIENTOS!$D$5:$D$1005="jabas")*(MOVIMIENTOS!$A$5:$A$1005&lt;&gt;"")*(MOVIMIENTOS!$A$5:$A$1005&lt;=$A492)*MOVIMIENTOS!$E$5:$E$1005)+SUMPRODUCT((MOVIMIENTOS!$B$5:$B$1005="AJUSTE")*(MOVIMIENTOS!$C$5:$C$1005="M")*(MOVIMIENTOS!$D$5:$D$1005="jabas")*(MOVIMIENTOS!$A$5:$A$1005&lt;&gt;"")*(MOVIMIENTOS!$A$5:$A$1005&lt;=$A492)*MOVIMIENTOS!$E$5:$E$1005))</f>
        <v/>
      </c>
      <c r="F492" s="62" t="str">
        <f>IF($A492="","",SUMPRODUCT((MOVIMIENTOS!$B$5:$B$1005="SALDO INICIAL")*(MOVIMIENTOS!$C$5:$C$1005="Chancho")*(MOVIMIENTOS!$D$5:$D$1005="sacos")*(MOVIMIENTOS!$A$5:$A$1005&lt;&gt;"")*(MOVIMIENTOS!$A$5:$A$1005&lt;=$A492)*MOVIMIENTOS!$E$5:$E$1005)+SUMPRODUCT((MOVIMIENTOS!$B$5:$B$1005="PROCESO")*(MOVIMIENTOS!$C$5:$C$1005="Chancho")*(MOVIMIENTOS!$D$5:$D$1005="sacos")*(MOVIMIENTOS!$A$5:$A$1005&lt;&gt;"")*(MOVIMIENTOS!$A$5:$A$1005&lt;=$A492)*MOVIMIENTOS!$E$5:$E$1005)-SUMPRODUCT((MOVIMIENTOS!$B$5:$B$1005="VENTA CHANCHO")*(MOVIMIENTOS!$C$5:$C$1005="Chancho")*(MOVIMIENTOS!$D$5:$D$1005="sacos")*(MOVIMIENTOS!$A$5:$A$1005&lt;&gt;"")*(MOVIMIENTOS!$A$5:$A$1005&lt;=$A492)*MOVIMIENTOS!$E$5:$E$1005)-SUMPRODUCT((MOVIMIENTOS!$B$5:$B$1005="REGALO")*(MOVIMIENTOS!$C$5:$C$1005="Chancho")*(MOVIMIENTOS!$D$5:$D$1005="sacos")*(MOVIMIENTOS!$A$5:$A$1005&lt;&gt;"")*(MOVIMIENTOS!$A$5:$A$1005&lt;=$A492)*MOVIMIENTOS!$E$5:$E$1005)-SUMPRODUCT((MOVIMIENTOS!$B$5:$B$1005="VENTA")*(MOVIMIENTOS!$C$5:$C$1005="Chancho")*(MOVIMIENTOS!$D$5:$D$1005="sacos")*(MOVIMIENTOS!$A$5:$A$1005&lt;&gt;"")*(MOVIMIENTOS!$A$5:$A$1005&lt;=$A492)*MOVIMIENTOS!$E$5:$E$1005)+SUMPRODUCT((MOVIMIENTOS!$B$5:$B$1005="AJUSTE")*(MOVIMIENTOS!$C$5:$C$1005="Chancho")*(MOVIMIENTOS!$D$5:$D$1005="sacos")*(MOVIMIENTOS!$A$5:$A$1005&lt;&gt;"")*(MOVIMIENTOS!$A$5:$A$1005&lt;=$A492)*MOVIMIENTOS!$E$5:$E$1005))</f>
        <v/>
      </c>
      <c r="G492" s="62" t="str">
        <f t="shared" si="15"/>
        <v/>
      </c>
      <c r="H492" t="str">
        <f>IF($A492="","",SUMPRODUCT((((MOVIMIENTOS!$B$5:$B$1005="SALDO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492)*MOVIMIENTOS!$J$5:$J$1005))</f>
        <v/>
      </c>
      <c r="J492" t="str">
        <f>IF(AND(MOVIMIENTOS!$A497&lt;&gt;"",COUNTIF(MOVIMIENTOS!$A$5:$A496,MOVIMIENTOS!$A497)=0),COUNT(J$4:J491)+1,"")</f>
        <v/>
      </c>
      <c r="K492">
        <f>MOVIMIENTOS!$A497</f>
        <v>0</v>
      </c>
    </row>
    <row r="493" spans="1:11" ht="15" customHeight="1" x14ac:dyDescent="0.2">
      <c r="A493" t="str">
        <f t="shared" si="14"/>
        <v/>
      </c>
      <c r="B493" t="str">
        <f>IF($A493="","",SUMPRODUCT((MOVIMIENTOS!$B$5:$B$1005="SALDO INICIAL")*(MOVIMIENTOS!$C$5:$C$1005="A")*(MOVIMIENTOS!$D$5:$D$1005="jabas")*(MOVIMIENTOS!$A$5:$A$1005&lt;&gt;"")*(MOVIMIENTOS!$A$5:$A$1005&lt;=$A493)*MOVIMIENTOS!$E$5:$E$1005)+SUMPRODUCT((MOVIMIENTOS!$B$5:$B$1005="PROCESO")*(MOVIMIENTOS!$C$5:$C$1005="A")*(MOVIMIENTOS!$D$5:$D$1005="jabas")*(MOVIMIENTOS!$A$5:$A$1005&lt;&gt;"")*(MOVIMIENTOS!$A$5:$A$1005&lt;=$A493)*MOVIMIENTOS!$E$5:$E$1005)-SUMPRODUCT((MOVIMIENTOS!$B$5:$B$1005="ENVÍO A SUPESA")*(MOVIMIENTOS!$C$5:$C$1005="A")*(MOVIMIENTOS!$D$5:$D$1005="jabas")*(MOVIMIENTOS!$A$5:$A$1005&lt;&gt;"")*(MOVIMIENTOS!$A$5:$A$1005&lt;=$A493)*MOVIMIENTOS!$E$5:$E$1005)+SUMPRODUCT((MOVIMIENTOS!$B$5:$B$1005="DEVOLUCIÓN")*(MOVIMIENTOS!$C$5:$C$1005="A")*(MOVIMIENTOS!$D$5:$D$1005="jabas")*(MOVIMIENTOS!$A$5:$A$1005&lt;&gt;"")*(MOVIMIENTOS!$A$5:$A$1005&lt;=$A493)*MOVIMIENTOS!$E$5:$E$1005)-SUMPRODUCT((MOVIMIENTOS!$B$5:$B$1005="TRASIEGO")*(MOVIMIENTOS!$C$5:$C$1005="A")*(MOVIMIENTOS!$D$5:$D$1005="jabas")*(MOVIMIENTOS!$A$5:$A$1005&lt;&gt;"")*(MOVIMIENTOS!$A$5:$A$1005&lt;=$A493)*MOVIMIENTOS!$E$5:$E$1005)-SUMPRODUCT((MOVIMIENTOS!$B$5:$B$1005="REGALO")*(MOVIMIENTOS!$C$5:$C$1005="A")*(MOVIMIENTOS!$D$5:$D$1005="jabas")*(MOVIMIENTOS!$A$5:$A$1005&lt;&gt;"")*(MOVIMIENTOS!$A$5:$A$1005&lt;=$A493)*MOVIMIENTOS!$E$5:$E$1005)-SUMPRODUCT((MOVIMIENTOS!$B$5:$B$1005="VENTA")*(MOVIMIENTOS!$C$5:$C$1005="A")*(MOVIMIENTOS!$D$5:$D$1005="jabas")*(MOVIMIENTOS!$A$5:$A$1005&lt;&gt;"")*(MOVIMIENTOS!$A$5:$A$1005&lt;=$A493)*MOVIMIENTOS!$E$5:$E$1005)+SUMPRODUCT((MOVIMIENTOS!$B$5:$B$1005="AJUSTE")*(MOVIMIENTOS!$C$5:$C$1005="A")*(MOVIMIENTOS!$D$5:$D$1005="jabas")*(MOVIMIENTOS!$A$5:$A$1005&lt;&gt;"")*(MOVIMIENTOS!$A$5:$A$1005&lt;=$A493)*MOVIMIENTOS!$E$5:$E$1005))</f>
        <v/>
      </c>
      <c r="C493" t="str">
        <f>IF($A493="","",SUMPRODUCT((MOVIMIENTOS!$B$5:$B$1005="SALDO INICIAL")*(MOVIMIENTOS!$C$5:$C$1005="P")*(MOVIMIENTOS!$D$5:$D$1005="jabas")*(MOVIMIENTOS!$A$5:$A$1005&lt;&gt;"")*(MOVIMIENTOS!$A$5:$A$1005&lt;=$A493)*MOVIMIENTOS!$E$5:$E$1005)+SUMPRODUCT((MOVIMIENTOS!$B$5:$B$1005="PROCESO")*(MOVIMIENTOS!$C$5:$C$1005="P")*(MOVIMIENTOS!$D$5:$D$1005="jabas")*(MOVIMIENTOS!$A$5:$A$1005&lt;&gt;"")*(MOVIMIENTOS!$A$5:$A$1005&lt;=$A493)*MOVIMIENTOS!$E$5:$E$1005)-SUMPRODUCT((MOVIMIENTOS!$B$5:$B$1005="ENVÍO A SUPESA")*(MOVIMIENTOS!$C$5:$C$1005="P")*(MOVIMIENTOS!$D$5:$D$1005="jabas")*(MOVIMIENTOS!$A$5:$A$1005&lt;&gt;"")*(MOVIMIENTOS!$A$5:$A$1005&lt;=$A493)*MOVIMIENTOS!$E$5:$E$1005)+SUMPRODUCT((MOVIMIENTOS!$B$5:$B$1005="DEVOLUCIÓN")*(MOVIMIENTOS!$C$5:$C$1005="P")*(MOVIMIENTOS!$D$5:$D$1005="jabas")*(MOVIMIENTOS!$A$5:$A$1005&lt;&gt;"")*(MOVIMIENTOS!$A$5:$A$1005&lt;=$A493)*MOVIMIENTOS!$E$5:$E$1005)-SUMPRODUCT((MOVIMIENTOS!$B$5:$B$1005="TRASIEGO")*(MOVIMIENTOS!$C$5:$C$1005="P")*(MOVIMIENTOS!$D$5:$D$1005="jabas")*(MOVIMIENTOS!$A$5:$A$1005&lt;&gt;"")*(MOVIMIENTOS!$A$5:$A$1005&lt;=$A493)*MOVIMIENTOS!$E$5:$E$1005)-SUMPRODUCT((MOVIMIENTOS!$B$5:$B$1005="REGALO")*(MOVIMIENTOS!$C$5:$C$1005="P")*(MOVIMIENTOS!$D$5:$D$1005="jabas")*(MOVIMIENTOS!$A$5:$A$1005&lt;&gt;"")*(MOVIMIENTOS!$A$5:$A$1005&lt;=$A493)*MOVIMIENTOS!$E$5:$E$1005)-SUMPRODUCT((MOVIMIENTOS!$B$5:$B$1005="VENTA")*(MOVIMIENTOS!$C$5:$C$1005="P")*(MOVIMIENTOS!$D$5:$D$1005="jabas")*(MOVIMIENTOS!$A$5:$A$1005&lt;&gt;"")*(MOVIMIENTOS!$A$5:$A$1005&lt;=$A493)*MOVIMIENTOS!$E$5:$E$1005)+SUMPRODUCT((MOVIMIENTOS!$B$5:$B$1005="AJUSTE")*(MOVIMIENTOS!$C$5:$C$1005="P")*(MOVIMIENTOS!$D$5:$D$1005="jabas")*(MOVIMIENTOS!$A$5:$A$1005&lt;&gt;"")*(MOVIMIENTOS!$A$5:$A$1005&lt;=$A493)*MOVIMIENTOS!$E$5:$E$1005))</f>
        <v/>
      </c>
      <c r="D493" t="str">
        <f>IF($A493="","",SUMPRODUCT((MOVIMIENTOS!$B$5:$B$1005="SALDO INICIAL")*(MOVIMIENTOS!$C$5:$C$1005="C")*(MOVIMIENTOS!$D$5:$D$1005="jabas")*(MOVIMIENTOS!$A$5:$A$1005&lt;&gt;"")*(MOVIMIENTOS!$A$5:$A$1005&lt;=$A493)*MOVIMIENTOS!$E$5:$E$1005)+SUMPRODUCT((MOVIMIENTOS!$B$5:$B$1005="PROCESO")*(MOVIMIENTOS!$C$5:$C$1005="C")*(MOVIMIENTOS!$D$5:$D$1005="jabas")*(MOVIMIENTOS!$A$5:$A$1005&lt;&gt;"")*(MOVIMIENTOS!$A$5:$A$1005&lt;=$A493)*MOVIMIENTOS!$E$5:$E$1005)-SUMPRODUCT((MOVIMIENTOS!$B$5:$B$1005="ENVÍO A SUPESA")*(MOVIMIENTOS!$C$5:$C$1005="C")*(MOVIMIENTOS!$D$5:$D$1005="jabas")*(MOVIMIENTOS!$A$5:$A$1005&lt;&gt;"")*(MOVIMIENTOS!$A$5:$A$1005&lt;=$A493)*MOVIMIENTOS!$E$5:$E$1005)+SUMPRODUCT((MOVIMIENTOS!$B$5:$B$1005="DEVOLUCIÓN")*(MOVIMIENTOS!$C$5:$C$1005="C")*(MOVIMIENTOS!$D$5:$D$1005="jabas")*(MOVIMIENTOS!$A$5:$A$1005&lt;&gt;"")*(MOVIMIENTOS!$A$5:$A$1005&lt;=$A493)*MOVIMIENTOS!$E$5:$E$1005)-SUMPRODUCT((MOVIMIENTOS!$B$5:$B$1005="TRASIEGO")*(MOVIMIENTOS!$C$5:$C$1005="C")*(MOVIMIENTOS!$D$5:$D$1005="jabas")*(MOVIMIENTOS!$A$5:$A$1005&lt;&gt;"")*(MOVIMIENTOS!$A$5:$A$1005&lt;=$A493)*MOVIMIENTOS!$E$5:$E$1005)-SUMPRODUCT((MOVIMIENTOS!$B$5:$B$1005="REGALO")*(MOVIMIENTOS!$C$5:$C$1005="C")*(MOVIMIENTOS!$D$5:$D$1005="jabas")*(MOVIMIENTOS!$A$5:$A$1005&lt;&gt;"")*(MOVIMIENTOS!$A$5:$A$1005&lt;=$A493)*MOVIMIENTOS!$E$5:$E$1005)-SUMPRODUCT((MOVIMIENTOS!$B$5:$B$1005="VENTA")*(MOVIMIENTOS!$C$5:$C$1005="C")*(MOVIMIENTOS!$D$5:$D$1005="jabas")*(MOVIMIENTOS!$A$5:$A$1005&lt;&gt;"")*(MOVIMIENTOS!$A$5:$A$1005&lt;=$A493)*MOVIMIENTOS!$E$5:$E$1005)+SUMPRODUCT((MOVIMIENTOS!$B$5:$B$1005="AJUSTE")*(MOVIMIENTOS!$C$5:$C$1005="C")*(MOVIMIENTOS!$D$5:$D$1005="jabas")*(MOVIMIENTOS!$A$5:$A$1005&lt;&gt;"")*(MOVIMIENTOS!$A$5:$A$1005&lt;=$A493)*MOVIMIENTOS!$E$5:$E$1005))</f>
        <v/>
      </c>
      <c r="E493" t="str">
        <f>IF($A493="","",SUMPRODUCT((MOVIMIENTOS!$B$5:$B$1005="SALDO INICIAL")*(MOVIMIENTOS!$C$5:$C$1005="M")*(MOVIMIENTOS!$D$5:$D$1005="jabas")*(MOVIMIENTOS!$A$5:$A$1005&lt;&gt;"")*(MOVIMIENTOS!$A$5:$A$1005&lt;=$A493)*MOVIMIENTOS!$E$5:$E$1005)+SUMPRODUCT((MOVIMIENTOS!$B$5:$B$1005="PROCESO")*(MOVIMIENTOS!$C$5:$C$1005="M")*(MOVIMIENTOS!$D$5:$D$1005="jabas")*(MOVIMIENTOS!$A$5:$A$1005&lt;&gt;"")*(MOVIMIENTOS!$A$5:$A$1005&lt;=$A493)*MOVIMIENTOS!$E$5:$E$1005)-SUMPRODUCT((MOVIMIENTOS!$B$5:$B$1005="ENVÍO A SUPESA")*(MOVIMIENTOS!$C$5:$C$1005="M")*(MOVIMIENTOS!$D$5:$D$1005="jabas")*(MOVIMIENTOS!$A$5:$A$1005&lt;&gt;"")*(MOVIMIENTOS!$A$5:$A$1005&lt;=$A493)*MOVIMIENTOS!$E$5:$E$1005)+SUMPRODUCT((MOVIMIENTOS!$B$5:$B$1005="DEVOLUCIÓN")*(MOVIMIENTOS!$C$5:$C$1005="M")*(MOVIMIENTOS!$D$5:$D$1005="jabas")*(MOVIMIENTOS!$A$5:$A$1005&lt;&gt;"")*(MOVIMIENTOS!$A$5:$A$1005&lt;=$A493)*MOVIMIENTOS!$E$5:$E$1005)-SUMPRODUCT((MOVIMIENTOS!$B$5:$B$1005="TRASIEGO")*(MOVIMIENTOS!$C$5:$C$1005="M")*(MOVIMIENTOS!$D$5:$D$1005="jabas")*(MOVIMIENTOS!$A$5:$A$1005&lt;&gt;"")*(MOVIMIENTOS!$A$5:$A$1005&lt;=$A493)*MOVIMIENTOS!$E$5:$E$1005)-SUMPRODUCT((MOVIMIENTOS!$B$5:$B$1005="REGALO")*(MOVIMIENTOS!$C$5:$C$1005="M")*(MOVIMIENTOS!$D$5:$D$1005="jabas")*(MOVIMIENTOS!$A$5:$A$1005&lt;&gt;"")*(MOVIMIENTOS!$A$5:$A$1005&lt;=$A493)*MOVIMIENTOS!$E$5:$E$1005)-SUMPRODUCT((MOVIMIENTOS!$B$5:$B$1005="VENTA")*(MOVIMIENTOS!$C$5:$C$1005="M")*(MOVIMIENTOS!$D$5:$D$1005="jabas")*(MOVIMIENTOS!$A$5:$A$1005&lt;&gt;"")*(MOVIMIENTOS!$A$5:$A$1005&lt;=$A493)*MOVIMIENTOS!$E$5:$E$1005)+SUMPRODUCT((MOVIMIENTOS!$B$5:$B$1005="AJUSTE")*(MOVIMIENTOS!$C$5:$C$1005="M")*(MOVIMIENTOS!$D$5:$D$1005="jabas")*(MOVIMIENTOS!$A$5:$A$1005&lt;&gt;"")*(MOVIMIENTOS!$A$5:$A$1005&lt;=$A493)*MOVIMIENTOS!$E$5:$E$1005))</f>
        <v/>
      </c>
      <c r="F493" s="62" t="str">
        <f>IF($A493="","",SUMPRODUCT((MOVIMIENTOS!$B$5:$B$1005="SALDO INICIAL")*(MOVIMIENTOS!$C$5:$C$1005="Chancho")*(MOVIMIENTOS!$D$5:$D$1005="sacos")*(MOVIMIENTOS!$A$5:$A$1005&lt;&gt;"")*(MOVIMIENTOS!$A$5:$A$1005&lt;=$A493)*MOVIMIENTOS!$E$5:$E$1005)+SUMPRODUCT((MOVIMIENTOS!$B$5:$B$1005="PROCESO")*(MOVIMIENTOS!$C$5:$C$1005="Chancho")*(MOVIMIENTOS!$D$5:$D$1005="sacos")*(MOVIMIENTOS!$A$5:$A$1005&lt;&gt;"")*(MOVIMIENTOS!$A$5:$A$1005&lt;=$A493)*MOVIMIENTOS!$E$5:$E$1005)-SUMPRODUCT((MOVIMIENTOS!$B$5:$B$1005="VENTA CHANCHO")*(MOVIMIENTOS!$C$5:$C$1005="Chancho")*(MOVIMIENTOS!$D$5:$D$1005="sacos")*(MOVIMIENTOS!$A$5:$A$1005&lt;&gt;"")*(MOVIMIENTOS!$A$5:$A$1005&lt;=$A493)*MOVIMIENTOS!$E$5:$E$1005)-SUMPRODUCT((MOVIMIENTOS!$B$5:$B$1005="REGALO")*(MOVIMIENTOS!$C$5:$C$1005="Chancho")*(MOVIMIENTOS!$D$5:$D$1005="sacos")*(MOVIMIENTOS!$A$5:$A$1005&lt;&gt;"")*(MOVIMIENTOS!$A$5:$A$1005&lt;=$A493)*MOVIMIENTOS!$E$5:$E$1005)-SUMPRODUCT((MOVIMIENTOS!$B$5:$B$1005="VENTA")*(MOVIMIENTOS!$C$5:$C$1005="Chancho")*(MOVIMIENTOS!$D$5:$D$1005="sacos")*(MOVIMIENTOS!$A$5:$A$1005&lt;&gt;"")*(MOVIMIENTOS!$A$5:$A$1005&lt;=$A493)*MOVIMIENTOS!$E$5:$E$1005)+SUMPRODUCT((MOVIMIENTOS!$B$5:$B$1005="AJUSTE")*(MOVIMIENTOS!$C$5:$C$1005="Chancho")*(MOVIMIENTOS!$D$5:$D$1005="sacos")*(MOVIMIENTOS!$A$5:$A$1005&lt;&gt;"")*(MOVIMIENTOS!$A$5:$A$1005&lt;=$A493)*MOVIMIENTOS!$E$5:$E$1005))</f>
        <v/>
      </c>
      <c r="G493" s="62" t="str">
        <f t="shared" si="15"/>
        <v/>
      </c>
      <c r="H493" t="str">
        <f>IF($A493="","",SUMPRODUCT((((MOVIMIENTOS!$B$5:$B$1005="SALDO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493)*MOVIMIENTOS!$J$5:$J$1005))</f>
        <v/>
      </c>
      <c r="J493" t="str">
        <f>IF(AND(MOVIMIENTOS!$A498&lt;&gt;"",COUNTIF(MOVIMIENTOS!$A$5:$A497,MOVIMIENTOS!$A498)=0),COUNT(J$4:J492)+1,"")</f>
        <v/>
      </c>
      <c r="K493">
        <f>MOVIMIENTOS!$A498</f>
        <v>0</v>
      </c>
    </row>
    <row r="494" spans="1:11" ht="15" customHeight="1" x14ac:dyDescent="0.2">
      <c r="A494" t="str">
        <f t="shared" si="14"/>
        <v/>
      </c>
      <c r="B494" t="str">
        <f>IF($A494="","",SUMPRODUCT((MOVIMIENTOS!$B$5:$B$1005="SALDO INICIAL")*(MOVIMIENTOS!$C$5:$C$1005="A")*(MOVIMIENTOS!$D$5:$D$1005="jabas")*(MOVIMIENTOS!$A$5:$A$1005&lt;&gt;"")*(MOVIMIENTOS!$A$5:$A$1005&lt;=$A494)*MOVIMIENTOS!$E$5:$E$1005)+SUMPRODUCT((MOVIMIENTOS!$B$5:$B$1005="PROCESO")*(MOVIMIENTOS!$C$5:$C$1005="A")*(MOVIMIENTOS!$D$5:$D$1005="jabas")*(MOVIMIENTOS!$A$5:$A$1005&lt;&gt;"")*(MOVIMIENTOS!$A$5:$A$1005&lt;=$A494)*MOVIMIENTOS!$E$5:$E$1005)-SUMPRODUCT((MOVIMIENTOS!$B$5:$B$1005="ENVÍO A SUPESA")*(MOVIMIENTOS!$C$5:$C$1005="A")*(MOVIMIENTOS!$D$5:$D$1005="jabas")*(MOVIMIENTOS!$A$5:$A$1005&lt;&gt;"")*(MOVIMIENTOS!$A$5:$A$1005&lt;=$A494)*MOVIMIENTOS!$E$5:$E$1005)+SUMPRODUCT((MOVIMIENTOS!$B$5:$B$1005="DEVOLUCIÓN")*(MOVIMIENTOS!$C$5:$C$1005="A")*(MOVIMIENTOS!$D$5:$D$1005="jabas")*(MOVIMIENTOS!$A$5:$A$1005&lt;&gt;"")*(MOVIMIENTOS!$A$5:$A$1005&lt;=$A494)*MOVIMIENTOS!$E$5:$E$1005)-SUMPRODUCT((MOVIMIENTOS!$B$5:$B$1005="TRASIEGO")*(MOVIMIENTOS!$C$5:$C$1005="A")*(MOVIMIENTOS!$D$5:$D$1005="jabas")*(MOVIMIENTOS!$A$5:$A$1005&lt;&gt;"")*(MOVIMIENTOS!$A$5:$A$1005&lt;=$A494)*MOVIMIENTOS!$E$5:$E$1005)-SUMPRODUCT((MOVIMIENTOS!$B$5:$B$1005="REGALO")*(MOVIMIENTOS!$C$5:$C$1005="A")*(MOVIMIENTOS!$D$5:$D$1005="jabas")*(MOVIMIENTOS!$A$5:$A$1005&lt;&gt;"")*(MOVIMIENTOS!$A$5:$A$1005&lt;=$A494)*MOVIMIENTOS!$E$5:$E$1005)-SUMPRODUCT((MOVIMIENTOS!$B$5:$B$1005="VENTA")*(MOVIMIENTOS!$C$5:$C$1005="A")*(MOVIMIENTOS!$D$5:$D$1005="jabas")*(MOVIMIENTOS!$A$5:$A$1005&lt;&gt;"")*(MOVIMIENTOS!$A$5:$A$1005&lt;=$A494)*MOVIMIENTOS!$E$5:$E$1005)+SUMPRODUCT((MOVIMIENTOS!$B$5:$B$1005="AJUSTE")*(MOVIMIENTOS!$C$5:$C$1005="A")*(MOVIMIENTOS!$D$5:$D$1005="jabas")*(MOVIMIENTOS!$A$5:$A$1005&lt;&gt;"")*(MOVIMIENTOS!$A$5:$A$1005&lt;=$A494)*MOVIMIENTOS!$E$5:$E$1005))</f>
        <v/>
      </c>
      <c r="C494" t="str">
        <f>IF($A494="","",SUMPRODUCT((MOVIMIENTOS!$B$5:$B$1005="SALDO INICIAL")*(MOVIMIENTOS!$C$5:$C$1005="P")*(MOVIMIENTOS!$D$5:$D$1005="jabas")*(MOVIMIENTOS!$A$5:$A$1005&lt;&gt;"")*(MOVIMIENTOS!$A$5:$A$1005&lt;=$A494)*MOVIMIENTOS!$E$5:$E$1005)+SUMPRODUCT((MOVIMIENTOS!$B$5:$B$1005="PROCESO")*(MOVIMIENTOS!$C$5:$C$1005="P")*(MOVIMIENTOS!$D$5:$D$1005="jabas")*(MOVIMIENTOS!$A$5:$A$1005&lt;&gt;"")*(MOVIMIENTOS!$A$5:$A$1005&lt;=$A494)*MOVIMIENTOS!$E$5:$E$1005)-SUMPRODUCT((MOVIMIENTOS!$B$5:$B$1005="ENVÍO A SUPESA")*(MOVIMIENTOS!$C$5:$C$1005="P")*(MOVIMIENTOS!$D$5:$D$1005="jabas")*(MOVIMIENTOS!$A$5:$A$1005&lt;&gt;"")*(MOVIMIENTOS!$A$5:$A$1005&lt;=$A494)*MOVIMIENTOS!$E$5:$E$1005)+SUMPRODUCT((MOVIMIENTOS!$B$5:$B$1005="DEVOLUCIÓN")*(MOVIMIENTOS!$C$5:$C$1005="P")*(MOVIMIENTOS!$D$5:$D$1005="jabas")*(MOVIMIENTOS!$A$5:$A$1005&lt;&gt;"")*(MOVIMIENTOS!$A$5:$A$1005&lt;=$A494)*MOVIMIENTOS!$E$5:$E$1005)-SUMPRODUCT((MOVIMIENTOS!$B$5:$B$1005="TRASIEGO")*(MOVIMIENTOS!$C$5:$C$1005="P")*(MOVIMIENTOS!$D$5:$D$1005="jabas")*(MOVIMIENTOS!$A$5:$A$1005&lt;&gt;"")*(MOVIMIENTOS!$A$5:$A$1005&lt;=$A494)*MOVIMIENTOS!$E$5:$E$1005)-SUMPRODUCT((MOVIMIENTOS!$B$5:$B$1005="REGALO")*(MOVIMIENTOS!$C$5:$C$1005="P")*(MOVIMIENTOS!$D$5:$D$1005="jabas")*(MOVIMIENTOS!$A$5:$A$1005&lt;&gt;"")*(MOVIMIENTOS!$A$5:$A$1005&lt;=$A494)*MOVIMIENTOS!$E$5:$E$1005)-SUMPRODUCT((MOVIMIENTOS!$B$5:$B$1005="VENTA")*(MOVIMIENTOS!$C$5:$C$1005="P")*(MOVIMIENTOS!$D$5:$D$1005="jabas")*(MOVIMIENTOS!$A$5:$A$1005&lt;&gt;"")*(MOVIMIENTOS!$A$5:$A$1005&lt;=$A494)*MOVIMIENTOS!$E$5:$E$1005)+SUMPRODUCT((MOVIMIENTOS!$B$5:$B$1005="AJUSTE")*(MOVIMIENTOS!$C$5:$C$1005="P")*(MOVIMIENTOS!$D$5:$D$1005="jabas")*(MOVIMIENTOS!$A$5:$A$1005&lt;&gt;"")*(MOVIMIENTOS!$A$5:$A$1005&lt;=$A494)*MOVIMIENTOS!$E$5:$E$1005))</f>
        <v/>
      </c>
      <c r="D494" t="str">
        <f>IF($A494="","",SUMPRODUCT((MOVIMIENTOS!$B$5:$B$1005="SALDO INICIAL")*(MOVIMIENTOS!$C$5:$C$1005="C")*(MOVIMIENTOS!$D$5:$D$1005="jabas")*(MOVIMIENTOS!$A$5:$A$1005&lt;&gt;"")*(MOVIMIENTOS!$A$5:$A$1005&lt;=$A494)*MOVIMIENTOS!$E$5:$E$1005)+SUMPRODUCT((MOVIMIENTOS!$B$5:$B$1005="PROCESO")*(MOVIMIENTOS!$C$5:$C$1005="C")*(MOVIMIENTOS!$D$5:$D$1005="jabas")*(MOVIMIENTOS!$A$5:$A$1005&lt;&gt;"")*(MOVIMIENTOS!$A$5:$A$1005&lt;=$A494)*MOVIMIENTOS!$E$5:$E$1005)-SUMPRODUCT((MOVIMIENTOS!$B$5:$B$1005="ENVÍO A SUPESA")*(MOVIMIENTOS!$C$5:$C$1005="C")*(MOVIMIENTOS!$D$5:$D$1005="jabas")*(MOVIMIENTOS!$A$5:$A$1005&lt;&gt;"")*(MOVIMIENTOS!$A$5:$A$1005&lt;=$A494)*MOVIMIENTOS!$E$5:$E$1005)+SUMPRODUCT((MOVIMIENTOS!$B$5:$B$1005="DEVOLUCIÓN")*(MOVIMIENTOS!$C$5:$C$1005="C")*(MOVIMIENTOS!$D$5:$D$1005="jabas")*(MOVIMIENTOS!$A$5:$A$1005&lt;&gt;"")*(MOVIMIENTOS!$A$5:$A$1005&lt;=$A494)*MOVIMIENTOS!$E$5:$E$1005)-SUMPRODUCT((MOVIMIENTOS!$B$5:$B$1005="TRASIEGO")*(MOVIMIENTOS!$C$5:$C$1005="C")*(MOVIMIENTOS!$D$5:$D$1005="jabas")*(MOVIMIENTOS!$A$5:$A$1005&lt;&gt;"")*(MOVIMIENTOS!$A$5:$A$1005&lt;=$A494)*MOVIMIENTOS!$E$5:$E$1005)-SUMPRODUCT((MOVIMIENTOS!$B$5:$B$1005="REGALO")*(MOVIMIENTOS!$C$5:$C$1005="C")*(MOVIMIENTOS!$D$5:$D$1005="jabas")*(MOVIMIENTOS!$A$5:$A$1005&lt;&gt;"")*(MOVIMIENTOS!$A$5:$A$1005&lt;=$A494)*MOVIMIENTOS!$E$5:$E$1005)-SUMPRODUCT((MOVIMIENTOS!$B$5:$B$1005="VENTA")*(MOVIMIENTOS!$C$5:$C$1005="C")*(MOVIMIENTOS!$D$5:$D$1005="jabas")*(MOVIMIENTOS!$A$5:$A$1005&lt;&gt;"")*(MOVIMIENTOS!$A$5:$A$1005&lt;=$A494)*MOVIMIENTOS!$E$5:$E$1005)+SUMPRODUCT((MOVIMIENTOS!$B$5:$B$1005="AJUSTE")*(MOVIMIENTOS!$C$5:$C$1005="C")*(MOVIMIENTOS!$D$5:$D$1005="jabas")*(MOVIMIENTOS!$A$5:$A$1005&lt;&gt;"")*(MOVIMIENTOS!$A$5:$A$1005&lt;=$A494)*MOVIMIENTOS!$E$5:$E$1005))</f>
        <v/>
      </c>
      <c r="E494" t="str">
        <f>IF($A494="","",SUMPRODUCT((MOVIMIENTOS!$B$5:$B$1005="SALDO INICIAL")*(MOVIMIENTOS!$C$5:$C$1005="M")*(MOVIMIENTOS!$D$5:$D$1005="jabas")*(MOVIMIENTOS!$A$5:$A$1005&lt;&gt;"")*(MOVIMIENTOS!$A$5:$A$1005&lt;=$A494)*MOVIMIENTOS!$E$5:$E$1005)+SUMPRODUCT((MOVIMIENTOS!$B$5:$B$1005="PROCESO")*(MOVIMIENTOS!$C$5:$C$1005="M")*(MOVIMIENTOS!$D$5:$D$1005="jabas")*(MOVIMIENTOS!$A$5:$A$1005&lt;&gt;"")*(MOVIMIENTOS!$A$5:$A$1005&lt;=$A494)*MOVIMIENTOS!$E$5:$E$1005)-SUMPRODUCT((MOVIMIENTOS!$B$5:$B$1005="ENVÍO A SUPESA")*(MOVIMIENTOS!$C$5:$C$1005="M")*(MOVIMIENTOS!$D$5:$D$1005="jabas")*(MOVIMIENTOS!$A$5:$A$1005&lt;&gt;"")*(MOVIMIENTOS!$A$5:$A$1005&lt;=$A494)*MOVIMIENTOS!$E$5:$E$1005)+SUMPRODUCT((MOVIMIENTOS!$B$5:$B$1005="DEVOLUCIÓN")*(MOVIMIENTOS!$C$5:$C$1005="M")*(MOVIMIENTOS!$D$5:$D$1005="jabas")*(MOVIMIENTOS!$A$5:$A$1005&lt;&gt;"")*(MOVIMIENTOS!$A$5:$A$1005&lt;=$A494)*MOVIMIENTOS!$E$5:$E$1005)-SUMPRODUCT((MOVIMIENTOS!$B$5:$B$1005="TRASIEGO")*(MOVIMIENTOS!$C$5:$C$1005="M")*(MOVIMIENTOS!$D$5:$D$1005="jabas")*(MOVIMIENTOS!$A$5:$A$1005&lt;&gt;"")*(MOVIMIENTOS!$A$5:$A$1005&lt;=$A494)*MOVIMIENTOS!$E$5:$E$1005)-SUMPRODUCT((MOVIMIENTOS!$B$5:$B$1005="REGALO")*(MOVIMIENTOS!$C$5:$C$1005="M")*(MOVIMIENTOS!$D$5:$D$1005="jabas")*(MOVIMIENTOS!$A$5:$A$1005&lt;&gt;"")*(MOVIMIENTOS!$A$5:$A$1005&lt;=$A494)*MOVIMIENTOS!$E$5:$E$1005)-SUMPRODUCT((MOVIMIENTOS!$B$5:$B$1005="VENTA")*(MOVIMIENTOS!$C$5:$C$1005="M")*(MOVIMIENTOS!$D$5:$D$1005="jabas")*(MOVIMIENTOS!$A$5:$A$1005&lt;&gt;"")*(MOVIMIENTOS!$A$5:$A$1005&lt;=$A494)*MOVIMIENTOS!$E$5:$E$1005)+SUMPRODUCT((MOVIMIENTOS!$B$5:$B$1005="AJUSTE")*(MOVIMIENTOS!$C$5:$C$1005="M")*(MOVIMIENTOS!$D$5:$D$1005="jabas")*(MOVIMIENTOS!$A$5:$A$1005&lt;&gt;"")*(MOVIMIENTOS!$A$5:$A$1005&lt;=$A494)*MOVIMIENTOS!$E$5:$E$1005))</f>
        <v/>
      </c>
      <c r="F494" s="62" t="str">
        <f>IF($A494="","",SUMPRODUCT((MOVIMIENTOS!$B$5:$B$1005="SALDO INICIAL")*(MOVIMIENTOS!$C$5:$C$1005="Chancho")*(MOVIMIENTOS!$D$5:$D$1005="sacos")*(MOVIMIENTOS!$A$5:$A$1005&lt;&gt;"")*(MOVIMIENTOS!$A$5:$A$1005&lt;=$A494)*MOVIMIENTOS!$E$5:$E$1005)+SUMPRODUCT((MOVIMIENTOS!$B$5:$B$1005="PROCESO")*(MOVIMIENTOS!$C$5:$C$1005="Chancho")*(MOVIMIENTOS!$D$5:$D$1005="sacos")*(MOVIMIENTOS!$A$5:$A$1005&lt;&gt;"")*(MOVIMIENTOS!$A$5:$A$1005&lt;=$A494)*MOVIMIENTOS!$E$5:$E$1005)-SUMPRODUCT((MOVIMIENTOS!$B$5:$B$1005="VENTA CHANCHO")*(MOVIMIENTOS!$C$5:$C$1005="Chancho")*(MOVIMIENTOS!$D$5:$D$1005="sacos")*(MOVIMIENTOS!$A$5:$A$1005&lt;&gt;"")*(MOVIMIENTOS!$A$5:$A$1005&lt;=$A494)*MOVIMIENTOS!$E$5:$E$1005)-SUMPRODUCT((MOVIMIENTOS!$B$5:$B$1005="REGALO")*(MOVIMIENTOS!$C$5:$C$1005="Chancho")*(MOVIMIENTOS!$D$5:$D$1005="sacos")*(MOVIMIENTOS!$A$5:$A$1005&lt;&gt;"")*(MOVIMIENTOS!$A$5:$A$1005&lt;=$A494)*MOVIMIENTOS!$E$5:$E$1005)-SUMPRODUCT((MOVIMIENTOS!$B$5:$B$1005="VENTA")*(MOVIMIENTOS!$C$5:$C$1005="Chancho")*(MOVIMIENTOS!$D$5:$D$1005="sacos")*(MOVIMIENTOS!$A$5:$A$1005&lt;&gt;"")*(MOVIMIENTOS!$A$5:$A$1005&lt;=$A494)*MOVIMIENTOS!$E$5:$E$1005)+SUMPRODUCT((MOVIMIENTOS!$B$5:$B$1005="AJUSTE")*(MOVIMIENTOS!$C$5:$C$1005="Chancho")*(MOVIMIENTOS!$D$5:$D$1005="sacos")*(MOVIMIENTOS!$A$5:$A$1005&lt;&gt;"")*(MOVIMIENTOS!$A$5:$A$1005&lt;=$A494)*MOVIMIENTOS!$E$5:$E$1005))</f>
        <v/>
      </c>
      <c r="G494" s="62" t="str">
        <f t="shared" si="15"/>
        <v/>
      </c>
      <c r="H494" t="str">
        <f>IF($A494="","",SUMPRODUCT((((MOVIMIENTOS!$B$5:$B$1005="SALDO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494)*MOVIMIENTOS!$J$5:$J$1005))</f>
        <v/>
      </c>
      <c r="J494" t="str">
        <f>IF(AND(MOVIMIENTOS!$A499&lt;&gt;"",COUNTIF(MOVIMIENTOS!$A$5:$A498,MOVIMIENTOS!$A499)=0),COUNT(J$4:J493)+1,"")</f>
        <v/>
      </c>
      <c r="K494">
        <f>MOVIMIENTOS!$A499</f>
        <v>0</v>
      </c>
    </row>
    <row r="495" spans="1:11" ht="15" customHeight="1" x14ac:dyDescent="0.2">
      <c r="A495" t="str">
        <f t="shared" si="14"/>
        <v/>
      </c>
      <c r="B495" t="str">
        <f>IF($A495="","",SUMPRODUCT((MOVIMIENTOS!$B$5:$B$1005="SALDO INICIAL")*(MOVIMIENTOS!$C$5:$C$1005="A")*(MOVIMIENTOS!$D$5:$D$1005="jabas")*(MOVIMIENTOS!$A$5:$A$1005&lt;&gt;"")*(MOVIMIENTOS!$A$5:$A$1005&lt;=$A495)*MOVIMIENTOS!$E$5:$E$1005)+SUMPRODUCT((MOVIMIENTOS!$B$5:$B$1005="PROCESO")*(MOVIMIENTOS!$C$5:$C$1005="A")*(MOVIMIENTOS!$D$5:$D$1005="jabas")*(MOVIMIENTOS!$A$5:$A$1005&lt;&gt;"")*(MOVIMIENTOS!$A$5:$A$1005&lt;=$A495)*MOVIMIENTOS!$E$5:$E$1005)-SUMPRODUCT((MOVIMIENTOS!$B$5:$B$1005="ENVÍO A SUPESA")*(MOVIMIENTOS!$C$5:$C$1005="A")*(MOVIMIENTOS!$D$5:$D$1005="jabas")*(MOVIMIENTOS!$A$5:$A$1005&lt;&gt;"")*(MOVIMIENTOS!$A$5:$A$1005&lt;=$A495)*MOVIMIENTOS!$E$5:$E$1005)+SUMPRODUCT((MOVIMIENTOS!$B$5:$B$1005="DEVOLUCIÓN")*(MOVIMIENTOS!$C$5:$C$1005="A")*(MOVIMIENTOS!$D$5:$D$1005="jabas")*(MOVIMIENTOS!$A$5:$A$1005&lt;&gt;"")*(MOVIMIENTOS!$A$5:$A$1005&lt;=$A495)*MOVIMIENTOS!$E$5:$E$1005)-SUMPRODUCT((MOVIMIENTOS!$B$5:$B$1005="TRASIEGO")*(MOVIMIENTOS!$C$5:$C$1005="A")*(MOVIMIENTOS!$D$5:$D$1005="jabas")*(MOVIMIENTOS!$A$5:$A$1005&lt;&gt;"")*(MOVIMIENTOS!$A$5:$A$1005&lt;=$A495)*MOVIMIENTOS!$E$5:$E$1005)-SUMPRODUCT((MOVIMIENTOS!$B$5:$B$1005="REGALO")*(MOVIMIENTOS!$C$5:$C$1005="A")*(MOVIMIENTOS!$D$5:$D$1005="jabas")*(MOVIMIENTOS!$A$5:$A$1005&lt;&gt;"")*(MOVIMIENTOS!$A$5:$A$1005&lt;=$A495)*MOVIMIENTOS!$E$5:$E$1005)-SUMPRODUCT((MOVIMIENTOS!$B$5:$B$1005="VENTA")*(MOVIMIENTOS!$C$5:$C$1005="A")*(MOVIMIENTOS!$D$5:$D$1005="jabas")*(MOVIMIENTOS!$A$5:$A$1005&lt;&gt;"")*(MOVIMIENTOS!$A$5:$A$1005&lt;=$A495)*MOVIMIENTOS!$E$5:$E$1005)+SUMPRODUCT((MOVIMIENTOS!$B$5:$B$1005="AJUSTE")*(MOVIMIENTOS!$C$5:$C$1005="A")*(MOVIMIENTOS!$D$5:$D$1005="jabas")*(MOVIMIENTOS!$A$5:$A$1005&lt;&gt;"")*(MOVIMIENTOS!$A$5:$A$1005&lt;=$A495)*MOVIMIENTOS!$E$5:$E$1005))</f>
        <v/>
      </c>
      <c r="C495" t="str">
        <f>IF($A495="","",SUMPRODUCT((MOVIMIENTOS!$B$5:$B$1005="SALDO INICIAL")*(MOVIMIENTOS!$C$5:$C$1005="P")*(MOVIMIENTOS!$D$5:$D$1005="jabas")*(MOVIMIENTOS!$A$5:$A$1005&lt;&gt;"")*(MOVIMIENTOS!$A$5:$A$1005&lt;=$A495)*MOVIMIENTOS!$E$5:$E$1005)+SUMPRODUCT((MOVIMIENTOS!$B$5:$B$1005="PROCESO")*(MOVIMIENTOS!$C$5:$C$1005="P")*(MOVIMIENTOS!$D$5:$D$1005="jabas")*(MOVIMIENTOS!$A$5:$A$1005&lt;&gt;"")*(MOVIMIENTOS!$A$5:$A$1005&lt;=$A495)*MOVIMIENTOS!$E$5:$E$1005)-SUMPRODUCT((MOVIMIENTOS!$B$5:$B$1005="ENVÍO A SUPESA")*(MOVIMIENTOS!$C$5:$C$1005="P")*(MOVIMIENTOS!$D$5:$D$1005="jabas")*(MOVIMIENTOS!$A$5:$A$1005&lt;&gt;"")*(MOVIMIENTOS!$A$5:$A$1005&lt;=$A495)*MOVIMIENTOS!$E$5:$E$1005)+SUMPRODUCT((MOVIMIENTOS!$B$5:$B$1005="DEVOLUCIÓN")*(MOVIMIENTOS!$C$5:$C$1005="P")*(MOVIMIENTOS!$D$5:$D$1005="jabas")*(MOVIMIENTOS!$A$5:$A$1005&lt;&gt;"")*(MOVIMIENTOS!$A$5:$A$1005&lt;=$A495)*MOVIMIENTOS!$E$5:$E$1005)-SUMPRODUCT((MOVIMIENTOS!$B$5:$B$1005="TRASIEGO")*(MOVIMIENTOS!$C$5:$C$1005="P")*(MOVIMIENTOS!$D$5:$D$1005="jabas")*(MOVIMIENTOS!$A$5:$A$1005&lt;&gt;"")*(MOVIMIENTOS!$A$5:$A$1005&lt;=$A495)*MOVIMIENTOS!$E$5:$E$1005)-SUMPRODUCT((MOVIMIENTOS!$B$5:$B$1005="REGALO")*(MOVIMIENTOS!$C$5:$C$1005="P")*(MOVIMIENTOS!$D$5:$D$1005="jabas")*(MOVIMIENTOS!$A$5:$A$1005&lt;&gt;"")*(MOVIMIENTOS!$A$5:$A$1005&lt;=$A495)*MOVIMIENTOS!$E$5:$E$1005)-SUMPRODUCT((MOVIMIENTOS!$B$5:$B$1005="VENTA")*(MOVIMIENTOS!$C$5:$C$1005="P")*(MOVIMIENTOS!$D$5:$D$1005="jabas")*(MOVIMIENTOS!$A$5:$A$1005&lt;&gt;"")*(MOVIMIENTOS!$A$5:$A$1005&lt;=$A495)*MOVIMIENTOS!$E$5:$E$1005)+SUMPRODUCT((MOVIMIENTOS!$B$5:$B$1005="AJUSTE")*(MOVIMIENTOS!$C$5:$C$1005="P")*(MOVIMIENTOS!$D$5:$D$1005="jabas")*(MOVIMIENTOS!$A$5:$A$1005&lt;&gt;"")*(MOVIMIENTOS!$A$5:$A$1005&lt;=$A495)*MOVIMIENTOS!$E$5:$E$1005))</f>
        <v/>
      </c>
      <c r="D495" t="str">
        <f>IF($A495="","",SUMPRODUCT((MOVIMIENTOS!$B$5:$B$1005="SALDO INICIAL")*(MOVIMIENTOS!$C$5:$C$1005="C")*(MOVIMIENTOS!$D$5:$D$1005="jabas")*(MOVIMIENTOS!$A$5:$A$1005&lt;&gt;"")*(MOVIMIENTOS!$A$5:$A$1005&lt;=$A495)*MOVIMIENTOS!$E$5:$E$1005)+SUMPRODUCT((MOVIMIENTOS!$B$5:$B$1005="PROCESO")*(MOVIMIENTOS!$C$5:$C$1005="C")*(MOVIMIENTOS!$D$5:$D$1005="jabas")*(MOVIMIENTOS!$A$5:$A$1005&lt;&gt;"")*(MOVIMIENTOS!$A$5:$A$1005&lt;=$A495)*MOVIMIENTOS!$E$5:$E$1005)-SUMPRODUCT((MOVIMIENTOS!$B$5:$B$1005="ENVÍO A SUPESA")*(MOVIMIENTOS!$C$5:$C$1005="C")*(MOVIMIENTOS!$D$5:$D$1005="jabas")*(MOVIMIENTOS!$A$5:$A$1005&lt;&gt;"")*(MOVIMIENTOS!$A$5:$A$1005&lt;=$A495)*MOVIMIENTOS!$E$5:$E$1005)+SUMPRODUCT((MOVIMIENTOS!$B$5:$B$1005="DEVOLUCIÓN")*(MOVIMIENTOS!$C$5:$C$1005="C")*(MOVIMIENTOS!$D$5:$D$1005="jabas")*(MOVIMIENTOS!$A$5:$A$1005&lt;&gt;"")*(MOVIMIENTOS!$A$5:$A$1005&lt;=$A495)*MOVIMIENTOS!$E$5:$E$1005)-SUMPRODUCT((MOVIMIENTOS!$B$5:$B$1005="TRASIEGO")*(MOVIMIENTOS!$C$5:$C$1005="C")*(MOVIMIENTOS!$D$5:$D$1005="jabas")*(MOVIMIENTOS!$A$5:$A$1005&lt;&gt;"")*(MOVIMIENTOS!$A$5:$A$1005&lt;=$A495)*MOVIMIENTOS!$E$5:$E$1005)-SUMPRODUCT((MOVIMIENTOS!$B$5:$B$1005="REGALO")*(MOVIMIENTOS!$C$5:$C$1005="C")*(MOVIMIENTOS!$D$5:$D$1005="jabas")*(MOVIMIENTOS!$A$5:$A$1005&lt;&gt;"")*(MOVIMIENTOS!$A$5:$A$1005&lt;=$A495)*MOVIMIENTOS!$E$5:$E$1005)-SUMPRODUCT((MOVIMIENTOS!$B$5:$B$1005="VENTA")*(MOVIMIENTOS!$C$5:$C$1005="C")*(MOVIMIENTOS!$D$5:$D$1005="jabas")*(MOVIMIENTOS!$A$5:$A$1005&lt;&gt;"")*(MOVIMIENTOS!$A$5:$A$1005&lt;=$A495)*MOVIMIENTOS!$E$5:$E$1005)+SUMPRODUCT((MOVIMIENTOS!$B$5:$B$1005="AJUSTE")*(MOVIMIENTOS!$C$5:$C$1005="C")*(MOVIMIENTOS!$D$5:$D$1005="jabas")*(MOVIMIENTOS!$A$5:$A$1005&lt;&gt;"")*(MOVIMIENTOS!$A$5:$A$1005&lt;=$A495)*MOVIMIENTOS!$E$5:$E$1005))</f>
        <v/>
      </c>
      <c r="E495" t="str">
        <f>IF($A495="","",SUMPRODUCT((MOVIMIENTOS!$B$5:$B$1005="SALDO INICIAL")*(MOVIMIENTOS!$C$5:$C$1005="M")*(MOVIMIENTOS!$D$5:$D$1005="jabas")*(MOVIMIENTOS!$A$5:$A$1005&lt;&gt;"")*(MOVIMIENTOS!$A$5:$A$1005&lt;=$A495)*MOVIMIENTOS!$E$5:$E$1005)+SUMPRODUCT((MOVIMIENTOS!$B$5:$B$1005="PROCESO")*(MOVIMIENTOS!$C$5:$C$1005="M")*(MOVIMIENTOS!$D$5:$D$1005="jabas")*(MOVIMIENTOS!$A$5:$A$1005&lt;&gt;"")*(MOVIMIENTOS!$A$5:$A$1005&lt;=$A495)*MOVIMIENTOS!$E$5:$E$1005)-SUMPRODUCT((MOVIMIENTOS!$B$5:$B$1005="ENVÍO A SUPESA")*(MOVIMIENTOS!$C$5:$C$1005="M")*(MOVIMIENTOS!$D$5:$D$1005="jabas")*(MOVIMIENTOS!$A$5:$A$1005&lt;&gt;"")*(MOVIMIENTOS!$A$5:$A$1005&lt;=$A495)*MOVIMIENTOS!$E$5:$E$1005)+SUMPRODUCT((MOVIMIENTOS!$B$5:$B$1005="DEVOLUCIÓN")*(MOVIMIENTOS!$C$5:$C$1005="M")*(MOVIMIENTOS!$D$5:$D$1005="jabas")*(MOVIMIENTOS!$A$5:$A$1005&lt;&gt;"")*(MOVIMIENTOS!$A$5:$A$1005&lt;=$A495)*MOVIMIENTOS!$E$5:$E$1005)-SUMPRODUCT((MOVIMIENTOS!$B$5:$B$1005="TRASIEGO")*(MOVIMIENTOS!$C$5:$C$1005="M")*(MOVIMIENTOS!$D$5:$D$1005="jabas")*(MOVIMIENTOS!$A$5:$A$1005&lt;&gt;"")*(MOVIMIENTOS!$A$5:$A$1005&lt;=$A495)*MOVIMIENTOS!$E$5:$E$1005)-SUMPRODUCT((MOVIMIENTOS!$B$5:$B$1005="REGALO")*(MOVIMIENTOS!$C$5:$C$1005="M")*(MOVIMIENTOS!$D$5:$D$1005="jabas")*(MOVIMIENTOS!$A$5:$A$1005&lt;&gt;"")*(MOVIMIENTOS!$A$5:$A$1005&lt;=$A495)*MOVIMIENTOS!$E$5:$E$1005)-SUMPRODUCT((MOVIMIENTOS!$B$5:$B$1005="VENTA")*(MOVIMIENTOS!$C$5:$C$1005="M")*(MOVIMIENTOS!$D$5:$D$1005="jabas")*(MOVIMIENTOS!$A$5:$A$1005&lt;&gt;"")*(MOVIMIENTOS!$A$5:$A$1005&lt;=$A495)*MOVIMIENTOS!$E$5:$E$1005)+SUMPRODUCT((MOVIMIENTOS!$B$5:$B$1005="AJUSTE")*(MOVIMIENTOS!$C$5:$C$1005="M")*(MOVIMIENTOS!$D$5:$D$1005="jabas")*(MOVIMIENTOS!$A$5:$A$1005&lt;&gt;"")*(MOVIMIENTOS!$A$5:$A$1005&lt;=$A495)*MOVIMIENTOS!$E$5:$E$1005))</f>
        <v/>
      </c>
      <c r="F495" s="62" t="str">
        <f>IF($A495="","",SUMPRODUCT((MOVIMIENTOS!$B$5:$B$1005="SALDO INICIAL")*(MOVIMIENTOS!$C$5:$C$1005="Chancho")*(MOVIMIENTOS!$D$5:$D$1005="sacos")*(MOVIMIENTOS!$A$5:$A$1005&lt;&gt;"")*(MOVIMIENTOS!$A$5:$A$1005&lt;=$A495)*MOVIMIENTOS!$E$5:$E$1005)+SUMPRODUCT((MOVIMIENTOS!$B$5:$B$1005="PROCESO")*(MOVIMIENTOS!$C$5:$C$1005="Chancho")*(MOVIMIENTOS!$D$5:$D$1005="sacos")*(MOVIMIENTOS!$A$5:$A$1005&lt;&gt;"")*(MOVIMIENTOS!$A$5:$A$1005&lt;=$A495)*MOVIMIENTOS!$E$5:$E$1005)-SUMPRODUCT((MOVIMIENTOS!$B$5:$B$1005="VENTA CHANCHO")*(MOVIMIENTOS!$C$5:$C$1005="Chancho")*(MOVIMIENTOS!$D$5:$D$1005="sacos")*(MOVIMIENTOS!$A$5:$A$1005&lt;&gt;"")*(MOVIMIENTOS!$A$5:$A$1005&lt;=$A495)*MOVIMIENTOS!$E$5:$E$1005)-SUMPRODUCT((MOVIMIENTOS!$B$5:$B$1005="REGALO")*(MOVIMIENTOS!$C$5:$C$1005="Chancho")*(MOVIMIENTOS!$D$5:$D$1005="sacos")*(MOVIMIENTOS!$A$5:$A$1005&lt;&gt;"")*(MOVIMIENTOS!$A$5:$A$1005&lt;=$A495)*MOVIMIENTOS!$E$5:$E$1005)-SUMPRODUCT((MOVIMIENTOS!$B$5:$B$1005="VENTA")*(MOVIMIENTOS!$C$5:$C$1005="Chancho")*(MOVIMIENTOS!$D$5:$D$1005="sacos")*(MOVIMIENTOS!$A$5:$A$1005&lt;&gt;"")*(MOVIMIENTOS!$A$5:$A$1005&lt;=$A495)*MOVIMIENTOS!$E$5:$E$1005)+SUMPRODUCT((MOVIMIENTOS!$B$5:$B$1005="AJUSTE")*(MOVIMIENTOS!$C$5:$C$1005="Chancho")*(MOVIMIENTOS!$D$5:$D$1005="sacos")*(MOVIMIENTOS!$A$5:$A$1005&lt;&gt;"")*(MOVIMIENTOS!$A$5:$A$1005&lt;=$A495)*MOVIMIENTOS!$E$5:$E$1005))</f>
        <v/>
      </c>
      <c r="G495" s="62" t="str">
        <f t="shared" si="15"/>
        <v/>
      </c>
      <c r="H495" t="str">
        <f>IF($A495="","",SUMPRODUCT((((MOVIMIENTOS!$B$5:$B$1005="SALDO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495)*MOVIMIENTOS!$J$5:$J$1005))</f>
        <v/>
      </c>
      <c r="J495" t="str">
        <f>IF(AND(MOVIMIENTOS!$A500&lt;&gt;"",COUNTIF(MOVIMIENTOS!$A$5:$A499,MOVIMIENTOS!$A500)=0),COUNT(J$4:J494)+1,"")</f>
        <v/>
      </c>
      <c r="K495">
        <f>MOVIMIENTOS!$A500</f>
        <v>0</v>
      </c>
    </row>
    <row r="496" spans="1:11" ht="15" customHeight="1" x14ac:dyDescent="0.2">
      <c r="A496" t="str">
        <f t="shared" si="14"/>
        <v/>
      </c>
      <c r="B496" t="str">
        <f>IF($A496="","",SUMPRODUCT((MOVIMIENTOS!$B$5:$B$1005="SALDO INICIAL")*(MOVIMIENTOS!$C$5:$C$1005="A")*(MOVIMIENTOS!$D$5:$D$1005="jabas")*(MOVIMIENTOS!$A$5:$A$1005&lt;&gt;"")*(MOVIMIENTOS!$A$5:$A$1005&lt;=$A496)*MOVIMIENTOS!$E$5:$E$1005)+SUMPRODUCT((MOVIMIENTOS!$B$5:$B$1005="PROCESO")*(MOVIMIENTOS!$C$5:$C$1005="A")*(MOVIMIENTOS!$D$5:$D$1005="jabas")*(MOVIMIENTOS!$A$5:$A$1005&lt;&gt;"")*(MOVIMIENTOS!$A$5:$A$1005&lt;=$A496)*MOVIMIENTOS!$E$5:$E$1005)-SUMPRODUCT((MOVIMIENTOS!$B$5:$B$1005="ENVÍO A SUPESA")*(MOVIMIENTOS!$C$5:$C$1005="A")*(MOVIMIENTOS!$D$5:$D$1005="jabas")*(MOVIMIENTOS!$A$5:$A$1005&lt;&gt;"")*(MOVIMIENTOS!$A$5:$A$1005&lt;=$A496)*MOVIMIENTOS!$E$5:$E$1005)+SUMPRODUCT((MOVIMIENTOS!$B$5:$B$1005="DEVOLUCIÓN")*(MOVIMIENTOS!$C$5:$C$1005="A")*(MOVIMIENTOS!$D$5:$D$1005="jabas")*(MOVIMIENTOS!$A$5:$A$1005&lt;&gt;"")*(MOVIMIENTOS!$A$5:$A$1005&lt;=$A496)*MOVIMIENTOS!$E$5:$E$1005)-SUMPRODUCT((MOVIMIENTOS!$B$5:$B$1005="TRASIEGO")*(MOVIMIENTOS!$C$5:$C$1005="A")*(MOVIMIENTOS!$D$5:$D$1005="jabas")*(MOVIMIENTOS!$A$5:$A$1005&lt;&gt;"")*(MOVIMIENTOS!$A$5:$A$1005&lt;=$A496)*MOVIMIENTOS!$E$5:$E$1005)-SUMPRODUCT((MOVIMIENTOS!$B$5:$B$1005="REGALO")*(MOVIMIENTOS!$C$5:$C$1005="A")*(MOVIMIENTOS!$D$5:$D$1005="jabas")*(MOVIMIENTOS!$A$5:$A$1005&lt;&gt;"")*(MOVIMIENTOS!$A$5:$A$1005&lt;=$A496)*MOVIMIENTOS!$E$5:$E$1005)-SUMPRODUCT((MOVIMIENTOS!$B$5:$B$1005="VENTA")*(MOVIMIENTOS!$C$5:$C$1005="A")*(MOVIMIENTOS!$D$5:$D$1005="jabas")*(MOVIMIENTOS!$A$5:$A$1005&lt;&gt;"")*(MOVIMIENTOS!$A$5:$A$1005&lt;=$A496)*MOVIMIENTOS!$E$5:$E$1005)+SUMPRODUCT((MOVIMIENTOS!$B$5:$B$1005="AJUSTE")*(MOVIMIENTOS!$C$5:$C$1005="A")*(MOVIMIENTOS!$D$5:$D$1005="jabas")*(MOVIMIENTOS!$A$5:$A$1005&lt;&gt;"")*(MOVIMIENTOS!$A$5:$A$1005&lt;=$A496)*MOVIMIENTOS!$E$5:$E$1005))</f>
        <v/>
      </c>
      <c r="C496" t="str">
        <f>IF($A496="","",SUMPRODUCT((MOVIMIENTOS!$B$5:$B$1005="SALDO INICIAL")*(MOVIMIENTOS!$C$5:$C$1005="P")*(MOVIMIENTOS!$D$5:$D$1005="jabas")*(MOVIMIENTOS!$A$5:$A$1005&lt;&gt;"")*(MOVIMIENTOS!$A$5:$A$1005&lt;=$A496)*MOVIMIENTOS!$E$5:$E$1005)+SUMPRODUCT((MOVIMIENTOS!$B$5:$B$1005="PROCESO")*(MOVIMIENTOS!$C$5:$C$1005="P")*(MOVIMIENTOS!$D$5:$D$1005="jabas")*(MOVIMIENTOS!$A$5:$A$1005&lt;&gt;"")*(MOVIMIENTOS!$A$5:$A$1005&lt;=$A496)*MOVIMIENTOS!$E$5:$E$1005)-SUMPRODUCT((MOVIMIENTOS!$B$5:$B$1005="ENVÍO A SUPESA")*(MOVIMIENTOS!$C$5:$C$1005="P")*(MOVIMIENTOS!$D$5:$D$1005="jabas")*(MOVIMIENTOS!$A$5:$A$1005&lt;&gt;"")*(MOVIMIENTOS!$A$5:$A$1005&lt;=$A496)*MOVIMIENTOS!$E$5:$E$1005)+SUMPRODUCT((MOVIMIENTOS!$B$5:$B$1005="DEVOLUCIÓN")*(MOVIMIENTOS!$C$5:$C$1005="P")*(MOVIMIENTOS!$D$5:$D$1005="jabas")*(MOVIMIENTOS!$A$5:$A$1005&lt;&gt;"")*(MOVIMIENTOS!$A$5:$A$1005&lt;=$A496)*MOVIMIENTOS!$E$5:$E$1005)-SUMPRODUCT((MOVIMIENTOS!$B$5:$B$1005="TRASIEGO")*(MOVIMIENTOS!$C$5:$C$1005="P")*(MOVIMIENTOS!$D$5:$D$1005="jabas")*(MOVIMIENTOS!$A$5:$A$1005&lt;&gt;"")*(MOVIMIENTOS!$A$5:$A$1005&lt;=$A496)*MOVIMIENTOS!$E$5:$E$1005)-SUMPRODUCT((MOVIMIENTOS!$B$5:$B$1005="REGALO")*(MOVIMIENTOS!$C$5:$C$1005="P")*(MOVIMIENTOS!$D$5:$D$1005="jabas")*(MOVIMIENTOS!$A$5:$A$1005&lt;&gt;"")*(MOVIMIENTOS!$A$5:$A$1005&lt;=$A496)*MOVIMIENTOS!$E$5:$E$1005)-SUMPRODUCT((MOVIMIENTOS!$B$5:$B$1005="VENTA")*(MOVIMIENTOS!$C$5:$C$1005="P")*(MOVIMIENTOS!$D$5:$D$1005="jabas")*(MOVIMIENTOS!$A$5:$A$1005&lt;&gt;"")*(MOVIMIENTOS!$A$5:$A$1005&lt;=$A496)*MOVIMIENTOS!$E$5:$E$1005)+SUMPRODUCT((MOVIMIENTOS!$B$5:$B$1005="AJUSTE")*(MOVIMIENTOS!$C$5:$C$1005="P")*(MOVIMIENTOS!$D$5:$D$1005="jabas")*(MOVIMIENTOS!$A$5:$A$1005&lt;&gt;"")*(MOVIMIENTOS!$A$5:$A$1005&lt;=$A496)*MOVIMIENTOS!$E$5:$E$1005))</f>
        <v/>
      </c>
      <c r="D496" t="str">
        <f>IF($A496="","",SUMPRODUCT((MOVIMIENTOS!$B$5:$B$1005="SALDO INICIAL")*(MOVIMIENTOS!$C$5:$C$1005="C")*(MOVIMIENTOS!$D$5:$D$1005="jabas")*(MOVIMIENTOS!$A$5:$A$1005&lt;&gt;"")*(MOVIMIENTOS!$A$5:$A$1005&lt;=$A496)*MOVIMIENTOS!$E$5:$E$1005)+SUMPRODUCT((MOVIMIENTOS!$B$5:$B$1005="PROCESO")*(MOVIMIENTOS!$C$5:$C$1005="C")*(MOVIMIENTOS!$D$5:$D$1005="jabas")*(MOVIMIENTOS!$A$5:$A$1005&lt;&gt;"")*(MOVIMIENTOS!$A$5:$A$1005&lt;=$A496)*MOVIMIENTOS!$E$5:$E$1005)-SUMPRODUCT((MOVIMIENTOS!$B$5:$B$1005="ENVÍO A SUPESA")*(MOVIMIENTOS!$C$5:$C$1005="C")*(MOVIMIENTOS!$D$5:$D$1005="jabas")*(MOVIMIENTOS!$A$5:$A$1005&lt;&gt;"")*(MOVIMIENTOS!$A$5:$A$1005&lt;=$A496)*MOVIMIENTOS!$E$5:$E$1005)+SUMPRODUCT((MOVIMIENTOS!$B$5:$B$1005="DEVOLUCIÓN")*(MOVIMIENTOS!$C$5:$C$1005="C")*(MOVIMIENTOS!$D$5:$D$1005="jabas")*(MOVIMIENTOS!$A$5:$A$1005&lt;&gt;"")*(MOVIMIENTOS!$A$5:$A$1005&lt;=$A496)*MOVIMIENTOS!$E$5:$E$1005)-SUMPRODUCT((MOVIMIENTOS!$B$5:$B$1005="TRASIEGO")*(MOVIMIENTOS!$C$5:$C$1005="C")*(MOVIMIENTOS!$D$5:$D$1005="jabas")*(MOVIMIENTOS!$A$5:$A$1005&lt;&gt;"")*(MOVIMIENTOS!$A$5:$A$1005&lt;=$A496)*MOVIMIENTOS!$E$5:$E$1005)-SUMPRODUCT((MOVIMIENTOS!$B$5:$B$1005="REGALO")*(MOVIMIENTOS!$C$5:$C$1005="C")*(MOVIMIENTOS!$D$5:$D$1005="jabas")*(MOVIMIENTOS!$A$5:$A$1005&lt;&gt;"")*(MOVIMIENTOS!$A$5:$A$1005&lt;=$A496)*MOVIMIENTOS!$E$5:$E$1005)-SUMPRODUCT((MOVIMIENTOS!$B$5:$B$1005="VENTA")*(MOVIMIENTOS!$C$5:$C$1005="C")*(MOVIMIENTOS!$D$5:$D$1005="jabas")*(MOVIMIENTOS!$A$5:$A$1005&lt;&gt;"")*(MOVIMIENTOS!$A$5:$A$1005&lt;=$A496)*MOVIMIENTOS!$E$5:$E$1005)+SUMPRODUCT((MOVIMIENTOS!$B$5:$B$1005="AJUSTE")*(MOVIMIENTOS!$C$5:$C$1005="C")*(MOVIMIENTOS!$D$5:$D$1005="jabas")*(MOVIMIENTOS!$A$5:$A$1005&lt;&gt;"")*(MOVIMIENTOS!$A$5:$A$1005&lt;=$A496)*MOVIMIENTOS!$E$5:$E$1005))</f>
        <v/>
      </c>
      <c r="E496" t="str">
        <f>IF($A496="","",SUMPRODUCT((MOVIMIENTOS!$B$5:$B$1005="SALDO INICIAL")*(MOVIMIENTOS!$C$5:$C$1005="M")*(MOVIMIENTOS!$D$5:$D$1005="jabas")*(MOVIMIENTOS!$A$5:$A$1005&lt;&gt;"")*(MOVIMIENTOS!$A$5:$A$1005&lt;=$A496)*MOVIMIENTOS!$E$5:$E$1005)+SUMPRODUCT((MOVIMIENTOS!$B$5:$B$1005="PROCESO")*(MOVIMIENTOS!$C$5:$C$1005="M")*(MOVIMIENTOS!$D$5:$D$1005="jabas")*(MOVIMIENTOS!$A$5:$A$1005&lt;&gt;"")*(MOVIMIENTOS!$A$5:$A$1005&lt;=$A496)*MOVIMIENTOS!$E$5:$E$1005)-SUMPRODUCT((MOVIMIENTOS!$B$5:$B$1005="ENVÍO A SUPESA")*(MOVIMIENTOS!$C$5:$C$1005="M")*(MOVIMIENTOS!$D$5:$D$1005="jabas")*(MOVIMIENTOS!$A$5:$A$1005&lt;&gt;"")*(MOVIMIENTOS!$A$5:$A$1005&lt;=$A496)*MOVIMIENTOS!$E$5:$E$1005)+SUMPRODUCT((MOVIMIENTOS!$B$5:$B$1005="DEVOLUCIÓN")*(MOVIMIENTOS!$C$5:$C$1005="M")*(MOVIMIENTOS!$D$5:$D$1005="jabas")*(MOVIMIENTOS!$A$5:$A$1005&lt;&gt;"")*(MOVIMIENTOS!$A$5:$A$1005&lt;=$A496)*MOVIMIENTOS!$E$5:$E$1005)-SUMPRODUCT((MOVIMIENTOS!$B$5:$B$1005="TRASIEGO")*(MOVIMIENTOS!$C$5:$C$1005="M")*(MOVIMIENTOS!$D$5:$D$1005="jabas")*(MOVIMIENTOS!$A$5:$A$1005&lt;&gt;"")*(MOVIMIENTOS!$A$5:$A$1005&lt;=$A496)*MOVIMIENTOS!$E$5:$E$1005)-SUMPRODUCT((MOVIMIENTOS!$B$5:$B$1005="REGALO")*(MOVIMIENTOS!$C$5:$C$1005="M")*(MOVIMIENTOS!$D$5:$D$1005="jabas")*(MOVIMIENTOS!$A$5:$A$1005&lt;&gt;"")*(MOVIMIENTOS!$A$5:$A$1005&lt;=$A496)*MOVIMIENTOS!$E$5:$E$1005)-SUMPRODUCT((MOVIMIENTOS!$B$5:$B$1005="VENTA")*(MOVIMIENTOS!$C$5:$C$1005="M")*(MOVIMIENTOS!$D$5:$D$1005="jabas")*(MOVIMIENTOS!$A$5:$A$1005&lt;&gt;"")*(MOVIMIENTOS!$A$5:$A$1005&lt;=$A496)*MOVIMIENTOS!$E$5:$E$1005)+SUMPRODUCT((MOVIMIENTOS!$B$5:$B$1005="AJUSTE")*(MOVIMIENTOS!$C$5:$C$1005="M")*(MOVIMIENTOS!$D$5:$D$1005="jabas")*(MOVIMIENTOS!$A$5:$A$1005&lt;&gt;"")*(MOVIMIENTOS!$A$5:$A$1005&lt;=$A496)*MOVIMIENTOS!$E$5:$E$1005))</f>
        <v/>
      </c>
      <c r="F496" s="62" t="str">
        <f>IF($A496="","",SUMPRODUCT((MOVIMIENTOS!$B$5:$B$1005="SALDO INICIAL")*(MOVIMIENTOS!$C$5:$C$1005="Chancho")*(MOVIMIENTOS!$D$5:$D$1005="sacos")*(MOVIMIENTOS!$A$5:$A$1005&lt;&gt;"")*(MOVIMIENTOS!$A$5:$A$1005&lt;=$A496)*MOVIMIENTOS!$E$5:$E$1005)+SUMPRODUCT((MOVIMIENTOS!$B$5:$B$1005="PROCESO")*(MOVIMIENTOS!$C$5:$C$1005="Chancho")*(MOVIMIENTOS!$D$5:$D$1005="sacos")*(MOVIMIENTOS!$A$5:$A$1005&lt;&gt;"")*(MOVIMIENTOS!$A$5:$A$1005&lt;=$A496)*MOVIMIENTOS!$E$5:$E$1005)-SUMPRODUCT((MOVIMIENTOS!$B$5:$B$1005="VENTA CHANCHO")*(MOVIMIENTOS!$C$5:$C$1005="Chancho")*(MOVIMIENTOS!$D$5:$D$1005="sacos")*(MOVIMIENTOS!$A$5:$A$1005&lt;&gt;"")*(MOVIMIENTOS!$A$5:$A$1005&lt;=$A496)*MOVIMIENTOS!$E$5:$E$1005)-SUMPRODUCT((MOVIMIENTOS!$B$5:$B$1005="REGALO")*(MOVIMIENTOS!$C$5:$C$1005="Chancho")*(MOVIMIENTOS!$D$5:$D$1005="sacos")*(MOVIMIENTOS!$A$5:$A$1005&lt;&gt;"")*(MOVIMIENTOS!$A$5:$A$1005&lt;=$A496)*MOVIMIENTOS!$E$5:$E$1005)-SUMPRODUCT((MOVIMIENTOS!$B$5:$B$1005="VENTA")*(MOVIMIENTOS!$C$5:$C$1005="Chancho")*(MOVIMIENTOS!$D$5:$D$1005="sacos")*(MOVIMIENTOS!$A$5:$A$1005&lt;&gt;"")*(MOVIMIENTOS!$A$5:$A$1005&lt;=$A496)*MOVIMIENTOS!$E$5:$E$1005)+SUMPRODUCT((MOVIMIENTOS!$B$5:$B$1005="AJUSTE")*(MOVIMIENTOS!$C$5:$C$1005="Chancho")*(MOVIMIENTOS!$D$5:$D$1005="sacos")*(MOVIMIENTOS!$A$5:$A$1005&lt;&gt;"")*(MOVIMIENTOS!$A$5:$A$1005&lt;=$A496)*MOVIMIENTOS!$E$5:$E$1005))</f>
        <v/>
      </c>
      <c r="G496" s="62" t="str">
        <f t="shared" si="15"/>
        <v/>
      </c>
      <c r="H496" t="str">
        <f>IF($A496="","",SUMPRODUCT((((MOVIMIENTOS!$B$5:$B$1005="SALDO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496)*MOVIMIENTOS!$J$5:$J$1005))</f>
        <v/>
      </c>
      <c r="J496" t="str">
        <f>IF(AND(MOVIMIENTOS!$A501&lt;&gt;"",COUNTIF(MOVIMIENTOS!$A$5:$A500,MOVIMIENTOS!$A501)=0),COUNT(J$4:J495)+1,"")</f>
        <v/>
      </c>
      <c r="K496">
        <f>MOVIMIENTOS!$A501</f>
        <v>0</v>
      </c>
    </row>
    <row r="497" spans="1:11" ht="15" customHeight="1" x14ac:dyDescent="0.2">
      <c r="A497" t="str">
        <f t="shared" si="14"/>
        <v/>
      </c>
      <c r="B497" t="str">
        <f>IF($A497="","",SUMPRODUCT((MOVIMIENTOS!$B$5:$B$1005="SALDO INICIAL")*(MOVIMIENTOS!$C$5:$C$1005="A")*(MOVIMIENTOS!$D$5:$D$1005="jabas")*(MOVIMIENTOS!$A$5:$A$1005&lt;&gt;"")*(MOVIMIENTOS!$A$5:$A$1005&lt;=$A497)*MOVIMIENTOS!$E$5:$E$1005)+SUMPRODUCT((MOVIMIENTOS!$B$5:$B$1005="PROCESO")*(MOVIMIENTOS!$C$5:$C$1005="A")*(MOVIMIENTOS!$D$5:$D$1005="jabas")*(MOVIMIENTOS!$A$5:$A$1005&lt;&gt;"")*(MOVIMIENTOS!$A$5:$A$1005&lt;=$A497)*MOVIMIENTOS!$E$5:$E$1005)-SUMPRODUCT((MOVIMIENTOS!$B$5:$B$1005="ENVÍO A SUPESA")*(MOVIMIENTOS!$C$5:$C$1005="A")*(MOVIMIENTOS!$D$5:$D$1005="jabas")*(MOVIMIENTOS!$A$5:$A$1005&lt;&gt;"")*(MOVIMIENTOS!$A$5:$A$1005&lt;=$A497)*MOVIMIENTOS!$E$5:$E$1005)+SUMPRODUCT((MOVIMIENTOS!$B$5:$B$1005="DEVOLUCIÓN")*(MOVIMIENTOS!$C$5:$C$1005="A")*(MOVIMIENTOS!$D$5:$D$1005="jabas")*(MOVIMIENTOS!$A$5:$A$1005&lt;&gt;"")*(MOVIMIENTOS!$A$5:$A$1005&lt;=$A497)*MOVIMIENTOS!$E$5:$E$1005)-SUMPRODUCT((MOVIMIENTOS!$B$5:$B$1005="TRASIEGO")*(MOVIMIENTOS!$C$5:$C$1005="A")*(MOVIMIENTOS!$D$5:$D$1005="jabas")*(MOVIMIENTOS!$A$5:$A$1005&lt;&gt;"")*(MOVIMIENTOS!$A$5:$A$1005&lt;=$A497)*MOVIMIENTOS!$E$5:$E$1005)-SUMPRODUCT((MOVIMIENTOS!$B$5:$B$1005="REGALO")*(MOVIMIENTOS!$C$5:$C$1005="A")*(MOVIMIENTOS!$D$5:$D$1005="jabas")*(MOVIMIENTOS!$A$5:$A$1005&lt;&gt;"")*(MOVIMIENTOS!$A$5:$A$1005&lt;=$A497)*MOVIMIENTOS!$E$5:$E$1005)-SUMPRODUCT((MOVIMIENTOS!$B$5:$B$1005="VENTA")*(MOVIMIENTOS!$C$5:$C$1005="A")*(MOVIMIENTOS!$D$5:$D$1005="jabas")*(MOVIMIENTOS!$A$5:$A$1005&lt;&gt;"")*(MOVIMIENTOS!$A$5:$A$1005&lt;=$A497)*MOVIMIENTOS!$E$5:$E$1005)+SUMPRODUCT((MOVIMIENTOS!$B$5:$B$1005="AJUSTE")*(MOVIMIENTOS!$C$5:$C$1005="A")*(MOVIMIENTOS!$D$5:$D$1005="jabas")*(MOVIMIENTOS!$A$5:$A$1005&lt;&gt;"")*(MOVIMIENTOS!$A$5:$A$1005&lt;=$A497)*MOVIMIENTOS!$E$5:$E$1005))</f>
        <v/>
      </c>
      <c r="C497" t="str">
        <f>IF($A497="","",SUMPRODUCT((MOVIMIENTOS!$B$5:$B$1005="SALDO INICIAL")*(MOVIMIENTOS!$C$5:$C$1005="P")*(MOVIMIENTOS!$D$5:$D$1005="jabas")*(MOVIMIENTOS!$A$5:$A$1005&lt;&gt;"")*(MOVIMIENTOS!$A$5:$A$1005&lt;=$A497)*MOVIMIENTOS!$E$5:$E$1005)+SUMPRODUCT((MOVIMIENTOS!$B$5:$B$1005="PROCESO")*(MOVIMIENTOS!$C$5:$C$1005="P")*(MOVIMIENTOS!$D$5:$D$1005="jabas")*(MOVIMIENTOS!$A$5:$A$1005&lt;&gt;"")*(MOVIMIENTOS!$A$5:$A$1005&lt;=$A497)*MOVIMIENTOS!$E$5:$E$1005)-SUMPRODUCT((MOVIMIENTOS!$B$5:$B$1005="ENVÍO A SUPESA")*(MOVIMIENTOS!$C$5:$C$1005="P")*(MOVIMIENTOS!$D$5:$D$1005="jabas")*(MOVIMIENTOS!$A$5:$A$1005&lt;&gt;"")*(MOVIMIENTOS!$A$5:$A$1005&lt;=$A497)*MOVIMIENTOS!$E$5:$E$1005)+SUMPRODUCT((MOVIMIENTOS!$B$5:$B$1005="DEVOLUCIÓN")*(MOVIMIENTOS!$C$5:$C$1005="P")*(MOVIMIENTOS!$D$5:$D$1005="jabas")*(MOVIMIENTOS!$A$5:$A$1005&lt;&gt;"")*(MOVIMIENTOS!$A$5:$A$1005&lt;=$A497)*MOVIMIENTOS!$E$5:$E$1005)-SUMPRODUCT((MOVIMIENTOS!$B$5:$B$1005="TRASIEGO")*(MOVIMIENTOS!$C$5:$C$1005="P")*(MOVIMIENTOS!$D$5:$D$1005="jabas")*(MOVIMIENTOS!$A$5:$A$1005&lt;&gt;"")*(MOVIMIENTOS!$A$5:$A$1005&lt;=$A497)*MOVIMIENTOS!$E$5:$E$1005)-SUMPRODUCT((MOVIMIENTOS!$B$5:$B$1005="REGALO")*(MOVIMIENTOS!$C$5:$C$1005="P")*(MOVIMIENTOS!$D$5:$D$1005="jabas")*(MOVIMIENTOS!$A$5:$A$1005&lt;&gt;"")*(MOVIMIENTOS!$A$5:$A$1005&lt;=$A497)*MOVIMIENTOS!$E$5:$E$1005)-SUMPRODUCT((MOVIMIENTOS!$B$5:$B$1005="VENTA")*(MOVIMIENTOS!$C$5:$C$1005="P")*(MOVIMIENTOS!$D$5:$D$1005="jabas")*(MOVIMIENTOS!$A$5:$A$1005&lt;&gt;"")*(MOVIMIENTOS!$A$5:$A$1005&lt;=$A497)*MOVIMIENTOS!$E$5:$E$1005)+SUMPRODUCT((MOVIMIENTOS!$B$5:$B$1005="AJUSTE")*(MOVIMIENTOS!$C$5:$C$1005="P")*(MOVIMIENTOS!$D$5:$D$1005="jabas")*(MOVIMIENTOS!$A$5:$A$1005&lt;&gt;"")*(MOVIMIENTOS!$A$5:$A$1005&lt;=$A497)*MOVIMIENTOS!$E$5:$E$1005))</f>
        <v/>
      </c>
      <c r="D497" t="str">
        <f>IF($A497="","",SUMPRODUCT((MOVIMIENTOS!$B$5:$B$1005="SALDO INICIAL")*(MOVIMIENTOS!$C$5:$C$1005="C")*(MOVIMIENTOS!$D$5:$D$1005="jabas")*(MOVIMIENTOS!$A$5:$A$1005&lt;&gt;"")*(MOVIMIENTOS!$A$5:$A$1005&lt;=$A497)*MOVIMIENTOS!$E$5:$E$1005)+SUMPRODUCT((MOVIMIENTOS!$B$5:$B$1005="PROCESO")*(MOVIMIENTOS!$C$5:$C$1005="C")*(MOVIMIENTOS!$D$5:$D$1005="jabas")*(MOVIMIENTOS!$A$5:$A$1005&lt;&gt;"")*(MOVIMIENTOS!$A$5:$A$1005&lt;=$A497)*MOVIMIENTOS!$E$5:$E$1005)-SUMPRODUCT((MOVIMIENTOS!$B$5:$B$1005="ENVÍO A SUPESA")*(MOVIMIENTOS!$C$5:$C$1005="C")*(MOVIMIENTOS!$D$5:$D$1005="jabas")*(MOVIMIENTOS!$A$5:$A$1005&lt;&gt;"")*(MOVIMIENTOS!$A$5:$A$1005&lt;=$A497)*MOVIMIENTOS!$E$5:$E$1005)+SUMPRODUCT((MOVIMIENTOS!$B$5:$B$1005="DEVOLUCIÓN")*(MOVIMIENTOS!$C$5:$C$1005="C")*(MOVIMIENTOS!$D$5:$D$1005="jabas")*(MOVIMIENTOS!$A$5:$A$1005&lt;&gt;"")*(MOVIMIENTOS!$A$5:$A$1005&lt;=$A497)*MOVIMIENTOS!$E$5:$E$1005)-SUMPRODUCT((MOVIMIENTOS!$B$5:$B$1005="TRASIEGO")*(MOVIMIENTOS!$C$5:$C$1005="C")*(MOVIMIENTOS!$D$5:$D$1005="jabas")*(MOVIMIENTOS!$A$5:$A$1005&lt;&gt;"")*(MOVIMIENTOS!$A$5:$A$1005&lt;=$A497)*MOVIMIENTOS!$E$5:$E$1005)-SUMPRODUCT((MOVIMIENTOS!$B$5:$B$1005="REGALO")*(MOVIMIENTOS!$C$5:$C$1005="C")*(MOVIMIENTOS!$D$5:$D$1005="jabas")*(MOVIMIENTOS!$A$5:$A$1005&lt;&gt;"")*(MOVIMIENTOS!$A$5:$A$1005&lt;=$A497)*MOVIMIENTOS!$E$5:$E$1005)-SUMPRODUCT((MOVIMIENTOS!$B$5:$B$1005="VENTA")*(MOVIMIENTOS!$C$5:$C$1005="C")*(MOVIMIENTOS!$D$5:$D$1005="jabas")*(MOVIMIENTOS!$A$5:$A$1005&lt;&gt;"")*(MOVIMIENTOS!$A$5:$A$1005&lt;=$A497)*MOVIMIENTOS!$E$5:$E$1005)+SUMPRODUCT((MOVIMIENTOS!$B$5:$B$1005="AJUSTE")*(MOVIMIENTOS!$C$5:$C$1005="C")*(MOVIMIENTOS!$D$5:$D$1005="jabas")*(MOVIMIENTOS!$A$5:$A$1005&lt;&gt;"")*(MOVIMIENTOS!$A$5:$A$1005&lt;=$A497)*MOVIMIENTOS!$E$5:$E$1005))</f>
        <v/>
      </c>
      <c r="E497" t="str">
        <f>IF($A497="","",SUMPRODUCT((MOVIMIENTOS!$B$5:$B$1005="SALDO INICIAL")*(MOVIMIENTOS!$C$5:$C$1005="M")*(MOVIMIENTOS!$D$5:$D$1005="jabas")*(MOVIMIENTOS!$A$5:$A$1005&lt;&gt;"")*(MOVIMIENTOS!$A$5:$A$1005&lt;=$A497)*MOVIMIENTOS!$E$5:$E$1005)+SUMPRODUCT((MOVIMIENTOS!$B$5:$B$1005="PROCESO")*(MOVIMIENTOS!$C$5:$C$1005="M")*(MOVIMIENTOS!$D$5:$D$1005="jabas")*(MOVIMIENTOS!$A$5:$A$1005&lt;&gt;"")*(MOVIMIENTOS!$A$5:$A$1005&lt;=$A497)*MOVIMIENTOS!$E$5:$E$1005)-SUMPRODUCT((MOVIMIENTOS!$B$5:$B$1005="ENVÍO A SUPESA")*(MOVIMIENTOS!$C$5:$C$1005="M")*(MOVIMIENTOS!$D$5:$D$1005="jabas")*(MOVIMIENTOS!$A$5:$A$1005&lt;&gt;"")*(MOVIMIENTOS!$A$5:$A$1005&lt;=$A497)*MOVIMIENTOS!$E$5:$E$1005)+SUMPRODUCT((MOVIMIENTOS!$B$5:$B$1005="DEVOLUCIÓN")*(MOVIMIENTOS!$C$5:$C$1005="M")*(MOVIMIENTOS!$D$5:$D$1005="jabas")*(MOVIMIENTOS!$A$5:$A$1005&lt;&gt;"")*(MOVIMIENTOS!$A$5:$A$1005&lt;=$A497)*MOVIMIENTOS!$E$5:$E$1005)-SUMPRODUCT((MOVIMIENTOS!$B$5:$B$1005="TRASIEGO")*(MOVIMIENTOS!$C$5:$C$1005="M")*(MOVIMIENTOS!$D$5:$D$1005="jabas")*(MOVIMIENTOS!$A$5:$A$1005&lt;&gt;"")*(MOVIMIENTOS!$A$5:$A$1005&lt;=$A497)*MOVIMIENTOS!$E$5:$E$1005)-SUMPRODUCT((MOVIMIENTOS!$B$5:$B$1005="REGALO")*(MOVIMIENTOS!$C$5:$C$1005="M")*(MOVIMIENTOS!$D$5:$D$1005="jabas")*(MOVIMIENTOS!$A$5:$A$1005&lt;&gt;"")*(MOVIMIENTOS!$A$5:$A$1005&lt;=$A497)*MOVIMIENTOS!$E$5:$E$1005)-SUMPRODUCT((MOVIMIENTOS!$B$5:$B$1005="VENTA")*(MOVIMIENTOS!$C$5:$C$1005="M")*(MOVIMIENTOS!$D$5:$D$1005="jabas")*(MOVIMIENTOS!$A$5:$A$1005&lt;&gt;"")*(MOVIMIENTOS!$A$5:$A$1005&lt;=$A497)*MOVIMIENTOS!$E$5:$E$1005)+SUMPRODUCT((MOVIMIENTOS!$B$5:$B$1005="AJUSTE")*(MOVIMIENTOS!$C$5:$C$1005="M")*(MOVIMIENTOS!$D$5:$D$1005="jabas")*(MOVIMIENTOS!$A$5:$A$1005&lt;&gt;"")*(MOVIMIENTOS!$A$5:$A$1005&lt;=$A497)*MOVIMIENTOS!$E$5:$E$1005))</f>
        <v/>
      </c>
      <c r="F497" s="62" t="str">
        <f>IF($A497="","",SUMPRODUCT((MOVIMIENTOS!$B$5:$B$1005="SALDO INICIAL")*(MOVIMIENTOS!$C$5:$C$1005="Chancho")*(MOVIMIENTOS!$D$5:$D$1005="sacos")*(MOVIMIENTOS!$A$5:$A$1005&lt;&gt;"")*(MOVIMIENTOS!$A$5:$A$1005&lt;=$A497)*MOVIMIENTOS!$E$5:$E$1005)+SUMPRODUCT((MOVIMIENTOS!$B$5:$B$1005="PROCESO")*(MOVIMIENTOS!$C$5:$C$1005="Chancho")*(MOVIMIENTOS!$D$5:$D$1005="sacos")*(MOVIMIENTOS!$A$5:$A$1005&lt;&gt;"")*(MOVIMIENTOS!$A$5:$A$1005&lt;=$A497)*MOVIMIENTOS!$E$5:$E$1005)-SUMPRODUCT((MOVIMIENTOS!$B$5:$B$1005="VENTA CHANCHO")*(MOVIMIENTOS!$C$5:$C$1005="Chancho")*(MOVIMIENTOS!$D$5:$D$1005="sacos")*(MOVIMIENTOS!$A$5:$A$1005&lt;&gt;"")*(MOVIMIENTOS!$A$5:$A$1005&lt;=$A497)*MOVIMIENTOS!$E$5:$E$1005)-SUMPRODUCT((MOVIMIENTOS!$B$5:$B$1005="REGALO")*(MOVIMIENTOS!$C$5:$C$1005="Chancho")*(MOVIMIENTOS!$D$5:$D$1005="sacos")*(MOVIMIENTOS!$A$5:$A$1005&lt;&gt;"")*(MOVIMIENTOS!$A$5:$A$1005&lt;=$A497)*MOVIMIENTOS!$E$5:$E$1005)-SUMPRODUCT((MOVIMIENTOS!$B$5:$B$1005="VENTA")*(MOVIMIENTOS!$C$5:$C$1005="Chancho")*(MOVIMIENTOS!$D$5:$D$1005="sacos")*(MOVIMIENTOS!$A$5:$A$1005&lt;&gt;"")*(MOVIMIENTOS!$A$5:$A$1005&lt;=$A497)*MOVIMIENTOS!$E$5:$E$1005)+SUMPRODUCT((MOVIMIENTOS!$B$5:$B$1005="AJUSTE")*(MOVIMIENTOS!$C$5:$C$1005="Chancho")*(MOVIMIENTOS!$D$5:$D$1005="sacos")*(MOVIMIENTOS!$A$5:$A$1005&lt;&gt;"")*(MOVIMIENTOS!$A$5:$A$1005&lt;=$A497)*MOVIMIENTOS!$E$5:$E$1005))</f>
        <v/>
      </c>
      <c r="G497" s="62" t="str">
        <f t="shared" si="15"/>
        <v/>
      </c>
      <c r="H497" t="str">
        <f>IF($A497="","",SUMPRODUCT((((MOVIMIENTOS!$B$5:$B$1005="SALDO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497)*MOVIMIENTOS!$J$5:$J$1005))</f>
        <v/>
      </c>
      <c r="J497" t="str">
        <f>IF(AND(MOVIMIENTOS!$A502&lt;&gt;"",COUNTIF(MOVIMIENTOS!$A$5:$A501,MOVIMIENTOS!$A502)=0),COUNT(J$4:J496)+1,"")</f>
        <v/>
      </c>
      <c r="K497">
        <f>MOVIMIENTOS!$A502</f>
        <v>0</v>
      </c>
    </row>
    <row r="498" spans="1:11" ht="15" customHeight="1" x14ac:dyDescent="0.2">
      <c r="A498" t="str">
        <f t="shared" si="14"/>
        <v/>
      </c>
      <c r="B498" t="str">
        <f>IF($A498="","",SUMPRODUCT((MOVIMIENTOS!$B$5:$B$1005="SALDO INICIAL")*(MOVIMIENTOS!$C$5:$C$1005="A")*(MOVIMIENTOS!$D$5:$D$1005="jabas")*(MOVIMIENTOS!$A$5:$A$1005&lt;&gt;"")*(MOVIMIENTOS!$A$5:$A$1005&lt;=$A498)*MOVIMIENTOS!$E$5:$E$1005)+SUMPRODUCT((MOVIMIENTOS!$B$5:$B$1005="PROCESO")*(MOVIMIENTOS!$C$5:$C$1005="A")*(MOVIMIENTOS!$D$5:$D$1005="jabas")*(MOVIMIENTOS!$A$5:$A$1005&lt;&gt;"")*(MOVIMIENTOS!$A$5:$A$1005&lt;=$A498)*MOVIMIENTOS!$E$5:$E$1005)-SUMPRODUCT((MOVIMIENTOS!$B$5:$B$1005="ENVÍO A SUPESA")*(MOVIMIENTOS!$C$5:$C$1005="A")*(MOVIMIENTOS!$D$5:$D$1005="jabas")*(MOVIMIENTOS!$A$5:$A$1005&lt;&gt;"")*(MOVIMIENTOS!$A$5:$A$1005&lt;=$A498)*MOVIMIENTOS!$E$5:$E$1005)+SUMPRODUCT((MOVIMIENTOS!$B$5:$B$1005="DEVOLUCIÓN")*(MOVIMIENTOS!$C$5:$C$1005="A")*(MOVIMIENTOS!$D$5:$D$1005="jabas")*(MOVIMIENTOS!$A$5:$A$1005&lt;&gt;"")*(MOVIMIENTOS!$A$5:$A$1005&lt;=$A498)*MOVIMIENTOS!$E$5:$E$1005)-SUMPRODUCT((MOVIMIENTOS!$B$5:$B$1005="TRASIEGO")*(MOVIMIENTOS!$C$5:$C$1005="A")*(MOVIMIENTOS!$D$5:$D$1005="jabas")*(MOVIMIENTOS!$A$5:$A$1005&lt;&gt;"")*(MOVIMIENTOS!$A$5:$A$1005&lt;=$A498)*MOVIMIENTOS!$E$5:$E$1005)-SUMPRODUCT((MOVIMIENTOS!$B$5:$B$1005="REGALO")*(MOVIMIENTOS!$C$5:$C$1005="A")*(MOVIMIENTOS!$D$5:$D$1005="jabas")*(MOVIMIENTOS!$A$5:$A$1005&lt;&gt;"")*(MOVIMIENTOS!$A$5:$A$1005&lt;=$A498)*MOVIMIENTOS!$E$5:$E$1005)-SUMPRODUCT((MOVIMIENTOS!$B$5:$B$1005="VENTA")*(MOVIMIENTOS!$C$5:$C$1005="A")*(MOVIMIENTOS!$D$5:$D$1005="jabas")*(MOVIMIENTOS!$A$5:$A$1005&lt;&gt;"")*(MOVIMIENTOS!$A$5:$A$1005&lt;=$A498)*MOVIMIENTOS!$E$5:$E$1005)+SUMPRODUCT((MOVIMIENTOS!$B$5:$B$1005="AJUSTE")*(MOVIMIENTOS!$C$5:$C$1005="A")*(MOVIMIENTOS!$D$5:$D$1005="jabas")*(MOVIMIENTOS!$A$5:$A$1005&lt;&gt;"")*(MOVIMIENTOS!$A$5:$A$1005&lt;=$A498)*MOVIMIENTOS!$E$5:$E$1005))</f>
        <v/>
      </c>
      <c r="C498" t="str">
        <f>IF($A498="","",SUMPRODUCT((MOVIMIENTOS!$B$5:$B$1005="SALDO INICIAL")*(MOVIMIENTOS!$C$5:$C$1005="P")*(MOVIMIENTOS!$D$5:$D$1005="jabas")*(MOVIMIENTOS!$A$5:$A$1005&lt;&gt;"")*(MOVIMIENTOS!$A$5:$A$1005&lt;=$A498)*MOVIMIENTOS!$E$5:$E$1005)+SUMPRODUCT((MOVIMIENTOS!$B$5:$B$1005="PROCESO")*(MOVIMIENTOS!$C$5:$C$1005="P")*(MOVIMIENTOS!$D$5:$D$1005="jabas")*(MOVIMIENTOS!$A$5:$A$1005&lt;&gt;"")*(MOVIMIENTOS!$A$5:$A$1005&lt;=$A498)*MOVIMIENTOS!$E$5:$E$1005)-SUMPRODUCT((MOVIMIENTOS!$B$5:$B$1005="ENVÍO A SUPESA")*(MOVIMIENTOS!$C$5:$C$1005="P")*(MOVIMIENTOS!$D$5:$D$1005="jabas")*(MOVIMIENTOS!$A$5:$A$1005&lt;&gt;"")*(MOVIMIENTOS!$A$5:$A$1005&lt;=$A498)*MOVIMIENTOS!$E$5:$E$1005)+SUMPRODUCT((MOVIMIENTOS!$B$5:$B$1005="DEVOLUCIÓN")*(MOVIMIENTOS!$C$5:$C$1005="P")*(MOVIMIENTOS!$D$5:$D$1005="jabas")*(MOVIMIENTOS!$A$5:$A$1005&lt;&gt;"")*(MOVIMIENTOS!$A$5:$A$1005&lt;=$A498)*MOVIMIENTOS!$E$5:$E$1005)-SUMPRODUCT((MOVIMIENTOS!$B$5:$B$1005="TRASIEGO")*(MOVIMIENTOS!$C$5:$C$1005="P")*(MOVIMIENTOS!$D$5:$D$1005="jabas")*(MOVIMIENTOS!$A$5:$A$1005&lt;&gt;"")*(MOVIMIENTOS!$A$5:$A$1005&lt;=$A498)*MOVIMIENTOS!$E$5:$E$1005)-SUMPRODUCT((MOVIMIENTOS!$B$5:$B$1005="REGALO")*(MOVIMIENTOS!$C$5:$C$1005="P")*(MOVIMIENTOS!$D$5:$D$1005="jabas")*(MOVIMIENTOS!$A$5:$A$1005&lt;&gt;"")*(MOVIMIENTOS!$A$5:$A$1005&lt;=$A498)*MOVIMIENTOS!$E$5:$E$1005)-SUMPRODUCT((MOVIMIENTOS!$B$5:$B$1005="VENTA")*(MOVIMIENTOS!$C$5:$C$1005="P")*(MOVIMIENTOS!$D$5:$D$1005="jabas")*(MOVIMIENTOS!$A$5:$A$1005&lt;&gt;"")*(MOVIMIENTOS!$A$5:$A$1005&lt;=$A498)*MOVIMIENTOS!$E$5:$E$1005)+SUMPRODUCT((MOVIMIENTOS!$B$5:$B$1005="AJUSTE")*(MOVIMIENTOS!$C$5:$C$1005="P")*(MOVIMIENTOS!$D$5:$D$1005="jabas")*(MOVIMIENTOS!$A$5:$A$1005&lt;&gt;"")*(MOVIMIENTOS!$A$5:$A$1005&lt;=$A498)*MOVIMIENTOS!$E$5:$E$1005))</f>
        <v/>
      </c>
      <c r="D498" t="str">
        <f>IF($A498="","",SUMPRODUCT((MOVIMIENTOS!$B$5:$B$1005="SALDO INICIAL")*(MOVIMIENTOS!$C$5:$C$1005="C")*(MOVIMIENTOS!$D$5:$D$1005="jabas")*(MOVIMIENTOS!$A$5:$A$1005&lt;&gt;"")*(MOVIMIENTOS!$A$5:$A$1005&lt;=$A498)*MOVIMIENTOS!$E$5:$E$1005)+SUMPRODUCT((MOVIMIENTOS!$B$5:$B$1005="PROCESO")*(MOVIMIENTOS!$C$5:$C$1005="C")*(MOVIMIENTOS!$D$5:$D$1005="jabas")*(MOVIMIENTOS!$A$5:$A$1005&lt;&gt;"")*(MOVIMIENTOS!$A$5:$A$1005&lt;=$A498)*MOVIMIENTOS!$E$5:$E$1005)-SUMPRODUCT((MOVIMIENTOS!$B$5:$B$1005="ENVÍO A SUPESA")*(MOVIMIENTOS!$C$5:$C$1005="C")*(MOVIMIENTOS!$D$5:$D$1005="jabas")*(MOVIMIENTOS!$A$5:$A$1005&lt;&gt;"")*(MOVIMIENTOS!$A$5:$A$1005&lt;=$A498)*MOVIMIENTOS!$E$5:$E$1005)+SUMPRODUCT((MOVIMIENTOS!$B$5:$B$1005="DEVOLUCIÓN")*(MOVIMIENTOS!$C$5:$C$1005="C")*(MOVIMIENTOS!$D$5:$D$1005="jabas")*(MOVIMIENTOS!$A$5:$A$1005&lt;&gt;"")*(MOVIMIENTOS!$A$5:$A$1005&lt;=$A498)*MOVIMIENTOS!$E$5:$E$1005)-SUMPRODUCT((MOVIMIENTOS!$B$5:$B$1005="TRASIEGO")*(MOVIMIENTOS!$C$5:$C$1005="C")*(MOVIMIENTOS!$D$5:$D$1005="jabas")*(MOVIMIENTOS!$A$5:$A$1005&lt;&gt;"")*(MOVIMIENTOS!$A$5:$A$1005&lt;=$A498)*MOVIMIENTOS!$E$5:$E$1005)-SUMPRODUCT((MOVIMIENTOS!$B$5:$B$1005="REGALO")*(MOVIMIENTOS!$C$5:$C$1005="C")*(MOVIMIENTOS!$D$5:$D$1005="jabas")*(MOVIMIENTOS!$A$5:$A$1005&lt;&gt;"")*(MOVIMIENTOS!$A$5:$A$1005&lt;=$A498)*MOVIMIENTOS!$E$5:$E$1005)-SUMPRODUCT((MOVIMIENTOS!$B$5:$B$1005="VENTA")*(MOVIMIENTOS!$C$5:$C$1005="C")*(MOVIMIENTOS!$D$5:$D$1005="jabas")*(MOVIMIENTOS!$A$5:$A$1005&lt;&gt;"")*(MOVIMIENTOS!$A$5:$A$1005&lt;=$A498)*MOVIMIENTOS!$E$5:$E$1005)+SUMPRODUCT((MOVIMIENTOS!$B$5:$B$1005="AJUSTE")*(MOVIMIENTOS!$C$5:$C$1005="C")*(MOVIMIENTOS!$D$5:$D$1005="jabas")*(MOVIMIENTOS!$A$5:$A$1005&lt;&gt;"")*(MOVIMIENTOS!$A$5:$A$1005&lt;=$A498)*MOVIMIENTOS!$E$5:$E$1005))</f>
        <v/>
      </c>
      <c r="E498" t="str">
        <f>IF($A498="","",SUMPRODUCT((MOVIMIENTOS!$B$5:$B$1005="SALDO INICIAL")*(MOVIMIENTOS!$C$5:$C$1005="M")*(MOVIMIENTOS!$D$5:$D$1005="jabas")*(MOVIMIENTOS!$A$5:$A$1005&lt;&gt;"")*(MOVIMIENTOS!$A$5:$A$1005&lt;=$A498)*MOVIMIENTOS!$E$5:$E$1005)+SUMPRODUCT((MOVIMIENTOS!$B$5:$B$1005="PROCESO")*(MOVIMIENTOS!$C$5:$C$1005="M")*(MOVIMIENTOS!$D$5:$D$1005="jabas")*(MOVIMIENTOS!$A$5:$A$1005&lt;&gt;"")*(MOVIMIENTOS!$A$5:$A$1005&lt;=$A498)*MOVIMIENTOS!$E$5:$E$1005)-SUMPRODUCT((MOVIMIENTOS!$B$5:$B$1005="ENVÍO A SUPESA")*(MOVIMIENTOS!$C$5:$C$1005="M")*(MOVIMIENTOS!$D$5:$D$1005="jabas")*(MOVIMIENTOS!$A$5:$A$1005&lt;&gt;"")*(MOVIMIENTOS!$A$5:$A$1005&lt;=$A498)*MOVIMIENTOS!$E$5:$E$1005)+SUMPRODUCT((MOVIMIENTOS!$B$5:$B$1005="DEVOLUCIÓN")*(MOVIMIENTOS!$C$5:$C$1005="M")*(MOVIMIENTOS!$D$5:$D$1005="jabas")*(MOVIMIENTOS!$A$5:$A$1005&lt;&gt;"")*(MOVIMIENTOS!$A$5:$A$1005&lt;=$A498)*MOVIMIENTOS!$E$5:$E$1005)-SUMPRODUCT((MOVIMIENTOS!$B$5:$B$1005="TRASIEGO")*(MOVIMIENTOS!$C$5:$C$1005="M")*(MOVIMIENTOS!$D$5:$D$1005="jabas")*(MOVIMIENTOS!$A$5:$A$1005&lt;&gt;"")*(MOVIMIENTOS!$A$5:$A$1005&lt;=$A498)*MOVIMIENTOS!$E$5:$E$1005)-SUMPRODUCT((MOVIMIENTOS!$B$5:$B$1005="REGALO")*(MOVIMIENTOS!$C$5:$C$1005="M")*(MOVIMIENTOS!$D$5:$D$1005="jabas")*(MOVIMIENTOS!$A$5:$A$1005&lt;&gt;"")*(MOVIMIENTOS!$A$5:$A$1005&lt;=$A498)*MOVIMIENTOS!$E$5:$E$1005)-SUMPRODUCT((MOVIMIENTOS!$B$5:$B$1005="VENTA")*(MOVIMIENTOS!$C$5:$C$1005="M")*(MOVIMIENTOS!$D$5:$D$1005="jabas")*(MOVIMIENTOS!$A$5:$A$1005&lt;&gt;"")*(MOVIMIENTOS!$A$5:$A$1005&lt;=$A498)*MOVIMIENTOS!$E$5:$E$1005)+SUMPRODUCT((MOVIMIENTOS!$B$5:$B$1005="AJUSTE")*(MOVIMIENTOS!$C$5:$C$1005="M")*(MOVIMIENTOS!$D$5:$D$1005="jabas")*(MOVIMIENTOS!$A$5:$A$1005&lt;&gt;"")*(MOVIMIENTOS!$A$5:$A$1005&lt;=$A498)*MOVIMIENTOS!$E$5:$E$1005))</f>
        <v/>
      </c>
      <c r="F498" s="62" t="str">
        <f>IF($A498="","",SUMPRODUCT((MOVIMIENTOS!$B$5:$B$1005="SALDO INICIAL")*(MOVIMIENTOS!$C$5:$C$1005="Chancho")*(MOVIMIENTOS!$D$5:$D$1005="sacos")*(MOVIMIENTOS!$A$5:$A$1005&lt;&gt;"")*(MOVIMIENTOS!$A$5:$A$1005&lt;=$A498)*MOVIMIENTOS!$E$5:$E$1005)+SUMPRODUCT((MOVIMIENTOS!$B$5:$B$1005="PROCESO")*(MOVIMIENTOS!$C$5:$C$1005="Chancho")*(MOVIMIENTOS!$D$5:$D$1005="sacos")*(MOVIMIENTOS!$A$5:$A$1005&lt;&gt;"")*(MOVIMIENTOS!$A$5:$A$1005&lt;=$A498)*MOVIMIENTOS!$E$5:$E$1005)-SUMPRODUCT((MOVIMIENTOS!$B$5:$B$1005="VENTA CHANCHO")*(MOVIMIENTOS!$C$5:$C$1005="Chancho")*(MOVIMIENTOS!$D$5:$D$1005="sacos")*(MOVIMIENTOS!$A$5:$A$1005&lt;&gt;"")*(MOVIMIENTOS!$A$5:$A$1005&lt;=$A498)*MOVIMIENTOS!$E$5:$E$1005)-SUMPRODUCT((MOVIMIENTOS!$B$5:$B$1005="REGALO")*(MOVIMIENTOS!$C$5:$C$1005="Chancho")*(MOVIMIENTOS!$D$5:$D$1005="sacos")*(MOVIMIENTOS!$A$5:$A$1005&lt;&gt;"")*(MOVIMIENTOS!$A$5:$A$1005&lt;=$A498)*MOVIMIENTOS!$E$5:$E$1005)-SUMPRODUCT((MOVIMIENTOS!$B$5:$B$1005="VENTA")*(MOVIMIENTOS!$C$5:$C$1005="Chancho")*(MOVIMIENTOS!$D$5:$D$1005="sacos")*(MOVIMIENTOS!$A$5:$A$1005&lt;&gt;"")*(MOVIMIENTOS!$A$5:$A$1005&lt;=$A498)*MOVIMIENTOS!$E$5:$E$1005)+SUMPRODUCT((MOVIMIENTOS!$B$5:$B$1005="AJUSTE")*(MOVIMIENTOS!$C$5:$C$1005="Chancho")*(MOVIMIENTOS!$D$5:$D$1005="sacos")*(MOVIMIENTOS!$A$5:$A$1005&lt;&gt;"")*(MOVIMIENTOS!$A$5:$A$1005&lt;=$A498)*MOVIMIENTOS!$E$5:$E$1005))</f>
        <v/>
      </c>
      <c r="G498" s="62" t="str">
        <f t="shared" si="15"/>
        <v/>
      </c>
      <c r="H498" t="str">
        <f>IF($A498="","",SUMPRODUCT((((MOVIMIENTOS!$B$5:$B$1005="SALDO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498)*MOVIMIENTOS!$J$5:$J$1005))</f>
        <v/>
      </c>
      <c r="J498" t="str">
        <f>IF(AND(MOVIMIENTOS!$A503&lt;&gt;"",COUNTIF(MOVIMIENTOS!$A$5:$A502,MOVIMIENTOS!$A503)=0),COUNT(J$4:J497)+1,"")</f>
        <v/>
      </c>
      <c r="K498">
        <f>MOVIMIENTOS!$A503</f>
        <v>0</v>
      </c>
    </row>
    <row r="499" spans="1:11" ht="15" customHeight="1" x14ac:dyDescent="0.2">
      <c r="A499" t="str">
        <f t="shared" si="14"/>
        <v/>
      </c>
      <c r="B499" t="str">
        <f>IF($A499="","",SUMPRODUCT((MOVIMIENTOS!$B$5:$B$1005="SALDO INICIAL")*(MOVIMIENTOS!$C$5:$C$1005="A")*(MOVIMIENTOS!$D$5:$D$1005="jabas")*(MOVIMIENTOS!$A$5:$A$1005&lt;&gt;"")*(MOVIMIENTOS!$A$5:$A$1005&lt;=$A499)*MOVIMIENTOS!$E$5:$E$1005)+SUMPRODUCT((MOVIMIENTOS!$B$5:$B$1005="PROCESO")*(MOVIMIENTOS!$C$5:$C$1005="A")*(MOVIMIENTOS!$D$5:$D$1005="jabas")*(MOVIMIENTOS!$A$5:$A$1005&lt;&gt;"")*(MOVIMIENTOS!$A$5:$A$1005&lt;=$A499)*MOVIMIENTOS!$E$5:$E$1005)-SUMPRODUCT((MOVIMIENTOS!$B$5:$B$1005="ENVÍO A SUPESA")*(MOVIMIENTOS!$C$5:$C$1005="A")*(MOVIMIENTOS!$D$5:$D$1005="jabas")*(MOVIMIENTOS!$A$5:$A$1005&lt;&gt;"")*(MOVIMIENTOS!$A$5:$A$1005&lt;=$A499)*MOVIMIENTOS!$E$5:$E$1005)+SUMPRODUCT((MOVIMIENTOS!$B$5:$B$1005="DEVOLUCIÓN")*(MOVIMIENTOS!$C$5:$C$1005="A")*(MOVIMIENTOS!$D$5:$D$1005="jabas")*(MOVIMIENTOS!$A$5:$A$1005&lt;&gt;"")*(MOVIMIENTOS!$A$5:$A$1005&lt;=$A499)*MOVIMIENTOS!$E$5:$E$1005)-SUMPRODUCT((MOVIMIENTOS!$B$5:$B$1005="TRASIEGO")*(MOVIMIENTOS!$C$5:$C$1005="A")*(MOVIMIENTOS!$D$5:$D$1005="jabas")*(MOVIMIENTOS!$A$5:$A$1005&lt;&gt;"")*(MOVIMIENTOS!$A$5:$A$1005&lt;=$A499)*MOVIMIENTOS!$E$5:$E$1005)-SUMPRODUCT((MOVIMIENTOS!$B$5:$B$1005="REGALO")*(MOVIMIENTOS!$C$5:$C$1005="A")*(MOVIMIENTOS!$D$5:$D$1005="jabas")*(MOVIMIENTOS!$A$5:$A$1005&lt;&gt;"")*(MOVIMIENTOS!$A$5:$A$1005&lt;=$A499)*MOVIMIENTOS!$E$5:$E$1005)-SUMPRODUCT((MOVIMIENTOS!$B$5:$B$1005="VENTA")*(MOVIMIENTOS!$C$5:$C$1005="A")*(MOVIMIENTOS!$D$5:$D$1005="jabas")*(MOVIMIENTOS!$A$5:$A$1005&lt;&gt;"")*(MOVIMIENTOS!$A$5:$A$1005&lt;=$A499)*MOVIMIENTOS!$E$5:$E$1005)+SUMPRODUCT((MOVIMIENTOS!$B$5:$B$1005="AJUSTE")*(MOVIMIENTOS!$C$5:$C$1005="A")*(MOVIMIENTOS!$D$5:$D$1005="jabas")*(MOVIMIENTOS!$A$5:$A$1005&lt;&gt;"")*(MOVIMIENTOS!$A$5:$A$1005&lt;=$A499)*MOVIMIENTOS!$E$5:$E$1005))</f>
        <v/>
      </c>
      <c r="C499" t="str">
        <f>IF($A499="","",SUMPRODUCT((MOVIMIENTOS!$B$5:$B$1005="SALDO INICIAL")*(MOVIMIENTOS!$C$5:$C$1005="P")*(MOVIMIENTOS!$D$5:$D$1005="jabas")*(MOVIMIENTOS!$A$5:$A$1005&lt;&gt;"")*(MOVIMIENTOS!$A$5:$A$1005&lt;=$A499)*MOVIMIENTOS!$E$5:$E$1005)+SUMPRODUCT((MOVIMIENTOS!$B$5:$B$1005="PROCESO")*(MOVIMIENTOS!$C$5:$C$1005="P")*(MOVIMIENTOS!$D$5:$D$1005="jabas")*(MOVIMIENTOS!$A$5:$A$1005&lt;&gt;"")*(MOVIMIENTOS!$A$5:$A$1005&lt;=$A499)*MOVIMIENTOS!$E$5:$E$1005)-SUMPRODUCT((MOVIMIENTOS!$B$5:$B$1005="ENVÍO A SUPESA")*(MOVIMIENTOS!$C$5:$C$1005="P")*(MOVIMIENTOS!$D$5:$D$1005="jabas")*(MOVIMIENTOS!$A$5:$A$1005&lt;&gt;"")*(MOVIMIENTOS!$A$5:$A$1005&lt;=$A499)*MOVIMIENTOS!$E$5:$E$1005)+SUMPRODUCT((MOVIMIENTOS!$B$5:$B$1005="DEVOLUCIÓN")*(MOVIMIENTOS!$C$5:$C$1005="P")*(MOVIMIENTOS!$D$5:$D$1005="jabas")*(MOVIMIENTOS!$A$5:$A$1005&lt;&gt;"")*(MOVIMIENTOS!$A$5:$A$1005&lt;=$A499)*MOVIMIENTOS!$E$5:$E$1005)-SUMPRODUCT((MOVIMIENTOS!$B$5:$B$1005="TRASIEGO")*(MOVIMIENTOS!$C$5:$C$1005="P")*(MOVIMIENTOS!$D$5:$D$1005="jabas")*(MOVIMIENTOS!$A$5:$A$1005&lt;&gt;"")*(MOVIMIENTOS!$A$5:$A$1005&lt;=$A499)*MOVIMIENTOS!$E$5:$E$1005)-SUMPRODUCT((MOVIMIENTOS!$B$5:$B$1005="REGALO")*(MOVIMIENTOS!$C$5:$C$1005="P")*(MOVIMIENTOS!$D$5:$D$1005="jabas")*(MOVIMIENTOS!$A$5:$A$1005&lt;&gt;"")*(MOVIMIENTOS!$A$5:$A$1005&lt;=$A499)*MOVIMIENTOS!$E$5:$E$1005)-SUMPRODUCT((MOVIMIENTOS!$B$5:$B$1005="VENTA")*(MOVIMIENTOS!$C$5:$C$1005="P")*(MOVIMIENTOS!$D$5:$D$1005="jabas")*(MOVIMIENTOS!$A$5:$A$1005&lt;&gt;"")*(MOVIMIENTOS!$A$5:$A$1005&lt;=$A499)*MOVIMIENTOS!$E$5:$E$1005)+SUMPRODUCT((MOVIMIENTOS!$B$5:$B$1005="AJUSTE")*(MOVIMIENTOS!$C$5:$C$1005="P")*(MOVIMIENTOS!$D$5:$D$1005="jabas")*(MOVIMIENTOS!$A$5:$A$1005&lt;&gt;"")*(MOVIMIENTOS!$A$5:$A$1005&lt;=$A499)*MOVIMIENTOS!$E$5:$E$1005))</f>
        <v/>
      </c>
      <c r="D499" t="str">
        <f>IF($A499="","",SUMPRODUCT((MOVIMIENTOS!$B$5:$B$1005="SALDO INICIAL")*(MOVIMIENTOS!$C$5:$C$1005="C")*(MOVIMIENTOS!$D$5:$D$1005="jabas")*(MOVIMIENTOS!$A$5:$A$1005&lt;&gt;"")*(MOVIMIENTOS!$A$5:$A$1005&lt;=$A499)*MOVIMIENTOS!$E$5:$E$1005)+SUMPRODUCT((MOVIMIENTOS!$B$5:$B$1005="PROCESO")*(MOVIMIENTOS!$C$5:$C$1005="C")*(MOVIMIENTOS!$D$5:$D$1005="jabas")*(MOVIMIENTOS!$A$5:$A$1005&lt;&gt;"")*(MOVIMIENTOS!$A$5:$A$1005&lt;=$A499)*MOVIMIENTOS!$E$5:$E$1005)-SUMPRODUCT((MOVIMIENTOS!$B$5:$B$1005="ENVÍO A SUPESA")*(MOVIMIENTOS!$C$5:$C$1005="C")*(MOVIMIENTOS!$D$5:$D$1005="jabas")*(MOVIMIENTOS!$A$5:$A$1005&lt;&gt;"")*(MOVIMIENTOS!$A$5:$A$1005&lt;=$A499)*MOVIMIENTOS!$E$5:$E$1005)+SUMPRODUCT((MOVIMIENTOS!$B$5:$B$1005="DEVOLUCIÓN")*(MOVIMIENTOS!$C$5:$C$1005="C")*(MOVIMIENTOS!$D$5:$D$1005="jabas")*(MOVIMIENTOS!$A$5:$A$1005&lt;&gt;"")*(MOVIMIENTOS!$A$5:$A$1005&lt;=$A499)*MOVIMIENTOS!$E$5:$E$1005)-SUMPRODUCT((MOVIMIENTOS!$B$5:$B$1005="TRASIEGO")*(MOVIMIENTOS!$C$5:$C$1005="C")*(MOVIMIENTOS!$D$5:$D$1005="jabas")*(MOVIMIENTOS!$A$5:$A$1005&lt;&gt;"")*(MOVIMIENTOS!$A$5:$A$1005&lt;=$A499)*MOVIMIENTOS!$E$5:$E$1005)-SUMPRODUCT((MOVIMIENTOS!$B$5:$B$1005="REGALO")*(MOVIMIENTOS!$C$5:$C$1005="C")*(MOVIMIENTOS!$D$5:$D$1005="jabas")*(MOVIMIENTOS!$A$5:$A$1005&lt;&gt;"")*(MOVIMIENTOS!$A$5:$A$1005&lt;=$A499)*MOVIMIENTOS!$E$5:$E$1005)-SUMPRODUCT((MOVIMIENTOS!$B$5:$B$1005="VENTA")*(MOVIMIENTOS!$C$5:$C$1005="C")*(MOVIMIENTOS!$D$5:$D$1005="jabas")*(MOVIMIENTOS!$A$5:$A$1005&lt;&gt;"")*(MOVIMIENTOS!$A$5:$A$1005&lt;=$A499)*MOVIMIENTOS!$E$5:$E$1005)+SUMPRODUCT((MOVIMIENTOS!$B$5:$B$1005="AJUSTE")*(MOVIMIENTOS!$C$5:$C$1005="C")*(MOVIMIENTOS!$D$5:$D$1005="jabas")*(MOVIMIENTOS!$A$5:$A$1005&lt;&gt;"")*(MOVIMIENTOS!$A$5:$A$1005&lt;=$A499)*MOVIMIENTOS!$E$5:$E$1005))</f>
        <v/>
      </c>
      <c r="E499" t="str">
        <f>IF($A499="","",SUMPRODUCT((MOVIMIENTOS!$B$5:$B$1005="SALDO INICIAL")*(MOVIMIENTOS!$C$5:$C$1005="M")*(MOVIMIENTOS!$D$5:$D$1005="jabas")*(MOVIMIENTOS!$A$5:$A$1005&lt;&gt;"")*(MOVIMIENTOS!$A$5:$A$1005&lt;=$A499)*MOVIMIENTOS!$E$5:$E$1005)+SUMPRODUCT((MOVIMIENTOS!$B$5:$B$1005="PROCESO")*(MOVIMIENTOS!$C$5:$C$1005="M")*(MOVIMIENTOS!$D$5:$D$1005="jabas")*(MOVIMIENTOS!$A$5:$A$1005&lt;&gt;"")*(MOVIMIENTOS!$A$5:$A$1005&lt;=$A499)*MOVIMIENTOS!$E$5:$E$1005)-SUMPRODUCT((MOVIMIENTOS!$B$5:$B$1005="ENVÍO A SUPESA")*(MOVIMIENTOS!$C$5:$C$1005="M")*(MOVIMIENTOS!$D$5:$D$1005="jabas")*(MOVIMIENTOS!$A$5:$A$1005&lt;&gt;"")*(MOVIMIENTOS!$A$5:$A$1005&lt;=$A499)*MOVIMIENTOS!$E$5:$E$1005)+SUMPRODUCT((MOVIMIENTOS!$B$5:$B$1005="DEVOLUCIÓN")*(MOVIMIENTOS!$C$5:$C$1005="M")*(MOVIMIENTOS!$D$5:$D$1005="jabas")*(MOVIMIENTOS!$A$5:$A$1005&lt;&gt;"")*(MOVIMIENTOS!$A$5:$A$1005&lt;=$A499)*MOVIMIENTOS!$E$5:$E$1005)-SUMPRODUCT((MOVIMIENTOS!$B$5:$B$1005="TRASIEGO")*(MOVIMIENTOS!$C$5:$C$1005="M")*(MOVIMIENTOS!$D$5:$D$1005="jabas")*(MOVIMIENTOS!$A$5:$A$1005&lt;&gt;"")*(MOVIMIENTOS!$A$5:$A$1005&lt;=$A499)*MOVIMIENTOS!$E$5:$E$1005)-SUMPRODUCT((MOVIMIENTOS!$B$5:$B$1005="REGALO")*(MOVIMIENTOS!$C$5:$C$1005="M")*(MOVIMIENTOS!$D$5:$D$1005="jabas")*(MOVIMIENTOS!$A$5:$A$1005&lt;&gt;"")*(MOVIMIENTOS!$A$5:$A$1005&lt;=$A499)*MOVIMIENTOS!$E$5:$E$1005)-SUMPRODUCT((MOVIMIENTOS!$B$5:$B$1005="VENTA")*(MOVIMIENTOS!$C$5:$C$1005="M")*(MOVIMIENTOS!$D$5:$D$1005="jabas")*(MOVIMIENTOS!$A$5:$A$1005&lt;&gt;"")*(MOVIMIENTOS!$A$5:$A$1005&lt;=$A499)*MOVIMIENTOS!$E$5:$E$1005)+SUMPRODUCT((MOVIMIENTOS!$B$5:$B$1005="AJUSTE")*(MOVIMIENTOS!$C$5:$C$1005="M")*(MOVIMIENTOS!$D$5:$D$1005="jabas")*(MOVIMIENTOS!$A$5:$A$1005&lt;&gt;"")*(MOVIMIENTOS!$A$5:$A$1005&lt;=$A499)*MOVIMIENTOS!$E$5:$E$1005))</f>
        <v/>
      </c>
      <c r="F499" s="62" t="str">
        <f>IF($A499="","",SUMPRODUCT((MOVIMIENTOS!$B$5:$B$1005="SALDO INICIAL")*(MOVIMIENTOS!$C$5:$C$1005="Chancho")*(MOVIMIENTOS!$D$5:$D$1005="sacos")*(MOVIMIENTOS!$A$5:$A$1005&lt;&gt;"")*(MOVIMIENTOS!$A$5:$A$1005&lt;=$A499)*MOVIMIENTOS!$E$5:$E$1005)+SUMPRODUCT((MOVIMIENTOS!$B$5:$B$1005="PROCESO")*(MOVIMIENTOS!$C$5:$C$1005="Chancho")*(MOVIMIENTOS!$D$5:$D$1005="sacos")*(MOVIMIENTOS!$A$5:$A$1005&lt;&gt;"")*(MOVIMIENTOS!$A$5:$A$1005&lt;=$A499)*MOVIMIENTOS!$E$5:$E$1005)-SUMPRODUCT((MOVIMIENTOS!$B$5:$B$1005="VENTA CHANCHO")*(MOVIMIENTOS!$C$5:$C$1005="Chancho")*(MOVIMIENTOS!$D$5:$D$1005="sacos")*(MOVIMIENTOS!$A$5:$A$1005&lt;&gt;"")*(MOVIMIENTOS!$A$5:$A$1005&lt;=$A499)*MOVIMIENTOS!$E$5:$E$1005)-SUMPRODUCT((MOVIMIENTOS!$B$5:$B$1005="REGALO")*(MOVIMIENTOS!$C$5:$C$1005="Chancho")*(MOVIMIENTOS!$D$5:$D$1005="sacos")*(MOVIMIENTOS!$A$5:$A$1005&lt;&gt;"")*(MOVIMIENTOS!$A$5:$A$1005&lt;=$A499)*MOVIMIENTOS!$E$5:$E$1005)-SUMPRODUCT((MOVIMIENTOS!$B$5:$B$1005="VENTA")*(MOVIMIENTOS!$C$5:$C$1005="Chancho")*(MOVIMIENTOS!$D$5:$D$1005="sacos")*(MOVIMIENTOS!$A$5:$A$1005&lt;&gt;"")*(MOVIMIENTOS!$A$5:$A$1005&lt;=$A499)*MOVIMIENTOS!$E$5:$E$1005)+SUMPRODUCT((MOVIMIENTOS!$B$5:$B$1005="AJUSTE")*(MOVIMIENTOS!$C$5:$C$1005="Chancho")*(MOVIMIENTOS!$D$5:$D$1005="sacos")*(MOVIMIENTOS!$A$5:$A$1005&lt;&gt;"")*(MOVIMIENTOS!$A$5:$A$1005&lt;=$A499)*MOVIMIENTOS!$E$5:$E$1005))</f>
        <v/>
      </c>
      <c r="G499" s="62" t="str">
        <f t="shared" si="15"/>
        <v/>
      </c>
      <c r="H499" t="str">
        <f>IF($A499="","",SUMPRODUCT((((MOVIMIENTOS!$B$5:$B$1005="SALDO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499)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499)*MOVIMIENTOS!$J$5:$J$1005))</f>
        <v/>
      </c>
      <c r="J499" t="str">
        <f>IF(AND(MOVIMIENTOS!$A504&lt;&gt;"",COUNTIF(MOVIMIENTOS!$A$5:$A503,MOVIMIENTOS!$A504)=0),COUNT(J$4:J498)+1,"")</f>
        <v/>
      </c>
      <c r="K499">
        <f>MOVIMIENTOS!$A504</f>
        <v>0</v>
      </c>
    </row>
    <row r="500" spans="1:11" ht="15" customHeight="1" x14ac:dyDescent="0.2">
      <c r="A500" t="str">
        <f t="shared" si="14"/>
        <v/>
      </c>
      <c r="B500" t="str">
        <f>IF($A500="","",SUMPRODUCT((MOVIMIENTOS!$B$5:$B$1005="SALDO INICIAL")*(MOVIMIENTOS!$C$5:$C$1005="A")*(MOVIMIENTOS!$D$5:$D$1005="jabas")*(MOVIMIENTOS!$A$5:$A$1005&lt;&gt;"")*(MOVIMIENTOS!$A$5:$A$1005&lt;=$A500)*MOVIMIENTOS!$E$5:$E$1005)+SUMPRODUCT((MOVIMIENTOS!$B$5:$B$1005="PROCESO")*(MOVIMIENTOS!$C$5:$C$1005="A")*(MOVIMIENTOS!$D$5:$D$1005="jabas")*(MOVIMIENTOS!$A$5:$A$1005&lt;&gt;"")*(MOVIMIENTOS!$A$5:$A$1005&lt;=$A500)*MOVIMIENTOS!$E$5:$E$1005)-SUMPRODUCT((MOVIMIENTOS!$B$5:$B$1005="ENVÍO A SUPESA")*(MOVIMIENTOS!$C$5:$C$1005="A")*(MOVIMIENTOS!$D$5:$D$1005="jabas")*(MOVIMIENTOS!$A$5:$A$1005&lt;&gt;"")*(MOVIMIENTOS!$A$5:$A$1005&lt;=$A500)*MOVIMIENTOS!$E$5:$E$1005)+SUMPRODUCT((MOVIMIENTOS!$B$5:$B$1005="DEVOLUCIÓN")*(MOVIMIENTOS!$C$5:$C$1005="A")*(MOVIMIENTOS!$D$5:$D$1005="jabas")*(MOVIMIENTOS!$A$5:$A$1005&lt;&gt;"")*(MOVIMIENTOS!$A$5:$A$1005&lt;=$A500)*MOVIMIENTOS!$E$5:$E$1005)-SUMPRODUCT((MOVIMIENTOS!$B$5:$B$1005="TRASIEGO")*(MOVIMIENTOS!$C$5:$C$1005="A")*(MOVIMIENTOS!$D$5:$D$1005="jabas")*(MOVIMIENTOS!$A$5:$A$1005&lt;&gt;"")*(MOVIMIENTOS!$A$5:$A$1005&lt;=$A500)*MOVIMIENTOS!$E$5:$E$1005)-SUMPRODUCT((MOVIMIENTOS!$B$5:$B$1005="REGALO")*(MOVIMIENTOS!$C$5:$C$1005="A")*(MOVIMIENTOS!$D$5:$D$1005="jabas")*(MOVIMIENTOS!$A$5:$A$1005&lt;&gt;"")*(MOVIMIENTOS!$A$5:$A$1005&lt;=$A500)*MOVIMIENTOS!$E$5:$E$1005)-SUMPRODUCT((MOVIMIENTOS!$B$5:$B$1005="VENTA")*(MOVIMIENTOS!$C$5:$C$1005="A")*(MOVIMIENTOS!$D$5:$D$1005="jabas")*(MOVIMIENTOS!$A$5:$A$1005&lt;&gt;"")*(MOVIMIENTOS!$A$5:$A$1005&lt;=$A500)*MOVIMIENTOS!$E$5:$E$1005)+SUMPRODUCT((MOVIMIENTOS!$B$5:$B$1005="AJUSTE")*(MOVIMIENTOS!$C$5:$C$1005="A")*(MOVIMIENTOS!$D$5:$D$1005="jabas")*(MOVIMIENTOS!$A$5:$A$1005&lt;&gt;"")*(MOVIMIENTOS!$A$5:$A$1005&lt;=$A500)*MOVIMIENTOS!$E$5:$E$1005))</f>
        <v/>
      </c>
      <c r="C500" t="str">
        <f>IF($A500="","",SUMPRODUCT((MOVIMIENTOS!$B$5:$B$1005="SALDO INICIAL")*(MOVIMIENTOS!$C$5:$C$1005="P")*(MOVIMIENTOS!$D$5:$D$1005="jabas")*(MOVIMIENTOS!$A$5:$A$1005&lt;&gt;"")*(MOVIMIENTOS!$A$5:$A$1005&lt;=$A500)*MOVIMIENTOS!$E$5:$E$1005)+SUMPRODUCT((MOVIMIENTOS!$B$5:$B$1005="PROCESO")*(MOVIMIENTOS!$C$5:$C$1005="P")*(MOVIMIENTOS!$D$5:$D$1005="jabas")*(MOVIMIENTOS!$A$5:$A$1005&lt;&gt;"")*(MOVIMIENTOS!$A$5:$A$1005&lt;=$A500)*MOVIMIENTOS!$E$5:$E$1005)-SUMPRODUCT((MOVIMIENTOS!$B$5:$B$1005="ENVÍO A SUPESA")*(MOVIMIENTOS!$C$5:$C$1005="P")*(MOVIMIENTOS!$D$5:$D$1005="jabas")*(MOVIMIENTOS!$A$5:$A$1005&lt;&gt;"")*(MOVIMIENTOS!$A$5:$A$1005&lt;=$A500)*MOVIMIENTOS!$E$5:$E$1005)+SUMPRODUCT((MOVIMIENTOS!$B$5:$B$1005="DEVOLUCIÓN")*(MOVIMIENTOS!$C$5:$C$1005="P")*(MOVIMIENTOS!$D$5:$D$1005="jabas")*(MOVIMIENTOS!$A$5:$A$1005&lt;&gt;"")*(MOVIMIENTOS!$A$5:$A$1005&lt;=$A500)*MOVIMIENTOS!$E$5:$E$1005)-SUMPRODUCT((MOVIMIENTOS!$B$5:$B$1005="TRASIEGO")*(MOVIMIENTOS!$C$5:$C$1005="P")*(MOVIMIENTOS!$D$5:$D$1005="jabas")*(MOVIMIENTOS!$A$5:$A$1005&lt;&gt;"")*(MOVIMIENTOS!$A$5:$A$1005&lt;=$A500)*MOVIMIENTOS!$E$5:$E$1005)-SUMPRODUCT((MOVIMIENTOS!$B$5:$B$1005="REGALO")*(MOVIMIENTOS!$C$5:$C$1005="P")*(MOVIMIENTOS!$D$5:$D$1005="jabas")*(MOVIMIENTOS!$A$5:$A$1005&lt;&gt;"")*(MOVIMIENTOS!$A$5:$A$1005&lt;=$A500)*MOVIMIENTOS!$E$5:$E$1005)-SUMPRODUCT((MOVIMIENTOS!$B$5:$B$1005="VENTA")*(MOVIMIENTOS!$C$5:$C$1005="P")*(MOVIMIENTOS!$D$5:$D$1005="jabas")*(MOVIMIENTOS!$A$5:$A$1005&lt;&gt;"")*(MOVIMIENTOS!$A$5:$A$1005&lt;=$A500)*MOVIMIENTOS!$E$5:$E$1005)+SUMPRODUCT((MOVIMIENTOS!$B$5:$B$1005="AJUSTE")*(MOVIMIENTOS!$C$5:$C$1005="P")*(MOVIMIENTOS!$D$5:$D$1005="jabas")*(MOVIMIENTOS!$A$5:$A$1005&lt;&gt;"")*(MOVIMIENTOS!$A$5:$A$1005&lt;=$A500)*MOVIMIENTOS!$E$5:$E$1005))</f>
        <v/>
      </c>
      <c r="D500" t="str">
        <f>IF($A500="","",SUMPRODUCT((MOVIMIENTOS!$B$5:$B$1005="SALDO INICIAL")*(MOVIMIENTOS!$C$5:$C$1005="C")*(MOVIMIENTOS!$D$5:$D$1005="jabas")*(MOVIMIENTOS!$A$5:$A$1005&lt;&gt;"")*(MOVIMIENTOS!$A$5:$A$1005&lt;=$A500)*MOVIMIENTOS!$E$5:$E$1005)+SUMPRODUCT((MOVIMIENTOS!$B$5:$B$1005="PROCESO")*(MOVIMIENTOS!$C$5:$C$1005="C")*(MOVIMIENTOS!$D$5:$D$1005="jabas")*(MOVIMIENTOS!$A$5:$A$1005&lt;&gt;"")*(MOVIMIENTOS!$A$5:$A$1005&lt;=$A500)*MOVIMIENTOS!$E$5:$E$1005)-SUMPRODUCT((MOVIMIENTOS!$B$5:$B$1005="ENVÍO A SUPESA")*(MOVIMIENTOS!$C$5:$C$1005="C")*(MOVIMIENTOS!$D$5:$D$1005="jabas")*(MOVIMIENTOS!$A$5:$A$1005&lt;&gt;"")*(MOVIMIENTOS!$A$5:$A$1005&lt;=$A500)*MOVIMIENTOS!$E$5:$E$1005)+SUMPRODUCT((MOVIMIENTOS!$B$5:$B$1005="DEVOLUCIÓN")*(MOVIMIENTOS!$C$5:$C$1005="C")*(MOVIMIENTOS!$D$5:$D$1005="jabas")*(MOVIMIENTOS!$A$5:$A$1005&lt;&gt;"")*(MOVIMIENTOS!$A$5:$A$1005&lt;=$A500)*MOVIMIENTOS!$E$5:$E$1005)-SUMPRODUCT((MOVIMIENTOS!$B$5:$B$1005="TRASIEGO")*(MOVIMIENTOS!$C$5:$C$1005="C")*(MOVIMIENTOS!$D$5:$D$1005="jabas")*(MOVIMIENTOS!$A$5:$A$1005&lt;&gt;"")*(MOVIMIENTOS!$A$5:$A$1005&lt;=$A500)*MOVIMIENTOS!$E$5:$E$1005)-SUMPRODUCT((MOVIMIENTOS!$B$5:$B$1005="REGALO")*(MOVIMIENTOS!$C$5:$C$1005="C")*(MOVIMIENTOS!$D$5:$D$1005="jabas")*(MOVIMIENTOS!$A$5:$A$1005&lt;&gt;"")*(MOVIMIENTOS!$A$5:$A$1005&lt;=$A500)*MOVIMIENTOS!$E$5:$E$1005)-SUMPRODUCT((MOVIMIENTOS!$B$5:$B$1005="VENTA")*(MOVIMIENTOS!$C$5:$C$1005="C")*(MOVIMIENTOS!$D$5:$D$1005="jabas")*(MOVIMIENTOS!$A$5:$A$1005&lt;&gt;"")*(MOVIMIENTOS!$A$5:$A$1005&lt;=$A500)*MOVIMIENTOS!$E$5:$E$1005)+SUMPRODUCT((MOVIMIENTOS!$B$5:$B$1005="AJUSTE")*(MOVIMIENTOS!$C$5:$C$1005="C")*(MOVIMIENTOS!$D$5:$D$1005="jabas")*(MOVIMIENTOS!$A$5:$A$1005&lt;&gt;"")*(MOVIMIENTOS!$A$5:$A$1005&lt;=$A500)*MOVIMIENTOS!$E$5:$E$1005))</f>
        <v/>
      </c>
      <c r="E500" t="str">
        <f>IF($A500="","",SUMPRODUCT((MOVIMIENTOS!$B$5:$B$1005="SALDO INICIAL")*(MOVIMIENTOS!$C$5:$C$1005="M")*(MOVIMIENTOS!$D$5:$D$1005="jabas")*(MOVIMIENTOS!$A$5:$A$1005&lt;&gt;"")*(MOVIMIENTOS!$A$5:$A$1005&lt;=$A500)*MOVIMIENTOS!$E$5:$E$1005)+SUMPRODUCT((MOVIMIENTOS!$B$5:$B$1005="PROCESO")*(MOVIMIENTOS!$C$5:$C$1005="M")*(MOVIMIENTOS!$D$5:$D$1005="jabas")*(MOVIMIENTOS!$A$5:$A$1005&lt;&gt;"")*(MOVIMIENTOS!$A$5:$A$1005&lt;=$A500)*MOVIMIENTOS!$E$5:$E$1005)-SUMPRODUCT((MOVIMIENTOS!$B$5:$B$1005="ENVÍO A SUPESA")*(MOVIMIENTOS!$C$5:$C$1005="M")*(MOVIMIENTOS!$D$5:$D$1005="jabas")*(MOVIMIENTOS!$A$5:$A$1005&lt;&gt;"")*(MOVIMIENTOS!$A$5:$A$1005&lt;=$A500)*MOVIMIENTOS!$E$5:$E$1005)+SUMPRODUCT((MOVIMIENTOS!$B$5:$B$1005="DEVOLUCIÓN")*(MOVIMIENTOS!$C$5:$C$1005="M")*(MOVIMIENTOS!$D$5:$D$1005="jabas")*(MOVIMIENTOS!$A$5:$A$1005&lt;&gt;"")*(MOVIMIENTOS!$A$5:$A$1005&lt;=$A500)*MOVIMIENTOS!$E$5:$E$1005)-SUMPRODUCT((MOVIMIENTOS!$B$5:$B$1005="TRASIEGO")*(MOVIMIENTOS!$C$5:$C$1005="M")*(MOVIMIENTOS!$D$5:$D$1005="jabas")*(MOVIMIENTOS!$A$5:$A$1005&lt;&gt;"")*(MOVIMIENTOS!$A$5:$A$1005&lt;=$A500)*MOVIMIENTOS!$E$5:$E$1005)-SUMPRODUCT((MOVIMIENTOS!$B$5:$B$1005="REGALO")*(MOVIMIENTOS!$C$5:$C$1005="M")*(MOVIMIENTOS!$D$5:$D$1005="jabas")*(MOVIMIENTOS!$A$5:$A$1005&lt;&gt;"")*(MOVIMIENTOS!$A$5:$A$1005&lt;=$A500)*MOVIMIENTOS!$E$5:$E$1005)-SUMPRODUCT((MOVIMIENTOS!$B$5:$B$1005="VENTA")*(MOVIMIENTOS!$C$5:$C$1005="M")*(MOVIMIENTOS!$D$5:$D$1005="jabas")*(MOVIMIENTOS!$A$5:$A$1005&lt;&gt;"")*(MOVIMIENTOS!$A$5:$A$1005&lt;=$A500)*MOVIMIENTOS!$E$5:$E$1005)+SUMPRODUCT((MOVIMIENTOS!$B$5:$B$1005="AJUSTE")*(MOVIMIENTOS!$C$5:$C$1005="M")*(MOVIMIENTOS!$D$5:$D$1005="jabas")*(MOVIMIENTOS!$A$5:$A$1005&lt;&gt;"")*(MOVIMIENTOS!$A$5:$A$1005&lt;=$A500)*MOVIMIENTOS!$E$5:$E$1005))</f>
        <v/>
      </c>
      <c r="F500" s="62" t="str">
        <f>IF($A500="","",SUMPRODUCT((MOVIMIENTOS!$B$5:$B$1005="SALDO INICIAL")*(MOVIMIENTOS!$C$5:$C$1005="Chancho")*(MOVIMIENTOS!$D$5:$D$1005="sacos")*(MOVIMIENTOS!$A$5:$A$1005&lt;&gt;"")*(MOVIMIENTOS!$A$5:$A$1005&lt;=$A500)*MOVIMIENTOS!$E$5:$E$1005)+SUMPRODUCT((MOVIMIENTOS!$B$5:$B$1005="PROCESO")*(MOVIMIENTOS!$C$5:$C$1005="Chancho")*(MOVIMIENTOS!$D$5:$D$1005="sacos")*(MOVIMIENTOS!$A$5:$A$1005&lt;&gt;"")*(MOVIMIENTOS!$A$5:$A$1005&lt;=$A500)*MOVIMIENTOS!$E$5:$E$1005)-SUMPRODUCT((MOVIMIENTOS!$B$5:$B$1005="VENTA CHANCHO")*(MOVIMIENTOS!$C$5:$C$1005="Chancho")*(MOVIMIENTOS!$D$5:$D$1005="sacos")*(MOVIMIENTOS!$A$5:$A$1005&lt;&gt;"")*(MOVIMIENTOS!$A$5:$A$1005&lt;=$A500)*MOVIMIENTOS!$E$5:$E$1005)-SUMPRODUCT((MOVIMIENTOS!$B$5:$B$1005="REGALO")*(MOVIMIENTOS!$C$5:$C$1005="Chancho")*(MOVIMIENTOS!$D$5:$D$1005="sacos")*(MOVIMIENTOS!$A$5:$A$1005&lt;&gt;"")*(MOVIMIENTOS!$A$5:$A$1005&lt;=$A500)*MOVIMIENTOS!$E$5:$E$1005)-SUMPRODUCT((MOVIMIENTOS!$B$5:$B$1005="VENTA")*(MOVIMIENTOS!$C$5:$C$1005="Chancho")*(MOVIMIENTOS!$D$5:$D$1005="sacos")*(MOVIMIENTOS!$A$5:$A$1005&lt;&gt;"")*(MOVIMIENTOS!$A$5:$A$1005&lt;=$A500)*MOVIMIENTOS!$E$5:$E$1005)+SUMPRODUCT((MOVIMIENTOS!$B$5:$B$1005="AJUSTE")*(MOVIMIENTOS!$C$5:$C$1005="Chancho")*(MOVIMIENTOS!$D$5:$D$1005="sacos")*(MOVIMIENTOS!$A$5:$A$1005&lt;&gt;"")*(MOVIMIENTOS!$A$5:$A$1005&lt;=$A500)*MOVIMIENTOS!$E$5:$E$1005))</f>
        <v/>
      </c>
      <c r="G500" s="62" t="str">
        <f t="shared" si="15"/>
        <v/>
      </c>
      <c r="H500" t="str">
        <f>IF($A500="","",SUMPRODUCT((((MOVIMIENTOS!$B$5:$B$1005="SALDO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500)*MOVIMIENTOS!$J$5:$J$1005))</f>
        <v/>
      </c>
      <c r="J500" t="str">
        <f>IF(AND(MOVIMIENTOS!$A505&lt;&gt;"",COUNTIF(MOVIMIENTOS!$A$5:$A504,MOVIMIENTOS!$A505)=0),COUNT(J$4:J499)+1,"")</f>
        <v/>
      </c>
      <c r="K500">
        <f>MOVIMIENTOS!$A505</f>
        <v>0</v>
      </c>
    </row>
    <row r="501" spans="1:11" ht="15" customHeight="1" x14ac:dyDescent="0.2">
      <c r="A501" t="str">
        <f t="shared" si="14"/>
        <v/>
      </c>
      <c r="B501" t="str">
        <f>IF($A501="","",SUMPRODUCT((MOVIMIENTOS!$B$5:$B$1005="SALDO INICIAL")*(MOVIMIENTOS!$C$5:$C$1005="A")*(MOVIMIENTOS!$D$5:$D$1005="jabas")*(MOVIMIENTOS!$A$5:$A$1005&lt;&gt;"")*(MOVIMIENTOS!$A$5:$A$1005&lt;=$A501)*MOVIMIENTOS!$E$5:$E$1005)+SUMPRODUCT((MOVIMIENTOS!$B$5:$B$1005="PROCESO")*(MOVIMIENTOS!$C$5:$C$1005="A")*(MOVIMIENTOS!$D$5:$D$1005="jabas")*(MOVIMIENTOS!$A$5:$A$1005&lt;&gt;"")*(MOVIMIENTOS!$A$5:$A$1005&lt;=$A501)*MOVIMIENTOS!$E$5:$E$1005)-SUMPRODUCT((MOVIMIENTOS!$B$5:$B$1005="ENVÍO A SUPESA")*(MOVIMIENTOS!$C$5:$C$1005="A")*(MOVIMIENTOS!$D$5:$D$1005="jabas")*(MOVIMIENTOS!$A$5:$A$1005&lt;&gt;"")*(MOVIMIENTOS!$A$5:$A$1005&lt;=$A501)*MOVIMIENTOS!$E$5:$E$1005)+SUMPRODUCT((MOVIMIENTOS!$B$5:$B$1005="DEVOLUCIÓN")*(MOVIMIENTOS!$C$5:$C$1005="A")*(MOVIMIENTOS!$D$5:$D$1005="jabas")*(MOVIMIENTOS!$A$5:$A$1005&lt;&gt;"")*(MOVIMIENTOS!$A$5:$A$1005&lt;=$A501)*MOVIMIENTOS!$E$5:$E$1005)-SUMPRODUCT((MOVIMIENTOS!$B$5:$B$1005="TRASIEGO")*(MOVIMIENTOS!$C$5:$C$1005="A")*(MOVIMIENTOS!$D$5:$D$1005="jabas")*(MOVIMIENTOS!$A$5:$A$1005&lt;&gt;"")*(MOVIMIENTOS!$A$5:$A$1005&lt;=$A501)*MOVIMIENTOS!$E$5:$E$1005)-SUMPRODUCT((MOVIMIENTOS!$B$5:$B$1005="REGALO")*(MOVIMIENTOS!$C$5:$C$1005="A")*(MOVIMIENTOS!$D$5:$D$1005="jabas")*(MOVIMIENTOS!$A$5:$A$1005&lt;&gt;"")*(MOVIMIENTOS!$A$5:$A$1005&lt;=$A501)*MOVIMIENTOS!$E$5:$E$1005)-SUMPRODUCT((MOVIMIENTOS!$B$5:$B$1005="VENTA")*(MOVIMIENTOS!$C$5:$C$1005="A")*(MOVIMIENTOS!$D$5:$D$1005="jabas")*(MOVIMIENTOS!$A$5:$A$1005&lt;&gt;"")*(MOVIMIENTOS!$A$5:$A$1005&lt;=$A501)*MOVIMIENTOS!$E$5:$E$1005)+SUMPRODUCT((MOVIMIENTOS!$B$5:$B$1005="AJUSTE")*(MOVIMIENTOS!$C$5:$C$1005="A")*(MOVIMIENTOS!$D$5:$D$1005="jabas")*(MOVIMIENTOS!$A$5:$A$1005&lt;&gt;"")*(MOVIMIENTOS!$A$5:$A$1005&lt;=$A501)*MOVIMIENTOS!$E$5:$E$1005))</f>
        <v/>
      </c>
      <c r="C501" t="str">
        <f>IF($A501="","",SUMPRODUCT((MOVIMIENTOS!$B$5:$B$1005="SALDO INICIAL")*(MOVIMIENTOS!$C$5:$C$1005="P")*(MOVIMIENTOS!$D$5:$D$1005="jabas")*(MOVIMIENTOS!$A$5:$A$1005&lt;&gt;"")*(MOVIMIENTOS!$A$5:$A$1005&lt;=$A501)*MOVIMIENTOS!$E$5:$E$1005)+SUMPRODUCT((MOVIMIENTOS!$B$5:$B$1005="PROCESO")*(MOVIMIENTOS!$C$5:$C$1005="P")*(MOVIMIENTOS!$D$5:$D$1005="jabas")*(MOVIMIENTOS!$A$5:$A$1005&lt;&gt;"")*(MOVIMIENTOS!$A$5:$A$1005&lt;=$A501)*MOVIMIENTOS!$E$5:$E$1005)-SUMPRODUCT((MOVIMIENTOS!$B$5:$B$1005="ENVÍO A SUPESA")*(MOVIMIENTOS!$C$5:$C$1005="P")*(MOVIMIENTOS!$D$5:$D$1005="jabas")*(MOVIMIENTOS!$A$5:$A$1005&lt;&gt;"")*(MOVIMIENTOS!$A$5:$A$1005&lt;=$A501)*MOVIMIENTOS!$E$5:$E$1005)+SUMPRODUCT((MOVIMIENTOS!$B$5:$B$1005="DEVOLUCIÓN")*(MOVIMIENTOS!$C$5:$C$1005="P")*(MOVIMIENTOS!$D$5:$D$1005="jabas")*(MOVIMIENTOS!$A$5:$A$1005&lt;&gt;"")*(MOVIMIENTOS!$A$5:$A$1005&lt;=$A501)*MOVIMIENTOS!$E$5:$E$1005)-SUMPRODUCT((MOVIMIENTOS!$B$5:$B$1005="TRASIEGO")*(MOVIMIENTOS!$C$5:$C$1005="P")*(MOVIMIENTOS!$D$5:$D$1005="jabas")*(MOVIMIENTOS!$A$5:$A$1005&lt;&gt;"")*(MOVIMIENTOS!$A$5:$A$1005&lt;=$A501)*MOVIMIENTOS!$E$5:$E$1005)-SUMPRODUCT((MOVIMIENTOS!$B$5:$B$1005="REGALO")*(MOVIMIENTOS!$C$5:$C$1005="P")*(MOVIMIENTOS!$D$5:$D$1005="jabas")*(MOVIMIENTOS!$A$5:$A$1005&lt;&gt;"")*(MOVIMIENTOS!$A$5:$A$1005&lt;=$A501)*MOVIMIENTOS!$E$5:$E$1005)-SUMPRODUCT((MOVIMIENTOS!$B$5:$B$1005="VENTA")*(MOVIMIENTOS!$C$5:$C$1005="P")*(MOVIMIENTOS!$D$5:$D$1005="jabas")*(MOVIMIENTOS!$A$5:$A$1005&lt;&gt;"")*(MOVIMIENTOS!$A$5:$A$1005&lt;=$A501)*MOVIMIENTOS!$E$5:$E$1005)+SUMPRODUCT((MOVIMIENTOS!$B$5:$B$1005="AJUSTE")*(MOVIMIENTOS!$C$5:$C$1005="P")*(MOVIMIENTOS!$D$5:$D$1005="jabas")*(MOVIMIENTOS!$A$5:$A$1005&lt;&gt;"")*(MOVIMIENTOS!$A$5:$A$1005&lt;=$A501)*MOVIMIENTOS!$E$5:$E$1005))</f>
        <v/>
      </c>
      <c r="D501" t="str">
        <f>IF($A501="","",SUMPRODUCT((MOVIMIENTOS!$B$5:$B$1005="SALDO INICIAL")*(MOVIMIENTOS!$C$5:$C$1005="C")*(MOVIMIENTOS!$D$5:$D$1005="jabas")*(MOVIMIENTOS!$A$5:$A$1005&lt;&gt;"")*(MOVIMIENTOS!$A$5:$A$1005&lt;=$A501)*MOVIMIENTOS!$E$5:$E$1005)+SUMPRODUCT((MOVIMIENTOS!$B$5:$B$1005="PROCESO")*(MOVIMIENTOS!$C$5:$C$1005="C")*(MOVIMIENTOS!$D$5:$D$1005="jabas")*(MOVIMIENTOS!$A$5:$A$1005&lt;&gt;"")*(MOVIMIENTOS!$A$5:$A$1005&lt;=$A501)*MOVIMIENTOS!$E$5:$E$1005)-SUMPRODUCT((MOVIMIENTOS!$B$5:$B$1005="ENVÍO A SUPESA")*(MOVIMIENTOS!$C$5:$C$1005="C")*(MOVIMIENTOS!$D$5:$D$1005="jabas")*(MOVIMIENTOS!$A$5:$A$1005&lt;&gt;"")*(MOVIMIENTOS!$A$5:$A$1005&lt;=$A501)*MOVIMIENTOS!$E$5:$E$1005)+SUMPRODUCT((MOVIMIENTOS!$B$5:$B$1005="DEVOLUCIÓN")*(MOVIMIENTOS!$C$5:$C$1005="C")*(MOVIMIENTOS!$D$5:$D$1005="jabas")*(MOVIMIENTOS!$A$5:$A$1005&lt;&gt;"")*(MOVIMIENTOS!$A$5:$A$1005&lt;=$A501)*MOVIMIENTOS!$E$5:$E$1005)-SUMPRODUCT((MOVIMIENTOS!$B$5:$B$1005="TRASIEGO")*(MOVIMIENTOS!$C$5:$C$1005="C")*(MOVIMIENTOS!$D$5:$D$1005="jabas")*(MOVIMIENTOS!$A$5:$A$1005&lt;&gt;"")*(MOVIMIENTOS!$A$5:$A$1005&lt;=$A501)*MOVIMIENTOS!$E$5:$E$1005)-SUMPRODUCT((MOVIMIENTOS!$B$5:$B$1005="REGALO")*(MOVIMIENTOS!$C$5:$C$1005="C")*(MOVIMIENTOS!$D$5:$D$1005="jabas")*(MOVIMIENTOS!$A$5:$A$1005&lt;&gt;"")*(MOVIMIENTOS!$A$5:$A$1005&lt;=$A501)*MOVIMIENTOS!$E$5:$E$1005)-SUMPRODUCT((MOVIMIENTOS!$B$5:$B$1005="VENTA")*(MOVIMIENTOS!$C$5:$C$1005="C")*(MOVIMIENTOS!$D$5:$D$1005="jabas")*(MOVIMIENTOS!$A$5:$A$1005&lt;&gt;"")*(MOVIMIENTOS!$A$5:$A$1005&lt;=$A501)*MOVIMIENTOS!$E$5:$E$1005)+SUMPRODUCT((MOVIMIENTOS!$B$5:$B$1005="AJUSTE")*(MOVIMIENTOS!$C$5:$C$1005="C")*(MOVIMIENTOS!$D$5:$D$1005="jabas")*(MOVIMIENTOS!$A$5:$A$1005&lt;&gt;"")*(MOVIMIENTOS!$A$5:$A$1005&lt;=$A501)*MOVIMIENTOS!$E$5:$E$1005))</f>
        <v/>
      </c>
      <c r="E501" t="str">
        <f>IF($A501="","",SUMPRODUCT((MOVIMIENTOS!$B$5:$B$1005="SALDO INICIAL")*(MOVIMIENTOS!$C$5:$C$1005="M")*(MOVIMIENTOS!$D$5:$D$1005="jabas")*(MOVIMIENTOS!$A$5:$A$1005&lt;&gt;"")*(MOVIMIENTOS!$A$5:$A$1005&lt;=$A501)*MOVIMIENTOS!$E$5:$E$1005)+SUMPRODUCT((MOVIMIENTOS!$B$5:$B$1005="PROCESO")*(MOVIMIENTOS!$C$5:$C$1005="M")*(MOVIMIENTOS!$D$5:$D$1005="jabas")*(MOVIMIENTOS!$A$5:$A$1005&lt;&gt;"")*(MOVIMIENTOS!$A$5:$A$1005&lt;=$A501)*MOVIMIENTOS!$E$5:$E$1005)-SUMPRODUCT((MOVIMIENTOS!$B$5:$B$1005="ENVÍO A SUPESA")*(MOVIMIENTOS!$C$5:$C$1005="M")*(MOVIMIENTOS!$D$5:$D$1005="jabas")*(MOVIMIENTOS!$A$5:$A$1005&lt;&gt;"")*(MOVIMIENTOS!$A$5:$A$1005&lt;=$A501)*MOVIMIENTOS!$E$5:$E$1005)+SUMPRODUCT((MOVIMIENTOS!$B$5:$B$1005="DEVOLUCIÓN")*(MOVIMIENTOS!$C$5:$C$1005="M")*(MOVIMIENTOS!$D$5:$D$1005="jabas")*(MOVIMIENTOS!$A$5:$A$1005&lt;&gt;"")*(MOVIMIENTOS!$A$5:$A$1005&lt;=$A501)*MOVIMIENTOS!$E$5:$E$1005)-SUMPRODUCT((MOVIMIENTOS!$B$5:$B$1005="TRASIEGO")*(MOVIMIENTOS!$C$5:$C$1005="M")*(MOVIMIENTOS!$D$5:$D$1005="jabas")*(MOVIMIENTOS!$A$5:$A$1005&lt;&gt;"")*(MOVIMIENTOS!$A$5:$A$1005&lt;=$A501)*MOVIMIENTOS!$E$5:$E$1005)-SUMPRODUCT((MOVIMIENTOS!$B$5:$B$1005="REGALO")*(MOVIMIENTOS!$C$5:$C$1005="M")*(MOVIMIENTOS!$D$5:$D$1005="jabas")*(MOVIMIENTOS!$A$5:$A$1005&lt;&gt;"")*(MOVIMIENTOS!$A$5:$A$1005&lt;=$A501)*MOVIMIENTOS!$E$5:$E$1005)-SUMPRODUCT((MOVIMIENTOS!$B$5:$B$1005="VENTA")*(MOVIMIENTOS!$C$5:$C$1005="M")*(MOVIMIENTOS!$D$5:$D$1005="jabas")*(MOVIMIENTOS!$A$5:$A$1005&lt;&gt;"")*(MOVIMIENTOS!$A$5:$A$1005&lt;=$A501)*MOVIMIENTOS!$E$5:$E$1005)+SUMPRODUCT((MOVIMIENTOS!$B$5:$B$1005="AJUSTE")*(MOVIMIENTOS!$C$5:$C$1005="M")*(MOVIMIENTOS!$D$5:$D$1005="jabas")*(MOVIMIENTOS!$A$5:$A$1005&lt;&gt;"")*(MOVIMIENTOS!$A$5:$A$1005&lt;=$A501)*MOVIMIENTOS!$E$5:$E$1005))</f>
        <v/>
      </c>
      <c r="F501" s="62" t="str">
        <f>IF($A501="","",SUMPRODUCT((MOVIMIENTOS!$B$5:$B$1005="SALDO INICIAL")*(MOVIMIENTOS!$C$5:$C$1005="Chancho")*(MOVIMIENTOS!$D$5:$D$1005="sacos")*(MOVIMIENTOS!$A$5:$A$1005&lt;&gt;"")*(MOVIMIENTOS!$A$5:$A$1005&lt;=$A501)*MOVIMIENTOS!$E$5:$E$1005)+SUMPRODUCT((MOVIMIENTOS!$B$5:$B$1005="PROCESO")*(MOVIMIENTOS!$C$5:$C$1005="Chancho")*(MOVIMIENTOS!$D$5:$D$1005="sacos")*(MOVIMIENTOS!$A$5:$A$1005&lt;&gt;"")*(MOVIMIENTOS!$A$5:$A$1005&lt;=$A501)*MOVIMIENTOS!$E$5:$E$1005)-SUMPRODUCT((MOVIMIENTOS!$B$5:$B$1005="VENTA CHANCHO")*(MOVIMIENTOS!$C$5:$C$1005="Chancho")*(MOVIMIENTOS!$D$5:$D$1005="sacos")*(MOVIMIENTOS!$A$5:$A$1005&lt;&gt;"")*(MOVIMIENTOS!$A$5:$A$1005&lt;=$A501)*MOVIMIENTOS!$E$5:$E$1005)-SUMPRODUCT((MOVIMIENTOS!$B$5:$B$1005="REGALO")*(MOVIMIENTOS!$C$5:$C$1005="Chancho")*(MOVIMIENTOS!$D$5:$D$1005="sacos")*(MOVIMIENTOS!$A$5:$A$1005&lt;&gt;"")*(MOVIMIENTOS!$A$5:$A$1005&lt;=$A501)*MOVIMIENTOS!$E$5:$E$1005)-SUMPRODUCT((MOVIMIENTOS!$B$5:$B$1005="VENTA")*(MOVIMIENTOS!$C$5:$C$1005="Chancho")*(MOVIMIENTOS!$D$5:$D$1005="sacos")*(MOVIMIENTOS!$A$5:$A$1005&lt;&gt;"")*(MOVIMIENTOS!$A$5:$A$1005&lt;=$A501)*MOVIMIENTOS!$E$5:$E$1005)+SUMPRODUCT((MOVIMIENTOS!$B$5:$B$1005="AJUSTE")*(MOVIMIENTOS!$C$5:$C$1005="Chancho")*(MOVIMIENTOS!$D$5:$D$1005="sacos")*(MOVIMIENTOS!$A$5:$A$1005&lt;&gt;"")*(MOVIMIENTOS!$A$5:$A$1005&lt;=$A501)*MOVIMIENTOS!$E$5:$E$1005))</f>
        <v/>
      </c>
      <c r="G501" s="62" t="str">
        <f t="shared" si="15"/>
        <v/>
      </c>
      <c r="H501" t="str">
        <f>IF($A501="","",SUMPRODUCT((((MOVIMIENTOS!$B$5:$B$1005="SALDO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501)*MOVIMIENTOS!$J$5:$J$1005))</f>
        <v/>
      </c>
      <c r="J501" t="str">
        <f>IF(AND(MOVIMIENTOS!$A506&lt;&gt;"",COUNTIF(MOVIMIENTOS!$A$5:$A505,MOVIMIENTOS!$A506)=0),COUNT(J$4:J500)+1,"")</f>
        <v/>
      </c>
      <c r="K501">
        <f>MOVIMIENTOS!$A506</f>
        <v>0</v>
      </c>
    </row>
    <row r="502" spans="1:11" ht="15" customHeight="1" x14ac:dyDescent="0.2">
      <c r="A502" t="str">
        <f t="shared" si="14"/>
        <v/>
      </c>
      <c r="B502" t="str">
        <f>IF($A502="","",SUMPRODUCT((MOVIMIENTOS!$B$5:$B$1005="SALDO INICIAL")*(MOVIMIENTOS!$C$5:$C$1005="A")*(MOVIMIENTOS!$D$5:$D$1005="jabas")*(MOVIMIENTOS!$A$5:$A$1005&lt;&gt;"")*(MOVIMIENTOS!$A$5:$A$1005&lt;=$A502)*MOVIMIENTOS!$E$5:$E$1005)+SUMPRODUCT((MOVIMIENTOS!$B$5:$B$1005="PROCESO")*(MOVIMIENTOS!$C$5:$C$1005="A")*(MOVIMIENTOS!$D$5:$D$1005="jabas")*(MOVIMIENTOS!$A$5:$A$1005&lt;&gt;"")*(MOVIMIENTOS!$A$5:$A$1005&lt;=$A502)*MOVIMIENTOS!$E$5:$E$1005)-SUMPRODUCT((MOVIMIENTOS!$B$5:$B$1005="ENVÍO A SUPESA")*(MOVIMIENTOS!$C$5:$C$1005="A")*(MOVIMIENTOS!$D$5:$D$1005="jabas")*(MOVIMIENTOS!$A$5:$A$1005&lt;&gt;"")*(MOVIMIENTOS!$A$5:$A$1005&lt;=$A502)*MOVIMIENTOS!$E$5:$E$1005)+SUMPRODUCT((MOVIMIENTOS!$B$5:$B$1005="DEVOLUCIÓN")*(MOVIMIENTOS!$C$5:$C$1005="A")*(MOVIMIENTOS!$D$5:$D$1005="jabas")*(MOVIMIENTOS!$A$5:$A$1005&lt;&gt;"")*(MOVIMIENTOS!$A$5:$A$1005&lt;=$A502)*MOVIMIENTOS!$E$5:$E$1005)-SUMPRODUCT((MOVIMIENTOS!$B$5:$B$1005="TRASIEGO")*(MOVIMIENTOS!$C$5:$C$1005="A")*(MOVIMIENTOS!$D$5:$D$1005="jabas")*(MOVIMIENTOS!$A$5:$A$1005&lt;&gt;"")*(MOVIMIENTOS!$A$5:$A$1005&lt;=$A502)*MOVIMIENTOS!$E$5:$E$1005)-SUMPRODUCT((MOVIMIENTOS!$B$5:$B$1005="REGALO")*(MOVIMIENTOS!$C$5:$C$1005="A")*(MOVIMIENTOS!$D$5:$D$1005="jabas")*(MOVIMIENTOS!$A$5:$A$1005&lt;&gt;"")*(MOVIMIENTOS!$A$5:$A$1005&lt;=$A502)*MOVIMIENTOS!$E$5:$E$1005)-SUMPRODUCT((MOVIMIENTOS!$B$5:$B$1005="VENTA")*(MOVIMIENTOS!$C$5:$C$1005="A")*(MOVIMIENTOS!$D$5:$D$1005="jabas")*(MOVIMIENTOS!$A$5:$A$1005&lt;&gt;"")*(MOVIMIENTOS!$A$5:$A$1005&lt;=$A502)*MOVIMIENTOS!$E$5:$E$1005)+SUMPRODUCT((MOVIMIENTOS!$B$5:$B$1005="AJUSTE")*(MOVIMIENTOS!$C$5:$C$1005="A")*(MOVIMIENTOS!$D$5:$D$1005="jabas")*(MOVIMIENTOS!$A$5:$A$1005&lt;&gt;"")*(MOVIMIENTOS!$A$5:$A$1005&lt;=$A502)*MOVIMIENTOS!$E$5:$E$1005))</f>
        <v/>
      </c>
      <c r="C502" t="str">
        <f>IF($A502="","",SUMPRODUCT((MOVIMIENTOS!$B$5:$B$1005="SALDO INICIAL")*(MOVIMIENTOS!$C$5:$C$1005="P")*(MOVIMIENTOS!$D$5:$D$1005="jabas")*(MOVIMIENTOS!$A$5:$A$1005&lt;&gt;"")*(MOVIMIENTOS!$A$5:$A$1005&lt;=$A502)*MOVIMIENTOS!$E$5:$E$1005)+SUMPRODUCT((MOVIMIENTOS!$B$5:$B$1005="PROCESO")*(MOVIMIENTOS!$C$5:$C$1005="P")*(MOVIMIENTOS!$D$5:$D$1005="jabas")*(MOVIMIENTOS!$A$5:$A$1005&lt;&gt;"")*(MOVIMIENTOS!$A$5:$A$1005&lt;=$A502)*MOVIMIENTOS!$E$5:$E$1005)-SUMPRODUCT((MOVIMIENTOS!$B$5:$B$1005="ENVÍO A SUPESA")*(MOVIMIENTOS!$C$5:$C$1005="P")*(MOVIMIENTOS!$D$5:$D$1005="jabas")*(MOVIMIENTOS!$A$5:$A$1005&lt;&gt;"")*(MOVIMIENTOS!$A$5:$A$1005&lt;=$A502)*MOVIMIENTOS!$E$5:$E$1005)+SUMPRODUCT((MOVIMIENTOS!$B$5:$B$1005="DEVOLUCIÓN")*(MOVIMIENTOS!$C$5:$C$1005="P")*(MOVIMIENTOS!$D$5:$D$1005="jabas")*(MOVIMIENTOS!$A$5:$A$1005&lt;&gt;"")*(MOVIMIENTOS!$A$5:$A$1005&lt;=$A502)*MOVIMIENTOS!$E$5:$E$1005)-SUMPRODUCT((MOVIMIENTOS!$B$5:$B$1005="TRASIEGO")*(MOVIMIENTOS!$C$5:$C$1005="P")*(MOVIMIENTOS!$D$5:$D$1005="jabas")*(MOVIMIENTOS!$A$5:$A$1005&lt;&gt;"")*(MOVIMIENTOS!$A$5:$A$1005&lt;=$A502)*MOVIMIENTOS!$E$5:$E$1005)-SUMPRODUCT((MOVIMIENTOS!$B$5:$B$1005="REGALO")*(MOVIMIENTOS!$C$5:$C$1005="P")*(MOVIMIENTOS!$D$5:$D$1005="jabas")*(MOVIMIENTOS!$A$5:$A$1005&lt;&gt;"")*(MOVIMIENTOS!$A$5:$A$1005&lt;=$A502)*MOVIMIENTOS!$E$5:$E$1005)-SUMPRODUCT((MOVIMIENTOS!$B$5:$B$1005="VENTA")*(MOVIMIENTOS!$C$5:$C$1005="P")*(MOVIMIENTOS!$D$5:$D$1005="jabas")*(MOVIMIENTOS!$A$5:$A$1005&lt;&gt;"")*(MOVIMIENTOS!$A$5:$A$1005&lt;=$A502)*MOVIMIENTOS!$E$5:$E$1005)+SUMPRODUCT((MOVIMIENTOS!$B$5:$B$1005="AJUSTE")*(MOVIMIENTOS!$C$5:$C$1005="P")*(MOVIMIENTOS!$D$5:$D$1005="jabas")*(MOVIMIENTOS!$A$5:$A$1005&lt;&gt;"")*(MOVIMIENTOS!$A$5:$A$1005&lt;=$A502)*MOVIMIENTOS!$E$5:$E$1005))</f>
        <v/>
      </c>
      <c r="D502" t="str">
        <f>IF($A502="","",SUMPRODUCT((MOVIMIENTOS!$B$5:$B$1005="SALDO INICIAL")*(MOVIMIENTOS!$C$5:$C$1005="C")*(MOVIMIENTOS!$D$5:$D$1005="jabas")*(MOVIMIENTOS!$A$5:$A$1005&lt;&gt;"")*(MOVIMIENTOS!$A$5:$A$1005&lt;=$A502)*MOVIMIENTOS!$E$5:$E$1005)+SUMPRODUCT((MOVIMIENTOS!$B$5:$B$1005="PROCESO")*(MOVIMIENTOS!$C$5:$C$1005="C")*(MOVIMIENTOS!$D$5:$D$1005="jabas")*(MOVIMIENTOS!$A$5:$A$1005&lt;&gt;"")*(MOVIMIENTOS!$A$5:$A$1005&lt;=$A502)*MOVIMIENTOS!$E$5:$E$1005)-SUMPRODUCT((MOVIMIENTOS!$B$5:$B$1005="ENVÍO A SUPESA")*(MOVIMIENTOS!$C$5:$C$1005="C")*(MOVIMIENTOS!$D$5:$D$1005="jabas")*(MOVIMIENTOS!$A$5:$A$1005&lt;&gt;"")*(MOVIMIENTOS!$A$5:$A$1005&lt;=$A502)*MOVIMIENTOS!$E$5:$E$1005)+SUMPRODUCT((MOVIMIENTOS!$B$5:$B$1005="DEVOLUCIÓN")*(MOVIMIENTOS!$C$5:$C$1005="C")*(MOVIMIENTOS!$D$5:$D$1005="jabas")*(MOVIMIENTOS!$A$5:$A$1005&lt;&gt;"")*(MOVIMIENTOS!$A$5:$A$1005&lt;=$A502)*MOVIMIENTOS!$E$5:$E$1005)-SUMPRODUCT((MOVIMIENTOS!$B$5:$B$1005="TRASIEGO")*(MOVIMIENTOS!$C$5:$C$1005="C")*(MOVIMIENTOS!$D$5:$D$1005="jabas")*(MOVIMIENTOS!$A$5:$A$1005&lt;&gt;"")*(MOVIMIENTOS!$A$5:$A$1005&lt;=$A502)*MOVIMIENTOS!$E$5:$E$1005)-SUMPRODUCT((MOVIMIENTOS!$B$5:$B$1005="REGALO")*(MOVIMIENTOS!$C$5:$C$1005="C")*(MOVIMIENTOS!$D$5:$D$1005="jabas")*(MOVIMIENTOS!$A$5:$A$1005&lt;&gt;"")*(MOVIMIENTOS!$A$5:$A$1005&lt;=$A502)*MOVIMIENTOS!$E$5:$E$1005)-SUMPRODUCT((MOVIMIENTOS!$B$5:$B$1005="VENTA")*(MOVIMIENTOS!$C$5:$C$1005="C")*(MOVIMIENTOS!$D$5:$D$1005="jabas")*(MOVIMIENTOS!$A$5:$A$1005&lt;&gt;"")*(MOVIMIENTOS!$A$5:$A$1005&lt;=$A502)*MOVIMIENTOS!$E$5:$E$1005)+SUMPRODUCT((MOVIMIENTOS!$B$5:$B$1005="AJUSTE")*(MOVIMIENTOS!$C$5:$C$1005="C")*(MOVIMIENTOS!$D$5:$D$1005="jabas")*(MOVIMIENTOS!$A$5:$A$1005&lt;&gt;"")*(MOVIMIENTOS!$A$5:$A$1005&lt;=$A502)*MOVIMIENTOS!$E$5:$E$1005))</f>
        <v/>
      </c>
      <c r="E502" t="str">
        <f>IF($A502="","",SUMPRODUCT((MOVIMIENTOS!$B$5:$B$1005="SALDO INICIAL")*(MOVIMIENTOS!$C$5:$C$1005="M")*(MOVIMIENTOS!$D$5:$D$1005="jabas")*(MOVIMIENTOS!$A$5:$A$1005&lt;&gt;"")*(MOVIMIENTOS!$A$5:$A$1005&lt;=$A502)*MOVIMIENTOS!$E$5:$E$1005)+SUMPRODUCT((MOVIMIENTOS!$B$5:$B$1005="PROCESO")*(MOVIMIENTOS!$C$5:$C$1005="M")*(MOVIMIENTOS!$D$5:$D$1005="jabas")*(MOVIMIENTOS!$A$5:$A$1005&lt;&gt;"")*(MOVIMIENTOS!$A$5:$A$1005&lt;=$A502)*MOVIMIENTOS!$E$5:$E$1005)-SUMPRODUCT((MOVIMIENTOS!$B$5:$B$1005="ENVÍO A SUPESA")*(MOVIMIENTOS!$C$5:$C$1005="M")*(MOVIMIENTOS!$D$5:$D$1005="jabas")*(MOVIMIENTOS!$A$5:$A$1005&lt;&gt;"")*(MOVIMIENTOS!$A$5:$A$1005&lt;=$A502)*MOVIMIENTOS!$E$5:$E$1005)+SUMPRODUCT((MOVIMIENTOS!$B$5:$B$1005="DEVOLUCIÓN")*(MOVIMIENTOS!$C$5:$C$1005="M")*(MOVIMIENTOS!$D$5:$D$1005="jabas")*(MOVIMIENTOS!$A$5:$A$1005&lt;&gt;"")*(MOVIMIENTOS!$A$5:$A$1005&lt;=$A502)*MOVIMIENTOS!$E$5:$E$1005)-SUMPRODUCT((MOVIMIENTOS!$B$5:$B$1005="TRASIEGO")*(MOVIMIENTOS!$C$5:$C$1005="M")*(MOVIMIENTOS!$D$5:$D$1005="jabas")*(MOVIMIENTOS!$A$5:$A$1005&lt;&gt;"")*(MOVIMIENTOS!$A$5:$A$1005&lt;=$A502)*MOVIMIENTOS!$E$5:$E$1005)-SUMPRODUCT((MOVIMIENTOS!$B$5:$B$1005="REGALO")*(MOVIMIENTOS!$C$5:$C$1005="M")*(MOVIMIENTOS!$D$5:$D$1005="jabas")*(MOVIMIENTOS!$A$5:$A$1005&lt;&gt;"")*(MOVIMIENTOS!$A$5:$A$1005&lt;=$A502)*MOVIMIENTOS!$E$5:$E$1005)-SUMPRODUCT((MOVIMIENTOS!$B$5:$B$1005="VENTA")*(MOVIMIENTOS!$C$5:$C$1005="M")*(MOVIMIENTOS!$D$5:$D$1005="jabas")*(MOVIMIENTOS!$A$5:$A$1005&lt;&gt;"")*(MOVIMIENTOS!$A$5:$A$1005&lt;=$A502)*MOVIMIENTOS!$E$5:$E$1005)+SUMPRODUCT((MOVIMIENTOS!$B$5:$B$1005="AJUSTE")*(MOVIMIENTOS!$C$5:$C$1005="M")*(MOVIMIENTOS!$D$5:$D$1005="jabas")*(MOVIMIENTOS!$A$5:$A$1005&lt;&gt;"")*(MOVIMIENTOS!$A$5:$A$1005&lt;=$A502)*MOVIMIENTOS!$E$5:$E$1005))</f>
        <v/>
      </c>
      <c r="F502" s="62" t="str">
        <f>IF($A502="","",SUMPRODUCT((MOVIMIENTOS!$B$5:$B$1005="SALDO INICIAL")*(MOVIMIENTOS!$C$5:$C$1005="Chancho")*(MOVIMIENTOS!$D$5:$D$1005="sacos")*(MOVIMIENTOS!$A$5:$A$1005&lt;&gt;"")*(MOVIMIENTOS!$A$5:$A$1005&lt;=$A502)*MOVIMIENTOS!$E$5:$E$1005)+SUMPRODUCT((MOVIMIENTOS!$B$5:$B$1005="PROCESO")*(MOVIMIENTOS!$C$5:$C$1005="Chancho")*(MOVIMIENTOS!$D$5:$D$1005="sacos")*(MOVIMIENTOS!$A$5:$A$1005&lt;&gt;"")*(MOVIMIENTOS!$A$5:$A$1005&lt;=$A502)*MOVIMIENTOS!$E$5:$E$1005)-SUMPRODUCT((MOVIMIENTOS!$B$5:$B$1005="VENTA CHANCHO")*(MOVIMIENTOS!$C$5:$C$1005="Chancho")*(MOVIMIENTOS!$D$5:$D$1005="sacos")*(MOVIMIENTOS!$A$5:$A$1005&lt;&gt;"")*(MOVIMIENTOS!$A$5:$A$1005&lt;=$A502)*MOVIMIENTOS!$E$5:$E$1005)-SUMPRODUCT((MOVIMIENTOS!$B$5:$B$1005="REGALO")*(MOVIMIENTOS!$C$5:$C$1005="Chancho")*(MOVIMIENTOS!$D$5:$D$1005="sacos")*(MOVIMIENTOS!$A$5:$A$1005&lt;&gt;"")*(MOVIMIENTOS!$A$5:$A$1005&lt;=$A502)*MOVIMIENTOS!$E$5:$E$1005)-SUMPRODUCT((MOVIMIENTOS!$B$5:$B$1005="VENTA")*(MOVIMIENTOS!$C$5:$C$1005="Chancho")*(MOVIMIENTOS!$D$5:$D$1005="sacos")*(MOVIMIENTOS!$A$5:$A$1005&lt;&gt;"")*(MOVIMIENTOS!$A$5:$A$1005&lt;=$A502)*MOVIMIENTOS!$E$5:$E$1005)+SUMPRODUCT((MOVIMIENTOS!$B$5:$B$1005="AJUSTE")*(MOVIMIENTOS!$C$5:$C$1005="Chancho")*(MOVIMIENTOS!$D$5:$D$1005="sacos")*(MOVIMIENTOS!$A$5:$A$1005&lt;&gt;"")*(MOVIMIENTOS!$A$5:$A$1005&lt;=$A502)*MOVIMIENTOS!$E$5:$E$1005))</f>
        <v/>
      </c>
      <c r="G502" s="62" t="str">
        <f t="shared" si="15"/>
        <v/>
      </c>
      <c r="H502" t="str">
        <f>IF($A502="","",SUMPRODUCT((((MOVIMIENTOS!$B$5:$B$1005="SALDO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502)*MOVIMIENTOS!$J$5:$J$1005))</f>
        <v/>
      </c>
      <c r="J502" t="str">
        <f>IF(AND(MOVIMIENTOS!$A507&lt;&gt;"",COUNTIF(MOVIMIENTOS!$A$5:$A506,MOVIMIENTOS!$A507)=0),COUNT(J$4:J501)+1,"")</f>
        <v/>
      </c>
      <c r="K502">
        <f>MOVIMIENTOS!$A507</f>
        <v>0</v>
      </c>
    </row>
    <row r="503" spans="1:11" ht="15" customHeight="1" x14ac:dyDescent="0.2">
      <c r="A503" t="str">
        <f t="shared" si="14"/>
        <v/>
      </c>
      <c r="B503" t="str">
        <f>IF($A503="","",SUMPRODUCT((MOVIMIENTOS!$B$5:$B$1005="SALDO INICIAL")*(MOVIMIENTOS!$C$5:$C$1005="A")*(MOVIMIENTOS!$D$5:$D$1005="jabas")*(MOVIMIENTOS!$A$5:$A$1005&lt;&gt;"")*(MOVIMIENTOS!$A$5:$A$1005&lt;=$A503)*MOVIMIENTOS!$E$5:$E$1005)+SUMPRODUCT((MOVIMIENTOS!$B$5:$B$1005="PROCESO")*(MOVIMIENTOS!$C$5:$C$1005="A")*(MOVIMIENTOS!$D$5:$D$1005="jabas")*(MOVIMIENTOS!$A$5:$A$1005&lt;&gt;"")*(MOVIMIENTOS!$A$5:$A$1005&lt;=$A503)*MOVIMIENTOS!$E$5:$E$1005)-SUMPRODUCT((MOVIMIENTOS!$B$5:$B$1005="ENVÍO A SUPESA")*(MOVIMIENTOS!$C$5:$C$1005="A")*(MOVIMIENTOS!$D$5:$D$1005="jabas")*(MOVIMIENTOS!$A$5:$A$1005&lt;&gt;"")*(MOVIMIENTOS!$A$5:$A$1005&lt;=$A503)*MOVIMIENTOS!$E$5:$E$1005)+SUMPRODUCT((MOVIMIENTOS!$B$5:$B$1005="DEVOLUCIÓN")*(MOVIMIENTOS!$C$5:$C$1005="A")*(MOVIMIENTOS!$D$5:$D$1005="jabas")*(MOVIMIENTOS!$A$5:$A$1005&lt;&gt;"")*(MOVIMIENTOS!$A$5:$A$1005&lt;=$A503)*MOVIMIENTOS!$E$5:$E$1005)-SUMPRODUCT((MOVIMIENTOS!$B$5:$B$1005="TRASIEGO")*(MOVIMIENTOS!$C$5:$C$1005="A")*(MOVIMIENTOS!$D$5:$D$1005="jabas")*(MOVIMIENTOS!$A$5:$A$1005&lt;&gt;"")*(MOVIMIENTOS!$A$5:$A$1005&lt;=$A503)*MOVIMIENTOS!$E$5:$E$1005)-SUMPRODUCT((MOVIMIENTOS!$B$5:$B$1005="REGALO")*(MOVIMIENTOS!$C$5:$C$1005="A")*(MOVIMIENTOS!$D$5:$D$1005="jabas")*(MOVIMIENTOS!$A$5:$A$1005&lt;&gt;"")*(MOVIMIENTOS!$A$5:$A$1005&lt;=$A503)*MOVIMIENTOS!$E$5:$E$1005)-SUMPRODUCT((MOVIMIENTOS!$B$5:$B$1005="VENTA")*(MOVIMIENTOS!$C$5:$C$1005="A")*(MOVIMIENTOS!$D$5:$D$1005="jabas")*(MOVIMIENTOS!$A$5:$A$1005&lt;&gt;"")*(MOVIMIENTOS!$A$5:$A$1005&lt;=$A503)*MOVIMIENTOS!$E$5:$E$1005)+SUMPRODUCT((MOVIMIENTOS!$B$5:$B$1005="AJUSTE")*(MOVIMIENTOS!$C$5:$C$1005="A")*(MOVIMIENTOS!$D$5:$D$1005="jabas")*(MOVIMIENTOS!$A$5:$A$1005&lt;&gt;"")*(MOVIMIENTOS!$A$5:$A$1005&lt;=$A503)*MOVIMIENTOS!$E$5:$E$1005))</f>
        <v/>
      </c>
      <c r="C503" t="str">
        <f>IF($A503="","",SUMPRODUCT((MOVIMIENTOS!$B$5:$B$1005="SALDO INICIAL")*(MOVIMIENTOS!$C$5:$C$1005="P")*(MOVIMIENTOS!$D$5:$D$1005="jabas")*(MOVIMIENTOS!$A$5:$A$1005&lt;&gt;"")*(MOVIMIENTOS!$A$5:$A$1005&lt;=$A503)*MOVIMIENTOS!$E$5:$E$1005)+SUMPRODUCT((MOVIMIENTOS!$B$5:$B$1005="PROCESO")*(MOVIMIENTOS!$C$5:$C$1005="P")*(MOVIMIENTOS!$D$5:$D$1005="jabas")*(MOVIMIENTOS!$A$5:$A$1005&lt;&gt;"")*(MOVIMIENTOS!$A$5:$A$1005&lt;=$A503)*MOVIMIENTOS!$E$5:$E$1005)-SUMPRODUCT((MOVIMIENTOS!$B$5:$B$1005="ENVÍO A SUPESA")*(MOVIMIENTOS!$C$5:$C$1005="P")*(MOVIMIENTOS!$D$5:$D$1005="jabas")*(MOVIMIENTOS!$A$5:$A$1005&lt;&gt;"")*(MOVIMIENTOS!$A$5:$A$1005&lt;=$A503)*MOVIMIENTOS!$E$5:$E$1005)+SUMPRODUCT((MOVIMIENTOS!$B$5:$B$1005="DEVOLUCIÓN")*(MOVIMIENTOS!$C$5:$C$1005="P")*(MOVIMIENTOS!$D$5:$D$1005="jabas")*(MOVIMIENTOS!$A$5:$A$1005&lt;&gt;"")*(MOVIMIENTOS!$A$5:$A$1005&lt;=$A503)*MOVIMIENTOS!$E$5:$E$1005)-SUMPRODUCT((MOVIMIENTOS!$B$5:$B$1005="TRASIEGO")*(MOVIMIENTOS!$C$5:$C$1005="P")*(MOVIMIENTOS!$D$5:$D$1005="jabas")*(MOVIMIENTOS!$A$5:$A$1005&lt;&gt;"")*(MOVIMIENTOS!$A$5:$A$1005&lt;=$A503)*MOVIMIENTOS!$E$5:$E$1005)-SUMPRODUCT((MOVIMIENTOS!$B$5:$B$1005="REGALO")*(MOVIMIENTOS!$C$5:$C$1005="P")*(MOVIMIENTOS!$D$5:$D$1005="jabas")*(MOVIMIENTOS!$A$5:$A$1005&lt;&gt;"")*(MOVIMIENTOS!$A$5:$A$1005&lt;=$A503)*MOVIMIENTOS!$E$5:$E$1005)-SUMPRODUCT((MOVIMIENTOS!$B$5:$B$1005="VENTA")*(MOVIMIENTOS!$C$5:$C$1005="P")*(MOVIMIENTOS!$D$5:$D$1005="jabas")*(MOVIMIENTOS!$A$5:$A$1005&lt;&gt;"")*(MOVIMIENTOS!$A$5:$A$1005&lt;=$A503)*MOVIMIENTOS!$E$5:$E$1005)+SUMPRODUCT((MOVIMIENTOS!$B$5:$B$1005="AJUSTE")*(MOVIMIENTOS!$C$5:$C$1005="P")*(MOVIMIENTOS!$D$5:$D$1005="jabas")*(MOVIMIENTOS!$A$5:$A$1005&lt;&gt;"")*(MOVIMIENTOS!$A$5:$A$1005&lt;=$A503)*MOVIMIENTOS!$E$5:$E$1005))</f>
        <v/>
      </c>
      <c r="D503" t="str">
        <f>IF($A503="","",SUMPRODUCT((MOVIMIENTOS!$B$5:$B$1005="SALDO INICIAL")*(MOVIMIENTOS!$C$5:$C$1005="C")*(MOVIMIENTOS!$D$5:$D$1005="jabas")*(MOVIMIENTOS!$A$5:$A$1005&lt;&gt;"")*(MOVIMIENTOS!$A$5:$A$1005&lt;=$A503)*MOVIMIENTOS!$E$5:$E$1005)+SUMPRODUCT((MOVIMIENTOS!$B$5:$B$1005="PROCESO")*(MOVIMIENTOS!$C$5:$C$1005="C")*(MOVIMIENTOS!$D$5:$D$1005="jabas")*(MOVIMIENTOS!$A$5:$A$1005&lt;&gt;"")*(MOVIMIENTOS!$A$5:$A$1005&lt;=$A503)*MOVIMIENTOS!$E$5:$E$1005)-SUMPRODUCT((MOVIMIENTOS!$B$5:$B$1005="ENVÍO A SUPESA")*(MOVIMIENTOS!$C$5:$C$1005="C")*(MOVIMIENTOS!$D$5:$D$1005="jabas")*(MOVIMIENTOS!$A$5:$A$1005&lt;&gt;"")*(MOVIMIENTOS!$A$5:$A$1005&lt;=$A503)*MOVIMIENTOS!$E$5:$E$1005)+SUMPRODUCT((MOVIMIENTOS!$B$5:$B$1005="DEVOLUCIÓN")*(MOVIMIENTOS!$C$5:$C$1005="C")*(MOVIMIENTOS!$D$5:$D$1005="jabas")*(MOVIMIENTOS!$A$5:$A$1005&lt;&gt;"")*(MOVIMIENTOS!$A$5:$A$1005&lt;=$A503)*MOVIMIENTOS!$E$5:$E$1005)-SUMPRODUCT((MOVIMIENTOS!$B$5:$B$1005="TRASIEGO")*(MOVIMIENTOS!$C$5:$C$1005="C")*(MOVIMIENTOS!$D$5:$D$1005="jabas")*(MOVIMIENTOS!$A$5:$A$1005&lt;&gt;"")*(MOVIMIENTOS!$A$5:$A$1005&lt;=$A503)*MOVIMIENTOS!$E$5:$E$1005)-SUMPRODUCT((MOVIMIENTOS!$B$5:$B$1005="REGALO")*(MOVIMIENTOS!$C$5:$C$1005="C")*(MOVIMIENTOS!$D$5:$D$1005="jabas")*(MOVIMIENTOS!$A$5:$A$1005&lt;&gt;"")*(MOVIMIENTOS!$A$5:$A$1005&lt;=$A503)*MOVIMIENTOS!$E$5:$E$1005)-SUMPRODUCT((MOVIMIENTOS!$B$5:$B$1005="VENTA")*(MOVIMIENTOS!$C$5:$C$1005="C")*(MOVIMIENTOS!$D$5:$D$1005="jabas")*(MOVIMIENTOS!$A$5:$A$1005&lt;&gt;"")*(MOVIMIENTOS!$A$5:$A$1005&lt;=$A503)*MOVIMIENTOS!$E$5:$E$1005)+SUMPRODUCT((MOVIMIENTOS!$B$5:$B$1005="AJUSTE")*(MOVIMIENTOS!$C$5:$C$1005="C")*(MOVIMIENTOS!$D$5:$D$1005="jabas")*(MOVIMIENTOS!$A$5:$A$1005&lt;&gt;"")*(MOVIMIENTOS!$A$5:$A$1005&lt;=$A503)*MOVIMIENTOS!$E$5:$E$1005))</f>
        <v/>
      </c>
      <c r="E503" t="str">
        <f>IF($A503="","",SUMPRODUCT((MOVIMIENTOS!$B$5:$B$1005="SALDO INICIAL")*(MOVIMIENTOS!$C$5:$C$1005="M")*(MOVIMIENTOS!$D$5:$D$1005="jabas")*(MOVIMIENTOS!$A$5:$A$1005&lt;&gt;"")*(MOVIMIENTOS!$A$5:$A$1005&lt;=$A503)*MOVIMIENTOS!$E$5:$E$1005)+SUMPRODUCT((MOVIMIENTOS!$B$5:$B$1005="PROCESO")*(MOVIMIENTOS!$C$5:$C$1005="M")*(MOVIMIENTOS!$D$5:$D$1005="jabas")*(MOVIMIENTOS!$A$5:$A$1005&lt;&gt;"")*(MOVIMIENTOS!$A$5:$A$1005&lt;=$A503)*MOVIMIENTOS!$E$5:$E$1005)-SUMPRODUCT((MOVIMIENTOS!$B$5:$B$1005="ENVÍO A SUPESA")*(MOVIMIENTOS!$C$5:$C$1005="M")*(MOVIMIENTOS!$D$5:$D$1005="jabas")*(MOVIMIENTOS!$A$5:$A$1005&lt;&gt;"")*(MOVIMIENTOS!$A$5:$A$1005&lt;=$A503)*MOVIMIENTOS!$E$5:$E$1005)+SUMPRODUCT((MOVIMIENTOS!$B$5:$B$1005="DEVOLUCIÓN")*(MOVIMIENTOS!$C$5:$C$1005="M")*(MOVIMIENTOS!$D$5:$D$1005="jabas")*(MOVIMIENTOS!$A$5:$A$1005&lt;&gt;"")*(MOVIMIENTOS!$A$5:$A$1005&lt;=$A503)*MOVIMIENTOS!$E$5:$E$1005)-SUMPRODUCT((MOVIMIENTOS!$B$5:$B$1005="TRASIEGO")*(MOVIMIENTOS!$C$5:$C$1005="M")*(MOVIMIENTOS!$D$5:$D$1005="jabas")*(MOVIMIENTOS!$A$5:$A$1005&lt;&gt;"")*(MOVIMIENTOS!$A$5:$A$1005&lt;=$A503)*MOVIMIENTOS!$E$5:$E$1005)-SUMPRODUCT((MOVIMIENTOS!$B$5:$B$1005="REGALO")*(MOVIMIENTOS!$C$5:$C$1005="M")*(MOVIMIENTOS!$D$5:$D$1005="jabas")*(MOVIMIENTOS!$A$5:$A$1005&lt;&gt;"")*(MOVIMIENTOS!$A$5:$A$1005&lt;=$A503)*MOVIMIENTOS!$E$5:$E$1005)-SUMPRODUCT((MOVIMIENTOS!$B$5:$B$1005="VENTA")*(MOVIMIENTOS!$C$5:$C$1005="M")*(MOVIMIENTOS!$D$5:$D$1005="jabas")*(MOVIMIENTOS!$A$5:$A$1005&lt;&gt;"")*(MOVIMIENTOS!$A$5:$A$1005&lt;=$A503)*MOVIMIENTOS!$E$5:$E$1005)+SUMPRODUCT((MOVIMIENTOS!$B$5:$B$1005="AJUSTE")*(MOVIMIENTOS!$C$5:$C$1005="M")*(MOVIMIENTOS!$D$5:$D$1005="jabas")*(MOVIMIENTOS!$A$5:$A$1005&lt;&gt;"")*(MOVIMIENTOS!$A$5:$A$1005&lt;=$A503)*MOVIMIENTOS!$E$5:$E$1005))</f>
        <v/>
      </c>
      <c r="F503" s="62" t="str">
        <f>IF($A503="","",SUMPRODUCT((MOVIMIENTOS!$B$5:$B$1005="SALDO INICIAL")*(MOVIMIENTOS!$C$5:$C$1005="Chancho")*(MOVIMIENTOS!$D$5:$D$1005="sacos")*(MOVIMIENTOS!$A$5:$A$1005&lt;&gt;"")*(MOVIMIENTOS!$A$5:$A$1005&lt;=$A503)*MOVIMIENTOS!$E$5:$E$1005)+SUMPRODUCT((MOVIMIENTOS!$B$5:$B$1005="PROCESO")*(MOVIMIENTOS!$C$5:$C$1005="Chancho")*(MOVIMIENTOS!$D$5:$D$1005="sacos")*(MOVIMIENTOS!$A$5:$A$1005&lt;&gt;"")*(MOVIMIENTOS!$A$5:$A$1005&lt;=$A503)*MOVIMIENTOS!$E$5:$E$1005)-SUMPRODUCT((MOVIMIENTOS!$B$5:$B$1005="VENTA CHANCHO")*(MOVIMIENTOS!$C$5:$C$1005="Chancho")*(MOVIMIENTOS!$D$5:$D$1005="sacos")*(MOVIMIENTOS!$A$5:$A$1005&lt;&gt;"")*(MOVIMIENTOS!$A$5:$A$1005&lt;=$A503)*MOVIMIENTOS!$E$5:$E$1005)-SUMPRODUCT((MOVIMIENTOS!$B$5:$B$1005="REGALO")*(MOVIMIENTOS!$C$5:$C$1005="Chancho")*(MOVIMIENTOS!$D$5:$D$1005="sacos")*(MOVIMIENTOS!$A$5:$A$1005&lt;&gt;"")*(MOVIMIENTOS!$A$5:$A$1005&lt;=$A503)*MOVIMIENTOS!$E$5:$E$1005)-SUMPRODUCT((MOVIMIENTOS!$B$5:$B$1005="VENTA")*(MOVIMIENTOS!$C$5:$C$1005="Chancho")*(MOVIMIENTOS!$D$5:$D$1005="sacos")*(MOVIMIENTOS!$A$5:$A$1005&lt;&gt;"")*(MOVIMIENTOS!$A$5:$A$1005&lt;=$A503)*MOVIMIENTOS!$E$5:$E$1005)+SUMPRODUCT((MOVIMIENTOS!$B$5:$B$1005="AJUSTE")*(MOVIMIENTOS!$C$5:$C$1005="Chancho")*(MOVIMIENTOS!$D$5:$D$1005="sacos")*(MOVIMIENTOS!$A$5:$A$1005&lt;&gt;"")*(MOVIMIENTOS!$A$5:$A$1005&lt;=$A503)*MOVIMIENTOS!$E$5:$E$1005))</f>
        <v/>
      </c>
      <c r="G503" s="62" t="str">
        <f t="shared" si="15"/>
        <v/>
      </c>
      <c r="H503" t="str">
        <f>IF($A503="","",SUMPRODUCT((((MOVIMIENTOS!$B$5:$B$1005="SALDO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503)*MOVIMIENTOS!$J$5:$J$1005))</f>
        <v/>
      </c>
      <c r="J503" t="str">
        <f>IF(AND(MOVIMIENTOS!$A508&lt;&gt;"",COUNTIF(MOVIMIENTOS!$A$5:$A507,MOVIMIENTOS!$A508)=0),COUNT(J$4:J502)+1,"")</f>
        <v/>
      </c>
      <c r="K503">
        <f>MOVIMIENTOS!$A508</f>
        <v>0</v>
      </c>
    </row>
    <row r="504" spans="1:11" ht="15" customHeight="1" x14ac:dyDescent="0.2">
      <c r="A504" t="str">
        <f t="shared" si="14"/>
        <v/>
      </c>
      <c r="B504" t="str">
        <f>IF($A504="","",SUMPRODUCT((MOVIMIENTOS!$B$5:$B$1005="SALDO INICIAL")*(MOVIMIENTOS!$C$5:$C$1005="A")*(MOVIMIENTOS!$D$5:$D$1005="jabas")*(MOVIMIENTOS!$A$5:$A$1005&lt;&gt;"")*(MOVIMIENTOS!$A$5:$A$1005&lt;=$A504)*MOVIMIENTOS!$E$5:$E$1005)+SUMPRODUCT((MOVIMIENTOS!$B$5:$B$1005="PROCESO")*(MOVIMIENTOS!$C$5:$C$1005="A")*(MOVIMIENTOS!$D$5:$D$1005="jabas")*(MOVIMIENTOS!$A$5:$A$1005&lt;&gt;"")*(MOVIMIENTOS!$A$5:$A$1005&lt;=$A504)*MOVIMIENTOS!$E$5:$E$1005)-SUMPRODUCT((MOVIMIENTOS!$B$5:$B$1005="ENVÍO A SUPESA")*(MOVIMIENTOS!$C$5:$C$1005="A")*(MOVIMIENTOS!$D$5:$D$1005="jabas")*(MOVIMIENTOS!$A$5:$A$1005&lt;&gt;"")*(MOVIMIENTOS!$A$5:$A$1005&lt;=$A504)*MOVIMIENTOS!$E$5:$E$1005)+SUMPRODUCT((MOVIMIENTOS!$B$5:$B$1005="DEVOLUCIÓN")*(MOVIMIENTOS!$C$5:$C$1005="A")*(MOVIMIENTOS!$D$5:$D$1005="jabas")*(MOVIMIENTOS!$A$5:$A$1005&lt;&gt;"")*(MOVIMIENTOS!$A$5:$A$1005&lt;=$A504)*MOVIMIENTOS!$E$5:$E$1005)-SUMPRODUCT((MOVIMIENTOS!$B$5:$B$1005="TRASIEGO")*(MOVIMIENTOS!$C$5:$C$1005="A")*(MOVIMIENTOS!$D$5:$D$1005="jabas")*(MOVIMIENTOS!$A$5:$A$1005&lt;&gt;"")*(MOVIMIENTOS!$A$5:$A$1005&lt;=$A504)*MOVIMIENTOS!$E$5:$E$1005)-SUMPRODUCT((MOVIMIENTOS!$B$5:$B$1005="REGALO")*(MOVIMIENTOS!$C$5:$C$1005="A")*(MOVIMIENTOS!$D$5:$D$1005="jabas")*(MOVIMIENTOS!$A$5:$A$1005&lt;&gt;"")*(MOVIMIENTOS!$A$5:$A$1005&lt;=$A504)*MOVIMIENTOS!$E$5:$E$1005)-SUMPRODUCT((MOVIMIENTOS!$B$5:$B$1005="VENTA")*(MOVIMIENTOS!$C$5:$C$1005="A")*(MOVIMIENTOS!$D$5:$D$1005="jabas")*(MOVIMIENTOS!$A$5:$A$1005&lt;&gt;"")*(MOVIMIENTOS!$A$5:$A$1005&lt;=$A504)*MOVIMIENTOS!$E$5:$E$1005)+SUMPRODUCT((MOVIMIENTOS!$B$5:$B$1005="AJUSTE")*(MOVIMIENTOS!$C$5:$C$1005="A")*(MOVIMIENTOS!$D$5:$D$1005="jabas")*(MOVIMIENTOS!$A$5:$A$1005&lt;&gt;"")*(MOVIMIENTOS!$A$5:$A$1005&lt;=$A504)*MOVIMIENTOS!$E$5:$E$1005))</f>
        <v/>
      </c>
      <c r="C504" t="str">
        <f>IF($A504="","",SUMPRODUCT((MOVIMIENTOS!$B$5:$B$1005="SALDO INICIAL")*(MOVIMIENTOS!$C$5:$C$1005="P")*(MOVIMIENTOS!$D$5:$D$1005="jabas")*(MOVIMIENTOS!$A$5:$A$1005&lt;&gt;"")*(MOVIMIENTOS!$A$5:$A$1005&lt;=$A504)*MOVIMIENTOS!$E$5:$E$1005)+SUMPRODUCT((MOVIMIENTOS!$B$5:$B$1005="PROCESO")*(MOVIMIENTOS!$C$5:$C$1005="P")*(MOVIMIENTOS!$D$5:$D$1005="jabas")*(MOVIMIENTOS!$A$5:$A$1005&lt;&gt;"")*(MOVIMIENTOS!$A$5:$A$1005&lt;=$A504)*MOVIMIENTOS!$E$5:$E$1005)-SUMPRODUCT((MOVIMIENTOS!$B$5:$B$1005="ENVÍO A SUPESA")*(MOVIMIENTOS!$C$5:$C$1005="P")*(MOVIMIENTOS!$D$5:$D$1005="jabas")*(MOVIMIENTOS!$A$5:$A$1005&lt;&gt;"")*(MOVIMIENTOS!$A$5:$A$1005&lt;=$A504)*MOVIMIENTOS!$E$5:$E$1005)+SUMPRODUCT((MOVIMIENTOS!$B$5:$B$1005="DEVOLUCIÓN")*(MOVIMIENTOS!$C$5:$C$1005="P")*(MOVIMIENTOS!$D$5:$D$1005="jabas")*(MOVIMIENTOS!$A$5:$A$1005&lt;&gt;"")*(MOVIMIENTOS!$A$5:$A$1005&lt;=$A504)*MOVIMIENTOS!$E$5:$E$1005)-SUMPRODUCT((MOVIMIENTOS!$B$5:$B$1005="TRASIEGO")*(MOVIMIENTOS!$C$5:$C$1005="P")*(MOVIMIENTOS!$D$5:$D$1005="jabas")*(MOVIMIENTOS!$A$5:$A$1005&lt;&gt;"")*(MOVIMIENTOS!$A$5:$A$1005&lt;=$A504)*MOVIMIENTOS!$E$5:$E$1005)-SUMPRODUCT((MOVIMIENTOS!$B$5:$B$1005="REGALO")*(MOVIMIENTOS!$C$5:$C$1005="P")*(MOVIMIENTOS!$D$5:$D$1005="jabas")*(MOVIMIENTOS!$A$5:$A$1005&lt;&gt;"")*(MOVIMIENTOS!$A$5:$A$1005&lt;=$A504)*MOVIMIENTOS!$E$5:$E$1005)-SUMPRODUCT((MOVIMIENTOS!$B$5:$B$1005="VENTA")*(MOVIMIENTOS!$C$5:$C$1005="P")*(MOVIMIENTOS!$D$5:$D$1005="jabas")*(MOVIMIENTOS!$A$5:$A$1005&lt;&gt;"")*(MOVIMIENTOS!$A$5:$A$1005&lt;=$A504)*MOVIMIENTOS!$E$5:$E$1005)+SUMPRODUCT((MOVIMIENTOS!$B$5:$B$1005="AJUSTE")*(MOVIMIENTOS!$C$5:$C$1005="P")*(MOVIMIENTOS!$D$5:$D$1005="jabas")*(MOVIMIENTOS!$A$5:$A$1005&lt;&gt;"")*(MOVIMIENTOS!$A$5:$A$1005&lt;=$A504)*MOVIMIENTOS!$E$5:$E$1005))</f>
        <v/>
      </c>
      <c r="D504" t="str">
        <f>IF($A504="","",SUMPRODUCT((MOVIMIENTOS!$B$5:$B$1005="SALDO INICIAL")*(MOVIMIENTOS!$C$5:$C$1005="C")*(MOVIMIENTOS!$D$5:$D$1005="jabas")*(MOVIMIENTOS!$A$5:$A$1005&lt;&gt;"")*(MOVIMIENTOS!$A$5:$A$1005&lt;=$A504)*MOVIMIENTOS!$E$5:$E$1005)+SUMPRODUCT((MOVIMIENTOS!$B$5:$B$1005="PROCESO")*(MOVIMIENTOS!$C$5:$C$1005="C")*(MOVIMIENTOS!$D$5:$D$1005="jabas")*(MOVIMIENTOS!$A$5:$A$1005&lt;&gt;"")*(MOVIMIENTOS!$A$5:$A$1005&lt;=$A504)*MOVIMIENTOS!$E$5:$E$1005)-SUMPRODUCT((MOVIMIENTOS!$B$5:$B$1005="ENVÍO A SUPESA")*(MOVIMIENTOS!$C$5:$C$1005="C")*(MOVIMIENTOS!$D$5:$D$1005="jabas")*(MOVIMIENTOS!$A$5:$A$1005&lt;&gt;"")*(MOVIMIENTOS!$A$5:$A$1005&lt;=$A504)*MOVIMIENTOS!$E$5:$E$1005)+SUMPRODUCT((MOVIMIENTOS!$B$5:$B$1005="DEVOLUCIÓN")*(MOVIMIENTOS!$C$5:$C$1005="C")*(MOVIMIENTOS!$D$5:$D$1005="jabas")*(MOVIMIENTOS!$A$5:$A$1005&lt;&gt;"")*(MOVIMIENTOS!$A$5:$A$1005&lt;=$A504)*MOVIMIENTOS!$E$5:$E$1005)-SUMPRODUCT((MOVIMIENTOS!$B$5:$B$1005="TRASIEGO")*(MOVIMIENTOS!$C$5:$C$1005="C")*(MOVIMIENTOS!$D$5:$D$1005="jabas")*(MOVIMIENTOS!$A$5:$A$1005&lt;&gt;"")*(MOVIMIENTOS!$A$5:$A$1005&lt;=$A504)*MOVIMIENTOS!$E$5:$E$1005)-SUMPRODUCT((MOVIMIENTOS!$B$5:$B$1005="REGALO")*(MOVIMIENTOS!$C$5:$C$1005="C")*(MOVIMIENTOS!$D$5:$D$1005="jabas")*(MOVIMIENTOS!$A$5:$A$1005&lt;&gt;"")*(MOVIMIENTOS!$A$5:$A$1005&lt;=$A504)*MOVIMIENTOS!$E$5:$E$1005)-SUMPRODUCT((MOVIMIENTOS!$B$5:$B$1005="VENTA")*(MOVIMIENTOS!$C$5:$C$1005="C")*(MOVIMIENTOS!$D$5:$D$1005="jabas")*(MOVIMIENTOS!$A$5:$A$1005&lt;&gt;"")*(MOVIMIENTOS!$A$5:$A$1005&lt;=$A504)*MOVIMIENTOS!$E$5:$E$1005)+SUMPRODUCT((MOVIMIENTOS!$B$5:$B$1005="AJUSTE")*(MOVIMIENTOS!$C$5:$C$1005="C")*(MOVIMIENTOS!$D$5:$D$1005="jabas")*(MOVIMIENTOS!$A$5:$A$1005&lt;&gt;"")*(MOVIMIENTOS!$A$5:$A$1005&lt;=$A504)*MOVIMIENTOS!$E$5:$E$1005))</f>
        <v/>
      </c>
      <c r="E504" t="str">
        <f>IF($A504="","",SUMPRODUCT((MOVIMIENTOS!$B$5:$B$1005="SALDO INICIAL")*(MOVIMIENTOS!$C$5:$C$1005="M")*(MOVIMIENTOS!$D$5:$D$1005="jabas")*(MOVIMIENTOS!$A$5:$A$1005&lt;&gt;"")*(MOVIMIENTOS!$A$5:$A$1005&lt;=$A504)*MOVIMIENTOS!$E$5:$E$1005)+SUMPRODUCT((MOVIMIENTOS!$B$5:$B$1005="PROCESO")*(MOVIMIENTOS!$C$5:$C$1005="M")*(MOVIMIENTOS!$D$5:$D$1005="jabas")*(MOVIMIENTOS!$A$5:$A$1005&lt;&gt;"")*(MOVIMIENTOS!$A$5:$A$1005&lt;=$A504)*MOVIMIENTOS!$E$5:$E$1005)-SUMPRODUCT((MOVIMIENTOS!$B$5:$B$1005="ENVÍO A SUPESA")*(MOVIMIENTOS!$C$5:$C$1005="M")*(MOVIMIENTOS!$D$5:$D$1005="jabas")*(MOVIMIENTOS!$A$5:$A$1005&lt;&gt;"")*(MOVIMIENTOS!$A$5:$A$1005&lt;=$A504)*MOVIMIENTOS!$E$5:$E$1005)+SUMPRODUCT((MOVIMIENTOS!$B$5:$B$1005="DEVOLUCIÓN")*(MOVIMIENTOS!$C$5:$C$1005="M")*(MOVIMIENTOS!$D$5:$D$1005="jabas")*(MOVIMIENTOS!$A$5:$A$1005&lt;&gt;"")*(MOVIMIENTOS!$A$5:$A$1005&lt;=$A504)*MOVIMIENTOS!$E$5:$E$1005)-SUMPRODUCT((MOVIMIENTOS!$B$5:$B$1005="TRASIEGO")*(MOVIMIENTOS!$C$5:$C$1005="M")*(MOVIMIENTOS!$D$5:$D$1005="jabas")*(MOVIMIENTOS!$A$5:$A$1005&lt;&gt;"")*(MOVIMIENTOS!$A$5:$A$1005&lt;=$A504)*MOVIMIENTOS!$E$5:$E$1005)-SUMPRODUCT((MOVIMIENTOS!$B$5:$B$1005="REGALO")*(MOVIMIENTOS!$C$5:$C$1005="M")*(MOVIMIENTOS!$D$5:$D$1005="jabas")*(MOVIMIENTOS!$A$5:$A$1005&lt;&gt;"")*(MOVIMIENTOS!$A$5:$A$1005&lt;=$A504)*MOVIMIENTOS!$E$5:$E$1005)-SUMPRODUCT((MOVIMIENTOS!$B$5:$B$1005="VENTA")*(MOVIMIENTOS!$C$5:$C$1005="M")*(MOVIMIENTOS!$D$5:$D$1005="jabas")*(MOVIMIENTOS!$A$5:$A$1005&lt;&gt;"")*(MOVIMIENTOS!$A$5:$A$1005&lt;=$A504)*MOVIMIENTOS!$E$5:$E$1005)+SUMPRODUCT((MOVIMIENTOS!$B$5:$B$1005="AJUSTE")*(MOVIMIENTOS!$C$5:$C$1005="M")*(MOVIMIENTOS!$D$5:$D$1005="jabas")*(MOVIMIENTOS!$A$5:$A$1005&lt;&gt;"")*(MOVIMIENTOS!$A$5:$A$1005&lt;=$A504)*MOVIMIENTOS!$E$5:$E$1005))</f>
        <v/>
      </c>
      <c r="F504" s="62" t="str">
        <f>IF($A504="","",SUMPRODUCT((MOVIMIENTOS!$B$5:$B$1005="SALDO INICIAL")*(MOVIMIENTOS!$C$5:$C$1005="Chancho")*(MOVIMIENTOS!$D$5:$D$1005="sacos")*(MOVIMIENTOS!$A$5:$A$1005&lt;&gt;"")*(MOVIMIENTOS!$A$5:$A$1005&lt;=$A504)*MOVIMIENTOS!$E$5:$E$1005)+SUMPRODUCT((MOVIMIENTOS!$B$5:$B$1005="PROCESO")*(MOVIMIENTOS!$C$5:$C$1005="Chancho")*(MOVIMIENTOS!$D$5:$D$1005="sacos")*(MOVIMIENTOS!$A$5:$A$1005&lt;&gt;"")*(MOVIMIENTOS!$A$5:$A$1005&lt;=$A504)*MOVIMIENTOS!$E$5:$E$1005)-SUMPRODUCT((MOVIMIENTOS!$B$5:$B$1005="VENTA CHANCHO")*(MOVIMIENTOS!$C$5:$C$1005="Chancho")*(MOVIMIENTOS!$D$5:$D$1005="sacos")*(MOVIMIENTOS!$A$5:$A$1005&lt;&gt;"")*(MOVIMIENTOS!$A$5:$A$1005&lt;=$A504)*MOVIMIENTOS!$E$5:$E$1005)-SUMPRODUCT((MOVIMIENTOS!$B$5:$B$1005="REGALO")*(MOVIMIENTOS!$C$5:$C$1005="Chancho")*(MOVIMIENTOS!$D$5:$D$1005="sacos")*(MOVIMIENTOS!$A$5:$A$1005&lt;&gt;"")*(MOVIMIENTOS!$A$5:$A$1005&lt;=$A504)*MOVIMIENTOS!$E$5:$E$1005)-SUMPRODUCT((MOVIMIENTOS!$B$5:$B$1005="VENTA")*(MOVIMIENTOS!$C$5:$C$1005="Chancho")*(MOVIMIENTOS!$D$5:$D$1005="sacos")*(MOVIMIENTOS!$A$5:$A$1005&lt;&gt;"")*(MOVIMIENTOS!$A$5:$A$1005&lt;=$A504)*MOVIMIENTOS!$E$5:$E$1005)+SUMPRODUCT((MOVIMIENTOS!$B$5:$B$1005="AJUSTE")*(MOVIMIENTOS!$C$5:$C$1005="Chancho")*(MOVIMIENTOS!$D$5:$D$1005="sacos")*(MOVIMIENTOS!$A$5:$A$1005&lt;&gt;"")*(MOVIMIENTOS!$A$5:$A$1005&lt;=$A504)*MOVIMIENTOS!$E$5:$E$1005))</f>
        <v/>
      </c>
      <c r="G504" s="62" t="str">
        <f t="shared" si="15"/>
        <v/>
      </c>
      <c r="H504" t="str">
        <f>IF($A504="","",SUMPRODUCT((((MOVIMIENTOS!$B$5:$B$1005="SALDO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504)*MOVIMIENTOS!$J$5:$J$1005))</f>
        <v/>
      </c>
      <c r="J504" t="str">
        <f>IF(AND(MOVIMIENTOS!$A509&lt;&gt;"",COUNTIF(MOVIMIENTOS!$A$5:$A508,MOVIMIENTOS!$A509)=0),COUNT(J$4:J503)+1,"")</f>
        <v/>
      </c>
      <c r="K504">
        <f>MOVIMIENTOS!$A509</f>
        <v>0</v>
      </c>
    </row>
    <row r="505" spans="1:11" ht="15" customHeight="1" x14ac:dyDescent="0.2">
      <c r="A505" t="str">
        <f t="shared" si="14"/>
        <v/>
      </c>
      <c r="B505" t="str">
        <f>IF($A505="","",SUMPRODUCT((MOVIMIENTOS!$B$5:$B$1005="SALDO INICIAL")*(MOVIMIENTOS!$C$5:$C$1005="A")*(MOVIMIENTOS!$D$5:$D$1005="jabas")*(MOVIMIENTOS!$A$5:$A$1005&lt;&gt;"")*(MOVIMIENTOS!$A$5:$A$1005&lt;=$A505)*MOVIMIENTOS!$E$5:$E$1005)+SUMPRODUCT((MOVIMIENTOS!$B$5:$B$1005="PROCESO")*(MOVIMIENTOS!$C$5:$C$1005="A")*(MOVIMIENTOS!$D$5:$D$1005="jabas")*(MOVIMIENTOS!$A$5:$A$1005&lt;&gt;"")*(MOVIMIENTOS!$A$5:$A$1005&lt;=$A505)*MOVIMIENTOS!$E$5:$E$1005)-SUMPRODUCT((MOVIMIENTOS!$B$5:$B$1005="ENVÍO A SUPESA")*(MOVIMIENTOS!$C$5:$C$1005="A")*(MOVIMIENTOS!$D$5:$D$1005="jabas")*(MOVIMIENTOS!$A$5:$A$1005&lt;&gt;"")*(MOVIMIENTOS!$A$5:$A$1005&lt;=$A505)*MOVIMIENTOS!$E$5:$E$1005)+SUMPRODUCT((MOVIMIENTOS!$B$5:$B$1005="DEVOLUCIÓN")*(MOVIMIENTOS!$C$5:$C$1005="A")*(MOVIMIENTOS!$D$5:$D$1005="jabas")*(MOVIMIENTOS!$A$5:$A$1005&lt;&gt;"")*(MOVIMIENTOS!$A$5:$A$1005&lt;=$A505)*MOVIMIENTOS!$E$5:$E$1005)-SUMPRODUCT((MOVIMIENTOS!$B$5:$B$1005="TRASIEGO")*(MOVIMIENTOS!$C$5:$C$1005="A")*(MOVIMIENTOS!$D$5:$D$1005="jabas")*(MOVIMIENTOS!$A$5:$A$1005&lt;&gt;"")*(MOVIMIENTOS!$A$5:$A$1005&lt;=$A505)*MOVIMIENTOS!$E$5:$E$1005)-SUMPRODUCT((MOVIMIENTOS!$B$5:$B$1005="REGALO")*(MOVIMIENTOS!$C$5:$C$1005="A")*(MOVIMIENTOS!$D$5:$D$1005="jabas")*(MOVIMIENTOS!$A$5:$A$1005&lt;&gt;"")*(MOVIMIENTOS!$A$5:$A$1005&lt;=$A505)*MOVIMIENTOS!$E$5:$E$1005)-SUMPRODUCT((MOVIMIENTOS!$B$5:$B$1005="VENTA")*(MOVIMIENTOS!$C$5:$C$1005="A")*(MOVIMIENTOS!$D$5:$D$1005="jabas")*(MOVIMIENTOS!$A$5:$A$1005&lt;&gt;"")*(MOVIMIENTOS!$A$5:$A$1005&lt;=$A505)*MOVIMIENTOS!$E$5:$E$1005)+SUMPRODUCT((MOVIMIENTOS!$B$5:$B$1005="AJUSTE")*(MOVIMIENTOS!$C$5:$C$1005="A")*(MOVIMIENTOS!$D$5:$D$1005="jabas")*(MOVIMIENTOS!$A$5:$A$1005&lt;&gt;"")*(MOVIMIENTOS!$A$5:$A$1005&lt;=$A505)*MOVIMIENTOS!$E$5:$E$1005))</f>
        <v/>
      </c>
      <c r="C505" t="str">
        <f>IF($A505="","",SUMPRODUCT((MOVIMIENTOS!$B$5:$B$1005="SALDO INICIAL")*(MOVIMIENTOS!$C$5:$C$1005="P")*(MOVIMIENTOS!$D$5:$D$1005="jabas")*(MOVIMIENTOS!$A$5:$A$1005&lt;&gt;"")*(MOVIMIENTOS!$A$5:$A$1005&lt;=$A505)*MOVIMIENTOS!$E$5:$E$1005)+SUMPRODUCT((MOVIMIENTOS!$B$5:$B$1005="PROCESO")*(MOVIMIENTOS!$C$5:$C$1005="P")*(MOVIMIENTOS!$D$5:$D$1005="jabas")*(MOVIMIENTOS!$A$5:$A$1005&lt;&gt;"")*(MOVIMIENTOS!$A$5:$A$1005&lt;=$A505)*MOVIMIENTOS!$E$5:$E$1005)-SUMPRODUCT((MOVIMIENTOS!$B$5:$B$1005="ENVÍO A SUPESA")*(MOVIMIENTOS!$C$5:$C$1005="P")*(MOVIMIENTOS!$D$5:$D$1005="jabas")*(MOVIMIENTOS!$A$5:$A$1005&lt;&gt;"")*(MOVIMIENTOS!$A$5:$A$1005&lt;=$A505)*MOVIMIENTOS!$E$5:$E$1005)+SUMPRODUCT((MOVIMIENTOS!$B$5:$B$1005="DEVOLUCIÓN")*(MOVIMIENTOS!$C$5:$C$1005="P")*(MOVIMIENTOS!$D$5:$D$1005="jabas")*(MOVIMIENTOS!$A$5:$A$1005&lt;&gt;"")*(MOVIMIENTOS!$A$5:$A$1005&lt;=$A505)*MOVIMIENTOS!$E$5:$E$1005)-SUMPRODUCT((MOVIMIENTOS!$B$5:$B$1005="TRASIEGO")*(MOVIMIENTOS!$C$5:$C$1005="P")*(MOVIMIENTOS!$D$5:$D$1005="jabas")*(MOVIMIENTOS!$A$5:$A$1005&lt;&gt;"")*(MOVIMIENTOS!$A$5:$A$1005&lt;=$A505)*MOVIMIENTOS!$E$5:$E$1005)-SUMPRODUCT((MOVIMIENTOS!$B$5:$B$1005="REGALO")*(MOVIMIENTOS!$C$5:$C$1005="P")*(MOVIMIENTOS!$D$5:$D$1005="jabas")*(MOVIMIENTOS!$A$5:$A$1005&lt;&gt;"")*(MOVIMIENTOS!$A$5:$A$1005&lt;=$A505)*MOVIMIENTOS!$E$5:$E$1005)-SUMPRODUCT((MOVIMIENTOS!$B$5:$B$1005="VENTA")*(MOVIMIENTOS!$C$5:$C$1005="P")*(MOVIMIENTOS!$D$5:$D$1005="jabas")*(MOVIMIENTOS!$A$5:$A$1005&lt;&gt;"")*(MOVIMIENTOS!$A$5:$A$1005&lt;=$A505)*MOVIMIENTOS!$E$5:$E$1005)+SUMPRODUCT((MOVIMIENTOS!$B$5:$B$1005="AJUSTE")*(MOVIMIENTOS!$C$5:$C$1005="P")*(MOVIMIENTOS!$D$5:$D$1005="jabas")*(MOVIMIENTOS!$A$5:$A$1005&lt;&gt;"")*(MOVIMIENTOS!$A$5:$A$1005&lt;=$A505)*MOVIMIENTOS!$E$5:$E$1005))</f>
        <v/>
      </c>
      <c r="D505" t="str">
        <f>IF($A505="","",SUMPRODUCT((MOVIMIENTOS!$B$5:$B$1005="SALDO INICIAL")*(MOVIMIENTOS!$C$5:$C$1005="C")*(MOVIMIENTOS!$D$5:$D$1005="jabas")*(MOVIMIENTOS!$A$5:$A$1005&lt;&gt;"")*(MOVIMIENTOS!$A$5:$A$1005&lt;=$A505)*MOVIMIENTOS!$E$5:$E$1005)+SUMPRODUCT((MOVIMIENTOS!$B$5:$B$1005="PROCESO")*(MOVIMIENTOS!$C$5:$C$1005="C")*(MOVIMIENTOS!$D$5:$D$1005="jabas")*(MOVIMIENTOS!$A$5:$A$1005&lt;&gt;"")*(MOVIMIENTOS!$A$5:$A$1005&lt;=$A505)*MOVIMIENTOS!$E$5:$E$1005)-SUMPRODUCT((MOVIMIENTOS!$B$5:$B$1005="ENVÍO A SUPESA")*(MOVIMIENTOS!$C$5:$C$1005="C")*(MOVIMIENTOS!$D$5:$D$1005="jabas")*(MOVIMIENTOS!$A$5:$A$1005&lt;&gt;"")*(MOVIMIENTOS!$A$5:$A$1005&lt;=$A505)*MOVIMIENTOS!$E$5:$E$1005)+SUMPRODUCT((MOVIMIENTOS!$B$5:$B$1005="DEVOLUCIÓN")*(MOVIMIENTOS!$C$5:$C$1005="C")*(MOVIMIENTOS!$D$5:$D$1005="jabas")*(MOVIMIENTOS!$A$5:$A$1005&lt;&gt;"")*(MOVIMIENTOS!$A$5:$A$1005&lt;=$A505)*MOVIMIENTOS!$E$5:$E$1005)-SUMPRODUCT((MOVIMIENTOS!$B$5:$B$1005="TRASIEGO")*(MOVIMIENTOS!$C$5:$C$1005="C")*(MOVIMIENTOS!$D$5:$D$1005="jabas")*(MOVIMIENTOS!$A$5:$A$1005&lt;&gt;"")*(MOVIMIENTOS!$A$5:$A$1005&lt;=$A505)*MOVIMIENTOS!$E$5:$E$1005)-SUMPRODUCT((MOVIMIENTOS!$B$5:$B$1005="REGALO")*(MOVIMIENTOS!$C$5:$C$1005="C")*(MOVIMIENTOS!$D$5:$D$1005="jabas")*(MOVIMIENTOS!$A$5:$A$1005&lt;&gt;"")*(MOVIMIENTOS!$A$5:$A$1005&lt;=$A505)*MOVIMIENTOS!$E$5:$E$1005)-SUMPRODUCT((MOVIMIENTOS!$B$5:$B$1005="VENTA")*(MOVIMIENTOS!$C$5:$C$1005="C")*(MOVIMIENTOS!$D$5:$D$1005="jabas")*(MOVIMIENTOS!$A$5:$A$1005&lt;&gt;"")*(MOVIMIENTOS!$A$5:$A$1005&lt;=$A505)*MOVIMIENTOS!$E$5:$E$1005)+SUMPRODUCT((MOVIMIENTOS!$B$5:$B$1005="AJUSTE")*(MOVIMIENTOS!$C$5:$C$1005="C")*(MOVIMIENTOS!$D$5:$D$1005="jabas")*(MOVIMIENTOS!$A$5:$A$1005&lt;&gt;"")*(MOVIMIENTOS!$A$5:$A$1005&lt;=$A505)*MOVIMIENTOS!$E$5:$E$1005))</f>
        <v/>
      </c>
      <c r="E505" t="str">
        <f>IF($A505="","",SUMPRODUCT((MOVIMIENTOS!$B$5:$B$1005="SALDO INICIAL")*(MOVIMIENTOS!$C$5:$C$1005="M")*(MOVIMIENTOS!$D$5:$D$1005="jabas")*(MOVIMIENTOS!$A$5:$A$1005&lt;&gt;"")*(MOVIMIENTOS!$A$5:$A$1005&lt;=$A505)*MOVIMIENTOS!$E$5:$E$1005)+SUMPRODUCT((MOVIMIENTOS!$B$5:$B$1005="PROCESO")*(MOVIMIENTOS!$C$5:$C$1005="M")*(MOVIMIENTOS!$D$5:$D$1005="jabas")*(MOVIMIENTOS!$A$5:$A$1005&lt;&gt;"")*(MOVIMIENTOS!$A$5:$A$1005&lt;=$A505)*MOVIMIENTOS!$E$5:$E$1005)-SUMPRODUCT((MOVIMIENTOS!$B$5:$B$1005="ENVÍO A SUPESA")*(MOVIMIENTOS!$C$5:$C$1005="M")*(MOVIMIENTOS!$D$5:$D$1005="jabas")*(MOVIMIENTOS!$A$5:$A$1005&lt;&gt;"")*(MOVIMIENTOS!$A$5:$A$1005&lt;=$A505)*MOVIMIENTOS!$E$5:$E$1005)+SUMPRODUCT((MOVIMIENTOS!$B$5:$B$1005="DEVOLUCIÓN")*(MOVIMIENTOS!$C$5:$C$1005="M")*(MOVIMIENTOS!$D$5:$D$1005="jabas")*(MOVIMIENTOS!$A$5:$A$1005&lt;&gt;"")*(MOVIMIENTOS!$A$5:$A$1005&lt;=$A505)*MOVIMIENTOS!$E$5:$E$1005)-SUMPRODUCT((MOVIMIENTOS!$B$5:$B$1005="TRASIEGO")*(MOVIMIENTOS!$C$5:$C$1005="M")*(MOVIMIENTOS!$D$5:$D$1005="jabas")*(MOVIMIENTOS!$A$5:$A$1005&lt;&gt;"")*(MOVIMIENTOS!$A$5:$A$1005&lt;=$A505)*MOVIMIENTOS!$E$5:$E$1005)-SUMPRODUCT((MOVIMIENTOS!$B$5:$B$1005="REGALO")*(MOVIMIENTOS!$C$5:$C$1005="M")*(MOVIMIENTOS!$D$5:$D$1005="jabas")*(MOVIMIENTOS!$A$5:$A$1005&lt;&gt;"")*(MOVIMIENTOS!$A$5:$A$1005&lt;=$A505)*MOVIMIENTOS!$E$5:$E$1005)-SUMPRODUCT((MOVIMIENTOS!$B$5:$B$1005="VENTA")*(MOVIMIENTOS!$C$5:$C$1005="M")*(MOVIMIENTOS!$D$5:$D$1005="jabas")*(MOVIMIENTOS!$A$5:$A$1005&lt;&gt;"")*(MOVIMIENTOS!$A$5:$A$1005&lt;=$A505)*MOVIMIENTOS!$E$5:$E$1005)+SUMPRODUCT((MOVIMIENTOS!$B$5:$B$1005="AJUSTE")*(MOVIMIENTOS!$C$5:$C$1005="M")*(MOVIMIENTOS!$D$5:$D$1005="jabas")*(MOVIMIENTOS!$A$5:$A$1005&lt;&gt;"")*(MOVIMIENTOS!$A$5:$A$1005&lt;=$A505)*MOVIMIENTOS!$E$5:$E$1005))</f>
        <v/>
      </c>
      <c r="F505" s="62" t="str">
        <f>IF($A505="","",SUMPRODUCT((MOVIMIENTOS!$B$5:$B$1005="SALDO INICIAL")*(MOVIMIENTOS!$C$5:$C$1005="Chancho")*(MOVIMIENTOS!$D$5:$D$1005="sacos")*(MOVIMIENTOS!$A$5:$A$1005&lt;&gt;"")*(MOVIMIENTOS!$A$5:$A$1005&lt;=$A505)*MOVIMIENTOS!$E$5:$E$1005)+SUMPRODUCT((MOVIMIENTOS!$B$5:$B$1005="PROCESO")*(MOVIMIENTOS!$C$5:$C$1005="Chancho")*(MOVIMIENTOS!$D$5:$D$1005="sacos")*(MOVIMIENTOS!$A$5:$A$1005&lt;&gt;"")*(MOVIMIENTOS!$A$5:$A$1005&lt;=$A505)*MOVIMIENTOS!$E$5:$E$1005)-SUMPRODUCT((MOVIMIENTOS!$B$5:$B$1005="VENTA CHANCHO")*(MOVIMIENTOS!$C$5:$C$1005="Chancho")*(MOVIMIENTOS!$D$5:$D$1005="sacos")*(MOVIMIENTOS!$A$5:$A$1005&lt;&gt;"")*(MOVIMIENTOS!$A$5:$A$1005&lt;=$A505)*MOVIMIENTOS!$E$5:$E$1005)-SUMPRODUCT((MOVIMIENTOS!$B$5:$B$1005="REGALO")*(MOVIMIENTOS!$C$5:$C$1005="Chancho")*(MOVIMIENTOS!$D$5:$D$1005="sacos")*(MOVIMIENTOS!$A$5:$A$1005&lt;&gt;"")*(MOVIMIENTOS!$A$5:$A$1005&lt;=$A505)*MOVIMIENTOS!$E$5:$E$1005)-SUMPRODUCT((MOVIMIENTOS!$B$5:$B$1005="VENTA")*(MOVIMIENTOS!$C$5:$C$1005="Chancho")*(MOVIMIENTOS!$D$5:$D$1005="sacos")*(MOVIMIENTOS!$A$5:$A$1005&lt;&gt;"")*(MOVIMIENTOS!$A$5:$A$1005&lt;=$A505)*MOVIMIENTOS!$E$5:$E$1005)+SUMPRODUCT((MOVIMIENTOS!$B$5:$B$1005="AJUSTE")*(MOVIMIENTOS!$C$5:$C$1005="Chancho")*(MOVIMIENTOS!$D$5:$D$1005="sacos")*(MOVIMIENTOS!$A$5:$A$1005&lt;&gt;"")*(MOVIMIENTOS!$A$5:$A$1005&lt;=$A505)*MOVIMIENTOS!$E$5:$E$1005))</f>
        <v/>
      </c>
      <c r="G505" s="62" t="str">
        <f t="shared" si="15"/>
        <v/>
      </c>
      <c r="H505" t="str">
        <f>IF($A505="","",SUMPRODUCT((((MOVIMIENTOS!$B$5:$B$1005="SALDO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505)*MOVIMIENTOS!$J$5:$J$1005))</f>
        <v/>
      </c>
      <c r="J505" t="str">
        <f>IF(AND(MOVIMIENTOS!$A510&lt;&gt;"",COUNTIF(MOVIMIENTOS!$A$5:$A509,MOVIMIENTOS!$A510)=0),COUNT(J$4:J504)+1,"")</f>
        <v/>
      </c>
      <c r="K505">
        <f>MOVIMIENTOS!$A510</f>
        <v>0</v>
      </c>
    </row>
    <row r="506" spans="1:11" ht="15" customHeight="1" x14ac:dyDescent="0.2">
      <c r="A506" t="str">
        <f t="shared" si="14"/>
        <v/>
      </c>
      <c r="B506" t="str">
        <f>IF($A506="","",SUMPRODUCT((MOVIMIENTOS!$B$5:$B$1005="SALDO INICIAL")*(MOVIMIENTOS!$C$5:$C$1005="A")*(MOVIMIENTOS!$D$5:$D$1005="jabas")*(MOVIMIENTOS!$A$5:$A$1005&lt;&gt;"")*(MOVIMIENTOS!$A$5:$A$1005&lt;=$A506)*MOVIMIENTOS!$E$5:$E$1005)+SUMPRODUCT((MOVIMIENTOS!$B$5:$B$1005="PROCESO")*(MOVIMIENTOS!$C$5:$C$1005="A")*(MOVIMIENTOS!$D$5:$D$1005="jabas")*(MOVIMIENTOS!$A$5:$A$1005&lt;&gt;"")*(MOVIMIENTOS!$A$5:$A$1005&lt;=$A506)*MOVIMIENTOS!$E$5:$E$1005)-SUMPRODUCT((MOVIMIENTOS!$B$5:$B$1005="ENVÍO A SUPESA")*(MOVIMIENTOS!$C$5:$C$1005="A")*(MOVIMIENTOS!$D$5:$D$1005="jabas")*(MOVIMIENTOS!$A$5:$A$1005&lt;&gt;"")*(MOVIMIENTOS!$A$5:$A$1005&lt;=$A506)*MOVIMIENTOS!$E$5:$E$1005)+SUMPRODUCT((MOVIMIENTOS!$B$5:$B$1005="DEVOLUCIÓN")*(MOVIMIENTOS!$C$5:$C$1005="A")*(MOVIMIENTOS!$D$5:$D$1005="jabas")*(MOVIMIENTOS!$A$5:$A$1005&lt;&gt;"")*(MOVIMIENTOS!$A$5:$A$1005&lt;=$A506)*MOVIMIENTOS!$E$5:$E$1005)-SUMPRODUCT((MOVIMIENTOS!$B$5:$B$1005="TRASIEGO")*(MOVIMIENTOS!$C$5:$C$1005="A")*(MOVIMIENTOS!$D$5:$D$1005="jabas")*(MOVIMIENTOS!$A$5:$A$1005&lt;&gt;"")*(MOVIMIENTOS!$A$5:$A$1005&lt;=$A506)*MOVIMIENTOS!$E$5:$E$1005)-SUMPRODUCT((MOVIMIENTOS!$B$5:$B$1005="REGALO")*(MOVIMIENTOS!$C$5:$C$1005="A")*(MOVIMIENTOS!$D$5:$D$1005="jabas")*(MOVIMIENTOS!$A$5:$A$1005&lt;&gt;"")*(MOVIMIENTOS!$A$5:$A$1005&lt;=$A506)*MOVIMIENTOS!$E$5:$E$1005)-SUMPRODUCT((MOVIMIENTOS!$B$5:$B$1005="VENTA")*(MOVIMIENTOS!$C$5:$C$1005="A")*(MOVIMIENTOS!$D$5:$D$1005="jabas")*(MOVIMIENTOS!$A$5:$A$1005&lt;&gt;"")*(MOVIMIENTOS!$A$5:$A$1005&lt;=$A506)*MOVIMIENTOS!$E$5:$E$1005)+SUMPRODUCT((MOVIMIENTOS!$B$5:$B$1005="AJUSTE")*(MOVIMIENTOS!$C$5:$C$1005="A")*(MOVIMIENTOS!$D$5:$D$1005="jabas")*(MOVIMIENTOS!$A$5:$A$1005&lt;&gt;"")*(MOVIMIENTOS!$A$5:$A$1005&lt;=$A506)*MOVIMIENTOS!$E$5:$E$1005))</f>
        <v/>
      </c>
      <c r="C506" t="str">
        <f>IF($A506="","",SUMPRODUCT((MOVIMIENTOS!$B$5:$B$1005="SALDO INICIAL")*(MOVIMIENTOS!$C$5:$C$1005="P")*(MOVIMIENTOS!$D$5:$D$1005="jabas")*(MOVIMIENTOS!$A$5:$A$1005&lt;&gt;"")*(MOVIMIENTOS!$A$5:$A$1005&lt;=$A506)*MOVIMIENTOS!$E$5:$E$1005)+SUMPRODUCT((MOVIMIENTOS!$B$5:$B$1005="PROCESO")*(MOVIMIENTOS!$C$5:$C$1005="P")*(MOVIMIENTOS!$D$5:$D$1005="jabas")*(MOVIMIENTOS!$A$5:$A$1005&lt;&gt;"")*(MOVIMIENTOS!$A$5:$A$1005&lt;=$A506)*MOVIMIENTOS!$E$5:$E$1005)-SUMPRODUCT((MOVIMIENTOS!$B$5:$B$1005="ENVÍO A SUPESA")*(MOVIMIENTOS!$C$5:$C$1005="P")*(MOVIMIENTOS!$D$5:$D$1005="jabas")*(MOVIMIENTOS!$A$5:$A$1005&lt;&gt;"")*(MOVIMIENTOS!$A$5:$A$1005&lt;=$A506)*MOVIMIENTOS!$E$5:$E$1005)+SUMPRODUCT((MOVIMIENTOS!$B$5:$B$1005="DEVOLUCIÓN")*(MOVIMIENTOS!$C$5:$C$1005="P")*(MOVIMIENTOS!$D$5:$D$1005="jabas")*(MOVIMIENTOS!$A$5:$A$1005&lt;&gt;"")*(MOVIMIENTOS!$A$5:$A$1005&lt;=$A506)*MOVIMIENTOS!$E$5:$E$1005)-SUMPRODUCT((MOVIMIENTOS!$B$5:$B$1005="TRASIEGO")*(MOVIMIENTOS!$C$5:$C$1005="P")*(MOVIMIENTOS!$D$5:$D$1005="jabas")*(MOVIMIENTOS!$A$5:$A$1005&lt;&gt;"")*(MOVIMIENTOS!$A$5:$A$1005&lt;=$A506)*MOVIMIENTOS!$E$5:$E$1005)-SUMPRODUCT((MOVIMIENTOS!$B$5:$B$1005="REGALO")*(MOVIMIENTOS!$C$5:$C$1005="P")*(MOVIMIENTOS!$D$5:$D$1005="jabas")*(MOVIMIENTOS!$A$5:$A$1005&lt;&gt;"")*(MOVIMIENTOS!$A$5:$A$1005&lt;=$A506)*MOVIMIENTOS!$E$5:$E$1005)-SUMPRODUCT((MOVIMIENTOS!$B$5:$B$1005="VENTA")*(MOVIMIENTOS!$C$5:$C$1005="P")*(MOVIMIENTOS!$D$5:$D$1005="jabas")*(MOVIMIENTOS!$A$5:$A$1005&lt;&gt;"")*(MOVIMIENTOS!$A$5:$A$1005&lt;=$A506)*MOVIMIENTOS!$E$5:$E$1005)+SUMPRODUCT((MOVIMIENTOS!$B$5:$B$1005="AJUSTE")*(MOVIMIENTOS!$C$5:$C$1005="P")*(MOVIMIENTOS!$D$5:$D$1005="jabas")*(MOVIMIENTOS!$A$5:$A$1005&lt;&gt;"")*(MOVIMIENTOS!$A$5:$A$1005&lt;=$A506)*MOVIMIENTOS!$E$5:$E$1005))</f>
        <v/>
      </c>
      <c r="D506" t="str">
        <f>IF($A506="","",SUMPRODUCT((MOVIMIENTOS!$B$5:$B$1005="SALDO INICIAL")*(MOVIMIENTOS!$C$5:$C$1005="C")*(MOVIMIENTOS!$D$5:$D$1005="jabas")*(MOVIMIENTOS!$A$5:$A$1005&lt;&gt;"")*(MOVIMIENTOS!$A$5:$A$1005&lt;=$A506)*MOVIMIENTOS!$E$5:$E$1005)+SUMPRODUCT((MOVIMIENTOS!$B$5:$B$1005="PROCESO")*(MOVIMIENTOS!$C$5:$C$1005="C")*(MOVIMIENTOS!$D$5:$D$1005="jabas")*(MOVIMIENTOS!$A$5:$A$1005&lt;&gt;"")*(MOVIMIENTOS!$A$5:$A$1005&lt;=$A506)*MOVIMIENTOS!$E$5:$E$1005)-SUMPRODUCT((MOVIMIENTOS!$B$5:$B$1005="ENVÍO A SUPESA")*(MOVIMIENTOS!$C$5:$C$1005="C")*(MOVIMIENTOS!$D$5:$D$1005="jabas")*(MOVIMIENTOS!$A$5:$A$1005&lt;&gt;"")*(MOVIMIENTOS!$A$5:$A$1005&lt;=$A506)*MOVIMIENTOS!$E$5:$E$1005)+SUMPRODUCT((MOVIMIENTOS!$B$5:$B$1005="DEVOLUCIÓN")*(MOVIMIENTOS!$C$5:$C$1005="C")*(MOVIMIENTOS!$D$5:$D$1005="jabas")*(MOVIMIENTOS!$A$5:$A$1005&lt;&gt;"")*(MOVIMIENTOS!$A$5:$A$1005&lt;=$A506)*MOVIMIENTOS!$E$5:$E$1005)-SUMPRODUCT((MOVIMIENTOS!$B$5:$B$1005="TRASIEGO")*(MOVIMIENTOS!$C$5:$C$1005="C")*(MOVIMIENTOS!$D$5:$D$1005="jabas")*(MOVIMIENTOS!$A$5:$A$1005&lt;&gt;"")*(MOVIMIENTOS!$A$5:$A$1005&lt;=$A506)*MOVIMIENTOS!$E$5:$E$1005)-SUMPRODUCT((MOVIMIENTOS!$B$5:$B$1005="REGALO")*(MOVIMIENTOS!$C$5:$C$1005="C")*(MOVIMIENTOS!$D$5:$D$1005="jabas")*(MOVIMIENTOS!$A$5:$A$1005&lt;&gt;"")*(MOVIMIENTOS!$A$5:$A$1005&lt;=$A506)*MOVIMIENTOS!$E$5:$E$1005)-SUMPRODUCT((MOVIMIENTOS!$B$5:$B$1005="VENTA")*(MOVIMIENTOS!$C$5:$C$1005="C")*(MOVIMIENTOS!$D$5:$D$1005="jabas")*(MOVIMIENTOS!$A$5:$A$1005&lt;&gt;"")*(MOVIMIENTOS!$A$5:$A$1005&lt;=$A506)*MOVIMIENTOS!$E$5:$E$1005)+SUMPRODUCT((MOVIMIENTOS!$B$5:$B$1005="AJUSTE")*(MOVIMIENTOS!$C$5:$C$1005="C")*(MOVIMIENTOS!$D$5:$D$1005="jabas")*(MOVIMIENTOS!$A$5:$A$1005&lt;&gt;"")*(MOVIMIENTOS!$A$5:$A$1005&lt;=$A506)*MOVIMIENTOS!$E$5:$E$1005))</f>
        <v/>
      </c>
      <c r="E506" t="str">
        <f>IF($A506="","",SUMPRODUCT((MOVIMIENTOS!$B$5:$B$1005="SALDO INICIAL")*(MOVIMIENTOS!$C$5:$C$1005="M")*(MOVIMIENTOS!$D$5:$D$1005="jabas")*(MOVIMIENTOS!$A$5:$A$1005&lt;&gt;"")*(MOVIMIENTOS!$A$5:$A$1005&lt;=$A506)*MOVIMIENTOS!$E$5:$E$1005)+SUMPRODUCT((MOVIMIENTOS!$B$5:$B$1005="PROCESO")*(MOVIMIENTOS!$C$5:$C$1005="M")*(MOVIMIENTOS!$D$5:$D$1005="jabas")*(MOVIMIENTOS!$A$5:$A$1005&lt;&gt;"")*(MOVIMIENTOS!$A$5:$A$1005&lt;=$A506)*MOVIMIENTOS!$E$5:$E$1005)-SUMPRODUCT((MOVIMIENTOS!$B$5:$B$1005="ENVÍO A SUPESA")*(MOVIMIENTOS!$C$5:$C$1005="M")*(MOVIMIENTOS!$D$5:$D$1005="jabas")*(MOVIMIENTOS!$A$5:$A$1005&lt;&gt;"")*(MOVIMIENTOS!$A$5:$A$1005&lt;=$A506)*MOVIMIENTOS!$E$5:$E$1005)+SUMPRODUCT((MOVIMIENTOS!$B$5:$B$1005="DEVOLUCIÓN")*(MOVIMIENTOS!$C$5:$C$1005="M")*(MOVIMIENTOS!$D$5:$D$1005="jabas")*(MOVIMIENTOS!$A$5:$A$1005&lt;&gt;"")*(MOVIMIENTOS!$A$5:$A$1005&lt;=$A506)*MOVIMIENTOS!$E$5:$E$1005)-SUMPRODUCT((MOVIMIENTOS!$B$5:$B$1005="TRASIEGO")*(MOVIMIENTOS!$C$5:$C$1005="M")*(MOVIMIENTOS!$D$5:$D$1005="jabas")*(MOVIMIENTOS!$A$5:$A$1005&lt;&gt;"")*(MOVIMIENTOS!$A$5:$A$1005&lt;=$A506)*MOVIMIENTOS!$E$5:$E$1005)-SUMPRODUCT((MOVIMIENTOS!$B$5:$B$1005="REGALO")*(MOVIMIENTOS!$C$5:$C$1005="M")*(MOVIMIENTOS!$D$5:$D$1005="jabas")*(MOVIMIENTOS!$A$5:$A$1005&lt;&gt;"")*(MOVIMIENTOS!$A$5:$A$1005&lt;=$A506)*MOVIMIENTOS!$E$5:$E$1005)-SUMPRODUCT((MOVIMIENTOS!$B$5:$B$1005="VENTA")*(MOVIMIENTOS!$C$5:$C$1005="M")*(MOVIMIENTOS!$D$5:$D$1005="jabas")*(MOVIMIENTOS!$A$5:$A$1005&lt;&gt;"")*(MOVIMIENTOS!$A$5:$A$1005&lt;=$A506)*MOVIMIENTOS!$E$5:$E$1005)+SUMPRODUCT((MOVIMIENTOS!$B$5:$B$1005="AJUSTE")*(MOVIMIENTOS!$C$5:$C$1005="M")*(MOVIMIENTOS!$D$5:$D$1005="jabas")*(MOVIMIENTOS!$A$5:$A$1005&lt;&gt;"")*(MOVIMIENTOS!$A$5:$A$1005&lt;=$A506)*MOVIMIENTOS!$E$5:$E$1005))</f>
        <v/>
      </c>
      <c r="F506" s="62" t="str">
        <f>IF($A506="","",SUMPRODUCT((MOVIMIENTOS!$B$5:$B$1005="SALDO INICIAL")*(MOVIMIENTOS!$C$5:$C$1005="Chancho")*(MOVIMIENTOS!$D$5:$D$1005="sacos")*(MOVIMIENTOS!$A$5:$A$1005&lt;&gt;"")*(MOVIMIENTOS!$A$5:$A$1005&lt;=$A506)*MOVIMIENTOS!$E$5:$E$1005)+SUMPRODUCT((MOVIMIENTOS!$B$5:$B$1005="PROCESO")*(MOVIMIENTOS!$C$5:$C$1005="Chancho")*(MOVIMIENTOS!$D$5:$D$1005="sacos")*(MOVIMIENTOS!$A$5:$A$1005&lt;&gt;"")*(MOVIMIENTOS!$A$5:$A$1005&lt;=$A506)*MOVIMIENTOS!$E$5:$E$1005)-SUMPRODUCT((MOVIMIENTOS!$B$5:$B$1005="VENTA CHANCHO")*(MOVIMIENTOS!$C$5:$C$1005="Chancho")*(MOVIMIENTOS!$D$5:$D$1005="sacos")*(MOVIMIENTOS!$A$5:$A$1005&lt;&gt;"")*(MOVIMIENTOS!$A$5:$A$1005&lt;=$A506)*MOVIMIENTOS!$E$5:$E$1005)-SUMPRODUCT((MOVIMIENTOS!$B$5:$B$1005="REGALO")*(MOVIMIENTOS!$C$5:$C$1005="Chancho")*(MOVIMIENTOS!$D$5:$D$1005="sacos")*(MOVIMIENTOS!$A$5:$A$1005&lt;&gt;"")*(MOVIMIENTOS!$A$5:$A$1005&lt;=$A506)*MOVIMIENTOS!$E$5:$E$1005)-SUMPRODUCT((MOVIMIENTOS!$B$5:$B$1005="VENTA")*(MOVIMIENTOS!$C$5:$C$1005="Chancho")*(MOVIMIENTOS!$D$5:$D$1005="sacos")*(MOVIMIENTOS!$A$5:$A$1005&lt;&gt;"")*(MOVIMIENTOS!$A$5:$A$1005&lt;=$A506)*MOVIMIENTOS!$E$5:$E$1005)+SUMPRODUCT((MOVIMIENTOS!$B$5:$B$1005="AJUSTE")*(MOVIMIENTOS!$C$5:$C$1005="Chancho")*(MOVIMIENTOS!$D$5:$D$1005="sacos")*(MOVIMIENTOS!$A$5:$A$1005&lt;&gt;"")*(MOVIMIENTOS!$A$5:$A$1005&lt;=$A506)*MOVIMIENTOS!$E$5:$E$1005))</f>
        <v/>
      </c>
      <c r="G506" s="62" t="str">
        <f t="shared" si="15"/>
        <v/>
      </c>
      <c r="H506" t="str">
        <f>IF($A506="","",SUMPRODUCT((((MOVIMIENTOS!$B$5:$B$1005="SALDO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506)*MOVIMIENTOS!$J$5:$J$1005))</f>
        <v/>
      </c>
      <c r="J506" t="str">
        <f>IF(AND(MOVIMIENTOS!$A511&lt;&gt;"",COUNTIF(MOVIMIENTOS!$A$5:$A510,MOVIMIENTOS!$A511)=0),COUNT(J$4:J505)+1,"")</f>
        <v/>
      </c>
      <c r="K506">
        <f>MOVIMIENTOS!$A511</f>
        <v>0</v>
      </c>
    </row>
    <row r="507" spans="1:11" ht="15" customHeight="1" x14ac:dyDescent="0.2">
      <c r="A507" t="str">
        <f t="shared" si="14"/>
        <v/>
      </c>
      <c r="B507" t="str">
        <f>IF($A507="","",SUMPRODUCT((MOVIMIENTOS!$B$5:$B$1005="SALDO INICIAL")*(MOVIMIENTOS!$C$5:$C$1005="A")*(MOVIMIENTOS!$D$5:$D$1005="jabas")*(MOVIMIENTOS!$A$5:$A$1005&lt;&gt;"")*(MOVIMIENTOS!$A$5:$A$1005&lt;=$A507)*MOVIMIENTOS!$E$5:$E$1005)+SUMPRODUCT((MOVIMIENTOS!$B$5:$B$1005="PROCESO")*(MOVIMIENTOS!$C$5:$C$1005="A")*(MOVIMIENTOS!$D$5:$D$1005="jabas")*(MOVIMIENTOS!$A$5:$A$1005&lt;&gt;"")*(MOVIMIENTOS!$A$5:$A$1005&lt;=$A507)*MOVIMIENTOS!$E$5:$E$1005)-SUMPRODUCT((MOVIMIENTOS!$B$5:$B$1005="ENVÍO A SUPESA")*(MOVIMIENTOS!$C$5:$C$1005="A")*(MOVIMIENTOS!$D$5:$D$1005="jabas")*(MOVIMIENTOS!$A$5:$A$1005&lt;&gt;"")*(MOVIMIENTOS!$A$5:$A$1005&lt;=$A507)*MOVIMIENTOS!$E$5:$E$1005)+SUMPRODUCT((MOVIMIENTOS!$B$5:$B$1005="DEVOLUCIÓN")*(MOVIMIENTOS!$C$5:$C$1005="A")*(MOVIMIENTOS!$D$5:$D$1005="jabas")*(MOVIMIENTOS!$A$5:$A$1005&lt;&gt;"")*(MOVIMIENTOS!$A$5:$A$1005&lt;=$A507)*MOVIMIENTOS!$E$5:$E$1005)-SUMPRODUCT((MOVIMIENTOS!$B$5:$B$1005="TRASIEGO")*(MOVIMIENTOS!$C$5:$C$1005="A")*(MOVIMIENTOS!$D$5:$D$1005="jabas")*(MOVIMIENTOS!$A$5:$A$1005&lt;&gt;"")*(MOVIMIENTOS!$A$5:$A$1005&lt;=$A507)*MOVIMIENTOS!$E$5:$E$1005)-SUMPRODUCT((MOVIMIENTOS!$B$5:$B$1005="REGALO")*(MOVIMIENTOS!$C$5:$C$1005="A")*(MOVIMIENTOS!$D$5:$D$1005="jabas")*(MOVIMIENTOS!$A$5:$A$1005&lt;&gt;"")*(MOVIMIENTOS!$A$5:$A$1005&lt;=$A507)*MOVIMIENTOS!$E$5:$E$1005)-SUMPRODUCT((MOVIMIENTOS!$B$5:$B$1005="VENTA")*(MOVIMIENTOS!$C$5:$C$1005="A")*(MOVIMIENTOS!$D$5:$D$1005="jabas")*(MOVIMIENTOS!$A$5:$A$1005&lt;&gt;"")*(MOVIMIENTOS!$A$5:$A$1005&lt;=$A507)*MOVIMIENTOS!$E$5:$E$1005)+SUMPRODUCT((MOVIMIENTOS!$B$5:$B$1005="AJUSTE")*(MOVIMIENTOS!$C$5:$C$1005="A")*(MOVIMIENTOS!$D$5:$D$1005="jabas")*(MOVIMIENTOS!$A$5:$A$1005&lt;&gt;"")*(MOVIMIENTOS!$A$5:$A$1005&lt;=$A507)*MOVIMIENTOS!$E$5:$E$1005))</f>
        <v/>
      </c>
      <c r="C507" t="str">
        <f>IF($A507="","",SUMPRODUCT((MOVIMIENTOS!$B$5:$B$1005="SALDO INICIAL")*(MOVIMIENTOS!$C$5:$C$1005="P")*(MOVIMIENTOS!$D$5:$D$1005="jabas")*(MOVIMIENTOS!$A$5:$A$1005&lt;&gt;"")*(MOVIMIENTOS!$A$5:$A$1005&lt;=$A507)*MOVIMIENTOS!$E$5:$E$1005)+SUMPRODUCT((MOVIMIENTOS!$B$5:$B$1005="PROCESO")*(MOVIMIENTOS!$C$5:$C$1005="P")*(MOVIMIENTOS!$D$5:$D$1005="jabas")*(MOVIMIENTOS!$A$5:$A$1005&lt;&gt;"")*(MOVIMIENTOS!$A$5:$A$1005&lt;=$A507)*MOVIMIENTOS!$E$5:$E$1005)-SUMPRODUCT((MOVIMIENTOS!$B$5:$B$1005="ENVÍO A SUPESA")*(MOVIMIENTOS!$C$5:$C$1005="P")*(MOVIMIENTOS!$D$5:$D$1005="jabas")*(MOVIMIENTOS!$A$5:$A$1005&lt;&gt;"")*(MOVIMIENTOS!$A$5:$A$1005&lt;=$A507)*MOVIMIENTOS!$E$5:$E$1005)+SUMPRODUCT((MOVIMIENTOS!$B$5:$B$1005="DEVOLUCIÓN")*(MOVIMIENTOS!$C$5:$C$1005="P")*(MOVIMIENTOS!$D$5:$D$1005="jabas")*(MOVIMIENTOS!$A$5:$A$1005&lt;&gt;"")*(MOVIMIENTOS!$A$5:$A$1005&lt;=$A507)*MOVIMIENTOS!$E$5:$E$1005)-SUMPRODUCT((MOVIMIENTOS!$B$5:$B$1005="TRASIEGO")*(MOVIMIENTOS!$C$5:$C$1005="P")*(MOVIMIENTOS!$D$5:$D$1005="jabas")*(MOVIMIENTOS!$A$5:$A$1005&lt;&gt;"")*(MOVIMIENTOS!$A$5:$A$1005&lt;=$A507)*MOVIMIENTOS!$E$5:$E$1005)-SUMPRODUCT((MOVIMIENTOS!$B$5:$B$1005="REGALO")*(MOVIMIENTOS!$C$5:$C$1005="P")*(MOVIMIENTOS!$D$5:$D$1005="jabas")*(MOVIMIENTOS!$A$5:$A$1005&lt;&gt;"")*(MOVIMIENTOS!$A$5:$A$1005&lt;=$A507)*MOVIMIENTOS!$E$5:$E$1005)-SUMPRODUCT((MOVIMIENTOS!$B$5:$B$1005="VENTA")*(MOVIMIENTOS!$C$5:$C$1005="P")*(MOVIMIENTOS!$D$5:$D$1005="jabas")*(MOVIMIENTOS!$A$5:$A$1005&lt;&gt;"")*(MOVIMIENTOS!$A$5:$A$1005&lt;=$A507)*MOVIMIENTOS!$E$5:$E$1005)+SUMPRODUCT((MOVIMIENTOS!$B$5:$B$1005="AJUSTE")*(MOVIMIENTOS!$C$5:$C$1005="P")*(MOVIMIENTOS!$D$5:$D$1005="jabas")*(MOVIMIENTOS!$A$5:$A$1005&lt;&gt;"")*(MOVIMIENTOS!$A$5:$A$1005&lt;=$A507)*MOVIMIENTOS!$E$5:$E$1005))</f>
        <v/>
      </c>
      <c r="D507" t="str">
        <f>IF($A507="","",SUMPRODUCT((MOVIMIENTOS!$B$5:$B$1005="SALDO INICIAL")*(MOVIMIENTOS!$C$5:$C$1005="C")*(MOVIMIENTOS!$D$5:$D$1005="jabas")*(MOVIMIENTOS!$A$5:$A$1005&lt;&gt;"")*(MOVIMIENTOS!$A$5:$A$1005&lt;=$A507)*MOVIMIENTOS!$E$5:$E$1005)+SUMPRODUCT((MOVIMIENTOS!$B$5:$B$1005="PROCESO")*(MOVIMIENTOS!$C$5:$C$1005="C")*(MOVIMIENTOS!$D$5:$D$1005="jabas")*(MOVIMIENTOS!$A$5:$A$1005&lt;&gt;"")*(MOVIMIENTOS!$A$5:$A$1005&lt;=$A507)*MOVIMIENTOS!$E$5:$E$1005)-SUMPRODUCT((MOVIMIENTOS!$B$5:$B$1005="ENVÍO A SUPESA")*(MOVIMIENTOS!$C$5:$C$1005="C")*(MOVIMIENTOS!$D$5:$D$1005="jabas")*(MOVIMIENTOS!$A$5:$A$1005&lt;&gt;"")*(MOVIMIENTOS!$A$5:$A$1005&lt;=$A507)*MOVIMIENTOS!$E$5:$E$1005)+SUMPRODUCT((MOVIMIENTOS!$B$5:$B$1005="DEVOLUCIÓN")*(MOVIMIENTOS!$C$5:$C$1005="C")*(MOVIMIENTOS!$D$5:$D$1005="jabas")*(MOVIMIENTOS!$A$5:$A$1005&lt;&gt;"")*(MOVIMIENTOS!$A$5:$A$1005&lt;=$A507)*MOVIMIENTOS!$E$5:$E$1005)-SUMPRODUCT((MOVIMIENTOS!$B$5:$B$1005="TRASIEGO")*(MOVIMIENTOS!$C$5:$C$1005="C")*(MOVIMIENTOS!$D$5:$D$1005="jabas")*(MOVIMIENTOS!$A$5:$A$1005&lt;&gt;"")*(MOVIMIENTOS!$A$5:$A$1005&lt;=$A507)*MOVIMIENTOS!$E$5:$E$1005)-SUMPRODUCT((MOVIMIENTOS!$B$5:$B$1005="REGALO")*(MOVIMIENTOS!$C$5:$C$1005="C")*(MOVIMIENTOS!$D$5:$D$1005="jabas")*(MOVIMIENTOS!$A$5:$A$1005&lt;&gt;"")*(MOVIMIENTOS!$A$5:$A$1005&lt;=$A507)*MOVIMIENTOS!$E$5:$E$1005)-SUMPRODUCT((MOVIMIENTOS!$B$5:$B$1005="VENTA")*(MOVIMIENTOS!$C$5:$C$1005="C")*(MOVIMIENTOS!$D$5:$D$1005="jabas")*(MOVIMIENTOS!$A$5:$A$1005&lt;&gt;"")*(MOVIMIENTOS!$A$5:$A$1005&lt;=$A507)*MOVIMIENTOS!$E$5:$E$1005)+SUMPRODUCT((MOVIMIENTOS!$B$5:$B$1005="AJUSTE")*(MOVIMIENTOS!$C$5:$C$1005="C")*(MOVIMIENTOS!$D$5:$D$1005="jabas")*(MOVIMIENTOS!$A$5:$A$1005&lt;&gt;"")*(MOVIMIENTOS!$A$5:$A$1005&lt;=$A507)*MOVIMIENTOS!$E$5:$E$1005))</f>
        <v/>
      </c>
      <c r="E507" t="str">
        <f>IF($A507="","",SUMPRODUCT((MOVIMIENTOS!$B$5:$B$1005="SALDO INICIAL")*(MOVIMIENTOS!$C$5:$C$1005="M")*(MOVIMIENTOS!$D$5:$D$1005="jabas")*(MOVIMIENTOS!$A$5:$A$1005&lt;&gt;"")*(MOVIMIENTOS!$A$5:$A$1005&lt;=$A507)*MOVIMIENTOS!$E$5:$E$1005)+SUMPRODUCT((MOVIMIENTOS!$B$5:$B$1005="PROCESO")*(MOVIMIENTOS!$C$5:$C$1005="M")*(MOVIMIENTOS!$D$5:$D$1005="jabas")*(MOVIMIENTOS!$A$5:$A$1005&lt;&gt;"")*(MOVIMIENTOS!$A$5:$A$1005&lt;=$A507)*MOVIMIENTOS!$E$5:$E$1005)-SUMPRODUCT((MOVIMIENTOS!$B$5:$B$1005="ENVÍO A SUPESA")*(MOVIMIENTOS!$C$5:$C$1005="M")*(MOVIMIENTOS!$D$5:$D$1005="jabas")*(MOVIMIENTOS!$A$5:$A$1005&lt;&gt;"")*(MOVIMIENTOS!$A$5:$A$1005&lt;=$A507)*MOVIMIENTOS!$E$5:$E$1005)+SUMPRODUCT((MOVIMIENTOS!$B$5:$B$1005="DEVOLUCIÓN")*(MOVIMIENTOS!$C$5:$C$1005="M")*(MOVIMIENTOS!$D$5:$D$1005="jabas")*(MOVIMIENTOS!$A$5:$A$1005&lt;&gt;"")*(MOVIMIENTOS!$A$5:$A$1005&lt;=$A507)*MOVIMIENTOS!$E$5:$E$1005)-SUMPRODUCT((MOVIMIENTOS!$B$5:$B$1005="TRASIEGO")*(MOVIMIENTOS!$C$5:$C$1005="M")*(MOVIMIENTOS!$D$5:$D$1005="jabas")*(MOVIMIENTOS!$A$5:$A$1005&lt;&gt;"")*(MOVIMIENTOS!$A$5:$A$1005&lt;=$A507)*MOVIMIENTOS!$E$5:$E$1005)-SUMPRODUCT((MOVIMIENTOS!$B$5:$B$1005="REGALO")*(MOVIMIENTOS!$C$5:$C$1005="M")*(MOVIMIENTOS!$D$5:$D$1005="jabas")*(MOVIMIENTOS!$A$5:$A$1005&lt;&gt;"")*(MOVIMIENTOS!$A$5:$A$1005&lt;=$A507)*MOVIMIENTOS!$E$5:$E$1005)-SUMPRODUCT((MOVIMIENTOS!$B$5:$B$1005="VENTA")*(MOVIMIENTOS!$C$5:$C$1005="M")*(MOVIMIENTOS!$D$5:$D$1005="jabas")*(MOVIMIENTOS!$A$5:$A$1005&lt;&gt;"")*(MOVIMIENTOS!$A$5:$A$1005&lt;=$A507)*MOVIMIENTOS!$E$5:$E$1005)+SUMPRODUCT((MOVIMIENTOS!$B$5:$B$1005="AJUSTE")*(MOVIMIENTOS!$C$5:$C$1005="M")*(MOVIMIENTOS!$D$5:$D$1005="jabas")*(MOVIMIENTOS!$A$5:$A$1005&lt;&gt;"")*(MOVIMIENTOS!$A$5:$A$1005&lt;=$A507)*MOVIMIENTOS!$E$5:$E$1005))</f>
        <v/>
      </c>
      <c r="F507" s="62" t="str">
        <f>IF($A507="","",SUMPRODUCT((MOVIMIENTOS!$B$5:$B$1005="SALDO INICIAL")*(MOVIMIENTOS!$C$5:$C$1005="Chancho")*(MOVIMIENTOS!$D$5:$D$1005="sacos")*(MOVIMIENTOS!$A$5:$A$1005&lt;&gt;"")*(MOVIMIENTOS!$A$5:$A$1005&lt;=$A507)*MOVIMIENTOS!$E$5:$E$1005)+SUMPRODUCT((MOVIMIENTOS!$B$5:$B$1005="PROCESO")*(MOVIMIENTOS!$C$5:$C$1005="Chancho")*(MOVIMIENTOS!$D$5:$D$1005="sacos")*(MOVIMIENTOS!$A$5:$A$1005&lt;&gt;"")*(MOVIMIENTOS!$A$5:$A$1005&lt;=$A507)*MOVIMIENTOS!$E$5:$E$1005)-SUMPRODUCT((MOVIMIENTOS!$B$5:$B$1005="VENTA CHANCHO")*(MOVIMIENTOS!$C$5:$C$1005="Chancho")*(MOVIMIENTOS!$D$5:$D$1005="sacos")*(MOVIMIENTOS!$A$5:$A$1005&lt;&gt;"")*(MOVIMIENTOS!$A$5:$A$1005&lt;=$A507)*MOVIMIENTOS!$E$5:$E$1005)-SUMPRODUCT((MOVIMIENTOS!$B$5:$B$1005="REGALO")*(MOVIMIENTOS!$C$5:$C$1005="Chancho")*(MOVIMIENTOS!$D$5:$D$1005="sacos")*(MOVIMIENTOS!$A$5:$A$1005&lt;&gt;"")*(MOVIMIENTOS!$A$5:$A$1005&lt;=$A507)*MOVIMIENTOS!$E$5:$E$1005)-SUMPRODUCT((MOVIMIENTOS!$B$5:$B$1005="VENTA")*(MOVIMIENTOS!$C$5:$C$1005="Chancho")*(MOVIMIENTOS!$D$5:$D$1005="sacos")*(MOVIMIENTOS!$A$5:$A$1005&lt;&gt;"")*(MOVIMIENTOS!$A$5:$A$1005&lt;=$A507)*MOVIMIENTOS!$E$5:$E$1005)+SUMPRODUCT((MOVIMIENTOS!$B$5:$B$1005="AJUSTE")*(MOVIMIENTOS!$C$5:$C$1005="Chancho")*(MOVIMIENTOS!$D$5:$D$1005="sacos")*(MOVIMIENTOS!$A$5:$A$1005&lt;&gt;"")*(MOVIMIENTOS!$A$5:$A$1005&lt;=$A507)*MOVIMIENTOS!$E$5:$E$1005))</f>
        <v/>
      </c>
      <c r="G507" s="62" t="str">
        <f t="shared" si="15"/>
        <v/>
      </c>
      <c r="H507" t="str">
        <f>IF($A507="","",SUMPRODUCT((((MOVIMIENTOS!$B$5:$B$1005="SALDO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507)*MOVIMIENTOS!$J$5:$J$1005))</f>
        <v/>
      </c>
      <c r="J507" t="str">
        <f>IF(AND(MOVIMIENTOS!$A512&lt;&gt;"",COUNTIF(MOVIMIENTOS!$A$5:$A511,MOVIMIENTOS!$A512)=0),COUNT(J$4:J506)+1,"")</f>
        <v/>
      </c>
      <c r="K507">
        <f>MOVIMIENTOS!$A512</f>
        <v>0</v>
      </c>
    </row>
    <row r="508" spans="1:11" ht="15" customHeight="1" x14ac:dyDescent="0.2">
      <c r="A508" t="str">
        <f t="shared" si="14"/>
        <v/>
      </c>
      <c r="B508" t="str">
        <f>IF($A508="","",SUMPRODUCT((MOVIMIENTOS!$B$5:$B$1005="SALDO INICIAL")*(MOVIMIENTOS!$C$5:$C$1005="A")*(MOVIMIENTOS!$D$5:$D$1005="jabas")*(MOVIMIENTOS!$A$5:$A$1005&lt;&gt;"")*(MOVIMIENTOS!$A$5:$A$1005&lt;=$A508)*MOVIMIENTOS!$E$5:$E$1005)+SUMPRODUCT((MOVIMIENTOS!$B$5:$B$1005="PROCESO")*(MOVIMIENTOS!$C$5:$C$1005="A")*(MOVIMIENTOS!$D$5:$D$1005="jabas")*(MOVIMIENTOS!$A$5:$A$1005&lt;&gt;"")*(MOVIMIENTOS!$A$5:$A$1005&lt;=$A508)*MOVIMIENTOS!$E$5:$E$1005)-SUMPRODUCT((MOVIMIENTOS!$B$5:$B$1005="ENVÍO A SUPESA")*(MOVIMIENTOS!$C$5:$C$1005="A")*(MOVIMIENTOS!$D$5:$D$1005="jabas")*(MOVIMIENTOS!$A$5:$A$1005&lt;&gt;"")*(MOVIMIENTOS!$A$5:$A$1005&lt;=$A508)*MOVIMIENTOS!$E$5:$E$1005)+SUMPRODUCT((MOVIMIENTOS!$B$5:$B$1005="DEVOLUCIÓN")*(MOVIMIENTOS!$C$5:$C$1005="A")*(MOVIMIENTOS!$D$5:$D$1005="jabas")*(MOVIMIENTOS!$A$5:$A$1005&lt;&gt;"")*(MOVIMIENTOS!$A$5:$A$1005&lt;=$A508)*MOVIMIENTOS!$E$5:$E$1005)-SUMPRODUCT((MOVIMIENTOS!$B$5:$B$1005="TRASIEGO")*(MOVIMIENTOS!$C$5:$C$1005="A")*(MOVIMIENTOS!$D$5:$D$1005="jabas")*(MOVIMIENTOS!$A$5:$A$1005&lt;&gt;"")*(MOVIMIENTOS!$A$5:$A$1005&lt;=$A508)*MOVIMIENTOS!$E$5:$E$1005)-SUMPRODUCT((MOVIMIENTOS!$B$5:$B$1005="REGALO")*(MOVIMIENTOS!$C$5:$C$1005="A")*(MOVIMIENTOS!$D$5:$D$1005="jabas")*(MOVIMIENTOS!$A$5:$A$1005&lt;&gt;"")*(MOVIMIENTOS!$A$5:$A$1005&lt;=$A508)*MOVIMIENTOS!$E$5:$E$1005)-SUMPRODUCT((MOVIMIENTOS!$B$5:$B$1005="VENTA")*(MOVIMIENTOS!$C$5:$C$1005="A")*(MOVIMIENTOS!$D$5:$D$1005="jabas")*(MOVIMIENTOS!$A$5:$A$1005&lt;&gt;"")*(MOVIMIENTOS!$A$5:$A$1005&lt;=$A508)*MOVIMIENTOS!$E$5:$E$1005)+SUMPRODUCT((MOVIMIENTOS!$B$5:$B$1005="AJUSTE")*(MOVIMIENTOS!$C$5:$C$1005="A")*(MOVIMIENTOS!$D$5:$D$1005="jabas")*(MOVIMIENTOS!$A$5:$A$1005&lt;&gt;"")*(MOVIMIENTOS!$A$5:$A$1005&lt;=$A508)*MOVIMIENTOS!$E$5:$E$1005))</f>
        <v/>
      </c>
      <c r="C508" t="str">
        <f>IF($A508="","",SUMPRODUCT((MOVIMIENTOS!$B$5:$B$1005="SALDO INICIAL")*(MOVIMIENTOS!$C$5:$C$1005="P")*(MOVIMIENTOS!$D$5:$D$1005="jabas")*(MOVIMIENTOS!$A$5:$A$1005&lt;&gt;"")*(MOVIMIENTOS!$A$5:$A$1005&lt;=$A508)*MOVIMIENTOS!$E$5:$E$1005)+SUMPRODUCT((MOVIMIENTOS!$B$5:$B$1005="PROCESO")*(MOVIMIENTOS!$C$5:$C$1005="P")*(MOVIMIENTOS!$D$5:$D$1005="jabas")*(MOVIMIENTOS!$A$5:$A$1005&lt;&gt;"")*(MOVIMIENTOS!$A$5:$A$1005&lt;=$A508)*MOVIMIENTOS!$E$5:$E$1005)-SUMPRODUCT((MOVIMIENTOS!$B$5:$B$1005="ENVÍO A SUPESA")*(MOVIMIENTOS!$C$5:$C$1005="P")*(MOVIMIENTOS!$D$5:$D$1005="jabas")*(MOVIMIENTOS!$A$5:$A$1005&lt;&gt;"")*(MOVIMIENTOS!$A$5:$A$1005&lt;=$A508)*MOVIMIENTOS!$E$5:$E$1005)+SUMPRODUCT((MOVIMIENTOS!$B$5:$B$1005="DEVOLUCIÓN")*(MOVIMIENTOS!$C$5:$C$1005="P")*(MOVIMIENTOS!$D$5:$D$1005="jabas")*(MOVIMIENTOS!$A$5:$A$1005&lt;&gt;"")*(MOVIMIENTOS!$A$5:$A$1005&lt;=$A508)*MOVIMIENTOS!$E$5:$E$1005)-SUMPRODUCT((MOVIMIENTOS!$B$5:$B$1005="TRASIEGO")*(MOVIMIENTOS!$C$5:$C$1005="P")*(MOVIMIENTOS!$D$5:$D$1005="jabas")*(MOVIMIENTOS!$A$5:$A$1005&lt;&gt;"")*(MOVIMIENTOS!$A$5:$A$1005&lt;=$A508)*MOVIMIENTOS!$E$5:$E$1005)-SUMPRODUCT((MOVIMIENTOS!$B$5:$B$1005="REGALO")*(MOVIMIENTOS!$C$5:$C$1005="P")*(MOVIMIENTOS!$D$5:$D$1005="jabas")*(MOVIMIENTOS!$A$5:$A$1005&lt;&gt;"")*(MOVIMIENTOS!$A$5:$A$1005&lt;=$A508)*MOVIMIENTOS!$E$5:$E$1005)-SUMPRODUCT((MOVIMIENTOS!$B$5:$B$1005="VENTA")*(MOVIMIENTOS!$C$5:$C$1005="P")*(MOVIMIENTOS!$D$5:$D$1005="jabas")*(MOVIMIENTOS!$A$5:$A$1005&lt;&gt;"")*(MOVIMIENTOS!$A$5:$A$1005&lt;=$A508)*MOVIMIENTOS!$E$5:$E$1005)+SUMPRODUCT((MOVIMIENTOS!$B$5:$B$1005="AJUSTE")*(MOVIMIENTOS!$C$5:$C$1005="P")*(MOVIMIENTOS!$D$5:$D$1005="jabas")*(MOVIMIENTOS!$A$5:$A$1005&lt;&gt;"")*(MOVIMIENTOS!$A$5:$A$1005&lt;=$A508)*MOVIMIENTOS!$E$5:$E$1005))</f>
        <v/>
      </c>
      <c r="D508" t="str">
        <f>IF($A508="","",SUMPRODUCT((MOVIMIENTOS!$B$5:$B$1005="SALDO INICIAL")*(MOVIMIENTOS!$C$5:$C$1005="C")*(MOVIMIENTOS!$D$5:$D$1005="jabas")*(MOVIMIENTOS!$A$5:$A$1005&lt;&gt;"")*(MOVIMIENTOS!$A$5:$A$1005&lt;=$A508)*MOVIMIENTOS!$E$5:$E$1005)+SUMPRODUCT((MOVIMIENTOS!$B$5:$B$1005="PROCESO")*(MOVIMIENTOS!$C$5:$C$1005="C")*(MOVIMIENTOS!$D$5:$D$1005="jabas")*(MOVIMIENTOS!$A$5:$A$1005&lt;&gt;"")*(MOVIMIENTOS!$A$5:$A$1005&lt;=$A508)*MOVIMIENTOS!$E$5:$E$1005)-SUMPRODUCT((MOVIMIENTOS!$B$5:$B$1005="ENVÍO A SUPESA")*(MOVIMIENTOS!$C$5:$C$1005="C")*(MOVIMIENTOS!$D$5:$D$1005="jabas")*(MOVIMIENTOS!$A$5:$A$1005&lt;&gt;"")*(MOVIMIENTOS!$A$5:$A$1005&lt;=$A508)*MOVIMIENTOS!$E$5:$E$1005)+SUMPRODUCT((MOVIMIENTOS!$B$5:$B$1005="DEVOLUCIÓN")*(MOVIMIENTOS!$C$5:$C$1005="C")*(MOVIMIENTOS!$D$5:$D$1005="jabas")*(MOVIMIENTOS!$A$5:$A$1005&lt;&gt;"")*(MOVIMIENTOS!$A$5:$A$1005&lt;=$A508)*MOVIMIENTOS!$E$5:$E$1005)-SUMPRODUCT((MOVIMIENTOS!$B$5:$B$1005="TRASIEGO")*(MOVIMIENTOS!$C$5:$C$1005="C")*(MOVIMIENTOS!$D$5:$D$1005="jabas")*(MOVIMIENTOS!$A$5:$A$1005&lt;&gt;"")*(MOVIMIENTOS!$A$5:$A$1005&lt;=$A508)*MOVIMIENTOS!$E$5:$E$1005)-SUMPRODUCT((MOVIMIENTOS!$B$5:$B$1005="REGALO")*(MOVIMIENTOS!$C$5:$C$1005="C")*(MOVIMIENTOS!$D$5:$D$1005="jabas")*(MOVIMIENTOS!$A$5:$A$1005&lt;&gt;"")*(MOVIMIENTOS!$A$5:$A$1005&lt;=$A508)*MOVIMIENTOS!$E$5:$E$1005)-SUMPRODUCT((MOVIMIENTOS!$B$5:$B$1005="VENTA")*(MOVIMIENTOS!$C$5:$C$1005="C")*(MOVIMIENTOS!$D$5:$D$1005="jabas")*(MOVIMIENTOS!$A$5:$A$1005&lt;&gt;"")*(MOVIMIENTOS!$A$5:$A$1005&lt;=$A508)*MOVIMIENTOS!$E$5:$E$1005)+SUMPRODUCT((MOVIMIENTOS!$B$5:$B$1005="AJUSTE")*(MOVIMIENTOS!$C$5:$C$1005="C")*(MOVIMIENTOS!$D$5:$D$1005="jabas")*(MOVIMIENTOS!$A$5:$A$1005&lt;&gt;"")*(MOVIMIENTOS!$A$5:$A$1005&lt;=$A508)*MOVIMIENTOS!$E$5:$E$1005))</f>
        <v/>
      </c>
      <c r="E508" t="str">
        <f>IF($A508="","",SUMPRODUCT((MOVIMIENTOS!$B$5:$B$1005="SALDO INICIAL")*(MOVIMIENTOS!$C$5:$C$1005="M")*(MOVIMIENTOS!$D$5:$D$1005="jabas")*(MOVIMIENTOS!$A$5:$A$1005&lt;&gt;"")*(MOVIMIENTOS!$A$5:$A$1005&lt;=$A508)*MOVIMIENTOS!$E$5:$E$1005)+SUMPRODUCT((MOVIMIENTOS!$B$5:$B$1005="PROCESO")*(MOVIMIENTOS!$C$5:$C$1005="M")*(MOVIMIENTOS!$D$5:$D$1005="jabas")*(MOVIMIENTOS!$A$5:$A$1005&lt;&gt;"")*(MOVIMIENTOS!$A$5:$A$1005&lt;=$A508)*MOVIMIENTOS!$E$5:$E$1005)-SUMPRODUCT((MOVIMIENTOS!$B$5:$B$1005="ENVÍO A SUPESA")*(MOVIMIENTOS!$C$5:$C$1005="M")*(MOVIMIENTOS!$D$5:$D$1005="jabas")*(MOVIMIENTOS!$A$5:$A$1005&lt;&gt;"")*(MOVIMIENTOS!$A$5:$A$1005&lt;=$A508)*MOVIMIENTOS!$E$5:$E$1005)+SUMPRODUCT((MOVIMIENTOS!$B$5:$B$1005="DEVOLUCIÓN")*(MOVIMIENTOS!$C$5:$C$1005="M")*(MOVIMIENTOS!$D$5:$D$1005="jabas")*(MOVIMIENTOS!$A$5:$A$1005&lt;&gt;"")*(MOVIMIENTOS!$A$5:$A$1005&lt;=$A508)*MOVIMIENTOS!$E$5:$E$1005)-SUMPRODUCT((MOVIMIENTOS!$B$5:$B$1005="TRASIEGO")*(MOVIMIENTOS!$C$5:$C$1005="M")*(MOVIMIENTOS!$D$5:$D$1005="jabas")*(MOVIMIENTOS!$A$5:$A$1005&lt;&gt;"")*(MOVIMIENTOS!$A$5:$A$1005&lt;=$A508)*MOVIMIENTOS!$E$5:$E$1005)-SUMPRODUCT((MOVIMIENTOS!$B$5:$B$1005="REGALO")*(MOVIMIENTOS!$C$5:$C$1005="M")*(MOVIMIENTOS!$D$5:$D$1005="jabas")*(MOVIMIENTOS!$A$5:$A$1005&lt;&gt;"")*(MOVIMIENTOS!$A$5:$A$1005&lt;=$A508)*MOVIMIENTOS!$E$5:$E$1005)-SUMPRODUCT((MOVIMIENTOS!$B$5:$B$1005="VENTA")*(MOVIMIENTOS!$C$5:$C$1005="M")*(MOVIMIENTOS!$D$5:$D$1005="jabas")*(MOVIMIENTOS!$A$5:$A$1005&lt;&gt;"")*(MOVIMIENTOS!$A$5:$A$1005&lt;=$A508)*MOVIMIENTOS!$E$5:$E$1005)+SUMPRODUCT((MOVIMIENTOS!$B$5:$B$1005="AJUSTE")*(MOVIMIENTOS!$C$5:$C$1005="M")*(MOVIMIENTOS!$D$5:$D$1005="jabas")*(MOVIMIENTOS!$A$5:$A$1005&lt;&gt;"")*(MOVIMIENTOS!$A$5:$A$1005&lt;=$A508)*MOVIMIENTOS!$E$5:$E$1005))</f>
        <v/>
      </c>
      <c r="F508" s="62" t="str">
        <f>IF($A508="","",SUMPRODUCT((MOVIMIENTOS!$B$5:$B$1005="SALDO INICIAL")*(MOVIMIENTOS!$C$5:$C$1005="Chancho")*(MOVIMIENTOS!$D$5:$D$1005="sacos")*(MOVIMIENTOS!$A$5:$A$1005&lt;&gt;"")*(MOVIMIENTOS!$A$5:$A$1005&lt;=$A508)*MOVIMIENTOS!$E$5:$E$1005)+SUMPRODUCT((MOVIMIENTOS!$B$5:$B$1005="PROCESO")*(MOVIMIENTOS!$C$5:$C$1005="Chancho")*(MOVIMIENTOS!$D$5:$D$1005="sacos")*(MOVIMIENTOS!$A$5:$A$1005&lt;&gt;"")*(MOVIMIENTOS!$A$5:$A$1005&lt;=$A508)*MOVIMIENTOS!$E$5:$E$1005)-SUMPRODUCT((MOVIMIENTOS!$B$5:$B$1005="VENTA CHANCHO")*(MOVIMIENTOS!$C$5:$C$1005="Chancho")*(MOVIMIENTOS!$D$5:$D$1005="sacos")*(MOVIMIENTOS!$A$5:$A$1005&lt;&gt;"")*(MOVIMIENTOS!$A$5:$A$1005&lt;=$A508)*MOVIMIENTOS!$E$5:$E$1005)-SUMPRODUCT((MOVIMIENTOS!$B$5:$B$1005="REGALO")*(MOVIMIENTOS!$C$5:$C$1005="Chancho")*(MOVIMIENTOS!$D$5:$D$1005="sacos")*(MOVIMIENTOS!$A$5:$A$1005&lt;&gt;"")*(MOVIMIENTOS!$A$5:$A$1005&lt;=$A508)*MOVIMIENTOS!$E$5:$E$1005)-SUMPRODUCT((MOVIMIENTOS!$B$5:$B$1005="VENTA")*(MOVIMIENTOS!$C$5:$C$1005="Chancho")*(MOVIMIENTOS!$D$5:$D$1005="sacos")*(MOVIMIENTOS!$A$5:$A$1005&lt;&gt;"")*(MOVIMIENTOS!$A$5:$A$1005&lt;=$A508)*MOVIMIENTOS!$E$5:$E$1005)+SUMPRODUCT((MOVIMIENTOS!$B$5:$B$1005="AJUSTE")*(MOVIMIENTOS!$C$5:$C$1005="Chancho")*(MOVIMIENTOS!$D$5:$D$1005="sacos")*(MOVIMIENTOS!$A$5:$A$1005&lt;&gt;"")*(MOVIMIENTOS!$A$5:$A$1005&lt;=$A508)*MOVIMIENTOS!$E$5:$E$1005))</f>
        <v/>
      </c>
      <c r="G508" s="62" t="str">
        <f t="shared" si="15"/>
        <v/>
      </c>
      <c r="H508" t="str">
        <f>IF($A508="","",SUMPRODUCT((((MOVIMIENTOS!$B$5:$B$1005="SALDO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508)*MOVIMIENTOS!$J$5:$J$1005))</f>
        <v/>
      </c>
      <c r="J508" t="str">
        <f>IF(AND(MOVIMIENTOS!$A513&lt;&gt;"",COUNTIF(MOVIMIENTOS!$A$5:$A512,MOVIMIENTOS!$A513)=0),COUNT(J$4:J507)+1,"")</f>
        <v/>
      </c>
      <c r="K508">
        <f>MOVIMIENTOS!$A513</f>
        <v>0</v>
      </c>
    </row>
    <row r="509" spans="1:11" ht="15" customHeight="1" x14ac:dyDescent="0.2">
      <c r="A509" t="str">
        <f t="shared" si="14"/>
        <v/>
      </c>
      <c r="B509" t="str">
        <f>IF($A509="","",SUMPRODUCT((MOVIMIENTOS!$B$5:$B$1005="SALDO INICIAL")*(MOVIMIENTOS!$C$5:$C$1005="A")*(MOVIMIENTOS!$D$5:$D$1005="jabas")*(MOVIMIENTOS!$A$5:$A$1005&lt;&gt;"")*(MOVIMIENTOS!$A$5:$A$1005&lt;=$A509)*MOVIMIENTOS!$E$5:$E$1005)+SUMPRODUCT((MOVIMIENTOS!$B$5:$B$1005="PROCESO")*(MOVIMIENTOS!$C$5:$C$1005="A")*(MOVIMIENTOS!$D$5:$D$1005="jabas")*(MOVIMIENTOS!$A$5:$A$1005&lt;&gt;"")*(MOVIMIENTOS!$A$5:$A$1005&lt;=$A509)*MOVIMIENTOS!$E$5:$E$1005)-SUMPRODUCT((MOVIMIENTOS!$B$5:$B$1005="ENVÍO A SUPESA")*(MOVIMIENTOS!$C$5:$C$1005="A")*(MOVIMIENTOS!$D$5:$D$1005="jabas")*(MOVIMIENTOS!$A$5:$A$1005&lt;&gt;"")*(MOVIMIENTOS!$A$5:$A$1005&lt;=$A509)*MOVIMIENTOS!$E$5:$E$1005)+SUMPRODUCT((MOVIMIENTOS!$B$5:$B$1005="DEVOLUCIÓN")*(MOVIMIENTOS!$C$5:$C$1005="A")*(MOVIMIENTOS!$D$5:$D$1005="jabas")*(MOVIMIENTOS!$A$5:$A$1005&lt;&gt;"")*(MOVIMIENTOS!$A$5:$A$1005&lt;=$A509)*MOVIMIENTOS!$E$5:$E$1005)-SUMPRODUCT((MOVIMIENTOS!$B$5:$B$1005="TRASIEGO")*(MOVIMIENTOS!$C$5:$C$1005="A")*(MOVIMIENTOS!$D$5:$D$1005="jabas")*(MOVIMIENTOS!$A$5:$A$1005&lt;&gt;"")*(MOVIMIENTOS!$A$5:$A$1005&lt;=$A509)*MOVIMIENTOS!$E$5:$E$1005)-SUMPRODUCT((MOVIMIENTOS!$B$5:$B$1005="REGALO")*(MOVIMIENTOS!$C$5:$C$1005="A")*(MOVIMIENTOS!$D$5:$D$1005="jabas")*(MOVIMIENTOS!$A$5:$A$1005&lt;&gt;"")*(MOVIMIENTOS!$A$5:$A$1005&lt;=$A509)*MOVIMIENTOS!$E$5:$E$1005)-SUMPRODUCT((MOVIMIENTOS!$B$5:$B$1005="VENTA")*(MOVIMIENTOS!$C$5:$C$1005="A")*(MOVIMIENTOS!$D$5:$D$1005="jabas")*(MOVIMIENTOS!$A$5:$A$1005&lt;&gt;"")*(MOVIMIENTOS!$A$5:$A$1005&lt;=$A509)*MOVIMIENTOS!$E$5:$E$1005)+SUMPRODUCT((MOVIMIENTOS!$B$5:$B$1005="AJUSTE")*(MOVIMIENTOS!$C$5:$C$1005="A")*(MOVIMIENTOS!$D$5:$D$1005="jabas")*(MOVIMIENTOS!$A$5:$A$1005&lt;&gt;"")*(MOVIMIENTOS!$A$5:$A$1005&lt;=$A509)*MOVIMIENTOS!$E$5:$E$1005))</f>
        <v/>
      </c>
      <c r="C509" t="str">
        <f>IF($A509="","",SUMPRODUCT((MOVIMIENTOS!$B$5:$B$1005="SALDO INICIAL")*(MOVIMIENTOS!$C$5:$C$1005="P")*(MOVIMIENTOS!$D$5:$D$1005="jabas")*(MOVIMIENTOS!$A$5:$A$1005&lt;&gt;"")*(MOVIMIENTOS!$A$5:$A$1005&lt;=$A509)*MOVIMIENTOS!$E$5:$E$1005)+SUMPRODUCT((MOVIMIENTOS!$B$5:$B$1005="PROCESO")*(MOVIMIENTOS!$C$5:$C$1005="P")*(MOVIMIENTOS!$D$5:$D$1005="jabas")*(MOVIMIENTOS!$A$5:$A$1005&lt;&gt;"")*(MOVIMIENTOS!$A$5:$A$1005&lt;=$A509)*MOVIMIENTOS!$E$5:$E$1005)-SUMPRODUCT((MOVIMIENTOS!$B$5:$B$1005="ENVÍO A SUPESA")*(MOVIMIENTOS!$C$5:$C$1005="P")*(MOVIMIENTOS!$D$5:$D$1005="jabas")*(MOVIMIENTOS!$A$5:$A$1005&lt;&gt;"")*(MOVIMIENTOS!$A$5:$A$1005&lt;=$A509)*MOVIMIENTOS!$E$5:$E$1005)+SUMPRODUCT((MOVIMIENTOS!$B$5:$B$1005="DEVOLUCIÓN")*(MOVIMIENTOS!$C$5:$C$1005="P")*(MOVIMIENTOS!$D$5:$D$1005="jabas")*(MOVIMIENTOS!$A$5:$A$1005&lt;&gt;"")*(MOVIMIENTOS!$A$5:$A$1005&lt;=$A509)*MOVIMIENTOS!$E$5:$E$1005)-SUMPRODUCT((MOVIMIENTOS!$B$5:$B$1005="TRASIEGO")*(MOVIMIENTOS!$C$5:$C$1005="P")*(MOVIMIENTOS!$D$5:$D$1005="jabas")*(MOVIMIENTOS!$A$5:$A$1005&lt;&gt;"")*(MOVIMIENTOS!$A$5:$A$1005&lt;=$A509)*MOVIMIENTOS!$E$5:$E$1005)-SUMPRODUCT((MOVIMIENTOS!$B$5:$B$1005="REGALO")*(MOVIMIENTOS!$C$5:$C$1005="P")*(MOVIMIENTOS!$D$5:$D$1005="jabas")*(MOVIMIENTOS!$A$5:$A$1005&lt;&gt;"")*(MOVIMIENTOS!$A$5:$A$1005&lt;=$A509)*MOVIMIENTOS!$E$5:$E$1005)-SUMPRODUCT((MOVIMIENTOS!$B$5:$B$1005="VENTA")*(MOVIMIENTOS!$C$5:$C$1005="P")*(MOVIMIENTOS!$D$5:$D$1005="jabas")*(MOVIMIENTOS!$A$5:$A$1005&lt;&gt;"")*(MOVIMIENTOS!$A$5:$A$1005&lt;=$A509)*MOVIMIENTOS!$E$5:$E$1005)+SUMPRODUCT((MOVIMIENTOS!$B$5:$B$1005="AJUSTE")*(MOVIMIENTOS!$C$5:$C$1005="P")*(MOVIMIENTOS!$D$5:$D$1005="jabas")*(MOVIMIENTOS!$A$5:$A$1005&lt;&gt;"")*(MOVIMIENTOS!$A$5:$A$1005&lt;=$A509)*MOVIMIENTOS!$E$5:$E$1005))</f>
        <v/>
      </c>
      <c r="D509" t="str">
        <f>IF($A509="","",SUMPRODUCT((MOVIMIENTOS!$B$5:$B$1005="SALDO INICIAL")*(MOVIMIENTOS!$C$5:$C$1005="C")*(MOVIMIENTOS!$D$5:$D$1005="jabas")*(MOVIMIENTOS!$A$5:$A$1005&lt;&gt;"")*(MOVIMIENTOS!$A$5:$A$1005&lt;=$A509)*MOVIMIENTOS!$E$5:$E$1005)+SUMPRODUCT((MOVIMIENTOS!$B$5:$B$1005="PROCESO")*(MOVIMIENTOS!$C$5:$C$1005="C")*(MOVIMIENTOS!$D$5:$D$1005="jabas")*(MOVIMIENTOS!$A$5:$A$1005&lt;&gt;"")*(MOVIMIENTOS!$A$5:$A$1005&lt;=$A509)*MOVIMIENTOS!$E$5:$E$1005)-SUMPRODUCT((MOVIMIENTOS!$B$5:$B$1005="ENVÍO A SUPESA")*(MOVIMIENTOS!$C$5:$C$1005="C")*(MOVIMIENTOS!$D$5:$D$1005="jabas")*(MOVIMIENTOS!$A$5:$A$1005&lt;&gt;"")*(MOVIMIENTOS!$A$5:$A$1005&lt;=$A509)*MOVIMIENTOS!$E$5:$E$1005)+SUMPRODUCT((MOVIMIENTOS!$B$5:$B$1005="DEVOLUCIÓN")*(MOVIMIENTOS!$C$5:$C$1005="C")*(MOVIMIENTOS!$D$5:$D$1005="jabas")*(MOVIMIENTOS!$A$5:$A$1005&lt;&gt;"")*(MOVIMIENTOS!$A$5:$A$1005&lt;=$A509)*MOVIMIENTOS!$E$5:$E$1005)-SUMPRODUCT((MOVIMIENTOS!$B$5:$B$1005="TRASIEGO")*(MOVIMIENTOS!$C$5:$C$1005="C")*(MOVIMIENTOS!$D$5:$D$1005="jabas")*(MOVIMIENTOS!$A$5:$A$1005&lt;&gt;"")*(MOVIMIENTOS!$A$5:$A$1005&lt;=$A509)*MOVIMIENTOS!$E$5:$E$1005)-SUMPRODUCT((MOVIMIENTOS!$B$5:$B$1005="REGALO")*(MOVIMIENTOS!$C$5:$C$1005="C")*(MOVIMIENTOS!$D$5:$D$1005="jabas")*(MOVIMIENTOS!$A$5:$A$1005&lt;&gt;"")*(MOVIMIENTOS!$A$5:$A$1005&lt;=$A509)*MOVIMIENTOS!$E$5:$E$1005)-SUMPRODUCT((MOVIMIENTOS!$B$5:$B$1005="VENTA")*(MOVIMIENTOS!$C$5:$C$1005="C")*(MOVIMIENTOS!$D$5:$D$1005="jabas")*(MOVIMIENTOS!$A$5:$A$1005&lt;&gt;"")*(MOVIMIENTOS!$A$5:$A$1005&lt;=$A509)*MOVIMIENTOS!$E$5:$E$1005)+SUMPRODUCT((MOVIMIENTOS!$B$5:$B$1005="AJUSTE")*(MOVIMIENTOS!$C$5:$C$1005="C")*(MOVIMIENTOS!$D$5:$D$1005="jabas")*(MOVIMIENTOS!$A$5:$A$1005&lt;&gt;"")*(MOVIMIENTOS!$A$5:$A$1005&lt;=$A509)*MOVIMIENTOS!$E$5:$E$1005))</f>
        <v/>
      </c>
      <c r="E509" t="str">
        <f>IF($A509="","",SUMPRODUCT((MOVIMIENTOS!$B$5:$B$1005="SALDO INICIAL")*(MOVIMIENTOS!$C$5:$C$1005="M")*(MOVIMIENTOS!$D$5:$D$1005="jabas")*(MOVIMIENTOS!$A$5:$A$1005&lt;&gt;"")*(MOVIMIENTOS!$A$5:$A$1005&lt;=$A509)*MOVIMIENTOS!$E$5:$E$1005)+SUMPRODUCT((MOVIMIENTOS!$B$5:$B$1005="PROCESO")*(MOVIMIENTOS!$C$5:$C$1005="M")*(MOVIMIENTOS!$D$5:$D$1005="jabas")*(MOVIMIENTOS!$A$5:$A$1005&lt;&gt;"")*(MOVIMIENTOS!$A$5:$A$1005&lt;=$A509)*MOVIMIENTOS!$E$5:$E$1005)-SUMPRODUCT((MOVIMIENTOS!$B$5:$B$1005="ENVÍO A SUPESA")*(MOVIMIENTOS!$C$5:$C$1005="M")*(MOVIMIENTOS!$D$5:$D$1005="jabas")*(MOVIMIENTOS!$A$5:$A$1005&lt;&gt;"")*(MOVIMIENTOS!$A$5:$A$1005&lt;=$A509)*MOVIMIENTOS!$E$5:$E$1005)+SUMPRODUCT((MOVIMIENTOS!$B$5:$B$1005="DEVOLUCIÓN")*(MOVIMIENTOS!$C$5:$C$1005="M")*(MOVIMIENTOS!$D$5:$D$1005="jabas")*(MOVIMIENTOS!$A$5:$A$1005&lt;&gt;"")*(MOVIMIENTOS!$A$5:$A$1005&lt;=$A509)*MOVIMIENTOS!$E$5:$E$1005)-SUMPRODUCT((MOVIMIENTOS!$B$5:$B$1005="TRASIEGO")*(MOVIMIENTOS!$C$5:$C$1005="M")*(MOVIMIENTOS!$D$5:$D$1005="jabas")*(MOVIMIENTOS!$A$5:$A$1005&lt;&gt;"")*(MOVIMIENTOS!$A$5:$A$1005&lt;=$A509)*MOVIMIENTOS!$E$5:$E$1005)-SUMPRODUCT((MOVIMIENTOS!$B$5:$B$1005="REGALO")*(MOVIMIENTOS!$C$5:$C$1005="M")*(MOVIMIENTOS!$D$5:$D$1005="jabas")*(MOVIMIENTOS!$A$5:$A$1005&lt;&gt;"")*(MOVIMIENTOS!$A$5:$A$1005&lt;=$A509)*MOVIMIENTOS!$E$5:$E$1005)-SUMPRODUCT((MOVIMIENTOS!$B$5:$B$1005="VENTA")*(MOVIMIENTOS!$C$5:$C$1005="M")*(MOVIMIENTOS!$D$5:$D$1005="jabas")*(MOVIMIENTOS!$A$5:$A$1005&lt;&gt;"")*(MOVIMIENTOS!$A$5:$A$1005&lt;=$A509)*MOVIMIENTOS!$E$5:$E$1005)+SUMPRODUCT((MOVIMIENTOS!$B$5:$B$1005="AJUSTE")*(MOVIMIENTOS!$C$5:$C$1005="M")*(MOVIMIENTOS!$D$5:$D$1005="jabas")*(MOVIMIENTOS!$A$5:$A$1005&lt;&gt;"")*(MOVIMIENTOS!$A$5:$A$1005&lt;=$A509)*MOVIMIENTOS!$E$5:$E$1005))</f>
        <v/>
      </c>
      <c r="F509" s="62" t="str">
        <f>IF($A509="","",SUMPRODUCT((MOVIMIENTOS!$B$5:$B$1005="SALDO INICIAL")*(MOVIMIENTOS!$C$5:$C$1005="Chancho")*(MOVIMIENTOS!$D$5:$D$1005="sacos")*(MOVIMIENTOS!$A$5:$A$1005&lt;&gt;"")*(MOVIMIENTOS!$A$5:$A$1005&lt;=$A509)*MOVIMIENTOS!$E$5:$E$1005)+SUMPRODUCT((MOVIMIENTOS!$B$5:$B$1005="PROCESO")*(MOVIMIENTOS!$C$5:$C$1005="Chancho")*(MOVIMIENTOS!$D$5:$D$1005="sacos")*(MOVIMIENTOS!$A$5:$A$1005&lt;&gt;"")*(MOVIMIENTOS!$A$5:$A$1005&lt;=$A509)*MOVIMIENTOS!$E$5:$E$1005)-SUMPRODUCT((MOVIMIENTOS!$B$5:$B$1005="VENTA CHANCHO")*(MOVIMIENTOS!$C$5:$C$1005="Chancho")*(MOVIMIENTOS!$D$5:$D$1005="sacos")*(MOVIMIENTOS!$A$5:$A$1005&lt;&gt;"")*(MOVIMIENTOS!$A$5:$A$1005&lt;=$A509)*MOVIMIENTOS!$E$5:$E$1005)-SUMPRODUCT((MOVIMIENTOS!$B$5:$B$1005="REGALO")*(MOVIMIENTOS!$C$5:$C$1005="Chancho")*(MOVIMIENTOS!$D$5:$D$1005="sacos")*(MOVIMIENTOS!$A$5:$A$1005&lt;&gt;"")*(MOVIMIENTOS!$A$5:$A$1005&lt;=$A509)*MOVIMIENTOS!$E$5:$E$1005)-SUMPRODUCT((MOVIMIENTOS!$B$5:$B$1005="VENTA")*(MOVIMIENTOS!$C$5:$C$1005="Chancho")*(MOVIMIENTOS!$D$5:$D$1005="sacos")*(MOVIMIENTOS!$A$5:$A$1005&lt;&gt;"")*(MOVIMIENTOS!$A$5:$A$1005&lt;=$A509)*MOVIMIENTOS!$E$5:$E$1005)+SUMPRODUCT((MOVIMIENTOS!$B$5:$B$1005="AJUSTE")*(MOVIMIENTOS!$C$5:$C$1005="Chancho")*(MOVIMIENTOS!$D$5:$D$1005="sacos")*(MOVIMIENTOS!$A$5:$A$1005&lt;&gt;"")*(MOVIMIENTOS!$A$5:$A$1005&lt;=$A509)*MOVIMIENTOS!$E$5:$E$1005))</f>
        <v/>
      </c>
      <c r="G509" s="62" t="str">
        <f t="shared" si="15"/>
        <v/>
      </c>
      <c r="H509" t="str">
        <f>IF($A509="","",SUMPRODUCT((((MOVIMIENTOS!$B$5:$B$1005="SALDO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509)*MOVIMIENTOS!$J$5:$J$1005))</f>
        <v/>
      </c>
      <c r="J509" t="str">
        <f>IF(AND(MOVIMIENTOS!$A514&lt;&gt;"",COUNTIF(MOVIMIENTOS!$A$5:$A513,MOVIMIENTOS!$A514)=0),COUNT(J$4:J508)+1,"")</f>
        <v/>
      </c>
      <c r="K509">
        <f>MOVIMIENTOS!$A514</f>
        <v>0</v>
      </c>
    </row>
    <row r="510" spans="1:11" ht="15" customHeight="1" x14ac:dyDescent="0.2">
      <c r="A510" t="str">
        <f t="shared" si="14"/>
        <v/>
      </c>
      <c r="B510" t="str">
        <f>IF($A510="","",SUMPRODUCT((MOVIMIENTOS!$B$5:$B$1005="SALDO INICIAL")*(MOVIMIENTOS!$C$5:$C$1005="A")*(MOVIMIENTOS!$D$5:$D$1005="jabas")*(MOVIMIENTOS!$A$5:$A$1005&lt;&gt;"")*(MOVIMIENTOS!$A$5:$A$1005&lt;=$A510)*MOVIMIENTOS!$E$5:$E$1005)+SUMPRODUCT((MOVIMIENTOS!$B$5:$B$1005="PROCESO")*(MOVIMIENTOS!$C$5:$C$1005="A")*(MOVIMIENTOS!$D$5:$D$1005="jabas")*(MOVIMIENTOS!$A$5:$A$1005&lt;&gt;"")*(MOVIMIENTOS!$A$5:$A$1005&lt;=$A510)*MOVIMIENTOS!$E$5:$E$1005)-SUMPRODUCT((MOVIMIENTOS!$B$5:$B$1005="ENVÍO A SUPESA")*(MOVIMIENTOS!$C$5:$C$1005="A")*(MOVIMIENTOS!$D$5:$D$1005="jabas")*(MOVIMIENTOS!$A$5:$A$1005&lt;&gt;"")*(MOVIMIENTOS!$A$5:$A$1005&lt;=$A510)*MOVIMIENTOS!$E$5:$E$1005)+SUMPRODUCT((MOVIMIENTOS!$B$5:$B$1005="DEVOLUCIÓN")*(MOVIMIENTOS!$C$5:$C$1005="A")*(MOVIMIENTOS!$D$5:$D$1005="jabas")*(MOVIMIENTOS!$A$5:$A$1005&lt;&gt;"")*(MOVIMIENTOS!$A$5:$A$1005&lt;=$A510)*MOVIMIENTOS!$E$5:$E$1005)-SUMPRODUCT((MOVIMIENTOS!$B$5:$B$1005="TRASIEGO")*(MOVIMIENTOS!$C$5:$C$1005="A")*(MOVIMIENTOS!$D$5:$D$1005="jabas")*(MOVIMIENTOS!$A$5:$A$1005&lt;&gt;"")*(MOVIMIENTOS!$A$5:$A$1005&lt;=$A510)*MOVIMIENTOS!$E$5:$E$1005)-SUMPRODUCT((MOVIMIENTOS!$B$5:$B$1005="REGALO")*(MOVIMIENTOS!$C$5:$C$1005="A")*(MOVIMIENTOS!$D$5:$D$1005="jabas")*(MOVIMIENTOS!$A$5:$A$1005&lt;&gt;"")*(MOVIMIENTOS!$A$5:$A$1005&lt;=$A510)*MOVIMIENTOS!$E$5:$E$1005)-SUMPRODUCT((MOVIMIENTOS!$B$5:$B$1005="VENTA")*(MOVIMIENTOS!$C$5:$C$1005="A")*(MOVIMIENTOS!$D$5:$D$1005="jabas")*(MOVIMIENTOS!$A$5:$A$1005&lt;&gt;"")*(MOVIMIENTOS!$A$5:$A$1005&lt;=$A510)*MOVIMIENTOS!$E$5:$E$1005)+SUMPRODUCT((MOVIMIENTOS!$B$5:$B$1005="AJUSTE")*(MOVIMIENTOS!$C$5:$C$1005="A")*(MOVIMIENTOS!$D$5:$D$1005="jabas")*(MOVIMIENTOS!$A$5:$A$1005&lt;&gt;"")*(MOVIMIENTOS!$A$5:$A$1005&lt;=$A510)*MOVIMIENTOS!$E$5:$E$1005))</f>
        <v/>
      </c>
      <c r="C510" t="str">
        <f>IF($A510="","",SUMPRODUCT((MOVIMIENTOS!$B$5:$B$1005="SALDO INICIAL")*(MOVIMIENTOS!$C$5:$C$1005="P")*(MOVIMIENTOS!$D$5:$D$1005="jabas")*(MOVIMIENTOS!$A$5:$A$1005&lt;&gt;"")*(MOVIMIENTOS!$A$5:$A$1005&lt;=$A510)*MOVIMIENTOS!$E$5:$E$1005)+SUMPRODUCT((MOVIMIENTOS!$B$5:$B$1005="PROCESO")*(MOVIMIENTOS!$C$5:$C$1005="P")*(MOVIMIENTOS!$D$5:$D$1005="jabas")*(MOVIMIENTOS!$A$5:$A$1005&lt;&gt;"")*(MOVIMIENTOS!$A$5:$A$1005&lt;=$A510)*MOVIMIENTOS!$E$5:$E$1005)-SUMPRODUCT((MOVIMIENTOS!$B$5:$B$1005="ENVÍO A SUPESA")*(MOVIMIENTOS!$C$5:$C$1005="P")*(MOVIMIENTOS!$D$5:$D$1005="jabas")*(MOVIMIENTOS!$A$5:$A$1005&lt;&gt;"")*(MOVIMIENTOS!$A$5:$A$1005&lt;=$A510)*MOVIMIENTOS!$E$5:$E$1005)+SUMPRODUCT((MOVIMIENTOS!$B$5:$B$1005="DEVOLUCIÓN")*(MOVIMIENTOS!$C$5:$C$1005="P")*(MOVIMIENTOS!$D$5:$D$1005="jabas")*(MOVIMIENTOS!$A$5:$A$1005&lt;&gt;"")*(MOVIMIENTOS!$A$5:$A$1005&lt;=$A510)*MOVIMIENTOS!$E$5:$E$1005)-SUMPRODUCT((MOVIMIENTOS!$B$5:$B$1005="TRASIEGO")*(MOVIMIENTOS!$C$5:$C$1005="P")*(MOVIMIENTOS!$D$5:$D$1005="jabas")*(MOVIMIENTOS!$A$5:$A$1005&lt;&gt;"")*(MOVIMIENTOS!$A$5:$A$1005&lt;=$A510)*MOVIMIENTOS!$E$5:$E$1005)-SUMPRODUCT((MOVIMIENTOS!$B$5:$B$1005="REGALO")*(MOVIMIENTOS!$C$5:$C$1005="P")*(MOVIMIENTOS!$D$5:$D$1005="jabas")*(MOVIMIENTOS!$A$5:$A$1005&lt;&gt;"")*(MOVIMIENTOS!$A$5:$A$1005&lt;=$A510)*MOVIMIENTOS!$E$5:$E$1005)-SUMPRODUCT((MOVIMIENTOS!$B$5:$B$1005="VENTA")*(MOVIMIENTOS!$C$5:$C$1005="P")*(MOVIMIENTOS!$D$5:$D$1005="jabas")*(MOVIMIENTOS!$A$5:$A$1005&lt;&gt;"")*(MOVIMIENTOS!$A$5:$A$1005&lt;=$A510)*MOVIMIENTOS!$E$5:$E$1005)+SUMPRODUCT((MOVIMIENTOS!$B$5:$B$1005="AJUSTE")*(MOVIMIENTOS!$C$5:$C$1005="P")*(MOVIMIENTOS!$D$5:$D$1005="jabas")*(MOVIMIENTOS!$A$5:$A$1005&lt;&gt;"")*(MOVIMIENTOS!$A$5:$A$1005&lt;=$A510)*MOVIMIENTOS!$E$5:$E$1005))</f>
        <v/>
      </c>
      <c r="D510" t="str">
        <f>IF($A510="","",SUMPRODUCT((MOVIMIENTOS!$B$5:$B$1005="SALDO INICIAL")*(MOVIMIENTOS!$C$5:$C$1005="C")*(MOVIMIENTOS!$D$5:$D$1005="jabas")*(MOVIMIENTOS!$A$5:$A$1005&lt;&gt;"")*(MOVIMIENTOS!$A$5:$A$1005&lt;=$A510)*MOVIMIENTOS!$E$5:$E$1005)+SUMPRODUCT((MOVIMIENTOS!$B$5:$B$1005="PROCESO")*(MOVIMIENTOS!$C$5:$C$1005="C")*(MOVIMIENTOS!$D$5:$D$1005="jabas")*(MOVIMIENTOS!$A$5:$A$1005&lt;&gt;"")*(MOVIMIENTOS!$A$5:$A$1005&lt;=$A510)*MOVIMIENTOS!$E$5:$E$1005)-SUMPRODUCT((MOVIMIENTOS!$B$5:$B$1005="ENVÍO A SUPESA")*(MOVIMIENTOS!$C$5:$C$1005="C")*(MOVIMIENTOS!$D$5:$D$1005="jabas")*(MOVIMIENTOS!$A$5:$A$1005&lt;&gt;"")*(MOVIMIENTOS!$A$5:$A$1005&lt;=$A510)*MOVIMIENTOS!$E$5:$E$1005)+SUMPRODUCT((MOVIMIENTOS!$B$5:$B$1005="DEVOLUCIÓN")*(MOVIMIENTOS!$C$5:$C$1005="C")*(MOVIMIENTOS!$D$5:$D$1005="jabas")*(MOVIMIENTOS!$A$5:$A$1005&lt;&gt;"")*(MOVIMIENTOS!$A$5:$A$1005&lt;=$A510)*MOVIMIENTOS!$E$5:$E$1005)-SUMPRODUCT((MOVIMIENTOS!$B$5:$B$1005="TRASIEGO")*(MOVIMIENTOS!$C$5:$C$1005="C")*(MOVIMIENTOS!$D$5:$D$1005="jabas")*(MOVIMIENTOS!$A$5:$A$1005&lt;&gt;"")*(MOVIMIENTOS!$A$5:$A$1005&lt;=$A510)*MOVIMIENTOS!$E$5:$E$1005)-SUMPRODUCT((MOVIMIENTOS!$B$5:$B$1005="REGALO")*(MOVIMIENTOS!$C$5:$C$1005="C")*(MOVIMIENTOS!$D$5:$D$1005="jabas")*(MOVIMIENTOS!$A$5:$A$1005&lt;&gt;"")*(MOVIMIENTOS!$A$5:$A$1005&lt;=$A510)*MOVIMIENTOS!$E$5:$E$1005)-SUMPRODUCT((MOVIMIENTOS!$B$5:$B$1005="VENTA")*(MOVIMIENTOS!$C$5:$C$1005="C")*(MOVIMIENTOS!$D$5:$D$1005="jabas")*(MOVIMIENTOS!$A$5:$A$1005&lt;&gt;"")*(MOVIMIENTOS!$A$5:$A$1005&lt;=$A510)*MOVIMIENTOS!$E$5:$E$1005)+SUMPRODUCT((MOVIMIENTOS!$B$5:$B$1005="AJUSTE")*(MOVIMIENTOS!$C$5:$C$1005="C")*(MOVIMIENTOS!$D$5:$D$1005="jabas")*(MOVIMIENTOS!$A$5:$A$1005&lt;&gt;"")*(MOVIMIENTOS!$A$5:$A$1005&lt;=$A510)*MOVIMIENTOS!$E$5:$E$1005))</f>
        <v/>
      </c>
      <c r="E510" t="str">
        <f>IF($A510="","",SUMPRODUCT((MOVIMIENTOS!$B$5:$B$1005="SALDO INICIAL")*(MOVIMIENTOS!$C$5:$C$1005="M")*(MOVIMIENTOS!$D$5:$D$1005="jabas")*(MOVIMIENTOS!$A$5:$A$1005&lt;&gt;"")*(MOVIMIENTOS!$A$5:$A$1005&lt;=$A510)*MOVIMIENTOS!$E$5:$E$1005)+SUMPRODUCT((MOVIMIENTOS!$B$5:$B$1005="PROCESO")*(MOVIMIENTOS!$C$5:$C$1005="M")*(MOVIMIENTOS!$D$5:$D$1005="jabas")*(MOVIMIENTOS!$A$5:$A$1005&lt;&gt;"")*(MOVIMIENTOS!$A$5:$A$1005&lt;=$A510)*MOVIMIENTOS!$E$5:$E$1005)-SUMPRODUCT((MOVIMIENTOS!$B$5:$B$1005="ENVÍO A SUPESA")*(MOVIMIENTOS!$C$5:$C$1005="M")*(MOVIMIENTOS!$D$5:$D$1005="jabas")*(MOVIMIENTOS!$A$5:$A$1005&lt;&gt;"")*(MOVIMIENTOS!$A$5:$A$1005&lt;=$A510)*MOVIMIENTOS!$E$5:$E$1005)+SUMPRODUCT((MOVIMIENTOS!$B$5:$B$1005="DEVOLUCIÓN")*(MOVIMIENTOS!$C$5:$C$1005="M")*(MOVIMIENTOS!$D$5:$D$1005="jabas")*(MOVIMIENTOS!$A$5:$A$1005&lt;&gt;"")*(MOVIMIENTOS!$A$5:$A$1005&lt;=$A510)*MOVIMIENTOS!$E$5:$E$1005)-SUMPRODUCT((MOVIMIENTOS!$B$5:$B$1005="TRASIEGO")*(MOVIMIENTOS!$C$5:$C$1005="M")*(MOVIMIENTOS!$D$5:$D$1005="jabas")*(MOVIMIENTOS!$A$5:$A$1005&lt;&gt;"")*(MOVIMIENTOS!$A$5:$A$1005&lt;=$A510)*MOVIMIENTOS!$E$5:$E$1005)-SUMPRODUCT((MOVIMIENTOS!$B$5:$B$1005="REGALO")*(MOVIMIENTOS!$C$5:$C$1005="M")*(MOVIMIENTOS!$D$5:$D$1005="jabas")*(MOVIMIENTOS!$A$5:$A$1005&lt;&gt;"")*(MOVIMIENTOS!$A$5:$A$1005&lt;=$A510)*MOVIMIENTOS!$E$5:$E$1005)-SUMPRODUCT((MOVIMIENTOS!$B$5:$B$1005="VENTA")*(MOVIMIENTOS!$C$5:$C$1005="M")*(MOVIMIENTOS!$D$5:$D$1005="jabas")*(MOVIMIENTOS!$A$5:$A$1005&lt;&gt;"")*(MOVIMIENTOS!$A$5:$A$1005&lt;=$A510)*MOVIMIENTOS!$E$5:$E$1005)+SUMPRODUCT((MOVIMIENTOS!$B$5:$B$1005="AJUSTE")*(MOVIMIENTOS!$C$5:$C$1005="M")*(MOVIMIENTOS!$D$5:$D$1005="jabas")*(MOVIMIENTOS!$A$5:$A$1005&lt;&gt;"")*(MOVIMIENTOS!$A$5:$A$1005&lt;=$A510)*MOVIMIENTOS!$E$5:$E$1005))</f>
        <v/>
      </c>
      <c r="F510" s="62" t="str">
        <f>IF($A510="","",SUMPRODUCT((MOVIMIENTOS!$B$5:$B$1005="SALDO INICIAL")*(MOVIMIENTOS!$C$5:$C$1005="Chancho")*(MOVIMIENTOS!$D$5:$D$1005="sacos")*(MOVIMIENTOS!$A$5:$A$1005&lt;&gt;"")*(MOVIMIENTOS!$A$5:$A$1005&lt;=$A510)*MOVIMIENTOS!$E$5:$E$1005)+SUMPRODUCT((MOVIMIENTOS!$B$5:$B$1005="PROCESO")*(MOVIMIENTOS!$C$5:$C$1005="Chancho")*(MOVIMIENTOS!$D$5:$D$1005="sacos")*(MOVIMIENTOS!$A$5:$A$1005&lt;&gt;"")*(MOVIMIENTOS!$A$5:$A$1005&lt;=$A510)*MOVIMIENTOS!$E$5:$E$1005)-SUMPRODUCT((MOVIMIENTOS!$B$5:$B$1005="VENTA CHANCHO")*(MOVIMIENTOS!$C$5:$C$1005="Chancho")*(MOVIMIENTOS!$D$5:$D$1005="sacos")*(MOVIMIENTOS!$A$5:$A$1005&lt;&gt;"")*(MOVIMIENTOS!$A$5:$A$1005&lt;=$A510)*MOVIMIENTOS!$E$5:$E$1005)-SUMPRODUCT((MOVIMIENTOS!$B$5:$B$1005="REGALO")*(MOVIMIENTOS!$C$5:$C$1005="Chancho")*(MOVIMIENTOS!$D$5:$D$1005="sacos")*(MOVIMIENTOS!$A$5:$A$1005&lt;&gt;"")*(MOVIMIENTOS!$A$5:$A$1005&lt;=$A510)*MOVIMIENTOS!$E$5:$E$1005)-SUMPRODUCT((MOVIMIENTOS!$B$5:$B$1005="VENTA")*(MOVIMIENTOS!$C$5:$C$1005="Chancho")*(MOVIMIENTOS!$D$5:$D$1005="sacos")*(MOVIMIENTOS!$A$5:$A$1005&lt;&gt;"")*(MOVIMIENTOS!$A$5:$A$1005&lt;=$A510)*MOVIMIENTOS!$E$5:$E$1005)+SUMPRODUCT((MOVIMIENTOS!$B$5:$B$1005="AJUSTE")*(MOVIMIENTOS!$C$5:$C$1005="Chancho")*(MOVIMIENTOS!$D$5:$D$1005="sacos")*(MOVIMIENTOS!$A$5:$A$1005&lt;&gt;"")*(MOVIMIENTOS!$A$5:$A$1005&lt;=$A510)*MOVIMIENTOS!$E$5:$E$1005))</f>
        <v/>
      </c>
      <c r="G510" s="62" t="str">
        <f t="shared" si="15"/>
        <v/>
      </c>
      <c r="H510" t="str">
        <f>IF($A510="","",SUMPRODUCT((((MOVIMIENTOS!$B$5:$B$1005="SALDO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510)*MOVIMIENTOS!$J$5:$J$1005))</f>
        <v/>
      </c>
      <c r="J510" t="str">
        <f>IF(AND(MOVIMIENTOS!$A515&lt;&gt;"",COUNTIF(MOVIMIENTOS!$A$5:$A514,MOVIMIENTOS!$A515)=0),COUNT(J$4:J509)+1,"")</f>
        <v/>
      </c>
      <c r="K510">
        <f>MOVIMIENTOS!$A515</f>
        <v>0</v>
      </c>
    </row>
    <row r="511" spans="1:11" ht="15" customHeight="1" x14ac:dyDescent="0.2">
      <c r="A511" t="str">
        <f t="shared" si="14"/>
        <v/>
      </c>
      <c r="B511" t="str">
        <f>IF($A511="","",SUMPRODUCT((MOVIMIENTOS!$B$5:$B$1005="SALDO INICIAL")*(MOVIMIENTOS!$C$5:$C$1005="A")*(MOVIMIENTOS!$D$5:$D$1005="jabas")*(MOVIMIENTOS!$A$5:$A$1005&lt;&gt;"")*(MOVIMIENTOS!$A$5:$A$1005&lt;=$A511)*MOVIMIENTOS!$E$5:$E$1005)+SUMPRODUCT((MOVIMIENTOS!$B$5:$B$1005="PROCESO")*(MOVIMIENTOS!$C$5:$C$1005="A")*(MOVIMIENTOS!$D$5:$D$1005="jabas")*(MOVIMIENTOS!$A$5:$A$1005&lt;&gt;"")*(MOVIMIENTOS!$A$5:$A$1005&lt;=$A511)*MOVIMIENTOS!$E$5:$E$1005)-SUMPRODUCT((MOVIMIENTOS!$B$5:$B$1005="ENVÍO A SUPESA")*(MOVIMIENTOS!$C$5:$C$1005="A")*(MOVIMIENTOS!$D$5:$D$1005="jabas")*(MOVIMIENTOS!$A$5:$A$1005&lt;&gt;"")*(MOVIMIENTOS!$A$5:$A$1005&lt;=$A511)*MOVIMIENTOS!$E$5:$E$1005)+SUMPRODUCT((MOVIMIENTOS!$B$5:$B$1005="DEVOLUCIÓN")*(MOVIMIENTOS!$C$5:$C$1005="A")*(MOVIMIENTOS!$D$5:$D$1005="jabas")*(MOVIMIENTOS!$A$5:$A$1005&lt;&gt;"")*(MOVIMIENTOS!$A$5:$A$1005&lt;=$A511)*MOVIMIENTOS!$E$5:$E$1005)-SUMPRODUCT((MOVIMIENTOS!$B$5:$B$1005="TRASIEGO")*(MOVIMIENTOS!$C$5:$C$1005="A")*(MOVIMIENTOS!$D$5:$D$1005="jabas")*(MOVIMIENTOS!$A$5:$A$1005&lt;&gt;"")*(MOVIMIENTOS!$A$5:$A$1005&lt;=$A511)*MOVIMIENTOS!$E$5:$E$1005)-SUMPRODUCT((MOVIMIENTOS!$B$5:$B$1005="REGALO")*(MOVIMIENTOS!$C$5:$C$1005="A")*(MOVIMIENTOS!$D$5:$D$1005="jabas")*(MOVIMIENTOS!$A$5:$A$1005&lt;&gt;"")*(MOVIMIENTOS!$A$5:$A$1005&lt;=$A511)*MOVIMIENTOS!$E$5:$E$1005)-SUMPRODUCT((MOVIMIENTOS!$B$5:$B$1005="VENTA")*(MOVIMIENTOS!$C$5:$C$1005="A")*(MOVIMIENTOS!$D$5:$D$1005="jabas")*(MOVIMIENTOS!$A$5:$A$1005&lt;&gt;"")*(MOVIMIENTOS!$A$5:$A$1005&lt;=$A511)*MOVIMIENTOS!$E$5:$E$1005)+SUMPRODUCT((MOVIMIENTOS!$B$5:$B$1005="AJUSTE")*(MOVIMIENTOS!$C$5:$C$1005="A")*(MOVIMIENTOS!$D$5:$D$1005="jabas")*(MOVIMIENTOS!$A$5:$A$1005&lt;&gt;"")*(MOVIMIENTOS!$A$5:$A$1005&lt;=$A511)*MOVIMIENTOS!$E$5:$E$1005))</f>
        <v/>
      </c>
      <c r="C511" t="str">
        <f>IF($A511="","",SUMPRODUCT((MOVIMIENTOS!$B$5:$B$1005="SALDO INICIAL")*(MOVIMIENTOS!$C$5:$C$1005="P")*(MOVIMIENTOS!$D$5:$D$1005="jabas")*(MOVIMIENTOS!$A$5:$A$1005&lt;&gt;"")*(MOVIMIENTOS!$A$5:$A$1005&lt;=$A511)*MOVIMIENTOS!$E$5:$E$1005)+SUMPRODUCT((MOVIMIENTOS!$B$5:$B$1005="PROCESO")*(MOVIMIENTOS!$C$5:$C$1005="P")*(MOVIMIENTOS!$D$5:$D$1005="jabas")*(MOVIMIENTOS!$A$5:$A$1005&lt;&gt;"")*(MOVIMIENTOS!$A$5:$A$1005&lt;=$A511)*MOVIMIENTOS!$E$5:$E$1005)-SUMPRODUCT((MOVIMIENTOS!$B$5:$B$1005="ENVÍO A SUPESA")*(MOVIMIENTOS!$C$5:$C$1005="P")*(MOVIMIENTOS!$D$5:$D$1005="jabas")*(MOVIMIENTOS!$A$5:$A$1005&lt;&gt;"")*(MOVIMIENTOS!$A$5:$A$1005&lt;=$A511)*MOVIMIENTOS!$E$5:$E$1005)+SUMPRODUCT((MOVIMIENTOS!$B$5:$B$1005="DEVOLUCIÓN")*(MOVIMIENTOS!$C$5:$C$1005="P")*(MOVIMIENTOS!$D$5:$D$1005="jabas")*(MOVIMIENTOS!$A$5:$A$1005&lt;&gt;"")*(MOVIMIENTOS!$A$5:$A$1005&lt;=$A511)*MOVIMIENTOS!$E$5:$E$1005)-SUMPRODUCT((MOVIMIENTOS!$B$5:$B$1005="TRASIEGO")*(MOVIMIENTOS!$C$5:$C$1005="P")*(MOVIMIENTOS!$D$5:$D$1005="jabas")*(MOVIMIENTOS!$A$5:$A$1005&lt;&gt;"")*(MOVIMIENTOS!$A$5:$A$1005&lt;=$A511)*MOVIMIENTOS!$E$5:$E$1005)-SUMPRODUCT((MOVIMIENTOS!$B$5:$B$1005="REGALO")*(MOVIMIENTOS!$C$5:$C$1005="P")*(MOVIMIENTOS!$D$5:$D$1005="jabas")*(MOVIMIENTOS!$A$5:$A$1005&lt;&gt;"")*(MOVIMIENTOS!$A$5:$A$1005&lt;=$A511)*MOVIMIENTOS!$E$5:$E$1005)-SUMPRODUCT((MOVIMIENTOS!$B$5:$B$1005="VENTA")*(MOVIMIENTOS!$C$5:$C$1005="P")*(MOVIMIENTOS!$D$5:$D$1005="jabas")*(MOVIMIENTOS!$A$5:$A$1005&lt;&gt;"")*(MOVIMIENTOS!$A$5:$A$1005&lt;=$A511)*MOVIMIENTOS!$E$5:$E$1005)+SUMPRODUCT((MOVIMIENTOS!$B$5:$B$1005="AJUSTE")*(MOVIMIENTOS!$C$5:$C$1005="P")*(MOVIMIENTOS!$D$5:$D$1005="jabas")*(MOVIMIENTOS!$A$5:$A$1005&lt;&gt;"")*(MOVIMIENTOS!$A$5:$A$1005&lt;=$A511)*MOVIMIENTOS!$E$5:$E$1005))</f>
        <v/>
      </c>
      <c r="D511" t="str">
        <f>IF($A511="","",SUMPRODUCT((MOVIMIENTOS!$B$5:$B$1005="SALDO INICIAL")*(MOVIMIENTOS!$C$5:$C$1005="C")*(MOVIMIENTOS!$D$5:$D$1005="jabas")*(MOVIMIENTOS!$A$5:$A$1005&lt;&gt;"")*(MOVIMIENTOS!$A$5:$A$1005&lt;=$A511)*MOVIMIENTOS!$E$5:$E$1005)+SUMPRODUCT((MOVIMIENTOS!$B$5:$B$1005="PROCESO")*(MOVIMIENTOS!$C$5:$C$1005="C")*(MOVIMIENTOS!$D$5:$D$1005="jabas")*(MOVIMIENTOS!$A$5:$A$1005&lt;&gt;"")*(MOVIMIENTOS!$A$5:$A$1005&lt;=$A511)*MOVIMIENTOS!$E$5:$E$1005)-SUMPRODUCT((MOVIMIENTOS!$B$5:$B$1005="ENVÍO A SUPESA")*(MOVIMIENTOS!$C$5:$C$1005="C")*(MOVIMIENTOS!$D$5:$D$1005="jabas")*(MOVIMIENTOS!$A$5:$A$1005&lt;&gt;"")*(MOVIMIENTOS!$A$5:$A$1005&lt;=$A511)*MOVIMIENTOS!$E$5:$E$1005)+SUMPRODUCT((MOVIMIENTOS!$B$5:$B$1005="DEVOLUCIÓN")*(MOVIMIENTOS!$C$5:$C$1005="C")*(MOVIMIENTOS!$D$5:$D$1005="jabas")*(MOVIMIENTOS!$A$5:$A$1005&lt;&gt;"")*(MOVIMIENTOS!$A$5:$A$1005&lt;=$A511)*MOVIMIENTOS!$E$5:$E$1005)-SUMPRODUCT((MOVIMIENTOS!$B$5:$B$1005="TRASIEGO")*(MOVIMIENTOS!$C$5:$C$1005="C")*(MOVIMIENTOS!$D$5:$D$1005="jabas")*(MOVIMIENTOS!$A$5:$A$1005&lt;&gt;"")*(MOVIMIENTOS!$A$5:$A$1005&lt;=$A511)*MOVIMIENTOS!$E$5:$E$1005)-SUMPRODUCT((MOVIMIENTOS!$B$5:$B$1005="REGALO")*(MOVIMIENTOS!$C$5:$C$1005="C")*(MOVIMIENTOS!$D$5:$D$1005="jabas")*(MOVIMIENTOS!$A$5:$A$1005&lt;&gt;"")*(MOVIMIENTOS!$A$5:$A$1005&lt;=$A511)*MOVIMIENTOS!$E$5:$E$1005)-SUMPRODUCT((MOVIMIENTOS!$B$5:$B$1005="VENTA")*(MOVIMIENTOS!$C$5:$C$1005="C")*(MOVIMIENTOS!$D$5:$D$1005="jabas")*(MOVIMIENTOS!$A$5:$A$1005&lt;&gt;"")*(MOVIMIENTOS!$A$5:$A$1005&lt;=$A511)*MOVIMIENTOS!$E$5:$E$1005)+SUMPRODUCT((MOVIMIENTOS!$B$5:$B$1005="AJUSTE")*(MOVIMIENTOS!$C$5:$C$1005="C")*(MOVIMIENTOS!$D$5:$D$1005="jabas")*(MOVIMIENTOS!$A$5:$A$1005&lt;&gt;"")*(MOVIMIENTOS!$A$5:$A$1005&lt;=$A511)*MOVIMIENTOS!$E$5:$E$1005))</f>
        <v/>
      </c>
      <c r="E511" t="str">
        <f>IF($A511="","",SUMPRODUCT((MOVIMIENTOS!$B$5:$B$1005="SALDO INICIAL")*(MOVIMIENTOS!$C$5:$C$1005="M")*(MOVIMIENTOS!$D$5:$D$1005="jabas")*(MOVIMIENTOS!$A$5:$A$1005&lt;&gt;"")*(MOVIMIENTOS!$A$5:$A$1005&lt;=$A511)*MOVIMIENTOS!$E$5:$E$1005)+SUMPRODUCT((MOVIMIENTOS!$B$5:$B$1005="PROCESO")*(MOVIMIENTOS!$C$5:$C$1005="M")*(MOVIMIENTOS!$D$5:$D$1005="jabas")*(MOVIMIENTOS!$A$5:$A$1005&lt;&gt;"")*(MOVIMIENTOS!$A$5:$A$1005&lt;=$A511)*MOVIMIENTOS!$E$5:$E$1005)-SUMPRODUCT((MOVIMIENTOS!$B$5:$B$1005="ENVÍO A SUPESA")*(MOVIMIENTOS!$C$5:$C$1005="M")*(MOVIMIENTOS!$D$5:$D$1005="jabas")*(MOVIMIENTOS!$A$5:$A$1005&lt;&gt;"")*(MOVIMIENTOS!$A$5:$A$1005&lt;=$A511)*MOVIMIENTOS!$E$5:$E$1005)+SUMPRODUCT((MOVIMIENTOS!$B$5:$B$1005="DEVOLUCIÓN")*(MOVIMIENTOS!$C$5:$C$1005="M")*(MOVIMIENTOS!$D$5:$D$1005="jabas")*(MOVIMIENTOS!$A$5:$A$1005&lt;&gt;"")*(MOVIMIENTOS!$A$5:$A$1005&lt;=$A511)*MOVIMIENTOS!$E$5:$E$1005)-SUMPRODUCT((MOVIMIENTOS!$B$5:$B$1005="TRASIEGO")*(MOVIMIENTOS!$C$5:$C$1005="M")*(MOVIMIENTOS!$D$5:$D$1005="jabas")*(MOVIMIENTOS!$A$5:$A$1005&lt;&gt;"")*(MOVIMIENTOS!$A$5:$A$1005&lt;=$A511)*MOVIMIENTOS!$E$5:$E$1005)-SUMPRODUCT((MOVIMIENTOS!$B$5:$B$1005="REGALO")*(MOVIMIENTOS!$C$5:$C$1005="M")*(MOVIMIENTOS!$D$5:$D$1005="jabas")*(MOVIMIENTOS!$A$5:$A$1005&lt;&gt;"")*(MOVIMIENTOS!$A$5:$A$1005&lt;=$A511)*MOVIMIENTOS!$E$5:$E$1005)-SUMPRODUCT((MOVIMIENTOS!$B$5:$B$1005="VENTA")*(MOVIMIENTOS!$C$5:$C$1005="M")*(MOVIMIENTOS!$D$5:$D$1005="jabas")*(MOVIMIENTOS!$A$5:$A$1005&lt;&gt;"")*(MOVIMIENTOS!$A$5:$A$1005&lt;=$A511)*MOVIMIENTOS!$E$5:$E$1005)+SUMPRODUCT((MOVIMIENTOS!$B$5:$B$1005="AJUSTE")*(MOVIMIENTOS!$C$5:$C$1005="M")*(MOVIMIENTOS!$D$5:$D$1005="jabas")*(MOVIMIENTOS!$A$5:$A$1005&lt;&gt;"")*(MOVIMIENTOS!$A$5:$A$1005&lt;=$A511)*MOVIMIENTOS!$E$5:$E$1005))</f>
        <v/>
      </c>
      <c r="F511" s="62" t="str">
        <f>IF($A511="","",SUMPRODUCT((MOVIMIENTOS!$B$5:$B$1005="SALDO INICIAL")*(MOVIMIENTOS!$C$5:$C$1005="Chancho")*(MOVIMIENTOS!$D$5:$D$1005="sacos")*(MOVIMIENTOS!$A$5:$A$1005&lt;&gt;"")*(MOVIMIENTOS!$A$5:$A$1005&lt;=$A511)*MOVIMIENTOS!$E$5:$E$1005)+SUMPRODUCT((MOVIMIENTOS!$B$5:$B$1005="PROCESO")*(MOVIMIENTOS!$C$5:$C$1005="Chancho")*(MOVIMIENTOS!$D$5:$D$1005="sacos")*(MOVIMIENTOS!$A$5:$A$1005&lt;&gt;"")*(MOVIMIENTOS!$A$5:$A$1005&lt;=$A511)*MOVIMIENTOS!$E$5:$E$1005)-SUMPRODUCT((MOVIMIENTOS!$B$5:$B$1005="VENTA CHANCHO")*(MOVIMIENTOS!$C$5:$C$1005="Chancho")*(MOVIMIENTOS!$D$5:$D$1005="sacos")*(MOVIMIENTOS!$A$5:$A$1005&lt;&gt;"")*(MOVIMIENTOS!$A$5:$A$1005&lt;=$A511)*MOVIMIENTOS!$E$5:$E$1005)-SUMPRODUCT((MOVIMIENTOS!$B$5:$B$1005="REGALO")*(MOVIMIENTOS!$C$5:$C$1005="Chancho")*(MOVIMIENTOS!$D$5:$D$1005="sacos")*(MOVIMIENTOS!$A$5:$A$1005&lt;&gt;"")*(MOVIMIENTOS!$A$5:$A$1005&lt;=$A511)*MOVIMIENTOS!$E$5:$E$1005)-SUMPRODUCT((MOVIMIENTOS!$B$5:$B$1005="VENTA")*(MOVIMIENTOS!$C$5:$C$1005="Chancho")*(MOVIMIENTOS!$D$5:$D$1005="sacos")*(MOVIMIENTOS!$A$5:$A$1005&lt;&gt;"")*(MOVIMIENTOS!$A$5:$A$1005&lt;=$A511)*MOVIMIENTOS!$E$5:$E$1005)+SUMPRODUCT((MOVIMIENTOS!$B$5:$B$1005="AJUSTE")*(MOVIMIENTOS!$C$5:$C$1005="Chancho")*(MOVIMIENTOS!$D$5:$D$1005="sacos")*(MOVIMIENTOS!$A$5:$A$1005&lt;&gt;"")*(MOVIMIENTOS!$A$5:$A$1005&lt;=$A511)*MOVIMIENTOS!$E$5:$E$1005))</f>
        <v/>
      </c>
      <c r="G511" s="62" t="str">
        <f t="shared" si="15"/>
        <v/>
      </c>
      <c r="H511" t="str">
        <f>IF($A511="","",SUMPRODUCT((((MOVIMIENTOS!$B$5:$B$1005="SALDO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511)*MOVIMIENTOS!$J$5:$J$1005))</f>
        <v/>
      </c>
      <c r="J511" t="str">
        <f>IF(AND(MOVIMIENTOS!$A516&lt;&gt;"",COUNTIF(MOVIMIENTOS!$A$5:$A515,MOVIMIENTOS!$A516)=0),COUNT(J$4:J510)+1,"")</f>
        <v/>
      </c>
      <c r="K511">
        <f>MOVIMIENTOS!$A516</f>
        <v>0</v>
      </c>
    </row>
    <row r="512" spans="1:11" ht="15" customHeight="1" x14ac:dyDescent="0.2">
      <c r="A512" t="str">
        <f t="shared" si="14"/>
        <v/>
      </c>
      <c r="B512" t="str">
        <f>IF($A512="","",SUMPRODUCT((MOVIMIENTOS!$B$5:$B$1005="SALDO INICIAL")*(MOVIMIENTOS!$C$5:$C$1005="A")*(MOVIMIENTOS!$D$5:$D$1005="jabas")*(MOVIMIENTOS!$A$5:$A$1005&lt;&gt;"")*(MOVIMIENTOS!$A$5:$A$1005&lt;=$A512)*MOVIMIENTOS!$E$5:$E$1005)+SUMPRODUCT((MOVIMIENTOS!$B$5:$B$1005="PROCESO")*(MOVIMIENTOS!$C$5:$C$1005="A")*(MOVIMIENTOS!$D$5:$D$1005="jabas")*(MOVIMIENTOS!$A$5:$A$1005&lt;&gt;"")*(MOVIMIENTOS!$A$5:$A$1005&lt;=$A512)*MOVIMIENTOS!$E$5:$E$1005)-SUMPRODUCT((MOVIMIENTOS!$B$5:$B$1005="ENVÍO A SUPESA")*(MOVIMIENTOS!$C$5:$C$1005="A")*(MOVIMIENTOS!$D$5:$D$1005="jabas")*(MOVIMIENTOS!$A$5:$A$1005&lt;&gt;"")*(MOVIMIENTOS!$A$5:$A$1005&lt;=$A512)*MOVIMIENTOS!$E$5:$E$1005)+SUMPRODUCT((MOVIMIENTOS!$B$5:$B$1005="DEVOLUCIÓN")*(MOVIMIENTOS!$C$5:$C$1005="A")*(MOVIMIENTOS!$D$5:$D$1005="jabas")*(MOVIMIENTOS!$A$5:$A$1005&lt;&gt;"")*(MOVIMIENTOS!$A$5:$A$1005&lt;=$A512)*MOVIMIENTOS!$E$5:$E$1005)-SUMPRODUCT((MOVIMIENTOS!$B$5:$B$1005="TRASIEGO")*(MOVIMIENTOS!$C$5:$C$1005="A")*(MOVIMIENTOS!$D$5:$D$1005="jabas")*(MOVIMIENTOS!$A$5:$A$1005&lt;&gt;"")*(MOVIMIENTOS!$A$5:$A$1005&lt;=$A512)*MOVIMIENTOS!$E$5:$E$1005)-SUMPRODUCT((MOVIMIENTOS!$B$5:$B$1005="REGALO")*(MOVIMIENTOS!$C$5:$C$1005="A")*(MOVIMIENTOS!$D$5:$D$1005="jabas")*(MOVIMIENTOS!$A$5:$A$1005&lt;&gt;"")*(MOVIMIENTOS!$A$5:$A$1005&lt;=$A512)*MOVIMIENTOS!$E$5:$E$1005)-SUMPRODUCT((MOVIMIENTOS!$B$5:$B$1005="VENTA")*(MOVIMIENTOS!$C$5:$C$1005="A")*(MOVIMIENTOS!$D$5:$D$1005="jabas")*(MOVIMIENTOS!$A$5:$A$1005&lt;&gt;"")*(MOVIMIENTOS!$A$5:$A$1005&lt;=$A512)*MOVIMIENTOS!$E$5:$E$1005)+SUMPRODUCT((MOVIMIENTOS!$B$5:$B$1005="AJUSTE")*(MOVIMIENTOS!$C$5:$C$1005="A")*(MOVIMIENTOS!$D$5:$D$1005="jabas")*(MOVIMIENTOS!$A$5:$A$1005&lt;&gt;"")*(MOVIMIENTOS!$A$5:$A$1005&lt;=$A512)*MOVIMIENTOS!$E$5:$E$1005))</f>
        <v/>
      </c>
      <c r="C512" t="str">
        <f>IF($A512="","",SUMPRODUCT((MOVIMIENTOS!$B$5:$B$1005="SALDO INICIAL")*(MOVIMIENTOS!$C$5:$C$1005="P")*(MOVIMIENTOS!$D$5:$D$1005="jabas")*(MOVIMIENTOS!$A$5:$A$1005&lt;&gt;"")*(MOVIMIENTOS!$A$5:$A$1005&lt;=$A512)*MOVIMIENTOS!$E$5:$E$1005)+SUMPRODUCT((MOVIMIENTOS!$B$5:$B$1005="PROCESO")*(MOVIMIENTOS!$C$5:$C$1005="P")*(MOVIMIENTOS!$D$5:$D$1005="jabas")*(MOVIMIENTOS!$A$5:$A$1005&lt;&gt;"")*(MOVIMIENTOS!$A$5:$A$1005&lt;=$A512)*MOVIMIENTOS!$E$5:$E$1005)-SUMPRODUCT((MOVIMIENTOS!$B$5:$B$1005="ENVÍO A SUPESA")*(MOVIMIENTOS!$C$5:$C$1005="P")*(MOVIMIENTOS!$D$5:$D$1005="jabas")*(MOVIMIENTOS!$A$5:$A$1005&lt;&gt;"")*(MOVIMIENTOS!$A$5:$A$1005&lt;=$A512)*MOVIMIENTOS!$E$5:$E$1005)+SUMPRODUCT((MOVIMIENTOS!$B$5:$B$1005="DEVOLUCIÓN")*(MOVIMIENTOS!$C$5:$C$1005="P")*(MOVIMIENTOS!$D$5:$D$1005="jabas")*(MOVIMIENTOS!$A$5:$A$1005&lt;&gt;"")*(MOVIMIENTOS!$A$5:$A$1005&lt;=$A512)*MOVIMIENTOS!$E$5:$E$1005)-SUMPRODUCT((MOVIMIENTOS!$B$5:$B$1005="TRASIEGO")*(MOVIMIENTOS!$C$5:$C$1005="P")*(MOVIMIENTOS!$D$5:$D$1005="jabas")*(MOVIMIENTOS!$A$5:$A$1005&lt;&gt;"")*(MOVIMIENTOS!$A$5:$A$1005&lt;=$A512)*MOVIMIENTOS!$E$5:$E$1005)-SUMPRODUCT((MOVIMIENTOS!$B$5:$B$1005="REGALO")*(MOVIMIENTOS!$C$5:$C$1005="P")*(MOVIMIENTOS!$D$5:$D$1005="jabas")*(MOVIMIENTOS!$A$5:$A$1005&lt;&gt;"")*(MOVIMIENTOS!$A$5:$A$1005&lt;=$A512)*MOVIMIENTOS!$E$5:$E$1005)-SUMPRODUCT((MOVIMIENTOS!$B$5:$B$1005="VENTA")*(MOVIMIENTOS!$C$5:$C$1005="P")*(MOVIMIENTOS!$D$5:$D$1005="jabas")*(MOVIMIENTOS!$A$5:$A$1005&lt;&gt;"")*(MOVIMIENTOS!$A$5:$A$1005&lt;=$A512)*MOVIMIENTOS!$E$5:$E$1005)+SUMPRODUCT((MOVIMIENTOS!$B$5:$B$1005="AJUSTE")*(MOVIMIENTOS!$C$5:$C$1005="P")*(MOVIMIENTOS!$D$5:$D$1005="jabas")*(MOVIMIENTOS!$A$5:$A$1005&lt;&gt;"")*(MOVIMIENTOS!$A$5:$A$1005&lt;=$A512)*MOVIMIENTOS!$E$5:$E$1005))</f>
        <v/>
      </c>
      <c r="D512" t="str">
        <f>IF($A512="","",SUMPRODUCT((MOVIMIENTOS!$B$5:$B$1005="SALDO INICIAL")*(MOVIMIENTOS!$C$5:$C$1005="C")*(MOVIMIENTOS!$D$5:$D$1005="jabas")*(MOVIMIENTOS!$A$5:$A$1005&lt;&gt;"")*(MOVIMIENTOS!$A$5:$A$1005&lt;=$A512)*MOVIMIENTOS!$E$5:$E$1005)+SUMPRODUCT((MOVIMIENTOS!$B$5:$B$1005="PROCESO")*(MOVIMIENTOS!$C$5:$C$1005="C")*(MOVIMIENTOS!$D$5:$D$1005="jabas")*(MOVIMIENTOS!$A$5:$A$1005&lt;&gt;"")*(MOVIMIENTOS!$A$5:$A$1005&lt;=$A512)*MOVIMIENTOS!$E$5:$E$1005)-SUMPRODUCT((MOVIMIENTOS!$B$5:$B$1005="ENVÍO A SUPESA")*(MOVIMIENTOS!$C$5:$C$1005="C")*(MOVIMIENTOS!$D$5:$D$1005="jabas")*(MOVIMIENTOS!$A$5:$A$1005&lt;&gt;"")*(MOVIMIENTOS!$A$5:$A$1005&lt;=$A512)*MOVIMIENTOS!$E$5:$E$1005)+SUMPRODUCT((MOVIMIENTOS!$B$5:$B$1005="DEVOLUCIÓN")*(MOVIMIENTOS!$C$5:$C$1005="C")*(MOVIMIENTOS!$D$5:$D$1005="jabas")*(MOVIMIENTOS!$A$5:$A$1005&lt;&gt;"")*(MOVIMIENTOS!$A$5:$A$1005&lt;=$A512)*MOVIMIENTOS!$E$5:$E$1005)-SUMPRODUCT((MOVIMIENTOS!$B$5:$B$1005="TRASIEGO")*(MOVIMIENTOS!$C$5:$C$1005="C")*(MOVIMIENTOS!$D$5:$D$1005="jabas")*(MOVIMIENTOS!$A$5:$A$1005&lt;&gt;"")*(MOVIMIENTOS!$A$5:$A$1005&lt;=$A512)*MOVIMIENTOS!$E$5:$E$1005)-SUMPRODUCT((MOVIMIENTOS!$B$5:$B$1005="REGALO")*(MOVIMIENTOS!$C$5:$C$1005="C")*(MOVIMIENTOS!$D$5:$D$1005="jabas")*(MOVIMIENTOS!$A$5:$A$1005&lt;&gt;"")*(MOVIMIENTOS!$A$5:$A$1005&lt;=$A512)*MOVIMIENTOS!$E$5:$E$1005)-SUMPRODUCT((MOVIMIENTOS!$B$5:$B$1005="VENTA")*(MOVIMIENTOS!$C$5:$C$1005="C")*(MOVIMIENTOS!$D$5:$D$1005="jabas")*(MOVIMIENTOS!$A$5:$A$1005&lt;&gt;"")*(MOVIMIENTOS!$A$5:$A$1005&lt;=$A512)*MOVIMIENTOS!$E$5:$E$1005)+SUMPRODUCT((MOVIMIENTOS!$B$5:$B$1005="AJUSTE")*(MOVIMIENTOS!$C$5:$C$1005="C")*(MOVIMIENTOS!$D$5:$D$1005="jabas")*(MOVIMIENTOS!$A$5:$A$1005&lt;&gt;"")*(MOVIMIENTOS!$A$5:$A$1005&lt;=$A512)*MOVIMIENTOS!$E$5:$E$1005))</f>
        <v/>
      </c>
      <c r="E512" t="str">
        <f>IF($A512="","",SUMPRODUCT((MOVIMIENTOS!$B$5:$B$1005="SALDO INICIAL")*(MOVIMIENTOS!$C$5:$C$1005="M")*(MOVIMIENTOS!$D$5:$D$1005="jabas")*(MOVIMIENTOS!$A$5:$A$1005&lt;&gt;"")*(MOVIMIENTOS!$A$5:$A$1005&lt;=$A512)*MOVIMIENTOS!$E$5:$E$1005)+SUMPRODUCT((MOVIMIENTOS!$B$5:$B$1005="PROCESO")*(MOVIMIENTOS!$C$5:$C$1005="M")*(MOVIMIENTOS!$D$5:$D$1005="jabas")*(MOVIMIENTOS!$A$5:$A$1005&lt;&gt;"")*(MOVIMIENTOS!$A$5:$A$1005&lt;=$A512)*MOVIMIENTOS!$E$5:$E$1005)-SUMPRODUCT((MOVIMIENTOS!$B$5:$B$1005="ENVÍO A SUPESA")*(MOVIMIENTOS!$C$5:$C$1005="M")*(MOVIMIENTOS!$D$5:$D$1005="jabas")*(MOVIMIENTOS!$A$5:$A$1005&lt;&gt;"")*(MOVIMIENTOS!$A$5:$A$1005&lt;=$A512)*MOVIMIENTOS!$E$5:$E$1005)+SUMPRODUCT((MOVIMIENTOS!$B$5:$B$1005="DEVOLUCIÓN")*(MOVIMIENTOS!$C$5:$C$1005="M")*(MOVIMIENTOS!$D$5:$D$1005="jabas")*(MOVIMIENTOS!$A$5:$A$1005&lt;&gt;"")*(MOVIMIENTOS!$A$5:$A$1005&lt;=$A512)*MOVIMIENTOS!$E$5:$E$1005)-SUMPRODUCT((MOVIMIENTOS!$B$5:$B$1005="TRASIEGO")*(MOVIMIENTOS!$C$5:$C$1005="M")*(MOVIMIENTOS!$D$5:$D$1005="jabas")*(MOVIMIENTOS!$A$5:$A$1005&lt;&gt;"")*(MOVIMIENTOS!$A$5:$A$1005&lt;=$A512)*MOVIMIENTOS!$E$5:$E$1005)-SUMPRODUCT((MOVIMIENTOS!$B$5:$B$1005="REGALO")*(MOVIMIENTOS!$C$5:$C$1005="M")*(MOVIMIENTOS!$D$5:$D$1005="jabas")*(MOVIMIENTOS!$A$5:$A$1005&lt;&gt;"")*(MOVIMIENTOS!$A$5:$A$1005&lt;=$A512)*MOVIMIENTOS!$E$5:$E$1005)-SUMPRODUCT((MOVIMIENTOS!$B$5:$B$1005="VENTA")*(MOVIMIENTOS!$C$5:$C$1005="M")*(MOVIMIENTOS!$D$5:$D$1005="jabas")*(MOVIMIENTOS!$A$5:$A$1005&lt;&gt;"")*(MOVIMIENTOS!$A$5:$A$1005&lt;=$A512)*MOVIMIENTOS!$E$5:$E$1005)+SUMPRODUCT((MOVIMIENTOS!$B$5:$B$1005="AJUSTE")*(MOVIMIENTOS!$C$5:$C$1005="M")*(MOVIMIENTOS!$D$5:$D$1005="jabas")*(MOVIMIENTOS!$A$5:$A$1005&lt;&gt;"")*(MOVIMIENTOS!$A$5:$A$1005&lt;=$A512)*MOVIMIENTOS!$E$5:$E$1005))</f>
        <v/>
      </c>
      <c r="F512" s="62" t="str">
        <f>IF($A512="","",SUMPRODUCT((MOVIMIENTOS!$B$5:$B$1005="SALDO INICIAL")*(MOVIMIENTOS!$C$5:$C$1005="Chancho")*(MOVIMIENTOS!$D$5:$D$1005="sacos")*(MOVIMIENTOS!$A$5:$A$1005&lt;&gt;"")*(MOVIMIENTOS!$A$5:$A$1005&lt;=$A512)*MOVIMIENTOS!$E$5:$E$1005)+SUMPRODUCT((MOVIMIENTOS!$B$5:$B$1005="PROCESO")*(MOVIMIENTOS!$C$5:$C$1005="Chancho")*(MOVIMIENTOS!$D$5:$D$1005="sacos")*(MOVIMIENTOS!$A$5:$A$1005&lt;&gt;"")*(MOVIMIENTOS!$A$5:$A$1005&lt;=$A512)*MOVIMIENTOS!$E$5:$E$1005)-SUMPRODUCT((MOVIMIENTOS!$B$5:$B$1005="VENTA CHANCHO")*(MOVIMIENTOS!$C$5:$C$1005="Chancho")*(MOVIMIENTOS!$D$5:$D$1005="sacos")*(MOVIMIENTOS!$A$5:$A$1005&lt;&gt;"")*(MOVIMIENTOS!$A$5:$A$1005&lt;=$A512)*MOVIMIENTOS!$E$5:$E$1005)-SUMPRODUCT((MOVIMIENTOS!$B$5:$B$1005="REGALO")*(MOVIMIENTOS!$C$5:$C$1005="Chancho")*(MOVIMIENTOS!$D$5:$D$1005="sacos")*(MOVIMIENTOS!$A$5:$A$1005&lt;&gt;"")*(MOVIMIENTOS!$A$5:$A$1005&lt;=$A512)*MOVIMIENTOS!$E$5:$E$1005)-SUMPRODUCT((MOVIMIENTOS!$B$5:$B$1005="VENTA")*(MOVIMIENTOS!$C$5:$C$1005="Chancho")*(MOVIMIENTOS!$D$5:$D$1005="sacos")*(MOVIMIENTOS!$A$5:$A$1005&lt;&gt;"")*(MOVIMIENTOS!$A$5:$A$1005&lt;=$A512)*MOVIMIENTOS!$E$5:$E$1005)+SUMPRODUCT((MOVIMIENTOS!$B$5:$B$1005="AJUSTE")*(MOVIMIENTOS!$C$5:$C$1005="Chancho")*(MOVIMIENTOS!$D$5:$D$1005="sacos")*(MOVIMIENTOS!$A$5:$A$1005&lt;&gt;"")*(MOVIMIENTOS!$A$5:$A$1005&lt;=$A512)*MOVIMIENTOS!$E$5:$E$1005))</f>
        <v/>
      </c>
      <c r="G512" s="62" t="str">
        <f t="shared" si="15"/>
        <v/>
      </c>
      <c r="H512" t="str">
        <f>IF($A512="","",SUMPRODUCT((((MOVIMIENTOS!$B$5:$B$1005="SALDO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512)*MOVIMIENTOS!$J$5:$J$1005))</f>
        <v/>
      </c>
      <c r="J512" t="str">
        <f>IF(AND(MOVIMIENTOS!$A517&lt;&gt;"",COUNTIF(MOVIMIENTOS!$A$5:$A516,MOVIMIENTOS!$A517)=0),COUNT(J$4:J511)+1,"")</f>
        <v/>
      </c>
      <c r="K512">
        <f>MOVIMIENTOS!$A517</f>
        <v>0</v>
      </c>
    </row>
    <row r="513" spans="1:11" ht="15" customHeight="1" x14ac:dyDescent="0.2">
      <c r="A513" t="str">
        <f t="shared" si="14"/>
        <v/>
      </c>
      <c r="B513" t="str">
        <f>IF($A513="","",SUMPRODUCT((MOVIMIENTOS!$B$5:$B$1005="SALDO INICIAL")*(MOVIMIENTOS!$C$5:$C$1005="A")*(MOVIMIENTOS!$D$5:$D$1005="jabas")*(MOVIMIENTOS!$A$5:$A$1005&lt;&gt;"")*(MOVIMIENTOS!$A$5:$A$1005&lt;=$A513)*MOVIMIENTOS!$E$5:$E$1005)+SUMPRODUCT((MOVIMIENTOS!$B$5:$B$1005="PROCESO")*(MOVIMIENTOS!$C$5:$C$1005="A")*(MOVIMIENTOS!$D$5:$D$1005="jabas")*(MOVIMIENTOS!$A$5:$A$1005&lt;&gt;"")*(MOVIMIENTOS!$A$5:$A$1005&lt;=$A513)*MOVIMIENTOS!$E$5:$E$1005)-SUMPRODUCT((MOVIMIENTOS!$B$5:$B$1005="ENVÍO A SUPESA")*(MOVIMIENTOS!$C$5:$C$1005="A")*(MOVIMIENTOS!$D$5:$D$1005="jabas")*(MOVIMIENTOS!$A$5:$A$1005&lt;&gt;"")*(MOVIMIENTOS!$A$5:$A$1005&lt;=$A513)*MOVIMIENTOS!$E$5:$E$1005)+SUMPRODUCT((MOVIMIENTOS!$B$5:$B$1005="DEVOLUCIÓN")*(MOVIMIENTOS!$C$5:$C$1005="A")*(MOVIMIENTOS!$D$5:$D$1005="jabas")*(MOVIMIENTOS!$A$5:$A$1005&lt;&gt;"")*(MOVIMIENTOS!$A$5:$A$1005&lt;=$A513)*MOVIMIENTOS!$E$5:$E$1005)-SUMPRODUCT((MOVIMIENTOS!$B$5:$B$1005="TRASIEGO")*(MOVIMIENTOS!$C$5:$C$1005="A")*(MOVIMIENTOS!$D$5:$D$1005="jabas")*(MOVIMIENTOS!$A$5:$A$1005&lt;&gt;"")*(MOVIMIENTOS!$A$5:$A$1005&lt;=$A513)*MOVIMIENTOS!$E$5:$E$1005)-SUMPRODUCT((MOVIMIENTOS!$B$5:$B$1005="REGALO")*(MOVIMIENTOS!$C$5:$C$1005="A")*(MOVIMIENTOS!$D$5:$D$1005="jabas")*(MOVIMIENTOS!$A$5:$A$1005&lt;&gt;"")*(MOVIMIENTOS!$A$5:$A$1005&lt;=$A513)*MOVIMIENTOS!$E$5:$E$1005)-SUMPRODUCT((MOVIMIENTOS!$B$5:$B$1005="VENTA")*(MOVIMIENTOS!$C$5:$C$1005="A")*(MOVIMIENTOS!$D$5:$D$1005="jabas")*(MOVIMIENTOS!$A$5:$A$1005&lt;&gt;"")*(MOVIMIENTOS!$A$5:$A$1005&lt;=$A513)*MOVIMIENTOS!$E$5:$E$1005)+SUMPRODUCT((MOVIMIENTOS!$B$5:$B$1005="AJUSTE")*(MOVIMIENTOS!$C$5:$C$1005="A")*(MOVIMIENTOS!$D$5:$D$1005="jabas")*(MOVIMIENTOS!$A$5:$A$1005&lt;&gt;"")*(MOVIMIENTOS!$A$5:$A$1005&lt;=$A513)*MOVIMIENTOS!$E$5:$E$1005))</f>
        <v/>
      </c>
      <c r="C513" t="str">
        <f>IF($A513="","",SUMPRODUCT((MOVIMIENTOS!$B$5:$B$1005="SALDO INICIAL")*(MOVIMIENTOS!$C$5:$C$1005="P")*(MOVIMIENTOS!$D$5:$D$1005="jabas")*(MOVIMIENTOS!$A$5:$A$1005&lt;&gt;"")*(MOVIMIENTOS!$A$5:$A$1005&lt;=$A513)*MOVIMIENTOS!$E$5:$E$1005)+SUMPRODUCT((MOVIMIENTOS!$B$5:$B$1005="PROCESO")*(MOVIMIENTOS!$C$5:$C$1005="P")*(MOVIMIENTOS!$D$5:$D$1005="jabas")*(MOVIMIENTOS!$A$5:$A$1005&lt;&gt;"")*(MOVIMIENTOS!$A$5:$A$1005&lt;=$A513)*MOVIMIENTOS!$E$5:$E$1005)-SUMPRODUCT((MOVIMIENTOS!$B$5:$B$1005="ENVÍO A SUPESA")*(MOVIMIENTOS!$C$5:$C$1005="P")*(MOVIMIENTOS!$D$5:$D$1005="jabas")*(MOVIMIENTOS!$A$5:$A$1005&lt;&gt;"")*(MOVIMIENTOS!$A$5:$A$1005&lt;=$A513)*MOVIMIENTOS!$E$5:$E$1005)+SUMPRODUCT((MOVIMIENTOS!$B$5:$B$1005="DEVOLUCIÓN")*(MOVIMIENTOS!$C$5:$C$1005="P")*(MOVIMIENTOS!$D$5:$D$1005="jabas")*(MOVIMIENTOS!$A$5:$A$1005&lt;&gt;"")*(MOVIMIENTOS!$A$5:$A$1005&lt;=$A513)*MOVIMIENTOS!$E$5:$E$1005)-SUMPRODUCT((MOVIMIENTOS!$B$5:$B$1005="TRASIEGO")*(MOVIMIENTOS!$C$5:$C$1005="P")*(MOVIMIENTOS!$D$5:$D$1005="jabas")*(MOVIMIENTOS!$A$5:$A$1005&lt;&gt;"")*(MOVIMIENTOS!$A$5:$A$1005&lt;=$A513)*MOVIMIENTOS!$E$5:$E$1005)-SUMPRODUCT((MOVIMIENTOS!$B$5:$B$1005="REGALO")*(MOVIMIENTOS!$C$5:$C$1005="P")*(MOVIMIENTOS!$D$5:$D$1005="jabas")*(MOVIMIENTOS!$A$5:$A$1005&lt;&gt;"")*(MOVIMIENTOS!$A$5:$A$1005&lt;=$A513)*MOVIMIENTOS!$E$5:$E$1005)-SUMPRODUCT((MOVIMIENTOS!$B$5:$B$1005="VENTA")*(MOVIMIENTOS!$C$5:$C$1005="P")*(MOVIMIENTOS!$D$5:$D$1005="jabas")*(MOVIMIENTOS!$A$5:$A$1005&lt;&gt;"")*(MOVIMIENTOS!$A$5:$A$1005&lt;=$A513)*MOVIMIENTOS!$E$5:$E$1005)+SUMPRODUCT((MOVIMIENTOS!$B$5:$B$1005="AJUSTE")*(MOVIMIENTOS!$C$5:$C$1005="P")*(MOVIMIENTOS!$D$5:$D$1005="jabas")*(MOVIMIENTOS!$A$5:$A$1005&lt;&gt;"")*(MOVIMIENTOS!$A$5:$A$1005&lt;=$A513)*MOVIMIENTOS!$E$5:$E$1005))</f>
        <v/>
      </c>
      <c r="D513" t="str">
        <f>IF($A513="","",SUMPRODUCT((MOVIMIENTOS!$B$5:$B$1005="SALDO INICIAL")*(MOVIMIENTOS!$C$5:$C$1005="C")*(MOVIMIENTOS!$D$5:$D$1005="jabas")*(MOVIMIENTOS!$A$5:$A$1005&lt;&gt;"")*(MOVIMIENTOS!$A$5:$A$1005&lt;=$A513)*MOVIMIENTOS!$E$5:$E$1005)+SUMPRODUCT((MOVIMIENTOS!$B$5:$B$1005="PROCESO")*(MOVIMIENTOS!$C$5:$C$1005="C")*(MOVIMIENTOS!$D$5:$D$1005="jabas")*(MOVIMIENTOS!$A$5:$A$1005&lt;&gt;"")*(MOVIMIENTOS!$A$5:$A$1005&lt;=$A513)*MOVIMIENTOS!$E$5:$E$1005)-SUMPRODUCT((MOVIMIENTOS!$B$5:$B$1005="ENVÍO A SUPESA")*(MOVIMIENTOS!$C$5:$C$1005="C")*(MOVIMIENTOS!$D$5:$D$1005="jabas")*(MOVIMIENTOS!$A$5:$A$1005&lt;&gt;"")*(MOVIMIENTOS!$A$5:$A$1005&lt;=$A513)*MOVIMIENTOS!$E$5:$E$1005)+SUMPRODUCT((MOVIMIENTOS!$B$5:$B$1005="DEVOLUCIÓN")*(MOVIMIENTOS!$C$5:$C$1005="C")*(MOVIMIENTOS!$D$5:$D$1005="jabas")*(MOVIMIENTOS!$A$5:$A$1005&lt;&gt;"")*(MOVIMIENTOS!$A$5:$A$1005&lt;=$A513)*MOVIMIENTOS!$E$5:$E$1005)-SUMPRODUCT((MOVIMIENTOS!$B$5:$B$1005="TRASIEGO")*(MOVIMIENTOS!$C$5:$C$1005="C")*(MOVIMIENTOS!$D$5:$D$1005="jabas")*(MOVIMIENTOS!$A$5:$A$1005&lt;&gt;"")*(MOVIMIENTOS!$A$5:$A$1005&lt;=$A513)*MOVIMIENTOS!$E$5:$E$1005)-SUMPRODUCT((MOVIMIENTOS!$B$5:$B$1005="REGALO")*(MOVIMIENTOS!$C$5:$C$1005="C")*(MOVIMIENTOS!$D$5:$D$1005="jabas")*(MOVIMIENTOS!$A$5:$A$1005&lt;&gt;"")*(MOVIMIENTOS!$A$5:$A$1005&lt;=$A513)*MOVIMIENTOS!$E$5:$E$1005)-SUMPRODUCT((MOVIMIENTOS!$B$5:$B$1005="VENTA")*(MOVIMIENTOS!$C$5:$C$1005="C")*(MOVIMIENTOS!$D$5:$D$1005="jabas")*(MOVIMIENTOS!$A$5:$A$1005&lt;&gt;"")*(MOVIMIENTOS!$A$5:$A$1005&lt;=$A513)*MOVIMIENTOS!$E$5:$E$1005)+SUMPRODUCT((MOVIMIENTOS!$B$5:$B$1005="AJUSTE")*(MOVIMIENTOS!$C$5:$C$1005="C")*(MOVIMIENTOS!$D$5:$D$1005="jabas")*(MOVIMIENTOS!$A$5:$A$1005&lt;&gt;"")*(MOVIMIENTOS!$A$5:$A$1005&lt;=$A513)*MOVIMIENTOS!$E$5:$E$1005))</f>
        <v/>
      </c>
      <c r="E513" t="str">
        <f>IF($A513="","",SUMPRODUCT((MOVIMIENTOS!$B$5:$B$1005="SALDO INICIAL")*(MOVIMIENTOS!$C$5:$C$1005="M")*(MOVIMIENTOS!$D$5:$D$1005="jabas")*(MOVIMIENTOS!$A$5:$A$1005&lt;&gt;"")*(MOVIMIENTOS!$A$5:$A$1005&lt;=$A513)*MOVIMIENTOS!$E$5:$E$1005)+SUMPRODUCT((MOVIMIENTOS!$B$5:$B$1005="PROCESO")*(MOVIMIENTOS!$C$5:$C$1005="M")*(MOVIMIENTOS!$D$5:$D$1005="jabas")*(MOVIMIENTOS!$A$5:$A$1005&lt;&gt;"")*(MOVIMIENTOS!$A$5:$A$1005&lt;=$A513)*MOVIMIENTOS!$E$5:$E$1005)-SUMPRODUCT((MOVIMIENTOS!$B$5:$B$1005="ENVÍO A SUPESA")*(MOVIMIENTOS!$C$5:$C$1005="M")*(MOVIMIENTOS!$D$5:$D$1005="jabas")*(MOVIMIENTOS!$A$5:$A$1005&lt;&gt;"")*(MOVIMIENTOS!$A$5:$A$1005&lt;=$A513)*MOVIMIENTOS!$E$5:$E$1005)+SUMPRODUCT((MOVIMIENTOS!$B$5:$B$1005="DEVOLUCIÓN")*(MOVIMIENTOS!$C$5:$C$1005="M")*(MOVIMIENTOS!$D$5:$D$1005="jabas")*(MOVIMIENTOS!$A$5:$A$1005&lt;&gt;"")*(MOVIMIENTOS!$A$5:$A$1005&lt;=$A513)*MOVIMIENTOS!$E$5:$E$1005)-SUMPRODUCT((MOVIMIENTOS!$B$5:$B$1005="TRASIEGO")*(MOVIMIENTOS!$C$5:$C$1005="M")*(MOVIMIENTOS!$D$5:$D$1005="jabas")*(MOVIMIENTOS!$A$5:$A$1005&lt;&gt;"")*(MOVIMIENTOS!$A$5:$A$1005&lt;=$A513)*MOVIMIENTOS!$E$5:$E$1005)-SUMPRODUCT((MOVIMIENTOS!$B$5:$B$1005="REGALO")*(MOVIMIENTOS!$C$5:$C$1005="M")*(MOVIMIENTOS!$D$5:$D$1005="jabas")*(MOVIMIENTOS!$A$5:$A$1005&lt;&gt;"")*(MOVIMIENTOS!$A$5:$A$1005&lt;=$A513)*MOVIMIENTOS!$E$5:$E$1005)-SUMPRODUCT((MOVIMIENTOS!$B$5:$B$1005="VENTA")*(MOVIMIENTOS!$C$5:$C$1005="M")*(MOVIMIENTOS!$D$5:$D$1005="jabas")*(MOVIMIENTOS!$A$5:$A$1005&lt;&gt;"")*(MOVIMIENTOS!$A$5:$A$1005&lt;=$A513)*MOVIMIENTOS!$E$5:$E$1005)+SUMPRODUCT((MOVIMIENTOS!$B$5:$B$1005="AJUSTE")*(MOVIMIENTOS!$C$5:$C$1005="M")*(MOVIMIENTOS!$D$5:$D$1005="jabas")*(MOVIMIENTOS!$A$5:$A$1005&lt;&gt;"")*(MOVIMIENTOS!$A$5:$A$1005&lt;=$A513)*MOVIMIENTOS!$E$5:$E$1005))</f>
        <v/>
      </c>
      <c r="F513" s="62" t="str">
        <f>IF($A513="","",SUMPRODUCT((MOVIMIENTOS!$B$5:$B$1005="SALDO INICIAL")*(MOVIMIENTOS!$C$5:$C$1005="Chancho")*(MOVIMIENTOS!$D$5:$D$1005="sacos")*(MOVIMIENTOS!$A$5:$A$1005&lt;&gt;"")*(MOVIMIENTOS!$A$5:$A$1005&lt;=$A513)*MOVIMIENTOS!$E$5:$E$1005)+SUMPRODUCT((MOVIMIENTOS!$B$5:$B$1005="PROCESO")*(MOVIMIENTOS!$C$5:$C$1005="Chancho")*(MOVIMIENTOS!$D$5:$D$1005="sacos")*(MOVIMIENTOS!$A$5:$A$1005&lt;&gt;"")*(MOVIMIENTOS!$A$5:$A$1005&lt;=$A513)*MOVIMIENTOS!$E$5:$E$1005)-SUMPRODUCT((MOVIMIENTOS!$B$5:$B$1005="VENTA CHANCHO")*(MOVIMIENTOS!$C$5:$C$1005="Chancho")*(MOVIMIENTOS!$D$5:$D$1005="sacos")*(MOVIMIENTOS!$A$5:$A$1005&lt;&gt;"")*(MOVIMIENTOS!$A$5:$A$1005&lt;=$A513)*MOVIMIENTOS!$E$5:$E$1005)-SUMPRODUCT((MOVIMIENTOS!$B$5:$B$1005="REGALO")*(MOVIMIENTOS!$C$5:$C$1005="Chancho")*(MOVIMIENTOS!$D$5:$D$1005="sacos")*(MOVIMIENTOS!$A$5:$A$1005&lt;&gt;"")*(MOVIMIENTOS!$A$5:$A$1005&lt;=$A513)*MOVIMIENTOS!$E$5:$E$1005)-SUMPRODUCT((MOVIMIENTOS!$B$5:$B$1005="VENTA")*(MOVIMIENTOS!$C$5:$C$1005="Chancho")*(MOVIMIENTOS!$D$5:$D$1005="sacos")*(MOVIMIENTOS!$A$5:$A$1005&lt;&gt;"")*(MOVIMIENTOS!$A$5:$A$1005&lt;=$A513)*MOVIMIENTOS!$E$5:$E$1005)+SUMPRODUCT((MOVIMIENTOS!$B$5:$B$1005="AJUSTE")*(MOVIMIENTOS!$C$5:$C$1005="Chancho")*(MOVIMIENTOS!$D$5:$D$1005="sacos")*(MOVIMIENTOS!$A$5:$A$1005&lt;&gt;"")*(MOVIMIENTOS!$A$5:$A$1005&lt;=$A513)*MOVIMIENTOS!$E$5:$E$1005))</f>
        <v/>
      </c>
      <c r="G513" s="62" t="str">
        <f t="shared" si="15"/>
        <v/>
      </c>
      <c r="H513" t="str">
        <f>IF($A513="","",SUMPRODUCT((((MOVIMIENTOS!$B$5:$B$1005="SALDO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513)*MOVIMIENTOS!$J$5:$J$1005))</f>
        <v/>
      </c>
      <c r="J513" t="str">
        <f>IF(AND(MOVIMIENTOS!$A518&lt;&gt;"",COUNTIF(MOVIMIENTOS!$A$5:$A517,MOVIMIENTOS!$A518)=0),COUNT(J$4:J512)+1,"")</f>
        <v/>
      </c>
      <c r="K513">
        <f>MOVIMIENTOS!$A518</f>
        <v>0</v>
      </c>
    </row>
    <row r="514" spans="1:11" ht="15" customHeight="1" x14ac:dyDescent="0.2">
      <c r="A514" t="str">
        <f t="shared" si="14"/>
        <v/>
      </c>
      <c r="B514" t="str">
        <f>IF($A514="","",SUMPRODUCT((MOVIMIENTOS!$B$5:$B$1005="SALDO INICIAL")*(MOVIMIENTOS!$C$5:$C$1005="A")*(MOVIMIENTOS!$D$5:$D$1005="jabas")*(MOVIMIENTOS!$A$5:$A$1005&lt;&gt;"")*(MOVIMIENTOS!$A$5:$A$1005&lt;=$A514)*MOVIMIENTOS!$E$5:$E$1005)+SUMPRODUCT((MOVIMIENTOS!$B$5:$B$1005="PROCESO")*(MOVIMIENTOS!$C$5:$C$1005="A")*(MOVIMIENTOS!$D$5:$D$1005="jabas")*(MOVIMIENTOS!$A$5:$A$1005&lt;&gt;"")*(MOVIMIENTOS!$A$5:$A$1005&lt;=$A514)*MOVIMIENTOS!$E$5:$E$1005)-SUMPRODUCT((MOVIMIENTOS!$B$5:$B$1005="ENVÍO A SUPESA")*(MOVIMIENTOS!$C$5:$C$1005="A")*(MOVIMIENTOS!$D$5:$D$1005="jabas")*(MOVIMIENTOS!$A$5:$A$1005&lt;&gt;"")*(MOVIMIENTOS!$A$5:$A$1005&lt;=$A514)*MOVIMIENTOS!$E$5:$E$1005)+SUMPRODUCT((MOVIMIENTOS!$B$5:$B$1005="DEVOLUCIÓN")*(MOVIMIENTOS!$C$5:$C$1005="A")*(MOVIMIENTOS!$D$5:$D$1005="jabas")*(MOVIMIENTOS!$A$5:$A$1005&lt;&gt;"")*(MOVIMIENTOS!$A$5:$A$1005&lt;=$A514)*MOVIMIENTOS!$E$5:$E$1005)-SUMPRODUCT((MOVIMIENTOS!$B$5:$B$1005="TRASIEGO")*(MOVIMIENTOS!$C$5:$C$1005="A")*(MOVIMIENTOS!$D$5:$D$1005="jabas")*(MOVIMIENTOS!$A$5:$A$1005&lt;&gt;"")*(MOVIMIENTOS!$A$5:$A$1005&lt;=$A514)*MOVIMIENTOS!$E$5:$E$1005)-SUMPRODUCT((MOVIMIENTOS!$B$5:$B$1005="REGALO")*(MOVIMIENTOS!$C$5:$C$1005="A")*(MOVIMIENTOS!$D$5:$D$1005="jabas")*(MOVIMIENTOS!$A$5:$A$1005&lt;&gt;"")*(MOVIMIENTOS!$A$5:$A$1005&lt;=$A514)*MOVIMIENTOS!$E$5:$E$1005)-SUMPRODUCT((MOVIMIENTOS!$B$5:$B$1005="VENTA")*(MOVIMIENTOS!$C$5:$C$1005="A")*(MOVIMIENTOS!$D$5:$D$1005="jabas")*(MOVIMIENTOS!$A$5:$A$1005&lt;&gt;"")*(MOVIMIENTOS!$A$5:$A$1005&lt;=$A514)*MOVIMIENTOS!$E$5:$E$1005)+SUMPRODUCT((MOVIMIENTOS!$B$5:$B$1005="AJUSTE")*(MOVIMIENTOS!$C$5:$C$1005="A")*(MOVIMIENTOS!$D$5:$D$1005="jabas")*(MOVIMIENTOS!$A$5:$A$1005&lt;&gt;"")*(MOVIMIENTOS!$A$5:$A$1005&lt;=$A514)*MOVIMIENTOS!$E$5:$E$1005))</f>
        <v/>
      </c>
      <c r="C514" t="str">
        <f>IF($A514="","",SUMPRODUCT((MOVIMIENTOS!$B$5:$B$1005="SALDO INICIAL")*(MOVIMIENTOS!$C$5:$C$1005="P")*(MOVIMIENTOS!$D$5:$D$1005="jabas")*(MOVIMIENTOS!$A$5:$A$1005&lt;&gt;"")*(MOVIMIENTOS!$A$5:$A$1005&lt;=$A514)*MOVIMIENTOS!$E$5:$E$1005)+SUMPRODUCT((MOVIMIENTOS!$B$5:$B$1005="PROCESO")*(MOVIMIENTOS!$C$5:$C$1005="P")*(MOVIMIENTOS!$D$5:$D$1005="jabas")*(MOVIMIENTOS!$A$5:$A$1005&lt;&gt;"")*(MOVIMIENTOS!$A$5:$A$1005&lt;=$A514)*MOVIMIENTOS!$E$5:$E$1005)-SUMPRODUCT((MOVIMIENTOS!$B$5:$B$1005="ENVÍO A SUPESA")*(MOVIMIENTOS!$C$5:$C$1005="P")*(MOVIMIENTOS!$D$5:$D$1005="jabas")*(MOVIMIENTOS!$A$5:$A$1005&lt;&gt;"")*(MOVIMIENTOS!$A$5:$A$1005&lt;=$A514)*MOVIMIENTOS!$E$5:$E$1005)+SUMPRODUCT((MOVIMIENTOS!$B$5:$B$1005="DEVOLUCIÓN")*(MOVIMIENTOS!$C$5:$C$1005="P")*(MOVIMIENTOS!$D$5:$D$1005="jabas")*(MOVIMIENTOS!$A$5:$A$1005&lt;&gt;"")*(MOVIMIENTOS!$A$5:$A$1005&lt;=$A514)*MOVIMIENTOS!$E$5:$E$1005)-SUMPRODUCT((MOVIMIENTOS!$B$5:$B$1005="TRASIEGO")*(MOVIMIENTOS!$C$5:$C$1005="P")*(MOVIMIENTOS!$D$5:$D$1005="jabas")*(MOVIMIENTOS!$A$5:$A$1005&lt;&gt;"")*(MOVIMIENTOS!$A$5:$A$1005&lt;=$A514)*MOVIMIENTOS!$E$5:$E$1005)-SUMPRODUCT((MOVIMIENTOS!$B$5:$B$1005="REGALO")*(MOVIMIENTOS!$C$5:$C$1005="P")*(MOVIMIENTOS!$D$5:$D$1005="jabas")*(MOVIMIENTOS!$A$5:$A$1005&lt;&gt;"")*(MOVIMIENTOS!$A$5:$A$1005&lt;=$A514)*MOVIMIENTOS!$E$5:$E$1005)-SUMPRODUCT((MOVIMIENTOS!$B$5:$B$1005="VENTA")*(MOVIMIENTOS!$C$5:$C$1005="P")*(MOVIMIENTOS!$D$5:$D$1005="jabas")*(MOVIMIENTOS!$A$5:$A$1005&lt;&gt;"")*(MOVIMIENTOS!$A$5:$A$1005&lt;=$A514)*MOVIMIENTOS!$E$5:$E$1005)+SUMPRODUCT((MOVIMIENTOS!$B$5:$B$1005="AJUSTE")*(MOVIMIENTOS!$C$5:$C$1005="P")*(MOVIMIENTOS!$D$5:$D$1005="jabas")*(MOVIMIENTOS!$A$5:$A$1005&lt;&gt;"")*(MOVIMIENTOS!$A$5:$A$1005&lt;=$A514)*MOVIMIENTOS!$E$5:$E$1005))</f>
        <v/>
      </c>
      <c r="D514" t="str">
        <f>IF($A514="","",SUMPRODUCT((MOVIMIENTOS!$B$5:$B$1005="SALDO INICIAL")*(MOVIMIENTOS!$C$5:$C$1005="C")*(MOVIMIENTOS!$D$5:$D$1005="jabas")*(MOVIMIENTOS!$A$5:$A$1005&lt;&gt;"")*(MOVIMIENTOS!$A$5:$A$1005&lt;=$A514)*MOVIMIENTOS!$E$5:$E$1005)+SUMPRODUCT((MOVIMIENTOS!$B$5:$B$1005="PROCESO")*(MOVIMIENTOS!$C$5:$C$1005="C")*(MOVIMIENTOS!$D$5:$D$1005="jabas")*(MOVIMIENTOS!$A$5:$A$1005&lt;&gt;"")*(MOVIMIENTOS!$A$5:$A$1005&lt;=$A514)*MOVIMIENTOS!$E$5:$E$1005)-SUMPRODUCT((MOVIMIENTOS!$B$5:$B$1005="ENVÍO A SUPESA")*(MOVIMIENTOS!$C$5:$C$1005="C")*(MOVIMIENTOS!$D$5:$D$1005="jabas")*(MOVIMIENTOS!$A$5:$A$1005&lt;&gt;"")*(MOVIMIENTOS!$A$5:$A$1005&lt;=$A514)*MOVIMIENTOS!$E$5:$E$1005)+SUMPRODUCT((MOVIMIENTOS!$B$5:$B$1005="DEVOLUCIÓN")*(MOVIMIENTOS!$C$5:$C$1005="C")*(MOVIMIENTOS!$D$5:$D$1005="jabas")*(MOVIMIENTOS!$A$5:$A$1005&lt;&gt;"")*(MOVIMIENTOS!$A$5:$A$1005&lt;=$A514)*MOVIMIENTOS!$E$5:$E$1005)-SUMPRODUCT((MOVIMIENTOS!$B$5:$B$1005="TRASIEGO")*(MOVIMIENTOS!$C$5:$C$1005="C")*(MOVIMIENTOS!$D$5:$D$1005="jabas")*(MOVIMIENTOS!$A$5:$A$1005&lt;&gt;"")*(MOVIMIENTOS!$A$5:$A$1005&lt;=$A514)*MOVIMIENTOS!$E$5:$E$1005)-SUMPRODUCT((MOVIMIENTOS!$B$5:$B$1005="REGALO")*(MOVIMIENTOS!$C$5:$C$1005="C")*(MOVIMIENTOS!$D$5:$D$1005="jabas")*(MOVIMIENTOS!$A$5:$A$1005&lt;&gt;"")*(MOVIMIENTOS!$A$5:$A$1005&lt;=$A514)*MOVIMIENTOS!$E$5:$E$1005)-SUMPRODUCT((MOVIMIENTOS!$B$5:$B$1005="VENTA")*(MOVIMIENTOS!$C$5:$C$1005="C")*(MOVIMIENTOS!$D$5:$D$1005="jabas")*(MOVIMIENTOS!$A$5:$A$1005&lt;&gt;"")*(MOVIMIENTOS!$A$5:$A$1005&lt;=$A514)*MOVIMIENTOS!$E$5:$E$1005)+SUMPRODUCT((MOVIMIENTOS!$B$5:$B$1005="AJUSTE")*(MOVIMIENTOS!$C$5:$C$1005="C")*(MOVIMIENTOS!$D$5:$D$1005="jabas")*(MOVIMIENTOS!$A$5:$A$1005&lt;&gt;"")*(MOVIMIENTOS!$A$5:$A$1005&lt;=$A514)*MOVIMIENTOS!$E$5:$E$1005))</f>
        <v/>
      </c>
      <c r="E514" t="str">
        <f>IF($A514="","",SUMPRODUCT((MOVIMIENTOS!$B$5:$B$1005="SALDO INICIAL")*(MOVIMIENTOS!$C$5:$C$1005="M")*(MOVIMIENTOS!$D$5:$D$1005="jabas")*(MOVIMIENTOS!$A$5:$A$1005&lt;&gt;"")*(MOVIMIENTOS!$A$5:$A$1005&lt;=$A514)*MOVIMIENTOS!$E$5:$E$1005)+SUMPRODUCT((MOVIMIENTOS!$B$5:$B$1005="PROCESO")*(MOVIMIENTOS!$C$5:$C$1005="M")*(MOVIMIENTOS!$D$5:$D$1005="jabas")*(MOVIMIENTOS!$A$5:$A$1005&lt;&gt;"")*(MOVIMIENTOS!$A$5:$A$1005&lt;=$A514)*MOVIMIENTOS!$E$5:$E$1005)-SUMPRODUCT((MOVIMIENTOS!$B$5:$B$1005="ENVÍO A SUPESA")*(MOVIMIENTOS!$C$5:$C$1005="M")*(MOVIMIENTOS!$D$5:$D$1005="jabas")*(MOVIMIENTOS!$A$5:$A$1005&lt;&gt;"")*(MOVIMIENTOS!$A$5:$A$1005&lt;=$A514)*MOVIMIENTOS!$E$5:$E$1005)+SUMPRODUCT((MOVIMIENTOS!$B$5:$B$1005="DEVOLUCIÓN")*(MOVIMIENTOS!$C$5:$C$1005="M")*(MOVIMIENTOS!$D$5:$D$1005="jabas")*(MOVIMIENTOS!$A$5:$A$1005&lt;&gt;"")*(MOVIMIENTOS!$A$5:$A$1005&lt;=$A514)*MOVIMIENTOS!$E$5:$E$1005)-SUMPRODUCT((MOVIMIENTOS!$B$5:$B$1005="TRASIEGO")*(MOVIMIENTOS!$C$5:$C$1005="M")*(MOVIMIENTOS!$D$5:$D$1005="jabas")*(MOVIMIENTOS!$A$5:$A$1005&lt;&gt;"")*(MOVIMIENTOS!$A$5:$A$1005&lt;=$A514)*MOVIMIENTOS!$E$5:$E$1005)-SUMPRODUCT((MOVIMIENTOS!$B$5:$B$1005="REGALO")*(MOVIMIENTOS!$C$5:$C$1005="M")*(MOVIMIENTOS!$D$5:$D$1005="jabas")*(MOVIMIENTOS!$A$5:$A$1005&lt;&gt;"")*(MOVIMIENTOS!$A$5:$A$1005&lt;=$A514)*MOVIMIENTOS!$E$5:$E$1005)-SUMPRODUCT((MOVIMIENTOS!$B$5:$B$1005="VENTA")*(MOVIMIENTOS!$C$5:$C$1005="M")*(MOVIMIENTOS!$D$5:$D$1005="jabas")*(MOVIMIENTOS!$A$5:$A$1005&lt;&gt;"")*(MOVIMIENTOS!$A$5:$A$1005&lt;=$A514)*MOVIMIENTOS!$E$5:$E$1005)+SUMPRODUCT((MOVIMIENTOS!$B$5:$B$1005="AJUSTE")*(MOVIMIENTOS!$C$5:$C$1005="M")*(MOVIMIENTOS!$D$5:$D$1005="jabas")*(MOVIMIENTOS!$A$5:$A$1005&lt;&gt;"")*(MOVIMIENTOS!$A$5:$A$1005&lt;=$A514)*MOVIMIENTOS!$E$5:$E$1005))</f>
        <v/>
      </c>
      <c r="F514" s="62" t="str">
        <f>IF($A514="","",SUMPRODUCT((MOVIMIENTOS!$B$5:$B$1005="SALDO INICIAL")*(MOVIMIENTOS!$C$5:$C$1005="Chancho")*(MOVIMIENTOS!$D$5:$D$1005="sacos")*(MOVIMIENTOS!$A$5:$A$1005&lt;&gt;"")*(MOVIMIENTOS!$A$5:$A$1005&lt;=$A514)*MOVIMIENTOS!$E$5:$E$1005)+SUMPRODUCT((MOVIMIENTOS!$B$5:$B$1005="PROCESO")*(MOVIMIENTOS!$C$5:$C$1005="Chancho")*(MOVIMIENTOS!$D$5:$D$1005="sacos")*(MOVIMIENTOS!$A$5:$A$1005&lt;&gt;"")*(MOVIMIENTOS!$A$5:$A$1005&lt;=$A514)*MOVIMIENTOS!$E$5:$E$1005)-SUMPRODUCT((MOVIMIENTOS!$B$5:$B$1005="VENTA CHANCHO")*(MOVIMIENTOS!$C$5:$C$1005="Chancho")*(MOVIMIENTOS!$D$5:$D$1005="sacos")*(MOVIMIENTOS!$A$5:$A$1005&lt;&gt;"")*(MOVIMIENTOS!$A$5:$A$1005&lt;=$A514)*MOVIMIENTOS!$E$5:$E$1005)-SUMPRODUCT((MOVIMIENTOS!$B$5:$B$1005="REGALO")*(MOVIMIENTOS!$C$5:$C$1005="Chancho")*(MOVIMIENTOS!$D$5:$D$1005="sacos")*(MOVIMIENTOS!$A$5:$A$1005&lt;&gt;"")*(MOVIMIENTOS!$A$5:$A$1005&lt;=$A514)*MOVIMIENTOS!$E$5:$E$1005)-SUMPRODUCT((MOVIMIENTOS!$B$5:$B$1005="VENTA")*(MOVIMIENTOS!$C$5:$C$1005="Chancho")*(MOVIMIENTOS!$D$5:$D$1005="sacos")*(MOVIMIENTOS!$A$5:$A$1005&lt;&gt;"")*(MOVIMIENTOS!$A$5:$A$1005&lt;=$A514)*MOVIMIENTOS!$E$5:$E$1005)+SUMPRODUCT((MOVIMIENTOS!$B$5:$B$1005="AJUSTE")*(MOVIMIENTOS!$C$5:$C$1005="Chancho")*(MOVIMIENTOS!$D$5:$D$1005="sacos")*(MOVIMIENTOS!$A$5:$A$1005&lt;&gt;"")*(MOVIMIENTOS!$A$5:$A$1005&lt;=$A514)*MOVIMIENTOS!$E$5:$E$1005))</f>
        <v/>
      </c>
      <c r="G514" s="62" t="str">
        <f t="shared" si="15"/>
        <v/>
      </c>
      <c r="H514" t="str">
        <f>IF($A514="","",SUMPRODUCT((((MOVIMIENTOS!$B$5:$B$1005="SALDO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514)*MOVIMIENTOS!$J$5:$J$1005))</f>
        <v/>
      </c>
      <c r="J514" t="str">
        <f>IF(AND(MOVIMIENTOS!$A519&lt;&gt;"",COUNTIF(MOVIMIENTOS!$A$5:$A518,MOVIMIENTOS!$A519)=0),COUNT(J$4:J513)+1,"")</f>
        <v/>
      </c>
      <c r="K514">
        <f>MOVIMIENTOS!$A519</f>
        <v>0</v>
      </c>
    </row>
    <row r="515" spans="1:11" ht="15" customHeight="1" x14ac:dyDescent="0.2">
      <c r="A515" t="str">
        <f t="shared" si="14"/>
        <v/>
      </c>
      <c r="B515" t="str">
        <f>IF($A515="","",SUMPRODUCT((MOVIMIENTOS!$B$5:$B$1005="SALDO INICIAL")*(MOVIMIENTOS!$C$5:$C$1005="A")*(MOVIMIENTOS!$D$5:$D$1005="jabas")*(MOVIMIENTOS!$A$5:$A$1005&lt;&gt;"")*(MOVIMIENTOS!$A$5:$A$1005&lt;=$A515)*MOVIMIENTOS!$E$5:$E$1005)+SUMPRODUCT((MOVIMIENTOS!$B$5:$B$1005="PROCESO")*(MOVIMIENTOS!$C$5:$C$1005="A")*(MOVIMIENTOS!$D$5:$D$1005="jabas")*(MOVIMIENTOS!$A$5:$A$1005&lt;&gt;"")*(MOVIMIENTOS!$A$5:$A$1005&lt;=$A515)*MOVIMIENTOS!$E$5:$E$1005)-SUMPRODUCT((MOVIMIENTOS!$B$5:$B$1005="ENVÍO A SUPESA")*(MOVIMIENTOS!$C$5:$C$1005="A")*(MOVIMIENTOS!$D$5:$D$1005="jabas")*(MOVIMIENTOS!$A$5:$A$1005&lt;&gt;"")*(MOVIMIENTOS!$A$5:$A$1005&lt;=$A515)*MOVIMIENTOS!$E$5:$E$1005)+SUMPRODUCT((MOVIMIENTOS!$B$5:$B$1005="DEVOLUCIÓN")*(MOVIMIENTOS!$C$5:$C$1005="A")*(MOVIMIENTOS!$D$5:$D$1005="jabas")*(MOVIMIENTOS!$A$5:$A$1005&lt;&gt;"")*(MOVIMIENTOS!$A$5:$A$1005&lt;=$A515)*MOVIMIENTOS!$E$5:$E$1005)-SUMPRODUCT((MOVIMIENTOS!$B$5:$B$1005="TRASIEGO")*(MOVIMIENTOS!$C$5:$C$1005="A")*(MOVIMIENTOS!$D$5:$D$1005="jabas")*(MOVIMIENTOS!$A$5:$A$1005&lt;&gt;"")*(MOVIMIENTOS!$A$5:$A$1005&lt;=$A515)*MOVIMIENTOS!$E$5:$E$1005)-SUMPRODUCT((MOVIMIENTOS!$B$5:$B$1005="REGALO")*(MOVIMIENTOS!$C$5:$C$1005="A")*(MOVIMIENTOS!$D$5:$D$1005="jabas")*(MOVIMIENTOS!$A$5:$A$1005&lt;&gt;"")*(MOVIMIENTOS!$A$5:$A$1005&lt;=$A515)*MOVIMIENTOS!$E$5:$E$1005)-SUMPRODUCT((MOVIMIENTOS!$B$5:$B$1005="VENTA")*(MOVIMIENTOS!$C$5:$C$1005="A")*(MOVIMIENTOS!$D$5:$D$1005="jabas")*(MOVIMIENTOS!$A$5:$A$1005&lt;&gt;"")*(MOVIMIENTOS!$A$5:$A$1005&lt;=$A515)*MOVIMIENTOS!$E$5:$E$1005)+SUMPRODUCT((MOVIMIENTOS!$B$5:$B$1005="AJUSTE")*(MOVIMIENTOS!$C$5:$C$1005="A")*(MOVIMIENTOS!$D$5:$D$1005="jabas")*(MOVIMIENTOS!$A$5:$A$1005&lt;&gt;"")*(MOVIMIENTOS!$A$5:$A$1005&lt;=$A515)*MOVIMIENTOS!$E$5:$E$1005))</f>
        <v/>
      </c>
      <c r="C515" t="str">
        <f>IF($A515="","",SUMPRODUCT((MOVIMIENTOS!$B$5:$B$1005="SALDO INICIAL")*(MOVIMIENTOS!$C$5:$C$1005="P")*(MOVIMIENTOS!$D$5:$D$1005="jabas")*(MOVIMIENTOS!$A$5:$A$1005&lt;&gt;"")*(MOVIMIENTOS!$A$5:$A$1005&lt;=$A515)*MOVIMIENTOS!$E$5:$E$1005)+SUMPRODUCT((MOVIMIENTOS!$B$5:$B$1005="PROCESO")*(MOVIMIENTOS!$C$5:$C$1005="P")*(MOVIMIENTOS!$D$5:$D$1005="jabas")*(MOVIMIENTOS!$A$5:$A$1005&lt;&gt;"")*(MOVIMIENTOS!$A$5:$A$1005&lt;=$A515)*MOVIMIENTOS!$E$5:$E$1005)-SUMPRODUCT((MOVIMIENTOS!$B$5:$B$1005="ENVÍO A SUPESA")*(MOVIMIENTOS!$C$5:$C$1005="P")*(MOVIMIENTOS!$D$5:$D$1005="jabas")*(MOVIMIENTOS!$A$5:$A$1005&lt;&gt;"")*(MOVIMIENTOS!$A$5:$A$1005&lt;=$A515)*MOVIMIENTOS!$E$5:$E$1005)+SUMPRODUCT((MOVIMIENTOS!$B$5:$B$1005="DEVOLUCIÓN")*(MOVIMIENTOS!$C$5:$C$1005="P")*(MOVIMIENTOS!$D$5:$D$1005="jabas")*(MOVIMIENTOS!$A$5:$A$1005&lt;&gt;"")*(MOVIMIENTOS!$A$5:$A$1005&lt;=$A515)*MOVIMIENTOS!$E$5:$E$1005)-SUMPRODUCT((MOVIMIENTOS!$B$5:$B$1005="TRASIEGO")*(MOVIMIENTOS!$C$5:$C$1005="P")*(MOVIMIENTOS!$D$5:$D$1005="jabas")*(MOVIMIENTOS!$A$5:$A$1005&lt;&gt;"")*(MOVIMIENTOS!$A$5:$A$1005&lt;=$A515)*MOVIMIENTOS!$E$5:$E$1005)-SUMPRODUCT((MOVIMIENTOS!$B$5:$B$1005="REGALO")*(MOVIMIENTOS!$C$5:$C$1005="P")*(MOVIMIENTOS!$D$5:$D$1005="jabas")*(MOVIMIENTOS!$A$5:$A$1005&lt;&gt;"")*(MOVIMIENTOS!$A$5:$A$1005&lt;=$A515)*MOVIMIENTOS!$E$5:$E$1005)-SUMPRODUCT((MOVIMIENTOS!$B$5:$B$1005="VENTA")*(MOVIMIENTOS!$C$5:$C$1005="P")*(MOVIMIENTOS!$D$5:$D$1005="jabas")*(MOVIMIENTOS!$A$5:$A$1005&lt;&gt;"")*(MOVIMIENTOS!$A$5:$A$1005&lt;=$A515)*MOVIMIENTOS!$E$5:$E$1005)+SUMPRODUCT((MOVIMIENTOS!$B$5:$B$1005="AJUSTE")*(MOVIMIENTOS!$C$5:$C$1005="P")*(MOVIMIENTOS!$D$5:$D$1005="jabas")*(MOVIMIENTOS!$A$5:$A$1005&lt;&gt;"")*(MOVIMIENTOS!$A$5:$A$1005&lt;=$A515)*MOVIMIENTOS!$E$5:$E$1005))</f>
        <v/>
      </c>
      <c r="D515" t="str">
        <f>IF($A515="","",SUMPRODUCT((MOVIMIENTOS!$B$5:$B$1005="SALDO INICIAL")*(MOVIMIENTOS!$C$5:$C$1005="C")*(MOVIMIENTOS!$D$5:$D$1005="jabas")*(MOVIMIENTOS!$A$5:$A$1005&lt;&gt;"")*(MOVIMIENTOS!$A$5:$A$1005&lt;=$A515)*MOVIMIENTOS!$E$5:$E$1005)+SUMPRODUCT((MOVIMIENTOS!$B$5:$B$1005="PROCESO")*(MOVIMIENTOS!$C$5:$C$1005="C")*(MOVIMIENTOS!$D$5:$D$1005="jabas")*(MOVIMIENTOS!$A$5:$A$1005&lt;&gt;"")*(MOVIMIENTOS!$A$5:$A$1005&lt;=$A515)*MOVIMIENTOS!$E$5:$E$1005)-SUMPRODUCT((MOVIMIENTOS!$B$5:$B$1005="ENVÍO A SUPESA")*(MOVIMIENTOS!$C$5:$C$1005="C")*(MOVIMIENTOS!$D$5:$D$1005="jabas")*(MOVIMIENTOS!$A$5:$A$1005&lt;&gt;"")*(MOVIMIENTOS!$A$5:$A$1005&lt;=$A515)*MOVIMIENTOS!$E$5:$E$1005)+SUMPRODUCT((MOVIMIENTOS!$B$5:$B$1005="DEVOLUCIÓN")*(MOVIMIENTOS!$C$5:$C$1005="C")*(MOVIMIENTOS!$D$5:$D$1005="jabas")*(MOVIMIENTOS!$A$5:$A$1005&lt;&gt;"")*(MOVIMIENTOS!$A$5:$A$1005&lt;=$A515)*MOVIMIENTOS!$E$5:$E$1005)-SUMPRODUCT((MOVIMIENTOS!$B$5:$B$1005="TRASIEGO")*(MOVIMIENTOS!$C$5:$C$1005="C")*(MOVIMIENTOS!$D$5:$D$1005="jabas")*(MOVIMIENTOS!$A$5:$A$1005&lt;&gt;"")*(MOVIMIENTOS!$A$5:$A$1005&lt;=$A515)*MOVIMIENTOS!$E$5:$E$1005)-SUMPRODUCT((MOVIMIENTOS!$B$5:$B$1005="REGALO")*(MOVIMIENTOS!$C$5:$C$1005="C")*(MOVIMIENTOS!$D$5:$D$1005="jabas")*(MOVIMIENTOS!$A$5:$A$1005&lt;&gt;"")*(MOVIMIENTOS!$A$5:$A$1005&lt;=$A515)*MOVIMIENTOS!$E$5:$E$1005)-SUMPRODUCT((MOVIMIENTOS!$B$5:$B$1005="VENTA")*(MOVIMIENTOS!$C$5:$C$1005="C")*(MOVIMIENTOS!$D$5:$D$1005="jabas")*(MOVIMIENTOS!$A$5:$A$1005&lt;&gt;"")*(MOVIMIENTOS!$A$5:$A$1005&lt;=$A515)*MOVIMIENTOS!$E$5:$E$1005)+SUMPRODUCT((MOVIMIENTOS!$B$5:$B$1005="AJUSTE")*(MOVIMIENTOS!$C$5:$C$1005="C")*(MOVIMIENTOS!$D$5:$D$1005="jabas")*(MOVIMIENTOS!$A$5:$A$1005&lt;&gt;"")*(MOVIMIENTOS!$A$5:$A$1005&lt;=$A515)*MOVIMIENTOS!$E$5:$E$1005))</f>
        <v/>
      </c>
      <c r="E515" t="str">
        <f>IF($A515="","",SUMPRODUCT((MOVIMIENTOS!$B$5:$B$1005="SALDO INICIAL")*(MOVIMIENTOS!$C$5:$C$1005="M")*(MOVIMIENTOS!$D$5:$D$1005="jabas")*(MOVIMIENTOS!$A$5:$A$1005&lt;&gt;"")*(MOVIMIENTOS!$A$5:$A$1005&lt;=$A515)*MOVIMIENTOS!$E$5:$E$1005)+SUMPRODUCT((MOVIMIENTOS!$B$5:$B$1005="PROCESO")*(MOVIMIENTOS!$C$5:$C$1005="M")*(MOVIMIENTOS!$D$5:$D$1005="jabas")*(MOVIMIENTOS!$A$5:$A$1005&lt;&gt;"")*(MOVIMIENTOS!$A$5:$A$1005&lt;=$A515)*MOVIMIENTOS!$E$5:$E$1005)-SUMPRODUCT((MOVIMIENTOS!$B$5:$B$1005="ENVÍO A SUPESA")*(MOVIMIENTOS!$C$5:$C$1005="M")*(MOVIMIENTOS!$D$5:$D$1005="jabas")*(MOVIMIENTOS!$A$5:$A$1005&lt;&gt;"")*(MOVIMIENTOS!$A$5:$A$1005&lt;=$A515)*MOVIMIENTOS!$E$5:$E$1005)+SUMPRODUCT((MOVIMIENTOS!$B$5:$B$1005="DEVOLUCIÓN")*(MOVIMIENTOS!$C$5:$C$1005="M")*(MOVIMIENTOS!$D$5:$D$1005="jabas")*(MOVIMIENTOS!$A$5:$A$1005&lt;&gt;"")*(MOVIMIENTOS!$A$5:$A$1005&lt;=$A515)*MOVIMIENTOS!$E$5:$E$1005)-SUMPRODUCT((MOVIMIENTOS!$B$5:$B$1005="TRASIEGO")*(MOVIMIENTOS!$C$5:$C$1005="M")*(MOVIMIENTOS!$D$5:$D$1005="jabas")*(MOVIMIENTOS!$A$5:$A$1005&lt;&gt;"")*(MOVIMIENTOS!$A$5:$A$1005&lt;=$A515)*MOVIMIENTOS!$E$5:$E$1005)-SUMPRODUCT((MOVIMIENTOS!$B$5:$B$1005="REGALO")*(MOVIMIENTOS!$C$5:$C$1005="M")*(MOVIMIENTOS!$D$5:$D$1005="jabas")*(MOVIMIENTOS!$A$5:$A$1005&lt;&gt;"")*(MOVIMIENTOS!$A$5:$A$1005&lt;=$A515)*MOVIMIENTOS!$E$5:$E$1005)-SUMPRODUCT((MOVIMIENTOS!$B$5:$B$1005="VENTA")*(MOVIMIENTOS!$C$5:$C$1005="M")*(MOVIMIENTOS!$D$5:$D$1005="jabas")*(MOVIMIENTOS!$A$5:$A$1005&lt;&gt;"")*(MOVIMIENTOS!$A$5:$A$1005&lt;=$A515)*MOVIMIENTOS!$E$5:$E$1005)+SUMPRODUCT((MOVIMIENTOS!$B$5:$B$1005="AJUSTE")*(MOVIMIENTOS!$C$5:$C$1005="M")*(MOVIMIENTOS!$D$5:$D$1005="jabas")*(MOVIMIENTOS!$A$5:$A$1005&lt;&gt;"")*(MOVIMIENTOS!$A$5:$A$1005&lt;=$A515)*MOVIMIENTOS!$E$5:$E$1005))</f>
        <v/>
      </c>
      <c r="F515" s="62" t="str">
        <f>IF($A515="","",SUMPRODUCT((MOVIMIENTOS!$B$5:$B$1005="SALDO INICIAL")*(MOVIMIENTOS!$C$5:$C$1005="Chancho")*(MOVIMIENTOS!$D$5:$D$1005="sacos")*(MOVIMIENTOS!$A$5:$A$1005&lt;&gt;"")*(MOVIMIENTOS!$A$5:$A$1005&lt;=$A515)*MOVIMIENTOS!$E$5:$E$1005)+SUMPRODUCT((MOVIMIENTOS!$B$5:$B$1005="PROCESO")*(MOVIMIENTOS!$C$5:$C$1005="Chancho")*(MOVIMIENTOS!$D$5:$D$1005="sacos")*(MOVIMIENTOS!$A$5:$A$1005&lt;&gt;"")*(MOVIMIENTOS!$A$5:$A$1005&lt;=$A515)*MOVIMIENTOS!$E$5:$E$1005)-SUMPRODUCT((MOVIMIENTOS!$B$5:$B$1005="VENTA CHANCHO")*(MOVIMIENTOS!$C$5:$C$1005="Chancho")*(MOVIMIENTOS!$D$5:$D$1005="sacos")*(MOVIMIENTOS!$A$5:$A$1005&lt;&gt;"")*(MOVIMIENTOS!$A$5:$A$1005&lt;=$A515)*MOVIMIENTOS!$E$5:$E$1005)-SUMPRODUCT((MOVIMIENTOS!$B$5:$B$1005="REGALO")*(MOVIMIENTOS!$C$5:$C$1005="Chancho")*(MOVIMIENTOS!$D$5:$D$1005="sacos")*(MOVIMIENTOS!$A$5:$A$1005&lt;&gt;"")*(MOVIMIENTOS!$A$5:$A$1005&lt;=$A515)*MOVIMIENTOS!$E$5:$E$1005)-SUMPRODUCT((MOVIMIENTOS!$B$5:$B$1005="VENTA")*(MOVIMIENTOS!$C$5:$C$1005="Chancho")*(MOVIMIENTOS!$D$5:$D$1005="sacos")*(MOVIMIENTOS!$A$5:$A$1005&lt;&gt;"")*(MOVIMIENTOS!$A$5:$A$1005&lt;=$A515)*MOVIMIENTOS!$E$5:$E$1005)+SUMPRODUCT((MOVIMIENTOS!$B$5:$B$1005="AJUSTE")*(MOVIMIENTOS!$C$5:$C$1005="Chancho")*(MOVIMIENTOS!$D$5:$D$1005="sacos")*(MOVIMIENTOS!$A$5:$A$1005&lt;&gt;"")*(MOVIMIENTOS!$A$5:$A$1005&lt;=$A515)*MOVIMIENTOS!$E$5:$E$1005))</f>
        <v/>
      </c>
      <c r="G515" s="62" t="str">
        <f t="shared" si="15"/>
        <v/>
      </c>
      <c r="H515" t="str">
        <f>IF($A515="","",SUMPRODUCT((((MOVIMIENTOS!$B$5:$B$1005="SALDO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515)*MOVIMIENTOS!$J$5:$J$1005))</f>
        <v/>
      </c>
      <c r="J515" t="str">
        <f>IF(AND(MOVIMIENTOS!$A520&lt;&gt;"",COUNTIF(MOVIMIENTOS!$A$5:$A519,MOVIMIENTOS!$A520)=0),COUNT(J$4:J514)+1,"")</f>
        <v/>
      </c>
      <c r="K515">
        <f>MOVIMIENTOS!$A520</f>
        <v>0</v>
      </c>
    </row>
    <row r="516" spans="1:11" ht="15" customHeight="1" x14ac:dyDescent="0.2">
      <c r="A516" t="str">
        <f t="shared" si="14"/>
        <v/>
      </c>
      <c r="B516" t="str">
        <f>IF($A516="","",SUMPRODUCT((MOVIMIENTOS!$B$5:$B$1005="SALDO INICIAL")*(MOVIMIENTOS!$C$5:$C$1005="A")*(MOVIMIENTOS!$D$5:$D$1005="jabas")*(MOVIMIENTOS!$A$5:$A$1005&lt;&gt;"")*(MOVIMIENTOS!$A$5:$A$1005&lt;=$A516)*MOVIMIENTOS!$E$5:$E$1005)+SUMPRODUCT((MOVIMIENTOS!$B$5:$B$1005="PROCESO")*(MOVIMIENTOS!$C$5:$C$1005="A")*(MOVIMIENTOS!$D$5:$D$1005="jabas")*(MOVIMIENTOS!$A$5:$A$1005&lt;&gt;"")*(MOVIMIENTOS!$A$5:$A$1005&lt;=$A516)*MOVIMIENTOS!$E$5:$E$1005)-SUMPRODUCT((MOVIMIENTOS!$B$5:$B$1005="ENVÍO A SUPESA")*(MOVIMIENTOS!$C$5:$C$1005="A")*(MOVIMIENTOS!$D$5:$D$1005="jabas")*(MOVIMIENTOS!$A$5:$A$1005&lt;&gt;"")*(MOVIMIENTOS!$A$5:$A$1005&lt;=$A516)*MOVIMIENTOS!$E$5:$E$1005)+SUMPRODUCT((MOVIMIENTOS!$B$5:$B$1005="DEVOLUCIÓN")*(MOVIMIENTOS!$C$5:$C$1005="A")*(MOVIMIENTOS!$D$5:$D$1005="jabas")*(MOVIMIENTOS!$A$5:$A$1005&lt;&gt;"")*(MOVIMIENTOS!$A$5:$A$1005&lt;=$A516)*MOVIMIENTOS!$E$5:$E$1005)-SUMPRODUCT((MOVIMIENTOS!$B$5:$B$1005="TRASIEGO")*(MOVIMIENTOS!$C$5:$C$1005="A")*(MOVIMIENTOS!$D$5:$D$1005="jabas")*(MOVIMIENTOS!$A$5:$A$1005&lt;&gt;"")*(MOVIMIENTOS!$A$5:$A$1005&lt;=$A516)*MOVIMIENTOS!$E$5:$E$1005)-SUMPRODUCT((MOVIMIENTOS!$B$5:$B$1005="REGALO")*(MOVIMIENTOS!$C$5:$C$1005="A")*(MOVIMIENTOS!$D$5:$D$1005="jabas")*(MOVIMIENTOS!$A$5:$A$1005&lt;&gt;"")*(MOVIMIENTOS!$A$5:$A$1005&lt;=$A516)*MOVIMIENTOS!$E$5:$E$1005)-SUMPRODUCT((MOVIMIENTOS!$B$5:$B$1005="VENTA")*(MOVIMIENTOS!$C$5:$C$1005="A")*(MOVIMIENTOS!$D$5:$D$1005="jabas")*(MOVIMIENTOS!$A$5:$A$1005&lt;&gt;"")*(MOVIMIENTOS!$A$5:$A$1005&lt;=$A516)*MOVIMIENTOS!$E$5:$E$1005)+SUMPRODUCT((MOVIMIENTOS!$B$5:$B$1005="AJUSTE")*(MOVIMIENTOS!$C$5:$C$1005="A")*(MOVIMIENTOS!$D$5:$D$1005="jabas")*(MOVIMIENTOS!$A$5:$A$1005&lt;&gt;"")*(MOVIMIENTOS!$A$5:$A$1005&lt;=$A516)*MOVIMIENTOS!$E$5:$E$1005))</f>
        <v/>
      </c>
      <c r="C516" t="str">
        <f>IF($A516="","",SUMPRODUCT((MOVIMIENTOS!$B$5:$B$1005="SALDO INICIAL")*(MOVIMIENTOS!$C$5:$C$1005="P")*(MOVIMIENTOS!$D$5:$D$1005="jabas")*(MOVIMIENTOS!$A$5:$A$1005&lt;&gt;"")*(MOVIMIENTOS!$A$5:$A$1005&lt;=$A516)*MOVIMIENTOS!$E$5:$E$1005)+SUMPRODUCT((MOVIMIENTOS!$B$5:$B$1005="PROCESO")*(MOVIMIENTOS!$C$5:$C$1005="P")*(MOVIMIENTOS!$D$5:$D$1005="jabas")*(MOVIMIENTOS!$A$5:$A$1005&lt;&gt;"")*(MOVIMIENTOS!$A$5:$A$1005&lt;=$A516)*MOVIMIENTOS!$E$5:$E$1005)-SUMPRODUCT((MOVIMIENTOS!$B$5:$B$1005="ENVÍO A SUPESA")*(MOVIMIENTOS!$C$5:$C$1005="P")*(MOVIMIENTOS!$D$5:$D$1005="jabas")*(MOVIMIENTOS!$A$5:$A$1005&lt;&gt;"")*(MOVIMIENTOS!$A$5:$A$1005&lt;=$A516)*MOVIMIENTOS!$E$5:$E$1005)+SUMPRODUCT((MOVIMIENTOS!$B$5:$B$1005="DEVOLUCIÓN")*(MOVIMIENTOS!$C$5:$C$1005="P")*(MOVIMIENTOS!$D$5:$D$1005="jabas")*(MOVIMIENTOS!$A$5:$A$1005&lt;&gt;"")*(MOVIMIENTOS!$A$5:$A$1005&lt;=$A516)*MOVIMIENTOS!$E$5:$E$1005)-SUMPRODUCT((MOVIMIENTOS!$B$5:$B$1005="TRASIEGO")*(MOVIMIENTOS!$C$5:$C$1005="P")*(MOVIMIENTOS!$D$5:$D$1005="jabas")*(MOVIMIENTOS!$A$5:$A$1005&lt;&gt;"")*(MOVIMIENTOS!$A$5:$A$1005&lt;=$A516)*MOVIMIENTOS!$E$5:$E$1005)-SUMPRODUCT((MOVIMIENTOS!$B$5:$B$1005="REGALO")*(MOVIMIENTOS!$C$5:$C$1005="P")*(MOVIMIENTOS!$D$5:$D$1005="jabas")*(MOVIMIENTOS!$A$5:$A$1005&lt;&gt;"")*(MOVIMIENTOS!$A$5:$A$1005&lt;=$A516)*MOVIMIENTOS!$E$5:$E$1005)-SUMPRODUCT((MOVIMIENTOS!$B$5:$B$1005="VENTA")*(MOVIMIENTOS!$C$5:$C$1005="P")*(MOVIMIENTOS!$D$5:$D$1005="jabas")*(MOVIMIENTOS!$A$5:$A$1005&lt;&gt;"")*(MOVIMIENTOS!$A$5:$A$1005&lt;=$A516)*MOVIMIENTOS!$E$5:$E$1005)+SUMPRODUCT((MOVIMIENTOS!$B$5:$B$1005="AJUSTE")*(MOVIMIENTOS!$C$5:$C$1005="P")*(MOVIMIENTOS!$D$5:$D$1005="jabas")*(MOVIMIENTOS!$A$5:$A$1005&lt;&gt;"")*(MOVIMIENTOS!$A$5:$A$1005&lt;=$A516)*MOVIMIENTOS!$E$5:$E$1005))</f>
        <v/>
      </c>
      <c r="D516" t="str">
        <f>IF($A516="","",SUMPRODUCT((MOVIMIENTOS!$B$5:$B$1005="SALDO INICIAL")*(MOVIMIENTOS!$C$5:$C$1005="C")*(MOVIMIENTOS!$D$5:$D$1005="jabas")*(MOVIMIENTOS!$A$5:$A$1005&lt;&gt;"")*(MOVIMIENTOS!$A$5:$A$1005&lt;=$A516)*MOVIMIENTOS!$E$5:$E$1005)+SUMPRODUCT((MOVIMIENTOS!$B$5:$B$1005="PROCESO")*(MOVIMIENTOS!$C$5:$C$1005="C")*(MOVIMIENTOS!$D$5:$D$1005="jabas")*(MOVIMIENTOS!$A$5:$A$1005&lt;&gt;"")*(MOVIMIENTOS!$A$5:$A$1005&lt;=$A516)*MOVIMIENTOS!$E$5:$E$1005)-SUMPRODUCT((MOVIMIENTOS!$B$5:$B$1005="ENVÍO A SUPESA")*(MOVIMIENTOS!$C$5:$C$1005="C")*(MOVIMIENTOS!$D$5:$D$1005="jabas")*(MOVIMIENTOS!$A$5:$A$1005&lt;&gt;"")*(MOVIMIENTOS!$A$5:$A$1005&lt;=$A516)*MOVIMIENTOS!$E$5:$E$1005)+SUMPRODUCT((MOVIMIENTOS!$B$5:$B$1005="DEVOLUCIÓN")*(MOVIMIENTOS!$C$5:$C$1005="C")*(MOVIMIENTOS!$D$5:$D$1005="jabas")*(MOVIMIENTOS!$A$5:$A$1005&lt;&gt;"")*(MOVIMIENTOS!$A$5:$A$1005&lt;=$A516)*MOVIMIENTOS!$E$5:$E$1005)-SUMPRODUCT((MOVIMIENTOS!$B$5:$B$1005="TRASIEGO")*(MOVIMIENTOS!$C$5:$C$1005="C")*(MOVIMIENTOS!$D$5:$D$1005="jabas")*(MOVIMIENTOS!$A$5:$A$1005&lt;&gt;"")*(MOVIMIENTOS!$A$5:$A$1005&lt;=$A516)*MOVIMIENTOS!$E$5:$E$1005)-SUMPRODUCT((MOVIMIENTOS!$B$5:$B$1005="REGALO")*(MOVIMIENTOS!$C$5:$C$1005="C")*(MOVIMIENTOS!$D$5:$D$1005="jabas")*(MOVIMIENTOS!$A$5:$A$1005&lt;&gt;"")*(MOVIMIENTOS!$A$5:$A$1005&lt;=$A516)*MOVIMIENTOS!$E$5:$E$1005)-SUMPRODUCT((MOVIMIENTOS!$B$5:$B$1005="VENTA")*(MOVIMIENTOS!$C$5:$C$1005="C")*(MOVIMIENTOS!$D$5:$D$1005="jabas")*(MOVIMIENTOS!$A$5:$A$1005&lt;&gt;"")*(MOVIMIENTOS!$A$5:$A$1005&lt;=$A516)*MOVIMIENTOS!$E$5:$E$1005)+SUMPRODUCT((MOVIMIENTOS!$B$5:$B$1005="AJUSTE")*(MOVIMIENTOS!$C$5:$C$1005="C")*(MOVIMIENTOS!$D$5:$D$1005="jabas")*(MOVIMIENTOS!$A$5:$A$1005&lt;&gt;"")*(MOVIMIENTOS!$A$5:$A$1005&lt;=$A516)*MOVIMIENTOS!$E$5:$E$1005))</f>
        <v/>
      </c>
      <c r="E516" t="str">
        <f>IF($A516="","",SUMPRODUCT((MOVIMIENTOS!$B$5:$B$1005="SALDO INICIAL")*(MOVIMIENTOS!$C$5:$C$1005="M")*(MOVIMIENTOS!$D$5:$D$1005="jabas")*(MOVIMIENTOS!$A$5:$A$1005&lt;&gt;"")*(MOVIMIENTOS!$A$5:$A$1005&lt;=$A516)*MOVIMIENTOS!$E$5:$E$1005)+SUMPRODUCT((MOVIMIENTOS!$B$5:$B$1005="PROCESO")*(MOVIMIENTOS!$C$5:$C$1005="M")*(MOVIMIENTOS!$D$5:$D$1005="jabas")*(MOVIMIENTOS!$A$5:$A$1005&lt;&gt;"")*(MOVIMIENTOS!$A$5:$A$1005&lt;=$A516)*MOVIMIENTOS!$E$5:$E$1005)-SUMPRODUCT((MOVIMIENTOS!$B$5:$B$1005="ENVÍO A SUPESA")*(MOVIMIENTOS!$C$5:$C$1005="M")*(MOVIMIENTOS!$D$5:$D$1005="jabas")*(MOVIMIENTOS!$A$5:$A$1005&lt;&gt;"")*(MOVIMIENTOS!$A$5:$A$1005&lt;=$A516)*MOVIMIENTOS!$E$5:$E$1005)+SUMPRODUCT((MOVIMIENTOS!$B$5:$B$1005="DEVOLUCIÓN")*(MOVIMIENTOS!$C$5:$C$1005="M")*(MOVIMIENTOS!$D$5:$D$1005="jabas")*(MOVIMIENTOS!$A$5:$A$1005&lt;&gt;"")*(MOVIMIENTOS!$A$5:$A$1005&lt;=$A516)*MOVIMIENTOS!$E$5:$E$1005)-SUMPRODUCT((MOVIMIENTOS!$B$5:$B$1005="TRASIEGO")*(MOVIMIENTOS!$C$5:$C$1005="M")*(MOVIMIENTOS!$D$5:$D$1005="jabas")*(MOVIMIENTOS!$A$5:$A$1005&lt;&gt;"")*(MOVIMIENTOS!$A$5:$A$1005&lt;=$A516)*MOVIMIENTOS!$E$5:$E$1005)-SUMPRODUCT((MOVIMIENTOS!$B$5:$B$1005="REGALO")*(MOVIMIENTOS!$C$5:$C$1005="M")*(MOVIMIENTOS!$D$5:$D$1005="jabas")*(MOVIMIENTOS!$A$5:$A$1005&lt;&gt;"")*(MOVIMIENTOS!$A$5:$A$1005&lt;=$A516)*MOVIMIENTOS!$E$5:$E$1005)-SUMPRODUCT((MOVIMIENTOS!$B$5:$B$1005="VENTA")*(MOVIMIENTOS!$C$5:$C$1005="M")*(MOVIMIENTOS!$D$5:$D$1005="jabas")*(MOVIMIENTOS!$A$5:$A$1005&lt;&gt;"")*(MOVIMIENTOS!$A$5:$A$1005&lt;=$A516)*MOVIMIENTOS!$E$5:$E$1005)+SUMPRODUCT((MOVIMIENTOS!$B$5:$B$1005="AJUSTE")*(MOVIMIENTOS!$C$5:$C$1005="M")*(MOVIMIENTOS!$D$5:$D$1005="jabas")*(MOVIMIENTOS!$A$5:$A$1005&lt;&gt;"")*(MOVIMIENTOS!$A$5:$A$1005&lt;=$A516)*MOVIMIENTOS!$E$5:$E$1005))</f>
        <v/>
      </c>
      <c r="F516" s="62" t="str">
        <f>IF($A516="","",SUMPRODUCT((MOVIMIENTOS!$B$5:$B$1005="SALDO INICIAL")*(MOVIMIENTOS!$C$5:$C$1005="Chancho")*(MOVIMIENTOS!$D$5:$D$1005="sacos")*(MOVIMIENTOS!$A$5:$A$1005&lt;&gt;"")*(MOVIMIENTOS!$A$5:$A$1005&lt;=$A516)*MOVIMIENTOS!$E$5:$E$1005)+SUMPRODUCT((MOVIMIENTOS!$B$5:$B$1005="PROCESO")*(MOVIMIENTOS!$C$5:$C$1005="Chancho")*(MOVIMIENTOS!$D$5:$D$1005="sacos")*(MOVIMIENTOS!$A$5:$A$1005&lt;&gt;"")*(MOVIMIENTOS!$A$5:$A$1005&lt;=$A516)*MOVIMIENTOS!$E$5:$E$1005)-SUMPRODUCT((MOVIMIENTOS!$B$5:$B$1005="VENTA CHANCHO")*(MOVIMIENTOS!$C$5:$C$1005="Chancho")*(MOVIMIENTOS!$D$5:$D$1005="sacos")*(MOVIMIENTOS!$A$5:$A$1005&lt;&gt;"")*(MOVIMIENTOS!$A$5:$A$1005&lt;=$A516)*MOVIMIENTOS!$E$5:$E$1005)-SUMPRODUCT((MOVIMIENTOS!$B$5:$B$1005="REGALO")*(MOVIMIENTOS!$C$5:$C$1005="Chancho")*(MOVIMIENTOS!$D$5:$D$1005="sacos")*(MOVIMIENTOS!$A$5:$A$1005&lt;&gt;"")*(MOVIMIENTOS!$A$5:$A$1005&lt;=$A516)*MOVIMIENTOS!$E$5:$E$1005)-SUMPRODUCT((MOVIMIENTOS!$B$5:$B$1005="VENTA")*(MOVIMIENTOS!$C$5:$C$1005="Chancho")*(MOVIMIENTOS!$D$5:$D$1005="sacos")*(MOVIMIENTOS!$A$5:$A$1005&lt;&gt;"")*(MOVIMIENTOS!$A$5:$A$1005&lt;=$A516)*MOVIMIENTOS!$E$5:$E$1005)+SUMPRODUCT((MOVIMIENTOS!$B$5:$B$1005="AJUSTE")*(MOVIMIENTOS!$C$5:$C$1005="Chancho")*(MOVIMIENTOS!$D$5:$D$1005="sacos")*(MOVIMIENTOS!$A$5:$A$1005&lt;&gt;"")*(MOVIMIENTOS!$A$5:$A$1005&lt;=$A516)*MOVIMIENTOS!$E$5:$E$1005))</f>
        <v/>
      </c>
      <c r="G516" s="62" t="str">
        <f t="shared" si="15"/>
        <v/>
      </c>
      <c r="H516" t="str">
        <f>IF($A516="","",SUMPRODUCT((((MOVIMIENTOS!$B$5:$B$1005="SALDO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516)*MOVIMIENTOS!$J$5:$J$1005))</f>
        <v/>
      </c>
      <c r="J516" t="str">
        <f>IF(AND(MOVIMIENTOS!$A521&lt;&gt;"",COUNTIF(MOVIMIENTOS!$A$5:$A520,MOVIMIENTOS!$A521)=0),COUNT(J$4:J515)+1,"")</f>
        <v/>
      </c>
      <c r="K516">
        <f>MOVIMIENTOS!$A521</f>
        <v>0</v>
      </c>
    </row>
    <row r="517" spans="1:11" ht="15" customHeight="1" x14ac:dyDescent="0.2">
      <c r="A517" t="str">
        <f t="shared" ref="A517:A580" si="16">IFERROR(INDEX(K$5:K$1000,MATCH(ROW()-4,J$5:J$1000,0)),"")</f>
        <v/>
      </c>
      <c r="B517" t="str">
        <f>IF($A517="","",SUMPRODUCT((MOVIMIENTOS!$B$5:$B$1005="SALDO INICIAL")*(MOVIMIENTOS!$C$5:$C$1005="A")*(MOVIMIENTOS!$D$5:$D$1005="jabas")*(MOVIMIENTOS!$A$5:$A$1005&lt;&gt;"")*(MOVIMIENTOS!$A$5:$A$1005&lt;=$A517)*MOVIMIENTOS!$E$5:$E$1005)+SUMPRODUCT((MOVIMIENTOS!$B$5:$B$1005="PROCESO")*(MOVIMIENTOS!$C$5:$C$1005="A")*(MOVIMIENTOS!$D$5:$D$1005="jabas")*(MOVIMIENTOS!$A$5:$A$1005&lt;&gt;"")*(MOVIMIENTOS!$A$5:$A$1005&lt;=$A517)*MOVIMIENTOS!$E$5:$E$1005)-SUMPRODUCT((MOVIMIENTOS!$B$5:$B$1005="ENVÍO A SUPESA")*(MOVIMIENTOS!$C$5:$C$1005="A")*(MOVIMIENTOS!$D$5:$D$1005="jabas")*(MOVIMIENTOS!$A$5:$A$1005&lt;&gt;"")*(MOVIMIENTOS!$A$5:$A$1005&lt;=$A517)*MOVIMIENTOS!$E$5:$E$1005)+SUMPRODUCT((MOVIMIENTOS!$B$5:$B$1005="DEVOLUCIÓN")*(MOVIMIENTOS!$C$5:$C$1005="A")*(MOVIMIENTOS!$D$5:$D$1005="jabas")*(MOVIMIENTOS!$A$5:$A$1005&lt;&gt;"")*(MOVIMIENTOS!$A$5:$A$1005&lt;=$A517)*MOVIMIENTOS!$E$5:$E$1005)-SUMPRODUCT((MOVIMIENTOS!$B$5:$B$1005="TRASIEGO")*(MOVIMIENTOS!$C$5:$C$1005="A")*(MOVIMIENTOS!$D$5:$D$1005="jabas")*(MOVIMIENTOS!$A$5:$A$1005&lt;&gt;"")*(MOVIMIENTOS!$A$5:$A$1005&lt;=$A517)*MOVIMIENTOS!$E$5:$E$1005)-SUMPRODUCT((MOVIMIENTOS!$B$5:$B$1005="REGALO")*(MOVIMIENTOS!$C$5:$C$1005="A")*(MOVIMIENTOS!$D$5:$D$1005="jabas")*(MOVIMIENTOS!$A$5:$A$1005&lt;&gt;"")*(MOVIMIENTOS!$A$5:$A$1005&lt;=$A517)*MOVIMIENTOS!$E$5:$E$1005)-SUMPRODUCT((MOVIMIENTOS!$B$5:$B$1005="VENTA")*(MOVIMIENTOS!$C$5:$C$1005="A")*(MOVIMIENTOS!$D$5:$D$1005="jabas")*(MOVIMIENTOS!$A$5:$A$1005&lt;&gt;"")*(MOVIMIENTOS!$A$5:$A$1005&lt;=$A517)*MOVIMIENTOS!$E$5:$E$1005)+SUMPRODUCT((MOVIMIENTOS!$B$5:$B$1005="AJUSTE")*(MOVIMIENTOS!$C$5:$C$1005="A")*(MOVIMIENTOS!$D$5:$D$1005="jabas")*(MOVIMIENTOS!$A$5:$A$1005&lt;&gt;"")*(MOVIMIENTOS!$A$5:$A$1005&lt;=$A517)*MOVIMIENTOS!$E$5:$E$1005))</f>
        <v/>
      </c>
      <c r="C517" t="str">
        <f>IF($A517="","",SUMPRODUCT((MOVIMIENTOS!$B$5:$B$1005="SALDO INICIAL")*(MOVIMIENTOS!$C$5:$C$1005="P")*(MOVIMIENTOS!$D$5:$D$1005="jabas")*(MOVIMIENTOS!$A$5:$A$1005&lt;&gt;"")*(MOVIMIENTOS!$A$5:$A$1005&lt;=$A517)*MOVIMIENTOS!$E$5:$E$1005)+SUMPRODUCT((MOVIMIENTOS!$B$5:$B$1005="PROCESO")*(MOVIMIENTOS!$C$5:$C$1005="P")*(MOVIMIENTOS!$D$5:$D$1005="jabas")*(MOVIMIENTOS!$A$5:$A$1005&lt;&gt;"")*(MOVIMIENTOS!$A$5:$A$1005&lt;=$A517)*MOVIMIENTOS!$E$5:$E$1005)-SUMPRODUCT((MOVIMIENTOS!$B$5:$B$1005="ENVÍO A SUPESA")*(MOVIMIENTOS!$C$5:$C$1005="P")*(MOVIMIENTOS!$D$5:$D$1005="jabas")*(MOVIMIENTOS!$A$5:$A$1005&lt;&gt;"")*(MOVIMIENTOS!$A$5:$A$1005&lt;=$A517)*MOVIMIENTOS!$E$5:$E$1005)+SUMPRODUCT((MOVIMIENTOS!$B$5:$B$1005="DEVOLUCIÓN")*(MOVIMIENTOS!$C$5:$C$1005="P")*(MOVIMIENTOS!$D$5:$D$1005="jabas")*(MOVIMIENTOS!$A$5:$A$1005&lt;&gt;"")*(MOVIMIENTOS!$A$5:$A$1005&lt;=$A517)*MOVIMIENTOS!$E$5:$E$1005)-SUMPRODUCT((MOVIMIENTOS!$B$5:$B$1005="TRASIEGO")*(MOVIMIENTOS!$C$5:$C$1005="P")*(MOVIMIENTOS!$D$5:$D$1005="jabas")*(MOVIMIENTOS!$A$5:$A$1005&lt;&gt;"")*(MOVIMIENTOS!$A$5:$A$1005&lt;=$A517)*MOVIMIENTOS!$E$5:$E$1005)-SUMPRODUCT((MOVIMIENTOS!$B$5:$B$1005="REGALO")*(MOVIMIENTOS!$C$5:$C$1005="P")*(MOVIMIENTOS!$D$5:$D$1005="jabas")*(MOVIMIENTOS!$A$5:$A$1005&lt;&gt;"")*(MOVIMIENTOS!$A$5:$A$1005&lt;=$A517)*MOVIMIENTOS!$E$5:$E$1005)-SUMPRODUCT((MOVIMIENTOS!$B$5:$B$1005="VENTA")*(MOVIMIENTOS!$C$5:$C$1005="P")*(MOVIMIENTOS!$D$5:$D$1005="jabas")*(MOVIMIENTOS!$A$5:$A$1005&lt;&gt;"")*(MOVIMIENTOS!$A$5:$A$1005&lt;=$A517)*MOVIMIENTOS!$E$5:$E$1005)+SUMPRODUCT((MOVIMIENTOS!$B$5:$B$1005="AJUSTE")*(MOVIMIENTOS!$C$5:$C$1005="P")*(MOVIMIENTOS!$D$5:$D$1005="jabas")*(MOVIMIENTOS!$A$5:$A$1005&lt;&gt;"")*(MOVIMIENTOS!$A$5:$A$1005&lt;=$A517)*MOVIMIENTOS!$E$5:$E$1005))</f>
        <v/>
      </c>
      <c r="D517" t="str">
        <f>IF($A517="","",SUMPRODUCT((MOVIMIENTOS!$B$5:$B$1005="SALDO INICIAL")*(MOVIMIENTOS!$C$5:$C$1005="C")*(MOVIMIENTOS!$D$5:$D$1005="jabas")*(MOVIMIENTOS!$A$5:$A$1005&lt;&gt;"")*(MOVIMIENTOS!$A$5:$A$1005&lt;=$A517)*MOVIMIENTOS!$E$5:$E$1005)+SUMPRODUCT((MOVIMIENTOS!$B$5:$B$1005="PROCESO")*(MOVIMIENTOS!$C$5:$C$1005="C")*(MOVIMIENTOS!$D$5:$D$1005="jabas")*(MOVIMIENTOS!$A$5:$A$1005&lt;&gt;"")*(MOVIMIENTOS!$A$5:$A$1005&lt;=$A517)*MOVIMIENTOS!$E$5:$E$1005)-SUMPRODUCT((MOVIMIENTOS!$B$5:$B$1005="ENVÍO A SUPESA")*(MOVIMIENTOS!$C$5:$C$1005="C")*(MOVIMIENTOS!$D$5:$D$1005="jabas")*(MOVIMIENTOS!$A$5:$A$1005&lt;&gt;"")*(MOVIMIENTOS!$A$5:$A$1005&lt;=$A517)*MOVIMIENTOS!$E$5:$E$1005)+SUMPRODUCT((MOVIMIENTOS!$B$5:$B$1005="DEVOLUCIÓN")*(MOVIMIENTOS!$C$5:$C$1005="C")*(MOVIMIENTOS!$D$5:$D$1005="jabas")*(MOVIMIENTOS!$A$5:$A$1005&lt;&gt;"")*(MOVIMIENTOS!$A$5:$A$1005&lt;=$A517)*MOVIMIENTOS!$E$5:$E$1005)-SUMPRODUCT((MOVIMIENTOS!$B$5:$B$1005="TRASIEGO")*(MOVIMIENTOS!$C$5:$C$1005="C")*(MOVIMIENTOS!$D$5:$D$1005="jabas")*(MOVIMIENTOS!$A$5:$A$1005&lt;&gt;"")*(MOVIMIENTOS!$A$5:$A$1005&lt;=$A517)*MOVIMIENTOS!$E$5:$E$1005)-SUMPRODUCT((MOVIMIENTOS!$B$5:$B$1005="REGALO")*(MOVIMIENTOS!$C$5:$C$1005="C")*(MOVIMIENTOS!$D$5:$D$1005="jabas")*(MOVIMIENTOS!$A$5:$A$1005&lt;&gt;"")*(MOVIMIENTOS!$A$5:$A$1005&lt;=$A517)*MOVIMIENTOS!$E$5:$E$1005)-SUMPRODUCT((MOVIMIENTOS!$B$5:$B$1005="VENTA")*(MOVIMIENTOS!$C$5:$C$1005="C")*(MOVIMIENTOS!$D$5:$D$1005="jabas")*(MOVIMIENTOS!$A$5:$A$1005&lt;&gt;"")*(MOVIMIENTOS!$A$5:$A$1005&lt;=$A517)*MOVIMIENTOS!$E$5:$E$1005)+SUMPRODUCT((MOVIMIENTOS!$B$5:$B$1005="AJUSTE")*(MOVIMIENTOS!$C$5:$C$1005="C")*(MOVIMIENTOS!$D$5:$D$1005="jabas")*(MOVIMIENTOS!$A$5:$A$1005&lt;&gt;"")*(MOVIMIENTOS!$A$5:$A$1005&lt;=$A517)*MOVIMIENTOS!$E$5:$E$1005))</f>
        <v/>
      </c>
      <c r="E517" t="str">
        <f>IF($A517="","",SUMPRODUCT((MOVIMIENTOS!$B$5:$B$1005="SALDO INICIAL")*(MOVIMIENTOS!$C$5:$C$1005="M")*(MOVIMIENTOS!$D$5:$D$1005="jabas")*(MOVIMIENTOS!$A$5:$A$1005&lt;&gt;"")*(MOVIMIENTOS!$A$5:$A$1005&lt;=$A517)*MOVIMIENTOS!$E$5:$E$1005)+SUMPRODUCT((MOVIMIENTOS!$B$5:$B$1005="PROCESO")*(MOVIMIENTOS!$C$5:$C$1005="M")*(MOVIMIENTOS!$D$5:$D$1005="jabas")*(MOVIMIENTOS!$A$5:$A$1005&lt;&gt;"")*(MOVIMIENTOS!$A$5:$A$1005&lt;=$A517)*MOVIMIENTOS!$E$5:$E$1005)-SUMPRODUCT((MOVIMIENTOS!$B$5:$B$1005="ENVÍO A SUPESA")*(MOVIMIENTOS!$C$5:$C$1005="M")*(MOVIMIENTOS!$D$5:$D$1005="jabas")*(MOVIMIENTOS!$A$5:$A$1005&lt;&gt;"")*(MOVIMIENTOS!$A$5:$A$1005&lt;=$A517)*MOVIMIENTOS!$E$5:$E$1005)+SUMPRODUCT((MOVIMIENTOS!$B$5:$B$1005="DEVOLUCIÓN")*(MOVIMIENTOS!$C$5:$C$1005="M")*(MOVIMIENTOS!$D$5:$D$1005="jabas")*(MOVIMIENTOS!$A$5:$A$1005&lt;&gt;"")*(MOVIMIENTOS!$A$5:$A$1005&lt;=$A517)*MOVIMIENTOS!$E$5:$E$1005)-SUMPRODUCT((MOVIMIENTOS!$B$5:$B$1005="TRASIEGO")*(MOVIMIENTOS!$C$5:$C$1005="M")*(MOVIMIENTOS!$D$5:$D$1005="jabas")*(MOVIMIENTOS!$A$5:$A$1005&lt;&gt;"")*(MOVIMIENTOS!$A$5:$A$1005&lt;=$A517)*MOVIMIENTOS!$E$5:$E$1005)-SUMPRODUCT((MOVIMIENTOS!$B$5:$B$1005="REGALO")*(MOVIMIENTOS!$C$5:$C$1005="M")*(MOVIMIENTOS!$D$5:$D$1005="jabas")*(MOVIMIENTOS!$A$5:$A$1005&lt;&gt;"")*(MOVIMIENTOS!$A$5:$A$1005&lt;=$A517)*MOVIMIENTOS!$E$5:$E$1005)-SUMPRODUCT((MOVIMIENTOS!$B$5:$B$1005="VENTA")*(MOVIMIENTOS!$C$5:$C$1005="M")*(MOVIMIENTOS!$D$5:$D$1005="jabas")*(MOVIMIENTOS!$A$5:$A$1005&lt;&gt;"")*(MOVIMIENTOS!$A$5:$A$1005&lt;=$A517)*MOVIMIENTOS!$E$5:$E$1005)+SUMPRODUCT((MOVIMIENTOS!$B$5:$B$1005="AJUSTE")*(MOVIMIENTOS!$C$5:$C$1005="M")*(MOVIMIENTOS!$D$5:$D$1005="jabas")*(MOVIMIENTOS!$A$5:$A$1005&lt;&gt;"")*(MOVIMIENTOS!$A$5:$A$1005&lt;=$A517)*MOVIMIENTOS!$E$5:$E$1005))</f>
        <v/>
      </c>
      <c r="F517" s="62" t="str">
        <f>IF($A517="","",SUMPRODUCT((MOVIMIENTOS!$B$5:$B$1005="SALDO INICIAL")*(MOVIMIENTOS!$C$5:$C$1005="Chancho")*(MOVIMIENTOS!$D$5:$D$1005="sacos")*(MOVIMIENTOS!$A$5:$A$1005&lt;&gt;"")*(MOVIMIENTOS!$A$5:$A$1005&lt;=$A517)*MOVIMIENTOS!$E$5:$E$1005)+SUMPRODUCT((MOVIMIENTOS!$B$5:$B$1005="PROCESO")*(MOVIMIENTOS!$C$5:$C$1005="Chancho")*(MOVIMIENTOS!$D$5:$D$1005="sacos")*(MOVIMIENTOS!$A$5:$A$1005&lt;&gt;"")*(MOVIMIENTOS!$A$5:$A$1005&lt;=$A517)*MOVIMIENTOS!$E$5:$E$1005)-SUMPRODUCT((MOVIMIENTOS!$B$5:$B$1005="VENTA CHANCHO")*(MOVIMIENTOS!$C$5:$C$1005="Chancho")*(MOVIMIENTOS!$D$5:$D$1005="sacos")*(MOVIMIENTOS!$A$5:$A$1005&lt;&gt;"")*(MOVIMIENTOS!$A$5:$A$1005&lt;=$A517)*MOVIMIENTOS!$E$5:$E$1005)-SUMPRODUCT((MOVIMIENTOS!$B$5:$B$1005="REGALO")*(MOVIMIENTOS!$C$5:$C$1005="Chancho")*(MOVIMIENTOS!$D$5:$D$1005="sacos")*(MOVIMIENTOS!$A$5:$A$1005&lt;&gt;"")*(MOVIMIENTOS!$A$5:$A$1005&lt;=$A517)*MOVIMIENTOS!$E$5:$E$1005)-SUMPRODUCT((MOVIMIENTOS!$B$5:$B$1005="VENTA")*(MOVIMIENTOS!$C$5:$C$1005="Chancho")*(MOVIMIENTOS!$D$5:$D$1005="sacos")*(MOVIMIENTOS!$A$5:$A$1005&lt;&gt;"")*(MOVIMIENTOS!$A$5:$A$1005&lt;=$A517)*MOVIMIENTOS!$E$5:$E$1005)+SUMPRODUCT((MOVIMIENTOS!$B$5:$B$1005="AJUSTE")*(MOVIMIENTOS!$C$5:$C$1005="Chancho")*(MOVIMIENTOS!$D$5:$D$1005="sacos")*(MOVIMIENTOS!$A$5:$A$1005&lt;&gt;"")*(MOVIMIENTOS!$A$5:$A$1005&lt;=$A517)*MOVIMIENTOS!$E$5:$E$1005))</f>
        <v/>
      </c>
      <c r="G517" s="62" t="str">
        <f t="shared" ref="G517:G580" si="17">IF($A517="","",SUM(B517:E517))</f>
        <v/>
      </c>
      <c r="H517" t="str">
        <f>IF($A517="","",SUMPRODUCT((((MOVIMIENTOS!$B$5:$B$1005="SALDO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517)*MOVIMIENTOS!$J$5:$J$1005))</f>
        <v/>
      </c>
      <c r="J517" t="str">
        <f>IF(AND(MOVIMIENTOS!$A522&lt;&gt;"",COUNTIF(MOVIMIENTOS!$A$5:$A521,MOVIMIENTOS!$A522)=0),COUNT(J$4:J516)+1,"")</f>
        <v/>
      </c>
      <c r="K517">
        <f>MOVIMIENTOS!$A522</f>
        <v>0</v>
      </c>
    </row>
    <row r="518" spans="1:11" ht="15" customHeight="1" x14ac:dyDescent="0.2">
      <c r="A518" t="str">
        <f t="shared" si="16"/>
        <v/>
      </c>
      <c r="B518" t="str">
        <f>IF($A518="","",SUMPRODUCT((MOVIMIENTOS!$B$5:$B$1005="SALDO INICIAL")*(MOVIMIENTOS!$C$5:$C$1005="A")*(MOVIMIENTOS!$D$5:$D$1005="jabas")*(MOVIMIENTOS!$A$5:$A$1005&lt;&gt;"")*(MOVIMIENTOS!$A$5:$A$1005&lt;=$A518)*MOVIMIENTOS!$E$5:$E$1005)+SUMPRODUCT((MOVIMIENTOS!$B$5:$B$1005="PROCESO")*(MOVIMIENTOS!$C$5:$C$1005="A")*(MOVIMIENTOS!$D$5:$D$1005="jabas")*(MOVIMIENTOS!$A$5:$A$1005&lt;&gt;"")*(MOVIMIENTOS!$A$5:$A$1005&lt;=$A518)*MOVIMIENTOS!$E$5:$E$1005)-SUMPRODUCT((MOVIMIENTOS!$B$5:$B$1005="ENVÍO A SUPESA")*(MOVIMIENTOS!$C$5:$C$1005="A")*(MOVIMIENTOS!$D$5:$D$1005="jabas")*(MOVIMIENTOS!$A$5:$A$1005&lt;&gt;"")*(MOVIMIENTOS!$A$5:$A$1005&lt;=$A518)*MOVIMIENTOS!$E$5:$E$1005)+SUMPRODUCT((MOVIMIENTOS!$B$5:$B$1005="DEVOLUCIÓN")*(MOVIMIENTOS!$C$5:$C$1005="A")*(MOVIMIENTOS!$D$5:$D$1005="jabas")*(MOVIMIENTOS!$A$5:$A$1005&lt;&gt;"")*(MOVIMIENTOS!$A$5:$A$1005&lt;=$A518)*MOVIMIENTOS!$E$5:$E$1005)-SUMPRODUCT((MOVIMIENTOS!$B$5:$B$1005="TRASIEGO")*(MOVIMIENTOS!$C$5:$C$1005="A")*(MOVIMIENTOS!$D$5:$D$1005="jabas")*(MOVIMIENTOS!$A$5:$A$1005&lt;&gt;"")*(MOVIMIENTOS!$A$5:$A$1005&lt;=$A518)*MOVIMIENTOS!$E$5:$E$1005)-SUMPRODUCT((MOVIMIENTOS!$B$5:$B$1005="REGALO")*(MOVIMIENTOS!$C$5:$C$1005="A")*(MOVIMIENTOS!$D$5:$D$1005="jabas")*(MOVIMIENTOS!$A$5:$A$1005&lt;&gt;"")*(MOVIMIENTOS!$A$5:$A$1005&lt;=$A518)*MOVIMIENTOS!$E$5:$E$1005)-SUMPRODUCT((MOVIMIENTOS!$B$5:$B$1005="VENTA")*(MOVIMIENTOS!$C$5:$C$1005="A")*(MOVIMIENTOS!$D$5:$D$1005="jabas")*(MOVIMIENTOS!$A$5:$A$1005&lt;&gt;"")*(MOVIMIENTOS!$A$5:$A$1005&lt;=$A518)*MOVIMIENTOS!$E$5:$E$1005)+SUMPRODUCT((MOVIMIENTOS!$B$5:$B$1005="AJUSTE")*(MOVIMIENTOS!$C$5:$C$1005="A")*(MOVIMIENTOS!$D$5:$D$1005="jabas")*(MOVIMIENTOS!$A$5:$A$1005&lt;&gt;"")*(MOVIMIENTOS!$A$5:$A$1005&lt;=$A518)*MOVIMIENTOS!$E$5:$E$1005))</f>
        <v/>
      </c>
      <c r="C518" t="str">
        <f>IF($A518="","",SUMPRODUCT((MOVIMIENTOS!$B$5:$B$1005="SALDO INICIAL")*(MOVIMIENTOS!$C$5:$C$1005="P")*(MOVIMIENTOS!$D$5:$D$1005="jabas")*(MOVIMIENTOS!$A$5:$A$1005&lt;&gt;"")*(MOVIMIENTOS!$A$5:$A$1005&lt;=$A518)*MOVIMIENTOS!$E$5:$E$1005)+SUMPRODUCT((MOVIMIENTOS!$B$5:$B$1005="PROCESO")*(MOVIMIENTOS!$C$5:$C$1005="P")*(MOVIMIENTOS!$D$5:$D$1005="jabas")*(MOVIMIENTOS!$A$5:$A$1005&lt;&gt;"")*(MOVIMIENTOS!$A$5:$A$1005&lt;=$A518)*MOVIMIENTOS!$E$5:$E$1005)-SUMPRODUCT((MOVIMIENTOS!$B$5:$B$1005="ENVÍO A SUPESA")*(MOVIMIENTOS!$C$5:$C$1005="P")*(MOVIMIENTOS!$D$5:$D$1005="jabas")*(MOVIMIENTOS!$A$5:$A$1005&lt;&gt;"")*(MOVIMIENTOS!$A$5:$A$1005&lt;=$A518)*MOVIMIENTOS!$E$5:$E$1005)+SUMPRODUCT((MOVIMIENTOS!$B$5:$B$1005="DEVOLUCIÓN")*(MOVIMIENTOS!$C$5:$C$1005="P")*(MOVIMIENTOS!$D$5:$D$1005="jabas")*(MOVIMIENTOS!$A$5:$A$1005&lt;&gt;"")*(MOVIMIENTOS!$A$5:$A$1005&lt;=$A518)*MOVIMIENTOS!$E$5:$E$1005)-SUMPRODUCT((MOVIMIENTOS!$B$5:$B$1005="TRASIEGO")*(MOVIMIENTOS!$C$5:$C$1005="P")*(MOVIMIENTOS!$D$5:$D$1005="jabas")*(MOVIMIENTOS!$A$5:$A$1005&lt;&gt;"")*(MOVIMIENTOS!$A$5:$A$1005&lt;=$A518)*MOVIMIENTOS!$E$5:$E$1005)-SUMPRODUCT((MOVIMIENTOS!$B$5:$B$1005="REGALO")*(MOVIMIENTOS!$C$5:$C$1005="P")*(MOVIMIENTOS!$D$5:$D$1005="jabas")*(MOVIMIENTOS!$A$5:$A$1005&lt;&gt;"")*(MOVIMIENTOS!$A$5:$A$1005&lt;=$A518)*MOVIMIENTOS!$E$5:$E$1005)-SUMPRODUCT((MOVIMIENTOS!$B$5:$B$1005="VENTA")*(MOVIMIENTOS!$C$5:$C$1005="P")*(MOVIMIENTOS!$D$5:$D$1005="jabas")*(MOVIMIENTOS!$A$5:$A$1005&lt;&gt;"")*(MOVIMIENTOS!$A$5:$A$1005&lt;=$A518)*MOVIMIENTOS!$E$5:$E$1005)+SUMPRODUCT((MOVIMIENTOS!$B$5:$B$1005="AJUSTE")*(MOVIMIENTOS!$C$5:$C$1005="P")*(MOVIMIENTOS!$D$5:$D$1005="jabas")*(MOVIMIENTOS!$A$5:$A$1005&lt;&gt;"")*(MOVIMIENTOS!$A$5:$A$1005&lt;=$A518)*MOVIMIENTOS!$E$5:$E$1005))</f>
        <v/>
      </c>
      <c r="D518" t="str">
        <f>IF($A518="","",SUMPRODUCT((MOVIMIENTOS!$B$5:$B$1005="SALDO INICIAL")*(MOVIMIENTOS!$C$5:$C$1005="C")*(MOVIMIENTOS!$D$5:$D$1005="jabas")*(MOVIMIENTOS!$A$5:$A$1005&lt;&gt;"")*(MOVIMIENTOS!$A$5:$A$1005&lt;=$A518)*MOVIMIENTOS!$E$5:$E$1005)+SUMPRODUCT((MOVIMIENTOS!$B$5:$B$1005="PROCESO")*(MOVIMIENTOS!$C$5:$C$1005="C")*(MOVIMIENTOS!$D$5:$D$1005="jabas")*(MOVIMIENTOS!$A$5:$A$1005&lt;&gt;"")*(MOVIMIENTOS!$A$5:$A$1005&lt;=$A518)*MOVIMIENTOS!$E$5:$E$1005)-SUMPRODUCT((MOVIMIENTOS!$B$5:$B$1005="ENVÍO A SUPESA")*(MOVIMIENTOS!$C$5:$C$1005="C")*(MOVIMIENTOS!$D$5:$D$1005="jabas")*(MOVIMIENTOS!$A$5:$A$1005&lt;&gt;"")*(MOVIMIENTOS!$A$5:$A$1005&lt;=$A518)*MOVIMIENTOS!$E$5:$E$1005)+SUMPRODUCT((MOVIMIENTOS!$B$5:$B$1005="DEVOLUCIÓN")*(MOVIMIENTOS!$C$5:$C$1005="C")*(MOVIMIENTOS!$D$5:$D$1005="jabas")*(MOVIMIENTOS!$A$5:$A$1005&lt;&gt;"")*(MOVIMIENTOS!$A$5:$A$1005&lt;=$A518)*MOVIMIENTOS!$E$5:$E$1005)-SUMPRODUCT((MOVIMIENTOS!$B$5:$B$1005="TRASIEGO")*(MOVIMIENTOS!$C$5:$C$1005="C")*(MOVIMIENTOS!$D$5:$D$1005="jabas")*(MOVIMIENTOS!$A$5:$A$1005&lt;&gt;"")*(MOVIMIENTOS!$A$5:$A$1005&lt;=$A518)*MOVIMIENTOS!$E$5:$E$1005)-SUMPRODUCT((MOVIMIENTOS!$B$5:$B$1005="REGALO")*(MOVIMIENTOS!$C$5:$C$1005="C")*(MOVIMIENTOS!$D$5:$D$1005="jabas")*(MOVIMIENTOS!$A$5:$A$1005&lt;&gt;"")*(MOVIMIENTOS!$A$5:$A$1005&lt;=$A518)*MOVIMIENTOS!$E$5:$E$1005)-SUMPRODUCT((MOVIMIENTOS!$B$5:$B$1005="VENTA")*(MOVIMIENTOS!$C$5:$C$1005="C")*(MOVIMIENTOS!$D$5:$D$1005="jabas")*(MOVIMIENTOS!$A$5:$A$1005&lt;&gt;"")*(MOVIMIENTOS!$A$5:$A$1005&lt;=$A518)*MOVIMIENTOS!$E$5:$E$1005)+SUMPRODUCT((MOVIMIENTOS!$B$5:$B$1005="AJUSTE")*(MOVIMIENTOS!$C$5:$C$1005="C")*(MOVIMIENTOS!$D$5:$D$1005="jabas")*(MOVIMIENTOS!$A$5:$A$1005&lt;&gt;"")*(MOVIMIENTOS!$A$5:$A$1005&lt;=$A518)*MOVIMIENTOS!$E$5:$E$1005))</f>
        <v/>
      </c>
      <c r="E518" t="str">
        <f>IF($A518="","",SUMPRODUCT((MOVIMIENTOS!$B$5:$B$1005="SALDO INICIAL")*(MOVIMIENTOS!$C$5:$C$1005="M")*(MOVIMIENTOS!$D$5:$D$1005="jabas")*(MOVIMIENTOS!$A$5:$A$1005&lt;&gt;"")*(MOVIMIENTOS!$A$5:$A$1005&lt;=$A518)*MOVIMIENTOS!$E$5:$E$1005)+SUMPRODUCT((MOVIMIENTOS!$B$5:$B$1005="PROCESO")*(MOVIMIENTOS!$C$5:$C$1005="M")*(MOVIMIENTOS!$D$5:$D$1005="jabas")*(MOVIMIENTOS!$A$5:$A$1005&lt;&gt;"")*(MOVIMIENTOS!$A$5:$A$1005&lt;=$A518)*MOVIMIENTOS!$E$5:$E$1005)-SUMPRODUCT((MOVIMIENTOS!$B$5:$B$1005="ENVÍO A SUPESA")*(MOVIMIENTOS!$C$5:$C$1005="M")*(MOVIMIENTOS!$D$5:$D$1005="jabas")*(MOVIMIENTOS!$A$5:$A$1005&lt;&gt;"")*(MOVIMIENTOS!$A$5:$A$1005&lt;=$A518)*MOVIMIENTOS!$E$5:$E$1005)+SUMPRODUCT((MOVIMIENTOS!$B$5:$B$1005="DEVOLUCIÓN")*(MOVIMIENTOS!$C$5:$C$1005="M")*(MOVIMIENTOS!$D$5:$D$1005="jabas")*(MOVIMIENTOS!$A$5:$A$1005&lt;&gt;"")*(MOVIMIENTOS!$A$5:$A$1005&lt;=$A518)*MOVIMIENTOS!$E$5:$E$1005)-SUMPRODUCT((MOVIMIENTOS!$B$5:$B$1005="TRASIEGO")*(MOVIMIENTOS!$C$5:$C$1005="M")*(MOVIMIENTOS!$D$5:$D$1005="jabas")*(MOVIMIENTOS!$A$5:$A$1005&lt;&gt;"")*(MOVIMIENTOS!$A$5:$A$1005&lt;=$A518)*MOVIMIENTOS!$E$5:$E$1005)-SUMPRODUCT((MOVIMIENTOS!$B$5:$B$1005="REGALO")*(MOVIMIENTOS!$C$5:$C$1005="M")*(MOVIMIENTOS!$D$5:$D$1005="jabas")*(MOVIMIENTOS!$A$5:$A$1005&lt;&gt;"")*(MOVIMIENTOS!$A$5:$A$1005&lt;=$A518)*MOVIMIENTOS!$E$5:$E$1005)-SUMPRODUCT((MOVIMIENTOS!$B$5:$B$1005="VENTA")*(MOVIMIENTOS!$C$5:$C$1005="M")*(MOVIMIENTOS!$D$5:$D$1005="jabas")*(MOVIMIENTOS!$A$5:$A$1005&lt;&gt;"")*(MOVIMIENTOS!$A$5:$A$1005&lt;=$A518)*MOVIMIENTOS!$E$5:$E$1005)+SUMPRODUCT((MOVIMIENTOS!$B$5:$B$1005="AJUSTE")*(MOVIMIENTOS!$C$5:$C$1005="M")*(MOVIMIENTOS!$D$5:$D$1005="jabas")*(MOVIMIENTOS!$A$5:$A$1005&lt;&gt;"")*(MOVIMIENTOS!$A$5:$A$1005&lt;=$A518)*MOVIMIENTOS!$E$5:$E$1005))</f>
        <v/>
      </c>
      <c r="F518" s="62" t="str">
        <f>IF($A518="","",SUMPRODUCT((MOVIMIENTOS!$B$5:$B$1005="SALDO INICIAL")*(MOVIMIENTOS!$C$5:$C$1005="Chancho")*(MOVIMIENTOS!$D$5:$D$1005="sacos")*(MOVIMIENTOS!$A$5:$A$1005&lt;&gt;"")*(MOVIMIENTOS!$A$5:$A$1005&lt;=$A518)*MOVIMIENTOS!$E$5:$E$1005)+SUMPRODUCT((MOVIMIENTOS!$B$5:$B$1005="PROCESO")*(MOVIMIENTOS!$C$5:$C$1005="Chancho")*(MOVIMIENTOS!$D$5:$D$1005="sacos")*(MOVIMIENTOS!$A$5:$A$1005&lt;&gt;"")*(MOVIMIENTOS!$A$5:$A$1005&lt;=$A518)*MOVIMIENTOS!$E$5:$E$1005)-SUMPRODUCT((MOVIMIENTOS!$B$5:$B$1005="VENTA CHANCHO")*(MOVIMIENTOS!$C$5:$C$1005="Chancho")*(MOVIMIENTOS!$D$5:$D$1005="sacos")*(MOVIMIENTOS!$A$5:$A$1005&lt;&gt;"")*(MOVIMIENTOS!$A$5:$A$1005&lt;=$A518)*MOVIMIENTOS!$E$5:$E$1005)-SUMPRODUCT((MOVIMIENTOS!$B$5:$B$1005="REGALO")*(MOVIMIENTOS!$C$5:$C$1005="Chancho")*(MOVIMIENTOS!$D$5:$D$1005="sacos")*(MOVIMIENTOS!$A$5:$A$1005&lt;&gt;"")*(MOVIMIENTOS!$A$5:$A$1005&lt;=$A518)*MOVIMIENTOS!$E$5:$E$1005)-SUMPRODUCT((MOVIMIENTOS!$B$5:$B$1005="VENTA")*(MOVIMIENTOS!$C$5:$C$1005="Chancho")*(MOVIMIENTOS!$D$5:$D$1005="sacos")*(MOVIMIENTOS!$A$5:$A$1005&lt;&gt;"")*(MOVIMIENTOS!$A$5:$A$1005&lt;=$A518)*MOVIMIENTOS!$E$5:$E$1005)+SUMPRODUCT((MOVIMIENTOS!$B$5:$B$1005="AJUSTE")*(MOVIMIENTOS!$C$5:$C$1005="Chancho")*(MOVIMIENTOS!$D$5:$D$1005="sacos")*(MOVIMIENTOS!$A$5:$A$1005&lt;&gt;"")*(MOVIMIENTOS!$A$5:$A$1005&lt;=$A518)*MOVIMIENTOS!$E$5:$E$1005))</f>
        <v/>
      </c>
      <c r="G518" s="62" t="str">
        <f t="shared" si="17"/>
        <v/>
      </c>
      <c r="H518" t="str">
        <f>IF($A518="","",SUMPRODUCT((((MOVIMIENTOS!$B$5:$B$1005="SALDO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518)*MOVIMIENTOS!$J$5:$J$1005))</f>
        <v/>
      </c>
      <c r="J518" t="str">
        <f>IF(AND(MOVIMIENTOS!$A523&lt;&gt;"",COUNTIF(MOVIMIENTOS!$A$5:$A522,MOVIMIENTOS!$A523)=0),COUNT(J$4:J517)+1,"")</f>
        <v/>
      </c>
      <c r="K518">
        <f>MOVIMIENTOS!$A523</f>
        <v>0</v>
      </c>
    </row>
    <row r="519" spans="1:11" ht="15" customHeight="1" x14ac:dyDescent="0.2">
      <c r="A519" t="str">
        <f t="shared" si="16"/>
        <v/>
      </c>
      <c r="B519" t="str">
        <f>IF($A519="","",SUMPRODUCT((MOVIMIENTOS!$B$5:$B$1005="SALDO INICIAL")*(MOVIMIENTOS!$C$5:$C$1005="A")*(MOVIMIENTOS!$D$5:$D$1005="jabas")*(MOVIMIENTOS!$A$5:$A$1005&lt;&gt;"")*(MOVIMIENTOS!$A$5:$A$1005&lt;=$A519)*MOVIMIENTOS!$E$5:$E$1005)+SUMPRODUCT((MOVIMIENTOS!$B$5:$B$1005="PROCESO")*(MOVIMIENTOS!$C$5:$C$1005="A")*(MOVIMIENTOS!$D$5:$D$1005="jabas")*(MOVIMIENTOS!$A$5:$A$1005&lt;&gt;"")*(MOVIMIENTOS!$A$5:$A$1005&lt;=$A519)*MOVIMIENTOS!$E$5:$E$1005)-SUMPRODUCT((MOVIMIENTOS!$B$5:$B$1005="ENVÍO A SUPESA")*(MOVIMIENTOS!$C$5:$C$1005="A")*(MOVIMIENTOS!$D$5:$D$1005="jabas")*(MOVIMIENTOS!$A$5:$A$1005&lt;&gt;"")*(MOVIMIENTOS!$A$5:$A$1005&lt;=$A519)*MOVIMIENTOS!$E$5:$E$1005)+SUMPRODUCT((MOVIMIENTOS!$B$5:$B$1005="DEVOLUCIÓN")*(MOVIMIENTOS!$C$5:$C$1005="A")*(MOVIMIENTOS!$D$5:$D$1005="jabas")*(MOVIMIENTOS!$A$5:$A$1005&lt;&gt;"")*(MOVIMIENTOS!$A$5:$A$1005&lt;=$A519)*MOVIMIENTOS!$E$5:$E$1005)-SUMPRODUCT((MOVIMIENTOS!$B$5:$B$1005="TRASIEGO")*(MOVIMIENTOS!$C$5:$C$1005="A")*(MOVIMIENTOS!$D$5:$D$1005="jabas")*(MOVIMIENTOS!$A$5:$A$1005&lt;&gt;"")*(MOVIMIENTOS!$A$5:$A$1005&lt;=$A519)*MOVIMIENTOS!$E$5:$E$1005)-SUMPRODUCT((MOVIMIENTOS!$B$5:$B$1005="REGALO")*(MOVIMIENTOS!$C$5:$C$1005="A")*(MOVIMIENTOS!$D$5:$D$1005="jabas")*(MOVIMIENTOS!$A$5:$A$1005&lt;&gt;"")*(MOVIMIENTOS!$A$5:$A$1005&lt;=$A519)*MOVIMIENTOS!$E$5:$E$1005)-SUMPRODUCT((MOVIMIENTOS!$B$5:$B$1005="VENTA")*(MOVIMIENTOS!$C$5:$C$1005="A")*(MOVIMIENTOS!$D$5:$D$1005="jabas")*(MOVIMIENTOS!$A$5:$A$1005&lt;&gt;"")*(MOVIMIENTOS!$A$5:$A$1005&lt;=$A519)*MOVIMIENTOS!$E$5:$E$1005)+SUMPRODUCT((MOVIMIENTOS!$B$5:$B$1005="AJUSTE")*(MOVIMIENTOS!$C$5:$C$1005="A")*(MOVIMIENTOS!$D$5:$D$1005="jabas")*(MOVIMIENTOS!$A$5:$A$1005&lt;&gt;"")*(MOVIMIENTOS!$A$5:$A$1005&lt;=$A519)*MOVIMIENTOS!$E$5:$E$1005))</f>
        <v/>
      </c>
      <c r="C519" t="str">
        <f>IF($A519="","",SUMPRODUCT((MOVIMIENTOS!$B$5:$B$1005="SALDO INICIAL")*(MOVIMIENTOS!$C$5:$C$1005="P")*(MOVIMIENTOS!$D$5:$D$1005="jabas")*(MOVIMIENTOS!$A$5:$A$1005&lt;&gt;"")*(MOVIMIENTOS!$A$5:$A$1005&lt;=$A519)*MOVIMIENTOS!$E$5:$E$1005)+SUMPRODUCT((MOVIMIENTOS!$B$5:$B$1005="PROCESO")*(MOVIMIENTOS!$C$5:$C$1005="P")*(MOVIMIENTOS!$D$5:$D$1005="jabas")*(MOVIMIENTOS!$A$5:$A$1005&lt;&gt;"")*(MOVIMIENTOS!$A$5:$A$1005&lt;=$A519)*MOVIMIENTOS!$E$5:$E$1005)-SUMPRODUCT((MOVIMIENTOS!$B$5:$B$1005="ENVÍO A SUPESA")*(MOVIMIENTOS!$C$5:$C$1005="P")*(MOVIMIENTOS!$D$5:$D$1005="jabas")*(MOVIMIENTOS!$A$5:$A$1005&lt;&gt;"")*(MOVIMIENTOS!$A$5:$A$1005&lt;=$A519)*MOVIMIENTOS!$E$5:$E$1005)+SUMPRODUCT((MOVIMIENTOS!$B$5:$B$1005="DEVOLUCIÓN")*(MOVIMIENTOS!$C$5:$C$1005="P")*(MOVIMIENTOS!$D$5:$D$1005="jabas")*(MOVIMIENTOS!$A$5:$A$1005&lt;&gt;"")*(MOVIMIENTOS!$A$5:$A$1005&lt;=$A519)*MOVIMIENTOS!$E$5:$E$1005)-SUMPRODUCT((MOVIMIENTOS!$B$5:$B$1005="TRASIEGO")*(MOVIMIENTOS!$C$5:$C$1005="P")*(MOVIMIENTOS!$D$5:$D$1005="jabas")*(MOVIMIENTOS!$A$5:$A$1005&lt;&gt;"")*(MOVIMIENTOS!$A$5:$A$1005&lt;=$A519)*MOVIMIENTOS!$E$5:$E$1005)-SUMPRODUCT((MOVIMIENTOS!$B$5:$B$1005="REGALO")*(MOVIMIENTOS!$C$5:$C$1005="P")*(MOVIMIENTOS!$D$5:$D$1005="jabas")*(MOVIMIENTOS!$A$5:$A$1005&lt;&gt;"")*(MOVIMIENTOS!$A$5:$A$1005&lt;=$A519)*MOVIMIENTOS!$E$5:$E$1005)-SUMPRODUCT((MOVIMIENTOS!$B$5:$B$1005="VENTA")*(MOVIMIENTOS!$C$5:$C$1005="P")*(MOVIMIENTOS!$D$5:$D$1005="jabas")*(MOVIMIENTOS!$A$5:$A$1005&lt;&gt;"")*(MOVIMIENTOS!$A$5:$A$1005&lt;=$A519)*MOVIMIENTOS!$E$5:$E$1005)+SUMPRODUCT((MOVIMIENTOS!$B$5:$B$1005="AJUSTE")*(MOVIMIENTOS!$C$5:$C$1005="P")*(MOVIMIENTOS!$D$5:$D$1005="jabas")*(MOVIMIENTOS!$A$5:$A$1005&lt;&gt;"")*(MOVIMIENTOS!$A$5:$A$1005&lt;=$A519)*MOVIMIENTOS!$E$5:$E$1005))</f>
        <v/>
      </c>
      <c r="D519" t="str">
        <f>IF($A519="","",SUMPRODUCT((MOVIMIENTOS!$B$5:$B$1005="SALDO INICIAL")*(MOVIMIENTOS!$C$5:$C$1005="C")*(MOVIMIENTOS!$D$5:$D$1005="jabas")*(MOVIMIENTOS!$A$5:$A$1005&lt;&gt;"")*(MOVIMIENTOS!$A$5:$A$1005&lt;=$A519)*MOVIMIENTOS!$E$5:$E$1005)+SUMPRODUCT((MOVIMIENTOS!$B$5:$B$1005="PROCESO")*(MOVIMIENTOS!$C$5:$C$1005="C")*(MOVIMIENTOS!$D$5:$D$1005="jabas")*(MOVIMIENTOS!$A$5:$A$1005&lt;&gt;"")*(MOVIMIENTOS!$A$5:$A$1005&lt;=$A519)*MOVIMIENTOS!$E$5:$E$1005)-SUMPRODUCT((MOVIMIENTOS!$B$5:$B$1005="ENVÍO A SUPESA")*(MOVIMIENTOS!$C$5:$C$1005="C")*(MOVIMIENTOS!$D$5:$D$1005="jabas")*(MOVIMIENTOS!$A$5:$A$1005&lt;&gt;"")*(MOVIMIENTOS!$A$5:$A$1005&lt;=$A519)*MOVIMIENTOS!$E$5:$E$1005)+SUMPRODUCT((MOVIMIENTOS!$B$5:$B$1005="DEVOLUCIÓN")*(MOVIMIENTOS!$C$5:$C$1005="C")*(MOVIMIENTOS!$D$5:$D$1005="jabas")*(MOVIMIENTOS!$A$5:$A$1005&lt;&gt;"")*(MOVIMIENTOS!$A$5:$A$1005&lt;=$A519)*MOVIMIENTOS!$E$5:$E$1005)-SUMPRODUCT((MOVIMIENTOS!$B$5:$B$1005="TRASIEGO")*(MOVIMIENTOS!$C$5:$C$1005="C")*(MOVIMIENTOS!$D$5:$D$1005="jabas")*(MOVIMIENTOS!$A$5:$A$1005&lt;&gt;"")*(MOVIMIENTOS!$A$5:$A$1005&lt;=$A519)*MOVIMIENTOS!$E$5:$E$1005)-SUMPRODUCT((MOVIMIENTOS!$B$5:$B$1005="REGALO")*(MOVIMIENTOS!$C$5:$C$1005="C")*(MOVIMIENTOS!$D$5:$D$1005="jabas")*(MOVIMIENTOS!$A$5:$A$1005&lt;&gt;"")*(MOVIMIENTOS!$A$5:$A$1005&lt;=$A519)*MOVIMIENTOS!$E$5:$E$1005)-SUMPRODUCT((MOVIMIENTOS!$B$5:$B$1005="VENTA")*(MOVIMIENTOS!$C$5:$C$1005="C")*(MOVIMIENTOS!$D$5:$D$1005="jabas")*(MOVIMIENTOS!$A$5:$A$1005&lt;&gt;"")*(MOVIMIENTOS!$A$5:$A$1005&lt;=$A519)*MOVIMIENTOS!$E$5:$E$1005)+SUMPRODUCT((MOVIMIENTOS!$B$5:$B$1005="AJUSTE")*(MOVIMIENTOS!$C$5:$C$1005="C")*(MOVIMIENTOS!$D$5:$D$1005="jabas")*(MOVIMIENTOS!$A$5:$A$1005&lt;&gt;"")*(MOVIMIENTOS!$A$5:$A$1005&lt;=$A519)*MOVIMIENTOS!$E$5:$E$1005))</f>
        <v/>
      </c>
      <c r="E519" t="str">
        <f>IF($A519="","",SUMPRODUCT((MOVIMIENTOS!$B$5:$B$1005="SALDO INICIAL")*(MOVIMIENTOS!$C$5:$C$1005="M")*(MOVIMIENTOS!$D$5:$D$1005="jabas")*(MOVIMIENTOS!$A$5:$A$1005&lt;&gt;"")*(MOVIMIENTOS!$A$5:$A$1005&lt;=$A519)*MOVIMIENTOS!$E$5:$E$1005)+SUMPRODUCT((MOVIMIENTOS!$B$5:$B$1005="PROCESO")*(MOVIMIENTOS!$C$5:$C$1005="M")*(MOVIMIENTOS!$D$5:$D$1005="jabas")*(MOVIMIENTOS!$A$5:$A$1005&lt;&gt;"")*(MOVIMIENTOS!$A$5:$A$1005&lt;=$A519)*MOVIMIENTOS!$E$5:$E$1005)-SUMPRODUCT((MOVIMIENTOS!$B$5:$B$1005="ENVÍO A SUPESA")*(MOVIMIENTOS!$C$5:$C$1005="M")*(MOVIMIENTOS!$D$5:$D$1005="jabas")*(MOVIMIENTOS!$A$5:$A$1005&lt;&gt;"")*(MOVIMIENTOS!$A$5:$A$1005&lt;=$A519)*MOVIMIENTOS!$E$5:$E$1005)+SUMPRODUCT((MOVIMIENTOS!$B$5:$B$1005="DEVOLUCIÓN")*(MOVIMIENTOS!$C$5:$C$1005="M")*(MOVIMIENTOS!$D$5:$D$1005="jabas")*(MOVIMIENTOS!$A$5:$A$1005&lt;&gt;"")*(MOVIMIENTOS!$A$5:$A$1005&lt;=$A519)*MOVIMIENTOS!$E$5:$E$1005)-SUMPRODUCT((MOVIMIENTOS!$B$5:$B$1005="TRASIEGO")*(MOVIMIENTOS!$C$5:$C$1005="M")*(MOVIMIENTOS!$D$5:$D$1005="jabas")*(MOVIMIENTOS!$A$5:$A$1005&lt;&gt;"")*(MOVIMIENTOS!$A$5:$A$1005&lt;=$A519)*MOVIMIENTOS!$E$5:$E$1005)-SUMPRODUCT((MOVIMIENTOS!$B$5:$B$1005="REGALO")*(MOVIMIENTOS!$C$5:$C$1005="M")*(MOVIMIENTOS!$D$5:$D$1005="jabas")*(MOVIMIENTOS!$A$5:$A$1005&lt;&gt;"")*(MOVIMIENTOS!$A$5:$A$1005&lt;=$A519)*MOVIMIENTOS!$E$5:$E$1005)-SUMPRODUCT((MOVIMIENTOS!$B$5:$B$1005="VENTA")*(MOVIMIENTOS!$C$5:$C$1005="M")*(MOVIMIENTOS!$D$5:$D$1005="jabas")*(MOVIMIENTOS!$A$5:$A$1005&lt;&gt;"")*(MOVIMIENTOS!$A$5:$A$1005&lt;=$A519)*MOVIMIENTOS!$E$5:$E$1005)+SUMPRODUCT((MOVIMIENTOS!$B$5:$B$1005="AJUSTE")*(MOVIMIENTOS!$C$5:$C$1005="M")*(MOVIMIENTOS!$D$5:$D$1005="jabas")*(MOVIMIENTOS!$A$5:$A$1005&lt;&gt;"")*(MOVIMIENTOS!$A$5:$A$1005&lt;=$A519)*MOVIMIENTOS!$E$5:$E$1005))</f>
        <v/>
      </c>
      <c r="F519" s="62" t="str">
        <f>IF($A519="","",SUMPRODUCT((MOVIMIENTOS!$B$5:$B$1005="SALDO INICIAL")*(MOVIMIENTOS!$C$5:$C$1005="Chancho")*(MOVIMIENTOS!$D$5:$D$1005="sacos")*(MOVIMIENTOS!$A$5:$A$1005&lt;&gt;"")*(MOVIMIENTOS!$A$5:$A$1005&lt;=$A519)*MOVIMIENTOS!$E$5:$E$1005)+SUMPRODUCT((MOVIMIENTOS!$B$5:$B$1005="PROCESO")*(MOVIMIENTOS!$C$5:$C$1005="Chancho")*(MOVIMIENTOS!$D$5:$D$1005="sacos")*(MOVIMIENTOS!$A$5:$A$1005&lt;&gt;"")*(MOVIMIENTOS!$A$5:$A$1005&lt;=$A519)*MOVIMIENTOS!$E$5:$E$1005)-SUMPRODUCT((MOVIMIENTOS!$B$5:$B$1005="VENTA CHANCHO")*(MOVIMIENTOS!$C$5:$C$1005="Chancho")*(MOVIMIENTOS!$D$5:$D$1005="sacos")*(MOVIMIENTOS!$A$5:$A$1005&lt;&gt;"")*(MOVIMIENTOS!$A$5:$A$1005&lt;=$A519)*MOVIMIENTOS!$E$5:$E$1005)-SUMPRODUCT((MOVIMIENTOS!$B$5:$B$1005="REGALO")*(MOVIMIENTOS!$C$5:$C$1005="Chancho")*(MOVIMIENTOS!$D$5:$D$1005="sacos")*(MOVIMIENTOS!$A$5:$A$1005&lt;&gt;"")*(MOVIMIENTOS!$A$5:$A$1005&lt;=$A519)*MOVIMIENTOS!$E$5:$E$1005)-SUMPRODUCT((MOVIMIENTOS!$B$5:$B$1005="VENTA")*(MOVIMIENTOS!$C$5:$C$1005="Chancho")*(MOVIMIENTOS!$D$5:$D$1005="sacos")*(MOVIMIENTOS!$A$5:$A$1005&lt;&gt;"")*(MOVIMIENTOS!$A$5:$A$1005&lt;=$A519)*MOVIMIENTOS!$E$5:$E$1005)+SUMPRODUCT((MOVIMIENTOS!$B$5:$B$1005="AJUSTE")*(MOVIMIENTOS!$C$5:$C$1005="Chancho")*(MOVIMIENTOS!$D$5:$D$1005="sacos")*(MOVIMIENTOS!$A$5:$A$1005&lt;&gt;"")*(MOVIMIENTOS!$A$5:$A$1005&lt;=$A519)*MOVIMIENTOS!$E$5:$E$1005))</f>
        <v/>
      </c>
      <c r="G519" s="62" t="str">
        <f t="shared" si="17"/>
        <v/>
      </c>
      <c r="H519" t="str">
        <f>IF($A519="","",SUMPRODUCT((((MOVIMIENTOS!$B$5:$B$1005="SALDO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519)*MOVIMIENTOS!$J$5:$J$1005))</f>
        <v/>
      </c>
      <c r="J519" t="str">
        <f>IF(AND(MOVIMIENTOS!$A524&lt;&gt;"",COUNTIF(MOVIMIENTOS!$A$5:$A523,MOVIMIENTOS!$A524)=0),COUNT(J$4:J518)+1,"")</f>
        <v/>
      </c>
      <c r="K519">
        <f>MOVIMIENTOS!$A524</f>
        <v>0</v>
      </c>
    </row>
    <row r="520" spans="1:11" ht="15" customHeight="1" x14ac:dyDescent="0.2">
      <c r="A520" t="str">
        <f t="shared" si="16"/>
        <v/>
      </c>
      <c r="B520" t="str">
        <f>IF($A520="","",SUMPRODUCT((MOVIMIENTOS!$B$5:$B$1005="SALDO INICIAL")*(MOVIMIENTOS!$C$5:$C$1005="A")*(MOVIMIENTOS!$D$5:$D$1005="jabas")*(MOVIMIENTOS!$A$5:$A$1005&lt;&gt;"")*(MOVIMIENTOS!$A$5:$A$1005&lt;=$A520)*MOVIMIENTOS!$E$5:$E$1005)+SUMPRODUCT((MOVIMIENTOS!$B$5:$B$1005="PROCESO")*(MOVIMIENTOS!$C$5:$C$1005="A")*(MOVIMIENTOS!$D$5:$D$1005="jabas")*(MOVIMIENTOS!$A$5:$A$1005&lt;&gt;"")*(MOVIMIENTOS!$A$5:$A$1005&lt;=$A520)*MOVIMIENTOS!$E$5:$E$1005)-SUMPRODUCT((MOVIMIENTOS!$B$5:$B$1005="ENVÍO A SUPESA")*(MOVIMIENTOS!$C$5:$C$1005="A")*(MOVIMIENTOS!$D$5:$D$1005="jabas")*(MOVIMIENTOS!$A$5:$A$1005&lt;&gt;"")*(MOVIMIENTOS!$A$5:$A$1005&lt;=$A520)*MOVIMIENTOS!$E$5:$E$1005)+SUMPRODUCT((MOVIMIENTOS!$B$5:$B$1005="DEVOLUCIÓN")*(MOVIMIENTOS!$C$5:$C$1005="A")*(MOVIMIENTOS!$D$5:$D$1005="jabas")*(MOVIMIENTOS!$A$5:$A$1005&lt;&gt;"")*(MOVIMIENTOS!$A$5:$A$1005&lt;=$A520)*MOVIMIENTOS!$E$5:$E$1005)-SUMPRODUCT((MOVIMIENTOS!$B$5:$B$1005="TRASIEGO")*(MOVIMIENTOS!$C$5:$C$1005="A")*(MOVIMIENTOS!$D$5:$D$1005="jabas")*(MOVIMIENTOS!$A$5:$A$1005&lt;&gt;"")*(MOVIMIENTOS!$A$5:$A$1005&lt;=$A520)*MOVIMIENTOS!$E$5:$E$1005)-SUMPRODUCT((MOVIMIENTOS!$B$5:$B$1005="REGALO")*(MOVIMIENTOS!$C$5:$C$1005="A")*(MOVIMIENTOS!$D$5:$D$1005="jabas")*(MOVIMIENTOS!$A$5:$A$1005&lt;&gt;"")*(MOVIMIENTOS!$A$5:$A$1005&lt;=$A520)*MOVIMIENTOS!$E$5:$E$1005)-SUMPRODUCT((MOVIMIENTOS!$B$5:$B$1005="VENTA")*(MOVIMIENTOS!$C$5:$C$1005="A")*(MOVIMIENTOS!$D$5:$D$1005="jabas")*(MOVIMIENTOS!$A$5:$A$1005&lt;&gt;"")*(MOVIMIENTOS!$A$5:$A$1005&lt;=$A520)*MOVIMIENTOS!$E$5:$E$1005)+SUMPRODUCT((MOVIMIENTOS!$B$5:$B$1005="AJUSTE")*(MOVIMIENTOS!$C$5:$C$1005="A")*(MOVIMIENTOS!$D$5:$D$1005="jabas")*(MOVIMIENTOS!$A$5:$A$1005&lt;&gt;"")*(MOVIMIENTOS!$A$5:$A$1005&lt;=$A520)*MOVIMIENTOS!$E$5:$E$1005))</f>
        <v/>
      </c>
      <c r="C520" t="str">
        <f>IF($A520="","",SUMPRODUCT((MOVIMIENTOS!$B$5:$B$1005="SALDO INICIAL")*(MOVIMIENTOS!$C$5:$C$1005="P")*(MOVIMIENTOS!$D$5:$D$1005="jabas")*(MOVIMIENTOS!$A$5:$A$1005&lt;&gt;"")*(MOVIMIENTOS!$A$5:$A$1005&lt;=$A520)*MOVIMIENTOS!$E$5:$E$1005)+SUMPRODUCT((MOVIMIENTOS!$B$5:$B$1005="PROCESO")*(MOVIMIENTOS!$C$5:$C$1005="P")*(MOVIMIENTOS!$D$5:$D$1005="jabas")*(MOVIMIENTOS!$A$5:$A$1005&lt;&gt;"")*(MOVIMIENTOS!$A$5:$A$1005&lt;=$A520)*MOVIMIENTOS!$E$5:$E$1005)-SUMPRODUCT((MOVIMIENTOS!$B$5:$B$1005="ENVÍO A SUPESA")*(MOVIMIENTOS!$C$5:$C$1005="P")*(MOVIMIENTOS!$D$5:$D$1005="jabas")*(MOVIMIENTOS!$A$5:$A$1005&lt;&gt;"")*(MOVIMIENTOS!$A$5:$A$1005&lt;=$A520)*MOVIMIENTOS!$E$5:$E$1005)+SUMPRODUCT((MOVIMIENTOS!$B$5:$B$1005="DEVOLUCIÓN")*(MOVIMIENTOS!$C$5:$C$1005="P")*(MOVIMIENTOS!$D$5:$D$1005="jabas")*(MOVIMIENTOS!$A$5:$A$1005&lt;&gt;"")*(MOVIMIENTOS!$A$5:$A$1005&lt;=$A520)*MOVIMIENTOS!$E$5:$E$1005)-SUMPRODUCT((MOVIMIENTOS!$B$5:$B$1005="TRASIEGO")*(MOVIMIENTOS!$C$5:$C$1005="P")*(MOVIMIENTOS!$D$5:$D$1005="jabas")*(MOVIMIENTOS!$A$5:$A$1005&lt;&gt;"")*(MOVIMIENTOS!$A$5:$A$1005&lt;=$A520)*MOVIMIENTOS!$E$5:$E$1005)-SUMPRODUCT((MOVIMIENTOS!$B$5:$B$1005="REGALO")*(MOVIMIENTOS!$C$5:$C$1005="P")*(MOVIMIENTOS!$D$5:$D$1005="jabas")*(MOVIMIENTOS!$A$5:$A$1005&lt;&gt;"")*(MOVIMIENTOS!$A$5:$A$1005&lt;=$A520)*MOVIMIENTOS!$E$5:$E$1005)-SUMPRODUCT((MOVIMIENTOS!$B$5:$B$1005="VENTA")*(MOVIMIENTOS!$C$5:$C$1005="P")*(MOVIMIENTOS!$D$5:$D$1005="jabas")*(MOVIMIENTOS!$A$5:$A$1005&lt;&gt;"")*(MOVIMIENTOS!$A$5:$A$1005&lt;=$A520)*MOVIMIENTOS!$E$5:$E$1005)+SUMPRODUCT((MOVIMIENTOS!$B$5:$B$1005="AJUSTE")*(MOVIMIENTOS!$C$5:$C$1005="P")*(MOVIMIENTOS!$D$5:$D$1005="jabas")*(MOVIMIENTOS!$A$5:$A$1005&lt;&gt;"")*(MOVIMIENTOS!$A$5:$A$1005&lt;=$A520)*MOVIMIENTOS!$E$5:$E$1005))</f>
        <v/>
      </c>
      <c r="D520" t="str">
        <f>IF($A520="","",SUMPRODUCT((MOVIMIENTOS!$B$5:$B$1005="SALDO INICIAL")*(MOVIMIENTOS!$C$5:$C$1005="C")*(MOVIMIENTOS!$D$5:$D$1005="jabas")*(MOVIMIENTOS!$A$5:$A$1005&lt;&gt;"")*(MOVIMIENTOS!$A$5:$A$1005&lt;=$A520)*MOVIMIENTOS!$E$5:$E$1005)+SUMPRODUCT((MOVIMIENTOS!$B$5:$B$1005="PROCESO")*(MOVIMIENTOS!$C$5:$C$1005="C")*(MOVIMIENTOS!$D$5:$D$1005="jabas")*(MOVIMIENTOS!$A$5:$A$1005&lt;&gt;"")*(MOVIMIENTOS!$A$5:$A$1005&lt;=$A520)*MOVIMIENTOS!$E$5:$E$1005)-SUMPRODUCT((MOVIMIENTOS!$B$5:$B$1005="ENVÍO A SUPESA")*(MOVIMIENTOS!$C$5:$C$1005="C")*(MOVIMIENTOS!$D$5:$D$1005="jabas")*(MOVIMIENTOS!$A$5:$A$1005&lt;&gt;"")*(MOVIMIENTOS!$A$5:$A$1005&lt;=$A520)*MOVIMIENTOS!$E$5:$E$1005)+SUMPRODUCT((MOVIMIENTOS!$B$5:$B$1005="DEVOLUCIÓN")*(MOVIMIENTOS!$C$5:$C$1005="C")*(MOVIMIENTOS!$D$5:$D$1005="jabas")*(MOVIMIENTOS!$A$5:$A$1005&lt;&gt;"")*(MOVIMIENTOS!$A$5:$A$1005&lt;=$A520)*MOVIMIENTOS!$E$5:$E$1005)-SUMPRODUCT((MOVIMIENTOS!$B$5:$B$1005="TRASIEGO")*(MOVIMIENTOS!$C$5:$C$1005="C")*(MOVIMIENTOS!$D$5:$D$1005="jabas")*(MOVIMIENTOS!$A$5:$A$1005&lt;&gt;"")*(MOVIMIENTOS!$A$5:$A$1005&lt;=$A520)*MOVIMIENTOS!$E$5:$E$1005)-SUMPRODUCT((MOVIMIENTOS!$B$5:$B$1005="REGALO")*(MOVIMIENTOS!$C$5:$C$1005="C")*(MOVIMIENTOS!$D$5:$D$1005="jabas")*(MOVIMIENTOS!$A$5:$A$1005&lt;&gt;"")*(MOVIMIENTOS!$A$5:$A$1005&lt;=$A520)*MOVIMIENTOS!$E$5:$E$1005)-SUMPRODUCT((MOVIMIENTOS!$B$5:$B$1005="VENTA")*(MOVIMIENTOS!$C$5:$C$1005="C")*(MOVIMIENTOS!$D$5:$D$1005="jabas")*(MOVIMIENTOS!$A$5:$A$1005&lt;&gt;"")*(MOVIMIENTOS!$A$5:$A$1005&lt;=$A520)*MOVIMIENTOS!$E$5:$E$1005)+SUMPRODUCT((MOVIMIENTOS!$B$5:$B$1005="AJUSTE")*(MOVIMIENTOS!$C$5:$C$1005="C")*(MOVIMIENTOS!$D$5:$D$1005="jabas")*(MOVIMIENTOS!$A$5:$A$1005&lt;&gt;"")*(MOVIMIENTOS!$A$5:$A$1005&lt;=$A520)*MOVIMIENTOS!$E$5:$E$1005))</f>
        <v/>
      </c>
      <c r="E520" t="str">
        <f>IF($A520="","",SUMPRODUCT((MOVIMIENTOS!$B$5:$B$1005="SALDO INICIAL")*(MOVIMIENTOS!$C$5:$C$1005="M")*(MOVIMIENTOS!$D$5:$D$1005="jabas")*(MOVIMIENTOS!$A$5:$A$1005&lt;&gt;"")*(MOVIMIENTOS!$A$5:$A$1005&lt;=$A520)*MOVIMIENTOS!$E$5:$E$1005)+SUMPRODUCT((MOVIMIENTOS!$B$5:$B$1005="PROCESO")*(MOVIMIENTOS!$C$5:$C$1005="M")*(MOVIMIENTOS!$D$5:$D$1005="jabas")*(MOVIMIENTOS!$A$5:$A$1005&lt;&gt;"")*(MOVIMIENTOS!$A$5:$A$1005&lt;=$A520)*MOVIMIENTOS!$E$5:$E$1005)-SUMPRODUCT((MOVIMIENTOS!$B$5:$B$1005="ENVÍO A SUPESA")*(MOVIMIENTOS!$C$5:$C$1005="M")*(MOVIMIENTOS!$D$5:$D$1005="jabas")*(MOVIMIENTOS!$A$5:$A$1005&lt;&gt;"")*(MOVIMIENTOS!$A$5:$A$1005&lt;=$A520)*MOVIMIENTOS!$E$5:$E$1005)+SUMPRODUCT((MOVIMIENTOS!$B$5:$B$1005="DEVOLUCIÓN")*(MOVIMIENTOS!$C$5:$C$1005="M")*(MOVIMIENTOS!$D$5:$D$1005="jabas")*(MOVIMIENTOS!$A$5:$A$1005&lt;&gt;"")*(MOVIMIENTOS!$A$5:$A$1005&lt;=$A520)*MOVIMIENTOS!$E$5:$E$1005)-SUMPRODUCT((MOVIMIENTOS!$B$5:$B$1005="TRASIEGO")*(MOVIMIENTOS!$C$5:$C$1005="M")*(MOVIMIENTOS!$D$5:$D$1005="jabas")*(MOVIMIENTOS!$A$5:$A$1005&lt;&gt;"")*(MOVIMIENTOS!$A$5:$A$1005&lt;=$A520)*MOVIMIENTOS!$E$5:$E$1005)-SUMPRODUCT((MOVIMIENTOS!$B$5:$B$1005="REGALO")*(MOVIMIENTOS!$C$5:$C$1005="M")*(MOVIMIENTOS!$D$5:$D$1005="jabas")*(MOVIMIENTOS!$A$5:$A$1005&lt;&gt;"")*(MOVIMIENTOS!$A$5:$A$1005&lt;=$A520)*MOVIMIENTOS!$E$5:$E$1005)-SUMPRODUCT((MOVIMIENTOS!$B$5:$B$1005="VENTA")*(MOVIMIENTOS!$C$5:$C$1005="M")*(MOVIMIENTOS!$D$5:$D$1005="jabas")*(MOVIMIENTOS!$A$5:$A$1005&lt;&gt;"")*(MOVIMIENTOS!$A$5:$A$1005&lt;=$A520)*MOVIMIENTOS!$E$5:$E$1005)+SUMPRODUCT((MOVIMIENTOS!$B$5:$B$1005="AJUSTE")*(MOVIMIENTOS!$C$5:$C$1005="M")*(MOVIMIENTOS!$D$5:$D$1005="jabas")*(MOVIMIENTOS!$A$5:$A$1005&lt;&gt;"")*(MOVIMIENTOS!$A$5:$A$1005&lt;=$A520)*MOVIMIENTOS!$E$5:$E$1005))</f>
        <v/>
      </c>
      <c r="F520" s="62" t="str">
        <f>IF($A520="","",SUMPRODUCT((MOVIMIENTOS!$B$5:$B$1005="SALDO INICIAL")*(MOVIMIENTOS!$C$5:$C$1005="Chancho")*(MOVIMIENTOS!$D$5:$D$1005="sacos")*(MOVIMIENTOS!$A$5:$A$1005&lt;&gt;"")*(MOVIMIENTOS!$A$5:$A$1005&lt;=$A520)*MOVIMIENTOS!$E$5:$E$1005)+SUMPRODUCT((MOVIMIENTOS!$B$5:$B$1005="PROCESO")*(MOVIMIENTOS!$C$5:$C$1005="Chancho")*(MOVIMIENTOS!$D$5:$D$1005="sacos")*(MOVIMIENTOS!$A$5:$A$1005&lt;&gt;"")*(MOVIMIENTOS!$A$5:$A$1005&lt;=$A520)*MOVIMIENTOS!$E$5:$E$1005)-SUMPRODUCT((MOVIMIENTOS!$B$5:$B$1005="VENTA CHANCHO")*(MOVIMIENTOS!$C$5:$C$1005="Chancho")*(MOVIMIENTOS!$D$5:$D$1005="sacos")*(MOVIMIENTOS!$A$5:$A$1005&lt;&gt;"")*(MOVIMIENTOS!$A$5:$A$1005&lt;=$A520)*MOVIMIENTOS!$E$5:$E$1005)-SUMPRODUCT((MOVIMIENTOS!$B$5:$B$1005="REGALO")*(MOVIMIENTOS!$C$5:$C$1005="Chancho")*(MOVIMIENTOS!$D$5:$D$1005="sacos")*(MOVIMIENTOS!$A$5:$A$1005&lt;&gt;"")*(MOVIMIENTOS!$A$5:$A$1005&lt;=$A520)*MOVIMIENTOS!$E$5:$E$1005)-SUMPRODUCT((MOVIMIENTOS!$B$5:$B$1005="VENTA")*(MOVIMIENTOS!$C$5:$C$1005="Chancho")*(MOVIMIENTOS!$D$5:$D$1005="sacos")*(MOVIMIENTOS!$A$5:$A$1005&lt;&gt;"")*(MOVIMIENTOS!$A$5:$A$1005&lt;=$A520)*MOVIMIENTOS!$E$5:$E$1005)+SUMPRODUCT((MOVIMIENTOS!$B$5:$B$1005="AJUSTE")*(MOVIMIENTOS!$C$5:$C$1005="Chancho")*(MOVIMIENTOS!$D$5:$D$1005="sacos")*(MOVIMIENTOS!$A$5:$A$1005&lt;&gt;"")*(MOVIMIENTOS!$A$5:$A$1005&lt;=$A520)*MOVIMIENTOS!$E$5:$E$1005))</f>
        <v/>
      </c>
      <c r="G520" s="62" t="str">
        <f t="shared" si="17"/>
        <v/>
      </c>
      <c r="H520" t="str">
        <f>IF($A520="","",SUMPRODUCT((((MOVIMIENTOS!$B$5:$B$1005="SALDO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520)*MOVIMIENTOS!$J$5:$J$1005))</f>
        <v/>
      </c>
      <c r="J520" t="str">
        <f>IF(AND(MOVIMIENTOS!$A525&lt;&gt;"",COUNTIF(MOVIMIENTOS!$A$5:$A524,MOVIMIENTOS!$A525)=0),COUNT(J$4:J519)+1,"")</f>
        <v/>
      </c>
      <c r="K520">
        <f>MOVIMIENTOS!$A525</f>
        <v>0</v>
      </c>
    </row>
    <row r="521" spans="1:11" ht="15" customHeight="1" x14ac:dyDescent="0.2">
      <c r="A521" t="str">
        <f t="shared" si="16"/>
        <v/>
      </c>
      <c r="B521" t="str">
        <f>IF($A521="","",SUMPRODUCT((MOVIMIENTOS!$B$5:$B$1005="SALDO INICIAL")*(MOVIMIENTOS!$C$5:$C$1005="A")*(MOVIMIENTOS!$D$5:$D$1005="jabas")*(MOVIMIENTOS!$A$5:$A$1005&lt;&gt;"")*(MOVIMIENTOS!$A$5:$A$1005&lt;=$A521)*MOVIMIENTOS!$E$5:$E$1005)+SUMPRODUCT((MOVIMIENTOS!$B$5:$B$1005="PROCESO")*(MOVIMIENTOS!$C$5:$C$1005="A")*(MOVIMIENTOS!$D$5:$D$1005="jabas")*(MOVIMIENTOS!$A$5:$A$1005&lt;&gt;"")*(MOVIMIENTOS!$A$5:$A$1005&lt;=$A521)*MOVIMIENTOS!$E$5:$E$1005)-SUMPRODUCT((MOVIMIENTOS!$B$5:$B$1005="ENVÍO A SUPESA")*(MOVIMIENTOS!$C$5:$C$1005="A")*(MOVIMIENTOS!$D$5:$D$1005="jabas")*(MOVIMIENTOS!$A$5:$A$1005&lt;&gt;"")*(MOVIMIENTOS!$A$5:$A$1005&lt;=$A521)*MOVIMIENTOS!$E$5:$E$1005)+SUMPRODUCT((MOVIMIENTOS!$B$5:$B$1005="DEVOLUCIÓN")*(MOVIMIENTOS!$C$5:$C$1005="A")*(MOVIMIENTOS!$D$5:$D$1005="jabas")*(MOVIMIENTOS!$A$5:$A$1005&lt;&gt;"")*(MOVIMIENTOS!$A$5:$A$1005&lt;=$A521)*MOVIMIENTOS!$E$5:$E$1005)-SUMPRODUCT((MOVIMIENTOS!$B$5:$B$1005="TRASIEGO")*(MOVIMIENTOS!$C$5:$C$1005="A")*(MOVIMIENTOS!$D$5:$D$1005="jabas")*(MOVIMIENTOS!$A$5:$A$1005&lt;&gt;"")*(MOVIMIENTOS!$A$5:$A$1005&lt;=$A521)*MOVIMIENTOS!$E$5:$E$1005)-SUMPRODUCT((MOVIMIENTOS!$B$5:$B$1005="REGALO")*(MOVIMIENTOS!$C$5:$C$1005="A")*(MOVIMIENTOS!$D$5:$D$1005="jabas")*(MOVIMIENTOS!$A$5:$A$1005&lt;&gt;"")*(MOVIMIENTOS!$A$5:$A$1005&lt;=$A521)*MOVIMIENTOS!$E$5:$E$1005)-SUMPRODUCT((MOVIMIENTOS!$B$5:$B$1005="VENTA")*(MOVIMIENTOS!$C$5:$C$1005="A")*(MOVIMIENTOS!$D$5:$D$1005="jabas")*(MOVIMIENTOS!$A$5:$A$1005&lt;&gt;"")*(MOVIMIENTOS!$A$5:$A$1005&lt;=$A521)*MOVIMIENTOS!$E$5:$E$1005)+SUMPRODUCT((MOVIMIENTOS!$B$5:$B$1005="AJUSTE")*(MOVIMIENTOS!$C$5:$C$1005="A")*(MOVIMIENTOS!$D$5:$D$1005="jabas")*(MOVIMIENTOS!$A$5:$A$1005&lt;&gt;"")*(MOVIMIENTOS!$A$5:$A$1005&lt;=$A521)*MOVIMIENTOS!$E$5:$E$1005))</f>
        <v/>
      </c>
      <c r="C521" t="str">
        <f>IF($A521="","",SUMPRODUCT((MOVIMIENTOS!$B$5:$B$1005="SALDO INICIAL")*(MOVIMIENTOS!$C$5:$C$1005="P")*(MOVIMIENTOS!$D$5:$D$1005="jabas")*(MOVIMIENTOS!$A$5:$A$1005&lt;&gt;"")*(MOVIMIENTOS!$A$5:$A$1005&lt;=$A521)*MOVIMIENTOS!$E$5:$E$1005)+SUMPRODUCT((MOVIMIENTOS!$B$5:$B$1005="PROCESO")*(MOVIMIENTOS!$C$5:$C$1005="P")*(MOVIMIENTOS!$D$5:$D$1005="jabas")*(MOVIMIENTOS!$A$5:$A$1005&lt;&gt;"")*(MOVIMIENTOS!$A$5:$A$1005&lt;=$A521)*MOVIMIENTOS!$E$5:$E$1005)-SUMPRODUCT((MOVIMIENTOS!$B$5:$B$1005="ENVÍO A SUPESA")*(MOVIMIENTOS!$C$5:$C$1005="P")*(MOVIMIENTOS!$D$5:$D$1005="jabas")*(MOVIMIENTOS!$A$5:$A$1005&lt;&gt;"")*(MOVIMIENTOS!$A$5:$A$1005&lt;=$A521)*MOVIMIENTOS!$E$5:$E$1005)+SUMPRODUCT((MOVIMIENTOS!$B$5:$B$1005="DEVOLUCIÓN")*(MOVIMIENTOS!$C$5:$C$1005="P")*(MOVIMIENTOS!$D$5:$D$1005="jabas")*(MOVIMIENTOS!$A$5:$A$1005&lt;&gt;"")*(MOVIMIENTOS!$A$5:$A$1005&lt;=$A521)*MOVIMIENTOS!$E$5:$E$1005)-SUMPRODUCT((MOVIMIENTOS!$B$5:$B$1005="TRASIEGO")*(MOVIMIENTOS!$C$5:$C$1005="P")*(MOVIMIENTOS!$D$5:$D$1005="jabas")*(MOVIMIENTOS!$A$5:$A$1005&lt;&gt;"")*(MOVIMIENTOS!$A$5:$A$1005&lt;=$A521)*MOVIMIENTOS!$E$5:$E$1005)-SUMPRODUCT((MOVIMIENTOS!$B$5:$B$1005="REGALO")*(MOVIMIENTOS!$C$5:$C$1005="P")*(MOVIMIENTOS!$D$5:$D$1005="jabas")*(MOVIMIENTOS!$A$5:$A$1005&lt;&gt;"")*(MOVIMIENTOS!$A$5:$A$1005&lt;=$A521)*MOVIMIENTOS!$E$5:$E$1005)-SUMPRODUCT((MOVIMIENTOS!$B$5:$B$1005="VENTA")*(MOVIMIENTOS!$C$5:$C$1005="P")*(MOVIMIENTOS!$D$5:$D$1005="jabas")*(MOVIMIENTOS!$A$5:$A$1005&lt;&gt;"")*(MOVIMIENTOS!$A$5:$A$1005&lt;=$A521)*MOVIMIENTOS!$E$5:$E$1005)+SUMPRODUCT((MOVIMIENTOS!$B$5:$B$1005="AJUSTE")*(MOVIMIENTOS!$C$5:$C$1005="P")*(MOVIMIENTOS!$D$5:$D$1005="jabas")*(MOVIMIENTOS!$A$5:$A$1005&lt;&gt;"")*(MOVIMIENTOS!$A$5:$A$1005&lt;=$A521)*MOVIMIENTOS!$E$5:$E$1005))</f>
        <v/>
      </c>
      <c r="D521" t="str">
        <f>IF($A521="","",SUMPRODUCT((MOVIMIENTOS!$B$5:$B$1005="SALDO INICIAL")*(MOVIMIENTOS!$C$5:$C$1005="C")*(MOVIMIENTOS!$D$5:$D$1005="jabas")*(MOVIMIENTOS!$A$5:$A$1005&lt;&gt;"")*(MOVIMIENTOS!$A$5:$A$1005&lt;=$A521)*MOVIMIENTOS!$E$5:$E$1005)+SUMPRODUCT((MOVIMIENTOS!$B$5:$B$1005="PROCESO")*(MOVIMIENTOS!$C$5:$C$1005="C")*(MOVIMIENTOS!$D$5:$D$1005="jabas")*(MOVIMIENTOS!$A$5:$A$1005&lt;&gt;"")*(MOVIMIENTOS!$A$5:$A$1005&lt;=$A521)*MOVIMIENTOS!$E$5:$E$1005)-SUMPRODUCT((MOVIMIENTOS!$B$5:$B$1005="ENVÍO A SUPESA")*(MOVIMIENTOS!$C$5:$C$1005="C")*(MOVIMIENTOS!$D$5:$D$1005="jabas")*(MOVIMIENTOS!$A$5:$A$1005&lt;&gt;"")*(MOVIMIENTOS!$A$5:$A$1005&lt;=$A521)*MOVIMIENTOS!$E$5:$E$1005)+SUMPRODUCT((MOVIMIENTOS!$B$5:$B$1005="DEVOLUCIÓN")*(MOVIMIENTOS!$C$5:$C$1005="C")*(MOVIMIENTOS!$D$5:$D$1005="jabas")*(MOVIMIENTOS!$A$5:$A$1005&lt;&gt;"")*(MOVIMIENTOS!$A$5:$A$1005&lt;=$A521)*MOVIMIENTOS!$E$5:$E$1005)-SUMPRODUCT((MOVIMIENTOS!$B$5:$B$1005="TRASIEGO")*(MOVIMIENTOS!$C$5:$C$1005="C")*(MOVIMIENTOS!$D$5:$D$1005="jabas")*(MOVIMIENTOS!$A$5:$A$1005&lt;&gt;"")*(MOVIMIENTOS!$A$5:$A$1005&lt;=$A521)*MOVIMIENTOS!$E$5:$E$1005)-SUMPRODUCT((MOVIMIENTOS!$B$5:$B$1005="REGALO")*(MOVIMIENTOS!$C$5:$C$1005="C")*(MOVIMIENTOS!$D$5:$D$1005="jabas")*(MOVIMIENTOS!$A$5:$A$1005&lt;&gt;"")*(MOVIMIENTOS!$A$5:$A$1005&lt;=$A521)*MOVIMIENTOS!$E$5:$E$1005)-SUMPRODUCT((MOVIMIENTOS!$B$5:$B$1005="VENTA")*(MOVIMIENTOS!$C$5:$C$1005="C")*(MOVIMIENTOS!$D$5:$D$1005="jabas")*(MOVIMIENTOS!$A$5:$A$1005&lt;&gt;"")*(MOVIMIENTOS!$A$5:$A$1005&lt;=$A521)*MOVIMIENTOS!$E$5:$E$1005)+SUMPRODUCT((MOVIMIENTOS!$B$5:$B$1005="AJUSTE")*(MOVIMIENTOS!$C$5:$C$1005="C")*(MOVIMIENTOS!$D$5:$D$1005="jabas")*(MOVIMIENTOS!$A$5:$A$1005&lt;&gt;"")*(MOVIMIENTOS!$A$5:$A$1005&lt;=$A521)*MOVIMIENTOS!$E$5:$E$1005))</f>
        <v/>
      </c>
      <c r="E521" t="str">
        <f>IF($A521="","",SUMPRODUCT((MOVIMIENTOS!$B$5:$B$1005="SALDO INICIAL")*(MOVIMIENTOS!$C$5:$C$1005="M")*(MOVIMIENTOS!$D$5:$D$1005="jabas")*(MOVIMIENTOS!$A$5:$A$1005&lt;&gt;"")*(MOVIMIENTOS!$A$5:$A$1005&lt;=$A521)*MOVIMIENTOS!$E$5:$E$1005)+SUMPRODUCT((MOVIMIENTOS!$B$5:$B$1005="PROCESO")*(MOVIMIENTOS!$C$5:$C$1005="M")*(MOVIMIENTOS!$D$5:$D$1005="jabas")*(MOVIMIENTOS!$A$5:$A$1005&lt;&gt;"")*(MOVIMIENTOS!$A$5:$A$1005&lt;=$A521)*MOVIMIENTOS!$E$5:$E$1005)-SUMPRODUCT((MOVIMIENTOS!$B$5:$B$1005="ENVÍO A SUPESA")*(MOVIMIENTOS!$C$5:$C$1005="M")*(MOVIMIENTOS!$D$5:$D$1005="jabas")*(MOVIMIENTOS!$A$5:$A$1005&lt;&gt;"")*(MOVIMIENTOS!$A$5:$A$1005&lt;=$A521)*MOVIMIENTOS!$E$5:$E$1005)+SUMPRODUCT((MOVIMIENTOS!$B$5:$B$1005="DEVOLUCIÓN")*(MOVIMIENTOS!$C$5:$C$1005="M")*(MOVIMIENTOS!$D$5:$D$1005="jabas")*(MOVIMIENTOS!$A$5:$A$1005&lt;&gt;"")*(MOVIMIENTOS!$A$5:$A$1005&lt;=$A521)*MOVIMIENTOS!$E$5:$E$1005)-SUMPRODUCT((MOVIMIENTOS!$B$5:$B$1005="TRASIEGO")*(MOVIMIENTOS!$C$5:$C$1005="M")*(MOVIMIENTOS!$D$5:$D$1005="jabas")*(MOVIMIENTOS!$A$5:$A$1005&lt;&gt;"")*(MOVIMIENTOS!$A$5:$A$1005&lt;=$A521)*MOVIMIENTOS!$E$5:$E$1005)-SUMPRODUCT((MOVIMIENTOS!$B$5:$B$1005="REGALO")*(MOVIMIENTOS!$C$5:$C$1005="M")*(MOVIMIENTOS!$D$5:$D$1005="jabas")*(MOVIMIENTOS!$A$5:$A$1005&lt;&gt;"")*(MOVIMIENTOS!$A$5:$A$1005&lt;=$A521)*MOVIMIENTOS!$E$5:$E$1005)-SUMPRODUCT((MOVIMIENTOS!$B$5:$B$1005="VENTA")*(MOVIMIENTOS!$C$5:$C$1005="M")*(MOVIMIENTOS!$D$5:$D$1005="jabas")*(MOVIMIENTOS!$A$5:$A$1005&lt;&gt;"")*(MOVIMIENTOS!$A$5:$A$1005&lt;=$A521)*MOVIMIENTOS!$E$5:$E$1005)+SUMPRODUCT((MOVIMIENTOS!$B$5:$B$1005="AJUSTE")*(MOVIMIENTOS!$C$5:$C$1005="M")*(MOVIMIENTOS!$D$5:$D$1005="jabas")*(MOVIMIENTOS!$A$5:$A$1005&lt;&gt;"")*(MOVIMIENTOS!$A$5:$A$1005&lt;=$A521)*MOVIMIENTOS!$E$5:$E$1005))</f>
        <v/>
      </c>
      <c r="F521" s="62" t="str">
        <f>IF($A521="","",SUMPRODUCT((MOVIMIENTOS!$B$5:$B$1005="SALDO INICIAL")*(MOVIMIENTOS!$C$5:$C$1005="Chancho")*(MOVIMIENTOS!$D$5:$D$1005="sacos")*(MOVIMIENTOS!$A$5:$A$1005&lt;&gt;"")*(MOVIMIENTOS!$A$5:$A$1005&lt;=$A521)*MOVIMIENTOS!$E$5:$E$1005)+SUMPRODUCT((MOVIMIENTOS!$B$5:$B$1005="PROCESO")*(MOVIMIENTOS!$C$5:$C$1005="Chancho")*(MOVIMIENTOS!$D$5:$D$1005="sacos")*(MOVIMIENTOS!$A$5:$A$1005&lt;&gt;"")*(MOVIMIENTOS!$A$5:$A$1005&lt;=$A521)*MOVIMIENTOS!$E$5:$E$1005)-SUMPRODUCT((MOVIMIENTOS!$B$5:$B$1005="VENTA CHANCHO")*(MOVIMIENTOS!$C$5:$C$1005="Chancho")*(MOVIMIENTOS!$D$5:$D$1005="sacos")*(MOVIMIENTOS!$A$5:$A$1005&lt;&gt;"")*(MOVIMIENTOS!$A$5:$A$1005&lt;=$A521)*MOVIMIENTOS!$E$5:$E$1005)-SUMPRODUCT((MOVIMIENTOS!$B$5:$B$1005="REGALO")*(MOVIMIENTOS!$C$5:$C$1005="Chancho")*(MOVIMIENTOS!$D$5:$D$1005="sacos")*(MOVIMIENTOS!$A$5:$A$1005&lt;&gt;"")*(MOVIMIENTOS!$A$5:$A$1005&lt;=$A521)*MOVIMIENTOS!$E$5:$E$1005)-SUMPRODUCT((MOVIMIENTOS!$B$5:$B$1005="VENTA")*(MOVIMIENTOS!$C$5:$C$1005="Chancho")*(MOVIMIENTOS!$D$5:$D$1005="sacos")*(MOVIMIENTOS!$A$5:$A$1005&lt;&gt;"")*(MOVIMIENTOS!$A$5:$A$1005&lt;=$A521)*MOVIMIENTOS!$E$5:$E$1005)+SUMPRODUCT((MOVIMIENTOS!$B$5:$B$1005="AJUSTE")*(MOVIMIENTOS!$C$5:$C$1005="Chancho")*(MOVIMIENTOS!$D$5:$D$1005="sacos")*(MOVIMIENTOS!$A$5:$A$1005&lt;&gt;"")*(MOVIMIENTOS!$A$5:$A$1005&lt;=$A521)*MOVIMIENTOS!$E$5:$E$1005))</f>
        <v/>
      </c>
      <c r="G521" s="62" t="str">
        <f t="shared" si="17"/>
        <v/>
      </c>
      <c r="H521" t="str">
        <f>IF($A521="","",SUMPRODUCT((((MOVIMIENTOS!$B$5:$B$1005="SALDO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521)*MOVIMIENTOS!$J$5:$J$1005))</f>
        <v/>
      </c>
      <c r="J521" t="str">
        <f>IF(AND(MOVIMIENTOS!$A526&lt;&gt;"",COUNTIF(MOVIMIENTOS!$A$5:$A525,MOVIMIENTOS!$A526)=0),COUNT(J$4:J520)+1,"")</f>
        <v/>
      </c>
      <c r="K521">
        <f>MOVIMIENTOS!$A526</f>
        <v>0</v>
      </c>
    </row>
    <row r="522" spans="1:11" ht="15" customHeight="1" x14ac:dyDescent="0.2">
      <c r="A522" t="str">
        <f t="shared" si="16"/>
        <v/>
      </c>
      <c r="B522" t="str">
        <f>IF($A522="","",SUMPRODUCT((MOVIMIENTOS!$B$5:$B$1005="SALDO INICIAL")*(MOVIMIENTOS!$C$5:$C$1005="A")*(MOVIMIENTOS!$D$5:$D$1005="jabas")*(MOVIMIENTOS!$A$5:$A$1005&lt;&gt;"")*(MOVIMIENTOS!$A$5:$A$1005&lt;=$A522)*MOVIMIENTOS!$E$5:$E$1005)+SUMPRODUCT((MOVIMIENTOS!$B$5:$B$1005="PROCESO")*(MOVIMIENTOS!$C$5:$C$1005="A")*(MOVIMIENTOS!$D$5:$D$1005="jabas")*(MOVIMIENTOS!$A$5:$A$1005&lt;&gt;"")*(MOVIMIENTOS!$A$5:$A$1005&lt;=$A522)*MOVIMIENTOS!$E$5:$E$1005)-SUMPRODUCT((MOVIMIENTOS!$B$5:$B$1005="ENVÍO A SUPESA")*(MOVIMIENTOS!$C$5:$C$1005="A")*(MOVIMIENTOS!$D$5:$D$1005="jabas")*(MOVIMIENTOS!$A$5:$A$1005&lt;&gt;"")*(MOVIMIENTOS!$A$5:$A$1005&lt;=$A522)*MOVIMIENTOS!$E$5:$E$1005)+SUMPRODUCT((MOVIMIENTOS!$B$5:$B$1005="DEVOLUCIÓN")*(MOVIMIENTOS!$C$5:$C$1005="A")*(MOVIMIENTOS!$D$5:$D$1005="jabas")*(MOVIMIENTOS!$A$5:$A$1005&lt;&gt;"")*(MOVIMIENTOS!$A$5:$A$1005&lt;=$A522)*MOVIMIENTOS!$E$5:$E$1005)-SUMPRODUCT((MOVIMIENTOS!$B$5:$B$1005="TRASIEGO")*(MOVIMIENTOS!$C$5:$C$1005="A")*(MOVIMIENTOS!$D$5:$D$1005="jabas")*(MOVIMIENTOS!$A$5:$A$1005&lt;&gt;"")*(MOVIMIENTOS!$A$5:$A$1005&lt;=$A522)*MOVIMIENTOS!$E$5:$E$1005)-SUMPRODUCT((MOVIMIENTOS!$B$5:$B$1005="REGALO")*(MOVIMIENTOS!$C$5:$C$1005="A")*(MOVIMIENTOS!$D$5:$D$1005="jabas")*(MOVIMIENTOS!$A$5:$A$1005&lt;&gt;"")*(MOVIMIENTOS!$A$5:$A$1005&lt;=$A522)*MOVIMIENTOS!$E$5:$E$1005)-SUMPRODUCT((MOVIMIENTOS!$B$5:$B$1005="VENTA")*(MOVIMIENTOS!$C$5:$C$1005="A")*(MOVIMIENTOS!$D$5:$D$1005="jabas")*(MOVIMIENTOS!$A$5:$A$1005&lt;&gt;"")*(MOVIMIENTOS!$A$5:$A$1005&lt;=$A522)*MOVIMIENTOS!$E$5:$E$1005)+SUMPRODUCT((MOVIMIENTOS!$B$5:$B$1005="AJUSTE")*(MOVIMIENTOS!$C$5:$C$1005="A")*(MOVIMIENTOS!$D$5:$D$1005="jabas")*(MOVIMIENTOS!$A$5:$A$1005&lt;&gt;"")*(MOVIMIENTOS!$A$5:$A$1005&lt;=$A522)*MOVIMIENTOS!$E$5:$E$1005))</f>
        <v/>
      </c>
      <c r="C522" t="str">
        <f>IF($A522="","",SUMPRODUCT((MOVIMIENTOS!$B$5:$B$1005="SALDO INICIAL")*(MOVIMIENTOS!$C$5:$C$1005="P")*(MOVIMIENTOS!$D$5:$D$1005="jabas")*(MOVIMIENTOS!$A$5:$A$1005&lt;&gt;"")*(MOVIMIENTOS!$A$5:$A$1005&lt;=$A522)*MOVIMIENTOS!$E$5:$E$1005)+SUMPRODUCT((MOVIMIENTOS!$B$5:$B$1005="PROCESO")*(MOVIMIENTOS!$C$5:$C$1005="P")*(MOVIMIENTOS!$D$5:$D$1005="jabas")*(MOVIMIENTOS!$A$5:$A$1005&lt;&gt;"")*(MOVIMIENTOS!$A$5:$A$1005&lt;=$A522)*MOVIMIENTOS!$E$5:$E$1005)-SUMPRODUCT((MOVIMIENTOS!$B$5:$B$1005="ENVÍO A SUPESA")*(MOVIMIENTOS!$C$5:$C$1005="P")*(MOVIMIENTOS!$D$5:$D$1005="jabas")*(MOVIMIENTOS!$A$5:$A$1005&lt;&gt;"")*(MOVIMIENTOS!$A$5:$A$1005&lt;=$A522)*MOVIMIENTOS!$E$5:$E$1005)+SUMPRODUCT((MOVIMIENTOS!$B$5:$B$1005="DEVOLUCIÓN")*(MOVIMIENTOS!$C$5:$C$1005="P")*(MOVIMIENTOS!$D$5:$D$1005="jabas")*(MOVIMIENTOS!$A$5:$A$1005&lt;&gt;"")*(MOVIMIENTOS!$A$5:$A$1005&lt;=$A522)*MOVIMIENTOS!$E$5:$E$1005)-SUMPRODUCT((MOVIMIENTOS!$B$5:$B$1005="TRASIEGO")*(MOVIMIENTOS!$C$5:$C$1005="P")*(MOVIMIENTOS!$D$5:$D$1005="jabas")*(MOVIMIENTOS!$A$5:$A$1005&lt;&gt;"")*(MOVIMIENTOS!$A$5:$A$1005&lt;=$A522)*MOVIMIENTOS!$E$5:$E$1005)-SUMPRODUCT((MOVIMIENTOS!$B$5:$B$1005="REGALO")*(MOVIMIENTOS!$C$5:$C$1005="P")*(MOVIMIENTOS!$D$5:$D$1005="jabas")*(MOVIMIENTOS!$A$5:$A$1005&lt;&gt;"")*(MOVIMIENTOS!$A$5:$A$1005&lt;=$A522)*MOVIMIENTOS!$E$5:$E$1005)-SUMPRODUCT((MOVIMIENTOS!$B$5:$B$1005="VENTA")*(MOVIMIENTOS!$C$5:$C$1005="P")*(MOVIMIENTOS!$D$5:$D$1005="jabas")*(MOVIMIENTOS!$A$5:$A$1005&lt;&gt;"")*(MOVIMIENTOS!$A$5:$A$1005&lt;=$A522)*MOVIMIENTOS!$E$5:$E$1005)+SUMPRODUCT((MOVIMIENTOS!$B$5:$B$1005="AJUSTE")*(MOVIMIENTOS!$C$5:$C$1005="P")*(MOVIMIENTOS!$D$5:$D$1005="jabas")*(MOVIMIENTOS!$A$5:$A$1005&lt;&gt;"")*(MOVIMIENTOS!$A$5:$A$1005&lt;=$A522)*MOVIMIENTOS!$E$5:$E$1005))</f>
        <v/>
      </c>
      <c r="D522" t="str">
        <f>IF($A522="","",SUMPRODUCT((MOVIMIENTOS!$B$5:$B$1005="SALDO INICIAL")*(MOVIMIENTOS!$C$5:$C$1005="C")*(MOVIMIENTOS!$D$5:$D$1005="jabas")*(MOVIMIENTOS!$A$5:$A$1005&lt;&gt;"")*(MOVIMIENTOS!$A$5:$A$1005&lt;=$A522)*MOVIMIENTOS!$E$5:$E$1005)+SUMPRODUCT((MOVIMIENTOS!$B$5:$B$1005="PROCESO")*(MOVIMIENTOS!$C$5:$C$1005="C")*(MOVIMIENTOS!$D$5:$D$1005="jabas")*(MOVIMIENTOS!$A$5:$A$1005&lt;&gt;"")*(MOVIMIENTOS!$A$5:$A$1005&lt;=$A522)*MOVIMIENTOS!$E$5:$E$1005)-SUMPRODUCT((MOVIMIENTOS!$B$5:$B$1005="ENVÍO A SUPESA")*(MOVIMIENTOS!$C$5:$C$1005="C")*(MOVIMIENTOS!$D$5:$D$1005="jabas")*(MOVIMIENTOS!$A$5:$A$1005&lt;&gt;"")*(MOVIMIENTOS!$A$5:$A$1005&lt;=$A522)*MOVIMIENTOS!$E$5:$E$1005)+SUMPRODUCT((MOVIMIENTOS!$B$5:$B$1005="DEVOLUCIÓN")*(MOVIMIENTOS!$C$5:$C$1005="C")*(MOVIMIENTOS!$D$5:$D$1005="jabas")*(MOVIMIENTOS!$A$5:$A$1005&lt;&gt;"")*(MOVIMIENTOS!$A$5:$A$1005&lt;=$A522)*MOVIMIENTOS!$E$5:$E$1005)-SUMPRODUCT((MOVIMIENTOS!$B$5:$B$1005="TRASIEGO")*(MOVIMIENTOS!$C$5:$C$1005="C")*(MOVIMIENTOS!$D$5:$D$1005="jabas")*(MOVIMIENTOS!$A$5:$A$1005&lt;&gt;"")*(MOVIMIENTOS!$A$5:$A$1005&lt;=$A522)*MOVIMIENTOS!$E$5:$E$1005)-SUMPRODUCT((MOVIMIENTOS!$B$5:$B$1005="REGALO")*(MOVIMIENTOS!$C$5:$C$1005="C")*(MOVIMIENTOS!$D$5:$D$1005="jabas")*(MOVIMIENTOS!$A$5:$A$1005&lt;&gt;"")*(MOVIMIENTOS!$A$5:$A$1005&lt;=$A522)*MOVIMIENTOS!$E$5:$E$1005)-SUMPRODUCT((MOVIMIENTOS!$B$5:$B$1005="VENTA")*(MOVIMIENTOS!$C$5:$C$1005="C")*(MOVIMIENTOS!$D$5:$D$1005="jabas")*(MOVIMIENTOS!$A$5:$A$1005&lt;&gt;"")*(MOVIMIENTOS!$A$5:$A$1005&lt;=$A522)*MOVIMIENTOS!$E$5:$E$1005)+SUMPRODUCT((MOVIMIENTOS!$B$5:$B$1005="AJUSTE")*(MOVIMIENTOS!$C$5:$C$1005="C")*(MOVIMIENTOS!$D$5:$D$1005="jabas")*(MOVIMIENTOS!$A$5:$A$1005&lt;&gt;"")*(MOVIMIENTOS!$A$5:$A$1005&lt;=$A522)*MOVIMIENTOS!$E$5:$E$1005))</f>
        <v/>
      </c>
      <c r="E522" t="str">
        <f>IF($A522="","",SUMPRODUCT((MOVIMIENTOS!$B$5:$B$1005="SALDO INICIAL")*(MOVIMIENTOS!$C$5:$C$1005="M")*(MOVIMIENTOS!$D$5:$D$1005="jabas")*(MOVIMIENTOS!$A$5:$A$1005&lt;&gt;"")*(MOVIMIENTOS!$A$5:$A$1005&lt;=$A522)*MOVIMIENTOS!$E$5:$E$1005)+SUMPRODUCT((MOVIMIENTOS!$B$5:$B$1005="PROCESO")*(MOVIMIENTOS!$C$5:$C$1005="M")*(MOVIMIENTOS!$D$5:$D$1005="jabas")*(MOVIMIENTOS!$A$5:$A$1005&lt;&gt;"")*(MOVIMIENTOS!$A$5:$A$1005&lt;=$A522)*MOVIMIENTOS!$E$5:$E$1005)-SUMPRODUCT((MOVIMIENTOS!$B$5:$B$1005="ENVÍO A SUPESA")*(MOVIMIENTOS!$C$5:$C$1005="M")*(MOVIMIENTOS!$D$5:$D$1005="jabas")*(MOVIMIENTOS!$A$5:$A$1005&lt;&gt;"")*(MOVIMIENTOS!$A$5:$A$1005&lt;=$A522)*MOVIMIENTOS!$E$5:$E$1005)+SUMPRODUCT((MOVIMIENTOS!$B$5:$B$1005="DEVOLUCIÓN")*(MOVIMIENTOS!$C$5:$C$1005="M")*(MOVIMIENTOS!$D$5:$D$1005="jabas")*(MOVIMIENTOS!$A$5:$A$1005&lt;&gt;"")*(MOVIMIENTOS!$A$5:$A$1005&lt;=$A522)*MOVIMIENTOS!$E$5:$E$1005)-SUMPRODUCT((MOVIMIENTOS!$B$5:$B$1005="TRASIEGO")*(MOVIMIENTOS!$C$5:$C$1005="M")*(MOVIMIENTOS!$D$5:$D$1005="jabas")*(MOVIMIENTOS!$A$5:$A$1005&lt;&gt;"")*(MOVIMIENTOS!$A$5:$A$1005&lt;=$A522)*MOVIMIENTOS!$E$5:$E$1005)-SUMPRODUCT((MOVIMIENTOS!$B$5:$B$1005="REGALO")*(MOVIMIENTOS!$C$5:$C$1005="M")*(MOVIMIENTOS!$D$5:$D$1005="jabas")*(MOVIMIENTOS!$A$5:$A$1005&lt;&gt;"")*(MOVIMIENTOS!$A$5:$A$1005&lt;=$A522)*MOVIMIENTOS!$E$5:$E$1005)-SUMPRODUCT((MOVIMIENTOS!$B$5:$B$1005="VENTA")*(MOVIMIENTOS!$C$5:$C$1005="M")*(MOVIMIENTOS!$D$5:$D$1005="jabas")*(MOVIMIENTOS!$A$5:$A$1005&lt;&gt;"")*(MOVIMIENTOS!$A$5:$A$1005&lt;=$A522)*MOVIMIENTOS!$E$5:$E$1005)+SUMPRODUCT((MOVIMIENTOS!$B$5:$B$1005="AJUSTE")*(MOVIMIENTOS!$C$5:$C$1005="M")*(MOVIMIENTOS!$D$5:$D$1005="jabas")*(MOVIMIENTOS!$A$5:$A$1005&lt;&gt;"")*(MOVIMIENTOS!$A$5:$A$1005&lt;=$A522)*MOVIMIENTOS!$E$5:$E$1005))</f>
        <v/>
      </c>
      <c r="F522" s="62" t="str">
        <f>IF($A522="","",SUMPRODUCT((MOVIMIENTOS!$B$5:$B$1005="SALDO INICIAL")*(MOVIMIENTOS!$C$5:$C$1005="Chancho")*(MOVIMIENTOS!$D$5:$D$1005="sacos")*(MOVIMIENTOS!$A$5:$A$1005&lt;&gt;"")*(MOVIMIENTOS!$A$5:$A$1005&lt;=$A522)*MOVIMIENTOS!$E$5:$E$1005)+SUMPRODUCT((MOVIMIENTOS!$B$5:$B$1005="PROCESO")*(MOVIMIENTOS!$C$5:$C$1005="Chancho")*(MOVIMIENTOS!$D$5:$D$1005="sacos")*(MOVIMIENTOS!$A$5:$A$1005&lt;&gt;"")*(MOVIMIENTOS!$A$5:$A$1005&lt;=$A522)*MOVIMIENTOS!$E$5:$E$1005)-SUMPRODUCT((MOVIMIENTOS!$B$5:$B$1005="VENTA CHANCHO")*(MOVIMIENTOS!$C$5:$C$1005="Chancho")*(MOVIMIENTOS!$D$5:$D$1005="sacos")*(MOVIMIENTOS!$A$5:$A$1005&lt;&gt;"")*(MOVIMIENTOS!$A$5:$A$1005&lt;=$A522)*MOVIMIENTOS!$E$5:$E$1005)-SUMPRODUCT((MOVIMIENTOS!$B$5:$B$1005="REGALO")*(MOVIMIENTOS!$C$5:$C$1005="Chancho")*(MOVIMIENTOS!$D$5:$D$1005="sacos")*(MOVIMIENTOS!$A$5:$A$1005&lt;&gt;"")*(MOVIMIENTOS!$A$5:$A$1005&lt;=$A522)*MOVIMIENTOS!$E$5:$E$1005)-SUMPRODUCT((MOVIMIENTOS!$B$5:$B$1005="VENTA")*(MOVIMIENTOS!$C$5:$C$1005="Chancho")*(MOVIMIENTOS!$D$5:$D$1005="sacos")*(MOVIMIENTOS!$A$5:$A$1005&lt;&gt;"")*(MOVIMIENTOS!$A$5:$A$1005&lt;=$A522)*MOVIMIENTOS!$E$5:$E$1005)+SUMPRODUCT((MOVIMIENTOS!$B$5:$B$1005="AJUSTE")*(MOVIMIENTOS!$C$5:$C$1005="Chancho")*(MOVIMIENTOS!$D$5:$D$1005="sacos")*(MOVIMIENTOS!$A$5:$A$1005&lt;&gt;"")*(MOVIMIENTOS!$A$5:$A$1005&lt;=$A522)*MOVIMIENTOS!$E$5:$E$1005))</f>
        <v/>
      </c>
      <c r="G522" s="62" t="str">
        <f t="shared" si="17"/>
        <v/>
      </c>
      <c r="H522" t="str">
        <f>IF($A522="","",SUMPRODUCT((((MOVIMIENTOS!$B$5:$B$1005="SALDO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522)*MOVIMIENTOS!$J$5:$J$1005))</f>
        <v/>
      </c>
      <c r="J522" t="str">
        <f>IF(AND(MOVIMIENTOS!$A527&lt;&gt;"",COUNTIF(MOVIMIENTOS!$A$5:$A526,MOVIMIENTOS!$A527)=0),COUNT(J$4:J521)+1,"")</f>
        <v/>
      </c>
      <c r="K522">
        <f>MOVIMIENTOS!$A527</f>
        <v>0</v>
      </c>
    </row>
    <row r="523" spans="1:11" ht="15" customHeight="1" x14ac:dyDescent="0.2">
      <c r="A523" t="str">
        <f t="shared" si="16"/>
        <v/>
      </c>
      <c r="B523" t="str">
        <f>IF($A523="","",SUMPRODUCT((MOVIMIENTOS!$B$5:$B$1005="SALDO INICIAL")*(MOVIMIENTOS!$C$5:$C$1005="A")*(MOVIMIENTOS!$D$5:$D$1005="jabas")*(MOVIMIENTOS!$A$5:$A$1005&lt;&gt;"")*(MOVIMIENTOS!$A$5:$A$1005&lt;=$A523)*MOVIMIENTOS!$E$5:$E$1005)+SUMPRODUCT((MOVIMIENTOS!$B$5:$B$1005="PROCESO")*(MOVIMIENTOS!$C$5:$C$1005="A")*(MOVIMIENTOS!$D$5:$D$1005="jabas")*(MOVIMIENTOS!$A$5:$A$1005&lt;&gt;"")*(MOVIMIENTOS!$A$5:$A$1005&lt;=$A523)*MOVIMIENTOS!$E$5:$E$1005)-SUMPRODUCT((MOVIMIENTOS!$B$5:$B$1005="ENVÍO A SUPESA")*(MOVIMIENTOS!$C$5:$C$1005="A")*(MOVIMIENTOS!$D$5:$D$1005="jabas")*(MOVIMIENTOS!$A$5:$A$1005&lt;&gt;"")*(MOVIMIENTOS!$A$5:$A$1005&lt;=$A523)*MOVIMIENTOS!$E$5:$E$1005)+SUMPRODUCT((MOVIMIENTOS!$B$5:$B$1005="DEVOLUCIÓN")*(MOVIMIENTOS!$C$5:$C$1005="A")*(MOVIMIENTOS!$D$5:$D$1005="jabas")*(MOVIMIENTOS!$A$5:$A$1005&lt;&gt;"")*(MOVIMIENTOS!$A$5:$A$1005&lt;=$A523)*MOVIMIENTOS!$E$5:$E$1005)-SUMPRODUCT((MOVIMIENTOS!$B$5:$B$1005="TRASIEGO")*(MOVIMIENTOS!$C$5:$C$1005="A")*(MOVIMIENTOS!$D$5:$D$1005="jabas")*(MOVIMIENTOS!$A$5:$A$1005&lt;&gt;"")*(MOVIMIENTOS!$A$5:$A$1005&lt;=$A523)*MOVIMIENTOS!$E$5:$E$1005)-SUMPRODUCT((MOVIMIENTOS!$B$5:$B$1005="REGALO")*(MOVIMIENTOS!$C$5:$C$1005="A")*(MOVIMIENTOS!$D$5:$D$1005="jabas")*(MOVIMIENTOS!$A$5:$A$1005&lt;&gt;"")*(MOVIMIENTOS!$A$5:$A$1005&lt;=$A523)*MOVIMIENTOS!$E$5:$E$1005)-SUMPRODUCT((MOVIMIENTOS!$B$5:$B$1005="VENTA")*(MOVIMIENTOS!$C$5:$C$1005="A")*(MOVIMIENTOS!$D$5:$D$1005="jabas")*(MOVIMIENTOS!$A$5:$A$1005&lt;&gt;"")*(MOVIMIENTOS!$A$5:$A$1005&lt;=$A523)*MOVIMIENTOS!$E$5:$E$1005)+SUMPRODUCT((MOVIMIENTOS!$B$5:$B$1005="AJUSTE")*(MOVIMIENTOS!$C$5:$C$1005="A")*(MOVIMIENTOS!$D$5:$D$1005="jabas")*(MOVIMIENTOS!$A$5:$A$1005&lt;&gt;"")*(MOVIMIENTOS!$A$5:$A$1005&lt;=$A523)*MOVIMIENTOS!$E$5:$E$1005))</f>
        <v/>
      </c>
      <c r="C523" t="str">
        <f>IF($A523="","",SUMPRODUCT((MOVIMIENTOS!$B$5:$B$1005="SALDO INICIAL")*(MOVIMIENTOS!$C$5:$C$1005="P")*(MOVIMIENTOS!$D$5:$D$1005="jabas")*(MOVIMIENTOS!$A$5:$A$1005&lt;&gt;"")*(MOVIMIENTOS!$A$5:$A$1005&lt;=$A523)*MOVIMIENTOS!$E$5:$E$1005)+SUMPRODUCT((MOVIMIENTOS!$B$5:$B$1005="PROCESO")*(MOVIMIENTOS!$C$5:$C$1005="P")*(MOVIMIENTOS!$D$5:$D$1005="jabas")*(MOVIMIENTOS!$A$5:$A$1005&lt;&gt;"")*(MOVIMIENTOS!$A$5:$A$1005&lt;=$A523)*MOVIMIENTOS!$E$5:$E$1005)-SUMPRODUCT((MOVIMIENTOS!$B$5:$B$1005="ENVÍO A SUPESA")*(MOVIMIENTOS!$C$5:$C$1005="P")*(MOVIMIENTOS!$D$5:$D$1005="jabas")*(MOVIMIENTOS!$A$5:$A$1005&lt;&gt;"")*(MOVIMIENTOS!$A$5:$A$1005&lt;=$A523)*MOVIMIENTOS!$E$5:$E$1005)+SUMPRODUCT((MOVIMIENTOS!$B$5:$B$1005="DEVOLUCIÓN")*(MOVIMIENTOS!$C$5:$C$1005="P")*(MOVIMIENTOS!$D$5:$D$1005="jabas")*(MOVIMIENTOS!$A$5:$A$1005&lt;&gt;"")*(MOVIMIENTOS!$A$5:$A$1005&lt;=$A523)*MOVIMIENTOS!$E$5:$E$1005)-SUMPRODUCT((MOVIMIENTOS!$B$5:$B$1005="TRASIEGO")*(MOVIMIENTOS!$C$5:$C$1005="P")*(MOVIMIENTOS!$D$5:$D$1005="jabas")*(MOVIMIENTOS!$A$5:$A$1005&lt;&gt;"")*(MOVIMIENTOS!$A$5:$A$1005&lt;=$A523)*MOVIMIENTOS!$E$5:$E$1005)-SUMPRODUCT((MOVIMIENTOS!$B$5:$B$1005="REGALO")*(MOVIMIENTOS!$C$5:$C$1005="P")*(MOVIMIENTOS!$D$5:$D$1005="jabas")*(MOVIMIENTOS!$A$5:$A$1005&lt;&gt;"")*(MOVIMIENTOS!$A$5:$A$1005&lt;=$A523)*MOVIMIENTOS!$E$5:$E$1005)-SUMPRODUCT((MOVIMIENTOS!$B$5:$B$1005="VENTA")*(MOVIMIENTOS!$C$5:$C$1005="P")*(MOVIMIENTOS!$D$5:$D$1005="jabas")*(MOVIMIENTOS!$A$5:$A$1005&lt;&gt;"")*(MOVIMIENTOS!$A$5:$A$1005&lt;=$A523)*MOVIMIENTOS!$E$5:$E$1005)+SUMPRODUCT((MOVIMIENTOS!$B$5:$B$1005="AJUSTE")*(MOVIMIENTOS!$C$5:$C$1005="P")*(MOVIMIENTOS!$D$5:$D$1005="jabas")*(MOVIMIENTOS!$A$5:$A$1005&lt;&gt;"")*(MOVIMIENTOS!$A$5:$A$1005&lt;=$A523)*MOVIMIENTOS!$E$5:$E$1005))</f>
        <v/>
      </c>
      <c r="D523" t="str">
        <f>IF($A523="","",SUMPRODUCT((MOVIMIENTOS!$B$5:$B$1005="SALDO INICIAL")*(MOVIMIENTOS!$C$5:$C$1005="C")*(MOVIMIENTOS!$D$5:$D$1005="jabas")*(MOVIMIENTOS!$A$5:$A$1005&lt;&gt;"")*(MOVIMIENTOS!$A$5:$A$1005&lt;=$A523)*MOVIMIENTOS!$E$5:$E$1005)+SUMPRODUCT((MOVIMIENTOS!$B$5:$B$1005="PROCESO")*(MOVIMIENTOS!$C$5:$C$1005="C")*(MOVIMIENTOS!$D$5:$D$1005="jabas")*(MOVIMIENTOS!$A$5:$A$1005&lt;&gt;"")*(MOVIMIENTOS!$A$5:$A$1005&lt;=$A523)*MOVIMIENTOS!$E$5:$E$1005)-SUMPRODUCT((MOVIMIENTOS!$B$5:$B$1005="ENVÍO A SUPESA")*(MOVIMIENTOS!$C$5:$C$1005="C")*(MOVIMIENTOS!$D$5:$D$1005="jabas")*(MOVIMIENTOS!$A$5:$A$1005&lt;&gt;"")*(MOVIMIENTOS!$A$5:$A$1005&lt;=$A523)*MOVIMIENTOS!$E$5:$E$1005)+SUMPRODUCT((MOVIMIENTOS!$B$5:$B$1005="DEVOLUCIÓN")*(MOVIMIENTOS!$C$5:$C$1005="C")*(MOVIMIENTOS!$D$5:$D$1005="jabas")*(MOVIMIENTOS!$A$5:$A$1005&lt;&gt;"")*(MOVIMIENTOS!$A$5:$A$1005&lt;=$A523)*MOVIMIENTOS!$E$5:$E$1005)-SUMPRODUCT((MOVIMIENTOS!$B$5:$B$1005="TRASIEGO")*(MOVIMIENTOS!$C$5:$C$1005="C")*(MOVIMIENTOS!$D$5:$D$1005="jabas")*(MOVIMIENTOS!$A$5:$A$1005&lt;&gt;"")*(MOVIMIENTOS!$A$5:$A$1005&lt;=$A523)*MOVIMIENTOS!$E$5:$E$1005)-SUMPRODUCT((MOVIMIENTOS!$B$5:$B$1005="REGALO")*(MOVIMIENTOS!$C$5:$C$1005="C")*(MOVIMIENTOS!$D$5:$D$1005="jabas")*(MOVIMIENTOS!$A$5:$A$1005&lt;&gt;"")*(MOVIMIENTOS!$A$5:$A$1005&lt;=$A523)*MOVIMIENTOS!$E$5:$E$1005)-SUMPRODUCT((MOVIMIENTOS!$B$5:$B$1005="VENTA")*(MOVIMIENTOS!$C$5:$C$1005="C")*(MOVIMIENTOS!$D$5:$D$1005="jabas")*(MOVIMIENTOS!$A$5:$A$1005&lt;&gt;"")*(MOVIMIENTOS!$A$5:$A$1005&lt;=$A523)*MOVIMIENTOS!$E$5:$E$1005)+SUMPRODUCT((MOVIMIENTOS!$B$5:$B$1005="AJUSTE")*(MOVIMIENTOS!$C$5:$C$1005="C")*(MOVIMIENTOS!$D$5:$D$1005="jabas")*(MOVIMIENTOS!$A$5:$A$1005&lt;&gt;"")*(MOVIMIENTOS!$A$5:$A$1005&lt;=$A523)*MOVIMIENTOS!$E$5:$E$1005))</f>
        <v/>
      </c>
      <c r="E523" t="str">
        <f>IF($A523="","",SUMPRODUCT((MOVIMIENTOS!$B$5:$B$1005="SALDO INICIAL")*(MOVIMIENTOS!$C$5:$C$1005="M")*(MOVIMIENTOS!$D$5:$D$1005="jabas")*(MOVIMIENTOS!$A$5:$A$1005&lt;&gt;"")*(MOVIMIENTOS!$A$5:$A$1005&lt;=$A523)*MOVIMIENTOS!$E$5:$E$1005)+SUMPRODUCT((MOVIMIENTOS!$B$5:$B$1005="PROCESO")*(MOVIMIENTOS!$C$5:$C$1005="M")*(MOVIMIENTOS!$D$5:$D$1005="jabas")*(MOVIMIENTOS!$A$5:$A$1005&lt;&gt;"")*(MOVIMIENTOS!$A$5:$A$1005&lt;=$A523)*MOVIMIENTOS!$E$5:$E$1005)-SUMPRODUCT((MOVIMIENTOS!$B$5:$B$1005="ENVÍO A SUPESA")*(MOVIMIENTOS!$C$5:$C$1005="M")*(MOVIMIENTOS!$D$5:$D$1005="jabas")*(MOVIMIENTOS!$A$5:$A$1005&lt;&gt;"")*(MOVIMIENTOS!$A$5:$A$1005&lt;=$A523)*MOVIMIENTOS!$E$5:$E$1005)+SUMPRODUCT((MOVIMIENTOS!$B$5:$B$1005="DEVOLUCIÓN")*(MOVIMIENTOS!$C$5:$C$1005="M")*(MOVIMIENTOS!$D$5:$D$1005="jabas")*(MOVIMIENTOS!$A$5:$A$1005&lt;&gt;"")*(MOVIMIENTOS!$A$5:$A$1005&lt;=$A523)*MOVIMIENTOS!$E$5:$E$1005)-SUMPRODUCT((MOVIMIENTOS!$B$5:$B$1005="TRASIEGO")*(MOVIMIENTOS!$C$5:$C$1005="M")*(MOVIMIENTOS!$D$5:$D$1005="jabas")*(MOVIMIENTOS!$A$5:$A$1005&lt;&gt;"")*(MOVIMIENTOS!$A$5:$A$1005&lt;=$A523)*MOVIMIENTOS!$E$5:$E$1005)-SUMPRODUCT((MOVIMIENTOS!$B$5:$B$1005="REGALO")*(MOVIMIENTOS!$C$5:$C$1005="M")*(MOVIMIENTOS!$D$5:$D$1005="jabas")*(MOVIMIENTOS!$A$5:$A$1005&lt;&gt;"")*(MOVIMIENTOS!$A$5:$A$1005&lt;=$A523)*MOVIMIENTOS!$E$5:$E$1005)-SUMPRODUCT((MOVIMIENTOS!$B$5:$B$1005="VENTA")*(MOVIMIENTOS!$C$5:$C$1005="M")*(MOVIMIENTOS!$D$5:$D$1005="jabas")*(MOVIMIENTOS!$A$5:$A$1005&lt;&gt;"")*(MOVIMIENTOS!$A$5:$A$1005&lt;=$A523)*MOVIMIENTOS!$E$5:$E$1005)+SUMPRODUCT((MOVIMIENTOS!$B$5:$B$1005="AJUSTE")*(MOVIMIENTOS!$C$5:$C$1005="M")*(MOVIMIENTOS!$D$5:$D$1005="jabas")*(MOVIMIENTOS!$A$5:$A$1005&lt;&gt;"")*(MOVIMIENTOS!$A$5:$A$1005&lt;=$A523)*MOVIMIENTOS!$E$5:$E$1005))</f>
        <v/>
      </c>
      <c r="F523" s="62" t="str">
        <f>IF($A523="","",SUMPRODUCT((MOVIMIENTOS!$B$5:$B$1005="SALDO INICIAL")*(MOVIMIENTOS!$C$5:$C$1005="Chancho")*(MOVIMIENTOS!$D$5:$D$1005="sacos")*(MOVIMIENTOS!$A$5:$A$1005&lt;&gt;"")*(MOVIMIENTOS!$A$5:$A$1005&lt;=$A523)*MOVIMIENTOS!$E$5:$E$1005)+SUMPRODUCT((MOVIMIENTOS!$B$5:$B$1005="PROCESO")*(MOVIMIENTOS!$C$5:$C$1005="Chancho")*(MOVIMIENTOS!$D$5:$D$1005="sacos")*(MOVIMIENTOS!$A$5:$A$1005&lt;&gt;"")*(MOVIMIENTOS!$A$5:$A$1005&lt;=$A523)*MOVIMIENTOS!$E$5:$E$1005)-SUMPRODUCT((MOVIMIENTOS!$B$5:$B$1005="VENTA CHANCHO")*(MOVIMIENTOS!$C$5:$C$1005="Chancho")*(MOVIMIENTOS!$D$5:$D$1005="sacos")*(MOVIMIENTOS!$A$5:$A$1005&lt;&gt;"")*(MOVIMIENTOS!$A$5:$A$1005&lt;=$A523)*MOVIMIENTOS!$E$5:$E$1005)-SUMPRODUCT((MOVIMIENTOS!$B$5:$B$1005="REGALO")*(MOVIMIENTOS!$C$5:$C$1005="Chancho")*(MOVIMIENTOS!$D$5:$D$1005="sacos")*(MOVIMIENTOS!$A$5:$A$1005&lt;&gt;"")*(MOVIMIENTOS!$A$5:$A$1005&lt;=$A523)*MOVIMIENTOS!$E$5:$E$1005)-SUMPRODUCT((MOVIMIENTOS!$B$5:$B$1005="VENTA")*(MOVIMIENTOS!$C$5:$C$1005="Chancho")*(MOVIMIENTOS!$D$5:$D$1005="sacos")*(MOVIMIENTOS!$A$5:$A$1005&lt;&gt;"")*(MOVIMIENTOS!$A$5:$A$1005&lt;=$A523)*MOVIMIENTOS!$E$5:$E$1005)+SUMPRODUCT((MOVIMIENTOS!$B$5:$B$1005="AJUSTE")*(MOVIMIENTOS!$C$5:$C$1005="Chancho")*(MOVIMIENTOS!$D$5:$D$1005="sacos")*(MOVIMIENTOS!$A$5:$A$1005&lt;&gt;"")*(MOVIMIENTOS!$A$5:$A$1005&lt;=$A523)*MOVIMIENTOS!$E$5:$E$1005))</f>
        <v/>
      </c>
      <c r="G523" s="62" t="str">
        <f t="shared" si="17"/>
        <v/>
      </c>
      <c r="H523" t="str">
        <f>IF($A523="","",SUMPRODUCT((((MOVIMIENTOS!$B$5:$B$1005="SALDO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523)*MOVIMIENTOS!$J$5:$J$1005))</f>
        <v/>
      </c>
      <c r="J523" t="str">
        <f>IF(AND(MOVIMIENTOS!$A528&lt;&gt;"",COUNTIF(MOVIMIENTOS!$A$5:$A527,MOVIMIENTOS!$A528)=0),COUNT(J$4:J522)+1,"")</f>
        <v/>
      </c>
      <c r="K523">
        <f>MOVIMIENTOS!$A528</f>
        <v>0</v>
      </c>
    </row>
    <row r="524" spans="1:11" ht="15" customHeight="1" x14ac:dyDescent="0.2">
      <c r="A524" t="str">
        <f t="shared" si="16"/>
        <v/>
      </c>
      <c r="B524" t="str">
        <f>IF($A524="","",SUMPRODUCT((MOVIMIENTOS!$B$5:$B$1005="SALDO INICIAL")*(MOVIMIENTOS!$C$5:$C$1005="A")*(MOVIMIENTOS!$D$5:$D$1005="jabas")*(MOVIMIENTOS!$A$5:$A$1005&lt;&gt;"")*(MOVIMIENTOS!$A$5:$A$1005&lt;=$A524)*MOVIMIENTOS!$E$5:$E$1005)+SUMPRODUCT((MOVIMIENTOS!$B$5:$B$1005="PROCESO")*(MOVIMIENTOS!$C$5:$C$1005="A")*(MOVIMIENTOS!$D$5:$D$1005="jabas")*(MOVIMIENTOS!$A$5:$A$1005&lt;&gt;"")*(MOVIMIENTOS!$A$5:$A$1005&lt;=$A524)*MOVIMIENTOS!$E$5:$E$1005)-SUMPRODUCT((MOVIMIENTOS!$B$5:$B$1005="ENVÍO A SUPESA")*(MOVIMIENTOS!$C$5:$C$1005="A")*(MOVIMIENTOS!$D$5:$D$1005="jabas")*(MOVIMIENTOS!$A$5:$A$1005&lt;&gt;"")*(MOVIMIENTOS!$A$5:$A$1005&lt;=$A524)*MOVIMIENTOS!$E$5:$E$1005)+SUMPRODUCT((MOVIMIENTOS!$B$5:$B$1005="DEVOLUCIÓN")*(MOVIMIENTOS!$C$5:$C$1005="A")*(MOVIMIENTOS!$D$5:$D$1005="jabas")*(MOVIMIENTOS!$A$5:$A$1005&lt;&gt;"")*(MOVIMIENTOS!$A$5:$A$1005&lt;=$A524)*MOVIMIENTOS!$E$5:$E$1005)-SUMPRODUCT((MOVIMIENTOS!$B$5:$B$1005="TRASIEGO")*(MOVIMIENTOS!$C$5:$C$1005="A")*(MOVIMIENTOS!$D$5:$D$1005="jabas")*(MOVIMIENTOS!$A$5:$A$1005&lt;&gt;"")*(MOVIMIENTOS!$A$5:$A$1005&lt;=$A524)*MOVIMIENTOS!$E$5:$E$1005)-SUMPRODUCT((MOVIMIENTOS!$B$5:$B$1005="REGALO")*(MOVIMIENTOS!$C$5:$C$1005="A")*(MOVIMIENTOS!$D$5:$D$1005="jabas")*(MOVIMIENTOS!$A$5:$A$1005&lt;&gt;"")*(MOVIMIENTOS!$A$5:$A$1005&lt;=$A524)*MOVIMIENTOS!$E$5:$E$1005)-SUMPRODUCT((MOVIMIENTOS!$B$5:$B$1005="VENTA")*(MOVIMIENTOS!$C$5:$C$1005="A")*(MOVIMIENTOS!$D$5:$D$1005="jabas")*(MOVIMIENTOS!$A$5:$A$1005&lt;&gt;"")*(MOVIMIENTOS!$A$5:$A$1005&lt;=$A524)*MOVIMIENTOS!$E$5:$E$1005)+SUMPRODUCT((MOVIMIENTOS!$B$5:$B$1005="AJUSTE")*(MOVIMIENTOS!$C$5:$C$1005="A")*(MOVIMIENTOS!$D$5:$D$1005="jabas")*(MOVIMIENTOS!$A$5:$A$1005&lt;&gt;"")*(MOVIMIENTOS!$A$5:$A$1005&lt;=$A524)*MOVIMIENTOS!$E$5:$E$1005))</f>
        <v/>
      </c>
      <c r="C524" t="str">
        <f>IF($A524="","",SUMPRODUCT((MOVIMIENTOS!$B$5:$B$1005="SALDO INICIAL")*(MOVIMIENTOS!$C$5:$C$1005="P")*(MOVIMIENTOS!$D$5:$D$1005="jabas")*(MOVIMIENTOS!$A$5:$A$1005&lt;&gt;"")*(MOVIMIENTOS!$A$5:$A$1005&lt;=$A524)*MOVIMIENTOS!$E$5:$E$1005)+SUMPRODUCT((MOVIMIENTOS!$B$5:$B$1005="PROCESO")*(MOVIMIENTOS!$C$5:$C$1005="P")*(MOVIMIENTOS!$D$5:$D$1005="jabas")*(MOVIMIENTOS!$A$5:$A$1005&lt;&gt;"")*(MOVIMIENTOS!$A$5:$A$1005&lt;=$A524)*MOVIMIENTOS!$E$5:$E$1005)-SUMPRODUCT((MOVIMIENTOS!$B$5:$B$1005="ENVÍO A SUPESA")*(MOVIMIENTOS!$C$5:$C$1005="P")*(MOVIMIENTOS!$D$5:$D$1005="jabas")*(MOVIMIENTOS!$A$5:$A$1005&lt;&gt;"")*(MOVIMIENTOS!$A$5:$A$1005&lt;=$A524)*MOVIMIENTOS!$E$5:$E$1005)+SUMPRODUCT((MOVIMIENTOS!$B$5:$B$1005="DEVOLUCIÓN")*(MOVIMIENTOS!$C$5:$C$1005="P")*(MOVIMIENTOS!$D$5:$D$1005="jabas")*(MOVIMIENTOS!$A$5:$A$1005&lt;&gt;"")*(MOVIMIENTOS!$A$5:$A$1005&lt;=$A524)*MOVIMIENTOS!$E$5:$E$1005)-SUMPRODUCT((MOVIMIENTOS!$B$5:$B$1005="TRASIEGO")*(MOVIMIENTOS!$C$5:$C$1005="P")*(MOVIMIENTOS!$D$5:$D$1005="jabas")*(MOVIMIENTOS!$A$5:$A$1005&lt;&gt;"")*(MOVIMIENTOS!$A$5:$A$1005&lt;=$A524)*MOVIMIENTOS!$E$5:$E$1005)-SUMPRODUCT((MOVIMIENTOS!$B$5:$B$1005="REGALO")*(MOVIMIENTOS!$C$5:$C$1005="P")*(MOVIMIENTOS!$D$5:$D$1005="jabas")*(MOVIMIENTOS!$A$5:$A$1005&lt;&gt;"")*(MOVIMIENTOS!$A$5:$A$1005&lt;=$A524)*MOVIMIENTOS!$E$5:$E$1005)-SUMPRODUCT((MOVIMIENTOS!$B$5:$B$1005="VENTA")*(MOVIMIENTOS!$C$5:$C$1005="P")*(MOVIMIENTOS!$D$5:$D$1005="jabas")*(MOVIMIENTOS!$A$5:$A$1005&lt;&gt;"")*(MOVIMIENTOS!$A$5:$A$1005&lt;=$A524)*MOVIMIENTOS!$E$5:$E$1005)+SUMPRODUCT((MOVIMIENTOS!$B$5:$B$1005="AJUSTE")*(MOVIMIENTOS!$C$5:$C$1005="P")*(MOVIMIENTOS!$D$5:$D$1005="jabas")*(MOVIMIENTOS!$A$5:$A$1005&lt;&gt;"")*(MOVIMIENTOS!$A$5:$A$1005&lt;=$A524)*MOVIMIENTOS!$E$5:$E$1005))</f>
        <v/>
      </c>
      <c r="D524" t="str">
        <f>IF($A524="","",SUMPRODUCT((MOVIMIENTOS!$B$5:$B$1005="SALDO INICIAL")*(MOVIMIENTOS!$C$5:$C$1005="C")*(MOVIMIENTOS!$D$5:$D$1005="jabas")*(MOVIMIENTOS!$A$5:$A$1005&lt;&gt;"")*(MOVIMIENTOS!$A$5:$A$1005&lt;=$A524)*MOVIMIENTOS!$E$5:$E$1005)+SUMPRODUCT((MOVIMIENTOS!$B$5:$B$1005="PROCESO")*(MOVIMIENTOS!$C$5:$C$1005="C")*(MOVIMIENTOS!$D$5:$D$1005="jabas")*(MOVIMIENTOS!$A$5:$A$1005&lt;&gt;"")*(MOVIMIENTOS!$A$5:$A$1005&lt;=$A524)*MOVIMIENTOS!$E$5:$E$1005)-SUMPRODUCT((MOVIMIENTOS!$B$5:$B$1005="ENVÍO A SUPESA")*(MOVIMIENTOS!$C$5:$C$1005="C")*(MOVIMIENTOS!$D$5:$D$1005="jabas")*(MOVIMIENTOS!$A$5:$A$1005&lt;&gt;"")*(MOVIMIENTOS!$A$5:$A$1005&lt;=$A524)*MOVIMIENTOS!$E$5:$E$1005)+SUMPRODUCT((MOVIMIENTOS!$B$5:$B$1005="DEVOLUCIÓN")*(MOVIMIENTOS!$C$5:$C$1005="C")*(MOVIMIENTOS!$D$5:$D$1005="jabas")*(MOVIMIENTOS!$A$5:$A$1005&lt;&gt;"")*(MOVIMIENTOS!$A$5:$A$1005&lt;=$A524)*MOVIMIENTOS!$E$5:$E$1005)-SUMPRODUCT((MOVIMIENTOS!$B$5:$B$1005="TRASIEGO")*(MOVIMIENTOS!$C$5:$C$1005="C")*(MOVIMIENTOS!$D$5:$D$1005="jabas")*(MOVIMIENTOS!$A$5:$A$1005&lt;&gt;"")*(MOVIMIENTOS!$A$5:$A$1005&lt;=$A524)*MOVIMIENTOS!$E$5:$E$1005)-SUMPRODUCT((MOVIMIENTOS!$B$5:$B$1005="REGALO")*(MOVIMIENTOS!$C$5:$C$1005="C")*(MOVIMIENTOS!$D$5:$D$1005="jabas")*(MOVIMIENTOS!$A$5:$A$1005&lt;&gt;"")*(MOVIMIENTOS!$A$5:$A$1005&lt;=$A524)*MOVIMIENTOS!$E$5:$E$1005)-SUMPRODUCT((MOVIMIENTOS!$B$5:$B$1005="VENTA")*(MOVIMIENTOS!$C$5:$C$1005="C")*(MOVIMIENTOS!$D$5:$D$1005="jabas")*(MOVIMIENTOS!$A$5:$A$1005&lt;&gt;"")*(MOVIMIENTOS!$A$5:$A$1005&lt;=$A524)*MOVIMIENTOS!$E$5:$E$1005)+SUMPRODUCT((MOVIMIENTOS!$B$5:$B$1005="AJUSTE")*(MOVIMIENTOS!$C$5:$C$1005="C")*(MOVIMIENTOS!$D$5:$D$1005="jabas")*(MOVIMIENTOS!$A$5:$A$1005&lt;&gt;"")*(MOVIMIENTOS!$A$5:$A$1005&lt;=$A524)*MOVIMIENTOS!$E$5:$E$1005))</f>
        <v/>
      </c>
      <c r="E524" t="str">
        <f>IF($A524="","",SUMPRODUCT((MOVIMIENTOS!$B$5:$B$1005="SALDO INICIAL")*(MOVIMIENTOS!$C$5:$C$1005="M")*(MOVIMIENTOS!$D$5:$D$1005="jabas")*(MOVIMIENTOS!$A$5:$A$1005&lt;&gt;"")*(MOVIMIENTOS!$A$5:$A$1005&lt;=$A524)*MOVIMIENTOS!$E$5:$E$1005)+SUMPRODUCT((MOVIMIENTOS!$B$5:$B$1005="PROCESO")*(MOVIMIENTOS!$C$5:$C$1005="M")*(MOVIMIENTOS!$D$5:$D$1005="jabas")*(MOVIMIENTOS!$A$5:$A$1005&lt;&gt;"")*(MOVIMIENTOS!$A$5:$A$1005&lt;=$A524)*MOVIMIENTOS!$E$5:$E$1005)-SUMPRODUCT((MOVIMIENTOS!$B$5:$B$1005="ENVÍO A SUPESA")*(MOVIMIENTOS!$C$5:$C$1005="M")*(MOVIMIENTOS!$D$5:$D$1005="jabas")*(MOVIMIENTOS!$A$5:$A$1005&lt;&gt;"")*(MOVIMIENTOS!$A$5:$A$1005&lt;=$A524)*MOVIMIENTOS!$E$5:$E$1005)+SUMPRODUCT((MOVIMIENTOS!$B$5:$B$1005="DEVOLUCIÓN")*(MOVIMIENTOS!$C$5:$C$1005="M")*(MOVIMIENTOS!$D$5:$D$1005="jabas")*(MOVIMIENTOS!$A$5:$A$1005&lt;&gt;"")*(MOVIMIENTOS!$A$5:$A$1005&lt;=$A524)*MOVIMIENTOS!$E$5:$E$1005)-SUMPRODUCT((MOVIMIENTOS!$B$5:$B$1005="TRASIEGO")*(MOVIMIENTOS!$C$5:$C$1005="M")*(MOVIMIENTOS!$D$5:$D$1005="jabas")*(MOVIMIENTOS!$A$5:$A$1005&lt;&gt;"")*(MOVIMIENTOS!$A$5:$A$1005&lt;=$A524)*MOVIMIENTOS!$E$5:$E$1005)-SUMPRODUCT((MOVIMIENTOS!$B$5:$B$1005="REGALO")*(MOVIMIENTOS!$C$5:$C$1005="M")*(MOVIMIENTOS!$D$5:$D$1005="jabas")*(MOVIMIENTOS!$A$5:$A$1005&lt;&gt;"")*(MOVIMIENTOS!$A$5:$A$1005&lt;=$A524)*MOVIMIENTOS!$E$5:$E$1005)-SUMPRODUCT((MOVIMIENTOS!$B$5:$B$1005="VENTA")*(MOVIMIENTOS!$C$5:$C$1005="M")*(MOVIMIENTOS!$D$5:$D$1005="jabas")*(MOVIMIENTOS!$A$5:$A$1005&lt;&gt;"")*(MOVIMIENTOS!$A$5:$A$1005&lt;=$A524)*MOVIMIENTOS!$E$5:$E$1005)+SUMPRODUCT((MOVIMIENTOS!$B$5:$B$1005="AJUSTE")*(MOVIMIENTOS!$C$5:$C$1005="M")*(MOVIMIENTOS!$D$5:$D$1005="jabas")*(MOVIMIENTOS!$A$5:$A$1005&lt;&gt;"")*(MOVIMIENTOS!$A$5:$A$1005&lt;=$A524)*MOVIMIENTOS!$E$5:$E$1005))</f>
        <v/>
      </c>
      <c r="F524" s="62" t="str">
        <f>IF($A524="","",SUMPRODUCT((MOVIMIENTOS!$B$5:$B$1005="SALDO INICIAL")*(MOVIMIENTOS!$C$5:$C$1005="Chancho")*(MOVIMIENTOS!$D$5:$D$1005="sacos")*(MOVIMIENTOS!$A$5:$A$1005&lt;&gt;"")*(MOVIMIENTOS!$A$5:$A$1005&lt;=$A524)*MOVIMIENTOS!$E$5:$E$1005)+SUMPRODUCT((MOVIMIENTOS!$B$5:$B$1005="PROCESO")*(MOVIMIENTOS!$C$5:$C$1005="Chancho")*(MOVIMIENTOS!$D$5:$D$1005="sacos")*(MOVIMIENTOS!$A$5:$A$1005&lt;&gt;"")*(MOVIMIENTOS!$A$5:$A$1005&lt;=$A524)*MOVIMIENTOS!$E$5:$E$1005)-SUMPRODUCT((MOVIMIENTOS!$B$5:$B$1005="VENTA CHANCHO")*(MOVIMIENTOS!$C$5:$C$1005="Chancho")*(MOVIMIENTOS!$D$5:$D$1005="sacos")*(MOVIMIENTOS!$A$5:$A$1005&lt;&gt;"")*(MOVIMIENTOS!$A$5:$A$1005&lt;=$A524)*MOVIMIENTOS!$E$5:$E$1005)-SUMPRODUCT((MOVIMIENTOS!$B$5:$B$1005="REGALO")*(MOVIMIENTOS!$C$5:$C$1005="Chancho")*(MOVIMIENTOS!$D$5:$D$1005="sacos")*(MOVIMIENTOS!$A$5:$A$1005&lt;&gt;"")*(MOVIMIENTOS!$A$5:$A$1005&lt;=$A524)*MOVIMIENTOS!$E$5:$E$1005)-SUMPRODUCT((MOVIMIENTOS!$B$5:$B$1005="VENTA")*(MOVIMIENTOS!$C$5:$C$1005="Chancho")*(MOVIMIENTOS!$D$5:$D$1005="sacos")*(MOVIMIENTOS!$A$5:$A$1005&lt;&gt;"")*(MOVIMIENTOS!$A$5:$A$1005&lt;=$A524)*MOVIMIENTOS!$E$5:$E$1005)+SUMPRODUCT((MOVIMIENTOS!$B$5:$B$1005="AJUSTE")*(MOVIMIENTOS!$C$5:$C$1005="Chancho")*(MOVIMIENTOS!$D$5:$D$1005="sacos")*(MOVIMIENTOS!$A$5:$A$1005&lt;&gt;"")*(MOVIMIENTOS!$A$5:$A$1005&lt;=$A524)*MOVIMIENTOS!$E$5:$E$1005))</f>
        <v/>
      </c>
      <c r="G524" s="62" t="str">
        <f t="shared" si="17"/>
        <v/>
      </c>
      <c r="H524" t="str">
        <f>IF($A524="","",SUMPRODUCT((((MOVIMIENTOS!$B$5:$B$1005="SALDO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524)*MOVIMIENTOS!$J$5:$J$1005))</f>
        <v/>
      </c>
      <c r="J524" t="str">
        <f>IF(AND(MOVIMIENTOS!$A529&lt;&gt;"",COUNTIF(MOVIMIENTOS!$A$5:$A528,MOVIMIENTOS!$A529)=0),COUNT(J$4:J523)+1,"")</f>
        <v/>
      </c>
      <c r="K524">
        <f>MOVIMIENTOS!$A529</f>
        <v>0</v>
      </c>
    </row>
    <row r="525" spans="1:11" ht="15" customHeight="1" x14ac:dyDescent="0.2">
      <c r="A525" t="str">
        <f t="shared" si="16"/>
        <v/>
      </c>
      <c r="B525" t="str">
        <f>IF($A525="","",SUMPRODUCT((MOVIMIENTOS!$B$5:$B$1005="SALDO INICIAL")*(MOVIMIENTOS!$C$5:$C$1005="A")*(MOVIMIENTOS!$D$5:$D$1005="jabas")*(MOVIMIENTOS!$A$5:$A$1005&lt;&gt;"")*(MOVIMIENTOS!$A$5:$A$1005&lt;=$A525)*MOVIMIENTOS!$E$5:$E$1005)+SUMPRODUCT((MOVIMIENTOS!$B$5:$B$1005="PROCESO")*(MOVIMIENTOS!$C$5:$C$1005="A")*(MOVIMIENTOS!$D$5:$D$1005="jabas")*(MOVIMIENTOS!$A$5:$A$1005&lt;&gt;"")*(MOVIMIENTOS!$A$5:$A$1005&lt;=$A525)*MOVIMIENTOS!$E$5:$E$1005)-SUMPRODUCT((MOVIMIENTOS!$B$5:$B$1005="ENVÍO A SUPESA")*(MOVIMIENTOS!$C$5:$C$1005="A")*(MOVIMIENTOS!$D$5:$D$1005="jabas")*(MOVIMIENTOS!$A$5:$A$1005&lt;&gt;"")*(MOVIMIENTOS!$A$5:$A$1005&lt;=$A525)*MOVIMIENTOS!$E$5:$E$1005)+SUMPRODUCT((MOVIMIENTOS!$B$5:$B$1005="DEVOLUCIÓN")*(MOVIMIENTOS!$C$5:$C$1005="A")*(MOVIMIENTOS!$D$5:$D$1005="jabas")*(MOVIMIENTOS!$A$5:$A$1005&lt;&gt;"")*(MOVIMIENTOS!$A$5:$A$1005&lt;=$A525)*MOVIMIENTOS!$E$5:$E$1005)-SUMPRODUCT((MOVIMIENTOS!$B$5:$B$1005="TRASIEGO")*(MOVIMIENTOS!$C$5:$C$1005="A")*(MOVIMIENTOS!$D$5:$D$1005="jabas")*(MOVIMIENTOS!$A$5:$A$1005&lt;&gt;"")*(MOVIMIENTOS!$A$5:$A$1005&lt;=$A525)*MOVIMIENTOS!$E$5:$E$1005)-SUMPRODUCT((MOVIMIENTOS!$B$5:$B$1005="REGALO")*(MOVIMIENTOS!$C$5:$C$1005="A")*(MOVIMIENTOS!$D$5:$D$1005="jabas")*(MOVIMIENTOS!$A$5:$A$1005&lt;&gt;"")*(MOVIMIENTOS!$A$5:$A$1005&lt;=$A525)*MOVIMIENTOS!$E$5:$E$1005)-SUMPRODUCT((MOVIMIENTOS!$B$5:$B$1005="VENTA")*(MOVIMIENTOS!$C$5:$C$1005="A")*(MOVIMIENTOS!$D$5:$D$1005="jabas")*(MOVIMIENTOS!$A$5:$A$1005&lt;&gt;"")*(MOVIMIENTOS!$A$5:$A$1005&lt;=$A525)*MOVIMIENTOS!$E$5:$E$1005)+SUMPRODUCT((MOVIMIENTOS!$B$5:$B$1005="AJUSTE")*(MOVIMIENTOS!$C$5:$C$1005="A")*(MOVIMIENTOS!$D$5:$D$1005="jabas")*(MOVIMIENTOS!$A$5:$A$1005&lt;&gt;"")*(MOVIMIENTOS!$A$5:$A$1005&lt;=$A525)*MOVIMIENTOS!$E$5:$E$1005))</f>
        <v/>
      </c>
      <c r="C525" t="str">
        <f>IF($A525="","",SUMPRODUCT((MOVIMIENTOS!$B$5:$B$1005="SALDO INICIAL")*(MOVIMIENTOS!$C$5:$C$1005="P")*(MOVIMIENTOS!$D$5:$D$1005="jabas")*(MOVIMIENTOS!$A$5:$A$1005&lt;&gt;"")*(MOVIMIENTOS!$A$5:$A$1005&lt;=$A525)*MOVIMIENTOS!$E$5:$E$1005)+SUMPRODUCT((MOVIMIENTOS!$B$5:$B$1005="PROCESO")*(MOVIMIENTOS!$C$5:$C$1005="P")*(MOVIMIENTOS!$D$5:$D$1005="jabas")*(MOVIMIENTOS!$A$5:$A$1005&lt;&gt;"")*(MOVIMIENTOS!$A$5:$A$1005&lt;=$A525)*MOVIMIENTOS!$E$5:$E$1005)-SUMPRODUCT((MOVIMIENTOS!$B$5:$B$1005="ENVÍO A SUPESA")*(MOVIMIENTOS!$C$5:$C$1005="P")*(MOVIMIENTOS!$D$5:$D$1005="jabas")*(MOVIMIENTOS!$A$5:$A$1005&lt;&gt;"")*(MOVIMIENTOS!$A$5:$A$1005&lt;=$A525)*MOVIMIENTOS!$E$5:$E$1005)+SUMPRODUCT((MOVIMIENTOS!$B$5:$B$1005="DEVOLUCIÓN")*(MOVIMIENTOS!$C$5:$C$1005="P")*(MOVIMIENTOS!$D$5:$D$1005="jabas")*(MOVIMIENTOS!$A$5:$A$1005&lt;&gt;"")*(MOVIMIENTOS!$A$5:$A$1005&lt;=$A525)*MOVIMIENTOS!$E$5:$E$1005)-SUMPRODUCT((MOVIMIENTOS!$B$5:$B$1005="TRASIEGO")*(MOVIMIENTOS!$C$5:$C$1005="P")*(MOVIMIENTOS!$D$5:$D$1005="jabas")*(MOVIMIENTOS!$A$5:$A$1005&lt;&gt;"")*(MOVIMIENTOS!$A$5:$A$1005&lt;=$A525)*MOVIMIENTOS!$E$5:$E$1005)-SUMPRODUCT((MOVIMIENTOS!$B$5:$B$1005="REGALO")*(MOVIMIENTOS!$C$5:$C$1005="P")*(MOVIMIENTOS!$D$5:$D$1005="jabas")*(MOVIMIENTOS!$A$5:$A$1005&lt;&gt;"")*(MOVIMIENTOS!$A$5:$A$1005&lt;=$A525)*MOVIMIENTOS!$E$5:$E$1005)-SUMPRODUCT((MOVIMIENTOS!$B$5:$B$1005="VENTA")*(MOVIMIENTOS!$C$5:$C$1005="P")*(MOVIMIENTOS!$D$5:$D$1005="jabas")*(MOVIMIENTOS!$A$5:$A$1005&lt;&gt;"")*(MOVIMIENTOS!$A$5:$A$1005&lt;=$A525)*MOVIMIENTOS!$E$5:$E$1005)+SUMPRODUCT((MOVIMIENTOS!$B$5:$B$1005="AJUSTE")*(MOVIMIENTOS!$C$5:$C$1005="P")*(MOVIMIENTOS!$D$5:$D$1005="jabas")*(MOVIMIENTOS!$A$5:$A$1005&lt;&gt;"")*(MOVIMIENTOS!$A$5:$A$1005&lt;=$A525)*MOVIMIENTOS!$E$5:$E$1005))</f>
        <v/>
      </c>
      <c r="D525" t="str">
        <f>IF($A525="","",SUMPRODUCT((MOVIMIENTOS!$B$5:$B$1005="SALDO INICIAL")*(MOVIMIENTOS!$C$5:$C$1005="C")*(MOVIMIENTOS!$D$5:$D$1005="jabas")*(MOVIMIENTOS!$A$5:$A$1005&lt;&gt;"")*(MOVIMIENTOS!$A$5:$A$1005&lt;=$A525)*MOVIMIENTOS!$E$5:$E$1005)+SUMPRODUCT((MOVIMIENTOS!$B$5:$B$1005="PROCESO")*(MOVIMIENTOS!$C$5:$C$1005="C")*(MOVIMIENTOS!$D$5:$D$1005="jabas")*(MOVIMIENTOS!$A$5:$A$1005&lt;&gt;"")*(MOVIMIENTOS!$A$5:$A$1005&lt;=$A525)*MOVIMIENTOS!$E$5:$E$1005)-SUMPRODUCT((MOVIMIENTOS!$B$5:$B$1005="ENVÍO A SUPESA")*(MOVIMIENTOS!$C$5:$C$1005="C")*(MOVIMIENTOS!$D$5:$D$1005="jabas")*(MOVIMIENTOS!$A$5:$A$1005&lt;&gt;"")*(MOVIMIENTOS!$A$5:$A$1005&lt;=$A525)*MOVIMIENTOS!$E$5:$E$1005)+SUMPRODUCT((MOVIMIENTOS!$B$5:$B$1005="DEVOLUCIÓN")*(MOVIMIENTOS!$C$5:$C$1005="C")*(MOVIMIENTOS!$D$5:$D$1005="jabas")*(MOVIMIENTOS!$A$5:$A$1005&lt;&gt;"")*(MOVIMIENTOS!$A$5:$A$1005&lt;=$A525)*MOVIMIENTOS!$E$5:$E$1005)-SUMPRODUCT((MOVIMIENTOS!$B$5:$B$1005="TRASIEGO")*(MOVIMIENTOS!$C$5:$C$1005="C")*(MOVIMIENTOS!$D$5:$D$1005="jabas")*(MOVIMIENTOS!$A$5:$A$1005&lt;&gt;"")*(MOVIMIENTOS!$A$5:$A$1005&lt;=$A525)*MOVIMIENTOS!$E$5:$E$1005)-SUMPRODUCT((MOVIMIENTOS!$B$5:$B$1005="REGALO")*(MOVIMIENTOS!$C$5:$C$1005="C")*(MOVIMIENTOS!$D$5:$D$1005="jabas")*(MOVIMIENTOS!$A$5:$A$1005&lt;&gt;"")*(MOVIMIENTOS!$A$5:$A$1005&lt;=$A525)*MOVIMIENTOS!$E$5:$E$1005)-SUMPRODUCT((MOVIMIENTOS!$B$5:$B$1005="VENTA")*(MOVIMIENTOS!$C$5:$C$1005="C")*(MOVIMIENTOS!$D$5:$D$1005="jabas")*(MOVIMIENTOS!$A$5:$A$1005&lt;&gt;"")*(MOVIMIENTOS!$A$5:$A$1005&lt;=$A525)*MOVIMIENTOS!$E$5:$E$1005)+SUMPRODUCT((MOVIMIENTOS!$B$5:$B$1005="AJUSTE")*(MOVIMIENTOS!$C$5:$C$1005="C")*(MOVIMIENTOS!$D$5:$D$1005="jabas")*(MOVIMIENTOS!$A$5:$A$1005&lt;&gt;"")*(MOVIMIENTOS!$A$5:$A$1005&lt;=$A525)*MOVIMIENTOS!$E$5:$E$1005))</f>
        <v/>
      </c>
      <c r="E525" t="str">
        <f>IF($A525="","",SUMPRODUCT((MOVIMIENTOS!$B$5:$B$1005="SALDO INICIAL")*(MOVIMIENTOS!$C$5:$C$1005="M")*(MOVIMIENTOS!$D$5:$D$1005="jabas")*(MOVIMIENTOS!$A$5:$A$1005&lt;&gt;"")*(MOVIMIENTOS!$A$5:$A$1005&lt;=$A525)*MOVIMIENTOS!$E$5:$E$1005)+SUMPRODUCT((MOVIMIENTOS!$B$5:$B$1005="PROCESO")*(MOVIMIENTOS!$C$5:$C$1005="M")*(MOVIMIENTOS!$D$5:$D$1005="jabas")*(MOVIMIENTOS!$A$5:$A$1005&lt;&gt;"")*(MOVIMIENTOS!$A$5:$A$1005&lt;=$A525)*MOVIMIENTOS!$E$5:$E$1005)-SUMPRODUCT((MOVIMIENTOS!$B$5:$B$1005="ENVÍO A SUPESA")*(MOVIMIENTOS!$C$5:$C$1005="M")*(MOVIMIENTOS!$D$5:$D$1005="jabas")*(MOVIMIENTOS!$A$5:$A$1005&lt;&gt;"")*(MOVIMIENTOS!$A$5:$A$1005&lt;=$A525)*MOVIMIENTOS!$E$5:$E$1005)+SUMPRODUCT((MOVIMIENTOS!$B$5:$B$1005="DEVOLUCIÓN")*(MOVIMIENTOS!$C$5:$C$1005="M")*(MOVIMIENTOS!$D$5:$D$1005="jabas")*(MOVIMIENTOS!$A$5:$A$1005&lt;&gt;"")*(MOVIMIENTOS!$A$5:$A$1005&lt;=$A525)*MOVIMIENTOS!$E$5:$E$1005)-SUMPRODUCT((MOVIMIENTOS!$B$5:$B$1005="TRASIEGO")*(MOVIMIENTOS!$C$5:$C$1005="M")*(MOVIMIENTOS!$D$5:$D$1005="jabas")*(MOVIMIENTOS!$A$5:$A$1005&lt;&gt;"")*(MOVIMIENTOS!$A$5:$A$1005&lt;=$A525)*MOVIMIENTOS!$E$5:$E$1005)-SUMPRODUCT((MOVIMIENTOS!$B$5:$B$1005="REGALO")*(MOVIMIENTOS!$C$5:$C$1005="M")*(MOVIMIENTOS!$D$5:$D$1005="jabas")*(MOVIMIENTOS!$A$5:$A$1005&lt;&gt;"")*(MOVIMIENTOS!$A$5:$A$1005&lt;=$A525)*MOVIMIENTOS!$E$5:$E$1005)-SUMPRODUCT((MOVIMIENTOS!$B$5:$B$1005="VENTA")*(MOVIMIENTOS!$C$5:$C$1005="M")*(MOVIMIENTOS!$D$5:$D$1005="jabas")*(MOVIMIENTOS!$A$5:$A$1005&lt;&gt;"")*(MOVIMIENTOS!$A$5:$A$1005&lt;=$A525)*MOVIMIENTOS!$E$5:$E$1005)+SUMPRODUCT((MOVIMIENTOS!$B$5:$B$1005="AJUSTE")*(MOVIMIENTOS!$C$5:$C$1005="M")*(MOVIMIENTOS!$D$5:$D$1005="jabas")*(MOVIMIENTOS!$A$5:$A$1005&lt;&gt;"")*(MOVIMIENTOS!$A$5:$A$1005&lt;=$A525)*MOVIMIENTOS!$E$5:$E$1005))</f>
        <v/>
      </c>
      <c r="F525" s="62" t="str">
        <f>IF($A525="","",SUMPRODUCT((MOVIMIENTOS!$B$5:$B$1005="SALDO INICIAL")*(MOVIMIENTOS!$C$5:$C$1005="Chancho")*(MOVIMIENTOS!$D$5:$D$1005="sacos")*(MOVIMIENTOS!$A$5:$A$1005&lt;&gt;"")*(MOVIMIENTOS!$A$5:$A$1005&lt;=$A525)*MOVIMIENTOS!$E$5:$E$1005)+SUMPRODUCT((MOVIMIENTOS!$B$5:$B$1005="PROCESO")*(MOVIMIENTOS!$C$5:$C$1005="Chancho")*(MOVIMIENTOS!$D$5:$D$1005="sacos")*(MOVIMIENTOS!$A$5:$A$1005&lt;&gt;"")*(MOVIMIENTOS!$A$5:$A$1005&lt;=$A525)*MOVIMIENTOS!$E$5:$E$1005)-SUMPRODUCT((MOVIMIENTOS!$B$5:$B$1005="VENTA CHANCHO")*(MOVIMIENTOS!$C$5:$C$1005="Chancho")*(MOVIMIENTOS!$D$5:$D$1005="sacos")*(MOVIMIENTOS!$A$5:$A$1005&lt;&gt;"")*(MOVIMIENTOS!$A$5:$A$1005&lt;=$A525)*MOVIMIENTOS!$E$5:$E$1005)-SUMPRODUCT((MOVIMIENTOS!$B$5:$B$1005="REGALO")*(MOVIMIENTOS!$C$5:$C$1005="Chancho")*(MOVIMIENTOS!$D$5:$D$1005="sacos")*(MOVIMIENTOS!$A$5:$A$1005&lt;&gt;"")*(MOVIMIENTOS!$A$5:$A$1005&lt;=$A525)*MOVIMIENTOS!$E$5:$E$1005)-SUMPRODUCT((MOVIMIENTOS!$B$5:$B$1005="VENTA")*(MOVIMIENTOS!$C$5:$C$1005="Chancho")*(MOVIMIENTOS!$D$5:$D$1005="sacos")*(MOVIMIENTOS!$A$5:$A$1005&lt;&gt;"")*(MOVIMIENTOS!$A$5:$A$1005&lt;=$A525)*MOVIMIENTOS!$E$5:$E$1005)+SUMPRODUCT((MOVIMIENTOS!$B$5:$B$1005="AJUSTE")*(MOVIMIENTOS!$C$5:$C$1005="Chancho")*(MOVIMIENTOS!$D$5:$D$1005="sacos")*(MOVIMIENTOS!$A$5:$A$1005&lt;&gt;"")*(MOVIMIENTOS!$A$5:$A$1005&lt;=$A525)*MOVIMIENTOS!$E$5:$E$1005))</f>
        <v/>
      </c>
      <c r="G525" s="62" t="str">
        <f t="shared" si="17"/>
        <v/>
      </c>
      <c r="H525" t="str">
        <f>IF($A525="","",SUMPRODUCT((((MOVIMIENTOS!$B$5:$B$1005="SALDO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525)*MOVIMIENTOS!$J$5:$J$1005))</f>
        <v/>
      </c>
      <c r="J525" t="str">
        <f>IF(AND(MOVIMIENTOS!$A530&lt;&gt;"",COUNTIF(MOVIMIENTOS!$A$5:$A529,MOVIMIENTOS!$A530)=0),COUNT(J$4:J524)+1,"")</f>
        <v/>
      </c>
      <c r="K525">
        <f>MOVIMIENTOS!$A530</f>
        <v>0</v>
      </c>
    </row>
    <row r="526" spans="1:11" ht="15" customHeight="1" x14ac:dyDescent="0.2">
      <c r="A526" t="str">
        <f t="shared" si="16"/>
        <v/>
      </c>
      <c r="B526" t="str">
        <f>IF($A526="","",SUMPRODUCT((MOVIMIENTOS!$B$5:$B$1005="SALDO INICIAL")*(MOVIMIENTOS!$C$5:$C$1005="A")*(MOVIMIENTOS!$D$5:$D$1005="jabas")*(MOVIMIENTOS!$A$5:$A$1005&lt;&gt;"")*(MOVIMIENTOS!$A$5:$A$1005&lt;=$A526)*MOVIMIENTOS!$E$5:$E$1005)+SUMPRODUCT((MOVIMIENTOS!$B$5:$B$1005="PROCESO")*(MOVIMIENTOS!$C$5:$C$1005="A")*(MOVIMIENTOS!$D$5:$D$1005="jabas")*(MOVIMIENTOS!$A$5:$A$1005&lt;&gt;"")*(MOVIMIENTOS!$A$5:$A$1005&lt;=$A526)*MOVIMIENTOS!$E$5:$E$1005)-SUMPRODUCT((MOVIMIENTOS!$B$5:$B$1005="ENVÍO A SUPESA")*(MOVIMIENTOS!$C$5:$C$1005="A")*(MOVIMIENTOS!$D$5:$D$1005="jabas")*(MOVIMIENTOS!$A$5:$A$1005&lt;&gt;"")*(MOVIMIENTOS!$A$5:$A$1005&lt;=$A526)*MOVIMIENTOS!$E$5:$E$1005)+SUMPRODUCT((MOVIMIENTOS!$B$5:$B$1005="DEVOLUCIÓN")*(MOVIMIENTOS!$C$5:$C$1005="A")*(MOVIMIENTOS!$D$5:$D$1005="jabas")*(MOVIMIENTOS!$A$5:$A$1005&lt;&gt;"")*(MOVIMIENTOS!$A$5:$A$1005&lt;=$A526)*MOVIMIENTOS!$E$5:$E$1005)-SUMPRODUCT((MOVIMIENTOS!$B$5:$B$1005="TRASIEGO")*(MOVIMIENTOS!$C$5:$C$1005="A")*(MOVIMIENTOS!$D$5:$D$1005="jabas")*(MOVIMIENTOS!$A$5:$A$1005&lt;&gt;"")*(MOVIMIENTOS!$A$5:$A$1005&lt;=$A526)*MOVIMIENTOS!$E$5:$E$1005)-SUMPRODUCT((MOVIMIENTOS!$B$5:$B$1005="REGALO")*(MOVIMIENTOS!$C$5:$C$1005="A")*(MOVIMIENTOS!$D$5:$D$1005="jabas")*(MOVIMIENTOS!$A$5:$A$1005&lt;&gt;"")*(MOVIMIENTOS!$A$5:$A$1005&lt;=$A526)*MOVIMIENTOS!$E$5:$E$1005)-SUMPRODUCT((MOVIMIENTOS!$B$5:$B$1005="VENTA")*(MOVIMIENTOS!$C$5:$C$1005="A")*(MOVIMIENTOS!$D$5:$D$1005="jabas")*(MOVIMIENTOS!$A$5:$A$1005&lt;&gt;"")*(MOVIMIENTOS!$A$5:$A$1005&lt;=$A526)*MOVIMIENTOS!$E$5:$E$1005)+SUMPRODUCT((MOVIMIENTOS!$B$5:$B$1005="AJUSTE")*(MOVIMIENTOS!$C$5:$C$1005="A")*(MOVIMIENTOS!$D$5:$D$1005="jabas")*(MOVIMIENTOS!$A$5:$A$1005&lt;&gt;"")*(MOVIMIENTOS!$A$5:$A$1005&lt;=$A526)*MOVIMIENTOS!$E$5:$E$1005))</f>
        <v/>
      </c>
      <c r="C526" t="str">
        <f>IF($A526="","",SUMPRODUCT((MOVIMIENTOS!$B$5:$B$1005="SALDO INICIAL")*(MOVIMIENTOS!$C$5:$C$1005="P")*(MOVIMIENTOS!$D$5:$D$1005="jabas")*(MOVIMIENTOS!$A$5:$A$1005&lt;&gt;"")*(MOVIMIENTOS!$A$5:$A$1005&lt;=$A526)*MOVIMIENTOS!$E$5:$E$1005)+SUMPRODUCT((MOVIMIENTOS!$B$5:$B$1005="PROCESO")*(MOVIMIENTOS!$C$5:$C$1005="P")*(MOVIMIENTOS!$D$5:$D$1005="jabas")*(MOVIMIENTOS!$A$5:$A$1005&lt;&gt;"")*(MOVIMIENTOS!$A$5:$A$1005&lt;=$A526)*MOVIMIENTOS!$E$5:$E$1005)-SUMPRODUCT((MOVIMIENTOS!$B$5:$B$1005="ENVÍO A SUPESA")*(MOVIMIENTOS!$C$5:$C$1005="P")*(MOVIMIENTOS!$D$5:$D$1005="jabas")*(MOVIMIENTOS!$A$5:$A$1005&lt;&gt;"")*(MOVIMIENTOS!$A$5:$A$1005&lt;=$A526)*MOVIMIENTOS!$E$5:$E$1005)+SUMPRODUCT((MOVIMIENTOS!$B$5:$B$1005="DEVOLUCIÓN")*(MOVIMIENTOS!$C$5:$C$1005="P")*(MOVIMIENTOS!$D$5:$D$1005="jabas")*(MOVIMIENTOS!$A$5:$A$1005&lt;&gt;"")*(MOVIMIENTOS!$A$5:$A$1005&lt;=$A526)*MOVIMIENTOS!$E$5:$E$1005)-SUMPRODUCT((MOVIMIENTOS!$B$5:$B$1005="TRASIEGO")*(MOVIMIENTOS!$C$5:$C$1005="P")*(MOVIMIENTOS!$D$5:$D$1005="jabas")*(MOVIMIENTOS!$A$5:$A$1005&lt;&gt;"")*(MOVIMIENTOS!$A$5:$A$1005&lt;=$A526)*MOVIMIENTOS!$E$5:$E$1005)-SUMPRODUCT((MOVIMIENTOS!$B$5:$B$1005="REGALO")*(MOVIMIENTOS!$C$5:$C$1005="P")*(MOVIMIENTOS!$D$5:$D$1005="jabas")*(MOVIMIENTOS!$A$5:$A$1005&lt;&gt;"")*(MOVIMIENTOS!$A$5:$A$1005&lt;=$A526)*MOVIMIENTOS!$E$5:$E$1005)-SUMPRODUCT((MOVIMIENTOS!$B$5:$B$1005="VENTA")*(MOVIMIENTOS!$C$5:$C$1005="P")*(MOVIMIENTOS!$D$5:$D$1005="jabas")*(MOVIMIENTOS!$A$5:$A$1005&lt;&gt;"")*(MOVIMIENTOS!$A$5:$A$1005&lt;=$A526)*MOVIMIENTOS!$E$5:$E$1005)+SUMPRODUCT((MOVIMIENTOS!$B$5:$B$1005="AJUSTE")*(MOVIMIENTOS!$C$5:$C$1005="P")*(MOVIMIENTOS!$D$5:$D$1005="jabas")*(MOVIMIENTOS!$A$5:$A$1005&lt;&gt;"")*(MOVIMIENTOS!$A$5:$A$1005&lt;=$A526)*MOVIMIENTOS!$E$5:$E$1005))</f>
        <v/>
      </c>
      <c r="D526" t="str">
        <f>IF($A526="","",SUMPRODUCT((MOVIMIENTOS!$B$5:$B$1005="SALDO INICIAL")*(MOVIMIENTOS!$C$5:$C$1005="C")*(MOVIMIENTOS!$D$5:$D$1005="jabas")*(MOVIMIENTOS!$A$5:$A$1005&lt;&gt;"")*(MOVIMIENTOS!$A$5:$A$1005&lt;=$A526)*MOVIMIENTOS!$E$5:$E$1005)+SUMPRODUCT((MOVIMIENTOS!$B$5:$B$1005="PROCESO")*(MOVIMIENTOS!$C$5:$C$1005="C")*(MOVIMIENTOS!$D$5:$D$1005="jabas")*(MOVIMIENTOS!$A$5:$A$1005&lt;&gt;"")*(MOVIMIENTOS!$A$5:$A$1005&lt;=$A526)*MOVIMIENTOS!$E$5:$E$1005)-SUMPRODUCT((MOVIMIENTOS!$B$5:$B$1005="ENVÍO A SUPESA")*(MOVIMIENTOS!$C$5:$C$1005="C")*(MOVIMIENTOS!$D$5:$D$1005="jabas")*(MOVIMIENTOS!$A$5:$A$1005&lt;&gt;"")*(MOVIMIENTOS!$A$5:$A$1005&lt;=$A526)*MOVIMIENTOS!$E$5:$E$1005)+SUMPRODUCT((MOVIMIENTOS!$B$5:$B$1005="DEVOLUCIÓN")*(MOVIMIENTOS!$C$5:$C$1005="C")*(MOVIMIENTOS!$D$5:$D$1005="jabas")*(MOVIMIENTOS!$A$5:$A$1005&lt;&gt;"")*(MOVIMIENTOS!$A$5:$A$1005&lt;=$A526)*MOVIMIENTOS!$E$5:$E$1005)-SUMPRODUCT((MOVIMIENTOS!$B$5:$B$1005="TRASIEGO")*(MOVIMIENTOS!$C$5:$C$1005="C")*(MOVIMIENTOS!$D$5:$D$1005="jabas")*(MOVIMIENTOS!$A$5:$A$1005&lt;&gt;"")*(MOVIMIENTOS!$A$5:$A$1005&lt;=$A526)*MOVIMIENTOS!$E$5:$E$1005)-SUMPRODUCT((MOVIMIENTOS!$B$5:$B$1005="REGALO")*(MOVIMIENTOS!$C$5:$C$1005="C")*(MOVIMIENTOS!$D$5:$D$1005="jabas")*(MOVIMIENTOS!$A$5:$A$1005&lt;&gt;"")*(MOVIMIENTOS!$A$5:$A$1005&lt;=$A526)*MOVIMIENTOS!$E$5:$E$1005)-SUMPRODUCT((MOVIMIENTOS!$B$5:$B$1005="VENTA")*(MOVIMIENTOS!$C$5:$C$1005="C")*(MOVIMIENTOS!$D$5:$D$1005="jabas")*(MOVIMIENTOS!$A$5:$A$1005&lt;&gt;"")*(MOVIMIENTOS!$A$5:$A$1005&lt;=$A526)*MOVIMIENTOS!$E$5:$E$1005)+SUMPRODUCT((MOVIMIENTOS!$B$5:$B$1005="AJUSTE")*(MOVIMIENTOS!$C$5:$C$1005="C")*(MOVIMIENTOS!$D$5:$D$1005="jabas")*(MOVIMIENTOS!$A$5:$A$1005&lt;&gt;"")*(MOVIMIENTOS!$A$5:$A$1005&lt;=$A526)*MOVIMIENTOS!$E$5:$E$1005))</f>
        <v/>
      </c>
      <c r="E526" t="str">
        <f>IF($A526="","",SUMPRODUCT((MOVIMIENTOS!$B$5:$B$1005="SALDO INICIAL")*(MOVIMIENTOS!$C$5:$C$1005="M")*(MOVIMIENTOS!$D$5:$D$1005="jabas")*(MOVIMIENTOS!$A$5:$A$1005&lt;&gt;"")*(MOVIMIENTOS!$A$5:$A$1005&lt;=$A526)*MOVIMIENTOS!$E$5:$E$1005)+SUMPRODUCT((MOVIMIENTOS!$B$5:$B$1005="PROCESO")*(MOVIMIENTOS!$C$5:$C$1005="M")*(MOVIMIENTOS!$D$5:$D$1005="jabas")*(MOVIMIENTOS!$A$5:$A$1005&lt;&gt;"")*(MOVIMIENTOS!$A$5:$A$1005&lt;=$A526)*MOVIMIENTOS!$E$5:$E$1005)-SUMPRODUCT((MOVIMIENTOS!$B$5:$B$1005="ENVÍO A SUPESA")*(MOVIMIENTOS!$C$5:$C$1005="M")*(MOVIMIENTOS!$D$5:$D$1005="jabas")*(MOVIMIENTOS!$A$5:$A$1005&lt;&gt;"")*(MOVIMIENTOS!$A$5:$A$1005&lt;=$A526)*MOVIMIENTOS!$E$5:$E$1005)+SUMPRODUCT((MOVIMIENTOS!$B$5:$B$1005="DEVOLUCIÓN")*(MOVIMIENTOS!$C$5:$C$1005="M")*(MOVIMIENTOS!$D$5:$D$1005="jabas")*(MOVIMIENTOS!$A$5:$A$1005&lt;&gt;"")*(MOVIMIENTOS!$A$5:$A$1005&lt;=$A526)*MOVIMIENTOS!$E$5:$E$1005)-SUMPRODUCT((MOVIMIENTOS!$B$5:$B$1005="TRASIEGO")*(MOVIMIENTOS!$C$5:$C$1005="M")*(MOVIMIENTOS!$D$5:$D$1005="jabas")*(MOVIMIENTOS!$A$5:$A$1005&lt;&gt;"")*(MOVIMIENTOS!$A$5:$A$1005&lt;=$A526)*MOVIMIENTOS!$E$5:$E$1005)-SUMPRODUCT((MOVIMIENTOS!$B$5:$B$1005="REGALO")*(MOVIMIENTOS!$C$5:$C$1005="M")*(MOVIMIENTOS!$D$5:$D$1005="jabas")*(MOVIMIENTOS!$A$5:$A$1005&lt;&gt;"")*(MOVIMIENTOS!$A$5:$A$1005&lt;=$A526)*MOVIMIENTOS!$E$5:$E$1005)-SUMPRODUCT((MOVIMIENTOS!$B$5:$B$1005="VENTA")*(MOVIMIENTOS!$C$5:$C$1005="M")*(MOVIMIENTOS!$D$5:$D$1005="jabas")*(MOVIMIENTOS!$A$5:$A$1005&lt;&gt;"")*(MOVIMIENTOS!$A$5:$A$1005&lt;=$A526)*MOVIMIENTOS!$E$5:$E$1005)+SUMPRODUCT((MOVIMIENTOS!$B$5:$B$1005="AJUSTE")*(MOVIMIENTOS!$C$5:$C$1005="M")*(MOVIMIENTOS!$D$5:$D$1005="jabas")*(MOVIMIENTOS!$A$5:$A$1005&lt;&gt;"")*(MOVIMIENTOS!$A$5:$A$1005&lt;=$A526)*MOVIMIENTOS!$E$5:$E$1005))</f>
        <v/>
      </c>
      <c r="F526" s="62" t="str">
        <f>IF($A526="","",SUMPRODUCT((MOVIMIENTOS!$B$5:$B$1005="SALDO INICIAL")*(MOVIMIENTOS!$C$5:$C$1005="Chancho")*(MOVIMIENTOS!$D$5:$D$1005="sacos")*(MOVIMIENTOS!$A$5:$A$1005&lt;&gt;"")*(MOVIMIENTOS!$A$5:$A$1005&lt;=$A526)*MOVIMIENTOS!$E$5:$E$1005)+SUMPRODUCT((MOVIMIENTOS!$B$5:$B$1005="PROCESO")*(MOVIMIENTOS!$C$5:$C$1005="Chancho")*(MOVIMIENTOS!$D$5:$D$1005="sacos")*(MOVIMIENTOS!$A$5:$A$1005&lt;&gt;"")*(MOVIMIENTOS!$A$5:$A$1005&lt;=$A526)*MOVIMIENTOS!$E$5:$E$1005)-SUMPRODUCT((MOVIMIENTOS!$B$5:$B$1005="VENTA CHANCHO")*(MOVIMIENTOS!$C$5:$C$1005="Chancho")*(MOVIMIENTOS!$D$5:$D$1005="sacos")*(MOVIMIENTOS!$A$5:$A$1005&lt;&gt;"")*(MOVIMIENTOS!$A$5:$A$1005&lt;=$A526)*MOVIMIENTOS!$E$5:$E$1005)-SUMPRODUCT((MOVIMIENTOS!$B$5:$B$1005="REGALO")*(MOVIMIENTOS!$C$5:$C$1005="Chancho")*(MOVIMIENTOS!$D$5:$D$1005="sacos")*(MOVIMIENTOS!$A$5:$A$1005&lt;&gt;"")*(MOVIMIENTOS!$A$5:$A$1005&lt;=$A526)*MOVIMIENTOS!$E$5:$E$1005)-SUMPRODUCT((MOVIMIENTOS!$B$5:$B$1005="VENTA")*(MOVIMIENTOS!$C$5:$C$1005="Chancho")*(MOVIMIENTOS!$D$5:$D$1005="sacos")*(MOVIMIENTOS!$A$5:$A$1005&lt;&gt;"")*(MOVIMIENTOS!$A$5:$A$1005&lt;=$A526)*MOVIMIENTOS!$E$5:$E$1005)+SUMPRODUCT((MOVIMIENTOS!$B$5:$B$1005="AJUSTE")*(MOVIMIENTOS!$C$5:$C$1005="Chancho")*(MOVIMIENTOS!$D$5:$D$1005="sacos")*(MOVIMIENTOS!$A$5:$A$1005&lt;&gt;"")*(MOVIMIENTOS!$A$5:$A$1005&lt;=$A526)*MOVIMIENTOS!$E$5:$E$1005))</f>
        <v/>
      </c>
      <c r="G526" s="62" t="str">
        <f t="shared" si="17"/>
        <v/>
      </c>
      <c r="H526" t="str">
        <f>IF($A526="","",SUMPRODUCT((((MOVIMIENTOS!$B$5:$B$1005="SALDO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526)*MOVIMIENTOS!$J$5:$J$1005))</f>
        <v/>
      </c>
      <c r="J526" t="str">
        <f>IF(AND(MOVIMIENTOS!$A531&lt;&gt;"",COUNTIF(MOVIMIENTOS!$A$5:$A530,MOVIMIENTOS!$A531)=0),COUNT(J$4:J525)+1,"")</f>
        <v/>
      </c>
      <c r="K526">
        <f>MOVIMIENTOS!$A531</f>
        <v>0</v>
      </c>
    </row>
    <row r="527" spans="1:11" ht="15" customHeight="1" x14ac:dyDescent="0.2">
      <c r="A527" t="str">
        <f t="shared" si="16"/>
        <v/>
      </c>
      <c r="B527" t="str">
        <f>IF($A527="","",SUMPRODUCT((MOVIMIENTOS!$B$5:$B$1005="SALDO INICIAL")*(MOVIMIENTOS!$C$5:$C$1005="A")*(MOVIMIENTOS!$D$5:$D$1005="jabas")*(MOVIMIENTOS!$A$5:$A$1005&lt;&gt;"")*(MOVIMIENTOS!$A$5:$A$1005&lt;=$A527)*MOVIMIENTOS!$E$5:$E$1005)+SUMPRODUCT((MOVIMIENTOS!$B$5:$B$1005="PROCESO")*(MOVIMIENTOS!$C$5:$C$1005="A")*(MOVIMIENTOS!$D$5:$D$1005="jabas")*(MOVIMIENTOS!$A$5:$A$1005&lt;&gt;"")*(MOVIMIENTOS!$A$5:$A$1005&lt;=$A527)*MOVIMIENTOS!$E$5:$E$1005)-SUMPRODUCT((MOVIMIENTOS!$B$5:$B$1005="ENVÍO A SUPESA")*(MOVIMIENTOS!$C$5:$C$1005="A")*(MOVIMIENTOS!$D$5:$D$1005="jabas")*(MOVIMIENTOS!$A$5:$A$1005&lt;&gt;"")*(MOVIMIENTOS!$A$5:$A$1005&lt;=$A527)*MOVIMIENTOS!$E$5:$E$1005)+SUMPRODUCT((MOVIMIENTOS!$B$5:$B$1005="DEVOLUCIÓN")*(MOVIMIENTOS!$C$5:$C$1005="A")*(MOVIMIENTOS!$D$5:$D$1005="jabas")*(MOVIMIENTOS!$A$5:$A$1005&lt;&gt;"")*(MOVIMIENTOS!$A$5:$A$1005&lt;=$A527)*MOVIMIENTOS!$E$5:$E$1005)-SUMPRODUCT((MOVIMIENTOS!$B$5:$B$1005="TRASIEGO")*(MOVIMIENTOS!$C$5:$C$1005="A")*(MOVIMIENTOS!$D$5:$D$1005="jabas")*(MOVIMIENTOS!$A$5:$A$1005&lt;&gt;"")*(MOVIMIENTOS!$A$5:$A$1005&lt;=$A527)*MOVIMIENTOS!$E$5:$E$1005)-SUMPRODUCT((MOVIMIENTOS!$B$5:$B$1005="REGALO")*(MOVIMIENTOS!$C$5:$C$1005="A")*(MOVIMIENTOS!$D$5:$D$1005="jabas")*(MOVIMIENTOS!$A$5:$A$1005&lt;&gt;"")*(MOVIMIENTOS!$A$5:$A$1005&lt;=$A527)*MOVIMIENTOS!$E$5:$E$1005)-SUMPRODUCT((MOVIMIENTOS!$B$5:$B$1005="VENTA")*(MOVIMIENTOS!$C$5:$C$1005="A")*(MOVIMIENTOS!$D$5:$D$1005="jabas")*(MOVIMIENTOS!$A$5:$A$1005&lt;&gt;"")*(MOVIMIENTOS!$A$5:$A$1005&lt;=$A527)*MOVIMIENTOS!$E$5:$E$1005)+SUMPRODUCT((MOVIMIENTOS!$B$5:$B$1005="AJUSTE")*(MOVIMIENTOS!$C$5:$C$1005="A")*(MOVIMIENTOS!$D$5:$D$1005="jabas")*(MOVIMIENTOS!$A$5:$A$1005&lt;&gt;"")*(MOVIMIENTOS!$A$5:$A$1005&lt;=$A527)*MOVIMIENTOS!$E$5:$E$1005))</f>
        <v/>
      </c>
      <c r="C527" t="str">
        <f>IF($A527="","",SUMPRODUCT((MOVIMIENTOS!$B$5:$B$1005="SALDO INICIAL")*(MOVIMIENTOS!$C$5:$C$1005="P")*(MOVIMIENTOS!$D$5:$D$1005="jabas")*(MOVIMIENTOS!$A$5:$A$1005&lt;&gt;"")*(MOVIMIENTOS!$A$5:$A$1005&lt;=$A527)*MOVIMIENTOS!$E$5:$E$1005)+SUMPRODUCT((MOVIMIENTOS!$B$5:$B$1005="PROCESO")*(MOVIMIENTOS!$C$5:$C$1005="P")*(MOVIMIENTOS!$D$5:$D$1005="jabas")*(MOVIMIENTOS!$A$5:$A$1005&lt;&gt;"")*(MOVIMIENTOS!$A$5:$A$1005&lt;=$A527)*MOVIMIENTOS!$E$5:$E$1005)-SUMPRODUCT((MOVIMIENTOS!$B$5:$B$1005="ENVÍO A SUPESA")*(MOVIMIENTOS!$C$5:$C$1005="P")*(MOVIMIENTOS!$D$5:$D$1005="jabas")*(MOVIMIENTOS!$A$5:$A$1005&lt;&gt;"")*(MOVIMIENTOS!$A$5:$A$1005&lt;=$A527)*MOVIMIENTOS!$E$5:$E$1005)+SUMPRODUCT((MOVIMIENTOS!$B$5:$B$1005="DEVOLUCIÓN")*(MOVIMIENTOS!$C$5:$C$1005="P")*(MOVIMIENTOS!$D$5:$D$1005="jabas")*(MOVIMIENTOS!$A$5:$A$1005&lt;&gt;"")*(MOVIMIENTOS!$A$5:$A$1005&lt;=$A527)*MOVIMIENTOS!$E$5:$E$1005)-SUMPRODUCT((MOVIMIENTOS!$B$5:$B$1005="TRASIEGO")*(MOVIMIENTOS!$C$5:$C$1005="P")*(MOVIMIENTOS!$D$5:$D$1005="jabas")*(MOVIMIENTOS!$A$5:$A$1005&lt;&gt;"")*(MOVIMIENTOS!$A$5:$A$1005&lt;=$A527)*MOVIMIENTOS!$E$5:$E$1005)-SUMPRODUCT((MOVIMIENTOS!$B$5:$B$1005="REGALO")*(MOVIMIENTOS!$C$5:$C$1005="P")*(MOVIMIENTOS!$D$5:$D$1005="jabas")*(MOVIMIENTOS!$A$5:$A$1005&lt;&gt;"")*(MOVIMIENTOS!$A$5:$A$1005&lt;=$A527)*MOVIMIENTOS!$E$5:$E$1005)-SUMPRODUCT((MOVIMIENTOS!$B$5:$B$1005="VENTA")*(MOVIMIENTOS!$C$5:$C$1005="P")*(MOVIMIENTOS!$D$5:$D$1005="jabas")*(MOVIMIENTOS!$A$5:$A$1005&lt;&gt;"")*(MOVIMIENTOS!$A$5:$A$1005&lt;=$A527)*MOVIMIENTOS!$E$5:$E$1005)+SUMPRODUCT((MOVIMIENTOS!$B$5:$B$1005="AJUSTE")*(MOVIMIENTOS!$C$5:$C$1005="P")*(MOVIMIENTOS!$D$5:$D$1005="jabas")*(MOVIMIENTOS!$A$5:$A$1005&lt;&gt;"")*(MOVIMIENTOS!$A$5:$A$1005&lt;=$A527)*MOVIMIENTOS!$E$5:$E$1005))</f>
        <v/>
      </c>
      <c r="D527" t="str">
        <f>IF($A527="","",SUMPRODUCT((MOVIMIENTOS!$B$5:$B$1005="SALDO INICIAL")*(MOVIMIENTOS!$C$5:$C$1005="C")*(MOVIMIENTOS!$D$5:$D$1005="jabas")*(MOVIMIENTOS!$A$5:$A$1005&lt;&gt;"")*(MOVIMIENTOS!$A$5:$A$1005&lt;=$A527)*MOVIMIENTOS!$E$5:$E$1005)+SUMPRODUCT((MOVIMIENTOS!$B$5:$B$1005="PROCESO")*(MOVIMIENTOS!$C$5:$C$1005="C")*(MOVIMIENTOS!$D$5:$D$1005="jabas")*(MOVIMIENTOS!$A$5:$A$1005&lt;&gt;"")*(MOVIMIENTOS!$A$5:$A$1005&lt;=$A527)*MOVIMIENTOS!$E$5:$E$1005)-SUMPRODUCT((MOVIMIENTOS!$B$5:$B$1005="ENVÍO A SUPESA")*(MOVIMIENTOS!$C$5:$C$1005="C")*(MOVIMIENTOS!$D$5:$D$1005="jabas")*(MOVIMIENTOS!$A$5:$A$1005&lt;&gt;"")*(MOVIMIENTOS!$A$5:$A$1005&lt;=$A527)*MOVIMIENTOS!$E$5:$E$1005)+SUMPRODUCT((MOVIMIENTOS!$B$5:$B$1005="DEVOLUCIÓN")*(MOVIMIENTOS!$C$5:$C$1005="C")*(MOVIMIENTOS!$D$5:$D$1005="jabas")*(MOVIMIENTOS!$A$5:$A$1005&lt;&gt;"")*(MOVIMIENTOS!$A$5:$A$1005&lt;=$A527)*MOVIMIENTOS!$E$5:$E$1005)-SUMPRODUCT((MOVIMIENTOS!$B$5:$B$1005="TRASIEGO")*(MOVIMIENTOS!$C$5:$C$1005="C")*(MOVIMIENTOS!$D$5:$D$1005="jabas")*(MOVIMIENTOS!$A$5:$A$1005&lt;&gt;"")*(MOVIMIENTOS!$A$5:$A$1005&lt;=$A527)*MOVIMIENTOS!$E$5:$E$1005)-SUMPRODUCT((MOVIMIENTOS!$B$5:$B$1005="REGALO")*(MOVIMIENTOS!$C$5:$C$1005="C")*(MOVIMIENTOS!$D$5:$D$1005="jabas")*(MOVIMIENTOS!$A$5:$A$1005&lt;&gt;"")*(MOVIMIENTOS!$A$5:$A$1005&lt;=$A527)*MOVIMIENTOS!$E$5:$E$1005)-SUMPRODUCT((MOVIMIENTOS!$B$5:$B$1005="VENTA")*(MOVIMIENTOS!$C$5:$C$1005="C")*(MOVIMIENTOS!$D$5:$D$1005="jabas")*(MOVIMIENTOS!$A$5:$A$1005&lt;&gt;"")*(MOVIMIENTOS!$A$5:$A$1005&lt;=$A527)*MOVIMIENTOS!$E$5:$E$1005)+SUMPRODUCT((MOVIMIENTOS!$B$5:$B$1005="AJUSTE")*(MOVIMIENTOS!$C$5:$C$1005="C")*(MOVIMIENTOS!$D$5:$D$1005="jabas")*(MOVIMIENTOS!$A$5:$A$1005&lt;&gt;"")*(MOVIMIENTOS!$A$5:$A$1005&lt;=$A527)*MOVIMIENTOS!$E$5:$E$1005))</f>
        <v/>
      </c>
      <c r="E527" t="str">
        <f>IF($A527="","",SUMPRODUCT((MOVIMIENTOS!$B$5:$B$1005="SALDO INICIAL")*(MOVIMIENTOS!$C$5:$C$1005="M")*(MOVIMIENTOS!$D$5:$D$1005="jabas")*(MOVIMIENTOS!$A$5:$A$1005&lt;&gt;"")*(MOVIMIENTOS!$A$5:$A$1005&lt;=$A527)*MOVIMIENTOS!$E$5:$E$1005)+SUMPRODUCT((MOVIMIENTOS!$B$5:$B$1005="PROCESO")*(MOVIMIENTOS!$C$5:$C$1005="M")*(MOVIMIENTOS!$D$5:$D$1005="jabas")*(MOVIMIENTOS!$A$5:$A$1005&lt;&gt;"")*(MOVIMIENTOS!$A$5:$A$1005&lt;=$A527)*MOVIMIENTOS!$E$5:$E$1005)-SUMPRODUCT((MOVIMIENTOS!$B$5:$B$1005="ENVÍO A SUPESA")*(MOVIMIENTOS!$C$5:$C$1005="M")*(MOVIMIENTOS!$D$5:$D$1005="jabas")*(MOVIMIENTOS!$A$5:$A$1005&lt;&gt;"")*(MOVIMIENTOS!$A$5:$A$1005&lt;=$A527)*MOVIMIENTOS!$E$5:$E$1005)+SUMPRODUCT((MOVIMIENTOS!$B$5:$B$1005="DEVOLUCIÓN")*(MOVIMIENTOS!$C$5:$C$1005="M")*(MOVIMIENTOS!$D$5:$D$1005="jabas")*(MOVIMIENTOS!$A$5:$A$1005&lt;&gt;"")*(MOVIMIENTOS!$A$5:$A$1005&lt;=$A527)*MOVIMIENTOS!$E$5:$E$1005)-SUMPRODUCT((MOVIMIENTOS!$B$5:$B$1005="TRASIEGO")*(MOVIMIENTOS!$C$5:$C$1005="M")*(MOVIMIENTOS!$D$5:$D$1005="jabas")*(MOVIMIENTOS!$A$5:$A$1005&lt;&gt;"")*(MOVIMIENTOS!$A$5:$A$1005&lt;=$A527)*MOVIMIENTOS!$E$5:$E$1005)-SUMPRODUCT((MOVIMIENTOS!$B$5:$B$1005="REGALO")*(MOVIMIENTOS!$C$5:$C$1005="M")*(MOVIMIENTOS!$D$5:$D$1005="jabas")*(MOVIMIENTOS!$A$5:$A$1005&lt;&gt;"")*(MOVIMIENTOS!$A$5:$A$1005&lt;=$A527)*MOVIMIENTOS!$E$5:$E$1005)-SUMPRODUCT((MOVIMIENTOS!$B$5:$B$1005="VENTA")*(MOVIMIENTOS!$C$5:$C$1005="M")*(MOVIMIENTOS!$D$5:$D$1005="jabas")*(MOVIMIENTOS!$A$5:$A$1005&lt;&gt;"")*(MOVIMIENTOS!$A$5:$A$1005&lt;=$A527)*MOVIMIENTOS!$E$5:$E$1005)+SUMPRODUCT((MOVIMIENTOS!$B$5:$B$1005="AJUSTE")*(MOVIMIENTOS!$C$5:$C$1005="M")*(MOVIMIENTOS!$D$5:$D$1005="jabas")*(MOVIMIENTOS!$A$5:$A$1005&lt;&gt;"")*(MOVIMIENTOS!$A$5:$A$1005&lt;=$A527)*MOVIMIENTOS!$E$5:$E$1005))</f>
        <v/>
      </c>
      <c r="F527" s="62" t="str">
        <f>IF($A527="","",SUMPRODUCT((MOVIMIENTOS!$B$5:$B$1005="SALDO INICIAL")*(MOVIMIENTOS!$C$5:$C$1005="Chancho")*(MOVIMIENTOS!$D$5:$D$1005="sacos")*(MOVIMIENTOS!$A$5:$A$1005&lt;&gt;"")*(MOVIMIENTOS!$A$5:$A$1005&lt;=$A527)*MOVIMIENTOS!$E$5:$E$1005)+SUMPRODUCT((MOVIMIENTOS!$B$5:$B$1005="PROCESO")*(MOVIMIENTOS!$C$5:$C$1005="Chancho")*(MOVIMIENTOS!$D$5:$D$1005="sacos")*(MOVIMIENTOS!$A$5:$A$1005&lt;&gt;"")*(MOVIMIENTOS!$A$5:$A$1005&lt;=$A527)*MOVIMIENTOS!$E$5:$E$1005)-SUMPRODUCT((MOVIMIENTOS!$B$5:$B$1005="VENTA CHANCHO")*(MOVIMIENTOS!$C$5:$C$1005="Chancho")*(MOVIMIENTOS!$D$5:$D$1005="sacos")*(MOVIMIENTOS!$A$5:$A$1005&lt;&gt;"")*(MOVIMIENTOS!$A$5:$A$1005&lt;=$A527)*MOVIMIENTOS!$E$5:$E$1005)-SUMPRODUCT((MOVIMIENTOS!$B$5:$B$1005="REGALO")*(MOVIMIENTOS!$C$5:$C$1005="Chancho")*(MOVIMIENTOS!$D$5:$D$1005="sacos")*(MOVIMIENTOS!$A$5:$A$1005&lt;&gt;"")*(MOVIMIENTOS!$A$5:$A$1005&lt;=$A527)*MOVIMIENTOS!$E$5:$E$1005)-SUMPRODUCT((MOVIMIENTOS!$B$5:$B$1005="VENTA")*(MOVIMIENTOS!$C$5:$C$1005="Chancho")*(MOVIMIENTOS!$D$5:$D$1005="sacos")*(MOVIMIENTOS!$A$5:$A$1005&lt;&gt;"")*(MOVIMIENTOS!$A$5:$A$1005&lt;=$A527)*MOVIMIENTOS!$E$5:$E$1005)+SUMPRODUCT((MOVIMIENTOS!$B$5:$B$1005="AJUSTE")*(MOVIMIENTOS!$C$5:$C$1005="Chancho")*(MOVIMIENTOS!$D$5:$D$1005="sacos")*(MOVIMIENTOS!$A$5:$A$1005&lt;&gt;"")*(MOVIMIENTOS!$A$5:$A$1005&lt;=$A527)*MOVIMIENTOS!$E$5:$E$1005))</f>
        <v/>
      </c>
      <c r="G527" s="62" t="str">
        <f t="shared" si="17"/>
        <v/>
      </c>
      <c r="H527" t="str">
        <f>IF($A527="","",SUMPRODUCT((((MOVIMIENTOS!$B$5:$B$1005="SALDO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527)*MOVIMIENTOS!$J$5:$J$1005))</f>
        <v/>
      </c>
      <c r="J527" t="str">
        <f>IF(AND(MOVIMIENTOS!$A532&lt;&gt;"",COUNTIF(MOVIMIENTOS!$A$5:$A531,MOVIMIENTOS!$A532)=0),COUNT(J$4:J526)+1,"")</f>
        <v/>
      </c>
      <c r="K527">
        <f>MOVIMIENTOS!$A532</f>
        <v>0</v>
      </c>
    </row>
    <row r="528" spans="1:11" ht="15" customHeight="1" x14ac:dyDescent="0.2">
      <c r="A528" t="str">
        <f t="shared" si="16"/>
        <v/>
      </c>
      <c r="B528" t="str">
        <f>IF($A528="","",SUMPRODUCT((MOVIMIENTOS!$B$5:$B$1005="SALDO INICIAL")*(MOVIMIENTOS!$C$5:$C$1005="A")*(MOVIMIENTOS!$D$5:$D$1005="jabas")*(MOVIMIENTOS!$A$5:$A$1005&lt;&gt;"")*(MOVIMIENTOS!$A$5:$A$1005&lt;=$A528)*MOVIMIENTOS!$E$5:$E$1005)+SUMPRODUCT((MOVIMIENTOS!$B$5:$B$1005="PROCESO")*(MOVIMIENTOS!$C$5:$C$1005="A")*(MOVIMIENTOS!$D$5:$D$1005="jabas")*(MOVIMIENTOS!$A$5:$A$1005&lt;&gt;"")*(MOVIMIENTOS!$A$5:$A$1005&lt;=$A528)*MOVIMIENTOS!$E$5:$E$1005)-SUMPRODUCT((MOVIMIENTOS!$B$5:$B$1005="ENVÍO A SUPESA")*(MOVIMIENTOS!$C$5:$C$1005="A")*(MOVIMIENTOS!$D$5:$D$1005="jabas")*(MOVIMIENTOS!$A$5:$A$1005&lt;&gt;"")*(MOVIMIENTOS!$A$5:$A$1005&lt;=$A528)*MOVIMIENTOS!$E$5:$E$1005)+SUMPRODUCT((MOVIMIENTOS!$B$5:$B$1005="DEVOLUCIÓN")*(MOVIMIENTOS!$C$5:$C$1005="A")*(MOVIMIENTOS!$D$5:$D$1005="jabas")*(MOVIMIENTOS!$A$5:$A$1005&lt;&gt;"")*(MOVIMIENTOS!$A$5:$A$1005&lt;=$A528)*MOVIMIENTOS!$E$5:$E$1005)-SUMPRODUCT((MOVIMIENTOS!$B$5:$B$1005="TRASIEGO")*(MOVIMIENTOS!$C$5:$C$1005="A")*(MOVIMIENTOS!$D$5:$D$1005="jabas")*(MOVIMIENTOS!$A$5:$A$1005&lt;&gt;"")*(MOVIMIENTOS!$A$5:$A$1005&lt;=$A528)*MOVIMIENTOS!$E$5:$E$1005)-SUMPRODUCT((MOVIMIENTOS!$B$5:$B$1005="REGALO")*(MOVIMIENTOS!$C$5:$C$1005="A")*(MOVIMIENTOS!$D$5:$D$1005="jabas")*(MOVIMIENTOS!$A$5:$A$1005&lt;&gt;"")*(MOVIMIENTOS!$A$5:$A$1005&lt;=$A528)*MOVIMIENTOS!$E$5:$E$1005)-SUMPRODUCT((MOVIMIENTOS!$B$5:$B$1005="VENTA")*(MOVIMIENTOS!$C$5:$C$1005="A")*(MOVIMIENTOS!$D$5:$D$1005="jabas")*(MOVIMIENTOS!$A$5:$A$1005&lt;&gt;"")*(MOVIMIENTOS!$A$5:$A$1005&lt;=$A528)*MOVIMIENTOS!$E$5:$E$1005)+SUMPRODUCT((MOVIMIENTOS!$B$5:$B$1005="AJUSTE")*(MOVIMIENTOS!$C$5:$C$1005="A")*(MOVIMIENTOS!$D$5:$D$1005="jabas")*(MOVIMIENTOS!$A$5:$A$1005&lt;&gt;"")*(MOVIMIENTOS!$A$5:$A$1005&lt;=$A528)*MOVIMIENTOS!$E$5:$E$1005))</f>
        <v/>
      </c>
      <c r="C528" t="str">
        <f>IF($A528="","",SUMPRODUCT((MOVIMIENTOS!$B$5:$B$1005="SALDO INICIAL")*(MOVIMIENTOS!$C$5:$C$1005="P")*(MOVIMIENTOS!$D$5:$D$1005="jabas")*(MOVIMIENTOS!$A$5:$A$1005&lt;&gt;"")*(MOVIMIENTOS!$A$5:$A$1005&lt;=$A528)*MOVIMIENTOS!$E$5:$E$1005)+SUMPRODUCT((MOVIMIENTOS!$B$5:$B$1005="PROCESO")*(MOVIMIENTOS!$C$5:$C$1005="P")*(MOVIMIENTOS!$D$5:$D$1005="jabas")*(MOVIMIENTOS!$A$5:$A$1005&lt;&gt;"")*(MOVIMIENTOS!$A$5:$A$1005&lt;=$A528)*MOVIMIENTOS!$E$5:$E$1005)-SUMPRODUCT((MOVIMIENTOS!$B$5:$B$1005="ENVÍO A SUPESA")*(MOVIMIENTOS!$C$5:$C$1005="P")*(MOVIMIENTOS!$D$5:$D$1005="jabas")*(MOVIMIENTOS!$A$5:$A$1005&lt;&gt;"")*(MOVIMIENTOS!$A$5:$A$1005&lt;=$A528)*MOVIMIENTOS!$E$5:$E$1005)+SUMPRODUCT((MOVIMIENTOS!$B$5:$B$1005="DEVOLUCIÓN")*(MOVIMIENTOS!$C$5:$C$1005="P")*(MOVIMIENTOS!$D$5:$D$1005="jabas")*(MOVIMIENTOS!$A$5:$A$1005&lt;&gt;"")*(MOVIMIENTOS!$A$5:$A$1005&lt;=$A528)*MOVIMIENTOS!$E$5:$E$1005)-SUMPRODUCT((MOVIMIENTOS!$B$5:$B$1005="TRASIEGO")*(MOVIMIENTOS!$C$5:$C$1005="P")*(MOVIMIENTOS!$D$5:$D$1005="jabas")*(MOVIMIENTOS!$A$5:$A$1005&lt;&gt;"")*(MOVIMIENTOS!$A$5:$A$1005&lt;=$A528)*MOVIMIENTOS!$E$5:$E$1005)-SUMPRODUCT((MOVIMIENTOS!$B$5:$B$1005="REGALO")*(MOVIMIENTOS!$C$5:$C$1005="P")*(MOVIMIENTOS!$D$5:$D$1005="jabas")*(MOVIMIENTOS!$A$5:$A$1005&lt;&gt;"")*(MOVIMIENTOS!$A$5:$A$1005&lt;=$A528)*MOVIMIENTOS!$E$5:$E$1005)-SUMPRODUCT((MOVIMIENTOS!$B$5:$B$1005="VENTA")*(MOVIMIENTOS!$C$5:$C$1005="P")*(MOVIMIENTOS!$D$5:$D$1005="jabas")*(MOVIMIENTOS!$A$5:$A$1005&lt;&gt;"")*(MOVIMIENTOS!$A$5:$A$1005&lt;=$A528)*MOVIMIENTOS!$E$5:$E$1005)+SUMPRODUCT((MOVIMIENTOS!$B$5:$B$1005="AJUSTE")*(MOVIMIENTOS!$C$5:$C$1005="P")*(MOVIMIENTOS!$D$5:$D$1005="jabas")*(MOVIMIENTOS!$A$5:$A$1005&lt;&gt;"")*(MOVIMIENTOS!$A$5:$A$1005&lt;=$A528)*MOVIMIENTOS!$E$5:$E$1005))</f>
        <v/>
      </c>
      <c r="D528" t="str">
        <f>IF($A528="","",SUMPRODUCT((MOVIMIENTOS!$B$5:$B$1005="SALDO INICIAL")*(MOVIMIENTOS!$C$5:$C$1005="C")*(MOVIMIENTOS!$D$5:$D$1005="jabas")*(MOVIMIENTOS!$A$5:$A$1005&lt;&gt;"")*(MOVIMIENTOS!$A$5:$A$1005&lt;=$A528)*MOVIMIENTOS!$E$5:$E$1005)+SUMPRODUCT((MOVIMIENTOS!$B$5:$B$1005="PROCESO")*(MOVIMIENTOS!$C$5:$C$1005="C")*(MOVIMIENTOS!$D$5:$D$1005="jabas")*(MOVIMIENTOS!$A$5:$A$1005&lt;&gt;"")*(MOVIMIENTOS!$A$5:$A$1005&lt;=$A528)*MOVIMIENTOS!$E$5:$E$1005)-SUMPRODUCT((MOVIMIENTOS!$B$5:$B$1005="ENVÍO A SUPESA")*(MOVIMIENTOS!$C$5:$C$1005="C")*(MOVIMIENTOS!$D$5:$D$1005="jabas")*(MOVIMIENTOS!$A$5:$A$1005&lt;&gt;"")*(MOVIMIENTOS!$A$5:$A$1005&lt;=$A528)*MOVIMIENTOS!$E$5:$E$1005)+SUMPRODUCT((MOVIMIENTOS!$B$5:$B$1005="DEVOLUCIÓN")*(MOVIMIENTOS!$C$5:$C$1005="C")*(MOVIMIENTOS!$D$5:$D$1005="jabas")*(MOVIMIENTOS!$A$5:$A$1005&lt;&gt;"")*(MOVIMIENTOS!$A$5:$A$1005&lt;=$A528)*MOVIMIENTOS!$E$5:$E$1005)-SUMPRODUCT((MOVIMIENTOS!$B$5:$B$1005="TRASIEGO")*(MOVIMIENTOS!$C$5:$C$1005="C")*(MOVIMIENTOS!$D$5:$D$1005="jabas")*(MOVIMIENTOS!$A$5:$A$1005&lt;&gt;"")*(MOVIMIENTOS!$A$5:$A$1005&lt;=$A528)*MOVIMIENTOS!$E$5:$E$1005)-SUMPRODUCT((MOVIMIENTOS!$B$5:$B$1005="REGALO")*(MOVIMIENTOS!$C$5:$C$1005="C")*(MOVIMIENTOS!$D$5:$D$1005="jabas")*(MOVIMIENTOS!$A$5:$A$1005&lt;&gt;"")*(MOVIMIENTOS!$A$5:$A$1005&lt;=$A528)*MOVIMIENTOS!$E$5:$E$1005)-SUMPRODUCT((MOVIMIENTOS!$B$5:$B$1005="VENTA")*(MOVIMIENTOS!$C$5:$C$1005="C")*(MOVIMIENTOS!$D$5:$D$1005="jabas")*(MOVIMIENTOS!$A$5:$A$1005&lt;&gt;"")*(MOVIMIENTOS!$A$5:$A$1005&lt;=$A528)*MOVIMIENTOS!$E$5:$E$1005)+SUMPRODUCT((MOVIMIENTOS!$B$5:$B$1005="AJUSTE")*(MOVIMIENTOS!$C$5:$C$1005="C")*(MOVIMIENTOS!$D$5:$D$1005="jabas")*(MOVIMIENTOS!$A$5:$A$1005&lt;&gt;"")*(MOVIMIENTOS!$A$5:$A$1005&lt;=$A528)*MOVIMIENTOS!$E$5:$E$1005))</f>
        <v/>
      </c>
      <c r="E528" t="str">
        <f>IF($A528="","",SUMPRODUCT((MOVIMIENTOS!$B$5:$B$1005="SALDO INICIAL")*(MOVIMIENTOS!$C$5:$C$1005="M")*(MOVIMIENTOS!$D$5:$D$1005="jabas")*(MOVIMIENTOS!$A$5:$A$1005&lt;&gt;"")*(MOVIMIENTOS!$A$5:$A$1005&lt;=$A528)*MOVIMIENTOS!$E$5:$E$1005)+SUMPRODUCT((MOVIMIENTOS!$B$5:$B$1005="PROCESO")*(MOVIMIENTOS!$C$5:$C$1005="M")*(MOVIMIENTOS!$D$5:$D$1005="jabas")*(MOVIMIENTOS!$A$5:$A$1005&lt;&gt;"")*(MOVIMIENTOS!$A$5:$A$1005&lt;=$A528)*MOVIMIENTOS!$E$5:$E$1005)-SUMPRODUCT((MOVIMIENTOS!$B$5:$B$1005="ENVÍO A SUPESA")*(MOVIMIENTOS!$C$5:$C$1005="M")*(MOVIMIENTOS!$D$5:$D$1005="jabas")*(MOVIMIENTOS!$A$5:$A$1005&lt;&gt;"")*(MOVIMIENTOS!$A$5:$A$1005&lt;=$A528)*MOVIMIENTOS!$E$5:$E$1005)+SUMPRODUCT((MOVIMIENTOS!$B$5:$B$1005="DEVOLUCIÓN")*(MOVIMIENTOS!$C$5:$C$1005="M")*(MOVIMIENTOS!$D$5:$D$1005="jabas")*(MOVIMIENTOS!$A$5:$A$1005&lt;&gt;"")*(MOVIMIENTOS!$A$5:$A$1005&lt;=$A528)*MOVIMIENTOS!$E$5:$E$1005)-SUMPRODUCT((MOVIMIENTOS!$B$5:$B$1005="TRASIEGO")*(MOVIMIENTOS!$C$5:$C$1005="M")*(MOVIMIENTOS!$D$5:$D$1005="jabas")*(MOVIMIENTOS!$A$5:$A$1005&lt;&gt;"")*(MOVIMIENTOS!$A$5:$A$1005&lt;=$A528)*MOVIMIENTOS!$E$5:$E$1005)-SUMPRODUCT((MOVIMIENTOS!$B$5:$B$1005="REGALO")*(MOVIMIENTOS!$C$5:$C$1005="M")*(MOVIMIENTOS!$D$5:$D$1005="jabas")*(MOVIMIENTOS!$A$5:$A$1005&lt;&gt;"")*(MOVIMIENTOS!$A$5:$A$1005&lt;=$A528)*MOVIMIENTOS!$E$5:$E$1005)-SUMPRODUCT((MOVIMIENTOS!$B$5:$B$1005="VENTA")*(MOVIMIENTOS!$C$5:$C$1005="M")*(MOVIMIENTOS!$D$5:$D$1005="jabas")*(MOVIMIENTOS!$A$5:$A$1005&lt;&gt;"")*(MOVIMIENTOS!$A$5:$A$1005&lt;=$A528)*MOVIMIENTOS!$E$5:$E$1005)+SUMPRODUCT((MOVIMIENTOS!$B$5:$B$1005="AJUSTE")*(MOVIMIENTOS!$C$5:$C$1005="M")*(MOVIMIENTOS!$D$5:$D$1005="jabas")*(MOVIMIENTOS!$A$5:$A$1005&lt;&gt;"")*(MOVIMIENTOS!$A$5:$A$1005&lt;=$A528)*MOVIMIENTOS!$E$5:$E$1005))</f>
        <v/>
      </c>
      <c r="F528" s="62" t="str">
        <f>IF($A528="","",SUMPRODUCT((MOVIMIENTOS!$B$5:$B$1005="SALDO INICIAL")*(MOVIMIENTOS!$C$5:$C$1005="Chancho")*(MOVIMIENTOS!$D$5:$D$1005="sacos")*(MOVIMIENTOS!$A$5:$A$1005&lt;&gt;"")*(MOVIMIENTOS!$A$5:$A$1005&lt;=$A528)*MOVIMIENTOS!$E$5:$E$1005)+SUMPRODUCT((MOVIMIENTOS!$B$5:$B$1005="PROCESO")*(MOVIMIENTOS!$C$5:$C$1005="Chancho")*(MOVIMIENTOS!$D$5:$D$1005="sacos")*(MOVIMIENTOS!$A$5:$A$1005&lt;&gt;"")*(MOVIMIENTOS!$A$5:$A$1005&lt;=$A528)*MOVIMIENTOS!$E$5:$E$1005)-SUMPRODUCT((MOVIMIENTOS!$B$5:$B$1005="VENTA CHANCHO")*(MOVIMIENTOS!$C$5:$C$1005="Chancho")*(MOVIMIENTOS!$D$5:$D$1005="sacos")*(MOVIMIENTOS!$A$5:$A$1005&lt;&gt;"")*(MOVIMIENTOS!$A$5:$A$1005&lt;=$A528)*MOVIMIENTOS!$E$5:$E$1005)-SUMPRODUCT((MOVIMIENTOS!$B$5:$B$1005="REGALO")*(MOVIMIENTOS!$C$5:$C$1005="Chancho")*(MOVIMIENTOS!$D$5:$D$1005="sacos")*(MOVIMIENTOS!$A$5:$A$1005&lt;&gt;"")*(MOVIMIENTOS!$A$5:$A$1005&lt;=$A528)*MOVIMIENTOS!$E$5:$E$1005)-SUMPRODUCT((MOVIMIENTOS!$B$5:$B$1005="VENTA")*(MOVIMIENTOS!$C$5:$C$1005="Chancho")*(MOVIMIENTOS!$D$5:$D$1005="sacos")*(MOVIMIENTOS!$A$5:$A$1005&lt;&gt;"")*(MOVIMIENTOS!$A$5:$A$1005&lt;=$A528)*MOVIMIENTOS!$E$5:$E$1005)+SUMPRODUCT((MOVIMIENTOS!$B$5:$B$1005="AJUSTE")*(MOVIMIENTOS!$C$5:$C$1005="Chancho")*(MOVIMIENTOS!$D$5:$D$1005="sacos")*(MOVIMIENTOS!$A$5:$A$1005&lt;&gt;"")*(MOVIMIENTOS!$A$5:$A$1005&lt;=$A528)*MOVIMIENTOS!$E$5:$E$1005))</f>
        <v/>
      </c>
      <c r="G528" s="62" t="str">
        <f t="shared" si="17"/>
        <v/>
      </c>
      <c r="H528" t="str">
        <f>IF($A528="","",SUMPRODUCT((((MOVIMIENTOS!$B$5:$B$1005="SALDO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528)*MOVIMIENTOS!$J$5:$J$1005))</f>
        <v/>
      </c>
      <c r="J528" t="str">
        <f>IF(AND(MOVIMIENTOS!$A533&lt;&gt;"",COUNTIF(MOVIMIENTOS!$A$5:$A532,MOVIMIENTOS!$A533)=0),COUNT(J$4:J527)+1,"")</f>
        <v/>
      </c>
      <c r="K528">
        <f>MOVIMIENTOS!$A533</f>
        <v>0</v>
      </c>
    </row>
    <row r="529" spans="1:11" ht="15" customHeight="1" x14ac:dyDescent="0.2">
      <c r="A529" t="str">
        <f t="shared" si="16"/>
        <v/>
      </c>
      <c r="B529" t="str">
        <f>IF($A529="","",SUMPRODUCT((MOVIMIENTOS!$B$5:$B$1005="SALDO INICIAL")*(MOVIMIENTOS!$C$5:$C$1005="A")*(MOVIMIENTOS!$D$5:$D$1005="jabas")*(MOVIMIENTOS!$A$5:$A$1005&lt;&gt;"")*(MOVIMIENTOS!$A$5:$A$1005&lt;=$A529)*MOVIMIENTOS!$E$5:$E$1005)+SUMPRODUCT((MOVIMIENTOS!$B$5:$B$1005="PROCESO")*(MOVIMIENTOS!$C$5:$C$1005="A")*(MOVIMIENTOS!$D$5:$D$1005="jabas")*(MOVIMIENTOS!$A$5:$A$1005&lt;&gt;"")*(MOVIMIENTOS!$A$5:$A$1005&lt;=$A529)*MOVIMIENTOS!$E$5:$E$1005)-SUMPRODUCT((MOVIMIENTOS!$B$5:$B$1005="ENVÍO A SUPESA")*(MOVIMIENTOS!$C$5:$C$1005="A")*(MOVIMIENTOS!$D$5:$D$1005="jabas")*(MOVIMIENTOS!$A$5:$A$1005&lt;&gt;"")*(MOVIMIENTOS!$A$5:$A$1005&lt;=$A529)*MOVIMIENTOS!$E$5:$E$1005)+SUMPRODUCT((MOVIMIENTOS!$B$5:$B$1005="DEVOLUCIÓN")*(MOVIMIENTOS!$C$5:$C$1005="A")*(MOVIMIENTOS!$D$5:$D$1005="jabas")*(MOVIMIENTOS!$A$5:$A$1005&lt;&gt;"")*(MOVIMIENTOS!$A$5:$A$1005&lt;=$A529)*MOVIMIENTOS!$E$5:$E$1005)-SUMPRODUCT((MOVIMIENTOS!$B$5:$B$1005="TRASIEGO")*(MOVIMIENTOS!$C$5:$C$1005="A")*(MOVIMIENTOS!$D$5:$D$1005="jabas")*(MOVIMIENTOS!$A$5:$A$1005&lt;&gt;"")*(MOVIMIENTOS!$A$5:$A$1005&lt;=$A529)*MOVIMIENTOS!$E$5:$E$1005)-SUMPRODUCT((MOVIMIENTOS!$B$5:$B$1005="REGALO")*(MOVIMIENTOS!$C$5:$C$1005="A")*(MOVIMIENTOS!$D$5:$D$1005="jabas")*(MOVIMIENTOS!$A$5:$A$1005&lt;&gt;"")*(MOVIMIENTOS!$A$5:$A$1005&lt;=$A529)*MOVIMIENTOS!$E$5:$E$1005)-SUMPRODUCT((MOVIMIENTOS!$B$5:$B$1005="VENTA")*(MOVIMIENTOS!$C$5:$C$1005="A")*(MOVIMIENTOS!$D$5:$D$1005="jabas")*(MOVIMIENTOS!$A$5:$A$1005&lt;&gt;"")*(MOVIMIENTOS!$A$5:$A$1005&lt;=$A529)*MOVIMIENTOS!$E$5:$E$1005)+SUMPRODUCT((MOVIMIENTOS!$B$5:$B$1005="AJUSTE")*(MOVIMIENTOS!$C$5:$C$1005="A")*(MOVIMIENTOS!$D$5:$D$1005="jabas")*(MOVIMIENTOS!$A$5:$A$1005&lt;&gt;"")*(MOVIMIENTOS!$A$5:$A$1005&lt;=$A529)*MOVIMIENTOS!$E$5:$E$1005))</f>
        <v/>
      </c>
      <c r="C529" t="str">
        <f>IF($A529="","",SUMPRODUCT((MOVIMIENTOS!$B$5:$B$1005="SALDO INICIAL")*(MOVIMIENTOS!$C$5:$C$1005="P")*(MOVIMIENTOS!$D$5:$D$1005="jabas")*(MOVIMIENTOS!$A$5:$A$1005&lt;&gt;"")*(MOVIMIENTOS!$A$5:$A$1005&lt;=$A529)*MOVIMIENTOS!$E$5:$E$1005)+SUMPRODUCT((MOVIMIENTOS!$B$5:$B$1005="PROCESO")*(MOVIMIENTOS!$C$5:$C$1005="P")*(MOVIMIENTOS!$D$5:$D$1005="jabas")*(MOVIMIENTOS!$A$5:$A$1005&lt;&gt;"")*(MOVIMIENTOS!$A$5:$A$1005&lt;=$A529)*MOVIMIENTOS!$E$5:$E$1005)-SUMPRODUCT((MOVIMIENTOS!$B$5:$B$1005="ENVÍO A SUPESA")*(MOVIMIENTOS!$C$5:$C$1005="P")*(MOVIMIENTOS!$D$5:$D$1005="jabas")*(MOVIMIENTOS!$A$5:$A$1005&lt;&gt;"")*(MOVIMIENTOS!$A$5:$A$1005&lt;=$A529)*MOVIMIENTOS!$E$5:$E$1005)+SUMPRODUCT((MOVIMIENTOS!$B$5:$B$1005="DEVOLUCIÓN")*(MOVIMIENTOS!$C$5:$C$1005="P")*(MOVIMIENTOS!$D$5:$D$1005="jabas")*(MOVIMIENTOS!$A$5:$A$1005&lt;&gt;"")*(MOVIMIENTOS!$A$5:$A$1005&lt;=$A529)*MOVIMIENTOS!$E$5:$E$1005)-SUMPRODUCT((MOVIMIENTOS!$B$5:$B$1005="TRASIEGO")*(MOVIMIENTOS!$C$5:$C$1005="P")*(MOVIMIENTOS!$D$5:$D$1005="jabas")*(MOVIMIENTOS!$A$5:$A$1005&lt;&gt;"")*(MOVIMIENTOS!$A$5:$A$1005&lt;=$A529)*MOVIMIENTOS!$E$5:$E$1005)-SUMPRODUCT((MOVIMIENTOS!$B$5:$B$1005="REGALO")*(MOVIMIENTOS!$C$5:$C$1005="P")*(MOVIMIENTOS!$D$5:$D$1005="jabas")*(MOVIMIENTOS!$A$5:$A$1005&lt;&gt;"")*(MOVIMIENTOS!$A$5:$A$1005&lt;=$A529)*MOVIMIENTOS!$E$5:$E$1005)-SUMPRODUCT((MOVIMIENTOS!$B$5:$B$1005="VENTA")*(MOVIMIENTOS!$C$5:$C$1005="P")*(MOVIMIENTOS!$D$5:$D$1005="jabas")*(MOVIMIENTOS!$A$5:$A$1005&lt;&gt;"")*(MOVIMIENTOS!$A$5:$A$1005&lt;=$A529)*MOVIMIENTOS!$E$5:$E$1005)+SUMPRODUCT((MOVIMIENTOS!$B$5:$B$1005="AJUSTE")*(MOVIMIENTOS!$C$5:$C$1005="P")*(MOVIMIENTOS!$D$5:$D$1005="jabas")*(MOVIMIENTOS!$A$5:$A$1005&lt;&gt;"")*(MOVIMIENTOS!$A$5:$A$1005&lt;=$A529)*MOVIMIENTOS!$E$5:$E$1005))</f>
        <v/>
      </c>
      <c r="D529" t="str">
        <f>IF($A529="","",SUMPRODUCT((MOVIMIENTOS!$B$5:$B$1005="SALDO INICIAL")*(MOVIMIENTOS!$C$5:$C$1005="C")*(MOVIMIENTOS!$D$5:$D$1005="jabas")*(MOVIMIENTOS!$A$5:$A$1005&lt;&gt;"")*(MOVIMIENTOS!$A$5:$A$1005&lt;=$A529)*MOVIMIENTOS!$E$5:$E$1005)+SUMPRODUCT((MOVIMIENTOS!$B$5:$B$1005="PROCESO")*(MOVIMIENTOS!$C$5:$C$1005="C")*(MOVIMIENTOS!$D$5:$D$1005="jabas")*(MOVIMIENTOS!$A$5:$A$1005&lt;&gt;"")*(MOVIMIENTOS!$A$5:$A$1005&lt;=$A529)*MOVIMIENTOS!$E$5:$E$1005)-SUMPRODUCT((MOVIMIENTOS!$B$5:$B$1005="ENVÍO A SUPESA")*(MOVIMIENTOS!$C$5:$C$1005="C")*(MOVIMIENTOS!$D$5:$D$1005="jabas")*(MOVIMIENTOS!$A$5:$A$1005&lt;&gt;"")*(MOVIMIENTOS!$A$5:$A$1005&lt;=$A529)*MOVIMIENTOS!$E$5:$E$1005)+SUMPRODUCT((MOVIMIENTOS!$B$5:$B$1005="DEVOLUCIÓN")*(MOVIMIENTOS!$C$5:$C$1005="C")*(MOVIMIENTOS!$D$5:$D$1005="jabas")*(MOVIMIENTOS!$A$5:$A$1005&lt;&gt;"")*(MOVIMIENTOS!$A$5:$A$1005&lt;=$A529)*MOVIMIENTOS!$E$5:$E$1005)-SUMPRODUCT((MOVIMIENTOS!$B$5:$B$1005="TRASIEGO")*(MOVIMIENTOS!$C$5:$C$1005="C")*(MOVIMIENTOS!$D$5:$D$1005="jabas")*(MOVIMIENTOS!$A$5:$A$1005&lt;&gt;"")*(MOVIMIENTOS!$A$5:$A$1005&lt;=$A529)*MOVIMIENTOS!$E$5:$E$1005)-SUMPRODUCT((MOVIMIENTOS!$B$5:$B$1005="REGALO")*(MOVIMIENTOS!$C$5:$C$1005="C")*(MOVIMIENTOS!$D$5:$D$1005="jabas")*(MOVIMIENTOS!$A$5:$A$1005&lt;&gt;"")*(MOVIMIENTOS!$A$5:$A$1005&lt;=$A529)*MOVIMIENTOS!$E$5:$E$1005)-SUMPRODUCT((MOVIMIENTOS!$B$5:$B$1005="VENTA")*(MOVIMIENTOS!$C$5:$C$1005="C")*(MOVIMIENTOS!$D$5:$D$1005="jabas")*(MOVIMIENTOS!$A$5:$A$1005&lt;&gt;"")*(MOVIMIENTOS!$A$5:$A$1005&lt;=$A529)*MOVIMIENTOS!$E$5:$E$1005)+SUMPRODUCT((MOVIMIENTOS!$B$5:$B$1005="AJUSTE")*(MOVIMIENTOS!$C$5:$C$1005="C")*(MOVIMIENTOS!$D$5:$D$1005="jabas")*(MOVIMIENTOS!$A$5:$A$1005&lt;&gt;"")*(MOVIMIENTOS!$A$5:$A$1005&lt;=$A529)*MOVIMIENTOS!$E$5:$E$1005))</f>
        <v/>
      </c>
      <c r="E529" t="str">
        <f>IF($A529="","",SUMPRODUCT((MOVIMIENTOS!$B$5:$B$1005="SALDO INICIAL")*(MOVIMIENTOS!$C$5:$C$1005="M")*(MOVIMIENTOS!$D$5:$D$1005="jabas")*(MOVIMIENTOS!$A$5:$A$1005&lt;&gt;"")*(MOVIMIENTOS!$A$5:$A$1005&lt;=$A529)*MOVIMIENTOS!$E$5:$E$1005)+SUMPRODUCT((MOVIMIENTOS!$B$5:$B$1005="PROCESO")*(MOVIMIENTOS!$C$5:$C$1005="M")*(MOVIMIENTOS!$D$5:$D$1005="jabas")*(MOVIMIENTOS!$A$5:$A$1005&lt;&gt;"")*(MOVIMIENTOS!$A$5:$A$1005&lt;=$A529)*MOVIMIENTOS!$E$5:$E$1005)-SUMPRODUCT((MOVIMIENTOS!$B$5:$B$1005="ENVÍO A SUPESA")*(MOVIMIENTOS!$C$5:$C$1005="M")*(MOVIMIENTOS!$D$5:$D$1005="jabas")*(MOVIMIENTOS!$A$5:$A$1005&lt;&gt;"")*(MOVIMIENTOS!$A$5:$A$1005&lt;=$A529)*MOVIMIENTOS!$E$5:$E$1005)+SUMPRODUCT((MOVIMIENTOS!$B$5:$B$1005="DEVOLUCIÓN")*(MOVIMIENTOS!$C$5:$C$1005="M")*(MOVIMIENTOS!$D$5:$D$1005="jabas")*(MOVIMIENTOS!$A$5:$A$1005&lt;&gt;"")*(MOVIMIENTOS!$A$5:$A$1005&lt;=$A529)*MOVIMIENTOS!$E$5:$E$1005)-SUMPRODUCT((MOVIMIENTOS!$B$5:$B$1005="TRASIEGO")*(MOVIMIENTOS!$C$5:$C$1005="M")*(MOVIMIENTOS!$D$5:$D$1005="jabas")*(MOVIMIENTOS!$A$5:$A$1005&lt;&gt;"")*(MOVIMIENTOS!$A$5:$A$1005&lt;=$A529)*MOVIMIENTOS!$E$5:$E$1005)-SUMPRODUCT((MOVIMIENTOS!$B$5:$B$1005="REGALO")*(MOVIMIENTOS!$C$5:$C$1005="M")*(MOVIMIENTOS!$D$5:$D$1005="jabas")*(MOVIMIENTOS!$A$5:$A$1005&lt;&gt;"")*(MOVIMIENTOS!$A$5:$A$1005&lt;=$A529)*MOVIMIENTOS!$E$5:$E$1005)-SUMPRODUCT((MOVIMIENTOS!$B$5:$B$1005="VENTA")*(MOVIMIENTOS!$C$5:$C$1005="M")*(MOVIMIENTOS!$D$5:$D$1005="jabas")*(MOVIMIENTOS!$A$5:$A$1005&lt;&gt;"")*(MOVIMIENTOS!$A$5:$A$1005&lt;=$A529)*MOVIMIENTOS!$E$5:$E$1005)+SUMPRODUCT((MOVIMIENTOS!$B$5:$B$1005="AJUSTE")*(MOVIMIENTOS!$C$5:$C$1005="M")*(MOVIMIENTOS!$D$5:$D$1005="jabas")*(MOVIMIENTOS!$A$5:$A$1005&lt;&gt;"")*(MOVIMIENTOS!$A$5:$A$1005&lt;=$A529)*MOVIMIENTOS!$E$5:$E$1005))</f>
        <v/>
      </c>
      <c r="F529" s="62" t="str">
        <f>IF($A529="","",SUMPRODUCT((MOVIMIENTOS!$B$5:$B$1005="SALDO INICIAL")*(MOVIMIENTOS!$C$5:$C$1005="Chancho")*(MOVIMIENTOS!$D$5:$D$1005="sacos")*(MOVIMIENTOS!$A$5:$A$1005&lt;&gt;"")*(MOVIMIENTOS!$A$5:$A$1005&lt;=$A529)*MOVIMIENTOS!$E$5:$E$1005)+SUMPRODUCT((MOVIMIENTOS!$B$5:$B$1005="PROCESO")*(MOVIMIENTOS!$C$5:$C$1005="Chancho")*(MOVIMIENTOS!$D$5:$D$1005="sacos")*(MOVIMIENTOS!$A$5:$A$1005&lt;&gt;"")*(MOVIMIENTOS!$A$5:$A$1005&lt;=$A529)*MOVIMIENTOS!$E$5:$E$1005)-SUMPRODUCT((MOVIMIENTOS!$B$5:$B$1005="VENTA CHANCHO")*(MOVIMIENTOS!$C$5:$C$1005="Chancho")*(MOVIMIENTOS!$D$5:$D$1005="sacos")*(MOVIMIENTOS!$A$5:$A$1005&lt;&gt;"")*(MOVIMIENTOS!$A$5:$A$1005&lt;=$A529)*MOVIMIENTOS!$E$5:$E$1005)-SUMPRODUCT((MOVIMIENTOS!$B$5:$B$1005="REGALO")*(MOVIMIENTOS!$C$5:$C$1005="Chancho")*(MOVIMIENTOS!$D$5:$D$1005="sacos")*(MOVIMIENTOS!$A$5:$A$1005&lt;&gt;"")*(MOVIMIENTOS!$A$5:$A$1005&lt;=$A529)*MOVIMIENTOS!$E$5:$E$1005)-SUMPRODUCT((MOVIMIENTOS!$B$5:$B$1005="VENTA")*(MOVIMIENTOS!$C$5:$C$1005="Chancho")*(MOVIMIENTOS!$D$5:$D$1005="sacos")*(MOVIMIENTOS!$A$5:$A$1005&lt;&gt;"")*(MOVIMIENTOS!$A$5:$A$1005&lt;=$A529)*MOVIMIENTOS!$E$5:$E$1005)+SUMPRODUCT((MOVIMIENTOS!$B$5:$B$1005="AJUSTE")*(MOVIMIENTOS!$C$5:$C$1005="Chancho")*(MOVIMIENTOS!$D$5:$D$1005="sacos")*(MOVIMIENTOS!$A$5:$A$1005&lt;&gt;"")*(MOVIMIENTOS!$A$5:$A$1005&lt;=$A529)*MOVIMIENTOS!$E$5:$E$1005))</f>
        <v/>
      </c>
      <c r="G529" s="62" t="str">
        <f t="shared" si="17"/>
        <v/>
      </c>
      <c r="H529" t="str">
        <f>IF($A529="","",SUMPRODUCT((((MOVIMIENTOS!$B$5:$B$1005="SALDO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529)*MOVIMIENTOS!$J$5:$J$1005))</f>
        <v/>
      </c>
      <c r="J529" t="str">
        <f>IF(AND(MOVIMIENTOS!$A534&lt;&gt;"",COUNTIF(MOVIMIENTOS!$A$5:$A533,MOVIMIENTOS!$A534)=0),COUNT(J$4:J528)+1,"")</f>
        <v/>
      </c>
      <c r="K529">
        <f>MOVIMIENTOS!$A534</f>
        <v>0</v>
      </c>
    </row>
    <row r="530" spans="1:11" ht="15" customHeight="1" x14ac:dyDescent="0.2">
      <c r="A530" t="str">
        <f t="shared" si="16"/>
        <v/>
      </c>
      <c r="B530" t="str">
        <f>IF($A530="","",SUMPRODUCT((MOVIMIENTOS!$B$5:$B$1005="SALDO INICIAL")*(MOVIMIENTOS!$C$5:$C$1005="A")*(MOVIMIENTOS!$D$5:$D$1005="jabas")*(MOVIMIENTOS!$A$5:$A$1005&lt;&gt;"")*(MOVIMIENTOS!$A$5:$A$1005&lt;=$A530)*MOVIMIENTOS!$E$5:$E$1005)+SUMPRODUCT((MOVIMIENTOS!$B$5:$B$1005="PROCESO")*(MOVIMIENTOS!$C$5:$C$1005="A")*(MOVIMIENTOS!$D$5:$D$1005="jabas")*(MOVIMIENTOS!$A$5:$A$1005&lt;&gt;"")*(MOVIMIENTOS!$A$5:$A$1005&lt;=$A530)*MOVIMIENTOS!$E$5:$E$1005)-SUMPRODUCT((MOVIMIENTOS!$B$5:$B$1005="ENVÍO A SUPESA")*(MOVIMIENTOS!$C$5:$C$1005="A")*(MOVIMIENTOS!$D$5:$D$1005="jabas")*(MOVIMIENTOS!$A$5:$A$1005&lt;&gt;"")*(MOVIMIENTOS!$A$5:$A$1005&lt;=$A530)*MOVIMIENTOS!$E$5:$E$1005)+SUMPRODUCT((MOVIMIENTOS!$B$5:$B$1005="DEVOLUCIÓN")*(MOVIMIENTOS!$C$5:$C$1005="A")*(MOVIMIENTOS!$D$5:$D$1005="jabas")*(MOVIMIENTOS!$A$5:$A$1005&lt;&gt;"")*(MOVIMIENTOS!$A$5:$A$1005&lt;=$A530)*MOVIMIENTOS!$E$5:$E$1005)-SUMPRODUCT((MOVIMIENTOS!$B$5:$B$1005="TRASIEGO")*(MOVIMIENTOS!$C$5:$C$1005="A")*(MOVIMIENTOS!$D$5:$D$1005="jabas")*(MOVIMIENTOS!$A$5:$A$1005&lt;&gt;"")*(MOVIMIENTOS!$A$5:$A$1005&lt;=$A530)*MOVIMIENTOS!$E$5:$E$1005)-SUMPRODUCT((MOVIMIENTOS!$B$5:$B$1005="REGALO")*(MOVIMIENTOS!$C$5:$C$1005="A")*(MOVIMIENTOS!$D$5:$D$1005="jabas")*(MOVIMIENTOS!$A$5:$A$1005&lt;&gt;"")*(MOVIMIENTOS!$A$5:$A$1005&lt;=$A530)*MOVIMIENTOS!$E$5:$E$1005)-SUMPRODUCT((MOVIMIENTOS!$B$5:$B$1005="VENTA")*(MOVIMIENTOS!$C$5:$C$1005="A")*(MOVIMIENTOS!$D$5:$D$1005="jabas")*(MOVIMIENTOS!$A$5:$A$1005&lt;&gt;"")*(MOVIMIENTOS!$A$5:$A$1005&lt;=$A530)*MOVIMIENTOS!$E$5:$E$1005)+SUMPRODUCT((MOVIMIENTOS!$B$5:$B$1005="AJUSTE")*(MOVIMIENTOS!$C$5:$C$1005="A")*(MOVIMIENTOS!$D$5:$D$1005="jabas")*(MOVIMIENTOS!$A$5:$A$1005&lt;&gt;"")*(MOVIMIENTOS!$A$5:$A$1005&lt;=$A530)*MOVIMIENTOS!$E$5:$E$1005))</f>
        <v/>
      </c>
      <c r="C530" t="str">
        <f>IF($A530="","",SUMPRODUCT((MOVIMIENTOS!$B$5:$B$1005="SALDO INICIAL")*(MOVIMIENTOS!$C$5:$C$1005="P")*(MOVIMIENTOS!$D$5:$D$1005="jabas")*(MOVIMIENTOS!$A$5:$A$1005&lt;&gt;"")*(MOVIMIENTOS!$A$5:$A$1005&lt;=$A530)*MOVIMIENTOS!$E$5:$E$1005)+SUMPRODUCT((MOVIMIENTOS!$B$5:$B$1005="PROCESO")*(MOVIMIENTOS!$C$5:$C$1005="P")*(MOVIMIENTOS!$D$5:$D$1005="jabas")*(MOVIMIENTOS!$A$5:$A$1005&lt;&gt;"")*(MOVIMIENTOS!$A$5:$A$1005&lt;=$A530)*MOVIMIENTOS!$E$5:$E$1005)-SUMPRODUCT((MOVIMIENTOS!$B$5:$B$1005="ENVÍO A SUPESA")*(MOVIMIENTOS!$C$5:$C$1005="P")*(MOVIMIENTOS!$D$5:$D$1005="jabas")*(MOVIMIENTOS!$A$5:$A$1005&lt;&gt;"")*(MOVIMIENTOS!$A$5:$A$1005&lt;=$A530)*MOVIMIENTOS!$E$5:$E$1005)+SUMPRODUCT((MOVIMIENTOS!$B$5:$B$1005="DEVOLUCIÓN")*(MOVIMIENTOS!$C$5:$C$1005="P")*(MOVIMIENTOS!$D$5:$D$1005="jabas")*(MOVIMIENTOS!$A$5:$A$1005&lt;&gt;"")*(MOVIMIENTOS!$A$5:$A$1005&lt;=$A530)*MOVIMIENTOS!$E$5:$E$1005)-SUMPRODUCT((MOVIMIENTOS!$B$5:$B$1005="TRASIEGO")*(MOVIMIENTOS!$C$5:$C$1005="P")*(MOVIMIENTOS!$D$5:$D$1005="jabas")*(MOVIMIENTOS!$A$5:$A$1005&lt;&gt;"")*(MOVIMIENTOS!$A$5:$A$1005&lt;=$A530)*MOVIMIENTOS!$E$5:$E$1005)-SUMPRODUCT((MOVIMIENTOS!$B$5:$B$1005="REGALO")*(MOVIMIENTOS!$C$5:$C$1005="P")*(MOVIMIENTOS!$D$5:$D$1005="jabas")*(MOVIMIENTOS!$A$5:$A$1005&lt;&gt;"")*(MOVIMIENTOS!$A$5:$A$1005&lt;=$A530)*MOVIMIENTOS!$E$5:$E$1005)-SUMPRODUCT((MOVIMIENTOS!$B$5:$B$1005="VENTA")*(MOVIMIENTOS!$C$5:$C$1005="P")*(MOVIMIENTOS!$D$5:$D$1005="jabas")*(MOVIMIENTOS!$A$5:$A$1005&lt;&gt;"")*(MOVIMIENTOS!$A$5:$A$1005&lt;=$A530)*MOVIMIENTOS!$E$5:$E$1005)+SUMPRODUCT((MOVIMIENTOS!$B$5:$B$1005="AJUSTE")*(MOVIMIENTOS!$C$5:$C$1005="P")*(MOVIMIENTOS!$D$5:$D$1005="jabas")*(MOVIMIENTOS!$A$5:$A$1005&lt;&gt;"")*(MOVIMIENTOS!$A$5:$A$1005&lt;=$A530)*MOVIMIENTOS!$E$5:$E$1005))</f>
        <v/>
      </c>
      <c r="D530" t="str">
        <f>IF($A530="","",SUMPRODUCT((MOVIMIENTOS!$B$5:$B$1005="SALDO INICIAL")*(MOVIMIENTOS!$C$5:$C$1005="C")*(MOVIMIENTOS!$D$5:$D$1005="jabas")*(MOVIMIENTOS!$A$5:$A$1005&lt;&gt;"")*(MOVIMIENTOS!$A$5:$A$1005&lt;=$A530)*MOVIMIENTOS!$E$5:$E$1005)+SUMPRODUCT((MOVIMIENTOS!$B$5:$B$1005="PROCESO")*(MOVIMIENTOS!$C$5:$C$1005="C")*(MOVIMIENTOS!$D$5:$D$1005="jabas")*(MOVIMIENTOS!$A$5:$A$1005&lt;&gt;"")*(MOVIMIENTOS!$A$5:$A$1005&lt;=$A530)*MOVIMIENTOS!$E$5:$E$1005)-SUMPRODUCT((MOVIMIENTOS!$B$5:$B$1005="ENVÍO A SUPESA")*(MOVIMIENTOS!$C$5:$C$1005="C")*(MOVIMIENTOS!$D$5:$D$1005="jabas")*(MOVIMIENTOS!$A$5:$A$1005&lt;&gt;"")*(MOVIMIENTOS!$A$5:$A$1005&lt;=$A530)*MOVIMIENTOS!$E$5:$E$1005)+SUMPRODUCT((MOVIMIENTOS!$B$5:$B$1005="DEVOLUCIÓN")*(MOVIMIENTOS!$C$5:$C$1005="C")*(MOVIMIENTOS!$D$5:$D$1005="jabas")*(MOVIMIENTOS!$A$5:$A$1005&lt;&gt;"")*(MOVIMIENTOS!$A$5:$A$1005&lt;=$A530)*MOVIMIENTOS!$E$5:$E$1005)-SUMPRODUCT((MOVIMIENTOS!$B$5:$B$1005="TRASIEGO")*(MOVIMIENTOS!$C$5:$C$1005="C")*(MOVIMIENTOS!$D$5:$D$1005="jabas")*(MOVIMIENTOS!$A$5:$A$1005&lt;&gt;"")*(MOVIMIENTOS!$A$5:$A$1005&lt;=$A530)*MOVIMIENTOS!$E$5:$E$1005)-SUMPRODUCT((MOVIMIENTOS!$B$5:$B$1005="REGALO")*(MOVIMIENTOS!$C$5:$C$1005="C")*(MOVIMIENTOS!$D$5:$D$1005="jabas")*(MOVIMIENTOS!$A$5:$A$1005&lt;&gt;"")*(MOVIMIENTOS!$A$5:$A$1005&lt;=$A530)*MOVIMIENTOS!$E$5:$E$1005)-SUMPRODUCT((MOVIMIENTOS!$B$5:$B$1005="VENTA")*(MOVIMIENTOS!$C$5:$C$1005="C")*(MOVIMIENTOS!$D$5:$D$1005="jabas")*(MOVIMIENTOS!$A$5:$A$1005&lt;&gt;"")*(MOVIMIENTOS!$A$5:$A$1005&lt;=$A530)*MOVIMIENTOS!$E$5:$E$1005)+SUMPRODUCT((MOVIMIENTOS!$B$5:$B$1005="AJUSTE")*(MOVIMIENTOS!$C$5:$C$1005="C")*(MOVIMIENTOS!$D$5:$D$1005="jabas")*(MOVIMIENTOS!$A$5:$A$1005&lt;&gt;"")*(MOVIMIENTOS!$A$5:$A$1005&lt;=$A530)*MOVIMIENTOS!$E$5:$E$1005))</f>
        <v/>
      </c>
      <c r="E530" t="str">
        <f>IF($A530="","",SUMPRODUCT((MOVIMIENTOS!$B$5:$B$1005="SALDO INICIAL")*(MOVIMIENTOS!$C$5:$C$1005="M")*(MOVIMIENTOS!$D$5:$D$1005="jabas")*(MOVIMIENTOS!$A$5:$A$1005&lt;&gt;"")*(MOVIMIENTOS!$A$5:$A$1005&lt;=$A530)*MOVIMIENTOS!$E$5:$E$1005)+SUMPRODUCT((MOVIMIENTOS!$B$5:$B$1005="PROCESO")*(MOVIMIENTOS!$C$5:$C$1005="M")*(MOVIMIENTOS!$D$5:$D$1005="jabas")*(MOVIMIENTOS!$A$5:$A$1005&lt;&gt;"")*(MOVIMIENTOS!$A$5:$A$1005&lt;=$A530)*MOVIMIENTOS!$E$5:$E$1005)-SUMPRODUCT((MOVIMIENTOS!$B$5:$B$1005="ENVÍO A SUPESA")*(MOVIMIENTOS!$C$5:$C$1005="M")*(MOVIMIENTOS!$D$5:$D$1005="jabas")*(MOVIMIENTOS!$A$5:$A$1005&lt;&gt;"")*(MOVIMIENTOS!$A$5:$A$1005&lt;=$A530)*MOVIMIENTOS!$E$5:$E$1005)+SUMPRODUCT((MOVIMIENTOS!$B$5:$B$1005="DEVOLUCIÓN")*(MOVIMIENTOS!$C$5:$C$1005="M")*(MOVIMIENTOS!$D$5:$D$1005="jabas")*(MOVIMIENTOS!$A$5:$A$1005&lt;&gt;"")*(MOVIMIENTOS!$A$5:$A$1005&lt;=$A530)*MOVIMIENTOS!$E$5:$E$1005)-SUMPRODUCT((MOVIMIENTOS!$B$5:$B$1005="TRASIEGO")*(MOVIMIENTOS!$C$5:$C$1005="M")*(MOVIMIENTOS!$D$5:$D$1005="jabas")*(MOVIMIENTOS!$A$5:$A$1005&lt;&gt;"")*(MOVIMIENTOS!$A$5:$A$1005&lt;=$A530)*MOVIMIENTOS!$E$5:$E$1005)-SUMPRODUCT((MOVIMIENTOS!$B$5:$B$1005="REGALO")*(MOVIMIENTOS!$C$5:$C$1005="M")*(MOVIMIENTOS!$D$5:$D$1005="jabas")*(MOVIMIENTOS!$A$5:$A$1005&lt;&gt;"")*(MOVIMIENTOS!$A$5:$A$1005&lt;=$A530)*MOVIMIENTOS!$E$5:$E$1005)-SUMPRODUCT((MOVIMIENTOS!$B$5:$B$1005="VENTA")*(MOVIMIENTOS!$C$5:$C$1005="M")*(MOVIMIENTOS!$D$5:$D$1005="jabas")*(MOVIMIENTOS!$A$5:$A$1005&lt;&gt;"")*(MOVIMIENTOS!$A$5:$A$1005&lt;=$A530)*MOVIMIENTOS!$E$5:$E$1005)+SUMPRODUCT((MOVIMIENTOS!$B$5:$B$1005="AJUSTE")*(MOVIMIENTOS!$C$5:$C$1005="M")*(MOVIMIENTOS!$D$5:$D$1005="jabas")*(MOVIMIENTOS!$A$5:$A$1005&lt;&gt;"")*(MOVIMIENTOS!$A$5:$A$1005&lt;=$A530)*MOVIMIENTOS!$E$5:$E$1005))</f>
        <v/>
      </c>
      <c r="F530" s="62" t="str">
        <f>IF($A530="","",SUMPRODUCT((MOVIMIENTOS!$B$5:$B$1005="SALDO INICIAL")*(MOVIMIENTOS!$C$5:$C$1005="Chancho")*(MOVIMIENTOS!$D$5:$D$1005="sacos")*(MOVIMIENTOS!$A$5:$A$1005&lt;&gt;"")*(MOVIMIENTOS!$A$5:$A$1005&lt;=$A530)*MOVIMIENTOS!$E$5:$E$1005)+SUMPRODUCT((MOVIMIENTOS!$B$5:$B$1005="PROCESO")*(MOVIMIENTOS!$C$5:$C$1005="Chancho")*(MOVIMIENTOS!$D$5:$D$1005="sacos")*(MOVIMIENTOS!$A$5:$A$1005&lt;&gt;"")*(MOVIMIENTOS!$A$5:$A$1005&lt;=$A530)*MOVIMIENTOS!$E$5:$E$1005)-SUMPRODUCT((MOVIMIENTOS!$B$5:$B$1005="VENTA CHANCHO")*(MOVIMIENTOS!$C$5:$C$1005="Chancho")*(MOVIMIENTOS!$D$5:$D$1005="sacos")*(MOVIMIENTOS!$A$5:$A$1005&lt;&gt;"")*(MOVIMIENTOS!$A$5:$A$1005&lt;=$A530)*MOVIMIENTOS!$E$5:$E$1005)-SUMPRODUCT((MOVIMIENTOS!$B$5:$B$1005="REGALO")*(MOVIMIENTOS!$C$5:$C$1005="Chancho")*(MOVIMIENTOS!$D$5:$D$1005="sacos")*(MOVIMIENTOS!$A$5:$A$1005&lt;&gt;"")*(MOVIMIENTOS!$A$5:$A$1005&lt;=$A530)*MOVIMIENTOS!$E$5:$E$1005)-SUMPRODUCT((MOVIMIENTOS!$B$5:$B$1005="VENTA")*(MOVIMIENTOS!$C$5:$C$1005="Chancho")*(MOVIMIENTOS!$D$5:$D$1005="sacos")*(MOVIMIENTOS!$A$5:$A$1005&lt;&gt;"")*(MOVIMIENTOS!$A$5:$A$1005&lt;=$A530)*MOVIMIENTOS!$E$5:$E$1005)+SUMPRODUCT((MOVIMIENTOS!$B$5:$B$1005="AJUSTE")*(MOVIMIENTOS!$C$5:$C$1005="Chancho")*(MOVIMIENTOS!$D$5:$D$1005="sacos")*(MOVIMIENTOS!$A$5:$A$1005&lt;&gt;"")*(MOVIMIENTOS!$A$5:$A$1005&lt;=$A530)*MOVIMIENTOS!$E$5:$E$1005))</f>
        <v/>
      </c>
      <c r="G530" s="62" t="str">
        <f t="shared" si="17"/>
        <v/>
      </c>
      <c r="H530" t="str">
        <f>IF($A530="","",SUMPRODUCT((((MOVIMIENTOS!$B$5:$B$1005="SALDO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530)*MOVIMIENTOS!$J$5:$J$1005))</f>
        <v/>
      </c>
      <c r="J530" t="str">
        <f>IF(AND(MOVIMIENTOS!$A535&lt;&gt;"",COUNTIF(MOVIMIENTOS!$A$5:$A534,MOVIMIENTOS!$A535)=0),COUNT(J$4:J529)+1,"")</f>
        <v/>
      </c>
      <c r="K530">
        <f>MOVIMIENTOS!$A535</f>
        <v>0</v>
      </c>
    </row>
    <row r="531" spans="1:11" ht="15" customHeight="1" x14ac:dyDescent="0.2">
      <c r="A531" t="str">
        <f t="shared" si="16"/>
        <v/>
      </c>
      <c r="B531" t="str">
        <f>IF($A531="","",SUMPRODUCT((MOVIMIENTOS!$B$5:$B$1005="SALDO INICIAL")*(MOVIMIENTOS!$C$5:$C$1005="A")*(MOVIMIENTOS!$D$5:$D$1005="jabas")*(MOVIMIENTOS!$A$5:$A$1005&lt;&gt;"")*(MOVIMIENTOS!$A$5:$A$1005&lt;=$A531)*MOVIMIENTOS!$E$5:$E$1005)+SUMPRODUCT((MOVIMIENTOS!$B$5:$B$1005="PROCESO")*(MOVIMIENTOS!$C$5:$C$1005="A")*(MOVIMIENTOS!$D$5:$D$1005="jabas")*(MOVIMIENTOS!$A$5:$A$1005&lt;&gt;"")*(MOVIMIENTOS!$A$5:$A$1005&lt;=$A531)*MOVIMIENTOS!$E$5:$E$1005)-SUMPRODUCT((MOVIMIENTOS!$B$5:$B$1005="ENVÍO A SUPESA")*(MOVIMIENTOS!$C$5:$C$1005="A")*(MOVIMIENTOS!$D$5:$D$1005="jabas")*(MOVIMIENTOS!$A$5:$A$1005&lt;&gt;"")*(MOVIMIENTOS!$A$5:$A$1005&lt;=$A531)*MOVIMIENTOS!$E$5:$E$1005)+SUMPRODUCT((MOVIMIENTOS!$B$5:$B$1005="DEVOLUCIÓN")*(MOVIMIENTOS!$C$5:$C$1005="A")*(MOVIMIENTOS!$D$5:$D$1005="jabas")*(MOVIMIENTOS!$A$5:$A$1005&lt;&gt;"")*(MOVIMIENTOS!$A$5:$A$1005&lt;=$A531)*MOVIMIENTOS!$E$5:$E$1005)-SUMPRODUCT((MOVIMIENTOS!$B$5:$B$1005="TRASIEGO")*(MOVIMIENTOS!$C$5:$C$1005="A")*(MOVIMIENTOS!$D$5:$D$1005="jabas")*(MOVIMIENTOS!$A$5:$A$1005&lt;&gt;"")*(MOVIMIENTOS!$A$5:$A$1005&lt;=$A531)*MOVIMIENTOS!$E$5:$E$1005)-SUMPRODUCT((MOVIMIENTOS!$B$5:$B$1005="REGALO")*(MOVIMIENTOS!$C$5:$C$1005="A")*(MOVIMIENTOS!$D$5:$D$1005="jabas")*(MOVIMIENTOS!$A$5:$A$1005&lt;&gt;"")*(MOVIMIENTOS!$A$5:$A$1005&lt;=$A531)*MOVIMIENTOS!$E$5:$E$1005)-SUMPRODUCT((MOVIMIENTOS!$B$5:$B$1005="VENTA")*(MOVIMIENTOS!$C$5:$C$1005="A")*(MOVIMIENTOS!$D$5:$D$1005="jabas")*(MOVIMIENTOS!$A$5:$A$1005&lt;&gt;"")*(MOVIMIENTOS!$A$5:$A$1005&lt;=$A531)*MOVIMIENTOS!$E$5:$E$1005)+SUMPRODUCT((MOVIMIENTOS!$B$5:$B$1005="AJUSTE")*(MOVIMIENTOS!$C$5:$C$1005="A")*(MOVIMIENTOS!$D$5:$D$1005="jabas")*(MOVIMIENTOS!$A$5:$A$1005&lt;&gt;"")*(MOVIMIENTOS!$A$5:$A$1005&lt;=$A531)*MOVIMIENTOS!$E$5:$E$1005))</f>
        <v/>
      </c>
      <c r="C531" t="str">
        <f>IF($A531="","",SUMPRODUCT((MOVIMIENTOS!$B$5:$B$1005="SALDO INICIAL")*(MOVIMIENTOS!$C$5:$C$1005="P")*(MOVIMIENTOS!$D$5:$D$1005="jabas")*(MOVIMIENTOS!$A$5:$A$1005&lt;&gt;"")*(MOVIMIENTOS!$A$5:$A$1005&lt;=$A531)*MOVIMIENTOS!$E$5:$E$1005)+SUMPRODUCT((MOVIMIENTOS!$B$5:$B$1005="PROCESO")*(MOVIMIENTOS!$C$5:$C$1005="P")*(MOVIMIENTOS!$D$5:$D$1005="jabas")*(MOVIMIENTOS!$A$5:$A$1005&lt;&gt;"")*(MOVIMIENTOS!$A$5:$A$1005&lt;=$A531)*MOVIMIENTOS!$E$5:$E$1005)-SUMPRODUCT((MOVIMIENTOS!$B$5:$B$1005="ENVÍO A SUPESA")*(MOVIMIENTOS!$C$5:$C$1005="P")*(MOVIMIENTOS!$D$5:$D$1005="jabas")*(MOVIMIENTOS!$A$5:$A$1005&lt;&gt;"")*(MOVIMIENTOS!$A$5:$A$1005&lt;=$A531)*MOVIMIENTOS!$E$5:$E$1005)+SUMPRODUCT((MOVIMIENTOS!$B$5:$B$1005="DEVOLUCIÓN")*(MOVIMIENTOS!$C$5:$C$1005="P")*(MOVIMIENTOS!$D$5:$D$1005="jabas")*(MOVIMIENTOS!$A$5:$A$1005&lt;&gt;"")*(MOVIMIENTOS!$A$5:$A$1005&lt;=$A531)*MOVIMIENTOS!$E$5:$E$1005)-SUMPRODUCT((MOVIMIENTOS!$B$5:$B$1005="TRASIEGO")*(MOVIMIENTOS!$C$5:$C$1005="P")*(MOVIMIENTOS!$D$5:$D$1005="jabas")*(MOVIMIENTOS!$A$5:$A$1005&lt;&gt;"")*(MOVIMIENTOS!$A$5:$A$1005&lt;=$A531)*MOVIMIENTOS!$E$5:$E$1005)-SUMPRODUCT((MOVIMIENTOS!$B$5:$B$1005="REGALO")*(MOVIMIENTOS!$C$5:$C$1005="P")*(MOVIMIENTOS!$D$5:$D$1005="jabas")*(MOVIMIENTOS!$A$5:$A$1005&lt;&gt;"")*(MOVIMIENTOS!$A$5:$A$1005&lt;=$A531)*MOVIMIENTOS!$E$5:$E$1005)-SUMPRODUCT((MOVIMIENTOS!$B$5:$B$1005="VENTA")*(MOVIMIENTOS!$C$5:$C$1005="P")*(MOVIMIENTOS!$D$5:$D$1005="jabas")*(MOVIMIENTOS!$A$5:$A$1005&lt;&gt;"")*(MOVIMIENTOS!$A$5:$A$1005&lt;=$A531)*MOVIMIENTOS!$E$5:$E$1005)+SUMPRODUCT((MOVIMIENTOS!$B$5:$B$1005="AJUSTE")*(MOVIMIENTOS!$C$5:$C$1005="P")*(MOVIMIENTOS!$D$5:$D$1005="jabas")*(MOVIMIENTOS!$A$5:$A$1005&lt;&gt;"")*(MOVIMIENTOS!$A$5:$A$1005&lt;=$A531)*MOVIMIENTOS!$E$5:$E$1005))</f>
        <v/>
      </c>
      <c r="D531" t="str">
        <f>IF($A531="","",SUMPRODUCT((MOVIMIENTOS!$B$5:$B$1005="SALDO INICIAL")*(MOVIMIENTOS!$C$5:$C$1005="C")*(MOVIMIENTOS!$D$5:$D$1005="jabas")*(MOVIMIENTOS!$A$5:$A$1005&lt;&gt;"")*(MOVIMIENTOS!$A$5:$A$1005&lt;=$A531)*MOVIMIENTOS!$E$5:$E$1005)+SUMPRODUCT((MOVIMIENTOS!$B$5:$B$1005="PROCESO")*(MOVIMIENTOS!$C$5:$C$1005="C")*(MOVIMIENTOS!$D$5:$D$1005="jabas")*(MOVIMIENTOS!$A$5:$A$1005&lt;&gt;"")*(MOVIMIENTOS!$A$5:$A$1005&lt;=$A531)*MOVIMIENTOS!$E$5:$E$1005)-SUMPRODUCT((MOVIMIENTOS!$B$5:$B$1005="ENVÍO A SUPESA")*(MOVIMIENTOS!$C$5:$C$1005="C")*(MOVIMIENTOS!$D$5:$D$1005="jabas")*(MOVIMIENTOS!$A$5:$A$1005&lt;&gt;"")*(MOVIMIENTOS!$A$5:$A$1005&lt;=$A531)*MOVIMIENTOS!$E$5:$E$1005)+SUMPRODUCT((MOVIMIENTOS!$B$5:$B$1005="DEVOLUCIÓN")*(MOVIMIENTOS!$C$5:$C$1005="C")*(MOVIMIENTOS!$D$5:$D$1005="jabas")*(MOVIMIENTOS!$A$5:$A$1005&lt;&gt;"")*(MOVIMIENTOS!$A$5:$A$1005&lt;=$A531)*MOVIMIENTOS!$E$5:$E$1005)-SUMPRODUCT((MOVIMIENTOS!$B$5:$B$1005="TRASIEGO")*(MOVIMIENTOS!$C$5:$C$1005="C")*(MOVIMIENTOS!$D$5:$D$1005="jabas")*(MOVIMIENTOS!$A$5:$A$1005&lt;&gt;"")*(MOVIMIENTOS!$A$5:$A$1005&lt;=$A531)*MOVIMIENTOS!$E$5:$E$1005)-SUMPRODUCT((MOVIMIENTOS!$B$5:$B$1005="REGALO")*(MOVIMIENTOS!$C$5:$C$1005="C")*(MOVIMIENTOS!$D$5:$D$1005="jabas")*(MOVIMIENTOS!$A$5:$A$1005&lt;&gt;"")*(MOVIMIENTOS!$A$5:$A$1005&lt;=$A531)*MOVIMIENTOS!$E$5:$E$1005)-SUMPRODUCT((MOVIMIENTOS!$B$5:$B$1005="VENTA")*(MOVIMIENTOS!$C$5:$C$1005="C")*(MOVIMIENTOS!$D$5:$D$1005="jabas")*(MOVIMIENTOS!$A$5:$A$1005&lt;&gt;"")*(MOVIMIENTOS!$A$5:$A$1005&lt;=$A531)*MOVIMIENTOS!$E$5:$E$1005)+SUMPRODUCT((MOVIMIENTOS!$B$5:$B$1005="AJUSTE")*(MOVIMIENTOS!$C$5:$C$1005="C")*(MOVIMIENTOS!$D$5:$D$1005="jabas")*(MOVIMIENTOS!$A$5:$A$1005&lt;&gt;"")*(MOVIMIENTOS!$A$5:$A$1005&lt;=$A531)*MOVIMIENTOS!$E$5:$E$1005))</f>
        <v/>
      </c>
      <c r="E531" t="str">
        <f>IF($A531="","",SUMPRODUCT((MOVIMIENTOS!$B$5:$B$1005="SALDO INICIAL")*(MOVIMIENTOS!$C$5:$C$1005="M")*(MOVIMIENTOS!$D$5:$D$1005="jabas")*(MOVIMIENTOS!$A$5:$A$1005&lt;&gt;"")*(MOVIMIENTOS!$A$5:$A$1005&lt;=$A531)*MOVIMIENTOS!$E$5:$E$1005)+SUMPRODUCT((MOVIMIENTOS!$B$5:$B$1005="PROCESO")*(MOVIMIENTOS!$C$5:$C$1005="M")*(MOVIMIENTOS!$D$5:$D$1005="jabas")*(MOVIMIENTOS!$A$5:$A$1005&lt;&gt;"")*(MOVIMIENTOS!$A$5:$A$1005&lt;=$A531)*MOVIMIENTOS!$E$5:$E$1005)-SUMPRODUCT((MOVIMIENTOS!$B$5:$B$1005="ENVÍO A SUPESA")*(MOVIMIENTOS!$C$5:$C$1005="M")*(MOVIMIENTOS!$D$5:$D$1005="jabas")*(MOVIMIENTOS!$A$5:$A$1005&lt;&gt;"")*(MOVIMIENTOS!$A$5:$A$1005&lt;=$A531)*MOVIMIENTOS!$E$5:$E$1005)+SUMPRODUCT((MOVIMIENTOS!$B$5:$B$1005="DEVOLUCIÓN")*(MOVIMIENTOS!$C$5:$C$1005="M")*(MOVIMIENTOS!$D$5:$D$1005="jabas")*(MOVIMIENTOS!$A$5:$A$1005&lt;&gt;"")*(MOVIMIENTOS!$A$5:$A$1005&lt;=$A531)*MOVIMIENTOS!$E$5:$E$1005)-SUMPRODUCT((MOVIMIENTOS!$B$5:$B$1005="TRASIEGO")*(MOVIMIENTOS!$C$5:$C$1005="M")*(MOVIMIENTOS!$D$5:$D$1005="jabas")*(MOVIMIENTOS!$A$5:$A$1005&lt;&gt;"")*(MOVIMIENTOS!$A$5:$A$1005&lt;=$A531)*MOVIMIENTOS!$E$5:$E$1005)-SUMPRODUCT((MOVIMIENTOS!$B$5:$B$1005="REGALO")*(MOVIMIENTOS!$C$5:$C$1005="M")*(MOVIMIENTOS!$D$5:$D$1005="jabas")*(MOVIMIENTOS!$A$5:$A$1005&lt;&gt;"")*(MOVIMIENTOS!$A$5:$A$1005&lt;=$A531)*MOVIMIENTOS!$E$5:$E$1005)-SUMPRODUCT((MOVIMIENTOS!$B$5:$B$1005="VENTA")*(MOVIMIENTOS!$C$5:$C$1005="M")*(MOVIMIENTOS!$D$5:$D$1005="jabas")*(MOVIMIENTOS!$A$5:$A$1005&lt;&gt;"")*(MOVIMIENTOS!$A$5:$A$1005&lt;=$A531)*MOVIMIENTOS!$E$5:$E$1005)+SUMPRODUCT((MOVIMIENTOS!$B$5:$B$1005="AJUSTE")*(MOVIMIENTOS!$C$5:$C$1005="M")*(MOVIMIENTOS!$D$5:$D$1005="jabas")*(MOVIMIENTOS!$A$5:$A$1005&lt;&gt;"")*(MOVIMIENTOS!$A$5:$A$1005&lt;=$A531)*MOVIMIENTOS!$E$5:$E$1005))</f>
        <v/>
      </c>
      <c r="F531" s="62" t="str">
        <f>IF($A531="","",SUMPRODUCT((MOVIMIENTOS!$B$5:$B$1005="SALDO INICIAL")*(MOVIMIENTOS!$C$5:$C$1005="Chancho")*(MOVIMIENTOS!$D$5:$D$1005="sacos")*(MOVIMIENTOS!$A$5:$A$1005&lt;&gt;"")*(MOVIMIENTOS!$A$5:$A$1005&lt;=$A531)*MOVIMIENTOS!$E$5:$E$1005)+SUMPRODUCT((MOVIMIENTOS!$B$5:$B$1005="PROCESO")*(MOVIMIENTOS!$C$5:$C$1005="Chancho")*(MOVIMIENTOS!$D$5:$D$1005="sacos")*(MOVIMIENTOS!$A$5:$A$1005&lt;&gt;"")*(MOVIMIENTOS!$A$5:$A$1005&lt;=$A531)*MOVIMIENTOS!$E$5:$E$1005)-SUMPRODUCT((MOVIMIENTOS!$B$5:$B$1005="VENTA CHANCHO")*(MOVIMIENTOS!$C$5:$C$1005="Chancho")*(MOVIMIENTOS!$D$5:$D$1005="sacos")*(MOVIMIENTOS!$A$5:$A$1005&lt;&gt;"")*(MOVIMIENTOS!$A$5:$A$1005&lt;=$A531)*MOVIMIENTOS!$E$5:$E$1005)-SUMPRODUCT((MOVIMIENTOS!$B$5:$B$1005="REGALO")*(MOVIMIENTOS!$C$5:$C$1005="Chancho")*(MOVIMIENTOS!$D$5:$D$1005="sacos")*(MOVIMIENTOS!$A$5:$A$1005&lt;&gt;"")*(MOVIMIENTOS!$A$5:$A$1005&lt;=$A531)*MOVIMIENTOS!$E$5:$E$1005)-SUMPRODUCT((MOVIMIENTOS!$B$5:$B$1005="VENTA")*(MOVIMIENTOS!$C$5:$C$1005="Chancho")*(MOVIMIENTOS!$D$5:$D$1005="sacos")*(MOVIMIENTOS!$A$5:$A$1005&lt;&gt;"")*(MOVIMIENTOS!$A$5:$A$1005&lt;=$A531)*MOVIMIENTOS!$E$5:$E$1005)+SUMPRODUCT((MOVIMIENTOS!$B$5:$B$1005="AJUSTE")*(MOVIMIENTOS!$C$5:$C$1005="Chancho")*(MOVIMIENTOS!$D$5:$D$1005="sacos")*(MOVIMIENTOS!$A$5:$A$1005&lt;&gt;"")*(MOVIMIENTOS!$A$5:$A$1005&lt;=$A531)*MOVIMIENTOS!$E$5:$E$1005))</f>
        <v/>
      </c>
      <c r="G531" s="62" t="str">
        <f t="shared" si="17"/>
        <v/>
      </c>
      <c r="H531" t="str">
        <f>IF($A531="","",SUMPRODUCT((((MOVIMIENTOS!$B$5:$B$1005="SALDO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531)*MOVIMIENTOS!$J$5:$J$1005))</f>
        <v/>
      </c>
      <c r="J531" t="str">
        <f>IF(AND(MOVIMIENTOS!$A536&lt;&gt;"",COUNTIF(MOVIMIENTOS!$A$5:$A535,MOVIMIENTOS!$A536)=0),COUNT(J$4:J530)+1,"")</f>
        <v/>
      </c>
      <c r="K531">
        <f>MOVIMIENTOS!$A536</f>
        <v>0</v>
      </c>
    </row>
    <row r="532" spans="1:11" ht="15" customHeight="1" x14ac:dyDescent="0.2">
      <c r="A532" t="str">
        <f t="shared" si="16"/>
        <v/>
      </c>
      <c r="B532" t="str">
        <f>IF($A532="","",SUMPRODUCT((MOVIMIENTOS!$B$5:$B$1005="SALDO INICIAL")*(MOVIMIENTOS!$C$5:$C$1005="A")*(MOVIMIENTOS!$D$5:$D$1005="jabas")*(MOVIMIENTOS!$A$5:$A$1005&lt;&gt;"")*(MOVIMIENTOS!$A$5:$A$1005&lt;=$A532)*MOVIMIENTOS!$E$5:$E$1005)+SUMPRODUCT((MOVIMIENTOS!$B$5:$B$1005="PROCESO")*(MOVIMIENTOS!$C$5:$C$1005="A")*(MOVIMIENTOS!$D$5:$D$1005="jabas")*(MOVIMIENTOS!$A$5:$A$1005&lt;&gt;"")*(MOVIMIENTOS!$A$5:$A$1005&lt;=$A532)*MOVIMIENTOS!$E$5:$E$1005)-SUMPRODUCT((MOVIMIENTOS!$B$5:$B$1005="ENVÍO A SUPESA")*(MOVIMIENTOS!$C$5:$C$1005="A")*(MOVIMIENTOS!$D$5:$D$1005="jabas")*(MOVIMIENTOS!$A$5:$A$1005&lt;&gt;"")*(MOVIMIENTOS!$A$5:$A$1005&lt;=$A532)*MOVIMIENTOS!$E$5:$E$1005)+SUMPRODUCT((MOVIMIENTOS!$B$5:$B$1005="DEVOLUCIÓN")*(MOVIMIENTOS!$C$5:$C$1005="A")*(MOVIMIENTOS!$D$5:$D$1005="jabas")*(MOVIMIENTOS!$A$5:$A$1005&lt;&gt;"")*(MOVIMIENTOS!$A$5:$A$1005&lt;=$A532)*MOVIMIENTOS!$E$5:$E$1005)-SUMPRODUCT((MOVIMIENTOS!$B$5:$B$1005="TRASIEGO")*(MOVIMIENTOS!$C$5:$C$1005="A")*(MOVIMIENTOS!$D$5:$D$1005="jabas")*(MOVIMIENTOS!$A$5:$A$1005&lt;&gt;"")*(MOVIMIENTOS!$A$5:$A$1005&lt;=$A532)*MOVIMIENTOS!$E$5:$E$1005)-SUMPRODUCT((MOVIMIENTOS!$B$5:$B$1005="REGALO")*(MOVIMIENTOS!$C$5:$C$1005="A")*(MOVIMIENTOS!$D$5:$D$1005="jabas")*(MOVIMIENTOS!$A$5:$A$1005&lt;&gt;"")*(MOVIMIENTOS!$A$5:$A$1005&lt;=$A532)*MOVIMIENTOS!$E$5:$E$1005)-SUMPRODUCT((MOVIMIENTOS!$B$5:$B$1005="VENTA")*(MOVIMIENTOS!$C$5:$C$1005="A")*(MOVIMIENTOS!$D$5:$D$1005="jabas")*(MOVIMIENTOS!$A$5:$A$1005&lt;&gt;"")*(MOVIMIENTOS!$A$5:$A$1005&lt;=$A532)*MOVIMIENTOS!$E$5:$E$1005)+SUMPRODUCT((MOVIMIENTOS!$B$5:$B$1005="AJUSTE")*(MOVIMIENTOS!$C$5:$C$1005="A")*(MOVIMIENTOS!$D$5:$D$1005="jabas")*(MOVIMIENTOS!$A$5:$A$1005&lt;&gt;"")*(MOVIMIENTOS!$A$5:$A$1005&lt;=$A532)*MOVIMIENTOS!$E$5:$E$1005))</f>
        <v/>
      </c>
      <c r="C532" t="str">
        <f>IF($A532="","",SUMPRODUCT((MOVIMIENTOS!$B$5:$B$1005="SALDO INICIAL")*(MOVIMIENTOS!$C$5:$C$1005="P")*(MOVIMIENTOS!$D$5:$D$1005="jabas")*(MOVIMIENTOS!$A$5:$A$1005&lt;&gt;"")*(MOVIMIENTOS!$A$5:$A$1005&lt;=$A532)*MOVIMIENTOS!$E$5:$E$1005)+SUMPRODUCT((MOVIMIENTOS!$B$5:$B$1005="PROCESO")*(MOVIMIENTOS!$C$5:$C$1005="P")*(MOVIMIENTOS!$D$5:$D$1005="jabas")*(MOVIMIENTOS!$A$5:$A$1005&lt;&gt;"")*(MOVIMIENTOS!$A$5:$A$1005&lt;=$A532)*MOVIMIENTOS!$E$5:$E$1005)-SUMPRODUCT((MOVIMIENTOS!$B$5:$B$1005="ENVÍO A SUPESA")*(MOVIMIENTOS!$C$5:$C$1005="P")*(MOVIMIENTOS!$D$5:$D$1005="jabas")*(MOVIMIENTOS!$A$5:$A$1005&lt;&gt;"")*(MOVIMIENTOS!$A$5:$A$1005&lt;=$A532)*MOVIMIENTOS!$E$5:$E$1005)+SUMPRODUCT((MOVIMIENTOS!$B$5:$B$1005="DEVOLUCIÓN")*(MOVIMIENTOS!$C$5:$C$1005="P")*(MOVIMIENTOS!$D$5:$D$1005="jabas")*(MOVIMIENTOS!$A$5:$A$1005&lt;&gt;"")*(MOVIMIENTOS!$A$5:$A$1005&lt;=$A532)*MOVIMIENTOS!$E$5:$E$1005)-SUMPRODUCT((MOVIMIENTOS!$B$5:$B$1005="TRASIEGO")*(MOVIMIENTOS!$C$5:$C$1005="P")*(MOVIMIENTOS!$D$5:$D$1005="jabas")*(MOVIMIENTOS!$A$5:$A$1005&lt;&gt;"")*(MOVIMIENTOS!$A$5:$A$1005&lt;=$A532)*MOVIMIENTOS!$E$5:$E$1005)-SUMPRODUCT((MOVIMIENTOS!$B$5:$B$1005="REGALO")*(MOVIMIENTOS!$C$5:$C$1005="P")*(MOVIMIENTOS!$D$5:$D$1005="jabas")*(MOVIMIENTOS!$A$5:$A$1005&lt;&gt;"")*(MOVIMIENTOS!$A$5:$A$1005&lt;=$A532)*MOVIMIENTOS!$E$5:$E$1005)-SUMPRODUCT((MOVIMIENTOS!$B$5:$B$1005="VENTA")*(MOVIMIENTOS!$C$5:$C$1005="P")*(MOVIMIENTOS!$D$5:$D$1005="jabas")*(MOVIMIENTOS!$A$5:$A$1005&lt;&gt;"")*(MOVIMIENTOS!$A$5:$A$1005&lt;=$A532)*MOVIMIENTOS!$E$5:$E$1005)+SUMPRODUCT((MOVIMIENTOS!$B$5:$B$1005="AJUSTE")*(MOVIMIENTOS!$C$5:$C$1005="P")*(MOVIMIENTOS!$D$5:$D$1005="jabas")*(MOVIMIENTOS!$A$5:$A$1005&lt;&gt;"")*(MOVIMIENTOS!$A$5:$A$1005&lt;=$A532)*MOVIMIENTOS!$E$5:$E$1005))</f>
        <v/>
      </c>
      <c r="D532" t="str">
        <f>IF($A532="","",SUMPRODUCT((MOVIMIENTOS!$B$5:$B$1005="SALDO INICIAL")*(MOVIMIENTOS!$C$5:$C$1005="C")*(MOVIMIENTOS!$D$5:$D$1005="jabas")*(MOVIMIENTOS!$A$5:$A$1005&lt;&gt;"")*(MOVIMIENTOS!$A$5:$A$1005&lt;=$A532)*MOVIMIENTOS!$E$5:$E$1005)+SUMPRODUCT((MOVIMIENTOS!$B$5:$B$1005="PROCESO")*(MOVIMIENTOS!$C$5:$C$1005="C")*(MOVIMIENTOS!$D$5:$D$1005="jabas")*(MOVIMIENTOS!$A$5:$A$1005&lt;&gt;"")*(MOVIMIENTOS!$A$5:$A$1005&lt;=$A532)*MOVIMIENTOS!$E$5:$E$1005)-SUMPRODUCT((MOVIMIENTOS!$B$5:$B$1005="ENVÍO A SUPESA")*(MOVIMIENTOS!$C$5:$C$1005="C")*(MOVIMIENTOS!$D$5:$D$1005="jabas")*(MOVIMIENTOS!$A$5:$A$1005&lt;&gt;"")*(MOVIMIENTOS!$A$5:$A$1005&lt;=$A532)*MOVIMIENTOS!$E$5:$E$1005)+SUMPRODUCT((MOVIMIENTOS!$B$5:$B$1005="DEVOLUCIÓN")*(MOVIMIENTOS!$C$5:$C$1005="C")*(MOVIMIENTOS!$D$5:$D$1005="jabas")*(MOVIMIENTOS!$A$5:$A$1005&lt;&gt;"")*(MOVIMIENTOS!$A$5:$A$1005&lt;=$A532)*MOVIMIENTOS!$E$5:$E$1005)-SUMPRODUCT((MOVIMIENTOS!$B$5:$B$1005="TRASIEGO")*(MOVIMIENTOS!$C$5:$C$1005="C")*(MOVIMIENTOS!$D$5:$D$1005="jabas")*(MOVIMIENTOS!$A$5:$A$1005&lt;&gt;"")*(MOVIMIENTOS!$A$5:$A$1005&lt;=$A532)*MOVIMIENTOS!$E$5:$E$1005)-SUMPRODUCT((MOVIMIENTOS!$B$5:$B$1005="REGALO")*(MOVIMIENTOS!$C$5:$C$1005="C")*(MOVIMIENTOS!$D$5:$D$1005="jabas")*(MOVIMIENTOS!$A$5:$A$1005&lt;&gt;"")*(MOVIMIENTOS!$A$5:$A$1005&lt;=$A532)*MOVIMIENTOS!$E$5:$E$1005)-SUMPRODUCT((MOVIMIENTOS!$B$5:$B$1005="VENTA")*(MOVIMIENTOS!$C$5:$C$1005="C")*(MOVIMIENTOS!$D$5:$D$1005="jabas")*(MOVIMIENTOS!$A$5:$A$1005&lt;&gt;"")*(MOVIMIENTOS!$A$5:$A$1005&lt;=$A532)*MOVIMIENTOS!$E$5:$E$1005)+SUMPRODUCT((MOVIMIENTOS!$B$5:$B$1005="AJUSTE")*(MOVIMIENTOS!$C$5:$C$1005="C")*(MOVIMIENTOS!$D$5:$D$1005="jabas")*(MOVIMIENTOS!$A$5:$A$1005&lt;&gt;"")*(MOVIMIENTOS!$A$5:$A$1005&lt;=$A532)*MOVIMIENTOS!$E$5:$E$1005))</f>
        <v/>
      </c>
      <c r="E532" t="str">
        <f>IF($A532="","",SUMPRODUCT((MOVIMIENTOS!$B$5:$B$1005="SALDO INICIAL")*(MOVIMIENTOS!$C$5:$C$1005="M")*(MOVIMIENTOS!$D$5:$D$1005="jabas")*(MOVIMIENTOS!$A$5:$A$1005&lt;&gt;"")*(MOVIMIENTOS!$A$5:$A$1005&lt;=$A532)*MOVIMIENTOS!$E$5:$E$1005)+SUMPRODUCT((MOVIMIENTOS!$B$5:$B$1005="PROCESO")*(MOVIMIENTOS!$C$5:$C$1005="M")*(MOVIMIENTOS!$D$5:$D$1005="jabas")*(MOVIMIENTOS!$A$5:$A$1005&lt;&gt;"")*(MOVIMIENTOS!$A$5:$A$1005&lt;=$A532)*MOVIMIENTOS!$E$5:$E$1005)-SUMPRODUCT((MOVIMIENTOS!$B$5:$B$1005="ENVÍO A SUPESA")*(MOVIMIENTOS!$C$5:$C$1005="M")*(MOVIMIENTOS!$D$5:$D$1005="jabas")*(MOVIMIENTOS!$A$5:$A$1005&lt;&gt;"")*(MOVIMIENTOS!$A$5:$A$1005&lt;=$A532)*MOVIMIENTOS!$E$5:$E$1005)+SUMPRODUCT((MOVIMIENTOS!$B$5:$B$1005="DEVOLUCIÓN")*(MOVIMIENTOS!$C$5:$C$1005="M")*(MOVIMIENTOS!$D$5:$D$1005="jabas")*(MOVIMIENTOS!$A$5:$A$1005&lt;&gt;"")*(MOVIMIENTOS!$A$5:$A$1005&lt;=$A532)*MOVIMIENTOS!$E$5:$E$1005)-SUMPRODUCT((MOVIMIENTOS!$B$5:$B$1005="TRASIEGO")*(MOVIMIENTOS!$C$5:$C$1005="M")*(MOVIMIENTOS!$D$5:$D$1005="jabas")*(MOVIMIENTOS!$A$5:$A$1005&lt;&gt;"")*(MOVIMIENTOS!$A$5:$A$1005&lt;=$A532)*MOVIMIENTOS!$E$5:$E$1005)-SUMPRODUCT((MOVIMIENTOS!$B$5:$B$1005="REGALO")*(MOVIMIENTOS!$C$5:$C$1005="M")*(MOVIMIENTOS!$D$5:$D$1005="jabas")*(MOVIMIENTOS!$A$5:$A$1005&lt;&gt;"")*(MOVIMIENTOS!$A$5:$A$1005&lt;=$A532)*MOVIMIENTOS!$E$5:$E$1005)-SUMPRODUCT((MOVIMIENTOS!$B$5:$B$1005="VENTA")*(MOVIMIENTOS!$C$5:$C$1005="M")*(MOVIMIENTOS!$D$5:$D$1005="jabas")*(MOVIMIENTOS!$A$5:$A$1005&lt;&gt;"")*(MOVIMIENTOS!$A$5:$A$1005&lt;=$A532)*MOVIMIENTOS!$E$5:$E$1005)+SUMPRODUCT((MOVIMIENTOS!$B$5:$B$1005="AJUSTE")*(MOVIMIENTOS!$C$5:$C$1005="M")*(MOVIMIENTOS!$D$5:$D$1005="jabas")*(MOVIMIENTOS!$A$5:$A$1005&lt;&gt;"")*(MOVIMIENTOS!$A$5:$A$1005&lt;=$A532)*MOVIMIENTOS!$E$5:$E$1005))</f>
        <v/>
      </c>
      <c r="F532" s="62" t="str">
        <f>IF($A532="","",SUMPRODUCT((MOVIMIENTOS!$B$5:$B$1005="SALDO INICIAL")*(MOVIMIENTOS!$C$5:$C$1005="Chancho")*(MOVIMIENTOS!$D$5:$D$1005="sacos")*(MOVIMIENTOS!$A$5:$A$1005&lt;&gt;"")*(MOVIMIENTOS!$A$5:$A$1005&lt;=$A532)*MOVIMIENTOS!$E$5:$E$1005)+SUMPRODUCT((MOVIMIENTOS!$B$5:$B$1005="PROCESO")*(MOVIMIENTOS!$C$5:$C$1005="Chancho")*(MOVIMIENTOS!$D$5:$D$1005="sacos")*(MOVIMIENTOS!$A$5:$A$1005&lt;&gt;"")*(MOVIMIENTOS!$A$5:$A$1005&lt;=$A532)*MOVIMIENTOS!$E$5:$E$1005)-SUMPRODUCT((MOVIMIENTOS!$B$5:$B$1005="VENTA CHANCHO")*(MOVIMIENTOS!$C$5:$C$1005="Chancho")*(MOVIMIENTOS!$D$5:$D$1005="sacos")*(MOVIMIENTOS!$A$5:$A$1005&lt;&gt;"")*(MOVIMIENTOS!$A$5:$A$1005&lt;=$A532)*MOVIMIENTOS!$E$5:$E$1005)-SUMPRODUCT((MOVIMIENTOS!$B$5:$B$1005="REGALO")*(MOVIMIENTOS!$C$5:$C$1005="Chancho")*(MOVIMIENTOS!$D$5:$D$1005="sacos")*(MOVIMIENTOS!$A$5:$A$1005&lt;&gt;"")*(MOVIMIENTOS!$A$5:$A$1005&lt;=$A532)*MOVIMIENTOS!$E$5:$E$1005)-SUMPRODUCT((MOVIMIENTOS!$B$5:$B$1005="VENTA")*(MOVIMIENTOS!$C$5:$C$1005="Chancho")*(MOVIMIENTOS!$D$5:$D$1005="sacos")*(MOVIMIENTOS!$A$5:$A$1005&lt;&gt;"")*(MOVIMIENTOS!$A$5:$A$1005&lt;=$A532)*MOVIMIENTOS!$E$5:$E$1005)+SUMPRODUCT((MOVIMIENTOS!$B$5:$B$1005="AJUSTE")*(MOVIMIENTOS!$C$5:$C$1005="Chancho")*(MOVIMIENTOS!$D$5:$D$1005="sacos")*(MOVIMIENTOS!$A$5:$A$1005&lt;&gt;"")*(MOVIMIENTOS!$A$5:$A$1005&lt;=$A532)*MOVIMIENTOS!$E$5:$E$1005))</f>
        <v/>
      </c>
      <c r="G532" s="62" t="str">
        <f t="shared" si="17"/>
        <v/>
      </c>
      <c r="H532" t="str">
        <f>IF($A532="","",SUMPRODUCT((((MOVIMIENTOS!$B$5:$B$1005="SALDO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532)*MOVIMIENTOS!$J$5:$J$1005))</f>
        <v/>
      </c>
      <c r="J532" t="str">
        <f>IF(AND(MOVIMIENTOS!$A537&lt;&gt;"",COUNTIF(MOVIMIENTOS!$A$5:$A536,MOVIMIENTOS!$A537)=0),COUNT(J$4:J531)+1,"")</f>
        <v/>
      </c>
      <c r="K532">
        <f>MOVIMIENTOS!$A537</f>
        <v>0</v>
      </c>
    </row>
    <row r="533" spans="1:11" ht="15" customHeight="1" x14ac:dyDescent="0.2">
      <c r="A533" t="str">
        <f t="shared" si="16"/>
        <v/>
      </c>
      <c r="B533" t="str">
        <f>IF($A533="","",SUMPRODUCT((MOVIMIENTOS!$B$5:$B$1005="SALDO INICIAL")*(MOVIMIENTOS!$C$5:$C$1005="A")*(MOVIMIENTOS!$D$5:$D$1005="jabas")*(MOVIMIENTOS!$A$5:$A$1005&lt;&gt;"")*(MOVIMIENTOS!$A$5:$A$1005&lt;=$A533)*MOVIMIENTOS!$E$5:$E$1005)+SUMPRODUCT((MOVIMIENTOS!$B$5:$B$1005="PROCESO")*(MOVIMIENTOS!$C$5:$C$1005="A")*(MOVIMIENTOS!$D$5:$D$1005="jabas")*(MOVIMIENTOS!$A$5:$A$1005&lt;&gt;"")*(MOVIMIENTOS!$A$5:$A$1005&lt;=$A533)*MOVIMIENTOS!$E$5:$E$1005)-SUMPRODUCT((MOVIMIENTOS!$B$5:$B$1005="ENVÍO A SUPESA")*(MOVIMIENTOS!$C$5:$C$1005="A")*(MOVIMIENTOS!$D$5:$D$1005="jabas")*(MOVIMIENTOS!$A$5:$A$1005&lt;&gt;"")*(MOVIMIENTOS!$A$5:$A$1005&lt;=$A533)*MOVIMIENTOS!$E$5:$E$1005)+SUMPRODUCT((MOVIMIENTOS!$B$5:$B$1005="DEVOLUCIÓN")*(MOVIMIENTOS!$C$5:$C$1005="A")*(MOVIMIENTOS!$D$5:$D$1005="jabas")*(MOVIMIENTOS!$A$5:$A$1005&lt;&gt;"")*(MOVIMIENTOS!$A$5:$A$1005&lt;=$A533)*MOVIMIENTOS!$E$5:$E$1005)-SUMPRODUCT((MOVIMIENTOS!$B$5:$B$1005="TRASIEGO")*(MOVIMIENTOS!$C$5:$C$1005="A")*(MOVIMIENTOS!$D$5:$D$1005="jabas")*(MOVIMIENTOS!$A$5:$A$1005&lt;&gt;"")*(MOVIMIENTOS!$A$5:$A$1005&lt;=$A533)*MOVIMIENTOS!$E$5:$E$1005)-SUMPRODUCT((MOVIMIENTOS!$B$5:$B$1005="REGALO")*(MOVIMIENTOS!$C$5:$C$1005="A")*(MOVIMIENTOS!$D$5:$D$1005="jabas")*(MOVIMIENTOS!$A$5:$A$1005&lt;&gt;"")*(MOVIMIENTOS!$A$5:$A$1005&lt;=$A533)*MOVIMIENTOS!$E$5:$E$1005)-SUMPRODUCT((MOVIMIENTOS!$B$5:$B$1005="VENTA")*(MOVIMIENTOS!$C$5:$C$1005="A")*(MOVIMIENTOS!$D$5:$D$1005="jabas")*(MOVIMIENTOS!$A$5:$A$1005&lt;&gt;"")*(MOVIMIENTOS!$A$5:$A$1005&lt;=$A533)*MOVIMIENTOS!$E$5:$E$1005)+SUMPRODUCT((MOVIMIENTOS!$B$5:$B$1005="AJUSTE")*(MOVIMIENTOS!$C$5:$C$1005="A")*(MOVIMIENTOS!$D$5:$D$1005="jabas")*(MOVIMIENTOS!$A$5:$A$1005&lt;&gt;"")*(MOVIMIENTOS!$A$5:$A$1005&lt;=$A533)*MOVIMIENTOS!$E$5:$E$1005))</f>
        <v/>
      </c>
      <c r="C533" t="str">
        <f>IF($A533="","",SUMPRODUCT((MOVIMIENTOS!$B$5:$B$1005="SALDO INICIAL")*(MOVIMIENTOS!$C$5:$C$1005="P")*(MOVIMIENTOS!$D$5:$D$1005="jabas")*(MOVIMIENTOS!$A$5:$A$1005&lt;&gt;"")*(MOVIMIENTOS!$A$5:$A$1005&lt;=$A533)*MOVIMIENTOS!$E$5:$E$1005)+SUMPRODUCT((MOVIMIENTOS!$B$5:$B$1005="PROCESO")*(MOVIMIENTOS!$C$5:$C$1005="P")*(MOVIMIENTOS!$D$5:$D$1005="jabas")*(MOVIMIENTOS!$A$5:$A$1005&lt;&gt;"")*(MOVIMIENTOS!$A$5:$A$1005&lt;=$A533)*MOVIMIENTOS!$E$5:$E$1005)-SUMPRODUCT((MOVIMIENTOS!$B$5:$B$1005="ENVÍO A SUPESA")*(MOVIMIENTOS!$C$5:$C$1005="P")*(MOVIMIENTOS!$D$5:$D$1005="jabas")*(MOVIMIENTOS!$A$5:$A$1005&lt;&gt;"")*(MOVIMIENTOS!$A$5:$A$1005&lt;=$A533)*MOVIMIENTOS!$E$5:$E$1005)+SUMPRODUCT((MOVIMIENTOS!$B$5:$B$1005="DEVOLUCIÓN")*(MOVIMIENTOS!$C$5:$C$1005="P")*(MOVIMIENTOS!$D$5:$D$1005="jabas")*(MOVIMIENTOS!$A$5:$A$1005&lt;&gt;"")*(MOVIMIENTOS!$A$5:$A$1005&lt;=$A533)*MOVIMIENTOS!$E$5:$E$1005)-SUMPRODUCT((MOVIMIENTOS!$B$5:$B$1005="TRASIEGO")*(MOVIMIENTOS!$C$5:$C$1005="P")*(MOVIMIENTOS!$D$5:$D$1005="jabas")*(MOVIMIENTOS!$A$5:$A$1005&lt;&gt;"")*(MOVIMIENTOS!$A$5:$A$1005&lt;=$A533)*MOVIMIENTOS!$E$5:$E$1005)-SUMPRODUCT((MOVIMIENTOS!$B$5:$B$1005="REGALO")*(MOVIMIENTOS!$C$5:$C$1005="P")*(MOVIMIENTOS!$D$5:$D$1005="jabas")*(MOVIMIENTOS!$A$5:$A$1005&lt;&gt;"")*(MOVIMIENTOS!$A$5:$A$1005&lt;=$A533)*MOVIMIENTOS!$E$5:$E$1005)-SUMPRODUCT((MOVIMIENTOS!$B$5:$B$1005="VENTA")*(MOVIMIENTOS!$C$5:$C$1005="P")*(MOVIMIENTOS!$D$5:$D$1005="jabas")*(MOVIMIENTOS!$A$5:$A$1005&lt;&gt;"")*(MOVIMIENTOS!$A$5:$A$1005&lt;=$A533)*MOVIMIENTOS!$E$5:$E$1005)+SUMPRODUCT((MOVIMIENTOS!$B$5:$B$1005="AJUSTE")*(MOVIMIENTOS!$C$5:$C$1005="P")*(MOVIMIENTOS!$D$5:$D$1005="jabas")*(MOVIMIENTOS!$A$5:$A$1005&lt;&gt;"")*(MOVIMIENTOS!$A$5:$A$1005&lt;=$A533)*MOVIMIENTOS!$E$5:$E$1005))</f>
        <v/>
      </c>
      <c r="D533" t="str">
        <f>IF($A533="","",SUMPRODUCT((MOVIMIENTOS!$B$5:$B$1005="SALDO INICIAL")*(MOVIMIENTOS!$C$5:$C$1005="C")*(MOVIMIENTOS!$D$5:$D$1005="jabas")*(MOVIMIENTOS!$A$5:$A$1005&lt;&gt;"")*(MOVIMIENTOS!$A$5:$A$1005&lt;=$A533)*MOVIMIENTOS!$E$5:$E$1005)+SUMPRODUCT((MOVIMIENTOS!$B$5:$B$1005="PROCESO")*(MOVIMIENTOS!$C$5:$C$1005="C")*(MOVIMIENTOS!$D$5:$D$1005="jabas")*(MOVIMIENTOS!$A$5:$A$1005&lt;&gt;"")*(MOVIMIENTOS!$A$5:$A$1005&lt;=$A533)*MOVIMIENTOS!$E$5:$E$1005)-SUMPRODUCT((MOVIMIENTOS!$B$5:$B$1005="ENVÍO A SUPESA")*(MOVIMIENTOS!$C$5:$C$1005="C")*(MOVIMIENTOS!$D$5:$D$1005="jabas")*(MOVIMIENTOS!$A$5:$A$1005&lt;&gt;"")*(MOVIMIENTOS!$A$5:$A$1005&lt;=$A533)*MOVIMIENTOS!$E$5:$E$1005)+SUMPRODUCT((MOVIMIENTOS!$B$5:$B$1005="DEVOLUCIÓN")*(MOVIMIENTOS!$C$5:$C$1005="C")*(MOVIMIENTOS!$D$5:$D$1005="jabas")*(MOVIMIENTOS!$A$5:$A$1005&lt;&gt;"")*(MOVIMIENTOS!$A$5:$A$1005&lt;=$A533)*MOVIMIENTOS!$E$5:$E$1005)-SUMPRODUCT((MOVIMIENTOS!$B$5:$B$1005="TRASIEGO")*(MOVIMIENTOS!$C$5:$C$1005="C")*(MOVIMIENTOS!$D$5:$D$1005="jabas")*(MOVIMIENTOS!$A$5:$A$1005&lt;&gt;"")*(MOVIMIENTOS!$A$5:$A$1005&lt;=$A533)*MOVIMIENTOS!$E$5:$E$1005)-SUMPRODUCT((MOVIMIENTOS!$B$5:$B$1005="REGALO")*(MOVIMIENTOS!$C$5:$C$1005="C")*(MOVIMIENTOS!$D$5:$D$1005="jabas")*(MOVIMIENTOS!$A$5:$A$1005&lt;&gt;"")*(MOVIMIENTOS!$A$5:$A$1005&lt;=$A533)*MOVIMIENTOS!$E$5:$E$1005)-SUMPRODUCT((MOVIMIENTOS!$B$5:$B$1005="VENTA")*(MOVIMIENTOS!$C$5:$C$1005="C")*(MOVIMIENTOS!$D$5:$D$1005="jabas")*(MOVIMIENTOS!$A$5:$A$1005&lt;&gt;"")*(MOVIMIENTOS!$A$5:$A$1005&lt;=$A533)*MOVIMIENTOS!$E$5:$E$1005)+SUMPRODUCT((MOVIMIENTOS!$B$5:$B$1005="AJUSTE")*(MOVIMIENTOS!$C$5:$C$1005="C")*(MOVIMIENTOS!$D$5:$D$1005="jabas")*(MOVIMIENTOS!$A$5:$A$1005&lt;&gt;"")*(MOVIMIENTOS!$A$5:$A$1005&lt;=$A533)*MOVIMIENTOS!$E$5:$E$1005))</f>
        <v/>
      </c>
      <c r="E533" t="str">
        <f>IF($A533="","",SUMPRODUCT((MOVIMIENTOS!$B$5:$B$1005="SALDO INICIAL")*(MOVIMIENTOS!$C$5:$C$1005="M")*(MOVIMIENTOS!$D$5:$D$1005="jabas")*(MOVIMIENTOS!$A$5:$A$1005&lt;&gt;"")*(MOVIMIENTOS!$A$5:$A$1005&lt;=$A533)*MOVIMIENTOS!$E$5:$E$1005)+SUMPRODUCT((MOVIMIENTOS!$B$5:$B$1005="PROCESO")*(MOVIMIENTOS!$C$5:$C$1005="M")*(MOVIMIENTOS!$D$5:$D$1005="jabas")*(MOVIMIENTOS!$A$5:$A$1005&lt;&gt;"")*(MOVIMIENTOS!$A$5:$A$1005&lt;=$A533)*MOVIMIENTOS!$E$5:$E$1005)-SUMPRODUCT((MOVIMIENTOS!$B$5:$B$1005="ENVÍO A SUPESA")*(MOVIMIENTOS!$C$5:$C$1005="M")*(MOVIMIENTOS!$D$5:$D$1005="jabas")*(MOVIMIENTOS!$A$5:$A$1005&lt;&gt;"")*(MOVIMIENTOS!$A$5:$A$1005&lt;=$A533)*MOVIMIENTOS!$E$5:$E$1005)+SUMPRODUCT((MOVIMIENTOS!$B$5:$B$1005="DEVOLUCIÓN")*(MOVIMIENTOS!$C$5:$C$1005="M")*(MOVIMIENTOS!$D$5:$D$1005="jabas")*(MOVIMIENTOS!$A$5:$A$1005&lt;&gt;"")*(MOVIMIENTOS!$A$5:$A$1005&lt;=$A533)*MOVIMIENTOS!$E$5:$E$1005)-SUMPRODUCT((MOVIMIENTOS!$B$5:$B$1005="TRASIEGO")*(MOVIMIENTOS!$C$5:$C$1005="M")*(MOVIMIENTOS!$D$5:$D$1005="jabas")*(MOVIMIENTOS!$A$5:$A$1005&lt;&gt;"")*(MOVIMIENTOS!$A$5:$A$1005&lt;=$A533)*MOVIMIENTOS!$E$5:$E$1005)-SUMPRODUCT((MOVIMIENTOS!$B$5:$B$1005="REGALO")*(MOVIMIENTOS!$C$5:$C$1005="M")*(MOVIMIENTOS!$D$5:$D$1005="jabas")*(MOVIMIENTOS!$A$5:$A$1005&lt;&gt;"")*(MOVIMIENTOS!$A$5:$A$1005&lt;=$A533)*MOVIMIENTOS!$E$5:$E$1005)-SUMPRODUCT((MOVIMIENTOS!$B$5:$B$1005="VENTA")*(MOVIMIENTOS!$C$5:$C$1005="M")*(MOVIMIENTOS!$D$5:$D$1005="jabas")*(MOVIMIENTOS!$A$5:$A$1005&lt;&gt;"")*(MOVIMIENTOS!$A$5:$A$1005&lt;=$A533)*MOVIMIENTOS!$E$5:$E$1005)+SUMPRODUCT((MOVIMIENTOS!$B$5:$B$1005="AJUSTE")*(MOVIMIENTOS!$C$5:$C$1005="M")*(MOVIMIENTOS!$D$5:$D$1005="jabas")*(MOVIMIENTOS!$A$5:$A$1005&lt;&gt;"")*(MOVIMIENTOS!$A$5:$A$1005&lt;=$A533)*MOVIMIENTOS!$E$5:$E$1005))</f>
        <v/>
      </c>
      <c r="F533" s="62" t="str">
        <f>IF($A533="","",SUMPRODUCT((MOVIMIENTOS!$B$5:$B$1005="SALDO INICIAL")*(MOVIMIENTOS!$C$5:$C$1005="Chancho")*(MOVIMIENTOS!$D$5:$D$1005="sacos")*(MOVIMIENTOS!$A$5:$A$1005&lt;&gt;"")*(MOVIMIENTOS!$A$5:$A$1005&lt;=$A533)*MOVIMIENTOS!$E$5:$E$1005)+SUMPRODUCT((MOVIMIENTOS!$B$5:$B$1005="PROCESO")*(MOVIMIENTOS!$C$5:$C$1005="Chancho")*(MOVIMIENTOS!$D$5:$D$1005="sacos")*(MOVIMIENTOS!$A$5:$A$1005&lt;&gt;"")*(MOVIMIENTOS!$A$5:$A$1005&lt;=$A533)*MOVIMIENTOS!$E$5:$E$1005)-SUMPRODUCT((MOVIMIENTOS!$B$5:$B$1005="VENTA CHANCHO")*(MOVIMIENTOS!$C$5:$C$1005="Chancho")*(MOVIMIENTOS!$D$5:$D$1005="sacos")*(MOVIMIENTOS!$A$5:$A$1005&lt;&gt;"")*(MOVIMIENTOS!$A$5:$A$1005&lt;=$A533)*MOVIMIENTOS!$E$5:$E$1005)-SUMPRODUCT((MOVIMIENTOS!$B$5:$B$1005="REGALO")*(MOVIMIENTOS!$C$5:$C$1005="Chancho")*(MOVIMIENTOS!$D$5:$D$1005="sacos")*(MOVIMIENTOS!$A$5:$A$1005&lt;&gt;"")*(MOVIMIENTOS!$A$5:$A$1005&lt;=$A533)*MOVIMIENTOS!$E$5:$E$1005)-SUMPRODUCT((MOVIMIENTOS!$B$5:$B$1005="VENTA")*(MOVIMIENTOS!$C$5:$C$1005="Chancho")*(MOVIMIENTOS!$D$5:$D$1005="sacos")*(MOVIMIENTOS!$A$5:$A$1005&lt;&gt;"")*(MOVIMIENTOS!$A$5:$A$1005&lt;=$A533)*MOVIMIENTOS!$E$5:$E$1005)+SUMPRODUCT((MOVIMIENTOS!$B$5:$B$1005="AJUSTE")*(MOVIMIENTOS!$C$5:$C$1005="Chancho")*(MOVIMIENTOS!$D$5:$D$1005="sacos")*(MOVIMIENTOS!$A$5:$A$1005&lt;&gt;"")*(MOVIMIENTOS!$A$5:$A$1005&lt;=$A533)*MOVIMIENTOS!$E$5:$E$1005))</f>
        <v/>
      </c>
      <c r="G533" s="62" t="str">
        <f t="shared" si="17"/>
        <v/>
      </c>
      <c r="H533" t="str">
        <f>IF($A533="","",SUMPRODUCT((((MOVIMIENTOS!$B$5:$B$1005="SALDO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533)*MOVIMIENTOS!$J$5:$J$1005))</f>
        <v/>
      </c>
      <c r="J533" t="str">
        <f>IF(AND(MOVIMIENTOS!$A538&lt;&gt;"",COUNTIF(MOVIMIENTOS!$A$5:$A537,MOVIMIENTOS!$A538)=0),COUNT(J$4:J532)+1,"")</f>
        <v/>
      </c>
      <c r="K533">
        <f>MOVIMIENTOS!$A538</f>
        <v>0</v>
      </c>
    </row>
    <row r="534" spans="1:11" ht="15" customHeight="1" x14ac:dyDescent="0.2">
      <c r="A534" t="str">
        <f t="shared" si="16"/>
        <v/>
      </c>
      <c r="B534" t="str">
        <f>IF($A534="","",SUMPRODUCT((MOVIMIENTOS!$B$5:$B$1005="SALDO INICIAL")*(MOVIMIENTOS!$C$5:$C$1005="A")*(MOVIMIENTOS!$D$5:$D$1005="jabas")*(MOVIMIENTOS!$A$5:$A$1005&lt;&gt;"")*(MOVIMIENTOS!$A$5:$A$1005&lt;=$A534)*MOVIMIENTOS!$E$5:$E$1005)+SUMPRODUCT((MOVIMIENTOS!$B$5:$B$1005="PROCESO")*(MOVIMIENTOS!$C$5:$C$1005="A")*(MOVIMIENTOS!$D$5:$D$1005="jabas")*(MOVIMIENTOS!$A$5:$A$1005&lt;&gt;"")*(MOVIMIENTOS!$A$5:$A$1005&lt;=$A534)*MOVIMIENTOS!$E$5:$E$1005)-SUMPRODUCT((MOVIMIENTOS!$B$5:$B$1005="ENVÍO A SUPESA")*(MOVIMIENTOS!$C$5:$C$1005="A")*(MOVIMIENTOS!$D$5:$D$1005="jabas")*(MOVIMIENTOS!$A$5:$A$1005&lt;&gt;"")*(MOVIMIENTOS!$A$5:$A$1005&lt;=$A534)*MOVIMIENTOS!$E$5:$E$1005)+SUMPRODUCT((MOVIMIENTOS!$B$5:$B$1005="DEVOLUCIÓN")*(MOVIMIENTOS!$C$5:$C$1005="A")*(MOVIMIENTOS!$D$5:$D$1005="jabas")*(MOVIMIENTOS!$A$5:$A$1005&lt;&gt;"")*(MOVIMIENTOS!$A$5:$A$1005&lt;=$A534)*MOVIMIENTOS!$E$5:$E$1005)-SUMPRODUCT((MOVIMIENTOS!$B$5:$B$1005="TRASIEGO")*(MOVIMIENTOS!$C$5:$C$1005="A")*(MOVIMIENTOS!$D$5:$D$1005="jabas")*(MOVIMIENTOS!$A$5:$A$1005&lt;&gt;"")*(MOVIMIENTOS!$A$5:$A$1005&lt;=$A534)*MOVIMIENTOS!$E$5:$E$1005)-SUMPRODUCT((MOVIMIENTOS!$B$5:$B$1005="REGALO")*(MOVIMIENTOS!$C$5:$C$1005="A")*(MOVIMIENTOS!$D$5:$D$1005="jabas")*(MOVIMIENTOS!$A$5:$A$1005&lt;&gt;"")*(MOVIMIENTOS!$A$5:$A$1005&lt;=$A534)*MOVIMIENTOS!$E$5:$E$1005)-SUMPRODUCT((MOVIMIENTOS!$B$5:$B$1005="VENTA")*(MOVIMIENTOS!$C$5:$C$1005="A")*(MOVIMIENTOS!$D$5:$D$1005="jabas")*(MOVIMIENTOS!$A$5:$A$1005&lt;&gt;"")*(MOVIMIENTOS!$A$5:$A$1005&lt;=$A534)*MOVIMIENTOS!$E$5:$E$1005)+SUMPRODUCT((MOVIMIENTOS!$B$5:$B$1005="AJUSTE")*(MOVIMIENTOS!$C$5:$C$1005="A")*(MOVIMIENTOS!$D$5:$D$1005="jabas")*(MOVIMIENTOS!$A$5:$A$1005&lt;&gt;"")*(MOVIMIENTOS!$A$5:$A$1005&lt;=$A534)*MOVIMIENTOS!$E$5:$E$1005))</f>
        <v/>
      </c>
      <c r="C534" t="str">
        <f>IF($A534="","",SUMPRODUCT((MOVIMIENTOS!$B$5:$B$1005="SALDO INICIAL")*(MOVIMIENTOS!$C$5:$C$1005="P")*(MOVIMIENTOS!$D$5:$D$1005="jabas")*(MOVIMIENTOS!$A$5:$A$1005&lt;&gt;"")*(MOVIMIENTOS!$A$5:$A$1005&lt;=$A534)*MOVIMIENTOS!$E$5:$E$1005)+SUMPRODUCT((MOVIMIENTOS!$B$5:$B$1005="PROCESO")*(MOVIMIENTOS!$C$5:$C$1005="P")*(MOVIMIENTOS!$D$5:$D$1005="jabas")*(MOVIMIENTOS!$A$5:$A$1005&lt;&gt;"")*(MOVIMIENTOS!$A$5:$A$1005&lt;=$A534)*MOVIMIENTOS!$E$5:$E$1005)-SUMPRODUCT((MOVIMIENTOS!$B$5:$B$1005="ENVÍO A SUPESA")*(MOVIMIENTOS!$C$5:$C$1005="P")*(MOVIMIENTOS!$D$5:$D$1005="jabas")*(MOVIMIENTOS!$A$5:$A$1005&lt;&gt;"")*(MOVIMIENTOS!$A$5:$A$1005&lt;=$A534)*MOVIMIENTOS!$E$5:$E$1005)+SUMPRODUCT((MOVIMIENTOS!$B$5:$B$1005="DEVOLUCIÓN")*(MOVIMIENTOS!$C$5:$C$1005="P")*(MOVIMIENTOS!$D$5:$D$1005="jabas")*(MOVIMIENTOS!$A$5:$A$1005&lt;&gt;"")*(MOVIMIENTOS!$A$5:$A$1005&lt;=$A534)*MOVIMIENTOS!$E$5:$E$1005)-SUMPRODUCT((MOVIMIENTOS!$B$5:$B$1005="TRASIEGO")*(MOVIMIENTOS!$C$5:$C$1005="P")*(MOVIMIENTOS!$D$5:$D$1005="jabas")*(MOVIMIENTOS!$A$5:$A$1005&lt;&gt;"")*(MOVIMIENTOS!$A$5:$A$1005&lt;=$A534)*MOVIMIENTOS!$E$5:$E$1005)-SUMPRODUCT((MOVIMIENTOS!$B$5:$B$1005="REGALO")*(MOVIMIENTOS!$C$5:$C$1005="P")*(MOVIMIENTOS!$D$5:$D$1005="jabas")*(MOVIMIENTOS!$A$5:$A$1005&lt;&gt;"")*(MOVIMIENTOS!$A$5:$A$1005&lt;=$A534)*MOVIMIENTOS!$E$5:$E$1005)-SUMPRODUCT((MOVIMIENTOS!$B$5:$B$1005="VENTA")*(MOVIMIENTOS!$C$5:$C$1005="P")*(MOVIMIENTOS!$D$5:$D$1005="jabas")*(MOVIMIENTOS!$A$5:$A$1005&lt;&gt;"")*(MOVIMIENTOS!$A$5:$A$1005&lt;=$A534)*MOVIMIENTOS!$E$5:$E$1005)+SUMPRODUCT((MOVIMIENTOS!$B$5:$B$1005="AJUSTE")*(MOVIMIENTOS!$C$5:$C$1005="P")*(MOVIMIENTOS!$D$5:$D$1005="jabas")*(MOVIMIENTOS!$A$5:$A$1005&lt;&gt;"")*(MOVIMIENTOS!$A$5:$A$1005&lt;=$A534)*MOVIMIENTOS!$E$5:$E$1005))</f>
        <v/>
      </c>
      <c r="D534" t="str">
        <f>IF($A534="","",SUMPRODUCT((MOVIMIENTOS!$B$5:$B$1005="SALDO INICIAL")*(MOVIMIENTOS!$C$5:$C$1005="C")*(MOVIMIENTOS!$D$5:$D$1005="jabas")*(MOVIMIENTOS!$A$5:$A$1005&lt;&gt;"")*(MOVIMIENTOS!$A$5:$A$1005&lt;=$A534)*MOVIMIENTOS!$E$5:$E$1005)+SUMPRODUCT((MOVIMIENTOS!$B$5:$B$1005="PROCESO")*(MOVIMIENTOS!$C$5:$C$1005="C")*(MOVIMIENTOS!$D$5:$D$1005="jabas")*(MOVIMIENTOS!$A$5:$A$1005&lt;&gt;"")*(MOVIMIENTOS!$A$5:$A$1005&lt;=$A534)*MOVIMIENTOS!$E$5:$E$1005)-SUMPRODUCT((MOVIMIENTOS!$B$5:$B$1005="ENVÍO A SUPESA")*(MOVIMIENTOS!$C$5:$C$1005="C")*(MOVIMIENTOS!$D$5:$D$1005="jabas")*(MOVIMIENTOS!$A$5:$A$1005&lt;&gt;"")*(MOVIMIENTOS!$A$5:$A$1005&lt;=$A534)*MOVIMIENTOS!$E$5:$E$1005)+SUMPRODUCT((MOVIMIENTOS!$B$5:$B$1005="DEVOLUCIÓN")*(MOVIMIENTOS!$C$5:$C$1005="C")*(MOVIMIENTOS!$D$5:$D$1005="jabas")*(MOVIMIENTOS!$A$5:$A$1005&lt;&gt;"")*(MOVIMIENTOS!$A$5:$A$1005&lt;=$A534)*MOVIMIENTOS!$E$5:$E$1005)-SUMPRODUCT((MOVIMIENTOS!$B$5:$B$1005="TRASIEGO")*(MOVIMIENTOS!$C$5:$C$1005="C")*(MOVIMIENTOS!$D$5:$D$1005="jabas")*(MOVIMIENTOS!$A$5:$A$1005&lt;&gt;"")*(MOVIMIENTOS!$A$5:$A$1005&lt;=$A534)*MOVIMIENTOS!$E$5:$E$1005)-SUMPRODUCT((MOVIMIENTOS!$B$5:$B$1005="REGALO")*(MOVIMIENTOS!$C$5:$C$1005="C")*(MOVIMIENTOS!$D$5:$D$1005="jabas")*(MOVIMIENTOS!$A$5:$A$1005&lt;&gt;"")*(MOVIMIENTOS!$A$5:$A$1005&lt;=$A534)*MOVIMIENTOS!$E$5:$E$1005)-SUMPRODUCT((MOVIMIENTOS!$B$5:$B$1005="VENTA")*(MOVIMIENTOS!$C$5:$C$1005="C")*(MOVIMIENTOS!$D$5:$D$1005="jabas")*(MOVIMIENTOS!$A$5:$A$1005&lt;&gt;"")*(MOVIMIENTOS!$A$5:$A$1005&lt;=$A534)*MOVIMIENTOS!$E$5:$E$1005)+SUMPRODUCT((MOVIMIENTOS!$B$5:$B$1005="AJUSTE")*(MOVIMIENTOS!$C$5:$C$1005="C")*(MOVIMIENTOS!$D$5:$D$1005="jabas")*(MOVIMIENTOS!$A$5:$A$1005&lt;&gt;"")*(MOVIMIENTOS!$A$5:$A$1005&lt;=$A534)*MOVIMIENTOS!$E$5:$E$1005))</f>
        <v/>
      </c>
      <c r="E534" t="str">
        <f>IF($A534="","",SUMPRODUCT((MOVIMIENTOS!$B$5:$B$1005="SALDO INICIAL")*(MOVIMIENTOS!$C$5:$C$1005="M")*(MOVIMIENTOS!$D$5:$D$1005="jabas")*(MOVIMIENTOS!$A$5:$A$1005&lt;&gt;"")*(MOVIMIENTOS!$A$5:$A$1005&lt;=$A534)*MOVIMIENTOS!$E$5:$E$1005)+SUMPRODUCT((MOVIMIENTOS!$B$5:$B$1005="PROCESO")*(MOVIMIENTOS!$C$5:$C$1005="M")*(MOVIMIENTOS!$D$5:$D$1005="jabas")*(MOVIMIENTOS!$A$5:$A$1005&lt;&gt;"")*(MOVIMIENTOS!$A$5:$A$1005&lt;=$A534)*MOVIMIENTOS!$E$5:$E$1005)-SUMPRODUCT((MOVIMIENTOS!$B$5:$B$1005="ENVÍO A SUPESA")*(MOVIMIENTOS!$C$5:$C$1005="M")*(MOVIMIENTOS!$D$5:$D$1005="jabas")*(MOVIMIENTOS!$A$5:$A$1005&lt;&gt;"")*(MOVIMIENTOS!$A$5:$A$1005&lt;=$A534)*MOVIMIENTOS!$E$5:$E$1005)+SUMPRODUCT((MOVIMIENTOS!$B$5:$B$1005="DEVOLUCIÓN")*(MOVIMIENTOS!$C$5:$C$1005="M")*(MOVIMIENTOS!$D$5:$D$1005="jabas")*(MOVIMIENTOS!$A$5:$A$1005&lt;&gt;"")*(MOVIMIENTOS!$A$5:$A$1005&lt;=$A534)*MOVIMIENTOS!$E$5:$E$1005)-SUMPRODUCT((MOVIMIENTOS!$B$5:$B$1005="TRASIEGO")*(MOVIMIENTOS!$C$5:$C$1005="M")*(MOVIMIENTOS!$D$5:$D$1005="jabas")*(MOVIMIENTOS!$A$5:$A$1005&lt;&gt;"")*(MOVIMIENTOS!$A$5:$A$1005&lt;=$A534)*MOVIMIENTOS!$E$5:$E$1005)-SUMPRODUCT((MOVIMIENTOS!$B$5:$B$1005="REGALO")*(MOVIMIENTOS!$C$5:$C$1005="M")*(MOVIMIENTOS!$D$5:$D$1005="jabas")*(MOVIMIENTOS!$A$5:$A$1005&lt;&gt;"")*(MOVIMIENTOS!$A$5:$A$1005&lt;=$A534)*MOVIMIENTOS!$E$5:$E$1005)-SUMPRODUCT((MOVIMIENTOS!$B$5:$B$1005="VENTA")*(MOVIMIENTOS!$C$5:$C$1005="M")*(MOVIMIENTOS!$D$5:$D$1005="jabas")*(MOVIMIENTOS!$A$5:$A$1005&lt;&gt;"")*(MOVIMIENTOS!$A$5:$A$1005&lt;=$A534)*MOVIMIENTOS!$E$5:$E$1005)+SUMPRODUCT((MOVIMIENTOS!$B$5:$B$1005="AJUSTE")*(MOVIMIENTOS!$C$5:$C$1005="M")*(MOVIMIENTOS!$D$5:$D$1005="jabas")*(MOVIMIENTOS!$A$5:$A$1005&lt;&gt;"")*(MOVIMIENTOS!$A$5:$A$1005&lt;=$A534)*MOVIMIENTOS!$E$5:$E$1005))</f>
        <v/>
      </c>
      <c r="F534" s="62" t="str">
        <f>IF($A534="","",SUMPRODUCT((MOVIMIENTOS!$B$5:$B$1005="SALDO INICIAL")*(MOVIMIENTOS!$C$5:$C$1005="Chancho")*(MOVIMIENTOS!$D$5:$D$1005="sacos")*(MOVIMIENTOS!$A$5:$A$1005&lt;&gt;"")*(MOVIMIENTOS!$A$5:$A$1005&lt;=$A534)*MOVIMIENTOS!$E$5:$E$1005)+SUMPRODUCT((MOVIMIENTOS!$B$5:$B$1005="PROCESO")*(MOVIMIENTOS!$C$5:$C$1005="Chancho")*(MOVIMIENTOS!$D$5:$D$1005="sacos")*(MOVIMIENTOS!$A$5:$A$1005&lt;&gt;"")*(MOVIMIENTOS!$A$5:$A$1005&lt;=$A534)*MOVIMIENTOS!$E$5:$E$1005)-SUMPRODUCT((MOVIMIENTOS!$B$5:$B$1005="VENTA CHANCHO")*(MOVIMIENTOS!$C$5:$C$1005="Chancho")*(MOVIMIENTOS!$D$5:$D$1005="sacos")*(MOVIMIENTOS!$A$5:$A$1005&lt;&gt;"")*(MOVIMIENTOS!$A$5:$A$1005&lt;=$A534)*MOVIMIENTOS!$E$5:$E$1005)-SUMPRODUCT((MOVIMIENTOS!$B$5:$B$1005="REGALO")*(MOVIMIENTOS!$C$5:$C$1005="Chancho")*(MOVIMIENTOS!$D$5:$D$1005="sacos")*(MOVIMIENTOS!$A$5:$A$1005&lt;&gt;"")*(MOVIMIENTOS!$A$5:$A$1005&lt;=$A534)*MOVIMIENTOS!$E$5:$E$1005)-SUMPRODUCT((MOVIMIENTOS!$B$5:$B$1005="VENTA")*(MOVIMIENTOS!$C$5:$C$1005="Chancho")*(MOVIMIENTOS!$D$5:$D$1005="sacos")*(MOVIMIENTOS!$A$5:$A$1005&lt;&gt;"")*(MOVIMIENTOS!$A$5:$A$1005&lt;=$A534)*MOVIMIENTOS!$E$5:$E$1005)+SUMPRODUCT((MOVIMIENTOS!$B$5:$B$1005="AJUSTE")*(MOVIMIENTOS!$C$5:$C$1005="Chancho")*(MOVIMIENTOS!$D$5:$D$1005="sacos")*(MOVIMIENTOS!$A$5:$A$1005&lt;&gt;"")*(MOVIMIENTOS!$A$5:$A$1005&lt;=$A534)*MOVIMIENTOS!$E$5:$E$1005))</f>
        <v/>
      </c>
      <c r="G534" s="62" t="str">
        <f t="shared" si="17"/>
        <v/>
      </c>
      <c r="H534" t="str">
        <f>IF($A534="","",SUMPRODUCT((((MOVIMIENTOS!$B$5:$B$1005="SALDO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534)*MOVIMIENTOS!$J$5:$J$1005))</f>
        <v/>
      </c>
      <c r="J534" t="str">
        <f>IF(AND(MOVIMIENTOS!$A539&lt;&gt;"",COUNTIF(MOVIMIENTOS!$A$5:$A538,MOVIMIENTOS!$A539)=0),COUNT(J$4:J533)+1,"")</f>
        <v/>
      </c>
      <c r="K534">
        <f>MOVIMIENTOS!$A539</f>
        <v>0</v>
      </c>
    </row>
    <row r="535" spans="1:11" ht="15" customHeight="1" x14ac:dyDescent="0.2">
      <c r="A535" t="str">
        <f t="shared" si="16"/>
        <v/>
      </c>
      <c r="B535" t="str">
        <f>IF($A535="","",SUMPRODUCT((MOVIMIENTOS!$B$5:$B$1005="SALDO INICIAL")*(MOVIMIENTOS!$C$5:$C$1005="A")*(MOVIMIENTOS!$D$5:$D$1005="jabas")*(MOVIMIENTOS!$A$5:$A$1005&lt;&gt;"")*(MOVIMIENTOS!$A$5:$A$1005&lt;=$A535)*MOVIMIENTOS!$E$5:$E$1005)+SUMPRODUCT((MOVIMIENTOS!$B$5:$B$1005="PROCESO")*(MOVIMIENTOS!$C$5:$C$1005="A")*(MOVIMIENTOS!$D$5:$D$1005="jabas")*(MOVIMIENTOS!$A$5:$A$1005&lt;&gt;"")*(MOVIMIENTOS!$A$5:$A$1005&lt;=$A535)*MOVIMIENTOS!$E$5:$E$1005)-SUMPRODUCT((MOVIMIENTOS!$B$5:$B$1005="ENVÍO A SUPESA")*(MOVIMIENTOS!$C$5:$C$1005="A")*(MOVIMIENTOS!$D$5:$D$1005="jabas")*(MOVIMIENTOS!$A$5:$A$1005&lt;&gt;"")*(MOVIMIENTOS!$A$5:$A$1005&lt;=$A535)*MOVIMIENTOS!$E$5:$E$1005)+SUMPRODUCT((MOVIMIENTOS!$B$5:$B$1005="DEVOLUCIÓN")*(MOVIMIENTOS!$C$5:$C$1005="A")*(MOVIMIENTOS!$D$5:$D$1005="jabas")*(MOVIMIENTOS!$A$5:$A$1005&lt;&gt;"")*(MOVIMIENTOS!$A$5:$A$1005&lt;=$A535)*MOVIMIENTOS!$E$5:$E$1005)-SUMPRODUCT((MOVIMIENTOS!$B$5:$B$1005="TRASIEGO")*(MOVIMIENTOS!$C$5:$C$1005="A")*(MOVIMIENTOS!$D$5:$D$1005="jabas")*(MOVIMIENTOS!$A$5:$A$1005&lt;&gt;"")*(MOVIMIENTOS!$A$5:$A$1005&lt;=$A535)*MOVIMIENTOS!$E$5:$E$1005)-SUMPRODUCT((MOVIMIENTOS!$B$5:$B$1005="REGALO")*(MOVIMIENTOS!$C$5:$C$1005="A")*(MOVIMIENTOS!$D$5:$D$1005="jabas")*(MOVIMIENTOS!$A$5:$A$1005&lt;&gt;"")*(MOVIMIENTOS!$A$5:$A$1005&lt;=$A535)*MOVIMIENTOS!$E$5:$E$1005)-SUMPRODUCT((MOVIMIENTOS!$B$5:$B$1005="VENTA")*(MOVIMIENTOS!$C$5:$C$1005="A")*(MOVIMIENTOS!$D$5:$D$1005="jabas")*(MOVIMIENTOS!$A$5:$A$1005&lt;&gt;"")*(MOVIMIENTOS!$A$5:$A$1005&lt;=$A535)*MOVIMIENTOS!$E$5:$E$1005)+SUMPRODUCT((MOVIMIENTOS!$B$5:$B$1005="AJUSTE")*(MOVIMIENTOS!$C$5:$C$1005="A")*(MOVIMIENTOS!$D$5:$D$1005="jabas")*(MOVIMIENTOS!$A$5:$A$1005&lt;&gt;"")*(MOVIMIENTOS!$A$5:$A$1005&lt;=$A535)*MOVIMIENTOS!$E$5:$E$1005))</f>
        <v/>
      </c>
      <c r="C535" t="str">
        <f>IF($A535="","",SUMPRODUCT((MOVIMIENTOS!$B$5:$B$1005="SALDO INICIAL")*(MOVIMIENTOS!$C$5:$C$1005="P")*(MOVIMIENTOS!$D$5:$D$1005="jabas")*(MOVIMIENTOS!$A$5:$A$1005&lt;&gt;"")*(MOVIMIENTOS!$A$5:$A$1005&lt;=$A535)*MOVIMIENTOS!$E$5:$E$1005)+SUMPRODUCT((MOVIMIENTOS!$B$5:$B$1005="PROCESO")*(MOVIMIENTOS!$C$5:$C$1005="P")*(MOVIMIENTOS!$D$5:$D$1005="jabas")*(MOVIMIENTOS!$A$5:$A$1005&lt;&gt;"")*(MOVIMIENTOS!$A$5:$A$1005&lt;=$A535)*MOVIMIENTOS!$E$5:$E$1005)-SUMPRODUCT((MOVIMIENTOS!$B$5:$B$1005="ENVÍO A SUPESA")*(MOVIMIENTOS!$C$5:$C$1005="P")*(MOVIMIENTOS!$D$5:$D$1005="jabas")*(MOVIMIENTOS!$A$5:$A$1005&lt;&gt;"")*(MOVIMIENTOS!$A$5:$A$1005&lt;=$A535)*MOVIMIENTOS!$E$5:$E$1005)+SUMPRODUCT((MOVIMIENTOS!$B$5:$B$1005="DEVOLUCIÓN")*(MOVIMIENTOS!$C$5:$C$1005="P")*(MOVIMIENTOS!$D$5:$D$1005="jabas")*(MOVIMIENTOS!$A$5:$A$1005&lt;&gt;"")*(MOVIMIENTOS!$A$5:$A$1005&lt;=$A535)*MOVIMIENTOS!$E$5:$E$1005)-SUMPRODUCT((MOVIMIENTOS!$B$5:$B$1005="TRASIEGO")*(MOVIMIENTOS!$C$5:$C$1005="P")*(MOVIMIENTOS!$D$5:$D$1005="jabas")*(MOVIMIENTOS!$A$5:$A$1005&lt;&gt;"")*(MOVIMIENTOS!$A$5:$A$1005&lt;=$A535)*MOVIMIENTOS!$E$5:$E$1005)-SUMPRODUCT((MOVIMIENTOS!$B$5:$B$1005="REGALO")*(MOVIMIENTOS!$C$5:$C$1005="P")*(MOVIMIENTOS!$D$5:$D$1005="jabas")*(MOVIMIENTOS!$A$5:$A$1005&lt;&gt;"")*(MOVIMIENTOS!$A$5:$A$1005&lt;=$A535)*MOVIMIENTOS!$E$5:$E$1005)-SUMPRODUCT((MOVIMIENTOS!$B$5:$B$1005="VENTA")*(MOVIMIENTOS!$C$5:$C$1005="P")*(MOVIMIENTOS!$D$5:$D$1005="jabas")*(MOVIMIENTOS!$A$5:$A$1005&lt;&gt;"")*(MOVIMIENTOS!$A$5:$A$1005&lt;=$A535)*MOVIMIENTOS!$E$5:$E$1005)+SUMPRODUCT((MOVIMIENTOS!$B$5:$B$1005="AJUSTE")*(MOVIMIENTOS!$C$5:$C$1005="P")*(MOVIMIENTOS!$D$5:$D$1005="jabas")*(MOVIMIENTOS!$A$5:$A$1005&lt;&gt;"")*(MOVIMIENTOS!$A$5:$A$1005&lt;=$A535)*MOVIMIENTOS!$E$5:$E$1005))</f>
        <v/>
      </c>
      <c r="D535" t="str">
        <f>IF($A535="","",SUMPRODUCT((MOVIMIENTOS!$B$5:$B$1005="SALDO INICIAL")*(MOVIMIENTOS!$C$5:$C$1005="C")*(MOVIMIENTOS!$D$5:$D$1005="jabas")*(MOVIMIENTOS!$A$5:$A$1005&lt;&gt;"")*(MOVIMIENTOS!$A$5:$A$1005&lt;=$A535)*MOVIMIENTOS!$E$5:$E$1005)+SUMPRODUCT((MOVIMIENTOS!$B$5:$B$1005="PROCESO")*(MOVIMIENTOS!$C$5:$C$1005="C")*(MOVIMIENTOS!$D$5:$D$1005="jabas")*(MOVIMIENTOS!$A$5:$A$1005&lt;&gt;"")*(MOVIMIENTOS!$A$5:$A$1005&lt;=$A535)*MOVIMIENTOS!$E$5:$E$1005)-SUMPRODUCT((MOVIMIENTOS!$B$5:$B$1005="ENVÍO A SUPESA")*(MOVIMIENTOS!$C$5:$C$1005="C")*(MOVIMIENTOS!$D$5:$D$1005="jabas")*(MOVIMIENTOS!$A$5:$A$1005&lt;&gt;"")*(MOVIMIENTOS!$A$5:$A$1005&lt;=$A535)*MOVIMIENTOS!$E$5:$E$1005)+SUMPRODUCT((MOVIMIENTOS!$B$5:$B$1005="DEVOLUCIÓN")*(MOVIMIENTOS!$C$5:$C$1005="C")*(MOVIMIENTOS!$D$5:$D$1005="jabas")*(MOVIMIENTOS!$A$5:$A$1005&lt;&gt;"")*(MOVIMIENTOS!$A$5:$A$1005&lt;=$A535)*MOVIMIENTOS!$E$5:$E$1005)-SUMPRODUCT((MOVIMIENTOS!$B$5:$B$1005="TRASIEGO")*(MOVIMIENTOS!$C$5:$C$1005="C")*(MOVIMIENTOS!$D$5:$D$1005="jabas")*(MOVIMIENTOS!$A$5:$A$1005&lt;&gt;"")*(MOVIMIENTOS!$A$5:$A$1005&lt;=$A535)*MOVIMIENTOS!$E$5:$E$1005)-SUMPRODUCT((MOVIMIENTOS!$B$5:$B$1005="REGALO")*(MOVIMIENTOS!$C$5:$C$1005="C")*(MOVIMIENTOS!$D$5:$D$1005="jabas")*(MOVIMIENTOS!$A$5:$A$1005&lt;&gt;"")*(MOVIMIENTOS!$A$5:$A$1005&lt;=$A535)*MOVIMIENTOS!$E$5:$E$1005)-SUMPRODUCT((MOVIMIENTOS!$B$5:$B$1005="VENTA")*(MOVIMIENTOS!$C$5:$C$1005="C")*(MOVIMIENTOS!$D$5:$D$1005="jabas")*(MOVIMIENTOS!$A$5:$A$1005&lt;&gt;"")*(MOVIMIENTOS!$A$5:$A$1005&lt;=$A535)*MOVIMIENTOS!$E$5:$E$1005)+SUMPRODUCT((MOVIMIENTOS!$B$5:$B$1005="AJUSTE")*(MOVIMIENTOS!$C$5:$C$1005="C")*(MOVIMIENTOS!$D$5:$D$1005="jabas")*(MOVIMIENTOS!$A$5:$A$1005&lt;&gt;"")*(MOVIMIENTOS!$A$5:$A$1005&lt;=$A535)*MOVIMIENTOS!$E$5:$E$1005))</f>
        <v/>
      </c>
      <c r="E535" t="str">
        <f>IF($A535="","",SUMPRODUCT((MOVIMIENTOS!$B$5:$B$1005="SALDO INICIAL")*(MOVIMIENTOS!$C$5:$C$1005="M")*(MOVIMIENTOS!$D$5:$D$1005="jabas")*(MOVIMIENTOS!$A$5:$A$1005&lt;&gt;"")*(MOVIMIENTOS!$A$5:$A$1005&lt;=$A535)*MOVIMIENTOS!$E$5:$E$1005)+SUMPRODUCT((MOVIMIENTOS!$B$5:$B$1005="PROCESO")*(MOVIMIENTOS!$C$5:$C$1005="M")*(MOVIMIENTOS!$D$5:$D$1005="jabas")*(MOVIMIENTOS!$A$5:$A$1005&lt;&gt;"")*(MOVIMIENTOS!$A$5:$A$1005&lt;=$A535)*MOVIMIENTOS!$E$5:$E$1005)-SUMPRODUCT((MOVIMIENTOS!$B$5:$B$1005="ENVÍO A SUPESA")*(MOVIMIENTOS!$C$5:$C$1005="M")*(MOVIMIENTOS!$D$5:$D$1005="jabas")*(MOVIMIENTOS!$A$5:$A$1005&lt;&gt;"")*(MOVIMIENTOS!$A$5:$A$1005&lt;=$A535)*MOVIMIENTOS!$E$5:$E$1005)+SUMPRODUCT((MOVIMIENTOS!$B$5:$B$1005="DEVOLUCIÓN")*(MOVIMIENTOS!$C$5:$C$1005="M")*(MOVIMIENTOS!$D$5:$D$1005="jabas")*(MOVIMIENTOS!$A$5:$A$1005&lt;&gt;"")*(MOVIMIENTOS!$A$5:$A$1005&lt;=$A535)*MOVIMIENTOS!$E$5:$E$1005)-SUMPRODUCT((MOVIMIENTOS!$B$5:$B$1005="TRASIEGO")*(MOVIMIENTOS!$C$5:$C$1005="M")*(MOVIMIENTOS!$D$5:$D$1005="jabas")*(MOVIMIENTOS!$A$5:$A$1005&lt;&gt;"")*(MOVIMIENTOS!$A$5:$A$1005&lt;=$A535)*MOVIMIENTOS!$E$5:$E$1005)-SUMPRODUCT((MOVIMIENTOS!$B$5:$B$1005="REGALO")*(MOVIMIENTOS!$C$5:$C$1005="M")*(MOVIMIENTOS!$D$5:$D$1005="jabas")*(MOVIMIENTOS!$A$5:$A$1005&lt;&gt;"")*(MOVIMIENTOS!$A$5:$A$1005&lt;=$A535)*MOVIMIENTOS!$E$5:$E$1005)-SUMPRODUCT((MOVIMIENTOS!$B$5:$B$1005="VENTA")*(MOVIMIENTOS!$C$5:$C$1005="M")*(MOVIMIENTOS!$D$5:$D$1005="jabas")*(MOVIMIENTOS!$A$5:$A$1005&lt;&gt;"")*(MOVIMIENTOS!$A$5:$A$1005&lt;=$A535)*MOVIMIENTOS!$E$5:$E$1005)+SUMPRODUCT((MOVIMIENTOS!$B$5:$B$1005="AJUSTE")*(MOVIMIENTOS!$C$5:$C$1005="M")*(MOVIMIENTOS!$D$5:$D$1005="jabas")*(MOVIMIENTOS!$A$5:$A$1005&lt;&gt;"")*(MOVIMIENTOS!$A$5:$A$1005&lt;=$A535)*MOVIMIENTOS!$E$5:$E$1005))</f>
        <v/>
      </c>
      <c r="F535" s="62" t="str">
        <f>IF($A535="","",SUMPRODUCT((MOVIMIENTOS!$B$5:$B$1005="SALDO INICIAL")*(MOVIMIENTOS!$C$5:$C$1005="Chancho")*(MOVIMIENTOS!$D$5:$D$1005="sacos")*(MOVIMIENTOS!$A$5:$A$1005&lt;&gt;"")*(MOVIMIENTOS!$A$5:$A$1005&lt;=$A535)*MOVIMIENTOS!$E$5:$E$1005)+SUMPRODUCT((MOVIMIENTOS!$B$5:$B$1005="PROCESO")*(MOVIMIENTOS!$C$5:$C$1005="Chancho")*(MOVIMIENTOS!$D$5:$D$1005="sacos")*(MOVIMIENTOS!$A$5:$A$1005&lt;&gt;"")*(MOVIMIENTOS!$A$5:$A$1005&lt;=$A535)*MOVIMIENTOS!$E$5:$E$1005)-SUMPRODUCT((MOVIMIENTOS!$B$5:$B$1005="VENTA CHANCHO")*(MOVIMIENTOS!$C$5:$C$1005="Chancho")*(MOVIMIENTOS!$D$5:$D$1005="sacos")*(MOVIMIENTOS!$A$5:$A$1005&lt;&gt;"")*(MOVIMIENTOS!$A$5:$A$1005&lt;=$A535)*MOVIMIENTOS!$E$5:$E$1005)-SUMPRODUCT((MOVIMIENTOS!$B$5:$B$1005="REGALO")*(MOVIMIENTOS!$C$5:$C$1005="Chancho")*(MOVIMIENTOS!$D$5:$D$1005="sacos")*(MOVIMIENTOS!$A$5:$A$1005&lt;&gt;"")*(MOVIMIENTOS!$A$5:$A$1005&lt;=$A535)*MOVIMIENTOS!$E$5:$E$1005)-SUMPRODUCT((MOVIMIENTOS!$B$5:$B$1005="VENTA")*(MOVIMIENTOS!$C$5:$C$1005="Chancho")*(MOVIMIENTOS!$D$5:$D$1005="sacos")*(MOVIMIENTOS!$A$5:$A$1005&lt;&gt;"")*(MOVIMIENTOS!$A$5:$A$1005&lt;=$A535)*MOVIMIENTOS!$E$5:$E$1005)+SUMPRODUCT((MOVIMIENTOS!$B$5:$B$1005="AJUSTE")*(MOVIMIENTOS!$C$5:$C$1005="Chancho")*(MOVIMIENTOS!$D$5:$D$1005="sacos")*(MOVIMIENTOS!$A$5:$A$1005&lt;&gt;"")*(MOVIMIENTOS!$A$5:$A$1005&lt;=$A535)*MOVIMIENTOS!$E$5:$E$1005))</f>
        <v/>
      </c>
      <c r="G535" s="62" t="str">
        <f t="shared" si="17"/>
        <v/>
      </c>
      <c r="H535" t="str">
        <f>IF($A535="","",SUMPRODUCT((((MOVIMIENTOS!$B$5:$B$1005="SALDO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535)*MOVIMIENTOS!$J$5:$J$1005))</f>
        <v/>
      </c>
      <c r="J535" t="str">
        <f>IF(AND(MOVIMIENTOS!$A540&lt;&gt;"",COUNTIF(MOVIMIENTOS!$A$5:$A539,MOVIMIENTOS!$A540)=0),COUNT(J$4:J534)+1,"")</f>
        <v/>
      </c>
      <c r="K535">
        <f>MOVIMIENTOS!$A540</f>
        <v>0</v>
      </c>
    </row>
    <row r="536" spans="1:11" ht="15" customHeight="1" x14ac:dyDescent="0.2">
      <c r="A536" t="str">
        <f t="shared" si="16"/>
        <v/>
      </c>
      <c r="B536" t="str">
        <f>IF($A536="","",SUMPRODUCT((MOVIMIENTOS!$B$5:$B$1005="SALDO INICIAL")*(MOVIMIENTOS!$C$5:$C$1005="A")*(MOVIMIENTOS!$D$5:$D$1005="jabas")*(MOVIMIENTOS!$A$5:$A$1005&lt;&gt;"")*(MOVIMIENTOS!$A$5:$A$1005&lt;=$A536)*MOVIMIENTOS!$E$5:$E$1005)+SUMPRODUCT((MOVIMIENTOS!$B$5:$B$1005="PROCESO")*(MOVIMIENTOS!$C$5:$C$1005="A")*(MOVIMIENTOS!$D$5:$D$1005="jabas")*(MOVIMIENTOS!$A$5:$A$1005&lt;&gt;"")*(MOVIMIENTOS!$A$5:$A$1005&lt;=$A536)*MOVIMIENTOS!$E$5:$E$1005)-SUMPRODUCT((MOVIMIENTOS!$B$5:$B$1005="ENVÍO A SUPESA")*(MOVIMIENTOS!$C$5:$C$1005="A")*(MOVIMIENTOS!$D$5:$D$1005="jabas")*(MOVIMIENTOS!$A$5:$A$1005&lt;&gt;"")*(MOVIMIENTOS!$A$5:$A$1005&lt;=$A536)*MOVIMIENTOS!$E$5:$E$1005)+SUMPRODUCT((MOVIMIENTOS!$B$5:$B$1005="DEVOLUCIÓN")*(MOVIMIENTOS!$C$5:$C$1005="A")*(MOVIMIENTOS!$D$5:$D$1005="jabas")*(MOVIMIENTOS!$A$5:$A$1005&lt;&gt;"")*(MOVIMIENTOS!$A$5:$A$1005&lt;=$A536)*MOVIMIENTOS!$E$5:$E$1005)-SUMPRODUCT((MOVIMIENTOS!$B$5:$B$1005="TRASIEGO")*(MOVIMIENTOS!$C$5:$C$1005="A")*(MOVIMIENTOS!$D$5:$D$1005="jabas")*(MOVIMIENTOS!$A$5:$A$1005&lt;&gt;"")*(MOVIMIENTOS!$A$5:$A$1005&lt;=$A536)*MOVIMIENTOS!$E$5:$E$1005)-SUMPRODUCT((MOVIMIENTOS!$B$5:$B$1005="REGALO")*(MOVIMIENTOS!$C$5:$C$1005="A")*(MOVIMIENTOS!$D$5:$D$1005="jabas")*(MOVIMIENTOS!$A$5:$A$1005&lt;&gt;"")*(MOVIMIENTOS!$A$5:$A$1005&lt;=$A536)*MOVIMIENTOS!$E$5:$E$1005)-SUMPRODUCT((MOVIMIENTOS!$B$5:$B$1005="VENTA")*(MOVIMIENTOS!$C$5:$C$1005="A")*(MOVIMIENTOS!$D$5:$D$1005="jabas")*(MOVIMIENTOS!$A$5:$A$1005&lt;&gt;"")*(MOVIMIENTOS!$A$5:$A$1005&lt;=$A536)*MOVIMIENTOS!$E$5:$E$1005)+SUMPRODUCT((MOVIMIENTOS!$B$5:$B$1005="AJUSTE")*(MOVIMIENTOS!$C$5:$C$1005="A")*(MOVIMIENTOS!$D$5:$D$1005="jabas")*(MOVIMIENTOS!$A$5:$A$1005&lt;&gt;"")*(MOVIMIENTOS!$A$5:$A$1005&lt;=$A536)*MOVIMIENTOS!$E$5:$E$1005))</f>
        <v/>
      </c>
      <c r="C536" t="str">
        <f>IF($A536="","",SUMPRODUCT((MOVIMIENTOS!$B$5:$B$1005="SALDO INICIAL")*(MOVIMIENTOS!$C$5:$C$1005="P")*(MOVIMIENTOS!$D$5:$D$1005="jabas")*(MOVIMIENTOS!$A$5:$A$1005&lt;&gt;"")*(MOVIMIENTOS!$A$5:$A$1005&lt;=$A536)*MOVIMIENTOS!$E$5:$E$1005)+SUMPRODUCT((MOVIMIENTOS!$B$5:$B$1005="PROCESO")*(MOVIMIENTOS!$C$5:$C$1005="P")*(MOVIMIENTOS!$D$5:$D$1005="jabas")*(MOVIMIENTOS!$A$5:$A$1005&lt;&gt;"")*(MOVIMIENTOS!$A$5:$A$1005&lt;=$A536)*MOVIMIENTOS!$E$5:$E$1005)-SUMPRODUCT((MOVIMIENTOS!$B$5:$B$1005="ENVÍO A SUPESA")*(MOVIMIENTOS!$C$5:$C$1005="P")*(MOVIMIENTOS!$D$5:$D$1005="jabas")*(MOVIMIENTOS!$A$5:$A$1005&lt;&gt;"")*(MOVIMIENTOS!$A$5:$A$1005&lt;=$A536)*MOVIMIENTOS!$E$5:$E$1005)+SUMPRODUCT((MOVIMIENTOS!$B$5:$B$1005="DEVOLUCIÓN")*(MOVIMIENTOS!$C$5:$C$1005="P")*(MOVIMIENTOS!$D$5:$D$1005="jabas")*(MOVIMIENTOS!$A$5:$A$1005&lt;&gt;"")*(MOVIMIENTOS!$A$5:$A$1005&lt;=$A536)*MOVIMIENTOS!$E$5:$E$1005)-SUMPRODUCT((MOVIMIENTOS!$B$5:$B$1005="TRASIEGO")*(MOVIMIENTOS!$C$5:$C$1005="P")*(MOVIMIENTOS!$D$5:$D$1005="jabas")*(MOVIMIENTOS!$A$5:$A$1005&lt;&gt;"")*(MOVIMIENTOS!$A$5:$A$1005&lt;=$A536)*MOVIMIENTOS!$E$5:$E$1005)-SUMPRODUCT((MOVIMIENTOS!$B$5:$B$1005="REGALO")*(MOVIMIENTOS!$C$5:$C$1005="P")*(MOVIMIENTOS!$D$5:$D$1005="jabas")*(MOVIMIENTOS!$A$5:$A$1005&lt;&gt;"")*(MOVIMIENTOS!$A$5:$A$1005&lt;=$A536)*MOVIMIENTOS!$E$5:$E$1005)-SUMPRODUCT((MOVIMIENTOS!$B$5:$B$1005="VENTA")*(MOVIMIENTOS!$C$5:$C$1005="P")*(MOVIMIENTOS!$D$5:$D$1005="jabas")*(MOVIMIENTOS!$A$5:$A$1005&lt;&gt;"")*(MOVIMIENTOS!$A$5:$A$1005&lt;=$A536)*MOVIMIENTOS!$E$5:$E$1005)+SUMPRODUCT((MOVIMIENTOS!$B$5:$B$1005="AJUSTE")*(MOVIMIENTOS!$C$5:$C$1005="P")*(MOVIMIENTOS!$D$5:$D$1005="jabas")*(MOVIMIENTOS!$A$5:$A$1005&lt;&gt;"")*(MOVIMIENTOS!$A$5:$A$1005&lt;=$A536)*MOVIMIENTOS!$E$5:$E$1005))</f>
        <v/>
      </c>
      <c r="D536" t="str">
        <f>IF($A536="","",SUMPRODUCT((MOVIMIENTOS!$B$5:$B$1005="SALDO INICIAL")*(MOVIMIENTOS!$C$5:$C$1005="C")*(MOVIMIENTOS!$D$5:$D$1005="jabas")*(MOVIMIENTOS!$A$5:$A$1005&lt;&gt;"")*(MOVIMIENTOS!$A$5:$A$1005&lt;=$A536)*MOVIMIENTOS!$E$5:$E$1005)+SUMPRODUCT((MOVIMIENTOS!$B$5:$B$1005="PROCESO")*(MOVIMIENTOS!$C$5:$C$1005="C")*(MOVIMIENTOS!$D$5:$D$1005="jabas")*(MOVIMIENTOS!$A$5:$A$1005&lt;&gt;"")*(MOVIMIENTOS!$A$5:$A$1005&lt;=$A536)*MOVIMIENTOS!$E$5:$E$1005)-SUMPRODUCT((MOVIMIENTOS!$B$5:$B$1005="ENVÍO A SUPESA")*(MOVIMIENTOS!$C$5:$C$1005="C")*(MOVIMIENTOS!$D$5:$D$1005="jabas")*(MOVIMIENTOS!$A$5:$A$1005&lt;&gt;"")*(MOVIMIENTOS!$A$5:$A$1005&lt;=$A536)*MOVIMIENTOS!$E$5:$E$1005)+SUMPRODUCT((MOVIMIENTOS!$B$5:$B$1005="DEVOLUCIÓN")*(MOVIMIENTOS!$C$5:$C$1005="C")*(MOVIMIENTOS!$D$5:$D$1005="jabas")*(MOVIMIENTOS!$A$5:$A$1005&lt;&gt;"")*(MOVIMIENTOS!$A$5:$A$1005&lt;=$A536)*MOVIMIENTOS!$E$5:$E$1005)-SUMPRODUCT((MOVIMIENTOS!$B$5:$B$1005="TRASIEGO")*(MOVIMIENTOS!$C$5:$C$1005="C")*(MOVIMIENTOS!$D$5:$D$1005="jabas")*(MOVIMIENTOS!$A$5:$A$1005&lt;&gt;"")*(MOVIMIENTOS!$A$5:$A$1005&lt;=$A536)*MOVIMIENTOS!$E$5:$E$1005)-SUMPRODUCT((MOVIMIENTOS!$B$5:$B$1005="REGALO")*(MOVIMIENTOS!$C$5:$C$1005="C")*(MOVIMIENTOS!$D$5:$D$1005="jabas")*(MOVIMIENTOS!$A$5:$A$1005&lt;&gt;"")*(MOVIMIENTOS!$A$5:$A$1005&lt;=$A536)*MOVIMIENTOS!$E$5:$E$1005)-SUMPRODUCT((MOVIMIENTOS!$B$5:$B$1005="VENTA")*(MOVIMIENTOS!$C$5:$C$1005="C")*(MOVIMIENTOS!$D$5:$D$1005="jabas")*(MOVIMIENTOS!$A$5:$A$1005&lt;&gt;"")*(MOVIMIENTOS!$A$5:$A$1005&lt;=$A536)*MOVIMIENTOS!$E$5:$E$1005)+SUMPRODUCT((MOVIMIENTOS!$B$5:$B$1005="AJUSTE")*(MOVIMIENTOS!$C$5:$C$1005="C")*(MOVIMIENTOS!$D$5:$D$1005="jabas")*(MOVIMIENTOS!$A$5:$A$1005&lt;&gt;"")*(MOVIMIENTOS!$A$5:$A$1005&lt;=$A536)*MOVIMIENTOS!$E$5:$E$1005))</f>
        <v/>
      </c>
      <c r="E536" t="str">
        <f>IF($A536="","",SUMPRODUCT((MOVIMIENTOS!$B$5:$B$1005="SALDO INICIAL")*(MOVIMIENTOS!$C$5:$C$1005="M")*(MOVIMIENTOS!$D$5:$D$1005="jabas")*(MOVIMIENTOS!$A$5:$A$1005&lt;&gt;"")*(MOVIMIENTOS!$A$5:$A$1005&lt;=$A536)*MOVIMIENTOS!$E$5:$E$1005)+SUMPRODUCT((MOVIMIENTOS!$B$5:$B$1005="PROCESO")*(MOVIMIENTOS!$C$5:$C$1005="M")*(MOVIMIENTOS!$D$5:$D$1005="jabas")*(MOVIMIENTOS!$A$5:$A$1005&lt;&gt;"")*(MOVIMIENTOS!$A$5:$A$1005&lt;=$A536)*MOVIMIENTOS!$E$5:$E$1005)-SUMPRODUCT((MOVIMIENTOS!$B$5:$B$1005="ENVÍO A SUPESA")*(MOVIMIENTOS!$C$5:$C$1005="M")*(MOVIMIENTOS!$D$5:$D$1005="jabas")*(MOVIMIENTOS!$A$5:$A$1005&lt;&gt;"")*(MOVIMIENTOS!$A$5:$A$1005&lt;=$A536)*MOVIMIENTOS!$E$5:$E$1005)+SUMPRODUCT((MOVIMIENTOS!$B$5:$B$1005="DEVOLUCIÓN")*(MOVIMIENTOS!$C$5:$C$1005="M")*(MOVIMIENTOS!$D$5:$D$1005="jabas")*(MOVIMIENTOS!$A$5:$A$1005&lt;&gt;"")*(MOVIMIENTOS!$A$5:$A$1005&lt;=$A536)*MOVIMIENTOS!$E$5:$E$1005)-SUMPRODUCT((MOVIMIENTOS!$B$5:$B$1005="TRASIEGO")*(MOVIMIENTOS!$C$5:$C$1005="M")*(MOVIMIENTOS!$D$5:$D$1005="jabas")*(MOVIMIENTOS!$A$5:$A$1005&lt;&gt;"")*(MOVIMIENTOS!$A$5:$A$1005&lt;=$A536)*MOVIMIENTOS!$E$5:$E$1005)-SUMPRODUCT((MOVIMIENTOS!$B$5:$B$1005="REGALO")*(MOVIMIENTOS!$C$5:$C$1005="M")*(MOVIMIENTOS!$D$5:$D$1005="jabas")*(MOVIMIENTOS!$A$5:$A$1005&lt;&gt;"")*(MOVIMIENTOS!$A$5:$A$1005&lt;=$A536)*MOVIMIENTOS!$E$5:$E$1005)-SUMPRODUCT((MOVIMIENTOS!$B$5:$B$1005="VENTA")*(MOVIMIENTOS!$C$5:$C$1005="M")*(MOVIMIENTOS!$D$5:$D$1005="jabas")*(MOVIMIENTOS!$A$5:$A$1005&lt;&gt;"")*(MOVIMIENTOS!$A$5:$A$1005&lt;=$A536)*MOVIMIENTOS!$E$5:$E$1005)+SUMPRODUCT((MOVIMIENTOS!$B$5:$B$1005="AJUSTE")*(MOVIMIENTOS!$C$5:$C$1005="M")*(MOVIMIENTOS!$D$5:$D$1005="jabas")*(MOVIMIENTOS!$A$5:$A$1005&lt;&gt;"")*(MOVIMIENTOS!$A$5:$A$1005&lt;=$A536)*MOVIMIENTOS!$E$5:$E$1005))</f>
        <v/>
      </c>
      <c r="F536" s="62" t="str">
        <f>IF($A536="","",SUMPRODUCT((MOVIMIENTOS!$B$5:$B$1005="SALDO INICIAL")*(MOVIMIENTOS!$C$5:$C$1005="Chancho")*(MOVIMIENTOS!$D$5:$D$1005="sacos")*(MOVIMIENTOS!$A$5:$A$1005&lt;&gt;"")*(MOVIMIENTOS!$A$5:$A$1005&lt;=$A536)*MOVIMIENTOS!$E$5:$E$1005)+SUMPRODUCT((MOVIMIENTOS!$B$5:$B$1005="PROCESO")*(MOVIMIENTOS!$C$5:$C$1005="Chancho")*(MOVIMIENTOS!$D$5:$D$1005="sacos")*(MOVIMIENTOS!$A$5:$A$1005&lt;&gt;"")*(MOVIMIENTOS!$A$5:$A$1005&lt;=$A536)*MOVIMIENTOS!$E$5:$E$1005)-SUMPRODUCT((MOVIMIENTOS!$B$5:$B$1005="VENTA CHANCHO")*(MOVIMIENTOS!$C$5:$C$1005="Chancho")*(MOVIMIENTOS!$D$5:$D$1005="sacos")*(MOVIMIENTOS!$A$5:$A$1005&lt;&gt;"")*(MOVIMIENTOS!$A$5:$A$1005&lt;=$A536)*MOVIMIENTOS!$E$5:$E$1005)-SUMPRODUCT((MOVIMIENTOS!$B$5:$B$1005="REGALO")*(MOVIMIENTOS!$C$5:$C$1005="Chancho")*(MOVIMIENTOS!$D$5:$D$1005="sacos")*(MOVIMIENTOS!$A$5:$A$1005&lt;&gt;"")*(MOVIMIENTOS!$A$5:$A$1005&lt;=$A536)*MOVIMIENTOS!$E$5:$E$1005)-SUMPRODUCT((MOVIMIENTOS!$B$5:$B$1005="VENTA")*(MOVIMIENTOS!$C$5:$C$1005="Chancho")*(MOVIMIENTOS!$D$5:$D$1005="sacos")*(MOVIMIENTOS!$A$5:$A$1005&lt;&gt;"")*(MOVIMIENTOS!$A$5:$A$1005&lt;=$A536)*MOVIMIENTOS!$E$5:$E$1005)+SUMPRODUCT((MOVIMIENTOS!$B$5:$B$1005="AJUSTE")*(MOVIMIENTOS!$C$5:$C$1005="Chancho")*(MOVIMIENTOS!$D$5:$D$1005="sacos")*(MOVIMIENTOS!$A$5:$A$1005&lt;&gt;"")*(MOVIMIENTOS!$A$5:$A$1005&lt;=$A536)*MOVIMIENTOS!$E$5:$E$1005))</f>
        <v/>
      </c>
      <c r="G536" s="62" t="str">
        <f t="shared" si="17"/>
        <v/>
      </c>
      <c r="H536" t="str">
        <f>IF($A536="","",SUMPRODUCT((((MOVIMIENTOS!$B$5:$B$1005="SALDO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536)*MOVIMIENTOS!$J$5:$J$1005))</f>
        <v/>
      </c>
      <c r="J536" t="str">
        <f>IF(AND(MOVIMIENTOS!$A541&lt;&gt;"",COUNTIF(MOVIMIENTOS!$A$5:$A540,MOVIMIENTOS!$A541)=0),COUNT(J$4:J535)+1,"")</f>
        <v/>
      </c>
      <c r="K536">
        <f>MOVIMIENTOS!$A541</f>
        <v>0</v>
      </c>
    </row>
    <row r="537" spans="1:11" ht="15" customHeight="1" x14ac:dyDescent="0.2">
      <c r="A537" t="str">
        <f t="shared" si="16"/>
        <v/>
      </c>
      <c r="B537" t="str">
        <f>IF($A537="","",SUMPRODUCT((MOVIMIENTOS!$B$5:$B$1005="SALDO INICIAL")*(MOVIMIENTOS!$C$5:$C$1005="A")*(MOVIMIENTOS!$D$5:$D$1005="jabas")*(MOVIMIENTOS!$A$5:$A$1005&lt;&gt;"")*(MOVIMIENTOS!$A$5:$A$1005&lt;=$A537)*MOVIMIENTOS!$E$5:$E$1005)+SUMPRODUCT((MOVIMIENTOS!$B$5:$B$1005="PROCESO")*(MOVIMIENTOS!$C$5:$C$1005="A")*(MOVIMIENTOS!$D$5:$D$1005="jabas")*(MOVIMIENTOS!$A$5:$A$1005&lt;&gt;"")*(MOVIMIENTOS!$A$5:$A$1005&lt;=$A537)*MOVIMIENTOS!$E$5:$E$1005)-SUMPRODUCT((MOVIMIENTOS!$B$5:$B$1005="ENVÍO A SUPESA")*(MOVIMIENTOS!$C$5:$C$1005="A")*(MOVIMIENTOS!$D$5:$D$1005="jabas")*(MOVIMIENTOS!$A$5:$A$1005&lt;&gt;"")*(MOVIMIENTOS!$A$5:$A$1005&lt;=$A537)*MOVIMIENTOS!$E$5:$E$1005)+SUMPRODUCT((MOVIMIENTOS!$B$5:$B$1005="DEVOLUCIÓN")*(MOVIMIENTOS!$C$5:$C$1005="A")*(MOVIMIENTOS!$D$5:$D$1005="jabas")*(MOVIMIENTOS!$A$5:$A$1005&lt;&gt;"")*(MOVIMIENTOS!$A$5:$A$1005&lt;=$A537)*MOVIMIENTOS!$E$5:$E$1005)-SUMPRODUCT((MOVIMIENTOS!$B$5:$B$1005="TRASIEGO")*(MOVIMIENTOS!$C$5:$C$1005="A")*(MOVIMIENTOS!$D$5:$D$1005="jabas")*(MOVIMIENTOS!$A$5:$A$1005&lt;&gt;"")*(MOVIMIENTOS!$A$5:$A$1005&lt;=$A537)*MOVIMIENTOS!$E$5:$E$1005)-SUMPRODUCT((MOVIMIENTOS!$B$5:$B$1005="REGALO")*(MOVIMIENTOS!$C$5:$C$1005="A")*(MOVIMIENTOS!$D$5:$D$1005="jabas")*(MOVIMIENTOS!$A$5:$A$1005&lt;&gt;"")*(MOVIMIENTOS!$A$5:$A$1005&lt;=$A537)*MOVIMIENTOS!$E$5:$E$1005)-SUMPRODUCT((MOVIMIENTOS!$B$5:$B$1005="VENTA")*(MOVIMIENTOS!$C$5:$C$1005="A")*(MOVIMIENTOS!$D$5:$D$1005="jabas")*(MOVIMIENTOS!$A$5:$A$1005&lt;&gt;"")*(MOVIMIENTOS!$A$5:$A$1005&lt;=$A537)*MOVIMIENTOS!$E$5:$E$1005)+SUMPRODUCT((MOVIMIENTOS!$B$5:$B$1005="AJUSTE")*(MOVIMIENTOS!$C$5:$C$1005="A")*(MOVIMIENTOS!$D$5:$D$1005="jabas")*(MOVIMIENTOS!$A$5:$A$1005&lt;&gt;"")*(MOVIMIENTOS!$A$5:$A$1005&lt;=$A537)*MOVIMIENTOS!$E$5:$E$1005))</f>
        <v/>
      </c>
      <c r="C537" t="str">
        <f>IF($A537="","",SUMPRODUCT((MOVIMIENTOS!$B$5:$B$1005="SALDO INICIAL")*(MOVIMIENTOS!$C$5:$C$1005="P")*(MOVIMIENTOS!$D$5:$D$1005="jabas")*(MOVIMIENTOS!$A$5:$A$1005&lt;&gt;"")*(MOVIMIENTOS!$A$5:$A$1005&lt;=$A537)*MOVIMIENTOS!$E$5:$E$1005)+SUMPRODUCT((MOVIMIENTOS!$B$5:$B$1005="PROCESO")*(MOVIMIENTOS!$C$5:$C$1005="P")*(MOVIMIENTOS!$D$5:$D$1005="jabas")*(MOVIMIENTOS!$A$5:$A$1005&lt;&gt;"")*(MOVIMIENTOS!$A$5:$A$1005&lt;=$A537)*MOVIMIENTOS!$E$5:$E$1005)-SUMPRODUCT((MOVIMIENTOS!$B$5:$B$1005="ENVÍO A SUPESA")*(MOVIMIENTOS!$C$5:$C$1005="P")*(MOVIMIENTOS!$D$5:$D$1005="jabas")*(MOVIMIENTOS!$A$5:$A$1005&lt;&gt;"")*(MOVIMIENTOS!$A$5:$A$1005&lt;=$A537)*MOVIMIENTOS!$E$5:$E$1005)+SUMPRODUCT((MOVIMIENTOS!$B$5:$B$1005="DEVOLUCIÓN")*(MOVIMIENTOS!$C$5:$C$1005="P")*(MOVIMIENTOS!$D$5:$D$1005="jabas")*(MOVIMIENTOS!$A$5:$A$1005&lt;&gt;"")*(MOVIMIENTOS!$A$5:$A$1005&lt;=$A537)*MOVIMIENTOS!$E$5:$E$1005)-SUMPRODUCT((MOVIMIENTOS!$B$5:$B$1005="TRASIEGO")*(MOVIMIENTOS!$C$5:$C$1005="P")*(MOVIMIENTOS!$D$5:$D$1005="jabas")*(MOVIMIENTOS!$A$5:$A$1005&lt;&gt;"")*(MOVIMIENTOS!$A$5:$A$1005&lt;=$A537)*MOVIMIENTOS!$E$5:$E$1005)-SUMPRODUCT((MOVIMIENTOS!$B$5:$B$1005="REGALO")*(MOVIMIENTOS!$C$5:$C$1005="P")*(MOVIMIENTOS!$D$5:$D$1005="jabas")*(MOVIMIENTOS!$A$5:$A$1005&lt;&gt;"")*(MOVIMIENTOS!$A$5:$A$1005&lt;=$A537)*MOVIMIENTOS!$E$5:$E$1005)-SUMPRODUCT((MOVIMIENTOS!$B$5:$B$1005="VENTA")*(MOVIMIENTOS!$C$5:$C$1005="P")*(MOVIMIENTOS!$D$5:$D$1005="jabas")*(MOVIMIENTOS!$A$5:$A$1005&lt;&gt;"")*(MOVIMIENTOS!$A$5:$A$1005&lt;=$A537)*MOVIMIENTOS!$E$5:$E$1005)+SUMPRODUCT((MOVIMIENTOS!$B$5:$B$1005="AJUSTE")*(MOVIMIENTOS!$C$5:$C$1005="P")*(MOVIMIENTOS!$D$5:$D$1005="jabas")*(MOVIMIENTOS!$A$5:$A$1005&lt;&gt;"")*(MOVIMIENTOS!$A$5:$A$1005&lt;=$A537)*MOVIMIENTOS!$E$5:$E$1005))</f>
        <v/>
      </c>
      <c r="D537" t="str">
        <f>IF($A537="","",SUMPRODUCT((MOVIMIENTOS!$B$5:$B$1005="SALDO INICIAL")*(MOVIMIENTOS!$C$5:$C$1005="C")*(MOVIMIENTOS!$D$5:$D$1005="jabas")*(MOVIMIENTOS!$A$5:$A$1005&lt;&gt;"")*(MOVIMIENTOS!$A$5:$A$1005&lt;=$A537)*MOVIMIENTOS!$E$5:$E$1005)+SUMPRODUCT((MOVIMIENTOS!$B$5:$B$1005="PROCESO")*(MOVIMIENTOS!$C$5:$C$1005="C")*(MOVIMIENTOS!$D$5:$D$1005="jabas")*(MOVIMIENTOS!$A$5:$A$1005&lt;&gt;"")*(MOVIMIENTOS!$A$5:$A$1005&lt;=$A537)*MOVIMIENTOS!$E$5:$E$1005)-SUMPRODUCT((MOVIMIENTOS!$B$5:$B$1005="ENVÍO A SUPESA")*(MOVIMIENTOS!$C$5:$C$1005="C")*(MOVIMIENTOS!$D$5:$D$1005="jabas")*(MOVIMIENTOS!$A$5:$A$1005&lt;&gt;"")*(MOVIMIENTOS!$A$5:$A$1005&lt;=$A537)*MOVIMIENTOS!$E$5:$E$1005)+SUMPRODUCT((MOVIMIENTOS!$B$5:$B$1005="DEVOLUCIÓN")*(MOVIMIENTOS!$C$5:$C$1005="C")*(MOVIMIENTOS!$D$5:$D$1005="jabas")*(MOVIMIENTOS!$A$5:$A$1005&lt;&gt;"")*(MOVIMIENTOS!$A$5:$A$1005&lt;=$A537)*MOVIMIENTOS!$E$5:$E$1005)-SUMPRODUCT((MOVIMIENTOS!$B$5:$B$1005="TRASIEGO")*(MOVIMIENTOS!$C$5:$C$1005="C")*(MOVIMIENTOS!$D$5:$D$1005="jabas")*(MOVIMIENTOS!$A$5:$A$1005&lt;&gt;"")*(MOVIMIENTOS!$A$5:$A$1005&lt;=$A537)*MOVIMIENTOS!$E$5:$E$1005)-SUMPRODUCT((MOVIMIENTOS!$B$5:$B$1005="REGALO")*(MOVIMIENTOS!$C$5:$C$1005="C")*(MOVIMIENTOS!$D$5:$D$1005="jabas")*(MOVIMIENTOS!$A$5:$A$1005&lt;&gt;"")*(MOVIMIENTOS!$A$5:$A$1005&lt;=$A537)*MOVIMIENTOS!$E$5:$E$1005)-SUMPRODUCT((MOVIMIENTOS!$B$5:$B$1005="VENTA")*(MOVIMIENTOS!$C$5:$C$1005="C")*(MOVIMIENTOS!$D$5:$D$1005="jabas")*(MOVIMIENTOS!$A$5:$A$1005&lt;&gt;"")*(MOVIMIENTOS!$A$5:$A$1005&lt;=$A537)*MOVIMIENTOS!$E$5:$E$1005)+SUMPRODUCT((MOVIMIENTOS!$B$5:$B$1005="AJUSTE")*(MOVIMIENTOS!$C$5:$C$1005="C")*(MOVIMIENTOS!$D$5:$D$1005="jabas")*(MOVIMIENTOS!$A$5:$A$1005&lt;&gt;"")*(MOVIMIENTOS!$A$5:$A$1005&lt;=$A537)*MOVIMIENTOS!$E$5:$E$1005))</f>
        <v/>
      </c>
      <c r="E537" t="str">
        <f>IF($A537="","",SUMPRODUCT((MOVIMIENTOS!$B$5:$B$1005="SALDO INICIAL")*(MOVIMIENTOS!$C$5:$C$1005="M")*(MOVIMIENTOS!$D$5:$D$1005="jabas")*(MOVIMIENTOS!$A$5:$A$1005&lt;&gt;"")*(MOVIMIENTOS!$A$5:$A$1005&lt;=$A537)*MOVIMIENTOS!$E$5:$E$1005)+SUMPRODUCT((MOVIMIENTOS!$B$5:$B$1005="PROCESO")*(MOVIMIENTOS!$C$5:$C$1005="M")*(MOVIMIENTOS!$D$5:$D$1005="jabas")*(MOVIMIENTOS!$A$5:$A$1005&lt;&gt;"")*(MOVIMIENTOS!$A$5:$A$1005&lt;=$A537)*MOVIMIENTOS!$E$5:$E$1005)-SUMPRODUCT((MOVIMIENTOS!$B$5:$B$1005="ENVÍO A SUPESA")*(MOVIMIENTOS!$C$5:$C$1005="M")*(MOVIMIENTOS!$D$5:$D$1005="jabas")*(MOVIMIENTOS!$A$5:$A$1005&lt;&gt;"")*(MOVIMIENTOS!$A$5:$A$1005&lt;=$A537)*MOVIMIENTOS!$E$5:$E$1005)+SUMPRODUCT((MOVIMIENTOS!$B$5:$B$1005="DEVOLUCIÓN")*(MOVIMIENTOS!$C$5:$C$1005="M")*(MOVIMIENTOS!$D$5:$D$1005="jabas")*(MOVIMIENTOS!$A$5:$A$1005&lt;&gt;"")*(MOVIMIENTOS!$A$5:$A$1005&lt;=$A537)*MOVIMIENTOS!$E$5:$E$1005)-SUMPRODUCT((MOVIMIENTOS!$B$5:$B$1005="TRASIEGO")*(MOVIMIENTOS!$C$5:$C$1005="M")*(MOVIMIENTOS!$D$5:$D$1005="jabas")*(MOVIMIENTOS!$A$5:$A$1005&lt;&gt;"")*(MOVIMIENTOS!$A$5:$A$1005&lt;=$A537)*MOVIMIENTOS!$E$5:$E$1005)-SUMPRODUCT((MOVIMIENTOS!$B$5:$B$1005="REGALO")*(MOVIMIENTOS!$C$5:$C$1005="M")*(MOVIMIENTOS!$D$5:$D$1005="jabas")*(MOVIMIENTOS!$A$5:$A$1005&lt;&gt;"")*(MOVIMIENTOS!$A$5:$A$1005&lt;=$A537)*MOVIMIENTOS!$E$5:$E$1005)-SUMPRODUCT((MOVIMIENTOS!$B$5:$B$1005="VENTA")*(MOVIMIENTOS!$C$5:$C$1005="M")*(MOVIMIENTOS!$D$5:$D$1005="jabas")*(MOVIMIENTOS!$A$5:$A$1005&lt;&gt;"")*(MOVIMIENTOS!$A$5:$A$1005&lt;=$A537)*MOVIMIENTOS!$E$5:$E$1005)+SUMPRODUCT((MOVIMIENTOS!$B$5:$B$1005="AJUSTE")*(MOVIMIENTOS!$C$5:$C$1005="M")*(MOVIMIENTOS!$D$5:$D$1005="jabas")*(MOVIMIENTOS!$A$5:$A$1005&lt;&gt;"")*(MOVIMIENTOS!$A$5:$A$1005&lt;=$A537)*MOVIMIENTOS!$E$5:$E$1005))</f>
        <v/>
      </c>
      <c r="F537" s="62" t="str">
        <f>IF($A537="","",SUMPRODUCT((MOVIMIENTOS!$B$5:$B$1005="SALDO INICIAL")*(MOVIMIENTOS!$C$5:$C$1005="Chancho")*(MOVIMIENTOS!$D$5:$D$1005="sacos")*(MOVIMIENTOS!$A$5:$A$1005&lt;&gt;"")*(MOVIMIENTOS!$A$5:$A$1005&lt;=$A537)*MOVIMIENTOS!$E$5:$E$1005)+SUMPRODUCT((MOVIMIENTOS!$B$5:$B$1005="PROCESO")*(MOVIMIENTOS!$C$5:$C$1005="Chancho")*(MOVIMIENTOS!$D$5:$D$1005="sacos")*(MOVIMIENTOS!$A$5:$A$1005&lt;&gt;"")*(MOVIMIENTOS!$A$5:$A$1005&lt;=$A537)*MOVIMIENTOS!$E$5:$E$1005)-SUMPRODUCT((MOVIMIENTOS!$B$5:$B$1005="VENTA CHANCHO")*(MOVIMIENTOS!$C$5:$C$1005="Chancho")*(MOVIMIENTOS!$D$5:$D$1005="sacos")*(MOVIMIENTOS!$A$5:$A$1005&lt;&gt;"")*(MOVIMIENTOS!$A$5:$A$1005&lt;=$A537)*MOVIMIENTOS!$E$5:$E$1005)-SUMPRODUCT((MOVIMIENTOS!$B$5:$B$1005="REGALO")*(MOVIMIENTOS!$C$5:$C$1005="Chancho")*(MOVIMIENTOS!$D$5:$D$1005="sacos")*(MOVIMIENTOS!$A$5:$A$1005&lt;&gt;"")*(MOVIMIENTOS!$A$5:$A$1005&lt;=$A537)*MOVIMIENTOS!$E$5:$E$1005)-SUMPRODUCT((MOVIMIENTOS!$B$5:$B$1005="VENTA")*(MOVIMIENTOS!$C$5:$C$1005="Chancho")*(MOVIMIENTOS!$D$5:$D$1005="sacos")*(MOVIMIENTOS!$A$5:$A$1005&lt;&gt;"")*(MOVIMIENTOS!$A$5:$A$1005&lt;=$A537)*MOVIMIENTOS!$E$5:$E$1005)+SUMPRODUCT((MOVIMIENTOS!$B$5:$B$1005="AJUSTE")*(MOVIMIENTOS!$C$5:$C$1005="Chancho")*(MOVIMIENTOS!$D$5:$D$1005="sacos")*(MOVIMIENTOS!$A$5:$A$1005&lt;&gt;"")*(MOVIMIENTOS!$A$5:$A$1005&lt;=$A537)*MOVIMIENTOS!$E$5:$E$1005))</f>
        <v/>
      </c>
      <c r="G537" s="62" t="str">
        <f t="shared" si="17"/>
        <v/>
      </c>
      <c r="H537" t="str">
        <f>IF($A537="","",SUMPRODUCT((((MOVIMIENTOS!$B$5:$B$1005="SALDO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537)*MOVIMIENTOS!$J$5:$J$1005))</f>
        <v/>
      </c>
      <c r="J537" t="str">
        <f>IF(AND(MOVIMIENTOS!$A542&lt;&gt;"",COUNTIF(MOVIMIENTOS!$A$5:$A541,MOVIMIENTOS!$A542)=0),COUNT(J$4:J536)+1,"")</f>
        <v/>
      </c>
      <c r="K537">
        <f>MOVIMIENTOS!$A542</f>
        <v>0</v>
      </c>
    </row>
    <row r="538" spans="1:11" ht="15" customHeight="1" x14ac:dyDescent="0.2">
      <c r="A538" t="str">
        <f t="shared" si="16"/>
        <v/>
      </c>
      <c r="B538" t="str">
        <f>IF($A538="","",SUMPRODUCT((MOVIMIENTOS!$B$5:$B$1005="SALDO INICIAL")*(MOVIMIENTOS!$C$5:$C$1005="A")*(MOVIMIENTOS!$D$5:$D$1005="jabas")*(MOVIMIENTOS!$A$5:$A$1005&lt;&gt;"")*(MOVIMIENTOS!$A$5:$A$1005&lt;=$A538)*MOVIMIENTOS!$E$5:$E$1005)+SUMPRODUCT((MOVIMIENTOS!$B$5:$B$1005="PROCESO")*(MOVIMIENTOS!$C$5:$C$1005="A")*(MOVIMIENTOS!$D$5:$D$1005="jabas")*(MOVIMIENTOS!$A$5:$A$1005&lt;&gt;"")*(MOVIMIENTOS!$A$5:$A$1005&lt;=$A538)*MOVIMIENTOS!$E$5:$E$1005)-SUMPRODUCT((MOVIMIENTOS!$B$5:$B$1005="ENVÍO A SUPESA")*(MOVIMIENTOS!$C$5:$C$1005="A")*(MOVIMIENTOS!$D$5:$D$1005="jabas")*(MOVIMIENTOS!$A$5:$A$1005&lt;&gt;"")*(MOVIMIENTOS!$A$5:$A$1005&lt;=$A538)*MOVIMIENTOS!$E$5:$E$1005)+SUMPRODUCT((MOVIMIENTOS!$B$5:$B$1005="DEVOLUCIÓN")*(MOVIMIENTOS!$C$5:$C$1005="A")*(MOVIMIENTOS!$D$5:$D$1005="jabas")*(MOVIMIENTOS!$A$5:$A$1005&lt;&gt;"")*(MOVIMIENTOS!$A$5:$A$1005&lt;=$A538)*MOVIMIENTOS!$E$5:$E$1005)-SUMPRODUCT((MOVIMIENTOS!$B$5:$B$1005="TRASIEGO")*(MOVIMIENTOS!$C$5:$C$1005="A")*(MOVIMIENTOS!$D$5:$D$1005="jabas")*(MOVIMIENTOS!$A$5:$A$1005&lt;&gt;"")*(MOVIMIENTOS!$A$5:$A$1005&lt;=$A538)*MOVIMIENTOS!$E$5:$E$1005)-SUMPRODUCT((MOVIMIENTOS!$B$5:$B$1005="REGALO")*(MOVIMIENTOS!$C$5:$C$1005="A")*(MOVIMIENTOS!$D$5:$D$1005="jabas")*(MOVIMIENTOS!$A$5:$A$1005&lt;&gt;"")*(MOVIMIENTOS!$A$5:$A$1005&lt;=$A538)*MOVIMIENTOS!$E$5:$E$1005)-SUMPRODUCT((MOVIMIENTOS!$B$5:$B$1005="VENTA")*(MOVIMIENTOS!$C$5:$C$1005="A")*(MOVIMIENTOS!$D$5:$D$1005="jabas")*(MOVIMIENTOS!$A$5:$A$1005&lt;&gt;"")*(MOVIMIENTOS!$A$5:$A$1005&lt;=$A538)*MOVIMIENTOS!$E$5:$E$1005)+SUMPRODUCT((MOVIMIENTOS!$B$5:$B$1005="AJUSTE")*(MOVIMIENTOS!$C$5:$C$1005="A")*(MOVIMIENTOS!$D$5:$D$1005="jabas")*(MOVIMIENTOS!$A$5:$A$1005&lt;&gt;"")*(MOVIMIENTOS!$A$5:$A$1005&lt;=$A538)*MOVIMIENTOS!$E$5:$E$1005))</f>
        <v/>
      </c>
      <c r="C538" t="str">
        <f>IF($A538="","",SUMPRODUCT((MOVIMIENTOS!$B$5:$B$1005="SALDO INICIAL")*(MOVIMIENTOS!$C$5:$C$1005="P")*(MOVIMIENTOS!$D$5:$D$1005="jabas")*(MOVIMIENTOS!$A$5:$A$1005&lt;&gt;"")*(MOVIMIENTOS!$A$5:$A$1005&lt;=$A538)*MOVIMIENTOS!$E$5:$E$1005)+SUMPRODUCT((MOVIMIENTOS!$B$5:$B$1005="PROCESO")*(MOVIMIENTOS!$C$5:$C$1005="P")*(MOVIMIENTOS!$D$5:$D$1005="jabas")*(MOVIMIENTOS!$A$5:$A$1005&lt;&gt;"")*(MOVIMIENTOS!$A$5:$A$1005&lt;=$A538)*MOVIMIENTOS!$E$5:$E$1005)-SUMPRODUCT((MOVIMIENTOS!$B$5:$B$1005="ENVÍO A SUPESA")*(MOVIMIENTOS!$C$5:$C$1005="P")*(MOVIMIENTOS!$D$5:$D$1005="jabas")*(MOVIMIENTOS!$A$5:$A$1005&lt;&gt;"")*(MOVIMIENTOS!$A$5:$A$1005&lt;=$A538)*MOVIMIENTOS!$E$5:$E$1005)+SUMPRODUCT((MOVIMIENTOS!$B$5:$B$1005="DEVOLUCIÓN")*(MOVIMIENTOS!$C$5:$C$1005="P")*(MOVIMIENTOS!$D$5:$D$1005="jabas")*(MOVIMIENTOS!$A$5:$A$1005&lt;&gt;"")*(MOVIMIENTOS!$A$5:$A$1005&lt;=$A538)*MOVIMIENTOS!$E$5:$E$1005)-SUMPRODUCT((MOVIMIENTOS!$B$5:$B$1005="TRASIEGO")*(MOVIMIENTOS!$C$5:$C$1005="P")*(MOVIMIENTOS!$D$5:$D$1005="jabas")*(MOVIMIENTOS!$A$5:$A$1005&lt;&gt;"")*(MOVIMIENTOS!$A$5:$A$1005&lt;=$A538)*MOVIMIENTOS!$E$5:$E$1005)-SUMPRODUCT((MOVIMIENTOS!$B$5:$B$1005="REGALO")*(MOVIMIENTOS!$C$5:$C$1005="P")*(MOVIMIENTOS!$D$5:$D$1005="jabas")*(MOVIMIENTOS!$A$5:$A$1005&lt;&gt;"")*(MOVIMIENTOS!$A$5:$A$1005&lt;=$A538)*MOVIMIENTOS!$E$5:$E$1005)-SUMPRODUCT((MOVIMIENTOS!$B$5:$B$1005="VENTA")*(MOVIMIENTOS!$C$5:$C$1005="P")*(MOVIMIENTOS!$D$5:$D$1005="jabas")*(MOVIMIENTOS!$A$5:$A$1005&lt;&gt;"")*(MOVIMIENTOS!$A$5:$A$1005&lt;=$A538)*MOVIMIENTOS!$E$5:$E$1005)+SUMPRODUCT((MOVIMIENTOS!$B$5:$B$1005="AJUSTE")*(MOVIMIENTOS!$C$5:$C$1005="P")*(MOVIMIENTOS!$D$5:$D$1005="jabas")*(MOVIMIENTOS!$A$5:$A$1005&lt;&gt;"")*(MOVIMIENTOS!$A$5:$A$1005&lt;=$A538)*MOVIMIENTOS!$E$5:$E$1005))</f>
        <v/>
      </c>
      <c r="D538" t="str">
        <f>IF($A538="","",SUMPRODUCT((MOVIMIENTOS!$B$5:$B$1005="SALDO INICIAL")*(MOVIMIENTOS!$C$5:$C$1005="C")*(MOVIMIENTOS!$D$5:$D$1005="jabas")*(MOVIMIENTOS!$A$5:$A$1005&lt;&gt;"")*(MOVIMIENTOS!$A$5:$A$1005&lt;=$A538)*MOVIMIENTOS!$E$5:$E$1005)+SUMPRODUCT((MOVIMIENTOS!$B$5:$B$1005="PROCESO")*(MOVIMIENTOS!$C$5:$C$1005="C")*(MOVIMIENTOS!$D$5:$D$1005="jabas")*(MOVIMIENTOS!$A$5:$A$1005&lt;&gt;"")*(MOVIMIENTOS!$A$5:$A$1005&lt;=$A538)*MOVIMIENTOS!$E$5:$E$1005)-SUMPRODUCT((MOVIMIENTOS!$B$5:$B$1005="ENVÍO A SUPESA")*(MOVIMIENTOS!$C$5:$C$1005="C")*(MOVIMIENTOS!$D$5:$D$1005="jabas")*(MOVIMIENTOS!$A$5:$A$1005&lt;&gt;"")*(MOVIMIENTOS!$A$5:$A$1005&lt;=$A538)*MOVIMIENTOS!$E$5:$E$1005)+SUMPRODUCT((MOVIMIENTOS!$B$5:$B$1005="DEVOLUCIÓN")*(MOVIMIENTOS!$C$5:$C$1005="C")*(MOVIMIENTOS!$D$5:$D$1005="jabas")*(MOVIMIENTOS!$A$5:$A$1005&lt;&gt;"")*(MOVIMIENTOS!$A$5:$A$1005&lt;=$A538)*MOVIMIENTOS!$E$5:$E$1005)-SUMPRODUCT((MOVIMIENTOS!$B$5:$B$1005="TRASIEGO")*(MOVIMIENTOS!$C$5:$C$1005="C")*(MOVIMIENTOS!$D$5:$D$1005="jabas")*(MOVIMIENTOS!$A$5:$A$1005&lt;&gt;"")*(MOVIMIENTOS!$A$5:$A$1005&lt;=$A538)*MOVIMIENTOS!$E$5:$E$1005)-SUMPRODUCT((MOVIMIENTOS!$B$5:$B$1005="REGALO")*(MOVIMIENTOS!$C$5:$C$1005="C")*(MOVIMIENTOS!$D$5:$D$1005="jabas")*(MOVIMIENTOS!$A$5:$A$1005&lt;&gt;"")*(MOVIMIENTOS!$A$5:$A$1005&lt;=$A538)*MOVIMIENTOS!$E$5:$E$1005)-SUMPRODUCT((MOVIMIENTOS!$B$5:$B$1005="VENTA")*(MOVIMIENTOS!$C$5:$C$1005="C")*(MOVIMIENTOS!$D$5:$D$1005="jabas")*(MOVIMIENTOS!$A$5:$A$1005&lt;&gt;"")*(MOVIMIENTOS!$A$5:$A$1005&lt;=$A538)*MOVIMIENTOS!$E$5:$E$1005)+SUMPRODUCT((MOVIMIENTOS!$B$5:$B$1005="AJUSTE")*(MOVIMIENTOS!$C$5:$C$1005="C")*(MOVIMIENTOS!$D$5:$D$1005="jabas")*(MOVIMIENTOS!$A$5:$A$1005&lt;&gt;"")*(MOVIMIENTOS!$A$5:$A$1005&lt;=$A538)*MOVIMIENTOS!$E$5:$E$1005))</f>
        <v/>
      </c>
      <c r="E538" t="str">
        <f>IF($A538="","",SUMPRODUCT((MOVIMIENTOS!$B$5:$B$1005="SALDO INICIAL")*(MOVIMIENTOS!$C$5:$C$1005="M")*(MOVIMIENTOS!$D$5:$D$1005="jabas")*(MOVIMIENTOS!$A$5:$A$1005&lt;&gt;"")*(MOVIMIENTOS!$A$5:$A$1005&lt;=$A538)*MOVIMIENTOS!$E$5:$E$1005)+SUMPRODUCT((MOVIMIENTOS!$B$5:$B$1005="PROCESO")*(MOVIMIENTOS!$C$5:$C$1005="M")*(MOVIMIENTOS!$D$5:$D$1005="jabas")*(MOVIMIENTOS!$A$5:$A$1005&lt;&gt;"")*(MOVIMIENTOS!$A$5:$A$1005&lt;=$A538)*MOVIMIENTOS!$E$5:$E$1005)-SUMPRODUCT((MOVIMIENTOS!$B$5:$B$1005="ENVÍO A SUPESA")*(MOVIMIENTOS!$C$5:$C$1005="M")*(MOVIMIENTOS!$D$5:$D$1005="jabas")*(MOVIMIENTOS!$A$5:$A$1005&lt;&gt;"")*(MOVIMIENTOS!$A$5:$A$1005&lt;=$A538)*MOVIMIENTOS!$E$5:$E$1005)+SUMPRODUCT((MOVIMIENTOS!$B$5:$B$1005="DEVOLUCIÓN")*(MOVIMIENTOS!$C$5:$C$1005="M")*(MOVIMIENTOS!$D$5:$D$1005="jabas")*(MOVIMIENTOS!$A$5:$A$1005&lt;&gt;"")*(MOVIMIENTOS!$A$5:$A$1005&lt;=$A538)*MOVIMIENTOS!$E$5:$E$1005)-SUMPRODUCT((MOVIMIENTOS!$B$5:$B$1005="TRASIEGO")*(MOVIMIENTOS!$C$5:$C$1005="M")*(MOVIMIENTOS!$D$5:$D$1005="jabas")*(MOVIMIENTOS!$A$5:$A$1005&lt;&gt;"")*(MOVIMIENTOS!$A$5:$A$1005&lt;=$A538)*MOVIMIENTOS!$E$5:$E$1005)-SUMPRODUCT((MOVIMIENTOS!$B$5:$B$1005="REGALO")*(MOVIMIENTOS!$C$5:$C$1005="M")*(MOVIMIENTOS!$D$5:$D$1005="jabas")*(MOVIMIENTOS!$A$5:$A$1005&lt;&gt;"")*(MOVIMIENTOS!$A$5:$A$1005&lt;=$A538)*MOVIMIENTOS!$E$5:$E$1005)-SUMPRODUCT((MOVIMIENTOS!$B$5:$B$1005="VENTA")*(MOVIMIENTOS!$C$5:$C$1005="M")*(MOVIMIENTOS!$D$5:$D$1005="jabas")*(MOVIMIENTOS!$A$5:$A$1005&lt;&gt;"")*(MOVIMIENTOS!$A$5:$A$1005&lt;=$A538)*MOVIMIENTOS!$E$5:$E$1005)+SUMPRODUCT((MOVIMIENTOS!$B$5:$B$1005="AJUSTE")*(MOVIMIENTOS!$C$5:$C$1005="M")*(MOVIMIENTOS!$D$5:$D$1005="jabas")*(MOVIMIENTOS!$A$5:$A$1005&lt;&gt;"")*(MOVIMIENTOS!$A$5:$A$1005&lt;=$A538)*MOVIMIENTOS!$E$5:$E$1005))</f>
        <v/>
      </c>
      <c r="F538" s="62" t="str">
        <f>IF($A538="","",SUMPRODUCT((MOVIMIENTOS!$B$5:$B$1005="SALDO INICIAL")*(MOVIMIENTOS!$C$5:$C$1005="Chancho")*(MOVIMIENTOS!$D$5:$D$1005="sacos")*(MOVIMIENTOS!$A$5:$A$1005&lt;&gt;"")*(MOVIMIENTOS!$A$5:$A$1005&lt;=$A538)*MOVIMIENTOS!$E$5:$E$1005)+SUMPRODUCT((MOVIMIENTOS!$B$5:$B$1005="PROCESO")*(MOVIMIENTOS!$C$5:$C$1005="Chancho")*(MOVIMIENTOS!$D$5:$D$1005="sacos")*(MOVIMIENTOS!$A$5:$A$1005&lt;&gt;"")*(MOVIMIENTOS!$A$5:$A$1005&lt;=$A538)*MOVIMIENTOS!$E$5:$E$1005)-SUMPRODUCT((MOVIMIENTOS!$B$5:$B$1005="VENTA CHANCHO")*(MOVIMIENTOS!$C$5:$C$1005="Chancho")*(MOVIMIENTOS!$D$5:$D$1005="sacos")*(MOVIMIENTOS!$A$5:$A$1005&lt;&gt;"")*(MOVIMIENTOS!$A$5:$A$1005&lt;=$A538)*MOVIMIENTOS!$E$5:$E$1005)-SUMPRODUCT((MOVIMIENTOS!$B$5:$B$1005="REGALO")*(MOVIMIENTOS!$C$5:$C$1005="Chancho")*(MOVIMIENTOS!$D$5:$D$1005="sacos")*(MOVIMIENTOS!$A$5:$A$1005&lt;&gt;"")*(MOVIMIENTOS!$A$5:$A$1005&lt;=$A538)*MOVIMIENTOS!$E$5:$E$1005)-SUMPRODUCT((MOVIMIENTOS!$B$5:$B$1005="VENTA")*(MOVIMIENTOS!$C$5:$C$1005="Chancho")*(MOVIMIENTOS!$D$5:$D$1005="sacos")*(MOVIMIENTOS!$A$5:$A$1005&lt;&gt;"")*(MOVIMIENTOS!$A$5:$A$1005&lt;=$A538)*MOVIMIENTOS!$E$5:$E$1005)+SUMPRODUCT((MOVIMIENTOS!$B$5:$B$1005="AJUSTE")*(MOVIMIENTOS!$C$5:$C$1005="Chancho")*(MOVIMIENTOS!$D$5:$D$1005="sacos")*(MOVIMIENTOS!$A$5:$A$1005&lt;&gt;"")*(MOVIMIENTOS!$A$5:$A$1005&lt;=$A538)*MOVIMIENTOS!$E$5:$E$1005))</f>
        <v/>
      </c>
      <c r="G538" s="62" t="str">
        <f t="shared" si="17"/>
        <v/>
      </c>
      <c r="H538" t="str">
        <f>IF($A538="","",SUMPRODUCT((((MOVIMIENTOS!$B$5:$B$1005="SALDO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538)*MOVIMIENTOS!$J$5:$J$1005))</f>
        <v/>
      </c>
      <c r="J538" t="str">
        <f>IF(AND(MOVIMIENTOS!$A543&lt;&gt;"",COUNTIF(MOVIMIENTOS!$A$5:$A542,MOVIMIENTOS!$A543)=0),COUNT(J$4:J537)+1,"")</f>
        <v/>
      </c>
      <c r="K538">
        <f>MOVIMIENTOS!$A543</f>
        <v>0</v>
      </c>
    </row>
    <row r="539" spans="1:11" ht="15" customHeight="1" x14ac:dyDescent="0.2">
      <c r="A539" t="str">
        <f t="shared" si="16"/>
        <v/>
      </c>
      <c r="B539" t="str">
        <f>IF($A539="","",SUMPRODUCT((MOVIMIENTOS!$B$5:$B$1005="SALDO INICIAL")*(MOVIMIENTOS!$C$5:$C$1005="A")*(MOVIMIENTOS!$D$5:$D$1005="jabas")*(MOVIMIENTOS!$A$5:$A$1005&lt;&gt;"")*(MOVIMIENTOS!$A$5:$A$1005&lt;=$A539)*MOVIMIENTOS!$E$5:$E$1005)+SUMPRODUCT((MOVIMIENTOS!$B$5:$B$1005="PROCESO")*(MOVIMIENTOS!$C$5:$C$1005="A")*(MOVIMIENTOS!$D$5:$D$1005="jabas")*(MOVIMIENTOS!$A$5:$A$1005&lt;&gt;"")*(MOVIMIENTOS!$A$5:$A$1005&lt;=$A539)*MOVIMIENTOS!$E$5:$E$1005)-SUMPRODUCT((MOVIMIENTOS!$B$5:$B$1005="ENVÍO A SUPESA")*(MOVIMIENTOS!$C$5:$C$1005="A")*(MOVIMIENTOS!$D$5:$D$1005="jabas")*(MOVIMIENTOS!$A$5:$A$1005&lt;&gt;"")*(MOVIMIENTOS!$A$5:$A$1005&lt;=$A539)*MOVIMIENTOS!$E$5:$E$1005)+SUMPRODUCT((MOVIMIENTOS!$B$5:$B$1005="DEVOLUCIÓN")*(MOVIMIENTOS!$C$5:$C$1005="A")*(MOVIMIENTOS!$D$5:$D$1005="jabas")*(MOVIMIENTOS!$A$5:$A$1005&lt;&gt;"")*(MOVIMIENTOS!$A$5:$A$1005&lt;=$A539)*MOVIMIENTOS!$E$5:$E$1005)-SUMPRODUCT((MOVIMIENTOS!$B$5:$B$1005="TRASIEGO")*(MOVIMIENTOS!$C$5:$C$1005="A")*(MOVIMIENTOS!$D$5:$D$1005="jabas")*(MOVIMIENTOS!$A$5:$A$1005&lt;&gt;"")*(MOVIMIENTOS!$A$5:$A$1005&lt;=$A539)*MOVIMIENTOS!$E$5:$E$1005)-SUMPRODUCT((MOVIMIENTOS!$B$5:$B$1005="REGALO")*(MOVIMIENTOS!$C$5:$C$1005="A")*(MOVIMIENTOS!$D$5:$D$1005="jabas")*(MOVIMIENTOS!$A$5:$A$1005&lt;&gt;"")*(MOVIMIENTOS!$A$5:$A$1005&lt;=$A539)*MOVIMIENTOS!$E$5:$E$1005)-SUMPRODUCT((MOVIMIENTOS!$B$5:$B$1005="VENTA")*(MOVIMIENTOS!$C$5:$C$1005="A")*(MOVIMIENTOS!$D$5:$D$1005="jabas")*(MOVIMIENTOS!$A$5:$A$1005&lt;&gt;"")*(MOVIMIENTOS!$A$5:$A$1005&lt;=$A539)*MOVIMIENTOS!$E$5:$E$1005)+SUMPRODUCT((MOVIMIENTOS!$B$5:$B$1005="AJUSTE")*(MOVIMIENTOS!$C$5:$C$1005="A")*(MOVIMIENTOS!$D$5:$D$1005="jabas")*(MOVIMIENTOS!$A$5:$A$1005&lt;&gt;"")*(MOVIMIENTOS!$A$5:$A$1005&lt;=$A539)*MOVIMIENTOS!$E$5:$E$1005))</f>
        <v/>
      </c>
      <c r="C539" t="str">
        <f>IF($A539="","",SUMPRODUCT((MOVIMIENTOS!$B$5:$B$1005="SALDO INICIAL")*(MOVIMIENTOS!$C$5:$C$1005="P")*(MOVIMIENTOS!$D$5:$D$1005="jabas")*(MOVIMIENTOS!$A$5:$A$1005&lt;&gt;"")*(MOVIMIENTOS!$A$5:$A$1005&lt;=$A539)*MOVIMIENTOS!$E$5:$E$1005)+SUMPRODUCT((MOVIMIENTOS!$B$5:$B$1005="PROCESO")*(MOVIMIENTOS!$C$5:$C$1005="P")*(MOVIMIENTOS!$D$5:$D$1005="jabas")*(MOVIMIENTOS!$A$5:$A$1005&lt;&gt;"")*(MOVIMIENTOS!$A$5:$A$1005&lt;=$A539)*MOVIMIENTOS!$E$5:$E$1005)-SUMPRODUCT((MOVIMIENTOS!$B$5:$B$1005="ENVÍO A SUPESA")*(MOVIMIENTOS!$C$5:$C$1005="P")*(MOVIMIENTOS!$D$5:$D$1005="jabas")*(MOVIMIENTOS!$A$5:$A$1005&lt;&gt;"")*(MOVIMIENTOS!$A$5:$A$1005&lt;=$A539)*MOVIMIENTOS!$E$5:$E$1005)+SUMPRODUCT((MOVIMIENTOS!$B$5:$B$1005="DEVOLUCIÓN")*(MOVIMIENTOS!$C$5:$C$1005="P")*(MOVIMIENTOS!$D$5:$D$1005="jabas")*(MOVIMIENTOS!$A$5:$A$1005&lt;&gt;"")*(MOVIMIENTOS!$A$5:$A$1005&lt;=$A539)*MOVIMIENTOS!$E$5:$E$1005)-SUMPRODUCT((MOVIMIENTOS!$B$5:$B$1005="TRASIEGO")*(MOVIMIENTOS!$C$5:$C$1005="P")*(MOVIMIENTOS!$D$5:$D$1005="jabas")*(MOVIMIENTOS!$A$5:$A$1005&lt;&gt;"")*(MOVIMIENTOS!$A$5:$A$1005&lt;=$A539)*MOVIMIENTOS!$E$5:$E$1005)-SUMPRODUCT((MOVIMIENTOS!$B$5:$B$1005="REGALO")*(MOVIMIENTOS!$C$5:$C$1005="P")*(MOVIMIENTOS!$D$5:$D$1005="jabas")*(MOVIMIENTOS!$A$5:$A$1005&lt;&gt;"")*(MOVIMIENTOS!$A$5:$A$1005&lt;=$A539)*MOVIMIENTOS!$E$5:$E$1005)-SUMPRODUCT((MOVIMIENTOS!$B$5:$B$1005="VENTA")*(MOVIMIENTOS!$C$5:$C$1005="P")*(MOVIMIENTOS!$D$5:$D$1005="jabas")*(MOVIMIENTOS!$A$5:$A$1005&lt;&gt;"")*(MOVIMIENTOS!$A$5:$A$1005&lt;=$A539)*MOVIMIENTOS!$E$5:$E$1005)+SUMPRODUCT((MOVIMIENTOS!$B$5:$B$1005="AJUSTE")*(MOVIMIENTOS!$C$5:$C$1005="P")*(MOVIMIENTOS!$D$5:$D$1005="jabas")*(MOVIMIENTOS!$A$5:$A$1005&lt;&gt;"")*(MOVIMIENTOS!$A$5:$A$1005&lt;=$A539)*MOVIMIENTOS!$E$5:$E$1005))</f>
        <v/>
      </c>
      <c r="D539" t="str">
        <f>IF($A539="","",SUMPRODUCT((MOVIMIENTOS!$B$5:$B$1005="SALDO INICIAL")*(MOVIMIENTOS!$C$5:$C$1005="C")*(MOVIMIENTOS!$D$5:$D$1005="jabas")*(MOVIMIENTOS!$A$5:$A$1005&lt;&gt;"")*(MOVIMIENTOS!$A$5:$A$1005&lt;=$A539)*MOVIMIENTOS!$E$5:$E$1005)+SUMPRODUCT((MOVIMIENTOS!$B$5:$B$1005="PROCESO")*(MOVIMIENTOS!$C$5:$C$1005="C")*(MOVIMIENTOS!$D$5:$D$1005="jabas")*(MOVIMIENTOS!$A$5:$A$1005&lt;&gt;"")*(MOVIMIENTOS!$A$5:$A$1005&lt;=$A539)*MOVIMIENTOS!$E$5:$E$1005)-SUMPRODUCT((MOVIMIENTOS!$B$5:$B$1005="ENVÍO A SUPESA")*(MOVIMIENTOS!$C$5:$C$1005="C")*(MOVIMIENTOS!$D$5:$D$1005="jabas")*(MOVIMIENTOS!$A$5:$A$1005&lt;&gt;"")*(MOVIMIENTOS!$A$5:$A$1005&lt;=$A539)*MOVIMIENTOS!$E$5:$E$1005)+SUMPRODUCT((MOVIMIENTOS!$B$5:$B$1005="DEVOLUCIÓN")*(MOVIMIENTOS!$C$5:$C$1005="C")*(MOVIMIENTOS!$D$5:$D$1005="jabas")*(MOVIMIENTOS!$A$5:$A$1005&lt;&gt;"")*(MOVIMIENTOS!$A$5:$A$1005&lt;=$A539)*MOVIMIENTOS!$E$5:$E$1005)-SUMPRODUCT((MOVIMIENTOS!$B$5:$B$1005="TRASIEGO")*(MOVIMIENTOS!$C$5:$C$1005="C")*(MOVIMIENTOS!$D$5:$D$1005="jabas")*(MOVIMIENTOS!$A$5:$A$1005&lt;&gt;"")*(MOVIMIENTOS!$A$5:$A$1005&lt;=$A539)*MOVIMIENTOS!$E$5:$E$1005)-SUMPRODUCT((MOVIMIENTOS!$B$5:$B$1005="REGALO")*(MOVIMIENTOS!$C$5:$C$1005="C")*(MOVIMIENTOS!$D$5:$D$1005="jabas")*(MOVIMIENTOS!$A$5:$A$1005&lt;&gt;"")*(MOVIMIENTOS!$A$5:$A$1005&lt;=$A539)*MOVIMIENTOS!$E$5:$E$1005)-SUMPRODUCT((MOVIMIENTOS!$B$5:$B$1005="VENTA")*(MOVIMIENTOS!$C$5:$C$1005="C")*(MOVIMIENTOS!$D$5:$D$1005="jabas")*(MOVIMIENTOS!$A$5:$A$1005&lt;&gt;"")*(MOVIMIENTOS!$A$5:$A$1005&lt;=$A539)*MOVIMIENTOS!$E$5:$E$1005)+SUMPRODUCT((MOVIMIENTOS!$B$5:$B$1005="AJUSTE")*(MOVIMIENTOS!$C$5:$C$1005="C")*(MOVIMIENTOS!$D$5:$D$1005="jabas")*(MOVIMIENTOS!$A$5:$A$1005&lt;&gt;"")*(MOVIMIENTOS!$A$5:$A$1005&lt;=$A539)*MOVIMIENTOS!$E$5:$E$1005))</f>
        <v/>
      </c>
      <c r="E539" t="str">
        <f>IF($A539="","",SUMPRODUCT((MOVIMIENTOS!$B$5:$B$1005="SALDO INICIAL")*(MOVIMIENTOS!$C$5:$C$1005="M")*(MOVIMIENTOS!$D$5:$D$1005="jabas")*(MOVIMIENTOS!$A$5:$A$1005&lt;&gt;"")*(MOVIMIENTOS!$A$5:$A$1005&lt;=$A539)*MOVIMIENTOS!$E$5:$E$1005)+SUMPRODUCT((MOVIMIENTOS!$B$5:$B$1005="PROCESO")*(MOVIMIENTOS!$C$5:$C$1005="M")*(MOVIMIENTOS!$D$5:$D$1005="jabas")*(MOVIMIENTOS!$A$5:$A$1005&lt;&gt;"")*(MOVIMIENTOS!$A$5:$A$1005&lt;=$A539)*MOVIMIENTOS!$E$5:$E$1005)-SUMPRODUCT((MOVIMIENTOS!$B$5:$B$1005="ENVÍO A SUPESA")*(MOVIMIENTOS!$C$5:$C$1005="M")*(MOVIMIENTOS!$D$5:$D$1005="jabas")*(MOVIMIENTOS!$A$5:$A$1005&lt;&gt;"")*(MOVIMIENTOS!$A$5:$A$1005&lt;=$A539)*MOVIMIENTOS!$E$5:$E$1005)+SUMPRODUCT((MOVIMIENTOS!$B$5:$B$1005="DEVOLUCIÓN")*(MOVIMIENTOS!$C$5:$C$1005="M")*(MOVIMIENTOS!$D$5:$D$1005="jabas")*(MOVIMIENTOS!$A$5:$A$1005&lt;&gt;"")*(MOVIMIENTOS!$A$5:$A$1005&lt;=$A539)*MOVIMIENTOS!$E$5:$E$1005)-SUMPRODUCT((MOVIMIENTOS!$B$5:$B$1005="TRASIEGO")*(MOVIMIENTOS!$C$5:$C$1005="M")*(MOVIMIENTOS!$D$5:$D$1005="jabas")*(MOVIMIENTOS!$A$5:$A$1005&lt;&gt;"")*(MOVIMIENTOS!$A$5:$A$1005&lt;=$A539)*MOVIMIENTOS!$E$5:$E$1005)-SUMPRODUCT((MOVIMIENTOS!$B$5:$B$1005="REGALO")*(MOVIMIENTOS!$C$5:$C$1005="M")*(MOVIMIENTOS!$D$5:$D$1005="jabas")*(MOVIMIENTOS!$A$5:$A$1005&lt;&gt;"")*(MOVIMIENTOS!$A$5:$A$1005&lt;=$A539)*MOVIMIENTOS!$E$5:$E$1005)-SUMPRODUCT((MOVIMIENTOS!$B$5:$B$1005="VENTA")*(MOVIMIENTOS!$C$5:$C$1005="M")*(MOVIMIENTOS!$D$5:$D$1005="jabas")*(MOVIMIENTOS!$A$5:$A$1005&lt;&gt;"")*(MOVIMIENTOS!$A$5:$A$1005&lt;=$A539)*MOVIMIENTOS!$E$5:$E$1005)+SUMPRODUCT((MOVIMIENTOS!$B$5:$B$1005="AJUSTE")*(MOVIMIENTOS!$C$5:$C$1005="M")*(MOVIMIENTOS!$D$5:$D$1005="jabas")*(MOVIMIENTOS!$A$5:$A$1005&lt;&gt;"")*(MOVIMIENTOS!$A$5:$A$1005&lt;=$A539)*MOVIMIENTOS!$E$5:$E$1005))</f>
        <v/>
      </c>
      <c r="F539" s="62" t="str">
        <f>IF($A539="","",SUMPRODUCT((MOVIMIENTOS!$B$5:$B$1005="SALDO INICIAL")*(MOVIMIENTOS!$C$5:$C$1005="Chancho")*(MOVIMIENTOS!$D$5:$D$1005="sacos")*(MOVIMIENTOS!$A$5:$A$1005&lt;&gt;"")*(MOVIMIENTOS!$A$5:$A$1005&lt;=$A539)*MOVIMIENTOS!$E$5:$E$1005)+SUMPRODUCT((MOVIMIENTOS!$B$5:$B$1005="PROCESO")*(MOVIMIENTOS!$C$5:$C$1005="Chancho")*(MOVIMIENTOS!$D$5:$D$1005="sacos")*(MOVIMIENTOS!$A$5:$A$1005&lt;&gt;"")*(MOVIMIENTOS!$A$5:$A$1005&lt;=$A539)*MOVIMIENTOS!$E$5:$E$1005)-SUMPRODUCT((MOVIMIENTOS!$B$5:$B$1005="VENTA CHANCHO")*(MOVIMIENTOS!$C$5:$C$1005="Chancho")*(MOVIMIENTOS!$D$5:$D$1005="sacos")*(MOVIMIENTOS!$A$5:$A$1005&lt;&gt;"")*(MOVIMIENTOS!$A$5:$A$1005&lt;=$A539)*MOVIMIENTOS!$E$5:$E$1005)-SUMPRODUCT((MOVIMIENTOS!$B$5:$B$1005="REGALO")*(MOVIMIENTOS!$C$5:$C$1005="Chancho")*(MOVIMIENTOS!$D$5:$D$1005="sacos")*(MOVIMIENTOS!$A$5:$A$1005&lt;&gt;"")*(MOVIMIENTOS!$A$5:$A$1005&lt;=$A539)*MOVIMIENTOS!$E$5:$E$1005)-SUMPRODUCT((MOVIMIENTOS!$B$5:$B$1005="VENTA")*(MOVIMIENTOS!$C$5:$C$1005="Chancho")*(MOVIMIENTOS!$D$5:$D$1005="sacos")*(MOVIMIENTOS!$A$5:$A$1005&lt;&gt;"")*(MOVIMIENTOS!$A$5:$A$1005&lt;=$A539)*MOVIMIENTOS!$E$5:$E$1005)+SUMPRODUCT((MOVIMIENTOS!$B$5:$B$1005="AJUSTE")*(MOVIMIENTOS!$C$5:$C$1005="Chancho")*(MOVIMIENTOS!$D$5:$D$1005="sacos")*(MOVIMIENTOS!$A$5:$A$1005&lt;&gt;"")*(MOVIMIENTOS!$A$5:$A$1005&lt;=$A539)*MOVIMIENTOS!$E$5:$E$1005))</f>
        <v/>
      </c>
      <c r="G539" s="62" t="str">
        <f t="shared" si="17"/>
        <v/>
      </c>
      <c r="H539" t="str">
        <f>IF($A539="","",SUMPRODUCT((((MOVIMIENTOS!$B$5:$B$1005="SALDO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539)*MOVIMIENTOS!$J$5:$J$1005))</f>
        <v/>
      </c>
      <c r="J539" t="str">
        <f>IF(AND(MOVIMIENTOS!$A544&lt;&gt;"",COUNTIF(MOVIMIENTOS!$A$5:$A543,MOVIMIENTOS!$A544)=0),COUNT(J$4:J538)+1,"")</f>
        <v/>
      </c>
      <c r="K539">
        <f>MOVIMIENTOS!$A544</f>
        <v>0</v>
      </c>
    </row>
    <row r="540" spans="1:11" ht="15" customHeight="1" x14ac:dyDescent="0.2">
      <c r="A540" t="str">
        <f t="shared" si="16"/>
        <v/>
      </c>
      <c r="B540" t="str">
        <f>IF($A540="","",SUMPRODUCT((MOVIMIENTOS!$B$5:$B$1005="SALDO INICIAL")*(MOVIMIENTOS!$C$5:$C$1005="A")*(MOVIMIENTOS!$D$5:$D$1005="jabas")*(MOVIMIENTOS!$A$5:$A$1005&lt;&gt;"")*(MOVIMIENTOS!$A$5:$A$1005&lt;=$A540)*MOVIMIENTOS!$E$5:$E$1005)+SUMPRODUCT((MOVIMIENTOS!$B$5:$B$1005="PROCESO")*(MOVIMIENTOS!$C$5:$C$1005="A")*(MOVIMIENTOS!$D$5:$D$1005="jabas")*(MOVIMIENTOS!$A$5:$A$1005&lt;&gt;"")*(MOVIMIENTOS!$A$5:$A$1005&lt;=$A540)*MOVIMIENTOS!$E$5:$E$1005)-SUMPRODUCT((MOVIMIENTOS!$B$5:$B$1005="ENVÍO A SUPESA")*(MOVIMIENTOS!$C$5:$C$1005="A")*(MOVIMIENTOS!$D$5:$D$1005="jabas")*(MOVIMIENTOS!$A$5:$A$1005&lt;&gt;"")*(MOVIMIENTOS!$A$5:$A$1005&lt;=$A540)*MOVIMIENTOS!$E$5:$E$1005)+SUMPRODUCT((MOVIMIENTOS!$B$5:$B$1005="DEVOLUCIÓN")*(MOVIMIENTOS!$C$5:$C$1005="A")*(MOVIMIENTOS!$D$5:$D$1005="jabas")*(MOVIMIENTOS!$A$5:$A$1005&lt;&gt;"")*(MOVIMIENTOS!$A$5:$A$1005&lt;=$A540)*MOVIMIENTOS!$E$5:$E$1005)-SUMPRODUCT((MOVIMIENTOS!$B$5:$B$1005="TRASIEGO")*(MOVIMIENTOS!$C$5:$C$1005="A")*(MOVIMIENTOS!$D$5:$D$1005="jabas")*(MOVIMIENTOS!$A$5:$A$1005&lt;&gt;"")*(MOVIMIENTOS!$A$5:$A$1005&lt;=$A540)*MOVIMIENTOS!$E$5:$E$1005)-SUMPRODUCT((MOVIMIENTOS!$B$5:$B$1005="REGALO")*(MOVIMIENTOS!$C$5:$C$1005="A")*(MOVIMIENTOS!$D$5:$D$1005="jabas")*(MOVIMIENTOS!$A$5:$A$1005&lt;&gt;"")*(MOVIMIENTOS!$A$5:$A$1005&lt;=$A540)*MOVIMIENTOS!$E$5:$E$1005)-SUMPRODUCT((MOVIMIENTOS!$B$5:$B$1005="VENTA")*(MOVIMIENTOS!$C$5:$C$1005="A")*(MOVIMIENTOS!$D$5:$D$1005="jabas")*(MOVIMIENTOS!$A$5:$A$1005&lt;&gt;"")*(MOVIMIENTOS!$A$5:$A$1005&lt;=$A540)*MOVIMIENTOS!$E$5:$E$1005)+SUMPRODUCT((MOVIMIENTOS!$B$5:$B$1005="AJUSTE")*(MOVIMIENTOS!$C$5:$C$1005="A")*(MOVIMIENTOS!$D$5:$D$1005="jabas")*(MOVIMIENTOS!$A$5:$A$1005&lt;&gt;"")*(MOVIMIENTOS!$A$5:$A$1005&lt;=$A540)*MOVIMIENTOS!$E$5:$E$1005))</f>
        <v/>
      </c>
      <c r="C540" t="str">
        <f>IF($A540="","",SUMPRODUCT((MOVIMIENTOS!$B$5:$B$1005="SALDO INICIAL")*(MOVIMIENTOS!$C$5:$C$1005="P")*(MOVIMIENTOS!$D$5:$D$1005="jabas")*(MOVIMIENTOS!$A$5:$A$1005&lt;&gt;"")*(MOVIMIENTOS!$A$5:$A$1005&lt;=$A540)*MOVIMIENTOS!$E$5:$E$1005)+SUMPRODUCT((MOVIMIENTOS!$B$5:$B$1005="PROCESO")*(MOVIMIENTOS!$C$5:$C$1005="P")*(MOVIMIENTOS!$D$5:$D$1005="jabas")*(MOVIMIENTOS!$A$5:$A$1005&lt;&gt;"")*(MOVIMIENTOS!$A$5:$A$1005&lt;=$A540)*MOVIMIENTOS!$E$5:$E$1005)-SUMPRODUCT((MOVIMIENTOS!$B$5:$B$1005="ENVÍO A SUPESA")*(MOVIMIENTOS!$C$5:$C$1005="P")*(MOVIMIENTOS!$D$5:$D$1005="jabas")*(MOVIMIENTOS!$A$5:$A$1005&lt;&gt;"")*(MOVIMIENTOS!$A$5:$A$1005&lt;=$A540)*MOVIMIENTOS!$E$5:$E$1005)+SUMPRODUCT((MOVIMIENTOS!$B$5:$B$1005="DEVOLUCIÓN")*(MOVIMIENTOS!$C$5:$C$1005="P")*(MOVIMIENTOS!$D$5:$D$1005="jabas")*(MOVIMIENTOS!$A$5:$A$1005&lt;&gt;"")*(MOVIMIENTOS!$A$5:$A$1005&lt;=$A540)*MOVIMIENTOS!$E$5:$E$1005)-SUMPRODUCT((MOVIMIENTOS!$B$5:$B$1005="TRASIEGO")*(MOVIMIENTOS!$C$5:$C$1005="P")*(MOVIMIENTOS!$D$5:$D$1005="jabas")*(MOVIMIENTOS!$A$5:$A$1005&lt;&gt;"")*(MOVIMIENTOS!$A$5:$A$1005&lt;=$A540)*MOVIMIENTOS!$E$5:$E$1005)-SUMPRODUCT((MOVIMIENTOS!$B$5:$B$1005="REGALO")*(MOVIMIENTOS!$C$5:$C$1005="P")*(MOVIMIENTOS!$D$5:$D$1005="jabas")*(MOVIMIENTOS!$A$5:$A$1005&lt;&gt;"")*(MOVIMIENTOS!$A$5:$A$1005&lt;=$A540)*MOVIMIENTOS!$E$5:$E$1005)-SUMPRODUCT((MOVIMIENTOS!$B$5:$B$1005="VENTA")*(MOVIMIENTOS!$C$5:$C$1005="P")*(MOVIMIENTOS!$D$5:$D$1005="jabas")*(MOVIMIENTOS!$A$5:$A$1005&lt;&gt;"")*(MOVIMIENTOS!$A$5:$A$1005&lt;=$A540)*MOVIMIENTOS!$E$5:$E$1005)+SUMPRODUCT((MOVIMIENTOS!$B$5:$B$1005="AJUSTE")*(MOVIMIENTOS!$C$5:$C$1005="P")*(MOVIMIENTOS!$D$5:$D$1005="jabas")*(MOVIMIENTOS!$A$5:$A$1005&lt;&gt;"")*(MOVIMIENTOS!$A$5:$A$1005&lt;=$A540)*MOVIMIENTOS!$E$5:$E$1005))</f>
        <v/>
      </c>
      <c r="D540" t="str">
        <f>IF($A540="","",SUMPRODUCT((MOVIMIENTOS!$B$5:$B$1005="SALDO INICIAL")*(MOVIMIENTOS!$C$5:$C$1005="C")*(MOVIMIENTOS!$D$5:$D$1005="jabas")*(MOVIMIENTOS!$A$5:$A$1005&lt;&gt;"")*(MOVIMIENTOS!$A$5:$A$1005&lt;=$A540)*MOVIMIENTOS!$E$5:$E$1005)+SUMPRODUCT((MOVIMIENTOS!$B$5:$B$1005="PROCESO")*(MOVIMIENTOS!$C$5:$C$1005="C")*(MOVIMIENTOS!$D$5:$D$1005="jabas")*(MOVIMIENTOS!$A$5:$A$1005&lt;&gt;"")*(MOVIMIENTOS!$A$5:$A$1005&lt;=$A540)*MOVIMIENTOS!$E$5:$E$1005)-SUMPRODUCT((MOVIMIENTOS!$B$5:$B$1005="ENVÍO A SUPESA")*(MOVIMIENTOS!$C$5:$C$1005="C")*(MOVIMIENTOS!$D$5:$D$1005="jabas")*(MOVIMIENTOS!$A$5:$A$1005&lt;&gt;"")*(MOVIMIENTOS!$A$5:$A$1005&lt;=$A540)*MOVIMIENTOS!$E$5:$E$1005)+SUMPRODUCT((MOVIMIENTOS!$B$5:$B$1005="DEVOLUCIÓN")*(MOVIMIENTOS!$C$5:$C$1005="C")*(MOVIMIENTOS!$D$5:$D$1005="jabas")*(MOVIMIENTOS!$A$5:$A$1005&lt;&gt;"")*(MOVIMIENTOS!$A$5:$A$1005&lt;=$A540)*MOVIMIENTOS!$E$5:$E$1005)-SUMPRODUCT((MOVIMIENTOS!$B$5:$B$1005="TRASIEGO")*(MOVIMIENTOS!$C$5:$C$1005="C")*(MOVIMIENTOS!$D$5:$D$1005="jabas")*(MOVIMIENTOS!$A$5:$A$1005&lt;&gt;"")*(MOVIMIENTOS!$A$5:$A$1005&lt;=$A540)*MOVIMIENTOS!$E$5:$E$1005)-SUMPRODUCT((MOVIMIENTOS!$B$5:$B$1005="REGALO")*(MOVIMIENTOS!$C$5:$C$1005="C")*(MOVIMIENTOS!$D$5:$D$1005="jabas")*(MOVIMIENTOS!$A$5:$A$1005&lt;&gt;"")*(MOVIMIENTOS!$A$5:$A$1005&lt;=$A540)*MOVIMIENTOS!$E$5:$E$1005)-SUMPRODUCT((MOVIMIENTOS!$B$5:$B$1005="VENTA")*(MOVIMIENTOS!$C$5:$C$1005="C")*(MOVIMIENTOS!$D$5:$D$1005="jabas")*(MOVIMIENTOS!$A$5:$A$1005&lt;&gt;"")*(MOVIMIENTOS!$A$5:$A$1005&lt;=$A540)*MOVIMIENTOS!$E$5:$E$1005)+SUMPRODUCT((MOVIMIENTOS!$B$5:$B$1005="AJUSTE")*(MOVIMIENTOS!$C$5:$C$1005="C")*(MOVIMIENTOS!$D$5:$D$1005="jabas")*(MOVIMIENTOS!$A$5:$A$1005&lt;&gt;"")*(MOVIMIENTOS!$A$5:$A$1005&lt;=$A540)*MOVIMIENTOS!$E$5:$E$1005))</f>
        <v/>
      </c>
      <c r="E540" t="str">
        <f>IF($A540="","",SUMPRODUCT((MOVIMIENTOS!$B$5:$B$1005="SALDO INICIAL")*(MOVIMIENTOS!$C$5:$C$1005="M")*(MOVIMIENTOS!$D$5:$D$1005="jabas")*(MOVIMIENTOS!$A$5:$A$1005&lt;&gt;"")*(MOVIMIENTOS!$A$5:$A$1005&lt;=$A540)*MOVIMIENTOS!$E$5:$E$1005)+SUMPRODUCT((MOVIMIENTOS!$B$5:$B$1005="PROCESO")*(MOVIMIENTOS!$C$5:$C$1005="M")*(MOVIMIENTOS!$D$5:$D$1005="jabas")*(MOVIMIENTOS!$A$5:$A$1005&lt;&gt;"")*(MOVIMIENTOS!$A$5:$A$1005&lt;=$A540)*MOVIMIENTOS!$E$5:$E$1005)-SUMPRODUCT((MOVIMIENTOS!$B$5:$B$1005="ENVÍO A SUPESA")*(MOVIMIENTOS!$C$5:$C$1005="M")*(MOVIMIENTOS!$D$5:$D$1005="jabas")*(MOVIMIENTOS!$A$5:$A$1005&lt;&gt;"")*(MOVIMIENTOS!$A$5:$A$1005&lt;=$A540)*MOVIMIENTOS!$E$5:$E$1005)+SUMPRODUCT((MOVIMIENTOS!$B$5:$B$1005="DEVOLUCIÓN")*(MOVIMIENTOS!$C$5:$C$1005="M")*(MOVIMIENTOS!$D$5:$D$1005="jabas")*(MOVIMIENTOS!$A$5:$A$1005&lt;&gt;"")*(MOVIMIENTOS!$A$5:$A$1005&lt;=$A540)*MOVIMIENTOS!$E$5:$E$1005)-SUMPRODUCT((MOVIMIENTOS!$B$5:$B$1005="TRASIEGO")*(MOVIMIENTOS!$C$5:$C$1005="M")*(MOVIMIENTOS!$D$5:$D$1005="jabas")*(MOVIMIENTOS!$A$5:$A$1005&lt;&gt;"")*(MOVIMIENTOS!$A$5:$A$1005&lt;=$A540)*MOVIMIENTOS!$E$5:$E$1005)-SUMPRODUCT((MOVIMIENTOS!$B$5:$B$1005="REGALO")*(MOVIMIENTOS!$C$5:$C$1005="M")*(MOVIMIENTOS!$D$5:$D$1005="jabas")*(MOVIMIENTOS!$A$5:$A$1005&lt;&gt;"")*(MOVIMIENTOS!$A$5:$A$1005&lt;=$A540)*MOVIMIENTOS!$E$5:$E$1005)-SUMPRODUCT((MOVIMIENTOS!$B$5:$B$1005="VENTA")*(MOVIMIENTOS!$C$5:$C$1005="M")*(MOVIMIENTOS!$D$5:$D$1005="jabas")*(MOVIMIENTOS!$A$5:$A$1005&lt;&gt;"")*(MOVIMIENTOS!$A$5:$A$1005&lt;=$A540)*MOVIMIENTOS!$E$5:$E$1005)+SUMPRODUCT((MOVIMIENTOS!$B$5:$B$1005="AJUSTE")*(MOVIMIENTOS!$C$5:$C$1005="M")*(MOVIMIENTOS!$D$5:$D$1005="jabas")*(MOVIMIENTOS!$A$5:$A$1005&lt;&gt;"")*(MOVIMIENTOS!$A$5:$A$1005&lt;=$A540)*MOVIMIENTOS!$E$5:$E$1005))</f>
        <v/>
      </c>
      <c r="F540" s="62" t="str">
        <f>IF($A540="","",SUMPRODUCT((MOVIMIENTOS!$B$5:$B$1005="SALDO INICIAL")*(MOVIMIENTOS!$C$5:$C$1005="Chancho")*(MOVIMIENTOS!$D$5:$D$1005="sacos")*(MOVIMIENTOS!$A$5:$A$1005&lt;&gt;"")*(MOVIMIENTOS!$A$5:$A$1005&lt;=$A540)*MOVIMIENTOS!$E$5:$E$1005)+SUMPRODUCT((MOVIMIENTOS!$B$5:$B$1005="PROCESO")*(MOVIMIENTOS!$C$5:$C$1005="Chancho")*(MOVIMIENTOS!$D$5:$D$1005="sacos")*(MOVIMIENTOS!$A$5:$A$1005&lt;&gt;"")*(MOVIMIENTOS!$A$5:$A$1005&lt;=$A540)*MOVIMIENTOS!$E$5:$E$1005)-SUMPRODUCT((MOVIMIENTOS!$B$5:$B$1005="VENTA CHANCHO")*(MOVIMIENTOS!$C$5:$C$1005="Chancho")*(MOVIMIENTOS!$D$5:$D$1005="sacos")*(MOVIMIENTOS!$A$5:$A$1005&lt;&gt;"")*(MOVIMIENTOS!$A$5:$A$1005&lt;=$A540)*MOVIMIENTOS!$E$5:$E$1005)-SUMPRODUCT((MOVIMIENTOS!$B$5:$B$1005="REGALO")*(MOVIMIENTOS!$C$5:$C$1005="Chancho")*(MOVIMIENTOS!$D$5:$D$1005="sacos")*(MOVIMIENTOS!$A$5:$A$1005&lt;&gt;"")*(MOVIMIENTOS!$A$5:$A$1005&lt;=$A540)*MOVIMIENTOS!$E$5:$E$1005)-SUMPRODUCT((MOVIMIENTOS!$B$5:$B$1005="VENTA")*(MOVIMIENTOS!$C$5:$C$1005="Chancho")*(MOVIMIENTOS!$D$5:$D$1005="sacos")*(MOVIMIENTOS!$A$5:$A$1005&lt;&gt;"")*(MOVIMIENTOS!$A$5:$A$1005&lt;=$A540)*MOVIMIENTOS!$E$5:$E$1005)+SUMPRODUCT((MOVIMIENTOS!$B$5:$B$1005="AJUSTE")*(MOVIMIENTOS!$C$5:$C$1005="Chancho")*(MOVIMIENTOS!$D$5:$D$1005="sacos")*(MOVIMIENTOS!$A$5:$A$1005&lt;&gt;"")*(MOVIMIENTOS!$A$5:$A$1005&lt;=$A540)*MOVIMIENTOS!$E$5:$E$1005))</f>
        <v/>
      </c>
      <c r="G540" s="62" t="str">
        <f t="shared" si="17"/>
        <v/>
      </c>
      <c r="H540" t="str">
        <f>IF($A540="","",SUMPRODUCT((((MOVIMIENTOS!$B$5:$B$1005="SALDO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540)*MOVIMIENTOS!$J$5:$J$1005))</f>
        <v/>
      </c>
      <c r="J540" t="str">
        <f>IF(AND(MOVIMIENTOS!$A545&lt;&gt;"",COUNTIF(MOVIMIENTOS!$A$5:$A544,MOVIMIENTOS!$A545)=0),COUNT(J$4:J539)+1,"")</f>
        <v/>
      </c>
      <c r="K540">
        <f>MOVIMIENTOS!$A545</f>
        <v>0</v>
      </c>
    </row>
    <row r="541" spans="1:11" ht="15" customHeight="1" x14ac:dyDescent="0.2">
      <c r="A541" t="str">
        <f t="shared" si="16"/>
        <v/>
      </c>
      <c r="B541" t="str">
        <f>IF($A541="","",SUMPRODUCT((MOVIMIENTOS!$B$5:$B$1005="SALDO INICIAL")*(MOVIMIENTOS!$C$5:$C$1005="A")*(MOVIMIENTOS!$D$5:$D$1005="jabas")*(MOVIMIENTOS!$A$5:$A$1005&lt;&gt;"")*(MOVIMIENTOS!$A$5:$A$1005&lt;=$A541)*MOVIMIENTOS!$E$5:$E$1005)+SUMPRODUCT((MOVIMIENTOS!$B$5:$B$1005="PROCESO")*(MOVIMIENTOS!$C$5:$C$1005="A")*(MOVIMIENTOS!$D$5:$D$1005="jabas")*(MOVIMIENTOS!$A$5:$A$1005&lt;&gt;"")*(MOVIMIENTOS!$A$5:$A$1005&lt;=$A541)*MOVIMIENTOS!$E$5:$E$1005)-SUMPRODUCT((MOVIMIENTOS!$B$5:$B$1005="ENVÍO A SUPESA")*(MOVIMIENTOS!$C$5:$C$1005="A")*(MOVIMIENTOS!$D$5:$D$1005="jabas")*(MOVIMIENTOS!$A$5:$A$1005&lt;&gt;"")*(MOVIMIENTOS!$A$5:$A$1005&lt;=$A541)*MOVIMIENTOS!$E$5:$E$1005)+SUMPRODUCT((MOVIMIENTOS!$B$5:$B$1005="DEVOLUCIÓN")*(MOVIMIENTOS!$C$5:$C$1005="A")*(MOVIMIENTOS!$D$5:$D$1005="jabas")*(MOVIMIENTOS!$A$5:$A$1005&lt;&gt;"")*(MOVIMIENTOS!$A$5:$A$1005&lt;=$A541)*MOVIMIENTOS!$E$5:$E$1005)-SUMPRODUCT((MOVIMIENTOS!$B$5:$B$1005="TRASIEGO")*(MOVIMIENTOS!$C$5:$C$1005="A")*(MOVIMIENTOS!$D$5:$D$1005="jabas")*(MOVIMIENTOS!$A$5:$A$1005&lt;&gt;"")*(MOVIMIENTOS!$A$5:$A$1005&lt;=$A541)*MOVIMIENTOS!$E$5:$E$1005)-SUMPRODUCT((MOVIMIENTOS!$B$5:$B$1005="REGALO")*(MOVIMIENTOS!$C$5:$C$1005="A")*(MOVIMIENTOS!$D$5:$D$1005="jabas")*(MOVIMIENTOS!$A$5:$A$1005&lt;&gt;"")*(MOVIMIENTOS!$A$5:$A$1005&lt;=$A541)*MOVIMIENTOS!$E$5:$E$1005)-SUMPRODUCT((MOVIMIENTOS!$B$5:$B$1005="VENTA")*(MOVIMIENTOS!$C$5:$C$1005="A")*(MOVIMIENTOS!$D$5:$D$1005="jabas")*(MOVIMIENTOS!$A$5:$A$1005&lt;&gt;"")*(MOVIMIENTOS!$A$5:$A$1005&lt;=$A541)*MOVIMIENTOS!$E$5:$E$1005)+SUMPRODUCT((MOVIMIENTOS!$B$5:$B$1005="AJUSTE")*(MOVIMIENTOS!$C$5:$C$1005="A")*(MOVIMIENTOS!$D$5:$D$1005="jabas")*(MOVIMIENTOS!$A$5:$A$1005&lt;&gt;"")*(MOVIMIENTOS!$A$5:$A$1005&lt;=$A541)*MOVIMIENTOS!$E$5:$E$1005))</f>
        <v/>
      </c>
      <c r="C541" t="str">
        <f>IF($A541="","",SUMPRODUCT((MOVIMIENTOS!$B$5:$B$1005="SALDO INICIAL")*(MOVIMIENTOS!$C$5:$C$1005="P")*(MOVIMIENTOS!$D$5:$D$1005="jabas")*(MOVIMIENTOS!$A$5:$A$1005&lt;&gt;"")*(MOVIMIENTOS!$A$5:$A$1005&lt;=$A541)*MOVIMIENTOS!$E$5:$E$1005)+SUMPRODUCT((MOVIMIENTOS!$B$5:$B$1005="PROCESO")*(MOVIMIENTOS!$C$5:$C$1005="P")*(MOVIMIENTOS!$D$5:$D$1005="jabas")*(MOVIMIENTOS!$A$5:$A$1005&lt;&gt;"")*(MOVIMIENTOS!$A$5:$A$1005&lt;=$A541)*MOVIMIENTOS!$E$5:$E$1005)-SUMPRODUCT((MOVIMIENTOS!$B$5:$B$1005="ENVÍO A SUPESA")*(MOVIMIENTOS!$C$5:$C$1005="P")*(MOVIMIENTOS!$D$5:$D$1005="jabas")*(MOVIMIENTOS!$A$5:$A$1005&lt;&gt;"")*(MOVIMIENTOS!$A$5:$A$1005&lt;=$A541)*MOVIMIENTOS!$E$5:$E$1005)+SUMPRODUCT((MOVIMIENTOS!$B$5:$B$1005="DEVOLUCIÓN")*(MOVIMIENTOS!$C$5:$C$1005="P")*(MOVIMIENTOS!$D$5:$D$1005="jabas")*(MOVIMIENTOS!$A$5:$A$1005&lt;&gt;"")*(MOVIMIENTOS!$A$5:$A$1005&lt;=$A541)*MOVIMIENTOS!$E$5:$E$1005)-SUMPRODUCT((MOVIMIENTOS!$B$5:$B$1005="TRASIEGO")*(MOVIMIENTOS!$C$5:$C$1005="P")*(MOVIMIENTOS!$D$5:$D$1005="jabas")*(MOVIMIENTOS!$A$5:$A$1005&lt;&gt;"")*(MOVIMIENTOS!$A$5:$A$1005&lt;=$A541)*MOVIMIENTOS!$E$5:$E$1005)-SUMPRODUCT((MOVIMIENTOS!$B$5:$B$1005="REGALO")*(MOVIMIENTOS!$C$5:$C$1005="P")*(MOVIMIENTOS!$D$5:$D$1005="jabas")*(MOVIMIENTOS!$A$5:$A$1005&lt;&gt;"")*(MOVIMIENTOS!$A$5:$A$1005&lt;=$A541)*MOVIMIENTOS!$E$5:$E$1005)-SUMPRODUCT((MOVIMIENTOS!$B$5:$B$1005="VENTA")*(MOVIMIENTOS!$C$5:$C$1005="P")*(MOVIMIENTOS!$D$5:$D$1005="jabas")*(MOVIMIENTOS!$A$5:$A$1005&lt;&gt;"")*(MOVIMIENTOS!$A$5:$A$1005&lt;=$A541)*MOVIMIENTOS!$E$5:$E$1005)+SUMPRODUCT((MOVIMIENTOS!$B$5:$B$1005="AJUSTE")*(MOVIMIENTOS!$C$5:$C$1005="P")*(MOVIMIENTOS!$D$5:$D$1005="jabas")*(MOVIMIENTOS!$A$5:$A$1005&lt;&gt;"")*(MOVIMIENTOS!$A$5:$A$1005&lt;=$A541)*MOVIMIENTOS!$E$5:$E$1005))</f>
        <v/>
      </c>
      <c r="D541" t="str">
        <f>IF($A541="","",SUMPRODUCT((MOVIMIENTOS!$B$5:$B$1005="SALDO INICIAL")*(MOVIMIENTOS!$C$5:$C$1005="C")*(MOVIMIENTOS!$D$5:$D$1005="jabas")*(MOVIMIENTOS!$A$5:$A$1005&lt;&gt;"")*(MOVIMIENTOS!$A$5:$A$1005&lt;=$A541)*MOVIMIENTOS!$E$5:$E$1005)+SUMPRODUCT((MOVIMIENTOS!$B$5:$B$1005="PROCESO")*(MOVIMIENTOS!$C$5:$C$1005="C")*(MOVIMIENTOS!$D$5:$D$1005="jabas")*(MOVIMIENTOS!$A$5:$A$1005&lt;&gt;"")*(MOVIMIENTOS!$A$5:$A$1005&lt;=$A541)*MOVIMIENTOS!$E$5:$E$1005)-SUMPRODUCT((MOVIMIENTOS!$B$5:$B$1005="ENVÍO A SUPESA")*(MOVIMIENTOS!$C$5:$C$1005="C")*(MOVIMIENTOS!$D$5:$D$1005="jabas")*(MOVIMIENTOS!$A$5:$A$1005&lt;&gt;"")*(MOVIMIENTOS!$A$5:$A$1005&lt;=$A541)*MOVIMIENTOS!$E$5:$E$1005)+SUMPRODUCT((MOVIMIENTOS!$B$5:$B$1005="DEVOLUCIÓN")*(MOVIMIENTOS!$C$5:$C$1005="C")*(MOVIMIENTOS!$D$5:$D$1005="jabas")*(MOVIMIENTOS!$A$5:$A$1005&lt;&gt;"")*(MOVIMIENTOS!$A$5:$A$1005&lt;=$A541)*MOVIMIENTOS!$E$5:$E$1005)-SUMPRODUCT((MOVIMIENTOS!$B$5:$B$1005="TRASIEGO")*(MOVIMIENTOS!$C$5:$C$1005="C")*(MOVIMIENTOS!$D$5:$D$1005="jabas")*(MOVIMIENTOS!$A$5:$A$1005&lt;&gt;"")*(MOVIMIENTOS!$A$5:$A$1005&lt;=$A541)*MOVIMIENTOS!$E$5:$E$1005)-SUMPRODUCT((MOVIMIENTOS!$B$5:$B$1005="REGALO")*(MOVIMIENTOS!$C$5:$C$1005="C")*(MOVIMIENTOS!$D$5:$D$1005="jabas")*(MOVIMIENTOS!$A$5:$A$1005&lt;&gt;"")*(MOVIMIENTOS!$A$5:$A$1005&lt;=$A541)*MOVIMIENTOS!$E$5:$E$1005)-SUMPRODUCT((MOVIMIENTOS!$B$5:$B$1005="VENTA")*(MOVIMIENTOS!$C$5:$C$1005="C")*(MOVIMIENTOS!$D$5:$D$1005="jabas")*(MOVIMIENTOS!$A$5:$A$1005&lt;&gt;"")*(MOVIMIENTOS!$A$5:$A$1005&lt;=$A541)*MOVIMIENTOS!$E$5:$E$1005)+SUMPRODUCT((MOVIMIENTOS!$B$5:$B$1005="AJUSTE")*(MOVIMIENTOS!$C$5:$C$1005="C")*(MOVIMIENTOS!$D$5:$D$1005="jabas")*(MOVIMIENTOS!$A$5:$A$1005&lt;&gt;"")*(MOVIMIENTOS!$A$5:$A$1005&lt;=$A541)*MOVIMIENTOS!$E$5:$E$1005))</f>
        <v/>
      </c>
      <c r="E541" t="str">
        <f>IF($A541="","",SUMPRODUCT((MOVIMIENTOS!$B$5:$B$1005="SALDO INICIAL")*(MOVIMIENTOS!$C$5:$C$1005="M")*(MOVIMIENTOS!$D$5:$D$1005="jabas")*(MOVIMIENTOS!$A$5:$A$1005&lt;&gt;"")*(MOVIMIENTOS!$A$5:$A$1005&lt;=$A541)*MOVIMIENTOS!$E$5:$E$1005)+SUMPRODUCT((MOVIMIENTOS!$B$5:$B$1005="PROCESO")*(MOVIMIENTOS!$C$5:$C$1005="M")*(MOVIMIENTOS!$D$5:$D$1005="jabas")*(MOVIMIENTOS!$A$5:$A$1005&lt;&gt;"")*(MOVIMIENTOS!$A$5:$A$1005&lt;=$A541)*MOVIMIENTOS!$E$5:$E$1005)-SUMPRODUCT((MOVIMIENTOS!$B$5:$B$1005="ENVÍO A SUPESA")*(MOVIMIENTOS!$C$5:$C$1005="M")*(MOVIMIENTOS!$D$5:$D$1005="jabas")*(MOVIMIENTOS!$A$5:$A$1005&lt;&gt;"")*(MOVIMIENTOS!$A$5:$A$1005&lt;=$A541)*MOVIMIENTOS!$E$5:$E$1005)+SUMPRODUCT((MOVIMIENTOS!$B$5:$B$1005="DEVOLUCIÓN")*(MOVIMIENTOS!$C$5:$C$1005="M")*(MOVIMIENTOS!$D$5:$D$1005="jabas")*(MOVIMIENTOS!$A$5:$A$1005&lt;&gt;"")*(MOVIMIENTOS!$A$5:$A$1005&lt;=$A541)*MOVIMIENTOS!$E$5:$E$1005)-SUMPRODUCT((MOVIMIENTOS!$B$5:$B$1005="TRASIEGO")*(MOVIMIENTOS!$C$5:$C$1005="M")*(MOVIMIENTOS!$D$5:$D$1005="jabas")*(MOVIMIENTOS!$A$5:$A$1005&lt;&gt;"")*(MOVIMIENTOS!$A$5:$A$1005&lt;=$A541)*MOVIMIENTOS!$E$5:$E$1005)-SUMPRODUCT((MOVIMIENTOS!$B$5:$B$1005="REGALO")*(MOVIMIENTOS!$C$5:$C$1005="M")*(MOVIMIENTOS!$D$5:$D$1005="jabas")*(MOVIMIENTOS!$A$5:$A$1005&lt;&gt;"")*(MOVIMIENTOS!$A$5:$A$1005&lt;=$A541)*MOVIMIENTOS!$E$5:$E$1005)-SUMPRODUCT((MOVIMIENTOS!$B$5:$B$1005="VENTA")*(MOVIMIENTOS!$C$5:$C$1005="M")*(MOVIMIENTOS!$D$5:$D$1005="jabas")*(MOVIMIENTOS!$A$5:$A$1005&lt;&gt;"")*(MOVIMIENTOS!$A$5:$A$1005&lt;=$A541)*MOVIMIENTOS!$E$5:$E$1005)+SUMPRODUCT((MOVIMIENTOS!$B$5:$B$1005="AJUSTE")*(MOVIMIENTOS!$C$5:$C$1005="M")*(MOVIMIENTOS!$D$5:$D$1005="jabas")*(MOVIMIENTOS!$A$5:$A$1005&lt;&gt;"")*(MOVIMIENTOS!$A$5:$A$1005&lt;=$A541)*MOVIMIENTOS!$E$5:$E$1005))</f>
        <v/>
      </c>
      <c r="F541" s="62" t="str">
        <f>IF($A541="","",SUMPRODUCT((MOVIMIENTOS!$B$5:$B$1005="SALDO INICIAL")*(MOVIMIENTOS!$C$5:$C$1005="Chancho")*(MOVIMIENTOS!$D$5:$D$1005="sacos")*(MOVIMIENTOS!$A$5:$A$1005&lt;&gt;"")*(MOVIMIENTOS!$A$5:$A$1005&lt;=$A541)*MOVIMIENTOS!$E$5:$E$1005)+SUMPRODUCT((MOVIMIENTOS!$B$5:$B$1005="PROCESO")*(MOVIMIENTOS!$C$5:$C$1005="Chancho")*(MOVIMIENTOS!$D$5:$D$1005="sacos")*(MOVIMIENTOS!$A$5:$A$1005&lt;&gt;"")*(MOVIMIENTOS!$A$5:$A$1005&lt;=$A541)*MOVIMIENTOS!$E$5:$E$1005)-SUMPRODUCT((MOVIMIENTOS!$B$5:$B$1005="VENTA CHANCHO")*(MOVIMIENTOS!$C$5:$C$1005="Chancho")*(MOVIMIENTOS!$D$5:$D$1005="sacos")*(MOVIMIENTOS!$A$5:$A$1005&lt;&gt;"")*(MOVIMIENTOS!$A$5:$A$1005&lt;=$A541)*MOVIMIENTOS!$E$5:$E$1005)-SUMPRODUCT((MOVIMIENTOS!$B$5:$B$1005="REGALO")*(MOVIMIENTOS!$C$5:$C$1005="Chancho")*(MOVIMIENTOS!$D$5:$D$1005="sacos")*(MOVIMIENTOS!$A$5:$A$1005&lt;&gt;"")*(MOVIMIENTOS!$A$5:$A$1005&lt;=$A541)*MOVIMIENTOS!$E$5:$E$1005)-SUMPRODUCT((MOVIMIENTOS!$B$5:$B$1005="VENTA")*(MOVIMIENTOS!$C$5:$C$1005="Chancho")*(MOVIMIENTOS!$D$5:$D$1005="sacos")*(MOVIMIENTOS!$A$5:$A$1005&lt;&gt;"")*(MOVIMIENTOS!$A$5:$A$1005&lt;=$A541)*MOVIMIENTOS!$E$5:$E$1005)+SUMPRODUCT((MOVIMIENTOS!$B$5:$B$1005="AJUSTE")*(MOVIMIENTOS!$C$5:$C$1005="Chancho")*(MOVIMIENTOS!$D$5:$D$1005="sacos")*(MOVIMIENTOS!$A$5:$A$1005&lt;&gt;"")*(MOVIMIENTOS!$A$5:$A$1005&lt;=$A541)*MOVIMIENTOS!$E$5:$E$1005))</f>
        <v/>
      </c>
      <c r="G541" s="62" t="str">
        <f t="shared" si="17"/>
        <v/>
      </c>
      <c r="H541" t="str">
        <f>IF($A541="","",SUMPRODUCT((((MOVIMIENTOS!$B$5:$B$1005="SALDO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541)*MOVIMIENTOS!$J$5:$J$1005))</f>
        <v/>
      </c>
      <c r="J541" t="str">
        <f>IF(AND(MOVIMIENTOS!$A546&lt;&gt;"",COUNTIF(MOVIMIENTOS!$A$5:$A545,MOVIMIENTOS!$A546)=0),COUNT(J$4:J540)+1,"")</f>
        <v/>
      </c>
      <c r="K541">
        <f>MOVIMIENTOS!$A546</f>
        <v>0</v>
      </c>
    </row>
    <row r="542" spans="1:11" ht="15" customHeight="1" x14ac:dyDescent="0.2">
      <c r="A542" t="str">
        <f t="shared" si="16"/>
        <v/>
      </c>
      <c r="B542" t="str">
        <f>IF($A542="","",SUMPRODUCT((MOVIMIENTOS!$B$5:$B$1005="SALDO INICIAL")*(MOVIMIENTOS!$C$5:$C$1005="A")*(MOVIMIENTOS!$D$5:$D$1005="jabas")*(MOVIMIENTOS!$A$5:$A$1005&lt;&gt;"")*(MOVIMIENTOS!$A$5:$A$1005&lt;=$A542)*MOVIMIENTOS!$E$5:$E$1005)+SUMPRODUCT((MOVIMIENTOS!$B$5:$B$1005="PROCESO")*(MOVIMIENTOS!$C$5:$C$1005="A")*(MOVIMIENTOS!$D$5:$D$1005="jabas")*(MOVIMIENTOS!$A$5:$A$1005&lt;&gt;"")*(MOVIMIENTOS!$A$5:$A$1005&lt;=$A542)*MOVIMIENTOS!$E$5:$E$1005)-SUMPRODUCT((MOVIMIENTOS!$B$5:$B$1005="ENVÍO A SUPESA")*(MOVIMIENTOS!$C$5:$C$1005="A")*(MOVIMIENTOS!$D$5:$D$1005="jabas")*(MOVIMIENTOS!$A$5:$A$1005&lt;&gt;"")*(MOVIMIENTOS!$A$5:$A$1005&lt;=$A542)*MOVIMIENTOS!$E$5:$E$1005)+SUMPRODUCT((MOVIMIENTOS!$B$5:$B$1005="DEVOLUCIÓN")*(MOVIMIENTOS!$C$5:$C$1005="A")*(MOVIMIENTOS!$D$5:$D$1005="jabas")*(MOVIMIENTOS!$A$5:$A$1005&lt;&gt;"")*(MOVIMIENTOS!$A$5:$A$1005&lt;=$A542)*MOVIMIENTOS!$E$5:$E$1005)-SUMPRODUCT((MOVIMIENTOS!$B$5:$B$1005="TRASIEGO")*(MOVIMIENTOS!$C$5:$C$1005="A")*(MOVIMIENTOS!$D$5:$D$1005="jabas")*(MOVIMIENTOS!$A$5:$A$1005&lt;&gt;"")*(MOVIMIENTOS!$A$5:$A$1005&lt;=$A542)*MOVIMIENTOS!$E$5:$E$1005)-SUMPRODUCT((MOVIMIENTOS!$B$5:$B$1005="REGALO")*(MOVIMIENTOS!$C$5:$C$1005="A")*(MOVIMIENTOS!$D$5:$D$1005="jabas")*(MOVIMIENTOS!$A$5:$A$1005&lt;&gt;"")*(MOVIMIENTOS!$A$5:$A$1005&lt;=$A542)*MOVIMIENTOS!$E$5:$E$1005)-SUMPRODUCT((MOVIMIENTOS!$B$5:$B$1005="VENTA")*(MOVIMIENTOS!$C$5:$C$1005="A")*(MOVIMIENTOS!$D$5:$D$1005="jabas")*(MOVIMIENTOS!$A$5:$A$1005&lt;&gt;"")*(MOVIMIENTOS!$A$5:$A$1005&lt;=$A542)*MOVIMIENTOS!$E$5:$E$1005)+SUMPRODUCT((MOVIMIENTOS!$B$5:$B$1005="AJUSTE")*(MOVIMIENTOS!$C$5:$C$1005="A")*(MOVIMIENTOS!$D$5:$D$1005="jabas")*(MOVIMIENTOS!$A$5:$A$1005&lt;&gt;"")*(MOVIMIENTOS!$A$5:$A$1005&lt;=$A542)*MOVIMIENTOS!$E$5:$E$1005))</f>
        <v/>
      </c>
      <c r="C542" t="str">
        <f>IF($A542="","",SUMPRODUCT((MOVIMIENTOS!$B$5:$B$1005="SALDO INICIAL")*(MOVIMIENTOS!$C$5:$C$1005="P")*(MOVIMIENTOS!$D$5:$D$1005="jabas")*(MOVIMIENTOS!$A$5:$A$1005&lt;&gt;"")*(MOVIMIENTOS!$A$5:$A$1005&lt;=$A542)*MOVIMIENTOS!$E$5:$E$1005)+SUMPRODUCT((MOVIMIENTOS!$B$5:$B$1005="PROCESO")*(MOVIMIENTOS!$C$5:$C$1005="P")*(MOVIMIENTOS!$D$5:$D$1005="jabas")*(MOVIMIENTOS!$A$5:$A$1005&lt;&gt;"")*(MOVIMIENTOS!$A$5:$A$1005&lt;=$A542)*MOVIMIENTOS!$E$5:$E$1005)-SUMPRODUCT((MOVIMIENTOS!$B$5:$B$1005="ENVÍO A SUPESA")*(MOVIMIENTOS!$C$5:$C$1005="P")*(MOVIMIENTOS!$D$5:$D$1005="jabas")*(MOVIMIENTOS!$A$5:$A$1005&lt;&gt;"")*(MOVIMIENTOS!$A$5:$A$1005&lt;=$A542)*MOVIMIENTOS!$E$5:$E$1005)+SUMPRODUCT((MOVIMIENTOS!$B$5:$B$1005="DEVOLUCIÓN")*(MOVIMIENTOS!$C$5:$C$1005="P")*(MOVIMIENTOS!$D$5:$D$1005="jabas")*(MOVIMIENTOS!$A$5:$A$1005&lt;&gt;"")*(MOVIMIENTOS!$A$5:$A$1005&lt;=$A542)*MOVIMIENTOS!$E$5:$E$1005)-SUMPRODUCT((MOVIMIENTOS!$B$5:$B$1005="TRASIEGO")*(MOVIMIENTOS!$C$5:$C$1005="P")*(MOVIMIENTOS!$D$5:$D$1005="jabas")*(MOVIMIENTOS!$A$5:$A$1005&lt;&gt;"")*(MOVIMIENTOS!$A$5:$A$1005&lt;=$A542)*MOVIMIENTOS!$E$5:$E$1005)-SUMPRODUCT((MOVIMIENTOS!$B$5:$B$1005="REGALO")*(MOVIMIENTOS!$C$5:$C$1005="P")*(MOVIMIENTOS!$D$5:$D$1005="jabas")*(MOVIMIENTOS!$A$5:$A$1005&lt;&gt;"")*(MOVIMIENTOS!$A$5:$A$1005&lt;=$A542)*MOVIMIENTOS!$E$5:$E$1005)-SUMPRODUCT((MOVIMIENTOS!$B$5:$B$1005="VENTA")*(MOVIMIENTOS!$C$5:$C$1005="P")*(MOVIMIENTOS!$D$5:$D$1005="jabas")*(MOVIMIENTOS!$A$5:$A$1005&lt;&gt;"")*(MOVIMIENTOS!$A$5:$A$1005&lt;=$A542)*MOVIMIENTOS!$E$5:$E$1005)+SUMPRODUCT((MOVIMIENTOS!$B$5:$B$1005="AJUSTE")*(MOVIMIENTOS!$C$5:$C$1005="P")*(MOVIMIENTOS!$D$5:$D$1005="jabas")*(MOVIMIENTOS!$A$5:$A$1005&lt;&gt;"")*(MOVIMIENTOS!$A$5:$A$1005&lt;=$A542)*MOVIMIENTOS!$E$5:$E$1005))</f>
        <v/>
      </c>
      <c r="D542" t="str">
        <f>IF($A542="","",SUMPRODUCT((MOVIMIENTOS!$B$5:$B$1005="SALDO INICIAL")*(MOVIMIENTOS!$C$5:$C$1005="C")*(MOVIMIENTOS!$D$5:$D$1005="jabas")*(MOVIMIENTOS!$A$5:$A$1005&lt;&gt;"")*(MOVIMIENTOS!$A$5:$A$1005&lt;=$A542)*MOVIMIENTOS!$E$5:$E$1005)+SUMPRODUCT((MOVIMIENTOS!$B$5:$B$1005="PROCESO")*(MOVIMIENTOS!$C$5:$C$1005="C")*(MOVIMIENTOS!$D$5:$D$1005="jabas")*(MOVIMIENTOS!$A$5:$A$1005&lt;&gt;"")*(MOVIMIENTOS!$A$5:$A$1005&lt;=$A542)*MOVIMIENTOS!$E$5:$E$1005)-SUMPRODUCT((MOVIMIENTOS!$B$5:$B$1005="ENVÍO A SUPESA")*(MOVIMIENTOS!$C$5:$C$1005="C")*(MOVIMIENTOS!$D$5:$D$1005="jabas")*(MOVIMIENTOS!$A$5:$A$1005&lt;&gt;"")*(MOVIMIENTOS!$A$5:$A$1005&lt;=$A542)*MOVIMIENTOS!$E$5:$E$1005)+SUMPRODUCT((MOVIMIENTOS!$B$5:$B$1005="DEVOLUCIÓN")*(MOVIMIENTOS!$C$5:$C$1005="C")*(MOVIMIENTOS!$D$5:$D$1005="jabas")*(MOVIMIENTOS!$A$5:$A$1005&lt;&gt;"")*(MOVIMIENTOS!$A$5:$A$1005&lt;=$A542)*MOVIMIENTOS!$E$5:$E$1005)-SUMPRODUCT((MOVIMIENTOS!$B$5:$B$1005="TRASIEGO")*(MOVIMIENTOS!$C$5:$C$1005="C")*(MOVIMIENTOS!$D$5:$D$1005="jabas")*(MOVIMIENTOS!$A$5:$A$1005&lt;&gt;"")*(MOVIMIENTOS!$A$5:$A$1005&lt;=$A542)*MOVIMIENTOS!$E$5:$E$1005)-SUMPRODUCT((MOVIMIENTOS!$B$5:$B$1005="REGALO")*(MOVIMIENTOS!$C$5:$C$1005="C")*(MOVIMIENTOS!$D$5:$D$1005="jabas")*(MOVIMIENTOS!$A$5:$A$1005&lt;&gt;"")*(MOVIMIENTOS!$A$5:$A$1005&lt;=$A542)*MOVIMIENTOS!$E$5:$E$1005)-SUMPRODUCT((MOVIMIENTOS!$B$5:$B$1005="VENTA")*(MOVIMIENTOS!$C$5:$C$1005="C")*(MOVIMIENTOS!$D$5:$D$1005="jabas")*(MOVIMIENTOS!$A$5:$A$1005&lt;&gt;"")*(MOVIMIENTOS!$A$5:$A$1005&lt;=$A542)*MOVIMIENTOS!$E$5:$E$1005)+SUMPRODUCT((MOVIMIENTOS!$B$5:$B$1005="AJUSTE")*(MOVIMIENTOS!$C$5:$C$1005="C")*(MOVIMIENTOS!$D$5:$D$1005="jabas")*(MOVIMIENTOS!$A$5:$A$1005&lt;&gt;"")*(MOVIMIENTOS!$A$5:$A$1005&lt;=$A542)*MOVIMIENTOS!$E$5:$E$1005))</f>
        <v/>
      </c>
      <c r="E542" t="str">
        <f>IF($A542="","",SUMPRODUCT((MOVIMIENTOS!$B$5:$B$1005="SALDO INICIAL")*(MOVIMIENTOS!$C$5:$C$1005="M")*(MOVIMIENTOS!$D$5:$D$1005="jabas")*(MOVIMIENTOS!$A$5:$A$1005&lt;&gt;"")*(MOVIMIENTOS!$A$5:$A$1005&lt;=$A542)*MOVIMIENTOS!$E$5:$E$1005)+SUMPRODUCT((MOVIMIENTOS!$B$5:$B$1005="PROCESO")*(MOVIMIENTOS!$C$5:$C$1005="M")*(MOVIMIENTOS!$D$5:$D$1005="jabas")*(MOVIMIENTOS!$A$5:$A$1005&lt;&gt;"")*(MOVIMIENTOS!$A$5:$A$1005&lt;=$A542)*MOVIMIENTOS!$E$5:$E$1005)-SUMPRODUCT((MOVIMIENTOS!$B$5:$B$1005="ENVÍO A SUPESA")*(MOVIMIENTOS!$C$5:$C$1005="M")*(MOVIMIENTOS!$D$5:$D$1005="jabas")*(MOVIMIENTOS!$A$5:$A$1005&lt;&gt;"")*(MOVIMIENTOS!$A$5:$A$1005&lt;=$A542)*MOVIMIENTOS!$E$5:$E$1005)+SUMPRODUCT((MOVIMIENTOS!$B$5:$B$1005="DEVOLUCIÓN")*(MOVIMIENTOS!$C$5:$C$1005="M")*(MOVIMIENTOS!$D$5:$D$1005="jabas")*(MOVIMIENTOS!$A$5:$A$1005&lt;&gt;"")*(MOVIMIENTOS!$A$5:$A$1005&lt;=$A542)*MOVIMIENTOS!$E$5:$E$1005)-SUMPRODUCT((MOVIMIENTOS!$B$5:$B$1005="TRASIEGO")*(MOVIMIENTOS!$C$5:$C$1005="M")*(MOVIMIENTOS!$D$5:$D$1005="jabas")*(MOVIMIENTOS!$A$5:$A$1005&lt;&gt;"")*(MOVIMIENTOS!$A$5:$A$1005&lt;=$A542)*MOVIMIENTOS!$E$5:$E$1005)-SUMPRODUCT((MOVIMIENTOS!$B$5:$B$1005="REGALO")*(MOVIMIENTOS!$C$5:$C$1005="M")*(MOVIMIENTOS!$D$5:$D$1005="jabas")*(MOVIMIENTOS!$A$5:$A$1005&lt;&gt;"")*(MOVIMIENTOS!$A$5:$A$1005&lt;=$A542)*MOVIMIENTOS!$E$5:$E$1005)-SUMPRODUCT((MOVIMIENTOS!$B$5:$B$1005="VENTA")*(MOVIMIENTOS!$C$5:$C$1005="M")*(MOVIMIENTOS!$D$5:$D$1005="jabas")*(MOVIMIENTOS!$A$5:$A$1005&lt;&gt;"")*(MOVIMIENTOS!$A$5:$A$1005&lt;=$A542)*MOVIMIENTOS!$E$5:$E$1005)+SUMPRODUCT((MOVIMIENTOS!$B$5:$B$1005="AJUSTE")*(MOVIMIENTOS!$C$5:$C$1005="M")*(MOVIMIENTOS!$D$5:$D$1005="jabas")*(MOVIMIENTOS!$A$5:$A$1005&lt;&gt;"")*(MOVIMIENTOS!$A$5:$A$1005&lt;=$A542)*MOVIMIENTOS!$E$5:$E$1005))</f>
        <v/>
      </c>
      <c r="F542" s="62" t="str">
        <f>IF($A542="","",SUMPRODUCT((MOVIMIENTOS!$B$5:$B$1005="SALDO INICIAL")*(MOVIMIENTOS!$C$5:$C$1005="Chancho")*(MOVIMIENTOS!$D$5:$D$1005="sacos")*(MOVIMIENTOS!$A$5:$A$1005&lt;&gt;"")*(MOVIMIENTOS!$A$5:$A$1005&lt;=$A542)*MOVIMIENTOS!$E$5:$E$1005)+SUMPRODUCT((MOVIMIENTOS!$B$5:$B$1005="PROCESO")*(MOVIMIENTOS!$C$5:$C$1005="Chancho")*(MOVIMIENTOS!$D$5:$D$1005="sacos")*(MOVIMIENTOS!$A$5:$A$1005&lt;&gt;"")*(MOVIMIENTOS!$A$5:$A$1005&lt;=$A542)*MOVIMIENTOS!$E$5:$E$1005)-SUMPRODUCT((MOVIMIENTOS!$B$5:$B$1005="VENTA CHANCHO")*(MOVIMIENTOS!$C$5:$C$1005="Chancho")*(MOVIMIENTOS!$D$5:$D$1005="sacos")*(MOVIMIENTOS!$A$5:$A$1005&lt;&gt;"")*(MOVIMIENTOS!$A$5:$A$1005&lt;=$A542)*MOVIMIENTOS!$E$5:$E$1005)-SUMPRODUCT((MOVIMIENTOS!$B$5:$B$1005="REGALO")*(MOVIMIENTOS!$C$5:$C$1005="Chancho")*(MOVIMIENTOS!$D$5:$D$1005="sacos")*(MOVIMIENTOS!$A$5:$A$1005&lt;&gt;"")*(MOVIMIENTOS!$A$5:$A$1005&lt;=$A542)*MOVIMIENTOS!$E$5:$E$1005)-SUMPRODUCT((MOVIMIENTOS!$B$5:$B$1005="VENTA")*(MOVIMIENTOS!$C$5:$C$1005="Chancho")*(MOVIMIENTOS!$D$5:$D$1005="sacos")*(MOVIMIENTOS!$A$5:$A$1005&lt;&gt;"")*(MOVIMIENTOS!$A$5:$A$1005&lt;=$A542)*MOVIMIENTOS!$E$5:$E$1005)+SUMPRODUCT((MOVIMIENTOS!$B$5:$B$1005="AJUSTE")*(MOVIMIENTOS!$C$5:$C$1005="Chancho")*(MOVIMIENTOS!$D$5:$D$1005="sacos")*(MOVIMIENTOS!$A$5:$A$1005&lt;&gt;"")*(MOVIMIENTOS!$A$5:$A$1005&lt;=$A542)*MOVIMIENTOS!$E$5:$E$1005))</f>
        <v/>
      </c>
      <c r="G542" s="62" t="str">
        <f t="shared" si="17"/>
        <v/>
      </c>
      <c r="H542" t="str">
        <f>IF($A542="","",SUMPRODUCT((((MOVIMIENTOS!$B$5:$B$1005="SALDO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542)*MOVIMIENTOS!$J$5:$J$1005))</f>
        <v/>
      </c>
      <c r="J542" t="str">
        <f>IF(AND(MOVIMIENTOS!$A547&lt;&gt;"",COUNTIF(MOVIMIENTOS!$A$5:$A546,MOVIMIENTOS!$A547)=0),COUNT(J$4:J541)+1,"")</f>
        <v/>
      </c>
      <c r="K542">
        <f>MOVIMIENTOS!$A547</f>
        <v>0</v>
      </c>
    </row>
    <row r="543" spans="1:11" ht="15" customHeight="1" x14ac:dyDescent="0.2">
      <c r="A543" t="str">
        <f t="shared" si="16"/>
        <v/>
      </c>
      <c r="B543" t="str">
        <f>IF($A543="","",SUMPRODUCT((MOVIMIENTOS!$B$5:$B$1005="SALDO INICIAL")*(MOVIMIENTOS!$C$5:$C$1005="A")*(MOVIMIENTOS!$D$5:$D$1005="jabas")*(MOVIMIENTOS!$A$5:$A$1005&lt;&gt;"")*(MOVIMIENTOS!$A$5:$A$1005&lt;=$A543)*MOVIMIENTOS!$E$5:$E$1005)+SUMPRODUCT((MOVIMIENTOS!$B$5:$B$1005="PROCESO")*(MOVIMIENTOS!$C$5:$C$1005="A")*(MOVIMIENTOS!$D$5:$D$1005="jabas")*(MOVIMIENTOS!$A$5:$A$1005&lt;&gt;"")*(MOVIMIENTOS!$A$5:$A$1005&lt;=$A543)*MOVIMIENTOS!$E$5:$E$1005)-SUMPRODUCT((MOVIMIENTOS!$B$5:$B$1005="ENVÍO A SUPESA")*(MOVIMIENTOS!$C$5:$C$1005="A")*(MOVIMIENTOS!$D$5:$D$1005="jabas")*(MOVIMIENTOS!$A$5:$A$1005&lt;&gt;"")*(MOVIMIENTOS!$A$5:$A$1005&lt;=$A543)*MOVIMIENTOS!$E$5:$E$1005)+SUMPRODUCT((MOVIMIENTOS!$B$5:$B$1005="DEVOLUCIÓN")*(MOVIMIENTOS!$C$5:$C$1005="A")*(MOVIMIENTOS!$D$5:$D$1005="jabas")*(MOVIMIENTOS!$A$5:$A$1005&lt;&gt;"")*(MOVIMIENTOS!$A$5:$A$1005&lt;=$A543)*MOVIMIENTOS!$E$5:$E$1005)-SUMPRODUCT((MOVIMIENTOS!$B$5:$B$1005="TRASIEGO")*(MOVIMIENTOS!$C$5:$C$1005="A")*(MOVIMIENTOS!$D$5:$D$1005="jabas")*(MOVIMIENTOS!$A$5:$A$1005&lt;&gt;"")*(MOVIMIENTOS!$A$5:$A$1005&lt;=$A543)*MOVIMIENTOS!$E$5:$E$1005)-SUMPRODUCT((MOVIMIENTOS!$B$5:$B$1005="REGALO")*(MOVIMIENTOS!$C$5:$C$1005="A")*(MOVIMIENTOS!$D$5:$D$1005="jabas")*(MOVIMIENTOS!$A$5:$A$1005&lt;&gt;"")*(MOVIMIENTOS!$A$5:$A$1005&lt;=$A543)*MOVIMIENTOS!$E$5:$E$1005)-SUMPRODUCT((MOVIMIENTOS!$B$5:$B$1005="VENTA")*(MOVIMIENTOS!$C$5:$C$1005="A")*(MOVIMIENTOS!$D$5:$D$1005="jabas")*(MOVIMIENTOS!$A$5:$A$1005&lt;&gt;"")*(MOVIMIENTOS!$A$5:$A$1005&lt;=$A543)*MOVIMIENTOS!$E$5:$E$1005)+SUMPRODUCT((MOVIMIENTOS!$B$5:$B$1005="AJUSTE")*(MOVIMIENTOS!$C$5:$C$1005="A")*(MOVIMIENTOS!$D$5:$D$1005="jabas")*(MOVIMIENTOS!$A$5:$A$1005&lt;&gt;"")*(MOVIMIENTOS!$A$5:$A$1005&lt;=$A543)*MOVIMIENTOS!$E$5:$E$1005))</f>
        <v/>
      </c>
      <c r="C543" t="str">
        <f>IF($A543="","",SUMPRODUCT((MOVIMIENTOS!$B$5:$B$1005="SALDO INICIAL")*(MOVIMIENTOS!$C$5:$C$1005="P")*(MOVIMIENTOS!$D$5:$D$1005="jabas")*(MOVIMIENTOS!$A$5:$A$1005&lt;&gt;"")*(MOVIMIENTOS!$A$5:$A$1005&lt;=$A543)*MOVIMIENTOS!$E$5:$E$1005)+SUMPRODUCT((MOVIMIENTOS!$B$5:$B$1005="PROCESO")*(MOVIMIENTOS!$C$5:$C$1005="P")*(MOVIMIENTOS!$D$5:$D$1005="jabas")*(MOVIMIENTOS!$A$5:$A$1005&lt;&gt;"")*(MOVIMIENTOS!$A$5:$A$1005&lt;=$A543)*MOVIMIENTOS!$E$5:$E$1005)-SUMPRODUCT((MOVIMIENTOS!$B$5:$B$1005="ENVÍO A SUPESA")*(MOVIMIENTOS!$C$5:$C$1005="P")*(MOVIMIENTOS!$D$5:$D$1005="jabas")*(MOVIMIENTOS!$A$5:$A$1005&lt;&gt;"")*(MOVIMIENTOS!$A$5:$A$1005&lt;=$A543)*MOVIMIENTOS!$E$5:$E$1005)+SUMPRODUCT((MOVIMIENTOS!$B$5:$B$1005="DEVOLUCIÓN")*(MOVIMIENTOS!$C$5:$C$1005="P")*(MOVIMIENTOS!$D$5:$D$1005="jabas")*(MOVIMIENTOS!$A$5:$A$1005&lt;&gt;"")*(MOVIMIENTOS!$A$5:$A$1005&lt;=$A543)*MOVIMIENTOS!$E$5:$E$1005)-SUMPRODUCT((MOVIMIENTOS!$B$5:$B$1005="TRASIEGO")*(MOVIMIENTOS!$C$5:$C$1005="P")*(MOVIMIENTOS!$D$5:$D$1005="jabas")*(MOVIMIENTOS!$A$5:$A$1005&lt;&gt;"")*(MOVIMIENTOS!$A$5:$A$1005&lt;=$A543)*MOVIMIENTOS!$E$5:$E$1005)-SUMPRODUCT((MOVIMIENTOS!$B$5:$B$1005="REGALO")*(MOVIMIENTOS!$C$5:$C$1005="P")*(MOVIMIENTOS!$D$5:$D$1005="jabas")*(MOVIMIENTOS!$A$5:$A$1005&lt;&gt;"")*(MOVIMIENTOS!$A$5:$A$1005&lt;=$A543)*MOVIMIENTOS!$E$5:$E$1005)-SUMPRODUCT((MOVIMIENTOS!$B$5:$B$1005="VENTA")*(MOVIMIENTOS!$C$5:$C$1005="P")*(MOVIMIENTOS!$D$5:$D$1005="jabas")*(MOVIMIENTOS!$A$5:$A$1005&lt;&gt;"")*(MOVIMIENTOS!$A$5:$A$1005&lt;=$A543)*MOVIMIENTOS!$E$5:$E$1005)+SUMPRODUCT((MOVIMIENTOS!$B$5:$B$1005="AJUSTE")*(MOVIMIENTOS!$C$5:$C$1005="P")*(MOVIMIENTOS!$D$5:$D$1005="jabas")*(MOVIMIENTOS!$A$5:$A$1005&lt;&gt;"")*(MOVIMIENTOS!$A$5:$A$1005&lt;=$A543)*MOVIMIENTOS!$E$5:$E$1005))</f>
        <v/>
      </c>
      <c r="D543" t="str">
        <f>IF($A543="","",SUMPRODUCT((MOVIMIENTOS!$B$5:$B$1005="SALDO INICIAL")*(MOVIMIENTOS!$C$5:$C$1005="C")*(MOVIMIENTOS!$D$5:$D$1005="jabas")*(MOVIMIENTOS!$A$5:$A$1005&lt;&gt;"")*(MOVIMIENTOS!$A$5:$A$1005&lt;=$A543)*MOVIMIENTOS!$E$5:$E$1005)+SUMPRODUCT((MOVIMIENTOS!$B$5:$B$1005="PROCESO")*(MOVIMIENTOS!$C$5:$C$1005="C")*(MOVIMIENTOS!$D$5:$D$1005="jabas")*(MOVIMIENTOS!$A$5:$A$1005&lt;&gt;"")*(MOVIMIENTOS!$A$5:$A$1005&lt;=$A543)*MOVIMIENTOS!$E$5:$E$1005)-SUMPRODUCT((MOVIMIENTOS!$B$5:$B$1005="ENVÍO A SUPESA")*(MOVIMIENTOS!$C$5:$C$1005="C")*(MOVIMIENTOS!$D$5:$D$1005="jabas")*(MOVIMIENTOS!$A$5:$A$1005&lt;&gt;"")*(MOVIMIENTOS!$A$5:$A$1005&lt;=$A543)*MOVIMIENTOS!$E$5:$E$1005)+SUMPRODUCT((MOVIMIENTOS!$B$5:$B$1005="DEVOLUCIÓN")*(MOVIMIENTOS!$C$5:$C$1005="C")*(MOVIMIENTOS!$D$5:$D$1005="jabas")*(MOVIMIENTOS!$A$5:$A$1005&lt;&gt;"")*(MOVIMIENTOS!$A$5:$A$1005&lt;=$A543)*MOVIMIENTOS!$E$5:$E$1005)-SUMPRODUCT((MOVIMIENTOS!$B$5:$B$1005="TRASIEGO")*(MOVIMIENTOS!$C$5:$C$1005="C")*(MOVIMIENTOS!$D$5:$D$1005="jabas")*(MOVIMIENTOS!$A$5:$A$1005&lt;&gt;"")*(MOVIMIENTOS!$A$5:$A$1005&lt;=$A543)*MOVIMIENTOS!$E$5:$E$1005)-SUMPRODUCT((MOVIMIENTOS!$B$5:$B$1005="REGALO")*(MOVIMIENTOS!$C$5:$C$1005="C")*(MOVIMIENTOS!$D$5:$D$1005="jabas")*(MOVIMIENTOS!$A$5:$A$1005&lt;&gt;"")*(MOVIMIENTOS!$A$5:$A$1005&lt;=$A543)*MOVIMIENTOS!$E$5:$E$1005)-SUMPRODUCT((MOVIMIENTOS!$B$5:$B$1005="VENTA")*(MOVIMIENTOS!$C$5:$C$1005="C")*(MOVIMIENTOS!$D$5:$D$1005="jabas")*(MOVIMIENTOS!$A$5:$A$1005&lt;&gt;"")*(MOVIMIENTOS!$A$5:$A$1005&lt;=$A543)*MOVIMIENTOS!$E$5:$E$1005)+SUMPRODUCT((MOVIMIENTOS!$B$5:$B$1005="AJUSTE")*(MOVIMIENTOS!$C$5:$C$1005="C")*(MOVIMIENTOS!$D$5:$D$1005="jabas")*(MOVIMIENTOS!$A$5:$A$1005&lt;&gt;"")*(MOVIMIENTOS!$A$5:$A$1005&lt;=$A543)*MOVIMIENTOS!$E$5:$E$1005))</f>
        <v/>
      </c>
      <c r="E543" t="str">
        <f>IF($A543="","",SUMPRODUCT((MOVIMIENTOS!$B$5:$B$1005="SALDO INICIAL")*(MOVIMIENTOS!$C$5:$C$1005="M")*(MOVIMIENTOS!$D$5:$D$1005="jabas")*(MOVIMIENTOS!$A$5:$A$1005&lt;&gt;"")*(MOVIMIENTOS!$A$5:$A$1005&lt;=$A543)*MOVIMIENTOS!$E$5:$E$1005)+SUMPRODUCT((MOVIMIENTOS!$B$5:$B$1005="PROCESO")*(MOVIMIENTOS!$C$5:$C$1005="M")*(MOVIMIENTOS!$D$5:$D$1005="jabas")*(MOVIMIENTOS!$A$5:$A$1005&lt;&gt;"")*(MOVIMIENTOS!$A$5:$A$1005&lt;=$A543)*MOVIMIENTOS!$E$5:$E$1005)-SUMPRODUCT((MOVIMIENTOS!$B$5:$B$1005="ENVÍO A SUPESA")*(MOVIMIENTOS!$C$5:$C$1005="M")*(MOVIMIENTOS!$D$5:$D$1005="jabas")*(MOVIMIENTOS!$A$5:$A$1005&lt;&gt;"")*(MOVIMIENTOS!$A$5:$A$1005&lt;=$A543)*MOVIMIENTOS!$E$5:$E$1005)+SUMPRODUCT((MOVIMIENTOS!$B$5:$B$1005="DEVOLUCIÓN")*(MOVIMIENTOS!$C$5:$C$1005="M")*(MOVIMIENTOS!$D$5:$D$1005="jabas")*(MOVIMIENTOS!$A$5:$A$1005&lt;&gt;"")*(MOVIMIENTOS!$A$5:$A$1005&lt;=$A543)*MOVIMIENTOS!$E$5:$E$1005)-SUMPRODUCT((MOVIMIENTOS!$B$5:$B$1005="TRASIEGO")*(MOVIMIENTOS!$C$5:$C$1005="M")*(MOVIMIENTOS!$D$5:$D$1005="jabas")*(MOVIMIENTOS!$A$5:$A$1005&lt;&gt;"")*(MOVIMIENTOS!$A$5:$A$1005&lt;=$A543)*MOVIMIENTOS!$E$5:$E$1005)-SUMPRODUCT((MOVIMIENTOS!$B$5:$B$1005="REGALO")*(MOVIMIENTOS!$C$5:$C$1005="M")*(MOVIMIENTOS!$D$5:$D$1005="jabas")*(MOVIMIENTOS!$A$5:$A$1005&lt;&gt;"")*(MOVIMIENTOS!$A$5:$A$1005&lt;=$A543)*MOVIMIENTOS!$E$5:$E$1005)-SUMPRODUCT((MOVIMIENTOS!$B$5:$B$1005="VENTA")*(MOVIMIENTOS!$C$5:$C$1005="M")*(MOVIMIENTOS!$D$5:$D$1005="jabas")*(MOVIMIENTOS!$A$5:$A$1005&lt;&gt;"")*(MOVIMIENTOS!$A$5:$A$1005&lt;=$A543)*MOVIMIENTOS!$E$5:$E$1005)+SUMPRODUCT((MOVIMIENTOS!$B$5:$B$1005="AJUSTE")*(MOVIMIENTOS!$C$5:$C$1005="M")*(MOVIMIENTOS!$D$5:$D$1005="jabas")*(MOVIMIENTOS!$A$5:$A$1005&lt;&gt;"")*(MOVIMIENTOS!$A$5:$A$1005&lt;=$A543)*MOVIMIENTOS!$E$5:$E$1005))</f>
        <v/>
      </c>
      <c r="F543" s="62" t="str">
        <f>IF($A543="","",SUMPRODUCT((MOVIMIENTOS!$B$5:$B$1005="SALDO INICIAL")*(MOVIMIENTOS!$C$5:$C$1005="Chancho")*(MOVIMIENTOS!$D$5:$D$1005="sacos")*(MOVIMIENTOS!$A$5:$A$1005&lt;&gt;"")*(MOVIMIENTOS!$A$5:$A$1005&lt;=$A543)*MOVIMIENTOS!$E$5:$E$1005)+SUMPRODUCT((MOVIMIENTOS!$B$5:$B$1005="PROCESO")*(MOVIMIENTOS!$C$5:$C$1005="Chancho")*(MOVIMIENTOS!$D$5:$D$1005="sacos")*(MOVIMIENTOS!$A$5:$A$1005&lt;&gt;"")*(MOVIMIENTOS!$A$5:$A$1005&lt;=$A543)*MOVIMIENTOS!$E$5:$E$1005)-SUMPRODUCT((MOVIMIENTOS!$B$5:$B$1005="VENTA CHANCHO")*(MOVIMIENTOS!$C$5:$C$1005="Chancho")*(MOVIMIENTOS!$D$5:$D$1005="sacos")*(MOVIMIENTOS!$A$5:$A$1005&lt;&gt;"")*(MOVIMIENTOS!$A$5:$A$1005&lt;=$A543)*MOVIMIENTOS!$E$5:$E$1005)-SUMPRODUCT((MOVIMIENTOS!$B$5:$B$1005="REGALO")*(MOVIMIENTOS!$C$5:$C$1005="Chancho")*(MOVIMIENTOS!$D$5:$D$1005="sacos")*(MOVIMIENTOS!$A$5:$A$1005&lt;&gt;"")*(MOVIMIENTOS!$A$5:$A$1005&lt;=$A543)*MOVIMIENTOS!$E$5:$E$1005)-SUMPRODUCT((MOVIMIENTOS!$B$5:$B$1005="VENTA")*(MOVIMIENTOS!$C$5:$C$1005="Chancho")*(MOVIMIENTOS!$D$5:$D$1005="sacos")*(MOVIMIENTOS!$A$5:$A$1005&lt;&gt;"")*(MOVIMIENTOS!$A$5:$A$1005&lt;=$A543)*MOVIMIENTOS!$E$5:$E$1005)+SUMPRODUCT((MOVIMIENTOS!$B$5:$B$1005="AJUSTE")*(MOVIMIENTOS!$C$5:$C$1005="Chancho")*(MOVIMIENTOS!$D$5:$D$1005="sacos")*(MOVIMIENTOS!$A$5:$A$1005&lt;&gt;"")*(MOVIMIENTOS!$A$5:$A$1005&lt;=$A543)*MOVIMIENTOS!$E$5:$E$1005))</f>
        <v/>
      </c>
      <c r="G543" s="62" t="str">
        <f t="shared" si="17"/>
        <v/>
      </c>
      <c r="H543" t="str">
        <f>IF($A543="","",SUMPRODUCT((((MOVIMIENTOS!$B$5:$B$1005="SALDO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543)*MOVIMIENTOS!$J$5:$J$1005))</f>
        <v/>
      </c>
      <c r="J543" t="str">
        <f>IF(AND(MOVIMIENTOS!$A548&lt;&gt;"",COUNTIF(MOVIMIENTOS!$A$5:$A547,MOVIMIENTOS!$A548)=0),COUNT(J$4:J542)+1,"")</f>
        <v/>
      </c>
      <c r="K543">
        <f>MOVIMIENTOS!$A548</f>
        <v>0</v>
      </c>
    </row>
    <row r="544" spans="1:11" ht="15" customHeight="1" x14ac:dyDescent="0.2">
      <c r="A544" t="str">
        <f t="shared" si="16"/>
        <v/>
      </c>
      <c r="B544" t="str">
        <f>IF($A544="","",SUMPRODUCT((MOVIMIENTOS!$B$5:$B$1005="SALDO INICIAL")*(MOVIMIENTOS!$C$5:$C$1005="A")*(MOVIMIENTOS!$D$5:$D$1005="jabas")*(MOVIMIENTOS!$A$5:$A$1005&lt;&gt;"")*(MOVIMIENTOS!$A$5:$A$1005&lt;=$A544)*MOVIMIENTOS!$E$5:$E$1005)+SUMPRODUCT((MOVIMIENTOS!$B$5:$B$1005="PROCESO")*(MOVIMIENTOS!$C$5:$C$1005="A")*(MOVIMIENTOS!$D$5:$D$1005="jabas")*(MOVIMIENTOS!$A$5:$A$1005&lt;&gt;"")*(MOVIMIENTOS!$A$5:$A$1005&lt;=$A544)*MOVIMIENTOS!$E$5:$E$1005)-SUMPRODUCT((MOVIMIENTOS!$B$5:$B$1005="ENVÍO A SUPESA")*(MOVIMIENTOS!$C$5:$C$1005="A")*(MOVIMIENTOS!$D$5:$D$1005="jabas")*(MOVIMIENTOS!$A$5:$A$1005&lt;&gt;"")*(MOVIMIENTOS!$A$5:$A$1005&lt;=$A544)*MOVIMIENTOS!$E$5:$E$1005)+SUMPRODUCT((MOVIMIENTOS!$B$5:$B$1005="DEVOLUCIÓN")*(MOVIMIENTOS!$C$5:$C$1005="A")*(MOVIMIENTOS!$D$5:$D$1005="jabas")*(MOVIMIENTOS!$A$5:$A$1005&lt;&gt;"")*(MOVIMIENTOS!$A$5:$A$1005&lt;=$A544)*MOVIMIENTOS!$E$5:$E$1005)-SUMPRODUCT((MOVIMIENTOS!$B$5:$B$1005="TRASIEGO")*(MOVIMIENTOS!$C$5:$C$1005="A")*(MOVIMIENTOS!$D$5:$D$1005="jabas")*(MOVIMIENTOS!$A$5:$A$1005&lt;&gt;"")*(MOVIMIENTOS!$A$5:$A$1005&lt;=$A544)*MOVIMIENTOS!$E$5:$E$1005)-SUMPRODUCT((MOVIMIENTOS!$B$5:$B$1005="REGALO")*(MOVIMIENTOS!$C$5:$C$1005="A")*(MOVIMIENTOS!$D$5:$D$1005="jabas")*(MOVIMIENTOS!$A$5:$A$1005&lt;&gt;"")*(MOVIMIENTOS!$A$5:$A$1005&lt;=$A544)*MOVIMIENTOS!$E$5:$E$1005)-SUMPRODUCT((MOVIMIENTOS!$B$5:$B$1005="VENTA")*(MOVIMIENTOS!$C$5:$C$1005="A")*(MOVIMIENTOS!$D$5:$D$1005="jabas")*(MOVIMIENTOS!$A$5:$A$1005&lt;&gt;"")*(MOVIMIENTOS!$A$5:$A$1005&lt;=$A544)*MOVIMIENTOS!$E$5:$E$1005)+SUMPRODUCT((MOVIMIENTOS!$B$5:$B$1005="AJUSTE")*(MOVIMIENTOS!$C$5:$C$1005="A")*(MOVIMIENTOS!$D$5:$D$1005="jabas")*(MOVIMIENTOS!$A$5:$A$1005&lt;&gt;"")*(MOVIMIENTOS!$A$5:$A$1005&lt;=$A544)*MOVIMIENTOS!$E$5:$E$1005))</f>
        <v/>
      </c>
      <c r="C544" t="str">
        <f>IF($A544="","",SUMPRODUCT((MOVIMIENTOS!$B$5:$B$1005="SALDO INICIAL")*(MOVIMIENTOS!$C$5:$C$1005="P")*(MOVIMIENTOS!$D$5:$D$1005="jabas")*(MOVIMIENTOS!$A$5:$A$1005&lt;&gt;"")*(MOVIMIENTOS!$A$5:$A$1005&lt;=$A544)*MOVIMIENTOS!$E$5:$E$1005)+SUMPRODUCT((MOVIMIENTOS!$B$5:$B$1005="PROCESO")*(MOVIMIENTOS!$C$5:$C$1005="P")*(MOVIMIENTOS!$D$5:$D$1005="jabas")*(MOVIMIENTOS!$A$5:$A$1005&lt;&gt;"")*(MOVIMIENTOS!$A$5:$A$1005&lt;=$A544)*MOVIMIENTOS!$E$5:$E$1005)-SUMPRODUCT((MOVIMIENTOS!$B$5:$B$1005="ENVÍO A SUPESA")*(MOVIMIENTOS!$C$5:$C$1005="P")*(MOVIMIENTOS!$D$5:$D$1005="jabas")*(MOVIMIENTOS!$A$5:$A$1005&lt;&gt;"")*(MOVIMIENTOS!$A$5:$A$1005&lt;=$A544)*MOVIMIENTOS!$E$5:$E$1005)+SUMPRODUCT((MOVIMIENTOS!$B$5:$B$1005="DEVOLUCIÓN")*(MOVIMIENTOS!$C$5:$C$1005="P")*(MOVIMIENTOS!$D$5:$D$1005="jabas")*(MOVIMIENTOS!$A$5:$A$1005&lt;&gt;"")*(MOVIMIENTOS!$A$5:$A$1005&lt;=$A544)*MOVIMIENTOS!$E$5:$E$1005)-SUMPRODUCT((MOVIMIENTOS!$B$5:$B$1005="TRASIEGO")*(MOVIMIENTOS!$C$5:$C$1005="P")*(MOVIMIENTOS!$D$5:$D$1005="jabas")*(MOVIMIENTOS!$A$5:$A$1005&lt;&gt;"")*(MOVIMIENTOS!$A$5:$A$1005&lt;=$A544)*MOVIMIENTOS!$E$5:$E$1005)-SUMPRODUCT((MOVIMIENTOS!$B$5:$B$1005="REGALO")*(MOVIMIENTOS!$C$5:$C$1005="P")*(MOVIMIENTOS!$D$5:$D$1005="jabas")*(MOVIMIENTOS!$A$5:$A$1005&lt;&gt;"")*(MOVIMIENTOS!$A$5:$A$1005&lt;=$A544)*MOVIMIENTOS!$E$5:$E$1005)-SUMPRODUCT((MOVIMIENTOS!$B$5:$B$1005="VENTA")*(MOVIMIENTOS!$C$5:$C$1005="P")*(MOVIMIENTOS!$D$5:$D$1005="jabas")*(MOVIMIENTOS!$A$5:$A$1005&lt;&gt;"")*(MOVIMIENTOS!$A$5:$A$1005&lt;=$A544)*MOVIMIENTOS!$E$5:$E$1005)+SUMPRODUCT((MOVIMIENTOS!$B$5:$B$1005="AJUSTE")*(MOVIMIENTOS!$C$5:$C$1005="P")*(MOVIMIENTOS!$D$5:$D$1005="jabas")*(MOVIMIENTOS!$A$5:$A$1005&lt;&gt;"")*(MOVIMIENTOS!$A$5:$A$1005&lt;=$A544)*MOVIMIENTOS!$E$5:$E$1005))</f>
        <v/>
      </c>
      <c r="D544" t="str">
        <f>IF($A544="","",SUMPRODUCT((MOVIMIENTOS!$B$5:$B$1005="SALDO INICIAL")*(MOVIMIENTOS!$C$5:$C$1005="C")*(MOVIMIENTOS!$D$5:$D$1005="jabas")*(MOVIMIENTOS!$A$5:$A$1005&lt;&gt;"")*(MOVIMIENTOS!$A$5:$A$1005&lt;=$A544)*MOVIMIENTOS!$E$5:$E$1005)+SUMPRODUCT((MOVIMIENTOS!$B$5:$B$1005="PROCESO")*(MOVIMIENTOS!$C$5:$C$1005="C")*(MOVIMIENTOS!$D$5:$D$1005="jabas")*(MOVIMIENTOS!$A$5:$A$1005&lt;&gt;"")*(MOVIMIENTOS!$A$5:$A$1005&lt;=$A544)*MOVIMIENTOS!$E$5:$E$1005)-SUMPRODUCT((MOVIMIENTOS!$B$5:$B$1005="ENVÍO A SUPESA")*(MOVIMIENTOS!$C$5:$C$1005="C")*(MOVIMIENTOS!$D$5:$D$1005="jabas")*(MOVIMIENTOS!$A$5:$A$1005&lt;&gt;"")*(MOVIMIENTOS!$A$5:$A$1005&lt;=$A544)*MOVIMIENTOS!$E$5:$E$1005)+SUMPRODUCT((MOVIMIENTOS!$B$5:$B$1005="DEVOLUCIÓN")*(MOVIMIENTOS!$C$5:$C$1005="C")*(MOVIMIENTOS!$D$5:$D$1005="jabas")*(MOVIMIENTOS!$A$5:$A$1005&lt;&gt;"")*(MOVIMIENTOS!$A$5:$A$1005&lt;=$A544)*MOVIMIENTOS!$E$5:$E$1005)-SUMPRODUCT((MOVIMIENTOS!$B$5:$B$1005="TRASIEGO")*(MOVIMIENTOS!$C$5:$C$1005="C")*(MOVIMIENTOS!$D$5:$D$1005="jabas")*(MOVIMIENTOS!$A$5:$A$1005&lt;&gt;"")*(MOVIMIENTOS!$A$5:$A$1005&lt;=$A544)*MOVIMIENTOS!$E$5:$E$1005)-SUMPRODUCT((MOVIMIENTOS!$B$5:$B$1005="REGALO")*(MOVIMIENTOS!$C$5:$C$1005="C")*(MOVIMIENTOS!$D$5:$D$1005="jabas")*(MOVIMIENTOS!$A$5:$A$1005&lt;&gt;"")*(MOVIMIENTOS!$A$5:$A$1005&lt;=$A544)*MOVIMIENTOS!$E$5:$E$1005)-SUMPRODUCT((MOVIMIENTOS!$B$5:$B$1005="VENTA")*(MOVIMIENTOS!$C$5:$C$1005="C")*(MOVIMIENTOS!$D$5:$D$1005="jabas")*(MOVIMIENTOS!$A$5:$A$1005&lt;&gt;"")*(MOVIMIENTOS!$A$5:$A$1005&lt;=$A544)*MOVIMIENTOS!$E$5:$E$1005)+SUMPRODUCT((MOVIMIENTOS!$B$5:$B$1005="AJUSTE")*(MOVIMIENTOS!$C$5:$C$1005="C")*(MOVIMIENTOS!$D$5:$D$1005="jabas")*(MOVIMIENTOS!$A$5:$A$1005&lt;&gt;"")*(MOVIMIENTOS!$A$5:$A$1005&lt;=$A544)*MOVIMIENTOS!$E$5:$E$1005))</f>
        <v/>
      </c>
      <c r="E544" t="str">
        <f>IF($A544="","",SUMPRODUCT((MOVIMIENTOS!$B$5:$B$1005="SALDO INICIAL")*(MOVIMIENTOS!$C$5:$C$1005="M")*(MOVIMIENTOS!$D$5:$D$1005="jabas")*(MOVIMIENTOS!$A$5:$A$1005&lt;&gt;"")*(MOVIMIENTOS!$A$5:$A$1005&lt;=$A544)*MOVIMIENTOS!$E$5:$E$1005)+SUMPRODUCT((MOVIMIENTOS!$B$5:$B$1005="PROCESO")*(MOVIMIENTOS!$C$5:$C$1005="M")*(MOVIMIENTOS!$D$5:$D$1005="jabas")*(MOVIMIENTOS!$A$5:$A$1005&lt;&gt;"")*(MOVIMIENTOS!$A$5:$A$1005&lt;=$A544)*MOVIMIENTOS!$E$5:$E$1005)-SUMPRODUCT((MOVIMIENTOS!$B$5:$B$1005="ENVÍO A SUPESA")*(MOVIMIENTOS!$C$5:$C$1005="M")*(MOVIMIENTOS!$D$5:$D$1005="jabas")*(MOVIMIENTOS!$A$5:$A$1005&lt;&gt;"")*(MOVIMIENTOS!$A$5:$A$1005&lt;=$A544)*MOVIMIENTOS!$E$5:$E$1005)+SUMPRODUCT((MOVIMIENTOS!$B$5:$B$1005="DEVOLUCIÓN")*(MOVIMIENTOS!$C$5:$C$1005="M")*(MOVIMIENTOS!$D$5:$D$1005="jabas")*(MOVIMIENTOS!$A$5:$A$1005&lt;&gt;"")*(MOVIMIENTOS!$A$5:$A$1005&lt;=$A544)*MOVIMIENTOS!$E$5:$E$1005)-SUMPRODUCT((MOVIMIENTOS!$B$5:$B$1005="TRASIEGO")*(MOVIMIENTOS!$C$5:$C$1005="M")*(MOVIMIENTOS!$D$5:$D$1005="jabas")*(MOVIMIENTOS!$A$5:$A$1005&lt;&gt;"")*(MOVIMIENTOS!$A$5:$A$1005&lt;=$A544)*MOVIMIENTOS!$E$5:$E$1005)-SUMPRODUCT((MOVIMIENTOS!$B$5:$B$1005="REGALO")*(MOVIMIENTOS!$C$5:$C$1005="M")*(MOVIMIENTOS!$D$5:$D$1005="jabas")*(MOVIMIENTOS!$A$5:$A$1005&lt;&gt;"")*(MOVIMIENTOS!$A$5:$A$1005&lt;=$A544)*MOVIMIENTOS!$E$5:$E$1005)-SUMPRODUCT((MOVIMIENTOS!$B$5:$B$1005="VENTA")*(MOVIMIENTOS!$C$5:$C$1005="M")*(MOVIMIENTOS!$D$5:$D$1005="jabas")*(MOVIMIENTOS!$A$5:$A$1005&lt;&gt;"")*(MOVIMIENTOS!$A$5:$A$1005&lt;=$A544)*MOVIMIENTOS!$E$5:$E$1005)+SUMPRODUCT((MOVIMIENTOS!$B$5:$B$1005="AJUSTE")*(MOVIMIENTOS!$C$5:$C$1005="M")*(MOVIMIENTOS!$D$5:$D$1005="jabas")*(MOVIMIENTOS!$A$5:$A$1005&lt;&gt;"")*(MOVIMIENTOS!$A$5:$A$1005&lt;=$A544)*MOVIMIENTOS!$E$5:$E$1005))</f>
        <v/>
      </c>
      <c r="F544" s="62" t="str">
        <f>IF($A544="","",SUMPRODUCT((MOVIMIENTOS!$B$5:$B$1005="SALDO INICIAL")*(MOVIMIENTOS!$C$5:$C$1005="Chancho")*(MOVIMIENTOS!$D$5:$D$1005="sacos")*(MOVIMIENTOS!$A$5:$A$1005&lt;&gt;"")*(MOVIMIENTOS!$A$5:$A$1005&lt;=$A544)*MOVIMIENTOS!$E$5:$E$1005)+SUMPRODUCT((MOVIMIENTOS!$B$5:$B$1005="PROCESO")*(MOVIMIENTOS!$C$5:$C$1005="Chancho")*(MOVIMIENTOS!$D$5:$D$1005="sacos")*(MOVIMIENTOS!$A$5:$A$1005&lt;&gt;"")*(MOVIMIENTOS!$A$5:$A$1005&lt;=$A544)*MOVIMIENTOS!$E$5:$E$1005)-SUMPRODUCT((MOVIMIENTOS!$B$5:$B$1005="VENTA CHANCHO")*(MOVIMIENTOS!$C$5:$C$1005="Chancho")*(MOVIMIENTOS!$D$5:$D$1005="sacos")*(MOVIMIENTOS!$A$5:$A$1005&lt;&gt;"")*(MOVIMIENTOS!$A$5:$A$1005&lt;=$A544)*MOVIMIENTOS!$E$5:$E$1005)-SUMPRODUCT((MOVIMIENTOS!$B$5:$B$1005="REGALO")*(MOVIMIENTOS!$C$5:$C$1005="Chancho")*(MOVIMIENTOS!$D$5:$D$1005="sacos")*(MOVIMIENTOS!$A$5:$A$1005&lt;&gt;"")*(MOVIMIENTOS!$A$5:$A$1005&lt;=$A544)*MOVIMIENTOS!$E$5:$E$1005)-SUMPRODUCT((MOVIMIENTOS!$B$5:$B$1005="VENTA")*(MOVIMIENTOS!$C$5:$C$1005="Chancho")*(MOVIMIENTOS!$D$5:$D$1005="sacos")*(MOVIMIENTOS!$A$5:$A$1005&lt;&gt;"")*(MOVIMIENTOS!$A$5:$A$1005&lt;=$A544)*MOVIMIENTOS!$E$5:$E$1005)+SUMPRODUCT((MOVIMIENTOS!$B$5:$B$1005="AJUSTE")*(MOVIMIENTOS!$C$5:$C$1005="Chancho")*(MOVIMIENTOS!$D$5:$D$1005="sacos")*(MOVIMIENTOS!$A$5:$A$1005&lt;&gt;"")*(MOVIMIENTOS!$A$5:$A$1005&lt;=$A544)*MOVIMIENTOS!$E$5:$E$1005))</f>
        <v/>
      </c>
      <c r="G544" s="62" t="str">
        <f t="shared" si="17"/>
        <v/>
      </c>
      <c r="H544" t="str">
        <f>IF($A544="","",SUMPRODUCT((((MOVIMIENTOS!$B$5:$B$1005="SALDO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544)*MOVIMIENTOS!$J$5:$J$1005))</f>
        <v/>
      </c>
      <c r="J544" t="str">
        <f>IF(AND(MOVIMIENTOS!$A549&lt;&gt;"",COUNTIF(MOVIMIENTOS!$A$5:$A548,MOVIMIENTOS!$A549)=0),COUNT(J$4:J543)+1,"")</f>
        <v/>
      </c>
      <c r="K544">
        <f>MOVIMIENTOS!$A549</f>
        <v>0</v>
      </c>
    </row>
    <row r="545" spans="1:11" ht="15" customHeight="1" x14ac:dyDescent="0.2">
      <c r="A545" t="str">
        <f t="shared" si="16"/>
        <v/>
      </c>
      <c r="B545" t="str">
        <f>IF($A545="","",SUMPRODUCT((MOVIMIENTOS!$B$5:$B$1005="SALDO INICIAL")*(MOVIMIENTOS!$C$5:$C$1005="A")*(MOVIMIENTOS!$D$5:$D$1005="jabas")*(MOVIMIENTOS!$A$5:$A$1005&lt;&gt;"")*(MOVIMIENTOS!$A$5:$A$1005&lt;=$A545)*MOVIMIENTOS!$E$5:$E$1005)+SUMPRODUCT((MOVIMIENTOS!$B$5:$B$1005="PROCESO")*(MOVIMIENTOS!$C$5:$C$1005="A")*(MOVIMIENTOS!$D$5:$D$1005="jabas")*(MOVIMIENTOS!$A$5:$A$1005&lt;&gt;"")*(MOVIMIENTOS!$A$5:$A$1005&lt;=$A545)*MOVIMIENTOS!$E$5:$E$1005)-SUMPRODUCT((MOVIMIENTOS!$B$5:$B$1005="ENVÍO A SUPESA")*(MOVIMIENTOS!$C$5:$C$1005="A")*(MOVIMIENTOS!$D$5:$D$1005="jabas")*(MOVIMIENTOS!$A$5:$A$1005&lt;&gt;"")*(MOVIMIENTOS!$A$5:$A$1005&lt;=$A545)*MOVIMIENTOS!$E$5:$E$1005)+SUMPRODUCT((MOVIMIENTOS!$B$5:$B$1005="DEVOLUCIÓN")*(MOVIMIENTOS!$C$5:$C$1005="A")*(MOVIMIENTOS!$D$5:$D$1005="jabas")*(MOVIMIENTOS!$A$5:$A$1005&lt;&gt;"")*(MOVIMIENTOS!$A$5:$A$1005&lt;=$A545)*MOVIMIENTOS!$E$5:$E$1005)-SUMPRODUCT((MOVIMIENTOS!$B$5:$B$1005="TRASIEGO")*(MOVIMIENTOS!$C$5:$C$1005="A")*(MOVIMIENTOS!$D$5:$D$1005="jabas")*(MOVIMIENTOS!$A$5:$A$1005&lt;&gt;"")*(MOVIMIENTOS!$A$5:$A$1005&lt;=$A545)*MOVIMIENTOS!$E$5:$E$1005)-SUMPRODUCT((MOVIMIENTOS!$B$5:$B$1005="REGALO")*(MOVIMIENTOS!$C$5:$C$1005="A")*(MOVIMIENTOS!$D$5:$D$1005="jabas")*(MOVIMIENTOS!$A$5:$A$1005&lt;&gt;"")*(MOVIMIENTOS!$A$5:$A$1005&lt;=$A545)*MOVIMIENTOS!$E$5:$E$1005)-SUMPRODUCT((MOVIMIENTOS!$B$5:$B$1005="VENTA")*(MOVIMIENTOS!$C$5:$C$1005="A")*(MOVIMIENTOS!$D$5:$D$1005="jabas")*(MOVIMIENTOS!$A$5:$A$1005&lt;&gt;"")*(MOVIMIENTOS!$A$5:$A$1005&lt;=$A545)*MOVIMIENTOS!$E$5:$E$1005)+SUMPRODUCT((MOVIMIENTOS!$B$5:$B$1005="AJUSTE")*(MOVIMIENTOS!$C$5:$C$1005="A")*(MOVIMIENTOS!$D$5:$D$1005="jabas")*(MOVIMIENTOS!$A$5:$A$1005&lt;&gt;"")*(MOVIMIENTOS!$A$5:$A$1005&lt;=$A545)*MOVIMIENTOS!$E$5:$E$1005))</f>
        <v/>
      </c>
      <c r="C545" t="str">
        <f>IF($A545="","",SUMPRODUCT((MOVIMIENTOS!$B$5:$B$1005="SALDO INICIAL")*(MOVIMIENTOS!$C$5:$C$1005="P")*(MOVIMIENTOS!$D$5:$D$1005="jabas")*(MOVIMIENTOS!$A$5:$A$1005&lt;&gt;"")*(MOVIMIENTOS!$A$5:$A$1005&lt;=$A545)*MOVIMIENTOS!$E$5:$E$1005)+SUMPRODUCT((MOVIMIENTOS!$B$5:$B$1005="PROCESO")*(MOVIMIENTOS!$C$5:$C$1005="P")*(MOVIMIENTOS!$D$5:$D$1005="jabas")*(MOVIMIENTOS!$A$5:$A$1005&lt;&gt;"")*(MOVIMIENTOS!$A$5:$A$1005&lt;=$A545)*MOVIMIENTOS!$E$5:$E$1005)-SUMPRODUCT((MOVIMIENTOS!$B$5:$B$1005="ENVÍO A SUPESA")*(MOVIMIENTOS!$C$5:$C$1005="P")*(MOVIMIENTOS!$D$5:$D$1005="jabas")*(MOVIMIENTOS!$A$5:$A$1005&lt;&gt;"")*(MOVIMIENTOS!$A$5:$A$1005&lt;=$A545)*MOVIMIENTOS!$E$5:$E$1005)+SUMPRODUCT((MOVIMIENTOS!$B$5:$B$1005="DEVOLUCIÓN")*(MOVIMIENTOS!$C$5:$C$1005="P")*(MOVIMIENTOS!$D$5:$D$1005="jabas")*(MOVIMIENTOS!$A$5:$A$1005&lt;&gt;"")*(MOVIMIENTOS!$A$5:$A$1005&lt;=$A545)*MOVIMIENTOS!$E$5:$E$1005)-SUMPRODUCT((MOVIMIENTOS!$B$5:$B$1005="TRASIEGO")*(MOVIMIENTOS!$C$5:$C$1005="P")*(MOVIMIENTOS!$D$5:$D$1005="jabas")*(MOVIMIENTOS!$A$5:$A$1005&lt;&gt;"")*(MOVIMIENTOS!$A$5:$A$1005&lt;=$A545)*MOVIMIENTOS!$E$5:$E$1005)-SUMPRODUCT((MOVIMIENTOS!$B$5:$B$1005="REGALO")*(MOVIMIENTOS!$C$5:$C$1005="P")*(MOVIMIENTOS!$D$5:$D$1005="jabas")*(MOVIMIENTOS!$A$5:$A$1005&lt;&gt;"")*(MOVIMIENTOS!$A$5:$A$1005&lt;=$A545)*MOVIMIENTOS!$E$5:$E$1005)-SUMPRODUCT((MOVIMIENTOS!$B$5:$B$1005="VENTA")*(MOVIMIENTOS!$C$5:$C$1005="P")*(MOVIMIENTOS!$D$5:$D$1005="jabas")*(MOVIMIENTOS!$A$5:$A$1005&lt;&gt;"")*(MOVIMIENTOS!$A$5:$A$1005&lt;=$A545)*MOVIMIENTOS!$E$5:$E$1005)+SUMPRODUCT((MOVIMIENTOS!$B$5:$B$1005="AJUSTE")*(MOVIMIENTOS!$C$5:$C$1005="P")*(MOVIMIENTOS!$D$5:$D$1005="jabas")*(MOVIMIENTOS!$A$5:$A$1005&lt;&gt;"")*(MOVIMIENTOS!$A$5:$A$1005&lt;=$A545)*MOVIMIENTOS!$E$5:$E$1005))</f>
        <v/>
      </c>
      <c r="D545" t="str">
        <f>IF($A545="","",SUMPRODUCT((MOVIMIENTOS!$B$5:$B$1005="SALDO INICIAL")*(MOVIMIENTOS!$C$5:$C$1005="C")*(MOVIMIENTOS!$D$5:$D$1005="jabas")*(MOVIMIENTOS!$A$5:$A$1005&lt;&gt;"")*(MOVIMIENTOS!$A$5:$A$1005&lt;=$A545)*MOVIMIENTOS!$E$5:$E$1005)+SUMPRODUCT((MOVIMIENTOS!$B$5:$B$1005="PROCESO")*(MOVIMIENTOS!$C$5:$C$1005="C")*(MOVIMIENTOS!$D$5:$D$1005="jabas")*(MOVIMIENTOS!$A$5:$A$1005&lt;&gt;"")*(MOVIMIENTOS!$A$5:$A$1005&lt;=$A545)*MOVIMIENTOS!$E$5:$E$1005)-SUMPRODUCT((MOVIMIENTOS!$B$5:$B$1005="ENVÍO A SUPESA")*(MOVIMIENTOS!$C$5:$C$1005="C")*(MOVIMIENTOS!$D$5:$D$1005="jabas")*(MOVIMIENTOS!$A$5:$A$1005&lt;&gt;"")*(MOVIMIENTOS!$A$5:$A$1005&lt;=$A545)*MOVIMIENTOS!$E$5:$E$1005)+SUMPRODUCT((MOVIMIENTOS!$B$5:$B$1005="DEVOLUCIÓN")*(MOVIMIENTOS!$C$5:$C$1005="C")*(MOVIMIENTOS!$D$5:$D$1005="jabas")*(MOVIMIENTOS!$A$5:$A$1005&lt;&gt;"")*(MOVIMIENTOS!$A$5:$A$1005&lt;=$A545)*MOVIMIENTOS!$E$5:$E$1005)-SUMPRODUCT((MOVIMIENTOS!$B$5:$B$1005="TRASIEGO")*(MOVIMIENTOS!$C$5:$C$1005="C")*(MOVIMIENTOS!$D$5:$D$1005="jabas")*(MOVIMIENTOS!$A$5:$A$1005&lt;&gt;"")*(MOVIMIENTOS!$A$5:$A$1005&lt;=$A545)*MOVIMIENTOS!$E$5:$E$1005)-SUMPRODUCT((MOVIMIENTOS!$B$5:$B$1005="REGALO")*(MOVIMIENTOS!$C$5:$C$1005="C")*(MOVIMIENTOS!$D$5:$D$1005="jabas")*(MOVIMIENTOS!$A$5:$A$1005&lt;&gt;"")*(MOVIMIENTOS!$A$5:$A$1005&lt;=$A545)*MOVIMIENTOS!$E$5:$E$1005)-SUMPRODUCT((MOVIMIENTOS!$B$5:$B$1005="VENTA")*(MOVIMIENTOS!$C$5:$C$1005="C")*(MOVIMIENTOS!$D$5:$D$1005="jabas")*(MOVIMIENTOS!$A$5:$A$1005&lt;&gt;"")*(MOVIMIENTOS!$A$5:$A$1005&lt;=$A545)*MOVIMIENTOS!$E$5:$E$1005)+SUMPRODUCT((MOVIMIENTOS!$B$5:$B$1005="AJUSTE")*(MOVIMIENTOS!$C$5:$C$1005="C")*(MOVIMIENTOS!$D$5:$D$1005="jabas")*(MOVIMIENTOS!$A$5:$A$1005&lt;&gt;"")*(MOVIMIENTOS!$A$5:$A$1005&lt;=$A545)*MOVIMIENTOS!$E$5:$E$1005))</f>
        <v/>
      </c>
      <c r="E545" t="str">
        <f>IF($A545="","",SUMPRODUCT((MOVIMIENTOS!$B$5:$B$1005="SALDO INICIAL")*(MOVIMIENTOS!$C$5:$C$1005="M")*(MOVIMIENTOS!$D$5:$D$1005="jabas")*(MOVIMIENTOS!$A$5:$A$1005&lt;&gt;"")*(MOVIMIENTOS!$A$5:$A$1005&lt;=$A545)*MOVIMIENTOS!$E$5:$E$1005)+SUMPRODUCT((MOVIMIENTOS!$B$5:$B$1005="PROCESO")*(MOVIMIENTOS!$C$5:$C$1005="M")*(MOVIMIENTOS!$D$5:$D$1005="jabas")*(MOVIMIENTOS!$A$5:$A$1005&lt;&gt;"")*(MOVIMIENTOS!$A$5:$A$1005&lt;=$A545)*MOVIMIENTOS!$E$5:$E$1005)-SUMPRODUCT((MOVIMIENTOS!$B$5:$B$1005="ENVÍO A SUPESA")*(MOVIMIENTOS!$C$5:$C$1005="M")*(MOVIMIENTOS!$D$5:$D$1005="jabas")*(MOVIMIENTOS!$A$5:$A$1005&lt;&gt;"")*(MOVIMIENTOS!$A$5:$A$1005&lt;=$A545)*MOVIMIENTOS!$E$5:$E$1005)+SUMPRODUCT((MOVIMIENTOS!$B$5:$B$1005="DEVOLUCIÓN")*(MOVIMIENTOS!$C$5:$C$1005="M")*(MOVIMIENTOS!$D$5:$D$1005="jabas")*(MOVIMIENTOS!$A$5:$A$1005&lt;&gt;"")*(MOVIMIENTOS!$A$5:$A$1005&lt;=$A545)*MOVIMIENTOS!$E$5:$E$1005)-SUMPRODUCT((MOVIMIENTOS!$B$5:$B$1005="TRASIEGO")*(MOVIMIENTOS!$C$5:$C$1005="M")*(MOVIMIENTOS!$D$5:$D$1005="jabas")*(MOVIMIENTOS!$A$5:$A$1005&lt;&gt;"")*(MOVIMIENTOS!$A$5:$A$1005&lt;=$A545)*MOVIMIENTOS!$E$5:$E$1005)-SUMPRODUCT((MOVIMIENTOS!$B$5:$B$1005="REGALO")*(MOVIMIENTOS!$C$5:$C$1005="M")*(MOVIMIENTOS!$D$5:$D$1005="jabas")*(MOVIMIENTOS!$A$5:$A$1005&lt;&gt;"")*(MOVIMIENTOS!$A$5:$A$1005&lt;=$A545)*MOVIMIENTOS!$E$5:$E$1005)-SUMPRODUCT((MOVIMIENTOS!$B$5:$B$1005="VENTA")*(MOVIMIENTOS!$C$5:$C$1005="M")*(MOVIMIENTOS!$D$5:$D$1005="jabas")*(MOVIMIENTOS!$A$5:$A$1005&lt;&gt;"")*(MOVIMIENTOS!$A$5:$A$1005&lt;=$A545)*MOVIMIENTOS!$E$5:$E$1005)+SUMPRODUCT((MOVIMIENTOS!$B$5:$B$1005="AJUSTE")*(MOVIMIENTOS!$C$5:$C$1005="M")*(MOVIMIENTOS!$D$5:$D$1005="jabas")*(MOVIMIENTOS!$A$5:$A$1005&lt;&gt;"")*(MOVIMIENTOS!$A$5:$A$1005&lt;=$A545)*MOVIMIENTOS!$E$5:$E$1005))</f>
        <v/>
      </c>
      <c r="F545" s="62" t="str">
        <f>IF($A545="","",SUMPRODUCT((MOVIMIENTOS!$B$5:$B$1005="SALDO INICIAL")*(MOVIMIENTOS!$C$5:$C$1005="Chancho")*(MOVIMIENTOS!$D$5:$D$1005="sacos")*(MOVIMIENTOS!$A$5:$A$1005&lt;&gt;"")*(MOVIMIENTOS!$A$5:$A$1005&lt;=$A545)*MOVIMIENTOS!$E$5:$E$1005)+SUMPRODUCT((MOVIMIENTOS!$B$5:$B$1005="PROCESO")*(MOVIMIENTOS!$C$5:$C$1005="Chancho")*(MOVIMIENTOS!$D$5:$D$1005="sacos")*(MOVIMIENTOS!$A$5:$A$1005&lt;&gt;"")*(MOVIMIENTOS!$A$5:$A$1005&lt;=$A545)*MOVIMIENTOS!$E$5:$E$1005)-SUMPRODUCT((MOVIMIENTOS!$B$5:$B$1005="VENTA CHANCHO")*(MOVIMIENTOS!$C$5:$C$1005="Chancho")*(MOVIMIENTOS!$D$5:$D$1005="sacos")*(MOVIMIENTOS!$A$5:$A$1005&lt;&gt;"")*(MOVIMIENTOS!$A$5:$A$1005&lt;=$A545)*MOVIMIENTOS!$E$5:$E$1005)-SUMPRODUCT((MOVIMIENTOS!$B$5:$B$1005="REGALO")*(MOVIMIENTOS!$C$5:$C$1005="Chancho")*(MOVIMIENTOS!$D$5:$D$1005="sacos")*(MOVIMIENTOS!$A$5:$A$1005&lt;&gt;"")*(MOVIMIENTOS!$A$5:$A$1005&lt;=$A545)*MOVIMIENTOS!$E$5:$E$1005)-SUMPRODUCT((MOVIMIENTOS!$B$5:$B$1005="VENTA")*(MOVIMIENTOS!$C$5:$C$1005="Chancho")*(MOVIMIENTOS!$D$5:$D$1005="sacos")*(MOVIMIENTOS!$A$5:$A$1005&lt;&gt;"")*(MOVIMIENTOS!$A$5:$A$1005&lt;=$A545)*MOVIMIENTOS!$E$5:$E$1005)+SUMPRODUCT((MOVIMIENTOS!$B$5:$B$1005="AJUSTE")*(MOVIMIENTOS!$C$5:$C$1005="Chancho")*(MOVIMIENTOS!$D$5:$D$1005="sacos")*(MOVIMIENTOS!$A$5:$A$1005&lt;&gt;"")*(MOVIMIENTOS!$A$5:$A$1005&lt;=$A545)*MOVIMIENTOS!$E$5:$E$1005))</f>
        <v/>
      </c>
      <c r="G545" s="62" t="str">
        <f t="shared" si="17"/>
        <v/>
      </c>
      <c r="H545" t="str">
        <f>IF($A545="","",SUMPRODUCT((((MOVIMIENTOS!$B$5:$B$1005="SALDO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545)*MOVIMIENTOS!$J$5:$J$1005))</f>
        <v/>
      </c>
      <c r="J545" t="str">
        <f>IF(AND(MOVIMIENTOS!$A550&lt;&gt;"",COUNTIF(MOVIMIENTOS!$A$5:$A549,MOVIMIENTOS!$A550)=0),COUNT(J$4:J544)+1,"")</f>
        <v/>
      </c>
      <c r="K545">
        <f>MOVIMIENTOS!$A550</f>
        <v>0</v>
      </c>
    </row>
    <row r="546" spans="1:11" ht="15" customHeight="1" x14ac:dyDescent="0.2">
      <c r="A546" t="str">
        <f t="shared" si="16"/>
        <v/>
      </c>
      <c r="B546" t="str">
        <f>IF($A546="","",SUMPRODUCT((MOVIMIENTOS!$B$5:$B$1005="SALDO INICIAL")*(MOVIMIENTOS!$C$5:$C$1005="A")*(MOVIMIENTOS!$D$5:$D$1005="jabas")*(MOVIMIENTOS!$A$5:$A$1005&lt;&gt;"")*(MOVIMIENTOS!$A$5:$A$1005&lt;=$A546)*MOVIMIENTOS!$E$5:$E$1005)+SUMPRODUCT((MOVIMIENTOS!$B$5:$B$1005="PROCESO")*(MOVIMIENTOS!$C$5:$C$1005="A")*(MOVIMIENTOS!$D$5:$D$1005="jabas")*(MOVIMIENTOS!$A$5:$A$1005&lt;&gt;"")*(MOVIMIENTOS!$A$5:$A$1005&lt;=$A546)*MOVIMIENTOS!$E$5:$E$1005)-SUMPRODUCT((MOVIMIENTOS!$B$5:$B$1005="ENVÍO A SUPESA")*(MOVIMIENTOS!$C$5:$C$1005="A")*(MOVIMIENTOS!$D$5:$D$1005="jabas")*(MOVIMIENTOS!$A$5:$A$1005&lt;&gt;"")*(MOVIMIENTOS!$A$5:$A$1005&lt;=$A546)*MOVIMIENTOS!$E$5:$E$1005)+SUMPRODUCT((MOVIMIENTOS!$B$5:$B$1005="DEVOLUCIÓN")*(MOVIMIENTOS!$C$5:$C$1005="A")*(MOVIMIENTOS!$D$5:$D$1005="jabas")*(MOVIMIENTOS!$A$5:$A$1005&lt;&gt;"")*(MOVIMIENTOS!$A$5:$A$1005&lt;=$A546)*MOVIMIENTOS!$E$5:$E$1005)-SUMPRODUCT((MOVIMIENTOS!$B$5:$B$1005="TRASIEGO")*(MOVIMIENTOS!$C$5:$C$1005="A")*(MOVIMIENTOS!$D$5:$D$1005="jabas")*(MOVIMIENTOS!$A$5:$A$1005&lt;&gt;"")*(MOVIMIENTOS!$A$5:$A$1005&lt;=$A546)*MOVIMIENTOS!$E$5:$E$1005)-SUMPRODUCT((MOVIMIENTOS!$B$5:$B$1005="REGALO")*(MOVIMIENTOS!$C$5:$C$1005="A")*(MOVIMIENTOS!$D$5:$D$1005="jabas")*(MOVIMIENTOS!$A$5:$A$1005&lt;&gt;"")*(MOVIMIENTOS!$A$5:$A$1005&lt;=$A546)*MOVIMIENTOS!$E$5:$E$1005)-SUMPRODUCT((MOVIMIENTOS!$B$5:$B$1005="VENTA")*(MOVIMIENTOS!$C$5:$C$1005="A")*(MOVIMIENTOS!$D$5:$D$1005="jabas")*(MOVIMIENTOS!$A$5:$A$1005&lt;&gt;"")*(MOVIMIENTOS!$A$5:$A$1005&lt;=$A546)*MOVIMIENTOS!$E$5:$E$1005)+SUMPRODUCT((MOVIMIENTOS!$B$5:$B$1005="AJUSTE")*(MOVIMIENTOS!$C$5:$C$1005="A")*(MOVIMIENTOS!$D$5:$D$1005="jabas")*(MOVIMIENTOS!$A$5:$A$1005&lt;&gt;"")*(MOVIMIENTOS!$A$5:$A$1005&lt;=$A546)*MOVIMIENTOS!$E$5:$E$1005))</f>
        <v/>
      </c>
      <c r="C546" t="str">
        <f>IF($A546="","",SUMPRODUCT((MOVIMIENTOS!$B$5:$B$1005="SALDO INICIAL")*(MOVIMIENTOS!$C$5:$C$1005="P")*(MOVIMIENTOS!$D$5:$D$1005="jabas")*(MOVIMIENTOS!$A$5:$A$1005&lt;&gt;"")*(MOVIMIENTOS!$A$5:$A$1005&lt;=$A546)*MOVIMIENTOS!$E$5:$E$1005)+SUMPRODUCT((MOVIMIENTOS!$B$5:$B$1005="PROCESO")*(MOVIMIENTOS!$C$5:$C$1005="P")*(MOVIMIENTOS!$D$5:$D$1005="jabas")*(MOVIMIENTOS!$A$5:$A$1005&lt;&gt;"")*(MOVIMIENTOS!$A$5:$A$1005&lt;=$A546)*MOVIMIENTOS!$E$5:$E$1005)-SUMPRODUCT((MOVIMIENTOS!$B$5:$B$1005="ENVÍO A SUPESA")*(MOVIMIENTOS!$C$5:$C$1005="P")*(MOVIMIENTOS!$D$5:$D$1005="jabas")*(MOVIMIENTOS!$A$5:$A$1005&lt;&gt;"")*(MOVIMIENTOS!$A$5:$A$1005&lt;=$A546)*MOVIMIENTOS!$E$5:$E$1005)+SUMPRODUCT((MOVIMIENTOS!$B$5:$B$1005="DEVOLUCIÓN")*(MOVIMIENTOS!$C$5:$C$1005="P")*(MOVIMIENTOS!$D$5:$D$1005="jabas")*(MOVIMIENTOS!$A$5:$A$1005&lt;&gt;"")*(MOVIMIENTOS!$A$5:$A$1005&lt;=$A546)*MOVIMIENTOS!$E$5:$E$1005)-SUMPRODUCT((MOVIMIENTOS!$B$5:$B$1005="TRASIEGO")*(MOVIMIENTOS!$C$5:$C$1005="P")*(MOVIMIENTOS!$D$5:$D$1005="jabas")*(MOVIMIENTOS!$A$5:$A$1005&lt;&gt;"")*(MOVIMIENTOS!$A$5:$A$1005&lt;=$A546)*MOVIMIENTOS!$E$5:$E$1005)-SUMPRODUCT((MOVIMIENTOS!$B$5:$B$1005="REGALO")*(MOVIMIENTOS!$C$5:$C$1005="P")*(MOVIMIENTOS!$D$5:$D$1005="jabas")*(MOVIMIENTOS!$A$5:$A$1005&lt;&gt;"")*(MOVIMIENTOS!$A$5:$A$1005&lt;=$A546)*MOVIMIENTOS!$E$5:$E$1005)-SUMPRODUCT((MOVIMIENTOS!$B$5:$B$1005="VENTA")*(MOVIMIENTOS!$C$5:$C$1005="P")*(MOVIMIENTOS!$D$5:$D$1005="jabas")*(MOVIMIENTOS!$A$5:$A$1005&lt;&gt;"")*(MOVIMIENTOS!$A$5:$A$1005&lt;=$A546)*MOVIMIENTOS!$E$5:$E$1005)+SUMPRODUCT((MOVIMIENTOS!$B$5:$B$1005="AJUSTE")*(MOVIMIENTOS!$C$5:$C$1005="P")*(MOVIMIENTOS!$D$5:$D$1005="jabas")*(MOVIMIENTOS!$A$5:$A$1005&lt;&gt;"")*(MOVIMIENTOS!$A$5:$A$1005&lt;=$A546)*MOVIMIENTOS!$E$5:$E$1005))</f>
        <v/>
      </c>
      <c r="D546" t="str">
        <f>IF($A546="","",SUMPRODUCT((MOVIMIENTOS!$B$5:$B$1005="SALDO INICIAL")*(MOVIMIENTOS!$C$5:$C$1005="C")*(MOVIMIENTOS!$D$5:$D$1005="jabas")*(MOVIMIENTOS!$A$5:$A$1005&lt;&gt;"")*(MOVIMIENTOS!$A$5:$A$1005&lt;=$A546)*MOVIMIENTOS!$E$5:$E$1005)+SUMPRODUCT((MOVIMIENTOS!$B$5:$B$1005="PROCESO")*(MOVIMIENTOS!$C$5:$C$1005="C")*(MOVIMIENTOS!$D$5:$D$1005="jabas")*(MOVIMIENTOS!$A$5:$A$1005&lt;&gt;"")*(MOVIMIENTOS!$A$5:$A$1005&lt;=$A546)*MOVIMIENTOS!$E$5:$E$1005)-SUMPRODUCT((MOVIMIENTOS!$B$5:$B$1005="ENVÍO A SUPESA")*(MOVIMIENTOS!$C$5:$C$1005="C")*(MOVIMIENTOS!$D$5:$D$1005="jabas")*(MOVIMIENTOS!$A$5:$A$1005&lt;&gt;"")*(MOVIMIENTOS!$A$5:$A$1005&lt;=$A546)*MOVIMIENTOS!$E$5:$E$1005)+SUMPRODUCT((MOVIMIENTOS!$B$5:$B$1005="DEVOLUCIÓN")*(MOVIMIENTOS!$C$5:$C$1005="C")*(MOVIMIENTOS!$D$5:$D$1005="jabas")*(MOVIMIENTOS!$A$5:$A$1005&lt;&gt;"")*(MOVIMIENTOS!$A$5:$A$1005&lt;=$A546)*MOVIMIENTOS!$E$5:$E$1005)-SUMPRODUCT((MOVIMIENTOS!$B$5:$B$1005="TRASIEGO")*(MOVIMIENTOS!$C$5:$C$1005="C")*(MOVIMIENTOS!$D$5:$D$1005="jabas")*(MOVIMIENTOS!$A$5:$A$1005&lt;&gt;"")*(MOVIMIENTOS!$A$5:$A$1005&lt;=$A546)*MOVIMIENTOS!$E$5:$E$1005)-SUMPRODUCT((MOVIMIENTOS!$B$5:$B$1005="REGALO")*(MOVIMIENTOS!$C$5:$C$1005="C")*(MOVIMIENTOS!$D$5:$D$1005="jabas")*(MOVIMIENTOS!$A$5:$A$1005&lt;&gt;"")*(MOVIMIENTOS!$A$5:$A$1005&lt;=$A546)*MOVIMIENTOS!$E$5:$E$1005)-SUMPRODUCT((MOVIMIENTOS!$B$5:$B$1005="VENTA")*(MOVIMIENTOS!$C$5:$C$1005="C")*(MOVIMIENTOS!$D$5:$D$1005="jabas")*(MOVIMIENTOS!$A$5:$A$1005&lt;&gt;"")*(MOVIMIENTOS!$A$5:$A$1005&lt;=$A546)*MOVIMIENTOS!$E$5:$E$1005)+SUMPRODUCT((MOVIMIENTOS!$B$5:$B$1005="AJUSTE")*(MOVIMIENTOS!$C$5:$C$1005="C")*(MOVIMIENTOS!$D$5:$D$1005="jabas")*(MOVIMIENTOS!$A$5:$A$1005&lt;&gt;"")*(MOVIMIENTOS!$A$5:$A$1005&lt;=$A546)*MOVIMIENTOS!$E$5:$E$1005))</f>
        <v/>
      </c>
      <c r="E546" t="str">
        <f>IF($A546="","",SUMPRODUCT((MOVIMIENTOS!$B$5:$B$1005="SALDO INICIAL")*(MOVIMIENTOS!$C$5:$C$1005="M")*(MOVIMIENTOS!$D$5:$D$1005="jabas")*(MOVIMIENTOS!$A$5:$A$1005&lt;&gt;"")*(MOVIMIENTOS!$A$5:$A$1005&lt;=$A546)*MOVIMIENTOS!$E$5:$E$1005)+SUMPRODUCT((MOVIMIENTOS!$B$5:$B$1005="PROCESO")*(MOVIMIENTOS!$C$5:$C$1005="M")*(MOVIMIENTOS!$D$5:$D$1005="jabas")*(MOVIMIENTOS!$A$5:$A$1005&lt;&gt;"")*(MOVIMIENTOS!$A$5:$A$1005&lt;=$A546)*MOVIMIENTOS!$E$5:$E$1005)-SUMPRODUCT((MOVIMIENTOS!$B$5:$B$1005="ENVÍO A SUPESA")*(MOVIMIENTOS!$C$5:$C$1005="M")*(MOVIMIENTOS!$D$5:$D$1005="jabas")*(MOVIMIENTOS!$A$5:$A$1005&lt;&gt;"")*(MOVIMIENTOS!$A$5:$A$1005&lt;=$A546)*MOVIMIENTOS!$E$5:$E$1005)+SUMPRODUCT((MOVIMIENTOS!$B$5:$B$1005="DEVOLUCIÓN")*(MOVIMIENTOS!$C$5:$C$1005="M")*(MOVIMIENTOS!$D$5:$D$1005="jabas")*(MOVIMIENTOS!$A$5:$A$1005&lt;&gt;"")*(MOVIMIENTOS!$A$5:$A$1005&lt;=$A546)*MOVIMIENTOS!$E$5:$E$1005)-SUMPRODUCT((MOVIMIENTOS!$B$5:$B$1005="TRASIEGO")*(MOVIMIENTOS!$C$5:$C$1005="M")*(MOVIMIENTOS!$D$5:$D$1005="jabas")*(MOVIMIENTOS!$A$5:$A$1005&lt;&gt;"")*(MOVIMIENTOS!$A$5:$A$1005&lt;=$A546)*MOVIMIENTOS!$E$5:$E$1005)-SUMPRODUCT((MOVIMIENTOS!$B$5:$B$1005="REGALO")*(MOVIMIENTOS!$C$5:$C$1005="M")*(MOVIMIENTOS!$D$5:$D$1005="jabas")*(MOVIMIENTOS!$A$5:$A$1005&lt;&gt;"")*(MOVIMIENTOS!$A$5:$A$1005&lt;=$A546)*MOVIMIENTOS!$E$5:$E$1005)-SUMPRODUCT((MOVIMIENTOS!$B$5:$B$1005="VENTA")*(MOVIMIENTOS!$C$5:$C$1005="M")*(MOVIMIENTOS!$D$5:$D$1005="jabas")*(MOVIMIENTOS!$A$5:$A$1005&lt;&gt;"")*(MOVIMIENTOS!$A$5:$A$1005&lt;=$A546)*MOVIMIENTOS!$E$5:$E$1005)+SUMPRODUCT((MOVIMIENTOS!$B$5:$B$1005="AJUSTE")*(MOVIMIENTOS!$C$5:$C$1005="M")*(MOVIMIENTOS!$D$5:$D$1005="jabas")*(MOVIMIENTOS!$A$5:$A$1005&lt;&gt;"")*(MOVIMIENTOS!$A$5:$A$1005&lt;=$A546)*MOVIMIENTOS!$E$5:$E$1005))</f>
        <v/>
      </c>
      <c r="F546" s="62" t="str">
        <f>IF($A546="","",SUMPRODUCT((MOVIMIENTOS!$B$5:$B$1005="SALDO INICIAL")*(MOVIMIENTOS!$C$5:$C$1005="Chancho")*(MOVIMIENTOS!$D$5:$D$1005="sacos")*(MOVIMIENTOS!$A$5:$A$1005&lt;&gt;"")*(MOVIMIENTOS!$A$5:$A$1005&lt;=$A546)*MOVIMIENTOS!$E$5:$E$1005)+SUMPRODUCT((MOVIMIENTOS!$B$5:$B$1005="PROCESO")*(MOVIMIENTOS!$C$5:$C$1005="Chancho")*(MOVIMIENTOS!$D$5:$D$1005="sacos")*(MOVIMIENTOS!$A$5:$A$1005&lt;&gt;"")*(MOVIMIENTOS!$A$5:$A$1005&lt;=$A546)*MOVIMIENTOS!$E$5:$E$1005)-SUMPRODUCT((MOVIMIENTOS!$B$5:$B$1005="VENTA CHANCHO")*(MOVIMIENTOS!$C$5:$C$1005="Chancho")*(MOVIMIENTOS!$D$5:$D$1005="sacos")*(MOVIMIENTOS!$A$5:$A$1005&lt;&gt;"")*(MOVIMIENTOS!$A$5:$A$1005&lt;=$A546)*MOVIMIENTOS!$E$5:$E$1005)-SUMPRODUCT((MOVIMIENTOS!$B$5:$B$1005="REGALO")*(MOVIMIENTOS!$C$5:$C$1005="Chancho")*(MOVIMIENTOS!$D$5:$D$1005="sacos")*(MOVIMIENTOS!$A$5:$A$1005&lt;&gt;"")*(MOVIMIENTOS!$A$5:$A$1005&lt;=$A546)*MOVIMIENTOS!$E$5:$E$1005)-SUMPRODUCT((MOVIMIENTOS!$B$5:$B$1005="VENTA")*(MOVIMIENTOS!$C$5:$C$1005="Chancho")*(MOVIMIENTOS!$D$5:$D$1005="sacos")*(MOVIMIENTOS!$A$5:$A$1005&lt;&gt;"")*(MOVIMIENTOS!$A$5:$A$1005&lt;=$A546)*MOVIMIENTOS!$E$5:$E$1005)+SUMPRODUCT((MOVIMIENTOS!$B$5:$B$1005="AJUSTE")*(MOVIMIENTOS!$C$5:$C$1005="Chancho")*(MOVIMIENTOS!$D$5:$D$1005="sacos")*(MOVIMIENTOS!$A$5:$A$1005&lt;&gt;"")*(MOVIMIENTOS!$A$5:$A$1005&lt;=$A546)*MOVIMIENTOS!$E$5:$E$1005))</f>
        <v/>
      </c>
      <c r="G546" s="62" t="str">
        <f t="shared" si="17"/>
        <v/>
      </c>
      <c r="H546" t="str">
        <f>IF($A546="","",SUMPRODUCT((((MOVIMIENTOS!$B$5:$B$1005="SALDO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546)*MOVIMIENTOS!$J$5:$J$1005))</f>
        <v/>
      </c>
      <c r="J546" t="str">
        <f>IF(AND(MOVIMIENTOS!$A551&lt;&gt;"",COUNTIF(MOVIMIENTOS!$A$5:$A550,MOVIMIENTOS!$A551)=0),COUNT(J$4:J545)+1,"")</f>
        <v/>
      </c>
      <c r="K546">
        <f>MOVIMIENTOS!$A551</f>
        <v>0</v>
      </c>
    </row>
    <row r="547" spans="1:11" ht="15" customHeight="1" x14ac:dyDescent="0.2">
      <c r="A547" t="str">
        <f t="shared" si="16"/>
        <v/>
      </c>
      <c r="B547" t="str">
        <f>IF($A547="","",SUMPRODUCT((MOVIMIENTOS!$B$5:$B$1005="SALDO INICIAL")*(MOVIMIENTOS!$C$5:$C$1005="A")*(MOVIMIENTOS!$D$5:$D$1005="jabas")*(MOVIMIENTOS!$A$5:$A$1005&lt;&gt;"")*(MOVIMIENTOS!$A$5:$A$1005&lt;=$A547)*MOVIMIENTOS!$E$5:$E$1005)+SUMPRODUCT((MOVIMIENTOS!$B$5:$B$1005="PROCESO")*(MOVIMIENTOS!$C$5:$C$1005="A")*(MOVIMIENTOS!$D$5:$D$1005="jabas")*(MOVIMIENTOS!$A$5:$A$1005&lt;&gt;"")*(MOVIMIENTOS!$A$5:$A$1005&lt;=$A547)*MOVIMIENTOS!$E$5:$E$1005)-SUMPRODUCT((MOVIMIENTOS!$B$5:$B$1005="ENVÍO A SUPESA")*(MOVIMIENTOS!$C$5:$C$1005="A")*(MOVIMIENTOS!$D$5:$D$1005="jabas")*(MOVIMIENTOS!$A$5:$A$1005&lt;&gt;"")*(MOVIMIENTOS!$A$5:$A$1005&lt;=$A547)*MOVIMIENTOS!$E$5:$E$1005)+SUMPRODUCT((MOVIMIENTOS!$B$5:$B$1005="DEVOLUCIÓN")*(MOVIMIENTOS!$C$5:$C$1005="A")*(MOVIMIENTOS!$D$5:$D$1005="jabas")*(MOVIMIENTOS!$A$5:$A$1005&lt;&gt;"")*(MOVIMIENTOS!$A$5:$A$1005&lt;=$A547)*MOVIMIENTOS!$E$5:$E$1005)-SUMPRODUCT((MOVIMIENTOS!$B$5:$B$1005="TRASIEGO")*(MOVIMIENTOS!$C$5:$C$1005="A")*(MOVIMIENTOS!$D$5:$D$1005="jabas")*(MOVIMIENTOS!$A$5:$A$1005&lt;&gt;"")*(MOVIMIENTOS!$A$5:$A$1005&lt;=$A547)*MOVIMIENTOS!$E$5:$E$1005)-SUMPRODUCT((MOVIMIENTOS!$B$5:$B$1005="REGALO")*(MOVIMIENTOS!$C$5:$C$1005="A")*(MOVIMIENTOS!$D$5:$D$1005="jabas")*(MOVIMIENTOS!$A$5:$A$1005&lt;&gt;"")*(MOVIMIENTOS!$A$5:$A$1005&lt;=$A547)*MOVIMIENTOS!$E$5:$E$1005)-SUMPRODUCT((MOVIMIENTOS!$B$5:$B$1005="VENTA")*(MOVIMIENTOS!$C$5:$C$1005="A")*(MOVIMIENTOS!$D$5:$D$1005="jabas")*(MOVIMIENTOS!$A$5:$A$1005&lt;&gt;"")*(MOVIMIENTOS!$A$5:$A$1005&lt;=$A547)*MOVIMIENTOS!$E$5:$E$1005)+SUMPRODUCT((MOVIMIENTOS!$B$5:$B$1005="AJUSTE")*(MOVIMIENTOS!$C$5:$C$1005="A")*(MOVIMIENTOS!$D$5:$D$1005="jabas")*(MOVIMIENTOS!$A$5:$A$1005&lt;&gt;"")*(MOVIMIENTOS!$A$5:$A$1005&lt;=$A547)*MOVIMIENTOS!$E$5:$E$1005))</f>
        <v/>
      </c>
      <c r="C547" t="str">
        <f>IF($A547="","",SUMPRODUCT((MOVIMIENTOS!$B$5:$B$1005="SALDO INICIAL")*(MOVIMIENTOS!$C$5:$C$1005="P")*(MOVIMIENTOS!$D$5:$D$1005="jabas")*(MOVIMIENTOS!$A$5:$A$1005&lt;&gt;"")*(MOVIMIENTOS!$A$5:$A$1005&lt;=$A547)*MOVIMIENTOS!$E$5:$E$1005)+SUMPRODUCT((MOVIMIENTOS!$B$5:$B$1005="PROCESO")*(MOVIMIENTOS!$C$5:$C$1005="P")*(MOVIMIENTOS!$D$5:$D$1005="jabas")*(MOVIMIENTOS!$A$5:$A$1005&lt;&gt;"")*(MOVIMIENTOS!$A$5:$A$1005&lt;=$A547)*MOVIMIENTOS!$E$5:$E$1005)-SUMPRODUCT((MOVIMIENTOS!$B$5:$B$1005="ENVÍO A SUPESA")*(MOVIMIENTOS!$C$5:$C$1005="P")*(MOVIMIENTOS!$D$5:$D$1005="jabas")*(MOVIMIENTOS!$A$5:$A$1005&lt;&gt;"")*(MOVIMIENTOS!$A$5:$A$1005&lt;=$A547)*MOVIMIENTOS!$E$5:$E$1005)+SUMPRODUCT((MOVIMIENTOS!$B$5:$B$1005="DEVOLUCIÓN")*(MOVIMIENTOS!$C$5:$C$1005="P")*(MOVIMIENTOS!$D$5:$D$1005="jabas")*(MOVIMIENTOS!$A$5:$A$1005&lt;&gt;"")*(MOVIMIENTOS!$A$5:$A$1005&lt;=$A547)*MOVIMIENTOS!$E$5:$E$1005)-SUMPRODUCT((MOVIMIENTOS!$B$5:$B$1005="TRASIEGO")*(MOVIMIENTOS!$C$5:$C$1005="P")*(MOVIMIENTOS!$D$5:$D$1005="jabas")*(MOVIMIENTOS!$A$5:$A$1005&lt;&gt;"")*(MOVIMIENTOS!$A$5:$A$1005&lt;=$A547)*MOVIMIENTOS!$E$5:$E$1005)-SUMPRODUCT((MOVIMIENTOS!$B$5:$B$1005="REGALO")*(MOVIMIENTOS!$C$5:$C$1005="P")*(MOVIMIENTOS!$D$5:$D$1005="jabas")*(MOVIMIENTOS!$A$5:$A$1005&lt;&gt;"")*(MOVIMIENTOS!$A$5:$A$1005&lt;=$A547)*MOVIMIENTOS!$E$5:$E$1005)-SUMPRODUCT((MOVIMIENTOS!$B$5:$B$1005="VENTA")*(MOVIMIENTOS!$C$5:$C$1005="P")*(MOVIMIENTOS!$D$5:$D$1005="jabas")*(MOVIMIENTOS!$A$5:$A$1005&lt;&gt;"")*(MOVIMIENTOS!$A$5:$A$1005&lt;=$A547)*MOVIMIENTOS!$E$5:$E$1005)+SUMPRODUCT((MOVIMIENTOS!$B$5:$B$1005="AJUSTE")*(MOVIMIENTOS!$C$5:$C$1005="P")*(MOVIMIENTOS!$D$5:$D$1005="jabas")*(MOVIMIENTOS!$A$5:$A$1005&lt;&gt;"")*(MOVIMIENTOS!$A$5:$A$1005&lt;=$A547)*MOVIMIENTOS!$E$5:$E$1005))</f>
        <v/>
      </c>
      <c r="D547" t="str">
        <f>IF($A547="","",SUMPRODUCT((MOVIMIENTOS!$B$5:$B$1005="SALDO INICIAL")*(MOVIMIENTOS!$C$5:$C$1005="C")*(MOVIMIENTOS!$D$5:$D$1005="jabas")*(MOVIMIENTOS!$A$5:$A$1005&lt;&gt;"")*(MOVIMIENTOS!$A$5:$A$1005&lt;=$A547)*MOVIMIENTOS!$E$5:$E$1005)+SUMPRODUCT((MOVIMIENTOS!$B$5:$B$1005="PROCESO")*(MOVIMIENTOS!$C$5:$C$1005="C")*(MOVIMIENTOS!$D$5:$D$1005="jabas")*(MOVIMIENTOS!$A$5:$A$1005&lt;&gt;"")*(MOVIMIENTOS!$A$5:$A$1005&lt;=$A547)*MOVIMIENTOS!$E$5:$E$1005)-SUMPRODUCT((MOVIMIENTOS!$B$5:$B$1005="ENVÍO A SUPESA")*(MOVIMIENTOS!$C$5:$C$1005="C")*(MOVIMIENTOS!$D$5:$D$1005="jabas")*(MOVIMIENTOS!$A$5:$A$1005&lt;&gt;"")*(MOVIMIENTOS!$A$5:$A$1005&lt;=$A547)*MOVIMIENTOS!$E$5:$E$1005)+SUMPRODUCT((MOVIMIENTOS!$B$5:$B$1005="DEVOLUCIÓN")*(MOVIMIENTOS!$C$5:$C$1005="C")*(MOVIMIENTOS!$D$5:$D$1005="jabas")*(MOVIMIENTOS!$A$5:$A$1005&lt;&gt;"")*(MOVIMIENTOS!$A$5:$A$1005&lt;=$A547)*MOVIMIENTOS!$E$5:$E$1005)-SUMPRODUCT((MOVIMIENTOS!$B$5:$B$1005="TRASIEGO")*(MOVIMIENTOS!$C$5:$C$1005="C")*(MOVIMIENTOS!$D$5:$D$1005="jabas")*(MOVIMIENTOS!$A$5:$A$1005&lt;&gt;"")*(MOVIMIENTOS!$A$5:$A$1005&lt;=$A547)*MOVIMIENTOS!$E$5:$E$1005)-SUMPRODUCT((MOVIMIENTOS!$B$5:$B$1005="REGALO")*(MOVIMIENTOS!$C$5:$C$1005="C")*(MOVIMIENTOS!$D$5:$D$1005="jabas")*(MOVIMIENTOS!$A$5:$A$1005&lt;&gt;"")*(MOVIMIENTOS!$A$5:$A$1005&lt;=$A547)*MOVIMIENTOS!$E$5:$E$1005)-SUMPRODUCT((MOVIMIENTOS!$B$5:$B$1005="VENTA")*(MOVIMIENTOS!$C$5:$C$1005="C")*(MOVIMIENTOS!$D$5:$D$1005="jabas")*(MOVIMIENTOS!$A$5:$A$1005&lt;&gt;"")*(MOVIMIENTOS!$A$5:$A$1005&lt;=$A547)*MOVIMIENTOS!$E$5:$E$1005)+SUMPRODUCT((MOVIMIENTOS!$B$5:$B$1005="AJUSTE")*(MOVIMIENTOS!$C$5:$C$1005="C")*(MOVIMIENTOS!$D$5:$D$1005="jabas")*(MOVIMIENTOS!$A$5:$A$1005&lt;&gt;"")*(MOVIMIENTOS!$A$5:$A$1005&lt;=$A547)*MOVIMIENTOS!$E$5:$E$1005))</f>
        <v/>
      </c>
      <c r="E547" t="str">
        <f>IF($A547="","",SUMPRODUCT((MOVIMIENTOS!$B$5:$B$1005="SALDO INICIAL")*(MOVIMIENTOS!$C$5:$C$1005="M")*(MOVIMIENTOS!$D$5:$D$1005="jabas")*(MOVIMIENTOS!$A$5:$A$1005&lt;&gt;"")*(MOVIMIENTOS!$A$5:$A$1005&lt;=$A547)*MOVIMIENTOS!$E$5:$E$1005)+SUMPRODUCT((MOVIMIENTOS!$B$5:$B$1005="PROCESO")*(MOVIMIENTOS!$C$5:$C$1005="M")*(MOVIMIENTOS!$D$5:$D$1005="jabas")*(MOVIMIENTOS!$A$5:$A$1005&lt;&gt;"")*(MOVIMIENTOS!$A$5:$A$1005&lt;=$A547)*MOVIMIENTOS!$E$5:$E$1005)-SUMPRODUCT((MOVIMIENTOS!$B$5:$B$1005="ENVÍO A SUPESA")*(MOVIMIENTOS!$C$5:$C$1005="M")*(MOVIMIENTOS!$D$5:$D$1005="jabas")*(MOVIMIENTOS!$A$5:$A$1005&lt;&gt;"")*(MOVIMIENTOS!$A$5:$A$1005&lt;=$A547)*MOVIMIENTOS!$E$5:$E$1005)+SUMPRODUCT((MOVIMIENTOS!$B$5:$B$1005="DEVOLUCIÓN")*(MOVIMIENTOS!$C$5:$C$1005="M")*(MOVIMIENTOS!$D$5:$D$1005="jabas")*(MOVIMIENTOS!$A$5:$A$1005&lt;&gt;"")*(MOVIMIENTOS!$A$5:$A$1005&lt;=$A547)*MOVIMIENTOS!$E$5:$E$1005)-SUMPRODUCT((MOVIMIENTOS!$B$5:$B$1005="TRASIEGO")*(MOVIMIENTOS!$C$5:$C$1005="M")*(MOVIMIENTOS!$D$5:$D$1005="jabas")*(MOVIMIENTOS!$A$5:$A$1005&lt;&gt;"")*(MOVIMIENTOS!$A$5:$A$1005&lt;=$A547)*MOVIMIENTOS!$E$5:$E$1005)-SUMPRODUCT((MOVIMIENTOS!$B$5:$B$1005="REGALO")*(MOVIMIENTOS!$C$5:$C$1005="M")*(MOVIMIENTOS!$D$5:$D$1005="jabas")*(MOVIMIENTOS!$A$5:$A$1005&lt;&gt;"")*(MOVIMIENTOS!$A$5:$A$1005&lt;=$A547)*MOVIMIENTOS!$E$5:$E$1005)-SUMPRODUCT((MOVIMIENTOS!$B$5:$B$1005="VENTA")*(MOVIMIENTOS!$C$5:$C$1005="M")*(MOVIMIENTOS!$D$5:$D$1005="jabas")*(MOVIMIENTOS!$A$5:$A$1005&lt;&gt;"")*(MOVIMIENTOS!$A$5:$A$1005&lt;=$A547)*MOVIMIENTOS!$E$5:$E$1005)+SUMPRODUCT((MOVIMIENTOS!$B$5:$B$1005="AJUSTE")*(MOVIMIENTOS!$C$5:$C$1005="M")*(MOVIMIENTOS!$D$5:$D$1005="jabas")*(MOVIMIENTOS!$A$5:$A$1005&lt;&gt;"")*(MOVIMIENTOS!$A$5:$A$1005&lt;=$A547)*MOVIMIENTOS!$E$5:$E$1005))</f>
        <v/>
      </c>
      <c r="F547" s="62" t="str">
        <f>IF($A547="","",SUMPRODUCT((MOVIMIENTOS!$B$5:$B$1005="SALDO INICIAL")*(MOVIMIENTOS!$C$5:$C$1005="Chancho")*(MOVIMIENTOS!$D$5:$D$1005="sacos")*(MOVIMIENTOS!$A$5:$A$1005&lt;&gt;"")*(MOVIMIENTOS!$A$5:$A$1005&lt;=$A547)*MOVIMIENTOS!$E$5:$E$1005)+SUMPRODUCT((MOVIMIENTOS!$B$5:$B$1005="PROCESO")*(MOVIMIENTOS!$C$5:$C$1005="Chancho")*(MOVIMIENTOS!$D$5:$D$1005="sacos")*(MOVIMIENTOS!$A$5:$A$1005&lt;&gt;"")*(MOVIMIENTOS!$A$5:$A$1005&lt;=$A547)*MOVIMIENTOS!$E$5:$E$1005)-SUMPRODUCT((MOVIMIENTOS!$B$5:$B$1005="VENTA CHANCHO")*(MOVIMIENTOS!$C$5:$C$1005="Chancho")*(MOVIMIENTOS!$D$5:$D$1005="sacos")*(MOVIMIENTOS!$A$5:$A$1005&lt;&gt;"")*(MOVIMIENTOS!$A$5:$A$1005&lt;=$A547)*MOVIMIENTOS!$E$5:$E$1005)-SUMPRODUCT((MOVIMIENTOS!$B$5:$B$1005="REGALO")*(MOVIMIENTOS!$C$5:$C$1005="Chancho")*(MOVIMIENTOS!$D$5:$D$1005="sacos")*(MOVIMIENTOS!$A$5:$A$1005&lt;&gt;"")*(MOVIMIENTOS!$A$5:$A$1005&lt;=$A547)*MOVIMIENTOS!$E$5:$E$1005)-SUMPRODUCT((MOVIMIENTOS!$B$5:$B$1005="VENTA")*(MOVIMIENTOS!$C$5:$C$1005="Chancho")*(MOVIMIENTOS!$D$5:$D$1005="sacos")*(MOVIMIENTOS!$A$5:$A$1005&lt;&gt;"")*(MOVIMIENTOS!$A$5:$A$1005&lt;=$A547)*MOVIMIENTOS!$E$5:$E$1005)+SUMPRODUCT((MOVIMIENTOS!$B$5:$B$1005="AJUSTE")*(MOVIMIENTOS!$C$5:$C$1005="Chancho")*(MOVIMIENTOS!$D$5:$D$1005="sacos")*(MOVIMIENTOS!$A$5:$A$1005&lt;&gt;"")*(MOVIMIENTOS!$A$5:$A$1005&lt;=$A547)*MOVIMIENTOS!$E$5:$E$1005))</f>
        <v/>
      </c>
      <c r="G547" s="62" t="str">
        <f t="shared" si="17"/>
        <v/>
      </c>
      <c r="H547" t="str">
        <f>IF($A547="","",SUMPRODUCT((((MOVIMIENTOS!$B$5:$B$1005="SALDO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547)*MOVIMIENTOS!$J$5:$J$1005))</f>
        <v/>
      </c>
      <c r="J547" t="str">
        <f>IF(AND(MOVIMIENTOS!$A552&lt;&gt;"",COUNTIF(MOVIMIENTOS!$A$5:$A551,MOVIMIENTOS!$A552)=0),COUNT(J$4:J546)+1,"")</f>
        <v/>
      </c>
      <c r="K547">
        <f>MOVIMIENTOS!$A552</f>
        <v>0</v>
      </c>
    </row>
    <row r="548" spans="1:11" ht="15" customHeight="1" x14ac:dyDescent="0.2">
      <c r="A548" t="str">
        <f t="shared" si="16"/>
        <v/>
      </c>
      <c r="B548" t="str">
        <f>IF($A548="","",SUMPRODUCT((MOVIMIENTOS!$B$5:$B$1005="SALDO INICIAL")*(MOVIMIENTOS!$C$5:$C$1005="A")*(MOVIMIENTOS!$D$5:$D$1005="jabas")*(MOVIMIENTOS!$A$5:$A$1005&lt;&gt;"")*(MOVIMIENTOS!$A$5:$A$1005&lt;=$A548)*MOVIMIENTOS!$E$5:$E$1005)+SUMPRODUCT((MOVIMIENTOS!$B$5:$B$1005="PROCESO")*(MOVIMIENTOS!$C$5:$C$1005="A")*(MOVIMIENTOS!$D$5:$D$1005="jabas")*(MOVIMIENTOS!$A$5:$A$1005&lt;&gt;"")*(MOVIMIENTOS!$A$5:$A$1005&lt;=$A548)*MOVIMIENTOS!$E$5:$E$1005)-SUMPRODUCT((MOVIMIENTOS!$B$5:$B$1005="ENVÍO A SUPESA")*(MOVIMIENTOS!$C$5:$C$1005="A")*(MOVIMIENTOS!$D$5:$D$1005="jabas")*(MOVIMIENTOS!$A$5:$A$1005&lt;&gt;"")*(MOVIMIENTOS!$A$5:$A$1005&lt;=$A548)*MOVIMIENTOS!$E$5:$E$1005)+SUMPRODUCT((MOVIMIENTOS!$B$5:$B$1005="DEVOLUCIÓN")*(MOVIMIENTOS!$C$5:$C$1005="A")*(MOVIMIENTOS!$D$5:$D$1005="jabas")*(MOVIMIENTOS!$A$5:$A$1005&lt;&gt;"")*(MOVIMIENTOS!$A$5:$A$1005&lt;=$A548)*MOVIMIENTOS!$E$5:$E$1005)-SUMPRODUCT((MOVIMIENTOS!$B$5:$B$1005="TRASIEGO")*(MOVIMIENTOS!$C$5:$C$1005="A")*(MOVIMIENTOS!$D$5:$D$1005="jabas")*(MOVIMIENTOS!$A$5:$A$1005&lt;&gt;"")*(MOVIMIENTOS!$A$5:$A$1005&lt;=$A548)*MOVIMIENTOS!$E$5:$E$1005)-SUMPRODUCT((MOVIMIENTOS!$B$5:$B$1005="REGALO")*(MOVIMIENTOS!$C$5:$C$1005="A")*(MOVIMIENTOS!$D$5:$D$1005="jabas")*(MOVIMIENTOS!$A$5:$A$1005&lt;&gt;"")*(MOVIMIENTOS!$A$5:$A$1005&lt;=$A548)*MOVIMIENTOS!$E$5:$E$1005)-SUMPRODUCT((MOVIMIENTOS!$B$5:$B$1005="VENTA")*(MOVIMIENTOS!$C$5:$C$1005="A")*(MOVIMIENTOS!$D$5:$D$1005="jabas")*(MOVIMIENTOS!$A$5:$A$1005&lt;&gt;"")*(MOVIMIENTOS!$A$5:$A$1005&lt;=$A548)*MOVIMIENTOS!$E$5:$E$1005)+SUMPRODUCT((MOVIMIENTOS!$B$5:$B$1005="AJUSTE")*(MOVIMIENTOS!$C$5:$C$1005="A")*(MOVIMIENTOS!$D$5:$D$1005="jabas")*(MOVIMIENTOS!$A$5:$A$1005&lt;&gt;"")*(MOVIMIENTOS!$A$5:$A$1005&lt;=$A548)*MOVIMIENTOS!$E$5:$E$1005))</f>
        <v/>
      </c>
      <c r="C548" t="str">
        <f>IF($A548="","",SUMPRODUCT((MOVIMIENTOS!$B$5:$B$1005="SALDO INICIAL")*(MOVIMIENTOS!$C$5:$C$1005="P")*(MOVIMIENTOS!$D$5:$D$1005="jabas")*(MOVIMIENTOS!$A$5:$A$1005&lt;&gt;"")*(MOVIMIENTOS!$A$5:$A$1005&lt;=$A548)*MOVIMIENTOS!$E$5:$E$1005)+SUMPRODUCT((MOVIMIENTOS!$B$5:$B$1005="PROCESO")*(MOVIMIENTOS!$C$5:$C$1005="P")*(MOVIMIENTOS!$D$5:$D$1005="jabas")*(MOVIMIENTOS!$A$5:$A$1005&lt;&gt;"")*(MOVIMIENTOS!$A$5:$A$1005&lt;=$A548)*MOVIMIENTOS!$E$5:$E$1005)-SUMPRODUCT((MOVIMIENTOS!$B$5:$B$1005="ENVÍO A SUPESA")*(MOVIMIENTOS!$C$5:$C$1005="P")*(MOVIMIENTOS!$D$5:$D$1005="jabas")*(MOVIMIENTOS!$A$5:$A$1005&lt;&gt;"")*(MOVIMIENTOS!$A$5:$A$1005&lt;=$A548)*MOVIMIENTOS!$E$5:$E$1005)+SUMPRODUCT((MOVIMIENTOS!$B$5:$B$1005="DEVOLUCIÓN")*(MOVIMIENTOS!$C$5:$C$1005="P")*(MOVIMIENTOS!$D$5:$D$1005="jabas")*(MOVIMIENTOS!$A$5:$A$1005&lt;&gt;"")*(MOVIMIENTOS!$A$5:$A$1005&lt;=$A548)*MOVIMIENTOS!$E$5:$E$1005)-SUMPRODUCT((MOVIMIENTOS!$B$5:$B$1005="TRASIEGO")*(MOVIMIENTOS!$C$5:$C$1005="P")*(MOVIMIENTOS!$D$5:$D$1005="jabas")*(MOVIMIENTOS!$A$5:$A$1005&lt;&gt;"")*(MOVIMIENTOS!$A$5:$A$1005&lt;=$A548)*MOVIMIENTOS!$E$5:$E$1005)-SUMPRODUCT((MOVIMIENTOS!$B$5:$B$1005="REGALO")*(MOVIMIENTOS!$C$5:$C$1005="P")*(MOVIMIENTOS!$D$5:$D$1005="jabas")*(MOVIMIENTOS!$A$5:$A$1005&lt;&gt;"")*(MOVIMIENTOS!$A$5:$A$1005&lt;=$A548)*MOVIMIENTOS!$E$5:$E$1005)-SUMPRODUCT((MOVIMIENTOS!$B$5:$B$1005="VENTA")*(MOVIMIENTOS!$C$5:$C$1005="P")*(MOVIMIENTOS!$D$5:$D$1005="jabas")*(MOVIMIENTOS!$A$5:$A$1005&lt;&gt;"")*(MOVIMIENTOS!$A$5:$A$1005&lt;=$A548)*MOVIMIENTOS!$E$5:$E$1005)+SUMPRODUCT((MOVIMIENTOS!$B$5:$B$1005="AJUSTE")*(MOVIMIENTOS!$C$5:$C$1005="P")*(MOVIMIENTOS!$D$5:$D$1005="jabas")*(MOVIMIENTOS!$A$5:$A$1005&lt;&gt;"")*(MOVIMIENTOS!$A$5:$A$1005&lt;=$A548)*MOVIMIENTOS!$E$5:$E$1005))</f>
        <v/>
      </c>
      <c r="D548" t="str">
        <f>IF($A548="","",SUMPRODUCT((MOVIMIENTOS!$B$5:$B$1005="SALDO INICIAL")*(MOVIMIENTOS!$C$5:$C$1005="C")*(MOVIMIENTOS!$D$5:$D$1005="jabas")*(MOVIMIENTOS!$A$5:$A$1005&lt;&gt;"")*(MOVIMIENTOS!$A$5:$A$1005&lt;=$A548)*MOVIMIENTOS!$E$5:$E$1005)+SUMPRODUCT((MOVIMIENTOS!$B$5:$B$1005="PROCESO")*(MOVIMIENTOS!$C$5:$C$1005="C")*(MOVIMIENTOS!$D$5:$D$1005="jabas")*(MOVIMIENTOS!$A$5:$A$1005&lt;&gt;"")*(MOVIMIENTOS!$A$5:$A$1005&lt;=$A548)*MOVIMIENTOS!$E$5:$E$1005)-SUMPRODUCT((MOVIMIENTOS!$B$5:$B$1005="ENVÍO A SUPESA")*(MOVIMIENTOS!$C$5:$C$1005="C")*(MOVIMIENTOS!$D$5:$D$1005="jabas")*(MOVIMIENTOS!$A$5:$A$1005&lt;&gt;"")*(MOVIMIENTOS!$A$5:$A$1005&lt;=$A548)*MOVIMIENTOS!$E$5:$E$1005)+SUMPRODUCT((MOVIMIENTOS!$B$5:$B$1005="DEVOLUCIÓN")*(MOVIMIENTOS!$C$5:$C$1005="C")*(MOVIMIENTOS!$D$5:$D$1005="jabas")*(MOVIMIENTOS!$A$5:$A$1005&lt;&gt;"")*(MOVIMIENTOS!$A$5:$A$1005&lt;=$A548)*MOVIMIENTOS!$E$5:$E$1005)-SUMPRODUCT((MOVIMIENTOS!$B$5:$B$1005="TRASIEGO")*(MOVIMIENTOS!$C$5:$C$1005="C")*(MOVIMIENTOS!$D$5:$D$1005="jabas")*(MOVIMIENTOS!$A$5:$A$1005&lt;&gt;"")*(MOVIMIENTOS!$A$5:$A$1005&lt;=$A548)*MOVIMIENTOS!$E$5:$E$1005)-SUMPRODUCT((MOVIMIENTOS!$B$5:$B$1005="REGALO")*(MOVIMIENTOS!$C$5:$C$1005="C")*(MOVIMIENTOS!$D$5:$D$1005="jabas")*(MOVIMIENTOS!$A$5:$A$1005&lt;&gt;"")*(MOVIMIENTOS!$A$5:$A$1005&lt;=$A548)*MOVIMIENTOS!$E$5:$E$1005)-SUMPRODUCT((MOVIMIENTOS!$B$5:$B$1005="VENTA")*(MOVIMIENTOS!$C$5:$C$1005="C")*(MOVIMIENTOS!$D$5:$D$1005="jabas")*(MOVIMIENTOS!$A$5:$A$1005&lt;&gt;"")*(MOVIMIENTOS!$A$5:$A$1005&lt;=$A548)*MOVIMIENTOS!$E$5:$E$1005)+SUMPRODUCT((MOVIMIENTOS!$B$5:$B$1005="AJUSTE")*(MOVIMIENTOS!$C$5:$C$1005="C")*(MOVIMIENTOS!$D$5:$D$1005="jabas")*(MOVIMIENTOS!$A$5:$A$1005&lt;&gt;"")*(MOVIMIENTOS!$A$5:$A$1005&lt;=$A548)*MOVIMIENTOS!$E$5:$E$1005))</f>
        <v/>
      </c>
      <c r="E548" t="str">
        <f>IF($A548="","",SUMPRODUCT((MOVIMIENTOS!$B$5:$B$1005="SALDO INICIAL")*(MOVIMIENTOS!$C$5:$C$1005="M")*(MOVIMIENTOS!$D$5:$D$1005="jabas")*(MOVIMIENTOS!$A$5:$A$1005&lt;&gt;"")*(MOVIMIENTOS!$A$5:$A$1005&lt;=$A548)*MOVIMIENTOS!$E$5:$E$1005)+SUMPRODUCT((MOVIMIENTOS!$B$5:$B$1005="PROCESO")*(MOVIMIENTOS!$C$5:$C$1005="M")*(MOVIMIENTOS!$D$5:$D$1005="jabas")*(MOVIMIENTOS!$A$5:$A$1005&lt;&gt;"")*(MOVIMIENTOS!$A$5:$A$1005&lt;=$A548)*MOVIMIENTOS!$E$5:$E$1005)-SUMPRODUCT((MOVIMIENTOS!$B$5:$B$1005="ENVÍO A SUPESA")*(MOVIMIENTOS!$C$5:$C$1005="M")*(MOVIMIENTOS!$D$5:$D$1005="jabas")*(MOVIMIENTOS!$A$5:$A$1005&lt;&gt;"")*(MOVIMIENTOS!$A$5:$A$1005&lt;=$A548)*MOVIMIENTOS!$E$5:$E$1005)+SUMPRODUCT((MOVIMIENTOS!$B$5:$B$1005="DEVOLUCIÓN")*(MOVIMIENTOS!$C$5:$C$1005="M")*(MOVIMIENTOS!$D$5:$D$1005="jabas")*(MOVIMIENTOS!$A$5:$A$1005&lt;&gt;"")*(MOVIMIENTOS!$A$5:$A$1005&lt;=$A548)*MOVIMIENTOS!$E$5:$E$1005)-SUMPRODUCT((MOVIMIENTOS!$B$5:$B$1005="TRASIEGO")*(MOVIMIENTOS!$C$5:$C$1005="M")*(MOVIMIENTOS!$D$5:$D$1005="jabas")*(MOVIMIENTOS!$A$5:$A$1005&lt;&gt;"")*(MOVIMIENTOS!$A$5:$A$1005&lt;=$A548)*MOVIMIENTOS!$E$5:$E$1005)-SUMPRODUCT((MOVIMIENTOS!$B$5:$B$1005="REGALO")*(MOVIMIENTOS!$C$5:$C$1005="M")*(MOVIMIENTOS!$D$5:$D$1005="jabas")*(MOVIMIENTOS!$A$5:$A$1005&lt;&gt;"")*(MOVIMIENTOS!$A$5:$A$1005&lt;=$A548)*MOVIMIENTOS!$E$5:$E$1005)-SUMPRODUCT((MOVIMIENTOS!$B$5:$B$1005="VENTA")*(MOVIMIENTOS!$C$5:$C$1005="M")*(MOVIMIENTOS!$D$5:$D$1005="jabas")*(MOVIMIENTOS!$A$5:$A$1005&lt;&gt;"")*(MOVIMIENTOS!$A$5:$A$1005&lt;=$A548)*MOVIMIENTOS!$E$5:$E$1005)+SUMPRODUCT((MOVIMIENTOS!$B$5:$B$1005="AJUSTE")*(MOVIMIENTOS!$C$5:$C$1005="M")*(MOVIMIENTOS!$D$5:$D$1005="jabas")*(MOVIMIENTOS!$A$5:$A$1005&lt;&gt;"")*(MOVIMIENTOS!$A$5:$A$1005&lt;=$A548)*MOVIMIENTOS!$E$5:$E$1005))</f>
        <v/>
      </c>
      <c r="F548" s="62" t="str">
        <f>IF($A548="","",SUMPRODUCT((MOVIMIENTOS!$B$5:$B$1005="SALDO INICIAL")*(MOVIMIENTOS!$C$5:$C$1005="Chancho")*(MOVIMIENTOS!$D$5:$D$1005="sacos")*(MOVIMIENTOS!$A$5:$A$1005&lt;&gt;"")*(MOVIMIENTOS!$A$5:$A$1005&lt;=$A548)*MOVIMIENTOS!$E$5:$E$1005)+SUMPRODUCT((MOVIMIENTOS!$B$5:$B$1005="PROCESO")*(MOVIMIENTOS!$C$5:$C$1005="Chancho")*(MOVIMIENTOS!$D$5:$D$1005="sacos")*(MOVIMIENTOS!$A$5:$A$1005&lt;&gt;"")*(MOVIMIENTOS!$A$5:$A$1005&lt;=$A548)*MOVIMIENTOS!$E$5:$E$1005)-SUMPRODUCT((MOVIMIENTOS!$B$5:$B$1005="VENTA CHANCHO")*(MOVIMIENTOS!$C$5:$C$1005="Chancho")*(MOVIMIENTOS!$D$5:$D$1005="sacos")*(MOVIMIENTOS!$A$5:$A$1005&lt;&gt;"")*(MOVIMIENTOS!$A$5:$A$1005&lt;=$A548)*MOVIMIENTOS!$E$5:$E$1005)-SUMPRODUCT((MOVIMIENTOS!$B$5:$B$1005="REGALO")*(MOVIMIENTOS!$C$5:$C$1005="Chancho")*(MOVIMIENTOS!$D$5:$D$1005="sacos")*(MOVIMIENTOS!$A$5:$A$1005&lt;&gt;"")*(MOVIMIENTOS!$A$5:$A$1005&lt;=$A548)*MOVIMIENTOS!$E$5:$E$1005)-SUMPRODUCT((MOVIMIENTOS!$B$5:$B$1005="VENTA")*(MOVIMIENTOS!$C$5:$C$1005="Chancho")*(MOVIMIENTOS!$D$5:$D$1005="sacos")*(MOVIMIENTOS!$A$5:$A$1005&lt;&gt;"")*(MOVIMIENTOS!$A$5:$A$1005&lt;=$A548)*MOVIMIENTOS!$E$5:$E$1005)+SUMPRODUCT((MOVIMIENTOS!$B$5:$B$1005="AJUSTE")*(MOVIMIENTOS!$C$5:$C$1005="Chancho")*(MOVIMIENTOS!$D$5:$D$1005="sacos")*(MOVIMIENTOS!$A$5:$A$1005&lt;&gt;"")*(MOVIMIENTOS!$A$5:$A$1005&lt;=$A548)*MOVIMIENTOS!$E$5:$E$1005))</f>
        <v/>
      </c>
      <c r="G548" s="62" t="str">
        <f t="shared" si="17"/>
        <v/>
      </c>
      <c r="H548" t="str">
        <f>IF($A548="","",SUMPRODUCT((((MOVIMIENTOS!$B$5:$B$1005="SALDO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548)*MOVIMIENTOS!$J$5:$J$1005))</f>
        <v/>
      </c>
      <c r="J548" t="str">
        <f>IF(AND(MOVIMIENTOS!$A553&lt;&gt;"",COUNTIF(MOVIMIENTOS!$A$5:$A552,MOVIMIENTOS!$A553)=0),COUNT(J$4:J547)+1,"")</f>
        <v/>
      </c>
      <c r="K548">
        <f>MOVIMIENTOS!$A553</f>
        <v>0</v>
      </c>
    </row>
    <row r="549" spans="1:11" ht="15" customHeight="1" x14ac:dyDescent="0.2">
      <c r="A549" t="str">
        <f t="shared" si="16"/>
        <v/>
      </c>
      <c r="B549" t="str">
        <f>IF($A549="","",SUMPRODUCT((MOVIMIENTOS!$B$5:$B$1005="SALDO INICIAL")*(MOVIMIENTOS!$C$5:$C$1005="A")*(MOVIMIENTOS!$D$5:$D$1005="jabas")*(MOVIMIENTOS!$A$5:$A$1005&lt;&gt;"")*(MOVIMIENTOS!$A$5:$A$1005&lt;=$A549)*MOVIMIENTOS!$E$5:$E$1005)+SUMPRODUCT((MOVIMIENTOS!$B$5:$B$1005="PROCESO")*(MOVIMIENTOS!$C$5:$C$1005="A")*(MOVIMIENTOS!$D$5:$D$1005="jabas")*(MOVIMIENTOS!$A$5:$A$1005&lt;&gt;"")*(MOVIMIENTOS!$A$5:$A$1005&lt;=$A549)*MOVIMIENTOS!$E$5:$E$1005)-SUMPRODUCT((MOVIMIENTOS!$B$5:$B$1005="ENVÍO A SUPESA")*(MOVIMIENTOS!$C$5:$C$1005="A")*(MOVIMIENTOS!$D$5:$D$1005="jabas")*(MOVIMIENTOS!$A$5:$A$1005&lt;&gt;"")*(MOVIMIENTOS!$A$5:$A$1005&lt;=$A549)*MOVIMIENTOS!$E$5:$E$1005)+SUMPRODUCT((MOVIMIENTOS!$B$5:$B$1005="DEVOLUCIÓN")*(MOVIMIENTOS!$C$5:$C$1005="A")*(MOVIMIENTOS!$D$5:$D$1005="jabas")*(MOVIMIENTOS!$A$5:$A$1005&lt;&gt;"")*(MOVIMIENTOS!$A$5:$A$1005&lt;=$A549)*MOVIMIENTOS!$E$5:$E$1005)-SUMPRODUCT((MOVIMIENTOS!$B$5:$B$1005="TRASIEGO")*(MOVIMIENTOS!$C$5:$C$1005="A")*(MOVIMIENTOS!$D$5:$D$1005="jabas")*(MOVIMIENTOS!$A$5:$A$1005&lt;&gt;"")*(MOVIMIENTOS!$A$5:$A$1005&lt;=$A549)*MOVIMIENTOS!$E$5:$E$1005)-SUMPRODUCT((MOVIMIENTOS!$B$5:$B$1005="REGALO")*(MOVIMIENTOS!$C$5:$C$1005="A")*(MOVIMIENTOS!$D$5:$D$1005="jabas")*(MOVIMIENTOS!$A$5:$A$1005&lt;&gt;"")*(MOVIMIENTOS!$A$5:$A$1005&lt;=$A549)*MOVIMIENTOS!$E$5:$E$1005)-SUMPRODUCT((MOVIMIENTOS!$B$5:$B$1005="VENTA")*(MOVIMIENTOS!$C$5:$C$1005="A")*(MOVIMIENTOS!$D$5:$D$1005="jabas")*(MOVIMIENTOS!$A$5:$A$1005&lt;&gt;"")*(MOVIMIENTOS!$A$5:$A$1005&lt;=$A549)*MOVIMIENTOS!$E$5:$E$1005)+SUMPRODUCT((MOVIMIENTOS!$B$5:$B$1005="AJUSTE")*(MOVIMIENTOS!$C$5:$C$1005="A")*(MOVIMIENTOS!$D$5:$D$1005="jabas")*(MOVIMIENTOS!$A$5:$A$1005&lt;&gt;"")*(MOVIMIENTOS!$A$5:$A$1005&lt;=$A549)*MOVIMIENTOS!$E$5:$E$1005))</f>
        <v/>
      </c>
      <c r="C549" t="str">
        <f>IF($A549="","",SUMPRODUCT((MOVIMIENTOS!$B$5:$B$1005="SALDO INICIAL")*(MOVIMIENTOS!$C$5:$C$1005="P")*(MOVIMIENTOS!$D$5:$D$1005="jabas")*(MOVIMIENTOS!$A$5:$A$1005&lt;&gt;"")*(MOVIMIENTOS!$A$5:$A$1005&lt;=$A549)*MOVIMIENTOS!$E$5:$E$1005)+SUMPRODUCT((MOVIMIENTOS!$B$5:$B$1005="PROCESO")*(MOVIMIENTOS!$C$5:$C$1005="P")*(MOVIMIENTOS!$D$5:$D$1005="jabas")*(MOVIMIENTOS!$A$5:$A$1005&lt;&gt;"")*(MOVIMIENTOS!$A$5:$A$1005&lt;=$A549)*MOVIMIENTOS!$E$5:$E$1005)-SUMPRODUCT((MOVIMIENTOS!$B$5:$B$1005="ENVÍO A SUPESA")*(MOVIMIENTOS!$C$5:$C$1005="P")*(MOVIMIENTOS!$D$5:$D$1005="jabas")*(MOVIMIENTOS!$A$5:$A$1005&lt;&gt;"")*(MOVIMIENTOS!$A$5:$A$1005&lt;=$A549)*MOVIMIENTOS!$E$5:$E$1005)+SUMPRODUCT((MOVIMIENTOS!$B$5:$B$1005="DEVOLUCIÓN")*(MOVIMIENTOS!$C$5:$C$1005="P")*(MOVIMIENTOS!$D$5:$D$1005="jabas")*(MOVIMIENTOS!$A$5:$A$1005&lt;&gt;"")*(MOVIMIENTOS!$A$5:$A$1005&lt;=$A549)*MOVIMIENTOS!$E$5:$E$1005)-SUMPRODUCT((MOVIMIENTOS!$B$5:$B$1005="TRASIEGO")*(MOVIMIENTOS!$C$5:$C$1005="P")*(MOVIMIENTOS!$D$5:$D$1005="jabas")*(MOVIMIENTOS!$A$5:$A$1005&lt;&gt;"")*(MOVIMIENTOS!$A$5:$A$1005&lt;=$A549)*MOVIMIENTOS!$E$5:$E$1005)-SUMPRODUCT((MOVIMIENTOS!$B$5:$B$1005="REGALO")*(MOVIMIENTOS!$C$5:$C$1005="P")*(MOVIMIENTOS!$D$5:$D$1005="jabas")*(MOVIMIENTOS!$A$5:$A$1005&lt;&gt;"")*(MOVIMIENTOS!$A$5:$A$1005&lt;=$A549)*MOVIMIENTOS!$E$5:$E$1005)-SUMPRODUCT((MOVIMIENTOS!$B$5:$B$1005="VENTA")*(MOVIMIENTOS!$C$5:$C$1005="P")*(MOVIMIENTOS!$D$5:$D$1005="jabas")*(MOVIMIENTOS!$A$5:$A$1005&lt;&gt;"")*(MOVIMIENTOS!$A$5:$A$1005&lt;=$A549)*MOVIMIENTOS!$E$5:$E$1005)+SUMPRODUCT((MOVIMIENTOS!$B$5:$B$1005="AJUSTE")*(MOVIMIENTOS!$C$5:$C$1005="P")*(MOVIMIENTOS!$D$5:$D$1005="jabas")*(MOVIMIENTOS!$A$5:$A$1005&lt;&gt;"")*(MOVIMIENTOS!$A$5:$A$1005&lt;=$A549)*MOVIMIENTOS!$E$5:$E$1005))</f>
        <v/>
      </c>
      <c r="D549" t="str">
        <f>IF($A549="","",SUMPRODUCT((MOVIMIENTOS!$B$5:$B$1005="SALDO INICIAL")*(MOVIMIENTOS!$C$5:$C$1005="C")*(MOVIMIENTOS!$D$5:$D$1005="jabas")*(MOVIMIENTOS!$A$5:$A$1005&lt;&gt;"")*(MOVIMIENTOS!$A$5:$A$1005&lt;=$A549)*MOVIMIENTOS!$E$5:$E$1005)+SUMPRODUCT((MOVIMIENTOS!$B$5:$B$1005="PROCESO")*(MOVIMIENTOS!$C$5:$C$1005="C")*(MOVIMIENTOS!$D$5:$D$1005="jabas")*(MOVIMIENTOS!$A$5:$A$1005&lt;&gt;"")*(MOVIMIENTOS!$A$5:$A$1005&lt;=$A549)*MOVIMIENTOS!$E$5:$E$1005)-SUMPRODUCT((MOVIMIENTOS!$B$5:$B$1005="ENVÍO A SUPESA")*(MOVIMIENTOS!$C$5:$C$1005="C")*(MOVIMIENTOS!$D$5:$D$1005="jabas")*(MOVIMIENTOS!$A$5:$A$1005&lt;&gt;"")*(MOVIMIENTOS!$A$5:$A$1005&lt;=$A549)*MOVIMIENTOS!$E$5:$E$1005)+SUMPRODUCT((MOVIMIENTOS!$B$5:$B$1005="DEVOLUCIÓN")*(MOVIMIENTOS!$C$5:$C$1005="C")*(MOVIMIENTOS!$D$5:$D$1005="jabas")*(MOVIMIENTOS!$A$5:$A$1005&lt;&gt;"")*(MOVIMIENTOS!$A$5:$A$1005&lt;=$A549)*MOVIMIENTOS!$E$5:$E$1005)-SUMPRODUCT((MOVIMIENTOS!$B$5:$B$1005="TRASIEGO")*(MOVIMIENTOS!$C$5:$C$1005="C")*(MOVIMIENTOS!$D$5:$D$1005="jabas")*(MOVIMIENTOS!$A$5:$A$1005&lt;&gt;"")*(MOVIMIENTOS!$A$5:$A$1005&lt;=$A549)*MOVIMIENTOS!$E$5:$E$1005)-SUMPRODUCT((MOVIMIENTOS!$B$5:$B$1005="REGALO")*(MOVIMIENTOS!$C$5:$C$1005="C")*(MOVIMIENTOS!$D$5:$D$1005="jabas")*(MOVIMIENTOS!$A$5:$A$1005&lt;&gt;"")*(MOVIMIENTOS!$A$5:$A$1005&lt;=$A549)*MOVIMIENTOS!$E$5:$E$1005)-SUMPRODUCT((MOVIMIENTOS!$B$5:$B$1005="VENTA")*(MOVIMIENTOS!$C$5:$C$1005="C")*(MOVIMIENTOS!$D$5:$D$1005="jabas")*(MOVIMIENTOS!$A$5:$A$1005&lt;&gt;"")*(MOVIMIENTOS!$A$5:$A$1005&lt;=$A549)*MOVIMIENTOS!$E$5:$E$1005)+SUMPRODUCT((MOVIMIENTOS!$B$5:$B$1005="AJUSTE")*(MOVIMIENTOS!$C$5:$C$1005="C")*(MOVIMIENTOS!$D$5:$D$1005="jabas")*(MOVIMIENTOS!$A$5:$A$1005&lt;&gt;"")*(MOVIMIENTOS!$A$5:$A$1005&lt;=$A549)*MOVIMIENTOS!$E$5:$E$1005))</f>
        <v/>
      </c>
      <c r="E549" t="str">
        <f>IF($A549="","",SUMPRODUCT((MOVIMIENTOS!$B$5:$B$1005="SALDO INICIAL")*(MOVIMIENTOS!$C$5:$C$1005="M")*(MOVIMIENTOS!$D$5:$D$1005="jabas")*(MOVIMIENTOS!$A$5:$A$1005&lt;&gt;"")*(MOVIMIENTOS!$A$5:$A$1005&lt;=$A549)*MOVIMIENTOS!$E$5:$E$1005)+SUMPRODUCT((MOVIMIENTOS!$B$5:$B$1005="PROCESO")*(MOVIMIENTOS!$C$5:$C$1005="M")*(MOVIMIENTOS!$D$5:$D$1005="jabas")*(MOVIMIENTOS!$A$5:$A$1005&lt;&gt;"")*(MOVIMIENTOS!$A$5:$A$1005&lt;=$A549)*MOVIMIENTOS!$E$5:$E$1005)-SUMPRODUCT((MOVIMIENTOS!$B$5:$B$1005="ENVÍO A SUPESA")*(MOVIMIENTOS!$C$5:$C$1005="M")*(MOVIMIENTOS!$D$5:$D$1005="jabas")*(MOVIMIENTOS!$A$5:$A$1005&lt;&gt;"")*(MOVIMIENTOS!$A$5:$A$1005&lt;=$A549)*MOVIMIENTOS!$E$5:$E$1005)+SUMPRODUCT((MOVIMIENTOS!$B$5:$B$1005="DEVOLUCIÓN")*(MOVIMIENTOS!$C$5:$C$1005="M")*(MOVIMIENTOS!$D$5:$D$1005="jabas")*(MOVIMIENTOS!$A$5:$A$1005&lt;&gt;"")*(MOVIMIENTOS!$A$5:$A$1005&lt;=$A549)*MOVIMIENTOS!$E$5:$E$1005)-SUMPRODUCT((MOVIMIENTOS!$B$5:$B$1005="TRASIEGO")*(MOVIMIENTOS!$C$5:$C$1005="M")*(MOVIMIENTOS!$D$5:$D$1005="jabas")*(MOVIMIENTOS!$A$5:$A$1005&lt;&gt;"")*(MOVIMIENTOS!$A$5:$A$1005&lt;=$A549)*MOVIMIENTOS!$E$5:$E$1005)-SUMPRODUCT((MOVIMIENTOS!$B$5:$B$1005="REGALO")*(MOVIMIENTOS!$C$5:$C$1005="M")*(MOVIMIENTOS!$D$5:$D$1005="jabas")*(MOVIMIENTOS!$A$5:$A$1005&lt;&gt;"")*(MOVIMIENTOS!$A$5:$A$1005&lt;=$A549)*MOVIMIENTOS!$E$5:$E$1005)-SUMPRODUCT((MOVIMIENTOS!$B$5:$B$1005="VENTA")*(MOVIMIENTOS!$C$5:$C$1005="M")*(MOVIMIENTOS!$D$5:$D$1005="jabas")*(MOVIMIENTOS!$A$5:$A$1005&lt;&gt;"")*(MOVIMIENTOS!$A$5:$A$1005&lt;=$A549)*MOVIMIENTOS!$E$5:$E$1005)+SUMPRODUCT((MOVIMIENTOS!$B$5:$B$1005="AJUSTE")*(MOVIMIENTOS!$C$5:$C$1005="M")*(MOVIMIENTOS!$D$5:$D$1005="jabas")*(MOVIMIENTOS!$A$5:$A$1005&lt;&gt;"")*(MOVIMIENTOS!$A$5:$A$1005&lt;=$A549)*MOVIMIENTOS!$E$5:$E$1005))</f>
        <v/>
      </c>
      <c r="F549" s="62" t="str">
        <f>IF($A549="","",SUMPRODUCT((MOVIMIENTOS!$B$5:$B$1005="SALDO INICIAL")*(MOVIMIENTOS!$C$5:$C$1005="Chancho")*(MOVIMIENTOS!$D$5:$D$1005="sacos")*(MOVIMIENTOS!$A$5:$A$1005&lt;&gt;"")*(MOVIMIENTOS!$A$5:$A$1005&lt;=$A549)*MOVIMIENTOS!$E$5:$E$1005)+SUMPRODUCT((MOVIMIENTOS!$B$5:$B$1005="PROCESO")*(MOVIMIENTOS!$C$5:$C$1005="Chancho")*(MOVIMIENTOS!$D$5:$D$1005="sacos")*(MOVIMIENTOS!$A$5:$A$1005&lt;&gt;"")*(MOVIMIENTOS!$A$5:$A$1005&lt;=$A549)*MOVIMIENTOS!$E$5:$E$1005)-SUMPRODUCT((MOVIMIENTOS!$B$5:$B$1005="VENTA CHANCHO")*(MOVIMIENTOS!$C$5:$C$1005="Chancho")*(MOVIMIENTOS!$D$5:$D$1005="sacos")*(MOVIMIENTOS!$A$5:$A$1005&lt;&gt;"")*(MOVIMIENTOS!$A$5:$A$1005&lt;=$A549)*MOVIMIENTOS!$E$5:$E$1005)-SUMPRODUCT((MOVIMIENTOS!$B$5:$B$1005="REGALO")*(MOVIMIENTOS!$C$5:$C$1005="Chancho")*(MOVIMIENTOS!$D$5:$D$1005="sacos")*(MOVIMIENTOS!$A$5:$A$1005&lt;&gt;"")*(MOVIMIENTOS!$A$5:$A$1005&lt;=$A549)*MOVIMIENTOS!$E$5:$E$1005)-SUMPRODUCT((MOVIMIENTOS!$B$5:$B$1005="VENTA")*(MOVIMIENTOS!$C$5:$C$1005="Chancho")*(MOVIMIENTOS!$D$5:$D$1005="sacos")*(MOVIMIENTOS!$A$5:$A$1005&lt;&gt;"")*(MOVIMIENTOS!$A$5:$A$1005&lt;=$A549)*MOVIMIENTOS!$E$5:$E$1005)+SUMPRODUCT((MOVIMIENTOS!$B$5:$B$1005="AJUSTE")*(MOVIMIENTOS!$C$5:$C$1005="Chancho")*(MOVIMIENTOS!$D$5:$D$1005="sacos")*(MOVIMIENTOS!$A$5:$A$1005&lt;&gt;"")*(MOVIMIENTOS!$A$5:$A$1005&lt;=$A549)*MOVIMIENTOS!$E$5:$E$1005))</f>
        <v/>
      </c>
      <c r="G549" s="62" t="str">
        <f t="shared" si="17"/>
        <v/>
      </c>
      <c r="H549" t="str">
        <f>IF($A549="","",SUMPRODUCT((((MOVIMIENTOS!$B$5:$B$1005="SALDO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549)*MOVIMIENTOS!$J$5:$J$1005))</f>
        <v/>
      </c>
      <c r="J549" t="str">
        <f>IF(AND(MOVIMIENTOS!$A554&lt;&gt;"",COUNTIF(MOVIMIENTOS!$A$5:$A553,MOVIMIENTOS!$A554)=0),COUNT(J$4:J548)+1,"")</f>
        <v/>
      </c>
      <c r="K549">
        <f>MOVIMIENTOS!$A554</f>
        <v>0</v>
      </c>
    </row>
    <row r="550" spans="1:11" ht="15" customHeight="1" x14ac:dyDescent="0.2">
      <c r="A550" t="str">
        <f t="shared" si="16"/>
        <v/>
      </c>
      <c r="B550" t="str">
        <f>IF($A550="","",SUMPRODUCT((MOVIMIENTOS!$B$5:$B$1005="SALDO INICIAL")*(MOVIMIENTOS!$C$5:$C$1005="A")*(MOVIMIENTOS!$D$5:$D$1005="jabas")*(MOVIMIENTOS!$A$5:$A$1005&lt;&gt;"")*(MOVIMIENTOS!$A$5:$A$1005&lt;=$A550)*MOVIMIENTOS!$E$5:$E$1005)+SUMPRODUCT((MOVIMIENTOS!$B$5:$B$1005="PROCESO")*(MOVIMIENTOS!$C$5:$C$1005="A")*(MOVIMIENTOS!$D$5:$D$1005="jabas")*(MOVIMIENTOS!$A$5:$A$1005&lt;&gt;"")*(MOVIMIENTOS!$A$5:$A$1005&lt;=$A550)*MOVIMIENTOS!$E$5:$E$1005)-SUMPRODUCT((MOVIMIENTOS!$B$5:$B$1005="ENVÍO A SUPESA")*(MOVIMIENTOS!$C$5:$C$1005="A")*(MOVIMIENTOS!$D$5:$D$1005="jabas")*(MOVIMIENTOS!$A$5:$A$1005&lt;&gt;"")*(MOVIMIENTOS!$A$5:$A$1005&lt;=$A550)*MOVIMIENTOS!$E$5:$E$1005)+SUMPRODUCT((MOVIMIENTOS!$B$5:$B$1005="DEVOLUCIÓN")*(MOVIMIENTOS!$C$5:$C$1005="A")*(MOVIMIENTOS!$D$5:$D$1005="jabas")*(MOVIMIENTOS!$A$5:$A$1005&lt;&gt;"")*(MOVIMIENTOS!$A$5:$A$1005&lt;=$A550)*MOVIMIENTOS!$E$5:$E$1005)-SUMPRODUCT((MOVIMIENTOS!$B$5:$B$1005="TRASIEGO")*(MOVIMIENTOS!$C$5:$C$1005="A")*(MOVIMIENTOS!$D$5:$D$1005="jabas")*(MOVIMIENTOS!$A$5:$A$1005&lt;&gt;"")*(MOVIMIENTOS!$A$5:$A$1005&lt;=$A550)*MOVIMIENTOS!$E$5:$E$1005)-SUMPRODUCT((MOVIMIENTOS!$B$5:$B$1005="REGALO")*(MOVIMIENTOS!$C$5:$C$1005="A")*(MOVIMIENTOS!$D$5:$D$1005="jabas")*(MOVIMIENTOS!$A$5:$A$1005&lt;&gt;"")*(MOVIMIENTOS!$A$5:$A$1005&lt;=$A550)*MOVIMIENTOS!$E$5:$E$1005)-SUMPRODUCT((MOVIMIENTOS!$B$5:$B$1005="VENTA")*(MOVIMIENTOS!$C$5:$C$1005="A")*(MOVIMIENTOS!$D$5:$D$1005="jabas")*(MOVIMIENTOS!$A$5:$A$1005&lt;&gt;"")*(MOVIMIENTOS!$A$5:$A$1005&lt;=$A550)*MOVIMIENTOS!$E$5:$E$1005)+SUMPRODUCT((MOVIMIENTOS!$B$5:$B$1005="AJUSTE")*(MOVIMIENTOS!$C$5:$C$1005="A")*(MOVIMIENTOS!$D$5:$D$1005="jabas")*(MOVIMIENTOS!$A$5:$A$1005&lt;&gt;"")*(MOVIMIENTOS!$A$5:$A$1005&lt;=$A550)*MOVIMIENTOS!$E$5:$E$1005))</f>
        <v/>
      </c>
      <c r="C550" t="str">
        <f>IF($A550="","",SUMPRODUCT((MOVIMIENTOS!$B$5:$B$1005="SALDO INICIAL")*(MOVIMIENTOS!$C$5:$C$1005="P")*(MOVIMIENTOS!$D$5:$D$1005="jabas")*(MOVIMIENTOS!$A$5:$A$1005&lt;&gt;"")*(MOVIMIENTOS!$A$5:$A$1005&lt;=$A550)*MOVIMIENTOS!$E$5:$E$1005)+SUMPRODUCT((MOVIMIENTOS!$B$5:$B$1005="PROCESO")*(MOVIMIENTOS!$C$5:$C$1005="P")*(MOVIMIENTOS!$D$5:$D$1005="jabas")*(MOVIMIENTOS!$A$5:$A$1005&lt;&gt;"")*(MOVIMIENTOS!$A$5:$A$1005&lt;=$A550)*MOVIMIENTOS!$E$5:$E$1005)-SUMPRODUCT((MOVIMIENTOS!$B$5:$B$1005="ENVÍO A SUPESA")*(MOVIMIENTOS!$C$5:$C$1005="P")*(MOVIMIENTOS!$D$5:$D$1005="jabas")*(MOVIMIENTOS!$A$5:$A$1005&lt;&gt;"")*(MOVIMIENTOS!$A$5:$A$1005&lt;=$A550)*MOVIMIENTOS!$E$5:$E$1005)+SUMPRODUCT((MOVIMIENTOS!$B$5:$B$1005="DEVOLUCIÓN")*(MOVIMIENTOS!$C$5:$C$1005="P")*(MOVIMIENTOS!$D$5:$D$1005="jabas")*(MOVIMIENTOS!$A$5:$A$1005&lt;&gt;"")*(MOVIMIENTOS!$A$5:$A$1005&lt;=$A550)*MOVIMIENTOS!$E$5:$E$1005)-SUMPRODUCT((MOVIMIENTOS!$B$5:$B$1005="TRASIEGO")*(MOVIMIENTOS!$C$5:$C$1005="P")*(MOVIMIENTOS!$D$5:$D$1005="jabas")*(MOVIMIENTOS!$A$5:$A$1005&lt;&gt;"")*(MOVIMIENTOS!$A$5:$A$1005&lt;=$A550)*MOVIMIENTOS!$E$5:$E$1005)-SUMPRODUCT((MOVIMIENTOS!$B$5:$B$1005="REGALO")*(MOVIMIENTOS!$C$5:$C$1005="P")*(MOVIMIENTOS!$D$5:$D$1005="jabas")*(MOVIMIENTOS!$A$5:$A$1005&lt;&gt;"")*(MOVIMIENTOS!$A$5:$A$1005&lt;=$A550)*MOVIMIENTOS!$E$5:$E$1005)-SUMPRODUCT((MOVIMIENTOS!$B$5:$B$1005="VENTA")*(MOVIMIENTOS!$C$5:$C$1005="P")*(MOVIMIENTOS!$D$5:$D$1005="jabas")*(MOVIMIENTOS!$A$5:$A$1005&lt;&gt;"")*(MOVIMIENTOS!$A$5:$A$1005&lt;=$A550)*MOVIMIENTOS!$E$5:$E$1005)+SUMPRODUCT((MOVIMIENTOS!$B$5:$B$1005="AJUSTE")*(MOVIMIENTOS!$C$5:$C$1005="P")*(MOVIMIENTOS!$D$5:$D$1005="jabas")*(MOVIMIENTOS!$A$5:$A$1005&lt;&gt;"")*(MOVIMIENTOS!$A$5:$A$1005&lt;=$A550)*MOVIMIENTOS!$E$5:$E$1005))</f>
        <v/>
      </c>
      <c r="D550" t="str">
        <f>IF($A550="","",SUMPRODUCT((MOVIMIENTOS!$B$5:$B$1005="SALDO INICIAL")*(MOVIMIENTOS!$C$5:$C$1005="C")*(MOVIMIENTOS!$D$5:$D$1005="jabas")*(MOVIMIENTOS!$A$5:$A$1005&lt;&gt;"")*(MOVIMIENTOS!$A$5:$A$1005&lt;=$A550)*MOVIMIENTOS!$E$5:$E$1005)+SUMPRODUCT((MOVIMIENTOS!$B$5:$B$1005="PROCESO")*(MOVIMIENTOS!$C$5:$C$1005="C")*(MOVIMIENTOS!$D$5:$D$1005="jabas")*(MOVIMIENTOS!$A$5:$A$1005&lt;&gt;"")*(MOVIMIENTOS!$A$5:$A$1005&lt;=$A550)*MOVIMIENTOS!$E$5:$E$1005)-SUMPRODUCT((MOVIMIENTOS!$B$5:$B$1005="ENVÍO A SUPESA")*(MOVIMIENTOS!$C$5:$C$1005="C")*(MOVIMIENTOS!$D$5:$D$1005="jabas")*(MOVIMIENTOS!$A$5:$A$1005&lt;&gt;"")*(MOVIMIENTOS!$A$5:$A$1005&lt;=$A550)*MOVIMIENTOS!$E$5:$E$1005)+SUMPRODUCT((MOVIMIENTOS!$B$5:$B$1005="DEVOLUCIÓN")*(MOVIMIENTOS!$C$5:$C$1005="C")*(MOVIMIENTOS!$D$5:$D$1005="jabas")*(MOVIMIENTOS!$A$5:$A$1005&lt;&gt;"")*(MOVIMIENTOS!$A$5:$A$1005&lt;=$A550)*MOVIMIENTOS!$E$5:$E$1005)-SUMPRODUCT((MOVIMIENTOS!$B$5:$B$1005="TRASIEGO")*(MOVIMIENTOS!$C$5:$C$1005="C")*(MOVIMIENTOS!$D$5:$D$1005="jabas")*(MOVIMIENTOS!$A$5:$A$1005&lt;&gt;"")*(MOVIMIENTOS!$A$5:$A$1005&lt;=$A550)*MOVIMIENTOS!$E$5:$E$1005)-SUMPRODUCT((MOVIMIENTOS!$B$5:$B$1005="REGALO")*(MOVIMIENTOS!$C$5:$C$1005="C")*(MOVIMIENTOS!$D$5:$D$1005="jabas")*(MOVIMIENTOS!$A$5:$A$1005&lt;&gt;"")*(MOVIMIENTOS!$A$5:$A$1005&lt;=$A550)*MOVIMIENTOS!$E$5:$E$1005)-SUMPRODUCT((MOVIMIENTOS!$B$5:$B$1005="VENTA")*(MOVIMIENTOS!$C$5:$C$1005="C")*(MOVIMIENTOS!$D$5:$D$1005="jabas")*(MOVIMIENTOS!$A$5:$A$1005&lt;&gt;"")*(MOVIMIENTOS!$A$5:$A$1005&lt;=$A550)*MOVIMIENTOS!$E$5:$E$1005)+SUMPRODUCT((MOVIMIENTOS!$B$5:$B$1005="AJUSTE")*(MOVIMIENTOS!$C$5:$C$1005="C")*(MOVIMIENTOS!$D$5:$D$1005="jabas")*(MOVIMIENTOS!$A$5:$A$1005&lt;&gt;"")*(MOVIMIENTOS!$A$5:$A$1005&lt;=$A550)*MOVIMIENTOS!$E$5:$E$1005))</f>
        <v/>
      </c>
      <c r="E550" t="str">
        <f>IF($A550="","",SUMPRODUCT((MOVIMIENTOS!$B$5:$B$1005="SALDO INICIAL")*(MOVIMIENTOS!$C$5:$C$1005="M")*(MOVIMIENTOS!$D$5:$D$1005="jabas")*(MOVIMIENTOS!$A$5:$A$1005&lt;&gt;"")*(MOVIMIENTOS!$A$5:$A$1005&lt;=$A550)*MOVIMIENTOS!$E$5:$E$1005)+SUMPRODUCT((MOVIMIENTOS!$B$5:$B$1005="PROCESO")*(MOVIMIENTOS!$C$5:$C$1005="M")*(MOVIMIENTOS!$D$5:$D$1005="jabas")*(MOVIMIENTOS!$A$5:$A$1005&lt;&gt;"")*(MOVIMIENTOS!$A$5:$A$1005&lt;=$A550)*MOVIMIENTOS!$E$5:$E$1005)-SUMPRODUCT((MOVIMIENTOS!$B$5:$B$1005="ENVÍO A SUPESA")*(MOVIMIENTOS!$C$5:$C$1005="M")*(MOVIMIENTOS!$D$5:$D$1005="jabas")*(MOVIMIENTOS!$A$5:$A$1005&lt;&gt;"")*(MOVIMIENTOS!$A$5:$A$1005&lt;=$A550)*MOVIMIENTOS!$E$5:$E$1005)+SUMPRODUCT((MOVIMIENTOS!$B$5:$B$1005="DEVOLUCIÓN")*(MOVIMIENTOS!$C$5:$C$1005="M")*(MOVIMIENTOS!$D$5:$D$1005="jabas")*(MOVIMIENTOS!$A$5:$A$1005&lt;&gt;"")*(MOVIMIENTOS!$A$5:$A$1005&lt;=$A550)*MOVIMIENTOS!$E$5:$E$1005)-SUMPRODUCT((MOVIMIENTOS!$B$5:$B$1005="TRASIEGO")*(MOVIMIENTOS!$C$5:$C$1005="M")*(MOVIMIENTOS!$D$5:$D$1005="jabas")*(MOVIMIENTOS!$A$5:$A$1005&lt;&gt;"")*(MOVIMIENTOS!$A$5:$A$1005&lt;=$A550)*MOVIMIENTOS!$E$5:$E$1005)-SUMPRODUCT((MOVIMIENTOS!$B$5:$B$1005="REGALO")*(MOVIMIENTOS!$C$5:$C$1005="M")*(MOVIMIENTOS!$D$5:$D$1005="jabas")*(MOVIMIENTOS!$A$5:$A$1005&lt;&gt;"")*(MOVIMIENTOS!$A$5:$A$1005&lt;=$A550)*MOVIMIENTOS!$E$5:$E$1005)-SUMPRODUCT((MOVIMIENTOS!$B$5:$B$1005="VENTA")*(MOVIMIENTOS!$C$5:$C$1005="M")*(MOVIMIENTOS!$D$5:$D$1005="jabas")*(MOVIMIENTOS!$A$5:$A$1005&lt;&gt;"")*(MOVIMIENTOS!$A$5:$A$1005&lt;=$A550)*MOVIMIENTOS!$E$5:$E$1005)+SUMPRODUCT((MOVIMIENTOS!$B$5:$B$1005="AJUSTE")*(MOVIMIENTOS!$C$5:$C$1005="M")*(MOVIMIENTOS!$D$5:$D$1005="jabas")*(MOVIMIENTOS!$A$5:$A$1005&lt;&gt;"")*(MOVIMIENTOS!$A$5:$A$1005&lt;=$A550)*MOVIMIENTOS!$E$5:$E$1005))</f>
        <v/>
      </c>
      <c r="F550" s="62" t="str">
        <f>IF($A550="","",SUMPRODUCT((MOVIMIENTOS!$B$5:$B$1005="SALDO INICIAL")*(MOVIMIENTOS!$C$5:$C$1005="Chancho")*(MOVIMIENTOS!$D$5:$D$1005="sacos")*(MOVIMIENTOS!$A$5:$A$1005&lt;&gt;"")*(MOVIMIENTOS!$A$5:$A$1005&lt;=$A550)*MOVIMIENTOS!$E$5:$E$1005)+SUMPRODUCT((MOVIMIENTOS!$B$5:$B$1005="PROCESO")*(MOVIMIENTOS!$C$5:$C$1005="Chancho")*(MOVIMIENTOS!$D$5:$D$1005="sacos")*(MOVIMIENTOS!$A$5:$A$1005&lt;&gt;"")*(MOVIMIENTOS!$A$5:$A$1005&lt;=$A550)*MOVIMIENTOS!$E$5:$E$1005)-SUMPRODUCT((MOVIMIENTOS!$B$5:$B$1005="VENTA CHANCHO")*(MOVIMIENTOS!$C$5:$C$1005="Chancho")*(MOVIMIENTOS!$D$5:$D$1005="sacos")*(MOVIMIENTOS!$A$5:$A$1005&lt;&gt;"")*(MOVIMIENTOS!$A$5:$A$1005&lt;=$A550)*MOVIMIENTOS!$E$5:$E$1005)-SUMPRODUCT((MOVIMIENTOS!$B$5:$B$1005="REGALO")*(MOVIMIENTOS!$C$5:$C$1005="Chancho")*(MOVIMIENTOS!$D$5:$D$1005="sacos")*(MOVIMIENTOS!$A$5:$A$1005&lt;&gt;"")*(MOVIMIENTOS!$A$5:$A$1005&lt;=$A550)*MOVIMIENTOS!$E$5:$E$1005)-SUMPRODUCT((MOVIMIENTOS!$B$5:$B$1005="VENTA")*(MOVIMIENTOS!$C$5:$C$1005="Chancho")*(MOVIMIENTOS!$D$5:$D$1005="sacos")*(MOVIMIENTOS!$A$5:$A$1005&lt;&gt;"")*(MOVIMIENTOS!$A$5:$A$1005&lt;=$A550)*MOVIMIENTOS!$E$5:$E$1005)+SUMPRODUCT((MOVIMIENTOS!$B$5:$B$1005="AJUSTE")*(MOVIMIENTOS!$C$5:$C$1005="Chancho")*(MOVIMIENTOS!$D$5:$D$1005="sacos")*(MOVIMIENTOS!$A$5:$A$1005&lt;&gt;"")*(MOVIMIENTOS!$A$5:$A$1005&lt;=$A550)*MOVIMIENTOS!$E$5:$E$1005))</f>
        <v/>
      </c>
      <c r="G550" s="62" t="str">
        <f t="shared" si="17"/>
        <v/>
      </c>
      <c r="H550" t="str">
        <f>IF($A550="","",SUMPRODUCT((((MOVIMIENTOS!$B$5:$B$1005="SALDO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550)*MOVIMIENTOS!$J$5:$J$1005))</f>
        <v/>
      </c>
      <c r="J550" t="str">
        <f>IF(AND(MOVIMIENTOS!$A555&lt;&gt;"",COUNTIF(MOVIMIENTOS!$A$5:$A554,MOVIMIENTOS!$A555)=0),COUNT(J$4:J549)+1,"")</f>
        <v/>
      </c>
      <c r="K550">
        <f>MOVIMIENTOS!$A555</f>
        <v>0</v>
      </c>
    </row>
    <row r="551" spans="1:11" ht="15" customHeight="1" x14ac:dyDescent="0.2">
      <c r="A551" t="str">
        <f t="shared" si="16"/>
        <v/>
      </c>
      <c r="B551" t="str">
        <f>IF($A551="","",SUMPRODUCT((MOVIMIENTOS!$B$5:$B$1005="SALDO INICIAL")*(MOVIMIENTOS!$C$5:$C$1005="A")*(MOVIMIENTOS!$D$5:$D$1005="jabas")*(MOVIMIENTOS!$A$5:$A$1005&lt;&gt;"")*(MOVIMIENTOS!$A$5:$A$1005&lt;=$A551)*MOVIMIENTOS!$E$5:$E$1005)+SUMPRODUCT((MOVIMIENTOS!$B$5:$B$1005="PROCESO")*(MOVIMIENTOS!$C$5:$C$1005="A")*(MOVIMIENTOS!$D$5:$D$1005="jabas")*(MOVIMIENTOS!$A$5:$A$1005&lt;&gt;"")*(MOVIMIENTOS!$A$5:$A$1005&lt;=$A551)*MOVIMIENTOS!$E$5:$E$1005)-SUMPRODUCT((MOVIMIENTOS!$B$5:$B$1005="ENVÍO A SUPESA")*(MOVIMIENTOS!$C$5:$C$1005="A")*(MOVIMIENTOS!$D$5:$D$1005="jabas")*(MOVIMIENTOS!$A$5:$A$1005&lt;&gt;"")*(MOVIMIENTOS!$A$5:$A$1005&lt;=$A551)*MOVIMIENTOS!$E$5:$E$1005)+SUMPRODUCT((MOVIMIENTOS!$B$5:$B$1005="DEVOLUCIÓN")*(MOVIMIENTOS!$C$5:$C$1005="A")*(MOVIMIENTOS!$D$5:$D$1005="jabas")*(MOVIMIENTOS!$A$5:$A$1005&lt;&gt;"")*(MOVIMIENTOS!$A$5:$A$1005&lt;=$A551)*MOVIMIENTOS!$E$5:$E$1005)-SUMPRODUCT((MOVIMIENTOS!$B$5:$B$1005="TRASIEGO")*(MOVIMIENTOS!$C$5:$C$1005="A")*(MOVIMIENTOS!$D$5:$D$1005="jabas")*(MOVIMIENTOS!$A$5:$A$1005&lt;&gt;"")*(MOVIMIENTOS!$A$5:$A$1005&lt;=$A551)*MOVIMIENTOS!$E$5:$E$1005)-SUMPRODUCT((MOVIMIENTOS!$B$5:$B$1005="REGALO")*(MOVIMIENTOS!$C$5:$C$1005="A")*(MOVIMIENTOS!$D$5:$D$1005="jabas")*(MOVIMIENTOS!$A$5:$A$1005&lt;&gt;"")*(MOVIMIENTOS!$A$5:$A$1005&lt;=$A551)*MOVIMIENTOS!$E$5:$E$1005)-SUMPRODUCT((MOVIMIENTOS!$B$5:$B$1005="VENTA")*(MOVIMIENTOS!$C$5:$C$1005="A")*(MOVIMIENTOS!$D$5:$D$1005="jabas")*(MOVIMIENTOS!$A$5:$A$1005&lt;&gt;"")*(MOVIMIENTOS!$A$5:$A$1005&lt;=$A551)*MOVIMIENTOS!$E$5:$E$1005)+SUMPRODUCT((MOVIMIENTOS!$B$5:$B$1005="AJUSTE")*(MOVIMIENTOS!$C$5:$C$1005="A")*(MOVIMIENTOS!$D$5:$D$1005="jabas")*(MOVIMIENTOS!$A$5:$A$1005&lt;&gt;"")*(MOVIMIENTOS!$A$5:$A$1005&lt;=$A551)*MOVIMIENTOS!$E$5:$E$1005))</f>
        <v/>
      </c>
      <c r="C551" t="str">
        <f>IF($A551="","",SUMPRODUCT((MOVIMIENTOS!$B$5:$B$1005="SALDO INICIAL")*(MOVIMIENTOS!$C$5:$C$1005="P")*(MOVIMIENTOS!$D$5:$D$1005="jabas")*(MOVIMIENTOS!$A$5:$A$1005&lt;&gt;"")*(MOVIMIENTOS!$A$5:$A$1005&lt;=$A551)*MOVIMIENTOS!$E$5:$E$1005)+SUMPRODUCT((MOVIMIENTOS!$B$5:$B$1005="PROCESO")*(MOVIMIENTOS!$C$5:$C$1005="P")*(MOVIMIENTOS!$D$5:$D$1005="jabas")*(MOVIMIENTOS!$A$5:$A$1005&lt;&gt;"")*(MOVIMIENTOS!$A$5:$A$1005&lt;=$A551)*MOVIMIENTOS!$E$5:$E$1005)-SUMPRODUCT((MOVIMIENTOS!$B$5:$B$1005="ENVÍO A SUPESA")*(MOVIMIENTOS!$C$5:$C$1005="P")*(MOVIMIENTOS!$D$5:$D$1005="jabas")*(MOVIMIENTOS!$A$5:$A$1005&lt;&gt;"")*(MOVIMIENTOS!$A$5:$A$1005&lt;=$A551)*MOVIMIENTOS!$E$5:$E$1005)+SUMPRODUCT((MOVIMIENTOS!$B$5:$B$1005="DEVOLUCIÓN")*(MOVIMIENTOS!$C$5:$C$1005="P")*(MOVIMIENTOS!$D$5:$D$1005="jabas")*(MOVIMIENTOS!$A$5:$A$1005&lt;&gt;"")*(MOVIMIENTOS!$A$5:$A$1005&lt;=$A551)*MOVIMIENTOS!$E$5:$E$1005)-SUMPRODUCT((MOVIMIENTOS!$B$5:$B$1005="TRASIEGO")*(MOVIMIENTOS!$C$5:$C$1005="P")*(MOVIMIENTOS!$D$5:$D$1005="jabas")*(MOVIMIENTOS!$A$5:$A$1005&lt;&gt;"")*(MOVIMIENTOS!$A$5:$A$1005&lt;=$A551)*MOVIMIENTOS!$E$5:$E$1005)-SUMPRODUCT((MOVIMIENTOS!$B$5:$B$1005="REGALO")*(MOVIMIENTOS!$C$5:$C$1005="P")*(MOVIMIENTOS!$D$5:$D$1005="jabas")*(MOVIMIENTOS!$A$5:$A$1005&lt;&gt;"")*(MOVIMIENTOS!$A$5:$A$1005&lt;=$A551)*MOVIMIENTOS!$E$5:$E$1005)-SUMPRODUCT((MOVIMIENTOS!$B$5:$B$1005="VENTA")*(MOVIMIENTOS!$C$5:$C$1005="P")*(MOVIMIENTOS!$D$5:$D$1005="jabas")*(MOVIMIENTOS!$A$5:$A$1005&lt;&gt;"")*(MOVIMIENTOS!$A$5:$A$1005&lt;=$A551)*MOVIMIENTOS!$E$5:$E$1005)+SUMPRODUCT((MOVIMIENTOS!$B$5:$B$1005="AJUSTE")*(MOVIMIENTOS!$C$5:$C$1005="P")*(MOVIMIENTOS!$D$5:$D$1005="jabas")*(MOVIMIENTOS!$A$5:$A$1005&lt;&gt;"")*(MOVIMIENTOS!$A$5:$A$1005&lt;=$A551)*MOVIMIENTOS!$E$5:$E$1005))</f>
        <v/>
      </c>
      <c r="D551" t="str">
        <f>IF($A551="","",SUMPRODUCT((MOVIMIENTOS!$B$5:$B$1005="SALDO INICIAL")*(MOVIMIENTOS!$C$5:$C$1005="C")*(MOVIMIENTOS!$D$5:$D$1005="jabas")*(MOVIMIENTOS!$A$5:$A$1005&lt;&gt;"")*(MOVIMIENTOS!$A$5:$A$1005&lt;=$A551)*MOVIMIENTOS!$E$5:$E$1005)+SUMPRODUCT((MOVIMIENTOS!$B$5:$B$1005="PROCESO")*(MOVIMIENTOS!$C$5:$C$1005="C")*(MOVIMIENTOS!$D$5:$D$1005="jabas")*(MOVIMIENTOS!$A$5:$A$1005&lt;&gt;"")*(MOVIMIENTOS!$A$5:$A$1005&lt;=$A551)*MOVIMIENTOS!$E$5:$E$1005)-SUMPRODUCT((MOVIMIENTOS!$B$5:$B$1005="ENVÍO A SUPESA")*(MOVIMIENTOS!$C$5:$C$1005="C")*(MOVIMIENTOS!$D$5:$D$1005="jabas")*(MOVIMIENTOS!$A$5:$A$1005&lt;&gt;"")*(MOVIMIENTOS!$A$5:$A$1005&lt;=$A551)*MOVIMIENTOS!$E$5:$E$1005)+SUMPRODUCT((MOVIMIENTOS!$B$5:$B$1005="DEVOLUCIÓN")*(MOVIMIENTOS!$C$5:$C$1005="C")*(MOVIMIENTOS!$D$5:$D$1005="jabas")*(MOVIMIENTOS!$A$5:$A$1005&lt;&gt;"")*(MOVIMIENTOS!$A$5:$A$1005&lt;=$A551)*MOVIMIENTOS!$E$5:$E$1005)-SUMPRODUCT((MOVIMIENTOS!$B$5:$B$1005="TRASIEGO")*(MOVIMIENTOS!$C$5:$C$1005="C")*(MOVIMIENTOS!$D$5:$D$1005="jabas")*(MOVIMIENTOS!$A$5:$A$1005&lt;&gt;"")*(MOVIMIENTOS!$A$5:$A$1005&lt;=$A551)*MOVIMIENTOS!$E$5:$E$1005)-SUMPRODUCT((MOVIMIENTOS!$B$5:$B$1005="REGALO")*(MOVIMIENTOS!$C$5:$C$1005="C")*(MOVIMIENTOS!$D$5:$D$1005="jabas")*(MOVIMIENTOS!$A$5:$A$1005&lt;&gt;"")*(MOVIMIENTOS!$A$5:$A$1005&lt;=$A551)*MOVIMIENTOS!$E$5:$E$1005)-SUMPRODUCT((MOVIMIENTOS!$B$5:$B$1005="VENTA")*(MOVIMIENTOS!$C$5:$C$1005="C")*(MOVIMIENTOS!$D$5:$D$1005="jabas")*(MOVIMIENTOS!$A$5:$A$1005&lt;&gt;"")*(MOVIMIENTOS!$A$5:$A$1005&lt;=$A551)*MOVIMIENTOS!$E$5:$E$1005)+SUMPRODUCT((MOVIMIENTOS!$B$5:$B$1005="AJUSTE")*(MOVIMIENTOS!$C$5:$C$1005="C")*(MOVIMIENTOS!$D$5:$D$1005="jabas")*(MOVIMIENTOS!$A$5:$A$1005&lt;&gt;"")*(MOVIMIENTOS!$A$5:$A$1005&lt;=$A551)*MOVIMIENTOS!$E$5:$E$1005))</f>
        <v/>
      </c>
      <c r="E551" t="str">
        <f>IF($A551="","",SUMPRODUCT((MOVIMIENTOS!$B$5:$B$1005="SALDO INICIAL")*(MOVIMIENTOS!$C$5:$C$1005="M")*(MOVIMIENTOS!$D$5:$D$1005="jabas")*(MOVIMIENTOS!$A$5:$A$1005&lt;&gt;"")*(MOVIMIENTOS!$A$5:$A$1005&lt;=$A551)*MOVIMIENTOS!$E$5:$E$1005)+SUMPRODUCT((MOVIMIENTOS!$B$5:$B$1005="PROCESO")*(MOVIMIENTOS!$C$5:$C$1005="M")*(MOVIMIENTOS!$D$5:$D$1005="jabas")*(MOVIMIENTOS!$A$5:$A$1005&lt;&gt;"")*(MOVIMIENTOS!$A$5:$A$1005&lt;=$A551)*MOVIMIENTOS!$E$5:$E$1005)-SUMPRODUCT((MOVIMIENTOS!$B$5:$B$1005="ENVÍO A SUPESA")*(MOVIMIENTOS!$C$5:$C$1005="M")*(MOVIMIENTOS!$D$5:$D$1005="jabas")*(MOVIMIENTOS!$A$5:$A$1005&lt;&gt;"")*(MOVIMIENTOS!$A$5:$A$1005&lt;=$A551)*MOVIMIENTOS!$E$5:$E$1005)+SUMPRODUCT((MOVIMIENTOS!$B$5:$B$1005="DEVOLUCIÓN")*(MOVIMIENTOS!$C$5:$C$1005="M")*(MOVIMIENTOS!$D$5:$D$1005="jabas")*(MOVIMIENTOS!$A$5:$A$1005&lt;&gt;"")*(MOVIMIENTOS!$A$5:$A$1005&lt;=$A551)*MOVIMIENTOS!$E$5:$E$1005)-SUMPRODUCT((MOVIMIENTOS!$B$5:$B$1005="TRASIEGO")*(MOVIMIENTOS!$C$5:$C$1005="M")*(MOVIMIENTOS!$D$5:$D$1005="jabas")*(MOVIMIENTOS!$A$5:$A$1005&lt;&gt;"")*(MOVIMIENTOS!$A$5:$A$1005&lt;=$A551)*MOVIMIENTOS!$E$5:$E$1005)-SUMPRODUCT((MOVIMIENTOS!$B$5:$B$1005="REGALO")*(MOVIMIENTOS!$C$5:$C$1005="M")*(MOVIMIENTOS!$D$5:$D$1005="jabas")*(MOVIMIENTOS!$A$5:$A$1005&lt;&gt;"")*(MOVIMIENTOS!$A$5:$A$1005&lt;=$A551)*MOVIMIENTOS!$E$5:$E$1005)-SUMPRODUCT((MOVIMIENTOS!$B$5:$B$1005="VENTA")*(MOVIMIENTOS!$C$5:$C$1005="M")*(MOVIMIENTOS!$D$5:$D$1005="jabas")*(MOVIMIENTOS!$A$5:$A$1005&lt;&gt;"")*(MOVIMIENTOS!$A$5:$A$1005&lt;=$A551)*MOVIMIENTOS!$E$5:$E$1005)+SUMPRODUCT((MOVIMIENTOS!$B$5:$B$1005="AJUSTE")*(MOVIMIENTOS!$C$5:$C$1005="M")*(MOVIMIENTOS!$D$5:$D$1005="jabas")*(MOVIMIENTOS!$A$5:$A$1005&lt;&gt;"")*(MOVIMIENTOS!$A$5:$A$1005&lt;=$A551)*MOVIMIENTOS!$E$5:$E$1005))</f>
        <v/>
      </c>
      <c r="F551" s="62" t="str">
        <f>IF($A551="","",SUMPRODUCT((MOVIMIENTOS!$B$5:$B$1005="SALDO INICIAL")*(MOVIMIENTOS!$C$5:$C$1005="Chancho")*(MOVIMIENTOS!$D$5:$D$1005="sacos")*(MOVIMIENTOS!$A$5:$A$1005&lt;&gt;"")*(MOVIMIENTOS!$A$5:$A$1005&lt;=$A551)*MOVIMIENTOS!$E$5:$E$1005)+SUMPRODUCT((MOVIMIENTOS!$B$5:$B$1005="PROCESO")*(MOVIMIENTOS!$C$5:$C$1005="Chancho")*(MOVIMIENTOS!$D$5:$D$1005="sacos")*(MOVIMIENTOS!$A$5:$A$1005&lt;&gt;"")*(MOVIMIENTOS!$A$5:$A$1005&lt;=$A551)*MOVIMIENTOS!$E$5:$E$1005)-SUMPRODUCT((MOVIMIENTOS!$B$5:$B$1005="VENTA CHANCHO")*(MOVIMIENTOS!$C$5:$C$1005="Chancho")*(MOVIMIENTOS!$D$5:$D$1005="sacos")*(MOVIMIENTOS!$A$5:$A$1005&lt;&gt;"")*(MOVIMIENTOS!$A$5:$A$1005&lt;=$A551)*MOVIMIENTOS!$E$5:$E$1005)-SUMPRODUCT((MOVIMIENTOS!$B$5:$B$1005="REGALO")*(MOVIMIENTOS!$C$5:$C$1005="Chancho")*(MOVIMIENTOS!$D$5:$D$1005="sacos")*(MOVIMIENTOS!$A$5:$A$1005&lt;&gt;"")*(MOVIMIENTOS!$A$5:$A$1005&lt;=$A551)*MOVIMIENTOS!$E$5:$E$1005)-SUMPRODUCT((MOVIMIENTOS!$B$5:$B$1005="VENTA")*(MOVIMIENTOS!$C$5:$C$1005="Chancho")*(MOVIMIENTOS!$D$5:$D$1005="sacos")*(MOVIMIENTOS!$A$5:$A$1005&lt;&gt;"")*(MOVIMIENTOS!$A$5:$A$1005&lt;=$A551)*MOVIMIENTOS!$E$5:$E$1005)+SUMPRODUCT((MOVIMIENTOS!$B$5:$B$1005="AJUSTE")*(MOVIMIENTOS!$C$5:$C$1005="Chancho")*(MOVIMIENTOS!$D$5:$D$1005="sacos")*(MOVIMIENTOS!$A$5:$A$1005&lt;&gt;"")*(MOVIMIENTOS!$A$5:$A$1005&lt;=$A551)*MOVIMIENTOS!$E$5:$E$1005))</f>
        <v/>
      </c>
      <c r="G551" s="62" t="str">
        <f t="shared" si="17"/>
        <v/>
      </c>
      <c r="H551" t="str">
        <f>IF($A551="","",SUMPRODUCT((((MOVIMIENTOS!$B$5:$B$1005="SALDO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551)*MOVIMIENTOS!$J$5:$J$1005))</f>
        <v/>
      </c>
      <c r="J551" t="str">
        <f>IF(AND(MOVIMIENTOS!$A556&lt;&gt;"",COUNTIF(MOVIMIENTOS!$A$5:$A555,MOVIMIENTOS!$A556)=0),COUNT(J$4:J550)+1,"")</f>
        <v/>
      </c>
      <c r="K551">
        <f>MOVIMIENTOS!$A556</f>
        <v>0</v>
      </c>
    </row>
    <row r="552" spans="1:11" ht="15" customHeight="1" x14ac:dyDescent="0.2">
      <c r="A552" t="str">
        <f t="shared" si="16"/>
        <v/>
      </c>
      <c r="B552" t="str">
        <f>IF($A552="","",SUMPRODUCT((MOVIMIENTOS!$B$5:$B$1005="SALDO INICIAL")*(MOVIMIENTOS!$C$5:$C$1005="A")*(MOVIMIENTOS!$D$5:$D$1005="jabas")*(MOVIMIENTOS!$A$5:$A$1005&lt;&gt;"")*(MOVIMIENTOS!$A$5:$A$1005&lt;=$A552)*MOVIMIENTOS!$E$5:$E$1005)+SUMPRODUCT((MOVIMIENTOS!$B$5:$B$1005="PROCESO")*(MOVIMIENTOS!$C$5:$C$1005="A")*(MOVIMIENTOS!$D$5:$D$1005="jabas")*(MOVIMIENTOS!$A$5:$A$1005&lt;&gt;"")*(MOVIMIENTOS!$A$5:$A$1005&lt;=$A552)*MOVIMIENTOS!$E$5:$E$1005)-SUMPRODUCT((MOVIMIENTOS!$B$5:$B$1005="ENVÍO A SUPESA")*(MOVIMIENTOS!$C$5:$C$1005="A")*(MOVIMIENTOS!$D$5:$D$1005="jabas")*(MOVIMIENTOS!$A$5:$A$1005&lt;&gt;"")*(MOVIMIENTOS!$A$5:$A$1005&lt;=$A552)*MOVIMIENTOS!$E$5:$E$1005)+SUMPRODUCT((MOVIMIENTOS!$B$5:$B$1005="DEVOLUCIÓN")*(MOVIMIENTOS!$C$5:$C$1005="A")*(MOVIMIENTOS!$D$5:$D$1005="jabas")*(MOVIMIENTOS!$A$5:$A$1005&lt;&gt;"")*(MOVIMIENTOS!$A$5:$A$1005&lt;=$A552)*MOVIMIENTOS!$E$5:$E$1005)-SUMPRODUCT((MOVIMIENTOS!$B$5:$B$1005="TRASIEGO")*(MOVIMIENTOS!$C$5:$C$1005="A")*(MOVIMIENTOS!$D$5:$D$1005="jabas")*(MOVIMIENTOS!$A$5:$A$1005&lt;&gt;"")*(MOVIMIENTOS!$A$5:$A$1005&lt;=$A552)*MOVIMIENTOS!$E$5:$E$1005)-SUMPRODUCT((MOVIMIENTOS!$B$5:$B$1005="REGALO")*(MOVIMIENTOS!$C$5:$C$1005="A")*(MOVIMIENTOS!$D$5:$D$1005="jabas")*(MOVIMIENTOS!$A$5:$A$1005&lt;&gt;"")*(MOVIMIENTOS!$A$5:$A$1005&lt;=$A552)*MOVIMIENTOS!$E$5:$E$1005)-SUMPRODUCT((MOVIMIENTOS!$B$5:$B$1005="VENTA")*(MOVIMIENTOS!$C$5:$C$1005="A")*(MOVIMIENTOS!$D$5:$D$1005="jabas")*(MOVIMIENTOS!$A$5:$A$1005&lt;&gt;"")*(MOVIMIENTOS!$A$5:$A$1005&lt;=$A552)*MOVIMIENTOS!$E$5:$E$1005)+SUMPRODUCT((MOVIMIENTOS!$B$5:$B$1005="AJUSTE")*(MOVIMIENTOS!$C$5:$C$1005="A")*(MOVIMIENTOS!$D$5:$D$1005="jabas")*(MOVIMIENTOS!$A$5:$A$1005&lt;&gt;"")*(MOVIMIENTOS!$A$5:$A$1005&lt;=$A552)*MOVIMIENTOS!$E$5:$E$1005))</f>
        <v/>
      </c>
      <c r="C552" t="str">
        <f>IF($A552="","",SUMPRODUCT((MOVIMIENTOS!$B$5:$B$1005="SALDO INICIAL")*(MOVIMIENTOS!$C$5:$C$1005="P")*(MOVIMIENTOS!$D$5:$D$1005="jabas")*(MOVIMIENTOS!$A$5:$A$1005&lt;&gt;"")*(MOVIMIENTOS!$A$5:$A$1005&lt;=$A552)*MOVIMIENTOS!$E$5:$E$1005)+SUMPRODUCT((MOVIMIENTOS!$B$5:$B$1005="PROCESO")*(MOVIMIENTOS!$C$5:$C$1005="P")*(MOVIMIENTOS!$D$5:$D$1005="jabas")*(MOVIMIENTOS!$A$5:$A$1005&lt;&gt;"")*(MOVIMIENTOS!$A$5:$A$1005&lt;=$A552)*MOVIMIENTOS!$E$5:$E$1005)-SUMPRODUCT((MOVIMIENTOS!$B$5:$B$1005="ENVÍO A SUPESA")*(MOVIMIENTOS!$C$5:$C$1005="P")*(MOVIMIENTOS!$D$5:$D$1005="jabas")*(MOVIMIENTOS!$A$5:$A$1005&lt;&gt;"")*(MOVIMIENTOS!$A$5:$A$1005&lt;=$A552)*MOVIMIENTOS!$E$5:$E$1005)+SUMPRODUCT((MOVIMIENTOS!$B$5:$B$1005="DEVOLUCIÓN")*(MOVIMIENTOS!$C$5:$C$1005="P")*(MOVIMIENTOS!$D$5:$D$1005="jabas")*(MOVIMIENTOS!$A$5:$A$1005&lt;&gt;"")*(MOVIMIENTOS!$A$5:$A$1005&lt;=$A552)*MOVIMIENTOS!$E$5:$E$1005)-SUMPRODUCT((MOVIMIENTOS!$B$5:$B$1005="TRASIEGO")*(MOVIMIENTOS!$C$5:$C$1005="P")*(MOVIMIENTOS!$D$5:$D$1005="jabas")*(MOVIMIENTOS!$A$5:$A$1005&lt;&gt;"")*(MOVIMIENTOS!$A$5:$A$1005&lt;=$A552)*MOVIMIENTOS!$E$5:$E$1005)-SUMPRODUCT((MOVIMIENTOS!$B$5:$B$1005="REGALO")*(MOVIMIENTOS!$C$5:$C$1005="P")*(MOVIMIENTOS!$D$5:$D$1005="jabas")*(MOVIMIENTOS!$A$5:$A$1005&lt;&gt;"")*(MOVIMIENTOS!$A$5:$A$1005&lt;=$A552)*MOVIMIENTOS!$E$5:$E$1005)-SUMPRODUCT((MOVIMIENTOS!$B$5:$B$1005="VENTA")*(MOVIMIENTOS!$C$5:$C$1005="P")*(MOVIMIENTOS!$D$5:$D$1005="jabas")*(MOVIMIENTOS!$A$5:$A$1005&lt;&gt;"")*(MOVIMIENTOS!$A$5:$A$1005&lt;=$A552)*MOVIMIENTOS!$E$5:$E$1005)+SUMPRODUCT((MOVIMIENTOS!$B$5:$B$1005="AJUSTE")*(MOVIMIENTOS!$C$5:$C$1005="P")*(MOVIMIENTOS!$D$5:$D$1005="jabas")*(MOVIMIENTOS!$A$5:$A$1005&lt;&gt;"")*(MOVIMIENTOS!$A$5:$A$1005&lt;=$A552)*MOVIMIENTOS!$E$5:$E$1005))</f>
        <v/>
      </c>
      <c r="D552" t="str">
        <f>IF($A552="","",SUMPRODUCT((MOVIMIENTOS!$B$5:$B$1005="SALDO INICIAL")*(MOVIMIENTOS!$C$5:$C$1005="C")*(MOVIMIENTOS!$D$5:$D$1005="jabas")*(MOVIMIENTOS!$A$5:$A$1005&lt;&gt;"")*(MOVIMIENTOS!$A$5:$A$1005&lt;=$A552)*MOVIMIENTOS!$E$5:$E$1005)+SUMPRODUCT((MOVIMIENTOS!$B$5:$B$1005="PROCESO")*(MOVIMIENTOS!$C$5:$C$1005="C")*(MOVIMIENTOS!$D$5:$D$1005="jabas")*(MOVIMIENTOS!$A$5:$A$1005&lt;&gt;"")*(MOVIMIENTOS!$A$5:$A$1005&lt;=$A552)*MOVIMIENTOS!$E$5:$E$1005)-SUMPRODUCT((MOVIMIENTOS!$B$5:$B$1005="ENVÍO A SUPESA")*(MOVIMIENTOS!$C$5:$C$1005="C")*(MOVIMIENTOS!$D$5:$D$1005="jabas")*(MOVIMIENTOS!$A$5:$A$1005&lt;&gt;"")*(MOVIMIENTOS!$A$5:$A$1005&lt;=$A552)*MOVIMIENTOS!$E$5:$E$1005)+SUMPRODUCT((MOVIMIENTOS!$B$5:$B$1005="DEVOLUCIÓN")*(MOVIMIENTOS!$C$5:$C$1005="C")*(MOVIMIENTOS!$D$5:$D$1005="jabas")*(MOVIMIENTOS!$A$5:$A$1005&lt;&gt;"")*(MOVIMIENTOS!$A$5:$A$1005&lt;=$A552)*MOVIMIENTOS!$E$5:$E$1005)-SUMPRODUCT((MOVIMIENTOS!$B$5:$B$1005="TRASIEGO")*(MOVIMIENTOS!$C$5:$C$1005="C")*(MOVIMIENTOS!$D$5:$D$1005="jabas")*(MOVIMIENTOS!$A$5:$A$1005&lt;&gt;"")*(MOVIMIENTOS!$A$5:$A$1005&lt;=$A552)*MOVIMIENTOS!$E$5:$E$1005)-SUMPRODUCT((MOVIMIENTOS!$B$5:$B$1005="REGALO")*(MOVIMIENTOS!$C$5:$C$1005="C")*(MOVIMIENTOS!$D$5:$D$1005="jabas")*(MOVIMIENTOS!$A$5:$A$1005&lt;&gt;"")*(MOVIMIENTOS!$A$5:$A$1005&lt;=$A552)*MOVIMIENTOS!$E$5:$E$1005)-SUMPRODUCT((MOVIMIENTOS!$B$5:$B$1005="VENTA")*(MOVIMIENTOS!$C$5:$C$1005="C")*(MOVIMIENTOS!$D$5:$D$1005="jabas")*(MOVIMIENTOS!$A$5:$A$1005&lt;&gt;"")*(MOVIMIENTOS!$A$5:$A$1005&lt;=$A552)*MOVIMIENTOS!$E$5:$E$1005)+SUMPRODUCT((MOVIMIENTOS!$B$5:$B$1005="AJUSTE")*(MOVIMIENTOS!$C$5:$C$1005="C")*(MOVIMIENTOS!$D$5:$D$1005="jabas")*(MOVIMIENTOS!$A$5:$A$1005&lt;&gt;"")*(MOVIMIENTOS!$A$5:$A$1005&lt;=$A552)*MOVIMIENTOS!$E$5:$E$1005))</f>
        <v/>
      </c>
      <c r="E552" t="str">
        <f>IF($A552="","",SUMPRODUCT((MOVIMIENTOS!$B$5:$B$1005="SALDO INICIAL")*(MOVIMIENTOS!$C$5:$C$1005="M")*(MOVIMIENTOS!$D$5:$D$1005="jabas")*(MOVIMIENTOS!$A$5:$A$1005&lt;&gt;"")*(MOVIMIENTOS!$A$5:$A$1005&lt;=$A552)*MOVIMIENTOS!$E$5:$E$1005)+SUMPRODUCT((MOVIMIENTOS!$B$5:$B$1005="PROCESO")*(MOVIMIENTOS!$C$5:$C$1005="M")*(MOVIMIENTOS!$D$5:$D$1005="jabas")*(MOVIMIENTOS!$A$5:$A$1005&lt;&gt;"")*(MOVIMIENTOS!$A$5:$A$1005&lt;=$A552)*MOVIMIENTOS!$E$5:$E$1005)-SUMPRODUCT((MOVIMIENTOS!$B$5:$B$1005="ENVÍO A SUPESA")*(MOVIMIENTOS!$C$5:$C$1005="M")*(MOVIMIENTOS!$D$5:$D$1005="jabas")*(MOVIMIENTOS!$A$5:$A$1005&lt;&gt;"")*(MOVIMIENTOS!$A$5:$A$1005&lt;=$A552)*MOVIMIENTOS!$E$5:$E$1005)+SUMPRODUCT((MOVIMIENTOS!$B$5:$B$1005="DEVOLUCIÓN")*(MOVIMIENTOS!$C$5:$C$1005="M")*(MOVIMIENTOS!$D$5:$D$1005="jabas")*(MOVIMIENTOS!$A$5:$A$1005&lt;&gt;"")*(MOVIMIENTOS!$A$5:$A$1005&lt;=$A552)*MOVIMIENTOS!$E$5:$E$1005)-SUMPRODUCT((MOVIMIENTOS!$B$5:$B$1005="TRASIEGO")*(MOVIMIENTOS!$C$5:$C$1005="M")*(MOVIMIENTOS!$D$5:$D$1005="jabas")*(MOVIMIENTOS!$A$5:$A$1005&lt;&gt;"")*(MOVIMIENTOS!$A$5:$A$1005&lt;=$A552)*MOVIMIENTOS!$E$5:$E$1005)-SUMPRODUCT((MOVIMIENTOS!$B$5:$B$1005="REGALO")*(MOVIMIENTOS!$C$5:$C$1005="M")*(MOVIMIENTOS!$D$5:$D$1005="jabas")*(MOVIMIENTOS!$A$5:$A$1005&lt;&gt;"")*(MOVIMIENTOS!$A$5:$A$1005&lt;=$A552)*MOVIMIENTOS!$E$5:$E$1005)-SUMPRODUCT((MOVIMIENTOS!$B$5:$B$1005="VENTA")*(MOVIMIENTOS!$C$5:$C$1005="M")*(MOVIMIENTOS!$D$5:$D$1005="jabas")*(MOVIMIENTOS!$A$5:$A$1005&lt;&gt;"")*(MOVIMIENTOS!$A$5:$A$1005&lt;=$A552)*MOVIMIENTOS!$E$5:$E$1005)+SUMPRODUCT((MOVIMIENTOS!$B$5:$B$1005="AJUSTE")*(MOVIMIENTOS!$C$5:$C$1005="M")*(MOVIMIENTOS!$D$5:$D$1005="jabas")*(MOVIMIENTOS!$A$5:$A$1005&lt;&gt;"")*(MOVIMIENTOS!$A$5:$A$1005&lt;=$A552)*MOVIMIENTOS!$E$5:$E$1005))</f>
        <v/>
      </c>
      <c r="F552" s="62" t="str">
        <f>IF($A552="","",SUMPRODUCT((MOVIMIENTOS!$B$5:$B$1005="SALDO INICIAL")*(MOVIMIENTOS!$C$5:$C$1005="Chancho")*(MOVIMIENTOS!$D$5:$D$1005="sacos")*(MOVIMIENTOS!$A$5:$A$1005&lt;&gt;"")*(MOVIMIENTOS!$A$5:$A$1005&lt;=$A552)*MOVIMIENTOS!$E$5:$E$1005)+SUMPRODUCT((MOVIMIENTOS!$B$5:$B$1005="PROCESO")*(MOVIMIENTOS!$C$5:$C$1005="Chancho")*(MOVIMIENTOS!$D$5:$D$1005="sacos")*(MOVIMIENTOS!$A$5:$A$1005&lt;&gt;"")*(MOVIMIENTOS!$A$5:$A$1005&lt;=$A552)*MOVIMIENTOS!$E$5:$E$1005)-SUMPRODUCT((MOVIMIENTOS!$B$5:$B$1005="VENTA CHANCHO")*(MOVIMIENTOS!$C$5:$C$1005="Chancho")*(MOVIMIENTOS!$D$5:$D$1005="sacos")*(MOVIMIENTOS!$A$5:$A$1005&lt;&gt;"")*(MOVIMIENTOS!$A$5:$A$1005&lt;=$A552)*MOVIMIENTOS!$E$5:$E$1005)-SUMPRODUCT((MOVIMIENTOS!$B$5:$B$1005="REGALO")*(MOVIMIENTOS!$C$5:$C$1005="Chancho")*(MOVIMIENTOS!$D$5:$D$1005="sacos")*(MOVIMIENTOS!$A$5:$A$1005&lt;&gt;"")*(MOVIMIENTOS!$A$5:$A$1005&lt;=$A552)*MOVIMIENTOS!$E$5:$E$1005)-SUMPRODUCT((MOVIMIENTOS!$B$5:$B$1005="VENTA")*(MOVIMIENTOS!$C$5:$C$1005="Chancho")*(MOVIMIENTOS!$D$5:$D$1005="sacos")*(MOVIMIENTOS!$A$5:$A$1005&lt;&gt;"")*(MOVIMIENTOS!$A$5:$A$1005&lt;=$A552)*MOVIMIENTOS!$E$5:$E$1005)+SUMPRODUCT((MOVIMIENTOS!$B$5:$B$1005="AJUSTE")*(MOVIMIENTOS!$C$5:$C$1005="Chancho")*(MOVIMIENTOS!$D$5:$D$1005="sacos")*(MOVIMIENTOS!$A$5:$A$1005&lt;&gt;"")*(MOVIMIENTOS!$A$5:$A$1005&lt;=$A552)*MOVIMIENTOS!$E$5:$E$1005))</f>
        <v/>
      </c>
      <c r="G552" s="62" t="str">
        <f t="shared" si="17"/>
        <v/>
      </c>
      <c r="H552" t="str">
        <f>IF($A552="","",SUMPRODUCT((((MOVIMIENTOS!$B$5:$B$1005="SALDO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552)*MOVIMIENTOS!$J$5:$J$1005))</f>
        <v/>
      </c>
      <c r="J552" t="str">
        <f>IF(AND(MOVIMIENTOS!$A557&lt;&gt;"",COUNTIF(MOVIMIENTOS!$A$5:$A556,MOVIMIENTOS!$A557)=0),COUNT(J$4:J551)+1,"")</f>
        <v/>
      </c>
      <c r="K552">
        <f>MOVIMIENTOS!$A557</f>
        <v>0</v>
      </c>
    </row>
    <row r="553" spans="1:11" ht="15" customHeight="1" x14ac:dyDescent="0.2">
      <c r="A553" t="str">
        <f t="shared" si="16"/>
        <v/>
      </c>
      <c r="B553" t="str">
        <f>IF($A553="","",SUMPRODUCT((MOVIMIENTOS!$B$5:$B$1005="SALDO INICIAL")*(MOVIMIENTOS!$C$5:$C$1005="A")*(MOVIMIENTOS!$D$5:$D$1005="jabas")*(MOVIMIENTOS!$A$5:$A$1005&lt;&gt;"")*(MOVIMIENTOS!$A$5:$A$1005&lt;=$A553)*MOVIMIENTOS!$E$5:$E$1005)+SUMPRODUCT((MOVIMIENTOS!$B$5:$B$1005="PROCESO")*(MOVIMIENTOS!$C$5:$C$1005="A")*(MOVIMIENTOS!$D$5:$D$1005="jabas")*(MOVIMIENTOS!$A$5:$A$1005&lt;&gt;"")*(MOVIMIENTOS!$A$5:$A$1005&lt;=$A553)*MOVIMIENTOS!$E$5:$E$1005)-SUMPRODUCT((MOVIMIENTOS!$B$5:$B$1005="ENVÍO A SUPESA")*(MOVIMIENTOS!$C$5:$C$1005="A")*(MOVIMIENTOS!$D$5:$D$1005="jabas")*(MOVIMIENTOS!$A$5:$A$1005&lt;&gt;"")*(MOVIMIENTOS!$A$5:$A$1005&lt;=$A553)*MOVIMIENTOS!$E$5:$E$1005)+SUMPRODUCT((MOVIMIENTOS!$B$5:$B$1005="DEVOLUCIÓN")*(MOVIMIENTOS!$C$5:$C$1005="A")*(MOVIMIENTOS!$D$5:$D$1005="jabas")*(MOVIMIENTOS!$A$5:$A$1005&lt;&gt;"")*(MOVIMIENTOS!$A$5:$A$1005&lt;=$A553)*MOVIMIENTOS!$E$5:$E$1005)-SUMPRODUCT((MOVIMIENTOS!$B$5:$B$1005="TRASIEGO")*(MOVIMIENTOS!$C$5:$C$1005="A")*(MOVIMIENTOS!$D$5:$D$1005="jabas")*(MOVIMIENTOS!$A$5:$A$1005&lt;&gt;"")*(MOVIMIENTOS!$A$5:$A$1005&lt;=$A553)*MOVIMIENTOS!$E$5:$E$1005)-SUMPRODUCT((MOVIMIENTOS!$B$5:$B$1005="REGALO")*(MOVIMIENTOS!$C$5:$C$1005="A")*(MOVIMIENTOS!$D$5:$D$1005="jabas")*(MOVIMIENTOS!$A$5:$A$1005&lt;&gt;"")*(MOVIMIENTOS!$A$5:$A$1005&lt;=$A553)*MOVIMIENTOS!$E$5:$E$1005)-SUMPRODUCT((MOVIMIENTOS!$B$5:$B$1005="VENTA")*(MOVIMIENTOS!$C$5:$C$1005="A")*(MOVIMIENTOS!$D$5:$D$1005="jabas")*(MOVIMIENTOS!$A$5:$A$1005&lt;&gt;"")*(MOVIMIENTOS!$A$5:$A$1005&lt;=$A553)*MOVIMIENTOS!$E$5:$E$1005)+SUMPRODUCT((MOVIMIENTOS!$B$5:$B$1005="AJUSTE")*(MOVIMIENTOS!$C$5:$C$1005="A")*(MOVIMIENTOS!$D$5:$D$1005="jabas")*(MOVIMIENTOS!$A$5:$A$1005&lt;&gt;"")*(MOVIMIENTOS!$A$5:$A$1005&lt;=$A553)*MOVIMIENTOS!$E$5:$E$1005))</f>
        <v/>
      </c>
      <c r="C553" t="str">
        <f>IF($A553="","",SUMPRODUCT((MOVIMIENTOS!$B$5:$B$1005="SALDO INICIAL")*(MOVIMIENTOS!$C$5:$C$1005="P")*(MOVIMIENTOS!$D$5:$D$1005="jabas")*(MOVIMIENTOS!$A$5:$A$1005&lt;&gt;"")*(MOVIMIENTOS!$A$5:$A$1005&lt;=$A553)*MOVIMIENTOS!$E$5:$E$1005)+SUMPRODUCT((MOVIMIENTOS!$B$5:$B$1005="PROCESO")*(MOVIMIENTOS!$C$5:$C$1005="P")*(MOVIMIENTOS!$D$5:$D$1005="jabas")*(MOVIMIENTOS!$A$5:$A$1005&lt;&gt;"")*(MOVIMIENTOS!$A$5:$A$1005&lt;=$A553)*MOVIMIENTOS!$E$5:$E$1005)-SUMPRODUCT((MOVIMIENTOS!$B$5:$B$1005="ENVÍO A SUPESA")*(MOVIMIENTOS!$C$5:$C$1005="P")*(MOVIMIENTOS!$D$5:$D$1005="jabas")*(MOVIMIENTOS!$A$5:$A$1005&lt;&gt;"")*(MOVIMIENTOS!$A$5:$A$1005&lt;=$A553)*MOVIMIENTOS!$E$5:$E$1005)+SUMPRODUCT((MOVIMIENTOS!$B$5:$B$1005="DEVOLUCIÓN")*(MOVIMIENTOS!$C$5:$C$1005="P")*(MOVIMIENTOS!$D$5:$D$1005="jabas")*(MOVIMIENTOS!$A$5:$A$1005&lt;&gt;"")*(MOVIMIENTOS!$A$5:$A$1005&lt;=$A553)*MOVIMIENTOS!$E$5:$E$1005)-SUMPRODUCT((MOVIMIENTOS!$B$5:$B$1005="TRASIEGO")*(MOVIMIENTOS!$C$5:$C$1005="P")*(MOVIMIENTOS!$D$5:$D$1005="jabas")*(MOVIMIENTOS!$A$5:$A$1005&lt;&gt;"")*(MOVIMIENTOS!$A$5:$A$1005&lt;=$A553)*MOVIMIENTOS!$E$5:$E$1005)-SUMPRODUCT((MOVIMIENTOS!$B$5:$B$1005="REGALO")*(MOVIMIENTOS!$C$5:$C$1005="P")*(MOVIMIENTOS!$D$5:$D$1005="jabas")*(MOVIMIENTOS!$A$5:$A$1005&lt;&gt;"")*(MOVIMIENTOS!$A$5:$A$1005&lt;=$A553)*MOVIMIENTOS!$E$5:$E$1005)-SUMPRODUCT((MOVIMIENTOS!$B$5:$B$1005="VENTA")*(MOVIMIENTOS!$C$5:$C$1005="P")*(MOVIMIENTOS!$D$5:$D$1005="jabas")*(MOVIMIENTOS!$A$5:$A$1005&lt;&gt;"")*(MOVIMIENTOS!$A$5:$A$1005&lt;=$A553)*MOVIMIENTOS!$E$5:$E$1005)+SUMPRODUCT((MOVIMIENTOS!$B$5:$B$1005="AJUSTE")*(MOVIMIENTOS!$C$5:$C$1005="P")*(MOVIMIENTOS!$D$5:$D$1005="jabas")*(MOVIMIENTOS!$A$5:$A$1005&lt;&gt;"")*(MOVIMIENTOS!$A$5:$A$1005&lt;=$A553)*MOVIMIENTOS!$E$5:$E$1005))</f>
        <v/>
      </c>
      <c r="D553" t="str">
        <f>IF($A553="","",SUMPRODUCT((MOVIMIENTOS!$B$5:$B$1005="SALDO INICIAL")*(MOVIMIENTOS!$C$5:$C$1005="C")*(MOVIMIENTOS!$D$5:$D$1005="jabas")*(MOVIMIENTOS!$A$5:$A$1005&lt;&gt;"")*(MOVIMIENTOS!$A$5:$A$1005&lt;=$A553)*MOVIMIENTOS!$E$5:$E$1005)+SUMPRODUCT((MOVIMIENTOS!$B$5:$B$1005="PROCESO")*(MOVIMIENTOS!$C$5:$C$1005="C")*(MOVIMIENTOS!$D$5:$D$1005="jabas")*(MOVIMIENTOS!$A$5:$A$1005&lt;&gt;"")*(MOVIMIENTOS!$A$5:$A$1005&lt;=$A553)*MOVIMIENTOS!$E$5:$E$1005)-SUMPRODUCT((MOVIMIENTOS!$B$5:$B$1005="ENVÍO A SUPESA")*(MOVIMIENTOS!$C$5:$C$1005="C")*(MOVIMIENTOS!$D$5:$D$1005="jabas")*(MOVIMIENTOS!$A$5:$A$1005&lt;&gt;"")*(MOVIMIENTOS!$A$5:$A$1005&lt;=$A553)*MOVIMIENTOS!$E$5:$E$1005)+SUMPRODUCT((MOVIMIENTOS!$B$5:$B$1005="DEVOLUCIÓN")*(MOVIMIENTOS!$C$5:$C$1005="C")*(MOVIMIENTOS!$D$5:$D$1005="jabas")*(MOVIMIENTOS!$A$5:$A$1005&lt;&gt;"")*(MOVIMIENTOS!$A$5:$A$1005&lt;=$A553)*MOVIMIENTOS!$E$5:$E$1005)-SUMPRODUCT((MOVIMIENTOS!$B$5:$B$1005="TRASIEGO")*(MOVIMIENTOS!$C$5:$C$1005="C")*(MOVIMIENTOS!$D$5:$D$1005="jabas")*(MOVIMIENTOS!$A$5:$A$1005&lt;&gt;"")*(MOVIMIENTOS!$A$5:$A$1005&lt;=$A553)*MOVIMIENTOS!$E$5:$E$1005)-SUMPRODUCT((MOVIMIENTOS!$B$5:$B$1005="REGALO")*(MOVIMIENTOS!$C$5:$C$1005="C")*(MOVIMIENTOS!$D$5:$D$1005="jabas")*(MOVIMIENTOS!$A$5:$A$1005&lt;&gt;"")*(MOVIMIENTOS!$A$5:$A$1005&lt;=$A553)*MOVIMIENTOS!$E$5:$E$1005)-SUMPRODUCT((MOVIMIENTOS!$B$5:$B$1005="VENTA")*(MOVIMIENTOS!$C$5:$C$1005="C")*(MOVIMIENTOS!$D$5:$D$1005="jabas")*(MOVIMIENTOS!$A$5:$A$1005&lt;&gt;"")*(MOVIMIENTOS!$A$5:$A$1005&lt;=$A553)*MOVIMIENTOS!$E$5:$E$1005)+SUMPRODUCT((MOVIMIENTOS!$B$5:$B$1005="AJUSTE")*(MOVIMIENTOS!$C$5:$C$1005="C")*(MOVIMIENTOS!$D$5:$D$1005="jabas")*(MOVIMIENTOS!$A$5:$A$1005&lt;&gt;"")*(MOVIMIENTOS!$A$5:$A$1005&lt;=$A553)*MOVIMIENTOS!$E$5:$E$1005))</f>
        <v/>
      </c>
      <c r="E553" t="str">
        <f>IF($A553="","",SUMPRODUCT((MOVIMIENTOS!$B$5:$B$1005="SALDO INICIAL")*(MOVIMIENTOS!$C$5:$C$1005="M")*(MOVIMIENTOS!$D$5:$D$1005="jabas")*(MOVIMIENTOS!$A$5:$A$1005&lt;&gt;"")*(MOVIMIENTOS!$A$5:$A$1005&lt;=$A553)*MOVIMIENTOS!$E$5:$E$1005)+SUMPRODUCT((MOVIMIENTOS!$B$5:$B$1005="PROCESO")*(MOVIMIENTOS!$C$5:$C$1005="M")*(MOVIMIENTOS!$D$5:$D$1005="jabas")*(MOVIMIENTOS!$A$5:$A$1005&lt;&gt;"")*(MOVIMIENTOS!$A$5:$A$1005&lt;=$A553)*MOVIMIENTOS!$E$5:$E$1005)-SUMPRODUCT((MOVIMIENTOS!$B$5:$B$1005="ENVÍO A SUPESA")*(MOVIMIENTOS!$C$5:$C$1005="M")*(MOVIMIENTOS!$D$5:$D$1005="jabas")*(MOVIMIENTOS!$A$5:$A$1005&lt;&gt;"")*(MOVIMIENTOS!$A$5:$A$1005&lt;=$A553)*MOVIMIENTOS!$E$5:$E$1005)+SUMPRODUCT((MOVIMIENTOS!$B$5:$B$1005="DEVOLUCIÓN")*(MOVIMIENTOS!$C$5:$C$1005="M")*(MOVIMIENTOS!$D$5:$D$1005="jabas")*(MOVIMIENTOS!$A$5:$A$1005&lt;&gt;"")*(MOVIMIENTOS!$A$5:$A$1005&lt;=$A553)*MOVIMIENTOS!$E$5:$E$1005)-SUMPRODUCT((MOVIMIENTOS!$B$5:$B$1005="TRASIEGO")*(MOVIMIENTOS!$C$5:$C$1005="M")*(MOVIMIENTOS!$D$5:$D$1005="jabas")*(MOVIMIENTOS!$A$5:$A$1005&lt;&gt;"")*(MOVIMIENTOS!$A$5:$A$1005&lt;=$A553)*MOVIMIENTOS!$E$5:$E$1005)-SUMPRODUCT((MOVIMIENTOS!$B$5:$B$1005="REGALO")*(MOVIMIENTOS!$C$5:$C$1005="M")*(MOVIMIENTOS!$D$5:$D$1005="jabas")*(MOVIMIENTOS!$A$5:$A$1005&lt;&gt;"")*(MOVIMIENTOS!$A$5:$A$1005&lt;=$A553)*MOVIMIENTOS!$E$5:$E$1005)-SUMPRODUCT((MOVIMIENTOS!$B$5:$B$1005="VENTA")*(MOVIMIENTOS!$C$5:$C$1005="M")*(MOVIMIENTOS!$D$5:$D$1005="jabas")*(MOVIMIENTOS!$A$5:$A$1005&lt;&gt;"")*(MOVIMIENTOS!$A$5:$A$1005&lt;=$A553)*MOVIMIENTOS!$E$5:$E$1005)+SUMPRODUCT((MOVIMIENTOS!$B$5:$B$1005="AJUSTE")*(MOVIMIENTOS!$C$5:$C$1005="M")*(MOVIMIENTOS!$D$5:$D$1005="jabas")*(MOVIMIENTOS!$A$5:$A$1005&lt;&gt;"")*(MOVIMIENTOS!$A$5:$A$1005&lt;=$A553)*MOVIMIENTOS!$E$5:$E$1005))</f>
        <v/>
      </c>
      <c r="F553" s="62" t="str">
        <f>IF($A553="","",SUMPRODUCT((MOVIMIENTOS!$B$5:$B$1005="SALDO INICIAL")*(MOVIMIENTOS!$C$5:$C$1005="Chancho")*(MOVIMIENTOS!$D$5:$D$1005="sacos")*(MOVIMIENTOS!$A$5:$A$1005&lt;&gt;"")*(MOVIMIENTOS!$A$5:$A$1005&lt;=$A553)*MOVIMIENTOS!$E$5:$E$1005)+SUMPRODUCT((MOVIMIENTOS!$B$5:$B$1005="PROCESO")*(MOVIMIENTOS!$C$5:$C$1005="Chancho")*(MOVIMIENTOS!$D$5:$D$1005="sacos")*(MOVIMIENTOS!$A$5:$A$1005&lt;&gt;"")*(MOVIMIENTOS!$A$5:$A$1005&lt;=$A553)*MOVIMIENTOS!$E$5:$E$1005)-SUMPRODUCT((MOVIMIENTOS!$B$5:$B$1005="VENTA CHANCHO")*(MOVIMIENTOS!$C$5:$C$1005="Chancho")*(MOVIMIENTOS!$D$5:$D$1005="sacos")*(MOVIMIENTOS!$A$5:$A$1005&lt;&gt;"")*(MOVIMIENTOS!$A$5:$A$1005&lt;=$A553)*MOVIMIENTOS!$E$5:$E$1005)-SUMPRODUCT((MOVIMIENTOS!$B$5:$B$1005="REGALO")*(MOVIMIENTOS!$C$5:$C$1005="Chancho")*(MOVIMIENTOS!$D$5:$D$1005="sacos")*(MOVIMIENTOS!$A$5:$A$1005&lt;&gt;"")*(MOVIMIENTOS!$A$5:$A$1005&lt;=$A553)*MOVIMIENTOS!$E$5:$E$1005)-SUMPRODUCT((MOVIMIENTOS!$B$5:$B$1005="VENTA")*(MOVIMIENTOS!$C$5:$C$1005="Chancho")*(MOVIMIENTOS!$D$5:$D$1005="sacos")*(MOVIMIENTOS!$A$5:$A$1005&lt;&gt;"")*(MOVIMIENTOS!$A$5:$A$1005&lt;=$A553)*MOVIMIENTOS!$E$5:$E$1005)+SUMPRODUCT((MOVIMIENTOS!$B$5:$B$1005="AJUSTE")*(MOVIMIENTOS!$C$5:$C$1005="Chancho")*(MOVIMIENTOS!$D$5:$D$1005="sacos")*(MOVIMIENTOS!$A$5:$A$1005&lt;&gt;"")*(MOVIMIENTOS!$A$5:$A$1005&lt;=$A553)*MOVIMIENTOS!$E$5:$E$1005))</f>
        <v/>
      </c>
      <c r="G553" s="62" t="str">
        <f t="shared" si="17"/>
        <v/>
      </c>
      <c r="H553" t="str">
        <f>IF($A553="","",SUMPRODUCT((((MOVIMIENTOS!$B$5:$B$1005="SALDO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553)*MOVIMIENTOS!$J$5:$J$1005))</f>
        <v/>
      </c>
      <c r="J553" t="str">
        <f>IF(AND(MOVIMIENTOS!$A558&lt;&gt;"",COUNTIF(MOVIMIENTOS!$A$5:$A557,MOVIMIENTOS!$A558)=0),COUNT(J$4:J552)+1,"")</f>
        <v/>
      </c>
      <c r="K553">
        <f>MOVIMIENTOS!$A558</f>
        <v>0</v>
      </c>
    </row>
    <row r="554" spans="1:11" ht="15" customHeight="1" x14ac:dyDescent="0.2">
      <c r="A554" t="str">
        <f t="shared" si="16"/>
        <v/>
      </c>
      <c r="B554" t="str">
        <f>IF($A554="","",SUMPRODUCT((MOVIMIENTOS!$B$5:$B$1005="SALDO INICIAL")*(MOVIMIENTOS!$C$5:$C$1005="A")*(MOVIMIENTOS!$D$5:$D$1005="jabas")*(MOVIMIENTOS!$A$5:$A$1005&lt;&gt;"")*(MOVIMIENTOS!$A$5:$A$1005&lt;=$A554)*MOVIMIENTOS!$E$5:$E$1005)+SUMPRODUCT((MOVIMIENTOS!$B$5:$B$1005="PROCESO")*(MOVIMIENTOS!$C$5:$C$1005="A")*(MOVIMIENTOS!$D$5:$D$1005="jabas")*(MOVIMIENTOS!$A$5:$A$1005&lt;&gt;"")*(MOVIMIENTOS!$A$5:$A$1005&lt;=$A554)*MOVIMIENTOS!$E$5:$E$1005)-SUMPRODUCT((MOVIMIENTOS!$B$5:$B$1005="ENVÍO A SUPESA")*(MOVIMIENTOS!$C$5:$C$1005="A")*(MOVIMIENTOS!$D$5:$D$1005="jabas")*(MOVIMIENTOS!$A$5:$A$1005&lt;&gt;"")*(MOVIMIENTOS!$A$5:$A$1005&lt;=$A554)*MOVIMIENTOS!$E$5:$E$1005)+SUMPRODUCT((MOVIMIENTOS!$B$5:$B$1005="DEVOLUCIÓN")*(MOVIMIENTOS!$C$5:$C$1005="A")*(MOVIMIENTOS!$D$5:$D$1005="jabas")*(MOVIMIENTOS!$A$5:$A$1005&lt;&gt;"")*(MOVIMIENTOS!$A$5:$A$1005&lt;=$A554)*MOVIMIENTOS!$E$5:$E$1005)-SUMPRODUCT((MOVIMIENTOS!$B$5:$B$1005="TRASIEGO")*(MOVIMIENTOS!$C$5:$C$1005="A")*(MOVIMIENTOS!$D$5:$D$1005="jabas")*(MOVIMIENTOS!$A$5:$A$1005&lt;&gt;"")*(MOVIMIENTOS!$A$5:$A$1005&lt;=$A554)*MOVIMIENTOS!$E$5:$E$1005)-SUMPRODUCT((MOVIMIENTOS!$B$5:$B$1005="REGALO")*(MOVIMIENTOS!$C$5:$C$1005="A")*(MOVIMIENTOS!$D$5:$D$1005="jabas")*(MOVIMIENTOS!$A$5:$A$1005&lt;&gt;"")*(MOVIMIENTOS!$A$5:$A$1005&lt;=$A554)*MOVIMIENTOS!$E$5:$E$1005)-SUMPRODUCT((MOVIMIENTOS!$B$5:$B$1005="VENTA")*(MOVIMIENTOS!$C$5:$C$1005="A")*(MOVIMIENTOS!$D$5:$D$1005="jabas")*(MOVIMIENTOS!$A$5:$A$1005&lt;&gt;"")*(MOVIMIENTOS!$A$5:$A$1005&lt;=$A554)*MOVIMIENTOS!$E$5:$E$1005)+SUMPRODUCT((MOVIMIENTOS!$B$5:$B$1005="AJUSTE")*(MOVIMIENTOS!$C$5:$C$1005="A")*(MOVIMIENTOS!$D$5:$D$1005="jabas")*(MOVIMIENTOS!$A$5:$A$1005&lt;&gt;"")*(MOVIMIENTOS!$A$5:$A$1005&lt;=$A554)*MOVIMIENTOS!$E$5:$E$1005))</f>
        <v/>
      </c>
      <c r="C554" t="str">
        <f>IF($A554="","",SUMPRODUCT((MOVIMIENTOS!$B$5:$B$1005="SALDO INICIAL")*(MOVIMIENTOS!$C$5:$C$1005="P")*(MOVIMIENTOS!$D$5:$D$1005="jabas")*(MOVIMIENTOS!$A$5:$A$1005&lt;&gt;"")*(MOVIMIENTOS!$A$5:$A$1005&lt;=$A554)*MOVIMIENTOS!$E$5:$E$1005)+SUMPRODUCT((MOVIMIENTOS!$B$5:$B$1005="PROCESO")*(MOVIMIENTOS!$C$5:$C$1005="P")*(MOVIMIENTOS!$D$5:$D$1005="jabas")*(MOVIMIENTOS!$A$5:$A$1005&lt;&gt;"")*(MOVIMIENTOS!$A$5:$A$1005&lt;=$A554)*MOVIMIENTOS!$E$5:$E$1005)-SUMPRODUCT((MOVIMIENTOS!$B$5:$B$1005="ENVÍO A SUPESA")*(MOVIMIENTOS!$C$5:$C$1005="P")*(MOVIMIENTOS!$D$5:$D$1005="jabas")*(MOVIMIENTOS!$A$5:$A$1005&lt;&gt;"")*(MOVIMIENTOS!$A$5:$A$1005&lt;=$A554)*MOVIMIENTOS!$E$5:$E$1005)+SUMPRODUCT((MOVIMIENTOS!$B$5:$B$1005="DEVOLUCIÓN")*(MOVIMIENTOS!$C$5:$C$1005="P")*(MOVIMIENTOS!$D$5:$D$1005="jabas")*(MOVIMIENTOS!$A$5:$A$1005&lt;&gt;"")*(MOVIMIENTOS!$A$5:$A$1005&lt;=$A554)*MOVIMIENTOS!$E$5:$E$1005)-SUMPRODUCT((MOVIMIENTOS!$B$5:$B$1005="TRASIEGO")*(MOVIMIENTOS!$C$5:$C$1005="P")*(MOVIMIENTOS!$D$5:$D$1005="jabas")*(MOVIMIENTOS!$A$5:$A$1005&lt;&gt;"")*(MOVIMIENTOS!$A$5:$A$1005&lt;=$A554)*MOVIMIENTOS!$E$5:$E$1005)-SUMPRODUCT((MOVIMIENTOS!$B$5:$B$1005="REGALO")*(MOVIMIENTOS!$C$5:$C$1005="P")*(MOVIMIENTOS!$D$5:$D$1005="jabas")*(MOVIMIENTOS!$A$5:$A$1005&lt;&gt;"")*(MOVIMIENTOS!$A$5:$A$1005&lt;=$A554)*MOVIMIENTOS!$E$5:$E$1005)-SUMPRODUCT((MOVIMIENTOS!$B$5:$B$1005="VENTA")*(MOVIMIENTOS!$C$5:$C$1005="P")*(MOVIMIENTOS!$D$5:$D$1005="jabas")*(MOVIMIENTOS!$A$5:$A$1005&lt;&gt;"")*(MOVIMIENTOS!$A$5:$A$1005&lt;=$A554)*MOVIMIENTOS!$E$5:$E$1005)+SUMPRODUCT((MOVIMIENTOS!$B$5:$B$1005="AJUSTE")*(MOVIMIENTOS!$C$5:$C$1005="P")*(MOVIMIENTOS!$D$5:$D$1005="jabas")*(MOVIMIENTOS!$A$5:$A$1005&lt;&gt;"")*(MOVIMIENTOS!$A$5:$A$1005&lt;=$A554)*MOVIMIENTOS!$E$5:$E$1005))</f>
        <v/>
      </c>
      <c r="D554" t="str">
        <f>IF($A554="","",SUMPRODUCT((MOVIMIENTOS!$B$5:$B$1005="SALDO INICIAL")*(MOVIMIENTOS!$C$5:$C$1005="C")*(MOVIMIENTOS!$D$5:$D$1005="jabas")*(MOVIMIENTOS!$A$5:$A$1005&lt;&gt;"")*(MOVIMIENTOS!$A$5:$A$1005&lt;=$A554)*MOVIMIENTOS!$E$5:$E$1005)+SUMPRODUCT((MOVIMIENTOS!$B$5:$B$1005="PROCESO")*(MOVIMIENTOS!$C$5:$C$1005="C")*(MOVIMIENTOS!$D$5:$D$1005="jabas")*(MOVIMIENTOS!$A$5:$A$1005&lt;&gt;"")*(MOVIMIENTOS!$A$5:$A$1005&lt;=$A554)*MOVIMIENTOS!$E$5:$E$1005)-SUMPRODUCT((MOVIMIENTOS!$B$5:$B$1005="ENVÍO A SUPESA")*(MOVIMIENTOS!$C$5:$C$1005="C")*(MOVIMIENTOS!$D$5:$D$1005="jabas")*(MOVIMIENTOS!$A$5:$A$1005&lt;&gt;"")*(MOVIMIENTOS!$A$5:$A$1005&lt;=$A554)*MOVIMIENTOS!$E$5:$E$1005)+SUMPRODUCT((MOVIMIENTOS!$B$5:$B$1005="DEVOLUCIÓN")*(MOVIMIENTOS!$C$5:$C$1005="C")*(MOVIMIENTOS!$D$5:$D$1005="jabas")*(MOVIMIENTOS!$A$5:$A$1005&lt;&gt;"")*(MOVIMIENTOS!$A$5:$A$1005&lt;=$A554)*MOVIMIENTOS!$E$5:$E$1005)-SUMPRODUCT((MOVIMIENTOS!$B$5:$B$1005="TRASIEGO")*(MOVIMIENTOS!$C$5:$C$1005="C")*(MOVIMIENTOS!$D$5:$D$1005="jabas")*(MOVIMIENTOS!$A$5:$A$1005&lt;&gt;"")*(MOVIMIENTOS!$A$5:$A$1005&lt;=$A554)*MOVIMIENTOS!$E$5:$E$1005)-SUMPRODUCT((MOVIMIENTOS!$B$5:$B$1005="REGALO")*(MOVIMIENTOS!$C$5:$C$1005="C")*(MOVIMIENTOS!$D$5:$D$1005="jabas")*(MOVIMIENTOS!$A$5:$A$1005&lt;&gt;"")*(MOVIMIENTOS!$A$5:$A$1005&lt;=$A554)*MOVIMIENTOS!$E$5:$E$1005)-SUMPRODUCT((MOVIMIENTOS!$B$5:$B$1005="VENTA")*(MOVIMIENTOS!$C$5:$C$1005="C")*(MOVIMIENTOS!$D$5:$D$1005="jabas")*(MOVIMIENTOS!$A$5:$A$1005&lt;&gt;"")*(MOVIMIENTOS!$A$5:$A$1005&lt;=$A554)*MOVIMIENTOS!$E$5:$E$1005)+SUMPRODUCT((MOVIMIENTOS!$B$5:$B$1005="AJUSTE")*(MOVIMIENTOS!$C$5:$C$1005="C")*(MOVIMIENTOS!$D$5:$D$1005="jabas")*(MOVIMIENTOS!$A$5:$A$1005&lt;&gt;"")*(MOVIMIENTOS!$A$5:$A$1005&lt;=$A554)*MOVIMIENTOS!$E$5:$E$1005))</f>
        <v/>
      </c>
      <c r="E554" t="str">
        <f>IF($A554="","",SUMPRODUCT((MOVIMIENTOS!$B$5:$B$1005="SALDO INICIAL")*(MOVIMIENTOS!$C$5:$C$1005="M")*(MOVIMIENTOS!$D$5:$D$1005="jabas")*(MOVIMIENTOS!$A$5:$A$1005&lt;&gt;"")*(MOVIMIENTOS!$A$5:$A$1005&lt;=$A554)*MOVIMIENTOS!$E$5:$E$1005)+SUMPRODUCT((MOVIMIENTOS!$B$5:$B$1005="PROCESO")*(MOVIMIENTOS!$C$5:$C$1005="M")*(MOVIMIENTOS!$D$5:$D$1005="jabas")*(MOVIMIENTOS!$A$5:$A$1005&lt;&gt;"")*(MOVIMIENTOS!$A$5:$A$1005&lt;=$A554)*MOVIMIENTOS!$E$5:$E$1005)-SUMPRODUCT((MOVIMIENTOS!$B$5:$B$1005="ENVÍO A SUPESA")*(MOVIMIENTOS!$C$5:$C$1005="M")*(MOVIMIENTOS!$D$5:$D$1005="jabas")*(MOVIMIENTOS!$A$5:$A$1005&lt;&gt;"")*(MOVIMIENTOS!$A$5:$A$1005&lt;=$A554)*MOVIMIENTOS!$E$5:$E$1005)+SUMPRODUCT((MOVIMIENTOS!$B$5:$B$1005="DEVOLUCIÓN")*(MOVIMIENTOS!$C$5:$C$1005="M")*(MOVIMIENTOS!$D$5:$D$1005="jabas")*(MOVIMIENTOS!$A$5:$A$1005&lt;&gt;"")*(MOVIMIENTOS!$A$5:$A$1005&lt;=$A554)*MOVIMIENTOS!$E$5:$E$1005)-SUMPRODUCT((MOVIMIENTOS!$B$5:$B$1005="TRASIEGO")*(MOVIMIENTOS!$C$5:$C$1005="M")*(MOVIMIENTOS!$D$5:$D$1005="jabas")*(MOVIMIENTOS!$A$5:$A$1005&lt;&gt;"")*(MOVIMIENTOS!$A$5:$A$1005&lt;=$A554)*MOVIMIENTOS!$E$5:$E$1005)-SUMPRODUCT((MOVIMIENTOS!$B$5:$B$1005="REGALO")*(MOVIMIENTOS!$C$5:$C$1005="M")*(MOVIMIENTOS!$D$5:$D$1005="jabas")*(MOVIMIENTOS!$A$5:$A$1005&lt;&gt;"")*(MOVIMIENTOS!$A$5:$A$1005&lt;=$A554)*MOVIMIENTOS!$E$5:$E$1005)-SUMPRODUCT((MOVIMIENTOS!$B$5:$B$1005="VENTA")*(MOVIMIENTOS!$C$5:$C$1005="M")*(MOVIMIENTOS!$D$5:$D$1005="jabas")*(MOVIMIENTOS!$A$5:$A$1005&lt;&gt;"")*(MOVIMIENTOS!$A$5:$A$1005&lt;=$A554)*MOVIMIENTOS!$E$5:$E$1005)+SUMPRODUCT((MOVIMIENTOS!$B$5:$B$1005="AJUSTE")*(MOVIMIENTOS!$C$5:$C$1005="M")*(MOVIMIENTOS!$D$5:$D$1005="jabas")*(MOVIMIENTOS!$A$5:$A$1005&lt;&gt;"")*(MOVIMIENTOS!$A$5:$A$1005&lt;=$A554)*MOVIMIENTOS!$E$5:$E$1005))</f>
        <v/>
      </c>
      <c r="F554" s="62" t="str">
        <f>IF($A554="","",SUMPRODUCT((MOVIMIENTOS!$B$5:$B$1005="SALDO INICIAL")*(MOVIMIENTOS!$C$5:$C$1005="Chancho")*(MOVIMIENTOS!$D$5:$D$1005="sacos")*(MOVIMIENTOS!$A$5:$A$1005&lt;&gt;"")*(MOVIMIENTOS!$A$5:$A$1005&lt;=$A554)*MOVIMIENTOS!$E$5:$E$1005)+SUMPRODUCT((MOVIMIENTOS!$B$5:$B$1005="PROCESO")*(MOVIMIENTOS!$C$5:$C$1005="Chancho")*(MOVIMIENTOS!$D$5:$D$1005="sacos")*(MOVIMIENTOS!$A$5:$A$1005&lt;&gt;"")*(MOVIMIENTOS!$A$5:$A$1005&lt;=$A554)*MOVIMIENTOS!$E$5:$E$1005)-SUMPRODUCT((MOVIMIENTOS!$B$5:$B$1005="VENTA CHANCHO")*(MOVIMIENTOS!$C$5:$C$1005="Chancho")*(MOVIMIENTOS!$D$5:$D$1005="sacos")*(MOVIMIENTOS!$A$5:$A$1005&lt;&gt;"")*(MOVIMIENTOS!$A$5:$A$1005&lt;=$A554)*MOVIMIENTOS!$E$5:$E$1005)-SUMPRODUCT((MOVIMIENTOS!$B$5:$B$1005="REGALO")*(MOVIMIENTOS!$C$5:$C$1005="Chancho")*(MOVIMIENTOS!$D$5:$D$1005="sacos")*(MOVIMIENTOS!$A$5:$A$1005&lt;&gt;"")*(MOVIMIENTOS!$A$5:$A$1005&lt;=$A554)*MOVIMIENTOS!$E$5:$E$1005)-SUMPRODUCT((MOVIMIENTOS!$B$5:$B$1005="VENTA")*(MOVIMIENTOS!$C$5:$C$1005="Chancho")*(MOVIMIENTOS!$D$5:$D$1005="sacos")*(MOVIMIENTOS!$A$5:$A$1005&lt;&gt;"")*(MOVIMIENTOS!$A$5:$A$1005&lt;=$A554)*MOVIMIENTOS!$E$5:$E$1005)+SUMPRODUCT((MOVIMIENTOS!$B$5:$B$1005="AJUSTE")*(MOVIMIENTOS!$C$5:$C$1005="Chancho")*(MOVIMIENTOS!$D$5:$D$1005="sacos")*(MOVIMIENTOS!$A$5:$A$1005&lt;&gt;"")*(MOVIMIENTOS!$A$5:$A$1005&lt;=$A554)*MOVIMIENTOS!$E$5:$E$1005))</f>
        <v/>
      </c>
      <c r="G554" s="62" t="str">
        <f t="shared" si="17"/>
        <v/>
      </c>
      <c r="H554" t="str">
        <f>IF($A554="","",SUMPRODUCT((((MOVIMIENTOS!$B$5:$B$1005="SALDO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554)*MOVIMIENTOS!$J$5:$J$1005))</f>
        <v/>
      </c>
      <c r="J554" t="str">
        <f>IF(AND(MOVIMIENTOS!$A559&lt;&gt;"",COUNTIF(MOVIMIENTOS!$A$5:$A558,MOVIMIENTOS!$A559)=0),COUNT(J$4:J553)+1,"")</f>
        <v/>
      </c>
      <c r="K554">
        <f>MOVIMIENTOS!$A559</f>
        <v>0</v>
      </c>
    </row>
    <row r="555" spans="1:11" ht="15" customHeight="1" x14ac:dyDescent="0.2">
      <c r="A555" t="str">
        <f t="shared" si="16"/>
        <v/>
      </c>
      <c r="B555" t="str">
        <f>IF($A555="","",SUMPRODUCT((MOVIMIENTOS!$B$5:$B$1005="SALDO INICIAL")*(MOVIMIENTOS!$C$5:$C$1005="A")*(MOVIMIENTOS!$D$5:$D$1005="jabas")*(MOVIMIENTOS!$A$5:$A$1005&lt;&gt;"")*(MOVIMIENTOS!$A$5:$A$1005&lt;=$A555)*MOVIMIENTOS!$E$5:$E$1005)+SUMPRODUCT((MOVIMIENTOS!$B$5:$B$1005="PROCESO")*(MOVIMIENTOS!$C$5:$C$1005="A")*(MOVIMIENTOS!$D$5:$D$1005="jabas")*(MOVIMIENTOS!$A$5:$A$1005&lt;&gt;"")*(MOVIMIENTOS!$A$5:$A$1005&lt;=$A555)*MOVIMIENTOS!$E$5:$E$1005)-SUMPRODUCT((MOVIMIENTOS!$B$5:$B$1005="ENVÍO A SUPESA")*(MOVIMIENTOS!$C$5:$C$1005="A")*(MOVIMIENTOS!$D$5:$D$1005="jabas")*(MOVIMIENTOS!$A$5:$A$1005&lt;&gt;"")*(MOVIMIENTOS!$A$5:$A$1005&lt;=$A555)*MOVIMIENTOS!$E$5:$E$1005)+SUMPRODUCT((MOVIMIENTOS!$B$5:$B$1005="DEVOLUCIÓN")*(MOVIMIENTOS!$C$5:$C$1005="A")*(MOVIMIENTOS!$D$5:$D$1005="jabas")*(MOVIMIENTOS!$A$5:$A$1005&lt;&gt;"")*(MOVIMIENTOS!$A$5:$A$1005&lt;=$A555)*MOVIMIENTOS!$E$5:$E$1005)-SUMPRODUCT((MOVIMIENTOS!$B$5:$B$1005="TRASIEGO")*(MOVIMIENTOS!$C$5:$C$1005="A")*(MOVIMIENTOS!$D$5:$D$1005="jabas")*(MOVIMIENTOS!$A$5:$A$1005&lt;&gt;"")*(MOVIMIENTOS!$A$5:$A$1005&lt;=$A555)*MOVIMIENTOS!$E$5:$E$1005)-SUMPRODUCT((MOVIMIENTOS!$B$5:$B$1005="REGALO")*(MOVIMIENTOS!$C$5:$C$1005="A")*(MOVIMIENTOS!$D$5:$D$1005="jabas")*(MOVIMIENTOS!$A$5:$A$1005&lt;&gt;"")*(MOVIMIENTOS!$A$5:$A$1005&lt;=$A555)*MOVIMIENTOS!$E$5:$E$1005)-SUMPRODUCT((MOVIMIENTOS!$B$5:$B$1005="VENTA")*(MOVIMIENTOS!$C$5:$C$1005="A")*(MOVIMIENTOS!$D$5:$D$1005="jabas")*(MOVIMIENTOS!$A$5:$A$1005&lt;&gt;"")*(MOVIMIENTOS!$A$5:$A$1005&lt;=$A555)*MOVIMIENTOS!$E$5:$E$1005)+SUMPRODUCT((MOVIMIENTOS!$B$5:$B$1005="AJUSTE")*(MOVIMIENTOS!$C$5:$C$1005="A")*(MOVIMIENTOS!$D$5:$D$1005="jabas")*(MOVIMIENTOS!$A$5:$A$1005&lt;&gt;"")*(MOVIMIENTOS!$A$5:$A$1005&lt;=$A555)*MOVIMIENTOS!$E$5:$E$1005))</f>
        <v/>
      </c>
      <c r="C555" t="str">
        <f>IF($A555="","",SUMPRODUCT((MOVIMIENTOS!$B$5:$B$1005="SALDO INICIAL")*(MOVIMIENTOS!$C$5:$C$1005="P")*(MOVIMIENTOS!$D$5:$D$1005="jabas")*(MOVIMIENTOS!$A$5:$A$1005&lt;&gt;"")*(MOVIMIENTOS!$A$5:$A$1005&lt;=$A555)*MOVIMIENTOS!$E$5:$E$1005)+SUMPRODUCT((MOVIMIENTOS!$B$5:$B$1005="PROCESO")*(MOVIMIENTOS!$C$5:$C$1005="P")*(MOVIMIENTOS!$D$5:$D$1005="jabas")*(MOVIMIENTOS!$A$5:$A$1005&lt;&gt;"")*(MOVIMIENTOS!$A$5:$A$1005&lt;=$A555)*MOVIMIENTOS!$E$5:$E$1005)-SUMPRODUCT((MOVIMIENTOS!$B$5:$B$1005="ENVÍO A SUPESA")*(MOVIMIENTOS!$C$5:$C$1005="P")*(MOVIMIENTOS!$D$5:$D$1005="jabas")*(MOVIMIENTOS!$A$5:$A$1005&lt;&gt;"")*(MOVIMIENTOS!$A$5:$A$1005&lt;=$A555)*MOVIMIENTOS!$E$5:$E$1005)+SUMPRODUCT((MOVIMIENTOS!$B$5:$B$1005="DEVOLUCIÓN")*(MOVIMIENTOS!$C$5:$C$1005="P")*(MOVIMIENTOS!$D$5:$D$1005="jabas")*(MOVIMIENTOS!$A$5:$A$1005&lt;&gt;"")*(MOVIMIENTOS!$A$5:$A$1005&lt;=$A555)*MOVIMIENTOS!$E$5:$E$1005)-SUMPRODUCT((MOVIMIENTOS!$B$5:$B$1005="TRASIEGO")*(MOVIMIENTOS!$C$5:$C$1005="P")*(MOVIMIENTOS!$D$5:$D$1005="jabas")*(MOVIMIENTOS!$A$5:$A$1005&lt;&gt;"")*(MOVIMIENTOS!$A$5:$A$1005&lt;=$A555)*MOVIMIENTOS!$E$5:$E$1005)-SUMPRODUCT((MOVIMIENTOS!$B$5:$B$1005="REGALO")*(MOVIMIENTOS!$C$5:$C$1005="P")*(MOVIMIENTOS!$D$5:$D$1005="jabas")*(MOVIMIENTOS!$A$5:$A$1005&lt;&gt;"")*(MOVIMIENTOS!$A$5:$A$1005&lt;=$A555)*MOVIMIENTOS!$E$5:$E$1005)-SUMPRODUCT((MOVIMIENTOS!$B$5:$B$1005="VENTA")*(MOVIMIENTOS!$C$5:$C$1005="P")*(MOVIMIENTOS!$D$5:$D$1005="jabas")*(MOVIMIENTOS!$A$5:$A$1005&lt;&gt;"")*(MOVIMIENTOS!$A$5:$A$1005&lt;=$A555)*MOVIMIENTOS!$E$5:$E$1005)+SUMPRODUCT((MOVIMIENTOS!$B$5:$B$1005="AJUSTE")*(MOVIMIENTOS!$C$5:$C$1005="P")*(MOVIMIENTOS!$D$5:$D$1005="jabas")*(MOVIMIENTOS!$A$5:$A$1005&lt;&gt;"")*(MOVIMIENTOS!$A$5:$A$1005&lt;=$A555)*MOVIMIENTOS!$E$5:$E$1005))</f>
        <v/>
      </c>
      <c r="D555" t="str">
        <f>IF($A555="","",SUMPRODUCT((MOVIMIENTOS!$B$5:$B$1005="SALDO INICIAL")*(MOVIMIENTOS!$C$5:$C$1005="C")*(MOVIMIENTOS!$D$5:$D$1005="jabas")*(MOVIMIENTOS!$A$5:$A$1005&lt;&gt;"")*(MOVIMIENTOS!$A$5:$A$1005&lt;=$A555)*MOVIMIENTOS!$E$5:$E$1005)+SUMPRODUCT((MOVIMIENTOS!$B$5:$B$1005="PROCESO")*(MOVIMIENTOS!$C$5:$C$1005="C")*(MOVIMIENTOS!$D$5:$D$1005="jabas")*(MOVIMIENTOS!$A$5:$A$1005&lt;&gt;"")*(MOVIMIENTOS!$A$5:$A$1005&lt;=$A555)*MOVIMIENTOS!$E$5:$E$1005)-SUMPRODUCT((MOVIMIENTOS!$B$5:$B$1005="ENVÍO A SUPESA")*(MOVIMIENTOS!$C$5:$C$1005="C")*(MOVIMIENTOS!$D$5:$D$1005="jabas")*(MOVIMIENTOS!$A$5:$A$1005&lt;&gt;"")*(MOVIMIENTOS!$A$5:$A$1005&lt;=$A555)*MOVIMIENTOS!$E$5:$E$1005)+SUMPRODUCT((MOVIMIENTOS!$B$5:$B$1005="DEVOLUCIÓN")*(MOVIMIENTOS!$C$5:$C$1005="C")*(MOVIMIENTOS!$D$5:$D$1005="jabas")*(MOVIMIENTOS!$A$5:$A$1005&lt;&gt;"")*(MOVIMIENTOS!$A$5:$A$1005&lt;=$A555)*MOVIMIENTOS!$E$5:$E$1005)-SUMPRODUCT((MOVIMIENTOS!$B$5:$B$1005="TRASIEGO")*(MOVIMIENTOS!$C$5:$C$1005="C")*(MOVIMIENTOS!$D$5:$D$1005="jabas")*(MOVIMIENTOS!$A$5:$A$1005&lt;&gt;"")*(MOVIMIENTOS!$A$5:$A$1005&lt;=$A555)*MOVIMIENTOS!$E$5:$E$1005)-SUMPRODUCT((MOVIMIENTOS!$B$5:$B$1005="REGALO")*(MOVIMIENTOS!$C$5:$C$1005="C")*(MOVIMIENTOS!$D$5:$D$1005="jabas")*(MOVIMIENTOS!$A$5:$A$1005&lt;&gt;"")*(MOVIMIENTOS!$A$5:$A$1005&lt;=$A555)*MOVIMIENTOS!$E$5:$E$1005)-SUMPRODUCT((MOVIMIENTOS!$B$5:$B$1005="VENTA")*(MOVIMIENTOS!$C$5:$C$1005="C")*(MOVIMIENTOS!$D$5:$D$1005="jabas")*(MOVIMIENTOS!$A$5:$A$1005&lt;&gt;"")*(MOVIMIENTOS!$A$5:$A$1005&lt;=$A555)*MOVIMIENTOS!$E$5:$E$1005)+SUMPRODUCT((MOVIMIENTOS!$B$5:$B$1005="AJUSTE")*(MOVIMIENTOS!$C$5:$C$1005="C")*(MOVIMIENTOS!$D$5:$D$1005="jabas")*(MOVIMIENTOS!$A$5:$A$1005&lt;&gt;"")*(MOVIMIENTOS!$A$5:$A$1005&lt;=$A555)*MOVIMIENTOS!$E$5:$E$1005))</f>
        <v/>
      </c>
      <c r="E555" t="str">
        <f>IF($A555="","",SUMPRODUCT((MOVIMIENTOS!$B$5:$B$1005="SALDO INICIAL")*(MOVIMIENTOS!$C$5:$C$1005="M")*(MOVIMIENTOS!$D$5:$D$1005="jabas")*(MOVIMIENTOS!$A$5:$A$1005&lt;&gt;"")*(MOVIMIENTOS!$A$5:$A$1005&lt;=$A555)*MOVIMIENTOS!$E$5:$E$1005)+SUMPRODUCT((MOVIMIENTOS!$B$5:$B$1005="PROCESO")*(MOVIMIENTOS!$C$5:$C$1005="M")*(MOVIMIENTOS!$D$5:$D$1005="jabas")*(MOVIMIENTOS!$A$5:$A$1005&lt;&gt;"")*(MOVIMIENTOS!$A$5:$A$1005&lt;=$A555)*MOVIMIENTOS!$E$5:$E$1005)-SUMPRODUCT((MOVIMIENTOS!$B$5:$B$1005="ENVÍO A SUPESA")*(MOVIMIENTOS!$C$5:$C$1005="M")*(MOVIMIENTOS!$D$5:$D$1005="jabas")*(MOVIMIENTOS!$A$5:$A$1005&lt;&gt;"")*(MOVIMIENTOS!$A$5:$A$1005&lt;=$A555)*MOVIMIENTOS!$E$5:$E$1005)+SUMPRODUCT((MOVIMIENTOS!$B$5:$B$1005="DEVOLUCIÓN")*(MOVIMIENTOS!$C$5:$C$1005="M")*(MOVIMIENTOS!$D$5:$D$1005="jabas")*(MOVIMIENTOS!$A$5:$A$1005&lt;&gt;"")*(MOVIMIENTOS!$A$5:$A$1005&lt;=$A555)*MOVIMIENTOS!$E$5:$E$1005)-SUMPRODUCT((MOVIMIENTOS!$B$5:$B$1005="TRASIEGO")*(MOVIMIENTOS!$C$5:$C$1005="M")*(MOVIMIENTOS!$D$5:$D$1005="jabas")*(MOVIMIENTOS!$A$5:$A$1005&lt;&gt;"")*(MOVIMIENTOS!$A$5:$A$1005&lt;=$A555)*MOVIMIENTOS!$E$5:$E$1005)-SUMPRODUCT((MOVIMIENTOS!$B$5:$B$1005="REGALO")*(MOVIMIENTOS!$C$5:$C$1005="M")*(MOVIMIENTOS!$D$5:$D$1005="jabas")*(MOVIMIENTOS!$A$5:$A$1005&lt;&gt;"")*(MOVIMIENTOS!$A$5:$A$1005&lt;=$A555)*MOVIMIENTOS!$E$5:$E$1005)-SUMPRODUCT((MOVIMIENTOS!$B$5:$B$1005="VENTA")*(MOVIMIENTOS!$C$5:$C$1005="M")*(MOVIMIENTOS!$D$5:$D$1005="jabas")*(MOVIMIENTOS!$A$5:$A$1005&lt;&gt;"")*(MOVIMIENTOS!$A$5:$A$1005&lt;=$A555)*MOVIMIENTOS!$E$5:$E$1005)+SUMPRODUCT((MOVIMIENTOS!$B$5:$B$1005="AJUSTE")*(MOVIMIENTOS!$C$5:$C$1005="M")*(MOVIMIENTOS!$D$5:$D$1005="jabas")*(MOVIMIENTOS!$A$5:$A$1005&lt;&gt;"")*(MOVIMIENTOS!$A$5:$A$1005&lt;=$A555)*MOVIMIENTOS!$E$5:$E$1005))</f>
        <v/>
      </c>
      <c r="F555" s="62" t="str">
        <f>IF($A555="","",SUMPRODUCT((MOVIMIENTOS!$B$5:$B$1005="SALDO INICIAL")*(MOVIMIENTOS!$C$5:$C$1005="Chancho")*(MOVIMIENTOS!$D$5:$D$1005="sacos")*(MOVIMIENTOS!$A$5:$A$1005&lt;&gt;"")*(MOVIMIENTOS!$A$5:$A$1005&lt;=$A555)*MOVIMIENTOS!$E$5:$E$1005)+SUMPRODUCT((MOVIMIENTOS!$B$5:$B$1005="PROCESO")*(MOVIMIENTOS!$C$5:$C$1005="Chancho")*(MOVIMIENTOS!$D$5:$D$1005="sacos")*(MOVIMIENTOS!$A$5:$A$1005&lt;&gt;"")*(MOVIMIENTOS!$A$5:$A$1005&lt;=$A555)*MOVIMIENTOS!$E$5:$E$1005)-SUMPRODUCT((MOVIMIENTOS!$B$5:$B$1005="VENTA CHANCHO")*(MOVIMIENTOS!$C$5:$C$1005="Chancho")*(MOVIMIENTOS!$D$5:$D$1005="sacos")*(MOVIMIENTOS!$A$5:$A$1005&lt;&gt;"")*(MOVIMIENTOS!$A$5:$A$1005&lt;=$A555)*MOVIMIENTOS!$E$5:$E$1005)-SUMPRODUCT((MOVIMIENTOS!$B$5:$B$1005="REGALO")*(MOVIMIENTOS!$C$5:$C$1005="Chancho")*(MOVIMIENTOS!$D$5:$D$1005="sacos")*(MOVIMIENTOS!$A$5:$A$1005&lt;&gt;"")*(MOVIMIENTOS!$A$5:$A$1005&lt;=$A555)*MOVIMIENTOS!$E$5:$E$1005)-SUMPRODUCT((MOVIMIENTOS!$B$5:$B$1005="VENTA")*(MOVIMIENTOS!$C$5:$C$1005="Chancho")*(MOVIMIENTOS!$D$5:$D$1005="sacos")*(MOVIMIENTOS!$A$5:$A$1005&lt;&gt;"")*(MOVIMIENTOS!$A$5:$A$1005&lt;=$A555)*MOVIMIENTOS!$E$5:$E$1005)+SUMPRODUCT((MOVIMIENTOS!$B$5:$B$1005="AJUSTE")*(MOVIMIENTOS!$C$5:$C$1005="Chancho")*(MOVIMIENTOS!$D$5:$D$1005="sacos")*(MOVIMIENTOS!$A$5:$A$1005&lt;&gt;"")*(MOVIMIENTOS!$A$5:$A$1005&lt;=$A555)*MOVIMIENTOS!$E$5:$E$1005))</f>
        <v/>
      </c>
      <c r="G555" s="62" t="str">
        <f t="shared" si="17"/>
        <v/>
      </c>
      <c r="H555" t="str">
        <f>IF($A555="","",SUMPRODUCT((((MOVIMIENTOS!$B$5:$B$1005="SALDO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555)*MOVIMIENTOS!$J$5:$J$1005))</f>
        <v/>
      </c>
      <c r="J555" t="str">
        <f>IF(AND(MOVIMIENTOS!$A560&lt;&gt;"",COUNTIF(MOVIMIENTOS!$A$5:$A559,MOVIMIENTOS!$A560)=0),COUNT(J$4:J554)+1,"")</f>
        <v/>
      </c>
      <c r="K555">
        <f>MOVIMIENTOS!$A560</f>
        <v>0</v>
      </c>
    </row>
    <row r="556" spans="1:11" ht="15" customHeight="1" x14ac:dyDescent="0.2">
      <c r="A556" t="str">
        <f t="shared" si="16"/>
        <v/>
      </c>
      <c r="B556" t="str">
        <f>IF($A556="","",SUMPRODUCT((MOVIMIENTOS!$B$5:$B$1005="SALDO INICIAL")*(MOVIMIENTOS!$C$5:$C$1005="A")*(MOVIMIENTOS!$D$5:$D$1005="jabas")*(MOVIMIENTOS!$A$5:$A$1005&lt;&gt;"")*(MOVIMIENTOS!$A$5:$A$1005&lt;=$A556)*MOVIMIENTOS!$E$5:$E$1005)+SUMPRODUCT((MOVIMIENTOS!$B$5:$B$1005="PROCESO")*(MOVIMIENTOS!$C$5:$C$1005="A")*(MOVIMIENTOS!$D$5:$D$1005="jabas")*(MOVIMIENTOS!$A$5:$A$1005&lt;&gt;"")*(MOVIMIENTOS!$A$5:$A$1005&lt;=$A556)*MOVIMIENTOS!$E$5:$E$1005)-SUMPRODUCT((MOVIMIENTOS!$B$5:$B$1005="ENVÍO A SUPESA")*(MOVIMIENTOS!$C$5:$C$1005="A")*(MOVIMIENTOS!$D$5:$D$1005="jabas")*(MOVIMIENTOS!$A$5:$A$1005&lt;&gt;"")*(MOVIMIENTOS!$A$5:$A$1005&lt;=$A556)*MOVIMIENTOS!$E$5:$E$1005)+SUMPRODUCT((MOVIMIENTOS!$B$5:$B$1005="DEVOLUCIÓN")*(MOVIMIENTOS!$C$5:$C$1005="A")*(MOVIMIENTOS!$D$5:$D$1005="jabas")*(MOVIMIENTOS!$A$5:$A$1005&lt;&gt;"")*(MOVIMIENTOS!$A$5:$A$1005&lt;=$A556)*MOVIMIENTOS!$E$5:$E$1005)-SUMPRODUCT((MOVIMIENTOS!$B$5:$B$1005="TRASIEGO")*(MOVIMIENTOS!$C$5:$C$1005="A")*(MOVIMIENTOS!$D$5:$D$1005="jabas")*(MOVIMIENTOS!$A$5:$A$1005&lt;&gt;"")*(MOVIMIENTOS!$A$5:$A$1005&lt;=$A556)*MOVIMIENTOS!$E$5:$E$1005)-SUMPRODUCT((MOVIMIENTOS!$B$5:$B$1005="REGALO")*(MOVIMIENTOS!$C$5:$C$1005="A")*(MOVIMIENTOS!$D$5:$D$1005="jabas")*(MOVIMIENTOS!$A$5:$A$1005&lt;&gt;"")*(MOVIMIENTOS!$A$5:$A$1005&lt;=$A556)*MOVIMIENTOS!$E$5:$E$1005)-SUMPRODUCT((MOVIMIENTOS!$B$5:$B$1005="VENTA")*(MOVIMIENTOS!$C$5:$C$1005="A")*(MOVIMIENTOS!$D$5:$D$1005="jabas")*(MOVIMIENTOS!$A$5:$A$1005&lt;&gt;"")*(MOVIMIENTOS!$A$5:$A$1005&lt;=$A556)*MOVIMIENTOS!$E$5:$E$1005)+SUMPRODUCT((MOVIMIENTOS!$B$5:$B$1005="AJUSTE")*(MOVIMIENTOS!$C$5:$C$1005="A")*(MOVIMIENTOS!$D$5:$D$1005="jabas")*(MOVIMIENTOS!$A$5:$A$1005&lt;&gt;"")*(MOVIMIENTOS!$A$5:$A$1005&lt;=$A556)*MOVIMIENTOS!$E$5:$E$1005))</f>
        <v/>
      </c>
      <c r="C556" t="str">
        <f>IF($A556="","",SUMPRODUCT((MOVIMIENTOS!$B$5:$B$1005="SALDO INICIAL")*(MOVIMIENTOS!$C$5:$C$1005="P")*(MOVIMIENTOS!$D$5:$D$1005="jabas")*(MOVIMIENTOS!$A$5:$A$1005&lt;&gt;"")*(MOVIMIENTOS!$A$5:$A$1005&lt;=$A556)*MOVIMIENTOS!$E$5:$E$1005)+SUMPRODUCT((MOVIMIENTOS!$B$5:$B$1005="PROCESO")*(MOVIMIENTOS!$C$5:$C$1005="P")*(MOVIMIENTOS!$D$5:$D$1005="jabas")*(MOVIMIENTOS!$A$5:$A$1005&lt;&gt;"")*(MOVIMIENTOS!$A$5:$A$1005&lt;=$A556)*MOVIMIENTOS!$E$5:$E$1005)-SUMPRODUCT((MOVIMIENTOS!$B$5:$B$1005="ENVÍO A SUPESA")*(MOVIMIENTOS!$C$5:$C$1005="P")*(MOVIMIENTOS!$D$5:$D$1005="jabas")*(MOVIMIENTOS!$A$5:$A$1005&lt;&gt;"")*(MOVIMIENTOS!$A$5:$A$1005&lt;=$A556)*MOVIMIENTOS!$E$5:$E$1005)+SUMPRODUCT((MOVIMIENTOS!$B$5:$B$1005="DEVOLUCIÓN")*(MOVIMIENTOS!$C$5:$C$1005="P")*(MOVIMIENTOS!$D$5:$D$1005="jabas")*(MOVIMIENTOS!$A$5:$A$1005&lt;&gt;"")*(MOVIMIENTOS!$A$5:$A$1005&lt;=$A556)*MOVIMIENTOS!$E$5:$E$1005)-SUMPRODUCT((MOVIMIENTOS!$B$5:$B$1005="TRASIEGO")*(MOVIMIENTOS!$C$5:$C$1005="P")*(MOVIMIENTOS!$D$5:$D$1005="jabas")*(MOVIMIENTOS!$A$5:$A$1005&lt;&gt;"")*(MOVIMIENTOS!$A$5:$A$1005&lt;=$A556)*MOVIMIENTOS!$E$5:$E$1005)-SUMPRODUCT((MOVIMIENTOS!$B$5:$B$1005="REGALO")*(MOVIMIENTOS!$C$5:$C$1005="P")*(MOVIMIENTOS!$D$5:$D$1005="jabas")*(MOVIMIENTOS!$A$5:$A$1005&lt;&gt;"")*(MOVIMIENTOS!$A$5:$A$1005&lt;=$A556)*MOVIMIENTOS!$E$5:$E$1005)-SUMPRODUCT((MOVIMIENTOS!$B$5:$B$1005="VENTA")*(MOVIMIENTOS!$C$5:$C$1005="P")*(MOVIMIENTOS!$D$5:$D$1005="jabas")*(MOVIMIENTOS!$A$5:$A$1005&lt;&gt;"")*(MOVIMIENTOS!$A$5:$A$1005&lt;=$A556)*MOVIMIENTOS!$E$5:$E$1005)+SUMPRODUCT((MOVIMIENTOS!$B$5:$B$1005="AJUSTE")*(MOVIMIENTOS!$C$5:$C$1005="P")*(MOVIMIENTOS!$D$5:$D$1005="jabas")*(MOVIMIENTOS!$A$5:$A$1005&lt;&gt;"")*(MOVIMIENTOS!$A$5:$A$1005&lt;=$A556)*MOVIMIENTOS!$E$5:$E$1005))</f>
        <v/>
      </c>
      <c r="D556" t="str">
        <f>IF($A556="","",SUMPRODUCT((MOVIMIENTOS!$B$5:$B$1005="SALDO INICIAL")*(MOVIMIENTOS!$C$5:$C$1005="C")*(MOVIMIENTOS!$D$5:$D$1005="jabas")*(MOVIMIENTOS!$A$5:$A$1005&lt;&gt;"")*(MOVIMIENTOS!$A$5:$A$1005&lt;=$A556)*MOVIMIENTOS!$E$5:$E$1005)+SUMPRODUCT((MOVIMIENTOS!$B$5:$B$1005="PROCESO")*(MOVIMIENTOS!$C$5:$C$1005="C")*(MOVIMIENTOS!$D$5:$D$1005="jabas")*(MOVIMIENTOS!$A$5:$A$1005&lt;&gt;"")*(MOVIMIENTOS!$A$5:$A$1005&lt;=$A556)*MOVIMIENTOS!$E$5:$E$1005)-SUMPRODUCT((MOVIMIENTOS!$B$5:$B$1005="ENVÍO A SUPESA")*(MOVIMIENTOS!$C$5:$C$1005="C")*(MOVIMIENTOS!$D$5:$D$1005="jabas")*(MOVIMIENTOS!$A$5:$A$1005&lt;&gt;"")*(MOVIMIENTOS!$A$5:$A$1005&lt;=$A556)*MOVIMIENTOS!$E$5:$E$1005)+SUMPRODUCT((MOVIMIENTOS!$B$5:$B$1005="DEVOLUCIÓN")*(MOVIMIENTOS!$C$5:$C$1005="C")*(MOVIMIENTOS!$D$5:$D$1005="jabas")*(MOVIMIENTOS!$A$5:$A$1005&lt;&gt;"")*(MOVIMIENTOS!$A$5:$A$1005&lt;=$A556)*MOVIMIENTOS!$E$5:$E$1005)-SUMPRODUCT((MOVIMIENTOS!$B$5:$B$1005="TRASIEGO")*(MOVIMIENTOS!$C$5:$C$1005="C")*(MOVIMIENTOS!$D$5:$D$1005="jabas")*(MOVIMIENTOS!$A$5:$A$1005&lt;&gt;"")*(MOVIMIENTOS!$A$5:$A$1005&lt;=$A556)*MOVIMIENTOS!$E$5:$E$1005)-SUMPRODUCT((MOVIMIENTOS!$B$5:$B$1005="REGALO")*(MOVIMIENTOS!$C$5:$C$1005="C")*(MOVIMIENTOS!$D$5:$D$1005="jabas")*(MOVIMIENTOS!$A$5:$A$1005&lt;&gt;"")*(MOVIMIENTOS!$A$5:$A$1005&lt;=$A556)*MOVIMIENTOS!$E$5:$E$1005)-SUMPRODUCT((MOVIMIENTOS!$B$5:$B$1005="VENTA")*(MOVIMIENTOS!$C$5:$C$1005="C")*(MOVIMIENTOS!$D$5:$D$1005="jabas")*(MOVIMIENTOS!$A$5:$A$1005&lt;&gt;"")*(MOVIMIENTOS!$A$5:$A$1005&lt;=$A556)*MOVIMIENTOS!$E$5:$E$1005)+SUMPRODUCT((MOVIMIENTOS!$B$5:$B$1005="AJUSTE")*(MOVIMIENTOS!$C$5:$C$1005="C")*(MOVIMIENTOS!$D$5:$D$1005="jabas")*(MOVIMIENTOS!$A$5:$A$1005&lt;&gt;"")*(MOVIMIENTOS!$A$5:$A$1005&lt;=$A556)*MOVIMIENTOS!$E$5:$E$1005))</f>
        <v/>
      </c>
      <c r="E556" t="str">
        <f>IF($A556="","",SUMPRODUCT((MOVIMIENTOS!$B$5:$B$1005="SALDO INICIAL")*(MOVIMIENTOS!$C$5:$C$1005="M")*(MOVIMIENTOS!$D$5:$D$1005="jabas")*(MOVIMIENTOS!$A$5:$A$1005&lt;&gt;"")*(MOVIMIENTOS!$A$5:$A$1005&lt;=$A556)*MOVIMIENTOS!$E$5:$E$1005)+SUMPRODUCT((MOVIMIENTOS!$B$5:$B$1005="PROCESO")*(MOVIMIENTOS!$C$5:$C$1005="M")*(MOVIMIENTOS!$D$5:$D$1005="jabas")*(MOVIMIENTOS!$A$5:$A$1005&lt;&gt;"")*(MOVIMIENTOS!$A$5:$A$1005&lt;=$A556)*MOVIMIENTOS!$E$5:$E$1005)-SUMPRODUCT((MOVIMIENTOS!$B$5:$B$1005="ENVÍO A SUPESA")*(MOVIMIENTOS!$C$5:$C$1005="M")*(MOVIMIENTOS!$D$5:$D$1005="jabas")*(MOVIMIENTOS!$A$5:$A$1005&lt;&gt;"")*(MOVIMIENTOS!$A$5:$A$1005&lt;=$A556)*MOVIMIENTOS!$E$5:$E$1005)+SUMPRODUCT((MOVIMIENTOS!$B$5:$B$1005="DEVOLUCIÓN")*(MOVIMIENTOS!$C$5:$C$1005="M")*(MOVIMIENTOS!$D$5:$D$1005="jabas")*(MOVIMIENTOS!$A$5:$A$1005&lt;&gt;"")*(MOVIMIENTOS!$A$5:$A$1005&lt;=$A556)*MOVIMIENTOS!$E$5:$E$1005)-SUMPRODUCT((MOVIMIENTOS!$B$5:$B$1005="TRASIEGO")*(MOVIMIENTOS!$C$5:$C$1005="M")*(MOVIMIENTOS!$D$5:$D$1005="jabas")*(MOVIMIENTOS!$A$5:$A$1005&lt;&gt;"")*(MOVIMIENTOS!$A$5:$A$1005&lt;=$A556)*MOVIMIENTOS!$E$5:$E$1005)-SUMPRODUCT((MOVIMIENTOS!$B$5:$B$1005="REGALO")*(MOVIMIENTOS!$C$5:$C$1005="M")*(MOVIMIENTOS!$D$5:$D$1005="jabas")*(MOVIMIENTOS!$A$5:$A$1005&lt;&gt;"")*(MOVIMIENTOS!$A$5:$A$1005&lt;=$A556)*MOVIMIENTOS!$E$5:$E$1005)-SUMPRODUCT((MOVIMIENTOS!$B$5:$B$1005="VENTA")*(MOVIMIENTOS!$C$5:$C$1005="M")*(MOVIMIENTOS!$D$5:$D$1005="jabas")*(MOVIMIENTOS!$A$5:$A$1005&lt;&gt;"")*(MOVIMIENTOS!$A$5:$A$1005&lt;=$A556)*MOVIMIENTOS!$E$5:$E$1005)+SUMPRODUCT((MOVIMIENTOS!$B$5:$B$1005="AJUSTE")*(MOVIMIENTOS!$C$5:$C$1005="M")*(MOVIMIENTOS!$D$5:$D$1005="jabas")*(MOVIMIENTOS!$A$5:$A$1005&lt;&gt;"")*(MOVIMIENTOS!$A$5:$A$1005&lt;=$A556)*MOVIMIENTOS!$E$5:$E$1005))</f>
        <v/>
      </c>
      <c r="F556" s="62" t="str">
        <f>IF($A556="","",SUMPRODUCT((MOVIMIENTOS!$B$5:$B$1005="SALDO INICIAL")*(MOVIMIENTOS!$C$5:$C$1005="Chancho")*(MOVIMIENTOS!$D$5:$D$1005="sacos")*(MOVIMIENTOS!$A$5:$A$1005&lt;&gt;"")*(MOVIMIENTOS!$A$5:$A$1005&lt;=$A556)*MOVIMIENTOS!$E$5:$E$1005)+SUMPRODUCT((MOVIMIENTOS!$B$5:$B$1005="PROCESO")*(MOVIMIENTOS!$C$5:$C$1005="Chancho")*(MOVIMIENTOS!$D$5:$D$1005="sacos")*(MOVIMIENTOS!$A$5:$A$1005&lt;&gt;"")*(MOVIMIENTOS!$A$5:$A$1005&lt;=$A556)*MOVIMIENTOS!$E$5:$E$1005)-SUMPRODUCT((MOVIMIENTOS!$B$5:$B$1005="VENTA CHANCHO")*(MOVIMIENTOS!$C$5:$C$1005="Chancho")*(MOVIMIENTOS!$D$5:$D$1005="sacos")*(MOVIMIENTOS!$A$5:$A$1005&lt;&gt;"")*(MOVIMIENTOS!$A$5:$A$1005&lt;=$A556)*MOVIMIENTOS!$E$5:$E$1005)-SUMPRODUCT((MOVIMIENTOS!$B$5:$B$1005="REGALO")*(MOVIMIENTOS!$C$5:$C$1005="Chancho")*(MOVIMIENTOS!$D$5:$D$1005="sacos")*(MOVIMIENTOS!$A$5:$A$1005&lt;&gt;"")*(MOVIMIENTOS!$A$5:$A$1005&lt;=$A556)*MOVIMIENTOS!$E$5:$E$1005)-SUMPRODUCT((MOVIMIENTOS!$B$5:$B$1005="VENTA")*(MOVIMIENTOS!$C$5:$C$1005="Chancho")*(MOVIMIENTOS!$D$5:$D$1005="sacos")*(MOVIMIENTOS!$A$5:$A$1005&lt;&gt;"")*(MOVIMIENTOS!$A$5:$A$1005&lt;=$A556)*MOVIMIENTOS!$E$5:$E$1005)+SUMPRODUCT((MOVIMIENTOS!$B$5:$B$1005="AJUSTE")*(MOVIMIENTOS!$C$5:$C$1005="Chancho")*(MOVIMIENTOS!$D$5:$D$1005="sacos")*(MOVIMIENTOS!$A$5:$A$1005&lt;&gt;"")*(MOVIMIENTOS!$A$5:$A$1005&lt;=$A556)*MOVIMIENTOS!$E$5:$E$1005))</f>
        <v/>
      </c>
      <c r="G556" s="62" t="str">
        <f t="shared" si="17"/>
        <v/>
      </c>
      <c r="H556" t="str">
        <f>IF($A556="","",SUMPRODUCT((((MOVIMIENTOS!$B$5:$B$1005="SALDO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556)*MOVIMIENTOS!$J$5:$J$1005))</f>
        <v/>
      </c>
      <c r="J556" t="str">
        <f>IF(AND(MOVIMIENTOS!$A561&lt;&gt;"",COUNTIF(MOVIMIENTOS!$A$5:$A560,MOVIMIENTOS!$A561)=0),COUNT(J$4:J555)+1,"")</f>
        <v/>
      </c>
      <c r="K556">
        <f>MOVIMIENTOS!$A561</f>
        <v>0</v>
      </c>
    </row>
    <row r="557" spans="1:11" ht="15" customHeight="1" x14ac:dyDescent="0.2">
      <c r="A557" t="str">
        <f t="shared" si="16"/>
        <v/>
      </c>
      <c r="B557" t="str">
        <f>IF($A557="","",SUMPRODUCT((MOVIMIENTOS!$B$5:$B$1005="SALDO INICIAL")*(MOVIMIENTOS!$C$5:$C$1005="A")*(MOVIMIENTOS!$D$5:$D$1005="jabas")*(MOVIMIENTOS!$A$5:$A$1005&lt;&gt;"")*(MOVIMIENTOS!$A$5:$A$1005&lt;=$A557)*MOVIMIENTOS!$E$5:$E$1005)+SUMPRODUCT((MOVIMIENTOS!$B$5:$B$1005="PROCESO")*(MOVIMIENTOS!$C$5:$C$1005="A")*(MOVIMIENTOS!$D$5:$D$1005="jabas")*(MOVIMIENTOS!$A$5:$A$1005&lt;&gt;"")*(MOVIMIENTOS!$A$5:$A$1005&lt;=$A557)*MOVIMIENTOS!$E$5:$E$1005)-SUMPRODUCT((MOVIMIENTOS!$B$5:$B$1005="ENVÍO A SUPESA")*(MOVIMIENTOS!$C$5:$C$1005="A")*(MOVIMIENTOS!$D$5:$D$1005="jabas")*(MOVIMIENTOS!$A$5:$A$1005&lt;&gt;"")*(MOVIMIENTOS!$A$5:$A$1005&lt;=$A557)*MOVIMIENTOS!$E$5:$E$1005)+SUMPRODUCT((MOVIMIENTOS!$B$5:$B$1005="DEVOLUCIÓN")*(MOVIMIENTOS!$C$5:$C$1005="A")*(MOVIMIENTOS!$D$5:$D$1005="jabas")*(MOVIMIENTOS!$A$5:$A$1005&lt;&gt;"")*(MOVIMIENTOS!$A$5:$A$1005&lt;=$A557)*MOVIMIENTOS!$E$5:$E$1005)-SUMPRODUCT((MOVIMIENTOS!$B$5:$B$1005="TRASIEGO")*(MOVIMIENTOS!$C$5:$C$1005="A")*(MOVIMIENTOS!$D$5:$D$1005="jabas")*(MOVIMIENTOS!$A$5:$A$1005&lt;&gt;"")*(MOVIMIENTOS!$A$5:$A$1005&lt;=$A557)*MOVIMIENTOS!$E$5:$E$1005)-SUMPRODUCT((MOVIMIENTOS!$B$5:$B$1005="REGALO")*(MOVIMIENTOS!$C$5:$C$1005="A")*(MOVIMIENTOS!$D$5:$D$1005="jabas")*(MOVIMIENTOS!$A$5:$A$1005&lt;&gt;"")*(MOVIMIENTOS!$A$5:$A$1005&lt;=$A557)*MOVIMIENTOS!$E$5:$E$1005)-SUMPRODUCT((MOVIMIENTOS!$B$5:$B$1005="VENTA")*(MOVIMIENTOS!$C$5:$C$1005="A")*(MOVIMIENTOS!$D$5:$D$1005="jabas")*(MOVIMIENTOS!$A$5:$A$1005&lt;&gt;"")*(MOVIMIENTOS!$A$5:$A$1005&lt;=$A557)*MOVIMIENTOS!$E$5:$E$1005)+SUMPRODUCT((MOVIMIENTOS!$B$5:$B$1005="AJUSTE")*(MOVIMIENTOS!$C$5:$C$1005="A")*(MOVIMIENTOS!$D$5:$D$1005="jabas")*(MOVIMIENTOS!$A$5:$A$1005&lt;&gt;"")*(MOVIMIENTOS!$A$5:$A$1005&lt;=$A557)*MOVIMIENTOS!$E$5:$E$1005))</f>
        <v/>
      </c>
      <c r="C557" t="str">
        <f>IF($A557="","",SUMPRODUCT((MOVIMIENTOS!$B$5:$B$1005="SALDO INICIAL")*(MOVIMIENTOS!$C$5:$C$1005="P")*(MOVIMIENTOS!$D$5:$D$1005="jabas")*(MOVIMIENTOS!$A$5:$A$1005&lt;&gt;"")*(MOVIMIENTOS!$A$5:$A$1005&lt;=$A557)*MOVIMIENTOS!$E$5:$E$1005)+SUMPRODUCT((MOVIMIENTOS!$B$5:$B$1005="PROCESO")*(MOVIMIENTOS!$C$5:$C$1005="P")*(MOVIMIENTOS!$D$5:$D$1005="jabas")*(MOVIMIENTOS!$A$5:$A$1005&lt;&gt;"")*(MOVIMIENTOS!$A$5:$A$1005&lt;=$A557)*MOVIMIENTOS!$E$5:$E$1005)-SUMPRODUCT((MOVIMIENTOS!$B$5:$B$1005="ENVÍO A SUPESA")*(MOVIMIENTOS!$C$5:$C$1005="P")*(MOVIMIENTOS!$D$5:$D$1005="jabas")*(MOVIMIENTOS!$A$5:$A$1005&lt;&gt;"")*(MOVIMIENTOS!$A$5:$A$1005&lt;=$A557)*MOVIMIENTOS!$E$5:$E$1005)+SUMPRODUCT((MOVIMIENTOS!$B$5:$B$1005="DEVOLUCIÓN")*(MOVIMIENTOS!$C$5:$C$1005="P")*(MOVIMIENTOS!$D$5:$D$1005="jabas")*(MOVIMIENTOS!$A$5:$A$1005&lt;&gt;"")*(MOVIMIENTOS!$A$5:$A$1005&lt;=$A557)*MOVIMIENTOS!$E$5:$E$1005)-SUMPRODUCT((MOVIMIENTOS!$B$5:$B$1005="TRASIEGO")*(MOVIMIENTOS!$C$5:$C$1005="P")*(MOVIMIENTOS!$D$5:$D$1005="jabas")*(MOVIMIENTOS!$A$5:$A$1005&lt;&gt;"")*(MOVIMIENTOS!$A$5:$A$1005&lt;=$A557)*MOVIMIENTOS!$E$5:$E$1005)-SUMPRODUCT((MOVIMIENTOS!$B$5:$B$1005="REGALO")*(MOVIMIENTOS!$C$5:$C$1005="P")*(MOVIMIENTOS!$D$5:$D$1005="jabas")*(MOVIMIENTOS!$A$5:$A$1005&lt;&gt;"")*(MOVIMIENTOS!$A$5:$A$1005&lt;=$A557)*MOVIMIENTOS!$E$5:$E$1005)-SUMPRODUCT((MOVIMIENTOS!$B$5:$B$1005="VENTA")*(MOVIMIENTOS!$C$5:$C$1005="P")*(MOVIMIENTOS!$D$5:$D$1005="jabas")*(MOVIMIENTOS!$A$5:$A$1005&lt;&gt;"")*(MOVIMIENTOS!$A$5:$A$1005&lt;=$A557)*MOVIMIENTOS!$E$5:$E$1005)+SUMPRODUCT((MOVIMIENTOS!$B$5:$B$1005="AJUSTE")*(MOVIMIENTOS!$C$5:$C$1005="P")*(MOVIMIENTOS!$D$5:$D$1005="jabas")*(MOVIMIENTOS!$A$5:$A$1005&lt;&gt;"")*(MOVIMIENTOS!$A$5:$A$1005&lt;=$A557)*MOVIMIENTOS!$E$5:$E$1005))</f>
        <v/>
      </c>
      <c r="D557" t="str">
        <f>IF($A557="","",SUMPRODUCT((MOVIMIENTOS!$B$5:$B$1005="SALDO INICIAL")*(MOVIMIENTOS!$C$5:$C$1005="C")*(MOVIMIENTOS!$D$5:$D$1005="jabas")*(MOVIMIENTOS!$A$5:$A$1005&lt;&gt;"")*(MOVIMIENTOS!$A$5:$A$1005&lt;=$A557)*MOVIMIENTOS!$E$5:$E$1005)+SUMPRODUCT((MOVIMIENTOS!$B$5:$B$1005="PROCESO")*(MOVIMIENTOS!$C$5:$C$1005="C")*(MOVIMIENTOS!$D$5:$D$1005="jabas")*(MOVIMIENTOS!$A$5:$A$1005&lt;&gt;"")*(MOVIMIENTOS!$A$5:$A$1005&lt;=$A557)*MOVIMIENTOS!$E$5:$E$1005)-SUMPRODUCT((MOVIMIENTOS!$B$5:$B$1005="ENVÍO A SUPESA")*(MOVIMIENTOS!$C$5:$C$1005="C")*(MOVIMIENTOS!$D$5:$D$1005="jabas")*(MOVIMIENTOS!$A$5:$A$1005&lt;&gt;"")*(MOVIMIENTOS!$A$5:$A$1005&lt;=$A557)*MOVIMIENTOS!$E$5:$E$1005)+SUMPRODUCT((MOVIMIENTOS!$B$5:$B$1005="DEVOLUCIÓN")*(MOVIMIENTOS!$C$5:$C$1005="C")*(MOVIMIENTOS!$D$5:$D$1005="jabas")*(MOVIMIENTOS!$A$5:$A$1005&lt;&gt;"")*(MOVIMIENTOS!$A$5:$A$1005&lt;=$A557)*MOVIMIENTOS!$E$5:$E$1005)-SUMPRODUCT((MOVIMIENTOS!$B$5:$B$1005="TRASIEGO")*(MOVIMIENTOS!$C$5:$C$1005="C")*(MOVIMIENTOS!$D$5:$D$1005="jabas")*(MOVIMIENTOS!$A$5:$A$1005&lt;&gt;"")*(MOVIMIENTOS!$A$5:$A$1005&lt;=$A557)*MOVIMIENTOS!$E$5:$E$1005)-SUMPRODUCT((MOVIMIENTOS!$B$5:$B$1005="REGALO")*(MOVIMIENTOS!$C$5:$C$1005="C")*(MOVIMIENTOS!$D$5:$D$1005="jabas")*(MOVIMIENTOS!$A$5:$A$1005&lt;&gt;"")*(MOVIMIENTOS!$A$5:$A$1005&lt;=$A557)*MOVIMIENTOS!$E$5:$E$1005)-SUMPRODUCT((MOVIMIENTOS!$B$5:$B$1005="VENTA")*(MOVIMIENTOS!$C$5:$C$1005="C")*(MOVIMIENTOS!$D$5:$D$1005="jabas")*(MOVIMIENTOS!$A$5:$A$1005&lt;&gt;"")*(MOVIMIENTOS!$A$5:$A$1005&lt;=$A557)*MOVIMIENTOS!$E$5:$E$1005)+SUMPRODUCT((MOVIMIENTOS!$B$5:$B$1005="AJUSTE")*(MOVIMIENTOS!$C$5:$C$1005="C")*(MOVIMIENTOS!$D$5:$D$1005="jabas")*(MOVIMIENTOS!$A$5:$A$1005&lt;&gt;"")*(MOVIMIENTOS!$A$5:$A$1005&lt;=$A557)*MOVIMIENTOS!$E$5:$E$1005))</f>
        <v/>
      </c>
      <c r="E557" t="str">
        <f>IF($A557="","",SUMPRODUCT((MOVIMIENTOS!$B$5:$B$1005="SALDO INICIAL")*(MOVIMIENTOS!$C$5:$C$1005="M")*(MOVIMIENTOS!$D$5:$D$1005="jabas")*(MOVIMIENTOS!$A$5:$A$1005&lt;&gt;"")*(MOVIMIENTOS!$A$5:$A$1005&lt;=$A557)*MOVIMIENTOS!$E$5:$E$1005)+SUMPRODUCT((MOVIMIENTOS!$B$5:$B$1005="PROCESO")*(MOVIMIENTOS!$C$5:$C$1005="M")*(MOVIMIENTOS!$D$5:$D$1005="jabas")*(MOVIMIENTOS!$A$5:$A$1005&lt;&gt;"")*(MOVIMIENTOS!$A$5:$A$1005&lt;=$A557)*MOVIMIENTOS!$E$5:$E$1005)-SUMPRODUCT((MOVIMIENTOS!$B$5:$B$1005="ENVÍO A SUPESA")*(MOVIMIENTOS!$C$5:$C$1005="M")*(MOVIMIENTOS!$D$5:$D$1005="jabas")*(MOVIMIENTOS!$A$5:$A$1005&lt;&gt;"")*(MOVIMIENTOS!$A$5:$A$1005&lt;=$A557)*MOVIMIENTOS!$E$5:$E$1005)+SUMPRODUCT((MOVIMIENTOS!$B$5:$B$1005="DEVOLUCIÓN")*(MOVIMIENTOS!$C$5:$C$1005="M")*(MOVIMIENTOS!$D$5:$D$1005="jabas")*(MOVIMIENTOS!$A$5:$A$1005&lt;&gt;"")*(MOVIMIENTOS!$A$5:$A$1005&lt;=$A557)*MOVIMIENTOS!$E$5:$E$1005)-SUMPRODUCT((MOVIMIENTOS!$B$5:$B$1005="TRASIEGO")*(MOVIMIENTOS!$C$5:$C$1005="M")*(MOVIMIENTOS!$D$5:$D$1005="jabas")*(MOVIMIENTOS!$A$5:$A$1005&lt;&gt;"")*(MOVIMIENTOS!$A$5:$A$1005&lt;=$A557)*MOVIMIENTOS!$E$5:$E$1005)-SUMPRODUCT((MOVIMIENTOS!$B$5:$B$1005="REGALO")*(MOVIMIENTOS!$C$5:$C$1005="M")*(MOVIMIENTOS!$D$5:$D$1005="jabas")*(MOVIMIENTOS!$A$5:$A$1005&lt;&gt;"")*(MOVIMIENTOS!$A$5:$A$1005&lt;=$A557)*MOVIMIENTOS!$E$5:$E$1005)-SUMPRODUCT((MOVIMIENTOS!$B$5:$B$1005="VENTA")*(MOVIMIENTOS!$C$5:$C$1005="M")*(MOVIMIENTOS!$D$5:$D$1005="jabas")*(MOVIMIENTOS!$A$5:$A$1005&lt;&gt;"")*(MOVIMIENTOS!$A$5:$A$1005&lt;=$A557)*MOVIMIENTOS!$E$5:$E$1005)+SUMPRODUCT((MOVIMIENTOS!$B$5:$B$1005="AJUSTE")*(MOVIMIENTOS!$C$5:$C$1005="M")*(MOVIMIENTOS!$D$5:$D$1005="jabas")*(MOVIMIENTOS!$A$5:$A$1005&lt;&gt;"")*(MOVIMIENTOS!$A$5:$A$1005&lt;=$A557)*MOVIMIENTOS!$E$5:$E$1005))</f>
        <v/>
      </c>
      <c r="F557" s="62" t="str">
        <f>IF($A557="","",SUMPRODUCT((MOVIMIENTOS!$B$5:$B$1005="SALDO INICIAL")*(MOVIMIENTOS!$C$5:$C$1005="Chancho")*(MOVIMIENTOS!$D$5:$D$1005="sacos")*(MOVIMIENTOS!$A$5:$A$1005&lt;&gt;"")*(MOVIMIENTOS!$A$5:$A$1005&lt;=$A557)*MOVIMIENTOS!$E$5:$E$1005)+SUMPRODUCT((MOVIMIENTOS!$B$5:$B$1005="PROCESO")*(MOVIMIENTOS!$C$5:$C$1005="Chancho")*(MOVIMIENTOS!$D$5:$D$1005="sacos")*(MOVIMIENTOS!$A$5:$A$1005&lt;&gt;"")*(MOVIMIENTOS!$A$5:$A$1005&lt;=$A557)*MOVIMIENTOS!$E$5:$E$1005)-SUMPRODUCT((MOVIMIENTOS!$B$5:$B$1005="VENTA CHANCHO")*(MOVIMIENTOS!$C$5:$C$1005="Chancho")*(MOVIMIENTOS!$D$5:$D$1005="sacos")*(MOVIMIENTOS!$A$5:$A$1005&lt;&gt;"")*(MOVIMIENTOS!$A$5:$A$1005&lt;=$A557)*MOVIMIENTOS!$E$5:$E$1005)-SUMPRODUCT((MOVIMIENTOS!$B$5:$B$1005="REGALO")*(MOVIMIENTOS!$C$5:$C$1005="Chancho")*(MOVIMIENTOS!$D$5:$D$1005="sacos")*(MOVIMIENTOS!$A$5:$A$1005&lt;&gt;"")*(MOVIMIENTOS!$A$5:$A$1005&lt;=$A557)*MOVIMIENTOS!$E$5:$E$1005)-SUMPRODUCT((MOVIMIENTOS!$B$5:$B$1005="VENTA")*(MOVIMIENTOS!$C$5:$C$1005="Chancho")*(MOVIMIENTOS!$D$5:$D$1005="sacos")*(MOVIMIENTOS!$A$5:$A$1005&lt;&gt;"")*(MOVIMIENTOS!$A$5:$A$1005&lt;=$A557)*MOVIMIENTOS!$E$5:$E$1005)+SUMPRODUCT((MOVIMIENTOS!$B$5:$B$1005="AJUSTE")*(MOVIMIENTOS!$C$5:$C$1005="Chancho")*(MOVIMIENTOS!$D$5:$D$1005="sacos")*(MOVIMIENTOS!$A$5:$A$1005&lt;&gt;"")*(MOVIMIENTOS!$A$5:$A$1005&lt;=$A557)*MOVIMIENTOS!$E$5:$E$1005))</f>
        <v/>
      </c>
      <c r="G557" s="62" t="str">
        <f t="shared" si="17"/>
        <v/>
      </c>
      <c r="H557" t="str">
        <f>IF($A557="","",SUMPRODUCT((((MOVIMIENTOS!$B$5:$B$1005="SALDO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557)*MOVIMIENTOS!$J$5:$J$1005))</f>
        <v/>
      </c>
      <c r="J557" t="str">
        <f>IF(AND(MOVIMIENTOS!$A562&lt;&gt;"",COUNTIF(MOVIMIENTOS!$A$5:$A561,MOVIMIENTOS!$A562)=0),COUNT(J$4:J556)+1,"")</f>
        <v/>
      </c>
      <c r="K557">
        <f>MOVIMIENTOS!$A562</f>
        <v>0</v>
      </c>
    </row>
    <row r="558" spans="1:11" ht="15" customHeight="1" x14ac:dyDescent="0.2">
      <c r="A558" t="str">
        <f t="shared" si="16"/>
        <v/>
      </c>
      <c r="B558" t="str">
        <f>IF($A558="","",SUMPRODUCT((MOVIMIENTOS!$B$5:$B$1005="SALDO INICIAL")*(MOVIMIENTOS!$C$5:$C$1005="A")*(MOVIMIENTOS!$D$5:$D$1005="jabas")*(MOVIMIENTOS!$A$5:$A$1005&lt;&gt;"")*(MOVIMIENTOS!$A$5:$A$1005&lt;=$A558)*MOVIMIENTOS!$E$5:$E$1005)+SUMPRODUCT((MOVIMIENTOS!$B$5:$B$1005="PROCESO")*(MOVIMIENTOS!$C$5:$C$1005="A")*(MOVIMIENTOS!$D$5:$D$1005="jabas")*(MOVIMIENTOS!$A$5:$A$1005&lt;&gt;"")*(MOVIMIENTOS!$A$5:$A$1005&lt;=$A558)*MOVIMIENTOS!$E$5:$E$1005)-SUMPRODUCT((MOVIMIENTOS!$B$5:$B$1005="ENVÍO A SUPESA")*(MOVIMIENTOS!$C$5:$C$1005="A")*(MOVIMIENTOS!$D$5:$D$1005="jabas")*(MOVIMIENTOS!$A$5:$A$1005&lt;&gt;"")*(MOVIMIENTOS!$A$5:$A$1005&lt;=$A558)*MOVIMIENTOS!$E$5:$E$1005)+SUMPRODUCT((MOVIMIENTOS!$B$5:$B$1005="DEVOLUCIÓN")*(MOVIMIENTOS!$C$5:$C$1005="A")*(MOVIMIENTOS!$D$5:$D$1005="jabas")*(MOVIMIENTOS!$A$5:$A$1005&lt;&gt;"")*(MOVIMIENTOS!$A$5:$A$1005&lt;=$A558)*MOVIMIENTOS!$E$5:$E$1005)-SUMPRODUCT((MOVIMIENTOS!$B$5:$B$1005="TRASIEGO")*(MOVIMIENTOS!$C$5:$C$1005="A")*(MOVIMIENTOS!$D$5:$D$1005="jabas")*(MOVIMIENTOS!$A$5:$A$1005&lt;&gt;"")*(MOVIMIENTOS!$A$5:$A$1005&lt;=$A558)*MOVIMIENTOS!$E$5:$E$1005)-SUMPRODUCT((MOVIMIENTOS!$B$5:$B$1005="REGALO")*(MOVIMIENTOS!$C$5:$C$1005="A")*(MOVIMIENTOS!$D$5:$D$1005="jabas")*(MOVIMIENTOS!$A$5:$A$1005&lt;&gt;"")*(MOVIMIENTOS!$A$5:$A$1005&lt;=$A558)*MOVIMIENTOS!$E$5:$E$1005)-SUMPRODUCT((MOVIMIENTOS!$B$5:$B$1005="VENTA")*(MOVIMIENTOS!$C$5:$C$1005="A")*(MOVIMIENTOS!$D$5:$D$1005="jabas")*(MOVIMIENTOS!$A$5:$A$1005&lt;&gt;"")*(MOVIMIENTOS!$A$5:$A$1005&lt;=$A558)*MOVIMIENTOS!$E$5:$E$1005)+SUMPRODUCT((MOVIMIENTOS!$B$5:$B$1005="AJUSTE")*(MOVIMIENTOS!$C$5:$C$1005="A")*(MOVIMIENTOS!$D$5:$D$1005="jabas")*(MOVIMIENTOS!$A$5:$A$1005&lt;&gt;"")*(MOVIMIENTOS!$A$5:$A$1005&lt;=$A558)*MOVIMIENTOS!$E$5:$E$1005))</f>
        <v/>
      </c>
      <c r="C558" t="str">
        <f>IF($A558="","",SUMPRODUCT((MOVIMIENTOS!$B$5:$B$1005="SALDO INICIAL")*(MOVIMIENTOS!$C$5:$C$1005="P")*(MOVIMIENTOS!$D$5:$D$1005="jabas")*(MOVIMIENTOS!$A$5:$A$1005&lt;&gt;"")*(MOVIMIENTOS!$A$5:$A$1005&lt;=$A558)*MOVIMIENTOS!$E$5:$E$1005)+SUMPRODUCT((MOVIMIENTOS!$B$5:$B$1005="PROCESO")*(MOVIMIENTOS!$C$5:$C$1005="P")*(MOVIMIENTOS!$D$5:$D$1005="jabas")*(MOVIMIENTOS!$A$5:$A$1005&lt;&gt;"")*(MOVIMIENTOS!$A$5:$A$1005&lt;=$A558)*MOVIMIENTOS!$E$5:$E$1005)-SUMPRODUCT((MOVIMIENTOS!$B$5:$B$1005="ENVÍO A SUPESA")*(MOVIMIENTOS!$C$5:$C$1005="P")*(MOVIMIENTOS!$D$5:$D$1005="jabas")*(MOVIMIENTOS!$A$5:$A$1005&lt;&gt;"")*(MOVIMIENTOS!$A$5:$A$1005&lt;=$A558)*MOVIMIENTOS!$E$5:$E$1005)+SUMPRODUCT((MOVIMIENTOS!$B$5:$B$1005="DEVOLUCIÓN")*(MOVIMIENTOS!$C$5:$C$1005="P")*(MOVIMIENTOS!$D$5:$D$1005="jabas")*(MOVIMIENTOS!$A$5:$A$1005&lt;&gt;"")*(MOVIMIENTOS!$A$5:$A$1005&lt;=$A558)*MOVIMIENTOS!$E$5:$E$1005)-SUMPRODUCT((MOVIMIENTOS!$B$5:$B$1005="TRASIEGO")*(MOVIMIENTOS!$C$5:$C$1005="P")*(MOVIMIENTOS!$D$5:$D$1005="jabas")*(MOVIMIENTOS!$A$5:$A$1005&lt;&gt;"")*(MOVIMIENTOS!$A$5:$A$1005&lt;=$A558)*MOVIMIENTOS!$E$5:$E$1005)-SUMPRODUCT((MOVIMIENTOS!$B$5:$B$1005="REGALO")*(MOVIMIENTOS!$C$5:$C$1005="P")*(MOVIMIENTOS!$D$5:$D$1005="jabas")*(MOVIMIENTOS!$A$5:$A$1005&lt;&gt;"")*(MOVIMIENTOS!$A$5:$A$1005&lt;=$A558)*MOVIMIENTOS!$E$5:$E$1005)-SUMPRODUCT((MOVIMIENTOS!$B$5:$B$1005="VENTA")*(MOVIMIENTOS!$C$5:$C$1005="P")*(MOVIMIENTOS!$D$5:$D$1005="jabas")*(MOVIMIENTOS!$A$5:$A$1005&lt;&gt;"")*(MOVIMIENTOS!$A$5:$A$1005&lt;=$A558)*MOVIMIENTOS!$E$5:$E$1005)+SUMPRODUCT((MOVIMIENTOS!$B$5:$B$1005="AJUSTE")*(MOVIMIENTOS!$C$5:$C$1005="P")*(MOVIMIENTOS!$D$5:$D$1005="jabas")*(MOVIMIENTOS!$A$5:$A$1005&lt;&gt;"")*(MOVIMIENTOS!$A$5:$A$1005&lt;=$A558)*MOVIMIENTOS!$E$5:$E$1005))</f>
        <v/>
      </c>
      <c r="D558" t="str">
        <f>IF($A558="","",SUMPRODUCT((MOVIMIENTOS!$B$5:$B$1005="SALDO INICIAL")*(MOVIMIENTOS!$C$5:$C$1005="C")*(MOVIMIENTOS!$D$5:$D$1005="jabas")*(MOVIMIENTOS!$A$5:$A$1005&lt;&gt;"")*(MOVIMIENTOS!$A$5:$A$1005&lt;=$A558)*MOVIMIENTOS!$E$5:$E$1005)+SUMPRODUCT((MOVIMIENTOS!$B$5:$B$1005="PROCESO")*(MOVIMIENTOS!$C$5:$C$1005="C")*(MOVIMIENTOS!$D$5:$D$1005="jabas")*(MOVIMIENTOS!$A$5:$A$1005&lt;&gt;"")*(MOVIMIENTOS!$A$5:$A$1005&lt;=$A558)*MOVIMIENTOS!$E$5:$E$1005)-SUMPRODUCT((MOVIMIENTOS!$B$5:$B$1005="ENVÍO A SUPESA")*(MOVIMIENTOS!$C$5:$C$1005="C")*(MOVIMIENTOS!$D$5:$D$1005="jabas")*(MOVIMIENTOS!$A$5:$A$1005&lt;&gt;"")*(MOVIMIENTOS!$A$5:$A$1005&lt;=$A558)*MOVIMIENTOS!$E$5:$E$1005)+SUMPRODUCT((MOVIMIENTOS!$B$5:$B$1005="DEVOLUCIÓN")*(MOVIMIENTOS!$C$5:$C$1005="C")*(MOVIMIENTOS!$D$5:$D$1005="jabas")*(MOVIMIENTOS!$A$5:$A$1005&lt;&gt;"")*(MOVIMIENTOS!$A$5:$A$1005&lt;=$A558)*MOVIMIENTOS!$E$5:$E$1005)-SUMPRODUCT((MOVIMIENTOS!$B$5:$B$1005="TRASIEGO")*(MOVIMIENTOS!$C$5:$C$1005="C")*(MOVIMIENTOS!$D$5:$D$1005="jabas")*(MOVIMIENTOS!$A$5:$A$1005&lt;&gt;"")*(MOVIMIENTOS!$A$5:$A$1005&lt;=$A558)*MOVIMIENTOS!$E$5:$E$1005)-SUMPRODUCT((MOVIMIENTOS!$B$5:$B$1005="REGALO")*(MOVIMIENTOS!$C$5:$C$1005="C")*(MOVIMIENTOS!$D$5:$D$1005="jabas")*(MOVIMIENTOS!$A$5:$A$1005&lt;&gt;"")*(MOVIMIENTOS!$A$5:$A$1005&lt;=$A558)*MOVIMIENTOS!$E$5:$E$1005)-SUMPRODUCT((MOVIMIENTOS!$B$5:$B$1005="VENTA")*(MOVIMIENTOS!$C$5:$C$1005="C")*(MOVIMIENTOS!$D$5:$D$1005="jabas")*(MOVIMIENTOS!$A$5:$A$1005&lt;&gt;"")*(MOVIMIENTOS!$A$5:$A$1005&lt;=$A558)*MOVIMIENTOS!$E$5:$E$1005)+SUMPRODUCT((MOVIMIENTOS!$B$5:$B$1005="AJUSTE")*(MOVIMIENTOS!$C$5:$C$1005="C")*(MOVIMIENTOS!$D$5:$D$1005="jabas")*(MOVIMIENTOS!$A$5:$A$1005&lt;&gt;"")*(MOVIMIENTOS!$A$5:$A$1005&lt;=$A558)*MOVIMIENTOS!$E$5:$E$1005))</f>
        <v/>
      </c>
      <c r="E558" t="str">
        <f>IF($A558="","",SUMPRODUCT((MOVIMIENTOS!$B$5:$B$1005="SALDO INICIAL")*(MOVIMIENTOS!$C$5:$C$1005="M")*(MOVIMIENTOS!$D$5:$D$1005="jabas")*(MOVIMIENTOS!$A$5:$A$1005&lt;&gt;"")*(MOVIMIENTOS!$A$5:$A$1005&lt;=$A558)*MOVIMIENTOS!$E$5:$E$1005)+SUMPRODUCT((MOVIMIENTOS!$B$5:$B$1005="PROCESO")*(MOVIMIENTOS!$C$5:$C$1005="M")*(MOVIMIENTOS!$D$5:$D$1005="jabas")*(MOVIMIENTOS!$A$5:$A$1005&lt;&gt;"")*(MOVIMIENTOS!$A$5:$A$1005&lt;=$A558)*MOVIMIENTOS!$E$5:$E$1005)-SUMPRODUCT((MOVIMIENTOS!$B$5:$B$1005="ENVÍO A SUPESA")*(MOVIMIENTOS!$C$5:$C$1005="M")*(MOVIMIENTOS!$D$5:$D$1005="jabas")*(MOVIMIENTOS!$A$5:$A$1005&lt;&gt;"")*(MOVIMIENTOS!$A$5:$A$1005&lt;=$A558)*MOVIMIENTOS!$E$5:$E$1005)+SUMPRODUCT((MOVIMIENTOS!$B$5:$B$1005="DEVOLUCIÓN")*(MOVIMIENTOS!$C$5:$C$1005="M")*(MOVIMIENTOS!$D$5:$D$1005="jabas")*(MOVIMIENTOS!$A$5:$A$1005&lt;&gt;"")*(MOVIMIENTOS!$A$5:$A$1005&lt;=$A558)*MOVIMIENTOS!$E$5:$E$1005)-SUMPRODUCT((MOVIMIENTOS!$B$5:$B$1005="TRASIEGO")*(MOVIMIENTOS!$C$5:$C$1005="M")*(MOVIMIENTOS!$D$5:$D$1005="jabas")*(MOVIMIENTOS!$A$5:$A$1005&lt;&gt;"")*(MOVIMIENTOS!$A$5:$A$1005&lt;=$A558)*MOVIMIENTOS!$E$5:$E$1005)-SUMPRODUCT((MOVIMIENTOS!$B$5:$B$1005="REGALO")*(MOVIMIENTOS!$C$5:$C$1005="M")*(MOVIMIENTOS!$D$5:$D$1005="jabas")*(MOVIMIENTOS!$A$5:$A$1005&lt;&gt;"")*(MOVIMIENTOS!$A$5:$A$1005&lt;=$A558)*MOVIMIENTOS!$E$5:$E$1005)-SUMPRODUCT((MOVIMIENTOS!$B$5:$B$1005="VENTA")*(MOVIMIENTOS!$C$5:$C$1005="M")*(MOVIMIENTOS!$D$5:$D$1005="jabas")*(MOVIMIENTOS!$A$5:$A$1005&lt;&gt;"")*(MOVIMIENTOS!$A$5:$A$1005&lt;=$A558)*MOVIMIENTOS!$E$5:$E$1005)+SUMPRODUCT((MOVIMIENTOS!$B$5:$B$1005="AJUSTE")*(MOVIMIENTOS!$C$5:$C$1005="M")*(MOVIMIENTOS!$D$5:$D$1005="jabas")*(MOVIMIENTOS!$A$5:$A$1005&lt;&gt;"")*(MOVIMIENTOS!$A$5:$A$1005&lt;=$A558)*MOVIMIENTOS!$E$5:$E$1005))</f>
        <v/>
      </c>
      <c r="F558" s="62" t="str">
        <f>IF($A558="","",SUMPRODUCT((MOVIMIENTOS!$B$5:$B$1005="SALDO INICIAL")*(MOVIMIENTOS!$C$5:$C$1005="Chancho")*(MOVIMIENTOS!$D$5:$D$1005="sacos")*(MOVIMIENTOS!$A$5:$A$1005&lt;&gt;"")*(MOVIMIENTOS!$A$5:$A$1005&lt;=$A558)*MOVIMIENTOS!$E$5:$E$1005)+SUMPRODUCT((MOVIMIENTOS!$B$5:$B$1005="PROCESO")*(MOVIMIENTOS!$C$5:$C$1005="Chancho")*(MOVIMIENTOS!$D$5:$D$1005="sacos")*(MOVIMIENTOS!$A$5:$A$1005&lt;&gt;"")*(MOVIMIENTOS!$A$5:$A$1005&lt;=$A558)*MOVIMIENTOS!$E$5:$E$1005)-SUMPRODUCT((MOVIMIENTOS!$B$5:$B$1005="VENTA CHANCHO")*(MOVIMIENTOS!$C$5:$C$1005="Chancho")*(MOVIMIENTOS!$D$5:$D$1005="sacos")*(MOVIMIENTOS!$A$5:$A$1005&lt;&gt;"")*(MOVIMIENTOS!$A$5:$A$1005&lt;=$A558)*MOVIMIENTOS!$E$5:$E$1005)-SUMPRODUCT((MOVIMIENTOS!$B$5:$B$1005="REGALO")*(MOVIMIENTOS!$C$5:$C$1005="Chancho")*(MOVIMIENTOS!$D$5:$D$1005="sacos")*(MOVIMIENTOS!$A$5:$A$1005&lt;&gt;"")*(MOVIMIENTOS!$A$5:$A$1005&lt;=$A558)*MOVIMIENTOS!$E$5:$E$1005)-SUMPRODUCT((MOVIMIENTOS!$B$5:$B$1005="VENTA")*(MOVIMIENTOS!$C$5:$C$1005="Chancho")*(MOVIMIENTOS!$D$5:$D$1005="sacos")*(MOVIMIENTOS!$A$5:$A$1005&lt;&gt;"")*(MOVIMIENTOS!$A$5:$A$1005&lt;=$A558)*MOVIMIENTOS!$E$5:$E$1005)+SUMPRODUCT((MOVIMIENTOS!$B$5:$B$1005="AJUSTE")*(MOVIMIENTOS!$C$5:$C$1005="Chancho")*(MOVIMIENTOS!$D$5:$D$1005="sacos")*(MOVIMIENTOS!$A$5:$A$1005&lt;&gt;"")*(MOVIMIENTOS!$A$5:$A$1005&lt;=$A558)*MOVIMIENTOS!$E$5:$E$1005))</f>
        <v/>
      </c>
      <c r="G558" s="62" t="str">
        <f t="shared" si="17"/>
        <v/>
      </c>
      <c r="H558" t="str">
        <f>IF($A558="","",SUMPRODUCT((((MOVIMIENTOS!$B$5:$B$1005="SALDO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558)*MOVIMIENTOS!$J$5:$J$1005))</f>
        <v/>
      </c>
      <c r="J558" t="str">
        <f>IF(AND(MOVIMIENTOS!$A563&lt;&gt;"",COUNTIF(MOVIMIENTOS!$A$5:$A562,MOVIMIENTOS!$A563)=0),COUNT(J$4:J557)+1,"")</f>
        <v/>
      </c>
      <c r="K558">
        <f>MOVIMIENTOS!$A563</f>
        <v>0</v>
      </c>
    </row>
    <row r="559" spans="1:11" ht="15" customHeight="1" x14ac:dyDescent="0.2">
      <c r="A559" t="str">
        <f t="shared" si="16"/>
        <v/>
      </c>
      <c r="B559" t="str">
        <f>IF($A559="","",SUMPRODUCT((MOVIMIENTOS!$B$5:$B$1005="SALDO INICIAL")*(MOVIMIENTOS!$C$5:$C$1005="A")*(MOVIMIENTOS!$D$5:$D$1005="jabas")*(MOVIMIENTOS!$A$5:$A$1005&lt;&gt;"")*(MOVIMIENTOS!$A$5:$A$1005&lt;=$A559)*MOVIMIENTOS!$E$5:$E$1005)+SUMPRODUCT((MOVIMIENTOS!$B$5:$B$1005="PROCESO")*(MOVIMIENTOS!$C$5:$C$1005="A")*(MOVIMIENTOS!$D$5:$D$1005="jabas")*(MOVIMIENTOS!$A$5:$A$1005&lt;&gt;"")*(MOVIMIENTOS!$A$5:$A$1005&lt;=$A559)*MOVIMIENTOS!$E$5:$E$1005)-SUMPRODUCT((MOVIMIENTOS!$B$5:$B$1005="ENVÍO A SUPESA")*(MOVIMIENTOS!$C$5:$C$1005="A")*(MOVIMIENTOS!$D$5:$D$1005="jabas")*(MOVIMIENTOS!$A$5:$A$1005&lt;&gt;"")*(MOVIMIENTOS!$A$5:$A$1005&lt;=$A559)*MOVIMIENTOS!$E$5:$E$1005)+SUMPRODUCT((MOVIMIENTOS!$B$5:$B$1005="DEVOLUCIÓN")*(MOVIMIENTOS!$C$5:$C$1005="A")*(MOVIMIENTOS!$D$5:$D$1005="jabas")*(MOVIMIENTOS!$A$5:$A$1005&lt;&gt;"")*(MOVIMIENTOS!$A$5:$A$1005&lt;=$A559)*MOVIMIENTOS!$E$5:$E$1005)-SUMPRODUCT((MOVIMIENTOS!$B$5:$B$1005="TRASIEGO")*(MOVIMIENTOS!$C$5:$C$1005="A")*(MOVIMIENTOS!$D$5:$D$1005="jabas")*(MOVIMIENTOS!$A$5:$A$1005&lt;&gt;"")*(MOVIMIENTOS!$A$5:$A$1005&lt;=$A559)*MOVIMIENTOS!$E$5:$E$1005)-SUMPRODUCT((MOVIMIENTOS!$B$5:$B$1005="REGALO")*(MOVIMIENTOS!$C$5:$C$1005="A")*(MOVIMIENTOS!$D$5:$D$1005="jabas")*(MOVIMIENTOS!$A$5:$A$1005&lt;&gt;"")*(MOVIMIENTOS!$A$5:$A$1005&lt;=$A559)*MOVIMIENTOS!$E$5:$E$1005)-SUMPRODUCT((MOVIMIENTOS!$B$5:$B$1005="VENTA")*(MOVIMIENTOS!$C$5:$C$1005="A")*(MOVIMIENTOS!$D$5:$D$1005="jabas")*(MOVIMIENTOS!$A$5:$A$1005&lt;&gt;"")*(MOVIMIENTOS!$A$5:$A$1005&lt;=$A559)*MOVIMIENTOS!$E$5:$E$1005)+SUMPRODUCT((MOVIMIENTOS!$B$5:$B$1005="AJUSTE")*(MOVIMIENTOS!$C$5:$C$1005="A")*(MOVIMIENTOS!$D$5:$D$1005="jabas")*(MOVIMIENTOS!$A$5:$A$1005&lt;&gt;"")*(MOVIMIENTOS!$A$5:$A$1005&lt;=$A559)*MOVIMIENTOS!$E$5:$E$1005))</f>
        <v/>
      </c>
      <c r="C559" t="str">
        <f>IF($A559="","",SUMPRODUCT((MOVIMIENTOS!$B$5:$B$1005="SALDO INICIAL")*(MOVIMIENTOS!$C$5:$C$1005="P")*(MOVIMIENTOS!$D$5:$D$1005="jabas")*(MOVIMIENTOS!$A$5:$A$1005&lt;&gt;"")*(MOVIMIENTOS!$A$5:$A$1005&lt;=$A559)*MOVIMIENTOS!$E$5:$E$1005)+SUMPRODUCT((MOVIMIENTOS!$B$5:$B$1005="PROCESO")*(MOVIMIENTOS!$C$5:$C$1005="P")*(MOVIMIENTOS!$D$5:$D$1005="jabas")*(MOVIMIENTOS!$A$5:$A$1005&lt;&gt;"")*(MOVIMIENTOS!$A$5:$A$1005&lt;=$A559)*MOVIMIENTOS!$E$5:$E$1005)-SUMPRODUCT((MOVIMIENTOS!$B$5:$B$1005="ENVÍO A SUPESA")*(MOVIMIENTOS!$C$5:$C$1005="P")*(MOVIMIENTOS!$D$5:$D$1005="jabas")*(MOVIMIENTOS!$A$5:$A$1005&lt;&gt;"")*(MOVIMIENTOS!$A$5:$A$1005&lt;=$A559)*MOVIMIENTOS!$E$5:$E$1005)+SUMPRODUCT((MOVIMIENTOS!$B$5:$B$1005="DEVOLUCIÓN")*(MOVIMIENTOS!$C$5:$C$1005="P")*(MOVIMIENTOS!$D$5:$D$1005="jabas")*(MOVIMIENTOS!$A$5:$A$1005&lt;&gt;"")*(MOVIMIENTOS!$A$5:$A$1005&lt;=$A559)*MOVIMIENTOS!$E$5:$E$1005)-SUMPRODUCT((MOVIMIENTOS!$B$5:$B$1005="TRASIEGO")*(MOVIMIENTOS!$C$5:$C$1005="P")*(MOVIMIENTOS!$D$5:$D$1005="jabas")*(MOVIMIENTOS!$A$5:$A$1005&lt;&gt;"")*(MOVIMIENTOS!$A$5:$A$1005&lt;=$A559)*MOVIMIENTOS!$E$5:$E$1005)-SUMPRODUCT((MOVIMIENTOS!$B$5:$B$1005="REGALO")*(MOVIMIENTOS!$C$5:$C$1005="P")*(MOVIMIENTOS!$D$5:$D$1005="jabas")*(MOVIMIENTOS!$A$5:$A$1005&lt;&gt;"")*(MOVIMIENTOS!$A$5:$A$1005&lt;=$A559)*MOVIMIENTOS!$E$5:$E$1005)-SUMPRODUCT((MOVIMIENTOS!$B$5:$B$1005="VENTA")*(MOVIMIENTOS!$C$5:$C$1005="P")*(MOVIMIENTOS!$D$5:$D$1005="jabas")*(MOVIMIENTOS!$A$5:$A$1005&lt;&gt;"")*(MOVIMIENTOS!$A$5:$A$1005&lt;=$A559)*MOVIMIENTOS!$E$5:$E$1005)+SUMPRODUCT((MOVIMIENTOS!$B$5:$B$1005="AJUSTE")*(MOVIMIENTOS!$C$5:$C$1005="P")*(MOVIMIENTOS!$D$5:$D$1005="jabas")*(MOVIMIENTOS!$A$5:$A$1005&lt;&gt;"")*(MOVIMIENTOS!$A$5:$A$1005&lt;=$A559)*MOVIMIENTOS!$E$5:$E$1005))</f>
        <v/>
      </c>
      <c r="D559" t="str">
        <f>IF($A559="","",SUMPRODUCT((MOVIMIENTOS!$B$5:$B$1005="SALDO INICIAL")*(MOVIMIENTOS!$C$5:$C$1005="C")*(MOVIMIENTOS!$D$5:$D$1005="jabas")*(MOVIMIENTOS!$A$5:$A$1005&lt;&gt;"")*(MOVIMIENTOS!$A$5:$A$1005&lt;=$A559)*MOVIMIENTOS!$E$5:$E$1005)+SUMPRODUCT((MOVIMIENTOS!$B$5:$B$1005="PROCESO")*(MOVIMIENTOS!$C$5:$C$1005="C")*(MOVIMIENTOS!$D$5:$D$1005="jabas")*(MOVIMIENTOS!$A$5:$A$1005&lt;&gt;"")*(MOVIMIENTOS!$A$5:$A$1005&lt;=$A559)*MOVIMIENTOS!$E$5:$E$1005)-SUMPRODUCT((MOVIMIENTOS!$B$5:$B$1005="ENVÍO A SUPESA")*(MOVIMIENTOS!$C$5:$C$1005="C")*(MOVIMIENTOS!$D$5:$D$1005="jabas")*(MOVIMIENTOS!$A$5:$A$1005&lt;&gt;"")*(MOVIMIENTOS!$A$5:$A$1005&lt;=$A559)*MOVIMIENTOS!$E$5:$E$1005)+SUMPRODUCT((MOVIMIENTOS!$B$5:$B$1005="DEVOLUCIÓN")*(MOVIMIENTOS!$C$5:$C$1005="C")*(MOVIMIENTOS!$D$5:$D$1005="jabas")*(MOVIMIENTOS!$A$5:$A$1005&lt;&gt;"")*(MOVIMIENTOS!$A$5:$A$1005&lt;=$A559)*MOVIMIENTOS!$E$5:$E$1005)-SUMPRODUCT((MOVIMIENTOS!$B$5:$B$1005="TRASIEGO")*(MOVIMIENTOS!$C$5:$C$1005="C")*(MOVIMIENTOS!$D$5:$D$1005="jabas")*(MOVIMIENTOS!$A$5:$A$1005&lt;&gt;"")*(MOVIMIENTOS!$A$5:$A$1005&lt;=$A559)*MOVIMIENTOS!$E$5:$E$1005)-SUMPRODUCT((MOVIMIENTOS!$B$5:$B$1005="REGALO")*(MOVIMIENTOS!$C$5:$C$1005="C")*(MOVIMIENTOS!$D$5:$D$1005="jabas")*(MOVIMIENTOS!$A$5:$A$1005&lt;&gt;"")*(MOVIMIENTOS!$A$5:$A$1005&lt;=$A559)*MOVIMIENTOS!$E$5:$E$1005)-SUMPRODUCT((MOVIMIENTOS!$B$5:$B$1005="VENTA")*(MOVIMIENTOS!$C$5:$C$1005="C")*(MOVIMIENTOS!$D$5:$D$1005="jabas")*(MOVIMIENTOS!$A$5:$A$1005&lt;&gt;"")*(MOVIMIENTOS!$A$5:$A$1005&lt;=$A559)*MOVIMIENTOS!$E$5:$E$1005)+SUMPRODUCT((MOVIMIENTOS!$B$5:$B$1005="AJUSTE")*(MOVIMIENTOS!$C$5:$C$1005="C")*(MOVIMIENTOS!$D$5:$D$1005="jabas")*(MOVIMIENTOS!$A$5:$A$1005&lt;&gt;"")*(MOVIMIENTOS!$A$5:$A$1005&lt;=$A559)*MOVIMIENTOS!$E$5:$E$1005))</f>
        <v/>
      </c>
      <c r="E559" t="str">
        <f>IF($A559="","",SUMPRODUCT((MOVIMIENTOS!$B$5:$B$1005="SALDO INICIAL")*(MOVIMIENTOS!$C$5:$C$1005="M")*(MOVIMIENTOS!$D$5:$D$1005="jabas")*(MOVIMIENTOS!$A$5:$A$1005&lt;&gt;"")*(MOVIMIENTOS!$A$5:$A$1005&lt;=$A559)*MOVIMIENTOS!$E$5:$E$1005)+SUMPRODUCT((MOVIMIENTOS!$B$5:$B$1005="PROCESO")*(MOVIMIENTOS!$C$5:$C$1005="M")*(MOVIMIENTOS!$D$5:$D$1005="jabas")*(MOVIMIENTOS!$A$5:$A$1005&lt;&gt;"")*(MOVIMIENTOS!$A$5:$A$1005&lt;=$A559)*MOVIMIENTOS!$E$5:$E$1005)-SUMPRODUCT((MOVIMIENTOS!$B$5:$B$1005="ENVÍO A SUPESA")*(MOVIMIENTOS!$C$5:$C$1005="M")*(MOVIMIENTOS!$D$5:$D$1005="jabas")*(MOVIMIENTOS!$A$5:$A$1005&lt;&gt;"")*(MOVIMIENTOS!$A$5:$A$1005&lt;=$A559)*MOVIMIENTOS!$E$5:$E$1005)+SUMPRODUCT((MOVIMIENTOS!$B$5:$B$1005="DEVOLUCIÓN")*(MOVIMIENTOS!$C$5:$C$1005="M")*(MOVIMIENTOS!$D$5:$D$1005="jabas")*(MOVIMIENTOS!$A$5:$A$1005&lt;&gt;"")*(MOVIMIENTOS!$A$5:$A$1005&lt;=$A559)*MOVIMIENTOS!$E$5:$E$1005)-SUMPRODUCT((MOVIMIENTOS!$B$5:$B$1005="TRASIEGO")*(MOVIMIENTOS!$C$5:$C$1005="M")*(MOVIMIENTOS!$D$5:$D$1005="jabas")*(MOVIMIENTOS!$A$5:$A$1005&lt;&gt;"")*(MOVIMIENTOS!$A$5:$A$1005&lt;=$A559)*MOVIMIENTOS!$E$5:$E$1005)-SUMPRODUCT((MOVIMIENTOS!$B$5:$B$1005="REGALO")*(MOVIMIENTOS!$C$5:$C$1005="M")*(MOVIMIENTOS!$D$5:$D$1005="jabas")*(MOVIMIENTOS!$A$5:$A$1005&lt;&gt;"")*(MOVIMIENTOS!$A$5:$A$1005&lt;=$A559)*MOVIMIENTOS!$E$5:$E$1005)-SUMPRODUCT((MOVIMIENTOS!$B$5:$B$1005="VENTA")*(MOVIMIENTOS!$C$5:$C$1005="M")*(MOVIMIENTOS!$D$5:$D$1005="jabas")*(MOVIMIENTOS!$A$5:$A$1005&lt;&gt;"")*(MOVIMIENTOS!$A$5:$A$1005&lt;=$A559)*MOVIMIENTOS!$E$5:$E$1005)+SUMPRODUCT((MOVIMIENTOS!$B$5:$B$1005="AJUSTE")*(MOVIMIENTOS!$C$5:$C$1005="M")*(MOVIMIENTOS!$D$5:$D$1005="jabas")*(MOVIMIENTOS!$A$5:$A$1005&lt;&gt;"")*(MOVIMIENTOS!$A$5:$A$1005&lt;=$A559)*MOVIMIENTOS!$E$5:$E$1005))</f>
        <v/>
      </c>
      <c r="F559" s="62" t="str">
        <f>IF($A559="","",SUMPRODUCT((MOVIMIENTOS!$B$5:$B$1005="SALDO INICIAL")*(MOVIMIENTOS!$C$5:$C$1005="Chancho")*(MOVIMIENTOS!$D$5:$D$1005="sacos")*(MOVIMIENTOS!$A$5:$A$1005&lt;&gt;"")*(MOVIMIENTOS!$A$5:$A$1005&lt;=$A559)*MOVIMIENTOS!$E$5:$E$1005)+SUMPRODUCT((MOVIMIENTOS!$B$5:$B$1005="PROCESO")*(MOVIMIENTOS!$C$5:$C$1005="Chancho")*(MOVIMIENTOS!$D$5:$D$1005="sacos")*(MOVIMIENTOS!$A$5:$A$1005&lt;&gt;"")*(MOVIMIENTOS!$A$5:$A$1005&lt;=$A559)*MOVIMIENTOS!$E$5:$E$1005)-SUMPRODUCT((MOVIMIENTOS!$B$5:$B$1005="VENTA CHANCHO")*(MOVIMIENTOS!$C$5:$C$1005="Chancho")*(MOVIMIENTOS!$D$5:$D$1005="sacos")*(MOVIMIENTOS!$A$5:$A$1005&lt;&gt;"")*(MOVIMIENTOS!$A$5:$A$1005&lt;=$A559)*MOVIMIENTOS!$E$5:$E$1005)-SUMPRODUCT((MOVIMIENTOS!$B$5:$B$1005="REGALO")*(MOVIMIENTOS!$C$5:$C$1005="Chancho")*(MOVIMIENTOS!$D$5:$D$1005="sacos")*(MOVIMIENTOS!$A$5:$A$1005&lt;&gt;"")*(MOVIMIENTOS!$A$5:$A$1005&lt;=$A559)*MOVIMIENTOS!$E$5:$E$1005)-SUMPRODUCT((MOVIMIENTOS!$B$5:$B$1005="VENTA")*(MOVIMIENTOS!$C$5:$C$1005="Chancho")*(MOVIMIENTOS!$D$5:$D$1005="sacos")*(MOVIMIENTOS!$A$5:$A$1005&lt;&gt;"")*(MOVIMIENTOS!$A$5:$A$1005&lt;=$A559)*MOVIMIENTOS!$E$5:$E$1005)+SUMPRODUCT((MOVIMIENTOS!$B$5:$B$1005="AJUSTE")*(MOVIMIENTOS!$C$5:$C$1005="Chancho")*(MOVIMIENTOS!$D$5:$D$1005="sacos")*(MOVIMIENTOS!$A$5:$A$1005&lt;&gt;"")*(MOVIMIENTOS!$A$5:$A$1005&lt;=$A559)*MOVIMIENTOS!$E$5:$E$1005))</f>
        <v/>
      </c>
      <c r="G559" s="62" t="str">
        <f t="shared" si="17"/>
        <v/>
      </c>
      <c r="H559" t="str">
        <f>IF($A559="","",SUMPRODUCT((((MOVIMIENTOS!$B$5:$B$1005="SALDO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559)*MOVIMIENTOS!$J$5:$J$1005))</f>
        <v/>
      </c>
      <c r="J559" t="str">
        <f>IF(AND(MOVIMIENTOS!$A564&lt;&gt;"",COUNTIF(MOVIMIENTOS!$A$5:$A563,MOVIMIENTOS!$A564)=0),COUNT(J$4:J558)+1,"")</f>
        <v/>
      </c>
      <c r="K559">
        <f>MOVIMIENTOS!$A564</f>
        <v>0</v>
      </c>
    </row>
    <row r="560" spans="1:11" ht="15" customHeight="1" x14ac:dyDescent="0.2">
      <c r="A560" t="str">
        <f t="shared" si="16"/>
        <v/>
      </c>
      <c r="B560" t="str">
        <f>IF($A560="","",SUMPRODUCT((MOVIMIENTOS!$B$5:$B$1005="SALDO INICIAL")*(MOVIMIENTOS!$C$5:$C$1005="A")*(MOVIMIENTOS!$D$5:$D$1005="jabas")*(MOVIMIENTOS!$A$5:$A$1005&lt;&gt;"")*(MOVIMIENTOS!$A$5:$A$1005&lt;=$A560)*MOVIMIENTOS!$E$5:$E$1005)+SUMPRODUCT((MOVIMIENTOS!$B$5:$B$1005="PROCESO")*(MOVIMIENTOS!$C$5:$C$1005="A")*(MOVIMIENTOS!$D$5:$D$1005="jabas")*(MOVIMIENTOS!$A$5:$A$1005&lt;&gt;"")*(MOVIMIENTOS!$A$5:$A$1005&lt;=$A560)*MOVIMIENTOS!$E$5:$E$1005)-SUMPRODUCT((MOVIMIENTOS!$B$5:$B$1005="ENVÍO A SUPESA")*(MOVIMIENTOS!$C$5:$C$1005="A")*(MOVIMIENTOS!$D$5:$D$1005="jabas")*(MOVIMIENTOS!$A$5:$A$1005&lt;&gt;"")*(MOVIMIENTOS!$A$5:$A$1005&lt;=$A560)*MOVIMIENTOS!$E$5:$E$1005)+SUMPRODUCT((MOVIMIENTOS!$B$5:$B$1005="DEVOLUCIÓN")*(MOVIMIENTOS!$C$5:$C$1005="A")*(MOVIMIENTOS!$D$5:$D$1005="jabas")*(MOVIMIENTOS!$A$5:$A$1005&lt;&gt;"")*(MOVIMIENTOS!$A$5:$A$1005&lt;=$A560)*MOVIMIENTOS!$E$5:$E$1005)-SUMPRODUCT((MOVIMIENTOS!$B$5:$B$1005="TRASIEGO")*(MOVIMIENTOS!$C$5:$C$1005="A")*(MOVIMIENTOS!$D$5:$D$1005="jabas")*(MOVIMIENTOS!$A$5:$A$1005&lt;&gt;"")*(MOVIMIENTOS!$A$5:$A$1005&lt;=$A560)*MOVIMIENTOS!$E$5:$E$1005)-SUMPRODUCT((MOVIMIENTOS!$B$5:$B$1005="REGALO")*(MOVIMIENTOS!$C$5:$C$1005="A")*(MOVIMIENTOS!$D$5:$D$1005="jabas")*(MOVIMIENTOS!$A$5:$A$1005&lt;&gt;"")*(MOVIMIENTOS!$A$5:$A$1005&lt;=$A560)*MOVIMIENTOS!$E$5:$E$1005)-SUMPRODUCT((MOVIMIENTOS!$B$5:$B$1005="VENTA")*(MOVIMIENTOS!$C$5:$C$1005="A")*(MOVIMIENTOS!$D$5:$D$1005="jabas")*(MOVIMIENTOS!$A$5:$A$1005&lt;&gt;"")*(MOVIMIENTOS!$A$5:$A$1005&lt;=$A560)*MOVIMIENTOS!$E$5:$E$1005)+SUMPRODUCT((MOVIMIENTOS!$B$5:$B$1005="AJUSTE")*(MOVIMIENTOS!$C$5:$C$1005="A")*(MOVIMIENTOS!$D$5:$D$1005="jabas")*(MOVIMIENTOS!$A$5:$A$1005&lt;&gt;"")*(MOVIMIENTOS!$A$5:$A$1005&lt;=$A560)*MOVIMIENTOS!$E$5:$E$1005))</f>
        <v/>
      </c>
      <c r="C560" t="str">
        <f>IF($A560="","",SUMPRODUCT((MOVIMIENTOS!$B$5:$B$1005="SALDO INICIAL")*(MOVIMIENTOS!$C$5:$C$1005="P")*(MOVIMIENTOS!$D$5:$D$1005="jabas")*(MOVIMIENTOS!$A$5:$A$1005&lt;&gt;"")*(MOVIMIENTOS!$A$5:$A$1005&lt;=$A560)*MOVIMIENTOS!$E$5:$E$1005)+SUMPRODUCT((MOVIMIENTOS!$B$5:$B$1005="PROCESO")*(MOVIMIENTOS!$C$5:$C$1005="P")*(MOVIMIENTOS!$D$5:$D$1005="jabas")*(MOVIMIENTOS!$A$5:$A$1005&lt;&gt;"")*(MOVIMIENTOS!$A$5:$A$1005&lt;=$A560)*MOVIMIENTOS!$E$5:$E$1005)-SUMPRODUCT((MOVIMIENTOS!$B$5:$B$1005="ENVÍO A SUPESA")*(MOVIMIENTOS!$C$5:$C$1005="P")*(MOVIMIENTOS!$D$5:$D$1005="jabas")*(MOVIMIENTOS!$A$5:$A$1005&lt;&gt;"")*(MOVIMIENTOS!$A$5:$A$1005&lt;=$A560)*MOVIMIENTOS!$E$5:$E$1005)+SUMPRODUCT((MOVIMIENTOS!$B$5:$B$1005="DEVOLUCIÓN")*(MOVIMIENTOS!$C$5:$C$1005="P")*(MOVIMIENTOS!$D$5:$D$1005="jabas")*(MOVIMIENTOS!$A$5:$A$1005&lt;&gt;"")*(MOVIMIENTOS!$A$5:$A$1005&lt;=$A560)*MOVIMIENTOS!$E$5:$E$1005)-SUMPRODUCT((MOVIMIENTOS!$B$5:$B$1005="TRASIEGO")*(MOVIMIENTOS!$C$5:$C$1005="P")*(MOVIMIENTOS!$D$5:$D$1005="jabas")*(MOVIMIENTOS!$A$5:$A$1005&lt;&gt;"")*(MOVIMIENTOS!$A$5:$A$1005&lt;=$A560)*MOVIMIENTOS!$E$5:$E$1005)-SUMPRODUCT((MOVIMIENTOS!$B$5:$B$1005="REGALO")*(MOVIMIENTOS!$C$5:$C$1005="P")*(MOVIMIENTOS!$D$5:$D$1005="jabas")*(MOVIMIENTOS!$A$5:$A$1005&lt;&gt;"")*(MOVIMIENTOS!$A$5:$A$1005&lt;=$A560)*MOVIMIENTOS!$E$5:$E$1005)-SUMPRODUCT((MOVIMIENTOS!$B$5:$B$1005="VENTA")*(MOVIMIENTOS!$C$5:$C$1005="P")*(MOVIMIENTOS!$D$5:$D$1005="jabas")*(MOVIMIENTOS!$A$5:$A$1005&lt;&gt;"")*(MOVIMIENTOS!$A$5:$A$1005&lt;=$A560)*MOVIMIENTOS!$E$5:$E$1005)+SUMPRODUCT((MOVIMIENTOS!$B$5:$B$1005="AJUSTE")*(MOVIMIENTOS!$C$5:$C$1005="P")*(MOVIMIENTOS!$D$5:$D$1005="jabas")*(MOVIMIENTOS!$A$5:$A$1005&lt;&gt;"")*(MOVIMIENTOS!$A$5:$A$1005&lt;=$A560)*MOVIMIENTOS!$E$5:$E$1005))</f>
        <v/>
      </c>
      <c r="D560" t="str">
        <f>IF($A560="","",SUMPRODUCT((MOVIMIENTOS!$B$5:$B$1005="SALDO INICIAL")*(MOVIMIENTOS!$C$5:$C$1005="C")*(MOVIMIENTOS!$D$5:$D$1005="jabas")*(MOVIMIENTOS!$A$5:$A$1005&lt;&gt;"")*(MOVIMIENTOS!$A$5:$A$1005&lt;=$A560)*MOVIMIENTOS!$E$5:$E$1005)+SUMPRODUCT((MOVIMIENTOS!$B$5:$B$1005="PROCESO")*(MOVIMIENTOS!$C$5:$C$1005="C")*(MOVIMIENTOS!$D$5:$D$1005="jabas")*(MOVIMIENTOS!$A$5:$A$1005&lt;&gt;"")*(MOVIMIENTOS!$A$5:$A$1005&lt;=$A560)*MOVIMIENTOS!$E$5:$E$1005)-SUMPRODUCT((MOVIMIENTOS!$B$5:$B$1005="ENVÍO A SUPESA")*(MOVIMIENTOS!$C$5:$C$1005="C")*(MOVIMIENTOS!$D$5:$D$1005="jabas")*(MOVIMIENTOS!$A$5:$A$1005&lt;&gt;"")*(MOVIMIENTOS!$A$5:$A$1005&lt;=$A560)*MOVIMIENTOS!$E$5:$E$1005)+SUMPRODUCT((MOVIMIENTOS!$B$5:$B$1005="DEVOLUCIÓN")*(MOVIMIENTOS!$C$5:$C$1005="C")*(MOVIMIENTOS!$D$5:$D$1005="jabas")*(MOVIMIENTOS!$A$5:$A$1005&lt;&gt;"")*(MOVIMIENTOS!$A$5:$A$1005&lt;=$A560)*MOVIMIENTOS!$E$5:$E$1005)-SUMPRODUCT((MOVIMIENTOS!$B$5:$B$1005="TRASIEGO")*(MOVIMIENTOS!$C$5:$C$1005="C")*(MOVIMIENTOS!$D$5:$D$1005="jabas")*(MOVIMIENTOS!$A$5:$A$1005&lt;&gt;"")*(MOVIMIENTOS!$A$5:$A$1005&lt;=$A560)*MOVIMIENTOS!$E$5:$E$1005)-SUMPRODUCT((MOVIMIENTOS!$B$5:$B$1005="REGALO")*(MOVIMIENTOS!$C$5:$C$1005="C")*(MOVIMIENTOS!$D$5:$D$1005="jabas")*(MOVIMIENTOS!$A$5:$A$1005&lt;&gt;"")*(MOVIMIENTOS!$A$5:$A$1005&lt;=$A560)*MOVIMIENTOS!$E$5:$E$1005)-SUMPRODUCT((MOVIMIENTOS!$B$5:$B$1005="VENTA")*(MOVIMIENTOS!$C$5:$C$1005="C")*(MOVIMIENTOS!$D$5:$D$1005="jabas")*(MOVIMIENTOS!$A$5:$A$1005&lt;&gt;"")*(MOVIMIENTOS!$A$5:$A$1005&lt;=$A560)*MOVIMIENTOS!$E$5:$E$1005)+SUMPRODUCT((MOVIMIENTOS!$B$5:$B$1005="AJUSTE")*(MOVIMIENTOS!$C$5:$C$1005="C")*(MOVIMIENTOS!$D$5:$D$1005="jabas")*(MOVIMIENTOS!$A$5:$A$1005&lt;&gt;"")*(MOVIMIENTOS!$A$5:$A$1005&lt;=$A560)*MOVIMIENTOS!$E$5:$E$1005))</f>
        <v/>
      </c>
      <c r="E560" t="str">
        <f>IF($A560="","",SUMPRODUCT((MOVIMIENTOS!$B$5:$B$1005="SALDO INICIAL")*(MOVIMIENTOS!$C$5:$C$1005="M")*(MOVIMIENTOS!$D$5:$D$1005="jabas")*(MOVIMIENTOS!$A$5:$A$1005&lt;&gt;"")*(MOVIMIENTOS!$A$5:$A$1005&lt;=$A560)*MOVIMIENTOS!$E$5:$E$1005)+SUMPRODUCT((MOVIMIENTOS!$B$5:$B$1005="PROCESO")*(MOVIMIENTOS!$C$5:$C$1005="M")*(MOVIMIENTOS!$D$5:$D$1005="jabas")*(MOVIMIENTOS!$A$5:$A$1005&lt;&gt;"")*(MOVIMIENTOS!$A$5:$A$1005&lt;=$A560)*MOVIMIENTOS!$E$5:$E$1005)-SUMPRODUCT((MOVIMIENTOS!$B$5:$B$1005="ENVÍO A SUPESA")*(MOVIMIENTOS!$C$5:$C$1005="M")*(MOVIMIENTOS!$D$5:$D$1005="jabas")*(MOVIMIENTOS!$A$5:$A$1005&lt;&gt;"")*(MOVIMIENTOS!$A$5:$A$1005&lt;=$A560)*MOVIMIENTOS!$E$5:$E$1005)+SUMPRODUCT((MOVIMIENTOS!$B$5:$B$1005="DEVOLUCIÓN")*(MOVIMIENTOS!$C$5:$C$1005="M")*(MOVIMIENTOS!$D$5:$D$1005="jabas")*(MOVIMIENTOS!$A$5:$A$1005&lt;&gt;"")*(MOVIMIENTOS!$A$5:$A$1005&lt;=$A560)*MOVIMIENTOS!$E$5:$E$1005)-SUMPRODUCT((MOVIMIENTOS!$B$5:$B$1005="TRASIEGO")*(MOVIMIENTOS!$C$5:$C$1005="M")*(MOVIMIENTOS!$D$5:$D$1005="jabas")*(MOVIMIENTOS!$A$5:$A$1005&lt;&gt;"")*(MOVIMIENTOS!$A$5:$A$1005&lt;=$A560)*MOVIMIENTOS!$E$5:$E$1005)-SUMPRODUCT((MOVIMIENTOS!$B$5:$B$1005="REGALO")*(MOVIMIENTOS!$C$5:$C$1005="M")*(MOVIMIENTOS!$D$5:$D$1005="jabas")*(MOVIMIENTOS!$A$5:$A$1005&lt;&gt;"")*(MOVIMIENTOS!$A$5:$A$1005&lt;=$A560)*MOVIMIENTOS!$E$5:$E$1005)-SUMPRODUCT((MOVIMIENTOS!$B$5:$B$1005="VENTA")*(MOVIMIENTOS!$C$5:$C$1005="M")*(MOVIMIENTOS!$D$5:$D$1005="jabas")*(MOVIMIENTOS!$A$5:$A$1005&lt;&gt;"")*(MOVIMIENTOS!$A$5:$A$1005&lt;=$A560)*MOVIMIENTOS!$E$5:$E$1005)+SUMPRODUCT((MOVIMIENTOS!$B$5:$B$1005="AJUSTE")*(MOVIMIENTOS!$C$5:$C$1005="M")*(MOVIMIENTOS!$D$5:$D$1005="jabas")*(MOVIMIENTOS!$A$5:$A$1005&lt;&gt;"")*(MOVIMIENTOS!$A$5:$A$1005&lt;=$A560)*MOVIMIENTOS!$E$5:$E$1005))</f>
        <v/>
      </c>
      <c r="F560" s="62" t="str">
        <f>IF($A560="","",SUMPRODUCT((MOVIMIENTOS!$B$5:$B$1005="SALDO INICIAL")*(MOVIMIENTOS!$C$5:$C$1005="Chancho")*(MOVIMIENTOS!$D$5:$D$1005="sacos")*(MOVIMIENTOS!$A$5:$A$1005&lt;&gt;"")*(MOVIMIENTOS!$A$5:$A$1005&lt;=$A560)*MOVIMIENTOS!$E$5:$E$1005)+SUMPRODUCT((MOVIMIENTOS!$B$5:$B$1005="PROCESO")*(MOVIMIENTOS!$C$5:$C$1005="Chancho")*(MOVIMIENTOS!$D$5:$D$1005="sacos")*(MOVIMIENTOS!$A$5:$A$1005&lt;&gt;"")*(MOVIMIENTOS!$A$5:$A$1005&lt;=$A560)*MOVIMIENTOS!$E$5:$E$1005)-SUMPRODUCT((MOVIMIENTOS!$B$5:$B$1005="VENTA CHANCHO")*(MOVIMIENTOS!$C$5:$C$1005="Chancho")*(MOVIMIENTOS!$D$5:$D$1005="sacos")*(MOVIMIENTOS!$A$5:$A$1005&lt;&gt;"")*(MOVIMIENTOS!$A$5:$A$1005&lt;=$A560)*MOVIMIENTOS!$E$5:$E$1005)-SUMPRODUCT((MOVIMIENTOS!$B$5:$B$1005="REGALO")*(MOVIMIENTOS!$C$5:$C$1005="Chancho")*(MOVIMIENTOS!$D$5:$D$1005="sacos")*(MOVIMIENTOS!$A$5:$A$1005&lt;&gt;"")*(MOVIMIENTOS!$A$5:$A$1005&lt;=$A560)*MOVIMIENTOS!$E$5:$E$1005)-SUMPRODUCT((MOVIMIENTOS!$B$5:$B$1005="VENTA")*(MOVIMIENTOS!$C$5:$C$1005="Chancho")*(MOVIMIENTOS!$D$5:$D$1005="sacos")*(MOVIMIENTOS!$A$5:$A$1005&lt;&gt;"")*(MOVIMIENTOS!$A$5:$A$1005&lt;=$A560)*MOVIMIENTOS!$E$5:$E$1005)+SUMPRODUCT((MOVIMIENTOS!$B$5:$B$1005="AJUSTE")*(MOVIMIENTOS!$C$5:$C$1005="Chancho")*(MOVIMIENTOS!$D$5:$D$1005="sacos")*(MOVIMIENTOS!$A$5:$A$1005&lt;&gt;"")*(MOVIMIENTOS!$A$5:$A$1005&lt;=$A560)*MOVIMIENTOS!$E$5:$E$1005))</f>
        <v/>
      </c>
      <c r="G560" s="62" t="str">
        <f t="shared" si="17"/>
        <v/>
      </c>
      <c r="H560" t="str">
        <f>IF($A560="","",SUMPRODUCT((((MOVIMIENTOS!$B$5:$B$1005="SALDO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560)*MOVIMIENTOS!$J$5:$J$1005))</f>
        <v/>
      </c>
      <c r="J560" t="str">
        <f>IF(AND(MOVIMIENTOS!$A565&lt;&gt;"",COUNTIF(MOVIMIENTOS!$A$5:$A564,MOVIMIENTOS!$A565)=0),COUNT(J$4:J559)+1,"")</f>
        <v/>
      </c>
      <c r="K560">
        <f>MOVIMIENTOS!$A565</f>
        <v>0</v>
      </c>
    </row>
    <row r="561" spans="1:11" ht="15" customHeight="1" x14ac:dyDescent="0.2">
      <c r="A561" t="str">
        <f t="shared" si="16"/>
        <v/>
      </c>
      <c r="B561" t="str">
        <f>IF($A561="","",SUMPRODUCT((MOVIMIENTOS!$B$5:$B$1005="SALDO INICIAL")*(MOVIMIENTOS!$C$5:$C$1005="A")*(MOVIMIENTOS!$D$5:$D$1005="jabas")*(MOVIMIENTOS!$A$5:$A$1005&lt;&gt;"")*(MOVIMIENTOS!$A$5:$A$1005&lt;=$A561)*MOVIMIENTOS!$E$5:$E$1005)+SUMPRODUCT((MOVIMIENTOS!$B$5:$B$1005="PROCESO")*(MOVIMIENTOS!$C$5:$C$1005="A")*(MOVIMIENTOS!$D$5:$D$1005="jabas")*(MOVIMIENTOS!$A$5:$A$1005&lt;&gt;"")*(MOVIMIENTOS!$A$5:$A$1005&lt;=$A561)*MOVIMIENTOS!$E$5:$E$1005)-SUMPRODUCT((MOVIMIENTOS!$B$5:$B$1005="ENVÍO A SUPESA")*(MOVIMIENTOS!$C$5:$C$1005="A")*(MOVIMIENTOS!$D$5:$D$1005="jabas")*(MOVIMIENTOS!$A$5:$A$1005&lt;&gt;"")*(MOVIMIENTOS!$A$5:$A$1005&lt;=$A561)*MOVIMIENTOS!$E$5:$E$1005)+SUMPRODUCT((MOVIMIENTOS!$B$5:$B$1005="DEVOLUCIÓN")*(MOVIMIENTOS!$C$5:$C$1005="A")*(MOVIMIENTOS!$D$5:$D$1005="jabas")*(MOVIMIENTOS!$A$5:$A$1005&lt;&gt;"")*(MOVIMIENTOS!$A$5:$A$1005&lt;=$A561)*MOVIMIENTOS!$E$5:$E$1005)-SUMPRODUCT((MOVIMIENTOS!$B$5:$B$1005="TRASIEGO")*(MOVIMIENTOS!$C$5:$C$1005="A")*(MOVIMIENTOS!$D$5:$D$1005="jabas")*(MOVIMIENTOS!$A$5:$A$1005&lt;&gt;"")*(MOVIMIENTOS!$A$5:$A$1005&lt;=$A561)*MOVIMIENTOS!$E$5:$E$1005)-SUMPRODUCT((MOVIMIENTOS!$B$5:$B$1005="REGALO")*(MOVIMIENTOS!$C$5:$C$1005="A")*(MOVIMIENTOS!$D$5:$D$1005="jabas")*(MOVIMIENTOS!$A$5:$A$1005&lt;&gt;"")*(MOVIMIENTOS!$A$5:$A$1005&lt;=$A561)*MOVIMIENTOS!$E$5:$E$1005)-SUMPRODUCT((MOVIMIENTOS!$B$5:$B$1005="VENTA")*(MOVIMIENTOS!$C$5:$C$1005="A")*(MOVIMIENTOS!$D$5:$D$1005="jabas")*(MOVIMIENTOS!$A$5:$A$1005&lt;&gt;"")*(MOVIMIENTOS!$A$5:$A$1005&lt;=$A561)*MOVIMIENTOS!$E$5:$E$1005)+SUMPRODUCT((MOVIMIENTOS!$B$5:$B$1005="AJUSTE")*(MOVIMIENTOS!$C$5:$C$1005="A")*(MOVIMIENTOS!$D$5:$D$1005="jabas")*(MOVIMIENTOS!$A$5:$A$1005&lt;&gt;"")*(MOVIMIENTOS!$A$5:$A$1005&lt;=$A561)*MOVIMIENTOS!$E$5:$E$1005))</f>
        <v/>
      </c>
      <c r="C561" t="str">
        <f>IF($A561="","",SUMPRODUCT((MOVIMIENTOS!$B$5:$B$1005="SALDO INICIAL")*(MOVIMIENTOS!$C$5:$C$1005="P")*(MOVIMIENTOS!$D$5:$D$1005="jabas")*(MOVIMIENTOS!$A$5:$A$1005&lt;&gt;"")*(MOVIMIENTOS!$A$5:$A$1005&lt;=$A561)*MOVIMIENTOS!$E$5:$E$1005)+SUMPRODUCT((MOVIMIENTOS!$B$5:$B$1005="PROCESO")*(MOVIMIENTOS!$C$5:$C$1005="P")*(MOVIMIENTOS!$D$5:$D$1005="jabas")*(MOVIMIENTOS!$A$5:$A$1005&lt;&gt;"")*(MOVIMIENTOS!$A$5:$A$1005&lt;=$A561)*MOVIMIENTOS!$E$5:$E$1005)-SUMPRODUCT((MOVIMIENTOS!$B$5:$B$1005="ENVÍO A SUPESA")*(MOVIMIENTOS!$C$5:$C$1005="P")*(MOVIMIENTOS!$D$5:$D$1005="jabas")*(MOVIMIENTOS!$A$5:$A$1005&lt;&gt;"")*(MOVIMIENTOS!$A$5:$A$1005&lt;=$A561)*MOVIMIENTOS!$E$5:$E$1005)+SUMPRODUCT((MOVIMIENTOS!$B$5:$B$1005="DEVOLUCIÓN")*(MOVIMIENTOS!$C$5:$C$1005="P")*(MOVIMIENTOS!$D$5:$D$1005="jabas")*(MOVIMIENTOS!$A$5:$A$1005&lt;&gt;"")*(MOVIMIENTOS!$A$5:$A$1005&lt;=$A561)*MOVIMIENTOS!$E$5:$E$1005)-SUMPRODUCT((MOVIMIENTOS!$B$5:$B$1005="TRASIEGO")*(MOVIMIENTOS!$C$5:$C$1005="P")*(MOVIMIENTOS!$D$5:$D$1005="jabas")*(MOVIMIENTOS!$A$5:$A$1005&lt;&gt;"")*(MOVIMIENTOS!$A$5:$A$1005&lt;=$A561)*MOVIMIENTOS!$E$5:$E$1005)-SUMPRODUCT((MOVIMIENTOS!$B$5:$B$1005="REGALO")*(MOVIMIENTOS!$C$5:$C$1005="P")*(MOVIMIENTOS!$D$5:$D$1005="jabas")*(MOVIMIENTOS!$A$5:$A$1005&lt;&gt;"")*(MOVIMIENTOS!$A$5:$A$1005&lt;=$A561)*MOVIMIENTOS!$E$5:$E$1005)-SUMPRODUCT((MOVIMIENTOS!$B$5:$B$1005="VENTA")*(MOVIMIENTOS!$C$5:$C$1005="P")*(MOVIMIENTOS!$D$5:$D$1005="jabas")*(MOVIMIENTOS!$A$5:$A$1005&lt;&gt;"")*(MOVIMIENTOS!$A$5:$A$1005&lt;=$A561)*MOVIMIENTOS!$E$5:$E$1005)+SUMPRODUCT((MOVIMIENTOS!$B$5:$B$1005="AJUSTE")*(MOVIMIENTOS!$C$5:$C$1005="P")*(MOVIMIENTOS!$D$5:$D$1005="jabas")*(MOVIMIENTOS!$A$5:$A$1005&lt;&gt;"")*(MOVIMIENTOS!$A$5:$A$1005&lt;=$A561)*MOVIMIENTOS!$E$5:$E$1005))</f>
        <v/>
      </c>
      <c r="D561" t="str">
        <f>IF($A561="","",SUMPRODUCT((MOVIMIENTOS!$B$5:$B$1005="SALDO INICIAL")*(MOVIMIENTOS!$C$5:$C$1005="C")*(MOVIMIENTOS!$D$5:$D$1005="jabas")*(MOVIMIENTOS!$A$5:$A$1005&lt;&gt;"")*(MOVIMIENTOS!$A$5:$A$1005&lt;=$A561)*MOVIMIENTOS!$E$5:$E$1005)+SUMPRODUCT((MOVIMIENTOS!$B$5:$B$1005="PROCESO")*(MOVIMIENTOS!$C$5:$C$1005="C")*(MOVIMIENTOS!$D$5:$D$1005="jabas")*(MOVIMIENTOS!$A$5:$A$1005&lt;&gt;"")*(MOVIMIENTOS!$A$5:$A$1005&lt;=$A561)*MOVIMIENTOS!$E$5:$E$1005)-SUMPRODUCT((MOVIMIENTOS!$B$5:$B$1005="ENVÍO A SUPESA")*(MOVIMIENTOS!$C$5:$C$1005="C")*(MOVIMIENTOS!$D$5:$D$1005="jabas")*(MOVIMIENTOS!$A$5:$A$1005&lt;&gt;"")*(MOVIMIENTOS!$A$5:$A$1005&lt;=$A561)*MOVIMIENTOS!$E$5:$E$1005)+SUMPRODUCT((MOVIMIENTOS!$B$5:$B$1005="DEVOLUCIÓN")*(MOVIMIENTOS!$C$5:$C$1005="C")*(MOVIMIENTOS!$D$5:$D$1005="jabas")*(MOVIMIENTOS!$A$5:$A$1005&lt;&gt;"")*(MOVIMIENTOS!$A$5:$A$1005&lt;=$A561)*MOVIMIENTOS!$E$5:$E$1005)-SUMPRODUCT((MOVIMIENTOS!$B$5:$B$1005="TRASIEGO")*(MOVIMIENTOS!$C$5:$C$1005="C")*(MOVIMIENTOS!$D$5:$D$1005="jabas")*(MOVIMIENTOS!$A$5:$A$1005&lt;&gt;"")*(MOVIMIENTOS!$A$5:$A$1005&lt;=$A561)*MOVIMIENTOS!$E$5:$E$1005)-SUMPRODUCT((MOVIMIENTOS!$B$5:$B$1005="REGALO")*(MOVIMIENTOS!$C$5:$C$1005="C")*(MOVIMIENTOS!$D$5:$D$1005="jabas")*(MOVIMIENTOS!$A$5:$A$1005&lt;&gt;"")*(MOVIMIENTOS!$A$5:$A$1005&lt;=$A561)*MOVIMIENTOS!$E$5:$E$1005)-SUMPRODUCT((MOVIMIENTOS!$B$5:$B$1005="VENTA")*(MOVIMIENTOS!$C$5:$C$1005="C")*(MOVIMIENTOS!$D$5:$D$1005="jabas")*(MOVIMIENTOS!$A$5:$A$1005&lt;&gt;"")*(MOVIMIENTOS!$A$5:$A$1005&lt;=$A561)*MOVIMIENTOS!$E$5:$E$1005)+SUMPRODUCT((MOVIMIENTOS!$B$5:$B$1005="AJUSTE")*(MOVIMIENTOS!$C$5:$C$1005="C")*(MOVIMIENTOS!$D$5:$D$1005="jabas")*(MOVIMIENTOS!$A$5:$A$1005&lt;&gt;"")*(MOVIMIENTOS!$A$5:$A$1005&lt;=$A561)*MOVIMIENTOS!$E$5:$E$1005))</f>
        <v/>
      </c>
      <c r="E561" t="str">
        <f>IF($A561="","",SUMPRODUCT((MOVIMIENTOS!$B$5:$B$1005="SALDO INICIAL")*(MOVIMIENTOS!$C$5:$C$1005="M")*(MOVIMIENTOS!$D$5:$D$1005="jabas")*(MOVIMIENTOS!$A$5:$A$1005&lt;&gt;"")*(MOVIMIENTOS!$A$5:$A$1005&lt;=$A561)*MOVIMIENTOS!$E$5:$E$1005)+SUMPRODUCT((MOVIMIENTOS!$B$5:$B$1005="PROCESO")*(MOVIMIENTOS!$C$5:$C$1005="M")*(MOVIMIENTOS!$D$5:$D$1005="jabas")*(MOVIMIENTOS!$A$5:$A$1005&lt;&gt;"")*(MOVIMIENTOS!$A$5:$A$1005&lt;=$A561)*MOVIMIENTOS!$E$5:$E$1005)-SUMPRODUCT((MOVIMIENTOS!$B$5:$B$1005="ENVÍO A SUPESA")*(MOVIMIENTOS!$C$5:$C$1005="M")*(MOVIMIENTOS!$D$5:$D$1005="jabas")*(MOVIMIENTOS!$A$5:$A$1005&lt;&gt;"")*(MOVIMIENTOS!$A$5:$A$1005&lt;=$A561)*MOVIMIENTOS!$E$5:$E$1005)+SUMPRODUCT((MOVIMIENTOS!$B$5:$B$1005="DEVOLUCIÓN")*(MOVIMIENTOS!$C$5:$C$1005="M")*(MOVIMIENTOS!$D$5:$D$1005="jabas")*(MOVIMIENTOS!$A$5:$A$1005&lt;&gt;"")*(MOVIMIENTOS!$A$5:$A$1005&lt;=$A561)*MOVIMIENTOS!$E$5:$E$1005)-SUMPRODUCT((MOVIMIENTOS!$B$5:$B$1005="TRASIEGO")*(MOVIMIENTOS!$C$5:$C$1005="M")*(MOVIMIENTOS!$D$5:$D$1005="jabas")*(MOVIMIENTOS!$A$5:$A$1005&lt;&gt;"")*(MOVIMIENTOS!$A$5:$A$1005&lt;=$A561)*MOVIMIENTOS!$E$5:$E$1005)-SUMPRODUCT((MOVIMIENTOS!$B$5:$B$1005="REGALO")*(MOVIMIENTOS!$C$5:$C$1005="M")*(MOVIMIENTOS!$D$5:$D$1005="jabas")*(MOVIMIENTOS!$A$5:$A$1005&lt;&gt;"")*(MOVIMIENTOS!$A$5:$A$1005&lt;=$A561)*MOVIMIENTOS!$E$5:$E$1005)-SUMPRODUCT((MOVIMIENTOS!$B$5:$B$1005="VENTA")*(MOVIMIENTOS!$C$5:$C$1005="M")*(MOVIMIENTOS!$D$5:$D$1005="jabas")*(MOVIMIENTOS!$A$5:$A$1005&lt;&gt;"")*(MOVIMIENTOS!$A$5:$A$1005&lt;=$A561)*MOVIMIENTOS!$E$5:$E$1005)+SUMPRODUCT((MOVIMIENTOS!$B$5:$B$1005="AJUSTE")*(MOVIMIENTOS!$C$5:$C$1005="M")*(MOVIMIENTOS!$D$5:$D$1005="jabas")*(MOVIMIENTOS!$A$5:$A$1005&lt;&gt;"")*(MOVIMIENTOS!$A$5:$A$1005&lt;=$A561)*MOVIMIENTOS!$E$5:$E$1005))</f>
        <v/>
      </c>
      <c r="F561" s="62" t="str">
        <f>IF($A561="","",SUMPRODUCT((MOVIMIENTOS!$B$5:$B$1005="SALDO INICIAL")*(MOVIMIENTOS!$C$5:$C$1005="Chancho")*(MOVIMIENTOS!$D$5:$D$1005="sacos")*(MOVIMIENTOS!$A$5:$A$1005&lt;&gt;"")*(MOVIMIENTOS!$A$5:$A$1005&lt;=$A561)*MOVIMIENTOS!$E$5:$E$1005)+SUMPRODUCT((MOVIMIENTOS!$B$5:$B$1005="PROCESO")*(MOVIMIENTOS!$C$5:$C$1005="Chancho")*(MOVIMIENTOS!$D$5:$D$1005="sacos")*(MOVIMIENTOS!$A$5:$A$1005&lt;&gt;"")*(MOVIMIENTOS!$A$5:$A$1005&lt;=$A561)*MOVIMIENTOS!$E$5:$E$1005)-SUMPRODUCT((MOVIMIENTOS!$B$5:$B$1005="VENTA CHANCHO")*(MOVIMIENTOS!$C$5:$C$1005="Chancho")*(MOVIMIENTOS!$D$5:$D$1005="sacos")*(MOVIMIENTOS!$A$5:$A$1005&lt;&gt;"")*(MOVIMIENTOS!$A$5:$A$1005&lt;=$A561)*MOVIMIENTOS!$E$5:$E$1005)-SUMPRODUCT((MOVIMIENTOS!$B$5:$B$1005="REGALO")*(MOVIMIENTOS!$C$5:$C$1005="Chancho")*(MOVIMIENTOS!$D$5:$D$1005="sacos")*(MOVIMIENTOS!$A$5:$A$1005&lt;&gt;"")*(MOVIMIENTOS!$A$5:$A$1005&lt;=$A561)*MOVIMIENTOS!$E$5:$E$1005)-SUMPRODUCT((MOVIMIENTOS!$B$5:$B$1005="VENTA")*(MOVIMIENTOS!$C$5:$C$1005="Chancho")*(MOVIMIENTOS!$D$5:$D$1005="sacos")*(MOVIMIENTOS!$A$5:$A$1005&lt;&gt;"")*(MOVIMIENTOS!$A$5:$A$1005&lt;=$A561)*MOVIMIENTOS!$E$5:$E$1005)+SUMPRODUCT((MOVIMIENTOS!$B$5:$B$1005="AJUSTE")*(MOVIMIENTOS!$C$5:$C$1005="Chancho")*(MOVIMIENTOS!$D$5:$D$1005="sacos")*(MOVIMIENTOS!$A$5:$A$1005&lt;&gt;"")*(MOVIMIENTOS!$A$5:$A$1005&lt;=$A561)*MOVIMIENTOS!$E$5:$E$1005))</f>
        <v/>
      </c>
      <c r="G561" s="62" t="str">
        <f t="shared" si="17"/>
        <v/>
      </c>
      <c r="H561" t="str">
        <f>IF($A561="","",SUMPRODUCT((((MOVIMIENTOS!$B$5:$B$1005="SALDO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561)*MOVIMIENTOS!$J$5:$J$1005))</f>
        <v/>
      </c>
      <c r="J561" t="str">
        <f>IF(AND(MOVIMIENTOS!$A566&lt;&gt;"",COUNTIF(MOVIMIENTOS!$A$5:$A565,MOVIMIENTOS!$A566)=0),COUNT(J$4:J560)+1,"")</f>
        <v/>
      </c>
      <c r="K561">
        <f>MOVIMIENTOS!$A566</f>
        <v>0</v>
      </c>
    </row>
    <row r="562" spans="1:11" ht="15" customHeight="1" x14ac:dyDescent="0.2">
      <c r="A562" t="str">
        <f t="shared" si="16"/>
        <v/>
      </c>
      <c r="B562" t="str">
        <f>IF($A562="","",SUMPRODUCT((MOVIMIENTOS!$B$5:$B$1005="SALDO INICIAL")*(MOVIMIENTOS!$C$5:$C$1005="A")*(MOVIMIENTOS!$D$5:$D$1005="jabas")*(MOVIMIENTOS!$A$5:$A$1005&lt;&gt;"")*(MOVIMIENTOS!$A$5:$A$1005&lt;=$A562)*MOVIMIENTOS!$E$5:$E$1005)+SUMPRODUCT((MOVIMIENTOS!$B$5:$B$1005="PROCESO")*(MOVIMIENTOS!$C$5:$C$1005="A")*(MOVIMIENTOS!$D$5:$D$1005="jabas")*(MOVIMIENTOS!$A$5:$A$1005&lt;&gt;"")*(MOVIMIENTOS!$A$5:$A$1005&lt;=$A562)*MOVIMIENTOS!$E$5:$E$1005)-SUMPRODUCT((MOVIMIENTOS!$B$5:$B$1005="ENVÍO A SUPESA")*(MOVIMIENTOS!$C$5:$C$1005="A")*(MOVIMIENTOS!$D$5:$D$1005="jabas")*(MOVIMIENTOS!$A$5:$A$1005&lt;&gt;"")*(MOVIMIENTOS!$A$5:$A$1005&lt;=$A562)*MOVIMIENTOS!$E$5:$E$1005)+SUMPRODUCT((MOVIMIENTOS!$B$5:$B$1005="DEVOLUCIÓN")*(MOVIMIENTOS!$C$5:$C$1005="A")*(MOVIMIENTOS!$D$5:$D$1005="jabas")*(MOVIMIENTOS!$A$5:$A$1005&lt;&gt;"")*(MOVIMIENTOS!$A$5:$A$1005&lt;=$A562)*MOVIMIENTOS!$E$5:$E$1005)-SUMPRODUCT((MOVIMIENTOS!$B$5:$B$1005="TRASIEGO")*(MOVIMIENTOS!$C$5:$C$1005="A")*(MOVIMIENTOS!$D$5:$D$1005="jabas")*(MOVIMIENTOS!$A$5:$A$1005&lt;&gt;"")*(MOVIMIENTOS!$A$5:$A$1005&lt;=$A562)*MOVIMIENTOS!$E$5:$E$1005)-SUMPRODUCT((MOVIMIENTOS!$B$5:$B$1005="REGALO")*(MOVIMIENTOS!$C$5:$C$1005="A")*(MOVIMIENTOS!$D$5:$D$1005="jabas")*(MOVIMIENTOS!$A$5:$A$1005&lt;&gt;"")*(MOVIMIENTOS!$A$5:$A$1005&lt;=$A562)*MOVIMIENTOS!$E$5:$E$1005)-SUMPRODUCT((MOVIMIENTOS!$B$5:$B$1005="VENTA")*(MOVIMIENTOS!$C$5:$C$1005="A")*(MOVIMIENTOS!$D$5:$D$1005="jabas")*(MOVIMIENTOS!$A$5:$A$1005&lt;&gt;"")*(MOVIMIENTOS!$A$5:$A$1005&lt;=$A562)*MOVIMIENTOS!$E$5:$E$1005)+SUMPRODUCT((MOVIMIENTOS!$B$5:$B$1005="AJUSTE")*(MOVIMIENTOS!$C$5:$C$1005="A")*(MOVIMIENTOS!$D$5:$D$1005="jabas")*(MOVIMIENTOS!$A$5:$A$1005&lt;&gt;"")*(MOVIMIENTOS!$A$5:$A$1005&lt;=$A562)*MOVIMIENTOS!$E$5:$E$1005))</f>
        <v/>
      </c>
      <c r="C562" t="str">
        <f>IF($A562="","",SUMPRODUCT((MOVIMIENTOS!$B$5:$B$1005="SALDO INICIAL")*(MOVIMIENTOS!$C$5:$C$1005="P")*(MOVIMIENTOS!$D$5:$D$1005="jabas")*(MOVIMIENTOS!$A$5:$A$1005&lt;&gt;"")*(MOVIMIENTOS!$A$5:$A$1005&lt;=$A562)*MOVIMIENTOS!$E$5:$E$1005)+SUMPRODUCT((MOVIMIENTOS!$B$5:$B$1005="PROCESO")*(MOVIMIENTOS!$C$5:$C$1005="P")*(MOVIMIENTOS!$D$5:$D$1005="jabas")*(MOVIMIENTOS!$A$5:$A$1005&lt;&gt;"")*(MOVIMIENTOS!$A$5:$A$1005&lt;=$A562)*MOVIMIENTOS!$E$5:$E$1005)-SUMPRODUCT((MOVIMIENTOS!$B$5:$B$1005="ENVÍO A SUPESA")*(MOVIMIENTOS!$C$5:$C$1005="P")*(MOVIMIENTOS!$D$5:$D$1005="jabas")*(MOVIMIENTOS!$A$5:$A$1005&lt;&gt;"")*(MOVIMIENTOS!$A$5:$A$1005&lt;=$A562)*MOVIMIENTOS!$E$5:$E$1005)+SUMPRODUCT((MOVIMIENTOS!$B$5:$B$1005="DEVOLUCIÓN")*(MOVIMIENTOS!$C$5:$C$1005="P")*(MOVIMIENTOS!$D$5:$D$1005="jabas")*(MOVIMIENTOS!$A$5:$A$1005&lt;&gt;"")*(MOVIMIENTOS!$A$5:$A$1005&lt;=$A562)*MOVIMIENTOS!$E$5:$E$1005)-SUMPRODUCT((MOVIMIENTOS!$B$5:$B$1005="TRASIEGO")*(MOVIMIENTOS!$C$5:$C$1005="P")*(MOVIMIENTOS!$D$5:$D$1005="jabas")*(MOVIMIENTOS!$A$5:$A$1005&lt;&gt;"")*(MOVIMIENTOS!$A$5:$A$1005&lt;=$A562)*MOVIMIENTOS!$E$5:$E$1005)-SUMPRODUCT((MOVIMIENTOS!$B$5:$B$1005="REGALO")*(MOVIMIENTOS!$C$5:$C$1005="P")*(MOVIMIENTOS!$D$5:$D$1005="jabas")*(MOVIMIENTOS!$A$5:$A$1005&lt;&gt;"")*(MOVIMIENTOS!$A$5:$A$1005&lt;=$A562)*MOVIMIENTOS!$E$5:$E$1005)-SUMPRODUCT((MOVIMIENTOS!$B$5:$B$1005="VENTA")*(MOVIMIENTOS!$C$5:$C$1005="P")*(MOVIMIENTOS!$D$5:$D$1005="jabas")*(MOVIMIENTOS!$A$5:$A$1005&lt;&gt;"")*(MOVIMIENTOS!$A$5:$A$1005&lt;=$A562)*MOVIMIENTOS!$E$5:$E$1005)+SUMPRODUCT((MOVIMIENTOS!$B$5:$B$1005="AJUSTE")*(MOVIMIENTOS!$C$5:$C$1005="P")*(MOVIMIENTOS!$D$5:$D$1005="jabas")*(MOVIMIENTOS!$A$5:$A$1005&lt;&gt;"")*(MOVIMIENTOS!$A$5:$A$1005&lt;=$A562)*MOVIMIENTOS!$E$5:$E$1005))</f>
        <v/>
      </c>
      <c r="D562" t="str">
        <f>IF($A562="","",SUMPRODUCT((MOVIMIENTOS!$B$5:$B$1005="SALDO INICIAL")*(MOVIMIENTOS!$C$5:$C$1005="C")*(MOVIMIENTOS!$D$5:$D$1005="jabas")*(MOVIMIENTOS!$A$5:$A$1005&lt;&gt;"")*(MOVIMIENTOS!$A$5:$A$1005&lt;=$A562)*MOVIMIENTOS!$E$5:$E$1005)+SUMPRODUCT((MOVIMIENTOS!$B$5:$B$1005="PROCESO")*(MOVIMIENTOS!$C$5:$C$1005="C")*(MOVIMIENTOS!$D$5:$D$1005="jabas")*(MOVIMIENTOS!$A$5:$A$1005&lt;&gt;"")*(MOVIMIENTOS!$A$5:$A$1005&lt;=$A562)*MOVIMIENTOS!$E$5:$E$1005)-SUMPRODUCT((MOVIMIENTOS!$B$5:$B$1005="ENVÍO A SUPESA")*(MOVIMIENTOS!$C$5:$C$1005="C")*(MOVIMIENTOS!$D$5:$D$1005="jabas")*(MOVIMIENTOS!$A$5:$A$1005&lt;&gt;"")*(MOVIMIENTOS!$A$5:$A$1005&lt;=$A562)*MOVIMIENTOS!$E$5:$E$1005)+SUMPRODUCT((MOVIMIENTOS!$B$5:$B$1005="DEVOLUCIÓN")*(MOVIMIENTOS!$C$5:$C$1005="C")*(MOVIMIENTOS!$D$5:$D$1005="jabas")*(MOVIMIENTOS!$A$5:$A$1005&lt;&gt;"")*(MOVIMIENTOS!$A$5:$A$1005&lt;=$A562)*MOVIMIENTOS!$E$5:$E$1005)-SUMPRODUCT((MOVIMIENTOS!$B$5:$B$1005="TRASIEGO")*(MOVIMIENTOS!$C$5:$C$1005="C")*(MOVIMIENTOS!$D$5:$D$1005="jabas")*(MOVIMIENTOS!$A$5:$A$1005&lt;&gt;"")*(MOVIMIENTOS!$A$5:$A$1005&lt;=$A562)*MOVIMIENTOS!$E$5:$E$1005)-SUMPRODUCT((MOVIMIENTOS!$B$5:$B$1005="REGALO")*(MOVIMIENTOS!$C$5:$C$1005="C")*(MOVIMIENTOS!$D$5:$D$1005="jabas")*(MOVIMIENTOS!$A$5:$A$1005&lt;&gt;"")*(MOVIMIENTOS!$A$5:$A$1005&lt;=$A562)*MOVIMIENTOS!$E$5:$E$1005)-SUMPRODUCT((MOVIMIENTOS!$B$5:$B$1005="VENTA")*(MOVIMIENTOS!$C$5:$C$1005="C")*(MOVIMIENTOS!$D$5:$D$1005="jabas")*(MOVIMIENTOS!$A$5:$A$1005&lt;&gt;"")*(MOVIMIENTOS!$A$5:$A$1005&lt;=$A562)*MOVIMIENTOS!$E$5:$E$1005)+SUMPRODUCT((MOVIMIENTOS!$B$5:$B$1005="AJUSTE")*(MOVIMIENTOS!$C$5:$C$1005="C")*(MOVIMIENTOS!$D$5:$D$1005="jabas")*(MOVIMIENTOS!$A$5:$A$1005&lt;&gt;"")*(MOVIMIENTOS!$A$5:$A$1005&lt;=$A562)*MOVIMIENTOS!$E$5:$E$1005))</f>
        <v/>
      </c>
      <c r="E562" t="str">
        <f>IF($A562="","",SUMPRODUCT((MOVIMIENTOS!$B$5:$B$1005="SALDO INICIAL")*(MOVIMIENTOS!$C$5:$C$1005="M")*(MOVIMIENTOS!$D$5:$D$1005="jabas")*(MOVIMIENTOS!$A$5:$A$1005&lt;&gt;"")*(MOVIMIENTOS!$A$5:$A$1005&lt;=$A562)*MOVIMIENTOS!$E$5:$E$1005)+SUMPRODUCT((MOVIMIENTOS!$B$5:$B$1005="PROCESO")*(MOVIMIENTOS!$C$5:$C$1005="M")*(MOVIMIENTOS!$D$5:$D$1005="jabas")*(MOVIMIENTOS!$A$5:$A$1005&lt;&gt;"")*(MOVIMIENTOS!$A$5:$A$1005&lt;=$A562)*MOVIMIENTOS!$E$5:$E$1005)-SUMPRODUCT((MOVIMIENTOS!$B$5:$B$1005="ENVÍO A SUPESA")*(MOVIMIENTOS!$C$5:$C$1005="M")*(MOVIMIENTOS!$D$5:$D$1005="jabas")*(MOVIMIENTOS!$A$5:$A$1005&lt;&gt;"")*(MOVIMIENTOS!$A$5:$A$1005&lt;=$A562)*MOVIMIENTOS!$E$5:$E$1005)+SUMPRODUCT((MOVIMIENTOS!$B$5:$B$1005="DEVOLUCIÓN")*(MOVIMIENTOS!$C$5:$C$1005="M")*(MOVIMIENTOS!$D$5:$D$1005="jabas")*(MOVIMIENTOS!$A$5:$A$1005&lt;&gt;"")*(MOVIMIENTOS!$A$5:$A$1005&lt;=$A562)*MOVIMIENTOS!$E$5:$E$1005)-SUMPRODUCT((MOVIMIENTOS!$B$5:$B$1005="TRASIEGO")*(MOVIMIENTOS!$C$5:$C$1005="M")*(MOVIMIENTOS!$D$5:$D$1005="jabas")*(MOVIMIENTOS!$A$5:$A$1005&lt;&gt;"")*(MOVIMIENTOS!$A$5:$A$1005&lt;=$A562)*MOVIMIENTOS!$E$5:$E$1005)-SUMPRODUCT((MOVIMIENTOS!$B$5:$B$1005="REGALO")*(MOVIMIENTOS!$C$5:$C$1005="M")*(MOVIMIENTOS!$D$5:$D$1005="jabas")*(MOVIMIENTOS!$A$5:$A$1005&lt;&gt;"")*(MOVIMIENTOS!$A$5:$A$1005&lt;=$A562)*MOVIMIENTOS!$E$5:$E$1005)-SUMPRODUCT((MOVIMIENTOS!$B$5:$B$1005="VENTA")*(MOVIMIENTOS!$C$5:$C$1005="M")*(MOVIMIENTOS!$D$5:$D$1005="jabas")*(MOVIMIENTOS!$A$5:$A$1005&lt;&gt;"")*(MOVIMIENTOS!$A$5:$A$1005&lt;=$A562)*MOVIMIENTOS!$E$5:$E$1005)+SUMPRODUCT((MOVIMIENTOS!$B$5:$B$1005="AJUSTE")*(MOVIMIENTOS!$C$5:$C$1005="M")*(MOVIMIENTOS!$D$5:$D$1005="jabas")*(MOVIMIENTOS!$A$5:$A$1005&lt;&gt;"")*(MOVIMIENTOS!$A$5:$A$1005&lt;=$A562)*MOVIMIENTOS!$E$5:$E$1005))</f>
        <v/>
      </c>
      <c r="F562" s="62" t="str">
        <f>IF($A562="","",SUMPRODUCT((MOVIMIENTOS!$B$5:$B$1005="SALDO INICIAL")*(MOVIMIENTOS!$C$5:$C$1005="Chancho")*(MOVIMIENTOS!$D$5:$D$1005="sacos")*(MOVIMIENTOS!$A$5:$A$1005&lt;&gt;"")*(MOVIMIENTOS!$A$5:$A$1005&lt;=$A562)*MOVIMIENTOS!$E$5:$E$1005)+SUMPRODUCT((MOVIMIENTOS!$B$5:$B$1005="PROCESO")*(MOVIMIENTOS!$C$5:$C$1005="Chancho")*(MOVIMIENTOS!$D$5:$D$1005="sacos")*(MOVIMIENTOS!$A$5:$A$1005&lt;&gt;"")*(MOVIMIENTOS!$A$5:$A$1005&lt;=$A562)*MOVIMIENTOS!$E$5:$E$1005)-SUMPRODUCT((MOVIMIENTOS!$B$5:$B$1005="VENTA CHANCHO")*(MOVIMIENTOS!$C$5:$C$1005="Chancho")*(MOVIMIENTOS!$D$5:$D$1005="sacos")*(MOVIMIENTOS!$A$5:$A$1005&lt;&gt;"")*(MOVIMIENTOS!$A$5:$A$1005&lt;=$A562)*MOVIMIENTOS!$E$5:$E$1005)-SUMPRODUCT((MOVIMIENTOS!$B$5:$B$1005="REGALO")*(MOVIMIENTOS!$C$5:$C$1005="Chancho")*(MOVIMIENTOS!$D$5:$D$1005="sacos")*(MOVIMIENTOS!$A$5:$A$1005&lt;&gt;"")*(MOVIMIENTOS!$A$5:$A$1005&lt;=$A562)*MOVIMIENTOS!$E$5:$E$1005)-SUMPRODUCT((MOVIMIENTOS!$B$5:$B$1005="VENTA")*(MOVIMIENTOS!$C$5:$C$1005="Chancho")*(MOVIMIENTOS!$D$5:$D$1005="sacos")*(MOVIMIENTOS!$A$5:$A$1005&lt;&gt;"")*(MOVIMIENTOS!$A$5:$A$1005&lt;=$A562)*MOVIMIENTOS!$E$5:$E$1005)+SUMPRODUCT((MOVIMIENTOS!$B$5:$B$1005="AJUSTE")*(MOVIMIENTOS!$C$5:$C$1005="Chancho")*(MOVIMIENTOS!$D$5:$D$1005="sacos")*(MOVIMIENTOS!$A$5:$A$1005&lt;&gt;"")*(MOVIMIENTOS!$A$5:$A$1005&lt;=$A562)*MOVIMIENTOS!$E$5:$E$1005))</f>
        <v/>
      </c>
      <c r="G562" s="62" t="str">
        <f t="shared" si="17"/>
        <v/>
      </c>
      <c r="H562" t="str">
        <f>IF($A562="","",SUMPRODUCT((((MOVIMIENTOS!$B$5:$B$1005="SALDO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562)*MOVIMIENTOS!$J$5:$J$1005))</f>
        <v/>
      </c>
      <c r="J562" t="str">
        <f>IF(AND(MOVIMIENTOS!$A567&lt;&gt;"",COUNTIF(MOVIMIENTOS!$A$5:$A566,MOVIMIENTOS!$A567)=0),COUNT(J$4:J561)+1,"")</f>
        <v/>
      </c>
      <c r="K562">
        <f>MOVIMIENTOS!$A567</f>
        <v>0</v>
      </c>
    </row>
    <row r="563" spans="1:11" ht="15" customHeight="1" x14ac:dyDescent="0.2">
      <c r="A563" t="str">
        <f t="shared" si="16"/>
        <v/>
      </c>
      <c r="B563" t="str">
        <f>IF($A563="","",SUMPRODUCT((MOVIMIENTOS!$B$5:$B$1005="SALDO INICIAL")*(MOVIMIENTOS!$C$5:$C$1005="A")*(MOVIMIENTOS!$D$5:$D$1005="jabas")*(MOVIMIENTOS!$A$5:$A$1005&lt;&gt;"")*(MOVIMIENTOS!$A$5:$A$1005&lt;=$A563)*MOVIMIENTOS!$E$5:$E$1005)+SUMPRODUCT((MOVIMIENTOS!$B$5:$B$1005="PROCESO")*(MOVIMIENTOS!$C$5:$C$1005="A")*(MOVIMIENTOS!$D$5:$D$1005="jabas")*(MOVIMIENTOS!$A$5:$A$1005&lt;&gt;"")*(MOVIMIENTOS!$A$5:$A$1005&lt;=$A563)*MOVIMIENTOS!$E$5:$E$1005)-SUMPRODUCT((MOVIMIENTOS!$B$5:$B$1005="ENVÍO A SUPESA")*(MOVIMIENTOS!$C$5:$C$1005="A")*(MOVIMIENTOS!$D$5:$D$1005="jabas")*(MOVIMIENTOS!$A$5:$A$1005&lt;&gt;"")*(MOVIMIENTOS!$A$5:$A$1005&lt;=$A563)*MOVIMIENTOS!$E$5:$E$1005)+SUMPRODUCT((MOVIMIENTOS!$B$5:$B$1005="DEVOLUCIÓN")*(MOVIMIENTOS!$C$5:$C$1005="A")*(MOVIMIENTOS!$D$5:$D$1005="jabas")*(MOVIMIENTOS!$A$5:$A$1005&lt;&gt;"")*(MOVIMIENTOS!$A$5:$A$1005&lt;=$A563)*MOVIMIENTOS!$E$5:$E$1005)-SUMPRODUCT((MOVIMIENTOS!$B$5:$B$1005="TRASIEGO")*(MOVIMIENTOS!$C$5:$C$1005="A")*(MOVIMIENTOS!$D$5:$D$1005="jabas")*(MOVIMIENTOS!$A$5:$A$1005&lt;&gt;"")*(MOVIMIENTOS!$A$5:$A$1005&lt;=$A563)*MOVIMIENTOS!$E$5:$E$1005)-SUMPRODUCT((MOVIMIENTOS!$B$5:$B$1005="REGALO")*(MOVIMIENTOS!$C$5:$C$1005="A")*(MOVIMIENTOS!$D$5:$D$1005="jabas")*(MOVIMIENTOS!$A$5:$A$1005&lt;&gt;"")*(MOVIMIENTOS!$A$5:$A$1005&lt;=$A563)*MOVIMIENTOS!$E$5:$E$1005)-SUMPRODUCT((MOVIMIENTOS!$B$5:$B$1005="VENTA")*(MOVIMIENTOS!$C$5:$C$1005="A")*(MOVIMIENTOS!$D$5:$D$1005="jabas")*(MOVIMIENTOS!$A$5:$A$1005&lt;&gt;"")*(MOVIMIENTOS!$A$5:$A$1005&lt;=$A563)*MOVIMIENTOS!$E$5:$E$1005)+SUMPRODUCT((MOVIMIENTOS!$B$5:$B$1005="AJUSTE")*(MOVIMIENTOS!$C$5:$C$1005="A")*(MOVIMIENTOS!$D$5:$D$1005="jabas")*(MOVIMIENTOS!$A$5:$A$1005&lt;&gt;"")*(MOVIMIENTOS!$A$5:$A$1005&lt;=$A563)*MOVIMIENTOS!$E$5:$E$1005))</f>
        <v/>
      </c>
      <c r="C563" t="str">
        <f>IF($A563="","",SUMPRODUCT((MOVIMIENTOS!$B$5:$B$1005="SALDO INICIAL")*(MOVIMIENTOS!$C$5:$C$1005="P")*(MOVIMIENTOS!$D$5:$D$1005="jabas")*(MOVIMIENTOS!$A$5:$A$1005&lt;&gt;"")*(MOVIMIENTOS!$A$5:$A$1005&lt;=$A563)*MOVIMIENTOS!$E$5:$E$1005)+SUMPRODUCT((MOVIMIENTOS!$B$5:$B$1005="PROCESO")*(MOVIMIENTOS!$C$5:$C$1005="P")*(MOVIMIENTOS!$D$5:$D$1005="jabas")*(MOVIMIENTOS!$A$5:$A$1005&lt;&gt;"")*(MOVIMIENTOS!$A$5:$A$1005&lt;=$A563)*MOVIMIENTOS!$E$5:$E$1005)-SUMPRODUCT((MOVIMIENTOS!$B$5:$B$1005="ENVÍO A SUPESA")*(MOVIMIENTOS!$C$5:$C$1005="P")*(MOVIMIENTOS!$D$5:$D$1005="jabas")*(MOVIMIENTOS!$A$5:$A$1005&lt;&gt;"")*(MOVIMIENTOS!$A$5:$A$1005&lt;=$A563)*MOVIMIENTOS!$E$5:$E$1005)+SUMPRODUCT((MOVIMIENTOS!$B$5:$B$1005="DEVOLUCIÓN")*(MOVIMIENTOS!$C$5:$C$1005="P")*(MOVIMIENTOS!$D$5:$D$1005="jabas")*(MOVIMIENTOS!$A$5:$A$1005&lt;&gt;"")*(MOVIMIENTOS!$A$5:$A$1005&lt;=$A563)*MOVIMIENTOS!$E$5:$E$1005)-SUMPRODUCT((MOVIMIENTOS!$B$5:$B$1005="TRASIEGO")*(MOVIMIENTOS!$C$5:$C$1005="P")*(MOVIMIENTOS!$D$5:$D$1005="jabas")*(MOVIMIENTOS!$A$5:$A$1005&lt;&gt;"")*(MOVIMIENTOS!$A$5:$A$1005&lt;=$A563)*MOVIMIENTOS!$E$5:$E$1005)-SUMPRODUCT((MOVIMIENTOS!$B$5:$B$1005="REGALO")*(MOVIMIENTOS!$C$5:$C$1005="P")*(MOVIMIENTOS!$D$5:$D$1005="jabas")*(MOVIMIENTOS!$A$5:$A$1005&lt;&gt;"")*(MOVIMIENTOS!$A$5:$A$1005&lt;=$A563)*MOVIMIENTOS!$E$5:$E$1005)-SUMPRODUCT((MOVIMIENTOS!$B$5:$B$1005="VENTA")*(MOVIMIENTOS!$C$5:$C$1005="P")*(MOVIMIENTOS!$D$5:$D$1005="jabas")*(MOVIMIENTOS!$A$5:$A$1005&lt;&gt;"")*(MOVIMIENTOS!$A$5:$A$1005&lt;=$A563)*MOVIMIENTOS!$E$5:$E$1005)+SUMPRODUCT((MOVIMIENTOS!$B$5:$B$1005="AJUSTE")*(MOVIMIENTOS!$C$5:$C$1005="P")*(MOVIMIENTOS!$D$5:$D$1005="jabas")*(MOVIMIENTOS!$A$5:$A$1005&lt;&gt;"")*(MOVIMIENTOS!$A$5:$A$1005&lt;=$A563)*MOVIMIENTOS!$E$5:$E$1005))</f>
        <v/>
      </c>
      <c r="D563" t="str">
        <f>IF($A563="","",SUMPRODUCT((MOVIMIENTOS!$B$5:$B$1005="SALDO INICIAL")*(MOVIMIENTOS!$C$5:$C$1005="C")*(MOVIMIENTOS!$D$5:$D$1005="jabas")*(MOVIMIENTOS!$A$5:$A$1005&lt;&gt;"")*(MOVIMIENTOS!$A$5:$A$1005&lt;=$A563)*MOVIMIENTOS!$E$5:$E$1005)+SUMPRODUCT((MOVIMIENTOS!$B$5:$B$1005="PROCESO")*(MOVIMIENTOS!$C$5:$C$1005="C")*(MOVIMIENTOS!$D$5:$D$1005="jabas")*(MOVIMIENTOS!$A$5:$A$1005&lt;&gt;"")*(MOVIMIENTOS!$A$5:$A$1005&lt;=$A563)*MOVIMIENTOS!$E$5:$E$1005)-SUMPRODUCT((MOVIMIENTOS!$B$5:$B$1005="ENVÍO A SUPESA")*(MOVIMIENTOS!$C$5:$C$1005="C")*(MOVIMIENTOS!$D$5:$D$1005="jabas")*(MOVIMIENTOS!$A$5:$A$1005&lt;&gt;"")*(MOVIMIENTOS!$A$5:$A$1005&lt;=$A563)*MOVIMIENTOS!$E$5:$E$1005)+SUMPRODUCT((MOVIMIENTOS!$B$5:$B$1005="DEVOLUCIÓN")*(MOVIMIENTOS!$C$5:$C$1005="C")*(MOVIMIENTOS!$D$5:$D$1005="jabas")*(MOVIMIENTOS!$A$5:$A$1005&lt;&gt;"")*(MOVIMIENTOS!$A$5:$A$1005&lt;=$A563)*MOVIMIENTOS!$E$5:$E$1005)-SUMPRODUCT((MOVIMIENTOS!$B$5:$B$1005="TRASIEGO")*(MOVIMIENTOS!$C$5:$C$1005="C")*(MOVIMIENTOS!$D$5:$D$1005="jabas")*(MOVIMIENTOS!$A$5:$A$1005&lt;&gt;"")*(MOVIMIENTOS!$A$5:$A$1005&lt;=$A563)*MOVIMIENTOS!$E$5:$E$1005)-SUMPRODUCT((MOVIMIENTOS!$B$5:$B$1005="REGALO")*(MOVIMIENTOS!$C$5:$C$1005="C")*(MOVIMIENTOS!$D$5:$D$1005="jabas")*(MOVIMIENTOS!$A$5:$A$1005&lt;&gt;"")*(MOVIMIENTOS!$A$5:$A$1005&lt;=$A563)*MOVIMIENTOS!$E$5:$E$1005)-SUMPRODUCT((MOVIMIENTOS!$B$5:$B$1005="VENTA")*(MOVIMIENTOS!$C$5:$C$1005="C")*(MOVIMIENTOS!$D$5:$D$1005="jabas")*(MOVIMIENTOS!$A$5:$A$1005&lt;&gt;"")*(MOVIMIENTOS!$A$5:$A$1005&lt;=$A563)*MOVIMIENTOS!$E$5:$E$1005)+SUMPRODUCT((MOVIMIENTOS!$B$5:$B$1005="AJUSTE")*(MOVIMIENTOS!$C$5:$C$1005="C")*(MOVIMIENTOS!$D$5:$D$1005="jabas")*(MOVIMIENTOS!$A$5:$A$1005&lt;&gt;"")*(MOVIMIENTOS!$A$5:$A$1005&lt;=$A563)*MOVIMIENTOS!$E$5:$E$1005))</f>
        <v/>
      </c>
      <c r="E563" t="str">
        <f>IF($A563="","",SUMPRODUCT((MOVIMIENTOS!$B$5:$B$1005="SALDO INICIAL")*(MOVIMIENTOS!$C$5:$C$1005="M")*(MOVIMIENTOS!$D$5:$D$1005="jabas")*(MOVIMIENTOS!$A$5:$A$1005&lt;&gt;"")*(MOVIMIENTOS!$A$5:$A$1005&lt;=$A563)*MOVIMIENTOS!$E$5:$E$1005)+SUMPRODUCT((MOVIMIENTOS!$B$5:$B$1005="PROCESO")*(MOVIMIENTOS!$C$5:$C$1005="M")*(MOVIMIENTOS!$D$5:$D$1005="jabas")*(MOVIMIENTOS!$A$5:$A$1005&lt;&gt;"")*(MOVIMIENTOS!$A$5:$A$1005&lt;=$A563)*MOVIMIENTOS!$E$5:$E$1005)-SUMPRODUCT((MOVIMIENTOS!$B$5:$B$1005="ENVÍO A SUPESA")*(MOVIMIENTOS!$C$5:$C$1005="M")*(MOVIMIENTOS!$D$5:$D$1005="jabas")*(MOVIMIENTOS!$A$5:$A$1005&lt;&gt;"")*(MOVIMIENTOS!$A$5:$A$1005&lt;=$A563)*MOVIMIENTOS!$E$5:$E$1005)+SUMPRODUCT((MOVIMIENTOS!$B$5:$B$1005="DEVOLUCIÓN")*(MOVIMIENTOS!$C$5:$C$1005="M")*(MOVIMIENTOS!$D$5:$D$1005="jabas")*(MOVIMIENTOS!$A$5:$A$1005&lt;&gt;"")*(MOVIMIENTOS!$A$5:$A$1005&lt;=$A563)*MOVIMIENTOS!$E$5:$E$1005)-SUMPRODUCT((MOVIMIENTOS!$B$5:$B$1005="TRASIEGO")*(MOVIMIENTOS!$C$5:$C$1005="M")*(MOVIMIENTOS!$D$5:$D$1005="jabas")*(MOVIMIENTOS!$A$5:$A$1005&lt;&gt;"")*(MOVIMIENTOS!$A$5:$A$1005&lt;=$A563)*MOVIMIENTOS!$E$5:$E$1005)-SUMPRODUCT((MOVIMIENTOS!$B$5:$B$1005="REGALO")*(MOVIMIENTOS!$C$5:$C$1005="M")*(MOVIMIENTOS!$D$5:$D$1005="jabas")*(MOVIMIENTOS!$A$5:$A$1005&lt;&gt;"")*(MOVIMIENTOS!$A$5:$A$1005&lt;=$A563)*MOVIMIENTOS!$E$5:$E$1005)-SUMPRODUCT((MOVIMIENTOS!$B$5:$B$1005="VENTA")*(MOVIMIENTOS!$C$5:$C$1005="M")*(MOVIMIENTOS!$D$5:$D$1005="jabas")*(MOVIMIENTOS!$A$5:$A$1005&lt;&gt;"")*(MOVIMIENTOS!$A$5:$A$1005&lt;=$A563)*MOVIMIENTOS!$E$5:$E$1005)+SUMPRODUCT((MOVIMIENTOS!$B$5:$B$1005="AJUSTE")*(MOVIMIENTOS!$C$5:$C$1005="M")*(MOVIMIENTOS!$D$5:$D$1005="jabas")*(MOVIMIENTOS!$A$5:$A$1005&lt;&gt;"")*(MOVIMIENTOS!$A$5:$A$1005&lt;=$A563)*MOVIMIENTOS!$E$5:$E$1005))</f>
        <v/>
      </c>
      <c r="F563" s="62" t="str">
        <f>IF($A563="","",SUMPRODUCT((MOVIMIENTOS!$B$5:$B$1005="SALDO INICIAL")*(MOVIMIENTOS!$C$5:$C$1005="Chancho")*(MOVIMIENTOS!$D$5:$D$1005="sacos")*(MOVIMIENTOS!$A$5:$A$1005&lt;&gt;"")*(MOVIMIENTOS!$A$5:$A$1005&lt;=$A563)*MOVIMIENTOS!$E$5:$E$1005)+SUMPRODUCT((MOVIMIENTOS!$B$5:$B$1005="PROCESO")*(MOVIMIENTOS!$C$5:$C$1005="Chancho")*(MOVIMIENTOS!$D$5:$D$1005="sacos")*(MOVIMIENTOS!$A$5:$A$1005&lt;&gt;"")*(MOVIMIENTOS!$A$5:$A$1005&lt;=$A563)*MOVIMIENTOS!$E$5:$E$1005)-SUMPRODUCT((MOVIMIENTOS!$B$5:$B$1005="VENTA CHANCHO")*(MOVIMIENTOS!$C$5:$C$1005="Chancho")*(MOVIMIENTOS!$D$5:$D$1005="sacos")*(MOVIMIENTOS!$A$5:$A$1005&lt;&gt;"")*(MOVIMIENTOS!$A$5:$A$1005&lt;=$A563)*MOVIMIENTOS!$E$5:$E$1005)-SUMPRODUCT((MOVIMIENTOS!$B$5:$B$1005="REGALO")*(MOVIMIENTOS!$C$5:$C$1005="Chancho")*(MOVIMIENTOS!$D$5:$D$1005="sacos")*(MOVIMIENTOS!$A$5:$A$1005&lt;&gt;"")*(MOVIMIENTOS!$A$5:$A$1005&lt;=$A563)*MOVIMIENTOS!$E$5:$E$1005)-SUMPRODUCT((MOVIMIENTOS!$B$5:$B$1005="VENTA")*(MOVIMIENTOS!$C$5:$C$1005="Chancho")*(MOVIMIENTOS!$D$5:$D$1005="sacos")*(MOVIMIENTOS!$A$5:$A$1005&lt;&gt;"")*(MOVIMIENTOS!$A$5:$A$1005&lt;=$A563)*MOVIMIENTOS!$E$5:$E$1005)+SUMPRODUCT((MOVIMIENTOS!$B$5:$B$1005="AJUSTE")*(MOVIMIENTOS!$C$5:$C$1005="Chancho")*(MOVIMIENTOS!$D$5:$D$1005="sacos")*(MOVIMIENTOS!$A$5:$A$1005&lt;&gt;"")*(MOVIMIENTOS!$A$5:$A$1005&lt;=$A563)*MOVIMIENTOS!$E$5:$E$1005))</f>
        <v/>
      </c>
      <c r="G563" s="62" t="str">
        <f t="shared" si="17"/>
        <v/>
      </c>
      <c r="H563" t="str">
        <f>IF($A563="","",SUMPRODUCT((((MOVIMIENTOS!$B$5:$B$1005="SALDO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563)*MOVIMIENTOS!$J$5:$J$1005))</f>
        <v/>
      </c>
      <c r="J563" t="str">
        <f>IF(AND(MOVIMIENTOS!$A568&lt;&gt;"",COUNTIF(MOVIMIENTOS!$A$5:$A567,MOVIMIENTOS!$A568)=0),COUNT(J$4:J562)+1,"")</f>
        <v/>
      </c>
      <c r="K563">
        <f>MOVIMIENTOS!$A568</f>
        <v>0</v>
      </c>
    </row>
    <row r="564" spans="1:11" ht="15" customHeight="1" x14ac:dyDescent="0.2">
      <c r="A564" t="str">
        <f t="shared" si="16"/>
        <v/>
      </c>
      <c r="B564" t="str">
        <f>IF($A564="","",SUMPRODUCT((MOVIMIENTOS!$B$5:$B$1005="SALDO INICIAL")*(MOVIMIENTOS!$C$5:$C$1005="A")*(MOVIMIENTOS!$D$5:$D$1005="jabas")*(MOVIMIENTOS!$A$5:$A$1005&lt;&gt;"")*(MOVIMIENTOS!$A$5:$A$1005&lt;=$A564)*MOVIMIENTOS!$E$5:$E$1005)+SUMPRODUCT((MOVIMIENTOS!$B$5:$B$1005="PROCESO")*(MOVIMIENTOS!$C$5:$C$1005="A")*(MOVIMIENTOS!$D$5:$D$1005="jabas")*(MOVIMIENTOS!$A$5:$A$1005&lt;&gt;"")*(MOVIMIENTOS!$A$5:$A$1005&lt;=$A564)*MOVIMIENTOS!$E$5:$E$1005)-SUMPRODUCT((MOVIMIENTOS!$B$5:$B$1005="ENVÍO A SUPESA")*(MOVIMIENTOS!$C$5:$C$1005="A")*(MOVIMIENTOS!$D$5:$D$1005="jabas")*(MOVIMIENTOS!$A$5:$A$1005&lt;&gt;"")*(MOVIMIENTOS!$A$5:$A$1005&lt;=$A564)*MOVIMIENTOS!$E$5:$E$1005)+SUMPRODUCT((MOVIMIENTOS!$B$5:$B$1005="DEVOLUCIÓN")*(MOVIMIENTOS!$C$5:$C$1005="A")*(MOVIMIENTOS!$D$5:$D$1005="jabas")*(MOVIMIENTOS!$A$5:$A$1005&lt;&gt;"")*(MOVIMIENTOS!$A$5:$A$1005&lt;=$A564)*MOVIMIENTOS!$E$5:$E$1005)-SUMPRODUCT((MOVIMIENTOS!$B$5:$B$1005="TRASIEGO")*(MOVIMIENTOS!$C$5:$C$1005="A")*(MOVIMIENTOS!$D$5:$D$1005="jabas")*(MOVIMIENTOS!$A$5:$A$1005&lt;&gt;"")*(MOVIMIENTOS!$A$5:$A$1005&lt;=$A564)*MOVIMIENTOS!$E$5:$E$1005)-SUMPRODUCT((MOVIMIENTOS!$B$5:$B$1005="REGALO")*(MOVIMIENTOS!$C$5:$C$1005="A")*(MOVIMIENTOS!$D$5:$D$1005="jabas")*(MOVIMIENTOS!$A$5:$A$1005&lt;&gt;"")*(MOVIMIENTOS!$A$5:$A$1005&lt;=$A564)*MOVIMIENTOS!$E$5:$E$1005)-SUMPRODUCT((MOVIMIENTOS!$B$5:$B$1005="VENTA")*(MOVIMIENTOS!$C$5:$C$1005="A")*(MOVIMIENTOS!$D$5:$D$1005="jabas")*(MOVIMIENTOS!$A$5:$A$1005&lt;&gt;"")*(MOVIMIENTOS!$A$5:$A$1005&lt;=$A564)*MOVIMIENTOS!$E$5:$E$1005)+SUMPRODUCT((MOVIMIENTOS!$B$5:$B$1005="AJUSTE")*(MOVIMIENTOS!$C$5:$C$1005="A")*(MOVIMIENTOS!$D$5:$D$1005="jabas")*(MOVIMIENTOS!$A$5:$A$1005&lt;&gt;"")*(MOVIMIENTOS!$A$5:$A$1005&lt;=$A564)*MOVIMIENTOS!$E$5:$E$1005))</f>
        <v/>
      </c>
      <c r="C564" t="str">
        <f>IF($A564="","",SUMPRODUCT((MOVIMIENTOS!$B$5:$B$1005="SALDO INICIAL")*(MOVIMIENTOS!$C$5:$C$1005="P")*(MOVIMIENTOS!$D$5:$D$1005="jabas")*(MOVIMIENTOS!$A$5:$A$1005&lt;&gt;"")*(MOVIMIENTOS!$A$5:$A$1005&lt;=$A564)*MOVIMIENTOS!$E$5:$E$1005)+SUMPRODUCT((MOVIMIENTOS!$B$5:$B$1005="PROCESO")*(MOVIMIENTOS!$C$5:$C$1005="P")*(MOVIMIENTOS!$D$5:$D$1005="jabas")*(MOVIMIENTOS!$A$5:$A$1005&lt;&gt;"")*(MOVIMIENTOS!$A$5:$A$1005&lt;=$A564)*MOVIMIENTOS!$E$5:$E$1005)-SUMPRODUCT((MOVIMIENTOS!$B$5:$B$1005="ENVÍO A SUPESA")*(MOVIMIENTOS!$C$5:$C$1005="P")*(MOVIMIENTOS!$D$5:$D$1005="jabas")*(MOVIMIENTOS!$A$5:$A$1005&lt;&gt;"")*(MOVIMIENTOS!$A$5:$A$1005&lt;=$A564)*MOVIMIENTOS!$E$5:$E$1005)+SUMPRODUCT((MOVIMIENTOS!$B$5:$B$1005="DEVOLUCIÓN")*(MOVIMIENTOS!$C$5:$C$1005="P")*(MOVIMIENTOS!$D$5:$D$1005="jabas")*(MOVIMIENTOS!$A$5:$A$1005&lt;&gt;"")*(MOVIMIENTOS!$A$5:$A$1005&lt;=$A564)*MOVIMIENTOS!$E$5:$E$1005)-SUMPRODUCT((MOVIMIENTOS!$B$5:$B$1005="TRASIEGO")*(MOVIMIENTOS!$C$5:$C$1005="P")*(MOVIMIENTOS!$D$5:$D$1005="jabas")*(MOVIMIENTOS!$A$5:$A$1005&lt;&gt;"")*(MOVIMIENTOS!$A$5:$A$1005&lt;=$A564)*MOVIMIENTOS!$E$5:$E$1005)-SUMPRODUCT((MOVIMIENTOS!$B$5:$B$1005="REGALO")*(MOVIMIENTOS!$C$5:$C$1005="P")*(MOVIMIENTOS!$D$5:$D$1005="jabas")*(MOVIMIENTOS!$A$5:$A$1005&lt;&gt;"")*(MOVIMIENTOS!$A$5:$A$1005&lt;=$A564)*MOVIMIENTOS!$E$5:$E$1005)-SUMPRODUCT((MOVIMIENTOS!$B$5:$B$1005="VENTA")*(MOVIMIENTOS!$C$5:$C$1005="P")*(MOVIMIENTOS!$D$5:$D$1005="jabas")*(MOVIMIENTOS!$A$5:$A$1005&lt;&gt;"")*(MOVIMIENTOS!$A$5:$A$1005&lt;=$A564)*MOVIMIENTOS!$E$5:$E$1005)+SUMPRODUCT((MOVIMIENTOS!$B$5:$B$1005="AJUSTE")*(MOVIMIENTOS!$C$5:$C$1005="P")*(MOVIMIENTOS!$D$5:$D$1005="jabas")*(MOVIMIENTOS!$A$5:$A$1005&lt;&gt;"")*(MOVIMIENTOS!$A$5:$A$1005&lt;=$A564)*MOVIMIENTOS!$E$5:$E$1005))</f>
        <v/>
      </c>
      <c r="D564" t="str">
        <f>IF($A564="","",SUMPRODUCT((MOVIMIENTOS!$B$5:$B$1005="SALDO INICIAL")*(MOVIMIENTOS!$C$5:$C$1005="C")*(MOVIMIENTOS!$D$5:$D$1005="jabas")*(MOVIMIENTOS!$A$5:$A$1005&lt;&gt;"")*(MOVIMIENTOS!$A$5:$A$1005&lt;=$A564)*MOVIMIENTOS!$E$5:$E$1005)+SUMPRODUCT((MOVIMIENTOS!$B$5:$B$1005="PROCESO")*(MOVIMIENTOS!$C$5:$C$1005="C")*(MOVIMIENTOS!$D$5:$D$1005="jabas")*(MOVIMIENTOS!$A$5:$A$1005&lt;&gt;"")*(MOVIMIENTOS!$A$5:$A$1005&lt;=$A564)*MOVIMIENTOS!$E$5:$E$1005)-SUMPRODUCT((MOVIMIENTOS!$B$5:$B$1005="ENVÍO A SUPESA")*(MOVIMIENTOS!$C$5:$C$1005="C")*(MOVIMIENTOS!$D$5:$D$1005="jabas")*(MOVIMIENTOS!$A$5:$A$1005&lt;&gt;"")*(MOVIMIENTOS!$A$5:$A$1005&lt;=$A564)*MOVIMIENTOS!$E$5:$E$1005)+SUMPRODUCT((MOVIMIENTOS!$B$5:$B$1005="DEVOLUCIÓN")*(MOVIMIENTOS!$C$5:$C$1005="C")*(MOVIMIENTOS!$D$5:$D$1005="jabas")*(MOVIMIENTOS!$A$5:$A$1005&lt;&gt;"")*(MOVIMIENTOS!$A$5:$A$1005&lt;=$A564)*MOVIMIENTOS!$E$5:$E$1005)-SUMPRODUCT((MOVIMIENTOS!$B$5:$B$1005="TRASIEGO")*(MOVIMIENTOS!$C$5:$C$1005="C")*(MOVIMIENTOS!$D$5:$D$1005="jabas")*(MOVIMIENTOS!$A$5:$A$1005&lt;&gt;"")*(MOVIMIENTOS!$A$5:$A$1005&lt;=$A564)*MOVIMIENTOS!$E$5:$E$1005)-SUMPRODUCT((MOVIMIENTOS!$B$5:$B$1005="REGALO")*(MOVIMIENTOS!$C$5:$C$1005="C")*(MOVIMIENTOS!$D$5:$D$1005="jabas")*(MOVIMIENTOS!$A$5:$A$1005&lt;&gt;"")*(MOVIMIENTOS!$A$5:$A$1005&lt;=$A564)*MOVIMIENTOS!$E$5:$E$1005)-SUMPRODUCT((MOVIMIENTOS!$B$5:$B$1005="VENTA")*(MOVIMIENTOS!$C$5:$C$1005="C")*(MOVIMIENTOS!$D$5:$D$1005="jabas")*(MOVIMIENTOS!$A$5:$A$1005&lt;&gt;"")*(MOVIMIENTOS!$A$5:$A$1005&lt;=$A564)*MOVIMIENTOS!$E$5:$E$1005)+SUMPRODUCT((MOVIMIENTOS!$B$5:$B$1005="AJUSTE")*(MOVIMIENTOS!$C$5:$C$1005="C")*(MOVIMIENTOS!$D$5:$D$1005="jabas")*(MOVIMIENTOS!$A$5:$A$1005&lt;&gt;"")*(MOVIMIENTOS!$A$5:$A$1005&lt;=$A564)*MOVIMIENTOS!$E$5:$E$1005))</f>
        <v/>
      </c>
      <c r="E564" t="str">
        <f>IF($A564="","",SUMPRODUCT((MOVIMIENTOS!$B$5:$B$1005="SALDO INICIAL")*(MOVIMIENTOS!$C$5:$C$1005="M")*(MOVIMIENTOS!$D$5:$D$1005="jabas")*(MOVIMIENTOS!$A$5:$A$1005&lt;&gt;"")*(MOVIMIENTOS!$A$5:$A$1005&lt;=$A564)*MOVIMIENTOS!$E$5:$E$1005)+SUMPRODUCT((MOVIMIENTOS!$B$5:$B$1005="PROCESO")*(MOVIMIENTOS!$C$5:$C$1005="M")*(MOVIMIENTOS!$D$5:$D$1005="jabas")*(MOVIMIENTOS!$A$5:$A$1005&lt;&gt;"")*(MOVIMIENTOS!$A$5:$A$1005&lt;=$A564)*MOVIMIENTOS!$E$5:$E$1005)-SUMPRODUCT((MOVIMIENTOS!$B$5:$B$1005="ENVÍO A SUPESA")*(MOVIMIENTOS!$C$5:$C$1005="M")*(MOVIMIENTOS!$D$5:$D$1005="jabas")*(MOVIMIENTOS!$A$5:$A$1005&lt;&gt;"")*(MOVIMIENTOS!$A$5:$A$1005&lt;=$A564)*MOVIMIENTOS!$E$5:$E$1005)+SUMPRODUCT((MOVIMIENTOS!$B$5:$B$1005="DEVOLUCIÓN")*(MOVIMIENTOS!$C$5:$C$1005="M")*(MOVIMIENTOS!$D$5:$D$1005="jabas")*(MOVIMIENTOS!$A$5:$A$1005&lt;&gt;"")*(MOVIMIENTOS!$A$5:$A$1005&lt;=$A564)*MOVIMIENTOS!$E$5:$E$1005)-SUMPRODUCT((MOVIMIENTOS!$B$5:$B$1005="TRASIEGO")*(MOVIMIENTOS!$C$5:$C$1005="M")*(MOVIMIENTOS!$D$5:$D$1005="jabas")*(MOVIMIENTOS!$A$5:$A$1005&lt;&gt;"")*(MOVIMIENTOS!$A$5:$A$1005&lt;=$A564)*MOVIMIENTOS!$E$5:$E$1005)-SUMPRODUCT((MOVIMIENTOS!$B$5:$B$1005="REGALO")*(MOVIMIENTOS!$C$5:$C$1005="M")*(MOVIMIENTOS!$D$5:$D$1005="jabas")*(MOVIMIENTOS!$A$5:$A$1005&lt;&gt;"")*(MOVIMIENTOS!$A$5:$A$1005&lt;=$A564)*MOVIMIENTOS!$E$5:$E$1005)-SUMPRODUCT((MOVIMIENTOS!$B$5:$B$1005="VENTA")*(MOVIMIENTOS!$C$5:$C$1005="M")*(MOVIMIENTOS!$D$5:$D$1005="jabas")*(MOVIMIENTOS!$A$5:$A$1005&lt;&gt;"")*(MOVIMIENTOS!$A$5:$A$1005&lt;=$A564)*MOVIMIENTOS!$E$5:$E$1005)+SUMPRODUCT((MOVIMIENTOS!$B$5:$B$1005="AJUSTE")*(MOVIMIENTOS!$C$5:$C$1005="M")*(MOVIMIENTOS!$D$5:$D$1005="jabas")*(MOVIMIENTOS!$A$5:$A$1005&lt;&gt;"")*(MOVIMIENTOS!$A$5:$A$1005&lt;=$A564)*MOVIMIENTOS!$E$5:$E$1005))</f>
        <v/>
      </c>
      <c r="F564" s="62" t="str">
        <f>IF($A564="","",SUMPRODUCT((MOVIMIENTOS!$B$5:$B$1005="SALDO INICIAL")*(MOVIMIENTOS!$C$5:$C$1005="Chancho")*(MOVIMIENTOS!$D$5:$D$1005="sacos")*(MOVIMIENTOS!$A$5:$A$1005&lt;&gt;"")*(MOVIMIENTOS!$A$5:$A$1005&lt;=$A564)*MOVIMIENTOS!$E$5:$E$1005)+SUMPRODUCT((MOVIMIENTOS!$B$5:$B$1005="PROCESO")*(MOVIMIENTOS!$C$5:$C$1005="Chancho")*(MOVIMIENTOS!$D$5:$D$1005="sacos")*(MOVIMIENTOS!$A$5:$A$1005&lt;&gt;"")*(MOVIMIENTOS!$A$5:$A$1005&lt;=$A564)*MOVIMIENTOS!$E$5:$E$1005)-SUMPRODUCT((MOVIMIENTOS!$B$5:$B$1005="VENTA CHANCHO")*(MOVIMIENTOS!$C$5:$C$1005="Chancho")*(MOVIMIENTOS!$D$5:$D$1005="sacos")*(MOVIMIENTOS!$A$5:$A$1005&lt;&gt;"")*(MOVIMIENTOS!$A$5:$A$1005&lt;=$A564)*MOVIMIENTOS!$E$5:$E$1005)-SUMPRODUCT((MOVIMIENTOS!$B$5:$B$1005="REGALO")*(MOVIMIENTOS!$C$5:$C$1005="Chancho")*(MOVIMIENTOS!$D$5:$D$1005="sacos")*(MOVIMIENTOS!$A$5:$A$1005&lt;&gt;"")*(MOVIMIENTOS!$A$5:$A$1005&lt;=$A564)*MOVIMIENTOS!$E$5:$E$1005)-SUMPRODUCT((MOVIMIENTOS!$B$5:$B$1005="VENTA")*(MOVIMIENTOS!$C$5:$C$1005="Chancho")*(MOVIMIENTOS!$D$5:$D$1005="sacos")*(MOVIMIENTOS!$A$5:$A$1005&lt;&gt;"")*(MOVIMIENTOS!$A$5:$A$1005&lt;=$A564)*MOVIMIENTOS!$E$5:$E$1005)+SUMPRODUCT((MOVIMIENTOS!$B$5:$B$1005="AJUSTE")*(MOVIMIENTOS!$C$5:$C$1005="Chancho")*(MOVIMIENTOS!$D$5:$D$1005="sacos")*(MOVIMIENTOS!$A$5:$A$1005&lt;&gt;"")*(MOVIMIENTOS!$A$5:$A$1005&lt;=$A564)*MOVIMIENTOS!$E$5:$E$1005))</f>
        <v/>
      </c>
      <c r="G564" s="62" t="str">
        <f t="shared" si="17"/>
        <v/>
      </c>
      <c r="H564" t="str">
        <f>IF($A564="","",SUMPRODUCT((((MOVIMIENTOS!$B$5:$B$1005="SALDO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564)*MOVIMIENTOS!$J$5:$J$1005))</f>
        <v/>
      </c>
      <c r="J564" t="str">
        <f>IF(AND(MOVIMIENTOS!$A569&lt;&gt;"",COUNTIF(MOVIMIENTOS!$A$5:$A568,MOVIMIENTOS!$A569)=0),COUNT(J$4:J563)+1,"")</f>
        <v/>
      </c>
      <c r="K564">
        <f>MOVIMIENTOS!$A569</f>
        <v>0</v>
      </c>
    </row>
    <row r="565" spans="1:11" ht="15" customHeight="1" x14ac:dyDescent="0.2">
      <c r="A565" t="str">
        <f t="shared" si="16"/>
        <v/>
      </c>
      <c r="B565" t="str">
        <f>IF($A565="","",SUMPRODUCT((MOVIMIENTOS!$B$5:$B$1005="SALDO INICIAL")*(MOVIMIENTOS!$C$5:$C$1005="A")*(MOVIMIENTOS!$D$5:$D$1005="jabas")*(MOVIMIENTOS!$A$5:$A$1005&lt;&gt;"")*(MOVIMIENTOS!$A$5:$A$1005&lt;=$A565)*MOVIMIENTOS!$E$5:$E$1005)+SUMPRODUCT((MOVIMIENTOS!$B$5:$B$1005="PROCESO")*(MOVIMIENTOS!$C$5:$C$1005="A")*(MOVIMIENTOS!$D$5:$D$1005="jabas")*(MOVIMIENTOS!$A$5:$A$1005&lt;&gt;"")*(MOVIMIENTOS!$A$5:$A$1005&lt;=$A565)*MOVIMIENTOS!$E$5:$E$1005)-SUMPRODUCT((MOVIMIENTOS!$B$5:$B$1005="ENVÍO A SUPESA")*(MOVIMIENTOS!$C$5:$C$1005="A")*(MOVIMIENTOS!$D$5:$D$1005="jabas")*(MOVIMIENTOS!$A$5:$A$1005&lt;&gt;"")*(MOVIMIENTOS!$A$5:$A$1005&lt;=$A565)*MOVIMIENTOS!$E$5:$E$1005)+SUMPRODUCT((MOVIMIENTOS!$B$5:$B$1005="DEVOLUCIÓN")*(MOVIMIENTOS!$C$5:$C$1005="A")*(MOVIMIENTOS!$D$5:$D$1005="jabas")*(MOVIMIENTOS!$A$5:$A$1005&lt;&gt;"")*(MOVIMIENTOS!$A$5:$A$1005&lt;=$A565)*MOVIMIENTOS!$E$5:$E$1005)-SUMPRODUCT((MOVIMIENTOS!$B$5:$B$1005="TRASIEGO")*(MOVIMIENTOS!$C$5:$C$1005="A")*(MOVIMIENTOS!$D$5:$D$1005="jabas")*(MOVIMIENTOS!$A$5:$A$1005&lt;&gt;"")*(MOVIMIENTOS!$A$5:$A$1005&lt;=$A565)*MOVIMIENTOS!$E$5:$E$1005)-SUMPRODUCT((MOVIMIENTOS!$B$5:$B$1005="REGALO")*(MOVIMIENTOS!$C$5:$C$1005="A")*(MOVIMIENTOS!$D$5:$D$1005="jabas")*(MOVIMIENTOS!$A$5:$A$1005&lt;&gt;"")*(MOVIMIENTOS!$A$5:$A$1005&lt;=$A565)*MOVIMIENTOS!$E$5:$E$1005)-SUMPRODUCT((MOVIMIENTOS!$B$5:$B$1005="VENTA")*(MOVIMIENTOS!$C$5:$C$1005="A")*(MOVIMIENTOS!$D$5:$D$1005="jabas")*(MOVIMIENTOS!$A$5:$A$1005&lt;&gt;"")*(MOVIMIENTOS!$A$5:$A$1005&lt;=$A565)*MOVIMIENTOS!$E$5:$E$1005)+SUMPRODUCT((MOVIMIENTOS!$B$5:$B$1005="AJUSTE")*(MOVIMIENTOS!$C$5:$C$1005="A")*(MOVIMIENTOS!$D$5:$D$1005="jabas")*(MOVIMIENTOS!$A$5:$A$1005&lt;&gt;"")*(MOVIMIENTOS!$A$5:$A$1005&lt;=$A565)*MOVIMIENTOS!$E$5:$E$1005))</f>
        <v/>
      </c>
      <c r="C565" t="str">
        <f>IF($A565="","",SUMPRODUCT((MOVIMIENTOS!$B$5:$B$1005="SALDO INICIAL")*(MOVIMIENTOS!$C$5:$C$1005="P")*(MOVIMIENTOS!$D$5:$D$1005="jabas")*(MOVIMIENTOS!$A$5:$A$1005&lt;&gt;"")*(MOVIMIENTOS!$A$5:$A$1005&lt;=$A565)*MOVIMIENTOS!$E$5:$E$1005)+SUMPRODUCT((MOVIMIENTOS!$B$5:$B$1005="PROCESO")*(MOVIMIENTOS!$C$5:$C$1005="P")*(MOVIMIENTOS!$D$5:$D$1005="jabas")*(MOVIMIENTOS!$A$5:$A$1005&lt;&gt;"")*(MOVIMIENTOS!$A$5:$A$1005&lt;=$A565)*MOVIMIENTOS!$E$5:$E$1005)-SUMPRODUCT((MOVIMIENTOS!$B$5:$B$1005="ENVÍO A SUPESA")*(MOVIMIENTOS!$C$5:$C$1005="P")*(MOVIMIENTOS!$D$5:$D$1005="jabas")*(MOVIMIENTOS!$A$5:$A$1005&lt;&gt;"")*(MOVIMIENTOS!$A$5:$A$1005&lt;=$A565)*MOVIMIENTOS!$E$5:$E$1005)+SUMPRODUCT((MOVIMIENTOS!$B$5:$B$1005="DEVOLUCIÓN")*(MOVIMIENTOS!$C$5:$C$1005="P")*(MOVIMIENTOS!$D$5:$D$1005="jabas")*(MOVIMIENTOS!$A$5:$A$1005&lt;&gt;"")*(MOVIMIENTOS!$A$5:$A$1005&lt;=$A565)*MOVIMIENTOS!$E$5:$E$1005)-SUMPRODUCT((MOVIMIENTOS!$B$5:$B$1005="TRASIEGO")*(MOVIMIENTOS!$C$5:$C$1005="P")*(MOVIMIENTOS!$D$5:$D$1005="jabas")*(MOVIMIENTOS!$A$5:$A$1005&lt;&gt;"")*(MOVIMIENTOS!$A$5:$A$1005&lt;=$A565)*MOVIMIENTOS!$E$5:$E$1005)-SUMPRODUCT((MOVIMIENTOS!$B$5:$B$1005="REGALO")*(MOVIMIENTOS!$C$5:$C$1005="P")*(MOVIMIENTOS!$D$5:$D$1005="jabas")*(MOVIMIENTOS!$A$5:$A$1005&lt;&gt;"")*(MOVIMIENTOS!$A$5:$A$1005&lt;=$A565)*MOVIMIENTOS!$E$5:$E$1005)-SUMPRODUCT((MOVIMIENTOS!$B$5:$B$1005="VENTA")*(MOVIMIENTOS!$C$5:$C$1005="P")*(MOVIMIENTOS!$D$5:$D$1005="jabas")*(MOVIMIENTOS!$A$5:$A$1005&lt;&gt;"")*(MOVIMIENTOS!$A$5:$A$1005&lt;=$A565)*MOVIMIENTOS!$E$5:$E$1005)+SUMPRODUCT((MOVIMIENTOS!$B$5:$B$1005="AJUSTE")*(MOVIMIENTOS!$C$5:$C$1005="P")*(MOVIMIENTOS!$D$5:$D$1005="jabas")*(MOVIMIENTOS!$A$5:$A$1005&lt;&gt;"")*(MOVIMIENTOS!$A$5:$A$1005&lt;=$A565)*MOVIMIENTOS!$E$5:$E$1005))</f>
        <v/>
      </c>
      <c r="D565" t="str">
        <f>IF($A565="","",SUMPRODUCT((MOVIMIENTOS!$B$5:$B$1005="SALDO INICIAL")*(MOVIMIENTOS!$C$5:$C$1005="C")*(MOVIMIENTOS!$D$5:$D$1005="jabas")*(MOVIMIENTOS!$A$5:$A$1005&lt;&gt;"")*(MOVIMIENTOS!$A$5:$A$1005&lt;=$A565)*MOVIMIENTOS!$E$5:$E$1005)+SUMPRODUCT((MOVIMIENTOS!$B$5:$B$1005="PROCESO")*(MOVIMIENTOS!$C$5:$C$1005="C")*(MOVIMIENTOS!$D$5:$D$1005="jabas")*(MOVIMIENTOS!$A$5:$A$1005&lt;&gt;"")*(MOVIMIENTOS!$A$5:$A$1005&lt;=$A565)*MOVIMIENTOS!$E$5:$E$1005)-SUMPRODUCT((MOVIMIENTOS!$B$5:$B$1005="ENVÍO A SUPESA")*(MOVIMIENTOS!$C$5:$C$1005="C")*(MOVIMIENTOS!$D$5:$D$1005="jabas")*(MOVIMIENTOS!$A$5:$A$1005&lt;&gt;"")*(MOVIMIENTOS!$A$5:$A$1005&lt;=$A565)*MOVIMIENTOS!$E$5:$E$1005)+SUMPRODUCT((MOVIMIENTOS!$B$5:$B$1005="DEVOLUCIÓN")*(MOVIMIENTOS!$C$5:$C$1005="C")*(MOVIMIENTOS!$D$5:$D$1005="jabas")*(MOVIMIENTOS!$A$5:$A$1005&lt;&gt;"")*(MOVIMIENTOS!$A$5:$A$1005&lt;=$A565)*MOVIMIENTOS!$E$5:$E$1005)-SUMPRODUCT((MOVIMIENTOS!$B$5:$B$1005="TRASIEGO")*(MOVIMIENTOS!$C$5:$C$1005="C")*(MOVIMIENTOS!$D$5:$D$1005="jabas")*(MOVIMIENTOS!$A$5:$A$1005&lt;&gt;"")*(MOVIMIENTOS!$A$5:$A$1005&lt;=$A565)*MOVIMIENTOS!$E$5:$E$1005)-SUMPRODUCT((MOVIMIENTOS!$B$5:$B$1005="REGALO")*(MOVIMIENTOS!$C$5:$C$1005="C")*(MOVIMIENTOS!$D$5:$D$1005="jabas")*(MOVIMIENTOS!$A$5:$A$1005&lt;&gt;"")*(MOVIMIENTOS!$A$5:$A$1005&lt;=$A565)*MOVIMIENTOS!$E$5:$E$1005)-SUMPRODUCT((MOVIMIENTOS!$B$5:$B$1005="VENTA")*(MOVIMIENTOS!$C$5:$C$1005="C")*(MOVIMIENTOS!$D$5:$D$1005="jabas")*(MOVIMIENTOS!$A$5:$A$1005&lt;&gt;"")*(MOVIMIENTOS!$A$5:$A$1005&lt;=$A565)*MOVIMIENTOS!$E$5:$E$1005)+SUMPRODUCT((MOVIMIENTOS!$B$5:$B$1005="AJUSTE")*(MOVIMIENTOS!$C$5:$C$1005="C")*(MOVIMIENTOS!$D$5:$D$1005="jabas")*(MOVIMIENTOS!$A$5:$A$1005&lt;&gt;"")*(MOVIMIENTOS!$A$5:$A$1005&lt;=$A565)*MOVIMIENTOS!$E$5:$E$1005))</f>
        <v/>
      </c>
      <c r="E565" t="str">
        <f>IF($A565="","",SUMPRODUCT((MOVIMIENTOS!$B$5:$B$1005="SALDO INICIAL")*(MOVIMIENTOS!$C$5:$C$1005="M")*(MOVIMIENTOS!$D$5:$D$1005="jabas")*(MOVIMIENTOS!$A$5:$A$1005&lt;&gt;"")*(MOVIMIENTOS!$A$5:$A$1005&lt;=$A565)*MOVIMIENTOS!$E$5:$E$1005)+SUMPRODUCT((MOVIMIENTOS!$B$5:$B$1005="PROCESO")*(MOVIMIENTOS!$C$5:$C$1005="M")*(MOVIMIENTOS!$D$5:$D$1005="jabas")*(MOVIMIENTOS!$A$5:$A$1005&lt;&gt;"")*(MOVIMIENTOS!$A$5:$A$1005&lt;=$A565)*MOVIMIENTOS!$E$5:$E$1005)-SUMPRODUCT((MOVIMIENTOS!$B$5:$B$1005="ENVÍO A SUPESA")*(MOVIMIENTOS!$C$5:$C$1005="M")*(MOVIMIENTOS!$D$5:$D$1005="jabas")*(MOVIMIENTOS!$A$5:$A$1005&lt;&gt;"")*(MOVIMIENTOS!$A$5:$A$1005&lt;=$A565)*MOVIMIENTOS!$E$5:$E$1005)+SUMPRODUCT((MOVIMIENTOS!$B$5:$B$1005="DEVOLUCIÓN")*(MOVIMIENTOS!$C$5:$C$1005="M")*(MOVIMIENTOS!$D$5:$D$1005="jabas")*(MOVIMIENTOS!$A$5:$A$1005&lt;&gt;"")*(MOVIMIENTOS!$A$5:$A$1005&lt;=$A565)*MOVIMIENTOS!$E$5:$E$1005)-SUMPRODUCT((MOVIMIENTOS!$B$5:$B$1005="TRASIEGO")*(MOVIMIENTOS!$C$5:$C$1005="M")*(MOVIMIENTOS!$D$5:$D$1005="jabas")*(MOVIMIENTOS!$A$5:$A$1005&lt;&gt;"")*(MOVIMIENTOS!$A$5:$A$1005&lt;=$A565)*MOVIMIENTOS!$E$5:$E$1005)-SUMPRODUCT((MOVIMIENTOS!$B$5:$B$1005="REGALO")*(MOVIMIENTOS!$C$5:$C$1005="M")*(MOVIMIENTOS!$D$5:$D$1005="jabas")*(MOVIMIENTOS!$A$5:$A$1005&lt;&gt;"")*(MOVIMIENTOS!$A$5:$A$1005&lt;=$A565)*MOVIMIENTOS!$E$5:$E$1005)-SUMPRODUCT((MOVIMIENTOS!$B$5:$B$1005="VENTA")*(MOVIMIENTOS!$C$5:$C$1005="M")*(MOVIMIENTOS!$D$5:$D$1005="jabas")*(MOVIMIENTOS!$A$5:$A$1005&lt;&gt;"")*(MOVIMIENTOS!$A$5:$A$1005&lt;=$A565)*MOVIMIENTOS!$E$5:$E$1005)+SUMPRODUCT((MOVIMIENTOS!$B$5:$B$1005="AJUSTE")*(MOVIMIENTOS!$C$5:$C$1005="M")*(MOVIMIENTOS!$D$5:$D$1005="jabas")*(MOVIMIENTOS!$A$5:$A$1005&lt;&gt;"")*(MOVIMIENTOS!$A$5:$A$1005&lt;=$A565)*MOVIMIENTOS!$E$5:$E$1005))</f>
        <v/>
      </c>
      <c r="F565" s="62" t="str">
        <f>IF($A565="","",SUMPRODUCT((MOVIMIENTOS!$B$5:$B$1005="SALDO INICIAL")*(MOVIMIENTOS!$C$5:$C$1005="Chancho")*(MOVIMIENTOS!$D$5:$D$1005="sacos")*(MOVIMIENTOS!$A$5:$A$1005&lt;&gt;"")*(MOVIMIENTOS!$A$5:$A$1005&lt;=$A565)*MOVIMIENTOS!$E$5:$E$1005)+SUMPRODUCT((MOVIMIENTOS!$B$5:$B$1005="PROCESO")*(MOVIMIENTOS!$C$5:$C$1005="Chancho")*(MOVIMIENTOS!$D$5:$D$1005="sacos")*(MOVIMIENTOS!$A$5:$A$1005&lt;&gt;"")*(MOVIMIENTOS!$A$5:$A$1005&lt;=$A565)*MOVIMIENTOS!$E$5:$E$1005)-SUMPRODUCT((MOVIMIENTOS!$B$5:$B$1005="VENTA CHANCHO")*(MOVIMIENTOS!$C$5:$C$1005="Chancho")*(MOVIMIENTOS!$D$5:$D$1005="sacos")*(MOVIMIENTOS!$A$5:$A$1005&lt;&gt;"")*(MOVIMIENTOS!$A$5:$A$1005&lt;=$A565)*MOVIMIENTOS!$E$5:$E$1005)-SUMPRODUCT((MOVIMIENTOS!$B$5:$B$1005="REGALO")*(MOVIMIENTOS!$C$5:$C$1005="Chancho")*(MOVIMIENTOS!$D$5:$D$1005="sacos")*(MOVIMIENTOS!$A$5:$A$1005&lt;&gt;"")*(MOVIMIENTOS!$A$5:$A$1005&lt;=$A565)*MOVIMIENTOS!$E$5:$E$1005)-SUMPRODUCT((MOVIMIENTOS!$B$5:$B$1005="VENTA")*(MOVIMIENTOS!$C$5:$C$1005="Chancho")*(MOVIMIENTOS!$D$5:$D$1005="sacos")*(MOVIMIENTOS!$A$5:$A$1005&lt;&gt;"")*(MOVIMIENTOS!$A$5:$A$1005&lt;=$A565)*MOVIMIENTOS!$E$5:$E$1005)+SUMPRODUCT((MOVIMIENTOS!$B$5:$B$1005="AJUSTE")*(MOVIMIENTOS!$C$5:$C$1005="Chancho")*(MOVIMIENTOS!$D$5:$D$1005="sacos")*(MOVIMIENTOS!$A$5:$A$1005&lt;&gt;"")*(MOVIMIENTOS!$A$5:$A$1005&lt;=$A565)*MOVIMIENTOS!$E$5:$E$1005))</f>
        <v/>
      </c>
      <c r="G565" s="62" t="str">
        <f t="shared" si="17"/>
        <v/>
      </c>
      <c r="H565" t="str">
        <f>IF($A565="","",SUMPRODUCT((((MOVIMIENTOS!$B$5:$B$1005="SALDO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565)*MOVIMIENTOS!$J$5:$J$1005))</f>
        <v/>
      </c>
      <c r="J565" t="str">
        <f>IF(AND(MOVIMIENTOS!$A570&lt;&gt;"",COUNTIF(MOVIMIENTOS!$A$5:$A569,MOVIMIENTOS!$A570)=0),COUNT(J$4:J564)+1,"")</f>
        <v/>
      </c>
      <c r="K565">
        <f>MOVIMIENTOS!$A570</f>
        <v>0</v>
      </c>
    </row>
    <row r="566" spans="1:11" ht="15" customHeight="1" x14ac:dyDescent="0.2">
      <c r="A566" t="str">
        <f t="shared" si="16"/>
        <v/>
      </c>
      <c r="B566" t="str">
        <f>IF($A566="","",SUMPRODUCT((MOVIMIENTOS!$B$5:$B$1005="SALDO INICIAL")*(MOVIMIENTOS!$C$5:$C$1005="A")*(MOVIMIENTOS!$D$5:$D$1005="jabas")*(MOVIMIENTOS!$A$5:$A$1005&lt;&gt;"")*(MOVIMIENTOS!$A$5:$A$1005&lt;=$A566)*MOVIMIENTOS!$E$5:$E$1005)+SUMPRODUCT((MOVIMIENTOS!$B$5:$B$1005="PROCESO")*(MOVIMIENTOS!$C$5:$C$1005="A")*(MOVIMIENTOS!$D$5:$D$1005="jabas")*(MOVIMIENTOS!$A$5:$A$1005&lt;&gt;"")*(MOVIMIENTOS!$A$5:$A$1005&lt;=$A566)*MOVIMIENTOS!$E$5:$E$1005)-SUMPRODUCT((MOVIMIENTOS!$B$5:$B$1005="ENVÍO A SUPESA")*(MOVIMIENTOS!$C$5:$C$1005="A")*(MOVIMIENTOS!$D$5:$D$1005="jabas")*(MOVIMIENTOS!$A$5:$A$1005&lt;&gt;"")*(MOVIMIENTOS!$A$5:$A$1005&lt;=$A566)*MOVIMIENTOS!$E$5:$E$1005)+SUMPRODUCT((MOVIMIENTOS!$B$5:$B$1005="DEVOLUCIÓN")*(MOVIMIENTOS!$C$5:$C$1005="A")*(MOVIMIENTOS!$D$5:$D$1005="jabas")*(MOVIMIENTOS!$A$5:$A$1005&lt;&gt;"")*(MOVIMIENTOS!$A$5:$A$1005&lt;=$A566)*MOVIMIENTOS!$E$5:$E$1005)-SUMPRODUCT((MOVIMIENTOS!$B$5:$B$1005="TRASIEGO")*(MOVIMIENTOS!$C$5:$C$1005="A")*(MOVIMIENTOS!$D$5:$D$1005="jabas")*(MOVIMIENTOS!$A$5:$A$1005&lt;&gt;"")*(MOVIMIENTOS!$A$5:$A$1005&lt;=$A566)*MOVIMIENTOS!$E$5:$E$1005)-SUMPRODUCT((MOVIMIENTOS!$B$5:$B$1005="REGALO")*(MOVIMIENTOS!$C$5:$C$1005="A")*(MOVIMIENTOS!$D$5:$D$1005="jabas")*(MOVIMIENTOS!$A$5:$A$1005&lt;&gt;"")*(MOVIMIENTOS!$A$5:$A$1005&lt;=$A566)*MOVIMIENTOS!$E$5:$E$1005)-SUMPRODUCT((MOVIMIENTOS!$B$5:$B$1005="VENTA")*(MOVIMIENTOS!$C$5:$C$1005="A")*(MOVIMIENTOS!$D$5:$D$1005="jabas")*(MOVIMIENTOS!$A$5:$A$1005&lt;&gt;"")*(MOVIMIENTOS!$A$5:$A$1005&lt;=$A566)*MOVIMIENTOS!$E$5:$E$1005)+SUMPRODUCT((MOVIMIENTOS!$B$5:$B$1005="AJUSTE")*(MOVIMIENTOS!$C$5:$C$1005="A")*(MOVIMIENTOS!$D$5:$D$1005="jabas")*(MOVIMIENTOS!$A$5:$A$1005&lt;&gt;"")*(MOVIMIENTOS!$A$5:$A$1005&lt;=$A566)*MOVIMIENTOS!$E$5:$E$1005))</f>
        <v/>
      </c>
      <c r="C566" t="str">
        <f>IF($A566="","",SUMPRODUCT((MOVIMIENTOS!$B$5:$B$1005="SALDO INICIAL")*(MOVIMIENTOS!$C$5:$C$1005="P")*(MOVIMIENTOS!$D$5:$D$1005="jabas")*(MOVIMIENTOS!$A$5:$A$1005&lt;&gt;"")*(MOVIMIENTOS!$A$5:$A$1005&lt;=$A566)*MOVIMIENTOS!$E$5:$E$1005)+SUMPRODUCT((MOVIMIENTOS!$B$5:$B$1005="PROCESO")*(MOVIMIENTOS!$C$5:$C$1005="P")*(MOVIMIENTOS!$D$5:$D$1005="jabas")*(MOVIMIENTOS!$A$5:$A$1005&lt;&gt;"")*(MOVIMIENTOS!$A$5:$A$1005&lt;=$A566)*MOVIMIENTOS!$E$5:$E$1005)-SUMPRODUCT((MOVIMIENTOS!$B$5:$B$1005="ENVÍO A SUPESA")*(MOVIMIENTOS!$C$5:$C$1005="P")*(MOVIMIENTOS!$D$5:$D$1005="jabas")*(MOVIMIENTOS!$A$5:$A$1005&lt;&gt;"")*(MOVIMIENTOS!$A$5:$A$1005&lt;=$A566)*MOVIMIENTOS!$E$5:$E$1005)+SUMPRODUCT((MOVIMIENTOS!$B$5:$B$1005="DEVOLUCIÓN")*(MOVIMIENTOS!$C$5:$C$1005="P")*(MOVIMIENTOS!$D$5:$D$1005="jabas")*(MOVIMIENTOS!$A$5:$A$1005&lt;&gt;"")*(MOVIMIENTOS!$A$5:$A$1005&lt;=$A566)*MOVIMIENTOS!$E$5:$E$1005)-SUMPRODUCT((MOVIMIENTOS!$B$5:$B$1005="TRASIEGO")*(MOVIMIENTOS!$C$5:$C$1005="P")*(MOVIMIENTOS!$D$5:$D$1005="jabas")*(MOVIMIENTOS!$A$5:$A$1005&lt;&gt;"")*(MOVIMIENTOS!$A$5:$A$1005&lt;=$A566)*MOVIMIENTOS!$E$5:$E$1005)-SUMPRODUCT((MOVIMIENTOS!$B$5:$B$1005="REGALO")*(MOVIMIENTOS!$C$5:$C$1005="P")*(MOVIMIENTOS!$D$5:$D$1005="jabas")*(MOVIMIENTOS!$A$5:$A$1005&lt;&gt;"")*(MOVIMIENTOS!$A$5:$A$1005&lt;=$A566)*MOVIMIENTOS!$E$5:$E$1005)-SUMPRODUCT((MOVIMIENTOS!$B$5:$B$1005="VENTA")*(MOVIMIENTOS!$C$5:$C$1005="P")*(MOVIMIENTOS!$D$5:$D$1005="jabas")*(MOVIMIENTOS!$A$5:$A$1005&lt;&gt;"")*(MOVIMIENTOS!$A$5:$A$1005&lt;=$A566)*MOVIMIENTOS!$E$5:$E$1005)+SUMPRODUCT((MOVIMIENTOS!$B$5:$B$1005="AJUSTE")*(MOVIMIENTOS!$C$5:$C$1005="P")*(MOVIMIENTOS!$D$5:$D$1005="jabas")*(MOVIMIENTOS!$A$5:$A$1005&lt;&gt;"")*(MOVIMIENTOS!$A$5:$A$1005&lt;=$A566)*MOVIMIENTOS!$E$5:$E$1005))</f>
        <v/>
      </c>
      <c r="D566" t="str">
        <f>IF($A566="","",SUMPRODUCT((MOVIMIENTOS!$B$5:$B$1005="SALDO INICIAL")*(MOVIMIENTOS!$C$5:$C$1005="C")*(MOVIMIENTOS!$D$5:$D$1005="jabas")*(MOVIMIENTOS!$A$5:$A$1005&lt;&gt;"")*(MOVIMIENTOS!$A$5:$A$1005&lt;=$A566)*MOVIMIENTOS!$E$5:$E$1005)+SUMPRODUCT((MOVIMIENTOS!$B$5:$B$1005="PROCESO")*(MOVIMIENTOS!$C$5:$C$1005="C")*(MOVIMIENTOS!$D$5:$D$1005="jabas")*(MOVIMIENTOS!$A$5:$A$1005&lt;&gt;"")*(MOVIMIENTOS!$A$5:$A$1005&lt;=$A566)*MOVIMIENTOS!$E$5:$E$1005)-SUMPRODUCT((MOVIMIENTOS!$B$5:$B$1005="ENVÍO A SUPESA")*(MOVIMIENTOS!$C$5:$C$1005="C")*(MOVIMIENTOS!$D$5:$D$1005="jabas")*(MOVIMIENTOS!$A$5:$A$1005&lt;&gt;"")*(MOVIMIENTOS!$A$5:$A$1005&lt;=$A566)*MOVIMIENTOS!$E$5:$E$1005)+SUMPRODUCT((MOVIMIENTOS!$B$5:$B$1005="DEVOLUCIÓN")*(MOVIMIENTOS!$C$5:$C$1005="C")*(MOVIMIENTOS!$D$5:$D$1005="jabas")*(MOVIMIENTOS!$A$5:$A$1005&lt;&gt;"")*(MOVIMIENTOS!$A$5:$A$1005&lt;=$A566)*MOVIMIENTOS!$E$5:$E$1005)-SUMPRODUCT((MOVIMIENTOS!$B$5:$B$1005="TRASIEGO")*(MOVIMIENTOS!$C$5:$C$1005="C")*(MOVIMIENTOS!$D$5:$D$1005="jabas")*(MOVIMIENTOS!$A$5:$A$1005&lt;&gt;"")*(MOVIMIENTOS!$A$5:$A$1005&lt;=$A566)*MOVIMIENTOS!$E$5:$E$1005)-SUMPRODUCT((MOVIMIENTOS!$B$5:$B$1005="REGALO")*(MOVIMIENTOS!$C$5:$C$1005="C")*(MOVIMIENTOS!$D$5:$D$1005="jabas")*(MOVIMIENTOS!$A$5:$A$1005&lt;&gt;"")*(MOVIMIENTOS!$A$5:$A$1005&lt;=$A566)*MOVIMIENTOS!$E$5:$E$1005)-SUMPRODUCT((MOVIMIENTOS!$B$5:$B$1005="VENTA")*(MOVIMIENTOS!$C$5:$C$1005="C")*(MOVIMIENTOS!$D$5:$D$1005="jabas")*(MOVIMIENTOS!$A$5:$A$1005&lt;&gt;"")*(MOVIMIENTOS!$A$5:$A$1005&lt;=$A566)*MOVIMIENTOS!$E$5:$E$1005)+SUMPRODUCT((MOVIMIENTOS!$B$5:$B$1005="AJUSTE")*(MOVIMIENTOS!$C$5:$C$1005="C")*(MOVIMIENTOS!$D$5:$D$1005="jabas")*(MOVIMIENTOS!$A$5:$A$1005&lt;&gt;"")*(MOVIMIENTOS!$A$5:$A$1005&lt;=$A566)*MOVIMIENTOS!$E$5:$E$1005))</f>
        <v/>
      </c>
      <c r="E566" t="str">
        <f>IF($A566="","",SUMPRODUCT((MOVIMIENTOS!$B$5:$B$1005="SALDO INICIAL")*(MOVIMIENTOS!$C$5:$C$1005="M")*(MOVIMIENTOS!$D$5:$D$1005="jabas")*(MOVIMIENTOS!$A$5:$A$1005&lt;&gt;"")*(MOVIMIENTOS!$A$5:$A$1005&lt;=$A566)*MOVIMIENTOS!$E$5:$E$1005)+SUMPRODUCT((MOVIMIENTOS!$B$5:$B$1005="PROCESO")*(MOVIMIENTOS!$C$5:$C$1005="M")*(MOVIMIENTOS!$D$5:$D$1005="jabas")*(MOVIMIENTOS!$A$5:$A$1005&lt;&gt;"")*(MOVIMIENTOS!$A$5:$A$1005&lt;=$A566)*MOVIMIENTOS!$E$5:$E$1005)-SUMPRODUCT((MOVIMIENTOS!$B$5:$B$1005="ENVÍO A SUPESA")*(MOVIMIENTOS!$C$5:$C$1005="M")*(MOVIMIENTOS!$D$5:$D$1005="jabas")*(MOVIMIENTOS!$A$5:$A$1005&lt;&gt;"")*(MOVIMIENTOS!$A$5:$A$1005&lt;=$A566)*MOVIMIENTOS!$E$5:$E$1005)+SUMPRODUCT((MOVIMIENTOS!$B$5:$B$1005="DEVOLUCIÓN")*(MOVIMIENTOS!$C$5:$C$1005="M")*(MOVIMIENTOS!$D$5:$D$1005="jabas")*(MOVIMIENTOS!$A$5:$A$1005&lt;&gt;"")*(MOVIMIENTOS!$A$5:$A$1005&lt;=$A566)*MOVIMIENTOS!$E$5:$E$1005)-SUMPRODUCT((MOVIMIENTOS!$B$5:$B$1005="TRASIEGO")*(MOVIMIENTOS!$C$5:$C$1005="M")*(MOVIMIENTOS!$D$5:$D$1005="jabas")*(MOVIMIENTOS!$A$5:$A$1005&lt;&gt;"")*(MOVIMIENTOS!$A$5:$A$1005&lt;=$A566)*MOVIMIENTOS!$E$5:$E$1005)-SUMPRODUCT((MOVIMIENTOS!$B$5:$B$1005="REGALO")*(MOVIMIENTOS!$C$5:$C$1005="M")*(MOVIMIENTOS!$D$5:$D$1005="jabas")*(MOVIMIENTOS!$A$5:$A$1005&lt;&gt;"")*(MOVIMIENTOS!$A$5:$A$1005&lt;=$A566)*MOVIMIENTOS!$E$5:$E$1005)-SUMPRODUCT((MOVIMIENTOS!$B$5:$B$1005="VENTA")*(MOVIMIENTOS!$C$5:$C$1005="M")*(MOVIMIENTOS!$D$5:$D$1005="jabas")*(MOVIMIENTOS!$A$5:$A$1005&lt;&gt;"")*(MOVIMIENTOS!$A$5:$A$1005&lt;=$A566)*MOVIMIENTOS!$E$5:$E$1005)+SUMPRODUCT((MOVIMIENTOS!$B$5:$B$1005="AJUSTE")*(MOVIMIENTOS!$C$5:$C$1005="M")*(MOVIMIENTOS!$D$5:$D$1005="jabas")*(MOVIMIENTOS!$A$5:$A$1005&lt;&gt;"")*(MOVIMIENTOS!$A$5:$A$1005&lt;=$A566)*MOVIMIENTOS!$E$5:$E$1005))</f>
        <v/>
      </c>
      <c r="F566" s="62" t="str">
        <f>IF($A566="","",SUMPRODUCT((MOVIMIENTOS!$B$5:$B$1005="SALDO INICIAL")*(MOVIMIENTOS!$C$5:$C$1005="Chancho")*(MOVIMIENTOS!$D$5:$D$1005="sacos")*(MOVIMIENTOS!$A$5:$A$1005&lt;&gt;"")*(MOVIMIENTOS!$A$5:$A$1005&lt;=$A566)*MOVIMIENTOS!$E$5:$E$1005)+SUMPRODUCT((MOVIMIENTOS!$B$5:$B$1005="PROCESO")*(MOVIMIENTOS!$C$5:$C$1005="Chancho")*(MOVIMIENTOS!$D$5:$D$1005="sacos")*(MOVIMIENTOS!$A$5:$A$1005&lt;&gt;"")*(MOVIMIENTOS!$A$5:$A$1005&lt;=$A566)*MOVIMIENTOS!$E$5:$E$1005)-SUMPRODUCT((MOVIMIENTOS!$B$5:$B$1005="VENTA CHANCHO")*(MOVIMIENTOS!$C$5:$C$1005="Chancho")*(MOVIMIENTOS!$D$5:$D$1005="sacos")*(MOVIMIENTOS!$A$5:$A$1005&lt;&gt;"")*(MOVIMIENTOS!$A$5:$A$1005&lt;=$A566)*MOVIMIENTOS!$E$5:$E$1005)-SUMPRODUCT((MOVIMIENTOS!$B$5:$B$1005="REGALO")*(MOVIMIENTOS!$C$5:$C$1005="Chancho")*(MOVIMIENTOS!$D$5:$D$1005="sacos")*(MOVIMIENTOS!$A$5:$A$1005&lt;&gt;"")*(MOVIMIENTOS!$A$5:$A$1005&lt;=$A566)*MOVIMIENTOS!$E$5:$E$1005)-SUMPRODUCT((MOVIMIENTOS!$B$5:$B$1005="VENTA")*(MOVIMIENTOS!$C$5:$C$1005="Chancho")*(MOVIMIENTOS!$D$5:$D$1005="sacos")*(MOVIMIENTOS!$A$5:$A$1005&lt;&gt;"")*(MOVIMIENTOS!$A$5:$A$1005&lt;=$A566)*MOVIMIENTOS!$E$5:$E$1005)+SUMPRODUCT((MOVIMIENTOS!$B$5:$B$1005="AJUSTE")*(MOVIMIENTOS!$C$5:$C$1005="Chancho")*(MOVIMIENTOS!$D$5:$D$1005="sacos")*(MOVIMIENTOS!$A$5:$A$1005&lt;&gt;"")*(MOVIMIENTOS!$A$5:$A$1005&lt;=$A566)*MOVIMIENTOS!$E$5:$E$1005))</f>
        <v/>
      </c>
      <c r="G566" s="62" t="str">
        <f t="shared" si="17"/>
        <v/>
      </c>
      <c r="H566" t="str">
        <f>IF($A566="","",SUMPRODUCT((((MOVIMIENTOS!$B$5:$B$1005="SALDO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566)*MOVIMIENTOS!$J$5:$J$1005))</f>
        <v/>
      </c>
      <c r="J566" t="str">
        <f>IF(AND(MOVIMIENTOS!$A571&lt;&gt;"",COUNTIF(MOVIMIENTOS!$A$5:$A570,MOVIMIENTOS!$A571)=0),COUNT(J$4:J565)+1,"")</f>
        <v/>
      </c>
      <c r="K566">
        <f>MOVIMIENTOS!$A571</f>
        <v>0</v>
      </c>
    </row>
    <row r="567" spans="1:11" ht="15" customHeight="1" x14ac:dyDescent="0.2">
      <c r="A567" t="str">
        <f t="shared" si="16"/>
        <v/>
      </c>
      <c r="B567" t="str">
        <f>IF($A567="","",SUMPRODUCT((MOVIMIENTOS!$B$5:$B$1005="SALDO INICIAL")*(MOVIMIENTOS!$C$5:$C$1005="A")*(MOVIMIENTOS!$D$5:$D$1005="jabas")*(MOVIMIENTOS!$A$5:$A$1005&lt;&gt;"")*(MOVIMIENTOS!$A$5:$A$1005&lt;=$A567)*MOVIMIENTOS!$E$5:$E$1005)+SUMPRODUCT((MOVIMIENTOS!$B$5:$B$1005="PROCESO")*(MOVIMIENTOS!$C$5:$C$1005="A")*(MOVIMIENTOS!$D$5:$D$1005="jabas")*(MOVIMIENTOS!$A$5:$A$1005&lt;&gt;"")*(MOVIMIENTOS!$A$5:$A$1005&lt;=$A567)*MOVIMIENTOS!$E$5:$E$1005)-SUMPRODUCT((MOVIMIENTOS!$B$5:$B$1005="ENVÍO A SUPESA")*(MOVIMIENTOS!$C$5:$C$1005="A")*(MOVIMIENTOS!$D$5:$D$1005="jabas")*(MOVIMIENTOS!$A$5:$A$1005&lt;&gt;"")*(MOVIMIENTOS!$A$5:$A$1005&lt;=$A567)*MOVIMIENTOS!$E$5:$E$1005)+SUMPRODUCT((MOVIMIENTOS!$B$5:$B$1005="DEVOLUCIÓN")*(MOVIMIENTOS!$C$5:$C$1005="A")*(MOVIMIENTOS!$D$5:$D$1005="jabas")*(MOVIMIENTOS!$A$5:$A$1005&lt;&gt;"")*(MOVIMIENTOS!$A$5:$A$1005&lt;=$A567)*MOVIMIENTOS!$E$5:$E$1005)-SUMPRODUCT((MOVIMIENTOS!$B$5:$B$1005="TRASIEGO")*(MOVIMIENTOS!$C$5:$C$1005="A")*(MOVIMIENTOS!$D$5:$D$1005="jabas")*(MOVIMIENTOS!$A$5:$A$1005&lt;&gt;"")*(MOVIMIENTOS!$A$5:$A$1005&lt;=$A567)*MOVIMIENTOS!$E$5:$E$1005)-SUMPRODUCT((MOVIMIENTOS!$B$5:$B$1005="REGALO")*(MOVIMIENTOS!$C$5:$C$1005="A")*(MOVIMIENTOS!$D$5:$D$1005="jabas")*(MOVIMIENTOS!$A$5:$A$1005&lt;&gt;"")*(MOVIMIENTOS!$A$5:$A$1005&lt;=$A567)*MOVIMIENTOS!$E$5:$E$1005)-SUMPRODUCT((MOVIMIENTOS!$B$5:$B$1005="VENTA")*(MOVIMIENTOS!$C$5:$C$1005="A")*(MOVIMIENTOS!$D$5:$D$1005="jabas")*(MOVIMIENTOS!$A$5:$A$1005&lt;&gt;"")*(MOVIMIENTOS!$A$5:$A$1005&lt;=$A567)*MOVIMIENTOS!$E$5:$E$1005)+SUMPRODUCT((MOVIMIENTOS!$B$5:$B$1005="AJUSTE")*(MOVIMIENTOS!$C$5:$C$1005="A")*(MOVIMIENTOS!$D$5:$D$1005="jabas")*(MOVIMIENTOS!$A$5:$A$1005&lt;&gt;"")*(MOVIMIENTOS!$A$5:$A$1005&lt;=$A567)*MOVIMIENTOS!$E$5:$E$1005))</f>
        <v/>
      </c>
      <c r="C567" t="str">
        <f>IF($A567="","",SUMPRODUCT((MOVIMIENTOS!$B$5:$B$1005="SALDO INICIAL")*(MOVIMIENTOS!$C$5:$C$1005="P")*(MOVIMIENTOS!$D$5:$D$1005="jabas")*(MOVIMIENTOS!$A$5:$A$1005&lt;&gt;"")*(MOVIMIENTOS!$A$5:$A$1005&lt;=$A567)*MOVIMIENTOS!$E$5:$E$1005)+SUMPRODUCT((MOVIMIENTOS!$B$5:$B$1005="PROCESO")*(MOVIMIENTOS!$C$5:$C$1005="P")*(MOVIMIENTOS!$D$5:$D$1005="jabas")*(MOVIMIENTOS!$A$5:$A$1005&lt;&gt;"")*(MOVIMIENTOS!$A$5:$A$1005&lt;=$A567)*MOVIMIENTOS!$E$5:$E$1005)-SUMPRODUCT((MOVIMIENTOS!$B$5:$B$1005="ENVÍO A SUPESA")*(MOVIMIENTOS!$C$5:$C$1005="P")*(MOVIMIENTOS!$D$5:$D$1005="jabas")*(MOVIMIENTOS!$A$5:$A$1005&lt;&gt;"")*(MOVIMIENTOS!$A$5:$A$1005&lt;=$A567)*MOVIMIENTOS!$E$5:$E$1005)+SUMPRODUCT((MOVIMIENTOS!$B$5:$B$1005="DEVOLUCIÓN")*(MOVIMIENTOS!$C$5:$C$1005="P")*(MOVIMIENTOS!$D$5:$D$1005="jabas")*(MOVIMIENTOS!$A$5:$A$1005&lt;&gt;"")*(MOVIMIENTOS!$A$5:$A$1005&lt;=$A567)*MOVIMIENTOS!$E$5:$E$1005)-SUMPRODUCT((MOVIMIENTOS!$B$5:$B$1005="TRASIEGO")*(MOVIMIENTOS!$C$5:$C$1005="P")*(MOVIMIENTOS!$D$5:$D$1005="jabas")*(MOVIMIENTOS!$A$5:$A$1005&lt;&gt;"")*(MOVIMIENTOS!$A$5:$A$1005&lt;=$A567)*MOVIMIENTOS!$E$5:$E$1005)-SUMPRODUCT((MOVIMIENTOS!$B$5:$B$1005="REGALO")*(MOVIMIENTOS!$C$5:$C$1005="P")*(MOVIMIENTOS!$D$5:$D$1005="jabas")*(MOVIMIENTOS!$A$5:$A$1005&lt;&gt;"")*(MOVIMIENTOS!$A$5:$A$1005&lt;=$A567)*MOVIMIENTOS!$E$5:$E$1005)-SUMPRODUCT((MOVIMIENTOS!$B$5:$B$1005="VENTA")*(MOVIMIENTOS!$C$5:$C$1005="P")*(MOVIMIENTOS!$D$5:$D$1005="jabas")*(MOVIMIENTOS!$A$5:$A$1005&lt;&gt;"")*(MOVIMIENTOS!$A$5:$A$1005&lt;=$A567)*MOVIMIENTOS!$E$5:$E$1005)+SUMPRODUCT((MOVIMIENTOS!$B$5:$B$1005="AJUSTE")*(MOVIMIENTOS!$C$5:$C$1005="P")*(MOVIMIENTOS!$D$5:$D$1005="jabas")*(MOVIMIENTOS!$A$5:$A$1005&lt;&gt;"")*(MOVIMIENTOS!$A$5:$A$1005&lt;=$A567)*MOVIMIENTOS!$E$5:$E$1005))</f>
        <v/>
      </c>
      <c r="D567" t="str">
        <f>IF($A567="","",SUMPRODUCT((MOVIMIENTOS!$B$5:$B$1005="SALDO INICIAL")*(MOVIMIENTOS!$C$5:$C$1005="C")*(MOVIMIENTOS!$D$5:$D$1005="jabas")*(MOVIMIENTOS!$A$5:$A$1005&lt;&gt;"")*(MOVIMIENTOS!$A$5:$A$1005&lt;=$A567)*MOVIMIENTOS!$E$5:$E$1005)+SUMPRODUCT((MOVIMIENTOS!$B$5:$B$1005="PROCESO")*(MOVIMIENTOS!$C$5:$C$1005="C")*(MOVIMIENTOS!$D$5:$D$1005="jabas")*(MOVIMIENTOS!$A$5:$A$1005&lt;&gt;"")*(MOVIMIENTOS!$A$5:$A$1005&lt;=$A567)*MOVIMIENTOS!$E$5:$E$1005)-SUMPRODUCT((MOVIMIENTOS!$B$5:$B$1005="ENVÍO A SUPESA")*(MOVIMIENTOS!$C$5:$C$1005="C")*(MOVIMIENTOS!$D$5:$D$1005="jabas")*(MOVIMIENTOS!$A$5:$A$1005&lt;&gt;"")*(MOVIMIENTOS!$A$5:$A$1005&lt;=$A567)*MOVIMIENTOS!$E$5:$E$1005)+SUMPRODUCT((MOVIMIENTOS!$B$5:$B$1005="DEVOLUCIÓN")*(MOVIMIENTOS!$C$5:$C$1005="C")*(MOVIMIENTOS!$D$5:$D$1005="jabas")*(MOVIMIENTOS!$A$5:$A$1005&lt;&gt;"")*(MOVIMIENTOS!$A$5:$A$1005&lt;=$A567)*MOVIMIENTOS!$E$5:$E$1005)-SUMPRODUCT((MOVIMIENTOS!$B$5:$B$1005="TRASIEGO")*(MOVIMIENTOS!$C$5:$C$1005="C")*(MOVIMIENTOS!$D$5:$D$1005="jabas")*(MOVIMIENTOS!$A$5:$A$1005&lt;&gt;"")*(MOVIMIENTOS!$A$5:$A$1005&lt;=$A567)*MOVIMIENTOS!$E$5:$E$1005)-SUMPRODUCT((MOVIMIENTOS!$B$5:$B$1005="REGALO")*(MOVIMIENTOS!$C$5:$C$1005="C")*(MOVIMIENTOS!$D$5:$D$1005="jabas")*(MOVIMIENTOS!$A$5:$A$1005&lt;&gt;"")*(MOVIMIENTOS!$A$5:$A$1005&lt;=$A567)*MOVIMIENTOS!$E$5:$E$1005)-SUMPRODUCT((MOVIMIENTOS!$B$5:$B$1005="VENTA")*(MOVIMIENTOS!$C$5:$C$1005="C")*(MOVIMIENTOS!$D$5:$D$1005="jabas")*(MOVIMIENTOS!$A$5:$A$1005&lt;&gt;"")*(MOVIMIENTOS!$A$5:$A$1005&lt;=$A567)*MOVIMIENTOS!$E$5:$E$1005)+SUMPRODUCT((MOVIMIENTOS!$B$5:$B$1005="AJUSTE")*(MOVIMIENTOS!$C$5:$C$1005="C")*(MOVIMIENTOS!$D$5:$D$1005="jabas")*(MOVIMIENTOS!$A$5:$A$1005&lt;&gt;"")*(MOVIMIENTOS!$A$5:$A$1005&lt;=$A567)*MOVIMIENTOS!$E$5:$E$1005))</f>
        <v/>
      </c>
      <c r="E567" t="str">
        <f>IF($A567="","",SUMPRODUCT((MOVIMIENTOS!$B$5:$B$1005="SALDO INICIAL")*(MOVIMIENTOS!$C$5:$C$1005="M")*(MOVIMIENTOS!$D$5:$D$1005="jabas")*(MOVIMIENTOS!$A$5:$A$1005&lt;&gt;"")*(MOVIMIENTOS!$A$5:$A$1005&lt;=$A567)*MOVIMIENTOS!$E$5:$E$1005)+SUMPRODUCT((MOVIMIENTOS!$B$5:$B$1005="PROCESO")*(MOVIMIENTOS!$C$5:$C$1005="M")*(MOVIMIENTOS!$D$5:$D$1005="jabas")*(MOVIMIENTOS!$A$5:$A$1005&lt;&gt;"")*(MOVIMIENTOS!$A$5:$A$1005&lt;=$A567)*MOVIMIENTOS!$E$5:$E$1005)-SUMPRODUCT((MOVIMIENTOS!$B$5:$B$1005="ENVÍO A SUPESA")*(MOVIMIENTOS!$C$5:$C$1005="M")*(MOVIMIENTOS!$D$5:$D$1005="jabas")*(MOVIMIENTOS!$A$5:$A$1005&lt;&gt;"")*(MOVIMIENTOS!$A$5:$A$1005&lt;=$A567)*MOVIMIENTOS!$E$5:$E$1005)+SUMPRODUCT((MOVIMIENTOS!$B$5:$B$1005="DEVOLUCIÓN")*(MOVIMIENTOS!$C$5:$C$1005="M")*(MOVIMIENTOS!$D$5:$D$1005="jabas")*(MOVIMIENTOS!$A$5:$A$1005&lt;&gt;"")*(MOVIMIENTOS!$A$5:$A$1005&lt;=$A567)*MOVIMIENTOS!$E$5:$E$1005)-SUMPRODUCT((MOVIMIENTOS!$B$5:$B$1005="TRASIEGO")*(MOVIMIENTOS!$C$5:$C$1005="M")*(MOVIMIENTOS!$D$5:$D$1005="jabas")*(MOVIMIENTOS!$A$5:$A$1005&lt;&gt;"")*(MOVIMIENTOS!$A$5:$A$1005&lt;=$A567)*MOVIMIENTOS!$E$5:$E$1005)-SUMPRODUCT((MOVIMIENTOS!$B$5:$B$1005="REGALO")*(MOVIMIENTOS!$C$5:$C$1005="M")*(MOVIMIENTOS!$D$5:$D$1005="jabas")*(MOVIMIENTOS!$A$5:$A$1005&lt;&gt;"")*(MOVIMIENTOS!$A$5:$A$1005&lt;=$A567)*MOVIMIENTOS!$E$5:$E$1005)-SUMPRODUCT((MOVIMIENTOS!$B$5:$B$1005="VENTA")*(MOVIMIENTOS!$C$5:$C$1005="M")*(MOVIMIENTOS!$D$5:$D$1005="jabas")*(MOVIMIENTOS!$A$5:$A$1005&lt;&gt;"")*(MOVIMIENTOS!$A$5:$A$1005&lt;=$A567)*MOVIMIENTOS!$E$5:$E$1005)+SUMPRODUCT((MOVIMIENTOS!$B$5:$B$1005="AJUSTE")*(MOVIMIENTOS!$C$5:$C$1005="M")*(MOVIMIENTOS!$D$5:$D$1005="jabas")*(MOVIMIENTOS!$A$5:$A$1005&lt;&gt;"")*(MOVIMIENTOS!$A$5:$A$1005&lt;=$A567)*MOVIMIENTOS!$E$5:$E$1005))</f>
        <v/>
      </c>
      <c r="F567" s="62" t="str">
        <f>IF($A567="","",SUMPRODUCT((MOVIMIENTOS!$B$5:$B$1005="SALDO INICIAL")*(MOVIMIENTOS!$C$5:$C$1005="Chancho")*(MOVIMIENTOS!$D$5:$D$1005="sacos")*(MOVIMIENTOS!$A$5:$A$1005&lt;&gt;"")*(MOVIMIENTOS!$A$5:$A$1005&lt;=$A567)*MOVIMIENTOS!$E$5:$E$1005)+SUMPRODUCT((MOVIMIENTOS!$B$5:$B$1005="PROCESO")*(MOVIMIENTOS!$C$5:$C$1005="Chancho")*(MOVIMIENTOS!$D$5:$D$1005="sacos")*(MOVIMIENTOS!$A$5:$A$1005&lt;&gt;"")*(MOVIMIENTOS!$A$5:$A$1005&lt;=$A567)*MOVIMIENTOS!$E$5:$E$1005)-SUMPRODUCT((MOVIMIENTOS!$B$5:$B$1005="VENTA CHANCHO")*(MOVIMIENTOS!$C$5:$C$1005="Chancho")*(MOVIMIENTOS!$D$5:$D$1005="sacos")*(MOVIMIENTOS!$A$5:$A$1005&lt;&gt;"")*(MOVIMIENTOS!$A$5:$A$1005&lt;=$A567)*MOVIMIENTOS!$E$5:$E$1005)-SUMPRODUCT((MOVIMIENTOS!$B$5:$B$1005="REGALO")*(MOVIMIENTOS!$C$5:$C$1005="Chancho")*(MOVIMIENTOS!$D$5:$D$1005="sacos")*(MOVIMIENTOS!$A$5:$A$1005&lt;&gt;"")*(MOVIMIENTOS!$A$5:$A$1005&lt;=$A567)*MOVIMIENTOS!$E$5:$E$1005)-SUMPRODUCT((MOVIMIENTOS!$B$5:$B$1005="VENTA")*(MOVIMIENTOS!$C$5:$C$1005="Chancho")*(MOVIMIENTOS!$D$5:$D$1005="sacos")*(MOVIMIENTOS!$A$5:$A$1005&lt;&gt;"")*(MOVIMIENTOS!$A$5:$A$1005&lt;=$A567)*MOVIMIENTOS!$E$5:$E$1005)+SUMPRODUCT((MOVIMIENTOS!$B$5:$B$1005="AJUSTE")*(MOVIMIENTOS!$C$5:$C$1005="Chancho")*(MOVIMIENTOS!$D$5:$D$1005="sacos")*(MOVIMIENTOS!$A$5:$A$1005&lt;&gt;"")*(MOVIMIENTOS!$A$5:$A$1005&lt;=$A567)*MOVIMIENTOS!$E$5:$E$1005))</f>
        <v/>
      </c>
      <c r="G567" s="62" t="str">
        <f t="shared" si="17"/>
        <v/>
      </c>
      <c r="H567" t="str">
        <f>IF($A567="","",SUMPRODUCT((((MOVIMIENTOS!$B$5:$B$1005="SALDO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567)*MOVIMIENTOS!$J$5:$J$1005))</f>
        <v/>
      </c>
      <c r="J567" t="str">
        <f>IF(AND(MOVIMIENTOS!$A572&lt;&gt;"",COUNTIF(MOVIMIENTOS!$A$5:$A571,MOVIMIENTOS!$A572)=0),COUNT(J$4:J566)+1,"")</f>
        <v/>
      </c>
      <c r="K567">
        <f>MOVIMIENTOS!$A572</f>
        <v>0</v>
      </c>
    </row>
    <row r="568" spans="1:11" ht="15" customHeight="1" x14ac:dyDescent="0.2">
      <c r="A568" t="str">
        <f t="shared" si="16"/>
        <v/>
      </c>
      <c r="B568" t="str">
        <f>IF($A568="","",SUMPRODUCT((MOVIMIENTOS!$B$5:$B$1005="SALDO INICIAL")*(MOVIMIENTOS!$C$5:$C$1005="A")*(MOVIMIENTOS!$D$5:$D$1005="jabas")*(MOVIMIENTOS!$A$5:$A$1005&lt;&gt;"")*(MOVIMIENTOS!$A$5:$A$1005&lt;=$A568)*MOVIMIENTOS!$E$5:$E$1005)+SUMPRODUCT((MOVIMIENTOS!$B$5:$B$1005="PROCESO")*(MOVIMIENTOS!$C$5:$C$1005="A")*(MOVIMIENTOS!$D$5:$D$1005="jabas")*(MOVIMIENTOS!$A$5:$A$1005&lt;&gt;"")*(MOVIMIENTOS!$A$5:$A$1005&lt;=$A568)*MOVIMIENTOS!$E$5:$E$1005)-SUMPRODUCT((MOVIMIENTOS!$B$5:$B$1005="ENVÍO A SUPESA")*(MOVIMIENTOS!$C$5:$C$1005="A")*(MOVIMIENTOS!$D$5:$D$1005="jabas")*(MOVIMIENTOS!$A$5:$A$1005&lt;&gt;"")*(MOVIMIENTOS!$A$5:$A$1005&lt;=$A568)*MOVIMIENTOS!$E$5:$E$1005)+SUMPRODUCT((MOVIMIENTOS!$B$5:$B$1005="DEVOLUCIÓN")*(MOVIMIENTOS!$C$5:$C$1005="A")*(MOVIMIENTOS!$D$5:$D$1005="jabas")*(MOVIMIENTOS!$A$5:$A$1005&lt;&gt;"")*(MOVIMIENTOS!$A$5:$A$1005&lt;=$A568)*MOVIMIENTOS!$E$5:$E$1005)-SUMPRODUCT((MOVIMIENTOS!$B$5:$B$1005="TRASIEGO")*(MOVIMIENTOS!$C$5:$C$1005="A")*(MOVIMIENTOS!$D$5:$D$1005="jabas")*(MOVIMIENTOS!$A$5:$A$1005&lt;&gt;"")*(MOVIMIENTOS!$A$5:$A$1005&lt;=$A568)*MOVIMIENTOS!$E$5:$E$1005)-SUMPRODUCT((MOVIMIENTOS!$B$5:$B$1005="REGALO")*(MOVIMIENTOS!$C$5:$C$1005="A")*(MOVIMIENTOS!$D$5:$D$1005="jabas")*(MOVIMIENTOS!$A$5:$A$1005&lt;&gt;"")*(MOVIMIENTOS!$A$5:$A$1005&lt;=$A568)*MOVIMIENTOS!$E$5:$E$1005)-SUMPRODUCT((MOVIMIENTOS!$B$5:$B$1005="VENTA")*(MOVIMIENTOS!$C$5:$C$1005="A")*(MOVIMIENTOS!$D$5:$D$1005="jabas")*(MOVIMIENTOS!$A$5:$A$1005&lt;&gt;"")*(MOVIMIENTOS!$A$5:$A$1005&lt;=$A568)*MOVIMIENTOS!$E$5:$E$1005)+SUMPRODUCT((MOVIMIENTOS!$B$5:$B$1005="AJUSTE")*(MOVIMIENTOS!$C$5:$C$1005="A")*(MOVIMIENTOS!$D$5:$D$1005="jabas")*(MOVIMIENTOS!$A$5:$A$1005&lt;&gt;"")*(MOVIMIENTOS!$A$5:$A$1005&lt;=$A568)*MOVIMIENTOS!$E$5:$E$1005))</f>
        <v/>
      </c>
      <c r="C568" t="str">
        <f>IF($A568="","",SUMPRODUCT((MOVIMIENTOS!$B$5:$B$1005="SALDO INICIAL")*(MOVIMIENTOS!$C$5:$C$1005="P")*(MOVIMIENTOS!$D$5:$D$1005="jabas")*(MOVIMIENTOS!$A$5:$A$1005&lt;&gt;"")*(MOVIMIENTOS!$A$5:$A$1005&lt;=$A568)*MOVIMIENTOS!$E$5:$E$1005)+SUMPRODUCT((MOVIMIENTOS!$B$5:$B$1005="PROCESO")*(MOVIMIENTOS!$C$5:$C$1005="P")*(MOVIMIENTOS!$D$5:$D$1005="jabas")*(MOVIMIENTOS!$A$5:$A$1005&lt;&gt;"")*(MOVIMIENTOS!$A$5:$A$1005&lt;=$A568)*MOVIMIENTOS!$E$5:$E$1005)-SUMPRODUCT((MOVIMIENTOS!$B$5:$B$1005="ENVÍO A SUPESA")*(MOVIMIENTOS!$C$5:$C$1005="P")*(MOVIMIENTOS!$D$5:$D$1005="jabas")*(MOVIMIENTOS!$A$5:$A$1005&lt;&gt;"")*(MOVIMIENTOS!$A$5:$A$1005&lt;=$A568)*MOVIMIENTOS!$E$5:$E$1005)+SUMPRODUCT((MOVIMIENTOS!$B$5:$B$1005="DEVOLUCIÓN")*(MOVIMIENTOS!$C$5:$C$1005="P")*(MOVIMIENTOS!$D$5:$D$1005="jabas")*(MOVIMIENTOS!$A$5:$A$1005&lt;&gt;"")*(MOVIMIENTOS!$A$5:$A$1005&lt;=$A568)*MOVIMIENTOS!$E$5:$E$1005)-SUMPRODUCT((MOVIMIENTOS!$B$5:$B$1005="TRASIEGO")*(MOVIMIENTOS!$C$5:$C$1005="P")*(MOVIMIENTOS!$D$5:$D$1005="jabas")*(MOVIMIENTOS!$A$5:$A$1005&lt;&gt;"")*(MOVIMIENTOS!$A$5:$A$1005&lt;=$A568)*MOVIMIENTOS!$E$5:$E$1005)-SUMPRODUCT((MOVIMIENTOS!$B$5:$B$1005="REGALO")*(MOVIMIENTOS!$C$5:$C$1005="P")*(MOVIMIENTOS!$D$5:$D$1005="jabas")*(MOVIMIENTOS!$A$5:$A$1005&lt;&gt;"")*(MOVIMIENTOS!$A$5:$A$1005&lt;=$A568)*MOVIMIENTOS!$E$5:$E$1005)-SUMPRODUCT((MOVIMIENTOS!$B$5:$B$1005="VENTA")*(MOVIMIENTOS!$C$5:$C$1005="P")*(MOVIMIENTOS!$D$5:$D$1005="jabas")*(MOVIMIENTOS!$A$5:$A$1005&lt;&gt;"")*(MOVIMIENTOS!$A$5:$A$1005&lt;=$A568)*MOVIMIENTOS!$E$5:$E$1005)+SUMPRODUCT((MOVIMIENTOS!$B$5:$B$1005="AJUSTE")*(MOVIMIENTOS!$C$5:$C$1005="P")*(MOVIMIENTOS!$D$5:$D$1005="jabas")*(MOVIMIENTOS!$A$5:$A$1005&lt;&gt;"")*(MOVIMIENTOS!$A$5:$A$1005&lt;=$A568)*MOVIMIENTOS!$E$5:$E$1005))</f>
        <v/>
      </c>
      <c r="D568" t="str">
        <f>IF($A568="","",SUMPRODUCT((MOVIMIENTOS!$B$5:$B$1005="SALDO INICIAL")*(MOVIMIENTOS!$C$5:$C$1005="C")*(MOVIMIENTOS!$D$5:$D$1005="jabas")*(MOVIMIENTOS!$A$5:$A$1005&lt;&gt;"")*(MOVIMIENTOS!$A$5:$A$1005&lt;=$A568)*MOVIMIENTOS!$E$5:$E$1005)+SUMPRODUCT((MOVIMIENTOS!$B$5:$B$1005="PROCESO")*(MOVIMIENTOS!$C$5:$C$1005="C")*(MOVIMIENTOS!$D$5:$D$1005="jabas")*(MOVIMIENTOS!$A$5:$A$1005&lt;&gt;"")*(MOVIMIENTOS!$A$5:$A$1005&lt;=$A568)*MOVIMIENTOS!$E$5:$E$1005)-SUMPRODUCT((MOVIMIENTOS!$B$5:$B$1005="ENVÍO A SUPESA")*(MOVIMIENTOS!$C$5:$C$1005="C")*(MOVIMIENTOS!$D$5:$D$1005="jabas")*(MOVIMIENTOS!$A$5:$A$1005&lt;&gt;"")*(MOVIMIENTOS!$A$5:$A$1005&lt;=$A568)*MOVIMIENTOS!$E$5:$E$1005)+SUMPRODUCT((MOVIMIENTOS!$B$5:$B$1005="DEVOLUCIÓN")*(MOVIMIENTOS!$C$5:$C$1005="C")*(MOVIMIENTOS!$D$5:$D$1005="jabas")*(MOVIMIENTOS!$A$5:$A$1005&lt;&gt;"")*(MOVIMIENTOS!$A$5:$A$1005&lt;=$A568)*MOVIMIENTOS!$E$5:$E$1005)-SUMPRODUCT((MOVIMIENTOS!$B$5:$B$1005="TRASIEGO")*(MOVIMIENTOS!$C$5:$C$1005="C")*(MOVIMIENTOS!$D$5:$D$1005="jabas")*(MOVIMIENTOS!$A$5:$A$1005&lt;&gt;"")*(MOVIMIENTOS!$A$5:$A$1005&lt;=$A568)*MOVIMIENTOS!$E$5:$E$1005)-SUMPRODUCT((MOVIMIENTOS!$B$5:$B$1005="REGALO")*(MOVIMIENTOS!$C$5:$C$1005="C")*(MOVIMIENTOS!$D$5:$D$1005="jabas")*(MOVIMIENTOS!$A$5:$A$1005&lt;&gt;"")*(MOVIMIENTOS!$A$5:$A$1005&lt;=$A568)*MOVIMIENTOS!$E$5:$E$1005)-SUMPRODUCT((MOVIMIENTOS!$B$5:$B$1005="VENTA")*(MOVIMIENTOS!$C$5:$C$1005="C")*(MOVIMIENTOS!$D$5:$D$1005="jabas")*(MOVIMIENTOS!$A$5:$A$1005&lt;&gt;"")*(MOVIMIENTOS!$A$5:$A$1005&lt;=$A568)*MOVIMIENTOS!$E$5:$E$1005)+SUMPRODUCT((MOVIMIENTOS!$B$5:$B$1005="AJUSTE")*(MOVIMIENTOS!$C$5:$C$1005="C")*(MOVIMIENTOS!$D$5:$D$1005="jabas")*(MOVIMIENTOS!$A$5:$A$1005&lt;&gt;"")*(MOVIMIENTOS!$A$5:$A$1005&lt;=$A568)*MOVIMIENTOS!$E$5:$E$1005))</f>
        <v/>
      </c>
      <c r="E568" t="str">
        <f>IF($A568="","",SUMPRODUCT((MOVIMIENTOS!$B$5:$B$1005="SALDO INICIAL")*(MOVIMIENTOS!$C$5:$C$1005="M")*(MOVIMIENTOS!$D$5:$D$1005="jabas")*(MOVIMIENTOS!$A$5:$A$1005&lt;&gt;"")*(MOVIMIENTOS!$A$5:$A$1005&lt;=$A568)*MOVIMIENTOS!$E$5:$E$1005)+SUMPRODUCT((MOVIMIENTOS!$B$5:$B$1005="PROCESO")*(MOVIMIENTOS!$C$5:$C$1005="M")*(MOVIMIENTOS!$D$5:$D$1005="jabas")*(MOVIMIENTOS!$A$5:$A$1005&lt;&gt;"")*(MOVIMIENTOS!$A$5:$A$1005&lt;=$A568)*MOVIMIENTOS!$E$5:$E$1005)-SUMPRODUCT((MOVIMIENTOS!$B$5:$B$1005="ENVÍO A SUPESA")*(MOVIMIENTOS!$C$5:$C$1005="M")*(MOVIMIENTOS!$D$5:$D$1005="jabas")*(MOVIMIENTOS!$A$5:$A$1005&lt;&gt;"")*(MOVIMIENTOS!$A$5:$A$1005&lt;=$A568)*MOVIMIENTOS!$E$5:$E$1005)+SUMPRODUCT((MOVIMIENTOS!$B$5:$B$1005="DEVOLUCIÓN")*(MOVIMIENTOS!$C$5:$C$1005="M")*(MOVIMIENTOS!$D$5:$D$1005="jabas")*(MOVIMIENTOS!$A$5:$A$1005&lt;&gt;"")*(MOVIMIENTOS!$A$5:$A$1005&lt;=$A568)*MOVIMIENTOS!$E$5:$E$1005)-SUMPRODUCT((MOVIMIENTOS!$B$5:$B$1005="TRASIEGO")*(MOVIMIENTOS!$C$5:$C$1005="M")*(MOVIMIENTOS!$D$5:$D$1005="jabas")*(MOVIMIENTOS!$A$5:$A$1005&lt;&gt;"")*(MOVIMIENTOS!$A$5:$A$1005&lt;=$A568)*MOVIMIENTOS!$E$5:$E$1005)-SUMPRODUCT((MOVIMIENTOS!$B$5:$B$1005="REGALO")*(MOVIMIENTOS!$C$5:$C$1005="M")*(MOVIMIENTOS!$D$5:$D$1005="jabas")*(MOVIMIENTOS!$A$5:$A$1005&lt;&gt;"")*(MOVIMIENTOS!$A$5:$A$1005&lt;=$A568)*MOVIMIENTOS!$E$5:$E$1005)-SUMPRODUCT((MOVIMIENTOS!$B$5:$B$1005="VENTA")*(MOVIMIENTOS!$C$5:$C$1005="M")*(MOVIMIENTOS!$D$5:$D$1005="jabas")*(MOVIMIENTOS!$A$5:$A$1005&lt;&gt;"")*(MOVIMIENTOS!$A$5:$A$1005&lt;=$A568)*MOVIMIENTOS!$E$5:$E$1005)+SUMPRODUCT((MOVIMIENTOS!$B$5:$B$1005="AJUSTE")*(MOVIMIENTOS!$C$5:$C$1005="M")*(MOVIMIENTOS!$D$5:$D$1005="jabas")*(MOVIMIENTOS!$A$5:$A$1005&lt;&gt;"")*(MOVIMIENTOS!$A$5:$A$1005&lt;=$A568)*MOVIMIENTOS!$E$5:$E$1005))</f>
        <v/>
      </c>
      <c r="F568" s="62" t="str">
        <f>IF($A568="","",SUMPRODUCT((MOVIMIENTOS!$B$5:$B$1005="SALDO INICIAL")*(MOVIMIENTOS!$C$5:$C$1005="Chancho")*(MOVIMIENTOS!$D$5:$D$1005="sacos")*(MOVIMIENTOS!$A$5:$A$1005&lt;&gt;"")*(MOVIMIENTOS!$A$5:$A$1005&lt;=$A568)*MOVIMIENTOS!$E$5:$E$1005)+SUMPRODUCT((MOVIMIENTOS!$B$5:$B$1005="PROCESO")*(MOVIMIENTOS!$C$5:$C$1005="Chancho")*(MOVIMIENTOS!$D$5:$D$1005="sacos")*(MOVIMIENTOS!$A$5:$A$1005&lt;&gt;"")*(MOVIMIENTOS!$A$5:$A$1005&lt;=$A568)*MOVIMIENTOS!$E$5:$E$1005)-SUMPRODUCT((MOVIMIENTOS!$B$5:$B$1005="VENTA CHANCHO")*(MOVIMIENTOS!$C$5:$C$1005="Chancho")*(MOVIMIENTOS!$D$5:$D$1005="sacos")*(MOVIMIENTOS!$A$5:$A$1005&lt;&gt;"")*(MOVIMIENTOS!$A$5:$A$1005&lt;=$A568)*MOVIMIENTOS!$E$5:$E$1005)-SUMPRODUCT((MOVIMIENTOS!$B$5:$B$1005="REGALO")*(MOVIMIENTOS!$C$5:$C$1005="Chancho")*(MOVIMIENTOS!$D$5:$D$1005="sacos")*(MOVIMIENTOS!$A$5:$A$1005&lt;&gt;"")*(MOVIMIENTOS!$A$5:$A$1005&lt;=$A568)*MOVIMIENTOS!$E$5:$E$1005)-SUMPRODUCT((MOVIMIENTOS!$B$5:$B$1005="VENTA")*(MOVIMIENTOS!$C$5:$C$1005="Chancho")*(MOVIMIENTOS!$D$5:$D$1005="sacos")*(MOVIMIENTOS!$A$5:$A$1005&lt;&gt;"")*(MOVIMIENTOS!$A$5:$A$1005&lt;=$A568)*MOVIMIENTOS!$E$5:$E$1005)+SUMPRODUCT((MOVIMIENTOS!$B$5:$B$1005="AJUSTE")*(MOVIMIENTOS!$C$5:$C$1005="Chancho")*(MOVIMIENTOS!$D$5:$D$1005="sacos")*(MOVIMIENTOS!$A$5:$A$1005&lt;&gt;"")*(MOVIMIENTOS!$A$5:$A$1005&lt;=$A568)*MOVIMIENTOS!$E$5:$E$1005))</f>
        <v/>
      </c>
      <c r="G568" s="62" t="str">
        <f t="shared" si="17"/>
        <v/>
      </c>
      <c r="H568" t="str">
        <f>IF($A568="","",SUMPRODUCT((((MOVIMIENTOS!$B$5:$B$1005="SALDO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568)*MOVIMIENTOS!$J$5:$J$1005))</f>
        <v/>
      </c>
      <c r="J568" t="str">
        <f>IF(AND(MOVIMIENTOS!$A573&lt;&gt;"",COUNTIF(MOVIMIENTOS!$A$5:$A572,MOVIMIENTOS!$A573)=0),COUNT(J$4:J567)+1,"")</f>
        <v/>
      </c>
      <c r="K568">
        <f>MOVIMIENTOS!$A573</f>
        <v>0</v>
      </c>
    </row>
    <row r="569" spans="1:11" ht="15" customHeight="1" x14ac:dyDescent="0.2">
      <c r="A569" t="str">
        <f t="shared" si="16"/>
        <v/>
      </c>
      <c r="B569" t="str">
        <f>IF($A569="","",SUMPRODUCT((MOVIMIENTOS!$B$5:$B$1005="SALDO INICIAL")*(MOVIMIENTOS!$C$5:$C$1005="A")*(MOVIMIENTOS!$D$5:$D$1005="jabas")*(MOVIMIENTOS!$A$5:$A$1005&lt;&gt;"")*(MOVIMIENTOS!$A$5:$A$1005&lt;=$A569)*MOVIMIENTOS!$E$5:$E$1005)+SUMPRODUCT((MOVIMIENTOS!$B$5:$B$1005="PROCESO")*(MOVIMIENTOS!$C$5:$C$1005="A")*(MOVIMIENTOS!$D$5:$D$1005="jabas")*(MOVIMIENTOS!$A$5:$A$1005&lt;&gt;"")*(MOVIMIENTOS!$A$5:$A$1005&lt;=$A569)*MOVIMIENTOS!$E$5:$E$1005)-SUMPRODUCT((MOVIMIENTOS!$B$5:$B$1005="ENVÍO A SUPESA")*(MOVIMIENTOS!$C$5:$C$1005="A")*(MOVIMIENTOS!$D$5:$D$1005="jabas")*(MOVIMIENTOS!$A$5:$A$1005&lt;&gt;"")*(MOVIMIENTOS!$A$5:$A$1005&lt;=$A569)*MOVIMIENTOS!$E$5:$E$1005)+SUMPRODUCT((MOVIMIENTOS!$B$5:$B$1005="DEVOLUCIÓN")*(MOVIMIENTOS!$C$5:$C$1005="A")*(MOVIMIENTOS!$D$5:$D$1005="jabas")*(MOVIMIENTOS!$A$5:$A$1005&lt;&gt;"")*(MOVIMIENTOS!$A$5:$A$1005&lt;=$A569)*MOVIMIENTOS!$E$5:$E$1005)-SUMPRODUCT((MOVIMIENTOS!$B$5:$B$1005="TRASIEGO")*(MOVIMIENTOS!$C$5:$C$1005="A")*(MOVIMIENTOS!$D$5:$D$1005="jabas")*(MOVIMIENTOS!$A$5:$A$1005&lt;&gt;"")*(MOVIMIENTOS!$A$5:$A$1005&lt;=$A569)*MOVIMIENTOS!$E$5:$E$1005)-SUMPRODUCT((MOVIMIENTOS!$B$5:$B$1005="REGALO")*(MOVIMIENTOS!$C$5:$C$1005="A")*(MOVIMIENTOS!$D$5:$D$1005="jabas")*(MOVIMIENTOS!$A$5:$A$1005&lt;&gt;"")*(MOVIMIENTOS!$A$5:$A$1005&lt;=$A569)*MOVIMIENTOS!$E$5:$E$1005)-SUMPRODUCT((MOVIMIENTOS!$B$5:$B$1005="VENTA")*(MOVIMIENTOS!$C$5:$C$1005="A")*(MOVIMIENTOS!$D$5:$D$1005="jabas")*(MOVIMIENTOS!$A$5:$A$1005&lt;&gt;"")*(MOVIMIENTOS!$A$5:$A$1005&lt;=$A569)*MOVIMIENTOS!$E$5:$E$1005)+SUMPRODUCT((MOVIMIENTOS!$B$5:$B$1005="AJUSTE")*(MOVIMIENTOS!$C$5:$C$1005="A")*(MOVIMIENTOS!$D$5:$D$1005="jabas")*(MOVIMIENTOS!$A$5:$A$1005&lt;&gt;"")*(MOVIMIENTOS!$A$5:$A$1005&lt;=$A569)*MOVIMIENTOS!$E$5:$E$1005))</f>
        <v/>
      </c>
      <c r="C569" t="str">
        <f>IF($A569="","",SUMPRODUCT((MOVIMIENTOS!$B$5:$B$1005="SALDO INICIAL")*(MOVIMIENTOS!$C$5:$C$1005="P")*(MOVIMIENTOS!$D$5:$D$1005="jabas")*(MOVIMIENTOS!$A$5:$A$1005&lt;&gt;"")*(MOVIMIENTOS!$A$5:$A$1005&lt;=$A569)*MOVIMIENTOS!$E$5:$E$1005)+SUMPRODUCT((MOVIMIENTOS!$B$5:$B$1005="PROCESO")*(MOVIMIENTOS!$C$5:$C$1005="P")*(MOVIMIENTOS!$D$5:$D$1005="jabas")*(MOVIMIENTOS!$A$5:$A$1005&lt;&gt;"")*(MOVIMIENTOS!$A$5:$A$1005&lt;=$A569)*MOVIMIENTOS!$E$5:$E$1005)-SUMPRODUCT((MOVIMIENTOS!$B$5:$B$1005="ENVÍO A SUPESA")*(MOVIMIENTOS!$C$5:$C$1005="P")*(MOVIMIENTOS!$D$5:$D$1005="jabas")*(MOVIMIENTOS!$A$5:$A$1005&lt;&gt;"")*(MOVIMIENTOS!$A$5:$A$1005&lt;=$A569)*MOVIMIENTOS!$E$5:$E$1005)+SUMPRODUCT((MOVIMIENTOS!$B$5:$B$1005="DEVOLUCIÓN")*(MOVIMIENTOS!$C$5:$C$1005="P")*(MOVIMIENTOS!$D$5:$D$1005="jabas")*(MOVIMIENTOS!$A$5:$A$1005&lt;&gt;"")*(MOVIMIENTOS!$A$5:$A$1005&lt;=$A569)*MOVIMIENTOS!$E$5:$E$1005)-SUMPRODUCT((MOVIMIENTOS!$B$5:$B$1005="TRASIEGO")*(MOVIMIENTOS!$C$5:$C$1005="P")*(MOVIMIENTOS!$D$5:$D$1005="jabas")*(MOVIMIENTOS!$A$5:$A$1005&lt;&gt;"")*(MOVIMIENTOS!$A$5:$A$1005&lt;=$A569)*MOVIMIENTOS!$E$5:$E$1005)-SUMPRODUCT((MOVIMIENTOS!$B$5:$B$1005="REGALO")*(MOVIMIENTOS!$C$5:$C$1005="P")*(MOVIMIENTOS!$D$5:$D$1005="jabas")*(MOVIMIENTOS!$A$5:$A$1005&lt;&gt;"")*(MOVIMIENTOS!$A$5:$A$1005&lt;=$A569)*MOVIMIENTOS!$E$5:$E$1005)-SUMPRODUCT((MOVIMIENTOS!$B$5:$B$1005="VENTA")*(MOVIMIENTOS!$C$5:$C$1005="P")*(MOVIMIENTOS!$D$5:$D$1005="jabas")*(MOVIMIENTOS!$A$5:$A$1005&lt;&gt;"")*(MOVIMIENTOS!$A$5:$A$1005&lt;=$A569)*MOVIMIENTOS!$E$5:$E$1005)+SUMPRODUCT((MOVIMIENTOS!$B$5:$B$1005="AJUSTE")*(MOVIMIENTOS!$C$5:$C$1005="P")*(MOVIMIENTOS!$D$5:$D$1005="jabas")*(MOVIMIENTOS!$A$5:$A$1005&lt;&gt;"")*(MOVIMIENTOS!$A$5:$A$1005&lt;=$A569)*MOVIMIENTOS!$E$5:$E$1005))</f>
        <v/>
      </c>
      <c r="D569" t="str">
        <f>IF($A569="","",SUMPRODUCT((MOVIMIENTOS!$B$5:$B$1005="SALDO INICIAL")*(MOVIMIENTOS!$C$5:$C$1005="C")*(MOVIMIENTOS!$D$5:$D$1005="jabas")*(MOVIMIENTOS!$A$5:$A$1005&lt;&gt;"")*(MOVIMIENTOS!$A$5:$A$1005&lt;=$A569)*MOVIMIENTOS!$E$5:$E$1005)+SUMPRODUCT((MOVIMIENTOS!$B$5:$B$1005="PROCESO")*(MOVIMIENTOS!$C$5:$C$1005="C")*(MOVIMIENTOS!$D$5:$D$1005="jabas")*(MOVIMIENTOS!$A$5:$A$1005&lt;&gt;"")*(MOVIMIENTOS!$A$5:$A$1005&lt;=$A569)*MOVIMIENTOS!$E$5:$E$1005)-SUMPRODUCT((MOVIMIENTOS!$B$5:$B$1005="ENVÍO A SUPESA")*(MOVIMIENTOS!$C$5:$C$1005="C")*(MOVIMIENTOS!$D$5:$D$1005="jabas")*(MOVIMIENTOS!$A$5:$A$1005&lt;&gt;"")*(MOVIMIENTOS!$A$5:$A$1005&lt;=$A569)*MOVIMIENTOS!$E$5:$E$1005)+SUMPRODUCT((MOVIMIENTOS!$B$5:$B$1005="DEVOLUCIÓN")*(MOVIMIENTOS!$C$5:$C$1005="C")*(MOVIMIENTOS!$D$5:$D$1005="jabas")*(MOVIMIENTOS!$A$5:$A$1005&lt;&gt;"")*(MOVIMIENTOS!$A$5:$A$1005&lt;=$A569)*MOVIMIENTOS!$E$5:$E$1005)-SUMPRODUCT((MOVIMIENTOS!$B$5:$B$1005="TRASIEGO")*(MOVIMIENTOS!$C$5:$C$1005="C")*(MOVIMIENTOS!$D$5:$D$1005="jabas")*(MOVIMIENTOS!$A$5:$A$1005&lt;&gt;"")*(MOVIMIENTOS!$A$5:$A$1005&lt;=$A569)*MOVIMIENTOS!$E$5:$E$1005)-SUMPRODUCT((MOVIMIENTOS!$B$5:$B$1005="REGALO")*(MOVIMIENTOS!$C$5:$C$1005="C")*(MOVIMIENTOS!$D$5:$D$1005="jabas")*(MOVIMIENTOS!$A$5:$A$1005&lt;&gt;"")*(MOVIMIENTOS!$A$5:$A$1005&lt;=$A569)*MOVIMIENTOS!$E$5:$E$1005)-SUMPRODUCT((MOVIMIENTOS!$B$5:$B$1005="VENTA")*(MOVIMIENTOS!$C$5:$C$1005="C")*(MOVIMIENTOS!$D$5:$D$1005="jabas")*(MOVIMIENTOS!$A$5:$A$1005&lt;&gt;"")*(MOVIMIENTOS!$A$5:$A$1005&lt;=$A569)*MOVIMIENTOS!$E$5:$E$1005)+SUMPRODUCT((MOVIMIENTOS!$B$5:$B$1005="AJUSTE")*(MOVIMIENTOS!$C$5:$C$1005="C")*(MOVIMIENTOS!$D$5:$D$1005="jabas")*(MOVIMIENTOS!$A$5:$A$1005&lt;&gt;"")*(MOVIMIENTOS!$A$5:$A$1005&lt;=$A569)*MOVIMIENTOS!$E$5:$E$1005))</f>
        <v/>
      </c>
      <c r="E569" t="str">
        <f>IF($A569="","",SUMPRODUCT((MOVIMIENTOS!$B$5:$B$1005="SALDO INICIAL")*(MOVIMIENTOS!$C$5:$C$1005="M")*(MOVIMIENTOS!$D$5:$D$1005="jabas")*(MOVIMIENTOS!$A$5:$A$1005&lt;&gt;"")*(MOVIMIENTOS!$A$5:$A$1005&lt;=$A569)*MOVIMIENTOS!$E$5:$E$1005)+SUMPRODUCT((MOVIMIENTOS!$B$5:$B$1005="PROCESO")*(MOVIMIENTOS!$C$5:$C$1005="M")*(MOVIMIENTOS!$D$5:$D$1005="jabas")*(MOVIMIENTOS!$A$5:$A$1005&lt;&gt;"")*(MOVIMIENTOS!$A$5:$A$1005&lt;=$A569)*MOVIMIENTOS!$E$5:$E$1005)-SUMPRODUCT((MOVIMIENTOS!$B$5:$B$1005="ENVÍO A SUPESA")*(MOVIMIENTOS!$C$5:$C$1005="M")*(MOVIMIENTOS!$D$5:$D$1005="jabas")*(MOVIMIENTOS!$A$5:$A$1005&lt;&gt;"")*(MOVIMIENTOS!$A$5:$A$1005&lt;=$A569)*MOVIMIENTOS!$E$5:$E$1005)+SUMPRODUCT((MOVIMIENTOS!$B$5:$B$1005="DEVOLUCIÓN")*(MOVIMIENTOS!$C$5:$C$1005="M")*(MOVIMIENTOS!$D$5:$D$1005="jabas")*(MOVIMIENTOS!$A$5:$A$1005&lt;&gt;"")*(MOVIMIENTOS!$A$5:$A$1005&lt;=$A569)*MOVIMIENTOS!$E$5:$E$1005)-SUMPRODUCT((MOVIMIENTOS!$B$5:$B$1005="TRASIEGO")*(MOVIMIENTOS!$C$5:$C$1005="M")*(MOVIMIENTOS!$D$5:$D$1005="jabas")*(MOVIMIENTOS!$A$5:$A$1005&lt;&gt;"")*(MOVIMIENTOS!$A$5:$A$1005&lt;=$A569)*MOVIMIENTOS!$E$5:$E$1005)-SUMPRODUCT((MOVIMIENTOS!$B$5:$B$1005="REGALO")*(MOVIMIENTOS!$C$5:$C$1005="M")*(MOVIMIENTOS!$D$5:$D$1005="jabas")*(MOVIMIENTOS!$A$5:$A$1005&lt;&gt;"")*(MOVIMIENTOS!$A$5:$A$1005&lt;=$A569)*MOVIMIENTOS!$E$5:$E$1005)-SUMPRODUCT((MOVIMIENTOS!$B$5:$B$1005="VENTA")*(MOVIMIENTOS!$C$5:$C$1005="M")*(MOVIMIENTOS!$D$5:$D$1005="jabas")*(MOVIMIENTOS!$A$5:$A$1005&lt;&gt;"")*(MOVIMIENTOS!$A$5:$A$1005&lt;=$A569)*MOVIMIENTOS!$E$5:$E$1005)+SUMPRODUCT((MOVIMIENTOS!$B$5:$B$1005="AJUSTE")*(MOVIMIENTOS!$C$5:$C$1005="M")*(MOVIMIENTOS!$D$5:$D$1005="jabas")*(MOVIMIENTOS!$A$5:$A$1005&lt;&gt;"")*(MOVIMIENTOS!$A$5:$A$1005&lt;=$A569)*MOVIMIENTOS!$E$5:$E$1005))</f>
        <v/>
      </c>
      <c r="F569" s="62" t="str">
        <f>IF($A569="","",SUMPRODUCT((MOVIMIENTOS!$B$5:$B$1005="SALDO INICIAL")*(MOVIMIENTOS!$C$5:$C$1005="Chancho")*(MOVIMIENTOS!$D$5:$D$1005="sacos")*(MOVIMIENTOS!$A$5:$A$1005&lt;&gt;"")*(MOVIMIENTOS!$A$5:$A$1005&lt;=$A569)*MOVIMIENTOS!$E$5:$E$1005)+SUMPRODUCT((MOVIMIENTOS!$B$5:$B$1005="PROCESO")*(MOVIMIENTOS!$C$5:$C$1005="Chancho")*(MOVIMIENTOS!$D$5:$D$1005="sacos")*(MOVIMIENTOS!$A$5:$A$1005&lt;&gt;"")*(MOVIMIENTOS!$A$5:$A$1005&lt;=$A569)*MOVIMIENTOS!$E$5:$E$1005)-SUMPRODUCT((MOVIMIENTOS!$B$5:$B$1005="VENTA CHANCHO")*(MOVIMIENTOS!$C$5:$C$1005="Chancho")*(MOVIMIENTOS!$D$5:$D$1005="sacos")*(MOVIMIENTOS!$A$5:$A$1005&lt;&gt;"")*(MOVIMIENTOS!$A$5:$A$1005&lt;=$A569)*MOVIMIENTOS!$E$5:$E$1005)-SUMPRODUCT((MOVIMIENTOS!$B$5:$B$1005="REGALO")*(MOVIMIENTOS!$C$5:$C$1005="Chancho")*(MOVIMIENTOS!$D$5:$D$1005="sacos")*(MOVIMIENTOS!$A$5:$A$1005&lt;&gt;"")*(MOVIMIENTOS!$A$5:$A$1005&lt;=$A569)*MOVIMIENTOS!$E$5:$E$1005)-SUMPRODUCT((MOVIMIENTOS!$B$5:$B$1005="VENTA")*(MOVIMIENTOS!$C$5:$C$1005="Chancho")*(MOVIMIENTOS!$D$5:$D$1005="sacos")*(MOVIMIENTOS!$A$5:$A$1005&lt;&gt;"")*(MOVIMIENTOS!$A$5:$A$1005&lt;=$A569)*MOVIMIENTOS!$E$5:$E$1005)+SUMPRODUCT((MOVIMIENTOS!$B$5:$B$1005="AJUSTE")*(MOVIMIENTOS!$C$5:$C$1005="Chancho")*(MOVIMIENTOS!$D$5:$D$1005="sacos")*(MOVIMIENTOS!$A$5:$A$1005&lt;&gt;"")*(MOVIMIENTOS!$A$5:$A$1005&lt;=$A569)*MOVIMIENTOS!$E$5:$E$1005))</f>
        <v/>
      </c>
      <c r="G569" s="62" t="str">
        <f t="shared" si="17"/>
        <v/>
      </c>
      <c r="H569" t="str">
        <f>IF($A569="","",SUMPRODUCT((((MOVIMIENTOS!$B$5:$B$1005="SALDO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569)*MOVIMIENTOS!$J$5:$J$1005))</f>
        <v/>
      </c>
      <c r="J569" t="str">
        <f>IF(AND(MOVIMIENTOS!$A574&lt;&gt;"",COUNTIF(MOVIMIENTOS!$A$5:$A573,MOVIMIENTOS!$A574)=0),COUNT(J$4:J568)+1,"")</f>
        <v/>
      </c>
      <c r="K569">
        <f>MOVIMIENTOS!$A574</f>
        <v>0</v>
      </c>
    </row>
    <row r="570" spans="1:11" ht="15" customHeight="1" x14ac:dyDescent="0.2">
      <c r="A570" t="str">
        <f t="shared" si="16"/>
        <v/>
      </c>
      <c r="B570" t="str">
        <f>IF($A570="","",SUMPRODUCT((MOVIMIENTOS!$B$5:$B$1005="SALDO INICIAL")*(MOVIMIENTOS!$C$5:$C$1005="A")*(MOVIMIENTOS!$D$5:$D$1005="jabas")*(MOVIMIENTOS!$A$5:$A$1005&lt;&gt;"")*(MOVIMIENTOS!$A$5:$A$1005&lt;=$A570)*MOVIMIENTOS!$E$5:$E$1005)+SUMPRODUCT((MOVIMIENTOS!$B$5:$B$1005="PROCESO")*(MOVIMIENTOS!$C$5:$C$1005="A")*(MOVIMIENTOS!$D$5:$D$1005="jabas")*(MOVIMIENTOS!$A$5:$A$1005&lt;&gt;"")*(MOVIMIENTOS!$A$5:$A$1005&lt;=$A570)*MOVIMIENTOS!$E$5:$E$1005)-SUMPRODUCT((MOVIMIENTOS!$B$5:$B$1005="ENVÍO A SUPESA")*(MOVIMIENTOS!$C$5:$C$1005="A")*(MOVIMIENTOS!$D$5:$D$1005="jabas")*(MOVIMIENTOS!$A$5:$A$1005&lt;&gt;"")*(MOVIMIENTOS!$A$5:$A$1005&lt;=$A570)*MOVIMIENTOS!$E$5:$E$1005)+SUMPRODUCT((MOVIMIENTOS!$B$5:$B$1005="DEVOLUCIÓN")*(MOVIMIENTOS!$C$5:$C$1005="A")*(MOVIMIENTOS!$D$5:$D$1005="jabas")*(MOVIMIENTOS!$A$5:$A$1005&lt;&gt;"")*(MOVIMIENTOS!$A$5:$A$1005&lt;=$A570)*MOVIMIENTOS!$E$5:$E$1005)-SUMPRODUCT((MOVIMIENTOS!$B$5:$B$1005="TRASIEGO")*(MOVIMIENTOS!$C$5:$C$1005="A")*(MOVIMIENTOS!$D$5:$D$1005="jabas")*(MOVIMIENTOS!$A$5:$A$1005&lt;&gt;"")*(MOVIMIENTOS!$A$5:$A$1005&lt;=$A570)*MOVIMIENTOS!$E$5:$E$1005)-SUMPRODUCT((MOVIMIENTOS!$B$5:$B$1005="REGALO")*(MOVIMIENTOS!$C$5:$C$1005="A")*(MOVIMIENTOS!$D$5:$D$1005="jabas")*(MOVIMIENTOS!$A$5:$A$1005&lt;&gt;"")*(MOVIMIENTOS!$A$5:$A$1005&lt;=$A570)*MOVIMIENTOS!$E$5:$E$1005)-SUMPRODUCT((MOVIMIENTOS!$B$5:$B$1005="VENTA")*(MOVIMIENTOS!$C$5:$C$1005="A")*(MOVIMIENTOS!$D$5:$D$1005="jabas")*(MOVIMIENTOS!$A$5:$A$1005&lt;&gt;"")*(MOVIMIENTOS!$A$5:$A$1005&lt;=$A570)*MOVIMIENTOS!$E$5:$E$1005)+SUMPRODUCT((MOVIMIENTOS!$B$5:$B$1005="AJUSTE")*(MOVIMIENTOS!$C$5:$C$1005="A")*(MOVIMIENTOS!$D$5:$D$1005="jabas")*(MOVIMIENTOS!$A$5:$A$1005&lt;&gt;"")*(MOVIMIENTOS!$A$5:$A$1005&lt;=$A570)*MOVIMIENTOS!$E$5:$E$1005))</f>
        <v/>
      </c>
      <c r="C570" t="str">
        <f>IF($A570="","",SUMPRODUCT((MOVIMIENTOS!$B$5:$B$1005="SALDO INICIAL")*(MOVIMIENTOS!$C$5:$C$1005="P")*(MOVIMIENTOS!$D$5:$D$1005="jabas")*(MOVIMIENTOS!$A$5:$A$1005&lt;&gt;"")*(MOVIMIENTOS!$A$5:$A$1005&lt;=$A570)*MOVIMIENTOS!$E$5:$E$1005)+SUMPRODUCT((MOVIMIENTOS!$B$5:$B$1005="PROCESO")*(MOVIMIENTOS!$C$5:$C$1005="P")*(MOVIMIENTOS!$D$5:$D$1005="jabas")*(MOVIMIENTOS!$A$5:$A$1005&lt;&gt;"")*(MOVIMIENTOS!$A$5:$A$1005&lt;=$A570)*MOVIMIENTOS!$E$5:$E$1005)-SUMPRODUCT((MOVIMIENTOS!$B$5:$B$1005="ENVÍO A SUPESA")*(MOVIMIENTOS!$C$5:$C$1005="P")*(MOVIMIENTOS!$D$5:$D$1005="jabas")*(MOVIMIENTOS!$A$5:$A$1005&lt;&gt;"")*(MOVIMIENTOS!$A$5:$A$1005&lt;=$A570)*MOVIMIENTOS!$E$5:$E$1005)+SUMPRODUCT((MOVIMIENTOS!$B$5:$B$1005="DEVOLUCIÓN")*(MOVIMIENTOS!$C$5:$C$1005="P")*(MOVIMIENTOS!$D$5:$D$1005="jabas")*(MOVIMIENTOS!$A$5:$A$1005&lt;&gt;"")*(MOVIMIENTOS!$A$5:$A$1005&lt;=$A570)*MOVIMIENTOS!$E$5:$E$1005)-SUMPRODUCT((MOVIMIENTOS!$B$5:$B$1005="TRASIEGO")*(MOVIMIENTOS!$C$5:$C$1005="P")*(MOVIMIENTOS!$D$5:$D$1005="jabas")*(MOVIMIENTOS!$A$5:$A$1005&lt;&gt;"")*(MOVIMIENTOS!$A$5:$A$1005&lt;=$A570)*MOVIMIENTOS!$E$5:$E$1005)-SUMPRODUCT((MOVIMIENTOS!$B$5:$B$1005="REGALO")*(MOVIMIENTOS!$C$5:$C$1005="P")*(MOVIMIENTOS!$D$5:$D$1005="jabas")*(MOVIMIENTOS!$A$5:$A$1005&lt;&gt;"")*(MOVIMIENTOS!$A$5:$A$1005&lt;=$A570)*MOVIMIENTOS!$E$5:$E$1005)-SUMPRODUCT((MOVIMIENTOS!$B$5:$B$1005="VENTA")*(MOVIMIENTOS!$C$5:$C$1005="P")*(MOVIMIENTOS!$D$5:$D$1005="jabas")*(MOVIMIENTOS!$A$5:$A$1005&lt;&gt;"")*(MOVIMIENTOS!$A$5:$A$1005&lt;=$A570)*MOVIMIENTOS!$E$5:$E$1005)+SUMPRODUCT((MOVIMIENTOS!$B$5:$B$1005="AJUSTE")*(MOVIMIENTOS!$C$5:$C$1005="P")*(MOVIMIENTOS!$D$5:$D$1005="jabas")*(MOVIMIENTOS!$A$5:$A$1005&lt;&gt;"")*(MOVIMIENTOS!$A$5:$A$1005&lt;=$A570)*MOVIMIENTOS!$E$5:$E$1005))</f>
        <v/>
      </c>
      <c r="D570" t="str">
        <f>IF($A570="","",SUMPRODUCT((MOVIMIENTOS!$B$5:$B$1005="SALDO INICIAL")*(MOVIMIENTOS!$C$5:$C$1005="C")*(MOVIMIENTOS!$D$5:$D$1005="jabas")*(MOVIMIENTOS!$A$5:$A$1005&lt;&gt;"")*(MOVIMIENTOS!$A$5:$A$1005&lt;=$A570)*MOVIMIENTOS!$E$5:$E$1005)+SUMPRODUCT((MOVIMIENTOS!$B$5:$B$1005="PROCESO")*(MOVIMIENTOS!$C$5:$C$1005="C")*(MOVIMIENTOS!$D$5:$D$1005="jabas")*(MOVIMIENTOS!$A$5:$A$1005&lt;&gt;"")*(MOVIMIENTOS!$A$5:$A$1005&lt;=$A570)*MOVIMIENTOS!$E$5:$E$1005)-SUMPRODUCT((MOVIMIENTOS!$B$5:$B$1005="ENVÍO A SUPESA")*(MOVIMIENTOS!$C$5:$C$1005="C")*(MOVIMIENTOS!$D$5:$D$1005="jabas")*(MOVIMIENTOS!$A$5:$A$1005&lt;&gt;"")*(MOVIMIENTOS!$A$5:$A$1005&lt;=$A570)*MOVIMIENTOS!$E$5:$E$1005)+SUMPRODUCT((MOVIMIENTOS!$B$5:$B$1005="DEVOLUCIÓN")*(MOVIMIENTOS!$C$5:$C$1005="C")*(MOVIMIENTOS!$D$5:$D$1005="jabas")*(MOVIMIENTOS!$A$5:$A$1005&lt;&gt;"")*(MOVIMIENTOS!$A$5:$A$1005&lt;=$A570)*MOVIMIENTOS!$E$5:$E$1005)-SUMPRODUCT((MOVIMIENTOS!$B$5:$B$1005="TRASIEGO")*(MOVIMIENTOS!$C$5:$C$1005="C")*(MOVIMIENTOS!$D$5:$D$1005="jabas")*(MOVIMIENTOS!$A$5:$A$1005&lt;&gt;"")*(MOVIMIENTOS!$A$5:$A$1005&lt;=$A570)*MOVIMIENTOS!$E$5:$E$1005)-SUMPRODUCT((MOVIMIENTOS!$B$5:$B$1005="REGALO")*(MOVIMIENTOS!$C$5:$C$1005="C")*(MOVIMIENTOS!$D$5:$D$1005="jabas")*(MOVIMIENTOS!$A$5:$A$1005&lt;&gt;"")*(MOVIMIENTOS!$A$5:$A$1005&lt;=$A570)*MOVIMIENTOS!$E$5:$E$1005)-SUMPRODUCT((MOVIMIENTOS!$B$5:$B$1005="VENTA")*(MOVIMIENTOS!$C$5:$C$1005="C")*(MOVIMIENTOS!$D$5:$D$1005="jabas")*(MOVIMIENTOS!$A$5:$A$1005&lt;&gt;"")*(MOVIMIENTOS!$A$5:$A$1005&lt;=$A570)*MOVIMIENTOS!$E$5:$E$1005)+SUMPRODUCT((MOVIMIENTOS!$B$5:$B$1005="AJUSTE")*(MOVIMIENTOS!$C$5:$C$1005="C")*(MOVIMIENTOS!$D$5:$D$1005="jabas")*(MOVIMIENTOS!$A$5:$A$1005&lt;&gt;"")*(MOVIMIENTOS!$A$5:$A$1005&lt;=$A570)*MOVIMIENTOS!$E$5:$E$1005))</f>
        <v/>
      </c>
      <c r="E570" t="str">
        <f>IF($A570="","",SUMPRODUCT((MOVIMIENTOS!$B$5:$B$1005="SALDO INICIAL")*(MOVIMIENTOS!$C$5:$C$1005="M")*(MOVIMIENTOS!$D$5:$D$1005="jabas")*(MOVIMIENTOS!$A$5:$A$1005&lt;&gt;"")*(MOVIMIENTOS!$A$5:$A$1005&lt;=$A570)*MOVIMIENTOS!$E$5:$E$1005)+SUMPRODUCT((MOVIMIENTOS!$B$5:$B$1005="PROCESO")*(MOVIMIENTOS!$C$5:$C$1005="M")*(MOVIMIENTOS!$D$5:$D$1005="jabas")*(MOVIMIENTOS!$A$5:$A$1005&lt;&gt;"")*(MOVIMIENTOS!$A$5:$A$1005&lt;=$A570)*MOVIMIENTOS!$E$5:$E$1005)-SUMPRODUCT((MOVIMIENTOS!$B$5:$B$1005="ENVÍO A SUPESA")*(MOVIMIENTOS!$C$5:$C$1005="M")*(MOVIMIENTOS!$D$5:$D$1005="jabas")*(MOVIMIENTOS!$A$5:$A$1005&lt;&gt;"")*(MOVIMIENTOS!$A$5:$A$1005&lt;=$A570)*MOVIMIENTOS!$E$5:$E$1005)+SUMPRODUCT((MOVIMIENTOS!$B$5:$B$1005="DEVOLUCIÓN")*(MOVIMIENTOS!$C$5:$C$1005="M")*(MOVIMIENTOS!$D$5:$D$1005="jabas")*(MOVIMIENTOS!$A$5:$A$1005&lt;&gt;"")*(MOVIMIENTOS!$A$5:$A$1005&lt;=$A570)*MOVIMIENTOS!$E$5:$E$1005)-SUMPRODUCT((MOVIMIENTOS!$B$5:$B$1005="TRASIEGO")*(MOVIMIENTOS!$C$5:$C$1005="M")*(MOVIMIENTOS!$D$5:$D$1005="jabas")*(MOVIMIENTOS!$A$5:$A$1005&lt;&gt;"")*(MOVIMIENTOS!$A$5:$A$1005&lt;=$A570)*MOVIMIENTOS!$E$5:$E$1005)-SUMPRODUCT((MOVIMIENTOS!$B$5:$B$1005="REGALO")*(MOVIMIENTOS!$C$5:$C$1005="M")*(MOVIMIENTOS!$D$5:$D$1005="jabas")*(MOVIMIENTOS!$A$5:$A$1005&lt;&gt;"")*(MOVIMIENTOS!$A$5:$A$1005&lt;=$A570)*MOVIMIENTOS!$E$5:$E$1005)-SUMPRODUCT((MOVIMIENTOS!$B$5:$B$1005="VENTA")*(MOVIMIENTOS!$C$5:$C$1005="M")*(MOVIMIENTOS!$D$5:$D$1005="jabas")*(MOVIMIENTOS!$A$5:$A$1005&lt;&gt;"")*(MOVIMIENTOS!$A$5:$A$1005&lt;=$A570)*MOVIMIENTOS!$E$5:$E$1005)+SUMPRODUCT((MOVIMIENTOS!$B$5:$B$1005="AJUSTE")*(MOVIMIENTOS!$C$5:$C$1005="M")*(MOVIMIENTOS!$D$5:$D$1005="jabas")*(MOVIMIENTOS!$A$5:$A$1005&lt;&gt;"")*(MOVIMIENTOS!$A$5:$A$1005&lt;=$A570)*MOVIMIENTOS!$E$5:$E$1005))</f>
        <v/>
      </c>
      <c r="F570" s="62" t="str">
        <f>IF($A570="","",SUMPRODUCT((MOVIMIENTOS!$B$5:$B$1005="SALDO INICIAL")*(MOVIMIENTOS!$C$5:$C$1005="Chancho")*(MOVIMIENTOS!$D$5:$D$1005="sacos")*(MOVIMIENTOS!$A$5:$A$1005&lt;&gt;"")*(MOVIMIENTOS!$A$5:$A$1005&lt;=$A570)*MOVIMIENTOS!$E$5:$E$1005)+SUMPRODUCT((MOVIMIENTOS!$B$5:$B$1005="PROCESO")*(MOVIMIENTOS!$C$5:$C$1005="Chancho")*(MOVIMIENTOS!$D$5:$D$1005="sacos")*(MOVIMIENTOS!$A$5:$A$1005&lt;&gt;"")*(MOVIMIENTOS!$A$5:$A$1005&lt;=$A570)*MOVIMIENTOS!$E$5:$E$1005)-SUMPRODUCT((MOVIMIENTOS!$B$5:$B$1005="VENTA CHANCHO")*(MOVIMIENTOS!$C$5:$C$1005="Chancho")*(MOVIMIENTOS!$D$5:$D$1005="sacos")*(MOVIMIENTOS!$A$5:$A$1005&lt;&gt;"")*(MOVIMIENTOS!$A$5:$A$1005&lt;=$A570)*MOVIMIENTOS!$E$5:$E$1005)-SUMPRODUCT((MOVIMIENTOS!$B$5:$B$1005="REGALO")*(MOVIMIENTOS!$C$5:$C$1005="Chancho")*(MOVIMIENTOS!$D$5:$D$1005="sacos")*(MOVIMIENTOS!$A$5:$A$1005&lt;&gt;"")*(MOVIMIENTOS!$A$5:$A$1005&lt;=$A570)*MOVIMIENTOS!$E$5:$E$1005)-SUMPRODUCT((MOVIMIENTOS!$B$5:$B$1005="VENTA")*(MOVIMIENTOS!$C$5:$C$1005="Chancho")*(MOVIMIENTOS!$D$5:$D$1005="sacos")*(MOVIMIENTOS!$A$5:$A$1005&lt;&gt;"")*(MOVIMIENTOS!$A$5:$A$1005&lt;=$A570)*MOVIMIENTOS!$E$5:$E$1005)+SUMPRODUCT((MOVIMIENTOS!$B$5:$B$1005="AJUSTE")*(MOVIMIENTOS!$C$5:$C$1005="Chancho")*(MOVIMIENTOS!$D$5:$D$1005="sacos")*(MOVIMIENTOS!$A$5:$A$1005&lt;&gt;"")*(MOVIMIENTOS!$A$5:$A$1005&lt;=$A570)*MOVIMIENTOS!$E$5:$E$1005))</f>
        <v/>
      </c>
      <c r="G570" s="62" t="str">
        <f t="shared" si="17"/>
        <v/>
      </c>
      <c r="H570" t="str">
        <f>IF($A570="","",SUMPRODUCT((((MOVIMIENTOS!$B$5:$B$1005="SALDO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570)*MOVIMIENTOS!$J$5:$J$1005))</f>
        <v/>
      </c>
      <c r="J570" t="str">
        <f>IF(AND(MOVIMIENTOS!$A575&lt;&gt;"",COUNTIF(MOVIMIENTOS!$A$5:$A574,MOVIMIENTOS!$A575)=0),COUNT(J$4:J569)+1,"")</f>
        <v/>
      </c>
      <c r="K570">
        <f>MOVIMIENTOS!$A575</f>
        <v>0</v>
      </c>
    </row>
    <row r="571" spans="1:11" ht="15" customHeight="1" x14ac:dyDescent="0.2">
      <c r="A571" t="str">
        <f t="shared" si="16"/>
        <v/>
      </c>
      <c r="B571" t="str">
        <f>IF($A571="","",SUMPRODUCT((MOVIMIENTOS!$B$5:$B$1005="SALDO INICIAL")*(MOVIMIENTOS!$C$5:$C$1005="A")*(MOVIMIENTOS!$D$5:$D$1005="jabas")*(MOVIMIENTOS!$A$5:$A$1005&lt;&gt;"")*(MOVIMIENTOS!$A$5:$A$1005&lt;=$A571)*MOVIMIENTOS!$E$5:$E$1005)+SUMPRODUCT((MOVIMIENTOS!$B$5:$B$1005="PROCESO")*(MOVIMIENTOS!$C$5:$C$1005="A")*(MOVIMIENTOS!$D$5:$D$1005="jabas")*(MOVIMIENTOS!$A$5:$A$1005&lt;&gt;"")*(MOVIMIENTOS!$A$5:$A$1005&lt;=$A571)*MOVIMIENTOS!$E$5:$E$1005)-SUMPRODUCT((MOVIMIENTOS!$B$5:$B$1005="ENVÍO A SUPESA")*(MOVIMIENTOS!$C$5:$C$1005="A")*(MOVIMIENTOS!$D$5:$D$1005="jabas")*(MOVIMIENTOS!$A$5:$A$1005&lt;&gt;"")*(MOVIMIENTOS!$A$5:$A$1005&lt;=$A571)*MOVIMIENTOS!$E$5:$E$1005)+SUMPRODUCT((MOVIMIENTOS!$B$5:$B$1005="DEVOLUCIÓN")*(MOVIMIENTOS!$C$5:$C$1005="A")*(MOVIMIENTOS!$D$5:$D$1005="jabas")*(MOVIMIENTOS!$A$5:$A$1005&lt;&gt;"")*(MOVIMIENTOS!$A$5:$A$1005&lt;=$A571)*MOVIMIENTOS!$E$5:$E$1005)-SUMPRODUCT((MOVIMIENTOS!$B$5:$B$1005="TRASIEGO")*(MOVIMIENTOS!$C$5:$C$1005="A")*(MOVIMIENTOS!$D$5:$D$1005="jabas")*(MOVIMIENTOS!$A$5:$A$1005&lt;&gt;"")*(MOVIMIENTOS!$A$5:$A$1005&lt;=$A571)*MOVIMIENTOS!$E$5:$E$1005)-SUMPRODUCT((MOVIMIENTOS!$B$5:$B$1005="REGALO")*(MOVIMIENTOS!$C$5:$C$1005="A")*(MOVIMIENTOS!$D$5:$D$1005="jabas")*(MOVIMIENTOS!$A$5:$A$1005&lt;&gt;"")*(MOVIMIENTOS!$A$5:$A$1005&lt;=$A571)*MOVIMIENTOS!$E$5:$E$1005)-SUMPRODUCT((MOVIMIENTOS!$B$5:$B$1005="VENTA")*(MOVIMIENTOS!$C$5:$C$1005="A")*(MOVIMIENTOS!$D$5:$D$1005="jabas")*(MOVIMIENTOS!$A$5:$A$1005&lt;&gt;"")*(MOVIMIENTOS!$A$5:$A$1005&lt;=$A571)*MOVIMIENTOS!$E$5:$E$1005)+SUMPRODUCT((MOVIMIENTOS!$B$5:$B$1005="AJUSTE")*(MOVIMIENTOS!$C$5:$C$1005="A")*(MOVIMIENTOS!$D$5:$D$1005="jabas")*(MOVIMIENTOS!$A$5:$A$1005&lt;&gt;"")*(MOVIMIENTOS!$A$5:$A$1005&lt;=$A571)*MOVIMIENTOS!$E$5:$E$1005))</f>
        <v/>
      </c>
      <c r="C571" t="str">
        <f>IF($A571="","",SUMPRODUCT((MOVIMIENTOS!$B$5:$B$1005="SALDO INICIAL")*(MOVIMIENTOS!$C$5:$C$1005="P")*(MOVIMIENTOS!$D$5:$D$1005="jabas")*(MOVIMIENTOS!$A$5:$A$1005&lt;&gt;"")*(MOVIMIENTOS!$A$5:$A$1005&lt;=$A571)*MOVIMIENTOS!$E$5:$E$1005)+SUMPRODUCT((MOVIMIENTOS!$B$5:$B$1005="PROCESO")*(MOVIMIENTOS!$C$5:$C$1005="P")*(MOVIMIENTOS!$D$5:$D$1005="jabas")*(MOVIMIENTOS!$A$5:$A$1005&lt;&gt;"")*(MOVIMIENTOS!$A$5:$A$1005&lt;=$A571)*MOVIMIENTOS!$E$5:$E$1005)-SUMPRODUCT((MOVIMIENTOS!$B$5:$B$1005="ENVÍO A SUPESA")*(MOVIMIENTOS!$C$5:$C$1005="P")*(MOVIMIENTOS!$D$5:$D$1005="jabas")*(MOVIMIENTOS!$A$5:$A$1005&lt;&gt;"")*(MOVIMIENTOS!$A$5:$A$1005&lt;=$A571)*MOVIMIENTOS!$E$5:$E$1005)+SUMPRODUCT((MOVIMIENTOS!$B$5:$B$1005="DEVOLUCIÓN")*(MOVIMIENTOS!$C$5:$C$1005="P")*(MOVIMIENTOS!$D$5:$D$1005="jabas")*(MOVIMIENTOS!$A$5:$A$1005&lt;&gt;"")*(MOVIMIENTOS!$A$5:$A$1005&lt;=$A571)*MOVIMIENTOS!$E$5:$E$1005)-SUMPRODUCT((MOVIMIENTOS!$B$5:$B$1005="TRASIEGO")*(MOVIMIENTOS!$C$5:$C$1005="P")*(MOVIMIENTOS!$D$5:$D$1005="jabas")*(MOVIMIENTOS!$A$5:$A$1005&lt;&gt;"")*(MOVIMIENTOS!$A$5:$A$1005&lt;=$A571)*MOVIMIENTOS!$E$5:$E$1005)-SUMPRODUCT((MOVIMIENTOS!$B$5:$B$1005="REGALO")*(MOVIMIENTOS!$C$5:$C$1005="P")*(MOVIMIENTOS!$D$5:$D$1005="jabas")*(MOVIMIENTOS!$A$5:$A$1005&lt;&gt;"")*(MOVIMIENTOS!$A$5:$A$1005&lt;=$A571)*MOVIMIENTOS!$E$5:$E$1005)-SUMPRODUCT((MOVIMIENTOS!$B$5:$B$1005="VENTA")*(MOVIMIENTOS!$C$5:$C$1005="P")*(MOVIMIENTOS!$D$5:$D$1005="jabas")*(MOVIMIENTOS!$A$5:$A$1005&lt;&gt;"")*(MOVIMIENTOS!$A$5:$A$1005&lt;=$A571)*MOVIMIENTOS!$E$5:$E$1005)+SUMPRODUCT((MOVIMIENTOS!$B$5:$B$1005="AJUSTE")*(MOVIMIENTOS!$C$5:$C$1005="P")*(MOVIMIENTOS!$D$5:$D$1005="jabas")*(MOVIMIENTOS!$A$5:$A$1005&lt;&gt;"")*(MOVIMIENTOS!$A$5:$A$1005&lt;=$A571)*MOVIMIENTOS!$E$5:$E$1005))</f>
        <v/>
      </c>
      <c r="D571" t="str">
        <f>IF($A571="","",SUMPRODUCT((MOVIMIENTOS!$B$5:$B$1005="SALDO INICIAL")*(MOVIMIENTOS!$C$5:$C$1005="C")*(MOVIMIENTOS!$D$5:$D$1005="jabas")*(MOVIMIENTOS!$A$5:$A$1005&lt;&gt;"")*(MOVIMIENTOS!$A$5:$A$1005&lt;=$A571)*MOVIMIENTOS!$E$5:$E$1005)+SUMPRODUCT((MOVIMIENTOS!$B$5:$B$1005="PROCESO")*(MOVIMIENTOS!$C$5:$C$1005="C")*(MOVIMIENTOS!$D$5:$D$1005="jabas")*(MOVIMIENTOS!$A$5:$A$1005&lt;&gt;"")*(MOVIMIENTOS!$A$5:$A$1005&lt;=$A571)*MOVIMIENTOS!$E$5:$E$1005)-SUMPRODUCT((MOVIMIENTOS!$B$5:$B$1005="ENVÍO A SUPESA")*(MOVIMIENTOS!$C$5:$C$1005="C")*(MOVIMIENTOS!$D$5:$D$1005="jabas")*(MOVIMIENTOS!$A$5:$A$1005&lt;&gt;"")*(MOVIMIENTOS!$A$5:$A$1005&lt;=$A571)*MOVIMIENTOS!$E$5:$E$1005)+SUMPRODUCT((MOVIMIENTOS!$B$5:$B$1005="DEVOLUCIÓN")*(MOVIMIENTOS!$C$5:$C$1005="C")*(MOVIMIENTOS!$D$5:$D$1005="jabas")*(MOVIMIENTOS!$A$5:$A$1005&lt;&gt;"")*(MOVIMIENTOS!$A$5:$A$1005&lt;=$A571)*MOVIMIENTOS!$E$5:$E$1005)-SUMPRODUCT((MOVIMIENTOS!$B$5:$B$1005="TRASIEGO")*(MOVIMIENTOS!$C$5:$C$1005="C")*(MOVIMIENTOS!$D$5:$D$1005="jabas")*(MOVIMIENTOS!$A$5:$A$1005&lt;&gt;"")*(MOVIMIENTOS!$A$5:$A$1005&lt;=$A571)*MOVIMIENTOS!$E$5:$E$1005)-SUMPRODUCT((MOVIMIENTOS!$B$5:$B$1005="REGALO")*(MOVIMIENTOS!$C$5:$C$1005="C")*(MOVIMIENTOS!$D$5:$D$1005="jabas")*(MOVIMIENTOS!$A$5:$A$1005&lt;&gt;"")*(MOVIMIENTOS!$A$5:$A$1005&lt;=$A571)*MOVIMIENTOS!$E$5:$E$1005)-SUMPRODUCT((MOVIMIENTOS!$B$5:$B$1005="VENTA")*(MOVIMIENTOS!$C$5:$C$1005="C")*(MOVIMIENTOS!$D$5:$D$1005="jabas")*(MOVIMIENTOS!$A$5:$A$1005&lt;&gt;"")*(MOVIMIENTOS!$A$5:$A$1005&lt;=$A571)*MOVIMIENTOS!$E$5:$E$1005)+SUMPRODUCT((MOVIMIENTOS!$B$5:$B$1005="AJUSTE")*(MOVIMIENTOS!$C$5:$C$1005="C")*(MOVIMIENTOS!$D$5:$D$1005="jabas")*(MOVIMIENTOS!$A$5:$A$1005&lt;&gt;"")*(MOVIMIENTOS!$A$5:$A$1005&lt;=$A571)*MOVIMIENTOS!$E$5:$E$1005))</f>
        <v/>
      </c>
      <c r="E571" t="str">
        <f>IF($A571="","",SUMPRODUCT((MOVIMIENTOS!$B$5:$B$1005="SALDO INICIAL")*(MOVIMIENTOS!$C$5:$C$1005="M")*(MOVIMIENTOS!$D$5:$D$1005="jabas")*(MOVIMIENTOS!$A$5:$A$1005&lt;&gt;"")*(MOVIMIENTOS!$A$5:$A$1005&lt;=$A571)*MOVIMIENTOS!$E$5:$E$1005)+SUMPRODUCT((MOVIMIENTOS!$B$5:$B$1005="PROCESO")*(MOVIMIENTOS!$C$5:$C$1005="M")*(MOVIMIENTOS!$D$5:$D$1005="jabas")*(MOVIMIENTOS!$A$5:$A$1005&lt;&gt;"")*(MOVIMIENTOS!$A$5:$A$1005&lt;=$A571)*MOVIMIENTOS!$E$5:$E$1005)-SUMPRODUCT((MOVIMIENTOS!$B$5:$B$1005="ENVÍO A SUPESA")*(MOVIMIENTOS!$C$5:$C$1005="M")*(MOVIMIENTOS!$D$5:$D$1005="jabas")*(MOVIMIENTOS!$A$5:$A$1005&lt;&gt;"")*(MOVIMIENTOS!$A$5:$A$1005&lt;=$A571)*MOVIMIENTOS!$E$5:$E$1005)+SUMPRODUCT((MOVIMIENTOS!$B$5:$B$1005="DEVOLUCIÓN")*(MOVIMIENTOS!$C$5:$C$1005="M")*(MOVIMIENTOS!$D$5:$D$1005="jabas")*(MOVIMIENTOS!$A$5:$A$1005&lt;&gt;"")*(MOVIMIENTOS!$A$5:$A$1005&lt;=$A571)*MOVIMIENTOS!$E$5:$E$1005)-SUMPRODUCT((MOVIMIENTOS!$B$5:$B$1005="TRASIEGO")*(MOVIMIENTOS!$C$5:$C$1005="M")*(MOVIMIENTOS!$D$5:$D$1005="jabas")*(MOVIMIENTOS!$A$5:$A$1005&lt;&gt;"")*(MOVIMIENTOS!$A$5:$A$1005&lt;=$A571)*MOVIMIENTOS!$E$5:$E$1005)-SUMPRODUCT((MOVIMIENTOS!$B$5:$B$1005="REGALO")*(MOVIMIENTOS!$C$5:$C$1005="M")*(MOVIMIENTOS!$D$5:$D$1005="jabas")*(MOVIMIENTOS!$A$5:$A$1005&lt;&gt;"")*(MOVIMIENTOS!$A$5:$A$1005&lt;=$A571)*MOVIMIENTOS!$E$5:$E$1005)-SUMPRODUCT((MOVIMIENTOS!$B$5:$B$1005="VENTA")*(MOVIMIENTOS!$C$5:$C$1005="M")*(MOVIMIENTOS!$D$5:$D$1005="jabas")*(MOVIMIENTOS!$A$5:$A$1005&lt;&gt;"")*(MOVIMIENTOS!$A$5:$A$1005&lt;=$A571)*MOVIMIENTOS!$E$5:$E$1005)+SUMPRODUCT((MOVIMIENTOS!$B$5:$B$1005="AJUSTE")*(MOVIMIENTOS!$C$5:$C$1005="M")*(MOVIMIENTOS!$D$5:$D$1005="jabas")*(MOVIMIENTOS!$A$5:$A$1005&lt;&gt;"")*(MOVIMIENTOS!$A$5:$A$1005&lt;=$A571)*MOVIMIENTOS!$E$5:$E$1005))</f>
        <v/>
      </c>
      <c r="F571" s="62" t="str">
        <f>IF($A571="","",SUMPRODUCT((MOVIMIENTOS!$B$5:$B$1005="SALDO INICIAL")*(MOVIMIENTOS!$C$5:$C$1005="Chancho")*(MOVIMIENTOS!$D$5:$D$1005="sacos")*(MOVIMIENTOS!$A$5:$A$1005&lt;&gt;"")*(MOVIMIENTOS!$A$5:$A$1005&lt;=$A571)*MOVIMIENTOS!$E$5:$E$1005)+SUMPRODUCT((MOVIMIENTOS!$B$5:$B$1005="PROCESO")*(MOVIMIENTOS!$C$5:$C$1005="Chancho")*(MOVIMIENTOS!$D$5:$D$1005="sacos")*(MOVIMIENTOS!$A$5:$A$1005&lt;&gt;"")*(MOVIMIENTOS!$A$5:$A$1005&lt;=$A571)*MOVIMIENTOS!$E$5:$E$1005)-SUMPRODUCT((MOVIMIENTOS!$B$5:$B$1005="VENTA CHANCHO")*(MOVIMIENTOS!$C$5:$C$1005="Chancho")*(MOVIMIENTOS!$D$5:$D$1005="sacos")*(MOVIMIENTOS!$A$5:$A$1005&lt;&gt;"")*(MOVIMIENTOS!$A$5:$A$1005&lt;=$A571)*MOVIMIENTOS!$E$5:$E$1005)-SUMPRODUCT((MOVIMIENTOS!$B$5:$B$1005="REGALO")*(MOVIMIENTOS!$C$5:$C$1005="Chancho")*(MOVIMIENTOS!$D$5:$D$1005="sacos")*(MOVIMIENTOS!$A$5:$A$1005&lt;&gt;"")*(MOVIMIENTOS!$A$5:$A$1005&lt;=$A571)*MOVIMIENTOS!$E$5:$E$1005)-SUMPRODUCT((MOVIMIENTOS!$B$5:$B$1005="VENTA")*(MOVIMIENTOS!$C$5:$C$1005="Chancho")*(MOVIMIENTOS!$D$5:$D$1005="sacos")*(MOVIMIENTOS!$A$5:$A$1005&lt;&gt;"")*(MOVIMIENTOS!$A$5:$A$1005&lt;=$A571)*MOVIMIENTOS!$E$5:$E$1005)+SUMPRODUCT((MOVIMIENTOS!$B$5:$B$1005="AJUSTE")*(MOVIMIENTOS!$C$5:$C$1005="Chancho")*(MOVIMIENTOS!$D$5:$D$1005="sacos")*(MOVIMIENTOS!$A$5:$A$1005&lt;&gt;"")*(MOVIMIENTOS!$A$5:$A$1005&lt;=$A571)*MOVIMIENTOS!$E$5:$E$1005))</f>
        <v/>
      </c>
      <c r="G571" s="62" t="str">
        <f t="shared" si="17"/>
        <v/>
      </c>
      <c r="H571" t="str">
        <f>IF($A571="","",SUMPRODUCT((((MOVIMIENTOS!$B$5:$B$1005="SALDO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571)*MOVIMIENTOS!$J$5:$J$1005))</f>
        <v/>
      </c>
      <c r="J571" t="str">
        <f>IF(AND(MOVIMIENTOS!$A576&lt;&gt;"",COUNTIF(MOVIMIENTOS!$A$5:$A575,MOVIMIENTOS!$A576)=0),COUNT(J$4:J570)+1,"")</f>
        <v/>
      </c>
      <c r="K571">
        <f>MOVIMIENTOS!$A576</f>
        <v>0</v>
      </c>
    </row>
    <row r="572" spans="1:11" ht="15" customHeight="1" x14ac:dyDescent="0.2">
      <c r="A572" t="str">
        <f t="shared" si="16"/>
        <v/>
      </c>
      <c r="B572" t="str">
        <f>IF($A572="","",SUMPRODUCT((MOVIMIENTOS!$B$5:$B$1005="SALDO INICIAL")*(MOVIMIENTOS!$C$5:$C$1005="A")*(MOVIMIENTOS!$D$5:$D$1005="jabas")*(MOVIMIENTOS!$A$5:$A$1005&lt;&gt;"")*(MOVIMIENTOS!$A$5:$A$1005&lt;=$A572)*MOVIMIENTOS!$E$5:$E$1005)+SUMPRODUCT((MOVIMIENTOS!$B$5:$B$1005="PROCESO")*(MOVIMIENTOS!$C$5:$C$1005="A")*(MOVIMIENTOS!$D$5:$D$1005="jabas")*(MOVIMIENTOS!$A$5:$A$1005&lt;&gt;"")*(MOVIMIENTOS!$A$5:$A$1005&lt;=$A572)*MOVIMIENTOS!$E$5:$E$1005)-SUMPRODUCT((MOVIMIENTOS!$B$5:$B$1005="ENVÍO A SUPESA")*(MOVIMIENTOS!$C$5:$C$1005="A")*(MOVIMIENTOS!$D$5:$D$1005="jabas")*(MOVIMIENTOS!$A$5:$A$1005&lt;&gt;"")*(MOVIMIENTOS!$A$5:$A$1005&lt;=$A572)*MOVIMIENTOS!$E$5:$E$1005)+SUMPRODUCT((MOVIMIENTOS!$B$5:$B$1005="DEVOLUCIÓN")*(MOVIMIENTOS!$C$5:$C$1005="A")*(MOVIMIENTOS!$D$5:$D$1005="jabas")*(MOVIMIENTOS!$A$5:$A$1005&lt;&gt;"")*(MOVIMIENTOS!$A$5:$A$1005&lt;=$A572)*MOVIMIENTOS!$E$5:$E$1005)-SUMPRODUCT((MOVIMIENTOS!$B$5:$B$1005="TRASIEGO")*(MOVIMIENTOS!$C$5:$C$1005="A")*(MOVIMIENTOS!$D$5:$D$1005="jabas")*(MOVIMIENTOS!$A$5:$A$1005&lt;&gt;"")*(MOVIMIENTOS!$A$5:$A$1005&lt;=$A572)*MOVIMIENTOS!$E$5:$E$1005)-SUMPRODUCT((MOVIMIENTOS!$B$5:$B$1005="REGALO")*(MOVIMIENTOS!$C$5:$C$1005="A")*(MOVIMIENTOS!$D$5:$D$1005="jabas")*(MOVIMIENTOS!$A$5:$A$1005&lt;&gt;"")*(MOVIMIENTOS!$A$5:$A$1005&lt;=$A572)*MOVIMIENTOS!$E$5:$E$1005)-SUMPRODUCT((MOVIMIENTOS!$B$5:$B$1005="VENTA")*(MOVIMIENTOS!$C$5:$C$1005="A")*(MOVIMIENTOS!$D$5:$D$1005="jabas")*(MOVIMIENTOS!$A$5:$A$1005&lt;&gt;"")*(MOVIMIENTOS!$A$5:$A$1005&lt;=$A572)*MOVIMIENTOS!$E$5:$E$1005)+SUMPRODUCT((MOVIMIENTOS!$B$5:$B$1005="AJUSTE")*(MOVIMIENTOS!$C$5:$C$1005="A")*(MOVIMIENTOS!$D$5:$D$1005="jabas")*(MOVIMIENTOS!$A$5:$A$1005&lt;&gt;"")*(MOVIMIENTOS!$A$5:$A$1005&lt;=$A572)*MOVIMIENTOS!$E$5:$E$1005))</f>
        <v/>
      </c>
      <c r="C572" t="str">
        <f>IF($A572="","",SUMPRODUCT((MOVIMIENTOS!$B$5:$B$1005="SALDO INICIAL")*(MOVIMIENTOS!$C$5:$C$1005="P")*(MOVIMIENTOS!$D$5:$D$1005="jabas")*(MOVIMIENTOS!$A$5:$A$1005&lt;&gt;"")*(MOVIMIENTOS!$A$5:$A$1005&lt;=$A572)*MOVIMIENTOS!$E$5:$E$1005)+SUMPRODUCT((MOVIMIENTOS!$B$5:$B$1005="PROCESO")*(MOVIMIENTOS!$C$5:$C$1005="P")*(MOVIMIENTOS!$D$5:$D$1005="jabas")*(MOVIMIENTOS!$A$5:$A$1005&lt;&gt;"")*(MOVIMIENTOS!$A$5:$A$1005&lt;=$A572)*MOVIMIENTOS!$E$5:$E$1005)-SUMPRODUCT((MOVIMIENTOS!$B$5:$B$1005="ENVÍO A SUPESA")*(MOVIMIENTOS!$C$5:$C$1005="P")*(MOVIMIENTOS!$D$5:$D$1005="jabas")*(MOVIMIENTOS!$A$5:$A$1005&lt;&gt;"")*(MOVIMIENTOS!$A$5:$A$1005&lt;=$A572)*MOVIMIENTOS!$E$5:$E$1005)+SUMPRODUCT((MOVIMIENTOS!$B$5:$B$1005="DEVOLUCIÓN")*(MOVIMIENTOS!$C$5:$C$1005="P")*(MOVIMIENTOS!$D$5:$D$1005="jabas")*(MOVIMIENTOS!$A$5:$A$1005&lt;&gt;"")*(MOVIMIENTOS!$A$5:$A$1005&lt;=$A572)*MOVIMIENTOS!$E$5:$E$1005)-SUMPRODUCT((MOVIMIENTOS!$B$5:$B$1005="TRASIEGO")*(MOVIMIENTOS!$C$5:$C$1005="P")*(MOVIMIENTOS!$D$5:$D$1005="jabas")*(MOVIMIENTOS!$A$5:$A$1005&lt;&gt;"")*(MOVIMIENTOS!$A$5:$A$1005&lt;=$A572)*MOVIMIENTOS!$E$5:$E$1005)-SUMPRODUCT((MOVIMIENTOS!$B$5:$B$1005="REGALO")*(MOVIMIENTOS!$C$5:$C$1005="P")*(MOVIMIENTOS!$D$5:$D$1005="jabas")*(MOVIMIENTOS!$A$5:$A$1005&lt;&gt;"")*(MOVIMIENTOS!$A$5:$A$1005&lt;=$A572)*MOVIMIENTOS!$E$5:$E$1005)-SUMPRODUCT((MOVIMIENTOS!$B$5:$B$1005="VENTA")*(MOVIMIENTOS!$C$5:$C$1005="P")*(MOVIMIENTOS!$D$5:$D$1005="jabas")*(MOVIMIENTOS!$A$5:$A$1005&lt;&gt;"")*(MOVIMIENTOS!$A$5:$A$1005&lt;=$A572)*MOVIMIENTOS!$E$5:$E$1005)+SUMPRODUCT((MOVIMIENTOS!$B$5:$B$1005="AJUSTE")*(MOVIMIENTOS!$C$5:$C$1005="P")*(MOVIMIENTOS!$D$5:$D$1005="jabas")*(MOVIMIENTOS!$A$5:$A$1005&lt;&gt;"")*(MOVIMIENTOS!$A$5:$A$1005&lt;=$A572)*MOVIMIENTOS!$E$5:$E$1005))</f>
        <v/>
      </c>
      <c r="D572" t="str">
        <f>IF($A572="","",SUMPRODUCT((MOVIMIENTOS!$B$5:$B$1005="SALDO INICIAL")*(MOVIMIENTOS!$C$5:$C$1005="C")*(MOVIMIENTOS!$D$5:$D$1005="jabas")*(MOVIMIENTOS!$A$5:$A$1005&lt;&gt;"")*(MOVIMIENTOS!$A$5:$A$1005&lt;=$A572)*MOVIMIENTOS!$E$5:$E$1005)+SUMPRODUCT((MOVIMIENTOS!$B$5:$B$1005="PROCESO")*(MOVIMIENTOS!$C$5:$C$1005="C")*(MOVIMIENTOS!$D$5:$D$1005="jabas")*(MOVIMIENTOS!$A$5:$A$1005&lt;&gt;"")*(MOVIMIENTOS!$A$5:$A$1005&lt;=$A572)*MOVIMIENTOS!$E$5:$E$1005)-SUMPRODUCT((MOVIMIENTOS!$B$5:$B$1005="ENVÍO A SUPESA")*(MOVIMIENTOS!$C$5:$C$1005="C")*(MOVIMIENTOS!$D$5:$D$1005="jabas")*(MOVIMIENTOS!$A$5:$A$1005&lt;&gt;"")*(MOVIMIENTOS!$A$5:$A$1005&lt;=$A572)*MOVIMIENTOS!$E$5:$E$1005)+SUMPRODUCT((MOVIMIENTOS!$B$5:$B$1005="DEVOLUCIÓN")*(MOVIMIENTOS!$C$5:$C$1005="C")*(MOVIMIENTOS!$D$5:$D$1005="jabas")*(MOVIMIENTOS!$A$5:$A$1005&lt;&gt;"")*(MOVIMIENTOS!$A$5:$A$1005&lt;=$A572)*MOVIMIENTOS!$E$5:$E$1005)-SUMPRODUCT((MOVIMIENTOS!$B$5:$B$1005="TRASIEGO")*(MOVIMIENTOS!$C$5:$C$1005="C")*(MOVIMIENTOS!$D$5:$D$1005="jabas")*(MOVIMIENTOS!$A$5:$A$1005&lt;&gt;"")*(MOVIMIENTOS!$A$5:$A$1005&lt;=$A572)*MOVIMIENTOS!$E$5:$E$1005)-SUMPRODUCT((MOVIMIENTOS!$B$5:$B$1005="REGALO")*(MOVIMIENTOS!$C$5:$C$1005="C")*(MOVIMIENTOS!$D$5:$D$1005="jabas")*(MOVIMIENTOS!$A$5:$A$1005&lt;&gt;"")*(MOVIMIENTOS!$A$5:$A$1005&lt;=$A572)*MOVIMIENTOS!$E$5:$E$1005)-SUMPRODUCT((MOVIMIENTOS!$B$5:$B$1005="VENTA")*(MOVIMIENTOS!$C$5:$C$1005="C")*(MOVIMIENTOS!$D$5:$D$1005="jabas")*(MOVIMIENTOS!$A$5:$A$1005&lt;&gt;"")*(MOVIMIENTOS!$A$5:$A$1005&lt;=$A572)*MOVIMIENTOS!$E$5:$E$1005)+SUMPRODUCT((MOVIMIENTOS!$B$5:$B$1005="AJUSTE")*(MOVIMIENTOS!$C$5:$C$1005="C")*(MOVIMIENTOS!$D$5:$D$1005="jabas")*(MOVIMIENTOS!$A$5:$A$1005&lt;&gt;"")*(MOVIMIENTOS!$A$5:$A$1005&lt;=$A572)*MOVIMIENTOS!$E$5:$E$1005))</f>
        <v/>
      </c>
      <c r="E572" t="str">
        <f>IF($A572="","",SUMPRODUCT((MOVIMIENTOS!$B$5:$B$1005="SALDO INICIAL")*(MOVIMIENTOS!$C$5:$C$1005="M")*(MOVIMIENTOS!$D$5:$D$1005="jabas")*(MOVIMIENTOS!$A$5:$A$1005&lt;&gt;"")*(MOVIMIENTOS!$A$5:$A$1005&lt;=$A572)*MOVIMIENTOS!$E$5:$E$1005)+SUMPRODUCT((MOVIMIENTOS!$B$5:$B$1005="PROCESO")*(MOVIMIENTOS!$C$5:$C$1005="M")*(MOVIMIENTOS!$D$5:$D$1005="jabas")*(MOVIMIENTOS!$A$5:$A$1005&lt;&gt;"")*(MOVIMIENTOS!$A$5:$A$1005&lt;=$A572)*MOVIMIENTOS!$E$5:$E$1005)-SUMPRODUCT((MOVIMIENTOS!$B$5:$B$1005="ENVÍO A SUPESA")*(MOVIMIENTOS!$C$5:$C$1005="M")*(MOVIMIENTOS!$D$5:$D$1005="jabas")*(MOVIMIENTOS!$A$5:$A$1005&lt;&gt;"")*(MOVIMIENTOS!$A$5:$A$1005&lt;=$A572)*MOVIMIENTOS!$E$5:$E$1005)+SUMPRODUCT((MOVIMIENTOS!$B$5:$B$1005="DEVOLUCIÓN")*(MOVIMIENTOS!$C$5:$C$1005="M")*(MOVIMIENTOS!$D$5:$D$1005="jabas")*(MOVIMIENTOS!$A$5:$A$1005&lt;&gt;"")*(MOVIMIENTOS!$A$5:$A$1005&lt;=$A572)*MOVIMIENTOS!$E$5:$E$1005)-SUMPRODUCT((MOVIMIENTOS!$B$5:$B$1005="TRASIEGO")*(MOVIMIENTOS!$C$5:$C$1005="M")*(MOVIMIENTOS!$D$5:$D$1005="jabas")*(MOVIMIENTOS!$A$5:$A$1005&lt;&gt;"")*(MOVIMIENTOS!$A$5:$A$1005&lt;=$A572)*MOVIMIENTOS!$E$5:$E$1005)-SUMPRODUCT((MOVIMIENTOS!$B$5:$B$1005="REGALO")*(MOVIMIENTOS!$C$5:$C$1005="M")*(MOVIMIENTOS!$D$5:$D$1005="jabas")*(MOVIMIENTOS!$A$5:$A$1005&lt;&gt;"")*(MOVIMIENTOS!$A$5:$A$1005&lt;=$A572)*MOVIMIENTOS!$E$5:$E$1005)-SUMPRODUCT((MOVIMIENTOS!$B$5:$B$1005="VENTA")*(MOVIMIENTOS!$C$5:$C$1005="M")*(MOVIMIENTOS!$D$5:$D$1005="jabas")*(MOVIMIENTOS!$A$5:$A$1005&lt;&gt;"")*(MOVIMIENTOS!$A$5:$A$1005&lt;=$A572)*MOVIMIENTOS!$E$5:$E$1005)+SUMPRODUCT((MOVIMIENTOS!$B$5:$B$1005="AJUSTE")*(MOVIMIENTOS!$C$5:$C$1005="M")*(MOVIMIENTOS!$D$5:$D$1005="jabas")*(MOVIMIENTOS!$A$5:$A$1005&lt;&gt;"")*(MOVIMIENTOS!$A$5:$A$1005&lt;=$A572)*MOVIMIENTOS!$E$5:$E$1005))</f>
        <v/>
      </c>
      <c r="F572" s="62" t="str">
        <f>IF($A572="","",SUMPRODUCT((MOVIMIENTOS!$B$5:$B$1005="SALDO INICIAL")*(MOVIMIENTOS!$C$5:$C$1005="Chancho")*(MOVIMIENTOS!$D$5:$D$1005="sacos")*(MOVIMIENTOS!$A$5:$A$1005&lt;&gt;"")*(MOVIMIENTOS!$A$5:$A$1005&lt;=$A572)*MOVIMIENTOS!$E$5:$E$1005)+SUMPRODUCT((MOVIMIENTOS!$B$5:$B$1005="PROCESO")*(MOVIMIENTOS!$C$5:$C$1005="Chancho")*(MOVIMIENTOS!$D$5:$D$1005="sacos")*(MOVIMIENTOS!$A$5:$A$1005&lt;&gt;"")*(MOVIMIENTOS!$A$5:$A$1005&lt;=$A572)*MOVIMIENTOS!$E$5:$E$1005)-SUMPRODUCT((MOVIMIENTOS!$B$5:$B$1005="VENTA CHANCHO")*(MOVIMIENTOS!$C$5:$C$1005="Chancho")*(MOVIMIENTOS!$D$5:$D$1005="sacos")*(MOVIMIENTOS!$A$5:$A$1005&lt;&gt;"")*(MOVIMIENTOS!$A$5:$A$1005&lt;=$A572)*MOVIMIENTOS!$E$5:$E$1005)-SUMPRODUCT((MOVIMIENTOS!$B$5:$B$1005="REGALO")*(MOVIMIENTOS!$C$5:$C$1005="Chancho")*(MOVIMIENTOS!$D$5:$D$1005="sacos")*(MOVIMIENTOS!$A$5:$A$1005&lt;&gt;"")*(MOVIMIENTOS!$A$5:$A$1005&lt;=$A572)*MOVIMIENTOS!$E$5:$E$1005)-SUMPRODUCT((MOVIMIENTOS!$B$5:$B$1005="VENTA")*(MOVIMIENTOS!$C$5:$C$1005="Chancho")*(MOVIMIENTOS!$D$5:$D$1005="sacos")*(MOVIMIENTOS!$A$5:$A$1005&lt;&gt;"")*(MOVIMIENTOS!$A$5:$A$1005&lt;=$A572)*MOVIMIENTOS!$E$5:$E$1005)+SUMPRODUCT((MOVIMIENTOS!$B$5:$B$1005="AJUSTE")*(MOVIMIENTOS!$C$5:$C$1005="Chancho")*(MOVIMIENTOS!$D$5:$D$1005="sacos")*(MOVIMIENTOS!$A$5:$A$1005&lt;&gt;"")*(MOVIMIENTOS!$A$5:$A$1005&lt;=$A572)*MOVIMIENTOS!$E$5:$E$1005))</f>
        <v/>
      </c>
      <c r="G572" s="62" t="str">
        <f t="shared" si="17"/>
        <v/>
      </c>
      <c r="H572" t="str">
        <f>IF($A572="","",SUMPRODUCT((((MOVIMIENTOS!$B$5:$B$1005="SALDO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572)*MOVIMIENTOS!$J$5:$J$1005))</f>
        <v/>
      </c>
      <c r="J572" t="str">
        <f>IF(AND(MOVIMIENTOS!$A577&lt;&gt;"",COUNTIF(MOVIMIENTOS!$A$5:$A576,MOVIMIENTOS!$A577)=0),COUNT(J$4:J571)+1,"")</f>
        <v/>
      </c>
      <c r="K572">
        <f>MOVIMIENTOS!$A577</f>
        <v>0</v>
      </c>
    </row>
    <row r="573" spans="1:11" ht="15" customHeight="1" x14ac:dyDescent="0.2">
      <c r="A573" t="str">
        <f t="shared" si="16"/>
        <v/>
      </c>
      <c r="B573" t="str">
        <f>IF($A573="","",SUMPRODUCT((MOVIMIENTOS!$B$5:$B$1005="SALDO INICIAL")*(MOVIMIENTOS!$C$5:$C$1005="A")*(MOVIMIENTOS!$D$5:$D$1005="jabas")*(MOVIMIENTOS!$A$5:$A$1005&lt;&gt;"")*(MOVIMIENTOS!$A$5:$A$1005&lt;=$A573)*MOVIMIENTOS!$E$5:$E$1005)+SUMPRODUCT((MOVIMIENTOS!$B$5:$B$1005="PROCESO")*(MOVIMIENTOS!$C$5:$C$1005="A")*(MOVIMIENTOS!$D$5:$D$1005="jabas")*(MOVIMIENTOS!$A$5:$A$1005&lt;&gt;"")*(MOVIMIENTOS!$A$5:$A$1005&lt;=$A573)*MOVIMIENTOS!$E$5:$E$1005)-SUMPRODUCT((MOVIMIENTOS!$B$5:$B$1005="ENVÍO A SUPESA")*(MOVIMIENTOS!$C$5:$C$1005="A")*(MOVIMIENTOS!$D$5:$D$1005="jabas")*(MOVIMIENTOS!$A$5:$A$1005&lt;&gt;"")*(MOVIMIENTOS!$A$5:$A$1005&lt;=$A573)*MOVIMIENTOS!$E$5:$E$1005)+SUMPRODUCT((MOVIMIENTOS!$B$5:$B$1005="DEVOLUCIÓN")*(MOVIMIENTOS!$C$5:$C$1005="A")*(MOVIMIENTOS!$D$5:$D$1005="jabas")*(MOVIMIENTOS!$A$5:$A$1005&lt;&gt;"")*(MOVIMIENTOS!$A$5:$A$1005&lt;=$A573)*MOVIMIENTOS!$E$5:$E$1005)-SUMPRODUCT((MOVIMIENTOS!$B$5:$B$1005="TRASIEGO")*(MOVIMIENTOS!$C$5:$C$1005="A")*(MOVIMIENTOS!$D$5:$D$1005="jabas")*(MOVIMIENTOS!$A$5:$A$1005&lt;&gt;"")*(MOVIMIENTOS!$A$5:$A$1005&lt;=$A573)*MOVIMIENTOS!$E$5:$E$1005)-SUMPRODUCT((MOVIMIENTOS!$B$5:$B$1005="REGALO")*(MOVIMIENTOS!$C$5:$C$1005="A")*(MOVIMIENTOS!$D$5:$D$1005="jabas")*(MOVIMIENTOS!$A$5:$A$1005&lt;&gt;"")*(MOVIMIENTOS!$A$5:$A$1005&lt;=$A573)*MOVIMIENTOS!$E$5:$E$1005)-SUMPRODUCT((MOVIMIENTOS!$B$5:$B$1005="VENTA")*(MOVIMIENTOS!$C$5:$C$1005="A")*(MOVIMIENTOS!$D$5:$D$1005="jabas")*(MOVIMIENTOS!$A$5:$A$1005&lt;&gt;"")*(MOVIMIENTOS!$A$5:$A$1005&lt;=$A573)*MOVIMIENTOS!$E$5:$E$1005)+SUMPRODUCT((MOVIMIENTOS!$B$5:$B$1005="AJUSTE")*(MOVIMIENTOS!$C$5:$C$1005="A")*(MOVIMIENTOS!$D$5:$D$1005="jabas")*(MOVIMIENTOS!$A$5:$A$1005&lt;&gt;"")*(MOVIMIENTOS!$A$5:$A$1005&lt;=$A573)*MOVIMIENTOS!$E$5:$E$1005))</f>
        <v/>
      </c>
      <c r="C573" t="str">
        <f>IF($A573="","",SUMPRODUCT((MOVIMIENTOS!$B$5:$B$1005="SALDO INICIAL")*(MOVIMIENTOS!$C$5:$C$1005="P")*(MOVIMIENTOS!$D$5:$D$1005="jabas")*(MOVIMIENTOS!$A$5:$A$1005&lt;&gt;"")*(MOVIMIENTOS!$A$5:$A$1005&lt;=$A573)*MOVIMIENTOS!$E$5:$E$1005)+SUMPRODUCT((MOVIMIENTOS!$B$5:$B$1005="PROCESO")*(MOVIMIENTOS!$C$5:$C$1005="P")*(MOVIMIENTOS!$D$5:$D$1005="jabas")*(MOVIMIENTOS!$A$5:$A$1005&lt;&gt;"")*(MOVIMIENTOS!$A$5:$A$1005&lt;=$A573)*MOVIMIENTOS!$E$5:$E$1005)-SUMPRODUCT((MOVIMIENTOS!$B$5:$B$1005="ENVÍO A SUPESA")*(MOVIMIENTOS!$C$5:$C$1005="P")*(MOVIMIENTOS!$D$5:$D$1005="jabas")*(MOVIMIENTOS!$A$5:$A$1005&lt;&gt;"")*(MOVIMIENTOS!$A$5:$A$1005&lt;=$A573)*MOVIMIENTOS!$E$5:$E$1005)+SUMPRODUCT((MOVIMIENTOS!$B$5:$B$1005="DEVOLUCIÓN")*(MOVIMIENTOS!$C$5:$C$1005="P")*(MOVIMIENTOS!$D$5:$D$1005="jabas")*(MOVIMIENTOS!$A$5:$A$1005&lt;&gt;"")*(MOVIMIENTOS!$A$5:$A$1005&lt;=$A573)*MOVIMIENTOS!$E$5:$E$1005)-SUMPRODUCT((MOVIMIENTOS!$B$5:$B$1005="TRASIEGO")*(MOVIMIENTOS!$C$5:$C$1005="P")*(MOVIMIENTOS!$D$5:$D$1005="jabas")*(MOVIMIENTOS!$A$5:$A$1005&lt;&gt;"")*(MOVIMIENTOS!$A$5:$A$1005&lt;=$A573)*MOVIMIENTOS!$E$5:$E$1005)-SUMPRODUCT((MOVIMIENTOS!$B$5:$B$1005="REGALO")*(MOVIMIENTOS!$C$5:$C$1005="P")*(MOVIMIENTOS!$D$5:$D$1005="jabas")*(MOVIMIENTOS!$A$5:$A$1005&lt;&gt;"")*(MOVIMIENTOS!$A$5:$A$1005&lt;=$A573)*MOVIMIENTOS!$E$5:$E$1005)-SUMPRODUCT((MOVIMIENTOS!$B$5:$B$1005="VENTA")*(MOVIMIENTOS!$C$5:$C$1005="P")*(MOVIMIENTOS!$D$5:$D$1005="jabas")*(MOVIMIENTOS!$A$5:$A$1005&lt;&gt;"")*(MOVIMIENTOS!$A$5:$A$1005&lt;=$A573)*MOVIMIENTOS!$E$5:$E$1005)+SUMPRODUCT((MOVIMIENTOS!$B$5:$B$1005="AJUSTE")*(MOVIMIENTOS!$C$5:$C$1005="P")*(MOVIMIENTOS!$D$5:$D$1005="jabas")*(MOVIMIENTOS!$A$5:$A$1005&lt;&gt;"")*(MOVIMIENTOS!$A$5:$A$1005&lt;=$A573)*MOVIMIENTOS!$E$5:$E$1005))</f>
        <v/>
      </c>
      <c r="D573" t="str">
        <f>IF($A573="","",SUMPRODUCT((MOVIMIENTOS!$B$5:$B$1005="SALDO INICIAL")*(MOVIMIENTOS!$C$5:$C$1005="C")*(MOVIMIENTOS!$D$5:$D$1005="jabas")*(MOVIMIENTOS!$A$5:$A$1005&lt;&gt;"")*(MOVIMIENTOS!$A$5:$A$1005&lt;=$A573)*MOVIMIENTOS!$E$5:$E$1005)+SUMPRODUCT((MOVIMIENTOS!$B$5:$B$1005="PROCESO")*(MOVIMIENTOS!$C$5:$C$1005="C")*(MOVIMIENTOS!$D$5:$D$1005="jabas")*(MOVIMIENTOS!$A$5:$A$1005&lt;&gt;"")*(MOVIMIENTOS!$A$5:$A$1005&lt;=$A573)*MOVIMIENTOS!$E$5:$E$1005)-SUMPRODUCT((MOVIMIENTOS!$B$5:$B$1005="ENVÍO A SUPESA")*(MOVIMIENTOS!$C$5:$C$1005="C")*(MOVIMIENTOS!$D$5:$D$1005="jabas")*(MOVIMIENTOS!$A$5:$A$1005&lt;&gt;"")*(MOVIMIENTOS!$A$5:$A$1005&lt;=$A573)*MOVIMIENTOS!$E$5:$E$1005)+SUMPRODUCT((MOVIMIENTOS!$B$5:$B$1005="DEVOLUCIÓN")*(MOVIMIENTOS!$C$5:$C$1005="C")*(MOVIMIENTOS!$D$5:$D$1005="jabas")*(MOVIMIENTOS!$A$5:$A$1005&lt;&gt;"")*(MOVIMIENTOS!$A$5:$A$1005&lt;=$A573)*MOVIMIENTOS!$E$5:$E$1005)-SUMPRODUCT((MOVIMIENTOS!$B$5:$B$1005="TRASIEGO")*(MOVIMIENTOS!$C$5:$C$1005="C")*(MOVIMIENTOS!$D$5:$D$1005="jabas")*(MOVIMIENTOS!$A$5:$A$1005&lt;&gt;"")*(MOVIMIENTOS!$A$5:$A$1005&lt;=$A573)*MOVIMIENTOS!$E$5:$E$1005)-SUMPRODUCT((MOVIMIENTOS!$B$5:$B$1005="REGALO")*(MOVIMIENTOS!$C$5:$C$1005="C")*(MOVIMIENTOS!$D$5:$D$1005="jabas")*(MOVIMIENTOS!$A$5:$A$1005&lt;&gt;"")*(MOVIMIENTOS!$A$5:$A$1005&lt;=$A573)*MOVIMIENTOS!$E$5:$E$1005)-SUMPRODUCT((MOVIMIENTOS!$B$5:$B$1005="VENTA")*(MOVIMIENTOS!$C$5:$C$1005="C")*(MOVIMIENTOS!$D$5:$D$1005="jabas")*(MOVIMIENTOS!$A$5:$A$1005&lt;&gt;"")*(MOVIMIENTOS!$A$5:$A$1005&lt;=$A573)*MOVIMIENTOS!$E$5:$E$1005)+SUMPRODUCT((MOVIMIENTOS!$B$5:$B$1005="AJUSTE")*(MOVIMIENTOS!$C$5:$C$1005="C")*(MOVIMIENTOS!$D$5:$D$1005="jabas")*(MOVIMIENTOS!$A$5:$A$1005&lt;&gt;"")*(MOVIMIENTOS!$A$5:$A$1005&lt;=$A573)*MOVIMIENTOS!$E$5:$E$1005))</f>
        <v/>
      </c>
      <c r="E573" t="str">
        <f>IF($A573="","",SUMPRODUCT((MOVIMIENTOS!$B$5:$B$1005="SALDO INICIAL")*(MOVIMIENTOS!$C$5:$C$1005="M")*(MOVIMIENTOS!$D$5:$D$1005="jabas")*(MOVIMIENTOS!$A$5:$A$1005&lt;&gt;"")*(MOVIMIENTOS!$A$5:$A$1005&lt;=$A573)*MOVIMIENTOS!$E$5:$E$1005)+SUMPRODUCT((MOVIMIENTOS!$B$5:$B$1005="PROCESO")*(MOVIMIENTOS!$C$5:$C$1005="M")*(MOVIMIENTOS!$D$5:$D$1005="jabas")*(MOVIMIENTOS!$A$5:$A$1005&lt;&gt;"")*(MOVIMIENTOS!$A$5:$A$1005&lt;=$A573)*MOVIMIENTOS!$E$5:$E$1005)-SUMPRODUCT((MOVIMIENTOS!$B$5:$B$1005="ENVÍO A SUPESA")*(MOVIMIENTOS!$C$5:$C$1005="M")*(MOVIMIENTOS!$D$5:$D$1005="jabas")*(MOVIMIENTOS!$A$5:$A$1005&lt;&gt;"")*(MOVIMIENTOS!$A$5:$A$1005&lt;=$A573)*MOVIMIENTOS!$E$5:$E$1005)+SUMPRODUCT((MOVIMIENTOS!$B$5:$B$1005="DEVOLUCIÓN")*(MOVIMIENTOS!$C$5:$C$1005="M")*(MOVIMIENTOS!$D$5:$D$1005="jabas")*(MOVIMIENTOS!$A$5:$A$1005&lt;&gt;"")*(MOVIMIENTOS!$A$5:$A$1005&lt;=$A573)*MOVIMIENTOS!$E$5:$E$1005)-SUMPRODUCT((MOVIMIENTOS!$B$5:$B$1005="TRASIEGO")*(MOVIMIENTOS!$C$5:$C$1005="M")*(MOVIMIENTOS!$D$5:$D$1005="jabas")*(MOVIMIENTOS!$A$5:$A$1005&lt;&gt;"")*(MOVIMIENTOS!$A$5:$A$1005&lt;=$A573)*MOVIMIENTOS!$E$5:$E$1005)-SUMPRODUCT((MOVIMIENTOS!$B$5:$B$1005="REGALO")*(MOVIMIENTOS!$C$5:$C$1005="M")*(MOVIMIENTOS!$D$5:$D$1005="jabas")*(MOVIMIENTOS!$A$5:$A$1005&lt;&gt;"")*(MOVIMIENTOS!$A$5:$A$1005&lt;=$A573)*MOVIMIENTOS!$E$5:$E$1005)-SUMPRODUCT((MOVIMIENTOS!$B$5:$B$1005="VENTA")*(MOVIMIENTOS!$C$5:$C$1005="M")*(MOVIMIENTOS!$D$5:$D$1005="jabas")*(MOVIMIENTOS!$A$5:$A$1005&lt;&gt;"")*(MOVIMIENTOS!$A$5:$A$1005&lt;=$A573)*MOVIMIENTOS!$E$5:$E$1005)+SUMPRODUCT((MOVIMIENTOS!$B$5:$B$1005="AJUSTE")*(MOVIMIENTOS!$C$5:$C$1005="M")*(MOVIMIENTOS!$D$5:$D$1005="jabas")*(MOVIMIENTOS!$A$5:$A$1005&lt;&gt;"")*(MOVIMIENTOS!$A$5:$A$1005&lt;=$A573)*MOVIMIENTOS!$E$5:$E$1005))</f>
        <v/>
      </c>
      <c r="F573" s="62" t="str">
        <f>IF($A573="","",SUMPRODUCT((MOVIMIENTOS!$B$5:$B$1005="SALDO INICIAL")*(MOVIMIENTOS!$C$5:$C$1005="Chancho")*(MOVIMIENTOS!$D$5:$D$1005="sacos")*(MOVIMIENTOS!$A$5:$A$1005&lt;&gt;"")*(MOVIMIENTOS!$A$5:$A$1005&lt;=$A573)*MOVIMIENTOS!$E$5:$E$1005)+SUMPRODUCT((MOVIMIENTOS!$B$5:$B$1005="PROCESO")*(MOVIMIENTOS!$C$5:$C$1005="Chancho")*(MOVIMIENTOS!$D$5:$D$1005="sacos")*(MOVIMIENTOS!$A$5:$A$1005&lt;&gt;"")*(MOVIMIENTOS!$A$5:$A$1005&lt;=$A573)*MOVIMIENTOS!$E$5:$E$1005)-SUMPRODUCT((MOVIMIENTOS!$B$5:$B$1005="VENTA CHANCHO")*(MOVIMIENTOS!$C$5:$C$1005="Chancho")*(MOVIMIENTOS!$D$5:$D$1005="sacos")*(MOVIMIENTOS!$A$5:$A$1005&lt;&gt;"")*(MOVIMIENTOS!$A$5:$A$1005&lt;=$A573)*MOVIMIENTOS!$E$5:$E$1005)-SUMPRODUCT((MOVIMIENTOS!$B$5:$B$1005="REGALO")*(MOVIMIENTOS!$C$5:$C$1005="Chancho")*(MOVIMIENTOS!$D$5:$D$1005="sacos")*(MOVIMIENTOS!$A$5:$A$1005&lt;&gt;"")*(MOVIMIENTOS!$A$5:$A$1005&lt;=$A573)*MOVIMIENTOS!$E$5:$E$1005)-SUMPRODUCT((MOVIMIENTOS!$B$5:$B$1005="VENTA")*(MOVIMIENTOS!$C$5:$C$1005="Chancho")*(MOVIMIENTOS!$D$5:$D$1005="sacos")*(MOVIMIENTOS!$A$5:$A$1005&lt;&gt;"")*(MOVIMIENTOS!$A$5:$A$1005&lt;=$A573)*MOVIMIENTOS!$E$5:$E$1005)+SUMPRODUCT((MOVIMIENTOS!$B$5:$B$1005="AJUSTE")*(MOVIMIENTOS!$C$5:$C$1005="Chancho")*(MOVIMIENTOS!$D$5:$D$1005="sacos")*(MOVIMIENTOS!$A$5:$A$1005&lt;&gt;"")*(MOVIMIENTOS!$A$5:$A$1005&lt;=$A573)*MOVIMIENTOS!$E$5:$E$1005))</f>
        <v/>
      </c>
      <c r="G573" s="62" t="str">
        <f t="shared" si="17"/>
        <v/>
      </c>
      <c r="H573" t="str">
        <f>IF($A573="","",SUMPRODUCT((((MOVIMIENTOS!$B$5:$B$1005="SALDO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573)*MOVIMIENTOS!$J$5:$J$1005))</f>
        <v/>
      </c>
      <c r="J573" t="str">
        <f>IF(AND(MOVIMIENTOS!$A578&lt;&gt;"",COUNTIF(MOVIMIENTOS!$A$5:$A577,MOVIMIENTOS!$A578)=0),COUNT(J$4:J572)+1,"")</f>
        <v/>
      </c>
      <c r="K573">
        <f>MOVIMIENTOS!$A578</f>
        <v>0</v>
      </c>
    </row>
    <row r="574" spans="1:11" ht="15" customHeight="1" x14ac:dyDescent="0.2">
      <c r="A574" t="str">
        <f t="shared" si="16"/>
        <v/>
      </c>
      <c r="B574" t="str">
        <f>IF($A574="","",SUMPRODUCT((MOVIMIENTOS!$B$5:$B$1005="SALDO INICIAL")*(MOVIMIENTOS!$C$5:$C$1005="A")*(MOVIMIENTOS!$D$5:$D$1005="jabas")*(MOVIMIENTOS!$A$5:$A$1005&lt;&gt;"")*(MOVIMIENTOS!$A$5:$A$1005&lt;=$A574)*MOVIMIENTOS!$E$5:$E$1005)+SUMPRODUCT((MOVIMIENTOS!$B$5:$B$1005="PROCESO")*(MOVIMIENTOS!$C$5:$C$1005="A")*(MOVIMIENTOS!$D$5:$D$1005="jabas")*(MOVIMIENTOS!$A$5:$A$1005&lt;&gt;"")*(MOVIMIENTOS!$A$5:$A$1005&lt;=$A574)*MOVIMIENTOS!$E$5:$E$1005)-SUMPRODUCT((MOVIMIENTOS!$B$5:$B$1005="ENVÍO A SUPESA")*(MOVIMIENTOS!$C$5:$C$1005="A")*(MOVIMIENTOS!$D$5:$D$1005="jabas")*(MOVIMIENTOS!$A$5:$A$1005&lt;&gt;"")*(MOVIMIENTOS!$A$5:$A$1005&lt;=$A574)*MOVIMIENTOS!$E$5:$E$1005)+SUMPRODUCT((MOVIMIENTOS!$B$5:$B$1005="DEVOLUCIÓN")*(MOVIMIENTOS!$C$5:$C$1005="A")*(MOVIMIENTOS!$D$5:$D$1005="jabas")*(MOVIMIENTOS!$A$5:$A$1005&lt;&gt;"")*(MOVIMIENTOS!$A$5:$A$1005&lt;=$A574)*MOVIMIENTOS!$E$5:$E$1005)-SUMPRODUCT((MOVIMIENTOS!$B$5:$B$1005="TRASIEGO")*(MOVIMIENTOS!$C$5:$C$1005="A")*(MOVIMIENTOS!$D$5:$D$1005="jabas")*(MOVIMIENTOS!$A$5:$A$1005&lt;&gt;"")*(MOVIMIENTOS!$A$5:$A$1005&lt;=$A574)*MOVIMIENTOS!$E$5:$E$1005)-SUMPRODUCT((MOVIMIENTOS!$B$5:$B$1005="REGALO")*(MOVIMIENTOS!$C$5:$C$1005="A")*(MOVIMIENTOS!$D$5:$D$1005="jabas")*(MOVIMIENTOS!$A$5:$A$1005&lt;&gt;"")*(MOVIMIENTOS!$A$5:$A$1005&lt;=$A574)*MOVIMIENTOS!$E$5:$E$1005)-SUMPRODUCT((MOVIMIENTOS!$B$5:$B$1005="VENTA")*(MOVIMIENTOS!$C$5:$C$1005="A")*(MOVIMIENTOS!$D$5:$D$1005="jabas")*(MOVIMIENTOS!$A$5:$A$1005&lt;&gt;"")*(MOVIMIENTOS!$A$5:$A$1005&lt;=$A574)*MOVIMIENTOS!$E$5:$E$1005)+SUMPRODUCT((MOVIMIENTOS!$B$5:$B$1005="AJUSTE")*(MOVIMIENTOS!$C$5:$C$1005="A")*(MOVIMIENTOS!$D$5:$D$1005="jabas")*(MOVIMIENTOS!$A$5:$A$1005&lt;&gt;"")*(MOVIMIENTOS!$A$5:$A$1005&lt;=$A574)*MOVIMIENTOS!$E$5:$E$1005))</f>
        <v/>
      </c>
      <c r="C574" t="str">
        <f>IF($A574="","",SUMPRODUCT((MOVIMIENTOS!$B$5:$B$1005="SALDO INICIAL")*(MOVIMIENTOS!$C$5:$C$1005="P")*(MOVIMIENTOS!$D$5:$D$1005="jabas")*(MOVIMIENTOS!$A$5:$A$1005&lt;&gt;"")*(MOVIMIENTOS!$A$5:$A$1005&lt;=$A574)*MOVIMIENTOS!$E$5:$E$1005)+SUMPRODUCT((MOVIMIENTOS!$B$5:$B$1005="PROCESO")*(MOVIMIENTOS!$C$5:$C$1005="P")*(MOVIMIENTOS!$D$5:$D$1005="jabas")*(MOVIMIENTOS!$A$5:$A$1005&lt;&gt;"")*(MOVIMIENTOS!$A$5:$A$1005&lt;=$A574)*MOVIMIENTOS!$E$5:$E$1005)-SUMPRODUCT((MOVIMIENTOS!$B$5:$B$1005="ENVÍO A SUPESA")*(MOVIMIENTOS!$C$5:$C$1005="P")*(MOVIMIENTOS!$D$5:$D$1005="jabas")*(MOVIMIENTOS!$A$5:$A$1005&lt;&gt;"")*(MOVIMIENTOS!$A$5:$A$1005&lt;=$A574)*MOVIMIENTOS!$E$5:$E$1005)+SUMPRODUCT((MOVIMIENTOS!$B$5:$B$1005="DEVOLUCIÓN")*(MOVIMIENTOS!$C$5:$C$1005="P")*(MOVIMIENTOS!$D$5:$D$1005="jabas")*(MOVIMIENTOS!$A$5:$A$1005&lt;&gt;"")*(MOVIMIENTOS!$A$5:$A$1005&lt;=$A574)*MOVIMIENTOS!$E$5:$E$1005)-SUMPRODUCT((MOVIMIENTOS!$B$5:$B$1005="TRASIEGO")*(MOVIMIENTOS!$C$5:$C$1005="P")*(MOVIMIENTOS!$D$5:$D$1005="jabas")*(MOVIMIENTOS!$A$5:$A$1005&lt;&gt;"")*(MOVIMIENTOS!$A$5:$A$1005&lt;=$A574)*MOVIMIENTOS!$E$5:$E$1005)-SUMPRODUCT((MOVIMIENTOS!$B$5:$B$1005="REGALO")*(MOVIMIENTOS!$C$5:$C$1005="P")*(MOVIMIENTOS!$D$5:$D$1005="jabas")*(MOVIMIENTOS!$A$5:$A$1005&lt;&gt;"")*(MOVIMIENTOS!$A$5:$A$1005&lt;=$A574)*MOVIMIENTOS!$E$5:$E$1005)-SUMPRODUCT((MOVIMIENTOS!$B$5:$B$1005="VENTA")*(MOVIMIENTOS!$C$5:$C$1005="P")*(MOVIMIENTOS!$D$5:$D$1005="jabas")*(MOVIMIENTOS!$A$5:$A$1005&lt;&gt;"")*(MOVIMIENTOS!$A$5:$A$1005&lt;=$A574)*MOVIMIENTOS!$E$5:$E$1005)+SUMPRODUCT((MOVIMIENTOS!$B$5:$B$1005="AJUSTE")*(MOVIMIENTOS!$C$5:$C$1005="P")*(MOVIMIENTOS!$D$5:$D$1005="jabas")*(MOVIMIENTOS!$A$5:$A$1005&lt;&gt;"")*(MOVIMIENTOS!$A$5:$A$1005&lt;=$A574)*MOVIMIENTOS!$E$5:$E$1005))</f>
        <v/>
      </c>
      <c r="D574" t="str">
        <f>IF($A574="","",SUMPRODUCT((MOVIMIENTOS!$B$5:$B$1005="SALDO INICIAL")*(MOVIMIENTOS!$C$5:$C$1005="C")*(MOVIMIENTOS!$D$5:$D$1005="jabas")*(MOVIMIENTOS!$A$5:$A$1005&lt;&gt;"")*(MOVIMIENTOS!$A$5:$A$1005&lt;=$A574)*MOVIMIENTOS!$E$5:$E$1005)+SUMPRODUCT((MOVIMIENTOS!$B$5:$B$1005="PROCESO")*(MOVIMIENTOS!$C$5:$C$1005="C")*(MOVIMIENTOS!$D$5:$D$1005="jabas")*(MOVIMIENTOS!$A$5:$A$1005&lt;&gt;"")*(MOVIMIENTOS!$A$5:$A$1005&lt;=$A574)*MOVIMIENTOS!$E$5:$E$1005)-SUMPRODUCT((MOVIMIENTOS!$B$5:$B$1005="ENVÍO A SUPESA")*(MOVIMIENTOS!$C$5:$C$1005="C")*(MOVIMIENTOS!$D$5:$D$1005="jabas")*(MOVIMIENTOS!$A$5:$A$1005&lt;&gt;"")*(MOVIMIENTOS!$A$5:$A$1005&lt;=$A574)*MOVIMIENTOS!$E$5:$E$1005)+SUMPRODUCT((MOVIMIENTOS!$B$5:$B$1005="DEVOLUCIÓN")*(MOVIMIENTOS!$C$5:$C$1005="C")*(MOVIMIENTOS!$D$5:$D$1005="jabas")*(MOVIMIENTOS!$A$5:$A$1005&lt;&gt;"")*(MOVIMIENTOS!$A$5:$A$1005&lt;=$A574)*MOVIMIENTOS!$E$5:$E$1005)-SUMPRODUCT((MOVIMIENTOS!$B$5:$B$1005="TRASIEGO")*(MOVIMIENTOS!$C$5:$C$1005="C")*(MOVIMIENTOS!$D$5:$D$1005="jabas")*(MOVIMIENTOS!$A$5:$A$1005&lt;&gt;"")*(MOVIMIENTOS!$A$5:$A$1005&lt;=$A574)*MOVIMIENTOS!$E$5:$E$1005)-SUMPRODUCT((MOVIMIENTOS!$B$5:$B$1005="REGALO")*(MOVIMIENTOS!$C$5:$C$1005="C")*(MOVIMIENTOS!$D$5:$D$1005="jabas")*(MOVIMIENTOS!$A$5:$A$1005&lt;&gt;"")*(MOVIMIENTOS!$A$5:$A$1005&lt;=$A574)*MOVIMIENTOS!$E$5:$E$1005)-SUMPRODUCT((MOVIMIENTOS!$B$5:$B$1005="VENTA")*(MOVIMIENTOS!$C$5:$C$1005="C")*(MOVIMIENTOS!$D$5:$D$1005="jabas")*(MOVIMIENTOS!$A$5:$A$1005&lt;&gt;"")*(MOVIMIENTOS!$A$5:$A$1005&lt;=$A574)*MOVIMIENTOS!$E$5:$E$1005)+SUMPRODUCT((MOVIMIENTOS!$B$5:$B$1005="AJUSTE")*(MOVIMIENTOS!$C$5:$C$1005="C")*(MOVIMIENTOS!$D$5:$D$1005="jabas")*(MOVIMIENTOS!$A$5:$A$1005&lt;&gt;"")*(MOVIMIENTOS!$A$5:$A$1005&lt;=$A574)*MOVIMIENTOS!$E$5:$E$1005))</f>
        <v/>
      </c>
      <c r="E574" t="str">
        <f>IF($A574="","",SUMPRODUCT((MOVIMIENTOS!$B$5:$B$1005="SALDO INICIAL")*(MOVIMIENTOS!$C$5:$C$1005="M")*(MOVIMIENTOS!$D$5:$D$1005="jabas")*(MOVIMIENTOS!$A$5:$A$1005&lt;&gt;"")*(MOVIMIENTOS!$A$5:$A$1005&lt;=$A574)*MOVIMIENTOS!$E$5:$E$1005)+SUMPRODUCT((MOVIMIENTOS!$B$5:$B$1005="PROCESO")*(MOVIMIENTOS!$C$5:$C$1005="M")*(MOVIMIENTOS!$D$5:$D$1005="jabas")*(MOVIMIENTOS!$A$5:$A$1005&lt;&gt;"")*(MOVIMIENTOS!$A$5:$A$1005&lt;=$A574)*MOVIMIENTOS!$E$5:$E$1005)-SUMPRODUCT((MOVIMIENTOS!$B$5:$B$1005="ENVÍO A SUPESA")*(MOVIMIENTOS!$C$5:$C$1005="M")*(MOVIMIENTOS!$D$5:$D$1005="jabas")*(MOVIMIENTOS!$A$5:$A$1005&lt;&gt;"")*(MOVIMIENTOS!$A$5:$A$1005&lt;=$A574)*MOVIMIENTOS!$E$5:$E$1005)+SUMPRODUCT((MOVIMIENTOS!$B$5:$B$1005="DEVOLUCIÓN")*(MOVIMIENTOS!$C$5:$C$1005="M")*(MOVIMIENTOS!$D$5:$D$1005="jabas")*(MOVIMIENTOS!$A$5:$A$1005&lt;&gt;"")*(MOVIMIENTOS!$A$5:$A$1005&lt;=$A574)*MOVIMIENTOS!$E$5:$E$1005)-SUMPRODUCT((MOVIMIENTOS!$B$5:$B$1005="TRASIEGO")*(MOVIMIENTOS!$C$5:$C$1005="M")*(MOVIMIENTOS!$D$5:$D$1005="jabas")*(MOVIMIENTOS!$A$5:$A$1005&lt;&gt;"")*(MOVIMIENTOS!$A$5:$A$1005&lt;=$A574)*MOVIMIENTOS!$E$5:$E$1005)-SUMPRODUCT((MOVIMIENTOS!$B$5:$B$1005="REGALO")*(MOVIMIENTOS!$C$5:$C$1005="M")*(MOVIMIENTOS!$D$5:$D$1005="jabas")*(MOVIMIENTOS!$A$5:$A$1005&lt;&gt;"")*(MOVIMIENTOS!$A$5:$A$1005&lt;=$A574)*MOVIMIENTOS!$E$5:$E$1005)-SUMPRODUCT((MOVIMIENTOS!$B$5:$B$1005="VENTA")*(MOVIMIENTOS!$C$5:$C$1005="M")*(MOVIMIENTOS!$D$5:$D$1005="jabas")*(MOVIMIENTOS!$A$5:$A$1005&lt;&gt;"")*(MOVIMIENTOS!$A$5:$A$1005&lt;=$A574)*MOVIMIENTOS!$E$5:$E$1005)+SUMPRODUCT((MOVIMIENTOS!$B$5:$B$1005="AJUSTE")*(MOVIMIENTOS!$C$5:$C$1005="M")*(MOVIMIENTOS!$D$5:$D$1005="jabas")*(MOVIMIENTOS!$A$5:$A$1005&lt;&gt;"")*(MOVIMIENTOS!$A$5:$A$1005&lt;=$A574)*MOVIMIENTOS!$E$5:$E$1005))</f>
        <v/>
      </c>
      <c r="F574" s="62" t="str">
        <f>IF($A574="","",SUMPRODUCT((MOVIMIENTOS!$B$5:$B$1005="SALDO INICIAL")*(MOVIMIENTOS!$C$5:$C$1005="Chancho")*(MOVIMIENTOS!$D$5:$D$1005="sacos")*(MOVIMIENTOS!$A$5:$A$1005&lt;&gt;"")*(MOVIMIENTOS!$A$5:$A$1005&lt;=$A574)*MOVIMIENTOS!$E$5:$E$1005)+SUMPRODUCT((MOVIMIENTOS!$B$5:$B$1005="PROCESO")*(MOVIMIENTOS!$C$5:$C$1005="Chancho")*(MOVIMIENTOS!$D$5:$D$1005="sacos")*(MOVIMIENTOS!$A$5:$A$1005&lt;&gt;"")*(MOVIMIENTOS!$A$5:$A$1005&lt;=$A574)*MOVIMIENTOS!$E$5:$E$1005)-SUMPRODUCT((MOVIMIENTOS!$B$5:$B$1005="VENTA CHANCHO")*(MOVIMIENTOS!$C$5:$C$1005="Chancho")*(MOVIMIENTOS!$D$5:$D$1005="sacos")*(MOVIMIENTOS!$A$5:$A$1005&lt;&gt;"")*(MOVIMIENTOS!$A$5:$A$1005&lt;=$A574)*MOVIMIENTOS!$E$5:$E$1005)-SUMPRODUCT((MOVIMIENTOS!$B$5:$B$1005="REGALO")*(MOVIMIENTOS!$C$5:$C$1005="Chancho")*(MOVIMIENTOS!$D$5:$D$1005="sacos")*(MOVIMIENTOS!$A$5:$A$1005&lt;&gt;"")*(MOVIMIENTOS!$A$5:$A$1005&lt;=$A574)*MOVIMIENTOS!$E$5:$E$1005)-SUMPRODUCT((MOVIMIENTOS!$B$5:$B$1005="VENTA")*(MOVIMIENTOS!$C$5:$C$1005="Chancho")*(MOVIMIENTOS!$D$5:$D$1005="sacos")*(MOVIMIENTOS!$A$5:$A$1005&lt;&gt;"")*(MOVIMIENTOS!$A$5:$A$1005&lt;=$A574)*MOVIMIENTOS!$E$5:$E$1005)+SUMPRODUCT((MOVIMIENTOS!$B$5:$B$1005="AJUSTE")*(MOVIMIENTOS!$C$5:$C$1005="Chancho")*(MOVIMIENTOS!$D$5:$D$1005="sacos")*(MOVIMIENTOS!$A$5:$A$1005&lt;&gt;"")*(MOVIMIENTOS!$A$5:$A$1005&lt;=$A574)*MOVIMIENTOS!$E$5:$E$1005))</f>
        <v/>
      </c>
      <c r="G574" s="62" t="str">
        <f t="shared" si="17"/>
        <v/>
      </c>
      <c r="H574" t="str">
        <f>IF($A574="","",SUMPRODUCT((((MOVIMIENTOS!$B$5:$B$1005="SALDO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574)*MOVIMIENTOS!$J$5:$J$1005))</f>
        <v/>
      </c>
      <c r="J574" t="str">
        <f>IF(AND(MOVIMIENTOS!$A579&lt;&gt;"",COUNTIF(MOVIMIENTOS!$A$5:$A578,MOVIMIENTOS!$A579)=0),COUNT(J$4:J573)+1,"")</f>
        <v/>
      </c>
      <c r="K574">
        <f>MOVIMIENTOS!$A579</f>
        <v>0</v>
      </c>
    </row>
    <row r="575" spans="1:11" ht="15" customHeight="1" x14ac:dyDescent="0.2">
      <c r="A575" t="str">
        <f t="shared" si="16"/>
        <v/>
      </c>
      <c r="B575" t="str">
        <f>IF($A575="","",SUMPRODUCT((MOVIMIENTOS!$B$5:$B$1005="SALDO INICIAL")*(MOVIMIENTOS!$C$5:$C$1005="A")*(MOVIMIENTOS!$D$5:$D$1005="jabas")*(MOVIMIENTOS!$A$5:$A$1005&lt;&gt;"")*(MOVIMIENTOS!$A$5:$A$1005&lt;=$A575)*MOVIMIENTOS!$E$5:$E$1005)+SUMPRODUCT((MOVIMIENTOS!$B$5:$B$1005="PROCESO")*(MOVIMIENTOS!$C$5:$C$1005="A")*(MOVIMIENTOS!$D$5:$D$1005="jabas")*(MOVIMIENTOS!$A$5:$A$1005&lt;&gt;"")*(MOVIMIENTOS!$A$5:$A$1005&lt;=$A575)*MOVIMIENTOS!$E$5:$E$1005)-SUMPRODUCT((MOVIMIENTOS!$B$5:$B$1005="ENVÍO A SUPESA")*(MOVIMIENTOS!$C$5:$C$1005="A")*(MOVIMIENTOS!$D$5:$D$1005="jabas")*(MOVIMIENTOS!$A$5:$A$1005&lt;&gt;"")*(MOVIMIENTOS!$A$5:$A$1005&lt;=$A575)*MOVIMIENTOS!$E$5:$E$1005)+SUMPRODUCT((MOVIMIENTOS!$B$5:$B$1005="DEVOLUCIÓN")*(MOVIMIENTOS!$C$5:$C$1005="A")*(MOVIMIENTOS!$D$5:$D$1005="jabas")*(MOVIMIENTOS!$A$5:$A$1005&lt;&gt;"")*(MOVIMIENTOS!$A$5:$A$1005&lt;=$A575)*MOVIMIENTOS!$E$5:$E$1005)-SUMPRODUCT((MOVIMIENTOS!$B$5:$B$1005="TRASIEGO")*(MOVIMIENTOS!$C$5:$C$1005="A")*(MOVIMIENTOS!$D$5:$D$1005="jabas")*(MOVIMIENTOS!$A$5:$A$1005&lt;&gt;"")*(MOVIMIENTOS!$A$5:$A$1005&lt;=$A575)*MOVIMIENTOS!$E$5:$E$1005)-SUMPRODUCT((MOVIMIENTOS!$B$5:$B$1005="REGALO")*(MOVIMIENTOS!$C$5:$C$1005="A")*(MOVIMIENTOS!$D$5:$D$1005="jabas")*(MOVIMIENTOS!$A$5:$A$1005&lt;&gt;"")*(MOVIMIENTOS!$A$5:$A$1005&lt;=$A575)*MOVIMIENTOS!$E$5:$E$1005)-SUMPRODUCT((MOVIMIENTOS!$B$5:$B$1005="VENTA")*(MOVIMIENTOS!$C$5:$C$1005="A")*(MOVIMIENTOS!$D$5:$D$1005="jabas")*(MOVIMIENTOS!$A$5:$A$1005&lt;&gt;"")*(MOVIMIENTOS!$A$5:$A$1005&lt;=$A575)*MOVIMIENTOS!$E$5:$E$1005)+SUMPRODUCT((MOVIMIENTOS!$B$5:$B$1005="AJUSTE")*(MOVIMIENTOS!$C$5:$C$1005="A")*(MOVIMIENTOS!$D$5:$D$1005="jabas")*(MOVIMIENTOS!$A$5:$A$1005&lt;&gt;"")*(MOVIMIENTOS!$A$5:$A$1005&lt;=$A575)*MOVIMIENTOS!$E$5:$E$1005))</f>
        <v/>
      </c>
      <c r="C575" t="str">
        <f>IF($A575="","",SUMPRODUCT((MOVIMIENTOS!$B$5:$B$1005="SALDO INICIAL")*(MOVIMIENTOS!$C$5:$C$1005="P")*(MOVIMIENTOS!$D$5:$D$1005="jabas")*(MOVIMIENTOS!$A$5:$A$1005&lt;&gt;"")*(MOVIMIENTOS!$A$5:$A$1005&lt;=$A575)*MOVIMIENTOS!$E$5:$E$1005)+SUMPRODUCT((MOVIMIENTOS!$B$5:$B$1005="PROCESO")*(MOVIMIENTOS!$C$5:$C$1005="P")*(MOVIMIENTOS!$D$5:$D$1005="jabas")*(MOVIMIENTOS!$A$5:$A$1005&lt;&gt;"")*(MOVIMIENTOS!$A$5:$A$1005&lt;=$A575)*MOVIMIENTOS!$E$5:$E$1005)-SUMPRODUCT((MOVIMIENTOS!$B$5:$B$1005="ENVÍO A SUPESA")*(MOVIMIENTOS!$C$5:$C$1005="P")*(MOVIMIENTOS!$D$5:$D$1005="jabas")*(MOVIMIENTOS!$A$5:$A$1005&lt;&gt;"")*(MOVIMIENTOS!$A$5:$A$1005&lt;=$A575)*MOVIMIENTOS!$E$5:$E$1005)+SUMPRODUCT((MOVIMIENTOS!$B$5:$B$1005="DEVOLUCIÓN")*(MOVIMIENTOS!$C$5:$C$1005="P")*(MOVIMIENTOS!$D$5:$D$1005="jabas")*(MOVIMIENTOS!$A$5:$A$1005&lt;&gt;"")*(MOVIMIENTOS!$A$5:$A$1005&lt;=$A575)*MOVIMIENTOS!$E$5:$E$1005)-SUMPRODUCT((MOVIMIENTOS!$B$5:$B$1005="TRASIEGO")*(MOVIMIENTOS!$C$5:$C$1005="P")*(MOVIMIENTOS!$D$5:$D$1005="jabas")*(MOVIMIENTOS!$A$5:$A$1005&lt;&gt;"")*(MOVIMIENTOS!$A$5:$A$1005&lt;=$A575)*MOVIMIENTOS!$E$5:$E$1005)-SUMPRODUCT((MOVIMIENTOS!$B$5:$B$1005="REGALO")*(MOVIMIENTOS!$C$5:$C$1005="P")*(MOVIMIENTOS!$D$5:$D$1005="jabas")*(MOVIMIENTOS!$A$5:$A$1005&lt;&gt;"")*(MOVIMIENTOS!$A$5:$A$1005&lt;=$A575)*MOVIMIENTOS!$E$5:$E$1005)-SUMPRODUCT((MOVIMIENTOS!$B$5:$B$1005="VENTA")*(MOVIMIENTOS!$C$5:$C$1005="P")*(MOVIMIENTOS!$D$5:$D$1005="jabas")*(MOVIMIENTOS!$A$5:$A$1005&lt;&gt;"")*(MOVIMIENTOS!$A$5:$A$1005&lt;=$A575)*MOVIMIENTOS!$E$5:$E$1005)+SUMPRODUCT((MOVIMIENTOS!$B$5:$B$1005="AJUSTE")*(MOVIMIENTOS!$C$5:$C$1005="P")*(MOVIMIENTOS!$D$5:$D$1005="jabas")*(MOVIMIENTOS!$A$5:$A$1005&lt;&gt;"")*(MOVIMIENTOS!$A$5:$A$1005&lt;=$A575)*MOVIMIENTOS!$E$5:$E$1005))</f>
        <v/>
      </c>
      <c r="D575" t="str">
        <f>IF($A575="","",SUMPRODUCT((MOVIMIENTOS!$B$5:$B$1005="SALDO INICIAL")*(MOVIMIENTOS!$C$5:$C$1005="C")*(MOVIMIENTOS!$D$5:$D$1005="jabas")*(MOVIMIENTOS!$A$5:$A$1005&lt;&gt;"")*(MOVIMIENTOS!$A$5:$A$1005&lt;=$A575)*MOVIMIENTOS!$E$5:$E$1005)+SUMPRODUCT((MOVIMIENTOS!$B$5:$B$1005="PROCESO")*(MOVIMIENTOS!$C$5:$C$1005="C")*(MOVIMIENTOS!$D$5:$D$1005="jabas")*(MOVIMIENTOS!$A$5:$A$1005&lt;&gt;"")*(MOVIMIENTOS!$A$5:$A$1005&lt;=$A575)*MOVIMIENTOS!$E$5:$E$1005)-SUMPRODUCT((MOVIMIENTOS!$B$5:$B$1005="ENVÍO A SUPESA")*(MOVIMIENTOS!$C$5:$C$1005="C")*(MOVIMIENTOS!$D$5:$D$1005="jabas")*(MOVIMIENTOS!$A$5:$A$1005&lt;&gt;"")*(MOVIMIENTOS!$A$5:$A$1005&lt;=$A575)*MOVIMIENTOS!$E$5:$E$1005)+SUMPRODUCT((MOVIMIENTOS!$B$5:$B$1005="DEVOLUCIÓN")*(MOVIMIENTOS!$C$5:$C$1005="C")*(MOVIMIENTOS!$D$5:$D$1005="jabas")*(MOVIMIENTOS!$A$5:$A$1005&lt;&gt;"")*(MOVIMIENTOS!$A$5:$A$1005&lt;=$A575)*MOVIMIENTOS!$E$5:$E$1005)-SUMPRODUCT((MOVIMIENTOS!$B$5:$B$1005="TRASIEGO")*(MOVIMIENTOS!$C$5:$C$1005="C")*(MOVIMIENTOS!$D$5:$D$1005="jabas")*(MOVIMIENTOS!$A$5:$A$1005&lt;&gt;"")*(MOVIMIENTOS!$A$5:$A$1005&lt;=$A575)*MOVIMIENTOS!$E$5:$E$1005)-SUMPRODUCT((MOVIMIENTOS!$B$5:$B$1005="REGALO")*(MOVIMIENTOS!$C$5:$C$1005="C")*(MOVIMIENTOS!$D$5:$D$1005="jabas")*(MOVIMIENTOS!$A$5:$A$1005&lt;&gt;"")*(MOVIMIENTOS!$A$5:$A$1005&lt;=$A575)*MOVIMIENTOS!$E$5:$E$1005)-SUMPRODUCT((MOVIMIENTOS!$B$5:$B$1005="VENTA")*(MOVIMIENTOS!$C$5:$C$1005="C")*(MOVIMIENTOS!$D$5:$D$1005="jabas")*(MOVIMIENTOS!$A$5:$A$1005&lt;&gt;"")*(MOVIMIENTOS!$A$5:$A$1005&lt;=$A575)*MOVIMIENTOS!$E$5:$E$1005)+SUMPRODUCT((MOVIMIENTOS!$B$5:$B$1005="AJUSTE")*(MOVIMIENTOS!$C$5:$C$1005="C")*(MOVIMIENTOS!$D$5:$D$1005="jabas")*(MOVIMIENTOS!$A$5:$A$1005&lt;&gt;"")*(MOVIMIENTOS!$A$5:$A$1005&lt;=$A575)*MOVIMIENTOS!$E$5:$E$1005))</f>
        <v/>
      </c>
      <c r="E575" t="str">
        <f>IF($A575="","",SUMPRODUCT((MOVIMIENTOS!$B$5:$B$1005="SALDO INICIAL")*(MOVIMIENTOS!$C$5:$C$1005="M")*(MOVIMIENTOS!$D$5:$D$1005="jabas")*(MOVIMIENTOS!$A$5:$A$1005&lt;&gt;"")*(MOVIMIENTOS!$A$5:$A$1005&lt;=$A575)*MOVIMIENTOS!$E$5:$E$1005)+SUMPRODUCT((MOVIMIENTOS!$B$5:$B$1005="PROCESO")*(MOVIMIENTOS!$C$5:$C$1005="M")*(MOVIMIENTOS!$D$5:$D$1005="jabas")*(MOVIMIENTOS!$A$5:$A$1005&lt;&gt;"")*(MOVIMIENTOS!$A$5:$A$1005&lt;=$A575)*MOVIMIENTOS!$E$5:$E$1005)-SUMPRODUCT((MOVIMIENTOS!$B$5:$B$1005="ENVÍO A SUPESA")*(MOVIMIENTOS!$C$5:$C$1005="M")*(MOVIMIENTOS!$D$5:$D$1005="jabas")*(MOVIMIENTOS!$A$5:$A$1005&lt;&gt;"")*(MOVIMIENTOS!$A$5:$A$1005&lt;=$A575)*MOVIMIENTOS!$E$5:$E$1005)+SUMPRODUCT((MOVIMIENTOS!$B$5:$B$1005="DEVOLUCIÓN")*(MOVIMIENTOS!$C$5:$C$1005="M")*(MOVIMIENTOS!$D$5:$D$1005="jabas")*(MOVIMIENTOS!$A$5:$A$1005&lt;&gt;"")*(MOVIMIENTOS!$A$5:$A$1005&lt;=$A575)*MOVIMIENTOS!$E$5:$E$1005)-SUMPRODUCT((MOVIMIENTOS!$B$5:$B$1005="TRASIEGO")*(MOVIMIENTOS!$C$5:$C$1005="M")*(MOVIMIENTOS!$D$5:$D$1005="jabas")*(MOVIMIENTOS!$A$5:$A$1005&lt;&gt;"")*(MOVIMIENTOS!$A$5:$A$1005&lt;=$A575)*MOVIMIENTOS!$E$5:$E$1005)-SUMPRODUCT((MOVIMIENTOS!$B$5:$B$1005="REGALO")*(MOVIMIENTOS!$C$5:$C$1005="M")*(MOVIMIENTOS!$D$5:$D$1005="jabas")*(MOVIMIENTOS!$A$5:$A$1005&lt;&gt;"")*(MOVIMIENTOS!$A$5:$A$1005&lt;=$A575)*MOVIMIENTOS!$E$5:$E$1005)-SUMPRODUCT((MOVIMIENTOS!$B$5:$B$1005="VENTA")*(MOVIMIENTOS!$C$5:$C$1005="M")*(MOVIMIENTOS!$D$5:$D$1005="jabas")*(MOVIMIENTOS!$A$5:$A$1005&lt;&gt;"")*(MOVIMIENTOS!$A$5:$A$1005&lt;=$A575)*MOVIMIENTOS!$E$5:$E$1005)+SUMPRODUCT((MOVIMIENTOS!$B$5:$B$1005="AJUSTE")*(MOVIMIENTOS!$C$5:$C$1005="M")*(MOVIMIENTOS!$D$5:$D$1005="jabas")*(MOVIMIENTOS!$A$5:$A$1005&lt;&gt;"")*(MOVIMIENTOS!$A$5:$A$1005&lt;=$A575)*MOVIMIENTOS!$E$5:$E$1005))</f>
        <v/>
      </c>
      <c r="F575" s="62" t="str">
        <f>IF($A575="","",SUMPRODUCT((MOVIMIENTOS!$B$5:$B$1005="SALDO INICIAL")*(MOVIMIENTOS!$C$5:$C$1005="Chancho")*(MOVIMIENTOS!$D$5:$D$1005="sacos")*(MOVIMIENTOS!$A$5:$A$1005&lt;&gt;"")*(MOVIMIENTOS!$A$5:$A$1005&lt;=$A575)*MOVIMIENTOS!$E$5:$E$1005)+SUMPRODUCT((MOVIMIENTOS!$B$5:$B$1005="PROCESO")*(MOVIMIENTOS!$C$5:$C$1005="Chancho")*(MOVIMIENTOS!$D$5:$D$1005="sacos")*(MOVIMIENTOS!$A$5:$A$1005&lt;&gt;"")*(MOVIMIENTOS!$A$5:$A$1005&lt;=$A575)*MOVIMIENTOS!$E$5:$E$1005)-SUMPRODUCT((MOVIMIENTOS!$B$5:$B$1005="VENTA CHANCHO")*(MOVIMIENTOS!$C$5:$C$1005="Chancho")*(MOVIMIENTOS!$D$5:$D$1005="sacos")*(MOVIMIENTOS!$A$5:$A$1005&lt;&gt;"")*(MOVIMIENTOS!$A$5:$A$1005&lt;=$A575)*MOVIMIENTOS!$E$5:$E$1005)-SUMPRODUCT((MOVIMIENTOS!$B$5:$B$1005="REGALO")*(MOVIMIENTOS!$C$5:$C$1005="Chancho")*(MOVIMIENTOS!$D$5:$D$1005="sacos")*(MOVIMIENTOS!$A$5:$A$1005&lt;&gt;"")*(MOVIMIENTOS!$A$5:$A$1005&lt;=$A575)*MOVIMIENTOS!$E$5:$E$1005)-SUMPRODUCT((MOVIMIENTOS!$B$5:$B$1005="VENTA")*(MOVIMIENTOS!$C$5:$C$1005="Chancho")*(MOVIMIENTOS!$D$5:$D$1005="sacos")*(MOVIMIENTOS!$A$5:$A$1005&lt;&gt;"")*(MOVIMIENTOS!$A$5:$A$1005&lt;=$A575)*MOVIMIENTOS!$E$5:$E$1005)+SUMPRODUCT((MOVIMIENTOS!$B$5:$B$1005="AJUSTE")*(MOVIMIENTOS!$C$5:$C$1005="Chancho")*(MOVIMIENTOS!$D$5:$D$1005="sacos")*(MOVIMIENTOS!$A$5:$A$1005&lt;&gt;"")*(MOVIMIENTOS!$A$5:$A$1005&lt;=$A575)*MOVIMIENTOS!$E$5:$E$1005))</f>
        <v/>
      </c>
      <c r="G575" s="62" t="str">
        <f t="shared" si="17"/>
        <v/>
      </c>
      <c r="H575" t="str">
        <f>IF($A575="","",SUMPRODUCT((((MOVIMIENTOS!$B$5:$B$1005="SALDO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575)*MOVIMIENTOS!$J$5:$J$1005))</f>
        <v/>
      </c>
      <c r="J575" t="str">
        <f>IF(AND(MOVIMIENTOS!$A580&lt;&gt;"",COUNTIF(MOVIMIENTOS!$A$5:$A579,MOVIMIENTOS!$A580)=0),COUNT(J$4:J574)+1,"")</f>
        <v/>
      </c>
      <c r="K575">
        <f>MOVIMIENTOS!$A580</f>
        <v>0</v>
      </c>
    </row>
    <row r="576" spans="1:11" ht="15" customHeight="1" x14ac:dyDescent="0.2">
      <c r="A576" t="str">
        <f t="shared" si="16"/>
        <v/>
      </c>
      <c r="B576" t="str">
        <f>IF($A576="","",SUMPRODUCT((MOVIMIENTOS!$B$5:$B$1005="SALDO INICIAL")*(MOVIMIENTOS!$C$5:$C$1005="A")*(MOVIMIENTOS!$D$5:$D$1005="jabas")*(MOVIMIENTOS!$A$5:$A$1005&lt;&gt;"")*(MOVIMIENTOS!$A$5:$A$1005&lt;=$A576)*MOVIMIENTOS!$E$5:$E$1005)+SUMPRODUCT((MOVIMIENTOS!$B$5:$B$1005="PROCESO")*(MOVIMIENTOS!$C$5:$C$1005="A")*(MOVIMIENTOS!$D$5:$D$1005="jabas")*(MOVIMIENTOS!$A$5:$A$1005&lt;&gt;"")*(MOVIMIENTOS!$A$5:$A$1005&lt;=$A576)*MOVIMIENTOS!$E$5:$E$1005)-SUMPRODUCT((MOVIMIENTOS!$B$5:$B$1005="ENVÍO A SUPESA")*(MOVIMIENTOS!$C$5:$C$1005="A")*(MOVIMIENTOS!$D$5:$D$1005="jabas")*(MOVIMIENTOS!$A$5:$A$1005&lt;&gt;"")*(MOVIMIENTOS!$A$5:$A$1005&lt;=$A576)*MOVIMIENTOS!$E$5:$E$1005)+SUMPRODUCT((MOVIMIENTOS!$B$5:$B$1005="DEVOLUCIÓN")*(MOVIMIENTOS!$C$5:$C$1005="A")*(MOVIMIENTOS!$D$5:$D$1005="jabas")*(MOVIMIENTOS!$A$5:$A$1005&lt;&gt;"")*(MOVIMIENTOS!$A$5:$A$1005&lt;=$A576)*MOVIMIENTOS!$E$5:$E$1005)-SUMPRODUCT((MOVIMIENTOS!$B$5:$B$1005="TRASIEGO")*(MOVIMIENTOS!$C$5:$C$1005="A")*(MOVIMIENTOS!$D$5:$D$1005="jabas")*(MOVIMIENTOS!$A$5:$A$1005&lt;&gt;"")*(MOVIMIENTOS!$A$5:$A$1005&lt;=$A576)*MOVIMIENTOS!$E$5:$E$1005)-SUMPRODUCT((MOVIMIENTOS!$B$5:$B$1005="REGALO")*(MOVIMIENTOS!$C$5:$C$1005="A")*(MOVIMIENTOS!$D$5:$D$1005="jabas")*(MOVIMIENTOS!$A$5:$A$1005&lt;&gt;"")*(MOVIMIENTOS!$A$5:$A$1005&lt;=$A576)*MOVIMIENTOS!$E$5:$E$1005)-SUMPRODUCT((MOVIMIENTOS!$B$5:$B$1005="VENTA")*(MOVIMIENTOS!$C$5:$C$1005="A")*(MOVIMIENTOS!$D$5:$D$1005="jabas")*(MOVIMIENTOS!$A$5:$A$1005&lt;&gt;"")*(MOVIMIENTOS!$A$5:$A$1005&lt;=$A576)*MOVIMIENTOS!$E$5:$E$1005)+SUMPRODUCT((MOVIMIENTOS!$B$5:$B$1005="AJUSTE")*(MOVIMIENTOS!$C$5:$C$1005="A")*(MOVIMIENTOS!$D$5:$D$1005="jabas")*(MOVIMIENTOS!$A$5:$A$1005&lt;&gt;"")*(MOVIMIENTOS!$A$5:$A$1005&lt;=$A576)*MOVIMIENTOS!$E$5:$E$1005))</f>
        <v/>
      </c>
      <c r="C576" t="str">
        <f>IF($A576="","",SUMPRODUCT((MOVIMIENTOS!$B$5:$B$1005="SALDO INICIAL")*(MOVIMIENTOS!$C$5:$C$1005="P")*(MOVIMIENTOS!$D$5:$D$1005="jabas")*(MOVIMIENTOS!$A$5:$A$1005&lt;&gt;"")*(MOVIMIENTOS!$A$5:$A$1005&lt;=$A576)*MOVIMIENTOS!$E$5:$E$1005)+SUMPRODUCT((MOVIMIENTOS!$B$5:$B$1005="PROCESO")*(MOVIMIENTOS!$C$5:$C$1005="P")*(MOVIMIENTOS!$D$5:$D$1005="jabas")*(MOVIMIENTOS!$A$5:$A$1005&lt;&gt;"")*(MOVIMIENTOS!$A$5:$A$1005&lt;=$A576)*MOVIMIENTOS!$E$5:$E$1005)-SUMPRODUCT((MOVIMIENTOS!$B$5:$B$1005="ENVÍO A SUPESA")*(MOVIMIENTOS!$C$5:$C$1005="P")*(MOVIMIENTOS!$D$5:$D$1005="jabas")*(MOVIMIENTOS!$A$5:$A$1005&lt;&gt;"")*(MOVIMIENTOS!$A$5:$A$1005&lt;=$A576)*MOVIMIENTOS!$E$5:$E$1005)+SUMPRODUCT((MOVIMIENTOS!$B$5:$B$1005="DEVOLUCIÓN")*(MOVIMIENTOS!$C$5:$C$1005="P")*(MOVIMIENTOS!$D$5:$D$1005="jabas")*(MOVIMIENTOS!$A$5:$A$1005&lt;&gt;"")*(MOVIMIENTOS!$A$5:$A$1005&lt;=$A576)*MOVIMIENTOS!$E$5:$E$1005)-SUMPRODUCT((MOVIMIENTOS!$B$5:$B$1005="TRASIEGO")*(MOVIMIENTOS!$C$5:$C$1005="P")*(MOVIMIENTOS!$D$5:$D$1005="jabas")*(MOVIMIENTOS!$A$5:$A$1005&lt;&gt;"")*(MOVIMIENTOS!$A$5:$A$1005&lt;=$A576)*MOVIMIENTOS!$E$5:$E$1005)-SUMPRODUCT((MOVIMIENTOS!$B$5:$B$1005="REGALO")*(MOVIMIENTOS!$C$5:$C$1005="P")*(MOVIMIENTOS!$D$5:$D$1005="jabas")*(MOVIMIENTOS!$A$5:$A$1005&lt;&gt;"")*(MOVIMIENTOS!$A$5:$A$1005&lt;=$A576)*MOVIMIENTOS!$E$5:$E$1005)-SUMPRODUCT((MOVIMIENTOS!$B$5:$B$1005="VENTA")*(MOVIMIENTOS!$C$5:$C$1005="P")*(MOVIMIENTOS!$D$5:$D$1005="jabas")*(MOVIMIENTOS!$A$5:$A$1005&lt;&gt;"")*(MOVIMIENTOS!$A$5:$A$1005&lt;=$A576)*MOVIMIENTOS!$E$5:$E$1005)+SUMPRODUCT((MOVIMIENTOS!$B$5:$B$1005="AJUSTE")*(MOVIMIENTOS!$C$5:$C$1005="P")*(MOVIMIENTOS!$D$5:$D$1005="jabas")*(MOVIMIENTOS!$A$5:$A$1005&lt;&gt;"")*(MOVIMIENTOS!$A$5:$A$1005&lt;=$A576)*MOVIMIENTOS!$E$5:$E$1005))</f>
        <v/>
      </c>
      <c r="D576" t="str">
        <f>IF($A576="","",SUMPRODUCT((MOVIMIENTOS!$B$5:$B$1005="SALDO INICIAL")*(MOVIMIENTOS!$C$5:$C$1005="C")*(MOVIMIENTOS!$D$5:$D$1005="jabas")*(MOVIMIENTOS!$A$5:$A$1005&lt;&gt;"")*(MOVIMIENTOS!$A$5:$A$1005&lt;=$A576)*MOVIMIENTOS!$E$5:$E$1005)+SUMPRODUCT((MOVIMIENTOS!$B$5:$B$1005="PROCESO")*(MOVIMIENTOS!$C$5:$C$1005="C")*(MOVIMIENTOS!$D$5:$D$1005="jabas")*(MOVIMIENTOS!$A$5:$A$1005&lt;&gt;"")*(MOVIMIENTOS!$A$5:$A$1005&lt;=$A576)*MOVIMIENTOS!$E$5:$E$1005)-SUMPRODUCT((MOVIMIENTOS!$B$5:$B$1005="ENVÍO A SUPESA")*(MOVIMIENTOS!$C$5:$C$1005="C")*(MOVIMIENTOS!$D$5:$D$1005="jabas")*(MOVIMIENTOS!$A$5:$A$1005&lt;&gt;"")*(MOVIMIENTOS!$A$5:$A$1005&lt;=$A576)*MOVIMIENTOS!$E$5:$E$1005)+SUMPRODUCT((MOVIMIENTOS!$B$5:$B$1005="DEVOLUCIÓN")*(MOVIMIENTOS!$C$5:$C$1005="C")*(MOVIMIENTOS!$D$5:$D$1005="jabas")*(MOVIMIENTOS!$A$5:$A$1005&lt;&gt;"")*(MOVIMIENTOS!$A$5:$A$1005&lt;=$A576)*MOVIMIENTOS!$E$5:$E$1005)-SUMPRODUCT((MOVIMIENTOS!$B$5:$B$1005="TRASIEGO")*(MOVIMIENTOS!$C$5:$C$1005="C")*(MOVIMIENTOS!$D$5:$D$1005="jabas")*(MOVIMIENTOS!$A$5:$A$1005&lt;&gt;"")*(MOVIMIENTOS!$A$5:$A$1005&lt;=$A576)*MOVIMIENTOS!$E$5:$E$1005)-SUMPRODUCT((MOVIMIENTOS!$B$5:$B$1005="REGALO")*(MOVIMIENTOS!$C$5:$C$1005="C")*(MOVIMIENTOS!$D$5:$D$1005="jabas")*(MOVIMIENTOS!$A$5:$A$1005&lt;&gt;"")*(MOVIMIENTOS!$A$5:$A$1005&lt;=$A576)*MOVIMIENTOS!$E$5:$E$1005)-SUMPRODUCT((MOVIMIENTOS!$B$5:$B$1005="VENTA")*(MOVIMIENTOS!$C$5:$C$1005="C")*(MOVIMIENTOS!$D$5:$D$1005="jabas")*(MOVIMIENTOS!$A$5:$A$1005&lt;&gt;"")*(MOVIMIENTOS!$A$5:$A$1005&lt;=$A576)*MOVIMIENTOS!$E$5:$E$1005)+SUMPRODUCT((MOVIMIENTOS!$B$5:$B$1005="AJUSTE")*(MOVIMIENTOS!$C$5:$C$1005="C")*(MOVIMIENTOS!$D$5:$D$1005="jabas")*(MOVIMIENTOS!$A$5:$A$1005&lt;&gt;"")*(MOVIMIENTOS!$A$5:$A$1005&lt;=$A576)*MOVIMIENTOS!$E$5:$E$1005))</f>
        <v/>
      </c>
      <c r="E576" t="str">
        <f>IF($A576="","",SUMPRODUCT((MOVIMIENTOS!$B$5:$B$1005="SALDO INICIAL")*(MOVIMIENTOS!$C$5:$C$1005="M")*(MOVIMIENTOS!$D$5:$D$1005="jabas")*(MOVIMIENTOS!$A$5:$A$1005&lt;&gt;"")*(MOVIMIENTOS!$A$5:$A$1005&lt;=$A576)*MOVIMIENTOS!$E$5:$E$1005)+SUMPRODUCT((MOVIMIENTOS!$B$5:$B$1005="PROCESO")*(MOVIMIENTOS!$C$5:$C$1005="M")*(MOVIMIENTOS!$D$5:$D$1005="jabas")*(MOVIMIENTOS!$A$5:$A$1005&lt;&gt;"")*(MOVIMIENTOS!$A$5:$A$1005&lt;=$A576)*MOVIMIENTOS!$E$5:$E$1005)-SUMPRODUCT((MOVIMIENTOS!$B$5:$B$1005="ENVÍO A SUPESA")*(MOVIMIENTOS!$C$5:$C$1005="M")*(MOVIMIENTOS!$D$5:$D$1005="jabas")*(MOVIMIENTOS!$A$5:$A$1005&lt;&gt;"")*(MOVIMIENTOS!$A$5:$A$1005&lt;=$A576)*MOVIMIENTOS!$E$5:$E$1005)+SUMPRODUCT((MOVIMIENTOS!$B$5:$B$1005="DEVOLUCIÓN")*(MOVIMIENTOS!$C$5:$C$1005="M")*(MOVIMIENTOS!$D$5:$D$1005="jabas")*(MOVIMIENTOS!$A$5:$A$1005&lt;&gt;"")*(MOVIMIENTOS!$A$5:$A$1005&lt;=$A576)*MOVIMIENTOS!$E$5:$E$1005)-SUMPRODUCT((MOVIMIENTOS!$B$5:$B$1005="TRASIEGO")*(MOVIMIENTOS!$C$5:$C$1005="M")*(MOVIMIENTOS!$D$5:$D$1005="jabas")*(MOVIMIENTOS!$A$5:$A$1005&lt;&gt;"")*(MOVIMIENTOS!$A$5:$A$1005&lt;=$A576)*MOVIMIENTOS!$E$5:$E$1005)-SUMPRODUCT((MOVIMIENTOS!$B$5:$B$1005="REGALO")*(MOVIMIENTOS!$C$5:$C$1005="M")*(MOVIMIENTOS!$D$5:$D$1005="jabas")*(MOVIMIENTOS!$A$5:$A$1005&lt;&gt;"")*(MOVIMIENTOS!$A$5:$A$1005&lt;=$A576)*MOVIMIENTOS!$E$5:$E$1005)-SUMPRODUCT((MOVIMIENTOS!$B$5:$B$1005="VENTA")*(MOVIMIENTOS!$C$5:$C$1005="M")*(MOVIMIENTOS!$D$5:$D$1005="jabas")*(MOVIMIENTOS!$A$5:$A$1005&lt;&gt;"")*(MOVIMIENTOS!$A$5:$A$1005&lt;=$A576)*MOVIMIENTOS!$E$5:$E$1005)+SUMPRODUCT((MOVIMIENTOS!$B$5:$B$1005="AJUSTE")*(MOVIMIENTOS!$C$5:$C$1005="M")*(MOVIMIENTOS!$D$5:$D$1005="jabas")*(MOVIMIENTOS!$A$5:$A$1005&lt;&gt;"")*(MOVIMIENTOS!$A$5:$A$1005&lt;=$A576)*MOVIMIENTOS!$E$5:$E$1005))</f>
        <v/>
      </c>
      <c r="F576" s="62" t="str">
        <f>IF($A576="","",SUMPRODUCT((MOVIMIENTOS!$B$5:$B$1005="SALDO INICIAL")*(MOVIMIENTOS!$C$5:$C$1005="Chancho")*(MOVIMIENTOS!$D$5:$D$1005="sacos")*(MOVIMIENTOS!$A$5:$A$1005&lt;&gt;"")*(MOVIMIENTOS!$A$5:$A$1005&lt;=$A576)*MOVIMIENTOS!$E$5:$E$1005)+SUMPRODUCT((MOVIMIENTOS!$B$5:$B$1005="PROCESO")*(MOVIMIENTOS!$C$5:$C$1005="Chancho")*(MOVIMIENTOS!$D$5:$D$1005="sacos")*(MOVIMIENTOS!$A$5:$A$1005&lt;&gt;"")*(MOVIMIENTOS!$A$5:$A$1005&lt;=$A576)*MOVIMIENTOS!$E$5:$E$1005)-SUMPRODUCT((MOVIMIENTOS!$B$5:$B$1005="VENTA CHANCHO")*(MOVIMIENTOS!$C$5:$C$1005="Chancho")*(MOVIMIENTOS!$D$5:$D$1005="sacos")*(MOVIMIENTOS!$A$5:$A$1005&lt;&gt;"")*(MOVIMIENTOS!$A$5:$A$1005&lt;=$A576)*MOVIMIENTOS!$E$5:$E$1005)-SUMPRODUCT((MOVIMIENTOS!$B$5:$B$1005="REGALO")*(MOVIMIENTOS!$C$5:$C$1005="Chancho")*(MOVIMIENTOS!$D$5:$D$1005="sacos")*(MOVIMIENTOS!$A$5:$A$1005&lt;&gt;"")*(MOVIMIENTOS!$A$5:$A$1005&lt;=$A576)*MOVIMIENTOS!$E$5:$E$1005)-SUMPRODUCT((MOVIMIENTOS!$B$5:$B$1005="VENTA")*(MOVIMIENTOS!$C$5:$C$1005="Chancho")*(MOVIMIENTOS!$D$5:$D$1005="sacos")*(MOVIMIENTOS!$A$5:$A$1005&lt;&gt;"")*(MOVIMIENTOS!$A$5:$A$1005&lt;=$A576)*MOVIMIENTOS!$E$5:$E$1005)+SUMPRODUCT((MOVIMIENTOS!$B$5:$B$1005="AJUSTE")*(MOVIMIENTOS!$C$5:$C$1005="Chancho")*(MOVIMIENTOS!$D$5:$D$1005="sacos")*(MOVIMIENTOS!$A$5:$A$1005&lt;&gt;"")*(MOVIMIENTOS!$A$5:$A$1005&lt;=$A576)*MOVIMIENTOS!$E$5:$E$1005))</f>
        <v/>
      </c>
      <c r="G576" s="62" t="str">
        <f t="shared" si="17"/>
        <v/>
      </c>
      <c r="H576" t="str">
        <f>IF($A576="","",SUMPRODUCT((((MOVIMIENTOS!$B$5:$B$1005="SALDO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576)*MOVIMIENTOS!$J$5:$J$1005))</f>
        <v/>
      </c>
      <c r="J576" t="str">
        <f>IF(AND(MOVIMIENTOS!$A581&lt;&gt;"",COUNTIF(MOVIMIENTOS!$A$5:$A580,MOVIMIENTOS!$A581)=0),COUNT(J$4:J575)+1,"")</f>
        <v/>
      </c>
      <c r="K576">
        <f>MOVIMIENTOS!$A581</f>
        <v>0</v>
      </c>
    </row>
    <row r="577" spans="1:11" ht="15" customHeight="1" x14ac:dyDescent="0.2">
      <c r="A577" t="str">
        <f t="shared" si="16"/>
        <v/>
      </c>
      <c r="B577" t="str">
        <f>IF($A577="","",SUMPRODUCT((MOVIMIENTOS!$B$5:$B$1005="SALDO INICIAL")*(MOVIMIENTOS!$C$5:$C$1005="A")*(MOVIMIENTOS!$D$5:$D$1005="jabas")*(MOVIMIENTOS!$A$5:$A$1005&lt;&gt;"")*(MOVIMIENTOS!$A$5:$A$1005&lt;=$A577)*MOVIMIENTOS!$E$5:$E$1005)+SUMPRODUCT((MOVIMIENTOS!$B$5:$B$1005="PROCESO")*(MOVIMIENTOS!$C$5:$C$1005="A")*(MOVIMIENTOS!$D$5:$D$1005="jabas")*(MOVIMIENTOS!$A$5:$A$1005&lt;&gt;"")*(MOVIMIENTOS!$A$5:$A$1005&lt;=$A577)*MOVIMIENTOS!$E$5:$E$1005)-SUMPRODUCT((MOVIMIENTOS!$B$5:$B$1005="ENVÍO A SUPESA")*(MOVIMIENTOS!$C$5:$C$1005="A")*(MOVIMIENTOS!$D$5:$D$1005="jabas")*(MOVIMIENTOS!$A$5:$A$1005&lt;&gt;"")*(MOVIMIENTOS!$A$5:$A$1005&lt;=$A577)*MOVIMIENTOS!$E$5:$E$1005)+SUMPRODUCT((MOVIMIENTOS!$B$5:$B$1005="DEVOLUCIÓN")*(MOVIMIENTOS!$C$5:$C$1005="A")*(MOVIMIENTOS!$D$5:$D$1005="jabas")*(MOVIMIENTOS!$A$5:$A$1005&lt;&gt;"")*(MOVIMIENTOS!$A$5:$A$1005&lt;=$A577)*MOVIMIENTOS!$E$5:$E$1005)-SUMPRODUCT((MOVIMIENTOS!$B$5:$B$1005="TRASIEGO")*(MOVIMIENTOS!$C$5:$C$1005="A")*(MOVIMIENTOS!$D$5:$D$1005="jabas")*(MOVIMIENTOS!$A$5:$A$1005&lt;&gt;"")*(MOVIMIENTOS!$A$5:$A$1005&lt;=$A577)*MOVIMIENTOS!$E$5:$E$1005)-SUMPRODUCT((MOVIMIENTOS!$B$5:$B$1005="REGALO")*(MOVIMIENTOS!$C$5:$C$1005="A")*(MOVIMIENTOS!$D$5:$D$1005="jabas")*(MOVIMIENTOS!$A$5:$A$1005&lt;&gt;"")*(MOVIMIENTOS!$A$5:$A$1005&lt;=$A577)*MOVIMIENTOS!$E$5:$E$1005)-SUMPRODUCT((MOVIMIENTOS!$B$5:$B$1005="VENTA")*(MOVIMIENTOS!$C$5:$C$1005="A")*(MOVIMIENTOS!$D$5:$D$1005="jabas")*(MOVIMIENTOS!$A$5:$A$1005&lt;&gt;"")*(MOVIMIENTOS!$A$5:$A$1005&lt;=$A577)*MOVIMIENTOS!$E$5:$E$1005)+SUMPRODUCT((MOVIMIENTOS!$B$5:$B$1005="AJUSTE")*(MOVIMIENTOS!$C$5:$C$1005="A")*(MOVIMIENTOS!$D$5:$D$1005="jabas")*(MOVIMIENTOS!$A$5:$A$1005&lt;&gt;"")*(MOVIMIENTOS!$A$5:$A$1005&lt;=$A577)*MOVIMIENTOS!$E$5:$E$1005))</f>
        <v/>
      </c>
      <c r="C577" t="str">
        <f>IF($A577="","",SUMPRODUCT((MOVIMIENTOS!$B$5:$B$1005="SALDO INICIAL")*(MOVIMIENTOS!$C$5:$C$1005="P")*(MOVIMIENTOS!$D$5:$D$1005="jabas")*(MOVIMIENTOS!$A$5:$A$1005&lt;&gt;"")*(MOVIMIENTOS!$A$5:$A$1005&lt;=$A577)*MOVIMIENTOS!$E$5:$E$1005)+SUMPRODUCT((MOVIMIENTOS!$B$5:$B$1005="PROCESO")*(MOVIMIENTOS!$C$5:$C$1005="P")*(MOVIMIENTOS!$D$5:$D$1005="jabas")*(MOVIMIENTOS!$A$5:$A$1005&lt;&gt;"")*(MOVIMIENTOS!$A$5:$A$1005&lt;=$A577)*MOVIMIENTOS!$E$5:$E$1005)-SUMPRODUCT((MOVIMIENTOS!$B$5:$B$1005="ENVÍO A SUPESA")*(MOVIMIENTOS!$C$5:$C$1005="P")*(MOVIMIENTOS!$D$5:$D$1005="jabas")*(MOVIMIENTOS!$A$5:$A$1005&lt;&gt;"")*(MOVIMIENTOS!$A$5:$A$1005&lt;=$A577)*MOVIMIENTOS!$E$5:$E$1005)+SUMPRODUCT((MOVIMIENTOS!$B$5:$B$1005="DEVOLUCIÓN")*(MOVIMIENTOS!$C$5:$C$1005="P")*(MOVIMIENTOS!$D$5:$D$1005="jabas")*(MOVIMIENTOS!$A$5:$A$1005&lt;&gt;"")*(MOVIMIENTOS!$A$5:$A$1005&lt;=$A577)*MOVIMIENTOS!$E$5:$E$1005)-SUMPRODUCT((MOVIMIENTOS!$B$5:$B$1005="TRASIEGO")*(MOVIMIENTOS!$C$5:$C$1005="P")*(MOVIMIENTOS!$D$5:$D$1005="jabas")*(MOVIMIENTOS!$A$5:$A$1005&lt;&gt;"")*(MOVIMIENTOS!$A$5:$A$1005&lt;=$A577)*MOVIMIENTOS!$E$5:$E$1005)-SUMPRODUCT((MOVIMIENTOS!$B$5:$B$1005="REGALO")*(MOVIMIENTOS!$C$5:$C$1005="P")*(MOVIMIENTOS!$D$5:$D$1005="jabas")*(MOVIMIENTOS!$A$5:$A$1005&lt;&gt;"")*(MOVIMIENTOS!$A$5:$A$1005&lt;=$A577)*MOVIMIENTOS!$E$5:$E$1005)-SUMPRODUCT((MOVIMIENTOS!$B$5:$B$1005="VENTA")*(MOVIMIENTOS!$C$5:$C$1005="P")*(MOVIMIENTOS!$D$5:$D$1005="jabas")*(MOVIMIENTOS!$A$5:$A$1005&lt;&gt;"")*(MOVIMIENTOS!$A$5:$A$1005&lt;=$A577)*MOVIMIENTOS!$E$5:$E$1005)+SUMPRODUCT((MOVIMIENTOS!$B$5:$B$1005="AJUSTE")*(MOVIMIENTOS!$C$5:$C$1005="P")*(MOVIMIENTOS!$D$5:$D$1005="jabas")*(MOVIMIENTOS!$A$5:$A$1005&lt;&gt;"")*(MOVIMIENTOS!$A$5:$A$1005&lt;=$A577)*MOVIMIENTOS!$E$5:$E$1005))</f>
        <v/>
      </c>
      <c r="D577" t="str">
        <f>IF($A577="","",SUMPRODUCT((MOVIMIENTOS!$B$5:$B$1005="SALDO INICIAL")*(MOVIMIENTOS!$C$5:$C$1005="C")*(MOVIMIENTOS!$D$5:$D$1005="jabas")*(MOVIMIENTOS!$A$5:$A$1005&lt;&gt;"")*(MOVIMIENTOS!$A$5:$A$1005&lt;=$A577)*MOVIMIENTOS!$E$5:$E$1005)+SUMPRODUCT((MOVIMIENTOS!$B$5:$B$1005="PROCESO")*(MOVIMIENTOS!$C$5:$C$1005="C")*(MOVIMIENTOS!$D$5:$D$1005="jabas")*(MOVIMIENTOS!$A$5:$A$1005&lt;&gt;"")*(MOVIMIENTOS!$A$5:$A$1005&lt;=$A577)*MOVIMIENTOS!$E$5:$E$1005)-SUMPRODUCT((MOVIMIENTOS!$B$5:$B$1005="ENVÍO A SUPESA")*(MOVIMIENTOS!$C$5:$C$1005="C")*(MOVIMIENTOS!$D$5:$D$1005="jabas")*(MOVIMIENTOS!$A$5:$A$1005&lt;&gt;"")*(MOVIMIENTOS!$A$5:$A$1005&lt;=$A577)*MOVIMIENTOS!$E$5:$E$1005)+SUMPRODUCT((MOVIMIENTOS!$B$5:$B$1005="DEVOLUCIÓN")*(MOVIMIENTOS!$C$5:$C$1005="C")*(MOVIMIENTOS!$D$5:$D$1005="jabas")*(MOVIMIENTOS!$A$5:$A$1005&lt;&gt;"")*(MOVIMIENTOS!$A$5:$A$1005&lt;=$A577)*MOVIMIENTOS!$E$5:$E$1005)-SUMPRODUCT((MOVIMIENTOS!$B$5:$B$1005="TRASIEGO")*(MOVIMIENTOS!$C$5:$C$1005="C")*(MOVIMIENTOS!$D$5:$D$1005="jabas")*(MOVIMIENTOS!$A$5:$A$1005&lt;&gt;"")*(MOVIMIENTOS!$A$5:$A$1005&lt;=$A577)*MOVIMIENTOS!$E$5:$E$1005)-SUMPRODUCT((MOVIMIENTOS!$B$5:$B$1005="REGALO")*(MOVIMIENTOS!$C$5:$C$1005="C")*(MOVIMIENTOS!$D$5:$D$1005="jabas")*(MOVIMIENTOS!$A$5:$A$1005&lt;&gt;"")*(MOVIMIENTOS!$A$5:$A$1005&lt;=$A577)*MOVIMIENTOS!$E$5:$E$1005)-SUMPRODUCT((MOVIMIENTOS!$B$5:$B$1005="VENTA")*(MOVIMIENTOS!$C$5:$C$1005="C")*(MOVIMIENTOS!$D$5:$D$1005="jabas")*(MOVIMIENTOS!$A$5:$A$1005&lt;&gt;"")*(MOVIMIENTOS!$A$5:$A$1005&lt;=$A577)*MOVIMIENTOS!$E$5:$E$1005)+SUMPRODUCT((MOVIMIENTOS!$B$5:$B$1005="AJUSTE")*(MOVIMIENTOS!$C$5:$C$1005="C")*(MOVIMIENTOS!$D$5:$D$1005="jabas")*(MOVIMIENTOS!$A$5:$A$1005&lt;&gt;"")*(MOVIMIENTOS!$A$5:$A$1005&lt;=$A577)*MOVIMIENTOS!$E$5:$E$1005))</f>
        <v/>
      </c>
      <c r="E577" t="str">
        <f>IF($A577="","",SUMPRODUCT((MOVIMIENTOS!$B$5:$B$1005="SALDO INICIAL")*(MOVIMIENTOS!$C$5:$C$1005="M")*(MOVIMIENTOS!$D$5:$D$1005="jabas")*(MOVIMIENTOS!$A$5:$A$1005&lt;&gt;"")*(MOVIMIENTOS!$A$5:$A$1005&lt;=$A577)*MOVIMIENTOS!$E$5:$E$1005)+SUMPRODUCT((MOVIMIENTOS!$B$5:$B$1005="PROCESO")*(MOVIMIENTOS!$C$5:$C$1005="M")*(MOVIMIENTOS!$D$5:$D$1005="jabas")*(MOVIMIENTOS!$A$5:$A$1005&lt;&gt;"")*(MOVIMIENTOS!$A$5:$A$1005&lt;=$A577)*MOVIMIENTOS!$E$5:$E$1005)-SUMPRODUCT((MOVIMIENTOS!$B$5:$B$1005="ENVÍO A SUPESA")*(MOVIMIENTOS!$C$5:$C$1005="M")*(MOVIMIENTOS!$D$5:$D$1005="jabas")*(MOVIMIENTOS!$A$5:$A$1005&lt;&gt;"")*(MOVIMIENTOS!$A$5:$A$1005&lt;=$A577)*MOVIMIENTOS!$E$5:$E$1005)+SUMPRODUCT((MOVIMIENTOS!$B$5:$B$1005="DEVOLUCIÓN")*(MOVIMIENTOS!$C$5:$C$1005="M")*(MOVIMIENTOS!$D$5:$D$1005="jabas")*(MOVIMIENTOS!$A$5:$A$1005&lt;&gt;"")*(MOVIMIENTOS!$A$5:$A$1005&lt;=$A577)*MOVIMIENTOS!$E$5:$E$1005)-SUMPRODUCT((MOVIMIENTOS!$B$5:$B$1005="TRASIEGO")*(MOVIMIENTOS!$C$5:$C$1005="M")*(MOVIMIENTOS!$D$5:$D$1005="jabas")*(MOVIMIENTOS!$A$5:$A$1005&lt;&gt;"")*(MOVIMIENTOS!$A$5:$A$1005&lt;=$A577)*MOVIMIENTOS!$E$5:$E$1005)-SUMPRODUCT((MOVIMIENTOS!$B$5:$B$1005="REGALO")*(MOVIMIENTOS!$C$5:$C$1005="M")*(MOVIMIENTOS!$D$5:$D$1005="jabas")*(MOVIMIENTOS!$A$5:$A$1005&lt;&gt;"")*(MOVIMIENTOS!$A$5:$A$1005&lt;=$A577)*MOVIMIENTOS!$E$5:$E$1005)-SUMPRODUCT((MOVIMIENTOS!$B$5:$B$1005="VENTA")*(MOVIMIENTOS!$C$5:$C$1005="M")*(MOVIMIENTOS!$D$5:$D$1005="jabas")*(MOVIMIENTOS!$A$5:$A$1005&lt;&gt;"")*(MOVIMIENTOS!$A$5:$A$1005&lt;=$A577)*MOVIMIENTOS!$E$5:$E$1005)+SUMPRODUCT((MOVIMIENTOS!$B$5:$B$1005="AJUSTE")*(MOVIMIENTOS!$C$5:$C$1005="M")*(MOVIMIENTOS!$D$5:$D$1005="jabas")*(MOVIMIENTOS!$A$5:$A$1005&lt;&gt;"")*(MOVIMIENTOS!$A$5:$A$1005&lt;=$A577)*MOVIMIENTOS!$E$5:$E$1005))</f>
        <v/>
      </c>
      <c r="F577" s="62" t="str">
        <f>IF($A577="","",SUMPRODUCT((MOVIMIENTOS!$B$5:$B$1005="SALDO INICIAL")*(MOVIMIENTOS!$C$5:$C$1005="Chancho")*(MOVIMIENTOS!$D$5:$D$1005="sacos")*(MOVIMIENTOS!$A$5:$A$1005&lt;&gt;"")*(MOVIMIENTOS!$A$5:$A$1005&lt;=$A577)*MOVIMIENTOS!$E$5:$E$1005)+SUMPRODUCT((MOVIMIENTOS!$B$5:$B$1005="PROCESO")*(MOVIMIENTOS!$C$5:$C$1005="Chancho")*(MOVIMIENTOS!$D$5:$D$1005="sacos")*(MOVIMIENTOS!$A$5:$A$1005&lt;&gt;"")*(MOVIMIENTOS!$A$5:$A$1005&lt;=$A577)*MOVIMIENTOS!$E$5:$E$1005)-SUMPRODUCT((MOVIMIENTOS!$B$5:$B$1005="VENTA CHANCHO")*(MOVIMIENTOS!$C$5:$C$1005="Chancho")*(MOVIMIENTOS!$D$5:$D$1005="sacos")*(MOVIMIENTOS!$A$5:$A$1005&lt;&gt;"")*(MOVIMIENTOS!$A$5:$A$1005&lt;=$A577)*MOVIMIENTOS!$E$5:$E$1005)-SUMPRODUCT((MOVIMIENTOS!$B$5:$B$1005="REGALO")*(MOVIMIENTOS!$C$5:$C$1005="Chancho")*(MOVIMIENTOS!$D$5:$D$1005="sacos")*(MOVIMIENTOS!$A$5:$A$1005&lt;&gt;"")*(MOVIMIENTOS!$A$5:$A$1005&lt;=$A577)*MOVIMIENTOS!$E$5:$E$1005)-SUMPRODUCT((MOVIMIENTOS!$B$5:$B$1005="VENTA")*(MOVIMIENTOS!$C$5:$C$1005="Chancho")*(MOVIMIENTOS!$D$5:$D$1005="sacos")*(MOVIMIENTOS!$A$5:$A$1005&lt;&gt;"")*(MOVIMIENTOS!$A$5:$A$1005&lt;=$A577)*MOVIMIENTOS!$E$5:$E$1005)+SUMPRODUCT((MOVIMIENTOS!$B$5:$B$1005="AJUSTE")*(MOVIMIENTOS!$C$5:$C$1005="Chancho")*(MOVIMIENTOS!$D$5:$D$1005="sacos")*(MOVIMIENTOS!$A$5:$A$1005&lt;&gt;"")*(MOVIMIENTOS!$A$5:$A$1005&lt;=$A577)*MOVIMIENTOS!$E$5:$E$1005))</f>
        <v/>
      </c>
      <c r="G577" s="62" t="str">
        <f t="shared" si="17"/>
        <v/>
      </c>
      <c r="H577" t="str">
        <f>IF($A577="","",SUMPRODUCT((((MOVIMIENTOS!$B$5:$B$1005="SALDO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577)*MOVIMIENTOS!$J$5:$J$1005))</f>
        <v/>
      </c>
      <c r="J577" t="str">
        <f>IF(AND(MOVIMIENTOS!$A582&lt;&gt;"",COUNTIF(MOVIMIENTOS!$A$5:$A581,MOVIMIENTOS!$A582)=0),COUNT(J$4:J576)+1,"")</f>
        <v/>
      </c>
      <c r="K577">
        <f>MOVIMIENTOS!$A582</f>
        <v>0</v>
      </c>
    </row>
    <row r="578" spans="1:11" ht="15" customHeight="1" x14ac:dyDescent="0.2">
      <c r="A578" t="str">
        <f t="shared" si="16"/>
        <v/>
      </c>
      <c r="B578" t="str">
        <f>IF($A578="","",SUMPRODUCT((MOVIMIENTOS!$B$5:$B$1005="SALDO INICIAL")*(MOVIMIENTOS!$C$5:$C$1005="A")*(MOVIMIENTOS!$D$5:$D$1005="jabas")*(MOVIMIENTOS!$A$5:$A$1005&lt;&gt;"")*(MOVIMIENTOS!$A$5:$A$1005&lt;=$A578)*MOVIMIENTOS!$E$5:$E$1005)+SUMPRODUCT((MOVIMIENTOS!$B$5:$B$1005="PROCESO")*(MOVIMIENTOS!$C$5:$C$1005="A")*(MOVIMIENTOS!$D$5:$D$1005="jabas")*(MOVIMIENTOS!$A$5:$A$1005&lt;&gt;"")*(MOVIMIENTOS!$A$5:$A$1005&lt;=$A578)*MOVIMIENTOS!$E$5:$E$1005)-SUMPRODUCT((MOVIMIENTOS!$B$5:$B$1005="ENVÍO A SUPESA")*(MOVIMIENTOS!$C$5:$C$1005="A")*(MOVIMIENTOS!$D$5:$D$1005="jabas")*(MOVIMIENTOS!$A$5:$A$1005&lt;&gt;"")*(MOVIMIENTOS!$A$5:$A$1005&lt;=$A578)*MOVIMIENTOS!$E$5:$E$1005)+SUMPRODUCT((MOVIMIENTOS!$B$5:$B$1005="DEVOLUCIÓN")*(MOVIMIENTOS!$C$5:$C$1005="A")*(MOVIMIENTOS!$D$5:$D$1005="jabas")*(MOVIMIENTOS!$A$5:$A$1005&lt;&gt;"")*(MOVIMIENTOS!$A$5:$A$1005&lt;=$A578)*MOVIMIENTOS!$E$5:$E$1005)-SUMPRODUCT((MOVIMIENTOS!$B$5:$B$1005="TRASIEGO")*(MOVIMIENTOS!$C$5:$C$1005="A")*(MOVIMIENTOS!$D$5:$D$1005="jabas")*(MOVIMIENTOS!$A$5:$A$1005&lt;&gt;"")*(MOVIMIENTOS!$A$5:$A$1005&lt;=$A578)*MOVIMIENTOS!$E$5:$E$1005)-SUMPRODUCT((MOVIMIENTOS!$B$5:$B$1005="REGALO")*(MOVIMIENTOS!$C$5:$C$1005="A")*(MOVIMIENTOS!$D$5:$D$1005="jabas")*(MOVIMIENTOS!$A$5:$A$1005&lt;&gt;"")*(MOVIMIENTOS!$A$5:$A$1005&lt;=$A578)*MOVIMIENTOS!$E$5:$E$1005)-SUMPRODUCT((MOVIMIENTOS!$B$5:$B$1005="VENTA")*(MOVIMIENTOS!$C$5:$C$1005="A")*(MOVIMIENTOS!$D$5:$D$1005="jabas")*(MOVIMIENTOS!$A$5:$A$1005&lt;&gt;"")*(MOVIMIENTOS!$A$5:$A$1005&lt;=$A578)*MOVIMIENTOS!$E$5:$E$1005)+SUMPRODUCT((MOVIMIENTOS!$B$5:$B$1005="AJUSTE")*(MOVIMIENTOS!$C$5:$C$1005="A")*(MOVIMIENTOS!$D$5:$D$1005="jabas")*(MOVIMIENTOS!$A$5:$A$1005&lt;&gt;"")*(MOVIMIENTOS!$A$5:$A$1005&lt;=$A578)*MOVIMIENTOS!$E$5:$E$1005))</f>
        <v/>
      </c>
      <c r="C578" t="str">
        <f>IF($A578="","",SUMPRODUCT((MOVIMIENTOS!$B$5:$B$1005="SALDO INICIAL")*(MOVIMIENTOS!$C$5:$C$1005="P")*(MOVIMIENTOS!$D$5:$D$1005="jabas")*(MOVIMIENTOS!$A$5:$A$1005&lt;&gt;"")*(MOVIMIENTOS!$A$5:$A$1005&lt;=$A578)*MOVIMIENTOS!$E$5:$E$1005)+SUMPRODUCT((MOVIMIENTOS!$B$5:$B$1005="PROCESO")*(MOVIMIENTOS!$C$5:$C$1005="P")*(MOVIMIENTOS!$D$5:$D$1005="jabas")*(MOVIMIENTOS!$A$5:$A$1005&lt;&gt;"")*(MOVIMIENTOS!$A$5:$A$1005&lt;=$A578)*MOVIMIENTOS!$E$5:$E$1005)-SUMPRODUCT((MOVIMIENTOS!$B$5:$B$1005="ENVÍO A SUPESA")*(MOVIMIENTOS!$C$5:$C$1005="P")*(MOVIMIENTOS!$D$5:$D$1005="jabas")*(MOVIMIENTOS!$A$5:$A$1005&lt;&gt;"")*(MOVIMIENTOS!$A$5:$A$1005&lt;=$A578)*MOVIMIENTOS!$E$5:$E$1005)+SUMPRODUCT((MOVIMIENTOS!$B$5:$B$1005="DEVOLUCIÓN")*(MOVIMIENTOS!$C$5:$C$1005="P")*(MOVIMIENTOS!$D$5:$D$1005="jabas")*(MOVIMIENTOS!$A$5:$A$1005&lt;&gt;"")*(MOVIMIENTOS!$A$5:$A$1005&lt;=$A578)*MOVIMIENTOS!$E$5:$E$1005)-SUMPRODUCT((MOVIMIENTOS!$B$5:$B$1005="TRASIEGO")*(MOVIMIENTOS!$C$5:$C$1005="P")*(MOVIMIENTOS!$D$5:$D$1005="jabas")*(MOVIMIENTOS!$A$5:$A$1005&lt;&gt;"")*(MOVIMIENTOS!$A$5:$A$1005&lt;=$A578)*MOVIMIENTOS!$E$5:$E$1005)-SUMPRODUCT((MOVIMIENTOS!$B$5:$B$1005="REGALO")*(MOVIMIENTOS!$C$5:$C$1005="P")*(MOVIMIENTOS!$D$5:$D$1005="jabas")*(MOVIMIENTOS!$A$5:$A$1005&lt;&gt;"")*(MOVIMIENTOS!$A$5:$A$1005&lt;=$A578)*MOVIMIENTOS!$E$5:$E$1005)-SUMPRODUCT((MOVIMIENTOS!$B$5:$B$1005="VENTA")*(MOVIMIENTOS!$C$5:$C$1005="P")*(MOVIMIENTOS!$D$5:$D$1005="jabas")*(MOVIMIENTOS!$A$5:$A$1005&lt;&gt;"")*(MOVIMIENTOS!$A$5:$A$1005&lt;=$A578)*MOVIMIENTOS!$E$5:$E$1005)+SUMPRODUCT((MOVIMIENTOS!$B$5:$B$1005="AJUSTE")*(MOVIMIENTOS!$C$5:$C$1005="P")*(MOVIMIENTOS!$D$5:$D$1005="jabas")*(MOVIMIENTOS!$A$5:$A$1005&lt;&gt;"")*(MOVIMIENTOS!$A$5:$A$1005&lt;=$A578)*MOVIMIENTOS!$E$5:$E$1005))</f>
        <v/>
      </c>
      <c r="D578" t="str">
        <f>IF($A578="","",SUMPRODUCT((MOVIMIENTOS!$B$5:$B$1005="SALDO INICIAL")*(MOVIMIENTOS!$C$5:$C$1005="C")*(MOVIMIENTOS!$D$5:$D$1005="jabas")*(MOVIMIENTOS!$A$5:$A$1005&lt;&gt;"")*(MOVIMIENTOS!$A$5:$A$1005&lt;=$A578)*MOVIMIENTOS!$E$5:$E$1005)+SUMPRODUCT((MOVIMIENTOS!$B$5:$B$1005="PROCESO")*(MOVIMIENTOS!$C$5:$C$1005="C")*(MOVIMIENTOS!$D$5:$D$1005="jabas")*(MOVIMIENTOS!$A$5:$A$1005&lt;&gt;"")*(MOVIMIENTOS!$A$5:$A$1005&lt;=$A578)*MOVIMIENTOS!$E$5:$E$1005)-SUMPRODUCT((MOVIMIENTOS!$B$5:$B$1005="ENVÍO A SUPESA")*(MOVIMIENTOS!$C$5:$C$1005="C")*(MOVIMIENTOS!$D$5:$D$1005="jabas")*(MOVIMIENTOS!$A$5:$A$1005&lt;&gt;"")*(MOVIMIENTOS!$A$5:$A$1005&lt;=$A578)*MOVIMIENTOS!$E$5:$E$1005)+SUMPRODUCT((MOVIMIENTOS!$B$5:$B$1005="DEVOLUCIÓN")*(MOVIMIENTOS!$C$5:$C$1005="C")*(MOVIMIENTOS!$D$5:$D$1005="jabas")*(MOVIMIENTOS!$A$5:$A$1005&lt;&gt;"")*(MOVIMIENTOS!$A$5:$A$1005&lt;=$A578)*MOVIMIENTOS!$E$5:$E$1005)-SUMPRODUCT((MOVIMIENTOS!$B$5:$B$1005="TRASIEGO")*(MOVIMIENTOS!$C$5:$C$1005="C")*(MOVIMIENTOS!$D$5:$D$1005="jabas")*(MOVIMIENTOS!$A$5:$A$1005&lt;&gt;"")*(MOVIMIENTOS!$A$5:$A$1005&lt;=$A578)*MOVIMIENTOS!$E$5:$E$1005)-SUMPRODUCT((MOVIMIENTOS!$B$5:$B$1005="REGALO")*(MOVIMIENTOS!$C$5:$C$1005="C")*(MOVIMIENTOS!$D$5:$D$1005="jabas")*(MOVIMIENTOS!$A$5:$A$1005&lt;&gt;"")*(MOVIMIENTOS!$A$5:$A$1005&lt;=$A578)*MOVIMIENTOS!$E$5:$E$1005)-SUMPRODUCT((MOVIMIENTOS!$B$5:$B$1005="VENTA")*(MOVIMIENTOS!$C$5:$C$1005="C")*(MOVIMIENTOS!$D$5:$D$1005="jabas")*(MOVIMIENTOS!$A$5:$A$1005&lt;&gt;"")*(MOVIMIENTOS!$A$5:$A$1005&lt;=$A578)*MOVIMIENTOS!$E$5:$E$1005)+SUMPRODUCT((MOVIMIENTOS!$B$5:$B$1005="AJUSTE")*(MOVIMIENTOS!$C$5:$C$1005="C")*(MOVIMIENTOS!$D$5:$D$1005="jabas")*(MOVIMIENTOS!$A$5:$A$1005&lt;&gt;"")*(MOVIMIENTOS!$A$5:$A$1005&lt;=$A578)*MOVIMIENTOS!$E$5:$E$1005))</f>
        <v/>
      </c>
      <c r="E578" t="str">
        <f>IF($A578="","",SUMPRODUCT((MOVIMIENTOS!$B$5:$B$1005="SALDO INICIAL")*(MOVIMIENTOS!$C$5:$C$1005="M")*(MOVIMIENTOS!$D$5:$D$1005="jabas")*(MOVIMIENTOS!$A$5:$A$1005&lt;&gt;"")*(MOVIMIENTOS!$A$5:$A$1005&lt;=$A578)*MOVIMIENTOS!$E$5:$E$1005)+SUMPRODUCT((MOVIMIENTOS!$B$5:$B$1005="PROCESO")*(MOVIMIENTOS!$C$5:$C$1005="M")*(MOVIMIENTOS!$D$5:$D$1005="jabas")*(MOVIMIENTOS!$A$5:$A$1005&lt;&gt;"")*(MOVIMIENTOS!$A$5:$A$1005&lt;=$A578)*MOVIMIENTOS!$E$5:$E$1005)-SUMPRODUCT((MOVIMIENTOS!$B$5:$B$1005="ENVÍO A SUPESA")*(MOVIMIENTOS!$C$5:$C$1005="M")*(MOVIMIENTOS!$D$5:$D$1005="jabas")*(MOVIMIENTOS!$A$5:$A$1005&lt;&gt;"")*(MOVIMIENTOS!$A$5:$A$1005&lt;=$A578)*MOVIMIENTOS!$E$5:$E$1005)+SUMPRODUCT((MOVIMIENTOS!$B$5:$B$1005="DEVOLUCIÓN")*(MOVIMIENTOS!$C$5:$C$1005="M")*(MOVIMIENTOS!$D$5:$D$1005="jabas")*(MOVIMIENTOS!$A$5:$A$1005&lt;&gt;"")*(MOVIMIENTOS!$A$5:$A$1005&lt;=$A578)*MOVIMIENTOS!$E$5:$E$1005)-SUMPRODUCT((MOVIMIENTOS!$B$5:$B$1005="TRASIEGO")*(MOVIMIENTOS!$C$5:$C$1005="M")*(MOVIMIENTOS!$D$5:$D$1005="jabas")*(MOVIMIENTOS!$A$5:$A$1005&lt;&gt;"")*(MOVIMIENTOS!$A$5:$A$1005&lt;=$A578)*MOVIMIENTOS!$E$5:$E$1005)-SUMPRODUCT((MOVIMIENTOS!$B$5:$B$1005="REGALO")*(MOVIMIENTOS!$C$5:$C$1005="M")*(MOVIMIENTOS!$D$5:$D$1005="jabas")*(MOVIMIENTOS!$A$5:$A$1005&lt;&gt;"")*(MOVIMIENTOS!$A$5:$A$1005&lt;=$A578)*MOVIMIENTOS!$E$5:$E$1005)-SUMPRODUCT((MOVIMIENTOS!$B$5:$B$1005="VENTA")*(MOVIMIENTOS!$C$5:$C$1005="M")*(MOVIMIENTOS!$D$5:$D$1005="jabas")*(MOVIMIENTOS!$A$5:$A$1005&lt;&gt;"")*(MOVIMIENTOS!$A$5:$A$1005&lt;=$A578)*MOVIMIENTOS!$E$5:$E$1005)+SUMPRODUCT((MOVIMIENTOS!$B$5:$B$1005="AJUSTE")*(MOVIMIENTOS!$C$5:$C$1005="M")*(MOVIMIENTOS!$D$5:$D$1005="jabas")*(MOVIMIENTOS!$A$5:$A$1005&lt;&gt;"")*(MOVIMIENTOS!$A$5:$A$1005&lt;=$A578)*MOVIMIENTOS!$E$5:$E$1005))</f>
        <v/>
      </c>
      <c r="F578" s="62" t="str">
        <f>IF($A578="","",SUMPRODUCT((MOVIMIENTOS!$B$5:$B$1005="SALDO INICIAL")*(MOVIMIENTOS!$C$5:$C$1005="Chancho")*(MOVIMIENTOS!$D$5:$D$1005="sacos")*(MOVIMIENTOS!$A$5:$A$1005&lt;&gt;"")*(MOVIMIENTOS!$A$5:$A$1005&lt;=$A578)*MOVIMIENTOS!$E$5:$E$1005)+SUMPRODUCT((MOVIMIENTOS!$B$5:$B$1005="PROCESO")*(MOVIMIENTOS!$C$5:$C$1005="Chancho")*(MOVIMIENTOS!$D$5:$D$1005="sacos")*(MOVIMIENTOS!$A$5:$A$1005&lt;&gt;"")*(MOVIMIENTOS!$A$5:$A$1005&lt;=$A578)*MOVIMIENTOS!$E$5:$E$1005)-SUMPRODUCT((MOVIMIENTOS!$B$5:$B$1005="VENTA CHANCHO")*(MOVIMIENTOS!$C$5:$C$1005="Chancho")*(MOVIMIENTOS!$D$5:$D$1005="sacos")*(MOVIMIENTOS!$A$5:$A$1005&lt;&gt;"")*(MOVIMIENTOS!$A$5:$A$1005&lt;=$A578)*MOVIMIENTOS!$E$5:$E$1005)-SUMPRODUCT((MOVIMIENTOS!$B$5:$B$1005="REGALO")*(MOVIMIENTOS!$C$5:$C$1005="Chancho")*(MOVIMIENTOS!$D$5:$D$1005="sacos")*(MOVIMIENTOS!$A$5:$A$1005&lt;&gt;"")*(MOVIMIENTOS!$A$5:$A$1005&lt;=$A578)*MOVIMIENTOS!$E$5:$E$1005)-SUMPRODUCT((MOVIMIENTOS!$B$5:$B$1005="VENTA")*(MOVIMIENTOS!$C$5:$C$1005="Chancho")*(MOVIMIENTOS!$D$5:$D$1005="sacos")*(MOVIMIENTOS!$A$5:$A$1005&lt;&gt;"")*(MOVIMIENTOS!$A$5:$A$1005&lt;=$A578)*MOVIMIENTOS!$E$5:$E$1005)+SUMPRODUCT((MOVIMIENTOS!$B$5:$B$1005="AJUSTE")*(MOVIMIENTOS!$C$5:$C$1005="Chancho")*(MOVIMIENTOS!$D$5:$D$1005="sacos")*(MOVIMIENTOS!$A$5:$A$1005&lt;&gt;"")*(MOVIMIENTOS!$A$5:$A$1005&lt;=$A578)*MOVIMIENTOS!$E$5:$E$1005))</f>
        <v/>
      </c>
      <c r="G578" s="62" t="str">
        <f t="shared" si="17"/>
        <v/>
      </c>
      <c r="H578" t="str">
        <f>IF($A578="","",SUMPRODUCT((((MOVIMIENTOS!$B$5:$B$1005="SALDO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578)*MOVIMIENTOS!$J$5:$J$1005))</f>
        <v/>
      </c>
      <c r="J578" t="str">
        <f>IF(AND(MOVIMIENTOS!$A583&lt;&gt;"",COUNTIF(MOVIMIENTOS!$A$5:$A582,MOVIMIENTOS!$A583)=0),COUNT(J$4:J577)+1,"")</f>
        <v/>
      </c>
      <c r="K578">
        <f>MOVIMIENTOS!$A583</f>
        <v>0</v>
      </c>
    </row>
    <row r="579" spans="1:11" ht="15" customHeight="1" x14ac:dyDescent="0.2">
      <c r="A579" t="str">
        <f t="shared" si="16"/>
        <v/>
      </c>
      <c r="B579" t="str">
        <f>IF($A579="","",SUMPRODUCT((MOVIMIENTOS!$B$5:$B$1005="SALDO INICIAL")*(MOVIMIENTOS!$C$5:$C$1005="A")*(MOVIMIENTOS!$D$5:$D$1005="jabas")*(MOVIMIENTOS!$A$5:$A$1005&lt;&gt;"")*(MOVIMIENTOS!$A$5:$A$1005&lt;=$A579)*MOVIMIENTOS!$E$5:$E$1005)+SUMPRODUCT((MOVIMIENTOS!$B$5:$B$1005="PROCESO")*(MOVIMIENTOS!$C$5:$C$1005="A")*(MOVIMIENTOS!$D$5:$D$1005="jabas")*(MOVIMIENTOS!$A$5:$A$1005&lt;&gt;"")*(MOVIMIENTOS!$A$5:$A$1005&lt;=$A579)*MOVIMIENTOS!$E$5:$E$1005)-SUMPRODUCT((MOVIMIENTOS!$B$5:$B$1005="ENVÍO A SUPESA")*(MOVIMIENTOS!$C$5:$C$1005="A")*(MOVIMIENTOS!$D$5:$D$1005="jabas")*(MOVIMIENTOS!$A$5:$A$1005&lt;&gt;"")*(MOVIMIENTOS!$A$5:$A$1005&lt;=$A579)*MOVIMIENTOS!$E$5:$E$1005)+SUMPRODUCT((MOVIMIENTOS!$B$5:$B$1005="DEVOLUCIÓN")*(MOVIMIENTOS!$C$5:$C$1005="A")*(MOVIMIENTOS!$D$5:$D$1005="jabas")*(MOVIMIENTOS!$A$5:$A$1005&lt;&gt;"")*(MOVIMIENTOS!$A$5:$A$1005&lt;=$A579)*MOVIMIENTOS!$E$5:$E$1005)-SUMPRODUCT((MOVIMIENTOS!$B$5:$B$1005="TRASIEGO")*(MOVIMIENTOS!$C$5:$C$1005="A")*(MOVIMIENTOS!$D$5:$D$1005="jabas")*(MOVIMIENTOS!$A$5:$A$1005&lt;&gt;"")*(MOVIMIENTOS!$A$5:$A$1005&lt;=$A579)*MOVIMIENTOS!$E$5:$E$1005)-SUMPRODUCT((MOVIMIENTOS!$B$5:$B$1005="REGALO")*(MOVIMIENTOS!$C$5:$C$1005="A")*(MOVIMIENTOS!$D$5:$D$1005="jabas")*(MOVIMIENTOS!$A$5:$A$1005&lt;&gt;"")*(MOVIMIENTOS!$A$5:$A$1005&lt;=$A579)*MOVIMIENTOS!$E$5:$E$1005)-SUMPRODUCT((MOVIMIENTOS!$B$5:$B$1005="VENTA")*(MOVIMIENTOS!$C$5:$C$1005="A")*(MOVIMIENTOS!$D$5:$D$1005="jabas")*(MOVIMIENTOS!$A$5:$A$1005&lt;&gt;"")*(MOVIMIENTOS!$A$5:$A$1005&lt;=$A579)*MOVIMIENTOS!$E$5:$E$1005)+SUMPRODUCT((MOVIMIENTOS!$B$5:$B$1005="AJUSTE")*(MOVIMIENTOS!$C$5:$C$1005="A")*(MOVIMIENTOS!$D$5:$D$1005="jabas")*(MOVIMIENTOS!$A$5:$A$1005&lt;&gt;"")*(MOVIMIENTOS!$A$5:$A$1005&lt;=$A579)*MOVIMIENTOS!$E$5:$E$1005))</f>
        <v/>
      </c>
      <c r="C579" t="str">
        <f>IF($A579="","",SUMPRODUCT((MOVIMIENTOS!$B$5:$B$1005="SALDO INICIAL")*(MOVIMIENTOS!$C$5:$C$1005="P")*(MOVIMIENTOS!$D$5:$D$1005="jabas")*(MOVIMIENTOS!$A$5:$A$1005&lt;&gt;"")*(MOVIMIENTOS!$A$5:$A$1005&lt;=$A579)*MOVIMIENTOS!$E$5:$E$1005)+SUMPRODUCT((MOVIMIENTOS!$B$5:$B$1005="PROCESO")*(MOVIMIENTOS!$C$5:$C$1005="P")*(MOVIMIENTOS!$D$5:$D$1005="jabas")*(MOVIMIENTOS!$A$5:$A$1005&lt;&gt;"")*(MOVIMIENTOS!$A$5:$A$1005&lt;=$A579)*MOVIMIENTOS!$E$5:$E$1005)-SUMPRODUCT((MOVIMIENTOS!$B$5:$B$1005="ENVÍO A SUPESA")*(MOVIMIENTOS!$C$5:$C$1005="P")*(MOVIMIENTOS!$D$5:$D$1005="jabas")*(MOVIMIENTOS!$A$5:$A$1005&lt;&gt;"")*(MOVIMIENTOS!$A$5:$A$1005&lt;=$A579)*MOVIMIENTOS!$E$5:$E$1005)+SUMPRODUCT((MOVIMIENTOS!$B$5:$B$1005="DEVOLUCIÓN")*(MOVIMIENTOS!$C$5:$C$1005="P")*(MOVIMIENTOS!$D$5:$D$1005="jabas")*(MOVIMIENTOS!$A$5:$A$1005&lt;&gt;"")*(MOVIMIENTOS!$A$5:$A$1005&lt;=$A579)*MOVIMIENTOS!$E$5:$E$1005)-SUMPRODUCT((MOVIMIENTOS!$B$5:$B$1005="TRASIEGO")*(MOVIMIENTOS!$C$5:$C$1005="P")*(MOVIMIENTOS!$D$5:$D$1005="jabas")*(MOVIMIENTOS!$A$5:$A$1005&lt;&gt;"")*(MOVIMIENTOS!$A$5:$A$1005&lt;=$A579)*MOVIMIENTOS!$E$5:$E$1005)-SUMPRODUCT((MOVIMIENTOS!$B$5:$B$1005="REGALO")*(MOVIMIENTOS!$C$5:$C$1005="P")*(MOVIMIENTOS!$D$5:$D$1005="jabas")*(MOVIMIENTOS!$A$5:$A$1005&lt;&gt;"")*(MOVIMIENTOS!$A$5:$A$1005&lt;=$A579)*MOVIMIENTOS!$E$5:$E$1005)-SUMPRODUCT((MOVIMIENTOS!$B$5:$B$1005="VENTA")*(MOVIMIENTOS!$C$5:$C$1005="P")*(MOVIMIENTOS!$D$5:$D$1005="jabas")*(MOVIMIENTOS!$A$5:$A$1005&lt;&gt;"")*(MOVIMIENTOS!$A$5:$A$1005&lt;=$A579)*MOVIMIENTOS!$E$5:$E$1005)+SUMPRODUCT((MOVIMIENTOS!$B$5:$B$1005="AJUSTE")*(MOVIMIENTOS!$C$5:$C$1005="P")*(MOVIMIENTOS!$D$5:$D$1005="jabas")*(MOVIMIENTOS!$A$5:$A$1005&lt;&gt;"")*(MOVIMIENTOS!$A$5:$A$1005&lt;=$A579)*MOVIMIENTOS!$E$5:$E$1005))</f>
        <v/>
      </c>
      <c r="D579" t="str">
        <f>IF($A579="","",SUMPRODUCT((MOVIMIENTOS!$B$5:$B$1005="SALDO INICIAL")*(MOVIMIENTOS!$C$5:$C$1005="C")*(MOVIMIENTOS!$D$5:$D$1005="jabas")*(MOVIMIENTOS!$A$5:$A$1005&lt;&gt;"")*(MOVIMIENTOS!$A$5:$A$1005&lt;=$A579)*MOVIMIENTOS!$E$5:$E$1005)+SUMPRODUCT((MOVIMIENTOS!$B$5:$B$1005="PROCESO")*(MOVIMIENTOS!$C$5:$C$1005="C")*(MOVIMIENTOS!$D$5:$D$1005="jabas")*(MOVIMIENTOS!$A$5:$A$1005&lt;&gt;"")*(MOVIMIENTOS!$A$5:$A$1005&lt;=$A579)*MOVIMIENTOS!$E$5:$E$1005)-SUMPRODUCT((MOVIMIENTOS!$B$5:$B$1005="ENVÍO A SUPESA")*(MOVIMIENTOS!$C$5:$C$1005="C")*(MOVIMIENTOS!$D$5:$D$1005="jabas")*(MOVIMIENTOS!$A$5:$A$1005&lt;&gt;"")*(MOVIMIENTOS!$A$5:$A$1005&lt;=$A579)*MOVIMIENTOS!$E$5:$E$1005)+SUMPRODUCT((MOVIMIENTOS!$B$5:$B$1005="DEVOLUCIÓN")*(MOVIMIENTOS!$C$5:$C$1005="C")*(MOVIMIENTOS!$D$5:$D$1005="jabas")*(MOVIMIENTOS!$A$5:$A$1005&lt;&gt;"")*(MOVIMIENTOS!$A$5:$A$1005&lt;=$A579)*MOVIMIENTOS!$E$5:$E$1005)-SUMPRODUCT((MOVIMIENTOS!$B$5:$B$1005="TRASIEGO")*(MOVIMIENTOS!$C$5:$C$1005="C")*(MOVIMIENTOS!$D$5:$D$1005="jabas")*(MOVIMIENTOS!$A$5:$A$1005&lt;&gt;"")*(MOVIMIENTOS!$A$5:$A$1005&lt;=$A579)*MOVIMIENTOS!$E$5:$E$1005)-SUMPRODUCT((MOVIMIENTOS!$B$5:$B$1005="REGALO")*(MOVIMIENTOS!$C$5:$C$1005="C")*(MOVIMIENTOS!$D$5:$D$1005="jabas")*(MOVIMIENTOS!$A$5:$A$1005&lt;&gt;"")*(MOVIMIENTOS!$A$5:$A$1005&lt;=$A579)*MOVIMIENTOS!$E$5:$E$1005)-SUMPRODUCT((MOVIMIENTOS!$B$5:$B$1005="VENTA")*(MOVIMIENTOS!$C$5:$C$1005="C")*(MOVIMIENTOS!$D$5:$D$1005="jabas")*(MOVIMIENTOS!$A$5:$A$1005&lt;&gt;"")*(MOVIMIENTOS!$A$5:$A$1005&lt;=$A579)*MOVIMIENTOS!$E$5:$E$1005)+SUMPRODUCT((MOVIMIENTOS!$B$5:$B$1005="AJUSTE")*(MOVIMIENTOS!$C$5:$C$1005="C")*(MOVIMIENTOS!$D$5:$D$1005="jabas")*(MOVIMIENTOS!$A$5:$A$1005&lt;&gt;"")*(MOVIMIENTOS!$A$5:$A$1005&lt;=$A579)*MOVIMIENTOS!$E$5:$E$1005))</f>
        <v/>
      </c>
      <c r="E579" t="str">
        <f>IF($A579="","",SUMPRODUCT((MOVIMIENTOS!$B$5:$B$1005="SALDO INICIAL")*(MOVIMIENTOS!$C$5:$C$1005="M")*(MOVIMIENTOS!$D$5:$D$1005="jabas")*(MOVIMIENTOS!$A$5:$A$1005&lt;&gt;"")*(MOVIMIENTOS!$A$5:$A$1005&lt;=$A579)*MOVIMIENTOS!$E$5:$E$1005)+SUMPRODUCT((MOVIMIENTOS!$B$5:$B$1005="PROCESO")*(MOVIMIENTOS!$C$5:$C$1005="M")*(MOVIMIENTOS!$D$5:$D$1005="jabas")*(MOVIMIENTOS!$A$5:$A$1005&lt;&gt;"")*(MOVIMIENTOS!$A$5:$A$1005&lt;=$A579)*MOVIMIENTOS!$E$5:$E$1005)-SUMPRODUCT((MOVIMIENTOS!$B$5:$B$1005="ENVÍO A SUPESA")*(MOVIMIENTOS!$C$5:$C$1005="M")*(MOVIMIENTOS!$D$5:$D$1005="jabas")*(MOVIMIENTOS!$A$5:$A$1005&lt;&gt;"")*(MOVIMIENTOS!$A$5:$A$1005&lt;=$A579)*MOVIMIENTOS!$E$5:$E$1005)+SUMPRODUCT((MOVIMIENTOS!$B$5:$B$1005="DEVOLUCIÓN")*(MOVIMIENTOS!$C$5:$C$1005="M")*(MOVIMIENTOS!$D$5:$D$1005="jabas")*(MOVIMIENTOS!$A$5:$A$1005&lt;&gt;"")*(MOVIMIENTOS!$A$5:$A$1005&lt;=$A579)*MOVIMIENTOS!$E$5:$E$1005)-SUMPRODUCT((MOVIMIENTOS!$B$5:$B$1005="TRASIEGO")*(MOVIMIENTOS!$C$5:$C$1005="M")*(MOVIMIENTOS!$D$5:$D$1005="jabas")*(MOVIMIENTOS!$A$5:$A$1005&lt;&gt;"")*(MOVIMIENTOS!$A$5:$A$1005&lt;=$A579)*MOVIMIENTOS!$E$5:$E$1005)-SUMPRODUCT((MOVIMIENTOS!$B$5:$B$1005="REGALO")*(MOVIMIENTOS!$C$5:$C$1005="M")*(MOVIMIENTOS!$D$5:$D$1005="jabas")*(MOVIMIENTOS!$A$5:$A$1005&lt;&gt;"")*(MOVIMIENTOS!$A$5:$A$1005&lt;=$A579)*MOVIMIENTOS!$E$5:$E$1005)-SUMPRODUCT((MOVIMIENTOS!$B$5:$B$1005="VENTA")*(MOVIMIENTOS!$C$5:$C$1005="M")*(MOVIMIENTOS!$D$5:$D$1005="jabas")*(MOVIMIENTOS!$A$5:$A$1005&lt;&gt;"")*(MOVIMIENTOS!$A$5:$A$1005&lt;=$A579)*MOVIMIENTOS!$E$5:$E$1005)+SUMPRODUCT((MOVIMIENTOS!$B$5:$B$1005="AJUSTE")*(MOVIMIENTOS!$C$5:$C$1005="M")*(MOVIMIENTOS!$D$5:$D$1005="jabas")*(MOVIMIENTOS!$A$5:$A$1005&lt;&gt;"")*(MOVIMIENTOS!$A$5:$A$1005&lt;=$A579)*MOVIMIENTOS!$E$5:$E$1005))</f>
        <v/>
      </c>
      <c r="F579" s="62" t="str">
        <f>IF($A579="","",SUMPRODUCT((MOVIMIENTOS!$B$5:$B$1005="SALDO INICIAL")*(MOVIMIENTOS!$C$5:$C$1005="Chancho")*(MOVIMIENTOS!$D$5:$D$1005="sacos")*(MOVIMIENTOS!$A$5:$A$1005&lt;&gt;"")*(MOVIMIENTOS!$A$5:$A$1005&lt;=$A579)*MOVIMIENTOS!$E$5:$E$1005)+SUMPRODUCT((MOVIMIENTOS!$B$5:$B$1005="PROCESO")*(MOVIMIENTOS!$C$5:$C$1005="Chancho")*(MOVIMIENTOS!$D$5:$D$1005="sacos")*(MOVIMIENTOS!$A$5:$A$1005&lt;&gt;"")*(MOVIMIENTOS!$A$5:$A$1005&lt;=$A579)*MOVIMIENTOS!$E$5:$E$1005)-SUMPRODUCT((MOVIMIENTOS!$B$5:$B$1005="VENTA CHANCHO")*(MOVIMIENTOS!$C$5:$C$1005="Chancho")*(MOVIMIENTOS!$D$5:$D$1005="sacos")*(MOVIMIENTOS!$A$5:$A$1005&lt;&gt;"")*(MOVIMIENTOS!$A$5:$A$1005&lt;=$A579)*MOVIMIENTOS!$E$5:$E$1005)-SUMPRODUCT((MOVIMIENTOS!$B$5:$B$1005="REGALO")*(MOVIMIENTOS!$C$5:$C$1005="Chancho")*(MOVIMIENTOS!$D$5:$D$1005="sacos")*(MOVIMIENTOS!$A$5:$A$1005&lt;&gt;"")*(MOVIMIENTOS!$A$5:$A$1005&lt;=$A579)*MOVIMIENTOS!$E$5:$E$1005)-SUMPRODUCT((MOVIMIENTOS!$B$5:$B$1005="VENTA")*(MOVIMIENTOS!$C$5:$C$1005="Chancho")*(MOVIMIENTOS!$D$5:$D$1005="sacos")*(MOVIMIENTOS!$A$5:$A$1005&lt;&gt;"")*(MOVIMIENTOS!$A$5:$A$1005&lt;=$A579)*MOVIMIENTOS!$E$5:$E$1005)+SUMPRODUCT((MOVIMIENTOS!$B$5:$B$1005="AJUSTE")*(MOVIMIENTOS!$C$5:$C$1005="Chancho")*(MOVIMIENTOS!$D$5:$D$1005="sacos")*(MOVIMIENTOS!$A$5:$A$1005&lt;&gt;"")*(MOVIMIENTOS!$A$5:$A$1005&lt;=$A579)*MOVIMIENTOS!$E$5:$E$1005))</f>
        <v/>
      </c>
      <c r="G579" s="62" t="str">
        <f t="shared" si="17"/>
        <v/>
      </c>
      <c r="H579" t="str">
        <f>IF($A579="","",SUMPRODUCT((((MOVIMIENTOS!$B$5:$B$1005="SALDO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579)*MOVIMIENTOS!$J$5:$J$1005))</f>
        <v/>
      </c>
      <c r="J579" t="str">
        <f>IF(AND(MOVIMIENTOS!$A584&lt;&gt;"",COUNTIF(MOVIMIENTOS!$A$5:$A583,MOVIMIENTOS!$A584)=0),COUNT(J$4:J578)+1,"")</f>
        <v/>
      </c>
      <c r="K579">
        <f>MOVIMIENTOS!$A584</f>
        <v>0</v>
      </c>
    </row>
    <row r="580" spans="1:11" ht="15" customHeight="1" x14ac:dyDescent="0.2">
      <c r="A580" t="str">
        <f t="shared" si="16"/>
        <v/>
      </c>
      <c r="B580" t="str">
        <f>IF($A580="","",SUMPRODUCT((MOVIMIENTOS!$B$5:$B$1005="SALDO INICIAL")*(MOVIMIENTOS!$C$5:$C$1005="A")*(MOVIMIENTOS!$D$5:$D$1005="jabas")*(MOVIMIENTOS!$A$5:$A$1005&lt;&gt;"")*(MOVIMIENTOS!$A$5:$A$1005&lt;=$A580)*MOVIMIENTOS!$E$5:$E$1005)+SUMPRODUCT((MOVIMIENTOS!$B$5:$B$1005="PROCESO")*(MOVIMIENTOS!$C$5:$C$1005="A")*(MOVIMIENTOS!$D$5:$D$1005="jabas")*(MOVIMIENTOS!$A$5:$A$1005&lt;&gt;"")*(MOVIMIENTOS!$A$5:$A$1005&lt;=$A580)*MOVIMIENTOS!$E$5:$E$1005)-SUMPRODUCT((MOVIMIENTOS!$B$5:$B$1005="ENVÍO A SUPESA")*(MOVIMIENTOS!$C$5:$C$1005="A")*(MOVIMIENTOS!$D$5:$D$1005="jabas")*(MOVIMIENTOS!$A$5:$A$1005&lt;&gt;"")*(MOVIMIENTOS!$A$5:$A$1005&lt;=$A580)*MOVIMIENTOS!$E$5:$E$1005)+SUMPRODUCT((MOVIMIENTOS!$B$5:$B$1005="DEVOLUCIÓN")*(MOVIMIENTOS!$C$5:$C$1005="A")*(MOVIMIENTOS!$D$5:$D$1005="jabas")*(MOVIMIENTOS!$A$5:$A$1005&lt;&gt;"")*(MOVIMIENTOS!$A$5:$A$1005&lt;=$A580)*MOVIMIENTOS!$E$5:$E$1005)-SUMPRODUCT((MOVIMIENTOS!$B$5:$B$1005="TRASIEGO")*(MOVIMIENTOS!$C$5:$C$1005="A")*(MOVIMIENTOS!$D$5:$D$1005="jabas")*(MOVIMIENTOS!$A$5:$A$1005&lt;&gt;"")*(MOVIMIENTOS!$A$5:$A$1005&lt;=$A580)*MOVIMIENTOS!$E$5:$E$1005)-SUMPRODUCT((MOVIMIENTOS!$B$5:$B$1005="REGALO")*(MOVIMIENTOS!$C$5:$C$1005="A")*(MOVIMIENTOS!$D$5:$D$1005="jabas")*(MOVIMIENTOS!$A$5:$A$1005&lt;&gt;"")*(MOVIMIENTOS!$A$5:$A$1005&lt;=$A580)*MOVIMIENTOS!$E$5:$E$1005)-SUMPRODUCT((MOVIMIENTOS!$B$5:$B$1005="VENTA")*(MOVIMIENTOS!$C$5:$C$1005="A")*(MOVIMIENTOS!$D$5:$D$1005="jabas")*(MOVIMIENTOS!$A$5:$A$1005&lt;&gt;"")*(MOVIMIENTOS!$A$5:$A$1005&lt;=$A580)*MOVIMIENTOS!$E$5:$E$1005)+SUMPRODUCT((MOVIMIENTOS!$B$5:$B$1005="AJUSTE")*(MOVIMIENTOS!$C$5:$C$1005="A")*(MOVIMIENTOS!$D$5:$D$1005="jabas")*(MOVIMIENTOS!$A$5:$A$1005&lt;&gt;"")*(MOVIMIENTOS!$A$5:$A$1005&lt;=$A580)*MOVIMIENTOS!$E$5:$E$1005))</f>
        <v/>
      </c>
      <c r="C580" t="str">
        <f>IF($A580="","",SUMPRODUCT((MOVIMIENTOS!$B$5:$B$1005="SALDO INICIAL")*(MOVIMIENTOS!$C$5:$C$1005="P")*(MOVIMIENTOS!$D$5:$D$1005="jabas")*(MOVIMIENTOS!$A$5:$A$1005&lt;&gt;"")*(MOVIMIENTOS!$A$5:$A$1005&lt;=$A580)*MOVIMIENTOS!$E$5:$E$1005)+SUMPRODUCT((MOVIMIENTOS!$B$5:$B$1005="PROCESO")*(MOVIMIENTOS!$C$5:$C$1005="P")*(MOVIMIENTOS!$D$5:$D$1005="jabas")*(MOVIMIENTOS!$A$5:$A$1005&lt;&gt;"")*(MOVIMIENTOS!$A$5:$A$1005&lt;=$A580)*MOVIMIENTOS!$E$5:$E$1005)-SUMPRODUCT((MOVIMIENTOS!$B$5:$B$1005="ENVÍO A SUPESA")*(MOVIMIENTOS!$C$5:$C$1005="P")*(MOVIMIENTOS!$D$5:$D$1005="jabas")*(MOVIMIENTOS!$A$5:$A$1005&lt;&gt;"")*(MOVIMIENTOS!$A$5:$A$1005&lt;=$A580)*MOVIMIENTOS!$E$5:$E$1005)+SUMPRODUCT((MOVIMIENTOS!$B$5:$B$1005="DEVOLUCIÓN")*(MOVIMIENTOS!$C$5:$C$1005="P")*(MOVIMIENTOS!$D$5:$D$1005="jabas")*(MOVIMIENTOS!$A$5:$A$1005&lt;&gt;"")*(MOVIMIENTOS!$A$5:$A$1005&lt;=$A580)*MOVIMIENTOS!$E$5:$E$1005)-SUMPRODUCT((MOVIMIENTOS!$B$5:$B$1005="TRASIEGO")*(MOVIMIENTOS!$C$5:$C$1005="P")*(MOVIMIENTOS!$D$5:$D$1005="jabas")*(MOVIMIENTOS!$A$5:$A$1005&lt;&gt;"")*(MOVIMIENTOS!$A$5:$A$1005&lt;=$A580)*MOVIMIENTOS!$E$5:$E$1005)-SUMPRODUCT((MOVIMIENTOS!$B$5:$B$1005="REGALO")*(MOVIMIENTOS!$C$5:$C$1005="P")*(MOVIMIENTOS!$D$5:$D$1005="jabas")*(MOVIMIENTOS!$A$5:$A$1005&lt;&gt;"")*(MOVIMIENTOS!$A$5:$A$1005&lt;=$A580)*MOVIMIENTOS!$E$5:$E$1005)-SUMPRODUCT((MOVIMIENTOS!$B$5:$B$1005="VENTA")*(MOVIMIENTOS!$C$5:$C$1005="P")*(MOVIMIENTOS!$D$5:$D$1005="jabas")*(MOVIMIENTOS!$A$5:$A$1005&lt;&gt;"")*(MOVIMIENTOS!$A$5:$A$1005&lt;=$A580)*MOVIMIENTOS!$E$5:$E$1005)+SUMPRODUCT((MOVIMIENTOS!$B$5:$B$1005="AJUSTE")*(MOVIMIENTOS!$C$5:$C$1005="P")*(MOVIMIENTOS!$D$5:$D$1005="jabas")*(MOVIMIENTOS!$A$5:$A$1005&lt;&gt;"")*(MOVIMIENTOS!$A$5:$A$1005&lt;=$A580)*MOVIMIENTOS!$E$5:$E$1005))</f>
        <v/>
      </c>
      <c r="D580" t="str">
        <f>IF($A580="","",SUMPRODUCT((MOVIMIENTOS!$B$5:$B$1005="SALDO INICIAL")*(MOVIMIENTOS!$C$5:$C$1005="C")*(MOVIMIENTOS!$D$5:$D$1005="jabas")*(MOVIMIENTOS!$A$5:$A$1005&lt;&gt;"")*(MOVIMIENTOS!$A$5:$A$1005&lt;=$A580)*MOVIMIENTOS!$E$5:$E$1005)+SUMPRODUCT((MOVIMIENTOS!$B$5:$B$1005="PROCESO")*(MOVIMIENTOS!$C$5:$C$1005="C")*(MOVIMIENTOS!$D$5:$D$1005="jabas")*(MOVIMIENTOS!$A$5:$A$1005&lt;&gt;"")*(MOVIMIENTOS!$A$5:$A$1005&lt;=$A580)*MOVIMIENTOS!$E$5:$E$1005)-SUMPRODUCT((MOVIMIENTOS!$B$5:$B$1005="ENVÍO A SUPESA")*(MOVIMIENTOS!$C$5:$C$1005="C")*(MOVIMIENTOS!$D$5:$D$1005="jabas")*(MOVIMIENTOS!$A$5:$A$1005&lt;&gt;"")*(MOVIMIENTOS!$A$5:$A$1005&lt;=$A580)*MOVIMIENTOS!$E$5:$E$1005)+SUMPRODUCT((MOVIMIENTOS!$B$5:$B$1005="DEVOLUCIÓN")*(MOVIMIENTOS!$C$5:$C$1005="C")*(MOVIMIENTOS!$D$5:$D$1005="jabas")*(MOVIMIENTOS!$A$5:$A$1005&lt;&gt;"")*(MOVIMIENTOS!$A$5:$A$1005&lt;=$A580)*MOVIMIENTOS!$E$5:$E$1005)-SUMPRODUCT((MOVIMIENTOS!$B$5:$B$1005="TRASIEGO")*(MOVIMIENTOS!$C$5:$C$1005="C")*(MOVIMIENTOS!$D$5:$D$1005="jabas")*(MOVIMIENTOS!$A$5:$A$1005&lt;&gt;"")*(MOVIMIENTOS!$A$5:$A$1005&lt;=$A580)*MOVIMIENTOS!$E$5:$E$1005)-SUMPRODUCT((MOVIMIENTOS!$B$5:$B$1005="REGALO")*(MOVIMIENTOS!$C$5:$C$1005="C")*(MOVIMIENTOS!$D$5:$D$1005="jabas")*(MOVIMIENTOS!$A$5:$A$1005&lt;&gt;"")*(MOVIMIENTOS!$A$5:$A$1005&lt;=$A580)*MOVIMIENTOS!$E$5:$E$1005)-SUMPRODUCT((MOVIMIENTOS!$B$5:$B$1005="VENTA")*(MOVIMIENTOS!$C$5:$C$1005="C")*(MOVIMIENTOS!$D$5:$D$1005="jabas")*(MOVIMIENTOS!$A$5:$A$1005&lt;&gt;"")*(MOVIMIENTOS!$A$5:$A$1005&lt;=$A580)*MOVIMIENTOS!$E$5:$E$1005)+SUMPRODUCT((MOVIMIENTOS!$B$5:$B$1005="AJUSTE")*(MOVIMIENTOS!$C$5:$C$1005="C")*(MOVIMIENTOS!$D$5:$D$1005="jabas")*(MOVIMIENTOS!$A$5:$A$1005&lt;&gt;"")*(MOVIMIENTOS!$A$5:$A$1005&lt;=$A580)*MOVIMIENTOS!$E$5:$E$1005))</f>
        <v/>
      </c>
      <c r="E580" t="str">
        <f>IF($A580="","",SUMPRODUCT((MOVIMIENTOS!$B$5:$B$1005="SALDO INICIAL")*(MOVIMIENTOS!$C$5:$C$1005="M")*(MOVIMIENTOS!$D$5:$D$1005="jabas")*(MOVIMIENTOS!$A$5:$A$1005&lt;&gt;"")*(MOVIMIENTOS!$A$5:$A$1005&lt;=$A580)*MOVIMIENTOS!$E$5:$E$1005)+SUMPRODUCT((MOVIMIENTOS!$B$5:$B$1005="PROCESO")*(MOVIMIENTOS!$C$5:$C$1005="M")*(MOVIMIENTOS!$D$5:$D$1005="jabas")*(MOVIMIENTOS!$A$5:$A$1005&lt;&gt;"")*(MOVIMIENTOS!$A$5:$A$1005&lt;=$A580)*MOVIMIENTOS!$E$5:$E$1005)-SUMPRODUCT((MOVIMIENTOS!$B$5:$B$1005="ENVÍO A SUPESA")*(MOVIMIENTOS!$C$5:$C$1005="M")*(MOVIMIENTOS!$D$5:$D$1005="jabas")*(MOVIMIENTOS!$A$5:$A$1005&lt;&gt;"")*(MOVIMIENTOS!$A$5:$A$1005&lt;=$A580)*MOVIMIENTOS!$E$5:$E$1005)+SUMPRODUCT((MOVIMIENTOS!$B$5:$B$1005="DEVOLUCIÓN")*(MOVIMIENTOS!$C$5:$C$1005="M")*(MOVIMIENTOS!$D$5:$D$1005="jabas")*(MOVIMIENTOS!$A$5:$A$1005&lt;&gt;"")*(MOVIMIENTOS!$A$5:$A$1005&lt;=$A580)*MOVIMIENTOS!$E$5:$E$1005)-SUMPRODUCT((MOVIMIENTOS!$B$5:$B$1005="TRASIEGO")*(MOVIMIENTOS!$C$5:$C$1005="M")*(MOVIMIENTOS!$D$5:$D$1005="jabas")*(MOVIMIENTOS!$A$5:$A$1005&lt;&gt;"")*(MOVIMIENTOS!$A$5:$A$1005&lt;=$A580)*MOVIMIENTOS!$E$5:$E$1005)-SUMPRODUCT((MOVIMIENTOS!$B$5:$B$1005="REGALO")*(MOVIMIENTOS!$C$5:$C$1005="M")*(MOVIMIENTOS!$D$5:$D$1005="jabas")*(MOVIMIENTOS!$A$5:$A$1005&lt;&gt;"")*(MOVIMIENTOS!$A$5:$A$1005&lt;=$A580)*MOVIMIENTOS!$E$5:$E$1005)-SUMPRODUCT((MOVIMIENTOS!$B$5:$B$1005="VENTA")*(MOVIMIENTOS!$C$5:$C$1005="M")*(MOVIMIENTOS!$D$5:$D$1005="jabas")*(MOVIMIENTOS!$A$5:$A$1005&lt;&gt;"")*(MOVIMIENTOS!$A$5:$A$1005&lt;=$A580)*MOVIMIENTOS!$E$5:$E$1005)+SUMPRODUCT((MOVIMIENTOS!$B$5:$B$1005="AJUSTE")*(MOVIMIENTOS!$C$5:$C$1005="M")*(MOVIMIENTOS!$D$5:$D$1005="jabas")*(MOVIMIENTOS!$A$5:$A$1005&lt;&gt;"")*(MOVIMIENTOS!$A$5:$A$1005&lt;=$A580)*MOVIMIENTOS!$E$5:$E$1005))</f>
        <v/>
      </c>
      <c r="F580" s="62" t="str">
        <f>IF($A580="","",SUMPRODUCT((MOVIMIENTOS!$B$5:$B$1005="SALDO INICIAL")*(MOVIMIENTOS!$C$5:$C$1005="Chancho")*(MOVIMIENTOS!$D$5:$D$1005="sacos")*(MOVIMIENTOS!$A$5:$A$1005&lt;&gt;"")*(MOVIMIENTOS!$A$5:$A$1005&lt;=$A580)*MOVIMIENTOS!$E$5:$E$1005)+SUMPRODUCT((MOVIMIENTOS!$B$5:$B$1005="PROCESO")*(MOVIMIENTOS!$C$5:$C$1005="Chancho")*(MOVIMIENTOS!$D$5:$D$1005="sacos")*(MOVIMIENTOS!$A$5:$A$1005&lt;&gt;"")*(MOVIMIENTOS!$A$5:$A$1005&lt;=$A580)*MOVIMIENTOS!$E$5:$E$1005)-SUMPRODUCT((MOVIMIENTOS!$B$5:$B$1005="VENTA CHANCHO")*(MOVIMIENTOS!$C$5:$C$1005="Chancho")*(MOVIMIENTOS!$D$5:$D$1005="sacos")*(MOVIMIENTOS!$A$5:$A$1005&lt;&gt;"")*(MOVIMIENTOS!$A$5:$A$1005&lt;=$A580)*MOVIMIENTOS!$E$5:$E$1005)-SUMPRODUCT((MOVIMIENTOS!$B$5:$B$1005="REGALO")*(MOVIMIENTOS!$C$5:$C$1005="Chancho")*(MOVIMIENTOS!$D$5:$D$1005="sacos")*(MOVIMIENTOS!$A$5:$A$1005&lt;&gt;"")*(MOVIMIENTOS!$A$5:$A$1005&lt;=$A580)*MOVIMIENTOS!$E$5:$E$1005)-SUMPRODUCT((MOVIMIENTOS!$B$5:$B$1005="VENTA")*(MOVIMIENTOS!$C$5:$C$1005="Chancho")*(MOVIMIENTOS!$D$5:$D$1005="sacos")*(MOVIMIENTOS!$A$5:$A$1005&lt;&gt;"")*(MOVIMIENTOS!$A$5:$A$1005&lt;=$A580)*MOVIMIENTOS!$E$5:$E$1005)+SUMPRODUCT((MOVIMIENTOS!$B$5:$B$1005="AJUSTE")*(MOVIMIENTOS!$C$5:$C$1005="Chancho")*(MOVIMIENTOS!$D$5:$D$1005="sacos")*(MOVIMIENTOS!$A$5:$A$1005&lt;&gt;"")*(MOVIMIENTOS!$A$5:$A$1005&lt;=$A580)*MOVIMIENTOS!$E$5:$E$1005))</f>
        <v/>
      </c>
      <c r="G580" s="62" t="str">
        <f t="shared" si="17"/>
        <v/>
      </c>
      <c r="H580" t="str">
        <f>IF($A580="","",SUMPRODUCT((((MOVIMIENTOS!$B$5:$B$1005="SALDO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580)*MOVIMIENTOS!$J$5:$J$1005))</f>
        <v/>
      </c>
      <c r="J580" t="str">
        <f>IF(AND(MOVIMIENTOS!$A585&lt;&gt;"",COUNTIF(MOVIMIENTOS!$A$5:$A584,MOVIMIENTOS!$A585)=0),COUNT(J$4:J579)+1,"")</f>
        <v/>
      </c>
      <c r="K580">
        <f>MOVIMIENTOS!$A585</f>
        <v>0</v>
      </c>
    </row>
    <row r="581" spans="1:11" ht="15" customHeight="1" x14ac:dyDescent="0.2">
      <c r="A581" t="str">
        <f t="shared" ref="A581:A644" si="18">IFERROR(INDEX(K$5:K$1000,MATCH(ROW()-4,J$5:J$1000,0)),"")</f>
        <v/>
      </c>
      <c r="B581" t="str">
        <f>IF($A581="","",SUMPRODUCT((MOVIMIENTOS!$B$5:$B$1005="SALDO INICIAL")*(MOVIMIENTOS!$C$5:$C$1005="A")*(MOVIMIENTOS!$D$5:$D$1005="jabas")*(MOVIMIENTOS!$A$5:$A$1005&lt;&gt;"")*(MOVIMIENTOS!$A$5:$A$1005&lt;=$A581)*MOVIMIENTOS!$E$5:$E$1005)+SUMPRODUCT((MOVIMIENTOS!$B$5:$B$1005="PROCESO")*(MOVIMIENTOS!$C$5:$C$1005="A")*(MOVIMIENTOS!$D$5:$D$1005="jabas")*(MOVIMIENTOS!$A$5:$A$1005&lt;&gt;"")*(MOVIMIENTOS!$A$5:$A$1005&lt;=$A581)*MOVIMIENTOS!$E$5:$E$1005)-SUMPRODUCT((MOVIMIENTOS!$B$5:$B$1005="ENVÍO A SUPESA")*(MOVIMIENTOS!$C$5:$C$1005="A")*(MOVIMIENTOS!$D$5:$D$1005="jabas")*(MOVIMIENTOS!$A$5:$A$1005&lt;&gt;"")*(MOVIMIENTOS!$A$5:$A$1005&lt;=$A581)*MOVIMIENTOS!$E$5:$E$1005)+SUMPRODUCT((MOVIMIENTOS!$B$5:$B$1005="DEVOLUCIÓN")*(MOVIMIENTOS!$C$5:$C$1005="A")*(MOVIMIENTOS!$D$5:$D$1005="jabas")*(MOVIMIENTOS!$A$5:$A$1005&lt;&gt;"")*(MOVIMIENTOS!$A$5:$A$1005&lt;=$A581)*MOVIMIENTOS!$E$5:$E$1005)-SUMPRODUCT((MOVIMIENTOS!$B$5:$B$1005="TRASIEGO")*(MOVIMIENTOS!$C$5:$C$1005="A")*(MOVIMIENTOS!$D$5:$D$1005="jabas")*(MOVIMIENTOS!$A$5:$A$1005&lt;&gt;"")*(MOVIMIENTOS!$A$5:$A$1005&lt;=$A581)*MOVIMIENTOS!$E$5:$E$1005)-SUMPRODUCT((MOVIMIENTOS!$B$5:$B$1005="REGALO")*(MOVIMIENTOS!$C$5:$C$1005="A")*(MOVIMIENTOS!$D$5:$D$1005="jabas")*(MOVIMIENTOS!$A$5:$A$1005&lt;&gt;"")*(MOVIMIENTOS!$A$5:$A$1005&lt;=$A581)*MOVIMIENTOS!$E$5:$E$1005)-SUMPRODUCT((MOVIMIENTOS!$B$5:$B$1005="VENTA")*(MOVIMIENTOS!$C$5:$C$1005="A")*(MOVIMIENTOS!$D$5:$D$1005="jabas")*(MOVIMIENTOS!$A$5:$A$1005&lt;&gt;"")*(MOVIMIENTOS!$A$5:$A$1005&lt;=$A581)*MOVIMIENTOS!$E$5:$E$1005)+SUMPRODUCT((MOVIMIENTOS!$B$5:$B$1005="AJUSTE")*(MOVIMIENTOS!$C$5:$C$1005="A")*(MOVIMIENTOS!$D$5:$D$1005="jabas")*(MOVIMIENTOS!$A$5:$A$1005&lt;&gt;"")*(MOVIMIENTOS!$A$5:$A$1005&lt;=$A581)*MOVIMIENTOS!$E$5:$E$1005))</f>
        <v/>
      </c>
      <c r="C581" t="str">
        <f>IF($A581="","",SUMPRODUCT((MOVIMIENTOS!$B$5:$B$1005="SALDO INICIAL")*(MOVIMIENTOS!$C$5:$C$1005="P")*(MOVIMIENTOS!$D$5:$D$1005="jabas")*(MOVIMIENTOS!$A$5:$A$1005&lt;&gt;"")*(MOVIMIENTOS!$A$5:$A$1005&lt;=$A581)*MOVIMIENTOS!$E$5:$E$1005)+SUMPRODUCT((MOVIMIENTOS!$B$5:$B$1005="PROCESO")*(MOVIMIENTOS!$C$5:$C$1005="P")*(MOVIMIENTOS!$D$5:$D$1005="jabas")*(MOVIMIENTOS!$A$5:$A$1005&lt;&gt;"")*(MOVIMIENTOS!$A$5:$A$1005&lt;=$A581)*MOVIMIENTOS!$E$5:$E$1005)-SUMPRODUCT((MOVIMIENTOS!$B$5:$B$1005="ENVÍO A SUPESA")*(MOVIMIENTOS!$C$5:$C$1005="P")*(MOVIMIENTOS!$D$5:$D$1005="jabas")*(MOVIMIENTOS!$A$5:$A$1005&lt;&gt;"")*(MOVIMIENTOS!$A$5:$A$1005&lt;=$A581)*MOVIMIENTOS!$E$5:$E$1005)+SUMPRODUCT((MOVIMIENTOS!$B$5:$B$1005="DEVOLUCIÓN")*(MOVIMIENTOS!$C$5:$C$1005="P")*(MOVIMIENTOS!$D$5:$D$1005="jabas")*(MOVIMIENTOS!$A$5:$A$1005&lt;&gt;"")*(MOVIMIENTOS!$A$5:$A$1005&lt;=$A581)*MOVIMIENTOS!$E$5:$E$1005)-SUMPRODUCT((MOVIMIENTOS!$B$5:$B$1005="TRASIEGO")*(MOVIMIENTOS!$C$5:$C$1005="P")*(MOVIMIENTOS!$D$5:$D$1005="jabas")*(MOVIMIENTOS!$A$5:$A$1005&lt;&gt;"")*(MOVIMIENTOS!$A$5:$A$1005&lt;=$A581)*MOVIMIENTOS!$E$5:$E$1005)-SUMPRODUCT((MOVIMIENTOS!$B$5:$B$1005="REGALO")*(MOVIMIENTOS!$C$5:$C$1005="P")*(MOVIMIENTOS!$D$5:$D$1005="jabas")*(MOVIMIENTOS!$A$5:$A$1005&lt;&gt;"")*(MOVIMIENTOS!$A$5:$A$1005&lt;=$A581)*MOVIMIENTOS!$E$5:$E$1005)-SUMPRODUCT((MOVIMIENTOS!$B$5:$B$1005="VENTA")*(MOVIMIENTOS!$C$5:$C$1005="P")*(MOVIMIENTOS!$D$5:$D$1005="jabas")*(MOVIMIENTOS!$A$5:$A$1005&lt;&gt;"")*(MOVIMIENTOS!$A$5:$A$1005&lt;=$A581)*MOVIMIENTOS!$E$5:$E$1005)+SUMPRODUCT((MOVIMIENTOS!$B$5:$B$1005="AJUSTE")*(MOVIMIENTOS!$C$5:$C$1005="P")*(MOVIMIENTOS!$D$5:$D$1005="jabas")*(MOVIMIENTOS!$A$5:$A$1005&lt;&gt;"")*(MOVIMIENTOS!$A$5:$A$1005&lt;=$A581)*MOVIMIENTOS!$E$5:$E$1005))</f>
        <v/>
      </c>
      <c r="D581" t="str">
        <f>IF($A581="","",SUMPRODUCT((MOVIMIENTOS!$B$5:$B$1005="SALDO INICIAL")*(MOVIMIENTOS!$C$5:$C$1005="C")*(MOVIMIENTOS!$D$5:$D$1005="jabas")*(MOVIMIENTOS!$A$5:$A$1005&lt;&gt;"")*(MOVIMIENTOS!$A$5:$A$1005&lt;=$A581)*MOVIMIENTOS!$E$5:$E$1005)+SUMPRODUCT((MOVIMIENTOS!$B$5:$B$1005="PROCESO")*(MOVIMIENTOS!$C$5:$C$1005="C")*(MOVIMIENTOS!$D$5:$D$1005="jabas")*(MOVIMIENTOS!$A$5:$A$1005&lt;&gt;"")*(MOVIMIENTOS!$A$5:$A$1005&lt;=$A581)*MOVIMIENTOS!$E$5:$E$1005)-SUMPRODUCT((MOVIMIENTOS!$B$5:$B$1005="ENVÍO A SUPESA")*(MOVIMIENTOS!$C$5:$C$1005="C")*(MOVIMIENTOS!$D$5:$D$1005="jabas")*(MOVIMIENTOS!$A$5:$A$1005&lt;&gt;"")*(MOVIMIENTOS!$A$5:$A$1005&lt;=$A581)*MOVIMIENTOS!$E$5:$E$1005)+SUMPRODUCT((MOVIMIENTOS!$B$5:$B$1005="DEVOLUCIÓN")*(MOVIMIENTOS!$C$5:$C$1005="C")*(MOVIMIENTOS!$D$5:$D$1005="jabas")*(MOVIMIENTOS!$A$5:$A$1005&lt;&gt;"")*(MOVIMIENTOS!$A$5:$A$1005&lt;=$A581)*MOVIMIENTOS!$E$5:$E$1005)-SUMPRODUCT((MOVIMIENTOS!$B$5:$B$1005="TRASIEGO")*(MOVIMIENTOS!$C$5:$C$1005="C")*(MOVIMIENTOS!$D$5:$D$1005="jabas")*(MOVIMIENTOS!$A$5:$A$1005&lt;&gt;"")*(MOVIMIENTOS!$A$5:$A$1005&lt;=$A581)*MOVIMIENTOS!$E$5:$E$1005)-SUMPRODUCT((MOVIMIENTOS!$B$5:$B$1005="REGALO")*(MOVIMIENTOS!$C$5:$C$1005="C")*(MOVIMIENTOS!$D$5:$D$1005="jabas")*(MOVIMIENTOS!$A$5:$A$1005&lt;&gt;"")*(MOVIMIENTOS!$A$5:$A$1005&lt;=$A581)*MOVIMIENTOS!$E$5:$E$1005)-SUMPRODUCT((MOVIMIENTOS!$B$5:$B$1005="VENTA")*(MOVIMIENTOS!$C$5:$C$1005="C")*(MOVIMIENTOS!$D$5:$D$1005="jabas")*(MOVIMIENTOS!$A$5:$A$1005&lt;&gt;"")*(MOVIMIENTOS!$A$5:$A$1005&lt;=$A581)*MOVIMIENTOS!$E$5:$E$1005)+SUMPRODUCT((MOVIMIENTOS!$B$5:$B$1005="AJUSTE")*(MOVIMIENTOS!$C$5:$C$1005="C")*(MOVIMIENTOS!$D$5:$D$1005="jabas")*(MOVIMIENTOS!$A$5:$A$1005&lt;&gt;"")*(MOVIMIENTOS!$A$5:$A$1005&lt;=$A581)*MOVIMIENTOS!$E$5:$E$1005))</f>
        <v/>
      </c>
      <c r="E581" t="str">
        <f>IF($A581="","",SUMPRODUCT((MOVIMIENTOS!$B$5:$B$1005="SALDO INICIAL")*(MOVIMIENTOS!$C$5:$C$1005="M")*(MOVIMIENTOS!$D$5:$D$1005="jabas")*(MOVIMIENTOS!$A$5:$A$1005&lt;&gt;"")*(MOVIMIENTOS!$A$5:$A$1005&lt;=$A581)*MOVIMIENTOS!$E$5:$E$1005)+SUMPRODUCT((MOVIMIENTOS!$B$5:$B$1005="PROCESO")*(MOVIMIENTOS!$C$5:$C$1005="M")*(MOVIMIENTOS!$D$5:$D$1005="jabas")*(MOVIMIENTOS!$A$5:$A$1005&lt;&gt;"")*(MOVIMIENTOS!$A$5:$A$1005&lt;=$A581)*MOVIMIENTOS!$E$5:$E$1005)-SUMPRODUCT((MOVIMIENTOS!$B$5:$B$1005="ENVÍO A SUPESA")*(MOVIMIENTOS!$C$5:$C$1005="M")*(MOVIMIENTOS!$D$5:$D$1005="jabas")*(MOVIMIENTOS!$A$5:$A$1005&lt;&gt;"")*(MOVIMIENTOS!$A$5:$A$1005&lt;=$A581)*MOVIMIENTOS!$E$5:$E$1005)+SUMPRODUCT((MOVIMIENTOS!$B$5:$B$1005="DEVOLUCIÓN")*(MOVIMIENTOS!$C$5:$C$1005="M")*(MOVIMIENTOS!$D$5:$D$1005="jabas")*(MOVIMIENTOS!$A$5:$A$1005&lt;&gt;"")*(MOVIMIENTOS!$A$5:$A$1005&lt;=$A581)*MOVIMIENTOS!$E$5:$E$1005)-SUMPRODUCT((MOVIMIENTOS!$B$5:$B$1005="TRASIEGO")*(MOVIMIENTOS!$C$5:$C$1005="M")*(MOVIMIENTOS!$D$5:$D$1005="jabas")*(MOVIMIENTOS!$A$5:$A$1005&lt;&gt;"")*(MOVIMIENTOS!$A$5:$A$1005&lt;=$A581)*MOVIMIENTOS!$E$5:$E$1005)-SUMPRODUCT((MOVIMIENTOS!$B$5:$B$1005="REGALO")*(MOVIMIENTOS!$C$5:$C$1005="M")*(MOVIMIENTOS!$D$5:$D$1005="jabas")*(MOVIMIENTOS!$A$5:$A$1005&lt;&gt;"")*(MOVIMIENTOS!$A$5:$A$1005&lt;=$A581)*MOVIMIENTOS!$E$5:$E$1005)-SUMPRODUCT((MOVIMIENTOS!$B$5:$B$1005="VENTA")*(MOVIMIENTOS!$C$5:$C$1005="M")*(MOVIMIENTOS!$D$5:$D$1005="jabas")*(MOVIMIENTOS!$A$5:$A$1005&lt;&gt;"")*(MOVIMIENTOS!$A$5:$A$1005&lt;=$A581)*MOVIMIENTOS!$E$5:$E$1005)+SUMPRODUCT((MOVIMIENTOS!$B$5:$B$1005="AJUSTE")*(MOVIMIENTOS!$C$5:$C$1005="M")*(MOVIMIENTOS!$D$5:$D$1005="jabas")*(MOVIMIENTOS!$A$5:$A$1005&lt;&gt;"")*(MOVIMIENTOS!$A$5:$A$1005&lt;=$A581)*MOVIMIENTOS!$E$5:$E$1005))</f>
        <v/>
      </c>
      <c r="F581" s="62" t="str">
        <f>IF($A581="","",SUMPRODUCT((MOVIMIENTOS!$B$5:$B$1005="SALDO INICIAL")*(MOVIMIENTOS!$C$5:$C$1005="Chancho")*(MOVIMIENTOS!$D$5:$D$1005="sacos")*(MOVIMIENTOS!$A$5:$A$1005&lt;&gt;"")*(MOVIMIENTOS!$A$5:$A$1005&lt;=$A581)*MOVIMIENTOS!$E$5:$E$1005)+SUMPRODUCT((MOVIMIENTOS!$B$5:$B$1005="PROCESO")*(MOVIMIENTOS!$C$5:$C$1005="Chancho")*(MOVIMIENTOS!$D$5:$D$1005="sacos")*(MOVIMIENTOS!$A$5:$A$1005&lt;&gt;"")*(MOVIMIENTOS!$A$5:$A$1005&lt;=$A581)*MOVIMIENTOS!$E$5:$E$1005)-SUMPRODUCT((MOVIMIENTOS!$B$5:$B$1005="VENTA CHANCHO")*(MOVIMIENTOS!$C$5:$C$1005="Chancho")*(MOVIMIENTOS!$D$5:$D$1005="sacos")*(MOVIMIENTOS!$A$5:$A$1005&lt;&gt;"")*(MOVIMIENTOS!$A$5:$A$1005&lt;=$A581)*MOVIMIENTOS!$E$5:$E$1005)-SUMPRODUCT((MOVIMIENTOS!$B$5:$B$1005="REGALO")*(MOVIMIENTOS!$C$5:$C$1005="Chancho")*(MOVIMIENTOS!$D$5:$D$1005="sacos")*(MOVIMIENTOS!$A$5:$A$1005&lt;&gt;"")*(MOVIMIENTOS!$A$5:$A$1005&lt;=$A581)*MOVIMIENTOS!$E$5:$E$1005)-SUMPRODUCT((MOVIMIENTOS!$B$5:$B$1005="VENTA")*(MOVIMIENTOS!$C$5:$C$1005="Chancho")*(MOVIMIENTOS!$D$5:$D$1005="sacos")*(MOVIMIENTOS!$A$5:$A$1005&lt;&gt;"")*(MOVIMIENTOS!$A$5:$A$1005&lt;=$A581)*MOVIMIENTOS!$E$5:$E$1005)+SUMPRODUCT((MOVIMIENTOS!$B$5:$B$1005="AJUSTE")*(MOVIMIENTOS!$C$5:$C$1005="Chancho")*(MOVIMIENTOS!$D$5:$D$1005="sacos")*(MOVIMIENTOS!$A$5:$A$1005&lt;&gt;"")*(MOVIMIENTOS!$A$5:$A$1005&lt;=$A581)*MOVIMIENTOS!$E$5:$E$1005))</f>
        <v/>
      </c>
      <c r="G581" s="62" t="str">
        <f t="shared" ref="G581:G644" si="19">IF($A581="","",SUM(B581:E581))</f>
        <v/>
      </c>
      <c r="H581" t="str">
        <f>IF($A581="","",SUMPRODUCT((((MOVIMIENTOS!$B$5:$B$1005="SALDO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581)*MOVIMIENTOS!$J$5:$J$1005))</f>
        <v/>
      </c>
      <c r="J581" t="str">
        <f>IF(AND(MOVIMIENTOS!$A586&lt;&gt;"",COUNTIF(MOVIMIENTOS!$A$5:$A585,MOVIMIENTOS!$A586)=0),COUNT(J$4:J580)+1,"")</f>
        <v/>
      </c>
      <c r="K581">
        <f>MOVIMIENTOS!$A586</f>
        <v>0</v>
      </c>
    </row>
    <row r="582" spans="1:11" ht="15" customHeight="1" x14ac:dyDescent="0.2">
      <c r="A582" t="str">
        <f t="shared" si="18"/>
        <v/>
      </c>
      <c r="B582" t="str">
        <f>IF($A582="","",SUMPRODUCT((MOVIMIENTOS!$B$5:$B$1005="SALDO INICIAL")*(MOVIMIENTOS!$C$5:$C$1005="A")*(MOVIMIENTOS!$D$5:$D$1005="jabas")*(MOVIMIENTOS!$A$5:$A$1005&lt;&gt;"")*(MOVIMIENTOS!$A$5:$A$1005&lt;=$A582)*MOVIMIENTOS!$E$5:$E$1005)+SUMPRODUCT((MOVIMIENTOS!$B$5:$B$1005="PROCESO")*(MOVIMIENTOS!$C$5:$C$1005="A")*(MOVIMIENTOS!$D$5:$D$1005="jabas")*(MOVIMIENTOS!$A$5:$A$1005&lt;&gt;"")*(MOVIMIENTOS!$A$5:$A$1005&lt;=$A582)*MOVIMIENTOS!$E$5:$E$1005)-SUMPRODUCT((MOVIMIENTOS!$B$5:$B$1005="ENVÍO A SUPESA")*(MOVIMIENTOS!$C$5:$C$1005="A")*(MOVIMIENTOS!$D$5:$D$1005="jabas")*(MOVIMIENTOS!$A$5:$A$1005&lt;&gt;"")*(MOVIMIENTOS!$A$5:$A$1005&lt;=$A582)*MOVIMIENTOS!$E$5:$E$1005)+SUMPRODUCT((MOVIMIENTOS!$B$5:$B$1005="DEVOLUCIÓN")*(MOVIMIENTOS!$C$5:$C$1005="A")*(MOVIMIENTOS!$D$5:$D$1005="jabas")*(MOVIMIENTOS!$A$5:$A$1005&lt;&gt;"")*(MOVIMIENTOS!$A$5:$A$1005&lt;=$A582)*MOVIMIENTOS!$E$5:$E$1005)-SUMPRODUCT((MOVIMIENTOS!$B$5:$B$1005="TRASIEGO")*(MOVIMIENTOS!$C$5:$C$1005="A")*(MOVIMIENTOS!$D$5:$D$1005="jabas")*(MOVIMIENTOS!$A$5:$A$1005&lt;&gt;"")*(MOVIMIENTOS!$A$5:$A$1005&lt;=$A582)*MOVIMIENTOS!$E$5:$E$1005)-SUMPRODUCT((MOVIMIENTOS!$B$5:$B$1005="REGALO")*(MOVIMIENTOS!$C$5:$C$1005="A")*(MOVIMIENTOS!$D$5:$D$1005="jabas")*(MOVIMIENTOS!$A$5:$A$1005&lt;&gt;"")*(MOVIMIENTOS!$A$5:$A$1005&lt;=$A582)*MOVIMIENTOS!$E$5:$E$1005)-SUMPRODUCT((MOVIMIENTOS!$B$5:$B$1005="VENTA")*(MOVIMIENTOS!$C$5:$C$1005="A")*(MOVIMIENTOS!$D$5:$D$1005="jabas")*(MOVIMIENTOS!$A$5:$A$1005&lt;&gt;"")*(MOVIMIENTOS!$A$5:$A$1005&lt;=$A582)*MOVIMIENTOS!$E$5:$E$1005)+SUMPRODUCT((MOVIMIENTOS!$B$5:$B$1005="AJUSTE")*(MOVIMIENTOS!$C$5:$C$1005="A")*(MOVIMIENTOS!$D$5:$D$1005="jabas")*(MOVIMIENTOS!$A$5:$A$1005&lt;&gt;"")*(MOVIMIENTOS!$A$5:$A$1005&lt;=$A582)*MOVIMIENTOS!$E$5:$E$1005))</f>
        <v/>
      </c>
      <c r="C582" t="str">
        <f>IF($A582="","",SUMPRODUCT((MOVIMIENTOS!$B$5:$B$1005="SALDO INICIAL")*(MOVIMIENTOS!$C$5:$C$1005="P")*(MOVIMIENTOS!$D$5:$D$1005="jabas")*(MOVIMIENTOS!$A$5:$A$1005&lt;&gt;"")*(MOVIMIENTOS!$A$5:$A$1005&lt;=$A582)*MOVIMIENTOS!$E$5:$E$1005)+SUMPRODUCT((MOVIMIENTOS!$B$5:$B$1005="PROCESO")*(MOVIMIENTOS!$C$5:$C$1005="P")*(MOVIMIENTOS!$D$5:$D$1005="jabas")*(MOVIMIENTOS!$A$5:$A$1005&lt;&gt;"")*(MOVIMIENTOS!$A$5:$A$1005&lt;=$A582)*MOVIMIENTOS!$E$5:$E$1005)-SUMPRODUCT((MOVIMIENTOS!$B$5:$B$1005="ENVÍO A SUPESA")*(MOVIMIENTOS!$C$5:$C$1005="P")*(MOVIMIENTOS!$D$5:$D$1005="jabas")*(MOVIMIENTOS!$A$5:$A$1005&lt;&gt;"")*(MOVIMIENTOS!$A$5:$A$1005&lt;=$A582)*MOVIMIENTOS!$E$5:$E$1005)+SUMPRODUCT((MOVIMIENTOS!$B$5:$B$1005="DEVOLUCIÓN")*(MOVIMIENTOS!$C$5:$C$1005="P")*(MOVIMIENTOS!$D$5:$D$1005="jabas")*(MOVIMIENTOS!$A$5:$A$1005&lt;&gt;"")*(MOVIMIENTOS!$A$5:$A$1005&lt;=$A582)*MOVIMIENTOS!$E$5:$E$1005)-SUMPRODUCT((MOVIMIENTOS!$B$5:$B$1005="TRASIEGO")*(MOVIMIENTOS!$C$5:$C$1005="P")*(MOVIMIENTOS!$D$5:$D$1005="jabas")*(MOVIMIENTOS!$A$5:$A$1005&lt;&gt;"")*(MOVIMIENTOS!$A$5:$A$1005&lt;=$A582)*MOVIMIENTOS!$E$5:$E$1005)-SUMPRODUCT((MOVIMIENTOS!$B$5:$B$1005="REGALO")*(MOVIMIENTOS!$C$5:$C$1005="P")*(MOVIMIENTOS!$D$5:$D$1005="jabas")*(MOVIMIENTOS!$A$5:$A$1005&lt;&gt;"")*(MOVIMIENTOS!$A$5:$A$1005&lt;=$A582)*MOVIMIENTOS!$E$5:$E$1005)-SUMPRODUCT((MOVIMIENTOS!$B$5:$B$1005="VENTA")*(MOVIMIENTOS!$C$5:$C$1005="P")*(MOVIMIENTOS!$D$5:$D$1005="jabas")*(MOVIMIENTOS!$A$5:$A$1005&lt;&gt;"")*(MOVIMIENTOS!$A$5:$A$1005&lt;=$A582)*MOVIMIENTOS!$E$5:$E$1005)+SUMPRODUCT((MOVIMIENTOS!$B$5:$B$1005="AJUSTE")*(MOVIMIENTOS!$C$5:$C$1005="P")*(MOVIMIENTOS!$D$5:$D$1005="jabas")*(MOVIMIENTOS!$A$5:$A$1005&lt;&gt;"")*(MOVIMIENTOS!$A$5:$A$1005&lt;=$A582)*MOVIMIENTOS!$E$5:$E$1005))</f>
        <v/>
      </c>
      <c r="D582" t="str">
        <f>IF($A582="","",SUMPRODUCT((MOVIMIENTOS!$B$5:$B$1005="SALDO INICIAL")*(MOVIMIENTOS!$C$5:$C$1005="C")*(MOVIMIENTOS!$D$5:$D$1005="jabas")*(MOVIMIENTOS!$A$5:$A$1005&lt;&gt;"")*(MOVIMIENTOS!$A$5:$A$1005&lt;=$A582)*MOVIMIENTOS!$E$5:$E$1005)+SUMPRODUCT((MOVIMIENTOS!$B$5:$B$1005="PROCESO")*(MOVIMIENTOS!$C$5:$C$1005="C")*(MOVIMIENTOS!$D$5:$D$1005="jabas")*(MOVIMIENTOS!$A$5:$A$1005&lt;&gt;"")*(MOVIMIENTOS!$A$5:$A$1005&lt;=$A582)*MOVIMIENTOS!$E$5:$E$1005)-SUMPRODUCT((MOVIMIENTOS!$B$5:$B$1005="ENVÍO A SUPESA")*(MOVIMIENTOS!$C$5:$C$1005="C")*(MOVIMIENTOS!$D$5:$D$1005="jabas")*(MOVIMIENTOS!$A$5:$A$1005&lt;&gt;"")*(MOVIMIENTOS!$A$5:$A$1005&lt;=$A582)*MOVIMIENTOS!$E$5:$E$1005)+SUMPRODUCT((MOVIMIENTOS!$B$5:$B$1005="DEVOLUCIÓN")*(MOVIMIENTOS!$C$5:$C$1005="C")*(MOVIMIENTOS!$D$5:$D$1005="jabas")*(MOVIMIENTOS!$A$5:$A$1005&lt;&gt;"")*(MOVIMIENTOS!$A$5:$A$1005&lt;=$A582)*MOVIMIENTOS!$E$5:$E$1005)-SUMPRODUCT((MOVIMIENTOS!$B$5:$B$1005="TRASIEGO")*(MOVIMIENTOS!$C$5:$C$1005="C")*(MOVIMIENTOS!$D$5:$D$1005="jabas")*(MOVIMIENTOS!$A$5:$A$1005&lt;&gt;"")*(MOVIMIENTOS!$A$5:$A$1005&lt;=$A582)*MOVIMIENTOS!$E$5:$E$1005)-SUMPRODUCT((MOVIMIENTOS!$B$5:$B$1005="REGALO")*(MOVIMIENTOS!$C$5:$C$1005="C")*(MOVIMIENTOS!$D$5:$D$1005="jabas")*(MOVIMIENTOS!$A$5:$A$1005&lt;&gt;"")*(MOVIMIENTOS!$A$5:$A$1005&lt;=$A582)*MOVIMIENTOS!$E$5:$E$1005)-SUMPRODUCT((MOVIMIENTOS!$B$5:$B$1005="VENTA")*(MOVIMIENTOS!$C$5:$C$1005="C")*(MOVIMIENTOS!$D$5:$D$1005="jabas")*(MOVIMIENTOS!$A$5:$A$1005&lt;&gt;"")*(MOVIMIENTOS!$A$5:$A$1005&lt;=$A582)*MOVIMIENTOS!$E$5:$E$1005)+SUMPRODUCT((MOVIMIENTOS!$B$5:$B$1005="AJUSTE")*(MOVIMIENTOS!$C$5:$C$1005="C")*(MOVIMIENTOS!$D$5:$D$1005="jabas")*(MOVIMIENTOS!$A$5:$A$1005&lt;&gt;"")*(MOVIMIENTOS!$A$5:$A$1005&lt;=$A582)*MOVIMIENTOS!$E$5:$E$1005))</f>
        <v/>
      </c>
      <c r="E582" t="str">
        <f>IF($A582="","",SUMPRODUCT((MOVIMIENTOS!$B$5:$B$1005="SALDO INICIAL")*(MOVIMIENTOS!$C$5:$C$1005="M")*(MOVIMIENTOS!$D$5:$D$1005="jabas")*(MOVIMIENTOS!$A$5:$A$1005&lt;&gt;"")*(MOVIMIENTOS!$A$5:$A$1005&lt;=$A582)*MOVIMIENTOS!$E$5:$E$1005)+SUMPRODUCT((MOVIMIENTOS!$B$5:$B$1005="PROCESO")*(MOVIMIENTOS!$C$5:$C$1005="M")*(MOVIMIENTOS!$D$5:$D$1005="jabas")*(MOVIMIENTOS!$A$5:$A$1005&lt;&gt;"")*(MOVIMIENTOS!$A$5:$A$1005&lt;=$A582)*MOVIMIENTOS!$E$5:$E$1005)-SUMPRODUCT((MOVIMIENTOS!$B$5:$B$1005="ENVÍO A SUPESA")*(MOVIMIENTOS!$C$5:$C$1005="M")*(MOVIMIENTOS!$D$5:$D$1005="jabas")*(MOVIMIENTOS!$A$5:$A$1005&lt;&gt;"")*(MOVIMIENTOS!$A$5:$A$1005&lt;=$A582)*MOVIMIENTOS!$E$5:$E$1005)+SUMPRODUCT((MOVIMIENTOS!$B$5:$B$1005="DEVOLUCIÓN")*(MOVIMIENTOS!$C$5:$C$1005="M")*(MOVIMIENTOS!$D$5:$D$1005="jabas")*(MOVIMIENTOS!$A$5:$A$1005&lt;&gt;"")*(MOVIMIENTOS!$A$5:$A$1005&lt;=$A582)*MOVIMIENTOS!$E$5:$E$1005)-SUMPRODUCT((MOVIMIENTOS!$B$5:$B$1005="TRASIEGO")*(MOVIMIENTOS!$C$5:$C$1005="M")*(MOVIMIENTOS!$D$5:$D$1005="jabas")*(MOVIMIENTOS!$A$5:$A$1005&lt;&gt;"")*(MOVIMIENTOS!$A$5:$A$1005&lt;=$A582)*MOVIMIENTOS!$E$5:$E$1005)-SUMPRODUCT((MOVIMIENTOS!$B$5:$B$1005="REGALO")*(MOVIMIENTOS!$C$5:$C$1005="M")*(MOVIMIENTOS!$D$5:$D$1005="jabas")*(MOVIMIENTOS!$A$5:$A$1005&lt;&gt;"")*(MOVIMIENTOS!$A$5:$A$1005&lt;=$A582)*MOVIMIENTOS!$E$5:$E$1005)-SUMPRODUCT((MOVIMIENTOS!$B$5:$B$1005="VENTA")*(MOVIMIENTOS!$C$5:$C$1005="M")*(MOVIMIENTOS!$D$5:$D$1005="jabas")*(MOVIMIENTOS!$A$5:$A$1005&lt;&gt;"")*(MOVIMIENTOS!$A$5:$A$1005&lt;=$A582)*MOVIMIENTOS!$E$5:$E$1005)+SUMPRODUCT((MOVIMIENTOS!$B$5:$B$1005="AJUSTE")*(MOVIMIENTOS!$C$5:$C$1005="M")*(MOVIMIENTOS!$D$5:$D$1005="jabas")*(MOVIMIENTOS!$A$5:$A$1005&lt;&gt;"")*(MOVIMIENTOS!$A$5:$A$1005&lt;=$A582)*MOVIMIENTOS!$E$5:$E$1005))</f>
        <v/>
      </c>
      <c r="F582" s="62" t="str">
        <f>IF($A582="","",SUMPRODUCT((MOVIMIENTOS!$B$5:$B$1005="SALDO INICIAL")*(MOVIMIENTOS!$C$5:$C$1005="Chancho")*(MOVIMIENTOS!$D$5:$D$1005="sacos")*(MOVIMIENTOS!$A$5:$A$1005&lt;&gt;"")*(MOVIMIENTOS!$A$5:$A$1005&lt;=$A582)*MOVIMIENTOS!$E$5:$E$1005)+SUMPRODUCT((MOVIMIENTOS!$B$5:$B$1005="PROCESO")*(MOVIMIENTOS!$C$5:$C$1005="Chancho")*(MOVIMIENTOS!$D$5:$D$1005="sacos")*(MOVIMIENTOS!$A$5:$A$1005&lt;&gt;"")*(MOVIMIENTOS!$A$5:$A$1005&lt;=$A582)*MOVIMIENTOS!$E$5:$E$1005)-SUMPRODUCT((MOVIMIENTOS!$B$5:$B$1005="VENTA CHANCHO")*(MOVIMIENTOS!$C$5:$C$1005="Chancho")*(MOVIMIENTOS!$D$5:$D$1005="sacos")*(MOVIMIENTOS!$A$5:$A$1005&lt;&gt;"")*(MOVIMIENTOS!$A$5:$A$1005&lt;=$A582)*MOVIMIENTOS!$E$5:$E$1005)-SUMPRODUCT((MOVIMIENTOS!$B$5:$B$1005="REGALO")*(MOVIMIENTOS!$C$5:$C$1005="Chancho")*(MOVIMIENTOS!$D$5:$D$1005="sacos")*(MOVIMIENTOS!$A$5:$A$1005&lt;&gt;"")*(MOVIMIENTOS!$A$5:$A$1005&lt;=$A582)*MOVIMIENTOS!$E$5:$E$1005)-SUMPRODUCT((MOVIMIENTOS!$B$5:$B$1005="VENTA")*(MOVIMIENTOS!$C$5:$C$1005="Chancho")*(MOVIMIENTOS!$D$5:$D$1005="sacos")*(MOVIMIENTOS!$A$5:$A$1005&lt;&gt;"")*(MOVIMIENTOS!$A$5:$A$1005&lt;=$A582)*MOVIMIENTOS!$E$5:$E$1005)+SUMPRODUCT((MOVIMIENTOS!$B$5:$B$1005="AJUSTE")*(MOVIMIENTOS!$C$5:$C$1005="Chancho")*(MOVIMIENTOS!$D$5:$D$1005="sacos")*(MOVIMIENTOS!$A$5:$A$1005&lt;&gt;"")*(MOVIMIENTOS!$A$5:$A$1005&lt;=$A582)*MOVIMIENTOS!$E$5:$E$1005))</f>
        <v/>
      </c>
      <c r="G582" s="62" t="str">
        <f t="shared" si="19"/>
        <v/>
      </c>
      <c r="H582" t="str">
        <f>IF($A582="","",SUMPRODUCT((((MOVIMIENTOS!$B$5:$B$1005="SALDO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582)*MOVIMIENTOS!$J$5:$J$1005))</f>
        <v/>
      </c>
      <c r="J582" t="str">
        <f>IF(AND(MOVIMIENTOS!$A587&lt;&gt;"",COUNTIF(MOVIMIENTOS!$A$5:$A586,MOVIMIENTOS!$A587)=0),COUNT(J$4:J581)+1,"")</f>
        <v/>
      </c>
      <c r="K582">
        <f>MOVIMIENTOS!$A587</f>
        <v>0</v>
      </c>
    </row>
    <row r="583" spans="1:11" ht="15" customHeight="1" x14ac:dyDescent="0.2">
      <c r="A583" t="str">
        <f t="shared" si="18"/>
        <v/>
      </c>
      <c r="B583" t="str">
        <f>IF($A583="","",SUMPRODUCT((MOVIMIENTOS!$B$5:$B$1005="SALDO INICIAL")*(MOVIMIENTOS!$C$5:$C$1005="A")*(MOVIMIENTOS!$D$5:$D$1005="jabas")*(MOVIMIENTOS!$A$5:$A$1005&lt;&gt;"")*(MOVIMIENTOS!$A$5:$A$1005&lt;=$A583)*MOVIMIENTOS!$E$5:$E$1005)+SUMPRODUCT((MOVIMIENTOS!$B$5:$B$1005="PROCESO")*(MOVIMIENTOS!$C$5:$C$1005="A")*(MOVIMIENTOS!$D$5:$D$1005="jabas")*(MOVIMIENTOS!$A$5:$A$1005&lt;&gt;"")*(MOVIMIENTOS!$A$5:$A$1005&lt;=$A583)*MOVIMIENTOS!$E$5:$E$1005)-SUMPRODUCT((MOVIMIENTOS!$B$5:$B$1005="ENVÍO A SUPESA")*(MOVIMIENTOS!$C$5:$C$1005="A")*(MOVIMIENTOS!$D$5:$D$1005="jabas")*(MOVIMIENTOS!$A$5:$A$1005&lt;&gt;"")*(MOVIMIENTOS!$A$5:$A$1005&lt;=$A583)*MOVIMIENTOS!$E$5:$E$1005)+SUMPRODUCT((MOVIMIENTOS!$B$5:$B$1005="DEVOLUCIÓN")*(MOVIMIENTOS!$C$5:$C$1005="A")*(MOVIMIENTOS!$D$5:$D$1005="jabas")*(MOVIMIENTOS!$A$5:$A$1005&lt;&gt;"")*(MOVIMIENTOS!$A$5:$A$1005&lt;=$A583)*MOVIMIENTOS!$E$5:$E$1005)-SUMPRODUCT((MOVIMIENTOS!$B$5:$B$1005="TRASIEGO")*(MOVIMIENTOS!$C$5:$C$1005="A")*(MOVIMIENTOS!$D$5:$D$1005="jabas")*(MOVIMIENTOS!$A$5:$A$1005&lt;&gt;"")*(MOVIMIENTOS!$A$5:$A$1005&lt;=$A583)*MOVIMIENTOS!$E$5:$E$1005)-SUMPRODUCT((MOVIMIENTOS!$B$5:$B$1005="REGALO")*(MOVIMIENTOS!$C$5:$C$1005="A")*(MOVIMIENTOS!$D$5:$D$1005="jabas")*(MOVIMIENTOS!$A$5:$A$1005&lt;&gt;"")*(MOVIMIENTOS!$A$5:$A$1005&lt;=$A583)*MOVIMIENTOS!$E$5:$E$1005)-SUMPRODUCT((MOVIMIENTOS!$B$5:$B$1005="VENTA")*(MOVIMIENTOS!$C$5:$C$1005="A")*(MOVIMIENTOS!$D$5:$D$1005="jabas")*(MOVIMIENTOS!$A$5:$A$1005&lt;&gt;"")*(MOVIMIENTOS!$A$5:$A$1005&lt;=$A583)*MOVIMIENTOS!$E$5:$E$1005)+SUMPRODUCT((MOVIMIENTOS!$B$5:$B$1005="AJUSTE")*(MOVIMIENTOS!$C$5:$C$1005="A")*(MOVIMIENTOS!$D$5:$D$1005="jabas")*(MOVIMIENTOS!$A$5:$A$1005&lt;&gt;"")*(MOVIMIENTOS!$A$5:$A$1005&lt;=$A583)*MOVIMIENTOS!$E$5:$E$1005))</f>
        <v/>
      </c>
      <c r="C583" t="str">
        <f>IF($A583="","",SUMPRODUCT((MOVIMIENTOS!$B$5:$B$1005="SALDO INICIAL")*(MOVIMIENTOS!$C$5:$C$1005="P")*(MOVIMIENTOS!$D$5:$D$1005="jabas")*(MOVIMIENTOS!$A$5:$A$1005&lt;&gt;"")*(MOVIMIENTOS!$A$5:$A$1005&lt;=$A583)*MOVIMIENTOS!$E$5:$E$1005)+SUMPRODUCT((MOVIMIENTOS!$B$5:$B$1005="PROCESO")*(MOVIMIENTOS!$C$5:$C$1005="P")*(MOVIMIENTOS!$D$5:$D$1005="jabas")*(MOVIMIENTOS!$A$5:$A$1005&lt;&gt;"")*(MOVIMIENTOS!$A$5:$A$1005&lt;=$A583)*MOVIMIENTOS!$E$5:$E$1005)-SUMPRODUCT((MOVIMIENTOS!$B$5:$B$1005="ENVÍO A SUPESA")*(MOVIMIENTOS!$C$5:$C$1005="P")*(MOVIMIENTOS!$D$5:$D$1005="jabas")*(MOVIMIENTOS!$A$5:$A$1005&lt;&gt;"")*(MOVIMIENTOS!$A$5:$A$1005&lt;=$A583)*MOVIMIENTOS!$E$5:$E$1005)+SUMPRODUCT((MOVIMIENTOS!$B$5:$B$1005="DEVOLUCIÓN")*(MOVIMIENTOS!$C$5:$C$1005="P")*(MOVIMIENTOS!$D$5:$D$1005="jabas")*(MOVIMIENTOS!$A$5:$A$1005&lt;&gt;"")*(MOVIMIENTOS!$A$5:$A$1005&lt;=$A583)*MOVIMIENTOS!$E$5:$E$1005)-SUMPRODUCT((MOVIMIENTOS!$B$5:$B$1005="TRASIEGO")*(MOVIMIENTOS!$C$5:$C$1005="P")*(MOVIMIENTOS!$D$5:$D$1005="jabas")*(MOVIMIENTOS!$A$5:$A$1005&lt;&gt;"")*(MOVIMIENTOS!$A$5:$A$1005&lt;=$A583)*MOVIMIENTOS!$E$5:$E$1005)-SUMPRODUCT((MOVIMIENTOS!$B$5:$B$1005="REGALO")*(MOVIMIENTOS!$C$5:$C$1005="P")*(MOVIMIENTOS!$D$5:$D$1005="jabas")*(MOVIMIENTOS!$A$5:$A$1005&lt;&gt;"")*(MOVIMIENTOS!$A$5:$A$1005&lt;=$A583)*MOVIMIENTOS!$E$5:$E$1005)-SUMPRODUCT((MOVIMIENTOS!$B$5:$B$1005="VENTA")*(MOVIMIENTOS!$C$5:$C$1005="P")*(MOVIMIENTOS!$D$5:$D$1005="jabas")*(MOVIMIENTOS!$A$5:$A$1005&lt;&gt;"")*(MOVIMIENTOS!$A$5:$A$1005&lt;=$A583)*MOVIMIENTOS!$E$5:$E$1005)+SUMPRODUCT((MOVIMIENTOS!$B$5:$B$1005="AJUSTE")*(MOVIMIENTOS!$C$5:$C$1005="P")*(MOVIMIENTOS!$D$5:$D$1005="jabas")*(MOVIMIENTOS!$A$5:$A$1005&lt;&gt;"")*(MOVIMIENTOS!$A$5:$A$1005&lt;=$A583)*MOVIMIENTOS!$E$5:$E$1005))</f>
        <v/>
      </c>
      <c r="D583" t="str">
        <f>IF($A583="","",SUMPRODUCT((MOVIMIENTOS!$B$5:$B$1005="SALDO INICIAL")*(MOVIMIENTOS!$C$5:$C$1005="C")*(MOVIMIENTOS!$D$5:$D$1005="jabas")*(MOVIMIENTOS!$A$5:$A$1005&lt;&gt;"")*(MOVIMIENTOS!$A$5:$A$1005&lt;=$A583)*MOVIMIENTOS!$E$5:$E$1005)+SUMPRODUCT((MOVIMIENTOS!$B$5:$B$1005="PROCESO")*(MOVIMIENTOS!$C$5:$C$1005="C")*(MOVIMIENTOS!$D$5:$D$1005="jabas")*(MOVIMIENTOS!$A$5:$A$1005&lt;&gt;"")*(MOVIMIENTOS!$A$5:$A$1005&lt;=$A583)*MOVIMIENTOS!$E$5:$E$1005)-SUMPRODUCT((MOVIMIENTOS!$B$5:$B$1005="ENVÍO A SUPESA")*(MOVIMIENTOS!$C$5:$C$1005="C")*(MOVIMIENTOS!$D$5:$D$1005="jabas")*(MOVIMIENTOS!$A$5:$A$1005&lt;&gt;"")*(MOVIMIENTOS!$A$5:$A$1005&lt;=$A583)*MOVIMIENTOS!$E$5:$E$1005)+SUMPRODUCT((MOVIMIENTOS!$B$5:$B$1005="DEVOLUCIÓN")*(MOVIMIENTOS!$C$5:$C$1005="C")*(MOVIMIENTOS!$D$5:$D$1005="jabas")*(MOVIMIENTOS!$A$5:$A$1005&lt;&gt;"")*(MOVIMIENTOS!$A$5:$A$1005&lt;=$A583)*MOVIMIENTOS!$E$5:$E$1005)-SUMPRODUCT((MOVIMIENTOS!$B$5:$B$1005="TRASIEGO")*(MOVIMIENTOS!$C$5:$C$1005="C")*(MOVIMIENTOS!$D$5:$D$1005="jabas")*(MOVIMIENTOS!$A$5:$A$1005&lt;&gt;"")*(MOVIMIENTOS!$A$5:$A$1005&lt;=$A583)*MOVIMIENTOS!$E$5:$E$1005)-SUMPRODUCT((MOVIMIENTOS!$B$5:$B$1005="REGALO")*(MOVIMIENTOS!$C$5:$C$1005="C")*(MOVIMIENTOS!$D$5:$D$1005="jabas")*(MOVIMIENTOS!$A$5:$A$1005&lt;&gt;"")*(MOVIMIENTOS!$A$5:$A$1005&lt;=$A583)*MOVIMIENTOS!$E$5:$E$1005)-SUMPRODUCT((MOVIMIENTOS!$B$5:$B$1005="VENTA")*(MOVIMIENTOS!$C$5:$C$1005="C")*(MOVIMIENTOS!$D$5:$D$1005="jabas")*(MOVIMIENTOS!$A$5:$A$1005&lt;&gt;"")*(MOVIMIENTOS!$A$5:$A$1005&lt;=$A583)*MOVIMIENTOS!$E$5:$E$1005)+SUMPRODUCT((MOVIMIENTOS!$B$5:$B$1005="AJUSTE")*(MOVIMIENTOS!$C$5:$C$1005="C")*(MOVIMIENTOS!$D$5:$D$1005="jabas")*(MOVIMIENTOS!$A$5:$A$1005&lt;&gt;"")*(MOVIMIENTOS!$A$5:$A$1005&lt;=$A583)*MOVIMIENTOS!$E$5:$E$1005))</f>
        <v/>
      </c>
      <c r="E583" t="str">
        <f>IF($A583="","",SUMPRODUCT((MOVIMIENTOS!$B$5:$B$1005="SALDO INICIAL")*(MOVIMIENTOS!$C$5:$C$1005="M")*(MOVIMIENTOS!$D$5:$D$1005="jabas")*(MOVIMIENTOS!$A$5:$A$1005&lt;&gt;"")*(MOVIMIENTOS!$A$5:$A$1005&lt;=$A583)*MOVIMIENTOS!$E$5:$E$1005)+SUMPRODUCT((MOVIMIENTOS!$B$5:$B$1005="PROCESO")*(MOVIMIENTOS!$C$5:$C$1005="M")*(MOVIMIENTOS!$D$5:$D$1005="jabas")*(MOVIMIENTOS!$A$5:$A$1005&lt;&gt;"")*(MOVIMIENTOS!$A$5:$A$1005&lt;=$A583)*MOVIMIENTOS!$E$5:$E$1005)-SUMPRODUCT((MOVIMIENTOS!$B$5:$B$1005="ENVÍO A SUPESA")*(MOVIMIENTOS!$C$5:$C$1005="M")*(MOVIMIENTOS!$D$5:$D$1005="jabas")*(MOVIMIENTOS!$A$5:$A$1005&lt;&gt;"")*(MOVIMIENTOS!$A$5:$A$1005&lt;=$A583)*MOVIMIENTOS!$E$5:$E$1005)+SUMPRODUCT((MOVIMIENTOS!$B$5:$B$1005="DEVOLUCIÓN")*(MOVIMIENTOS!$C$5:$C$1005="M")*(MOVIMIENTOS!$D$5:$D$1005="jabas")*(MOVIMIENTOS!$A$5:$A$1005&lt;&gt;"")*(MOVIMIENTOS!$A$5:$A$1005&lt;=$A583)*MOVIMIENTOS!$E$5:$E$1005)-SUMPRODUCT((MOVIMIENTOS!$B$5:$B$1005="TRASIEGO")*(MOVIMIENTOS!$C$5:$C$1005="M")*(MOVIMIENTOS!$D$5:$D$1005="jabas")*(MOVIMIENTOS!$A$5:$A$1005&lt;&gt;"")*(MOVIMIENTOS!$A$5:$A$1005&lt;=$A583)*MOVIMIENTOS!$E$5:$E$1005)-SUMPRODUCT((MOVIMIENTOS!$B$5:$B$1005="REGALO")*(MOVIMIENTOS!$C$5:$C$1005="M")*(MOVIMIENTOS!$D$5:$D$1005="jabas")*(MOVIMIENTOS!$A$5:$A$1005&lt;&gt;"")*(MOVIMIENTOS!$A$5:$A$1005&lt;=$A583)*MOVIMIENTOS!$E$5:$E$1005)-SUMPRODUCT((MOVIMIENTOS!$B$5:$B$1005="VENTA")*(MOVIMIENTOS!$C$5:$C$1005="M")*(MOVIMIENTOS!$D$5:$D$1005="jabas")*(MOVIMIENTOS!$A$5:$A$1005&lt;&gt;"")*(MOVIMIENTOS!$A$5:$A$1005&lt;=$A583)*MOVIMIENTOS!$E$5:$E$1005)+SUMPRODUCT((MOVIMIENTOS!$B$5:$B$1005="AJUSTE")*(MOVIMIENTOS!$C$5:$C$1005="M")*(MOVIMIENTOS!$D$5:$D$1005="jabas")*(MOVIMIENTOS!$A$5:$A$1005&lt;&gt;"")*(MOVIMIENTOS!$A$5:$A$1005&lt;=$A583)*MOVIMIENTOS!$E$5:$E$1005))</f>
        <v/>
      </c>
      <c r="F583" s="62" t="str">
        <f>IF($A583="","",SUMPRODUCT((MOVIMIENTOS!$B$5:$B$1005="SALDO INICIAL")*(MOVIMIENTOS!$C$5:$C$1005="Chancho")*(MOVIMIENTOS!$D$5:$D$1005="sacos")*(MOVIMIENTOS!$A$5:$A$1005&lt;&gt;"")*(MOVIMIENTOS!$A$5:$A$1005&lt;=$A583)*MOVIMIENTOS!$E$5:$E$1005)+SUMPRODUCT((MOVIMIENTOS!$B$5:$B$1005="PROCESO")*(MOVIMIENTOS!$C$5:$C$1005="Chancho")*(MOVIMIENTOS!$D$5:$D$1005="sacos")*(MOVIMIENTOS!$A$5:$A$1005&lt;&gt;"")*(MOVIMIENTOS!$A$5:$A$1005&lt;=$A583)*MOVIMIENTOS!$E$5:$E$1005)-SUMPRODUCT((MOVIMIENTOS!$B$5:$B$1005="VENTA CHANCHO")*(MOVIMIENTOS!$C$5:$C$1005="Chancho")*(MOVIMIENTOS!$D$5:$D$1005="sacos")*(MOVIMIENTOS!$A$5:$A$1005&lt;&gt;"")*(MOVIMIENTOS!$A$5:$A$1005&lt;=$A583)*MOVIMIENTOS!$E$5:$E$1005)-SUMPRODUCT((MOVIMIENTOS!$B$5:$B$1005="REGALO")*(MOVIMIENTOS!$C$5:$C$1005="Chancho")*(MOVIMIENTOS!$D$5:$D$1005="sacos")*(MOVIMIENTOS!$A$5:$A$1005&lt;&gt;"")*(MOVIMIENTOS!$A$5:$A$1005&lt;=$A583)*MOVIMIENTOS!$E$5:$E$1005)-SUMPRODUCT((MOVIMIENTOS!$B$5:$B$1005="VENTA")*(MOVIMIENTOS!$C$5:$C$1005="Chancho")*(MOVIMIENTOS!$D$5:$D$1005="sacos")*(MOVIMIENTOS!$A$5:$A$1005&lt;&gt;"")*(MOVIMIENTOS!$A$5:$A$1005&lt;=$A583)*MOVIMIENTOS!$E$5:$E$1005)+SUMPRODUCT((MOVIMIENTOS!$B$5:$B$1005="AJUSTE")*(MOVIMIENTOS!$C$5:$C$1005="Chancho")*(MOVIMIENTOS!$D$5:$D$1005="sacos")*(MOVIMIENTOS!$A$5:$A$1005&lt;&gt;"")*(MOVIMIENTOS!$A$5:$A$1005&lt;=$A583)*MOVIMIENTOS!$E$5:$E$1005))</f>
        <v/>
      </c>
      <c r="G583" s="62" t="str">
        <f t="shared" si="19"/>
        <v/>
      </c>
      <c r="H583" t="str">
        <f>IF($A583="","",SUMPRODUCT((((MOVIMIENTOS!$B$5:$B$1005="SALDO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583)*MOVIMIENTOS!$J$5:$J$1005))</f>
        <v/>
      </c>
      <c r="J583" t="str">
        <f>IF(AND(MOVIMIENTOS!$A588&lt;&gt;"",COUNTIF(MOVIMIENTOS!$A$5:$A587,MOVIMIENTOS!$A588)=0),COUNT(J$4:J582)+1,"")</f>
        <v/>
      </c>
      <c r="K583">
        <f>MOVIMIENTOS!$A588</f>
        <v>0</v>
      </c>
    </row>
    <row r="584" spans="1:11" ht="15" customHeight="1" x14ac:dyDescent="0.2">
      <c r="A584" t="str">
        <f t="shared" si="18"/>
        <v/>
      </c>
      <c r="B584" t="str">
        <f>IF($A584="","",SUMPRODUCT((MOVIMIENTOS!$B$5:$B$1005="SALDO INICIAL")*(MOVIMIENTOS!$C$5:$C$1005="A")*(MOVIMIENTOS!$D$5:$D$1005="jabas")*(MOVIMIENTOS!$A$5:$A$1005&lt;&gt;"")*(MOVIMIENTOS!$A$5:$A$1005&lt;=$A584)*MOVIMIENTOS!$E$5:$E$1005)+SUMPRODUCT((MOVIMIENTOS!$B$5:$B$1005="PROCESO")*(MOVIMIENTOS!$C$5:$C$1005="A")*(MOVIMIENTOS!$D$5:$D$1005="jabas")*(MOVIMIENTOS!$A$5:$A$1005&lt;&gt;"")*(MOVIMIENTOS!$A$5:$A$1005&lt;=$A584)*MOVIMIENTOS!$E$5:$E$1005)-SUMPRODUCT((MOVIMIENTOS!$B$5:$B$1005="ENVÍO A SUPESA")*(MOVIMIENTOS!$C$5:$C$1005="A")*(MOVIMIENTOS!$D$5:$D$1005="jabas")*(MOVIMIENTOS!$A$5:$A$1005&lt;&gt;"")*(MOVIMIENTOS!$A$5:$A$1005&lt;=$A584)*MOVIMIENTOS!$E$5:$E$1005)+SUMPRODUCT((MOVIMIENTOS!$B$5:$B$1005="DEVOLUCIÓN")*(MOVIMIENTOS!$C$5:$C$1005="A")*(MOVIMIENTOS!$D$5:$D$1005="jabas")*(MOVIMIENTOS!$A$5:$A$1005&lt;&gt;"")*(MOVIMIENTOS!$A$5:$A$1005&lt;=$A584)*MOVIMIENTOS!$E$5:$E$1005)-SUMPRODUCT((MOVIMIENTOS!$B$5:$B$1005="TRASIEGO")*(MOVIMIENTOS!$C$5:$C$1005="A")*(MOVIMIENTOS!$D$5:$D$1005="jabas")*(MOVIMIENTOS!$A$5:$A$1005&lt;&gt;"")*(MOVIMIENTOS!$A$5:$A$1005&lt;=$A584)*MOVIMIENTOS!$E$5:$E$1005)-SUMPRODUCT((MOVIMIENTOS!$B$5:$B$1005="REGALO")*(MOVIMIENTOS!$C$5:$C$1005="A")*(MOVIMIENTOS!$D$5:$D$1005="jabas")*(MOVIMIENTOS!$A$5:$A$1005&lt;&gt;"")*(MOVIMIENTOS!$A$5:$A$1005&lt;=$A584)*MOVIMIENTOS!$E$5:$E$1005)-SUMPRODUCT((MOVIMIENTOS!$B$5:$B$1005="VENTA")*(MOVIMIENTOS!$C$5:$C$1005="A")*(MOVIMIENTOS!$D$5:$D$1005="jabas")*(MOVIMIENTOS!$A$5:$A$1005&lt;&gt;"")*(MOVIMIENTOS!$A$5:$A$1005&lt;=$A584)*MOVIMIENTOS!$E$5:$E$1005)+SUMPRODUCT((MOVIMIENTOS!$B$5:$B$1005="AJUSTE")*(MOVIMIENTOS!$C$5:$C$1005="A")*(MOVIMIENTOS!$D$5:$D$1005="jabas")*(MOVIMIENTOS!$A$5:$A$1005&lt;&gt;"")*(MOVIMIENTOS!$A$5:$A$1005&lt;=$A584)*MOVIMIENTOS!$E$5:$E$1005))</f>
        <v/>
      </c>
      <c r="C584" t="str">
        <f>IF($A584="","",SUMPRODUCT((MOVIMIENTOS!$B$5:$B$1005="SALDO INICIAL")*(MOVIMIENTOS!$C$5:$C$1005="P")*(MOVIMIENTOS!$D$5:$D$1005="jabas")*(MOVIMIENTOS!$A$5:$A$1005&lt;&gt;"")*(MOVIMIENTOS!$A$5:$A$1005&lt;=$A584)*MOVIMIENTOS!$E$5:$E$1005)+SUMPRODUCT((MOVIMIENTOS!$B$5:$B$1005="PROCESO")*(MOVIMIENTOS!$C$5:$C$1005="P")*(MOVIMIENTOS!$D$5:$D$1005="jabas")*(MOVIMIENTOS!$A$5:$A$1005&lt;&gt;"")*(MOVIMIENTOS!$A$5:$A$1005&lt;=$A584)*MOVIMIENTOS!$E$5:$E$1005)-SUMPRODUCT((MOVIMIENTOS!$B$5:$B$1005="ENVÍO A SUPESA")*(MOVIMIENTOS!$C$5:$C$1005="P")*(MOVIMIENTOS!$D$5:$D$1005="jabas")*(MOVIMIENTOS!$A$5:$A$1005&lt;&gt;"")*(MOVIMIENTOS!$A$5:$A$1005&lt;=$A584)*MOVIMIENTOS!$E$5:$E$1005)+SUMPRODUCT((MOVIMIENTOS!$B$5:$B$1005="DEVOLUCIÓN")*(MOVIMIENTOS!$C$5:$C$1005="P")*(MOVIMIENTOS!$D$5:$D$1005="jabas")*(MOVIMIENTOS!$A$5:$A$1005&lt;&gt;"")*(MOVIMIENTOS!$A$5:$A$1005&lt;=$A584)*MOVIMIENTOS!$E$5:$E$1005)-SUMPRODUCT((MOVIMIENTOS!$B$5:$B$1005="TRASIEGO")*(MOVIMIENTOS!$C$5:$C$1005="P")*(MOVIMIENTOS!$D$5:$D$1005="jabas")*(MOVIMIENTOS!$A$5:$A$1005&lt;&gt;"")*(MOVIMIENTOS!$A$5:$A$1005&lt;=$A584)*MOVIMIENTOS!$E$5:$E$1005)-SUMPRODUCT((MOVIMIENTOS!$B$5:$B$1005="REGALO")*(MOVIMIENTOS!$C$5:$C$1005="P")*(MOVIMIENTOS!$D$5:$D$1005="jabas")*(MOVIMIENTOS!$A$5:$A$1005&lt;&gt;"")*(MOVIMIENTOS!$A$5:$A$1005&lt;=$A584)*MOVIMIENTOS!$E$5:$E$1005)-SUMPRODUCT((MOVIMIENTOS!$B$5:$B$1005="VENTA")*(MOVIMIENTOS!$C$5:$C$1005="P")*(MOVIMIENTOS!$D$5:$D$1005="jabas")*(MOVIMIENTOS!$A$5:$A$1005&lt;&gt;"")*(MOVIMIENTOS!$A$5:$A$1005&lt;=$A584)*MOVIMIENTOS!$E$5:$E$1005)+SUMPRODUCT((MOVIMIENTOS!$B$5:$B$1005="AJUSTE")*(MOVIMIENTOS!$C$5:$C$1005="P")*(MOVIMIENTOS!$D$5:$D$1005="jabas")*(MOVIMIENTOS!$A$5:$A$1005&lt;&gt;"")*(MOVIMIENTOS!$A$5:$A$1005&lt;=$A584)*MOVIMIENTOS!$E$5:$E$1005))</f>
        <v/>
      </c>
      <c r="D584" t="str">
        <f>IF($A584="","",SUMPRODUCT((MOVIMIENTOS!$B$5:$B$1005="SALDO INICIAL")*(MOVIMIENTOS!$C$5:$C$1005="C")*(MOVIMIENTOS!$D$5:$D$1005="jabas")*(MOVIMIENTOS!$A$5:$A$1005&lt;&gt;"")*(MOVIMIENTOS!$A$5:$A$1005&lt;=$A584)*MOVIMIENTOS!$E$5:$E$1005)+SUMPRODUCT((MOVIMIENTOS!$B$5:$B$1005="PROCESO")*(MOVIMIENTOS!$C$5:$C$1005="C")*(MOVIMIENTOS!$D$5:$D$1005="jabas")*(MOVIMIENTOS!$A$5:$A$1005&lt;&gt;"")*(MOVIMIENTOS!$A$5:$A$1005&lt;=$A584)*MOVIMIENTOS!$E$5:$E$1005)-SUMPRODUCT((MOVIMIENTOS!$B$5:$B$1005="ENVÍO A SUPESA")*(MOVIMIENTOS!$C$5:$C$1005="C")*(MOVIMIENTOS!$D$5:$D$1005="jabas")*(MOVIMIENTOS!$A$5:$A$1005&lt;&gt;"")*(MOVIMIENTOS!$A$5:$A$1005&lt;=$A584)*MOVIMIENTOS!$E$5:$E$1005)+SUMPRODUCT((MOVIMIENTOS!$B$5:$B$1005="DEVOLUCIÓN")*(MOVIMIENTOS!$C$5:$C$1005="C")*(MOVIMIENTOS!$D$5:$D$1005="jabas")*(MOVIMIENTOS!$A$5:$A$1005&lt;&gt;"")*(MOVIMIENTOS!$A$5:$A$1005&lt;=$A584)*MOVIMIENTOS!$E$5:$E$1005)-SUMPRODUCT((MOVIMIENTOS!$B$5:$B$1005="TRASIEGO")*(MOVIMIENTOS!$C$5:$C$1005="C")*(MOVIMIENTOS!$D$5:$D$1005="jabas")*(MOVIMIENTOS!$A$5:$A$1005&lt;&gt;"")*(MOVIMIENTOS!$A$5:$A$1005&lt;=$A584)*MOVIMIENTOS!$E$5:$E$1005)-SUMPRODUCT((MOVIMIENTOS!$B$5:$B$1005="REGALO")*(MOVIMIENTOS!$C$5:$C$1005="C")*(MOVIMIENTOS!$D$5:$D$1005="jabas")*(MOVIMIENTOS!$A$5:$A$1005&lt;&gt;"")*(MOVIMIENTOS!$A$5:$A$1005&lt;=$A584)*MOVIMIENTOS!$E$5:$E$1005)-SUMPRODUCT((MOVIMIENTOS!$B$5:$B$1005="VENTA")*(MOVIMIENTOS!$C$5:$C$1005="C")*(MOVIMIENTOS!$D$5:$D$1005="jabas")*(MOVIMIENTOS!$A$5:$A$1005&lt;&gt;"")*(MOVIMIENTOS!$A$5:$A$1005&lt;=$A584)*MOVIMIENTOS!$E$5:$E$1005)+SUMPRODUCT((MOVIMIENTOS!$B$5:$B$1005="AJUSTE")*(MOVIMIENTOS!$C$5:$C$1005="C")*(MOVIMIENTOS!$D$5:$D$1005="jabas")*(MOVIMIENTOS!$A$5:$A$1005&lt;&gt;"")*(MOVIMIENTOS!$A$5:$A$1005&lt;=$A584)*MOVIMIENTOS!$E$5:$E$1005))</f>
        <v/>
      </c>
      <c r="E584" t="str">
        <f>IF($A584="","",SUMPRODUCT((MOVIMIENTOS!$B$5:$B$1005="SALDO INICIAL")*(MOVIMIENTOS!$C$5:$C$1005="M")*(MOVIMIENTOS!$D$5:$D$1005="jabas")*(MOVIMIENTOS!$A$5:$A$1005&lt;&gt;"")*(MOVIMIENTOS!$A$5:$A$1005&lt;=$A584)*MOVIMIENTOS!$E$5:$E$1005)+SUMPRODUCT((MOVIMIENTOS!$B$5:$B$1005="PROCESO")*(MOVIMIENTOS!$C$5:$C$1005="M")*(MOVIMIENTOS!$D$5:$D$1005="jabas")*(MOVIMIENTOS!$A$5:$A$1005&lt;&gt;"")*(MOVIMIENTOS!$A$5:$A$1005&lt;=$A584)*MOVIMIENTOS!$E$5:$E$1005)-SUMPRODUCT((MOVIMIENTOS!$B$5:$B$1005="ENVÍO A SUPESA")*(MOVIMIENTOS!$C$5:$C$1005="M")*(MOVIMIENTOS!$D$5:$D$1005="jabas")*(MOVIMIENTOS!$A$5:$A$1005&lt;&gt;"")*(MOVIMIENTOS!$A$5:$A$1005&lt;=$A584)*MOVIMIENTOS!$E$5:$E$1005)+SUMPRODUCT((MOVIMIENTOS!$B$5:$B$1005="DEVOLUCIÓN")*(MOVIMIENTOS!$C$5:$C$1005="M")*(MOVIMIENTOS!$D$5:$D$1005="jabas")*(MOVIMIENTOS!$A$5:$A$1005&lt;&gt;"")*(MOVIMIENTOS!$A$5:$A$1005&lt;=$A584)*MOVIMIENTOS!$E$5:$E$1005)-SUMPRODUCT((MOVIMIENTOS!$B$5:$B$1005="TRASIEGO")*(MOVIMIENTOS!$C$5:$C$1005="M")*(MOVIMIENTOS!$D$5:$D$1005="jabas")*(MOVIMIENTOS!$A$5:$A$1005&lt;&gt;"")*(MOVIMIENTOS!$A$5:$A$1005&lt;=$A584)*MOVIMIENTOS!$E$5:$E$1005)-SUMPRODUCT((MOVIMIENTOS!$B$5:$B$1005="REGALO")*(MOVIMIENTOS!$C$5:$C$1005="M")*(MOVIMIENTOS!$D$5:$D$1005="jabas")*(MOVIMIENTOS!$A$5:$A$1005&lt;&gt;"")*(MOVIMIENTOS!$A$5:$A$1005&lt;=$A584)*MOVIMIENTOS!$E$5:$E$1005)-SUMPRODUCT((MOVIMIENTOS!$B$5:$B$1005="VENTA")*(MOVIMIENTOS!$C$5:$C$1005="M")*(MOVIMIENTOS!$D$5:$D$1005="jabas")*(MOVIMIENTOS!$A$5:$A$1005&lt;&gt;"")*(MOVIMIENTOS!$A$5:$A$1005&lt;=$A584)*MOVIMIENTOS!$E$5:$E$1005)+SUMPRODUCT((MOVIMIENTOS!$B$5:$B$1005="AJUSTE")*(MOVIMIENTOS!$C$5:$C$1005="M")*(MOVIMIENTOS!$D$5:$D$1005="jabas")*(MOVIMIENTOS!$A$5:$A$1005&lt;&gt;"")*(MOVIMIENTOS!$A$5:$A$1005&lt;=$A584)*MOVIMIENTOS!$E$5:$E$1005))</f>
        <v/>
      </c>
      <c r="F584" s="62" t="str">
        <f>IF($A584="","",SUMPRODUCT((MOVIMIENTOS!$B$5:$B$1005="SALDO INICIAL")*(MOVIMIENTOS!$C$5:$C$1005="Chancho")*(MOVIMIENTOS!$D$5:$D$1005="sacos")*(MOVIMIENTOS!$A$5:$A$1005&lt;&gt;"")*(MOVIMIENTOS!$A$5:$A$1005&lt;=$A584)*MOVIMIENTOS!$E$5:$E$1005)+SUMPRODUCT((MOVIMIENTOS!$B$5:$B$1005="PROCESO")*(MOVIMIENTOS!$C$5:$C$1005="Chancho")*(MOVIMIENTOS!$D$5:$D$1005="sacos")*(MOVIMIENTOS!$A$5:$A$1005&lt;&gt;"")*(MOVIMIENTOS!$A$5:$A$1005&lt;=$A584)*MOVIMIENTOS!$E$5:$E$1005)-SUMPRODUCT((MOVIMIENTOS!$B$5:$B$1005="VENTA CHANCHO")*(MOVIMIENTOS!$C$5:$C$1005="Chancho")*(MOVIMIENTOS!$D$5:$D$1005="sacos")*(MOVIMIENTOS!$A$5:$A$1005&lt;&gt;"")*(MOVIMIENTOS!$A$5:$A$1005&lt;=$A584)*MOVIMIENTOS!$E$5:$E$1005)-SUMPRODUCT((MOVIMIENTOS!$B$5:$B$1005="REGALO")*(MOVIMIENTOS!$C$5:$C$1005="Chancho")*(MOVIMIENTOS!$D$5:$D$1005="sacos")*(MOVIMIENTOS!$A$5:$A$1005&lt;&gt;"")*(MOVIMIENTOS!$A$5:$A$1005&lt;=$A584)*MOVIMIENTOS!$E$5:$E$1005)-SUMPRODUCT((MOVIMIENTOS!$B$5:$B$1005="VENTA")*(MOVIMIENTOS!$C$5:$C$1005="Chancho")*(MOVIMIENTOS!$D$5:$D$1005="sacos")*(MOVIMIENTOS!$A$5:$A$1005&lt;&gt;"")*(MOVIMIENTOS!$A$5:$A$1005&lt;=$A584)*MOVIMIENTOS!$E$5:$E$1005)+SUMPRODUCT((MOVIMIENTOS!$B$5:$B$1005="AJUSTE")*(MOVIMIENTOS!$C$5:$C$1005="Chancho")*(MOVIMIENTOS!$D$5:$D$1005="sacos")*(MOVIMIENTOS!$A$5:$A$1005&lt;&gt;"")*(MOVIMIENTOS!$A$5:$A$1005&lt;=$A584)*MOVIMIENTOS!$E$5:$E$1005))</f>
        <v/>
      </c>
      <c r="G584" s="62" t="str">
        <f t="shared" si="19"/>
        <v/>
      </c>
      <c r="H584" t="str">
        <f>IF($A584="","",SUMPRODUCT((((MOVIMIENTOS!$B$5:$B$1005="SALDO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584)*MOVIMIENTOS!$J$5:$J$1005))</f>
        <v/>
      </c>
      <c r="J584" t="str">
        <f>IF(AND(MOVIMIENTOS!$A589&lt;&gt;"",COUNTIF(MOVIMIENTOS!$A$5:$A588,MOVIMIENTOS!$A589)=0),COUNT(J$4:J583)+1,"")</f>
        <v/>
      </c>
      <c r="K584">
        <f>MOVIMIENTOS!$A589</f>
        <v>0</v>
      </c>
    </row>
    <row r="585" spans="1:11" ht="15" customHeight="1" x14ac:dyDescent="0.2">
      <c r="A585" t="str">
        <f t="shared" si="18"/>
        <v/>
      </c>
      <c r="B585" t="str">
        <f>IF($A585="","",SUMPRODUCT((MOVIMIENTOS!$B$5:$B$1005="SALDO INICIAL")*(MOVIMIENTOS!$C$5:$C$1005="A")*(MOVIMIENTOS!$D$5:$D$1005="jabas")*(MOVIMIENTOS!$A$5:$A$1005&lt;&gt;"")*(MOVIMIENTOS!$A$5:$A$1005&lt;=$A585)*MOVIMIENTOS!$E$5:$E$1005)+SUMPRODUCT((MOVIMIENTOS!$B$5:$B$1005="PROCESO")*(MOVIMIENTOS!$C$5:$C$1005="A")*(MOVIMIENTOS!$D$5:$D$1005="jabas")*(MOVIMIENTOS!$A$5:$A$1005&lt;&gt;"")*(MOVIMIENTOS!$A$5:$A$1005&lt;=$A585)*MOVIMIENTOS!$E$5:$E$1005)-SUMPRODUCT((MOVIMIENTOS!$B$5:$B$1005="ENVÍO A SUPESA")*(MOVIMIENTOS!$C$5:$C$1005="A")*(MOVIMIENTOS!$D$5:$D$1005="jabas")*(MOVIMIENTOS!$A$5:$A$1005&lt;&gt;"")*(MOVIMIENTOS!$A$5:$A$1005&lt;=$A585)*MOVIMIENTOS!$E$5:$E$1005)+SUMPRODUCT((MOVIMIENTOS!$B$5:$B$1005="DEVOLUCIÓN")*(MOVIMIENTOS!$C$5:$C$1005="A")*(MOVIMIENTOS!$D$5:$D$1005="jabas")*(MOVIMIENTOS!$A$5:$A$1005&lt;&gt;"")*(MOVIMIENTOS!$A$5:$A$1005&lt;=$A585)*MOVIMIENTOS!$E$5:$E$1005)-SUMPRODUCT((MOVIMIENTOS!$B$5:$B$1005="TRASIEGO")*(MOVIMIENTOS!$C$5:$C$1005="A")*(MOVIMIENTOS!$D$5:$D$1005="jabas")*(MOVIMIENTOS!$A$5:$A$1005&lt;&gt;"")*(MOVIMIENTOS!$A$5:$A$1005&lt;=$A585)*MOVIMIENTOS!$E$5:$E$1005)-SUMPRODUCT((MOVIMIENTOS!$B$5:$B$1005="REGALO")*(MOVIMIENTOS!$C$5:$C$1005="A")*(MOVIMIENTOS!$D$5:$D$1005="jabas")*(MOVIMIENTOS!$A$5:$A$1005&lt;&gt;"")*(MOVIMIENTOS!$A$5:$A$1005&lt;=$A585)*MOVIMIENTOS!$E$5:$E$1005)-SUMPRODUCT((MOVIMIENTOS!$B$5:$B$1005="VENTA")*(MOVIMIENTOS!$C$5:$C$1005="A")*(MOVIMIENTOS!$D$5:$D$1005="jabas")*(MOVIMIENTOS!$A$5:$A$1005&lt;&gt;"")*(MOVIMIENTOS!$A$5:$A$1005&lt;=$A585)*MOVIMIENTOS!$E$5:$E$1005)+SUMPRODUCT((MOVIMIENTOS!$B$5:$B$1005="AJUSTE")*(MOVIMIENTOS!$C$5:$C$1005="A")*(MOVIMIENTOS!$D$5:$D$1005="jabas")*(MOVIMIENTOS!$A$5:$A$1005&lt;&gt;"")*(MOVIMIENTOS!$A$5:$A$1005&lt;=$A585)*MOVIMIENTOS!$E$5:$E$1005))</f>
        <v/>
      </c>
      <c r="C585" t="str">
        <f>IF($A585="","",SUMPRODUCT((MOVIMIENTOS!$B$5:$B$1005="SALDO INICIAL")*(MOVIMIENTOS!$C$5:$C$1005="P")*(MOVIMIENTOS!$D$5:$D$1005="jabas")*(MOVIMIENTOS!$A$5:$A$1005&lt;&gt;"")*(MOVIMIENTOS!$A$5:$A$1005&lt;=$A585)*MOVIMIENTOS!$E$5:$E$1005)+SUMPRODUCT((MOVIMIENTOS!$B$5:$B$1005="PROCESO")*(MOVIMIENTOS!$C$5:$C$1005="P")*(MOVIMIENTOS!$D$5:$D$1005="jabas")*(MOVIMIENTOS!$A$5:$A$1005&lt;&gt;"")*(MOVIMIENTOS!$A$5:$A$1005&lt;=$A585)*MOVIMIENTOS!$E$5:$E$1005)-SUMPRODUCT((MOVIMIENTOS!$B$5:$B$1005="ENVÍO A SUPESA")*(MOVIMIENTOS!$C$5:$C$1005="P")*(MOVIMIENTOS!$D$5:$D$1005="jabas")*(MOVIMIENTOS!$A$5:$A$1005&lt;&gt;"")*(MOVIMIENTOS!$A$5:$A$1005&lt;=$A585)*MOVIMIENTOS!$E$5:$E$1005)+SUMPRODUCT((MOVIMIENTOS!$B$5:$B$1005="DEVOLUCIÓN")*(MOVIMIENTOS!$C$5:$C$1005="P")*(MOVIMIENTOS!$D$5:$D$1005="jabas")*(MOVIMIENTOS!$A$5:$A$1005&lt;&gt;"")*(MOVIMIENTOS!$A$5:$A$1005&lt;=$A585)*MOVIMIENTOS!$E$5:$E$1005)-SUMPRODUCT((MOVIMIENTOS!$B$5:$B$1005="TRASIEGO")*(MOVIMIENTOS!$C$5:$C$1005="P")*(MOVIMIENTOS!$D$5:$D$1005="jabas")*(MOVIMIENTOS!$A$5:$A$1005&lt;&gt;"")*(MOVIMIENTOS!$A$5:$A$1005&lt;=$A585)*MOVIMIENTOS!$E$5:$E$1005)-SUMPRODUCT((MOVIMIENTOS!$B$5:$B$1005="REGALO")*(MOVIMIENTOS!$C$5:$C$1005="P")*(MOVIMIENTOS!$D$5:$D$1005="jabas")*(MOVIMIENTOS!$A$5:$A$1005&lt;&gt;"")*(MOVIMIENTOS!$A$5:$A$1005&lt;=$A585)*MOVIMIENTOS!$E$5:$E$1005)-SUMPRODUCT((MOVIMIENTOS!$B$5:$B$1005="VENTA")*(MOVIMIENTOS!$C$5:$C$1005="P")*(MOVIMIENTOS!$D$5:$D$1005="jabas")*(MOVIMIENTOS!$A$5:$A$1005&lt;&gt;"")*(MOVIMIENTOS!$A$5:$A$1005&lt;=$A585)*MOVIMIENTOS!$E$5:$E$1005)+SUMPRODUCT((MOVIMIENTOS!$B$5:$B$1005="AJUSTE")*(MOVIMIENTOS!$C$5:$C$1005="P")*(MOVIMIENTOS!$D$5:$D$1005="jabas")*(MOVIMIENTOS!$A$5:$A$1005&lt;&gt;"")*(MOVIMIENTOS!$A$5:$A$1005&lt;=$A585)*MOVIMIENTOS!$E$5:$E$1005))</f>
        <v/>
      </c>
      <c r="D585" t="str">
        <f>IF($A585="","",SUMPRODUCT((MOVIMIENTOS!$B$5:$B$1005="SALDO INICIAL")*(MOVIMIENTOS!$C$5:$C$1005="C")*(MOVIMIENTOS!$D$5:$D$1005="jabas")*(MOVIMIENTOS!$A$5:$A$1005&lt;&gt;"")*(MOVIMIENTOS!$A$5:$A$1005&lt;=$A585)*MOVIMIENTOS!$E$5:$E$1005)+SUMPRODUCT((MOVIMIENTOS!$B$5:$B$1005="PROCESO")*(MOVIMIENTOS!$C$5:$C$1005="C")*(MOVIMIENTOS!$D$5:$D$1005="jabas")*(MOVIMIENTOS!$A$5:$A$1005&lt;&gt;"")*(MOVIMIENTOS!$A$5:$A$1005&lt;=$A585)*MOVIMIENTOS!$E$5:$E$1005)-SUMPRODUCT((MOVIMIENTOS!$B$5:$B$1005="ENVÍO A SUPESA")*(MOVIMIENTOS!$C$5:$C$1005="C")*(MOVIMIENTOS!$D$5:$D$1005="jabas")*(MOVIMIENTOS!$A$5:$A$1005&lt;&gt;"")*(MOVIMIENTOS!$A$5:$A$1005&lt;=$A585)*MOVIMIENTOS!$E$5:$E$1005)+SUMPRODUCT((MOVIMIENTOS!$B$5:$B$1005="DEVOLUCIÓN")*(MOVIMIENTOS!$C$5:$C$1005="C")*(MOVIMIENTOS!$D$5:$D$1005="jabas")*(MOVIMIENTOS!$A$5:$A$1005&lt;&gt;"")*(MOVIMIENTOS!$A$5:$A$1005&lt;=$A585)*MOVIMIENTOS!$E$5:$E$1005)-SUMPRODUCT((MOVIMIENTOS!$B$5:$B$1005="TRASIEGO")*(MOVIMIENTOS!$C$5:$C$1005="C")*(MOVIMIENTOS!$D$5:$D$1005="jabas")*(MOVIMIENTOS!$A$5:$A$1005&lt;&gt;"")*(MOVIMIENTOS!$A$5:$A$1005&lt;=$A585)*MOVIMIENTOS!$E$5:$E$1005)-SUMPRODUCT((MOVIMIENTOS!$B$5:$B$1005="REGALO")*(MOVIMIENTOS!$C$5:$C$1005="C")*(MOVIMIENTOS!$D$5:$D$1005="jabas")*(MOVIMIENTOS!$A$5:$A$1005&lt;&gt;"")*(MOVIMIENTOS!$A$5:$A$1005&lt;=$A585)*MOVIMIENTOS!$E$5:$E$1005)-SUMPRODUCT((MOVIMIENTOS!$B$5:$B$1005="VENTA")*(MOVIMIENTOS!$C$5:$C$1005="C")*(MOVIMIENTOS!$D$5:$D$1005="jabas")*(MOVIMIENTOS!$A$5:$A$1005&lt;&gt;"")*(MOVIMIENTOS!$A$5:$A$1005&lt;=$A585)*MOVIMIENTOS!$E$5:$E$1005)+SUMPRODUCT((MOVIMIENTOS!$B$5:$B$1005="AJUSTE")*(MOVIMIENTOS!$C$5:$C$1005="C")*(MOVIMIENTOS!$D$5:$D$1005="jabas")*(MOVIMIENTOS!$A$5:$A$1005&lt;&gt;"")*(MOVIMIENTOS!$A$5:$A$1005&lt;=$A585)*MOVIMIENTOS!$E$5:$E$1005))</f>
        <v/>
      </c>
      <c r="E585" t="str">
        <f>IF($A585="","",SUMPRODUCT((MOVIMIENTOS!$B$5:$B$1005="SALDO INICIAL")*(MOVIMIENTOS!$C$5:$C$1005="M")*(MOVIMIENTOS!$D$5:$D$1005="jabas")*(MOVIMIENTOS!$A$5:$A$1005&lt;&gt;"")*(MOVIMIENTOS!$A$5:$A$1005&lt;=$A585)*MOVIMIENTOS!$E$5:$E$1005)+SUMPRODUCT((MOVIMIENTOS!$B$5:$B$1005="PROCESO")*(MOVIMIENTOS!$C$5:$C$1005="M")*(MOVIMIENTOS!$D$5:$D$1005="jabas")*(MOVIMIENTOS!$A$5:$A$1005&lt;&gt;"")*(MOVIMIENTOS!$A$5:$A$1005&lt;=$A585)*MOVIMIENTOS!$E$5:$E$1005)-SUMPRODUCT((MOVIMIENTOS!$B$5:$B$1005="ENVÍO A SUPESA")*(MOVIMIENTOS!$C$5:$C$1005="M")*(MOVIMIENTOS!$D$5:$D$1005="jabas")*(MOVIMIENTOS!$A$5:$A$1005&lt;&gt;"")*(MOVIMIENTOS!$A$5:$A$1005&lt;=$A585)*MOVIMIENTOS!$E$5:$E$1005)+SUMPRODUCT((MOVIMIENTOS!$B$5:$B$1005="DEVOLUCIÓN")*(MOVIMIENTOS!$C$5:$C$1005="M")*(MOVIMIENTOS!$D$5:$D$1005="jabas")*(MOVIMIENTOS!$A$5:$A$1005&lt;&gt;"")*(MOVIMIENTOS!$A$5:$A$1005&lt;=$A585)*MOVIMIENTOS!$E$5:$E$1005)-SUMPRODUCT((MOVIMIENTOS!$B$5:$B$1005="TRASIEGO")*(MOVIMIENTOS!$C$5:$C$1005="M")*(MOVIMIENTOS!$D$5:$D$1005="jabas")*(MOVIMIENTOS!$A$5:$A$1005&lt;&gt;"")*(MOVIMIENTOS!$A$5:$A$1005&lt;=$A585)*MOVIMIENTOS!$E$5:$E$1005)-SUMPRODUCT((MOVIMIENTOS!$B$5:$B$1005="REGALO")*(MOVIMIENTOS!$C$5:$C$1005="M")*(MOVIMIENTOS!$D$5:$D$1005="jabas")*(MOVIMIENTOS!$A$5:$A$1005&lt;&gt;"")*(MOVIMIENTOS!$A$5:$A$1005&lt;=$A585)*MOVIMIENTOS!$E$5:$E$1005)-SUMPRODUCT((MOVIMIENTOS!$B$5:$B$1005="VENTA")*(MOVIMIENTOS!$C$5:$C$1005="M")*(MOVIMIENTOS!$D$5:$D$1005="jabas")*(MOVIMIENTOS!$A$5:$A$1005&lt;&gt;"")*(MOVIMIENTOS!$A$5:$A$1005&lt;=$A585)*MOVIMIENTOS!$E$5:$E$1005)+SUMPRODUCT((MOVIMIENTOS!$B$5:$B$1005="AJUSTE")*(MOVIMIENTOS!$C$5:$C$1005="M")*(MOVIMIENTOS!$D$5:$D$1005="jabas")*(MOVIMIENTOS!$A$5:$A$1005&lt;&gt;"")*(MOVIMIENTOS!$A$5:$A$1005&lt;=$A585)*MOVIMIENTOS!$E$5:$E$1005))</f>
        <v/>
      </c>
      <c r="F585" s="62" t="str">
        <f>IF($A585="","",SUMPRODUCT((MOVIMIENTOS!$B$5:$B$1005="SALDO INICIAL")*(MOVIMIENTOS!$C$5:$C$1005="Chancho")*(MOVIMIENTOS!$D$5:$D$1005="sacos")*(MOVIMIENTOS!$A$5:$A$1005&lt;&gt;"")*(MOVIMIENTOS!$A$5:$A$1005&lt;=$A585)*MOVIMIENTOS!$E$5:$E$1005)+SUMPRODUCT((MOVIMIENTOS!$B$5:$B$1005="PROCESO")*(MOVIMIENTOS!$C$5:$C$1005="Chancho")*(MOVIMIENTOS!$D$5:$D$1005="sacos")*(MOVIMIENTOS!$A$5:$A$1005&lt;&gt;"")*(MOVIMIENTOS!$A$5:$A$1005&lt;=$A585)*MOVIMIENTOS!$E$5:$E$1005)-SUMPRODUCT((MOVIMIENTOS!$B$5:$B$1005="VENTA CHANCHO")*(MOVIMIENTOS!$C$5:$C$1005="Chancho")*(MOVIMIENTOS!$D$5:$D$1005="sacos")*(MOVIMIENTOS!$A$5:$A$1005&lt;&gt;"")*(MOVIMIENTOS!$A$5:$A$1005&lt;=$A585)*MOVIMIENTOS!$E$5:$E$1005)-SUMPRODUCT((MOVIMIENTOS!$B$5:$B$1005="REGALO")*(MOVIMIENTOS!$C$5:$C$1005="Chancho")*(MOVIMIENTOS!$D$5:$D$1005="sacos")*(MOVIMIENTOS!$A$5:$A$1005&lt;&gt;"")*(MOVIMIENTOS!$A$5:$A$1005&lt;=$A585)*MOVIMIENTOS!$E$5:$E$1005)-SUMPRODUCT((MOVIMIENTOS!$B$5:$B$1005="VENTA")*(MOVIMIENTOS!$C$5:$C$1005="Chancho")*(MOVIMIENTOS!$D$5:$D$1005="sacos")*(MOVIMIENTOS!$A$5:$A$1005&lt;&gt;"")*(MOVIMIENTOS!$A$5:$A$1005&lt;=$A585)*MOVIMIENTOS!$E$5:$E$1005)+SUMPRODUCT((MOVIMIENTOS!$B$5:$B$1005="AJUSTE")*(MOVIMIENTOS!$C$5:$C$1005="Chancho")*(MOVIMIENTOS!$D$5:$D$1005="sacos")*(MOVIMIENTOS!$A$5:$A$1005&lt;&gt;"")*(MOVIMIENTOS!$A$5:$A$1005&lt;=$A585)*MOVIMIENTOS!$E$5:$E$1005))</f>
        <v/>
      </c>
      <c r="G585" s="62" t="str">
        <f t="shared" si="19"/>
        <v/>
      </c>
      <c r="H585" t="str">
        <f>IF($A585="","",SUMPRODUCT((((MOVIMIENTOS!$B$5:$B$1005="SALDO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585)*MOVIMIENTOS!$J$5:$J$1005))</f>
        <v/>
      </c>
      <c r="J585" t="str">
        <f>IF(AND(MOVIMIENTOS!$A590&lt;&gt;"",COUNTIF(MOVIMIENTOS!$A$5:$A589,MOVIMIENTOS!$A590)=0),COUNT(J$4:J584)+1,"")</f>
        <v/>
      </c>
      <c r="K585">
        <f>MOVIMIENTOS!$A590</f>
        <v>0</v>
      </c>
    </row>
    <row r="586" spans="1:11" ht="15" customHeight="1" x14ac:dyDescent="0.2">
      <c r="A586" t="str">
        <f t="shared" si="18"/>
        <v/>
      </c>
      <c r="B586" t="str">
        <f>IF($A586="","",SUMPRODUCT((MOVIMIENTOS!$B$5:$B$1005="SALDO INICIAL")*(MOVIMIENTOS!$C$5:$C$1005="A")*(MOVIMIENTOS!$D$5:$D$1005="jabas")*(MOVIMIENTOS!$A$5:$A$1005&lt;&gt;"")*(MOVIMIENTOS!$A$5:$A$1005&lt;=$A586)*MOVIMIENTOS!$E$5:$E$1005)+SUMPRODUCT((MOVIMIENTOS!$B$5:$B$1005="PROCESO")*(MOVIMIENTOS!$C$5:$C$1005="A")*(MOVIMIENTOS!$D$5:$D$1005="jabas")*(MOVIMIENTOS!$A$5:$A$1005&lt;&gt;"")*(MOVIMIENTOS!$A$5:$A$1005&lt;=$A586)*MOVIMIENTOS!$E$5:$E$1005)-SUMPRODUCT((MOVIMIENTOS!$B$5:$B$1005="ENVÍO A SUPESA")*(MOVIMIENTOS!$C$5:$C$1005="A")*(MOVIMIENTOS!$D$5:$D$1005="jabas")*(MOVIMIENTOS!$A$5:$A$1005&lt;&gt;"")*(MOVIMIENTOS!$A$5:$A$1005&lt;=$A586)*MOVIMIENTOS!$E$5:$E$1005)+SUMPRODUCT((MOVIMIENTOS!$B$5:$B$1005="DEVOLUCIÓN")*(MOVIMIENTOS!$C$5:$C$1005="A")*(MOVIMIENTOS!$D$5:$D$1005="jabas")*(MOVIMIENTOS!$A$5:$A$1005&lt;&gt;"")*(MOVIMIENTOS!$A$5:$A$1005&lt;=$A586)*MOVIMIENTOS!$E$5:$E$1005)-SUMPRODUCT((MOVIMIENTOS!$B$5:$B$1005="TRASIEGO")*(MOVIMIENTOS!$C$5:$C$1005="A")*(MOVIMIENTOS!$D$5:$D$1005="jabas")*(MOVIMIENTOS!$A$5:$A$1005&lt;&gt;"")*(MOVIMIENTOS!$A$5:$A$1005&lt;=$A586)*MOVIMIENTOS!$E$5:$E$1005)-SUMPRODUCT((MOVIMIENTOS!$B$5:$B$1005="REGALO")*(MOVIMIENTOS!$C$5:$C$1005="A")*(MOVIMIENTOS!$D$5:$D$1005="jabas")*(MOVIMIENTOS!$A$5:$A$1005&lt;&gt;"")*(MOVIMIENTOS!$A$5:$A$1005&lt;=$A586)*MOVIMIENTOS!$E$5:$E$1005)-SUMPRODUCT((MOVIMIENTOS!$B$5:$B$1005="VENTA")*(MOVIMIENTOS!$C$5:$C$1005="A")*(MOVIMIENTOS!$D$5:$D$1005="jabas")*(MOVIMIENTOS!$A$5:$A$1005&lt;&gt;"")*(MOVIMIENTOS!$A$5:$A$1005&lt;=$A586)*MOVIMIENTOS!$E$5:$E$1005)+SUMPRODUCT((MOVIMIENTOS!$B$5:$B$1005="AJUSTE")*(MOVIMIENTOS!$C$5:$C$1005="A")*(MOVIMIENTOS!$D$5:$D$1005="jabas")*(MOVIMIENTOS!$A$5:$A$1005&lt;&gt;"")*(MOVIMIENTOS!$A$5:$A$1005&lt;=$A586)*MOVIMIENTOS!$E$5:$E$1005))</f>
        <v/>
      </c>
      <c r="C586" t="str">
        <f>IF($A586="","",SUMPRODUCT((MOVIMIENTOS!$B$5:$B$1005="SALDO INICIAL")*(MOVIMIENTOS!$C$5:$C$1005="P")*(MOVIMIENTOS!$D$5:$D$1005="jabas")*(MOVIMIENTOS!$A$5:$A$1005&lt;&gt;"")*(MOVIMIENTOS!$A$5:$A$1005&lt;=$A586)*MOVIMIENTOS!$E$5:$E$1005)+SUMPRODUCT((MOVIMIENTOS!$B$5:$B$1005="PROCESO")*(MOVIMIENTOS!$C$5:$C$1005="P")*(MOVIMIENTOS!$D$5:$D$1005="jabas")*(MOVIMIENTOS!$A$5:$A$1005&lt;&gt;"")*(MOVIMIENTOS!$A$5:$A$1005&lt;=$A586)*MOVIMIENTOS!$E$5:$E$1005)-SUMPRODUCT((MOVIMIENTOS!$B$5:$B$1005="ENVÍO A SUPESA")*(MOVIMIENTOS!$C$5:$C$1005="P")*(MOVIMIENTOS!$D$5:$D$1005="jabas")*(MOVIMIENTOS!$A$5:$A$1005&lt;&gt;"")*(MOVIMIENTOS!$A$5:$A$1005&lt;=$A586)*MOVIMIENTOS!$E$5:$E$1005)+SUMPRODUCT((MOVIMIENTOS!$B$5:$B$1005="DEVOLUCIÓN")*(MOVIMIENTOS!$C$5:$C$1005="P")*(MOVIMIENTOS!$D$5:$D$1005="jabas")*(MOVIMIENTOS!$A$5:$A$1005&lt;&gt;"")*(MOVIMIENTOS!$A$5:$A$1005&lt;=$A586)*MOVIMIENTOS!$E$5:$E$1005)-SUMPRODUCT((MOVIMIENTOS!$B$5:$B$1005="TRASIEGO")*(MOVIMIENTOS!$C$5:$C$1005="P")*(MOVIMIENTOS!$D$5:$D$1005="jabas")*(MOVIMIENTOS!$A$5:$A$1005&lt;&gt;"")*(MOVIMIENTOS!$A$5:$A$1005&lt;=$A586)*MOVIMIENTOS!$E$5:$E$1005)-SUMPRODUCT((MOVIMIENTOS!$B$5:$B$1005="REGALO")*(MOVIMIENTOS!$C$5:$C$1005="P")*(MOVIMIENTOS!$D$5:$D$1005="jabas")*(MOVIMIENTOS!$A$5:$A$1005&lt;&gt;"")*(MOVIMIENTOS!$A$5:$A$1005&lt;=$A586)*MOVIMIENTOS!$E$5:$E$1005)-SUMPRODUCT((MOVIMIENTOS!$B$5:$B$1005="VENTA")*(MOVIMIENTOS!$C$5:$C$1005="P")*(MOVIMIENTOS!$D$5:$D$1005="jabas")*(MOVIMIENTOS!$A$5:$A$1005&lt;&gt;"")*(MOVIMIENTOS!$A$5:$A$1005&lt;=$A586)*MOVIMIENTOS!$E$5:$E$1005)+SUMPRODUCT((MOVIMIENTOS!$B$5:$B$1005="AJUSTE")*(MOVIMIENTOS!$C$5:$C$1005="P")*(MOVIMIENTOS!$D$5:$D$1005="jabas")*(MOVIMIENTOS!$A$5:$A$1005&lt;&gt;"")*(MOVIMIENTOS!$A$5:$A$1005&lt;=$A586)*MOVIMIENTOS!$E$5:$E$1005))</f>
        <v/>
      </c>
      <c r="D586" t="str">
        <f>IF($A586="","",SUMPRODUCT((MOVIMIENTOS!$B$5:$B$1005="SALDO INICIAL")*(MOVIMIENTOS!$C$5:$C$1005="C")*(MOVIMIENTOS!$D$5:$D$1005="jabas")*(MOVIMIENTOS!$A$5:$A$1005&lt;&gt;"")*(MOVIMIENTOS!$A$5:$A$1005&lt;=$A586)*MOVIMIENTOS!$E$5:$E$1005)+SUMPRODUCT((MOVIMIENTOS!$B$5:$B$1005="PROCESO")*(MOVIMIENTOS!$C$5:$C$1005="C")*(MOVIMIENTOS!$D$5:$D$1005="jabas")*(MOVIMIENTOS!$A$5:$A$1005&lt;&gt;"")*(MOVIMIENTOS!$A$5:$A$1005&lt;=$A586)*MOVIMIENTOS!$E$5:$E$1005)-SUMPRODUCT((MOVIMIENTOS!$B$5:$B$1005="ENVÍO A SUPESA")*(MOVIMIENTOS!$C$5:$C$1005="C")*(MOVIMIENTOS!$D$5:$D$1005="jabas")*(MOVIMIENTOS!$A$5:$A$1005&lt;&gt;"")*(MOVIMIENTOS!$A$5:$A$1005&lt;=$A586)*MOVIMIENTOS!$E$5:$E$1005)+SUMPRODUCT((MOVIMIENTOS!$B$5:$B$1005="DEVOLUCIÓN")*(MOVIMIENTOS!$C$5:$C$1005="C")*(MOVIMIENTOS!$D$5:$D$1005="jabas")*(MOVIMIENTOS!$A$5:$A$1005&lt;&gt;"")*(MOVIMIENTOS!$A$5:$A$1005&lt;=$A586)*MOVIMIENTOS!$E$5:$E$1005)-SUMPRODUCT((MOVIMIENTOS!$B$5:$B$1005="TRASIEGO")*(MOVIMIENTOS!$C$5:$C$1005="C")*(MOVIMIENTOS!$D$5:$D$1005="jabas")*(MOVIMIENTOS!$A$5:$A$1005&lt;&gt;"")*(MOVIMIENTOS!$A$5:$A$1005&lt;=$A586)*MOVIMIENTOS!$E$5:$E$1005)-SUMPRODUCT((MOVIMIENTOS!$B$5:$B$1005="REGALO")*(MOVIMIENTOS!$C$5:$C$1005="C")*(MOVIMIENTOS!$D$5:$D$1005="jabas")*(MOVIMIENTOS!$A$5:$A$1005&lt;&gt;"")*(MOVIMIENTOS!$A$5:$A$1005&lt;=$A586)*MOVIMIENTOS!$E$5:$E$1005)-SUMPRODUCT((MOVIMIENTOS!$B$5:$B$1005="VENTA")*(MOVIMIENTOS!$C$5:$C$1005="C")*(MOVIMIENTOS!$D$5:$D$1005="jabas")*(MOVIMIENTOS!$A$5:$A$1005&lt;&gt;"")*(MOVIMIENTOS!$A$5:$A$1005&lt;=$A586)*MOVIMIENTOS!$E$5:$E$1005)+SUMPRODUCT((MOVIMIENTOS!$B$5:$B$1005="AJUSTE")*(MOVIMIENTOS!$C$5:$C$1005="C")*(MOVIMIENTOS!$D$5:$D$1005="jabas")*(MOVIMIENTOS!$A$5:$A$1005&lt;&gt;"")*(MOVIMIENTOS!$A$5:$A$1005&lt;=$A586)*MOVIMIENTOS!$E$5:$E$1005))</f>
        <v/>
      </c>
      <c r="E586" t="str">
        <f>IF($A586="","",SUMPRODUCT((MOVIMIENTOS!$B$5:$B$1005="SALDO INICIAL")*(MOVIMIENTOS!$C$5:$C$1005="M")*(MOVIMIENTOS!$D$5:$D$1005="jabas")*(MOVIMIENTOS!$A$5:$A$1005&lt;&gt;"")*(MOVIMIENTOS!$A$5:$A$1005&lt;=$A586)*MOVIMIENTOS!$E$5:$E$1005)+SUMPRODUCT((MOVIMIENTOS!$B$5:$B$1005="PROCESO")*(MOVIMIENTOS!$C$5:$C$1005="M")*(MOVIMIENTOS!$D$5:$D$1005="jabas")*(MOVIMIENTOS!$A$5:$A$1005&lt;&gt;"")*(MOVIMIENTOS!$A$5:$A$1005&lt;=$A586)*MOVIMIENTOS!$E$5:$E$1005)-SUMPRODUCT((MOVIMIENTOS!$B$5:$B$1005="ENVÍO A SUPESA")*(MOVIMIENTOS!$C$5:$C$1005="M")*(MOVIMIENTOS!$D$5:$D$1005="jabas")*(MOVIMIENTOS!$A$5:$A$1005&lt;&gt;"")*(MOVIMIENTOS!$A$5:$A$1005&lt;=$A586)*MOVIMIENTOS!$E$5:$E$1005)+SUMPRODUCT((MOVIMIENTOS!$B$5:$B$1005="DEVOLUCIÓN")*(MOVIMIENTOS!$C$5:$C$1005="M")*(MOVIMIENTOS!$D$5:$D$1005="jabas")*(MOVIMIENTOS!$A$5:$A$1005&lt;&gt;"")*(MOVIMIENTOS!$A$5:$A$1005&lt;=$A586)*MOVIMIENTOS!$E$5:$E$1005)-SUMPRODUCT((MOVIMIENTOS!$B$5:$B$1005="TRASIEGO")*(MOVIMIENTOS!$C$5:$C$1005="M")*(MOVIMIENTOS!$D$5:$D$1005="jabas")*(MOVIMIENTOS!$A$5:$A$1005&lt;&gt;"")*(MOVIMIENTOS!$A$5:$A$1005&lt;=$A586)*MOVIMIENTOS!$E$5:$E$1005)-SUMPRODUCT((MOVIMIENTOS!$B$5:$B$1005="REGALO")*(MOVIMIENTOS!$C$5:$C$1005="M")*(MOVIMIENTOS!$D$5:$D$1005="jabas")*(MOVIMIENTOS!$A$5:$A$1005&lt;&gt;"")*(MOVIMIENTOS!$A$5:$A$1005&lt;=$A586)*MOVIMIENTOS!$E$5:$E$1005)-SUMPRODUCT((MOVIMIENTOS!$B$5:$B$1005="VENTA")*(MOVIMIENTOS!$C$5:$C$1005="M")*(MOVIMIENTOS!$D$5:$D$1005="jabas")*(MOVIMIENTOS!$A$5:$A$1005&lt;&gt;"")*(MOVIMIENTOS!$A$5:$A$1005&lt;=$A586)*MOVIMIENTOS!$E$5:$E$1005)+SUMPRODUCT((MOVIMIENTOS!$B$5:$B$1005="AJUSTE")*(MOVIMIENTOS!$C$5:$C$1005="M")*(MOVIMIENTOS!$D$5:$D$1005="jabas")*(MOVIMIENTOS!$A$5:$A$1005&lt;&gt;"")*(MOVIMIENTOS!$A$5:$A$1005&lt;=$A586)*MOVIMIENTOS!$E$5:$E$1005))</f>
        <v/>
      </c>
      <c r="F586" s="62" t="str">
        <f>IF($A586="","",SUMPRODUCT((MOVIMIENTOS!$B$5:$B$1005="SALDO INICIAL")*(MOVIMIENTOS!$C$5:$C$1005="Chancho")*(MOVIMIENTOS!$D$5:$D$1005="sacos")*(MOVIMIENTOS!$A$5:$A$1005&lt;&gt;"")*(MOVIMIENTOS!$A$5:$A$1005&lt;=$A586)*MOVIMIENTOS!$E$5:$E$1005)+SUMPRODUCT((MOVIMIENTOS!$B$5:$B$1005="PROCESO")*(MOVIMIENTOS!$C$5:$C$1005="Chancho")*(MOVIMIENTOS!$D$5:$D$1005="sacos")*(MOVIMIENTOS!$A$5:$A$1005&lt;&gt;"")*(MOVIMIENTOS!$A$5:$A$1005&lt;=$A586)*MOVIMIENTOS!$E$5:$E$1005)-SUMPRODUCT((MOVIMIENTOS!$B$5:$B$1005="VENTA CHANCHO")*(MOVIMIENTOS!$C$5:$C$1005="Chancho")*(MOVIMIENTOS!$D$5:$D$1005="sacos")*(MOVIMIENTOS!$A$5:$A$1005&lt;&gt;"")*(MOVIMIENTOS!$A$5:$A$1005&lt;=$A586)*MOVIMIENTOS!$E$5:$E$1005)-SUMPRODUCT((MOVIMIENTOS!$B$5:$B$1005="REGALO")*(MOVIMIENTOS!$C$5:$C$1005="Chancho")*(MOVIMIENTOS!$D$5:$D$1005="sacos")*(MOVIMIENTOS!$A$5:$A$1005&lt;&gt;"")*(MOVIMIENTOS!$A$5:$A$1005&lt;=$A586)*MOVIMIENTOS!$E$5:$E$1005)-SUMPRODUCT((MOVIMIENTOS!$B$5:$B$1005="VENTA")*(MOVIMIENTOS!$C$5:$C$1005="Chancho")*(MOVIMIENTOS!$D$5:$D$1005="sacos")*(MOVIMIENTOS!$A$5:$A$1005&lt;&gt;"")*(MOVIMIENTOS!$A$5:$A$1005&lt;=$A586)*MOVIMIENTOS!$E$5:$E$1005)+SUMPRODUCT((MOVIMIENTOS!$B$5:$B$1005="AJUSTE")*(MOVIMIENTOS!$C$5:$C$1005="Chancho")*(MOVIMIENTOS!$D$5:$D$1005="sacos")*(MOVIMIENTOS!$A$5:$A$1005&lt;&gt;"")*(MOVIMIENTOS!$A$5:$A$1005&lt;=$A586)*MOVIMIENTOS!$E$5:$E$1005))</f>
        <v/>
      </c>
      <c r="G586" s="62" t="str">
        <f t="shared" si="19"/>
        <v/>
      </c>
      <c r="H586" t="str">
        <f>IF($A586="","",SUMPRODUCT((((MOVIMIENTOS!$B$5:$B$1005="SALDO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586)*MOVIMIENTOS!$J$5:$J$1005))</f>
        <v/>
      </c>
      <c r="J586" t="str">
        <f>IF(AND(MOVIMIENTOS!$A591&lt;&gt;"",COUNTIF(MOVIMIENTOS!$A$5:$A590,MOVIMIENTOS!$A591)=0),COUNT(J$4:J585)+1,"")</f>
        <v/>
      </c>
      <c r="K586">
        <f>MOVIMIENTOS!$A591</f>
        <v>0</v>
      </c>
    </row>
    <row r="587" spans="1:11" ht="15" customHeight="1" x14ac:dyDescent="0.2">
      <c r="A587" t="str">
        <f t="shared" si="18"/>
        <v/>
      </c>
      <c r="B587" t="str">
        <f>IF($A587="","",SUMPRODUCT((MOVIMIENTOS!$B$5:$B$1005="SALDO INICIAL")*(MOVIMIENTOS!$C$5:$C$1005="A")*(MOVIMIENTOS!$D$5:$D$1005="jabas")*(MOVIMIENTOS!$A$5:$A$1005&lt;&gt;"")*(MOVIMIENTOS!$A$5:$A$1005&lt;=$A587)*MOVIMIENTOS!$E$5:$E$1005)+SUMPRODUCT((MOVIMIENTOS!$B$5:$B$1005="PROCESO")*(MOVIMIENTOS!$C$5:$C$1005="A")*(MOVIMIENTOS!$D$5:$D$1005="jabas")*(MOVIMIENTOS!$A$5:$A$1005&lt;&gt;"")*(MOVIMIENTOS!$A$5:$A$1005&lt;=$A587)*MOVIMIENTOS!$E$5:$E$1005)-SUMPRODUCT((MOVIMIENTOS!$B$5:$B$1005="ENVÍO A SUPESA")*(MOVIMIENTOS!$C$5:$C$1005="A")*(MOVIMIENTOS!$D$5:$D$1005="jabas")*(MOVIMIENTOS!$A$5:$A$1005&lt;&gt;"")*(MOVIMIENTOS!$A$5:$A$1005&lt;=$A587)*MOVIMIENTOS!$E$5:$E$1005)+SUMPRODUCT((MOVIMIENTOS!$B$5:$B$1005="DEVOLUCIÓN")*(MOVIMIENTOS!$C$5:$C$1005="A")*(MOVIMIENTOS!$D$5:$D$1005="jabas")*(MOVIMIENTOS!$A$5:$A$1005&lt;&gt;"")*(MOVIMIENTOS!$A$5:$A$1005&lt;=$A587)*MOVIMIENTOS!$E$5:$E$1005)-SUMPRODUCT((MOVIMIENTOS!$B$5:$B$1005="TRASIEGO")*(MOVIMIENTOS!$C$5:$C$1005="A")*(MOVIMIENTOS!$D$5:$D$1005="jabas")*(MOVIMIENTOS!$A$5:$A$1005&lt;&gt;"")*(MOVIMIENTOS!$A$5:$A$1005&lt;=$A587)*MOVIMIENTOS!$E$5:$E$1005)-SUMPRODUCT((MOVIMIENTOS!$B$5:$B$1005="REGALO")*(MOVIMIENTOS!$C$5:$C$1005="A")*(MOVIMIENTOS!$D$5:$D$1005="jabas")*(MOVIMIENTOS!$A$5:$A$1005&lt;&gt;"")*(MOVIMIENTOS!$A$5:$A$1005&lt;=$A587)*MOVIMIENTOS!$E$5:$E$1005)-SUMPRODUCT((MOVIMIENTOS!$B$5:$B$1005="VENTA")*(MOVIMIENTOS!$C$5:$C$1005="A")*(MOVIMIENTOS!$D$5:$D$1005="jabas")*(MOVIMIENTOS!$A$5:$A$1005&lt;&gt;"")*(MOVIMIENTOS!$A$5:$A$1005&lt;=$A587)*MOVIMIENTOS!$E$5:$E$1005)+SUMPRODUCT((MOVIMIENTOS!$B$5:$B$1005="AJUSTE")*(MOVIMIENTOS!$C$5:$C$1005="A")*(MOVIMIENTOS!$D$5:$D$1005="jabas")*(MOVIMIENTOS!$A$5:$A$1005&lt;&gt;"")*(MOVIMIENTOS!$A$5:$A$1005&lt;=$A587)*MOVIMIENTOS!$E$5:$E$1005))</f>
        <v/>
      </c>
      <c r="C587" t="str">
        <f>IF($A587="","",SUMPRODUCT((MOVIMIENTOS!$B$5:$B$1005="SALDO INICIAL")*(MOVIMIENTOS!$C$5:$C$1005="P")*(MOVIMIENTOS!$D$5:$D$1005="jabas")*(MOVIMIENTOS!$A$5:$A$1005&lt;&gt;"")*(MOVIMIENTOS!$A$5:$A$1005&lt;=$A587)*MOVIMIENTOS!$E$5:$E$1005)+SUMPRODUCT((MOVIMIENTOS!$B$5:$B$1005="PROCESO")*(MOVIMIENTOS!$C$5:$C$1005="P")*(MOVIMIENTOS!$D$5:$D$1005="jabas")*(MOVIMIENTOS!$A$5:$A$1005&lt;&gt;"")*(MOVIMIENTOS!$A$5:$A$1005&lt;=$A587)*MOVIMIENTOS!$E$5:$E$1005)-SUMPRODUCT((MOVIMIENTOS!$B$5:$B$1005="ENVÍO A SUPESA")*(MOVIMIENTOS!$C$5:$C$1005="P")*(MOVIMIENTOS!$D$5:$D$1005="jabas")*(MOVIMIENTOS!$A$5:$A$1005&lt;&gt;"")*(MOVIMIENTOS!$A$5:$A$1005&lt;=$A587)*MOVIMIENTOS!$E$5:$E$1005)+SUMPRODUCT((MOVIMIENTOS!$B$5:$B$1005="DEVOLUCIÓN")*(MOVIMIENTOS!$C$5:$C$1005="P")*(MOVIMIENTOS!$D$5:$D$1005="jabas")*(MOVIMIENTOS!$A$5:$A$1005&lt;&gt;"")*(MOVIMIENTOS!$A$5:$A$1005&lt;=$A587)*MOVIMIENTOS!$E$5:$E$1005)-SUMPRODUCT((MOVIMIENTOS!$B$5:$B$1005="TRASIEGO")*(MOVIMIENTOS!$C$5:$C$1005="P")*(MOVIMIENTOS!$D$5:$D$1005="jabas")*(MOVIMIENTOS!$A$5:$A$1005&lt;&gt;"")*(MOVIMIENTOS!$A$5:$A$1005&lt;=$A587)*MOVIMIENTOS!$E$5:$E$1005)-SUMPRODUCT((MOVIMIENTOS!$B$5:$B$1005="REGALO")*(MOVIMIENTOS!$C$5:$C$1005="P")*(MOVIMIENTOS!$D$5:$D$1005="jabas")*(MOVIMIENTOS!$A$5:$A$1005&lt;&gt;"")*(MOVIMIENTOS!$A$5:$A$1005&lt;=$A587)*MOVIMIENTOS!$E$5:$E$1005)-SUMPRODUCT((MOVIMIENTOS!$B$5:$B$1005="VENTA")*(MOVIMIENTOS!$C$5:$C$1005="P")*(MOVIMIENTOS!$D$5:$D$1005="jabas")*(MOVIMIENTOS!$A$5:$A$1005&lt;&gt;"")*(MOVIMIENTOS!$A$5:$A$1005&lt;=$A587)*MOVIMIENTOS!$E$5:$E$1005)+SUMPRODUCT((MOVIMIENTOS!$B$5:$B$1005="AJUSTE")*(MOVIMIENTOS!$C$5:$C$1005="P")*(MOVIMIENTOS!$D$5:$D$1005="jabas")*(MOVIMIENTOS!$A$5:$A$1005&lt;&gt;"")*(MOVIMIENTOS!$A$5:$A$1005&lt;=$A587)*MOVIMIENTOS!$E$5:$E$1005))</f>
        <v/>
      </c>
      <c r="D587" t="str">
        <f>IF($A587="","",SUMPRODUCT((MOVIMIENTOS!$B$5:$B$1005="SALDO INICIAL")*(MOVIMIENTOS!$C$5:$C$1005="C")*(MOVIMIENTOS!$D$5:$D$1005="jabas")*(MOVIMIENTOS!$A$5:$A$1005&lt;&gt;"")*(MOVIMIENTOS!$A$5:$A$1005&lt;=$A587)*MOVIMIENTOS!$E$5:$E$1005)+SUMPRODUCT((MOVIMIENTOS!$B$5:$B$1005="PROCESO")*(MOVIMIENTOS!$C$5:$C$1005="C")*(MOVIMIENTOS!$D$5:$D$1005="jabas")*(MOVIMIENTOS!$A$5:$A$1005&lt;&gt;"")*(MOVIMIENTOS!$A$5:$A$1005&lt;=$A587)*MOVIMIENTOS!$E$5:$E$1005)-SUMPRODUCT((MOVIMIENTOS!$B$5:$B$1005="ENVÍO A SUPESA")*(MOVIMIENTOS!$C$5:$C$1005="C")*(MOVIMIENTOS!$D$5:$D$1005="jabas")*(MOVIMIENTOS!$A$5:$A$1005&lt;&gt;"")*(MOVIMIENTOS!$A$5:$A$1005&lt;=$A587)*MOVIMIENTOS!$E$5:$E$1005)+SUMPRODUCT((MOVIMIENTOS!$B$5:$B$1005="DEVOLUCIÓN")*(MOVIMIENTOS!$C$5:$C$1005="C")*(MOVIMIENTOS!$D$5:$D$1005="jabas")*(MOVIMIENTOS!$A$5:$A$1005&lt;&gt;"")*(MOVIMIENTOS!$A$5:$A$1005&lt;=$A587)*MOVIMIENTOS!$E$5:$E$1005)-SUMPRODUCT((MOVIMIENTOS!$B$5:$B$1005="TRASIEGO")*(MOVIMIENTOS!$C$5:$C$1005="C")*(MOVIMIENTOS!$D$5:$D$1005="jabas")*(MOVIMIENTOS!$A$5:$A$1005&lt;&gt;"")*(MOVIMIENTOS!$A$5:$A$1005&lt;=$A587)*MOVIMIENTOS!$E$5:$E$1005)-SUMPRODUCT((MOVIMIENTOS!$B$5:$B$1005="REGALO")*(MOVIMIENTOS!$C$5:$C$1005="C")*(MOVIMIENTOS!$D$5:$D$1005="jabas")*(MOVIMIENTOS!$A$5:$A$1005&lt;&gt;"")*(MOVIMIENTOS!$A$5:$A$1005&lt;=$A587)*MOVIMIENTOS!$E$5:$E$1005)-SUMPRODUCT((MOVIMIENTOS!$B$5:$B$1005="VENTA")*(MOVIMIENTOS!$C$5:$C$1005="C")*(MOVIMIENTOS!$D$5:$D$1005="jabas")*(MOVIMIENTOS!$A$5:$A$1005&lt;&gt;"")*(MOVIMIENTOS!$A$5:$A$1005&lt;=$A587)*MOVIMIENTOS!$E$5:$E$1005)+SUMPRODUCT((MOVIMIENTOS!$B$5:$B$1005="AJUSTE")*(MOVIMIENTOS!$C$5:$C$1005="C")*(MOVIMIENTOS!$D$5:$D$1005="jabas")*(MOVIMIENTOS!$A$5:$A$1005&lt;&gt;"")*(MOVIMIENTOS!$A$5:$A$1005&lt;=$A587)*MOVIMIENTOS!$E$5:$E$1005))</f>
        <v/>
      </c>
      <c r="E587" t="str">
        <f>IF($A587="","",SUMPRODUCT((MOVIMIENTOS!$B$5:$B$1005="SALDO INICIAL")*(MOVIMIENTOS!$C$5:$C$1005="M")*(MOVIMIENTOS!$D$5:$D$1005="jabas")*(MOVIMIENTOS!$A$5:$A$1005&lt;&gt;"")*(MOVIMIENTOS!$A$5:$A$1005&lt;=$A587)*MOVIMIENTOS!$E$5:$E$1005)+SUMPRODUCT((MOVIMIENTOS!$B$5:$B$1005="PROCESO")*(MOVIMIENTOS!$C$5:$C$1005="M")*(MOVIMIENTOS!$D$5:$D$1005="jabas")*(MOVIMIENTOS!$A$5:$A$1005&lt;&gt;"")*(MOVIMIENTOS!$A$5:$A$1005&lt;=$A587)*MOVIMIENTOS!$E$5:$E$1005)-SUMPRODUCT((MOVIMIENTOS!$B$5:$B$1005="ENVÍO A SUPESA")*(MOVIMIENTOS!$C$5:$C$1005="M")*(MOVIMIENTOS!$D$5:$D$1005="jabas")*(MOVIMIENTOS!$A$5:$A$1005&lt;&gt;"")*(MOVIMIENTOS!$A$5:$A$1005&lt;=$A587)*MOVIMIENTOS!$E$5:$E$1005)+SUMPRODUCT((MOVIMIENTOS!$B$5:$B$1005="DEVOLUCIÓN")*(MOVIMIENTOS!$C$5:$C$1005="M")*(MOVIMIENTOS!$D$5:$D$1005="jabas")*(MOVIMIENTOS!$A$5:$A$1005&lt;&gt;"")*(MOVIMIENTOS!$A$5:$A$1005&lt;=$A587)*MOVIMIENTOS!$E$5:$E$1005)-SUMPRODUCT((MOVIMIENTOS!$B$5:$B$1005="TRASIEGO")*(MOVIMIENTOS!$C$5:$C$1005="M")*(MOVIMIENTOS!$D$5:$D$1005="jabas")*(MOVIMIENTOS!$A$5:$A$1005&lt;&gt;"")*(MOVIMIENTOS!$A$5:$A$1005&lt;=$A587)*MOVIMIENTOS!$E$5:$E$1005)-SUMPRODUCT((MOVIMIENTOS!$B$5:$B$1005="REGALO")*(MOVIMIENTOS!$C$5:$C$1005="M")*(MOVIMIENTOS!$D$5:$D$1005="jabas")*(MOVIMIENTOS!$A$5:$A$1005&lt;&gt;"")*(MOVIMIENTOS!$A$5:$A$1005&lt;=$A587)*MOVIMIENTOS!$E$5:$E$1005)-SUMPRODUCT((MOVIMIENTOS!$B$5:$B$1005="VENTA")*(MOVIMIENTOS!$C$5:$C$1005="M")*(MOVIMIENTOS!$D$5:$D$1005="jabas")*(MOVIMIENTOS!$A$5:$A$1005&lt;&gt;"")*(MOVIMIENTOS!$A$5:$A$1005&lt;=$A587)*MOVIMIENTOS!$E$5:$E$1005)+SUMPRODUCT((MOVIMIENTOS!$B$5:$B$1005="AJUSTE")*(MOVIMIENTOS!$C$5:$C$1005="M")*(MOVIMIENTOS!$D$5:$D$1005="jabas")*(MOVIMIENTOS!$A$5:$A$1005&lt;&gt;"")*(MOVIMIENTOS!$A$5:$A$1005&lt;=$A587)*MOVIMIENTOS!$E$5:$E$1005))</f>
        <v/>
      </c>
      <c r="F587" s="62" t="str">
        <f>IF($A587="","",SUMPRODUCT((MOVIMIENTOS!$B$5:$B$1005="SALDO INICIAL")*(MOVIMIENTOS!$C$5:$C$1005="Chancho")*(MOVIMIENTOS!$D$5:$D$1005="sacos")*(MOVIMIENTOS!$A$5:$A$1005&lt;&gt;"")*(MOVIMIENTOS!$A$5:$A$1005&lt;=$A587)*MOVIMIENTOS!$E$5:$E$1005)+SUMPRODUCT((MOVIMIENTOS!$B$5:$B$1005="PROCESO")*(MOVIMIENTOS!$C$5:$C$1005="Chancho")*(MOVIMIENTOS!$D$5:$D$1005="sacos")*(MOVIMIENTOS!$A$5:$A$1005&lt;&gt;"")*(MOVIMIENTOS!$A$5:$A$1005&lt;=$A587)*MOVIMIENTOS!$E$5:$E$1005)-SUMPRODUCT((MOVIMIENTOS!$B$5:$B$1005="VENTA CHANCHO")*(MOVIMIENTOS!$C$5:$C$1005="Chancho")*(MOVIMIENTOS!$D$5:$D$1005="sacos")*(MOVIMIENTOS!$A$5:$A$1005&lt;&gt;"")*(MOVIMIENTOS!$A$5:$A$1005&lt;=$A587)*MOVIMIENTOS!$E$5:$E$1005)-SUMPRODUCT((MOVIMIENTOS!$B$5:$B$1005="REGALO")*(MOVIMIENTOS!$C$5:$C$1005="Chancho")*(MOVIMIENTOS!$D$5:$D$1005="sacos")*(MOVIMIENTOS!$A$5:$A$1005&lt;&gt;"")*(MOVIMIENTOS!$A$5:$A$1005&lt;=$A587)*MOVIMIENTOS!$E$5:$E$1005)-SUMPRODUCT((MOVIMIENTOS!$B$5:$B$1005="VENTA")*(MOVIMIENTOS!$C$5:$C$1005="Chancho")*(MOVIMIENTOS!$D$5:$D$1005="sacos")*(MOVIMIENTOS!$A$5:$A$1005&lt;&gt;"")*(MOVIMIENTOS!$A$5:$A$1005&lt;=$A587)*MOVIMIENTOS!$E$5:$E$1005)+SUMPRODUCT((MOVIMIENTOS!$B$5:$B$1005="AJUSTE")*(MOVIMIENTOS!$C$5:$C$1005="Chancho")*(MOVIMIENTOS!$D$5:$D$1005="sacos")*(MOVIMIENTOS!$A$5:$A$1005&lt;&gt;"")*(MOVIMIENTOS!$A$5:$A$1005&lt;=$A587)*MOVIMIENTOS!$E$5:$E$1005))</f>
        <v/>
      </c>
      <c r="G587" s="62" t="str">
        <f t="shared" si="19"/>
        <v/>
      </c>
      <c r="H587" t="str">
        <f>IF($A587="","",SUMPRODUCT((((MOVIMIENTOS!$B$5:$B$1005="SALDO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587)*MOVIMIENTOS!$J$5:$J$1005))</f>
        <v/>
      </c>
      <c r="J587" t="str">
        <f>IF(AND(MOVIMIENTOS!$A592&lt;&gt;"",COUNTIF(MOVIMIENTOS!$A$5:$A591,MOVIMIENTOS!$A592)=0),COUNT(J$4:J586)+1,"")</f>
        <v/>
      </c>
      <c r="K587">
        <f>MOVIMIENTOS!$A592</f>
        <v>0</v>
      </c>
    </row>
    <row r="588" spans="1:11" ht="15" customHeight="1" x14ac:dyDescent="0.2">
      <c r="A588" t="str">
        <f t="shared" si="18"/>
        <v/>
      </c>
      <c r="B588" t="str">
        <f>IF($A588="","",SUMPRODUCT((MOVIMIENTOS!$B$5:$B$1005="SALDO INICIAL")*(MOVIMIENTOS!$C$5:$C$1005="A")*(MOVIMIENTOS!$D$5:$D$1005="jabas")*(MOVIMIENTOS!$A$5:$A$1005&lt;&gt;"")*(MOVIMIENTOS!$A$5:$A$1005&lt;=$A588)*MOVIMIENTOS!$E$5:$E$1005)+SUMPRODUCT((MOVIMIENTOS!$B$5:$B$1005="PROCESO")*(MOVIMIENTOS!$C$5:$C$1005="A")*(MOVIMIENTOS!$D$5:$D$1005="jabas")*(MOVIMIENTOS!$A$5:$A$1005&lt;&gt;"")*(MOVIMIENTOS!$A$5:$A$1005&lt;=$A588)*MOVIMIENTOS!$E$5:$E$1005)-SUMPRODUCT((MOVIMIENTOS!$B$5:$B$1005="ENVÍO A SUPESA")*(MOVIMIENTOS!$C$5:$C$1005="A")*(MOVIMIENTOS!$D$5:$D$1005="jabas")*(MOVIMIENTOS!$A$5:$A$1005&lt;&gt;"")*(MOVIMIENTOS!$A$5:$A$1005&lt;=$A588)*MOVIMIENTOS!$E$5:$E$1005)+SUMPRODUCT((MOVIMIENTOS!$B$5:$B$1005="DEVOLUCIÓN")*(MOVIMIENTOS!$C$5:$C$1005="A")*(MOVIMIENTOS!$D$5:$D$1005="jabas")*(MOVIMIENTOS!$A$5:$A$1005&lt;&gt;"")*(MOVIMIENTOS!$A$5:$A$1005&lt;=$A588)*MOVIMIENTOS!$E$5:$E$1005)-SUMPRODUCT((MOVIMIENTOS!$B$5:$B$1005="TRASIEGO")*(MOVIMIENTOS!$C$5:$C$1005="A")*(MOVIMIENTOS!$D$5:$D$1005="jabas")*(MOVIMIENTOS!$A$5:$A$1005&lt;&gt;"")*(MOVIMIENTOS!$A$5:$A$1005&lt;=$A588)*MOVIMIENTOS!$E$5:$E$1005)-SUMPRODUCT((MOVIMIENTOS!$B$5:$B$1005="REGALO")*(MOVIMIENTOS!$C$5:$C$1005="A")*(MOVIMIENTOS!$D$5:$D$1005="jabas")*(MOVIMIENTOS!$A$5:$A$1005&lt;&gt;"")*(MOVIMIENTOS!$A$5:$A$1005&lt;=$A588)*MOVIMIENTOS!$E$5:$E$1005)-SUMPRODUCT((MOVIMIENTOS!$B$5:$B$1005="VENTA")*(MOVIMIENTOS!$C$5:$C$1005="A")*(MOVIMIENTOS!$D$5:$D$1005="jabas")*(MOVIMIENTOS!$A$5:$A$1005&lt;&gt;"")*(MOVIMIENTOS!$A$5:$A$1005&lt;=$A588)*MOVIMIENTOS!$E$5:$E$1005)+SUMPRODUCT((MOVIMIENTOS!$B$5:$B$1005="AJUSTE")*(MOVIMIENTOS!$C$5:$C$1005="A")*(MOVIMIENTOS!$D$5:$D$1005="jabas")*(MOVIMIENTOS!$A$5:$A$1005&lt;&gt;"")*(MOVIMIENTOS!$A$5:$A$1005&lt;=$A588)*MOVIMIENTOS!$E$5:$E$1005))</f>
        <v/>
      </c>
      <c r="C588" t="str">
        <f>IF($A588="","",SUMPRODUCT((MOVIMIENTOS!$B$5:$B$1005="SALDO INICIAL")*(MOVIMIENTOS!$C$5:$C$1005="P")*(MOVIMIENTOS!$D$5:$D$1005="jabas")*(MOVIMIENTOS!$A$5:$A$1005&lt;&gt;"")*(MOVIMIENTOS!$A$5:$A$1005&lt;=$A588)*MOVIMIENTOS!$E$5:$E$1005)+SUMPRODUCT((MOVIMIENTOS!$B$5:$B$1005="PROCESO")*(MOVIMIENTOS!$C$5:$C$1005="P")*(MOVIMIENTOS!$D$5:$D$1005="jabas")*(MOVIMIENTOS!$A$5:$A$1005&lt;&gt;"")*(MOVIMIENTOS!$A$5:$A$1005&lt;=$A588)*MOVIMIENTOS!$E$5:$E$1005)-SUMPRODUCT((MOVIMIENTOS!$B$5:$B$1005="ENVÍO A SUPESA")*(MOVIMIENTOS!$C$5:$C$1005="P")*(MOVIMIENTOS!$D$5:$D$1005="jabas")*(MOVIMIENTOS!$A$5:$A$1005&lt;&gt;"")*(MOVIMIENTOS!$A$5:$A$1005&lt;=$A588)*MOVIMIENTOS!$E$5:$E$1005)+SUMPRODUCT((MOVIMIENTOS!$B$5:$B$1005="DEVOLUCIÓN")*(MOVIMIENTOS!$C$5:$C$1005="P")*(MOVIMIENTOS!$D$5:$D$1005="jabas")*(MOVIMIENTOS!$A$5:$A$1005&lt;&gt;"")*(MOVIMIENTOS!$A$5:$A$1005&lt;=$A588)*MOVIMIENTOS!$E$5:$E$1005)-SUMPRODUCT((MOVIMIENTOS!$B$5:$B$1005="TRASIEGO")*(MOVIMIENTOS!$C$5:$C$1005="P")*(MOVIMIENTOS!$D$5:$D$1005="jabas")*(MOVIMIENTOS!$A$5:$A$1005&lt;&gt;"")*(MOVIMIENTOS!$A$5:$A$1005&lt;=$A588)*MOVIMIENTOS!$E$5:$E$1005)-SUMPRODUCT((MOVIMIENTOS!$B$5:$B$1005="REGALO")*(MOVIMIENTOS!$C$5:$C$1005="P")*(MOVIMIENTOS!$D$5:$D$1005="jabas")*(MOVIMIENTOS!$A$5:$A$1005&lt;&gt;"")*(MOVIMIENTOS!$A$5:$A$1005&lt;=$A588)*MOVIMIENTOS!$E$5:$E$1005)-SUMPRODUCT((MOVIMIENTOS!$B$5:$B$1005="VENTA")*(MOVIMIENTOS!$C$5:$C$1005="P")*(MOVIMIENTOS!$D$5:$D$1005="jabas")*(MOVIMIENTOS!$A$5:$A$1005&lt;&gt;"")*(MOVIMIENTOS!$A$5:$A$1005&lt;=$A588)*MOVIMIENTOS!$E$5:$E$1005)+SUMPRODUCT((MOVIMIENTOS!$B$5:$B$1005="AJUSTE")*(MOVIMIENTOS!$C$5:$C$1005="P")*(MOVIMIENTOS!$D$5:$D$1005="jabas")*(MOVIMIENTOS!$A$5:$A$1005&lt;&gt;"")*(MOVIMIENTOS!$A$5:$A$1005&lt;=$A588)*MOVIMIENTOS!$E$5:$E$1005))</f>
        <v/>
      </c>
      <c r="D588" t="str">
        <f>IF($A588="","",SUMPRODUCT((MOVIMIENTOS!$B$5:$B$1005="SALDO INICIAL")*(MOVIMIENTOS!$C$5:$C$1005="C")*(MOVIMIENTOS!$D$5:$D$1005="jabas")*(MOVIMIENTOS!$A$5:$A$1005&lt;&gt;"")*(MOVIMIENTOS!$A$5:$A$1005&lt;=$A588)*MOVIMIENTOS!$E$5:$E$1005)+SUMPRODUCT((MOVIMIENTOS!$B$5:$B$1005="PROCESO")*(MOVIMIENTOS!$C$5:$C$1005="C")*(MOVIMIENTOS!$D$5:$D$1005="jabas")*(MOVIMIENTOS!$A$5:$A$1005&lt;&gt;"")*(MOVIMIENTOS!$A$5:$A$1005&lt;=$A588)*MOVIMIENTOS!$E$5:$E$1005)-SUMPRODUCT((MOVIMIENTOS!$B$5:$B$1005="ENVÍO A SUPESA")*(MOVIMIENTOS!$C$5:$C$1005="C")*(MOVIMIENTOS!$D$5:$D$1005="jabas")*(MOVIMIENTOS!$A$5:$A$1005&lt;&gt;"")*(MOVIMIENTOS!$A$5:$A$1005&lt;=$A588)*MOVIMIENTOS!$E$5:$E$1005)+SUMPRODUCT((MOVIMIENTOS!$B$5:$B$1005="DEVOLUCIÓN")*(MOVIMIENTOS!$C$5:$C$1005="C")*(MOVIMIENTOS!$D$5:$D$1005="jabas")*(MOVIMIENTOS!$A$5:$A$1005&lt;&gt;"")*(MOVIMIENTOS!$A$5:$A$1005&lt;=$A588)*MOVIMIENTOS!$E$5:$E$1005)-SUMPRODUCT((MOVIMIENTOS!$B$5:$B$1005="TRASIEGO")*(MOVIMIENTOS!$C$5:$C$1005="C")*(MOVIMIENTOS!$D$5:$D$1005="jabas")*(MOVIMIENTOS!$A$5:$A$1005&lt;&gt;"")*(MOVIMIENTOS!$A$5:$A$1005&lt;=$A588)*MOVIMIENTOS!$E$5:$E$1005)-SUMPRODUCT((MOVIMIENTOS!$B$5:$B$1005="REGALO")*(MOVIMIENTOS!$C$5:$C$1005="C")*(MOVIMIENTOS!$D$5:$D$1005="jabas")*(MOVIMIENTOS!$A$5:$A$1005&lt;&gt;"")*(MOVIMIENTOS!$A$5:$A$1005&lt;=$A588)*MOVIMIENTOS!$E$5:$E$1005)-SUMPRODUCT((MOVIMIENTOS!$B$5:$B$1005="VENTA")*(MOVIMIENTOS!$C$5:$C$1005="C")*(MOVIMIENTOS!$D$5:$D$1005="jabas")*(MOVIMIENTOS!$A$5:$A$1005&lt;&gt;"")*(MOVIMIENTOS!$A$5:$A$1005&lt;=$A588)*MOVIMIENTOS!$E$5:$E$1005)+SUMPRODUCT((MOVIMIENTOS!$B$5:$B$1005="AJUSTE")*(MOVIMIENTOS!$C$5:$C$1005="C")*(MOVIMIENTOS!$D$5:$D$1005="jabas")*(MOVIMIENTOS!$A$5:$A$1005&lt;&gt;"")*(MOVIMIENTOS!$A$5:$A$1005&lt;=$A588)*MOVIMIENTOS!$E$5:$E$1005))</f>
        <v/>
      </c>
      <c r="E588" t="str">
        <f>IF($A588="","",SUMPRODUCT((MOVIMIENTOS!$B$5:$B$1005="SALDO INICIAL")*(MOVIMIENTOS!$C$5:$C$1005="M")*(MOVIMIENTOS!$D$5:$D$1005="jabas")*(MOVIMIENTOS!$A$5:$A$1005&lt;&gt;"")*(MOVIMIENTOS!$A$5:$A$1005&lt;=$A588)*MOVIMIENTOS!$E$5:$E$1005)+SUMPRODUCT((MOVIMIENTOS!$B$5:$B$1005="PROCESO")*(MOVIMIENTOS!$C$5:$C$1005="M")*(MOVIMIENTOS!$D$5:$D$1005="jabas")*(MOVIMIENTOS!$A$5:$A$1005&lt;&gt;"")*(MOVIMIENTOS!$A$5:$A$1005&lt;=$A588)*MOVIMIENTOS!$E$5:$E$1005)-SUMPRODUCT((MOVIMIENTOS!$B$5:$B$1005="ENVÍO A SUPESA")*(MOVIMIENTOS!$C$5:$C$1005="M")*(MOVIMIENTOS!$D$5:$D$1005="jabas")*(MOVIMIENTOS!$A$5:$A$1005&lt;&gt;"")*(MOVIMIENTOS!$A$5:$A$1005&lt;=$A588)*MOVIMIENTOS!$E$5:$E$1005)+SUMPRODUCT((MOVIMIENTOS!$B$5:$B$1005="DEVOLUCIÓN")*(MOVIMIENTOS!$C$5:$C$1005="M")*(MOVIMIENTOS!$D$5:$D$1005="jabas")*(MOVIMIENTOS!$A$5:$A$1005&lt;&gt;"")*(MOVIMIENTOS!$A$5:$A$1005&lt;=$A588)*MOVIMIENTOS!$E$5:$E$1005)-SUMPRODUCT((MOVIMIENTOS!$B$5:$B$1005="TRASIEGO")*(MOVIMIENTOS!$C$5:$C$1005="M")*(MOVIMIENTOS!$D$5:$D$1005="jabas")*(MOVIMIENTOS!$A$5:$A$1005&lt;&gt;"")*(MOVIMIENTOS!$A$5:$A$1005&lt;=$A588)*MOVIMIENTOS!$E$5:$E$1005)-SUMPRODUCT((MOVIMIENTOS!$B$5:$B$1005="REGALO")*(MOVIMIENTOS!$C$5:$C$1005="M")*(MOVIMIENTOS!$D$5:$D$1005="jabas")*(MOVIMIENTOS!$A$5:$A$1005&lt;&gt;"")*(MOVIMIENTOS!$A$5:$A$1005&lt;=$A588)*MOVIMIENTOS!$E$5:$E$1005)-SUMPRODUCT((MOVIMIENTOS!$B$5:$B$1005="VENTA")*(MOVIMIENTOS!$C$5:$C$1005="M")*(MOVIMIENTOS!$D$5:$D$1005="jabas")*(MOVIMIENTOS!$A$5:$A$1005&lt;&gt;"")*(MOVIMIENTOS!$A$5:$A$1005&lt;=$A588)*MOVIMIENTOS!$E$5:$E$1005)+SUMPRODUCT((MOVIMIENTOS!$B$5:$B$1005="AJUSTE")*(MOVIMIENTOS!$C$5:$C$1005="M")*(MOVIMIENTOS!$D$5:$D$1005="jabas")*(MOVIMIENTOS!$A$5:$A$1005&lt;&gt;"")*(MOVIMIENTOS!$A$5:$A$1005&lt;=$A588)*MOVIMIENTOS!$E$5:$E$1005))</f>
        <v/>
      </c>
      <c r="F588" s="62" t="str">
        <f>IF($A588="","",SUMPRODUCT((MOVIMIENTOS!$B$5:$B$1005="SALDO INICIAL")*(MOVIMIENTOS!$C$5:$C$1005="Chancho")*(MOVIMIENTOS!$D$5:$D$1005="sacos")*(MOVIMIENTOS!$A$5:$A$1005&lt;&gt;"")*(MOVIMIENTOS!$A$5:$A$1005&lt;=$A588)*MOVIMIENTOS!$E$5:$E$1005)+SUMPRODUCT((MOVIMIENTOS!$B$5:$B$1005="PROCESO")*(MOVIMIENTOS!$C$5:$C$1005="Chancho")*(MOVIMIENTOS!$D$5:$D$1005="sacos")*(MOVIMIENTOS!$A$5:$A$1005&lt;&gt;"")*(MOVIMIENTOS!$A$5:$A$1005&lt;=$A588)*MOVIMIENTOS!$E$5:$E$1005)-SUMPRODUCT((MOVIMIENTOS!$B$5:$B$1005="VENTA CHANCHO")*(MOVIMIENTOS!$C$5:$C$1005="Chancho")*(MOVIMIENTOS!$D$5:$D$1005="sacos")*(MOVIMIENTOS!$A$5:$A$1005&lt;&gt;"")*(MOVIMIENTOS!$A$5:$A$1005&lt;=$A588)*MOVIMIENTOS!$E$5:$E$1005)-SUMPRODUCT((MOVIMIENTOS!$B$5:$B$1005="REGALO")*(MOVIMIENTOS!$C$5:$C$1005="Chancho")*(MOVIMIENTOS!$D$5:$D$1005="sacos")*(MOVIMIENTOS!$A$5:$A$1005&lt;&gt;"")*(MOVIMIENTOS!$A$5:$A$1005&lt;=$A588)*MOVIMIENTOS!$E$5:$E$1005)-SUMPRODUCT((MOVIMIENTOS!$B$5:$B$1005="VENTA")*(MOVIMIENTOS!$C$5:$C$1005="Chancho")*(MOVIMIENTOS!$D$5:$D$1005="sacos")*(MOVIMIENTOS!$A$5:$A$1005&lt;&gt;"")*(MOVIMIENTOS!$A$5:$A$1005&lt;=$A588)*MOVIMIENTOS!$E$5:$E$1005)+SUMPRODUCT((MOVIMIENTOS!$B$5:$B$1005="AJUSTE")*(MOVIMIENTOS!$C$5:$C$1005="Chancho")*(MOVIMIENTOS!$D$5:$D$1005="sacos")*(MOVIMIENTOS!$A$5:$A$1005&lt;&gt;"")*(MOVIMIENTOS!$A$5:$A$1005&lt;=$A588)*MOVIMIENTOS!$E$5:$E$1005))</f>
        <v/>
      </c>
      <c r="G588" s="62" t="str">
        <f t="shared" si="19"/>
        <v/>
      </c>
      <c r="H588" t="str">
        <f>IF($A588="","",SUMPRODUCT((((MOVIMIENTOS!$B$5:$B$1005="SALDO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588)*MOVIMIENTOS!$J$5:$J$1005))</f>
        <v/>
      </c>
      <c r="J588" t="str">
        <f>IF(AND(MOVIMIENTOS!$A593&lt;&gt;"",COUNTIF(MOVIMIENTOS!$A$5:$A592,MOVIMIENTOS!$A593)=0),COUNT(J$4:J587)+1,"")</f>
        <v/>
      </c>
      <c r="K588">
        <f>MOVIMIENTOS!$A593</f>
        <v>0</v>
      </c>
    </row>
    <row r="589" spans="1:11" ht="15" customHeight="1" x14ac:dyDescent="0.2">
      <c r="A589" t="str">
        <f t="shared" si="18"/>
        <v/>
      </c>
      <c r="B589" t="str">
        <f>IF($A589="","",SUMPRODUCT((MOVIMIENTOS!$B$5:$B$1005="SALDO INICIAL")*(MOVIMIENTOS!$C$5:$C$1005="A")*(MOVIMIENTOS!$D$5:$D$1005="jabas")*(MOVIMIENTOS!$A$5:$A$1005&lt;&gt;"")*(MOVIMIENTOS!$A$5:$A$1005&lt;=$A589)*MOVIMIENTOS!$E$5:$E$1005)+SUMPRODUCT((MOVIMIENTOS!$B$5:$B$1005="PROCESO")*(MOVIMIENTOS!$C$5:$C$1005="A")*(MOVIMIENTOS!$D$5:$D$1005="jabas")*(MOVIMIENTOS!$A$5:$A$1005&lt;&gt;"")*(MOVIMIENTOS!$A$5:$A$1005&lt;=$A589)*MOVIMIENTOS!$E$5:$E$1005)-SUMPRODUCT((MOVIMIENTOS!$B$5:$B$1005="ENVÍO A SUPESA")*(MOVIMIENTOS!$C$5:$C$1005="A")*(MOVIMIENTOS!$D$5:$D$1005="jabas")*(MOVIMIENTOS!$A$5:$A$1005&lt;&gt;"")*(MOVIMIENTOS!$A$5:$A$1005&lt;=$A589)*MOVIMIENTOS!$E$5:$E$1005)+SUMPRODUCT((MOVIMIENTOS!$B$5:$B$1005="DEVOLUCIÓN")*(MOVIMIENTOS!$C$5:$C$1005="A")*(MOVIMIENTOS!$D$5:$D$1005="jabas")*(MOVIMIENTOS!$A$5:$A$1005&lt;&gt;"")*(MOVIMIENTOS!$A$5:$A$1005&lt;=$A589)*MOVIMIENTOS!$E$5:$E$1005)-SUMPRODUCT((MOVIMIENTOS!$B$5:$B$1005="TRASIEGO")*(MOVIMIENTOS!$C$5:$C$1005="A")*(MOVIMIENTOS!$D$5:$D$1005="jabas")*(MOVIMIENTOS!$A$5:$A$1005&lt;&gt;"")*(MOVIMIENTOS!$A$5:$A$1005&lt;=$A589)*MOVIMIENTOS!$E$5:$E$1005)-SUMPRODUCT((MOVIMIENTOS!$B$5:$B$1005="REGALO")*(MOVIMIENTOS!$C$5:$C$1005="A")*(MOVIMIENTOS!$D$5:$D$1005="jabas")*(MOVIMIENTOS!$A$5:$A$1005&lt;&gt;"")*(MOVIMIENTOS!$A$5:$A$1005&lt;=$A589)*MOVIMIENTOS!$E$5:$E$1005)-SUMPRODUCT((MOVIMIENTOS!$B$5:$B$1005="VENTA")*(MOVIMIENTOS!$C$5:$C$1005="A")*(MOVIMIENTOS!$D$5:$D$1005="jabas")*(MOVIMIENTOS!$A$5:$A$1005&lt;&gt;"")*(MOVIMIENTOS!$A$5:$A$1005&lt;=$A589)*MOVIMIENTOS!$E$5:$E$1005)+SUMPRODUCT((MOVIMIENTOS!$B$5:$B$1005="AJUSTE")*(MOVIMIENTOS!$C$5:$C$1005="A")*(MOVIMIENTOS!$D$5:$D$1005="jabas")*(MOVIMIENTOS!$A$5:$A$1005&lt;&gt;"")*(MOVIMIENTOS!$A$5:$A$1005&lt;=$A589)*MOVIMIENTOS!$E$5:$E$1005))</f>
        <v/>
      </c>
      <c r="C589" t="str">
        <f>IF($A589="","",SUMPRODUCT((MOVIMIENTOS!$B$5:$B$1005="SALDO INICIAL")*(MOVIMIENTOS!$C$5:$C$1005="P")*(MOVIMIENTOS!$D$5:$D$1005="jabas")*(MOVIMIENTOS!$A$5:$A$1005&lt;&gt;"")*(MOVIMIENTOS!$A$5:$A$1005&lt;=$A589)*MOVIMIENTOS!$E$5:$E$1005)+SUMPRODUCT((MOVIMIENTOS!$B$5:$B$1005="PROCESO")*(MOVIMIENTOS!$C$5:$C$1005="P")*(MOVIMIENTOS!$D$5:$D$1005="jabas")*(MOVIMIENTOS!$A$5:$A$1005&lt;&gt;"")*(MOVIMIENTOS!$A$5:$A$1005&lt;=$A589)*MOVIMIENTOS!$E$5:$E$1005)-SUMPRODUCT((MOVIMIENTOS!$B$5:$B$1005="ENVÍO A SUPESA")*(MOVIMIENTOS!$C$5:$C$1005="P")*(MOVIMIENTOS!$D$5:$D$1005="jabas")*(MOVIMIENTOS!$A$5:$A$1005&lt;&gt;"")*(MOVIMIENTOS!$A$5:$A$1005&lt;=$A589)*MOVIMIENTOS!$E$5:$E$1005)+SUMPRODUCT((MOVIMIENTOS!$B$5:$B$1005="DEVOLUCIÓN")*(MOVIMIENTOS!$C$5:$C$1005="P")*(MOVIMIENTOS!$D$5:$D$1005="jabas")*(MOVIMIENTOS!$A$5:$A$1005&lt;&gt;"")*(MOVIMIENTOS!$A$5:$A$1005&lt;=$A589)*MOVIMIENTOS!$E$5:$E$1005)-SUMPRODUCT((MOVIMIENTOS!$B$5:$B$1005="TRASIEGO")*(MOVIMIENTOS!$C$5:$C$1005="P")*(MOVIMIENTOS!$D$5:$D$1005="jabas")*(MOVIMIENTOS!$A$5:$A$1005&lt;&gt;"")*(MOVIMIENTOS!$A$5:$A$1005&lt;=$A589)*MOVIMIENTOS!$E$5:$E$1005)-SUMPRODUCT((MOVIMIENTOS!$B$5:$B$1005="REGALO")*(MOVIMIENTOS!$C$5:$C$1005="P")*(MOVIMIENTOS!$D$5:$D$1005="jabas")*(MOVIMIENTOS!$A$5:$A$1005&lt;&gt;"")*(MOVIMIENTOS!$A$5:$A$1005&lt;=$A589)*MOVIMIENTOS!$E$5:$E$1005)-SUMPRODUCT((MOVIMIENTOS!$B$5:$B$1005="VENTA")*(MOVIMIENTOS!$C$5:$C$1005="P")*(MOVIMIENTOS!$D$5:$D$1005="jabas")*(MOVIMIENTOS!$A$5:$A$1005&lt;&gt;"")*(MOVIMIENTOS!$A$5:$A$1005&lt;=$A589)*MOVIMIENTOS!$E$5:$E$1005)+SUMPRODUCT((MOVIMIENTOS!$B$5:$B$1005="AJUSTE")*(MOVIMIENTOS!$C$5:$C$1005="P")*(MOVIMIENTOS!$D$5:$D$1005="jabas")*(MOVIMIENTOS!$A$5:$A$1005&lt;&gt;"")*(MOVIMIENTOS!$A$5:$A$1005&lt;=$A589)*MOVIMIENTOS!$E$5:$E$1005))</f>
        <v/>
      </c>
      <c r="D589" t="str">
        <f>IF($A589="","",SUMPRODUCT((MOVIMIENTOS!$B$5:$B$1005="SALDO INICIAL")*(MOVIMIENTOS!$C$5:$C$1005="C")*(MOVIMIENTOS!$D$5:$D$1005="jabas")*(MOVIMIENTOS!$A$5:$A$1005&lt;&gt;"")*(MOVIMIENTOS!$A$5:$A$1005&lt;=$A589)*MOVIMIENTOS!$E$5:$E$1005)+SUMPRODUCT((MOVIMIENTOS!$B$5:$B$1005="PROCESO")*(MOVIMIENTOS!$C$5:$C$1005="C")*(MOVIMIENTOS!$D$5:$D$1005="jabas")*(MOVIMIENTOS!$A$5:$A$1005&lt;&gt;"")*(MOVIMIENTOS!$A$5:$A$1005&lt;=$A589)*MOVIMIENTOS!$E$5:$E$1005)-SUMPRODUCT((MOVIMIENTOS!$B$5:$B$1005="ENVÍO A SUPESA")*(MOVIMIENTOS!$C$5:$C$1005="C")*(MOVIMIENTOS!$D$5:$D$1005="jabas")*(MOVIMIENTOS!$A$5:$A$1005&lt;&gt;"")*(MOVIMIENTOS!$A$5:$A$1005&lt;=$A589)*MOVIMIENTOS!$E$5:$E$1005)+SUMPRODUCT((MOVIMIENTOS!$B$5:$B$1005="DEVOLUCIÓN")*(MOVIMIENTOS!$C$5:$C$1005="C")*(MOVIMIENTOS!$D$5:$D$1005="jabas")*(MOVIMIENTOS!$A$5:$A$1005&lt;&gt;"")*(MOVIMIENTOS!$A$5:$A$1005&lt;=$A589)*MOVIMIENTOS!$E$5:$E$1005)-SUMPRODUCT((MOVIMIENTOS!$B$5:$B$1005="TRASIEGO")*(MOVIMIENTOS!$C$5:$C$1005="C")*(MOVIMIENTOS!$D$5:$D$1005="jabas")*(MOVIMIENTOS!$A$5:$A$1005&lt;&gt;"")*(MOVIMIENTOS!$A$5:$A$1005&lt;=$A589)*MOVIMIENTOS!$E$5:$E$1005)-SUMPRODUCT((MOVIMIENTOS!$B$5:$B$1005="REGALO")*(MOVIMIENTOS!$C$5:$C$1005="C")*(MOVIMIENTOS!$D$5:$D$1005="jabas")*(MOVIMIENTOS!$A$5:$A$1005&lt;&gt;"")*(MOVIMIENTOS!$A$5:$A$1005&lt;=$A589)*MOVIMIENTOS!$E$5:$E$1005)-SUMPRODUCT((MOVIMIENTOS!$B$5:$B$1005="VENTA")*(MOVIMIENTOS!$C$5:$C$1005="C")*(MOVIMIENTOS!$D$5:$D$1005="jabas")*(MOVIMIENTOS!$A$5:$A$1005&lt;&gt;"")*(MOVIMIENTOS!$A$5:$A$1005&lt;=$A589)*MOVIMIENTOS!$E$5:$E$1005)+SUMPRODUCT((MOVIMIENTOS!$B$5:$B$1005="AJUSTE")*(MOVIMIENTOS!$C$5:$C$1005="C")*(MOVIMIENTOS!$D$5:$D$1005="jabas")*(MOVIMIENTOS!$A$5:$A$1005&lt;&gt;"")*(MOVIMIENTOS!$A$5:$A$1005&lt;=$A589)*MOVIMIENTOS!$E$5:$E$1005))</f>
        <v/>
      </c>
      <c r="E589" t="str">
        <f>IF($A589="","",SUMPRODUCT((MOVIMIENTOS!$B$5:$B$1005="SALDO INICIAL")*(MOVIMIENTOS!$C$5:$C$1005="M")*(MOVIMIENTOS!$D$5:$D$1005="jabas")*(MOVIMIENTOS!$A$5:$A$1005&lt;&gt;"")*(MOVIMIENTOS!$A$5:$A$1005&lt;=$A589)*MOVIMIENTOS!$E$5:$E$1005)+SUMPRODUCT((MOVIMIENTOS!$B$5:$B$1005="PROCESO")*(MOVIMIENTOS!$C$5:$C$1005="M")*(MOVIMIENTOS!$D$5:$D$1005="jabas")*(MOVIMIENTOS!$A$5:$A$1005&lt;&gt;"")*(MOVIMIENTOS!$A$5:$A$1005&lt;=$A589)*MOVIMIENTOS!$E$5:$E$1005)-SUMPRODUCT((MOVIMIENTOS!$B$5:$B$1005="ENVÍO A SUPESA")*(MOVIMIENTOS!$C$5:$C$1005="M")*(MOVIMIENTOS!$D$5:$D$1005="jabas")*(MOVIMIENTOS!$A$5:$A$1005&lt;&gt;"")*(MOVIMIENTOS!$A$5:$A$1005&lt;=$A589)*MOVIMIENTOS!$E$5:$E$1005)+SUMPRODUCT((MOVIMIENTOS!$B$5:$B$1005="DEVOLUCIÓN")*(MOVIMIENTOS!$C$5:$C$1005="M")*(MOVIMIENTOS!$D$5:$D$1005="jabas")*(MOVIMIENTOS!$A$5:$A$1005&lt;&gt;"")*(MOVIMIENTOS!$A$5:$A$1005&lt;=$A589)*MOVIMIENTOS!$E$5:$E$1005)-SUMPRODUCT((MOVIMIENTOS!$B$5:$B$1005="TRASIEGO")*(MOVIMIENTOS!$C$5:$C$1005="M")*(MOVIMIENTOS!$D$5:$D$1005="jabas")*(MOVIMIENTOS!$A$5:$A$1005&lt;&gt;"")*(MOVIMIENTOS!$A$5:$A$1005&lt;=$A589)*MOVIMIENTOS!$E$5:$E$1005)-SUMPRODUCT((MOVIMIENTOS!$B$5:$B$1005="REGALO")*(MOVIMIENTOS!$C$5:$C$1005="M")*(MOVIMIENTOS!$D$5:$D$1005="jabas")*(MOVIMIENTOS!$A$5:$A$1005&lt;&gt;"")*(MOVIMIENTOS!$A$5:$A$1005&lt;=$A589)*MOVIMIENTOS!$E$5:$E$1005)-SUMPRODUCT((MOVIMIENTOS!$B$5:$B$1005="VENTA")*(MOVIMIENTOS!$C$5:$C$1005="M")*(MOVIMIENTOS!$D$5:$D$1005="jabas")*(MOVIMIENTOS!$A$5:$A$1005&lt;&gt;"")*(MOVIMIENTOS!$A$5:$A$1005&lt;=$A589)*MOVIMIENTOS!$E$5:$E$1005)+SUMPRODUCT((MOVIMIENTOS!$B$5:$B$1005="AJUSTE")*(MOVIMIENTOS!$C$5:$C$1005="M")*(MOVIMIENTOS!$D$5:$D$1005="jabas")*(MOVIMIENTOS!$A$5:$A$1005&lt;&gt;"")*(MOVIMIENTOS!$A$5:$A$1005&lt;=$A589)*MOVIMIENTOS!$E$5:$E$1005))</f>
        <v/>
      </c>
      <c r="F589" s="62" t="str">
        <f>IF($A589="","",SUMPRODUCT((MOVIMIENTOS!$B$5:$B$1005="SALDO INICIAL")*(MOVIMIENTOS!$C$5:$C$1005="Chancho")*(MOVIMIENTOS!$D$5:$D$1005="sacos")*(MOVIMIENTOS!$A$5:$A$1005&lt;&gt;"")*(MOVIMIENTOS!$A$5:$A$1005&lt;=$A589)*MOVIMIENTOS!$E$5:$E$1005)+SUMPRODUCT((MOVIMIENTOS!$B$5:$B$1005="PROCESO")*(MOVIMIENTOS!$C$5:$C$1005="Chancho")*(MOVIMIENTOS!$D$5:$D$1005="sacos")*(MOVIMIENTOS!$A$5:$A$1005&lt;&gt;"")*(MOVIMIENTOS!$A$5:$A$1005&lt;=$A589)*MOVIMIENTOS!$E$5:$E$1005)-SUMPRODUCT((MOVIMIENTOS!$B$5:$B$1005="VENTA CHANCHO")*(MOVIMIENTOS!$C$5:$C$1005="Chancho")*(MOVIMIENTOS!$D$5:$D$1005="sacos")*(MOVIMIENTOS!$A$5:$A$1005&lt;&gt;"")*(MOVIMIENTOS!$A$5:$A$1005&lt;=$A589)*MOVIMIENTOS!$E$5:$E$1005)-SUMPRODUCT((MOVIMIENTOS!$B$5:$B$1005="REGALO")*(MOVIMIENTOS!$C$5:$C$1005="Chancho")*(MOVIMIENTOS!$D$5:$D$1005="sacos")*(MOVIMIENTOS!$A$5:$A$1005&lt;&gt;"")*(MOVIMIENTOS!$A$5:$A$1005&lt;=$A589)*MOVIMIENTOS!$E$5:$E$1005)-SUMPRODUCT((MOVIMIENTOS!$B$5:$B$1005="VENTA")*(MOVIMIENTOS!$C$5:$C$1005="Chancho")*(MOVIMIENTOS!$D$5:$D$1005="sacos")*(MOVIMIENTOS!$A$5:$A$1005&lt;&gt;"")*(MOVIMIENTOS!$A$5:$A$1005&lt;=$A589)*MOVIMIENTOS!$E$5:$E$1005)+SUMPRODUCT((MOVIMIENTOS!$B$5:$B$1005="AJUSTE")*(MOVIMIENTOS!$C$5:$C$1005="Chancho")*(MOVIMIENTOS!$D$5:$D$1005="sacos")*(MOVIMIENTOS!$A$5:$A$1005&lt;&gt;"")*(MOVIMIENTOS!$A$5:$A$1005&lt;=$A589)*MOVIMIENTOS!$E$5:$E$1005))</f>
        <v/>
      </c>
      <c r="G589" s="62" t="str">
        <f t="shared" si="19"/>
        <v/>
      </c>
      <c r="H589" t="str">
        <f>IF($A589="","",SUMPRODUCT((((MOVIMIENTOS!$B$5:$B$1005="SALDO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589)*MOVIMIENTOS!$J$5:$J$1005))</f>
        <v/>
      </c>
      <c r="J589" t="str">
        <f>IF(AND(MOVIMIENTOS!$A594&lt;&gt;"",COUNTIF(MOVIMIENTOS!$A$5:$A593,MOVIMIENTOS!$A594)=0),COUNT(J$4:J588)+1,"")</f>
        <v/>
      </c>
      <c r="K589">
        <f>MOVIMIENTOS!$A594</f>
        <v>0</v>
      </c>
    </row>
    <row r="590" spans="1:11" ht="15" customHeight="1" x14ac:dyDescent="0.2">
      <c r="A590" t="str">
        <f t="shared" si="18"/>
        <v/>
      </c>
      <c r="B590" t="str">
        <f>IF($A590="","",SUMPRODUCT((MOVIMIENTOS!$B$5:$B$1005="SALDO INICIAL")*(MOVIMIENTOS!$C$5:$C$1005="A")*(MOVIMIENTOS!$D$5:$D$1005="jabas")*(MOVIMIENTOS!$A$5:$A$1005&lt;&gt;"")*(MOVIMIENTOS!$A$5:$A$1005&lt;=$A590)*MOVIMIENTOS!$E$5:$E$1005)+SUMPRODUCT((MOVIMIENTOS!$B$5:$B$1005="PROCESO")*(MOVIMIENTOS!$C$5:$C$1005="A")*(MOVIMIENTOS!$D$5:$D$1005="jabas")*(MOVIMIENTOS!$A$5:$A$1005&lt;&gt;"")*(MOVIMIENTOS!$A$5:$A$1005&lt;=$A590)*MOVIMIENTOS!$E$5:$E$1005)-SUMPRODUCT((MOVIMIENTOS!$B$5:$B$1005="ENVÍO A SUPESA")*(MOVIMIENTOS!$C$5:$C$1005="A")*(MOVIMIENTOS!$D$5:$D$1005="jabas")*(MOVIMIENTOS!$A$5:$A$1005&lt;&gt;"")*(MOVIMIENTOS!$A$5:$A$1005&lt;=$A590)*MOVIMIENTOS!$E$5:$E$1005)+SUMPRODUCT((MOVIMIENTOS!$B$5:$B$1005="DEVOLUCIÓN")*(MOVIMIENTOS!$C$5:$C$1005="A")*(MOVIMIENTOS!$D$5:$D$1005="jabas")*(MOVIMIENTOS!$A$5:$A$1005&lt;&gt;"")*(MOVIMIENTOS!$A$5:$A$1005&lt;=$A590)*MOVIMIENTOS!$E$5:$E$1005)-SUMPRODUCT((MOVIMIENTOS!$B$5:$B$1005="TRASIEGO")*(MOVIMIENTOS!$C$5:$C$1005="A")*(MOVIMIENTOS!$D$5:$D$1005="jabas")*(MOVIMIENTOS!$A$5:$A$1005&lt;&gt;"")*(MOVIMIENTOS!$A$5:$A$1005&lt;=$A590)*MOVIMIENTOS!$E$5:$E$1005)-SUMPRODUCT((MOVIMIENTOS!$B$5:$B$1005="REGALO")*(MOVIMIENTOS!$C$5:$C$1005="A")*(MOVIMIENTOS!$D$5:$D$1005="jabas")*(MOVIMIENTOS!$A$5:$A$1005&lt;&gt;"")*(MOVIMIENTOS!$A$5:$A$1005&lt;=$A590)*MOVIMIENTOS!$E$5:$E$1005)-SUMPRODUCT((MOVIMIENTOS!$B$5:$B$1005="VENTA")*(MOVIMIENTOS!$C$5:$C$1005="A")*(MOVIMIENTOS!$D$5:$D$1005="jabas")*(MOVIMIENTOS!$A$5:$A$1005&lt;&gt;"")*(MOVIMIENTOS!$A$5:$A$1005&lt;=$A590)*MOVIMIENTOS!$E$5:$E$1005)+SUMPRODUCT((MOVIMIENTOS!$B$5:$B$1005="AJUSTE")*(MOVIMIENTOS!$C$5:$C$1005="A")*(MOVIMIENTOS!$D$5:$D$1005="jabas")*(MOVIMIENTOS!$A$5:$A$1005&lt;&gt;"")*(MOVIMIENTOS!$A$5:$A$1005&lt;=$A590)*MOVIMIENTOS!$E$5:$E$1005))</f>
        <v/>
      </c>
      <c r="C590" t="str">
        <f>IF($A590="","",SUMPRODUCT((MOVIMIENTOS!$B$5:$B$1005="SALDO INICIAL")*(MOVIMIENTOS!$C$5:$C$1005="P")*(MOVIMIENTOS!$D$5:$D$1005="jabas")*(MOVIMIENTOS!$A$5:$A$1005&lt;&gt;"")*(MOVIMIENTOS!$A$5:$A$1005&lt;=$A590)*MOVIMIENTOS!$E$5:$E$1005)+SUMPRODUCT((MOVIMIENTOS!$B$5:$B$1005="PROCESO")*(MOVIMIENTOS!$C$5:$C$1005="P")*(MOVIMIENTOS!$D$5:$D$1005="jabas")*(MOVIMIENTOS!$A$5:$A$1005&lt;&gt;"")*(MOVIMIENTOS!$A$5:$A$1005&lt;=$A590)*MOVIMIENTOS!$E$5:$E$1005)-SUMPRODUCT((MOVIMIENTOS!$B$5:$B$1005="ENVÍO A SUPESA")*(MOVIMIENTOS!$C$5:$C$1005="P")*(MOVIMIENTOS!$D$5:$D$1005="jabas")*(MOVIMIENTOS!$A$5:$A$1005&lt;&gt;"")*(MOVIMIENTOS!$A$5:$A$1005&lt;=$A590)*MOVIMIENTOS!$E$5:$E$1005)+SUMPRODUCT((MOVIMIENTOS!$B$5:$B$1005="DEVOLUCIÓN")*(MOVIMIENTOS!$C$5:$C$1005="P")*(MOVIMIENTOS!$D$5:$D$1005="jabas")*(MOVIMIENTOS!$A$5:$A$1005&lt;&gt;"")*(MOVIMIENTOS!$A$5:$A$1005&lt;=$A590)*MOVIMIENTOS!$E$5:$E$1005)-SUMPRODUCT((MOVIMIENTOS!$B$5:$B$1005="TRASIEGO")*(MOVIMIENTOS!$C$5:$C$1005="P")*(MOVIMIENTOS!$D$5:$D$1005="jabas")*(MOVIMIENTOS!$A$5:$A$1005&lt;&gt;"")*(MOVIMIENTOS!$A$5:$A$1005&lt;=$A590)*MOVIMIENTOS!$E$5:$E$1005)-SUMPRODUCT((MOVIMIENTOS!$B$5:$B$1005="REGALO")*(MOVIMIENTOS!$C$5:$C$1005="P")*(MOVIMIENTOS!$D$5:$D$1005="jabas")*(MOVIMIENTOS!$A$5:$A$1005&lt;&gt;"")*(MOVIMIENTOS!$A$5:$A$1005&lt;=$A590)*MOVIMIENTOS!$E$5:$E$1005)-SUMPRODUCT((MOVIMIENTOS!$B$5:$B$1005="VENTA")*(MOVIMIENTOS!$C$5:$C$1005="P")*(MOVIMIENTOS!$D$5:$D$1005="jabas")*(MOVIMIENTOS!$A$5:$A$1005&lt;&gt;"")*(MOVIMIENTOS!$A$5:$A$1005&lt;=$A590)*MOVIMIENTOS!$E$5:$E$1005)+SUMPRODUCT((MOVIMIENTOS!$B$5:$B$1005="AJUSTE")*(MOVIMIENTOS!$C$5:$C$1005="P")*(MOVIMIENTOS!$D$5:$D$1005="jabas")*(MOVIMIENTOS!$A$5:$A$1005&lt;&gt;"")*(MOVIMIENTOS!$A$5:$A$1005&lt;=$A590)*MOVIMIENTOS!$E$5:$E$1005))</f>
        <v/>
      </c>
      <c r="D590" t="str">
        <f>IF($A590="","",SUMPRODUCT((MOVIMIENTOS!$B$5:$B$1005="SALDO INICIAL")*(MOVIMIENTOS!$C$5:$C$1005="C")*(MOVIMIENTOS!$D$5:$D$1005="jabas")*(MOVIMIENTOS!$A$5:$A$1005&lt;&gt;"")*(MOVIMIENTOS!$A$5:$A$1005&lt;=$A590)*MOVIMIENTOS!$E$5:$E$1005)+SUMPRODUCT((MOVIMIENTOS!$B$5:$B$1005="PROCESO")*(MOVIMIENTOS!$C$5:$C$1005="C")*(MOVIMIENTOS!$D$5:$D$1005="jabas")*(MOVIMIENTOS!$A$5:$A$1005&lt;&gt;"")*(MOVIMIENTOS!$A$5:$A$1005&lt;=$A590)*MOVIMIENTOS!$E$5:$E$1005)-SUMPRODUCT((MOVIMIENTOS!$B$5:$B$1005="ENVÍO A SUPESA")*(MOVIMIENTOS!$C$5:$C$1005="C")*(MOVIMIENTOS!$D$5:$D$1005="jabas")*(MOVIMIENTOS!$A$5:$A$1005&lt;&gt;"")*(MOVIMIENTOS!$A$5:$A$1005&lt;=$A590)*MOVIMIENTOS!$E$5:$E$1005)+SUMPRODUCT((MOVIMIENTOS!$B$5:$B$1005="DEVOLUCIÓN")*(MOVIMIENTOS!$C$5:$C$1005="C")*(MOVIMIENTOS!$D$5:$D$1005="jabas")*(MOVIMIENTOS!$A$5:$A$1005&lt;&gt;"")*(MOVIMIENTOS!$A$5:$A$1005&lt;=$A590)*MOVIMIENTOS!$E$5:$E$1005)-SUMPRODUCT((MOVIMIENTOS!$B$5:$B$1005="TRASIEGO")*(MOVIMIENTOS!$C$5:$C$1005="C")*(MOVIMIENTOS!$D$5:$D$1005="jabas")*(MOVIMIENTOS!$A$5:$A$1005&lt;&gt;"")*(MOVIMIENTOS!$A$5:$A$1005&lt;=$A590)*MOVIMIENTOS!$E$5:$E$1005)-SUMPRODUCT((MOVIMIENTOS!$B$5:$B$1005="REGALO")*(MOVIMIENTOS!$C$5:$C$1005="C")*(MOVIMIENTOS!$D$5:$D$1005="jabas")*(MOVIMIENTOS!$A$5:$A$1005&lt;&gt;"")*(MOVIMIENTOS!$A$5:$A$1005&lt;=$A590)*MOVIMIENTOS!$E$5:$E$1005)-SUMPRODUCT((MOVIMIENTOS!$B$5:$B$1005="VENTA")*(MOVIMIENTOS!$C$5:$C$1005="C")*(MOVIMIENTOS!$D$5:$D$1005="jabas")*(MOVIMIENTOS!$A$5:$A$1005&lt;&gt;"")*(MOVIMIENTOS!$A$5:$A$1005&lt;=$A590)*MOVIMIENTOS!$E$5:$E$1005)+SUMPRODUCT((MOVIMIENTOS!$B$5:$B$1005="AJUSTE")*(MOVIMIENTOS!$C$5:$C$1005="C")*(MOVIMIENTOS!$D$5:$D$1005="jabas")*(MOVIMIENTOS!$A$5:$A$1005&lt;&gt;"")*(MOVIMIENTOS!$A$5:$A$1005&lt;=$A590)*MOVIMIENTOS!$E$5:$E$1005))</f>
        <v/>
      </c>
      <c r="E590" t="str">
        <f>IF($A590="","",SUMPRODUCT((MOVIMIENTOS!$B$5:$B$1005="SALDO INICIAL")*(MOVIMIENTOS!$C$5:$C$1005="M")*(MOVIMIENTOS!$D$5:$D$1005="jabas")*(MOVIMIENTOS!$A$5:$A$1005&lt;&gt;"")*(MOVIMIENTOS!$A$5:$A$1005&lt;=$A590)*MOVIMIENTOS!$E$5:$E$1005)+SUMPRODUCT((MOVIMIENTOS!$B$5:$B$1005="PROCESO")*(MOVIMIENTOS!$C$5:$C$1005="M")*(MOVIMIENTOS!$D$5:$D$1005="jabas")*(MOVIMIENTOS!$A$5:$A$1005&lt;&gt;"")*(MOVIMIENTOS!$A$5:$A$1005&lt;=$A590)*MOVIMIENTOS!$E$5:$E$1005)-SUMPRODUCT((MOVIMIENTOS!$B$5:$B$1005="ENVÍO A SUPESA")*(MOVIMIENTOS!$C$5:$C$1005="M")*(MOVIMIENTOS!$D$5:$D$1005="jabas")*(MOVIMIENTOS!$A$5:$A$1005&lt;&gt;"")*(MOVIMIENTOS!$A$5:$A$1005&lt;=$A590)*MOVIMIENTOS!$E$5:$E$1005)+SUMPRODUCT((MOVIMIENTOS!$B$5:$B$1005="DEVOLUCIÓN")*(MOVIMIENTOS!$C$5:$C$1005="M")*(MOVIMIENTOS!$D$5:$D$1005="jabas")*(MOVIMIENTOS!$A$5:$A$1005&lt;&gt;"")*(MOVIMIENTOS!$A$5:$A$1005&lt;=$A590)*MOVIMIENTOS!$E$5:$E$1005)-SUMPRODUCT((MOVIMIENTOS!$B$5:$B$1005="TRASIEGO")*(MOVIMIENTOS!$C$5:$C$1005="M")*(MOVIMIENTOS!$D$5:$D$1005="jabas")*(MOVIMIENTOS!$A$5:$A$1005&lt;&gt;"")*(MOVIMIENTOS!$A$5:$A$1005&lt;=$A590)*MOVIMIENTOS!$E$5:$E$1005)-SUMPRODUCT((MOVIMIENTOS!$B$5:$B$1005="REGALO")*(MOVIMIENTOS!$C$5:$C$1005="M")*(MOVIMIENTOS!$D$5:$D$1005="jabas")*(MOVIMIENTOS!$A$5:$A$1005&lt;&gt;"")*(MOVIMIENTOS!$A$5:$A$1005&lt;=$A590)*MOVIMIENTOS!$E$5:$E$1005)-SUMPRODUCT((MOVIMIENTOS!$B$5:$B$1005="VENTA")*(MOVIMIENTOS!$C$5:$C$1005="M")*(MOVIMIENTOS!$D$5:$D$1005="jabas")*(MOVIMIENTOS!$A$5:$A$1005&lt;&gt;"")*(MOVIMIENTOS!$A$5:$A$1005&lt;=$A590)*MOVIMIENTOS!$E$5:$E$1005)+SUMPRODUCT((MOVIMIENTOS!$B$5:$B$1005="AJUSTE")*(MOVIMIENTOS!$C$5:$C$1005="M")*(MOVIMIENTOS!$D$5:$D$1005="jabas")*(MOVIMIENTOS!$A$5:$A$1005&lt;&gt;"")*(MOVIMIENTOS!$A$5:$A$1005&lt;=$A590)*MOVIMIENTOS!$E$5:$E$1005))</f>
        <v/>
      </c>
      <c r="F590" s="62" t="str">
        <f>IF($A590="","",SUMPRODUCT((MOVIMIENTOS!$B$5:$B$1005="SALDO INICIAL")*(MOVIMIENTOS!$C$5:$C$1005="Chancho")*(MOVIMIENTOS!$D$5:$D$1005="sacos")*(MOVIMIENTOS!$A$5:$A$1005&lt;&gt;"")*(MOVIMIENTOS!$A$5:$A$1005&lt;=$A590)*MOVIMIENTOS!$E$5:$E$1005)+SUMPRODUCT((MOVIMIENTOS!$B$5:$B$1005="PROCESO")*(MOVIMIENTOS!$C$5:$C$1005="Chancho")*(MOVIMIENTOS!$D$5:$D$1005="sacos")*(MOVIMIENTOS!$A$5:$A$1005&lt;&gt;"")*(MOVIMIENTOS!$A$5:$A$1005&lt;=$A590)*MOVIMIENTOS!$E$5:$E$1005)-SUMPRODUCT((MOVIMIENTOS!$B$5:$B$1005="VENTA CHANCHO")*(MOVIMIENTOS!$C$5:$C$1005="Chancho")*(MOVIMIENTOS!$D$5:$D$1005="sacos")*(MOVIMIENTOS!$A$5:$A$1005&lt;&gt;"")*(MOVIMIENTOS!$A$5:$A$1005&lt;=$A590)*MOVIMIENTOS!$E$5:$E$1005)-SUMPRODUCT((MOVIMIENTOS!$B$5:$B$1005="REGALO")*(MOVIMIENTOS!$C$5:$C$1005="Chancho")*(MOVIMIENTOS!$D$5:$D$1005="sacos")*(MOVIMIENTOS!$A$5:$A$1005&lt;&gt;"")*(MOVIMIENTOS!$A$5:$A$1005&lt;=$A590)*MOVIMIENTOS!$E$5:$E$1005)-SUMPRODUCT((MOVIMIENTOS!$B$5:$B$1005="VENTA")*(MOVIMIENTOS!$C$5:$C$1005="Chancho")*(MOVIMIENTOS!$D$5:$D$1005="sacos")*(MOVIMIENTOS!$A$5:$A$1005&lt;&gt;"")*(MOVIMIENTOS!$A$5:$A$1005&lt;=$A590)*MOVIMIENTOS!$E$5:$E$1005)+SUMPRODUCT((MOVIMIENTOS!$B$5:$B$1005="AJUSTE")*(MOVIMIENTOS!$C$5:$C$1005="Chancho")*(MOVIMIENTOS!$D$5:$D$1005="sacos")*(MOVIMIENTOS!$A$5:$A$1005&lt;&gt;"")*(MOVIMIENTOS!$A$5:$A$1005&lt;=$A590)*MOVIMIENTOS!$E$5:$E$1005))</f>
        <v/>
      </c>
      <c r="G590" s="62" t="str">
        <f t="shared" si="19"/>
        <v/>
      </c>
      <c r="H590" t="str">
        <f>IF($A590="","",SUMPRODUCT((((MOVIMIENTOS!$B$5:$B$1005="SALDO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590)*MOVIMIENTOS!$J$5:$J$1005))</f>
        <v/>
      </c>
      <c r="J590" t="str">
        <f>IF(AND(MOVIMIENTOS!$A595&lt;&gt;"",COUNTIF(MOVIMIENTOS!$A$5:$A594,MOVIMIENTOS!$A595)=0),COUNT(J$4:J589)+1,"")</f>
        <v/>
      </c>
      <c r="K590">
        <f>MOVIMIENTOS!$A595</f>
        <v>0</v>
      </c>
    </row>
    <row r="591" spans="1:11" ht="15" customHeight="1" x14ac:dyDescent="0.2">
      <c r="A591" t="str">
        <f t="shared" si="18"/>
        <v/>
      </c>
      <c r="B591" t="str">
        <f>IF($A591="","",SUMPRODUCT((MOVIMIENTOS!$B$5:$B$1005="SALDO INICIAL")*(MOVIMIENTOS!$C$5:$C$1005="A")*(MOVIMIENTOS!$D$5:$D$1005="jabas")*(MOVIMIENTOS!$A$5:$A$1005&lt;&gt;"")*(MOVIMIENTOS!$A$5:$A$1005&lt;=$A591)*MOVIMIENTOS!$E$5:$E$1005)+SUMPRODUCT((MOVIMIENTOS!$B$5:$B$1005="PROCESO")*(MOVIMIENTOS!$C$5:$C$1005="A")*(MOVIMIENTOS!$D$5:$D$1005="jabas")*(MOVIMIENTOS!$A$5:$A$1005&lt;&gt;"")*(MOVIMIENTOS!$A$5:$A$1005&lt;=$A591)*MOVIMIENTOS!$E$5:$E$1005)-SUMPRODUCT((MOVIMIENTOS!$B$5:$B$1005="ENVÍO A SUPESA")*(MOVIMIENTOS!$C$5:$C$1005="A")*(MOVIMIENTOS!$D$5:$D$1005="jabas")*(MOVIMIENTOS!$A$5:$A$1005&lt;&gt;"")*(MOVIMIENTOS!$A$5:$A$1005&lt;=$A591)*MOVIMIENTOS!$E$5:$E$1005)+SUMPRODUCT((MOVIMIENTOS!$B$5:$B$1005="DEVOLUCIÓN")*(MOVIMIENTOS!$C$5:$C$1005="A")*(MOVIMIENTOS!$D$5:$D$1005="jabas")*(MOVIMIENTOS!$A$5:$A$1005&lt;&gt;"")*(MOVIMIENTOS!$A$5:$A$1005&lt;=$A591)*MOVIMIENTOS!$E$5:$E$1005)-SUMPRODUCT((MOVIMIENTOS!$B$5:$B$1005="TRASIEGO")*(MOVIMIENTOS!$C$5:$C$1005="A")*(MOVIMIENTOS!$D$5:$D$1005="jabas")*(MOVIMIENTOS!$A$5:$A$1005&lt;&gt;"")*(MOVIMIENTOS!$A$5:$A$1005&lt;=$A591)*MOVIMIENTOS!$E$5:$E$1005)-SUMPRODUCT((MOVIMIENTOS!$B$5:$B$1005="REGALO")*(MOVIMIENTOS!$C$5:$C$1005="A")*(MOVIMIENTOS!$D$5:$D$1005="jabas")*(MOVIMIENTOS!$A$5:$A$1005&lt;&gt;"")*(MOVIMIENTOS!$A$5:$A$1005&lt;=$A591)*MOVIMIENTOS!$E$5:$E$1005)-SUMPRODUCT((MOVIMIENTOS!$B$5:$B$1005="VENTA")*(MOVIMIENTOS!$C$5:$C$1005="A")*(MOVIMIENTOS!$D$5:$D$1005="jabas")*(MOVIMIENTOS!$A$5:$A$1005&lt;&gt;"")*(MOVIMIENTOS!$A$5:$A$1005&lt;=$A591)*MOVIMIENTOS!$E$5:$E$1005)+SUMPRODUCT((MOVIMIENTOS!$B$5:$B$1005="AJUSTE")*(MOVIMIENTOS!$C$5:$C$1005="A")*(MOVIMIENTOS!$D$5:$D$1005="jabas")*(MOVIMIENTOS!$A$5:$A$1005&lt;&gt;"")*(MOVIMIENTOS!$A$5:$A$1005&lt;=$A591)*MOVIMIENTOS!$E$5:$E$1005))</f>
        <v/>
      </c>
      <c r="C591" t="str">
        <f>IF($A591="","",SUMPRODUCT((MOVIMIENTOS!$B$5:$B$1005="SALDO INICIAL")*(MOVIMIENTOS!$C$5:$C$1005="P")*(MOVIMIENTOS!$D$5:$D$1005="jabas")*(MOVIMIENTOS!$A$5:$A$1005&lt;&gt;"")*(MOVIMIENTOS!$A$5:$A$1005&lt;=$A591)*MOVIMIENTOS!$E$5:$E$1005)+SUMPRODUCT((MOVIMIENTOS!$B$5:$B$1005="PROCESO")*(MOVIMIENTOS!$C$5:$C$1005="P")*(MOVIMIENTOS!$D$5:$D$1005="jabas")*(MOVIMIENTOS!$A$5:$A$1005&lt;&gt;"")*(MOVIMIENTOS!$A$5:$A$1005&lt;=$A591)*MOVIMIENTOS!$E$5:$E$1005)-SUMPRODUCT((MOVIMIENTOS!$B$5:$B$1005="ENVÍO A SUPESA")*(MOVIMIENTOS!$C$5:$C$1005="P")*(MOVIMIENTOS!$D$5:$D$1005="jabas")*(MOVIMIENTOS!$A$5:$A$1005&lt;&gt;"")*(MOVIMIENTOS!$A$5:$A$1005&lt;=$A591)*MOVIMIENTOS!$E$5:$E$1005)+SUMPRODUCT((MOVIMIENTOS!$B$5:$B$1005="DEVOLUCIÓN")*(MOVIMIENTOS!$C$5:$C$1005="P")*(MOVIMIENTOS!$D$5:$D$1005="jabas")*(MOVIMIENTOS!$A$5:$A$1005&lt;&gt;"")*(MOVIMIENTOS!$A$5:$A$1005&lt;=$A591)*MOVIMIENTOS!$E$5:$E$1005)-SUMPRODUCT((MOVIMIENTOS!$B$5:$B$1005="TRASIEGO")*(MOVIMIENTOS!$C$5:$C$1005="P")*(MOVIMIENTOS!$D$5:$D$1005="jabas")*(MOVIMIENTOS!$A$5:$A$1005&lt;&gt;"")*(MOVIMIENTOS!$A$5:$A$1005&lt;=$A591)*MOVIMIENTOS!$E$5:$E$1005)-SUMPRODUCT((MOVIMIENTOS!$B$5:$B$1005="REGALO")*(MOVIMIENTOS!$C$5:$C$1005="P")*(MOVIMIENTOS!$D$5:$D$1005="jabas")*(MOVIMIENTOS!$A$5:$A$1005&lt;&gt;"")*(MOVIMIENTOS!$A$5:$A$1005&lt;=$A591)*MOVIMIENTOS!$E$5:$E$1005)-SUMPRODUCT((MOVIMIENTOS!$B$5:$B$1005="VENTA")*(MOVIMIENTOS!$C$5:$C$1005="P")*(MOVIMIENTOS!$D$5:$D$1005="jabas")*(MOVIMIENTOS!$A$5:$A$1005&lt;&gt;"")*(MOVIMIENTOS!$A$5:$A$1005&lt;=$A591)*MOVIMIENTOS!$E$5:$E$1005)+SUMPRODUCT((MOVIMIENTOS!$B$5:$B$1005="AJUSTE")*(MOVIMIENTOS!$C$5:$C$1005="P")*(MOVIMIENTOS!$D$5:$D$1005="jabas")*(MOVIMIENTOS!$A$5:$A$1005&lt;&gt;"")*(MOVIMIENTOS!$A$5:$A$1005&lt;=$A591)*MOVIMIENTOS!$E$5:$E$1005))</f>
        <v/>
      </c>
      <c r="D591" t="str">
        <f>IF($A591="","",SUMPRODUCT((MOVIMIENTOS!$B$5:$B$1005="SALDO INICIAL")*(MOVIMIENTOS!$C$5:$C$1005="C")*(MOVIMIENTOS!$D$5:$D$1005="jabas")*(MOVIMIENTOS!$A$5:$A$1005&lt;&gt;"")*(MOVIMIENTOS!$A$5:$A$1005&lt;=$A591)*MOVIMIENTOS!$E$5:$E$1005)+SUMPRODUCT((MOVIMIENTOS!$B$5:$B$1005="PROCESO")*(MOVIMIENTOS!$C$5:$C$1005="C")*(MOVIMIENTOS!$D$5:$D$1005="jabas")*(MOVIMIENTOS!$A$5:$A$1005&lt;&gt;"")*(MOVIMIENTOS!$A$5:$A$1005&lt;=$A591)*MOVIMIENTOS!$E$5:$E$1005)-SUMPRODUCT((MOVIMIENTOS!$B$5:$B$1005="ENVÍO A SUPESA")*(MOVIMIENTOS!$C$5:$C$1005="C")*(MOVIMIENTOS!$D$5:$D$1005="jabas")*(MOVIMIENTOS!$A$5:$A$1005&lt;&gt;"")*(MOVIMIENTOS!$A$5:$A$1005&lt;=$A591)*MOVIMIENTOS!$E$5:$E$1005)+SUMPRODUCT((MOVIMIENTOS!$B$5:$B$1005="DEVOLUCIÓN")*(MOVIMIENTOS!$C$5:$C$1005="C")*(MOVIMIENTOS!$D$5:$D$1005="jabas")*(MOVIMIENTOS!$A$5:$A$1005&lt;&gt;"")*(MOVIMIENTOS!$A$5:$A$1005&lt;=$A591)*MOVIMIENTOS!$E$5:$E$1005)-SUMPRODUCT((MOVIMIENTOS!$B$5:$B$1005="TRASIEGO")*(MOVIMIENTOS!$C$5:$C$1005="C")*(MOVIMIENTOS!$D$5:$D$1005="jabas")*(MOVIMIENTOS!$A$5:$A$1005&lt;&gt;"")*(MOVIMIENTOS!$A$5:$A$1005&lt;=$A591)*MOVIMIENTOS!$E$5:$E$1005)-SUMPRODUCT((MOVIMIENTOS!$B$5:$B$1005="REGALO")*(MOVIMIENTOS!$C$5:$C$1005="C")*(MOVIMIENTOS!$D$5:$D$1005="jabas")*(MOVIMIENTOS!$A$5:$A$1005&lt;&gt;"")*(MOVIMIENTOS!$A$5:$A$1005&lt;=$A591)*MOVIMIENTOS!$E$5:$E$1005)-SUMPRODUCT((MOVIMIENTOS!$B$5:$B$1005="VENTA")*(MOVIMIENTOS!$C$5:$C$1005="C")*(MOVIMIENTOS!$D$5:$D$1005="jabas")*(MOVIMIENTOS!$A$5:$A$1005&lt;&gt;"")*(MOVIMIENTOS!$A$5:$A$1005&lt;=$A591)*MOVIMIENTOS!$E$5:$E$1005)+SUMPRODUCT((MOVIMIENTOS!$B$5:$B$1005="AJUSTE")*(MOVIMIENTOS!$C$5:$C$1005="C")*(MOVIMIENTOS!$D$5:$D$1005="jabas")*(MOVIMIENTOS!$A$5:$A$1005&lt;&gt;"")*(MOVIMIENTOS!$A$5:$A$1005&lt;=$A591)*MOVIMIENTOS!$E$5:$E$1005))</f>
        <v/>
      </c>
      <c r="E591" t="str">
        <f>IF($A591="","",SUMPRODUCT((MOVIMIENTOS!$B$5:$B$1005="SALDO INICIAL")*(MOVIMIENTOS!$C$5:$C$1005="M")*(MOVIMIENTOS!$D$5:$D$1005="jabas")*(MOVIMIENTOS!$A$5:$A$1005&lt;&gt;"")*(MOVIMIENTOS!$A$5:$A$1005&lt;=$A591)*MOVIMIENTOS!$E$5:$E$1005)+SUMPRODUCT((MOVIMIENTOS!$B$5:$B$1005="PROCESO")*(MOVIMIENTOS!$C$5:$C$1005="M")*(MOVIMIENTOS!$D$5:$D$1005="jabas")*(MOVIMIENTOS!$A$5:$A$1005&lt;&gt;"")*(MOVIMIENTOS!$A$5:$A$1005&lt;=$A591)*MOVIMIENTOS!$E$5:$E$1005)-SUMPRODUCT((MOVIMIENTOS!$B$5:$B$1005="ENVÍO A SUPESA")*(MOVIMIENTOS!$C$5:$C$1005="M")*(MOVIMIENTOS!$D$5:$D$1005="jabas")*(MOVIMIENTOS!$A$5:$A$1005&lt;&gt;"")*(MOVIMIENTOS!$A$5:$A$1005&lt;=$A591)*MOVIMIENTOS!$E$5:$E$1005)+SUMPRODUCT((MOVIMIENTOS!$B$5:$B$1005="DEVOLUCIÓN")*(MOVIMIENTOS!$C$5:$C$1005="M")*(MOVIMIENTOS!$D$5:$D$1005="jabas")*(MOVIMIENTOS!$A$5:$A$1005&lt;&gt;"")*(MOVIMIENTOS!$A$5:$A$1005&lt;=$A591)*MOVIMIENTOS!$E$5:$E$1005)-SUMPRODUCT((MOVIMIENTOS!$B$5:$B$1005="TRASIEGO")*(MOVIMIENTOS!$C$5:$C$1005="M")*(MOVIMIENTOS!$D$5:$D$1005="jabas")*(MOVIMIENTOS!$A$5:$A$1005&lt;&gt;"")*(MOVIMIENTOS!$A$5:$A$1005&lt;=$A591)*MOVIMIENTOS!$E$5:$E$1005)-SUMPRODUCT((MOVIMIENTOS!$B$5:$B$1005="REGALO")*(MOVIMIENTOS!$C$5:$C$1005="M")*(MOVIMIENTOS!$D$5:$D$1005="jabas")*(MOVIMIENTOS!$A$5:$A$1005&lt;&gt;"")*(MOVIMIENTOS!$A$5:$A$1005&lt;=$A591)*MOVIMIENTOS!$E$5:$E$1005)-SUMPRODUCT((MOVIMIENTOS!$B$5:$B$1005="VENTA")*(MOVIMIENTOS!$C$5:$C$1005="M")*(MOVIMIENTOS!$D$5:$D$1005="jabas")*(MOVIMIENTOS!$A$5:$A$1005&lt;&gt;"")*(MOVIMIENTOS!$A$5:$A$1005&lt;=$A591)*MOVIMIENTOS!$E$5:$E$1005)+SUMPRODUCT((MOVIMIENTOS!$B$5:$B$1005="AJUSTE")*(MOVIMIENTOS!$C$5:$C$1005="M")*(MOVIMIENTOS!$D$5:$D$1005="jabas")*(MOVIMIENTOS!$A$5:$A$1005&lt;&gt;"")*(MOVIMIENTOS!$A$5:$A$1005&lt;=$A591)*MOVIMIENTOS!$E$5:$E$1005))</f>
        <v/>
      </c>
      <c r="F591" s="62" t="str">
        <f>IF($A591="","",SUMPRODUCT((MOVIMIENTOS!$B$5:$B$1005="SALDO INICIAL")*(MOVIMIENTOS!$C$5:$C$1005="Chancho")*(MOVIMIENTOS!$D$5:$D$1005="sacos")*(MOVIMIENTOS!$A$5:$A$1005&lt;&gt;"")*(MOVIMIENTOS!$A$5:$A$1005&lt;=$A591)*MOVIMIENTOS!$E$5:$E$1005)+SUMPRODUCT((MOVIMIENTOS!$B$5:$B$1005="PROCESO")*(MOVIMIENTOS!$C$5:$C$1005="Chancho")*(MOVIMIENTOS!$D$5:$D$1005="sacos")*(MOVIMIENTOS!$A$5:$A$1005&lt;&gt;"")*(MOVIMIENTOS!$A$5:$A$1005&lt;=$A591)*MOVIMIENTOS!$E$5:$E$1005)-SUMPRODUCT((MOVIMIENTOS!$B$5:$B$1005="VENTA CHANCHO")*(MOVIMIENTOS!$C$5:$C$1005="Chancho")*(MOVIMIENTOS!$D$5:$D$1005="sacos")*(MOVIMIENTOS!$A$5:$A$1005&lt;&gt;"")*(MOVIMIENTOS!$A$5:$A$1005&lt;=$A591)*MOVIMIENTOS!$E$5:$E$1005)-SUMPRODUCT((MOVIMIENTOS!$B$5:$B$1005="REGALO")*(MOVIMIENTOS!$C$5:$C$1005="Chancho")*(MOVIMIENTOS!$D$5:$D$1005="sacos")*(MOVIMIENTOS!$A$5:$A$1005&lt;&gt;"")*(MOVIMIENTOS!$A$5:$A$1005&lt;=$A591)*MOVIMIENTOS!$E$5:$E$1005)-SUMPRODUCT((MOVIMIENTOS!$B$5:$B$1005="VENTA")*(MOVIMIENTOS!$C$5:$C$1005="Chancho")*(MOVIMIENTOS!$D$5:$D$1005="sacos")*(MOVIMIENTOS!$A$5:$A$1005&lt;&gt;"")*(MOVIMIENTOS!$A$5:$A$1005&lt;=$A591)*MOVIMIENTOS!$E$5:$E$1005)+SUMPRODUCT((MOVIMIENTOS!$B$5:$B$1005="AJUSTE")*(MOVIMIENTOS!$C$5:$C$1005="Chancho")*(MOVIMIENTOS!$D$5:$D$1005="sacos")*(MOVIMIENTOS!$A$5:$A$1005&lt;&gt;"")*(MOVIMIENTOS!$A$5:$A$1005&lt;=$A591)*MOVIMIENTOS!$E$5:$E$1005))</f>
        <v/>
      </c>
      <c r="G591" s="62" t="str">
        <f t="shared" si="19"/>
        <v/>
      </c>
      <c r="H591" t="str">
        <f>IF($A591="","",SUMPRODUCT((((MOVIMIENTOS!$B$5:$B$1005="SALDO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591)*MOVIMIENTOS!$J$5:$J$1005))</f>
        <v/>
      </c>
      <c r="J591" t="str">
        <f>IF(AND(MOVIMIENTOS!$A596&lt;&gt;"",COUNTIF(MOVIMIENTOS!$A$5:$A595,MOVIMIENTOS!$A596)=0),COUNT(J$4:J590)+1,"")</f>
        <v/>
      </c>
      <c r="K591">
        <f>MOVIMIENTOS!$A596</f>
        <v>0</v>
      </c>
    </row>
    <row r="592" spans="1:11" ht="15" customHeight="1" x14ac:dyDescent="0.2">
      <c r="A592" t="str">
        <f t="shared" si="18"/>
        <v/>
      </c>
      <c r="B592" t="str">
        <f>IF($A592="","",SUMPRODUCT((MOVIMIENTOS!$B$5:$B$1005="SALDO INICIAL")*(MOVIMIENTOS!$C$5:$C$1005="A")*(MOVIMIENTOS!$D$5:$D$1005="jabas")*(MOVIMIENTOS!$A$5:$A$1005&lt;&gt;"")*(MOVIMIENTOS!$A$5:$A$1005&lt;=$A592)*MOVIMIENTOS!$E$5:$E$1005)+SUMPRODUCT((MOVIMIENTOS!$B$5:$B$1005="PROCESO")*(MOVIMIENTOS!$C$5:$C$1005="A")*(MOVIMIENTOS!$D$5:$D$1005="jabas")*(MOVIMIENTOS!$A$5:$A$1005&lt;&gt;"")*(MOVIMIENTOS!$A$5:$A$1005&lt;=$A592)*MOVIMIENTOS!$E$5:$E$1005)-SUMPRODUCT((MOVIMIENTOS!$B$5:$B$1005="ENVÍO A SUPESA")*(MOVIMIENTOS!$C$5:$C$1005="A")*(MOVIMIENTOS!$D$5:$D$1005="jabas")*(MOVIMIENTOS!$A$5:$A$1005&lt;&gt;"")*(MOVIMIENTOS!$A$5:$A$1005&lt;=$A592)*MOVIMIENTOS!$E$5:$E$1005)+SUMPRODUCT((MOVIMIENTOS!$B$5:$B$1005="DEVOLUCIÓN")*(MOVIMIENTOS!$C$5:$C$1005="A")*(MOVIMIENTOS!$D$5:$D$1005="jabas")*(MOVIMIENTOS!$A$5:$A$1005&lt;&gt;"")*(MOVIMIENTOS!$A$5:$A$1005&lt;=$A592)*MOVIMIENTOS!$E$5:$E$1005)-SUMPRODUCT((MOVIMIENTOS!$B$5:$B$1005="TRASIEGO")*(MOVIMIENTOS!$C$5:$C$1005="A")*(MOVIMIENTOS!$D$5:$D$1005="jabas")*(MOVIMIENTOS!$A$5:$A$1005&lt;&gt;"")*(MOVIMIENTOS!$A$5:$A$1005&lt;=$A592)*MOVIMIENTOS!$E$5:$E$1005)-SUMPRODUCT((MOVIMIENTOS!$B$5:$B$1005="REGALO")*(MOVIMIENTOS!$C$5:$C$1005="A")*(MOVIMIENTOS!$D$5:$D$1005="jabas")*(MOVIMIENTOS!$A$5:$A$1005&lt;&gt;"")*(MOVIMIENTOS!$A$5:$A$1005&lt;=$A592)*MOVIMIENTOS!$E$5:$E$1005)-SUMPRODUCT((MOVIMIENTOS!$B$5:$B$1005="VENTA")*(MOVIMIENTOS!$C$5:$C$1005="A")*(MOVIMIENTOS!$D$5:$D$1005="jabas")*(MOVIMIENTOS!$A$5:$A$1005&lt;&gt;"")*(MOVIMIENTOS!$A$5:$A$1005&lt;=$A592)*MOVIMIENTOS!$E$5:$E$1005)+SUMPRODUCT((MOVIMIENTOS!$B$5:$B$1005="AJUSTE")*(MOVIMIENTOS!$C$5:$C$1005="A")*(MOVIMIENTOS!$D$5:$D$1005="jabas")*(MOVIMIENTOS!$A$5:$A$1005&lt;&gt;"")*(MOVIMIENTOS!$A$5:$A$1005&lt;=$A592)*MOVIMIENTOS!$E$5:$E$1005))</f>
        <v/>
      </c>
      <c r="C592" t="str">
        <f>IF($A592="","",SUMPRODUCT((MOVIMIENTOS!$B$5:$B$1005="SALDO INICIAL")*(MOVIMIENTOS!$C$5:$C$1005="P")*(MOVIMIENTOS!$D$5:$D$1005="jabas")*(MOVIMIENTOS!$A$5:$A$1005&lt;&gt;"")*(MOVIMIENTOS!$A$5:$A$1005&lt;=$A592)*MOVIMIENTOS!$E$5:$E$1005)+SUMPRODUCT((MOVIMIENTOS!$B$5:$B$1005="PROCESO")*(MOVIMIENTOS!$C$5:$C$1005="P")*(MOVIMIENTOS!$D$5:$D$1005="jabas")*(MOVIMIENTOS!$A$5:$A$1005&lt;&gt;"")*(MOVIMIENTOS!$A$5:$A$1005&lt;=$A592)*MOVIMIENTOS!$E$5:$E$1005)-SUMPRODUCT((MOVIMIENTOS!$B$5:$B$1005="ENVÍO A SUPESA")*(MOVIMIENTOS!$C$5:$C$1005="P")*(MOVIMIENTOS!$D$5:$D$1005="jabas")*(MOVIMIENTOS!$A$5:$A$1005&lt;&gt;"")*(MOVIMIENTOS!$A$5:$A$1005&lt;=$A592)*MOVIMIENTOS!$E$5:$E$1005)+SUMPRODUCT((MOVIMIENTOS!$B$5:$B$1005="DEVOLUCIÓN")*(MOVIMIENTOS!$C$5:$C$1005="P")*(MOVIMIENTOS!$D$5:$D$1005="jabas")*(MOVIMIENTOS!$A$5:$A$1005&lt;&gt;"")*(MOVIMIENTOS!$A$5:$A$1005&lt;=$A592)*MOVIMIENTOS!$E$5:$E$1005)-SUMPRODUCT((MOVIMIENTOS!$B$5:$B$1005="TRASIEGO")*(MOVIMIENTOS!$C$5:$C$1005="P")*(MOVIMIENTOS!$D$5:$D$1005="jabas")*(MOVIMIENTOS!$A$5:$A$1005&lt;&gt;"")*(MOVIMIENTOS!$A$5:$A$1005&lt;=$A592)*MOVIMIENTOS!$E$5:$E$1005)-SUMPRODUCT((MOVIMIENTOS!$B$5:$B$1005="REGALO")*(MOVIMIENTOS!$C$5:$C$1005="P")*(MOVIMIENTOS!$D$5:$D$1005="jabas")*(MOVIMIENTOS!$A$5:$A$1005&lt;&gt;"")*(MOVIMIENTOS!$A$5:$A$1005&lt;=$A592)*MOVIMIENTOS!$E$5:$E$1005)-SUMPRODUCT((MOVIMIENTOS!$B$5:$B$1005="VENTA")*(MOVIMIENTOS!$C$5:$C$1005="P")*(MOVIMIENTOS!$D$5:$D$1005="jabas")*(MOVIMIENTOS!$A$5:$A$1005&lt;&gt;"")*(MOVIMIENTOS!$A$5:$A$1005&lt;=$A592)*MOVIMIENTOS!$E$5:$E$1005)+SUMPRODUCT((MOVIMIENTOS!$B$5:$B$1005="AJUSTE")*(MOVIMIENTOS!$C$5:$C$1005="P")*(MOVIMIENTOS!$D$5:$D$1005="jabas")*(MOVIMIENTOS!$A$5:$A$1005&lt;&gt;"")*(MOVIMIENTOS!$A$5:$A$1005&lt;=$A592)*MOVIMIENTOS!$E$5:$E$1005))</f>
        <v/>
      </c>
      <c r="D592" t="str">
        <f>IF($A592="","",SUMPRODUCT((MOVIMIENTOS!$B$5:$B$1005="SALDO INICIAL")*(MOVIMIENTOS!$C$5:$C$1005="C")*(MOVIMIENTOS!$D$5:$D$1005="jabas")*(MOVIMIENTOS!$A$5:$A$1005&lt;&gt;"")*(MOVIMIENTOS!$A$5:$A$1005&lt;=$A592)*MOVIMIENTOS!$E$5:$E$1005)+SUMPRODUCT((MOVIMIENTOS!$B$5:$B$1005="PROCESO")*(MOVIMIENTOS!$C$5:$C$1005="C")*(MOVIMIENTOS!$D$5:$D$1005="jabas")*(MOVIMIENTOS!$A$5:$A$1005&lt;&gt;"")*(MOVIMIENTOS!$A$5:$A$1005&lt;=$A592)*MOVIMIENTOS!$E$5:$E$1005)-SUMPRODUCT((MOVIMIENTOS!$B$5:$B$1005="ENVÍO A SUPESA")*(MOVIMIENTOS!$C$5:$C$1005="C")*(MOVIMIENTOS!$D$5:$D$1005="jabas")*(MOVIMIENTOS!$A$5:$A$1005&lt;&gt;"")*(MOVIMIENTOS!$A$5:$A$1005&lt;=$A592)*MOVIMIENTOS!$E$5:$E$1005)+SUMPRODUCT((MOVIMIENTOS!$B$5:$B$1005="DEVOLUCIÓN")*(MOVIMIENTOS!$C$5:$C$1005="C")*(MOVIMIENTOS!$D$5:$D$1005="jabas")*(MOVIMIENTOS!$A$5:$A$1005&lt;&gt;"")*(MOVIMIENTOS!$A$5:$A$1005&lt;=$A592)*MOVIMIENTOS!$E$5:$E$1005)-SUMPRODUCT((MOVIMIENTOS!$B$5:$B$1005="TRASIEGO")*(MOVIMIENTOS!$C$5:$C$1005="C")*(MOVIMIENTOS!$D$5:$D$1005="jabas")*(MOVIMIENTOS!$A$5:$A$1005&lt;&gt;"")*(MOVIMIENTOS!$A$5:$A$1005&lt;=$A592)*MOVIMIENTOS!$E$5:$E$1005)-SUMPRODUCT((MOVIMIENTOS!$B$5:$B$1005="REGALO")*(MOVIMIENTOS!$C$5:$C$1005="C")*(MOVIMIENTOS!$D$5:$D$1005="jabas")*(MOVIMIENTOS!$A$5:$A$1005&lt;&gt;"")*(MOVIMIENTOS!$A$5:$A$1005&lt;=$A592)*MOVIMIENTOS!$E$5:$E$1005)-SUMPRODUCT((MOVIMIENTOS!$B$5:$B$1005="VENTA")*(MOVIMIENTOS!$C$5:$C$1005="C")*(MOVIMIENTOS!$D$5:$D$1005="jabas")*(MOVIMIENTOS!$A$5:$A$1005&lt;&gt;"")*(MOVIMIENTOS!$A$5:$A$1005&lt;=$A592)*MOVIMIENTOS!$E$5:$E$1005)+SUMPRODUCT((MOVIMIENTOS!$B$5:$B$1005="AJUSTE")*(MOVIMIENTOS!$C$5:$C$1005="C")*(MOVIMIENTOS!$D$5:$D$1005="jabas")*(MOVIMIENTOS!$A$5:$A$1005&lt;&gt;"")*(MOVIMIENTOS!$A$5:$A$1005&lt;=$A592)*MOVIMIENTOS!$E$5:$E$1005))</f>
        <v/>
      </c>
      <c r="E592" t="str">
        <f>IF($A592="","",SUMPRODUCT((MOVIMIENTOS!$B$5:$B$1005="SALDO INICIAL")*(MOVIMIENTOS!$C$5:$C$1005="M")*(MOVIMIENTOS!$D$5:$D$1005="jabas")*(MOVIMIENTOS!$A$5:$A$1005&lt;&gt;"")*(MOVIMIENTOS!$A$5:$A$1005&lt;=$A592)*MOVIMIENTOS!$E$5:$E$1005)+SUMPRODUCT((MOVIMIENTOS!$B$5:$B$1005="PROCESO")*(MOVIMIENTOS!$C$5:$C$1005="M")*(MOVIMIENTOS!$D$5:$D$1005="jabas")*(MOVIMIENTOS!$A$5:$A$1005&lt;&gt;"")*(MOVIMIENTOS!$A$5:$A$1005&lt;=$A592)*MOVIMIENTOS!$E$5:$E$1005)-SUMPRODUCT((MOVIMIENTOS!$B$5:$B$1005="ENVÍO A SUPESA")*(MOVIMIENTOS!$C$5:$C$1005="M")*(MOVIMIENTOS!$D$5:$D$1005="jabas")*(MOVIMIENTOS!$A$5:$A$1005&lt;&gt;"")*(MOVIMIENTOS!$A$5:$A$1005&lt;=$A592)*MOVIMIENTOS!$E$5:$E$1005)+SUMPRODUCT((MOVIMIENTOS!$B$5:$B$1005="DEVOLUCIÓN")*(MOVIMIENTOS!$C$5:$C$1005="M")*(MOVIMIENTOS!$D$5:$D$1005="jabas")*(MOVIMIENTOS!$A$5:$A$1005&lt;&gt;"")*(MOVIMIENTOS!$A$5:$A$1005&lt;=$A592)*MOVIMIENTOS!$E$5:$E$1005)-SUMPRODUCT((MOVIMIENTOS!$B$5:$B$1005="TRASIEGO")*(MOVIMIENTOS!$C$5:$C$1005="M")*(MOVIMIENTOS!$D$5:$D$1005="jabas")*(MOVIMIENTOS!$A$5:$A$1005&lt;&gt;"")*(MOVIMIENTOS!$A$5:$A$1005&lt;=$A592)*MOVIMIENTOS!$E$5:$E$1005)-SUMPRODUCT((MOVIMIENTOS!$B$5:$B$1005="REGALO")*(MOVIMIENTOS!$C$5:$C$1005="M")*(MOVIMIENTOS!$D$5:$D$1005="jabas")*(MOVIMIENTOS!$A$5:$A$1005&lt;&gt;"")*(MOVIMIENTOS!$A$5:$A$1005&lt;=$A592)*MOVIMIENTOS!$E$5:$E$1005)-SUMPRODUCT((MOVIMIENTOS!$B$5:$B$1005="VENTA")*(MOVIMIENTOS!$C$5:$C$1005="M")*(MOVIMIENTOS!$D$5:$D$1005="jabas")*(MOVIMIENTOS!$A$5:$A$1005&lt;&gt;"")*(MOVIMIENTOS!$A$5:$A$1005&lt;=$A592)*MOVIMIENTOS!$E$5:$E$1005)+SUMPRODUCT((MOVIMIENTOS!$B$5:$B$1005="AJUSTE")*(MOVIMIENTOS!$C$5:$C$1005="M")*(MOVIMIENTOS!$D$5:$D$1005="jabas")*(MOVIMIENTOS!$A$5:$A$1005&lt;&gt;"")*(MOVIMIENTOS!$A$5:$A$1005&lt;=$A592)*MOVIMIENTOS!$E$5:$E$1005))</f>
        <v/>
      </c>
      <c r="F592" s="62" t="str">
        <f>IF($A592="","",SUMPRODUCT((MOVIMIENTOS!$B$5:$B$1005="SALDO INICIAL")*(MOVIMIENTOS!$C$5:$C$1005="Chancho")*(MOVIMIENTOS!$D$5:$D$1005="sacos")*(MOVIMIENTOS!$A$5:$A$1005&lt;&gt;"")*(MOVIMIENTOS!$A$5:$A$1005&lt;=$A592)*MOVIMIENTOS!$E$5:$E$1005)+SUMPRODUCT((MOVIMIENTOS!$B$5:$B$1005="PROCESO")*(MOVIMIENTOS!$C$5:$C$1005="Chancho")*(MOVIMIENTOS!$D$5:$D$1005="sacos")*(MOVIMIENTOS!$A$5:$A$1005&lt;&gt;"")*(MOVIMIENTOS!$A$5:$A$1005&lt;=$A592)*MOVIMIENTOS!$E$5:$E$1005)-SUMPRODUCT((MOVIMIENTOS!$B$5:$B$1005="VENTA CHANCHO")*(MOVIMIENTOS!$C$5:$C$1005="Chancho")*(MOVIMIENTOS!$D$5:$D$1005="sacos")*(MOVIMIENTOS!$A$5:$A$1005&lt;&gt;"")*(MOVIMIENTOS!$A$5:$A$1005&lt;=$A592)*MOVIMIENTOS!$E$5:$E$1005)-SUMPRODUCT((MOVIMIENTOS!$B$5:$B$1005="REGALO")*(MOVIMIENTOS!$C$5:$C$1005="Chancho")*(MOVIMIENTOS!$D$5:$D$1005="sacos")*(MOVIMIENTOS!$A$5:$A$1005&lt;&gt;"")*(MOVIMIENTOS!$A$5:$A$1005&lt;=$A592)*MOVIMIENTOS!$E$5:$E$1005)-SUMPRODUCT((MOVIMIENTOS!$B$5:$B$1005="VENTA")*(MOVIMIENTOS!$C$5:$C$1005="Chancho")*(MOVIMIENTOS!$D$5:$D$1005="sacos")*(MOVIMIENTOS!$A$5:$A$1005&lt;&gt;"")*(MOVIMIENTOS!$A$5:$A$1005&lt;=$A592)*MOVIMIENTOS!$E$5:$E$1005)+SUMPRODUCT((MOVIMIENTOS!$B$5:$B$1005="AJUSTE")*(MOVIMIENTOS!$C$5:$C$1005="Chancho")*(MOVIMIENTOS!$D$5:$D$1005="sacos")*(MOVIMIENTOS!$A$5:$A$1005&lt;&gt;"")*(MOVIMIENTOS!$A$5:$A$1005&lt;=$A592)*MOVIMIENTOS!$E$5:$E$1005))</f>
        <v/>
      </c>
      <c r="G592" s="62" t="str">
        <f t="shared" si="19"/>
        <v/>
      </c>
      <c r="H592" t="str">
        <f>IF($A592="","",SUMPRODUCT((((MOVIMIENTOS!$B$5:$B$1005="SALDO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592)*MOVIMIENTOS!$J$5:$J$1005))</f>
        <v/>
      </c>
      <c r="J592" t="str">
        <f>IF(AND(MOVIMIENTOS!$A597&lt;&gt;"",COUNTIF(MOVIMIENTOS!$A$5:$A596,MOVIMIENTOS!$A597)=0),COUNT(J$4:J591)+1,"")</f>
        <v/>
      </c>
      <c r="K592">
        <f>MOVIMIENTOS!$A597</f>
        <v>0</v>
      </c>
    </row>
    <row r="593" spans="1:11" ht="15" customHeight="1" x14ac:dyDescent="0.2">
      <c r="A593" t="str">
        <f t="shared" si="18"/>
        <v/>
      </c>
      <c r="B593" t="str">
        <f>IF($A593="","",SUMPRODUCT((MOVIMIENTOS!$B$5:$B$1005="SALDO INICIAL")*(MOVIMIENTOS!$C$5:$C$1005="A")*(MOVIMIENTOS!$D$5:$D$1005="jabas")*(MOVIMIENTOS!$A$5:$A$1005&lt;&gt;"")*(MOVIMIENTOS!$A$5:$A$1005&lt;=$A593)*MOVIMIENTOS!$E$5:$E$1005)+SUMPRODUCT((MOVIMIENTOS!$B$5:$B$1005="PROCESO")*(MOVIMIENTOS!$C$5:$C$1005="A")*(MOVIMIENTOS!$D$5:$D$1005="jabas")*(MOVIMIENTOS!$A$5:$A$1005&lt;&gt;"")*(MOVIMIENTOS!$A$5:$A$1005&lt;=$A593)*MOVIMIENTOS!$E$5:$E$1005)-SUMPRODUCT((MOVIMIENTOS!$B$5:$B$1005="ENVÍO A SUPESA")*(MOVIMIENTOS!$C$5:$C$1005="A")*(MOVIMIENTOS!$D$5:$D$1005="jabas")*(MOVIMIENTOS!$A$5:$A$1005&lt;&gt;"")*(MOVIMIENTOS!$A$5:$A$1005&lt;=$A593)*MOVIMIENTOS!$E$5:$E$1005)+SUMPRODUCT((MOVIMIENTOS!$B$5:$B$1005="DEVOLUCIÓN")*(MOVIMIENTOS!$C$5:$C$1005="A")*(MOVIMIENTOS!$D$5:$D$1005="jabas")*(MOVIMIENTOS!$A$5:$A$1005&lt;&gt;"")*(MOVIMIENTOS!$A$5:$A$1005&lt;=$A593)*MOVIMIENTOS!$E$5:$E$1005)-SUMPRODUCT((MOVIMIENTOS!$B$5:$B$1005="TRASIEGO")*(MOVIMIENTOS!$C$5:$C$1005="A")*(MOVIMIENTOS!$D$5:$D$1005="jabas")*(MOVIMIENTOS!$A$5:$A$1005&lt;&gt;"")*(MOVIMIENTOS!$A$5:$A$1005&lt;=$A593)*MOVIMIENTOS!$E$5:$E$1005)-SUMPRODUCT((MOVIMIENTOS!$B$5:$B$1005="REGALO")*(MOVIMIENTOS!$C$5:$C$1005="A")*(MOVIMIENTOS!$D$5:$D$1005="jabas")*(MOVIMIENTOS!$A$5:$A$1005&lt;&gt;"")*(MOVIMIENTOS!$A$5:$A$1005&lt;=$A593)*MOVIMIENTOS!$E$5:$E$1005)-SUMPRODUCT((MOVIMIENTOS!$B$5:$B$1005="VENTA")*(MOVIMIENTOS!$C$5:$C$1005="A")*(MOVIMIENTOS!$D$5:$D$1005="jabas")*(MOVIMIENTOS!$A$5:$A$1005&lt;&gt;"")*(MOVIMIENTOS!$A$5:$A$1005&lt;=$A593)*MOVIMIENTOS!$E$5:$E$1005)+SUMPRODUCT((MOVIMIENTOS!$B$5:$B$1005="AJUSTE")*(MOVIMIENTOS!$C$5:$C$1005="A")*(MOVIMIENTOS!$D$5:$D$1005="jabas")*(MOVIMIENTOS!$A$5:$A$1005&lt;&gt;"")*(MOVIMIENTOS!$A$5:$A$1005&lt;=$A593)*MOVIMIENTOS!$E$5:$E$1005))</f>
        <v/>
      </c>
      <c r="C593" t="str">
        <f>IF($A593="","",SUMPRODUCT((MOVIMIENTOS!$B$5:$B$1005="SALDO INICIAL")*(MOVIMIENTOS!$C$5:$C$1005="P")*(MOVIMIENTOS!$D$5:$D$1005="jabas")*(MOVIMIENTOS!$A$5:$A$1005&lt;&gt;"")*(MOVIMIENTOS!$A$5:$A$1005&lt;=$A593)*MOVIMIENTOS!$E$5:$E$1005)+SUMPRODUCT((MOVIMIENTOS!$B$5:$B$1005="PROCESO")*(MOVIMIENTOS!$C$5:$C$1005="P")*(MOVIMIENTOS!$D$5:$D$1005="jabas")*(MOVIMIENTOS!$A$5:$A$1005&lt;&gt;"")*(MOVIMIENTOS!$A$5:$A$1005&lt;=$A593)*MOVIMIENTOS!$E$5:$E$1005)-SUMPRODUCT((MOVIMIENTOS!$B$5:$B$1005="ENVÍO A SUPESA")*(MOVIMIENTOS!$C$5:$C$1005="P")*(MOVIMIENTOS!$D$5:$D$1005="jabas")*(MOVIMIENTOS!$A$5:$A$1005&lt;&gt;"")*(MOVIMIENTOS!$A$5:$A$1005&lt;=$A593)*MOVIMIENTOS!$E$5:$E$1005)+SUMPRODUCT((MOVIMIENTOS!$B$5:$B$1005="DEVOLUCIÓN")*(MOVIMIENTOS!$C$5:$C$1005="P")*(MOVIMIENTOS!$D$5:$D$1005="jabas")*(MOVIMIENTOS!$A$5:$A$1005&lt;&gt;"")*(MOVIMIENTOS!$A$5:$A$1005&lt;=$A593)*MOVIMIENTOS!$E$5:$E$1005)-SUMPRODUCT((MOVIMIENTOS!$B$5:$B$1005="TRASIEGO")*(MOVIMIENTOS!$C$5:$C$1005="P")*(MOVIMIENTOS!$D$5:$D$1005="jabas")*(MOVIMIENTOS!$A$5:$A$1005&lt;&gt;"")*(MOVIMIENTOS!$A$5:$A$1005&lt;=$A593)*MOVIMIENTOS!$E$5:$E$1005)-SUMPRODUCT((MOVIMIENTOS!$B$5:$B$1005="REGALO")*(MOVIMIENTOS!$C$5:$C$1005="P")*(MOVIMIENTOS!$D$5:$D$1005="jabas")*(MOVIMIENTOS!$A$5:$A$1005&lt;&gt;"")*(MOVIMIENTOS!$A$5:$A$1005&lt;=$A593)*MOVIMIENTOS!$E$5:$E$1005)-SUMPRODUCT((MOVIMIENTOS!$B$5:$B$1005="VENTA")*(MOVIMIENTOS!$C$5:$C$1005="P")*(MOVIMIENTOS!$D$5:$D$1005="jabas")*(MOVIMIENTOS!$A$5:$A$1005&lt;&gt;"")*(MOVIMIENTOS!$A$5:$A$1005&lt;=$A593)*MOVIMIENTOS!$E$5:$E$1005)+SUMPRODUCT((MOVIMIENTOS!$B$5:$B$1005="AJUSTE")*(MOVIMIENTOS!$C$5:$C$1005="P")*(MOVIMIENTOS!$D$5:$D$1005="jabas")*(MOVIMIENTOS!$A$5:$A$1005&lt;&gt;"")*(MOVIMIENTOS!$A$5:$A$1005&lt;=$A593)*MOVIMIENTOS!$E$5:$E$1005))</f>
        <v/>
      </c>
      <c r="D593" t="str">
        <f>IF($A593="","",SUMPRODUCT((MOVIMIENTOS!$B$5:$B$1005="SALDO INICIAL")*(MOVIMIENTOS!$C$5:$C$1005="C")*(MOVIMIENTOS!$D$5:$D$1005="jabas")*(MOVIMIENTOS!$A$5:$A$1005&lt;&gt;"")*(MOVIMIENTOS!$A$5:$A$1005&lt;=$A593)*MOVIMIENTOS!$E$5:$E$1005)+SUMPRODUCT((MOVIMIENTOS!$B$5:$B$1005="PROCESO")*(MOVIMIENTOS!$C$5:$C$1005="C")*(MOVIMIENTOS!$D$5:$D$1005="jabas")*(MOVIMIENTOS!$A$5:$A$1005&lt;&gt;"")*(MOVIMIENTOS!$A$5:$A$1005&lt;=$A593)*MOVIMIENTOS!$E$5:$E$1005)-SUMPRODUCT((MOVIMIENTOS!$B$5:$B$1005="ENVÍO A SUPESA")*(MOVIMIENTOS!$C$5:$C$1005="C")*(MOVIMIENTOS!$D$5:$D$1005="jabas")*(MOVIMIENTOS!$A$5:$A$1005&lt;&gt;"")*(MOVIMIENTOS!$A$5:$A$1005&lt;=$A593)*MOVIMIENTOS!$E$5:$E$1005)+SUMPRODUCT((MOVIMIENTOS!$B$5:$B$1005="DEVOLUCIÓN")*(MOVIMIENTOS!$C$5:$C$1005="C")*(MOVIMIENTOS!$D$5:$D$1005="jabas")*(MOVIMIENTOS!$A$5:$A$1005&lt;&gt;"")*(MOVIMIENTOS!$A$5:$A$1005&lt;=$A593)*MOVIMIENTOS!$E$5:$E$1005)-SUMPRODUCT((MOVIMIENTOS!$B$5:$B$1005="TRASIEGO")*(MOVIMIENTOS!$C$5:$C$1005="C")*(MOVIMIENTOS!$D$5:$D$1005="jabas")*(MOVIMIENTOS!$A$5:$A$1005&lt;&gt;"")*(MOVIMIENTOS!$A$5:$A$1005&lt;=$A593)*MOVIMIENTOS!$E$5:$E$1005)-SUMPRODUCT((MOVIMIENTOS!$B$5:$B$1005="REGALO")*(MOVIMIENTOS!$C$5:$C$1005="C")*(MOVIMIENTOS!$D$5:$D$1005="jabas")*(MOVIMIENTOS!$A$5:$A$1005&lt;&gt;"")*(MOVIMIENTOS!$A$5:$A$1005&lt;=$A593)*MOVIMIENTOS!$E$5:$E$1005)-SUMPRODUCT((MOVIMIENTOS!$B$5:$B$1005="VENTA")*(MOVIMIENTOS!$C$5:$C$1005="C")*(MOVIMIENTOS!$D$5:$D$1005="jabas")*(MOVIMIENTOS!$A$5:$A$1005&lt;&gt;"")*(MOVIMIENTOS!$A$5:$A$1005&lt;=$A593)*MOVIMIENTOS!$E$5:$E$1005)+SUMPRODUCT((MOVIMIENTOS!$B$5:$B$1005="AJUSTE")*(MOVIMIENTOS!$C$5:$C$1005="C")*(MOVIMIENTOS!$D$5:$D$1005="jabas")*(MOVIMIENTOS!$A$5:$A$1005&lt;&gt;"")*(MOVIMIENTOS!$A$5:$A$1005&lt;=$A593)*MOVIMIENTOS!$E$5:$E$1005))</f>
        <v/>
      </c>
      <c r="E593" t="str">
        <f>IF($A593="","",SUMPRODUCT((MOVIMIENTOS!$B$5:$B$1005="SALDO INICIAL")*(MOVIMIENTOS!$C$5:$C$1005="M")*(MOVIMIENTOS!$D$5:$D$1005="jabas")*(MOVIMIENTOS!$A$5:$A$1005&lt;&gt;"")*(MOVIMIENTOS!$A$5:$A$1005&lt;=$A593)*MOVIMIENTOS!$E$5:$E$1005)+SUMPRODUCT((MOVIMIENTOS!$B$5:$B$1005="PROCESO")*(MOVIMIENTOS!$C$5:$C$1005="M")*(MOVIMIENTOS!$D$5:$D$1005="jabas")*(MOVIMIENTOS!$A$5:$A$1005&lt;&gt;"")*(MOVIMIENTOS!$A$5:$A$1005&lt;=$A593)*MOVIMIENTOS!$E$5:$E$1005)-SUMPRODUCT((MOVIMIENTOS!$B$5:$B$1005="ENVÍO A SUPESA")*(MOVIMIENTOS!$C$5:$C$1005="M")*(MOVIMIENTOS!$D$5:$D$1005="jabas")*(MOVIMIENTOS!$A$5:$A$1005&lt;&gt;"")*(MOVIMIENTOS!$A$5:$A$1005&lt;=$A593)*MOVIMIENTOS!$E$5:$E$1005)+SUMPRODUCT((MOVIMIENTOS!$B$5:$B$1005="DEVOLUCIÓN")*(MOVIMIENTOS!$C$5:$C$1005="M")*(MOVIMIENTOS!$D$5:$D$1005="jabas")*(MOVIMIENTOS!$A$5:$A$1005&lt;&gt;"")*(MOVIMIENTOS!$A$5:$A$1005&lt;=$A593)*MOVIMIENTOS!$E$5:$E$1005)-SUMPRODUCT((MOVIMIENTOS!$B$5:$B$1005="TRASIEGO")*(MOVIMIENTOS!$C$5:$C$1005="M")*(MOVIMIENTOS!$D$5:$D$1005="jabas")*(MOVIMIENTOS!$A$5:$A$1005&lt;&gt;"")*(MOVIMIENTOS!$A$5:$A$1005&lt;=$A593)*MOVIMIENTOS!$E$5:$E$1005)-SUMPRODUCT((MOVIMIENTOS!$B$5:$B$1005="REGALO")*(MOVIMIENTOS!$C$5:$C$1005="M")*(MOVIMIENTOS!$D$5:$D$1005="jabas")*(MOVIMIENTOS!$A$5:$A$1005&lt;&gt;"")*(MOVIMIENTOS!$A$5:$A$1005&lt;=$A593)*MOVIMIENTOS!$E$5:$E$1005)-SUMPRODUCT((MOVIMIENTOS!$B$5:$B$1005="VENTA")*(MOVIMIENTOS!$C$5:$C$1005="M")*(MOVIMIENTOS!$D$5:$D$1005="jabas")*(MOVIMIENTOS!$A$5:$A$1005&lt;&gt;"")*(MOVIMIENTOS!$A$5:$A$1005&lt;=$A593)*MOVIMIENTOS!$E$5:$E$1005)+SUMPRODUCT((MOVIMIENTOS!$B$5:$B$1005="AJUSTE")*(MOVIMIENTOS!$C$5:$C$1005="M")*(MOVIMIENTOS!$D$5:$D$1005="jabas")*(MOVIMIENTOS!$A$5:$A$1005&lt;&gt;"")*(MOVIMIENTOS!$A$5:$A$1005&lt;=$A593)*MOVIMIENTOS!$E$5:$E$1005))</f>
        <v/>
      </c>
      <c r="F593" s="62" t="str">
        <f>IF($A593="","",SUMPRODUCT((MOVIMIENTOS!$B$5:$B$1005="SALDO INICIAL")*(MOVIMIENTOS!$C$5:$C$1005="Chancho")*(MOVIMIENTOS!$D$5:$D$1005="sacos")*(MOVIMIENTOS!$A$5:$A$1005&lt;&gt;"")*(MOVIMIENTOS!$A$5:$A$1005&lt;=$A593)*MOVIMIENTOS!$E$5:$E$1005)+SUMPRODUCT((MOVIMIENTOS!$B$5:$B$1005="PROCESO")*(MOVIMIENTOS!$C$5:$C$1005="Chancho")*(MOVIMIENTOS!$D$5:$D$1005="sacos")*(MOVIMIENTOS!$A$5:$A$1005&lt;&gt;"")*(MOVIMIENTOS!$A$5:$A$1005&lt;=$A593)*MOVIMIENTOS!$E$5:$E$1005)-SUMPRODUCT((MOVIMIENTOS!$B$5:$B$1005="VENTA CHANCHO")*(MOVIMIENTOS!$C$5:$C$1005="Chancho")*(MOVIMIENTOS!$D$5:$D$1005="sacos")*(MOVIMIENTOS!$A$5:$A$1005&lt;&gt;"")*(MOVIMIENTOS!$A$5:$A$1005&lt;=$A593)*MOVIMIENTOS!$E$5:$E$1005)-SUMPRODUCT((MOVIMIENTOS!$B$5:$B$1005="REGALO")*(MOVIMIENTOS!$C$5:$C$1005="Chancho")*(MOVIMIENTOS!$D$5:$D$1005="sacos")*(MOVIMIENTOS!$A$5:$A$1005&lt;&gt;"")*(MOVIMIENTOS!$A$5:$A$1005&lt;=$A593)*MOVIMIENTOS!$E$5:$E$1005)-SUMPRODUCT((MOVIMIENTOS!$B$5:$B$1005="VENTA")*(MOVIMIENTOS!$C$5:$C$1005="Chancho")*(MOVIMIENTOS!$D$5:$D$1005="sacos")*(MOVIMIENTOS!$A$5:$A$1005&lt;&gt;"")*(MOVIMIENTOS!$A$5:$A$1005&lt;=$A593)*MOVIMIENTOS!$E$5:$E$1005)+SUMPRODUCT((MOVIMIENTOS!$B$5:$B$1005="AJUSTE")*(MOVIMIENTOS!$C$5:$C$1005="Chancho")*(MOVIMIENTOS!$D$5:$D$1005="sacos")*(MOVIMIENTOS!$A$5:$A$1005&lt;&gt;"")*(MOVIMIENTOS!$A$5:$A$1005&lt;=$A593)*MOVIMIENTOS!$E$5:$E$1005))</f>
        <v/>
      </c>
      <c r="G593" s="62" t="str">
        <f t="shared" si="19"/>
        <v/>
      </c>
      <c r="H593" t="str">
        <f>IF($A593="","",SUMPRODUCT((((MOVIMIENTOS!$B$5:$B$1005="SALDO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593)*MOVIMIENTOS!$J$5:$J$1005))</f>
        <v/>
      </c>
      <c r="J593" t="str">
        <f>IF(AND(MOVIMIENTOS!$A598&lt;&gt;"",COUNTIF(MOVIMIENTOS!$A$5:$A597,MOVIMIENTOS!$A598)=0),COUNT(J$4:J592)+1,"")</f>
        <v/>
      </c>
      <c r="K593">
        <f>MOVIMIENTOS!$A598</f>
        <v>0</v>
      </c>
    </row>
    <row r="594" spans="1:11" ht="15" customHeight="1" x14ac:dyDescent="0.2">
      <c r="A594" t="str">
        <f t="shared" si="18"/>
        <v/>
      </c>
      <c r="B594" t="str">
        <f>IF($A594="","",SUMPRODUCT((MOVIMIENTOS!$B$5:$B$1005="SALDO INICIAL")*(MOVIMIENTOS!$C$5:$C$1005="A")*(MOVIMIENTOS!$D$5:$D$1005="jabas")*(MOVIMIENTOS!$A$5:$A$1005&lt;&gt;"")*(MOVIMIENTOS!$A$5:$A$1005&lt;=$A594)*MOVIMIENTOS!$E$5:$E$1005)+SUMPRODUCT((MOVIMIENTOS!$B$5:$B$1005="PROCESO")*(MOVIMIENTOS!$C$5:$C$1005="A")*(MOVIMIENTOS!$D$5:$D$1005="jabas")*(MOVIMIENTOS!$A$5:$A$1005&lt;&gt;"")*(MOVIMIENTOS!$A$5:$A$1005&lt;=$A594)*MOVIMIENTOS!$E$5:$E$1005)-SUMPRODUCT((MOVIMIENTOS!$B$5:$B$1005="ENVÍO A SUPESA")*(MOVIMIENTOS!$C$5:$C$1005="A")*(MOVIMIENTOS!$D$5:$D$1005="jabas")*(MOVIMIENTOS!$A$5:$A$1005&lt;&gt;"")*(MOVIMIENTOS!$A$5:$A$1005&lt;=$A594)*MOVIMIENTOS!$E$5:$E$1005)+SUMPRODUCT((MOVIMIENTOS!$B$5:$B$1005="DEVOLUCIÓN")*(MOVIMIENTOS!$C$5:$C$1005="A")*(MOVIMIENTOS!$D$5:$D$1005="jabas")*(MOVIMIENTOS!$A$5:$A$1005&lt;&gt;"")*(MOVIMIENTOS!$A$5:$A$1005&lt;=$A594)*MOVIMIENTOS!$E$5:$E$1005)-SUMPRODUCT((MOVIMIENTOS!$B$5:$B$1005="TRASIEGO")*(MOVIMIENTOS!$C$5:$C$1005="A")*(MOVIMIENTOS!$D$5:$D$1005="jabas")*(MOVIMIENTOS!$A$5:$A$1005&lt;&gt;"")*(MOVIMIENTOS!$A$5:$A$1005&lt;=$A594)*MOVIMIENTOS!$E$5:$E$1005)-SUMPRODUCT((MOVIMIENTOS!$B$5:$B$1005="REGALO")*(MOVIMIENTOS!$C$5:$C$1005="A")*(MOVIMIENTOS!$D$5:$D$1005="jabas")*(MOVIMIENTOS!$A$5:$A$1005&lt;&gt;"")*(MOVIMIENTOS!$A$5:$A$1005&lt;=$A594)*MOVIMIENTOS!$E$5:$E$1005)-SUMPRODUCT((MOVIMIENTOS!$B$5:$B$1005="VENTA")*(MOVIMIENTOS!$C$5:$C$1005="A")*(MOVIMIENTOS!$D$5:$D$1005="jabas")*(MOVIMIENTOS!$A$5:$A$1005&lt;&gt;"")*(MOVIMIENTOS!$A$5:$A$1005&lt;=$A594)*MOVIMIENTOS!$E$5:$E$1005)+SUMPRODUCT((MOVIMIENTOS!$B$5:$B$1005="AJUSTE")*(MOVIMIENTOS!$C$5:$C$1005="A")*(MOVIMIENTOS!$D$5:$D$1005="jabas")*(MOVIMIENTOS!$A$5:$A$1005&lt;&gt;"")*(MOVIMIENTOS!$A$5:$A$1005&lt;=$A594)*MOVIMIENTOS!$E$5:$E$1005))</f>
        <v/>
      </c>
      <c r="C594" t="str">
        <f>IF($A594="","",SUMPRODUCT((MOVIMIENTOS!$B$5:$B$1005="SALDO INICIAL")*(MOVIMIENTOS!$C$5:$C$1005="P")*(MOVIMIENTOS!$D$5:$D$1005="jabas")*(MOVIMIENTOS!$A$5:$A$1005&lt;&gt;"")*(MOVIMIENTOS!$A$5:$A$1005&lt;=$A594)*MOVIMIENTOS!$E$5:$E$1005)+SUMPRODUCT((MOVIMIENTOS!$B$5:$B$1005="PROCESO")*(MOVIMIENTOS!$C$5:$C$1005="P")*(MOVIMIENTOS!$D$5:$D$1005="jabas")*(MOVIMIENTOS!$A$5:$A$1005&lt;&gt;"")*(MOVIMIENTOS!$A$5:$A$1005&lt;=$A594)*MOVIMIENTOS!$E$5:$E$1005)-SUMPRODUCT((MOVIMIENTOS!$B$5:$B$1005="ENVÍO A SUPESA")*(MOVIMIENTOS!$C$5:$C$1005="P")*(MOVIMIENTOS!$D$5:$D$1005="jabas")*(MOVIMIENTOS!$A$5:$A$1005&lt;&gt;"")*(MOVIMIENTOS!$A$5:$A$1005&lt;=$A594)*MOVIMIENTOS!$E$5:$E$1005)+SUMPRODUCT((MOVIMIENTOS!$B$5:$B$1005="DEVOLUCIÓN")*(MOVIMIENTOS!$C$5:$C$1005="P")*(MOVIMIENTOS!$D$5:$D$1005="jabas")*(MOVIMIENTOS!$A$5:$A$1005&lt;&gt;"")*(MOVIMIENTOS!$A$5:$A$1005&lt;=$A594)*MOVIMIENTOS!$E$5:$E$1005)-SUMPRODUCT((MOVIMIENTOS!$B$5:$B$1005="TRASIEGO")*(MOVIMIENTOS!$C$5:$C$1005="P")*(MOVIMIENTOS!$D$5:$D$1005="jabas")*(MOVIMIENTOS!$A$5:$A$1005&lt;&gt;"")*(MOVIMIENTOS!$A$5:$A$1005&lt;=$A594)*MOVIMIENTOS!$E$5:$E$1005)-SUMPRODUCT((MOVIMIENTOS!$B$5:$B$1005="REGALO")*(MOVIMIENTOS!$C$5:$C$1005="P")*(MOVIMIENTOS!$D$5:$D$1005="jabas")*(MOVIMIENTOS!$A$5:$A$1005&lt;&gt;"")*(MOVIMIENTOS!$A$5:$A$1005&lt;=$A594)*MOVIMIENTOS!$E$5:$E$1005)-SUMPRODUCT((MOVIMIENTOS!$B$5:$B$1005="VENTA")*(MOVIMIENTOS!$C$5:$C$1005="P")*(MOVIMIENTOS!$D$5:$D$1005="jabas")*(MOVIMIENTOS!$A$5:$A$1005&lt;&gt;"")*(MOVIMIENTOS!$A$5:$A$1005&lt;=$A594)*MOVIMIENTOS!$E$5:$E$1005)+SUMPRODUCT((MOVIMIENTOS!$B$5:$B$1005="AJUSTE")*(MOVIMIENTOS!$C$5:$C$1005="P")*(MOVIMIENTOS!$D$5:$D$1005="jabas")*(MOVIMIENTOS!$A$5:$A$1005&lt;&gt;"")*(MOVIMIENTOS!$A$5:$A$1005&lt;=$A594)*MOVIMIENTOS!$E$5:$E$1005))</f>
        <v/>
      </c>
      <c r="D594" t="str">
        <f>IF($A594="","",SUMPRODUCT((MOVIMIENTOS!$B$5:$B$1005="SALDO INICIAL")*(MOVIMIENTOS!$C$5:$C$1005="C")*(MOVIMIENTOS!$D$5:$D$1005="jabas")*(MOVIMIENTOS!$A$5:$A$1005&lt;&gt;"")*(MOVIMIENTOS!$A$5:$A$1005&lt;=$A594)*MOVIMIENTOS!$E$5:$E$1005)+SUMPRODUCT((MOVIMIENTOS!$B$5:$B$1005="PROCESO")*(MOVIMIENTOS!$C$5:$C$1005="C")*(MOVIMIENTOS!$D$5:$D$1005="jabas")*(MOVIMIENTOS!$A$5:$A$1005&lt;&gt;"")*(MOVIMIENTOS!$A$5:$A$1005&lt;=$A594)*MOVIMIENTOS!$E$5:$E$1005)-SUMPRODUCT((MOVIMIENTOS!$B$5:$B$1005="ENVÍO A SUPESA")*(MOVIMIENTOS!$C$5:$C$1005="C")*(MOVIMIENTOS!$D$5:$D$1005="jabas")*(MOVIMIENTOS!$A$5:$A$1005&lt;&gt;"")*(MOVIMIENTOS!$A$5:$A$1005&lt;=$A594)*MOVIMIENTOS!$E$5:$E$1005)+SUMPRODUCT((MOVIMIENTOS!$B$5:$B$1005="DEVOLUCIÓN")*(MOVIMIENTOS!$C$5:$C$1005="C")*(MOVIMIENTOS!$D$5:$D$1005="jabas")*(MOVIMIENTOS!$A$5:$A$1005&lt;&gt;"")*(MOVIMIENTOS!$A$5:$A$1005&lt;=$A594)*MOVIMIENTOS!$E$5:$E$1005)-SUMPRODUCT((MOVIMIENTOS!$B$5:$B$1005="TRASIEGO")*(MOVIMIENTOS!$C$5:$C$1005="C")*(MOVIMIENTOS!$D$5:$D$1005="jabas")*(MOVIMIENTOS!$A$5:$A$1005&lt;&gt;"")*(MOVIMIENTOS!$A$5:$A$1005&lt;=$A594)*MOVIMIENTOS!$E$5:$E$1005)-SUMPRODUCT((MOVIMIENTOS!$B$5:$B$1005="REGALO")*(MOVIMIENTOS!$C$5:$C$1005="C")*(MOVIMIENTOS!$D$5:$D$1005="jabas")*(MOVIMIENTOS!$A$5:$A$1005&lt;&gt;"")*(MOVIMIENTOS!$A$5:$A$1005&lt;=$A594)*MOVIMIENTOS!$E$5:$E$1005)-SUMPRODUCT((MOVIMIENTOS!$B$5:$B$1005="VENTA")*(MOVIMIENTOS!$C$5:$C$1005="C")*(MOVIMIENTOS!$D$5:$D$1005="jabas")*(MOVIMIENTOS!$A$5:$A$1005&lt;&gt;"")*(MOVIMIENTOS!$A$5:$A$1005&lt;=$A594)*MOVIMIENTOS!$E$5:$E$1005)+SUMPRODUCT((MOVIMIENTOS!$B$5:$B$1005="AJUSTE")*(MOVIMIENTOS!$C$5:$C$1005="C")*(MOVIMIENTOS!$D$5:$D$1005="jabas")*(MOVIMIENTOS!$A$5:$A$1005&lt;&gt;"")*(MOVIMIENTOS!$A$5:$A$1005&lt;=$A594)*MOVIMIENTOS!$E$5:$E$1005))</f>
        <v/>
      </c>
      <c r="E594" t="str">
        <f>IF($A594="","",SUMPRODUCT((MOVIMIENTOS!$B$5:$B$1005="SALDO INICIAL")*(MOVIMIENTOS!$C$5:$C$1005="M")*(MOVIMIENTOS!$D$5:$D$1005="jabas")*(MOVIMIENTOS!$A$5:$A$1005&lt;&gt;"")*(MOVIMIENTOS!$A$5:$A$1005&lt;=$A594)*MOVIMIENTOS!$E$5:$E$1005)+SUMPRODUCT((MOVIMIENTOS!$B$5:$B$1005="PROCESO")*(MOVIMIENTOS!$C$5:$C$1005="M")*(MOVIMIENTOS!$D$5:$D$1005="jabas")*(MOVIMIENTOS!$A$5:$A$1005&lt;&gt;"")*(MOVIMIENTOS!$A$5:$A$1005&lt;=$A594)*MOVIMIENTOS!$E$5:$E$1005)-SUMPRODUCT((MOVIMIENTOS!$B$5:$B$1005="ENVÍO A SUPESA")*(MOVIMIENTOS!$C$5:$C$1005="M")*(MOVIMIENTOS!$D$5:$D$1005="jabas")*(MOVIMIENTOS!$A$5:$A$1005&lt;&gt;"")*(MOVIMIENTOS!$A$5:$A$1005&lt;=$A594)*MOVIMIENTOS!$E$5:$E$1005)+SUMPRODUCT((MOVIMIENTOS!$B$5:$B$1005="DEVOLUCIÓN")*(MOVIMIENTOS!$C$5:$C$1005="M")*(MOVIMIENTOS!$D$5:$D$1005="jabas")*(MOVIMIENTOS!$A$5:$A$1005&lt;&gt;"")*(MOVIMIENTOS!$A$5:$A$1005&lt;=$A594)*MOVIMIENTOS!$E$5:$E$1005)-SUMPRODUCT((MOVIMIENTOS!$B$5:$B$1005="TRASIEGO")*(MOVIMIENTOS!$C$5:$C$1005="M")*(MOVIMIENTOS!$D$5:$D$1005="jabas")*(MOVIMIENTOS!$A$5:$A$1005&lt;&gt;"")*(MOVIMIENTOS!$A$5:$A$1005&lt;=$A594)*MOVIMIENTOS!$E$5:$E$1005)-SUMPRODUCT((MOVIMIENTOS!$B$5:$B$1005="REGALO")*(MOVIMIENTOS!$C$5:$C$1005="M")*(MOVIMIENTOS!$D$5:$D$1005="jabas")*(MOVIMIENTOS!$A$5:$A$1005&lt;&gt;"")*(MOVIMIENTOS!$A$5:$A$1005&lt;=$A594)*MOVIMIENTOS!$E$5:$E$1005)-SUMPRODUCT((MOVIMIENTOS!$B$5:$B$1005="VENTA")*(MOVIMIENTOS!$C$5:$C$1005="M")*(MOVIMIENTOS!$D$5:$D$1005="jabas")*(MOVIMIENTOS!$A$5:$A$1005&lt;&gt;"")*(MOVIMIENTOS!$A$5:$A$1005&lt;=$A594)*MOVIMIENTOS!$E$5:$E$1005)+SUMPRODUCT((MOVIMIENTOS!$B$5:$B$1005="AJUSTE")*(MOVIMIENTOS!$C$5:$C$1005="M")*(MOVIMIENTOS!$D$5:$D$1005="jabas")*(MOVIMIENTOS!$A$5:$A$1005&lt;&gt;"")*(MOVIMIENTOS!$A$5:$A$1005&lt;=$A594)*MOVIMIENTOS!$E$5:$E$1005))</f>
        <v/>
      </c>
      <c r="F594" s="62" t="str">
        <f>IF($A594="","",SUMPRODUCT((MOVIMIENTOS!$B$5:$B$1005="SALDO INICIAL")*(MOVIMIENTOS!$C$5:$C$1005="Chancho")*(MOVIMIENTOS!$D$5:$D$1005="sacos")*(MOVIMIENTOS!$A$5:$A$1005&lt;&gt;"")*(MOVIMIENTOS!$A$5:$A$1005&lt;=$A594)*MOVIMIENTOS!$E$5:$E$1005)+SUMPRODUCT((MOVIMIENTOS!$B$5:$B$1005="PROCESO")*(MOVIMIENTOS!$C$5:$C$1005="Chancho")*(MOVIMIENTOS!$D$5:$D$1005="sacos")*(MOVIMIENTOS!$A$5:$A$1005&lt;&gt;"")*(MOVIMIENTOS!$A$5:$A$1005&lt;=$A594)*MOVIMIENTOS!$E$5:$E$1005)-SUMPRODUCT((MOVIMIENTOS!$B$5:$B$1005="VENTA CHANCHO")*(MOVIMIENTOS!$C$5:$C$1005="Chancho")*(MOVIMIENTOS!$D$5:$D$1005="sacos")*(MOVIMIENTOS!$A$5:$A$1005&lt;&gt;"")*(MOVIMIENTOS!$A$5:$A$1005&lt;=$A594)*MOVIMIENTOS!$E$5:$E$1005)-SUMPRODUCT((MOVIMIENTOS!$B$5:$B$1005="REGALO")*(MOVIMIENTOS!$C$5:$C$1005="Chancho")*(MOVIMIENTOS!$D$5:$D$1005="sacos")*(MOVIMIENTOS!$A$5:$A$1005&lt;&gt;"")*(MOVIMIENTOS!$A$5:$A$1005&lt;=$A594)*MOVIMIENTOS!$E$5:$E$1005)-SUMPRODUCT((MOVIMIENTOS!$B$5:$B$1005="VENTA")*(MOVIMIENTOS!$C$5:$C$1005="Chancho")*(MOVIMIENTOS!$D$5:$D$1005="sacos")*(MOVIMIENTOS!$A$5:$A$1005&lt;&gt;"")*(MOVIMIENTOS!$A$5:$A$1005&lt;=$A594)*MOVIMIENTOS!$E$5:$E$1005)+SUMPRODUCT((MOVIMIENTOS!$B$5:$B$1005="AJUSTE")*(MOVIMIENTOS!$C$5:$C$1005="Chancho")*(MOVIMIENTOS!$D$5:$D$1005="sacos")*(MOVIMIENTOS!$A$5:$A$1005&lt;&gt;"")*(MOVIMIENTOS!$A$5:$A$1005&lt;=$A594)*MOVIMIENTOS!$E$5:$E$1005))</f>
        <v/>
      </c>
      <c r="G594" s="62" t="str">
        <f t="shared" si="19"/>
        <v/>
      </c>
      <c r="H594" t="str">
        <f>IF($A594="","",SUMPRODUCT((((MOVIMIENTOS!$B$5:$B$1005="SALDO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594)*MOVIMIENTOS!$J$5:$J$1005))</f>
        <v/>
      </c>
      <c r="J594" t="str">
        <f>IF(AND(MOVIMIENTOS!$A599&lt;&gt;"",COUNTIF(MOVIMIENTOS!$A$5:$A598,MOVIMIENTOS!$A599)=0),COUNT(J$4:J593)+1,"")</f>
        <v/>
      </c>
      <c r="K594">
        <f>MOVIMIENTOS!$A599</f>
        <v>0</v>
      </c>
    </row>
    <row r="595" spans="1:11" ht="15" customHeight="1" x14ac:dyDescent="0.2">
      <c r="A595" t="str">
        <f t="shared" si="18"/>
        <v/>
      </c>
      <c r="B595" t="str">
        <f>IF($A595="","",SUMPRODUCT((MOVIMIENTOS!$B$5:$B$1005="SALDO INICIAL")*(MOVIMIENTOS!$C$5:$C$1005="A")*(MOVIMIENTOS!$D$5:$D$1005="jabas")*(MOVIMIENTOS!$A$5:$A$1005&lt;&gt;"")*(MOVIMIENTOS!$A$5:$A$1005&lt;=$A595)*MOVIMIENTOS!$E$5:$E$1005)+SUMPRODUCT((MOVIMIENTOS!$B$5:$B$1005="PROCESO")*(MOVIMIENTOS!$C$5:$C$1005="A")*(MOVIMIENTOS!$D$5:$D$1005="jabas")*(MOVIMIENTOS!$A$5:$A$1005&lt;&gt;"")*(MOVIMIENTOS!$A$5:$A$1005&lt;=$A595)*MOVIMIENTOS!$E$5:$E$1005)-SUMPRODUCT((MOVIMIENTOS!$B$5:$B$1005="ENVÍO A SUPESA")*(MOVIMIENTOS!$C$5:$C$1005="A")*(MOVIMIENTOS!$D$5:$D$1005="jabas")*(MOVIMIENTOS!$A$5:$A$1005&lt;&gt;"")*(MOVIMIENTOS!$A$5:$A$1005&lt;=$A595)*MOVIMIENTOS!$E$5:$E$1005)+SUMPRODUCT((MOVIMIENTOS!$B$5:$B$1005="DEVOLUCIÓN")*(MOVIMIENTOS!$C$5:$C$1005="A")*(MOVIMIENTOS!$D$5:$D$1005="jabas")*(MOVIMIENTOS!$A$5:$A$1005&lt;&gt;"")*(MOVIMIENTOS!$A$5:$A$1005&lt;=$A595)*MOVIMIENTOS!$E$5:$E$1005)-SUMPRODUCT((MOVIMIENTOS!$B$5:$B$1005="TRASIEGO")*(MOVIMIENTOS!$C$5:$C$1005="A")*(MOVIMIENTOS!$D$5:$D$1005="jabas")*(MOVIMIENTOS!$A$5:$A$1005&lt;&gt;"")*(MOVIMIENTOS!$A$5:$A$1005&lt;=$A595)*MOVIMIENTOS!$E$5:$E$1005)-SUMPRODUCT((MOVIMIENTOS!$B$5:$B$1005="REGALO")*(MOVIMIENTOS!$C$5:$C$1005="A")*(MOVIMIENTOS!$D$5:$D$1005="jabas")*(MOVIMIENTOS!$A$5:$A$1005&lt;&gt;"")*(MOVIMIENTOS!$A$5:$A$1005&lt;=$A595)*MOVIMIENTOS!$E$5:$E$1005)-SUMPRODUCT((MOVIMIENTOS!$B$5:$B$1005="VENTA")*(MOVIMIENTOS!$C$5:$C$1005="A")*(MOVIMIENTOS!$D$5:$D$1005="jabas")*(MOVIMIENTOS!$A$5:$A$1005&lt;&gt;"")*(MOVIMIENTOS!$A$5:$A$1005&lt;=$A595)*MOVIMIENTOS!$E$5:$E$1005)+SUMPRODUCT((MOVIMIENTOS!$B$5:$B$1005="AJUSTE")*(MOVIMIENTOS!$C$5:$C$1005="A")*(MOVIMIENTOS!$D$5:$D$1005="jabas")*(MOVIMIENTOS!$A$5:$A$1005&lt;&gt;"")*(MOVIMIENTOS!$A$5:$A$1005&lt;=$A595)*MOVIMIENTOS!$E$5:$E$1005))</f>
        <v/>
      </c>
      <c r="C595" t="str">
        <f>IF($A595="","",SUMPRODUCT((MOVIMIENTOS!$B$5:$B$1005="SALDO INICIAL")*(MOVIMIENTOS!$C$5:$C$1005="P")*(MOVIMIENTOS!$D$5:$D$1005="jabas")*(MOVIMIENTOS!$A$5:$A$1005&lt;&gt;"")*(MOVIMIENTOS!$A$5:$A$1005&lt;=$A595)*MOVIMIENTOS!$E$5:$E$1005)+SUMPRODUCT((MOVIMIENTOS!$B$5:$B$1005="PROCESO")*(MOVIMIENTOS!$C$5:$C$1005="P")*(MOVIMIENTOS!$D$5:$D$1005="jabas")*(MOVIMIENTOS!$A$5:$A$1005&lt;&gt;"")*(MOVIMIENTOS!$A$5:$A$1005&lt;=$A595)*MOVIMIENTOS!$E$5:$E$1005)-SUMPRODUCT((MOVIMIENTOS!$B$5:$B$1005="ENVÍO A SUPESA")*(MOVIMIENTOS!$C$5:$C$1005="P")*(MOVIMIENTOS!$D$5:$D$1005="jabas")*(MOVIMIENTOS!$A$5:$A$1005&lt;&gt;"")*(MOVIMIENTOS!$A$5:$A$1005&lt;=$A595)*MOVIMIENTOS!$E$5:$E$1005)+SUMPRODUCT((MOVIMIENTOS!$B$5:$B$1005="DEVOLUCIÓN")*(MOVIMIENTOS!$C$5:$C$1005="P")*(MOVIMIENTOS!$D$5:$D$1005="jabas")*(MOVIMIENTOS!$A$5:$A$1005&lt;&gt;"")*(MOVIMIENTOS!$A$5:$A$1005&lt;=$A595)*MOVIMIENTOS!$E$5:$E$1005)-SUMPRODUCT((MOVIMIENTOS!$B$5:$B$1005="TRASIEGO")*(MOVIMIENTOS!$C$5:$C$1005="P")*(MOVIMIENTOS!$D$5:$D$1005="jabas")*(MOVIMIENTOS!$A$5:$A$1005&lt;&gt;"")*(MOVIMIENTOS!$A$5:$A$1005&lt;=$A595)*MOVIMIENTOS!$E$5:$E$1005)-SUMPRODUCT((MOVIMIENTOS!$B$5:$B$1005="REGALO")*(MOVIMIENTOS!$C$5:$C$1005="P")*(MOVIMIENTOS!$D$5:$D$1005="jabas")*(MOVIMIENTOS!$A$5:$A$1005&lt;&gt;"")*(MOVIMIENTOS!$A$5:$A$1005&lt;=$A595)*MOVIMIENTOS!$E$5:$E$1005)-SUMPRODUCT((MOVIMIENTOS!$B$5:$B$1005="VENTA")*(MOVIMIENTOS!$C$5:$C$1005="P")*(MOVIMIENTOS!$D$5:$D$1005="jabas")*(MOVIMIENTOS!$A$5:$A$1005&lt;&gt;"")*(MOVIMIENTOS!$A$5:$A$1005&lt;=$A595)*MOVIMIENTOS!$E$5:$E$1005)+SUMPRODUCT((MOVIMIENTOS!$B$5:$B$1005="AJUSTE")*(MOVIMIENTOS!$C$5:$C$1005="P")*(MOVIMIENTOS!$D$5:$D$1005="jabas")*(MOVIMIENTOS!$A$5:$A$1005&lt;&gt;"")*(MOVIMIENTOS!$A$5:$A$1005&lt;=$A595)*MOVIMIENTOS!$E$5:$E$1005))</f>
        <v/>
      </c>
      <c r="D595" t="str">
        <f>IF($A595="","",SUMPRODUCT((MOVIMIENTOS!$B$5:$B$1005="SALDO INICIAL")*(MOVIMIENTOS!$C$5:$C$1005="C")*(MOVIMIENTOS!$D$5:$D$1005="jabas")*(MOVIMIENTOS!$A$5:$A$1005&lt;&gt;"")*(MOVIMIENTOS!$A$5:$A$1005&lt;=$A595)*MOVIMIENTOS!$E$5:$E$1005)+SUMPRODUCT((MOVIMIENTOS!$B$5:$B$1005="PROCESO")*(MOVIMIENTOS!$C$5:$C$1005="C")*(MOVIMIENTOS!$D$5:$D$1005="jabas")*(MOVIMIENTOS!$A$5:$A$1005&lt;&gt;"")*(MOVIMIENTOS!$A$5:$A$1005&lt;=$A595)*MOVIMIENTOS!$E$5:$E$1005)-SUMPRODUCT((MOVIMIENTOS!$B$5:$B$1005="ENVÍO A SUPESA")*(MOVIMIENTOS!$C$5:$C$1005="C")*(MOVIMIENTOS!$D$5:$D$1005="jabas")*(MOVIMIENTOS!$A$5:$A$1005&lt;&gt;"")*(MOVIMIENTOS!$A$5:$A$1005&lt;=$A595)*MOVIMIENTOS!$E$5:$E$1005)+SUMPRODUCT((MOVIMIENTOS!$B$5:$B$1005="DEVOLUCIÓN")*(MOVIMIENTOS!$C$5:$C$1005="C")*(MOVIMIENTOS!$D$5:$D$1005="jabas")*(MOVIMIENTOS!$A$5:$A$1005&lt;&gt;"")*(MOVIMIENTOS!$A$5:$A$1005&lt;=$A595)*MOVIMIENTOS!$E$5:$E$1005)-SUMPRODUCT((MOVIMIENTOS!$B$5:$B$1005="TRASIEGO")*(MOVIMIENTOS!$C$5:$C$1005="C")*(MOVIMIENTOS!$D$5:$D$1005="jabas")*(MOVIMIENTOS!$A$5:$A$1005&lt;&gt;"")*(MOVIMIENTOS!$A$5:$A$1005&lt;=$A595)*MOVIMIENTOS!$E$5:$E$1005)-SUMPRODUCT((MOVIMIENTOS!$B$5:$B$1005="REGALO")*(MOVIMIENTOS!$C$5:$C$1005="C")*(MOVIMIENTOS!$D$5:$D$1005="jabas")*(MOVIMIENTOS!$A$5:$A$1005&lt;&gt;"")*(MOVIMIENTOS!$A$5:$A$1005&lt;=$A595)*MOVIMIENTOS!$E$5:$E$1005)-SUMPRODUCT((MOVIMIENTOS!$B$5:$B$1005="VENTA")*(MOVIMIENTOS!$C$5:$C$1005="C")*(MOVIMIENTOS!$D$5:$D$1005="jabas")*(MOVIMIENTOS!$A$5:$A$1005&lt;&gt;"")*(MOVIMIENTOS!$A$5:$A$1005&lt;=$A595)*MOVIMIENTOS!$E$5:$E$1005)+SUMPRODUCT((MOVIMIENTOS!$B$5:$B$1005="AJUSTE")*(MOVIMIENTOS!$C$5:$C$1005="C")*(MOVIMIENTOS!$D$5:$D$1005="jabas")*(MOVIMIENTOS!$A$5:$A$1005&lt;&gt;"")*(MOVIMIENTOS!$A$5:$A$1005&lt;=$A595)*MOVIMIENTOS!$E$5:$E$1005))</f>
        <v/>
      </c>
      <c r="E595" t="str">
        <f>IF($A595="","",SUMPRODUCT((MOVIMIENTOS!$B$5:$B$1005="SALDO INICIAL")*(MOVIMIENTOS!$C$5:$C$1005="M")*(MOVIMIENTOS!$D$5:$D$1005="jabas")*(MOVIMIENTOS!$A$5:$A$1005&lt;&gt;"")*(MOVIMIENTOS!$A$5:$A$1005&lt;=$A595)*MOVIMIENTOS!$E$5:$E$1005)+SUMPRODUCT((MOVIMIENTOS!$B$5:$B$1005="PROCESO")*(MOVIMIENTOS!$C$5:$C$1005="M")*(MOVIMIENTOS!$D$5:$D$1005="jabas")*(MOVIMIENTOS!$A$5:$A$1005&lt;&gt;"")*(MOVIMIENTOS!$A$5:$A$1005&lt;=$A595)*MOVIMIENTOS!$E$5:$E$1005)-SUMPRODUCT((MOVIMIENTOS!$B$5:$B$1005="ENVÍO A SUPESA")*(MOVIMIENTOS!$C$5:$C$1005="M")*(MOVIMIENTOS!$D$5:$D$1005="jabas")*(MOVIMIENTOS!$A$5:$A$1005&lt;&gt;"")*(MOVIMIENTOS!$A$5:$A$1005&lt;=$A595)*MOVIMIENTOS!$E$5:$E$1005)+SUMPRODUCT((MOVIMIENTOS!$B$5:$B$1005="DEVOLUCIÓN")*(MOVIMIENTOS!$C$5:$C$1005="M")*(MOVIMIENTOS!$D$5:$D$1005="jabas")*(MOVIMIENTOS!$A$5:$A$1005&lt;&gt;"")*(MOVIMIENTOS!$A$5:$A$1005&lt;=$A595)*MOVIMIENTOS!$E$5:$E$1005)-SUMPRODUCT((MOVIMIENTOS!$B$5:$B$1005="TRASIEGO")*(MOVIMIENTOS!$C$5:$C$1005="M")*(MOVIMIENTOS!$D$5:$D$1005="jabas")*(MOVIMIENTOS!$A$5:$A$1005&lt;&gt;"")*(MOVIMIENTOS!$A$5:$A$1005&lt;=$A595)*MOVIMIENTOS!$E$5:$E$1005)-SUMPRODUCT((MOVIMIENTOS!$B$5:$B$1005="REGALO")*(MOVIMIENTOS!$C$5:$C$1005="M")*(MOVIMIENTOS!$D$5:$D$1005="jabas")*(MOVIMIENTOS!$A$5:$A$1005&lt;&gt;"")*(MOVIMIENTOS!$A$5:$A$1005&lt;=$A595)*MOVIMIENTOS!$E$5:$E$1005)-SUMPRODUCT((MOVIMIENTOS!$B$5:$B$1005="VENTA")*(MOVIMIENTOS!$C$5:$C$1005="M")*(MOVIMIENTOS!$D$5:$D$1005="jabas")*(MOVIMIENTOS!$A$5:$A$1005&lt;&gt;"")*(MOVIMIENTOS!$A$5:$A$1005&lt;=$A595)*MOVIMIENTOS!$E$5:$E$1005)+SUMPRODUCT((MOVIMIENTOS!$B$5:$B$1005="AJUSTE")*(MOVIMIENTOS!$C$5:$C$1005="M")*(MOVIMIENTOS!$D$5:$D$1005="jabas")*(MOVIMIENTOS!$A$5:$A$1005&lt;&gt;"")*(MOVIMIENTOS!$A$5:$A$1005&lt;=$A595)*MOVIMIENTOS!$E$5:$E$1005))</f>
        <v/>
      </c>
      <c r="F595" s="62" t="str">
        <f>IF($A595="","",SUMPRODUCT((MOVIMIENTOS!$B$5:$B$1005="SALDO INICIAL")*(MOVIMIENTOS!$C$5:$C$1005="Chancho")*(MOVIMIENTOS!$D$5:$D$1005="sacos")*(MOVIMIENTOS!$A$5:$A$1005&lt;&gt;"")*(MOVIMIENTOS!$A$5:$A$1005&lt;=$A595)*MOVIMIENTOS!$E$5:$E$1005)+SUMPRODUCT((MOVIMIENTOS!$B$5:$B$1005="PROCESO")*(MOVIMIENTOS!$C$5:$C$1005="Chancho")*(MOVIMIENTOS!$D$5:$D$1005="sacos")*(MOVIMIENTOS!$A$5:$A$1005&lt;&gt;"")*(MOVIMIENTOS!$A$5:$A$1005&lt;=$A595)*MOVIMIENTOS!$E$5:$E$1005)-SUMPRODUCT((MOVIMIENTOS!$B$5:$B$1005="VENTA CHANCHO")*(MOVIMIENTOS!$C$5:$C$1005="Chancho")*(MOVIMIENTOS!$D$5:$D$1005="sacos")*(MOVIMIENTOS!$A$5:$A$1005&lt;&gt;"")*(MOVIMIENTOS!$A$5:$A$1005&lt;=$A595)*MOVIMIENTOS!$E$5:$E$1005)-SUMPRODUCT((MOVIMIENTOS!$B$5:$B$1005="REGALO")*(MOVIMIENTOS!$C$5:$C$1005="Chancho")*(MOVIMIENTOS!$D$5:$D$1005="sacos")*(MOVIMIENTOS!$A$5:$A$1005&lt;&gt;"")*(MOVIMIENTOS!$A$5:$A$1005&lt;=$A595)*MOVIMIENTOS!$E$5:$E$1005)-SUMPRODUCT((MOVIMIENTOS!$B$5:$B$1005="VENTA")*(MOVIMIENTOS!$C$5:$C$1005="Chancho")*(MOVIMIENTOS!$D$5:$D$1005="sacos")*(MOVIMIENTOS!$A$5:$A$1005&lt;&gt;"")*(MOVIMIENTOS!$A$5:$A$1005&lt;=$A595)*MOVIMIENTOS!$E$5:$E$1005)+SUMPRODUCT((MOVIMIENTOS!$B$5:$B$1005="AJUSTE")*(MOVIMIENTOS!$C$5:$C$1005="Chancho")*(MOVIMIENTOS!$D$5:$D$1005="sacos")*(MOVIMIENTOS!$A$5:$A$1005&lt;&gt;"")*(MOVIMIENTOS!$A$5:$A$1005&lt;=$A595)*MOVIMIENTOS!$E$5:$E$1005))</f>
        <v/>
      </c>
      <c r="G595" s="62" t="str">
        <f t="shared" si="19"/>
        <v/>
      </c>
      <c r="H595" t="str">
        <f>IF($A595="","",SUMPRODUCT((((MOVIMIENTOS!$B$5:$B$1005="SALDO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595)*MOVIMIENTOS!$J$5:$J$1005))</f>
        <v/>
      </c>
      <c r="J595" t="str">
        <f>IF(AND(MOVIMIENTOS!$A600&lt;&gt;"",COUNTIF(MOVIMIENTOS!$A$5:$A599,MOVIMIENTOS!$A600)=0),COUNT(J$4:J594)+1,"")</f>
        <v/>
      </c>
      <c r="K595">
        <f>MOVIMIENTOS!$A600</f>
        <v>0</v>
      </c>
    </row>
    <row r="596" spans="1:11" ht="15" customHeight="1" x14ac:dyDescent="0.2">
      <c r="A596" t="str">
        <f t="shared" si="18"/>
        <v/>
      </c>
      <c r="B596" t="str">
        <f>IF($A596="","",SUMPRODUCT((MOVIMIENTOS!$B$5:$B$1005="SALDO INICIAL")*(MOVIMIENTOS!$C$5:$C$1005="A")*(MOVIMIENTOS!$D$5:$D$1005="jabas")*(MOVIMIENTOS!$A$5:$A$1005&lt;&gt;"")*(MOVIMIENTOS!$A$5:$A$1005&lt;=$A596)*MOVIMIENTOS!$E$5:$E$1005)+SUMPRODUCT((MOVIMIENTOS!$B$5:$B$1005="PROCESO")*(MOVIMIENTOS!$C$5:$C$1005="A")*(MOVIMIENTOS!$D$5:$D$1005="jabas")*(MOVIMIENTOS!$A$5:$A$1005&lt;&gt;"")*(MOVIMIENTOS!$A$5:$A$1005&lt;=$A596)*MOVIMIENTOS!$E$5:$E$1005)-SUMPRODUCT((MOVIMIENTOS!$B$5:$B$1005="ENVÍO A SUPESA")*(MOVIMIENTOS!$C$5:$C$1005="A")*(MOVIMIENTOS!$D$5:$D$1005="jabas")*(MOVIMIENTOS!$A$5:$A$1005&lt;&gt;"")*(MOVIMIENTOS!$A$5:$A$1005&lt;=$A596)*MOVIMIENTOS!$E$5:$E$1005)+SUMPRODUCT((MOVIMIENTOS!$B$5:$B$1005="DEVOLUCIÓN")*(MOVIMIENTOS!$C$5:$C$1005="A")*(MOVIMIENTOS!$D$5:$D$1005="jabas")*(MOVIMIENTOS!$A$5:$A$1005&lt;&gt;"")*(MOVIMIENTOS!$A$5:$A$1005&lt;=$A596)*MOVIMIENTOS!$E$5:$E$1005)-SUMPRODUCT((MOVIMIENTOS!$B$5:$B$1005="TRASIEGO")*(MOVIMIENTOS!$C$5:$C$1005="A")*(MOVIMIENTOS!$D$5:$D$1005="jabas")*(MOVIMIENTOS!$A$5:$A$1005&lt;&gt;"")*(MOVIMIENTOS!$A$5:$A$1005&lt;=$A596)*MOVIMIENTOS!$E$5:$E$1005)-SUMPRODUCT((MOVIMIENTOS!$B$5:$B$1005="REGALO")*(MOVIMIENTOS!$C$5:$C$1005="A")*(MOVIMIENTOS!$D$5:$D$1005="jabas")*(MOVIMIENTOS!$A$5:$A$1005&lt;&gt;"")*(MOVIMIENTOS!$A$5:$A$1005&lt;=$A596)*MOVIMIENTOS!$E$5:$E$1005)-SUMPRODUCT((MOVIMIENTOS!$B$5:$B$1005="VENTA")*(MOVIMIENTOS!$C$5:$C$1005="A")*(MOVIMIENTOS!$D$5:$D$1005="jabas")*(MOVIMIENTOS!$A$5:$A$1005&lt;&gt;"")*(MOVIMIENTOS!$A$5:$A$1005&lt;=$A596)*MOVIMIENTOS!$E$5:$E$1005)+SUMPRODUCT((MOVIMIENTOS!$B$5:$B$1005="AJUSTE")*(MOVIMIENTOS!$C$5:$C$1005="A")*(MOVIMIENTOS!$D$5:$D$1005="jabas")*(MOVIMIENTOS!$A$5:$A$1005&lt;&gt;"")*(MOVIMIENTOS!$A$5:$A$1005&lt;=$A596)*MOVIMIENTOS!$E$5:$E$1005))</f>
        <v/>
      </c>
      <c r="C596" t="str">
        <f>IF($A596="","",SUMPRODUCT((MOVIMIENTOS!$B$5:$B$1005="SALDO INICIAL")*(MOVIMIENTOS!$C$5:$C$1005="P")*(MOVIMIENTOS!$D$5:$D$1005="jabas")*(MOVIMIENTOS!$A$5:$A$1005&lt;&gt;"")*(MOVIMIENTOS!$A$5:$A$1005&lt;=$A596)*MOVIMIENTOS!$E$5:$E$1005)+SUMPRODUCT((MOVIMIENTOS!$B$5:$B$1005="PROCESO")*(MOVIMIENTOS!$C$5:$C$1005="P")*(MOVIMIENTOS!$D$5:$D$1005="jabas")*(MOVIMIENTOS!$A$5:$A$1005&lt;&gt;"")*(MOVIMIENTOS!$A$5:$A$1005&lt;=$A596)*MOVIMIENTOS!$E$5:$E$1005)-SUMPRODUCT((MOVIMIENTOS!$B$5:$B$1005="ENVÍO A SUPESA")*(MOVIMIENTOS!$C$5:$C$1005="P")*(MOVIMIENTOS!$D$5:$D$1005="jabas")*(MOVIMIENTOS!$A$5:$A$1005&lt;&gt;"")*(MOVIMIENTOS!$A$5:$A$1005&lt;=$A596)*MOVIMIENTOS!$E$5:$E$1005)+SUMPRODUCT((MOVIMIENTOS!$B$5:$B$1005="DEVOLUCIÓN")*(MOVIMIENTOS!$C$5:$C$1005="P")*(MOVIMIENTOS!$D$5:$D$1005="jabas")*(MOVIMIENTOS!$A$5:$A$1005&lt;&gt;"")*(MOVIMIENTOS!$A$5:$A$1005&lt;=$A596)*MOVIMIENTOS!$E$5:$E$1005)-SUMPRODUCT((MOVIMIENTOS!$B$5:$B$1005="TRASIEGO")*(MOVIMIENTOS!$C$5:$C$1005="P")*(MOVIMIENTOS!$D$5:$D$1005="jabas")*(MOVIMIENTOS!$A$5:$A$1005&lt;&gt;"")*(MOVIMIENTOS!$A$5:$A$1005&lt;=$A596)*MOVIMIENTOS!$E$5:$E$1005)-SUMPRODUCT((MOVIMIENTOS!$B$5:$B$1005="REGALO")*(MOVIMIENTOS!$C$5:$C$1005="P")*(MOVIMIENTOS!$D$5:$D$1005="jabas")*(MOVIMIENTOS!$A$5:$A$1005&lt;&gt;"")*(MOVIMIENTOS!$A$5:$A$1005&lt;=$A596)*MOVIMIENTOS!$E$5:$E$1005)-SUMPRODUCT((MOVIMIENTOS!$B$5:$B$1005="VENTA")*(MOVIMIENTOS!$C$5:$C$1005="P")*(MOVIMIENTOS!$D$5:$D$1005="jabas")*(MOVIMIENTOS!$A$5:$A$1005&lt;&gt;"")*(MOVIMIENTOS!$A$5:$A$1005&lt;=$A596)*MOVIMIENTOS!$E$5:$E$1005)+SUMPRODUCT((MOVIMIENTOS!$B$5:$B$1005="AJUSTE")*(MOVIMIENTOS!$C$5:$C$1005="P")*(MOVIMIENTOS!$D$5:$D$1005="jabas")*(MOVIMIENTOS!$A$5:$A$1005&lt;&gt;"")*(MOVIMIENTOS!$A$5:$A$1005&lt;=$A596)*MOVIMIENTOS!$E$5:$E$1005))</f>
        <v/>
      </c>
      <c r="D596" t="str">
        <f>IF($A596="","",SUMPRODUCT((MOVIMIENTOS!$B$5:$B$1005="SALDO INICIAL")*(MOVIMIENTOS!$C$5:$C$1005="C")*(MOVIMIENTOS!$D$5:$D$1005="jabas")*(MOVIMIENTOS!$A$5:$A$1005&lt;&gt;"")*(MOVIMIENTOS!$A$5:$A$1005&lt;=$A596)*MOVIMIENTOS!$E$5:$E$1005)+SUMPRODUCT((MOVIMIENTOS!$B$5:$B$1005="PROCESO")*(MOVIMIENTOS!$C$5:$C$1005="C")*(MOVIMIENTOS!$D$5:$D$1005="jabas")*(MOVIMIENTOS!$A$5:$A$1005&lt;&gt;"")*(MOVIMIENTOS!$A$5:$A$1005&lt;=$A596)*MOVIMIENTOS!$E$5:$E$1005)-SUMPRODUCT((MOVIMIENTOS!$B$5:$B$1005="ENVÍO A SUPESA")*(MOVIMIENTOS!$C$5:$C$1005="C")*(MOVIMIENTOS!$D$5:$D$1005="jabas")*(MOVIMIENTOS!$A$5:$A$1005&lt;&gt;"")*(MOVIMIENTOS!$A$5:$A$1005&lt;=$A596)*MOVIMIENTOS!$E$5:$E$1005)+SUMPRODUCT((MOVIMIENTOS!$B$5:$B$1005="DEVOLUCIÓN")*(MOVIMIENTOS!$C$5:$C$1005="C")*(MOVIMIENTOS!$D$5:$D$1005="jabas")*(MOVIMIENTOS!$A$5:$A$1005&lt;&gt;"")*(MOVIMIENTOS!$A$5:$A$1005&lt;=$A596)*MOVIMIENTOS!$E$5:$E$1005)-SUMPRODUCT((MOVIMIENTOS!$B$5:$B$1005="TRASIEGO")*(MOVIMIENTOS!$C$5:$C$1005="C")*(MOVIMIENTOS!$D$5:$D$1005="jabas")*(MOVIMIENTOS!$A$5:$A$1005&lt;&gt;"")*(MOVIMIENTOS!$A$5:$A$1005&lt;=$A596)*MOVIMIENTOS!$E$5:$E$1005)-SUMPRODUCT((MOVIMIENTOS!$B$5:$B$1005="REGALO")*(MOVIMIENTOS!$C$5:$C$1005="C")*(MOVIMIENTOS!$D$5:$D$1005="jabas")*(MOVIMIENTOS!$A$5:$A$1005&lt;&gt;"")*(MOVIMIENTOS!$A$5:$A$1005&lt;=$A596)*MOVIMIENTOS!$E$5:$E$1005)-SUMPRODUCT((MOVIMIENTOS!$B$5:$B$1005="VENTA")*(MOVIMIENTOS!$C$5:$C$1005="C")*(MOVIMIENTOS!$D$5:$D$1005="jabas")*(MOVIMIENTOS!$A$5:$A$1005&lt;&gt;"")*(MOVIMIENTOS!$A$5:$A$1005&lt;=$A596)*MOVIMIENTOS!$E$5:$E$1005)+SUMPRODUCT((MOVIMIENTOS!$B$5:$B$1005="AJUSTE")*(MOVIMIENTOS!$C$5:$C$1005="C")*(MOVIMIENTOS!$D$5:$D$1005="jabas")*(MOVIMIENTOS!$A$5:$A$1005&lt;&gt;"")*(MOVIMIENTOS!$A$5:$A$1005&lt;=$A596)*MOVIMIENTOS!$E$5:$E$1005))</f>
        <v/>
      </c>
      <c r="E596" t="str">
        <f>IF($A596="","",SUMPRODUCT((MOVIMIENTOS!$B$5:$B$1005="SALDO INICIAL")*(MOVIMIENTOS!$C$5:$C$1005="M")*(MOVIMIENTOS!$D$5:$D$1005="jabas")*(MOVIMIENTOS!$A$5:$A$1005&lt;&gt;"")*(MOVIMIENTOS!$A$5:$A$1005&lt;=$A596)*MOVIMIENTOS!$E$5:$E$1005)+SUMPRODUCT((MOVIMIENTOS!$B$5:$B$1005="PROCESO")*(MOVIMIENTOS!$C$5:$C$1005="M")*(MOVIMIENTOS!$D$5:$D$1005="jabas")*(MOVIMIENTOS!$A$5:$A$1005&lt;&gt;"")*(MOVIMIENTOS!$A$5:$A$1005&lt;=$A596)*MOVIMIENTOS!$E$5:$E$1005)-SUMPRODUCT((MOVIMIENTOS!$B$5:$B$1005="ENVÍO A SUPESA")*(MOVIMIENTOS!$C$5:$C$1005="M")*(MOVIMIENTOS!$D$5:$D$1005="jabas")*(MOVIMIENTOS!$A$5:$A$1005&lt;&gt;"")*(MOVIMIENTOS!$A$5:$A$1005&lt;=$A596)*MOVIMIENTOS!$E$5:$E$1005)+SUMPRODUCT((MOVIMIENTOS!$B$5:$B$1005="DEVOLUCIÓN")*(MOVIMIENTOS!$C$5:$C$1005="M")*(MOVIMIENTOS!$D$5:$D$1005="jabas")*(MOVIMIENTOS!$A$5:$A$1005&lt;&gt;"")*(MOVIMIENTOS!$A$5:$A$1005&lt;=$A596)*MOVIMIENTOS!$E$5:$E$1005)-SUMPRODUCT((MOVIMIENTOS!$B$5:$B$1005="TRASIEGO")*(MOVIMIENTOS!$C$5:$C$1005="M")*(MOVIMIENTOS!$D$5:$D$1005="jabas")*(MOVIMIENTOS!$A$5:$A$1005&lt;&gt;"")*(MOVIMIENTOS!$A$5:$A$1005&lt;=$A596)*MOVIMIENTOS!$E$5:$E$1005)-SUMPRODUCT((MOVIMIENTOS!$B$5:$B$1005="REGALO")*(MOVIMIENTOS!$C$5:$C$1005="M")*(MOVIMIENTOS!$D$5:$D$1005="jabas")*(MOVIMIENTOS!$A$5:$A$1005&lt;&gt;"")*(MOVIMIENTOS!$A$5:$A$1005&lt;=$A596)*MOVIMIENTOS!$E$5:$E$1005)-SUMPRODUCT((MOVIMIENTOS!$B$5:$B$1005="VENTA")*(MOVIMIENTOS!$C$5:$C$1005="M")*(MOVIMIENTOS!$D$5:$D$1005="jabas")*(MOVIMIENTOS!$A$5:$A$1005&lt;&gt;"")*(MOVIMIENTOS!$A$5:$A$1005&lt;=$A596)*MOVIMIENTOS!$E$5:$E$1005)+SUMPRODUCT((MOVIMIENTOS!$B$5:$B$1005="AJUSTE")*(MOVIMIENTOS!$C$5:$C$1005="M")*(MOVIMIENTOS!$D$5:$D$1005="jabas")*(MOVIMIENTOS!$A$5:$A$1005&lt;&gt;"")*(MOVIMIENTOS!$A$5:$A$1005&lt;=$A596)*MOVIMIENTOS!$E$5:$E$1005))</f>
        <v/>
      </c>
      <c r="F596" s="62" t="str">
        <f>IF($A596="","",SUMPRODUCT((MOVIMIENTOS!$B$5:$B$1005="SALDO INICIAL")*(MOVIMIENTOS!$C$5:$C$1005="Chancho")*(MOVIMIENTOS!$D$5:$D$1005="sacos")*(MOVIMIENTOS!$A$5:$A$1005&lt;&gt;"")*(MOVIMIENTOS!$A$5:$A$1005&lt;=$A596)*MOVIMIENTOS!$E$5:$E$1005)+SUMPRODUCT((MOVIMIENTOS!$B$5:$B$1005="PROCESO")*(MOVIMIENTOS!$C$5:$C$1005="Chancho")*(MOVIMIENTOS!$D$5:$D$1005="sacos")*(MOVIMIENTOS!$A$5:$A$1005&lt;&gt;"")*(MOVIMIENTOS!$A$5:$A$1005&lt;=$A596)*MOVIMIENTOS!$E$5:$E$1005)-SUMPRODUCT((MOVIMIENTOS!$B$5:$B$1005="VENTA CHANCHO")*(MOVIMIENTOS!$C$5:$C$1005="Chancho")*(MOVIMIENTOS!$D$5:$D$1005="sacos")*(MOVIMIENTOS!$A$5:$A$1005&lt;&gt;"")*(MOVIMIENTOS!$A$5:$A$1005&lt;=$A596)*MOVIMIENTOS!$E$5:$E$1005)-SUMPRODUCT((MOVIMIENTOS!$B$5:$B$1005="REGALO")*(MOVIMIENTOS!$C$5:$C$1005="Chancho")*(MOVIMIENTOS!$D$5:$D$1005="sacos")*(MOVIMIENTOS!$A$5:$A$1005&lt;&gt;"")*(MOVIMIENTOS!$A$5:$A$1005&lt;=$A596)*MOVIMIENTOS!$E$5:$E$1005)-SUMPRODUCT((MOVIMIENTOS!$B$5:$B$1005="VENTA")*(MOVIMIENTOS!$C$5:$C$1005="Chancho")*(MOVIMIENTOS!$D$5:$D$1005="sacos")*(MOVIMIENTOS!$A$5:$A$1005&lt;&gt;"")*(MOVIMIENTOS!$A$5:$A$1005&lt;=$A596)*MOVIMIENTOS!$E$5:$E$1005)+SUMPRODUCT((MOVIMIENTOS!$B$5:$B$1005="AJUSTE")*(MOVIMIENTOS!$C$5:$C$1005="Chancho")*(MOVIMIENTOS!$D$5:$D$1005="sacos")*(MOVIMIENTOS!$A$5:$A$1005&lt;&gt;"")*(MOVIMIENTOS!$A$5:$A$1005&lt;=$A596)*MOVIMIENTOS!$E$5:$E$1005))</f>
        <v/>
      </c>
      <c r="G596" s="62" t="str">
        <f t="shared" si="19"/>
        <v/>
      </c>
      <c r="H596" t="str">
        <f>IF($A596="","",SUMPRODUCT((((MOVIMIENTOS!$B$5:$B$1005="SALDO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596)*MOVIMIENTOS!$J$5:$J$1005))</f>
        <v/>
      </c>
      <c r="J596" t="str">
        <f>IF(AND(MOVIMIENTOS!$A601&lt;&gt;"",COUNTIF(MOVIMIENTOS!$A$5:$A600,MOVIMIENTOS!$A601)=0),COUNT(J$4:J595)+1,"")</f>
        <v/>
      </c>
      <c r="K596">
        <f>MOVIMIENTOS!$A601</f>
        <v>0</v>
      </c>
    </row>
    <row r="597" spans="1:11" ht="15" customHeight="1" x14ac:dyDescent="0.2">
      <c r="A597" t="str">
        <f t="shared" si="18"/>
        <v/>
      </c>
      <c r="B597" t="str">
        <f>IF($A597="","",SUMPRODUCT((MOVIMIENTOS!$B$5:$B$1005="SALDO INICIAL")*(MOVIMIENTOS!$C$5:$C$1005="A")*(MOVIMIENTOS!$D$5:$D$1005="jabas")*(MOVIMIENTOS!$A$5:$A$1005&lt;&gt;"")*(MOVIMIENTOS!$A$5:$A$1005&lt;=$A597)*MOVIMIENTOS!$E$5:$E$1005)+SUMPRODUCT((MOVIMIENTOS!$B$5:$B$1005="PROCESO")*(MOVIMIENTOS!$C$5:$C$1005="A")*(MOVIMIENTOS!$D$5:$D$1005="jabas")*(MOVIMIENTOS!$A$5:$A$1005&lt;&gt;"")*(MOVIMIENTOS!$A$5:$A$1005&lt;=$A597)*MOVIMIENTOS!$E$5:$E$1005)-SUMPRODUCT((MOVIMIENTOS!$B$5:$B$1005="ENVÍO A SUPESA")*(MOVIMIENTOS!$C$5:$C$1005="A")*(MOVIMIENTOS!$D$5:$D$1005="jabas")*(MOVIMIENTOS!$A$5:$A$1005&lt;&gt;"")*(MOVIMIENTOS!$A$5:$A$1005&lt;=$A597)*MOVIMIENTOS!$E$5:$E$1005)+SUMPRODUCT((MOVIMIENTOS!$B$5:$B$1005="DEVOLUCIÓN")*(MOVIMIENTOS!$C$5:$C$1005="A")*(MOVIMIENTOS!$D$5:$D$1005="jabas")*(MOVIMIENTOS!$A$5:$A$1005&lt;&gt;"")*(MOVIMIENTOS!$A$5:$A$1005&lt;=$A597)*MOVIMIENTOS!$E$5:$E$1005)-SUMPRODUCT((MOVIMIENTOS!$B$5:$B$1005="TRASIEGO")*(MOVIMIENTOS!$C$5:$C$1005="A")*(MOVIMIENTOS!$D$5:$D$1005="jabas")*(MOVIMIENTOS!$A$5:$A$1005&lt;&gt;"")*(MOVIMIENTOS!$A$5:$A$1005&lt;=$A597)*MOVIMIENTOS!$E$5:$E$1005)-SUMPRODUCT((MOVIMIENTOS!$B$5:$B$1005="REGALO")*(MOVIMIENTOS!$C$5:$C$1005="A")*(MOVIMIENTOS!$D$5:$D$1005="jabas")*(MOVIMIENTOS!$A$5:$A$1005&lt;&gt;"")*(MOVIMIENTOS!$A$5:$A$1005&lt;=$A597)*MOVIMIENTOS!$E$5:$E$1005)-SUMPRODUCT((MOVIMIENTOS!$B$5:$B$1005="VENTA")*(MOVIMIENTOS!$C$5:$C$1005="A")*(MOVIMIENTOS!$D$5:$D$1005="jabas")*(MOVIMIENTOS!$A$5:$A$1005&lt;&gt;"")*(MOVIMIENTOS!$A$5:$A$1005&lt;=$A597)*MOVIMIENTOS!$E$5:$E$1005)+SUMPRODUCT((MOVIMIENTOS!$B$5:$B$1005="AJUSTE")*(MOVIMIENTOS!$C$5:$C$1005="A")*(MOVIMIENTOS!$D$5:$D$1005="jabas")*(MOVIMIENTOS!$A$5:$A$1005&lt;&gt;"")*(MOVIMIENTOS!$A$5:$A$1005&lt;=$A597)*MOVIMIENTOS!$E$5:$E$1005))</f>
        <v/>
      </c>
      <c r="C597" t="str">
        <f>IF($A597="","",SUMPRODUCT((MOVIMIENTOS!$B$5:$B$1005="SALDO INICIAL")*(MOVIMIENTOS!$C$5:$C$1005="P")*(MOVIMIENTOS!$D$5:$D$1005="jabas")*(MOVIMIENTOS!$A$5:$A$1005&lt;&gt;"")*(MOVIMIENTOS!$A$5:$A$1005&lt;=$A597)*MOVIMIENTOS!$E$5:$E$1005)+SUMPRODUCT((MOVIMIENTOS!$B$5:$B$1005="PROCESO")*(MOVIMIENTOS!$C$5:$C$1005="P")*(MOVIMIENTOS!$D$5:$D$1005="jabas")*(MOVIMIENTOS!$A$5:$A$1005&lt;&gt;"")*(MOVIMIENTOS!$A$5:$A$1005&lt;=$A597)*MOVIMIENTOS!$E$5:$E$1005)-SUMPRODUCT((MOVIMIENTOS!$B$5:$B$1005="ENVÍO A SUPESA")*(MOVIMIENTOS!$C$5:$C$1005="P")*(MOVIMIENTOS!$D$5:$D$1005="jabas")*(MOVIMIENTOS!$A$5:$A$1005&lt;&gt;"")*(MOVIMIENTOS!$A$5:$A$1005&lt;=$A597)*MOVIMIENTOS!$E$5:$E$1005)+SUMPRODUCT((MOVIMIENTOS!$B$5:$B$1005="DEVOLUCIÓN")*(MOVIMIENTOS!$C$5:$C$1005="P")*(MOVIMIENTOS!$D$5:$D$1005="jabas")*(MOVIMIENTOS!$A$5:$A$1005&lt;&gt;"")*(MOVIMIENTOS!$A$5:$A$1005&lt;=$A597)*MOVIMIENTOS!$E$5:$E$1005)-SUMPRODUCT((MOVIMIENTOS!$B$5:$B$1005="TRASIEGO")*(MOVIMIENTOS!$C$5:$C$1005="P")*(MOVIMIENTOS!$D$5:$D$1005="jabas")*(MOVIMIENTOS!$A$5:$A$1005&lt;&gt;"")*(MOVIMIENTOS!$A$5:$A$1005&lt;=$A597)*MOVIMIENTOS!$E$5:$E$1005)-SUMPRODUCT((MOVIMIENTOS!$B$5:$B$1005="REGALO")*(MOVIMIENTOS!$C$5:$C$1005="P")*(MOVIMIENTOS!$D$5:$D$1005="jabas")*(MOVIMIENTOS!$A$5:$A$1005&lt;&gt;"")*(MOVIMIENTOS!$A$5:$A$1005&lt;=$A597)*MOVIMIENTOS!$E$5:$E$1005)-SUMPRODUCT((MOVIMIENTOS!$B$5:$B$1005="VENTA")*(MOVIMIENTOS!$C$5:$C$1005="P")*(MOVIMIENTOS!$D$5:$D$1005="jabas")*(MOVIMIENTOS!$A$5:$A$1005&lt;&gt;"")*(MOVIMIENTOS!$A$5:$A$1005&lt;=$A597)*MOVIMIENTOS!$E$5:$E$1005)+SUMPRODUCT((MOVIMIENTOS!$B$5:$B$1005="AJUSTE")*(MOVIMIENTOS!$C$5:$C$1005="P")*(MOVIMIENTOS!$D$5:$D$1005="jabas")*(MOVIMIENTOS!$A$5:$A$1005&lt;&gt;"")*(MOVIMIENTOS!$A$5:$A$1005&lt;=$A597)*MOVIMIENTOS!$E$5:$E$1005))</f>
        <v/>
      </c>
      <c r="D597" t="str">
        <f>IF($A597="","",SUMPRODUCT((MOVIMIENTOS!$B$5:$B$1005="SALDO INICIAL")*(MOVIMIENTOS!$C$5:$C$1005="C")*(MOVIMIENTOS!$D$5:$D$1005="jabas")*(MOVIMIENTOS!$A$5:$A$1005&lt;&gt;"")*(MOVIMIENTOS!$A$5:$A$1005&lt;=$A597)*MOVIMIENTOS!$E$5:$E$1005)+SUMPRODUCT((MOVIMIENTOS!$B$5:$B$1005="PROCESO")*(MOVIMIENTOS!$C$5:$C$1005="C")*(MOVIMIENTOS!$D$5:$D$1005="jabas")*(MOVIMIENTOS!$A$5:$A$1005&lt;&gt;"")*(MOVIMIENTOS!$A$5:$A$1005&lt;=$A597)*MOVIMIENTOS!$E$5:$E$1005)-SUMPRODUCT((MOVIMIENTOS!$B$5:$B$1005="ENVÍO A SUPESA")*(MOVIMIENTOS!$C$5:$C$1005="C")*(MOVIMIENTOS!$D$5:$D$1005="jabas")*(MOVIMIENTOS!$A$5:$A$1005&lt;&gt;"")*(MOVIMIENTOS!$A$5:$A$1005&lt;=$A597)*MOVIMIENTOS!$E$5:$E$1005)+SUMPRODUCT((MOVIMIENTOS!$B$5:$B$1005="DEVOLUCIÓN")*(MOVIMIENTOS!$C$5:$C$1005="C")*(MOVIMIENTOS!$D$5:$D$1005="jabas")*(MOVIMIENTOS!$A$5:$A$1005&lt;&gt;"")*(MOVIMIENTOS!$A$5:$A$1005&lt;=$A597)*MOVIMIENTOS!$E$5:$E$1005)-SUMPRODUCT((MOVIMIENTOS!$B$5:$B$1005="TRASIEGO")*(MOVIMIENTOS!$C$5:$C$1005="C")*(MOVIMIENTOS!$D$5:$D$1005="jabas")*(MOVIMIENTOS!$A$5:$A$1005&lt;&gt;"")*(MOVIMIENTOS!$A$5:$A$1005&lt;=$A597)*MOVIMIENTOS!$E$5:$E$1005)-SUMPRODUCT((MOVIMIENTOS!$B$5:$B$1005="REGALO")*(MOVIMIENTOS!$C$5:$C$1005="C")*(MOVIMIENTOS!$D$5:$D$1005="jabas")*(MOVIMIENTOS!$A$5:$A$1005&lt;&gt;"")*(MOVIMIENTOS!$A$5:$A$1005&lt;=$A597)*MOVIMIENTOS!$E$5:$E$1005)-SUMPRODUCT((MOVIMIENTOS!$B$5:$B$1005="VENTA")*(MOVIMIENTOS!$C$5:$C$1005="C")*(MOVIMIENTOS!$D$5:$D$1005="jabas")*(MOVIMIENTOS!$A$5:$A$1005&lt;&gt;"")*(MOVIMIENTOS!$A$5:$A$1005&lt;=$A597)*MOVIMIENTOS!$E$5:$E$1005)+SUMPRODUCT((MOVIMIENTOS!$B$5:$B$1005="AJUSTE")*(MOVIMIENTOS!$C$5:$C$1005="C")*(MOVIMIENTOS!$D$5:$D$1005="jabas")*(MOVIMIENTOS!$A$5:$A$1005&lt;&gt;"")*(MOVIMIENTOS!$A$5:$A$1005&lt;=$A597)*MOVIMIENTOS!$E$5:$E$1005))</f>
        <v/>
      </c>
      <c r="E597" t="str">
        <f>IF($A597="","",SUMPRODUCT((MOVIMIENTOS!$B$5:$B$1005="SALDO INICIAL")*(MOVIMIENTOS!$C$5:$C$1005="M")*(MOVIMIENTOS!$D$5:$D$1005="jabas")*(MOVIMIENTOS!$A$5:$A$1005&lt;&gt;"")*(MOVIMIENTOS!$A$5:$A$1005&lt;=$A597)*MOVIMIENTOS!$E$5:$E$1005)+SUMPRODUCT((MOVIMIENTOS!$B$5:$B$1005="PROCESO")*(MOVIMIENTOS!$C$5:$C$1005="M")*(MOVIMIENTOS!$D$5:$D$1005="jabas")*(MOVIMIENTOS!$A$5:$A$1005&lt;&gt;"")*(MOVIMIENTOS!$A$5:$A$1005&lt;=$A597)*MOVIMIENTOS!$E$5:$E$1005)-SUMPRODUCT((MOVIMIENTOS!$B$5:$B$1005="ENVÍO A SUPESA")*(MOVIMIENTOS!$C$5:$C$1005="M")*(MOVIMIENTOS!$D$5:$D$1005="jabas")*(MOVIMIENTOS!$A$5:$A$1005&lt;&gt;"")*(MOVIMIENTOS!$A$5:$A$1005&lt;=$A597)*MOVIMIENTOS!$E$5:$E$1005)+SUMPRODUCT((MOVIMIENTOS!$B$5:$B$1005="DEVOLUCIÓN")*(MOVIMIENTOS!$C$5:$C$1005="M")*(MOVIMIENTOS!$D$5:$D$1005="jabas")*(MOVIMIENTOS!$A$5:$A$1005&lt;&gt;"")*(MOVIMIENTOS!$A$5:$A$1005&lt;=$A597)*MOVIMIENTOS!$E$5:$E$1005)-SUMPRODUCT((MOVIMIENTOS!$B$5:$B$1005="TRASIEGO")*(MOVIMIENTOS!$C$5:$C$1005="M")*(MOVIMIENTOS!$D$5:$D$1005="jabas")*(MOVIMIENTOS!$A$5:$A$1005&lt;&gt;"")*(MOVIMIENTOS!$A$5:$A$1005&lt;=$A597)*MOVIMIENTOS!$E$5:$E$1005)-SUMPRODUCT((MOVIMIENTOS!$B$5:$B$1005="REGALO")*(MOVIMIENTOS!$C$5:$C$1005="M")*(MOVIMIENTOS!$D$5:$D$1005="jabas")*(MOVIMIENTOS!$A$5:$A$1005&lt;&gt;"")*(MOVIMIENTOS!$A$5:$A$1005&lt;=$A597)*MOVIMIENTOS!$E$5:$E$1005)-SUMPRODUCT((MOVIMIENTOS!$B$5:$B$1005="VENTA")*(MOVIMIENTOS!$C$5:$C$1005="M")*(MOVIMIENTOS!$D$5:$D$1005="jabas")*(MOVIMIENTOS!$A$5:$A$1005&lt;&gt;"")*(MOVIMIENTOS!$A$5:$A$1005&lt;=$A597)*MOVIMIENTOS!$E$5:$E$1005)+SUMPRODUCT((MOVIMIENTOS!$B$5:$B$1005="AJUSTE")*(MOVIMIENTOS!$C$5:$C$1005="M")*(MOVIMIENTOS!$D$5:$D$1005="jabas")*(MOVIMIENTOS!$A$5:$A$1005&lt;&gt;"")*(MOVIMIENTOS!$A$5:$A$1005&lt;=$A597)*MOVIMIENTOS!$E$5:$E$1005))</f>
        <v/>
      </c>
      <c r="F597" s="62" t="str">
        <f>IF($A597="","",SUMPRODUCT((MOVIMIENTOS!$B$5:$B$1005="SALDO INICIAL")*(MOVIMIENTOS!$C$5:$C$1005="Chancho")*(MOVIMIENTOS!$D$5:$D$1005="sacos")*(MOVIMIENTOS!$A$5:$A$1005&lt;&gt;"")*(MOVIMIENTOS!$A$5:$A$1005&lt;=$A597)*MOVIMIENTOS!$E$5:$E$1005)+SUMPRODUCT((MOVIMIENTOS!$B$5:$B$1005="PROCESO")*(MOVIMIENTOS!$C$5:$C$1005="Chancho")*(MOVIMIENTOS!$D$5:$D$1005="sacos")*(MOVIMIENTOS!$A$5:$A$1005&lt;&gt;"")*(MOVIMIENTOS!$A$5:$A$1005&lt;=$A597)*MOVIMIENTOS!$E$5:$E$1005)-SUMPRODUCT((MOVIMIENTOS!$B$5:$B$1005="VENTA CHANCHO")*(MOVIMIENTOS!$C$5:$C$1005="Chancho")*(MOVIMIENTOS!$D$5:$D$1005="sacos")*(MOVIMIENTOS!$A$5:$A$1005&lt;&gt;"")*(MOVIMIENTOS!$A$5:$A$1005&lt;=$A597)*MOVIMIENTOS!$E$5:$E$1005)-SUMPRODUCT((MOVIMIENTOS!$B$5:$B$1005="REGALO")*(MOVIMIENTOS!$C$5:$C$1005="Chancho")*(MOVIMIENTOS!$D$5:$D$1005="sacos")*(MOVIMIENTOS!$A$5:$A$1005&lt;&gt;"")*(MOVIMIENTOS!$A$5:$A$1005&lt;=$A597)*MOVIMIENTOS!$E$5:$E$1005)-SUMPRODUCT((MOVIMIENTOS!$B$5:$B$1005="VENTA")*(MOVIMIENTOS!$C$5:$C$1005="Chancho")*(MOVIMIENTOS!$D$5:$D$1005="sacos")*(MOVIMIENTOS!$A$5:$A$1005&lt;&gt;"")*(MOVIMIENTOS!$A$5:$A$1005&lt;=$A597)*MOVIMIENTOS!$E$5:$E$1005)+SUMPRODUCT((MOVIMIENTOS!$B$5:$B$1005="AJUSTE")*(MOVIMIENTOS!$C$5:$C$1005="Chancho")*(MOVIMIENTOS!$D$5:$D$1005="sacos")*(MOVIMIENTOS!$A$5:$A$1005&lt;&gt;"")*(MOVIMIENTOS!$A$5:$A$1005&lt;=$A597)*MOVIMIENTOS!$E$5:$E$1005))</f>
        <v/>
      </c>
      <c r="G597" s="62" t="str">
        <f t="shared" si="19"/>
        <v/>
      </c>
      <c r="H597" t="str">
        <f>IF($A597="","",SUMPRODUCT((((MOVIMIENTOS!$B$5:$B$1005="SALDO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597)*MOVIMIENTOS!$J$5:$J$1005))</f>
        <v/>
      </c>
      <c r="J597" t="str">
        <f>IF(AND(MOVIMIENTOS!$A602&lt;&gt;"",COUNTIF(MOVIMIENTOS!$A$5:$A601,MOVIMIENTOS!$A602)=0),COUNT(J$4:J596)+1,"")</f>
        <v/>
      </c>
      <c r="K597">
        <f>MOVIMIENTOS!$A602</f>
        <v>0</v>
      </c>
    </row>
    <row r="598" spans="1:11" ht="15" customHeight="1" x14ac:dyDescent="0.2">
      <c r="A598" t="str">
        <f t="shared" si="18"/>
        <v/>
      </c>
      <c r="B598" t="str">
        <f>IF($A598="","",SUMPRODUCT((MOVIMIENTOS!$B$5:$B$1005="SALDO INICIAL")*(MOVIMIENTOS!$C$5:$C$1005="A")*(MOVIMIENTOS!$D$5:$D$1005="jabas")*(MOVIMIENTOS!$A$5:$A$1005&lt;&gt;"")*(MOVIMIENTOS!$A$5:$A$1005&lt;=$A598)*MOVIMIENTOS!$E$5:$E$1005)+SUMPRODUCT((MOVIMIENTOS!$B$5:$B$1005="PROCESO")*(MOVIMIENTOS!$C$5:$C$1005="A")*(MOVIMIENTOS!$D$5:$D$1005="jabas")*(MOVIMIENTOS!$A$5:$A$1005&lt;&gt;"")*(MOVIMIENTOS!$A$5:$A$1005&lt;=$A598)*MOVIMIENTOS!$E$5:$E$1005)-SUMPRODUCT((MOVIMIENTOS!$B$5:$B$1005="ENVÍO A SUPESA")*(MOVIMIENTOS!$C$5:$C$1005="A")*(MOVIMIENTOS!$D$5:$D$1005="jabas")*(MOVIMIENTOS!$A$5:$A$1005&lt;&gt;"")*(MOVIMIENTOS!$A$5:$A$1005&lt;=$A598)*MOVIMIENTOS!$E$5:$E$1005)+SUMPRODUCT((MOVIMIENTOS!$B$5:$B$1005="DEVOLUCIÓN")*(MOVIMIENTOS!$C$5:$C$1005="A")*(MOVIMIENTOS!$D$5:$D$1005="jabas")*(MOVIMIENTOS!$A$5:$A$1005&lt;&gt;"")*(MOVIMIENTOS!$A$5:$A$1005&lt;=$A598)*MOVIMIENTOS!$E$5:$E$1005)-SUMPRODUCT((MOVIMIENTOS!$B$5:$B$1005="TRASIEGO")*(MOVIMIENTOS!$C$5:$C$1005="A")*(MOVIMIENTOS!$D$5:$D$1005="jabas")*(MOVIMIENTOS!$A$5:$A$1005&lt;&gt;"")*(MOVIMIENTOS!$A$5:$A$1005&lt;=$A598)*MOVIMIENTOS!$E$5:$E$1005)-SUMPRODUCT((MOVIMIENTOS!$B$5:$B$1005="REGALO")*(MOVIMIENTOS!$C$5:$C$1005="A")*(MOVIMIENTOS!$D$5:$D$1005="jabas")*(MOVIMIENTOS!$A$5:$A$1005&lt;&gt;"")*(MOVIMIENTOS!$A$5:$A$1005&lt;=$A598)*MOVIMIENTOS!$E$5:$E$1005)-SUMPRODUCT((MOVIMIENTOS!$B$5:$B$1005="VENTA")*(MOVIMIENTOS!$C$5:$C$1005="A")*(MOVIMIENTOS!$D$5:$D$1005="jabas")*(MOVIMIENTOS!$A$5:$A$1005&lt;&gt;"")*(MOVIMIENTOS!$A$5:$A$1005&lt;=$A598)*MOVIMIENTOS!$E$5:$E$1005)+SUMPRODUCT((MOVIMIENTOS!$B$5:$B$1005="AJUSTE")*(MOVIMIENTOS!$C$5:$C$1005="A")*(MOVIMIENTOS!$D$5:$D$1005="jabas")*(MOVIMIENTOS!$A$5:$A$1005&lt;&gt;"")*(MOVIMIENTOS!$A$5:$A$1005&lt;=$A598)*MOVIMIENTOS!$E$5:$E$1005))</f>
        <v/>
      </c>
      <c r="C598" t="str">
        <f>IF($A598="","",SUMPRODUCT((MOVIMIENTOS!$B$5:$B$1005="SALDO INICIAL")*(MOVIMIENTOS!$C$5:$C$1005="P")*(MOVIMIENTOS!$D$5:$D$1005="jabas")*(MOVIMIENTOS!$A$5:$A$1005&lt;&gt;"")*(MOVIMIENTOS!$A$5:$A$1005&lt;=$A598)*MOVIMIENTOS!$E$5:$E$1005)+SUMPRODUCT((MOVIMIENTOS!$B$5:$B$1005="PROCESO")*(MOVIMIENTOS!$C$5:$C$1005="P")*(MOVIMIENTOS!$D$5:$D$1005="jabas")*(MOVIMIENTOS!$A$5:$A$1005&lt;&gt;"")*(MOVIMIENTOS!$A$5:$A$1005&lt;=$A598)*MOVIMIENTOS!$E$5:$E$1005)-SUMPRODUCT((MOVIMIENTOS!$B$5:$B$1005="ENVÍO A SUPESA")*(MOVIMIENTOS!$C$5:$C$1005="P")*(MOVIMIENTOS!$D$5:$D$1005="jabas")*(MOVIMIENTOS!$A$5:$A$1005&lt;&gt;"")*(MOVIMIENTOS!$A$5:$A$1005&lt;=$A598)*MOVIMIENTOS!$E$5:$E$1005)+SUMPRODUCT((MOVIMIENTOS!$B$5:$B$1005="DEVOLUCIÓN")*(MOVIMIENTOS!$C$5:$C$1005="P")*(MOVIMIENTOS!$D$5:$D$1005="jabas")*(MOVIMIENTOS!$A$5:$A$1005&lt;&gt;"")*(MOVIMIENTOS!$A$5:$A$1005&lt;=$A598)*MOVIMIENTOS!$E$5:$E$1005)-SUMPRODUCT((MOVIMIENTOS!$B$5:$B$1005="TRASIEGO")*(MOVIMIENTOS!$C$5:$C$1005="P")*(MOVIMIENTOS!$D$5:$D$1005="jabas")*(MOVIMIENTOS!$A$5:$A$1005&lt;&gt;"")*(MOVIMIENTOS!$A$5:$A$1005&lt;=$A598)*MOVIMIENTOS!$E$5:$E$1005)-SUMPRODUCT((MOVIMIENTOS!$B$5:$B$1005="REGALO")*(MOVIMIENTOS!$C$5:$C$1005="P")*(MOVIMIENTOS!$D$5:$D$1005="jabas")*(MOVIMIENTOS!$A$5:$A$1005&lt;&gt;"")*(MOVIMIENTOS!$A$5:$A$1005&lt;=$A598)*MOVIMIENTOS!$E$5:$E$1005)-SUMPRODUCT((MOVIMIENTOS!$B$5:$B$1005="VENTA")*(MOVIMIENTOS!$C$5:$C$1005="P")*(MOVIMIENTOS!$D$5:$D$1005="jabas")*(MOVIMIENTOS!$A$5:$A$1005&lt;&gt;"")*(MOVIMIENTOS!$A$5:$A$1005&lt;=$A598)*MOVIMIENTOS!$E$5:$E$1005)+SUMPRODUCT((MOVIMIENTOS!$B$5:$B$1005="AJUSTE")*(MOVIMIENTOS!$C$5:$C$1005="P")*(MOVIMIENTOS!$D$5:$D$1005="jabas")*(MOVIMIENTOS!$A$5:$A$1005&lt;&gt;"")*(MOVIMIENTOS!$A$5:$A$1005&lt;=$A598)*MOVIMIENTOS!$E$5:$E$1005))</f>
        <v/>
      </c>
      <c r="D598" t="str">
        <f>IF($A598="","",SUMPRODUCT((MOVIMIENTOS!$B$5:$B$1005="SALDO INICIAL")*(MOVIMIENTOS!$C$5:$C$1005="C")*(MOVIMIENTOS!$D$5:$D$1005="jabas")*(MOVIMIENTOS!$A$5:$A$1005&lt;&gt;"")*(MOVIMIENTOS!$A$5:$A$1005&lt;=$A598)*MOVIMIENTOS!$E$5:$E$1005)+SUMPRODUCT((MOVIMIENTOS!$B$5:$B$1005="PROCESO")*(MOVIMIENTOS!$C$5:$C$1005="C")*(MOVIMIENTOS!$D$5:$D$1005="jabas")*(MOVIMIENTOS!$A$5:$A$1005&lt;&gt;"")*(MOVIMIENTOS!$A$5:$A$1005&lt;=$A598)*MOVIMIENTOS!$E$5:$E$1005)-SUMPRODUCT((MOVIMIENTOS!$B$5:$B$1005="ENVÍO A SUPESA")*(MOVIMIENTOS!$C$5:$C$1005="C")*(MOVIMIENTOS!$D$5:$D$1005="jabas")*(MOVIMIENTOS!$A$5:$A$1005&lt;&gt;"")*(MOVIMIENTOS!$A$5:$A$1005&lt;=$A598)*MOVIMIENTOS!$E$5:$E$1005)+SUMPRODUCT((MOVIMIENTOS!$B$5:$B$1005="DEVOLUCIÓN")*(MOVIMIENTOS!$C$5:$C$1005="C")*(MOVIMIENTOS!$D$5:$D$1005="jabas")*(MOVIMIENTOS!$A$5:$A$1005&lt;&gt;"")*(MOVIMIENTOS!$A$5:$A$1005&lt;=$A598)*MOVIMIENTOS!$E$5:$E$1005)-SUMPRODUCT((MOVIMIENTOS!$B$5:$B$1005="TRASIEGO")*(MOVIMIENTOS!$C$5:$C$1005="C")*(MOVIMIENTOS!$D$5:$D$1005="jabas")*(MOVIMIENTOS!$A$5:$A$1005&lt;&gt;"")*(MOVIMIENTOS!$A$5:$A$1005&lt;=$A598)*MOVIMIENTOS!$E$5:$E$1005)-SUMPRODUCT((MOVIMIENTOS!$B$5:$B$1005="REGALO")*(MOVIMIENTOS!$C$5:$C$1005="C")*(MOVIMIENTOS!$D$5:$D$1005="jabas")*(MOVIMIENTOS!$A$5:$A$1005&lt;&gt;"")*(MOVIMIENTOS!$A$5:$A$1005&lt;=$A598)*MOVIMIENTOS!$E$5:$E$1005)-SUMPRODUCT((MOVIMIENTOS!$B$5:$B$1005="VENTA")*(MOVIMIENTOS!$C$5:$C$1005="C")*(MOVIMIENTOS!$D$5:$D$1005="jabas")*(MOVIMIENTOS!$A$5:$A$1005&lt;&gt;"")*(MOVIMIENTOS!$A$5:$A$1005&lt;=$A598)*MOVIMIENTOS!$E$5:$E$1005)+SUMPRODUCT((MOVIMIENTOS!$B$5:$B$1005="AJUSTE")*(MOVIMIENTOS!$C$5:$C$1005="C")*(MOVIMIENTOS!$D$5:$D$1005="jabas")*(MOVIMIENTOS!$A$5:$A$1005&lt;&gt;"")*(MOVIMIENTOS!$A$5:$A$1005&lt;=$A598)*MOVIMIENTOS!$E$5:$E$1005))</f>
        <v/>
      </c>
      <c r="E598" t="str">
        <f>IF($A598="","",SUMPRODUCT((MOVIMIENTOS!$B$5:$B$1005="SALDO INICIAL")*(MOVIMIENTOS!$C$5:$C$1005="M")*(MOVIMIENTOS!$D$5:$D$1005="jabas")*(MOVIMIENTOS!$A$5:$A$1005&lt;&gt;"")*(MOVIMIENTOS!$A$5:$A$1005&lt;=$A598)*MOVIMIENTOS!$E$5:$E$1005)+SUMPRODUCT((MOVIMIENTOS!$B$5:$B$1005="PROCESO")*(MOVIMIENTOS!$C$5:$C$1005="M")*(MOVIMIENTOS!$D$5:$D$1005="jabas")*(MOVIMIENTOS!$A$5:$A$1005&lt;&gt;"")*(MOVIMIENTOS!$A$5:$A$1005&lt;=$A598)*MOVIMIENTOS!$E$5:$E$1005)-SUMPRODUCT((MOVIMIENTOS!$B$5:$B$1005="ENVÍO A SUPESA")*(MOVIMIENTOS!$C$5:$C$1005="M")*(MOVIMIENTOS!$D$5:$D$1005="jabas")*(MOVIMIENTOS!$A$5:$A$1005&lt;&gt;"")*(MOVIMIENTOS!$A$5:$A$1005&lt;=$A598)*MOVIMIENTOS!$E$5:$E$1005)+SUMPRODUCT((MOVIMIENTOS!$B$5:$B$1005="DEVOLUCIÓN")*(MOVIMIENTOS!$C$5:$C$1005="M")*(MOVIMIENTOS!$D$5:$D$1005="jabas")*(MOVIMIENTOS!$A$5:$A$1005&lt;&gt;"")*(MOVIMIENTOS!$A$5:$A$1005&lt;=$A598)*MOVIMIENTOS!$E$5:$E$1005)-SUMPRODUCT((MOVIMIENTOS!$B$5:$B$1005="TRASIEGO")*(MOVIMIENTOS!$C$5:$C$1005="M")*(MOVIMIENTOS!$D$5:$D$1005="jabas")*(MOVIMIENTOS!$A$5:$A$1005&lt;&gt;"")*(MOVIMIENTOS!$A$5:$A$1005&lt;=$A598)*MOVIMIENTOS!$E$5:$E$1005)-SUMPRODUCT((MOVIMIENTOS!$B$5:$B$1005="REGALO")*(MOVIMIENTOS!$C$5:$C$1005="M")*(MOVIMIENTOS!$D$5:$D$1005="jabas")*(MOVIMIENTOS!$A$5:$A$1005&lt;&gt;"")*(MOVIMIENTOS!$A$5:$A$1005&lt;=$A598)*MOVIMIENTOS!$E$5:$E$1005)-SUMPRODUCT((MOVIMIENTOS!$B$5:$B$1005="VENTA")*(MOVIMIENTOS!$C$5:$C$1005="M")*(MOVIMIENTOS!$D$5:$D$1005="jabas")*(MOVIMIENTOS!$A$5:$A$1005&lt;&gt;"")*(MOVIMIENTOS!$A$5:$A$1005&lt;=$A598)*MOVIMIENTOS!$E$5:$E$1005)+SUMPRODUCT((MOVIMIENTOS!$B$5:$B$1005="AJUSTE")*(MOVIMIENTOS!$C$5:$C$1005="M")*(MOVIMIENTOS!$D$5:$D$1005="jabas")*(MOVIMIENTOS!$A$5:$A$1005&lt;&gt;"")*(MOVIMIENTOS!$A$5:$A$1005&lt;=$A598)*MOVIMIENTOS!$E$5:$E$1005))</f>
        <v/>
      </c>
      <c r="F598" s="62" t="str">
        <f>IF($A598="","",SUMPRODUCT((MOVIMIENTOS!$B$5:$B$1005="SALDO INICIAL")*(MOVIMIENTOS!$C$5:$C$1005="Chancho")*(MOVIMIENTOS!$D$5:$D$1005="sacos")*(MOVIMIENTOS!$A$5:$A$1005&lt;&gt;"")*(MOVIMIENTOS!$A$5:$A$1005&lt;=$A598)*MOVIMIENTOS!$E$5:$E$1005)+SUMPRODUCT((MOVIMIENTOS!$B$5:$B$1005="PROCESO")*(MOVIMIENTOS!$C$5:$C$1005="Chancho")*(MOVIMIENTOS!$D$5:$D$1005="sacos")*(MOVIMIENTOS!$A$5:$A$1005&lt;&gt;"")*(MOVIMIENTOS!$A$5:$A$1005&lt;=$A598)*MOVIMIENTOS!$E$5:$E$1005)-SUMPRODUCT((MOVIMIENTOS!$B$5:$B$1005="VENTA CHANCHO")*(MOVIMIENTOS!$C$5:$C$1005="Chancho")*(MOVIMIENTOS!$D$5:$D$1005="sacos")*(MOVIMIENTOS!$A$5:$A$1005&lt;&gt;"")*(MOVIMIENTOS!$A$5:$A$1005&lt;=$A598)*MOVIMIENTOS!$E$5:$E$1005)-SUMPRODUCT((MOVIMIENTOS!$B$5:$B$1005="REGALO")*(MOVIMIENTOS!$C$5:$C$1005="Chancho")*(MOVIMIENTOS!$D$5:$D$1005="sacos")*(MOVIMIENTOS!$A$5:$A$1005&lt;&gt;"")*(MOVIMIENTOS!$A$5:$A$1005&lt;=$A598)*MOVIMIENTOS!$E$5:$E$1005)-SUMPRODUCT((MOVIMIENTOS!$B$5:$B$1005="VENTA")*(MOVIMIENTOS!$C$5:$C$1005="Chancho")*(MOVIMIENTOS!$D$5:$D$1005="sacos")*(MOVIMIENTOS!$A$5:$A$1005&lt;&gt;"")*(MOVIMIENTOS!$A$5:$A$1005&lt;=$A598)*MOVIMIENTOS!$E$5:$E$1005)+SUMPRODUCT((MOVIMIENTOS!$B$5:$B$1005="AJUSTE")*(MOVIMIENTOS!$C$5:$C$1005="Chancho")*(MOVIMIENTOS!$D$5:$D$1005="sacos")*(MOVIMIENTOS!$A$5:$A$1005&lt;&gt;"")*(MOVIMIENTOS!$A$5:$A$1005&lt;=$A598)*MOVIMIENTOS!$E$5:$E$1005))</f>
        <v/>
      </c>
      <c r="G598" s="62" t="str">
        <f t="shared" si="19"/>
        <v/>
      </c>
      <c r="H598" t="str">
        <f>IF($A598="","",SUMPRODUCT((((MOVIMIENTOS!$B$5:$B$1005="SALDO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598)*MOVIMIENTOS!$J$5:$J$1005))</f>
        <v/>
      </c>
      <c r="J598" t="str">
        <f>IF(AND(MOVIMIENTOS!$A603&lt;&gt;"",COUNTIF(MOVIMIENTOS!$A$5:$A602,MOVIMIENTOS!$A603)=0),COUNT(J$4:J597)+1,"")</f>
        <v/>
      </c>
      <c r="K598">
        <f>MOVIMIENTOS!$A603</f>
        <v>0</v>
      </c>
    </row>
    <row r="599" spans="1:11" ht="15" customHeight="1" x14ac:dyDescent="0.2">
      <c r="A599" t="str">
        <f t="shared" si="18"/>
        <v/>
      </c>
      <c r="B599" t="str">
        <f>IF($A599="","",SUMPRODUCT((MOVIMIENTOS!$B$5:$B$1005="SALDO INICIAL")*(MOVIMIENTOS!$C$5:$C$1005="A")*(MOVIMIENTOS!$D$5:$D$1005="jabas")*(MOVIMIENTOS!$A$5:$A$1005&lt;&gt;"")*(MOVIMIENTOS!$A$5:$A$1005&lt;=$A599)*MOVIMIENTOS!$E$5:$E$1005)+SUMPRODUCT((MOVIMIENTOS!$B$5:$B$1005="PROCESO")*(MOVIMIENTOS!$C$5:$C$1005="A")*(MOVIMIENTOS!$D$5:$D$1005="jabas")*(MOVIMIENTOS!$A$5:$A$1005&lt;&gt;"")*(MOVIMIENTOS!$A$5:$A$1005&lt;=$A599)*MOVIMIENTOS!$E$5:$E$1005)-SUMPRODUCT((MOVIMIENTOS!$B$5:$B$1005="ENVÍO A SUPESA")*(MOVIMIENTOS!$C$5:$C$1005="A")*(MOVIMIENTOS!$D$5:$D$1005="jabas")*(MOVIMIENTOS!$A$5:$A$1005&lt;&gt;"")*(MOVIMIENTOS!$A$5:$A$1005&lt;=$A599)*MOVIMIENTOS!$E$5:$E$1005)+SUMPRODUCT((MOVIMIENTOS!$B$5:$B$1005="DEVOLUCIÓN")*(MOVIMIENTOS!$C$5:$C$1005="A")*(MOVIMIENTOS!$D$5:$D$1005="jabas")*(MOVIMIENTOS!$A$5:$A$1005&lt;&gt;"")*(MOVIMIENTOS!$A$5:$A$1005&lt;=$A599)*MOVIMIENTOS!$E$5:$E$1005)-SUMPRODUCT((MOVIMIENTOS!$B$5:$B$1005="TRASIEGO")*(MOVIMIENTOS!$C$5:$C$1005="A")*(MOVIMIENTOS!$D$5:$D$1005="jabas")*(MOVIMIENTOS!$A$5:$A$1005&lt;&gt;"")*(MOVIMIENTOS!$A$5:$A$1005&lt;=$A599)*MOVIMIENTOS!$E$5:$E$1005)-SUMPRODUCT((MOVIMIENTOS!$B$5:$B$1005="REGALO")*(MOVIMIENTOS!$C$5:$C$1005="A")*(MOVIMIENTOS!$D$5:$D$1005="jabas")*(MOVIMIENTOS!$A$5:$A$1005&lt;&gt;"")*(MOVIMIENTOS!$A$5:$A$1005&lt;=$A599)*MOVIMIENTOS!$E$5:$E$1005)-SUMPRODUCT((MOVIMIENTOS!$B$5:$B$1005="VENTA")*(MOVIMIENTOS!$C$5:$C$1005="A")*(MOVIMIENTOS!$D$5:$D$1005="jabas")*(MOVIMIENTOS!$A$5:$A$1005&lt;&gt;"")*(MOVIMIENTOS!$A$5:$A$1005&lt;=$A599)*MOVIMIENTOS!$E$5:$E$1005)+SUMPRODUCT((MOVIMIENTOS!$B$5:$B$1005="AJUSTE")*(MOVIMIENTOS!$C$5:$C$1005="A")*(MOVIMIENTOS!$D$5:$D$1005="jabas")*(MOVIMIENTOS!$A$5:$A$1005&lt;&gt;"")*(MOVIMIENTOS!$A$5:$A$1005&lt;=$A599)*MOVIMIENTOS!$E$5:$E$1005))</f>
        <v/>
      </c>
      <c r="C599" t="str">
        <f>IF($A599="","",SUMPRODUCT((MOVIMIENTOS!$B$5:$B$1005="SALDO INICIAL")*(MOVIMIENTOS!$C$5:$C$1005="P")*(MOVIMIENTOS!$D$5:$D$1005="jabas")*(MOVIMIENTOS!$A$5:$A$1005&lt;&gt;"")*(MOVIMIENTOS!$A$5:$A$1005&lt;=$A599)*MOVIMIENTOS!$E$5:$E$1005)+SUMPRODUCT((MOVIMIENTOS!$B$5:$B$1005="PROCESO")*(MOVIMIENTOS!$C$5:$C$1005="P")*(MOVIMIENTOS!$D$5:$D$1005="jabas")*(MOVIMIENTOS!$A$5:$A$1005&lt;&gt;"")*(MOVIMIENTOS!$A$5:$A$1005&lt;=$A599)*MOVIMIENTOS!$E$5:$E$1005)-SUMPRODUCT((MOVIMIENTOS!$B$5:$B$1005="ENVÍO A SUPESA")*(MOVIMIENTOS!$C$5:$C$1005="P")*(MOVIMIENTOS!$D$5:$D$1005="jabas")*(MOVIMIENTOS!$A$5:$A$1005&lt;&gt;"")*(MOVIMIENTOS!$A$5:$A$1005&lt;=$A599)*MOVIMIENTOS!$E$5:$E$1005)+SUMPRODUCT((MOVIMIENTOS!$B$5:$B$1005="DEVOLUCIÓN")*(MOVIMIENTOS!$C$5:$C$1005="P")*(MOVIMIENTOS!$D$5:$D$1005="jabas")*(MOVIMIENTOS!$A$5:$A$1005&lt;&gt;"")*(MOVIMIENTOS!$A$5:$A$1005&lt;=$A599)*MOVIMIENTOS!$E$5:$E$1005)-SUMPRODUCT((MOVIMIENTOS!$B$5:$B$1005="TRASIEGO")*(MOVIMIENTOS!$C$5:$C$1005="P")*(MOVIMIENTOS!$D$5:$D$1005="jabas")*(MOVIMIENTOS!$A$5:$A$1005&lt;&gt;"")*(MOVIMIENTOS!$A$5:$A$1005&lt;=$A599)*MOVIMIENTOS!$E$5:$E$1005)-SUMPRODUCT((MOVIMIENTOS!$B$5:$B$1005="REGALO")*(MOVIMIENTOS!$C$5:$C$1005="P")*(MOVIMIENTOS!$D$5:$D$1005="jabas")*(MOVIMIENTOS!$A$5:$A$1005&lt;&gt;"")*(MOVIMIENTOS!$A$5:$A$1005&lt;=$A599)*MOVIMIENTOS!$E$5:$E$1005)-SUMPRODUCT((MOVIMIENTOS!$B$5:$B$1005="VENTA")*(MOVIMIENTOS!$C$5:$C$1005="P")*(MOVIMIENTOS!$D$5:$D$1005="jabas")*(MOVIMIENTOS!$A$5:$A$1005&lt;&gt;"")*(MOVIMIENTOS!$A$5:$A$1005&lt;=$A599)*MOVIMIENTOS!$E$5:$E$1005)+SUMPRODUCT((MOVIMIENTOS!$B$5:$B$1005="AJUSTE")*(MOVIMIENTOS!$C$5:$C$1005="P")*(MOVIMIENTOS!$D$5:$D$1005="jabas")*(MOVIMIENTOS!$A$5:$A$1005&lt;&gt;"")*(MOVIMIENTOS!$A$5:$A$1005&lt;=$A599)*MOVIMIENTOS!$E$5:$E$1005))</f>
        <v/>
      </c>
      <c r="D599" t="str">
        <f>IF($A599="","",SUMPRODUCT((MOVIMIENTOS!$B$5:$B$1005="SALDO INICIAL")*(MOVIMIENTOS!$C$5:$C$1005="C")*(MOVIMIENTOS!$D$5:$D$1005="jabas")*(MOVIMIENTOS!$A$5:$A$1005&lt;&gt;"")*(MOVIMIENTOS!$A$5:$A$1005&lt;=$A599)*MOVIMIENTOS!$E$5:$E$1005)+SUMPRODUCT((MOVIMIENTOS!$B$5:$B$1005="PROCESO")*(MOVIMIENTOS!$C$5:$C$1005="C")*(MOVIMIENTOS!$D$5:$D$1005="jabas")*(MOVIMIENTOS!$A$5:$A$1005&lt;&gt;"")*(MOVIMIENTOS!$A$5:$A$1005&lt;=$A599)*MOVIMIENTOS!$E$5:$E$1005)-SUMPRODUCT((MOVIMIENTOS!$B$5:$B$1005="ENVÍO A SUPESA")*(MOVIMIENTOS!$C$5:$C$1005="C")*(MOVIMIENTOS!$D$5:$D$1005="jabas")*(MOVIMIENTOS!$A$5:$A$1005&lt;&gt;"")*(MOVIMIENTOS!$A$5:$A$1005&lt;=$A599)*MOVIMIENTOS!$E$5:$E$1005)+SUMPRODUCT((MOVIMIENTOS!$B$5:$B$1005="DEVOLUCIÓN")*(MOVIMIENTOS!$C$5:$C$1005="C")*(MOVIMIENTOS!$D$5:$D$1005="jabas")*(MOVIMIENTOS!$A$5:$A$1005&lt;&gt;"")*(MOVIMIENTOS!$A$5:$A$1005&lt;=$A599)*MOVIMIENTOS!$E$5:$E$1005)-SUMPRODUCT((MOVIMIENTOS!$B$5:$B$1005="TRASIEGO")*(MOVIMIENTOS!$C$5:$C$1005="C")*(MOVIMIENTOS!$D$5:$D$1005="jabas")*(MOVIMIENTOS!$A$5:$A$1005&lt;&gt;"")*(MOVIMIENTOS!$A$5:$A$1005&lt;=$A599)*MOVIMIENTOS!$E$5:$E$1005)-SUMPRODUCT((MOVIMIENTOS!$B$5:$B$1005="REGALO")*(MOVIMIENTOS!$C$5:$C$1005="C")*(MOVIMIENTOS!$D$5:$D$1005="jabas")*(MOVIMIENTOS!$A$5:$A$1005&lt;&gt;"")*(MOVIMIENTOS!$A$5:$A$1005&lt;=$A599)*MOVIMIENTOS!$E$5:$E$1005)-SUMPRODUCT((MOVIMIENTOS!$B$5:$B$1005="VENTA")*(MOVIMIENTOS!$C$5:$C$1005="C")*(MOVIMIENTOS!$D$5:$D$1005="jabas")*(MOVIMIENTOS!$A$5:$A$1005&lt;&gt;"")*(MOVIMIENTOS!$A$5:$A$1005&lt;=$A599)*MOVIMIENTOS!$E$5:$E$1005)+SUMPRODUCT((MOVIMIENTOS!$B$5:$B$1005="AJUSTE")*(MOVIMIENTOS!$C$5:$C$1005="C")*(MOVIMIENTOS!$D$5:$D$1005="jabas")*(MOVIMIENTOS!$A$5:$A$1005&lt;&gt;"")*(MOVIMIENTOS!$A$5:$A$1005&lt;=$A599)*MOVIMIENTOS!$E$5:$E$1005))</f>
        <v/>
      </c>
      <c r="E599" t="str">
        <f>IF($A599="","",SUMPRODUCT((MOVIMIENTOS!$B$5:$B$1005="SALDO INICIAL")*(MOVIMIENTOS!$C$5:$C$1005="M")*(MOVIMIENTOS!$D$5:$D$1005="jabas")*(MOVIMIENTOS!$A$5:$A$1005&lt;&gt;"")*(MOVIMIENTOS!$A$5:$A$1005&lt;=$A599)*MOVIMIENTOS!$E$5:$E$1005)+SUMPRODUCT((MOVIMIENTOS!$B$5:$B$1005="PROCESO")*(MOVIMIENTOS!$C$5:$C$1005="M")*(MOVIMIENTOS!$D$5:$D$1005="jabas")*(MOVIMIENTOS!$A$5:$A$1005&lt;&gt;"")*(MOVIMIENTOS!$A$5:$A$1005&lt;=$A599)*MOVIMIENTOS!$E$5:$E$1005)-SUMPRODUCT((MOVIMIENTOS!$B$5:$B$1005="ENVÍO A SUPESA")*(MOVIMIENTOS!$C$5:$C$1005="M")*(MOVIMIENTOS!$D$5:$D$1005="jabas")*(MOVIMIENTOS!$A$5:$A$1005&lt;&gt;"")*(MOVIMIENTOS!$A$5:$A$1005&lt;=$A599)*MOVIMIENTOS!$E$5:$E$1005)+SUMPRODUCT((MOVIMIENTOS!$B$5:$B$1005="DEVOLUCIÓN")*(MOVIMIENTOS!$C$5:$C$1005="M")*(MOVIMIENTOS!$D$5:$D$1005="jabas")*(MOVIMIENTOS!$A$5:$A$1005&lt;&gt;"")*(MOVIMIENTOS!$A$5:$A$1005&lt;=$A599)*MOVIMIENTOS!$E$5:$E$1005)-SUMPRODUCT((MOVIMIENTOS!$B$5:$B$1005="TRASIEGO")*(MOVIMIENTOS!$C$5:$C$1005="M")*(MOVIMIENTOS!$D$5:$D$1005="jabas")*(MOVIMIENTOS!$A$5:$A$1005&lt;&gt;"")*(MOVIMIENTOS!$A$5:$A$1005&lt;=$A599)*MOVIMIENTOS!$E$5:$E$1005)-SUMPRODUCT((MOVIMIENTOS!$B$5:$B$1005="REGALO")*(MOVIMIENTOS!$C$5:$C$1005="M")*(MOVIMIENTOS!$D$5:$D$1005="jabas")*(MOVIMIENTOS!$A$5:$A$1005&lt;&gt;"")*(MOVIMIENTOS!$A$5:$A$1005&lt;=$A599)*MOVIMIENTOS!$E$5:$E$1005)-SUMPRODUCT((MOVIMIENTOS!$B$5:$B$1005="VENTA")*(MOVIMIENTOS!$C$5:$C$1005="M")*(MOVIMIENTOS!$D$5:$D$1005="jabas")*(MOVIMIENTOS!$A$5:$A$1005&lt;&gt;"")*(MOVIMIENTOS!$A$5:$A$1005&lt;=$A599)*MOVIMIENTOS!$E$5:$E$1005)+SUMPRODUCT((MOVIMIENTOS!$B$5:$B$1005="AJUSTE")*(MOVIMIENTOS!$C$5:$C$1005="M")*(MOVIMIENTOS!$D$5:$D$1005="jabas")*(MOVIMIENTOS!$A$5:$A$1005&lt;&gt;"")*(MOVIMIENTOS!$A$5:$A$1005&lt;=$A599)*MOVIMIENTOS!$E$5:$E$1005))</f>
        <v/>
      </c>
      <c r="F599" s="62" t="str">
        <f>IF($A599="","",SUMPRODUCT((MOVIMIENTOS!$B$5:$B$1005="SALDO INICIAL")*(MOVIMIENTOS!$C$5:$C$1005="Chancho")*(MOVIMIENTOS!$D$5:$D$1005="sacos")*(MOVIMIENTOS!$A$5:$A$1005&lt;&gt;"")*(MOVIMIENTOS!$A$5:$A$1005&lt;=$A599)*MOVIMIENTOS!$E$5:$E$1005)+SUMPRODUCT((MOVIMIENTOS!$B$5:$B$1005="PROCESO")*(MOVIMIENTOS!$C$5:$C$1005="Chancho")*(MOVIMIENTOS!$D$5:$D$1005="sacos")*(MOVIMIENTOS!$A$5:$A$1005&lt;&gt;"")*(MOVIMIENTOS!$A$5:$A$1005&lt;=$A599)*MOVIMIENTOS!$E$5:$E$1005)-SUMPRODUCT((MOVIMIENTOS!$B$5:$B$1005="VENTA CHANCHO")*(MOVIMIENTOS!$C$5:$C$1005="Chancho")*(MOVIMIENTOS!$D$5:$D$1005="sacos")*(MOVIMIENTOS!$A$5:$A$1005&lt;&gt;"")*(MOVIMIENTOS!$A$5:$A$1005&lt;=$A599)*MOVIMIENTOS!$E$5:$E$1005)-SUMPRODUCT((MOVIMIENTOS!$B$5:$B$1005="REGALO")*(MOVIMIENTOS!$C$5:$C$1005="Chancho")*(MOVIMIENTOS!$D$5:$D$1005="sacos")*(MOVIMIENTOS!$A$5:$A$1005&lt;&gt;"")*(MOVIMIENTOS!$A$5:$A$1005&lt;=$A599)*MOVIMIENTOS!$E$5:$E$1005)-SUMPRODUCT((MOVIMIENTOS!$B$5:$B$1005="VENTA")*(MOVIMIENTOS!$C$5:$C$1005="Chancho")*(MOVIMIENTOS!$D$5:$D$1005="sacos")*(MOVIMIENTOS!$A$5:$A$1005&lt;&gt;"")*(MOVIMIENTOS!$A$5:$A$1005&lt;=$A599)*MOVIMIENTOS!$E$5:$E$1005)+SUMPRODUCT((MOVIMIENTOS!$B$5:$B$1005="AJUSTE")*(MOVIMIENTOS!$C$5:$C$1005="Chancho")*(MOVIMIENTOS!$D$5:$D$1005="sacos")*(MOVIMIENTOS!$A$5:$A$1005&lt;&gt;"")*(MOVIMIENTOS!$A$5:$A$1005&lt;=$A599)*MOVIMIENTOS!$E$5:$E$1005))</f>
        <v/>
      </c>
      <c r="G599" s="62" t="str">
        <f t="shared" si="19"/>
        <v/>
      </c>
      <c r="H599" t="str">
        <f>IF($A599="","",SUMPRODUCT((((MOVIMIENTOS!$B$5:$B$1005="SALDO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599)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599)*MOVIMIENTOS!$J$5:$J$1005))</f>
        <v/>
      </c>
      <c r="J599" t="str">
        <f>IF(AND(MOVIMIENTOS!$A604&lt;&gt;"",COUNTIF(MOVIMIENTOS!$A$5:$A603,MOVIMIENTOS!$A604)=0),COUNT(J$4:J598)+1,"")</f>
        <v/>
      </c>
      <c r="K599">
        <f>MOVIMIENTOS!$A604</f>
        <v>0</v>
      </c>
    </row>
    <row r="600" spans="1:11" ht="15" customHeight="1" x14ac:dyDescent="0.2">
      <c r="A600" t="str">
        <f t="shared" si="18"/>
        <v/>
      </c>
      <c r="B600" t="str">
        <f>IF($A600="","",SUMPRODUCT((MOVIMIENTOS!$B$5:$B$1005="SALDO INICIAL")*(MOVIMIENTOS!$C$5:$C$1005="A")*(MOVIMIENTOS!$D$5:$D$1005="jabas")*(MOVIMIENTOS!$A$5:$A$1005&lt;&gt;"")*(MOVIMIENTOS!$A$5:$A$1005&lt;=$A600)*MOVIMIENTOS!$E$5:$E$1005)+SUMPRODUCT((MOVIMIENTOS!$B$5:$B$1005="PROCESO")*(MOVIMIENTOS!$C$5:$C$1005="A")*(MOVIMIENTOS!$D$5:$D$1005="jabas")*(MOVIMIENTOS!$A$5:$A$1005&lt;&gt;"")*(MOVIMIENTOS!$A$5:$A$1005&lt;=$A600)*MOVIMIENTOS!$E$5:$E$1005)-SUMPRODUCT((MOVIMIENTOS!$B$5:$B$1005="ENVÍO A SUPESA")*(MOVIMIENTOS!$C$5:$C$1005="A")*(MOVIMIENTOS!$D$5:$D$1005="jabas")*(MOVIMIENTOS!$A$5:$A$1005&lt;&gt;"")*(MOVIMIENTOS!$A$5:$A$1005&lt;=$A600)*MOVIMIENTOS!$E$5:$E$1005)+SUMPRODUCT((MOVIMIENTOS!$B$5:$B$1005="DEVOLUCIÓN")*(MOVIMIENTOS!$C$5:$C$1005="A")*(MOVIMIENTOS!$D$5:$D$1005="jabas")*(MOVIMIENTOS!$A$5:$A$1005&lt;&gt;"")*(MOVIMIENTOS!$A$5:$A$1005&lt;=$A600)*MOVIMIENTOS!$E$5:$E$1005)-SUMPRODUCT((MOVIMIENTOS!$B$5:$B$1005="TRASIEGO")*(MOVIMIENTOS!$C$5:$C$1005="A")*(MOVIMIENTOS!$D$5:$D$1005="jabas")*(MOVIMIENTOS!$A$5:$A$1005&lt;&gt;"")*(MOVIMIENTOS!$A$5:$A$1005&lt;=$A600)*MOVIMIENTOS!$E$5:$E$1005)-SUMPRODUCT((MOVIMIENTOS!$B$5:$B$1005="REGALO")*(MOVIMIENTOS!$C$5:$C$1005="A")*(MOVIMIENTOS!$D$5:$D$1005="jabas")*(MOVIMIENTOS!$A$5:$A$1005&lt;&gt;"")*(MOVIMIENTOS!$A$5:$A$1005&lt;=$A600)*MOVIMIENTOS!$E$5:$E$1005)-SUMPRODUCT((MOVIMIENTOS!$B$5:$B$1005="VENTA")*(MOVIMIENTOS!$C$5:$C$1005="A")*(MOVIMIENTOS!$D$5:$D$1005="jabas")*(MOVIMIENTOS!$A$5:$A$1005&lt;&gt;"")*(MOVIMIENTOS!$A$5:$A$1005&lt;=$A600)*MOVIMIENTOS!$E$5:$E$1005)+SUMPRODUCT((MOVIMIENTOS!$B$5:$B$1005="AJUSTE")*(MOVIMIENTOS!$C$5:$C$1005="A")*(MOVIMIENTOS!$D$5:$D$1005="jabas")*(MOVIMIENTOS!$A$5:$A$1005&lt;&gt;"")*(MOVIMIENTOS!$A$5:$A$1005&lt;=$A600)*MOVIMIENTOS!$E$5:$E$1005))</f>
        <v/>
      </c>
      <c r="C600" t="str">
        <f>IF($A600="","",SUMPRODUCT((MOVIMIENTOS!$B$5:$B$1005="SALDO INICIAL")*(MOVIMIENTOS!$C$5:$C$1005="P")*(MOVIMIENTOS!$D$5:$D$1005="jabas")*(MOVIMIENTOS!$A$5:$A$1005&lt;&gt;"")*(MOVIMIENTOS!$A$5:$A$1005&lt;=$A600)*MOVIMIENTOS!$E$5:$E$1005)+SUMPRODUCT((MOVIMIENTOS!$B$5:$B$1005="PROCESO")*(MOVIMIENTOS!$C$5:$C$1005="P")*(MOVIMIENTOS!$D$5:$D$1005="jabas")*(MOVIMIENTOS!$A$5:$A$1005&lt;&gt;"")*(MOVIMIENTOS!$A$5:$A$1005&lt;=$A600)*MOVIMIENTOS!$E$5:$E$1005)-SUMPRODUCT((MOVIMIENTOS!$B$5:$B$1005="ENVÍO A SUPESA")*(MOVIMIENTOS!$C$5:$C$1005="P")*(MOVIMIENTOS!$D$5:$D$1005="jabas")*(MOVIMIENTOS!$A$5:$A$1005&lt;&gt;"")*(MOVIMIENTOS!$A$5:$A$1005&lt;=$A600)*MOVIMIENTOS!$E$5:$E$1005)+SUMPRODUCT((MOVIMIENTOS!$B$5:$B$1005="DEVOLUCIÓN")*(MOVIMIENTOS!$C$5:$C$1005="P")*(MOVIMIENTOS!$D$5:$D$1005="jabas")*(MOVIMIENTOS!$A$5:$A$1005&lt;&gt;"")*(MOVIMIENTOS!$A$5:$A$1005&lt;=$A600)*MOVIMIENTOS!$E$5:$E$1005)-SUMPRODUCT((MOVIMIENTOS!$B$5:$B$1005="TRASIEGO")*(MOVIMIENTOS!$C$5:$C$1005="P")*(MOVIMIENTOS!$D$5:$D$1005="jabas")*(MOVIMIENTOS!$A$5:$A$1005&lt;&gt;"")*(MOVIMIENTOS!$A$5:$A$1005&lt;=$A600)*MOVIMIENTOS!$E$5:$E$1005)-SUMPRODUCT((MOVIMIENTOS!$B$5:$B$1005="REGALO")*(MOVIMIENTOS!$C$5:$C$1005="P")*(MOVIMIENTOS!$D$5:$D$1005="jabas")*(MOVIMIENTOS!$A$5:$A$1005&lt;&gt;"")*(MOVIMIENTOS!$A$5:$A$1005&lt;=$A600)*MOVIMIENTOS!$E$5:$E$1005)-SUMPRODUCT((MOVIMIENTOS!$B$5:$B$1005="VENTA")*(MOVIMIENTOS!$C$5:$C$1005="P")*(MOVIMIENTOS!$D$5:$D$1005="jabas")*(MOVIMIENTOS!$A$5:$A$1005&lt;&gt;"")*(MOVIMIENTOS!$A$5:$A$1005&lt;=$A600)*MOVIMIENTOS!$E$5:$E$1005)+SUMPRODUCT((MOVIMIENTOS!$B$5:$B$1005="AJUSTE")*(MOVIMIENTOS!$C$5:$C$1005="P")*(MOVIMIENTOS!$D$5:$D$1005="jabas")*(MOVIMIENTOS!$A$5:$A$1005&lt;&gt;"")*(MOVIMIENTOS!$A$5:$A$1005&lt;=$A600)*MOVIMIENTOS!$E$5:$E$1005))</f>
        <v/>
      </c>
      <c r="D600" t="str">
        <f>IF($A600="","",SUMPRODUCT((MOVIMIENTOS!$B$5:$B$1005="SALDO INICIAL")*(MOVIMIENTOS!$C$5:$C$1005="C")*(MOVIMIENTOS!$D$5:$D$1005="jabas")*(MOVIMIENTOS!$A$5:$A$1005&lt;&gt;"")*(MOVIMIENTOS!$A$5:$A$1005&lt;=$A600)*MOVIMIENTOS!$E$5:$E$1005)+SUMPRODUCT((MOVIMIENTOS!$B$5:$B$1005="PROCESO")*(MOVIMIENTOS!$C$5:$C$1005="C")*(MOVIMIENTOS!$D$5:$D$1005="jabas")*(MOVIMIENTOS!$A$5:$A$1005&lt;&gt;"")*(MOVIMIENTOS!$A$5:$A$1005&lt;=$A600)*MOVIMIENTOS!$E$5:$E$1005)-SUMPRODUCT((MOVIMIENTOS!$B$5:$B$1005="ENVÍO A SUPESA")*(MOVIMIENTOS!$C$5:$C$1005="C")*(MOVIMIENTOS!$D$5:$D$1005="jabas")*(MOVIMIENTOS!$A$5:$A$1005&lt;&gt;"")*(MOVIMIENTOS!$A$5:$A$1005&lt;=$A600)*MOVIMIENTOS!$E$5:$E$1005)+SUMPRODUCT((MOVIMIENTOS!$B$5:$B$1005="DEVOLUCIÓN")*(MOVIMIENTOS!$C$5:$C$1005="C")*(MOVIMIENTOS!$D$5:$D$1005="jabas")*(MOVIMIENTOS!$A$5:$A$1005&lt;&gt;"")*(MOVIMIENTOS!$A$5:$A$1005&lt;=$A600)*MOVIMIENTOS!$E$5:$E$1005)-SUMPRODUCT((MOVIMIENTOS!$B$5:$B$1005="TRASIEGO")*(MOVIMIENTOS!$C$5:$C$1005="C")*(MOVIMIENTOS!$D$5:$D$1005="jabas")*(MOVIMIENTOS!$A$5:$A$1005&lt;&gt;"")*(MOVIMIENTOS!$A$5:$A$1005&lt;=$A600)*MOVIMIENTOS!$E$5:$E$1005)-SUMPRODUCT((MOVIMIENTOS!$B$5:$B$1005="REGALO")*(MOVIMIENTOS!$C$5:$C$1005="C")*(MOVIMIENTOS!$D$5:$D$1005="jabas")*(MOVIMIENTOS!$A$5:$A$1005&lt;&gt;"")*(MOVIMIENTOS!$A$5:$A$1005&lt;=$A600)*MOVIMIENTOS!$E$5:$E$1005)-SUMPRODUCT((MOVIMIENTOS!$B$5:$B$1005="VENTA")*(MOVIMIENTOS!$C$5:$C$1005="C")*(MOVIMIENTOS!$D$5:$D$1005="jabas")*(MOVIMIENTOS!$A$5:$A$1005&lt;&gt;"")*(MOVIMIENTOS!$A$5:$A$1005&lt;=$A600)*MOVIMIENTOS!$E$5:$E$1005)+SUMPRODUCT((MOVIMIENTOS!$B$5:$B$1005="AJUSTE")*(MOVIMIENTOS!$C$5:$C$1005="C")*(MOVIMIENTOS!$D$5:$D$1005="jabas")*(MOVIMIENTOS!$A$5:$A$1005&lt;&gt;"")*(MOVIMIENTOS!$A$5:$A$1005&lt;=$A600)*MOVIMIENTOS!$E$5:$E$1005))</f>
        <v/>
      </c>
      <c r="E600" t="str">
        <f>IF($A600="","",SUMPRODUCT((MOVIMIENTOS!$B$5:$B$1005="SALDO INICIAL")*(MOVIMIENTOS!$C$5:$C$1005="M")*(MOVIMIENTOS!$D$5:$D$1005="jabas")*(MOVIMIENTOS!$A$5:$A$1005&lt;&gt;"")*(MOVIMIENTOS!$A$5:$A$1005&lt;=$A600)*MOVIMIENTOS!$E$5:$E$1005)+SUMPRODUCT((MOVIMIENTOS!$B$5:$B$1005="PROCESO")*(MOVIMIENTOS!$C$5:$C$1005="M")*(MOVIMIENTOS!$D$5:$D$1005="jabas")*(MOVIMIENTOS!$A$5:$A$1005&lt;&gt;"")*(MOVIMIENTOS!$A$5:$A$1005&lt;=$A600)*MOVIMIENTOS!$E$5:$E$1005)-SUMPRODUCT((MOVIMIENTOS!$B$5:$B$1005="ENVÍO A SUPESA")*(MOVIMIENTOS!$C$5:$C$1005="M")*(MOVIMIENTOS!$D$5:$D$1005="jabas")*(MOVIMIENTOS!$A$5:$A$1005&lt;&gt;"")*(MOVIMIENTOS!$A$5:$A$1005&lt;=$A600)*MOVIMIENTOS!$E$5:$E$1005)+SUMPRODUCT((MOVIMIENTOS!$B$5:$B$1005="DEVOLUCIÓN")*(MOVIMIENTOS!$C$5:$C$1005="M")*(MOVIMIENTOS!$D$5:$D$1005="jabas")*(MOVIMIENTOS!$A$5:$A$1005&lt;&gt;"")*(MOVIMIENTOS!$A$5:$A$1005&lt;=$A600)*MOVIMIENTOS!$E$5:$E$1005)-SUMPRODUCT((MOVIMIENTOS!$B$5:$B$1005="TRASIEGO")*(MOVIMIENTOS!$C$5:$C$1005="M")*(MOVIMIENTOS!$D$5:$D$1005="jabas")*(MOVIMIENTOS!$A$5:$A$1005&lt;&gt;"")*(MOVIMIENTOS!$A$5:$A$1005&lt;=$A600)*MOVIMIENTOS!$E$5:$E$1005)-SUMPRODUCT((MOVIMIENTOS!$B$5:$B$1005="REGALO")*(MOVIMIENTOS!$C$5:$C$1005="M")*(MOVIMIENTOS!$D$5:$D$1005="jabas")*(MOVIMIENTOS!$A$5:$A$1005&lt;&gt;"")*(MOVIMIENTOS!$A$5:$A$1005&lt;=$A600)*MOVIMIENTOS!$E$5:$E$1005)-SUMPRODUCT((MOVIMIENTOS!$B$5:$B$1005="VENTA")*(MOVIMIENTOS!$C$5:$C$1005="M")*(MOVIMIENTOS!$D$5:$D$1005="jabas")*(MOVIMIENTOS!$A$5:$A$1005&lt;&gt;"")*(MOVIMIENTOS!$A$5:$A$1005&lt;=$A600)*MOVIMIENTOS!$E$5:$E$1005)+SUMPRODUCT((MOVIMIENTOS!$B$5:$B$1005="AJUSTE")*(MOVIMIENTOS!$C$5:$C$1005="M")*(MOVIMIENTOS!$D$5:$D$1005="jabas")*(MOVIMIENTOS!$A$5:$A$1005&lt;&gt;"")*(MOVIMIENTOS!$A$5:$A$1005&lt;=$A600)*MOVIMIENTOS!$E$5:$E$1005))</f>
        <v/>
      </c>
      <c r="F600" s="62" t="str">
        <f>IF($A600="","",SUMPRODUCT((MOVIMIENTOS!$B$5:$B$1005="SALDO INICIAL")*(MOVIMIENTOS!$C$5:$C$1005="Chancho")*(MOVIMIENTOS!$D$5:$D$1005="sacos")*(MOVIMIENTOS!$A$5:$A$1005&lt;&gt;"")*(MOVIMIENTOS!$A$5:$A$1005&lt;=$A600)*MOVIMIENTOS!$E$5:$E$1005)+SUMPRODUCT((MOVIMIENTOS!$B$5:$B$1005="PROCESO")*(MOVIMIENTOS!$C$5:$C$1005="Chancho")*(MOVIMIENTOS!$D$5:$D$1005="sacos")*(MOVIMIENTOS!$A$5:$A$1005&lt;&gt;"")*(MOVIMIENTOS!$A$5:$A$1005&lt;=$A600)*MOVIMIENTOS!$E$5:$E$1005)-SUMPRODUCT((MOVIMIENTOS!$B$5:$B$1005="VENTA CHANCHO")*(MOVIMIENTOS!$C$5:$C$1005="Chancho")*(MOVIMIENTOS!$D$5:$D$1005="sacos")*(MOVIMIENTOS!$A$5:$A$1005&lt;&gt;"")*(MOVIMIENTOS!$A$5:$A$1005&lt;=$A600)*MOVIMIENTOS!$E$5:$E$1005)-SUMPRODUCT((MOVIMIENTOS!$B$5:$B$1005="REGALO")*(MOVIMIENTOS!$C$5:$C$1005="Chancho")*(MOVIMIENTOS!$D$5:$D$1005="sacos")*(MOVIMIENTOS!$A$5:$A$1005&lt;&gt;"")*(MOVIMIENTOS!$A$5:$A$1005&lt;=$A600)*MOVIMIENTOS!$E$5:$E$1005)-SUMPRODUCT((MOVIMIENTOS!$B$5:$B$1005="VENTA")*(MOVIMIENTOS!$C$5:$C$1005="Chancho")*(MOVIMIENTOS!$D$5:$D$1005="sacos")*(MOVIMIENTOS!$A$5:$A$1005&lt;&gt;"")*(MOVIMIENTOS!$A$5:$A$1005&lt;=$A600)*MOVIMIENTOS!$E$5:$E$1005)+SUMPRODUCT((MOVIMIENTOS!$B$5:$B$1005="AJUSTE")*(MOVIMIENTOS!$C$5:$C$1005="Chancho")*(MOVIMIENTOS!$D$5:$D$1005="sacos")*(MOVIMIENTOS!$A$5:$A$1005&lt;&gt;"")*(MOVIMIENTOS!$A$5:$A$1005&lt;=$A600)*MOVIMIENTOS!$E$5:$E$1005))</f>
        <v/>
      </c>
      <c r="G600" s="62" t="str">
        <f t="shared" si="19"/>
        <v/>
      </c>
      <c r="H600" t="str">
        <f>IF($A600="","",SUMPRODUCT((((MOVIMIENTOS!$B$5:$B$1005="SALDO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600)*MOVIMIENTOS!$J$5:$J$1005))</f>
        <v/>
      </c>
      <c r="J600" t="str">
        <f>IF(AND(MOVIMIENTOS!$A605&lt;&gt;"",COUNTIF(MOVIMIENTOS!$A$5:$A604,MOVIMIENTOS!$A605)=0),COUNT(J$4:J599)+1,"")</f>
        <v/>
      </c>
      <c r="K600">
        <f>MOVIMIENTOS!$A605</f>
        <v>0</v>
      </c>
    </row>
    <row r="601" spans="1:11" ht="15" customHeight="1" x14ac:dyDescent="0.2">
      <c r="A601" t="str">
        <f t="shared" si="18"/>
        <v/>
      </c>
      <c r="B601" t="str">
        <f>IF($A601="","",SUMPRODUCT((MOVIMIENTOS!$B$5:$B$1005="SALDO INICIAL")*(MOVIMIENTOS!$C$5:$C$1005="A")*(MOVIMIENTOS!$D$5:$D$1005="jabas")*(MOVIMIENTOS!$A$5:$A$1005&lt;&gt;"")*(MOVIMIENTOS!$A$5:$A$1005&lt;=$A601)*MOVIMIENTOS!$E$5:$E$1005)+SUMPRODUCT((MOVIMIENTOS!$B$5:$B$1005="PROCESO")*(MOVIMIENTOS!$C$5:$C$1005="A")*(MOVIMIENTOS!$D$5:$D$1005="jabas")*(MOVIMIENTOS!$A$5:$A$1005&lt;&gt;"")*(MOVIMIENTOS!$A$5:$A$1005&lt;=$A601)*MOVIMIENTOS!$E$5:$E$1005)-SUMPRODUCT((MOVIMIENTOS!$B$5:$B$1005="ENVÍO A SUPESA")*(MOVIMIENTOS!$C$5:$C$1005="A")*(MOVIMIENTOS!$D$5:$D$1005="jabas")*(MOVIMIENTOS!$A$5:$A$1005&lt;&gt;"")*(MOVIMIENTOS!$A$5:$A$1005&lt;=$A601)*MOVIMIENTOS!$E$5:$E$1005)+SUMPRODUCT((MOVIMIENTOS!$B$5:$B$1005="DEVOLUCIÓN")*(MOVIMIENTOS!$C$5:$C$1005="A")*(MOVIMIENTOS!$D$5:$D$1005="jabas")*(MOVIMIENTOS!$A$5:$A$1005&lt;&gt;"")*(MOVIMIENTOS!$A$5:$A$1005&lt;=$A601)*MOVIMIENTOS!$E$5:$E$1005)-SUMPRODUCT((MOVIMIENTOS!$B$5:$B$1005="TRASIEGO")*(MOVIMIENTOS!$C$5:$C$1005="A")*(MOVIMIENTOS!$D$5:$D$1005="jabas")*(MOVIMIENTOS!$A$5:$A$1005&lt;&gt;"")*(MOVIMIENTOS!$A$5:$A$1005&lt;=$A601)*MOVIMIENTOS!$E$5:$E$1005)-SUMPRODUCT((MOVIMIENTOS!$B$5:$B$1005="REGALO")*(MOVIMIENTOS!$C$5:$C$1005="A")*(MOVIMIENTOS!$D$5:$D$1005="jabas")*(MOVIMIENTOS!$A$5:$A$1005&lt;&gt;"")*(MOVIMIENTOS!$A$5:$A$1005&lt;=$A601)*MOVIMIENTOS!$E$5:$E$1005)-SUMPRODUCT((MOVIMIENTOS!$B$5:$B$1005="VENTA")*(MOVIMIENTOS!$C$5:$C$1005="A")*(MOVIMIENTOS!$D$5:$D$1005="jabas")*(MOVIMIENTOS!$A$5:$A$1005&lt;&gt;"")*(MOVIMIENTOS!$A$5:$A$1005&lt;=$A601)*MOVIMIENTOS!$E$5:$E$1005)+SUMPRODUCT((MOVIMIENTOS!$B$5:$B$1005="AJUSTE")*(MOVIMIENTOS!$C$5:$C$1005="A")*(MOVIMIENTOS!$D$5:$D$1005="jabas")*(MOVIMIENTOS!$A$5:$A$1005&lt;&gt;"")*(MOVIMIENTOS!$A$5:$A$1005&lt;=$A601)*MOVIMIENTOS!$E$5:$E$1005))</f>
        <v/>
      </c>
      <c r="C601" t="str">
        <f>IF($A601="","",SUMPRODUCT((MOVIMIENTOS!$B$5:$B$1005="SALDO INICIAL")*(MOVIMIENTOS!$C$5:$C$1005="P")*(MOVIMIENTOS!$D$5:$D$1005="jabas")*(MOVIMIENTOS!$A$5:$A$1005&lt;&gt;"")*(MOVIMIENTOS!$A$5:$A$1005&lt;=$A601)*MOVIMIENTOS!$E$5:$E$1005)+SUMPRODUCT((MOVIMIENTOS!$B$5:$B$1005="PROCESO")*(MOVIMIENTOS!$C$5:$C$1005="P")*(MOVIMIENTOS!$D$5:$D$1005="jabas")*(MOVIMIENTOS!$A$5:$A$1005&lt;&gt;"")*(MOVIMIENTOS!$A$5:$A$1005&lt;=$A601)*MOVIMIENTOS!$E$5:$E$1005)-SUMPRODUCT((MOVIMIENTOS!$B$5:$B$1005="ENVÍO A SUPESA")*(MOVIMIENTOS!$C$5:$C$1005="P")*(MOVIMIENTOS!$D$5:$D$1005="jabas")*(MOVIMIENTOS!$A$5:$A$1005&lt;&gt;"")*(MOVIMIENTOS!$A$5:$A$1005&lt;=$A601)*MOVIMIENTOS!$E$5:$E$1005)+SUMPRODUCT((MOVIMIENTOS!$B$5:$B$1005="DEVOLUCIÓN")*(MOVIMIENTOS!$C$5:$C$1005="P")*(MOVIMIENTOS!$D$5:$D$1005="jabas")*(MOVIMIENTOS!$A$5:$A$1005&lt;&gt;"")*(MOVIMIENTOS!$A$5:$A$1005&lt;=$A601)*MOVIMIENTOS!$E$5:$E$1005)-SUMPRODUCT((MOVIMIENTOS!$B$5:$B$1005="TRASIEGO")*(MOVIMIENTOS!$C$5:$C$1005="P")*(MOVIMIENTOS!$D$5:$D$1005="jabas")*(MOVIMIENTOS!$A$5:$A$1005&lt;&gt;"")*(MOVIMIENTOS!$A$5:$A$1005&lt;=$A601)*MOVIMIENTOS!$E$5:$E$1005)-SUMPRODUCT((MOVIMIENTOS!$B$5:$B$1005="REGALO")*(MOVIMIENTOS!$C$5:$C$1005="P")*(MOVIMIENTOS!$D$5:$D$1005="jabas")*(MOVIMIENTOS!$A$5:$A$1005&lt;&gt;"")*(MOVIMIENTOS!$A$5:$A$1005&lt;=$A601)*MOVIMIENTOS!$E$5:$E$1005)-SUMPRODUCT((MOVIMIENTOS!$B$5:$B$1005="VENTA")*(MOVIMIENTOS!$C$5:$C$1005="P")*(MOVIMIENTOS!$D$5:$D$1005="jabas")*(MOVIMIENTOS!$A$5:$A$1005&lt;&gt;"")*(MOVIMIENTOS!$A$5:$A$1005&lt;=$A601)*MOVIMIENTOS!$E$5:$E$1005)+SUMPRODUCT((MOVIMIENTOS!$B$5:$B$1005="AJUSTE")*(MOVIMIENTOS!$C$5:$C$1005="P")*(MOVIMIENTOS!$D$5:$D$1005="jabas")*(MOVIMIENTOS!$A$5:$A$1005&lt;&gt;"")*(MOVIMIENTOS!$A$5:$A$1005&lt;=$A601)*MOVIMIENTOS!$E$5:$E$1005))</f>
        <v/>
      </c>
      <c r="D601" t="str">
        <f>IF($A601="","",SUMPRODUCT((MOVIMIENTOS!$B$5:$B$1005="SALDO INICIAL")*(MOVIMIENTOS!$C$5:$C$1005="C")*(MOVIMIENTOS!$D$5:$D$1005="jabas")*(MOVIMIENTOS!$A$5:$A$1005&lt;&gt;"")*(MOVIMIENTOS!$A$5:$A$1005&lt;=$A601)*MOVIMIENTOS!$E$5:$E$1005)+SUMPRODUCT((MOVIMIENTOS!$B$5:$B$1005="PROCESO")*(MOVIMIENTOS!$C$5:$C$1005="C")*(MOVIMIENTOS!$D$5:$D$1005="jabas")*(MOVIMIENTOS!$A$5:$A$1005&lt;&gt;"")*(MOVIMIENTOS!$A$5:$A$1005&lt;=$A601)*MOVIMIENTOS!$E$5:$E$1005)-SUMPRODUCT((MOVIMIENTOS!$B$5:$B$1005="ENVÍO A SUPESA")*(MOVIMIENTOS!$C$5:$C$1005="C")*(MOVIMIENTOS!$D$5:$D$1005="jabas")*(MOVIMIENTOS!$A$5:$A$1005&lt;&gt;"")*(MOVIMIENTOS!$A$5:$A$1005&lt;=$A601)*MOVIMIENTOS!$E$5:$E$1005)+SUMPRODUCT((MOVIMIENTOS!$B$5:$B$1005="DEVOLUCIÓN")*(MOVIMIENTOS!$C$5:$C$1005="C")*(MOVIMIENTOS!$D$5:$D$1005="jabas")*(MOVIMIENTOS!$A$5:$A$1005&lt;&gt;"")*(MOVIMIENTOS!$A$5:$A$1005&lt;=$A601)*MOVIMIENTOS!$E$5:$E$1005)-SUMPRODUCT((MOVIMIENTOS!$B$5:$B$1005="TRASIEGO")*(MOVIMIENTOS!$C$5:$C$1005="C")*(MOVIMIENTOS!$D$5:$D$1005="jabas")*(MOVIMIENTOS!$A$5:$A$1005&lt;&gt;"")*(MOVIMIENTOS!$A$5:$A$1005&lt;=$A601)*MOVIMIENTOS!$E$5:$E$1005)-SUMPRODUCT((MOVIMIENTOS!$B$5:$B$1005="REGALO")*(MOVIMIENTOS!$C$5:$C$1005="C")*(MOVIMIENTOS!$D$5:$D$1005="jabas")*(MOVIMIENTOS!$A$5:$A$1005&lt;&gt;"")*(MOVIMIENTOS!$A$5:$A$1005&lt;=$A601)*MOVIMIENTOS!$E$5:$E$1005)-SUMPRODUCT((MOVIMIENTOS!$B$5:$B$1005="VENTA")*(MOVIMIENTOS!$C$5:$C$1005="C")*(MOVIMIENTOS!$D$5:$D$1005="jabas")*(MOVIMIENTOS!$A$5:$A$1005&lt;&gt;"")*(MOVIMIENTOS!$A$5:$A$1005&lt;=$A601)*MOVIMIENTOS!$E$5:$E$1005)+SUMPRODUCT((MOVIMIENTOS!$B$5:$B$1005="AJUSTE")*(MOVIMIENTOS!$C$5:$C$1005="C")*(MOVIMIENTOS!$D$5:$D$1005="jabas")*(MOVIMIENTOS!$A$5:$A$1005&lt;&gt;"")*(MOVIMIENTOS!$A$5:$A$1005&lt;=$A601)*MOVIMIENTOS!$E$5:$E$1005))</f>
        <v/>
      </c>
      <c r="E601" t="str">
        <f>IF($A601="","",SUMPRODUCT((MOVIMIENTOS!$B$5:$B$1005="SALDO INICIAL")*(MOVIMIENTOS!$C$5:$C$1005="M")*(MOVIMIENTOS!$D$5:$D$1005="jabas")*(MOVIMIENTOS!$A$5:$A$1005&lt;&gt;"")*(MOVIMIENTOS!$A$5:$A$1005&lt;=$A601)*MOVIMIENTOS!$E$5:$E$1005)+SUMPRODUCT((MOVIMIENTOS!$B$5:$B$1005="PROCESO")*(MOVIMIENTOS!$C$5:$C$1005="M")*(MOVIMIENTOS!$D$5:$D$1005="jabas")*(MOVIMIENTOS!$A$5:$A$1005&lt;&gt;"")*(MOVIMIENTOS!$A$5:$A$1005&lt;=$A601)*MOVIMIENTOS!$E$5:$E$1005)-SUMPRODUCT((MOVIMIENTOS!$B$5:$B$1005="ENVÍO A SUPESA")*(MOVIMIENTOS!$C$5:$C$1005="M")*(MOVIMIENTOS!$D$5:$D$1005="jabas")*(MOVIMIENTOS!$A$5:$A$1005&lt;&gt;"")*(MOVIMIENTOS!$A$5:$A$1005&lt;=$A601)*MOVIMIENTOS!$E$5:$E$1005)+SUMPRODUCT((MOVIMIENTOS!$B$5:$B$1005="DEVOLUCIÓN")*(MOVIMIENTOS!$C$5:$C$1005="M")*(MOVIMIENTOS!$D$5:$D$1005="jabas")*(MOVIMIENTOS!$A$5:$A$1005&lt;&gt;"")*(MOVIMIENTOS!$A$5:$A$1005&lt;=$A601)*MOVIMIENTOS!$E$5:$E$1005)-SUMPRODUCT((MOVIMIENTOS!$B$5:$B$1005="TRASIEGO")*(MOVIMIENTOS!$C$5:$C$1005="M")*(MOVIMIENTOS!$D$5:$D$1005="jabas")*(MOVIMIENTOS!$A$5:$A$1005&lt;&gt;"")*(MOVIMIENTOS!$A$5:$A$1005&lt;=$A601)*MOVIMIENTOS!$E$5:$E$1005)-SUMPRODUCT((MOVIMIENTOS!$B$5:$B$1005="REGALO")*(MOVIMIENTOS!$C$5:$C$1005="M")*(MOVIMIENTOS!$D$5:$D$1005="jabas")*(MOVIMIENTOS!$A$5:$A$1005&lt;&gt;"")*(MOVIMIENTOS!$A$5:$A$1005&lt;=$A601)*MOVIMIENTOS!$E$5:$E$1005)-SUMPRODUCT((MOVIMIENTOS!$B$5:$B$1005="VENTA")*(MOVIMIENTOS!$C$5:$C$1005="M")*(MOVIMIENTOS!$D$5:$D$1005="jabas")*(MOVIMIENTOS!$A$5:$A$1005&lt;&gt;"")*(MOVIMIENTOS!$A$5:$A$1005&lt;=$A601)*MOVIMIENTOS!$E$5:$E$1005)+SUMPRODUCT((MOVIMIENTOS!$B$5:$B$1005="AJUSTE")*(MOVIMIENTOS!$C$5:$C$1005="M")*(MOVIMIENTOS!$D$5:$D$1005="jabas")*(MOVIMIENTOS!$A$5:$A$1005&lt;&gt;"")*(MOVIMIENTOS!$A$5:$A$1005&lt;=$A601)*MOVIMIENTOS!$E$5:$E$1005))</f>
        <v/>
      </c>
      <c r="F601" s="62" t="str">
        <f>IF($A601="","",SUMPRODUCT((MOVIMIENTOS!$B$5:$B$1005="SALDO INICIAL")*(MOVIMIENTOS!$C$5:$C$1005="Chancho")*(MOVIMIENTOS!$D$5:$D$1005="sacos")*(MOVIMIENTOS!$A$5:$A$1005&lt;&gt;"")*(MOVIMIENTOS!$A$5:$A$1005&lt;=$A601)*MOVIMIENTOS!$E$5:$E$1005)+SUMPRODUCT((MOVIMIENTOS!$B$5:$B$1005="PROCESO")*(MOVIMIENTOS!$C$5:$C$1005="Chancho")*(MOVIMIENTOS!$D$5:$D$1005="sacos")*(MOVIMIENTOS!$A$5:$A$1005&lt;&gt;"")*(MOVIMIENTOS!$A$5:$A$1005&lt;=$A601)*MOVIMIENTOS!$E$5:$E$1005)-SUMPRODUCT((MOVIMIENTOS!$B$5:$B$1005="VENTA CHANCHO")*(MOVIMIENTOS!$C$5:$C$1005="Chancho")*(MOVIMIENTOS!$D$5:$D$1005="sacos")*(MOVIMIENTOS!$A$5:$A$1005&lt;&gt;"")*(MOVIMIENTOS!$A$5:$A$1005&lt;=$A601)*MOVIMIENTOS!$E$5:$E$1005)-SUMPRODUCT((MOVIMIENTOS!$B$5:$B$1005="REGALO")*(MOVIMIENTOS!$C$5:$C$1005="Chancho")*(MOVIMIENTOS!$D$5:$D$1005="sacos")*(MOVIMIENTOS!$A$5:$A$1005&lt;&gt;"")*(MOVIMIENTOS!$A$5:$A$1005&lt;=$A601)*MOVIMIENTOS!$E$5:$E$1005)-SUMPRODUCT((MOVIMIENTOS!$B$5:$B$1005="VENTA")*(MOVIMIENTOS!$C$5:$C$1005="Chancho")*(MOVIMIENTOS!$D$5:$D$1005="sacos")*(MOVIMIENTOS!$A$5:$A$1005&lt;&gt;"")*(MOVIMIENTOS!$A$5:$A$1005&lt;=$A601)*MOVIMIENTOS!$E$5:$E$1005)+SUMPRODUCT((MOVIMIENTOS!$B$5:$B$1005="AJUSTE")*(MOVIMIENTOS!$C$5:$C$1005="Chancho")*(MOVIMIENTOS!$D$5:$D$1005="sacos")*(MOVIMIENTOS!$A$5:$A$1005&lt;&gt;"")*(MOVIMIENTOS!$A$5:$A$1005&lt;=$A601)*MOVIMIENTOS!$E$5:$E$1005))</f>
        <v/>
      </c>
      <c r="G601" s="62" t="str">
        <f t="shared" si="19"/>
        <v/>
      </c>
      <c r="H601" t="str">
        <f>IF($A601="","",SUMPRODUCT((((MOVIMIENTOS!$B$5:$B$1005="SALDO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601)*MOVIMIENTOS!$J$5:$J$1005))</f>
        <v/>
      </c>
      <c r="J601" t="str">
        <f>IF(AND(MOVIMIENTOS!$A606&lt;&gt;"",COUNTIF(MOVIMIENTOS!$A$5:$A605,MOVIMIENTOS!$A606)=0),COUNT(J$4:J600)+1,"")</f>
        <v/>
      </c>
      <c r="K601">
        <f>MOVIMIENTOS!$A606</f>
        <v>0</v>
      </c>
    </row>
    <row r="602" spans="1:11" ht="15" customHeight="1" x14ac:dyDescent="0.2">
      <c r="A602" t="str">
        <f t="shared" si="18"/>
        <v/>
      </c>
      <c r="B602" t="str">
        <f>IF($A602="","",SUMPRODUCT((MOVIMIENTOS!$B$5:$B$1005="SALDO INICIAL")*(MOVIMIENTOS!$C$5:$C$1005="A")*(MOVIMIENTOS!$D$5:$D$1005="jabas")*(MOVIMIENTOS!$A$5:$A$1005&lt;&gt;"")*(MOVIMIENTOS!$A$5:$A$1005&lt;=$A602)*MOVIMIENTOS!$E$5:$E$1005)+SUMPRODUCT((MOVIMIENTOS!$B$5:$B$1005="PROCESO")*(MOVIMIENTOS!$C$5:$C$1005="A")*(MOVIMIENTOS!$D$5:$D$1005="jabas")*(MOVIMIENTOS!$A$5:$A$1005&lt;&gt;"")*(MOVIMIENTOS!$A$5:$A$1005&lt;=$A602)*MOVIMIENTOS!$E$5:$E$1005)-SUMPRODUCT((MOVIMIENTOS!$B$5:$B$1005="ENVÍO A SUPESA")*(MOVIMIENTOS!$C$5:$C$1005="A")*(MOVIMIENTOS!$D$5:$D$1005="jabas")*(MOVIMIENTOS!$A$5:$A$1005&lt;&gt;"")*(MOVIMIENTOS!$A$5:$A$1005&lt;=$A602)*MOVIMIENTOS!$E$5:$E$1005)+SUMPRODUCT((MOVIMIENTOS!$B$5:$B$1005="DEVOLUCIÓN")*(MOVIMIENTOS!$C$5:$C$1005="A")*(MOVIMIENTOS!$D$5:$D$1005="jabas")*(MOVIMIENTOS!$A$5:$A$1005&lt;&gt;"")*(MOVIMIENTOS!$A$5:$A$1005&lt;=$A602)*MOVIMIENTOS!$E$5:$E$1005)-SUMPRODUCT((MOVIMIENTOS!$B$5:$B$1005="TRASIEGO")*(MOVIMIENTOS!$C$5:$C$1005="A")*(MOVIMIENTOS!$D$5:$D$1005="jabas")*(MOVIMIENTOS!$A$5:$A$1005&lt;&gt;"")*(MOVIMIENTOS!$A$5:$A$1005&lt;=$A602)*MOVIMIENTOS!$E$5:$E$1005)-SUMPRODUCT((MOVIMIENTOS!$B$5:$B$1005="REGALO")*(MOVIMIENTOS!$C$5:$C$1005="A")*(MOVIMIENTOS!$D$5:$D$1005="jabas")*(MOVIMIENTOS!$A$5:$A$1005&lt;&gt;"")*(MOVIMIENTOS!$A$5:$A$1005&lt;=$A602)*MOVIMIENTOS!$E$5:$E$1005)-SUMPRODUCT((MOVIMIENTOS!$B$5:$B$1005="VENTA")*(MOVIMIENTOS!$C$5:$C$1005="A")*(MOVIMIENTOS!$D$5:$D$1005="jabas")*(MOVIMIENTOS!$A$5:$A$1005&lt;&gt;"")*(MOVIMIENTOS!$A$5:$A$1005&lt;=$A602)*MOVIMIENTOS!$E$5:$E$1005)+SUMPRODUCT((MOVIMIENTOS!$B$5:$B$1005="AJUSTE")*(MOVIMIENTOS!$C$5:$C$1005="A")*(MOVIMIENTOS!$D$5:$D$1005="jabas")*(MOVIMIENTOS!$A$5:$A$1005&lt;&gt;"")*(MOVIMIENTOS!$A$5:$A$1005&lt;=$A602)*MOVIMIENTOS!$E$5:$E$1005))</f>
        <v/>
      </c>
      <c r="C602" t="str">
        <f>IF($A602="","",SUMPRODUCT((MOVIMIENTOS!$B$5:$B$1005="SALDO INICIAL")*(MOVIMIENTOS!$C$5:$C$1005="P")*(MOVIMIENTOS!$D$5:$D$1005="jabas")*(MOVIMIENTOS!$A$5:$A$1005&lt;&gt;"")*(MOVIMIENTOS!$A$5:$A$1005&lt;=$A602)*MOVIMIENTOS!$E$5:$E$1005)+SUMPRODUCT((MOVIMIENTOS!$B$5:$B$1005="PROCESO")*(MOVIMIENTOS!$C$5:$C$1005="P")*(MOVIMIENTOS!$D$5:$D$1005="jabas")*(MOVIMIENTOS!$A$5:$A$1005&lt;&gt;"")*(MOVIMIENTOS!$A$5:$A$1005&lt;=$A602)*MOVIMIENTOS!$E$5:$E$1005)-SUMPRODUCT((MOVIMIENTOS!$B$5:$B$1005="ENVÍO A SUPESA")*(MOVIMIENTOS!$C$5:$C$1005="P")*(MOVIMIENTOS!$D$5:$D$1005="jabas")*(MOVIMIENTOS!$A$5:$A$1005&lt;&gt;"")*(MOVIMIENTOS!$A$5:$A$1005&lt;=$A602)*MOVIMIENTOS!$E$5:$E$1005)+SUMPRODUCT((MOVIMIENTOS!$B$5:$B$1005="DEVOLUCIÓN")*(MOVIMIENTOS!$C$5:$C$1005="P")*(MOVIMIENTOS!$D$5:$D$1005="jabas")*(MOVIMIENTOS!$A$5:$A$1005&lt;&gt;"")*(MOVIMIENTOS!$A$5:$A$1005&lt;=$A602)*MOVIMIENTOS!$E$5:$E$1005)-SUMPRODUCT((MOVIMIENTOS!$B$5:$B$1005="TRASIEGO")*(MOVIMIENTOS!$C$5:$C$1005="P")*(MOVIMIENTOS!$D$5:$D$1005="jabas")*(MOVIMIENTOS!$A$5:$A$1005&lt;&gt;"")*(MOVIMIENTOS!$A$5:$A$1005&lt;=$A602)*MOVIMIENTOS!$E$5:$E$1005)-SUMPRODUCT((MOVIMIENTOS!$B$5:$B$1005="REGALO")*(MOVIMIENTOS!$C$5:$C$1005="P")*(MOVIMIENTOS!$D$5:$D$1005="jabas")*(MOVIMIENTOS!$A$5:$A$1005&lt;&gt;"")*(MOVIMIENTOS!$A$5:$A$1005&lt;=$A602)*MOVIMIENTOS!$E$5:$E$1005)-SUMPRODUCT((MOVIMIENTOS!$B$5:$B$1005="VENTA")*(MOVIMIENTOS!$C$5:$C$1005="P")*(MOVIMIENTOS!$D$5:$D$1005="jabas")*(MOVIMIENTOS!$A$5:$A$1005&lt;&gt;"")*(MOVIMIENTOS!$A$5:$A$1005&lt;=$A602)*MOVIMIENTOS!$E$5:$E$1005)+SUMPRODUCT((MOVIMIENTOS!$B$5:$B$1005="AJUSTE")*(MOVIMIENTOS!$C$5:$C$1005="P")*(MOVIMIENTOS!$D$5:$D$1005="jabas")*(MOVIMIENTOS!$A$5:$A$1005&lt;&gt;"")*(MOVIMIENTOS!$A$5:$A$1005&lt;=$A602)*MOVIMIENTOS!$E$5:$E$1005))</f>
        <v/>
      </c>
      <c r="D602" t="str">
        <f>IF($A602="","",SUMPRODUCT((MOVIMIENTOS!$B$5:$B$1005="SALDO INICIAL")*(MOVIMIENTOS!$C$5:$C$1005="C")*(MOVIMIENTOS!$D$5:$D$1005="jabas")*(MOVIMIENTOS!$A$5:$A$1005&lt;&gt;"")*(MOVIMIENTOS!$A$5:$A$1005&lt;=$A602)*MOVIMIENTOS!$E$5:$E$1005)+SUMPRODUCT((MOVIMIENTOS!$B$5:$B$1005="PROCESO")*(MOVIMIENTOS!$C$5:$C$1005="C")*(MOVIMIENTOS!$D$5:$D$1005="jabas")*(MOVIMIENTOS!$A$5:$A$1005&lt;&gt;"")*(MOVIMIENTOS!$A$5:$A$1005&lt;=$A602)*MOVIMIENTOS!$E$5:$E$1005)-SUMPRODUCT((MOVIMIENTOS!$B$5:$B$1005="ENVÍO A SUPESA")*(MOVIMIENTOS!$C$5:$C$1005="C")*(MOVIMIENTOS!$D$5:$D$1005="jabas")*(MOVIMIENTOS!$A$5:$A$1005&lt;&gt;"")*(MOVIMIENTOS!$A$5:$A$1005&lt;=$A602)*MOVIMIENTOS!$E$5:$E$1005)+SUMPRODUCT((MOVIMIENTOS!$B$5:$B$1005="DEVOLUCIÓN")*(MOVIMIENTOS!$C$5:$C$1005="C")*(MOVIMIENTOS!$D$5:$D$1005="jabas")*(MOVIMIENTOS!$A$5:$A$1005&lt;&gt;"")*(MOVIMIENTOS!$A$5:$A$1005&lt;=$A602)*MOVIMIENTOS!$E$5:$E$1005)-SUMPRODUCT((MOVIMIENTOS!$B$5:$B$1005="TRASIEGO")*(MOVIMIENTOS!$C$5:$C$1005="C")*(MOVIMIENTOS!$D$5:$D$1005="jabas")*(MOVIMIENTOS!$A$5:$A$1005&lt;&gt;"")*(MOVIMIENTOS!$A$5:$A$1005&lt;=$A602)*MOVIMIENTOS!$E$5:$E$1005)-SUMPRODUCT((MOVIMIENTOS!$B$5:$B$1005="REGALO")*(MOVIMIENTOS!$C$5:$C$1005="C")*(MOVIMIENTOS!$D$5:$D$1005="jabas")*(MOVIMIENTOS!$A$5:$A$1005&lt;&gt;"")*(MOVIMIENTOS!$A$5:$A$1005&lt;=$A602)*MOVIMIENTOS!$E$5:$E$1005)-SUMPRODUCT((MOVIMIENTOS!$B$5:$B$1005="VENTA")*(MOVIMIENTOS!$C$5:$C$1005="C")*(MOVIMIENTOS!$D$5:$D$1005="jabas")*(MOVIMIENTOS!$A$5:$A$1005&lt;&gt;"")*(MOVIMIENTOS!$A$5:$A$1005&lt;=$A602)*MOVIMIENTOS!$E$5:$E$1005)+SUMPRODUCT((MOVIMIENTOS!$B$5:$B$1005="AJUSTE")*(MOVIMIENTOS!$C$5:$C$1005="C")*(MOVIMIENTOS!$D$5:$D$1005="jabas")*(MOVIMIENTOS!$A$5:$A$1005&lt;&gt;"")*(MOVIMIENTOS!$A$5:$A$1005&lt;=$A602)*MOVIMIENTOS!$E$5:$E$1005))</f>
        <v/>
      </c>
      <c r="E602" t="str">
        <f>IF($A602="","",SUMPRODUCT((MOVIMIENTOS!$B$5:$B$1005="SALDO INICIAL")*(MOVIMIENTOS!$C$5:$C$1005="M")*(MOVIMIENTOS!$D$5:$D$1005="jabas")*(MOVIMIENTOS!$A$5:$A$1005&lt;&gt;"")*(MOVIMIENTOS!$A$5:$A$1005&lt;=$A602)*MOVIMIENTOS!$E$5:$E$1005)+SUMPRODUCT((MOVIMIENTOS!$B$5:$B$1005="PROCESO")*(MOVIMIENTOS!$C$5:$C$1005="M")*(MOVIMIENTOS!$D$5:$D$1005="jabas")*(MOVIMIENTOS!$A$5:$A$1005&lt;&gt;"")*(MOVIMIENTOS!$A$5:$A$1005&lt;=$A602)*MOVIMIENTOS!$E$5:$E$1005)-SUMPRODUCT((MOVIMIENTOS!$B$5:$B$1005="ENVÍO A SUPESA")*(MOVIMIENTOS!$C$5:$C$1005="M")*(MOVIMIENTOS!$D$5:$D$1005="jabas")*(MOVIMIENTOS!$A$5:$A$1005&lt;&gt;"")*(MOVIMIENTOS!$A$5:$A$1005&lt;=$A602)*MOVIMIENTOS!$E$5:$E$1005)+SUMPRODUCT((MOVIMIENTOS!$B$5:$B$1005="DEVOLUCIÓN")*(MOVIMIENTOS!$C$5:$C$1005="M")*(MOVIMIENTOS!$D$5:$D$1005="jabas")*(MOVIMIENTOS!$A$5:$A$1005&lt;&gt;"")*(MOVIMIENTOS!$A$5:$A$1005&lt;=$A602)*MOVIMIENTOS!$E$5:$E$1005)-SUMPRODUCT((MOVIMIENTOS!$B$5:$B$1005="TRASIEGO")*(MOVIMIENTOS!$C$5:$C$1005="M")*(MOVIMIENTOS!$D$5:$D$1005="jabas")*(MOVIMIENTOS!$A$5:$A$1005&lt;&gt;"")*(MOVIMIENTOS!$A$5:$A$1005&lt;=$A602)*MOVIMIENTOS!$E$5:$E$1005)-SUMPRODUCT((MOVIMIENTOS!$B$5:$B$1005="REGALO")*(MOVIMIENTOS!$C$5:$C$1005="M")*(MOVIMIENTOS!$D$5:$D$1005="jabas")*(MOVIMIENTOS!$A$5:$A$1005&lt;&gt;"")*(MOVIMIENTOS!$A$5:$A$1005&lt;=$A602)*MOVIMIENTOS!$E$5:$E$1005)-SUMPRODUCT((MOVIMIENTOS!$B$5:$B$1005="VENTA")*(MOVIMIENTOS!$C$5:$C$1005="M")*(MOVIMIENTOS!$D$5:$D$1005="jabas")*(MOVIMIENTOS!$A$5:$A$1005&lt;&gt;"")*(MOVIMIENTOS!$A$5:$A$1005&lt;=$A602)*MOVIMIENTOS!$E$5:$E$1005)+SUMPRODUCT((MOVIMIENTOS!$B$5:$B$1005="AJUSTE")*(MOVIMIENTOS!$C$5:$C$1005="M")*(MOVIMIENTOS!$D$5:$D$1005="jabas")*(MOVIMIENTOS!$A$5:$A$1005&lt;&gt;"")*(MOVIMIENTOS!$A$5:$A$1005&lt;=$A602)*MOVIMIENTOS!$E$5:$E$1005))</f>
        <v/>
      </c>
      <c r="F602" s="62" t="str">
        <f>IF($A602="","",SUMPRODUCT((MOVIMIENTOS!$B$5:$B$1005="SALDO INICIAL")*(MOVIMIENTOS!$C$5:$C$1005="Chancho")*(MOVIMIENTOS!$D$5:$D$1005="sacos")*(MOVIMIENTOS!$A$5:$A$1005&lt;&gt;"")*(MOVIMIENTOS!$A$5:$A$1005&lt;=$A602)*MOVIMIENTOS!$E$5:$E$1005)+SUMPRODUCT((MOVIMIENTOS!$B$5:$B$1005="PROCESO")*(MOVIMIENTOS!$C$5:$C$1005="Chancho")*(MOVIMIENTOS!$D$5:$D$1005="sacos")*(MOVIMIENTOS!$A$5:$A$1005&lt;&gt;"")*(MOVIMIENTOS!$A$5:$A$1005&lt;=$A602)*MOVIMIENTOS!$E$5:$E$1005)-SUMPRODUCT((MOVIMIENTOS!$B$5:$B$1005="VENTA CHANCHO")*(MOVIMIENTOS!$C$5:$C$1005="Chancho")*(MOVIMIENTOS!$D$5:$D$1005="sacos")*(MOVIMIENTOS!$A$5:$A$1005&lt;&gt;"")*(MOVIMIENTOS!$A$5:$A$1005&lt;=$A602)*MOVIMIENTOS!$E$5:$E$1005)-SUMPRODUCT((MOVIMIENTOS!$B$5:$B$1005="REGALO")*(MOVIMIENTOS!$C$5:$C$1005="Chancho")*(MOVIMIENTOS!$D$5:$D$1005="sacos")*(MOVIMIENTOS!$A$5:$A$1005&lt;&gt;"")*(MOVIMIENTOS!$A$5:$A$1005&lt;=$A602)*MOVIMIENTOS!$E$5:$E$1005)-SUMPRODUCT((MOVIMIENTOS!$B$5:$B$1005="VENTA")*(MOVIMIENTOS!$C$5:$C$1005="Chancho")*(MOVIMIENTOS!$D$5:$D$1005="sacos")*(MOVIMIENTOS!$A$5:$A$1005&lt;&gt;"")*(MOVIMIENTOS!$A$5:$A$1005&lt;=$A602)*MOVIMIENTOS!$E$5:$E$1005)+SUMPRODUCT((MOVIMIENTOS!$B$5:$B$1005="AJUSTE")*(MOVIMIENTOS!$C$5:$C$1005="Chancho")*(MOVIMIENTOS!$D$5:$D$1005="sacos")*(MOVIMIENTOS!$A$5:$A$1005&lt;&gt;"")*(MOVIMIENTOS!$A$5:$A$1005&lt;=$A602)*MOVIMIENTOS!$E$5:$E$1005))</f>
        <v/>
      </c>
      <c r="G602" s="62" t="str">
        <f t="shared" si="19"/>
        <v/>
      </c>
      <c r="H602" t="str">
        <f>IF($A602="","",SUMPRODUCT((((MOVIMIENTOS!$B$5:$B$1005="SALDO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602)*MOVIMIENTOS!$J$5:$J$1005))</f>
        <v/>
      </c>
      <c r="J602" t="str">
        <f>IF(AND(MOVIMIENTOS!$A607&lt;&gt;"",COUNTIF(MOVIMIENTOS!$A$5:$A606,MOVIMIENTOS!$A607)=0),COUNT(J$4:J601)+1,"")</f>
        <v/>
      </c>
      <c r="K602">
        <f>MOVIMIENTOS!$A607</f>
        <v>0</v>
      </c>
    </row>
    <row r="603" spans="1:11" ht="15" customHeight="1" x14ac:dyDescent="0.2">
      <c r="A603" t="str">
        <f t="shared" si="18"/>
        <v/>
      </c>
      <c r="B603" t="str">
        <f>IF($A603="","",SUMPRODUCT((MOVIMIENTOS!$B$5:$B$1005="SALDO INICIAL")*(MOVIMIENTOS!$C$5:$C$1005="A")*(MOVIMIENTOS!$D$5:$D$1005="jabas")*(MOVIMIENTOS!$A$5:$A$1005&lt;&gt;"")*(MOVIMIENTOS!$A$5:$A$1005&lt;=$A603)*MOVIMIENTOS!$E$5:$E$1005)+SUMPRODUCT((MOVIMIENTOS!$B$5:$B$1005="PROCESO")*(MOVIMIENTOS!$C$5:$C$1005="A")*(MOVIMIENTOS!$D$5:$D$1005="jabas")*(MOVIMIENTOS!$A$5:$A$1005&lt;&gt;"")*(MOVIMIENTOS!$A$5:$A$1005&lt;=$A603)*MOVIMIENTOS!$E$5:$E$1005)-SUMPRODUCT((MOVIMIENTOS!$B$5:$B$1005="ENVÍO A SUPESA")*(MOVIMIENTOS!$C$5:$C$1005="A")*(MOVIMIENTOS!$D$5:$D$1005="jabas")*(MOVIMIENTOS!$A$5:$A$1005&lt;&gt;"")*(MOVIMIENTOS!$A$5:$A$1005&lt;=$A603)*MOVIMIENTOS!$E$5:$E$1005)+SUMPRODUCT((MOVIMIENTOS!$B$5:$B$1005="DEVOLUCIÓN")*(MOVIMIENTOS!$C$5:$C$1005="A")*(MOVIMIENTOS!$D$5:$D$1005="jabas")*(MOVIMIENTOS!$A$5:$A$1005&lt;&gt;"")*(MOVIMIENTOS!$A$5:$A$1005&lt;=$A603)*MOVIMIENTOS!$E$5:$E$1005)-SUMPRODUCT((MOVIMIENTOS!$B$5:$B$1005="TRASIEGO")*(MOVIMIENTOS!$C$5:$C$1005="A")*(MOVIMIENTOS!$D$5:$D$1005="jabas")*(MOVIMIENTOS!$A$5:$A$1005&lt;&gt;"")*(MOVIMIENTOS!$A$5:$A$1005&lt;=$A603)*MOVIMIENTOS!$E$5:$E$1005)-SUMPRODUCT((MOVIMIENTOS!$B$5:$B$1005="REGALO")*(MOVIMIENTOS!$C$5:$C$1005="A")*(MOVIMIENTOS!$D$5:$D$1005="jabas")*(MOVIMIENTOS!$A$5:$A$1005&lt;&gt;"")*(MOVIMIENTOS!$A$5:$A$1005&lt;=$A603)*MOVIMIENTOS!$E$5:$E$1005)-SUMPRODUCT((MOVIMIENTOS!$B$5:$B$1005="VENTA")*(MOVIMIENTOS!$C$5:$C$1005="A")*(MOVIMIENTOS!$D$5:$D$1005="jabas")*(MOVIMIENTOS!$A$5:$A$1005&lt;&gt;"")*(MOVIMIENTOS!$A$5:$A$1005&lt;=$A603)*MOVIMIENTOS!$E$5:$E$1005)+SUMPRODUCT((MOVIMIENTOS!$B$5:$B$1005="AJUSTE")*(MOVIMIENTOS!$C$5:$C$1005="A")*(MOVIMIENTOS!$D$5:$D$1005="jabas")*(MOVIMIENTOS!$A$5:$A$1005&lt;&gt;"")*(MOVIMIENTOS!$A$5:$A$1005&lt;=$A603)*MOVIMIENTOS!$E$5:$E$1005))</f>
        <v/>
      </c>
      <c r="C603" t="str">
        <f>IF($A603="","",SUMPRODUCT((MOVIMIENTOS!$B$5:$B$1005="SALDO INICIAL")*(MOVIMIENTOS!$C$5:$C$1005="P")*(MOVIMIENTOS!$D$5:$D$1005="jabas")*(MOVIMIENTOS!$A$5:$A$1005&lt;&gt;"")*(MOVIMIENTOS!$A$5:$A$1005&lt;=$A603)*MOVIMIENTOS!$E$5:$E$1005)+SUMPRODUCT((MOVIMIENTOS!$B$5:$B$1005="PROCESO")*(MOVIMIENTOS!$C$5:$C$1005="P")*(MOVIMIENTOS!$D$5:$D$1005="jabas")*(MOVIMIENTOS!$A$5:$A$1005&lt;&gt;"")*(MOVIMIENTOS!$A$5:$A$1005&lt;=$A603)*MOVIMIENTOS!$E$5:$E$1005)-SUMPRODUCT((MOVIMIENTOS!$B$5:$B$1005="ENVÍO A SUPESA")*(MOVIMIENTOS!$C$5:$C$1005="P")*(MOVIMIENTOS!$D$5:$D$1005="jabas")*(MOVIMIENTOS!$A$5:$A$1005&lt;&gt;"")*(MOVIMIENTOS!$A$5:$A$1005&lt;=$A603)*MOVIMIENTOS!$E$5:$E$1005)+SUMPRODUCT((MOVIMIENTOS!$B$5:$B$1005="DEVOLUCIÓN")*(MOVIMIENTOS!$C$5:$C$1005="P")*(MOVIMIENTOS!$D$5:$D$1005="jabas")*(MOVIMIENTOS!$A$5:$A$1005&lt;&gt;"")*(MOVIMIENTOS!$A$5:$A$1005&lt;=$A603)*MOVIMIENTOS!$E$5:$E$1005)-SUMPRODUCT((MOVIMIENTOS!$B$5:$B$1005="TRASIEGO")*(MOVIMIENTOS!$C$5:$C$1005="P")*(MOVIMIENTOS!$D$5:$D$1005="jabas")*(MOVIMIENTOS!$A$5:$A$1005&lt;&gt;"")*(MOVIMIENTOS!$A$5:$A$1005&lt;=$A603)*MOVIMIENTOS!$E$5:$E$1005)-SUMPRODUCT((MOVIMIENTOS!$B$5:$B$1005="REGALO")*(MOVIMIENTOS!$C$5:$C$1005="P")*(MOVIMIENTOS!$D$5:$D$1005="jabas")*(MOVIMIENTOS!$A$5:$A$1005&lt;&gt;"")*(MOVIMIENTOS!$A$5:$A$1005&lt;=$A603)*MOVIMIENTOS!$E$5:$E$1005)-SUMPRODUCT((MOVIMIENTOS!$B$5:$B$1005="VENTA")*(MOVIMIENTOS!$C$5:$C$1005="P")*(MOVIMIENTOS!$D$5:$D$1005="jabas")*(MOVIMIENTOS!$A$5:$A$1005&lt;&gt;"")*(MOVIMIENTOS!$A$5:$A$1005&lt;=$A603)*MOVIMIENTOS!$E$5:$E$1005)+SUMPRODUCT((MOVIMIENTOS!$B$5:$B$1005="AJUSTE")*(MOVIMIENTOS!$C$5:$C$1005="P")*(MOVIMIENTOS!$D$5:$D$1005="jabas")*(MOVIMIENTOS!$A$5:$A$1005&lt;&gt;"")*(MOVIMIENTOS!$A$5:$A$1005&lt;=$A603)*MOVIMIENTOS!$E$5:$E$1005))</f>
        <v/>
      </c>
      <c r="D603" t="str">
        <f>IF($A603="","",SUMPRODUCT((MOVIMIENTOS!$B$5:$B$1005="SALDO INICIAL")*(MOVIMIENTOS!$C$5:$C$1005="C")*(MOVIMIENTOS!$D$5:$D$1005="jabas")*(MOVIMIENTOS!$A$5:$A$1005&lt;&gt;"")*(MOVIMIENTOS!$A$5:$A$1005&lt;=$A603)*MOVIMIENTOS!$E$5:$E$1005)+SUMPRODUCT((MOVIMIENTOS!$B$5:$B$1005="PROCESO")*(MOVIMIENTOS!$C$5:$C$1005="C")*(MOVIMIENTOS!$D$5:$D$1005="jabas")*(MOVIMIENTOS!$A$5:$A$1005&lt;&gt;"")*(MOVIMIENTOS!$A$5:$A$1005&lt;=$A603)*MOVIMIENTOS!$E$5:$E$1005)-SUMPRODUCT((MOVIMIENTOS!$B$5:$B$1005="ENVÍO A SUPESA")*(MOVIMIENTOS!$C$5:$C$1005="C")*(MOVIMIENTOS!$D$5:$D$1005="jabas")*(MOVIMIENTOS!$A$5:$A$1005&lt;&gt;"")*(MOVIMIENTOS!$A$5:$A$1005&lt;=$A603)*MOVIMIENTOS!$E$5:$E$1005)+SUMPRODUCT((MOVIMIENTOS!$B$5:$B$1005="DEVOLUCIÓN")*(MOVIMIENTOS!$C$5:$C$1005="C")*(MOVIMIENTOS!$D$5:$D$1005="jabas")*(MOVIMIENTOS!$A$5:$A$1005&lt;&gt;"")*(MOVIMIENTOS!$A$5:$A$1005&lt;=$A603)*MOVIMIENTOS!$E$5:$E$1005)-SUMPRODUCT((MOVIMIENTOS!$B$5:$B$1005="TRASIEGO")*(MOVIMIENTOS!$C$5:$C$1005="C")*(MOVIMIENTOS!$D$5:$D$1005="jabas")*(MOVIMIENTOS!$A$5:$A$1005&lt;&gt;"")*(MOVIMIENTOS!$A$5:$A$1005&lt;=$A603)*MOVIMIENTOS!$E$5:$E$1005)-SUMPRODUCT((MOVIMIENTOS!$B$5:$B$1005="REGALO")*(MOVIMIENTOS!$C$5:$C$1005="C")*(MOVIMIENTOS!$D$5:$D$1005="jabas")*(MOVIMIENTOS!$A$5:$A$1005&lt;&gt;"")*(MOVIMIENTOS!$A$5:$A$1005&lt;=$A603)*MOVIMIENTOS!$E$5:$E$1005)-SUMPRODUCT((MOVIMIENTOS!$B$5:$B$1005="VENTA")*(MOVIMIENTOS!$C$5:$C$1005="C")*(MOVIMIENTOS!$D$5:$D$1005="jabas")*(MOVIMIENTOS!$A$5:$A$1005&lt;&gt;"")*(MOVIMIENTOS!$A$5:$A$1005&lt;=$A603)*MOVIMIENTOS!$E$5:$E$1005)+SUMPRODUCT((MOVIMIENTOS!$B$5:$B$1005="AJUSTE")*(MOVIMIENTOS!$C$5:$C$1005="C")*(MOVIMIENTOS!$D$5:$D$1005="jabas")*(MOVIMIENTOS!$A$5:$A$1005&lt;&gt;"")*(MOVIMIENTOS!$A$5:$A$1005&lt;=$A603)*MOVIMIENTOS!$E$5:$E$1005))</f>
        <v/>
      </c>
      <c r="E603" t="str">
        <f>IF($A603="","",SUMPRODUCT((MOVIMIENTOS!$B$5:$B$1005="SALDO INICIAL")*(MOVIMIENTOS!$C$5:$C$1005="M")*(MOVIMIENTOS!$D$5:$D$1005="jabas")*(MOVIMIENTOS!$A$5:$A$1005&lt;&gt;"")*(MOVIMIENTOS!$A$5:$A$1005&lt;=$A603)*MOVIMIENTOS!$E$5:$E$1005)+SUMPRODUCT((MOVIMIENTOS!$B$5:$B$1005="PROCESO")*(MOVIMIENTOS!$C$5:$C$1005="M")*(MOVIMIENTOS!$D$5:$D$1005="jabas")*(MOVIMIENTOS!$A$5:$A$1005&lt;&gt;"")*(MOVIMIENTOS!$A$5:$A$1005&lt;=$A603)*MOVIMIENTOS!$E$5:$E$1005)-SUMPRODUCT((MOVIMIENTOS!$B$5:$B$1005="ENVÍO A SUPESA")*(MOVIMIENTOS!$C$5:$C$1005="M")*(MOVIMIENTOS!$D$5:$D$1005="jabas")*(MOVIMIENTOS!$A$5:$A$1005&lt;&gt;"")*(MOVIMIENTOS!$A$5:$A$1005&lt;=$A603)*MOVIMIENTOS!$E$5:$E$1005)+SUMPRODUCT((MOVIMIENTOS!$B$5:$B$1005="DEVOLUCIÓN")*(MOVIMIENTOS!$C$5:$C$1005="M")*(MOVIMIENTOS!$D$5:$D$1005="jabas")*(MOVIMIENTOS!$A$5:$A$1005&lt;&gt;"")*(MOVIMIENTOS!$A$5:$A$1005&lt;=$A603)*MOVIMIENTOS!$E$5:$E$1005)-SUMPRODUCT((MOVIMIENTOS!$B$5:$B$1005="TRASIEGO")*(MOVIMIENTOS!$C$5:$C$1005="M")*(MOVIMIENTOS!$D$5:$D$1005="jabas")*(MOVIMIENTOS!$A$5:$A$1005&lt;&gt;"")*(MOVIMIENTOS!$A$5:$A$1005&lt;=$A603)*MOVIMIENTOS!$E$5:$E$1005)-SUMPRODUCT((MOVIMIENTOS!$B$5:$B$1005="REGALO")*(MOVIMIENTOS!$C$5:$C$1005="M")*(MOVIMIENTOS!$D$5:$D$1005="jabas")*(MOVIMIENTOS!$A$5:$A$1005&lt;&gt;"")*(MOVIMIENTOS!$A$5:$A$1005&lt;=$A603)*MOVIMIENTOS!$E$5:$E$1005)-SUMPRODUCT((MOVIMIENTOS!$B$5:$B$1005="VENTA")*(MOVIMIENTOS!$C$5:$C$1005="M")*(MOVIMIENTOS!$D$5:$D$1005="jabas")*(MOVIMIENTOS!$A$5:$A$1005&lt;&gt;"")*(MOVIMIENTOS!$A$5:$A$1005&lt;=$A603)*MOVIMIENTOS!$E$5:$E$1005)+SUMPRODUCT((MOVIMIENTOS!$B$5:$B$1005="AJUSTE")*(MOVIMIENTOS!$C$5:$C$1005="M")*(MOVIMIENTOS!$D$5:$D$1005="jabas")*(MOVIMIENTOS!$A$5:$A$1005&lt;&gt;"")*(MOVIMIENTOS!$A$5:$A$1005&lt;=$A603)*MOVIMIENTOS!$E$5:$E$1005))</f>
        <v/>
      </c>
      <c r="F603" s="62" t="str">
        <f>IF($A603="","",SUMPRODUCT((MOVIMIENTOS!$B$5:$B$1005="SALDO INICIAL")*(MOVIMIENTOS!$C$5:$C$1005="Chancho")*(MOVIMIENTOS!$D$5:$D$1005="sacos")*(MOVIMIENTOS!$A$5:$A$1005&lt;&gt;"")*(MOVIMIENTOS!$A$5:$A$1005&lt;=$A603)*MOVIMIENTOS!$E$5:$E$1005)+SUMPRODUCT((MOVIMIENTOS!$B$5:$B$1005="PROCESO")*(MOVIMIENTOS!$C$5:$C$1005="Chancho")*(MOVIMIENTOS!$D$5:$D$1005="sacos")*(MOVIMIENTOS!$A$5:$A$1005&lt;&gt;"")*(MOVIMIENTOS!$A$5:$A$1005&lt;=$A603)*MOVIMIENTOS!$E$5:$E$1005)-SUMPRODUCT((MOVIMIENTOS!$B$5:$B$1005="VENTA CHANCHO")*(MOVIMIENTOS!$C$5:$C$1005="Chancho")*(MOVIMIENTOS!$D$5:$D$1005="sacos")*(MOVIMIENTOS!$A$5:$A$1005&lt;&gt;"")*(MOVIMIENTOS!$A$5:$A$1005&lt;=$A603)*MOVIMIENTOS!$E$5:$E$1005)-SUMPRODUCT((MOVIMIENTOS!$B$5:$B$1005="REGALO")*(MOVIMIENTOS!$C$5:$C$1005="Chancho")*(MOVIMIENTOS!$D$5:$D$1005="sacos")*(MOVIMIENTOS!$A$5:$A$1005&lt;&gt;"")*(MOVIMIENTOS!$A$5:$A$1005&lt;=$A603)*MOVIMIENTOS!$E$5:$E$1005)-SUMPRODUCT((MOVIMIENTOS!$B$5:$B$1005="VENTA")*(MOVIMIENTOS!$C$5:$C$1005="Chancho")*(MOVIMIENTOS!$D$5:$D$1005="sacos")*(MOVIMIENTOS!$A$5:$A$1005&lt;&gt;"")*(MOVIMIENTOS!$A$5:$A$1005&lt;=$A603)*MOVIMIENTOS!$E$5:$E$1005)+SUMPRODUCT((MOVIMIENTOS!$B$5:$B$1005="AJUSTE")*(MOVIMIENTOS!$C$5:$C$1005="Chancho")*(MOVIMIENTOS!$D$5:$D$1005="sacos")*(MOVIMIENTOS!$A$5:$A$1005&lt;&gt;"")*(MOVIMIENTOS!$A$5:$A$1005&lt;=$A603)*MOVIMIENTOS!$E$5:$E$1005))</f>
        <v/>
      </c>
      <c r="G603" s="62" t="str">
        <f t="shared" si="19"/>
        <v/>
      </c>
      <c r="H603" t="str">
        <f>IF($A603="","",SUMPRODUCT((((MOVIMIENTOS!$B$5:$B$1005="SALDO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603)*MOVIMIENTOS!$J$5:$J$1005))</f>
        <v/>
      </c>
      <c r="J603" t="str">
        <f>IF(AND(MOVIMIENTOS!$A608&lt;&gt;"",COUNTIF(MOVIMIENTOS!$A$5:$A607,MOVIMIENTOS!$A608)=0),COUNT(J$4:J602)+1,"")</f>
        <v/>
      </c>
      <c r="K603">
        <f>MOVIMIENTOS!$A608</f>
        <v>0</v>
      </c>
    </row>
    <row r="604" spans="1:11" ht="15" customHeight="1" x14ac:dyDescent="0.2">
      <c r="A604" t="str">
        <f t="shared" si="18"/>
        <v/>
      </c>
      <c r="B604" t="str">
        <f>IF($A604="","",SUMPRODUCT((MOVIMIENTOS!$B$5:$B$1005="SALDO INICIAL")*(MOVIMIENTOS!$C$5:$C$1005="A")*(MOVIMIENTOS!$D$5:$D$1005="jabas")*(MOVIMIENTOS!$A$5:$A$1005&lt;&gt;"")*(MOVIMIENTOS!$A$5:$A$1005&lt;=$A604)*MOVIMIENTOS!$E$5:$E$1005)+SUMPRODUCT((MOVIMIENTOS!$B$5:$B$1005="PROCESO")*(MOVIMIENTOS!$C$5:$C$1005="A")*(MOVIMIENTOS!$D$5:$D$1005="jabas")*(MOVIMIENTOS!$A$5:$A$1005&lt;&gt;"")*(MOVIMIENTOS!$A$5:$A$1005&lt;=$A604)*MOVIMIENTOS!$E$5:$E$1005)-SUMPRODUCT((MOVIMIENTOS!$B$5:$B$1005="ENVÍO A SUPESA")*(MOVIMIENTOS!$C$5:$C$1005="A")*(MOVIMIENTOS!$D$5:$D$1005="jabas")*(MOVIMIENTOS!$A$5:$A$1005&lt;&gt;"")*(MOVIMIENTOS!$A$5:$A$1005&lt;=$A604)*MOVIMIENTOS!$E$5:$E$1005)+SUMPRODUCT((MOVIMIENTOS!$B$5:$B$1005="DEVOLUCIÓN")*(MOVIMIENTOS!$C$5:$C$1005="A")*(MOVIMIENTOS!$D$5:$D$1005="jabas")*(MOVIMIENTOS!$A$5:$A$1005&lt;&gt;"")*(MOVIMIENTOS!$A$5:$A$1005&lt;=$A604)*MOVIMIENTOS!$E$5:$E$1005)-SUMPRODUCT((MOVIMIENTOS!$B$5:$B$1005="TRASIEGO")*(MOVIMIENTOS!$C$5:$C$1005="A")*(MOVIMIENTOS!$D$5:$D$1005="jabas")*(MOVIMIENTOS!$A$5:$A$1005&lt;&gt;"")*(MOVIMIENTOS!$A$5:$A$1005&lt;=$A604)*MOVIMIENTOS!$E$5:$E$1005)-SUMPRODUCT((MOVIMIENTOS!$B$5:$B$1005="REGALO")*(MOVIMIENTOS!$C$5:$C$1005="A")*(MOVIMIENTOS!$D$5:$D$1005="jabas")*(MOVIMIENTOS!$A$5:$A$1005&lt;&gt;"")*(MOVIMIENTOS!$A$5:$A$1005&lt;=$A604)*MOVIMIENTOS!$E$5:$E$1005)-SUMPRODUCT((MOVIMIENTOS!$B$5:$B$1005="VENTA")*(MOVIMIENTOS!$C$5:$C$1005="A")*(MOVIMIENTOS!$D$5:$D$1005="jabas")*(MOVIMIENTOS!$A$5:$A$1005&lt;&gt;"")*(MOVIMIENTOS!$A$5:$A$1005&lt;=$A604)*MOVIMIENTOS!$E$5:$E$1005)+SUMPRODUCT((MOVIMIENTOS!$B$5:$B$1005="AJUSTE")*(MOVIMIENTOS!$C$5:$C$1005="A")*(MOVIMIENTOS!$D$5:$D$1005="jabas")*(MOVIMIENTOS!$A$5:$A$1005&lt;&gt;"")*(MOVIMIENTOS!$A$5:$A$1005&lt;=$A604)*MOVIMIENTOS!$E$5:$E$1005))</f>
        <v/>
      </c>
      <c r="C604" t="str">
        <f>IF($A604="","",SUMPRODUCT((MOVIMIENTOS!$B$5:$B$1005="SALDO INICIAL")*(MOVIMIENTOS!$C$5:$C$1005="P")*(MOVIMIENTOS!$D$5:$D$1005="jabas")*(MOVIMIENTOS!$A$5:$A$1005&lt;&gt;"")*(MOVIMIENTOS!$A$5:$A$1005&lt;=$A604)*MOVIMIENTOS!$E$5:$E$1005)+SUMPRODUCT((MOVIMIENTOS!$B$5:$B$1005="PROCESO")*(MOVIMIENTOS!$C$5:$C$1005="P")*(MOVIMIENTOS!$D$5:$D$1005="jabas")*(MOVIMIENTOS!$A$5:$A$1005&lt;&gt;"")*(MOVIMIENTOS!$A$5:$A$1005&lt;=$A604)*MOVIMIENTOS!$E$5:$E$1005)-SUMPRODUCT((MOVIMIENTOS!$B$5:$B$1005="ENVÍO A SUPESA")*(MOVIMIENTOS!$C$5:$C$1005="P")*(MOVIMIENTOS!$D$5:$D$1005="jabas")*(MOVIMIENTOS!$A$5:$A$1005&lt;&gt;"")*(MOVIMIENTOS!$A$5:$A$1005&lt;=$A604)*MOVIMIENTOS!$E$5:$E$1005)+SUMPRODUCT((MOVIMIENTOS!$B$5:$B$1005="DEVOLUCIÓN")*(MOVIMIENTOS!$C$5:$C$1005="P")*(MOVIMIENTOS!$D$5:$D$1005="jabas")*(MOVIMIENTOS!$A$5:$A$1005&lt;&gt;"")*(MOVIMIENTOS!$A$5:$A$1005&lt;=$A604)*MOVIMIENTOS!$E$5:$E$1005)-SUMPRODUCT((MOVIMIENTOS!$B$5:$B$1005="TRASIEGO")*(MOVIMIENTOS!$C$5:$C$1005="P")*(MOVIMIENTOS!$D$5:$D$1005="jabas")*(MOVIMIENTOS!$A$5:$A$1005&lt;&gt;"")*(MOVIMIENTOS!$A$5:$A$1005&lt;=$A604)*MOVIMIENTOS!$E$5:$E$1005)-SUMPRODUCT((MOVIMIENTOS!$B$5:$B$1005="REGALO")*(MOVIMIENTOS!$C$5:$C$1005="P")*(MOVIMIENTOS!$D$5:$D$1005="jabas")*(MOVIMIENTOS!$A$5:$A$1005&lt;&gt;"")*(MOVIMIENTOS!$A$5:$A$1005&lt;=$A604)*MOVIMIENTOS!$E$5:$E$1005)-SUMPRODUCT((MOVIMIENTOS!$B$5:$B$1005="VENTA")*(MOVIMIENTOS!$C$5:$C$1005="P")*(MOVIMIENTOS!$D$5:$D$1005="jabas")*(MOVIMIENTOS!$A$5:$A$1005&lt;&gt;"")*(MOVIMIENTOS!$A$5:$A$1005&lt;=$A604)*MOVIMIENTOS!$E$5:$E$1005)+SUMPRODUCT((MOVIMIENTOS!$B$5:$B$1005="AJUSTE")*(MOVIMIENTOS!$C$5:$C$1005="P")*(MOVIMIENTOS!$D$5:$D$1005="jabas")*(MOVIMIENTOS!$A$5:$A$1005&lt;&gt;"")*(MOVIMIENTOS!$A$5:$A$1005&lt;=$A604)*MOVIMIENTOS!$E$5:$E$1005))</f>
        <v/>
      </c>
      <c r="D604" t="str">
        <f>IF($A604="","",SUMPRODUCT((MOVIMIENTOS!$B$5:$B$1005="SALDO INICIAL")*(MOVIMIENTOS!$C$5:$C$1005="C")*(MOVIMIENTOS!$D$5:$D$1005="jabas")*(MOVIMIENTOS!$A$5:$A$1005&lt;&gt;"")*(MOVIMIENTOS!$A$5:$A$1005&lt;=$A604)*MOVIMIENTOS!$E$5:$E$1005)+SUMPRODUCT((MOVIMIENTOS!$B$5:$B$1005="PROCESO")*(MOVIMIENTOS!$C$5:$C$1005="C")*(MOVIMIENTOS!$D$5:$D$1005="jabas")*(MOVIMIENTOS!$A$5:$A$1005&lt;&gt;"")*(MOVIMIENTOS!$A$5:$A$1005&lt;=$A604)*MOVIMIENTOS!$E$5:$E$1005)-SUMPRODUCT((MOVIMIENTOS!$B$5:$B$1005="ENVÍO A SUPESA")*(MOVIMIENTOS!$C$5:$C$1005="C")*(MOVIMIENTOS!$D$5:$D$1005="jabas")*(MOVIMIENTOS!$A$5:$A$1005&lt;&gt;"")*(MOVIMIENTOS!$A$5:$A$1005&lt;=$A604)*MOVIMIENTOS!$E$5:$E$1005)+SUMPRODUCT((MOVIMIENTOS!$B$5:$B$1005="DEVOLUCIÓN")*(MOVIMIENTOS!$C$5:$C$1005="C")*(MOVIMIENTOS!$D$5:$D$1005="jabas")*(MOVIMIENTOS!$A$5:$A$1005&lt;&gt;"")*(MOVIMIENTOS!$A$5:$A$1005&lt;=$A604)*MOVIMIENTOS!$E$5:$E$1005)-SUMPRODUCT((MOVIMIENTOS!$B$5:$B$1005="TRASIEGO")*(MOVIMIENTOS!$C$5:$C$1005="C")*(MOVIMIENTOS!$D$5:$D$1005="jabas")*(MOVIMIENTOS!$A$5:$A$1005&lt;&gt;"")*(MOVIMIENTOS!$A$5:$A$1005&lt;=$A604)*MOVIMIENTOS!$E$5:$E$1005)-SUMPRODUCT((MOVIMIENTOS!$B$5:$B$1005="REGALO")*(MOVIMIENTOS!$C$5:$C$1005="C")*(MOVIMIENTOS!$D$5:$D$1005="jabas")*(MOVIMIENTOS!$A$5:$A$1005&lt;&gt;"")*(MOVIMIENTOS!$A$5:$A$1005&lt;=$A604)*MOVIMIENTOS!$E$5:$E$1005)-SUMPRODUCT((MOVIMIENTOS!$B$5:$B$1005="VENTA")*(MOVIMIENTOS!$C$5:$C$1005="C")*(MOVIMIENTOS!$D$5:$D$1005="jabas")*(MOVIMIENTOS!$A$5:$A$1005&lt;&gt;"")*(MOVIMIENTOS!$A$5:$A$1005&lt;=$A604)*MOVIMIENTOS!$E$5:$E$1005)+SUMPRODUCT((MOVIMIENTOS!$B$5:$B$1005="AJUSTE")*(MOVIMIENTOS!$C$5:$C$1005="C")*(MOVIMIENTOS!$D$5:$D$1005="jabas")*(MOVIMIENTOS!$A$5:$A$1005&lt;&gt;"")*(MOVIMIENTOS!$A$5:$A$1005&lt;=$A604)*MOVIMIENTOS!$E$5:$E$1005))</f>
        <v/>
      </c>
      <c r="E604" t="str">
        <f>IF($A604="","",SUMPRODUCT((MOVIMIENTOS!$B$5:$B$1005="SALDO INICIAL")*(MOVIMIENTOS!$C$5:$C$1005="M")*(MOVIMIENTOS!$D$5:$D$1005="jabas")*(MOVIMIENTOS!$A$5:$A$1005&lt;&gt;"")*(MOVIMIENTOS!$A$5:$A$1005&lt;=$A604)*MOVIMIENTOS!$E$5:$E$1005)+SUMPRODUCT((MOVIMIENTOS!$B$5:$B$1005="PROCESO")*(MOVIMIENTOS!$C$5:$C$1005="M")*(MOVIMIENTOS!$D$5:$D$1005="jabas")*(MOVIMIENTOS!$A$5:$A$1005&lt;&gt;"")*(MOVIMIENTOS!$A$5:$A$1005&lt;=$A604)*MOVIMIENTOS!$E$5:$E$1005)-SUMPRODUCT((MOVIMIENTOS!$B$5:$B$1005="ENVÍO A SUPESA")*(MOVIMIENTOS!$C$5:$C$1005="M")*(MOVIMIENTOS!$D$5:$D$1005="jabas")*(MOVIMIENTOS!$A$5:$A$1005&lt;&gt;"")*(MOVIMIENTOS!$A$5:$A$1005&lt;=$A604)*MOVIMIENTOS!$E$5:$E$1005)+SUMPRODUCT((MOVIMIENTOS!$B$5:$B$1005="DEVOLUCIÓN")*(MOVIMIENTOS!$C$5:$C$1005="M")*(MOVIMIENTOS!$D$5:$D$1005="jabas")*(MOVIMIENTOS!$A$5:$A$1005&lt;&gt;"")*(MOVIMIENTOS!$A$5:$A$1005&lt;=$A604)*MOVIMIENTOS!$E$5:$E$1005)-SUMPRODUCT((MOVIMIENTOS!$B$5:$B$1005="TRASIEGO")*(MOVIMIENTOS!$C$5:$C$1005="M")*(MOVIMIENTOS!$D$5:$D$1005="jabas")*(MOVIMIENTOS!$A$5:$A$1005&lt;&gt;"")*(MOVIMIENTOS!$A$5:$A$1005&lt;=$A604)*MOVIMIENTOS!$E$5:$E$1005)-SUMPRODUCT((MOVIMIENTOS!$B$5:$B$1005="REGALO")*(MOVIMIENTOS!$C$5:$C$1005="M")*(MOVIMIENTOS!$D$5:$D$1005="jabas")*(MOVIMIENTOS!$A$5:$A$1005&lt;&gt;"")*(MOVIMIENTOS!$A$5:$A$1005&lt;=$A604)*MOVIMIENTOS!$E$5:$E$1005)-SUMPRODUCT((MOVIMIENTOS!$B$5:$B$1005="VENTA")*(MOVIMIENTOS!$C$5:$C$1005="M")*(MOVIMIENTOS!$D$5:$D$1005="jabas")*(MOVIMIENTOS!$A$5:$A$1005&lt;&gt;"")*(MOVIMIENTOS!$A$5:$A$1005&lt;=$A604)*MOVIMIENTOS!$E$5:$E$1005)+SUMPRODUCT((MOVIMIENTOS!$B$5:$B$1005="AJUSTE")*(MOVIMIENTOS!$C$5:$C$1005="M")*(MOVIMIENTOS!$D$5:$D$1005="jabas")*(MOVIMIENTOS!$A$5:$A$1005&lt;&gt;"")*(MOVIMIENTOS!$A$5:$A$1005&lt;=$A604)*MOVIMIENTOS!$E$5:$E$1005))</f>
        <v/>
      </c>
      <c r="F604" s="62" t="str">
        <f>IF($A604="","",SUMPRODUCT((MOVIMIENTOS!$B$5:$B$1005="SALDO INICIAL")*(MOVIMIENTOS!$C$5:$C$1005="Chancho")*(MOVIMIENTOS!$D$5:$D$1005="sacos")*(MOVIMIENTOS!$A$5:$A$1005&lt;&gt;"")*(MOVIMIENTOS!$A$5:$A$1005&lt;=$A604)*MOVIMIENTOS!$E$5:$E$1005)+SUMPRODUCT((MOVIMIENTOS!$B$5:$B$1005="PROCESO")*(MOVIMIENTOS!$C$5:$C$1005="Chancho")*(MOVIMIENTOS!$D$5:$D$1005="sacos")*(MOVIMIENTOS!$A$5:$A$1005&lt;&gt;"")*(MOVIMIENTOS!$A$5:$A$1005&lt;=$A604)*MOVIMIENTOS!$E$5:$E$1005)-SUMPRODUCT((MOVIMIENTOS!$B$5:$B$1005="VENTA CHANCHO")*(MOVIMIENTOS!$C$5:$C$1005="Chancho")*(MOVIMIENTOS!$D$5:$D$1005="sacos")*(MOVIMIENTOS!$A$5:$A$1005&lt;&gt;"")*(MOVIMIENTOS!$A$5:$A$1005&lt;=$A604)*MOVIMIENTOS!$E$5:$E$1005)-SUMPRODUCT((MOVIMIENTOS!$B$5:$B$1005="REGALO")*(MOVIMIENTOS!$C$5:$C$1005="Chancho")*(MOVIMIENTOS!$D$5:$D$1005="sacos")*(MOVIMIENTOS!$A$5:$A$1005&lt;&gt;"")*(MOVIMIENTOS!$A$5:$A$1005&lt;=$A604)*MOVIMIENTOS!$E$5:$E$1005)-SUMPRODUCT((MOVIMIENTOS!$B$5:$B$1005="VENTA")*(MOVIMIENTOS!$C$5:$C$1005="Chancho")*(MOVIMIENTOS!$D$5:$D$1005="sacos")*(MOVIMIENTOS!$A$5:$A$1005&lt;&gt;"")*(MOVIMIENTOS!$A$5:$A$1005&lt;=$A604)*MOVIMIENTOS!$E$5:$E$1005)+SUMPRODUCT((MOVIMIENTOS!$B$5:$B$1005="AJUSTE")*(MOVIMIENTOS!$C$5:$C$1005="Chancho")*(MOVIMIENTOS!$D$5:$D$1005="sacos")*(MOVIMIENTOS!$A$5:$A$1005&lt;&gt;"")*(MOVIMIENTOS!$A$5:$A$1005&lt;=$A604)*MOVIMIENTOS!$E$5:$E$1005))</f>
        <v/>
      </c>
      <c r="G604" s="62" t="str">
        <f t="shared" si="19"/>
        <v/>
      </c>
      <c r="H604" t="str">
        <f>IF($A604="","",SUMPRODUCT((((MOVIMIENTOS!$B$5:$B$1005="SALDO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604)*MOVIMIENTOS!$J$5:$J$1005))</f>
        <v/>
      </c>
      <c r="J604" t="str">
        <f>IF(AND(MOVIMIENTOS!$A609&lt;&gt;"",COUNTIF(MOVIMIENTOS!$A$5:$A608,MOVIMIENTOS!$A609)=0),COUNT(J$4:J603)+1,"")</f>
        <v/>
      </c>
      <c r="K604">
        <f>MOVIMIENTOS!$A609</f>
        <v>0</v>
      </c>
    </row>
    <row r="605" spans="1:11" ht="15" customHeight="1" x14ac:dyDescent="0.2">
      <c r="A605" t="str">
        <f t="shared" si="18"/>
        <v/>
      </c>
      <c r="B605" t="str">
        <f>IF($A605="","",SUMPRODUCT((MOVIMIENTOS!$B$5:$B$1005="SALDO INICIAL")*(MOVIMIENTOS!$C$5:$C$1005="A")*(MOVIMIENTOS!$D$5:$D$1005="jabas")*(MOVIMIENTOS!$A$5:$A$1005&lt;&gt;"")*(MOVIMIENTOS!$A$5:$A$1005&lt;=$A605)*MOVIMIENTOS!$E$5:$E$1005)+SUMPRODUCT((MOVIMIENTOS!$B$5:$B$1005="PROCESO")*(MOVIMIENTOS!$C$5:$C$1005="A")*(MOVIMIENTOS!$D$5:$D$1005="jabas")*(MOVIMIENTOS!$A$5:$A$1005&lt;&gt;"")*(MOVIMIENTOS!$A$5:$A$1005&lt;=$A605)*MOVIMIENTOS!$E$5:$E$1005)-SUMPRODUCT((MOVIMIENTOS!$B$5:$B$1005="ENVÍO A SUPESA")*(MOVIMIENTOS!$C$5:$C$1005="A")*(MOVIMIENTOS!$D$5:$D$1005="jabas")*(MOVIMIENTOS!$A$5:$A$1005&lt;&gt;"")*(MOVIMIENTOS!$A$5:$A$1005&lt;=$A605)*MOVIMIENTOS!$E$5:$E$1005)+SUMPRODUCT((MOVIMIENTOS!$B$5:$B$1005="DEVOLUCIÓN")*(MOVIMIENTOS!$C$5:$C$1005="A")*(MOVIMIENTOS!$D$5:$D$1005="jabas")*(MOVIMIENTOS!$A$5:$A$1005&lt;&gt;"")*(MOVIMIENTOS!$A$5:$A$1005&lt;=$A605)*MOVIMIENTOS!$E$5:$E$1005)-SUMPRODUCT((MOVIMIENTOS!$B$5:$B$1005="TRASIEGO")*(MOVIMIENTOS!$C$5:$C$1005="A")*(MOVIMIENTOS!$D$5:$D$1005="jabas")*(MOVIMIENTOS!$A$5:$A$1005&lt;&gt;"")*(MOVIMIENTOS!$A$5:$A$1005&lt;=$A605)*MOVIMIENTOS!$E$5:$E$1005)-SUMPRODUCT((MOVIMIENTOS!$B$5:$B$1005="REGALO")*(MOVIMIENTOS!$C$5:$C$1005="A")*(MOVIMIENTOS!$D$5:$D$1005="jabas")*(MOVIMIENTOS!$A$5:$A$1005&lt;&gt;"")*(MOVIMIENTOS!$A$5:$A$1005&lt;=$A605)*MOVIMIENTOS!$E$5:$E$1005)-SUMPRODUCT((MOVIMIENTOS!$B$5:$B$1005="VENTA")*(MOVIMIENTOS!$C$5:$C$1005="A")*(MOVIMIENTOS!$D$5:$D$1005="jabas")*(MOVIMIENTOS!$A$5:$A$1005&lt;&gt;"")*(MOVIMIENTOS!$A$5:$A$1005&lt;=$A605)*MOVIMIENTOS!$E$5:$E$1005)+SUMPRODUCT((MOVIMIENTOS!$B$5:$B$1005="AJUSTE")*(MOVIMIENTOS!$C$5:$C$1005="A")*(MOVIMIENTOS!$D$5:$D$1005="jabas")*(MOVIMIENTOS!$A$5:$A$1005&lt;&gt;"")*(MOVIMIENTOS!$A$5:$A$1005&lt;=$A605)*MOVIMIENTOS!$E$5:$E$1005))</f>
        <v/>
      </c>
      <c r="C605" t="str">
        <f>IF($A605="","",SUMPRODUCT((MOVIMIENTOS!$B$5:$B$1005="SALDO INICIAL")*(MOVIMIENTOS!$C$5:$C$1005="P")*(MOVIMIENTOS!$D$5:$D$1005="jabas")*(MOVIMIENTOS!$A$5:$A$1005&lt;&gt;"")*(MOVIMIENTOS!$A$5:$A$1005&lt;=$A605)*MOVIMIENTOS!$E$5:$E$1005)+SUMPRODUCT((MOVIMIENTOS!$B$5:$B$1005="PROCESO")*(MOVIMIENTOS!$C$5:$C$1005="P")*(MOVIMIENTOS!$D$5:$D$1005="jabas")*(MOVIMIENTOS!$A$5:$A$1005&lt;&gt;"")*(MOVIMIENTOS!$A$5:$A$1005&lt;=$A605)*MOVIMIENTOS!$E$5:$E$1005)-SUMPRODUCT((MOVIMIENTOS!$B$5:$B$1005="ENVÍO A SUPESA")*(MOVIMIENTOS!$C$5:$C$1005="P")*(MOVIMIENTOS!$D$5:$D$1005="jabas")*(MOVIMIENTOS!$A$5:$A$1005&lt;&gt;"")*(MOVIMIENTOS!$A$5:$A$1005&lt;=$A605)*MOVIMIENTOS!$E$5:$E$1005)+SUMPRODUCT((MOVIMIENTOS!$B$5:$B$1005="DEVOLUCIÓN")*(MOVIMIENTOS!$C$5:$C$1005="P")*(MOVIMIENTOS!$D$5:$D$1005="jabas")*(MOVIMIENTOS!$A$5:$A$1005&lt;&gt;"")*(MOVIMIENTOS!$A$5:$A$1005&lt;=$A605)*MOVIMIENTOS!$E$5:$E$1005)-SUMPRODUCT((MOVIMIENTOS!$B$5:$B$1005="TRASIEGO")*(MOVIMIENTOS!$C$5:$C$1005="P")*(MOVIMIENTOS!$D$5:$D$1005="jabas")*(MOVIMIENTOS!$A$5:$A$1005&lt;&gt;"")*(MOVIMIENTOS!$A$5:$A$1005&lt;=$A605)*MOVIMIENTOS!$E$5:$E$1005)-SUMPRODUCT((MOVIMIENTOS!$B$5:$B$1005="REGALO")*(MOVIMIENTOS!$C$5:$C$1005="P")*(MOVIMIENTOS!$D$5:$D$1005="jabas")*(MOVIMIENTOS!$A$5:$A$1005&lt;&gt;"")*(MOVIMIENTOS!$A$5:$A$1005&lt;=$A605)*MOVIMIENTOS!$E$5:$E$1005)-SUMPRODUCT((MOVIMIENTOS!$B$5:$B$1005="VENTA")*(MOVIMIENTOS!$C$5:$C$1005="P")*(MOVIMIENTOS!$D$5:$D$1005="jabas")*(MOVIMIENTOS!$A$5:$A$1005&lt;&gt;"")*(MOVIMIENTOS!$A$5:$A$1005&lt;=$A605)*MOVIMIENTOS!$E$5:$E$1005)+SUMPRODUCT((MOVIMIENTOS!$B$5:$B$1005="AJUSTE")*(MOVIMIENTOS!$C$5:$C$1005="P")*(MOVIMIENTOS!$D$5:$D$1005="jabas")*(MOVIMIENTOS!$A$5:$A$1005&lt;&gt;"")*(MOVIMIENTOS!$A$5:$A$1005&lt;=$A605)*MOVIMIENTOS!$E$5:$E$1005))</f>
        <v/>
      </c>
      <c r="D605" t="str">
        <f>IF($A605="","",SUMPRODUCT((MOVIMIENTOS!$B$5:$B$1005="SALDO INICIAL")*(MOVIMIENTOS!$C$5:$C$1005="C")*(MOVIMIENTOS!$D$5:$D$1005="jabas")*(MOVIMIENTOS!$A$5:$A$1005&lt;&gt;"")*(MOVIMIENTOS!$A$5:$A$1005&lt;=$A605)*MOVIMIENTOS!$E$5:$E$1005)+SUMPRODUCT((MOVIMIENTOS!$B$5:$B$1005="PROCESO")*(MOVIMIENTOS!$C$5:$C$1005="C")*(MOVIMIENTOS!$D$5:$D$1005="jabas")*(MOVIMIENTOS!$A$5:$A$1005&lt;&gt;"")*(MOVIMIENTOS!$A$5:$A$1005&lt;=$A605)*MOVIMIENTOS!$E$5:$E$1005)-SUMPRODUCT((MOVIMIENTOS!$B$5:$B$1005="ENVÍO A SUPESA")*(MOVIMIENTOS!$C$5:$C$1005="C")*(MOVIMIENTOS!$D$5:$D$1005="jabas")*(MOVIMIENTOS!$A$5:$A$1005&lt;&gt;"")*(MOVIMIENTOS!$A$5:$A$1005&lt;=$A605)*MOVIMIENTOS!$E$5:$E$1005)+SUMPRODUCT((MOVIMIENTOS!$B$5:$B$1005="DEVOLUCIÓN")*(MOVIMIENTOS!$C$5:$C$1005="C")*(MOVIMIENTOS!$D$5:$D$1005="jabas")*(MOVIMIENTOS!$A$5:$A$1005&lt;&gt;"")*(MOVIMIENTOS!$A$5:$A$1005&lt;=$A605)*MOVIMIENTOS!$E$5:$E$1005)-SUMPRODUCT((MOVIMIENTOS!$B$5:$B$1005="TRASIEGO")*(MOVIMIENTOS!$C$5:$C$1005="C")*(MOVIMIENTOS!$D$5:$D$1005="jabas")*(MOVIMIENTOS!$A$5:$A$1005&lt;&gt;"")*(MOVIMIENTOS!$A$5:$A$1005&lt;=$A605)*MOVIMIENTOS!$E$5:$E$1005)-SUMPRODUCT((MOVIMIENTOS!$B$5:$B$1005="REGALO")*(MOVIMIENTOS!$C$5:$C$1005="C")*(MOVIMIENTOS!$D$5:$D$1005="jabas")*(MOVIMIENTOS!$A$5:$A$1005&lt;&gt;"")*(MOVIMIENTOS!$A$5:$A$1005&lt;=$A605)*MOVIMIENTOS!$E$5:$E$1005)-SUMPRODUCT((MOVIMIENTOS!$B$5:$B$1005="VENTA")*(MOVIMIENTOS!$C$5:$C$1005="C")*(MOVIMIENTOS!$D$5:$D$1005="jabas")*(MOVIMIENTOS!$A$5:$A$1005&lt;&gt;"")*(MOVIMIENTOS!$A$5:$A$1005&lt;=$A605)*MOVIMIENTOS!$E$5:$E$1005)+SUMPRODUCT((MOVIMIENTOS!$B$5:$B$1005="AJUSTE")*(MOVIMIENTOS!$C$5:$C$1005="C")*(MOVIMIENTOS!$D$5:$D$1005="jabas")*(MOVIMIENTOS!$A$5:$A$1005&lt;&gt;"")*(MOVIMIENTOS!$A$5:$A$1005&lt;=$A605)*MOVIMIENTOS!$E$5:$E$1005))</f>
        <v/>
      </c>
      <c r="E605" t="str">
        <f>IF($A605="","",SUMPRODUCT((MOVIMIENTOS!$B$5:$B$1005="SALDO INICIAL")*(MOVIMIENTOS!$C$5:$C$1005="M")*(MOVIMIENTOS!$D$5:$D$1005="jabas")*(MOVIMIENTOS!$A$5:$A$1005&lt;&gt;"")*(MOVIMIENTOS!$A$5:$A$1005&lt;=$A605)*MOVIMIENTOS!$E$5:$E$1005)+SUMPRODUCT((MOVIMIENTOS!$B$5:$B$1005="PROCESO")*(MOVIMIENTOS!$C$5:$C$1005="M")*(MOVIMIENTOS!$D$5:$D$1005="jabas")*(MOVIMIENTOS!$A$5:$A$1005&lt;&gt;"")*(MOVIMIENTOS!$A$5:$A$1005&lt;=$A605)*MOVIMIENTOS!$E$5:$E$1005)-SUMPRODUCT((MOVIMIENTOS!$B$5:$B$1005="ENVÍO A SUPESA")*(MOVIMIENTOS!$C$5:$C$1005="M")*(MOVIMIENTOS!$D$5:$D$1005="jabas")*(MOVIMIENTOS!$A$5:$A$1005&lt;&gt;"")*(MOVIMIENTOS!$A$5:$A$1005&lt;=$A605)*MOVIMIENTOS!$E$5:$E$1005)+SUMPRODUCT((MOVIMIENTOS!$B$5:$B$1005="DEVOLUCIÓN")*(MOVIMIENTOS!$C$5:$C$1005="M")*(MOVIMIENTOS!$D$5:$D$1005="jabas")*(MOVIMIENTOS!$A$5:$A$1005&lt;&gt;"")*(MOVIMIENTOS!$A$5:$A$1005&lt;=$A605)*MOVIMIENTOS!$E$5:$E$1005)-SUMPRODUCT((MOVIMIENTOS!$B$5:$B$1005="TRASIEGO")*(MOVIMIENTOS!$C$5:$C$1005="M")*(MOVIMIENTOS!$D$5:$D$1005="jabas")*(MOVIMIENTOS!$A$5:$A$1005&lt;&gt;"")*(MOVIMIENTOS!$A$5:$A$1005&lt;=$A605)*MOVIMIENTOS!$E$5:$E$1005)-SUMPRODUCT((MOVIMIENTOS!$B$5:$B$1005="REGALO")*(MOVIMIENTOS!$C$5:$C$1005="M")*(MOVIMIENTOS!$D$5:$D$1005="jabas")*(MOVIMIENTOS!$A$5:$A$1005&lt;&gt;"")*(MOVIMIENTOS!$A$5:$A$1005&lt;=$A605)*MOVIMIENTOS!$E$5:$E$1005)-SUMPRODUCT((MOVIMIENTOS!$B$5:$B$1005="VENTA")*(MOVIMIENTOS!$C$5:$C$1005="M")*(MOVIMIENTOS!$D$5:$D$1005="jabas")*(MOVIMIENTOS!$A$5:$A$1005&lt;&gt;"")*(MOVIMIENTOS!$A$5:$A$1005&lt;=$A605)*MOVIMIENTOS!$E$5:$E$1005)+SUMPRODUCT((MOVIMIENTOS!$B$5:$B$1005="AJUSTE")*(MOVIMIENTOS!$C$5:$C$1005="M")*(MOVIMIENTOS!$D$5:$D$1005="jabas")*(MOVIMIENTOS!$A$5:$A$1005&lt;&gt;"")*(MOVIMIENTOS!$A$5:$A$1005&lt;=$A605)*MOVIMIENTOS!$E$5:$E$1005))</f>
        <v/>
      </c>
      <c r="F605" s="62" t="str">
        <f>IF($A605="","",SUMPRODUCT((MOVIMIENTOS!$B$5:$B$1005="SALDO INICIAL")*(MOVIMIENTOS!$C$5:$C$1005="Chancho")*(MOVIMIENTOS!$D$5:$D$1005="sacos")*(MOVIMIENTOS!$A$5:$A$1005&lt;&gt;"")*(MOVIMIENTOS!$A$5:$A$1005&lt;=$A605)*MOVIMIENTOS!$E$5:$E$1005)+SUMPRODUCT((MOVIMIENTOS!$B$5:$B$1005="PROCESO")*(MOVIMIENTOS!$C$5:$C$1005="Chancho")*(MOVIMIENTOS!$D$5:$D$1005="sacos")*(MOVIMIENTOS!$A$5:$A$1005&lt;&gt;"")*(MOVIMIENTOS!$A$5:$A$1005&lt;=$A605)*MOVIMIENTOS!$E$5:$E$1005)-SUMPRODUCT((MOVIMIENTOS!$B$5:$B$1005="VENTA CHANCHO")*(MOVIMIENTOS!$C$5:$C$1005="Chancho")*(MOVIMIENTOS!$D$5:$D$1005="sacos")*(MOVIMIENTOS!$A$5:$A$1005&lt;&gt;"")*(MOVIMIENTOS!$A$5:$A$1005&lt;=$A605)*MOVIMIENTOS!$E$5:$E$1005)-SUMPRODUCT((MOVIMIENTOS!$B$5:$B$1005="REGALO")*(MOVIMIENTOS!$C$5:$C$1005="Chancho")*(MOVIMIENTOS!$D$5:$D$1005="sacos")*(MOVIMIENTOS!$A$5:$A$1005&lt;&gt;"")*(MOVIMIENTOS!$A$5:$A$1005&lt;=$A605)*MOVIMIENTOS!$E$5:$E$1005)-SUMPRODUCT((MOVIMIENTOS!$B$5:$B$1005="VENTA")*(MOVIMIENTOS!$C$5:$C$1005="Chancho")*(MOVIMIENTOS!$D$5:$D$1005="sacos")*(MOVIMIENTOS!$A$5:$A$1005&lt;&gt;"")*(MOVIMIENTOS!$A$5:$A$1005&lt;=$A605)*MOVIMIENTOS!$E$5:$E$1005)+SUMPRODUCT((MOVIMIENTOS!$B$5:$B$1005="AJUSTE")*(MOVIMIENTOS!$C$5:$C$1005="Chancho")*(MOVIMIENTOS!$D$5:$D$1005="sacos")*(MOVIMIENTOS!$A$5:$A$1005&lt;&gt;"")*(MOVIMIENTOS!$A$5:$A$1005&lt;=$A605)*MOVIMIENTOS!$E$5:$E$1005))</f>
        <v/>
      </c>
      <c r="G605" s="62" t="str">
        <f t="shared" si="19"/>
        <v/>
      </c>
      <c r="H605" t="str">
        <f>IF($A605="","",SUMPRODUCT((((MOVIMIENTOS!$B$5:$B$1005="SALDO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605)*MOVIMIENTOS!$J$5:$J$1005))</f>
        <v/>
      </c>
      <c r="J605" t="str">
        <f>IF(AND(MOVIMIENTOS!$A610&lt;&gt;"",COUNTIF(MOVIMIENTOS!$A$5:$A609,MOVIMIENTOS!$A610)=0),COUNT(J$4:J604)+1,"")</f>
        <v/>
      </c>
      <c r="K605">
        <f>MOVIMIENTOS!$A610</f>
        <v>0</v>
      </c>
    </row>
    <row r="606" spans="1:11" ht="15" customHeight="1" x14ac:dyDescent="0.2">
      <c r="A606" t="str">
        <f t="shared" si="18"/>
        <v/>
      </c>
      <c r="B606" t="str">
        <f>IF($A606="","",SUMPRODUCT((MOVIMIENTOS!$B$5:$B$1005="SALDO INICIAL")*(MOVIMIENTOS!$C$5:$C$1005="A")*(MOVIMIENTOS!$D$5:$D$1005="jabas")*(MOVIMIENTOS!$A$5:$A$1005&lt;&gt;"")*(MOVIMIENTOS!$A$5:$A$1005&lt;=$A606)*MOVIMIENTOS!$E$5:$E$1005)+SUMPRODUCT((MOVIMIENTOS!$B$5:$B$1005="PROCESO")*(MOVIMIENTOS!$C$5:$C$1005="A")*(MOVIMIENTOS!$D$5:$D$1005="jabas")*(MOVIMIENTOS!$A$5:$A$1005&lt;&gt;"")*(MOVIMIENTOS!$A$5:$A$1005&lt;=$A606)*MOVIMIENTOS!$E$5:$E$1005)-SUMPRODUCT((MOVIMIENTOS!$B$5:$B$1005="ENVÍO A SUPESA")*(MOVIMIENTOS!$C$5:$C$1005="A")*(MOVIMIENTOS!$D$5:$D$1005="jabas")*(MOVIMIENTOS!$A$5:$A$1005&lt;&gt;"")*(MOVIMIENTOS!$A$5:$A$1005&lt;=$A606)*MOVIMIENTOS!$E$5:$E$1005)+SUMPRODUCT((MOVIMIENTOS!$B$5:$B$1005="DEVOLUCIÓN")*(MOVIMIENTOS!$C$5:$C$1005="A")*(MOVIMIENTOS!$D$5:$D$1005="jabas")*(MOVIMIENTOS!$A$5:$A$1005&lt;&gt;"")*(MOVIMIENTOS!$A$5:$A$1005&lt;=$A606)*MOVIMIENTOS!$E$5:$E$1005)-SUMPRODUCT((MOVIMIENTOS!$B$5:$B$1005="TRASIEGO")*(MOVIMIENTOS!$C$5:$C$1005="A")*(MOVIMIENTOS!$D$5:$D$1005="jabas")*(MOVIMIENTOS!$A$5:$A$1005&lt;&gt;"")*(MOVIMIENTOS!$A$5:$A$1005&lt;=$A606)*MOVIMIENTOS!$E$5:$E$1005)-SUMPRODUCT((MOVIMIENTOS!$B$5:$B$1005="REGALO")*(MOVIMIENTOS!$C$5:$C$1005="A")*(MOVIMIENTOS!$D$5:$D$1005="jabas")*(MOVIMIENTOS!$A$5:$A$1005&lt;&gt;"")*(MOVIMIENTOS!$A$5:$A$1005&lt;=$A606)*MOVIMIENTOS!$E$5:$E$1005)-SUMPRODUCT((MOVIMIENTOS!$B$5:$B$1005="VENTA")*(MOVIMIENTOS!$C$5:$C$1005="A")*(MOVIMIENTOS!$D$5:$D$1005="jabas")*(MOVIMIENTOS!$A$5:$A$1005&lt;&gt;"")*(MOVIMIENTOS!$A$5:$A$1005&lt;=$A606)*MOVIMIENTOS!$E$5:$E$1005)+SUMPRODUCT((MOVIMIENTOS!$B$5:$B$1005="AJUSTE")*(MOVIMIENTOS!$C$5:$C$1005="A")*(MOVIMIENTOS!$D$5:$D$1005="jabas")*(MOVIMIENTOS!$A$5:$A$1005&lt;&gt;"")*(MOVIMIENTOS!$A$5:$A$1005&lt;=$A606)*MOVIMIENTOS!$E$5:$E$1005))</f>
        <v/>
      </c>
      <c r="C606" t="str">
        <f>IF($A606="","",SUMPRODUCT((MOVIMIENTOS!$B$5:$B$1005="SALDO INICIAL")*(MOVIMIENTOS!$C$5:$C$1005="P")*(MOVIMIENTOS!$D$5:$D$1005="jabas")*(MOVIMIENTOS!$A$5:$A$1005&lt;&gt;"")*(MOVIMIENTOS!$A$5:$A$1005&lt;=$A606)*MOVIMIENTOS!$E$5:$E$1005)+SUMPRODUCT((MOVIMIENTOS!$B$5:$B$1005="PROCESO")*(MOVIMIENTOS!$C$5:$C$1005="P")*(MOVIMIENTOS!$D$5:$D$1005="jabas")*(MOVIMIENTOS!$A$5:$A$1005&lt;&gt;"")*(MOVIMIENTOS!$A$5:$A$1005&lt;=$A606)*MOVIMIENTOS!$E$5:$E$1005)-SUMPRODUCT((MOVIMIENTOS!$B$5:$B$1005="ENVÍO A SUPESA")*(MOVIMIENTOS!$C$5:$C$1005="P")*(MOVIMIENTOS!$D$5:$D$1005="jabas")*(MOVIMIENTOS!$A$5:$A$1005&lt;&gt;"")*(MOVIMIENTOS!$A$5:$A$1005&lt;=$A606)*MOVIMIENTOS!$E$5:$E$1005)+SUMPRODUCT((MOVIMIENTOS!$B$5:$B$1005="DEVOLUCIÓN")*(MOVIMIENTOS!$C$5:$C$1005="P")*(MOVIMIENTOS!$D$5:$D$1005="jabas")*(MOVIMIENTOS!$A$5:$A$1005&lt;&gt;"")*(MOVIMIENTOS!$A$5:$A$1005&lt;=$A606)*MOVIMIENTOS!$E$5:$E$1005)-SUMPRODUCT((MOVIMIENTOS!$B$5:$B$1005="TRASIEGO")*(MOVIMIENTOS!$C$5:$C$1005="P")*(MOVIMIENTOS!$D$5:$D$1005="jabas")*(MOVIMIENTOS!$A$5:$A$1005&lt;&gt;"")*(MOVIMIENTOS!$A$5:$A$1005&lt;=$A606)*MOVIMIENTOS!$E$5:$E$1005)-SUMPRODUCT((MOVIMIENTOS!$B$5:$B$1005="REGALO")*(MOVIMIENTOS!$C$5:$C$1005="P")*(MOVIMIENTOS!$D$5:$D$1005="jabas")*(MOVIMIENTOS!$A$5:$A$1005&lt;&gt;"")*(MOVIMIENTOS!$A$5:$A$1005&lt;=$A606)*MOVIMIENTOS!$E$5:$E$1005)-SUMPRODUCT((MOVIMIENTOS!$B$5:$B$1005="VENTA")*(MOVIMIENTOS!$C$5:$C$1005="P")*(MOVIMIENTOS!$D$5:$D$1005="jabas")*(MOVIMIENTOS!$A$5:$A$1005&lt;&gt;"")*(MOVIMIENTOS!$A$5:$A$1005&lt;=$A606)*MOVIMIENTOS!$E$5:$E$1005)+SUMPRODUCT((MOVIMIENTOS!$B$5:$B$1005="AJUSTE")*(MOVIMIENTOS!$C$5:$C$1005="P")*(MOVIMIENTOS!$D$5:$D$1005="jabas")*(MOVIMIENTOS!$A$5:$A$1005&lt;&gt;"")*(MOVIMIENTOS!$A$5:$A$1005&lt;=$A606)*MOVIMIENTOS!$E$5:$E$1005))</f>
        <v/>
      </c>
      <c r="D606" t="str">
        <f>IF($A606="","",SUMPRODUCT((MOVIMIENTOS!$B$5:$B$1005="SALDO INICIAL")*(MOVIMIENTOS!$C$5:$C$1005="C")*(MOVIMIENTOS!$D$5:$D$1005="jabas")*(MOVIMIENTOS!$A$5:$A$1005&lt;&gt;"")*(MOVIMIENTOS!$A$5:$A$1005&lt;=$A606)*MOVIMIENTOS!$E$5:$E$1005)+SUMPRODUCT((MOVIMIENTOS!$B$5:$B$1005="PROCESO")*(MOVIMIENTOS!$C$5:$C$1005="C")*(MOVIMIENTOS!$D$5:$D$1005="jabas")*(MOVIMIENTOS!$A$5:$A$1005&lt;&gt;"")*(MOVIMIENTOS!$A$5:$A$1005&lt;=$A606)*MOVIMIENTOS!$E$5:$E$1005)-SUMPRODUCT((MOVIMIENTOS!$B$5:$B$1005="ENVÍO A SUPESA")*(MOVIMIENTOS!$C$5:$C$1005="C")*(MOVIMIENTOS!$D$5:$D$1005="jabas")*(MOVIMIENTOS!$A$5:$A$1005&lt;&gt;"")*(MOVIMIENTOS!$A$5:$A$1005&lt;=$A606)*MOVIMIENTOS!$E$5:$E$1005)+SUMPRODUCT((MOVIMIENTOS!$B$5:$B$1005="DEVOLUCIÓN")*(MOVIMIENTOS!$C$5:$C$1005="C")*(MOVIMIENTOS!$D$5:$D$1005="jabas")*(MOVIMIENTOS!$A$5:$A$1005&lt;&gt;"")*(MOVIMIENTOS!$A$5:$A$1005&lt;=$A606)*MOVIMIENTOS!$E$5:$E$1005)-SUMPRODUCT((MOVIMIENTOS!$B$5:$B$1005="TRASIEGO")*(MOVIMIENTOS!$C$5:$C$1005="C")*(MOVIMIENTOS!$D$5:$D$1005="jabas")*(MOVIMIENTOS!$A$5:$A$1005&lt;&gt;"")*(MOVIMIENTOS!$A$5:$A$1005&lt;=$A606)*MOVIMIENTOS!$E$5:$E$1005)-SUMPRODUCT((MOVIMIENTOS!$B$5:$B$1005="REGALO")*(MOVIMIENTOS!$C$5:$C$1005="C")*(MOVIMIENTOS!$D$5:$D$1005="jabas")*(MOVIMIENTOS!$A$5:$A$1005&lt;&gt;"")*(MOVIMIENTOS!$A$5:$A$1005&lt;=$A606)*MOVIMIENTOS!$E$5:$E$1005)-SUMPRODUCT((MOVIMIENTOS!$B$5:$B$1005="VENTA")*(MOVIMIENTOS!$C$5:$C$1005="C")*(MOVIMIENTOS!$D$5:$D$1005="jabas")*(MOVIMIENTOS!$A$5:$A$1005&lt;&gt;"")*(MOVIMIENTOS!$A$5:$A$1005&lt;=$A606)*MOVIMIENTOS!$E$5:$E$1005)+SUMPRODUCT((MOVIMIENTOS!$B$5:$B$1005="AJUSTE")*(MOVIMIENTOS!$C$5:$C$1005="C")*(MOVIMIENTOS!$D$5:$D$1005="jabas")*(MOVIMIENTOS!$A$5:$A$1005&lt;&gt;"")*(MOVIMIENTOS!$A$5:$A$1005&lt;=$A606)*MOVIMIENTOS!$E$5:$E$1005))</f>
        <v/>
      </c>
      <c r="E606" t="str">
        <f>IF($A606="","",SUMPRODUCT((MOVIMIENTOS!$B$5:$B$1005="SALDO INICIAL")*(MOVIMIENTOS!$C$5:$C$1005="M")*(MOVIMIENTOS!$D$5:$D$1005="jabas")*(MOVIMIENTOS!$A$5:$A$1005&lt;&gt;"")*(MOVIMIENTOS!$A$5:$A$1005&lt;=$A606)*MOVIMIENTOS!$E$5:$E$1005)+SUMPRODUCT((MOVIMIENTOS!$B$5:$B$1005="PROCESO")*(MOVIMIENTOS!$C$5:$C$1005="M")*(MOVIMIENTOS!$D$5:$D$1005="jabas")*(MOVIMIENTOS!$A$5:$A$1005&lt;&gt;"")*(MOVIMIENTOS!$A$5:$A$1005&lt;=$A606)*MOVIMIENTOS!$E$5:$E$1005)-SUMPRODUCT((MOVIMIENTOS!$B$5:$B$1005="ENVÍO A SUPESA")*(MOVIMIENTOS!$C$5:$C$1005="M")*(MOVIMIENTOS!$D$5:$D$1005="jabas")*(MOVIMIENTOS!$A$5:$A$1005&lt;&gt;"")*(MOVIMIENTOS!$A$5:$A$1005&lt;=$A606)*MOVIMIENTOS!$E$5:$E$1005)+SUMPRODUCT((MOVIMIENTOS!$B$5:$B$1005="DEVOLUCIÓN")*(MOVIMIENTOS!$C$5:$C$1005="M")*(MOVIMIENTOS!$D$5:$D$1005="jabas")*(MOVIMIENTOS!$A$5:$A$1005&lt;&gt;"")*(MOVIMIENTOS!$A$5:$A$1005&lt;=$A606)*MOVIMIENTOS!$E$5:$E$1005)-SUMPRODUCT((MOVIMIENTOS!$B$5:$B$1005="TRASIEGO")*(MOVIMIENTOS!$C$5:$C$1005="M")*(MOVIMIENTOS!$D$5:$D$1005="jabas")*(MOVIMIENTOS!$A$5:$A$1005&lt;&gt;"")*(MOVIMIENTOS!$A$5:$A$1005&lt;=$A606)*MOVIMIENTOS!$E$5:$E$1005)-SUMPRODUCT((MOVIMIENTOS!$B$5:$B$1005="REGALO")*(MOVIMIENTOS!$C$5:$C$1005="M")*(MOVIMIENTOS!$D$5:$D$1005="jabas")*(MOVIMIENTOS!$A$5:$A$1005&lt;&gt;"")*(MOVIMIENTOS!$A$5:$A$1005&lt;=$A606)*MOVIMIENTOS!$E$5:$E$1005)-SUMPRODUCT((MOVIMIENTOS!$B$5:$B$1005="VENTA")*(MOVIMIENTOS!$C$5:$C$1005="M")*(MOVIMIENTOS!$D$5:$D$1005="jabas")*(MOVIMIENTOS!$A$5:$A$1005&lt;&gt;"")*(MOVIMIENTOS!$A$5:$A$1005&lt;=$A606)*MOVIMIENTOS!$E$5:$E$1005)+SUMPRODUCT((MOVIMIENTOS!$B$5:$B$1005="AJUSTE")*(MOVIMIENTOS!$C$5:$C$1005="M")*(MOVIMIENTOS!$D$5:$D$1005="jabas")*(MOVIMIENTOS!$A$5:$A$1005&lt;&gt;"")*(MOVIMIENTOS!$A$5:$A$1005&lt;=$A606)*MOVIMIENTOS!$E$5:$E$1005))</f>
        <v/>
      </c>
      <c r="F606" s="62" t="str">
        <f>IF($A606="","",SUMPRODUCT((MOVIMIENTOS!$B$5:$B$1005="SALDO INICIAL")*(MOVIMIENTOS!$C$5:$C$1005="Chancho")*(MOVIMIENTOS!$D$5:$D$1005="sacos")*(MOVIMIENTOS!$A$5:$A$1005&lt;&gt;"")*(MOVIMIENTOS!$A$5:$A$1005&lt;=$A606)*MOVIMIENTOS!$E$5:$E$1005)+SUMPRODUCT((MOVIMIENTOS!$B$5:$B$1005="PROCESO")*(MOVIMIENTOS!$C$5:$C$1005="Chancho")*(MOVIMIENTOS!$D$5:$D$1005="sacos")*(MOVIMIENTOS!$A$5:$A$1005&lt;&gt;"")*(MOVIMIENTOS!$A$5:$A$1005&lt;=$A606)*MOVIMIENTOS!$E$5:$E$1005)-SUMPRODUCT((MOVIMIENTOS!$B$5:$B$1005="VENTA CHANCHO")*(MOVIMIENTOS!$C$5:$C$1005="Chancho")*(MOVIMIENTOS!$D$5:$D$1005="sacos")*(MOVIMIENTOS!$A$5:$A$1005&lt;&gt;"")*(MOVIMIENTOS!$A$5:$A$1005&lt;=$A606)*MOVIMIENTOS!$E$5:$E$1005)-SUMPRODUCT((MOVIMIENTOS!$B$5:$B$1005="REGALO")*(MOVIMIENTOS!$C$5:$C$1005="Chancho")*(MOVIMIENTOS!$D$5:$D$1005="sacos")*(MOVIMIENTOS!$A$5:$A$1005&lt;&gt;"")*(MOVIMIENTOS!$A$5:$A$1005&lt;=$A606)*MOVIMIENTOS!$E$5:$E$1005)-SUMPRODUCT((MOVIMIENTOS!$B$5:$B$1005="VENTA")*(MOVIMIENTOS!$C$5:$C$1005="Chancho")*(MOVIMIENTOS!$D$5:$D$1005="sacos")*(MOVIMIENTOS!$A$5:$A$1005&lt;&gt;"")*(MOVIMIENTOS!$A$5:$A$1005&lt;=$A606)*MOVIMIENTOS!$E$5:$E$1005)+SUMPRODUCT((MOVIMIENTOS!$B$5:$B$1005="AJUSTE")*(MOVIMIENTOS!$C$5:$C$1005="Chancho")*(MOVIMIENTOS!$D$5:$D$1005="sacos")*(MOVIMIENTOS!$A$5:$A$1005&lt;&gt;"")*(MOVIMIENTOS!$A$5:$A$1005&lt;=$A606)*MOVIMIENTOS!$E$5:$E$1005))</f>
        <v/>
      </c>
      <c r="G606" s="62" t="str">
        <f t="shared" si="19"/>
        <v/>
      </c>
      <c r="H606" t="str">
        <f>IF($A606="","",SUMPRODUCT((((MOVIMIENTOS!$B$5:$B$1005="SALDO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606)*MOVIMIENTOS!$J$5:$J$1005))</f>
        <v/>
      </c>
      <c r="J606" t="str">
        <f>IF(AND(MOVIMIENTOS!$A611&lt;&gt;"",COUNTIF(MOVIMIENTOS!$A$5:$A610,MOVIMIENTOS!$A611)=0),COUNT(J$4:J605)+1,"")</f>
        <v/>
      </c>
      <c r="K606">
        <f>MOVIMIENTOS!$A611</f>
        <v>0</v>
      </c>
    </row>
    <row r="607" spans="1:11" ht="15" customHeight="1" x14ac:dyDescent="0.2">
      <c r="A607" t="str">
        <f t="shared" si="18"/>
        <v/>
      </c>
      <c r="B607" t="str">
        <f>IF($A607="","",SUMPRODUCT((MOVIMIENTOS!$B$5:$B$1005="SALDO INICIAL")*(MOVIMIENTOS!$C$5:$C$1005="A")*(MOVIMIENTOS!$D$5:$D$1005="jabas")*(MOVIMIENTOS!$A$5:$A$1005&lt;&gt;"")*(MOVIMIENTOS!$A$5:$A$1005&lt;=$A607)*MOVIMIENTOS!$E$5:$E$1005)+SUMPRODUCT((MOVIMIENTOS!$B$5:$B$1005="PROCESO")*(MOVIMIENTOS!$C$5:$C$1005="A")*(MOVIMIENTOS!$D$5:$D$1005="jabas")*(MOVIMIENTOS!$A$5:$A$1005&lt;&gt;"")*(MOVIMIENTOS!$A$5:$A$1005&lt;=$A607)*MOVIMIENTOS!$E$5:$E$1005)-SUMPRODUCT((MOVIMIENTOS!$B$5:$B$1005="ENVÍO A SUPESA")*(MOVIMIENTOS!$C$5:$C$1005="A")*(MOVIMIENTOS!$D$5:$D$1005="jabas")*(MOVIMIENTOS!$A$5:$A$1005&lt;&gt;"")*(MOVIMIENTOS!$A$5:$A$1005&lt;=$A607)*MOVIMIENTOS!$E$5:$E$1005)+SUMPRODUCT((MOVIMIENTOS!$B$5:$B$1005="DEVOLUCIÓN")*(MOVIMIENTOS!$C$5:$C$1005="A")*(MOVIMIENTOS!$D$5:$D$1005="jabas")*(MOVIMIENTOS!$A$5:$A$1005&lt;&gt;"")*(MOVIMIENTOS!$A$5:$A$1005&lt;=$A607)*MOVIMIENTOS!$E$5:$E$1005)-SUMPRODUCT((MOVIMIENTOS!$B$5:$B$1005="TRASIEGO")*(MOVIMIENTOS!$C$5:$C$1005="A")*(MOVIMIENTOS!$D$5:$D$1005="jabas")*(MOVIMIENTOS!$A$5:$A$1005&lt;&gt;"")*(MOVIMIENTOS!$A$5:$A$1005&lt;=$A607)*MOVIMIENTOS!$E$5:$E$1005)-SUMPRODUCT((MOVIMIENTOS!$B$5:$B$1005="REGALO")*(MOVIMIENTOS!$C$5:$C$1005="A")*(MOVIMIENTOS!$D$5:$D$1005="jabas")*(MOVIMIENTOS!$A$5:$A$1005&lt;&gt;"")*(MOVIMIENTOS!$A$5:$A$1005&lt;=$A607)*MOVIMIENTOS!$E$5:$E$1005)-SUMPRODUCT((MOVIMIENTOS!$B$5:$B$1005="VENTA")*(MOVIMIENTOS!$C$5:$C$1005="A")*(MOVIMIENTOS!$D$5:$D$1005="jabas")*(MOVIMIENTOS!$A$5:$A$1005&lt;&gt;"")*(MOVIMIENTOS!$A$5:$A$1005&lt;=$A607)*MOVIMIENTOS!$E$5:$E$1005)+SUMPRODUCT((MOVIMIENTOS!$B$5:$B$1005="AJUSTE")*(MOVIMIENTOS!$C$5:$C$1005="A")*(MOVIMIENTOS!$D$5:$D$1005="jabas")*(MOVIMIENTOS!$A$5:$A$1005&lt;&gt;"")*(MOVIMIENTOS!$A$5:$A$1005&lt;=$A607)*MOVIMIENTOS!$E$5:$E$1005))</f>
        <v/>
      </c>
      <c r="C607" t="str">
        <f>IF($A607="","",SUMPRODUCT((MOVIMIENTOS!$B$5:$B$1005="SALDO INICIAL")*(MOVIMIENTOS!$C$5:$C$1005="P")*(MOVIMIENTOS!$D$5:$D$1005="jabas")*(MOVIMIENTOS!$A$5:$A$1005&lt;&gt;"")*(MOVIMIENTOS!$A$5:$A$1005&lt;=$A607)*MOVIMIENTOS!$E$5:$E$1005)+SUMPRODUCT((MOVIMIENTOS!$B$5:$B$1005="PROCESO")*(MOVIMIENTOS!$C$5:$C$1005="P")*(MOVIMIENTOS!$D$5:$D$1005="jabas")*(MOVIMIENTOS!$A$5:$A$1005&lt;&gt;"")*(MOVIMIENTOS!$A$5:$A$1005&lt;=$A607)*MOVIMIENTOS!$E$5:$E$1005)-SUMPRODUCT((MOVIMIENTOS!$B$5:$B$1005="ENVÍO A SUPESA")*(MOVIMIENTOS!$C$5:$C$1005="P")*(MOVIMIENTOS!$D$5:$D$1005="jabas")*(MOVIMIENTOS!$A$5:$A$1005&lt;&gt;"")*(MOVIMIENTOS!$A$5:$A$1005&lt;=$A607)*MOVIMIENTOS!$E$5:$E$1005)+SUMPRODUCT((MOVIMIENTOS!$B$5:$B$1005="DEVOLUCIÓN")*(MOVIMIENTOS!$C$5:$C$1005="P")*(MOVIMIENTOS!$D$5:$D$1005="jabas")*(MOVIMIENTOS!$A$5:$A$1005&lt;&gt;"")*(MOVIMIENTOS!$A$5:$A$1005&lt;=$A607)*MOVIMIENTOS!$E$5:$E$1005)-SUMPRODUCT((MOVIMIENTOS!$B$5:$B$1005="TRASIEGO")*(MOVIMIENTOS!$C$5:$C$1005="P")*(MOVIMIENTOS!$D$5:$D$1005="jabas")*(MOVIMIENTOS!$A$5:$A$1005&lt;&gt;"")*(MOVIMIENTOS!$A$5:$A$1005&lt;=$A607)*MOVIMIENTOS!$E$5:$E$1005)-SUMPRODUCT((MOVIMIENTOS!$B$5:$B$1005="REGALO")*(MOVIMIENTOS!$C$5:$C$1005="P")*(MOVIMIENTOS!$D$5:$D$1005="jabas")*(MOVIMIENTOS!$A$5:$A$1005&lt;&gt;"")*(MOVIMIENTOS!$A$5:$A$1005&lt;=$A607)*MOVIMIENTOS!$E$5:$E$1005)-SUMPRODUCT((MOVIMIENTOS!$B$5:$B$1005="VENTA")*(MOVIMIENTOS!$C$5:$C$1005="P")*(MOVIMIENTOS!$D$5:$D$1005="jabas")*(MOVIMIENTOS!$A$5:$A$1005&lt;&gt;"")*(MOVIMIENTOS!$A$5:$A$1005&lt;=$A607)*MOVIMIENTOS!$E$5:$E$1005)+SUMPRODUCT((MOVIMIENTOS!$B$5:$B$1005="AJUSTE")*(MOVIMIENTOS!$C$5:$C$1005="P")*(MOVIMIENTOS!$D$5:$D$1005="jabas")*(MOVIMIENTOS!$A$5:$A$1005&lt;&gt;"")*(MOVIMIENTOS!$A$5:$A$1005&lt;=$A607)*MOVIMIENTOS!$E$5:$E$1005))</f>
        <v/>
      </c>
      <c r="D607" t="str">
        <f>IF($A607="","",SUMPRODUCT((MOVIMIENTOS!$B$5:$B$1005="SALDO INICIAL")*(MOVIMIENTOS!$C$5:$C$1005="C")*(MOVIMIENTOS!$D$5:$D$1005="jabas")*(MOVIMIENTOS!$A$5:$A$1005&lt;&gt;"")*(MOVIMIENTOS!$A$5:$A$1005&lt;=$A607)*MOVIMIENTOS!$E$5:$E$1005)+SUMPRODUCT((MOVIMIENTOS!$B$5:$B$1005="PROCESO")*(MOVIMIENTOS!$C$5:$C$1005="C")*(MOVIMIENTOS!$D$5:$D$1005="jabas")*(MOVIMIENTOS!$A$5:$A$1005&lt;&gt;"")*(MOVIMIENTOS!$A$5:$A$1005&lt;=$A607)*MOVIMIENTOS!$E$5:$E$1005)-SUMPRODUCT((MOVIMIENTOS!$B$5:$B$1005="ENVÍO A SUPESA")*(MOVIMIENTOS!$C$5:$C$1005="C")*(MOVIMIENTOS!$D$5:$D$1005="jabas")*(MOVIMIENTOS!$A$5:$A$1005&lt;&gt;"")*(MOVIMIENTOS!$A$5:$A$1005&lt;=$A607)*MOVIMIENTOS!$E$5:$E$1005)+SUMPRODUCT((MOVIMIENTOS!$B$5:$B$1005="DEVOLUCIÓN")*(MOVIMIENTOS!$C$5:$C$1005="C")*(MOVIMIENTOS!$D$5:$D$1005="jabas")*(MOVIMIENTOS!$A$5:$A$1005&lt;&gt;"")*(MOVIMIENTOS!$A$5:$A$1005&lt;=$A607)*MOVIMIENTOS!$E$5:$E$1005)-SUMPRODUCT((MOVIMIENTOS!$B$5:$B$1005="TRASIEGO")*(MOVIMIENTOS!$C$5:$C$1005="C")*(MOVIMIENTOS!$D$5:$D$1005="jabas")*(MOVIMIENTOS!$A$5:$A$1005&lt;&gt;"")*(MOVIMIENTOS!$A$5:$A$1005&lt;=$A607)*MOVIMIENTOS!$E$5:$E$1005)-SUMPRODUCT((MOVIMIENTOS!$B$5:$B$1005="REGALO")*(MOVIMIENTOS!$C$5:$C$1005="C")*(MOVIMIENTOS!$D$5:$D$1005="jabas")*(MOVIMIENTOS!$A$5:$A$1005&lt;&gt;"")*(MOVIMIENTOS!$A$5:$A$1005&lt;=$A607)*MOVIMIENTOS!$E$5:$E$1005)-SUMPRODUCT((MOVIMIENTOS!$B$5:$B$1005="VENTA")*(MOVIMIENTOS!$C$5:$C$1005="C")*(MOVIMIENTOS!$D$5:$D$1005="jabas")*(MOVIMIENTOS!$A$5:$A$1005&lt;&gt;"")*(MOVIMIENTOS!$A$5:$A$1005&lt;=$A607)*MOVIMIENTOS!$E$5:$E$1005)+SUMPRODUCT((MOVIMIENTOS!$B$5:$B$1005="AJUSTE")*(MOVIMIENTOS!$C$5:$C$1005="C")*(MOVIMIENTOS!$D$5:$D$1005="jabas")*(MOVIMIENTOS!$A$5:$A$1005&lt;&gt;"")*(MOVIMIENTOS!$A$5:$A$1005&lt;=$A607)*MOVIMIENTOS!$E$5:$E$1005))</f>
        <v/>
      </c>
      <c r="E607" t="str">
        <f>IF($A607="","",SUMPRODUCT((MOVIMIENTOS!$B$5:$B$1005="SALDO INICIAL")*(MOVIMIENTOS!$C$5:$C$1005="M")*(MOVIMIENTOS!$D$5:$D$1005="jabas")*(MOVIMIENTOS!$A$5:$A$1005&lt;&gt;"")*(MOVIMIENTOS!$A$5:$A$1005&lt;=$A607)*MOVIMIENTOS!$E$5:$E$1005)+SUMPRODUCT((MOVIMIENTOS!$B$5:$B$1005="PROCESO")*(MOVIMIENTOS!$C$5:$C$1005="M")*(MOVIMIENTOS!$D$5:$D$1005="jabas")*(MOVIMIENTOS!$A$5:$A$1005&lt;&gt;"")*(MOVIMIENTOS!$A$5:$A$1005&lt;=$A607)*MOVIMIENTOS!$E$5:$E$1005)-SUMPRODUCT((MOVIMIENTOS!$B$5:$B$1005="ENVÍO A SUPESA")*(MOVIMIENTOS!$C$5:$C$1005="M")*(MOVIMIENTOS!$D$5:$D$1005="jabas")*(MOVIMIENTOS!$A$5:$A$1005&lt;&gt;"")*(MOVIMIENTOS!$A$5:$A$1005&lt;=$A607)*MOVIMIENTOS!$E$5:$E$1005)+SUMPRODUCT((MOVIMIENTOS!$B$5:$B$1005="DEVOLUCIÓN")*(MOVIMIENTOS!$C$5:$C$1005="M")*(MOVIMIENTOS!$D$5:$D$1005="jabas")*(MOVIMIENTOS!$A$5:$A$1005&lt;&gt;"")*(MOVIMIENTOS!$A$5:$A$1005&lt;=$A607)*MOVIMIENTOS!$E$5:$E$1005)-SUMPRODUCT((MOVIMIENTOS!$B$5:$B$1005="TRASIEGO")*(MOVIMIENTOS!$C$5:$C$1005="M")*(MOVIMIENTOS!$D$5:$D$1005="jabas")*(MOVIMIENTOS!$A$5:$A$1005&lt;&gt;"")*(MOVIMIENTOS!$A$5:$A$1005&lt;=$A607)*MOVIMIENTOS!$E$5:$E$1005)-SUMPRODUCT((MOVIMIENTOS!$B$5:$B$1005="REGALO")*(MOVIMIENTOS!$C$5:$C$1005="M")*(MOVIMIENTOS!$D$5:$D$1005="jabas")*(MOVIMIENTOS!$A$5:$A$1005&lt;&gt;"")*(MOVIMIENTOS!$A$5:$A$1005&lt;=$A607)*MOVIMIENTOS!$E$5:$E$1005)-SUMPRODUCT((MOVIMIENTOS!$B$5:$B$1005="VENTA")*(MOVIMIENTOS!$C$5:$C$1005="M")*(MOVIMIENTOS!$D$5:$D$1005="jabas")*(MOVIMIENTOS!$A$5:$A$1005&lt;&gt;"")*(MOVIMIENTOS!$A$5:$A$1005&lt;=$A607)*MOVIMIENTOS!$E$5:$E$1005)+SUMPRODUCT((MOVIMIENTOS!$B$5:$B$1005="AJUSTE")*(MOVIMIENTOS!$C$5:$C$1005="M")*(MOVIMIENTOS!$D$5:$D$1005="jabas")*(MOVIMIENTOS!$A$5:$A$1005&lt;&gt;"")*(MOVIMIENTOS!$A$5:$A$1005&lt;=$A607)*MOVIMIENTOS!$E$5:$E$1005))</f>
        <v/>
      </c>
      <c r="F607" s="62" t="str">
        <f>IF($A607="","",SUMPRODUCT((MOVIMIENTOS!$B$5:$B$1005="SALDO INICIAL")*(MOVIMIENTOS!$C$5:$C$1005="Chancho")*(MOVIMIENTOS!$D$5:$D$1005="sacos")*(MOVIMIENTOS!$A$5:$A$1005&lt;&gt;"")*(MOVIMIENTOS!$A$5:$A$1005&lt;=$A607)*MOVIMIENTOS!$E$5:$E$1005)+SUMPRODUCT((MOVIMIENTOS!$B$5:$B$1005="PROCESO")*(MOVIMIENTOS!$C$5:$C$1005="Chancho")*(MOVIMIENTOS!$D$5:$D$1005="sacos")*(MOVIMIENTOS!$A$5:$A$1005&lt;&gt;"")*(MOVIMIENTOS!$A$5:$A$1005&lt;=$A607)*MOVIMIENTOS!$E$5:$E$1005)-SUMPRODUCT((MOVIMIENTOS!$B$5:$B$1005="VENTA CHANCHO")*(MOVIMIENTOS!$C$5:$C$1005="Chancho")*(MOVIMIENTOS!$D$5:$D$1005="sacos")*(MOVIMIENTOS!$A$5:$A$1005&lt;&gt;"")*(MOVIMIENTOS!$A$5:$A$1005&lt;=$A607)*MOVIMIENTOS!$E$5:$E$1005)-SUMPRODUCT((MOVIMIENTOS!$B$5:$B$1005="REGALO")*(MOVIMIENTOS!$C$5:$C$1005="Chancho")*(MOVIMIENTOS!$D$5:$D$1005="sacos")*(MOVIMIENTOS!$A$5:$A$1005&lt;&gt;"")*(MOVIMIENTOS!$A$5:$A$1005&lt;=$A607)*MOVIMIENTOS!$E$5:$E$1005)-SUMPRODUCT((MOVIMIENTOS!$B$5:$B$1005="VENTA")*(MOVIMIENTOS!$C$5:$C$1005="Chancho")*(MOVIMIENTOS!$D$5:$D$1005="sacos")*(MOVIMIENTOS!$A$5:$A$1005&lt;&gt;"")*(MOVIMIENTOS!$A$5:$A$1005&lt;=$A607)*MOVIMIENTOS!$E$5:$E$1005)+SUMPRODUCT((MOVIMIENTOS!$B$5:$B$1005="AJUSTE")*(MOVIMIENTOS!$C$5:$C$1005="Chancho")*(MOVIMIENTOS!$D$5:$D$1005="sacos")*(MOVIMIENTOS!$A$5:$A$1005&lt;&gt;"")*(MOVIMIENTOS!$A$5:$A$1005&lt;=$A607)*MOVIMIENTOS!$E$5:$E$1005))</f>
        <v/>
      </c>
      <c r="G607" s="62" t="str">
        <f t="shared" si="19"/>
        <v/>
      </c>
      <c r="H607" t="str">
        <f>IF($A607="","",SUMPRODUCT((((MOVIMIENTOS!$B$5:$B$1005="SALDO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607)*MOVIMIENTOS!$J$5:$J$1005))</f>
        <v/>
      </c>
      <c r="J607" t="str">
        <f>IF(AND(MOVIMIENTOS!$A612&lt;&gt;"",COUNTIF(MOVIMIENTOS!$A$5:$A611,MOVIMIENTOS!$A612)=0),COUNT(J$4:J606)+1,"")</f>
        <v/>
      </c>
      <c r="K607">
        <f>MOVIMIENTOS!$A612</f>
        <v>0</v>
      </c>
    </row>
    <row r="608" spans="1:11" ht="15" customHeight="1" x14ac:dyDescent="0.2">
      <c r="A608" t="str">
        <f t="shared" si="18"/>
        <v/>
      </c>
      <c r="B608" t="str">
        <f>IF($A608="","",SUMPRODUCT((MOVIMIENTOS!$B$5:$B$1005="SALDO INICIAL")*(MOVIMIENTOS!$C$5:$C$1005="A")*(MOVIMIENTOS!$D$5:$D$1005="jabas")*(MOVIMIENTOS!$A$5:$A$1005&lt;&gt;"")*(MOVIMIENTOS!$A$5:$A$1005&lt;=$A608)*MOVIMIENTOS!$E$5:$E$1005)+SUMPRODUCT((MOVIMIENTOS!$B$5:$B$1005="PROCESO")*(MOVIMIENTOS!$C$5:$C$1005="A")*(MOVIMIENTOS!$D$5:$D$1005="jabas")*(MOVIMIENTOS!$A$5:$A$1005&lt;&gt;"")*(MOVIMIENTOS!$A$5:$A$1005&lt;=$A608)*MOVIMIENTOS!$E$5:$E$1005)-SUMPRODUCT((MOVIMIENTOS!$B$5:$B$1005="ENVÍO A SUPESA")*(MOVIMIENTOS!$C$5:$C$1005="A")*(MOVIMIENTOS!$D$5:$D$1005="jabas")*(MOVIMIENTOS!$A$5:$A$1005&lt;&gt;"")*(MOVIMIENTOS!$A$5:$A$1005&lt;=$A608)*MOVIMIENTOS!$E$5:$E$1005)+SUMPRODUCT((MOVIMIENTOS!$B$5:$B$1005="DEVOLUCIÓN")*(MOVIMIENTOS!$C$5:$C$1005="A")*(MOVIMIENTOS!$D$5:$D$1005="jabas")*(MOVIMIENTOS!$A$5:$A$1005&lt;&gt;"")*(MOVIMIENTOS!$A$5:$A$1005&lt;=$A608)*MOVIMIENTOS!$E$5:$E$1005)-SUMPRODUCT((MOVIMIENTOS!$B$5:$B$1005="TRASIEGO")*(MOVIMIENTOS!$C$5:$C$1005="A")*(MOVIMIENTOS!$D$5:$D$1005="jabas")*(MOVIMIENTOS!$A$5:$A$1005&lt;&gt;"")*(MOVIMIENTOS!$A$5:$A$1005&lt;=$A608)*MOVIMIENTOS!$E$5:$E$1005)-SUMPRODUCT((MOVIMIENTOS!$B$5:$B$1005="REGALO")*(MOVIMIENTOS!$C$5:$C$1005="A")*(MOVIMIENTOS!$D$5:$D$1005="jabas")*(MOVIMIENTOS!$A$5:$A$1005&lt;&gt;"")*(MOVIMIENTOS!$A$5:$A$1005&lt;=$A608)*MOVIMIENTOS!$E$5:$E$1005)-SUMPRODUCT((MOVIMIENTOS!$B$5:$B$1005="VENTA")*(MOVIMIENTOS!$C$5:$C$1005="A")*(MOVIMIENTOS!$D$5:$D$1005="jabas")*(MOVIMIENTOS!$A$5:$A$1005&lt;&gt;"")*(MOVIMIENTOS!$A$5:$A$1005&lt;=$A608)*MOVIMIENTOS!$E$5:$E$1005)+SUMPRODUCT((MOVIMIENTOS!$B$5:$B$1005="AJUSTE")*(MOVIMIENTOS!$C$5:$C$1005="A")*(MOVIMIENTOS!$D$5:$D$1005="jabas")*(MOVIMIENTOS!$A$5:$A$1005&lt;&gt;"")*(MOVIMIENTOS!$A$5:$A$1005&lt;=$A608)*MOVIMIENTOS!$E$5:$E$1005))</f>
        <v/>
      </c>
      <c r="C608" t="str">
        <f>IF($A608="","",SUMPRODUCT((MOVIMIENTOS!$B$5:$B$1005="SALDO INICIAL")*(MOVIMIENTOS!$C$5:$C$1005="P")*(MOVIMIENTOS!$D$5:$D$1005="jabas")*(MOVIMIENTOS!$A$5:$A$1005&lt;&gt;"")*(MOVIMIENTOS!$A$5:$A$1005&lt;=$A608)*MOVIMIENTOS!$E$5:$E$1005)+SUMPRODUCT((MOVIMIENTOS!$B$5:$B$1005="PROCESO")*(MOVIMIENTOS!$C$5:$C$1005="P")*(MOVIMIENTOS!$D$5:$D$1005="jabas")*(MOVIMIENTOS!$A$5:$A$1005&lt;&gt;"")*(MOVIMIENTOS!$A$5:$A$1005&lt;=$A608)*MOVIMIENTOS!$E$5:$E$1005)-SUMPRODUCT((MOVIMIENTOS!$B$5:$B$1005="ENVÍO A SUPESA")*(MOVIMIENTOS!$C$5:$C$1005="P")*(MOVIMIENTOS!$D$5:$D$1005="jabas")*(MOVIMIENTOS!$A$5:$A$1005&lt;&gt;"")*(MOVIMIENTOS!$A$5:$A$1005&lt;=$A608)*MOVIMIENTOS!$E$5:$E$1005)+SUMPRODUCT((MOVIMIENTOS!$B$5:$B$1005="DEVOLUCIÓN")*(MOVIMIENTOS!$C$5:$C$1005="P")*(MOVIMIENTOS!$D$5:$D$1005="jabas")*(MOVIMIENTOS!$A$5:$A$1005&lt;&gt;"")*(MOVIMIENTOS!$A$5:$A$1005&lt;=$A608)*MOVIMIENTOS!$E$5:$E$1005)-SUMPRODUCT((MOVIMIENTOS!$B$5:$B$1005="TRASIEGO")*(MOVIMIENTOS!$C$5:$C$1005="P")*(MOVIMIENTOS!$D$5:$D$1005="jabas")*(MOVIMIENTOS!$A$5:$A$1005&lt;&gt;"")*(MOVIMIENTOS!$A$5:$A$1005&lt;=$A608)*MOVIMIENTOS!$E$5:$E$1005)-SUMPRODUCT((MOVIMIENTOS!$B$5:$B$1005="REGALO")*(MOVIMIENTOS!$C$5:$C$1005="P")*(MOVIMIENTOS!$D$5:$D$1005="jabas")*(MOVIMIENTOS!$A$5:$A$1005&lt;&gt;"")*(MOVIMIENTOS!$A$5:$A$1005&lt;=$A608)*MOVIMIENTOS!$E$5:$E$1005)-SUMPRODUCT((MOVIMIENTOS!$B$5:$B$1005="VENTA")*(MOVIMIENTOS!$C$5:$C$1005="P")*(MOVIMIENTOS!$D$5:$D$1005="jabas")*(MOVIMIENTOS!$A$5:$A$1005&lt;&gt;"")*(MOVIMIENTOS!$A$5:$A$1005&lt;=$A608)*MOVIMIENTOS!$E$5:$E$1005)+SUMPRODUCT((MOVIMIENTOS!$B$5:$B$1005="AJUSTE")*(MOVIMIENTOS!$C$5:$C$1005="P")*(MOVIMIENTOS!$D$5:$D$1005="jabas")*(MOVIMIENTOS!$A$5:$A$1005&lt;&gt;"")*(MOVIMIENTOS!$A$5:$A$1005&lt;=$A608)*MOVIMIENTOS!$E$5:$E$1005))</f>
        <v/>
      </c>
      <c r="D608" t="str">
        <f>IF($A608="","",SUMPRODUCT((MOVIMIENTOS!$B$5:$B$1005="SALDO INICIAL")*(MOVIMIENTOS!$C$5:$C$1005="C")*(MOVIMIENTOS!$D$5:$D$1005="jabas")*(MOVIMIENTOS!$A$5:$A$1005&lt;&gt;"")*(MOVIMIENTOS!$A$5:$A$1005&lt;=$A608)*MOVIMIENTOS!$E$5:$E$1005)+SUMPRODUCT((MOVIMIENTOS!$B$5:$B$1005="PROCESO")*(MOVIMIENTOS!$C$5:$C$1005="C")*(MOVIMIENTOS!$D$5:$D$1005="jabas")*(MOVIMIENTOS!$A$5:$A$1005&lt;&gt;"")*(MOVIMIENTOS!$A$5:$A$1005&lt;=$A608)*MOVIMIENTOS!$E$5:$E$1005)-SUMPRODUCT((MOVIMIENTOS!$B$5:$B$1005="ENVÍO A SUPESA")*(MOVIMIENTOS!$C$5:$C$1005="C")*(MOVIMIENTOS!$D$5:$D$1005="jabas")*(MOVIMIENTOS!$A$5:$A$1005&lt;&gt;"")*(MOVIMIENTOS!$A$5:$A$1005&lt;=$A608)*MOVIMIENTOS!$E$5:$E$1005)+SUMPRODUCT((MOVIMIENTOS!$B$5:$B$1005="DEVOLUCIÓN")*(MOVIMIENTOS!$C$5:$C$1005="C")*(MOVIMIENTOS!$D$5:$D$1005="jabas")*(MOVIMIENTOS!$A$5:$A$1005&lt;&gt;"")*(MOVIMIENTOS!$A$5:$A$1005&lt;=$A608)*MOVIMIENTOS!$E$5:$E$1005)-SUMPRODUCT((MOVIMIENTOS!$B$5:$B$1005="TRASIEGO")*(MOVIMIENTOS!$C$5:$C$1005="C")*(MOVIMIENTOS!$D$5:$D$1005="jabas")*(MOVIMIENTOS!$A$5:$A$1005&lt;&gt;"")*(MOVIMIENTOS!$A$5:$A$1005&lt;=$A608)*MOVIMIENTOS!$E$5:$E$1005)-SUMPRODUCT((MOVIMIENTOS!$B$5:$B$1005="REGALO")*(MOVIMIENTOS!$C$5:$C$1005="C")*(MOVIMIENTOS!$D$5:$D$1005="jabas")*(MOVIMIENTOS!$A$5:$A$1005&lt;&gt;"")*(MOVIMIENTOS!$A$5:$A$1005&lt;=$A608)*MOVIMIENTOS!$E$5:$E$1005)-SUMPRODUCT((MOVIMIENTOS!$B$5:$B$1005="VENTA")*(MOVIMIENTOS!$C$5:$C$1005="C")*(MOVIMIENTOS!$D$5:$D$1005="jabas")*(MOVIMIENTOS!$A$5:$A$1005&lt;&gt;"")*(MOVIMIENTOS!$A$5:$A$1005&lt;=$A608)*MOVIMIENTOS!$E$5:$E$1005)+SUMPRODUCT((MOVIMIENTOS!$B$5:$B$1005="AJUSTE")*(MOVIMIENTOS!$C$5:$C$1005="C")*(MOVIMIENTOS!$D$5:$D$1005="jabas")*(MOVIMIENTOS!$A$5:$A$1005&lt;&gt;"")*(MOVIMIENTOS!$A$5:$A$1005&lt;=$A608)*MOVIMIENTOS!$E$5:$E$1005))</f>
        <v/>
      </c>
      <c r="E608" t="str">
        <f>IF($A608="","",SUMPRODUCT((MOVIMIENTOS!$B$5:$B$1005="SALDO INICIAL")*(MOVIMIENTOS!$C$5:$C$1005="M")*(MOVIMIENTOS!$D$5:$D$1005="jabas")*(MOVIMIENTOS!$A$5:$A$1005&lt;&gt;"")*(MOVIMIENTOS!$A$5:$A$1005&lt;=$A608)*MOVIMIENTOS!$E$5:$E$1005)+SUMPRODUCT((MOVIMIENTOS!$B$5:$B$1005="PROCESO")*(MOVIMIENTOS!$C$5:$C$1005="M")*(MOVIMIENTOS!$D$5:$D$1005="jabas")*(MOVIMIENTOS!$A$5:$A$1005&lt;&gt;"")*(MOVIMIENTOS!$A$5:$A$1005&lt;=$A608)*MOVIMIENTOS!$E$5:$E$1005)-SUMPRODUCT((MOVIMIENTOS!$B$5:$B$1005="ENVÍO A SUPESA")*(MOVIMIENTOS!$C$5:$C$1005="M")*(MOVIMIENTOS!$D$5:$D$1005="jabas")*(MOVIMIENTOS!$A$5:$A$1005&lt;&gt;"")*(MOVIMIENTOS!$A$5:$A$1005&lt;=$A608)*MOVIMIENTOS!$E$5:$E$1005)+SUMPRODUCT((MOVIMIENTOS!$B$5:$B$1005="DEVOLUCIÓN")*(MOVIMIENTOS!$C$5:$C$1005="M")*(MOVIMIENTOS!$D$5:$D$1005="jabas")*(MOVIMIENTOS!$A$5:$A$1005&lt;&gt;"")*(MOVIMIENTOS!$A$5:$A$1005&lt;=$A608)*MOVIMIENTOS!$E$5:$E$1005)-SUMPRODUCT((MOVIMIENTOS!$B$5:$B$1005="TRASIEGO")*(MOVIMIENTOS!$C$5:$C$1005="M")*(MOVIMIENTOS!$D$5:$D$1005="jabas")*(MOVIMIENTOS!$A$5:$A$1005&lt;&gt;"")*(MOVIMIENTOS!$A$5:$A$1005&lt;=$A608)*MOVIMIENTOS!$E$5:$E$1005)-SUMPRODUCT((MOVIMIENTOS!$B$5:$B$1005="REGALO")*(MOVIMIENTOS!$C$5:$C$1005="M")*(MOVIMIENTOS!$D$5:$D$1005="jabas")*(MOVIMIENTOS!$A$5:$A$1005&lt;&gt;"")*(MOVIMIENTOS!$A$5:$A$1005&lt;=$A608)*MOVIMIENTOS!$E$5:$E$1005)-SUMPRODUCT((MOVIMIENTOS!$B$5:$B$1005="VENTA")*(MOVIMIENTOS!$C$5:$C$1005="M")*(MOVIMIENTOS!$D$5:$D$1005="jabas")*(MOVIMIENTOS!$A$5:$A$1005&lt;&gt;"")*(MOVIMIENTOS!$A$5:$A$1005&lt;=$A608)*MOVIMIENTOS!$E$5:$E$1005)+SUMPRODUCT((MOVIMIENTOS!$B$5:$B$1005="AJUSTE")*(MOVIMIENTOS!$C$5:$C$1005="M")*(MOVIMIENTOS!$D$5:$D$1005="jabas")*(MOVIMIENTOS!$A$5:$A$1005&lt;&gt;"")*(MOVIMIENTOS!$A$5:$A$1005&lt;=$A608)*MOVIMIENTOS!$E$5:$E$1005))</f>
        <v/>
      </c>
      <c r="F608" s="62" t="str">
        <f>IF($A608="","",SUMPRODUCT((MOVIMIENTOS!$B$5:$B$1005="SALDO INICIAL")*(MOVIMIENTOS!$C$5:$C$1005="Chancho")*(MOVIMIENTOS!$D$5:$D$1005="sacos")*(MOVIMIENTOS!$A$5:$A$1005&lt;&gt;"")*(MOVIMIENTOS!$A$5:$A$1005&lt;=$A608)*MOVIMIENTOS!$E$5:$E$1005)+SUMPRODUCT((MOVIMIENTOS!$B$5:$B$1005="PROCESO")*(MOVIMIENTOS!$C$5:$C$1005="Chancho")*(MOVIMIENTOS!$D$5:$D$1005="sacos")*(MOVIMIENTOS!$A$5:$A$1005&lt;&gt;"")*(MOVIMIENTOS!$A$5:$A$1005&lt;=$A608)*MOVIMIENTOS!$E$5:$E$1005)-SUMPRODUCT((MOVIMIENTOS!$B$5:$B$1005="VENTA CHANCHO")*(MOVIMIENTOS!$C$5:$C$1005="Chancho")*(MOVIMIENTOS!$D$5:$D$1005="sacos")*(MOVIMIENTOS!$A$5:$A$1005&lt;&gt;"")*(MOVIMIENTOS!$A$5:$A$1005&lt;=$A608)*MOVIMIENTOS!$E$5:$E$1005)-SUMPRODUCT((MOVIMIENTOS!$B$5:$B$1005="REGALO")*(MOVIMIENTOS!$C$5:$C$1005="Chancho")*(MOVIMIENTOS!$D$5:$D$1005="sacos")*(MOVIMIENTOS!$A$5:$A$1005&lt;&gt;"")*(MOVIMIENTOS!$A$5:$A$1005&lt;=$A608)*MOVIMIENTOS!$E$5:$E$1005)-SUMPRODUCT((MOVIMIENTOS!$B$5:$B$1005="VENTA")*(MOVIMIENTOS!$C$5:$C$1005="Chancho")*(MOVIMIENTOS!$D$5:$D$1005="sacos")*(MOVIMIENTOS!$A$5:$A$1005&lt;&gt;"")*(MOVIMIENTOS!$A$5:$A$1005&lt;=$A608)*MOVIMIENTOS!$E$5:$E$1005)+SUMPRODUCT((MOVIMIENTOS!$B$5:$B$1005="AJUSTE")*(MOVIMIENTOS!$C$5:$C$1005="Chancho")*(MOVIMIENTOS!$D$5:$D$1005="sacos")*(MOVIMIENTOS!$A$5:$A$1005&lt;&gt;"")*(MOVIMIENTOS!$A$5:$A$1005&lt;=$A608)*MOVIMIENTOS!$E$5:$E$1005))</f>
        <v/>
      </c>
      <c r="G608" s="62" t="str">
        <f t="shared" si="19"/>
        <v/>
      </c>
      <c r="H608" t="str">
        <f>IF($A608="","",SUMPRODUCT((((MOVIMIENTOS!$B$5:$B$1005="SALDO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608)*MOVIMIENTOS!$J$5:$J$1005))</f>
        <v/>
      </c>
      <c r="J608" t="str">
        <f>IF(AND(MOVIMIENTOS!$A613&lt;&gt;"",COUNTIF(MOVIMIENTOS!$A$5:$A612,MOVIMIENTOS!$A613)=0),COUNT(J$4:J607)+1,"")</f>
        <v/>
      </c>
      <c r="K608">
        <f>MOVIMIENTOS!$A613</f>
        <v>0</v>
      </c>
    </row>
    <row r="609" spans="1:11" ht="15" customHeight="1" x14ac:dyDescent="0.2">
      <c r="A609" t="str">
        <f t="shared" si="18"/>
        <v/>
      </c>
      <c r="B609" t="str">
        <f>IF($A609="","",SUMPRODUCT((MOVIMIENTOS!$B$5:$B$1005="SALDO INICIAL")*(MOVIMIENTOS!$C$5:$C$1005="A")*(MOVIMIENTOS!$D$5:$D$1005="jabas")*(MOVIMIENTOS!$A$5:$A$1005&lt;&gt;"")*(MOVIMIENTOS!$A$5:$A$1005&lt;=$A609)*MOVIMIENTOS!$E$5:$E$1005)+SUMPRODUCT((MOVIMIENTOS!$B$5:$B$1005="PROCESO")*(MOVIMIENTOS!$C$5:$C$1005="A")*(MOVIMIENTOS!$D$5:$D$1005="jabas")*(MOVIMIENTOS!$A$5:$A$1005&lt;&gt;"")*(MOVIMIENTOS!$A$5:$A$1005&lt;=$A609)*MOVIMIENTOS!$E$5:$E$1005)-SUMPRODUCT((MOVIMIENTOS!$B$5:$B$1005="ENVÍO A SUPESA")*(MOVIMIENTOS!$C$5:$C$1005="A")*(MOVIMIENTOS!$D$5:$D$1005="jabas")*(MOVIMIENTOS!$A$5:$A$1005&lt;&gt;"")*(MOVIMIENTOS!$A$5:$A$1005&lt;=$A609)*MOVIMIENTOS!$E$5:$E$1005)+SUMPRODUCT((MOVIMIENTOS!$B$5:$B$1005="DEVOLUCIÓN")*(MOVIMIENTOS!$C$5:$C$1005="A")*(MOVIMIENTOS!$D$5:$D$1005="jabas")*(MOVIMIENTOS!$A$5:$A$1005&lt;&gt;"")*(MOVIMIENTOS!$A$5:$A$1005&lt;=$A609)*MOVIMIENTOS!$E$5:$E$1005)-SUMPRODUCT((MOVIMIENTOS!$B$5:$B$1005="TRASIEGO")*(MOVIMIENTOS!$C$5:$C$1005="A")*(MOVIMIENTOS!$D$5:$D$1005="jabas")*(MOVIMIENTOS!$A$5:$A$1005&lt;&gt;"")*(MOVIMIENTOS!$A$5:$A$1005&lt;=$A609)*MOVIMIENTOS!$E$5:$E$1005)-SUMPRODUCT((MOVIMIENTOS!$B$5:$B$1005="REGALO")*(MOVIMIENTOS!$C$5:$C$1005="A")*(MOVIMIENTOS!$D$5:$D$1005="jabas")*(MOVIMIENTOS!$A$5:$A$1005&lt;&gt;"")*(MOVIMIENTOS!$A$5:$A$1005&lt;=$A609)*MOVIMIENTOS!$E$5:$E$1005)-SUMPRODUCT((MOVIMIENTOS!$B$5:$B$1005="VENTA")*(MOVIMIENTOS!$C$5:$C$1005="A")*(MOVIMIENTOS!$D$5:$D$1005="jabas")*(MOVIMIENTOS!$A$5:$A$1005&lt;&gt;"")*(MOVIMIENTOS!$A$5:$A$1005&lt;=$A609)*MOVIMIENTOS!$E$5:$E$1005)+SUMPRODUCT((MOVIMIENTOS!$B$5:$B$1005="AJUSTE")*(MOVIMIENTOS!$C$5:$C$1005="A")*(MOVIMIENTOS!$D$5:$D$1005="jabas")*(MOVIMIENTOS!$A$5:$A$1005&lt;&gt;"")*(MOVIMIENTOS!$A$5:$A$1005&lt;=$A609)*MOVIMIENTOS!$E$5:$E$1005))</f>
        <v/>
      </c>
      <c r="C609" t="str">
        <f>IF($A609="","",SUMPRODUCT((MOVIMIENTOS!$B$5:$B$1005="SALDO INICIAL")*(MOVIMIENTOS!$C$5:$C$1005="P")*(MOVIMIENTOS!$D$5:$D$1005="jabas")*(MOVIMIENTOS!$A$5:$A$1005&lt;&gt;"")*(MOVIMIENTOS!$A$5:$A$1005&lt;=$A609)*MOVIMIENTOS!$E$5:$E$1005)+SUMPRODUCT((MOVIMIENTOS!$B$5:$B$1005="PROCESO")*(MOVIMIENTOS!$C$5:$C$1005="P")*(MOVIMIENTOS!$D$5:$D$1005="jabas")*(MOVIMIENTOS!$A$5:$A$1005&lt;&gt;"")*(MOVIMIENTOS!$A$5:$A$1005&lt;=$A609)*MOVIMIENTOS!$E$5:$E$1005)-SUMPRODUCT((MOVIMIENTOS!$B$5:$B$1005="ENVÍO A SUPESA")*(MOVIMIENTOS!$C$5:$C$1005="P")*(MOVIMIENTOS!$D$5:$D$1005="jabas")*(MOVIMIENTOS!$A$5:$A$1005&lt;&gt;"")*(MOVIMIENTOS!$A$5:$A$1005&lt;=$A609)*MOVIMIENTOS!$E$5:$E$1005)+SUMPRODUCT((MOVIMIENTOS!$B$5:$B$1005="DEVOLUCIÓN")*(MOVIMIENTOS!$C$5:$C$1005="P")*(MOVIMIENTOS!$D$5:$D$1005="jabas")*(MOVIMIENTOS!$A$5:$A$1005&lt;&gt;"")*(MOVIMIENTOS!$A$5:$A$1005&lt;=$A609)*MOVIMIENTOS!$E$5:$E$1005)-SUMPRODUCT((MOVIMIENTOS!$B$5:$B$1005="TRASIEGO")*(MOVIMIENTOS!$C$5:$C$1005="P")*(MOVIMIENTOS!$D$5:$D$1005="jabas")*(MOVIMIENTOS!$A$5:$A$1005&lt;&gt;"")*(MOVIMIENTOS!$A$5:$A$1005&lt;=$A609)*MOVIMIENTOS!$E$5:$E$1005)-SUMPRODUCT((MOVIMIENTOS!$B$5:$B$1005="REGALO")*(MOVIMIENTOS!$C$5:$C$1005="P")*(MOVIMIENTOS!$D$5:$D$1005="jabas")*(MOVIMIENTOS!$A$5:$A$1005&lt;&gt;"")*(MOVIMIENTOS!$A$5:$A$1005&lt;=$A609)*MOVIMIENTOS!$E$5:$E$1005)-SUMPRODUCT((MOVIMIENTOS!$B$5:$B$1005="VENTA")*(MOVIMIENTOS!$C$5:$C$1005="P")*(MOVIMIENTOS!$D$5:$D$1005="jabas")*(MOVIMIENTOS!$A$5:$A$1005&lt;&gt;"")*(MOVIMIENTOS!$A$5:$A$1005&lt;=$A609)*MOVIMIENTOS!$E$5:$E$1005)+SUMPRODUCT((MOVIMIENTOS!$B$5:$B$1005="AJUSTE")*(MOVIMIENTOS!$C$5:$C$1005="P")*(MOVIMIENTOS!$D$5:$D$1005="jabas")*(MOVIMIENTOS!$A$5:$A$1005&lt;&gt;"")*(MOVIMIENTOS!$A$5:$A$1005&lt;=$A609)*MOVIMIENTOS!$E$5:$E$1005))</f>
        <v/>
      </c>
      <c r="D609" t="str">
        <f>IF($A609="","",SUMPRODUCT((MOVIMIENTOS!$B$5:$B$1005="SALDO INICIAL")*(MOVIMIENTOS!$C$5:$C$1005="C")*(MOVIMIENTOS!$D$5:$D$1005="jabas")*(MOVIMIENTOS!$A$5:$A$1005&lt;&gt;"")*(MOVIMIENTOS!$A$5:$A$1005&lt;=$A609)*MOVIMIENTOS!$E$5:$E$1005)+SUMPRODUCT((MOVIMIENTOS!$B$5:$B$1005="PROCESO")*(MOVIMIENTOS!$C$5:$C$1005="C")*(MOVIMIENTOS!$D$5:$D$1005="jabas")*(MOVIMIENTOS!$A$5:$A$1005&lt;&gt;"")*(MOVIMIENTOS!$A$5:$A$1005&lt;=$A609)*MOVIMIENTOS!$E$5:$E$1005)-SUMPRODUCT((MOVIMIENTOS!$B$5:$B$1005="ENVÍO A SUPESA")*(MOVIMIENTOS!$C$5:$C$1005="C")*(MOVIMIENTOS!$D$5:$D$1005="jabas")*(MOVIMIENTOS!$A$5:$A$1005&lt;&gt;"")*(MOVIMIENTOS!$A$5:$A$1005&lt;=$A609)*MOVIMIENTOS!$E$5:$E$1005)+SUMPRODUCT((MOVIMIENTOS!$B$5:$B$1005="DEVOLUCIÓN")*(MOVIMIENTOS!$C$5:$C$1005="C")*(MOVIMIENTOS!$D$5:$D$1005="jabas")*(MOVIMIENTOS!$A$5:$A$1005&lt;&gt;"")*(MOVIMIENTOS!$A$5:$A$1005&lt;=$A609)*MOVIMIENTOS!$E$5:$E$1005)-SUMPRODUCT((MOVIMIENTOS!$B$5:$B$1005="TRASIEGO")*(MOVIMIENTOS!$C$5:$C$1005="C")*(MOVIMIENTOS!$D$5:$D$1005="jabas")*(MOVIMIENTOS!$A$5:$A$1005&lt;&gt;"")*(MOVIMIENTOS!$A$5:$A$1005&lt;=$A609)*MOVIMIENTOS!$E$5:$E$1005)-SUMPRODUCT((MOVIMIENTOS!$B$5:$B$1005="REGALO")*(MOVIMIENTOS!$C$5:$C$1005="C")*(MOVIMIENTOS!$D$5:$D$1005="jabas")*(MOVIMIENTOS!$A$5:$A$1005&lt;&gt;"")*(MOVIMIENTOS!$A$5:$A$1005&lt;=$A609)*MOVIMIENTOS!$E$5:$E$1005)-SUMPRODUCT((MOVIMIENTOS!$B$5:$B$1005="VENTA")*(MOVIMIENTOS!$C$5:$C$1005="C")*(MOVIMIENTOS!$D$5:$D$1005="jabas")*(MOVIMIENTOS!$A$5:$A$1005&lt;&gt;"")*(MOVIMIENTOS!$A$5:$A$1005&lt;=$A609)*MOVIMIENTOS!$E$5:$E$1005)+SUMPRODUCT((MOVIMIENTOS!$B$5:$B$1005="AJUSTE")*(MOVIMIENTOS!$C$5:$C$1005="C")*(MOVIMIENTOS!$D$5:$D$1005="jabas")*(MOVIMIENTOS!$A$5:$A$1005&lt;&gt;"")*(MOVIMIENTOS!$A$5:$A$1005&lt;=$A609)*MOVIMIENTOS!$E$5:$E$1005))</f>
        <v/>
      </c>
      <c r="E609" t="str">
        <f>IF($A609="","",SUMPRODUCT((MOVIMIENTOS!$B$5:$B$1005="SALDO INICIAL")*(MOVIMIENTOS!$C$5:$C$1005="M")*(MOVIMIENTOS!$D$5:$D$1005="jabas")*(MOVIMIENTOS!$A$5:$A$1005&lt;&gt;"")*(MOVIMIENTOS!$A$5:$A$1005&lt;=$A609)*MOVIMIENTOS!$E$5:$E$1005)+SUMPRODUCT((MOVIMIENTOS!$B$5:$B$1005="PROCESO")*(MOVIMIENTOS!$C$5:$C$1005="M")*(MOVIMIENTOS!$D$5:$D$1005="jabas")*(MOVIMIENTOS!$A$5:$A$1005&lt;&gt;"")*(MOVIMIENTOS!$A$5:$A$1005&lt;=$A609)*MOVIMIENTOS!$E$5:$E$1005)-SUMPRODUCT((MOVIMIENTOS!$B$5:$B$1005="ENVÍO A SUPESA")*(MOVIMIENTOS!$C$5:$C$1005="M")*(MOVIMIENTOS!$D$5:$D$1005="jabas")*(MOVIMIENTOS!$A$5:$A$1005&lt;&gt;"")*(MOVIMIENTOS!$A$5:$A$1005&lt;=$A609)*MOVIMIENTOS!$E$5:$E$1005)+SUMPRODUCT((MOVIMIENTOS!$B$5:$B$1005="DEVOLUCIÓN")*(MOVIMIENTOS!$C$5:$C$1005="M")*(MOVIMIENTOS!$D$5:$D$1005="jabas")*(MOVIMIENTOS!$A$5:$A$1005&lt;&gt;"")*(MOVIMIENTOS!$A$5:$A$1005&lt;=$A609)*MOVIMIENTOS!$E$5:$E$1005)-SUMPRODUCT((MOVIMIENTOS!$B$5:$B$1005="TRASIEGO")*(MOVIMIENTOS!$C$5:$C$1005="M")*(MOVIMIENTOS!$D$5:$D$1005="jabas")*(MOVIMIENTOS!$A$5:$A$1005&lt;&gt;"")*(MOVIMIENTOS!$A$5:$A$1005&lt;=$A609)*MOVIMIENTOS!$E$5:$E$1005)-SUMPRODUCT((MOVIMIENTOS!$B$5:$B$1005="REGALO")*(MOVIMIENTOS!$C$5:$C$1005="M")*(MOVIMIENTOS!$D$5:$D$1005="jabas")*(MOVIMIENTOS!$A$5:$A$1005&lt;&gt;"")*(MOVIMIENTOS!$A$5:$A$1005&lt;=$A609)*MOVIMIENTOS!$E$5:$E$1005)-SUMPRODUCT((MOVIMIENTOS!$B$5:$B$1005="VENTA")*(MOVIMIENTOS!$C$5:$C$1005="M")*(MOVIMIENTOS!$D$5:$D$1005="jabas")*(MOVIMIENTOS!$A$5:$A$1005&lt;&gt;"")*(MOVIMIENTOS!$A$5:$A$1005&lt;=$A609)*MOVIMIENTOS!$E$5:$E$1005)+SUMPRODUCT((MOVIMIENTOS!$B$5:$B$1005="AJUSTE")*(MOVIMIENTOS!$C$5:$C$1005="M")*(MOVIMIENTOS!$D$5:$D$1005="jabas")*(MOVIMIENTOS!$A$5:$A$1005&lt;&gt;"")*(MOVIMIENTOS!$A$5:$A$1005&lt;=$A609)*MOVIMIENTOS!$E$5:$E$1005))</f>
        <v/>
      </c>
      <c r="F609" s="62" t="str">
        <f>IF($A609="","",SUMPRODUCT((MOVIMIENTOS!$B$5:$B$1005="SALDO INICIAL")*(MOVIMIENTOS!$C$5:$C$1005="Chancho")*(MOVIMIENTOS!$D$5:$D$1005="sacos")*(MOVIMIENTOS!$A$5:$A$1005&lt;&gt;"")*(MOVIMIENTOS!$A$5:$A$1005&lt;=$A609)*MOVIMIENTOS!$E$5:$E$1005)+SUMPRODUCT((MOVIMIENTOS!$B$5:$B$1005="PROCESO")*(MOVIMIENTOS!$C$5:$C$1005="Chancho")*(MOVIMIENTOS!$D$5:$D$1005="sacos")*(MOVIMIENTOS!$A$5:$A$1005&lt;&gt;"")*(MOVIMIENTOS!$A$5:$A$1005&lt;=$A609)*MOVIMIENTOS!$E$5:$E$1005)-SUMPRODUCT((MOVIMIENTOS!$B$5:$B$1005="VENTA CHANCHO")*(MOVIMIENTOS!$C$5:$C$1005="Chancho")*(MOVIMIENTOS!$D$5:$D$1005="sacos")*(MOVIMIENTOS!$A$5:$A$1005&lt;&gt;"")*(MOVIMIENTOS!$A$5:$A$1005&lt;=$A609)*MOVIMIENTOS!$E$5:$E$1005)-SUMPRODUCT((MOVIMIENTOS!$B$5:$B$1005="REGALO")*(MOVIMIENTOS!$C$5:$C$1005="Chancho")*(MOVIMIENTOS!$D$5:$D$1005="sacos")*(MOVIMIENTOS!$A$5:$A$1005&lt;&gt;"")*(MOVIMIENTOS!$A$5:$A$1005&lt;=$A609)*MOVIMIENTOS!$E$5:$E$1005)-SUMPRODUCT((MOVIMIENTOS!$B$5:$B$1005="VENTA")*(MOVIMIENTOS!$C$5:$C$1005="Chancho")*(MOVIMIENTOS!$D$5:$D$1005="sacos")*(MOVIMIENTOS!$A$5:$A$1005&lt;&gt;"")*(MOVIMIENTOS!$A$5:$A$1005&lt;=$A609)*MOVIMIENTOS!$E$5:$E$1005)+SUMPRODUCT((MOVIMIENTOS!$B$5:$B$1005="AJUSTE")*(MOVIMIENTOS!$C$5:$C$1005="Chancho")*(MOVIMIENTOS!$D$5:$D$1005="sacos")*(MOVIMIENTOS!$A$5:$A$1005&lt;&gt;"")*(MOVIMIENTOS!$A$5:$A$1005&lt;=$A609)*MOVIMIENTOS!$E$5:$E$1005))</f>
        <v/>
      </c>
      <c r="G609" s="62" t="str">
        <f t="shared" si="19"/>
        <v/>
      </c>
      <c r="H609" t="str">
        <f>IF($A609="","",SUMPRODUCT((((MOVIMIENTOS!$B$5:$B$1005="SALDO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609)*MOVIMIENTOS!$J$5:$J$1005))</f>
        <v/>
      </c>
      <c r="J609" t="str">
        <f>IF(AND(MOVIMIENTOS!$A614&lt;&gt;"",COUNTIF(MOVIMIENTOS!$A$5:$A613,MOVIMIENTOS!$A614)=0),COUNT(J$4:J608)+1,"")</f>
        <v/>
      </c>
      <c r="K609">
        <f>MOVIMIENTOS!$A614</f>
        <v>0</v>
      </c>
    </row>
    <row r="610" spans="1:11" ht="15" customHeight="1" x14ac:dyDescent="0.2">
      <c r="A610" t="str">
        <f t="shared" si="18"/>
        <v/>
      </c>
      <c r="B610" t="str">
        <f>IF($A610="","",SUMPRODUCT((MOVIMIENTOS!$B$5:$B$1005="SALDO INICIAL")*(MOVIMIENTOS!$C$5:$C$1005="A")*(MOVIMIENTOS!$D$5:$D$1005="jabas")*(MOVIMIENTOS!$A$5:$A$1005&lt;&gt;"")*(MOVIMIENTOS!$A$5:$A$1005&lt;=$A610)*MOVIMIENTOS!$E$5:$E$1005)+SUMPRODUCT((MOVIMIENTOS!$B$5:$B$1005="PROCESO")*(MOVIMIENTOS!$C$5:$C$1005="A")*(MOVIMIENTOS!$D$5:$D$1005="jabas")*(MOVIMIENTOS!$A$5:$A$1005&lt;&gt;"")*(MOVIMIENTOS!$A$5:$A$1005&lt;=$A610)*MOVIMIENTOS!$E$5:$E$1005)-SUMPRODUCT((MOVIMIENTOS!$B$5:$B$1005="ENVÍO A SUPESA")*(MOVIMIENTOS!$C$5:$C$1005="A")*(MOVIMIENTOS!$D$5:$D$1005="jabas")*(MOVIMIENTOS!$A$5:$A$1005&lt;&gt;"")*(MOVIMIENTOS!$A$5:$A$1005&lt;=$A610)*MOVIMIENTOS!$E$5:$E$1005)+SUMPRODUCT((MOVIMIENTOS!$B$5:$B$1005="DEVOLUCIÓN")*(MOVIMIENTOS!$C$5:$C$1005="A")*(MOVIMIENTOS!$D$5:$D$1005="jabas")*(MOVIMIENTOS!$A$5:$A$1005&lt;&gt;"")*(MOVIMIENTOS!$A$5:$A$1005&lt;=$A610)*MOVIMIENTOS!$E$5:$E$1005)-SUMPRODUCT((MOVIMIENTOS!$B$5:$B$1005="TRASIEGO")*(MOVIMIENTOS!$C$5:$C$1005="A")*(MOVIMIENTOS!$D$5:$D$1005="jabas")*(MOVIMIENTOS!$A$5:$A$1005&lt;&gt;"")*(MOVIMIENTOS!$A$5:$A$1005&lt;=$A610)*MOVIMIENTOS!$E$5:$E$1005)-SUMPRODUCT((MOVIMIENTOS!$B$5:$B$1005="REGALO")*(MOVIMIENTOS!$C$5:$C$1005="A")*(MOVIMIENTOS!$D$5:$D$1005="jabas")*(MOVIMIENTOS!$A$5:$A$1005&lt;&gt;"")*(MOVIMIENTOS!$A$5:$A$1005&lt;=$A610)*MOVIMIENTOS!$E$5:$E$1005)-SUMPRODUCT((MOVIMIENTOS!$B$5:$B$1005="VENTA")*(MOVIMIENTOS!$C$5:$C$1005="A")*(MOVIMIENTOS!$D$5:$D$1005="jabas")*(MOVIMIENTOS!$A$5:$A$1005&lt;&gt;"")*(MOVIMIENTOS!$A$5:$A$1005&lt;=$A610)*MOVIMIENTOS!$E$5:$E$1005)+SUMPRODUCT((MOVIMIENTOS!$B$5:$B$1005="AJUSTE")*(MOVIMIENTOS!$C$5:$C$1005="A")*(MOVIMIENTOS!$D$5:$D$1005="jabas")*(MOVIMIENTOS!$A$5:$A$1005&lt;&gt;"")*(MOVIMIENTOS!$A$5:$A$1005&lt;=$A610)*MOVIMIENTOS!$E$5:$E$1005))</f>
        <v/>
      </c>
      <c r="C610" t="str">
        <f>IF($A610="","",SUMPRODUCT((MOVIMIENTOS!$B$5:$B$1005="SALDO INICIAL")*(MOVIMIENTOS!$C$5:$C$1005="P")*(MOVIMIENTOS!$D$5:$D$1005="jabas")*(MOVIMIENTOS!$A$5:$A$1005&lt;&gt;"")*(MOVIMIENTOS!$A$5:$A$1005&lt;=$A610)*MOVIMIENTOS!$E$5:$E$1005)+SUMPRODUCT((MOVIMIENTOS!$B$5:$B$1005="PROCESO")*(MOVIMIENTOS!$C$5:$C$1005="P")*(MOVIMIENTOS!$D$5:$D$1005="jabas")*(MOVIMIENTOS!$A$5:$A$1005&lt;&gt;"")*(MOVIMIENTOS!$A$5:$A$1005&lt;=$A610)*MOVIMIENTOS!$E$5:$E$1005)-SUMPRODUCT((MOVIMIENTOS!$B$5:$B$1005="ENVÍO A SUPESA")*(MOVIMIENTOS!$C$5:$C$1005="P")*(MOVIMIENTOS!$D$5:$D$1005="jabas")*(MOVIMIENTOS!$A$5:$A$1005&lt;&gt;"")*(MOVIMIENTOS!$A$5:$A$1005&lt;=$A610)*MOVIMIENTOS!$E$5:$E$1005)+SUMPRODUCT((MOVIMIENTOS!$B$5:$B$1005="DEVOLUCIÓN")*(MOVIMIENTOS!$C$5:$C$1005="P")*(MOVIMIENTOS!$D$5:$D$1005="jabas")*(MOVIMIENTOS!$A$5:$A$1005&lt;&gt;"")*(MOVIMIENTOS!$A$5:$A$1005&lt;=$A610)*MOVIMIENTOS!$E$5:$E$1005)-SUMPRODUCT((MOVIMIENTOS!$B$5:$B$1005="TRASIEGO")*(MOVIMIENTOS!$C$5:$C$1005="P")*(MOVIMIENTOS!$D$5:$D$1005="jabas")*(MOVIMIENTOS!$A$5:$A$1005&lt;&gt;"")*(MOVIMIENTOS!$A$5:$A$1005&lt;=$A610)*MOVIMIENTOS!$E$5:$E$1005)-SUMPRODUCT((MOVIMIENTOS!$B$5:$B$1005="REGALO")*(MOVIMIENTOS!$C$5:$C$1005="P")*(MOVIMIENTOS!$D$5:$D$1005="jabas")*(MOVIMIENTOS!$A$5:$A$1005&lt;&gt;"")*(MOVIMIENTOS!$A$5:$A$1005&lt;=$A610)*MOVIMIENTOS!$E$5:$E$1005)-SUMPRODUCT((MOVIMIENTOS!$B$5:$B$1005="VENTA")*(MOVIMIENTOS!$C$5:$C$1005="P")*(MOVIMIENTOS!$D$5:$D$1005="jabas")*(MOVIMIENTOS!$A$5:$A$1005&lt;&gt;"")*(MOVIMIENTOS!$A$5:$A$1005&lt;=$A610)*MOVIMIENTOS!$E$5:$E$1005)+SUMPRODUCT((MOVIMIENTOS!$B$5:$B$1005="AJUSTE")*(MOVIMIENTOS!$C$5:$C$1005="P")*(MOVIMIENTOS!$D$5:$D$1005="jabas")*(MOVIMIENTOS!$A$5:$A$1005&lt;&gt;"")*(MOVIMIENTOS!$A$5:$A$1005&lt;=$A610)*MOVIMIENTOS!$E$5:$E$1005))</f>
        <v/>
      </c>
      <c r="D610" t="str">
        <f>IF($A610="","",SUMPRODUCT((MOVIMIENTOS!$B$5:$B$1005="SALDO INICIAL")*(MOVIMIENTOS!$C$5:$C$1005="C")*(MOVIMIENTOS!$D$5:$D$1005="jabas")*(MOVIMIENTOS!$A$5:$A$1005&lt;&gt;"")*(MOVIMIENTOS!$A$5:$A$1005&lt;=$A610)*MOVIMIENTOS!$E$5:$E$1005)+SUMPRODUCT((MOVIMIENTOS!$B$5:$B$1005="PROCESO")*(MOVIMIENTOS!$C$5:$C$1005="C")*(MOVIMIENTOS!$D$5:$D$1005="jabas")*(MOVIMIENTOS!$A$5:$A$1005&lt;&gt;"")*(MOVIMIENTOS!$A$5:$A$1005&lt;=$A610)*MOVIMIENTOS!$E$5:$E$1005)-SUMPRODUCT((MOVIMIENTOS!$B$5:$B$1005="ENVÍO A SUPESA")*(MOVIMIENTOS!$C$5:$C$1005="C")*(MOVIMIENTOS!$D$5:$D$1005="jabas")*(MOVIMIENTOS!$A$5:$A$1005&lt;&gt;"")*(MOVIMIENTOS!$A$5:$A$1005&lt;=$A610)*MOVIMIENTOS!$E$5:$E$1005)+SUMPRODUCT((MOVIMIENTOS!$B$5:$B$1005="DEVOLUCIÓN")*(MOVIMIENTOS!$C$5:$C$1005="C")*(MOVIMIENTOS!$D$5:$D$1005="jabas")*(MOVIMIENTOS!$A$5:$A$1005&lt;&gt;"")*(MOVIMIENTOS!$A$5:$A$1005&lt;=$A610)*MOVIMIENTOS!$E$5:$E$1005)-SUMPRODUCT((MOVIMIENTOS!$B$5:$B$1005="TRASIEGO")*(MOVIMIENTOS!$C$5:$C$1005="C")*(MOVIMIENTOS!$D$5:$D$1005="jabas")*(MOVIMIENTOS!$A$5:$A$1005&lt;&gt;"")*(MOVIMIENTOS!$A$5:$A$1005&lt;=$A610)*MOVIMIENTOS!$E$5:$E$1005)-SUMPRODUCT((MOVIMIENTOS!$B$5:$B$1005="REGALO")*(MOVIMIENTOS!$C$5:$C$1005="C")*(MOVIMIENTOS!$D$5:$D$1005="jabas")*(MOVIMIENTOS!$A$5:$A$1005&lt;&gt;"")*(MOVIMIENTOS!$A$5:$A$1005&lt;=$A610)*MOVIMIENTOS!$E$5:$E$1005)-SUMPRODUCT((MOVIMIENTOS!$B$5:$B$1005="VENTA")*(MOVIMIENTOS!$C$5:$C$1005="C")*(MOVIMIENTOS!$D$5:$D$1005="jabas")*(MOVIMIENTOS!$A$5:$A$1005&lt;&gt;"")*(MOVIMIENTOS!$A$5:$A$1005&lt;=$A610)*MOVIMIENTOS!$E$5:$E$1005)+SUMPRODUCT((MOVIMIENTOS!$B$5:$B$1005="AJUSTE")*(MOVIMIENTOS!$C$5:$C$1005="C")*(MOVIMIENTOS!$D$5:$D$1005="jabas")*(MOVIMIENTOS!$A$5:$A$1005&lt;&gt;"")*(MOVIMIENTOS!$A$5:$A$1005&lt;=$A610)*MOVIMIENTOS!$E$5:$E$1005))</f>
        <v/>
      </c>
      <c r="E610" t="str">
        <f>IF($A610="","",SUMPRODUCT((MOVIMIENTOS!$B$5:$B$1005="SALDO INICIAL")*(MOVIMIENTOS!$C$5:$C$1005="M")*(MOVIMIENTOS!$D$5:$D$1005="jabas")*(MOVIMIENTOS!$A$5:$A$1005&lt;&gt;"")*(MOVIMIENTOS!$A$5:$A$1005&lt;=$A610)*MOVIMIENTOS!$E$5:$E$1005)+SUMPRODUCT((MOVIMIENTOS!$B$5:$B$1005="PROCESO")*(MOVIMIENTOS!$C$5:$C$1005="M")*(MOVIMIENTOS!$D$5:$D$1005="jabas")*(MOVIMIENTOS!$A$5:$A$1005&lt;&gt;"")*(MOVIMIENTOS!$A$5:$A$1005&lt;=$A610)*MOVIMIENTOS!$E$5:$E$1005)-SUMPRODUCT((MOVIMIENTOS!$B$5:$B$1005="ENVÍO A SUPESA")*(MOVIMIENTOS!$C$5:$C$1005="M")*(MOVIMIENTOS!$D$5:$D$1005="jabas")*(MOVIMIENTOS!$A$5:$A$1005&lt;&gt;"")*(MOVIMIENTOS!$A$5:$A$1005&lt;=$A610)*MOVIMIENTOS!$E$5:$E$1005)+SUMPRODUCT((MOVIMIENTOS!$B$5:$B$1005="DEVOLUCIÓN")*(MOVIMIENTOS!$C$5:$C$1005="M")*(MOVIMIENTOS!$D$5:$D$1005="jabas")*(MOVIMIENTOS!$A$5:$A$1005&lt;&gt;"")*(MOVIMIENTOS!$A$5:$A$1005&lt;=$A610)*MOVIMIENTOS!$E$5:$E$1005)-SUMPRODUCT((MOVIMIENTOS!$B$5:$B$1005="TRASIEGO")*(MOVIMIENTOS!$C$5:$C$1005="M")*(MOVIMIENTOS!$D$5:$D$1005="jabas")*(MOVIMIENTOS!$A$5:$A$1005&lt;&gt;"")*(MOVIMIENTOS!$A$5:$A$1005&lt;=$A610)*MOVIMIENTOS!$E$5:$E$1005)-SUMPRODUCT((MOVIMIENTOS!$B$5:$B$1005="REGALO")*(MOVIMIENTOS!$C$5:$C$1005="M")*(MOVIMIENTOS!$D$5:$D$1005="jabas")*(MOVIMIENTOS!$A$5:$A$1005&lt;&gt;"")*(MOVIMIENTOS!$A$5:$A$1005&lt;=$A610)*MOVIMIENTOS!$E$5:$E$1005)-SUMPRODUCT((MOVIMIENTOS!$B$5:$B$1005="VENTA")*(MOVIMIENTOS!$C$5:$C$1005="M")*(MOVIMIENTOS!$D$5:$D$1005="jabas")*(MOVIMIENTOS!$A$5:$A$1005&lt;&gt;"")*(MOVIMIENTOS!$A$5:$A$1005&lt;=$A610)*MOVIMIENTOS!$E$5:$E$1005)+SUMPRODUCT((MOVIMIENTOS!$B$5:$B$1005="AJUSTE")*(MOVIMIENTOS!$C$5:$C$1005="M")*(MOVIMIENTOS!$D$5:$D$1005="jabas")*(MOVIMIENTOS!$A$5:$A$1005&lt;&gt;"")*(MOVIMIENTOS!$A$5:$A$1005&lt;=$A610)*MOVIMIENTOS!$E$5:$E$1005))</f>
        <v/>
      </c>
      <c r="F610" s="62" t="str">
        <f>IF($A610="","",SUMPRODUCT((MOVIMIENTOS!$B$5:$B$1005="SALDO INICIAL")*(MOVIMIENTOS!$C$5:$C$1005="Chancho")*(MOVIMIENTOS!$D$5:$D$1005="sacos")*(MOVIMIENTOS!$A$5:$A$1005&lt;&gt;"")*(MOVIMIENTOS!$A$5:$A$1005&lt;=$A610)*MOVIMIENTOS!$E$5:$E$1005)+SUMPRODUCT((MOVIMIENTOS!$B$5:$B$1005="PROCESO")*(MOVIMIENTOS!$C$5:$C$1005="Chancho")*(MOVIMIENTOS!$D$5:$D$1005="sacos")*(MOVIMIENTOS!$A$5:$A$1005&lt;&gt;"")*(MOVIMIENTOS!$A$5:$A$1005&lt;=$A610)*MOVIMIENTOS!$E$5:$E$1005)-SUMPRODUCT((MOVIMIENTOS!$B$5:$B$1005="VENTA CHANCHO")*(MOVIMIENTOS!$C$5:$C$1005="Chancho")*(MOVIMIENTOS!$D$5:$D$1005="sacos")*(MOVIMIENTOS!$A$5:$A$1005&lt;&gt;"")*(MOVIMIENTOS!$A$5:$A$1005&lt;=$A610)*MOVIMIENTOS!$E$5:$E$1005)-SUMPRODUCT((MOVIMIENTOS!$B$5:$B$1005="REGALO")*(MOVIMIENTOS!$C$5:$C$1005="Chancho")*(MOVIMIENTOS!$D$5:$D$1005="sacos")*(MOVIMIENTOS!$A$5:$A$1005&lt;&gt;"")*(MOVIMIENTOS!$A$5:$A$1005&lt;=$A610)*MOVIMIENTOS!$E$5:$E$1005)-SUMPRODUCT((MOVIMIENTOS!$B$5:$B$1005="VENTA")*(MOVIMIENTOS!$C$5:$C$1005="Chancho")*(MOVIMIENTOS!$D$5:$D$1005="sacos")*(MOVIMIENTOS!$A$5:$A$1005&lt;&gt;"")*(MOVIMIENTOS!$A$5:$A$1005&lt;=$A610)*MOVIMIENTOS!$E$5:$E$1005)+SUMPRODUCT((MOVIMIENTOS!$B$5:$B$1005="AJUSTE")*(MOVIMIENTOS!$C$5:$C$1005="Chancho")*(MOVIMIENTOS!$D$5:$D$1005="sacos")*(MOVIMIENTOS!$A$5:$A$1005&lt;&gt;"")*(MOVIMIENTOS!$A$5:$A$1005&lt;=$A610)*MOVIMIENTOS!$E$5:$E$1005))</f>
        <v/>
      </c>
      <c r="G610" s="62" t="str">
        <f t="shared" si="19"/>
        <v/>
      </c>
      <c r="H610" t="str">
        <f>IF($A610="","",SUMPRODUCT((((MOVIMIENTOS!$B$5:$B$1005="SALDO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610)*MOVIMIENTOS!$J$5:$J$1005))</f>
        <v/>
      </c>
      <c r="J610" t="str">
        <f>IF(AND(MOVIMIENTOS!$A615&lt;&gt;"",COUNTIF(MOVIMIENTOS!$A$5:$A614,MOVIMIENTOS!$A615)=0),COUNT(J$4:J609)+1,"")</f>
        <v/>
      </c>
      <c r="K610">
        <f>MOVIMIENTOS!$A615</f>
        <v>0</v>
      </c>
    </row>
    <row r="611" spans="1:11" ht="15" customHeight="1" x14ac:dyDescent="0.2">
      <c r="A611" t="str">
        <f t="shared" si="18"/>
        <v/>
      </c>
      <c r="B611" t="str">
        <f>IF($A611="","",SUMPRODUCT((MOVIMIENTOS!$B$5:$B$1005="SALDO INICIAL")*(MOVIMIENTOS!$C$5:$C$1005="A")*(MOVIMIENTOS!$D$5:$D$1005="jabas")*(MOVIMIENTOS!$A$5:$A$1005&lt;&gt;"")*(MOVIMIENTOS!$A$5:$A$1005&lt;=$A611)*MOVIMIENTOS!$E$5:$E$1005)+SUMPRODUCT((MOVIMIENTOS!$B$5:$B$1005="PROCESO")*(MOVIMIENTOS!$C$5:$C$1005="A")*(MOVIMIENTOS!$D$5:$D$1005="jabas")*(MOVIMIENTOS!$A$5:$A$1005&lt;&gt;"")*(MOVIMIENTOS!$A$5:$A$1005&lt;=$A611)*MOVIMIENTOS!$E$5:$E$1005)-SUMPRODUCT((MOVIMIENTOS!$B$5:$B$1005="ENVÍO A SUPESA")*(MOVIMIENTOS!$C$5:$C$1005="A")*(MOVIMIENTOS!$D$5:$D$1005="jabas")*(MOVIMIENTOS!$A$5:$A$1005&lt;&gt;"")*(MOVIMIENTOS!$A$5:$A$1005&lt;=$A611)*MOVIMIENTOS!$E$5:$E$1005)+SUMPRODUCT((MOVIMIENTOS!$B$5:$B$1005="DEVOLUCIÓN")*(MOVIMIENTOS!$C$5:$C$1005="A")*(MOVIMIENTOS!$D$5:$D$1005="jabas")*(MOVIMIENTOS!$A$5:$A$1005&lt;&gt;"")*(MOVIMIENTOS!$A$5:$A$1005&lt;=$A611)*MOVIMIENTOS!$E$5:$E$1005)-SUMPRODUCT((MOVIMIENTOS!$B$5:$B$1005="TRASIEGO")*(MOVIMIENTOS!$C$5:$C$1005="A")*(MOVIMIENTOS!$D$5:$D$1005="jabas")*(MOVIMIENTOS!$A$5:$A$1005&lt;&gt;"")*(MOVIMIENTOS!$A$5:$A$1005&lt;=$A611)*MOVIMIENTOS!$E$5:$E$1005)-SUMPRODUCT((MOVIMIENTOS!$B$5:$B$1005="REGALO")*(MOVIMIENTOS!$C$5:$C$1005="A")*(MOVIMIENTOS!$D$5:$D$1005="jabas")*(MOVIMIENTOS!$A$5:$A$1005&lt;&gt;"")*(MOVIMIENTOS!$A$5:$A$1005&lt;=$A611)*MOVIMIENTOS!$E$5:$E$1005)-SUMPRODUCT((MOVIMIENTOS!$B$5:$B$1005="VENTA")*(MOVIMIENTOS!$C$5:$C$1005="A")*(MOVIMIENTOS!$D$5:$D$1005="jabas")*(MOVIMIENTOS!$A$5:$A$1005&lt;&gt;"")*(MOVIMIENTOS!$A$5:$A$1005&lt;=$A611)*MOVIMIENTOS!$E$5:$E$1005)+SUMPRODUCT((MOVIMIENTOS!$B$5:$B$1005="AJUSTE")*(MOVIMIENTOS!$C$5:$C$1005="A")*(MOVIMIENTOS!$D$5:$D$1005="jabas")*(MOVIMIENTOS!$A$5:$A$1005&lt;&gt;"")*(MOVIMIENTOS!$A$5:$A$1005&lt;=$A611)*MOVIMIENTOS!$E$5:$E$1005))</f>
        <v/>
      </c>
      <c r="C611" t="str">
        <f>IF($A611="","",SUMPRODUCT((MOVIMIENTOS!$B$5:$B$1005="SALDO INICIAL")*(MOVIMIENTOS!$C$5:$C$1005="P")*(MOVIMIENTOS!$D$5:$D$1005="jabas")*(MOVIMIENTOS!$A$5:$A$1005&lt;&gt;"")*(MOVIMIENTOS!$A$5:$A$1005&lt;=$A611)*MOVIMIENTOS!$E$5:$E$1005)+SUMPRODUCT((MOVIMIENTOS!$B$5:$B$1005="PROCESO")*(MOVIMIENTOS!$C$5:$C$1005="P")*(MOVIMIENTOS!$D$5:$D$1005="jabas")*(MOVIMIENTOS!$A$5:$A$1005&lt;&gt;"")*(MOVIMIENTOS!$A$5:$A$1005&lt;=$A611)*MOVIMIENTOS!$E$5:$E$1005)-SUMPRODUCT((MOVIMIENTOS!$B$5:$B$1005="ENVÍO A SUPESA")*(MOVIMIENTOS!$C$5:$C$1005="P")*(MOVIMIENTOS!$D$5:$D$1005="jabas")*(MOVIMIENTOS!$A$5:$A$1005&lt;&gt;"")*(MOVIMIENTOS!$A$5:$A$1005&lt;=$A611)*MOVIMIENTOS!$E$5:$E$1005)+SUMPRODUCT((MOVIMIENTOS!$B$5:$B$1005="DEVOLUCIÓN")*(MOVIMIENTOS!$C$5:$C$1005="P")*(MOVIMIENTOS!$D$5:$D$1005="jabas")*(MOVIMIENTOS!$A$5:$A$1005&lt;&gt;"")*(MOVIMIENTOS!$A$5:$A$1005&lt;=$A611)*MOVIMIENTOS!$E$5:$E$1005)-SUMPRODUCT((MOVIMIENTOS!$B$5:$B$1005="TRASIEGO")*(MOVIMIENTOS!$C$5:$C$1005="P")*(MOVIMIENTOS!$D$5:$D$1005="jabas")*(MOVIMIENTOS!$A$5:$A$1005&lt;&gt;"")*(MOVIMIENTOS!$A$5:$A$1005&lt;=$A611)*MOVIMIENTOS!$E$5:$E$1005)-SUMPRODUCT((MOVIMIENTOS!$B$5:$B$1005="REGALO")*(MOVIMIENTOS!$C$5:$C$1005="P")*(MOVIMIENTOS!$D$5:$D$1005="jabas")*(MOVIMIENTOS!$A$5:$A$1005&lt;&gt;"")*(MOVIMIENTOS!$A$5:$A$1005&lt;=$A611)*MOVIMIENTOS!$E$5:$E$1005)-SUMPRODUCT((MOVIMIENTOS!$B$5:$B$1005="VENTA")*(MOVIMIENTOS!$C$5:$C$1005="P")*(MOVIMIENTOS!$D$5:$D$1005="jabas")*(MOVIMIENTOS!$A$5:$A$1005&lt;&gt;"")*(MOVIMIENTOS!$A$5:$A$1005&lt;=$A611)*MOVIMIENTOS!$E$5:$E$1005)+SUMPRODUCT((MOVIMIENTOS!$B$5:$B$1005="AJUSTE")*(MOVIMIENTOS!$C$5:$C$1005="P")*(MOVIMIENTOS!$D$5:$D$1005="jabas")*(MOVIMIENTOS!$A$5:$A$1005&lt;&gt;"")*(MOVIMIENTOS!$A$5:$A$1005&lt;=$A611)*MOVIMIENTOS!$E$5:$E$1005))</f>
        <v/>
      </c>
      <c r="D611" t="str">
        <f>IF($A611="","",SUMPRODUCT((MOVIMIENTOS!$B$5:$B$1005="SALDO INICIAL")*(MOVIMIENTOS!$C$5:$C$1005="C")*(MOVIMIENTOS!$D$5:$D$1005="jabas")*(MOVIMIENTOS!$A$5:$A$1005&lt;&gt;"")*(MOVIMIENTOS!$A$5:$A$1005&lt;=$A611)*MOVIMIENTOS!$E$5:$E$1005)+SUMPRODUCT((MOVIMIENTOS!$B$5:$B$1005="PROCESO")*(MOVIMIENTOS!$C$5:$C$1005="C")*(MOVIMIENTOS!$D$5:$D$1005="jabas")*(MOVIMIENTOS!$A$5:$A$1005&lt;&gt;"")*(MOVIMIENTOS!$A$5:$A$1005&lt;=$A611)*MOVIMIENTOS!$E$5:$E$1005)-SUMPRODUCT((MOVIMIENTOS!$B$5:$B$1005="ENVÍO A SUPESA")*(MOVIMIENTOS!$C$5:$C$1005="C")*(MOVIMIENTOS!$D$5:$D$1005="jabas")*(MOVIMIENTOS!$A$5:$A$1005&lt;&gt;"")*(MOVIMIENTOS!$A$5:$A$1005&lt;=$A611)*MOVIMIENTOS!$E$5:$E$1005)+SUMPRODUCT((MOVIMIENTOS!$B$5:$B$1005="DEVOLUCIÓN")*(MOVIMIENTOS!$C$5:$C$1005="C")*(MOVIMIENTOS!$D$5:$D$1005="jabas")*(MOVIMIENTOS!$A$5:$A$1005&lt;&gt;"")*(MOVIMIENTOS!$A$5:$A$1005&lt;=$A611)*MOVIMIENTOS!$E$5:$E$1005)-SUMPRODUCT((MOVIMIENTOS!$B$5:$B$1005="TRASIEGO")*(MOVIMIENTOS!$C$5:$C$1005="C")*(MOVIMIENTOS!$D$5:$D$1005="jabas")*(MOVIMIENTOS!$A$5:$A$1005&lt;&gt;"")*(MOVIMIENTOS!$A$5:$A$1005&lt;=$A611)*MOVIMIENTOS!$E$5:$E$1005)-SUMPRODUCT((MOVIMIENTOS!$B$5:$B$1005="REGALO")*(MOVIMIENTOS!$C$5:$C$1005="C")*(MOVIMIENTOS!$D$5:$D$1005="jabas")*(MOVIMIENTOS!$A$5:$A$1005&lt;&gt;"")*(MOVIMIENTOS!$A$5:$A$1005&lt;=$A611)*MOVIMIENTOS!$E$5:$E$1005)-SUMPRODUCT((MOVIMIENTOS!$B$5:$B$1005="VENTA")*(MOVIMIENTOS!$C$5:$C$1005="C")*(MOVIMIENTOS!$D$5:$D$1005="jabas")*(MOVIMIENTOS!$A$5:$A$1005&lt;&gt;"")*(MOVIMIENTOS!$A$5:$A$1005&lt;=$A611)*MOVIMIENTOS!$E$5:$E$1005)+SUMPRODUCT((MOVIMIENTOS!$B$5:$B$1005="AJUSTE")*(MOVIMIENTOS!$C$5:$C$1005="C")*(MOVIMIENTOS!$D$5:$D$1005="jabas")*(MOVIMIENTOS!$A$5:$A$1005&lt;&gt;"")*(MOVIMIENTOS!$A$5:$A$1005&lt;=$A611)*MOVIMIENTOS!$E$5:$E$1005))</f>
        <v/>
      </c>
      <c r="E611" t="str">
        <f>IF($A611="","",SUMPRODUCT((MOVIMIENTOS!$B$5:$B$1005="SALDO INICIAL")*(MOVIMIENTOS!$C$5:$C$1005="M")*(MOVIMIENTOS!$D$5:$D$1005="jabas")*(MOVIMIENTOS!$A$5:$A$1005&lt;&gt;"")*(MOVIMIENTOS!$A$5:$A$1005&lt;=$A611)*MOVIMIENTOS!$E$5:$E$1005)+SUMPRODUCT((MOVIMIENTOS!$B$5:$B$1005="PROCESO")*(MOVIMIENTOS!$C$5:$C$1005="M")*(MOVIMIENTOS!$D$5:$D$1005="jabas")*(MOVIMIENTOS!$A$5:$A$1005&lt;&gt;"")*(MOVIMIENTOS!$A$5:$A$1005&lt;=$A611)*MOVIMIENTOS!$E$5:$E$1005)-SUMPRODUCT((MOVIMIENTOS!$B$5:$B$1005="ENVÍO A SUPESA")*(MOVIMIENTOS!$C$5:$C$1005="M")*(MOVIMIENTOS!$D$5:$D$1005="jabas")*(MOVIMIENTOS!$A$5:$A$1005&lt;&gt;"")*(MOVIMIENTOS!$A$5:$A$1005&lt;=$A611)*MOVIMIENTOS!$E$5:$E$1005)+SUMPRODUCT((MOVIMIENTOS!$B$5:$B$1005="DEVOLUCIÓN")*(MOVIMIENTOS!$C$5:$C$1005="M")*(MOVIMIENTOS!$D$5:$D$1005="jabas")*(MOVIMIENTOS!$A$5:$A$1005&lt;&gt;"")*(MOVIMIENTOS!$A$5:$A$1005&lt;=$A611)*MOVIMIENTOS!$E$5:$E$1005)-SUMPRODUCT((MOVIMIENTOS!$B$5:$B$1005="TRASIEGO")*(MOVIMIENTOS!$C$5:$C$1005="M")*(MOVIMIENTOS!$D$5:$D$1005="jabas")*(MOVIMIENTOS!$A$5:$A$1005&lt;&gt;"")*(MOVIMIENTOS!$A$5:$A$1005&lt;=$A611)*MOVIMIENTOS!$E$5:$E$1005)-SUMPRODUCT((MOVIMIENTOS!$B$5:$B$1005="REGALO")*(MOVIMIENTOS!$C$5:$C$1005="M")*(MOVIMIENTOS!$D$5:$D$1005="jabas")*(MOVIMIENTOS!$A$5:$A$1005&lt;&gt;"")*(MOVIMIENTOS!$A$5:$A$1005&lt;=$A611)*MOVIMIENTOS!$E$5:$E$1005)-SUMPRODUCT((MOVIMIENTOS!$B$5:$B$1005="VENTA")*(MOVIMIENTOS!$C$5:$C$1005="M")*(MOVIMIENTOS!$D$5:$D$1005="jabas")*(MOVIMIENTOS!$A$5:$A$1005&lt;&gt;"")*(MOVIMIENTOS!$A$5:$A$1005&lt;=$A611)*MOVIMIENTOS!$E$5:$E$1005)+SUMPRODUCT((MOVIMIENTOS!$B$5:$B$1005="AJUSTE")*(MOVIMIENTOS!$C$5:$C$1005="M")*(MOVIMIENTOS!$D$5:$D$1005="jabas")*(MOVIMIENTOS!$A$5:$A$1005&lt;&gt;"")*(MOVIMIENTOS!$A$5:$A$1005&lt;=$A611)*MOVIMIENTOS!$E$5:$E$1005))</f>
        <v/>
      </c>
      <c r="F611" s="62" t="str">
        <f>IF($A611="","",SUMPRODUCT((MOVIMIENTOS!$B$5:$B$1005="SALDO INICIAL")*(MOVIMIENTOS!$C$5:$C$1005="Chancho")*(MOVIMIENTOS!$D$5:$D$1005="sacos")*(MOVIMIENTOS!$A$5:$A$1005&lt;&gt;"")*(MOVIMIENTOS!$A$5:$A$1005&lt;=$A611)*MOVIMIENTOS!$E$5:$E$1005)+SUMPRODUCT((MOVIMIENTOS!$B$5:$B$1005="PROCESO")*(MOVIMIENTOS!$C$5:$C$1005="Chancho")*(MOVIMIENTOS!$D$5:$D$1005="sacos")*(MOVIMIENTOS!$A$5:$A$1005&lt;&gt;"")*(MOVIMIENTOS!$A$5:$A$1005&lt;=$A611)*MOVIMIENTOS!$E$5:$E$1005)-SUMPRODUCT((MOVIMIENTOS!$B$5:$B$1005="VENTA CHANCHO")*(MOVIMIENTOS!$C$5:$C$1005="Chancho")*(MOVIMIENTOS!$D$5:$D$1005="sacos")*(MOVIMIENTOS!$A$5:$A$1005&lt;&gt;"")*(MOVIMIENTOS!$A$5:$A$1005&lt;=$A611)*MOVIMIENTOS!$E$5:$E$1005)-SUMPRODUCT((MOVIMIENTOS!$B$5:$B$1005="REGALO")*(MOVIMIENTOS!$C$5:$C$1005="Chancho")*(MOVIMIENTOS!$D$5:$D$1005="sacos")*(MOVIMIENTOS!$A$5:$A$1005&lt;&gt;"")*(MOVIMIENTOS!$A$5:$A$1005&lt;=$A611)*MOVIMIENTOS!$E$5:$E$1005)-SUMPRODUCT((MOVIMIENTOS!$B$5:$B$1005="VENTA")*(MOVIMIENTOS!$C$5:$C$1005="Chancho")*(MOVIMIENTOS!$D$5:$D$1005="sacos")*(MOVIMIENTOS!$A$5:$A$1005&lt;&gt;"")*(MOVIMIENTOS!$A$5:$A$1005&lt;=$A611)*MOVIMIENTOS!$E$5:$E$1005)+SUMPRODUCT((MOVIMIENTOS!$B$5:$B$1005="AJUSTE")*(MOVIMIENTOS!$C$5:$C$1005="Chancho")*(MOVIMIENTOS!$D$5:$D$1005="sacos")*(MOVIMIENTOS!$A$5:$A$1005&lt;&gt;"")*(MOVIMIENTOS!$A$5:$A$1005&lt;=$A611)*MOVIMIENTOS!$E$5:$E$1005))</f>
        <v/>
      </c>
      <c r="G611" s="62" t="str">
        <f t="shared" si="19"/>
        <v/>
      </c>
      <c r="H611" t="str">
        <f>IF($A611="","",SUMPRODUCT((((MOVIMIENTOS!$B$5:$B$1005="SALDO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611)*MOVIMIENTOS!$J$5:$J$1005))</f>
        <v/>
      </c>
      <c r="J611" t="str">
        <f>IF(AND(MOVIMIENTOS!$A616&lt;&gt;"",COUNTIF(MOVIMIENTOS!$A$5:$A615,MOVIMIENTOS!$A616)=0),COUNT(J$4:J610)+1,"")</f>
        <v/>
      </c>
      <c r="K611">
        <f>MOVIMIENTOS!$A616</f>
        <v>0</v>
      </c>
    </row>
    <row r="612" spans="1:11" ht="15" customHeight="1" x14ac:dyDescent="0.2">
      <c r="A612" t="str">
        <f t="shared" si="18"/>
        <v/>
      </c>
      <c r="B612" t="str">
        <f>IF($A612="","",SUMPRODUCT((MOVIMIENTOS!$B$5:$B$1005="SALDO INICIAL")*(MOVIMIENTOS!$C$5:$C$1005="A")*(MOVIMIENTOS!$D$5:$D$1005="jabas")*(MOVIMIENTOS!$A$5:$A$1005&lt;&gt;"")*(MOVIMIENTOS!$A$5:$A$1005&lt;=$A612)*MOVIMIENTOS!$E$5:$E$1005)+SUMPRODUCT((MOVIMIENTOS!$B$5:$B$1005="PROCESO")*(MOVIMIENTOS!$C$5:$C$1005="A")*(MOVIMIENTOS!$D$5:$D$1005="jabas")*(MOVIMIENTOS!$A$5:$A$1005&lt;&gt;"")*(MOVIMIENTOS!$A$5:$A$1005&lt;=$A612)*MOVIMIENTOS!$E$5:$E$1005)-SUMPRODUCT((MOVIMIENTOS!$B$5:$B$1005="ENVÍO A SUPESA")*(MOVIMIENTOS!$C$5:$C$1005="A")*(MOVIMIENTOS!$D$5:$D$1005="jabas")*(MOVIMIENTOS!$A$5:$A$1005&lt;&gt;"")*(MOVIMIENTOS!$A$5:$A$1005&lt;=$A612)*MOVIMIENTOS!$E$5:$E$1005)+SUMPRODUCT((MOVIMIENTOS!$B$5:$B$1005="DEVOLUCIÓN")*(MOVIMIENTOS!$C$5:$C$1005="A")*(MOVIMIENTOS!$D$5:$D$1005="jabas")*(MOVIMIENTOS!$A$5:$A$1005&lt;&gt;"")*(MOVIMIENTOS!$A$5:$A$1005&lt;=$A612)*MOVIMIENTOS!$E$5:$E$1005)-SUMPRODUCT((MOVIMIENTOS!$B$5:$B$1005="TRASIEGO")*(MOVIMIENTOS!$C$5:$C$1005="A")*(MOVIMIENTOS!$D$5:$D$1005="jabas")*(MOVIMIENTOS!$A$5:$A$1005&lt;&gt;"")*(MOVIMIENTOS!$A$5:$A$1005&lt;=$A612)*MOVIMIENTOS!$E$5:$E$1005)-SUMPRODUCT((MOVIMIENTOS!$B$5:$B$1005="REGALO")*(MOVIMIENTOS!$C$5:$C$1005="A")*(MOVIMIENTOS!$D$5:$D$1005="jabas")*(MOVIMIENTOS!$A$5:$A$1005&lt;&gt;"")*(MOVIMIENTOS!$A$5:$A$1005&lt;=$A612)*MOVIMIENTOS!$E$5:$E$1005)-SUMPRODUCT((MOVIMIENTOS!$B$5:$B$1005="VENTA")*(MOVIMIENTOS!$C$5:$C$1005="A")*(MOVIMIENTOS!$D$5:$D$1005="jabas")*(MOVIMIENTOS!$A$5:$A$1005&lt;&gt;"")*(MOVIMIENTOS!$A$5:$A$1005&lt;=$A612)*MOVIMIENTOS!$E$5:$E$1005)+SUMPRODUCT((MOVIMIENTOS!$B$5:$B$1005="AJUSTE")*(MOVIMIENTOS!$C$5:$C$1005="A")*(MOVIMIENTOS!$D$5:$D$1005="jabas")*(MOVIMIENTOS!$A$5:$A$1005&lt;&gt;"")*(MOVIMIENTOS!$A$5:$A$1005&lt;=$A612)*MOVIMIENTOS!$E$5:$E$1005))</f>
        <v/>
      </c>
      <c r="C612" t="str">
        <f>IF($A612="","",SUMPRODUCT((MOVIMIENTOS!$B$5:$B$1005="SALDO INICIAL")*(MOVIMIENTOS!$C$5:$C$1005="P")*(MOVIMIENTOS!$D$5:$D$1005="jabas")*(MOVIMIENTOS!$A$5:$A$1005&lt;&gt;"")*(MOVIMIENTOS!$A$5:$A$1005&lt;=$A612)*MOVIMIENTOS!$E$5:$E$1005)+SUMPRODUCT((MOVIMIENTOS!$B$5:$B$1005="PROCESO")*(MOVIMIENTOS!$C$5:$C$1005="P")*(MOVIMIENTOS!$D$5:$D$1005="jabas")*(MOVIMIENTOS!$A$5:$A$1005&lt;&gt;"")*(MOVIMIENTOS!$A$5:$A$1005&lt;=$A612)*MOVIMIENTOS!$E$5:$E$1005)-SUMPRODUCT((MOVIMIENTOS!$B$5:$B$1005="ENVÍO A SUPESA")*(MOVIMIENTOS!$C$5:$C$1005="P")*(MOVIMIENTOS!$D$5:$D$1005="jabas")*(MOVIMIENTOS!$A$5:$A$1005&lt;&gt;"")*(MOVIMIENTOS!$A$5:$A$1005&lt;=$A612)*MOVIMIENTOS!$E$5:$E$1005)+SUMPRODUCT((MOVIMIENTOS!$B$5:$B$1005="DEVOLUCIÓN")*(MOVIMIENTOS!$C$5:$C$1005="P")*(MOVIMIENTOS!$D$5:$D$1005="jabas")*(MOVIMIENTOS!$A$5:$A$1005&lt;&gt;"")*(MOVIMIENTOS!$A$5:$A$1005&lt;=$A612)*MOVIMIENTOS!$E$5:$E$1005)-SUMPRODUCT((MOVIMIENTOS!$B$5:$B$1005="TRASIEGO")*(MOVIMIENTOS!$C$5:$C$1005="P")*(MOVIMIENTOS!$D$5:$D$1005="jabas")*(MOVIMIENTOS!$A$5:$A$1005&lt;&gt;"")*(MOVIMIENTOS!$A$5:$A$1005&lt;=$A612)*MOVIMIENTOS!$E$5:$E$1005)-SUMPRODUCT((MOVIMIENTOS!$B$5:$B$1005="REGALO")*(MOVIMIENTOS!$C$5:$C$1005="P")*(MOVIMIENTOS!$D$5:$D$1005="jabas")*(MOVIMIENTOS!$A$5:$A$1005&lt;&gt;"")*(MOVIMIENTOS!$A$5:$A$1005&lt;=$A612)*MOVIMIENTOS!$E$5:$E$1005)-SUMPRODUCT((MOVIMIENTOS!$B$5:$B$1005="VENTA")*(MOVIMIENTOS!$C$5:$C$1005="P")*(MOVIMIENTOS!$D$5:$D$1005="jabas")*(MOVIMIENTOS!$A$5:$A$1005&lt;&gt;"")*(MOVIMIENTOS!$A$5:$A$1005&lt;=$A612)*MOVIMIENTOS!$E$5:$E$1005)+SUMPRODUCT((MOVIMIENTOS!$B$5:$B$1005="AJUSTE")*(MOVIMIENTOS!$C$5:$C$1005="P")*(MOVIMIENTOS!$D$5:$D$1005="jabas")*(MOVIMIENTOS!$A$5:$A$1005&lt;&gt;"")*(MOVIMIENTOS!$A$5:$A$1005&lt;=$A612)*MOVIMIENTOS!$E$5:$E$1005))</f>
        <v/>
      </c>
      <c r="D612" t="str">
        <f>IF($A612="","",SUMPRODUCT((MOVIMIENTOS!$B$5:$B$1005="SALDO INICIAL")*(MOVIMIENTOS!$C$5:$C$1005="C")*(MOVIMIENTOS!$D$5:$D$1005="jabas")*(MOVIMIENTOS!$A$5:$A$1005&lt;&gt;"")*(MOVIMIENTOS!$A$5:$A$1005&lt;=$A612)*MOVIMIENTOS!$E$5:$E$1005)+SUMPRODUCT((MOVIMIENTOS!$B$5:$B$1005="PROCESO")*(MOVIMIENTOS!$C$5:$C$1005="C")*(MOVIMIENTOS!$D$5:$D$1005="jabas")*(MOVIMIENTOS!$A$5:$A$1005&lt;&gt;"")*(MOVIMIENTOS!$A$5:$A$1005&lt;=$A612)*MOVIMIENTOS!$E$5:$E$1005)-SUMPRODUCT((MOVIMIENTOS!$B$5:$B$1005="ENVÍO A SUPESA")*(MOVIMIENTOS!$C$5:$C$1005="C")*(MOVIMIENTOS!$D$5:$D$1005="jabas")*(MOVIMIENTOS!$A$5:$A$1005&lt;&gt;"")*(MOVIMIENTOS!$A$5:$A$1005&lt;=$A612)*MOVIMIENTOS!$E$5:$E$1005)+SUMPRODUCT((MOVIMIENTOS!$B$5:$B$1005="DEVOLUCIÓN")*(MOVIMIENTOS!$C$5:$C$1005="C")*(MOVIMIENTOS!$D$5:$D$1005="jabas")*(MOVIMIENTOS!$A$5:$A$1005&lt;&gt;"")*(MOVIMIENTOS!$A$5:$A$1005&lt;=$A612)*MOVIMIENTOS!$E$5:$E$1005)-SUMPRODUCT((MOVIMIENTOS!$B$5:$B$1005="TRASIEGO")*(MOVIMIENTOS!$C$5:$C$1005="C")*(MOVIMIENTOS!$D$5:$D$1005="jabas")*(MOVIMIENTOS!$A$5:$A$1005&lt;&gt;"")*(MOVIMIENTOS!$A$5:$A$1005&lt;=$A612)*MOVIMIENTOS!$E$5:$E$1005)-SUMPRODUCT((MOVIMIENTOS!$B$5:$B$1005="REGALO")*(MOVIMIENTOS!$C$5:$C$1005="C")*(MOVIMIENTOS!$D$5:$D$1005="jabas")*(MOVIMIENTOS!$A$5:$A$1005&lt;&gt;"")*(MOVIMIENTOS!$A$5:$A$1005&lt;=$A612)*MOVIMIENTOS!$E$5:$E$1005)-SUMPRODUCT((MOVIMIENTOS!$B$5:$B$1005="VENTA")*(MOVIMIENTOS!$C$5:$C$1005="C")*(MOVIMIENTOS!$D$5:$D$1005="jabas")*(MOVIMIENTOS!$A$5:$A$1005&lt;&gt;"")*(MOVIMIENTOS!$A$5:$A$1005&lt;=$A612)*MOVIMIENTOS!$E$5:$E$1005)+SUMPRODUCT((MOVIMIENTOS!$B$5:$B$1005="AJUSTE")*(MOVIMIENTOS!$C$5:$C$1005="C")*(MOVIMIENTOS!$D$5:$D$1005="jabas")*(MOVIMIENTOS!$A$5:$A$1005&lt;&gt;"")*(MOVIMIENTOS!$A$5:$A$1005&lt;=$A612)*MOVIMIENTOS!$E$5:$E$1005))</f>
        <v/>
      </c>
      <c r="E612" t="str">
        <f>IF($A612="","",SUMPRODUCT((MOVIMIENTOS!$B$5:$B$1005="SALDO INICIAL")*(MOVIMIENTOS!$C$5:$C$1005="M")*(MOVIMIENTOS!$D$5:$D$1005="jabas")*(MOVIMIENTOS!$A$5:$A$1005&lt;&gt;"")*(MOVIMIENTOS!$A$5:$A$1005&lt;=$A612)*MOVIMIENTOS!$E$5:$E$1005)+SUMPRODUCT((MOVIMIENTOS!$B$5:$B$1005="PROCESO")*(MOVIMIENTOS!$C$5:$C$1005="M")*(MOVIMIENTOS!$D$5:$D$1005="jabas")*(MOVIMIENTOS!$A$5:$A$1005&lt;&gt;"")*(MOVIMIENTOS!$A$5:$A$1005&lt;=$A612)*MOVIMIENTOS!$E$5:$E$1005)-SUMPRODUCT((MOVIMIENTOS!$B$5:$B$1005="ENVÍO A SUPESA")*(MOVIMIENTOS!$C$5:$C$1005="M")*(MOVIMIENTOS!$D$5:$D$1005="jabas")*(MOVIMIENTOS!$A$5:$A$1005&lt;&gt;"")*(MOVIMIENTOS!$A$5:$A$1005&lt;=$A612)*MOVIMIENTOS!$E$5:$E$1005)+SUMPRODUCT((MOVIMIENTOS!$B$5:$B$1005="DEVOLUCIÓN")*(MOVIMIENTOS!$C$5:$C$1005="M")*(MOVIMIENTOS!$D$5:$D$1005="jabas")*(MOVIMIENTOS!$A$5:$A$1005&lt;&gt;"")*(MOVIMIENTOS!$A$5:$A$1005&lt;=$A612)*MOVIMIENTOS!$E$5:$E$1005)-SUMPRODUCT((MOVIMIENTOS!$B$5:$B$1005="TRASIEGO")*(MOVIMIENTOS!$C$5:$C$1005="M")*(MOVIMIENTOS!$D$5:$D$1005="jabas")*(MOVIMIENTOS!$A$5:$A$1005&lt;&gt;"")*(MOVIMIENTOS!$A$5:$A$1005&lt;=$A612)*MOVIMIENTOS!$E$5:$E$1005)-SUMPRODUCT((MOVIMIENTOS!$B$5:$B$1005="REGALO")*(MOVIMIENTOS!$C$5:$C$1005="M")*(MOVIMIENTOS!$D$5:$D$1005="jabas")*(MOVIMIENTOS!$A$5:$A$1005&lt;&gt;"")*(MOVIMIENTOS!$A$5:$A$1005&lt;=$A612)*MOVIMIENTOS!$E$5:$E$1005)-SUMPRODUCT((MOVIMIENTOS!$B$5:$B$1005="VENTA")*(MOVIMIENTOS!$C$5:$C$1005="M")*(MOVIMIENTOS!$D$5:$D$1005="jabas")*(MOVIMIENTOS!$A$5:$A$1005&lt;&gt;"")*(MOVIMIENTOS!$A$5:$A$1005&lt;=$A612)*MOVIMIENTOS!$E$5:$E$1005)+SUMPRODUCT((MOVIMIENTOS!$B$5:$B$1005="AJUSTE")*(MOVIMIENTOS!$C$5:$C$1005="M")*(MOVIMIENTOS!$D$5:$D$1005="jabas")*(MOVIMIENTOS!$A$5:$A$1005&lt;&gt;"")*(MOVIMIENTOS!$A$5:$A$1005&lt;=$A612)*MOVIMIENTOS!$E$5:$E$1005))</f>
        <v/>
      </c>
      <c r="F612" s="62" t="str">
        <f>IF($A612="","",SUMPRODUCT((MOVIMIENTOS!$B$5:$B$1005="SALDO INICIAL")*(MOVIMIENTOS!$C$5:$C$1005="Chancho")*(MOVIMIENTOS!$D$5:$D$1005="sacos")*(MOVIMIENTOS!$A$5:$A$1005&lt;&gt;"")*(MOVIMIENTOS!$A$5:$A$1005&lt;=$A612)*MOVIMIENTOS!$E$5:$E$1005)+SUMPRODUCT((MOVIMIENTOS!$B$5:$B$1005="PROCESO")*(MOVIMIENTOS!$C$5:$C$1005="Chancho")*(MOVIMIENTOS!$D$5:$D$1005="sacos")*(MOVIMIENTOS!$A$5:$A$1005&lt;&gt;"")*(MOVIMIENTOS!$A$5:$A$1005&lt;=$A612)*MOVIMIENTOS!$E$5:$E$1005)-SUMPRODUCT((MOVIMIENTOS!$B$5:$B$1005="VENTA CHANCHO")*(MOVIMIENTOS!$C$5:$C$1005="Chancho")*(MOVIMIENTOS!$D$5:$D$1005="sacos")*(MOVIMIENTOS!$A$5:$A$1005&lt;&gt;"")*(MOVIMIENTOS!$A$5:$A$1005&lt;=$A612)*MOVIMIENTOS!$E$5:$E$1005)-SUMPRODUCT((MOVIMIENTOS!$B$5:$B$1005="REGALO")*(MOVIMIENTOS!$C$5:$C$1005="Chancho")*(MOVIMIENTOS!$D$5:$D$1005="sacos")*(MOVIMIENTOS!$A$5:$A$1005&lt;&gt;"")*(MOVIMIENTOS!$A$5:$A$1005&lt;=$A612)*MOVIMIENTOS!$E$5:$E$1005)-SUMPRODUCT((MOVIMIENTOS!$B$5:$B$1005="VENTA")*(MOVIMIENTOS!$C$5:$C$1005="Chancho")*(MOVIMIENTOS!$D$5:$D$1005="sacos")*(MOVIMIENTOS!$A$5:$A$1005&lt;&gt;"")*(MOVIMIENTOS!$A$5:$A$1005&lt;=$A612)*MOVIMIENTOS!$E$5:$E$1005)+SUMPRODUCT((MOVIMIENTOS!$B$5:$B$1005="AJUSTE")*(MOVIMIENTOS!$C$5:$C$1005="Chancho")*(MOVIMIENTOS!$D$5:$D$1005="sacos")*(MOVIMIENTOS!$A$5:$A$1005&lt;&gt;"")*(MOVIMIENTOS!$A$5:$A$1005&lt;=$A612)*MOVIMIENTOS!$E$5:$E$1005))</f>
        <v/>
      </c>
      <c r="G612" s="62" t="str">
        <f t="shared" si="19"/>
        <v/>
      </c>
      <c r="H612" t="str">
        <f>IF($A612="","",SUMPRODUCT((((MOVIMIENTOS!$B$5:$B$1005="SALDO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612)*MOVIMIENTOS!$J$5:$J$1005))</f>
        <v/>
      </c>
      <c r="J612" t="str">
        <f>IF(AND(MOVIMIENTOS!$A617&lt;&gt;"",COUNTIF(MOVIMIENTOS!$A$5:$A616,MOVIMIENTOS!$A617)=0),COUNT(J$4:J611)+1,"")</f>
        <v/>
      </c>
      <c r="K612">
        <f>MOVIMIENTOS!$A617</f>
        <v>0</v>
      </c>
    </row>
    <row r="613" spans="1:11" ht="15" customHeight="1" x14ac:dyDescent="0.2">
      <c r="A613" t="str">
        <f t="shared" si="18"/>
        <v/>
      </c>
      <c r="B613" t="str">
        <f>IF($A613="","",SUMPRODUCT((MOVIMIENTOS!$B$5:$B$1005="SALDO INICIAL")*(MOVIMIENTOS!$C$5:$C$1005="A")*(MOVIMIENTOS!$D$5:$D$1005="jabas")*(MOVIMIENTOS!$A$5:$A$1005&lt;&gt;"")*(MOVIMIENTOS!$A$5:$A$1005&lt;=$A613)*MOVIMIENTOS!$E$5:$E$1005)+SUMPRODUCT((MOVIMIENTOS!$B$5:$B$1005="PROCESO")*(MOVIMIENTOS!$C$5:$C$1005="A")*(MOVIMIENTOS!$D$5:$D$1005="jabas")*(MOVIMIENTOS!$A$5:$A$1005&lt;&gt;"")*(MOVIMIENTOS!$A$5:$A$1005&lt;=$A613)*MOVIMIENTOS!$E$5:$E$1005)-SUMPRODUCT((MOVIMIENTOS!$B$5:$B$1005="ENVÍO A SUPESA")*(MOVIMIENTOS!$C$5:$C$1005="A")*(MOVIMIENTOS!$D$5:$D$1005="jabas")*(MOVIMIENTOS!$A$5:$A$1005&lt;&gt;"")*(MOVIMIENTOS!$A$5:$A$1005&lt;=$A613)*MOVIMIENTOS!$E$5:$E$1005)+SUMPRODUCT((MOVIMIENTOS!$B$5:$B$1005="DEVOLUCIÓN")*(MOVIMIENTOS!$C$5:$C$1005="A")*(MOVIMIENTOS!$D$5:$D$1005="jabas")*(MOVIMIENTOS!$A$5:$A$1005&lt;&gt;"")*(MOVIMIENTOS!$A$5:$A$1005&lt;=$A613)*MOVIMIENTOS!$E$5:$E$1005)-SUMPRODUCT((MOVIMIENTOS!$B$5:$B$1005="TRASIEGO")*(MOVIMIENTOS!$C$5:$C$1005="A")*(MOVIMIENTOS!$D$5:$D$1005="jabas")*(MOVIMIENTOS!$A$5:$A$1005&lt;&gt;"")*(MOVIMIENTOS!$A$5:$A$1005&lt;=$A613)*MOVIMIENTOS!$E$5:$E$1005)-SUMPRODUCT((MOVIMIENTOS!$B$5:$B$1005="REGALO")*(MOVIMIENTOS!$C$5:$C$1005="A")*(MOVIMIENTOS!$D$5:$D$1005="jabas")*(MOVIMIENTOS!$A$5:$A$1005&lt;&gt;"")*(MOVIMIENTOS!$A$5:$A$1005&lt;=$A613)*MOVIMIENTOS!$E$5:$E$1005)-SUMPRODUCT((MOVIMIENTOS!$B$5:$B$1005="VENTA")*(MOVIMIENTOS!$C$5:$C$1005="A")*(MOVIMIENTOS!$D$5:$D$1005="jabas")*(MOVIMIENTOS!$A$5:$A$1005&lt;&gt;"")*(MOVIMIENTOS!$A$5:$A$1005&lt;=$A613)*MOVIMIENTOS!$E$5:$E$1005)+SUMPRODUCT((MOVIMIENTOS!$B$5:$B$1005="AJUSTE")*(MOVIMIENTOS!$C$5:$C$1005="A")*(MOVIMIENTOS!$D$5:$D$1005="jabas")*(MOVIMIENTOS!$A$5:$A$1005&lt;&gt;"")*(MOVIMIENTOS!$A$5:$A$1005&lt;=$A613)*MOVIMIENTOS!$E$5:$E$1005))</f>
        <v/>
      </c>
      <c r="C613" t="str">
        <f>IF($A613="","",SUMPRODUCT((MOVIMIENTOS!$B$5:$B$1005="SALDO INICIAL")*(MOVIMIENTOS!$C$5:$C$1005="P")*(MOVIMIENTOS!$D$5:$D$1005="jabas")*(MOVIMIENTOS!$A$5:$A$1005&lt;&gt;"")*(MOVIMIENTOS!$A$5:$A$1005&lt;=$A613)*MOVIMIENTOS!$E$5:$E$1005)+SUMPRODUCT((MOVIMIENTOS!$B$5:$B$1005="PROCESO")*(MOVIMIENTOS!$C$5:$C$1005="P")*(MOVIMIENTOS!$D$5:$D$1005="jabas")*(MOVIMIENTOS!$A$5:$A$1005&lt;&gt;"")*(MOVIMIENTOS!$A$5:$A$1005&lt;=$A613)*MOVIMIENTOS!$E$5:$E$1005)-SUMPRODUCT((MOVIMIENTOS!$B$5:$B$1005="ENVÍO A SUPESA")*(MOVIMIENTOS!$C$5:$C$1005="P")*(MOVIMIENTOS!$D$5:$D$1005="jabas")*(MOVIMIENTOS!$A$5:$A$1005&lt;&gt;"")*(MOVIMIENTOS!$A$5:$A$1005&lt;=$A613)*MOVIMIENTOS!$E$5:$E$1005)+SUMPRODUCT((MOVIMIENTOS!$B$5:$B$1005="DEVOLUCIÓN")*(MOVIMIENTOS!$C$5:$C$1005="P")*(MOVIMIENTOS!$D$5:$D$1005="jabas")*(MOVIMIENTOS!$A$5:$A$1005&lt;&gt;"")*(MOVIMIENTOS!$A$5:$A$1005&lt;=$A613)*MOVIMIENTOS!$E$5:$E$1005)-SUMPRODUCT((MOVIMIENTOS!$B$5:$B$1005="TRASIEGO")*(MOVIMIENTOS!$C$5:$C$1005="P")*(MOVIMIENTOS!$D$5:$D$1005="jabas")*(MOVIMIENTOS!$A$5:$A$1005&lt;&gt;"")*(MOVIMIENTOS!$A$5:$A$1005&lt;=$A613)*MOVIMIENTOS!$E$5:$E$1005)-SUMPRODUCT((MOVIMIENTOS!$B$5:$B$1005="REGALO")*(MOVIMIENTOS!$C$5:$C$1005="P")*(MOVIMIENTOS!$D$5:$D$1005="jabas")*(MOVIMIENTOS!$A$5:$A$1005&lt;&gt;"")*(MOVIMIENTOS!$A$5:$A$1005&lt;=$A613)*MOVIMIENTOS!$E$5:$E$1005)-SUMPRODUCT((MOVIMIENTOS!$B$5:$B$1005="VENTA")*(MOVIMIENTOS!$C$5:$C$1005="P")*(MOVIMIENTOS!$D$5:$D$1005="jabas")*(MOVIMIENTOS!$A$5:$A$1005&lt;&gt;"")*(MOVIMIENTOS!$A$5:$A$1005&lt;=$A613)*MOVIMIENTOS!$E$5:$E$1005)+SUMPRODUCT((MOVIMIENTOS!$B$5:$B$1005="AJUSTE")*(MOVIMIENTOS!$C$5:$C$1005="P")*(MOVIMIENTOS!$D$5:$D$1005="jabas")*(MOVIMIENTOS!$A$5:$A$1005&lt;&gt;"")*(MOVIMIENTOS!$A$5:$A$1005&lt;=$A613)*MOVIMIENTOS!$E$5:$E$1005))</f>
        <v/>
      </c>
      <c r="D613" t="str">
        <f>IF($A613="","",SUMPRODUCT((MOVIMIENTOS!$B$5:$B$1005="SALDO INICIAL")*(MOVIMIENTOS!$C$5:$C$1005="C")*(MOVIMIENTOS!$D$5:$D$1005="jabas")*(MOVIMIENTOS!$A$5:$A$1005&lt;&gt;"")*(MOVIMIENTOS!$A$5:$A$1005&lt;=$A613)*MOVIMIENTOS!$E$5:$E$1005)+SUMPRODUCT((MOVIMIENTOS!$B$5:$B$1005="PROCESO")*(MOVIMIENTOS!$C$5:$C$1005="C")*(MOVIMIENTOS!$D$5:$D$1005="jabas")*(MOVIMIENTOS!$A$5:$A$1005&lt;&gt;"")*(MOVIMIENTOS!$A$5:$A$1005&lt;=$A613)*MOVIMIENTOS!$E$5:$E$1005)-SUMPRODUCT((MOVIMIENTOS!$B$5:$B$1005="ENVÍO A SUPESA")*(MOVIMIENTOS!$C$5:$C$1005="C")*(MOVIMIENTOS!$D$5:$D$1005="jabas")*(MOVIMIENTOS!$A$5:$A$1005&lt;&gt;"")*(MOVIMIENTOS!$A$5:$A$1005&lt;=$A613)*MOVIMIENTOS!$E$5:$E$1005)+SUMPRODUCT((MOVIMIENTOS!$B$5:$B$1005="DEVOLUCIÓN")*(MOVIMIENTOS!$C$5:$C$1005="C")*(MOVIMIENTOS!$D$5:$D$1005="jabas")*(MOVIMIENTOS!$A$5:$A$1005&lt;&gt;"")*(MOVIMIENTOS!$A$5:$A$1005&lt;=$A613)*MOVIMIENTOS!$E$5:$E$1005)-SUMPRODUCT((MOVIMIENTOS!$B$5:$B$1005="TRASIEGO")*(MOVIMIENTOS!$C$5:$C$1005="C")*(MOVIMIENTOS!$D$5:$D$1005="jabas")*(MOVIMIENTOS!$A$5:$A$1005&lt;&gt;"")*(MOVIMIENTOS!$A$5:$A$1005&lt;=$A613)*MOVIMIENTOS!$E$5:$E$1005)-SUMPRODUCT((MOVIMIENTOS!$B$5:$B$1005="REGALO")*(MOVIMIENTOS!$C$5:$C$1005="C")*(MOVIMIENTOS!$D$5:$D$1005="jabas")*(MOVIMIENTOS!$A$5:$A$1005&lt;&gt;"")*(MOVIMIENTOS!$A$5:$A$1005&lt;=$A613)*MOVIMIENTOS!$E$5:$E$1005)-SUMPRODUCT((MOVIMIENTOS!$B$5:$B$1005="VENTA")*(MOVIMIENTOS!$C$5:$C$1005="C")*(MOVIMIENTOS!$D$5:$D$1005="jabas")*(MOVIMIENTOS!$A$5:$A$1005&lt;&gt;"")*(MOVIMIENTOS!$A$5:$A$1005&lt;=$A613)*MOVIMIENTOS!$E$5:$E$1005)+SUMPRODUCT((MOVIMIENTOS!$B$5:$B$1005="AJUSTE")*(MOVIMIENTOS!$C$5:$C$1005="C")*(MOVIMIENTOS!$D$5:$D$1005="jabas")*(MOVIMIENTOS!$A$5:$A$1005&lt;&gt;"")*(MOVIMIENTOS!$A$5:$A$1005&lt;=$A613)*MOVIMIENTOS!$E$5:$E$1005))</f>
        <v/>
      </c>
      <c r="E613" t="str">
        <f>IF($A613="","",SUMPRODUCT((MOVIMIENTOS!$B$5:$B$1005="SALDO INICIAL")*(MOVIMIENTOS!$C$5:$C$1005="M")*(MOVIMIENTOS!$D$5:$D$1005="jabas")*(MOVIMIENTOS!$A$5:$A$1005&lt;&gt;"")*(MOVIMIENTOS!$A$5:$A$1005&lt;=$A613)*MOVIMIENTOS!$E$5:$E$1005)+SUMPRODUCT((MOVIMIENTOS!$B$5:$B$1005="PROCESO")*(MOVIMIENTOS!$C$5:$C$1005="M")*(MOVIMIENTOS!$D$5:$D$1005="jabas")*(MOVIMIENTOS!$A$5:$A$1005&lt;&gt;"")*(MOVIMIENTOS!$A$5:$A$1005&lt;=$A613)*MOVIMIENTOS!$E$5:$E$1005)-SUMPRODUCT((MOVIMIENTOS!$B$5:$B$1005="ENVÍO A SUPESA")*(MOVIMIENTOS!$C$5:$C$1005="M")*(MOVIMIENTOS!$D$5:$D$1005="jabas")*(MOVIMIENTOS!$A$5:$A$1005&lt;&gt;"")*(MOVIMIENTOS!$A$5:$A$1005&lt;=$A613)*MOVIMIENTOS!$E$5:$E$1005)+SUMPRODUCT((MOVIMIENTOS!$B$5:$B$1005="DEVOLUCIÓN")*(MOVIMIENTOS!$C$5:$C$1005="M")*(MOVIMIENTOS!$D$5:$D$1005="jabas")*(MOVIMIENTOS!$A$5:$A$1005&lt;&gt;"")*(MOVIMIENTOS!$A$5:$A$1005&lt;=$A613)*MOVIMIENTOS!$E$5:$E$1005)-SUMPRODUCT((MOVIMIENTOS!$B$5:$B$1005="TRASIEGO")*(MOVIMIENTOS!$C$5:$C$1005="M")*(MOVIMIENTOS!$D$5:$D$1005="jabas")*(MOVIMIENTOS!$A$5:$A$1005&lt;&gt;"")*(MOVIMIENTOS!$A$5:$A$1005&lt;=$A613)*MOVIMIENTOS!$E$5:$E$1005)-SUMPRODUCT((MOVIMIENTOS!$B$5:$B$1005="REGALO")*(MOVIMIENTOS!$C$5:$C$1005="M")*(MOVIMIENTOS!$D$5:$D$1005="jabas")*(MOVIMIENTOS!$A$5:$A$1005&lt;&gt;"")*(MOVIMIENTOS!$A$5:$A$1005&lt;=$A613)*MOVIMIENTOS!$E$5:$E$1005)-SUMPRODUCT((MOVIMIENTOS!$B$5:$B$1005="VENTA")*(MOVIMIENTOS!$C$5:$C$1005="M")*(MOVIMIENTOS!$D$5:$D$1005="jabas")*(MOVIMIENTOS!$A$5:$A$1005&lt;&gt;"")*(MOVIMIENTOS!$A$5:$A$1005&lt;=$A613)*MOVIMIENTOS!$E$5:$E$1005)+SUMPRODUCT((MOVIMIENTOS!$B$5:$B$1005="AJUSTE")*(MOVIMIENTOS!$C$5:$C$1005="M")*(MOVIMIENTOS!$D$5:$D$1005="jabas")*(MOVIMIENTOS!$A$5:$A$1005&lt;&gt;"")*(MOVIMIENTOS!$A$5:$A$1005&lt;=$A613)*MOVIMIENTOS!$E$5:$E$1005))</f>
        <v/>
      </c>
      <c r="F613" s="62" t="str">
        <f>IF($A613="","",SUMPRODUCT((MOVIMIENTOS!$B$5:$B$1005="SALDO INICIAL")*(MOVIMIENTOS!$C$5:$C$1005="Chancho")*(MOVIMIENTOS!$D$5:$D$1005="sacos")*(MOVIMIENTOS!$A$5:$A$1005&lt;&gt;"")*(MOVIMIENTOS!$A$5:$A$1005&lt;=$A613)*MOVIMIENTOS!$E$5:$E$1005)+SUMPRODUCT((MOVIMIENTOS!$B$5:$B$1005="PROCESO")*(MOVIMIENTOS!$C$5:$C$1005="Chancho")*(MOVIMIENTOS!$D$5:$D$1005="sacos")*(MOVIMIENTOS!$A$5:$A$1005&lt;&gt;"")*(MOVIMIENTOS!$A$5:$A$1005&lt;=$A613)*MOVIMIENTOS!$E$5:$E$1005)-SUMPRODUCT((MOVIMIENTOS!$B$5:$B$1005="VENTA CHANCHO")*(MOVIMIENTOS!$C$5:$C$1005="Chancho")*(MOVIMIENTOS!$D$5:$D$1005="sacos")*(MOVIMIENTOS!$A$5:$A$1005&lt;&gt;"")*(MOVIMIENTOS!$A$5:$A$1005&lt;=$A613)*MOVIMIENTOS!$E$5:$E$1005)-SUMPRODUCT((MOVIMIENTOS!$B$5:$B$1005="REGALO")*(MOVIMIENTOS!$C$5:$C$1005="Chancho")*(MOVIMIENTOS!$D$5:$D$1005="sacos")*(MOVIMIENTOS!$A$5:$A$1005&lt;&gt;"")*(MOVIMIENTOS!$A$5:$A$1005&lt;=$A613)*MOVIMIENTOS!$E$5:$E$1005)-SUMPRODUCT((MOVIMIENTOS!$B$5:$B$1005="VENTA")*(MOVIMIENTOS!$C$5:$C$1005="Chancho")*(MOVIMIENTOS!$D$5:$D$1005="sacos")*(MOVIMIENTOS!$A$5:$A$1005&lt;&gt;"")*(MOVIMIENTOS!$A$5:$A$1005&lt;=$A613)*MOVIMIENTOS!$E$5:$E$1005)+SUMPRODUCT((MOVIMIENTOS!$B$5:$B$1005="AJUSTE")*(MOVIMIENTOS!$C$5:$C$1005="Chancho")*(MOVIMIENTOS!$D$5:$D$1005="sacos")*(MOVIMIENTOS!$A$5:$A$1005&lt;&gt;"")*(MOVIMIENTOS!$A$5:$A$1005&lt;=$A613)*MOVIMIENTOS!$E$5:$E$1005))</f>
        <v/>
      </c>
      <c r="G613" s="62" t="str">
        <f t="shared" si="19"/>
        <v/>
      </c>
      <c r="H613" t="str">
        <f>IF($A613="","",SUMPRODUCT((((MOVIMIENTOS!$B$5:$B$1005="SALDO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613)*MOVIMIENTOS!$J$5:$J$1005))</f>
        <v/>
      </c>
      <c r="J613" t="str">
        <f>IF(AND(MOVIMIENTOS!$A618&lt;&gt;"",COUNTIF(MOVIMIENTOS!$A$5:$A617,MOVIMIENTOS!$A618)=0),COUNT(J$4:J612)+1,"")</f>
        <v/>
      </c>
      <c r="K613">
        <f>MOVIMIENTOS!$A618</f>
        <v>0</v>
      </c>
    </row>
    <row r="614" spans="1:11" ht="15" customHeight="1" x14ac:dyDescent="0.2">
      <c r="A614" t="str">
        <f t="shared" si="18"/>
        <v/>
      </c>
      <c r="B614" t="str">
        <f>IF($A614="","",SUMPRODUCT((MOVIMIENTOS!$B$5:$B$1005="SALDO INICIAL")*(MOVIMIENTOS!$C$5:$C$1005="A")*(MOVIMIENTOS!$D$5:$D$1005="jabas")*(MOVIMIENTOS!$A$5:$A$1005&lt;&gt;"")*(MOVIMIENTOS!$A$5:$A$1005&lt;=$A614)*MOVIMIENTOS!$E$5:$E$1005)+SUMPRODUCT((MOVIMIENTOS!$B$5:$B$1005="PROCESO")*(MOVIMIENTOS!$C$5:$C$1005="A")*(MOVIMIENTOS!$D$5:$D$1005="jabas")*(MOVIMIENTOS!$A$5:$A$1005&lt;&gt;"")*(MOVIMIENTOS!$A$5:$A$1005&lt;=$A614)*MOVIMIENTOS!$E$5:$E$1005)-SUMPRODUCT((MOVIMIENTOS!$B$5:$B$1005="ENVÍO A SUPESA")*(MOVIMIENTOS!$C$5:$C$1005="A")*(MOVIMIENTOS!$D$5:$D$1005="jabas")*(MOVIMIENTOS!$A$5:$A$1005&lt;&gt;"")*(MOVIMIENTOS!$A$5:$A$1005&lt;=$A614)*MOVIMIENTOS!$E$5:$E$1005)+SUMPRODUCT((MOVIMIENTOS!$B$5:$B$1005="DEVOLUCIÓN")*(MOVIMIENTOS!$C$5:$C$1005="A")*(MOVIMIENTOS!$D$5:$D$1005="jabas")*(MOVIMIENTOS!$A$5:$A$1005&lt;&gt;"")*(MOVIMIENTOS!$A$5:$A$1005&lt;=$A614)*MOVIMIENTOS!$E$5:$E$1005)-SUMPRODUCT((MOVIMIENTOS!$B$5:$B$1005="TRASIEGO")*(MOVIMIENTOS!$C$5:$C$1005="A")*(MOVIMIENTOS!$D$5:$D$1005="jabas")*(MOVIMIENTOS!$A$5:$A$1005&lt;&gt;"")*(MOVIMIENTOS!$A$5:$A$1005&lt;=$A614)*MOVIMIENTOS!$E$5:$E$1005)-SUMPRODUCT((MOVIMIENTOS!$B$5:$B$1005="REGALO")*(MOVIMIENTOS!$C$5:$C$1005="A")*(MOVIMIENTOS!$D$5:$D$1005="jabas")*(MOVIMIENTOS!$A$5:$A$1005&lt;&gt;"")*(MOVIMIENTOS!$A$5:$A$1005&lt;=$A614)*MOVIMIENTOS!$E$5:$E$1005)-SUMPRODUCT((MOVIMIENTOS!$B$5:$B$1005="VENTA")*(MOVIMIENTOS!$C$5:$C$1005="A")*(MOVIMIENTOS!$D$5:$D$1005="jabas")*(MOVIMIENTOS!$A$5:$A$1005&lt;&gt;"")*(MOVIMIENTOS!$A$5:$A$1005&lt;=$A614)*MOVIMIENTOS!$E$5:$E$1005)+SUMPRODUCT((MOVIMIENTOS!$B$5:$B$1005="AJUSTE")*(MOVIMIENTOS!$C$5:$C$1005="A")*(MOVIMIENTOS!$D$5:$D$1005="jabas")*(MOVIMIENTOS!$A$5:$A$1005&lt;&gt;"")*(MOVIMIENTOS!$A$5:$A$1005&lt;=$A614)*MOVIMIENTOS!$E$5:$E$1005))</f>
        <v/>
      </c>
      <c r="C614" t="str">
        <f>IF($A614="","",SUMPRODUCT((MOVIMIENTOS!$B$5:$B$1005="SALDO INICIAL")*(MOVIMIENTOS!$C$5:$C$1005="P")*(MOVIMIENTOS!$D$5:$D$1005="jabas")*(MOVIMIENTOS!$A$5:$A$1005&lt;&gt;"")*(MOVIMIENTOS!$A$5:$A$1005&lt;=$A614)*MOVIMIENTOS!$E$5:$E$1005)+SUMPRODUCT((MOVIMIENTOS!$B$5:$B$1005="PROCESO")*(MOVIMIENTOS!$C$5:$C$1005="P")*(MOVIMIENTOS!$D$5:$D$1005="jabas")*(MOVIMIENTOS!$A$5:$A$1005&lt;&gt;"")*(MOVIMIENTOS!$A$5:$A$1005&lt;=$A614)*MOVIMIENTOS!$E$5:$E$1005)-SUMPRODUCT((MOVIMIENTOS!$B$5:$B$1005="ENVÍO A SUPESA")*(MOVIMIENTOS!$C$5:$C$1005="P")*(MOVIMIENTOS!$D$5:$D$1005="jabas")*(MOVIMIENTOS!$A$5:$A$1005&lt;&gt;"")*(MOVIMIENTOS!$A$5:$A$1005&lt;=$A614)*MOVIMIENTOS!$E$5:$E$1005)+SUMPRODUCT((MOVIMIENTOS!$B$5:$B$1005="DEVOLUCIÓN")*(MOVIMIENTOS!$C$5:$C$1005="P")*(MOVIMIENTOS!$D$5:$D$1005="jabas")*(MOVIMIENTOS!$A$5:$A$1005&lt;&gt;"")*(MOVIMIENTOS!$A$5:$A$1005&lt;=$A614)*MOVIMIENTOS!$E$5:$E$1005)-SUMPRODUCT((MOVIMIENTOS!$B$5:$B$1005="TRASIEGO")*(MOVIMIENTOS!$C$5:$C$1005="P")*(MOVIMIENTOS!$D$5:$D$1005="jabas")*(MOVIMIENTOS!$A$5:$A$1005&lt;&gt;"")*(MOVIMIENTOS!$A$5:$A$1005&lt;=$A614)*MOVIMIENTOS!$E$5:$E$1005)-SUMPRODUCT((MOVIMIENTOS!$B$5:$B$1005="REGALO")*(MOVIMIENTOS!$C$5:$C$1005="P")*(MOVIMIENTOS!$D$5:$D$1005="jabas")*(MOVIMIENTOS!$A$5:$A$1005&lt;&gt;"")*(MOVIMIENTOS!$A$5:$A$1005&lt;=$A614)*MOVIMIENTOS!$E$5:$E$1005)-SUMPRODUCT((MOVIMIENTOS!$B$5:$B$1005="VENTA")*(MOVIMIENTOS!$C$5:$C$1005="P")*(MOVIMIENTOS!$D$5:$D$1005="jabas")*(MOVIMIENTOS!$A$5:$A$1005&lt;&gt;"")*(MOVIMIENTOS!$A$5:$A$1005&lt;=$A614)*MOVIMIENTOS!$E$5:$E$1005)+SUMPRODUCT((MOVIMIENTOS!$B$5:$B$1005="AJUSTE")*(MOVIMIENTOS!$C$5:$C$1005="P")*(MOVIMIENTOS!$D$5:$D$1005="jabas")*(MOVIMIENTOS!$A$5:$A$1005&lt;&gt;"")*(MOVIMIENTOS!$A$5:$A$1005&lt;=$A614)*MOVIMIENTOS!$E$5:$E$1005))</f>
        <v/>
      </c>
      <c r="D614" t="str">
        <f>IF($A614="","",SUMPRODUCT((MOVIMIENTOS!$B$5:$B$1005="SALDO INICIAL")*(MOVIMIENTOS!$C$5:$C$1005="C")*(MOVIMIENTOS!$D$5:$D$1005="jabas")*(MOVIMIENTOS!$A$5:$A$1005&lt;&gt;"")*(MOVIMIENTOS!$A$5:$A$1005&lt;=$A614)*MOVIMIENTOS!$E$5:$E$1005)+SUMPRODUCT((MOVIMIENTOS!$B$5:$B$1005="PROCESO")*(MOVIMIENTOS!$C$5:$C$1005="C")*(MOVIMIENTOS!$D$5:$D$1005="jabas")*(MOVIMIENTOS!$A$5:$A$1005&lt;&gt;"")*(MOVIMIENTOS!$A$5:$A$1005&lt;=$A614)*MOVIMIENTOS!$E$5:$E$1005)-SUMPRODUCT((MOVIMIENTOS!$B$5:$B$1005="ENVÍO A SUPESA")*(MOVIMIENTOS!$C$5:$C$1005="C")*(MOVIMIENTOS!$D$5:$D$1005="jabas")*(MOVIMIENTOS!$A$5:$A$1005&lt;&gt;"")*(MOVIMIENTOS!$A$5:$A$1005&lt;=$A614)*MOVIMIENTOS!$E$5:$E$1005)+SUMPRODUCT((MOVIMIENTOS!$B$5:$B$1005="DEVOLUCIÓN")*(MOVIMIENTOS!$C$5:$C$1005="C")*(MOVIMIENTOS!$D$5:$D$1005="jabas")*(MOVIMIENTOS!$A$5:$A$1005&lt;&gt;"")*(MOVIMIENTOS!$A$5:$A$1005&lt;=$A614)*MOVIMIENTOS!$E$5:$E$1005)-SUMPRODUCT((MOVIMIENTOS!$B$5:$B$1005="TRASIEGO")*(MOVIMIENTOS!$C$5:$C$1005="C")*(MOVIMIENTOS!$D$5:$D$1005="jabas")*(MOVIMIENTOS!$A$5:$A$1005&lt;&gt;"")*(MOVIMIENTOS!$A$5:$A$1005&lt;=$A614)*MOVIMIENTOS!$E$5:$E$1005)-SUMPRODUCT((MOVIMIENTOS!$B$5:$B$1005="REGALO")*(MOVIMIENTOS!$C$5:$C$1005="C")*(MOVIMIENTOS!$D$5:$D$1005="jabas")*(MOVIMIENTOS!$A$5:$A$1005&lt;&gt;"")*(MOVIMIENTOS!$A$5:$A$1005&lt;=$A614)*MOVIMIENTOS!$E$5:$E$1005)-SUMPRODUCT((MOVIMIENTOS!$B$5:$B$1005="VENTA")*(MOVIMIENTOS!$C$5:$C$1005="C")*(MOVIMIENTOS!$D$5:$D$1005="jabas")*(MOVIMIENTOS!$A$5:$A$1005&lt;&gt;"")*(MOVIMIENTOS!$A$5:$A$1005&lt;=$A614)*MOVIMIENTOS!$E$5:$E$1005)+SUMPRODUCT((MOVIMIENTOS!$B$5:$B$1005="AJUSTE")*(MOVIMIENTOS!$C$5:$C$1005="C")*(MOVIMIENTOS!$D$5:$D$1005="jabas")*(MOVIMIENTOS!$A$5:$A$1005&lt;&gt;"")*(MOVIMIENTOS!$A$5:$A$1005&lt;=$A614)*MOVIMIENTOS!$E$5:$E$1005))</f>
        <v/>
      </c>
      <c r="E614" t="str">
        <f>IF($A614="","",SUMPRODUCT((MOVIMIENTOS!$B$5:$B$1005="SALDO INICIAL")*(MOVIMIENTOS!$C$5:$C$1005="M")*(MOVIMIENTOS!$D$5:$D$1005="jabas")*(MOVIMIENTOS!$A$5:$A$1005&lt;&gt;"")*(MOVIMIENTOS!$A$5:$A$1005&lt;=$A614)*MOVIMIENTOS!$E$5:$E$1005)+SUMPRODUCT((MOVIMIENTOS!$B$5:$B$1005="PROCESO")*(MOVIMIENTOS!$C$5:$C$1005="M")*(MOVIMIENTOS!$D$5:$D$1005="jabas")*(MOVIMIENTOS!$A$5:$A$1005&lt;&gt;"")*(MOVIMIENTOS!$A$5:$A$1005&lt;=$A614)*MOVIMIENTOS!$E$5:$E$1005)-SUMPRODUCT((MOVIMIENTOS!$B$5:$B$1005="ENVÍO A SUPESA")*(MOVIMIENTOS!$C$5:$C$1005="M")*(MOVIMIENTOS!$D$5:$D$1005="jabas")*(MOVIMIENTOS!$A$5:$A$1005&lt;&gt;"")*(MOVIMIENTOS!$A$5:$A$1005&lt;=$A614)*MOVIMIENTOS!$E$5:$E$1005)+SUMPRODUCT((MOVIMIENTOS!$B$5:$B$1005="DEVOLUCIÓN")*(MOVIMIENTOS!$C$5:$C$1005="M")*(MOVIMIENTOS!$D$5:$D$1005="jabas")*(MOVIMIENTOS!$A$5:$A$1005&lt;&gt;"")*(MOVIMIENTOS!$A$5:$A$1005&lt;=$A614)*MOVIMIENTOS!$E$5:$E$1005)-SUMPRODUCT((MOVIMIENTOS!$B$5:$B$1005="TRASIEGO")*(MOVIMIENTOS!$C$5:$C$1005="M")*(MOVIMIENTOS!$D$5:$D$1005="jabas")*(MOVIMIENTOS!$A$5:$A$1005&lt;&gt;"")*(MOVIMIENTOS!$A$5:$A$1005&lt;=$A614)*MOVIMIENTOS!$E$5:$E$1005)-SUMPRODUCT((MOVIMIENTOS!$B$5:$B$1005="REGALO")*(MOVIMIENTOS!$C$5:$C$1005="M")*(MOVIMIENTOS!$D$5:$D$1005="jabas")*(MOVIMIENTOS!$A$5:$A$1005&lt;&gt;"")*(MOVIMIENTOS!$A$5:$A$1005&lt;=$A614)*MOVIMIENTOS!$E$5:$E$1005)-SUMPRODUCT((MOVIMIENTOS!$B$5:$B$1005="VENTA")*(MOVIMIENTOS!$C$5:$C$1005="M")*(MOVIMIENTOS!$D$5:$D$1005="jabas")*(MOVIMIENTOS!$A$5:$A$1005&lt;&gt;"")*(MOVIMIENTOS!$A$5:$A$1005&lt;=$A614)*MOVIMIENTOS!$E$5:$E$1005)+SUMPRODUCT((MOVIMIENTOS!$B$5:$B$1005="AJUSTE")*(MOVIMIENTOS!$C$5:$C$1005="M")*(MOVIMIENTOS!$D$5:$D$1005="jabas")*(MOVIMIENTOS!$A$5:$A$1005&lt;&gt;"")*(MOVIMIENTOS!$A$5:$A$1005&lt;=$A614)*MOVIMIENTOS!$E$5:$E$1005))</f>
        <v/>
      </c>
      <c r="F614" s="62" t="str">
        <f>IF($A614="","",SUMPRODUCT((MOVIMIENTOS!$B$5:$B$1005="SALDO INICIAL")*(MOVIMIENTOS!$C$5:$C$1005="Chancho")*(MOVIMIENTOS!$D$5:$D$1005="sacos")*(MOVIMIENTOS!$A$5:$A$1005&lt;&gt;"")*(MOVIMIENTOS!$A$5:$A$1005&lt;=$A614)*MOVIMIENTOS!$E$5:$E$1005)+SUMPRODUCT((MOVIMIENTOS!$B$5:$B$1005="PROCESO")*(MOVIMIENTOS!$C$5:$C$1005="Chancho")*(MOVIMIENTOS!$D$5:$D$1005="sacos")*(MOVIMIENTOS!$A$5:$A$1005&lt;&gt;"")*(MOVIMIENTOS!$A$5:$A$1005&lt;=$A614)*MOVIMIENTOS!$E$5:$E$1005)-SUMPRODUCT((MOVIMIENTOS!$B$5:$B$1005="VENTA CHANCHO")*(MOVIMIENTOS!$C$5:$C$1005="Chancho")*(MOVIMIENTOS!$D$5:$D$1005="sacos")*(MOVIMIENTOS!$A$5:$A$1005&lt;&gt;"")*(MOVIMIENTOS!$A$5:$A$1005&lt;=$A614)*MOVIMIENTOS!$E$5:$E$1005)-SUMPRODUCT((MOVIMIENTOS!$B$5:$B$1005="REGALO")*(MOVIMIENTOS!$C$5:$C$1005="Chancho")*(MOVIMIENTOS!$D$5:$D$1005="sacos")*(MOVIMIENTOS!$A$5:$A$1005&lt;&gt;"")*(MOVIMIENTOS!$A$5:$A$1005&lt;=$A614)*MOVIMIENTOS!$E$5:$E$1005)-SUMPRODUCT((MOVIMIENTOS!$B$5:$B$1005="VENTA")*(MOVIMIENTOS!$C$5:$C$1005="Chancho")*(MOVIMIENTOS!$D$5:$D$1005="sacos")*(MOVIMIENTOS!$A$5:$A$1005&lt;&gt;"")*(MOVIMIENTOS!$A$5:$A$1005&lt;=$A614)*MOVIMIENTOS!$E$5:$E$1005)+SUMPRODUCT((MOVIMIENTOS!$B$5:$B$1005="AJUSTE")*(MOVIMIENTOS!$C$5:$C$1005="Chancho")*(MOVIMIENTOS!$D$5:$D$1005="sacos")*(MOVIMIENTOS!$A$5:$A$1005&lt;&gt;"")*(MOVIMIENTOS!$A$5:$A$1005&lt;=$A614)*MOVIMIENTOS!$E$5:$E$1005))</f>
        <v/>
      </c>
      <c r="G614" s="62" t="str">
        <f t="shared" si="19"/>
        <v/>
      </c>
      <c r="H614" t="str">
        <f>IF($A614="","",SUMPRODUCT((((MOVIMIENTOS!$B$5:$B$1005="SALDO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614)*MOVIMIENTOS!$J$5:$J$1005))</f>
        <v/>
      </c>
      <c r="J614" t="str">
        <f>IF(AND(MOVIMIENTOS!$A619&lt;&gt;"",COUNTIF(MOVIMIENTOS!$A$5:$A618,MOVIMIENTOS!$A619)=0),COUNT(J$4:J613)+1,"")</f>
        <v/>
      </c>
      <c r="K614">
        <f>MOVIMIENTOS!$A619</f>
        <v>0</v>
      </c>
    </row>
    <row r="615" spans="1:11" ht="15" customHeight="1" x14ac:dyDescent="0.2">
      <c r="A615" t="str">
        <f t="shared" si="18"/>
        <v/>
      </c>
      <c r="B615" t="str">
        <f>IF($A615="","",SUMPRODUCT((MOVIMIENTOS!$B$5:$B$1005="SALDO INICIAL")*(MOVIMIENTOS!$C$5:$C$1005="A")*(MOVIMIENTOS!$D$5:$D$1005="jabas")*(MOVIMIENTOS!$A$5:$A$1005&lt;&gt;"")*(MOVIMIENTOS!$A$5:$A$1005&lt;=$A615)*MOVIMIENTOS!$E$5:$E$1005)+SUMPRODUCT((MOVIMIENTOS!$B$5:$B$1005="PROCESO")*(MOVIMIENTOS!$C$5:$C$1005="A")*(MOVIMIENTOS!$D$5:$D$1005="jabas")*(MOVIMIENTOS!$A$5:$A$1005&lt;&gt;"")*(MOVIMIENTOS!$A$5:$A$1005&lt;=$A615)*MOVIMIENTOS!$E$5:$E$1005)-SUMPRODUCT((MOVIMIENTOS!$B$5:$B$1005="ENVÍO A SUPESA")*(MOVIMIENTOS!$C$5:$C$1005="A")*(MOVIMIENTOS!$D$5:$D$1005="jabas")*(MOVIMIENTOS!$A$5:$A$1005&lt;&gt;"")*(MOVIMIENTOS!$A$5:$A$1005&lt;=$A615)*MOVIMIENTOS!$E$5:$E$1005)+SUMPRODUCT((MOVIMIENTOS!$B$5:$B$1005="DEVOLUCIÓN")*(MOVIMIENTOS!$C$5:$C$1005="A")*(MOVIMIENTOS!$D$5:$D$1005="jabas")*(MOVIMIENTOS!$A$5:$A$1005&lt;&gt;"")*(MOVIMIENTOS!$A$5:$A$1005&lt;=$A615)*MOVIMIENTOS!$E$5:$E$1005)-SUMPRODUCT((MOVIMIENTOS!$B$5:$B$1005="TRASIEGO")*(MOVIMIENTOS!$C$5:$C$1005="A")*(MOVIMIENTOS!$D$5:$D$1005="jabas")*(MOVIMIENTOS!$A$5:$A$1005&lt;&gt;"")*(MOVIMIENTOS!$A$5:$A$1005&lt;=$A615)*MOVIMIENTOS!$E$5:$E$1005)-SUMPRODUCT((MOVIMIENTOS!$B$5:$B$1005="REGALO")*(MOVIMIENTOS!$C$5:$C$1005="A")*(MOVIMIENTOS!$D$5:$D$1005="jabas")*(MOVIMIENTOS!$A$5:$A$1005&lt;&gt;"")*(MOVIMIENTOS!$A$5:$A$1005&lt;=$A615)*MOVIMIENTOS!$E$5:$E$1005)-SUMPRODUCT((MOVIMIENTOS!$B$5:$B$1005="VENTA")*(MOVIMIENTOS!$C$5:$C$1005="A")*(MOVIMIENTOS!$D$5:$D$1005="jabas")*(MOVIMIENTOS!$A$5:$A$1005&lt;&gt;"")*(MOVIMIENTOS!$A$5:$A$1005&lt;=$A615)*MOVIMIENTOS!$E$5:$E$1005)+SUMPRODUCT((MOVIMIENTOS!$B$5:$B$1005="AJUSTE")*(MOVIMIENTOS!$C$5:$C$1005="A")*(MOVIMIENTOS!$D$5:$D$1005="jabas")*(MOVIMIENTOS!$A$5:$A$1005&lt;&gt;"")*(MOVIMIENTOS!$A$5:$A$1005&lt;=$A615)*MOVIMIENTOS!$E$5:$E$1005))</f>
        <v/>
      </c>
      <c r="C615" t="str">
        <f>IF($A615="","",SUMPRODUCT((MOVIMIENTOS!$B$5:$B$1005="SALDO INICIAL")*(MOVIMIENTOS!$C$5:$C$1005="P")*(MOVIMIENTOS!$D$5:$D$1005="jabas")*(MOVIMIENTOS!$A$5:$A$1005&lt;&gt;"")*(MOVIMIENTOS!$A$5:$A$1005&lt;=$A615)*MOVIMIENTOS!$E$5:$E$1005)+SUMPRODUCT((MOVIMIENTOS!$B$5:$B$1005="PROCESO")*(MOVIMIENTOS!$C$5:$C$1005="P")*(MOVIMIENTOS!$D$5:$D$1005="jabas")*(MOVIMIENTOS!$A$5:$A$1005&lt;&gt;"")*(MOVIMIENTOS!$A$5:$A$1005&lt;=$A615)*MOVIMIENTOS!$E$5:$E$1005)-SUMPRODUCT((MOVIMIENTOS!$B$5:$B$1005="ENVÍO A SUPESA")*(MOVIMIENTOS!$C$5:$C$1005="P")*(MOVIMIENTOS!$D$5:$D$1005="jabas")*(MOVIMIENTOS!$A$5:$A$1005&lt;&gt;"")*(MOVIMIENTOS!$A$5:$A$1005&lt;=$A615)*MOVIMIENTOS!$E$5:$E$1005)+SUMPRODUCT((MOVIMIENTOS!$B$5:$B$1005="DEVOLUCIÓN")*(MOVIMIENTOS!$C$5:$C$1005="P")*(MOVIMIENTOS!$D$5:$D$1005="jabas")*(MOVIMIENTOS!$A$5:$A$1005&lt;&gt;"")*(MOVIMIENTOS!$A$5:$A$1005&lt;=$A615)*MOVIMIENTOS!$E$5:$E$1005)-SUMPRODUCT((MOVIMIENTOS!$B$5:$B$1005="TRASIEGO")*(MOVIMIENTOS!$C$5:$C$1005="P")*(MOVIMIENTOS!$D$5:$D$1005="jabas")*(MOVIMIENTOS!$A$5:$A$1005&lt;&gt;"")*(MOVIMIENTOS!$A$5:$A$1005&lt;=$A615)*MOVIMIENTOS!$E$5:$E$1005)-SUMPRODUCT((MOVIMIENTOS!$B$5:$B$1005="REGALO")*(MOVIMIENTOS!$C$5:$C$1005="P")*(MOVIMIENTOS!$D$5:$D$1005="jabas")*(MOVIMIENTOS!$A$5:$A$1005&lt;&gt;"")*(MOVIMIENTOS!$A$5:$A$1005&lt;=$A615)*MOVIMIENTOS!$E$5:$E$1005)-SUMPRODUCT((MOVIMIENTOS!$B$5:$B$1005="VENTA")*(MOVIMIENTOS!$C$5:$C$1005="P")*(MOVIMIENTOS!$D$5:$D$1005="jabas")*(MOVIMIENTOS!$A$5:$A$1005&lt;&gt;"")*(MOVIMIENTOS!$A$5:$A$1005&lt;=$A615)*MOVIMIENTOS!$E$5:$E$1005)+SUMPRODUCT((MOVIMIENTOS!$B$5:$B$1005="AJUSTE")*(MOVIMIENTOS!$C$5:$C$1005="P")*(MOVIMIENTOS!$D$5:$D$1005="jabas")*(MOVIMIENTOS!$A$5:$A$1005&lt;&gt;"")*(MOVIMIENTOS!$A$5:$A$1005&lt;=$A615)*MOVIMIENTOS!$E$5:$E$1005))</f>
        <v/>
      </c>
      <c r="D615" t="str">
        <f>IF($A615="","",SUMPRODUCT((MOVIMIENTOS!$B$5:$B$1005="SALDO INICIAL")*(MOVIMIENTOS!$C$5:$C$1005="C")*(MOVIMIENTOS!$D$5:$D$1005="jabas")*(MOVIMIENTOS!$A$5:$A$1005&lt;&gt;"")*(MOVIMIENTOS!$A$5:$A$1005&lt;=$A615)*MOVIMIENTOS!$E$5:$E$1005)+SUMPRODUCT((MOVIMIENTOS!$B$5:$B$1005="PROCESO")*(MOVIMIENTOS!$C$5:$C$1005="C")*(MOVIMIENTOS!$D$5:$D$1005="jabas")*(MOVIMIENTOS!$A$5:$A$1005&lt;&gt;"")*(MOVIMIENTOS!$A$5:$A$1005&lt;=$A615)*MOVIMIENTOS!$E$5:$E$1005)-SUMPRODUCT((MOVIMIENTOS!$B$5:$B$1005="ENVÍO A SUPESA")*(MOVIMIENTOS!$C$5:$C$1005="C")*(MOVIMIENTOS!$D$5:$D$1005="jabas")*(MOVIMIENTOS!$A$5:$A$1005&lt;&gt;"")*(MOVIMIENTOS!$A$5:$A$1005&lt;=$A615)*MOVIMIENTOS!$E$5:$E$1005)+SUMPRODUCT((MOVIMIENTOS!$B$5:$B$1005="DEVOLUCIÓN")*(MOVIMIENTOS!$C$5:$C$1005="C")*(MOVIMIENTOS!$D$5:$D$1005="jabas")*(MOVIMIENTOS!$A$5:$A$1005&lt;&gt;"")*(MOVIMIENTOS!$A$5:$A$1005&lt;=$A615)*MOVIMIENTOS!$E$5:$E$1005)-SUMPRODUCT((MOVIMIENTOS!$B$5:$B$1005="TRASIEGO")*(MOVIMIENTOS!$C$5:$C$1005="C")*(MOVIMIENTOS!$D$5:$D$1005="jabas")*(MOVIMIENTOS!$A$5:$A$1005&lt;&gt;"")*(MOVIMIENTOS!$A$5:$A$1005&lt;=$A615)*MOVIMIENTOS!$E$5:$E$1005)-SUMPRODUCT((MOVIMIENTOS!$B$5:$B$1005="REGALO")*(MOVIMIENTOS!$C$5:$C$1005="C")*(MOVIMIENTOS!$D$5:$D$1005="jabas")*(MOVIMIENTOS!$A$5:$A$1005&lt;&gt;"")*(MOVIMIENTOS!$A$5:$A$1005&lt;=$A615)*MOVIMIENTOS!$E$5:$E$1005)-SUMPRODUCT((MOVIMIENTOS!$B$5:$B$1005="VENTA")*(MOVIMIENTOS!$C$5:$C$1005="C")*(MOVIMIENTOS!$D$5:$D$1005="jabas")*(MOVIMIENTOS!$A$5:$A$1005&lt;&gt;"")*(MOVIMIENTOS!$A$5:$A$1005&lt;=$A615)*MOVIMIENTOS!$E$5:$E$1005)+SUMPRODUCT((MOVIMIENTOS!$B$5:$B$1005="AJUSTE")*(MOVIMIENTOS!$C$5:$C$1005="C")*(MOVIMIENTOS!$D$5:$D$1005="jabas")*(MOVIMIENTOS!$A$5:$A$1005&lt;&gt;"")*(MOVIMIENTOS!$A$5:$A$1005&lt;=$A615)*MOVIMIENTOS!$E$5:$E$1005))</f>
        <v/>
      </c>
      <c r="E615" t="str">
        <f>IF($A615="","",SUMPRODUCT((MOVIMIENTOS!$B$5:$B$1005="SALDO INICIAL")*(MOVIMIENTOS!$C$5:$C$1005="M")*(MOVIMIENTOS!$D$5:$D$1005="jabas")*(MOVIMIENTOS!$A$5:$A$1005&lt;&gt;"")*(MOVIMIENTOS!$A$5:$A$1005&lt;=$A615)*MOVIMIENTOS!$E$5:$E$1005)+SUMPRODUCT((MOVIMIENTOS!$B$5:$B$1005="PROCESO")*(MOVIMIENTOS!$C$5:$C$1005="M")*(MOVIMIENTOS!$D$5:$D$1005="jabas")*(MOVIMIENTOS!$A$5:$A$1005&lt;&gt;"")*(MOVIMIENTOS!$A$5:$A$1005&lt;=$A615)*MOVIMIENTOS!$E$5:$E$1005)-SUMPRODUCT((MOVIMIENTOS!$B$5:$B$1005="ENVÍO A SUPESA")*(MOVIMIENTOS!$C$5:$C$1005="M")*(MOVIMIENTOS!$D$5:$D$1005="jabas")*(MOVIMIENTOS!$A$5:$A$1005&lt;&gt;"")*(MOVIMIENTOS!$A$5:$A$1005&lt;=$A615)*MOVIMIENTOS!$E$5:$E$1005)+SUMPRODUCT((MOVIMIENTOS!$B$5:$B$1005="DEVOLUCIÓN")*(MOVIMIENTOS!$C$5:$C$1005="M")*(MOVIMIENTOS!$D$5:$D$1005="jabas")*(MOVIMIENTOS!$A$5:$A$1005&lt;&gt;"")*(MOVIMIENTOS!$A$5:$A$1005&lt;=$A615)*MOVIMIENTOS!$E$5:$E$1005)-SUMPRODUCT((MOVIMIENTOS!$B$5:$B$1005="TRASIEGO")*(MOVIMIENTOS!$C$5:$C$1005="M")*(MOVIMIENTOS!$D$5:$D$1005="jabas")*(MOVIMIENTOS!$A$5:$A$1005&lt;&gt;"")*(MOVIMIENTOS!$A$5:$A$1005&lt;=$A615)*MOVIMIENTOS!$E$5:$E$1005)-SUMPRODUCT((MOVIMIENTOS!$B$5:$B$1005="REGALO")*(MOVIMIENTOS!$C$5:$C$1005="M")*(MOVIMIENTOS!$D$5:$D$1005="jabas")*(MOVIMIENTOS!$A$5:$A$1005&lt;&gt;"")*(MOVIMIENTOS!$A$5:$A$1005&lt;=$A615)*MOVIMIENTOS!$E$5:$E$1005)-SUMPRODUCT((MOVIMIENTOS!$B$5:$B$1005="VENTA")*(MOVIMIENTOS!$C$5:$C$1005="M")*(MOVIMIENTOS!$D$5:$D$1005="jabas")*(MOVIMIENTOS!$A$5:$A$1005&lt;&gt;"")*(MOVIMIENTOS!$A$5:$A$1005&lt;=$A615)*MOVIMIENTOS!$E$5:$E$1005)+SUMPRODUCT((MOVIMIENTOS!$B$5:$B$1005="AJUSTE")*(MOVIMIENTOS!$C$5:$C$1005="M")*(MOVIMIENTOS!$D$5:$D$1005="jabas")*(MOVIMIENTOS!$A$5:$A$1005&lt;&gt;"")*(MOVIMIENTOS!$A$5:$A$1005&lt;=$A615)*MOVIMIENTOS!$E$5:$E$1005))</f>
        <v/>
      </c>
      <c r="F615" s="62" t="str">
        <f>IF($A615="","",SUMPRODUCT((MOVIMIENTOS!$B$5:$B$1005="SALDO INICIAL")*(MOVIMIENTOS!$C$5:$C$1005="Chancho")*(MOVIMIENTOS!$D$5:$D$1005="sacos")*(MOVIMIENTOS!$A$5:$A$1005&lt;&gt;"")*(MOVIMIENTOS!$A$5:$A$1005&lt;=$A615)*MOVIMIENTOS!$E$5:$E$1005)+SUMPRODUCT((MOVIMIENTOS!$B$5:$B$1005="PROCESO")*(MOVIMIENTOS!$C$5:$C$1005="Chancho")*(MOVIMIENTOS!$D$5:$D$1005="sacos")*(MOVIMIENTOS!$A$5:$A$1005&lt;&gt;"")*(MOVIMIENTOS!$A$5:$A$1005&lt;=$A615)*MOVIMIENTOS!$E$5:$E$1005)-SUMPRODUCT((MOVIMIENTOS!$B$5:$B$1005="VENTA CHANCHO")*(MOVIMIENTOS!$C$5:$C$1005="Chancho")*(MOVIMIENTOS!$D$5:$D$1005="sacos")*(MOVIMIENTOS!$A$5:$A$1005&lt;&gt;"")*(MOVIMIENTOS!$A$5:$A$1005&lt;=$A615)*MOVIMIENTOS!$E$5:$E$1005)-SUMPRODUCT((MOVIMIENTOS!$B$5:$B$1005="REGALO")*(MOVIMIENTOS!$C$5:$C$1005="Chancho")*(MOVIMIENTOS!$D$5:$D$1005="sacos")*(MOVIMIENTOS!$A$5:$A$1005&lt;&gt;"")*(MOVIMIENTOS!$A$5:$A$1005&lt;=$A615)*MOVIMIENTOS!$E$5:$E$1005)-SUMPRODUCT((MOVIMIENTOS!$B$5:$B$1005="VENTA")*(MOVIMIENTOS!$C$5:$C$1005="Chancho")*(MOVIMIENTOS!$D$5:$D$1005="sacos")*(MOVIMIENTOS!$A$5:$A$1005&lt;&gt;"")*(MOVIMIENTOS!$A$5:$A$1005&lt;=$A615)*MOVIMIENTOS!$E$5:$E$1005)+SUMPRODUCT((MOVIMIENTOS!$B$5:$B$1005="AJUSTE")*(MOVIMIENTOS!$C$5:$C$1005="Chancho")*(MOVIMIENTOS!$D$5:$D$1005="sacos")*(MOVIMIENTOS!$A$5:$A$1005&lt;&gt;"")*(MOVIMIENTOS!$A$5:$A$1005&lt;=$A615)*MOVIMIENTOS!$E$5:$E$1005))</f>
        <v/>
      </c>
      <c r="G615" s="62" t="str">
        <f t="shared" si="19"/>
        <v/>
      </c>
      <c r="H615" t="str">
        <f>IF($A615="","",SUMPRODUCT((((MOVIMIENTOS!$B$5:$B$1005="SALDO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615)*MOVIMIENTOS!$J$5:$J$1005))</f>
        <v/>
      </c>
      <c r="J615" t="str">
        <f>IF(AND(MOVIMIENTOS!$A620&lt;&gt;"",COUNTIF(MOVIMIENTOS!$A$5:$A619,MOVIMIENTOS!$A620)=0),COUNT(J$4:J614)+1,"")</f>
        <v/>
      </c>
      <c r="K615">
        <f>MOVIMIENTOS!$A620</f>
        <v>0</v>
      </c>
    </row>
    <row r="616" spans="1:11" ht="15" customHeight="1" x14ac:dyDescent="0.2">
      <c r="A616" t="str">
        <f t="shared" si="18"/>
        <v/>
      </c>
      <c r="B616" t="str">
        <f>IF($A616="","",SUMPRODUCT((MOVIMIENTOS!$B$5:$B$1005="SALDO INICIAL")*(MOVIMIENTOS!$C$5:$C$1005="A")*(MOVIMIENTOS!$D$5:$D$1005="jabas")*(MOVIMIENTOS!$A$5:$A$1005&lt;&gt;"")*(MOVIMIENTOS!$A$5:$A$1005&lt;=$A616)*MOVIMIENTOS!$E$5:$E$1005)+SUMPRODUCT((MOVIMIENTOS!$B$5:$B$1005="PROCESO")*(MOVIMIENTOS!$C$5:$C$1005="A")*(MOVIMIENTOS!$D$5:$D$1005="jabas")*(MOVIMIENTOS!$A$5:$A$1005&lt;&gt;"")*(MOVIMIENTOS!$A$5:$A$1005&lt;=$A616)*MOVIMIENTOS!$E$5:$E$1005)-SUMPRODUCT((MOVIMIENTOS!$B$5:$B$1005="ENVÍO A SUPESA")*(MOVIMIENTOS!$C$5:$C$1005="A")*(MOVIMIENTOS!$D$5:$D$1005="jabas")*(MOVIMIENTOS!$A$5:$A$1005&lt;&gt;"")*(MOVIMIENTOS!$A$5:$A$1005&lt;=$A616)*MOVIMIENTOS!$E$5:$E$1005)+SUMPRODUCT((MOVIMIENTOS!$B$5:$B$1005="DEVOLUCIÓN")*(MOVIMIENTOS!$C$5:$C$1005="A")*(MOVIMIENTOS!$D$5:$D$1005="jabas")*(MOVIMIENTOS!$A$5:$A$1005&lt;&gt;"")*(MOVIMIENTOS!$A$5:$A$1005&lt;=$A616)*MOVIMIENTOS!$E$5:$E$1005)-SUMPRODUCT((MOVIMIENTOS!$B$5:$B$1005="TRASIEGO")*(MOVIMIENTOS!$C$5:$C$1005="A")*(MOVIMIENTOS!$D$5:$D$1005="jabas")*(MOVIMIENTOS!$A$5:$A$1005&lt;&gt;"")*(MOVIMIENTOS!$A$5:$A$1005&lt;=$A616)*MOVIMIENTOS!$E$5:$E$1005)-SUMPRODUCT((MOVIMIENTOS!$B$5:$B$1005="REGALO")*(MOVIMIENTOS!$C$5:$C$1005="A")*(MOVIMIENTOS!$D$5:$D$1005="jabas")*(MOVIMIENTOS!$A$5:$A$1005&lt;&gt;"")*(MOVIMIENTOS!$A$5:$A$1005&lt;=$A616)*MOVIMIENTOS!$E$5:$E$1005)-SUMPRODUCT((MOVIMIENTOS!$B$5:$B$1005="VENTA")*(MOVIMIENTOS!$C$5:$C$1005="A")*(MOVIMIENTOS!$D$5:$D$1005="jabas")*(MOVIMIENTOS!$A$5:$A$1005&lt;&gt;"")*(MOVIMIENTOS!$A$5:$A$1005&lt;=$A616)*MOVIMIENTOS!$E$5:$E$1005)+SUMPRODUCT((MOVIMIENTOS!$B$5:$B$1005="AJUSTE")*(MOVIMIENTOS!$C$5:$C$1005="A")*(MOVIMIENTOS!$D$5:$D$1005="jabas")*(MOVIMIENTOS!$A$5:$A$1005&lt;&gt;"")*(MOVIMIENTOS!$A$5:$A$1005&lt;=$A616)*MOVIMIENTOS!$E$5:$E$1005))</f>
        <v/>
      </c>
      <c r="C616" t="str">
        <f>IF($A616="","",SUMPRODUCT((MOVIMIENTOS!$B$5:$B$1005="SALDO INICIAL")*(MOVIMIENTOS!$C$5:$C$1005="P")*(MOVIMIENTOS!$D$5:$D$1005="jabas")*(MOVIMIENTOS!$A$5:$A$1005&lt;&gt;"")*(MOVIMIENTOS!$A$5:$A$1005&lt;=$A616)*MOVIMIENTOS!$E$5:$E$1005)+SUMPRODUCT((MOVIMIENTOS!$B$5:$B$1005="PROCESO")*(MOVIMIENTOS!$C$5:$C$1005="P")*(MOVIMIENTOS!$D$5:$D$1005="jabas")*(MOVIMIENTOS!$A$5:$A$1005&lt;&gt;"")*(MOVIMIENTOS!$A$5:$A$1005&lt;=$A616)*MOVIMIENTOS!$E$5:$E$1005)-SUMPRODUCT((MOVIMIENTOS!$B$5:$B$1005="ENVÍO A SUPESA")*(MOVIMIENTOS!$C$5:$C$1005="P")*(MOVIMIENTOS!$D$5:$D$1005="jabas")*(MOVIMIENTOS!$A$5:$A$1005&lt;&gt;"")*(MOVIMIENTOS!$A$5:$A$1005&lt;=$A616)*MOVIMIENTOS!$E$5:$E$1005)+SUMPRODUCT((MOVIMIENTOS!$B$5:$B$1005="DEVOLUCIÓN")*(MOVIMIENTOS!$C$5:$C$1005="P")*(MOVIMIENTOS!$D$5:$D$1005="jabas")*(MOVIMIENTOS!$A$5:$A$1005&lt;&gt;"")*(MOVIMIENTOS!$A$5:$A$1005&lt;=$A616)*MOVIMIENTOS!$E$5:$E$1005)-SUMPRODUCT((MOVIMIENTOS!$B$5:$B$1005="TRASIEGO")*(MOVIMIENTOS!$C$5:$C$1005="P")*(MOVIMIENTOS!$D$5:$D$1005="jabas")*(MOVIMIENTOS!$A$5:$A$1005&lt;&gt;"")*(MOVIMIENTOS!$A$5:$A$1005&lt;=$A616)*MOVIMIENTOS!$E$5:$E$1005)-SUMPRODUCT((MOVIMIENTOS!$B$5:$B$1005="REGALO")*(MOVIMIENTOS!$C$5:$C$1005="P")*(MOVIMIENTOS!$D$5:$D$1005="jabas")*(MOVIMIENTOS!$A$5:$A$1005&lt;&gt;"")*(MOVIMIENTOS!$A$5:$A$1005&lt;=$A616)*MOVIMIENTOS!$E$5:$E$1005)-SUMPRODUCT((MOVIMIENTOS!$B$5:$B$1005="VENTA")*(MOVIMIENTOS!$C$5:$C$1005="P")*(MOVIMIENTOS!$D$5:$D$1005="jabas")*(MOVIMIENTOS!$A$5:$A$1005&lt;&gt;"")*(MOVIMIENTOS!$A$5:$A$1005&lt;=$A616)*MOVIMIENTOS!$E$5:$E$1005)+SUMPRODUCT((MOVIMIENTOS!$B$5:$B$1005="AJUSTE")*(MOVIMIENTOS!$C$5:$C$1005="P")*(MOVIMIENTOS!$D$5:$D$1005="jabas")*(MOVIMIENTOS!$A$5:$A$1005&lt;&gt;"")*(MOVIMIENTOS!$A$5:$A$1005&lt;=$A616)*MOVIMIENTOS!$E$5:$E$1005))</f>
        <v/>
      </c>
      <c r="D616" t="str">
        <f>IF($A616="","",SUMPRODUCT((MOVIMIENTOS!$B$5:$B$1005="SALDO INICIAL")*(MOVIMIENTOS!$C$5:$C$1005="C")*(MOVIMIENTOS!$D$5:$D$1005="jabas")*(MOVIMIENTOS!$A$5:$A$1005&lt;&gt;"")*(MOVIMIENTOS!$A$5:$A$1005&lt;=$A616)*MOVIMIENTOS!$E$5:$E$1005)+SUMPRODUCT((MOVIMIENTOS!$B$5:$B$1005="PROCESO")*(MOVIMIENTOS!$C$5:$C$1005="C")*(MOVIMIENTOS!$D$5:$D$1005="jabas")*(MOVIMIENTOS!$A$5:$A$1005&lt;&gt;"")*(MOVIMIENTOS!$A$5:$A$1005&lt;=$A616)*MOVIMIENTOS!$E$5:$E$1005)-SUMPRODUCT((MOVIMIENTOS!$B$5:$B$1005="ENVÍO A SUPESA")*(MOVIMIENTOS!$C$5:$C$1005="C")*(MOVIMIENTOS!$D$5:$D$1005="jabas")*(MOVIMIENTOS!$A$5:$A$1005&lt;&gt;"")*(MOVIMIENTOS!$A$5:$A$1005&lt;=$A616)*MOVIMIENTOS!$E$5:$E$1005)+SUMPRODUCT((MOVIMIENTOS!$B$5:$B$1005="DEVOLUCIÓN")*(MOVIMIENTOS!$C$5:$C$1005="C")*(MOVIMIENTOS!$D$5:$D$1005="jabas")*(MOVIMIENTOS!$A$5:$A$1005&lt;&gt;"")*(MOVIMIENTOS!$A$5:$A$1005&lt;=$A616)*MOVIMIENTOS!$E$5:$E$1005)-SUMPRODUCT((MOVIMIENTOS!$B$5:$B$1005="TRASIEGO")*(MOVIMIENTOS!$C$5:$C$1005="C")*(MOVIMIENTOS!$D$5:$D$1005="jabas")*(MOVIMIENTOS!$A$5:$A$1005&lt;&gt;"")*(MOVIMIENTOS!$A$5:$A$1005&lt;=$A616)*MOVIMIENTOS!$E$5:$E$1005)-SUMPRODUCT((MOVIMIENTOS!$B$5:$B$1005="REGALO")*(MOVIMIENTOS!$C$5:$C$1005="C")*(MOVIMIENTOS!$D$5:$D$1005="jabas")*(MOVIMIENTOS!$A$5:$A$1005&lt;&gt;"")*(MOVIMIENTOS!$A$5:$A$1005&lt;=$A616)*MOVIMIENTOS!$E$5:$E$1005)-SUMPRODUCT((MOVIMIENTOS!$B$5:$B$1005="VENTA")*(MOVIMIENTOS!$C$5:$C$1005="C")*(MOVIMIENTOS!$D$5:$D$1005="jabas")*(MOVIMIENTOS!$A$5:$A$1005&lt;&gt;"")*(MOVIMIENTOS!$A$5:$A$1005&lt;=$A616)*MOVIMIENTOS!$E$5:$E$1005)+SUMPRODUCT((MOVIMIENTOS!$B$5:$B$1005="AJUSTE")*(MOVIMIENTOS!$C$5:$C$1005="C")*(MOVIMIENTOS!$D$5:$D$1005="jabas")*(MOVIMIENTOS!$A$5:$A$1005&lt;&gt;"")*(MOVIMIENTOS!$A$5:$A$1005&lt;=$A616)*MOVIMIENTOS!$E$5:$E$1005))</f>
        <v/>
      </c>
      <c r="E616" t="str">
        <f>IF($A616="","",SUMPRODUCT((MOVIMIENTOS!$B$5:$B$1005="SALDO INICIAL")*(MOVIMIENTOS!$C$5:$C$1005="M")*(MOVIMIENTOS!$D$5:$D$1005="jabas")*(MOVIMIENTOS!$A$5:$A$1005&lt;&gt;"")*(MOVIMIENTOS!$A$5:$A$1005&lt;=$A616)*MOVIMIENTOS!$E$5:$E$1005)+SUMPRODUCT((MOVIMIENTOS!$B$5:$B$1005="PROCESO")*(MOVIMIENTOS!$C$5:$C$1005="M")*(MOVIMIENTOS!$D$5:$D$1005="jabas")*(MOVIMIENTOS!$A$5:$A$1005&lt;&gt;"")*(MOVIMIENTOS!$A$5:$A$1005&lt;=$A616)*MOVIMIENTOS!$E$5:$E$1005)-SUMPRODUCT((MOVIMIENTOS!$B$5:$B$1005="ENVÍO A SUPESA")*(MOVIMIENTOS!$C$5:$C$1005="M")*(MOVIMIENTOS!$D$5:$D$1005="jabas")*(MOVIMIENTOS!$A$5:$A$1005&lt;&gt;"")*(MOVIMIENTOS!$A$5:$A$1005&lt;=$A616)*MOVIMIENTOS!$E$5:$E$1005)+SUMPRODUCT((MOVIMIENTOS!$B$5:$B$1005="DEVOLUCIÓN")*(MOVIMIENTOS!$C$5:$C$1005="M")*(MOVIMIENTOS!$D$5:$D$1005="jabas")*(MOVIMIENTOS!$A$5:$A$1005&lt;&gt;"")*(MOVIMIENTOS!$A$5:$A$1005&lt;=$A616)*MOVIMIENTOS!$E$5:$E$1005)-SUMPRODUCT((MOVIMIENTOS!$B$5:$B$1005="TRASIEGO")*(MOVIMIENTOS!$C$5:$C$1005="M")*(MOVIMIENTOS!$D$5:$D$1005="jabas")*(MOVIMIENTOS!$A$5:$A$1005&lt;&gt;"")*(MOVIMIENTOS!$A$5:$A$1005&lt;=$A616)*MOVIMIENTOS!$E$5:$E$1005)-SUMPRODUCT((MOVIMIENTOS!$B$5:$B$1005="REGALO")*(MOVIMIENTOS!$C$5:$C$1005="M")*(MOVIMIENTOS!$D$5:$D$1005="jabas")*(MOVIMIENTOS!$A$5:$A$1005&lt;&gt;"")*(MOVIMIENTOS!$A$5:$A$1005&lt;=$A616)*MOVIMIENTOS!$E$5:$E$1005)-SUMPRODUCT((MOVIMIENTOS!$B$5:$B$1005="VENTA")*(MOVIMIENTOS!$C$5:$C$1005="M")*(MOVIMIENTOS!$D$5:$D$1005="jabas")*(MOVIMIENTOS!$A$5:$A$1005&lt;&gt;"")*(MOVIMIENTOS!$A$5:$A$1005&lt;=$A616)*MOVIMIENTOS!$E$5:$E$1005)+SUMPRODUCT((MOVIMIENTOS!$B$5:$B$1005="AJUSTE")*(MOVIMIENTOS!$C$5:$C$1005="M")*(MOVIMIENTOS!$D$5:$D$1005="jabas")*(MOVIMIENTOS!$A$5:$A$1005&lt;&gt;"")*(MOVIMIENTOS!$A$5:$A$1005&lt;=$A616)*MOVIMIENTOS!$E$5:$E$1005))</f>
        <v/>
      </c>
      <c r="F616" s="62" t="str">
        <f>IF($A616="","",SUMPRODUCT((MOVIMIENTOS!$B$5:$B$1005="SALDO INICIAL")*(MOVIMIENTOS!$C$5:$C$1005="Chancho")*(MOVIMIENTOS!$D$5:$D$1005="sacos")*(MOVIMIENTOS!$A$5:$A$1005&lt;&gt;"")*(MOVIMIENTOS!$A$5:$A$1005&lt;=$A616)*MOVIMIENTOS!$E$5:$E$1005)+SUMPRODUCT((MOVIMIENTOS!$B$5:$B$1005="PROCESO")*(MOVIMIENTOS!$C$5:$C$1005="Chancho")*(MOVIMIENTOS!$D$5:$D$1005="sacos")*(MOVIMIENTOS!$A$5:$A$1005&lt;&gt;"")*(MOVIMIENTOS!$A$5:$A$1005&lt;=$A616)*MOVIMIENTOS!$E$5:$E$1005)-SUMPRODUCT((MOVIMIENTOS!$B$5:$B$1005="VENTA CHANCHO")*(MOVIMIENTOS!$C$5:$C$1005="Chancho")*(MOVIMIENTOS!$D$5:$D$1005="sacos")*(MOVIMIENTOS!$A$5:$A$1005&lt;&gt;"")*(MOVIMIENTOS!$A$5:$A$1005&lt;=$A616)*MOVIMIENTOS!$E$5:$E$1005)-SUMPRODUCT((MOVIMIENTOS!$B$5:$B$1005="REGALO")*(MOVIMIENTOS!$C$5:$C$1005="Chancho")*(MOVIMIENTOS!$D$5:$D$1005="sacos")*(MOVIMIENTOS!$A$5:$A$1005&lt;&gt;"")*(MOVIMIENTOS!$A$5:$A$1005&lt;=$A616)*MOVIMIENTOS!$E$5:$E$1005)-SUMPRODUCT((MOVIMIENTOS!$B$5:$B$1005="VENTA")*(MOVIMIENTOS!$C$5:$C$1005="Chancho")*(MOVIMIENTOS!$D$5:$D$1005="sacos")*(MOVIMIENTOS!$A$5:$A$1005&lt;&gt;"")*(MOVIMIENTOS!$A$5:$A$1005&lt;=$A616)*MOVIMIENTOS!$E$5:$E$1005)+SUMPRODUCT((MOVIMIENTOS!$B$5:$B$1005="AJUSTE")*(MOVIMIENTOS!$C$5:$C$1005="Chancho")*(MOVIMIENTOS!$D$5:$D$1005="sacos")*(MOVIMIENTOS!$A$5:$A$1005&lt;&gt;"")*(MOVIMIENTOS!$A$5:$A$1005&lt;=$A616)*MOVIMIENTOS!$E$5:$E$1005))</f>
        <v/>
      </c>
      <c r="G616" s="62" t="str">
        <f t="shared" si="19"/>
        <v/>
      </c>
      <c r="H616" t="str">
        <f>IF($A616="","",SUMPRODUCT((((MOVIMIENTOS!$B$5:$B$1005="SALDO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616)*MOVIMIENTOS!$J$5:$J$1005))</f>
        <v/>
      </c>
      <c r="J616" t="str">
        <f>IF(AND(MOVIMIENTOS!$A621&lt;&gt;"",COUNTIF(MOVIMIENTOS!$A$5:$A620,MOVIMIENTOS!$A621)=0),COUNT(J$4:J615)+1,"")</f>
        <v/>
      </c>
      <c r="K616">
        <f>MOVIMIENTOS!$A621</f>
        <v>0</v>
      </c>
    </row>
    <row r="617" spans="1:11" ht="15" customHeight="1" x14ac:dyDescent="0.2">
      <c r="A617" t="str">
        <f t="shared" si="18"/>
        <v/>
      </c>
      <c r="B617" t="str">
        <f>IF($A617="","",SUMPRODUCT((MOVIMIENTOS!$B$5:$B$1005="SALDO INICIAL")*(MOVIMIENTOS!$C$5:$C$1005="A")*(MOVIMIENTOS!$D$5:$D$1005="jabas")*(MOVIMIENTOS!$A$5:$A$1005&lt;&gt;"")*(MOVIMIENTOS!$A$5:$A$1005&lt;=$A617)*MOVIMIENTOS!$E$5:$E$1005)+SUMPRODUCT((MOVIMIENTOS!$B$5:$B$1005="PROCESO")*(MOVIMIENTOS!$C$5:$C$1005="A")*(MOVIMIENTOS!$D$5:$D$1005="jabas")*(MOVIMIENTOS!$A$5:$A$1005&lt;&gt;"")*(MOVIMIENTOS!$A$5:$A$1005&lt;=$A617)*MOVIMIENTOS!$E$5:$E$1005)-SUMPRODUCT((MOVIMIENTOS!$B$5:$B$1005="ENVÍO A SUPESA")*(MOVIMIENTOS!$C$5:$C$1005="A")*(MOVIMIENTOS!$D$5:$D$1005="jabas")*(MOVIMIENTOS!$A$5:$A$1005&lt;&gt;"")*(MOVIMIENTOS!$A$5:$A$1005&lt;=$A617)*MOVIMIENTOS!$E$5:$E$1005)+SUMPRODUCT((MOVIMIENTOS!$B$5:$B$1005="DEVOLUCIÓN")*(MOVIMIENTOS!$C$5:$C$1005="A")*(MOVIMIENTOS!$D$5:$D$1005="jabas")*(MOVIMIENTOS!$A$5:$A$1005&lt;&gt;"")*(MOVIMIENTOS!$A$5:$A$1005&lt;=$A617)*MOVIMIENTOS!$E$5:$E$1005)-SUMPRODUCT((MOVIMIENTOS!$B$5:$B$1005="TRASIEGO")*(MOVIMIENTOS!$C$5:$C$1005="A")*(MOVIMIENTOS!$D$5:$D$1005="jabas")*(MOVIMIENTOS!$A$5:$A$1005&lt;&gt;"")*(MOVIMIENTOS!$A$5:$A$1005&lt;=$A617)*MOVIMIENTOS!$E$5:$E$1005)-SUMPRODUCT((MOVIMIENTOS!$B$5:$B$1005="REGALO")*(MOVIMIENTOS!$C$5:$C$1005="A")*(MOVIMIENTOS!$D$5:$D$1005="jabas")*(MOVIMIENTOS!$A$5:$A$1005&lt;&gt;"")*(MOVIMIENTOS!$A$5:$A$1005&lt;=$A617)*MOVIMIENTOS!$E$5:$E$1005)-SUMPRODUCT((MOVIMIENTOS!$B$5:$B$1005="VENTA")*(MOVIMIENTOS!$C$5:$C$1005="A")*(MOVIMIENTOS!$D$5:$D$1005="jabas")*(MOVIMIENTOS!$A$5:$A$1005&lt;&gt;"")*(MOVIMIENTOS!$A$5:$A$1005&lt;=$A617)*MOVIMIENTOS!$E$5:$E$1005)+SUMPRODUCT((MOVIMIENTOS!$B$5:$B$1005="AJUSTE")*(MOVIMIENTOS!$C$5:$C$1005="A")*(MOVIMIENTOS!$D$5:$D$1005="jabas")*(MOVIMIENTOS!$A$5:$A$1005&lt;&gt;"")*(MOVIMIENTOS!$A$5:$A$1005&lt;=$A617)*MOVIMIENTOS!$E$5:$E$1005))</f>
        <v/>
      </c>
      <c r="C617" t="str">
        <f>IF($A617="","",SUMPRODUCT((MOVIMIENTOS!$B$5:$B$1005="SALDO INICIAL")*(MOVIMIENTOS!$C$5:$C$1005="P")*(MOVIMIENTOS!$D$5:$D$1005="jabas")*(MOVIMIENTOS!$A$5:$A$1005&lt;&gt;"")*(MOVIMIENTOS!$A$5:$A$1005&lt;=$A617)*MOVIMIENTOS!$E$5:$E$1005)+SUMPRODUCT((MOVIMIENTOS!$B$5:$B$1005="PROCESO")*(MOVIMIENTOS!$C$5:$C$1005="P")*(MOVIMIENTOS!$D$5:$D$1005="jabas")*(MOVIMIENTOS!$A$5:$A$1005&lt;&gt;"")*(MOVIMIENTOS!$A$5:$A$1005&lt;=$A617)*MOVIMIENTOS!$E$5:$E$1005)-SUMPRODUCT((MOVIMIENTOS!$B$5:$B$1005="ENVÍO A SUPESA")*(MOVIMIENTOS!$C$5:$C$1005="P")*(MOVIMIENTOS!$D$5:$D$1005="jabas")*(MOVIMIENTOS!$A$5:$A$1005&lt;&gt;"")*(MOVIMIENTOS!$A$5:$A$1005&lt;=$A617)*MOVIMIENTOS!$E$5:$E$1005)+SUMPRODUCT((MOVIMIENTOS!$B$5:$B$1005="DEVOLUCIÓN")*(MOVIMIENTOS!$C$5:$C$1005="P")*(MOVIMIENTOS!$D$5:$D$1005="jabas")*(MOVIMIENTOS!$A$5:$A$1005&lt;&gt;"")*(MOVIMIENTOS!$A$5:$A$1005&lt;=$A617)*MOVIMIENTOS!$E$5:$E$1005)-SUMPRODUCT((MOVIMIENTOS!$B$5:$B$1005="TRASIEGO")*(MOVIMIENTOS!$C$5:$C$1005="P")*(MOVIMIENTOS!$D$5:$D$1005="jabas")*(MOVIMIENTOS!$A$5:$A$1005&lt;&gt;"")*(MOVIMIENTOS!$A$5:$A$1005&lt;=$A617)*MOVIMIENTOS!$E$5:$E$1005)-SUMPRODUCT((MOVIMIENTOS!$B$5:$B$1005="REGALO")*(MOVIMIENTOS!$C$5:$C$1005="P")*(MOVIMIENTOS!$D$5:$D$1005="jabas")*(MOVIMIENTOS!$A$5:$A$1005&lt;&gt;"")*(MOVIMIENTOS!$A$5:$A$1005&lt;=$A617)*MOVIMIENTOS!$E$5:$E$1005)-SUMPRODUCT((MOVIMIENTOS!$B$5:$B$1005="VENTA")*(MOVIMIENTOS!$C$5:$C$1005="P")*(MOVIMIENTOS!$D$5:$D$1005="jabas")*(MOVIMIENTOS!$A$5:$A$1005&lt;&gt;"")*(MOVIMIENTOS!$A$5:$A$1005&lt;=$A617)*MOVIMIENTOS!$E$5:$E$1005)+SUMPRODUCT((MOVIMIENTOS!$B$5:$B$1005="AJUSTE")*(MOVIMIENTOS!$C$5:$C$1005="P")*(MOVIMIENTOS!$D$5:$D$1005="jabas")*(MOVIMIENTOS!$A$5:$A$1005&lt;&gt;"")*(MOVIMIENTOS!$A$5:$A$1005&lt;=$A617)*MOVIMIENTOS!$E$5:$E$1005))</f>
        <v/>
      </c>
      <c r="D617" t="str">
        <f>IF($A617="","",SUMPRODUCT((MOVIMIENTOS!$B$5:$B$1005="SALDO INICIAL")*(MOVIMIENTOS!$C$5:$C$1005="C")*(MOVIMIENTOS!$D$5:$D$1005="jabas")*(MOVIMIENTOS!$A$5:$A$1005&lt;&gt;"")*(MOVIMIENTOS!$A$5:$A$1005&lt;=$A617)*MOVIMIENTOS!$E$5:$E$1005)+SUMPRODUCT((MOVIMIENTOS!$B$5:$B$1005="PROCESO")*(MOVIMIENTOS!$C$5:$C$1005="C")*(MOVIMIENTOS!$D$5:$D$1005="jabas")*(MOVIMIENTOS!$A$5:$A$1005&lt;&gt;"")*(MOVIMIENTOS!$A$5:$A$1005&lt;=$A617)*MOVIMIENTOS!$E$5:$E$1005)-SUMPRODUCT((MOVIMIENTOS!$B$5:$B$1005="ENVÍO A SUPESA")*(MOVIMIENTOS!$C$5:$C$1005="C")*(MOVIMIENTOS!$D$5:$D$1005="jabas")*(MOVIMIENTOS!$A$5:$A$1005&lt;&gt;"")*(MOVIMIENTOS!$A$5:$A$1005&lt;=$A617)*MOVIMIENTOS!$E$5:$E$1005)+SUMPRODUCT((MOVIMIENTOS!$B$5:$B$1005="DEVOLUCIÓN")*(MOVIMIENTOS!$C$5:$C$1005="C")*(MOVIMIENTOS!$D$5:$D$1005="jabas")*(MOVIMIENTOS!$A$5:$A$1005&lt;&gt;"")*(MOVIMIENTOS!$A$5:$A$1005&lt;=$A617)*MOVIMIENTOS!$E$5:$E$1005)-SUMPRODUCT((MOVIMIENTOS!$B$5:$B$1005="TRASIEGO")*(MOVIMIENTOS!$C$5:$C$1005="C")*(MOVIMIENTOS!$D$5:$D$1005="jabas")*(MOVIMIENTOS!$A$5:$A$1005&lt;&gt;"")*(MOVIMIENTOS!$A$5:$A$1005&lt;=$A617)*MOVIMIENTOS!$E$5:$E$1005)-SUMPRODUCT((MOVIMIENTOS!$B$5:$B$1005="REGALO")*(MOVIMIENTOS!$C$5:$C$1005="C")*(MOVIMIENTOS!$D$5:$D$1005="jabas")*(MOVIMIENTOS!$A$5:$A$1005&lt;&gt;"")*(MOVIMIENTOS!$A$5:$A$1005&lt;=$A617)*MOVIMIENTOS!$E$5:$E$1005)-SUMPRODUCT((MOVIMIENTOS!$B$5:$B$1005="VENTA")*(MOVIMIENTOS!$C$5:$C$1005="C")*(MOVIMIENTOS!$D$5:$D$1005="jabas")*(MOVIMIENTOS!$A$5:$A$1005&lt;&gt;"")*(MOVIMIENTOS!$A$5:$A$1005&lt;=$A617)*MOVIMIENTOS!$E$5:$E$1005)+SUMPRODUCT((MOVIMIENTOS!$B$5:$B$1005="AJUSTE")*(MOVIMIENTOS!$C$5:$C$1005="C")*(MOVIMIENTOS!$D$5:$D$1005="jabas")*(MOVIMIENTOS!$A$5:$A$1005&lt;&gt;"")*(MOVIMIENTOS!$A$5:$A$1005&lt;=$A617)*MOVIMIENTOS!$E$5:$E$1005))</f>
        <v/>
      </c>
      <c r="E617" t="str">
        <f>IF($A617="","",SUMPRODUCT((MOVIMIENTOS!$B$5:$B$1005="SALDO INICIAL")*(MOVIMIENTOS!$C$5:$C$1005="M")*(MOVIMIENTOS!$D$5:$D$1005="jabas")*(MOVIMIENTOS!$A$5:$A$1005&lt;&gt;"")*(MOVIMIENTOS!$A$5:$A$1005&lt;=$A617)*MOVIMIENTOS!$E$5:$E$1005)+SUMPRODUCT((MOVIMIENTOS!$B$5:$B$1005="PROCESO")*(MOVIMIENTOS!$C$5:$C$1005="M")*(MOVIMIENTOS!$D$5:$D$1005="jabas")*(MOVIMIENTOS!$A$5:$A$1005&lt;&gt;"")*(MOVIMIENTOS!$A$5:$A$1005&lt;=$A617)*MOVIMIENTOS!$E$5:$E$1005)-SUMPRODUCT((MOVIMIENTOS!$B$5:$B$1005="ENVÍO A SUPESA")*(MOVIMIENTOS!$C$5:$C$1005="M")*(MOVIMIENTOS!$D$5:$D$1005="jabas")*(MOVIMIENTOS!$A$5:$A$1005&lt;&gt;"")*(MOVIMIENTOS!$A$5:$A$1005&lt;=$A617)*MOVIMIENTOS!$E$5:$E$1005)+SUMPRODUCT((MOVIMIENTOS!$B$5:$B$1005="DEVOLUCIÓN")*(MOVIMIENTOS!$C$5:$C$1005="M")*(MOVIMIENTOS!$D$5:$D$1005="jabas")*(MOVIMIENTOS!$A$5:$A$1005&lt;&gt;"")*(MOVIMIENTOS!$A$5:$A$1005&lt;=$A617)*MOVIMIENTOS!$E$5:$E$1005)-SUMPRODUCT((MOVIMIENTOS!$B$5:$B$1005="TRASIEGO")*(MOVIMIENTOS!$C$5:$C$1005="M")*(MOVIMIENTOS!$D$5:$D$1005="jabas")*(MOVIMIENTOS!$A$5:$A$1005&lt;&gt;"")*(MOVIMIENTOS!$A$5:$A$1005&lt;=$A617)*MOVIMIENTOS!$E$5:$E$1005)-SUMPRODUCT((MOVIMIENTOS!$B$5:$B$1005="REGALO")*(MOVIMIENTOS!$C$5:$C$1005="M")*(MOVIMIENTOS!$D$5:$D$1005="jabas")*(MOVIMIENTOS!$A$5:$A$1005&lt;&gt;"")*(MOVIMIENTOS!$A$5:$A$1005&lt;=$A617)*MOVIMIENTOS!$E$5:$E$1005)-SUMPRODUCT((MOVIMIENTOS!$B$5:$B$1005="VENTA")*(MOVIMIENTOS!$C$5:$C$1005="M")*(MOVIMIENTOS!$D$5:$D$1005="jabas")*(MOVIMIENTOS!$A$5:$A$1005&lt;&gt;"")*(MOVIMIENTOS!$A$5:$A$1005&lt;=$A617)*MOVIMIENTOS!$E$5:$E$1005)+SUMPRODUCT((MOVIMIENTOS!$B$5:$B$1005="AJUSTE")*(MOVIMIENTOS!$C$5:$C$1005="M")*(MOVIMIENTOS!$D$5:$D$1005="jabas")*(MOVIMIENTOS!$A$5:$A$1005&lt;&gt;"")*(MOVIMIENTOS!$A$5:$A$1005&lt;=$A617)*MOVIMIENTOS!$E$5:$E$1005))</f>
        <v/>
      </c>
      <c r="F617" s="62" t="str">
        <f>IF($A617="","",SUMPRODUCT((MOVIMIENTOS!$B$5:$B$1005="SALDO INICIAL")*(MOVIMIENTOS!$C$5:$C$1005="Chancho")*(MOVIMIENTOS!$D$5:$D$1005="sacos")*(MOVIMIENTOS!$A$5:$A$1005&lt;&gt;"")*(MOVIMIENTOS!$A$5:$A$1005&lt;=$A617)*MOVIMIENTOS!$E$5:$E$1005)+SUMPRODUCT((MOVIMIENTOS!$B$5:$B$1005="PROCESO")*(MOVIMIENTOS!$C$5:$C$1005="Chancho")*(MOVIMIENTOS!$D$5:$D$1005="sacos")*(MOVIMIENTOS!$A$5:$A$1005&lt;&gt;"")*(MOVIMIENTOS!$A$5:$A$1005&lt;=$A617)*MOVIMIENTOS!$E$5:$E$1005)-SUMPRODUCT((MOVIMIENTOS!$B$5:$B$1005="VENTA CHANCHO")*(MOVIMIENTOS!$C$5:$C$1005="Chancho")*(MOVIMIENTOS!$D$5:$D$1005="sacos")*(MOVIMIENTOS!$A$5:$A$1005&lt;&gt;"")*(MOVIMIENTOS!$A$5:$A$1005&lt;=$A617)*MOVIMIENTOS!$E$5:$E$1005)-SUMPRODUCT((MOVIMIENTOS!$B$5:$B$1005="REGALO")*(MOVIMIENTOS!$C$5:$C$1005="Chancho")*(MOVIMIENTOS!$D$5:$D$1005="sacos")*(MOVIMIENTOS!$A$5:$A$1005&lt;&gt;"")*(MOVIMIENTOS!$A$5:$A$1005&lt;=$A617)*MOVIMIENTOS!$E$5:$E$1005)-SUMPRODUCT((MOVIMIENTOS!$B$5:$B$1005="VENTA")*(MOVIMIENTOS!$C$5:$C$1005="Chancho")*(MOVIMIENTOS!$D$5:$D$1005="sacos")*(MOVIMIENTOS!$A$5:$A$1005&lt;&gt;"")*(MOVIMIENTOS!$A$5:$A$1005&lt;=$A617)*MOVIMIENTOS!$E$5:$E$1005)+SUMPRODUCT((MOVIMIENTOS!$B$5:$B$1005="AJUSTE")*(MOVIMIENTOS!$C$5:$C$1005="Chancho")*(MOVIMIENTOS!$D$5:$D$1005="sacos")*(MOVIMIENTOS!$A$5:$A$1005&lt;&gt;"")*(MOVIMIENTOS!$A$5:$A$1005&lt;=$A617)*MOVIMIENTOS!$E$5:$E$1005))</f>
        <v/>
      </c>
      <c r="G617" s="62" t="str">
        <f t="shared" si="19"/>
        <v/>
      </c>
      <c r="H617" t="str">
        <f>IF($A617="","",SUMPRODUCT((((MOVIMIENTOS!$B$5:$B$1005="SALDO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617)*MOVIMIENTOS!$J$5:$J$1005))</f>
        <v/>
      </c>
      <c r="J617" t="str">
        <f>IF(AND(MOVIMIENTOS!$A622&lt;&gt;"",COUNTIF(MOVIMIENTOS!$A$5:$A621,MOVIMIENTOS!$A622)=0),COUNT(J$4:J616)+1,"")</f>
        <v/>
      </c>
      <c r="K617">
        <f>MOVIMIENTOS!$A622</f>
        <v>0</v>
      </c>
    </row>
    <row r="618" spans="1:11" ht="15" customHeight="1" x14ac:dyDescent="0.2">
      <c r="A618" t="str">
        <f t="shared" si="18"/>
        <v/>
      </c>
      <c r="B618" t="str">
        <f>IF($A618="","",SUMPRODUCT((MOVIMIENTOS!$B$5:$B$1005="SALDO INICIAL")*(MOVIMIENTOS!$C$5:$C$1005="A")*(MOVIMIENTOS!$D$5:$D$1005="jabas")*(MOVIMIENTOS!$A$5:$A$1005&lt;&gt;"")*(MOVIMIENTOS!$A$5:$A$1005&lt;=$A618)*MOVIMIENTOS!$E$5:$E$1005)+SUMPRODUCT((MOVIMIENTOS!$B$5:$B$1005="PROCESO")*(MOVIMIENTOS!$C$5:$C$1005="A")*(MOVIMIENTOS!$D$5:$D$1005="jabas")*(MOVIMIENTOS!$A$5:$A$1005&lt;&gt;"")*(MOVIMIENTOS!$A$5:$A$1005&lt;=$A618)*MOVIMIENTOS!$E$5:$E$1005)-SUMPRODUCT((MOVIMIENTOS!$B$5:$B$1005="ENVÍO A SUPESA")*(MOVIMIENTOS!$C$5:$C$1005="A")*(MOVIMIENTOS!$D$5:$D$1005="jabas")*(MOVIMIENTOS!$A$5:$A$1005&lt;&gt;"")*(MOVIMIENTOS!$A$5:$A$1005&lt;=$A618)*MOVIMIENTOS!$E$5:$E$1005)+SUMPRODUCT((MOVIMIENTOS!$B$5:$B$1005="DEVOLUCIÓN")*(MOVIMIENTOS!$C$5:$C$1005="A")*(MOVIMIENTOS!$D$5:$D$1005="jabas")*(MOVIMIENTOS!$A$5:$A$1005&lt;&gt;"")*(MOVIMIENTOS!$A$5:$A$1005&lt;=$A618)*MOVIMIENTOS!$E$5:$E$1005)-SUMPRODUCT((MOVIMIENTOS!$B$5:$B$1005="TRASIEGO")*(MOVIMIENTOS!$C$5:$C$1005="A")*(MOVIMIENTOS!$D$5:$D$1005="jabas")*(MOVIMIENTOS!$A$5:$A$1005&lt;&gt;"")*(MOVIMIENTOS!$A$5:$A$1005&lt;=$A618)*MOVIMIENTOS!$E$5:$E$1005)-SUMPRODUCT((MOVIMIENTOS!$B$5:$B$1005="REGALO")*(MOVIMIENTOS!$C$5:$C$1005="A")*(MOVIMIENTOS!$D$5:$D$1005="jabas")*(MOVIMIENTOS!$A$5:$A$1005&lt;&gt;"")*(MOVIMIENTOS!$A$5:$A$1005&lt;=$A618)*MOVIMIENTOS!$E$5:$E$1005)-SUMPRODUCT((MOVIMIENTOS!$B$5:$B$1005="VENTA")*(MOVIMIENTOS!$C$5:$C$1005="A")*(MOVIMIENTOS!$D$5:$D$1005="jabas")*(MOVIMIENTOS!$A$5:$A$1005&lt;&gt;"")*(MOVIMIENTOS!$A$5:$A$1005&lt;=$A618)*MOVIMIENTOS!$E$5:$E$1005)+SUMPRODUCT((MOVIMIENTOS!$B$5:$B$1005="AJUSTE")*(MOVIMIENTOS!$C$5:$C$1005="A")*(MOVIMIENTOS!$D$5:$D$1005="jabas")*(MOVIMIENTOS!$A$5:$A$1005&lt;&gt;"")*(MOVIMIENTOS!$A$5:$A$1005&lt;=$A618)*MOVIMIENTOS!$E$5:$E$1005))</f>
        <v/>
      </c>
      <c r="C618" t="str">
        <f>IF($A618="","",SUMPRODUCT((MOVIMIENTOS!$B$5:$B$1005="SALDO INICIAL")*(MOVIMIENTOS!$C$5:$C$1005="P")*(MOVIMIENTOS!$D$5:$D$1005="jabas")*(MOVIMIENTOS!$A$5:$A$1005&lt;&gt;"")*(MOVIMIENTOS!$A$5:$A$1005&lt;=$A618)*MOVIMIENTOS!$E$5:$E$1005)+SUMPRODUCT((MOVIMIENTOS!$B$5:$B$1005="PROCESO")*(MOVIMIENTOS!$C$5:$C$1005="P")*(MOVIMIENTOS!$D$5:$D$1005="jabas")*(MOVIMIENTOS!$A$5:$A$1005&lt;&gt;"")*(MOVIMIENTOS!$A$5:$A$1005&lt;=$A618)*MOVIMIENTOS!$E$5:$E$1005)-SUMPRODUCT((MOVIMIENTOS!$B$5:$B$1005="ENVÍO A SUPESA")*(MOVIMIENTOS!$C$5:$C$1005="P")*(MOVIMIENTOS!$D$5:$D$1005="jabas")*(MOVIMIENTOS!$A$5:$A$1005&lt;&gt;"")*(MOVIMIENTOS!$A$5:$A$1005&lt;=$A618)*MOVIMIENTOS!$E$5:$E$1005)+SUMPRODUCT((MOVIMIENTOS!$B$5:$B$1005="DEVOLUCIÓN")*(MOVIMIENTOS!$C$5:$C$1005="P")*(MOVIMIENTOS!$D$5:$D$1005="jabas")*(MOVIMIENTOS!$A$5:$A$1005&lt;&gt;"")*(MOVIMIENTOS!$A$5:$A$1005&lt;=$A618)*MOVIMIENTOS!$E$5:$E$1005)-SUMPRODUCT((MOVIMIENTOS!$B$5:$B$1005="TRASIEGO")*(MOVIMIENTOS!$C$5:$C$1005="P")*(MOVIMIENTOS!$D$5:$D$1005="jabas")*(MOVIMIENTOS!$A$5:$A$1005&lt;&gt;"")*(MOVIMIENTOS!$A$5:$A$1005&lt;=$A618)*MOVIMIENTOS!$E$5:$E$1005)-SUMPRODUCT((MOVIMIENTOS!$B$5:$B$1005="REGALO")*(MOVIMIENTOS!$C$5:$C$1005="P")*(MOVIMIENTOS!$D$5:$D$1005="jabas")*(MOVIMIENTOS!$A$5:$A$1005&lt;&gt;"")*(MOVIMIENTOS!$A$5:$A$1005&lt;=$A618)*MOVIMIENTOS!$E$5:$E$1005)-SUMPRODUCT((MOVIMIENTOS!$B$5:$B$1005="VENTA")*(MOVIMIENTOS!$C$5:$C$1005="P")*(MOVIMIENTOS!$D$5:$D$1005="jabas")*(MOVIMIENTOS!$A$5:$A$1005&lt;&gt;"")*(MOVIMIENTOS!$A$5:$A$1005&lt;=$A618)*MOVIMIENTOS!$E$5:$E$1005)+SUMPRODUCT((MOVIMIENTOS!$B$5:$B$1005="AJUSTE")*(MOVIMIENTOS!$C$5:$C$1005="P")*(MOVIMIENTOS!$D$5:$D$1005="jabas")*(MOVIMIENTOS!$A$5:$A$1005&lt;&gt;"")*(MOVIMIENTOS!$A$5:$A$1005&lt;=$A618)*MOVIMIENTOS!$E$5:$E$1005))</f>
        <v/>
      </c>
      <c r="D618" t="str">
        <f>IF($A618="","",SUMPRODUCT((MOVIMIENTOS!$B$5:$B$1005="SALDO INICIAL")*(MOVIMIENTOS!$C$5:$C$1005="C")*(MOVIMIENTOS!$D$5:$D$1005="jabas")*(MOVIMIENTOS!$A$5:$A$1005&lt;&gt;"")*(MOVIMIENTOS!$A$5:$A$1005&lt;=$A618)*MOVIMIENTOS!$E$5:$E$1005)+SUMPRODUCT((MOVIMIENTOS!$B$5:$B$1005="PROCESO")*(MOVIMIENTOS!$C$5:$C$1005="C")*(MOVIMIENTOS!$D$5:$D$1005="jabas")*(MOVIMIENTOS!$A$5:$A$1005&lt;&gt;"")*(MOVIMIENTOS!$A$5:$A$1005&lt;=$A618)*MOVIMIENTOS!$E$5:$E$1005)-SUMPRODUCT((MOVIMIENTOS!$B$5:$B$1005="ENVÍO A SUPESA")*(MOVIMIENTOS!$C$5:$C$1005="C")*(MOVIMIENTOS!$D$5:$D$1005="jabas")*(MOVIMIENTOS!$A$5:$A$1005&lt;&gt;"")*(MOVIMIENTOS!$A$5:$A$1005&lt;=$A618)*MOVIMIENTOS!$E$5:$E$1005)+SUMPRODUCT((MOVIMIENTOS!$B$5:$B$1005="DEVOLUCIÓN")*(MOVIMIENTOS!$C$5:$C$1005="C")*(MOVIMIENTOS!$D$5:$D$1005="jabas")*(MOVIMIENTOS!$A$5:$A$1005&lt;&gt;"")*(MOVIMIENTOS!$A$5:$A$1005&lt;=$A618)*MOVIMIENTOS!$E$5:$E$1005)-SUMPRODUCT((MOVIMIENTOS!$B$5:$B$1005="TRASIEGO")*(MOVIMIENTOS!$C$5:$C$1005="C")*(MOVIMIENTOS!$D$5:$D$1005="jabas")*(MOVIMIENTOS!$A$5:$A$1005&lt;&gt;"")*(MOVIMIENTOS!$A$5:$A$1005&lt;=$A618)*MOVIMIENTOS!$E$5:$E$1005)-SUMPRODUCT((MOVIMIENTOS!$B$5:$B$1005="REGALO")*(MOVIMIENTOS!$C$5:$C$1005="C")*(MOVIMIENTOS!$D$5:$D$1005="jabas")*(MOVIMIENTOS!$A$5:$A$1005&lt;&gt;"")*(MOVIMIENTOS!$A$5:$A$1005&lt;=$A618)*MOVIMIENTOS!$E$5:$E$1005)-SUMPRODUCT((MOVIMIENTOS!$B$5:$B$1005="VENTA")*(MOVIMIENTOS!$C$5:$C$1005="C")*(MOVIMIENTOS!$D$5:$D$1005="jabas")*(MOVIMIENTOS!$A$5:$A$1005&lt;&gt;"")*(MOVIMIENTOS!$A$5:$A$1005&lt;=$A618)*MOVIMIENTOS!$E$5:$E$1005)+SUMPRODUCT((MOVIMIENTOS!$B$5:$B$1005="AJUSTE")*(MOVIMIENTOS!$C$5:$C$1005="C")*(MOVIMIENTOS!$D$5:$D$1005="jabas")*(MOVIMIENTOS!$A$5:$A$1005&lt;&gt;"")*(MOVIMIENTOS!$A$5:$A$1005&lt;=$A618)*MOVIMIENTOS!$E$5:$E$1005))</f>
        <v/>
      </c>
      <c r="E618" t="str">
        <f>IF($A618="","",SUMPRODUCT((MOVIMIENTOS!$B$5:$B$1005="SALDO INICIAL")*(MOVIMIENTOS!$C$5:$C$1005="M")*(MOVIMIENTOS!$D$5:$D$1005="jabas")*(MOVIMIENTOS!$A$5:$A$1005&lt;&gt;"")*(MOVIMIENTOS!$A$5:$A$1005&lt;=$A618)*MOVIMIENTOS!$E$5:$E$1005)+SUMPRODUCT((MOVIMIENTOS!$B$5:$B$1005="PROCESO")*(MOVIMIENTOS!$C$5:$C$1005="M")*(MOVIMIENTOS!$D$5:$D$1005="jabas")*(MOVIMIENTOS!$A$5:$A$1005&lt;&gt;"")*(MOVIMIENTOS!$A$5:$A$1005&lt;=$A618)*MOVIMIENTOS!$E$5:$E$1005)-SUMPRODUCT((MOVIMIENTOS!$B$5:$B$1005="ENVÍO A SUPESA")*(MOVIMIENTOS!$C$5:$C$1005="M")*(MOVIMIENTOS!$D$5:$D$1005="jabas")*(MOVIMIENTOS!$A$5:$A$1005&lt;&gt;"")*(MOVIMIENTOS!$A$5:$A$1005&lt;=$A618)*MOVIMIENTOS!$E$5:$E$1005)+SUMPRODUCT((MOVIMIENTOS!$B$5:$B$1005="DEVOLUCIÓN")*(MOVIMIENTOS!$C$5:$C$1005="M")*(MOVIMIENTOS!$D$5:$D$1005="jabas")*(MOVIMIENTOS!$A$5:$A$1005&lt;&gt;"")*(MOVIMIENTOS!$A$5:$A$1005&lt;=$A618)*MOVIMIENTOS!$E$5:$E$1005)-SUMPRODUCT((MOVIMIENTOS!$B$5:$B$1005="TRASIEGO")*(MOVIMIENTOS!$C$5:$C$1005="M")*(MOVIMIENTOS!$D$5:$D$1005="jabas")*(MOVIMIENTOS!$A$5:$A$1005&lt;&gt;"")*(MOVIMIENTOS!$A$5:$A$1005&lt;=$A618)*MOVIMIENTOS!$E$5:$E$1005)-SUMPRODUCT((MOVIMIENTOS!$B$5:$B$1005="REGALO")*(MOVIMIENTOS!$C$5:$C$1005="M")*(MOVIMIENTOS!$D$5:$D$1005="jabas")*(MOVIMIENTOS!$A$5:$A$1005&lt;&gt;"")*(MOVIMIENTOS!$A$5:$A$1005&lt;=$A618)*MOVIMIENTOS!$E$5:$E$1005)-SUMPRODUCT((MOVIMIENTOS!$B$5:$B$1005="VENTA")*(MOVIMIENTOS!$C$5:$C$1005="M")*(MOVIMIENTOS!$D$5:$D$1005="jabas")*(MOVIMIENTOS!$A$5:$A$1005&lt;&gt;"")*(MOVIMIENTOS!$A$5:$A$1005&lt;=$A618)*MOVIMIENTOS!$E$5:$E$1005)+SUMPRODUCT((MOVIMIENTOS!$B$5:$B$1005="AJUSTE")*(MOVIMIENTOS!$C$5:$C$1005="M")*(MOVIMIENTOS!$D$5:$D$1005="jabas")*(MOVIMIENTOS!$A$5:$A$1005&lt;&gt;"")*(MOVIMIENTOS!$A$5:$A$1005&lt;=$A618)*MOVIMIENTOS!$E$5:$E$1005))</f>
        <v/>
      </c>
      <c r="F618" s="62" t="str">
        <f>IF($A618="","",SUMPRODUCT((MOVIMIENTOS!$B$5:$B$1005="SALDO INICIAL")*(MOVIMIENTOS!$C$5:$C$1005="Chancho")*(MOVIMIENTOS!$D$5:$D$1005="sacos")*(MOVIMIENTOS!$A$5:$A$1005&lt;&gt;"")*(MOVIMIENTOS!$A$5:$A$1005&lt;=$A618)*MOVIMIENTOS!$E$5:$E$1005)+SUMPRODUCT((MOVIMIENTOS!$B$5:$B$1005="PROCESO")*(MOVIMIENTOS!$C$5:$C$1005="Chancho")*(MOVIMIENTOS!$D$5:$D$1005="sacos")*(MOVIMIENTOS!$A$5:$A$1005&lt;&gt;"")*(MOVIMIENTOS!$A$5:$A$1005&lt;=$A618)*MOVIMIENTOS!$E$5:$E$1005)-SUMPRODUCT((MOVIMIENTOS!$B$5:$B$1005="VENTA CHANCHO")*(MOVIMIENTOS!$C$5:$C$1005="Chancho")*(MOVIMIENTOS!$D$5:$D$1005="sacos")*(MOVIMIENTOS!$A$5:$A$1005&lt;&gt;"")*(MOVIMIENTOS!$A$5:$A$1005&lt;=$A618)*MOVIMIENTOS!$E$5:$E$1005)-SUMPRODUCT((MOVIMIENTOS!$B$5:$B$1005="REGALO")*(MOVIMIENTOS!$C$5:$C$1005="Chancho")*(MOVIMIENTOS!$D$5:$D$1005="sacos")*(MOVIMIENTOS!$A$5:$A$1005&lt;&gt;"")*(MOVIMIENTOS!$A$5:$A$1005&lt;=$A618)*MOVIMIENTOS!$E$5:$E$1005)-SUMPRODUCT((MOVIMIENTOS!$B$5:$B$1005="VENTA")*(MOVIMIENTOS!$C$5:$C$1005="Chancho")*(MOVIMIENTOS!$D$5:$D$1005="sacos")*(MOVIMIENTOS!$A$5:$A$1005&lt;&gt;"")*(MOVIMIENTOS!$A$5:$A$1005&lt;=$A618)*MOVIMIENTOS!$E$5:$E$1005)+SUMPRODUCT((MOVIMIENTOS!$B$5:$B$1005="AJUSTE")*(MOVIMIENTOS!$C$5:$C$1005="Chancho")*(MOVIMIENTOS!$D$5:$D$1005="sacos")*(MOVIMIENTOS!$A$5:$A$1005&lt;&gt;"")*(MOVIMIENTOS!$A$5:$A$1005&lt;=$A618)*MOVIMIENTOS!$E$5:$E$1005))</f>
        <v/>
      </c>
      <c r="G618" s="62" t="str">
        <f t="shared" si="19"/>
        <v/>
      </c>
      <c r="H618" t="str">
        <f>IF($A618="","",SUMPRODUCT((((MOVIMIENTOS!$B$5:$B$1005="SALDO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618)*MOVIMIENTOS!$J$5:$J$1005))</f>
        <v/>
      </c>
      <c r="J618" t="str">
        <f>IF(AND(MOVIMIENTOS!$A623&lt;&gt;"",COUNTIF(MOVIMIENTOS!$A$5:$A622,MOVIMIENTOS!$A623)=0),COUNT(J$4:J617)+1,"")</f>
        <v/>
      </c>
      <c r="K618">
        <f>MOVIMIENTOS!$A623</f>
        <v>0</v>
      </c>
    </row>
    <row r="619" spans="1:11" ht="15" customHeight="1" x14ac:dyDescent="0.2">
      <c r="A619" t="str">
        <f t="shared" si="18"/>
        <v/>
      </c>
      <c r="B619" t="str">
        <f>IF($A619="","",SUMPRODUCT((MOVIMIENTOS!$B$5:$B$1005="SALDO INICIAL")*(MOVIMIENTOS!$C$5:$C$1005="A")*(MOVIMIENTOS!$D$5:$D$1005="jabas")*(MOVIMIENTOS!$A$5:$A$1005&lt;&gt;"")*(MOVIMIENTOS!$A$5:$A$1005&lt;=$A619)*MOVIMIENTOS!$E$5:$E$1005)+SUMPRODUCT((MOVIMIENTOS!$B$5:$B$1005="PROCESO")*(MOVIMIENTOS!$C$5:$C$1005="A")*(MOVIMIENTOS!$D$5:$D$1005="jabas")*(MOVIMIENTOS!$A$5:$A$1005&lt;&gt;"")*(MOVIMIENTOS!$A$5:$A$1005&lt;=$A619)*MOVIMIENTOS!$E$5:$E$1005)-SUMPRODUCT((MOVIMIENTOS!$B$5:$B$1005="ENVÍO A SUPESA")*(MOVIMIENTOS!$C$5:$C$1005="A")*(MOVIMIENTOS!$D$5:$D$1005="jabas")*(MOVIMIENTOS!$A$5:$A$1005&lt;&gt;"")*(MOVIMIENTOS!$A$5:$A$1005&lt;=$A619)*MOVIMIENTOS!$E$5:$E$1005)+SUMPRODUCT((MOVIMIENTOS!$B$5:$B$1005="DEVOLUCIÓN")*(MOVIMIENTOS!$C$5:$C$1005="A")*(MOVIMIENTOS!$D$5:$D$1005="jabas")*(MOVIMIENTOS!$A$5:$A$1005&lt;&gt;"")*(MOVIMIENTOS!$A$5:$A$1005&lt;=$A619)*MOVIMIENTOS!$E$5:$E$1005)-SUMPRODUCT((MOVIMIENTOS!$B$5:$B$1005="TRASIEGO")*(MOVIMIENTOS!$C$5:$C$1005="A")*(MOVIMIENTOS!$D$5:$D$1005="jabas")*(MOVIMIENTOS!$A$5:$A$1005&lt;&gt;"")*(MOVIMIENTOS!$A$5:$A$1005&lt;=$A619)*MOVIMIENTOS!$E$5:$E$1005)-SUMPRODUCT((MOVIMIENTOS!$B$5:$B$1005="REGALO")*(MOVIMIENTOS!$C$5:$C$1005="A")*(MOVIMIENTOS!$D$5:$D$1005="jabas")*(MOVIMIENTOS!$A$5:$A$1005&lt;&gt;"")*(MOVIMIENTOS!$A$5:$A$1005&lt;=$A619)*MOVIMIENTOS!$E$5:$E$1005)-SUMPRODUCT((MOVIMIENTOS!$B$5:$B$1005="VENTA")*(MOVIMIENTOS!$C$5:$C$1005="A")*(MOVIMIENTOS!$D$5:$D$1005="jabas")*(MOVIMIENTOS!$A$5:$A$1005&lt;&gt;"")*(MOVIMIENTOS!$A$5:$A$1005&lt;=$A619)*MOVIMIENTOS!$E$5:$E$1005)+SUMPRODUCT((MOVIMIENTOS!$B$5:$B$1005="AJUSTE")*(MOVIMIENTOS!$C$5:$C$1005="A")*(MOVIMIENTOS!$D$5:$D$1005="jabas")*(MOVIMIENTOS!$A$5:$A$1005&lt;&gt;"")*(MOVIMIENTOS!$A$5:$A$1005&lt;=$A619)*MOVIMIENTOS!$E$5:$E$1005))</f>
        <v/>
      </c>
      <c r="C619" t="str">
        <f>IF($A619="","",SUMPRODUCT((MOVIMIENTOS!$B$5:$B$1005="SALDO INICIAL")*(MOVIMIENTOS!$C$5:$C$1005="P")*(MOVIMIENTOS!$D$5:$D$1005="jabas")*(MOVIMIENTOS!$A$5:$A$1005&lt;&gt;"")*(MOVIMIENTOS!$A$5:$A$1005&lt;=$A619)*MOVIMIENTOS!$E$5:$E$1005)+SUMPRODUCT((MOVIMIENTOS!$B$5:$B$1005="PROCESO")*(MOVIMIENTOS!$C$5:$C$1005="P")*(MOVIMIENTOS!$D$5:$D$1005="jabas")*(MOVIMIENTOS!$A$5:$A$1005&lt;&gt;"")*(MOVIMIENTOS!$A$5:$A$1005&lt;=$A619)*MOVIMIENTOS!$E$5:$E$1005)-SUMPRODUCT((MOVIMIENTOS!$B$5:$B$1005="ENVÍO A SUPESA")*(MOVIMIENTOS!$C$5:$C$1005="P")*(MOVIMIENTOS!$D$5:$D$1005="jabas")*(MOVIMIENTOS!$A$5:$A$1005&lt;&gt;"")*(MOVIMIENTOS!$A$5:$A$1005&lt;=$A619)*MOVIMIENTOS!$E$5:$E$1005)+SUMPRODUCT((MOVIMIENTOS!$B$5:$B$1005="DEVOLUCIÓN")*(MOVIMIENTOS!$C$5:$C$1005="P")*(MOVIMIENTOS!$D$5:$D$1005="jabas")*(MOVIMIENTOS!$A$5:$A$1005&lt;&gt;"")*(MOVIMIENTOS!$A$5:$A$1005&lt;=$A619)*MOVIMIENTOS!$E$5:$E$1005)-SUMPRODUCT((MOVIMIENTOS!$B$5:$B$1005="TRASIEGO")*(MOVIMIENTOS!$C$5:$C$1005="P")*(MOVIMIENTOS!$D$5:$D$1005="jabas")*(MOVIMIENTOS!$A$5:$A$1005&lt;&gt;"")*(MOVIMIENTOS!$A$5:$A$1005&lt;=$A619)*MOVIMIENTOS!$E$5:$E$1005)-SUMPRODUCT((MOVIMIENTOS!$B$5:$B$1005="REGALO")*(MOVIMIENTOS!$C$5:$C$1005="P")*(MOVIMIENTOS!$D$5:$D$1005="jabas")*(MOVIMIENTOS!$A$5:$A$1005&lt;&gt;"")*(MOVIMIENTOS!$A$5:$A$1005&lt;=$A619)*MOVIMIENTOS!$E$5:$E$1005)-SUMPRODUCT((MOVIMIENTOS!$B$5:$B$1005="VENTA")*(MOVIMIENTOS!$C$5:$C$1005="P")*(MOVIMIENTOS!$D$5:$D$1005="jabas")*(MOVIMIENTOS!$A$5:$A$1005&lt;&gt;"")*(MOVIMIENTOS!$A$5:$A$1005&lt;=$A619)*MOVIMIENTOS!$E$5:$E$1005)+SUMPRODUCT((MOVIMIENTOS!$B$5:$B$1005="AJUSTE")*(MOVIMIENTOS!$C$5:$C$1005="P")*(MOVIMIENTOS!$D$5:$D$1005="jabas")*(MOVIMIENTOS!$A$5:$A$1005&lt;&gt;"")*(MOVIMIENTOS!$A$5:$A$1005&lt;=$A619)*MOVIMIENTOS!$E$5:$E$1005))</f>
        <v/>
      </c>
      <c r="D619" t="str">
        <f>IF($A619="","",SUMPRODUCT((MOVIMIENTOS!$B$5:$B$1005="SALDO INICIAL")*(MOVIMIENTOS!$C$5:$C$1005="C")*(MOVIMIENTOS!$D$5:$D$1005="jabas")*(MOVIMIENTOS!$A$5:$A$1005&lt;&gt;"")*(MOVIMIENTOS!$A$5:$A$1005&lt;=$A619)*MOVIMIENTOS!$E$5:$E$1005)+SUMPRODUCT((MOVIMIENTOS!$B$5:$B$1005="PROCESO")*(MOVIMIENTOS!$C$5:$C$1005="C")*(MOVIMIENTOS!$D$5:$D$1005="jabas")*(MOVIMIENTOS!$A$5:$A$1005&lt;&gt;"")*(MOVIMIENTOS!$A$5:$A$1005&lt;=$A619)*MOVIMIENTOS!$E$5:$E$1005)-SUMPRODUCT((MOVIMIENTOS!$B$5:$B$1005="ENVÍO A SUPESA")*(MOVIMIENTOS!$C$5:$C$1005="C")*(MOVIMIENTOS!$D$5:$D$1005="jabas")*(MOVIMIENTOS!$A$5:$A$1005&lt;&gt;"")*(MOVIMIENTOS!$A$5:$A$1005&lt;=$A619)*MOVIMIENTOS!$E$5:$E$1005)+SUMPRODUCT((MOVIMIENTOS!$B$5:$B$1005="DEVOLUCIÓN")*(MOVIMIENTOS!$C$5:$C$1005="C")*(MOVIMIENTOS!$D$5:$D$1005="jabas")*(MOVIMIENTOS!$A$5:$A$1005&lt;&gt;"")*(MOVIMIENTOS!$A$5:$A$1005&lt;=$A619)*MOVIMIENTOS!$E$5:$E$1005)-SUMPRODUCT((MOVIMIENTOS!$B$5:$B$1005="TRASIEGO")*(MOVIMIENTOS!$C$5:$C$1005="C")*(MOVIMIENTOS!$D$5:$D$1005="jabas")*(MOVIMIENTOS!$A$5:$A$1005&lt;&gt;"")*(MOVIMIENTOS!$A$5:$A$1005&lt;=$A619)*MOVIMIENTOS!$E$5:$E$1005)-SUMPRODUCT((MOVIMIENTOS!$B$5:$B$1005="REGALO")*(MOVIMIENTOS!$C$5:$C$1005="C")*(MOVIMIENTOS!$D$5:$D$1005="jabas")*(MOVIMIENTOS!$A$5:$A$1005&lt;&gt;"")*(MOVIMIENTOS!$A$5:$A$1005&lt;=$A619)*MOVIMIENTOS!$E$5:$E$1005)-SUMPRODUCT((MOVIMIENTOS!$B$5:$B$1005="VENTA")*(MOVIMIENTOS!$C$5:$C$1005="C")*(MOVIMIENTOS!$D$5:$D$1005="jabas")*(MOVIMIENTOS!$A$5:$A$1005&lt;&gt;"")*(MOVIMIENTOS!$A$5:$A$1005&lt;=$A619)*MOVIMIENTOS!$E$5:$E$1005)+SUMPRODUCT((MOVIMIENTOS!$B$5:$B$1005="AJUSTE")*(MOVIMIENTOS!$C$5:$C$1005="C")*(MOVIMIENTOS!$D$5:$D$1005="jabas")*(MOVIMIENTOS!$A$5:$A$1005&lt;&gt;"")*(MOVIMIENTOS!$A$5:$A$1005&lt;=$A619)*MOVIMIENTOS!$E$5:$E$1005))</f>
        <v/>
      </c>
      <c r="E619" t="str">
        <f>IF($A619="","",SUMPRODUCT((MOVIMIENTOS!$B$5:$B$1005="SALDO INICIAL")*(MOVIMIENTOS!$C$5:$C$1005="M")*(MOVIMIENTOS!$D$5:$D$1005="jabas")*(MOVIMIENTOS!$A$5:$A$1005&lt;&gt;"")*(MOVIMIENTOS!$A$5:$A$1005&lt;=$A619)*MOVIMIENTOS!$E$5:$E$1005)+SUMPRODUCT((MOVIMIENTOS!$B$5:$B$1005="PROCESO")*(MOVIMIENTOS!$C$5:$C$1005="M")*(MOVIMIENTOS!$D$5:$D$1005="jabas")*(MOVIMIENTOS!$A$5:$A$1005&lt;&gt;"")*(MOVIMIENTOS!$A$5:$A$1005&lt;=$A619)*MOVIMIENTOS!$E$5:$E$1005)-SUMPRODUCT((MOVIMIENTOS!$B$5:$B$1005="ENVÍO A SUPESA")*(MOVIMIENTOS!$C$5:$C$1005="M")*(MOVIMIENTOS!$D$5:$D$1005="jabas")*(MOVIMIENTOS!$A$5:$A$1005&lt;&gt;"")*(MOVIMIENTOS!$A$5:$A$1005&lt;=$A619)*MOVIMIENTOS!$E$5:$E$1005)+SUMPRODUCT((MOVIMIENTOS!$B$5:$B$1005="DEVOLUCIÓN")*(MOVIMIENTOS!$C$5:$C$1005="M")*(MOVIMIENTOS!$D$5:$D$1005="jabas")*(MOVIMIENTOS!$A$5:$A$1005&lt;&gt;"")*(MOVIMIENTOS!$A$5:$A$1005&lt;=$A619)*MOVIMIENTOS!$E$5:$E$1005)-SUMPRODUCT((MOVIMIENTOS!$B$5:$B$1005="TRASIEGO")*(MOVIMIENTOS!$C$5:$C$1005="M")*(MOVIMIENTOS!$D$5:$D$1005="jabas")*(MOVIMIENTOS!$A$5:$A$1005&lt;&gt;"")*(MOVIMIENTOS!$A$5:$A$1005&lt;=$A619)*MOVIMIENTOS!$E$5:$E$1005)-SUMPRODUCT((MOVIMIENTOS!$B$5:$B$1005="REGALO")*(MOVIMIENTOS!$C$5:$C$1005="M")*(MOVIMIENTOS!$D$5:$D$1005="jabas")*(MOVIMIENTOS!$A$5:$A$1005&lt;&gt;"")*(MOVIMIENTOS!$A$5:$A$1005&lt;=$A619)*MOVIMIENTOS!$E$5:$E$1005)-SUMPRODUCT((MOVIMIENTOS!$B$5:$B$1005="VENTA")*(MOVIMIENTOS!$C$5:$C$1005="M")*(MOVIMIENTOS!$D$5:$D$1005="jabas")*(MOVIMIENTOS!$A$5:$A$1005&lt;&gt;"")*(MOVIMIENTOS!$A$5:$A$1005&lt;=$A619)*MOVIMIENTOS!$E$5:$E$1005)+SUMPRODUCT((MOVIMIENTOS!$B$5:$B$1005="AJUSTE")*(MOVIMIENTOS!$C$5:$C$1005="M")*(MOVIMIENTOS!$D$5:$D$1005="jabas")*(MOVIMIENTOS!$A$5:$A$1005&lt;&gt;"")*(MOVIMIENTOS!$A$5:$A$1005&lt;=$A619)*MOVIMIENTOS!$E$5:$E$1005))</f>
        <v/>
      </c>
      <c r="F619" s="62" t="str">
        <f>IF($A619="","",SUMPRODUCT((MOVIMIENTOS!$B$5:$B$1005="SALDO INICIAL")*(MOVIMIENTOS!$C$5:$C$1005="Chancho")*(MOVIMIENTOS!$D$5:$D$1005="sacos")*(MOVIMIENTOS!$A$5:$A$1005&lt;&gt;"")*(MOVIMIENTOS!$A$5:$A$1005&lt;=$A619)*MOVIMIENTOS!$E$5:$E$1005)+SUMPRODUCT((MOVIMIENTOS!$B$5:$B$1005="PROCESO")*(MOVIMIENTOS!$C$5:$C$1005="Chancho")*(MOVIMIENTOS!$D$5:$D$1005="sacos")*(MOVIMIENTOS!$A$5:$A$1005&lt;&gt;"")*(MOVIMIENTOS!$A$5:$A$1005&lt;=$A619)*MOVIMIENTOS!$E$5:$E$1005)-SUMPRODUCT((MOVIMIENTOS!$B$5:$B$1005="VENTA CHANCHO")*(MOVIMIENTOS!$C$5:$C$1005="Chancho")*(MOVIMIENTOS!$D$5:$D$1005="sacos")*(MOVIMIENTOS!$A$5:$A$1005&lt;&gt;"")*(MOVIMIENTOS!$A$5:$A$1005&lt;=$A619)*MOVIMIENTOS!$E$5:$E$1005)-SUMPRODUCT((MOVIMIENTOS!$B$5:$B$1005="REGALO")*(MOVIMIENTOS!$C$5:$C$1005="Chancho")*(MOVIMIENTOS!$D$5:$D$1005="sacos")*(MOVIMIENTOS!$A$5:$A$1005&lt;&gt;"")*(MOVIMIENTOS!$A$5:$A$1005&lt;=$A619)*MOVIMIENTOS!$E$5:$E$1005)-SUMPRODUCT((MOVIMIENTOS!$B$5:$B$1005="VENTA")*(MOVIMIENTOS!$C$5:$C$1005="Chancho")*(MOVIMIENTOS!$D$5:$D$1005="sacos")*(MOVIMIENTOS!$A$5:$A$1005&lt;&gt;"")*(MOVIMIENTOS!$A$5:$A$1005&lt;=$A619)*MOVIMIENTOS!$E$5:$E$1005)+SUMPRODUCT((MOVIMIENTOS!$B$5:$B$1005="AJUSTE")*(MOVIMIENTOS!$C$5:$C$1005="Chancho")*(MOVIMIENTOS!$D$5:$D$1005="sacos")*(MOVIMIENTOS!$A$5:$A$1005&lt;&gt;"")*(MOVIMIENTOS!$A$5:$A$1005&lt;=$A619)*MOVIMIENTOS!$E$5:$E$1005))</f>
        <v/>
      </c>
      <c r="G619" s="62" t="str">
        <f t="shared" si="19"/>
        <v/>
      </c>
      <c r="H619" t="str">
        <f>IF($A619="","",SUMPRODUCT((((MOVIMIENTOS!$B$5:$B$1005="SALDO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619)*MOVIMIENTOS!$J$5:$J$1005))</f>
        <v/>
      </c>
      <c r="J619" t="str">
        <f>IF(AND(MOVIMIENTOS!$A624&lt;&gt;"",COUNTIF(MOVIMIENTOS!$A$5:$A623,MOVIMIENTOS!$A624)=0),COUNT(J$4:J618)+1,"")</f>
        <v/>
      </c>
      <c r="K619">
        <f>MOVIMIENTOS!$A624</f>
        <v>0</v>
      </c>
    </row>
    <row r="620" spans="1:11" ht="15" customHeight="1" x14ac:dyDescent="0.2">
      <c r="A620" t="str">
        <f t="shared" si="18"/>
        <v/>
      </c>
      <c r="B620" t="str">
        <f>IF($A620="","",SUMPRODUCT((MOVIMIENTOS!$B$5:$B$1005="SALDO INICIAL")*(MOVIMIENTOS!$C$5:$C$1005="A")*(MOVIMIENTOS!$D$5:$D$1005="jabas")*(MOVIMIENTOS!$A$5:$A$1005&lt;&gt;"")*(MOVIMIENTOS!$A$5:$A$1005&lt;=$A620)*MOVIMIENTOS!$E$5:$E$1005)+SUMPRODUCT((MOVIMIENTOS!$B$5:$B$1005="PROCESO")*(MOVIMIENTOS!$C$5:$C$1005="A")*(MOVIMIENTOS!$D$5:$D$1005="jabas")*(MOVIMIENTOS!$A$5:$A$1005&lt;&gt;"")*(MOVIMIENTOS!$A$5:$A$1005&lt;=$A620)*MOVIMIENTOS!$E$5:$E$1005)-SUMPRODUCT((MOVIMIENTOS!$B$5:$B$1005="ENVÍO A SUPESA")*(MOVIMIENTOS!$C$5:$C$1005="A")*(MOVIMIENTOS!$D$5:$D$1005="jabas")*(MOVIMIENTOS!$A$5:$A$1005&lt;&gt;"")*(MOVIMIENTOS!$A$5:$A$1005&lt;=$A620)*MOVIMIENTOS!$E$5:$E$1005)+SUMPRODUCT((MOVIMIENTOS!$B$5:$B$1005="DEVOLUCIÓN")*(MOVIMIENTOS!$C$5:$C$1005="A")*(MOVIMIENTOS!$D$5:$D$1005="jabas")*(MOVIMIENTOS!$A$5:$A$1005&lt;&gt;"")*(MOVIMIENTOS!$A$5:$A$1005&lt;=$A620)*MOVIMIENTOS!$E$5:$E$1005)-SUMPRODUCT((MOVIMIENTOS!$B$5:$B$1005="TRASIEGO")*(MOVIMIENTOS!$C$5:$C$1005="A")*(MOVIMIENTOS!$D$5:$D$1005="jabas")*(MOVIMIENTOS!$A$5:$A$1005&lt;&gt;"")*(MOVIMIENTOS!$A$5:$A$1005&lt;=$A620)*MOVIMIENTOS!$E$5:$E$1005)-SUMPRODUCT((MOVIMIENTOS!$B$5:$B$1005="REGALO")*(MOVIMIENTOS!$C$5:$C$1005="A")*(MOVIMIENTOS!$D$5:$D$1005="jabas")*(MOVIMIENTOS!$A$5:$A$1005&lt;&gt;"")*(MOVIMIENTOS!$A$5:$A$1005&lt;=$A620)*MOVIMIENTOS!$E$5:$E$1005)-SUMPRODUCT((MOVIMIENTOS!$B$5:$B$1005="VENTA")*(MOVIMIENTOS!$C$5:$C$1005="A")*(MOVIMIENTOS!$D$5:$D$1005="jabas")*(MOVIMIENTOS!$A$5:$A$1005&lt;&gt;"")*(MOVIMIENTOS!$A$5:$A$1005&lt;=$A620)*MOVIMIENTOS!$E$5:$E$1005)+SUMPRODUCT((MOVIMIENTOS!$B$5:$B$1005="AJUSTE")*(MOVIMIENTOS!$C$5:$C$1005="A")*(MOVIMIENTOS!$D$5:$D$1005="jabas")*(MOVIMIENTOS!$A$5:$A$1005&lt;&gt;"")*(MOVIMIENTOS!$A$5:$A$1005&lt;=$A620)*MOVIMIENTOS!$E$5:$E$1005))</f>
        <v/>
      </c>
      <c r="C620" t="str">
        <f>IF($A620="","",SUMPRODUCT((MOVIMIENTOS!$B$5:$B$1005="SALDO INICIAL")*(MOVIMIENTOS!$C$5:$C$1005="P")*(MOVIMIENTOS!$D$5:$D$1005="jabas")*(MOVIMIENTOS!$A$5:$A$1005&lt;&gt;"")*(MOVIMIENTOS!$A$5:$A$1005&lt;=$A620)*MOVIMIENTOS!$E$5:$E$1005)+SUMPRODUCT((MOVIMIENTOS!$B$5:$B$1005="PROCESO")*(MOVIMIENTOS!$C$5:$C$1005="P")*(MOVIMIENTOS!$D$5:$D$1005="jabas")*(MOVIMIENTOS!$A$5:$A$1005&lt;&gt;"")*(MOVIMIENTOS!$A$5:$A$1005&lt;=$A620)*MOVIMIENTOS!$E$5:$E$1005)-SUMPRODUCT((MOVIMIENTOS!$B$5:$B$1005="ENVÍO A SUPESA")*(MOVIMIENTOS!$C$5:$C$1005="P")*(MOVIMIENTOS!$D$5:$D$1005="jabas")*(MOVIMIENTOS!$A$5:$A$1005&lt;&gt;"")*(MOVIMIENTOS!$A$5:$A$1005&lt;=$A620)*MOVIMIENTOS!$E$5:$E$1005)+SUMPRODUCT((MOVIMIENTOS!$B$5:$B$1005="DEVOLUCIÓN")*(MOVIMIENTOS!$C$5:$C$1005="P")*(MOVIMIENTOS!$D$5:$D$1005="jabas")*(MOVIMIENTOS!$A$5:$A$1005&lt;&gt;"")*(MOVIMIENTOS!$A$5:$A$1005&lt;=$A620)*MOVIMIENTOS!$E$5:$E$1005)-SUMPRODUCT((MOVIMIENTOS!$B$5:$B$1005="TRASIEGO")*(MOVIMIENTOS!$C$5:$C$1005="P")*(MOVIMIENTOS!$D$5:$D$1005="jabas")*(MOVIMIENTOS!$A$5:$A$1005&lt;&gt;"")*(MOVIMIENTOS!$A$5:$A$1005&lt;=$A620)*MOVIMIENTOS!$E$5:$E$1005)-SUMPRODUCT((MOVIMIENTOS!$B$5:$B$1005="REGALO")*(MOVIMIENTOS!$C$5:$C$1005="P")*(MOVIMIENTOS!$D$5:$D$1005="jabas")*(MOVIMIENTOS!$A$5:$A$1005&lt;&gt;"")*(MOVIMIENTOS!$A$5:$A$1005&lt;=$A620)*MOVIMIENTOS!$E$5:$E$1005)-SUMPRODUCT((MOVIMIENTOS!$B$5:$B$1005="VENTA")*(MOVIMIENTOS!$C$5:$C$1005="P")*(MOVIMIENTOS!$D$5:$D$1005="jabas")*(MOVIMIENTOS!$A$5:$A$1005&lt;&gt;"")*(MOVIMIENTOS!$A$5:$A$1005&lt;=$A620)*MOVIMIENTOS!$E$5:$E$1005)+SUMPRODUCT((MOVIMIENTOS!$B$5:$B$1005="AJUSTE")*(MOVIMIENTOS!$C$5:$C$1005="P")*(MOVIMIENTOS!$D$5:$D$1005="jabas")*(MOVIMIENTOS!$A$5:$A$1005&lt;&gt;"")*(MOVIMIENTOS!$A$5:$A$1005&lt;=$A620)*MOVIMIENTOS!$E$5:$E$1005))</f>
        <v/>
      </c>
      <c r="D620" t="str">
        <f>IF($A620="","",SUMPRODUCT((MOVIMIENTOS!$B$5:$B$1005="SALDO INICIAL")*(MOVIMIENTOS!$C$5:$C$1005="C")*(MOVIMIENTOS!$D$5:$D$1005="jabas")*(MOVIMIENTOS!$A$5:$A$1005&lt;&gt;"")*(MOVIMIENTOS!$A$5:$A$1005&lt;=$A620)*MOVIMIENTOS!$E$5:$E$1005)+SUMPRODUCT((MOVIMIENTOS!$B$5:$B$1005="PROCESO")*(MOVIMIENTOS!$C$5:$C$1005="C")*(MOVIMIENTOS!$D$5:$D$1005="jabas")*(MOVIMIENTOS!$A$5:$A$1005&lt;&gt;"")*(MOVIMIENTOS!$A$5:$A$1005&lt;=$A620)*MOVIMIENTOS!$E$5:$E$1005)-SUMPRODUCT((MOVIMIENTOS!$B$5:$B$1005="ENVÍO A SUPESA")*(MOVIMIENTOS!$C$5:$C$1005="C")*(MOVIMIENTOS!$D$5:$D$1005="jabas")*(MOVIMIENTOS!$A$5:$A$1005&lt;&gt;"")*(MOVIMIENTOS!$A$5:$A$1005&lt;=$A620)*MOVIMIENTOS!$E$5:$E$1005)+SUMPRODUCT((MOVIMIENTOS!$B$5:$B$1005="DEVOLUCIÓN")*(MOVIMIENTOS!$C$5:$C$1005="C")*(MOVIMIENTOS!$D$5:$D$1005="jabas")*(MOVIMIENTOS!$A$5:$A$1005&lt;&gt;"")*(MOVIMIENTOS!$A$5:$A$1005&lt;=$A620)*MOVIMIENTOS!$E$5:$E$1005)-SUMPRODUCT((MOVIMIENTOS!$B$5:$B$1005="TRASIEGO")*(MOVIMIENTOS!$C$5:$C$1005="C")*(MOVIMIENTOS!$D$5:$D$1005="jabas")*(MOVIMIENTOS!$A$5:$A$1005&lt;&gt;"")*(MOVIMIENTOS!$A$5:$A$1005&lt;=$A620)*MOVIMIENTOS!$E$5:$E$1005)-SUMPRODUCT((MOVIMIENTOS!$B$5:$B$1005="REGALO")*(MOVIMIENTOS!$C$5:$C$1005="C")*(MOVIMIENTOS!$D$5:$D$1005="jabas")*(MOVIMIENTOS!$A$5:$A$1005&lt;&gt;"")*(MOVIMIENTOS!$A$5:$A$1005&lt;=$A620)*MOVIMIENTOS!$E$5:$E$1005)-SUMPRODUCT((MOVIMIENTOS!$B$5:$B$1005="VENTA")*(MOVIMIENTOS!$C$5:$C$1005="C")*(MOVIMIENTOS!$D$5:$D$1005="jabas")*(MOVIMIENTOS!$A$5:$A$1005&lt;&gt;"")*(MOVIMIENTOS!$A$5:$A$1005&lt;=$A620)*MOVIMIENTOS!$E$5:$E$1005)+SUMPRODUCT((MOVIMIENTOS!$B$5:$B$1005="AJUSTE")*(MOVIMIENTOS!$C$5:$C$1005="C")*(MOVIMIENTOS!$D$5:$D$1005="jabas")*(MOVIMIENTOS!$A$5:$A$1005&lt;&gt;"")*(MOVIMIENTOS!$A$5:$A$1005&lt;=$A620)*MOVIMIENTOS!$E$5:$E$1005))</f>
        <v/>
      </c>
      <c r="E620" t="str">
        <f>IF($A620="","",SUMPRODUCT((MOVIMIENTOS!$B$5:$B$1005="SALDO INICIAL")*(MOVIMIENTOS!$C$5:$C$1005="M")*(MOVIMIENTOS!$D$5:$D$1005="jabas")*(MOVIMIENTOS!$A$5:$A$1005&lt;&gt;"")*(MOVIMIENTOS!$A$5:$A$1005&lt;=$A620)*MOVIMIENTOS!$E$5:$E$1005)+SUMPRODUCT((MOVIMIENTOS!$B$5:$B$1005="PROCESO")*(MOVIMIENTOS!$C$5:$C$1005="M")*(MOVIMIENTOS!$D$5:$D$1005="jabas")*(MOVIMIENTOS!$A$5:$A$1005&lt;&gt;"")*(MOVIMIENTOS!$A$5:$A$1005&lt;=$A620)*MOVIMIENTOS!$E$5:$E$1005)-SUMPRODUCT((MOVIMIENTOS!$B$5:$B$1005="ENVÍO A SUPESA")*(MOVIMIENTOS!$C$5:$C$1005="M")*(MOVIMIENTOS!$D$5:$D$1005="jabas")*(MOVIMIENTOS!$A$5:$A$1005&lt;&gt;"")*(MOVIMIENTOS!$A$5:$A$1005&lt;=$A620)*MOVIMIENTOS!$E$5:$E$1005)+SUMPRODUCT((MOVIMIENTOS!$B$5:$B$1005="DEVOLUCIÓN")*(MOVIMIENTOS!$C$5:$C$1005="M")*(MOVIMIENTOS!$D$5:$D$1005="jabas")*(MOVIMIENTOS!$A$5:$A$1005&lt;&gt;"")*(MOVIMIENTOS!$A$5:$A$1005&lt;=$A620)*MOVIMIENTOS!$E$5:$E$1005)-SUMPRODUCT((MOVIMIENTOS!$B$5:$B$1005="TRASIEGO")*(MOVIMIENTOS!$C$5:$C$1005="M")*(MOVIMIENTOS!$D$5:$D$1005="jabas")*(MOVIMIENTOS!$A$5:$A$1005&lt;&gt;"")*(MOVIMIENTOS!$A$5:$A$1005&lt;=$A620)*MOVIMIENTOS!$E$5:$E$1005)-SUMPRODUCT((MOVIMIENTOS!$B$5:$B$1005="REGALO")*(MOVIMIENTOS!$C$5:$C$1005="M")*(MOVIMIENTOS!$D$5:$D$1005="jabas")*(MOVIMIENTOS!$A$5:$A$1005&lt;&gt;"")*(MOVIMIENTOS!$A$5:$A$1005&lt;=$A620)*MOVIMIENTOS!$E$5:$E$1005)-SUMPRODUCT((MOVIMIENTOS!$B$5:$B$1005="VENTA")*(MOVIMIENTOS!$C$5:$C$1005="M")*(MOVIMIENTOS!$D$5:$D$1005="jabas")*(MOVIMIENTOS!$A$5:$A$1005&lt;&gt;"")*(MOVIMIENTOS!$A$5:$A$1005&lt;=$A620)*MOVIMIENTOS!$E$5:$E$1005)+SUMPRODUCT((MOVIMIENTOS!$B$5:$B$1005="AJUSTE")*(MOVIMIENTOS!$C$5:$C$1005="M")*(MOVIMIENTOS!$D$5:$D$1005="jabas")*(MOVIMIENTOS!$A$5:$A$1005&lt;&gt;"")*(MOVIMIENTOS!$A$5:$A$1005&lt;=$A620)*MOVIMIENTOS!$E$5:$E$1005))</f>
        <v/>
      </c>
      <c r="F620" s="62" t="str">
        <f>IF($A620="","",SUMPRODUCT((MOVIMIENTOS!$B$5:$B$1005="SALDO INICIAL")*(MOVIMIENTOS!$C$5:$C$1005="Chancho")*(MOVIMIENTOS!$D$5:$D$1005="sacos")*(MOVIMIENTOS!$A$5:$A$1005&lt;&gt;"")*(MOVIMIENTOS!$A$5:$A$1005&lt;=$A620)*MOVIMIENTOS!$E$5:$E$1005)+SUMPRODUCT((MOVIMIENTOS!$B$5:$B$1005="PROCESO")*(MOVIMIENTOS!$C$5:$C$1005="Chancho")*(MOVIMIENTOS!$D$5:$D$1005="sacos")*(MOVIMIENTOS!$A$5:$A$1005&lt;&gt;"")*(MOVIMIENTOS!$A$5:$A$1005&lt;=$A620)*MOVIMIENTOS!$E$5:$E$1005)-SUMPRODUCT((MOVIMIENTOS!$B$5:$B$1005="VENTA CHANCHO")*(MOVIMIENTOS!$C$5:$C$1005="Chancho")*(MOVIMIENTOS!$D$5:$D$1005="sacos")*(MOVIMIENTOS!$A$5:$A$1005&lt;&gt;"")*(MOVIMIENTOS!$A$5:$A$1005&lt;=$A620)*MOVIMIENTOS!$E$5:$E$1005)-SUMPRODUCT((MOVIMIENTOS!$B$5:$B$1005="REGALO")*(MOVIMIENTOS!$C$5:$C$1005="Chancho")*(MOVIMIENTOS!$D$5:$D$1005="sacos")*(MOVIMIENTOS!$A$5:$A$1005&lt;&gt;"")*(MOVIMIENTOS!$A$5:$A$1005&lt;=$A620)*MOVIMIENTOS!$E$5:$E$1005)-SUMPRODUCT((MOVIMIENTOS!$B$5:$B$1005="VENTA")*(MOVIMIENTOS!$C$5:$C$1005="Chancho")*(MOVIMIENTOS!$D$5:$D$1005="sacos")*(MOVIMIENTOS!$A$5:$A$1005&lt;&gt;"")*(MOVIMIENTOS!$A$5:$A$1005&lt;=$A620)*MOVIMIENTOS!$E$5:$E$1005)+SUMPRODUCT((MOVIMIENTOS!$B$5:$B$1005="AJUSTE")*(MOVIMIENTOS!$C$5:$C$1005="Chancho")*(MOVIMIENTOS!$D$5:$D$1005="sacos")*(MOVIMIENTOS!$A$5:$A$1005&lt;&gt;"")*(MOVIMIENTOS!$A$5:$A$1005&lt;=$A620)*MOVIMIENTOS!$E$5:$E$1005))</f>
        <v/>
      </c>
      <c r="G620" s="62" t="str">
        <f t="shared" si="19"/>
        <v/>
      </c>
      <c r="H620" t="str">
        <f>IF($A620="","",SUMPRODUCT((((MOVIMIENTOS!$B$5:$B$1005="SALDO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620)*MOVIMIENTOS!$J$5:$J$1005))</f>
        <v/>
      </c>
      <c r="J620" t="str">
        <f>IF(AND(MOVIMIENTOS!$A625&lt;&gt;"",COUNTIF(MOVIMIENTOS!$A$5:$A624,MOVIMIENTOS!$A625)=0),COUNT(J$4:J619)+1,"")</f>
        <v/>
      </c>
      <c r="K620">
        <f>MOVIMIENTOS!$A625</f>
        <v>0</v>
      </c>
    </row>
    <row r="621" spans="1:11" ht="15" customHeight="1" x14ac:dyDescent="0.2">
      <c r="A621" t="str">
        <f t="shared" si="18"/>
        <v/>
      </c>
      <c r="B621" t="str">
        <f>IF($A621="","",SUMPRODUCT((MOVIMIENTOS!$B$5:$B$1005="SALDO INICIAL")*(MOVIMIENTOS!$C$5:$C$1005="A")*(MOVIMIENTOS!$D$5:$D$1005="jabas")*(MOVIMIENTOS!$A$5:$A$1005&lt;&gt;"")*(MOVIMIENTOS!$A$5:$A$1005&lt;=$A621)*MOVIMIENTOS!$E$5:$E$1005)+SUMPRODUCT((MOVIMIENTOS!$B$5:$B$1005="PROCESO")*(MOVIMIENTOS!$C$5:$C$1005="A")*(MOVIMIENTOS!$D$5:$D$1005="jabas")*(MOVIMIENTOS!$A$5:$A$1005&lt;&gt;"")*(MOVIMIENTOS!$A$5:$A$1005&lt;=$A621)*MOVIMIENTOS!$E$5:$E$1005)-SUMPRODUCT((MOVIMIENTOS!$B$5:$B$1005="ENVÍO A SUPESA")*(MOVIMIENTOS!$C$5:$C$1005="A")*(MOVIMIENTOS!$D$5:$D$1005="jabas")*(MOVIMIENTOS!$A$5:$A$1005&lt;&gt;"")*(MOVIMIENTOS!$A$5:$A$1005&lt;=$A621)*MOVIMIENTOS!$E$5:$E$1005)+SUMPRODUCT((MOVIMIENTOS!$B$5:$B$1005="DEVOLUCIÓN")*(MOVIMIENTOS!$C$5:$C$1005="A")*(MOVIMIENTOS!$D$5:$D$1005="jabas")*(MOVIMIENTOS!$A$5:$A$1005&lt;&gt;"")*(MOVIMIENTOS!$A$5:$A$1005&lt;=$A621)*MOVIMIENTOS!$E$5:$E$1005)-SUMPRODUCT((MOVIMIENTOS!$B$5:$B$1005="TRASIEGO")*(MOVIMIENTOS!$C$5:$C$1005="A")*(MOVIMIENTOS!$D$5:$D$1005="jabas")*(MOVIMIENTOS!$A$5:$A$1005&lt;&gt;"")*(MOVIMIENTOS!$A$5:$A$1005&lt;=$A621)*MOVIMIENTOS!$E$5:$E$1005)-SUMPRODUCT((MOVIMIENTOS!$B$5:$B$1005="REGALO")*(MOVIMIENTOS!$C$5:$C$1005="A")*(MOVIMIENTOS!$D$5:$D$1005="jabas")*(MOVIMIENTOS!$A$5:$A$1005&lt;&gt;"")*(MOVIMIENTOS!$A$5:$A$1005&lt;=$A621)*MOVIMIENTOS!$E$5:$E$1005)-SUMPRODUCT((MOVIMIENTOS!$B$5:$B$1005="VENTA")*(MOVIMIENTOS!$C$5:$C$1005="A")*(MOVIMIENTOS!$D$5:$D$1005="jabas")*(MOVIMIENTOS!$A$5:$A$1005&lt;&gt;"")*(MOVIMIENTOS!$A$5:$A$1005&lt;=$A621)*MOVIMIENTOS!$E$5:$E$1005)+SUMPRODUCT((MOVIMIENTOS!$B$5:$B$1005="AJUSTE")*(MOVIMIENTOS!$C$5:$C$1005="A")*(MOVIMIENTOS!$D$5:$D$1005="jabas")*(MOVIMIENTOS!$A$5:$A$1005&lt;&gt;"")*(MOVIMIENTOS!$A$5:$A$1005&lt;=$A621)*MOVIMIENTOS!$E$5:$E$1005))</f>
        <v/>
      </c>
      <c r="C621" t="str">
        <f>IF($A621="","",SUMPRODUCT((MOVIMIENTOS!$B$5:$B$1005="SALDO INICIAL")*(MOVIMIENTOS!$C$5:$C$1005="P")*(MOVIMIENTOS!$D$5:$D$1005="jabas")*(MOVIMIENTOS!$A$5:$A$1005&lt;&gt;"")*(MOVIMIENTOS!$A$5:$A$1005&lt;=$A621)*MOVIMIENTOS!$E$5:$E$1005)+SUMPRODUCT((MOVIMIENTOS!$B$5:$B$1005="PROCESO")*(MOVIMIENTOS!$C$5:$C$1005="P")*(MOVIMIENTOS!$D$5:$D$1005="jabas")*(MOVIMIENTOS!$A$5:$A$1005&lt;&gt;"")*(MOVIMIENTOS!$A$5:$A$1005&lt;=$A621)*MOVIMIENTOS!$E$5:$E$1005)-SUMPRODUCT((MOVIMIENTOS!$B$5:$B$1005="ENVÍO A SUPESA")*(MOVIMIENTOS!$C$5:$C$1005="P")*(MOVIMIENTOS!$D$5:$D$1005="jabas")*(MOVIMIENTOS!$A$5:$A$1005&lt;&gt;"")*(MOVIMIENTOS!$A$5:$A$1005&lt;=$A621)*MOVIMIENTOS!$E$5:$E$1005)+SUMPRODUCT((MOVIMIENTOS!$B$5:$B$1005="DEVOLUCIÓN")*(MOVIMIENTOS!$C$5:$C$1005="P")*(MOVIMIENTOS!$D$5:$D$1005="jabas")*(MOVIMIENTOS!$A$5:$A$1005&lt;&gt;"")*(MOVIMIENTOS!$A$5:$A$1005&lt;=$A621)*MOVIMIENTOS!$E$5:$E$1005)-SUMPRODUCT((MOVIMIENTOS!$B$5:$B$1005="TRASIEGO")*(MOVIMIENTOS!$C$5:$C$1005="P")*(MOVIMIENTOS!$D$5:$D$1005="jabas")*(MOVIMIENTOS!$A$5:$A$1005&lt;&gt;"")*(MOVIMIENTOS!$A$5:$A$1005&lt;=$A621)*MOVIMIENTOS!$E$5:$E$1005)-SUMPRODUCT((MOVIMIENTOS!$B$5:$B$1005="REGALO")*(MOVIMIENTOS!$C$5:$C$1005="P")*(MOVIMIENTOS!$D$5:$D$1005="jabas")*(MOVIMIENTOS!$A$5:$A$1005&lt;&gt;"")*(MOVIMIENTOS!$A$5:$A$1005&lt;=$A621)*MOVIMIENTOS!$E$5:$E$1005)-SUMPRODUCT((MOVIMIENTOS!$B$5:$B$1005="VENTA")*(MOVIMIENTOS!$C$5:$C$1005="P")*(MOVIMIENTOS!$D$5:$D$1005="jabas")*(MOVIMIENTOS!$A$5:$A$1005&lt;&gt;"")*(MOVIMIENTOS!$A$5:$A$1005&lt;=$A621)*MOVIMIENTOS!$E$5:$E$1005)+SUMPRODUCT((MOVIMIENTOS!$B$5:$B$1005="AJUSTE")*(MOVIMIENTOS!$C$5:$C$1005="P")*(MOVIMIENTOS!$D$5:$D$1005="jabas")*(MOVIMIENTOS!$A$5:$A$1005&lt;&gt;"")*(MOVIMIENTOS!$A$5:$A$1005&lt;=$A621)*MOVIMIENTOS!$E$5:$E$1005))</f>
        <v/>
      </c>
      <c r="D621" t="str">
        <f>IF($A621="","",SUMPRODUCT((MOVIMIENTOS!$B$5:$B$1005="SALDO INICIAL")*(MOVIMIENTOS!$C$5:$C$1005="C")*(MOVIMIENTOS!$D$5:$D$1005="jabas")*(MOVIMIENTOS!$A$5:$A$1005&lt;&gt;"")*(MOVIMIENTOS!$A$5:$A$1005&lt;=$A621)*MOVIMIENTOS!$E$5:$E$1005)+SUMPRODUCT((MOVIMIENTOS!$B$5:$B$1005="PROCESO")*(MOVIMIENTOS!$C$5:$C$1005="C")*(MOVIMIENTOS!$D$5:$D$1005="jabas")*(MOVIMIENTOS!$A$5:$A$1005&lt;&gt;"")*(MOVIMIENTOS!$A$5:$A$1005&lt;=$A621)*MOVIMIENTOS!$E$5:$E$1005)-SUMPRODUCT((MOVIMIENTOS!$B$5:$B$1005="ENVÍO A SUPESA")*(MOVIMIENTOS!$C$5:$C$1005="C")*(MOVIMIENTOS!$D$5:$D$1005="jabas")*(MOVIMIENTOS!$A$5:$A$1005&lt;&gt;"")*(MOVIMIENTOS!$A$5:$A$1005&lt;=$A621)*MOVIMIENTOS!$E$5:$E$1005)+SUMPRODUCT((MOVIMIENTOS!$B$5:$B$1005="DEVOLUCIÓN")*(MOVIMIENTOS!$C$5:$C$1005="C")*(MOVIMIENTOS!$D$5:$D$1005="jabas")*(MOVIMIENTOS!$A$5:$A$1005&lt;&gt;"")*(MOVIMIENTOS!$A$5:$A$1005&lt;=$A621)*MOVIMIENTOS!$E$5:$E$1005)-SUMPRODUCT((MOVIMIENTOS!$B$5:$B$1005="TRASIEGO")*(MOVIMIENTOS!$C$5:$C$1005="C")*(MOVIMIENTOS!$D$5:$D$1005="jabas")*(MOVIMIENTOS!$A$5:$A$1005&lt;&gt;"")*(MOVIMIENTOS!$A$5:$A$1005&lt;=$A621)*MOVIMIENTOS!$E$5:$E$1005)-SUMPRODUCT((MOVIMIENTOS!$B$5:$B$1005="REGALO")*(MOVIMIENTOS!$C$5:$C$1005="C")*(MOVIMIENTOS!$D$5:$D$1005="jabas")*(MOVIMIENTOS!$A$5:$A$1005&lt;&gt;"")*(MOVIMIENTOS!$A$5:$A$1005&lt;=$A621)*MOVIMIENTOS!$E$5:$E$1005)-SUMPRODUCT((MOVIMIENTOS!$B$5:$B$1005="VENTA")*(MOVIMIENTOS!$C$5:$C$1005="C")*(MOVIMIENTOS!$D$5:$D$1005="jabas")*(MOVIMIENTOS!$A$5:$A$1005&lt;&gt;"")*(MOVIMIENTOS!$A$5:$A$1005&lt;=$A621)*MOVIMIENTOS!$E$5:$E$1005)+SUMPRODUCT((MOVIMIENTOS!$B$5:$B$1005="AJUSTE")*(MOVIMIENTOS!$C$5:$C$1005="C")*(MOVIMIENTOS!$D$5:$D$1005="jabas")*(MOVIMIENTOS!$A$5:$A$1005&lt;&gt;"")*(MOVIMIENTOS!$A$5:$A$1005&lt;=$A621)*MOVIMIENTOS!$E$5:$E$1005))</f>
        <v/>
      </c>
      <c r="E621" t="str">
        <f>IF($A621="","",SUMPRODUCT((MOVIMIENTOS!$B$5:$B$1005="SALDO INICIAL")*(MOVIMIENTOS!$C$5:$C$1005="M")*(MOVIMIENTOS!$D$5:$D$1005="jabas")*(MOVIMIENTOS!$A$5:$A$1005&lt;&gt;"")*(MOVIMIENTOS!$A$5:$A$1005&lt;=$A621)*MOVIMIENTOS!$E$5:$E$1005)+SUMPRODUCT((MOVIMIENTOS!$B$5:$B$1005="PROCESO")*(MOVIMIENTOS!$C$5:$C$1005="M")*(MOVIMIENTOS!$D$5:$D$1005="jabas")*(MOVIMIENTOS!$A$5:$A$1005&lt;&gt;"")*(MOVIMIENTOS!$A$5:$A$1005&lt;=$A621)*MOVIMIENTOS!$E$5:$E$1005)-SUMPRODUCT((MOVIMIENTOS!$B$5:$B$1005="ENVÍO A SUPESA")*(MOVIMIENTOS!$C$5:$C$1005="M")*(MOVIMIENTOS!$D$5:$D$1005="jabas")*(MOVIMIENTOS!$A$5:$A$1005&lt;&gt;"")*(MOVIMIENTOS!$A$5:$A$1005&lt;=$A621)*MOVIMIENTOS!$E$5:$E$1005)+SUMPRODUCT((MOVIMIENTOS!$B$5:$B$1005="DEVOLUCIÓN")*(MOVIMIENTOS!$C$5:$C$1005="M")*(MOVIMIENTOS!$D$5:$D$1005="jabas")*(MOVIMIENTOS!$A$5:$A$1005&lt;&gt;"")*(MOVIMIENTOS!$A$5:$A$1005&lt;=$A621)*MOVIMIENTOS!$E$5:$E$1005)-SUMPRODUCT((MOVIMIENTOS!$B$5:$B$1005="TRASIEGO")*(MOVIMIENTOS!$C$5:$C$1005="M")*(MOVIMIENTOS!$D$5:$D$1005="jabas")*(MOVIMIENTOS!$A$5:$A$1005&lt;&gt;"")*(MOVIMIENTOS!$A$5:$A$1005&lt;=$A621)*MOVIMIENTOS!$E$5:$E$1005)-SUMPRODUCT((MOVIMIENTOS!$B$5:$B$1005="REGALO")*(MOVIMIENTOS!$C$5:$C$1005="M")*(MOVIMIENTOS!$D$5:$D$1005="jabas")*(MOVIMIENTOS!$A$5:$A$1005&lt;&gt;"")*(MOVIMIENTOS!$A$5:$A$1005&lt;=$A621)*MOVIMIENTOS!$E$5:$E$1005)-SUMPRODUCT((MOVIMIENTOS!$B$5:$B$1005="VENTA")*(MOVIMIENTOS!$C$5:$C$1005="M")*(MOVIMIENTOS!$D$5:$D$1005="jabas")*(MOVIMIENTOS!$A$5:$A$1005&lt;&gt;"")*(MOVIMIENTOS!$A$5:$A$1005&lt;=$A621)*MOVIMIENTOS!$E$5:$E$1005)+SUMPRODUCT((MOVIMIENTOS!$B$5:$B$1005="AJUSTE")*(MOVIMIENTOS!$C$5:$C$1005="M")*(MOVIMIENTOS!$D$5:$D$1005="jabas")*(MOVIMIENTOS!$A$5:$A$1005&lt;&gt;"")*(MOVIMIENTOS!$A$5:$A$1005&lt;=$A621)*MOVIMIENTOS!$E$5:$E$1005))</f>
        <v/>
      </c>
      <c r="F621" s="62" t="str">
        <f>IF($A621="","",SUMPRODUCT((MOVIMIENTOS!$B$5:$B$1005="SALDO INICIAL")*(MOVIMIENTOS!$C$5:$C$1005="Chancho")*(MOVIMIENTOS!$D$5:$D$1005="sacos")*(MOVIMIENTOS!$A$5:$A$1005&lt;&gt;"")*(MOVIMIENTOS!$A$5:$A$1005&lt;=$A621)*MOVIMIENTOS!$E$5:$E$1005)+SUMPRODUCT((MOVIMIENTOS!$B$5:$B$1005="PROCESO")*(MOVIMIENTOS!$C$5:$C$1005="Chancho")*(MOVIMIENTOS!$D$5:$D$1005="sacos")*(MOVIMIENTOS!$A$5:$A$1005&lt;&gt;"")*(MOVIMIENTOS!$A$5:$A$1005&lt;=$A621)*MOVIMIENTOS!$E$5:$E$1005)-SUMPRODUCT((MOVIMIENTOS!$B$5:$B$1005="VENTA CHANCHO")*(MOVIMIENTOS!$C$5:$C$1005="Chancho")*(MOVIMIENTOS!$D$5:$D$1005="sacos")*(MOVIMIENTOS!$A$5:$A$1005&lt;&gt;"")*(MOVIMIENTOS!$A$5:$A$1005&lt;=$A621)*MOVIMIENTOS!$E$5:$E$1005)-SUMPRODUCT((MOVIMIENTOS!$B$5:$B$1005="REGALO")*(MOVIMIENTOS!$C$5:$C$1005="Chancho")*(MOVIMIENTOS!$D$5:$D$1005="sacos")*(MOVIMIENTOS!$A$5:$A$1005&lt;&gt;"")*(MOVIMIENTOS!$A$5:$A$1005&lt;=$A621)*MOVIMIENTOS!$E$5:$E$1005)-SUMPRODUCT((MOVIMIENTOS!$B$5:$B$1005="VENTA")*(MOVIMIENTOS!$C$5:$C$1005="Chancho")*(MOVIMIENTOS!$D$5:$D$1005="sacos")*(MOVIMIENTOS!$A$5:$A$1005&lt;&gt;"")*(MOVIMIENTOS!$A$5:$A$1005&lt;=$A621)*MOVIMIENTOS!$E$5:$E$1005)+SUMPRODUCT((MOVIMIENTOS!$B$5:$B$1005="AJUSTE")*(MOVIMIENTOS!$C$5:$C$1005="Chancho")*(MOVIMIENTOS!$D$5:$D$1005="sacos")*(MOVIMIENTOS!$A$5:$A$1005&lt;&gt;"")*(MOVIMIENTOS!$A$5:$A$1005&lt;=$A621)*MOVIMIENTOS!$E$5:$E$1005))</f>
        <v/>
      </c>
      <c r="G621" s="62" t="str">
        <f t="shared" si="19"/>
        <v/>
      </c>
      <c r="H621" t="str">
        <f>IF($A621="","",SUMPRODUCT((((MOVIMIENTOS!$B$5:$B$1005="SALDO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621)*MOVIMIENTOS!$J$5:$J$1005))</f>
        <v/>
      </c>
      <c r="J621" t="str">
        <f>IF(AND(MOVIMIENTOS!$A626&lt;&gt;"",COUNTIF(MOVIMIENTOS!$A$5:$A625,MOVIMIENTOS!$A626)=0),COUNT(J$4:J620)+1,"")</f>
        <v/>
      </c>
      <c r="K621">
        <f>MOVIMIENTOS!$A626</f>
        <v>0</v>
      </c>
    </row>
    <row r="622" spans="1:11" ht="15" customHeight="1" x14ac:dyDescent="0.2">
      <c r="A622" t="str">
        <f t="shared" si="18"/>
        <v/>
      </c>
      <c r="B622" t="str">
        <f>IF($A622="","",SUMPRODUCT((MOVIMIENTOS!$B$5:$B$1005="SALDO INICIAL")*(MOVIMIENTOS!$C$5:$C$1005="A")*(MOVIMIENTOS!$D$5:$D$1005="jabas")*(MOVIMIENTOS!$A$5:$A$1005&lt;&gt;"")*(MOVIMIENTOS!$A$5:$A$1005&lt;=$A622)*MOVIMIENTOS!$E$5:$E$1005)+SUMPRODUCT((MOVIMIENTOS!$B$5:$B$1005="PROCESO")*(MOVIMIENTOS!$C$5:$C$1005="A")*(MOVIMIENTOS!$D$5:$D$1005="jabas")*(MOVIMIENTOS!$A$5:$A$1005&lt;&gt;"")*(MOVIMIENTOS!$A$5:$A$1005&lt;=$A622)*MOVIMIENTOS!$E$5:$E$1005)-SUMPRODUCT((MOVIMIENTOS!$B$5:$B$1005="ENVÍO A SUPESA")*(MOVIMIENTOS!$C$5:$C$1005="A")*(MOVIMIENTOS!$D$5:$D$1005="jabas")*(MOVIMIENTOS!$A$5:$A$1005&lt;&gt;"")*(MOVIMIENTOS!$A$5:$A$1005&lt;=$A622)*MOVIMIENTOS!$E$5:$E$1005)+SUMPRODUCT((MOVIMIENTOS!$B$5:$B$1005="DEVOLUCIÓN")*(MOVIMIENTOS!$C$5:$C$1005="A")*(MOVIMIENTOS!$D$5:$D$1005="jabas")*(MOVIMIENTOS!$A$5:$A$1005&lt;&gt;"")*(MOVIMIENTOS!$A$5:$A$1005&lt;=$A622)*MOVIMIENTOS!$E$5:$E$1005)-SUMPRODUCT((MOVIMIENTOS!$B$5:$B$1005="TRASIEGO")*(MOVIMIENTOS!$C$5:$C$1005="A")*(MOVIMIENTOS!$D$5:$D$1005="jabas")*(MOVIMIENTOS!$A$5:$A$1005&lt;&gt;"")*(MOVIMIENTOS!$A$5:$A$1005&lt;=$A622)*MOVIMIENTOS!$E$5:$E$1005)-SUMPRODUCT((MOVIMIENTOS!$B$5:$B$1005="REGALO")*(MOVIMIENTOS!$C$5:$C$1005="A")*(MOVIMIENTOS!$D$5:$D$1005="jabas")*(MOVIMIENTOS!$A$5:$A$1005&lt;&gt;"")*(MOVIMIENTOS!$A$5:$A$1005&lt;=$A622)*MOVIMIENTOS!$E$5:$E$1005)-SUMPRODUCT((MOVIMIENTOS!$B$5:$B$1005="VENTA")*(MOVIMIENTOS!$C$5:$C$1005="A")*(MOVIMIENTOS!$D$5:$D$1005="jabas")*(MOVIMIENTOS!$A$5:$A$1005&lt;&gt;"")*(MOVIMIENTOS!$A$5:$A$1005&lt;=$A622)*MOVIMIENTOS!$E$5:$E$1005)+SUMPRODUCT((MOVIMIENTOS!$B$5:$B$1005="AJUSTE")*(MOVIMIENTOS!$C$5:$C$1005="A")*(MOVIMIENTOS!$D$5:$D$1005="jabas")*(MOVIMIENTOS!$A$5:$A$1005&lt;&gt;"")*(MOVIMIENTOS!$A$5:$A$1005&lt;=$A622)*MOVIMIENTOS!$E$5:$E$1005))</f>
        <v/>
      </c>
      <c r="C622" t="str">
        <f>IF($A622="","",SUMPRODUCT((MOVIMIENTOS!$B$5:$B$1005="SALDO INICIAL")*(MOVIMIENTOS!$C$5:$C$1005="P")*(MOVIMIENTOS!$D$5:$D$1005="jabas")*(MOVIMIENTOS!$A$5:$A$1005&lt;&gt;"")*(MOVIMIENTOS!$A$5:$A$1005&lt;=$A622)*MOVIMIENTOS!$E$5:$E$1005)+SUMPRODUCT((MOVIMIENTOS!$B$5:$B$1005="PROCESO")*(MOVIMIENTOS!$C$5:$C$1005="P")*(MOVIMIENTOS!$D$5:$D$1005="jabas")*(MOVIMIENTOS!$A$5:$A$1005&lt;&gt;"")*(MOVIMIENTOS!$A$5:$A$1005&lt;=$A622)*MOVIMIENTOS!$E$5:$E$1005)-SUMPRODUCT((MOVIMIENTOS!$B$5:$B$1005="ENVÍO A SUPESA")*(MOVIMIENTOS!$C$5:$C$1005="P")*(MOVIMIENTOS!$D$5:$D$1005="jabas")*(MOVIMIENTOS!$A$5:$A$1005&lt;&gt;"")*(MOVIMIENTOS!$A$5:$A$1005&lt;=$A622)*MOVIMIENTOS!$E$5:$E$1005)+SUMPRODUCT((MOVIMIENTOS!$B$5:$B$1005="DEVOLUCIÓN")*(MOVIMIENTOS!$C$5:$C$1005="P")*(MOVIMIENTOS!$D$5:$D$1005="jabas")*(MOVIMIENTOS!$A$5:$A$1005&lt;&gt;"")*(MOVIMIENTOS!$A$5:$A$1005&lt;=$A622)*MOVIMIENTOS!$E$5:$E$1005)-SUMPRODUCT((MOVIMIENTOS!$B$5:$B$1005="TRASIEGO")*(MOVIMIENTOS!$C$5:$C$1005="P")*(MOVIMIENTOS!$D$5:$D$1005="jabas")*(MOVIMIENTOS!$A$5:$A$1005&lt;&gt;"")*(MOVIMIENTOS!$A$5:$A$1005&lt;=$A622)*MOVIMIENTOS!$E$5:$E$1005)-SUMPRODUCT((MOVIMIENTOS!$B$5:$B$1005="REGALO")*(MOVIMIENTOS!$C$5:$C$1005="P")*(MOVIMIENTOS!$D$5:$D$1005="jabas")*(MOVIMIENTOS!$A$5:$A$1005&lt;&gt;"")*(MOVIMIENTOS!$A$5:$A$1005&lt;=$A622)*MOVIMIENTOS!$E$5:$E$1005)-SUMPRODUCT((MOVIMIENTOS!$B$5:$B$1005="VENTA")*(MOVIMIENTOS!$C$5:$C$1005="P")*(MOVIMIENTOS!$D$5:$D$1005="jabas")*(MOVIMIENTOS!$A$5:$A$1005&lt;&gt;"")*(MOVIMIENTOS!$A$5:$A$1005&lt;=$A622)*MOVIMIENTOS!$E$5:$E$1005)+SUMPRODUCT((MOVIMIENTOS!$B$5:$B$1005="AJUSTE")*(MOVIMIENTOS!$C$5:$C$1005="P")*(MOVIMIENTOS!$D$5:$D$1005="jabas")*(MOVIMIENTOS!$A$5:$A$1005&lt;&gt;"")*(MOVIMIENTOS!$A$5:$A$1005&lt;=$A622)*MOVIMIENTOS!$E$5:$E$1005))</f>
        <v/>
      </c>
      <c r="D622" t="str">
        <f>IF($A622="","",SUMPRODUCT((MOVIMIENTOS!$B$5:$B$1005="SALDO INICIAL")*(MOVIMIENTOS!$C$5:$C$1005="C")*(MOVIMIENTOS!$D$5:$D$1005="jabas")*(MOVIMIENTOS!$A$5:$A$1005&lt;&gt;"")*(MOVIMIENTOS!$A$5:$A$1005&lt;=$A622)*MOVIMIENTOS!$E$5:$E$1005)+SUMPRODUCT((MOVIMIENTOS!$B$5:$B$1005="PROCESO")*(MOVIMIENTOS!$C$5:$C$1005="C")*(MOVIMIENTOS!$D$5:$D$1005="jabas")*(MOVIMIENTOS!$A$5:$A$1005&lt;&gt;"")*(MOVIMIENTOS!$A$5:$A$1005&lt;=$A622)*MOVIMIENTOS!$E$5:$E$1005)-SUMPRODUCT((MOVIMIENTOS!$B$5:$B$1005="ENVÍO A SUPESA")*(MOVIMIENTOS!$C$5:$C$1005="C")*(MOVIMIENTOS!$D$5:$D$1005="jabas")*(MOVIMIENTOS!$A$5:$A$1005&lt;&gt;"")*(MOVIMIENTOS!$A$5:$A$1005&lt;=$A622)*MOVIMIENTOS!$E$5:$E$1005)+SUMPRODUCT((MOVIMIENTOS!$B$5:$B$1005="DEVOLUCIÓN")*(MOVIMIENTOS!$C$5:$C$1005="C")*(MOVIMIENTOS!$D$5:$D$1005="jabas")*(MOVIMIENTOS!$A$5:$A$1005&lt;&gt;"")*(MOVIMIENTOS!$A$5:$A$1005&lt;=$A622)*MOVIMIENTOS!$E$5:$E$1005)-SUMPRODUCT((MOVIMIENTOS!$B$5:$B$1005="TRASIEGO")*(MOVIMIENTOS!$C$5:$C$1005="C")*(MOVIMIENTOS!$D$5:$D$1005="jabas")*(MOVIMIENTOS!$A$5:$A$1005&lt;&gt;"")*(MOVIMIENTOS!$A$5:$A$1005&lt;=$A622)*MOVIMIENTOS!$E$5:$E$1005)-SUMPRODUCT((MOVIMIENTOS!$B$5:$B$1005="REGALO")*(MOVIMIENTOS!$C$5:$C$1005="C")*(MOVIMIENTOS!$D$5:$D$1005="jabas")*(MOVIMIENTOS!$A$5:$A$1005&lt;&gt;"")*(MOVIMIENTOS!$A$5:$A$1005&lt;=$A622)*MOVIMIENTOS!$E$5:$E$1005)-SUMPRODUCT((MOVIMIENTOS!$B$5:$B$1005="VENTA")*(MOVIMIENTOS!$C$5:$C$1005="C")*(MOVIMIENTOS!$D$5:$D$1005="jabas")*(MOVIMIENTOS!$A$5:$A$1005&lt;&gt;"")*(MOVIMIENTOS!$A$5:$A$1005&lt;=$A622)*MOVIMIENTOS!$E$5:$E$1005)+SUMPRODUCT((MOVIMIENTOS!$B$5:$B$1005="AJUSTE")*(MOVIMIENTOS!$C$5:$C$1005="C")*(MOVIMIENTOS!$D$5:$D$1005="jabas")*(MOVIMIENTOS!$A$5:$A$1005&lt;&gt;"")*(MOVIMIENTOS!$A$5:$A$1005&lt;=$A622)*MOVIMIENTOS!$E$5:$E$1005))</f>
        <v/>
      </c>
      <c r="E622" t="str">
        <f>IF($A622="","",SUMPRODUCT((MOVIMIENTOS!$B$5:$B$1005="SALDO INICIAL")*(MOVIMIENTOS!$C$5:$C$1005="M")*(MOVIMIENTOS!$D$5:$D$1005="jabas")*(MOVIMIENTOS!$A$5:$A$1005&lt;&gt;"")*(MOVIMIENTOS!$A$5:$A$1005&lt;=$A622)*MOVIMIENTOS!$E$5:$E$1005)+SUMPRODUCT((MOVIMIENTOS!$B$5:$B$1005="PROCESO")*(MOVIMIENTOS!$C$5:$C$1005="M")*(MOVIMIENTOS!$D$5:$D$1005="jabas")*(MOVIMIENTOS!$A$5:$A$1005&lt;&gt;"")*(MOVIMIENTOS!$A$5:$A$1005&lt;=$A622)*MOVIMIENTOS!$E$5:$E$1005)-SUMPRODUCT((MOVIMIENTOS!$B$5:$B$1005="ENVÍO A SUPESA")*(MOVIMIENTOS!$C$5:$C$1005="M")*(MOVIMIENTOS!$D$5:$D$1005="jabas")*(MOVIMIENTOS!$A$5:$A$1005&lt;&gt;"")*(MOVIMIENTOS!$A$5:$A$1005&lt;=$A622)*MOVIMIENTOS!$E$5:$E$1005)+SUMPRODUCT((MOVIMIENTOS!$B$5:$B$1005="DEVOLUCIÓN")*(MOVIMIENTOS!$C$5:$C$1005="M")*(MOVIMIENTOS!$D$5:$D$1005="jabas")*(MOVIMIENTOS!$A$5:$A$1005&lt;&gt;"")*(MOVIMIENTOS!$A$5:$A$1005&lt;=$A622)*MOVIMIENTOS!$E$5:$E$1005)-SUMPRODUCT((MOVIMIENTOS!$B$5:$B$1005="TRASIEGO")*(MOVIMIENTOS!$C$5:$C$1005="M")*(MOVIMIENTOS!$D$5:$D$1005="jabas")*(MOVIMIENTOS!$A$5:$A$1005&lt;&gt;"")*(MOVIMIENTOS!$A$5:$A$1005&lt;=$A622)*MOVIMIENTOS!$E$5:$E$1005)-SUMPRODUCT((MOVIMIENTOS!$B$5:$B$1005="REGALO")*(MOVIMIENTOS!$C$5:$C$1005="M")*(MOVIMIENTOS!$D$5:$D$1005="jabas")*(MOVIMIENTOS!$A$5:$A$1005&lt;&gt;"")*(MOVIMIENTOS!$A$5:$A$1005&lt;=$A622)*MOVIMIENTOS!$E$5:$E$1005)-SUMPRODUCT((MOVIMIENTOS!$B$5:$B$1005="VENTA")*(MOVIMIENTOS!$C$5:$C$1005="M")*(MOVIMIENTOS!$D$5:$D$1005="jabas")*(MOVIMIENTOS!$A$5:$A$1005&lt;&gt;"")*(MOVIMIENTOS!$A$5:$A$1005&lt;=$A622)*MOVIMIENTOS!$E$5:$E$1005)+SUMPRODUCT((MOVIMIENTOS!$B$5:$B$1005="AJUSTE")*(MOVIMIENTOS!$C$5:$C$1005="M")*(MOVIMIENTOS!$D$5:$D$1005="jabas")*(MOVIMIENTOS!$A$5:$A$1005&lt;&gt;"")*(MOVIMIENTOS!$A$5:$A$1005&lt;=$A622)*MOVIMIENTOS!$E$5:$E$1005))</f>
        <v/>
      </c>
      <c r="F622" s="62" t="str">
        <f>IF($A622="","",SUMPRODUCT((MOVIMIENTOS!$B$5:$B$1005="SALDO INICIAL")*(MOVIMIENTOS!$C$5:$C$1005="Chancho")*(MOVIMIENTOS!$D$5:$D$1005="sacos")*(MOVIMIENTOS!$A$5:$A$1005&lt;&gt;"")*(MOVIMIENTOS!$A$5:$A$1005&lt;=$A622)*MOVIMIENTOS!$E$5:$E$1005)+SUMPRODUCT((MOVIMIENTOS!$B$5:$B$1005="PROCESO")*(MOVIMIENTOS!$C$5:$C$1005="Chancho")*(MOVIMIENTOS!$D$5:$D$1005="sacos")*(MOVIMIENTOS!$A$5:$A$1005&lt;&gt;"")*(MOVIMIENTOS!$A$5:$A$1005&lt;=$A622)*MOVIMIENTOS!$E$5:$E$1005)-SUMPRODUCT((MOVIMIENTOS!$B$5:$B$1005="VENTA CHANCHO")*(MOVIMIENTOS!$C$5:$C$1005="Chancho")*(MOVIMIENTOS!$D$5:$D$1005="sacos")*(MOVIMIENTOS!$A$5:$A$1005&lt;&gt;"")*(MOVIMIENTOS!$A$5:$A$1005&lt;=$A622)*MOVIMIENTOS!$E$5:$E$1005)-SUMPRODUCT((MOVIMIENTOS!$B$5:$B$1005="REGALO")*(MOVIMIENTOS!$C$5:$C$1005="Chancho")*(MOVIMIENTOS!$D$5:$D$1005="sacos")*(MOVIMIENTOS!$A$5:$A$1005&lt;&gt;"")*(MOVIMIENTOS!$A$5:$A$1005&lt;=$A622)*MOVIMIENTOS!$E$5:$E$1005)-SUMPRODUCT((MOVIMIENTOS!$B$5:$B$1005="VENTA")*(MOVIMIENTOS!$C$5:$C$1005="Chancho")*(MOVIMIENTOS!$D$5:$D$1005="sacos")*(MOVIMIENTOS!$A$5:$A$1005&lt;&gt;"")*(MOVIMIENTOS!$A$5:$A$1005&lt;=$A622)*MOVIMIENTOS!$E$5:$E$1005)+SUMPRODUCT((MOVIMIENTOS!$B$5:$B$1005="AJUSTE")*(MOVIMIENTOS!$C$5:$C$1005="Chancho")*(MOVIMIENTOS!$D$5:$D$1005="sacos")*(MOVIMIENTOS!$A$5:$A$1005&lt;&gt;"")*(MOVIMIENTOS!$A$5:$A$1005&lt;=$A622)*MOVIMIENTOS!$E$5:$E$1005))</f>
        <v/>
      </c>
      <c r="G622" s="62" t="str">
        <f t="shared" si="19"/>
        <v/>
      </c>
      <c r="H622" t="str">
        <f>IF($A622="","",SUMPRODUCT((((MOVIMIENTOS!$B$5:$B$1005="SALDO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622)*MOVIMIENTOS!$J$5:$J$1005))</f>
        <v/>
      </c>
      <c r="J622" t="str">
        <f>IF(AND(MOVIMIENTOS!$A627&lt;&gt;"",COUNTIF(MOVIMIENTOS!$A$5:$A626,MOVIMIENTOS!$A627)=0),COUNT(J$4:J621)+1,"")</f>
        <v/>
      </c>
      <c r="K622">
        <f>MOVIMIENTOS!$A627</f>
        <v>0</v>
      </c>
    </row>
    <row r="623" spans="1:11" ht="15" customHeight="1" x14ac:dyDescent="0.2">
      <c r="A623" t="str">
        <f t="shared" si="18"/>
        <v/>
      </c>
      <c r="B623" t="str">
        <f>IF($A623="","",SUMPRODUCT((MOVIMIENTOS!$B$5:$B$1005="SALDO INICIAL")*(MOVIMIENTOS!$C$5:$C$1005="A")*(MOVIMIENTOS!$D$5:$D$1005="jabas")*(MOVIMIENTOS!$A$5:$A$1005&lt;&gt;"")*(MOVIMIENTOS!$A$5:$A$1005&lt;=$A623)*MOVIMIENTOS!$E$5:$E$1005)+SUMPRODUCT((MOVIMIENTOS!$B$5:$B$1005="PROCESO")*(MOVIMIENTOS!$C$5:$C$1005="A")*(MOVIMIENTOS!$D$5:$D$1005="jabas")*(MOVIMIENTOS!$A$5:$A$1005&lt;&gt;"")*(MOVIMIENTOS!$A$5:$A$1005&lt;=$A623)*MOVIMIENTOS!$E$5:$E$1005)-SUMPRODUCT((MOVIMIENTOS!$B$5:$B$1005="ENVÍO A SUPESA")*(MOVIMIENTOS!$C$5:$C$1005="A")*(MOVIMIENTOS!$D$5:$D$1005="jabas")*(MOVIMIENTOS!$A$5:$A$1005&lt;&gt;"")*(MOVIMIENTOS!$A$5:$A$1005&lt;=$A623)*MOVIMIENTOS!$E$5:$E$1005)+SUMPRODUCT((MOVIMIENTOS!$B$5:$B$1005="DEVOLUCIÓN")*(MOVIMIENTOS!$C$5:$C$1005="A")*(MOVIMIENTOS!$D$5:$D$1005="jabas")*(MOVIMIENTOS!$A$5:$A$1005&lt;&gt;"")*(MOVIMIENTOS!$A$5:$A$1005&lt;=$A623)*MOVIMIENTOS!$E$5:$E$1005)-SUMPRODUCT((MOVIMIENTOS!$B$5:$B$1005="TRASIEGO")*(MOVIMIENTOS!$C$5:$C$1005="A")*(MOVIMIENTOS!$D$5:$D$1005="jabas")*(MOVIMIENTOS!$A$5:$A$1005&lt;&gt;"")*(MOVIMIENTOS!$A$5:$A$1005&lt;=$A623)*MOVIMIENTOS!$E$5:$E$1005)-SUMPRODUCT((MOVIMIENTOS!$B$5:$B$1005="REGALO")*(MOVIMIENTOS!$C$5:$C$1005="A")*(MOVIMIENTOS!$D$5:$D$1005="jabas")*(MOVIMIENTOS!$A$5:$A$1005&lt;&gt;"")*(MOVIMIENTOS!$A$5:$A$1005&lt;=$A623)*MOVIMIENTOS!$E$5:$E$1005)-SUMPRODUCT((MOVIMIENTOS!$B$5:$B$1005="VENTA")*(MOVIMIENTOS!$C$5:$C$1005="A")*(MOVIMIENTOS!$D$5:$D$1005="jabas")*(MOVIMIENTOS!$A$5:$A$1005&lt;&gt;"")*(MOVIMIENTOS!$A$5:$A$1005&lt;=$A623)*MOVIMIENTOS!$E$5:$E$1005)+SUMPRODUCT((MOVIMIENTOS!$B$5:$B$1005="AJUSTE")*(MOVIMIENTOS!$C$5:$C$1005="A")*(MOVIMIENTOS!$D$5:$D$1005="jabas")*(MOVIMIENTOS!$A$5:$A$1005&lt;&gt;"")*(MOVIMIENTOS!$A$5:$A$1005&lt;=$A623)*MOVIMIENTOS!$E$5:$E$1005))</f>
        <v/>
      </c>
      <c r="C623" t="str">
        <f>IF($A623="","",SUMPRODUCT((MOVIMIENTOS!$B$5:$B$1005="SALDO INICIAL")*(MOVIMIENTOS!$C$5:$C$1005="P")*(MOVIMIENTOS!$D$5:$D$1005="jabas")*(MOVIMIENTOS!$A$5:$A$1005&lt;&gt;"")*(MOVIMIENTOS!$A$5:$A$1005&lt;=$A623)*MOVIMIENTOS!$E$5:$E$1005)+SUMPRODUCT((MOVIMIENTOS!$B$5:$B$1005="PROCESO")*(MOVIMIENTOS!$C$5:$C$1005="P")*(MOVIMIENTOS!$D$5:$D$1005="jabas")*(MOVIMIENTOS!$A$5:$A$1005&lt;&gt;"")*(MOVIMIENTOS!$A$5:$A$1005&lt;=$A623)*MOVIMIENTOS!$E$5:$E$1005)-SUMPRODUCT((MOVIMIENTOS!$B$5:$B$1005="ENVÍO A SUPESA")*(MOVIMIENTOS!$C$5:$C$1005="P")*(MOVIMIENTOS!$D$5:$D$1005="jabas")*(MOVIMIENTOS!$A$5:$A$1005&lt;&gt;"")*(MOVIMIENTOS!$A$5:$A$1005&lt;=$A623)*MOVIMIENTOS!$E$5:$E$1005)+SUMPRODUCT((MOVIMIENTOS!$B$5:$B$1005="DEVOLUCIÓN")*(MOVIMIENTOS!$C$5:$C$1005="P")*(MOVIMIENTOS!$D$5:$D$1005="jabas")*(MOVIMIENTOS!$A$5:$A$1005&lt;&gt;"")*(MOVIMIENTOS!$A$5:$A$1005&lt;=$A623)*MOVIMIENTOS!$E$5:$E$1005)-SUMPRODUCT((MOVIMIENTOS!$B$5:$B$1005="TRASIEGO")*(MOVIMIENTOS!$C$5:$C$1005="P")*(MOVIMIENTOS!$D$5:$D$1005="jabas")*(MOVIMIENTOS!$A$5:$A$1005&lt;&gt;"")*(MOVIMIENTOS!$A$5:$A$1005&lt;=$A623)*MOVIMIENTOS!$E$5:$E$1005)-SUMPRODUCT((MOVIMIENTOS!$B$5:$B$1005="REGALO")*(MOVIMIENTOS!$C$5:$C$1005="P")*(MOVIMIENTOS!$D$5:$D$1005="jabas")*(MOVIMIENTOS!$A$5:$A$1005&lt;&gt;"")*(MOVIMIENTOS!$A$5:$A$1005&lt;=$A623)*MOVIMIENTOS!$E$5:$E$1005)-SUMPRODUCT((MOVIMIENTOS!$B$5:$B$1005="VENTA")*(MOVIMIENTOS!$C$5:$C$1005="P")*(MOVIMIENTOS!$D$5:$D$1005="jabas")*(MOVIMIENTOS!$A$5:$A$1005&lt;&gt;"")*(MOVIMIENTOS!$A$5:$A$1005&lt;=$A623)*MOVIMIENTOS!$E$5:$E$1005)+SUMPRODUCT((MOVIMIENTOS!$B$5:$B$1005="AJUSTE")*(MOVIMIENTOS!$C$5:$C$1005="P")*(MOVIMIENTOS!$D$5:$D$1005="jabas")*(MOVIMIENTOS!$A$5:$A$1005&lt;&gt;"")*(MOVIMIENTOS!$A$5:$A$1005&lt;=$A623)*MOVIMIENTOS!$E$5:$E$1005))</f>
        <v/>
      </c>
      <c r="D623" t="str">
        <f>IF($A623="","",SUMPRODUCT((MOVIMIENTOS!$B$5:$B$1005="SALDO INICIAL")*(MOVIMIENTOS!$C$5:$C$1005="C")*(MOVIMIENTOS!$D$5:$D$1005="jabas")*(MOVIMIENTOS!$A$5:$A$1005&lt;&gt;"")*(MOVIMIENTOS!$A$5:$A$1005&lt;=$A623)*MOVIMIENTOS!$E$5:$E$1005)+SUMPRODUCT((MOVIMIENTOS!$B$5:$B$1005="PROCESO")*(MOVIMIENTOS!$C$5:$C$1005="C")*(MOVIMIENTOS!$D$5:$D$1005="jabas")*(MOVIMIENTOS!$A$5:$A$1005&lt;&gt;"")*(MOVIMIENTOS!$A$5:$A$1005&lt;=$A623)*MOVIMIENTOS!$E$5:$E$1005)-SUMPRODUCT((MOVIMIENTOS!$B$5:$B$1005="ENVÍO A SUPESA")*(MOVIMIENTOS!$C$5:$C$1005="C")*(MOVIMIENTOS!$D$5:$D$1005="jabas")*(MOVIMIENTOS!$A$5:$A$1005&lt;&gt;"")*(MOVIMIENTOS!$A$5:$A$1005&lt;=$A623)*MOVIMIENTOS!$E$5:$E$1005)+SUMPRODUCT((MOVIMIENTOS!$B$5:$B$1005="DEVOLUCIÓN")*(MOVIMIENTOS!$C$5:$C$1005="C")*(MOVIMIENTOS!$D$5:$D$1005="jabas")*(MOVIMIENTOS!$A$5:$A$1005&lt;&gt;"")*(MOVIMIENTOS!$A$5:$A$1005&lt;=$A623)*MOVIMIENTOS!$E$5:$E$1005)-SUMPRODUCT((MOVIMIENTOS!$B$5:$B$1005="TRASIEGO")*(MOVIMIENTOS!$C$5:$C$1005="C")*(MOVIMIENTOS!$D$5:$D$1005="jabas")*(MOVIMIENTOS!$A$5:$A$1005&lt;&gt;"")*(MOVIMIENTOS!$A$5:$A$1005&lt;=$A623)*MOVIMIENTOS!$E$5:$E$1005)-SUMPRODUCT((MOVIMIENTOS!$B$5:$B$1005="REGALO")*(MOVIMIENTOS!$C$5:$C$1005="C")*(MOVIMIENTOS!$D$5:$D$1005="jabas")*(MOVIMIENTOS!$A$5:$A$1005&lt;&gt;"")*(MOVIMIENTOS!$A$5:$A$1005&lt;=$A623)*MOVIMIENTOS!$E$5:$E$1005)-SUMPRODUCT((MOVIMIENTOS!$B$5:$B$1005="VENTA")*(MOVIMIENTOS!$C$5:$C$1005="C")*(MOVIMIENTOS!$D$5:$D$1005="jabas")*(MOVIMIENTOS!$A$5:$A$1005&lt;&gt;"")*(MOVIMIENTOS!$A$5:$A$1005&lt;=$A623)*MOVIMIENTOS!$E$5:$E$1005)+SUMPRODUCT((MOVIMIENTOS!$B$5:$B$1005="AJUSTE")*(MOVIMIENTOS!$C$5:$C$1005="C")*(MOVIMIENTOS!$D$5:$D$1005="jabas")*(MOVIMIENTOS!$A$5:$A$1005&lt;&gt;"")*(MOVIMIENTOS!$A$5:$A$1005&lt;=$A623)*MOVIMIENTOS!$E$5:$E$1005))</f>
        <v/>
      </c>
      <c r="E623" t="str">
        <f>IF($A623="","",SUMPRODUCT((MOVIMIENTOS!$B$5:$B$1005="SALDO INICIAL")*(MOVIMIENTOS!$C$5:$C$1005="M")*(MOVIMIENTOS!$D$5:$D$1005="jabas")*(MOVIMIENTOS!$A$5:$A$1005&lt;&gt;"")*(MOVIMIENTOS!$A$5:$A$1005&lt;=$A623)*MOVIMIENTOS!$E$5:$E$1005)+SUMPRODUCT((MOVIMIENTOS!$B$5:$B$1005="PROCESO")*(MOVIMIENTOS!$C$5:$C$1005="M")*(MOVIMIENTOS!$D$5:$D$1005="jabas")*(MOVIMIENTOS!$A$5:$A$1005&lt;&gt;"")*(MOVIMIENTOS!$A$5:$A$1005&lt;=$A623)*MOVIMIENTOS!$E$5:$E$1005)-SUMPRODUCT((MOVIMIENTOS!$B$5:$B$1005="ENVÍO A SUPESA")*(MOVIMIENTOS!$C$5:$C$1005="M")*(MOVIMIENTOS!$D$5:$D$1005="jabas")*(MOVIMIENTOS!$A$5:$A$1005&lt;&gt;"")*(MOVIMIENTOS!$A$5:$A$1005&lt;=$A623)*MOVIMIENTOS!$E$5:$E$1005)+SUMPRODUCT((MOVIMIENTOS!$B$5:$B$1005="DEVOLUCIÓN")*(MOVIMIENTOS!$C$5:$C$1005="M")*(MOVIMIENTOS!$D$5:$D$1005="jabas")*(MOVIMIENTOS!$A$5:$A$1005&lt;&gt;"")*(MOVIMIENTOS!$A$5:$A$1005&lt;=$A623)*MOVIMIENTOS!$E$5:$E$1005)-SUMPRODUCT((MOVIMIENTOS!$B$5:$B$1005="TRASIEGO")*(MOVIMIENTOS!$C$5:$C$1005="M")*(MOVIMIENTOS!$D$5:$D$1005="jabas")*(MOVIMIENTOS!$A$5:$A$1005&lt;&gt;"")*(MOVIMIENTOS!$A$5:$A$1005&lt;=$A623)*MOVIMIENTOS!$E$5:$E$1005)-SUMPRODUCT((MOVIMIENTOS!$B$5:$B$1005="REGALO")*(MOVIMIENTOS!$C$5:$C$1005="M")*(MOVIMIENTOS!$D$5:$D$1005="jabas")*(MOVIMIENTOS!$A$5:$A$1005&lt;&gt;"")*(MOVIMIENTOS!$A$5:$A$1005&lt;=$A623)*MOVIMIENTOS!$E$5:$E$1005)-SUMPRODUCT((MOVIMIENTOS!$B$5:$B$1005="VENTA")*(MOVIMIENTOS!$C$5:$C$1005="M")*(MOVIMIENTOS!$D$5:$D$1005="jabas")*(MOVIMIENTOS!$A$5:$A$1005&lt;&gt;"")*(MOVIMIENTOS!$A$5:$A$1005&lt;=$A623)*MOVIMIENTOS!$E$5:$E$1005)+SUMPRODUCT((MOVIMIENTOS!$B$5:$B$1005="AJUSTE")*(MOVIMIENTOS!$C$5:$C$1005="M")*(MOVIMIENTOS!$D$5:$D$1005="jabas")*(MOVIMIENTOS!$A$5:$A$1005&lt;&gt;"")*(MOVIMIENTOS!$A$5:$A$1005&lt;=$A623)*MOVIMIENTOS!$E$5:$E$1005))</f>
        <v/>
      </c>
      <c r="F623" s="62" t="str">
        <f>IF($A623="","",SUMPRODUCT((MOVIMIENTOS!$B$5:$B$1005="SALDO INICIAL")*(MOVIMIENTOS!$C$5:$C$1005="Chancho")*(MOVIMIENTOS!$D$5:$D$1005="sacos")*(MOVIMIENTOS!$A$5:$A$1005&lt;&gt;"")*(MOVIMIENTOS!$A$5:$A$1005&lt;=$A623)*MOVIMIENTOS!$E$5:$E$1005)+SUMPRODUCT((MOVIMIENTOS!$B$5:$B$1005="PROCESO")*(MOVIMIENTOS!$C$5:$C$1005="Chancho")*(MOVIMIENTOS!$D$5:$D$1005="sacos")*(MOVIMIENTOS!$A$5:$A$1005&lt;&gt;"")*(MOVIMIENTOS!$A$5:$A$1005&lt;=$A623)*MOVIMIENTOS!$E$5:$E$1005)-SUMPRODUCT((MOVIMIENTOS!$B$5:$B$1005="VENTA CHANCHO")*(MOVIMIENTOS!$C$5:$C$1005="Chancho")*(MOVIMIENTOS!$D$5:$D$1005="sacos")*(MOVIMIENTOS!$A$5:$A$1005&lt;&gt;"")*(MOVIMIENTOS!$A$5:$A$1005&lt;=$A623)*MOVIMIENTOS!$E$5:$E$1005)-SUMPRODUCT((MOVIMIENTOS!$B$5:$B$1005="REGALO")*(MOVIMIENTOS!$C$5:$C$1005="Chancho")*(MOVIMIENTOS!$D$5:$D$1005="sacos")*(MOVIMIENTOS!$A$5:$A$1005&lt;&gt;"")*(MOVIMIENTOS!$A$5:$A$1005&lt;=$A623)*MOVIMIENTOS!$E$5:$E$1005)-SUMPRODUCT((MOVIMIENTOS!$B$5:$B$1005="VENTA")*(MOVIMIENTOS!$C$5:$C$1005="Chancho")*(MOVIMIENTOS!$D$5:$D$1005="sacos")*(MOVIMIENTOS!$A$5:$A$1005&lt;&gt;"")*(MOVIMIENTOS!$A$5:$A$1005&lt;=$A623)*MOVIMIENTOS!$E$5:$E$1005)+SUMPRODUCT((MOVIMIENTOS!$B$5:$B$1005="AJUSTE")*(MOVIMIENTOS!$C$5:$C$1005="Chancho")*(MOVIMIENTOS!$D$5:$D$1005="sacos")*(MOVIMIENTOS!$A$5:$A$1005&lt;&gt;"")*(MOVIMIENTOS!$A$5:$A$1005&lt;=$A623)*MOVIMIENTOS!$E$5:$E$1005))</f>
        <v/>
      </c>
      <c r="G623" s="62" t="str">
        <f t="shared" si="19"/>
        <v/>
      </c>
      <c r="H623" t="str">
        <f>IF($A623="","",SUMPRODUCT((((MOVIMIENTOS!$B$5:$B$1005="SALDO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623)*MOVIMIENTOS!$J$5:$J$1005))</f>
        <v/>
      </c>
      <c r="J623" t="str">
        <f>IF(AND(MOVIMIENTOS!$A628&lt;&gt;"",COUNTIF(MOVIMIENTOS!$A$5:$A627,MOVIMIENTOS!$A628)=0),COUNT(J$4:J622)+1,"")</f>
        <v/>
      </c>
      <c r="K623">
        <f>MOVIMIENTOS!$A628</f>
        <v>0</v>
      </c>
    </row>
    <row r="624" spans="1:11" ht="15" customHeight="1" x14ac:dyDescent="0.2">
      <c r="A624" t="str">
        <f t="shared" si="18"/>
        <v/>
      </c>
      <c r="B624" t="str">
        <f>IF($A624="","",SUMPRODUCT((MOVIMIENTOS!$B$5:$B$1005="SALDO INICIAL")*(MOVIMIENTOS!$C$5:$C$1005="A")*(MOVIMIENTOS!$D$5:$D$1005="jabas")*(MOVIMIENTOS!$A$5:$A$1005&lt;&gt;"")*(MOVIMIENTOS!$A$5:$A$1005&lt;=$A624)*MOVIMIENTOS!$E$5:$E$1005)+SUMPRODUCT((MOVIMIENTOS!$B$5:$B$1005="PROCESO")*(MOVIMIENTOS!$C$5:$C$1005="A")*(MOVIMIENTOS!$D$5:$D$1005="jabas")*(MOVIMIENTOS!$A$5:$A$1005&lt;&gt;"")*(MOVIMIENTOS!$A$5:$A$1005&lt;=$A624)*MOVIMIENTOS!$E$5:$E$1005)-SUMPRODUCT((MOVIMIENTOS!$B$5:$B$1005="ENVÍO A SUPESA")*(MOVIMIENTOS!$C$5:$C$1005="A")*(MOVIMIENTOS!$D$5:$D$1005="jabas")*(MOVIMIENTOS!$A$5:$A$1005&lt;&gt;"")*(MOVIMIENTOS!$A$5:$A$1005&lt;=$A624)*MOVIMIENTOS!$E$5:$E$1005)+SUMPRODUCT((MOVIMIENTOS!$B$5:$B$1005="DEVOLUCIÓN")*(MOVIMIENTOS!$C$5:$C$1005="A")*(MOVIMIENTOS!$D$5:$D$1005="jabas")*(MOVIMIENTOS!$A$5:$A$1005&lt;&gt;"")*(MOVIMIENTOS!$A$5:$A$1005&lt;=$A624)*MOVIMIENTOS!$E$5:$E$1005)-SUMPRODUCT((MOVIMIENTOS!$B$5:$B$1005="TRASIEGO")*(MOVIMIENTOS!$C$5:$C$1005="A")*(MOVIMIENTOS!$D$5:$D$1005="jabas")*(MOVIMIENTOS!$A$5:$A$1005&lt;&gt;"")*(MOVIMIENTOS!$A$5:$A$1005&lt;=$A624)*MOVIMIENTOS!$E$5:$E$1005)-SUMPRODUCT((MOVIMIENTOS!$B$5:$B$1005="REGALO")*(MOVIMIENTOS!$C$5:$C$1005="A")*(MOVIMIENTOS!$D$5:$D$1005="jabas")*(MOVIMIENTOS!$A$5:$A$1005&lt;&gt;"")*(MOVIMIENTOS!$A$5:$A$1005&lt;=$A624)*MOVIMIENTOS!$E$5:$E$1005)-SUMPRODUCT((MOVIMIENTOS!$B$5:$B$1005="VENTA")*(MOVIMIENTOS!$C$5:$C$1005="A")*(MOVIMIENTOS!$D$5:$D$1005="jabas")*(MOVIMIENTOS!$A$5:$A$1005&lt;&gt;"")*(MOVIMIENTOS!$A$5:$A$1005&lt;=$A624)*MOVIMIENTOS!$E$5:$E$1005)+SUMPRODUCT((MOVIMIENTOS!$B$5:$B$1005="AJUSTE")*(MOVIMIENTOS!$C$5:$C$1005="A")*(MOVIMIENTOS!$D$5:$D$1005="jabas")*(MOVIMIENTOS!$A$5:$A$1005&lt;&gt;"")*(MOVIMIENTOS!$A$5:$A$1005&lt;=$A624)*MOVIMIENTOS!$E$5:$E$1005))</f>
        <v/>
      </c>
      <c r="C624" t="str">
        <f>IF($A624="","",SUMPRODUCT((MOVIMIENTOS!$B$5:$B$1005="SALDO INICIAL")*(MOVIMIENTOS!$C$5:$C$1005="P")*(MOVIMIENTOS!$D$5:$D$1005="jabas")*(MOVIMIENTOS!$A$5:$A$1005&lt;&gt;"")*(MOVIMIENTOS!$A$5:$A$1005&lt;=$A624)*MOVIMIENTOS!$E$5:$E$1005)+SUMPRODUCT((MOVIMIENTOS!$B$5:$B$1005="PROCESO")*(MOVIMIENTOS!$C$5:$C$1005="P")*(MOVIMIENTOS!$D$5:$D$1005="jabas")*(MOVIMIENTOS!$A$5:$A$1005&lt;&gt;"")*(MOVIMIENTOS!$A$5:$A$1005&lt;=$A624)*MOVIMIENTOS!$E$5:$E$1005)-SUMPRODUCT((MOVIMIENTOS!$B$5:$B$1005="ENVÍO A SUPESA")*(MOVIMIENTOS!$C$5:$C$1005="P")*(MOVIMIENTOS!$D$5:$D$1005="jabas")*(MOVIMIENTOS!$A$5:$A$1005&lt;&gt;"")*(MOVIMIENTOS!$A$5:$A$1005&lt;=$A624)*MOVIMIENTOS!$E$5:$E$1005)+SUMPRODUCT((MOVIMIENTOS!$B$5:$B$1005="DEVOLUCIÓN")*(MOVIMIENTOS!$C$5:$C$1005="P")*(MOVIMIENTOS!$D$5:$D$1005="jabas")*(MOVIMIENTOS!$A$5:$A$1005&lt;&gt;"")*(MOVIMIENTOS!$A$5:$A$1005&lt;=$A624)*MOVIMIENTOS!$E$5:$E$1005)-SUMPRODUCT((MOVIMIENTOS!$B$5:$B$1005="TRASIEGO")*(MOVIMIENTOS!$C$5:$C$1005="P")*(MOVIMIENTOS!$D$5:$D$1005="jabas")*(MOVIMIENTOS!$A$5:$A$1005&lt;&gt;"")*(MOVIMIENTOS!$A$5:$A$1005&lt;=$A624)*MOVIMIENTOS!$E$5:$E$1005)-SUMPRODUCT((MOVIMIENTOS!$B$5:$B$1005="REGALO")*(MOVIMIENTOS!$C$5:$C$1005="P")*(MOVIMIENTOS!$D$5:$D$1005="jabas")*(MOVIMIENTOS!$A$5:$A$1005&lt;&gt;"")*(MOVIMIENTOS!$A$5:$A$1005&lt;=$A624)*MOVIMIENTOS!$E$5:$E$1005)-SUMPRODUCT((MOVIMIENTOS!$B$5:$B$1005="VENTA")*(MOVIMIENTOS!$C$5:$C$1005="P")*(MOVIMIENTOS!$D$5:$D$1005="jabas")*(MOVIMIENTOS!$A$5:$A$1005&lt;&gt;"")*(MOVIMIENTOS!$A$5:$A$1005&lt;=$A624)*MOVIMIENTOS!$E$5:$E$1005)+SUMPRODUCT((MOVIMIENTOS!$B$5:$B$1005="AJUSTE")*(MOVIMIENTOS!$C$5:$C$1005="P")*(MOVIMIENTOS!$D$5:$D$1005="jabas")*(MOVIMIENTOS!$A$5:$A$1005&lt;&gt;"")*(MOVIMIENTOS!$A$5:$A$1005&lt;=$A624)*MOVIMIENTOS!$E$5:$E$1005))</f>
        <v/>
      </c>
      <c r="D624" t="str">
        <f>IF($A624="","",SUMPRODUCT((MOVIMIENTOS!$B$5:$B$1005="SALDO INICIAL")*(MOVIMIENTOS!$C$5:$C$1005="C")*(MOVIMIENTOS!$D$5:$D$1005="jabas")*(MOVIMIENTOS!$A$5:$A$1005&lt;&gt;"")*(MOVIMIENTOS!$A$5:$A$1005&lt;=$A624)*MOVIMIENTOS!$E$5:$E$1005)+SUMPRODUCT((MOVIMIENTOS!$B$5:$B$1005="PROCESO")*(MOVIMIENTOS!$C$5:$C$1005="C")*(MOVIMIENTOS!$D$5:$D$1005="jabas")*(MOVIMIENTOS!$A$5:$A$1005&lt;&gt;"")*(MOVIMIENTOS!$A$5:$A$1005&lt;=$A624)*MOVIMIENTOS!$E$5:$E$1005)-SUMPRODUCT((MOVIMIENTOS!$B$5:$B$1005="ENVÍO A SUPESA")*(MOVIMIENTOS!$C$5:$C$1005="C")*(MOVIMIENTOS!$D$5:$D$1005="jabas")*(MOVIMIENTOS!$A$5:$A$1005&lt;&gt;"")*(MOVIMIENTOS!$A$5:$A$1005&lt;=$A624)*MOVIMIENTOS!$E$5:$E$1005)+SUMPRODUCT((MOVIMIENTOS!$B$5:$B$1005="DEVOLUCIÓN")*(MOVIMIENTOS!$C$5:$C$1005="C")*(MOVIMIENTOS!$D$5:$D$1005="jabas")*(MOVIMIENTOS!$A$5:$A$1005&lt;&gt;"")*(MOVIMIENTOS!$A$5:$A$1005&lt;=$A624)*MOVIMIENTOS!$E$5:$E$1005)-SUMPRODUCT((MOVIMIENTOS!$B$5:$B$1005="TRASIEGO")*(MOVIMIENTOS!$C$5:$C$1005="C")*(MOVIMIENTOS!$D$5:$D$1005="jabas")*(MOVIMIENTOS!$A$5:$A$1005&lt;&gt;"")*(MOVIMIENTOS!$A$5:$A$1005&lt;=$A624)*MOVIMIENTOS!$E$5:$E$1005)-SUMPRODUCT((MOVIMIENTOS!$B$5:$B$1005="REGALO")*(MOVIMIENTOS!$C$5:$C$1005="C")*(MOVIMIENTOS!$D$5:$D$1005="jabas")*(MOVIMIENTOS!$A$5:$A$1005&lt;&gt;"")*(MOVIMIENTOS!$A$5:$A$1005&lt;=$A624)*MOVIMIENTOS!$E$5:$E$1005)-SUMPRODUCT((MOVIMIENTOS!$B$5:$B$1005="VENTA")*(MOVIMIENTOS!$C$5:$C$1005="C")*(MOVIMIENTOS!$D$5:$D$1005="jabas")*(MOVIMIENTOS!$A$5:$A$1005&lt;&gt;"")*(MOVIMIENTOS!$A$5:$A$1005&lt;=$A624)*MOVIMIENTOS!$E$5:$E$1005)+SUMPRODUCT((MOVIMIENTOS!$B$5:$B$1005="AJUSTE")*(MOVIMIENTOS!$C$5:$C$1005="C")*(MOVIMIENTOS!$D$5:$D$1005="jabas")*(MOVIMIENTOS!$A$5:$A$1005&lt;&gt;"")*(MOVIMIENTOS!$A$5:$A$1005&lt;=$A624)*MOVIMIENTOS!$E$5:$E$1005))</f>
        <v/>
      </c>
      <c r="E624" t="str">
        <f>IF($A624="","",SUMPRODUCT((MOVIMIENTOS!$B$5:$B$1005="SALDO INICIAL")*(MOVIMIENTOS!$C$5:$C$1005="M")*(MOVIMIENTOS!$D$5:$D$1005="jabas")*(MOVIMIENTOS!$A$5:$A$1005&lt;&gt;"")*(MOVIMIENTOS!$A$5:$A$1005&lt;=$A624)*MOVIMIENTOS!$E$5:$E$1005)+SUMPRODUCT((MOVIMIENTOS!$B$5:$B$1005="PROCESO")*(MOVIMIENTOS!$C$5:$C$1005="M")*(MOVIMIENTOS!$D$5:$D$1005="jabas")*(MOVIMIENTOS!$A$5:$A$1005&lt;&gt;"")*(MOVIMIENTOS!$A$5:$A$1005&lt;=$A624)*MOVIMIENTOS!$E$5:$E$1005)-SUMPRODUCT((MOVIMIENTOS!$B$5:$B$1005="ENVÍO A SUPESA")*(MOVIMIENTOS!$C$5:$C$1005="M")*(MOVIMIENTOS!$D$5:$D$1005="jabas")*(MOVIMIENTOS!$A$5:$A$1005&lt;&gt;"")*(MOVIMIENTOS!$A$5:$A$1005&lt;=$A624)*MOVIMIENTOS!$E$5:$E$1005)+SUMPRODUCT((MOVIMIENTOS!$B$5:$B$1005="DEVOLUCIÓN")*(MOVIMIENTOS!$C$5:$C$1005="M")*(MOVIMIENTOS!$D$5:$D$1005="jabas")*(MOVIMIENTOS!$A$5:$A$1005&lt;&gt;"")*(MOVIMIENTOS!$A$5:$A$1005&lt;=$A624)*MOVIMIENTOS!$E$5:$E$1005)-SUMPRODUCT((MOVIMIENTOS!$B$5:$B$1005="TRASIEGO")*(MOVIMIENTOS!$C$5:$C$1005="M")*(MOVIMIENTOS!$D$5:$D$1005="jabas")*(MOVIMIENTOS!$A$5:$A$1005&lt;&gt;"")*(MOVIMIENTOS!$A$5:$A$1005&lt;=$A624)*MOVIMIENTOS!$E$5:$E$1005)-SUMPRODUCT((MOVIMIENTOS!$B$5:$B$1005="REGALO")*(MOVIMIENTOS!$C$5:$C$1005="M")*(MOVIMIENTOS!$D$5:$D$1005="jabas")*(MOVIMIENTOS!$A$5:$A$1005&lt;&gt;"")*(MOVIMIENTOS!$A$5:$A$1005&lt;=$A624)*MOVIMIENTOS!$E$5:$E$1005)-SUMPRODUCT((MOVIMIENTOS!$B$5:$B$1005="VENTA")*(MOVIMIENTOS!$C$5:$C$1005="M")*(MOVIMIENTOS!$D$5:$D$1005="jabas")*(MOVIMIENTOS!$A$5:$A$1005&lt;&gt;"")*(MOVIMIENTOS!$A$5:$A$1005&lt;=$A624)*MOVIMIENTOS!$E$5:$E$1005)+SUMPRODUCT((MOVIMIENTOS!$B$5:$B$1005="AJUSTE")*(MOVIMIENTOS!$C$5:$C$1005="M")*(MOVIMIENTOS!$D$5:$D$1005="jabas")*(MOVIMIENTOS!$A$5:$A$1005&lt;&gt;"")*(MOVIMIENTOS!$A$5:$A$1005&lt;=$A624)*MOVIMIENTOS!$E$5:$E$1005))</f>
        <v/>
      </c>
      <c r="F624" s="62" t="str">
        <f>IF($A624="","",SUMPRODUCT((MOVIMIENTOS!$B$5:$B$1005="SALDO INICIAL")*(MOVIMIENTOS!$C$5:$C$1005="Chancho")*(MOVIMIENTOS!$D$5:$D$1005="sacos")*(MOVIMIENTOS!$A$5:$A$1005&lt;&gt;"")*(MOVIMIENTOS!$A$5:$A$1005&lt;=$A624)*MOVIMIENTOS!$E$5:$E$1005)+SUMPRODUCT((MOVIMIENTOS!$B$5:$B$1005="PROCESO")*(MOVIMIENTOS!$C$5:$C$1005="Chancho")*(MOVIMIENTOS!$D$5:$D$1005="sacos")*(MOVIMIENTOS!$A$5:$A$1005&lt;&gt;"")*(MOVIMIENTOS!$A$5:$A$1005&lt;=$A624)*MOVIMIENTOS!$E$5:$E$1005)-SUMPRODUCT((MOVIMIENTOS!$B$5:$B$1005="VENTA CHANCHO")*(MOVIMIENTOS!$C$5:$C$1005="Chancho")*(MOVIMIENTOS!$D$5:$D$1005="sacos")*(MOVIMIENTOS!$A$5:$A$1005&lt;&gt;"")*(MOVIMIENTOS!$A$5:$A$1005&lt;=$A624)*MOVIMIENTOS!$E$5:$E$1005)-SUMPRODUCT((MOVIMIENTOS!$B$5:$B$1005="REGALO")*(MOVIMIENTOS!$C$5:$C$1005="Chancho")*(MOVIMIENTOS!$D$5:$D$1005="sacos")*(MOVIMIENTOS!$A$5:$A$1005&lt;&gt;"")*(MOVIMIENTOS!$A$5:$A$1005&lt;=$A624)*MOVIMIENTOS!$E$5:$E$1005)-SUMPRODUCT((MOVIMIENTOS!$B$5:$B$1005="VENTA")*(MOVIMIENTOS!$C$5:$C$1005="Chancho")*(MOVIMIENTOS!$D$5:$D$1005="sacos")*(MOVIMIENTOS!$A$5:$A$1005&lt;&gt;"")*(MOVIMIENTOS!$A$5:$A$1005&lt;=$A624)*MOVIMIENTOS!$E$5:$E$1005)+SUMPRODUCT((MOVIMIENTOS!$B$5:$B$1005="AJUSTE")*(MOVIMIENTOS!$C$5:$C$1005="Chancho")*(MOVIMIENTOS!$D$5:$D$1005="sacos")*(MOVIMIENTOS!$A$5:$A$1005&lt;&gt;"")*(MOVIMIENTOS!$A$5:$A$1005&lt;=$A624)*MOVIMIENTOS!$E$5:$E$1005))</f>
        <v/>
      </c>
      <c r="G624" s="62" t="str">
        <f t="shared" si="19"/>
        <v/>
      </c>
      <c r="H624" t="str">
        <f>IF($A624="","",SUMPRODUCT((((MOVIMIENTOS!$B$5:$B$1005="SALDO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624)*MOVIMIENTOS!$J$5:$J$1005))</f>
        <v/>
      </c>
      <c r="J624" t="str">
        <f>IF(AND(MOVIMIENTOS!$A629&lt;&gt;"",COUNTIF(MOVIMIENTOS!$A$5:$A628,MOVIMIENTOS!$A629)=0),COUNT(J$4:J623)+1,"")</f>
        <v/>
      </c>
      <c r="K624">
        <f>MOVIMIENTOS!$A629</f>
        <v>0</v>
      </c>
    </row>
    <row r="625" spans="1:11" ht="15" customHeight="1" x14ac:dyDescent="0.2">
      <c r="A625" t="str">
        <f t="shared" si="18"/>
        <v/>
      </c>
      <c r="B625" t="str">
        <f>IF($A625="","",SUMPRODUCT((MOVIMIENTOS!$B$5:$B$1005="SALDO INICIAL")*(MOVIMIENTOS!$C$5:$C$1005="A")*(MOVIMIENTOS!$D$5:$D$1005="jabas")*(MOVIMIENTOS!$A$5:$A$1005&lt;&gt;"")*(MOVIMIENTOS!$A$5:$A$1005&lt;=$A625)*MOVIMIENTOS!$E$5:$E$1005)+SUMPRODUCT((MOVIMIENTOS!$B$5:$B$1005="PROCESO")*(MOVIMIENTOS!$C$5:$C$1005="A")*(MOVIMIENTOS!$D$5:$D$1005="jabas")*(MOVIMIENTOS!$A$5:$A$1005&lt;&gt;"")*(MOVIMIENTOS!$A$5:$A$1005&lt;=$A625)*MOVIMIENTOS!$E$5:$E$1005)-SUMPRODUCT((MOVIMIENTOS!$B$5:$B$1005="ENVÍO A SUPESA")*(MOVIMIENTOS!$C$5:$C$1005="A")*(MOVIMIENTOS!$D$5:$D$1005="jabas")*(MOVIMIENTOS!$A$5:$A$1005&lt;&gt;"")*(MOVIMIENTOS!$A$5:$A$1005&lt;=$A625)*MOVIMIENTOS!$E$5:$E$1005)+SUMPRODUCT((MOVIMIENTOS!$B$5:$B$1005="DEVOLUCIÓN")*(MOVIMIENTOS!$C$5:$C$1005="A")*(MOVIMIENTOS!$D$5:$D$1005="jabas")*(MOVIMIENTOS!$A$5:$A$1005&lt;&gt;"")*(MOVIMIENTOS!$A$5:$A$1005&lt;=$A625)*MOVIMIENTOS!$E$5:$E$1005)-SUMPRODUCT((MOVIMIENTOS!$B$5:$B$1005="TRASIEGO")*(MOVIMIENTOS!$C$5:$C$1005="A")*(MOVIMIENTOS!$D$5:$D$1005="jabas")*(MOVIMIENTOS!$A$5:$A$1005&lt;&gt;"")*(MOVIMIENTOS!$A$5:$A$1005&lt;=$A625)*MOVIMIENTOS!$E$5:$E$1005)-SUMPRODUCT((MOVIMIENTOS!$B$5:$B$1005="REGALO")*(MOVIMIENTOS!$C$5:$C$1005="A")*(MOVIMIENTOS!$D$5:$D$1005="jabas")*(MOVIMIENTOS!$A$5:$A$1005&lt;&gt;"")*(MOVIMIENTOS!$A$5:$A$1005&lt;=$A625)*MOVIMIENTOS!$E$5:$E$1005)-SUMPRODUCT((MOVIMIENTOS!$B$5:$B$1005="VENTA")*(MOVIMIENTOS!$C$5:$C$1005="A")*(MOVIMIENTOS!$D$5:$D$1005="jabas")*(MOVIMIENTOS!$A$5:$A$1005&lt;&gt;"")*(MOVIMIENTOS!$A$5:$A$1005&lt;=$A625)*MOVIMIENTOS!$E$5:$E$1005)+SUMPRODUCT((MOVIMIENTOS!$B$5:$B$1005="AJUSTE")*(MOVIMIENTOS!$C$5:$C$1005="A")*(MOVIMIENTOS!$D$5:$D$1005="jabas")*(MOVIMIENTOS!$A$5:$A$1005&lt;&gt;"")*(MOVIMIENTOS!$A$5:$A$1005&lt;=$A625)*MOVIMIENTOS!$E$5:$E$1005))</f>
        <v/>
      </c>
      <c r="C625" t="str">
        <f>IF($A625="","",SUMPRODUCT((MOVIMIENTOS!$B$5:$B$1005="SALDO INICIAL")*(MOVIMIENTOS!$C$5:$C$1005="P")*(MOVIMIENTOS!$D$5:$D$1005="jabas")*(MOVIMIENTOS!$A$5:$A$1005&lt;&gt;"")*(MOVIMIENTOS!$A$5:$A$1005&lt;=$A625)*MOVIMIENTOS!$E$5:$E$1005)+SUMPRODUCT((MOVIMIENTOS!$B$5:$B$1005="PROCESO")*(MOVIMIENTOS!$C$5:$C$1005="P")*(MOVIMIENTOS!$D$5:$D$1005="jabas")*(MOVIMIENTOS!$A$5:$A$1005&lt;&gt;"")*(MOVIMIENTOS!$A$5:$A$1005&lt;=$A625)*MOVIMIENTOS!$E$5:$E$1005)-SUMPRODUCT((MOVIMIENTOS!$B$5:$B$1005="ENVÍO A SUPESA")*(MOVIMIENTOS!$C$5:$C$1005="P")*(MOVIMIENTOS!$D$5:$D$1005="jabas")*(MOVIMIENTOS!$A$5:$A$1005&lt;&gt;"")*(MOVIMIENTOS!$A$5:$A$1005&lt;=$A625)*MOVIMIENTOS!$E$5:$E$1005)+SUMPRODUCT((MOVIMIENTOS!$B$5:$B$1005="DEVOLUCIÓN")*(MOVIMIENTOS!$C$5:$C$1005="P")*(MOVIMIENTOS!$D$5:$D$1005="jabas")*(MOVIMIENTOS!$A$5:$A$1005&lt;&gt;"")*(MOVIMIENTOS!$A$5:$A$1005&lt;=$A625)*MOVIMIENTOS!$E$5:$E$1005)-SUMPRODUCT((MOVIMIENTOS!$B$5:$B$1005="TRASIEGO")*(MOVIMIENTOS!$C$5:$C$1005="P")*(MOVIMIENTOS!$D$5:$D$1005="jabas")*(MOVIMIENTOS!$A$5:$A$1005&lt;&gt;"")*(MOVIMIENTOS!$A$5:$A$1005&lt;=$A625)*MOVIMIENTOS!$E$5:$E$1005)-SUMPRODUCT((MOVIMIENTOS!$B$5:$B$1005="REGALO")*(MOVIMIENTOS!$C$5:$C$1005="P")*(MOVIMIENTOS!$D$5:$D$1005="jabas")*(MOVIMIENTOS!$A$5:$A$1005&lt;&gt;"")*(MOVIMIENTOS!$A$5:$A$1005&lt;=$A625)*MOVIMIENTOS!$E$5:$E$1005)-SUMPRODUCT((MOVIMIENTOS!$B$5:$B$1005="VENTA")*(MOVIMIENTOS!$C$5:$C$1005="P")*(MOVIMIENTOS!$D$5:$D$1005="jabas")*(MOVIMIENTOS!$A$5:$A$1005&lt;&gt;"")*(MOVIMIENTOS!$A$5:$A$1005&lt;=$A625)*MOVIMIENTOS!$E$5:$E$1005)+SUMPRODUCT((MOVIMIENTOS!$B$5:$B$1005="AJUSTE")*(MOVIMIENTOS!$C$5:$C$1005="P")*(MOVIMIENTOS!$D$5:$D$1005="jabas")*(MOVIMIENTOS!$A$5:$A$1005&lt;&gt;"")*(MOVIMIENTOS!$A$5:$A$1005&lt;=$A625)*MOVIMIENTOS!$E$5:$E$1005))</f>
        <v/>
      </c>
      <c r="D625" t="str">
        <f>IF($A625="","",SUMPRODUCT((MOVIMIENTOS!$B$5:$B$1005="SALDO INICIAL")*(MOVIMIENTOS!$C$5:$C$1005="C")*(MOVIMIENTOS!$D$5:$D$1005="jabas")*(MOVIMIENTOS!$A$5:$A$1005&lt;&gt;"")*(MOVIMIENTOS!$A$5:$A$1005&lt;=$A625)*MOVIMIENTOS!$E$5:$E$1005)+SUMPRODUCT((MOVIMIENTOS!$B$5:$B$1005="PROCESO")*(MOVIMIENTOS!$C$5:$C$1005="C")*(MOVIMIENTOS!$D$5:$D$1005="jabas")*(MOVIMIENTOS!$A$5:$A$1005&lt;&gt;"")*(MOVIMIENTOS!$A$5:$A$1005&lt;=$A625)*MOVIMIENTOS!$E$5:$E$1005)-SUMPRODUCT((MOVIMIENTOS!$B$5:$B$1005="ENVÍO A SUPESA")*(MOVIMIENTOS!$C$5:$C$1005="C")*(MOVIMIENTOS!$D$5:$D$1005="jabas")*(MOVIMIENTOS!$A$5:$A$1005&lt;&gt;"")*(MOVIMIENTOS!$A$5:$A$1005&lt;=$A625)*MOVIMIENTOS!$E$5:$E$1005)+SUMPRODUCT((MOVIMIENTOS!$B$5:$B$1005="DEVOLUCIÓN")*(MOVIMIENTOS!$C$5:$C$1005="C")*(MOVIMIENTOS!$D$5:$D$1005="jabas")*(MOVIMIENTOS!$A$5:$A$1005&lt;&gt;"")*(MOVIMIENTOS!$A$5:$A$1005&lt;=$A625)*MOVIMIENTOS!$E$5:$E$1005)-SUMPRODUCT((MOVIMIENTOS!$B$5:$B$1005="TRASIEGO")*(MOVIMIENTOS!$C$5:$C$1005="C")*(MOVIMIENTOS!$D$5:$D$1005="jabas")*(MOVIMIENTOS!$A$5:$A$1005&lt;&gt;"")*(MOVIMIENTOS!$A$5:$A$1005&lt;=$A625)*MOVIMIENTOS!$E$5:$E$1005)-SUMPRODUCT((MOVIMIENTOS!$B$5:$B$1005="REGALO")*(MOVIMIENTOS!$C$5:$C$1005="C")*(MOVIMIENTOS!$D$5:$D$1005="jabas")*(MOVIMIENTOS!$A$5:$A$1005&lt;&gt;"")*(MOVIMIENTOS!$A$5:$A$1005&lt;=$A625)*MOVIMIENTOS!$E$5:$E$1005)-SUMPRODUCT((MOVIMIENTOS!$B$5:$B$1005="VENTA")*(MOVIMIENTOS!$C$5:$C$1005="C")*(MOVIMIENTOS!$D$5:$D$1005="jabas")*(MOVIMIENTOS!$A$5:$A$1005&lt;&gt;"")*(MOVIMIENTOS!$A$5:$A$1005&lt;=$A625)*MOVIMIENTOS!$E$5:$E$1005)+SUMPRODUCT((MOVIMIENTOS!$B$5:$B$1005="AJUSTE")*(MOVIMIENTOS!$C$5:$C$1005="C")*(MOVIMIENTOS!$D$5:$D$1005="jabas")*(MOVIMIENTOS!$A$5:$A$1005&lt;&gt;"")*(MOVIMIENTOS!$A$5:$A$1005&lt;=$A625)*MOVIMIENTOS!$E$5:$E$1005))</f>
        <v/>
      </c>
      <c r="E625" t="str">
        <f>IF($A625="","",SUMPRODUCT((MOVIMIENTOS!$B$5:$B$1005="SALDO INICIAL")*(MOVIMIENTOS!$C$5:$C$1005="M")*(MOVIMIENTOS!$D$5:$D$1005="jabas")*(MOVIMIENTOS!$A$5:$A$1005&lt;&gt;"")*(MOVIMIENTOS!$A$5:$A$1005&lt;=$A625)*MOVIMIENTOS!$E$5:$E$1005)+SUMPRODUCT((MOVIMIENTOS!$B$5:$B$1005="PROCESO")*(MOVIMIENTOS!$C$5:$C$1005="M")*(MOVIMIENTOS!$D$5:$D$1005="jabas")*(MOVIMIENTOS!$A$5:$A$1005&lt;&gt;"")*(MOVIMIENTOS!$A$5:$A$1005&lt;=$A625)*MOVIMIENTOS!$E$5:$E$1005)-SUMPRODUCT((MOVIMIENTOS!$B$5:$B$1005="ENVÍO A SUPESA")*(MOVIMIENTOS!$C$5:$C$1005="M")*(MOVIMIENTOS!$D$5:$D$1005="jabas")*(MOVIMIENTOS!$A$5:$A$1005&lt;&gt;"")*(MOVIMIENTOS!$A$5:$A$1005&lt;=$A625)*MOVIMIENTOS!$E$5:$E$1005)+SUMPRODUCT((MOVIMIENTOS!$B$5:$B$1005="DEVOLUCIÓN")*(MOVIMIENTOS!$C$5:$C$1005="M")*(MOVIMIENTOS!$D$5:$D$1005="jabas")*(MOVIMIENTOS!$A$5:$A$1005&lt;&gt;"")*(MOVIMIENTOS!$A$5:$A$1005&lt;=$A625)*MOVIMIENTOS!$E$5:$E$1005)-SUMPRODUCT((MOVIMIENTOS!$B$5:$B$1005="TRASIEGO")*(MOVIMIENTOS!$C$5:$C$1005="M")*(MOVIMIENTOS!$D$5:$D$1005="jabas")*(MOVIMIENTOS!$A$5:$A$1005&lt;&gt;"")*(MOVIMIENTOS!$A$5:$A$1005&lt;=$A625)*MOVIMIENTOS!$E$5:$E$1005)-SUMPRODUCT((MOVIMIENTOS!$B$5:$B$1005="REGALO")*(MOVIMIENTOS!$C$5:$C$1005="M")*(MOVIMIENTOS!$D$5:$D$1005="jabas")*(MOVIMIENTOS!$A$5:$A$1005&lt;&gt;"")*(MOVIMIENTOS!$A$5:$A$1005&lt;=$A625)*MOVIMIENTOS!$E$5:$E$1005)-SUMPRODUCT((MOVIMIENTOS!$B$5:$B$1005="VENTA")*(MOVIMIENTOS!$C$5:$C$1005="M")*(MOVIMIENTOS!$D$5:$D$1005="jabas")*(MOVIMIENTOS!$A$5:$A$1005&lt;&gt;"")*(MOVIMIENTOS!$A$5:$A$1005&lt;=$A625)*MOVIMIENTOS!$E$5:$E$1005)+SUMPRODUCT((MOVIMIENTOS!$B$5:$B$1005="AJUSTE")*(MOVIMIENTOS!$C$5:$C$1005="M")*(MOVIMIENTOS!$D$5:$D$1005="jabas")*(MOVIMIENTOS!$A$5:$A$1005&lt;&gt;"")*(MOVIMIENTOS!$A$5:$A$1005&lt;=$A625)*MOVIMIENTOS!$E$5:$E$1005))</f>
        <v/>
      </c>
      <c r="F625" s="62" t="str">
        <f>IF($A625="","",SUMPRODUCT((MOVIMIENTOS!$B$5:$B$1005="SALDO INICIAL")*(MOVIMIENTOS!$C$5:$C$1005="Chancho")*(MOVIMIENTOS!$D$5:$D$1005="sacos")*(MOVIMIENTOS!$A$5:$A$1005&lt;&gt;"")*(MOVIMIENTOS!$A$5:$A$1005&lt;=$A625)*MOVIMIENTOS!$E$5:$E$1005)+SUMPRODUCT((MOVIMIENTOS!$B$5:$B$1005="PROCESO")*(MOVIMIENTOS!$C$5:$C$1005="Chancho")*(MOVIMIENTOS!$D$5:$D$1005="sacos")*(MOVIMIENTOS!$A$5:$A$1005&lt;&gt;"")*(MOVIMIENTOS!$A$5:$A$1005&lt;=$A625)*MOVIMIENTOS!$E$5:$E$1005)-SUMPRODUCT((MOVIMIENTOS!$B$5:$B$1005="VENTA CHANCHO")*(MOVIMIENTOS!$C$5:$C$1005="Chancho")*(MOVIMIENTOS!$D$5:$D$1005="sacos")*(MOVIMIENTOS!$A$5:$A$1005&lt;&gt;"")*(MOVIMIENTOS!$A$5:$A$1005&lt;=$A625)*MOVIMIENTOS!$E$5:$E$1005)-SUMPRODUCT((MOVIMIENTOS!$B$5:$B$1005="REGALO")*(MOVIMIENTOS!$C$5:$C$1005="Chancho")*(MOVIMIENTOS!$D$5:$D$1005="sacos")*(MOVIMIENTOS!$A$5:$A$1005&lt;&gt;"")*(MOVIMIENTOS!$A$5:$A$1005&lt;=$A625)*MOVIMIENTOS!$E$5:$E$1005)-SUMPRODUCT((MOVIMIENTOS!$B$5:$B$1005="VENTA")*(MOVIMIENTOS!$C$5:$C$1005="Chancho")*(MOVIMIENTOS!$D$5:$D$1005="sacos")*(MOVIMIENTOS!$A$5:$A$1005&lt;&gt;"")*(MOVIMIENTOS!$A$5:$A$1005&lt;=$A625)*MOVIMIENTOS!$E$5:$E$1005)+SUMPRODUCT((MOVIMIENTOS!$B$5:$B$1005="AJUSTE")*(MOVIMIENTOS!$C$5:$C$1005="Chancho")*(MOVIMIENTOS!$D$5:$D$1005="sacos")*(MOVIMIENTOS!$A$5:$A$1005&lt;&gt;"")*(MOVIMIENTOS!$A$5:$A$1005&lt;=$A625)*MOVIMIENTOS!$E$5:$E$1005))</f>
        <v/>
      </c>
      <c r="G625" s="62" t="str">
        <f t="shared" si="19"/>
        <v/>
      </c>
      <c r="H625" t="str">
        <f>IF($A625="","",SUMPRODUCT((((MOVIMIENTOS!$B$5:$B$1005="SALDO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625)*MOVIMIENTOS!$J$5:$J$1005))</f>
        <v/>
      </c>
      <c r="J625" t="str">
        <f>IF(AND(MOVIMIENTOS!$A630&lt;&gt;"",COUNTIF(MOVIMIENTOS!$A$5:$A629,MOVIMIENTOS!$A630)=0),COUNT(J$4:J624)+1,"")</f>
        <v/>
      </c>
      <c r="K625">
        <f>MOVIMIENTOS!$A630</f>
        <v>0</v>
      </c>
    </row>
    <row r="626" spans="1:11" ht="15" customHeight="1" x14ac:dyDescent="0.2">
      <c r="A626" t="str">
        <f t="shared" si="18"/>
        <v/>
      </c>
      <c r="B626" t="str">
        <f>IF($A626="","",SUMPRODUCT((MOVIMIENTOS!$B$5:$B$1005="SALDO INICIAL")*(MOVIMIENTOS!$C$5:$C$1005="A")*(MOVIMIENTOS!$D$5:$D$1005="jabas")*(MOVIMIENTOS!$A$5:$A$1005&lt;&gt;"")*(MOVIMIENTOS!$A$5:$A$1005&lt;=$A626)*MOVIMIENTOS!$E$5:$E$1005)+SUMPRODUCT((MOVIMIENTOS!$B$5:$B$1005="PROCESO")*(MOVIMIENTOS!$C$5:$C$1005="A")*(MOVIMIENTOS!$D$5:$D$1005="jabas")*(MOVIMIENTOS!$A$5:$A$1005&lt;&gt;"")*(MOVIMIENTOS!$A$5:$A$1005&lt;=$A626)*MOVIMIENTOS!$E$5:$E$1005)-SUMPRODUCT((MOVIMIENTOS!$B$5:$B$1005="ENVÍO A SUPESA")*(MOVIMIENTOS!$C$5:$C$1005="A")*(MOVIMIENTOS!$D$5:$D$1005="jabas")*(MOVIMIENTOS!$A$5:$A$1005&lt;&gt;"")*(MOVIMIENTOS!$A$5:$A$1005&lt;=$A626)*MOVIMIENTOS!$E$5:$E$1005)+SUMPRODUCT((MOVIMIENTOS!$B$5:$B$1005="DEVOLUCIÓN")*(MOVIMIENTOS!$C$5:$C$1005="A")*(MOVIMIENTOS!$D$5:$D$1005="jabas")*(MOVIMIENTOS!$A$5:$A$1005&lt;&gt;"")*(MOVIMIENTOS!$A$5:$A$1005&lt;=$A626)*MOVIMIENTOS!$E$5:$E$1005)-SUMPRODUCT((MOVIMIENTOS!$B$5:$B$1005="TRASIEGO")*(MOVIMIENTOS!$C$5:$C$1005="A")*(MOVIMIENTOS!$D$5:$D$1005="jabas")*(MOVIMIENTOS!$A$5:$A$1005&lt;&gt;"")*(MOVIMIENTOS!$A$5:$A$1005&lt;=$A626)*MOVIMIENTOS!$E$5:$E$1005)-SUMPRODUCT((MOVIMIENTOS!$B$5:$B$1005="REGALO")*(MOVIMIENTOS!$C$5:$C$1005="A")*(MOVIMIENTOS!$D$5:$D$1005="jabas")*(MOVIMIENTOS!$A$5:$A$1005&lt;&gt;"")*(MOVIMIENTOS!$A$5:$A$1005&lt;=$A626)*MOVIMIENTOS!$E$5:$E$1005)-SUMPRODUCT((MOVIMIENTOS!$B$5:$B$1005="VENTA")*(MOVIMIENTOS!$C$5:$C$1005="A")*(MOVIMIENTOS!$D$5:$D$1005="jabas")*(MOVIMIENTOS!$A$5:$A$1005&lt;&gt;"")*(MOVIMIENTOS!$A$5:$A$1005&lt;=$A626)*MOVIMIENTOS!$E$5:$E$1005)+SUMPRODUCT((MOVIMIENTOS!$B$5:$B$1005="AJUSTE")*(MOVIMIENTOS!$C$5:$C$1005="A")*(MOVIMIENTOS!$D$5:$D$1005="jabas")*(MOVIMIENTOS!$A$5:$A$1005&lt;&gt;"")*(MOVIMIENTOS!$A$5:$A$1005&lt;=$A626)*MOVIMIENTOS!$E$5:$E$1005))</f>
        <v/>
      </c>
      <c r="C626" t="str">
        <f>IF($A626="","",SUMPRODUCT((MOVIMIENTOS!$B$5:$B$1005="SALDO INICIAL")*(MOVIMIENTOS!$C$5:$C$1005="P")*(MOVIMIENTOS!$D$5:$D$1005="jabas")*(MOVIMIENTOS!$A$5:$A$1005&lt;&gt;"")*(MOVIMIENTOS!$A$5:$A$1005&lt;=$A626)*MOVIMIENTOS!$E$5:$E$1005)+SUMPRODUCT((MOVIMIENTOS!$B$5:$B$1005="PROCESO")*(MOVIMIENTOS!$C$5:$C$1005="P")*(MOVIMIENTOS!$D$5:$D$1005="jabas")*(MOVIMIENTOS!$A$5:$A$1005&lt;&gt;"")*(MOVIMIENTOS!$A$5:$A$1005&lt;=$A626)*MOVIMIENTOS!$E$5:$E$1005)-SUMPRODUCT((MOVIMIENTOS!$B$5:$B$1005="ENVÍO A SUPESA")*(MOVIMIENTOS!$C$5:$C$1005="P")*(MOVIMIENTOS!$D$5:$D$1005="jabas")*(MOVIMIENTOS!$A$5:$A$1005&lt;&gt;"")*(MOVIMIENTOS!$A$5:$A$1005&lt;=$A626)*MOVIMIENTOS!$E$5:$E$1005)+SUMPRODUCT((MOVIMIENTOS!$B$5:$B$1005="DEVOLUCIÓN")*(MOVIMIENTOS!$C$5:$C$1005="P")*(MOVIMIENTOS!$D$5:$D$1005="jabas")*(MOVIMIENTOS!$A$5:$A$1005&lt;&gt;"")*(MOVIMIENTOS!$A$5:$A$1005&lt;=$A626)*MOVIMIENTOS!$E$5:$E$1005)-SUMPRODUCT((MOVIMIENTOS!$B$5:$B$1005="TRASIEGO")*(MOVIMIENTOS!$C$5:$C$1005="P")*(MOVIMIENTOS!$D$5:$D$1005="jabas")*(MOVIMIENTOS!$A$5:$A$1005&lt;&gt;"")*(MOVIMIENTOS!$A$5:$A$1005&lt;=$A626)*MOVIMIENTOS!$E$5:$E$1005)-SUMPRODUCT((MOVIMIENTOS!$B$5:$B$1005="REGALO")*(MOVIMIENTOS!$C$5:$C$1005="P")*(MOVIMIENTOS!$D$5:$D$1005="jabas")*(MOVIMIENTOS!$A$5:$A$1005&lt;&gt;"")*(MOVIMIENTOS!$A$5:$A$1005&lt;=$A626)*MOVIMIENTOS!$E$5:$E$1005)-SUMPRODUCT((MOVIMIENTOS!$B$5:$B$1005="VENTA")*(MOVIMIENTOS!$C$5:$C$1005="P")*(MOVIMIENTOS!$D$5:$D$1005="jabas")*(MOVIMIENTOS!$A$5:$A$1005&lt;&gt;"")*(MOVIMIENTOS!$A$5:$A$1005&lt;=$A626)*MOVIMIENTOS!$E$5:$E$1005)+SUMPRODUCT((MOVIMIENTOS!$B$5:$B$1005="AJUSTE")*(MOVIMIENTOS!$C$5:$C$1005="P")*(MOVIMIENTOS!$D$5:$D$1005="jabas")*(MOVIMIENTOS!$A$5:$A$1005&lt;&gt;"")*(MOVIMIENTOS!$A$5:$A$1005&lt;=$A626)*MOVIMIENTOS!$E$5:$E$1005))</f>
        <v/>
      </c>
      <c r="D626" t="str">
        <f>IF($A626="","",SUMPRODUCT((MOVIMIENTOS!$B$5:$B$1005="SALDO INICIAL")*(MOVIMIENTOS!$C$5:$C$1005="C")*(MOVIMIENTOS!$D$5:$D$1005="jabas")*(MOVIMIENTOS!$A$5:$A$1005&lt;&gt;"")*(MOVIMIENTOS!$A$5:$A$1005&lt;=$A626)*MOVIMIENTOS!$E$5:$E$1005)+SUMPRODUCT((MOVIMIENTOS!$B$5:$B$1005="PROCESO")*(MOVIMIENTOS!$C$5:$C$1005="C")*(MOVIMIENTOS!$D$5:$D$1005="jabas")*(MOVIMIENTOS!$A$5:$A$1005&lt;&gt;"")*(MOVIMIENTOS!$A$5:$A$1005&lt;=$A626)*MOVIMIENTOS!$E$5:$E$1005)-SUMPRODUCT((MOVIMIENTOS!$B$5:$B$1005="ENVÍO A SUPESA")*(MOVIMIENTOS!$C$5:$C$1005="C")*(MOVIMIENTOS!$D$5:$D$1005="jabas")*(MOVIMIENTOS!$A$5:$A$1005&lt;&gt;"")*(MOVIMIENTOS!$A$5:$A$1005&lt;=$A626)*MOVIMIENTOS!$E$5:$E$1005)+SUMPRODUCT((MOVIMIENTOS!$B$5:$B$1005="DEVOLUCIÓN")*(MOVIMIENTOS!$C$5:$C$1005="C")*(MOVIMIENTOS!$D$5:$D$1005="jabas")*(MOVIMIENTOS!$A$5:$A$1005&lt;&gt;"")*(MOVIMIENTOS!$A$5:$A$1005&lt;=$A626)*MOVIMIENTOS!$E$5:$E$1005)-SUMPRODUCT((MOVIMIENTOS!$B$5:$B$1005="TRASIEGO")*(MOVIMIENTOS!$C$5:$C$1005="C")*(MOVIMIENTOS!$D$5:$D$1005="jabas")*(MOVIMIENTOS!$A$5:$A$1005&lt;&gt;"")*(MOVIMIENTOS!$A$5:$A$1005&lt;=$A626)*MOVIMIENTOS!$E$5:$E$1005)-SUMPRODUCT((MOVIMIENTOS!$B$5:$B$1005="REGALO")*(MOVIMIENTOS!$C$5:$C$1005="C")*(MOVIMIENTOS!$D$5:$D$1005="jabas")*(MOVIMIENTOS!$A$5:$A$1005&lt;&gt;"")*(MOVIMIENTOS!$A$5:$A$1005&lt;=$A626)*MOVIMIENTOS!$E$5:$E$1005)-SUMPRODUCT((MOVIMIENTOS!$B$5:$B$1005="VENTA")*(MOVIMIENTOS!$C$5:$C$1005="C")*(MOVIMIENTOS!$D$5:$D$1005="jabas")*(MOVIMIENTOS!$A$5:$A$1005&lt;&gt;"")*(MOVIMIENTOS!$A$5:$A$1005&lt;=$A626)*MOVIMIENTOS!$E$5:$E$1005)+SUMPRODUCT((MOVIMIENTOS!$B$5:$B$1005="AJUSTE")*(MOVIMIENTOS!$C$5:$C$1005="C")*(MOVIMIENTOS!$D$5:$D$1005="jabas")*(MOVIMIENTOS!$A$5:$A$1005&lt;&gt;"")*(MOVIMIENTOS!$A$5:$A$1005&lt;=$A626)*MOVIMIENTOS!$E$5:$E$1005))</f>
        <v/>
      </c>
      <c r="E626" t="str">
        <f>IF($A626="","",SUMPRODUCT((MOVIMIENTOS!$B$5:$B$1005="SALDO INICIAL")*(MOVIMIENTOS!$C$5:$C$1005="M")*(MOVIMIENTOS!$D$5:$D$1005="jabas")*(MOVIMIENTOS!$A$5:$A$1005&lt;&gt;"")*(MOVIMIENTOS!$A$5:$A$1005&lt;=$A626)*MOVIMIENTOS!$E$5:$E$1005)+SUMPRODUCT((MOVIMIENTOS!$B$5:$B$1005="PROCESO")*(MOVIMIENTOS!$C$5:$C$1005="M")*(MOVIMIENTOS!$D$5:$D$1005="jabas")*(MOVIMIENTOS!$A$5:$A$1005&lt;&gt;"")*(MOVIMIENTOS!$A$5:$A$1005&lt;=$A626)*MOVIMIENTOS!$E$5:$E$1005)-SUMPRODUCT((MOVIMIENTOS!$B$5:$B$1005="ENVÍO A SUPESA")*(MOVIMIENTOS!$C$5:$C$1005="M")*(MOVIMIENTOS!$D$5:$D$1005="jabas")*(MOVIMIENTOS!$A$5:$A$1005&lt;&gt;"")*(MOVIMIENTOS!$A$5:$A$1005&lt;=$A626)*MOVIMIENTOS!$E$5:$E$1005)+SUMPRODUCT((MOVIMIENTOS!$B$5:$B$1005="DEVOLUCIÓN")*(MOVIMIENTOS!$C$5:$C$1005="M")*(MOVIMIENTOS!$D$5:$D$1005="jabas")*(MOVIMIENTOS!$A$5:$A$1005&lt;&gt;"")*(MOVIMIENTOS!$A$5:$A$1005&lt;=$A626)*MOVIMIENTOS!$E$5:$E$1005)-SUMPRODUCT((MOVIMIENTOS!$B$5:$B$1005="TRASIEGO")*(MOVIMIENTOS!$C$5:$C$1005="M")*(MOVIMIENTOS!$D$5:$D$1005="jabas")*(MOVIMIENTOS!$A$5:$A$1005&lt;&gt;"")*(MOVIMIENTOS!$A$5:$A$1005&lt;=$A626)*MOVIMIENTOS!$E$5:$E$1005)-SUMPRODUCT((MOVIMIENTOS!$B$5:$B$1005="REGALO")*(MOVIMIENTOS!$C$5:$C$1005="M")*(MOVIMIENTOS!$D$5:$D$1005="jabas")*(MOVIMIENTOS!$A$5:$A$1005&lt;&gt;"")*(MOVIMIENTOS!$A$5:$A$1005&lt;=$A626)*MOVIMIENTOS!$E$5:$E$1005)-SUMPRODUCT((MOVIMIENTOS!$B$5:$B$1005="VENTA")*(MOVIMIENTOS!$C$5:$C$1005="M")*(MOVIMIENTOS!$D$5:$D$1005="jabas")*(MOVIMIENTOS!$A$5:$A$1005&lt;&gt;"")*(MOVIMIENTOS!$A$5:$A$1005&lt;=$A626)*MOVIMIENTOS!$E$5:$E$1005)+SUMPRODUCT((MOVIMIENTOS!$B$5:$B$1005="AJUSTE")*(MOVIMIENTOS!$C$5:$C$1005="M")*(MOVIMIENTOS!$D$5:$D$1005="jabas")*(MOVIMIENTOS!$A$5:$A$1005&lt;&gt;"")*(MOVIMIENTOS!$A$5:$A$1005&lt;=$A626)*MOVIMIENTOS!$E$5:$E$1005))</f>
        <v/>
      </c>
      <c r="F626" s="62" t="str">
        <f>IF($A626="","",SUMPRODUCT((MOVIMIENTOS!$B$5:$B$1005="SALDO INICIAL")*(MOVIMIENTOS!$C$5:$C$1005="Chancho")*(MOVIMIENTOS!$D$5:$D$1005="sacos")*(MOVIMIENTOS!$A$5:$A$1005&lt;&gt;"")*(MOVIMIENTOS!$A$5:$A$1005&lt;=$A626)*MOVIMIENTOS!$E$5:$E$1005)+SUMPRODUCT((MOVIMIENTOS!$B$5:$B$1005="PROCESO")*(MOVIMIENTOS!$C$5:$C$1005="Chancho")*(MOVIMIENTOS!$D$5:$D$1005="sacos")*(MOVIMIENTOS!$A$5:$A$1005&lt;&gt;"")*(MOVIMIENTOS!$A$5:$A$1005&lt;=$A626)*MOVIMIENTOS!$E$5:$E$1005)-SUMPRODUCT((MOVIMIENTOS!$B$5:$B$1005="VENTA CHANCHO")*(MOVIMIENTOS!$C$5:$C$1005="Chancho")*(MOVIMIENTOS!$D$5:$D$1005="sacos")*(MOVIMIENTOS!$A$5:$A$1005&lt;&gt;"")*(MOVIMIENTOS!$A$5:$A$1005&lt;=$A626)*MOVIMIENTOS!$E$5:$E$1005)-SUMPRODUCT((MOVIMIENTOS!$B$5:$B$1005="REGALO")*(MOVIMIENTOS!$C$5:$C$1005="Chancho")*(MOVIMIENTOS!$D$5:$D$1005="sacos")*(MOVIMIENTOS!$A$5:$A$1005&lt;&gt;"")*(MOVIMIENTOS!$A$5:$A$1005&lt;=$A626)*MOVIMIENTOS!$E$5:$E$1005)-SUMPRODUCT((MOVIMIENTOS!$B$5:$B$1005="VENTA")*(MOVIMIENTOS!$C$5:$C$1005="Chancho")*(MOVIMIENTOS!$D$5:$D$1005="sacos")*(MOVIMIENTOS!$A$5:$A$1005&lt;&gt;"")*(MOVIMIENTOS!$A$5:$A$1005&lt;=$A626)*MOVIMIENTOS!$E$5:$E$1005)+SUMPRODUCT((MOVIMIENTOS!$B$5:$B$1005="AJUSTE")*(MOVIMIENTOS!$C$5:$C$1005="Chancho")*(MOVIMIENTOS!$D$5:$D$1005="sacos")*(MOVIMIENTOS!$A$5:$A$1005&lt;&gt;"")*(MOVIMIENTOS!$A$5:$A$1005&lt;=$A626)*MOVIMIENTOS!$E$5:$E$1005))</f>
        <v/>
      </c>
      <c r="G626" s="62" t="str">
        <f t="shared" si="19"/>
        <v/>
      </c>
      <c r="H626" t="str">
        <f>IF($A626="","",SUMPRODUCT((((MOVIMIENTOS!$B$5:$B$1005="SALDO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626)*MOVIMIENTOS!$J$5:$J$1005))</f>
        <v/>
      </c>
      <c r="J626" t="str">
        <f>IF(AND(MOVIMIENTOS!$A631&lt;&gt;"",COUNTIF(MOVIMIENTOS!$A$5:$A630,MOVIMIENTOS!$A631)=0),COUNT(J$4:J625)+1,"")</f>
        <v/>
      </c>
      <c r="K626">
        <f>MOVIMIENTOS!$A631</f>
        <v>0</v>
      </c>
    </row>
    <row r="627" spans="1:11" ht="15" customHeight="1" x14ac:dyDescent="0.2">
      <c r="A627" t="str">
        <f t="shared" si="18"/>
        <v/>
      </c>
      <c r="B627" t="str">
        <f>IF($A627="","",SUMPRODUCT((MOVIMIENTOS!$B$5:$B$1005="SALDO INICIAL")*(MOVIMIENTOS!$C$5:$C$1005="A")*(MOVIMIENTOS!$D$5:$D$1005="jabas")*(MOVIMIENTOS!$A$5:$A$1005&lt;&gt;"")*(MOVIMIENTOS!$A$5:$A$1005&lt;=$A627)*MOVIMIENTOS!$E$5:$E$1005)+SUMPRODUCT((MOVIMIENTOS!$B$5:$B$1005="PROCESO")*(MOVIMIENTOS!$C$5:$C$1005="A")*(MOVIMIENTOS!$D$5:$D$1005="jabas")*(MOVIMIENTOS!$A$5:$A$1005&lt;&gt;"")*(MOVIMIENTOS!$A$5:$A$1005&lt;=$A627)*MOVIMIENTOS!$E$5:$E$1005)-SUMPRODUCT((MOVIMIENTOS!$B$5:$B$1005="ENVÍO A SUPESA")*(MOVIMIENTOS!$C$5:$C$1005="A")*(MOVIMIENTOS!$D$5:$D$1005="jabas")*(MOVIMIENTOS!$A$5:$A$1005&lt;&gt;"")*(MOVIMIENTOS!$A$5:$A$1005&lt;=$A627)*MOVIMIENTOS!$E$5:$E$1005)+SUMPRODUCT((MOVIMIENTOS!$B$5:$B$1005="DEVOLUCIÓN")*(MOVIMIENTOS!$C$5:$C$1005="A")*(MOVIMIENTOS!$D$5:$D$1005="jabas")*(MOVIMIENTOS!$A$5:$A$1005&lt;&gt;"")*(MOVIMIENTOS!$A$5:$A$1005&lt;=$A627)*MOVIMIENTOS!$E$5:$E$1005)-SUMPRODUCT((MOVIMIENTOS!$B$5:$B$1005="TRASIEGO")*(MOVIMIENTOS!$C$5:$C$1005="A")*(MOVIMIENTOS!$D$5:$D$1005="jabas")*(MOVIMIENTOS!$A$5:$A$1005&lt;&gt;"")*(MOVIMIENTOS!$A$5:$A$1005&lt;=$A627)*MOVIMIENTOS!$E$5:$E$1005)-SUMPRODUCT((MOVIMIENTOS!$B$5:$B$1005="REGALO")*(MOVIMIENTOS!$C$5:$C$1005="A")*(MOVIMIENTOS!$D$5:$D$1005="jabas")*(MOVIMIENTOS!$A$5:$A$1005&lt;&gt;"")*(MOVIMIENTOS!$A$5:$A$1005&lt;=$A627)*MOVIMIENTOS!$E$5:$E$1005)-SUMPRODUCT((MOVIMIENTOS!$B$5:$B$1005="VENTA")*(MOVIMIENTOS!$C$5:$C$1005="A")*(MOVIMIENTOS!$D$5:$D$1005="jabas")*(MOVIMIENTOS!$A$5:$A$1005&lt;&gt;"")*(MOVIMIENTOS!$A$5:$A$1005&lt;=$A627)*MOVIMIENTOS!$E$5:$E$1005)+SUMPRODUCT((MOVIMIENTOS!$B$5:$B$1005="AJUSTE")*(MOVIMIENTOS!$C$5:$C$1005="A")*(MOVIMIENTOS!$D$5:$D$1005="jabas")*(MOVIMIENTOS!$A$5:$A$1005&lt;&gt;"")*(MOVIMIENTOS!$A$5:$A$1005&lt;=$A627)*MOVIMIENTOS!$E$5:$E$1005))</f>
        <v/>
      </c>
      <c r="C627" t="str">
        <f>IF($A627="","",SUMPRODUCT((MOVIMIENTOS!$B$5:$B$1005="SALDO INICIAL")*(MOVIMIENTOS!$C$5:$C$1005="P")*(MOVIMIENTOS!$D$5:$D$1005="jabas")*(MOVIMIENTOS!$A$5:$A$1005&lt;&gt;"")*(MOVIMIENTOS!$A$5:$A$1005&lt;=$A627)*MOVIMIENTOS!$E$5:$E$1005)+SUMPRODUCT((MOVIMIENTOS!$B$5:$B$1005="PROCESO")*(MOVIMIENTOS!$C$5:$C$1005="P")*(MOVIMIENTOS!$D$5:$D$1005="jabas")*(MOVIMIENTOS!$A$5:$A$1005&lt;&gt;"")*(MOVIMIENTOS!$A$5:$A$1005&lt;=$A627)*MOVIMIENTOS!$E$5:$E$1005)-SUMPRODUCT((MOVIMIENTOS!$B$5:$B$1005="ENVÍO A SUPESA")*(MOVIMIENTOS!$C$5:$C$1005="P")*(MOVIMIENTOS!$D$5:$D$1005="jabas")*(MOVIMIENTOS!$A$5:$A$1005&lt;&gt;"")*(MOVIMIENTOS!$A$5:$A$1005&lt;=$A627)*MOVIMIENTOS!$E$5:$E$1005)+SUMPRODUCT((MOVIMIENTOS!$B$5:$B$1005="DEVOLUCIÓN")*(MOVIMIENTOS!$C$5:$C$1005="P")*(MOVIMIENTOS!$D$5:$D$1005="jabas")*(MOVIMIENTOS!$A$5:$A$1005&lt;&gt;"")*(MOVIMIENTOS!$A$5:$A$1005&lt;=$A627)*MOVIMIENTOS!$E$5:$E$1005)-SUMPRODUCT((MOVIMIENTOS!$B$5:$B$1005="TRASIEGO")*(MOVIMIENTOS!$C$5:$C$1005="P")*(MOVIMIENTOS!$D$5:$D$1005="jabas")*(MOVIMIENTOS!$A$5:$A$1005&lt;&gt;"")*(MOVIMIENTOS!$A$5:$A$1005&lt;=$A627)*MOVIMIENTOS!$E$5:$E$1005)-SUMPRODUCT((MOVIMIENTOS!$B$5:$B$1005="REGALO")*(MOVIMIENTOS!$C$5:$C$1005="P")*(MOVIMIENTOS!$D$5:$D$1005="jabas")*(MOVIMIENTOS!$A$5:$A$1005&lt;&gt;"")*(MOVIMIENTOS!$A$5:$A$1005&lt;=$A627)*MOVIMIENTOS!$E$5:$E$1005)-SUMPRODUCT((MOVIMIENTOS!$B$5:$B$1005="VENTA")*(MOVIMIENTOS!$C$5:$C$1005="P")*(MOVIMIENTOS!$D$5:$D$1005="jabas")*(MOVIMIENTOS!$A$5:$A$1005&lt;&gt;"")*(MOVIMIENTOS!$A$5:$A$1005&lt;=$A627)*MOVIMIENTOS!$E$5:$E$1005)+SUMPRODUCT((MOVIMIENTOS!$B$5:$B$1005="AJUSTE")*(MOVIMIENTOS!$C$5:$C$1005="P")*(MOVIMIENTOS!$D$5:$D$1005="jabas")*(MOVIMIENTOS!$A$5:$A$1005&lt;&gt;"")*(MOVIMIENTOS!$A$5:$A$1005&lt;=$A627)*MOVIMIENTOS!$E$5:$E$1005))</f>
        <v/>
      </c>
      <c r="D627" t="str">
        <f>IF($A627="","",SUMPRODUCT((MOVIMIENTOS!$B$5:$B$1005="SALDO INICIAL")*(MOVIMIENTOS!$C$5:$C$1005="C")*(MOVIMIENTOS!$D$5:$D$1005="jabas")*(MOVIMIENTOS!$A$5:$A$1005&lt;&gt;"")*(MOVIMIENTOS!$A$5:$A$1005&lt;=$A627)*MOVIMIENTOS!$E$5:$E$1005)+SUMPRODUCT((MOVIMIENTOS!$B$5:$B$1005="PROCESO")*(MOVIMIENTOS!$C$5:$C$1005="C")*(MOVIMIENTOS!$D$5:$D$1005="jabas")*(MOVIMIENTOS!$A$5:$A$1005&lt;&gt;"")*(MOVIMIENTOS!$A$5:$A$1005&lt;=$A627)*MOVIMIENTOS!$E$5:$E$1005)-SUMPRODUCT((MOVIMIENTOS!$B$5:$B$1005="ENVÍO A SUPESA")*(MOVIMIENTOS!$C$5:$C$1005="C")*(MOVIMIENTOS!$D$5:$D$1005="jabas")*(MOVIMIENTOS!$A$5:$A$1005&lt;&gt;"")*(MOVIMIENTOS!$A$5:$A$1005&lt;=$A627)*MOVIMIENTOS!$E$5:$E$1005)+SUMPRODUCT((MOVIMIENTOS!$B$5:$B$1005="DEVOLUCIÓN")*(MOVIMIENTOS!$C$5:$C$1005="C")*(MOVIMIENTOS!$D$5:$D$1005="jabas")*(MOVIMIENTOS!$A$5:$A$1005&lt;&gt;"")*(MOVIMIENTOS!$A$5:$A$1005&lt;=$A627)*MOVIMIENTOS!$E$5:$E$1005)-SUMPRODUCT((MOVIMIENTOS!$B$5:$B$1005="TRASIEGO")*(MOVIMIENTOS!$C$5:$C$1005="C")*(MOVIMIENTOS!$D$5:$D$1005="jabas")*(MOVIMIENTOS!$A$5:$A$1005&lt;&gt;"")*(MOVIMIENTOS!$A$5:$A$1005&lt;=$A627)*MOVIMIENTOS!$E$5:$E$1005)-SUMPRODUCT((MOVIMIENTOS!$B$5:$B$1005="REGALO")*(MOVIMIENTOS!$C$5:$C$1005="C")*(MOVIMIENTOS!$D$5:$D$1005="jabas")*(MOVIMIENTOS!$A$5:$A$1005&lt;&gt;"")*(MOVIMIENTOS!$A$5:$A$1005&lt;=$A627)*MOVIMIENTOS!$E$5:$E$1005)-SUMPRODUCT((MOVIMIENTOS!$B$5:$B$1005="VENTA")*(MOVIMIENTOS!$C$5:$C$1005="C")*(MOVIMIENTOS!$D$5:$D$1005="jabas")*(MOVIMIENTOS!$A$5:$A$1005&lt;&gt;"")*(MOVIMIENTOS!$A$5:$A$1005&lt;=$A627)*MOVIMIENTOS!$E$5:$E$1005)+SUMPRODUCT((MOVIMIENTOS!$B$5:$B$1005="AJUSTE")*(MOVIMIENTOS!$C$5:$C$1005="C")*(MOVIMIENTOS!$D$5:$D$1005="jabas")*(MOVIMIENTOS!$A$5:$A$1005&lt;&gt;"")*(MOVIMIENTOS!$A$5:$A$1005&lt;=$A627)*MOVIMIENTOS!$E$5:$E$1005))</f>
        <v/>
      </c>
      <c r="E627" t="str">
        <f>IF($A627="","",SUMPRODUCT((MOVIMIENTOS!$B$5:$B$1005="SALDO INICIAL")*(MOVIMIENTOS!$C$5:$C$1005="M")*(MOVIMIENTOS!$D$5:$D$1005="jabas")*(MOVIMIENTOS!$A$5:$A$1005&lt;&gt;"")*(MOVIMIENTOS!$A$5:$A$1005&lt;=$A627)*MOVIMIENTOS!$E$5:$E$1005)+SUMPRODUCT((MOVIMIENTOS!$B$5:$B$1005="PROCESO")*(MOVIMIENTOS!$C$5:$C$1005="M")*(MOVIMIENTOS!$D$5:$D$1005="jabas")*(MOVIMIENTOS!$A$5:$A$1005&lt;&gt;"")*(MOVIMIENTOS!$A$5:$A$1005&lt;=$A627)*MOVIMIENTOS!$E$5:$E$1005)-SUMPRODUCT((MOVIMIENTOS!$B$5:$B$1005="ENVÍO A SUPESA")*(MOVIMIENTOS!$C$5:$C$1005="M")*(MOVIMIENTOS!$D$5:$D$1005="jabas")*(MOVIMIENTOS!$A$5:$A$1005&lt;&gt;"")*(MOVIMIENTOS!$A$5:$A$1005&lt;=$A627)*MOVIMIENTOS!$E$5:$E$1005)+SUMPRODUCT((MOVIMIENTOS!$B$5:$B$1005="DEVOLUCIÓN")*(MOVIMIENTOS!$C$5:$C$1005="M")*(MOVIMIENTOS!$D$5:$D$1005="jabas")*(MOVIMIENTOS!$A$5:$A$1005&lt;&gt;"")*(MOVIMIENTOS!$A$5:$A$1005&lt;=$A627)*MOVIMIENTOS!$E$5:$E$1005)-SUMPRODUCT((MOVIMIENTOS!$B$5:$B$1005="TRASIEGO")*(MOVIMIENTOS!$C$5:$C$1005="M")*(MOVIMIENTOS!$D$5:$D$1005="jabas")*(MOVIMIENTOS!$A$5:$A$1005&lt;&gt;"")*(MOVIMIENTOS!$A$5:$A$1005&lt;=$A627)*MOVIMIENTOS!$E$5:$E$1005)-SUMPRODUCT((MOVIMIENTOS!$B$5:$B$1005="REGALO")*(MOVIMIENTOS!$C$5:$C$1005="M")*(MOVIMIENTOS!$D$5:$D$1005="jabas")*(MOVIMIENTOS!$A$5:$A$1005&lt;&gt;"")*(MOVIMIENTOS!$A$5:$A$1005&lt;=$A627)*MOVIMIENTOS!$E$5:$E$1005)-SUMPRODUCT((MOVIMIENTOS!$B$5:$B$1005="VENTA")*(MOVIMIENTOS!$C$5:$C$1005="M")*(MOVIMIENTOS!$D$5:$D$1005="jabas")*(MOVIMIENTOS!$A$5:$A$1005&lt;&gt;"")*(MOVIMIENTOS!$A$5:$A$1005&lt;=$A627)*MOVIMIENTOS!$E$5:$E$1005)+SUMPRODUCT((MOVIMIENTOS!$B$5:$B$1005="AJUSTE")*(MOVIMIENTOS!$C$5:$C$1005="M")*(MOVIMIENTOS!$D$5:$D$1005="jabas")*(MOVIMIENTOS!$A$5:$A$1005&lt;&gt;"")*(MOVIMIENTOS!$A$5:$A$1005&lt;=$A627)*MOVIMIENTOS!$E$5:$E$1005))</f>
        <v/>
      </c>
      <c r="F627" s="62" t="str">
        <f>IF($A627="","",SUMPRODUCT((MOVIMIENTOS!$B$5:$B$1005="SALDO INICIAL")*(MOVIMIENTOS!$C$5:$C$1005="Chancho")*(MOVIMIENTOS!$D$5:$D$1005="sacos")*(MOVIMIENTOS!$A$5:$A$1005&lt;&gt;"")*(MOVIMIENTOS!$A$5:$A$1005&lt;=$A627)*MOVIMIENTOS!$E$5:$E$1005)+SUMPRODUCT((MOVIMIENTOS!$B$5:$B$1005="PROCESO")*(MOVIMIENTOS!$C$5:$C$1005="Chancho")*(MOVIMIENTOS!$D$5:$D$1005="sacos")*(MOVIMIENTOS!$A$5:$A$1005&lt;&gt;"")*(MOVIMIENTOS!$A$5:$A$1005&lt;=$A627)*MOVIMIENTOS!$E$5:$E$1005)-SUMPRODUCT((MOVIMIENTOS!$B$5:$B$1005="VENTA CHANCHO")*(MOVIMIENTOS!$C$5:$C$1005="Chancho")*(MOVIMIENTOS!$D$5:$D$1005="sacos")*(MOVIMIENTOS!$A$5:$A$1005&lt;&gt;"")*(MOVIMIENTOS!$A$5:$A$1005&lt;=$A627)*MOVIMIENTOS!$E$5:$E$1005)-SUMPRODUCT((MOVIMIENTOS!$B$5:$B$1005="REGALO")*(MOVIMIENTOS!$C$5:$C$1005="Chancho")*(MOVIMIENTOS!$D$5:$D$1005="sacos")*(MOVIMIENTOS!$A$5:$A$1005&lt;&gt;"")*(MOVIMIENTOS!$A$5:$A$1005&lt;=$A627)*MOVIMIENTOS!$E$5:$E$1005)-SUMPRODUCT((MOVIMIENTOS!$B$5:$B$1005="VENTA")*(MOVIMIENTOS!$C$5:$C$1005="Chancho")*(MOVIMIENTOS!$D$5:$D$1005="sacos")*(MOVIMIENTOS!$A$5:$A$1005&lt;&gt;"")*(MOVIMIENTOS!$A$5:$A$1005&lt;=$A627)*MOVIMIENTOS!$E$5:$E$1005)+SUMPRODUCT((MOVIMIENTOS!$B$5:$B$1005="AJUSTE")*(MOVIMIENTOS!$C$5:$C$1005="Chancho")*(MOVIMIENTOS!$D$5:$D$1005="sacos")*(MOVIMIENTOS!$A$5:$A$1005&lt;&gt;"")*(MOVIMIENTOS!$A$5:$A$1005&lt;=$A627)*MOVIMIENTOS!$E$5:$E$1005))</f>
        <v/>
      </c>
      <c r="G627" s="62" t="str">
        <f t="shared" si="19"/>
        <v/>
      </c>
      <c r="H627" t="str">
        <f>IF($A627="","",SUMPRODUCT((((MOVIMIENTOS!$B$5:$B$1005="SALDO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627)*MOVIMIENTOS!$J$5:$J$1005))</f>
        <v/>
      </c>
      <c r="J627" t="str">
        <f>IF(AND(MOVIMIENTOS!$A632&lt;&gt;"",COUNTIF(MOVIMIENTOS!$A$5:$A631,MOVIMIENTOS!$A632)=0),COUNT(J$4:J626)+1,"")</f>
        <v/>
      </c>
      <c r="K627">
        <f>MOVIMIENTOS!$A632</f>
        <v>0</v>
      </c>
    </row>
    <row r="628" spans="1:11" ht="15" customHeight="1" x14ac:dyDescent="0.2">
      <c r="A628" t="str">
        <f t="shared" si="18"/>
        <v/>
      </c>
      <c r="B628" t="str">
        <f>IF($A628="","",SUMPRODUCT((MOVIMIENTOS!$B$5:$B$1005="SALDO INICIAL")*(MOVIMIENTOS!$C$5:$C$1005="A")*(MOVIMIENTOS!$D$5:$D$1005="jabas")*(MOVIMIENTOS!$A$5:$A$1005&lt;&gt;"")*(MOVIMIENTOS!$A$5:$A$1005&lt;=$A628)*MOVIMIENTOS!$E$5:$E$1005)+SUMPRODUCT((MOVIMIENTOS!$B$5:$B$1005="PROCESO")*(MOVIMIENTOS!$C$5:$C$1005="A")*(MOVIMIENTOS!$D$5:$D$1005="jabas")*(MOVIMIENTOS!$A$5:$A$1005&lt;&gt;"")*(MOVIMIENTOS!$A$5:$A$1005&lt;=$A628)*MOVIMIENTOS!$E$5:$E$1005)-SUMPRODUCT((MOVIMIENTOS!$B$5:$B$1005="ENVÍO A SUPESA")*(MOVIMIENTOS!$C$5:$C$1005="A")*(MOVIMIENTOS!$D$5:$D$1005="jabas")*(MOVIMIENTOS!$A$5:$A$1005&lt;&gt;"")*(MOVIMIENTOS!$A$5:$A$1005&lt;=$A628)*MOVIMIENTOS!$E$5:$E$1005)+SUMPRODUCT((MOVIMIENTOS!$B$5:$B$1005="DEVOLUCIÓN")*(MOVIMIENTOS!$C$5:$C$1005="A")*(MOVIMIENTOS!$D$5:$D$1005="jabas")*(MOVIMIENTOS!$A$5:$A$1005&lt;&gt;"")*(MOVIMIENTOS!$A$5:$A$1005&lt;=$A628)*MOVIMIENTOS!$E$5:$E$1005)-SUMPRODUCT((MOVIMIENTOS!$B$5:$B$1005="TRASIEGO")*(MOVIMIENTOS!$C$5:$C$1005="A")*(MOVIMIENTOS!$D$5:$D$1005="jabas")*(MOVIMIENTOS!$A$5:$A$1005&lt;&gt;"")*(MOVIMIENTOS!$A$5:$A$1005&lt;=$A628)*MOVIMIENTOS!$E$5:$E$1005)-SUMPRODUCT((MOVIMIENTOS!$B$5:$B$1005="REGALO")*(MOVIMIENTOS!$C$5:$C$1005="A")*(MOVIMIENTOS!$D$5:$D$1005="jabas")*(MOVIMIENTOS!$A$5:$A$1005&lt;&gt;"")*(MOVIMIENTOS!$A$5:$A$1005&lt;=$A628)*MOVIMIENTOS!$E$5:$E$1005)-SUMPRODUCT((MOVIMIENTOS!$B$5:$B$1005="VENTA")*(MOVIMIENTOS!$C$5:$C$1005="A")*(MOVIMIENTOS!$D$5:$D$1005="jabas")*(MOVIMIENTOS!$A$5:$A$1005&lt;&gt;"")*(MOVIMIENTOS!$A$5:$A$1005&lt;=$A628)*MOVIMIENTOS!$E$5:$E$1005)+SUMPRODUCT((MOVIMIENTOS!$B$5:$B$1005="AJUSTE")*(MOVIMIENTOS!$C$5:$C$1005="A")*(MOVIMIENTOS!$D$5:$D$1005="jabas")*(MOVIMIENTOS!$A$5:$A$1005&lt;&gt;"")*(MOVIMIENTOS!$A$5:$A$1005&lt;=$A628)*MOVIMIENTOS!$E$5:$E$1005))</f>
        <v/>
      </c>
      <c r="C628" t="str">
        <f>IF($A628="","",SUMPRODUCT((MOVIMIENTOS!$B$5:$B$1005="SALDO INICIAL")*(MOVIMIENTOS!$C$5:$C$1005="P")*(MOVIMIENTOS!$D$5:$D$1005="jabas")*(MOVIMIENTOS!$A$5:$A$1005&lt;&gt;"")*(MOVIMIENTOS!$A$5:$A$1005&lt;=$A628)*MOVIMIENTOS!$E$5:$E$1005)+SUMPRODUCT((MOVIMIENTOS!$B$5:$B$1005="PROCESO")*(MOVIMIENTOS!$C$5:$C$1005="P")*(MOVIMIENTOS!$D$5:$D$1005="jabas")*(MOVIMIENTOS!$A$5:$A$1005&lt;&gt;"")*(MOVIMIENTOS!$A$5:$A$1005&lt;=$A628)*MOVIMIENTOS!$E$5:$E$1005)-SUMPRODUCT((MOVIMIENTOS!$B$5:$B$1005="ENVÍO A SUPESA")*(MOVIMIENTOS!$C$5:$C$1005="P")*(MOVIMIENTOS!$D$5:$D$1005="jabas")*(MOVIMIENTOS!$A$5:$A$1005&lt;&gt;"")*(MOVIMIENTOS!$A$5:$A$1005&lt;=$A628)*MOVIMIENTOS!$E$5:$E$1005)+SUMPRODUCT((MOVIMIENTOS!$B$5:$B$1005="DEVOLUCIÓN")*(MOVIMIENTOS!$C$5:$C$1005="P")*(MOVIMIENTOS!$D$5:$D$1005="jabas")*(MOVIMIENTOS!$A$5:$A$1005&lt;&gt;"")*(MOVIMIENTOS!$A$5:$A$1005&lt;=$A628)*MOVIMIENTOS!$E$5:$E$1005)-SUMPRODUCT((MOVIMIENTOS!$B$5:$B$1005="TRASIEGO")*(MOVIMIENTOS!$C$5:$C$1005="P")*(MOVIMIENTOS!$D$5:$D$1005="jabas")*(MOVIMIENTOS!$A$5:$A$1005&lt;&gt;"")*(MOVIMIENTOS!$A$5:$A$1005&lt;=$A628)*MOVIMIENTOS!$E$5:$E$1005)-SUMPRODUCT((MOVIMIENTOS!$B$5:$B$1005="REGALO")*(MOVIMIENTOS!$C$5:$C$1005="P")*(MOVIMIENTOS!$D$5:$D$1005="jabas")*(MOVIMIENTOS!$A$5:$A$1005&lt;&gt;"")*(MOVIMIENTOS!$A$5:$A$1005&lt;=$A628)*MOVIMIENTOS!$E$5:$E$1005)-SUMPRODUCT((MOVIMIENTOS!$B$5:$B$1005="VENTA")*(MOVIMIENTOS!$C$5:$C$1005="P")*(MOVIMIENTOS!$D$5:$D$1005="jabas")*(MOVIMIENTOS!$A$5:$A$1005&lt;&gt;"")*(MOVIMIENTOS!$A$5:$A$1005&lt;=$A628)*MOVIMIENTOS!$E$5:$E$1005)+SUMPRODUCT((MOVIMIENTOS!$B$5:$B$1005="AJUSTE")*(MOVIMIENTOS!$C$5:$C$1005="P")*(MOVIMIENTOS!$D$5:$D$1005="jabas")*(MOVIMIENTOS!$A$5:$A$1005&lt;&gt;"")*(MOVIMIENTOS!$A$5:$A$1005&lt;=$A628)*MOVIMIENTOS!$E$5:$E$1005))</f>
        <v/>
      </c>
      <c r="D628" t="str">
        <f>IF($A628="","",SUMPRODUCT((MOVIMIENTOS!$B$5:$B$1005="SALDO INICIAL")*(MOVIMIENTOS!$C$5:$C$1005="C")*(MOVIMIENTOS!$D$5:$D$1005="jabas")*(MOVIMIENTOS!$A$5:$A$1005&lt;&gt;"")*(MOVIMIENTOS!$A$5:$A$1005&lt;=$A628)*MOVIMIENTOS!$E$5:$E$1005)+SUMPRODUCT((MOVIMIENTOS!$B$5:$B$1005="PROCESO")*(MOVIMIENTOS!$C$5:$C$1005="C")*(MOVIMIENTOS!$D$5:$D$1005="jabas")*(MOVIMIENTOS!$A$5:$A$1005&lt;&gt;"")*(MOVIMIENTOS!$A$5:$A$1005&lt;=$A628)*MOVIMIENTOS!$E$5:$E$1005)-SUMPRODUCT((MOVIMIENTOS!$B$5:$B$1005="ENVÍO A SUPESA")*(MOVIMIENTOS!$C$5:$C$1005="C")*(MOVIMIENTOS!$D$5:$D$1005="jabas")*(MOVIMIENTOS!$A$5:$A$1005&lt;&gt;"")*(MOVIMIENTOS!$A$5:$A$1005&lt;=$A628)*MOVIMIENTOS!$E$5:$E$1005)+SUMPRODUCT((MOVIMIENTOS!$B$5:$B$1005="DEVOLUCIÓN")*(MOVIMIENTOS!$C$5:$C$1005="C")*(MOVIMIENTOS!$D$5:$D$1005="jabas")*(MOVIMIENTOS!$A$5:$A$1005&lt;&gt;"")*(MOVIMIENTOS!$A$5:$A$1005&lt;=$A628)*MOVIMIENTOS!$E$5:$E$1005)-SUMPRODUCT((MOVIMIENTOS!$B$5:$B$1005="TRASIEGO")*(MOVIMIENTOS!$C$5:$C$1005="C")*(MOVIMIENTOS!$D$5:$D$1005="jabas")*(MOVIMIENTOS!$A$5:$A$1005&lt;&gt;"")*(MOVIMIENTOS!$A$5:$A$1005&lt;=$A628)*MOVIMIENTOS!$E$5:$E$1005)-SUMPRODUCT((MOVIMIENTOS!$B$5:$B$1005="REGALO")*(MOVIMIENTOS!$C$5:$C$1005="C")*(MOVIMIENTOS!$D$5:$D$1005="jabas")*(MOVIMIENTOS!$A$5:$A$1005&lt;&gt;"")*(MOVIMIENTOS!$A$5:$A$1005&lt;=$A628)*MOVIMIENTOS!$E$5:$E$1005)-SUMPRODUCT((MOVIMIENTOS!$B$5:$B$1005="VENTA")*(MOVIMIENTOS!$C$5:$C$1005="C")*(MOVIMIENTOS!$D$5:$D$1005="jabas")*(MOVIMIENTOS!$A$5:$A$1005&lt;&gt;"")*(MOVIMIENTOS!$A$5:$A$1005&lt;=$A628)*MOVIMIENTOS!$E$5:$E$1005)+SUMPRODUCT((MOVIMIENTOS!$B$5:$B$1005="AJUSTE")*(MOVIMIENTOS!$C$5:$C$1005="C")*(MOVIMIENTOS!$D$5:$D$1005="jabas")*(MOVIMIENTOS!$A$5:$A$1005&lt;&gt;"")*(MOVIMIENTOS!$A$5:$A$1005&lt;=$A628)*MOVIMIENTOS!$E$5:$E$1005))</f>
        <v/>
      </c>
      <c r="E628" t="str">
        <f>IF($A628="","",SUMPRODUCT((MOVIMIENTOS!$B$5:$B$1005="SALDO INICIAL")*(MOVIMIENTOS!$C$5:$C$1005="M")*(MOVIMIENTOS!$D$5:$D$1005="jabas")*(MOVIMIENTOS!$A$5:$A$1005&lt;&gt;"")*(MOVIMIENTOS!$A$5:$A$1005&lt;=$A628)*MOVIMIENTOS!$E$5:$E$1005)+SUMPRODUCT((MOVIMIENTOS!$B$5:$B$1005="PROCESO")*(MOVIMIENTOS!$C$5:$C$1005="M")*(MOVIMIENTOS!$D$5:$D$1005="jabas")*(MOVIMIENTOS!$A$5:$A$1005&lt;&gt;"")*(MOVIMIENTOS!$A$5:$A$1005&lt;=$A628)*MOVIMIENTOS!$E$5:$E$1005)-SUMPRODUCT((MOVIMIENTOS!$B$5:$B$1005="ENVÍO A SUPESA")*(MOVIMIENTOS!$C$5:$C$1005="M")*(MOVIMIENTOS!$D$5:$D$1005="jabas")*(MOVIMIENTOS!$A$5:$A$1005&lt;&gt;"")*(MOVIMIENTOS!$A$5:$A$1005&lt;=$A628)*MOVIMIENTOS!$E$5:$E$1005)+SUMPRODUCT((MOVIMIENTOS!$B$5:$B$1005="DEVOLUCIÓN")*(MOVIMIENTOS!$C$5:$C$1005="M")*(MOVIMIENTOS!$D$5:$D$1005="jabas")*(MOVIMIENTOS!$A$5:$A$1005&lt;&gt;"")*(MOVIMIENTOS!$A$5:$A$1005&lt;=$A628)*MOVIMIENTOS!$E$5:$E$1005)-SUMPRODUCT((MOVIMIENTOS!$B$5:$B$1005="TRASIEGO")*(MOVIMIENTOS!$C$5:$C$1005="M")*(MOVIMIENTOS!$D$5:$D$1005="jabas")*(MOVIMIENTOS!$A$5:$A$1005&lt;&gt;"")*(MOVIMIENTOS!$A$5:$A$1005&lt;=$A628)*MOVIMIENTOS!$E$5:$E$1005)-SUMPRODUCT((MOVIMIENTOS!$B$5:$B$1005="REGALO")*(MOVIMIENTOS!$C$5:$C$1005="M")*(MOVIMIENTOS!$D$5:$D$1005="jabas")*(MOVIMIENTOS!$A$5:$A$1005&lt;&gt;"")*(MOVIMIENTOS!$A$5:$A$1005&lt;=$A628)*MOVIMIENTOS!$E$5:$E$1005)-SUMPRODUCT((MOVIMIENTOS!$B$5:$B$1005="VENTA")*(MOVIMIENTOS!$C$5:$C$1005="M")*(MOVIMIENTOS!$D$5:$D$1005="jabas")*(MOVIMIENTOS!$A$5:$A$1005&lt;&gt;"")*(MOVIMIENTOS!$A$5:$A$1005&lt;=$A628)*MOVIMIENTOS!$E$5:$E$1005)+SUMPRODUCT((MOVIMIENTOS!$B$5:$B$1005="AJUSTE")*(MOVIMIENTOS!$C$5:$C$1005="M")*(MOVIMIENTOS!$D$5:$D$1005="jabas")*(MOVIMIENTOS!$A$5:$A$1005&lt;&gt;"")*(MOVIMIENTOS!$A$5:$A$1005&lt;=$A628)*MOVIMIENTOS!$E$5:$E$1005))</f>
        <v/>
      </c>
      <c r="F628" s="62" t="str">
        <f>IF($A628="","",SUMPRODUCT((MOVIMIENTOS!$B$5:$B$1005="SALDO INICIAL")*(MOVIMIENTOS!$C$5:$C$1005="Chancho")*(MOVIMIENTOS!$D$5:$D$1005="sacos")*(MOVIMIENTOS!$A$5:$A$1005&lt;&gt;"")*(MOVIMIENTOS!$A$5:$A$1005&lt;=$A628)*MOVIMIENTOS!$E$5:$E$1005)+SUMPRODUCT((MOVIMIENTOS!$B$5:$B$1005="PROCESO")*(MOVIMIENTOS!$C$5:$C$1005="Chancho")*(MOVIMIENTOS!$D$5:$D$1005="sacos")*(MOVIMIENTOS!$A$5:$A$1005&lt;&gt;"")*(MOVIMIENTOS!$A$5:$A$1005&lt;=$A628)*MOVIMIENTOS!$E$5:$E$1005)-SUMPRODUCT((MOVIMIENTOS!$B$5:$B$1005="VENTA CHANCHO")*(MOVIMIENTOS!$C$5:$C$1005="Chancho")*(MOVIMIENTOS!$D$5:$D$1005="sacos")*(MOVIMIENTOS!$A$5:$A$1005&lt;&gt;"")*(MOVIMIENTOS!$A$5:$A$1005&lt;=$A628)*MOVIMIENTOS!$E$5:$E$1005)-SUMPRODUCT((MOVIMIENTOS!$B$5:$B$1005="REGALO")*(MOVIMIENTOS!$C$5:$C$1005="Chancho")*(MOVIMIENTOS!$D$5:$D$1005="sacos")*(MOVIMIENTOS!$A$5:$A$1005&lt;&gt;"")*(MOVIMIENTOS!$A$5:$A$1005&lt;=$A628)*MOVIMIENTOS!$E$5:$E$1005)-SUMPRODUCT((MOVIMIENTOS!$B$5:$B$1005="VENTA")*(MOVIMIENTOS!$C$5:$C$1005="Chancho")*(MOVIMIENTOS!$D$5:$D$1005="sacos")*(MOVIMIENTOS!$A$5:$A$1005&lt;&gt;"")*(MOVIMIENTOS!$A$5:$A$1005&lt;=$A628)*MOVIMIENTOS!$E$5:$E$1005)+SUMPRODUCT((MOVIMIENTOS!$B$5:$B$1005="AJUSTE")*(MOVIMIENTOS!$C$5:$C$1005="Chancho")*(MOVIMIENTOS!$D$5:$D$1005="sacos")*(MOVIMIENTOS!$A$5:$A$1005&lt;&gt;"")*(MOVIMIENTOS!$A$5:$A$1005&lt;=$A628)*MOVIMIENTOS!$E$5:$E$1005))</f>
        <v/>
      </c>
      <c r="G628" s="62" t="str">
        <f t="shared" si="19"/>
        <v/>
      </c>
      <c r="H628" t="str">
        <f>IF($A628="","",SUMPRODUCT((((MOVIMIENTOS!$B$5:$B$1005="SALDO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628)*MOVIMIENTOS!$J$5:$J$1005))</f>
        <v/>
      </c>
      <c r="J628" t="str">
        <f>IF(AND(MOVIMIENTOS!$A633&lt;&gt;"",COUNTIF(MOVIMIENTOS!$A$5:$A632,MOVIMIENTOS!$A633)=0),COUNT(J$4:J627)+1,"")</f>
        <v/>
      </c>
      <c r="K628">
        <f>MOVIMIENTOS!$A633</f>
        <v>0</v>
      </c>
    </row>
    <row r="629" spans="1:11" ht="15" customHeight="1" x14ac:dyDescent="0.2">
      <c r="A629" t="str">
        <f t="shared" si="18"/>
        <v/>
      </c>
      <c r="B629" t="str">
        <f>IF($A629="","",SUMPRODUCT((MOVIMIENTOS!$B$5:$B$1005="SALDO INICIAL")*(MOVIMIENTOS!$C$5:$C$1005="A")*(MOVIMIENTOS!$D$5:$D$1005="jabas")*(MOVIMIENTOS!$A$5:$A$1005&lt;&gt;"")*(MOVIMIENTOS!$A$5:$A$1005&lt;=$A629)*MOVIMIENTOS!$E$5:$E$1005)+SUMPRODUCT((MOVIMIENTOS!$B$5:$B$1005="PROCESO")*(MOVIMIENTOS!$C$5:$C$1005="A")*(MOVIMIENTOS!$D$5:$D$1005="jabas")*(MOVIMIENTOS!$A$5:$A$1005&lt;&gt;"")*(MOVIMIENTOS!$A$5:$A$1005&lt;=$A629)*MOVIMIENTOS!$E$5:$E$1005)-SUMPRODUCT((MOVIMIENTOS!$B$5:$B$1005="ENVÍO A SUPESA")*(MOVIMIENTOS!$C$5:$C$1005="A")*(MOVIMIENTOS!$D$5:$D$1005="jabas")*(MOVIMIENTOS!$A$5:$A$1005&lt;&gt;"")*(MOVIMIENTOS!$A$5:$A$1005&lt;=$A629)*MOVIMIENTOS!$E$5:$E$1005)+SUMPRODUCT((MOVIMIENTOS!$B$5:$B$1005="DEVOLUCIÓN")*(MOVIMIENTOS!$C$5:$C$1005="A")*(MOVIMIENTOS!$D$5:$D$1005="jabas")*(MOVIMIENTOS!$A$5:$A$1005&lt;&gt;"")*(MOVIMIENTOS!$A$5:$A$1005&lt;=$A629)*MOVIMIENTOS!$E$5:$E$1005)-SUMPRODUCT((MOVIMIENTOS!$B$5:$B$1005="TRASIEGO")*(MOVIMIENTOS!$C$5:$C$1005="A")*(MOVIMIENTOS!$D$5:$D$1005="jabas")*(MOVIMIENTOS!$A$5:$A$1005&lt;&gt;"")*(MOVIMIENTOS!$A$5:$A$1005&lt;=$A629)*MOVIMIENTOS!$E$5:$E$1005)-SUMPRODUCT((MOVIMIENTOS!$B$5:$B$1005="REGALO")*(MOVIMIENTOS!$C$5:$C$1005="A")*(MOVIMIENTOS!$D$5:$D$1005="jabas")*(MOVIMIENTOS!$A$5:$A$1005&lt;&gt;"")*(MOVIMIENTOS!$A$5:$A$1005&lt;=$A629)*MOVIMIENTOS!$E$5:$E$1005)-SUMPRODUCT((MOVIMIENTOS!$B$5:$B$1005="VENTA")*(MOVIMIENTOS!$C$5:$C$1005="A")*(MOVIMIENTOS!$D$5:$D$1005="jabas")*(MOVIMIENTOS!$A$5:$A$1005&lt;&gt;"")*(MOVIMIENTOS!$A$5:$A$1005&lt;=$A629)*MOVIMIENTOS!$E$5:$E$1005)+SUMPRODUCT((MOVIMIENTOS!$B$5:$B$1005="AJUSTE")*(MOVIMIENTOS!$C$5:$C$1005="A")*(MOVIMIENTOS!$D$5:$D$1005="jabas")*(MOVIMIENTOS!$A$5:$A$1005&lt;&gt;"")*(MOVIMIENTOS!$A$5:$A$1005&lt;=$A629)*MOVIMIENTOS!$E$5:$E$1005))</f>
        <v/>
      </c>
      <c r="C629" t="str">
        <f>IF($A629="","",SUMPRODUCT((MOVIMIENTOS!$B$5:$B$1005="SALDO INICIAL")*(MOVIMIENTOS!$C$5:$C$1005="P")*(MOVIMIENTOS!$D$5:$D$1005="jabas")*(MOVIMIENTOS!$A$5:$A$1005&lt;&gt;"")*(MOVIMIENTOS!$A$5:$A$1005&lt;=$A629)*MOVIMIENTOS!$E$5:$E$1005)+SUMPRODUCT((MOVIMIENTOS!$B$5:$B$1005="PROCESO")*(MOVIMIENTOS!$C$5:$C$1005="P")*(MOVIMIENTOS!$D$5:$D$1005="jabas")*(MOVIMIENTOS!$A$5:$A$1005&lt;&gt;"")*(MOVIMIENTOS!$A$5:$A$1005&lt;=$A629)*MOVIMIENTOS!$E$5:$E$1005)-SUMPRODUCT((MOVIMIENTOS!$B$5:$B$1005="ENVÍO A SUPESA")*(MOVIMIENTOS!$C$5:$C$1005="P")*(MOVIMIENTOS!$D$5:$D$1005="jabas")*(MOVIMIENTOS!$A$5:$A$1005&lt;&gt;"")*(MOVIMIENTOS!$A$5:$A$1005&lt;=$A629)*MOVIMIENTOS!$E$5:$E$1005)+SUMPRODUCT((MOVIMIENTOS!$B$5:$B$1005="DEVOLUCIÓN")*(MOVIMIENTOS!$C$5:$C$1005="P")*(MOVIMIENTOS!$D$5:$D$1005="jabas")*(MOVIMIENTOS!$A$5:$A$1005&lt;&gt;"")*(MOVIMIENTOS!$A$5:$A$1005&lt;=$A629)*MOVIMIENTOS!$E$5:$E$1005)-SUMPRODUCT((MOVIMIENTOS!$B$5:$B$1005="TRASIEGO")*(MOVIMIENTOS!$C$5:$C$1005="P")*(MOVIMIENTOS!$D$5:$D$1005="jabas")*(MOVIMIENTOS!$A$5:$A$1005&lt;&gt;"")*(MOVIMIENTOS!$A$5:$A$1005&lt;=$A629)*MOVIMIENTOS!$E$5:$E$1005)-SUMPRODUCT((MOVIMIENTOS!$B$5:$B$1005="REGALO")*(MOVIMIENTOS!$C$5:$C$1005="P")*(MOVIMIENTOS!$D$5:$D$1005="jabas")*(MOVIMIENTOS!$A$5:$A$1005&lt;&gt;"")*(MOVIMIENTOS!$A$5:$A$1005&lt;=$A629)*MOVIMIENTOS!$E$5:$E$1005)-SUMPRODUCT((MOVIMIENTOS!$B$5:$B$1005="VENTA")*(MOVIMIENTOS!$C$5:$C$1005="P")*(MOVIMIENTOS!$D$5:$D$1005="jabas")*(MOVIMIENTOS!$A$5:$A$1005&lt;&gt;"")*(MOVIMIENTOS!$A$5:$A$1005&lt;=$A629)*MOVIMIENTOS!$E$5:$E$1005)+SUMPRODUCT((MOVIMIENTOS!$B$5:$B$1005="AJUSTE")*(MOVIMIENTOS!$C$5:$C$1005="P")*(MOVIMIENTOS!$D$5:$D$1005="jabas")*(MOVIMIENTOS!$A$5:$A$1005&lt;&gt;"")*(MOVIMIENTOS!$A$5:$A$1005&lt;=$A629)*MOVIMIENTOS!$E$5:$E$1005))</f>
        <v/>
      </c>
      <c r="D629" t="str">
        <f>IF($A629="","",SUMPRODUCT((MOVIMIENTOS!$B$5:$B$1005="SALDO INICIAL")*(MOVIMIENTOS!$C$5:$C$1005="C")*(MOVIMIENTOS!$D$5:$D$1005="jabas")*(MOVIMIENTOS!$A$5:$A$1005&lt;&gt;"")*(MOVIMIENTOS!$A$5:$A$1005&lt;=$A629)*MOVIMIENTOS!$E$5:$E$1005)+SUMPRODUCT((MOVIMIENTOS!$B$5:$B$1005="PROCESO")*(MOVIMIENTOS!$C$5:$C$1005="C")*(MOVIMIENTOS!$D$5:$D$1005="jabas")*(MOVIMIENTOS!$A$5:$A$1005&lt;&gt;"")*(MOVIMIENTOS!$A$5:$A$1005&lt;=$A629)*MOVIMIENTOS!$E$5:$E$1005)-SUMPRODUCT((MOVIMIENTOS!$B$5:$B$1005="ENVÍO A SUPESA")*(MOVIMIENTOS!$C$5:$C$1005="C")*(MOVIMIENTOS!$D$5:$D$1005="jabas")*(MOVIMIENTOS!$A$5:$A$1005&lt;&gt;"")*(MOVIMIENTOS!$A$5:$A$1005&lt;=$A629)*MOVIMIENTOS!$E$5:$E$1005)+SUMPRODUCT((MOVIMIENTOS!$B$5:$B$1005="DEVOLUCIÓN")*(MOVIMIENTOS!$C$5:$C$1005="C")*(MOVIMIENTOS!$D$5:$D$1005="jabas")*(MOVIMIENTOS!$A$5:$A$1005&lt;&gt;"")*(MOVIMIENTOS!$A$5:$A$1005&lt;=$A629)*MOVIMIENTOS!$E$5:$E$1005)-SUMPRODUCT((MOVIMIENTOS!$B$5:$B$1005="TRASIEGO")*(MOVIMIENTOS!$C$5:$C$1005="C")*(MOVIMIENTOS!$D$5:$D$1005="jabas")*(MOVIMIENTOS!$A$5:$A$1005&lt;&gt;"")*(MOVIMIENTOS!$A$5:$A$1005&lt;=$A629)*MOVIMIENTOS!$E$5:$E$1005)-SUMPRODUCT((MOVIMIENTOS!$B$5:$B$1005="REGALO")*(MOVIMIENTOS!$C$5:$C$1005="C")*(MOVIMIENTOS!$D$5:$D$1005="jabas")*(MOVIMIENTOS!$A$5:$A$1005&lt;&gt;"")*(MOVIMIENTOS!$A$5:$A$1005&lt;=$A629)*MOVIMIENTOS!$E$5:$E$1005)-SUMPRODUCT((MOVIMIENTOS!$B$5:$B$1005="VENTA")*(MOVIMIENTOS!$C$5:$C$1005="C")*(MOVIMIENTOS!$D$5:$D$1005="jabas")*(MOVIMIENTOS!$A$5:$A$1005&lt;&gt;"")*(MOVIMIENTOS!$A$5:$A$1005&lt;=$A629)*MOVIMIENTOS!$E$5:$E$1005)+SUMPRODUCT((MOVIMIENTOS!$B$5:$B$1005="AJUSTE")*(MOVIMIENTOS!$C$5:$C$1005="C")*(MOVIMIENTOS!$D$5:$D$1005="jabas")*(MOVIMIENTOS!$A$5:$A$1005&lt;&gt;"")*(MOVIMIENTOS!$A$5:$A$1005&lt;=$A629)*MOVIMIENTOS!$E$5:$E$1005))</f>
        <v/>
      </c>
      <c r="E629" t="str">
        <f>IF($A629="","",SUMPRODUCT((MOVIMIENTOS!$B$5:$B$1005="SALDO INICIAL")*(MOVIMIENTOS!$C$5:$C$1005="M")*(MOVIMIENTOS!$D$5:$D$1005="jabas")*(MOVIMIENTOS!$A$5:$A$1005&lt;&gt;"")*(MOVIMIENTOS!$A$5:$A$1005&lt;=$A629)*MOVIMIENTOS!$E$5:$E$1005)+SUMPRODUCT((MOVIMIENTOS!$B$5:$B$1005="PROCESO")*(MOVIMIENTOS!$C$5:$C$1005="M")*(MOVIMIENTOS!$D$5:$D$1005="jabas")*(MOVIMIENTOS!$A$5:$A$1005&lt;&gt;"")*(MOVIMIENTOS!$A$5:$A$1005&lt;=$A629)*MOVIMIENTOS!$E$5:$E$1005)-SUMPRODUCT((MOVIMIENTOS!$B$5:$B$1005="ENVÍO A SUPESA")*(MOVIMIENTOS!$C$5:$C$1005="M")*(MOVIMIENTOS!$D$5:$D$1005="jabas")*(MOVIMIENTOS!$A$5:$A$1005&lt;&gt;"")*(MOVIMIENTOS!$A$5:$A$1005&lt;=$A629)*MOVIMIENTOS!$E$5:$E$1005)+SUMPRODUCT((MOVIMIENTOS!$B$5:$B$1005="DEVOLUCIÓN")*(MOVIMIENTOS!$C$5:$C$1005="M")*(MOVIMIENTOS!$D$5:$D$1005="jabas")*(MOVIMIENTOS!$A$5:$A$1005&lt;&gt;"")*(MOVIMIENTOS!$A$5:$A$1005&lt;=$A629)*MOVIMIENTOS!$E$5:$E$1005)-SUMPRODUCT((MOVIMIENTOS!$B$5:$B$1005="TRASIEGO")*(MOVIMIENTOS!$C$5:$C$1005="M")*(MOVIMIENTOS!$D$5:$D$1005="jabas")*(MOVIMIENTOS!$A$5:$A$1005&lt;&gt;"")*(MOVIMIENTOS!$A$5:$A$1005&lt;=$A629)*MOVIMIENTOS!$E$5:$E$1005)-SUMPRODUCT((MOVIMIENTOS!$B$5:$B$1005="REGALO")*(MOVIMIENTOS!$C$5:$C$1005="M")*(MOVIMIENTOS!$D$5:$D$1005="jabas")*(MOVIMIENTOS!$A$5:$A$1005&lt;&gt;"")*(MOVIMIENTOS!$A$5:$A$1005&lt;=$A629)*MOVIMIENTOS!$E$5:$E$1005)-SUMPRODUCT((MOVIMIENTOS!$B$5:$B$1005="VENTA")*(MOVIMIENTOS!$C$5:$C$1005="M")*(MOVIMIENTOS!$D$5:$D$1005="jabas")*(MOVIMIENTOS!$A$5:$A$1005&lt;&gt;"")*(MOVIMIENTOS!$A$5:$A$1005&lt;=$A629)*MOVIMIENTOS!$E$5:$E$1005)+SUMPRODUCT((MOVIMIENTOS!$B$5:$B$1005="AJUSTE")*(MOVIMIENTOS!$C$5:$C$1005="M")*(MOVIMIENTOS!$D$5:$D$1005="jabas")*(MOVIMIENTOS!$A$5:$A$1005&lt;&gt;"")*(MOVIMIENTOS!$A$5:$A$1005&lt;=$A629)*MOVIMIENTOS!$E$5:$E$1005))</f>
        <v/>
      </c>
      <c r="F629" s="62" t="str">
        <f>IF($A629="","",SUMPRODUCT((MOVIMIENTOS!$B$5:$B$1005="SALDO INICIAL")*(MOVIMIENTOS!$C$5:$C$1005="Chancho")*(MOVIMIENTOS!$D$5:$D$1005="sacos")*(MOVIMIENTOS!$A$5:$A$1005&lt;&gt;"")*(MOVIMIENTOS!$A$5:$A$1005&lt;=$A629)*MOVIMIENTOS!$E$5:$E$1005)+SUMPRODUCT((MOVIMIENTOS!$B$5:$B$1005="PROCESO")*(MOVIMIENTOS!$C$5:$C$1005="Chancho")*(MOVIMIENTOS!$D$5:$D$1005="sacos")*(MOVIMIENTOS!$A$5:$A$1005&lt;&gt;"")*(MOVIMIENTOS!$A$5:$A$1005&lt;=$A629)*MOVIMIENTOS!$E$5:$E$1005)-SUMPRODUCT((MOVIMIENTOS!$B$5:$B$1005="VENTA CHANCHO")*(MOVIMIENTOS!$C$5:$C$1005="Chancho")*(MOVIMIENTOS!$D$5:$D$1005="sacos")*(MOVIMIENTOS!$A$5:$A$1005&lt;&gt;"")*(MOVIMIENTOS!$A$5:$A$1005&lt;=$A629)*MOVIMIENTOS!$E$5:$E$1005)-SUMPRODUCT((MOVIMIENTOS!$B$5:$B$1005="REGALO")*(MOVIMIENTOS!$C$5:$C$1005="Chancho")*(MOVIMIENTOS!$D$5:$D$1005="sacos")*(MOVIMIENTOS!$A$5:$A$1005&lt;&gt;"")*(MOVIMIENTOS!$A$5:$A$1005&lt;=$A629)*MOVIMIENTOS!$E$5:$E$1005)-SUMPRODUCT((MOVIMIENTOS!$B$5:$B$1005="VENTA")*(MOVIMIENTOS!$C$5:$C$1005="Chancho")*(MOVIMIENTOS!$D$5:$D$1005="sacos")*(MOVIMIENTOS!$A$5:$A$1005&lt;&gt;"")*(MOVIMIENTOS!$A$5:$A$1005&lt;=$A629)*MOVIMIENTOS!$E$5:$E$1005)+SUMPRODUCT((MOVIMIENTOS!$B$5:$B$1005="AJUSTE")*(MOVIMIENTOS!$C$5:$C$1005="Chancho")*(MOVIMIENTOS!$D$5:$D$1005="sacos")*(MOVIMIENTOS!$A$5:$A$1005&lt;&gt;"")*(MOVIMIENTOS!$A$5:$A$1005&lt;=$A629)*MOVIMIENTOS!$E$5:$E$1005))</f>
        <v/>
      </c>
      <c r="G629" s="62" t="str">
        <f t="shared" si="19"/>
        <v/>
      </c>
      <c r="H629" t="str">
        <f>IF($A629="","",SUMPRODUCT((((MOVIMIENTOS!$B$5:$B$1005="SALDO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629)*MOVIMIENTOS!$J$5:$J$1005))</f>
        <v/>
      </c>
      <c r="J629" t="str">
        <f>IF(AND(MOVIMIENTOS!$A634&lt;&gt;"",COUNTIF(MOVIMIENTOS!$A$5:$A633,MOVIMIENTOS!$A634)=0),COUNT(J$4:J628)+1,"")</f>
        <v/>
      </c>
      <c r="K629">
        <f>MOVIMIENTOS!$A634</f>
        <v>0</v>
      </c>
    </row>
    <row r="630" spans="1:11" ht="15" customHeight="1" x14ac:dyDescent="0.2">
      <c r="A630" t="str">
        <f t="shared" si="18"/>
        <v/>
      </c>
      <c r="B630" t="str">
        <f>IF($A630="","",SUMPRODUCT((MOVIMIENTOS!$B$5:$B$1005="SALDO INICIAL")*(MOVIMIENTOS!$C$5:$C$1005="A")*(MOVIMIENTOS!$D$5:$D$1005="jabas")*(MOVIMIENTOS!$A$5:$A$1005&lt;&gt;"")*(MOVIMIENTOS!$A$5:$A$1005&lt;=$A630)*MOVIMIENTOS!$E$5:$E$1005)+SUMPRODUCT((MOVIMIENTOS!$B$5:$B$1005="PROCESO")*(MOVIMIENTOS!$C$5:$C$1005="A")*(MOVIMIENTOS!$D$5:$D$1005="jabas")*(MOVIMIENTOS!$A$5:$A$1005&lt;&gt;"")*(MOVIMIENTOS!$A$5:$A$1005&lt;=$A630)*MOVIMIENTOS!$E$5:$E$1005)-SUMPRODUCT((MOVIMIENTOS!$B$5:$B$1005="ENVÍO A SUPESA")*(MOVIMIENTOS!$C$5:$C$1005="A")*(MOVIMIENTOS!$D$5:$D$1005="jabas")*(MOVIMIENTOS!$A$5:$A$1005&lt;&gt;"")*(MOVIMIENTOS!$A$5:$A$1005&lt;=$A630)*MOVIMIENTOS!$E$5:$E$1005)+SUMPRODUCT((MOVIMIENTOS!$B$5:$B$1005="DEVOLUCIÓN")*(MOVIMIENTOS!$C$5:$C$1005="A")*(MOVIMIENTOS!$D$5:$D$1005="jabas")*(MOVIMIENTOS!$A$5:$A$1005&lt;&gt;"")*(MOVIMIENTOS!$A$5:$A$1005&lt;=$A630)*MOVIMIENTOS!$E$5:$E$1005)-SUMPRODUCT((MOVIMIENTOS!$B$5:$B$1005="TRASIEGO")*(MOVIMIENTOS!$C$5:$C$1005="A")*(MOVIMIENTOS!$D$5:$D$1005="jabas")*(MOVIMIENTOS!$A$5:$A$1005&lt;&gt;"")*(MOVIMIENTOS!$A$5:$A$1005&lt;=$A630)*MOVIMIENTOS!$E$5:$E$1005)-SUMPRODUCT((MOVIMIENTOS!$B$5:$B$1005="REGALO")*(MOVIMIENTOS!$C$5:$C$1005="A")*(MOVIMIENTOS!$D$5:$D$1005="jabas")*(MOVIMIENTOS!$A$5:$A$1005&lt;&gt;"")*(MOVIMIENTOS!$A$5:$A$1005&lt;=$A630)*MOVIMIENTOS!$E$5:$E$1005)-SUMPRODUCT((MOVIMIENTOS!$B$5:$B$1005="VENTA")*(MOVIMIENTOS!$C$5:$C$1005="A")*(MOVIMIENTOS!$D$5:$D$1005="jabas")*(MOVIMIENTOS!$A$5:$A$1005&lt;&gt;"")*(MOVIMIENTOS!$A$5:$A$1005&lt;=$A630)*MOVIMIENTOS!$E$5:$E$1005)+SUMPRODUCT((MOVIMIENTOS!$B$5:$B$1005="AJUSTE")*(MOVIMIENTOS!$C$5:$C$1005="A")*(MOVIMIENTOS!$D$5:$D$1005="jabas")*(MOVIMIENTOS!$A$5:$A$1005&lt;&gt;"")*(MOVIMIENTOS!$A$5:$A$1005&lt;=$A630)*MOVIMIENTOS!$E$5:$E$1005))</f>
        <v/>
      </c>
      <c r="C630" t="str">
        <f>IF($A630="","",SUMPRODUCT((MOVIMIENTOS!$B$5:$B$1005="SALDO INICIAL")*(MOVIMIENTOS!$C$5:$C$1005="P")*(MOVIMIENTOS!$D$5:$D$1005="jabas")*(MOVIMIENTOS!$A$5:$A$1005&lt;&gt;"")*(MOVIMIENTOS!$A$5:$A$1005&lt;=$A630)*MOVIMIENTOS!$E$5:$E$1005)+SUMPRODUCT((MOVIMIENTOS!$B$5:$B$1005="PROCESO")*(MOVIMIENTOS!$C$5:$C$1005="P")*(MOVIMIENTOS!$D$5:$D$1005="jabas")*(MOVIMIENTOS!$A$5:$A$1005&lt;&gt;"")*(MOVIMIENTOS!$A$5:$A$1005&lt;=$A630)*MOVIMIENTOS!$E$5:$E$1005)-SUMPRODUCT((MOVIMIENTOS!$B$5:$B$1005="ENVÍO A SUPESA")*(MOVIMIENTOS!$C$5:$C$1005="P")*(MOVIMIENTOS!$D$5:$D$1005="jabas")*(MOVIMIENTOS!$A$5:$A$1005&lt;&gt;"")*(MOVIMIENTOS!$A$5:$A$1005&lt;=$A630)*MOVIMIENTOS!$E$5:$E$1005)+SUMPRODUCT((MOVIMIENTOS!$B$5:$B$1005="DEVOLUCIÓN")*(MOVIMIENTOS!$C$5:$C$1005="P")*(MOVIMIENTOS!$D$5:$D$1005="jabas")*(MOVIMIENTOS!$A$5:$A$1005&lt;&gt;"")*(MOVIMIENTOS!$A$5:$A$1005&lt;=$A630)*MOVIMIENTOS!$E$5:$E$1005)-SUMPRODUCT((MOVIMIENTOS!$B$5:$B$1005="TRASIEGO")*(MOVIMIENTOS!$C$5:$C$1005="P")*(MOVIMIENTOS!$D$5:$D$1005="jabas")*(MOVIMIENTOS!$A$5:$A$1005&lt;&gt;"")*(MOVIMIENTOS!$A$5:$A$1005&lt;=$A630)*MOVIMIENTOS!$E$5:$E$1005)-SUMPRODUCT((MOVIMIENTOS!$B$5:$B$1005="REGALO")*(MOVIMIENTOS!$C$5:$C$1005="P")*(MOVIMIENTOS!$D$5:$D$1005="jabas")*(MOVIMIENTOS!$A$5:$A$1005&lt;&gt;"")*(MOVIMIENTOS!$A$5:$A$1005&lt;=$A630)*MOVIMIENTOS!$E$5:$E$1005)-SUMPRODUCT((MOVIMIENTOS!$B$5:$B$1005="VENTA")*(MOVIMIENTOS!$C$5:$C$1005="P")*(MOVIMIENTOS!$D$5:$D$1005="jabas")*(MOVIMIENTOS!$A$5:$A$1005&lt;&gt;"")*(MOVIMIENTOS!$A$5:$A$1005&lt;=$A630)*MOVIMIENTOS!$E$5:$E$1005)+SUMPRODUCT((MOVIMIENTOS!$B$5:$B$1005="AJUSTE")*(MOVIMIENTOS!$C$5:$C$1005="P")*(MOVIMIENTOS!$D$5:$D$1005="jabas")*(MOVIMIENTOS!$A$5:$A$1005&lt;&gt;"")*(MOVIMIENTOS!$A$5:$A$1005&lt;=$A630)*MOVIMIENTOS!$E$5:$E$1005))</f>
        <v/>
      </c>
      <c r="D630" t="str">
        <f>IF($A630="","",SUMPRODUCT((MOVIMIENTOS!$B$5:$B$1005="SALDO INICIAL")*(MOVIMIENTOS!$C$5:$C$1005="C")*(MOVIMIENTOS!$D$5:$D$1005="jabas")*(MOVIMIENTOS!$A$5:$A$1005&lt;&gt;"")*(MOVIMIENTOS!$A$5:$A$1005&lt;=$A630)*MOVIMIENTOS!$E$5:$E$1005)+SUMPRODUCT((MOVIMIENTOS!$B$5:$B$1005="PROCESO")*(MOVIMIENTOS!$C$5:$C$1005="C")*(MOVIMIENTOS!$D$5:$D$1005="jabas")*(MOVIMIENTOS!$A$5:$A$1005&lt;&gt;"")*(MOVIMIENTOS!$A$5:$A$1005&lt;=$A630)*MOVIMIENTOS!$E$5:$E$1005)-SUMPRODUCT((MOVIMIENTOS!$B$5:$B$1005="ENVÍO A SUPESA")*(MOVIMIENTOS!$C$5:$C$1005="C")*(MOVIMIENTOS!$D$5:$D$1005="jabas")*(MOVIMIENTOS!$A$5:$A$1005&lt;&gt;"")*(MOVIMIENTOS!$A$5:$A$1005&lt;=$A630)*MOVIMIENTOS!$E$5:$E$1005)+SUMPRODUCT((MOVIMIENTOS!$B$5:$B$1005="DEVOLUCIÓN")*(MOVIMIENTOS!$C$5:$C$1005="C")*(MOVIMIENTOS!$D$5:$D$1005="jabas")*(MOVIMIENTOS!$A$5:$A$1005&lt;&gt;"")*(MOVIMIENTOS!$A$5:$A$1005&lt;=$A630)*MOVIMIENTOS!$E$5:$E$1005)-SUMPRODUCT((MOVIMIENTOS!$B$5:$B$1005="TRASIEGO")*(MOVIMIENTOS!$C$5:$C$1005="C")*(MOVIMIENTOS!$D$5:$D$1005="jabas")*(MOVIMIENTOS!$A$5:$A$1005&lt;&gt;"")*(MOVIMIENTOS!$A$5:$A$1005&lt;=$A630)*MOVIMIENTOS!$E$5:$E$1005)-SUMPRODUCT((MOVIMIENTOS!$B$5:$B$1005="REGALO")*(MOVIMIENTOS!$C$5:$C$1005="C")*(MOVIMIENTOS!$D$5:$D$1005="jabas")*(MOVIMIENTOS!$A$5:$A$1005&lt;&gt;"")*(MOVIMIENTOS!$A$5:$A$1005&lt;=$A630)*MOVIMIENTOS!$E$5:$E$1005)-SUMPRODUCT((MOVIMIENTOS!$B$5:$B$1005="VENTA")*(MOVIMIENTOS!$C$5:$C$1005="C")*(MOVIMIENTOS!$D$5:$D$1005="jabas")*(MOVIMIENTOS!$A$5:$A$1005&lt;&gt;"")*(MOVIMIENTOS!$A$5:$A$1005&lt;=$A630)*MOVIMIENTOS!$E$5:$E$1005)+SUMPRODUCT((MOVIMIENTOS!$B$5:$B$1005="AJUSTE")*(MOVIMIENTOS!$C$5:$C$1005="C")*(MOVIMIENTOS!$D$5:$D$1005="jabas")*(MOVIMIENTOS!$A$5:$A$1005&lt;&gt;"")*(MOVIMIENTOS!$A$5:$A$1005&lt;=$A630)*MOVIMIENTOS!$E$5:$E$1005))</f>
        <v/>
      </c>
      <c r="E630" t="str">
        <f>IF($A630="","",SUMPRODUCT((MOVIMIENTOS!$B$5:$B$1005="SALDO INICIAL")*(MOVIMIENTOS!$C$5:$C$1005="M")*(MOVIMIENTOS!$D$5:$D$1005="jabas")*(MOVIMIENTOS!$A$5:$A$1005&lt;&gt;"")*(MOVIMIENTOS!$A$5:$A$1005&lt;=$A630)*MOVIMIENTOS!$E$5:$E$1005)+SUMPRODUCT((MOVIMIENTOS!$B$5:$B$1005="PROCESO")*(MOVIMIENTOS!$C$5:$C$1005="M")*(MOVIMIENTOS!$D$5:$D$1005="jabas")*(MOVIMIENTOS!$A$5:$A$1005&lt;&gt;"")*(MOVIMIENTOS!$A$5:$A$1005&lt;=$A630)*MOVIMIENTOS!$E$5:$E$1005)-SUMPRODUCT((MOVIMIENTOS!$B$5:$B$1005="ENVÍO A SUPESA")*(MOVIMIENTOS!$C$5:$C$1005="M")*(MOVIMIENTOS!$D$5:$D$1005="jabas")*(MOVIMIENTOS!$A$5:$A$1005&lt;&gt;"")*(MOVIMIENTOS!$A$5:$A$1005&lt;=$A630)*MOVIMIENTOS!$E$5:$E$1005)+SUMPRODUCT((MOVIMIENTOS!$B$5:$B$1005="DEVOLUCIÓN")*(MOVIMIENTOS!$C$5:$C$1005="M")*(MOVIMIENTOS!$D$5:$D$1005="jabas")*(MOVIMIENTOS!$A$5:$A$1005&lt;&gt;"")*(MOVIMIENTOS!$A$5:$A$1005&lt;=$A630)*MOVIMIENTOS!$E$5:$E$1005)-SUMPRODUCT((MOVIMIENTOS!$B$5:$B$1005="TRASIEGO")*(MOVIMIENTOS!$C$5:$C$1005="M")*(MOVIMIENTOS!$D$5:$D$1005="jabas")*(MOVIMIENTOS!$A$5:$A$1005&lt;&gt;"")*(MOVIMIENTOS!$A$5:$A$1005&lt;=$A630)*MOVIMIENTOS!$E$5:$E$1005)-SUMPRODUCT((MOVIMIENTOS!$B$5:$B$1005="REGALO")*(MOVIMIENTOS!$C$5:$C$1005="M")*(MOVIMIENTOS!$D$5:$D$1005="jabas")*(MOVIMIENTOS!$A$5:$A$1005&lt;&gt;"")*(MOVIMIENTOS!$A$5:$A$1005&lt;=$A630)*MOVIMIENTOS!$E$5:$E$1005)-SUMPRODUCT((MOVIMIENTOS!$B$5:$B$1005="VENTA")*(MOVIMIENTOS!$C$5:$C$1005="M")*(MOVIMIENTOS!$D$5:$D$1005="jabas")*(MOVIMIENTOS!$A$5:$A$1005&lt;&gt;"")*(MOVIMIENTOS!$A$5:$A$1005&lt;=$A630)*MOVIMIENTOS!$E$5:$E$1005)+SUMPRODUCT((MOVIMIENTOS!$B$5:$B$1005="AJUSTE")*(MOVIMIENTOS!$C$5:$C$1005="M")*(MOVIMIENTOS!$D$5:$D$1005="jabas")*(MOVIMIENTOS!$A$5:$A$1005&lt;&gt;"")*(MOVIMIENTOS!$A$5:$A$1005&lt;=$A630)*MOVIMIENTOS!$E$5:$E$1005))</f>
        <v/>
      </c>
      <c r="F630" s="62" t="str">
        <f>IF($A630="","",SUMPRODUCT((MOVIMIENTOS!$B$5:$B$1005="SALDO INICIAL")*(MOVIMIENTOS!$C$5:$C$1005="Chancho")*(MOVIMIENTOS!$D$5:$D$1005="sacos")*(MOVIMIENTOS!$A$5:$A$1005&lt;&gt;"")*(MOVIMIENTOS!$A$5:$A$1005&lt;=$A630)*MOVIMIENTOS!$E$5:$E$1005)+SUMPRODUCT((MOVIMIENTOS!$B$5:$B$1005="PROCESO")*(MOVIMIENTOS!$C$5:$C$1005="Chancho")*(MOVIMIENTOS!$D$5:$D$1005="sacos")*(MOVIMIENTOS!$A$5:$A$1005&lt;&gt;"")*(MOVIMIENTOS!$A$5:$A$1005&lt;=$A630)*MOVIMIENTOS!$E$5:$E$1005)-SUMPRODUCT((MOVIMIENTOS!$B$5:$B$1005="VENTA CHANCHO")*(MOVIMIENTOS!$C$5:$C$1005="Chancho")*(MOVIMIENTOS!$D$5:$D$1005="sacos")*(MOVIMIENTOS!$A$5:$A$1005&lt;&gt;"")*(MOVIMIENTOS!$A$5:$A$1005&lt;=$A630)*MOVIMIENTOS!$E$5:$E$1005)-SUMPRODUCT((MOVIMIENTOS!$B$5:$B$1005="REGALO")*(MOVIMIENTOS!$C$5:$C$1005="Chancho")*(MOVIMIENTOS!$D$5:$D$1005="sacos")*(MOVIMIENTOS!$A$5:$A$1005&lt;&gt;"")*(MOVIMIENTOS!$A$5:$A$1005&lt;=$A630)*MOVIMIENTOS!$E$5:$E$1005)-SUMPRODUCT((MOVIMIENTOS!$B$5:$B$1005="VENTA")*(MOVIMIENTOS!$C$5:$C$1005="Chancho")*(MOVIMIENTOS!$D$5:$D$1005="sacos")*(MOVIMIENTOS!$A$5:$A$1005&lt;&gt;"")*(MOVIMIENTOS!$A$5:$A$1005&lt;=$A630)*MOVIMIENTOS!$E$5:$E$1005)+SUMPRODUCT((MOVIMIENTOS!$B$5:$B$1005="AJUSTE")*(MOVIMIENTOS!$C$5:$C$1005="Chancho")*(MOVIMIENTOS!$D$5:$D$1005="sacos")*(MOVIMIENTOS!$A$5:$A$1005&lt;&gt;"")*(MOVIMIENTOS!$A$5:$A$1005&lt;=$A630)*MOVIMIENTOS!$E$5:$E$1005))</f>
        <v/>
      </c>
      <c r="G630" s="62" t="str">
        <f t="shared" si="19"/>
        <v/>
      </c>
      <c r="H630" t="str">
        <f>IF($A630="","",SUMPRODUCT((((MOVIMIENTOS!$B$5:$B$1005="SALDO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630)*MOVIMIENTOS!$J$5:$J$1005))</f>
        <v/>
      </c>
      <c r="J630" t="str">
        <f>IF(AND(MOVIMIENTOS!$A635&lt;&gt;"",COUNTIF(MOVIMIENTOS!$A$5:$A634,MOVIMIENTOS!$A635)=0),COUNT(J$4:J629)+1,"")</f>
        <v/>
      </c>
      <c r="K630">
        <f>MOVIMIENTOS!$A635</f>
        <v>0</v>
      </c>
    </row>
    <row r="631" spans="1:11" ht="15" customHeight="1" x14ac:dyDescent="0.2">
      <c r="A631" t="str">
        <f t="shared" si="18"/>
        <v/>
      </c>
      <c r="B631" t="str">
        <f>IF($A631="","",SUMPRODUCT((MOVIMIENTOS!$B$5:$B$1005="SALDO INICIAL")*(MOVIMIENTOS!$C$5:$C$1005="A")*(MOVIMIENTOS!$D$5:$D$1005="jabas")*(MOVIMIENTOS!$A$5:$A$1005&lt;&gt;"")*(MOVIMIENTOS!$A$5:$A$1005&lt;=$A631)*MOVIMIENTOS!$E$5:$E$1005)+SUMPRODUCT((MOVIMIENTOS!$B$5:$B$1005="PROCESO")*(MOVIMIENTOS!$C$5:$C$1005="A")*(MOVIMIENTOS!$D$5:$D$1005="jabas")*(MOVIMIENTOS!$A$5:$A$1005&lt;&gt;"")*(MOVIMIENTOS!$A$5:$A$1005&lt;=$A631)*MOVIMIENTOS!$E$5:$E$1005)-SUMPRODUCT((MOVIMIENTOS!$B$5:$B$1005="ENVÍO A SUPESA")*(MOVIMIENTOS!$C$5:$C$1005="A")*(MOVIMIENTOS!$D$5:$D$1005="jabas")*(MOVIMIENTOS!$A$5:$A$1005&lt;&gt;"")*(MOVIMIENTOS!$A$5:$A$1005&lt;=$A631)*MOVIMIENTOS!$E$5:$E$1005)+SUMPRODUCT((MOVIMIENTOS!$B$5:$B$1005="DEVOLUCIÓN")*(MOVIMIENTOS!$C$5:$C$1005="A")*(MOVIMIENTOS!$D$5:$D$1005="jabas")*(MOVIMIENTOS!$A$5:$A$1005&lt;&gt;"")*(MOVIMIENTOS!$A$5:$A$1005&lt;=$A631)*MOVIMIENTOS!$E$5:$E$1005)-SUMPRODUCT((MOVIMIENTOS!$B$5:$B$1005="TRASIEGO")*(MOVIMIENTOS!$C$5:$C$1005="A")*(MOVIMIENTOS!$D$5:$D$1005="jabas")*(MOVIMIENTOS!$A$5:$A$1005&lt;&gt;"")*(MOVIMIENTOS!$A$5:$A$1005&lt;=$A631)*MOVIMIENTOS!$E$5:$E$1005)-SUMPRODUCT((MOVIMIENTOS!$B$5:$B$1005="REGALO")*(MOVIMIENTOS!$C$5:$C$1005="A")*(MOVIMIENTOS!$D$5:$D$1005="jabas")*(MOVIMIENTOS!$A$5:$A$1005&lt;&gt;"")*(MOVIMIENTOS!$A$5:$A$1005&lt;=$A631)*MOVIMIENTOS!$E$5:$E$1005)-SUMPRODUCT((MOVIMIENTOS!$B$5:$B$1005="VENTA")*(MOVIMIENTOS!$C$5:$C$1005="A")*(MOVIMIENTOS!$D$5:$D$1005="jabas")*(MOVIMIENTOS!$A$5:$A$1005&lt;&gt;"")*(MOVIMIENTOS!$A$5:$A$1005&lt;=$A631)*MOVIMIENTOS!$E$5:$E$1005)+SUMPRODUCT((MOVIMIENTOS!$B$5:$B$1005="AJUSTE")*(MOVIMIENTOS!$C$5:$C$1005="A")*(MOVIMIENTOS!$D$5:$D$1005="jabas")*(MOVIMIENTOS!$A$5:$A$1005&lt;&gt;"")*(MOVIMIENTOS!$A$5:$A$1005&lt;=$A631)*MOVIMIENTOS!$E$5:$E$1005))</f>
        <v/>
      </c>
      <c r="C631" t="str">
        <f>IF($A631="","",SUMPRODUCT((MOVIMIENTOS!$B$5:$B$1005="SALDO INICIAL")*(MOVIMIENTOS!$C$5:$C$1005="P")*(MOVIMIENTOS!$D$5:$D$1005="jabas")*(MOVIMIENTOS!$A$5:$A$1005&lt;&gt;"")*(MOVIMIENTOS!$A$5:$A$1005&lt;=$A631)*MOVIMIENTOS!$E$5:$E$1005)+SUMPRODUCT((MOVIMIENTOS!$B$5:$B$1005="PROCESO")*(MOVIMIENTOS!$C$5:$C$1005="P")*(MOVIMIENTOS!$D$5:$D$1005="jabas")*(MOVIMIENTOS!$A$5:$A$1005&lt;&gt;"")*(MOVIMIENTOS!$A$5:$A$1005&lt;=$A631)*MOVIMIENTOS!$E$5:$E$1005)-SUMPRODUCT((MOVIMIENTOS!$B$5:$B$1005="ENVÍO A SUPESA")*(MOVIMIENTOS!$C$5:$C$1005="P")*(MOVIMIENTOS!$D$5:$D$1005="jabas")*(MOVIMIENTOS!$A$5:$A$1005&lt;&gt;"")*(MOVIMIENTOS!$A$5:$A$1005&lt;=$A631)*MOVIMIENTOS!$E$5:$E$1005)+SUMPRODUCT((MOVIMIENTOS!$B$5:$B$1005="DEVOLUCIÓN")*(MOVIMIENTOS!$C$5:$C$1005="P")*(MOVIMIENTOS!$D$5:$D$1005="jabas")*(MOVIMIENTOS!$A$5:$A$1005&lt;&gt;"")*(MOVIMIENTOS!$A$5:$A$1005&lt;=$A631)*MOVIMIENTOS!$E$5:$E$1005)-SUMPRODUCT((MOVIMIENTOS!$B$5:$B$1005="TRASIEGO")*(MOVIMIENTOS!$C$5:$C$1005="P")*(MOVIMIENTOS!$D$5:$D$1005="jabas")*(MOVIMIENTOS!$A$5:$A$1005&lt;&gt;"")*(MOVIMIENTOS!$A$5:$A$1005&lt;=$A631)*MOVIMIENTOS!$E$5:$E$1005)-SUMPRODUCT((MOVIMIENTOS!$B$5:$B$1005="REGALO")*(MOVIMIENTOS!$C$5:$C$1005="P")*(MOVIMIENTOS!$D$5:$D$1005="jabas")*(MOVIMIENTOS!$A$5:$A$1005&lt;&gt;"")*(MOVIMIENTOS!$A$5:$A$1005&lt;=$A631)*MOVIMIENTOS!$E$5:$E$1005)-SUMPRODUCT((MOVIMIENTOS!$B$5:$B$1005="VENTA")*(MOVIMIENTOS!$C$5:$C$1005="P")*(MOVIMIENTOS!$D$5:$D$1005="jabas")*(MOVIMIENTOS!$A$5:$A$1005&lt;&gt;"")*(MOVIMIENTOS!$A$5:$A$1005&lt;=$A631)*MOVIMIENTOS!$E$5:$E$1005)+SUMPRODUCT((MOVIMIENTOS!$B$5:$B$1005="AJUSTE")*(MOVIMIENTOS!$C$5:$C$1005="P")*(MOVIMIENTOS!$D$5:$D$1005="jabas")*(MOVIMIENTOS!$A$5:$A$1005&lt;&gt;"")*(MOVIMIENTOS!$A$5:$A$1005&lt;=$A631)*MOVIMIENTOS!$E$5:$E$1005))</f>
        <v/>
      </c>
      <c r="D631" t="str">
        <f>IF($A631="","",SUMPRODUCT((MOVIMIENTOS!$B$5:$B$1005="SALDO INICIAL")*(MOVIMIENTOS!$C$5:$C$1005="C")*(MOVIMIENTOS!$D$5:$D$1005="jabas")*(MOVIMIENTOS!$A$5:$A$1005&lt;&gt;"")*(MOVIMIENTOS!$A$5:$A$1005&lt;=$A631)*MOVIMIENTOS!$E$5:$E$1005)+SUMPRODUCT((MOVIMIENTOS!$B$5:$B$1005="PROCESO")*(MOVIMIENTOS!$C$5:$C$1005="C")*(MOVIMIENTOS!$D$5:$D$1005="jabas")*(MOVIMIENTOS!$A$5:$A$1005&lt;&gt;"")*(MOVIMIENTOS!$A$5:$A$1005&lt;=$A631)*MOVIMIENTOS!$E$5:$E$1005)-SUMPRODUCT((MOVIMIENTOS!$B$5:$B$1005="ENVÍO A SUPESA")*(MOVIMIENTOS!$C$5:$C$1005="C")*(MOVIMIENTOS!$D$5:$D$1005="jabas")*(MOVIMIENTOS!$A$5:$A$1005&lt;&gt;"")*(MOVIMIENTOS!$A$5:$A$1005&lt;=$A631)*MOVIMIENTOS!$E$5:$E$1005)+SUMPRODUCT((MOVIMIENTOS!$B$5:$B$1005="DEVOLUCIÓN")*(MOVIMIENTOS!$C$5:$C$1005="C")*(MOVIMIENTOS!$D$5:$D$1005="jabas")*(MOVIMIENTOS!$A$5:$A$1005&lt;&gt;"")*(MOVIMIENTOS!$A$5:$A$1005&lt;=$A631)*MOVIMIENTOS!$E$5:$E$1005)-SUMPRODUCT((MOVIMIENTOS!$B$5:$B$1005="TRASIEGO")*(MOVIMIENTOS!$C$5:$C$1005="C")*(MOVIMIENTOS!$D$5:$D$1005="jabas")*(MOVIMIENTOS!$A$5:$A$1005&lt;&gt;"")*(MOVIMIENTOS!$A$5:$A$1005&lt;=$A631)*MOVIMIENTOS!$E$5:$E$1005)-SUMPRODUCT((MOVIMIENTOS!$B$5:$B$1005="REGALO")*(MOVIMIENTOS!$C$5:$C$1005="C")*(MOVIMIENTOS!$D$5:$D$1005="jabas")*(MOVIMIENTOS!$A$5:$A$1005&lt;&gt;"")*(MOVIMIENTOS!$A$5:$A$1005&lt;=$A631)*MOVIMIENTOS!$E$5:$E$1005)-SUMPRODUCT((MOVIMIENTOS!$B$5:$B$1005="VENTA")*(MOVIMIENTOS!$C$5:$C$1005="C")*(MOVIMIENTOS!$D$5:$D$1005="jabas")*(MOVIMIENTOS!$A$5:$A$1005&lt;&gt;"")*(MOVIMIENTOS!$A$5:$A$1005&lt;=$A631)*MOVIMIENTOS!$E$5:$E$1005)+SUMPRODUCT((MOVIMIENTOS!$B$5:$B$1005="AJUSTE")*(MOVIMIENTOS!$C$5:$C$1005="C")*(MOVIMIENTOS!$D$5:$D$1005="jabas")*(MOVIMIENTOS!$A$5:$A$1005&lt;&gt;"")*(MOVIMIENTOS!$A$5:$A$1005&lt;=$A631)*MOVIMIENTOS!$E$5:$E$1005))</f>
        <v/>
      </c>
      <c r="E631" t="str">
        <f>IF($A631="","",SUMPRODUCT((MOVIMIENTOS!$B$5:$B$1005="SALDO INICIAL")*(MOVIMIENTOS!$C$5:$C$1005="M")*(MOVIMIENTOS!$D$5:$D$1005="jabas")*(MOVIMIENTOS!$A$5:$A$1005&lt;&gt;"")*(MOVIMIENTOS!$A$5:$A$1005&lt;=$A631)*MOVIMIENTOS!$E$5:$E$1005)+SUMPRODUCT((MOVIMIENTOS!$B$5:$B$1005="PROCESO")*(MOVIMIENTOS!$C$5:$C$1005="M")*(MOVIMIENTOS!$D$5:$D$1005="jabas")*(MOVIMIENTOS!$A$5:$A$1005&lt;&gt;"")*(MOVIMIENTOS!$A$5:$A$1005&lt;=$A631)*MOVIMIENTOS!$E$5:$E$1005)-SUMPRODUCT((MOVIMIENTOS!$B$5:$B$1005="ENVÍO A SUPESA")*(MOVIMIENTOS!$C$5:$C$1005="M")*(MOVIMIENTOS!$D$5:$D$1005="jabas")*(MOVIMIENTOS!$A$5:$A$1005&lt;&gt;"")*(MOVIMIENTOS!$A$5:$A$1005&lt;=$A631)*MOVIMIENTOS!$E$5:$E$1005)+SUMPRODUCT((MOVIMIENTOS!$B$5:$B$1005="DEVOLUCIÓN")*(MOVIMIENTOS!$C$5:$C$1005="M")*(MOVIMIENTOS!$D$5:$D$1005="jabas")*(MOVIMIENTOS!$A$5:$A$1005&lt;&gt;"")*(MOVIMIENTOS!$A$5:$A$1005&lt;=$A631)*MOVIMIENTOS!$E$5:$E$1005)-SUMPRODUCT((MOVIMIENTOS!$B$5:$B$1005="TRASIEGO")*(MOVIMIENTOS!$C$5:$C$1005="M")*(MOVIMIENTOS!$D$5:$D$1005="jabas")*(MOVIMIENTOS!$A$5:$A$1005&lt;&gt;"")*(MOVIMIENTOS!$A$5:$A$1005&lt;=$A631)*MOVIMIENTOS!$E$5:$E$1005)-SUMPRODUCT((MOVIMIENTOS!$B$5:$B$1005="REGALO")*(MOVIMIENTOS!$C$5:$C$1005="M")*(MOVIMIENTOS!$D$5:$D$1005="jabas")*(MOVIMIENTOS!$A$5:$A$1005&lt;&gt;"")*(MOVIMIENTOS!$A$5:$A$1005&lt;=$A631)*MOVIMIENTOS!$E$5:$E$1005)-SUMPRODUCT((MOVIMIENTOS!$B$5:$B$1005="VENTA")*(MOVIMIENTOS!$C$5:$C$1005="M")*(MOVIMIENTOS!$D$5:$D$1005="jabas")*(MOVIMIENTOS!$A$5:$A$1005&lt;&gt;"")*(MOVIMIENTOS!$A$5:$A$1005&lt;=$A631)*MOVIMIENTOS!$E$5:$E$1005)+SUMPRODUCT((MOVIMIENTOS!$B$5:$B$1005="AJUSTE")*(MOVIMIENTOS!$C$5:$C$1005="M")*(MOVIMIENTOS!$D$5:$D$1005="jabas")*(MOVIMIENTOS!$A$5:$A$1005&lt;&gt;"")*(MOVIMIENTOS!$A$5:$A$1005&lt;=$A631)*MOVIMIENTOS!$E$5:$E$1005))</f>
        <v/>
      </c>
      <c r="F631" s="62" t="str">
        <f>IF($A631="","",SUMPRODUCT((MOVIMIENTOS!$B$5:$B$1005="SALDO INICIAL")*(MOVIMIENTOS!$C$5:$C$1005="Chancho")*(MOVIMIENTOS!$D$5:$D$1005="sacos")*(MOVIMIENTOS!$A$5:$A$1005&lt;&gt;"")*(MOVIMIENTOS!$A$5:$A$1005&lt;=$A631)*MOVIMIENTOS!$E$5:$E$1005)+SUMPRODUCT((MOVIMIENTOS!$B$5:$B$1005="PROCESO")*(MOVIMIENTOS!$C$5:$C$1005="Chancho")*(MOVIMIENTOS!$D$5:$D$1005="sacos")*(MOVIMIENTOS!$A$5:$A$1005&lt;&gt;"")*(MOVIMIENTOS!$A$5:$A$1005&lt;=$A631)*MOVIMIENTOS!$E$5:$E$1005)-SUMPRODUCT((MOVIMIENTOS!$B$5:$B$1005="VENTA CHANCHO")*(MOVIMIENTOS!$C$5:$C$1005="Chancho")*(MOVIMIENTOS!$D$5:$D$1005="sacos")*(MOVIMIENTOS!$A$5:$A$1005&lt;&gt;"")*(MOVIMIENTOS!$A$5:$A$1005&lt;=$A631)*MOVIMIENTOS!$E$5:$E$1005)-SUMPRODUCT((MOVIMIENTOS!$B$5:$B$1005="REGALO")*(MOVIMIENTOS!$C$5:$C$1005="Chancho")*(MOVIMIENTOS!$D$5:$D$1005="sacos")*(MOVIMIENTOS!$A$5:$A$1005&lt;&gt;"")*(MOVIMIENTOS!$A$5:$A$1005&lt;=$A631)*MOVIMIENTOS!$E$5:$E$1005)-SUMPRODUCT((MOVIMIENTOS!$B$5:$B$1005="VENTA")*(MOVIMIENTOS!$C$5:$C$1005="Chancho")*(MOVIMIENTOS!$D$5:$D$1005="sacos")*(MOVIMIENTOS!$A$5:$A$1005&lt;&gt;"")*(MOVIMIENTOS!$A$5:$A$1005&lt;=$A631)*MOVIMIENTOS!$E$5:$E$1005)+SUMPRODUCT((MOVIMIENTOS!$B$5:$B$1005="AJUSTE")*(MOVIMIENTOS!$C$5:$C$1005="Chancho")*(MOVIMIENTOS!$D$5:$D$1005="sacos")*(MOVIMIENTOS!$A$5:$A$1005&lt;&gt;"")*(MOVIMIENTOS!$A$5:$A$1005&lt;=$A631)*MOVIMIENTOS!$E$5:$E$1005))</f>
        <v/>
      </c>
      <c r="G631" s="62" t="str">
        <f t="shared" si="19"/>
        <v/>
      </c>
      <c r="H631" t="str">
        <f>IF($A631="","",SUMPRODUCT((((MOVIMIENTOS!$B$5:$B$1005="SALDO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631)*MOVIMIENTOS!$J$5:$J$1005))</f>
        <v/>
      </c>
      <c r="J631" t="str">
        <f>IF(AND(MOVIMIENTOS!$A636&lt;&gt;"",COUNTIF(MOVIMIENTOS!$A$5:$A635,MOVIMIENTOS!$A636)=0),COUNT(J$4:J630)+1,"")</f>
        <v/>
      </c>
      <c r="K631">
        <f>MOVIMIENTOS!$A636</f>
        <v>0</v>
      </c>
    </row>
    <row r="632" spans="1:11" ht="15" customHeight="1" x14ac:dyDescent="0.2">
      <c r="A632" t="str">
        <f t="shared" si="18"/>
        <v/>
      </c>
      <c r="B632" t="str">
        <f>IF($A632="","",SUMPRODUCT((MOVIMIENTOS!$B$5:$B$1005="SALDO INICIAL")*(MOVIMIENTOS!$C$5:$C$1005="A")*(MOVIMIENTOS!$D$5:$D$1005="jabas")*(MOVIMIENTOS!$A$5:$A$1005&lt;&gt;"")*(MOVIMIENTOS!$A$5:$A$1005&lt;=$A632)*MOVIMIENTOS!$E$5:$E$1005)+SUMPRODUCT((MOVIMIENTOS!$B$5:$B$1005="PROCESO")*(MOVIMIENTOS!$C$5:$C$1005="A")*(MOVIMIENTOS!$D$5:$D$1005="jabas")*(MOVIMIENTOS!$A$5:$A$1005&lt;&gt;"")*(MOVIMIENTOS!$A$5:$A$1005&lt;=$A632)*MOVIMIENTOS!$E$5:$E$1005)-SUMPRODUCT((MOVIMIENTOS!$B$5:$B$1005="ENVÍO A SUPESA")*(MOVIMIENTOS!$C$5:$C$1005="A")*(MOVIMIENTOS!$D$5:$D$1005="jabas")*(MOVIMIENTOS!$A$5:$A$1005&lt;&gt;"")*(MOVIMIENTOS!$A$5:$A$1005&lt;=$A632)*MOVIMIENTOS!$E$5:$E$1005)+SUMPRODUCT((MOVIMIENTOS!$B$5:$B$1005="DEVOLUCIÓN")*(MOVIMIENTOS!$C$5:$C$1005="A")*(MOVIMIENTOS!$D$5:$D$1005="jabas")*(MOVIMIENTOS!$A$5:$A$1005&lt;&gt;"")*(MOVIMIENTOS!$A$5:$A$1005&lt;=$A632)*MOVIMIENTOS!$E$5:$E$1005)-SUMPRODUCT((MOVIMIENTOS!$B$5:$B$1005="TRASIEGO")*(MOVIMIENTOS!$C$5:$C$1005="A")*(MOVIMIENTOS!$D$5:$D$1005="jabas")*(MOVIMIENTOS!$A$5:$A$1005&lt;&gt;"")*(MOVIMIENTOS!$A$5:$A$1005&lt;=$A632)*MOVIMIENTOS!$E$5:$E$1005)-SUMPRODUCT((MOVIMIENTOS!$B$5:$B$1005="REGALO")*(MOVIMIENTOS!$C$5:$C$1005="A")*(MOVIMIENTOS!$D$5:$D$1005="jabas")*(MOVIMIENTOS!$A$5:$A$1005&lt;&gt;"")*(MOVIMIENTOS!$A$5:$A$1005&lt;=$A632)*MOVIMIENTOS!$E$5:$E$1005)-SUMPRODUCT((MOVIMIENTOS!$B$5:$B$1005="VENTA")*(MOVIMIENTOS!$C$5:$C$1005="A")*(MOVIMIENTOS!$D$5:$D$1005="jabas")*(MOVIMIENTOS!$A$5:$A$1005&lt;&gt;"")*(MOVIMIENTOS!$A$5:$A$1005&lt;=$A632)*MOVIMIENTOS!$E$5:$E$1005)+SUMPRODUCT((MOVIMIENTOS!$B$5:$B$1005="AJUSTE")*(MOVIMIENTOS!$C$5:$C$1005="A")*(MOVIMIENTOS!$D$5:$D$1005="jabas")*(MOVIMIENTOS!$A$5:$A$1005&lt;&gt;"")*(MOVIMIENTOS!$A$5:$A$1005&lt;=$A632)*MOVIMIENTOS!$E$5:$E$1005))</f>
        <v/>
      </c>
      <c r="C632" t="str">
        <f>IF($A632="","",SUMPRODUCT((MOVIMIENTOS!$B$5:$B$1005="SALDO INICIAL")*(MOVIMIENTOS!$C$5:$C$1005="P")*(MOVIMIENTOS!$D$5:$D$1005="jabas")*(MOVIMIENTOS!$A$5:$A$1005&lt;&gt;"")*(MOVIMIENTOS!$A$5:$A$1005&lt;=$A632)*MOVIMIENTOS!$E$5:$E$1005)+SUMPRODUCT((MOVIMIENTOS!$B$5:$B$1005="PROCESO")*(MOVIMIENTOS!$C$5:$C$1005="P")*(MOVIMIENTOS!$D$5:$D$1005="jabas")*(MOVIMIENTOS!$A$5:$A$1005&lt;&gt;"")*(MOVIMIENTOS!$A$5:$A$1005&lt;=$A632)*MOVIMIENTOS!$E$5:$E$1005)-SUMPRODUCT((MOVIMIENTOS!$B$5:$B$1005="ENVÍO A SUPESA")*(MOVIMIENTOS!$C$5:$C$1005="P")*(MOVIMIENTOS!$D$5:$D$1005="jabas")*(MOVIMIENTOS!$A$5:$A$1005&lt;&gt;"")*(MOVIMIENTOS!$A$5:$A$1005&lt;=$A632)*MOVIMIENTOS!$E$5:$E$1005)+SUMPRODUCT((MOVIMIENTOS!$B$5:$B$1005="DEVOLUCIÓN")*(MOVIMIENTOS!$C$5:$C$1005="P")*(MOVIMIENTOS!$D$5:$D$1005="jabas")*(MOVIMIENTOS!$A$5:$A$1005&lt;&gt;"")*(MOVIMIENTOS!$A$5:$A$1005&lt;=$A632)*MOVIMIENTOS!$E$5:$E$1005)-SUMPRODUCT((MOVIMIENTOS!$B$5:$B$1005="TRASIEGO")*(MOVIMIENTOS!$C$5:$C$1005="P")*(MOVIMIENTOS!$D$5:$D$1005="jabas")*(MOVIMIENTOS!$A$5:$A$1005&lt;&gt;"")*(MOVIMIENTOS!$A$5:$A$1005&lt;=$A632)*MOVIMIENTOS!$E$5:$E$1005)-SUMPRODUCT((MOVIMIENTOS!$B$5:$B$1005="REGALO")*(MOVIMIENTOS!$C$5:$C$1005="P")*(MOVIMIENTOS!$D$5:$D$1005="jabas")*(MOVIMIENTOS!$A$5:$A$1005&lt;&gt;"")*(MOVIMIENTOS!$A$5:$A$1005&lt;=$A632)*MOVIMIENTOS!$E$5:$E$1005)-SUMPRODUCT((MOVIMIENTOS!$B$5:$B$1005="VENTA")*(MOVIMIENTOS!$C$5:$C$1005="P")*(MOVIMIENTOS!$D$5:$D$1005="jabas")*(MOVIMIENTOS!$A$5:$A$1005&lt;&gt;"")*(MOVIMIENTOS!$A$5:$A$1005&lt;=$A632)*MOVIMIENTOS!$E$5:$E$1005)+SUMPRODUCT((MOVIMIENTOS!$B$5:$B$1005="AJUSTE")*(MOVIMIENTOS!$C$5:$C$1005="P")*(MOVIMIENTOS!$D$5:$D$1005="jabas")*(MOVIMIENTOS!$A$5:$A$1005&lt;&gt;"")*(MOVIMIENTOS!$A$5:$A$1005&lt;=$A632)*MOVIMIENTOS!$E$5:$E$1005))</f>
        <v/>
      </c>
      <c r="D632" t="str">
        <f>IF($A632="","",SUMPRODUCT((MOVIMIENTOS!$B$5:$B$1005="SALDO INICIAL")*(MOVIMIENTOS!$C$5:$C$1005="C")*(MOVIMIENTOS!$D$5:$D$1005="jabas")*(MOVIMIENTOS!$A$5:$A$1005&lt;&gt;"")*(MOVIMIENTOS!$A$5:$A$1005&lt;=$A632)*MOVIMIENTOS!$E$5:$E$1005)+SUMPRODUCT((MOVIMIENTOS!$B$5:$B$1005="PROCESO")*(MOVIMIENTOS!$C$5:$C$1005="C")*(MOVIMIENTOS!$D$5:$D$1005="jabas")*(MOVIMIENTOS!$A$5:$A$1005&lt;&gt;"")*(MOVIMIENTOS!$A$5:$A$1005&lt;=$A632)*MOVIMIENTOS!$E$5:$E$1005)-SUMPRODUCT((MOVIMIENTOS!$B$5:$B$1005="ENVÍO A SUPESA")*(MOVIMIENTOS!$C$5:$C$1005="C")*(MOVIMIENTOS!$D$5:$D$1005="jabas")*(MOVIMIENTOS!$A$5:$A$1005&lt;&gt;"")*(MOVIMIENTOS!$A$5:$A$1005&lt;=$A632)*MOVIMIENTOS!$E$5:$E$1005)+SUMPRODUCT((MOVIMIENTOS!$B$5:$B$1005="DEVOLUCIÓN")*(MOVIMIENTOS!$C$5:$C$1005="C")*(MOVIMIENTOS!$D$5:$D$1005="jabas")*(MOVIMIENTOS!$A$5:$A$1005&lt;&gt;"")*(MOVIMIENTOS!$A$5:$A$1005&lt;=$A632)*MOVIMIENTOS!$E$5:$E$1005)-SUMPRODUCT((MOVIMIENTOS!$B$5:$B$1005="TRASIEGO")*(MOVIMIENTOS!$C$5:$C$1005="C")*(MOVIMIENTOS!$D$5:$D$1005="jabas")*(MOVIMIENTOS!$A$5:$A$1005&lt;&gt;"")*(MOVIMIENTOS!$A$5:$A$1005&lt;=$A632)*MOVIMIENTOS!$E$5:$E$1005)-SUMPRODUCT((MOVIMIENTOS!$B$5:$B$1005="REGALO")*(MOVIMIENTOS!$C$5:$C$1005="C")*(MOVIMIENTOS!$D$5:$D$1005="jabas")*(MOVIMIENTOS!$A$5:$A$1005&lt;&gt;"")*(MOVIMIENTOS!$A$5:$A$1005&lt;=$A632)*MOVIMIENTOS!$E$5:$E$1005)-SUMPRODUCT((MOVIMIENTOS!$B$5:$B$1005="VENTA")*(MOVIMIENTOS!$C$5:$C$1005="C")*(MOVIMIENTOS!$D$5:$D$1005="jabas")*(MOVIMIENTOS!$A$5:$A$1005&lt;&gt;"")*(MOVIMIENTOS!$A$5:$A$1005&lt;=$A632)*MOVIMIENTOS!$E$5:$E$1005)+SUMPRODUCT((MOVIMIENTOS!$B$5:$B$1005="AJUSTE")*(MOVIMIENTOS!$C$5:$C$1005="C")*(MOVIMIENTOS!$D$5:$D$1005="jabas")*(MOVIMIENTOS!$A$5:$A$1005&lt;&gt;"")*(MOVIMIENTOS!$A$5:$A$1005&lt;=$A632)*MOVIMIENTOS!$E$5:$E$1005))</f>
        <v/>
      </c>
      <c r="E632" t="str">
        <f>IF($A632="","",SUMPRODUCT((MOVIMIENTOS!$B$5:$B$1005="SALDO INICIAL")*(MOVIMIENTOS!$C$5:$C$1005="M")*(MOVIMIENTOS!$D$5:$D$1005="jabas")*(MOVIMIENTOS!$A$5:$A$1005&lt;&gt;"")*(MOVIMIENTOS!$A$5:$A$1005&lt;=$A632)*MOVIMIENTOS!$E$5:$E$1005)+SUMPRODUCT((MOVIMIENTOS!$B$5:$B$1005="PROCESO")*(MOVIMIENTOS!$C$5:$C$1005="M")*(MOVIMIENTOS!$D$5:$D$1005="jabas")*(MOVIMIENTOS!$A$5:$A$1005&lt;&gt;"")*(MOVIMIENTOS!$A$5:$A$1005&lt;=$A632)*MOVIMIENTOS!$E$5:$E$1005)-SUMPRODUCT((MOVIMIENTOS!$B$5:$B$1005="ENVÍO A SUPESA")*(MOVIMIENTOS!$C$5:$C$1005="M")*(MOVIMIENTOS!$D$5:$D$1005="jabas")*(MOVIMIENTOS!$A$5:$A$1005&lt;&gt;"")*(MOVIMIENTOS!$A$5:$A$1005&lt;=$A632)*MOVIMIENTOS!$E$5:$E$1005)+SUMPRODUCT((MOVIMIENTOS!$B$5:$B$1005="DEVOLUCIÓN")*(MOVIMIENTOS!$C$5:$C$1005="M")*(MOVIMIENTOS!$D$5:$D$1005="jabas")*(MOVIMIENTOS!$A$5:$A$1005&lt;&gt;"")*(MOVIMIENTOS!$A$5:$A$1005&lt;=$A632)*MOVIMIENTOS!$E$5:$E$1005)-SUMPRODUCT((MOVIMIENTOS!$B$5:$B$1005="TRASIEGO")*(MOVIMIENTOS!$C$5:$C$1005="M")*(MOVIMIENTOS!$D$5:$D$1005="jabas")*(MOVIMIENTOS!$A$5:$A$1005&lt;&gt;"")*(MOVIMIENTOS!$A$5:$A$1005&lt;=$A632)*MOVIMIENTOS!$E$5:$E$1005)-SUMPRODUCT((MOVIMIENTOS!$B$5:$B$1005="REGALO")*(MOVIMIENTOS!$C$5:$C$1005="M")*(MOVIMIENTOS!$D$5:$D$1005="jabas")*(MOVIMIENTOS!$A$5:$A$1005&lt;&gt;"")*(MOVIMIENTOS!$A$5:$A$1005&lt;=$A632)*MOVIMIENTOS!$E$5:$E$1005)-SUMPRODUCT((MOVIMIENTOS!$B$5:$B$1005="VENTA")*(MOVIMIENTOS!$C$5:$C$1005="M")*(MOVIMIENTOS!$D$5:$D$1005="jabas")*(MOVIMIENTOS!$A$5:$A$1005&lt;&gt;"")*(MOVIMIENTOS!$A$5:$A$1005&lt;=$A632)*MOVIMIENTOS!$E$5:$E$1005)+SUMPRODUCT((MOVIMIENTOS!$B$5:$B$1005="AJUSTE")*(MOVIMIENTOS!$C$5:$C$1005="M")*(MOVIMIENTOS!$D$5:$D$1005="jabas")*(MOVIMIENTOS!$A$5:$A$1005&lt;&gt;"")*(MOVIMIENTOS!$A$5:$A$1005&lt;=$A632)*MOVIMIENTOS!$E$5:$E$1005))</f>
        <v/>
      </c>
      <c r="F632" s="62" t="str">
        <f>IF($A632="","",SUMPRODUCT((MOVIMIENTOS!$B$5:$B$1005="SALDO INICIAL")*(MOVIMIENTOS!$C$5:$C$1005="Chancho")*(MOVIMIENTOS!$D$5:$D$1005="sacos")*(MOVIMIENTOS!$A$5:$A$1005&lt;&gt;"")*(MOVIMIENTOS!$A$5:$A$1005&lt;=$A632)*MOVIMIENTOS!$E$5:$E$1005)+SUMPRODUCT((MOVIMIENTOS!$B$5:$B$1005="PROCESO")*(MOVIMIENTOS!$C$5:$C$1005="Chancho")*(MOVIMIENTOS!$D$5:$D$1005="sacos")*(MOVIMIENTOS!$A$5:$A$1005&lt;&gt;"")*(MOVIMIENTOS!$A$5:$A$1005&lt;=$A632)*MOVIMIENTOS!$E$5:$E$1005)-SUMPRODUCT((MOVIMIENTOS!$B$5:$B$1005="VENTA CHANCHO")*(MOVIMIENTOS!$C$5:$C$1005="Chancho")*(MOVIMIENTOS!$D$5:$D$1005="sacos")*(MOVIMIENTOS!$A$5:$A$1005&lt;&gt;"")*(MOVIMIENTOS!$A$5:$A$1005&lt;=$A632)*MOVIMIENTOS!$E$5:$E$1005)-SUMPRODUCT((MOVIMIENTOS!$B$5:$B$1005="REGALO")*(MOVIMIENTOS!$C$5:$C$1005="Chancho")*(MOVIMIENTOS!$D$5:$D$1005="sacos")*(MOVIMIENTOS!$A$5:$A$1005&lt;&gt;"")*(MOVIMIENTOS!$A$5:$A$1005&lt;=$A632)*MOVIMIENTOS!$E$5:$E$1005)-SUMPRODUCT((MOVIMIENTOS!$B$5:$B$1005="VENTA")*(MOVIMIENTOS!$C$5:$C$1005="Chancho")*(MOVIMIENTOS!$D$5:$D$1005="sacos")*(MOVIMIENTOS!$A$5:$A$1005&lt;&gt;"")*(MOVIMIENTOS!$A$5:$A$1005&lt;=$A632)*MOVIMIENTOS!$E$5:$E$1005)+SUMPRODUCT((MOVIMIENTOS!$B$5:$B$1005="AJUSTE")*(MOVIMIENTOS!$C$5:$C$1005="Chancho")*(MOVIMIENTOS!$D$5:$D$1005="sacos")*(MOVIMIENTOS!$A$5:$A$1005&lt;&gt;"")*(MOVIMIENTOS!$A$5:$A$1005&lt;=$A632)*MOVIMIENTOS!$E$5:$E$1005))</f>
        <v/>
      </c>
      <c r="G632" s="62" t="str">
        <f t="shared" si="19"/>
        <v/>
      </c>
      <c r="H632" t="str">
        <f>IF($A632="","",SUMPRODUCT((((MOVIMIENTOS!$B$5:$B$1005="SALDO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632)*MOVIMIENTOS!$J$5:$J$1005))</f>
        <v/>
      </c>
      <c r="J632" t="str">
        <f>IF(AND(MOVIMIENTOS!$A637&lt;&gt;"",COUNTIF(MOVIMIENTOS!$A$5:$A636,MOVIMIENTOS!$A637)=0),COUNT(J$4:J631)+1,"")</f>
        <v/>
      </c>
      <c r="K632">
        <f>MOVIMIENTOS!$A637</f>
        <v>0</v>
      </c>
    </row>
    <row r="633" spans="1:11" ht="15" customHeight="1" x14ac:dyDescent="0.2">
      <c r="A633" t="str">
        <f t="shared" si="18"/>
        <v/>
      </c>
      <c r="B633" t="str">
        <f>IF($A633="","",SUMPRODUCT((MOVIMIENTOS!$B$5:$B$1005="SALDO INICIAL")*(MOVIMIENTOS!$C$5:$C$1005="A")*(MOVIMIENTOS!$D$5:$D$1005="jabas")*(MOVIMIENTOS!$A$5:$A$1005&lt;&gt;"")*(MOVIMIENTOS!$A$5:$A$1005&lt;=$A633)*MOVIMIENTOS!$E$5:$E$1005)+SUMPRODUCT((MOVIMIENTOS!$B$5:$B$1005="PROCESO")*(MOVIMIENTOS!$C$5:$C$1005="A")*(MOVIMIENTOS!$D$5:$D$1005="jabas")*(MOVIMIENTOS!$A$5:$A$1005&lt;&gt;"")*(MOVIMIENTOS!$A$5:$A$1005&lt;=$A633)*MOVIMIENTOS!$E$5:$E$1005)-SUMPRODUCT((MOVIMIENTOS!$B$5:$B$1005="ENVÍO A SUPESA")*(MOVIMIENTOS!$C$5:$C$1005="A")*(MOVIMIENTOS!$D$5:$D$1005="jabas")*(MOVIMIENTOS!$A$5:$A$1005&lt;&gt;"")*(MOVIMIENTOS!$A$5:$A$1005&lt;=$A633)*MOVIMIENTOS!$E$5:$E$1005)+SUMPRODUCT((MOVIMIENTOS!$B$5:$B$1005="DEVOLUCIÓN")*(MOVIMIENTOS!$C$5:$C$1005="A")*(MOVIMIENTOS!$D$5:$D$1005="jabas")*(MOVIMIENTOS!$A$5:$A$1005&lt;&gt;"")*(MOVIMIENTOS!$A$5:$A$1005&lt;=$A633)*MOVIMIENTOS!$E$5:$E$1005)-SUMPRODUCT((MOVIMIENTOS!$B$5:$B$1005="TRASIEGO")*(MOVIMIENTOS!$C$5:$C$1005="A")*(MOVIMIENTOS!$D$5:$D$1005="jabas")*(MOVIMIENTOS!$A$5:$A$1005&lt;&gt;"")*(MOVIMIENTOS!$A$5:$A$1005&lt;=$A633)*MOVIMIENTOS!$E$5:$E$1005)-SUMPRODUCT((MOVIMIENTOS!$B$5:$B$1005="REGALO")*(MOVIMIENTOS!$C$5:$C$1005="A")*(MOVIMIENTOS!$D$5:$D$1005="jabas")*(MOVIMIENTOS!$A$5:$A$1005&lt;&gt;"")*(MOVIMIENTOS!$A$5:$A$1005&lt;=$A633)*MOVIMIENTOS!$E$5:$E$1005)-SUMPRODUCT((MOVIMIENTOS!$B$5:$B$1005="VENTA")*(MOVIMIENTOS!$C$5:$C$1005="A")*(MOVIMIENTOS!$D$5:$D$1005="jabas")*(MOVIMIENTOS!$A$5:$A$1005&lt;&gt;"")*(MOVIMIENTOS!$A$5:$A$1005&lt;=$A633)*MOVIMIENTOS!$E$5:$E$1005)+SUMPRODUCT((MOVIMIENTOS!$B$5:$B$1005="AJUSTE")*(MOVIMIENTOS!$C$5:$C$1005="A")*(MOVIMIENTOS!$D$5:$D$1005="jabas")*(MOVIMIENTOS!$A$5:$A$1005&lt;&gt;"")*(MOVIMIENTOS!$A$5:$A$1005&lt;=$A633)*MOVIMIENTOS!$E$5:$E$1005))</f>
        <v/>
      </c>
      <c r="C633" t="str">
        <f>IF($A633="","",SUMPRODUCT((MOVIMIENTOS!$B$5:$B$1005="SALDO INICIAL")*(MOVIMIENTOS!$C$5:$C$1005="P")*(MOVIMIENTOS!$D$5:$D$1005="jabas")*(MOVIMIENTOS!$A$5:$A$1005&lt;&gt;"")*(MOVIMIENTOS!$A$5:$A$1005&lt;=$A633)*MOVIMIENTOS!$E$5:$E$1005)+SUMPRODUCT((MOVIMIENTOS!$B$5:$B$1005="PROCESO")*(MOVIMIENTOS!$C$5:$C$1005="P")*(MOVIMIENTOS!$D$5:$D$1005="jabas")*(MOVIMIENTOS!$A$5:$A$1005&lt;&gt;"")*(MOVIMIENTOS!$A$5:$A$1005&lt;=$A633)*MOVIMIENTOS!$E$5:$E$1005)-SUMPRODUCT((MOVIMIENTOS!$B$5:$B$1005="ENVÍO A SUPESA")*(MOVIMIENTOS!$C$5:$C$1005="P")*(MOVIMIENTOS!$D$5:$D$1005="jabas")*(MOVIMIENTOS!$A$5:$A$1005&lt;&gt;"")*(MOVIMIENTOS!$A$5:$A$1005&lt;=$A633)*MOVIMIENTOS!$E$5:$E$1005)+SUMPRODUCT((MOVIMIENTOS!$B$5:$B$1005="DEVOLUCIÓN")*(MOVIMIENTOS!$C$5:$C$1005="P")*(MOVIMIENTOS!$D$5:$D$1005="jabas")*(MOVIMIENTOS!$A$5:$A$1005&lt;&gt;"")*(MOVIMIENTOS!$A$5:$A$1005&lt;=$A633)*MOVIMIENTOS!$E$5:$E$1005)-SUMPRODUCT((MOVIMIENTOS!$B$5:$B$1005="TRASIEGO")*(MOVIMIENTOS!$C$5:$C$1005="P")*(MOVIMIENTOS!$D$5:$D$1005="jabas")*(MOVIMIENTOS!$A$5:$A$1005&lt;&gt;"")*(MOVIMIENTOS!$A$5:$A$1005&lt;=$A633)*MOVIMIENTOS!$E$5:$E$1005)-SUMPRODUCT((MOVIMIENTOS!$B$5:$B$1005="REGALO")*(MOVIMIENTOS!$C$5:$C$1005="P")*(MOVIMIENTOS!$D$5:$D$1005="jabas")*(MOVIMIENTOS!$A$5:$A$1005&lt;&gt;"")*(MOVIMIENTOS!$A$5:$A$1005&lt;=$A633)*MOVIMIENTOS!$E$5:$E$1005)-SUMPRODUCT((MOVIMIENTOS!$B$5:$B$1005="VENTA")*(MOVIMIENTOS!$C$5:$C$1005="P")*(MOVIMIENTOS!$D$5:$D$1005="jabas")*(MOVIMIENTOS!$A$5:$A$1005&lt;&gt;"")*(MOVIMIENTOS!$A$5:$A$1005&lt;=$A633)*MOVIMIENTOS!$E$5:$E$1005)+SUMPRODUCT((MOVIMIENTOS!$B$5:$B$1005="AJUSTE")*(MOVIMIENTOS!$C$5:$C$1005="P")*(MOVIMIENTOS!$D$5:$D$1005="jabas")*(MOVIMIENTOS!$A$5:$A$1005&lt;&gt;"")*(MOVIMIENTOS!$A$5:$A$1005&lt;=$A633)*MOVIMIENTOS!$E$5:$E$1005))</f>
        <v/>
      </c>
      <c r="D633" t="str">
        <f>IF($A633="","",SUMPRODUCT((MOVIMIENTOS!$B$5:$B$1005="SALDO INICIAL")*(MOVIMIENTOS!$C$5:$C$1005="C")*(MOVIMIENTOS!$D$5:$D$1005="jabas")*(MOVIMIENTOS!$A$5:$A$1005&lt;&gt;"")*(MOVIMIENTOS!$A$5:$A$1005&lt;=$A633)*MOVIMIENTOS!$E$5:$E$1005)+SUMPRODUCT((MOVIMIENTOS!$B$5:$B$1005="PROCESO")*(MOVIMIENTOS!$C$5:$C$1005="C")*(MOVIMIENTOS!$D$5:$D$1005="jabas")*(MOVIMIENTOS!$A$5:$A$1005&lt;&gt;"")*(MOVIMIENTOS!$A$5:$A$1005&lt;=$A633)*MOVIMIENTOS!$E$5:$E$1005)-SUMPRODUCT((MOVIMIENTOS!$B$5:$B$1005="ENVÍO A SUPESA")*(MOVIMIENTOS!$C$5:$C$1005="C")*(MOVIMIENTOS!$D$5:$D$1005="jabas")*(MOVIMIENTOS!$A$5:$A$1005&lt;&gt;"")*(MOVIMIENTOS!$A$5:$A$1005&lt;=$A633)*MOVIMIENTOS!$E$5:$E$1005)+SUMPRODUCT((MOVIMIENTOS!$B$5:$B$1005="DEVOLUCIÓN")*(MOVIMIENTOS!$C$5:$C$1005="C")*(MOVIMIENTOS!$D$5:$D$1005="jabas")*(MOVIMIENTOS!$A$5:$A$1005&lt;&gt;"")*(MOVIMIENTOS!$A$5:$A$1005&lt;=$A633)*MOVIMIENTOS!$E$5:$E$1005)-SUMPRODUCT((MOVIMIENTOS!$B$5:$B$1005="TRASIEGO")*(MOVIMIENTOS!$C$5:$C$1005="C")*(MOVIMIENTOS!$D$5:$D$1005="jabas")*(MOVIMIENTOS!$A$5:$A$1005&lt;&gt;"")*(MOVIMIENTOS!$A$5:$A$1005&lt;=$A633)*MOVIMIENTOS!$E$5:$E$1005)-SUMPRODUCT((MOVIMIENTOS!$B$5:$B$1005="REGALO")*(MOVIMIENTOS!$C$5:$C$1005="C")*(MOVIMIENTOS!$D$5:$D$1005="jabas")*(MOVIMIENTOS!$A$5:$A$1005&lt;&gt;"")*(MOVIMIENTOS!$A$5:$A$1005&lt;=$A633)*MOVIMIENTOS!$E$5:$E$1005)-SUMPRODUCT((MOVIMIENTOS!$B$5:$B$1005="VENTA")*(MOVIMIENTOS!$C$5:$C$1005="C")*(MOVIMIENTOS!$D$5:$D$1005="jabas")*(MOVIMIENTOS!$A$5:$A$1005&lt;&gt;"")*(MOVIMIENTOS!$A$5:$A$1005&lt;=$A633)*MOVIMIENTOS!$E$5:$E$1005)+SUMPRODUCT((MOVIMIENTOS!$B$5:$B$1005="AJUSTE")*(MOVIMIENTOS!$C$5:$C$1005="C")*(MOVIMIENTOS!$D$5:$D$1005="jabas")*(MOVIMIENTOS!$A$5:$A$1005&lt;&gt;"")*(MOVIMIENTOS!$A$5:$A$1005&lt;=$A633)*MOVIMIENTOS!$E$5:$E$1005))</f>
        <v/>
      </c>
      <c r="E633" t="str">
        <f>IF($A633="","",SUMPRODUCT((MOVIMIENTOS!$B$5:$B$1005="SALDO INICIAL")*(MOVIMIENTOS!$C$5:$C$1005="M")*(MOVIMIENTOS!$D$5:$D$1005="jabas")*(MOVIMIENTOS!$A$5:$A$1005&lt;&gt;"")*(MOVIMIENTOS!$A$5:$A$1005&lt;=$A633)*MOVIMIENTOS!$E$5:$E$1005)+SUMPRODUCT((MOVIMIENTOS!$B$5:$B$1005="PROCESO")*(MOVIMIENTOS!$C$5:$C$1005="M")*(MOVIMIENTOS!$D$5:$D$1005="jabas")*(MOVIMIENTOS!$A$5:$A$1005&lt;&gt;"")*(MOVIMIENTOS!$A$5:$A$1005&lt;=$A633)*MOVIMIENTOS!$E$5:$E$1005)-SUMPRODUCT((MOVIMIENTOS!$B$5:$B$1005="ENVÍO A SUPESA")*(MOVIMIENTOS!$C$5:$C$1005="M")*(MOVIMIENTOS!$D$5:$D$1005="jabas")*(MOVIMIENTOS!$A$5:$A$1005&lt;&gt;"")*(MOVIMIENTOS!$A$5:$A$1005&lt;=$A633)*MOVIMIENTOS!$E$5:$E$1005)+SUMPRODUCT((MOVIMIENTOS!$B$5:$B$1005="DEVOLUCIÓN")*(MOVIMIENTOS!$C$5:$C$1005="M")*(MOVIMIENTOS!$D$5:$D$1005="jabas")*(MOVIMIENTOS!$A$5:$A$1005&lt;&gt;"")*(MOVIMIENTOS!$A$5:$A$1005&lt;=$A633)*MOVIMIENTOS!$E$5:$E$1005)-SUMPRODUCT((MOVIMIENTOS!$B$5:$B$1005="TRASIEGO")*(MOVIMIENTOS!$C$5:$C$1005="M")*(MOVIMIENTOS!$D$5:$D$1005="jabas")*(MOVIMIENTOS!$A$5:$A$1005&lt;&gt;"")*(MOVIMIENTOS!$A$5:$A$1005&lt;=$A633)*MOVIMIENTOS!$E$5:$E$1005)-SUMPRODUCT((MOVIMIENTOS!$B$5:$B$1005="REGALO")*(MOVIMIENTOS!$C$5:$C$1005="M")*(MOVIMIENTOS!$D$5:$D$1005="jabas")*(MOVIMIENTOS!$A$5:$A$1005&lt;&gt;"")*(MOVIMIENTOS!$A$5:$A$1005&lt;=$A633)*MOVIMIENTOS!$E$5:$E$1005)-SUMPRODUCT((MOVIMIENTOS!$B$5:$B$1005="VENTA")*(MOVIMIENTOS!$C$5:$C$1005="M")*(MOVIMIENTOS!$D$5:$D$1005="jabas")*(MOVIMIENTOS!$A$5:$A$1005&lt;&gt;"")*(MOVIMIENTOS!$A$5:$A$1005&lt;=$A633)*MOVIMIENTOS!$E$5:$E$1005)+SUMPRODUCT((MOVIMIENTOS!$B$5:$B$1005="AJUSTE")*(MOVIMIENTOS!$C$5:$C$1005="M")*(MOVIMIENTOS!$D$5:$D$1005="jabas")*(MOVIMIENTOS!$A$5:$A$1005&lt;&gt;"")*(MOVIMIENTOS!$A$5:$A$1005&lt;=$A633)*MOVIMIENTOS!$E$5:$E$1005))</f>
        <v/>
      </c>
      <c r="F633" s="62" t="str">
        <f>IF($A633="","",SUMPRODUCT((MOVIMIENTOS!$B$5:$B$1005="SALDO INICIAL")*(MOVIMIENTOS!$C$5:$C$1005="Chancho")*(MOVIMIENTOS!$D$5:$D$1005="sacos")*(MOVIMIENTOS!$A$5:$A$1005&lt;&gt;"")*(MOVIMIENTOS!$A$5:$A$1005&lt;=$A633)*MOVIMIENTOS!$E$5:$E$1005)+SUMPRODUCT((MOVIMIENTOS!$B$5:$B$1005="PROCESO")*(MOVIMIENTOS!$C$5:$C$1005="Chancho")*(MOVIMIENTOS!$D$5:$D$1005="sacos")*(MOVIMIENTOS!$A$5:$A$1005&lt;&gt;"")*(MOVIMIENTOS!$A$5:$A$1005&lt;=$A633)*MOVIMIENTOS!$E$5:$E$1005)-SUMPRODUCT((MOVIMIENTOS!$B$5:$B$1005="VENTA CHANCHO")*(MOVIMIENTOS!$C$5:$C$1005="Chancho")*(MOVIMIENTOS!$D$5:$D$1005="sacos")*(MOVIMIENTOS!$A$5:$A$1005&lt;&gt;"")*(MOVIMIENTOS!$A$5:$A$1005&lt;=$A633)*MOVIMIENTOS!$E$5:$E$1005)-SUMPRODUCT((MOVIMIENTOS!$B$5:$B$1005="REGALO")*(MOVIMIENTOS!$C$5:$C$1005="Chancho")*(MOVIMIENTOS!$D$5:$D$1005="sacos")*(MOVIMIENTOS!$A$5:$A$1005&lt;&gt;"")*(MOVIMIENTOS!$A$5:$A$1005&lt;=$A633)*MOVIMIENTOS!$E$5:$E$1005)-SUMPRODUCT((MOVIMIENTOS!$B$5:$B$1005="VENTA")*(MOVIMIENTOS!$C$5:$C$1005="Chancho")*(MOVIMIENTOS!$D$5:$D$1005="sacos")*(MOVIMIENTOS!$A$5:$A$1005&lt;&gt;"")*(MOVIMIENTOS!$A$5:$A$1005&lt;=$A633)*MOVIMIENTOS!$E$5:$E$1005)+SUMPRODUCT((MOVIMIENTOS!$B$5:$B$1005="AJUSTE")*(MOVIMIENTOS!$C$5:$C$1005="Chancho")*(MOVIMIENTOS!$D$5:$D$1005="sacos")*(MOVIMIENTOS!$A$5:$A$1005&lt;&gt;"")*(MOVIMIENTOS!$A$5:$A$1005&lt;=$A633)*MOVIMIENTOS!$E$5:$E$1005))</f>
        <v/>
      </c>
      <c r="G633" s="62" t="str">
        <f t="shared" si="19"/>
        <v/>
      </c>
      <c r="H633" t="str">
        <f>IF($A633="","",SUMPRODUCT((((MOVIMIENTOS!$B$5:$B$1005="SALDO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633)*MOVIMIENTOS!$J$5:$J$1005))</f>
        <v/>
      </c>
      <c r="J633" t="str">
        <f>IF(AND(MOVIMIENTOS!$A638&lt;&gt;"",COUNTIF(MOVIMIENTOS!$A$5:$A637,MOVIMIENTOS!$A638)=0),COUNT(J$4:J632)+1,"")</f>
        <v/>
      </c>
      <c r="K633">
        <f>MOVIMIENTOS!$A638</f>
        <v>0</v>
      </c>
    </row>
    <row r="634" spans="1:11" ht="15" customHeight="1" x14ac:dyDescent="0.2">
      <c r="A634" t="str">
        <f t="shared" si="18"/>
        <v/>
      </c>
      <c r="B634" t="str">
        <f>IF($A634="","",SUMPRODUCT((MOVIMIENTOS!$B$5:$B$1005="SALDO INICIAL")*(MOVIMIENTOS!$C$5:$C$1005="A")*(MOVIMIENTOS!$D$5:$D$1005="jabas")*(MOVIMIENTOS!$A$5:$A$1005&lt;&gt;"")*(MOVIMIENTOS!$A$5:$A$1005&lt;=$A634)*MOVIMIENTOS!$E$5:$E$1005)+SUMPRODUCT((MOVIMIENTOS!$B$5:$B$1005="PROCESO")*(MOVIMIENTOS!$C$5:$C$1005="A")*(MOVIMIENTOS!$D$5:$D$1005="jabas")*(MOVIMIENTOS!$A$5:$A$1005&lt;&gt;"")*(MOVIMIENTOS!$A$5:$A$1005&lt;=$A634)*MOVIMIENTOS!$E$5:$E$1005)-SUMPRODUCT((MOVIMIENTOS!$B$5:$B$1005="ENVÍO A SUPESA")*(MOVIMIENTOS!$C$5:$C$1005="A")*(MOVIMIENTOS!$D$5:$D$1005="jabas")*(MOVIMIENTOS!$A$5:$A$1005&lt;&gt;"")*(MOVIMIENTOS!$A$5:$A$1005&lt;=$A634)*MOVIMIENTOS!$E$5:$E$1005)+SUMPRODUCT((MOVIMIENTOS!$B$5:$B$1005="DEVOLUCIÓN")*(MOVIMIENTOS!$C$5:$C$1005="A")*(MOVIMIENTOS!$D$5:$D$1005="jabas")*(MOVIMIENTOS!$A$5:$A$1005&lt;&gt;"")*(MOVIMIENTOS!$A$5:$A$1005&lt;=$A634)*MOVIMIENTOS!$E$5:$E$1005)-SUMPRODUCT((MOVIMIENTOS!$B$5:$B$1005="TRASIEGO")*(MOVIMIENTOS!$C$5:$C$1005="A")*(MOVIMIENTOS!$D$5:$D$1005="jabas")*(MOVIMIENTOS!$A$5:$A$1005&lt;&gt;"")*(MOVIMIENTOS!$A$5:$A$1005&lt;=$A634)*MOVIMIENTOS!$E$5:$E$1005)-SUMPRODUCT((MOVIMIENTOS!$B$5:$B$1005="REGALO")*(MOVIMIENTOS!$C$5:$C$1005="A")*(MOVIMIENTOS!$D$5:$D$1005="jabas")*(MOVIMIENTOS!$A$5:$A$1005&lt;&gt;"")*(MOVIMIENTOS!$A$5:$A$1005&lt;=$A634)*MOVIMIENTOS!$E$5:$E$1005)-SUMPRODUCT((MOVIMIENTOS!$B$5:$B$1005="VENTA")*(MOVIMIENTOS!$C$5:$C$1005="A")*(MOVIMIENTOS!$D$5:$D$1005="jabas")*(MOVIMIENTOS!$A$5:$A$1005&lt;&gt;"")*(MOVIMIENTOS!$A$5:$A$1005&lt;=$A634)*MOVIMIENTOS!$E$5:$E$1005)+SUMPRODUCT((MOVIMIENTOS!$B$5:$B$1005="AJUSTE")*(MOVIMIENTOS!$C$5:$C$1005="A")*(MOVIMIENTOS!$D$5:$D$1005="jabas")*(MOVIMIENTOS!$A$5:$A$1005&lt;&gt;"")*(MOVIMIENTOS!$A$5:$A$1005&lt;=$A634)*MOVIMIENTOS!$E$5:$E$1005))</f>
        <v/>
      </c>
      <c r="C634" t="str">
        <f>IF($A634="","",SUMPRODUCT((MOVIMIENTOS!$B$5:$B$1005="SALDO INICIAL")*(MOVIMIENTOS!$C$5:$C$1005="P")*(MOVIMIENTOS!$D$5:$D$1005="jabas")*(MOVIMIENTOS!$A$5:$A$1005&lt;&gt;"")*(MOVIMIENTOS!$A$5:$A$1005&lt;=$A634)*MOVIMIENTOS!$E$5:$E$1005)+SUMPRODUCT((MOVIMIENTOS!$B$5:$B$1005="PROCESO")*(MOVIMIENTOS!$C$5:$C$1005="P")*(MOVIMIENTOS!$D$5:$D$1005="jabas")*(MOVIMIENTOS!$A$5:$A$1005&lt;&gt;"")*(MOVIMIENTOS!$A$5:$A$1005&lt;=$A634)*MOVIMIENTOS!$E$5:$E$1005)-SUMPRODUCT((MOVIMIENTOS!$B$5:$B$1005="ENVÍO A SUPESA")*(MOVIMIENTOS!$C$5:$C$1005="P")*(MOVIMIENTOS!$D$5:$D$1005="jabas")*(MOVIMIENTOS!$A$5:$A$1005&lt;&gt;"")*(MOVIMIENTOS!$A$5:$A$1005&lt;=$A634)*MOVIMIENTOS!$E$5:$E$1005)+SUMPRODUCT((MOVIMIENTOS!$B$5:$B$1005="DEVOLUCIÓN")*(MOVIMIENTOS!$C$5:$C$1005="P")*(MOVIMIENTOS!$D$5:$D$1005="jabas")*(MOVIMIENTOS!$A$5:$A$1005&lt;&gt;"")*(MOVIMIENTOS!$A$5:$A$1005&lt;=$A634)*MOVIMIENTOS!$E$5:$E$1005)-SUMPRODUCT((MOVIMIENTOS!$B$5:$B$1005="TRASIEGO")*(MOVIMIENTOS!$C$5:$C$1005="P")*(MOVIMIENTOS!$D$5:$D$1005="jabas")*(MOVIMIENTOS!$A$5:$A$1005&lt;&gt;"")*(MOVIMIENTOS!$A$5:$A$1005&lt;=$A634)*MOVIMIENTOS!$E$5:$E$1005)-SUMPRODUCT((MOVIMIENTOS!$B$5:$B$1005="REGALO")*(MOVIMIENTOS!$C$5:$C$1005="P")*(MOVIMIENTOS!$D$5:$D$1005="jabas")*(MOVIMIENTOS!$A$5:$A$1005&lt;&gt;"")*(MOVIMIENTOS!$A$5:$A$1005&lt;=$A634)*MOVIMIENTOS!$E$5:$E$1005)-SUMPRODUCT((MOVIMIENTOS!$B$5:$B$1005="VENTA")*(MOVIMIENTOS!$C$5:$C$1005="P")*(MOVIMIENTOS!$D$5:$D$1005="jabas")*(MOVIMIENTOS!$A$5:$A$1005&lt;&gt;"")*(MOVIMIENTOS!$A$5:$A$1005&lt;=$A634)*MOVIMIENTOS!$E$5:$E$1005)+SUMPRODUCT((MOVIMIENTOS!$B$5:$B$1005="AJUSTE")*(MOVIMIENTOS!$C$5:$C$1005="P")*(MOVIMIENTOS!$D$5:$D$1005="jabas")*(MOVIMIENTOS!$A$5:$A$1005&lt;&gt;"")*(MOVIMIENTOS!$A$5:$A$1005&lt;=$A634)*MOVIMIENTOS!$E$5:$E$1005))</f>
        <v/>
      </c>
      <c r="D634" t="str">
        <f>IF($A634="","",SUMPRODUCT((MOVIMIENTOS!$B$5:$B$1005="SALDO INICIAL")*(MOVIMIENTOS!$C$5:$C$1005="C")*(MOVIMIENTOS!$D$5:$D$1005="jabas")*(MOVIMIENTOS!$A$5:$A$1005&lt;&gt;"")*(MOVIMIENTOS!$A$5:$A$1005&lt;=$A634)*MOVIMIENTOS!$E$5:$E$1005)+SUMPRODUCT((MOVIMIENTOS!$B$5:$B$1005="PROCESO")*(MOVIMIENTOS!$C$5:$C$1005="C")*(MOVIMIENTOS!$D$5:$D$1005="jabas")*(MOVIMIENTOS!$A$5:$A$1005&lt;&gt;"")*(MOVIMIENTOS!$A$5:$A$1005&lt;=$A634)*MOVIMIENTOS!$E$5:$E$1005)-SUMPRODUCT((MOVIMIENTOS!$B$5:$B$1005="ENVÍO A SUPESA")*(MOVIMIENTOS!$C$5:$C$1005="C")*(MOVIMIENTOS!$D$5:$D$1005="jabas")*(MOVIMIENTOS!$A$5:$A$1005&lt;&gt;"")*(MOVIMIENTOS!$A$5:$A$1005&lt;=$A634)*MOVIMIENTOS!$E$5:$E$1005)+SUMPRODUCT((MOVIMIENTOS!$B$5:$B$1005="DEVOLUCIÓN")*(MOVIMIENTOS!$C$5:$C$1005="C")*(MOVIMIENTOS!$D$5:$D$1005="jabas")*(MOVIMIENTOS!$A$5:$A$1005&lt;&gt;"")*(MOVIMIENTOS!$A$5:$A$1005&lt;=$A634)*MOVIMIENTOS!$E$5:$E$1005)-SUMPRODUCT((MOVIMIENTOS!$B$5:$B$1005="TRASIEGO")*(MOVIMIENTOS!$C$5:$C$1005="C")*(MOVIMIENTOS!$D$5:$D$1005="jabas")*(MOVIMIENTOS!$A$5:$A$1005&lt;&gt;"")*(MOVIMIENTOS!$A$5:$A$1005&lt;=$A634)*MOVIMIENTOS!$E$5:$E$1005)-SUMPRODUCT((MOVIMIENTOS!$B$5:$B$1005="REGALO")*(MOVIMIENTOS!$C$5:$C$1005="C")*(MOVIMIENTOS!$D$5:$D$1005="jabas")*(MOVIMIENTOS!$A$5:$A$1005&lt;&gt;"")*(MOVIMIENTOS!$A$5:$A$1005&lt;=$A634)*MOVIMIENTOS!$E$5:$E$1005)-SUMPRODUCT((MOVIMIENTOS!$B$5:$B$1005="VENTA")*(MOVIMIENTOS!$C$5:$C$1005="C")*(MOVIMIENTOS!$D$5:$D$1005="jabas")*(MOVIMIENTOS!$A$5:$A$1005&lt;&gt;"")*(MOVIMIENTOS!$A$5:$A$1005&lt;=$A634)*MOVIMIENTOS!$E$5:$E$1005)+SUMPRODUCT((MOVIMIENTOS!$B$5:$B$1005="AJUSTE")*(MOVIMIENTOS!$C$5:$C$1005="C")*(MOVIMIENTOS!$D$5:$D$1005="jabas")*(MOVIMIENTOS!$A$5:$A$1005&lt;&gt;"")*(MOVIMIENTOS!$A$5:$A$1005&lt;=$A634)*MOVIMIENTOS!$E$5:$E$1005))</f>
        <v/>
      </c>
      <c r="E634" t="str">
        <f>IF($A634="","",SUMPRODUCT((MOVIMIENTOS!$B$5:$B$1005="SALDO INICIAL")*(MOVIMIENTOS!$C$5:$C$1005="M")*(MOVIMIENTOS!$D$5:$D$1005="jabas")*(MOVIMIENTOS!$A$5:$A$1005&lt;&gt;"")*(MOVIMIENTOS!$A$5:$A$1005&lt;=$A634)*MOVIMIENTOS!$E$5:$E$1005)+SUMPRODUCT((MOVIMIENTOS!$B$5:$B$1005="PROCESO")*(MOVIMIENTOS!$C$5:$C$1005="M")*(MOVIMIENTOS!$D$5:$D$1005="jabas")*(MOVIMIENTOS!$A$5:$A$1005&lt;&gt;"")*(MOVIMIENTOS!$A$5:$A$1005&lt;=$A634)*MOVIMIENTOS!$E$5:$E$1005)-SUMPRODUCT((MOVIMIENTOS!$B$5:$B$1005="ENVÍO A SUPESA")*(MOVIMIENTOS!$C$5:$C$1005="M")*(MOVIMIENTOS!$D$5:$D$1005="jabas")*(MOVIMIENTOS!$A$5:$A$1005&lt;&gt;"")*(MOVIMIENTOS!$A$5:$A$1005&lt;=$A634)*MOVIMIENTOS!$E$5:$E$1005)+SUMPRODUCT((MOVIMIENTOS!$B$5:$B$1005="DEVOLUCIÓN")*(MOVIMIENTOS!$C$5:$C$1005="M")*(MOVIMIENTOS!$D$5:$D$1005="jabas")*(MOVIMIENTOS!$A$5:$A$1005&lt;&gt;"")*(MOVIMIENTOS!$A$5:$A$1005&lt;=$A634)*MOVIMIENTOS!$E$5:$E$1005)-SUMPRODUCT((MOVIMIENTOS!$B$5:$B$1005="TRASIEGO")*(MOVIMIENTOS!$C$5:$C$1005="M")*(MOVIMIENTOS!$D$5:$D$1005="jabas")*(MOVIMIENTOS!$A$5:$A$1005&lt;&gt;"")*(MOVIMIENTOS!$A$5:$A$1005&lt;=$A634)*MOVIMIENTOS!$E$5:$E$1005)-SUMPRODUCT((MOVIMIENTOS!$B$5:$B$1005="REGALO")*(MOVIMIENTOS!$C$5:$C$1005="M")*(MOVIMIENTOS!$D$5:$D$1005="jabas")*(MOVIMIENTOS!$A$5:$A$1005&lt;&gt;"")*(MOVIMIENTOS!$A$5:$A$1005&lt;=$A634)*MOVIMIENTOS!$E$5:$E$1005)-SUMPRODUCT((MOVIMIENTOS!$B$5:$B$1005="VENTA")*(MOVIMIENTOS!$C$5:$C$1005="M")*(MOVIMIENTOS!$D$5:$D$1005="jabas")*(MOVIMIENTOS!$A$5:$A$1005&lt;&gt;"")*(MOVIMIENTOS!$A$5:$A$1005&lt;=$A634)*MOVIMIENTOS!$E$5:$E$1005)+SUMPRODUCT((MOVIMIENTOS!$B$5:$B$1005="AJUSTE")*(MOVIMIENTOS!$C$5:$C$1005="M")*(MOVIMIENTOS!$D$5:$D$1005="jabas")*(MOVIMIENTOS!$A$5:$A$1005&lt;&gt;"")*(MOVIMIENTOS!$A$5:$A$1005&lt;=$A634)*MOVIMIENTOS!$E$5:$E$1005))</f>
        <v/>
      </c>
      <c r="F634" s="62" t="str">
        <f>IF($A634="","",SUMPRODUCT((MOVIMIENTOS!$B$5:$B$1005="SALDO INICIAL")*(MOVIMIENTOS!$C$5:$C$1005="Chancho")*(MOVIMIENTOS!$D$5:$D$1005="sacos")*(MOVIMIENTOS!$A$5:$A$1005&lt;&gt;"")*(MOVIMIENTOS!$A$5:$A$1005&lt;=$A634)*MOVIMIENTOS!$E$5:$E$1005)+SUMPRODUCT((MOVIMIENTOS!$B$5:$B$1005="PROCESO")*(MOVIMIENTOS!$C$5:$C$1005="Chancho")*(MOVIMIENTOS!$D$5:$D$1005="sacos")*(MOVIMIENTOS!$A$5:$A$1005&lt;&gt;"")*(MOVIMIENTOS!$A$5:$A$1005&lt;=$A634)*MOVIMIENTOS!$E$5:$E$1005)-SUMPRODUCT((MOVIMIENTOS!$B$5:$B$1005="VENTA CHANCHO")*(MOVIMIENTOS!$C$5:$C$1005="Chancho")*(MOVIMIENTOS!$D$5:$D$1005="sacos")*(MOVIMIENTOS!$A$5:$A$1005&lt;&gt;"")*(MOVIMIENTOS!$A$5:$A$1005&lt;=$A634)*MOVIMIENTOS!$E$5:$E$1005)-SUMPRODUCT((MOVIMIENTOS!$B$5:$B$1005="REGALO")*(MOVIMIENTOS!$C$5:$C$1005="Chancho")*(MOVIMIENTOS!$D$5:$D$1005="sacos")*(MOVIMIENTOS!$A$5:$A$1005&lt;&gt;"")*(MOVIMIENTOS!$A$5:$A$1005&lt;=$A634)*MOVIMIENTOS!$E$5:$E$1005)-SUMPRODUCT((MOVIMIENTOS!$B$5:$B$1005="VENTA")*(MOVIMIENTOS!$C$5:$C$1005="Chancho")*(MOVIMIENTOS!$D$5:$D$1005="sacos")*(MOVIMIENTOS!$A$5:$A$1005&lt;&gt;"")*(MOVIMIENTOS!$A$5:$A$1005&lt;=$A634)*MOVIMIENTOS!$E$5:$E$1005)+SUMPRODUCT((MOVIMIENTOS!$B$5:$B$1005="AJUSTE")*(MOVIMIENTOS!$C$5:$C$1005="Chancho")*(MOVIMIENTOS!$D$5:$D$1005="sacos")*(MOVIMIENTOS!$A$5:$A$1005&lt;&gt;"")*(MOVIMIENTOS!$A$5:$A$1005&lt;=$A634)*MOVIMIENTOS!$E$5:$E$1005))</f>
        <v/>
      </c>
      <c r="G634" s="62" t="str">
        <f t="shared" si="19"/>
        <v/>
      </c>
      <c r="H634" t="str">
        <f>IF($A634="","",SUMPRODUCT((((MOVIMIENTOS!$B$5:$B$1005="SALDO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634)*MOVIMIENTOS!$J$5:$J$1005))</f>
        <v/>
      </c>
      <c r="J634" t="str">
        <f>IF(AND(MOVIMIENTOS!$A639&lt;&gt;"",COUNTIF(MOVIMIENTOS!$A$5:$A638,MOVIMIENTOS!$A639)=0),COUNT(J$4:J633)+1,"")</f>
        <v/>
      </c>
      <c r="K634">
        <f>MOVIMIENTOS!$A639</f>
        <v>0</v>
      </c>
    </row>
    <row r="635" spans="1:11" ht="15" customHeight="1" x14ac:dyDescent="0.2">
      <c r="A635" t="str">
        <f t="shared" si="18"/>
        <v/>
      </c>
      <c r="B635" t="str">
        <f>IF($A635="","",SUMPRODUCT((MOVIMIENTOS!$B$5:$B$1005="SALDO INICIAL")*(MOVIMIENTOS!$C$5:$C$1005="A")*(MOVIMIENTOS!$D$5:$D$1005="jabas")*(MOVIMIENTOS!$A$5:$A$1005&lt;&gt;"")*(MOVIMIENTOS!$A$5:$A$1005&lt;=$A635)*MOVIMIENTOS!$E$5:$E$1005)+SUMPRODUCT((MOVIMIENTOS!$B$5:$B$1005="PROCESO")*(MOVIMIENTOS!$C$5:$C$1005="A")*(MOVIMIENTOS!$D$5:$D$1005="jabas")*(MOVIMIENTOS!$A$5:$A$1005&lt;&gt;"")*(MOVIMIENTOS!$A$5:$A$1005&lt;=$A635)*MOVIMIENTOS!$E$5:$E$1005)-SUMPRODUCT((MOVIMIENTOS!$B$5:$B$1005="ENVÍO A SUPESA")*(MOVIMIENTOS!$C$5:$C$1005="A")*(MOVIMIENTOS!$D$5:$D$1005="jabas")*(MOVIMIENTOS!$A$5:$A$1005&lt;&gt;"")*(MOVIMIENTOS!$A$5:$A$1005&lt;=$A635)*MOVIMIENTOS!$E$5:$E$1005)+SUMPRODUCT((MOVIMIENTOS!$B$5:$B$1005="DEVOLUCIÓN")*(MOVIMIENTOS!$C$5:$C$1005="A")*(MOVIMIENTOS!$D$5:$D$1005="jabas")*(MOVIMIENTOS!$A$5:$A$1005&lt;&gt;"")*(MOVIMIENTOS!$A$5:$A$1005&lt;=$A635)*MOVIMIENTOS!$E$5:$E$1005)-SUMPRODUCT((MOVIMIENTOS!$B$5:$B$1005="TRASIEGO")*(MOVIMIENTOS!$C$5:$C$1005="A")*(MOVIMIENTOS!$D$5:$D$1005="jabas")*(MOVIMIENTOS!$A$5:$A$1005&lt;&gt;"")*(MOVIMIENTOS!$A$5:$A$1005&lt;=$A635)*MOVIMIENTOS!$E$5:$E$1005)-SUMPRODUCT((MOVIMIENTOS!$B$5:$B$1005="REGALO")*(MOVIMIENTOS!$C$5:$C$1005="A")*(MOVIMIENTOS!$D$5:$D$1005="jabas")*(MOVIMIENTOS!$A$5:$A$1005&lt;&gt;"")*(MOVIMIENTOS!$A$5:$A$1005&lt;=$A635)*MOVIMIENTOS!$E$5:$E$1005)-SUMPRODUCT((MOVIMIENTOS!$B$5:$B$1005="VENTA")*(MOVIMIENTOS!$C$5:$C$1005="A")*(MOVIMIENTOS!$D$5:$D$1005="jabas")*(MOVIMIENTOS!$A$5:$A$1005&lt;&gt;"")*(MOVIMIENTOS!$A$5:$A$1005&lt;=$A635)*MOVIMIENTOS!$E$5:$E$1005)+SUMPRODUCT((MOVIMIENTOS!$B$5:$B$1005="AJUSTE")*(MOVIMIENTOS!$C$5:$C$1005="A")*(MOVIMIENTOS!$D$5:$D$1005="jabas")*(MOVIMIENTOS!$A$5:$A$1005&lt;&gt;"")*(MOVIMIENTOS!$A$5:$A$1005&lt;=$A635)*MOVIMIENTOS!$E$5:$E$1005))</f>
        <v/>
      </c>
      <c r="C635" t="str">
        <f>IF($A635="","",SUMPRODUCT((MOVIMIENTOS!$B$5:$B$1005="SALDO INICIAL")*(MOVIMIENTOS!$C$5:$C$1005="P")*(MOVIMIENTOS!$D$5:$D$1005="jabas")*(MOVIMIENTOS!$A$5:$A$1005&lt;&gt;"")*(MOVIMIENTOS!$A$5:$A$1005&lt;=$A635)*MOVIMIENTOS!$E$5:$E$1005)+SUMPRODUCT((MOVIMIENTOS!$B$5:$B$1005="PROCESO")*(MOVIMIENTOS!$C$5:$C$1005="P")*(MOVIMIENTOS!$D$5:$D$1005="jabas")*(MOVIMIENTOS!$A$5:$A$1005&lt;&gt;"")*(MOVIMIENTOS!$A$5:$A$1005&lt;=$A635)*MOVIMIENTOS!$E$5:$E$1005)-SUMPRODUCT((MOVIMIENTOS!$B$5:$B$1005="ENVÍO A SUPESA")*(MOVIMIENTOS!$C$5:$C$1005="P")*(MOVIMIENTOS!$D$5:$D$1005="jabas")*(MOVIMIENTOS!$A$5:$A$1005&lt;&gt;"")*(MOVIMIENTOS!$A$5:$A$1005&lt;=$A635)*MOVIMIENTOS!$E$5:$E$1005)+SUMPRODUCT((MOVIMIENTOS!$B$5:$B$1005="DEVOLUCIÓN")*(MOVIMIENTOS!$C$5:$C$1005="P")*(MOVIMIENTOS!$D$5:$D$1005="jabas")*(MOVIMIENTOS!$A$5:$A$1005&lt;&gt;"")*(MOVIMIENTOS!$A$5:$A$1005&lt;=$A635)*MOVIMIENTOS!$E$5:$E$1005)-SUMPRODUCT((MOVIMIENTOS!$B$5:$B$1005="TRASIEGO")*(MOVIMIENTOS!$C$5:$C$1005="P")*(MOVIMIENTOS!$D$5:$D$1005="jabas")*(MOVIMIENTOS!$A$5:$A$1005&lt;&gt;"")*(MOVIMIENTOS!$A$5:$A$1005&lt;=$A635)*MOVIMIENTOS!$E$5:$E$1005)-SUMPRODUCT((MOVIMIENTOS!$B$5:$B$1005="REGALO")*(MOVIMIENTOS!$C$5:$C$1005="P")*(MOVIMIENTOS!$D$5:$D$1005="jabas")*(MOVIMIENTOS!$A$5:$A$1005&lt;&gt;"")*(MOVIMIENTOS!$A$5:$A$1005&lt;=$A635)*MOVIMIENTOS!$E$5:$E$1005)-SUMPRODUCT((MOVIMIENTOS!$B$5:$B$1005="VENTA")*(MOVIMIENTOS!$C$5:$C$1005="P")*(MOVIMIENTOS!$D$5:$D$1005="jabas")*(MOVIMIENTOS!$A$5:$A$1005&lt;&gt;"")*(MOVIMIENTOS!$A$5:$A$1005&lt;=$A635)*MOVIMIENTOS!$E$5:$E$1005)+SUMPRODUCT((MOVIMIENTOS!$B$5:$B$1005="AJUSTE")*(MOVIMIENTOS!$C$5:$C$1005="P")*(MOVIMIENTOS!$D$5:$D$1005="jabas")*(MOVIMIENTOS!$A$5:$A$1005&lt;&gt;"")*(MOVIMIENTOS!$A$5:$A$1005&lt;=$A635)*MOVIMIENTOS!$E$5:$E$1005))</f>
        <v/>
      </c>
      <c r="D635" t="str">
        <f>IF($A635="","",SUMPRODUCT((MOVIMIENTOS!$B$5:$B$1005="SALDO INICIAL")*(MOVIMIENTOS!$C$5:$C$1005="C")*(MOVIMIENTOS!$D$5:$D$1005="jabas")*(MOVIMIENTOS!$A$5:$A$1005&lt;&gt;"")*(MOVIMIENTOS!$A$5:$A$1005&lt;=$A635)*MOVIMIENTOS!$E$5:$E$1005)+SUMPRODUCT((MOVIMIENTOS!$B$5:$B$1005="PROCESO")*(MOVIMIENTOS!$C$5:$C$1005="C")*(MOVIMIENTOS!$D$5:$D$1005="jabas")*(MOVIMIENTOS!$A$5:$A$1005&lt;&gt;"")*(MOVIMIENTOS!$A$5:$A$1005&lt;=$A635)*MOVIMIENTOS!$E$5:$E$1005)-SUMPRODUCT((MOVIMIENTOS!$B$5:$B$1005="ENVÍO A SUPESA")*(MOVIMIENTOS!$C$5:$C$1005="C")*(MOVIMIENTOS!$D$5:$D$1005="jabas")*(MOVIMIENTOS!$A$5:$A$1005&lt;&gt;"")*(MOVIMIENTOS!$A$5:$A$1005&lt;=$A635)*MOVIMIENTOS!$E$5:$E$1005)+SUMPRODUCT((MOVIMIENTOS!$B$5:$B$1005="DEVOLUCIÓN")*(MOVIMIENTOS!$C$5:$C$1005="C")*(MOVIMIENTOS!$D$5:$D$1005="jabas")*(MOVIMIENTOS!$A$5:$A$1005&lt;&gt;"")*(MOVIMIENTOS!$A$5:$A$1005&lt;=$A635)*MOVIMIENTOS!$E$5:$E$1005)-SUMPRODUCT((MOVIMIENTOS!$B$5:$B$1005="TRASIEGO")*(MOVIMIENTOS!$C$5:$C$1005="C")*(MOVIMIENTOS!$D$5:$D$1005="jabas")*(MOVIMIENTOS!$A$5:$A$1005&lt;&gt;"")*(MOVIMIENTOS!$A$5:$A$1005&lt;=$A635)*MOVIMIENTOS!$E$5:$E$1005)-SUMPRODUCT((MOVIMIENTOS!$B$5:$B$1005="REGALO")*(MOVIMIENTOS!$C$5:$C$1005="C")*(MOVIMIENTOS!$D$5:$D$1005="jabas")*(MOVIMIENTOS!$A$5:$A$1005&lt;&gt;"")*(MOVIMIENTOS!$A$5:$A$1005&lt;=$A635)*MOVIMIENTOS!$E$5:$E$1005)-SUMPRODUCT((MOVIMIENTOS!$B$5:$B$1005="VENTA")*(MOVIMIENTOS!$C$5:$C$1005="C")*(MOVIMIENTOS!$D$5:$D$1005="jabas")*(MOVIMIENTOS!$A$5:$A$1005&lt;&gt;"")*(MOVIMIENTOS!$A$5:$A$1005&lt;=$A635)*MOVIMIENTOS!$E$5:$E$1005)+SUMPRODUCT((MOVIMIENTOS!$B$5:$B$1005="AJUSTE")*(MOVIMIENTOS!$C$5:$C$1005="C")*(MOVIMIENTOS!$D$5:$D$1005="jabas")*(MOVIMIENTOS!$A$5:$A$1005&lt;&gt;"")*(MOVIMIENTOS!$A$5:$A$1005&lt;=$A635)*MOVIMIENTOS!$E$5:$E$1005))</f>
        <v/>
      </c>
      <c r="E635" t="str">
        <f>IF($A635="","",SUMPRODUCT((MOVIMIENTOS!$B$5:$B$1005="SALDO INICIAL")*(MOVIMIENTOS!$C$5:$C$1005="M")*(MOVIMIENTOS!$D$5:$D$1005="jabas")*(MOVIMIENTOS!$A$5:$A$1005&lt;&gt;"")*(MOVIMIENTOS!$A$5:$A$1005&lt;=$A635)*MOVIMIENTOS!$E$5:$E$1005)+SUMPRODUCT((MOVIMIENTOS!$B$5:$B$1005="PROCESO")*(MOVIMIENTOS!$C$5:$C$1005="M")*(MOVIMIENTOS!$D$5:$D$1005="jabas")*(MOVIMIENTOS!$A$5:$A$1005&lt;&gt;"")*(MOVIMIENTOS!$A$5:$A$1005&lt;=$A635)*MOVIMIENTOS!$E$5:$E$1005)-SUMPRODUCT((MOVIMIENTOS!$B$5:$B$1005="ENVÍO A SUPESA")*(MOVIMIENTOS!$C$5:$C$1005="M")*(MOVIMIENTOS!$D$5:$D$1005="jabas")*(MOVIMIENTOS!$A$5:$A$1005&lt;&gt;"")*(MOVIMIENTOS!$A$5:$A$1005&lt;=$A635)*MOVIMIENTOS!$E$5:$E$1005)+SUMPRODUCT((MOVIMIENTOS!$B$5:$B$1005="DEVOLUCIÓN")*(MOVIMIENTOS!$C$5:$C$1005="M")*(MOVIMIENTOS!$D$5:$D$1005="jabas")*(MOVIMIENTOS!$A$5:$A$1005&lt;&gt;"")*(MOVIMIENTOS!$A$5:$A$1005&lt;=$A635)*MOVIMIENTOS!$E$5:$E$1005)-SUMPRODUCT((MOVIMIENTOS!$B$5:$B$1005="TRASIEGO")*(MOVIMIENTOS!$C$5:$C$1005="M")*(MOVIMIENTOS!$D$5:$D$1005="jabas")*(MOVIMIENTOS!$A$5:$A$1005&lt;&gt;"")*(MOVIMIENTOS!$A$5:$A$1005&lt;=$A635)*MOVIMIENTOS!$E$5:$E$1005)-SUMPRODUCT((MOVIMIENTOS!$B$5:$B$1005="REGALO")*(MOVIMIENTOS!$C$5:$C$1005="M")*(MOVIMIENTOS!$D$5:$D$1005="jabas")*(MOVIMIENTOS!$A$5:$A$1005&lt;&gt;"")*(MOVIMIENTOS!$A$5:$A$1005&lt;=$A635)*MOVIMIENTOS!$E$5:$E$1005)-SUMPRODUCT((MOVIMIENTOS!$B$5:$B$1005="VENTA")*(MOVIMIENTOS!$C$5:$C$1005="M")*(MOVIMIENTOS!$D$5:$D$1005="jabas")*(MOVIMIENTOS!$A$5:$A$1005&lt;&gt;"")*(MOVIMIENTOS!$A$5:$A$1005&lt;=$A635)*MOVIMIENTOS!$E$5:$E$1005)+SUMPRODUCT((MOVIMIENTOS!$B$5:$B$1005="AJUSTE")*(MOVIMIENTOS!$C$5:$C$1005="M")*(MOVIMIENTOS!$D$5:$D$1005="jabas")*(MOVIMIENTOS!$A$5:$A$1005&lt;&gt;"")*(MOVIMIENTOS!$A$5:$A$1005&lt;=$A635)*MOVIMIENTOS!$E$5:$E$1005))</f>
        <v/>
      </c>
      <c r="F635" s="62" t="str">
        <f>IF($A635="","",SUMPRODUCT((MOVIMIENTOS!$B$5:$B$1005="SALDO INICIAL")*(MOVIMIENTOS!$C$5:$C$1005="Chancho")*(MOVIMIENTOS!$D$5:$D$1005="sacos")*(MOVIMIENTOS!$A$5:$A$1005&lt;&gt;"")*(MOVIMIENTOS!$A$5:$A$1005&lt;=$A635)*MOVIMIENTOS!$E$5:$E$1005)+SUMPRODUCT((MOVIMIENTOS!$B$5:$B$1005="PROCESO")*(MOVIMIENTOS!$C$5:$C$1005="Chancho")*(MOVIMIENTOS!$D$5:$D$1005="sacos")*(MOVIMIENTOS!$A$5:$A$1005&lt;&gt;"")*(MOVIMIENTOS!$A$5:$A$1005&lt;=$A635)*MOVIMIENTOS!$E$5:$E$1005)-SUMPRODUCT((MOVIMIENTOS!$B$5:$B$1005="VENTA CHANCHO")*(MOVIMIENTOS!$C$5:$C$1005="Chancho")*(MOVIMIENTOS!$D$5:$D$1005="sacos")*(MOVIMIENTOS!$A$5:$A$1005&lt;&gt;"")*(MOVIMIENTOS!$A$5:$A$1005&lt;=$A635)*MOVIMIENTOS!$E$5:$E$1005)-SUMPRODUCT((MOVIMIENTOS!$B$5:$B$1005="REGALO")*(MOVIMIENTOS!$C$5:$C$1005="Chancho")*(MOVIMIENTOS!$D$5:$D$1005="sacos")*(MOVIMIENTOS!$A$5:$A$1005&lt;&gt;"")*(MOVIMIENTOS!$A$5:$A$1005&lt;=$A635)*MOVIMIENTOS!$E$5:$E$1005)-SUMPRODUCT((MOVIMIENTOS!$B$5:$B$1005="VENTA")*(MOVIMIENTOS!$C$5:$C$1005="Chancho")*(MOVIMIENTOS!$D$5:$D$1005="sacos")*(MOVIMIENTOS!$A$5:$A$1005&lt;&gt;"")*(MOVIMIENTOS!$A$5:$A$1005&lt;=$A635)*MOVIMIENTOS!$E$5:$E$1005)+SUMPRODUCT((MOVIMIENTOS!$B$5:$B$1005="AJUSTE")*(MOVIMIENTOS!$C$5:$C$1005="Chancho")*(MOVIMIENTOS!$D$5:$D$1005="sacos")*(MOVIMIENTOS!$A$5:$A$1005&lt;&gt;"")*(MOVIMIENTOS!$A$5:$A$1005&lt;=$A635)*MOVIMIENTOS!$E$5:$E$1005))</f>
        <v/>
      </c>
      <c r="G635" s="62" t="str">
        <f t="shared" si="19"/>
        <v/>
      </c>
      <c r="H635" t="str">
        <f>IF($A635="","",SUMPRODUCT((((MOVIMIENTOS!$B$5:$B$1005="SALDO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635)*MOVIMIENTOS!$J$5:$J$1005))</f>
        <v/>
      </c>
      <c r="J635" t="str">
        <f>IF(AND(MOVIMIENTOS!$A640&lt;&gt;"",COUNTIF(MOVIMIENTOS!$A$5:$A639,MOVIMIENTOS!$A640)=0),COUNT(J$4:J634)+1,"")</f>
        <v/>
      </c>
      <c r="K635">
        <f>MOVIMIENTOS!$A640</f>
        <v>0</v>
      </c>
    </row>
    <row r="636" spans="1:11" ht="15" customHeight="1" x14ac:dyDescent="0.2">
      <c r="A636" t="str">
        <f t="shared" si="18"/>
        <v/>
      </c>
      <c r="B636" t="str">
        <f>IF($A636="","",SUMPRODUCT((MOVIMIENTOS!$B$5:$B$1005="SALDO INICIAL")*(MOVIMIENTOS!$C$5:$C$1005="A")*(MOVIMIENTOS!$D$5:$D$1005="jabas")*(MOVIMIENTOS!$A$5:$A$1005&lt;&gt;"")*(MOVIMIENTOS!$A$5:$A$1005&lt;=$A636)*MOVIMIENTOS!$E$5:$E$1005)+SUMPRODUCT((MOVIMIENTOS!$B$5:$B$1005="PROCESO")*(MOVIMIENTOS!$C$5:$C$1005="A")*(MOVIMIENTOS!$D$5:$D$1005="jabas")*(MOVIMIENTOS!$A$5:$A$1005&lt;&gt;"")*(MOVIMIENTOS!$A$5:$A$1005&lt;=$A636)*MOVIMIENTOS!$E$5:$E$1005)-SUMPRODUCT((MOVIMIENTOS!$B$5:$B$1005="ENVÍO A SUPESA")*(MOVIMIENTOS!$C$5:$C$1005="A")*(MOVIMIENTOS!$D$5:$D$1005="jabas")*(MOVIMIENTOS!$A$5:$A$1005&lt;&gt;"")*(MOVIMIENTOS!$A$5:$A$1005&lt;=$A636)*MOVIMIENTOS!$E$5:$E$1005)+SUMPRODUCT((MOVIMIENTOS!$B$5:$B$1005="DEVOLUCIÓN")*(MOVIMIENTOS!$C$5:$C$1005="A")*(MOVIMIENTOS!$D$5:$D$1005="jabas")*(MOVIMIENTOS!$A$5:$A$1005&lt;&gt;"")*(MOVIMIENTOS!$A$5:$A$1005&lt;=$A636)*MOVIMIENTOS!$E$5:$E$1005)-SUMPRODUCT((MOVIMIENTOS!$B$5:$B$1005="TRASIEGO")*(MOVIMIENTOS!$C$5:$C$1005="A")*(MOVIMIENTOS!$D$5:$D$1005="jabas")*(MOVIMIENTOS!$A$5:$A$1005&lt;&gt;"")*(MOVIMIENTOS!$A$5:$A$1005&lt;=$A636)*MOVIMIENTOS!$E$5:$E$1005)-SUMPRODUCT((MOVIMIENTOS!$B$5:$B$1005="REGALO")*(MOVIMIENTOS!$C$5:$C$1005="A")*(MOVIMIENTOS!$D$5:$D$1005="jabas")*(MOVIMIENTOS!$A$5:$A$1005&lt;&gt;"")*(MOVIMIENTOS!$A$5:$A$1005&lt;=$A636)*MOVIMIENTOS!$E$5:$E$1005)-SUMPRODUCT((MOVIMIENTOS!$B$5:$B$1005="VENTA")*(MOVIMIENTOS!$C$5:$C$1005="A")*(MOVIMIENTOS!$D$5:$D$1005="jabas")*(MOVIMIENTOS!$A$5:$A$1005&lt;&gt;"")*(MOVIMIENTOS!$A$5:$A$1005&lt;=$A636)*MOVIMIENTOS!$E$5:$E$1005)+SUMPRODUCT((MOVIMIENTOS!$B$5:$B$1005="AJUSTE")*(MOVIMIENTOS!$C$5:$C$1005="A")*(MOVIMIENTOS!$D$5:$D$1005="jabas")*(MOVIMIENTOS!$A$5:$A$1005&lt;&gt;"")*(MOVIMIENTOS!$A$5:$A$1005&lt;=$A636)*MOVIMIENTOS!$E$5:$E$1005))</f>
        <v/>
      </c>
      <c r="C636" t="str">
        <f>IF($A636="","",SUMPRODUCT((MOVIMIENTOS!$B$5:$B$1005="SALDO INICIAL")*(MOVIMIENTOS!$C$5:$C$1005="P")*(MOVIMIENTOS!$D$5:$D$1005="jabas")*(MOVIMIENTOS!$A$5:$A$1005&lt;&gt;"")*(MOVIMIENTOS!$A$5:$A$1005&lt;=$A636)*MOVIMIENTOS!$E$5:$E$1005)+SUMPRODUCT((MOVIMIENTOS!$B$5:$B$1005="PROCESO")*(MOVIMIENTOS!$C$5:$C$1005="P")*(MOVIMIENTOS!$D$5:$D$1005="jabas")*(MOVIMIENTOS!$A$5:$A$1005&lt;&gt;"")*(MOVIMIENTOS!$A$5:$A$1005&lt;=$A636)*MOVIMIENTOS!$E$5:$E$1005)-SUMPRODUCT((MOVIMIENTOS!$B$5:$B$1005="ENVÍO A SUPESA")*(MOVIMIENTOS!$C$5:$C$1005="P")*(MOVIMIENTOS!$D$5:$D$1005="jabas")*(MOVIMIENTOS!$A$5:$A$1005&lt;&gt;"")*(MOVIMIENTOS!$A$5:$A$1005&lt;=$A636)*MOVIMIENTOS!$E$5:$E$1005)+SUMPRODUCT((MOVIMIENTOS!$B$5:$B$1005="DEVOLUCIÓN")*(MOVIMIENTOS!$C$5:$C$1005="P")*(MOVIMIENTOS!$D$5:$D$1005="jabas")*(MOVIMIENTOS!$A$5:$A$1005&lt;&gt;"")*(MOVIMIENTOS!$A$5:$A$1005&lt;=$A636)*MOVIMIENTOS!$E$5:$E$1005)-SUMPRODUCT((MOVIMIENTOS!$B$5:$B$1005="TRASIEGO")*(MOVIMIENTOS!$C$5:$C$1005="P")*(MOVIMIENTOS!$D$5:$D$1005="jabas")*(MOVIMIENTOS!$A$5:$A$1005&lt;&gt;"")*(MOVIMIENTOS!$A$5:$A$1005&lt;=$A636)*MOVIMIENTOS!$E$5:$E$1005)-SUMPRODUCT((MOVIMIENTOS!$B$5:$B$1005="REGALO")*(MOVIMIENTOS!$C$5:$C$1005="P")*(MOVIMIENTOS!$D$5:$D$1005="jabas")*(MOVIMIENTOS!$A$5:$A$1005&lt;&gt;"")*(MOVIMIENTOS!$A$5:$A$1005&lt;=$A636)*MOVIMIENTOS!$E$5:$E$1005)-SUMPRODUCT((MOVIMIENTOS!$B$5:$B$1005="VENTA")*(MOVIMIENTOS!$C$5:$C$1005="P")*(MOVIMIENTOS!$D$5:$D$1005="jabas")*(MOVIMIENTOS!$A$5:$A$1005&lt;&gt;"")*(MOVIMIENTOS!$A$5:$A$1005&lt;=$A636)*MOVIMIENTOS!$E$5:$E$1005)+SUMPRODUCT((MOVIMIENTOS!$B$5:$B$1005="AJUSTE")*(MOVIMIENTOS!$C$5:$C$1005="P")*(MOVIMIENTOS!$D$5:$D$1005="jabas")*(MOVIMIENTOS!$A$5:$A$1005&lt;&gt;"")*(MOVIMIENTOS!$A$5:$A$1005&lt;=$A636)*MOVIMIENTOS!$E$5:$E$1005))</f>
        <v/>
      </c>
      <c r="D636" t="str">
        <f>IF($A636="","",SUMPRODUCT((MOVIMIENTOS!$B$5:$B$1005="SALDO INICIAL")*(MOVIMIENTOS!$C$5:$C$1005="C")*(MOVIMIENTOS!$D$5:$D$1005="jabas")*(MOVIMIENTOS!$A$5:$A$1005&lt;&gt;"")*(MOVIMIENTOS!$A$5:$A$1005&lt;=$A636)*MOVIMIENTOS!$E$5:$E$1005)+SUMPRODUCT((MOVIMIENTOS!$B$5:$B$1005="PROCESO")*(MOVIMIENTOS!$C$5:$C$1005="C")*(MOVIMIENTOS!$D$5:$D$1005="jabas")*(MOVIMIENTOS!$A$5:$A$1005&lt;&gt;"")*(MOVIMIENTOS!$A$5:$A$1005&lt;=$A636)*MOVIMIENTOS!$E$5:$E$1005)-SUMPRODUCT((MOVIMIENTOS!$B$5:$B$1005="ENVÍO A SUPESA")*(MOVIMIENTOS!$C$5:$C$1005="C")*(MOVIMIENTOS!$D$5:$D$1005="jabas")*(MOVIMIENTOS!$A$5:$A$1005&lt;&gt;"")*(MOVIMIENTOS!$A$5:$A$1005&lt;=$A636)*MOVIMIENTOS!$E$5:$E$1005)+SUMPRODUCT((MOVIMIENTOS!$B$5:$B$1005="DEVOLUCIÓN")*(MOVIMIENTOS!$C$5:$C$1005="C")*(MOVIMIENTOS!$D$5:$D$1005="jabas")*(MOVIMIENTOS!$A$5:$A$1005&lt;&gt;"")*(MOVIMIENTOS!$A$5:$A$1005&lt;=$A636)*MOVIMIENTOS!$E$5:$E$1005)-SUMPRODUCT((MOVIMIENTOS!$B$5:$B$1005="TRASIEGO")*(MOVIMIENTOS!$C$5:$C$1005="C")*(MOVIMIENTOS!$D$5:$D$1005="jabas")*(MOVIMIENTOS!$A$5:$A$1005&lt;&gt;"")*(MOVIMIENTOS!$A$5:$A$1005&lt;=$A636)*MOVIMIENTOS!$E$5:$E$1005)-SUMPRODUCT((MOVIMIENTOS!$B$5:$B$1005="REGALO")*(MOVIMIENTOS!$C$5:$C$1005="C")*(MOVIMIENTOS!$D$5:$D$1005="jabas")*(MOVIMIENTOS!$A$5:$A$1005&lt;&gt;"")*(MOVIMIENTOS!$A$5:$A$1005&lt;=$A636)*MOVIMIENTOS!$E$5:$E$1005)-SUMPRODUCT((MOVIMIENTOS!$B$5:$B$1005="VENTA")*(MOVIMIENTOS!$C$5:$C$1005="C")*(MOVIMIENTOS!$D$5:$D$1005="jabas")*(MOVIMIENTOS!$A$5:$A$1005&lt;&gt;"")*(MOVIMIENTOS!$A$5:$A$1005&lt;=$A636)*MOVIMIENTOS!$E$5:$E$1005)+SUMPRODUCT((MOVIMIENTOS!$B$5:$B$1005="AJUSTE")*(MOVIMIENTOS!$C$5:$C$1005="C")*(MOVIMIENTOS!$D$5:$D$1005="jabas")*(MOVIMIENTOS!$A$5:$A$1005&lt;&gt;"")*(MOVIMIENTOS!$A$5:$A$1005&lt;=$A636)*MOVIMIENTOS!$E$5:$E$1005))</f>
        <v/>
      </c>
      <c r="E636" t="str">
        <f>IF($A636="","",SUMPRODUCT((MOVIMIENTOS!$B$5:$B$1005="SALDO INICIAL")*(MOVIMIENTOS!$C$5:$C$1005="M")*(MOVIMIENTOS!$D$5:$D$1005="jabas")*(MOVIMIENTOS!$A$5:$A$1005&lt;&gt;"")*(MOVIMIENTOS!$A$5:$A$1005&lt;=$A636)*MOVIMIENTOS!$E$5:$E$1005)+SUMPRODUCT((MOVIMIENTOS!$B$5:$B$1005="PROCESO")*(MOVIMIENTOS!$C$5:$C$1005="M")*(MOVIMIENTOS!$D$5:$D$1005="jabas")*(MOVIMIENTOS!$A$5:$A$1005&lt;&gt;"")*(MOVIMIENTOS!$A$5:$A$1005&lt;=$A636)*MOVIMIENTOS!$E$5:$E$1005)-SUMPRODUCT((MOVIMIENTOS!$B$5:$B$1005="ENVÍO A SUPESA")*(MOVIMIENTOS!$C$5:$C$1005="M")*(MOVIMIENTOS!$D$5:$D$1005="jabas")*(MOVIMIENTOS!$A$5:$A$1005&lt;&gt;"")*(MOVIMIENTOS!$A$5:$A$1005&lt;=$A636)*MOVIMIENTOS!$E$5:$E$1005)+SUMPRODUCT((MOVIMIENTOS!$B$5:$B$1005="DEVOLUCIÓN")*(MOVIMIENTOS!$C$5:$C$1005="M")*(MOVIMIENTOS!$D$5:$D$1005="jabas")*(MOVIMIENTOS!$A$5:$A$1005&lt;&gt;"")*(MOVIMIENTOS!$A$5:$A$1005&lt;=$A636)*MOVIMIENTOS!$E$5:$E$1005)-SUMPRODUCT((MOVIMIENTOS!$B$5:$B$1005="TRASIEGO")*(MOVIMIENTOS!$C$5:$C$1005="M")*(MOVIMIENTOS!$D$5:$D$1005="jabas")*(MOVIMIENTOS!$A$5:$A$1005&lt;&gt;"")*(MOVIMIENTOS!$A$5:$A$1005&lt;=$A636)*MOVIMIENTOS!$E$5:$E$1005)-SUMPRODUCT((MOVIMIENTOS!$B$5:$B$1005="REGALO")*(MOVIMIENTOS!$C$5:$C$1005="M")*(MOVIMIENTOS!$D$5:$D$1005="jabas")*(MOVIMIENTOS!$A$5:$A$1005&lt;&gt;"")*(MOVIMIENTOS!$A$5:$A$1005&lt;=$A636)*MOVIMIENTOS!$E$5:$E$1005)-SUMPRODUCT((MOVIMIENTOS!$B$5:$B$1005="VENTA")*(MOVIMIENTOS!$C$5:$C$1005="M")*(MOVIMIENTOS!$D$5:$D$1005="jabas")*(MOVIMIENTOS!$A$5:$A$1005&lt;&gt;"")*(MOVIMIENTOS!$A$5:$A$1005&lt;=$A636)*MOVIMIENTOS!$E$5:$E$1005)+SUMPRODUCT((MOVIMIENTOS!$B$5:$B$1005="AJUSTE")*(MOVIMIENTOS!$C$5:$C$1005="M")*(MOVIMIENTOS!$D$5:$D$1005="jabas")*(MOVIMIENTOS!$A$5:$A$1005&lt;&gt;"")*(MOVIMIENTOS!$A$5:$A$1005&lt;=$A636)*MOVIMIENTOS!$E$5:$E$1005))</f>
        <v/>
      </c>
      <c r="F636" s="62" t="str">
        <f>IF($A636="","",SUMPRODUCT((MOVIMIENTOS!$B$5:$B$1005="SALDO INICIAL")*(MOVIMIENTOS!$C$5:$C$1005="Chancho")*(MOVIMIENTOS!$D$5:$D$1005="sacos")*(MOVIMIENTOS!$A$5:$A$1005&lt;&gt;"")*(MOVIMIENTOS!$A$5:$A$1005&lt;=$A636)*MOVIMIENTOS!$E$5:$E$1005)+SUMPRODUCT((MOVIMIENTOS!$B$5:$B$1005="PROCESO")*(MOVIMIENTOS!$C$5:$C$1005="Chancho")*(MOVIMIENTOS!$D$5:$D$1005="sacos")*(MOVIMIENTOS!$A$5:$A$1005&lt;&gt;"")*(MOVIMIENTOS!$A$5:$A$1005&lt;=$A636)*MOVIMIENTOS!$E$5:$E$1005)-SUMPRODUCT((MOVIMIENTOS!$B$5:$B$1005="VENTA CHANCHO")*(MOVIMIENTOS!$C$5:$C$1005="Chancho")*(MOVIMIENTOS!$D$5:$D$1005="sacos")*(MOVIMIENTOS!$A$5:$A$1005&lt;&gt;"")*(MOVIMIENTOS!$A$5:$A$1005&lt;=$A636)*MOVIMIENTOS!$E$5:$E$1005)-SUMPRODUCT((MOVIMIENTOS!$B$5:$B$1005="REGALO")*(MOVIMIENTOS!$C$5:$C$1005="Chancho")*(MOVIMIENTOS!$D$5:$D$1005="sacos")*(MOVIMIENTOS!$A$5:$A$1005&lt;&gt;"")*(MOVIMIENTOS!$A$5:$A$1005&lt;=$A636)*MOVIMIENTOS!$E$5:$E$1005)-SUMPRODUCT((MOVIMIENTOS!$B$5:$B$1005="VENTA")*(MOVIMIENTOS!$C$5:$C$1005="Chancho")*(MOVIMIENTOS!$D$5:$D$1005="sacos")*(MOVIMIENTOS!$A$5:$A$1005&lt;&gt;"")*(MOVIMIENTOS!$A$5:$A$1005&lt;=$A636)*MOVIMIENTOS!$E$5:$E$1005)+SUMPRODUCT((MOVIMIENTOS!$B$5:$B$1005="AJUSTE")*(MOVIMIENTOS!$C$5:$C$1005="Chancho")*(MOVIMIENTOS!$D$5:$D$1005="sacos")*(MOVIMIENTOS!$A$5:$A$1005&lt;&gt;"")*(MOVIMIENTOS!$A$5:$A$1005&lt;=$A636)*MOVIMIENTOS!$E$5:$E$1005))</f>
        <v/>
      </c>
      <c r="G636" s="62" t="str">
        <f t="shared" si="19"/>
        <v/>
      </c>
      <c r="H636" t="str">
        <f>IF($A636="","",SUMPRODUCT((((MOVIMIENTOS!$B$5:$B$1005="SALDO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636)*MOVIMIENTOS!$J$5:$J$1005))</f>
        <v/>
      </c>
      <c r="J636" t="str">
        <f>IF(AND(MOVIMIENTOS!$A641&lt;&gt;"",COUNTIF(MOVIMIENTOS!$A$5:$A640,MOVIMIENTOS!$A641)=0),COUNT(J$4:J635)+1,"")</f>
        <v/>
      </c>
      <c r="K636">
        <f>MOVIMIENTOS!$A641</f>
        <v>0</v>
      </c>
    </row>
    <row r="637" spans="1:11" ht="15" customHeight="1" x14ac:dyDescent="0.2">
      <c r="A637" t="str">
        <f t="shared" si="18"/>
        <v/>
      </c>
      <c r="B637" t="str">
        <f>IF($A637="","",SUMPRODUCT((MOVIMIENTOS!$B$5:$B$1005="SALDO INICIAL")*(MOVIMIENTOS!$C$5:$C$1005="A")*(MOVIMIENTOS!$D$5:$D$1005="jabas")*(MOVIMIENTOS!$A$5:$A$1005&lt;&gt;"")*(MOVIMIENTOS!$A$5:$A$1005&lt;=$A637)*MOVIMIENTOS!$E$5:$E$1005)+SUMPRODUCT((MOVIMIENTOS!$B$5:$B$1005="PROCESO")*(MOVIMIENTOS!$C$5:$C$1005="A")*(MOVIMIENTOS!$D$5:$D$1005="jabas")*(MOVIMIENTOS!$A$5:$A$1005&lt;&gt;"")*(MOVIMIENTOS!$A$5:$A$1005&lt;=$A637)*MOVIMIENTOS!$E$5:$E$1005)-SUMPRODUCT((MOVIMIENTOS!$B$5:$B$1005="ENVÍO A SUPESA")*(MOVIMIENTOS!$C$5:$C$1005="A")*(MOVIMIENTOS!$D$5:$D$1005="jabas")*(MOVIMIENTOS!$A$5:$A$1005&lt;&gt;"")*(MOVIMIENTOS!$A$5:$A$1005&lt;=$A637)*MOVIMIENTOS!$E$5:$E$1005)+SUMPRODUCT((MOVIMIENTOS!$B$5:$B$1005="DEVOLUCIÓN")*(MOVIMIENTOS!$C$5:$C$1005="A")*(MOVIMIENTOS!$D$5:$D$1005="jabas")*(MOVIMIENTOS!$A$5:$A$1005&lt;&gt;"")*(MOVIMIENTOS!$A$5:$A$1005&lt;=$A637)*MOVIMIENTOS!$E$5:$E$1005)-SUMPRODUCT((MOVIMIENTOS!$B$5:$B$1005="TRASIEGO")*(MOVIMIENTOS!$C$5:$C$1005="A")*(MOVIMIENTOS!$D$5:$D$1005="jabas")*(MOVIMIENTOS!$A$5:$A$1005&lt;&gt;"")*(MOVIMIENTOS!$A$5:$A$1005&lt;=$A637)*MOVIMIENTOS!$E$5:$E$1005)-SUMPRODUCT((MOVIMIENTOS!$B$5:$B$1005="REGALO")*(MOVIMIENTOS!$C$5:$C$1005="A")*(MOVIMIENTOS!$D$5:$D$1005="jabas")*(MOVIMIENTOS!$A$5:$A$1005&lt;&gt;"")*(MOVIMIENTOS!$A$5:$A$1005&lt;=$A637)*MOVIMIENTOS!$E$5:$E$1005)-SUMPRODUCT((MOVIMIENTOS!$B$5:$B$1005="VENTA")*(MOVIMIENTOS!$C$5:$C$1005="A")*(MOVIMIENTOS!$D$5:$D$1005="jabas")*(MOVIMIENTOS!$A$5:$A$1005&lt;&gt;"")*(MOVIMIENTOS!$A$5:$A$1005&lt;=$A637)*MOVIMIENTOS!$E$5:$E$1005)+SUMPRODUCT((MOVIMIENTOS!$B$5:$B$1005="AJUSTE")*(MOVIMIENTOS!$C$5:$C$1005="A")*(MOVIMIENTOS!$D$5:$D$1005="jabas")*(MOVIMIENTOS!$A$5:$A$1005&lt;&gt;"")*(MOVIMIENTOS!$A$5:$A$1005&lt;=$A637)*MOVIMIENTOS!$E$5:$E$1005))</f>
        <v/>
      </c>
      <c r="C637" t="str">
        <f>IF($A637="","",SUMPRODUCT((MOVIMIENTOS!$B$5:$B$1005="SALDO INICIAL")*(MOVIMIENTOS!$C$5:$C$1005="P")*(MOVIMIENTOS!$D$5:$D$1005="jabas")*(MOVIMIENTOS!$A$5:$A$1005&lt;&gt;"")*(MOVIMIENTOS!$A$5:$A$1005&lt;=$A637)*MOVIMIENTOS!$E$5:$E$1005)+SUMPRODUCT((MOVIMIENTOS!$B$5:$B$1005="PROCESO")*(MOVIMIENTOS!$C$5:$C$1005="P")*(MOVIMIENTOS!$D$5:$D$1005="jabas")*(MOVIMIENTOS!$A$5:$A$1005&lt;&gt;"")*(MOVIMIENTOS!$A$5:$A$1005&lt;=$A637)*MOVIMIENTOS!$E$5:$E$1005)-SUMPRODUCT((MOVIMIENTOS!$B$5:$B$1005="ENVÍO A SUPESA")*(MOVIMIENTOS!$C$5:$C$1005="P")*(MOVIMIENTOS!$D$5:$D$1005="jabas")*(MOVIMIENTOS!$A$5:$A$1005&lt;&gt;"")*(MOVIMIENTOS!$A$5:$A$1005&lt;=$A637)*MOVIMIENTOS!$E$5:$E$1005)+SUMPRODUCT((MOVIMIENTOS!$B$5:$B$1005="DEVOLUCIÓN")*(MOVIMIENTOS!$C$5:$C$1005="P")*(MOVIMIENTOS!$D$5:$D$1005="jabas")*(MOVIMIENTOS!$A$5:$A$1005&lt;&gt;"")*(MOVIMIENTOS!$A$5:$A$1005&lt;=$A637)*MOVIMIENTOS!$E$5:$E$1005)-SUMPRODUCT((MOVIMIENTOS!$B$5:$B$1005="TRASIEGO")*(MOVIMIENTOS!$C$5:$C$1005="P")*(MOVIMIENTOS!$D$5:$D$1005="jabas")*(MOVIMIENTOS!$A$5:$A$1005&lt;&gt;"")*(MOVIMIENTOS!$A$5:$A$1005&lt;=$A637)*MOVIMIENTOS!$E$5:$E$1005)-SUMPRODUCT((MOVIMIENTOS!$B$5:$B$1005="REGALO")*(MOVIMIENTOS!$C$5:$C$1005="P")*(MOVIMIENTOS!$D$5:$D$1005="jabas")*(MOVIMIENTOS!$A$5:$A$1005&lt;&gt;"")*(MOVIMIENTOS!$A$5:$A$1005&lt;=$A637)*MOVIMIENTOS!$E$5:$E$1005)-SUMPRODUCT((MOVIMIENTOS!$B$5:$B$1005="VENTA")*(MOVIMIENTOS!$C$5:$C$1005="P")*(MOVIMIENTOS!$D$5:$D$1005="jabas")*(MOVIMIENTOS!$A$5:$A$1005&lt;&gt;"")*(MOVIMIENTOS!$A$5:$A$1005&lt;=$A637)*MOVIMIENTOS!$E$5:$E$1005)+SUMPRODUCT((MOVIMIENTOS!$B$5:$B$1005="AJUSTE")*(MOVIMIENTOS!$C$5:$C$1005="P")*(MOVIMIENTOS!$D$5:$D$1005="jabas")*(MOVIMIENTOS!$A$5:$A$1005&lt;&gt;"")*(MOVIMIENTOS!$A$5:$A$1005&lt;=$A637)*MOVIMIENTOS!$E$5:$E$1005))</f>
        <v/>
      </c>
      <c r="D637" t="str">
        <f>IF($A637="","",SUMPRODUCT((MOVIMIENTOS!$B$5:$B$1005="SALDO INICIAL")*(MOVIMIENTOS!$C$5:$C$1005="C")*(MOVIMIENTOS!$D$5:$D$1005="jabas")*(MOVIMIENTOS!$A$5:$A$1005&lt;&gt;"")*(MOVIMIENTOS!$A$5:$A$1005&lt;=$A637)*MOVIMIENTOS!$E$5:$E$1005)+SUMPRODUCT((MOVIMIENTOS!$B$5:$B$1005="PROCESO")*(MOVIMIENTOS!$C$5:$C$1005="C")*(MOVIMIENTOS!$D$5:$D$1005="jabas")*(MOVIMIENTOS!$A$5:$A$1005&lt;&gt;"")*(MOVIMIENTOS!$A$5:$A$1005&lt;=$A637)*MOVIMIENTOS!$E$5:$E$1005)-SUMPRODUCT((MOVIMIENTOS!$B$5:$B$1005="ENVÍO A SUPESA")*(MOVIMIENTOS!$C$5:$C$1005="C")*(MOVIMIENTOS!$D$5:$D$1005="jabas")*(MOVIMIENTOS!$A$5:$A$1005&lt;&gt;"")*(MOVIMIENTOS!$A$5:$A$1005&lt;=$A637)*MOVIMIENTOS!$E$5:$E$1005)+SUMPRODUCT((MOVIMIENTOS!$B$5:$B$1005="DEVOLUCIÓN")*(MOVIMIENTOS!$C$5:$C$1005="C")*(MOVIMIENTOS!$D$5:$D$1005="jabas")*(MOVIMIENTOS!$A$5:$A$1005&lt;&gt;"")*(MOVIMIENTOS!$A$5:$A$1005&lt;=$A637)*MOVIMIENTOS!$E$5:$E$1005)-SUMPRODUCT((MOVIMIENTOS!$B$5:$B$1005="TRASIEGO")*(MOVIMIENTOS!$C$5:$C$1005="C")*(MOVIMIENTOS!$D$5:$D$1005="jabas")*(MOVIMIENTOS!$A$5:$A$1005&lt;&gt;"")*(MOVIMIENTOS!$A$5:$A$1005&lt;=$A637)*MOVIMIENTOS!$E$5:$E$1005)-SUMPRODUCT((MOVIMIENTOS!$B$5:$B$1005="REGALO")*(MOVIMIENTOS!$C$5:$C$1005="C")*(MOVIMIENTOS!$D$5:$D$1005="jabas")*(MOVIMIENTOS!$A$5:$A$1005&lt;&gt;"")*(MOVIMIENTOS!$A$5:$A$1005&lt;=$A637)*MOVIMIENTOS!$E$5:$E$1005)-SUMPRODUCT((MOVIMIENTOS!$B$5:$B$1005="VENTA")*(MOVIMIENTOS!$C$5:$C$1005="C")*(MOVIMIENTOS!$D$5:$D$1005="jabas")*(MOVIMIENTOS!$A$5:$A$1005&lt;&gt;"")*(MOVIMIENTOS!$A$5:$A$1005&lt;=$A637)*MOVIMIENTOS!$E$5:$E$1005)+SUMPRODUCT((MOVIMIENTOS!$B$5:$B$1005="AJUSTE")*(MOVIMIENTOS!$C$5:$C$1005="C")*(MOVIMIENTOS!$D$5:$D$1005="jabas")*(MOVIMIENTOS!$A$5:$A$1005&lt;&gt;"")*(MOVIMIENTOS!$A$5:$A$1005&lt;=$A637)*MOVIMIENTOS!$E$5:$E$1005))</f>
        <v/>
      </c>
      <c r="E637" t="str">
        <f>IF($A637="","",SUMPRODUCT((MOVIMIENTOS!$B$5:$B$1005="SALDO INICIAL")*(MOVIMIENTOS!$C$5:$C$1005="M")*(MOVIMIENTOS!$D$5:$D$1005="jabas")*(MOVIMIENTOS!$A$5:$A$1005&lt;&gt;"")*(MOVIMIENTOS!$A$5:$A$1005&lt;=$A637)*MOVIMIENTOS!$E$5:$E$1005)+SUMPRODUCT((MOVIMIENTOS!$B$5:$B$1005="PROCESO")*(MOVIMIENTOS!$C$5:$C$1005="M")*(MOVIMIENTOS!$D$5:$D$1005="jabas")*(MOVIMIENTOS!$A$5:$A$1005&lt;&gt;"")*(MOVIMIENTOS!$A$5:$A$1005&lt;=$A637)*MOVIMIENTOS!$E$5:$E$1005)-SUMPRODUCT((MOVIMIENTOS!$B$5:$B$1005="ENVÍO A SUPESA")*(MOVIMIENTOS!$C$5:$C$1005="M")*(MOVIMIENTOS!$D$5:$D$1005="jabas")*(MOVIMIENTOS!$A$5:$A$1005&lt;&gt;"")*(MOVIMIENTOS!$A$5:$A$1005&lt;=$A637)*MOVIMIENTOS!$E$5:$E$1005)+SUMPRODUCT((MOVIMIENTOS!$B$5:$B$1005="DEVOLUCIÓN")*(MOVIMIENTOS!$C$5:$C$1005="M")*(MOVIMIENTOS!$D$5:$D$1005="jabas")*(MOVIMIENTOS!$A$5:$A$1005&lt;&gt;"")*(MOVIMIENTOS!$A$5:$A$1005&lt;=$A637)*MOVIMIENTOS!$E$5:$E$1005)-SUMPRODUCT((MOVIMIENTOS!$B$5:$B$1005="TRASIEGO")*(MOVIMIENTOS!$C$5:$C$1005="M")*(MOVIMIENTOS!$D$5:$D$1005="jabas")*(MOVIMIENTOS!$A$5:$A$1005&lt;&gt;"")*(MOVIMIENTOS!$A$5:$A$1005&lt;=$A637)*MOVIMIENTOS!$E$5:$E$1005)-SUMPRODUCT((MOVIMIENTOS!$B$5:$B$1005="REGALO")*(MOVIMIENTOS!$C$5:$C$1005="M")*(MOVIMIENTOS!$D$5:$D$1005="jabas")*(MOVIMIENTOS!$A$5:$A$1005&lt;&gt;"")*(MOVIMIENTOS!$A$5:$A$1005&lt;=$A637)*MOVIMIENTOS!$E$5:$E$1005)-SUMPRODUCT((MOVIMIENTOS!$B$5:$B$1005="VENTA")*(MOVIMIENTOS!$C$5:$C$1005="M")*(MOVIMIENTOS!$D$5:$D$1005="jabas")*(MOVIMIENTOS!$A$5:$A$1005&lt;&gt;"")*(MOVIMIENTOS!$A$5:$A$1005&lt;=$A637)*MOVIMIENTOS!$E$5:$E$1005)+SUMPRODUCT((MOVIMIENTOS!$B$5:$B$1005="AJUSTE")*(MOVIMIENTOS!$C$5:$C$1005="M")*(MOVIMIENTOS!$D$5:$D$1005="jabas")*(MOVIMIENTOS!$A$5:$A$1005&lt;&gt;"")*(MOVIMIENTOS!$A$5:$A$1005&lt;=$A637)*MOVIMIENTOS!$E$5:$E$1005))</f>
        <v/>
      </c>
      <c r="F637" s="62" t="str">
        <f>IF($A637="","",SUMPRODUCT((MOVIMIENTOS!$B$5:$B$1005="SALDO INICIAL")*(MOVIMIENTOS!$C$5:$C$1005="Chancho")*(MOVIMIENTOS!$D$5:$D$1005="sacos")*(MOVIMIENTOS!$A$5:$A$1005&lt;&gt;"")*(MOVIMIENTOS!$A$5:$A$1005&lt;=$A637)*MOVIMIENTOS!$E$5:$E$1005)+SUMPRODUCT((MOVIMIENTOS!$B$5:$B$1005="PROCESO")*(MOVIMIENTOS!$C$5:$C$1005="Chancho")*(MOVIMIENTOS!$D$5:$D$1005="sacos")*(MOVIMIENTOS!$A$5:$A$1005&lt;&gt;"")*(MOVIMIENTOS!$A$5:$A$1005&lt;=$A637)*MOVIMIENTOS!$E$5:$E$1005)-SUMPRODUCT((MOVIMIENTOS!$B$5:$B$1005="VENTA CHANCHO")*(MOVIMIENTOS!$C$5:$C$1005="Chancho")*(MOVIMIENTOS!$D$5:$D$1005="sacos")*(MOVIMIENTOS!$A$5:$A$1005&lt;&gt;"")*(MOVIMIENTOS!$A$5:$A$1005&lt;=$A637)*MOVIMIENTOS!$E$5:$E$1005)-SUMPRODUCT((MOVIMIENTOS!$B$5:$B$1005="REGALO")*(MOVIMIENTOS!$C$5:$C$1005="Chancho")*(MOVIMIENTOS!$D$5:$D$1005="sacos")*(MOVIMIENTOS!$A$5:$A$1005&lt;&gt;"")*(MOVIMIENTOS!$A$5:$A$1005&lt;=$A637)*MOVIMIENTOS!$E$5:$E$1005)-SUMPRODUCT((MOVIMIENTOS!$B$5:$B$1005="VENTA")*(MOVIMIENTOS!$C$5:$C$1005="Chancho")*(MOVIMIENTOS!$D$5:$D$1005="sacos")*(MOVIMIENTOS!$A$5:$A$1005&lt;&gt;"")*(MOVIMIENTOS!$A$5:$A$1005&lt;=$A637)*MOVIMIENTOS!$E$5:$E$1005)+SUMPRODUCT((MOVIMIENTOS!$B$5:$B$1005="AJUSTE")*(MOVIMIENTOS!$C$5:$C$1005="Chancho")*(MOVIMIENTOS!$D$5:$D$1005="sacos")*(MOVIMIENTOS!$A$5:$A$1005&lt;&gt;"")*(MOVIMIENTOS!$A$5:$A$1005&lt;=$A637)*MOVIMIENTOS!$E$5:$E$1005))</f>
        <v/>
      </c>
      <c r="G637" s="62" t="str">
        <f t="shared" si="19"/>
        <v/>
      </c>
      <c r="H637" t="str">
        <f>IF($A637="","",SUMPRODUCT((((MOVIMIENTOS!$B$5:$B$1005="SALDO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637)*MOVIMIENTOS!$J$5:$J$1005))</f>
        <v/>
      </c>
      <c r="J637" t="str">
        <f>IF(AND(MOVIMIENTOS!$A642&lt;&gt;"",COUNTIF(MOVIMIENTOS!$A$5:$A641,MOVIMIENTOS!$A642)=0),COUNT(J$4:J636)+1,"")</f>
        <v/>
      </c>
      <c r="K637">
        <f>MOVIMIENTOS!$A642</f>
        <v>0</v>
      </c>
    </row>
    <row r="638" spans="1:11" ht="15" customHeight="1" x14ac:dyDescent="0.2">
      <c r="A638" t="str">
        <f t="shared" si="18"/>
        <v/>
      </c>
      <c r="B638" t="str">
        <f>IF($A638="","",SUMPRODUCT((MOVIMIENTOS!$B$5:$B$1005="SALDO INICIAL")*(MOVIMIENTOS!$C$5:$C$1005="A")*(MOVIMIENTOS!$D$5:$D$1005="jabas")*(MOVIMIENTOS!$A$5:$A$1005&lt;&gt;"")*(MOVIMIENTOS!$A$5:$A$1005&lt;=$A638)*MOVIMIENTOS!$E$5:$E$1005)+SUMPRODUCT((MOVIMIENTOS!$B$5:$B$1005="PROCESO")*(MOVIMIENTOS!$C$5:$C$1005="A")*(MOVIMIENTOS!$D$5:$D$1005="jabas")*(MOVIMIENTOS!$A$5:$A$1005&lt;&gt;"")*(MOVIMIENTOS!$A$5:$A$1005&lt;=$A638)*MOVIMIENTOS!$E$5:$E$1005)-SUMPRODUCT((MOVIMIENTOS!$B$5:$B$1005="ENVÍO A SUPESA")*(MOVIMIENTOS!$C$5:$C$1005="A")*(MOVIMIENTOS!$D$5:$D$1005="jabas")*(MOVIMIENTOS!$A$5:$A$1005&lt;&gt;"")*(MOVIMIENTOS!$A$5:$A$1005&lt;=$A638)*MOVIMIENTOS!$E$5:$E$1005)+SUMPRODUCT((MOVIMIENTOS!$B$5:$B$1005="DEVOLUCIÓN")*(MOVIMIENTOS!$C$5:$C$1005="A")*(MOVIMIENTOS!$D$5:$D$1005="jabas")*(MOVIMIENTOS!$A$5:$A$1005&lt;&gt;"")*(MOVIMIENTOS!$A$5:$A$1005&lt;=$A638)*MOVIMIENTOS!$E$5:$E$1005)-SUMPRODUCT((MOVIMIENTOS!$B$5:$B$1005="TRASIEGO")*(MOVIMIENTOS!$C$5:$C$1005="A")*(MOVIMIENTOS!$D$5:$D$1005="jabas")*(MOVIMIENTOS!$A$5:$A$1005&lt;&gt;"")*(MOVIMIENTOS!$A$5:$A$1005&lt;=$A638)*MOVIMIENTOS!$E$5:$E$1005)-SUMPRODUCT((MOVIMIENTOS!$B$5:$B$1005="REGALO")*(MOVIMIENTOS!$C$5:$C$1005="A")*(MOVIMIENTOS!$D$5:$D$1005="jabas")*(MOVIMIENTOS!$A$5:$A$1005&lt;&gt;"")*(MOVIMIENTOS!$A$5:$A$1005&lt;=$A638)*MOVIMIENTOS!$E$5:$E$1005)-SUMPRODUCT((MOVIMIENTOS!$B$5:$B$1005="VENTA")*(MOVIMIENTOS!$C$5:$C$1005="A")*(MOVIMIENTOS!$D$5:$D$1005="jabas")*(MOVIMIENTOS!$A$5:$A$1005&lt;&gt;"")*(MOVIMIENTOS!$A$5:$A$1005&lt;=$A638)*MOVIMIENTOS!$E$5:$E$1005)+SUMPRODUCT((MOVIMIENTOS!$B$5:$B$1005="AJUSTE")*(MOVIMIENTOS!$C$5:$C$1005="A")*(MOVIMIENTOS!$D$5:$D$1005="jabas")*(MOVIMIENTOS!$A$5:$A$1005&lt;&gt;"")*(MOVIMIENTOS!$A$5:$A$1005&lt;=$A638)*MOVIMIENTOS!$E$5:$E$1005))</f>
        <v/>
      </c>
      <c r="C638" t="str">
        <f>IF($A638="","",SUMPRODUCT((MOVIMIENTOS!$B$5:$B$1005="SALDO INICIAL")*(MOVIMIENTOS!$C$5:$C$1005="P")*(MOVIMIENTOS!$D$5:$D$1005="jabas")*(MOVIMIENTOS!$A$5:$A$1005&lt;&gt;"")*(MOVIMIENTOS!$A$5:$A$1005&lt;=$A638)*MOVIMIENTOS!$E$5:$E$1005)+SUMPRODUCT((MOVIMIENTOS!$B$5:$B$1005="PROCESO")*(MOVIMIENTOS!$C$5:$C$1005="P")*(MOVIMIENTOS!$D$5:$D$1005="jabas")*(MOVIMIENTOS!$A$5:$A$1005&lt;&gt;"")*(MOVIMIENTOS!$A$5:$A$1005&lt;=$A638)*MOVIMIENTOS!$E$5:$E$1005)-SUMPRODUCT((MOVIMIENTOS!$B$5:$B$1005="ENVÍO A SUPESA")*(MOVIMIENTOS!$C$5:$C$1005="P")*(MOVIMIENTOS!$D$5:$D$1005="jabas")*(MOVIMIENTOS!$A$5:$A$1005&lt;&gt;"")*(MOVIMIENTOS!$A$5:$A$1005&lt;=$A638)*MOVIMIENTOS!$E$5:$E$1005)+SUMPRODUCT((MOVIMIENTOS!$B$5:$B$1005="DEVOLUCIÓN")*(MOVIMIENTOS!$C$5:$C$1005="P")*(MOVIMIENTOS!$D$5:$D$1005="jabas")*(MOVIMIENTOS!$A$5:$A$1005&lt;&gt;"")*(MOVIMIENTOS!$A$5:$A$1005&lt;=$A638)*MOVIMIENTOS!$E$5:$E$1005)-SUMPRODUCT((MOVIMIENTOS!$B$5:$B$1005="TRASIEGO")*(MOVIMIENTOS!$C$5:$C$1005="P")*(MOVIMIENTOS!$D$5:$D$1005="jabas")*(MOVIMIENTOS!$A$5:$A$1005&lt;&gt;"")*(MOVIMIENTOS!$A$5:$A$1005&lt;=$A638)*MOVIMIENTOS!$E$5:$E$1005)-SUMPRODUCT((MOVIMIENTOS!$B$5:$B$1005="REGALO")*(MOVIMIENTOS!$C$5:$C$1005="P")*(MOVIMIENTOS!$D$5:$D$1005="jabas")*(MOVIMIENTOS!$A$5:$A$1005&lt;&gt;"")*(MOVIMIENTOS!$A$5:$A$1005&lt;=$A638)*MOVIMIENTOS!$E$5:$E$1005)-SUMPRODUCT((MOVIMIENTOS!$B$5:$B$1005="VENTA")*(MOVIMIENTOS!$C$5:$C$1005="P")*(MOVIMIENTOS!$D$5:$D$1005="jabas")*(MOVIMIENTOS!$A$5:$A$1005&lt;&gt;"")*(MOVIMIENTOS!$A$5:$A$1005&lt;=$A638)*MOVIMIENTOS!$E$5:$E$1005)+SUMPRODUCT((MOVIMIENTOS!$B$5:$B$1005="AJUSTE")*(MOVIMIENTOS!$C$5:$C$1005="P")*(MOVIMIENTOS!$D$5:$D$1005="jabas")*(MOVIMIENTOS!$A$5:$A$1005&lt;&gt;"")*(MOVIMIENTOS!$A$5:$A$1005&lt;=$A638)*MOVIMIENTOS!$E$5:$E$1005))</f>
        <v/>
      </c>
      <c r="D638" t="str">
        <f>IF($A638="","",SUMPRODUCT((MOVIMIENTOS!$B$5:$B$1005="SALDO INICIAL")*(MOVIMIENTOS!$C$5:$C$1005="C")*(MOVIMIENTOS!$D$5:$D$1005="jabas")*(MOVIMIENTOS!$A$5:$A$1005&lt;&gt;"")*(MOVIMIENTOS!$A$5:$A$1005&lt;=$A638)*MOVIMIENTOS!$E$5:$E$1005)+SUMPRODUCT((MOVIMIENTOS!$B$5:$B$1005="PROCESO")*(MOVIMIENTOS!$C$5:$C$1005="C")*(MOVIMIENTOS!$D$5:$D$1005="jabas")*(MOVIMIENTOS!$A$5:$A$1005&lt;&gt;"")*(MOVIMIENTOS!$A$5:$A$1005&lt;=$A638)*MOVIMIENTOS!$E$5:$E$1005)-SUMPRODUCT((MOVIMIENTOS!$B$5:$B$1005="ENVÍO A SUPESA")*(MOVIMIENTOS!$C$5:$C$1005="C")*(MOVIMIENTOS!$D$5:$D$1005="jabas")*(MOVIMIENTOS!$A$5:$A$1005&lt;&gt;"")*(MOVIMIENTOS!$A$5:$A$1005&lt;=$A638)*MOVIMIENTOS!$E$5:$E$1005)+SUMPRODUCT((MOVIMIENTOS!$B$5:$B$1005="DEVOLUCIÓN")*(MOVIMIENTOS!$C$5:$C$1005="C")*(MOVIMIENTOS!$D$5:$D$1005="jabas")*(MOVIMIENTOS!$A$5:$A$1005&lt;&gt;"")*(MOVIMIENTOS!$A$5:$A$1005&lt;=$A638)*MOVIMIENTOS!$E$5:$E$1005)-SUMPRODUCT((MOVIMIENTOS!$B$5:$B$1005="TRASIEGO")*(MOVIMIENTOS!$C$5:$C$1005="C")*(MOVIMIENTOS!$D$5:$D$1005="jabas")*(MOVIMIENTOS!$A$5:$A$1005&lt;&gt;"")*(MOVIMIENTOS!$A$5:$A$1005&lt;=$A638)*MOVIMIENTOS!$E$5:$E$1005)-SUMPRODUCT((MOVIMIENTOS!$B$5:$B$1005="REGALO")*(MOVIMIENTOS!$C$5:$C$1005="C")*(MOVIMIENTOS!$D$5:$D$1005="jabas")*(MOVIMIENTOS!$A$5:$A$1005&lt;&gt;"")*(MOVIMIENTOS!$A$5:$A$1005&lt;=$A638)*MOVIMIENTOS!$E$5:$E$1005)-SUMPRODUCT((MOVIMIENTOS!$B$5:$B$1005="VENTA")*(MOVIMIENTOS!$C$5:$C$1005="C")*(MOVIMIENTOS!$D$5:$D$1005="jabas")*(MOVIMIENTOS!$A$5:$A$1005&lt;&gt;"")*(MOVIMIENTOS!$A$5:$A$1005&lt;=$A638)*MOVIMIENTOS!$E$5:$E$1005)+SUMPRODUCT((MOVIMIENTOS!$B$5:$B$1005="AJUSTE")*(MOVIMIENTOS!$C$5:$C$1005="C")*(MOVIMIENTOS!$D$5:$D$1005="jabas")*(MOVIMIENTOS!$A$5:$A$1005&lt;&gt;"")*(MOVIMIENTOS!$A$5:$A$1005&lt;=$A638)*MOVIMIENTOS!$E$5:$E$1005))</f>
        <v/>
      </c>
      <c r="E638" t="str">
        <f>IF($A638="","",SUMPRODUCT((MOVIMIENTOS!$B$5:$B$1005="SALDO INICIAL")*(MOVIMIENTOS!$C$5:$C$1005="M")*(MOVIMIENTOS!$D$5:$D$1005="jabas")*(MOVIMIENTOS!$A$5:$A$1005&lt;&gt;"")*(MOVIMIENTOS!$A$5:$A$1005&lt;=$A638)*MOVIMIENTOS!$E$5:$E$1005)+SUMPRODUCT((MOVIMIENTOS!$B$5:$B$1005="PROCESO")*(MOVIMIENTOS!$C$5:$C$1005="M")*(MOVIMIENTOS!$D$5:$D$1005="jabas")*(MOVIMIENTOS!$A$5:$A$1005&lt;&gt;"")*(MOVIMIENTOS!$A$5:$A$1005&lt;=$A638)*MOVIMIENTOS!$E$5:$E$1005)-SUMPRODUCT((MOVIMIENTOS!$B$5:$B$1005="ENVÍO A SUPESA")*(MOVIMIENTOS!$C$5:$C$1005="M")*(MOVIMIENTOS!$D$5:$D$1005="jabas")*(MOVIMIENTOS!$A$5:$A$1005&lt;&gt;"")*(MOVIMIENTOS!$A$5:$A$1005&lt;=$A638)*MOVIMIENTOS!$E$5:$E$1005)+SUMPRODUCT((MOVIMIENTOS!$B$5:$B$1005="DEVOLUCIÓN")*(MOVIMIENTOS!$C$5:$C$1005="M")*(MOVIMIENTOS!$D$5:$D$1005="jabas")*(MOVIMIENTOS!$A$5:$A$1005&lt;&gt;"")*(MOVIMIENTOS!$A$5:$A$1005&lt;=$A638)*MOVIMIENTOS!$E$5:$E$1005)-SUMPRODUCT((MOVIMIENTOS!$B$5:$B$1005="TRASIEGO")*(MOVIMIENTOS!$C$5:$C$1005="M")*(MOVIMIENTOS!$D$5:$D$1005="jabas")*(MOVIMIENTOS!$A$5:$A$1005&lt;&gt;"")*(MOVIMIENTOS!$A$5:$A$1005&lt;=$A638)*MOVIMIENTOS!$E$5:$E$1005)-SUMPRODUCT((MOVIMIENTOS!$B$5:$B$1005="REGALO")*(MOVIMIENTOS!$C$5:$C$1005="M")*(MOVIMIENTOS!$D$5:$D$1005="jabas")*(MOVIMIENTOS!$A$5:$A$1005&lt;&gt;"")*(MOVIMIENTOS!$A$5:$A$1005&lt;=$A638)*MOVIMIENTOS!$E$5:$E$1005)-SUMPRODUCT((MOVIMIENTOS!$B$5:$B$1005="VENTA")*(MOVIMIENTOS!$C$5:$C$1005="M")*(MOVIMIENTOS!$D$5:$D$1005="jabas")*(MOVIMIENTOS!$A$5:$A$1005&lt;&gt;"")*(MOVIMIENTOS!$A$5:$A$1005&lt;=$A638)*MOVIMIENTOS!$E$5:$E$1005)+SUMPRODUCT((MOVIMIENTOS!$B$5:$B$1005="AJUSTE")*(MOVIMIENTOS!$C$5:$C$1005="M")*(MOVIMIENTOS!$D$5:$D$1005="jabas")*(MOVIMIENTOS!$A$5:$A$1005&lt;&gt;"")*(MOVIMIENTOS!$A$5:$A$1005&lt;=$A638)*MOVIMIENTOS!$E$5:$E$1005))</f>
        <v/>
      </c>
      <c r="F638" s="62" t="str">
        <f>IF($A638="","",SUMPRODUCT((MOVIMIENTOS!$B$5:$B$1005="SALDO INICIAL")*(MOVIMIENTOS!$C$5:$C$1005="Chancho")*(MOVIMIENTOS!$D$5:$D$1005="sacos")*(MOVIMIENTOS!$A$5:$A$1005&lt;&gt;"")*(MOVIMIENTOS!$A$5:$A$1005&lt;=$A638)*MOVIMIENTOS!$E$5:$E$1005)+SUMPRODUCT((MOVIMIENTOS!$B$5:$B$1005="PROCESO")*(MOVIMIENTOS!$C$5:$C$1005="Chancho")*(MOVIMIENTOS!$D$5:$D$1005="sacos")*(MOVIMIENTOS!$A$5:$A$1005&lt;&gt;"")*(MOVIMIENTOS!$A$5:$A$1005&lt;=$A638)*MOVIMIENTOS!$E$5:$E$1005)-SUMPRODUCT((MOVIMIENTOS!$B$5:$B$1005="VENTA CHANCHO")*(MOVIMIENTOS!$C$5:$C$1005="Chancho")*(MOVIMIENTOS!$D$5:$D$1005="sacos")*(MOVIMIENTOS!$A$5:$A$1005&lt;&gt;"")*(MOVIMIENTOS!$A$5:$A$1005&lt;=$A638)*MOVIMIENTOS!$E$5:$E$1005)-SUMPRODUCT((MOVIMIENTOS!$B$5:$B$1005="REGALO")*(MOVIMIENTOS!$C$5:$C$1005="Chancho")*(MOVIMIENTOS!$D$5:$D$1005="sacos")*(MOVIMIENTOS!$A$5:$A$1005&lt;&gt;"")*(MOVIMIENTOS!$A$5:$A$1005&lt;=$A638)*MOVIMIENTOS!$E$5:$E$1005)-SUMPRODUCT((MOVIMIENTOS!$B$5:$B$1005="VENTA")*(MOVIMIENTOS!$C$5:$C$1005="Chancho")*(MOVIMIENTOS!$D$5:$D$1005="sacos")*(MOVIMIENTOS!$A$5:$A$1005&lt;&gt;"")*(MOVIMIENTOS!$A$5:$A$1005&lt;=$A638)*MOVIMIENTOS!$E$5:$E$1005)+SUMPRODUCT((MOVIMIENTOS!$B$5:$B$1005="AJUSTE")*(MOVIMIENTOS!$C$5:$C$1005="Chancho")*(MOVIMIENTOS!$D$5:$D$1005="sacos")*(MOVIMIENTOS!$A$5:$A$1005&lt;&gt;"")*(MOVIMIENTOS!$A$5:$A$1005&lt;=$A638)*MOVIMIENTOS!$E$5:$E$1005))</f>
        <v/>
      </c>
      <c r="G638" s="62" t="str">
        <f t="shared" si="19"/>
        <v/>
      </c>
      <c r="H638" t="str">
        <f>IF($A638="","",SUMPRODUCT((((MOVIMIENTOS!$B$5:$B$1005="SALDO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638)*MOVIMIENTOS!$J$5:$J$1005))</f>
        <v/>
      </c>
      <c r="J638" t="str">
        <f>IF(AND(MOVIMIENTOS!$A643&lt;&gt;"",COUNTIF(MOVIMIENTOS!$A$5:$A642,MOVIMIENTOS!$A643)=0),COUNT(J$4:J637)+1,"")</f>
        <v/>
      </c>
      <c r="K638">
        <f>MOVIMIENTOS!$A643</f>
        <v>0</v>
      </c>
    </row>
    <row r="639" spans="1:11" ht="15" customHeight="1" x14ac:dyDescent="0.2">
      <c r="A639" t="str">
        <f t="shared" si="18"/>
        <v/>
      </c>
      <c r="B639" t="str">
        <f>IF($A639="","",SUMPRODUCT((MOVIMIENTOS!$B$5:$B$1005="SALDO INICIAL")*(MOVIMIENTOS!$C$5:$C$1005="A")*(MOVIMIENTOS!$D$5:$D$1005="jabas")*(MOVIMIENTOS!$A$5:$A$1005&lt;&gt;"")*(MOVIMIENTOS!$A$5:$A$1005&lt;=$A639)*MOVIMIENTOS!$E$5:$E$1005)+SUMPRODUCT((MOVIMIENTOS!$B$5:$B$1005="PROCESO")*(MOVIMIENTOS!$C$5:$C$1005="A")*(MOVIMIENTOS!$D$5:$D$1005="jabas")*(MOVIMIENTOS!$A$5:$A$1005&lt;&gt;"")*(MOVIMIENTOS!$A$5:$A$1005&lt;=$A639)*MOVIMIENTOS!$E$5:$E$1005)-SUMPRODUCT((MOVIMIENTOS!$B$5:$B$1005="ENVÍO A SUPESA")*(MOVIMIENTOS!$C$5:$C$1005="A")*(MOVIMIENTOS!$D$5:$D$1005="jabas")*(MOVIMIENTOS!$A$5:$A$1005&lt;&gt;"")*(MOVIMIENTOS!$A$5:$A$1005&lt;=$A639)*MOVIMIENTOS!$E$5:$E$1005)+SUMPRODUCT((MOVIMIENTOS!$B$5:$B$1005="DEVOLUCIÓN")*(MOVIMIENTOS!$C$5:$C$1005="A")*(MOVIMIENTOS!$D$5:$D$1005="jabas")*(MOVIMIENTOS!$A$5:$A$1005&lt;&gt;"")*(MOVIMIENTOS!$A$5:$A$1005&lt;=$A639)*MOVIMIENTOS!$E$5:$E$1005)-SUMPRODUCT((MOVIMIENTOS!$B$5:$B$1005="TRASIEGO")*(MOVIMIENTOS!$C$5:$C$1005="A")*(MOVIMIENTOS!$D$5:$D$1005="jabas")*(MOVIMIENTOS!$A$5:$A$1005&lt;&gt;"")*(MOVIMIENTOS!$A$5:$A$1005&lt;=$A639)*MOVIMIENTOS!$E$5:$E$1005)-SUMPRODUCT((MOVIMIENTOS!$B$5:$B$1005="REGALO")*(MOVIMIENTOS!$C$5:$C$1005="A")*(MOVIMIENTOS!$D$5:$D$1005="jabas")*(MOVIMIENTOS!$A$5:$A$1005&lt;&gt;"")*(MOVIMIENTOS!$A$5:$A$1005&lt;=$A639)*MOVIMIENTOS!$E$5:$E$1005)-SUMPRODUCT((MOVIMIENTOS!$B$5:$B$1005="VENTA")*(MOVIMIENTOS!$C$5:$C$1005="A")*(MOVIMIENTOS!$D$5:$D$1005="jabas")*(MOVIMIENTOS!$A$5:$A$1005&lt;&gt;"")*(MOVIMIENTOS!$A$5:$A$1005&lt;=$A639)*MOVIMIENTOS!$E$5:$E$1005)+SUMPRODUCT((MOVIMIENTOS!$B$5:$B$1005="AJUSTE")*(MOVIMIENTOS!$C$5:$C$1005="A")*(MOVIMIENTOS!$D$5:$D$1005="jabas")*(MOVIMIENTOS!$A$5:$A$1005&lt;&gt;"")*(MOVIMIENTOS!$A$5:$A$1005&lt;=$A639)*MOVIMIENTOS!$E$5:$E$1005))</f>
        <v/>
      </c>
      <c r="C639" t="str">
        <f>IF($A639="","",SUMPRODUCT((MOVIMIENTOS!$B$5:$B$1005="SALDO INICIAL")*(MOVIMIENTOS!$C$5:$C$1005="P")*(MOVIMIENTOS!$D$5:$D$1005="jabas")*(MOVIMIENTOS!$A$5:$A$1005&lt;&gt;"")*(MOVIMIENTOS!$A$5:$A$1005&lt;=$A639)*MOVIMIENTOS!$E$5:$E$1005)+SUMPRODUCT((MOVIMIENTOS!$B$5:$B$1005="PROCESO")*(MOVIMIENTOS!$C$5:$C$1005="P")*(MOVIMIENTOS!$D$5:$D$1005="jabas")*(MOVIMIENTOS!$A$5:$A$1005&lt;&gt;"")*(MOVIMIENTOS!$A$5:$A$1005&lt;=$A639)*MOVIMIENTOS!$E$5:$E$1005)-SUMPRODUCT((MOVIMIENTOS!$B$5:$B$1005="ENVÍO A SUPESA")*(MOVIMIENTOS!$C$5:$C$1005="P")*(MOVIMIENTOS!$D$5:$D$1005="jabas")*(MOVIMIENTOS!$A$5:$A$1005&lt;&gt;"")*(MOVIMIENTOS!$A$5:$A$1005&lt;=$A639)*MOVIMIENTOS!$E$5:$E$1005)+SUMPRODUCT((MOVIMIENTOS!$B$5:$B$1005="DEVOLUCIÓN")*(MOVIMIENTOS!$C$5:$C$1005="P")*(MOVIMIENTOS!$D$5:$D$1005="jabas")*(MOVIMIENTOS!$A$5:$A$1005&lt;&gt;"")*(MOVIMIENTOS!$A$5:$A$1005&lt;=$A639)*MOVIMIENTOS!$E$5:$E$1005)-SUMPRODUCT((MOVIMIENTOS!$B$5:$B$1005="TRASIEGO")*(MOVIMIENTOS!$C$5:$C$1005="P")*(MOVIMIENTOS!$D$5:$D$1005="jabas")*(MOVIMIENTOS!$A$5:$A$1005&lt;&gt;"")*(MOVIMIENTOS!$A$5:$A$1005&lt;=$A639)*MOVIMIENTOS!$E$5:$E$1005)-SUMPRODUCT((MOVIMIENTOS!$B$5:$B$1005="REGALO")*(MOVIMIENTOS!$C$5:$C$1005="P")*(MOVIMIENTOS!$D$5:$D$1005="jabas")*(MOVIMIENTOS!$A$5:$A$1005&lt;&gt;"")*(MOVIMIENTOS!$A$5:$A$1005&lt;=$A639)*MOVIMIENTOS!$E$5:$E$1005)-SUMPRODUCT((MOVIMIENTOS!$B$5:$B$1005="VENTA")*(MOVIMIENTOS!$C$5:$C$1005="P")*(MOVIMIENTOS!$D$5:$D$1005="jabas")*(MOVIMIENTOS!$A$5:$A$1005&lt;&gt;"")*(MOVIMIENTOS!$A$5:$A$1005&lt;=$A639)*MOVIMIENTOS!$E$5:$E$1005)+SUMPRODUCT((MOVIMIENTOS!$B$5:$B$1005="AJUSTE")*(MOVIMIENTOS!$C$5:$C$1005="P")*(MOVIMIENTOS!$D$5:$D$1005="jabas")*(MOVIMIENTOS!$A$5:$A$1005&lt;&gt;"")*(MOVIMIENTOS!$A$5:$A$1005&lt;=$A639)*MOVIMIENTOS!$E$5:$E$1005))</f>
        <v/>
      </c>
      <c r="D639" t="str">
        <f>IF($A639="","",SUMPRODUCT((MOVIMIENTOS!$B$5:$B$1005="SALDO INICIAL")*(MOVIMIENTOS!$C$5:$C$1005="C")*(MOVIMIENTOS!$D$5:$D$1005="jabas")*(MOVIMIENTOS!$A$5:$A$1005&lt;&gt;"")*(MOVIMIENTOS!$A$5:$A$1005&lt;=$A639)*MOVIMIENTOS!$E$5:$E$1005)+SUMPRODUCT((MOVIMIENTOS!$B$5:$B$1005="PROCESO")*(MOVIMIENTOS!$C$5:$C$1005="C")*(MOVIMIENTOS!$D$5:$D$1005="jabas")*(MOVIMIENTOS!$A$5:$A$1005&lt;&gt;"")*(MOVIMIENTOS!$A$5:$A$1005&lt;=$A639)*MOVIMIENTOS!$E$5:$E$1005)-SUMPRODUCT((MOVIMIENTOS!$B$5:$B$1005="ENVÍO A SUPESA")*(MOVIMIENTOS!$C$5:$C$1005="C")*(MOVIMIENTOS!$D$5:$D$1005="jabas")*(MOVIMIENTOS!$A$5:$A$1005&lt;&gt;"")*(MOVIMIENTOS!$A$5:$A$1005&lt;=$A639)*MOVIMIENTOS!$E$5:$E$1005)+SUMPRODUCT((MOVIMIENTOS!$B$5:$B$1005="DEVOLUCIÓN")*(MOVIMIENTOS!$C$5:$C$1005="C")*(MOVIMIENTOS!$D$5:$D$1005="jabas")*(MOVIMIENTOS!$A$5:$A$1005&lt;&gt;"")*(MOVIMIENTOS!$A$5:$A$1005&lt;=$A639)*MOVIMIENTOS!$E$5:$E$1005)-SUMPRODUCT((MOVIMIENTOS!$B$5:$B$1005="TRASIEGO")*(MOVIMIENTOS!$C$5:$C$1005="C")*(MOVIMIENTOS!$D$5:$D$1005="jabas")*(MOVIMIENTOS!$A$5:$A$1005&lt;&gt;"")*(MOVIMIENTOS!$A$5:$A$1005&lt;=$A639)*MOVIMIENTOS!$E$5:$E$1005)-SUMPRODUCT((MOVIMIENTOS!$B$5:$B$1005="REGALO")*(MOVIMIENTOS!$C$5:$C$1005="C")*(MOVIMIENTOS!$D$5:$D$1005="jabas")*(MOVIMIENTOS!$A$5:$A$1005&lt;&gt;"")*(MOVIMIENTOS!$A$5:$A$1005&lt;=$A639)*MOVIMIENTOS!$E$5:$E$1005)-SUMPRODUCT((MOVIMIENTOS!$B$5:$B$1005="VENTA")*(MOVIMIENTOS!$C$5:$C$1005="C")*(MOVIMIENTOS!$D$5:$D$1005="jabas")*(MOVIMIENTOS!$A$5:$A$1005&lt;&gt;"")*(MOVIMIENTOS!$A$5:$A$1005&lt;=$A639)*MOVIMIENTOS!$E$5:$E$1005)+SUMPRODUCT((MOVIMIENTOS!$B$5:$B$1005="AJUSTE")*(MOVIMIENTOS!$C$5:$C$1005="C")*(MOVIMIENTOS!$D$5:$D$1005="jabas")*(MOVIMIENTOS!$A$5:$A$1005&lt;&gt;"")*(MOVIMIENTOS!$A$5:$A$1005&lt;=$A639)*MOVIMIENTOS!$E$5:$E$1005))</f>
        <v/>
      </c>
      <c r="E639" t="str">
        <f>IF($A639="","",SUMPRODUCT((MOVIMIENTOS!$B$5:$B$1005="SALDO INICIAL")*(MOVIMIENTOS!$C$5:$C$1005="M")*(MOVIMIENTOS!$D$5:$D$1005="jabas")*(MOVIMIENTOS!$A$5:$A$1005&lt;&gt;"")*(MOVIMIENTOS!$A$5:$A$1005&lt;=$A639)*MOVIMIENTOS!$E$5:$E$1005)+SUMPRODUCT((MOVIMIENTOS!$B$5:$B$1005="PROCESO")*(MOVIMIENTOS!$C$5:$C$1005="M")*(MOVIMIENTOS!$D$5:$D$1005="jabas")*(MOVIMIENTOS!$A$5:$A$1005&lt;&gt;"")*(MOVIMIENTOS!$A$5:$A$1005&lt;=$A639)*MOVIMIENTOS!$E$5:$E$1005)-SUMPRODUCT((MOVIMIENTOS!$B$5:$B$1005="ENVÍO A SUPESA")*(MOVIMIENTOS!$C$5:$C$1005="M")*(MOVIMIENTOS!$D$5:$D$1005="jabas")*(MOVIMIENTOS!$A$5:$A$1005&lt;&gt;"")*(MOVIMIENTOS!$A$5:$A$1005&lt;=$A639)*MOVIMIENTOS!$E$5:$E$1005)+SUMPRODUCT((MOVIMIENTOS!$B$5:$B$1005="DEVOLUCIÓN")*(MOVIMIENTOS!$C$5:$C$1005="M")*(MOVIMIENTOS!$D$5:$D$1005="jabas")*(MOVIMIENTOS!$A$5:$A$1005&lt;&gt;"")*(MOVIMIENTOS!$A$5:$A$1005&lt;=$A639)*MOVIMIENTOS!$E$5:$E$1005)-SUMPRODUCT((MOVIMIENTOS!$B$5:$B$1005="TRASIEGO")*(MOVIMIENTOS!$C$5:$C$1005="M")*(MOVIMIENTOS!$D$5:$D$1005="jabas")*(MOVIMIENTOS!$A$5:$A$1005&lt;&gt;"")*(MOVIMIENTOS!$A$5:$A$1005&lt;=$A639)*MOVIMIENTOS!$E$5:$E$1005)-SUMPRODUCT((MOVIMIENTOS!$B$5:$B$1005="REGALO")*(MOVIMIENTOS!$C$5:$C$1005="M")*(MOVIMIENTOS!$D$5:$D$1005="jabas")*(MOVIMIENTOS!$A$5:$A$1005&lt;&gt;"")*(MOVIMIENTOS!$A$5:$A$1005&lt;=$A639)*MOVIMIENTOS!$E$5:$E$1005)-SUMPRODUCT((MOVIMIENTOS!$B$5:$B$1005="VENTA")*(MOVIMIENTOS!$C$5:$C$1005="M")*(MOVIMIENTOS!$D$5:$D$1005="jabas")*(MOVIMIENTOS!$A$5:$A$1005&lt;&gt;"")*(MOVIMIENTOS!$A$5:$A$1005&lt;=$A639)*MOVIMIENTOS!$E$5:$E$1005)+SUMPRODUCT((MOVIMIENTOS!$B$5:$B$1005="AJUSTE")*(MOVIMIENTOS!$C$5:$C$1005="M")*(MOVIMIENTOS!$D$5:$D$1005="jabas")*(MOVIMIENTOS!$A$5:$A$1005&lt;&gt;"")*(MOVIMIENTOS!$A$5:$A$1005&lt;=$A639)*MOVIMIENTOS!$E$5:$E$1005))</f>
        <v/>
      </c>
      <c r="F639" s="62" t="str">
        <f>IF($A639="","",SUMPRODUCT((MOVIMIENTOS!$B$5:$B$1005="SALDO INICIAL")*(MOVIMIENTOS!$C$5:$C$1005="Chancho")*(MOVIMIENTOS!$D$5:$D$1005="sacos")*(MOVIMIENTOS!$A$5:$A$1005&lt;&gt;"")*(MOVIMIENTOS!$A$5:$A$1005&lt;=$A639)*MOVIMIENTOS!$E$5:$E$1005)+SUMPRODUCT((MOVIMIENTOS!$B$5:$B$1005="PROCESO")*(MOVIMIENTOS!$C$5:$C$1005="Chancho")*(MOVIMIENTOS!$D$5:$D$1005="sacos")*(MOVIMIENTOS!$A$5:$A$1005&lt;&gt;"")*(MOVIMIENTOS!$A$5:$A$1005&lt;=$A639)*MOVIMIENTOS!$E$5:$E$1005)-SUMPRODUCT((MOVIMIENTOS!$B$5:$B$1005="VENTA CHANCHO")*(MOVIMIENTOS!$C$5:$C$1005="Chancho")*(MOVIMIENTOS!$D$5:$D$1005="sacos")*(MOVIMIENTOS!$A$5:$A$1005&lt;&gt;"")*(MOVIMIENTOS!$A$5:$A$1005&lt;=$A639)*MOVIMIENTOS!$E$5:$E$1005)-SUMPRODUCT((MOVIMIENTOS!$B$5:$B$1005="REGALO")*(MOVIMIENTOS!$C$5:$C$1005="Chancho")*(MOVIMIENTOS!$D$5:$D$1005="sacos")*(MOVIMIENTOS!$A$5:$A$1005&lt;&gt;"")*(MOVIMIENTOS!$A$5:$A$1005&lt;=$A639)*MOVIMIENTOS!$E$5:$E$1005)-SUMPRODUCT((MOVIMIENTOS!$B$5:$B$1005="VENTA")*(MOVIMIENTOS!$C$5:$C$1005="Chancho")*(MOVIMIENTOS!$D$5:$D$1005="sacos")*(MOVIMIENTOS!$A$5:$A$1005&lt;&gt;"")*(MOVIMIENTOS!$A$5:$A$1005&lt;=$A639)*MOVIMIENTOS!$E$5:$E$1005)+SUMPRODUCT((MOVIMIENTOS!$B$5:$B$1005="AJUSTE")*(MOVIMIENTOS!$C$5:$C$1005="Chancho")*(MOVIMIENTOS!$D$5:$D$1005="sacos")*(MOVIMIENTOS!$A$5:$A$1005&lt;&gt;"")*(MOVIMIENTOS!$A$5:$A$1005&lt;=$A639)*MOVIMIENTOS!$E$5:$E$1005))</f>
        <v/>
      </c>
      <c r="G639" s="62" t="str">
        <f t="shared" si="19"/>
        <v/>
      </c>
      <c r="H639" t="str">
        <f>IF($A639="","",SUMPRODUCT((((MOVIMIENTOS!$B$5:$B$1005="SALDO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639)*MOVIMIENTOS!$J$5:$J$1005))</f>
        <v/>
      </c>
      <c r="J639" t="str">
        <f>IF(AND(MOVIMIENTOS!$A644&lt;&gt;"",COUNTIF(MOVIMIENTOS!$A$5:$A643,MOVIMIENTOS!$A644)=0),COUNT(J$4:J638)+1,"")</f>
        <v/>
      </c>
      <c r="K639">
        <f>MOVIMIENTOS!$A644</f>
        <v>0</v>
      </c>
    </row>
    <row r="640" spans="1:11" ht="15" customHeight="1" x14ac:dyDescent="0.2">
      <c r="A640" t="str">
        <f t="shared" si="18"/>
        <v/>
      </c>
      <c r="B640" t="str">
        <f>IF($A640="","",SUMPRODUCT((MOVIMIENTOS!$B$5:$B$1005="SALDO INICIAL")*(MOVIMIENTOS!$C$5:$C$1005="A")*(MOVIMIENTOS!$D$5:$D$1005="jabas")*(MOVIMIENTOS!$A$5:$A$1005&lt;&gt;"")*(MOVIMIENTOS!$A$5:$A$1005&lt;=$A640)*MOVIMIENTOS!$E$5:$E$1005)+SUMPRODUCT((MOVIMIENTOS!$B$5:$B$1005="PROCESO")*(MOVIMIENTOS!$C$5:$C$1005="A")*(MOVIMIENTOS!$D$5:$D$1005="jabas")*(MOVIMIENTOS!$A$5:$A$1005&lt;&gt;"")*(MOVIMIENTOS!$A$5:$A$1005&lt;=$A640)*MOVIMIENTOS!$E$5:$E$1005)-SUMPRODUCT((MOVIMIENTOS!$B$5:$B$1005="ENVÍO A SUPESA")*(MOVIMIENTOS!$C$5:$C$1005="A")*(MOVIMIENTOS!$D$5:$D$1005="jabas")*(MOVIMIENTOS!$A$5:$A$1005&lt;&gt;"")*(MOVIMIENTOS!$A$5:$A$1005&lt;=$A640)*MOVIMIENTOS!$E$5:$E$1005)+SUMPRODUCT((MOVIMIENTOS!$B$5:$B$1005="DEVOLUCIÓN")*(MOVIMIENTOS!$C$5:$C$1005="A")*(MOVIMIENTOS!$D$5:$D$1005="jabas")*(MOVIMIENTOS!$A$5:$A$1005&lt;&gt;"")*(MOVIMIENTOS!$A$5:$A$1005&lt;=$A640)*MOVIMIENTOS!$E$5:$E$1005)-SUMPRODUCT((MOVIMIENTOS!$B$5:$B$1005="TRASIEGO")*(MOVIMIENTOS!$C$5:$C$1005="A")*(MOVIMIENTOS!$D$5:$D$1005="jabas")*(MOVIMIENTOS!$A$5:$A$1005&lt;&gt;"")*(MOVIMIENTOS!$A$5:$A$1005&lt;=$A640)*MOVIMIENTOS!$E$5:$E$1005)-SUMPRODUCT((MOVIMIENTOS!$B$5:$B$1005="REGALO")*(MOVIMIENTOS!$C$5:$C$1005="A")*(MOVIMIENTOS!$D$5:$D$1005="jabas")*(MOVIMIENTOS!$A$5:$A$1005&lt;&gt;"")*(MOVIMIENTOS!$A$5:$A$1005&lt;=$A640)*MOVIMIENTOS!$E$5:$E$1005)-SUMPRODUCT((MOVIMIENTOS!$B$5:$B$1005="VENTA")*(MOVIMIENTOS!$C$5:$C$1005="A")*(MOVIMIENTOS!$D$5:$D$1005="jabas")*(MOVIMIENTOS!$A$5:$A$1005&lt;&gt;"")*(MOVIMIENTOS!$A$5:$A$1005&lt;=$A640)*MOVIMIENTOS!$E$5:$E$1005)+SUMPRODUCT((MOVIMIENTOS!$B$5:$B$1005="AJUSTE")*(MOVIMIENTOS!$C$5:$C$1005="A")*(MOVIMIENTOS!$D$5:$D$1005="jabas")*(MOVIMIENTOS!$A$5:$A$1005&lt;&gt;"")*(MOVIMIENTOS!$A$5:$A$1005&lt;=$A640)*MOVIMIENTOS!$E$5:$E$1005))</f>
        <v/>
      </c>
      <c r="C640" t="str">
        <f>IF($A640="","",SUMPRODUCT((MOVIMIENTOS!$B$5:$B$1005="SALDO INICIAL")*(MOVIMIENTOS!$C$5:$C$1005="P")*(MOVIMIENTOS!$D$5:$D$1005="jabas")*(MOVIMIENTOS!$A$5:$A$1005&lt;&gt;"")*(MOVIMIENTOS!$A$5:$A$1005&lt;=$A640)*MOVIMIENTOS!$E$5:$E$1005)+SUMPRODUCT((MOVIMIENTOS!$B$5:$B$1005="PROCESO")*(MOVIMIENTOS!$C$5:$C$1005="P")*(MOVIMIENTOS!$D$5:$D$1005="jabas")*(MOVIMIENTOS!$A$5:$A$1005&lt;&gt;"")*(MOVIMIENTOS!$A$5:$A$1005&lt;=$A640)*MOVIMIENTOS!$E$5:$E$1005)-SUMPRODUCT((MOVIMIENTOS!$B$5:$B$1005="ENVÍO A SUPESA")*(MOVIMIENTOS!$C$5:$C$1005="P")*(MOVIMIENTOS!$D$5:$D$1005="jabas")*(MOVIMIENTOS!$A$5:$A$1005&lt;&gt;"")*(MOVIMIENTOS!$A$5:$A$1005&lt;=$A640)*MOVIMIENTOS!$E$5:$E$1005)+SUMPRODUCT((MOVIMIENTOS!$B$5:$B$1005="DEVOLUCIÓN")*(MOVIMIENTOS!$C$5:$C$1005="P")*(MOVIMIENTOS!$D$5:$D$1005="jabas")*(MOVIMIENTOS!$A$5:$A$1005&lt;&gt;"")*(MOVIMIENTOS!$A$5:$A$1005&lt;=$A640)*MOVIMIENTOS!$E$5:$E$1005)-SUMPRODUCT((MOVIMIENTOS!$B$5:$B$1005="TRASIEGO")*(MOVIMIENTOS!$C$5:$C$1005="P")*(MOVIMIENTOS!$D$5:$D$1005="jabas")*(MOVIMIENTOS!$A$5:$A$1005&lt;&gt;"")*(MOVIMIENTOS!$A$5:$A$1005&lt;=$A640)*MOVIMIENTOS!$E$5:$E$1005)-SUMPRODUCT((MOVIMIENTOS!$B$5:$B$1005="REGALO")*(MOVIMIENTOS!$C$5:$C$1005="P")*(MOVIMIENTOS!$D$5:$D$1005="jabas")*(MOVIMIENTOS!$A$5:$A$1005&lt;&gt;"")*(MOVIMIENTOS!$A$5:$A$1005&lt;=$A640)*MOVIMIENTOS!$E$5:$E$1005)-SUMPRODUCT((MOVIMIENTOS!$B$5:$B$1005="VENTA")*(MOVIMIENTOS!$C$5:$C$1005="P")*(MOVIMIENTOS!$D$5:$D$1005="jabas")*(MOVIMIENTOS!$A$5:$A$1005&lt;&gt;"")*(MOVIMIENTOS!$A$5:$A$1005&lt;=$A640)*MOVIMIENTOS!$E$5:$E$1005)+SUMPRODUCT((MOVIMIENTOS!$B$5:$B$1005="AJUSTE")*(MOVIMIENTOS!$C$5:$C$1005="P")*(MOVIMIENTOS!$D$5:$D$1005="jabas")*(MOVIMIENTOS!$A$5:$A$1005&lt;&gt;"")*(MOVIMIENTOS!$A$5:$A$1005&lt;=$A640)*MOVIMIENTOS!$E$5:$E$1005))</f>
        <v/>
      </c>
      <c r="D640" t="str">
        <f>IF($A640="","",SUMPRODUCT((MOVIMIENTOS!$B$5:$B$1005="SALDO INICIAL")*(MOVIMIENTOS!$C$5:$C$1005="C")*(MOVIMIENTOS!$D$5:$D$1005="jabas")*(MOVIMIENTOS!$A$5:$A$1005&lt;&gt;"")*(MOVIMIENTOS!$A$5:$A$1005&lt;=$A640)*MOVIMIENTOS!$E$5:$E$1005)+SUMPRODUCT((MOVIMIENTOS!$B$5:$B$1005="PROCESO")*(MOVIMIENTOS!$C$5:$C$1005="C")*(MOVIMIENTOS!$D$5:$D$1005="jabas")*(MOVIMIENTOS!$A$5:$A$1005&lt;&gt;"")*(MOVIMIENTOS!$A$5:$A$1005&lt;=$A640)*MOVIMIENTOS!$E$5:$E$1005)-SUMPRODUCT((MOVIMIENTOS!$B$5:$B$1005="ENVÍO A SUPESA")*(MOVIMIENTOS!$C$5:$C$1005="C")*(MOVIMIENTOS!$D$5:$D$1005="jabas")*(MOVIMIENTOS!$A$5:$A$1005&lt;&gt;"")*(MOVIMIENTOS!$A$5:$A$1005&lt;=$A640)*MOVIMIENTOS!$E$5:$E$1005)+SUMPRODUCT((MOVIMIENTOS!$B$5:$B$1005="DEVOLUCIÓN")*(MOVIMIENTOS!$C$5:$C$1005="C")*(MOVIMIENTOS!$D$5:$D$1005="jabas")*(MOVIMIENTOS!$A$5:$A$1005&lt;&gt;"")*(MOVIMIENTOS!$A$5:$A$1005&lt;=$A640)*MOVIMIENTOS!$E$5:$E$1005)-SUMPRODUCT((MOVIMIENTOS!$B$5:$B$1005="TRASIEGO")*(MOVIMIENTOS!$C$5:$C$1005="C")*(MOVIMIENTOS!$D$5:$D$1005="jabas")*(MOVIMIENTOS!$A$5:$A$1005&lt;&gt;"")*(MOVIMIENTOS!$A$5:$A$1005&lt;=$A640)*MOVIMIENTOS!$E$5:$E$1005)-SUMPRODUCT((MOVIMIENTOS!$B$5:$B$1005="REGALO")*(MOVIMIENTOS!$C$5:$C$1005="C")*(MOVIMIENTOS!$D$5:$D$1005="jabas")*(MOVIMIENTOS!$A$5:$A$1005&lt;&gt;"")*(MOVIMIENTOS!$A$5:$A$1005&lt;=$A640)*MOVIMIENTOS!$E$5:$E$1005)-SUMPRODUCT((MOVIMIENTOS!$B$5:$B$1005="VENTA")*(MOVIMIENTOS!$C$5:$C$1005="C")*(MOVIMIENTOS!$D$5:$D$1005="jabas")*(MOVIMIENTOS!$A$5:$A$1005&lt;&gt;"")*(MOVIMIENTOS!$A$5:$A$1005&lt;=$A640)*MOVIMIENTOS!$E$5:$E$1005)+SUMPRODUCT((MOVIMIENTOS!$B$5:$B$1005="AJUSTE")*(MOVIMIENTOS!$C$5:$C$1005="C")*(MOVIMIENTOS!$D$5:$D$1005="jabas")*(MOVIMIENTOS!$A$5:$A$1005&lt;&gt;"")*(MOVIMIENTOS!$A$5:$A$1005&lt;=$A640)*MOVIMIENTOS!$E$5:$E$1005))</f>
        <v/>
      </c>
      <c r="E640" t="str">
        <f>IF($A640="","",SUMPRODUCT((MOVIMIENTOS!$B$5:$B$1005="SALDO INICIAL")*(MOVIMIENTOS!$C$5:$C$1005="M")*(MOVIMIENTOS!$D$5:$D$1005="jabas")*(MOVIMIENTOS!$A$5:$A$1005&lt;&gt;"")*(MOVIMIENTOS!$A$5:$A$1005&lt;=$A640)*MOVIMIENTOS!$E$5:$E$1005)+SUMPRODUCT((MOVIMIENTOS!$B$5:$B$1005="PROCESO")*(MOVIMIENTOS!$C$5:$C$1005="M")*(MOVIMIENTOS!$D$5:$D$1005="jabas")*(MOVIMIENTOS!$A$5:$A$1005&lt;&gt;"")*(MOVIMIENTOS!$A$5:$A$1005&lt;=$A640)*MOVIMIENTOS!$E$5:$E$1005)-SUMPRODUCT((MOVIMIENTOS!$B$5:$B$1005="ENVÍO A SUPESA")*(MOVIMIENTOS!$C$5:$C$1005="M")*(MOVIMIENTOS!$D$5:$D$1005="jabas")*(MOVIMIENTOS!$A$5:$A$1005&lt;&gt;"")*(MOVIMIENTOS!$A$5:$A$1005&lt;=$A640)*MOVIMIENTOS!$E$5:$E$1005)+SUMPRODUCT((MOVIMIENTOS!$B$5:$B$1005="DEVOLUCIÓN")*(MOVIMIENTOS!$C$5:$C$1005="M")*(MOVIMIENTOS!$D$5:$D$1005="jabas")*(MOVIMIENTOS!$A$5:$A$1005&lt;&gt;"")*(MOVIMIENTOS!$A$5:$A$1005&lt;=$A640)*MOVIMIENTOS!$E$5:$E$1005)-SUMPRODUCT((MOVIMIENTOS!$B$5:$B$1005="TRASIEGO")*(MOVIMIENTOS!$C$5:$C$1005="M")*(MOVIMIENTOS!$D$5:$D$1005="jabas")*(MOVIMIENTOS!$A$5:$A$1005&lt;&gt;"")*(MOVIMIENTOS!$A$5:$A$1005&lt;=$A640)*MOVIMIENTOS!$E$5:$E$1005)-SUMPRODUCT((MOVIMIENTOS!$B$5:$B$1005="REGALO")*(MOVIMIENTOS!$C$5:$C$1005="M")*(MOVIMIENTOS!$D$5:$D$1005="jabas")*(MOVIMIENTOS!$A$5:$A$1005&lt;&gt;"")*(MOVIMIENTOS!$A$5:$A$1005&lt;=$A640)*MOVIMIENTOS!$E$5:$E$1005)-SUMPRODUCT((MOVIMIENTOS!$B$5:$B$1005="VENTA")*(MOVIMIENTOS!$C$5:$C$1005="M")*(MOVIMIENTOS!$D$5:$D$1005="jabas")*(MOVIMIENTOS!$A$5:$A$1005&lt;&gt;"")*(MOVIMIENTOS!$A$5:$A$1005&lt;=$A640)*MOVIMIENTOS!$E$5:$E$1005)+SUMPRODUCT((MOVIMIENTOS!$B$5:$B$1005="AJUSTE")*(MOVIMIENTOS!$C$5:$C$1005="M")*(MOVIMIENTOS!$D$5:$D$1005="jabas")*(MOVIMIENTOS!$A$5:$A$1005&lt;&gt;"")*(MOVIMIENTOS!$A$5:$A$1005&lt;=$A640)*MOVIMIENTOS!$E$5:$E$1005))</f>
        <v/>
      </c>
      <c r="F640" s="62" t="str">
        <f>IF($A640="","",SUMPRODUCT((MOVIMIENTOS!$B$5:$B$1005="SALDO INICIAL")*(MOVIMIENTOS!$C$5:$C$1005="Chancho")*(MOVIMIENTOS!$D$5:$D$1005="sacos")*(MOVIMIENTOS!$A$5:$A$1005&lt;&gt;"")*(MOVIMIENTOS!$A$5:$A$1005&lt;=$A640)*MOVIMIENTOS!$E$5:$E$1005)+SUMPRODUCT((MOVIMIENTOS!$B$5:$B$1005="PROCESO")*(MOVIMIENTOS!$C$5:$C$1005="Chancho")*(MOVIMIENTOS!$D$5:$D$1005="sacos")*(MOVIMIENTOS!$A$5:$A$1005&lt;&gt;"")*(MOVIMIENTOS!$A$5:$A$1005&lt;=$A640)*MOVIMIENTOS!$E$5:$E$1005)-SUMPRODUCT((MOVIMIENTOS!$B$5:$B$1005="VENTA CHANCHO")*(MOVIMIENTOS!$C$5:$C$1005="Chancho")*(MOVIMIENTOS!$D$5:$D$1005="sacos")*(MOVIMIENTOS!$A$5:$A$1005&lt;&gt;"")*(MOVIMIENTOS!$A$5:$A$1005&lt;=$A640)*MOVIMIENTOS!$E$5:$E$1005)-SUMPRODUCT((MOVIMIENTOS!$B$5:$B$1005="REGALO")*(MOVIMIENTOS!$C$5:$C$1005="Chancho")*(MOVIMIENTOS!$D$5:$D$1005="sacos")*(MOVIMIENTOS!$A$5:$A$1005&lt;&gt;"")*(MOVIMIENTOS!$A$5:$A$1005&lt;=$A640)*MOVIMIENTOS!$E$5:$E$1005)-SUMPRODUCT((MOVIMIENTOS!$B$5:$B$1005="VENTA")*(MOVIMIENTOS!$C$5:$C$1005="Chancho")*(MOVIMIENTOS!$D$5:$D$1005="sacos")*(MOVIMIENTOS!$A$5:$A$1005&lt;&gt;"")*(MOVIMIENTOS!$A$5:$A$1005&lt;=$A640)*MOVIMIENTOS!$E$5:$E$1005)+SUMPRODUCT((MOVIMIENTOS!$B$5:$B$1005="AJUSTE")*(MOVIMIENTOS!$C$5:$C$1005="Chancho")*(MOVIMIENTOS!$D$5:$D$1005="sacos")*(MOVIMIENTOS!$A$5:$A$1005&lt;&gt;"")*(MOVIMIENTOS!$A$5:$A$1005&lt;=$A640)*MOVIMIENTOS!$E$5:$E$1005))</f>
        <v/>
      </c>
      <c r="G640" s="62" t="str">
        <f t="shared" si="19"/>
        <v/>
      </c>
      <c r="H640" t="str">
        <f>IF($A640="","",SUMPRODUCT((((MOVIMIENTOS!$B$5:$B$1005="SALDO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640)*MOVIMIENTOS!$J$5:$J$1005))</f>
        <v/>
      </c>
      <c r="J640" t="str">
        <f>IF(AND(MOVIMIENTOS!$A645&lt;&gt;"",COUNTIF(MOVIMIENTOS!$A$5:$A644,MOVIMIENTOS!$A645)=0),COUNT(J$4:J639)+1,"")</f>
        <v/>
      </c>
      <c r="K640">
        <f>MOVIMIENTOS!$A645</f>
        <v>0</v>
      </c>
    </row>
    <row r="641" spans="1:11" ht="15" customHeight="1" x14ac:dyDescent="0.2">
      <c r="A641" t="str">
        <f t="shared" si="18"/>
        <v/>
      </c>
      <c r="B641" t="str">
        <f>IF($A641="","",SUMPRODUCT((MOVIMIENTOS!$B$5:$B$1005="SALDO INICIAL")*(MOVIMIENTOS!$C$5:$C$1005="A")*(MOVIMIENTOS!$D$5:$D$1005="jabas")*(MOVIMIENTOS!$A$5:$A$1005&lt;&gt;"")*(MOVIMIENTOS!$A$5:$A$1005&lt;=$A641)*MOVIMIENTOS!$E$5:$E$1005)+SUMPRODUCT((MOVIMIENTOS!$B$5:$B$1005="PROCESO")*(MOVIMIENTOS!$C$5:$C$1005="A")*(MOVIMIENTOS!$D$5:$D$1005="jabas")*(MOVIMIENTOS!$A$5:$A$1005&lt;&gt;"")*(MOVIMIENTOS!$A$5:$A$1005&lt;=$A641)*MOVIMIENTOS!$E$5:$E$1005)-SUMPRODUCT((MOVIMIENTOS!$B$5:$B$1005="ENVÍO A SUPESA")*(MOVIMIENTOS!$C$5:$C$1005="A")*(MOVIMIENTOS!$D$5:$D$1005="jabas")*(MOVIMIENTOS!$A$5:$A$1005&lt;&gt;"")*(MOVIMIENTOS!$A$5:$A$1005&lt;=$A641)*MOVIMIENTOS!$E$5:$E$1005)+SUMPRODUCT((MOVIMIENTOS!$B$5:$B$1005="DEVOLUCIÓN")*(MOVIMIENTOS!$C$5:$C$1005="A")*(MOVIMIENTOS!$D$5:$D$1005="jabas")*(MOVIMIENTOS!$A$5:$A$1005&lt;&gt;"")*(MOVIMIENTOS!$A$5:$A$1005&lt;=$A641)*MOVIMIENTOS!$E$5:$E$1005)-SUMPRODUCT((MOVIMIENTOS!$B$5:$B$1005="TRASIEGO")*(MOVIMIENTOS!$C$5:$C$1005="A")*(MOVIMIENTOS!$D$5:$D$1005="jabas")*(MOVIMIENTOS!$A$5:$A$1005&lt;&gt;"")*(MOVIMIENTOS!$A$5:$A$1005&lt;=$A641)*MOVIMIENTOS!$E$5:$E$1005)-SUMPRODUCT((MOVIMIENTOS!$B$5:$B$1005="REGALO")*(MOVIMIENTOS!$C$5:$C$1005="A")*(MOVIMIENTOS!$D$5:$D$1005="jabas")*(MOVIMIENTOS!$A$5:$A$1005&lt;&gt;"")*(MOVIMIENTOS!$A$5:$A$1005&lt;=$A641)*MOVIMIENTOS!$E$5:$E$1005)-SUMPRODUCT((MOVIMIENTOS!$B$5:$B$1005="VENTA")*(MOVIMIENTOS!$C$5:$C$1005="A")*(MOVIMIENTOS!$D$5:$D$1005="jabas")*(MOVIMIENTOS!$A$5:$A$1005&lt;&gt;"")*(MOVIMIENTOS!$A$5:$A$1005&lt;=$A641)*MOVIMIENTOS!$E$5:$E$1005)+SUMPRODUCT((MOVIMIENTOS!$B$5:$B$1005="AJUSTE")*(MOVIMIENTOS!$C$5:$C$1005="A")*(MOVIMIENTOS!$D$5:$D$1005="jabas")*(MOVIMIENTOS!$A$5:$A$1005&lt;&gt;"")*(MOVIMIENTOS!$A$5:$A$1005&lt;=$A641)*MOVIMIENTOS!$E$5:$E$1005))</f>
        <v/>
      </c>
      <c r="C641" t="str">
        <f>IF($A641="","",SUMPRODUCT((MOVIMIENTOS!$B$5:$B$1005="SALDO INICIAL")*(MOVIMIENTOS!$C$5:$C$1005="P")*(MOVIMIENTOS!$D$5:$D$1005="jabas")*(MOVIMIENTOS!$A$5:$A$1005&lt;&gt;"")*(MOVIMIENTOS!$A$5:$A$1005&lt;=$A641)*MOVIMIENTOS!$E$5:$E$1005)+SUMPRODUCT((MOVIMIENTOS!$B$5:$B$1005="PROCESO")*(MOVIMIENTOS!$C$5:$C$1005="P")*(MOVIMIENTOS!$D$5:$D$1005="jabas")*(MOVIMIENTOS!$A$5:$A$1005&lt;&gt;"")*(MOVIMIENTOS!$A$5:$A$1005&lt;=$A641)*MOVIMIENTOS!$E$5:$E$1005)-SUMPRODUCT((MOVIMIENTOS!$B$5:$B$1005="ENVÍO A SUPESA")*(MOVIMIENTOS!$C$5:$C$1005="P")*(MOVIMIENTOS!$D$5:$D$1005="jabas")*(MOVIMIENTOS!$A$5:$A$1005&lt;&gt;"")*(MOVIMIENTOS!$A$5:$A$1005&lt;=$A641)*MOVIMIENTOS!$E$5:$E$1005)+SUMPRODUCT((MOVIMIENTOS!$B$5:$B$1005="DEVOLUCIÓN")*(MOVIMIENTOS!$C$5:$C$1005="P")*(MOVIMIENTOS!$D$5:$D$1005="jabas")*(MOVIMIENTOS!$A$5:$A$1005&lt;&gt;"")*(MOVIMIENTOS!$A$5:$A$1005&lt;=$A641)*MOVIMIENTOS!$E$5:$E$1005)-SUMPRODUCT((MOVIMIENTOS!$B$5:$B$1005="TRASIEGO")*(MOVIMIENTOS!$C$5:$C$1005="P")*(MOVIMIENTOS!$D$5:$D$1005="jabas")*(MOVIMIENTOS!$A$5:$A$1005&lt;&gt;"")*(MOVIMIENTOS!$A$5:$A$1005&lt;=$A641)*MOVIMIENTOS!$E$5:$E$1005)-SUMPRODUCT((MOVIMIENTOS!$B$5:$B$1005="REGALO")*(MOVIMIENTOS!$C$5:$C$1005="P")*(MOVIMIENTOS!$D$5:$D$1005="jabas")*(MOVIMIENTOS!$A$5:$A$1005&lt;&gt;"")*(MOVIMIENTOS!$A$5:$A$1005&lt;=$A641)*MOVIMIENTOS!$E$5:$E$1005)-SUMPRODUCT((MOVIMIENTOS!$B$5:$B$1005="VENTA")*(MOVIMIENTOS!$C$5:$C$1005="P")*(MOVIMIENTOS!$D$5:$D$1005="jabas")*(MOVIMIENTOS!$A$5:$A$1005&lt;&gt;"")*(MOVIMIENTOS!$A$5:$A$1005&lt;=$A641)*MOVIMIENTOS!$E$5:$E$1005)+SUMPRODUCT((MOVIMIENTOS!$B$5:$B$1005="AJUSTE")*(MOVIMIENTOS!$C$5:$C$1005="P")*(MOVIMIENTOS!$D$5:$D$1005="jabas")*(MOVIMIENTOS!$A$5:$A$1005&lt;&gt;"")*(MOVIMIENTOS!$A$5:$A$1005&lt;=$A641)*MOVIMIENTOS!$E$5:$E$1005))</f>
        <v/>
      </c>
      <c r="D641" t="str">
        <f>IF($A641="","",SUMPRODUCT((MOVIMIENTOS!$B$5:$B$1005="SALDO INICIAL")*(MOVIMIENTOS!$C$5:$C$1005="C")*(MOVIMIENTOS!$D$5:$D$1005="jabas")*(MOVIMIENTOS!$A$5:$A$1005&lt;&gt;"")*(MOVIMIENTOS!$A$5:$A$1005&lt;=$A641)*MOVIMIENTOS!$E$5:$E$1005)+SUMPRODUCT((MOVIMIENTOS!$B$5:$B$1005="PROCESO")*(MOVIMIENTOS!$C$5:$C$1005="C")*(MOVIMIENTOS!$D$5:$D$1005="jabas")*(MOVIMIENTOS!$A$5:$A$1005&lt;&gt;"")*(MOVIMIENTOS!$A$5:$A$1005&lt;=$A641)*MOVIMIENTOS!$E$5:$E$1005)-SUMPRODUCT((MOVIMIENTOS!$B$5:$B$1005="ENVÍO A SUPESA")*(MOVIMIENTOS!$C$5:$C$1005="C")*(MOVIMIENTOS!$D$5:$D$1005="jabas")*(MOVIMIENTOS!$A$5:$A$1005&lt;&gt;"")*(MOVIMIENTOS!$A$5:$A$1005&lt;=$A641)*MOVIMIENTOS!$E$5:$E$1005)+SUMPRODUCT((MOVIMIENTOS!$B$5:$B$1005="DEVOLUCIÓN")*(MOVIMIENTOS!$C$5:$C$1005="C")*(MOVIMIENTOS!$D$5:$D$1005="jabas")*(MOVIMIENTOS!$A$5:$A$1005&lt;&gt;"")*(MOVIMIENTOS!$A$5:$A$1005&lt;=$A641)*MOVIMIENTOS!$E$5:$E$1005)-SUMPRODUCT((MOVIMIENTOS!$B$5:$B$1005="TRASIEGO")*(MOVIMIENTOS!$C$5:$C$1005="C")*(MOVIMIENTOS!$D$5:$D$1005="jabas")*(MOVIMIENTOS!$A$5:$A$1005&lt;&gt;"")*(MOVIMIENTOS!$A$5:$A$1005&lt;=$A641)*MOVIMIENTOS!$E$5:$E$1005)-SUMPRODUCT((MOVIMIENTOS!$B$5:$B$1005="REGALO")*(MOVIMIENTOS!$C$5:$C$1005="C")*(MOVIMIENTOS!$D$5:$D$1005="jabas")*(MOVIMIENTOS!$A$5:$A$1005&lt;&gt;"")*(MOVIMIENTOS!$A$5:$A$1005&lt;=$A641)*MOVIMIENTOS!$E$5:$E$1005)-SUMPRODUCT((MOVIMIENTOS!$B$5:$B$1005="VENTA")*(MOVIMIENTOS!$C$5:$C$1005="C")*(MOVIMIENTOS!$D$5:$D$1005="jabas")*(MOVIMIENTOS!$A$5:$A$1005&lt;&gt;"")*(MOVIMIENTOS!$A$5:$A$1005&lt;=$A641)*MOVIMIENTOS!$E$5:$E$1005)+SUMPRODUCT((MOVIMIENTOS!$B$5:$B$1005="AJUSTE")*(MOVIMIENTOS!$C$5:$C$1005="C")*(MOVIMIENTOS!$D$5:$D$1005="jabas")*(MOVIMIENTOS!$A$5:$A$1005&lt;&gt;"")*(MOVIMIENTOS!$A$5:$A$1005&lt;=$A641)*MOVIMIENTOS!$E$5:$E$1005))</f>
        <v/>
      </c>
      <c r="E641" t="str">
        <f>IF($A641="","",SUMPRODUCT((MOVIMIENTOS!$B$5:$B$1005="SALDO INICIAL")*(MOVIMIENTOS!$C$5:$C$1005="M")*(MOVIMIENTOS!$D$5:$D$1005="jabas")*(MOVIMIENTOS!$A$5:$A$1005&lt;&gt;"")*(MOVIMIENTOS!$A$5:$A$1005&lt;=$A641)*MOVIMIENTOS!$E$5:$E$1005)+SUMPRODUCT((MOVIMIENTOS!$B$5:$B$1005="PROCESO")*(MOVIMIENTOS!$C$5:$C$1005="M")*(MOVIMIENTOS!$D$5:$D$1005="jabas")*(MOVIMIENTOS!$A$5:$A$1005&lt;&gt;"")*(MOVIMIENTOS!$A$5:$A$1005&lt;=$A641)*MOVIMIENTOS!$E$5:$E$1005)-SUMPRODUCT((MOVIMIENTOS!$B$5:$B$1005="ENVÍO A SUPESA")*(MOVIMIENTOS!$C$5:$C$1005="M")*(MOVIMIENTOS!$D$5:$D$1005="jabas")*(MOVIMIENTOS!$A$5:$A$1005&lt;&gt;"")*(MOVIMIENTOS!$A$5:$A$1005&lt;=$A641)*MOVIMIENTOS!$E$5:$E$1005)+SUMPRODUCT((MOVIMIENTOS!$B$5:$B$1005="DEVOLUCIÓN")*(MOVIMIENTOS!$C$5:$C$1005="M")*(MOVIMIENTOS!$D$5:$D$1005="jabas")*(MOVIMIENTOS!$A$5:$A$1005&lt;&gt;"")*(MOVIMIENTOS!$A$5:$A$1005&lt;=$A641)*MOVIMIENTOS!$E$5:$E$1005)-SUMPRODUCT((MOVIMIENTOS!$B$5:$B$1005="TRASIEGO")*(MOVIMIENTOS!$C$5:$C$1005="M")*(MOVIMIENTOS!$D$5:$D$1005="jabas")*(MOVIMIENTOS!$A$5:$A$1005&lt;&gt;"")*(MOVIMIENTOS!$A$5:$A$1005&lt;=$A641)*MOVIMIENTOS!$E$5:$E$1005)-SUMPRODUCT((MOVIMIENTOS!$B$5:$B$1005="REGALO")*(MOVIMIENTOS!$C$5:$C$1005="M")*(MOVIMIENTOS!$D$5:$D$1005="jabas")*(MOVIMIENTOS!$A$5:$A$1005&lt;&gt;"")*(MOVIMIENTOS!$A$5:$A$1005&lt;=$A641)*MOVIMIENTOS!$E$5:$E$1005)-SUMPRODUCT((MOVIMIENTOS!$B$5:$B$1005="VENTA")*(MOVIMIENTOS!$C$5:$C$1005="M")*(MOVIMIENTOS!$D$5:$D$1005="jabas")*(MOVIMIENTOS!$A$5:$A$1005&lt;&gt;"")*(MOVIMIENTOS!$A$5:$A$1005&lt;=$A641)*MOVIMIENTOS!$E$5:$E$1005)+SUMPRODUCT((MOVIMIENTOS!$B$5:$B$1005="AJUSTE")*(MOVIMIENTOS!$C$5:$C$1005="M")*(MOVIMIENTOS!$D$5:$D$1005="jabas")*(MOVIMIENTOS!$A$5:$A$1005&lt;&gt;"")*(MOVIMIENTOS!$A$5:$A$1005&lt;=$A641)*MOVIMIENTOS!$E$5:$E$1005))</f>
        <v/>
      </c>
      <c r="F641" s="62" t="str">
        <f>IF($A641="","",SUMPRODUCT((MOVIMIENTOS!$B$5:$B$1005="SALDO INICIAL")*(MOVIMIENTOS!$C$5:$C$1005="Chancho")*(MOVIMIENTOS!$D$5:$D$1005="sacos")*(MOVIMIENTOS!$A$5:$A$1005&lt;&gt;"")*(MOVIMIENTOS!$A$5:$A$1005&lt;=$A641)*MOVIMIENTOS!$E$5:$E$1005)+SUMPRODUCT((MOVIMIENTOS!$B$5:$B$1005="PROCESO")*(MOVIMIENTOS!$C$5:$C$1005="Chancho")*(MOVIMIENTOS!$D$5:$D$1005="sacos")*(MOVIMIENTOS!$A$5:$A$1005&lt;&gt;"")*(MOVIMIENTOS!$A$5:$A$1005&lt;=$A641)*MOVIMIENTOS!$E$5:$E$1005)-SUMPRODUCT((MOVIMIENTOS!$B$5:$B$1005="VENTA CHANCHO")*(MOVIMIENTOS!$C$5:$C$1005="Chancho")*(MOVIMIENTOS!$D$5:$D$1005="sacos")*(MOVIMIENTOS!$A$5:$A$1005&lt;&gt;"")*(MOVIMIENTOS!$A$5:$A$1005&lt;=$A641)*MOVIMIENTOS!$E$5:$E$1005)-SUMPRODUCT((MOVIMIENTOS!$B$5:$B$1005="REGALO")*(MOVIMIENTOS!$C$5:$C$1005="Chancho")*(MOVIMIENTOS!$D$5:$D$1005="sacos")*(MOVIMIENTOS!$A$5:$A$1005&lt;&gt;"")*(MOVIMIENTOS!$A$5:$A$1005&lt;=$A641)*MOVIMIENTOS!$E$5:$E$1005)-SUMPRODUCT((MOVIMIENTOS!$B$5:$B$1005="VENTA")*(MOVIMIENTOS!$C$5:$C$1005="Chancho")*(MOVIMIENTOS!$D$5:$D$1005="sacos")*(MOVIMIENTOS!$A$5:$A$1005&lt;&gt;"")*(MOVIMIENTOS!$A$5:$A$1005&lt;=$A641)*MOVIMIENTOS!$E$5:$E$1005)+SUMPRODUCT((MOVIMIENTOS!$B$5:$B$1005="AJUSTE")*(MOVIMIENTOS!$C$5:$C$1005="Chancho")*(MOVIMIENTOS!$D$5:$D$1005="sacos")*(MOVIMIENTOS!$A$5:$A$1005&lt;&gt;"")*(MOVIMIENTOS!$A$5:$A$1005&lt;=$A641)*MOVIMIENTOS!$E$5:$E$1005))</f>
        <v/>
      </c>
      <c r="G641" s="62" t="str">
        <f t="shared" si="19"/>
        <v/>
      </c>
      <c r="H641" t="str">
        <f>IF($A641="","",SUMPRODUCT((((MOVIMIENTOS!$B$5:$B$1005="SALDO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641)*MOVIMIENTOS!$J$5:$J$1005))</f>
        <v/>
      </c>
      <c r="J641" t="str">
        <f>IF(AND(MOVIMIENTOS!$A646&lt;&gt;"",COUNTIF(MOVIMIENTOS!$A$5:$A645,MOVIMIENTOS!$A646)=0),COUNT(J$4:J640)+1,"")</f>
        <v/>
      </c>
      <c r="K641">
        <f>MOVIMIENTOS!$A646</f>
        <v>0</v>
      </c>
    </row>
    <row r="642" spans="1:11" ht="15" customHeight="1" x14ac:dyDescent="0.2">
      <c r="A642" t="str">
        <f t="shared" si="18"/>
        <v/>
      </c>
      <c r="B642" t="str">
        <f>IF($A642="","",SUMPRODUCT((MOVIMIENTOS!$B$5:$B$1005="SALDO INICIAL")*(MOVIMIENTOS!$C$5:$C$1005="A")*(MOVIMIENTOS!$D$5:$D$1005="jabas")*(MOVIMIENTOS!$A$5:$A$1005&lt;&gt;"")*(MOVIMIENTOS!$A$5:$A$1005&lt;=$A642)*MOVIMIENTOS!$E$5:$E$1005)+SUMPRODUCT((MOVIMIENTOS!$B$5:$B$1005="PROCESO")*(MOVIMIENTOS!$C$5:$C$1005="A")*(MOVIMIENTOS!$D$5:$D$1005="jabas")*(MOVIMIENTOS!$A$5:$A$1005&lt;&gt;"")*(MOVIMIENTOS!$A$5:$A$1005&lt;=$A642)*MOVIMIENTOS!$E$5:$E$1005)-SUMPRODUCT((MOVIMIENTOS!$B$5:$B$1005="ENVÍO A SUPESA")*(MOVIMIENTOS!$C$5:$C$1005="A")*(MOVIMIENTOS!$D$5:$D$1005="jabas")*(MOVIMIENTOS!$A$5:$A$1005&lt;&gt;"")*(MOVIMIENTOS!$A$5:$A$1005&lt;=$A642)*MOVIMIENTOS!$E$5:$E$1005)+SUMPRODUCT((MOVIMIENTOS!$B$5:$B$1005="DEVOLUCIÓN")*(MOVIMIENTOS!$C$5:$C$1005="A")*(MOVIMIENTOS!$D$5:$D$1005="jabas")*(MOVIMIENTOS!$A$5:$A$1005&lt;&gt;"")*(MOVIMIENTOS!$A$5:$A$1005&lt;=$A642)*MOVIMIENTOS!$E$5:$E$1005)-SUMPRODUCT((MOVIMIENTOS!$B$5:$B$1005="TRASIEGO")*(MOVIMIENTOS!$C$5:$C$1005="A")*(MOVIMIENTOS!$D$5:$D$1005="jabas")*(MOVIMIENTOS!$A$5:$A$1005&lt;&gt;"")*(MOVIMIENTOS!$A$5:$A$1005&lt;=$A642)*MOVIMIENTOS!$E$5:$E$1005)-SUMPRODUCT((MOVIMIENTOS!$B$5:$B$1005="REGALO")*(MOVIMIENTOS!$C$5:$C$1005="A")*(MOVIMIENTOS!$D$5:$D$1005="jabas")*(MOVIMIENTOS!$A$5:$A$1005&lt;&gt;"")*(MOVIMIENTOS!$A$5:$A$1005&lt;=$A642)*MOVIMIENTOS!$E$5:$E$1005)-SUMPRODUCT((MOVIMIENTOS!$B$5:$B$1005="VENTA")*(MOVIMIENTOS!$C$5:$C$1005="A")*(MOVIMIENTOS!$D$5:$D$1005="jabas")*(MOVIMIENTOS!$A$5:$A$1005&lt;&gt;"")*(MOVIMIENTOS!$A$5:$A$1005&lt;=$A642)*MOVIMIENTOS!$E$5:$E$1005)+SUMPRODUCT((MOVIMIENTOS!$B$5:$B$1005="AJUSTE")*(MOVIMIENTOS!$C$5:$C$1005="A")*(MOVIMIENTOS!$D$5:$D$1005="jabas")*(MOVIMIENTOS!$A$5:$A$1005&lt;&gt;"")*(MOVIMIENTOS!$A$5:$A$1005&lt;=$A642)*MOVIMIENTOS!$E$5:$E$1005))</f>
        <v/>
      </c>
      <c r="C642" t="str">
        <f>IF($A642="","",SUMPRODUCT((MOVIMIENTOS!$B$5:$B$1005="SALDO INICIAL")*(MOVIMIENTOS!$C$5:$C$1005="P")*(MOVIMIENTOS!$D$5:$D$1005="jabas")*(MOVIMIENTOS!$A$5:$A$1005&lt;&gt;"")*(MOVIMIENTOS!$A$5:$A$1005&lt;=$A642)*MOVIMIENTOS!$E$5:$E$1005)+SUMPRODUCT((MOVIMIENTOS!$B$5:$B$1005="PROCESO")*(MOVIMIENTOS!$C$5:$C$1005="P")*(MOVIMIENTOS!$D$5:$D$1005="jabas")*(MOVIMIENTOS!$A$5:$A$1005&lt;&gt;"")*(MOVIMIENTOS!$A$5:$A$1005&lt;=$A642)*MOVIMIENTOS!$E$5:$E$1005)-SUMPRODUCT((MOVIMIENTOS!$B$5:$B$1005="ENVÍO A SUPESA")*(MOVIMIENTOS!$C$5:$C$1005="P")*(MOVIMIENTOS!$D$5:$D$1005="jabas")*(MOVIMIENTOS!$A$5:$A$1005&lt;&gt;"")*(MOVIMIENTOS!$A$5:$A$1005&lt;=$A642)*MOVIMIENTOS!$E$5:$E$1005)+SUMPRODUCT((MOVIMIENTOS!$B$5:$B$1005="DEVOLUCIÓN")*(MOVIMIENTOS!$C$5:$C$1005="P")*(MOVIMIENTOS!$D$5:$D$1005="jabas")*(MOVIMIENTOS!$A$5:$A$1005&lt;&gt;"")*(MOVIMIENTOS!$A$5:$A$1005&lt;=$A642)*MOVIMIENTOS!$E$5:$E$1005)-SUMPRODUCT((MOVIMIENTOS!$B$5:$B$1005="TRASIEGO")*(MOVIMIENTOS!$C$5:$C$1005="P")*(MOVIMIENTOS!$D$5:$D$1005="jabas")*(MOVIMIENTOS!$A$5:$A$1005&lt;&gt;"")*(MOVIMIENTOS!$A$5:$A$1005&lt;=$A642)*MOVIMIENTOS!$E$5:$E$1005)-SUMPRODUCT((MOVIMIENTOS!$B$5:$B$1005="REGALO")*(MOVIMIENTOS!$C$5:$C$1005="P")*(MOVIMIENTOS!$D$5:$D$1005="jabas")*(MOVIMIENTOS!$A$5:$A$1005&lt;&gt;"")*(MOVIMIENTOS!$A$5:$A$1005&lt;=$A642)*MOVIMIENTOS!$E$5:$E$1005)-SUMPRODUCT((MOVIMIENTOS!$B$5:$B$1005="VENTA")*(MOVIMIENTOS!$C$5:$C$1005="P")*(MOVIMIENTOS!$D$5:$D$1005="jabas")*(MOVIMIENTOS!$A$5:$A$1005&lt;&gt;"")*(MOVIMIENTOS!$A$5:$A$1005&lt;=$A642)*MOVIMIENTOS!$E$5:$E$1005)+SUMPRODUCT((MOVIMIENTOS!$B$5:$B$1005="AJUSTE")*(MOVIMIENTOS!$C$5:$C$1005="P")*(MOVIMIENTOS!$D$5:$D$1005="jabas")*(MOVIMIENTOS!$A$5:$A$1005&lt;&gt;"")*(MOVIMIENTOS!$A$5:$A$1005&lt;=$A642)*MOVIMIENTOS!$E$5:$E$1005))</f>
        <v/>
      </c>
      <c r="D642" t="str">
        <f>IF($A642="","",SUMPRODUCT((MOVIMIENTOS!$B$5:$B$1005="SALDO INICIAL")*(MOVIMIENTOS!$C$5:$C$1005="C")*(MOVIMIENTOS!$D$5:$D$1005="jabas")*(MOVIMIENTOS!$A$5:$A$1005&lt;&gt;"")*(MOVIMIENTOS!$A$5:$A$1005&lt;=$A642)*MOVIMIENTOS!$E$5:$E$1005)+SUMPRODUCT((MOVIMIENTOS!$B$5:$B$1005="PROCESO")*(MOVIMIENTOS!$C$5:$C$1005="C")*(MOVIMIENTOS!$D$5:$D$1005="jabas")*(MOVIMIENTOS!$A$5:$A$1005&lt;&gt;"")*(MOVIMIENTOS!$A$5:$A$1005&lt;=$A642)*MOVIMIENTOS!$E$5:$E$1005)-SUMPRODUCT((MOVIMIENTOS!$B$5:$B$1005="ENVÍO A SUPESA")*(MOVIMIENTOS!$C$5:$C$1005="C")*(MOVIMIENTOS!$D$5:$D$1005="jabas")*(MOVIMIENTOS!$A$5:$A$1005&lt;&gt;"")*(MOVIMIENTOS!$A$5:$A$1005&lt;=$A642)*MOVIMIENTOS!$E$5:$E$1005)+SUMPRODUCT((MOVIMIENTOS!$B$5:$B$1005="DEVOLUCIÓN")*(MOVIMIENTOS!$C$5:$C$1005="C")*(MOVIMIENTOS!$D$5:$D$1005="jabas")*(MOVIMIENTOS!$A$5:$A$1005&lt;&gt;"")*(MOVIMIENTOS!$A$5:$A$1005&lt;=$A642)*MOVIMIENTOS!$E$5:$E$1005)-SUMPRODUCT((MOVIMIENTOS!$B$5:$B$1005="TRASIEGO")*(MOVIMIENTOS!$C$5:$C$1005="C")*(MOVIMIENTOS!$D$5:$D$1005="jabas")*(MOVIMIENTOS!$A$5:$A$1005&lt;&gt;"")*(MOVIMIENTOS!$A$5:$A$1005&lt;=$A642)*MOVIMIENTOS!$E$5:$E$1005)-SUMPRODUCT((MOVIMIENTOS!$B$5:$B$1005="REGALO")*(MOVIMIENTOS!$C$5:$C$1005="C")*(MOVIMIENTOS!$D$5:$D$1005="jabas")*(MOVIMIENTOS!$A$5:$A$1005&lt;&gt;"")*(MOVIMIENTOS!$A$5:$A$1005&lt;=$A642)*MOVIMIENTOS!$E$5:$E$1005)-SUMPRODUCT((MOVIMIENTOS!$B$5:$B$1005="VENTA")*(MOVIMIENTOS!$C$5:$C$1005="C")*(MOVIMIENTOS!$D$5:$D$1005="jabas")*(MOVIMIENTOS!$A$5:$A$1005&lt;&gt;"")*(MOVIMIENTOS!$A$5:$A$1005&lt;=$A642)*MOVIMIENTOS!$E$5:$E$1005)+SUMPRODUCT((MOVIMIENTOS!$B$5:$B$1005="AJUSTE")*(MOVIMIENTOS!$C$5:$C$1005="C")*(MOVIMIENTOS!$D$5:$D$1005="jabas")*(MOVIMIENTOS!$A$5:$A$1005&lt;&gt;"")*(MOVIMIENTOS!$A$5:$A$1005&lt;=$A642)*MOVIMIENTOS!$E$5:$E$1005))</f>
        <v/>
      </c>
      <c r="E642" t="str">
        <f>IF($A642="","",SUMPRODUCT((MOVIMIENTOS!$B$5:$B$1005="SALDO INICIAL")*(MOVIMIENTOS!$C$5:$C$1005="M")*(MOVIMIENTOS!$D$5:$D$1005="jabas")*(MOVIMIENTOS!$A$5:$A$1005&lt;&gt;"")*(MOVIMIENTOS!$A$5:$A$1005&lt;=$A642)*MOVIMIENTOS!$E$5:$E$1005)+SUMPRODUCT((MOVIMIENTOS!$B$5:$B$1005="PROCESO")*(MOVIMIENTOS!$C$5:$C$1005="M")*(MOVIMIENTOS!$D$5:$D$1005="jabas")*(MOVIMIENTOS!$A$5:$A$1005&lt;&gt;"")*(MOVIMIENTOS!$A$5:$A$1005&lt;=$A642)*MOVIMIENTOS!$E$5:$E$1005)-SUMPRODUCT((MOVIMIENTOS!$B$5:$B$1005="ENVÍO A SUPESA")*(MOVIMIENTOS!$C$5:$C$1005="M")*(MOVIMIENTOS!$D$5:$D$1005="jabas")*(MOVIMIENTOS!$A$5:$A$1005&lt;&gt;"")*(MOVIMIENTOS!$A$5:$A$1005&lt;=$A642)*MOVIMIENTOS!$E$5:$E$1005)+SUMPRODUCT((MOVIMIENTOS!$B$5:$B$1005="DEVOLUCIÓN")*(MOVIMIENTOS!$C$5:$C$1005="M")*(MOVIMIENTOS!$D$5:$D$1005="jabas")*(MOVIMIENTOS!$A$5:$A$1005&lt;&gt;"")*(MOVIMIENTOS!$A$5:$A$1005&lt;=$A642)*MOVIMIENTOS!$E$5:$E$1005)-SUMPRODUCT((MOVIMIENTOS!$B$5:$B$1005="TRASIEGO")*(MOVIMIENTOS!$C$5:$C$1005="M")*(MOVIMIENTOS!$D$5:$D$1005="jabas")*(MOVIMIENTOS!$A$5:$A$1005&lt;&gt;"")*(MOVIMIENTOS!$A$5:$A$1005&lt;=$A642)*MOVIMIENTOS!$E$5:$E$1005)-SUMPRODUCT((MOVIMIENTOS!$B$5:$B$1005="REGALO")*(MOVIMIENTOS!$C$5:$C$1005="M")*(MOVIMIENTOS!$D$5:$D$1005="jabas")*(MOVIMIENTOS!$A$5:$A$1005&lt;&gt;"")*(MOVIMIENTOS!$A$5:$A$1005&lt;=$A642)*MOVIMIENTOS!$E$5:$E$1005)-SUMPRODUCT((MOVIMIENTOS!$B$5:$B$1005="VENTA")*(MOVIMIENTOS!$C$5:$C$1005="M")*(MOVIMIENTOS!$D$5:$D$1005="jabas")*(MOVIMIENTOS!$A$5:$A$1005&lt;&gt;"")*(MOVIMIENTOS!$A$5:$A$1005&lt;=$A642)*MOVIMIENTOS!$E$5:$E$1005)+SUMPRODUCT((MOVIMIENTOS!$B$5:$B$1005="AJUSTE")*(MOVIMIENTOS!$C$5:$C$1005="M")*(MOVIMIENTOS!$D$5:$D$1005="jabas")*(MOVIMIENTOS!$A$5:$A$1005&lt;&gt;"")*(MOVIMIENTOS!$A$5:$A$1005&lt;=$A642)*MOVIMIENTOS!$E$5:$E$1005))</f>
        <v/>
      </c>
      <c r="F642" s="62" t="str">
        <f>IF($A642="","",SUMPRODUCT((MOVIMIENTOS!$B$5:$B$1005="SALDO INICIAL")*(MOVIMIENTOS!$C$5:$C$1005="Chancho")*(MOVIMIENTOS!$D$5:$D$1005="sacos")*(MOVIMIENTOS!$A$5:$A$1005&lt;&gt;"")*(MOVIMIENTOS!$A$5:$A$1005&lt;=$A642)*MOVIMIENTOS!$E$5:$E$1005)+SUMPRODUCT((MOVIMIENTOS!$B$5:$B$1005="PROCESO")*(MOVIMIENTOS!$C$5:$C$1005="Chancho")*(MOVIMIENTOS!$D$5:$D$1005="sacos")*(MOVIMIENTOS!$A$5:$A$1005&lt;&gt;"")*(MOVIMIENTOS!$A$5:$A$1005&lt;=$A642)*MOVIMIENTOS!$E$5:$E$1005)-SUMPRODUCT((MOVIMIENTOS!$B$5:$B$1005="VENTA CHANCHO")*(MOVIMIENTOS!$C$5:$C$1005="Chancho")*(MOVIMIENTOS!$D$5:$D$1005="sacos")*(MOVIMIENTOS!$A$5:$A$1005&lt;&gt;"")*(MOVIMIENTOS!$A$5:$A$1005&lt;=$A642)*MOVIMIENTOS!$E$5:$E$1005)-SUMPRODUCT((MOVIMIENTOS!$B$5:$B$1005="REGALO")*(MOVIMIENTOS!$C$5:$C$1005="Chancho")*(MOVIMIENTOS!$D$5:$D$1005="sacos")*(MOVIMIENTOS!$A$5:$A$1005&lt;&gt;"")*(MOVIMIENTOS!$A$5:$A$1005&lt;=$A642)*MOVIMIENTOS!$E$5:$E$1005)-SUMPRODUCT((MOVIMIENTOS!$B$5:$B$1005="VENTA")*(MOVIMIENTOS!$C$5:$C$1005="Chancho")*(MOVIMIENTOS!$D$5:$D$1005="sacos")*(MOVIMIENTOS!$A$5:$A$1005&lt;&gt;"")*(MOVIMIENTOS!$A$5:$A$1005&lt;=$A642)*MOVIMIENTOS!$E$5:$E$1005)+SUMPRODUCT((MOVIMIENTOS!$B$5:$B$1005="AJUSTE")*(MOVIMIENTOS!$C$5:$C$1005="Chancho")*(MOVIMIENTOS!$D$5:$D$1005="sacos")*(MOVIMIENTOS!$A$5:$A$1005&lt;&gt;"")*(MOVIMIENTOS!$A$5:$A$1005&lt;=$A642)*MOVIMIENTOS!$E$5:$E$1005))</f>
        <v/>
      </c>
      <c r="G642" s="62" t="str">
        <f t="shared" si="19"/>
        <v/>
      </c>
      <c r="H642" t="str">
        <f>IF($A642="","",SUMPRODUCT((((MOVIMIENTOS!$B$5:$B$1005="SALDO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642)*MOVIMIENTOS!$J$5:$J$1005))</f>
        <v/>
      </c>
      <c r="J642" t="str">
        <f>IF(AND(MOVIMIENTOS!$A647&lt;&gt;"",COUNTIF(MOVIMIENTOS!$A$5:$A646,MOVIMIENTOS!$A647)=0),COUNT(J$4:J641)+1,"")</f>
        <v/>
      </c>
      <c r="K642">
        <f>MOVIMIENTOS!$A647</f>
        <v>0</v>
      </c>
    </row>
    <row r="643" spans="1:11" ht="15" customHeight="1" x14ac:dyDescent="0.2">
      <c r="A643" t="str">
        <f t="shared" si="18"/>
        <v/>
      </c>
      <c r="B643" t="str">
        <f>IF($A643="","",SUMPRODUCT((MOVIMIENTOS!$B$5:$B$1005="SALDO INICIAL")*(MOVIMIENTOS!$C$5:$C$1005="A")*(MOVIMIENTOS!$D$5:$D$1005="jabas")*(MOVIMIENTOS!$A$5:$A$1005&lt;&gt;"")*(MOVIMIENTOS!$A$5:$A$1005&lt;=$A643)*MOVIMIENTOS!$E$5:$E$1005)+SUMPRODUCT((MOVIMIENTOS!$B$5:$B$1005="PROCESO")*(MOVIMIENTOS!$C$5:$C$1005="A")*(MOVIMIENTOS!$D$5:$D$1005="jabas")*(MOVIMIENTOS!$A$5:$A$1005&lt;&gt;"")*(MOVIMIENTOS!$A$5:$A$1005&lt;=$A643)*MOVIMIENTOS!$E$5:$E$1005)-SUMPRODUCT((MOVIMIENTOS!$B$5:$B$1005="ENVÍO A SUPESA")*(MOVIMIENTOS!$C$5:$C$1005="A")*(MOVIMIENTOS!$D$5:$D$1005="jabas")*(MOVIMIENTOS!$A$5:$A$1005&lt;&gt;"")*(MOVIMIENTOS!$A$5:$A$1005&lt;=$A643)*MOVIMIENTOS!$E$5:$E$1005)+SUMPRODUCT((MOVIMIENTOS!$B$5:$B$1005="DEVOLUCIÓN")*(MOVIMIENTOS!$C$5:$C$1005="A")*(MOVIMIENTOS!$D$5:$D$1005="jabas")*(MOVIMIENTOS!$A$5:$A$1005&lt;&gt;"")*(MOVIMIENTOS!$A$5:$A$1005&lt;=$A643)*MOVIMIENTOS!$E$5:$E$1005)-SUMPRODUCT((MOVIMIENTOS!$B$5:$B$1005="TRASIEGO")*(MOVIMIENTOS!$C$5:$C$1005="A")*(MOVIMIENTOS!$D$5:$D$1005="jabas")*(MOVIMIENTOS!$A$5:$A$1005&lt;&gt;"")*(MOVIMIENTOS!$A$5:$A$1005&lt;=$A643)*MOVIMIENTOS!$E$5:$E$1005)-SUMPRODUCT((MOVIMIENTOS!$B$5:$B$1005="REGALO")*(MOVIMIENTOS!$C$5:$C$1005="A")*(MOVIMIENTOS!$D$5:$D$1005="jabas")*(MOVIMIENTOS!$A$5:$A$1005&lt;&gt;"")*(MOVIMIENTOS!$A$5:$A$1005&lt;=$A643)*MOVIMIENTOS!$E$5:$E$1005)-SUMPRODUCT((MOVIMIENTOS!$B$5:$B$1005="VENTA")*(MOVIMIENTOS!$C$5:$C$1005="A")*(MOVIMIENTOS!$D$5:$D$1005="jabas")*(MOVIMIENTOS!$A$5:$A$1005&lt;&gt;"")*(MOVIMIENTOS!$A$5:$A$1005&lt;=$A643)*MOVIMIENTOS!$E$5:$E$1005)+SUMPRODUCT((MOVIMIENTOS!$B$5:$B$1005="AJUSTE")*(MOVIMIENTOS!$C$5:$C$1005="A")*(MOVIMIENTOS!$D$5:$D$1005="jabas")*(MOVIMIENTOS!$A$5:$A$1005&lt;&gt;"")*(MOVIMIENTOS!$A$5:$A$1005&lt;=$A643)*MOVIMIENTOS!$E$5:$E$1005))</f>
        <v/>
      </c>
      <c r="C643" t="str">
        <f>IF($A643="","",SUMPRODUCT((MOVIMIENTOS!$B$5:$B$1005="SALDO INICIAL")*(MOVIMIENTOS!$C$5:$C$1005="P")*(MOVIMIENTOS!$D$5:$D$1005="jabas")*(MOVIMIENTOS!$A$5:$A$1005&lt;&gt;"")*(MOVIMIENTOS!$A$5:$A$1005&lt;=$A643)*MOVIMIENTOS!$E$5:$E$1005)+SUMPRODUCT((MOVIMIENTOS!$B$5:$B$1005="PROCESO")*(MOVIMIENTOS!$C$5:$C$1005="P")*(MOVIMIENTOS!$D$5:$D$1005="jabas")*(MOVIMIENTOS!$A$5:$A$1005&lt;&gt;"")*(MOVIMIENTOS!$A$5:$A$1005&lt;=$A643)*MOVIMIENTOS!$E$5:$E$1005)-SUMPRODUCT((MOVIMIENTOS!$B$5:$B$1005="ENVÍO A SUPESA")*(MOVIMIENTOS!$C$5:$C$1005="P")*(MOVIMIENTOS!$D$5:$D$1005="jabas")*(MOVIMIENTOS!$A$5:$A$1005&lt;&gt;"")*(MOVIMIENTOS!$A$5:$A$1005&lt;=$A643)*MOVIMIENTOS!$E$5:$E$1005)+SUMPRODUCT((MOVIMIENTOS!$B$5:$B$1005="DEVOLUCIÓN")*(MOVIMIENTOS!$C$5:$C$1005="P")*(MOVIMIENTOS!$D$5:$D$1005="jabas")*(MOVIMIENTOS!$A$5:$A$1005&lt;&gt;"")*(MOVIMIENTOS!$A$5:$A$1005&lt;=$A643)*MOVIMIENTOS!$E$5:$E$1005)-SUMPRODUCT((MOVIMIENTOS!$B$5:$B$1005="TRASIEGO")*(MOVIMIENTOS!$C$5:$C$1005="P")*(MOVIMIENTOS!$D$5:$D$1005="jabas")*(MOVIMIENTOS!$A$5:$A$1005&lt;&gt;"")*(MOVIMIENTOS!$A$5:$A$1005&lt;=$A643)*MOVIMIENTOS!$E$5:$E$1005)-SUMPRODUCT((MOVIMIENTOS!$B$5:$B$1005="REGALO")*(MOVIMIENTOS!$C$5:$C$1005="P")*(MOVIMIENTOS!$D$5:$D$1005="jabas")*(MOVIMIENTOS!$A$5:$A$1005&lt;&gt;"")*(MOVIMIENTOS!$A$5:$A$1005&lt;=$A643)*MOVIMIENTOS!$E$5:$E$1005)-SUMPRODUCT((MOVIMIENTOS!$B$5:$B$1005="VENTA")*(MOVIMIENTOS!$C$5:$C$1005="P")*(MOVIMIENTOS!$D$5:$D$1005="jabas")*(MOVIMIENTOS!$A$5:$A$1005&lt;&gt;"")*(MOVIMIENTOS!$A$5:$A$1005&lt;=$A643)*MOVIMIENTOS!$E$5:$E$1005)+SUMPRODUCT((MOVIMIENTOS!$B$5:$B$1005="AJUSTE")*(MOVIMIENTOS!$C$5:$C$1005="P")*(MOVIMIENTOS!$D$5:$D$1005="jabas")*(MOVIMIENTOS!$A$5:$A$1005&lt;&gt;"")*(MOVIMIENTOS!$A$5:$A$1005&lt;=$A643)*MOVIMIENTOS!$E$5:$E$1005))</f>
        <v/>
      </c>
      <c r="D643" t="str">
        <f>IF($A643="","",SUMPRODUCT((MOVIMIENTOS!$B$5:$B$1005="SALDO INICIAL")*(MOVIMIENTOS!$C$5:$C$1005="C")*(MOVIMIENTOS!$D$5:$D$1005="jabas")*(MOVIMIENTOS!$A$5:$A$1005&lt;&gt;"")*(MOVIMIENTOS!$A$5:$A$1005&lt;=$A643)*MOVIMIENTOS!$E$5:$E$1005)+SUMPRODUCT((MOVIMIENTOS!$B$5:$B$1005="PROCESO")*(MOVIMIENTOS!$C$5:$C$1005="C")*(MOVIMIENTOS!$D$5:$D$1005="jabas")*(MOVIMIENTOS!$A$5:$A$1005&lt;&gt;"")*(MOVIMIENTOS!$A$5:$A$1005&lt;=$A643)*MOVIMIENTOS!$E$5:$E$1005)-SUMPRODUCT((MOVIMIENTOS!$B$5:$B$1005="ENVÍO A SUPESA")*(MOVIMIENTOS!$C$5:$C$1005="C")*(MOVIMIENTOS!$D$5:$D$1005="jabas")*(MOVIMIENTOS!$A$5:$A$1005&lt;&gt;"")*(MOVIMIENTOS!$A$5:$A$1005&lt;=$A643)*MOVIMIENTOS!$E$5:$E$1005)+SUMPRODUCT((MOVIMIENTOS!$B$5:$B$1005="DEVOLUCIÓN")*(MOVIMIENTOS!$C$5:$C$1005="C")*(MOVIMIENTOS!$D$5:$D$1005="jabas")*(MOVIMIENTOS!$A$5:$A$1005&lt;&gt;"")*(MOVIMIENTOS!$A$5:$A$1005&lt;=$A643)*MOVIMIENTOS!$E$5:$E$1005)-SUMPRODUCT((MOVIMIENTOS!$B$5:$B$1005="TRASIEGO")*(MOVIMIENTOS!$C$5:$C$1005="C")*(MOVIMIENTOS!$D$5:$D$1005="jabas")*(MOVIMIENTOS!$A$5:$A$1005&lt;&gt;"")*(MOVIMIENTOS!$A$5:$A$1005&lt;=$A643)*MOVIMIENTOS!$E$5:$E$1005)-SUMPRODUCT((MOVIMIENTOS!$B$5:$B$1005="REGALO")*(MOVIMIENTOS!$C$5:$C$1005="C")*(MOVIMIENTOS!$D$5:$D$1005="jabas")*(MOVIMIENTOS!$A$5:$A$1005&lt;&gt;"")*(MOVIMIENTOS!$A$5:$A$1005&lt;=$A643)*MOVIMIENTOS!$E$5:$E$1005)-SUMPRODUCT((MOVIMIENTOS!$B$5:$B$1005="VENTA")*(MOVIMIENTOS!$C$5:$C$1005="C")*(MOVIMIENTOS!$D$5:$D$1005="jabas")*(MOVIMIENTOS!$A$5:$A$1005&lt;&gt;"")*(MOVIMIENTOS!$A$5:$A$1005&lt;=$A643)*MOVIMIENTOS!$E$5:$E$1005)+SUMPRODUCT((MOVIMIENTOS!$B$5:$B$1005="AJUSTE")*(MOVIMIENTOS!$C$5:$C$1005="C")*(MOVIMIENTOS!$D$5:$D$1005="jabas")*(MOVIMIENTOS!$A$5:$A$1005&lt;&gt;"")*(MOVIMIENTOS!$A$5:$A$1005&lt;=$A643)*MOVIMIENTOS!$E$5:$E$1005))</f>
        <v/>
      </c>
      <c r="E643" t="str">
        <f>IF($A643="","",SUMPRODUCT((MOVIMIENTOS!$B$5:$B$1005="SALDO INICIAL")*(MOVIMIENTOS!$C$5:$C$1005="M")*(MOVIMIENTOS!$D$5:$D$1005="jabas")*(MOVIMIENTOS!$A$5:$A$1005&lt;&gt;"")*(MOVIMIENTOS!$A$5:$A$1005&lt;=$A643)*MOVIMIENTOS!$E$5:$E$1005)+SUMPRODUCT((MOVIMIENTOS!$B$5:$B$1005="PROCESO")*(MOVIMIENTOS!$C$5:$C$1005="M")*(MOVIMIENTOS!$D$5:$D$1005="jabas")*(MOVIMIENTOS!$A$5:$A$1005&lt;&gt;"")*(MOVIMIENTOS!$A$5:$A$1005&lt;=$A643)*MOVIMIENTOS!$E$5:$E$1005)-SUMPRODUCT((MOVIMIENTOS!$B$5:$B$1005="ENVÍO A SUPESA")*(MOVIMIENTOS!$C$5:$C$1005="M")*(MOVIMIENTOS!$D$5:$D$1005="jabas")*(MOVIMIENTOS!$A$5:$A$1005&lt;&gt;"")*(MOVIMIENTOS!$A$5:$A$1005&lt;=$A643)*MOVIMIENTOS!$E$5:$E$1005)+SUMPRODUCT((MOVIMIENTOS!$B$5:$B$1005="DEVOLUCIÓN")*(MOVIMIENTOS!$C$5:$C$1005="M")*(MOVIMIENTOS!$D$5:$D$1005="jabas")*(MOVIMIENTOS!$A$5:$A$1005&lt;&gt;"")*(MOVIMIENTOS!$A$5:$A$1005&lt;=$A643)*MOVIMIENTOS!$E$5:$E$1005)-SUMPRODUCT((MOVIMIENTOS!$B$5:$B$1005="TRASIEGO")*(MOVIMIENTOS!$C$5:$C$1005="M")*(MOVIMIENTOS!$D$5:$D$1005="jabas")*(MOVIMIENTOS!$A$5:$A$1005&lt;&gt;"")*(MOVIMIENTOS!$A$5:$A$1005&lt;=$A643)*MOVIMIENTOS!$E$5:$E$1005)-SUMPRODUCT((MOVIMIENTOS!$B$5:$B$1005="REGALO")*(MOVIMIENTOS!$C$5:$C$1005="M")*(MOVIMIENTOS!$D$5:$D$1005="jabas")*(MOVIMIENTOS!$A$5:$A$1005&lt;&gt;"")*(MOVIMIENTOS!$A$5:$A$1005&lt;=$A643)*MOVIMIENTOS!$E$5:$E$1005)-SUMPRODUCT((MOVIMIENTOS!$B$5:$B$1005="VENTA")*(MOVIMIENTOS!$C$5:$C$1005="M")*(MOVIMIENTOS!$D$5:$D$1005="jabas")*(MOVIMIENTOS!$A$5:$A$1005&lt;&gt;"")*(MOVIMIENTOS!$A$5:$A$1005&lt;=$A643)*MOVIMIENTOS!$E$5:$E$1005)+SUMPRODUCT((MOVIMIENTOS!$B$5:$B$1005="AJUSTE")*(MOVIMIENTOS!$C$5:$C$1005="M")*(MOVIMIENTOS!$D$5:$D$1005="jabas")*(MOVIMIENTOS!$A$5:$A$1005&lt;&gt;"")*(MOVIMIENTOS!$A$5:$A$1005&lt;=$A643)*MOVIMIENTOS!$E$5:$E$1005))</f>
        <v/>
      </c>
      <c r="F643" s="62" t="str">
        <f>IF($A643="","",SUMPRODUCT((MOVIMIENTOS!$B$5:$B$1005="SALDO INICIAL")*(MOVIMIENTOS!$C$5:$C$1005="Chancho")*(MOVIMIENTOS!$D$5:$D$1005="sacos")*(MOVIMIENTOS!$A$5:$A$1005&lt;&gt;"")*(MOVIMIENTOS!$A$5:$A$1005&lt;=$A643)*MOVIMIENTOS!$E$5:$E$1005)+SUMPRODUCT((MOVIMIENTOS!$B$5:$B$1005="PROCESO")*(MOVIMIENTOS!$C$5:$C$1005="Chancho")*(MOVIMIENTOS!$D$5:$D$1005="sacos")*(MOVIMIENTOS!$A$5:$A$1005&lt;&gt;"")*(MOVIMIENTOS!$A$5:$A$1005&lt;=$A643)*MOVIMIENTOS!$E$5:$E$1005)-SUMPRODUCT((MOVIMIENTOS!$B$5:$B$1005="VENTA CHANCHO")*(MOVIMIENTOS!$C$5:$C$1005="Chancho")*(MOVIMIENTOS!$D$5:$D$1005="sacos")*(MOVIMIENTOS!$A$5:$A$1005&lt;&gt;"")*(MOVIMIENTOS!$A$5:$A$1005&lt;=$A643)*MOVIMIENTOS!$E$5:$E$1005)-SUMPRODUCT((MOVIMIENTOS!$B$5:$B$1005="REGALO")*(MOVIMIENTOS!$C$5:$C$1005="Chancho")*(MOVIMIENTOS!$D$5:$D$1005="sacos")*(MOVIMIENTOS!$A$5:$A$1005&lt;&gt;"")*(MOVIMIENTOS!$A$5:$A$1005&lt;=$A643)*MOVIMIENTOS!$E$5:$E$1005)-SUMPRODUCT((MOVIMIENTOS!$B$5:$B$1005="VENTA")*(MOVIMIENTOS!$C$5:$C$1005="Chancho")*(MOVIMIENTOS!$D$5:$D$1005="sacos")*(MOVIMIENTOS!$A$5:$A$1005&lt;&gt;"")*(MOVIMIENTOS!$A$5:$A$1005&lt;=$A643)*MOVIMIENTOS!$E$5:$E$1005)+SUMPRODUCT((MOVIMIENTOS!$B$5:$B$1005="AJUSTE")*(MOVIMIENTOS!$C$5:$C$1005="Chancho")*(MOVIMIENTOS!$D$5:$D$1005="sacos")*(MOVIMIENTOS!$A$5:$A$1005&lt;&gt;"")*(MOVIMIENTOS!$A$5:$A$1005&lt;=$A643)*MOVIMIENTOS!$E$5:$E$1005))</f>
        <v/>
      </c>
      <c r="G643" s="62" t="str">
        <f t="shared" si="19"/>
        <v/>
      </c>
      <c r="H643" t="str">
        <f>IF($A643="","",SUMPRODUCT((((MOVIMIENTOS!$B$5:$B$1005="SALDO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643)*MOVIMIENTOS!$J$5:$J$1005))</f>
        <v/>
      </c>
      <c r="J643" t="str">
        <f>IF(AND(MOVIMIENTOS!$A648&lt;&gt;"",COUNTIF(MOVIMIENTOS!$A$5:$A647,MOVIMIENTOS!$A648)=0),COUNT(J$4:J642)+1,"")</f>
        <v/>
      </c>
      <c r="K643">
        <f>MOVIMIENTOS!$A648</f>
        <v>0</v>
      </c>
    </row>
    <row r="644" spans="1:11" ht="15" customHeight="1" x14ac:dyDescent="0.2">
      <c r="A644" t="str">
        <f t="shared" si="18"/>
        <v/>
      </c>
      <c r="B644" t="str">
        <f>IF($A644="","",SUMPRODUCT((MOVIMIENTOS!$B$5:$B$1005="SALDO INICIAL")*(MOVIMIENTOS!$C$5:$C$1005="A")*(MOVIMIENTOS!$D$5:$D$1005="jabas")*(MOVIMIENTOS!$A$5:$A$1005&lt;&gt;"")*(MOVIMIENTOS!$A$5:$A$1005&lt;=$A644)*MOVIMIENTOS!$E$5:$E$1005)+SUMPRODUCT((MOVIMIENTOS!$B$5:$B$1005="PROCESO")*(MOVIMIENTOS!$C$5:$C$1005="A")*(MOVIMIENTOS!$D$5:$D$1005="jabas")*(MOVIMIENTOS!$A$5:$A$1005&lt;&gt;"")*(MOVIMIENTOS!$A$5:$A$1005&lt;=$A644)*MOVIMIENTOS!$E$5:$E$1005)-SUMPRODUCT((MOVIMIENTOS!$B$5:$B$1005="ENVÍO A SUPESA")*(MOVIMIENTOS!$C$5:$C$1005="A")*(MOVIMIENTOS!$D$5:$D$1005="jabas")*(MOVIMIENTOS!$A$5:$A$1005&lt;&gt;"")*(MOVIMIENTOS!$A$5:$A$1005&lt;=$A644)*MOVIMIENTOS!$E$5:$E$1005)+SUMPRODUCT((MOVIMIENTOS!$B$5:$B$1005="DEVOLUCIÓN")*(MOVIMIENTOS!$C$5:$C$1005="A")*(MOVIMIENTOS!$D$5:$D$1005="jabas")*(MOVIMIENTOS!$A$5:$A$1005&lt;&gt;"")*(MOVIMIENTOS!$A$5:$A$1005&lt;=$A644)*MOVIMIENTOS!$E$5:$E$1005)-SUMPRODUCT((MOVIMIENTOS!$B$5:$B$1005="TRASIEGO")*(MOVIMIENTOS!$C$5:$C$1005="A")*(MOVIMIENTOS!$D$5:$D$1005="jabas")*(MOVIMIENTOS!$A$5:$A$1005&lt;&gt;"")*(MOVIMIENTOS!$A$5:$A$1005&lt;=$A644)*MOVIMIENTOS!$E$5:$E$1005)-SUMPRODUCT((MOVIMIENTOS!$B$5:$B$1005="REGALO")*(MOVIMIENTOS!$C$5:$C$1005="A")*(MOVIMIENTOS!$D$5:$D$1005="jabas")*(MOVIMIENTOS!$A$5:$A$1005&lt;&gt;"")*(MOVIMIENTOS!$A$5:$A$1005&lt;=$A644)*MOVIMIENTOS!$E$5:$E$1005)-SUMPRODUCT((MOVIMIENTOS!$B$5:$B$1005="VENTA")*(MOVIMIENTOS!$C$5:$C$1005="A")*(MOVIMIENTOS!$D$5:$D$1005="jabas")*(MOVIMIENTOS!$A$5:$A$1005&lt;&gt;"")*(MOVIMIENTOS!$A$5:$A$1005&lt;=$A644)*MOVIMIENTOS!$E$5:$E$1005)+SUMPRODUCT((MOVIMIENTOS!$B$5:$B$1005="AJUSTE")*(MOVIMIENTOS!$C$5:$C$1005="A")*(MOVIMIENTOS!$D$5:$D$1005="jabas")*(MOVIMIENTOS!$A$5:$A$1005&lt;&gt;"")*(MOVIMIENTOS!$A$5:$A$1005&lt;=$A644)*MOVIMIENTOS!$E$5:$E$1005))</f>
        <v/>
      </c>
      <c r="C644" t="str">
        <f>IF($A644="","",SUMPRODUCT((MOVIMIENTOS!$B$5:$B$1005="SALDO INICIAL")*(MOVIMIENTOS!$C$5:$C$1005="P")*(MOVIMIENTOS!$D$5:$D$1005="jabas")*(MOVIMIENTOS!$A$5:$A$1005&lt;&gt;"")*(MOVIMIENTOS!$A$5:$A$1005&lt;=$A644)*MOVIMIENTOS!$E$5:$E$1005)+SUMPRODUCT((MOVIMIENTOS!$B$5:$B$1005="PROCESO")*(MOVIMIENTOS!$C$5:$C$1005="P")*(MOVIMIENTOS!$D$5:$D$1005="jabas")*(MOVIMIENTOS!$A$5:$A$1005&lt;&gt;"")*(MOVIMIENTOS!$A$5:$A$1005&lt;=$A644)*MOVIMIENTOS!$E$5:$E$1005)-SUMPRODUCT((MOVIMIENTOS!$B$5:$B$1005="ENVÍO A SUPESA")*(MOVIMIENTOS!$C$5:$C$1005="P")*(MOVIMIENTOS!$D$5:$D$1005="jabas")*(MOVIMIENTOS!$A$5:$A$1005&lt;&gt;"")*(MOVIMIENTOS!$A$5:$A$1005&lt;=$A644)*MOVIMIENTOS!$E$5:$E$1005)+SUMPRODUCT((MOVIMIENTOS!$B$5:$B$1005="DEVOLUCIÓN")*(MOVIMIENTOS!$C$5:$C$1005="P")*(MOVIMIENTOS!$D$5:$D$1005="jabas")*(MOVIMIENTOS!$A$5:$A$1005&lt;&gt;"")*(MOVIMIENTOS!$A$5:$A$1005&lt;=$A644)*MOVIMIENTOS!$E$5:$E$1005)-SUMPRODUCT((MOVIMIENTOS!$B$5:$B$1005="TRASIEGO")*(MOVIMIENTOS!$C$5:$C$1005="P")*(MOVIMIENTOS!$D$5:$D$1005="jabas")*(MOVIMIENTOS!$A$5:$A$1005&lt;&gt;"")*(MOVIMIENTOS!$A$5:$A$1005&lt;=$A644)*MOVIMIENTOS!$E$5:$E$1005)-SUMPRODUCT((MOVIMIENTOS!$B$5:$B$1005="REGALO")*(MOVIMIENTOS!$C$5:$C$1005="P")*(MOVIMIENTOS!$D$5:$D$1005="jabas")*(MOVIMIENTOS!$A$5:$A$1005&lt;&gt;"")*(MOVIMIENTOS!$A$5:$A$1005&lt;=$A644)*MOVIMIENTOS!$E$5:$E$1005)-SUMPRODUCT((MOVIMIENTOS!$B$5:$B$1005="VENTA")*(MOVIMIENTOS!$C$5:$C$1005="P")*(MOVIMIENTOS!$D$5:$D$1005="jabas")*(MOVIMIENTOS!$A$5:$A$1005&lt;&gt;"")*(MOVIMIENTOS!$A$5:$A$1005&lt;=$A644)*MOVIMIENTOS!$E$5:$E$1005)+SUMPRODUCT((MOVIMIENTOS!$B$5:$B$1005="AJUSTE")*(MOVIMIENTOS!$C$5:$C$1005="P")*(MOVIMIENTOS!$D$5:$D$1005="jabas")*(MOVIMIENTOS!$A$5:$A$1005&lt;&gt;"")*(MOVIMIENTOS!$A$5:$A$1005&lt;=$A644)*MOVIMIENTOS!$E$5:$E$1005))</f>
        <v/>
      </c>
      <c r="D644" t="str">
        <f>IF($A644="","",SUMPRODUCT((MOVIMIENTOS!$B$5:$B$1005="SALDO INICIAL")*(MOVIMIENTOS!$C$5:$C$1005="C")*(MOVIMIENTOS!$D$5:$D$1005="jabas")*(MOVIMIENTOS!$A$5:$A$1005&lt;&gt;"")*(MOVIMIENTOS!$A$5:$A$1005&lt;=$A644)*MOVIMIENTOS!$E$5:$E$1005)+SUMPRODUCT((MOVIMIENTOS!$B$5:$B$1005="PROCESO")*(MOVIMIENTOS!$C$5:$C$1005="C")*(MOVIMIENTOS!$D$5:$D$1005="jabas")*(MOVIMIENTOS!$A$5:$A$1005&lt;&gt;"")*(MOVIMIENTOS!$A$5:$A$1005&lt;=$A644)*MOVIMIENTOS!$E$5:$E$1005)-SUMPRODUCT((MOVIMIENTOS!$B$5:$B$1005="ENVÍO A SUPESA")*(MOVIMIENTOS!$C$5:$C$1005="C")*(MOVIMIENTOS!$D$5:$D$1005="jabas")*(MOVIMIENTOS!$A$5:$A$1005&lt;&gt;"")*(MOVIMIENTOS!$A$5:$A$1005&lt;=$A644)*MOVIMIENTOS!$E$5:$E$1005)+SUMPRODUCT((MOVIMIENTOS!$B$5:$B$1005="DEVOLUCIÓN")*(MOVIMIENTOS!$C$5:$C$1005="C")*(MOVIMIENTOS!$D$5:$D$1005="jabas")*(MOVIMIENTOS!$A$5:$A$1005&lt;&gt;"")*(MOVIMIENTOS!$A$5:$A$1005&lt;=$A644)*MOVIMIENTOS!$E$5:$E$1005)-SUMPRODUCT((MOVIMIENTOS!$B$5:$B$1005="TRASIEGO")*(MOVIMIENTOS!$C$5:$C$1005="C")*(MOVIMIENTOS!$D$5:$D$1005="jabas")*(MOVIMIENTOS!$A$5:$A$1005&lt;&gt;"")*(MOVIMIENTOS!$A$5:$A$1005&lt;=$A644)*MOVIMIENTOS!$E$5:$E$1005)-SUMPRODUCT((MOVIMIENTOS!$B$5:$B$1005="REGALO")*(MOVIMIENTOS!$C$5:$C$1005="C")*(MOVIMIENTOS!$D$5:$D$1005="jabas")*(MOVIMIENTOS!$A$5:$A$1005&lt;&gt;"")*(MOVIMIENTOS!$A$5:$A$1005&lt;=$A644)*MOVIMIENTOS!$E$5:$E$1005)-SUMPRODUCT((MOVIMIENTOS!$B$5:$B$1005="VENTA")*(MOVIMIENTOS!$C$5:$C$1005="C")*(MOVIMIENTOS!$D$5:$D$1005="jabas")*(MOVIMIENTOS!$A$5:$A$1005&lt;&gt;"")*(MOVIMIENTOS!$A$5:$A$1005&lt;=$A644)*MOVIMIENTOS!$E$5:$E$1005)+SUMPRODUCT((MOVIMIENTOS!$B$5:$B$1005="AJUSTE")*(MOVIMIENTOS!$C$5:$C$1005="C")*(MOVIMIENTOS!$D$5:$D$1005="jabas")*(MOVIMIENTOS!$A$5:$A$1005&lt;&gt;"")*(MOVIMIENTOS!$A$5:$A$1005&lt;=$A644)*MOVIMIENTOS!$E$5:$E$1005))</f>
        <v/>
      </c>
      <c r="E644" t="str">
        <f>IF($A644="","",SUMPRODUCT((MOVIMIENTOS!$B$5:$B$1005="SALDO INICIAL")*(MOVIMIENTOS!$C$5:$C$1005="M")*(MOVIMIENTOS!$D$5:$D$1005="jabas")*(MOVIMIENTOS!$A$5:$A$1005&lt;&gt;"")*(MOVIMIENTOS!$A$5:$A$1005&lt;=$A644)*MOVIMIENTOS!$E$5:$E$1005)+SUMPRODUCT((MOVIMIENTOS!$B$5:$B$1005="PROCESO")*(MOVIMIENTOS!$C$5:$C$1005="M")*(MOVIMIENTOS!$D$5:$D$1005="jabas")*(MOVIMIENTOS!$A$5:$A$1005&lt;&gt;"")*(MOVIMIENTOS!$A$5:$A$1005&lt;=$A644)*MOVIMIENTOS!$E$5:$E$1005)-SUMPRODUCT((MOVIMIENTOS!$B$5:$B$1005="ENVÍO A SUPESA")*(MOVIMIENTOS!$C$5:$C$1005="M")*(MOVIMIENTOS!$D$5:$D$1005="jabas")*(MOVIMIENTOS!$A$5:$A$1005&lt;&gt;"")*(MOVIMIENTOS!$A$5:$A$1005&lt;=$A644)*MOVIMIENTOS!$E$5:$E$1005)+SUMPRODUCT((MOVIMIENTOS!$B$5:$B$1005="DEVOLUCIÓN")*(MOVIMIENTOS!$C$5:$C$1005="M")*(MOVIMIENTOS!$D$5:$D$1005="jabas")*(MOVIMIENTOS!$A$5:$A$1005&lt;&gt;"")*(MOVIMIENTOS!$A$5:$A$1005&lt;=$A644)*MOVIMIENTOS!$E$5:$E$1005)-SUMPRODUCT((MOVIMIENTOS!$B$5:$B$1005="TRASIEGO")*(MOVIMIENTOS!$C$5:$C$1005="M")*(MOVIMIENTOS!$D$5:$D$1005="jabas")*(MOVIMIENTOS!$A$5:$A$1005&lt;&gt;"")*(MOVIMIENTOS!$A$5:$A$1005&lt;=$A644)*MOVIMIENTOS!$E$5:$E$1005)-SUMPRODUCT((MOVIMIENTOS!$B$5:$B$1005="REGALO")*(MOVIMIENTOS!$C$5:$C$1005="M")*(MOVIMIENTOS!$D$5:$D$1005="jabas")*(MOVIMIENTOS!$A$5:$A$1005&lt;&gt;"")*(MOVIMIENTOS!$A$5:$A$1005&lt;=$A644)*MOVIMIENTOS!$E$5:$E$1005)-SUMPRODUCT((MOVIMIENTOS!$B$5:$B$1005="VENTA")*(MOVIMIENTOS!$C$5:$C$1005="M")*(MOVIMIENTOS!$D$5:$D$1005="jabas")*(MOVIMIENTOS!$A$5:$A$1005&lt;&gt;"")*(MOVIMIENTOS!$A$5:$A$1005&lt;=$A644)*MOVIMIENTOS!$E$5:$E$1005)+SUMPRODUCT((MOVIMIENTOS!$B$5:$B$1005="AJUSTE")*(MOVIMIENTOS!$C$5:$C$1005="M")*(MOVIMIENTOS!$D$5:$D$1005="jabas")*(MOVIMIENTOS!$A$5:$A$1005&lt;&gt;"")*(MOVIMIENTOS!$A$5:$A$1005&lt;=$A644)*MOVIMIENTOS!$E$5:$E$1005))</f>
        <v/>
      </c>
      <c r="F644" s="62" t="str">
        <f>IF($A644="","",SUMPRODUCT((MOVIMIENTOS!$B$5:$B$1005="SALDO INICIAL")*(MOVIMIENTOS!$C$5:$C$1005="Chancho")*(MOVIMIENTOS!$D$5:$D$1005="sacos")*(MOVIMIENTOS!$A$5:$A$1005&lt;&gt;"")*(MOVIMIENTOS!$A$5:$A$1005&lt;=$A644)*MOVIMIENTOS!$E$5:$E$1005)+SUMPRODUCT((MOVIMIENTOS!$B$5:$B$1005="PROCESO")*(MOVIMIENTOS!$C$5:$C$1005="Chancho")*(MOVIMIENTOS!$D$5:$D$1005="sacos")*(MOVIMIENTOS!$A$5:$A$1005&lt;&gt;"")*(MOVIMIENTOS!$A$5:$A$1005&lt;=$A644)*MOVIMIENTOS!$E$5:$E$1005)-SUMPRODUCT((MOVIMIENTOS!$B$5:$B$1005="VENTA CHANCHO")*(MOVIMIENTOS!$C$5:$C$1005="Chancho")*(MOVIMIENTOS!$D$5:$D$1005="sacos")*(MOVIMIENTOS!$A$5:$A$1005&lt;&gt;"")*(MOVIMIENTOS!$A$5:$A$1005&lt;=$A644)*MOVIMIENTOS!$E$5:$E$1005)-SUMPRODUCT((MOVIMIENTOS!$B$5:$B$1005="REGALO")*(MOVIMIENTOS!$C$5:$C$1005="Chancho")*(MOVIMIENTOS!$D$5:$D$1005="sacos")*(MOVIMIENTOS!$A$5:$A$1005&lt;&gt;"")*(MOVIMIENTOS!$A$5:$A$1005&lt;=$A644)*MOVIMIENTOS!$E$5:$E$1005)-SUMPRODUCT((MOVIMIENTOS!$B$5:$B$1005="VENTA")*(MOVIMIENTOS!$C$5:$C$1005="Chancho")*(MOVIMIENTOS!$D$5:$D$1005="sacos")*(MOVIMIENTOS!$A$5:$A$1005&lt;&gt;"")*(MOVIMIENTOS!$A$5:$A$1005&lt;=$A644)*MOVIMIENTOS!$E$5:$E$1005)+SUMPRODUCT((MOVIMIENTOS!$B$5:$B$1005="AJUSTE")*(MOVIMIENTOS!$C$5:$C$1005="Chancho")*(MOVIMIENTOS!$D$5:$D$1005="sacos")*(MOVIMIENTOS!$A$5:$A$1005&lt;&gt;"")*(MOVIMIENTOS!$A$5:$A$1005&lt;=$A644)*MOVIMIENTOS!$E$5:$E$1005))</f>
        <v/>
      </c>
      <c r="G644" s="62" t="str">
        <f t="shared" si="19"/>
        <v/>
      </c>
      <c r="H644" t="str">
        <f>IF($A644="","",SUMPRODUCT((((MOVIMIENTOS!$B$5:$B$1005="SALDO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644)*MOVIMIENTOS!$J$5:$J$1005))</f>
        <v/>
      </c>
      <c r="J644" t="str">
        <f>IF(AND(MOVIMIENTOS!$A649&lt;&gt;"",COUNTIF(MOVIMIENTOS!$A$5:$A648,MOVIMIENTOS!$A649)=0),COUNT(J$4:J643)+1,"")</f>
        <v/>
      </c>
      <c r="K644">
        <f>MOVIMIENTOS!$A649</f>
        <v>0</v>
      </c>
    </row>
    <row r="645" spans="1:11" ht="15" customHeight="1" x14ac:dyDescent="0.2">
      <c r="A645" t="str">
        <f t="shared" ref="A645:A708" si="20">IFERROR(INDEX(K$5:K$1000,MATCH(ROW()-4,J$5:J$1000,0)),"")</f>
        <v/>
      </c>
      <c r="B645" t="str">
        <f>IF($A645="","",SUMPRODUCT((MOVIMIENTOS!$B$5:$B$1005="SALDO INICIAL")*(MOVIMIENTOS!$C$5:$C$1005="A")*(MOVIMIENTOS!$D$5:$D$1005="jabas")*(MOVIMIENTOS!$A$5:$A$1005&lt;&gt;"")*(MOVIMIENTOS!$A$5:$A$1005&lt;=$A645)*MOVIMIENTOS!$E$5:$E$1005)+SUMPRODUCT((MOVIMIENTOS!$B$5:$B$1005="PROCESO")*(MOVIMIENTOS!$C$5:$C$1005="A")*(MOVIMIENTOS!$D$5:$D$1005="jabas")*(MOVIMIENTOS!$A$5:$A$1005&lt;&gt;"")*(MOVIMIENTOS!$A$5:$A$1005&lt;=$A645)*MOVIMIENTOS!$E$5:$E$1005)-SUMPRODUCT((MOVIMIENTOS!$B$5:$B$1005="ENVÍO A SUPESA")*(MOVIMIENTOS!$C$5:$C$1005="A")*(MOVIMIENTOS!$D$5:$D$1005="jabas")*(MOVIMIENTOS!$A$5:$A$1005&lt;&gt;"")*(MOVIMIENTOS!$A$5:$A$1005&lt;=$A645)*MOVIMIENTOS!$E$5:$E$1005)+SUMPRODUCT((MOVIMIENTOS!$B$5:$B$1005="DEVOLUCIÓN")*(MOVIMIENTOS!$C$5:$C$1005="A")*(MOVIMIENTOS!$D$5:$D$1005="jabas")*(MOVIMIENTOS!$A$5:$A$1005&lt;&gt;"")*(MOVIMIENTOS!$A$5:$A$1005&lt;=$A645)*MOVIMIENTOS!$E$5:$E$1005)-SUMPRODUCT((MOVIMIENTOS!$B$5:$B$1005="TRASIEGO")*(MOVIMIENTOS!$C$5:$C$1005="A")*(MOVIMIENTOS!$D$5:$D$1005="jabas")*(MOVIMIENTOS!$A$5:$A$1005&lt;&gt;"")*(MOVIMIENTOS!$A$5:$A$1005&lt;=$A645)*MOVIMIENTOS!$E$5:$E$1005)-SUMPRODUCT((MOVIMIENTOS!$B$5:$B$1005="REGALO")*(MOVIMIENTOS!$C$5:$C$1005="A")*(MOVIMIENTOS!$D$5:$D$1005="jabas")*(MOVIMIENTOS!$A$5:$A$1005&lt;&gt;"")*(MOVIMIENTOS!$A$5:$A$1005&lt;=$A645)*MOVIMIENTOS!$E$5:$E$1005)-SUMPRODUCT((MOVIMIENTOS!$B$5:$B$1005="VENTA")*(MOVIMIENTOS!$C$5:$C$1005="A")*(MOVIMIENTOS!$D$5:$D$1005="jabas")*(MOVIMIENTOS!$A$5:$A$1005&lt;&gt;"")*(MOVIMIENTOS!$A$5:$A$1005&lt;=$A645)*MOVIMIENTOS!$E$5:$E$1005)+SUMPRODUCT((MOVIMIENTOS!$B$5:$B$1005="AJUSTE")*(MOVIMIENTOS!$C$5:$C$1005="A")*(MOVIMIENTOS!$D$5:$D$1005="jabas")*(MOVIMIENTOS!$A$5:$A$1005&lt;&gt;"")*(MOVIMIENTOS!$A$5:$A$1005&lt;=$A645)*MOVIMIENTOS!$E$5:$E$1005))</f>
        <v/>
      </c>
      <c r="C645" t="str">
        <f>IF($A645="","",SUMPRODUCT((MOVIMIENTOS!$B$5:$B$1005="SALDO INICIAL")*(MOVIMIENTOS!$C$5:$C$1005="P")*(MOVIMIENTOS!$D$5:$D$1005="jabas")*(MOVIMIENTOS!$A$5:$A$1005&lt;&gt;"")*(MOVIMIENTOS!$A$5:$A$1005&lt;=$A645)*MOVIMIENTOS!$E$5:$E$1005)+SUMPRODUCT((MOVIMIENTOS!$B$5:$B$1005="PROCESO")*(MOVIMIENTOS!$C$5:$C$1005="P")*(MOVIMIENTOS!$D$5:$D$1005="jabas")*(MOVIMIENTOS!$A$5:$A$1005&lt;&gt;"")*(MOVIMIENTOS!$A$5:$A$1005&lt;=$A645)*MOVIMIENTOS!$E$5:$E$1005)-SUMPRODUCT((MOVIMIENTOS!$B$5:$B$1005="ENVÍO A SUPESA")*(MOVIMIENTOS!$C$5:$C$1005="P")*(MOVIMIENTOS!$D$5:$D$1005="jabas")*(MOVIMIENTOS!$A$5:$A$1005&lt;&gt;"")*(MOVIMIENTOS!$A$5:$A$1005&lt;=$A645)*MOVIMIENTOS!$E$5:$E$1005)+SUMPRODUCT((MOVIMIENTOS!$B$5:$B$1005="DEVOLUCIÓN")*(MOVIMIENTOS!$C$5:$C$1005="P")*(MOVIMIENTOS!$D$5:$D$1005="jabas")*(MOVIMIENTOS!$A$5:$A$1005&lt;&gt;"")*(MOVIMIENTOS!$A$5:$A$1005&lt;=$A645)*MOVIMIENTOS!$E$5:$E$1005)-SUMPRODUCT((MOVIMIENTOS!$B$5:$B$1005="TRASIEGO")*(MOVIMIENTOS!$C$5:$C$1005="P")*(MOVIMIENTOS!$D$5:$D$1005="jabas")*(MOVIMIENTOS!$A$5:$A$1005&lt;&gt;"")*(MOVIMIENTOS!$A$5:$A$1005&lt;=$A645)*MOVIMIENTOS!$E$5:$E$1005)-SUMPRODUCT((MOVIMIENTOS!$B$5:$B$1005="REGALO")*(MOVIMIENTOS!$C$5:$C$1005="P")*(MOVIMIENTOS!$D$5:$D$1005="jabas")*(MOVIMIENTOS!$A$5:$A$1005&lt;&gt;"")*(MOVIMIENTOS!$A$5:$A$1005&lt;=$A645)*MOVIMIENTOS!$E$5:$E$1005)-SUMPRODUCT((MOVIMIENTOS!$B$5:$B$1005="VENTA")*(MOVIMIENTOS!$C$5:$C$1005="P")*(MOVIMIENTOS!$D$5:$D$1005="jabas")*(MOVIMIENTOS!$A$5:$A$1005&lt;&gt;"")*(MOVIMIENTOS!$A$5:$A$1005&lt;=$A645)*MOVIMIENTOS!$E$5:$E$1005)+SUMPRODUCT((MOVIMIENTOS!$B$5:$B$1005="AJUSTE")*(MOVIMIENTOS!$C$5:$C$1005="P")*(MOVIMIENTOS!$D$5:$D$1005="jabas")*(MOVIMIENTOS!$A$5:$A$1005&lt;&gt;"")*(MOVIMIENTOS!$A$5:$A$1005&lt;=$A645)*MOVIMIENTOS!$E$5:$E$1005))</f>
        <v/>
      </c>
      <c r="D645" t="str">
        <f>IF($A645="","",SUMPRODUCT((MOVIMIENTOS!$B$5:$B$1005="SALDO INICIAL")*(MOVIMIENTOS!$C$5:$C$1005="C")*(MOVIMIENTOS!$D$5:$D$1005="jabas")*(MOVIMIENTOS!$A$5:$A$1005&lt;&gt;"")*(MOVIMIENTOS!$A$5:$A$1005&lt;=$A645)*MOVIMIENTOS!$E$5:$E$1005)+SUMPRODUCT((MOVIMIENTOS!$B$5:$B$1005="PROCESO")*(MOVIMIENTOS!$C$5:$C$1005="C")*(MOVIMIENTOS!$D$5:$D$1005="jabas")*(MOVIMIENTOS!$A$5:$A$1005&lt;&gt;"")*(MOVIMIENTOS!$A$5:$A$1005&lt;=$A645)*MOVIMIENTOS!$E$5:$E$1005)-SUMPRODUCT((MOVIMIENTOS!$B$5:$B$1005="ENVÍO A SUPESA")*(MOVIMIENTOS!$C$5:$C$1005="C")*(MOVIMIENTOS!$D$5:$D$1005="jabas")*(MOVIMIENTOS!$A$5:$A$1005&lt;&gt;"")*(MOVIMIENTOS!$A$5:$A$1005&lt;=$A645)*MOVIMIENTOS!$E$5:$E$1005)+SUMPRODUCT((MOVIMIENTOS!$B$5:$B$1005="DEVOLUCIÓN")*(MOVIMIENTOS!$C$5:$C$1005="C")*(MOVIMIENTOS!$D$5:$D$1005="jabas")*(MOVIMIENTOS!$A$5:$A$1005&lt;&gt;"")*(MOVIMIENTOS!$A$5:$A$1005&lt;=$A645)*MOVIMIENTOS!$E$5:$E$1005)-SUMPRODUCT((MOVIMIENTOS!$B$5:$B$1005="TRASIEGO")*(MOVIMIENTOS!$C$5:$C$1005="C")*(MOVIMIENTOS!$D$5:$D$1005="jabas")*(MOVIMIENTOS!$A$5:$A$1005&lt;&gt;"")*(MOVIMIENTOS!$A$5:$A$1005&lt;=$A645)*MOVIMIENTOS!$E$5:$E$1005)-SUMPRODUCT((MOVIMIENTOS!$B$5:$B$1005="REGALO")*(MOVIMIENTOS!$C$5:$C$1005="C")*(MOVIMIENTOS!$D$5:$D$1005="jabas")*(MOVIMIENTOS!$A$5:$A$1005&lt;&gt;"")*(MOVIMIENTOS!$A$5:$A$1005&lt;=$A645)*MOVIMIENTOS!$E$5:$E$1005)-SUMPRODUCT((MOVIMIENTOS!$B$5:$B$1005="VENTA")*(MOVIMIENTOS!$C$5:$C$1005="C")*(MOVIMIENTOS!$D$5:$D$1005="jabas")*(MOVIMIENTOS!$A$5:$A$1005&lt;&gt;"")*(MOVIMIENTOS!$A$5:$A$1005&lt;=$A645)*MOVIMIENTOS!$E$5:$E$1005)+SUMPRODUCT((MOVIMIENTOS!$B$5:$B$1005="AJUSTE")*(MOVIMIENTOS!$C$5:$C$1005="C")*(MOVIMIENTOS!$D$5:$D$1005="jabas")*(MOVIMIENTOS!$A$5:$A$1005&lt;&gt;"")*(MOVIMIENTOS!$A$5:$A$1005&lt;=$A645)*MOVIMIENTOS!$E$5:$E$1005))</f>
        <v/>
      </c>
      <c r="E645" t="str">
        <f>IF($A645="","",SUMPRODUCT((MOVIMIENTOS!$B$5:$B$1005="SALDO INICIAL")*(MOVIMIENTOS!$C$5:$C$1005="M")*(MOVIMIENTOS!$D$5:$D$1005="jabas")*(MOVIMIENTOS!$A$5:$A$1005&lt;&gt;"")*(MOVIMIENTOS!$A$5:$A$1005&lt;=$A645)*MOVIMIENTOS!$E$5:$E$1005)+SUMPRODUCT((MOVIMIENTOS!$B$5:$B$1005="PROCESO")*(MOVIMIENTOS!$C$5:$C$1005="M")*(MOVIMIENTOS!$D$5:$D$1005="jabas")*(MOVIMIENTOS!$A$5:$A$1005&lt;&gt;"")*(MOVIMIENTOS!$A$5:$A$1005&lt;=$A645)*MOVIMIENTOS!$E$5:$E$1005)-SUMPRODUCT((MOVIMIENTOS!$B$5:$B$1005="ENVÍO A SUPESA")*(MOVIMIENTOS!$C$5:$C$1005="M")*(MOVIMIENTOS!$D$5:$D$1005="jabas")*(MOVIMIENTOS!$A$5:$A$1005&lt;&gt;"")*(MOVIMIENTOS!$A$5:$A$1005&lt;=$A645)*MOVIMIENTOS!$E$5:$E$1005)+SUMPRODUCT((MOVIMIENTOS!$B$5:$B$1005="DEVOLUCIÓN")*(MOVIMIENTOS!$C$5:$C$1005="M")*(MOVIMIENTOS!$D$5:$D$1005="jabas")*(MOVIMIENTOS!$A$5:$A$1005&lt;&gt;"")*(MOVIMIENTOS!$A$5:$A$1005&lt;=$A645)*MOVIMIENTOS!$E$5:$E$1005)-SUMPRODUCT((MOVIMIENTOS!$B$5:$B$1005="TRASIEGO")*(MOVIMIENTOS!$C$5:$C$1005="M")*(MOVIMIENTOS!$D$5:$D$1005="jabas")*(MOVIMIENTOS!$A$5:$A$1005&lt;&gt;"")*(MOVIMIENTOS!$A$5:$A$1005&lt;=$A645)*MOVIMIENTOS!$E$5:$E$1005)-SUMPRODUCT((MOVIMIENTOS!$B$5:$B$1005="REGALO")*(MOVIMIENTOS!$C$5:$C$1005="M")*(MOVIMIENTOS!$D$5:$D$1005="jabas")*(MOVIMIENTOS!$A$5:$A$1005&lt;&gt;"")*(MOVIMIENTOS!$A$5:$A$1005&lt;=$A645)*MOVIMIENTOS!$E$5:$E$1005)-SUMPRODUCT((MOVIMIENTOS!$B$5:$B$1005="VENTA")*(MOVIMIENTOS!$C$5:$C$1005="M")*(MOVIMIENTOS!$D$5:$D$1005="jabas")*(MOVIMIENTOS!$A$5:$A$1005&lt;&gt;"")*(MOVIMIENTOS!$A$5:$A$1005&lt;=$A645)*MOVIMIENTOS!$E$5:$E$1005)+SUMPRODUCT((MOVIMIENTOS!$B$5:$B$1005="AJUSTE")*(MOVIMIENTOS!$C$5:$C$1005="M")*(MOVIMIENTOS!$D$5:$D$1005="jabas")*(MOVIMIENTOS!$A$5:$A$1005&lt;&gt;"")*(MOVIMIENTOS!$A$5:$A$1005&lt;=$A645)*MOVIMIENTOS!$E$5:$E$1005))</f>
        <v/>
      </c>
      <c r="F645" s="62" t="str">
        <f>IF($A645="","",SUMPRODUCT((MOVIMIENTOS!$B$5:$B$1005="SALDO INICIAL")*(MOVIMIENTOS!$C$5:$C$1005="Chancho")*(MOVIMIENTOS!$D$5:$D$1005="sacos")*(MOVIMIENTOS!$A$5:$A$1005&lt;&gt;"")*(MOVIMIENTOS!$A$5:$A$1005&lt;=$A645)*MOVIMIENTOS!$E$5:$E$1005)+SUMPRODUCT((MOVIMIENTOS!$B$5:$B$1005="PROCESO")*(MOVIMIENTOS!$C$5:$C$1005="Chancho")*(MOVIMIENTOS!$D$5:$D$1005="sacos")*(MOVIMIENTOS!$A$5:$A$1005&lt;&gt;"")*(MOVIMIENTOS!$A$5:$A$1005&lt;=$A645)*MOVIMIENTOS!$E$5:$E$1005)-SUMPRODUCT((MOVIMIENTOS!$B$5:$B$1005="VENTA CHANCHO")*(MOVIMIENTOS!$C$5:$C$1005="Chancho")*(MOVIMIENTOS!$D$5:$D$1005="sacos")*(MOVIMIENTOS!$A$5:$A$1005&lt;&gt;"")*(MOVIMIENTOS!$A$5:$A$1005&lt;=$A645)*MOVIMIENTOS!$E$5:$E$1005)-SUMPRODUCT((MOVIMIENTOS!$B$5:$B$1005="REGALO")*(MOVIMIENTOS!$C$5:$C$1005="Chancho")*(MOVIMIENTOS!$D$5:$D$1005="sacos")*(MOVIMIENTOS!$A$5:$A$1005&lt;&gt;"")*(MOVIMIENTOS!$A$5:$A$1005&lt;=$A645)*MOVIMIENTOS!$E$5:$E$1005)-SUMPRODUCT((MOVIMIENTOS!$B$5:$B$1005="VENTA")*(MOVIMIENTOS!$C$5:$C$1005="Chancho")*(MOVIMIENTOS!$D$5:$D$1005="sacos")*(MOVIMIENTOS!$A$5:$A$1005&lt;&gt;"")*(MOVIMIENTOS!$A$5:$A$1005&lt;=$A645)*MOVIMIENTOS!$E$5:$E$1005)+SUMPRODUCT((MOVIMIENTOS!$B$5:$B$1005="AJUSTE")*(MOVIMIENTOS!$C$5:$C$1005="Chancho")*(MOVIMIENTOS!$D$5:$D$1005="sacos")*(MOVIMIENTOS!$A$5:$A$1005&lt;&gt;"")*(MOVIMIENTOS!$A$5:$A$1005&lt;=$A645)*MOVIMIENTOS!$E$5:$E$1005))</f>
        <v/>
      </c>
      <c r="G645" s="62" t="str">
        <f t="shared" ref="G645:G708" si="21">IF($A645="","",SUM(B645:E645))</f>
        <v/>
      </c>
      <c r="H645" t="str">
        <f>IF($A645="","",SUMPRODUCT((((MOVIMIENTOS!$B$5:$B$1005="SALDO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645)*MOVIMIENTOS!$J$5:$J$1005))</f>
        <v/>
      </c>
      <c r="J645" t="str">
        <f>IF(AND(MOVIMIENTOS!$A650&lt;&gt;"",COUNTIF(MOVIMIENTOS!$A$5:$A649,MOVIMIENTOS!$A650)=0),COUNT(J$4:J644)+1,"")</f>
        <v/>
      </c>
      <c r="K645">
        <f>MOVIMIENTOS!$A650</f>
        <v>0</v>
      </c>
    </row>
    <row r="646" spans="1:11" ht="15" customHeight="1" x14ac:dyDescent="0.2">
      <c r="A646" t="str">
        <f t="shared" si="20"/>
        <v/>
      </c>
      <c r="B646" t="str">
        <f>IF($A646="","",SUMPRODUCT((MOVIMIENTOS!$B$5:$B$1005="SALDO INICIAL")*(MOVIMIENTOS!$C$5:$C$1005="A")*(MOVIMIENTOS!$D$5:$D$1005="jabas")*(MOVIMIENTOS!$A$5:$A$1005&lt;&gt;"")*(MOVIMIENTOS!$A$5:$A$1005&lt;=$A646)*MOVIMIENTOS!$E$5:$E$1005)+SUMPRODUCT((MOVIMIENTOS!$B$5:$B$1005="PROCESO")*(MOVIMIENTOS!$C$5:$C$1005="A")*(MOVIMIENTOS!$D$5:$D$1005="jabas")*(MOVIMIENTOS!$A$5:$A$1005&lt;&gt;"")*(MOVIMIENTOS!$A$5:$A$1005&lt;=$A646)*MOVIMIENTOS!$E$5:$E$1005)-SUMPRODUCT((MOVIMIENTOS!$B$5:$B$1005="ENVÍO A SUPESA")*(MOVIMIENTOS!$C$5:$C$1005="A")*(MOVIMIENTOS!$D$5:$D$1005="jabas")*(MOVIMIENTOS!$A$5:$A$1005&lt;&gt;"")*(MOVIMIENTOS!$A$5:$A$1005&lt;=$A646)*MOVIMIENTOS!$E$5:$E$1005)+SUMPRODUCT((MOVIMIENTOS!$B$5:$B$1005="DEVOLUCIÓN")*(MOVIMIENTOS!$C$5:$C$1005="A")*(MOVIMIENTOS!$D$5:$D$1005="jabas")*(MOVIMIENTOS!$A$5:$A$1005&lt;&gt;"")*(MOVIMIENTOS!$A$5:$A$1005&lt;=$A646)*MOVIMIENTOS!$E$5:$E$1005)-SUMPRODUCT((MOVIMIENTOS!$B$5:$B$1005="TRASIEGO")*(MOVIMIENTOS!$C$5:$C$1005="A")*(MOVIMIENTOS!$D$5:$D$1005="jabas")*(MOVIMIENTOS!$A$5:$A$1005&lt;&gt;"")*(MOVIMIENTOS!$A$5:$A$1005&lt;=$A646)*MOVIMIENTOS!$E$5:$E$1005)-SUMPRODUCT((MOVIMIENTOS!$B$5:$B$1005="REGALO")*(MOVIMIENTOS!$C$5:$C$1005="A")*(MOVIMIENTOS!$D$5:$D$1005="jabas")*(MOVIMIENTOS!$A$5:$A$1005&lt;&gt;"")*(MOVIMIENTOS!$A$5:$A$1005&lt;=$A646)*MOVIMIENTOS!$E$5:$E$1005)-SUMPRODUCT((MOVIMIENTOS!$B$5:$B$1005="VENTA")*(MOVIMIENTOS!$C$5:$C$1005="A")*(MOVIMIENTOS!$D$5:$D$1005="jabas")*(MOVIMIENTOS!$A$5:$A$1005&lt;&gt;"")*(MOVIMIENTOS!$A$5:$A$1005&lt;=$A646)*MOVIMIENTOS!$E$5:$E$1005)+SUMPRODUCT((MOVIMIENTOS!$B$5:$B$1005="AJUSTE")*(MOVIMIENTOS!$C$5:$C$1005="A")*(MOVIMIENTOS!$D$5:$D$1005="jabas")*(MOVIMIENTOS!$A$5:$A$1005&lt;&gt;"")*(MOVIMIENTOS!$A$5:$A$1005&lt;=$A646)*MOVIMIENTOS!$E$5:$E$1005))</f>
        <v/>
      </c>
      <c r="C646" t="str">
        <f>IF($A646="","",SUMPRODUCT((MOVIMIENTOS!$B$5:$B$1005="SALDO INICIAL")*(MOVIMIENTOS!$C$5:$C$1005="P")*(MOVIMIENTOS!$D$5:$D$1005="jabas")*(MOVIMIENTOS!$A$5:$A$1005&lt;&gt;"")*(MOVIMIENTOS!$A$5:$A$1005&lt;=$A646)*MOVIMIENTOS!$E$5:$E$1005)+SUMPRODUCT((MOVIMIENTOS!$B$5:$B$1005="PROCESO")*(MOVIMIENTOS!$C$5:$C$1005="P")*(MOVIMIENTOS!$D$5:$D$1005="jabas")*(MOVIMIENTOS!$A$5:$A$1005&lt;&gt;"")*(MOVIMIENTOS!$A$5:$A$1005&lt;=$A646)*MOVIMIENTOS!$E$5:$E$1005)-SUMPRODUCT((MOVIMIENTOS!$B$5:$B$1005="ENVÍO A SUPESA")*(MOVIMIENTOS!$C$5:$C$1005="P")*(MOVIMIENTOS!$D$5:$D$1005="jabas")*(MOVIMIENTOS!$A$5:$A$1005&lt;&gt;"")*(MOVIMIENTOS!$A$5:$A$1005&lt;=$A646)*MOVIMIENTOS!$E$5:$E$1005)+SUMPRODUCT((MOVIMIENTOS!$B$5:$B$1005="DEVOLUCIÓN")*(MOVIMIENTOS!$C$5:$C$1005="P")*(MOVIMIENTOS!$D$5:$D$1005="jabas")*(MOVIMIENTOS!$A$5:$A$1005&lt;&gt;"")*(MOVIMIENTOS!$A$5:$A$1005&lt;=$A646)*MOVIMIENTOS!$E$5:$E$1005)-SUMPRODUCT((MOVIMIENTOS!$B$5:$B$1005="TRASIEGO")*(MOVIMIENTOS!$C$5:$C$1005="P")*(MOVIMIENTOS!$D$5:$D$1005="jabas")*(MOVIMIENTOS!$A$5:$A$1005&lt;&gt;"")*(MOVIMIENTOS!$A$5:$A$1005&lt;=$A646)*MOVIMIENTOS!$E$5:$E$1005)-SUMPRODUCT((MOVIMIENTOS!$B$5:$B$1005="REGALO")*(MOVIMIENTOS!$C$5:$C$1005="P")*(MOVIMIENTOS!$D$5:$D$1005="jabas")*(MOVIMIENTOS!$A$5:$A$1005&lt;&gt;"")*(MOVIMIENTOS!$A$5:$A$1005&lt;=$A646)*MOVIMIENTOS!$E$5:$E$1005)-SUMPRODUCT((MOVIMIENTOS!$B$5:$B$1005="VENTA")*(MOVIMIENTOS!$C$5:$C$1005="P")*(MOVIMIENTOS!$D$5:$D$1005="jabas")*(MOVIMIENTOS!$A$5:$A$1005&lt;&gt;"")*(MOVIMIENTOS!$A$5:$A$1005&lt;=$A646)*MOVIMIENTOS!$E$5:$E$1005)+SUMPRODUCT((MOVIMIENTOS!$B$5:$B$1005="AJUSTE")*(MOVIMIENTOS!$C$5:$C$1005="P")*(MOVIMIENTOS!$D$5:$D$1005="jabas")*(MOVIMIENTOS!$A$5:$A$1005&lt;&gt;"")*(MOVIMIENTOS!$A$5:$A$1005&lt;=$A646)*MOVIMIENTOS!$E$5:$E$1005))</f>
        <v/>
      </c>
      <c r="D646" t="str">
        <f>IF($A646="","",SUMPRODUCT((MOVIMIENTOS!$B$5:$B$1005="SALDO INICIAL")*(MOVIMIENTOS!$C$5:$C$1005="C")*(MOVIMIENTOS!$D$5:$D$1005="jabas")*(MOVIMIENTOS!$A$5:$A$1005&lt;&gt;"")*(MOVIMIENTOS!$A$5:$A$1005&lt;=$A646)*MOVIMIENTOS!$E$5:$E$1005)+SUMPRODUCT((MOVIMIENTOS!$B$5:$B$1005="PROCESO")*(MOVIMIENTOS!$C$5:$C$1005="C")*(MOVIMIENTOS!$D$5:$D$1005="jabas")*(MOVIMIENTOS!$A$5:$A$1005&lt;&gt;"")*(MOVIMIENTOS!$A$5:$A$1005&lt;=$A646)*MOVIMIENTOS!$E$5:$E$1005)-SUMPRODUCT((MOVIMIENTOS!$B$5:$B$1005="ENVÍO A SUPESA")*(MOVIMIENTOS!$C$5:$C$1005="C")*(MOVIMIENTOS!$D$5:$D$1005="jabas")*(MOVIMIENTOS!$A$5:$A$1005&lt;&gt;"")*(MOVIMIENTOS!$A$5:$A$1005&lt;=$A646)*MOVIMIENTOS!$E$5:$E$1005)+SUMPRODUCT((MOVIMIENTOS!$B$5:$B$1005="DEVOLUCIÓN")*(MOVIMIENTOS!$C$5:$C$1005="C")*(MOVIMIENTOS!$D$5:$D$1005="jabas")*(MOVIMIENTOS!$A$5:$A$1005&lt;&gt;"")*(MOVIMIENTOS!$A$5:$A$1005&lt;=$A646)*MOVIMIENTOS!$E$5:$E$1005)-SUMPRODUCT((MOVIMIENTOS!$B$5:$B$1005="TRASIEGO")*(MOVIMIENTOS!$C$5:$C$1005="C")*(MOVIMIENTOS!$D$5:$D$1005="jabas")*(MOVIMIENTOS!$A$5:$A$1005&lt;&gt;"")*(MOVIMIENTOS!$A$5:$A$1005&lt;=$A646)*MOVIMIENTOS!$E$5:$E$1005)-SUMPRODUCT((MOVIMIENTOS!$B$5:$B$1005="REGALO")*(MOVIMIENTOS!$C$5:$C$1005="C")*(MOVIMIENTOS!$D$5:$D$1005="jabas")*(MOVIMIENTOS!$A$5:$A$1005&lt;&gt;"")*(MOVIMIENTOS!$A$5:$A$1005&lt;=$A646)*MOVIMIENTOS!$E$5:$E$1005)-SUMPRODUCT((MOVIMIENTOS!$B$5:$B$1005="VENTA")*(MOVIMIENTOS!$C$5:$C$1005="C")*(MOVIMIENTOS!$D$5:$D$1005="jabas")*(MOVIMIENTOS!$A$5:$A$1005&lt;&gt;"")*(MOVIMIENTOS!$A$5:$A$1005&lt;=$A646)*MOVIMIENTOS!$E$5:$E$1005)+SUMPRODUCT((MOVIMIENTOS!$B$5:$B$1005="AJUSTE")*(MOVIMIENTOS!$C$5:$C$1005="C")*(MOVIMIENTOS!$D$5:$D$1005="jabas")*(MOVIMIENTOS!$A$5:$A$1005&lt;&gt;"")*(MOVIMIENTOS!$A$5:$A$1005&lt;=$A646)*MOVIMIENTOS!$E$5:$E$1005))</f>
        <v/>
      </c>
      <c r="E646" t="str">
        <f>IF($A646="","",SUMPRODUCT((MOVIMIENTOS!$B$5:$B$1005="SALDO INICIAL")*(MOVIMIENTOS!$C$5:$C$1005="M")*(MOVIMIENTOS!$D$5:$D$1005="jabas")*(MOVIMIENTOS!$A$5:$A$1005&lt;&gt;"")*(MOVIMIENTOS!$A$5:$A$1005&lt;=$A646)*MOVIMIENTOS!$E$5:$E$1005)+SUMPRODUCT((MOVIMIENTOS!$B$5:$B$1005="PROCESO")*(MOVIMIENTOS!$C$5:$C$1005="M")*(MOVIMIENTOS!$D$5:$D$1005="jabas")*(MOVIMIENTOS!$A$5:$A$1005&lt;&gt;"")*(MOVIMIENTOS!$A$5:$A$1005&lt;=$A646)*MOVIMIENTOS!$E$5:$E$1005)-SUMPRODUCT((MOVIMIENTOS!$B$5:$B$1005="ENVÍO A SUPESA")*(MOVIMIENTOS!$C$5:$C$1005="M")*(MOVIMIENTOS!$D$5:$D$1005="jabas")*(MOVIMIENTOS!$A$5:$A$1005&lt;&gt;"")*(MOVIMIENTOS!$A$5:$A$1005&lt;=$A646)*MOVIMIENTOS!$E$5:$E$1005)+SUMPRODUCT((MOVIMIENTOS!$B$5:$B$1005="DEVOLUCIÓN")*(MOVIMIENTOS!$C$5:$C$1005="M")*(MOVIMIENTOS!$D$5:$D$1005="jabas")*(MOVIMIENTOS!$A$5:$A$1005&lt;&gt;"")*(MOVIMIENTOS!$A$5:$A$1005&lt;=$A646)*MOVIMIENTOS!$E$5:$E$1005)-SUMPRODUCT((MOVIMIENTOS!$B$5:$B$1005="TRASIEGO")*(MOVIMIENTOS!$C$5:$C$1005="M")*(MOVIMIENTOS!$D$5:$D$1005="jabas")*(MOVIMIENTOS!$A$5:$A$1005&lt;&gt;"")*(MOVIMIENTOS!$A$5:$A$1005&lt;=$A646)*MOVIMIENTOS!$E$5:$E$1005)-SUMPRODUCT((MOVIMIENTOS!$B$5:$B$1005="REGALO")*(MOVIMIENTOS!$C$5:$C$1005="M")*(MOVIMIENTOS!$D$5:$D$1005="jabas")*(MOVIMIENTOS!$A$5:$A$1005&lt;&gt;"")*(MOVIMIENTOS!$A$5:$A$1005&lt;=$A646)*MOVIMIENTOS!$E$5:$E$1005)-SUMPRODUCT((MOVIMIENTOS!$B$5:$B$1005="VENTA")*(MOVIMIENTOS!$C$5:$C$1005="M")*(MOVIMIENTOS!$D$5:$D$1005="jabas")*(MOVIMIENTOS!$A$5:$A$1005&lt;&gt;"")*(MOVIMIENTOS!$A$5:$A$1005&lt;=$A646)*MOVIMIENTOS!$E$5:$E$1005)+SUMPRODUCT((MOVIMIENTOS!$B$5:$B$1005="AJUSTE")*(MOVIMIENTOS!$C$5:$C$1005="M")*(MOVIMIENTOS!$D$5:$D$1005="jabas")*(MOVIMIENTOS!$A$5:$A$1005&lt;&gt;"")*(MOVIMIENTOS!$A$5:$A$1005&lt;=$A646)*MOVIMIENTOS!$E$5:$E$1005))</f>
        <v/>
      </c>
      <c r="F646" s="62" t="str">
        <f>IF($A646="","",SUMPRODUCT((MOVIMIENTOS!$B$5:$B$1005="SALDO INICIAL")*(MOVIMIENTOS!$C$5:$C$1005="Chancho")*(MOVIMIENTOS!$D$5:$D$1005="sacos")*(MOVIMIENTOS!$A$5:$A$1005&lt;&gt;"")*(MOVIMIENTOS!$A$5:$A$1005&lt;=$A646)*MOVIMIENTOS!$E$5:$E$1005)+SUMPRODUCT((MOVIMIENTOS!$B$5:$B$1005="PROCESO")*(MOVIMIENTOS!$C$5:$C$1005="Chancho")*(MOVIMIENTOS!$D$5:$D$1005="sacos")*(MOVIMIENTOS!$A$5:$A$1005&lt;&gt;"")*(MOVIMIENTOS!$A$5:$A$1005&lt;=$A646)*MOVIMIENTOS!$E$5:$E$1005)-SUMPRODUCT((MOVIMIENTOS!$B$5:$B$1005="VENTA CHANCHO")*(MOVIMIENTOS!$C$5:$C$1005="Chancho")*(MOVIMIENTOS!$D$5:$D$1005="sacos")*(MOVIMIENTOS!$A$5:$A$1005&lt;&gt;"")*(MOVIMIENTOS!$A$5:$A$1005&lt;=$A646)*MOVIMIENTOS!$E$5:$E$1005)-SUMPRODUCT((MOVIMIENTOS!$B$5:$B$1005="REGALO")*(MOVIMIENTOS!$C$5:$C$1005="Chancho")*(MOVIMIENTOS!$D$5:$D$1005="sacos")*(MOVIMIENTOS!$A$5:$A$1005&lt;&gt;"")*(MOVIMIENTOS!$A$5:$A$1005&lt;=$A646)*MOVIMIENTOS!$E$5:$E$1005)-SUMPRODUCT((MOVIMIENTOS!$B$5:$B$1005="VENTA")*(MOVIMIENTOS!$C$5:$C$1005="Chancho")*(MOVIMIENTOS!$D$5:$D$1005="sacos")*(MOVIMIENTOS!$A$5:$A$1005&lt;&gt;"")*(MOVIMIENTOS!$A$5:$A$1005&lt;=$A646)*MOVIMIENTOS!$E$5:$E$1005)+SUMPRODUCT((MOVIMIENTOS!$B$5:$B$1005="AJUSTE")*(MOVIMIENTOS!$C$5:$C$1005="Chancho")*(MOVIMIENTOS!$D$5:$D$1005="sacos")*(MOVIMIENTOS!$A$5:$A$1005&lt;&gt;"")*(MOVIMIENTOS!$A$5:$A$1005&lt;=$A646)*MOVIMIENTOS!$E$5:$E$1005))</f>
        <v/>
      </c>
      <c r="G646" s="62" t="str">
        <f t="shared" si="21"/>
        <v/>
      </c>
      <c r="H646" t="str">
        <f>IF($A646="","",SUMPRODUCT((((MOVIMIENTOS!$B$5:$B$1005="SALDO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646)*MOVIMIENTOS!$J$5:$J$1005))</f>
        <v/>
      </c>
      <c r="J646" t="str">
        <f>IF(AND(MOVIMIENTOS!$A651&lt;&gt;"",COUNTIF(MOVIMIENTOS!$A$5:$A650,MOVIMIENTOS!$A651)=0),COUNT(J$4:J645)+1,"")</f>
        <v/>
      </c>
      <c r="K646">
        <f>MOVIMIENTOS!$A651</f>
        <v>0</v>
      </c>
    </row>
    <row r="647" spans="1:11" ht="15" customHeight="1" x14ac:dyDescent="0.2">
      <c r="A647" t="str">
        <f t="shared" si="20"/>
        <v/>
      </c>
      <c r="B647" t="str">
        <f>IF($A647="","",SUMPRODUCT((MOVIMIENTOS!$B$5:$B$1005="SALDO INICIAL")*(MOVIMIENTOS!$C$5:$C$1005="A")*(MOVIMIENTOS!$D$5:$D$1005="jabas")*(MOVIMIENTOS!$A$5:$A$1005&lt;&gt;"")*(MOVIMIENTOS!$A$5:$A$1005&lt;=$A647)*MOVIMIENTOS!$E$5:$E$1005)+SUMPRODUCT((MOVIMIENTOS!$B$5:$B$1005="PROCESO")*(MOVIMIENTOS!$C$5:$C$1005="A")*(MOVIMIENTOS!$D$5:$D$1005="jabas")*(MOVIMIENTOS!$A$5:$A$1005&lt;&gt;"")*(MOVIMIENTOS!$A$5:$A$1005&lt;=$A647)*MOVIMIENTOS!$E$5:$E$1005)-SUMPRODUCT((MOVIMIENTOS!$B$5:$B$1005="ENVÍO A SUPESA")*(MOVIMIENTOS!$C$5:$C$1005="A")*(MOVIMIENTOS!$D$5:$D$1005="jabas")*(MOVIMIENTOS!$A$5:$A$1005&lt;&gt;"")*(MOVIMIENTOS!$A$5:$A$1005&lt;=$A647)*MOVIMIENTOS!$E$5:$E$1005)+SUMPRODUCT((MOVIMIENTOS!$B$5:$B$1005="DEVOLUCIÓN")*(MOVIMIENTOS!$C$5:$C$1005="A")*(MOVIMIENTOS!$D$5:$D$1005="jabas")*(MOVIMIENTOS!$A$5:$A$1005&lt;&gt;"")*(MOVIMIENTOS!$A$5:$A$1005&lt;=$A647)*MOVIMIENTOS!$E$5:$E$1005)-SUMPRODUCT((MOVIMIENTOS!$B$5:$B$1005="TRASIEGO")*(MOVIMIENTOS!$C$5:$C$1005="A")*(MOVIMIENTOS!$D$5:$D$1005="jabas")*(MOVIMIENTOS!$A$5:$A$1005&lt;&gt;"")*(MOVIMIENTOS!$A$5:$A$1005&lt;=$A647)*MOVIMIENTOS!$E$5:$E$1005)-SUMPRODUCT((MOVIMIENTOS!$B$5:$B$1005="REGALO")*(MOVIMIENTOS!$C$5:$C$1005="A")*(MOVIMIENTOS!$D$5:$D$1005="jabas")*(MOVIMIENTOS!$A$5:$A$1005&lt;&gt;"")*(MOVIMIENTOS!$A$5:$A$1005&lt;=$A647)*MOVIMIENTOS!$E$5:$E$1005)-SUMPRODUCT((MOVIMIENTOS!$B$5:$B$1005="VENTA")*(MOVIMIENTOS!$C$5:$C$1005="A")*(MOVIMIENTOS!$D$5:$D$1005="jabas")*(MOVIMIENTOS!$A$5:$A$1005&lt;&gt;"")*(MOVIMIENTOS!$A$5:$A$1005&lt;=$A647)*MOVIMIENTOS!$E$5:$E$1005)+SUMPRODUCT((MOVIMIENTOS!$B$5:$B$1005="AJUSTE")*(MOVIMIENTOS!$C$5:$C$1005="A")*(MOVIMIENTOS!$D$5:$D$1005="jabas")*(MOVIMIENTOS!$A$5:$A$1005&lt;&gt;"")*(MOVIMIENTOS!$A$5:$A$1005&lt;=$A647)*MOVIMIENTOS!$E$5:$E$1005))</f>
        <v/>
      </c>
      <c r="C647" t="str">
        <f>IF($A647="","",SUMPRODUCT((MOVIMIENTOS!$B$5:$B$1005="SALDO INICIAL")*(MOVIMIENTOS!$C$5:$C$1005="P")*(MOVIMIENTOS!$D$5:$D$1005="jabas")*(MOVIMIENTOS!$A$5:$A$1005&lt;&gt;"")*(MOVIMIENTOS!$A$5:$A$1005&lt;=$A647)*MOVIMIENTOS!$E$5:$E$1005)+SUMPRODUCT((MOVIMIENTOS!$B$5:$B$1005="PROCESO")*(MOVIMIENTOS!$C$5:$C$1005="P")*(MOVIMIENTOS!$D$5:$D$1005="jabas")*(MOVIMIENTOS!$A$5:$A$1005&lt;&gt;"")*(MOVIMIENTOS!$A$5:$A$1005&lt;=$A647)*MOVIMIENTOS!$E$5:$E$1005)-SUMPRODUCT((MOVIMIENTOS!$B$5:$B$1005="ENVÍO A SUPESA")*(MOVIMIENTOS!$C$5:$C$1005="P")*(MOVIMIENTOS!$D$5:$D$1005="jabas")*(MOVIMIENTOS!$A$5:$A$1005&lt;&gt;"")*(MOVIMIENTOS!$A$5:$A$1005&lt;=$A647)*MOVIMIENTOS!$E$5:$E$1005)+SUMPRODUCT((MOVIMIENTOS!$B$5:$B$1005="DEVOLUCIÓN")*(MOVIMIENTOS!$C$5:$C$1005="P")*(MOVIMIENTOS!$D$5:$D$1005="jabas")*(MOVIMIENTOS!$A$5:$A$1005&lt;&gt;"")*(MOVIMIENTOS!$A$5:$A$1005&lt;=$A647)*MOVIMIENTOS!$E$5:$E$1005)-SUMPRODUCT((MOVIMIENTOS!$B$5:$B$1005="TRASIEGO")*(MOVIMIENTOS!$C$5:$C$1005="P")*(MOVIMIENTOS!$D$5:$D$1005="jabas")*(MOVIMIENTOS!$A$5:$A$1005&lt;&gt;"")*(MOVIMIENTOS!$A$5:$A$1005&lt;=$A647)*MOVIMIENTOS!$E$5:$E$1005)-SUMPRODUCT((MOVIMIENTOS!$B$5:$B$1005="REGALO")*(MOVIMIENTOS!$C$5:$C$1005="P")*(MOVIMIENTOS!$D$5:$D$1005="jabas")*(MOVIMIENTOS!$A$5:$A$1005&lt;&gt;"")*(MOVIMIENTOS!$A$5:$A$1005&lt;=$A647)*MOVIMIENTOS!$E$5:$E$1005)-SUMPRODUCT((MOVIMIENTOS!$B$5:$B$1005="VENTA")*(MOVIMIENTOS!$C$5:$C$1005="P")*(MOVIMIENTOS!$D$5:$D$1005="jabas")*(MOVIMIENTOS!$A$5:$A$1005&lt;&gt;"")*(MOVIMIENTOS!$A$5:$A$1005&lt;=$A647)*MOVIMIENTOS!$E$5:$E$1005)+SUMPRODUCT((MOVIMIENTOS!$B$5:$B$1005="AJUSTE")*(MOVIMIENTOS!$C$5:$C$1005="P")*(MOVIMIENTOS!$D$5:$D$1005="jabas")*(MOVIMIENTOS!$A$5:$A$1005&lt;&gt;"")*(MOVIMIENTOS!$A$5:$A$1005&lt;=$A647)*MOVIMIENTOS!$E$5:$E$1005))</f>
        <v/>
      </c>
      <c r="D647" t="str">
        <f>IF($A647="","",SUMPRODUCT((MOVIMIENTOS!$B$5:$B$1005="SALDO INICIAL")*(MOVIMIENTOS!$C$5:$C$1005="C")*(MOVIMIENTOS!$D$5:$D$1005="jabas")*(MOVIMIENTOS!$A$5:$A$1005&lt;&gt;"")*(MOVIMIENTOS!$A$5:$A$1005&lt;=$A647)*MOVIMIENTOS!$E$5:$E$1005)+SUMPRODUCT((MOVIMIENTOS!$B$5:$B$1005="PROCESO")*(MOVIMIENTOS!$C$5:$C$1005="C")*(MOVIMIENTOS!$D$5:$D$1005="jabas")*(MOVIMIENTOS!$A$5:$A$1005&lt;&gt;"")*(MOVIMIENTOS!$A$5:$A$1005&lt;=$A647)*MOVIMIENTOS!$E$5:$E$1005)-SUMPRODUCT((MOVIMIENTOS!$B$5:$B$1005="ENVÍO A SUPESA")*(MOVIMIENTOS!$C$5:$C$1005="C")*(MOVIMIENTOS!$D$5:$D$1005="jabas")*(MOVIMIENTOS!$A$5:$A$1005&lt;&gt;"")*(MOVIMIENTOS!$A$5:$A$1005&lt;=$A647)*MOVIMIENTOS!$E$5:$E$1005)+SUMPRODUCT((MOVIMIENTOS!$B$5:$B$1005="DEVOLUCIÓN")*(MOVIMIENTOS!$C$5:$C$1005="C")*(MOVIMIENTOS!$D$5:$D$1005="jabas")*(MOVIMIENTOS!$A$5:$A$1005&lt;&gt;"")*(MOVIMIENTOS!$A$5:$A$1005&lt;=$A647)*MOVIMIENTOS!$E$5:$E$1005)-SUMPRODUCT((MOVIMIENTOS!$B$5:$B$1005="TRASIEGO")*(MOVIMIENTOS!$C$5:$C$1005="C")*(MOVIMIENTOS!$D$5:$D$1005="jabas")*(MOVIMIENTOS!$A$5:$A$1005&lt;&gt;"")*(MOVIMIENTOS!$A$5:$A$1005&lt;=$A647)*MOVIMIENTOS!$E$5:$E$1005)-SUMPRODUCT((MOVIMIENTOS!$B$5:$B$1005="REGALO")*(MOVIMIENTOS!$C$5:$C$1005="C")*(MOVIMIENTOS!$D$5:$D$1005="jabas")*(MOVIMIENTOS!$A$5:$A$1005&lt;&gt;"")*(MOVIMIENTOS!$A$5:$A$1005&lt;=$A647)*MOVIMIENTOS!$E$5:$E$1005)-SUMPRODUCT((MOVIMIENTOS!$B$5:$B$1005="VENTA")*(MOVIMIENTOS!$C$5:$C$1005="C")*(MOVIMIENTOS!$D$5:$D$1005="jabas")*(MOVIMIENTOS!$A$5:$A$1005&lt;&gt;"")*(MOVIMIENTOS!$A$5:$A$1005&lt;=$A647)*MOVIMIENTOS!$E$5:$E$1005)+SUMPRODUCT((MOVIMIENTOS!$B$5:$B$1005="AJUSTE")*(MOVIMIENTOS!$C$5:$C$1005="C")*(MOVIMIENTOS!$D$5:$D$1005="jabas")*(MOVIMIENTOS!$A$5:$A$1005&lt;&gt;"")*(MOVIMIENTOS!$A$5:$A$1005&lt;=$A647)*MOVIMIENTOS!$E$5:$E$1005))</f>
        <v/>
      </c>
      <c r="E647" t="str">
        <f>IF($A647="","",SUMPRODUCT((MOVIMIENTOS!$B$5:$B$1005="SALDO INICIAL")*(MOVIMIENTOS!$C$5:$C$1005="M")*(MOVIMIENTOS!$D$5:$D$1005="jabas")*(MOVIMIENTOS!$A$5:$A$1005&lt;&gt;"")*(MOVIMIENTOS!$A$5:$A$1005&lt;=$A647)*MOVIMIENTOS!$E$5:$E$1005)+SUMPRODUCT((MOVIMIENTOS!$B$5:$B$1005="PROCESO")*(MOVIMIENTOS!$C$5:$C$1005="M")*(MOVIMIENTOS!$D$5:$D$1005="jabas")*(MOVIMIENTOS!$A$5:$A$1005&lt;&gt;"")*(MOVIMIENTOS!$A$5:$A$1005&lt;=$A647)*MOVIMIENTOS!$E$5:$E$1005)-SUMPRODUCT((MOVIMIENTOS!$B$5:$B$1005="ENVÍO A SUPESA")*(MOVIMIENTOS!$C$5:$C$1005="M")*(MOVIMIENTOS!$D$5:$D$1005="jabas")*(MOVIMIENTOS!$A$5:$A$1005&lt;&gt;"")*(MOVIMIENTOS!$A$5:$A$1005&lt;=$A647)*MOVIMIENTOS!$E$5:$E$1005)+SUMPRODUCT((MOVIMIENTOS!$B$5:$B$1005="DEVOLUCIÓN")*(MOVIMIENTOS!$C$5:$C$1005="M")*(MOVIMIENTOS!$D$5:$D$1005="jabas")*(MOVIMIENTOS!$A$5:$A$1005&lt;&gt;"")*(MOVIMIENTOS!$A$5:$A$1005&lt;=$A647)*MOVIMIENTOS!$E$5:$E$1005)-SUMPRODUCT((MOVIMIENTOS!$B$5:$B$1005="TRASIEGO")*(MOVIMIENTOS!$C$5:$C$1005="M")*(MOVIMIENTOS!$D$5:$D$1005="jabas")*(MOVIMIENTOS!$A$5:$A$1005&lt;&gt;"")*(MOVIMIENTOS!$A$5:$A$1005&lt;=$A647)*MOVIMIENTOS!$E$5:$E$1005)-SUMPRODUCT((MOVIMIENTOS!$B$5:$B$1005="REGALO")*(MOVIMIENTOS!$C$5:$C$1005="M")*(MOVIMIENTOS!$D$5:$D$1005="jabas")*(MOVIMIENTOS!$A$5:$A$1005&lt;&gt;"")*(MOVIMIENTOS!$A$5:$A$1005&lt;=$A647)*MOVIMIENTOS!$E$5:$E$1005)-SUMPRODUCT((MOVIMIENTOS!$B$5:$B$1005="VENTA")*(MOVIMIENTOS!$C$5:$C$1005="M")*(MOVIMIENTOS!$D$5:$D$1005="jabas")*(MOVIMIENTOS!$A$5:$A$1005&lt;&gt;"")*(MOVIMIENTOS!$A$5:$A$1005&lt;=$A647)*MOVIMIENTOS!$E$5:$E$1005)+SUMPRODUCT((MOVIMIENTOS!$B$5:$B$1005="AJUSTE")*(MOVIMIENTOS!$C$5:$C$1005="M")*(MOVIMIENTOS!$D$5:$D$1005="jabas")*(MOVIMIENTOS!$A$5:$A$1005&lt;&gt;"")*(MOVIMIENTOS!$A$5:$A$1005&lt;=$A647)*MOVIMIENTOS!$E$5:$E$1005))</f>
        <v/>
      </c>
      <c r="F647" s="62" t="str">
        <f>IF($A647="","",SUMPRODUCT((MOVIMIENTOS!$B$5:$B$1005="SALDO INICIAL")*(MOVIMIENTOS!$C$5:$C$1005="Chancho")*(MOVIMIENTOS!$D$5:$D$1005="sacos")*(MOVIMIENTOS!$A$5:$A$1005&lt;&gt;"")*(MOVIMIENTOS!$A$5:$A$1005&lt;=$A647)*MOVIMIENTOS!$E$5:$E$1005)+SUMPRODUCT((MOVIMIENTOS!$B$5:$B$1005="PROCESO")*(MOVIMIENTOS!$C$5:$C$1005="Chancho")*(MOVIMIENTOS!$D$5:$D$1005="sacos")*(MOVIMIENTOS!$A$5:$A$1005&lt;&gt;"")*(MOVIMIENTOS!$A$5:$A$1005&lt;=$A647)*MOVIMIENTOS!$E$5:$E$1005)-SUMPRODUCT((MOVIMIENTOS!$B$5:$B$1005="VENTA CHANCHO")*(MOVIMIENTOS!$C$5:$C$1005="Chancho")*(MOVIMIENTOS!$D$5:$D$1005="sacos")*(MOVIMIENTOS!$A$5:$A$1005&lt;&gt;"")*(MOVIMIENTOS!$A$5:$A$1005&lt;=$A647)*MOVIMIENTOS!$E$5:$E$1005)-SUMPRODUCT((MOVIMIENTOS!$B$5:$B$1005="REGALO")*(MOVIMIENTOS!$C$5:$C$1005="Chancho")*(MOVIMIENTOS!$D$5:$D$1005="sacos")*(MOVIMIENTOS!$A$5:$A$1005&lt;&gt;"")*(MOVIMIENTOS!$A$5:$A$1005&lt;=$A647)*MOVIMIENTOS!$E$5:$E$1005)-SUMPRODUCT((MOVIMIENTOS!$B$5:$B$1005="VENTA")*(MOVIMIENTOS!$C$5:$C$1005="Chancho")*(MOVIMIENTOS!$D$5:$D$1005="sacos")*(MOVIMIENTOS!$A$5:$A$1005&lt;&gt;"")*(MOVIMIENTOS!$A$5:$A$1005&lt;=$A647)*MOVIMIENTOS!$E$5:$E$1005)+SUMPRODUCT((MOVIMIENTOS!$B$5:$B$1005="AJUSTE")*(MOVIMIENTOS!$C$5:$C$1005="Chancho")*(MOVIMIENTOS!$D$5:$D$1005="sacos")*(MOVIMIENTOS!$A$5:$A$1005&lt;&gt;"")*(MOVIMIENTOS!$A$5:$A$1005&lt;=$A647)*MOVIMIENTOS!$E$5:$E$1005))</f>
        <v/>
      </c>
      <c r="G647" s="62" t="str">
        <f t="shared" si="21"/>
        <v/>
      </c>
      <c r="H647" t="str">
        <f>IF($A647="","",SUMPRODUCT((((MOVIMIENTOS!$B$5:$B$1005="SALDO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647)*MOVIMIENTOS!$J$5:$J$1005))</f>
        <v/>
      </c>
      <c r="J647" t="str">
        <f>IF(AND(MOVIMIENTOS!$A652&lt;&gt;"",COUNTIF(MOVIMIENTOS!$A$5:$A651,MOVIMIENTOS!$A652)=0),COUNT(J$4:J646)+1,"")</f>
        <v/>
      </c>
      <c r="K647">
        <f>MOVIMIENTOS!$A652</f>
        <v>0</v>
      </c>
    </row>
    <row r="648" spans="1:11" ht="15" customHeight="1" x14ac:dyDescent="0.2">
      <c r="A648" t="str">
        <f t="shared" si="20"/>
        <v/>
      </c>
      <c r="B648" t="str">
        <f>IF($A648="","",SUMPRODUCT((MOVIMIENTOS!$B$5:$B$1005="SALDO INICIAL")*(MOVIMIENTOS!$C$5:$C$1005="A")*(MOVIMIENTOS!$D$5:$D$1005="jabas")*(MOVIMIENTOS!$A$5:$A$1005&lt;&gt;"")*(MOVIMIENTOS!$A$5:$A$1005&lt;=$A648)*MOVIMIENTOS!$E$5:$E$1005)+SUMPRODUCT((MOVIMIENTOS!$B$5:$B$1005="PROCESO")*(MOVIMIENTOS!$C$5:$C$1005="A")*(MOVIMIENTOS!$D$5:$D$1005="jabas")*(MOVIMIENTOS!$A$5:$A$1005&lt;&gt;"")*(MOVIMIENTOS!$A$5:$A$1005&lt;=$A648)*MOVIMIENTOS!$E$5:$E$1005)-SUMPRODUCT((MOVIMIENTOS!$B$5:$B$1005="ENVÍO A SUPESA")*(MOVIMIENTOS!$C$5:$C$1005="A")*(MOVIMIENTOS!$D$5:$D$1005="jabas")*(MOVIMIENTOS!$A$5:$A$1005&lt;&gt;"")*(MOVIMIENTOS!$A$5:$A$1005&lt;=$A648)*MOVIMIENTOS!$E$5:$E$1005)+SUMPRODUCT((MOVIMIENTOS!$B$5:$B$1005="DEVOLUCIÓN")*(MOVIMIENTOS!$C$5:$C$1005="A")*(MOVIMIENTOS!$D$5:$D$1005="jabas")*(MOVIMIENTOS!$A$5:$A$1005&lt;&gt;"")*(MOVIMIENTOS!$A$5:$A$1005&lt;=$A648)*MOVIMIENTOS!$E$5:$E$1005)-SUMPRODUCT((MOVIMIENTOS!$B$5:$B$1005="TRASIEGO")*(MOVIMIENTOS!$C$5:$C$1005="A")*(MOVIMIENTOS!$D$5:$D$1005="jabas")*(MOVIMIENTOS!$A$5:$A$1005&lt;&gt;"")*(MOVIMIENTOS!$A$5:$A$1005&lt;=$A648)*MOVIMIENTOS!$E$5:$E$1005)-SUMPRODUCT((MOVIMIENTOS!$B$5:$B$1005="REGALO")*(MOVIMIENTOS!$C$5:$C$1005="A")*(MOVIMIENTOS!$D$5:$D$1005="jabas")*(MOVIMIENTOS!$A$5:$A$1005&lt;&gt;"")*(MOVIMIENTOS!$A$5:$A$1005&lt;=$A648)*MOVIMIENTOS!$E$5:$E$1005)-SUMPRODUCT((MOVIMIENTOS!$B$5:$B$1005="VENTA")*(MOVIMIENTOS!$C$5:$C$1005="A")*(MOVIMIENTOS!$D$5:$D$1005="jabas")*(MOVIMIENTOS!$A$5:$A$1005&lt;&gt;"")*(MOVIMIENTOS!$A$5:$A$1005&lt;=$A648)*MOVIMIENTOS!$E$5:$E$1005)+SUMPRODUCT((MOVIMIENTOS!$B$5:$B$1005="AJUSTE")*(MOVIMIENTOS!$C$5:$C$1005="A")*(MOVIMIENTOS!$D$5:$D$1005="jabas")*(MOVIMIENTOS!$A$5:$A$1005&lt;&gt;"")*(MOVIMIENTOS!$A$5:$A$1005&lt;=$A648)*MOVIMIENTOS!$E$5:$E$1005))</f>
        <v/>
      </c>
      <c r="C648" t="str">
        <f>IF($A648="","",SUMPRODUCT((MOVIMIENTOS!$B$5:$B$1005="SALDO INICIAL")*(MOVIMIENTOS!$C$5:$C$1005="P")*(MOVIMIENTOS!$D$5:$D$1005="jabas")*(MOVIMIENTOS!$A$5:$A$1005&lt;&gt;"")*(MOVIMIENTOS!$A$5:$A$1005&lt;=$A648)*MOVIMIENTOS!$E$5:$E$1005)+SUMPRODUCT((MOVIMIENTOS!$B$5:$B$1005="PROCESO")*(MOVIMIENTOS!$C$5:$C$1005="P")*(MOVIMIENTOS!$D$5:$D$1005="jabas")*(MOVIMIENTOS!$A$5:$A$1005&lt;&gt;"")*(MOVIMIENTOS!$A$5:$A$1005&lt;=$A648)*MOVIMIENTOS!$E$5:$E$1005)-SUMPRODUCT((MOVIMIENTOS!$B$5:$B$1005="ENVÍO A SUPESA")*(MOVIMIENTOS!$C$5:$C$1005="P")*(MOVIMIENTOS!$D$5:$D$1005="jabas")*(MOVIMIENTOS!$A$5:$A$1005&lt;&gt;"")*(MOVIMIENTOS!$A$5:$A$1005&lt;=$A648)*MOVIMIENTOS!$E$5:$E$1005)+SUMPRODUCT((MOVIMIENTOS!$B$5:$B$1005="DEVOLUCIÓN")*(MOVIMIENTOS!$C$5:$C$1005="P")*(MOVIMIENTOS!$D$5:$D$1005="jabas")*(MOVIMIENTOS!$A$5:$A$1005&lt;&gt;"")*(MOVIMIENTOS!$A$5:$A$1005&lt;=$A648)*MOVIMIENTOS!$E$5:$E$1005)-SUMPRODUCT((MOVIMIENTOS!$B$5:$B$1005="TRASIEGO")*(MOVIMIENTOS!$C$5:$C$1005="P")*(MOVIMIENTOS!$D$5:$D$1005="jabas")*(MOVIMIENTOS!$A$5:$A$1005&lt;&gt;"")*(MOVIMIENTOS!$A$5:$A$1005&lt;=$A648)*MOVIMIENTOS!$E$5:$E$1005)-SUMPRODUCT((MOVIMIENTOS!$B$5:$B$1005="REGALO")*(MOVIMIENTOS!$C$5:$C$1005="P")*(MOVIMIENTOS!$D$5:$D$1005="jabas")*(MOVIMIENTOS!$A$5:$A$1005&lt;&gt;"")*(MOVIMIENTOS!$A$5:$A$1005&lt;=$A648)*MOVIMIENTOS!$E$5:$E$1005)-SUMPRODUCT((MOVIMIENTOS!$B$5:$B$1005="VENTA")*(MOVIMIENTOS!$C$5:$C$1005="P")*(MOVIMIENTOS!$D$5:$D$1005="jabas")*(MOVIMIENTOS!$A$5:$A$1005&lt;&gt;"")*(MOVIMIENTOS!$A$5:$A$1005&lt;=$A648)*MOVIMIENTOS!$E$5:$E$1005)+SUMPRODUCT((MOVIMIENTOS!$B$5:$B$1005="AJUSTE")*(MOVIMIENTOS!$C$5:$C$1005="P")*(MOVIMIENTOS!$D$5:$D$1005="jabas")*(MOVIMIENTOS!$A$5:$A$1005&lt;&gt;"")*(MOVIMIENTOS!$A$5:$A$1005&lt;=$A648)*MOVIMIENTOS!$E$5:$E$1005))</f>
        <v/>
      </c>
      <c r="D648" t="str">
        <f>IF($A648="","",SUMPRODUCT((MOVIMIENTOS!$B$5:$B$1005="SALDO INICIAL")*(MOVIMIENTOS!$C$5:$C$1005="C")*(MOVIMIENTOS!$D$5:$D$1005="jabas")*(MOVIMIENTOS!$A$5:$A$1005&lt;&gt;"")*(MOVIMIENTOS!$A$5:$A$1005&lt;=$A648)*MOVIMIENTOS!$E$5:$E$1005)+SUMPRODUCT((MOVIMIENTOS!$B$5:$B$1005="PROCESO")*(MOVIMIENTOS!$C$5:$C$1005="C")*(MOVIMIENTOS!$D$5:$D$1005="jabas")*(MOVIMIENTOS!$A$5:$A$1005&lt;&gt;"")*(MOVIMIENTOS!$A$5:$A$1005&lt;=$A648)*MOVIMIENTOS!$E$5:$E$1005)-SUMPRODUCT((MOVIMIENTOS!$B$5:$B$1005="ENVÍO A SUPESA")*(MOVIMIENTOS!$C$5:$C$1005="C")*(MOVIMIENTOS!$D$5:$D$1005="jabas")*(MOVIMIENTOS!$A$5:$A$1005&lt;&gt;"")*(MOVIMIENTOS!$A$5:$A$1005&lt;=$A648)*MOVIMIENTOS!$E$5:$E$1005)+SUMPRODUCT((MOVIMIENTOS!$B$5:$B$1005="DEVOLUCIÓN")*(MOVIMIENTOS!$C$5:$C$1005="C")*(MOVIMIENTOS!$D$5:$D$1005="jabas")*(MOVIMIENTOS!$A$5:$A$1005&lt;&gt;"")*(MOVIMIENTOS!$A$5:$A$1005&lt;=$A648)*MOVIMIENTOS!$E$5:$E$1005)-SUMPRODUCT((MOVIMIENTOS!$B$5:$B$1005="TRASIEGO")*(MOVIMIENTOS!$C$5:$C$1005="C")*(MOVIMIENTOS!$D$5:$D$1005="jabas")*(MOVIMIENTOS!$A$5:$A$1005&lt;&gt;"")*(MOVIMIENTOS!$A$5:$A$1005&lt;=$A648)*MOVIMIENTOS!$E$5:$E$1005)-SUMPRODUCT((MOVIMIENTOS!$B$5:$B$1005="REGALO")*(MOVIMIENTOS!$C$5:$C$1005="C")*(MOVIMIENTOS!$D$5:$D$1005="jabas")*(MOVIMIENTOS!$A$5:$A$1005&lt;&gt;"")*(MOVIMIENTOS!$A$5:$A$1005&lt;=$A648)*MOVIMIENTOS!$E$5:$E$1005)-SUMPRODUCT((MOVIMIENTOS!$B$5:$B$1005="VENTA")*(MOVIMIENTOS!$C$5:$C$1005="C")*(MOVIMIENTOS!$D$5:$D$1005="jabas")*(MOVIMIENTOS!$A$5:$A$1005&lt;&gt;"")*(MOVIMIENTOS!$A$5:$A$1005&lt;=$A648)*MOVIMIENTOS!$E$5:$E$1005)+SUMPRODUCT((MOVIMIENTOS!$B$5:$B$1005="AJUSTE")*(MOVIMIENTOS!$C$5:$C$1005="C")*(MOVIMIENTOS!$D$5:$D$1005="jabas")*(MOVIMIENTOS!$A$5:$A$1005&lt;&gt;"")*(MOVIMIENTOS!$A$5:$A$1005&lt;=$A648)*MOVIMIENTOS!$E$5:$E$1005))</f>
        <v/>
      </c>
      <c r="E648" t="str">
        <f>IF($A648="","",SUMPRODUCT((MOVIMIENTOS!$B$5:$B$1005="SALDO INICIAL")*(MOVIMIENTOS!$C$5:$C$1005="M")*(MOVIMIENTOS!$D$5:$D$1005="jabas")*(MOVIMIENTOS!$A$5:$A$1005&lt;&gt;"")*(MOVIMIENTOS!$A$5:$A$1005&lt;=$A648)*MOVIMIENTOS!$E$5:$E$1005)+SUMPRODUCT((MOVIMIENTOS!$B$5:$B$1005="PROCESO")*(MOVIMIENTOS!$C$5:$C$1005="M")*(MOVIMIENTOS!$D$5:$D$1005="jabas")*(MOVIMIENTOS!$A$5:$A$1005&lt;&gt;"")*(MOVIMIENTOS!$A$5:$A$1005&lt;=$A648)*MOVIMIENTOS!$E$5:$E$1005)-SUMPRODUCT((MOVIMIENTOS!$B$5:$B$1005="ENVÍO A SUPESA")*(MOVIMIENTOS!$C$5:$C$1005="M")*(MOVIMIENTOS!$D$5:$D$1005="jabas")*(MOVIMIENTOS!$A$5:$A$1005&lt;&gt;"")*(MOVIMIENTOS!$A$5:$A$1005&lt;=$A648)*MOVIMIENTOS!$E$5:$E$1005)+SUMPRODUCT((MOVIMIENTOS!$B$5:$B$1005="DEVOLUCIÓN")*(MOVIMIENTOS!$C$5:$C$1005="M")*(MOVIMIENTOS!$D$5:$D$1005="jabas")*(MOVIMIENTOS!$A$5:$A$1005&lt;&gt;"")*(MOVIMIENTOS!$A$5:$A$1005&lt;=$A648)*MOVIMIENTOS!$E$5:$E$1005)-SUMPRODUCT((MOVIMIENTOS!$B$5:$B$1005="TRASIEGO")*(MOVIMIENTOS!$C$5:$C$1005="M")*(MOVIMIENTOS!$D$5:$D$1005="jabas")*(MOVIMIENTOS!$A$5:$A$1005&lt;&gt;"")*(MOVIMIENTOS!$A$5:$A$1005&lt;=$A648)*MOVIMIENTOS!$E$5:$E$1005)-SUMPRODUCT((MOVIMIENTOS!$B$5:$B$1005="REGALO")*(MOVIMIENTOS!$C$5:$C$1005="M")*(MOVIMIENTOS!$D$5:$D$1005="jabas")*(MOVIMIENTOS!$A$5:$A$1005&lt;&gt;"")*(MOVIMIENTOS!$A$5:$A$1005&lt;=$A648)*MOVIMIENTOS!$E$5:$E$1005)-SUMPRODUCT((MOVIMIENTOS!$B$5:$B$1005="VENTA")*(MOVIMIENTOS!$C$5:$C$1005="M")*(MOVIMIENTOS!$D$5:$D$1005="jabas")*(MOVIMIENTOS!$A$5:$A$1005&lt;&gt;"")*(MOVIMIENTOS!$A$5:$A$1005&lt;=$A648)*MOVIMIENTOS!$E$5:$E$1005)+SUMPRODUCT((MOVIMIENTOS!$B$5:$B$1005="AJUSTE")*(MOVIMIENTOS!$C$5:$C$1005="M")*(MOVIMIENTOS!$D$5:$D$1005="jabas")*(MOVIMIENTOS!$A$5:$A$1005&lt;&gt;"")*(MOVIMIENTOS!$A$5:$A$1005&lt;=$A648)*MOVIMIENTOS!$E$5:$E$1005))</f>
        <v/>
      </c>
      <c r="F648" s="62" t="str">
        <f>IF($A648="","",SUMPRODUCT((MOVIMIENTOS!$B$5:$B$1005="SALDO INICIAL")*(MOVIMIENTOS!$C$5:$C$1005="Chancho")*(MOVIMIENTOS!$D$5:$D$1005="sacos")*(MOVIMIENTOS!$A$5:$A$1005&lt;&gt;"")*(MOVIMIENTOS!$A$5:$A$1005&lt;=$A648)*MOVIMIENTOS!$E$5:$E$1005)+SUMPRODUCT((MOVIMIENTOS!$B$5:$B$1005="PROCESO")*(MOVIMIENTOS!$C$5:$C$1005="Chancho")*(MOVIMIENTOS!$D$5:$D$1005="sacos")*(MOVIMIENTOS!$A$5:$A$1005&lt;&gt;"")*(MOVIMIENTOS!$A$5:$A$1005&lt;=$A648)*MOVIMIENTOS!$E$5:$E$1005)-SUMPRODUCT((MOVIMIENTOS!$B$5:$B$1005="VENTA CHANCHO")*(MOVIMIENTOS!$C$5:$C$1005="Chancho")*(MOVIMIENTOS!$D$5:$D$1005="sacos")*(MOVIMIENTOS!$A$5:$A$1005&lt;&gt;"")*(MOVIMIENTOS!$A$5:$A$1005&lt;=$A648)*MOVIMIENTOS!$E$5:$E$1005)-SUMPRODUCT((MOVIMIENTOS!$B$5:$B$1005="REGALO")*(MOVIMIENTOS!$C$5:$C$1005="Chancho")*(MOVIMIENTOS!$D$5:$D$1005="sacos")*(MOVIMIENTOS!$A$5:$A$1005&lt;&gt;"")*(MOVIMIENTOS!$A$5:$A$1005&lt;=$A648)*MOVIMIENTOS!$E$5:$E$1005)-SUMPRODUCT((MOVIMIENTOS!$B$5:$B$1005="VENTA")*(MOVIMIENTOS!$C$5:$C$1005="Chancho")*(MOVIMIENTOS!$D$5:$D$1005="sacos")*(MOVIMIENTOS!$A$5:$A$1005&lt;&gt;"")*(MOVIMIENTOS!$A$5:$A$1005&lt;=$A648)*MOVIMIENTOS!$E$5:$E$1005)+SUMPRODUCT((MOVIMIENTOS!$B$5:$B$1005="AJUSTE")*(MOVIMIENTOS!$C$5:$C$1005="Chancho")*(MOVIMIENTOS!$D$5:$D$1005="sacos")*(MOVIMIENTOS!$A$5:$A$1005&lt;&gt;"")*(MOVIMIENTOS!$A$5:$A$1005&lt;=$A648)*MOVIMIENTOS!$E$5:$E$1005))</f>
        <v/>
      </c>
      <c r="G648" s="62" t="str">
        <f t="shared" si="21"/>
        <v/>
      </c>
      <c r="H648" t="str">
        <f>IF($A648="","",SUMPRODUCT((((MOVIMIENTOS!$B$5:$B$1005="SALDO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648)*MOVIMIENTOS!$J$5:$J$1005))</f>
        <v/>
      </c>
      <c r="J648" t="str">
        <f>IF(AND(MOVIMIENTOS!$A653&lt;&gt;"",COUNTIF(MOVIMIENTOS!$A$5:$A652,MOVIMIENTOS!$A653)=0),COUNT(J$4:J647)+1,"")</f>
        <v/>
      </c>
      <c r="K648">
        <f>MOVIMIENTOS!$A653</f>
        <v>0</v>
      </c>
    </row>
    <row r="649" spans="1:11" ht="15" customHeight="1" x14ac:dyDescent="0.2">
      <c r="A649" t="str">
        <f t="shared" si="20"/>
        <v/>
      </c>
      <c r="B649" t="str">
        <f>IF($A649="","",SUMPRODUCT((MOVIMIENTOS!$B$5:$B$1005="SALDO INICIAL")*(MOVIMIENTOS!$C$5:$C$1005="A")*(MOVIMIENTOS!$D$5:$D$1005="jabas")*(MOVIMIENTOS!$A$5:$A$1005&lt;&gt;"")*(MOVIMIENTOS!$A$5:$A$1005&lt;=$A649)*MOVIMIENTOS!$E$5:$E$1005)+SUMPRODUCT((MOVIMIENTOS!$B$5:$B$1005="PROCESO")*(MOVIMIENTOS!$C$5:$C$1005="A")*(MOVIMIENTOS!$D$5:$D$1005="jabas")*(MOVIMIENTOS!$A$5:$A$1005&lt;&gt;"")*(MOVIMIENTOS!$A$5:$A$1005&lt;=$A649)*MOVIMIENTOS!$E$5:$E$1005)-SUMPRODUCT((MOVIMIENTOS!$B$5:$B$1005="ENVÍO A SUPESA")*(MOVIMIENTOS!$C$5:$C$1005="A")*(MOVIMIENTOS!$D$5:$D$1005="jabas")*(MOVIMIENTOS!$A$5:$A$1005&lt;&gt;"")*(MOVIMIENTOS!$A$5:$A$1005&lt;=$A649)*MOVIMIENTOS!$E$5:$E$1005)+SUMPRODUCT((MOVIMIENTOS!$B$5:$B$1005="DEVOLUCIÓN")*(MOVIMIENTOS!$C$5:$C$1005="A")*(MOVIMIENTOS!$D$5:$D$1005="jabas")*(MOVIMIENTOS!$A$5:$A$1005&lt;&gt;"")*(MOVIMIENTOS!$A$5:$A$1005&lt;=$A649)*MOVIMIENTOS!$E$5:$E$1005)-SUMPRODUCT((MOVIMIENTOS!$B$5:$B$1005="TRASIEGO")*(MOVIMIENTOS!$C$5:$C$1005="A")*(MOVIMIENTOS!$D$5:$D$1005="jabas")*(MOVIMIENTOS!$A$5:$A$1005&lt;&gt;"")*(MOVIMIENTOS!$A$5:$A$1005&lt;=$A649)*MOVIMIENTOS!$E$5:$E$1005)-SUMPRODUCT((MOVIMIENTOS!$B$5:$B$1005="REGALO")*(MOVIMIENTOS!$C$5:$C$1005="A")*(MOVIMIENTOS!$D$5:$D$1005="jabas")*(MOVIMIENTOS!$A$5:$A$1005&lt;&gt;"")*(MOVIMIENTOS!$A$5:$A$1005&lt;=$A649)*MOVIMIENTOS!$E$5:$E$1005)-SUMPRODUCT((MOVIMIENTOS!$B$5:$B$1005="VENTA")*(MOVIMIENTOS!$C$5:$C$1005="A")*(MOVIMIENTOS!$D$5:$D$1005="jabas")*(MOVIMIENTOS!$A$5:$A$1005&lt;&gt;"")*(MOVIMIENTOS!$A$5:$A$1005&lt;=$A649)*MOVIMIENTOS!$E$5:$E$1005)+SUMPRODUCT((MOVIMIENTOS!$B$5:$B$1005="AJUSTE")*(MOVIMIENTOS!$C$5:$C$1005="A")*(MOVIMIENTOS!$D$5:$D$1005="jabas")*(MOVIMIENTOS!$A$5:$A$1005&lt;&gt;"")*(MOVIMIENTOS!$A$5:$A$1005&lt;=$A649)*MOVIMIENTOS!$E$5:$E$1005))</f>
        <v/>
      </c>
      <c r="C649" t="str">
        <f>IF($A649="","",SUMPRODUCT((MOVIMIENTOS!$B$5:$B$1005="SALDO INICIAL")*(MOVIMIENTOS!$C$5:$C$1005="P")*(MOVIMIENTOS!$D$5:$D$1005="jabas")*(MOVIMIENTOS!$A$5:$A$1005&lt;&gt;"")*(MOVIMIENTOS!$A$5:$A$1005&lt;=$A649)*MOVIMIENTOS!$E$5:$E$1005)+SUMPRODUCT((MOVIMIENTOS!$B$5:$B$1005="PROCESO")*(MOVIMIENTOS!$C$5:$C$1005="P")*(MOVIMIENTOS!$D$5:$D$1005="jabas")*(MOVIMIENTOS!$A$5:$A$1005&lt;&gt;"")*(MOVIMIENTOS!$A$5:$A$1005&lt;=$A649)*MOVIMIENTOS!$E$5:$E$1005)-SUMPRODUCT((MOVIMIENTOS!$B$5:$B$1005="ENVÍO A SUPESA")*(MOVIMIENTOS!$C$5:$C$1005="P")*(MOVIMIENTOS!$D$5:$D$1005="jabas")*(MOVIMIENTOS!$A$5:$A$1005&lt;&gt;"")*(MOVIMIENTOS!$A$5:$A$1005&lt;=$A649)*MOVIMIENTOS!$E$5:$E$1005)+SUMPRODUCT((MOVIMIENTOS!$B$5:$B$1005="DEVOLUCIÓN")*(MOVIMIENTOS!$C$5:$C$1005="P")*(MOVIMIENTOS!$D$5:$D$1005="jabas")*(MOVIMIENTOS!$A$5:$A$1005&lt;&gt;"")*(MOVIMIENTOS!$A$5:$A$1005&lt;=$A649)*MOVIMIENTOS!$E$5:$E$1005)-SUMPRODUCT((MOVIMIENTOS!$B$5:$B$1005="TRASIEGO")*(MOVIMIENTOS!$C$5:$C$1005="P")*(MOVIMIENTOS!$D$5:$D$1005="jabas")*(MOVIMIENTOS!$A$5:$A$1005&lt;&gt;"")*(MOVIMIENTOS!$A$5:$A$1005&lt;=$A649)*MOVIMIENTOS!$E$5:$E$1005)-SUMPRODUCT((MOVIMIENTOS!$B$5:$B$1005="REGALO")*(MOVIMIENTOS!$C$5:$C$1005="P")*(MOVIMIENTOS!$D$5:$D$1005="jabas")*(MOVIMIENTOS!$A$5:$A$1005&lt;&gt;"")*(MOVIMIENTOS!$A$5:$A$1005&lt;=$A649)*MOVIMIENTOS!$E$5:$E$1005)-SUMPRODUCT((MOVIMIENTOS!$B$5:$B$1005="VENTA")*(MOVIMIENTOS!$C$5:$C$1005="P")*(MOVIMIENTOS!$D$5:$D$1005="jabas")*(MOVIMIENTOS!$A$5:$A$1005&lt;&gt;"")*(MOVIMIENTOS!$A$5:$A$1005&lt;=$A649)*MOVIMIENTOS!$E$5:$E$1005)+SUMPRODUCT((MOVIMIENTOS!$B$5:$B$1005="AJUSTE")*(MOVIMIENTOS!$C$5:$C$1005="P")*(MOVIMIENTOS!$D$5:$D$1005="jabas")*(MOVIMIENTOS!$A$5:$A$1005&lt;&gt;"")*(MOVIMIENTOS!$A$5:$A$1005&lt;=$A649)*MOVIMIENTOS!$E$5:$E$1005))</f>
        <v/>
      </c>
      <c r="D649" t="str">
        <f>IF($A649="","",SUMPRODUCT((MOVIMIENTOS!$B$5:$B$1005="SALDO INICIAL")*(MOVIMIENTOS!$C$5:$C$1005="C")*(MOVIMIENTOS!$D$5:$D$1005="jabas")*(MOVIMIENTOS!$A$5:$A$1005&lt;&gt;"")*(MOVIMIENTOS!$A$5:$A$1005&lt;=$A649)*MOVIMIENTOS!$E$5:$E$1005)+SUMPRODUCT((MOVIMIENTOS!$B$5:$B$1005="PROCESO")*(MOVIMIENTOS!$C$5:$C$1005="C")*(MOVIMIENTOS!$D$5:$D$1005="jabas")*(MOVIMIENTOS!$A$5:$A$1005&lt;&gt;"")*(MOVIMIENTOS!$A$5:$A$1005&lt;=$A649)*MOVIMIENTOS!$E$5:$E$1005)-SUMPRODUCT((MOVIMIENTOS!$B$5:$B$1005="ENVÍO A SUPESA")*(MOVIMIENTOS!$C$5:$C$1005="C")*(MOVIMIENTOS!$D$5:$D$1005="jabas")*(MOVIMIENTOS!$A$5:$A$1005&lt;&gt;"")*(MOVIMIENTOS!$A$5:$A$1005&lt;=$A649)*MOVIMIENTOS!$E$5:$E$1005)+SUMPRODUCT((MOVIMIENTOS!$B$5:$B$1005="DEVOLUCIÓN")*(MOVIMIENTOS!$C$5:$C$1005="C")*(MOVIMIENTOS!$D$5:$D$1005="jabas")*(MOVIMIENTOS!$A$5:$A$1005&lt;&gt;"")*(MOVIMIENTOS!$A$5:$A$1005&lt;=$A649)*MOVIMIENTOS!$E$5:$E$1005)-SUMPRODUCT((MOVIMIENTOS!$B$5:$B$1005="TRASIEGO")*(MOVIMIENTOS!$C$5:$C$1005="C")*(MOVIMIENTOS!$D$5:$D$1005="jabas")*(MOVIMIENTOS!$A$5:$A$1005&lt;&gt;"")*(MOVIMIENTOS!$A$5:$A$1005&lt;=$A649)*MOVIMIENTOS!$E$5:$E$1005)-SUMPRODUCT((MOVIMIENTOS!$B$5:$B$1005="REGALO")*(MOVIMIENTOS!$C$5:$C$1005="C")*(MOVIMIENTOS!$D$5:$D$1005="jabas")*(MOVIMIENTOS!$A$5:$A$1005&lt;&gt;"")*(MOVIMIENTOS!$A$5:$A$1005&lt;=$A649)*MOVIMIENTOS!$E$5:$E$1005)-SUMPRODUCT((MOVIMIENTOS!$B$5:$B$1005="VENTA")*(MOVIMIENTOS!$C$5:$C$1005="C")*(MOVIMIENTOS!$D$5:$D$1005="jabas")*(MOVIMIENTOS!$A$5:$A$1005&lt;&gt;"")*(MOVIMIENTOS!$A$5:$A$1005&lt;=$A649)*MOVIMIENTOS!$E$5:$E$1005)+SUMPRODUCT((MOVIMIENTOS!$B$5:$B$1005="AJUSTE")*(MOVIMIENTOS!$C$5:$C$1005="C")*(MOVIMIENTOS!$D$5:$D$1005="jabas")*(MOVIMIENTOS!$A$5:$A$1005&lt;&gt;"")*(MOVIMIENTOS!$A$5:$A$1005&lt;=$A649)*MOVIMIENTOS!$E$5:$E$1005))</f>
        <v/>
      </c>
      <c r="E649" t="str">
        <f>IF($A649="","",SUMPRODUCT((MOVIMIENTOS!$B$5:$B$1005="SALDO INICIAL")*(MOVIMIENTOS!$C$5:$C$1005="M")*(MOVIMIENTOS!$D$5:$D$1005="jabas")*(MOVIMIENTOS!$A$5:$A$1005&lt;&gt;"")*(MOVIMIENTOS!$A$5:$A$1005&lt;=$A649)*MOVIMIENTOS!$E$5:$E$1005)+SUMPRODUCT((MOVIMIENTOS!$B$5:$B$1005="PROCESO")*(MOVIMIENTOS!$C$5:$C$1005="M")*(MOVIMIENTOS!$D$5:$D$1005="jabas")*(MOVIMIENTOS!$A$5:$A$1005&lt;&gt;"")*(MOVIMIENTOS!$A$5:$A$1005&lt;=$A649)*MOVIMIENTOS!$E$5:$E$1005)-SUMPRODUCT((MOVIMIENTOS!$B$5:$B$1005="ENVÍO A SUPESA")*(MOVIMIENTOS!$C$5:$C$1005="M")*(MOVIMIENTOS!$D$5:$D$1005="jabas")*(MOVIMIENTOS!$A$5:$A$1005&lt;&gt;"")*(MOVIMIENTOS!$A$5:$A$1005&lt;=$A649)*MOVIMIENTOS!$E$5:$E$1005)+SUMPRODUCT((MOVIMIENTOS!$B$5:$B$1005="DEVOLUCIÓN")*(MOVIMIENTOS!$C$5:$C$1005="M")*(MOVIMIENTOS!$D$5:$D$1005="jabas")*(MOVIMIENTOS!$A$5:$A$1005&lt;&gt;"")*(MOVIMIENTOS!$A$5:$A$1005&lt;=$A649)*MOVIMIENTOS!$E$5:$E$1005)-SUMPRODUCT((MOVIMIENTOS!$B$5:$B$1005="TRASIEGO")*(MOVIMIENTOS!$C$5:$C$1005="M")*(MOVIMIENTOS!$D$5:$D$1005="jabas")*(MOVIMIENTOS!$A$5:$A$1005&lt;&gt;"")*(MOVIMIENTOS!$A$5:$A$1005&lt;=$A649)*MOVIMIENTOS!$E$5:$E$1005)-SUMPRODUCT((MOVIMIENTOS!$B$5:$B$1005="REGALO")*(MOVIMIENTOS!$C$5:$C$1005="M")*(MOVIMIENTOS!$D$5:$D$1005="jabas")*(MOVIMIENTOS!$A$5:$A$1005&lt;&gt;"")*(MOVIMIENTOS!$A$5:$A$1005&lt;=$A649)*MOVIMIENTOS!$E$5:$E$1005)-SUMPRODUCT((MOVIMIENTOS!$B$5:$B$1005="VENTA")*(MOVIMIENTOS!$C$5:$C$1005="M")*(MOVIMIENTOS!$D$5:$D$1005="jabas")*(MOVIMIENTOS!$A$5:$A$1005&lt;&gt;"")*(MOVIMIENTOS!$A$5:$A$1005&lt;=$A649)*MOVIMIENTOS!$E$5:$E$1005)+SUMPRODUCT((MOVIMIENTOS!$B$5:$B$1005="AJUSTE")*(MOVIMIENTOS!$C$5:$C$1005="M")*(MOVIMIENTOS!$D$5:$D$1005="jabas")*(MOVIMIENTOS!$A$5:$A$1005&lt;&gt;"")*(MOVIMIENTOS!$A$5:$A$1005&lt;=$A649)*MOVIMIENTOS!$E$5:$E$1005))</f>
        <v/>
      </c>
      <c r="F649" s="62" t="str">
        <f>IF($A649="","",SUMPRODUCT((MOVIMIENTOS!$B$5:$B$1005="SALDO INICIAL")*(MOVIMIENTOS!$C$5:$C$1005="Chancho")*(MOVIMIENTOS!$D$5:$D$1005="sacos")*(MOVIMIENTOS!$A$5:$A$1005&lt;&gt;"")*(MOVIMIENTOS!$A$5:$A$1005&lt;=$A649)*MOVIMIENTOS!$E$5:$E$1005)+SUMPRODUCT((MOVIMIENTOS!$B$5:$B$1005="PROCESO")*(MOVIMIENTOS!$C$5:$C$1005="Chancho")*(MOVIMIENTOS!$D$5:$D$1005="sacos")*(MOVIMIENTOS!$A$5:$A$1005&lt;&gt;"")*(MOVIMIENTOS!$A$5:$A$1005&lt;=$A649)*MOVIMIENTOS!$E$5:$E$1005)-SUMPRODUCT((MOVIMIENTOS!$B$5:$B$1005="VENTA CHANCHO")*(MOVIMIENTOS!$C$5:$C$1005="Chancho")*(MOVIMIENTOS!$D$5:$D$1005="sacos")*(MOVIMIENTOS!$A$5:$A$1005&lt;&gt;"")*(MOVIMIENTOS!$A$5:$A$1005&lt;=$A649)*MOVIMIENTOS!$E$5:$E$1005)-SUMPRODUCT((MOVIMIENTOS!$B$5:$B$1005="REGALO")*(MOVIMIENTOS!$C$5:$C$1005="Chancho")*(MOVIMIENTOS!$D$5:$D$1005="sacos")*(MOVIMIENTOS!$A$5:$A$1005&lt;&gt;"")*(MOVIMIENTOS!$A$5:$A$1005&lt;=$A649)*MOVIMIENTOS!$E$5:$E$1005)-SUMPRODUCT((MOVIMIENTOS!$B$5:$B$1005="VENTA")*(MOVIMIENTOS!$C$5:$C$1005="Chancho")*(MOVIMIENTOS!$D$5:$D$1005="sacos")*(MOVIMIENTOS!$A$5:$A$1005&lt;&gt;"")*(MOVIMIENTOS!$A$5:$A$1005&lt;=$A649)*MOVIMIENTOS!$E$5:$E$1005)+SUMPRODUCT((MOVIMIENTOS!$B$5:$B$1005="AJUSTE")*(MOVIMIENTOS!$C$5:$C$1005="Chancho")*(MOVIMIENTOS!$D$5:$D$1005="sacos")*(MOVIMIENTOS!$A$5:$A$1005&lt;&gt;"")*(MOVIMIENTOS!$A$5:$A$1005&lt;=$A649)*MOVIMIENTOS!$E$5:$E$1005))</f>
        <v/>
      </c>
      <c r="G649" s="62" t="str">
        <f t="shared" si="21"/>
        <v/>
      </c>
      <c r="H649" t="str">
        <f>IF($A649="","",SUMPRODUCT((((MOVIMIENTOS!$B$5:$B$1005="SALDO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649)*MOVIMIENTOS!$J$5:$J$1005))</f>
        <v/>
      </c>
      <c r="J649" t="str">
        <f>IF(AND(MOVIMIENTOS!$A654&lt;&gt;"",COUNTIF(MOVIMIENTOS!$A$5:$A653,MOVIMIENTOS!$A654)=0),COUNT(J$4:J648)+1,"")</f>
        <v/>
      </c>
      <c r="K649">
        <f>MOVIMIENTOS!$A654</f>
        <v>0</v>
      </c>
    </row>
    <row r="650" spans="1:11" ht="15" customHeight="1" x14ac:dyDescent="0.2">
      <c r="A650" t="str">
        <f t="shared" si="20"/>
        <v/>
      </c>
      <c r="B650" t="str">
        <f>IF($A650="","",SUMPRODUCT((MOVIMIENTOS!$B$5:$B$1005="SALDO INICIAL")*(MOVIMIENTOS!$C$5:$C$1005="A")*(MOVIMIENTOS!$D$5:$D$1005="jabas")*(MOVIMIENTOS!$A$5:$A$1005&lt;&gt;"")*(MOVIMIENTOS!$A$5:$A$1005&lt;=$A650)*MOVIMIENTOS!$E$5:$E$1005)+SUMPRODUCT((MOVIMIENTOS!$B$5:$B$1005="PROCESO")*(MOVIMIENTOS!$C$5:$C$1005="A")*(MOVIMIENTOS!$D$5:$D$1005="jabas")*(MOVIMIENTOS!$A$5:$A$1005&lt;&gt;"")*(MOVIMIENTOS!$A$5:$A$1005&lt;=$A650)*MOVIMIENTOS!$E$5:$E$1005)-SUMPRODUCT((MOVIMIENTOS!$B$5:$B$1005="ENVÍO A SUPESA")*(MOVIMIENTOS!$C$5:$C$1005="A")*(MOVIMIENTOS!$D$5:$D$1005="jabas")*(MOVIMIENTOS!$A$5:$A$1005&lt;&gt;"")*(MOVIMIENTOS!$A$5:$A$1005&lt;=$A650)*MOVIMIENTOS!$E$5:$E$1005)+SUMPRODUCT((MOVIMIENTOS!$B$5:$B$1005="DEVOLUCIÓN")*(MOVIMIENTOS!$C$5:$C$1005="A")*(MOVIMIENTOS!$D$5:$D$1005="jabas")*(MOVIMIENTOS!$A$5:$A$1005&lt;&gt;"")*(MOVIMIENTOS!$A$5:$A$1005&lt;=$A650)*MOVIMIENTOS!$E$5:$E$1005)-SUMPRODUCT((MOVIMIENTOS!$B$5:$B$1005="TRASIEGO")*(MOVIMIENTOS!$C$5:$C$1005="A")*(MOVIMIENTOS!$D$5:$D$1005="jabas")*(MOVIMIENTOS!$A$5:$A$1005&lt;&gt;"")*(MOVIMIENTOS!$A$5:$A$1005&lt;=$A650)*MOVIMIENTOS!$E$5:$E$1005)-SUMPRODUCT((MOVIMIENTOS!$B$5:$B$1005="REGALO")*(MOVIMIENTOS!$C$5:$C$1005="A")*(MOVIMIENTOS!$D$5:$D$1005="jabas")*(MOVIMIENTOS!$A$5:$A$1005&lt;&gt;"")*(MOVIMIENTOS!$A$5:$A$1005&lt;=$A650)*MOVIMIENTOS!$E$5:$E$1005)-SUMPRODUCT((MOVIMIENTOS!$B$5:$B$1005="VENTA")*(MOVIMIENTOS!$C$5:$C$1005="A")*(MOVIMIENTOS!$D$5:$D$1005="jabas")*(MOVIMIENTOS!$A$5:$A$1005&lt;&gt;"")*(MOVIMIENTOS!$A$5:$A$1005&lt;=$A650)*MOVIMIENTOS!$E$5:$E$1005)+SUMPRODUCT((MOVIMIENTOS!$B$5:$B$1005="AJUSTE")*(MOVIMIENTOS!$C$5:$C$1005="A")*(MOVIMIENTOS!$D$5:$D$1005="jabas")*(MOVIMIENTOS!$A$5:$A$1005&lt;&gt;"")*(MOVIMIENTOS!$A$5:$A$1005&lt;=$A650)*MOVIMIENTOS!$E$5:$E$1005))</f>
        <v/>
      </c>
      <c r="C650" t="str">
        <f>IF($A650="","",SUMPRODUCT((MOVIMIENTOS!$B$5:$B$1005="SALDO INICIAL")*(MOVIMIENTOS!$C$5:$C$1005="P")*(MOVIMIENTOS!$D$5:$D$1005="jabas")*(MOVIMIENTOS!$A$5:$A$1005&lt;&gt;"")*(MOVIMIENTOS!$A$5:$A$1005&lt;=$A650)*MOVIMIENTOS!$E$5:$E$1005)+SUMPRODUCT((MOVIMIENTOS!$B$5:$B$1005="PROCESO")*(MOVIMIENTOS!$C$5:$C$1005="P")*(MOVIMIENTOS!$D$5:$D$1005="jabas")*(MOVIMIENTOS!$A$5:$A$1005&lt;&gt;"")*(MOVIMIENTOS!$A$5:$A$1005&lt;=$A650)*MOVIMIENTOS!$E$5:$E$1005)-SUMPRODUCT((MOVIMIENTOS!$B$5:$B$1005="ENVÍO A SUPESA")*(MOVIMIENTOS!$C$5:$C$1005="P")*(MOVIMIENTOS!$D$5:$D$1005="jabas")*(MOVIMIENTOS!$A$5:$A$1005&lt;&gt;"")*(MOVIMIENTOS!$A$5:$A$1005&lt;=$A650)*MOVIMIENTOS!$E$5:$E$1005)+SUMPRODUCT((MOVIMIENTOS!$B$5:$B$1005="DEVOLUCIÓN")*(MOVIMIENTOS!$C$5:$C$1005="P")*(MOVIMIENTOS!$D$5:$D$1005="jabas")*(MOVIMIENTOS!$A$5:$A$1005&lt;&gt;"")*(MOVIMIENTOS!$A$5:$A$1005&lt;=$A650)*MOVIMIENTOS!$E$5:$E$1005)-SUMPRODUCT((MOVIMIENTOS!$B$5:$B$1005="TRASIEGO")*(MOVIMIENTOS!$C$5:$C$1005="P")*(MOVIMIENTOS!$D$5:$D$1005="jabas")*(MOVIMIENTOS!$A$5:$A$1005&lt;&gt;"")*(MOVIMIENTOS!$A$5:$A$1005&lt;=$A650)*MOVIMIENTOS!$E$5:$E$1005)-SUMPRODUCT((MOVIMIENTOS!$B$5:$B$1005="REGALO")*(MOVIMIENTOS!$C$5:$C$1005="P")*(MOVIMIENTOS!$D$5:$D$1005="jabas")*(MOVIMIENTOS!$A$5:$A$1005&lt;&gt;"")*(MOVIMIENTOS!$A$5:$A$1005&lt;=$A650)*MOVIMIENTOS!$E$5:$E$1005)-SUMPRODUCT((MOVIMIENTOS!$B$5:$B$1005="VENTA")*(MOVIMIENTOS!$C$5:$C$1005="P")*(MOVIMIENTOS!$D$5:$D$1005="jabas")*(MOVIMIENTOS!$A$5:$A$1005&lt;&gt;"")*(MOVIMIENTOS!$A$5:$A$1005&lt;=$A650)*MOVIMIENTOS!$E$5:$E$1005)+SUMPRODUCT((MOVIMIENTOS!$B$5:$B$1005="AJUSTE")*(MOVIMIENTOS!$C$5:$C$1005="P")*(MOVIMIENTOS!$D$5:$D$1005="jabas")*(MOVIMIENTOS!$A$5:$A$1005&lt;&gt;"")*(MOVIMIENTOS!$A$5:$A$1005&lt;=$A650)*MOVIMIENTOS!$E$5:$E$1005))</f>
        <v/>
      </c>
      <c r="D650" t="str">
        <f>IF($A650="","",SUMPRODUCT((MOVIMIENTOS!$B$5:$B$1005="SALDO INICIAL")*(MOVIMIENTOS!$C$5:$C$1005="C")*(MOVIMIENTOS!$D$5:$D$1005="jabas")*(MOVIMIENTOS!$A$5:$A$1005&lt;&gt;"")*(MOVIMIENTOS!$A$5:$A$1005&lt;=$A650)*MOVIMIENTOS!$E$5:$E$1005)+SUMPRODUCT((MOVIMIENTOS!$B$5:$B$1005="PROCESO")*(MOVIMIENTOS!$C$5:$C$1005="C")*(MOVIMIENTOS!$D$5:$D$1005="jabas")*(MOVIMIENTOS!$A$5:$A$1005&lt;&gt;"")*(MOVIMIENTOS!$A$5:$A$1005&lt;=$A650)*MOVIMIENTOS!$E$5:$E$1005)-SUMPRODUCT((MOVIMIENTOS!$B$5:$B$1005="ENVÍO A SUPESA")*(MOVIMIENTOS!$C$5:$C$1005="C")*(MOVIMIENTOS!$D$5:$D$1005="jabas")*(MOVIMIENTOS!$A$5:$A$1005&lt;&gt;"")*(MOVIMIENTOS!$A$5:$A$1005&lt;=$A650)*MOVIMIENTOS!$E$5:$E$1005)+SUMPRODUCT((MOVIMIENTOS!$B$5:$B$1005="DEVOLUCIÓN")*(MOVIMIENTOS!$C$5:$C$1005="C")*(MOVIMIENTOS!$D$5:$D$1005="jabas")*(MOVIMIENTOS!$A$5:$A$1005&lt;&gt;"")*(MOVIMIENTOS!$A$5:$A$1005&lt;=$A650)*MOVIMIENTOS!$E$5:$E$1005)-SUMPRODUCT((MOVIMIENTOS!$B$5:$B$1005="TRASIEGO")*(MOVIMIENTOS!$C$5:$C$1005="C")*(MOVIMIENTOS!$D$5:$D$1005="jabas")*(MOVIMIENTOS!$A$5:$A$1005&lt;&gt;"")*(MOVIMIENTOS!$A$5:$A$1005&lt;=$A650)*MOVIMIENTOS!$E$5:$E$1005)-SUMPRODUCT((MOVIMIENTOS!$B$5:$B$1005="REGALO")*(MOVIMIENTOS!$C$5:$C$1005="C")*(MOVIMIENTOS!$D$5:$D$1005="jabas")*(MOVIMIENTOS!$A$5:$A$1005&lt;&gt;"")*(MOVIMIENTOS!$A$5:$A$1005&lt;=$A650)*MOVIMIENTOS!$E$5:$E$1005)-SUMPRODUCT((MOVIMIENTOS!$B$5:$B$1005="VENTA")*(MOVIMIENTOS!$C$5:$C$1005="C")*(MOVIMIENTOS!$D$5:$D$1005="jabas")*(MOVIMIENTOS!$A$5:$A$1005&lt;&gt;"")*(MOVIMIENTOS!$A$5:$A$1005&lt;=$A650)*MOVIMIENTOS!$E$5:$E$1005)+SUMPRODUCT((MOVIMIENTOS!$B$5:$B$1005="AJUSTE")*(MOVIMIENTOS!$C$5:$C$1005="C")*(MOVIMIENTOS!$D$5:$D$1005="jabas")*(MOVIMIENTOS!$A$5:$A$1005&lt;&gt;"")*(MOVIMIENTOS!$A$5:$A$1005&lt;=$A650)*MOVIMIENTOS!$E$5:$E$1005))</f>
        <v/>
      </c>
      <c r="E650" t="str">
        <f>IF($A650="","",SUMPRODUCT((MOVIMIENTOS!$B$5:$B$1005="SALDO INICIAL")*(MOVIMIENTOS!$C$5:$C$1005="M")*(MOVIMIENTOS!$D$5:$D$1005="jabas")*(MOVIMIENTOS!$A$5:$A$1005&lt;&gt;"")*(MOVIMIENTOS!$A$5:$A$1005&lt;=$A650)*MOVIMIENTOS!$E$5:$E$1005)+SUMPRODUCT((MOVIMIENTOS!$B$5:$B$1005="PROCESO")*(MOVIMIENTOS!$C$5:$C$1005="M")*(MOVIMIENTOS!$D$5:$D$1005="jabas")*(MOVIMIENTOS!$A$5:$A$1005&lt;&gt;"")*(MOVIMIENTOS!$A$5:$A$1005&lt;=$A650)*MOVIMIENTOS!$E$5:$E$1005)-SUMPRODUCT((MOVIMIENTOS!$B$5:$B$1005="ENVÍO A SUPESA")*(MOVIMIENTOS!$C$5:$C$1005="M")*(MOVIMIENTOS!$D$5:$D$1005="jabas")*(MOVIMIENTOS!$A$5:$A$1005&lt;&gt;"")*(MOVIMIENTOS!$A$5:$A$1005&lt;=$A650)*MOVIMIENTOS!$E$5:$E$1005)+SUMPRODUCT((MOVIMIENTOS!$B$5:$B$1005="DEVOLUCIÓN")*(MOVIMIENTOS!$C$5:$C$1005="M")*(MOVIMIENTOS!$D$5:$D$1005="jabas")*(MOVIMIENTOS!$A$5:$A$1005&lt;&gt;"")*(MOVIMIENTOS!$A$5:$A$1005&lt;=$A650)*MOVIMIENTOS!$E$5:$E$1005)-SUMPRODUCT((MOVIMIENTOS!$B$5:$B$1005="TRASIEGO")*(MOVIMIENTOS!$C$5:$C$1005="M")*(MOVIMIENTOS!$D$5:$D$1005="jabas")*(MOVIMIENTOS!$A$5:$A$1005&lt;&gt;"")*(MOVIMIENTOS!$A$5:$A$1005&lt;=$A650)*MOVIMIENTOS!$E$5:$E$1005)-SUMPRODUCT((MOVIMIENTOS!$B$5:$B$1005="REGALO")*(MOVIMIENTOS!$C$5:$C$1005="M")*(MOVIMIENTOS!$D$5:$D$1005="jabas")*(MOVIMIENTOS!$A$5:$A$1005&lt;&gt;"")*(MOVIMIENTOS!$A$5:$A$1005&lt;=$A650)*MOVIMIENTOS!$E$5:$E$1005)-SUMPRODUCT((MOVIMIENTOS!$B$5:$B$1005="VENTA")*(MOVIMIENTOS!$C$5:$C$1005="M")*(MOVIMIENTOS!$D$5:$D$1005="jabas")*(MOVIMIENTOS!$A$5:$A$1005&lt;&gt;"")*(MOVIMIENTOS!$A$5:$A$1005&lt;=$A650)*MOVIMIENTOS!$E$5:$E$1005)+SUMPRODUCT((MOVIMIENTOS!$B$5:$B$1005="AJUSTE")*(MOVIMIENTOS!$C$5:$C$1005="M")*(MOVIMIENTOS!$D$5:$D$1005="jabas")*(MOVIMIENTOS!$A$5:$A$1005&lt;&gt;"")*(MOVIMIENTOS!$A$5:$A$1005&lt;=$A650)*MOVIMIENTOS!$E$5:$E$1005))</f>
        <v/>
      </c>
      <c r="F650" s="62" t="str">
        <f>IF($A650="","",SUMPRODUCT((MOVIMIENTOS!$B$5:$B$1005="SALDO INICIAL")*(MOVIMIENTOS!$C$5:$C$1005="Chancho")*(MOVIMIENTOS!$D$5:$D$1005="sacos")*(MOVIMIENTOS!$A$5:$A$1005&lt;&gt;"")*(MOVIMIENTOS!$A$5:$A$1005&lt;=$A650)*MOVIMIENTOS!$E$5:$E$1005)+SUMPRODUCT((MOVIMIENTOS!$B$5:$B$1005="PROCESO")*(MOVIMIENTOS!$C$5:$C$1005="Chancho")*(MOVIMIENTOS!$D$5:$D$1005="sacos")*(MOVIMIENTOS!$A$5:$A$1005&lt;&gt;"")*(MOVIMIENTOS!$A$5:$A$1005&lt;=$A650)*MOVIMIENTOS!$E$5:$E$1005)-SUMPRODUCT((MOVIMIENTOS!$B$5:$B$1005="VENTA CHANCHO")*(MOVIMIENTOS!$C$5:$C$1005="Chancho")*(MOVIMIENTOS!$D$5:$D$1005="sacos")*(MOVIMIENTOS!$A$5:$A$1005&lt;&gt;"")*(MOVIMIENTOS!$A$5:$A$1005&lt;=$A650)*MOVIMIENTOS!$E$5:$E$1005)-SUMPRODUCT((MOVIMIENTOS!$B$5:$B$1005="REGALO")*(MOVIMIENTOS!$C$5:$C$1005="Chancho")*(MOVIMIENTOS!$D$5:$D$1005="sacos")*(MOVIMIENTOS!$A$5:$A$1005&lt;&gt;"")*(MOVIMIENTOS!$A$5:$A$1005&lt;=$A650)*MOVIMIENTOS!$E$5:$E$1005)-SUMPRODUCT((MOVIMIENTOS!$B$5:$B$1005="VENTA")*(MOVIMIENTOS!$C$5:$C$1005="Chancho")*(MOVIMIENTOS!$D$5:$D$1005="sacos")*(MOVIMIENTOS!$A$5:$A$1005&lt;&gt;"")*(MOVIMIENTOS!$A$5:$A$1005&lt;=$A650)*MOVIMIENTOS!$E$5:$E$1005)+SUMPRODUCT((MOVIMIENTOS!$B$5:$B$1005="AJUSTE")*(MOVIMIENTOS!$C$5:$C$1005="Chancho")*(MOVIMIENTOS!$D$5:$D$1005="sacos")*(MOVIMIENTOS!$A$5:$A$1005&lt;&gt;"")*(MOVIMIENTOS!$A$5:$A$1005&lt;=$A650)*MOVIMIENTOS!$E$5:$E$1005))</f>
        <v/>
      </c>
      <c r="G650" s="62" t="str">
        <f t="shared" si="21"/>
        <v/>
      </c>
      <c r="H650" t="str">
        <f>IF($A650="","",SUMPRODUCT((((MOVIMIENTOS!$B$5:$B$1005="SALDO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650)*MOVIMIENTOS!$J$5:$J$1005))</f>
        <v/>
      </c>
      <c r="J650" t="str">
        <f>IF(AND(MOVIMIENTOS!$A655&lt;&gt;"",COUNTIF(MOVIMIENTOS!$A$5:$A654,MOVIMIENTOS!$A655)=0),COUNT(J$4:J649)+1,"")</f>
        <v/>
      </c>
      <c r="K650">
        <f>MOVIMIENTOS!$A655</f>
        <v>0</v>
      </c>
    </row>
    <row r="651" spans="1:11" ht="15" customHeight="1" x14ac:dyDescent="0.2">
      <c r="A651" t="str">
        <f t="shared" si="20"/>
        <v/>
      </c>
      <c r="B651" t="str">
        <f>IF($A651="","",SUMPRODUCT((MOVIMIENTOS!$B$5:$B$1005="SALDO INICIAL")*(MOVIMIENTOS!$C$5:$C$1005="A")*(MOVIMIENTOS!$D$5:$D$1005="jabas")*(MOVIMIENTOS!$A$5:$A$1005&lt;&gt;"")*(MOVIMIENTOS!$A$5:$A$1005&lt;=$A651)*MOVIMIENTOS!$E$5:$E$1005)+SUMPRODUCT((MOVIMIENTOS!$B$5:$B$1005="PROCESO")*(MOVIMIENTOS!$C$5:$C$1005="A")*(MOVIMIENTOS!$D$5:$D$1005="jabas")*(MOVIMIENTOS!$A$5:$A$1005&lt;&gt;"")*(MOVIMIENTOS!$A$5:$A$1005&lt;=$A651)*MOVIMIENTOS!$E$5:$E$1005)-SUMPRODUCT((MOVIMIENTOS!$B$5:$B$1005="ENVÍO A SUPESA")*(MOVIMIENTOS!$C$5:$C$1005="A")*(MOVIMIENTOS!$D$5:$D$1005="jabas")*(MOVIMIENTOS!$A$5:$A$1005&lt;&gt;"")*(MOVIMIENTOS!$A$5:$A$1005&lt;=$A651)*MOVIMIENTOS!$E$5:$E$1005)+SUMPRODUCT((MOVIMIENTOS!$B$5:$B$1005="DEVOLUCIÓN")*(MOVIMIENTOS!$C$5:$C$1005="A")*(MOVIMIENTOS!$D$5:$D$1005="jabas")*(MOVIMIENTOS!$A$5:$A$1005&lt;&gt;"")*(MOVIMIENTOS!$A$5:$A$1005&lt;=$A651)*MOVIMIENTOS!$E$5:$E$1005)-SUMPRODUCT((MOVIMIENTOS!$B$5:$B$1005="TRASIEGO")*(MOVIMIENTOS!$C$5:$C$1005="A")*(MOVIMIENTOS!$D$5:$D$1005="jabas")*(MOVIMIENTOS!$A$5:$A$1005&lt;&gt;"")*(MOVIMIENTOS!$A$5:$A$1005&lt;=$A651)*MOVIMIENTOS!$E$5:$E$1005)-SUMPRODUCT((MOVIMIENTOS!$B$5:$B$1005="REGALO")*(MOVIMIENTOS!$C$5:$C$1005="A")*(MOVIMIENTOS!$D$5:$D$1005="jabas")*(MOVIMIENTOS!$A$5:$A$1005&lt;&gt;"")*(MOVIMIENTOS!$A$5:$A$1005&lt;=$A651)*MOVIMIENTOS!$E$5:$E$1005)-SUMPRODUCT((MOVIMIENTOS!$B$5:$B$1005="VENTA")*(MOVIMIENTOS!$C$5:$C$1005="A")*(MOVIMIENTOS!$D$5:$D$1005="jabas")*(MOVIMIENTOS!$A$5:$A$1005&lt;&gt;"")*(MOVIMIENTOS!$A$5:$A$1005&lt;=$A651)*MOVIMIENTOS!$E$5:$E$1005)+SUMPRODUCT((MOVIMIENTOS!$B$5:$B$1005="AJUSTE")*(MOVIMIENTOS!$C$5:$C$1005="A")*(MOVIMIENTOS!$D$5:$D$1005="jabas")*(MOVIMIENTOS!$A$5:$A$1005&lt;&gt;"")*(MOVIMIENTOS!$A$5:$A$1005&lt;=$A651)*MOVIMIENTOS!$E$5:$E$1005))</f>
        <v/>
      </c>
      <c r="C651" t="str">
        <f>IF($A651="","",SUMPRODUCT((MOVIMIENTOS!$B$5:$B$1005="SALDO INICIAL")*(MOVIMIENTOS!$C$5:$C$1005="P")*(MOVIMIENTOS!$D$5:$D$1005="jabas")*(MOVIMIENTOS!$A$5:$A$1005&lt;&gt;"")*(MOVIMIENTOS!$A$5:$A$1005&lt;=$A651)*MOVIMIENTOS!$E$5:$E$1005)+SUMPRODUCT((MOVIMIENTOS!$B$5:$B$1005="PROCESO")*(MOVIMIENTOS!$C$5:$C$1005="P")*(MOVIMIENTOS!$D$5:$D$1005="jabas")*(MOVIMIENTOS!$A$5:$A$1005&lt;&gt;"")*(MOVIMIENTOS!$A$5:$A$1005&lt;=$A651)*MOVIMIENTOS!$E$5:$E$1005)-SUMPRODUCT((MOVIMIENTOS!$B$5:$B$1005="ENVÍO A SUPESA")*(MOVIMIENTOS!$C$5:$C$1005="P")*(MOVIMIENTOS!$D$5:$D$1005="jabas")*(MOVIMIENTOS!$A$5:$A$1005&lt;&gt;"")*(MOVIMIENTOS!$A$5:$A$1005&lt;=$A651)*MOVIMIENTOS!$E$5:$E$1005)+SUMPRODUCT((MOVIMIENTOS!$B$5:$B$1005="DEVOLUCIÓN")*(MOVIMIENTOS!$C$5:$C$1005="P")*(MOVIMIENTOS!$D$5:$D$1005="jabas")*(MOVIMIENTOS!$A$5:$A$1005&lt;&gt;"")*(MOVIMIENTOS!$A$5:$A$1005&lt;=$A651)*MOVIMIENTOS!$E$5:$E$1005)-SUMPRODUCT((MOVIMIENTOS!$B$5:$B$1005="TRASIEGO")*(MOVIMIENTOS!$C$5:$C$1005="P")*(MOVIMIENTOS!$D$5:$D$1005="jabas")*(MOVIMIENTOS!$A$5:$A$1005&lt;&gt;"")*(MOVIMIENTOS!$A$5:$A$1005&lt;=$A651)*MOVIMIENTOS!$E$5:$E$1005)-SUMPRODUCT((MOVIMIENTOS!$B$5:$B$1005="REGALO")*(MOVIMIENTOS!$C$5:$C$1005="P")*(MOVIMIENTOS!$D$5:$D$1005="jabas")*(MOVIMIENTOS!$A$5:$A$1005&lt;&gt;"")*(MOVIMIENTOS!$A$5:$A$1005&lt;=$A651)*MOVIMIENTOS!$E$5:$E$1005)-SUMPRODUCT((MOVIMIENTOS!$B$5:$B$1005="VENTA")*(MOVIMIENTOS!$C$5:$C$1005="P")*(MOVIMIENTOS!$D$5:$D$1005="jabas")*(MOVIMIENTOS!$A$5:$A$1005&lt;&gt;"")*(MOVIMIENTOS!$A$5:$A$1005&lt;=$A651)*MOVIMIENTOS!$E$5:$E$1005)+SUMPRODUCT((MOVIMIENTOS!$B$5:$B$1005="AJUSTE")*(MOVIMIENTOS!$C$5:$C$1005="P")*(MOVIMIENTOS!$D$5:$D$1005="jabas")*(MOVIMIENTOS!$A$5:$A$1005&lt;&gt;"")*(MOVIMIENTOS!$A$5:$A$1005&lt;=$A651)*MOVIMIENTOS!$E$5:$E$1005))</f>
        <v/>
      </c>
      <c r="D651" t="str">
        <f>IF($A651="","",SUMPRODUCT((MOVIMIENTOS!$B$5:$B$1005="SALDO INICIAL")*(MOVIMIENTOS!$C$5:$C$1005="C")*(MOVIMIENTOS!$D$5:$D$1005="jabas")*(MOVIMIENTOS!$A$5:$A$1005&lt;&gt;"")*(MOVIMIENTOS!$A$5:$A$1005&lt;=$A651)*MOVIMIENTOS!$E$5:$E$1005)+SUMPRODUCT((MOVIMIENTOS!$B$5:$B$1005="PROCESO")*(MOVIMIENTOS!$C$5:$C$1005="C")*(MOVIMIENTOS!$D$5:$D$1005="jabas")*(MOVIMIENTOS!$A$5:$A$1005&lt;&gt;"")*(MOVIMIENTOS!$A$5:$A$1005&lt;=$A651)*MOVIMIENTOS!$E$5:$E$1005)-SUMPRODUCT((MOVIMIENTOS!$B$5:$B$1005="ENVÍO A SUPESA")*(MOVIMIENTOS!$C$5:$C$1005="C")*(MOVIMIENTOS!$D$5:$D$1005="jabas")*(MOVIMIENTOS!$A$5:$A$1005&lt;&gt;"")*(MOVIMIENTOS!$A$5:$A$1005&lt;=$A651)*MOVIMIENTOS!$E$5:$E$1005)+SUMPRODUCT((MOVIMIENTOS!$B$5:$B$1005="DEVOLUCIÓN")*(MOVIMIENTOS!$C$5:$C$1005="C")*(MOVIMIENTOS!$D$5:$D$1005="jabas")*(MOVIMIENTOS!$A$5:$A$1005&lt;&gt;"")*(MOVIMIENTOS!$A$5:$A$1005&lt;=$A651)*MOVIMIENTOS!$E$5:$E$1005)-SUMPRODUCT((MOVIMIENTOS!$B$5:$B$1005="TRASIEGO")*(MOVIMIENTOS!$C$5:$C$1005="C")*(MOVIMIENTOS!$D$5:$D$1005="jabas")*(MOVIMIENTOS!$A$5:$A$1005&lt;&gt;"")*(MOVIMIENTOS!$A$5:$A$1005&lt;=$A651)*MOVIMIENTOS!$E$5:$E$1005)-SUMPRODUCT((MOVIMIENTOS!$B$5:$B$1005="REGALO")*(MOVIMIENTOS!$C$5:$C$1005="C")*(MOVIMIENTOS!$D$5:$D$1005="jabas")*(MOVIMIENTOS!$A$5:$A$1005&lt;&gt;"")*(MOVIMIENTOS!$A$5:$A$1005&lt;=$A651)*MOVIMIENTOS!$E$5:$E$1005)-SUMPRODUCT((MOVIMIENTOS!$B$5:$B$1005="VENTA")*(MOVIMIENTOS!$C$5:$C$1005="C")*(MOVIMIENTOS!$D$5:$D$1005="jabas")*(MOVIMIENTOS!$A$5:$A$1005&lt;&gt;"")*(MOVIMIENTOS!$A$5:$A$1005&lt;=$A651)*MOVIMIENTOS!$E$5:$E$1005)+SUMPRODUCT((MOVIMIENTOS!$B$5:$B$1005="AJUSTE")*(MOVIMIENTOS!$C$5:$C$1005="C")*(MOVIMIENTOS!$D$5:$D$1005="jabas")*(MOVIMIENTOS!$A$5:$A$1005&lt;&gt;"")*(MOVIMIENTOS!$A$5:$A$1005&lt;=$A651)*MOVIMIENTOS!$E$5:$E$1005))</f>
        <v/>
      </c>
      <c r="E651" t="str">
        <f>IF($A651="","",SUMPRODUCT((MOVIMIENTOS!$B$5:$B$1005="SALDO INICIAL")*(MOVIMIENTOS!$C$5:$C$1005="M")*(MOVIMIENTOS!$D$5:$D$1005="jabas")*(MOVIMIENTOS!$A$5:$A$1005&lt;&gt;"")*(MOVIMIENTOS!$A$5:$A$1005&lt;=$A651)*MOVIMIENTOS!$E$5:$E$1005)+SUMPRODUCT((MOVIMIENTOS!$B$5:$B$1005="PROCESO")*(MOVIMIENTOS!$C$5:$C$1005="M")*(MOVIMIENTOS!$D$5:$D$1005="jabas")*(MOVIMIENTOS!$A$5:$A$1005&lt;&gt;"")*(MOVIMIENTOS!$A$5:$A$1005&lt;=$A651)*MOVIMIENTOS!$E$5:$E$1005)-SUMPRODUCT((MOVIMIENTOS!$B$5:$B$1005="ENVÍO A SUPESA")*(MOVIMIENTOS!$C$5:$C$1005="M")*(MOVIMIENTOS!$D$5:$D$1005="jabas")*(MOVIMIENTOS!$A$5:$A$1005&lt;&gt;"")*(MOVIMIENTOS!$A$5:$A$1005&lt;=$A651)*MOVIMIENTOS!$E$5:$E$1005)+SUMPRODUCT((MOVIMIENTOS!$B$5:$B$1005="DEVOLUCIÓN")*(MOVIMIENTOS!$C$5:$C$1005="M")*(MOVIMIENTOS!$D$5:$D$1005="jabas")*(MOVIMIENTOS!$A$5:$A$1005&lt;&gt;"")*(MOVIMIENTOS!$A$5:$A$1005&lt;=$A651)*MOVIMIENTOS!$E$5:$E$1005)-SUMPRODUCT((MOVIMIENTOS!$B$5:$B$1005="TRASIEGO")*(MOVIMIENTOS!$C$5:$C$1005="M")*(MOVIMIENTOS!$D$5:$D$1005="jabas")*(MOVIMIENTOS!$A$5:$A$1005&lt;&gt;"")*(MOVIMIENTOS!$A$5:$A$1005&lt;=$A651)*MOVIMIENTOS!$E$5:$E$1005)-SUMPRODUCT((MOVIMIENTOS!$B$5:$B$1005="REGALO")*(MOVIMIENTOS!$C$5:$C$1005="M")*(MOVIMIENTOS!$D$5:$D$1005="jabas")*(MOVIMIENTOS!$A$5:$A$1005&lt;&gt;"")*(MOVIMIENTOS!$A$5:$A$1005&lt;=$A651)*MOVIMIENTOS!$E$5:$E$1005)-SUMPRODUCT((MOVIMIENTOS!$B$5:$B$1005="VENTA")*(MOVIMIENTOS!$C$5:$C$1005="M")*(MOVIMIENTOS!$D$5:$D$1005="jabas")*(MOVIMIENTOS!$A$5:$A$1005&lt;&gt;"")*(MOVIMIENTOS!$A$5:$A$1005&lt;=$A651)*MOVIMIENTOS!$E$5:$E$1005)+SUMPRODUCT((MOVIMIENTOS!$B$5:$B$1005="AJUSTE")*(MOVIMIENTOS!$C$5:$C$1005="M")*(MOVIMIENTOS!$D$5:$D$1005="jabas")*(MOVIMIENTOS!$A$5:$A$1005&lt;&gt;"")*(MOVIMIENTOS!$A$5:$A$1005&lt;=$A651)*MOVIMIENTOS!$E$5:$E$1005))</f>
        <v/>
      </c>
      <c r="F651" s="62" t="str">
        <f>IF($A651="","",SUMPRODUCT((MOVIMIENTOS!$B$5:$B$1005="SALDO INICIAL")*(MOVIMIENTOS!$C$5:$C$1005="Chancho")*(MOVIMIENTOS!$D$5:$D$1005="sacos")*(MOVIMIENTOS!$A$5:$A$1005&lt;&gt;"")*(MOVIMIENTOS!$A$5:$A$1005&lt;=$A651)*MOVIMIENTOS!$E$5:$E$1005)+SUMPRODUCT((MOVIMIENTOS!$B$5:$B$1005="PROCESO")*(MOVIMIENTOS!$C$5:$C$1005="Chancho")*(MOVIMIENTOS!$D$5:$D$1005="sacos")*(MOVIMIENTOS!$A$5:$A$1005&lt;&gt;"")*(MOVIMIENTOS!$A$5:$A$1005&lt;=$A651)*MOVIMIENTOS!$E$5:$E$1005)-SUMPRODUCT((MOVIMIENTOS!$B$5:$B$1005="VENTA CHANCHO")*(MOVIMIENTOS!$C$5:$C$1005="Chancho")*(MOVIMIENTOS!$D$5:$D$1005="sacos")*(MOVIMIENTOS!$A$5:$A$1005&lt;&gt;"")*(MOVIMIENTOS!$A$5:$A$1005&lt;=$A651)*MOVIMIENTOS!$E$5:$E$1005)-SUMPRODUCT((MOVIMIENTOS!$B$5:$B$1005="REGALO")*(MOVIMIENTOS!$C$5:$C$1005="Chancho")*(MOVIMIENTOS!$D$5:$D$1005="sacos")*(MOVIMIENTOS!$A$5:$A$1005&lt;&gt;"")*(MOVIMIENTOS!$A$5:$A$1005&lt;=$A651)*MOVIMIENTOS!$E$5:$E$1005)-SUMPRODUCT((MOVIMIENTOS!$B$5:$B$1005="VENTA")*(MOVIMIENTOS!$C$5:$C$1005="Chancho")*(MOVIMIENTOS!$D$5:$D$1005="sacos")*(MOVIMIENTOS!$A$5:$A$1005&lt;&gt;"")*(MOVIMIENTOS!$A$5:$A$1005&lt;=$A651)*MOVIMIENTOS!$E$5:$E$1005)+SUMPRODUCT((MOVIMIENTOS!$B$5:$B$1005="AJUSTE")*(MOVIMIENTOS!$C$5:$C$1005="Chancho")*(MOVIMIENTOS!$D$5:$D$1005="sacos")*(MOVIMIENTOS!$A$5:$A$1005&lt;&gt;"")*(MOVIMIENTOS!$A$5:$A$1005&lt;=$A651)*MOVIMIENTOS!$E$5:$E$1005))</f>
        <v/>
      </c>
      <c r="G651" s="62" t="str">
        <f t="shared" si="21"/>
        <v/>
      </c>
      <c r="H651" t="str">
        <f>IF($A651="","",SUMPRODUCT((((MOVIMIENTOS!$B$5:$B$1005="SALDO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651)*MOVIMIENTOS!$J$5:$J$1005))</f>
        <v/>
      </c>
      <c r="J651" t="str">
        <f>IF(AND(MOVIMIENTOS!$A656&lt;&gt;"",COUNTIF(MOVIMIENTOS!$A$5:$A655,MOVIMIENTOS!$A656)=0),COUNT(J$4:J650)+1,"")</f>
        <v/>
      </c>
      <c r="K651">
        <f>MOVIMIENTOS!$A656</f>
        <v>0</v>
      </c>
    </row>
    <row r="652" spans="1:11" ht="15" customHeight="1" x14ac:dyDescent="0.2">
      <c r="A652" t="str">
        <f t="shared" si="20"/>
        <v/>
      </c>
      <c r="B652" t="str">
        <f>IF($A652="","",SUMPRODUCT((MOVIMIENTOS!$B$5:$B$1005="SALDO INICIAL")*(MOVIMIENTOS!$C$5:$C$1005="A")*(MOVIMIENTOS!$D$5:$D$1005="jabas")*(MOVIMIENTOS!$A$5:$A$1005&lt;&gt;"")*(MOVIMIENTOS!$A$5:$A$1005&lt;=$A652)*MOVIMIENTOS!$E$5:$E$1005)+SUMPRODUCT((MOVIMIENTOS!$B$5:$B$1005="PROCESO")*(MOVIMIENTOS!$C$5:$C$1005="A")*(MOVIMIENTOS!$D$5:$D$1005="jabas")*(MOVIMIENTOS!$A$5:$A$1005&lt;&gt;"")*(MOVIMIENTOS!$A$5:$A$1005&lt;=$A652)*MOVIMIENTOS!$E$5:$E$1005)-SUMPRODUCT((MOVIMIENTOS!$B$5:$B$1005="ENVÍO A SUPESA")*(MOVIMIENTOS!$C$5:$C$1005="A")*(MOVIMIENTOS!$D$5:$D$1005="jabas")*(MOVIMIENTOS!$A$5:$A$1005&lt;&gt;"")*(MOVIMIENTOS!$A$5:$A$1005&lt;=$A652)*MOVIMIENTOS!$E$5:$E$1005)+SUMPRODUCT((MOVIMIENTOS!$B$5:$B$1005="DEVOLUCIÓN")*(MOVIMIENTOS!$C$5:$C$1005="A")*(MOVIMIENTOS!$D$5:$D$1005="jabas")*(MOVIMIENTOS!$A$5:$A$1005&lt;&gt;"")*(MOVIMIENTOS!$A$5:$A$1005&lt;=$A652)*MOVIMIENTOS!$E$5:$E$1005)-SUMPRODUCT((MOVIMIENTOS!$B$5:$B$1005="TRASIEGO")*(MOVIMIENTOS!$C$5:$C$1005="A")*(MOVIMIENTOS!$D$5:$D$1005="jabas")*(MOVIMIENTOS!$A$5:$A$1005&lt;&gt;"")*(MOVIMIENTOS!$A$5:$A$1005&lt;=$A652)*MOVIMIENTOS!$E$5:$E$1005)-SUMPRODUCT((MOVIMIENTOS!$B$5:$B$1005="REGALO")*(MOVIMIENTOS!$C$5:$C$1005="A")*(MOVIMIENTOS!$D$5:$D$1005="jabas")*(MOVIMIENTOS!$A$5:$A$1005&lt;&gt;"")*(MOVIMIENTOS!$A$5:$A$1005&lt;=$A652)*MOVIMIENTOS!$E$5:$E$1005)-SUMPRODUCT((MOVIMIENTOS!$B$5:$B$1005="VENTA")*(MOVIMIENTOS!$C$5:$C$1005="A")*(MOVIMIENTOS!$D$5:$D$1005="jabas")*(MOVIMIENTOS!$A$5:$A$1005&lt;&gt;"")*(MOVIMIENTOS!$A$5:$A$1005&lt;=$A652)*MOVIMIENTOS!$E$5:$E$1005)+SUMPRODUCT((MOVIMIENTOS!$B$5:$B$1005="AJUSTE")*(MOVIMIENTOS!$C$5:$C$1005="A")*(MOVIMIENTOS!$D$5:$D$1005="jabas")*(MOVIMIENTOS!$A$5:$A$1005&lt;&gt;"")*(MOVIMIENTOS!$A$5:$A$1005&lt;=$A652)*MOVIMIENTOS!$E$5:$E$1005))</f>
        <v/>
      </c>
      <c r="C652" t="str">
        <f>IF($A652="","",SUMPRODUCT((MOVIMIENTOS!$B$5:$B$1005="SALDO INICIAL")*(MOVIMIENTOS!$C$5:$C$1005="P")*(MOVIMIENTOS!$D$5:$D$1005="jabas")*(MOVIMIENTOS!$A$5:$A$1005&lt;&gt;"")*(MOVIMIENTOS!$A$5:$A$1005&lt;=$A652)*MOVIMIENTOS!$E$5:$E$1005)+SUMPRODUCT((MOVIMIENTOS!$B$5:$B$1005="PROCESO")*(MOVIMIENTOS!$C$5:$C$1005="P")*(MOVIMIENTOS!$D$5:$D$1005="jabas")*(MOVIMIENTOS!$A$5:$A$1005&lt;&gt;"")*(MOVIMIENTOS!$A$5:$A$1005&lt;=$A652)*MOVIMIENTOS!$E$5:$E$1005)-SUMPRODUCT((MOVIMIENTOS!$B$5:$B$1005="ENVÍO A SUPESA")*(MOVIMIENTOS!$C$5:$C$1005="P")*(MOVIMIENTOS!$D$5:$D$1005="jabas")*(MOVIMIENTOS!$A$5:$A$1005&lt;&gt;"")*(MOVIMIENTOS!$A$5:$A$1005&lt;=$A652)*MOVIMIENTOS!$E$5:$E$1005)+SUMPRODUCT((MOVIMIENTOS!$B$5:$B$1005="DEVOLUCIÓN")*(MOVIMIENTOS!$C$5:$C$1005="P")*(MOVIMIENTOS!$D$5:$D$1005="jabas")*(MOVIMIENTOS!$A$5:$A$1005&lt;&gt;"")*(MOVIMIENTOS!$A$5:$A$1005&lt;=$A652)*MOVIMIENTOS!$E$5:$E$1005)-SUMPRODUCT((MOVIMIENTOS!$B$5:$B$1005="TRASIEGO")*(MOVIMIENTOS!$C$5:$C$1005="P")*(MOVIMIENTOS!$D$5:$D$1005="jabas")*(MOVIMIENTOS!$A$5:$A$1005&lt;&gt;"")*(MOVIMIENTOS!$A$5:$A$1005&lt;=$A652)*MOVIMIENTOS!$E$5:$E$1005)-SUMPRODUCT((MOVIMIENTOS!$B$5:$B$1005="REGALO")*(MOVIMIENTOS!$C$5:$C$1005="P")*(MOVIMIENTOS!$D$5:$D$1005="jabas")*(MOVIMIENTOS!$A$5:$A$1005&lt;&gt;"")*(MOVIMIENTOS!$A$5:$A$1005&lt;=$A652)*MOVIMIENTOS!$E$5:$E$1005)-SUMPRODUCT((MOVIMIENTOS!$B$5:$B$1005="VENTA")*(MOVIMIENTOS!$C$5:$C$1005="P")*(MOVIMIENTOS!$D$5:$D$1005="jabas")*(MOVIMIENTOS!$A$5:$A$1005&lt;&gt;"")*(MOVIMIENTOS!$A$5:$A$1005&lt;=$A652)*MOVIMIENTOS!$E$5:$E$1005)+SUMPRODUCT((MOVIMIENTOS!$B$5:$B$1005="AJUSTE")*(MOVIMIENTOS!$C$5:$C$1005="P")*(MOVIMIENTOS!$D$5:$D$1005="jabas")*(MOVIMIENTOS!$A$5:$A$1005&lt;&gt;"")*(MOVIMIENTOS!$A$5:$A$1005&lt;=$A652)*MOVIMIENTOS!$E$5:$E$1005))</f>
        <v/>
      </c>
      <c r="D652" t="str">
        <f>IF($A652="","",SUMPRODUCT((MOVIMIENTOS!$B$5:$B$1005="SALDO INICIAL")*(MOVIMIENTOS!$C$5:$C$1005="C")*(MOVIMIENTOS!$D$5:$D$1005="jabas")*(MOVIMIENTOS!$A$5:$A$1005&lt;&gt;"")*(MOVIMIENTOS!$A$5:$A$1005&lt;=$A652)*MOVIMIENTOS!$E$5:$E$1005)+SUMPRODUCT((MOVIMIENTOS!$B$5:$B$1005="PROCESO")*(MOVIMIENTOS!$C$5:$C$1005="C")*(MOVIMIENTOS!$D$5:$D$1005="jabas")*(MOVIMIENTOS!$A$5:$A$1005&lt;&gt;"")*(MOVIMIENTOS!$A$5:$A$1005&lt;=$A652)*MOVIMIENTOS!$E$5:$E$1005)-SUMPRODUCT((MOVIMIENTOS!$B$5:$B$1005="ENVÍO A SUPESA")*(MOVIMIENTOS!$C$5:$C$1005="C")*(MOVIMIENTOS!$D$5:$D$1005="jabas")*(MOVIMIENTOS!$A$5:$A$1005&lt;&gt;"")*(MOVIMIENTOS!$A$5:$A$1005&lt;=$A652)*MOVIMIENTOS!$E$5:$E$1005)+SUMPRODUCT((MOVIMIENTOS!$B$5:$B$1005="DEVOLUCIÓN")*(MOVIMIENTOS!$C$5:$C$1005="C")*(MOVIMIENTOS!$D$5:$D$1005="jabas")*(MOVIMIENTOS!$A$5:$A$1005&lt;&gt;"")*(MOVIMIENTOS!$A$5:$A$1005&lt;=$A652)*MOVIMIENTOS!$E$5:$E$1005)-SUMPRODUCT((MOVIMIENTOS!$B$5:$B$1005="TRASIEGO")*(MOVIMIENTOS!$C$5:$C$1005="C")*(MOVIMIENTOS!$D$5:$D$1005="jabas")*(MOVIMIENTOS!$A$5:$A$1005&lt;&gt;"")*(MOVIMIENTOS!$A$5:$A$1005&lt;=$A652)*MOVIMIENTOS!$E$5:$E$1005)-SUMPRODUCT((MOVIMIENTOS!$B$5:$B$1005="REGALO")*(MOVIMIENTOS!$C$5:$C$1005="C")*(MOVIMIENTOS!$D$5:$D$1005="jabas")*(MOVIMIENTOS!$A$5:$A$1005&lt;&gt;"")*(MOVIMIENTOS!$A$5:$A$1005&lt;=$A652)*MOVIMIENTOS!$E$5:$E$1005)-SUMPRODUCT((MOVIMIENTOS!$B$5:$B$1005="VENTA")*(MOVIMIENTOS!$C$5:$C$1005="C")*(MOVIMIENTOS!$D$5:$D$1005="jabas")*(MOVIMIENTOS!$A$5:$A$1005&lt;&gt;"")*(MOVIMIENTOS!$A$5:$A$1005&lt;=$A652)*MOVIMIENTOS!$E$5:$E$1005)+SUMPRODUCT((MOVIMIENTOS!$B$5:$B$1005="AJUSTE")*(MOVIMIENTOS!$C$5:$C$1005="C")*(MOVIMIENTOS!$D$5:$D$1005="jabas")*(MOVIMIENTOS!$A$5:$A$1005&lt;&gt;"")*(MOVIMIENTOS!$A$5:$A$1005&lt;=$A652)*MOVIMIENTOS!$E$5:$E$1005))</f>
        <v/>
      </c>
      <c r="E652" t="str">
        <f>IF($A652="","",SUMPRODUCT((MOVIMIENTOS!$B$5:$B$1005="SALDO INICIAL")*(MOVIMIENTOS!$C$5:$C$1005="M")*(MOVIMIENTOS!$D$5:$D$1005="jabas")*(MOVIMIENTOS!$A$5:$A$1005&lt;&gt;"")*(MOVIMIENTOS!$A$5:$A$1005&lt;=$A652)*MOVIMIENTOS!$E$5:$E$1005)+SUMPRODUCT((MOVIMIENTOS!$B$5:$B$1005="PROCESO")*(MOVIMIENTOS!$C$5:$C$1005="M")*(MOVIMIENTOS!$D$5:$D$1005="jabas")*(MOVIMIENTOS!$A$5:$A$1005&lt;&gt;"")*(MOVIMIENTOS!$A$5:$A$1005&lt;=$A652)*MOVIMIENTOS!$E$5:$E$1005)-SUMPRODUCT((MOVIMIENTOS!$B$5:$B$1005="ENVÍO A SUPESA")*(MOVIMIENTOS!$C$5:$C$1005="M")*(MOVIMIENTOS!$D$5:$D$1005="jabas")*(MOVIMIENTOS!$A$5:$A$1005&lt;&gt;"")*(MOVIMIENTOS!$A$5:$A$1005&lt;=$A652)*MOVIMIENTOS!$E$5:$E$1005)+SUMPRODUCT((MOVIMIENTOS!$B$5:$B$1005="DEVOLUCIÓN")*(MOVIMIENTOS!$C$5:$C$1005="M")*(MOVIMIENTOS!$D$5:$D$1005="jabas")*(MOVIMIENTOS!$A$5:$A$1005&lt;&gt;"")*(MOVIMIENTOS!$A$5:$A$1005&lt;=$A652)*MOVIMIENTOS!$E$5:$E$1005)-SUMPRODUCT((MOVIMIENTOS!$B$5:$B$1005="TRASIEGO")*(MOVIMIENTOS!$C$5:$C$1005="M")*(MOVIMIENTOS!$D$5:$D$1005="jabas")*(MOVIMIENTOS!$A$5:$A$1005&lt;&gt;"")*(MOVIMIENTOS!$A$5:$A$1005&lt;=$A652)*MOVIMIENTOS!$E$5:$E$1005)-SUMPRODUCT((MOVIMIENTOS!$B$5:$B$1005="REGALO")*(MOVIMIENTOS!$C$5:$C$1005="M")*(MOVIMIENTOS!$D$5:$D$1005="jabas")*(MOVIMIENTOS!$A$5:$A$1005&lt;&gt;"")*(MOVIMIENTOS!$A$5:$A$1005&lt;=$A652)*MOVIMIENTOS!$E$5:$E$1005)-SUMPRODUCT((MOVIMIENTOS!$B$5:$B$1005="VENTA")*(MOVIMIENTOS!$C$5:$C$1005="M")*(MOVIMIENTOS!$D$5:$D$1005="jabas")*(MOVIMIENTOS!$A$5:$A$1005&lt;&gt;"")*(MOVIMIENTOS!$A$5:$A$1005&lt;=$A652)*MOVIMIENTOS!$E$5:$E$1005)+SUMPRODUCT((MOVIMIENTOS!$B$5:$B$1005="AJUSTE")*(MOVIMIENTOS!$C$5:$C$1005="M")*(MOVIMIENTOS!$D$5:$D$1005="jabas")*(MOVIMIENTOS!$A$5:$A$1005&lt;&gt;"")*(MOVIMIENTOS!$A$5:$A$1005&lt;=$A652)*MOVIMIENTOS!$E$5:$E$1005))</f>
        <v/>
      </c>
      <c r="F652" s="62" t="str">
        <f>IF($A652="","",SUMPRODUCT((MOVIMIENTOS!$B$5:$B$1005="SALDO INICIAL")*(MOVIMIENTOS!$C$5:$C$1005="Chancho")*(MOVIMIENTOS!$D$5:$D$1005="sacos")*(MOVIMIENTOS!$A$5:$A$1005&lt;&gt;"")*(MOVIMIENTOS!$A$5:$A$1005&lt;=$A652)*MOVIMIENTOS!$E$5:$E$1005)+SUMPRODUCT((MOVIMIENTOS!$B$5:$B$1005="PROCESO")*(MOVIMIENTOS!$C$5:$C$1005="Chancho")*(MOVIMIENTOS!$D$5:$D$1005="sacos")*(MOVIMIENTOS!$A$5:$A$1005&lt;&gt;"")*(MOVIMIENTOS!$A$5:$A$1005&lt;=$A652)*MOVIMIENTOS!$E$5:$E$1005)-SUMPRODUCT((MOVIMIENTOS!$B$5:$B$1005="VENTA CHANCHO")*(MOVIMIENTOS!$C$5:$C$1005="Chancho")*(MOVIMIENTOS!$D$5:$D$1005="sacos")*(MOVIMIENTOS!$A$5:$A$1005&lt;&gt;"")*(MOVIMIENTOS!$A$5:$A$1005&lt;=$A652)*MOVIMIENTOS!$E$5:$E$1005)-SUMPRODUCT((MOVIMIENTOS!$B$5:$B$1005="REGALO")*(MOVIMIENTOS!$C$5:$C$1005="Chancho")*(MOVIMIENTOS!$D$5:$D$1005="sacos")*(MOVIMIENTOS!$A$5:$A$1005&lt;&gt;"")*(MOVIMIENTOS!$A$5:$A$1005&lt;=$A652)*MOVIMIENTOS!$E$5:$E$1005)-SUMPRODUCT((MOVIMIENTOS!$B$5:$B$1005="VENTA")*(MOVIMIENTOS!$C$5:$C$1005="Chancho")*(MOVIMIENTOS!$D$5:$D$1005="sacos")*(MOVIMIENTOS!$A$5:$A$1005&lt;&gt;"")*(MOVIMIENTOS!$A$5:$A$1005&lt;=$A652)*MOVIMIENTOS!$E$5:$E$1005)+SUMPRODUCT((MOVIMIENTOS!$B$5:$B$1005="AJUSTE")*(MOVIMIENTOS!$C$5:$C$1005="Chancho")*(MOVIMIENTOS!$D$5:$D$1005="sacos")*(MOVIMIENTOS!$A$5:$A$1005&lt;&gt;"")*(MOVIMIENTOS!$A$5:$A$1005&lt;=$A652)*MOVIMIENTOS!$E$5:$E$1005))</f>
        <v/>
      </c>
      <c r="G652" s="62" t="str">
        <f t="shared" si="21"/>
        <v/>
      </c>
      <c r="H652" t="str">
        <f>IF($A652="","",SUMPRODUCT((((MOVIMIENTOS!$B$5:$B$1005="SALDO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652)*MOVIMIENTOS!$J$5:$J$1005))</f>
        <v/>
      </c>
      <c r="J652" t="str">
        <f>IF(AND(MOVIMIENTOS!$A657&lt;&gt;"",COUNTIF(MOVIMIENTOS!$A$5:$A656,MOVIMIENTOS!$A657)=0),COUNT(J$4:J651)+1,"")</f>
        <v/>
      </c>
      <c r="K652">
        <f>MOVIMIENTOS!$A657</f>
        <v>0</v>
      </c>
    </row>
    <row r="653" spans="1:11" ht="15" customHeight="1" x14ac:dyDescent="0.2">
      <c r="A653" t="str">
        <f t="shared" si="20"/>
        <v/>
      </c>
      <c r="B653" t="str">
        <f>IF($A653="","",SUMPRODUCT((MOVIMIENTOS!$B$5:$B$1005="SALDO INICIAL")*(MOVIMIENTOS!$C$5:$C$1005="A")*(MOVIMIENTOS!$D$5:$D$1005="jabas")*(MOVIMIENTOS!$A$5:$A$1005&lt;&gt;"")*(MOVIMIENTOS!$A$5:$A$1005&lt;=$A653)*MOVIMIENTOS!$E$5:$E$1005)+SUMPRODUCT((MOVIMIENTOS!$B$5:$B$1005="PROCESO")*(MOVIMIENTOS!$C$5:$C$1005="A")*(MOVIMIENTOS!$D$5:$D$1005="jabas")*(MOVIMIENTOS!$A$5:$A$1005&lt;&gt;"")*(MOVIMIENTOS!$A$5:$A$1005&lt;=$A653)*MOVIMIENTOS!$E$5:$E$1005)-SUMPRODUCT((MOVIMIENTOS!$B$5:$B$1005="ENVÍO A SUPESA")*(MOVIMIENTOS!$C$5:$C$1005="A")*(MOVIMIENTOS!$D$5:$D$1005="jabas")*(MOVIMIENTOS!$A$5:$A$1005&lt;&gt;"")*(MOVIMIENTOS!$A$5:$A$1005&lt;=$A653)*MOVIMIENTOS!$E$5:$E$1005)+SUMPRODUCT((MOVIMIENTOS!$B$5:$B$1005="DEVOLUCIÓN")*(MOVIMIENTOS!$C$5:$C$1005="A")*(MOVIMIENTOS!$D$5:$D$1005="jabas")*(MOVIMIENTOS!$A$5:$A$1005&lt;&gt;"")*(MOVIMIENTOS!$A$5:$A$1005&lt;=$A653)*MOVIMIENTOS!$E$5:$E$1005)-SUMPRODUCT((MOVIMIENTOS!$B$5:$B$1005="TRASIEGO")*(MOVIMIENTOS!$C$5:$C$1005="A")*(MOVIMIENTOS!$D$5:$D$1005="jabas")*(MOVIMIENTOS!$A$5:$A$1005&lt;&gt;"")*(MOVIMIENTOS!$A$5:$A$1005&lt;=$A653)*MOVIMIENTOS!$E$5:$E$1005)-SUMPRODUCT((MOVIMIENTOS!$B$5:$B$1005="REGALO")*(MOVIMIENTOS!$C$5:$C$1005="A")*(MOVIMIENTOS!$D$5:$D$1005="jabas")*(MOVIMIENTOS!$A$5:$A$1005&lt;&gt;"")*(MOVIMIENTOS!$A$5:$A$1005&lt;=$A653)*MOVIMIENTOS!$E$5:$E$1005)-SUMPRODUCT((MOVIMIENTOS!$B$5:$B$1005="VENTA")*(MOVIMIENTOS!$C$5:$C$1005="A")*(MOVIMIENTOS!$D$5:$D$1005="jabas")*(MOVIMIENTOS!$A$5:$A$1005&lt;&gt;"")*(MOVIMIENTOS!$A$5:$A$1005&lt;=$A653)*MOVIMIENTOS!$E$5:$E$1005)+SUMPRODUCT((MOVIMIENTOS!$B$5:$B$1005="AJUSTE")*(MOVIMIENTOS!$C$5:$C$1005="A")*(MOVIMIENTOS!$D$5:$D$1005="jabas")*(MOVIMIENTOS!$A$5:$A$1005&lt;&gt;"")*(MOVIMIENTOS!$A$5:$A$1005&lt;=$A653)*MOVIMIENTOS!$E$5:$E$1005))</f>
        <v/>
      </c>
      <c r="C653" t="str">
        <f>IF($A653="","",SUMPRODUCT((MOVIMIENTOS!$B$5:$B$1005="SALDO INICIAL")*(MOVIMIENTOS!$C$5:$C$1005="P")*(MOVIMIENTOS!$D$5:$D$1005="jabas")*(MOVIMIENTOS!$A$5:$A$1005&lt;&gt;"")*(MOVIMIENTOS!$A$5:$A$1005&lt;=$A653)*MOVIMIENTOS!$E$5:$E$1005)+SUMPRODUCT((MOVIMIENTOS!$B$5:$B$1005="PROCESO")*(MOVIMIENTOS!$C$5:$C$1005="P")*(MOVIMIENTOS!$D$5:$D$1005="jabas")*(MOVIMIENTOS!$A$5:$A$1005&lt;&gt;"")*(MOVIMIENTOS!$A$5:$A$1005&lt;=$A653)*MOVIMIENTOS!$E$5:$E$1005)-SUMPRODUCT((MOVIMIENTOS!$B$5:$B$1005="ENVÍO A SUPESA")*(MOVIMIENTOS!$C$5:$C$1005="P")*(MOVIMIENTOS!$D$5:$D$1005="jabas")*(MOVIMIENTOS!$A$5:$A$1005&lt;&gt;"")*(MOVIMIENTOS!$A$5:$A$1005&lt;=$A653)*MOVIMIENTOS!$E$5:$E$1005)+SUMPRODUCT((MOVIMIENTOS!$B$5:$B$1005="DEVOLUCIÓN")*(MOVIMIENTOS!$C$5:$C$1005="P")*(MOVIMIENTOS!$D$5:$D$1005="jabas")*(MOVIMIENTOS!$A$5:$A$1005&lt;&gt;"")*(MOVIMIENTOS!$A$5:$A$1005&lt;=$A653)*MOVIMIENTOS!$E$5:$E$1005)-SUMPRODUCT((MOVIMIENTOS!$B$5:$B$1005="TRASIEGO")*(MOVIMIENTOS!$C$5:$C$1005="P")*(MOVIMIENTOS!$D$5:$D$1005="jabas")*(MOVIMIENTOS!$A$5:$A$1005&lt;&gt;"")*(MOVIMIENTOS!$A$5:$A$1005&lt;=$A653)*MOVIMIENTOS!$E$5:$E$1005)-SUMPRODUCT((MOVIMIENTOS!$B$5:$B$1005="REGALO")*(MOVIMIENTOS!$C$5:$C$1005="P")*(MOVIMIENTOS!$D$5:$D$1005="jabas")*(MOVIMIENTOS!$A$5:$A$1005&lt;&gt;"")*(MOVIMIENTOS!$A$5:$A$1005&lt;=$A653)*MOVIMIENTOS!$E$5:$E$1005)-SUMPRODUCT((MOVIMIENTOS!$B$5:$B$1005="VENTA")*(MOVIMIENTOS!$C$5:$C$1005="P")*(MOVIMIENTOS!$D$5:$D$1005="jabas")*(MOVIMIENTOS!$A$5:$A$1005&lt;&gt;"")*(MOVIMIENTOS!$A$5:$A$1005&lt;=$A653)*MOVIMIENTOS!$E$5:$E$1005)+SUMPRODUCT((MOVIMIENTOS!$B$5:$B$1005="AJUSTE")*(MOVIMIENTOS!$C$5:$C$1005="P")*(MOVIMIENTOS!$D$5:$D$1005="jabas")*(MOVIMIENTOS!$A$5:$A$1005&lt;&gt;"")*(MOVIMIENTOS!$A$5:$A$1005&lt;=$A653)*MOVIMIENTOS!$E$5:$E$1005))</f>
        <v/>
      </c>
      <c r="D653" t="str">
        <f>IF($A653="","",SUMPRODUCT((MOVIMIENTOS!$B$5:$B$1005="SALDO INICIAL")*(MOVIMIENTOS!$C$5:$C$1005="C")*(MOVIMIENTOS!$D$5:$D$1005="jabas")*(MOVIMIENTOS!$A$5:$A$1005&lt;&gt;"")*(MOVIMIENTOS!$A$5:$A$1005&lt;=$A653)*MOVIMIENTOS!$E$5:$E$1005)+SUMPRODUCT((MOVIMIENTOS!$B$5:$B$1005="PROCESO")*(MOVIMIENTOS!$C$5:$C$1005="C")*(MOVIMIENTOS!$D$5:$D$1005="jabas")*(MOVIMIENTOS!$A$5:$A$1005&lt;&gt;"")*(MOVIMIENTOS!$A$5:$A$1005&lt;=$A653)*MOVIMIENTOS!$E$5:$E$1005)-SUMPRODUCT((MOVIMIENTOS!$B$5:$B$1005="ENVÍO A SUPESA")*(MOVIMIENTOS!$C$5:$C$1005="C")*(MOVIMIENTOS!$D$5:$D$1005="jabas")*(MOVIMIENTOS!$A$5:$A$1005&lt;&gt;"")*(MOVIMIENTOS!$A$5:$A$1005&lt;=$A653)*MOVIMIENTOS!$E$5:$E$1005)+SUMPRODUCT((MOVIMIENTOS!$B$5:$B$1005="DEVOLUCIÓN")*(MOVIMIENTOS!$C$5:$C$1005="C")*(MOVIMIENTOS!$D$5:$D$1005="jabas")*(MOVIMIENTOS!$A$5:$A$1005&lt;&gt;"")*(MOVIMIENTOS!$A$5:$A$1005&lt;=$A653)*MOVIMIENTOS!$E$5:$E$1005)-SUMPRODUCT((MOVIMIENTOS!$B$5:$B$1005="TRASIEGO")*(MOVIMIENTOS!$C$5:$C$1005="C")*(MOVIMIENTOS!$D$5:$D$1005="jabas")*(MOVIMIENTOS!$A$5:$A$1005&lt;&gt;"")*(MOVIMIENTOS!$A$5:$A$1005&lt;=$A653)*MOVIMIENTOS!$E$5:$E$1005)-SUMPRODUCT((MOVIMIENTOS!$B$5:$B$1005="REGALO")*(MOVIMIENTOS!$C$5:$C$1005="C")*(MOVIMIENTOS!$D$5:$D$1005="jabas")*(MOVIMIENTOS!$A$5:$A$1005&lt;&gt;"")*(MOVIMIENTOS!$A$5:$A$1005&lt;=$A653)*MOVIMIENTOS!$E$5:$E$1005)-SUMPRODUCT((MOVIMIENTOS!$B$5:$B$1005="VENTA")*(MOVIMIENTOS!$C$5:$C$1005="C")*(MOVIMIENTOS!$D$5:$D$1005="jabas")*(MOVIMIENTOS!$A$5:$A$1005&lt;&gt;"")*(MOVIMIENTOS!$A$5:$A$1005&lt;=$A653)*MOVIMIENTOS!$E$5:$E$1005)+SUMPRODUCT((MOVIMIENTOS!$B$5:$B$1005="AJUSTE")*(MOVIMIENTOS!$C$5:$C$1005="C")*(MOVIMIENTOS!$D$5:$D$1005="jabas")*(MOVIMIENTOS!$A$5:$A$1005&lt;&gt;"")*(MOVIMIENTOS!$A$5:$A$1005&lt;=$A653)*MOVIMIENTOS!$E$5:$E$1005))</f>
        <v/>
      </c>
      <c r="E653" t="str">
        <f>IF($A653="","",SUMPRODUCT((MOVIMIENTOS!$B$5:$B$1005="SALDO INICIAL")*(MOVIMIENTOS!$C$5:$C$1005="M")*(MOVIMIENTOS!$D$5:$D$1005="jabas")*(MOVIMIENTOS!$A$5:$A$1005&lt;&gt;"")*(MOVIMIENTOS!$A$5:$A$1005&lt;=$A653)*MOVIMIENTOS!$E$5:$E$1005)+SUMPRODUCT((MOVIMIENTOS!$B$5:$B$1005="PROCESO")*(MOVIMIENTOS!$C$5:$C$1005="M")*(MOVIMIENTOS!$D$5:$D$1005="jabas")*(MOVIMIENTOS!$A$5:$A$1005&lt;&gt;"")*(MOVIMIENTOS!$A$5:$A$1005&lt;=$A653)*MOVIMIENTOS!$E$5:$E$1005)-SUMPRODUCT((MOVIMIENTOS!$B$5:$B$1005="ENVÍO A SUPESA")*(MOVIMIENTOS!$C$5:$C$1005="M")*(MOVIMIENTOS!$D$5:$D$1005="jabas")*(MOVIMIENTOS!$A$5:$A$1005&lt;&gt;"")*(MOVIMIENTOS!$A$5:$A$1005&lt;=$A653)*MOVIMIENTOS!$E$5:$E$1005)+SUMPRODUCT((MOVIMIENTOS!$B$5:$B$1005="DEVOLUCIÓN")*(MOVIMIENTOS!$C$5:$C$1005="M")*(MOVIMIENTOS!$D$5:$D$1005="jabas")*(MOVIMIENTOS!$A$5:$A$1005&lt;&gt;"")*(MOVIMIENTOS!$A$5:$A$1005&lt;=$A653)*MOVIMIENTOS!$E$5:$E$1005)-SUMPRODUCT((MOVIMIENTOS!$B$5:$B$1005="TRASIEGO")*(MOVIMIENTOS!$C$5:$C$1005="M")*(MOVIMIENTOS!$D$5:$D$1005="jabas")*(MOVIMIENTOS!$A$5:$A$1005&lt;&gt;"")*(MOVIMIENTOS!$A$5:$A$1005&lt;=$A653)*MOVIMIENTOS!$E$5:$E$1005)-SUMPRODUCT((MOVIMIENTOS!$B$5:$B$1005="REGALO")*(MOVIMIENTOS!$C$5:$C$1005="M")*(MOVIMIENTOS!$D$5:$D$1005="jabas")*(MOVIMIENTOS!$A$5:$A$1005&lt;&gt;"")*(MOVIMIENTOS!$A$5:$A$1005&lt;=$A653)*MOVIMIENTOS!$E$5:$E$1005)-SUMPRODUCT((MOVIMIENTOS!$B$5:$B$1005="VENTA")*(MOVIMIENTOS!$C$5:$C$1005="M")*(MOVIMIENTOS!$D$5:$D$1005="jabas")*(MOVIMIENTOS!$A$5:$A$1005&lt;&gt;"")*(MOVIMIENTOS!$A$5:$A$1005&lt;=$A653)*MOVIMIENTOS!$E$5:$E$1005)+SUMPRODUCT((MOVIMIENTOS!$B$5:$B$1005="AJUSTE")*(MOVIMIENTOS!$C$5:$C$1005="M")*(MOVIMIENTOS!$D$5:$D$1005="jabas")*(MOVIMIENTOS!$A$5:$A$1005&lt;&gt;"")*(MOVIMIENTOS!$A$5:$A$1005&lt;=$A653)*MOVIMIENTOS!$E$5:$E$1005))</f>
        <v/>
      </c>
      <c r="F653" s="62" t="str">
        <f>IF($A653="","",SUMPRODUCT((MOVIMIENTOS!$B$5:$B$1005="SALDO INICIAL")*(MOVIMIENTOS!$C$5:$C$1005="Chancho")*(MOVIMIENTOS!$D$5:$D$1005="sacos")*(MOVIMIENTOS!$A$5:$A$1005&lt;&gt;"")*(MOVIMIENTOS!$A$5:$A$1005&lt;=$A653)*MOVIMIENTOS!$E$5:$E$1005)+SUMPRODUCT((MOVIMIENTOS!$B$5:$B$1005="PROCESO")*(MOVIMIENTOS!$C$5:$C$1005="Chancho")*(MOVIMIENTOS!$D$5:$D$1005="sacos")*(MOVIMIENTOS!$A$5:$A$1005&lt;&gt;"")*(MOVIMIENTOS!$A$5:$A$1005&lt;=$A653)*MOVIMIENTOS!$E$5:$E$1005)-SUMPRODUCT((MOVIMIENTOS!$B$5:$B$1005="VENTA CHANCHO")*(MOVIMIENTOS!$C$5:$C$1005="Chancho")*(MOVIMIENTOS!$D$5:$D$1005="sacos")*(MOVIMIENTOS!$A$5:$A$1005&lt;&gt;"")*(MOVIMIENTOS!$A$5:$A$1005&lt;=$A653)*MOVIMIENTOS!$E$5:$E$1005)-SUMPRODUCT((MOVIMIENTOS!$B$5:$B$1005="REGALO")*(MOVIMIENTOS!$C$5:$C$1005="Chancho")*(MOVIMIENTOS!$D$5:$D$1005="sacos")*(MOVIMIENTOS!$A$5:$A$1005&lt;&gt;"")*(MOVIMIENTOS!$A$5:$A$1005&lt;=$A653)*MOVIMIENTOS!$E$5:$E$1005)-SUMPRODUCT((MOVIMIENTOS!$B$5:$B$1005="VENTA")*(MOVIMIENTOS!$C$5:$C$1005="Chancho")*(MOVIMIENTOS!$D$5:$D$1005="sacos")*(MOVIMIENTOS!$A$5:$A$1005&lt;&gt;"")*(MOVIMIENTOS!$A$5:$A$1005&lt;=$A653)*MOVIMIENTOS!$E$5:$E$1005)+SUMPRODUCT((MOVIMIENTOS!$B$5:$B$1005="AJUSTE")*(MOVIMIENTOS!$C$5:$C$1005="Chancho")*(MOVIMIENTOS!$D$5:$D$1005="sacos")*(MOVIMIENTOS!$A$5:$A$1005&lt;&gt;"")*(MOVIMIENTOS!$A$5:$A$1005&lt;=$A653)*MOVIMIENTOS!$E$5:$E$1005))</f>
        <v/>
      </c>
      <c r="G653" s="62" t="str">
        <f t="shared" si="21"/>
        <v/>
      </c>
      <c r="H653" t="str">
        <f>IF($A653="","",SUMPRODUCT((((MOVIMIENTOS!$B$5:$B$1005="SALDO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653)*MOVIMIENTOS!$J$5:$J$1005))</f>
        <v/>
      </c>
      <c r="J653" t="str">
        <f>IF(AND(MOVIMIENTOS!$A658&lt;&gt;"",COUNTIF(MOVIMIENTOS!$A$5:$A657,MOVIMIENTOS!$A658)=0),COUNT(J$4:J652)+1,"")</f>
        <v/>
      </c>
      <c r="K653">
        <f>MOVIMIENTOS!$A658</f>
        <v>0</v>
      </c>
    </row>
    <row r="654" spans="1:11" ht="15" customHeight="1" x14ac:dyDescent="0.2">
      <c r="A654" t="str">
        <f t="shared" si="20"/>
        <v/>
      </c>
      <c r="B654" t="str">
        <f>IF($A654="","",SUMPRODUCT((MOVIMIENTOS!$B$5:$B$1005="SALDO INICIAL")*(MOVIMIENTOS!$C$5:$C$1005="A")*(MOVIMIENTOS!$D$5:$D$1005="jabas")*(MOVIMIENTOS!$A$5:$A$1005&lt;&gt;"")*(MOVIMIENTOS!$A$5:$A$1005&lt;=$A654)*MOVIMIENTOS!$E$5:$E$1005)+SUMPRODUCT((MOVIMIENTOS!$B$5:$B$1005="PROCESO")*(MOVIMIENTOS!$C$5:$C$1005="A")*(MOVIMIENTOS!$D$5:$D$1005="jabas")*(MOVIMIENTOS!$A$5:$A$1005&lt;&gt;"")*(MOVIMIENTOS!$A$5:$A$1005&lt;=$A654)*MOVIMIENTOS!$E$5:$E$1005)-SUMPRODUCT((MOVIMIENTOS!$B$5:$B$1005="ENVÍO A SUPESA")*(MOVIMIENTOS!$C$5:$C$1005="A")*(MOVIMIENTOS!$D$5:$D$1005="jabas")*(MOVIMIENTOS!$A$5:$A$1005&lt;&gt;"")*(MOVIMIENTOS!$A$5:$A$1005&lt;=$A654)*MOVIMIENTOS!$E$5:$E$1005)+SUMPRODUCT((MOVIMIENTOS!$B$5:$B$1005="DEVOLUCIÓN")*(MOVIMIENTOS!$C$5:$C$1005="A")*(MOVIMIENTOS!$D$5:$D$1005="jabas")*(MOVIMIENTOS!$A$5:$A$1005&lt;&gt;"")*(MOVIMIENTOS!$A$5:$A$1005&lt;=$A654)*MOVIMIENTOS!$E$5:$E$1005)-SUMPRODUCT((MOVIMIENTOS!$B$5:$B$1005="TRASIEGO")*(MOVIMIENTOS!$C$5:$C$1005="A")*(MOVIMIENTOS!$D$5:$D$1005="jabas")*(MOVIMIENTOS!$A$5:$A$1005&lt;&gt;"")*(MOVIMIENTOS!$A$5:$A$1005&lt;=$A654)*MOVIMIENTOS!$E$5:$E$1005)-SUMPRODUCT((MOVIMIENTOS!$B$5:$B$1005="REGALO")*(MOVIMIENTOS!$C$5:$C$1005="A")*(MOVIMIENTOS!$D$5:$D$1005="jabas")*(MOVIMIENTOS!$A$5:$A$1005&lt;&gt;"")*(MOVIMIENTOS!$A$5:$A$1005&lt;=$A654)*MOVIMIENTOS!$E$5:$E$1005)-SUMPRODUCT((MOVIMIENTOS!$B$5:$B$1005="VENTA")*(MOVIMIENTOS!$C$5:$C$1005="A")*(MOVIMIENTOS!$D$5:$D$1005="jabas")*(MOVIMIENTOS!$A$5:$A$1005&lt;&gt;"")*(MOVIMIENTOS!$A$5:$A$1005&lt;=$A654)*MOVIMIENTOS!$E$5:$E$1005)+SUMPRODUCT((MOVIMIENTOS!$B$5:$B$1005="AJUSTE")*(MOVIMIENTOS!$C$5:$C$1005="A")*(MOVIMIENTOS!$D$5:$D$1005="jabas")*(MOVIMIENTOS!$A$5:$A$1005&lt;&gt;"")*(MOVIMIENTOS!$A$5:$A$1005&lt;=$A654)*MOVIMIENTOS!$E$5:$E$1005))</f>
        <v/>
      </c>
      <c r="C654" t="str">
        <f>IF($A654="","",SUMPRODUCT((MOVIMIENTOS!$B$5:$B$1005="SALDO INICIAL")*(MOVIMIENTOS!$C$5:$C$1005="P")*(MOVIMIENTOS!$D$5:$D$1005="jabas")*(MOVIMIENTOS!$A$5:$A$1005&lt;&gt;"")*(MOVIMIENTOS!$A$5:$A$1005&lt;=$A654)*MOVIMIENTOS!$E$5:$E$1005)+SUMPRODUCT((MOVIMIENTOS!$B$5:$B$1005="PROCESO")*(MOVIMIENTOS!$C$5:$C$1005="P")*(MOVIMIENTOS!$D$5:$D$1005="jabas")*(MOVIMIENTOS!$A$5:$A$1005&lt;&gt;"")*(MOVIMIENTOS!$A$5:$A$1005&lt;=$A654)*MOVIMIENTOS!$E$5:$E$1005)-SUMPRODUCT((MOVIMIENTOS!$B$5:$B$1005="ENVÍO A SUPESA")*(MOVIMIENTOS!$C$5:$C$1005="P")*(MOVIMIENTOS!$D$5:$D$1005="jabas")*(MOVIMIENTOS!$A$5:$A$1005&lt;&gt;"")*(MOVIMIENTOS!$A$5:$A$1005&lt;=$A654)*MOVIMIENTOS!$E$5:$E$1005)+SUMPRODUCT((MOVIMIENTOS!$B$5:$B$1005="DEVOLUCIÓN")*(MOVIMIENTOS!$C$5:$C$1005="P")*(MOVIMIENTOS!$D$5:$D$1005="jabas")*(MOVIMIENTOS!$A$5:$A$1005&lt;&gt;"")*(MOVIMIENTOS!$A$5:$A$1005&lt;=$A654)*MOVIMIENTOS!$E$5:$E$1005)-SUMPRODUCT((MOVIMIENTOS!$B$5:$B$1005="TRASIEGO")*(MOVIMIENTOS!$C$5:$C$1005="P")*(MOVIMIENTOS!$D$5:$D$1005="jabas")*(MOVIMIENTOS!$A$5:$A$1005&lt;&gt;"")*(MOVIMIENTOS!$A$5:$A$1005&lt;=$A654)*MOVIMIENTOS!$E$5:$E$1005)-SUMPRODUCT((MOVIMIENTOS!$B$5:$B$1005="REGALO")*(MOVIMIENTOS!$C$5:$C$1005="P")*(MOVIMIENTOS!$D$5:$D$1005="jabas")*(MOVIMIENTOS!$A$5:$A$1005&lt;&gt;"")*(MOVIMIENTOS!$A$5:$A$1005&lt;=$A654)*MOVIMIENTOS!$E$5:$E$1005)-SUMPRODUCT((MOVIMIENTOS!$B$5:$B$1005="VENTA")*(MOVIMIENTOS!$C$5:$C$1005="P")*(MOVIMIENTOS!$D$5:$D$1005="jabas")*(MOVIMIENTOS!$A$5:$A$1005&lt;&gt;"")*(MOVIMIENTOS!$A$5:$A$1005&lt;=$A654)*MOVIMIENTOS!$E$5:$E$1005)+SUMPRODUCT((MOVIMIENTOS!$B$5:$B$1005="AJUSTE")*(MOVIMIENTOS!$C$5:$C$1005="P")*(MOVIMIENTOS!$D$5:$D$1005="jabas")*(MOVIMIENTOS!$A$5:$A$1005&lt;&gt;"")*(MOVIMIENTOS!$A$5:$A$1005&lt;=$A654)*MOVIMIENTOS!$E$5:$E$1005))</f>
        <v/>
      </c>
      <c r="D654" t="str">
        <f>IF($A654="","",SUMPRODUCT((MOVIMIENTOS!$B$5:$B$1005="SALDO INICIAL")*(MOVIMIENTOS!$C$5:$C$1005="C")*(MOVIMIENTOS!$D$5:$D$1005="jabas")*(MOVIMIENTOS!$A$5:$A$1005&lt;&gt;"")*(MOVIMIENTOS!$A$5:$A$1005&lt;=$A654)*MOVIMIENTOS!$E$5:$E$1005)+SUMPRODUCT((MOVIMIENTOS!$B$5:$B$1005="PROCESO")*(MOVIMIENTOS!$C$5:$C$1005="C")*(MOVIMIENTOS!$D$5:$D$1005="jabas")*(MOVIMIENTOS!$A$5:$A$1005&lt;&gt;"")*(MOVIMIENTOS!$A$5:$A$1005&lt;=$A654)*MOVIMIENTOS!$E$5:$E$1005)-SUMPRODUCT((MOVIMIENTOS!$B$5:$B$1005="ENVÍO A SUPESA")*(MOVIMIENTOS!$C$5:$C$1005="C")*(MOVIMIENTOS!$D$5:$D$1005="jabas")*(MOVIMIENTOS!$A$5:$A$1005&lt;&gt;"")*(MOVIMIENTOS!$A$5:$A$1005&lt;=$A654)*MOVIMIENTOS!$E$5:$E$1005)+SUMPRODUCT((MOVIMIENTOS!$B$5:$B$1005="DEVOLUCIÓN")*(MOVIMIENTOS!$C$5:$C$1005="C")*(MOVIMIENTOS!$D$5:$D$1005="jabas")*(MOVIMIENTOS!$A$5:$A$1005&lt;&gt;"")*(MOVIMIENTOS!$A$5:$A$1005&lt;=$A654)*MOVIMIENTOS!$E$5:$E$1005)-SUMPRODUCT((MOVIMIENTOS!$B$5:$B$1005="TRASIEGO")*(MOVIMIENTOS!$C$5:$C$1005="C")*(MOVIMIENTOS!$D$5:$D$1005="jabas")*(MOVIMIENTOS!$A$5:$A$1005&lt;&gt;"")*(MOVIMIENTOS!$A$5:$A$1005&lt;=$A654)*MOVIMIENTOS!$E$5:$E$1005)-SUMPRODUCT((MOVIMIENTOS!$B$5:$B$1005="REGALO")*(MOVIMIENTOS!$C$5:$C$1005="C")*(MOVIMIENTOS!$D$5:$D$1005="jabas")*(MOVIMIENTOS!$A$5:$A$1005&lt;&gt;"")*(MOVIMIENTOS!$A$5:$A$1005&lt;=$A654)*MOVIMIENTOS!$E$5:$E$1005)-SUMPRODUCT((MOVIMIENTOS!$B$5:$B$1005="VENTA")*(MOVIMIENTOS!$C$5:$C$1005="C")*(MOVIMIENTOS!$D$5:$D$1005="jabas")*(MOVIMIENTOS!$A$5:$A$1005&lt;&gt;"")*(MOVIMIENTOS!$A$5:$A$1005&lt;=$A654)*MOVIMIENTOS!$E$5:$E$1005)+SUMPRODUCT((MOVIMIENTOS!$B$5:$B$1005="AJUSTE")*(MOVIMIENTOS!$C$5:$C$1005="C")*(MOVIMIENTOS!$D$5:$D$1005="jabas")*(MOVIMIENTOS!$A$5:$A$1005&lt;&gt;"")*(MOVIMIENTOS!$A$5:$A$1005&lt;=$A654)*MOVIMIENTOS!$E$5:$E$1005))</f>
        <v/>
      </c>
      <c r="E654" t="str">
        <f>IF($A654="","",SUMPRODUCT((MOVIMIENTOS!$B$5:$B$1005="SALDO INICIAL")*(MOVIMIENTOS!$C$5:$C$1005="M")*(MOVIMIENTOS!$D$5:$D$1005="jabas")*(MOVIMIENTOS!$A$5:$A$1005&lt;&gt;"")*(MOVIMIENTOS!$A$5:$A$1005&lt;=$A654)*MOVIMIENTOS!$E$5:$E$1005)+SUMPRODUCT((MOVIMIENTOS!$B$5:$B$1005="PROCESO")*(MOVIMIENTOS!$C$5:$C$1005="M")*(MOVIMIENTOS!$D$5:$D$1005="jabas")*(MOVIMIENTOS!$A$5:$A$1005&lt;&gt;"")*(MOVIMIENTOS!$A$5:$A$1005&lt;=$A654)*MOVIMIENTOS!$E$5:$E$1005)-SUMPRODUCT((MOVIMIENTOS!$B$5:$B$1005="ENVÍO A SUPESA")*(MOVIMIENTOS!$C$5:$C$1005="M")*(MOVIMIENTOS!$D$5:$D$1005="jabas")*(MOVIMIENTOS!$A$5:$A$1005&lt;&gt;"")*(MOVIMIENTOS!$A$5:$A$1005&lt;=$A654)*MOVIMIENTOS!$E$5:$E$1005)+SUMPRODUCT((MOVIMIENTOS!$B$5:$B$1005="DEVOLUCIÓN")*(MOVIMIENTOS!$C$5:$C$1005="M")*(MOVIMIENTOS!$D$5:$D$1005="jabas")*(MOVIMIENTOS!$A$5:$A$1005&lt;&gt;"")*(MOVIMIENTOS!$A$5:$A$1005&lt;=$A654)*MOVIMIENTOS!$E$5:$E$1005)-SUMPRODUCT((MOVIMIENTOS!$B$5:$B$1005="TRASIEGO")*(MOVIMIENTOS!$C$5:$C$1005="M")*(MOVIMIENTOS!$D$5:$D$1005="jabas")*(MOVIMIENTOS!$A$5:$A$1005&lt;&gt;"")*(MOVIMIENTOS!$A$5:$A$1005&lt;=$A654)*MOVIMIENTOS!$E$5:$E$1005)-SUMPRODUCT((MOVIMIENTOS!$B$5:$B$1005="REGALO")*(MOVIMIENTOS!$C$5:$C$1005="M")*(MOVIMIENTOS!$D$5:$D$1005="jabas")*(MOVIMIENTOS!$A$5:$A$1005&lt;&gt;"")*(MOVIMIENTOS!$A$5:$A$1005&lt;=$A654)*MOVIMIENTOS!$E$5:$E$1005)-SUMPRODUCT((MOVIMIENTOS!$B$5:$B$1005="VENTA")*(MOVIMIENTOS!$C$5:$C$1005="M")*(MOVIMIENTOS!$D$5:$D$1005="jabas")*(MOVIMIENTOS!$A$5:$A$1005&lt;&gt;"")*(MOVIMIENTOS!$A$5:$A$1005&lt;=$A654)*MOVIMIENTOS!$E$5:$E$1005)+SUMPRODUCT((MOVIMIENTOS!$B$5:$B$1005="AJUSTE")*(MOVIMIENTOS!$C$5:$C$1005="M")*(MOVIMIENTOS!$D$5:$D$1005="jabas")*(MOVIMIENTOS!$A$5:$A$1005&lt;&gt;"")*(MOVIMIENTOS!$A$5:$A$1005&lt;=$A654)*MOVIMIENTOS!$E$5:$E$1005))</f>
        <v/>
      </c>
      <c r="F654" s="62" t="str">
        <f>IF($A654="","",SUMPRODUCT((MOVIMIENTOS!$B$5:$B$1005="SALDO INICIAL")*(MOVIMIENTOS!$C$5:$C$1005="Chancho")*(MOVIMIENTOS!$D$5:$D$1005="sacos")*(MOVIMIENTOS!$A$5:$A$1005&lt;&gt;"")*(MOVIMIENTOS!$A$5:$A$1005&lt;=$A654)*MOVIMIENTOS!$E$5:$E$1005)+SUMPRODUCT((MOVIMIENTOS!$B$5:$B$1005="PROCESO")*(MOVIMIENTOS!$C$5:$C$1005="Chancho")*(MOVIMIENTOS!$D$5:$D$1005="sacos")*(MOVIMIENTOS!$A$5:$A$1005&lt;&gt;"")*(MOVIMIENTOS!$A$5:$A$1005&lt;=$A654)*MOVIMIENTOS!$E$5:$E$1005)-SUMPRODUCT((MOVIMIENTOS!$B$5:$B$1005="VENTA CHANCHO")*(MOVIMIENTOS!$C$5:$C$1005="Chancho")*(MOVIMIENTOS!$D$5:$D$1005="sacos")*(MOVIMIENTOS!$A$5:$A$1005&lt;&gt;"")*(MOVIMIENTOS!$A$5:$A$1005&lt;=$A654)*MOVIMIENTOS!$E$5:$E$1005)-SUMPRODUCT((MOVIMIENTOS!$B$5:$B$1005="REGALO")*(MOVIMIENTOS!$C$5:$C$1005="Chancho")*(MOVIMIENTOS!$D$5:$D$1005="sacos")*(MOVIMIENTOS!$A$5:$A$1005&lt;&gt;"")*(MOVIMIENTOS!$A$5:$A$1005&lt;=$A654)*MOVIMIENTOS!$E$5:$E$1005)-SUMPRODUCT((MOVIMIENTOS!$B$5:$B$1005="VENTA")*(MOVIMIENTOS!$C$5:$C$1005="Chancho")*(MOVIMIENTOS!$D$5:$D$1005="sacos")*(MOVIMIENTOS!$A$5:$A$1005&lt;&gt;"")*(MOVIMIENTOS!$A$5:$A$1005&lt;=$A654)*MOVIMIENTOS!$E$5:$E$1005)+SUMPRODUCT((MOVIMIENTOS!$B$5:$B$1005="AJUSTE")*(MOVIMIENTOS!$C$5:$C$1005="Chancho")*(MOVIMIENTOS!$D$5:$D$1005="sacos")*(MOVIMIENTOS!$A$5:$A$1005&lt;&gt;"")*(MOVIMIENTOS!$A$5:$A$1005&lt;=$A654)*MOVIMIENTOS!$E$5:$E$1005))</f>
        <v/>
      </c>
      <c r="G654" s="62" t="str">
        <f t="shared" si="21"/>
        <v/>
      </c>
      <c r="H654" t="str">
        <f>IF($A654="","",SUMPRODUCT((((MOVIMIENTOS!$B$5:$B$1005="SALDO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654)*MOVIMIENTOS!$J$5:$J$1005))</f>
        <v/>
      </c>
      <c r="J654" t="str">
        <f>IF(AND(MOVIMIENTOS!$A659&lt;&gt;"",COUNTIF(MOVIMIENTOS!$A$5:$A658,MOVIMIENTOS!$A659)=0),COUNT(J$4:J653)+1,"")</f>
        <v/>
      </c>
      <c r="K654">
        <f>MOVIMIENTOS!$A659</f>
        <v>0</v>
      </c>
    </row>
    <row r="655" spans="1:11" ht="15" customHeight="1" x14ac:dyDescent="0.2">
      <c r="A655" t="str">
        <f t="shared" si="20"/>
        <v/>
      </c>
      <c r="B655" t="str">
        <f>IF($A655="","",SUMPRODUCT((MOVIMIENTOS!$B$5:$B$1005="SALDO INICIAL")*(MOVIMIENTOS!$C$5:$C$1005="A")*(MOVIMIENTOS!$D$5:$D$1005="jabas")*(MOVIMIENTOS!$A$5:$A$1005&lt;&gt;"")*(MOVIMIENTOS!$A$5:$A$1005&lt;=$A655)*MOVIMIENTOS!$E$5:$E$1005)+SUMPRODUCT((MOVIMIENTOS!$B$5:$B$1005="PROCESO")*(MOVIMIENTOS!$C$5:$C$1005="A")*(MOVIMIENTOS!$D$5:$D$1005="jabas")*(MOVIMIENTOS!$A$5:$A$1005&lt;&gt;"")*(MOVIMIENTOS!$A$5:$A$1005&lt;=$A655)*MOVIMIENTOS!$E$5:$E$1005)-SUMPRODUCT((MOVIMIENTOS!$B$5:$B$1005="ENVÍO A SUPESA")*(MOVIMIENTOS!$C$5:$C$1005="A")*(MOVIMIENTOS!$D$5:$D$1005="jabas")*(MOVIMIENTOS!$A$5:$A$1005&lt;&gt;"")*(MOVIMIENTOS!$A$5:$A$1005&lt;=$A655)*MOVIMIENTOS!$E$5:$E$1005)+SUMPRODUCT((MOVIMIENTOS!$B$5:$B$1005="DEVOLUCIÓN")*(MOVIMIENTOS!$C$5:$C$1005="A")*(MOVIMIENTOS!$D$5:$D$1005="jabas")*(MOVIMIENTOS!$A$5:$A$1005&lt;&gt;"")*(MOVIMIENTOS!$A$5:$A$1005&lt;=$A655)*MOVIMIENTOS!$E$5:$E$1005)-SUMPRODUCT((MOVIMIENTOS!$B$5:$B$1005="TRASIEGO")*(MOVIMIENTOS!$C$5:$C$1005="A")*(MOVIMIENTOS!$D$5:$D$1005="jabas")*(MOVIMIENTOS!$A$5:$A$1005&lt;&gt;"")*(MOVIMIENTOS!$A$5:$A$1005&lt;=$A655)*MOVIMIENTOS!$E$5:$E$1005)-SUMPRODUCT((MOVIMIENTOS!$B$5:$B$1005="REGALO")*(MOVIMIENTOS!$C$5:$C$1005="A")*(MOVIMIENTOS!$D$5:$D$1005="jabas")*(MOVIMIENTOS!$A$5:$A$1005&lt;&gt;"")*(MOVIMIENTOS!$A$5:$A$1005&lt;=$A655)*MOVIMIENTOS!$E$5:$E$1005)-SUMPRODUCT((MOVIMIENTOS!$B$5:$B$1005="VENTA")*(MOVIMIENTOS!$C$5:$C$1005="A")*(MOVIMIENTOS!$D$5:$D$1005="jabas")*(MOVIMIENTOS!$A$5:$A$1005&lt;&gt;"")*(MOVIMIENTOS!$A$5:$A$1005&lt;=$A655)*MOVIMIENTOS!$E$5:$E$1005)+SUMPRODUCT((MOVIMIENTOS!$B$5:$B$1005="AJUSTE")*(MOVIMIENTOS!$C$5:$C$1005="A")*(MOVIMIENTOS!$D$5:$D$1005="jabas")*(MOVIMIENTOS!$A$5:$A$1005&lt;&gt;"")*(MOVIMIENTOS!$A$5:$A$1005&lt;=$A655)*MOVIMIENTOS!$E$5:$E$1005))</f>
        <v/>
      </c>
      <c r="C655" t="str">
        <f>IF($A655="","",SUMPRODUCT((MOVIMIENTOS!$B$5:$B$1005="SALDO INICIAL")*(MOVIMIENTOS!$C$5:$C$1005="P")*(MOVIMIENTOS!$D$5:$D$1005="jabas")*(MOVIMIENTOS!$A$5:$A$1005&lt;&gt;"")*(MOVIMIENTOS!$A$5:$A$1005&lt;=$A655)*MOVIMIENTOS!$E$5:$E$1005)+SUMPRODUCT((MOVIMIENTOS!$B$5:$B$1005="PROCESO")*(MOVIMIENTOS!$C$5:$C$1005="P")*(MOVIMIENTOS!$D$5:$D$1005="jabas")*(MOVIMIENTOS!$A$5:$A$1005&lt;&gt;"")*(MOVIMIENTOS!$A$5:$A$1005&lt;=$A655)*MOVIMIENTOS!$E$5:$E$1005)-SUMPRODUCT((MOVIMIENTOS!$B$5:$B$1005="ENVÍO A SUPESA")*(MOVIMIENTOS!$C$5:$C$1005="P")*(MOVIMIENTOS!$D$5:$D$1005="jabas")*(MOVIMIENTOS!$A$5:$A$1005&lt;&gt;"")*(MOVIMIENTOS!$A$5:$A$1005&lt;=$A655)*MOVIMIENTOS!$E$5:$E$1005)+SUMPRODUCT((MOVIMIENTOS!$B$5:$B$1005="DEVOLUCIÓN")*(MOVIMIENTOS!$C$5:$C$1005="P")*(MOVIMIENTOS!$D$5:$D$1005="jabas")*(MOVIMIENTOS!$A$5:$A$1005&lt;&gt;"")*(MOVIMIENTOS!$A$5:$A$1005&lt;=$A655)*MOVIMIENTOS!$E$5:$E$1005)-SUMPRODUCT((MOVIMIENTOS!$B$5:$B$1005="TRASIEGO")*(MOVIMIENTOS!$C$5:$C$1005="P")*(MOVIMIENTOS!$D$5:$D$1005="jabas")*(MOVIMIENTOS!$A$5:$A$1005&lt;&gt;"")*(MOVIMIENTOS!$A$5:$A$1005&lt;=$A655)*MOVIMIENTOS!$E$5:$E$1005)-SUMPRODUCT((MOVIMIENTOS!$B$5:$B$1005="REGALO")*(MOVIMIENTOS!$C$5:$C$1005="P")*(MOVIMIENTOS!$D$5:$D$1005="jabas")*(MOVIMIENTOS!$A$5:$A$1005&lt;&gt;"")*(MOVIMIENTOS!$A$5:$A$1005&lt;=$A655)*MOVIMIENTOS!$E$5:$E$1005)-SUMPRODUCT((MOVIMIENTOS!$B$5:$B$1005="VENTA")*(MOVIMIENTOS!$C$5:$C$1005="P")*(MOVIMIENTOS!$D$5:$D$1005="jabas")*(MOVIMIENTOS!$A$5:$A$1005&lt;&gt;"")*(MOVIMIENTOS!$A$5:$A$1005&lt;=$A655)*MOVIMIENTOS!$E$5:$E$1005)+SUMPRODUCT((MOVIMIENTOS!$B$5:$B$1005="AJUSTE")*(MOVIMIENTOS!$C$5:$C$1005="P")*(MOVIMIENTOS!$D$5:$D$1005="jabas")*(MOVIMIENTOS!$A$5:$A$1005&lt;&gt;"")*(MOVIMIENTOS!$A$5:$A$1005&lt;=$A655)*MOVIMIENTOS!$E$5:$E$1005))</f>
        <v/>
      </c>
      <c r="D655" t="str">
        <f>IF($A655="","",SUMPRODUCT((MOVIMIENTOS!$B$5:$B$1005="SALDO INICIAL")*(MOVIMIENTOS!$C$5:$C$1005="C")*(MOVIMIENTOS!$D$5:$D$1005="jabas")*(MOVIMIENTOS!$A$5:$A$1005&lt;&gt;"")*(MOVIMIENTOS!$A$5:$A$1005&lt;=$A655)*MOVIMIENTOS!$E$5:$E$1005)+SUMPRODUCT((MOVIMIENTOS!$B$5:$B$1005="PROCESO")*(MOVIMIENTOS!$C$5:$C$1005="C")*(MOVIMIENTOS!$D$5:$D$1005="jabas")*(MOVIMIENTOS!$A$5:$A$1005&lt;&gt;"")*(MOVIMIENTOS!$A$5:$A$1005&lt;=$A655)*MOVIMIENTOS!$E$5:$E$1005)-SUMPRODUCT((MOVIMIENTOS!$B$5:$B$1005="ENVÍO A SUPESA")*(MOVIMIENTOS!$C$5:$C$1005="C")*(MOVIMIENTOS!$D$5:$D$1005="jabas")*(MOVIMIENTOS!$A$5:$A$1005&lt;&gt;"")*(MOVIMIENTOS!$A$5:$A$1005&lt;=$A655)*MOVIMIENTOS!$E$5:$E$1005)+SUMPRODUCT((MOVIMIENTOS!$B$5:$B$1005="DEVOLUCIÓN")*(MOVIMIENTOS!$C$5:$C$1005="C")*(MOVIMIENTOS!$D$5:$D$1005="jabas")*(MOVIMIENTOS!$A$5:$A$1005&lt;&gt;"")*(MOVIMIENTOS!$A$5:$A$1005&lt;=$A655)*MOVIMIENTOS!$E$5:$E$1005)-SUMPRODUCT((MOVIMIENTOS!$B$5:$B$1005="TRASIEGO")*(MOVIMIENTOS!$C$5:$C$1005="C")*(MOVIMIENTOS!$D$5:$D$1005="jabas")*(MOVIMIENTOS!$A$5:$A$1005&lt;&gt;"")*(MOVIMIENTOS!$A$5:$A$1005&lt;=$A655)*MOVIMIENTOS!$E$5:$E$1005)-SUMPRODUCT((MOVIMIENTOS!$B$5:$B$1005="REGALO")*(MOVIMIENTOS!$C$5:$C$1005="C")*(MOVIMIENTOS!$D$5:$D$1005="jabas")*(MOVIMIENTOS!$A$5:$A$1005&lt;&gt;"")*(MOVIMIENTOS!$A$5:$A$1005&lt;=$A655)*MOVIMIENTOS!$E$5:$E$1005)-SUMPRODUCT((MOVIMIENTOS!$B$5:$B$1005="VENTA")*(MOVIMIENTOS!$C$5:$C$1005="C")*(MOVIMIENTOS!$D$5:$D$1005="jabas")*(MOVIMIENTOS!$A$5:$A$1005&lt;&gt;"")*(MOVIMIENTOS!$A$5:$A$1005&lt;=$A655)*MOVIMIENTOS!$E$5:$E$1005)+SUMPRODUCT((MOVIMIENTOS!$B$5:$B$1005="AJUSTE")*(MOVIMIENTOS!$C$5:$C$1005="C")*(MOVIMIENTOS!$D$5:$D$1005="jabas")*(MOVIMIENTOS!$A$5:$A$1005&lt;&gt;"")*(MOVIMIENTOS!$A$5:$A$1005&lt;=$A655)*MOVIMIENTOS!$E$5:$E$1005))</f>
        <v/>
      </c>
      <c r="E655" t="str">
        <f>IF($A655="","",SUMPRODUCT((MOVIMIENTOS!$B$5:$B$1005="SALDO INICIAL")*(MOVIMIENTOS!$C$5:$C$1005="M")*(MOVIMIENTOS!$D$5:$D$1005="jabas")*(MOVIMIENTOS!$A$5:$A$1005&lt;&gt;"")*(MOVIMIENTOS!$A$5:$A$1005&lt;=$A655)*MOVIMIENTOS!$E$5:$E$1005)+SUMPRODUCT((MOVIMIENTOS!$B$5:$B$1005="PROCESO")*(MOVIMIENTOS!$C$5:$C$1005="M")*(MOVIMIENTOS!$D$5:$D$1005="jabas")*(MOVIMIENTOS!$A$5:$A$1005&lt;&gt;"")*(MOVIMIENTOS!$A$5:$A$1005&lt;=$A655)*MOVIMIENTOS!$E$5:$E$1005)-SUMPRODUCT((MOVIMIENTOS!$B$5:$B$1005="ENVÍO A SUPESA")*(MOVIMIENTOS!$C$5:$C$1005="M")*(MOVIMIENTOS!$D$5:$D$1005="jabas")*(MOVIMIENTOS!$A$5:$A$1005&lt;&gt;"")*(MOVIMIENTOS!$A$5:$A$1005&lt;=$A655)*MOVIMIENTOS!$E$5:$E$1005)+SUMPRODUCT((MOVIMIENTOS!$B$5:$B$1005="DEVOLUCIÓN")*(MOVIMIENTOS!$C$5:$C$1005="M")*(MOVIMIENTOS!$D$5:$D$1005="jabas")*(MOVIMIENTOS!$A$5:$A$1005&lt;&gt;"")*(MOVIMIENTOS!$A$5:$A$1005&lt;=$A655)*MOVIMIENTOS!$E$5:$E$1005)-SUMPRODUCT((MOVIMIENTOS!$B$5:$B$1005="TRASIEGO")*(MOVIMIENTOS!$C$5:$C$1005="M")*(MOVIMIENTOS!$D$5:$D$1005="jabas")*(MOVIMIENTOS!$A$5:$A$1005&lt;&gt;"")*(MOVIMIENTOS!$A$5:$A$1005&lt;=$A655)*MOVIMIENTOS!$E$5:$E$1005)-SUMPRODUCT((MOVIMIENTOS!$B$5:$B$1005="REGALO")*(MOVIMIENTOS!$C$5:$C$1005="M")*(MOVIMIENTOS!$D$5:$D$1005="jabas")*(MOVIMIENTOS!$A$5:$A$1005&lt;&gt;"")*(MOVIMIENTOS!$A$5:$A$1005&lt;=$A655)*MOVIMIENTOS!$E$5:$E$1005)-SUMPRODUCT((MOVIMIENTOS!$B$5:$B$1005="VENTA")*(MOVIMIENTOS!$C$5:$C$1005="M")*(MOVIMIENTOS!$D$5:$D$1005="jabas")*(MOVIMIENTOS!$A$5:$A$1005&lt;&gt;"")*(MOVIMIENTOS!$A$5:$A$1005&lt;=$A655)*MOVIMIENTOS!$E$5:$E$1005)+SUMPRODUCT((MOVIMIENTOS!$B$5:$B$1005="AJUSTE")*(MOVIMIENTOS!$C$5:$C$1005="M")*(MOVIMIENTOS!$D$5:$D$1005="jabas")*(MOVIMIENTOS!$A$5:$A$1005&lt;&gt;"")*(MOVIMIENTOS!$A$5:$A$1005&lt;=$A655)*MOVIMIENTOS!$E$5:$E$1005))</f>
        <v/>
      </c>
      <c r="F655" s="62" t="str">
        <f>IF($A655="","",SUMPRODUCT((MOVIMIENTOS!$B$5:$B$1005="SALDO INICIAL")*(MOVIMIENTOS!$C$5:$C$1005="Chancho")*(MOVIMIENTOS!$D$5:$D$1005="sacos")*(MOVIMIENTOS!$A$5:$A$1005&lt;&gt;"")*(MOVIMIENTOS!$A$5:$A$1005&lt;=$A655)*MOVIMIENTOS!$E$5:$E$1005)+SUMPRODUCT((MOVIMIENTOS!$B$5:$B$1005="PROCESO")*(MOVIMIENTOS!$C$5:$C$1005="Chancho")*(MOVIMIENTOS!$D$5:$D$1005="sacos")*(MOVIMIENTOS!$A$5:$A$1005&lt;&gt;"")*(MOVIMIENTOS!$A$5:$A$1005&lt;=$A655)*MOVIMIENTOS!$E$5:$E$1005)-SUMPRODUCT((MOVIMIENTOS!$B$5:$B$1005="VENTA CHANCHO")*(MOVIMIENTOS!$C$5:$C$1005="Chancho")*(MOVIMIENTOS!$D$5:$D$1005="sacos")*(MOVIMIENTOS!$A$5:$A$1005&lt;&gt;"")*(MOVIMIENTOS!$A$5:$A$1005&lt;=$A655)*MOVIMIENTOS!$E$5:$E$1005)-SUMPRODUCT((MOVIMIENTOS!$B$5:$B$1005="REGALO")*(MOVIMIENTOS!$C$5:$C$1005="Chancho")*(MOVIMIENTOS!$D$5:$D$1005="sacos")*(MOVIMIENTOS!$A$5:$A$1005&lt;&gt;"")*(MOVIMIENTOS!$A$5:$A$1005&lt;=$A655)*MOVIMIENTOS!$E$5:$E$1005)-SUMPRODUCT((MOVIMIENTOS!$B$5:$B$1005="VENTA")*(MOVIMIENTOS!$C$5:$C$1005="Chancho")*(MOVIMIENTOS!$D$5:$D$1005="sacos")*(MOVIMIENTOS!$A$5:$A$1005&lt;&gt;"")*(MOVIMIENTOS!$A$5:$A$1005&lt;=$A655)*MOVIMIENTOS!$E$5:$E$1005)+SUMPRODUCT((MOVIMIENTOS!$B$5:$B$1005="AJUSTE")*(MOVIMIENTOS!$C$5:$C$1005="Chancho")*(MOVIMIENTOS!$D$5:$D$1005="sacos")*(MOVIMIENTOS!$A$5:$A$1005&lt;&gt;"")*(MOVIMIENTOS!$A$5:$A$1005&lt;=$A655)*MOVIMIENTOS!$E$5:$E$1005))</f>
        <v/>
      </c>
      <c r="G655" s="62" t="str">
        <f t="shared" si="21"/>
        <v/>
      </c>
      <c r="H655" t="str">
        <f>IF($A655="","",SUMPRODUCT((((MOVIMIENTOS!$B$5:$B$1005="SALDO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655)*MOVIMIENTOS!$J$5:$J$1005))</f>
        <v/>
      </c>
      <c r="J655" t="str">
        <f>IF(AND(MOVIMIENTOS!$A660&lt;&gt;"",COUNTIF(MOVIMIENTOS!$A$5:$A659,MOVIMIENTOS!$A660)=0),COUNT(J$4:J654)+1,"")</f>
        <v/>
      </c>
      <c r="K655">
        <f>MOVIMIENTOS!$A660</f>
        <v>0</v>
      </c>
    </row>
    <row r="656" spans="1:11" ht="15" customHeight="1" x14ac:dyDescent="0.2">
      <c r="A656" t="str">
        <f t="shared" si="20"/>
        <v/>
      </c>
      <c r="B656" t="str">
        <f>IF($A656="","",SUMPRODUCT((MOVIMIENTOS!$B$5:$B$1005="SALDO INICIAL")*(MOVIMIENTOS!$C$5:$C$1005="A")*(MOVIMIENTOS!$D$5:$D$1005="jabas")*(MOVIMIENTOS!$A$5:$A$1005&lt;&gt;"")*(MOVIMIENTOS!$A$5:$A$1005&lt;=$A656)*MOVIMIENTOS!$E$5:$E$1005)+SUMPRODUCT((MOVIMIENTOS!$B$5:$B$1005="PROCESO")*(MOVIMIENTOS!$C$5:$C$1005="A")*(MOVIMIENTOS!$D$5:$D$1005="jabas")*(MOVIMIENTOS!$A$5:$A$1005&lt;&gt;"")*(MOVIMIENTOS!$A$5:$A$1005&lt;=$A656)*MOVIMIENTOS!$E$5:$E$1005)-SUMPRODUCT((MOVIMIENTOS!$B$5:$B$1005="ENVÍO A SUPESA")*(MOVIMIENTOS!$C$5:$C$1005="A")*(MOVIMIENTOS!$D$5:$D$1005="jabas")*(MOVIMIENTOS!$A$5:$A$1005&lt;&gt;"")*(MOVIMIENTOS!$A$5:$A$1005&lt;=$A656)*MOVIMIENTOS!$E$5:$E$1005)+SUMPRODUCT((MOVIMIENTOS!$B$5:$B$1005="DEVOLUCIÓN")*(MOVIMIENTOS!$C$5:$C$1005="A")*(MOVIMIENTOS!$D$5:$D$1005="jabas")*(MOVIMIENTOS!$A$5:$A$1005&lt;&gt;"")*(MOVIMIENTOS!$A$5:$A$1005&lt;=$A656)*MOVIMIENTOS!$E$5:$E$1005)-SUMPRODUCT((MOVIMIENTOS!$B$5:$B$1005="TRASIEGO")*(MOVIMIENTOS!$C$5:$C$1005="A")*(MOVIMIENTOS!$D$5:$D$1005="jabas")*(MOVIMIENTOS!$A$5:$A$1005&lt;&gt;"")*(MOVIMIENTOS!$A$5:$A$1005&lt;=$A656)*MOVIMIENTOS!$E$5:$E$1005)-SUMPRODUCT((MOVIMIENTOS!$B$5:$B$1005="REGALO")*(MOVIMIENTOS!$C$5:$C$1005="A")*(MOVIMIENTOS!$D$5:$D$1005="jabas")*(MOVIMIENTOS!$A$5:$A$1005&lt;&gt;"")*(MOVIMIENTOS!$A$5:$A$1005&lt;=$A656)*MOVIMIENTOS!$E$5:$E$1005)-SUMPRODUCT((MOVIMIENTOS!$B$5:$B$1005="VENTA")*(MOVIMIENTOS!$C$5:$C$1005="A")*(MOVIMIENTOS!$D$5:$D$1005="jabas")*(MOVIMIENTOS!$A$5:$A$1005&lt;&gt;"")*(MOVIMIENTOS!$A$5:$A$1005&lt;=$A656)*MOVIMIENTOS!$E$5:$E$1005)+SUMPRODUCT((MOVIMIENTOS!$B$5:$B$1005="AJUSTE")*(MOVIMIENTOS!$C$5:$C$1005="A")*(MOVIMIENTOS!$D$5:$D$1005="jabas")*(MOVIMIENTOS!$A$5:$A$1005&lt;&gt;"")*(MOVIMIENTOS!$A$5:$A$1005&lt;=$A656)*MOVIMIENTOS!$E$5:$E$1005))</f>
        <v/>
      </c>
      <c r="C656" t="str">
        <f>IF($A656="","",SUMPRODUCT((MOVIMIENTOS!$B$5:$B$1005="SALDO INICIAL")*(MOVIMIENTOS!$C$5:$C$1005="P")*(MOVIMIENTOS!$D$5:$D$1005="jabas")*(MOVIMIENTOS!$A$5:$A$1005&lt;&gt;"")*(MOVIMIENTOS!$A$5:$A$1005&lt;=$A656)*MOVIMIENTOS!$E$5:$E$1005)+SUMPRODUCT((MOVIMIENTOS!$B$5:$B$1005="PROCESO")*(MOVIMIENTOS!$C$5:$C$1005="P")*(MOVIMIENTOS!$D$5:$D$1005="jabas")*(MOVIMIENTOS!$A$5:$A$1005&lt;&gt;"")*(MOVIMIENTOS!$A$5:$A$1005&lt;=$A656)*MOVIMIENTOS!$E$5:$E$1005)-SUMPRODUCT((MOVIMIENTOS!$B$5:$B$1005="ENVÍO A SUPESA")*(MOVIMIENTOS!$C$5:$C$1005="P")*(MOVIMIENTOS!$D$5:$D$1005="jabas")*(MOVIMIENTOS!$A$5:$A$1005&lt;&gt;"")*(MOVIMIENTOS!$A$5:$A$1005&lt;=$A656)*MOVIMIENTOS!$E$5:$E$1005)+SUMPRODUCT((MOVIMIENTOS!$B$5:$B$1005="DEVOLUCIÓN")*(MOVIMIENTOS!$C$5:$C$1005="P")*(MOVIMIENTOS!$D$5:$D$1005="jabas")*(MOVIMIENTOS!$A$5:$A$1005&lt;&gt;"")*(MOVIMIENTOS!$A$5:$A$1005&lt;=$A656)*MOVIMIENTOS!$E$5:$E$1005)-SUMPRODUCT((MOVIMIENTOS!$B$5:$B$1005="TRASIEGO")*(MOVIMIENTOS!$C$5:$C$1005="P")*(MOVIMIENTOS!$D$5:$D$1005="jabas")*(MOVIMIENTOS!$A$5:$A$1005&lt;&gt;"")*(MOVIMIENTOS!$A$5:$A$1005&lt;=$A656)*MOVIMIENTOS!$E$5:$E$1005)-SUMPRODUCT((MOVIMIENTOS!$B$5:$B$1005="REGALO")*(MOVIMIENTOS!$C$5:$C$1005="P")*(MOVIMIENTOS!$D$5:$D$1005="jabas")*(MOVIMIENTOS!$A$5:$A$1005&lt;&gt;"")*(MOVIMIENTOS!$A$5:$A$1005&lt;=$A656)*MOVIMIENTOS!$E$5:$E$1005)-SUMPRODUCT((MOVIMIENTOS!$B$5:$B$1005="VENTA")*(MOVIMIENTOS!$C$5:$C$1005="P")*(MOVIMIENTOS!$D$5:$D$1005="jabas")*(MOVIMIENTOS!$A$5:$A$1005&lt;&gt;"")*(MOVIMIENTOS!$A$5:$A$1005&lt;=$A656)*MOVIMIENTOS!$E$5:$E$1005)+SUMPRODUCT((MOVIMIENTOS!$B$5:$B$1005="AJUSTE")*(MOVIMIENTOS!$C$5:$C$1005="P")*(MOVIMIENTOS!$D$5:$D$1005="jabas")*(MOVIMIENTOS!$A$5:$A$1005&lt;&gt;"")*(MOVIMIENTOS!$A$5:$A$1005&lt;=$A656)*MOVIMIENTOS!$E$5:$E$1005))</f>
        <v/>
      </c>
      <c r="D656" t="str">
        <f>IF($A656="","",SUMPRODUCT((MOVIMIENTOS!$B$5:$B$1005="SALDO INICIAL")*(MOVIMIENTOS!$C$5:$C$1005="C")*(MOVIMIENTOS!$D$5:$D$1005="jabas")*(MOVIMIENTOS!$A$5:$A$1005&lt;&gt;"")*(MOVIMIENTOS!$A$5:$A$1005&lt;=$A656)*MOVIMIENTOS!$E$5:$E$1005)+SUMPRODUCT((MOVIMIENTOS!$B$5:$B$1005="PROCESO")*(MOVIMIENTOS!$C$5:$C$1005="C")*(MOVIMIENTOS!$D$5:$D$1005="jabas")*(MOVIMIENTOS!$A$5:$A$1005&lt;&gt;"")*(MOVIMIENTOS!$A$5:$A$1005&lt;=$A656)*MOVIMIENTOS!$E$5:$E$1005)-SUMPRODUCT((MOVIMIENTOS!$B$5:$B$1005="ENVÍO A SUPESA")*(MOVIMIENTOS!$C$5:$C$1005="C")*(MOVIMIENTOS!$D$5:$D$1005="jabas")*(MOVIMIENTOS!$A$5:$A$1005&lt;&gt;"")*(MOVIMIENTOS!$A$5:$A$1005&lt;=$A656)*MOVIMIENTOS!$E$5:$E$1005)+SUMPRODUCT((MOVIMIENTOS!$B$5:$B$1005="DEVOLUCIÓN")*(MOVIMIENTOS!$C$5:$C$1005="C")*(MOVIMIENTOS!$D$5:$D$1005="jabas")*(MOVIMIENTOS!$A$5:$A$1005&lt;&gt;"")*(MOVIMIENTOS!$A$5:$A$1005&lt;=$A656)*MOVIMIENTOS!$E$5:$E$1005)-SUMPRODUCT((MOVIMIENTOS!$B$5:$B$1005="TRASIEGO")*(MOVIMIENTOS!$C$5:$C$1005="C")*(MOVIMIENTOS!$D$5:$D$1005="jabas")*(MOVIMIENTOS!$A$5:$A$1005&lt;&gt;"")*(MOVIMIENTOS!$A$5:$A$1005&lt;=$A656)*MOVIMIENTOS!$E$5:$E$1005)-SUMPRODUCT((MOVIMIENTOS!$B$5:$B$1005="REGALO")*(MOVIMIENTOS!$C$5:$C$1005="C")*(MOVIMIENTOS!$D$5:$D$1005="jabas")*(MOVIMIENTOS!$A$5:$A$1005&lt;&gt;"")*(MOVIMIENTOS!$A$5:$A$1005&lt;=$A656)*MOVIMIENTOS!$E$5:$E$1005)-SUMPRODUCT((MOVIMIENTOS!$B$5:$B$1005="VENTA")*(MOVIMIENTOS!$C$5:$C$1005="C")*(MOVIMIENTOS!$D$5:$D$1005="jabas")*(MOVIMIENTOS!$A$5:$A$1005&lt;&gt;"")*(MOVIMIENTOS!$A$5:$A$1005&lt;=$A656)*MOVIMIENTOS!$E$5:$E$1005)+SUMPRODUCT((MOVIMIENTOS!$B$5:$B$1005="AJUSTE")*(MOVIMIENTOS!$C$5:$C$1005="C")*(MOVIMIENTOS!$D$5:$D$1005="jabas")*(MOVIMIENTOS!$A$5:$A$1005&lt;&gt;"")*(MOVIMIENTOS!$A$5:$A$1005&lt;=$A656)*MOVIMIENTOS!$E$5:$E$1005))</f>
        <v/>
      </c>
      <c r="E656" t="str">
        <f>IF($A656="","",SUMPRODUCT((MOVIMIENTOS!$B$5:$B$1005="SALDO INICIAL")*(MOVIMIENTOS!$C$5:$C$1005="M")*(MOVIMIENTOS!$D$5:$D$1005="jabas")*(MOVIMIENTOS!$A$5:$A$1005&lt;&gt;"")*(MOVIMIENTOS!$A$5:$A$1005&lt;=$A656)*MOVIMIENTOS!$E$5:$E$1005)+SUMPRODUCT((MOVIMIENTOS!$B$5:$B$1005="PROCESO")*(MOVIMIENTOS!$C$5:$C$1005="M")*(MOVIMIENTOS!$D$5:$D$1005="jabas")*(MOVIMIENTOS!$A$5:$A$1005&lt;&gt;"")*(MOVIMIENTOS!$A$5:$A$1005&lt;=$A656)*MOVIMIENTOS!$E$5:$E$1005)-SUMPRODUCT((MOVIMIENTOS!$B$5:$B$1005="ENVÍO A SUPESA")*(MOVIMIENTOS!$C$5:$C$1005="M")*(MOVIMIENTOS!$D$5:$D$1005="jabas")*(MOVIMIENTOS!$A$5:$A$1005&lt;&gt;"")*(MOVIMIENTOS!$A$5:$A$1005&lt;=$A656)*MOVIMIENTOS!$E$5:$E$1005)+SUMPRODUCT((MOVIMIENTOS!$B$5:$B$1005="DEVOLUCIÓN")*(MOVIMIENTOS!$C$5:$C$1005="M")*(MOVIMIENTOS!$D$5:$D$1005="jabas")*(MOVIMIENTOS!$A$5:$A$1005&lt;&gt;"")*(MOVIMIENTOS!$A$5:$A$1005&lt;=$A656)*MOVIMIENTOS!$E$5:$E$1005)-SUMPRODUCT((MOVIMIENTOS!$B$5:$B$1005="TRASIEGO")*(MOVIMIENTOS!$C$5:$C$1005="M")*(MOVIMIENTOS!$D$5:$D$1005="jabas")*(MOVIMIENTOS!$A$5:$A$1005&lt;&gt;"")*(MOVIMIENTOS!$A$5:$A$1005&lt;=$A656)*MOVIMIENTOS!$E$5:$E$1005)-SUMPRODUCT((MOVIMIENTOS!$B$5:$B$1005="REGALO")*(MOVIMIENTOS!$C$5:$C$1005="M")*(MOVIMIENTOS!$D$5:$D$1005="jabas")*(MOVIMIENTOS!$A$5:$A$1005&lt;&gt;"")*(MOVIMIENTOS!$A$5:$A$1005&lt;=$A656)*MOVIMIENTOS!$E$5:$E$1005)-SUMPRODUCT((MOVIMIENTOS!$B$5:$B$1005="VENTA")*(MOVIMIENTOS!$C$5:$C$1005="M")*(MOVIMIENTOS!$D$5:$D$1005="jabas")*(MOVIMIENTOS!$A$5:$A$1005&lt;&gt;"")*(MOVIMIENTOS!$A$5:$A$1005&lt;=$A656)*MOVIMIENTOS!$E$5:$E$1005)+SUMPRODUCT((MOVIMIENTOS!$B$5:$B$1005="AJUSTE")*(MOVIMIENTOS!$C$5:$C$1005="M")*(MOVIMIENTOS!$D$5:$D$1005="jabas")*(MOVIMIENTOS!$A$5:$A$1005&lt;&gt;"")*(MOVIMIENTOS!$A$5:$A$1005&lt;=$A656)*MOVIMIENTOS!$E$5:$E$1005))</f>
        <v/>
      </c>
      <c r="F656" s="62" t="str">
        <f>IF($A656="","",SUMPRODUCT((MOVIMIENTOS!$B$5:$B$1005="SALDO INICIAL")*(MOVIMIENTOS!$C$5:$C$1005="Chancho")*(MOVIMIENTOS!$D$5:$D$1005="sacos")*(MOVIMIENTOS!$A$5:$A$1005&lt;&gt;"")*(MOVIMIENTOS!$A$5:$A$1005&lt;=$A656)*MOVIMIENTOS!$E$5:$E$1005)+SUMPRODUCT((MOVIMIENTOS!$B$5:$B$1005="PROCESO")*(MOVIMIENTOS!$C$5:$C$1005="Chancho")*(MOVIMIENTOS!$D$5:$D$1005="sacos")*(MOVIMIENTOS!$A$5:$A$1005&lt;&gt;"")*(MOVIMIENTOS!$A$5:$A$1005&lt;=$A656)*MOVIMIENTOS!$E$5:$E$1005)-SUMPRODUCT((MOVIMIENTOS!$B$5:$B$1005="VENTA CHANCHO")*(MOVIMIENTOS!$C$5:$C$1005="Chancho")*(MOVIMIENTOS!$D$5:$D$1005="sacos")*(MOVIMIENTOS!$A$5:$A$1005&lt;&gt;"")*(MOVIMIENTOS!$A$5:$A$1005&lt;=$A656)*MOVIMIENTOS!$E$5:$E$1005)-SUMPRODUCT((MOVIMIENTOS!$B$5:$B$1005="REGALO")*(MOVIMIENTOS!$C$5:$C$1005="Chancho")*(MOVIMIENTOS!$D$5:$D$1005="sacos")*(MOVIMIENTOS!$A$5:$A$1005&lt;&gt;"")*(MOVIMIENTOS!$A$5:$A$1005&lt;=$A656)*MOVIMIENTOS!$E$5:$E$1005)-SUMPRODUCT((MOVIMIENTOS!$B$5:$B$1005="VENTA")*(MOVIMIENTOS!$C$5:$C$1005="Chancho")*(MOVIMIENTOS!$D$5:$D$1005="sacos")*(MOVIMIENTOS!$A$5:$A$1005&lt;&gt;"")*(MOVIMIENTOS!$A$5:$A$1005&lt;=$A656)*MOVIMIENTOS!$E$5:$E$1005)+SUMPRODUCT((MOVIMIENTOS!$B$5:$B$1005="AJUSTE")*(MOVIMIENTOS!$C$5:$C$1005="Chancho")*(MOVIMIENTOS!$D$5:$D$1005="sacos")*(MOVIMIENTOS!$A$5:$A$1005&lt;&gt;"")*(MOVIMIENTOS!$A$5:$A$1005&lt;=$A656)*MOVIMIENTOS!$E$5:$E$1005))</f>
        <v/>
      </c>
      <c r="G656" s="62" t="str">
        <f t="shared" si="21"/>
        <v/>
      </c>
      <c r="H656" t="str">
        <f>IF($A656="","",SUMPRODUCT((((MOVIMIENTOS!$B$5:$B$1005="SALDO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656)*MOVIMIENTOS!$J$5:$J$1005))</f>
        <v/>
      </c>
      <c r="J656" t="str">
        <f>IF(AND(MOVIMIENTOS!$A661&lt;&gt;"",COUNTIF(MOVIMIENTOS!$A$5:$A660,MOVIMIENTOS!$A661)=0),COUNT(J$4:J655)+1,"")</f>
        <v/>
      </c>
      <c r="K656">
        <f>MOVIMIENTOS!$A661</f>
        <v>0</v>
      </c>
    </row>
    <row r="657" spans="1:11" ht="15" customHeight="1" x14ac:dyDescent="0.2">
      <c r="A657" t="str">
        <f t="shared" si="20"/>
        <v/>
      </c>
      <c r="B657" t="str">
        <f>IF($A657="","",SUMPRODUCT((MOVIMIENTOS!$B$5:$B$1005="SALDO INICIAL")*(MOVIMIENTOS!$C$5:$C$1005="A")*(MOVIMIENTOS!$D$5:$D$1005="jabas")*(MOVIMIENTOS!$A$5:$A$1005&lt;&gt;"")*(MOVIMIENTOS!$A$5:$A$1005&lt;=$A657)*MOVIMIENTOS!$E$5:$E$1005)+SUMPRODUCT((MOVIMIENTOS!$B$5:$B$1005="PROCESO")*(MOVIMIENTOS!$C$5:$C$1005="A")*(MOVIMIENTOS!$D$5:$D$1005="jabas")*(MOVIMIENTOS!$A$5:$A$1005&lt;&gt;"")*(MOVIMIENTOS!$A$5:$A$1005&lt;=$A657)*MOVIMIENTOS!$E$5:$E$1005)-SUMPRODUCT((MOVIMIENTOS!$B$5:$B$1005="ENVÍO A SUPESA")*(MOVIMIENTOS!$C$5:$C$1005="A")*(MOVIMIENTOS!$D$5:$D$1005="jabas")*(MOVIMIENTOS!$A$5:$A$1005&lt;&gt;"")*(MOVIMIENTOS!$A$5:$A$1005&lt;=$A657)*MOVIMIENTOS!$E$5:$E$1005)+SUMPRODUCT((MOVIMIENTOS!$B$5:$B$1005="DEVOLUCIÓN")*(MOVIMIENTOS!$C$5:$C$1005="A")*(MOVIMIENTOS!$D$5:$D$1005="jabas")*(MOVIMIENTOS!$A$5:$A$1005&lt;&gt;"")*(MOVIMIENTOS!$A$5:$A$1005&lt;=$A657)*MOVIMIENTOS!$E$5:$E$1005)-SUMPRODUCT((MOVIMIENTOS!$B$5:$B$1005="TRASIEGO")*(MOVIMIENTOS!$C$5:$C$1005="A")*(MOVIMIENTOS!$D$5:$D$1005="jabas")*(MOVIMIENTOS!$A$5:$A$1005&lt;&gt;"")*(MOVIMIENTOS!$A$5:$A$1005&lt;=$A657)*MOVIMIENTOS!$E$5:$E$1005)-SUMPRODUCT((MOVIMIENTOS!$B$5:$B$1005="REGALO")*(MOVIMIENTOS!$C$5:$C$1005="A")*(MOVIMIENTOS!$D$5:$D$1005="jabas")*(MOVIMIENTOS!$A$5:$A$1005&lt;&gt;"")*(MOVIMIENTOS!$A$5:$A$1005&lt;=$A657)*MOVIMIENTOS!$E$5:$E$1005)-SUMPRODUCT((MOVIMIENTOS!$B$5:$B$1005="VENTA")*(MOVIMIENTOS!$C$5:$C$1005="A")*(MOVIMIENTOS!$D$5:$D$1005="jabas")*(MOVIMIENTOS!$A$5:$A$1005&lt;&gt;"")*(MOVIMIENTOS!$A$5:$A$1005&lt;=$A657)*MOVIMIENTOS!$E$5:$E$1005)+SUMPRODUCT((MOVIMIENTOS!$B$5:$B$1005="AJUSTE")*(MOVIMIENTOS!$C$5:$C$1005="A")*(MOVIMIENTOS!$D$5:$D$1005="jabas")*(MOVIMIENTOS!$A$5:$A$1005&lt;&gt;"")*(MOVIMIENTOS!$A$5:$A$1005&lt;=$A657)*MOVIMIENTOS!$E$5:$E$1005))</f>
        <v/>
      </c>
      <c r="C657" t="str">
        <f>IF($A657="","",SUMPRODUCT((MOVIMIENTOS!$B$5:$B$1005="SALDO INICIAL")*(MOVIMIENTOS!$C$5:$C$1005="P")*(MOVIMIENTOS!$D$5:$D$1005="jabas")*(MOVIMIENTOS!$A$5:$A$1005&lt;&gt;"")*(MOVIMIENTOS!$A$5:$A$1005&lt;=$A657)*MOVIMIENTOS!$E$5:$E$1005)+SUMPRODUCT((MOVIMIENTOS!$B$5:$B$1005="PROCESO")*(MOVIMIENTOS!$C$5:$C$1005="P")*(MOVIMIENTOS!$D$5:$D$1005="jabas")*(MOVIMIENTOS!$A$5:$A$1005&lt;&gt;"")*(MOVIMIENTOS!$A$5:$A$1005&lt;=$A657)*MOVIMIENTOS!$E$5:$E$1005)-SUMPRODUCT((MOVIMIENTOS!$B$5:$B$1005="ENVÍO A SUPESA")*(MOVIMIENTOS!$C$5:$C$1005="P")*(MOVIMIENTOS!$D$5:$D$1005="jabas")*(MOVIMIENTOS!$A$5:$A$1005&lt;&gt;"")*(MOVIMIENTOS!$A$5:$A$1005&lt;=$A657)*MOVIMIENTOS!$E$5:$E$1005)+SUMPRODUCT((MOVIMIENTOS!$B$5:$B$1005="DEVOLUCIÓN")*(MOVIMIENTOS!$C$5:$C$1005="P")*(MOVIMIENTOS!$D$5:$D$1005="jabas")*(MOVIMIENTOS!$A$5:$A$1005&lt;&gt;"")*(MOVIMIENTOS!$A$5:$A$1005&lt;=$A657)*MOVIMIENTOS!$E$5:$E$1005)-SUMPRODUCT((MOVIMIENTOS!$B$5:$B$1005="TRASIEGO")*(MOVIMIENTOS!$C$5:$C$1005="P")*(MOVIMIENTOS!$D$5:$D$1005="jabas")*(MOVIMIENTOS!$A$5:$A$1005&lt;&gt;"")*(MOVIMIENTOS!$A$5:$A$1005&lt;=$A657)*MOVIMIENTOS!$E$5:$E$1005)-SUMPRODUCT((MOVIMIENTOS!$B$5:$B$1005="REGALO")*(MOVIMIENTOS!$C$5:$C$1005="P")*(MOVIMIENTOS!$D$5:$D$1005="jabas")*(MOVIMIENTOS!$A$5:$A$1005&lt;&gt;"")*(MOVIMIENTOS!$A$5:$A$1005&lt;=$A657)*MOVIMIENTOS!$E$5:$E$1005)-SUMPRODUCT((MOVIMIENTOS!$B$5:$B$1005="VENTA")*(MOVIMIENTOS!$C$5:$C$1005="P")*(MOVIMIENTOS!$D$5:$D$1005="jabas")*(MOVIMIENTOS!$A$5:$A$1005&lt;&gt;"")*(MOVIMIENTOS!$A$5:$A$1005&lt;=$A657)*MOVIMIENTOS!$E$5:$E$1005)+SUMPRODUCT((MOVIMIENTOS!$B$5:$B$1005="AJUSTE")*(MOVIMIENTOS!$C$5:$C$1005="P")*(MOVIMIENTOS!$D$5:$D$1005="jabas")*(MOVIMIENTOS!$A$5:$A$1005&lt;&gt;"")*(MOVIMIENTOS!$A$5:$A$1005&lt;=$A657)*MOVIMIENTOS!$E$5:$E$1005))</f>
        <v/>
      </c>
      <c r="D657" t="str">
        <f>IF($A657="","",SUMPRODUCT((MOVIMIENTOS!$B$5:$B$1005="SALDO INICIAL")*(MOVIMIENTOS!$C$5:$C$1005="C")*(MOVIMIENTOS!$D$5:$D$1005="jabas")*(MOVIMIENTOS!$A$5:$A$1005&lt;&gt;"")*(MOVIMIENTOS!$A$5:$A$1005&lt;=$A657)*MOVIMIENTOS!$E$5:$E$1005)+SUMPRODUCT((MOVIMIENTOS!$B$5:$B$1005="PROCESO")*(MOVIMIENTOS!$C$5:$C$1005="C")*(MOVIMIENTOS!$D$5:$D$1005="jabas")*(MOVIMIENTOS!$A$5:$A$1005&lt;&gt;"")*(MOVIMIENTOS!$A$5:$A$1005&lt;=$A657)*MOVIMIENTOS!$E$5:$E$1005)-SUMPRODUCT((MOVIMIENTOS!$B$5:$B$1005="ENVÍO A SUPESA")*(MOVIMIENTOS!$C$5:$C$1005="C")*(MOVIMIENTOS!$D$5:$D$1005="jabas")*(MOVIMIENTOS!$A$5:$A$1005&lt;&gt;"")*(MOVIMIENTOS!$A$5:$A$1005&lt;=$A657)*MOVIMIENTOS!$E$5:$E$1005)+SUMPRODUCT((MOVIMIENTOS!$B$5:$B$1005="DEVOLUCIÓN")*(MOVIMIENTOS!$C$5:$C$1005="C")*(MOVIMIENTOS!$D$5:$D$1005="jabas")*(MOVIMIENTOS!$A$5:$A$1005&lt;&gt;"")*(MOVIMIENTOS!$A$5:$A$1005&lt;=$A657)*MOVIMIENTOS!$E$5:$E$1005)-SUMPRODUCT((MOVIMIENTOS!$B$5:$B$1005="TRASIEGO")*(MOVIMIENTOS!$C$5:$C$1005="C")*(MOVIMIENTOS!$D$5:$D$1005="jabas")*(MOVIMIENTOS!$A$5:$A$1005&lt;&gt;"")*(MOVIMIENTOS!$A$5:$A$1005&lt;=$A657)*MOVIMIENTOS!$E$5:$E$1005)-SUMPRODUCT((MOVIMIENTOS!$B$5:$B$1005="REGALO")*(MOVIMIENTOS!$C$5:$C$1005="C")*(MOVIMIENTOS!$D$5:$D$1005="jabas")*(MOVIMIENTOS!$A$5:$A$1005&lt;&gt;"")*(MOVIMIENTOS!$A$5:$A$1005&lt;=$A657)*MOVIMIENTOS!$E$5:$E$1005)-SUMPRODUCT((MOVIMIENTOS!$B$5:$B$1005="VENTA")*(MOVIMIENTOS!$C$5:$C$1005="C")*(MOVIMIENTOS!$D$5:$D$1005="jabas")*(MOVIMIENTOS!$A$5:$A$1005&lt;&gt;"")*(MOVIMIENTOS!$A$5:$A$1005&lt;=$A657)*MOVIMIENTOS!$E$5:$E$1005)+SUMPRODUCT((MOVIMIENTOS!$B$5:$B$1005="AJUSTE")*(MOVIMIENTOS!$C$5:$C$1005="C")*(MOVIMIENTOS!$D$5:$D$1005="jabas")*(MOVIMIENTOS!$A$5:$A$1005&lt;&gt;"")*(MOVIMIENTOS!$A$5:$A$1005&lt;=$A657)*MOVIMIENTOS!$E$5:$E$1005))</f>
        <v/>
      </c>
      <c r="E657" t="str">
        <f>IF($A657="","",SUMPRODUCT((MOVIMIENTOS!$B$5:$B$1005="SALDO INICIAL")*(MOVIMIENTOS!$C$5:$C$1005="M")*(MOVIMIENTOS!$D$5:$D$1005="jabas")*(MOVIMIENTOS!$A$5:$A$1005&lt;&gt;"")*(MOVIMIENTOS!$A$5:$A$1005&lt;=$A657)*MOVIMIENTOS!$E$5:$E$1005)+SUMPRODUCT((MOVIMIENTOS!$B$5:$B$1005="PROCESO")*(MOVIMIENTOS!$C$5:$C$1005="M")*(MOVIMIENTOS!$D$5:$D$1005="jabas")*(MOVIMIENTOS!$A$5:$A$1005&lt;&gt;"")*(MOVIMIENTOS!$A$5:$A$1005&lt;=$A657)*MOVIMIENTOS!$E$5:$E$1005)-SUMPRODUCT((MOVIMIENTOS!$B$5:$B$1005="ENVÍO A SUPESA")*(MOVIMIENTOS!$C$5:$C$1005="M")*(MOVIMIENTOS!$D$5:$D$1005="jabas")*(MOVIMIENTOS!$A$5:$A$1005&lt;&gt;"")*(MOVIMIENTOS!$A$5:$A$1005&lt;=$A657)*MOVIMIENTOS!$E$5:$E$1005)+SUMPRODUCT((MOVIMIENTOS!$B$5:$B$1005="DEVOLUCIÓN")*(MOVIMIENTOS!$C$5:$C$1005="M")*(MOVIMIENTOS!$D$5:$D$1005="jabas")*(MOVIMIENTOS!$A$5:$A$1005&lt;&gt;"")*(MOVIMIENTOS!$A$5:$A$1005&lt;=$A657)*MOVIMIENTOS!$E$5:$E$1005)-SUMPRODUCT((MOVIMIENTOS!$B$5:$B$1005="TRASIEGO")*(MOVIMIENTOS!$C$5:$C$1005="M")*(MOVIMIENTOS!$D$5:$D$1005="jabas")*(MOVIMIENTOS!$A$5:$A$1005&lt;&gt;"")*(MOVIMIENTOS!$A$5:$A$1005&lt;=$A657)*MOVIMIENTOS!$E$5:$E$1005)-SUMPRODUCT((MOVIMIENTOS!$B$5:$B$1005="REGALO")*(MOVIMIENTOS!$C$5:$C$1005="M")*(MOVIMIENTOS!$D$5:$D$1005="jabas")*(MOVIMIENTOS!$A$5:$A$1005&lt;&gt;"")*(MOVIMIENTOS!$A$5:$A$1005&lt;=$A657)*MOVIMIENTOS!$E$5:$E$1005)-SUMPRODUCT((MOVIMIENTOS!$B$5:$B$1005="VENTA")*(MOVIMIENTOS!$C$5:$C$1005="M")*(MOVIMIENTOS!$D$5:$D$1005="jabas")*(MOVIMIENTOS!$A$5:$A$1005&lt;&gt;"")*(MOVIMIENTOS!$A$5:$A$1005&lt;=$A657)*MOVIMIENTOS!$E$5:$E$1005)+SUMPRODUCT((MOVIMIENTOS!$B$5:$B$1005="AJUSTE")*(MOVIMIENTOS!$C$5:$C$1005="M")*(MOVIMIENTOS!$D$5:$D$1005="jabas")*(MOVIMIENTOS!$A$5:$A$1005&lt;&gt;"")*(MOVIMIENTOS!$A$5:$A$1005&lt;=$A657)*MOVIMIENTOS!$E$5:$E$1005))</f>
        <v/>
      </c>
      <c r="F657" s="62" t="str">
        <f>IF($A657="","",SUMPRODUCT((MOVIMIENTOS!$B$5:$B$1005="SALDO INICIAL")*(MOVIMIENTOS!$C$5:$C$1005="Chancho")*(MOVIMIENTOS!$D$5:$D$1005="sacos")*(MOVIMIENTOS!$A$5:$A$1005&lt;&gt;"")*(MOVIMIENTOS!$A$5:$A$1005&lt;=$A657)*MOVIMIENTOS!$E$5:$E$1005)+SUMPRODUCT((MOVIMIENTOS!$B$5:$B$1005="PROCESO")*(MOVIMIENTOS!$C$5:$C$1005="Chancho")*(MOVIMIENTOS!$D$5:$D$1005="sacos")*(MOVIMIENTOS!$A$5:$A$1005&lt;&gt;"")*(MOVIMIENTOS!$A$5:$A$1005&lt;=$A657)*MOVIMIENTOS!$E$5:$E$1005)-SUMPRODUCT((MOVIMIENTOS!$B$5:$B$1005="VENTA CHANCHO")*(MOVIMIENTOS!$C$5:$C$1005="Chancho")*(MOVIMIENTOS!$D$5:$D$1005="sacos")*(MOVIMIENTOS!$A$5:$A$1005&lt;&gt;"")*(MOVIMIENTOS!$A$5:$A$1005&lt;=$A657)*MOVIMIENTOS!$E$5:$E$1005)-SUMPRODUCT((MOVIMIENTOS!$B$5:$B$1005="REGALO")*(MOVIMIENTOS!$C$5:$C$1005="Chancho")*(MOVIMIENTOS!$D$5:$D$1005="sacos")*(MOVIMIENTOS!$A$5:$A$1005&lt;&gt;"")*(MOVIMIENTOS!$A$5:$A$1005&lt;=$A657)*MOVIMIENTOS!$E$5:$E$1005)-SUMPRODUCT((MOVIMIENTOS!$B$5:$B$1005="VENTA")*(MOVIMIENTOS!$C$5:$C$1005="Chancho")*(MOVIMIENTOS!$D$5:$D$1005="sacos")*(MOVIMIENTOS!$A$5:$A$1005&lt;&gt;"")*(MOVIMIENTOS!$A$5:$A$1005&lt;=$A657)*MOVIMIENTOS!$E$5:$E$1005)+SUMPRODUCT((MOVIMIENTOS!$B$5:$B$1005="AJUSTE")*(MOVIMIENTOS!$C$5:$C$1005="Chancho")*(MOVIMIENTOS!$D$5:$D$1005="sacos")*(MOVIMIENTOS!$A$5:$A$1005&lt;&gt;"")*(MOVIMIENTOS!$A$5:$A$1005&lt;=$A657)*MOVIMIENTOS!$E$5:$E$1005))</f>
        <v/>
      </c>
      <c r="G657" s="62" t="str">
        <f t="shared" si="21"/>
        <v/>
      </c>
      <c r="H657" t="str">
        <f>IF($A657="","",SUMPRODUCT((((MOVIMIENTOS!$B$5:$B$1005="SALDO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657)*MOVIMIENTOS!$J$5:$J$1005))</f>
        <v/>
      </c>
      <c r="J657" t="str">
        <f>IF(AND(MOVIMIENTOS!$A662&lt;&gt;"",COUNTIF(MOVIMIENTOS!$A$5:$A661,MOVIMIENTOS!$A662)=0),COUNT(J$4:J656)+1,"")</f>
        <v/>
      </c>
      <c r="K657">
        <f>MOVIMIENTOS!$A662</f>
        <v>0</v>
      </c>
    </row>
    <row r="658" spans="1:11" ht="15" customHeight="1" x14ac:dyDescent="0.2">
      <c r="A658" t="str">
        <f t="shared" si="20"/>
        <v/>
      </c>
      <c r="B658" t="str">
        <f>IF($A658="","",SUMPRODUCT((MOVIMIENTOS!$B$5:$B$1005="SALDO INICIAL")*(MOVIMIENTOS!$C$5:$C$1005="A")*(MOVIMIENTOS!$D$5:$D$1005="jabas")*(MOVIMIENTOS!$A$5:$A$1005&lt;&gt;"")*(MOVIMIENTOS!$A$5:$A$1005&lt;=$A658)*MOVIMIENTOS!$E$5:$E$1005)+SUMPRODUCT((MOVIMIENTOS!$B$5:$B$1005="PROCESO")*(MOVIMIENTOS!$C$5:$C$1005="A")*(MOVIMIENTOS!$D$5:$D$1005="jabas")*(MOVIMIENTOS!$A$5:$A$1005&lt;&gt;"")*(MOVIMIENTOS!$A$5:$A$1005&lt;=$A658)*MOVIMIENTOS!$E$5:$E$1005)-SUMPRODUCT((MOVIMIENTOS!$B$5:$B$1005="ENVÍO A SUPESA")*(MOVIMIENTOS!$C$5:$C$1005="A")*(MOVIMIENTOS!$D$5:$D$1005="jabas")*(MOVIMIENTOS!$A$5:$A$1005&lt;&gt;"")*(MOVIMIENTOS!$A$5:$A$1005&lt;=$A658)*MOVIMIENTOS!$E$5:$E$1005)+SUMPRODUCT((MOVIMIENTOS!$B$5:$B$1005="DEVOLUCIÓN")*(MOVIMIENTOS!$C$5:$C$1005="A")*(MOVIMIENTOS!$D$5:$D$1005="jabas")*(MOVIMIENTOS!$A$5:$A$1005&lt;&gt;"")*(MOVIMIENTOS!$A$5:$A$1005&lt;=$A658)*MOVIMIENTOS!$E$5:$E$1005)-SUMPRODUCT((MOVIMIENTOS!$B$5:$B$1005="TRASIEGO")*(MOVIMIENTOS!$C$5:$C$1005="A")*(MOVIMIENTOS!$D$5:$D$1005="jabas")*(MOVIMIENTOS!$A$5:$A$1005&lt;&gt;"")*(MOVIMIENTOS!$A$5:$A$1005&lt;=$A658)*MOVIMIENTOS!$E$5:$E$1005)-SUMPRODUCT((MOVIMIENTOS!$B$5:$B$1005="REGALO")*(MOVIMIENTOS!$C$5:$C$1005="A")*(MOVIMIENTOS!$D$5:$D$1005="jabas")*(MOVIMIENTOS!$A$5:$A$1005&lt;&gt;"")*(MOVIMIENTOS!$A$5:$A$1005&lt;=$A658)*MOVIMIENTOS!$E$5:$E$1005)-SUMPRODUCT((MOVIMIENTOS!$B$5:$B$1005="VENTA")*(MOVIMIENTOS!$C$5:$C$1005="A")*(MOVIMIENTOS!$D$5:$D$1005="jabas")*(MOVIMIENTOS!$A$5:$A$1005&lt;&gt;"")*(MOVIMIENTOS!$A$5:$A$1005&lt;=$A658)*MOVIMIENTOS!$E$5:$E$1005)+SUMPRODUCT((MOVIMIENTOS!$B$5:$B$1005="AJUSTE")*(MOVIMIENTOS!$C$5:$C$1005="A")*(MOVIMIENTOS!$D$5:$D$1005="jabas")*(MOVIMIENTOS!$A$5:$A$1005&lt;&gt;"")*(MOVIMIENTOS!$A$5:$A$1005&lt;=$A658)*MOVIMIENTOS!$E$5:$E$1005))</f>
        <v/>
      </c>
      <c r="C658" t="str">
        <f>IF($A658="","",SUMPRODUCT((MOVIMIENTOS!$B$5:$B$1005="SALDO INICIAL")*(MOVIMIENTOS!$C$5:$C$1005="P")*(MOVIMIENTOS!$D$5:$D$1005="jabas")*(MOVIMIENTOS!$A$5:$A$1005&lt;&gt;"")*(MOVIMIENTOS!$A$5:$A$1005&lt;=$A658)*MOVIMIENTOS!$E$5:$E$1005)+SUMPRODUCT((MOVIMIENTOS!$B$5:$B$1005="PROCESO")*(MOVIMIENTOS!$C$5:$C$1005="P")*(MOVIMIENTOS!$D$5:$D$1005="jabas")*(MOVIMIENTOS!$A$5:$A$1005&lt;&gt;"")*(MOVIMIENTOS!$A$5:$A$1005&lt;=$A658)*MOVIMIENTOS!$E$5:$E$1005)-SUMPRODUCT((MOVIMIENTOS!$B$5:$B$1005="ENVÍO A SUPESA")*(MOVIMIENTOS!$C$5:$C$1005="P")*(MOVIMIENTOS!$D$5:$D$1005="jabas")*(MOVIMIENTOS!$A$5:$A$1005&lt;&gt;"")*(MOVIMIENTOS!$A$5:$A$1005&lt;=$A658)*MOVIMIENTOS!$E$5:$E$1005)+SUMPRODUCT((MOVIMIENTOS!$B$5:$B$1005="DEVOLUCIÓN")*(MOVIMIENTOS!$C$5:$C$1005="P")*(MOVIMIENTOS!$D$5:$D$1005="jabas")*(MOVIMIENTOS!$A$5:$A$1005&lt;&gt;"")*(MOVIMIENTOS!$A$5:$A$1005&lt;=$A658)*MOVIMIENTOS!$E$5:$E$1005)-SUMPRODUCT((MOVIMIENTOS!$B$5:$B$1005="TRASIEGO")*(MOVIMIENTOS!$C$5:$C$1005="P")*(MOVIMIENTOS!$D$5:$D$1005="jabas")*(MOVIMIENTOS!$A$5:$A$1005&lt;&gt;"")*(MOVIMIENTOS!$A$5:$A$1005&lt;=$A658)*MOVIMIENTOS!$E$5:$E$1005)-SUMPRODUCT((MOVIMIENTOS!$B$5:$B$1005="REGALO")*(MOVIMIENTOS!$C$5:$C$1005="P")*(MOVIMIENTOS!$D$5:$D$1005="jabas")*(MOVIMIENTOS!$A$5:$A$1005&lt;&gt;"")*(MOVIMIENTOS!$A$5:$A$1005&lt;=$A658)*MOVIMIENTOS!$E$5:$E$1005)-SUMPRODUCT((MOVIMIENTOS!$B$5:$B$1005="VENTA")*(MOVIMIENTOS!$C$5:$C$1005="P")*(MOVIMIENTOS!$D$5:$D$1005="jabas")*(MOVIMIENTOS!$A$5:$A$1005&lt;&gt;"")*(MOVIMIENTOS!$A$5:$A$1005&lt;=$A658)*MOVIMIENTOS!$E$5:$E$1005)+SUMPRODUCT((MOVIMIENTOS!$B$5:$B$1005="AJUSTE")*(MOVIMIENTOS!$C$5:$C$1005="P")*(MOVIMIENTOS!$D$5:$D$1005="jabas")*(MOVIMIENTOS!$A$5:$A$1005&lt;&gt;"")*(MOVIMIENTOS!$A$5:$A$1005&lt;=$A658)*MOVIMIENTOS!$E$5:$E$1005))</f>
        <v/>
      </c>
      <c r="D658" t="str">
        <f>IF($A658="","",SUMPRODUCT((MOVIMIENTOS!$B$5:$B$1005="SALDO INICIAL")*(MOVIMIENTOS!$C$5:$C$1005="C")*(MOVIMIENTOS!$D$5:$D$1005="jabas")*(MOVIMIENTOS!$A$5:$A$1005&lt;&gt;"")*(MOVIMIENTOS!$A$5:$A$1005&lt;=$A658)*MOVIMIENTOS!$E$5:$E$1005)+SUMPRODUCT((MOVIMIENTOS!$B$5:$B$1005="PROCESO")*(MOVIMIENTOS!$C$5:$C$1005="C")*(MOVIMIENTOS!$D$5:$D$1005="jabas")*(MOVIMIENTOS!$A$5:$A$1005&lt;&gt;"")*(MOVIMIENTOS!$A$5:$A$1005&lt;=$A658)*MOVIMIENTOS!$E$5:$E$1005)-SUMPRODUCT((MOVIMIENTOS!$B$5:$B$1005="ENVÍO A SUPESA")*(MOVIMIENTOS!$C$5:$C$1005="C")*(MOVIMIENTOS!$D$5:$D$1005="jabas")*(MOVIMIENTOS!$A$5:$A$1005&lt;&gt;"")*(MOVIMIENTOS!$A$5:$A$1005&lt;=$A658)*MOVIMIENTOS!$E$5:$E$1005)+SUMPRODUCT((MOVIMIENTOS!$B$5:$B$1005="DEVOLUCIÓN")*(MOVIMIENTOS!$C$5:$C$1005="C")*(MOVIMIENTOS!$D$5:$D$1005="jabas")*(MOVIMIENTOS!$A$5:$A$1005&lt;&gt;"")*(MOVIMIENTOS!$A$5:$A$1005&lt;=$A658)*MOVIMIENTOS!$E$5:$E$1005)-SUMPRODUCT((MOVIMIENTOS!$B$5:$B$1005="TRASIEGO")*(MOVIMIENTOS!$C$5:$C$1005="C")*(MOVIMIENTOS!$D$5:$D$1005="jabas")*(MOVIMIENTOS!$A$5:$A$1005&lt;&gt;"")*(MOVIMIENTOS!$A$5:$A$1005&lt;=$A658)*MOVIMIENTOS!$E$5:$E$1005)-SUMPRODUCT((MOVIMIENTOS!$B$5:$B$1005="REGALO")*(MOVIMIENTOS!$C$5:$C$1005="C")*(MOVIMIENTOS!$D$5:$D$1005="jabas")*(MOVIMIENTOS!$A$5:$A$1005&lt;&gt;"")*(MOVIMIENTOS!$A$5:$A$1005&lt;=$A658)*MOVIMIENTOS!$E$5:$E$1005)-SUMPRODUCT((MOVIMIENTOS!$B$5:$B$1005="VENTA")*(MOVIMIENTOS!$C$5:$C$1005="C")*(MOVIMIENTOS!$D$5:$D$1005="jabas")*(MOVIMIENTOS!$A$5:$A$1005&lt;&gt;"")*(MOVIMIENTOS!$A$5:$A$1005&lt;=$A658)*MOVIMIENTOS!$E$5:$E$1005)+SUMPRODUCT((MOVIMIENTOS!$B$5:$B$1005="AJUSTE")*(MOVIMIENTOS!$C$5:$C$1005="C")*(MOVIMIENTOS!$D$5:$D$1005="jabas")*(MOVIMIENTOS!$A$5:$A$1005&lt;&gt;"")*(MOVIMIENTOS!$A$5:$A$1005&lt;=$A658)*MOVIMIENTOS!$E$5:$E$1005))</f>
        <v/>
      </c>
      <c r="E658" t="str">
        <f>IF($A658="","",SUMPRODUCT((MOVIMIENTOS!$B$5:$B$1005="SALDO INICIAL")*(MOVIMIENTOS!$C$5:$C$1005="M")*(MOVIMIENTOS!$D$5:$D$1005="jabas")*(MOVIMIENTOS!$A$5:$A$1005&lt;&gt;"")*(MOVIMIENTOS!$A$5:$A$1005&lt;=$A658)*MOVIMIENTOS!$E$5:$E$1005)+SUMPRODUCT((MOVIMIENTOS!$B$5:$B$1005="PROCESO")*(MOVIMIENTOS!$C$5:$C$1005="M")*(MOVIMIENTOS!$D$5:$D$1005="jabas")*(MOVIMIENTOS!$A$5:$A$1005&lt;&gt;"")*(MOVIMIENTOS!$A$5:$A$1005&lt;=$A658)*MOVIMIENTOS!$E$5:$E$1005)-SUMPRODUCT((MOVIMIENTOS!$B$5:$B$1005="ENVÍO A SUPESA")*(MOVIMIENTOS!$C$5:$C$1005="M")*(MOVIMIENTOS!$D$5:$D$1005="jabas")*(MOVIMIENTOS!$A$5:$A$1005&lt;&gt;"")*(MOVIMIENTOS!$A$5:$A$1005&lt;=$A658)*MOVIMIENTOS!$E$5:$E$1005)+SUMPRODUCT((MOVIMIENTOS!$B$5:$B$1005="DEVOLUCIÓN")*(MOVIMIENTOS!$C$5:$C$1005="M")*(MOVIMIENTOS!$D$5:$D$1005="jabas")*(MOVIMIENTOS!$A$5:$A$1005&lt;&gt;"")*(MOVIMIENTOS!$A$5:$A$1005&lt;=$A658)*MOVIMIENTOS!$E$5:$E$1005)-SUMPRODUCT((MOVIMIENTOS!$B$5:$B$1005="TRASIEGO")*(MOVIMIENTOS!$C$5:$C$1005="M")*(MOVIMIENTOS!$D$5:$D$1005="jabas")*(MOVIMIENTOS!$A$5:$A$1005&lt;&gt;"")*(MOVIMIENTOS!$A$5:$A$1005&lt;=$A658)*MOVIMIENTOS!$E$5:$E$1005)-SUMPRODUCT((MOVIMIENTOS!$B$5:$B$1005="REGALO")*(MOVIMIENTOS!$C$5:$C$1005="M")*(MOVIMIENTOS!$D$5:$D$1005="jabas")*(MOVIMIENTOS!$A$5:$A$1005&lt;&gt;"")*(MOVIMIENTOS!$A$5:$A$1005&lt;=$A658)*MOVIMIENTOS!$E$5:$E$1005)-SUMPRODUCT((MOVIMIENTOS!$B$5:$B$1005="VENTA")*(MOVIMIENTOS!$C$5:$C$1005="M")*(MOVIMIENTOS!$D$5:$D$1005="jabas")*(MOVIMIENTOS!$A$5:$A$1005&lt;&gt;"")*(MOVIMIENTOS!$A$5:$A$1005&lt;=$A658)*MOVIMIENTOS!$E$5:$E$1005)+SUMPRODUCT((MOVIMIENTOS!$B$5:$B$1005="AJUSTE")*(MOVIMIENTOS!$C$5:$C$1005="M")*(MOVIMIENTOS!$D$5:$D$1005="jabas")*(MOVIMIENTOS!$A$5:$A$1005&lt;&gt;"")*(MOVIMIENTOS!$A$5:$A$1005&lt;=$A658)*MOVIMIENTOS!$E$5:$E$1005))</f>
        <v/>
      </c>
      <c r="F658" s="62" t="str">
        <f>IF($A658="","",SUMPRODUCT((MOVIMIENTOS!$B$5:$B$1005="SALDO INICIAL")*(MOVIMIENTOS!$C$5:$C$1005="Chancho")*(MOVIMIENTOS!$D$5:$D$1005="sacos")*(MOVIMIENTOS!$A$5:$A$1005&lt;&gt;"")*(MOVIMIENTOS!$A$5:$A$1005&lt;=$A658)*MOVIMIENTOS!$E$5:$E$1005)+SUMPRODUCT((MOVIMIENTOS!$B$5:$B$1005="PROCESO")*(MOVIMIENTOS!$C$5:$C$1005="Chancho")*(MOVIMIENTOS!$D$5:$D$1005="sacos")*(MOVIMIENTOS!$A$5:$A$1005&lt;&gt;"")*(MOVIMIENTOS!$A$5:$A$1005&lt;=$A658)*MOVIMIENTOS!$E$5:$E$1005)-SUMPRODUCT((MOVIMIENTOS!$B$5:$B$1005="VENTA CHANCHO")*(MOVIMIENTOS!$C$5:$C$1005="Chancho")*(MOVIMIENTOS!$D$5:$D$1005="sacos")*(MOVIMIENTOS!$A$5:$A$1005&lt;&gt;"")*(MOVIMIENTOS!$A$5:$A$1005&lt;=$A658)*MOVIMIENTOS!$E$5:$E$1005)-SUMPRODUCT((MOVIMIENTOS!$B$5:$B$1005="REGALO")*(MOVIMIENTOS!$C$5:$C$1005="Chancho")*(MOVIMIENTOS!$D$5:$D$1005="sacos")*(MOVIMIENTOS!$A$5:$A$1005&lt;&gt;"")*(MOVIMIENTOS!$A$5:$A$1005&lt;=$A658)*MOVIMIENTOS!$E$5:$E$1005)-SUMPRODUCT((MOVIMIENTOS!$B$5:$B$1005="VENTA")*(MOVIMIENTOS!$C$5:$C$1005="Chancho")*(MOVIMIENTOS!$D$5:$D$1005="sacos")*(MOVIMIENTOS!$A$5:$A$1005&lt;&gt;"")*(MOVIMIENTOS!$A$5:$A$1005&lt;=$A658)*MOVIMIENTOS!$E$5:$E$1005)+SUMPRODUCT((MOVIMIENTOS!$B$5:$B$1005="AJUSTE")*(MOVIMIENTOS!$C$5:$C$1005="Chancho")*(MOVIMIENTOS!$D$5:$D$1005="sacos")*(MOVIMIENTOS!$A$5:$A$1005&lt;&gt;"")*(MOVIMIENTOS!$A$5:$A$1005&lt;=$A658)*MOVIMIENTOS!$E$5:$E$1005))</f>
        <v/>
      </c>
      <c r="G658" s="62" t="str">
        <f t="shared" si="21"/>
        <v/>
      </c>
      <c r="H658" t="str">
        <f>IF($A658="","",SUMPRODUCT((((MOVIMIENTOS!$B$5:$B$1005="SALDO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658)*MOVIMIENTOS!$J$5:$J$1005))</f>
        <v/>
      </c>
      <c r="J658" t="str">
        <f>IF(AND(MOVIMIENTOS!$A663&lt;&gt;"",COUNTIF(MOVIMIENTOS!$A$5:$A662,MOVIMIENTOS!$A663)=0),COUNT(J$4:J657)+1,"")</f>
        <v/>
      </c>
      <c r="K658">
        <f>MOVIMIENTOS!$A663</f>
        <v>0</v>
      </c>
    </row>
    <row r="659" spans="1:11" ht="15" customHeight="1" x14ac:dyDescent="0.2">
      <c r="A659" t="str">
        <f t="shared" si="20"/>
        <v/>
      </c>
      <c r="B659" t="str">
        <f>IF($A659="","",SUMPRODUCT((MOVIMIENTOS!$B$5:$B$1005="SALDO INICIAL")*(MOVIMIENTOS!$C$5:$C$1005="A")*(MOVIMIENTOS!$D$5:$D$1005="jabas")*(MOVIMIENTOS!$A$5:$A$1005&lt;&gt;"")*(MOVIMIENTOS!$A$5:$A$1005&lt;=$A659)*MOVIMIENTOS!$E$5:$E$1005)+SUMPRODUCT((MOVIMIENTOS!$B$5:$B$1005="PROCESO")*(MOVIMIENTOS!$C$5:$C$1005="A")*(MOVIMIENTOS!$D$5:$D$1005="jabas")*(MOVIMIENTOS!$A$5:$A$1005&lt;&gt;"")*(MOVIMIENTOS!$A$5:$A$1005&lt;=$A659)*MOVIMIENTOS!$E$5:$E$1005)-SUMPRODUCT((MOVIMIENTOS!$B$5:$B$1005="ENVÍO A SUPESA")*(MOVIMIENTOS!$C$5:$C$1005="A")*(MOVIMIENTOS!$D$5:$D$1005="jabas")*(MOVIMIENTOS!$A$5:$A$1005&lt;&gt;"")*(MOVIMIENTOS!$A$5:$A$1005&lt;=$A659)*MOVIMIENTOS!$E$5:$E$1005)+SUMPRODUCT((MOVIMIENTOS!$B$5:$B$1005="DEVOLUCIÓN")*(MOVIMIENTOS!$C$5:$C$1005="A")*(MOVIMIENTOS!$D$5:$D$1005="jabas")*(MOVIMIENTOS!$A$5:$A$1005&lt;&gt;"")*(MOVIMIENTOS!$A$5:$A$1005&lt;=$A659)*MOVIMIENTOS!$E$5:$E$1005)-SUMPRODUCT((MOVIMIENTOS!$B$5:$B$1005="TRASIEGO")*(MOVIMIENTOS!$C$5:$C$1005="A")*(MOVIMIENTOS!$D$5:$D$1005="jabas")*(MOVIMIENTOS!$A$5:$A$1005&lt;&gt;"")*(MOVIMIENTOS!$A$5:$A$1005&lt;=$A659)*MOVIMIENTOS!$E$5:$E$1005)-SUMPRODUCT((MOVIMIENTOS!$B$5:$B$1005="REGALO")*(MOVIMIENTOS!$C$5:$C$1005="A")*(MOVIMIENTOS!$D$5:$D$1005="jabas")*(MOVIMIENTOS!$A$5:$A$1005&lt;&gt;"")*(MOVIMIENTOS!$A$5:$A$1005&lt;=$A659)*MOVIMIENTOS!$E$5:$E$1005)-SUMPRODUCT((MOVIMIENTOS!$B$5:$B$1005="VENTA")*(MOVIMIENTOS!$C$5:$C$1005="A")*(MOVIMIENTOS!$D$5:$D$1005="jabas")*(MOVIMIENTOS!$A$5:$A$1005&lt;&gt;"")*(MOVIMIENTOS!$A$5:$A$1005&lt;=$A659)*MOVIMIENTOS!$E$5:$E$1005)+SUMPRODUCT((MOVIMIENTOS!$B$5:$B$1005="AJUSTE")*(MOVIMIENTOS!$C$5:$C$1005="A")*(MOVIMIENTOS!$D$5:$D$1005="jabas")*(MOVIMIENTOS!$A$5:$A$1005&lt;&gt;"")*(MOVIMIENTOS!$A$5:$A$1005&lt;=$A659)*MOVIMIENTOS!$E$5:$E$1005))</f>
        <v/>
      </c>
      <c r="C659" t="str">
        <f>IF($A659="","",SUMPRODUCT((MOVIMIENTOS!$B$5:$B$1005="SALDO INICIAL")*(MOVIMIENTOS!$C$5:$C$1005="P")*(MOVIMIENTOS!$D$5:$D$1005="jabas")*(MOVIMIENTOS!$A$5:$A$1005&lt;&gt;"")*(MOVIMIENTOS!$A$5:$A$1005&lt;=$A659)*MOVIMIENTOS!$E$5:$E$1005)+SUMPRODUCT((MOVIMIENTOS!$B$5:$B$1005="PROCESO")*(MOVIMIENTOS!$C$5:$C$1005="P")*(MOVIMIENTOS!$D$5:$D$1005="jabas")*(MOVIMIENTOS!$A$5:$A$1005&lt;&gt;"")*(MOVIMIENTOS!$A$5:$A$1005&lt;=$A659)*MOVIMIENTOS!$E$5:$E$1005)-SUMPRODUCT((MOVIMIENTOS!$B$5:$B$1005="ENVÍO A SUPESA")*(MOVIMIENTOS!$C$5:$C$1005="P")*(MOVIMIENTOS!$D$5:$D$1005="jabas")*(MOVIMIENTOS!$A$5:$A$1005&lt;&gt;"")*(MOVIMIENTOS!$A$5:$A$1005&lt;=$A659)*MOVIMIENTOS!$E$5:$E$1005)+SUMPRODUCT((MOVIMIENTOS!$B$5:$B$1005="DEVOLUCIÓN")*(MOVIMIENTOS!$C$5:$C$1005="P")*(MOVIMIENTOS!$D$5:$D$1005="jabas")*(MOVIMIENTOS!$A$5:$A$1005&lt;&gt;"")*(MOVIMIENTOS!$A$5:$A$1005&lt;=$A659)*MOVIMIENTOS!$E$5:$E$1005)-SUMPRODUCT((MOVIMIENTOS!$B$5:$B$1005="TRASIEGO")*(MOVIMIENTOS!$C$5:$C$1005="P")*(MOVIMIENTOS!$D$5:$D$1005="jabas")*(MOVIMIENTOS!$A$5:$A$1005&lt;&gt;"")*(MOVIMIENTOS!$A$5:$A$1005&lt;=$A659)*MOVIMIENTOS!$E$5:$E$1005)-SUMPRODUCT((MOVIMIENTOS!$B$5:$B$1005="REGALO")*(MOVIMIENTOS!$C$5:$C$1005="P")*(MOVIMIENTOS!$D$5:$D$1005="jabas")*(MOVIMIENTOS!$A$5:$A$1005&lt;&gt;"")*(MOVIMIENTOS!$A$5:$A$1005&lt;=$A659)*MOVIMIENTOS!$E$5:$E$1005)-SUMPRODUCT((MOVIMIENTOS!$B$5:$B$1005="VENTA")*(MOVIMIENTOS!$C$5:$C$1005="P")*(MOVIMIENTOS!$D$5:$D$1005="jabas")*(MOVIMIENTOS!$A$5:$A$1005&lt;&gt;"")*(MOVIMIENTOS!$A$5:$A$1005&lt;=$A659)*MOVIMIENTOS!$E$5:$E$1005)+SUMPRODUCT((MOVIMIENTOS!$B$5:$B$1005="AJUSTE")*(MOVIMIENTOS!$C$5:$C$1005="P")*(MOVIMIENTOS!$D$5:$D$1005="jabas")*(MOVIMIENTOS!$A$5:$A$1005&lt;&gt;"")*(MOVIMIENTOS!$A$5:$A$1005&lt;=$A659)*MOVIMIENTOS!$E$5:$E$1005))</f>
        <v/>
      </c>
      <c r="D659" t="str">
        <f>IF($A659="","",SUMPRODUCT((MOVIMIENTOS!$B$5:$B$1005="SALDO INICIAL")*(MOVIMIENTOS!$C$5:$C$1005="C")*(MOVIMIENTOS!$D$5:$D$1005="jabas")*(MOVIMIENTOS!$A$5:$A$1005&lt;&gt;"")*(MOVIMIENTOS!$A$5:$A$1005&lt;=$A659)*MOVIMIENTOS!$E$5:$E$1005)+SUMPRODUCT((MOVIMIENTOS!$B$5:$B$1005="PROCESO")*(MOVIMIENTOS!$C$5:$C$1005="C")*(MOVIMIENTOS!$D$5:$D$1005="jabas")*(MOVIMIENTOS!$A$5:$A$1005&lt;&gt;"")*(MOVIMIENTOS!$A$5:$A$1005&lt;=$A659)*MOVIMIENTOS!$E$5:$E$1005)-SUMPRODUCT((MOVIMIENTOS!$B$5:$B$1005="ENVÍO A SUPESA")*(MOVIMIENTOS!$C$5:$C$1005="C")*(MOVIMIENTOS!$D$5:$D$1005="jabas")*(MOVIMIENTOS!$A$5:$A$1005&lt;&gt;"")*(MOVIMIENTOS!$A$5:$A$1005&lt;=$A659)*MOVIMIENTOS!$E$5:$E$1005)+SUMPRODUCT((MOVIMIENTOS!$B$5:$B$1005="DEVOLUCIÓN")*(MOVIMIENTOS!$C$5:$C$1005="C")*(MOVIMIENTOS!$D$5:$D$1005="jabas")*(MOVIMIENTOS!$A$5:$A$1005&lt;&gt;"")*(MOVIMIENTOS!$A$5:$A$1005&lt;=$A659)*MOVIMIENTOS!$E$5:$E$1005)-SUMPRODUCT((MOVIMIENTOS!$B$5:$B$1005="TRASIEGO")*(MOVIMIENTOS!$C$5:$C$1005="C")*(MOVIMIENTOS!$D$5:$D$1005="jabas")*(MOVIMIENTOS!$A$5:$A$1005&lt;&gt;"")*(MOVIMIENTOS!$A$5:$A$1005&lt;=$A659)*MOVIMIENTOS!$E$5:$E$1005)-SUMPRODUCT((MOVIMIENTOS!$B$5:$B$1005="REGALO")*(MOVIMIENTOS!$C$5:$C$1005="C")*(MOVIMIENTOS!$D$5:$D$1005="jabas")*(MOVIMIENTOS!$A$5:$A$1005&lt;&gt;"")*(MOVIMIENTOS!$A$5:$A$1005&lt;=$A659)*MOVIMIENTOS!$E$5:$E$1005)-SUMPRODUCT((MOVIMIENTOS!$B$5:$B$1005="VENTA")*(MOVIMIENTOS!$C$5:$C$1005="C")*(MOVIMIENTOS!$D$5:$D$1005="jabas")*(MOVIMIENTOS!$A$5:$A$1005&lt;&gt;"")*(MOVIMIENTOS!$A$5:$A$1005&lt;=$A659)*MOVIMIENTOS!$E$5:$E$1005)+SUMPRODUCT((MOVIMIENTOS!$B$5:$B$1005="AJUSTE")*(MOVIMIENTOS!$C$5:$C$1005="C")*(MOVIMIENTOS!$D$5:$D$1005="jabas")*(MOVIMIENTOS!$A$5:$A$1005&lt;&gt;"")*(MOVIMIENTOS!$A$5:$A$1005&lt;=$A659)*MOVIMIENTOS!$E$5:$E$1005))</f>
        <v/>
      </c>
      <c r="E659" t="str">
        <f>IF($A659="","",SUMPRODUCT((MOVIMIENTOS!$B$5:$B$1005="SALDO INICIAL")*(MOVIMIENTOS!$C$5:$C$1005="M")*(MOVIMIENTOS!$D$5:$D$1005="jabas")*(MOVIMIENTOS!$A$5:$A$1005&lt;&gt;"")*(MOVIMIENTOS!$A$5:$A$1005&lt;=$A659)*MOVIMIENTOS!$E$5:$E$1005)+SUMPRODUCT((MOVIMIENTOS!$B$5:$B$1005="PROCESO")*(MOVIMIENTOS!$C$5:$C$1005="M")*(MOVIMIENTOS!$D$5:$D$1005="jabas")*(MOVIMIENTOS!$A$5:$A$1005&lt;&gt;"")*(MOVIMIENTOS!$A$5:$A$1005&lt;=$A659)*MOVIMIENTOS!$E$5:$E$1005)-SUMPRODUCT((MOVIMIENTOS!$B$5:$B$1005="ENVÍO A SUPESA")*(MOVIMIENTOS!$C$5:$C$1005="M")*(MOVIMIENTOS!$D$5:$D$1005="jabas")*(MOVIMIENTOS!$A$5:$A$1005&lt;&gt;"")*(MOVIMIENTOS!$A$5:$A$1005&lt;=$A659)*MOVIMIENTOS!$E$5:$E$1005)+SUMPRODUCT((MOVIMIENTOS!$B$5:$B$1005="DEVOLUCIÓN")*(MOVIMIENTOS!$C$5:$C$1005="M")*(MOVIMIENTOS!$D$5:$D$1005="jabas")*(MOVIMIENTOS!$A$5:$A$1005&lt;&gt;"")*(MOVIMIENTOS!$A$5:$A$1005&lt;=$A659)*MOVIMIENTOS!$E$5:$E$1005)-SUMPRODUCT((MOVIMIENTOS!$B$5:$B$1005="TRASIEGO")*(MOVIMIENTOS!$C$5:$C$1005="M")*(MOVIMIENTOS!$D$5:$D$1005="jabas")*(MOVIMIENTOS!$A$5:$A$1005&lt;&gt;"")*(MOVIMIENTOS!$A$5:$A$1005&lt;=$A659)*MOVIMIENTOS!$E$5:$E$1005)-SUMPRODUCT((MOVIMIENTOS!$B$5:$B$1005="REGALO")*(MOVIMIENTOS!$C$5:$C$1005="M")*(MOVIMIENTOS!$D$5:$D$1005="jabas")*(MOVIMIENTOS!$A$5:$A$1005&lt;&gt;"")*(MOVIMIENTOS!$A$5:$A$1005&lt;=$A659)*MOVIMIENTOS!$E$5:$E$1005)-SUMPRODUCT((MOVIMIENTOS!$B$5:$B$1005="VENTA")*(MOVIMIENTOS!$C$5:$C$1005="M")*(MOVIMIENTOS!$D$5:$D$1005="jabas")*(MOVIMIENTOS!$A$5:$A$1005&lt;&gt;"")*(MOVIMIENTOS!$A$5:$A$1005&lt;=$A659)*MOVIMIENTOS!$E$5:$E$1005)+SUMPRODUCT((MOVIMIENTOS!$B$5:$B$1005="AJUSTE")*(MOVIMIENTOS!$C$5:$C$1005="M")*(MOVIMIENTOS!$D$5:$D$1005="jabas")*(MOVIMIENTOS!$A$5:$A$1005&lt;&gt;"")*(MOVIMIENTOS!$A$5:$A$1005&lt;=$A659)*MOVIMIENTOS!$E$5:$E$1005))</f>
        <v/>
      </c>
      <c r="F659" s="62" t="str">
        <f>IF($A659="","",SUMPRODUCT((MOVIMIENTOS!$B$5:$B$1005="SALDO INICIAL")*(MOVIMIENTOS!$C$5:$C$1005="Chancho")*(MOVIMIENTOS!$D$5:$D$1005="sacos")*(MOVIMIENTOS!$A$5:$A$1005&lt;&gt;"")*(MOVIMIENTOS!$A$5:$A$1005&lt;=$A659)*MOVIMIENTOS!$E$5:$E$1005)+SUMPRODUCT((MOVIMIENTOS!$B$5:$B$1005="PROCESO")*(MOVIMIENTOS!$C$5:$C$1005="Chancho")*(MOVIMIENTOS!$D$5:$D$1005="sacos")*(MOVIMIENTOS!$A$5:$A$1005&lt;&gt;"")*(MOVIMIENTOS!$A$5:$A$1005&lt;=$A659)*MOVIMIENTOS!$E$5:$E$1005)-SUMPRODUCT((MOVIMIENTOS!$B$5:$B$1005="VENTA CHANCHO")*(MOVIMIENTOS!$C$5:$C$1005="Chancho")*(MOVIMIENTOS!$D$5:$D$1005="sacos")*(MOVIMIENTOS!$A$5:$A$1005&lt;&gt;"")*(MOVIMIENTOS!$A$5:$A$1005&lt;=$A659)*MOVIMIENTOS!$E$5:$E$1005)-SUMPRODUCT((MOVIMIENTOS!$B$5:$B$1005="REGALO")*(MOVIMIENTOS!$C$5:$C$1005="Chancho")*(MOVIMIENTOS!$D$5:$D$1005="sacos")*(MOVIMIENTOS!$A$5:$A$1005&lt;&gt;"")*(MOVIMIENTOS!$A$5:$A$1005&lt;=$A659)*MOVIMIENTOS!$E$5:$E$1005)-SUMPRODUCT((MOVIMIENTOS!$B$5:$B$1005="VENTA")*(MOVIMIENTOS!$C$5:$C$1005="Chancho")*(MOVIMIENTOS!$D$5:$D$1005="sacos")*(MOVIMIENTOS!$A$5:$A$1005&lt;&gt;"")*(MOVIMIENTOS!$A$5:$A$1005&lt;=$A659)*MOVIMIENTOS!$E$5:$E$1005)+SUMPRODUCT((MOVIMIENTOS!$B$5:$B$1005="AJUSTE")*(MOVIMIENTOS!$C$5:$C$1005="Chancho")*(MOVIMIENTOS!$D$5:$D$1005="sacos")*(MOVIMIENTOS!$A$5:$A$1005&lt;&gt;"")*(MOVIMIENTOS!$A$5:$A$1005&lt;=$A659)*MOVIMIENTOS!$E$5:$E$1005))</f>
        <v/>
      </c>
      <c r="G659" s="62" t="str">
        <f t="shared" si="21"/>
        <v/>
      </c>
      <c r="H659" t="str">
        <f>IF($A659="","",SUMPRODUCT((((MOVIMIENTOS!$B$5:$B$1005="SALDO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659)*MOVIMIENTOS!$J$5:$J$1005))</f>
        <v/>
      </c>
      <c r="J659" t="str">
        <f>IF(AND(MOVIMIENTOS!$A664&lt;&gt;"",COUNTIF(MOVIMIENTOS!$A$5:$A663,MOVIMIENTOS!$A664)=0),COUNT(J$4:J658)+1,"")</f>
        <v/>
      </c>
      <c r="K659">
        <f>MOVIMIENTOS!$A664</f>
        <v>0</v>
      </c>
    </row>
    <row r="660" spans="1:11" ht="15" customHeight="1" x14ac:dyDescent="0.2">
      <c r="A660" t="str">
        <f t="shared" si="20"/>
        <v/>
      </c>
      <c r="B660" t="str">
        <f>IF($A660="","",SUMPRODUCT((MOVIMIENTOS!$B$5:$B$1005="SALDO INICIAL")*(MOVIMIENTOS!$C$5:$C$1005="A")*(MOVIMIENTOS!$D$5:$D$1005="jabas")*(MOVIMIENTOS!$A$5:$A$1005&lt;&gt;"")*(MOVIMIENTOS!$A$5:$A$1005&lt;=$A660)*MOVIMIENTOS!$E$5:$E$1005)+SUMPRODUCT((MOVIMIENTOS!$B$5:$B$1005="PROCESO")*(MOVIMIENTOS!$C$5:$C$1005="A")*(MOVIMIENTOS!$D$5:$D$1005="jabas")*(MOVIMIENTOS!$A$5:$A$1005&lt;&gt;"")*(MOVIMIENTOS!$A$5:$A$1005&lt;=$A660)*MOVIMIENTOS!$E$5:$E$1005)-SUMPRODUCT((MOVIMIENTOS!$B$5:$B$1005="ENVÍO A SUPESA")*(MOVIMIENTOS!$C$5:$C$1005="A")*(MOVIMIENTOS!$D$5:$D$1005="jabas")*(MOVIMIENTOS!$A$5:$A$1005&lt;&gt;"")*(MOVIMIENTOS!$A$5:$A$1005&lt;=$A660)*MOVIMIENTOS!$E$5:$E$1005)+SUMPRODUCT((MOVIMIENTOS!$B$5:$B$1005="DEVOLUCIÓN")*(MOVIMIENTOS!$C$5:$C$1005="A")*(MOVIMIENTOS!$D$5:$D$1005="jabas")*(MOVIMIENTOS!$A$5:$A$1005&lt;&gt;"")*(MOVIMIENTOS!$A$5:$A$1005&lt;=$A660)*MOVIMIENTOS!$E$5:$E$1005)-SUMPRODUCT((MOVIMIENTOS!$B$5:$B$1005="TRASIEGO")*(MOVIMIENTOS!$C$5:$C$1005="A")*(MOVIMIENTOS!$D$5:$D$1005="jabas")*(MOVIMIENTOS!$A$5:$A$1005&lt;&gt;"")*(MOVIMIENTOS!$A$5:$A$1005&lt;=$A660)*MOVIMIENTOS!$E$5:$E$1005)-SUMPRODUCT((MOVIMIENTOS!$B$5:$B$1005="REGALO")*(MOVIMIENTOS!$C$5:$C$1005="A")*(MOVIMIENTOS!$D$5:$D$1005="jabas")*(MOVIMIENTOS!$A$5:$A$1005&lt;&gt;"")*(MOVIMIENTOS!$A$5:$A$1005&lt;=$A660)*MOVIMIENTOS!$E$5:$E$1005)-SUMPRODUCT((MOVIMIENTOS!$B$5:$B$1005="VENTA")*(MOVIMIENTOS!$C$5:$C$1005="A")*(MOVIMIENTOS!$D$5:$D$1005="jabas")*(MOVIMIENTOS!$A$5:$A$1005&lt;&gt;"")*(MOVIMIENTOS!$A$5:$A$1005&lt;=$A660)*MOVIMIENTOS!$E$5:$E$1005)+SUMPRODUCT((MOVIMIENTOS!$B$5:$B$1005="AJUSTE")*(MOVIMIENTOS!$C$5:$C$1005="A")*(MOVIMIENTOS!$D$5:$D$1005="jabas")*(MOVIMIENTOS!$A$5:$A$1005&lt;&gt;"")*(MOVIMIENTOS!$A$5:$A$1005&lt;=$A660)*MOVIMIENTOS!$E$5:$E$1005))</f>
        <v/>
      </c>
      <c r="C660" t="str">
        <f>IF($A660="","",SUMPRODUCT((MOVIMIENTOS!$B$5:$B$1005="SALDO INICIAL")*(MOVIMIENTOS!$C$5:$C$1005="P")*(MOVIMIENTOS!$D$5:$D$1005="jabas")*(MOVIMIENTOS!$A$5:$A$1005&lt;&gt;"")*(MOVIMIENTOS!$A$5:$A$1005&lt;=$A660)*MOVIMIENTOS!$E$5:$E$1005)+SUMPRODUCT((MOVIMIENTOS!$B$5:$B$1005="PROCESO")*(MOVIMIENTOS!$C$5:$C$1005="P")*(MOVIMIENTOS!$D$5:$D$1005="jabas")*(MOVIMIENTOS!$A$5:$A$1005&lt;&gt;"")*(MOVIMIENTOS!$A$5:$A$1005&lt;=$A660)*MOVIMIENTOS!$E$5:$E$1005)-SUMPRODUCT((MOVIMIENTOS!$B$5:$B$1005="ENVÍO A SUPESA")*(MOVIMIENTOS!$C$5:$C$1005="P")*(MOVIMIENTOS!$D$5:$D$1005="jabas")*(MOVIMIENTOS!$A$5:$A$1005&lt;&gt;"")*(MOVIMIENTOS!$A$5:$A$1005&lt;=$A660)*MOVIMIENTOS!$E$5:$E$1005)+SUMPRODUCT((MOVIMIENTOS!$B$5:$B$1005="DEVOLUCIÓN")*(MOVIMIENTOS!$C$5:$C$1005="P")*(MOVIMIENTOS!$D$5:$D$1005="jabas")*(MOVIMIENTOS!$A$5:$A$1005&lt;&gt;"")*(MOVIMIENTOS!$A$5:$A$1005&lt;=$A660)*MOVIMIENTOS!$E$5:$E$1005)-SUMPRODUCT((MOVIMIENTOS!$B$5:$B$1005="TRASIEGO")*(MOVIMIENTOS!$C$5:$C$1005="P")*(MOVIMIENTOS!$D$5:$D$1005="jabas")*(MOVIMIENTOS!$A$5:$A$1005&lt;&gt;"")*(MOVIMIENTOS!$A$5:$A$1005&lt;=$A660)*MOVIMIENTOS!$E$5:$E$1005)-SUMPRODUCT((MOVIMIENTOS!$B$5:$B$1005="REGALO")*(MOVIMIENTOS!$C$5:$C$1005="P")*(MOVIMIENTOS!$D$5:$D$1005="jabas")*(MOVIMIENTOS!$A$5:$A$1005&lt;&gt;"")*(MOVIMIENTOS!$A$5:$A$1005&lt;=$A660)*MOVIMIENTOS!$E$5:$E$1005)-SUMPRODUCT((MOVIMIENTOS!$B$5:$B$1005="VENTA")*(MOVIMIENTOS!$C$5:$C$1005="P")*(MOVIMIENTOS!$D$5:$D$1005="jabas")*(MOVIMIENTOS!$A$5:$A$1005&lt;&gt;"")*(MOVIMIENTOS!$A$5:$A$1005&lt;=$A660)*MOVIMIENTOS!$E$5:$E$1005)+SUMPRODUCT((MOVIMIENTOS!$B$5:$B$1005="AJUSTE")*(MOVIMIENTOS!$C$5:$C$1005="P")*(MOVIMIENTOS!$D$5:$D$1005="jabas")*(MOVIMIENTOS!$A$5:$A$1005&lt;&gt;"")*(MOVIMIENTOS!$A$5:$A$1005&lt;=$A660)*MOVIMIENTOS!$E$5:$E$1005))</f>
        <v/>
      </c>
      <c r="D660" t="str">
        <f>IF($A660="","",SUMPRODUCT((MOVIMIENTOS!$B$5:$B$1005="SALDO INICIAL")*(MOVIMIENTOS!$C$5:$C$1005="C")*(MOVIMIENTOS!$D$5:$D$1005="jabas")*(MOVIMIENTOS!$A$5:$A$1005&lt;&gt;"")*(MOVIMIENTOS!$A$5:$A$1005&lt;=$A660)*MOVIMIENTOS!$E$5:$E$1005)+SUMPRODUCT((MOVIMIENTOS!$B$5:$B$1005="PROCESO")*(MOVIMIENTOS!$C$5:$C$1005="C")*(MOVIMIENTOS!$D$5:$D$1005="jabas")*(MOVIMIENTOS!$A$5:$A$1005&lt;&gt;"")*(MOVIMIENTOS!$A$5:$A$1005&lt;=$A660)*MOVIMIENTOS!$E$5:$E$1005)-SUMPRODUCT((MOVIMIENTOS!$B$5:$B$1005="ENVÍO A SUPESA")*(MOVIMIENTOS!$C$5:$C$1005="C")*(MOVIMIENTOS!$D$5:$D$1005="jabas")*(MOVIMIENTOS!$A$5:$A$1005&lt;&gt;"")*(MOVIMIENTOS!$A$5:$A$1005&lt;=$A660)*MOVIMIENTOS!$E$5:$E$1005)+SUMPRODUCT((MOVIMIENTOS!$B$5:$B$1005="DEVOLUCIÓN")*(MOVIMIENTOS!$C$5:$C$1005="C")*(MOVIMIENTOS!$D$5:$D$1005="jabas")*(MOVIMIENTOS!$A$5:$A$1005&lt;&gt;"")*(MOVIMIENTOS!$A$5:$A$1005&lt;=$A660)*MOVIMIENTOS!$E$5:$E$1005)-SUMPRODUCT((MOVIMIENTOS!$B$5:$B$1005="TRASIEGO")*(MOVIMIENTOS!$C$5:$C$1005="C")*(MOVIMIENTOS!$D$5:$D$1005="jabas")*(MOVIMIENTOS!$A$5:$A$1005&lt;&gt;"")*(MOVIMIENTOS!$A$5:$A$1005&lt;=$A660)*MOVIMIENTOS!$E$5:$E$1005)-SUMPRODUCT((MOVIMIENTOS!$B$5:$B$1005="REGALO")*(MOVIMIENTOS!$C$5:$C$1005="C")*(MOVIMIENTOS!$D$5:$D$1005="jabas")*(MOVIMIENTOS!$A$5:$A$1005&lt;&gt;"")*(MOVIMIENTOS!$A$5:$A$1005&lt;=$A660)*MOVIMIENTOS!$E$5:$E$1005)-SUMPRODUCT((MOVIMIENTOS!$B$5:$B$1005="VENTA")*(MOVIMIENTOS!$C$5:$C$1005="C")*(MOVIMIENTOS!$D$5:$D$1005="jabas")*(MOVIMIENTOS!$A$5:$A$1005&lt;&gt;"")*(MOVIMIENTOS!$A$5:$A$1005&lt;=$A660)*MOVIMIENTOS!$E$5:$E$1005)+SUMPRODUCT((MOVIMIENTOS!$B$5:$B$1005="AJUSTE")*(MOVIMIENTOS!$C$5:$C$1005="C")*(MOVIMIENTOS!$D$5:$D$1005="jabas")*(MOVIMIENTOS!$A$5:$A$1005&lt;&gt;"")*(MOVIMIENTOS!$A$5:$A$1005&lt;=$A660)*MOVIMIENTOS!$E$5:$E$1005))</f>
        <v/>
      </c>
      <c r="E660" t="str">
        <f>IF($A660="","",SUMPRODUCT((MOVIMIENTOS!$B$5:$B$1005="SALDO INICIAL")*(MOVIMIENTOS!$C$5:$C$1005="M")*(MOVIMIENTOS!$D$5:$D$1005="jabas")*(MOVIMIENTOS!$A$5:$A$1005&lt;&gt;"")*(MOVIMIENTOS!$A$5:$A$1005&lt;=$A660)*MOVIMIENTOS!$E$5:$E$1005)+SUMPRODUCT((MOVIMIENTOS!$B$5:$B$1005="PROCESO")*(MOVIMIENTOS!$C$5:$C$1005="M")*(MOVIMIENTOS!$D$5:$D$1005="jabas")*(MOVIMIENTOS!$A$5:$A$1005&lt;&gt;"")*(MOVIMIENTOS!$A$5:$A$1005&lt;=$A660)*MOVIMIENTOS!$E$5:$E$1005)-SUMPRODUCT((MOVIMIENTOS!$B$5:$B$1005="ENVÍO A SUPESA")*(MOVIMIENTOS!$C$5:$C$1005="M")*(MOVIMIENTOS!$D$5:$D$1005="jabas")*(MOVIMIENTOS!$A$5:$A$1005&lt;&gt;"")*(MOVIMIENTOS!$A$5:$A$1005&lt;=$A660)*MOVIMIENTOS!$E$5:$E$1005)+SUMPRODUCT((MOVIMIENTOS!$B$5:$B$1005="DEVOLUCIÓN")*(MOVIMIENTOS!$C$5:$C$1005="M")*(MOVIMIENTOS!$D$5:$D$1005="jabas")*(MOVIMIENTOS!$A$5:$A$1005&lt;&gt;"")*(MOVIMIENTOS!$A$5:$A$1005&lt;=$A660)*MOVIMIENTOS!$E$5:$E$1005)-SUMPRODUCT((MOVIMIENTOS!$B$5:$B$1005="TRASIEGO")*(MOVIMIENTOS!$C$5:$C$1005="M")*(MOVIMIENTOS!$D$5:$D$1005="jabas")*(MOVIMIENTOS!$A$5:$A$1005&lt;&gt;"")*(MOVIMIENTOS!$A$5:$A$1005&lt;=$A660)*MOVIMIENTOS!$E$5:$E$1005)-SUMPRODUCT((MOVIMIENTOS!$B$5:$B$1005="REGALO")*(MOVIMIENTOS!$C$5:$C$1005="M")*(MOVIMIENTOS!$D$5:$D$1005="jabas")*(MOVIMIENTOS!$A$5:$A$1005&lt;&gt;"")*(MOVIMIENTOS!$A$5:$A$1005&lt;=$A660)*MOVIMIENTOS!$E$5:$E$1005)-SUMPRODUCT((MOVIMIENTOS!$B$5:$B$1005="VENTA")*(MOVIMIENTOS!$C$5:$C$1005="M")*(MOVIMIENTOS!$D$5:$D$1005="jabas")*(MOVIMIENTOS!$A$5:$A$1005&lt;&gt;"")*(MOVIMIENTOS!$A$5:$A$1005&lt;=$A660)*MOVIMIENTOS!$E$5:$E$1005)+SUMPRODUCT((MOVIMIENTOS!$B$5:$B$1005="AJUSTE")*(MOVIMIENTOS!$C$5:$C$1005="M")*(MOVIMIENTOS!$D$5:$D$1005="jabas")*(MOVIMIENTOS!$A$5:$A$1005&lt;&gt;"")*(MOVIMIENTOS!$A$5:$A$1005&lt;=$A660)*MOVIMIENTOS!$E$5:$E$1005))</f>
        <v/>
      </c>
      <c r="F660" s="62" t="str">
        <f>IF($A660="","",SUMPRODUCT((MOVIMIENTOS!$B$5:$B$1005="SALDO INICIAL")*(MOVIMIENTOS!$C$5:$C$1005="Chancho")*(MOVIMIENTOS!$D$5:$D$1005="sacos")*(MOVIMIENTOS!$A$5:$A$1005&lt;&gt;"")*(MOVIMIENTOS!$A$5:$A$1005&lt;=$A660)*MOVIMIENTOS!$E$5:$E$1005)+SUMPRODUCT((MOVIMIENTOS!$B$5:$B$1005="PROCESO")*(MOVIMIENTOS!$C$5:$C$1005="Chancho")*(MOVIMIENTOS!$D$5:$D$1005="sacos")*(MOVIMIENTOS!$A$5:$A$1005&lt;&gt;"")*(MOVIMIENTOS!$A$5:$A$1005&lt;=$A660)*MOVIMIENTOS!$E$5:$E$1005)-SUMPRODUCT((MOVIMIENTOS!$B$5:$B$1005="VENTA CHANCHO")*(MOVIMIENTOS!$C$5:$C$1005="Chancho")*(MOVIMIENTOS!$D$5:$D$1005="sacos")*(MOVIMIENTOS!$A$5:$A$1005&lt;&gt;"")*(MOVIMIENTOS!$A$5:$A$1005&lt;=$A660)*MOVIMIENTOS!$E$5:$E$1005)-SUMPRODUCT((MOVIMIENTOS!$B$5:$B$1005="REGALO")*(MOVIMIENTOS!$C$5:$C$1005="Chancho")*(MOVIMIENTOS!$D$5:$D$1005="sacos")*(MOVIMIENTOS!$A$5:$A$1005&lt;&gt;"")*(MOVIMIENTOS!$A$5:$A$1005&lt;=$A660)*MOVIMIENTOS!$E$5:$E$1005)-SUMPRODUCT((MOVIMIENTOS!$B$5:$B$1005="VENTA")*(MOVIMIENTOS!$C$5:$C$1005="Chancho")*(MOVIMIENTOS!$D$5:$D$1005="sacos")*(MOVIMIENTOS!$A$5:$A$1005&lt;&gt;"")*(MOVIMIENTOS!$A$5:$A$1005&lt;=$A660)*MOVIMIENTOS!$E$5:$E$1005)+SUMPRODUCT((MOVIMIENTOS!$B$5:$B$1005="AJUSTE")*(MOVIMIENTOS!$C$5:$C$1005="Chancho")*(MOVIMIENTOS!$D$5:$D$1005="sacos")*(MOVIMIENTOS!$A$5:$A$1005&lt;&gt;"")*(MOVIMIENTOS!$A$5:$A$1005&lt;=$A660)*MOVIMIENTOS!$E$5:$E$1005))</f>
        <v/>
      </c>
      <c r="G660" s="62" t="str">
        <f t="shared" si="21"/>
        <v/>
      </c>
      <c r="H660" t="str">
        <f>IF($A660="","",SUMPRODUCT((((MOVIMIENTOS!$B$5:$B$1005="SALDO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660)*MOVIMIENTOS!$J$5:$J$1005))</f>
        <v/>
      </c>
      <c r="J660" t="str">
        <f>IF(AND(MOVIMIENTOS!$A665&lt;&gt;"",COUNTIF(MOVIMIENTOS!$A$5:$A664,MOVIMIENTOS!$A665)=0),COUNT(J$4:J659)+1,"")</f>
        <v/>
      </c>
      <c r="K660">
        <f>MOVIMIENTOS!$A665</f>
        <v>0</v>
      </c>
    </row>
    <row r="661" spans="1:11" ht="15" customHeight="1" x14ac:dyDescent="0.2">
      <c r="A661" t="str">
        <f t="shared" si="20"/>
        <v/>
      </c>
      <c r="B661" t="str">
        <f>IF($A661="","",SUMPRODUCT((MOVIMIENTOS!$B$5:$B$1005="SALDO INICIAL")*(MOVIMIENTOS!$C$5:$C$1005="A")*(MOVIMIENTOS!$D$5:$D$1005="jabas")*(MOVIMIENTOS!$A$5:$A$1005&lt;&gt;"")*(MOVIMIENTOS!$A$5:$A$1005&lt;=$A661)*MOVIMIENTOS!$E$5:$E$1005)+SUMPRODUCT((MOVIMIENTOS!$B$5:$B$1005="PROCESO")*(MOVIMIENTOS!$C$5:$C$1005="A")*(MOVIMIENTOS!$D$5:$D$1005="jabas")*(MOVIMIENTOS!$A$5:$A$1005&lt;&gt;"")*(MOVIMIENTOS!$A$5:$A$1005&lt;=$A661)*MOVIMIENTOS!$E$5:$E$1005)-SUMPRODUCT((MOVIMIENTOS!$B$5:$B$1005="ENVÍO A SUPESA")*(MOVIMIENTOS!$C$5:$C$1005="A")*(MOVIMIENTOS!$D$5:$D$1005="jabas")*(MOVIMIENTOS!$A$5:$A$1005&lt;&gt;"")*(MOVIMIENTOS!$A$5:$A$1005&lt;=$A661)*MOVIMIENTOS!$E$5:$E$1005)+SUMPRODUCT((MOVIMIENTOS!$B$5:$B$1005="DEVOLUCIÓN")*(MOVIMIENTOS!$C$5:$C$1005="A")*(MOVIMIENTOS!$D$5:$D$1005="jabas")*(MOVIMIENTOS!$A$5:$A$1005&lt;&gt;"")*(MOVIMIENTOS!$A$5:$A$1005&lt;=$A661)*MOVIMIENTOS!$E$5:$E$1005)-SUMPRODUCT((MOVIMIENTOS!$B$5:$B$1005="TRASIEGO")*(MOVIMIENTOS!$C$5:$C$1005="A")*(MOVIMIENTOS!$D$5:$D$1005="jabas")*(MOVIMIENTOS!$A$5:$A$1005&lt;&gt;"")*(MOVIMIENTOS!$A$5:$A$1005&lt;=$A661)*MOVIMIENTOS!$E$5:$E$1005)-SUMPRODUCT((MOVIMIENTOS!$B$5:$B$1005="REGALO")*(MOVIMIENTOS!$C$5:$C$1005="A")*(MOVIMIENTOS!$D$5:$D$1005="jabas")*(MOVIMIENTOS!$A$5:$A$1005&lt;&gt;"")*(MOVIMIENTOS!$A$5:$A$1005&lt;=$A661)*MOVIMIENTOS!$E$5:$E$1005)-SUMPRODUCT((MOVIMIENTOS!$B$5:$B$1005="VENTA")*(MOVIMIENTOS!$C$5:$C$1005="A")*(MOVIMIENTOS!$D$5:$D$1005="jabas")*(MOVIMIENTOS!$A$5:$A$1005&lt;&gt;"")*(MOVIMIENTOS!$A$5:$A$1005&lt;=$A661)*MOVIMIENTOS!$E$5:$E$1005)+SUMPRODUCT((MOVIMIENTOS!$B$5:$B$1005="AJUSTE")*(MOVIMIENTOS!$C$5:$C$1005="A")*(MOVIMIENTOS!$D$5:$D$1005="jabas")*(MOVIMIENTOS!$A$5:$A$1005&lt;&gt;"")*(MOVIMIENTOS!$A$5:$A$1005&lt;=$A661)*MOVIMIENTOS!$E$5:$E$1005))</f>
        <v/>
      </c>
      <c r="C661" t="str">
        <f>IF($A661="","",SUMPRODUCT((MOVIMIENTOS!$B$5:$B$1005="SALDO INICIAL")*(MOVIMIENTOS!$C$5:$C$1005="P")*(MOVIMIENTOS!$D$5:$D$1005="jabas")*(MOVIMIENTOS!$A$5:$A$1005&lt;&gt;"")*(MOVIMIENTOS!$A$5:$A$1005&lt;=$A661)*MOVIMIENTOS!$E$5:$E$1005)+SUMPRODUCT((MOVIMIENTOS!$B$5:$B$1005="PROCESO")*(MOVIMIENTOS!$C$5:$C$1005="P")*(MOVIMIENTOS!$D$5:$D$1005="jabas")*(MOVIMIENTOS!$A$5:$A$1005&lt;&gt;"")*(MOVIMIENTOS!$A$5:$A$1005&lt;=$A661)*MOVIMIENTOS!$E$5:$E$1005)-SUMPRODUCT((MOVIMIENTOS!$B$5:$B$1005="ENVÍO A SUPESA")*(MOVIMIENTOS!$C$5:$C$1005="P")*(MOVIMIENTOS!$D$5:$D$1005="jabas")*(MOVIMIENTOS!$A$5:$A$1005&lt;&gt;"")*(MOVIMIENTOS!$A$5:$A$1005&lt;=$A661)*MOVIMIENTOS!$E$5:$E$1005)+SUMPRODUCT((MOVIMIENTOS!$B$5:$B$1005="DEVOLUCIÓN")*(MOVIMIENTOS!$C$5:$C$1005="P")*(MOVIMIENTOS!$D$5:$D$1005="jabas")*(MOVIMIENTOS!$A$5:$A$1005&lt;&gt;"")*(MOVIMIENTOS!$A$5:$A$1005&lt;=$A661)*MOVIMIENTOS!$E$5:$E$1005)-SUMPRODUCT((MOVIMIENTOS!$B$5:$B$1005="TRASIEGO")*(MOVIMIENTOS!$C$5:$C$1005="P")*(MOVIMIENTOS!$D$5:$D$1005="jabas")*(MOVIMIENTOS!$A$5:$A$1005&lt;&gt;"")*(MOVIMIENTOS!$A$5:$A$1005&lt;=$A661)*MOVIMIENTOS!$E$5:$E$1005)-SUMPRODUCT((MOVIMIENTOS!$B$5:$B$1005="REGALO")*(MOVIMIENTOS!$C$5:$C$1005="P")*(MOVIMIENTOS!$D$5:$D$1005="jabas")*(MOVIMIENTOS!$A$5:$A$1005&lt;&gt;"")*(MOVIMIENTOS!$A$5:$A$1005&lt;=$A661)*MOVIMIENTOS!$E$5:$E$1005)-SUMPRODUCT((MOVIMIENTOS!$B$5:$B$1005="VENTA")*(MOVIMIENTOS!$C$5:$C$1005="P")*(MOVIMIENTOS!$D$5:$D$1005="jabas")*(MOVIMIENTOS!$A$5:$A$1005&lt;&gt;"")*(MOVIMIENTOS!$A$5:$A$1005&lt;=$A661)*MOVIMIENTOS!$E$5:$E$1005)+SUMPRODUCT((MOVIMIENTOS!$B$5:$B$1005="AJUSTE")*(MOVIMIENTOS!$C$5:$C$1005="P")*(MOVIMIENTOS!$D$5:$D$1005="jabas")*(MOVIMIENTOS!$A$5:$A$1005&lt;&gt;"")*(MOVIMIENTOS!$A$5:$A$1005&lt;=$A661)*MOVIMIENTOS!$E$5:$E$1005))</f>
        <v/>
      </c>
      <c r="D661" t="str">
        <f>IF($A661="","",SUMPRODUCT((MOVIMIENTOS!$B$5:$B$1005="SALDO INICIAL")*(MOVIMIENTOS!$C$5:$C$1005="C")*(MOVIMIENTOS!$D$5:$D$1005="jabas")*(MOVIMIENTOS!$A$5:$A$1005&lt;&gt;"")*(MOVIMIENTOS!$A$5:$A$1005&lt;=$A661)*MOVIMIENTOS!$E$5:$E$1005)+SUMPRODUCT((MOVIMIENTOS!$B$5:$B$1005="PROCESO")*(MOVIMIENTOS!$C$5:$C$1005="C")*(MOVIMIENTOS!$D$5:$D$1005="jabas")*(MOVIMIENTOS!$A$5:$A$1005&lt;&gt;"")*(MOVIMIENTOS!$A$5:$A$1005&lt;=$A661)*MOVIMIENTOS!$E$5:$E$1005)-SUMPRODUCT((MOVIMIENTOS!$B$5:$B$1005="ENVÍO A SUPESA")*(MOVIMIENTOS!$C$5:$C$1005="C")*(MOVIMIENTOS!$D$5:$D$1005="jabas")*(MOVIMIENTOS!$A$5:$A$1005&lt;&gt;"")*(MOVIMIENTOS!$A$5:$A$1005&lt;=$A661)*MOVIMIENTOS!$E$5:$E$1005)+SUMPRODUCT((MOVIMIENTOS!$B$5:$B$1005="DEVOLUCIÓN")*(MOVIMIENTOS!$C$5:$C$1005="C")*(MOVIMIENTOS!$D$5:$D$1005="jabas")*(MOVIMIENTOS!$A$5:$A$1005&lt;&gt;"")*(MOVIMIENTOS!$A$5:$A$1005&lt;=$A661)*MOVIMIENTOS!$E$5:$E$1005)-SUMPRODUCT((MOVIMIENTOS!$B$5:$B$1005="TRASIEGO")*(MOVIMIENTOS!$C$5:$C$1005="C")*(MOVIMIENTOS!$D$5:$D$1005="jabas")*(MOVIMIENTOS!$A$5:$A$1005&lt;&gt;"")*(MOVIMIENTOS!$A$5:$A$1005&lt;=$A661)*MOVIMIENTOS!$E$5:$E$1005)-SUMPRODUCT((MOVIMIENTOS!$B$5:$B$1005="REGALO")*(MOVIMIENTOS!$C$5:$C$1005="C")*(MOVIMIENTOS!$D$5:$D$1005="jabas")*(MOVIMIENTOS!$A$5:$A$1005&lt;&gt;"")*(MOVIMIENTOS!$A$5:$A$1005&lt;=$A661)*MOVIMIENTOS!$E$5:$E$1005)-SUMPRODUCT((MOVIMIENTOS!$B$5:$B$1005="VENTA")*(MOVIMIENTOS!$C$5:$C$1005="C")*(MOVIMIENTOS!$D$5:$D$1005="jabas")*(MOVIMIENTOS!$A$5:$A$1005&lt;&gt;"")*(MOVIMIENTOS!$A$5:$A$1005&lt;=$A661)*MOVIMIENTOS!$E$5:$E$1005)+SUMPRODUCT((MOVIMIENTOS!$B$5:$B$1005="AJUSTE")*(MOVIMIENTOS!$C$5:$C$1005="C")*(MOVIMIENTOS!$D$5:$D$1005="jabas")*(MOVIMIENTOS!$A$5:$A$1005&lt;&gt;"")*(MOVIMIENTOS!$A$5:$A$1005&lt;=$A661)*MOVIMIENTOS!$E$5:$E$1005))</f>
        <v/>
      </c>
      <c r="E661" t="str">
        <f>IF($A661="","",SUMPRODUCT((MOVIMIENTOS!$B$5:$B$1005="SALDO INICIAL")*(MOVIMIENTOS!$C$5:$C$1005="M")*(MOVIMIENTOS!$D$5:$D$1005="jabas")*(MOVIMIENTOS!$A$5:$A$1005&lt;&gt;"")*(MOVIMIENTOS!$A$5:$A$1005&lt;=$A661)*MOVIMIENTOS!$E$5:$E$1005)+SUMPRODUCT((MOVIMIENTOS!$B$5:$B$1005="PROCESO")*(MOVIMIENTOS!$C$5:$C$1005="M")*(MOVIMIENTOS!$D$5:$D$1005="jabas")*(MOVIMIENTOS!$A$5:$A$1005&lt;&gt;"")*(MOVIMIENTOS!$A$5:$A$1005&lt;=$A661)*MOVIMIENTOS!$E$5:$E$1005)-SUMPRODUCT((MOVIMIENTOS!$B$5:$B$1005="ENVÍO A SUPESA")*(MOVIMIENTOS!$C$5:$C$1005="M")*(MOVIMIENTOS!$D$5:$D$1005="jabas")*(MOVIMIENTOS!$A$5:$A$1005&lt;&gt;"")*(MOVIMIENTOS!$A$5:$A$1005&lt;=$A661)*MOVIMIENTOS!$E$5:$E$1005)+SUMPRODUCT((MOVIMIENTOS!$B$5:$B$1005="DEVOLUCIÓN")*(MOVIMIENTOS!$C$5:$C$1005="M")*(MOVIMIENTOS!$D$5:$D$1005="jabas")*(MOVIMIENTOS!$A$5:$A$1005&lt;&gt;"")*(MOVIMIENTOS!$A$5:$A$1005&lt;=$A661)*MOVIMIENTOS!$E$5:$E$1005)-SUMPRODUCT((MOVIMIENTOS!$B$5:$B$1005="TRASIEGO")*(MOVIMIENTOS!$C$5:$C$1005="M")*(MOVIMIENTOS!$D$5:$D$1005="jabas")*(MOVIMIENTOS!$A$5:$A$1005&lt;&gt;"")*(MOVIMIENTOS!$A$5:$A$1005&lt;=$A661)*MOVIMIENTOS!$E$5:$E$1005)-SUMPRODUCT((MOVIMIENTOS!$B$5:$B$1005="REGALO")*(MOVIMIENTOS!$C$5:$C$1005="M")*(MOVIMIENTOS!$D$5:$D$1005="jabas")*(MOVIMIENTOS!$A$5:$A$1005&lt;&gt;"")*(MOVIMIENTOS!$A$5:$A$1005&lt;=$A661)*MOVIMIENTOS!$E$5:$E$1005)-SUMPRODUCT((MOVIMIENTOS!$B$5:$B$1005="VENTA")*(MOVIMIENTOS!$C$5:$C$1005="M")*(MOVIMIENTOS!$D$5:$D$1005="jabas")*(MOVIMIENTOS!$A$5:$A$1005&lt;&gt;"")*(MOVIMIENTOS!$A$5:$A$1005&lt;=$A661)*MOVIMIENTOS!$E$5:$E$1005)+SUMPRODUCT((MOVIMIENTOS!$B$5:$B$1005="AJUSTE")*(MOVIMIENTOS!$C$5:$C$1005="M")*(MOVIMIENTOS!$D$5:$D$1005="jabas")*(MOVIMIENTOS!$A$5:$A$1005&lt;&gt;"")*(MOVIMIENTOS!$A$5:$A$1005&lt;=$A661)*MOVIMIENTOS!$E$5:$E$1005))</f>
        <v/>
      </c>
      <c r="F661" s="62" t="str">
        <f>IF($A661="","",SUMPRODUCT((MOVIMIENTOS!$B$5:$B$1005="SALDO INICIAL")*(MOVIMIENTOS!$C$5:$C$1005="Chancho")*(MOVIMIENTOS!$D$5:$D$1005="sacos")*(MOVIMIENTOS!$A$5:$A$1005&lt;&gt;"")*(MOVIMIENTOS!$A$5:$A$1005&lt;=$A661)*MOVIMIENTOS!$E$5:$E$1005)+SUMPRODUCT((MOVIMIENTOS!$B$5:$B$1005="PROCESO")*(MOVIMIENTOS!$C$5:$C$1005="Chancho")*(MOVIMIENTOS!$D$5:$D$1005="sacos")*(MOVIMIENTOS!$A$5:$A$1005&lt;&gt;"")*(MOVIMIENTOS!$A$5:$A$1005&lt;=$A661)*MOVIMIENTOS!$E$5:$E$1005)-SUMPRODUCT((MOVIMIENTOS!$B$5:$B$1005="VENTA CHANCHO")*(MOVIMIENTOS!$C$5:$C$1005="Chancho")*(MOVIMIENTOS!$D$5:$D$1005="sacos")*(MOVIMIENTOS!$A$5:$A$1005&lt;&gt;"")*(MOVIMIENTOS!$A$5:$A$1005&lt;=$A661)*MOVIMIENTOS!$E$5:$E$1005)-SUMPRODUCT((MOVIMIENTOS!$B$5:$B$1005="REGALO")*(MOVIMIENTOS!$C$5:$C$1005="Chancho")*(MOVIMIENTOS!$D$5:$D$1005="sacos")*(MOVIMIENTOS!$A$5:$A$1005&lt;&gt;"")*(MOVIMIENTOS!$A$5:$A$1005&lt;=$A661)*MOVIMIENTOS!$E$5:$E$1005)-SUMPRODUCT((MOVIMIENTOS!$B$5:$B$1005="VENTA")*(MOVIMIENTOS!$C$5:$C$1005="Chancho")*(MOVIMIENTOS!$D$5:$D$1005="sacos")*(MOVIMIENTOS!$A$5:$A$1005&lt;&gt;"")*(MOVIMIENTOS!$A$5:$A$1005&lt;=$A661)*MOVIMIENTOS!$E$5:$E$1005)+SUMPRODUCT((MOVIMIENTOS!$B$5:$B$1005="AJUSTE")*(MOVIMIENTOS!$C$5:$C$1005="Chancho")*(MOVIMIENTOS!$D$5:$D$1005="sacos")*(MOVIMIENTOS!$A$5:$A$1005&lt;&gt;"")*(MOVIMIENTOS!$A$5:$A$1005&lt;=$A661)*MOVIMIENTOS!$E$5:$E$1005))</f>
        <v/>
      </c>
      <c r="G661" s="62" t="str">
        <f t="shared" si="21"/>
        <v/>
      </c>
      <c r="H661" t="str">
        <f>IF($A661="","",SUMPRODUCT((((MOVIMIENTOS!$B$5:$B$1005="SALDO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661)*MOVIMIENTOS!$J$5:$J$1005))</f>
        <v/>
      </c>
      <c r="J661" t="str">
        <f>IF(AND(MOVIMIENTOS!$A666&lt;&gt;"",COUNTIF(MOVIMIENTOS!$A$5:$A665,MOVIMIENTOS!$A666)=0),COUNT(J$4:J660)+1,"")</f>
        <v/>
      </c>
      <c r="K661">
        <f>MOVIMIENTOS!$A666</f>
        <v>0</v>
      </c>
    </row>
    <row r="662" spans="1:11" ht="15" customHeight="1" x14ac:dyDescent="0.2">
      <c r="A662" t="str">
        <f t="shared" si="20"/>
        <v/>
      </c>
      <c r="B662" t="str">
        <f>IF($A662="","",SUMPRODUCT((MOVIMIENTOS!$B$5:$B$1005="SALDO INICIAL")*(MOVIMIENTOS!$C$5:$C$1005="A")*(MOVIMIENTOS!$D$5:$D$1005="jabas")*(MOVIMIENTOS!$A$5:$A$1005&lt;&gt;"")*(MOVIMIENTOS!$A$5:$A$1005&lt;=$A662)*MOVIMIENTOS!$E$5:$E$1005)+SUMPRODUCT((MOVIMIENTOS!$B$5:$B$1005="PROCESO")*(MOVIMIENTOS!$C$5:$C$1005="A")*(MOVIMIENTOS!$D$5:$D$1005="jabas")*(MOVIMIENTOS!$A$5:$A$1005&lt;&gt;"")*(MOVIMIENTOS!$A$5:$A$1005&lt;=$A662)*MOVIMIENTOS!$E$5:$E$1005)-SUMPRODUCT((MOVIMIENTOS!$B$5:$B$1005="ENVÍO A SUPESA")*(MOVIMIENTOS!$C$5:$C$1005="A")*(MOVIMIENTOS!$D$5:$D$1005="jabas")*(MOVIMIENTOS!$A$5:$A$1005&lt;&gt;"")*(MOVIMIENTOS!$A$5:$A$1005&lt;=$A662)*MOVIMIENTOS!$E$5:$E$1005)+SUMPRODUCT((MOVIMIENTOS!$B$5:$B$1005="DEVOLUCIÓN")*(MOVIMIENTOS!$C$5:$C$1005="A")*(MOVIMIENTOS!$D$5:$D$1005="jabas")*(MOVIMIENTOS!$A$5:$A$1005&lt;&gt;"")*(MOVIMIENTOS!$A$5:$A$1005&lt;=$A662)*MOVIMIENTOS!$E$5:$E$1005)-SUMPRODUCT((MOVIMIENTOS!$B$5:$B$1005="TRASIEGO")*(MOVIMIENTOS!$C$5:$C$1005="A")*(MOVIMIENTOS!$D$5:$D$1005="jabas")*(MOVIMIENTOS!$A$5:$A$1005&lt;&gt;"")*(MOVIMIENTOS!$A$5:$A$1005&lt;=$A662)*MOVIMIENTOS!$E$5:$E$1005)-SUMPRODUCT((MOVIMIENTOS!$B$5:$B$1005="REGALO")*(MOVIMIENTOS!$C$5:$C$1005="A")*(MOVIMIENTOS!$D$5:$D$1005="jabas")*(MOVIMIENTOS!$A$5:$A$1005&lt;&gt;"")*(MOVIMIENTOS!$A$5:$A$1005&lt;=$A662)*MOVIMIENTOS!$E$5:$E$1005)-SUMPRODUCT((MOVIMIENTOS!$B$5:$B$1005="VENTA")*(MOVIMIENTOS!$C$5:$C$1005="A")*(MOVIMIENTOS!$D$5:$D$1005="jabas")*(MOVIMIENTOS!$A$5:$A$1005&lt;&gt;"")*(MOVIMIENTOS!$A$5:$A$1005&lt;=$A662)*MOVIMIENTOS!$E$5:$E$1005)+SUMPRODUCT((MOVIMIENTOS!$B$5:$B$1005="AJUSTE")*(MOVIMIENTOS!$C$5:$C$1005="A")*(MOVIMIENTOS!$D$5:$D$1005="jabas")*(MOVIMIENTOS!$A$5:$A$1005&lt;&gt;"")*(MOVIMIENTOS!$A$5:$A$1005&lt;=$A662)*MOVIMIENTOS!$E$5:$E$1005))</f>
        <v/>
      </c>
      <c r="C662" t="str">
        <f>IF($A662="","",SUMPRODUCT((MOVIMIENTOS!$B$5:$B$1005="SALDO INICIAL")*(MOVIMIENTOS!$C$5:$C$1005="P")*(MOVIMIENTOS!$D$5:$D$1005="jabas")*(MOVIMIENTOS!$A$5:$A$1005&lt;&gt;"")*(MOVIMIENTOS!$A$5:$A$1005&lt;=$A662)*MOVIMIENTOS!$E$5:$E$1005)+SUMPRODUCT((MOVIMIENTOS!$B$5:$B$1005="PROCESO")*(MOVIMIENTOS!$C$5:$C$1005="P")*(MOVIMIENTOS!$D$5:$D$1005="jabas")*(MOVIMIENTOS!$A$5:$A$1005&lt;&gt;"")*(MOVIMIENTOS!$A$5:$A$1005&lt;=$A662)*MOVIMIENTOS!$E$5:$E$1005)-SUMPRODUCT((MOVIMIENTOS!$B$5:$B$1005="ENVÍO A SUPESA")*(MOVIMIENTOS!$C$5:$C$1005="P")*(MOVIMIENTOS!$D$5:$D$1005="jabas")*(MOVIMIENTOS!$A$5:$A$1005&lt;&gt;"")*(MOVIMIENTOS!$A$5:$A$1005&lt;=$A662)*MOVIMIENTOS!$E$5:$E$1005)+SUMPRODUCT((MOVIMIENTOS!$B$5:$B$1005="DEVOLUCIÓN")*(MOVIMIENTOS!$C$5:$C$1005="P")*(MOVIMIENTOS!$D$5:$D$1005="jabas")*(MOVIMIENTOS!$A$5:$A$1005&lt;&gt;"")*(MOVIMIENTOS!$A$5:$A$1005&lt;=$A662)*MOVIMIENTOS!$E$5:$E$1005)-SUMPRODUCT((MOVIMIENTOS!$B$5:$B$1005="TRASIEGO")*(MOVIMIENTOS!$C$5:$C$1005="P")*(MOVIMIENTOS!$D$5:$D$1005="jabas")*(MOVIMIENTOS!$A$5:$A$1005&lt;&gt;"")*(MOVIMIENTOS!$A$5:$A$1005&lt;=$A662)*MOVIMIENTOS!$E$5:$E$1005)-SUMPRODUCT((MOVIMIENTOS!$B$5:$B$1005="REGALO")*(MOVIMIENTOS!$C$5:$C$1005="P")*(MOVIMIENTOS!$D$5:$D$1005="jabas")*(MOVIMIENTOS!$A$5:$A$1005&lt;&gt;"")*(MOVIMIENTOS!$A$5:$A$1005&lt;=$A662)*MOVIMIENTOS!$E$5:$E$1005)-SUMPRODUCT((MOVIMIENTOS!$B$5:$B$1005="VENTA")*(MOVIMIENTOS!$C$5:$C$1005="P")*(MOVIMIENTOS!$D$5:$D$1005="jabas")*(MOVIMIENTOS!$A$5:$A$1005&lt;&gt;"")*(MOVIMIENTOS!$A$5:$A$1005&lt;=$A662)*MOVIMIENTOS!$E$5:$E$1005)+SUMPRODUCT((MOVIMIENTOS!$B$5:$B$1005="AJUSTE")*(MOVIMIENTOS!$C$5:$C$1005="P")*(MOVIMIENTOS!$D$5:$D$1005="jabas")*(MOVIMIENTOS!$A$5:$A$1005&lt;&gt;"")*(MOVIMIENTOS!$A$5:$A$1005&lt;=$A662)*MOVIMIENTOS!$E$5:$E$1005))</f>
        <v/>
      </c>
      <c r="D662" t="str">
        <f>IF($A662="","",SUMPRODUCT((MOVIMIENTOS!$B$5:$B$1005="SALDO INICIAL")*(MOVIMIENTOS!$C$5:$C$1005="C")*(MOVIMIENTOS!$D$5:$D$1005="jabas")*(MOVIMIENTOS!$A$5:$A$1005&lt;&gt;"")*(MOVIMIENTOS!$A$5:$A$1005&lt;=$A662)*MOVIMIENTOS!$E$5:$E$1005)+SUMPRODUCT((MOVIMIENTOS!$B$5:$B$1005="PROCESO")*(MOVIMIENTOS!$C$5:$C$1005="C")*(MOVIMIENTOS!$D$5:$D$1005="jabas")*(MOVIMIENTOS!$A$5:$A$1005&lt;&gt;"")*(MOVIMIENTOS!$A$5:$A$1005&lt;=$A662)*MOVIMIENTOS!$E$5:$E$1005)-SUMPRODUCT((MOVIMIENTOS!$B$5:$B$1005="ENVÍO A SUPESA")*(MOVIMIENTOS!$C$5:$C$1005="C")*(MOVIMIENTOS!$D$5:$D$1005="jabas")*(MOVIMIENTOS!$A$5:$A$1005&lt;&gt;"")*(MOVIMIENTOS!$A$5:$A$1005&lt;=$A662)*MOVIMIENTOS!$E$5:$E$1005)+SUMPRODUCT((MOVIMIENTOS!$B$5:$B$1005="DEVOLUCIÓN")*(MOVIMIENTOS!$C$5:$C$1005="C")*(MOVIMIENTOS!$D$5:$D$1005="jabas")*(MOVIMIENTOS!$A$5:$A$1005&lt;&gt;"")*(MOVIMIENTOS!$A$5:$A$1005&lt;=$A662)*MOVIMIENTOS!$E$5:$E$1005)-SUMPRODUCT((MOVIMIENTOS!$B$5:$B$1005="TRASIEGO")*(MOVIMIENTOS!$C$5:$C$1005="C")*(MOVIMIENTOS!$D$5:$D$1005="jabas")*(MOVIMIENTOS!$A$5:$A$1005&lt;&gt;"")*(MOVIMIENTOS!$A$5:$A$1005&lt;=$A662)*MOVIMIENTOS!$E$5:$E$1005)-SUMPRODUCT((MOVIMIENTOS!$B$5:$B$1005="REGALO")*(MOVIMIENTOS!$C$5:$C$1005="C")*(MOVIMIENTOS!$D$5:$D$1005="jabas")*(MOVIMIENTOS!$A$5:$A$1005&lt;&gt;"")*(MOVIMIENTOS!$A$5:$A$1005&lt;=$A662)*MOVIMIENTOS!$E$5:$E$1005)-SUMPRODUCT((MOVIMIENTOS!$B$5:$B$1005="VENTA")*(MOVIMIENTOS!$C$5:$C$1005="C")*(MOVIMIENTOS!$D$5:$D$1005="jabas")*(MOVIMIENTOS!$A$5:$A$1005&lt;&gt;"")*(MOVIMIENTOS!$A$5:$A$1005&lt;=$A662)*MOVIMIENTOS!$E$5:$E$1005)+SUMPRODUCT((MOVIMIENTOS!$B$5:$B$1005="AJUSTE")*(MOVIMIENTOS!$C$5:$C$1005="C")*(MOVIMIENTOS!$D$5:$D$1005="jabas")*(MOVIMIENTOS!$A$5:$A$1005&lt;&gt;"")*(MOVIMIENTOS!$A$5:$A$1005&lt;=$A662)*MOVIMIENTOS!$E$5:$E$1005))</f>
        <v/>
      </c>
      <c r="E662" t="str">
        <f>IF($A662="","",SUMPRODUCT((MOVIMIENTOS!$B$5:$B$1005="SALDO INICIAL")*(MOVIMIENTOS!$C$5:$C$1005="M")*(MOVIMIENTOS!$D$5:$D$1005="jabas")*(MOVIMIENTOS!$A$5:$A$1005&lt;&gt;"")*(MOVIMIENTOS!$A$5:$A$1005&lt;=$A662)*MOVIMIENTOS!$E$5:$E$1005)+SUMPRODUCT((MOVIMIENTOS!$B$5:$B$1005="PROCESO")*(MOVIMIENTOS!$C$5:$C$1005="M")*(MOVIMIENTOS!$D$5:$D$1005="jabas")*(MOVIMIENTOS!$A$5:$A$1005&lt;&gt;"")*(MOVIMIENTOS!$A$5:$A$1005&lt;=$A662)*MOVIMIENTOS!$E$5:$E$1005)-SUMPRODUCT((MOVIMIENTOS!$B$5:$B$1005="ENVÍO A SUPESA")*(MOVIMIENTOS!$C$5:$C$1005="M")*(MOVIMIENTOS!$D$5:$D$1005="jabas")*(MOVIMIENTOS!$A$5:$A$1005&lt;&gt;"")*(MOVIMIENTOS!$A$5:$A$1005&lt;=$A662)*MOVIMIENTOS!$E$5:$E$1005)+SUMPRODUCT((MOVIMIENTOS!$B$5:$B$1005="DEVOLUCIÓN")*(MOVIMIENTOS!$C$5:$C$1005="M")*(MOVIMIENTOS!$D$5:$D$1005="jabas")*(MOVIMIENTOS!$A$5:$A$1005&lt;&gt;"")*(MOVIMIENTOS!$A$5:$A$1005&lt;=$A662)*MOVIMIENTOS!$E$5:$E$1005)-SUMPRODUCT((MOVIMIENTOS!$B$5:$B$1005="TRASIEGO")*(MOVIMIENTOS!$C$5:$C$1005="M")*(MOVIMIENTOS!$D$5:$D$1005="jabas")*(MOVIMIENTOS!$A$5:$A$1005&lt;&gt;"")*(MOVIMIENTOS!$A$5:$A$1005&lt;=$A662)*MOVIMIENTOS!$E$5:$E$1005)-SUMPRODUCT((MOVIMIENTOS!$B$5:$B$1005="REGALO")*(MOVIMIENTOS!$C$5:$C$1005="M")*(MOVIMIENTOS!$D$5:$D$1005="jabas")*(MOVIMIENTOS!$A$5:$A$1005&lt;&gt;"")*(MOVIMIENTOS!$A$5:$A$1005&lt;=$A662)*MOVIMIENTOS!$E$5:$E$1005)-SUMPRODUCT((MOVIMIENTOS!$B$5:$B$1005="VENTA")*(MOVIMIENTOS!$C$5:$C$1005="M")*(MOVIMIENTOS!$D$5:$D$1005="jabas")*(MOVIMIENTOS!$A$5:$A$1005&lt;&gt;"")*(MOVIMIENTOS!$A$5:$A$1005&lt;=$A662)*MOVIMIENTOS!$E$5:$E$1005)+SUMPRODUCT((MOVIMIENTOS!$B$5:$B$1005="AJUSTE")*(MOVIMIENTOS!$C$5:$C$1005="M")*(MOVIMIENTOS!$D$5:$D$1005="jabas")*(MOVIMIENTOS!$A$5:$A$1005&lt;&gt;"")*(MOVIMIENTOS!$A$5:$A$1005&lt;=$A662)*MOVIMIENTOS!$E$5:$E$1005))</f>
        <v/>
      </c>
      <c r="F662" s="62" t="str">
        <f>IF($A662="","",SUMPRODUCT((MOVIMIENTOS!$B$5:$B$1005="SALDO INICIAL")*(MOVIMIENTOS!$C$5:$C$1005="Chancho")*(MOVIMIENTOS!$D$5:$D$1005="sacos")*(MOVIMIENTOS!$A$5:$A$1005&lt;&gt;"")*(MOVIMIENTOS!$A$5:$A$1005&lt;=$A662)*MOVIMIENTOS!$E$5:$E$1005)+SUMPRODUCT((MOVIMIENTOS!$B$5:$B$1005="PROCESO")*(MOVIMIENTOS!$C$5:$C$1005="Chancho")*(MOVIMIENTOS!$D$5:$D$1005="sacos")*(MOVIMIENTOS!$A$5:$A$1005&lt;&gt;"")*(MOVIMIENTOS!$A$5:$A$1005&lt;=$A662)*MOVIMIENTOS!$E$5:$E$1005)-SUMPRODUCT((MOVIMIENTOS!$B$5:$B$1005="VENTA CHANCHO")*(MOVIMIENTOS!$C$5:$C$1005="Chancho")*(MOVIMIENTOS!$D$5:$D$1005="sacos")*(MOVIMIENTOS!$A$5:$A$1005&lt;&gt;"")*(MOVIMIENTOS!$A$5:$A$1005&lt;=$A662)*MOVIMIENTOS!$E$5:$E$1005)-SUMPRODUCT((MOVIMIENTOS!$B$5:$B$1005="REGALO")*(MOVIMIENTOS!$C$5:$C$1005="Chancho")*(MOVIMIENTOS!$D$5:$D$1005="sacos")*(MOVIMIENTOS!$A$5:$A$1005&lt;&gt;"")*(MOVIMIENTOS!$A$5:$A$1005&lt;=$A662)*MOVIMIENTOS!$E$5:$E$1005)-SUMPRODUCT((MOVIMIENTOS!$B$5:$B$1005="VENTA")*(MOVIMIENTOS!$C$5:$C$1005="Chancho")*(MOVIMIENTOS!$D$5:$D$1005="sacos")*(MOVIMIENTOS!$A$5:$A$1005&lt;&gt;"")*(MOVIMIENTOS!$A$5:$A$1005&lt;=$A662)*MOVIMIENTOS!$E$5:$E$1005)+SUMPRODUCT((MOVIMIENTOS!$B$5:$B$1005="AJUSTE")*(MOVIMIENTOS!$C$5:$C$1005="Chancho")*(MOVIMIENTOS!$D$5:$D$1005="sacos")*(MOVIMIENTOS!$A$5:$A$1005&lt;&gt;"")*(MOVIMIENTOS!$A$5:$A$1005&lt;=$A662)*MOVIMIENTOS!$E$5:$E$1005))</f>
        <v/>
      </c>
      <c r="G662" s="62" t="str">
        <f t="shared" si="21"/>
        <v/>
      </c>
      <c r="H662" t="str">
        <f>IF($A662="","",SUMPRODUCT((((MOVIMIENTOS!$B$5:$B$1005="SALDO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662)*MOVIMIENTOS!$J$5:$J$1005))</f>
        <v/>
      </c>
      <c r="J662" t="str">
        <f>IF(AND(MOVIMIENTOS!$A667&lt;&gt;"",COUNTIF(MOVIMIENTOS!$A$5:$A666,MOVIMIENTOS!$A667)=0),COUNT(J$4:J661)+1,"")</f>
        <v/>
      </c>
      <c r="K662">
        <f>MOVIMIENTOS!$A667</f>
        <v>0</v>
      </c>
    </row>
    <row r="663" spans="1:11" ht="15" customHeight="1" x14ac:dyDescent="0.2">
      <c r="A663" t="str">
        <f t="shared" si="20"/>
        <v/>
      </c>
      <c r="B663" t="str">
        <f>IF($A663="","",SUMPRODUCT((MOVIMIENTOS!$B$5:$B$1005="SALDO INICIAL")*(MOVIMIENTOS!$C$5:$C$1005="A")*(MOVIMIENTOS!$D$5:$D$1005="jabas")*(MOVIMIENTOS!$A$5:$A$1005&lt;&gt;"")*(MOVIMIENTOS!$A$5:$A$1005&lt;=$A663)*MOVIMIENTOS!$E$5:$E$1005)+SUMPRODUCT((MOVIMIENTOS!$B$5:$B$1005="PROCESO")*(MOVIMIENTOS!$C$5:$C$1005="A")*(MOVIMIENTOS!$D$5:$D$1005="jabas")*(MOVIMIENTOS!$A$5:$A$1005&lt;&gt;"")*(MOVIMIENTOS!$A$5:$A$1005&lt;=$A663)*MOVIMIENTOS!$E$5:$E$1005)-SUMPRODUCT((MOVIMIENTOS!$B$5:$B$1005="ENVÍO A SUPESA")*(MOVIMIENTOS!$C$5:$C$1005="A")*(MOVIMIENTOS!$D$5:$D$1005="jabas")*(MOVIMIENTOS!$A$5:$A$1005&lt;&gt;"")*(MOVIMIENTOS!$A$5:$A$1005&lt;=$A663)*MOVIMIENTOS!$E$5:$E$1005)+SUMPRODUCT((MOVIMIENTOS!$B$5:$B$1005="DEVOLUCIÓN")*(MOVIMIENTOS!$C$5:$C$1005="A")*(MOVIMIENTOS!$D$5:$D$1005="jabas")*(MOVIMIENTOS!$A$5:$A$1005&lt;&gt;"")*(MOVIMIENTOS!$A$5:$A$1005&lt;=$A663)*MOVIMIENTOS!$E$5:$E$1005)-SUMPRODUCT((MOVIMIENTOS!$B$5:$B$1005="TRASIEGO")*(MOVIMIENTOS!$C$5:$C$1005="A")*(MOVIMIENTOS!$D$5:$D$1005="jabas")*(MOVIMIENTOS!$A$5:$A$1005&lt;&gt;"")*(MOVIMIENTOS!$A$5:$A$1005&lt;=$A663)*MOVIMIENTOS!$E$5:$E$1005)-SUMPRODUCT((MOVIMIENTOS!$B$5:$B$1005="REGALO")*(MOVIMIENTOS!$C$5:$C$1005="A")*(MOVIMIENTOS!$D$5:$D$1005="jabas")*(MOVIMIENTOS!$A$5:$A$1005&lt;&gt;"")*(MOVIMIENTOS!$A$5:$A$1005&lt;=$A663)*MOVIMIENTOS!$E$5:$E$1005)-SUMPRODUCT((MOVIMIENTOS!$B$5:$B$1005="VENTA")*(MOVIMIENTOS!$C$5:$C$1005="A")*(MOVIMIENTOS!$D$5:$D$1005="jabas")*(MOVIMIENTOS!$A$5:$A$1005&lt;&gt;"")*(MOVIMIENTOS!$A$5:$A$1005&lt;=$A663)*MOVIMIENTOS!$E$5:$E$1005)+SUMPRODUCT((MOVIMIENTOS!$B$5:$B$1005="AJUSTE")*(MOVIMIENTOS!$C$5:$C$1005="A")*(MOVIMIENTOS!$D$5:$D$1005="jabas")*(MOVIMIENTOS!$A$5:$A$1005&lt;&gt;"")*(MOVIMIENTOS!$A$5:$A$1005&lt;=$A663)*MOVIMIENTOS!$E$5:$E$1005))</f>
        <v/>
      </c>
      <c r="C663" t="str">
        <f>IF($A663="","",SUMPRODUCT((MOVIMIENTOS!$B$5:$B$1005="SALDO INICIAL")*(MOVIMIENTOS!$C$5:$C$1005="P")*(MOVIMIENTOS!$D$5:$D$1005="jabas")*(MOVIMIENTOS!$A$5:$A$1005&lt;&gt;"")*(MOVIMIENTOS!$A$5:$A$1005&lt;=$A663)*MOVIMIENTOS!$E$5:$E$1005)+SUMPRODUCT((MOVIMIENTOS!$B$5:$B$1005="PROCESO")*(MOVIMIENTOS!$C$5:$C$1005="P")*(MOVIMIENTOS!$D$5:$D$1005="jabas")*(MOVIMIENTOS!$A$5:$A$1005&lt;&gt;"")*(MOVIMIENTOS!$A$5:$A$1005&lt;=$A663)*MOVIMIENTOS!$E$5:$E$1005)-SUMPRODUCT((MOVIMIENTOS!$B$5:$B$1005="ENVÍO A SUPESA")*(MOVIMIENTOS!$C$5:$C$1005="P")*(MOVIMIENTOS!$D$5:$D$1005="jabas")*(MOVIMIENTOS!$A$5:$A$1005&lt;&gt;"")*(MOVIMIENTOS!$A$5:$A$1005&lt;=$A663)*MOVIMIENTOS!$E$5:$E$1005)+SUMPRODUCT((MOVIMIENTOS!$B$5:$B$1005="DEVOLUCIÓN")*(MOVIMIENTOS!$C$5:$C$1005="P")*(MOVIMIENTOS!$D$5:$D$1005="jabas")*(MOVIMIENTOS!$A$5:$A$1005&lt;&gt;"")*(MOVIMIENTOS!$A$5:$A$1005&lt;=$A663)*MOVIMIENTOS!$E$5:$E$1005)-SUMPRODUCT((MOVIMIENTOS!$B$5:$B$1005="TRASIEGO")*(MOVIMIENTOS!$C$5:$C$1005="P")*(MOVIMIENTOS!$D$5:$D$1005="jabas")*(MOVIMIENTOS!$A$5:$A$1005&lt;&gt;"")*(MOVIMIENTOS!$A$5:$A$1005&lt;=$A663)*MOVIMIENTOS!$E$5:$E$1005)-SUMPRODUCT((MOVIMIENTOS!$B$5:$B$1005="REGALO")*(MOVIMIENTOS!$C$5:$C$1005="P")*(MOVIMIENTOS!$D$5:$D$1005="jabas")*(MOVIMIENTOS!$A$5:$A$1005&lt;&gt;"")*(MOVIMIENTOS!$A$5:$A$1005&lt;=$A663)*MOVIMIENTOS!$E$5:$E$1005)-SUMPRODUCT((MOVIMIENTOS!$B$5:$B$1005="VENTA")*(MOVIMIENTOS!$C$5:$C$1005="P")*(MOVIMIENTOS!$D$5:$D$1005="jabas")*(MOVIMIENTOS!$A$5:$A$1005&lt;&gt;"")*(MOVIMIENTOS!$A$5:$A$1005&lt;=$A663)*MOVIMIENTOS!$E$5:$E$1005)+SUMPRODUCT((MOVIMIENTOS!$B$5:$B$1005="AJUSTE")*(MOVIMIENTOS!$C$5:$C$1005="P")*(MOVIMIENTOS!$D$5:$D$1005="jabas")*(MOVIMIENTOS!$A$5:$A$1005&lt;&gt;"")*(MOVIMIENTOS!$A$5:$A$1005&lt;=$A663)*MOVIMIENTOS!$E$5:$E$1005))</f>
        <v/>
      </c>
      <c r="D663" t="str">
        <f>IF($A663="","",SUMPRODUCT((MOVIMIENTOS!$B$5:$B$1005="SALDO INICIAL")*(MOVIMIENTOS!$C$5:$C$1005="C")*(MOVIMIENTOS!$D$5:$D$1005="jabas")*(MOVIMIENTOS!$A$5:$A$1005&lt;&gt;"")*(MOVIMIENTOS!$A$5:$A$1005&lt;=$A663)*MOVIMIENTOS!$E$5:$E$1005)+SUMPRODUCT((MOVIMIENTOS!$B$5:$B$1005="PROCESO")*(MOVIMIENTOS!$C$5:$C$1005="C")*(MOVIMIENTOS!$D$5:$D$1005="jabas")*(MOVIMIENTOS!$A$5:$A$1005&lt;&gt;"")*(MOVIMIENTOS!$A$5:$A$1005&lt;=$A663)*MOVIMIENTOS!$E$5:$E$1005)-SUMPRODUCT((MOVIMIENTOS!$B$5:$B$1005="ENVÍO A SUPESA")*(MOVIMIENTOS!$C$5:$C$1005="C")*(MOVIMIENTOS!$D$5:$D$1005="jabas")*(MOVIMIENTOS!$A$5:$A$1005&lt;&gt;"")*(MOVIMIENTOS!$A$5:$A$1005&lt;=$A663)*MOVIMIENTOS!$E$5:$E$1005)+SUMPRODUCT((MOVIMIENTOS!$B$5:$B$1005="DEVOLUCIÓN")*(MOVIMIENTOS!$C$5:$C$1005="C")*(MOVIMIENTOS!$D$5:$D$1005="jabas")*(MOVIMIENTOS!$A$5:$A$1005&lt;&gt;"")*(MOVIMIENTOS!$A$5:$A$1005&lt;=$A663)*MOVIMIENTOS!$E$5:$E$1005)-SUMPRODUCT((MOVIMIENTOS!$B$5:$B$1005="TRASIEGO")*(MOVIMIENTOS!$C$5:$C$1005="C")*(MOVIMIENTOS!$D$5:$D$1005="jabas")*(MOVIMIENTOS!$A$5:$A$1005&lt;&gt;"")*(MOVIMIENTOS!$A$5:$A$1005&lt;=$A663)*MOVIMIENTOS!$E$5:$E$1005)-SUMPRODUCT((MOVIMIENTOS!$B$5:$B$1005="REGALO")*(MOVIMIENTOS!$C$5:$C$1005="C")*(MOVIMIENTOS!$D$5:$D$1005="jabas")*(MOVIMIENTOS!$A$5:$A$1005&lt;&gt;"")*(MOVIMIENTOS!$A$5:$A$1005&lt;=$A663)*MOVIMIENTOS!$E$5:$E$1005)-SUMPRODUCT((MOVIMIENTOS!$B$5:$B$1005="VENTA")*(MOVIMIENTOS!$C$5:$C$1005="C")*(MOVIMIENTOS!$D$5:$D$1005="jabas")*(MOVIMIENTOS!$A$5:$A$1005&lt;&gt;"")*(MOVIMIENTOS!$A$5:$A$1005&lt;=$A663)*MOVIMIENTOS!$E$5:$E$1005)+SUMPRODUCT((MOVIMIENTOS!$B$5:$B$1005="AJUSTE")*(MOVIMIENTOS!$C$5:$C$1005="C")*(MOVIMIENTOS!$D$5:$D$1005="jabas")*(MOVIMIENTOS!$A$5:$A$1005&lt;&gt;"")*(MOVIMIENTOS!$A$5:$A$1005&lt;=$A663)*MOVIMIENTOS!$E$5:$E$1005))</f>
        <v/>
      </c>
      <c r="E663" t="str">
        <f>IF($A663="","",SUMPRODUCT((MOVIMIENTOS!$B$5:$B$1005="SALDO INICIAL")*(MOVIMIENTOS!$C$5:$C$1005="M")*(MOVIMIENTOS!$D$5:$D$1005="jabas")*(MOVIMIENTOS!$A$5:$A$1005&lt;&gt;"")*(MOVIMIENTOS!$A$5:$A$1005&lt;=$A663)*MOVIMIENTOS!$E$5:$E$1005)+SUMPRODUCT((MOVIMIENTOS!$B$5:$B$1005="PROCESO")*(MOVIMIENTOS!$C$5:$C$1005="M")*(MOVIMIENTOS!$D$5:$D$1005="jabas")*(MOVIMIENTOS!$A$5:$A$1005&lt;&gt;"")*(MOVIMIENTOS!$A$5:$A$1005&lt;=$A663)*MOVIMIENTOS!$E$5:$E$1005)-SUMPRODUCT((MOVIMIENTOS!$B$5:$B$1005="ENVÍO A SUPESA")*(MOVIMIENTOS!$C$5:$C$1005="M")*(MOVIMIENTOS!$D$5:$D$1005="jabas")*(MOVIMIENTOS!$A$5:$A$1005&lt;&gt;"")*(MOVIMIENTOS!$A$5:$A$1005&lt;=$A663)*MOVIMIENTOS!$E$5:$E$1005)+SUMPRODUCT((MOVIMIENTOS!$B$5:$B$1005="DEVOLUCIÓN")*(MOVIMIENTOS!$C$5:$C$1005="M")*(MOVIMIENTOS!$D$5:$D$1005="jabas")*(MOVIMIENTOS!$A$5:$A$1005&lt;&gt;"")*(MOVIMIENTOS!$A$5:$A$1005&lt;=$A663)*MOVIMIENTOS!$E$5:$E$1005)-SUMPRODUCT((MOVIMIENTOS!$B$5:$B$1005="TRASIEGO")*(MOVIMIENTOS!$C$5:$C$1005="M")*(MOVIMIENTOS!$D$5:$D$1005="jabas")*(MOVIMIENTOS!$A$5:$A$1005&lt;&gt;"")*(MOVIMIENTOS!$A$5:$A$1005&lt;=$A663)*MOVIMIENTOS!$E$5:$E$1005)-SUMPRODUCT((MOVIMIENTOS!$B$5:$B$1005="REGALO")*(MOVIMIENTOS!$C$5:$C$1005="M")*(MOVIMIENTOS!$D$5:$D$1005="jabas")*(MOVIMIENTOS!$A$5:$A$1005&lt;&gt;"")*(MOVIMIENTOS!$A$5:$A$1005&lt;=$A663)*MOVIMIENTOS!$E$5:$E$1005)-SUMPRODUCT((MOVIMIENTOS!$B$5:$B$1005="VENTA")*(MOVIMIENTOS!$C$5:$C$1005="M")*(MOVIMIENTOS!$D$5:$D$1005="jabas")*(MOVIMIENTOS!$A$5:$A$1005&lt;&gt;"")*(MOVIMIENTOS!$A$5:$A$1005&lt;=$A663)*MOVIMIENTOS!$E$5:$E$1005)+SUMPRODUCT((MOVIMIENTOS!$B$5:$B$1005="AJUSTE")*(MOVIMIENTOS!$C$5:$C$1005="M")*(MOVIMIENTOS!$D$5:$D$1005="jabas")*(MOVIMIENTOS!$A$5:$A$1005&lt;&gt;"")*(MOVIMIENTOS!$A$5:$A$1005&lt;=$A663)*MOVIMIENTOS!$E$5:$E$1005))</f>
        <v/>
      </c>
      <c r="F663" s="62" t="str">
        <f>IF($A663="","",SUMPRODUCT((MOVIMIENTOS!$B$5:$B$1005="SALDO INICIAL")*(MOVIMIENTOS!$C$5:$C$1005="Chancho")*(MOVIMIENTOS!$D$5:$D$1005="sacos")*(MOVIMIENTOS!$A$5:$A$1005&lt;&gt;"")*(MOVIMIENTOS!$A$5:$A$1005&lt;=$A663)*MOVIMIENTOS!$E$5:$E$1005)+SUMPRODUCT((MOVIMIENTOS!$B$5:$B$1005="PROCESO")*(MOVIMIENTOS!$C$5:$C$1005="Chancho")*(MOVIMIENTOS!$D$5:$D$1005="sacos")*(MOVIMIENTOS!$A$5:$A$1005&lt;&gt;"")*(MOVIMIENTOS!$A$5:$A$1005&lt;=$A663)*MOVIMIENTOS!$E$5:$E$1005)-SUMPRODUCT((MOVIMIENTOS!$B$5:$B$1005="VENTA CHANCHO")*(MOVIMIENTOS!$C$5:$C$1005="Chancho")*(MOVIMIENTOS!$D$5:$D$1005="sacos")*(MOVIMIENTOS!$A$5:$A$1005&lt;&gt;"")*(MOVIMIENTOS!$A$5:$A$1005&lt;=$A663)*MOVIMIENTOS!$E$5:$E$1005)-SUMPRODUCT((MOVIMIENTOS!$B$5:$B$1005="REGALO")*(MOVIMIENTOS!$C$5:$C$1005="Chancho")*(MOVIMIENTOS!$D$5:$D$1005="sacos")*(MOVIMIENTOS!$A$5:$A$1005&lt;&gt;"")*(MOVIMIENTOS!$A$5:$A$1005&lt;=$A663)*MOVIMIENTOS!$E$5:$E$1005)-SUMPRODUCT((MOVIMIENTOS!$B$5:$B$1005="VENTA")*(MOVIMIENTOS!$C$5:$C$1005="Chancho")*(MOVIMIENTOS!$D$5:$D$1005="sacos")*(MOVIMIENTOS!$A$5:$A$1005&lt;&gt;"")*(MOVIMIENTOS!$A$5:$A$1005&lt;=$A663)*MOVIMIENTOS!$E$5:$E$1005)+SUMPRODUCT((MOVIMIENTOS!$B$5:$B$1005="AJUSTE")*(MOVIMIENTOS!$C$5:$C$1005="Chancho")*(MOVIMIENTOS!$D$5:$D$1005="sacos")*(MOVIMIENTOS!$A$5:$A$1005&lt;&gt;"")*(MOVIMIENTOS!$A$5:$A$1005&lt;=$A663)*MOVIMIENTOS!$E$5:$E$1005))</f>
        <v/>
      </c>
      <c r="G663" s="62" t="str">
        <f t="shared" si="21"/>
        <v/>
      </c>
      <c r="H663" t="str">
        <f>IF($A663="","",SUMPRODUCT((((MOVIMIENTOS!$B$5:$B$1005="SALDO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663)*MOVIMIENTOS!$J$5:$J$1005))</f>
        <v/>
      </c>
      <c r="J663" t="str">
        <f>IF(AND(MOVIMIENTOS!$A668&lt;&gt;"",COUNTIF(MOVIMIENTOS!$A$5:$A667,MOVIMIENTOS!$A668)=0),COUNT(J$4:J662)+1,"")</f>
        <v/>
      </c>
      <c r="K663">
        <f>MOVIMIENTOS!$A668</f>
        <v>0</v>
      </c>
    </row>
    <row r="664" spans="1:11" ht="15" customHeight="1" x14ac:dyDescent="0.2">
      <c r="A664" t="str">
        <f t="shared" si="20"/>
        <v/>
      </c>
      <c r="B664" t="str">
        <f>IF($A664="","",SUMPRODUCT((MOVIMIENTOS!$B$5:$B$1005="SALDO INICIAL")*(MOVIMIENTOS!$C$5:$C$1005="A")*(MOVIMIENTOS!$D$5:$D$1005="jabas")*(MOVIMIENTOS!$A$5:$A$1005&lt;&gt;"")*(MOVIMIENTOS!$A$5:$A$1005&lt;=$A664)*MOVIMIENTOS!$E$5:$E$1005)+SUMPRODUCT((MOVIMIENTOS!$B$5:$B$1005="PROCESO")*(MOVIMIENTOS!$C$5:$C$1005="A")*(MOVIMIENTOS!$D$5:$D$1005="jabas")*(MOVIMIENTOS!$A$5:$A$1005&lt;&gt;"")*(MOVIMIENTOS!$A$5:$A$1005&lt;=$A664)*MOVIMIENTOS!$E$5:$E$1005)-SUMPRODUCT((MOVIMIENTOS!$B$5:$B$1005="ENVÍO A SUPESA")*(MOVIMIENTOS!$C$5:$C$1005="A")*(MOVIMIENTOS!$D$5:$D$1005="jabas")*(MOVIMIENTOS!$A$5:$A$1005&lt;&gt;"")*(MOVIMIENTOS!$A$5:$A$1005&lt;=$A664)*MOVIMIENTOS!$E$5:$E$1005)+SUMPRODUCT((MOVIMIENTOS!$B$5:$B$1005="DEVOLUCIÓN")*(MOVIMIENTOS!$C$5:$C$1005="A")*(MOVIMIENTOS!$D$5:$D$1005="jabas")*(MOVIMIENTOS!$A$5:$A$1005&lt;&gt;"")*(MOVIMIENTOS!$A$5:$A$1005&lt;=$A664)*MOVIMIENTOS!$E$5:$E$1005)-SUMPRODUCT((MOVIMIENTOS!$B$5:$B$1005="TRASIEGO")*(MOVIMIENTOS!$C$5:$C$1005="A")*(MOVIMIENTOS!$D$5:$D$1005="jabas")*(MOVIMIENTOS!$A$5:$A$1005&lt;&gt;"")*(MOVIMIENTOS!$A$5:$A$1005&lt;=$A664)*MOVIMIENTOS!$E$5:$E$1005)-SUMPRODUCT((MOVIMIENTOS!$B$5:$B$1005="REGALO")*(MOVIMIENTOS!$C$5:$C$1005="A")*(MOVIMIENTOS!$D$5:$D$1005="jabas")*(MOVIMIENTOS!$A$5:$A$1005&lt;&gt;"")*(MOVIMIENTOS!$A$5:$A$1005&lt;=$A664)*MOVIMIENTOS!$E$5:$E$1005)-SUMPRODUCT((MOVIMIENTOS!$B$5:$B$1005="VENTA")*(MOVIMIENTOS!$C$5:$C$1005="A")*(MOVIMIENTOS!$D$5:$D$1005="jabas")*(MOVIMIENTOS!$A$5:$A$1005&lt;&gt;"")*(MOVIMIENTOS!$A$5:$A$1005&lt;=$A664)*MOVIMIENTOS!$E$5:$E$1005)+SUMPRODUCT((MOVIMIENTOS!$B$5:$B$1005="AJUSTE")*(MOVIMIENTOS!$C$5:$C$1005="A")*(MOVIMIENTOS!$D$5:$D$1005="jabas")*(MOVIMIENTOS!$A$5:$A$1005&lt;&gt;"")*(MOVIMIENTOS!$A$5:$A$1005&lt;=$A664)*MOVIMIENTOS!$E$5:$E$1005))</f>
        <v/>
      </c>
      <c r="C664" t="str">
        <f>IF($A664="","",SUMPRODUCT((MOVIMIENTOS!$B$5:$B$1005="SALDO INICIAL")*(MOVIMIENTOS!$C$5:$C$1005="P")*(MOVIMIENTOS!$D$5:$D$1005="jabas")*(MOVIMIENTOS!$A$5:$A$1005&lt;&gt;"")*(MOVIMIENTOS!$A$5:$A$1005&lt;=$A664)*MOVIMIENTOS!$E$5:$E$1005)+SUMPRODUCT((MOVIMIENTOS!$B$5:$B$1005="PROCESO")*(MOVIMIENTOS!$C$5:$C$1005="P")*(MOVIMIENTOS!$D$5:$D$1005="jabas")*(MOVIMIENTOS!$A$5:$A$1005&lt;&gt;"")*(MOVIMIENTOS!$A$5:$A$1005&lt;=$A664)*MOVIMIENTOS!$E$5:$E$1005)-SUMPRODUCT((MOVIMIENTOS!$B$5:$B$1005="ENVÍO A SUPESA")*(MOVIMIENTOS!$C$5:$C$1005="P")*(MOVIMIENTOS!$D$5:$D$1005="jabas")*(MOVIMIENTOS!$A$5:$A$1005&lt;&gt;"")*(MOVIMIENTOS!$A$5:$A$1005&lt;=$A664)*MOVIMIENTOS!$E$5:$E$1005)+SUMPRODUCT((MOVIMIENTOS!$B$5:$B$1005="DEVOLUCIÓN")*(MOVIMIENTOS!$C$5:$C$1005="P")*(MOVIMIENTOS!$D$5:$D$1005="jabas")*(MOVIMIENTOS!$A$5:$A$1005&lt;&gt;"")*(MOVIMIENTOS!$A$5:$A$1005&lt;=$A664)*MOVIMIENTOS!$E$5:$E$1005)-SUMPRODUCT((MOVIMIENTOS!$B$5:$B$1005="TRASIEGO")*(MOVIMIENTOS!$C$5:$C$1005="P")*(MOVIMIENTOS!$D$5:$D$1005="jabas")*(MOVIMIENTOS!$A$5:$A$1005&lt;&gt;"")*(MOVIMIENTOS!$A$5:$A$1005&lt;=$A664)*MOVIMIENTOS!$E$5:$E$1005)-SUMPRODUCT((MOVIMIENTOS!$B$5:$B$1005="REGALO")*(MOVIMIENTOS!$C$5:$C$1005="P")*(MOVIMIENTOS!$D$5:$D$1005="jabas")*(MOVIMIENTOS!$A$5:$A$1005&lt;&gt;"")*(MOVIMIENTOS!$A$5:$A$1005&lt;=$A664)*MOVIMIENTOS!$E$5:$E$1005)-SUMPRODUCT((MOVIMIENTOS!$B$5:$B$1005="VENTA")*(MOVIMIENTOS!$C$5:$C$1005="P")*(MOVIMIENTOS!$D$5:$D$1005="jabas")*(MOVIMIENTOS!$A$5:$A$1005&lt;&gt;"")*(MOVIMIENTOS!$A$5:$A$1005&lt;=$A664)*MOVIMIENTOS!$E$5:$E$1005)+SUMPRODUCT((MOVIMIENTOS!$B$5:$B$1005="AJUSTE")*(MOVIMIENTOS!$C$5:$C$1005="P")*(MOVIMIENTOS!$D$5:$D$1005="jabas")*(MOVIMIENTOS!$A$5:$A$1005&lt;&gt;"")*(MOVIMIENTOS!$A$5:$A$1005&lt;=$A664)*MOVIMIENTOS!$E$5:$E$1005))</f>
        <v/>
      </c>
      <c r="D664" t="str">
        <f>IF($A664="","",SUMPRODUCT((MOVIMIENTOS!$B$5:$B$1005="SALDO INICIAL")*(MOVIMIENTOS!$C$5:$C$1005="C")*(MOVIMIENTOS!$D$5:$D$1005="jabas")*(MOVIMIENTOS!$A$5:$A$1005&lt;&gt;"")*(MOVIMIENTOS!$A$5:$A$1005&lt;=$A664)*MOVIMIENTOS!$E$5:$E$1005)+SUMPRODUCT((MOVIMIENTOS!$B$5:$B$1005="PROCESO")*(MOVIMIENTOS!$C$5:$C$1005="C")*(MOVIMIENTOS!$D$5:$D$1005="jabas")*(MOVIMIENTOS!$A$5:$A$1005&lt;&gt;"")*(MOVIMIENTOS!$A$5:$A$1005&lt;=$A664)*MOVIMIENTOS!$E$5:$E$1005)-SUMPRODUCT((MOVIMIENTOS!$B$5:$B$1005="ENVÍO A SUPESA")*(MOVIMIENTOS!$C$5:$C$1005="C")*(MOVIMIENTOS!$D$5:$D$1005="jabas")*(MOVIMIENTOS!$A$5:$A$1005&lt;&gt;"")*(MOVIMIENTOS!$A$5:$A$1005&lt;=$A664)*MOVIMIENTOS!$E$5:$E$1005)+SUMPRODUCT((MOVIMIENTOS!$B$5:$B$1005="DEVOLUCIÓN")*(MOVIMIENTOS!$C$5:$C$1005="C")*(MOVIMIENTOS!$D$5:$D$1005="jabas")*(MOVIMIENTOS!$A$5:$A$1005&lt;&gt;"")*(MOVIMIENTOS!$A$5:$A$1005&lt;=$A664)*MOVIMIENTOS!$E$5:$E$1005)-SUMPRODUCT((MOVIMIENTOS!$B$5:$B$1005="TRASIEGO")*(MOVIMIENTOS!$C$5:$C$1005="C")*(MOVIMIENTOS!$D$5:$D$1005="jabas")*(MOVIMIENTOS!$A$5:$A$1005&lt;&gt;"")*(MOVIMIENTOS!$A$5:$A$1005&lt;=$A664)*MOVIMIENTOS!$E$5:$E$1005)-SUMPRODUCT((MOVIMIENTOS!$B$5:$B$1005="REGALO")*(MOVIMIENTOS!$C$5:$C$1005="C")*(MOVIMIENTOS!$D$5:$D$1005="jabas")*(MOVIMIENTOS!$A$5:$A$1005&lt;&gt;"")*(MOVIMIENTOS!$A$5:$A$1005&lt;=$A664)*MOVIMIENTOS!$E$5:$E$1005)-SUMPRODUCT((MOVIMIENTOS!$B$5:$B$1005="VENTA")*(MOVIMIENTOS!$C$5:$C$1005="C")*(MOVIMIENTOS!$D$5:$D$1005="jabas")*(MOVIMIENTOS!$A$5:$A$1005&lt;&gt;"")*(MOVIMIENTOS!$A$5:$A$1005&lt;=$A664)*MOVIMIENTOS!$E$5:$E$1005)+SUMPRODUCT((MOVIMIENTOS!$B$5:$B$1005="AJUSTE")*(MOVIMIENTOS!$C$5:$C$1005="C")*(MOVIMIENTOS!$D$5:$D$1005="jabas")*(MOVIMIENTOS!$A$5:$A$1005&lt;&gt;"")*(MOVIMIENTOS!$A$5:$A$1005&lt;=$A664)*MOVIMIENTOS!$E$5:$E$1005))</f>
        <v/>
      </c>
      <c r="E664" t="str">
        <f>IF($A664="","",SUMPRODUCT((MOVIMIENTOS!$B$5:$B$1005="SALDO INICIAL")*(MOVIMIENTOS!$C$5:$C$1005="M")*(MOVIMIENTOS!$D$5:$D$1005="jabas")*(MOVIMIENTOS!$A$5:$A$1005&lt;&gt;"")*(MOVIMIENTOS!$A$5:$A$1005&lt;=$A664)*MOVIMIENTOS!$E$5:$E$1005)+SUMPRODUCT((MOVIMIENTOS!$B$5:$B$1005="PROCESO")*(MOVIMIENTOS!$C$5:$C$1005="M")*(MOVIMIENTOS!$D$5:$D$1005="jabas")*(MOVIMIENTOS!$A$5:$A$1005&lt;&gt;"")*(MOVIMIENTOS!$A$5:$A$1005&lt;=$A664)*MOVIMIENTOS!$E$5:$E$1005)-SUMPRODUCT((MOVIMIENTOS!$B$5:$B$1005="ENVÍO A SUPESA")*(MOVIMIENTOS!$C$5:$C$1005="M")*(MOVIMIENTOS!$D$5:$D$1005="jabas")*(MOVIMIENTOS!$A$5:$A$1005&lt;&gt;"")*(MOVIMIENTOS!$A$5:$A$1005&lt;=$A664)*MOVIMIENTOS!$E$5:$E$1005)+SUMPRODUCT((MOVIMIENTOS!$B$5:$B$1005="DEVOLUCIÓN")*(MOVIMIENTOS!$C$5:$C$1005="M")*(MOVIMIENTOS!$D$5:$D$1005="jabas")*(MOVIMIENTOS!$A$5:$A$1005&lt;&gt;"")*(MOVIMIENTOS!$A$5:$A$1005&lt;=$A664)*MOVIMIENTOS!$E$5:$E$1005)-SUMPRODUCT((MOVIMIENTOS!$B$5:$B$1005="TRASIEGO")*(MOVIMIENTOS!$C$5:$C$1005="M")*(MOVIMIENTOS!$D$5:$D$1005="jabas")*(MOVIMIENTOS!$A$5:$A$1005&lt;&gt;"")*(MOVIMIENTOS!$A$5:$A$1005&lt;=$A664)*MOVIMIENTOS!$E$5:$E$1005)-SUMPRODUCT((MOVIMIENTOS!$B$5:$B$1005="REGALO")*(MOVIMIENTOS!$C$5:$C$1005="M")*(MOVIMIENTOS!$D$5:$D$1005="jabas")*(MOVIMIENTOS!$A$5:$A$1005&lt;&gt;"")*(MOVIMIENTOS!$A$5:$A$1005&lt;=$A664)*MOVIMIENTOS!$E$5:$E$1005)-SUMPRODUCT((MOVIMIENTOS!$B$5:$B$1005="VENTA")*(MOVIMIENTOS!$C$5:$C$1005="M")*(MOVIMIENTOS!$D$5:$D$1005="jabas")*(MOVIMIENTOS!$A$5:$A$1005&lt;&gt;"")*(MOVIMIENTOS!$A$5:$A$1005&lt;=$A664)*MOVIMIENTOS!$E$5:$E$1005)+SUMPRODUCT((MOVIMIENTOS!$B$5:$B$1005="AJUSTE")*(MOVIMIENTOS!$C$5:$C$1005="M")*(MOVIMIENTOS!$D$5:$D$1005="jabas")*(MOVIMIENTOS!$A$5:$A$1005&lt;&gt;"")*(MOVIMIENTOS!$A$5:$A$1005&lt;=$A664)*MOVIMIENTOS!$E$5:$E$1005))</f>
        <v/>
      </c>
      <c r="F664" s="62" t="str">
        <f>IF($A664="","",SUMPRODUCT((MOVIMIENTOS!$B$5:$B$1005="SALDO INICIAL")*(MOVIMIENTOS!$C$5:$C$1005="Chancho")*(MOVIMIENTOS!$D$5:$D$1005="sacos")*(MOVIMIENTOS!$A$5:$A$1005&lt;&gt;"")*(MOVIMIENTOS!$A$5:$A$1005&lt;=$A664)*MOVIMIENTOS!$E$5:$E$1005)+SUMPRODUCT((MOVIMIENTOS!$B$5:$B$1005="PROCESO")*(MOVIMIENTOS!$C$5:$C$1005="Chancho")*(MOVIMIENTOS!$D$5:$D$1005="sacos")*(MOVIMIENTOS!$A$5:$A$1005&lt;&gt;"")*(MOVIMIENTOS!$A$5:$A$1005&lt;=$A664)*MOVIMIENTOS!$E$5:$E$1005)-SUMPRODUCT((MOVIMIENTOS!$B$5:$B$1005="VENTA CHANCHO")*(MOVIMIENTOS!$C$5:$C$1005="Chancho")*(MOVIMIENTOS!$D$5:$D$1005="sacos")*(MOVIMIENTOS!$A$5:$A$1005&lt;&gt;"")*(MOVIMIENTOS!$A$5:$A$1005&lt;=$A664)*MOVIMIENTOS!$E$5:$E$1005)-SUMPRODUCT((MOVIMIENTOS!$B$5:$B$1005="REGALO")*(MOVIMIENTOS!$C$5:$C$1005="Chancho")*(MOVIMIENTOS!$D$5:$D$1005="sacos")*(MOVIMIENTOS!$A$5:$A$1005&lt;&gt;"")*(MOVIMIENTOS!$A$5:$A$1005&lt;=$A664)*MOVIMIENTOS!$E$5:$E$1005)-SUMPRODUCT((MOVIMIENTOS!$B$5:$B$1005="VENTA")*(MOVIMIENTOS!$C$5:$C$1005="Chancho")*(MOVIMIENTOS!$D$5:$D$1005="sacos")*(MOVIMIENTOS!$A$5:$A$1005&lt;&gt;"")*(MOVIMIENTOS!$A$5:$A$1005&lt;=$A664)*MOVIMIENTOS!$E$5:$E$1005)+SUMPRODUCT((MOVIMIENTOS!$B$5:$B$1005="AJUSTE")*(MOVIMIENTOS!$C$5:$C$1005="Chancho")*(MOVIMIENTOS!$D$5:$D$1005="sacos")*(MOVIMIENTOS!$A$5:$A$1005&lt;&gt;"")*(MOVIMIENTOS!$A$5:$A$1005&lt;=$A664)*MOVIMIENTOS!$E$5:$E$1005))</f>
        <v/>
      </c>
      <c r="G664" s="62" t="str">
        <f t="shared" si="21"/>
        <v/>
      </c>
      <c r="H664" t="str">
        <f>IF($A664="","",SUMPRODUCT((((MOVIMIENTOS!$B$5:$B$1005="SALDO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664)*MOVIMIENTOS!$J$5:$J$1005))</f>
        <v/>
      </c>
      <c r="J664" t="str">
        <f>IF(AND(MOVIMIENTOS!$A669&lt;&gt;"",COUNTIF(MOVIMIENTOS!$A$5:$A668,MOVIMIENTOS!$A669)=0),COUNT(J$4:J663)+1,"")</f>
        <v/>
      </c>
      <c r="K664">
        <f>MOVIMIENTOS!$A669</f>
        <v>0</v>
      </c>
    </row>
    <row r="665" spans="1:11" ht="15" customHeight="1" x14ac:dyDescent="0.2">
      <c r="A665" t="str">
        <f t="shared" si="20"/>
        <v/>
      </c>
      <c r="B665" t="str">
        <f>IF($A665="","",SUMPRODUCT((MOVIMIENTOS!$B$5:$B$1005="SALDO INICIAL")*(MOVIMIENTOS!$C$5:$C$1005="A")*(MOVIMIENTOS!$D$5:$D$1005="jabas")*(MOVIMIENTOS!$A$5:$A$1005&lt;&gt;"")*(MOVIMIENTOS!$A$5:$A$1005&lt;=$A665)*MOVIMIENTOS!$E$5:$E$1005)+SUMPRODUCT((MOVIMIENTOS!$B$5:$B$1005="PROCESO")*(MOVIMIENTOS!$C$5:$C$1005="A")*(MOVIMIENTOS!$D$5:$D$1005="jabas")*(MOVIMIENTOS!$A$5:$A$1005&lt;&gt;"")*(MOVIMIENTOS!$A$5:$A$1005&lt;=$A665)*MOVIMIENTOS!$E$5:$E$1005)-SUMPRODUCT((MOVIMIENTOS!$B$5:$B$1005="ENVÍO A SUPESA")*(MOVIMIENTOS!$C$5:$C$1005="A")*(MOVIMIENTOS!$D$5:$D$1005="jabas")*(MOVIMIENTOS!$A$5:$A$1005&lt;&gt;"")*(MOVIMIENTOS!$A$5:$A$1005&lt;=$A665)*MOVIMIENTOS!$E$5:$E$1005)+SUMPRODUCT((MOVIMIENTOS!$B$5:$B$1005="DEVOLUCIÓN")*(MOVIMIENTOS!$C$5:$C$1005="A")*(MOVIMIENTOS!$D$5:$D$1005="jabas")*(MOVIMIENTOS!$A$5:$A$1005&lt;&gt;"")*(MOVIMIENTOS!$A$5:$A$1005&lt;=$A665)*MOVIMIENTOS!$E$5:$E$1005)-SUMPRODUCT((MOVIMIENTOS!$B$5:$B$1005="TRASIEGO")*(MOVIMIENTOS!$C$5:$C$1005="A")*(MOVIMIENTOS!$D$5:$D$1005="jabas")*(MOVIMIENTOS!$A$5:$A$1005&lt;&gt;"")*(MOVIMIENTOS!$A$5:$A$1005&lt;=$A665)*MOVIMIENTOS!$E$5:$E$1005)-SUMPRODUCT((MOVIMIENTOS!$B$5:$B$1005="REGALO")*(MOVIMIENTOS!$C$5:$C$1005="A")*(MOVIMIENTOS!$D$5:$D$1005="jabas")*(MOVIMIENTOS!$A$5:$A$1005&lt;&gt;"")*(MOVIMIENTOS!$A$5:$A$1005&lt;=$A665)*MOVIMIENTOS!$E$5:$E$1005)-SUMPRODUCT((MOVIMIENTOS!$B$5:$B$1005="VENTA")*(MOVIMIENTOS!$C$5:$C$1005="A")*(MOVIMIENTOS!$D$5:$D$1005="jabas")*(MOVIMIENTOS!$A$5:$A$1005&lt;&gt;"")*(MOVIMIENTOS!$A$5:$A$1005&lt;=$A665)*MOVIMIENTOS!$E$5:$E$1005)+SUMPRODUCT((MOVIMIENTOS!$B$5:$B$1005="AJUSTE")*(MOVIMIENTOS!$C$5:$C$1005="A")*(MOVIMIENTOS!$D$5:$D$1005="jabas")*(MOVIMIENTOS!$A$5:$A$1005&lt;&gt;"")*(MOVIMIENTOS!$A$5:$A$1005&lt;=$A665)*MOVIMIENTOS!$E$5:$E$1005))</f>
        <v/>
      </c>
      <c r="C665" t="str">
        <f>IF($A665="","",SUMPRODUCT((MOVIMIENTOS!$B$5:$B$1005="SALDO INICIAL")*(MOVIMIENTOS!$C$5:$C$1005="P")*(MOVIMIENTOS!$D$5:$D$1005="jabas")*(MOVIMIENTOS!$A$5:$A$1005&lt;&gt;"")*(MOVIMIENTOS!$A$5:$A$1005&lt;=$A665)*MOVIMIENTOS!$E$5:$E$1005)+SUMPRODUCT((MOVIMIENTOS!$B$5:$B$1005="PROCESO")*(MOVIMIENTOS!$C$5:$C$1005="P")*(MOVIMIENTOS!$D$5:$D$1005="jabas")*(MOVIMIENTOS!$A$5:$A$1005&lt;&gt;"")*(MOVIMIENTOS!$A$5:$A$1005&lt;=$A665)*MOVIMIENTOS!$E$5:$E$1005)-SUMPRODUCT((MOVIMIENTOS!$B$5:$B$1005="ENVÍO A SUPESA")*(MOVIMIENTOS!$C$5:$C$1005="P")*(MOVIMIENTOS!$D$5:$D$1005="jabas")*(MOVIMIENTOS!$A$5:$A$1005&lt;&gt;"")*(MOVIMIENTOS!$A$5:$A$1005&lt;=$A665)*MOVIMIENTOS!$E$5:$E$1005)+SUMPRODUCT((MOVIMIENTOS!$B$5:$B$1005="DEVOLUCIÓN")*(MOVIMIENTOS!$C$5:$C$1005="P")*(MOVIMIENTOS!$D$5:$D$1005="jabas")*(MOVIMIENTOS!$A$5:$A$1005&lt;&gt;"")*(MOVIMIENTOS!$A$5:$A$1005&lt;=$A665)*MOVIMIENTOS!$E$5:$E$1005)-SUMPRODUCT((MOVIMIENTOS!$B$5:$B$1005="TRASIEGO")*(MOVIMIENTOS!$C$5:$C$1005="P")*(MOVIMIENTOS!$D$5:$D$1005="jabas")*(MOVIMIENTOS!$A$5:$A$1005&lt;&gt;"")*(MOVIMIENTOS!$A$5:$A$1005&lt;=$A665)*MOVIMIENTOS!$E$5:$E$1005)-SUMPRODUCT((MOVIMIENTOS!$B$5:$B$1005="REGALO")*(MOVIMIENTOS!$C$5:$C$1005="P")*(MOVIMIENTOS!$D$5:$D$1005="jabas")*(MOVIMIENTOS!$A$5:$A$1005&lt;&gt;"")*(MOVIMIENTOS!$A$5:$A$1005&lt;=$A665)*MOVIMIENTOS!$E$5:$E$1005)-SUMPRODUCT((MOVIMIENTOS!$B$5:$B$1005="VENTA")*(MOVIMIENTOS!$C$5:$C$1005="P")*(MOVIMIENTOS!$D$5:$D$1005="jabas")*(MOVIMIENTOS!$A$5:$A$1005&lt;&gt;"")*(MOVIMIENTOS!$A$5:$A$1005&lt;=$A665)*MOVIMIENTOS!$E$5:$E$1005)+SUMPRODUCT((MOVIMIENTOS!$B$5:$B$1005="AJUSTE")*(MOVIMIENTOS!$C$5:$C$1005="P")*(MOVIMIENTOS!$D$5:$D$1005="jabas")*(MOVIMIENTOS!$A$5:$A$1005&lt;&gt;"")*(MOVIMIENTOS!$A$5:$A$1005&lt;=$A665)*MOVIMIENTOS!$E$5:$E$1005))</f>
        <v/>
      </c>
      <c r="D665" t="str">
        <f>IF($A665="","",SUMPRODUCT((MOVIMIENTOS!$B$5:$B$1005="SALDO INICIAL")*(MOVIMIENTOS!$C$5:$C$1005="C")*(MOVIMIENTOS!$D$5:$D$1005="jabas")*(MOVIMIENTOS!$A$5:$A$1005&lt;&gt;"")*(MOVIMIENTOS!$A$5:$A$1005&lt;=$A665)*MOVIMIENTOS!$E$5:$E$1005)+SUMPRODUCT((MOVIMIENTOS!$B$5:$B$1005="PROCESO")*(MOVIMIENTOS!$C$5:$C$1005="C")*(MOVIMIENTOS!$D$5:$D$1005="jabas")*(MOVIMIENTOS!$A$5:$A$1005&lt;&gt;"")*(MOVIMIENTOS!$A$5:$A$1005&lt;=$A665)*MOVIMIENTOS!$E$5:$E$1005)-SUMPRODUCT((MOVIMIENTOS!$B$5:$B$1005="ENVÍO A SUPESA")*(MOVIMIENTOS!$C$5:$C$1005="C")*(MOVIMIENTOS!$D$5:$D$1005="jabas")*(MOVIMIENTOS!$A$5:$A$1005&lt;&gt;"")*(MOVIMIENTOS!$A$5:$A$1005&lt;=$A665)*MOVIMIENTOS!$E$5:$E$1005)+SUMPRODUCT((MOVIMIENTOS!$B$5:$B$1005="DEVOLUCIÓN")*(MOVIMIENTOS!$C$5:$C$1005="C")*(MOVIMIENTOS!$D$5:$D$1005="jabas")*(MOVIMIENTOS!$A$5:$A$1005&lt;&gt;"")*(MOVIMIENTOS!$A$5:$A$1005&lt;=$A665)*MOVIMIENTOS!$E$5:$E$1005)-SUMPRODUCT((MOVIMIENTOS!$B$5:$B$1005="TRASIEGO")*(MOVIMIENTOS!$C$5:$C$1005="C")*(MOVIMIENTOS!$D$5:$D$1005="jabas")*(MOVIMIENTOS!$A$5:$A$1005&lt;&gt;"")*(MOVIMIENTOS!$A$5:$A$1005&lt;=$A665)*MOVIMIENTOS!$E$5:$E$1005)-SUMPRODUCT((MOVIMIENTOS!$B$5:$B$1005="REGALO")*(MOVIMIENTOS!$C$5:$C$1005="C")*(MOVIMIENTOS!$D$5:$D$1005="jabas")*(MOVIMIENTOS!$A$5:$A$1005&lt;&gt;"")*(MOVIMIENTOS!$A$5:$A$1005&lt;=$A665)*MOVIMIENTOS!$E$5:$E$1005)-SUMPRODUCT((MOVIMIENTOS!$B$5:$B$1005="VENTA")*(MOVIMIENTOS!$C$5:$C$1005="C")*(MOVIMIENTOS!$D$5:$D$1005="jabas")*(MOVIMIENTOS!$A$5:$A$1005&lt;&gt;"")*(MOVIMIENTOS!$A$5:$A$1005&lt;=$A665)*MOVIMIENTOS!$E$5:$E$1005)+SUMPRODUCT((MOVIMIENTOS!$B$5:$B$1005="AJUSTE")*(MOVIMIENTOS!$C$5:$C$1005="C")*(MOVIMIENTOS!$D$5:$D$1005="jabas")*(MOVIMIENTOS!$A$5:$A$1005&lt;&gt;"")*(MOVIMIENTOS!$A$5:$A$1005&lt;=$A665)*MOVIMIENTOS!$E$5:$E$1005))</f>
        <v/>
      </c>
      <c r="E665" t="str">
        <f>IF($A665="","",SUMPRODUCT((MOVIMIENTOS!$B$5:$B$1005="SALDO INICIAL")*(MOVIMIENTOS!$C$5:$C$1005="M")*(MOVIMIENTOS!$D$5:$D$1005="jabas")*(MOVIMIENTOS!$A$5:$A$1005&lt;&gt;"")*(MOVIMIENTOS!$A$5:$A$1005&lt;=$A665)*MOVIMIENTOS!$E$5:$E$1005)+SUMPRODUCT((MOVIMIENTOS!$B$5:$B$1005="PROCESO")*(MOVIMIENTOS!$C$5:$C$1005="M")*(MOVIMIENTOS!$D$5:$D$1005="jabas")*(MOVIMIENTOS!$A$5:$A$1005&lt;&gt;"")*(MOVIMIENTOS!$A$5:$A$1005&lt;=$A665)*MOVIMIENTOS!$E$5:$E$1005)-SUMPRODUCT((MOVIMIENTOS!$B$5:$B$1005="ENVÍO A SUPESA")*(MOVIMIENTOS!$C$5:$C$1005="M")*(MOVIMIENTOS!$D$5:$D$1005="jabas")*(MOVIMIENTOS!$A$5:$A$1005&lt;&gt;"")*(MOVIMIENTOS!$A$5:$A$1005&lt;=$A665)*MOVIMIENTOS!$E$5:$E$1005)+SUMPRODUCT((MOVIMIENTOS!$B$5:$B$1005="DEVOLUCIÓN")*(MOVIMIENTOS!$C$5:$C$1005="M")*(MOVIMIENTOS!$D$5:$D$1005="jabas")*(MOVIMIENTOS!$A$5:$A$1005&lt;&gt;"")*(MOVIMIENTOS!$A$5:$A$1005&lt;=$A665)*MOVIMIENTOS!$E$5:$E$1005)-SUMPRODUCT((MOVIMIENTOS!$B$5:$B$1005="TRASIEGO")*(MOVIMIENTOS!$C$5:$C$1005="M")*(MOVIMIENTOS!$D$5:$D$1005="jabas")*(MOVIMIENTOS!$A$5:$A$1005&lt;&gt;"")*(MOVIMIENTOS!$A$5:$A$1005&lt;=$A665)*MOVIMIENTOS!$E$5:$E$1005)-SUMPRODUCT((MOVIMIENTOS!$B$5:$B$1005="REGALO")*(MOVIMIENTOS!$C$5:$C$1005="M")*(MOVIMIENTOS!$D$5:$D$1005="jabas")*(MOVIMIENTOS!$A$5:$A$1005&lt;&gt;"")*(MOVIMIENTOS!$A$5:$A$1005&lt;=$A665)*MOVIMIENTOS!$E$5:$E$1005)-SUMPRODUCT((MOVIMIENTOS!$B$5:$B$1005="VENTA")*(MOVIMIENTOS!$C$5:$C$1005="M")*(MOVIMIENTOS!$D$5:$D$1005="jabas")*(MOVIMIENTOS!$A$5:$A$1005&lt;&gt;"")*(MOVIMIENTOS!$A$5:$A$1005&lt;=$A665)*MOVIMIENTOS!$E$5:$E$1005)+SUMPRODUCT((MOVIMIENTOS!$B$5:$B$1005="AJUSTE")*(MOVIMIENTOS!$C$5:$C$1005="M")*(MOVIMIENTOS!$D$5:$D$1005="jabas")*(MOVIMIENTOS!$A$5:$A$1005&lt;&gt;"")*(MOVIMIENTOS!$A$5:$A$1005&lt;=$A665)*MOVIMIENTOS!$E$5:$E$1005))</f>
        <v/>
      </c>
      <c r="F665" s="62" t="str">
        <f>IF($A665="","",SUMPRODUCT((MOVIMIENTOS!$B$5:$B$1005="SALDO INICIAL")*(MOVIMIENTOS!$C$5:$C$1005="Chancho")*(MOVIMIENTOS!$D$5:$D$1005="sacos")*(MOVIMIENTOS!$A$5:$A$1005&lt;&gt;"")*(MOVIMIENTOS!$A$5:$A$1005&lt;=$A665)*MOVIMIENTOS!$E$5:$E$1005)+SUMPRODUCT((MOVIMIENTOS!$B$5:$B$1005="PROCESO")*(MOVIMIENTOS!$C$5:$C$1005="Chancho")*(MOVIMIENTOS!$D$5:$D$1005="sacos")*(MOVIMIENTOS!$A$5:$A$1005&lt;&gt;"")*(MOVIMIENTOS!$A$5:$A$1005&lt;=$A665)*MOVIMIENTOS!$E$5:$E$1005)-SUMPRODUCT((MOVIMIENTOS!$B$5:$B$1005="VENTA CHANCHO")*(MOVIMIENTOS!$C$5:$C$1005="Chancho")*(MOVIMIENTOS!$D$5:$D$1005="sacos")*(MOVIMIENTOS!$A$5:$A$1005&lt;&gt;"")*(MOVIMIENTOS!$A$5:$A$1005&lt;=$A665)*MOVIMIENTOS!$E$5:$E$1005)-SUMPRODUCT((MOVIMIENTOS!$B$5:$B$1005="REGALO")*(MOVIMIENTOS!$C$5:$C$1005="Chancho")*(MOVIMIENTOS!$D$5:$D$1005="sacos")*(MOVIMIENTOS!$A$5:$A$1005&lt;&gt;"")*(MOVIMIENTOS!$A$5:$A$1005&lt;=$A665)*MOVIMIENTOS!$E$5:$E$1005)-SUMPRODUCT((MOVIMIENTOS!$B$5:$B$1005="VENTA")*(MOVIMIENTOS!$C$5:$C$1005="Chancho")*(MOVIMIENTOS!$D$5:$D$1005="sacos")*(MOVIMIENTOS!$A$5:$A$1005&lt;&gt;"")*(MOVIMIENTOS!$A$5:$A$1005&lt;=$A665)*MOVIMIENTOS!$E$5:$E$1005)+SUMPRODUCT((MOVIMIENTOS!$B$5:$B$1005="AJUSTE")*(MOVIMIENTOS!$C$5:$C$1005="Chancho")*(MOVIMIENTOS!$D$5:$D$1005="sacos")*(MOVIMIENTOS!$A$5:$A$1005&lt;&gt;"")*(MOVIMIENTOS!$A$5:$A$1005&lt;=$A665)*MOVIMIENTOS!$E$5:$E$1005))</f>
        <v/>
      </c>
      <c r="G665" s="62" t="str">
        <f t="shared" si="21"/>
        <v/>
      </c>
      <c r="H665" t="str">
        <f>IF($A665="","",SUMPRODUCT((((MOVIMIENTOS!$B$5:$B$1005="SALDO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665)*MOVIMIENTOS!$J$5:$J$1005))</f>
        <v/>
      </c>
      <c r="J665" t="str">
        <f>IF(AND(MOVIMIENTOS!$A670&lt;&gt;"",COUNTIF(MOVIMIENTOS!$A$5:$A669,MOVIMIENTOS!$A670)=0),COUNT(J$4:J664)+1,"")</f>
        <v/>
      </c>
      <c r="K665">
        <f>MOVIMIENTOS!$A670</f>
        <v>0</v>
      </c>
    </row>
    <row r="666" spans="1:11" ht="15" customHeight="1" x14ac:dyDescent="0.2">
      <c r="A666" t="str">
        <f t="shared" si="20"/>
        <v/>
      </c>
      <c r="B666" t="str">
        <f>IF($A666="","",SUMPRODUCT((MOVIMIENTOS!$B$5:$B$1005="SALDO INICIAL")*(MOVIMIENTOS!$C$5:$C$1005="A")*(MOVIMIENTOS!$D$5:$D$1005="jabas")*(MOVIMIENTOS!$A$5:$A$1005&lt;&gt;"")*(MOVIMIENTOS!$A$5:$A$1005&lt;=$A666)*MOVIMIENTOS!$E$5:$E$1005)+SUMPRODUCT((MOVIMIENTOS!$B$5:$B$1005="PROCESO")*(MOVIMIENTOS!$C$5:$C$1005="A")*(MOVIMIENTOS!$D$5:$D$1005="jabas")*(MOVIMIENTOS!$A$5:$A$1005&lt;&gt;"")*(MOVIMIENTOS!$A$5:$A$1005&lt;=$A666)*MOVIMIENTOS!$E$5:$E$1005)-SUMPRODUCT((MOVIMIENTOS!$B$5:$B$1005="ENVÍO A SUPESA")*(MOVIMIENTOS!$C$5:$C$1005="A")*(MOVIMIENTOS!$D$5:$D$1005="jabas")*(MOVIMIENTOS!$A$5:$A$1005&lt;&gt;"")*(MOVIMIENTOS!$A$5:$A$1005&lt;=$A666)*MOVIMIENTOS!$E$5:$E$1005)+SUMPRODUCT((MOVIMIENTOS!$B$5:$B$1005="DEVOLUCIÓN")*(MOVIMIENTOS!$C$5:$C$1005="A")*(MOVIMIENTOS!$D$5:$D$1005="jabas")*(MOVIMIENTOS!$A$5:$A$1005&lt;&gt;"")*(MOVIMIENTOS!$A$5:$A$1005&lt;=$A666)*MOVIMIENTOS!$E$5:$E$1005)-SUMPRODUCT((MOVIMIENTOS!$B$5:$B$1005="TRASIEGO")*(MOVIMIENTOS!$C$5:$C$1005="A")*(MOVIMIENTOS!$D$5:$D$1005="jabas")*(MOVIMIENTOS!$A$5:$A$1005&lt;&gt;"")*(MOVIMIENTOS!$A$5:$A$1005&lt;=$A666)*MOVIMIENTOS!$E$5:$E$1005)-SUMPRODUCT((MOVIMIENTOS!$B$5:$B$1005="REGALO")*(MOVIMIENTOS!$C$5:$C$1005="A")*(MOVIMIENTOS!$D$5:$D$1005="jabas")*(MOVIMIENTOS!$A$5:$A$1005&lt;&gt;"")*(MOVIMIENTOS!$A$5:$A$1005&lt;=$A666)*MOVIMIENTOS!$E$5:$E$1005)-SUMPRODUCT((MOVIMIENTOS!$B$5:$B$1005="VENTA")*(MOVIMIENTOS!$C$5:$C$1005="A")*(MOVIMIENTOS!$D$5:$D$1005="jabas")*(MOVIMIENTOS!$A$5:$A$1005&lt;&gt;"")*(MOVIMIENTOS!$A$5:$A$1005&lt;=$A666)*MOVIMIENTOS!$E$5:$E$1005)+SUMPRODUCT((MOVIMIENTOS!$B$5:$B$1005="AJUSTE")*(MOVIMIENTOS!$C$5:$C$1005="A")*(MOVIMIENTOS!$D$5:$D$1005="jabas")*(MOVIMIENTOS!$A$5:$A$1005&lt;&gt;"")*(MOVIMIENTOS!$A$5:$A$1005&lt;=$A666)*MOVIMIENTOS!$E$5:$E$1005))</f>
        <v/>
      </c>
      <c r="C666" t="str">
        <f>IF($A666="","",SUMPRODUCT((MOVIMIENTOS!$B$5:$B$1005="SALDO INICIAL")*(MOVIMIENTOS!$C$5:$C$1005="P")*(MOVIMIENTOS!$D$5:$D$1005="jabas")*(MOVIMIENTOS!$A$5:$A$1005&lt;&gt;"")*(MOVIMIENTOS!$A$5:$A$1005&lt;=$A666)*MOVIMIENTOS!$E$5:$E$1005)+SUMPRODUCT((MOVIMIENTOS!$B$5:$B$1005="PROCESO")*(MOVIMIENTOS!$C$5:$C$1005="P")*(MOVIMIENTOS!$D$5:$D$1005="jabas")*(MOVIMIENTOS!$A$5:$A$1005&lt;&gt;"")*(MOVIMIENTOS!$A$5:$A$1005&lt;=$A666)*MOVIMIENTOS!$E$5:$E$1005)-SUMPRODUCT((MOVIMIENTOS!$B$5:$B$1005="ENVÍO A SUPESA")*(MOVIMIENTOS!$C$5:$C$1005="P")*(MOVIMIENTOS!$D$5:$D$1005="jabas")*(MOVIMIENTOS!$A$5:$A$1005&lt;&gt;"")*(MOVIMIENTOS!$A$5:$A$1005&lt;=$A666)*MOVIMIENTOS!$E$5:$E$1005)+SUMPRODUCT((MOVIMIENTOS!$B$5:$B$1005="DEVOLUCIÓN")*(MOVIMIENTOS!$C$5:$C$1005="P")*(MOVIMIENTOS!$D$5:$D$1005="jabas")*(MOVIMIENTOS!$A$5:$A$1005&lt;&gt;"")*(MOVIMIENTOS!$A$5:$A$1005&lt;=$A666)*MOVIMIENTOS!$E$5:$E$1005)-SUMPRODUCT((MOVIMIENTOS!$B$5:$B$1005="TRASIEGO")*(MOVIMIENTOS!$C$5:$C$1005="P")*(MOVIMIENTOS!$D$5:$D$1005="jabas")*(MOVIMIENTOS!$A$5:$A$1005&lt;&gt;"")*(MOVIMIENTOS!$A$5:$A$1005&lt;=$A666)*MOVIMIENTOS!$E$5:$E$1005)-SUMPRODUCT((MOVIMIENTOS!$B$5:$B$1005="REGALO")*(MOVIMIENTOS!$C$5:$C$1005="P")*(MOVIMIENTOS!$D$5:$D$1005="jabas")*(MOVIMIENTOS!$A$5:$A$1005&lt;&gt;"")*(MOVIMIENTOS!$A$5:$A$1005&lt;=$A666)*MOVIMIENTOS!$E$5:$E$1005)-SUMPRODUCT((MOVIMIENTOS!$B$5:$B$1005="VENTA")*(MOVIMIENTOS!$C$5:$C$1005="P")*(MOVIMIENTOS!$D$5:$D$1005="jabas")*(MOVIMIENTOS!$A$5:$A$1005&lt;&gt;"")*(MOVIMIENTOS!$A$5:$A$1005&lt;=$A666)*MOVIMIENTOS!$E$5:$E$1005)+SUMPRODUCT((MOVIMIENTOS!$B$5:$B$1005="AJUSTE")*(MOVIMIENTOS!$C$5:$C$1005="P")*(MOVIMIENTOS!$D$5:$D$1005="jabas")*(MOVIMIENTOS!$A$5:$A$1005&lt;&gt;"")*(MOVIMIENTOS!$A$5:$A$1005&lt;=$A666)*MOVIMIENTOS!$E$5:$E$1005))</f>
        <v/>
      </c>
      <c r="D666" t="str">
        <f>IF($A666="","",SUMPRODUCT((MOVIMIENTOS!$B$5:$B$1005="SALDO INICIAL")*(MOVIMIENTOS!$C$5:$C$1005="C")*(MOVIMIENTOS!$D$5:$D$1005="jabas")*(MOVIMIENTOS!$A$5:$A$1005&lt;&gt;"")*(MOVIMIENTOS!$A$5:$A$1005&lt;=$A666)*MOVIMIENTOS!$E$5:$E$1005)+SUMPRODUCT((MOVIMIENTOS!$B$5:$B$1005="PROCESO")*(MOVIMIENTOS!$C$5:$C$1005="C")*(MOVIMIENTOS!$D$5:$D$1005="jabas")*(MOVIMIENTOS!$A$5:$A$1005&lt;&gt;"")*(MOVIMIENTOS!$A$5:$A$1005&lt;=$A666)*MOVIMIENTOS!$E$5:$E$1005)-SUMPRODUCT((MOVIMIENTOS!$B$5:$B$1005="ENVÍO A SUPESA")*(MOVIMIENTOS!$C$5:$C$1005="C")*(MOVIMIENTOS!$D$5:$D$1005="jabas")*(MOVIMIENTOS!$A$5:$A$1005&lt;&gt;"")*(MOVIMIENTOS!$A$5:$A$1005&lt;=$A666)*MOVIMIENTOS!$E$5:$E$1005)+SUMPRODUCT((MOVIMIENTOS!$B$5:$B$1005="DEVOLUCIÓN")*(MOVIMIENTOS!$C$5:$C$1005="C")*(MOVIMIENTOS!$D$5:$D$1005="jabas")*(MOVIMIENTOS!$A$5:$A$1005&lt;&gt;"")*(MOVIMIENTOS!$A$5:$A$1005&lt;=$A666)*MOVIMIENTOS!$E$5:$E$1005)-SUMPRODUCT((MOVIMIENTOS!$B$5:$B$1005="TRASIEGO")*(MOVIMIENTOS!$C$5:$C$1005="C")*(MOVIMIENTOS!$D$5:$D$1005="jabas")*(MOVIMIENTOS!$A$5:$A$1005&lt;&gt;"")*(MOVIMIENTOS!$A$5:$A$1005&lt;=$A666)*MOVIMIENTOS!$E$5:$E$1005)-SUMPRODUCT((MOVIMIENTOS!$B$5:$B$1005="REGALO")*(MOVIMIENTOS!$C$5:$C$1005="C")*(MOVIMIENTOS!$D$5:$D$1005="jabas")*(MOVIMIENTOS!$A$5:$A$1005&lt;&gt;"")*(MOVIMIENTOS!$A$5:$A$1005&lt;=$A666)*MOVIMIENTOS!$E$5:$E$1005)-SUMPRODUCT((MOVIMIENTOS!$B$5:$B$1005="VENTA")*(MOVIMIENTOS!$C$5:$C$1005="C")*(MOVIMIENTOS!$D$5:$D$1005="jabas")*(MOVIMIENTOS!$A$5:$A$1005&lt;&gt;"")*(MOVIMIENTOS!$A$5:$A$1005&lt;=$A666)*MOVIMIENTOS!$E$5:$E$1005)+SUMPRODUCT((MOVIMIENTOS!$B$5:$B$1005="AJUSTE")*(MOVIMIENTOS!$C$5:$C$1005="C")*(MOVIMIENTOS!$D$5:$D$1005="jabas")*(MOVIMIENTOS!$A$5:$A$1005&lt;&gt;"")*(MOVIMIENTOS!$A$5:$A$1005&lt;=$A666)*MOVIMIENTOS!$E$5:$E$1005))</f>
        <v/>
      </c>
      <c r="E666" t="str">
        <f>IF($A666="","",SUMPRODUCT((MOVIMIENTOS!$B$5:$B$1005="SALDO INICIAL")*(MOVIMIENTOS!$C$5:$C$1005="M")*(MOVIMIENTOS!$D$5:$D$1005="jabas")*(MOVIMIENTOS!$A$5:$A$1005&lt;&gt;"")*(MOVIMIENTOS!$A$5:$A$1005&lt;=$A666)*MOVIMIENTOS!$E$5:$E$1005)+SUMPRODUCT((MOVIMIENTOS!$B$5:$B$1005="PROCESO")*(MOVIMIENTOS!$C$5:$C$1005="M")*(MOVIMIENTOS!$D$5:$D$1005="jabas")*(MOVIMIENTOS!$A$5:$A$1005&lt;&gt;"")*(MOVIMIENTOS!$A$5:$A$1005&lt;=$A666)*MOVIMIENTOS!$E$5:$E$1005)-SUMPRODUCT((MOVIMIENTOS!$B$5:$B$1005="ENVÍO A SUPESA")*(MOVIMIENTOS!$C$5:$C$1005="M")*(MOVIMIENTOS!$D$5:$D$1005="jabas")*(MOVIMIENTOS!$A$5:$A$1005&lt;&gt;"")*(MOVIMIENTOS!$A$5:$A$1005&lt;=$A666)*MOVIMIENTOS!$E$5:$E$1005)+SUMPRODUCT((MOVIMIENTOS!$B$5:$B$1005="DEVOLUCIÓN")*(MOVIMIENTOS!$C$5:$C$1005="M")*(MOVIMIENTOS!$D$5:$D$1005="jabas")*(MOVIMIENTOS!$A$5:$A$1005&lt;&gt;"")*(MOVIMIENTOS!$A$5:$A$1005&lt;=$A666)*MOVIMIENTOS!$E$5:$E$1005)-SUMPRODUCT((MOVIMIENTOS!$B$5:$B$1005="TRASIEGO")*(MOVIMIENTOS!$C$5:$C$1005="M")*(MOVIMIENTOS!$D$5:$D$1005="jabas")*(MOVIMIENTOS!$A$5:$A$1005&lt;&gt;"")*(MOVIMIENTOS!$A$5:$A$1005&lt;=$A666)*MOVIMIENTOS!$E$5:$E$1005)-SUMPRODUCT((MOVIMIENTOS!$B$5:$B$1005="REGALO")*(MOVIMIENTOS!$C$5:$C$1005="M")*(MOVIMIENTOS!$D$5:$D$1005="jabas")*(MOVIMIENTOS!$A$5:$A$1005&lt;&gt;"")*(MOVIMIENTOS!$A$5:$A$1005&lt;=$A666)*MOVIMIENTOS!$E$5:$E$1005)-SUMPRODUCT((MOVIMIENTOS!$B$5:$B$1005="VENTA")*(MOVIMIENTOS!$C$5:$C$1005="M")*(MOVIMIENTOS!$D$5:$D$1005="jabas")*(MOVIMIENTOS!$A$5:$A$1005&lt;&gt;"")*(MOVIMIENTOS!$A$5:$A$1005&lt;=$A666)*MOVIMIENTOS!$E$5:$E$1005)+SUMPRODUCT((MOVIMIENTOS!$B$5:$B$1005="AJUSTE")*(MOVIMIENTOS!$C$5:$C$1005="M")*(MOVIMIENTOS!$D$5:$D$1005="jabas")*(MOVIMIENTOS!$A$5:$A$1005&lt;&gt;"")*(MOVIMIENTOS!$A$5:$A$1005&lt;=$A666)*MOVIMIENTOS!$E$5:$E$1005))</f>
        <v/>
      </c>
      <c r="F666" s="62" t="str">
        <f>IF($A666="","",SUMPRODUCT((MOVIMIENTOS!$B$5:$B$1005="SALDO INICIAL")*(MOVIMIENTOS!$C$5:$C$1005="Chancho")*(MOVIMIENTOS!$D$5:$D$1005="sacos")*(MOVIMIENTOS!$A$5:$A$1005&lt;&gt;"")*(MOVIMIENTOS!$A$5:$A$1005&lt;=$A666)*MOVIMIENTOS!$E$5:$E$1005)+SUMPRODUCT((MOVIMIENTOS!$B$5:$B$1005="PROCESO")*(MOVIMIENTOS!$C$5:$C$1005="Chancho")*(MOVIMIENTOS!$D$5:$D$1005="sacos")*(MOVIMIENTOS!$A$5:$A$1005&lt;&gt;"")*(MOVIMIENTOS!$A$5:$A$1005&lt;=$A666)*MOVIMIENTOS!$E$5:$E$1005)-SUMPRODUCT((MOVIMIENTOS!$B$5:$B$1005="VENTA CHANCHO")*(MOVIMIENTOS!$C$5:$C$1005="Chancho")*(MOVIMIENTOS!$D$5:$D$1005="sacos")*(MOVIMIENTOS!$A$5:$A$1005&lt;&gt;"")*(MOVIMIENTOS!$A$5:$A$1005&lt;=$A666)*MOVIMIENTOS!$E$5:$E$1005)-SUMPRODUCT((MOVIMIENTOS!$B$5:$B$1005="REGALO")*(MOVIMIENTOS!$C$5:$C$1005="Chancho")*(MOVIMIENTOS!$D$5:$D$1005="sacos")*(MOVIMIENTOS!$A$5:$A$1005&lt;&gt;"")*(MOVIMIENTOS!$A$5:$A$1005&lt;=$A666)*MOVIMIENTOS!$E$5:$E$1005)-SUMPRODUCT((MOVIMIENTOS!$B$5:$B$1005="VENTA")*(MOVIMIENTOS!$C$5:$C$1005="Chancho")*(MOVIMIENTOS!$D$5:$D$1005="sacos")*(MOVIMIENTOS!$A$5:$A$1005&lt;&gt;"")*(MOVIMIENTOS!$A$5:$A$1005&lt;=$A666)*MOVIMIENTOS!$E$5:$E$1005)+SUMPRODUCT((MOVIMIENTOS!$B$5:$B$1005="AJUSTE")*(MOVIMIENTOS!$C$5:$C$1005="Chancho")*(MOVIMIENTOS!$D$5:$D$1005="sacos")*(MOVIMIENTOS!$A$5:$A$1005&lt;&gt;"")*(MOVIMIENTOS!$A$5:$A$1005&lt;=$A666)*MOVIMIENTOS!$E$5:$E$1005))</f>
        <v/>
      </c>
      <c r="G666" s="62" t="str">
        <f t="shared" si="21"/>
        <v/>
      </c>
      <c r="H666" t="str">
        <f>IF($A666="","",SUMPRODUCT((((MOVIMIENTOS!$B$5:$B$1005="SALDO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666)*MOVIMIENTOS!$J$5:$J$1005))</f>
        <v/>
      </c>
      <c r="J666" t="str">
        <f>IF(AND(MOVIMIENTOS!$A671&lt;&gt;"",COUNTIF(MOVIMIENTOS!$A$5:$A670,MOVIMIENTOS!$A671)=0),COUNT(J$4:J665)+1,"")</f>
        <v/>
      </c>
      <c r="K666">
        <f>MOVIMIENTOS!$A671</f>
        <v>0</v>
      </c>
    </row>
    <row r="667" spans="1:11" ht="15" customHeight="1" x14ac:dyDescent="0.2">
      <c r="A667" t="str">
        <f t="shared" si="20"/>
        <v/>
      </c>
      <c r="B667" t="str">
        <f>IF($A667="","",SUMPRODUCT((MOVIMIENTOS!$B$5:$B$1005="SALDO INICIAL")*(MOVIMIENTOS!$C$5:$C$1005="A")*(MOVIMIENTOS!$D$5:$D$1005="jabas")*(MOVIMIENTOS!$A$5:$A$1005&lt;&gt;"")*(MOVIMIENTOS!$A$5:$A$1005&lt;=$A667)*MOVIMIENTOS!$E$5:$E$1005)+SUMPRODUCT((MOVIMIENTOS!$B$5:$B$1005="PROCESO")*(MOVIMIENTOS!$C$5:$C$1005="A")*(MOVIMIENTOS!$D$5:$D$1005="jabas")*(MOVIMIENTOS!$A$5:$A$1005&lt;&gt;"")*(MOVIMIENTOS!$A$5:$A$1005&lt;=$A667)*MOVIMIENTOS!$E$5:$E$1005)-SUMPRODUCT((MOVIMIENTOS!$B$5:$B$1005="ENVÍO A SUPESA")*(MOVIMIENTOS!$C$5:$C$1005="A")*(MOVIMIENTOS!$D$5:$D$1005="jabas")*(MOVIMIENTOS!$A$5:$A$1005&lt;&gt;"")*(MOVIMIENTOS!$A$5:$A$1005&lt;=$A667)*MOVIMIENTOS!$E$5:$E$1005)+SUMPRODUCT((MOVIMIENTOS!$B$5:$B$1005="DEVOLUCIÓN")*(MOVIMIENTOS!$C$5:$C$1005="A")*(MOVIMIENTOS!$D$5:$D$1005="jabas")*(MOVIMIENTOS!$A$5:$A$1005&lt;&gt;"")*(MOVIMIENTOS!$A$5:$A$1005&lt;=$A667)*MOVIMIENTOS!$E$5:$E$1005)-SUMPRODUCT((MOVIMIENTOS!$B$5:$B$1005="TRASIEGO")*(MOVIMIENTOS!$C$5:$C$1005="A")*(MOVIMIENTOS!$D$5:$D$1005="jabas")*(MOVIMIENTOS!$A$5:$A$1005&lt;&gt;"")*(MOVIMIENTOS!$A$5:$A$1005&lt;=$A667)*MOVIMIENTOS!$E$5:$E$1005)-SUMPRODUCT((MOVIMIENTOS!$B$5:$B$1005="REGALO")*(MOVIMIENTOS!$C$5:$C$1005="A")*(MOVIMIENTOS!$D$5:$D$1005="jabas")*(MOVIMIENTOS!$A$5:$A$1005&lt;&gt;"")*(MOVIMIENTOS!$A$5:$A$1005&lt;=$A667)*MOVIMIENTOS!$E$5:$E$1005)-SUMPRODUCT((MOVIMIENTOS!$B$5:$B$1005="VENTA")*(MOVIMIENTOS!$C$5:$C$1005="A")*(MOVIMIENTOS!$D$5:$D$1005="jabas")*(MOVIMIENTOS!$A$5:$A$1005&lt;&gt;"")*(MOVIMIENTOS!$A$5:$A$1005&lt;=$A667)*MOVIMIENTOS!$E$5:$E$1005)+SUMPRODUCT((MOVIMIENTOS!$B$5:$B$1005="AJUSTE")*(MOVIMIENTOS!$C$5:$C$1005="A")*(MOVIMIENTOS!$D$5:$D$1005="jabas")*(MOVIMIENTOS!$A$5:$A$1005&lt;&gt;"")*(MOVIMIENTOS!$A$5:$A$1005&lt;=$A667)*MOVIMIENTOS!$E$5:$E$1005))</f>
        <v/>
      </c>
      <c r="C667" t="str">
        <f>IF($A667="","",SUMPRODUCT((MOVIMIENTOS!$B$5:$B$1005="SALDO INICIAL")*(MOVIMIENTOS!$C$5:$C$1005="P")*(MOVIMIENTOS!$D$5:$D$1005="jabas")*(MOVIMIENTOS!$A$5:$A$1005&lt;&gt;"")*(MOVIMIENTOS!$A$5:$A$1005&lt;=$A667)*MOVIMIENTOS!$E$5:$E$1005)+SUMPRODUCT((MOVIMIENTOS!$B$5:$B$1005="PROCESO")*(MOVIMIENTOS!$C$5:$C$1005="P")*(MOVIMIENTOS!$D$5:$D$1005="jabas")*(MOVIMIENTOS!$A$5:$A$1005&lt;&gt;"")*(MOVIMIENTOS!$A$5:$A$1005&lt;=$A667)*MOVIMIENTOS!$E$5:$E$1005)-SUMPRODUCT((MOVIMIENTOS!$B$5:$B$1005="ENVÍO A SUPESA")*(MOVIMIENTOS!$C$5:$C$1005="P")*(MOVIMIENTOS!$D$5:$D$1005="jabas")*(MOVIMIENTOS!$A$5:$A$1005&lt;&gt;"")*(MOVIMIENTOS!$A$5:$A$1005&lt;=$A667)*MOVIMIENTOS!$E$5:$E$1005)+SUMPRODUCT((MOVIMIENTOS!$B$5:$B$1005="DEVOLUCIÓN")*(MOVIMIENTOS!$C$5:$C$1005="P")*(MOVIMIENTOS!$D$5:$D$1005="jabas")*(MOVIMIENTOS!$A$5:$A$1005&lt;&gt;"")*(MOVIMIENTOS!$A$5:$A$1005&lt;=$A667)*MOVIMIENTOS!$E$5:$E$1005)-SUMPRODUCT((MOVIMIENTOS!$B$5:$B$1005="TRASIEGO")*(MOVIMIENTOS!$C$5:$C$1005="P")*(MOVIMIENTOS!$D$5:$D$1005="jabas")*(MOVIMIENTOS!$A$5:$A$1005&lt;&gt;"")*(MOVIMIENTOS!$A$5:$A$1005&lt;=$A667)*MOVIMIENTOS!$E$5:$E$1005)-SUMPRODUCT((MOVIMIENTOS!$B$5:$B$1005="REGALO")*(MOVIMIENTOS!$C$5:$C$1005="P")*(MOVIMIENTOS!$D$5:$D$1005="jabas")*(MOVIMIENTOS!$A$5:$A$1005&lt;&gt;"")*(MOVIMIENTOS!$A$5:$A$1005&lt;=$A667)*MOVIMIENTOS!$E$5:$E$1005)-SUMPRODUCT((MOVIMIENTOS!$B$5:$B$1005="VENTA")*(MOVIMIENTOS!$C$5:$C$1005="P")*(MOVIMIENTOS!$D$5:$D$1005="jabas")*(MOVIMIENTOS!$A$5:$A$1005&lt;&gt;"")*(MOVIMIENTOS!$A$5:$A$1005&lt;=$A667)*MOVIMIENTOS!$E$5:$E$1005)+SUMPRODUCT((MOVIMIENTOS!$B$5:$B$1005="AJUSTE")*(MOVIMIENTOS!$C$5:$C$1005="P")*(MOVIMIENTOS!$D$5:$D$1005="jabas")*(MOVIMIENTOS!$A$5:$A$1005&lt;&gt;"")*(MOVIMIENTOS!$A$5:$A$1005&lt;=$A667)*MOVIMIENTOS!$E$5:$E$1005))</f>
        <v/>
      </c>
      <c r="D667" t="str">
        <f>IF($A667="","",SUMPRODUCT((MOVIMIENTOS!$B$5:$B$1005="SALDO INICIAL")*(MOVIMIENTOS!$C$5:$C$1005="C")*(MOVIMIENTOS!$D$5:$D$1005="jabas")*(MOVIMIENTOS!$A$5:$A$1005&lt;&gt;"")*(MOVIMIENTOS!$A$5:$A$1005&lt;=$A667)*MOVIMIENTOS!$E$5:$E$1005)+SUMPRODUCT((MOVIMIENTOS!$B$5:$B$1005="PROCESO")*(MOVIMIENTOS!$C$5:$C$1005="C")*(MOVIMIENTOS!$D$5:$D$1005="jabas")*(MOVIMIENTOS!$A$5:$A$1005&lt;&gt;"")*(MOVIMIENTOS!$A$5:$A$1005&lt;=$A667)*MOVIMIENTOS!$E$5:$E$1005)-SUMPRODUCT((MOVIMIENTOS!$B$5:$B$1005="ENVÍO A SUPESA")*(MOVIMIENTOS!$C$5:$C$1005="C")*(MOVIMIENTOS!$D$5:$D$1005="jabas")*(MOVIMIENTOS!$A$5:$A$1005&lt;&gt;"")*(MOVIMIENTOS!$A$5:$A$1005&lt;=$A667)*MOVIMIENTOS!$E$5:$E$1005)+SUMPRODUCT((MOVIMIENTOS!$B$5:$B$1005="DEVOLUCIÓN")*(MOVIMIENTOS!$C$5:$C$1005="C")*(MOVIMIENTOS!$D$5:$D$1005="jabas")*(MOVIMIENTOS!$A$5:$A$1005&lt;&gt;"")*(MOVIMIENTOS!$A$5:$A$1005&lt;=$A667)*MOVIMIENTOS!$E$5:$E$1005)-SUMPRODUCT((MOVIMIENTOS!$B$5:$B$1005="TRASIEGO")*(MOVIMIENTOS!$C$5:$C$1005="C")*(MOVIMIENTOS!$D$5:$D$1005="jabas")*(MOVIMIENTOS!$A$5:$A$1005&lt;&gt;"")*(MOVIMIENTOS!$A$5:$A$1005&lt;=$A667)*MOVIMIENTOS!$E$5:$E$1005)-SUMPRODUCT((MOVIMIENTOS!$B$5:$B$1005="REGALO")*(MOVIMIENTOS!$C$5:$C$1005="C")*(MOVIMIENTOS!$D$5:$D$1005="jabas")*(MOVIMIENTOS!$A$5:$A$1005&lt;&gt;"")*(MOVIMIENTOS!$A$5:$A$1005&lt;=$A667)*MOVIMIENTOS!$E$5:$E$1005)-SUMPRODUCT((MOVIMIENTOS!$B$5:$B$1005="VENTA")*(MOVIMIENTOS!$C$5:$C$1005="C")*(MOVIMIENTOS!$D$5:$D$1005="jabas")*(MOVIMIENTOS!$A$5:$A$1005&lt;&gt;"")*(MOVIMIENTOS!$A$5:$A$1005&lt;=$A667)*MOVIMIENTOS!$E$5:$E$1005)+SUMPRODUCT((MOVIMIENTOS!$B$5:$B$1005="AJUSTE")*(MOVIMIENTOS!$C$5:$C$1005="C")*(MOVIMIENTOS!$D$5:$D$1005="jabas")*(MOVIMIENTOS!$A$5:$A$1005&lt;&gt;"")*(MOVIMIENTOS!$A$5:$A$1005&lt;=$A667)*MOVIMIENTOS!$E$5:$E$1005))</f>
        <v/>
      </c>
      <c r="E667" t="str">
        <f>IF($A667="","",SUMPRODUCT((MOVIMIENTOS!$B$5:$B$1005="SALDO INICIAL")*(MOVIMIENTOS!$C$5:$C$1005="M")*(MOVIMIENTOS!$D$5:$D$1005="jabas")*(MOVIMIENTOS!$A$5:$A$1005&lt;&gt;"")*(MOVIMIENTOS!$A$5:$A$1005&lt;=$A667)*MOVIMIENTOS!$E$5:$E$1005)+SUMPRODUCT((MOVIMIENTOS!$B$5:$B$1005="PROCESO")*(MOVIMIENTOS!$C$5:$C$1005="M")*(MOVIMIENTOS!$D$5:$D$1005="jabas")*(MOVIMIENTOS!$A$5:$A$1005&lt;&gt;"")*(MOVIMIENTOS!$A$5:$A$1005&lt;=$A667)*MOVIMIENTOS!$E$5:$E$1005)-SUMPRODUCT((MOVIMIENTOS!$B$5:$B$1005="ENVÍO A SUPESA")*(MOVIMIENTOS!$C$5:$C$1005="M")*(MOVIMIENTOS!$D$5:$D$1005="jabas")*(MOVIMIENTOS!$A$5:$A$1005&lt;&gt;"")*(MOVIMIENTOS!$A$5:$A$1005&lt;=$A667)*MOVIMIENTOS!$E$5:$E$1005)+SUMPRODUCT((MOVIMIENTOS!$B$5:$B$1005="DEVOLUCIÓN")*(MOVIMIENTOS!$C$5:$C$1005="M")*(MOVIMIENTOS!$D$5:$D$1005="jabas")*(MOVIMIENTOS!$A$5:$A$1005&lt;&gt;"")*(MOVIMIENTOS!$A$5:$A$1005&lt;=$A667)*MOVIMIENTOS!$E$5:$E$1005)-SUMPRODUCT((MOVIMIENTOS!$B$5:$B$1005="TRASIEGO")*(MOVIMIENTOS!$C$5:$C$1005="M")*(MOVIMIENTOS!$D$5:$D$1005="jabas")*(MOVIMIENTOS!$A$5:$A$1005&lt;&gt;"")*(MOVIMIENTOS!$A$5:$A$1005&lt;=$A667)*MOVIMIENTOS!$E$5:$E$1005)-SUMPRODUCT((MOVIMIENTOS!$B$5:$B$1005="REGALO")*(MOVIMIENTOS!$C$5:$C$1005="M")*(MOVIMIENTOS!$D$5:$D$1005="jabas")*(MOVIMIENTOS!$A$5:$A$1005&lt;&gt;"")*(MOVIMIENTOS!$A$5:$A$1005&lt;=$A667)*MOVIMIENTOS!$E$5:$E$1005)-SUMPRODUCT((MOVIMIENTOS!$B$5:$B$1005="VENTA")*(MOVIMIENTOS!$C$5:$C$1005="M")*(MOVIMIENTOS!$D$5:$D$1005="jabas")*(MOVIMIENTOS!$A$5:$A$1005&lt;&gt;"")*(MOVIMIENTOS!$A$5:$A$1005&lt;=$A667)*MOVIMIENTOS!$E$5:$E$1005)+SUMPRODUCT((MOVIMIENTOS!$B$5:$B$1005="AJUSTE")*(MOVIMIENTOS!$C$5:$C$1005="M")*(MOVIMIENTOS!$D$5:$D$1005="jabas")*(MOVIMIENTOS!$A$5:$A$1005&lt;&gt;"")*(MOVIMIENTOS!$A$5:$A$1005&lt;=$A667)*MOVIMIENTOS!$E$5:$E$1005))</f>
        <v/>
      </c>
      <c r="F667" s="62" t="str">
        <f>IF($A667="","",SUMPRODUCT((MOVIMIENTOS!$B$5:$B$1005="SALDO INICIAL")*(MOVIMIENTOS!$C$5:$C$1005="Chancho")*(MOVIMIENTOS!$D$5:$D$1005="sacos")*(MOVIMIENTOS!$A$5:$A$1005&lt;&gt;"")*(MOVIMIENTOS!$A$5:$A$1005&lt;=$A667)*MOVIMIENTOS!$E$5:$E$1005)+SUMPRODUCT((MOVIMIENTOS!$B$5:$B$1005="PROCESO")*(MOVIMIENTOS!$C$5:$C$1005="Chancho")*(MOVIMIENTOS!$D$5:$D$1005="sacos")*(MOVIMIENTOS!$A$5:$A$1005&lt;&gt;"")*(MOVIMIENTOS!$A$5:$A$1005&lt;=$A667)*MOVIMIENTOS!$E$5:$E$1005)-SUMPRODUCT((MOVIMIENTOS!$B$5:$B$1005="VENTA CHANCHO")*(MOVIMIENTOS!$C$5:$C$1005="Chancho")*(MOVIMIENTOS!$D$5:$D$1005="sacos")*(MOVIMIENTOS!$A$5:$A$1005&lt;&gt;"")*(MOVIMIENTOS!$A$5:$A$1005&lt;=$A667)*MOVIMIENTOS!$E$5:$E$1005)-SUMPRODUCT((MOVIMIENTOS!$B$5:$B$1005="REGALO")*(MOVIMIENTOS!$C$5:$C$1005="Chancho")*(MOVIMIENTOS!$D$5:$D$1005="sacos")*(MOVIMIENTOS!$A$5:$A$1005&lt;&gt;"")*(MOVIMIENTOS!$A$5:$A$1005&lt;=$A667)*MOVIMIENTOS!$E$5:$E$1005)-SUMPRODUCT((MOVIMIENTOS!$B$5:$B$1005="VENTA")*(MOVIMIENTOS!$C$5:$C$1005="Chancho")*(MOVIMIENTOS!$D$5:$D$1005="sacos")*(MOVIMIENTOS!$A$5:$A$1005&lt;&gt;"")*(MOVIMIENTOS!$A$5:$A$1005&lt;=$A667)*MOVIMIENTOS!$E$5:$E$1005)+SUMPRODUCT((MOVIMIENTOS!$B$5:$B$1005="AJUSTE")*(MOVIMIENTOS!$C$5:$C$1005="Chancho")*(MOVIMIENTOS!$D$5:$D$1005="sacos")*(MOVIMIENTOS!$A$5:$A$1005&lt;&gt;"")*(MOVIMIENTOS!$A$5:$A$1005&lt;=$A667)*MOVIMIENTOS!$E$5:$E$1005))</f>
        <v/>
      </c>
      <c r="G667" s="62" t="str">
        <f t="shared" si="21"/>
        <v/>
      </c>
      <c r="H667" t="str">
        <f>IF($A667="","",SUMPRODUCT((((MOVIMIENTOS!$B$5:$B$1005="SALDO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667)*MOVIMIENTOS!$J$5:$J$1005))</f>
        <v/>
      </c>
      <c r="J667" t="str">
        <f>IF(AND(MOVIMIENTOS!$A672&lt;&gt;"",COUNTIF(MOVIMIENTOS!$A$5:$A671,MOVIMIENTOS!$A672)=0),COUNT(J$4:J666)+1,"")</f>
        <v/>
      </c>
      <c r="K667">
        <f>MOVIMIENTOS!$A672</f>
        <v>0</v>
      </c>
    </row>
    <row r="668" spans="1:11" ht="15" customHeight="1" x14ac:dyDescent="0.2">
      <c r="A668" t="str">
        <f t="shared" si="20"/>
        <v/>
      </c>
      <c r="B668" t="str">
        <f>IF($A668="","",SUMPRODUCT((MOVIMIENTOS!$B$5:$B$1005="SALDO INICIAL")*(MOVIMIENTOS!$C$5:$C$1005="A")*(MOVIMIENTOS!$D$5:$D$1005="jabas")*(MOVIMIENTOS!$A$5:$A$1005&lt;&gt;"")*(MOVIMIENTOS!$A$5:$A$1005&lt;=$A668)*MOVIMIENTOS!$E$5:$E$1005)+SUMPRODUCT((MOVIMIENTOS!$B$5:$B$1005="PROCESO")*(MOVIMIENTOS!$C$5:$C$1005="A")*(MOVIMIENTOS!$D$5:$D$1005="jabas")*(MOVIMIENTOS!$A$5:$A$1005&lt;&gt;"")*(MOVIMIENTOS!$A$5:$A$1005&lt;=$A668)*MOVIMIENTOS!$E$5:$E$1005)-SUMPRODUCT((MOVIMIENTOS!$B$5:$B$1005="ENVÍO A SUPESA")*(MOVIMIENTOS!$C$5:$C$1005="A")*(MOVIMIENTOS!$D$5:$D$1005="jabas")*(MOVIMIENTOS!$A$5:$A$1005&lt;&gt;"")*(MOVIMIENTOS!$A$5:$A$1005&lt;=$A668)*MOVIMIENTOS!$E$5:$E$1005)+SUMPRODUCT((MOVIMIENTOS!$B$5:$B$1005="DEVOLUCIÓN")*(MOVIMIENTOS!$C$5:$C$1005="A")*(MOVIMIENTOS!$D$5:$D$1005="jabas")*(MOVIMIENTOS!$A$5:$A$1005&lt;&gt;"")*(MOVIMIENTOS!$A$5:$A$1005&lt;=$A668)*MOVIMIENTOS!$E$5:$E$1005)-SUMPRODUCT((MOVIMIENTOS!$B$5:$B$1005="TRASIEGO")*(MOVIMIENTOS!$C$5:$C$1005="A")*(MOVIMIENTOS!$D$5:$D$1005="jabas")*(MOVIMIENTOS!$A$5:$A$1005&lt;&gt;"")*(MOVIMIENTOS!$A$5:$A$1005&lt;=$A668)*MOVIMIENTOS!$E$5:$E$1005)-SUMPRODUCT((MOVIMIENTOS!$B$5:$B$1005="REGALO")*(MOVIMIENTOS!$C$5:$C$1005="A")*(MOVIMIENTOS!$D$5:$D$1005="jabas")*(MOVIMIENTOS!$A$5:$A$1005&lt;&gt;"")*(MOVIMIENTOS!$A$5:$A$1005&lt;=$A668)*MOVIMIENTOS!$E$5:$E$1005)-SUMPRODUCT((MOVIMIENTOS!$B$5:$B$1005="VENTA")*(MOVIMIENTOS!$C$5:$C$1005="A")*(MOVIMIENTOS!$D$5:$D$1005="jabas")*(MOVIMIENTOS!$A$5:$A$1005&lt;&gt;"")*(MOVIMIENTOS!$A$5:$A$1005&lt;=$A668)*MOVIMIENTOS!$E$5:$E$1005)+SUMPRODUCT((MOVIMIENTOS!$B$5:$B$1005="AJUSTE")*(MOVIMIENTOS!$C$5:$C$1005="A")*(MOVIMIENTOS!$D$5:$D$1005="jabas")*(MOVIMIENTOS!$A$5:$A$1005&lt;&gt;"")*(MOVIMIENTOS!$A$5:$A$1005&lt;=$A668)*MOVIMIENTOS!$E$5:$E$1005))</f>
        <v/>
      </c>
      <c r="C668" t="str">
        <f>IF($A668="","",SUMPRODUCT((MOVIMIENTOS!$B$5:$B$1005="SALDO INICIAL")*(MOVIMIENTOS!$C$5:$C$1005="P")*(MOVIMIENTOS!$D$5:$D$1005="jabas")*(MOVIMIENTOS!$A$5:$A$1005&lt;&gt;"")*(MOVIMIENTOS!$A$5:$A$1005&lt;=$A668)*MOVIMIENTOS!$E$5:$E$1005)+SUMPRODUCT((MOVIMIENTOS!$B$5:$B$1005="PROCESO")*(MOVIMIENTOS!$C$5:$C$1005="P")*(MOVIMIENTOS!$D$5:$D$1005="jabas")*(MOVIMIENTOS!$A$5:$A$1005&lt;&gt;"")*(MOVIMIENTOS!$A$5:$A$1005&lt;=$A668)*MOVIMIENTOS!$E$5:$E$1005)-SUMPRODUCT((MOVIMIENTOS!$B$5:$B$1005="ENVÍO A SUPESA")*(MOVIMIENTOS!$C$5:$C$1005="P")*(MOVIMIENTOS!$D$5:$D$1005="jabas")*(MOVIMIENTOS!$A$5:$A$1005&lt;&gt;"")*(MOVIMIENTOS!$A$5:$A$1005&lt;=$A668)*MOVIMIENTOS!$E$5:$E$1005)+SUMPRODUCT((MOVIMIENTOS!$B$5:$B$1005="DEVOLUCIÓN")*(MOVIMIENTOS!$C$5:$C$1005="P")*(MOVIMIENTOS!$D$5:$D$1005="jabas")*(MOVIMIENTOS!$A$5:$A$1005&lt;&gt;"")*(MOVIMIENTOS!$A$5:$A$1005&lt;=$A668)*MOVIMIENTOS!$E$5:$E$1005)-SUMPRODUCT((MOVIMIENTOS!$B$5:$B$1005="TRASIEGO")*(MOVIMIENTOS!$C$5:$C$1005="P")*(MOVIMIENTOS!$D$5:$D$1005="jabas")*(MOVIMIENTOS!$A$5:$A$1005&lt;&gt;"")*(MOVIMIENTOS!$A$5:$A$1005&lt;=$A668)*MOVIMIENTOS!$E$5:$E$1005)-SUMPRODUCT((MOVIMIENTOS!$B$5:$B$1005="REGALO")*(MOVIMIENTOS!$C$5:$C$1005="P")*(MOVIMIENTOS!$D$5:$D$1005="jabas")*(MOVIMIENTOS!$A$5:$A$1005&lt;&gt;"")*(MOVIMIENTOS!$A$5:$A$1005&lt;=$A668)*MOVIMIENTOS!$E$5:$E$1005)-SUMPRODUCT((MOVIMIENTOS!$B$5:$B$1005="VENTA")*(MOVIMIENTOS!$C$5:$C$1005="P")*(MOVIMIENTOS!$D$5:$D$1005="jabas")*(MOVIMIENTOS!$A$5:$A$1005&lt;&gt;"")*(MOVIMIENTOS!$A$5:$A$1005&lt;=$A668)*MOVIMIENTOS!$E$5:$E$1005)+SUMPRODUCT((MOVIMIENTOS!$B$5:$B$1005="AJUSTE")*(MOVIMIENTOS!$C$5:$C$1005="P")*(MOVIMIENTOS!$D$5:$D$1005="jabas")*(MOVIMIENTOS!$A$5:$A$1005&lt;&gt;"")*(MOVIMIENTOS!$A$5:$A$1005&lt;=$A668)*MOVIMIENTOS!$E$5:$E$1005))</f>
        <v/>
      </c>
      <c r="D668" t="str">
        <f>IF($A668="","",SUMPRODUCT((MOVIMIENTOS!$B$5:$B$1005="SALDO INICIAL")*(MOVIMIENTOS!$C$5:$C$1005="C")*(MOVIMIENTOS!$D$5:$D$1005="jabas")*(MOVIMIENTOS!$A$5:$A$1005&lt;&gt;"")*(MOVIMIENTOS!$A$5:$A$1005&lt;=$A668)*MOVIMIENTOS!$E$5:$E$1005)+SUMPRODUCT((MOVIMIENTOS!$B$5:$B$1005="PROCESO")*(MOVIMIENTOS!$C$5:$C$1005="C")*(MOVIMIENTOS!$D$5:$D$1005="jabas")*(MOVIMIENTOS!$A$5:$A$1005&lt;&gt;"")*(MOVIMIENTOS!$A$5:$A$1005&lt;=$A668)*MOVIMIENTOS!$E$5:$E$1005)-SUMPRODUCT((MOVIMIENTOS!$B$5:$B$1005="ENVÍO A SUPESA")*(MOVIMIENTOS!$C$5:$C$1005="C")*(MOVIMIENTOS!$D$5:$D$1005="jabas")*(MOVIMIENTOS!$A$5:$A$1005&lt;&gt;"")*(MOVIMIENTOS!$A$5:$A$1005&lt;=$A668)*MOVIMIENTOS!$E$5:$E$1005)+SUMPRODUCT((MOVIMIENTOS!$B$5:$B$1005="DEVOLUCIÓN")*(MOVIMIENTOS!$C$5:$C$1005="C")*(MOVIMIENTOS!$D$5:$D$1005="jabas")*(MOVIMIENTOS!$A$5:$A$1005&lt;&gt;"")*(MOVIMIENTOS!$A$5:$A$1005&lt;=$A668)*MOVIMIENTOS!$E$5:$E$1005)-SUMPRODUCT((MOVIMIENTOS!$B$5:$B$1005="TRASIEGO")*(MOVIMIENTOS!$C$5:$C$1005="C")*(MOVIMIENTOS!$D$5:$D$1005="jabas")*(MOVIMIENTOS!$A$5:$A$1005&lt;&gt;"")*(MOVIMIENTOS!$A$5:$A$1005&lt;=$A668)*MOVIMIENTOS!$E$5:$E$1005)-SUMPRODUCT((MOVIMIENTOS!$B$5:$B$1005="REGALO")*(MOVIMIENTOS!$C$5:$C$1005="C")*(MOVIMIENTOS!$D$5:$D$1005="jabas")*(MOVIMIENTOS!$A$5:$A$1005&lt;&gt;"")*(MOVIMIENTOS!$A$5:$A$1005&lt;=$A668)*MOVIMIENTOS!$E$5:$E$1005)-SUMPRODUCT((MOVIMIENTOS!$B$5:$B$1005="VENTA")*(MOVIMIENTOS!$C$5:$C$1005="C")*(MOVIMIENTOS!$D$5:$D$1005="jabas")*(MOVIMIENTOS!$A$5:$A$1005&lt;&gt;"")*(MOVIMIENTOS!$A$5:$A$1005&lt;=$A668)*MOVIMIENTOS!$E$5:$E$1005)+SUMPRODUCT((MOVIMIENTOS!$B$5:$B$1005="AJUSTE")*(MOVIMIENTOS!$C$5:$C$1005="C")*(MOVIMIENTOS!$D$5:$D$1005="jabas")*(MOVIMIENTOS!$A$5:$A$1005&lt;&gt;"")*(MOVIMIENTOS!$A$5:$A$1005&lt;=$A668)*MOVIMIENTOS!$E$5:$E$1005))</f>
        <v/>
      </c>
      <c r="E668" t="str">
        <f>IF($A668="","",SUMPRODUCT((MOVIMIENTOS!$B$5:$B$1005="SALDO INICIAL")*(MOVIMIENTOS!$C$5:$C$1005="M")*(MOVIMIENTOS!$D$5:$D$1005="jabas")*(MOVIMIENTOS!$A$5:$A$1005&lt;&gt;"")*(MOVIMIENTOS!$A$5:$A$1005&lt;=$A668)*MOVIMIENTOS!$E$5:$E$1005)+SUMPRODUCT((MOVIMIENTOS!$B$5:$B$1005="PROCESO")*(MOVIMIENTOS!$C$5:$C$1005="M")*(MOVIMIENTOS!$D$5:$D$1005="jabas")*(MOVIMIENTOS!$A$5:$A$1005&lt;&gt;"")*(MOVIMIENTOS!$A$5:$A$1005&lt;=$A668)*MOVIMIENTOS!$E$5:$E$1005)-SUMPRODUCT((MOVIMIENTOS!$B$5:$B$1005="ENVÍO A SUPESA")*(MOVIMIENTOS!$C$5:$C$1005="M")*(MOVIMIENTOS!$D$5:$D$1005="jabas")*(MOVIMIENTOS!$A$5:$A$1005&lt;&gt;"")*(MOVIMIENTOS!$A$5:$A$1005&lt;=$A668)*MOVIMIENTOS!$E$5:$E$1005)+SUMPRODUCT((MOVIMIENTOS!$B$5:$B$1005="DEVOLUCIÓN")*(MOVIMIENTOS!$C$5:$C$1005="M")*(MOVIMIENTOS!$D$5:$D$1005="jabas")*(MOVIMIENTOS!$A$5:$A$1005&lt;&gt;"")*(MOVIMIENTOS!$A$5:$A$1005&lt;=$A668)*MOVIMIENTOS!$E$5:$E$1005)-SUMPRODUCT((MOVIMIENTOS!$B$5:$B$1005="TRASIEGO")*(MOVIMIENTOS!$C$5:$C$1005="M")*(MOVIMIENTOS!$D$5:$D$1005="jabas")*(MOVIMIENTOS!$A$5:$A$1005&lt;&gt;"")*(MOVIMIENTOS!$A$5:$A$1005&lt;=$A668)*MOVIMIENTOS!$E$5:$E$1005)-SUMPRODUCT((MOVIMIENTOS!$B$5:$B$1005="REGALO")*(MOVIMIENTOS!$C$5:$C$1005="M")*(MOVIMIENTOS!$D$5:$D$1005="jabas")*(MOVIMIENTOS!$A$5:$A$1005&lt;&gt;"")*(MOVIMIENTOS!$A$5:$A$1005&lt;=$A668)*MOVIMIENTOS!$E$5:$E$1005)-SUMPRODUCT((MOVIMIENTOS!$B$5:$B$1005="VENTA")*(MOVIMIENTOS!$C$5:$C$1005="M")*(MOVIMIENTOS!$D$5:$D$1005="jabas")*(MOVIMIENTOS!$A$5:$A$1005&lt;&gt;"")*(MOVIMIENTOS!$A$5:$A$1005&lt;=$A668)*MOVIMIENTOS!$E$5:$E$1005)+SUMPRODUCT((MOVIMIENTOS!$B$5:$B$1005="AJUSTE")*(MOVIMIENTOS!$C$5:$C$1005="M")*(MOVIMIENTOS!$D$5:$D$1005="jabas")*(MOVIMIENTOS!$A$5:$A$1005&lt;&gt;"")*(MOVIMIENTOS!$A$5:$A$1005&lt;=$A668)*MOVIMIENTOS!$E$5:$E$1005))</f>
        <v/>
      </c>
      <c r="F668" s="62" t="str">
        <f>IF($A668="","",SUMPRODUCT((MOVIMIENTOS!$B$5:$B$1005="SALDO INICIAL")*(MOVIMIENTOS!$C$5:$C$1005="Chancho")*(MOVIMIENTOS!$D$5:$D$1005="sacos")*(MOVIMIENTOS!$A$5:$A$1005&lt;&gt;"")*(MOVIMIENTOS!$A$5:$A$1005&lt;=$A668)*MOVIMIENTOS!$E$5:$E$1005)+SUMPRODUCT((MOVIMIENTOS!$B$5:$B$1005="PROCESO")*(MOVIMIENTOS!$C$5:$C$1005="Chancho")*(MOVIMIENTOS!$D$5:$D$1005="sacos")*(MOVIMIENTOS!$A$5:$A$1005&lt;&gt;"")*(MOVIMIENTOS!$A$5:$A$1005&lt;=$A668)*MOVIMIENTOS!$E$5:$E$1005)-SUMPRODUCT((MOVIMIENTOS!$B$5:$B$1005="VENTA CHANCHO")*(MOVIMIENTOS!$C$5:$C$1005="Chancho")*(MOVIMIENTOS!$D$5:$D$1005="sacos")*(MOVIMIENTOS!$A$5:$A$1005&lt;&gt;"")*(MOVIMIENTOS!$A$5:$A$1005&lt;=$A668)*MOVIMIENTOS!$E$5:$E$1005)-SUMPRODUCT((MOVIMIENTOS!$B$5:$B$1005="REGALO")*(MOVIMIENTOS!$C$5:$C$1005="Chancho")*(MOVIMIENTOS!$D$5:$D$1005="sacos")*(MOVIMIENTOS!$A$5:$A$1005&lt;&gt;"")*(MOVIMIENTOS!$A$5:$A$1005&lt;=$A668)*MOVIMIENTOS!$E$5:$E$1005)-SUMPRODUCT((MOVIMIENTOS!$B$5:$B$1005="VENTA")*(MOVIMIENTOS!$C$5:$C$1005="Chancho")*(MOVIMIENTOS!$D$5:$D$1005="sacos")*(MOVIMIENTOS!$A$5:$A$1005&lt;&gt;"")*(MOVIMIENTOS!$A$5:$A$1005&lt;=$A668)*MOVIMIENTOS!$E$5:$E$1005)+SUMPRODUCT((MOVIMIENTOS!$B$5:$B$1005="AJUSTE")*(MOVIMIENTOS!$C$5:$C$1005="Chancho")*(MOVIMIENTOS!$D$5:$D$1005="sacos")*(MOVIMIENTOS!$A$5:$A$1005&lt;&gt;"")*(MOVIMIENTOS!$A$5:$A$1005&lt;=$A668)*MOVIMIENTOS!$E$5:$E$1005))</f>
        <v/>
      </c>
      <c r="G668" s="62" t="str">
        <f t="shared" si="21"/>
        <v/>
      </c>
      <c r="H668" t="str">
        <f>IF($A668="","",SUMPRODUCT((((MOVIMIENTOS!$B$5:$B$1005="SALDO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668)*MOVIMIENTOS!$J$5:$J$1005))</f>
        <v/>
      </c>
      <c r="J668" t="str">
        <f>IF(AND(MOVIMIENTOS!$A673&lt;&gt;"",COUNTIF(MOVIMIENTOS!$A$5:$A672,MOVIMIENTOS!$A673)=0),COUNT(J$4:J667)+1,"")</f>
        <v/>
      </c>
      <c r="K668">
        <f>MOVIMIENTOS!$A673</f>
        <v>0</v>
      </c>
    </row>
    <row r="669" spans="1:11" ht="15" customHeight="1" x14ac:dyDescent="0.2">
      <c r="A669" t="str">
        <f t="shared" si="20"/>
        <v/>
      </c>
      <c r="B669" t="str">
        <f>IF($A669="","",SUMPRODUCT((MOVIMIENTOS!$B$5:$B$1005="SALDO INICIAL")*(MOVIMIENTOS!$C$5:$C$1005="A")*(MOVIMIENTOS!$D$5:$D$1005="jabas")*(MOVIMIENTOS!$A$5:$A$1005&lt;&gt;"")*(MOVIMIENTOS!$A$5:$A$1005&lt;=$A669)*MOVIMIENTOS!$E$5:$E$1005)+SUMPRODUCT((MOVIMIENTOS!$B$5:$B$1005="PROCESO")*(MOVIMIENTOS!$C$5:$C$1005="A")*(MOVIMIENTOS!$D$5:$D$1005="jabas")*(MOVIMIENTOS!$A$5:$A$1005&lt;&gt;"")*(MOVIMIENTOS!$A$5:$A$1005&lt;=$A669)*MOVIMIENTOS!$E$5:$E$1005)-SUMPRODUCT((MOVIMIENTOS!$B$5:$B$1005="ENVÍO A SUPESA")*(MOVIMIENTOS!$C$5:$C$1005="A")*(MOVIMIENTOS!$D$5:$D$1005="jabas")*(MOVIMIENTOS!$A$5:$A$1005&lt;&gt;"")*(MOVIMIENTOS!$A$5:$A$1005&lt;=$A669)*MOVIMIENTOS!$E$5:$E$1005)+SUMPRODUCT((MOVIMIENTOS!$B$5:$B$1005="DEVOLUCIÓN")*(MOVIMIENTOS!$C$5:$C$1005="A")*(MOVIMIENTOS!$D$5:$D$1005="jabas")*(MOVIMIENTOS!$A$5:$A$1005&lt;&gt;"")*(MOVIMIENTOS!$A$5:$A$1005&lt;=$A669)*MOVIMIENTOS!$E$5:$E$1005)-SUMPRODUCT((MOVIMIENTOS!$B$5:$B$1005="TRASIEGO")*(MOVIMIENTOS!$C$5:$C$1005="A")*(MOVIMIENTOS!$D$5:$D$1005="jabas")*(MOVIMIENTOS!$A$5:$A$1005&lt;&gt;"")*(MOVIMIENTOS!$A$5:$A$1005&lt;=$A669)*MOVIMIENTOS!$E$5:$E$1005)-SUMPRODUCT((MOVIMIENTOS!$B$5:$B$1005="REGALO")*(MOVIMIENTOS!$C$5:$C$1005="A")*(MOVIMIENTOS!$D$5:$D$1005="jabas")*(MOVIMIENTOS!$A$5:$A$1005&lt;&gt;"")*(MOVIMIENTOS!$A$5:$A$1005&lt;=$A669)*MOVIMIENTOS!$E$5:$E$1005)-SUMPRODUCT((MOVIMIENTOS!$B$5:$B$1005="VENTA")*(MOVIMIENTOS!$C$5:$C$1005="A")*(MOVIMIENTOS!$D$5:$D$1005="jabas")*(MOVIMIENTOS!$A$5:$A$1005&lt;&gt;"")*(MOVIMIENTOS!$A$5:$A$1005&lt;=$A669)*MOVIMIENTOS!$E$5:$E$1005)+SUMPRODUCT((MOVIMIENTOS!$B$5:$B$1005="AJUSTE")*(MOVIMIENTOS!$C$5:$C$1005="A")*(MOVIMIENTOS!$D$5:$D$1005="jabas")*(MOVIMIENTOS!$A$5:$A$1005&lt;&gt;"")*(MOVIMIENTOS!$A$5:$A$1005&lt;=$A669)*MOVIMIENTOS!$E$5:$E$1005))</f>
        <v/>
      </c>
      <c r="C669" t="str">
        <f>IF($A669="","",SUMPRODUCT((MOVIMIENTOS!$B$5:$B$1005="SALDO INICIAL")*(MOVIMIENTOS!$C$5:$C$1005="P")*(MOVIMIENTOS!$D$5:$D$1005="jabas")*(MOVIMIENTOS!$A$5:$A$1005&lt;&gt;"")*(MOVIMIENTOS!$A$5:$A$1005&lt;=$A669)*MOVIMIENTOS!$E$5:$E$1005)+SUMPRODUCT((MOVIMIENTOS!$B$5:$B$1005="PROCESO")*(MOVIMIENTOS!$C$5:$C$1005="P")*(MOVIMIENTOS!$D$5:$D$1005="jabas")*(MOVIMIENTOS!$A$5:$A$1005&lt;&gt;"")*(MOVIMIENTOS!$A$5:$A$1005&lt;=$A669)*MOVIMIENTOS!$E$5:$E$1005)-SUMPRODUCT((MOVIMIENTOS!$B$5:$B$1005="ENVÍO A SUPESA")*(MOVIMIENTOS!$C$5:$C$1005="P")*(MOVIMIENTOS!$D$5:$D$1005="jabas")*(MOVIMIENTOS!$A$5:$A$1005&lt;&gt;"")*(MOVIMIENTOS!$A$5:$A$1005&lt;=$A669)*MOVIMIENTOS!$E$5:$E$1005)+SUMPRODUCT((MOVIMIENTOS!$B$5:$B$1005="DEVOLUCIÓN")*(MOVIMIENTOS!$C$5:$C$1005="P")*(MOVIMIENTOS!$D$5:$D$1005="jabas")*(MOVIMIENTOS!$A$5:$A$1005&lt;&gt;"")*(MOVIMIENTOS!$A$5:$A$1005&lt;=$A669)*MOVIMIENTOS!$E$5:$E$1005)-SUMPRODUCT((MOVIMIENTOS!$B$5:$B$1005="TRASIEGO")*(MOVIMIENTOS!$C$5:$C$1005="P")*(MOVIMIENTOS!$D$5:$D$1005="jabas")*(MOVIMIENTOS!$A$5:$A$1005&lt;&gt;"")*(MOVIMIENTOS!$A$5:$A$1005&lt;=$A669)*MOVIMIENTOS!$E$5:$E$1005)-SUMPRODUCT((MOVIMIENTOS!$B$5:$B$1005="REGALO")*(MOVIMIENTOS!$C$5:$C$1005="P")*(MOVIMIENTOS!$D$5:$D$1005="jabas")*(MOVIMIENTOS!$A$5:$A$1005&lt;&gt;"")*(MOVIMIENTOS!$A$5:$A$1005&lt;=$A669)*MOVIMIENTOS!$E$5:$E$1005)-SUMPRODUCT((MOVIMIENTOS!$B$5:$B$1005="VENTA")*(MOVIMIENTOS!$C$5:$C$1005="P")*(MOVIMIENTOS!$D$5:$D$1005="jabas")*(MOVIMIENTOS!$A$5:$A$1005&lt;&gt;"")*(MOVIMIENTOS!$A$5:$A$1005&lt;=$A669)*MOVIMIENTOS!$E$5:$E$1005)+SUMPRODUCT((MOVIMIENTOS!$B$5:$B$1005="AJUSTE")*(MOVIMIENTOS!$C$5:$C$1005="P")*(MOVIMIENTOS!$D$5:$D$1005="jabas")*(MOVIMIENTOS!$A$5:$A$1005&lt;&gt;"")*(MOVIMIENTOS!$A$5:$A$1005&lt;=$A669)*MOVIMIENTOS!$E$5:$E$1005))</f>
        <v/>
      </c>
      <c r="D669" t="str">
        <f>IF($A669="","",SUMPRODUCT((MOVIMIENTOS!$B$5:$B$1005="SALDO INICIAL")*(MOVIMIENTOS!$C$5:$C$1005="C")*(MOVIMIENTOS!$D$5:$D$1005="jabas")*(MOVIMIENTOS!$A$5:$A$1005&lt;&gt;"")*(MOVIMIENTOS!$A$5:$A$1005&lt;=$A669)*MOVIMIENTOS!$E$5:$E$1005)+SUMPRODUCT((MOVIMIENTOS!$B$5:$B$1005="PROCESO")*(MOVIMIENTOS!$C$5:$C$1005="C")*(MOVIMIENTOS!$D$5:$D$1005="jabas")*(MOVIMIENTOS!$A$5:$A$1005&lt;&gt;"")*(MOVIMIENTOS!$A$5:$A$1005&lt;=$A669)*MOVIMIENTOS!$E$5:$E$1005)-SUMPRODUCT((MOVIMIENTOS!$B$5:$B$1005="ENVÍO A SUPESA")*(MOVIMIENTOS!$C$5:$C$1005="C")*(MOVIMIENTOS!$D$5:$D$1005="jabas")*(MOVIMIENTOS!$A$5:$A$1005&lt;&gt;"")*(MOVIMIENTOS!$A$5:$A$1005&lt;=$A669)*MOVIMIENTOS!$E$5:$E$1005)+SUMPRODUCT((MOVIMIENTOS!$B$5:$B$1005="DEVOLUCIÓN")*(MOVIMIENTOS!$C$5:$C$1005="C")*(MOVIMIENTOS!$D$5:$D$1005="jabas")*(MOVIMIENTOS!$A$5:$A$1005&lt;&gt;"")*(MOVIMIENTOS!$A$5:$A$1005&lt;=$A669)*MOVIMIENTOS!$E$5:$E$1005)-SUMPRODUCT((MOVIMIENTOS!$B$5:$B$1005="TRASIEGO")*(MOVIMIENTOS!$C$5:$C$1005="C")*(MOVIMIENTOS!$D$5:$D$1005="jabas")*(MOVIMIENTOS!$A$5:$A$1005&lt;&gt;"")*(MOVIMIENTOS!$A$5:$A$1005&lt;=$A669)*MOVIMIENTOS!$E$5:$E$1005)-SUMPRODUCT((MOVIMIENTOS!$B$5:$B$1005="REGALO")*(MOVIMIENTOS!$C$5:$C$1005="C")*(MOVIMIENTOS!$D$5:$D$1005="jabas")*(MOVIMIENTOS!$A$5:$A$1005&lt;&gt;"")*(MOVIMIENTOS!$A$5:$A$1005&lt;=$A669)*MOVIMIENTOS!$E$5:$E$1005)-SUMPRODUCT((MOVIMIENTOS!$B$5:$B$1005="VENTA")*(MOVIMIENTOS!$C$5:$C$1005="C")*(MOVIMIENTOS!$D$5:$D$1005="jabas")*(MOVIMIENTOS!$A$5:$A$1005&lt;&gt;"")*(MOVIMIENTOS!$A$5:$A$1005&lt;=$A669)*MOVIMIENTOS!$E$5:$E$1005)+SUMPRODUCT((MOVIMIENTOS!$B$5:$B$1005="AJUSTE")*(MOVIMIENTOS!$C$5:$C$1005="C")*(MOVIMIENTOS!$D$5:$D$1005="jabas")*(MOVIMIENTOS!$A$5:$A$1005&lt;&gt;"")*(MOVIMIENTOS!$A$5:$A$1005&lt;=$A669)*MOVIMIENTOS!$E$5:$E$1005))</f>
        <v/>
      </c>
      <c r="E669" t="str">
        <f>IF($A669="","",SUMPRODUCT((MOVIMIENTOS!$B$5:$B$1005="SALDO INICIAL")*(MOVIMIENTOS!$C$5:$C$1005="M")*(MOVIMIENTOS!$D$5:$D$1005="jabas")*(MOVIMIENTOS!$A$5:$A$1005&lt;&gt;"")*(MOVIMIENTOS!$A$5:$A$1005&lt;=$A669)*MOVIMIENTOS!$E$5:$E$1005)+SUMPRODUCT((MOVIMIENTOS!$B$5:$B$1005="PROCESO")*(MOVIMIENTOS!$C$5:$C$1005="M")*(MOVIMIENTOS!$D$5:$D$1005="jabas")*(MOVIMIENTOS!$A$5:$A$1005&lt;&gt;"")*(MOVIMIENTOS!$A$5:$A$1005&lt;=$A669)*MOVIMIENTOS!$E$5:$E$1005)-SUMPRODUCT((MOVIMIENTOS!$B$5:$B$1005="ENVÍO A SUPESA")*(MOVIMIENTOS!$C$5:$C$1005="M")*(MOVIMIENTOS!$D$5:$D$1005="jabas")*(MOVIMIENTOS!$A$5:$A$1005&lt;&gt;"")*(MOVIMIENTOS!$A$5:$A$1005&lt;=$A669)*MOVIMIENTOS!$E$5:$E$1005)+SUMPRODUCT((MOVIMIENTOS!$B$5:$B$1005="DEVOLUCIÓN")*(MOVIMIENTOS!$C$5:$C$1005="M")*(MOVIMIENTOS!$D$5:$D$1005="jabas")*(MOVIMIENTOS!$A$5:$A$1005&lt;&gt;"")*(MOVIMIENTOS!$A$5:$A$1005&lt;=$A669)*MOVIMIENTOS!$E$5:$E$1005)-SUMPRODUCT((MOVIMIENTOS!$B$5:$B$1005="TRASIEGO")*(MOVIMIENTOS!$C$5:$C$1005="M")*(MOVIMIENTOS!$D$5:$D$1005="jabas")*(MOVIMIENTOS!$A$5:$A$1005&lt;&gt;"")*(MOVIMIENTOS!$A$5:$A$1005&lt;=$A669)*MOVIMIENTOS!$E$5:$E$1005)-SUMPRODUCT((MOVIMIENTOS!$B$5:$B$1005="REGALO")*(MOVIMIENTOS!$C$5:$C$1005="M")*(MOVIMIENTOS!$D$5:$D$1005="jabas")*(MOVIMIENTOS!$A$5:$A$1005&lt;&gt;"")*(MOVIMIENTOS!$A$5:$A$1005&lt;=$A669)*MOVIMIENTOS!$E$5:$E$1005)-SUMPRODUCT((MOVIMIENTOS!$B$5:$B$1005="VENTA")*(MOVIMIENTOS!$C$5:$C$1005="M")*(MOVIMIENTOS!$D$5:$D$1005="jabas")*(MOVIMIENTOS!$A$5:$A$1005&lt;&gt;"")*(MOVIMIENTOS!$A$5:$A$1005&lt;=$A669)*MOVIMIENTOS!$E$5:$E$1005)+SUMPRODUCT((MOVIMIENTOS!$B$5:$B$1005="AJUSTE")*(MOVIMIENTOS!$C$5:$C$1005="M")*(MOVIMIENTOS!$D$5:$D$1005="jabas")*(MOVIMIENTOS!$A$5:$A$1005&lt;&gt;"")*(MOVIMIENTOS!$A$5:$A$1005&lt;=$A669)*MOVIMIENTOS!$E$5:$E$1005))</f>
        <v/>
      </c>
      <c r="F669" s="62" t="str">
        <f>IF($A669="","",SUMPRODUCT((MOVIMIENTOS!$B$5:$B$1005="SALDO INICIAL")*(MOVIMIENTOS!$C$5:$C$1005="Chancho")*(MOVIMIENTOS!$D$5:$D$1005="sacos")*(MOVIMIENTOS!$A$5:$A$1005&lt;&gt;"")*(MOVIMIENTOS!$A$5:$A$1005&lt;=$A669)*MOVIMIENTOS!$E$5:$E$1005)+SUMPRODUCT((MOVIMIENTOS!$B$5:$B$1005="PROCESO")*(MOVIMIENTOS!$C$5:$C$1005="Chancho")*(MOVIMIENTOS!$D$5:$D$1005="sacos")*(MOVIMIENTOS!$A$5:$A$1005&lt;&gt;"")*(MOVIMIENTOS!$A$5:$A$1005&lt;=$A669)*MOVIMIENTOS!$E$5:$E$1005)-SUMPRODUCT((MOVIMIENTOS!$B$5:$B$1005="VENTA CHANCHO")*(MOVIMIENTOS!$C$5:$C$1005="Chancho")*(MOVIMIENTOS!$D$5:$D$1005="sacos")*(MOVIMIENTOS!$A$5:$A$1005&lt;&gt;"")*(MOVIMIENTOS!$A$5:$A$1005&lt;=$A669)*MOVIMIENTOS!$E$5:$E$1005)-SUMPRODUCT((MOVIMIENTOS!$B$5:$B$1005="REGALO")*(MOVIMIENTOS!$C$5:$C$1005="Chancho")*(MOVIMIENTOS!$D$5:$D$1005="sacos")*(MOVIMIENTOS!$A$5:$A$1005&lt;&gt;"")*(MOVIMIENTOS!$A$5:$A$1005&lt;=$A669)*MOVIMIENTOS!$E$5:$E$1005)-SUMPRODUCT((MOVIMIENTOS!$B$5:$B$1005="VENTA")*(MOVIMIENTOS!$C$5:$C$1005="Chancho")*(MOVIMIENTOS!$D$5:$D$1005="sacos")*(MOVIMIENTOS!$A$5:$A$1005&lt;&gt;"")*(MOVIMIENTOS!$A$5:$A$1005&lt;=$A669)*MOVIMIENTOS!$E$5:$E$1005)+SUMPRODUCT((MOVIMIENTOS!$B$5:$B$1005="AJUSTE")*(MOVIMIENTOS!$C$5:$C$1005="Chancho")*(MOVIMIENTOS!$D$5:$D$1005="sacos")*(MOVIMIENTOS!$A$5:$A$1005&lt;&gt;"")*(MOVIMIENTOS!$A$5:$A$1005&lt;=$A669)*MOVIMIENTOS!$E$5:$E$1005))</f>
        <v/>
      </c>
      <c r="G669" s="62" t="str">
        <f t="shared" si="21"/>
        <v/>
      </c>
      <c r="H669" t="str">
        <f>IF($A669="","",SUMPRODUCT((((MOVIMIENTOS!$B$5:$B$1005="SALDO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669)*MOVIMIENTOS!$J$5:$J$1005))</f>
        <v/>
      </c>
      <c r="J669" t="str">
        <f>IF(AND(MOVIMIENTOS!$A674&lt;&gt;"",COUNTIF(MOVIMIENTOS!$A$5:$A673,MOVIMIENTOS!$A674)=0),COUNT(J$4:J668)+1,"")</f>
        <v/>
      </c>
      <c r="K669">
        <f>MOVIMIENTOS!$A674</f>
        <v>0</v>
      </c>
    </row>
    <row r="670" spans="1:11" ht="15" customHeight="1" x14ac:dyDescent="0.2">
      <c r="A670" t="str">
        <f t="shared" si="20"/>
        <v/>
      </c>
      <c r="B670" t="str">
        <f>IF($A670="","",SUMPRODUCT((MOVIMIENTOS!$B$5:$B$1005="SALDO INICIAL")*(MOVIMIENTOS!$C$5:$C$1005="A")*(MOVIMIENTOS!$D$5:$D$1005="jabas")*(MOVIMIENTOS!$A$5:$A$1005&lt;&gt;"")*(MOVIMIENTOS!$A$5:$A$1005&lt;=$A670)*MOVIMIENTOS!$E$5:$E$1005)+SUMPRODUCT((MOVIMIENTOS!$B$5:$B$1005="PROCESO")*(MOVIMIENTOS!$C$5:$C$1005="A")*(MOVIMIENTOS!$D$5:$D$1005="jabas")*(MOVIMIENTOS!$A$5:$A$1005&lt;&gt;"")*(MOVIMIENTOS!$A$5:$A$1005&lt;=$A670)*MOVIMIENTOS!$E$5:$E$1005)-SUMPRODUCT((MOVIMIENTOS!$B$5:$B$1005="ENVÍO A SUPESA")*(MOVIMIENTOS!$C$5:$C$1005="A")*(MOVIMIENTOS!$D$5:$D$1005="jabas")*(MOVIMIENTOS!$A$5:$A$1005&lt;&gt;"")*(MOVIMIENTOS!$A$5:$A$1005&lt;=$A670)*MOVIMIENTOS!$E$5:$E$1005)+SUMPRODUCT((MOVIMIENTOS!$B$5:$B$1005="DEVOLUCIÓN")*(MOVIMIENTOS!$C$5:$C$1005="A")*(MOVIMIENTOS!$D$5:$D$1005="jabas")*(MOVIMIENTOS!$A$5:$A$1005&lt;&gt;"")*(MOVIMIENTOS!$A$5:$A$1005&lt;=$A670)*MOVIMIENTOS!$E$5:$E$1005)-SUMPRODUCT((MOVIMIENTOS!$B$5:$B$1005="TRASIEGO")*(MOVIMIENTOS!$C$5:$C$1005="A")*(MOVIMIENTOS!$D$5:$D$1005="jabas")*(MOVIMIENTOS!$A$5:$A$1005&lt;&gt;"")*(MOVIMIENTOS!$A$5:$A$1005&lt;=$A670)*MOVIMIENTOS!$E$5:$E$1005)-SUMPRODUCT((MOVIMIENTOS!$B$5:$B$1005="REGALO")*(MOVIMIENTOS!$C$5:$C$1005="A")*(MOVIMIENTOS!$D$5:$D$1005="jabas")*(MOVIMIENTOS!$A$5:$A$1005&lt;&gt;"")*(MOVIMIENTOS!$A$5:$A$1005&lt;=$A670)*MOVIMIENTOS!$E$5:$E$1005)-SUMPRODUCT((MOVIMIENTOS!$B$5:$B$1005="VENTA")*(MOVIMIENTOS!$C$5:$C$1005="A")*(MOVIMIENTOS!$D$5:$D$1005="jabas")*(MOVIMIENTOS!$A$5:$A$1005&lt;&gt;"")*(MOVIMIENTOS!$A$5:$A$1005&lt;=$A670)*MOVIMIENTOS!$E$5:$E$1005)+SUMPRODUCT((MOVIMIENTOS!$B$5:$B$1005="AJUSTE")*(MOVIMIENTOS!$C$5:$C$1005="A")*(MOVIMIENTOS!$D$5:$D$1005="jabas")*(MOVIMIENTOS!$A$5:$A$1005&lt;&gt;"")*(MOVIMIENTOS!$A$5:$A$1005&lt;=$A670)*MOVIMIENTOS!$E$5:$E$1005))</f>
        <v/>
      </c>
      <c r="C670" t="str">
        <f>IF($A670="","",SUMPRODUCT((MOVIMIENTOS!$B$5:$B$1005="SALDO INICIAL")*(MOVIMIENTOS!$C$5:$C$1005="P")*(MOVIMIENTOS!$D$5:$D$1005="jabas")*(MOVIMIENTOS!$A$5:$A$1005&lt;&gt;"")*(MOVIMIENTOS!$A$5:$A$1005&lt;=$A670)*MOVIMIENTOS!$E$5:$E$1005)+SUMPRODUCT((MOVIMIENTOS!$B$5:$B$1005="PROCESO")*(MOVIMIENTOS!$C$5:$C$1005="P")*(MOVIMIENTOS!$D$5:$D$1005="jabas")*(MOVIMIENTOS!$A$5:$A$1005&lt;&gt;"")*(MOVIMIENTOS!$A$5:$A$1005&lt;=$A670)*MOVIMIENTOS!$E$5:$E$1005)-SUMPRODUCT((MOVIMIENTOS!$B$5:$B$1005="ENVÍO A SUPESA")*(MOVIMIENTOS!$C$5:$C$1005="P")*(MOVIMIENTOS!$D$5:$D$1005="jabas")*(MOVIMIENTOS!$A$5:$A$1005&lt;&gt;"")*(MOVIMIENTOS!$A$5:$A$1005&lt;=$A670)*MOVIMIENTOS!$E$5:$E$1005)+SUMPRODUCT((MOVIMIENTOS!$B$5:$B$1005="DEVOLUCIÓN")*(MOVIMIENTOS!$C$5:$C$1005="P")*(MOVIMIENTOS!$D$5:$D$1005="jabas")*(MOVIMIENTOS!$A$5:$A$1005&lt;&gt;"")*(MOVIMIENTOS!$A$5:$A$1005&lt;=$A670)*MOVIMIENTOS!$E$5:$E$1005)-SUMPRODUCT((MOVIMIENTOS!$B$5:$B$1005="TRASIEGO")*(MOVIMIENTOS!$C$5:$C$1005="P")*(MOVIMIENTOS!$D$5:$D$1005="jabas")*(MOVIMIENTOS!$A$5:$A$1005&lt;&gt;"")*(MOVIMIENTOS!$A$5:$A$1005&lt;=$A670)*MOVIMIENTOS!$E$5:$E$1005)-SUMPRODUCT((MOVIMIENTOS!$B$5:$B$1005="REGALO")*(MOVIMIENTOS!$C$5:$C$1005="P")*(MOVIMIENTOS!$D$5:$D$1005="jabas")*(MOVIMIENTOS!$A$5:$A$1005&lt;&gt;"")*(MOVIMIENTOS!$A$5:$A$1005&lt;=$A670)*MOVIMIENTOS!$E$5:$E$1005)-SUMPRODUCT((MOVIMIENTOS!$B$5:$B$1005="VENTA")*(MOVIMIENTOS!$C$5:$C$1005="P")*(MOVIMIENTOS!$D$5:$D$1005="jabas")*(MOVIMIENTOS!$A$5:$A$1005&lt;&gt;"")*(MOVIMIENTOS!$A$5:$A$1005&lt;=$A670)*MOVIMIENTOS!$E$5:$E$1005)+SUMPRODUCT((MOVIMIENTOS!$B$5:$B$1005="AJUSTE")*(MOVIMIENTOS!$C$5:$C$1005="P")*(MOVIMIENTOS!$D$5:$D$1005="jabas")*(MOVIMIENTOS!$A$5:$A$1005&lt;&gt;"")*(MOVIMIENTOS!$A$5:$A$1005&lt;=$A670)*MOVIMIENTOS!$E$5:$E$1005))</f>
        <v/>
      </c>
      <c r="D670" t="str">
        <f>IF($A670="","",SUMPRODUCT((MOVIMIENTOS!$B$5:$B$1005="SALDO INICIAL")*(MOVIMIENTOS!$C$5:$C$1005="C")*(MOVIMIENTOS!$D$5:$D$1005="jabas")*(MOVIMIENTOS!$A$5:$A$1005&lt;&gt;"")*(MOVIMIENTOS!$A$5:$A$1005&lt;=$A670)*MOVIMIENTOS!$E$5:$E$1005)+SUMPRODUCT((MOVIMIENTOS!$B$5:$B$1005="PROCESO")*(MOVIMIENTOS!$C$5:$C$1005="C")*(MOVIMIENTOS!$D$5:$D$1005="jabas")*(MOVIMIENTOS!$A$5:$A$1005&lt;&gt;"")*(MOVIMIENTOS!$A$5:$A$1005&lt;=$A670)*MOVIMIENTOS!$E$5:$E$1005)-SUMPRODUCT((MOVIMIENTOS!$B$5:$B$1005="ENVÍO A SUPESA")*(MOVIMIENTOS!$C$5:$C$1005="C")*(MOVIMIENTOS!$D$5:$D$1005="jabas")*(MOVIMIENTOS!$A$5:$A$1005&lt;&gt;"")*(MOVIMIENTOS!$A$5:$A$1005&lt;=$A670)*MOVIMIENTOS!$E$5:$E$1005)+SUMPRODUCT((MOVIMIENTOS!$B$5:$B$1005="DEVOLUCIÓN")*(MOVIMIENTOS!$C$5:$C$1005="C")*(MOVIMIENTOS!$D$5:$D$1005="jabas")*(MOVIMIENTOS!$A$5:$A$1005&lt;&gt;"")*(MOVIMIENTOS!$A$5:$A$1005&lt;=$A670)*MOVIMIENTOS!$E$5:$E$1005)-SUMPRODUCT((MOVIMIENTOS!$B$5:$B$1005="TRASIEGO")*(MOVIMIENTOS!$C$5:$C$1005="C")*(MOVIMIENTOS!$D$5:$D$1005="jabas")*(MOVIMIENTOS!$A$5:$A$1005&lt;&gt;"")*(MOVIMIENTOS!$A$5:$A$1005&lt;=$A670)*MOVIMIENTOS!$E$5:$E$1005)-SUMPRODUCT((MOVIMIENTOS!$B$5:$B$1005="REGALO")*(MOVIMIENTOS!$C$5:$C$1005="C")*(MOVIMIENTOS!$D$5:$D$1005="jabas")*(MOVIMIENTOS!$A$5:$A$1005&lt;&gt;"")*(MOVIMIENTOS!$A$5:$A$1005&lt;=$A670)*MOVIMIENTOS!$E$5:$E$1005)-SUMPRODUCT((MOVIMIENTOS!$B$5:$B$1005="VENTA")*(MOVIMIENTOS!$C$5:$C$1005="C")*(MOVIMIENTOS!$D$5:$D$1005="jabas")*(MOVIMIENTOS!$A$5:$A$1005&lt;&gt;"")*(MOVIMIENTOS!$A$5:$A$1005&lt;=$A670)*MOVIMIENTOS!$E$5:$E$1005)+SUMPRODUCT((MOVIMIENTOS!$B$5:$B$1005="AJUSTE")*(MOVIMIENTOS!$C$5:$C$1005="C")*(MOVIMIENTOS!$D$5:$D$1005="jabas")*(MOVIMIENTOS!$A$5:$A$1005&lt;&gt;"")*(MOVIMIENTOS!$A$5:$A$1005&lt;=$A670)*MOVIMIENTOS!$E$5:$E$1005))</f>
        <v/>
      </c>
      <c r="E670" t="str">
        <f>IF($A670="","",SUMPRODUCT((MOVIMIENTOS!$B$5:$B$1005="SALDO INICIAL")*(MOVIMIENTOS!$C$5:$C$1005="M")*(MOVIMIENTOS!$D$5:$D$1005="jabas")*(MOVIMIENTOS!$A$5:$A$1005&lt;&gt;"")*(MOVIMIENTOS!$A$5:$A$1005&lt;=$A670)*MOVIMIENTOS!$E$5:$E$1005)+SUMPRODUCT((MOVIMIENTOS!$B$5:$B$1005="PROCESO")*(MOVIMIENTOS!$C$5:$C$1005="M")*(MOVIMIENTOS!$D$5:$D$1005="jabas")*(MOVIMIENTOS!$A$5:$A$1005&lt;&gt;"")*(MOVIMIENTOS!$A$5:$A$1005&lt;=$A670)*MOVIMIENTOS!$E$5:$E$1005)-SUMPRODUCT((MOVIMIENTOS!$B$5:$B$1005="ENVÍO A SUPESA")*(MOVIMIENTOS!$C$5:$C$1005="M")*(MOVIMIENTOS!$D$5:$D$1005="jabas")*(MOVIMIENTOS!$A$5:$A$1005&lt;&gt;"")*(MOVIMIENTOS!$A$5:$A$1005&lt;=$A670)*MOVIMIENTOS!$E$5:$E$1005)+SUMPRODUCT((MOVIMIENTOS!$B$5:$B$1005="DEVOLUCIÓN")*(MOVIMIENTOS!$C$5:$C$1005="M")*(MOVIMIENTOS!$D$5:$D$1005="jabas")*(MOVIMIENTOS!$A$5:$A$1005&lt;&gt;"")*(MOVIMIENTOS!$A$5:$A$1005&lt;=$A670)*MOVIMIENTOS!$E$5:$E$1005)-SUMPRODUCT((MOVIMIENTOS!$B$5:$B$1005="TRASIEGO")*(MOVIMIENTOS!$C$5:$C$1005="M")*(MOVIMIENTOS!$D$5:$D$1005="jabas")*(MOVIMIENTOS!$A$5:$A$1005&lt;&gt;"")*(MOVIMIENTOS!$A$5:$A$1005&lt;=$A670)*MOVIMIENTOS!$E$5:$E$1005)-SUMPRODUCT((MOVIMIENTOS!$B$5:$B$1005="REGALO")*(MOVIMIENTOS!$C$5:$C$1005="M")*(MOVIMIENTOS!$D$5:$D$1005="jabas")*(MOVIMIENTOS!$A$5:$A$1005&lt;&gt;"")*(MOVIMIENTOS!$A$5:$A$1005&lt;=$A670)*MOVIMIENTOS!$E$5:$E$1005)-SUMPRODUCT((MOVIMIENTOS!$B$5:$B$1005="VENTA")*(MOVIMIENTOS!$C$5:$C$1005="M")*(MOVIMIENTOS!$D$5:$D$1005="jabas")*(MOVIMIENTOS!$A$5:$A$1005&lt;&gt;"")*(MOVIMIENTOS!$A$5:$A$1005&lt;=$A670)*MOVIMIENTOS!$E$5:$E$1005)+SUMPRODUCT((MOVIMIENTOS!$B$5:$B$1005="AJUSTE")*(MOVIMIENTOS!$C$5:$C$1005="M")*(MOVIMIENTOS!$D$5:$D$1005="jabas")*(MOVIMIENTOS!$A$5:$A$1005&lt;&gt;"")*(MOVIMIENTOS!$A$5:$A$1005&lt;=$A670)*MOVIMIENTOS!$E$5:$E$1005))</f>
        <v/>
      </c>
      <c r="F670" s="62" t="str">
        <f>IF($A670="","",SUMPRODUCT((MOVIMIENTOS!$B$5:$B$1005="SALDO INICIAL")*(MOVIMIENTOS!$C$5:$C$1005="Chancho")*(MOVIMIENTOS!$D$5:$D$1005="sacos")*(MOVIMIENTOS!$A$5:$A$1005&lt;&gt;"")*(MOVIMIENTOS!$A$5:$A$1005&lt;=$A670)*MOVIMIENTOS!$E$5:$E$1005)+SUMPRODUCT((MOVIMIENTOS!$B$5:$B$1005="PROCESO")*(MOVIMIENTOS!$C$5:$C$1005="Chancho")*(MOVIMIENTOS!$D$5:$D$1005="sacos")*(MOVIMIENTOS!$A$5:$A$1005&lt;&gt;"")*(MOVIMIENTOS!$A$5:$A$1005&lt;=$A670)*MOVIMIENTOS!$E$5:$E$1005)-SUMPRODUCT((MOVIMIENTOS!$B$5:$B$1005="VENTA CHANCHO")*(MOVIMIENTOS!$C$5:$C$1005="Chancho")*(MOVIMIENTOS!$D$5:$D$1005="sacos")*(MOVIMIENTOS!$A$5:$A$1005&lt;&gt;"")*(MOVIMIENTOS!$A$5:$A$1005&lt;=$A670)*MOVIMIENTOS!$E$5:$E$1005)-SUMPRODUCT((MOVIMIENTOS!$B$5:$B$1005="REGALO")*(MOVIMIENTOS!$C$5:$C$1005="Chancho")*(MOVIMIENTOS!$D$5:$D$1005="sacos")*(MOVIMIENTOS!$A$5:$A$1005&lt;&gt;"")*(MOVIMIENTOS!$A$5:$A$1005&lt;=$A670)*MOVIMIENTOS!$E$5:$E$1005)-SUMPRODUCT((MOVIMIENTOS!$B$5:$B$1005="VENTA")*(MOVIMIENTOS!$C$5:$C$1005="Chancho")*(MOVIMIENTOS!$D$5:$D$1005="sacos")*(MOVIMIENTOS!$A$5:$A$1005&lt;&gt;"")*(MOVIMIENTOS!$A$5:$A$1005&lt;=$A670)*MOVIMIENTOS!$E$5:$E$1005)+SUMPRODUCT((MOVIMIENTOS!$B$5:$B$1005="AJUSTE")*(MOVIMIENTOS!$C$5:$C$1005="Chancho")*(MOVIMIENTOS!$D$5:$D$1005="sacos")*(MOVIMIENTOS!$A$5:$A$1005&lt;&gt;"")*(MOVIMIENTOS!$A$5:$A$1005&lt;=$A670)*MOVIMIENTOS!$E$5:$E$1005))</f>
        <v/>
      </c>
      <c r="G670" s="62" t="str">
        <f t="shared" si="21"/>
        <v/>
      </c>
      <c r="H670" t="str">
        <f>IF($A670="","",SUMPRODUCT((((MOVIMIENTOS!$B$5:$B$1005="SALDO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670)*MOVIMIENTOS!$J$5:$J$1005))</f>
        <v/>
      </c>
      <c r="J670" t="str">
        <f>IF(AND(MOVIMIENTOS!$A675&lt;&gt;"",COUNTIF(MOVIMIENTOS!$A$5:$A674,MOVIMIENTOS!$A675)=0),COUNT(J$4:J669)+1,"")</f>
        <v/>
      </c>
      <c r="K670">
        <f>MOVIMIENTOS!$A675</f>
        <v>0</v>
      </c>
    </row>
    <row r="671" spans="1:11" ht="15" customHeight="1" x14ac:dyDescent="0.2">
      <c r="A671" t="str">
        <f t="shared" si="20"/>
        <v/>
      </c>
      <c r="B671" t="str">
        <f>IF($A671="","",SUMPRODUCT((MOVIMIENTOS!$B$5:$B$1005="SALDO INICIAL")*(MOVIMIENTOS!$C$5:$C$1005="A")*(MOVIMIENTOS!$D$5:$D$1005="jabas")*(MOVIMIENTOS!$A$5:$A$1005&lt;&gt;"")*(MOVIMIENTOS!$A$5:$A$1005&lt;=$A671)*MOVIMIENTOS!$E$5:$E$1005)+SUMPRODUCT((MOVIMIENTOS!$B$5:$B$1005="PROCESO")*(MOVIMIENTOS!$C$5:$C$1005="A")*(MOVIMIENTOS!$D$5:$D$1005="jabas")*(MOVIMIENTOS!$A$5:$A$1005&lt;&gt;"")*(MOVIMIENTOS!$A$5:$A$1005&lt;=$A671)*MOVIMIENTOS!$E$5:$E$1005)-SUMPRODUCT((MOVIMIENTOS!$B$5:$B$1005="ENVÍO A SUPESA")*(MOVIMIENTOS!$C$5:$C$1005="A")*(MOVIMIENTOS!$D$5:$D$1005="jabas")*(MOVIMIENTOS!$A$5:$A$1005&lt;&gt;"")*(MOVIMIENTOS!$A$5:$A$1005&lt;=$A671)*MOVIMIENTOS!$E$5:$E$1005)+SUMPRODUCT((MOVIMIENTOS!$B$5:$B$1005="DEVOLUCIÓN")*(MOVIMIENTOS!$C$5:$C$1005="A")*(MOVIMIENTOS!$D$5:$D$1005="jabas")*(MOVIMIENTOS!$A$5:$A$1005&lt;&gt;"")*(MOVIMIENTOS!$A$5:$A$1005&lt;=$A671)*MOVIMIENTOS!$E$5:$E$1005)-SUMPRODUCT((MOVIMIENTOS!$B$5:$B$1005="TRASIEGO")*(MOVIMIENTOS!$C$5:$C$1005="A")*(MOVIMIENTOS!$D$5:$D$1005="jabas")*(MOVIMIENTOS!$A$5:$A$1005&lt;&gt;"")*(MOVIMIENTOS!$A$5:$A$1005&lt;=$A671)*MOVIMIENTOS!$E$5:$E$1005)-SUMPRODUCT((MOVIMIENTOS!$B$5:$B$1005="REGALO")*(MOVIMIENTOS!$C$5:$C$1005="A")*(MOVIMIENTOS!$D$5:$D$1005="jabas")*(MOVIMIENTOS!$A$5:$A$1005&lt;&gt;"")*(MOVIMIENTOS!$A$5:$A$1005&lt;=$A671)*MOVIMIENTOS!$E$5:$E$1005)-SUMPRODUCT((MOVIMIENTOS!$B$5:$B$1005="VENTA")*(MOVIMIENTOS!$C$5:$C$1005="A")*(MOVIMIENTOS!$D$5:$D$1005="jabas")*(MOVIMIENTOS!$A$5:$A$1005&lt;&gt;"")*(MOVIMIENTOS!$A$5:$A$1005&lt;=$A671)*MOVIMIENTOS!$E$5:$E$1005)+SUMPRODUCT((MOVIMIENTOS!$B$5:$B$1005="AJUSTE")*(MOVIMIENTOS!$C$5:$C$1005="A")*(MOVIMIENTOS!$D$5:$D$1005="jabas")*(MOVIMIENTOS!$A$5:$A$1005&lt;&gt;"")*(MOVIMIENTOS!$A$5:$A$1005&lt;=$A671)*MOVIMIENTOS!$E$5:$E$1005))</f>
        <v/>
      </c>
      <c r="C671" t="str">
        <f>IF($A671="","",SUMPRODUCT((MOVIMIENTOS!$B$5:$B$1005="SALDO INICIAL")*(MOVIMIENTOS!$C$5:$C$1005="P")*(MOVIMIENTOS!$D$5:$D$1005="jabas")*(MOVIMIENTOS!$A$5:$A$1005&lt;&gt;"")*(MOVIMIENTOS!$A$5:$A$1005&lt;=$A671)*MOVIMIENTOS!$E$5:$E$1005)+SUMPRODUCT((MOVIMIENTOS!$B$5:$B$1005="PROCESO")*(MOVIMIENTOS!$C$5:$C$1005="P")*(MOVIMIENTOS!$D$5:$D$1005="jabas")*(MOVIMIENTOS!$A$5:$A$1005&lt;&gt;"")*(MOVIMIENTOS!$A$5:$A$1005&lt;=$A671)*MOVIMIENTOS!$E$5:$E$1005)-SUMPRODUCT((MOVIMIENTOS!$B$5:$B$1005="ENVÍO A SUPESA")*(MOVIMIENTOS!$C$5:$C$1005="P")*(MOVIMIENTOS!$D$5:$D$1005="jabas")*(MOVIMIENTOS!$A$5:$A$1005&lt;&gt;"")*(MOVIMIENTOS!$A$5:$A$1005&lt;=$A671)*MOVIMIENTOS!$E$5:$E$1005)+SUMPRODUCT((MOVIMIENTOS!$B$5:$B$1005="DEVOLUCIÓN")*(MOVIMIENTOS!$C$5:$C$1005="P")*(MOVIMIENTOS!$D$5:$D$1005="jabas")*(MOVIMIENTOS!$A$5:$A$1005&lt;&gt;"")*(MOVIMIENTOS!$A$5:$A$1005&lt;=$A671)*MOVIMIENTOS!$E$5:$E$1005)-SUMPRODUCT((MOVIMIENTOS!$B$5:$B$1005="TRASIEGO")*(MOVIMIENTOS!$C$5:$C$1005="P")*(MOVIMIENTOS!$D$5:$D$1005="jabas")*(MOVIMIENTOS!$A$5:$A$1005&lt;&gt;"")*(MOVIMIENTOS!$A$5:$A$1005&lt;=$A671)*MOVIMIENTOS!$E$5:$E$1005)-SUMPRODUCT((MOVIMIENTOS!$B$5:$B$1005="REGALO")*(MOVIMIENTOS!$C$5:$C$1005="P")*(MOVIMIENTOS!$D$5:$D$1005="jabas")*(MOVIMIENTOS!$A$5:$A$1005&lt;&gt;"")*(MOVIMIENTOS!$A$5:$A$1005&lt;=$A671)*MOVIMIENTOS!$E$5:$E$1005)-SUMPRODUCT((MOVIMIENTOS!$B$5:$B$1005="VENTA")*(MOVIMIENTOS!$C$5:$C$1005="P")*(MOVIMIENTOS!$D$5:$D$1005="jabas")*(MOVIMIENTOS!$A$5:$A$1005&lt;&gt;"")*(MOVIMIENTOS!$A$5:$A$1005&lt;=$A671)*MOVIMIENTOS!$E$5:$E$1005)+SUMPRODUCT((MOVIMIENTOS!$B$5:$B$1005="AJUSTE")*(MOVIMIENTOS!$C$5:$C$1005="P")*(MOVIMIENTOS!$D$5:$D$1005="jabas")*(MOVIMIENTOS!$A$5:$A$1005&lt;&gt;"")*(MOVIMIENTOS!$A$5:$A$1005&lt;=$A671)*MOVIMIENTOS!$E$5:$E$1005))</f>
        <v/>
      </c>
      <c r="D671" t="str">
        <f>IF($A671="","",SUMPRODUCT((MOVIMIENTOS!$B$5:$B$1005="SALDO INICIAL")*(MOVIMIENTOS!$C$5:$C$1005="C")*(MOVIMIENTOS!$D$5:$D$1005="jabas")*(MOVIMIENTOS!$A$5:$A$1005&lt;&gt;"")*(MOVIMIENTOS!$A$5:$A$1005&lt;=$A671)*MOVIMIENTOS!$E$5:$E$1005)+SUMPRODUCT((MOVIMIENTOS!$B$5:$B$1005="PROCESO")*(MOVIMIENTOS!$C$5:$C$1005="C")*(MOVIMIENTOS!$D$5:$D$1005="jabas")*(MOVIMIENTOS!$A$5:$A$1005&lt;&gt;"")*(MOVIMIENTOS!$A$5:$A$1005&lt;=$A671)*MOVIMIENTOS!$E$5:$E$1005)-SUMPRODUCT((MOVIMIENTOS!$B$5:$B$1005="ENVÍO A SUPESA")*(MOVIMIENTOS!$C$5:$C$1005="C")*(MOVIMIENTOS!$D$5:$D$1005="jabas")*(MOVIMIENTOS!$A$5:$A$1005&lt;&gt;"")*(MOVIMIENTOS!$A$5:$A$1005&lt;=$A671)*MOVIMIENTOS!$E$5:$E$1005)+SUMPRODUCT((MOVIMIENTOS!$B$5:$B$1005="DEVOLUCIÓN")*(MOVIMIENTOS!$C$5:$C$1005="C")*(MOVIMIENTOS!$D$5:$D$1005="jabas")*(MOVIMIENTOS!$A$5:$A$1005&lt;&gt;"")*(MOVIMIENTOS!$A$5:$A$1005&lt;=$A671)*MOVIMIENTOS!$E$5:$E$1005)-SUMPRODUCT((MOVIMIENTOS!$B$5:$B$1005="TRASIEGO")*(MOVIMIENTOS!$C$5:$C$1005="C")*(MOVIMIENTOS!$D$5:$D$1005="jabas")*(MOVIMIENTOS!$A$5:$A$1005&lt;&gt;"")*(MOVIMIENTOS!$A$5:$A$1005&lt;=$A671)*MOVIMIENTOS!$E$5:$E$1005)-SUMPRODUCT((MOVIMIENTOS!$B$5:$B$1005="REGALO")*(MOVIMIENTOS!$C$5:$C$1005="C")*(MOVIMIENTOS!$D$5:$D$1005="jabas")*(MOVIMIENTOS!$A$5:$A$1005&lt;&gt;"")*(MOVIMIENTOS!$A$5:$A$1005&lt;=$A671)*MOVIMIENTOS!$E$5:$E$1005)-SUMPRODUCT((MOVIMIENTOS!$B$5:$B$1005="VENTA")*(MOVIMIENTOS!$C$5:$C$1005="C")*(MOVIMIENTOS!$D$5:$D$1005="jabas")*(MOVIMIENTOS!$A$5:$A$1005&lt;&gt;"")*(MOVIMIENTOS!$A$5:$A$1005&lt;=$A671)*MOVIMIENTOS!$E$5:$E$1005)+SUMPRODUCT((MOVIMIENTOS!$B$5:$B$1005="AJUSTE")*(MOVIMIENTOS!$C$5:$C$1005="C")*(MOVIMIENTOS!$D$5:$D$1005="jabas")*(MOVIMIENTOS!$A$5:$A$1005&lt;&gt;"")*(MOVIMIENTOS!$A$5:$A$1005&lt;=$A671)*MOVIMIENTOS!$E$5:$E$1005))</f>
        <v/>
      </c>
      <c r="E671" t="str">
        <f>IF($A671="","",SUMPRODUCT((MOVIMIENTOS!$B$5:$B$1005="SALDO INICIAL")*(MOVIMIENTOS!$C$5:$C$1005="M")*(MOVIMIENTOS!$D$5:$D$1005="jabas")*(MOVIMIENTOS!$A$5:$A$1005&lt;&gt;"")*(MOVIMIENTOS!$A$5:$A$1005&lt;=$A671)*MOVIMIENTOS!$E$5:$E$1005)+SUMPRODUCT((MOVIMIENTOS!$B$5:$B$1005="PROCESO")*(MOVIMIENTOS!$C$5:$C$1005="M")*(MOVIMIENTOS!$D$5:$D$1005="jabas")*(MOVIMIENTOS!$A$5:$A$1005&lt;&gt;"")*(MOVIMIENTOS!$A$5:$A$1005&lt;=$A671)*MOVIMIENTOS!$E$5:$E$1005)-SUMPRODUCT((MOVIMIENTOS!$B$5:$B$1005="ENVÍO A SUPESA")*(MOVIMIENTOS!$C$5:$C$1005="M")*(MOVIMIENTOS!$D$5:$D$1005="jabas")*(MOVIMIENTOS!$A$5:$A$1005&lt;&gt;"")*(MOVIMIENTOS!$A$5:$A$1005&lt;=$A671)*MOVIMIENTOS!$E$5:$E$1005)+SUMPRODUCT((MOVIMIENTOS!$B$5:$B$1005="DEVOLUCIÓN")*(MOVIMIENTOS!$C$5:$C$1005="M")*(MOVIMIENTOS!$D$5:$D$1005="jabas")*(MOVIMIENTOS!$A$5:$A$1005&lt;&gt;"")*(MOVIMIENTOS!$A$5:$A$1005&lt;=$A671)*MOVIMIENTOS!$E$5:$E$1005)-SUMPRODUCT((MOVIMIENTOS!$B$5:$B$1005="TRASIEGO")*(MOVIMIENTOS!$C$5:$C$1005="M")*(MOVIMIENTOS!$D$5:$D$1005="jabas")*(MOVIMIENTOS!$A$5:$A$1005&lt;&gt;"")*(MOVIMIENTOS!$A$5:$A$1005&lt;=$A671)*MOVIMIENTOS!$E$5:$E$1005)-SUMPRODUCT((MOVIMIENTOS!$B$5:$B$1005="REGALO")*(MOVIMIENTOS!$C$5:$C$1005="M")*(MOVIMIENTOS!$D$5:$D$1005="jabas")*(MOVIMIENTOS!$A$5:$A$1005&lt;&gt;"")*(MOVIMIENTOS!$A$5:$A$1005&lt;=$A671)*MOVIMIENTOS!$E$5:$E$1005)-SUMPRODUCT((MOVIMIENTOS!$B$5:$B$1005="VENTA")*(MOVIMIENTOS!$C$5:$C$1005="M")*(MOVIMIENTOS!$D$5:$D$1005="jabas")*(MOVIMIENTOS!$A$5:$A$1005&lt;&gt;"")*(MOVIMIENTOS!$A$5:$A$1005&lt;=$A671)*MOVIMIENTOS!$E$5:$E$1005)+SUMPRODUCT((MOVIMIENTOS!$B$5:$B$1005="AJUSTE")*(MOVIMIENTOS!$C$5:$C$1005="M")*(MOVIMIENTOS!$D$5:$D$1005="jabas")*(MOVIMIENTOS!$A$5:$A$1005&lt;&gt;"")*(MOVIMIENTOS!$A$5:$A$1005&lt;=$A671)*MOVIMIENTOS!$E$5:$E$1005))</f>
        <v/>
      </c>
      <c r="F671" s="62" t="str">
        <f>IF($A671="","",SUMPRODUCT((MOVIMIENTOS!$B$5:$B$1005="SALDO INICIAL")*(MOVIMIENTOS!$C$5:$C$1005="Chancho")*(MOVIMIENTOS!$D$5:$D$1005="sacos")*(MOVIMIENTOS!$A$5:$A$1005&lt;&gt;"")*(MOVIMIENTOS!$A$5:$A$1005&lt;=$A671)*MOVIMIENTOS!$E$5:$E$1005)+SUMPRODUCT((MOVIMIENTOS!$B$5:$B$1005="PROCESO")*(MOVIMIENTOS!$C$5:$C$1005="Chancho")*(MOVIMIENTOS!$D$5:$D$1005="sacos")*(MOVIMIENTOS!$A$5:$A$1005&lt;&gt;"")*(MOVIMIENTOS!$A$5:$A$1005&lt;=$A671)*MOVIMIENTOS!$E$5:$E$1005)-SUMPRODUCT((MOVIMIENTOS!$B$5:$B$1005="VENTA CHANCHO")*(MOVIMIENTOS!$C$5:$C$1005="Chancho")*(MOVIMIENTOS!$D$5:$D$1005="sacos")*(MOVIMIENTOS!$A$5:$A$1005&lt;&gt;"")*(MOVIMIENTOS!$A$5:$A$1005&lt;=$A671)*MOVIMIENTOS!$E$5:$E$1005)-SUMPRODUCT((MOVIMIENTOS!$B$5:$B$1005="REGALO")*(MOVIMIENTOS!$C$5:$C$1005="Chancho")*(MOVIMIENTOS!$D$5:$D$1005="sacos")*(MOVIMIENTOS!$A$5:$A$1005&lt;&gt;"")*(MOVIMIENTOS!$A$5:$A$1005&lt;=$A671)*MOVIMIENTOS!$E$5:$E$1005)-SUMPRODUCT((MOVIMIENTOS!$B$5:$B$1005="VENTA")*(MOVIMIENTOS!$C$5:$C$1005="Chancho")*(MOVIMIENTOS!$D$5:$D$1005="sacos")*(MOVIMIENTOS!$A$5:$A$1005&lt;&gt;"")*(MOVIMIENTOS!$A$5:$A$1005&lt;=$A671)*MOVIMIENTOS!$E$5:$E$1005)+SUMPRODUCT((MOVIMIENTOS!$B$5:$B$1005="AJUSTE")*(MOVIMIENTOS!$C$5:$C$1005="Chancho")*(MOVIMIENTOS!$D$5:$D$1005="sacos")*(MOVIMIENTOS!$A$5:$A$1005&lt;&gt;"")*(MOVIMIENTOS!$A$5:$A$1005&lt;=$A671)*MOVIMIENTOS!$E$5:$E$1005))</f>
        <v/>
      </c>
      <c r="G671" s="62" t="str">
        <f t="shared" si="21"/>
        <v/>
      </c>
      <c r="H671" t="str">
        <f>IF($A671="","",SUMPRODUCT((((MOVIMIENTOS!$B$5:$B$1005="SALDO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671)*MOVIMIENTOS!$J$5:$J$1005))</f>
        <v/>
      </c>
      <c r="J671" t="str">
        <f>IF(AND(MOVIMIENTOS!$A676&lt;&gt;"",COUNTIF(MOVIMIENTOS!$A$5:$A675,MOVIMIENTOS!$A676)=0),COUNT(J$4:J670)+1,"")</f>
        <v/>
      </c>
      <c r="K671">
        <f>MOVIMIENTOS!$A676</f>
        <v>0</v>
      </c>
    </row>
    <row r="672" spans="1:11" ht="15" customHeight="1" x14ac:dyDescent="0.2">
      <c r="A672" t="str">
        <f t="shared" si="20"/>
        <v/>
      </c>
      <c r="B672" t="str">
        <f>IF($A672="","",SUMPRODUCT((MOVIMIENTOS!$B$5:$B$1005="SALDO INICIAL")*(MOVIMIENTOS!$C$5:$C$1005="A")*(MOVIMIENTOS!$D$5:$D$1005="jabas")*(MOVIMIENTOS!$A$5:$A$1005&lt;&gt;"")*(MOVIMIENTOS!$A$5:$A$1005&lt;=$A672)*MOVIMIENTOS!$E$5:$E$1005)+SUMPRODUCT((MOVIMIENTOS!$B$5:$B$1005="PROCESO")*(MOVIMIENTOS!$C$5:$C$1005="A")*(MOVIMIENTOS!$D$5:$D$1005="jabas")*(MOVIMIENTOS!$A$5:$A$1005&lt;&gt;"")*(MOVIMIENTOS!$A$5:$A$1005&lt;=$A672)*MOVIMIENTOS!$E$5:$E$1005)-SUMPRODUCT((MOVIMIENTOS!$B$5:$B$1005="ENVÍO A SUPESA")*(MOVIMIENTOS!$C$5:$C$1005="A")*(MOVIMIENTOS!$D$5:$D$1005="jabas")*(MOVIMIENTOS!$A$5:$A$1005&lt;&gt;"")*(MOVIMIENTOS!$A$5:$A$1005&lt;=$A672)*MOVIMIENTOS!$E$5:$E$1005)+SUMPRODUCT((MOVIMIENTOS!$B$5:$B$1005="DEVOLUCIÓN")*(MOVIMIENTOS!$C$5:$C$1005="A")*(MOVIMIENTOS!$D$5:$D$1005="jabas")*(MOVIMIENTOS!$A$5:$A$1005&lt;&gt;"")*(MOVIMIENTOS!$A$5:$A$1005&lt;=$A672)*MOVIMIENTOS!$E$5:$E$1005)-SUMPRODUCT((MOVIMIENTOS!$B$5:$B$1005="TRASIEGO")*(MOVIMIENTOS!$C$5:$C$1005="A")*(MOVIMIENTOS!$D$5:$D$1005="jabas")*(MOVIMIENTOS!$A$5:$A$1005&lt;&gt;"")*(MOVIMIENTOS!$A$5:$A$1005&lt;=$A672)*MOVIMIENTOS!$E$5:$E$1005)-SUMPRODUCT((MOVIMIENTOS!$B$5:$B$1005="REGALO")*(MOVIMIENTOS!$C$5:$C$1005="A")*(MOVIMIENTOS!$D$5:$D$1005="jabas")*(MOVIMIENTOS!$A$5:$A$1005&lt;&gt;"")*(MOVIMIENTOS!$A$5:$A$1005&lt;=$A672)*MOVIMIENTOS!$E$5:$E$1005)-SUMPRODUCT((MOVIMIENTOS!$B$5:$B$1005="VENTA")*(MOVIMIENTOS!$C$5:$C$1005="A")*(MOVIMIENTOS!$D$5:$D$1005="jabas")*(MOVIMIENTOS!$A$5:$A$1005&lt;&gt;"")*(MOVIMIENTOS!$A$5:$A$1005&lt;=$A672)*MOVIMIENTOS!$E$5:$E$1005)+SUMPRODUCT((MOVIMIENTOS!$B$5:$B$1005="AJUSTE")*(MOVIMIENTOS!$C$5:$C$1005="A")*(MOVIMIENTOS!$D$5:$D$1005="jabas")*(MOVIMIENTOS!$A$5:$A$1005&lt;&gt;"")*(MOVIMIENTOS!$A$5:$A$1005&lt;=$A672)*MOVIMIENTOS!$E$5:$E$1005))</f>
        <v/>
      </c>
      <c r="C672" t="str">
        <f>IF($A672="","",SUMPRODUCT((MOVIMIENTOS!$B$5:$B$1005="SALDO INICIAL")*(MOVIMIENTOS!$C$5:$C$1005="P")*(MOVIMIENTOS!$D$5:$D$1005="jabas")*(MOVIMIENTOS!$A$5:$A$1005&lt;&gt;"")*(MOVIMIENTOS!$A$5:$A$1005&lt;=$A672)*MOVIMIENTOS!$E$5:$E$1005)+SUMPRODUCT((MOVIMIENTOS!$B$5:$B$1005="PROCESO")*(MOVIMIENTOS!$C$5:$C$1005="P")*(MOVIMIENTOS!$D$5:$D$1005="jabas")*(MOVIMIENTOS!$A$5:$A$1005&lt;&gt;"")*(MOVIMIENTOS!$A$5:$A$1005&lt;=$A672)*MOVIMIENTOS!$E$5:$E$1005)-SUMPRODUCT((MOVIMIENTOS!$B$5:$B$1005="ENVÍO A SUPESA")*(MOVIMIENTOS!$C$5:$C$1005="P")*(MOVIMIENTOS!$D$5:$D$1005="jabas")*(MOVIMIENTOS!$A$5:$A$1005&lt;&gt;"")*(MOVIMIENTOS!$A$5:$A$1005&lt;=$A672)*MOVIMIENTOS!$E$5:$E$1005)+SUMPRODUCT((MOVIMIENTOS!$B$5:$B$1005="DEVOLUCIÓN")*(MOVIMIENTOS!$C$5:$C$1005="P")*(MOVIMIENTOS!$D$5:$D$1005="jabas")*(MOVIMIENTOS!$A$5:$A$1005&lt;&gt;"")*(MOVIMIENTOS!$A$5:$A$1005&lt;=$A672)*MOVIMIENTOS!$E$5:$E$1005)-SUMPRODUCT((MOVIMIENTOS!$B$5:$B$1005="TRASIEGO")*(MOVIMIENTOS!$C$5:$C$1005="P")*(MOVIMIENTOS!$D$5:$D$1005="jabas")*(MOVIMIENTOS!$A$5:$A$1005&lt;&gt;"")*(MOVIMIENTOS!$A$5:$A$1005&lt;=$A672)*MOVIMIENTOS!$E$5:$E$1005)-SUMPRODUCT((MOVIMIENTOS!$B$5:$B$1005="REGALO")*(MOVIMIENTOS!$C$5:$C$1005="P")*(MOVIMIENTOS!$D$5:$D$1005="jabas")*(MOVIMIENTOS!$A$5:$A$1005&lt;&gt;"")*(MOVIMIENTOS!$A$5:$A$1005&lt;=$A672)*MOVIMIENTOS!$E$5:$E$1005)-SUMPRODUCT((MOVIMIENTOS!$B$5:$B$1005="VENTA")*(MOVIMIENTOS!$C$5:$C$1005="P")*(MOVIMIENTOS!$D$5:$D$1005="jabas")*(MOVIMIENTOS!$A$5:$A$1005&lt;&gt;"")*(MOVIMIENTOS!$A$5:$A$1005&lt;=$A672)*MOVIMIENTOS!$E$5:$E$1005)+SUMPRODUCT((MOVIMIENTOS!$B$5:$B$1005="AJUSTE")*(MOVIMIENTOS!$C$5:$C$1005="P")*(MOVIMIENTOS!$D$5:$D$1005="jabas")*(MOVIMIENTOS!$A$5:$A$1005&lt;&gt;"")*(MOVIMIENTOS!$A$5:$A$1005&lt;=$A672)*MOVIMIENTOS!$E$5:$E$1005))</f>
        <v/>
      </c>
      <c r="D672" t="str">
        <f>IF($A672="","",SUMPRODUCT((MOVIMIENTOS!$B$5:$B$1005="SALDO INICIAL")*(MOVIMIENTOS!$C$5:$C$1005="C")*(MOVIMIENTOS!$D$5:$D$1005="jabas")*(MOVIMIENTOS!$A$5:$A$1005&lt;&gt;"")*(MOVIMIENTOS!$A$5:$A$1005&lt;=$A672)*MOVIMIENTOS!$E$5:$E$1005)+SUMPRODUCT((MOVIMIENTOS!$B$5:$B$1005="PROCESO")*(MOVIMIENTOS!$C$5:$C$1005="C")*(MOVIMIENTOS!$D$5:$D$1005="jabas")*(MOVIMIENTOS!$A$5:$A$1005&lt;&gt;"")*(MOVIMIENTOS!$A$5:$A$1005&lt;=$A672)*MOVIMIENTOS!$E$5:$E$1005)-SUMPRODUCT((MOVIMIENTOS!$B$5:$B$1005="ENVÍO A SUPESA")*(MOVIMIENTOS!$C$5:$C$1005="C")*(MOVIMIENTOS!$D$5:$D$1005="jabas")*(MOVIMIENTOS!$A$5:$A$1005&lt;&gt;"")*(MOVIMIENTOS!$A$5:$A$1005&lt;=$A672)*MOVIMIENTOS!$E$5:$E$1005)+SUMPRODUCT((MOVIMIENTOS!$B$5:$B$1005="DEVOLUCIÓN")*(MOVIMIENTOS!$C$5:$C$1005="C")*(MOVIMIENTOS!$D$5:$D$1005="jabas")*(MOVIMIENTOS!$A$5:$A$1005&lt;&gt;"")*(MOVIMIENTOS!$A$5:$A$1005&lt;=$A672)*MOVIMIENTOS!$E$5:$E$1005)-SUMPRODUCT((MOVIMIENTOS!$B$5:$B$1005="TRASIEGO")*(MOVIMIENTOS!$C$5:$C$1005="C")*(MOVIMIENTOS!$D$5:$D$1005="jabas")*(MOVIMIENTOS!$A$5:$A$1005&lt;&gt;"")*(MOVIMIENTOS!$A$5:$A$1005&lt;=$A672)*MOVIMIENTOS!$E$5:$E$1005)-SUMPRODUCT((MOVIMIENTOS!$B$5:$B$1005="REGALO")*(MOVIMIENTOS!$C$5:$C$1005="C")*(MOVIMIENTOS!$D$5:$D$1005="jabas")*(MOVIMIENTOS!$A$5:$A$1005&lt;&gt;"")*(MOVIMIENTOS!$A$5:$A$1005&lt;=$A672)*MOVIMIENTOS!$E$5:$E$1005)-SUMPRODUCT((MOVIMIENTOS!$B$5:$B$1005="VENTA")*(MOVIMIENTOS!$C$5:$C$1005="C")*(MOVIMIENTOS!$D$5:$D$1005="jabas")*(MOVIMIENTOS!$A$5:$A$1005&lt;&gt;"")*(MOVIMIENTOS!$A$5:$A$1005&lt;=$A672)*MOVIMIENTOS!$E$5:$E$1005)+SUMPRODUCT((MOVIMIENTOS!$B$5:$B$1005="AJUSTE")*(MOVIMIENTOS!$C$5:$C$1005="C")*(MOVIMIENTOS!$D$5:$D$1005="jabas")*(MOVIMIENTOS!$A$5:$A$1005&lt;&gt;"")*(MOVIMIENTOS!$A$5:$A$1005&lt;=$A672)*MOVIMIENTOS!$E$5:$E$1005))</f>
        <v/>
      </c>
      <c r="E672" t="str">
        <f>IF($A672="","",SUMPRODUCT((MOVIMIENTOS!$B$5:$B$1005="SALDO INICIAL")*(MOVIMIENTOS!$C$5:$C$1005="M")*(MOVIMIENTOS!$D$5:$D$1005="jabas")*(MOVIMIENTOS!$A$5:$A$1005&lt;&gt;"")*(MOVIMIENTOS!$A$5:$A$1005&lt;=$A672)*MOVIMIENTOS!$E$5:$E$1005)+SUMPRODUCT((MOVIMIENTOS!$B$5:$B$1005="PROCESO")*(MOVIMIENTOS!$C$5:$C$1005="M")*(MOVIMIENTOS!$D$5:$D$1005="jabas")*(MOVIMIENTOS!$A$5:$A$1005&lt;&gt;"")*(MOVIMIENTOS!$A$5:$A$1005&lt;=$A672)*MOVIMIENTOS!$E$5:$E$1005)-SUMPRODUCT((MOVIMIENTOS!$B$5:$B$1005="ENVÍO A SUPESA")*(MOVIMIENTOS!$C$5:$C$1005="M")*(MOVIMIENTOS!$D$5:$D$1005="jabas")*(MOVIMIENTOS!$A$5:$A$1005&lt;&gt;"")*(MOVIMIENTOS!$A$5:$A$1005&lt;=$A672)*MOVIMIENTOS!$E$5:$E$1005)+SUMPRODUCT((MOVIMIENTOS!$B$5:$B$1005="DEVOLUCIÓN")*(MOVIMIENTOS!$C$5:$C$1005="M")*(MOVIMIENTOS!$D$5:$D$1005="jabas")*(MOVIMIENTOS!$A$5:$A$1005&lt;&gt;"")*(MOVIMIENTOS!$A$5:$A$1005&lt;=$A672)*MOVIMIENTOS!$E$5:$E$1005)-SUMPRODUCT((MOVIMIENTOS!$B$5:$B$1005="TRASIEGO")*(MOVIMIENTOS!$C$5:$C$1005="M")*(MOVIMIENTOS!$D$5:$D$1005="jabas")*(MOVIMIENTOS!$A$5:$A$1005&lt;&gt;"")*(MOVIMIENTOS!$A$5:$A$1005&lt;=$A672)*MOVIMIENTOS!$E$5:$E$1005)-SUMPRODUCT((MOVIMIENTOS!$B$5:$B$1005="REGALO")*(MOVIMIENTOS!$C$5:$C$1005="M")*(MOVIMIENTOS!$D$5:$D$1005="jabas")*(MOVIMIENTOS!$A$5:$A$1005&lt;&gt;"")*(MOVIMIENTOS!$A$5:$A$1005&lt;=$A672)*MOVIMIENTOS!$E$5:$E$1005)-SUMPRODUCT((MOVIMIENTOS!$B$5:$B$1005="VENTA")*(MOVIMIENTOS!$C$5:$C$1005="M")*(MOVIMIENTOS!$D$5:$D$1005="jabas")*(MOVIMIENTOS!$A$5:$A$1005&lt;&gt;"")*(MOVIMIENTOS!$A$5:$A$1005&lt;=$A672)*MOVIMIENTOS!$E$5:$E$1005)+SUMPRODUCT((MOVIMIENTOS!$B$5:$B$1005="AJUSTE")*(MOVIMIENTOS!$C$5:$C$1005="M")*(MOVIMIENTOS!$D$5:$D$1005="jabas")*(MOVIMIENTOS!$A$5:$A$1005&lt;&gt;"")*(MOVIMIENTOS!$A$5:$A$1005&lt;=$A672)*MOVIMIENTOS!$E$5:$E$1005))</f>
        <v/>
      </c>
      <c r="F672" s="62" t="str">
        <f>IF($A672="","",SUMPRODUCT((MOVIMIENTOS!$B$5:$B$1005="SALDO INICIAL")*(MOVIMIENTOS!$C$5:$C$1005="Chancho")*(MOVIMIENTOS!$D$5:$D$1005="sacos")*(MOVIMIENTOS!$A$5:$A$1005&lt;&gt;"")*(MOVIMIENTOS!$A$5:$A$1005&lt;=$A672)*MOVIMIENTOS!$E$5:$E$1005)+SUMPRODUCT((MOVIMIENTOS!$B$5:$B$1005="PROCESO")*(MOVIMIENTOS!$C$5:$C$1005="Chancho")*(MOVIMIENTOS!$D$5:$D$1005="sacos")*(MOVIMIENTOS!$A$5:$A$1005&lt;&gt;"")*(MOVIMIENTOS!$A$5:$A$1005&lt;=$A672)*MOVIMIENTOS!$E$5:$E$1005)-SUMPRODUCT((MOVIMIENTOS!$B$5:$B$1005="VENTA CHANCHO")*(MOVIMIENTOS!$C$5:$C$1005="Chancho")*(MOVIMIENTOS!$D$5:$D$1005="sacos")*(MOVIMIENTOS!$A$5:$A$1005&lt;&gt;"")*(MOVIMIENTOS!$A$5:$A$1005&lt;=$A672)*MOVIMIENTOS!$E$5:$E$1005)-SUMPRODUCT((MOVIMIENTOS!$B$5:$B$1005="REGALO")*(MOVIMIENTOS!$C$5:$C$1005="Chancho")*(MOVIMIENTOS!$D$5:$D$1005="sacos")*(MOVIMIENTOS!$A$5:$A$1005&lt;&gt;"")*(MOVIMIENTOS!$A$5:$A$1005&lt;=$A672)*MOVIMIENTOS!$E$5:$E$1005)-SUMPRODUCT((MOVIMIENTOS!$B$5:$B$1005="VENTA")*(MOVIMIENTOS!$C$5:$C$1005="Chancho")*(MOVIMIENTOS!$D$5:$D$1005="sacos")*(MOVIMIENTOS!$A$5:$A$1005&lt;&gt;"")*(MOVIMIENTOS!$A$5:$A$1005&lt;=$A672)*MOVIMIENTOS!$E$5:$E$1005)+SUMPRODUCT((MOVIMIENTOS!$B$5:$B$1005="AJUSTE")*(MOVIMIENTOS!$C$5:$C$1005="Chancho")*(MOVIMIENTOS!$D$5:$D$1005="sacos")*(MOVIMIENTOS!$A$5:$A$1005&lt;&gt;"")*(MOVIMIENTOS!$A$5:$A$1005&lt;=$A672)*MOVIMIENTOS!$E$5:$E$1005))</f>
        <v/>
      </c>
      <c r="G672" s="62" t="str">
        <f t="shared" si="21"/>
        <v/>
      </c>
      <c r="H672" t="str">
        <f>IF($A672="","",SUMPRODUCT((((MOVIMIENTOS!$B$5:$B$1005="SALDO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672)*MOVIMIENTOS!$J$5:$J$1005))</f>
        <v/>
      </c>
      <c r="J672" t="str">
        <f>IF(AND(MOVIMIENTOS!$A677&lt;&gt;"",COUNTIF(MOVIMIENTOS!$A$5:$A676,MOVIMIENTOS!$A677)=0),COUNT(J$4:J671)+1,"")</f>
        <v/>
      </c>
      <c r="K672">
        <f>MOVIMIENTOS!$A677</f>
        <v>0</v>
      </c>
    </row>
    <row r="673" spans="1:11" ht="15" customHeight="1" x14ac:dyDescent="0.2">
      <c r="A673" t="str">
        <f t="shared" si="20"/>
        <v/>
      </c>
      <c r="B673" t="str">
        <f>IF($A673="","",SUMPRODUCT((MOVIMIENTOS!$B$5:$B$1005="SALDO INICIAL")*(MOVIMIENTOS!$C$5:$C$1005="A")*(MOVIMIENTOS!$D$5:$D$1005="jabas")*(MOVIMIENTOS!$A$5:$A$1005&lt;&gt;"")*(MOVIMIENTOS!$A$5:$A$1005&lt;=$A673)*MOVIMIENTOS!$E$5:$E$1005)+SUMPRODUCT((MOVIMIENTOS!$B$5:$B$1005="PROCESO")*(MOVIMIENTOS!$C$5:$C$1005="A")*(MOVIMIENTOS!$D$5:$D$1005="jabas")*(MOVIMIENTOS!$A$5:$A$1005&lt;&gt;"")*(MOVIMIENTOS!$A$5:$A$1005&lt;=$A673)*MOVIMIENTOS!$E$5:$E$1005)-SUMPRODUCT((MOVIMIENTOS!$B$5:$B$1005="ENVÍO A SUPESA")*(MOVIMIENTOS!$C$5:$C$1005="A")*(MOVIMIENTOS!$D$5:$D$1005="jabas")*(MOVIMIENTOS!$A$5:$A$1005&lt;&gt;"")*(MOVIMIENTOS!$A$5:$A$1005&lt;=$A673)*MOVIMIENTOS!$E$5:$E$1005)+SUMPRODUCT((MOVIMIENTOS!$B$5:$B$1005="DEVOLUCIÓN")*(MOVIMIENTOS!$C$5:$C$1005="A")*(MOVIMIENTOS!$D$5:$D$1005="jabas")*(MOVIMIENTOS!$A$5:$A$1005&lt;&gt;"")*(MOVIMIENTOS!$A$5:$A$1005&lt;=$A673)*MOVIMIENTOS!$E$5:$E$1005)-SUMPRODUCT((MOVIMIENTOS!$B$5:$B$1005="TRASIEGO")*(MOVIMIENTOS!$C$5:$C$1005="A")*(MOVIMIENTOS!$D$5:$D$1005="jabas")*(MOVIMIENTOS!$A$5:$A$1005&lt;&gt;"")*(MOVIMIENTOS!$A$5:$A$1005&lt;=$A673)*MOVIMIENTOS!$E$5:$E$1005)-SUMPRODUCT((MOVIMIENTOS!$B$5:$B$1005="REGALO")*(MOVIMIENTOS!$C$5:$C$1005="A")*(MOVIMIENTOS!$D$5:$D$1005="jabas")*(MOVIMIENTOS!$A$5:$A$1005&lt;&gt;"")*(MOVIMIENTOS!$A$5:$A$1005&lt;=$A673)*MOVIMIENTOS!$E$5:$E$1005)-SUMPRODUCT((MOVIMIENTOS!$B$5:$B$1005="VENTA")*(MOVIMIENTOS!$C$5:$C$1005="A")*(MOVIMIENTOS!$D$5:$D$1005="jabas")*(MOVIMIENTOS!$A$5:$A$1005&lt;&gt;"")*(MOVIMIENTOS!$A$5:$A$1005&lt;=$A673)*MOVIMIENTOS!$E$5:$E$1005)+SUMPRODUCT((MOVIMIENTOS!$B$5:$B$1005="AJUSTE")*(MOVIMIENTOS!$C$5:$C$1005="A")*(MOVIMIENTOS!$D$5:$D$1005="jabas")*(MOVIMIENTOS!$A$5:$A$1005&lt;&gt;"")*(MOVIMIENTOS!$A$5:$A$1005&lt;=$A673)*MOVIMIENTOS!$E$5:$E$1005))</f>
        <v/>
      </c>
      <c r="C673" t="str">
        <f>IF($A673="","",SUMPRODUCT((MOVIMIENTOS!$B$5:$B$1005="SALDO INICIAL")*(MOVIMIENTOS!$C$5:$C$1005="P")*(MOVIMIENTOS!$D$5:$D$1005="jabas")*(MOVIMIENTOS!$A$5:$A$1005&lt;&gt;"")*(MOVIMIENTOS!$A$5:$A$1005&lt;=$A673)*MOVIMIENTOS!$E$5:$E$1005)+SUMPRODUCT((MOVIMIENTOS!$B$5:$B$1005="PROCESO")*(MOVIMIENTOS!$C$5:$C$1005="P")*(MOVIMIENTOS!$D$5:$D$1005="jabas")*(MOVIMIENTOS!$A$5:$A$1005&lt;&gt;"")*(MOVIMIENTOS!$A$5:$A$1005&lt;=$A673)*MOVIMIENTOS!$E$5:$E$1005)-SUMPRODUCT((MOVIMIENTOS!$B$5:$B$1005="ENVÍO A SUPESA")*(MOVIMIENTOS!$C$5:$C$1005="P")*(MOVIMIENTOS!$D$5:$D$1005="jabas")*(MOVIMIENTOS!$A$5:$A$1005&lt;&gt;"")*(MOVIMIENTOS!$A$5:$A$1005&lt;=$A673)*MOVIMIENTOS!$E$5:$E$1005)+SUMPRODUCT((MOVIMIENTOS!$B$5:$B$1005="DEVOLUCIÓN")*(MOVIMIENTOS!$C$5:$C$1005="P")*(MOVIMIENTOS!$D$5:$D$1005="jabas")*(MOVIMIENTOS!$A$5:$A$1005&lt;&gt;"")*(MOVIMIENTOS!$A$5:$A$1005&lt;=$A673)*MOVIMIENTOS!$E$5:$E$1005)-SUMPRODUCT((MOVIMIENTOS!$B$5:$B$1005="TRASIEGO")*(MOVIMIENTOS!$C$5:$C$1005="P")*(MOVIMIENTOS!$D$5:$D$1005="jabas")*(MOVIMIENTOS!$A$5:$A$1005&lt;&gt;"")*(MOVIMIENTOS!$A$5:$A$1005&lt;=$A673)*MOVIMIENTOS!$E$5:$E$1005)-SUMPRODUCT((MOVIMIENTOS!$B$5:$B$1005="REGALO")*(MOVIMIENTOS!$C$5:$C$1005="P")*(MOVIMIENTOS!$D$5:$D$1005="jabas")*(MOVIMIENTOS!$A$5:$A$1005&lt;&gt;"")*(MOVIMIENTOS!$A$5:$A$1005&lt;=$A673)*MOVIMIENTOS!$E$5:$E$1005)-SUMPRODUCT((MOVIMIENTOS!$B$5:$B$1005="VENTA")*(MOVIMIENTOS!$C$5:$C$1005="P")*(MOVIMIENTOS!$D$5:$D$1005="jabas")*(MOVIMIENTOS!$A$5:$A$1005&lt;&gt;"")*(MOVIMIENTOS!$A$5:$A$1005&lt;=$A673)*MOVIMIENTOS!$E$5:$E$1005)+SUMPRODUCT((MOVIMIENTOS!$B$5:$B$1005="AJUSTE")*(MOVIMIENTOS!$C$5:$C$1005="P")*(MOVIMIENTOS!$D$5:$D$1005="jabas")*(MOVIMIENTOS!$A$5:$A$1005&lt;&gt;"")*(MOVIMIENTOS!$A$5:$A$1005&lt;=$A673)*MOVIMIENTOS!$E$5:$E$1005))</f>
        <v/>
      </c>
      <c r="D673" t="str">
        <f>IF($A673="","",SUMPRODUCT((MOVIMIENTOS!$B$5:$B$1005="SALDO INICIAL")*(MOVIMIENTOS!$C$5:$C$1005="C")*(MOVIMIENTOS!$D$5:$D$1005="jabas")*(MOVIMIENTOS!$A$5:$A$1005&lt;&gt;"")*(MOVIMIENTOS!$A$5:$A$1005&lt;=$A673)*MOVIMIENTOS!$E$5:$E$1005)+SUMPRODUCT((MOVIMIENTOS!$B$5:$B$1005="PROCESO")*(MOVIMIENTOS!$C$5:$C$1005="C")*(MOVIMIENTOS!$D$5:$D$1005="jabas")*(MOVIMIENTOS!$A$5:$A$1005&lt;&gt;"")*(MOVIMIENTOS!$A$5:$A$1005&lt;=$A673)*MOVIMIENTOS!$E$5:$E$1005)-SUMPRODUCT((MOVIMIENTOS!$B$5:$B$1005="ENVÍO A SUPESA")*(MOVIMIENTOS!$C$5:$C$1005="C")*(MOVIMIENTOS!$D$5:$D$1005="jabas")*(MOVIMIENTOS!$A$5:$A$1005&lt;&gt;"")*(MOVIMIENTOS!$A$5:$A$1005&lt;=$A673)*MOVIMIENTOS!$E$5:$E$1005)+SUMPRODUCT((MOVIMIENTOS!$B$5:$B$1005="DEVOLUCIÓN")*(MOVIMIENTOS!$C$5:$C$1005="C")*(MOVIMIENTOS!$D$5:$D$1005="jabas")*(MOVIMIENTOS!$A$5:$A$1005&lt;&gt;"")*(MOVIMIENTOS!$A$5:$A$1005&lt;=$A673)*MOVIMIENTOS!$E$5:$E$1005)-SUMPRODUCT((MOVIMIENTOS!$B$5:$B$1005="TRASIEGO")*(MOVIMIENTOS!$C$5:$C$1005="C")*(MOVIMIENTOS!$D$5:$D$1005="jabas")*(MOVIMIENTOS!$A$5:$A$1005&lt;&gt;"")*(MOVIMIENTOS!$A$5:$A$1005&lt;=$A673)*MOVIMIENTOS!$E$5:$E$1005)-SUMPRODUCT((MOVIMIENTOS!$B$5:$B$1005="REGALO")*(MOVIMIENTOS!$C$5:$C$1005="C")*(MOVIMIENTOS!$D$5:$D$1005="jabas")*(MOVIMIENTOS!$A$5:$A$1005&lt;&gt;"")*(MOVIMIENTOS!$A$5:$A$1005&lt;=$A673)*MOVIMIENTOS!$E$5:$E$1005)-SUMPRODUCT((MOVIMIENTOS!$B$5:$B$1005="VENTA")*(MOVIMIENTOS!$C$5:$C$1005="C")*(MOVIMIENTOS!$D$5:$D$1005="jabas")*(MOVIMIENTOS!$A$5:$A$1005&lt;&gt;"")*(MOVIMIENTOS!$A$5:$A$1005&lt;=$A673)*MOVIMIENTOS!$E$5:$E$1005)+SUMPRODUCT((MOVIMIENTOS!$B$5:$B$1005="AJUSTE")*(MOVIMIENTOS!$C$5:$C$1005="C")*(MOVIMIENTOS!$D$5:$D$1005="jabas")*(MOVIMIENTOS!$A$5:$A$1005&lt;&gt;"")*(MOVIMIENTOS!$A$5:$A$1005&lt;=$A673)*MOVIMIENTOS!$E$5:$E$1005))</f>
        <v/>
      </c>
      <c r="E673" t="str">
        <f>IF($A673="","",SUMPRODUCT((MOVIMIENTOS!$B$5:$B$1005="SALDO INICIAL")*(MOVIMIENTOS!$C$5:$C$1005="M")*(MOVIMIENTOS!$D$5:$D$1005="jabas")*(MOVIMIENTOS!$A$5:$A$1005&lt;&gt;"")*(MOVIMIENTOS!$A$5:$A$1005&lt;=$A673)*MOVIMIENTOS!$E$5:$E$1005)+SUMPRODUCT((MOVIMIENTOS!$B$5:$B$1005="PROCESO")*(MOVIMIENTOS!$C$5:$C$1005="M")*(MOVIMIENTOS!$D$5:$D$1005="jabas")*(MOVIMIENTOS!$A$5:$A$1005&lt;&gt;"")*(MOVIMIENTOS!$A$5:$A$1005&lt;=$A673)*MOVIMIENTOS!$E$5:$E$1005)-SUMPRODUCT((MOVIMIENTOS!$B$5:$B$1005="ENVÍO A SUPESA")*(MOVIMIENTOS!$C$5:$C$1005="M")*(MOVIMIENTOS!$D$5:$D$1005="jabas")*(MOVIMIENTOS!$A$5:$A$1005&lt;&gt;"")*(MOVIMIENTOS!$A$5:$A$1005&lt;=$A673)*MOVIMIENTOS!$E$5:$E$1005)+SUMPRODUCT((MOVIMIENTOS!$B$5:$B$1005="DEVOLUCIÓN")*(MOVIMIENTOS!$C$5:$C$1005="M")*(MOVIMIENTOS!$D$5:$D$1005="jabas")*(MOVIMIENTOS!$A$5:$A$1005&lt;&gt;"")*(MOVIMIENTOS!$A$5:$A$1005&lt;=$A673)*MOVIMIENTOS!$E$5:$E$1005)-SUMPRODUCT((MOVIMIENTOS!$B$5:$B$1005="TRASIEGO")*(MOVIMIENTOS!$C$5:$C$1005="M")*(MOVIMIENTOS!$D$5:$D$1005="jabas")*(MOVIMIENTOS!$A$5:$A$1005&lt;&gt;"")*(MOVIMIENTOS!$A$5:$A$1005&lt;=$A673)*MOVIMIENTOS!$E$5:$E$1005)-SUMPRODUCT((MOVIMIENTOS!$B$5:$B$1005="REGALO")*(MOVIMIENTOS!$C$5:$C$1005="M")*(MOVIMIENTOS!$D$5:$D$1005="jabas")*(MOVIMIENTOS!$A$5:$A$1005&lt;&gt;"")*(MOVIMIENTOS!$A$5:$A$1005&lt;=$A673)*MOVIMIENTOS!$E$5:$E$1005)-SUMPRODUCT((MOVIMIENTOS!$B$5:$B$1005="VENTA")*(MOVIMIENTOS!$C$5:$C$1005="M")*(MOVIMIENTOS!$D$5:$D$1005="jabas")*(MOVIMIENTOS!$A$5:$A$1005&lt;&gt;"")*(MOVIMIENTOS!$A$5:$A$1005&lt;=$A673)*MOVIMIENTOS!$E$5:$E$1005)+SUMPRODUCT((MOVIMIENTOS!$B$5:$B$1005="AJUSTE")*(MOVIMIENTOS!$C$5:$C$1005="M")*(MOVIMIENTOS!$D$5:$D$1005="jabas")*(MOVIMIENTOS!$A$5:$A$1005&lt;&gt;"")*(MOVIMIENTOS!$A$5:$A$1005&lt;=$A673)*MOVIMIENTOS!$E$5:$E$1005))</f>
        <v/>
      </c>
      <c r="F673" s="62" t="str">
        <f>IF($A673="","",SUMPRODUCT((MOVIMIENTOS!$B$5:$B$1005="SALDO INICIAL")*(MOVIMIENTOS!$C$5:$C$1005="Chancho")*(MOVIMIENTOS!$D$5:$D$1005="sacos")*(MOVIMIENTOS!$A$5:$A$1005&lt;&gt;"")*(MOVIMIENTOS!$A$5:$A$1005&lt;=$A673)*MOVIMIENTOS!$E$5:$E$1005)+SUMPRODUCT((MOVIMIENTOS!$B$5:$B$1005="PROCESO")*(MOVIMIENTOS!$C$5:$C$1005="Chancho")*(MOVIMIENTOS!$D$5:$D$1005="sacos")*(MOVIMIENTOS!$A$5:$A$1005&lt;&gt;"")*(MOVIMIENTOS!$A$5:$A$1005&lt;=$A673)*MOVIMIENTOS!$E$5:$E$1005)-SUMPRODUCT((MOVIMIENTOS!$B$5:$B$1005="VENTA CHANCHO")*(MOVIMIENTOS!$C$5:$C$1005="Chancho")*(MOVIMIENTOS!$D$5:$D$1005="sacos")*(MOVIMIENTOS!$A$5:$A$1005&lt;&gt;"")*(MOVIMIENTOS!$A$5:$A$1005&lt;=$A673)*MOVIMIENTOS!$E$5:$E$1005)-SUMPRODUCT((MOVIMIENTOS!$B$5:$B$1005="REGALO")*(MOVIMIENTOS!$C$5:$C$1005="Chancho")*(MOVIMIENTOS!$D$5:$D$1005="sacos")*(MOVIMIENTOS!$A$5:$A$1005&lt;&gt;"")*(MOVIMIENTOS!$A$5:$A$1005&lt;=$A673)*MOVIMIENTOS!$E$5:$E$1005)-SUMPRODUCT((MOVIMIENTOS!$B$5:$B$1005="VENTA")*(MOVIMIENTOS!$C$5:$C$1005="Chancho")*(MOVIMIENTOS!$D$5:$D$1005="sacos")*(MOVIMIENTOS!$A$5:$A$1005&lt;&gt;"")*(MOVIMIENTOS!$A$5:$A$1005&lt;=$A673)*MOVIMIENTOS!$E$5:$E$1005)+SUMPRODUCT((MOVIMIENTOS!$B$5:$B$1005="AJUSTE")*(MOVIMIENTOS!$C$5:$C$1005="Chancho")*(MOVIMIENTOS!$D$5:$D$1005="sacos")*(MOVIMIENTOS!$A$5:$A$1005&lt;&gt;"")*(MOVIMIENTOS!$A$5:$A$1005&lt;=$A673)*MOVIMIENTOS!$E$5:$E$1005))</f>
        <v/>
      </c>
      <c r="G673" s="62" t="str">
        <f t="shared" si="21"/>
        <v/>
      </c>
      <c r="H673" t="str">
        <f>IF($A673="","",SUMPRODUCT((((MOVIMIENTOS!$B$5:$B$1005="SALDO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673)*MOVIMIENTOS!$J$5:$J$1005))</f>
        <v/>
      </c>
      <c r="J673" t="str">
        <f>IF(AND(MOVIMIENTOS!$A678&lt;&gt;"",COUNTIF(MOVIMIENTOS!$A$5:$A677,MOVIMIENTOS!$A678)=0),COUNT(J$4:J672)+1,"")</f>
        <v/>
      </c>
      <c r="K673">
        <f>MOVIMIENTOS!$A678</f>
        <v>0</v>
      </c>
    </row>
    <row r="674" spans="1:11" ht="15" customHeight="1" x14ac:dyDescent="0.2">
      <c r="A674" t="str">
        <f t="shared" si="20"/>
        <v/>
      </c>
      <c r="B674" t="str">
        <f>IF($A674="","",SUMPRODUCT((MOVIMIENTOS!$B$5:$B$1005="SALDO INICIAL")*(MOVIMIENTOS!$C$5:$C$1005="A")*(MOVIMIENTOS!$D$5:$D$1005="jabas")*(MOVIMIENTOS!$A$5:$A$1005&lt;&gt;"")*(MOVIMIENTOS!$A$5:$A$1005&lt;=$A674)*MOVIMIENTOS!$E$5:$E$1005)+SUMPRODUCT((MOVIMIENTOS!$B$5:$B$1005="PROCESO")*(MOVIMIENTOS!$C$5:$C$1005="A")*(MOVIMIENTOS!$D$5:$D$1005="jabas")*(MOVIMIENTOS!$A$5:$A$1005&lt;&gt;"")*(MOVIMIENTOS!$A$5:$A$1005&lt;=$A674)*MOVIMIENTOS!$E$5:$E$1005)-SUMPRODUCT((MOVIMIENTOS!$B$5:$B$1005="ENVÍO A SUPESA")*(MOVIMIENTOS!$C$5:$C$1005="A")*(MOVIMIENTOS!$D$5:$D$1005="jabas")*(MOVIMIENTOS!$A$5:$A$1005&lt;&gt;"")*(MOVIMIENTOS!$A$5:$A$1005&lt;=$A674)*MOVIMIENTOS!$E$5:$E$1005)+SUMPRODUCT((MOVIMIENTOS!$B$5:$B$1005="DEVOLUCIÓN")*(MOVIMIENTOS!$C$5:$C$1005="A")*(MOVIMIENTOS!$D$5:$D$1005="jabas")*(MOVIMIENTOS!$A$5:$A$1005&lt;&gt;"")*(MOVIMIENTOS!$A$5:$A$1005&lt;=$A674)*MOVIMIENTOS!$E$5:$E$1005)-SUMPRODUCT((MOVIMIENTOS!$B$5:$B$1005="TRASIEGO")*(MOVIMIENTOS!$C$5:$C$1005="A")*(MOVIMIENTOS!$D$5:$D$1005="jabas")*(MOVIMIENTOS!$A$5:$A$1005&lt;&gt;"")*(MOVIMIENTOS!$A$5:$A$1005&lt;=$A674)*MOVIMIENTOS!$E$5:$E$1005)-SUMPRODUCT((MOVIMIENTOS!$B$5:$B$1005="REGALO")*(MOVIMIENTOS!$C$5:$C$1005="A")*(MOVIMIENTOS!$D$5:$D$1005="jabas")*(MOVIMIENTOS!$A$5:$A$1005&lt;&gt;"")*(MOVIMIENTOS!$A$5:$A$1005&lt;=$A674)*MOVIMIENTOS!$E$5:$E$1005)-SUMPRODUCT((MOVIMIENTOS!$B$5:$B$1005="VENTA")*(MOVIMIENTOS!$C$5:$C$1005="A")*(MOVIMIENTOS!$D$5:$D$1005="jabas")*(MOVIMIENTOS!$A$5:$A$1005&lt;&gt;"")*(MOVIMIENTOS!$A$5:$A$1005&lt;=$A674)*MOVIMIENTOS!$E$5:$E$1005)+SUMPRODUCT((MOVIMIENTOS!$B$5:$B$1005="AJUSTE")*(MOVIMIENTOS!$C$5:$C$1005="A")*(MOVIMIENTOS!$D$5:$D$1005="jabas")*(MOVIMIENTOS!$A$5:$A$1005&lt;&gt;"")*(MOVIMIENTOS!$A$5:$A$1005&lt;=$A674)*MOVIMIENTOS!$E$5:$E$1005))</f>
        <v/>
      </c>
      <c r="C674" t="str">
        <f>IF($A674="","",SUMPRODUCT((MOVIMIENTOS!$B$5:$B$1005="SALDO INICIAL")*(MOVIMIENTOS!$C$5:$C$1005="P")*(MOVIMIENTOS!$D$5:$D$1005="jabas")*(MOVIMIENTOS!$A$5:$A$1005&lt;&gt;"")*(MOVIMIENTOS!$A$5:$A$1005&lt;=$A674)*MOVIMIENTOS!$E$5:$E$1005)+SUMPRODUCT((MOVIMIENTOS!$B$5:$B$1005="PROCESO")*(MOVIMIENTOS!$C$5:$C$1005="P")*(MOVIMIENTOS!$D$5:$D$1005="jabas")*(MOVIMIENTOS!$A$5:$A$1005&lt;&gt;"")*(MOVIMIENTOS!$A$5:$A$1005&lt;=$A674)*MOVIMIENTOS!$E$5:$E$1005)-SUMPRODUCT((MOVIMIENTOS!$B$5:$B$1005="ENVÍO A SUPESA")*(MOVIMIENTOS!$C$5:$C$1005="P")*(MOVIMIENTOS!$D$5:$D$1005="jabas")*(MOVIMIENTOS!$A$5:$A$1005&lt;&gt;"")*(MOVIMIENTOS!$A$5:$A$1005&lt;=$A674)*MOVIMIENTOS!$E$5:$E$1005)+SUMPRODUCT((MOVIMIENTOS!$B$5:$B$1005="DEVOLUCIÓN")*(MOVIMIENTOS!$C$5:$C$1005="P")*(MOVIMIENTOS!$D$5:$D$1005="jabas")*(MOVIMIENTOS!$A$5:$A$1005&lt;&gt;"")*(MOVIMIENTOS!$A$5:$A$1005&lt;=$A674)*MOVIMIENTOS!$E$5:$E$1005)-SUMPRODUCT((MOVIMIENTOS!$B$5:$B$1005="TRASIEGO")*(MOVIMIENTOS!$C$5:$C$1005="P")*(MOVIMIENTOS!$D$5:$D$1005="jabas")*(MOVIMIENTOS!$A$5:$A$1005&lt;&gt;"")*(MOVIMIENTOS!$A$5:$A$1005&lt;=$A674)*MOVIMIENTOS!$E$5:$E$1005)-SUMPRODUCT((MOVIMIENTOS!$B$5:$B$1005="REGALO")*(MOVIMIENTOS!$C$5:$C$1005="P")*(MOVIMIENTOS!$D$5:$D$1005="jabas")*(MOVIMIENTOS!$A$5:$A$1005&lt;&gt;"")*(MOVIMIENTOS!$A$5:$A$1005&lt;=$A674)*MOVIMIENTOS!$E$5:$E$1005)-SUMPRODUCT((MOVIMIENTOS!$B$5:$B$1005="VENTA")*(MOVIMIENTOS!$C$5:$C$1005="P")*(MOVIMIENTOS!$D$5:$D$1005="jabas")*(MOVIMIENTOS!$A$5:$A$1005&lt;&gt;"")*(MOVIMIENTOS!$A$5:$A$1005&lt;=$A674)*MOVIMIENTOS!$E$5:$E$1005)+SUMPRODUCT((MOVIMIENTOS!$B$5:$B$1005="AJUSTE")*(MOVIMIENTOS!$C$5:$C$1005="P")*(MOVIMIENTOS!$D$5:$D$1005="jabas")*(MOVIMIENTOS!$A$5:$A$1005&lt;&gt;"")*(MOVIMIENTOS!$A$5:$A$1005&lt;=$A674)*MOVIMIENTOS!$E$5:$E$1005))</f>
        <v/>
      </c>
      <c r="D674" t="str">
        <f>IF($A674="","",SUMPRODUCT((MOVIMIENTOS!$B$5:$B$1005="SALDO INICIAL")*(MOVIMIENTOS!$C$5:$C$1005="C")*(MOVIMIENTOS!$D$5:$D$1005="jabas")*(MOVIMIENTOS!$A$5:$A$1005&lt;&gt;"")*(MOVIMIENTOS!$A$5:$A$1005&lt;=$A674)*MOVIMIENTOS!$E$5:$E$1005)+SUMPRODUCT((MOVIMIENTOS!$B$5:$B$1005="PROCESO")*(MOVIMIENTOS!$C$5:$C$1005="C")*(MOVIMIENTOS!$D$5:$D$1005="jabas")*(MOVIMIENTOS!$A$5:$A$1005&lt;&gt;"")*(MOVIMIENTOS!$A$5:$A$1005&lt;=$A674)*MOVIMIENTOS!$E$5:$E$1005)-SUMPRODUCT((MOVIMIENTOS!$B$5:$B$1005="ENVÍO A SUPESA")*(MOVIMIENTOS!$C$5:$C$1005="C")*(MOVIMIENTOS!$D$5:$D$1005="jabas")*(MOVIMIENTOS!$A$5:$A$1005&lt;&gt;"")*(MOVIMIENTOS!$A$5:$A$1005&lt;=$A674)*MOVIMIENTOS!$E$5:$E$1005)+SUMPRODUCT((MOVIMIENTOS!$B$5:$B$1005="DEVOLUCIÓN")*(MOVIMIENTOS!$C$5:$C$1005="C")*(MOVIMIENTOS!$D$5:$D$1005="jabas")*(MOVIMIENTOS!$A$5:$A$1005&lt;&gt;"")*(MOVIMIENTOS!$A$5:$A$1005&lt;=$A674)*MOVIMIENTOS!$E$5:$E$1005)-SUMPRODUCT((MOVIMIENTOS!$B$5:$B$1005="TRASIEGO")*(MOVIMIENTOS!$C$5:$C$1005="C")*(MOVIMIENTOS!$D$5:$D$1005="jabas")*(MOVIMIENTOS!$A$5:$A$1005&lt;&gt;"")*(MOVIMIENTOS!$A$5:$A$1005&lt;=$A674)*MOVIMIENTOS!$E$5:$E$1005)-SUMPRODUCT((MOVIMIENTOS!$B$5:$B$1005="REGALO")*(MOVIMIENTOS!$C$5:$C$1005="C")*(MOVIMIENTOS!$D$5:$D$1005="jabas")*(MOVIMIENTOS!$A$5:$A$1005&lt;&gt;"")*(MOVIMIENTOS!$A$5:$A$1005&lt;=$A674)*MOVIMIENTOS!$E$5:$E$1005)-SUMPRODUCT((MOVIMIENTOS!$B$5:$B$1005="VENTA")*(MOVIMIENTOS!$C$5:$C$1005="C")*(MOVIMIENTOS!$D$5:$D$1005="jabas")*(MOVIMIENTOS!$A$5:$A$1005&lt;&gt;"")*(MOVIMIENTOS!$A$5:$A$1005&lt;=$A674)*MOVIMIENTOS!$E$5:$E$1005)+SUMPRODUCT((MOVIMIENTOS!$B$5:$B$1005="AJUSTE")*(MOVIMIENTOS!$C$5:$C$1005="C")*(MOVIMIENTOS!$D$5:$D$1005="jabas")*(MOVIMIENTOS!$A$5:$A$1005&lt;&gt;"")*(MOVIMIENTOS!$A$5:$A$1005&lt;=$A674)*MOVIMIENTOS!$E$5:$E$1005))</f>
        <v/>
      </c>
      <c r="E674" t="str">
        <f>IF($A674="","",SUMPRODUCT((MOVIMIENTOS!$B$5:$B$1005="SALDO INICIAL")*(MOVIMIENTOS!$C$5:$C$1005="M")*(MOVIMIENTOS!$D$5:$D$1005="jabas")*(MOVIMIENTOS!$A$5:$A$1005&lt;&gt;"")*(MOVIMIENTOS!$A$5:$A$1005&lt;=$A674)*MOVIMIENTOS!$E$5:$E$1005)+SUMPRODUCT((MOVIMIENTOS!$B$5:$B$1005="PROCESO")*(MOVIMIENTOS!$C$5:$C$1005="M")*(MOVIMIENTOS!$D$5:$D$1005="jabas")*(MOVIMIENTOS!$A$5:$A$1005&lt;&gt;"")*(MOVIMIENTOS!$A$5:$A$1005&lt;=$A674)*MOVIMIENTOS!$E$5:$E$1005)-SUMPRODUCT((MOVIMIENTOS!$B$5:$B$1005="ENVÍO A SUPESA")*(MOVIMIENTOS!$C$5:$C$1005="M")*(MOVIMIENTOS!$D$5:$D$1005="jabas")*(MOVIMIENTOS!$A$5:$A$1005&lt;&gt;"")*(MOVIMIENTOS!$A$5:$A$1005&lt;=$A674)*MOVIMIENTOS!$E$5:$E$1005)+SUMPRODUCT((MOVIMIENTOS!$B$5:$B$1005="DEVOLUCIÓN")*(MOVIMIENTOS!$C$5:$C$1005="M")*(MOVIMIENTOS!$D$5:$D$1005="jabas")*(MOVIMIENTOS!$A$5:$A$1005&lt;&gt;"")*(MOVIMIENTOS!$A$5:$A$1005&lt;=$A674)*MOVIMIENTOS!$E$5:$E$1005)-SUMPRODUCT((MOVIMIENTOS!$B$5:$B$1005="TRASIEGO")*(MOVIMIENTOS!$C$5:$C$1005="M")*(MOVIMIENTOS!$D$5:$D$1005="jabas")*(MOVIMIENTOS!$A$5:$A$1005&lt;&gt;"")*(MOVIMIENTOS!$A$5:$A$1005&lt;=$A674)*MOVIMIENTOS!$E$5:$E$1005)-SUMPRODUCT((MOVIMIENTOS!$B$5:$B$1005="REGALO")*(MOVIMIENTOS!$C$5:$C$1005="M")*(MOVIMIENTOS!$D$5:$D$1005="jabas")*(MOVIMIENTOS!$A$5:$A$1005&lt;&gt;"")*(MOVIMIENTOS!$A$5:$A$1005&lt;=$A674)*MOVIMIENTOS!$E$5:$E$1005)-SUMPRODUCT((MOVIMIENTOS!$B$5:$B$1005="VENTA")*(MOVIMIENTOS!$C$5:$C$1005="M")*(MOVIMIENTOS!$D$5:$D$1005="jabas")*(MOVIMIENTOS!$A$5:$A$1005&lt;&gt;"")*(MOVIMIENTOS!$A$5:$A$1005&lt;=$A674)*MOVIMIENTOS!$E$5:$E$1005)+SUMPRODUCT((MOVIMIENTOS!$B$5:$B$1005="AJUSTE")*(MOVIMIENTOS!$C$5:$C$1005="M")*(MOVIMIENTOS!$D$5:$D$1005="jabas")*(MOVIMIENTOS!$A$5:$A$1005&lt;&gt;"")*(MOVIMIENTOS!$A$5:$A$1005&lt;=$A674)*MOVIMIENTOS!$E$5:$E$1005))</f>
        <v/>
      </c>
      <c r="F674" s="62" t="str">
        <f>IF($A674="","",SUMPRODUCT((MOVIMIENTOS!$B$5:$B$1005="SALDO INICIAL")*(MOVIMIENTOS!$C$5:$C$1005="Chancho")*(MOVIMIENTOS!$D$5:$D$1005="sacos")*(MOVIMIENTOS!$A$5:$A$1005&lt;&gt;"")*(MOVIMIENTOS!$A$5:$A$1005&lt;=$A674)*MOVIMIENTOS!$E$5:$E$1005)+SUMPRODUCT((MOVIMIENTOS!$B$5:$B$1005="PROCESO")*(MOVIMIENTOS!$C$5:$C$1005="Chancho")*(MOVIMIENTOS!$D$5:$D$1005="sacos")*(MOVIMIENTOS!$A$5:$A$1005&lt;&gt;"")*(MOVIMIENTOS!$A$5:$A$1005&lt;=$A674)*MOVIMIENTOS!$E$5:$E$1005)-SUMPRODUCT((MOVIMIENTOS!$B$5:$B$1005="VENTA CHANCHO")*(MOVIMIENTOS!$C$5:$C$1005="Chancho")*(MOVIMIENTOS!$D$5:$D$1005="sacos")*(MOVIMIENTOS!$A$5:$A$1005&lt;&gt;"")*(MOVIMIENTOS!$A$5:$A$1005&lt;=$A674)*MOVIMIENTOS!$E$5:$E$1005)-SUMPRODUCT((MOVIMIENTOS!$B$5:$B$1005="REGALO")*(MOVIMIENTOS!$C$5:$C$1005="Chancho")*(MOVIMIENTOS!$D$5:$D$1005="sacos")*(MOVIMIENTOS!$A$5:$A$1005&lt;&gt;"")*(MOVIMIENTOS!$A$5:$A$1005&lt;=$A674)*MOVIMIENTOS!$E$5:$E$1005)-SUMPRODUCT((MOVIMIENTOS!$B$5:$B$1005="VENTA")*(MOVIMIENTOS!$C$5:$C$1005="Chancho")*(MOVIMIENTOS!$D$5:$D$1005="sacos")*(MOVIMIENTOS!$A$5:$A$1005&lt;&gt;"")*(MOVIMIENTOS!$A$5:$A$1005&lt;=$A674)*MOVIMIENTOS!$E$5:$E$1005)+SUMPRODUCT((MOVIMIENTOS!$B$5:$B$1005="AJUSTE")*(MOVIMIENTOS!$C$5:$C$1005="Chancho")*(MOVIMIENTOS!$D$5:$D$1005="sacos")*(MOVIMIENTOS!$A$5:$A$1005&lt;&gt;"")*(MOVIMIENTOS!$A$5:$A$1005&lt;=$A674)*MOVIMIENTOS!$E$5:$E$1005))</f>
        <v/>
      </c>
      <c r="G674" s="62" t="str">
        <f t="shared" si="21"/>
        <v/>
      </c>
      <c r="H674" t="str">
        <f>IF($A674="","",SUMPRODUCT((((MOVIMIENTOS!$B$5:$B$1005="SALDO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674)*MOVIMIENTOS!$J$5:$J$1005))</f>
        <v/>
      </c>
      <c r="J674" t="str">
        <f>IF(AND(MOVIMIENTOS!$A679&lt;&gt;"",COUNTIF(MOVIMIENTOS!$A$5:$A678,MOVIMIENTOS!$A679)=0),COUNT(J$4:J673)+1,"")</f>
        <v/>
      </c>
      <c r="K674">
        <f>MOVIMIENTOS!$A679</f>
        <v>0</v>
      </c>
    </row>
    <row r="675" spans="1:11" ht="15" customHeight="1" x14ac:dyDescent="0.2">
      <c r="A675" t="str">
        <f t="shared" si="20"/>
        <v/>
      </c>
      <c r="B675" t="str">
        <f>IF($A675="","",SUMPRODUCT((MOVIMIENTOS!$B$5:$B$1005="SALDO INICIAL")*(MOVIMIENTOS!$C$5:$C$1005="A")*(MOVIMIENTOS!$D$5:$D$1005="jabas")*(MOVIMIENTOS!$A$5:$A$1005&lt;&gt;"")*(MOVIMIENTOS!$A$5:$A$1005&lt;=$A675)*MOVIMIENTOS!$E$5:$E$1005)+SUMPRODUCT((MOVIMIENTOS!$B$5:$B$1005="PROCESO")*(MOVIMIENTOS!$C$5:$C$1005="A")*(MOVIMIENTOS!$D$5:$D$1005="jabas")*(MOVIMIENTOS!$A$5:$A$1005&lt;&gt;"")*(MOVIMIENTOS!$A$5:$A$1005&lt;=$A675)*MOVIMIENTOS!$E$5:$E$1005)-SUMPRODUCT((MOVIMIENTOS!$B$5:$B$1005="ENVÍO A SUPESA")*(MOVIMIENTOS!$C$5:$C$1005="A")*(MOVIMIENTOS!$D$5:$D$1005="jabas")*(MOVIMIENTOS!$A$5:$A$1005&lt;&gt;"")*(MOVIMIENTOS!$A$5:$A$1005&lt;=$A675)*MOVIMIENTOS!$E$5:$E$1005)+SUMPRODUCT((MOVIMIENTOS!$B$5:$B$1005="DEVOLUCIÓN")*(MOVIMIENTOS!$C$5:$C$1005="A")*(MOVIMIENTOS!$D$5:$D$1005="jabas")*(MOVIMIENTOS!$A$5:$A$1005&lt;&gt;"")*(MOVIMIENTOS!$A$5:$A$1005&lt;=$A675)*MOVIMIENTOS!$E$5:$E$1005)-SUMPRODUCT((MOVIMIENTOS!$B$5:$B$1005="TRASIEGO")*(MOVIMIENTOS!$C$5:$C$1005="A")*(MOVIMIENTOS!$D$5:$D$1005="jabas")*(MOVIMIENTOS!$A$5:$A$1005&lt;&gt;"")*(MOVIMIENTOS!$A$5:$A$1005&lt;=$A675)*MOVIMIENTOS!$E$5:$E$1005)-SUMPRODUCT((MOVIMIENTOS!$B$5:$B$1005="REGALO")*(MOVIMIENTOS!$C$5:$C$1005="A")*(MOVIMIENTOS!$D$5:$D$1005="jabas")*(MOVIMIENTOS!$A$5:$A$1005&lt;&gt;"")*(MOVIMIENTOS!$A$5:$A$1005&lt;=$A675)*MOVIMIENTOS!$E$5:$E$1005)-SUMPRODUCT((MOVIMIENTOS!$B$5:$B$1005="VENTA")*(MOVIMIENTOS!$C$5:$C$1005="A")*(MOVIMIENTOS!$D$5:$D$1005="jabas")*(MOVIMIENTOS!$A$5:$A$1005&lt;&gt;"")*(MOVIMIENTOS!$A$5:$A$1005&lt;=$A675)*MOVIMIENTOS!$E$5:$E$1005)+SUMPRODUCT((MOVIMIENTOS!$B$5:$B$1005="AJUSTE")*(MOVIMIENTOS!$C$5:$C$1005="A")*(MOVIMIENTOS!$D$5:$D$1005="jabas")*(MOVIMIENTOS!$A$5:$A$1005&lt;&gt;"")*(MOVIMIENTOS!$A$5:$A$1005&lt;=$A675)*MOVIMIENTOS!$E$5:$E$1005))</f>
        <v/>
      </c>
      <c r="C675" t="str">
        <f>IF($A675="","",SUMPRODUCT((MOVIMIENTOS!$B$5:$B$1005="SALDO INICIAL")*(MOVIMIENTOS!$C$5:$C$1005="P")*(MOVIMIENTOS!$D$5:$D$1005="jabas")*(MOVIMIENTOS!$A$5:$A$1005&lt;&gt;"")*(MOVIMIENTOS!$A$5:$A$1005&lt;=$A675)*MOVIMIENTOS!$E$5:$E$1005)+SUMPRODUCT((MOVIMIENTOS!$B$5:$B$1005="PROCESO")*(MOVIMIENTOS!$C$5:$C$1005="P")*(MOVIMIENTOS!$D$5:$D$1005="jabas")*(MOVIMIENTOS!$A$5:$A$1005&lt;&gt;"")*(MOVIMIENTOS!$A$5:$A$1005&lt;=$A675)*MOVIMIENTOS!$E$5:$E$1005)-SUMPRODUCT((MOVIMIENTOS!$B$5:$B$1005="ENVÍO A SUPESA")*(MOVIMIENTOS!$C$5:$C$1005="P")*(MOVIMIENTOS!$D$5:$D$1005="jabas")*(MOVIMIENTOS!$A$5:$A$1005&lt;&gt;"")*(MOVIMIENTOS!$A$5:$A$1005&lt;=$A675)*MOVIMIENTOS!$E$5:$E$1005)+SUMPRODUCT((MOVIMIENTOS!$B$5:$B$1005="DEVOLUCIÓN")*(MOVIMIENTOS!$C$5:$C$1005="P")*(MOVIMIENTOS!$D$5:$D$1005="jabas")*(MOVIMIENTOS!$A$5:$A$1005&lt;&gt;"")*(MOVIMIENTOS!$A$5:$A$1005&lt;=$A675)*MOVIMIENTOS!$E$5:$E$1005)-SUMPRODUCT((MOVIMIENTOS!$B$5:$B$1005="TRASIEGO")*(MOVIMIENTOS!$C$5:$C$1005="P")*(MOVIMIENTOS!$D$5:$D$1005="jabas")*(MOVIMIENTOS!$A$5:$A$1005&lt;&gt;"")*(MOVIMIENTOS!$A$5:$A$1005&lt;=$A675)*MOVIMIENTOS!$E$5:$E$1005)-SUMPRODUCT((MOVIMIENTOS!$B$5:$B$1005="REGALO")*(MOVIMIENTOS!$C$5:$C$1005="P")*(MOVIMIENTOS!$D$5:$D$1005="jabas")*(MOVIMIENTOS!$A$5:$A$1005&lt;&gt;"")*(MOVIMIENTOS!$A$5:$A$1005&lt;=$A675)*MOVIMIENTOS!$E$5:$E$1005)-SUMPRODUCT((MOVIMIENTOS!$B$5:$B$1005="VENTA")*(MOVIMIENTOS!$C$5:$C$1005="P")*(MOVIMIENTOS!$D$5:$D$1005="jabas")*(MOVIMIENTOS!$A$5:$A$1005&lt;&gt;"")*(MOVIMIENTOS!$A$5:$A$1005&lt;=$A675)*MOVIMIENTOS!$E$5:$E$1005)+SUMPRODUCT((MOVIMIENTOS!$B$5:$B$1005="AJUSTE")*(MOVIMIENTOS!$C$5:$C$1005="P")*(MOVIMIENTOS!$D$5:$D$1005="jabas")*(MOVIMIENTOS!$A$5:$A$1005&lt;&gt;"")*(MOVIMIENTOS!$A$5:$A$1005&lt;=$A675)*MOVIMIENTOS!$E$5:$E$1005))</f>
        <v/>
      </c>
      <c r="D675" t="str">
        <f>IF($A675="","",SUMPRODUCT((MOVIMIENTOS!$B$5:$B$1005="SALDO INICIAL")*(MOVIMIENTOS!$C$5:$C$1005="C")*(MOVIMIENTOS!$D$5:$D$1005="jabas")*(MOVIMIENTOS!$A$5:$A$1005&lt;&gt;"")*(MOVIMIENTOS!$A$5:$A$1005&lt;=$A675)*MOVIMIENTOS!$E$5:$E$1005)+SUMPRODUCT((MOVIMIENTOS!$B$5:$B$1005="PROCESO")*(MOVIMIENTOS!$C$5:$C$1005="C")*(MOVIMIENTOS!$D$5:$D$1005="jabas")*(MOVIMIENTOS!$A$5:$A$1005&lt;&gt;"")*(MOVIMIENTOS!$A$5:$A$1005&lt;=$A675)*MOVIMIENTOS!$E$5:$E$1005)-SUMPRODUCT((MOVIMIENTOS!$B$5:$B$1005="ENVÍO A SUPESA")*(MOVIMIENTOS!$C$5:$C$1005="C")*(MOVIMIENTOS!$D$5:$D$1005="jabas")*(MOVIMIENTOS!$A$5:$A$1005&lt;&gt;"")*(MOVIMIENTOS!$A$5:$A$1005&lt;=$A675)*MOVIMIENTOS!$E$5:$E$1005)+SUMPRODUCT((MOVIMIENTOS!$B$5:$B$1005="DEVOLUCIÓN")*(MOVIMIENTOS!$C$5:$C$1005="C")*(MOVIMIENTOS!$D$5:$D$1005="jabas")*(MOVIMIENTOS!$A$5:$A$1005&lt;&gt;"")*(MOVIMIENTOS!$A$5:$A$1005&lt;=$A675)*MOVIMIENTOS!$E$5:$E$1005)-SUMPRODUCT((MOVIMIENTOS!$B$5:$B$1005="TRASIEGO")*(MOVIMIENTOS!$C$5:$C$1005="C")*(MOVIMIENTOS!$D$5:$D$1005="jabas")*(MOVIMIENTOS!$A$5:$A$1005&lt;&gt;"")*(MOVIMIENTOS!$A$5:$A$1005&lt;=$A675)*MOVIMIENTOS!$E$5:$E$1005)-SUMPRODUCT((MOVIMIENTOS!$B$5:$B$1005="REGALO")*(MOVIMIENTOS!$C$5:$C$1005="C")*(MOVIMIENTOS!$D$5:$D$1005="jabas")*(MOVIMIENTOS!$A$5:$A$1005&lt;&gt;"")*(MOVIMIENTOS!$A$5:$A$1005&lt;=$A675)*MOVIMIENTOS!$E$5:$E$1005)-SUMPRODUCT((MOVIMIENTOS!$B$5:$B$1005="VENTA")*(MOVIMIENTOS!$C$5:$C$1005="C")*(MOVIMIENTOS!$D$5:$D$1005="jabas")*(MOVIMIENTOS!$A$5:$A$1005&lt;&gt;"")*(MOVIMIENTOS!$A$5:$A$1005&lt;=$A675)*MOVIMIENTOS!$E$5:$E$1005)+SUMPRODUCT((MOVIMIENTOS!$B$5:$B$1005="AJUSTE")*(MOVIMIENTOS!$C$5:$C$1005="C")*(MOVIMIENTOS!$D$5:$D$1005="jabas")*(MOVIMIENTOS!$A$5:$A$1005&lt;&gt;"")*(MOVIMIENTOS!$A$5:$A$1005&lt;=$A675)*MOVIMIENTOS!$E$5:$E$1005))</f>
        <v/>
      </c>
      <c r="E675" t="str">
        <f>IF($A675="","",SUMPRODUCT((MOVIMIENTOS!$B$5:$B$1005="SALDO INICIAL")*(MOVIMIENTOS!$C$5:$C$1005="M")*(MOVIMIENTOS!$D$5:$D$1005="jabas")*(MOVIMIENTOS!$A$5:$A$1005&lt;&gt;"")*(MOVIMIENTOS!$A$5:$A$1005&lt;=$A675)*MOVIMIENTOS!$E$5:$E$1005)+SUMPRODUCT((MOVIMIENTOS!$B$5:$B$1005="PROCESO")*(MOVIMIENTOS!$C$5:$C$1005="M")*(MOVIMIENTOS!$D$5:$D$1005="jabas")*(MOVIMIENTOS!$A$5:$A$1005&lt;&gt;"")*(MOVIMIENTOS!$A$5:$A$1005&lt;=$A675)*MOVIMIENTOS!$E$5:$E$1005)-SUMPRODUCT((MOVIMIENTOS!$B$5:$B$1005="ENVÍO A SUPESA")*(MOVIMIENTOS!$C$5:$C$1005="M")*(MOVIMIENTOS!$D$5:$D$1005="jabas")*(MOVIMIENTOS!$A$5:$A$1005&lt;&gt;"")*(MOVIMIENTOS!$A$5:$A$1005&lt;=$A675)*MOVIMIENTOS!$E$5:$E$1005)+SUMPRODUCT((MOVIMIENTOS!$B$5:$B$1005="DEVOLUCIÓN")*(MOVIMIENTOS!$C$5:$C$1005="M")*(MOVIMIENTOS!$D$5:$D$1005="jabas")*(MOVIMIENTOS!$A$5:$A$1005&lt;&gt;"")*(MOVIMIENTOS!$A$5:$A$1005&lt;=$A675)*MOVIMIENTOS!$E$5:$E$1005)-SUMPRODUCT((MOVIMIENTOS!$B$5:$B$1005="TRASIEGO")*(MOVIMIENTOS!$C$5:$C$1005="M")*(MOVIMIENTOS!$D$5:$D$1005="jabas")*(MOVIMIENTOS!$A$5:$A$1005&lt;&gt;"")*(MOVIMIENTOS!$A$5:$A$1005&lt;=$A675)*MOVIMIENTOS!$E$5:$E$1005)-SUMPRODUCT((MOVIMIENTOS!$B$5:$B$1005="REGALO")*(MOVIMIENTOS!$C$5:$C$1005="M")*(MOVIMIENTOS!$D$5:$D$1005="jabas")*(MOVIMIENTOS!$A$5:$A$1005&lt;&gt;"")*(MOVIMIENTOS!$A$5:$A$1005&lt;=$A675)*MOVIMIENTOS!$E$5:$E$1005)-SUMPRODUCT((MOVIMIENTOS!$B$5:$B$1005="VENTA")*(MOVIMIENTOS!$C$5:$C$1005="M")*(MOVIMIENTOS!$D$5:$D$1005="jabas")*(MOVIMIENTOS!$A$5:$A$1005&lt;&gt;"")*(MOVIMIENTOS!$A$5:$A$1005&lt;=$A675)*MOVIMIENTOS!$E$5:$E$1005)+SUMPRODUCT((MOVIMIENTOS!$B$5:$B$1005="AJUSTE")*(MOVIMIENTOS!$C$5:$C$1005="M")*(MOVIMIENTOS!$D$5:$D$1005="jabas")*(MOVIMIENTOS!$A$5:$A$1005&lt;&gt;"")*(MOVIMIENTOS!$A$5:$A$1005&lt;=$A675)*MOVIMIENTOS!$E$5:$E$1005))</f>
        <v/>
      </c>
      <c r="F675" s="62" t="str">
        <f>IF($A675="","",SUMPRODUCT((MOVIMIENTOS!$B$5:$B$1005="SALDO INICIAL")*(MOVIMIENTOS!$C$5:$C$1005="Chancho")*(MOVIMIENTOS!$D$5:$D$1005="sacos")*(MOVIMIENTOS!$A$5:$A$1005&lt;&gt;"")*(MOVIMIENTOS!$A$5:$A$1005&lt;=$A675)*MOVIMIENTOS!$E$5:$E$1005)+SUMPRODUCT((MOVIMIENTOS!$B$5:$B$1005="PROCESO")*(MOVIMIENTOS!$C$5:$C$1005="Chancho")*(MOVIMIENTOS!$D$5:$D$1005="sacos")*(MOVIMIENTOS!$A$5:$A$1005&lt;&gt;"")*(MOVIMIENTOS!$A$5:$A$1005&lt;=$A675)*MOVIMIENTOS!$E$5:$E$1005)-SUMPRODUCT((MOVIMIENTOS!$B$5:$B$1005="VENTA CHANCHO")*(MOVIMIENTOS!$C$5:$C$1005="Chancho")*(MOVIMIENTOS!$D$5:$D$1005="sacos")*(MOVIMIENTOS!$A$5:$A$1005&lt;&gt;"")*(MOVIMIENTOS!$A$5:$A$1005&lt;=$A675)*MOVIMIENTOS!$E$5:$E$1005)-SUMPRODUCT((MOVIMIENTOS!$B$5:$B$1005="REGALO")*(MOVIMIENTOS!$C$5:$C$1005="Chancho")*(MOVIMIENTOS!$D$5:$D$1005="sacos")*(MOVIMIENTOS!$A$5:$A$1005&lt;&gt;"")*(MOVIMIENTOS!$A$5:$A$1005&lt;=$A675)*MOVIMIENTOS!$E$5:$E$1005)-SUMPRODUCT((MOVIMIENTOS!$B$5:$B$1005="VENTA")*(MOVIMIENTOS!$C$5:$C$1005="Chancho")*(MOVIMIENTOS!$D$5:$D$1005="sacos")*(MOVIMIENTOS!$A$5:$A$1005&lt;&gt;"")*(MOVIMIENTOS!$A$5:$A$1005&lt;=$A675)*MOVIMIENTOS!$E$5:$E$1005)+SUMPRODUCT((MOVIMIENTOS!$B$5:$B$1005="AJUSTE")*(MOVIMIENTOS!$C$5:$C$1005="Chancho")*(MOVIMIENTOS!$D$5:$D$1005="sacos")*(MOVIMIENTOS!$A$5:$A$1005&lt;&gt;"")*(MOVIMIENTOS!$A$5:$A$1005&lt;=$A675)*MOVIMIENTOS!$E$5:$E$1005))</f>
        <v/>
      </c>
      <c r="G675" s="62" t="str">
        <f t="shared" si="21"/>
        <v/>
      </c>
      <c r="H675" t="str">
        <f>IF($A675="","",SUMPRODUCT((((MOVIMIENTOS!$B$5:$B$1005="SALDO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675)*MOVIMIENTOS!$J$5:$J$1005))</f>
        <v/>
      </c>
      <c r="J675" t="str">
        <f>IF(AND(MOVIMIENTOS!$A680&lt;&gt;"",COUNTIF(MOVIMIENTOS!$A$5:$A679,MOVIMIENTOS!$A680)=0),COUNT(J$4:J674)+1,"")</f>
        <v/>
      </c>
      <c r="K675">
        <f>MOVIMIENTOS!$A680</f>
        <v>0</v>
      </c>
    </row>
    <row r="676" spans="1:11" ht="15" customHeight="1" x14ac:dyDescent="0.2">
      <c r="A676" t="str">
        <f t="shared" si="20"/>
        <v/>
      </c>
      <c r="B676" t="str">
        <f>IF($A676="","",SUMPRODUCT((MOVIMIENTOS!$B$5:$B$1005="SALDO INICIAL")*(MOVIMIENTOS!$C$5:$C$1005="A")*(MOVIMIENTOS!$D$5:$D$1005="jabas")*(MOVIMIENTOS!$A$5:$A$1005&lt;&gt;"")*(MOVIMIENTOS!$A$5:$A$1005&lt;=$A676)*MOVIMIENTOS!$E$5:$E$1005)+SUMPRODUCT((MOVIMIENTOS!$B$5:$B$1005="PROCESO")*(MOVIMIENTOS!$C$5:$C$1005="A")*(MOVIMIENTOS!$D$5:$D$1005="jabas")*(MOVIMIENTOS!$A$5:$A$1005&lt;&gt;"")*(MOVIMIENTOS!$A$5:$A$1005&lt;=$A676)*MOVIMIENTOS!$E$5:$E$1005)-SUMPRODUCT((MOVIMIENTOS!$B$5:$B$1005="ENVÍO A SUPESA")*(MOVIMIENTOS!$C$5:$C$1005="A")*(MOVIMIENTOS!$D$5:$D$1005="jabas")*(MOVIMIENTOS!$A$5:$A$1005&lt;&gt;"")*(MOVIMIENTOS!$A$5:$A$1005&lt;=$A676)*MOVIMIENTOS!$E$5:$E$1005)+SUMPRODUCT((MOVIMIENTOS!$B$5:$B$1005="DEVOLUCIÓN")*(MOVIMIENTOS!$C$5:$C$1005="A")*(MOVIMIENTOS!$D$5:$D$1005="jabas")*(MOVIMIENTOS!$A$5:$A$1005&lt;&gt;"")*(MOVIMIENTOS!$A$5:$A$1005&lt;=$A676)*MOVIMIENTOS!$E$5:$E$1005)-SUMPRODUCT((MOVIMIENTOS!$B$5:$B$1005="TRASIEGO")*(MOVIMIENTOS!$C$5:$C$1005="A")*(MOVIMIENTOS!$D$5:$D$1005="jabas")*(MOVIMIENTOS!$A$5:$A$1005&lt;&gt;"")*(MOVIMIENTOS!$A$5:$A$1005&lt;=$A676)*MOVIMIENTOS!$E$5:$E$1005)-SUMPRODUCT((MOVIMIENTOS!$B$5:$B$1005="REGALO")*(MOVIMIENTOS!$C$5:$C$1005="A")*(MOVIMIENTOS!$D$5:$D$1005="jabas")*(MOVIMIENTOS!$A$5:$A$1005&lt;&gt;"")*(MOVIMIENTOS!$A$5:$A$1005&lt;=$A676)*MOVIMIENTOS!$E$5:$E$1005)-SUMPRODUCT((MOVIMIENTOS!$B$5:$B$1005="VENTA")*(MOVIMIENTOS!$C$5:$C$1005="A")*(MOVIMIENTOS!$D$5:$D$1005="jabas")*(MOVIMIENTOS!$A$5:$A$1005&lt;&gt;"")*(MOVIMIENTOS!$A$5:$A$1005&lt;=$A676)*MOVIMIENTOS!$E$5:$E$1005)+SUMPRODUCT((MOVIMIENTOS!$B$5:$B$1005="AJUSTE")*(MOVIMIENTOS!$C$5:$C$1005="A")*(MOVIMIENTOS!$D$5:$D$1005="jabas")*(MOVIMIENTOS!$A$5:$A$1005&lt;&gt;"")*(MOVIMIENTOS!$A$5:$A$1005&lt;=$A676)*MOVIMIENTOS!$E$5:$E$1005))</f>
        <v/>
      </c>
      <c r="C676" t="str">
        <f>IF($A676="","",SUMPRODUCT((MOVIMIENTOS!$B$5:$B$1005="SALDO INICIAL")*(MOVIMIENTOS!$C$5:$C$1005="P")*(MOVIMIENTOS!$D$5:$D$1005="jabas")*(MOVIMIENTOS!$A$5:$A$1005&lt;&gt;"")*(MOVIMIENTOS!$A$5:$A$1005&lt;=$A676)*MOVIMIENTOS!$E$5:$E$1005)+SUMPRODUCT((MOVIMIENTOS!$B$5:$B$1005="PROCESO")*(MOVIMIENTOS!$C$5:$C$1005="P")*(MOVIMIENTOS!$D$5:$D$1005="jabas")*(MOVIMIENTOS!$A$5:$A$1005&lt;&gt;"")*(MOVIMIENTOS!$A$5:$A$1005&lt;=$A676)*MOVIMIENTOS!$E$5:$E$1005)-SUMPRODUCT((MOVIMIENTOS!$B$5:$B$1005="ENVÍO A SUPESA")*(MOVIMIENTOS!$C$5:$C$1005="P")*(MOVIMIENTOS!$D$5:$D$1005="jabas")*(MOVIMIENTOS!$A$5:$A$1005&lt;&gt;"")*(MOVIMIENTOS!$A$5:$A$1005&lt;=$A676)*MOVIMIENTOS!$E$5:$E$1005)+SUMPRODUCT((MOVIMIENTOS!$B$5:$B$1005="DEVOLUCIÓN")*(MOVIMIENTOS!$C$5:$C$1005="P")*(MOVIMIENTOS!$D$5:$D$1005="jabas")*(MOVIMIENTOS!$A$5:$A$1005&lt;&gt;"")*(MOVIMIENTOS!$A$5:$A$1005&lt;=$A676)*MOVIMIENTOS!$E$5:$E$1005)-SUMPRODUCT((MOVIMIENTOS!$B$5:$B$1005="TRASIEGO")*(MOVIMIENTOS!$C$5:$C$1005="P")*(MOVIMIENTOS!$D$5:$D$1005="jabas")*(MOVIMIENTOS!$A$5:$A$1005&lt;&gt;"")*(MOVIMIENTOS!$A$5:$A$1005&lt;=$A676)*MOVIMIENTOS!$E$5:$E$1005)-SUMPRODUCT((MOVIMIENTOS!$B$5:$B$1005="REGALO")*(MOVIMIENTOS!$C$5:$C$1005="P")*(MOVIMIENTOS!$D$5:$D$1005="jabas")*(MOVIMIENTOS!$A$5:$A$1005&lt;&gt;"")*(MOVIMIENTOS!$A$5:$A$1005&lt;=$A676)*MOVIMIENTOS!$E$5:$E$1005)-SUMPRODUCT((MOVIMIENTOS!$B$5:$B$1005="VENTA")*(MOVIMIENTOS!$C$5:$C$1005="P")*(MOVIMIENTOS!$D$5:$D$1005="jabas")*(MOVIMIENTOS!$A$5:$A$1005&lt;&gt;"")*(MOVIMIENTOS!$A$5:$A$1005&lt;=$A676)*MOVIMIENTOS!$E$5:$E$1005)+SUMPRODUCT((MOVIMIENTOS!$B$5:$B$1005="AJUSTE")*(MOVIMIENTOS!$C$5:$C$1005="P")*(MOVIMIENTOS!$D$5:$D$1005="jabas")*(MOVIMIENTOS!$A$5:$A$1005&lt;&gt;"")*(MOVIMIENTOS!$A$5:$A$1005&lt;=$A676)*MOVIMIENTOS!$E$5:$E$1005))</f>
        <v/>
      </c>
      <c r="D676" t="str">
        <f>IF($A676="","",SUMPRODUCT((MOVIMIENTOS!$B$5:$B$1005="SALDO INICIAL")*(MOVIMIENTOS!$C$5:$C$1005="C")*(MOVIMIENTOS!$D$5:$D$1005="jabas")*(MOVIMIENTOS!$A$5:$A$1005&lt;&gt;"")*(MOVIMIENTOS!$A$5:$A$1005&lt;=$A676)*MOVIMIENTOS!$E$5:$E$1005)+SUMPRODUCT((MOVIMIENTOS!$B$5:$B$1005="PROCESO")*(MOVIMIENTOS!$C$5:$C$1005="C")*(MOVIMIENTOS!$D$5:$D$1005="jabas")*(MOVIMIENTOS!$A$5:$A$1005&lt;&gt;"")*(MOVIMIENTOS!$A$5:$A$1005&lt;=$A676)*MOVIMIENTOS!$E$5:$E$1005)-SUMPRODUCT((MOVIMIENTOS!$B$5:$B$1005="ENVÍO A SUPESA")*(MOVIMIENTOS!$C$5:$C$1005="C")*(MOVIMIENTOS!$D$5:$D$1005="jabas")*(MOVIMIENTOS!$A$5:$A$1005&lt;&gt;"")*(MOVIMIENTOS!$A$5:$A$1005&lt;=$A676)*MOVIMIENTOS!$E$5:$E$1005)+SUMPRODUCT((MOVIMIENTOS!$B$5:$B$1005="DEVOLUCIÓN")*(MOVIMIENTOS!$C$5:$C$1005="C")*(MOVIMIENTOS!$D$5:$D$1005="jabas")*(MOVIMIENTOS!$A$5:$A$1005&lt;&gt;"")*(MOVIMIENTOS!$A$5:$A$1005&lt;=$A676)*MOVIMIENTOS!$E$5:$E$1005)-SUMPRODUCT((MOVIMIENTOS!$B$5:$B$1005="TRASIEGO")*(MOVIMIENTOS!$C$5:$C$1005="C")*(MOVIMIENTOS!$D$5:$D$1005="jabas")*(MOVIMIENTOS!$A$5:$A$1005&lt;&gt;"")*(MOVIMIENTOS!$A$5:$A$1005&lt;=$A676)*MOVIMIENTOS!$E$5:$E$1005)-SUMPRODUCT((MOVIMIENTOS!$B$5:$B$1005="REGALO")*(MOVIMIENTOS!$C$5:$C$1005="C")*(MOVIMIENTOS!$D$5:$D$1005="jabas")*(MOVIMIENTOS!$A$5:$A$1005&lt;&gt;"")*(MOVIMIENTOS!$A$5:$A$1005&lt;=$A676)*MOVIMIENTOS!$E$5:$E$1005)-SUMPRODUCT((MOVIMIENTOS!$B$5:$B$1005="VENTA")*(MOVIMIENTOS!$C$5:$C$1005="C")*(MOVIMIENTOS!$D$5:$D$1005="jabas")*(MOVIMIENTOS!$A$5:$A$1005&lt;&gt;"")*(MOVIMIENTOS!$A$5:$A$1005&lt;=$A676)*MOVIMIENTOS!$E$5:$E$1005)+SUMPRODUCT((MOVIMIENTOS!$B$5:$B$1005="AJUSTE")*(MOVIMIENTOS!$C$5:$C$1005="C")*(MOVIMIENTOS!$D$5:$D$1005="jabas")*(MOVIMIENTOS!$A$5:$A$1005&lt;&gt;"")*(MOVIMIENTOS!$A$5:$A$1005&lt;=$A676)*MOVIMIENTOS!$E$5:$E$1005))</f>
        <v/>
      </c>
      <c r="E676" t="str">
        <f>IF($A676="","",SUMPRODUCT((MOVIMIENTOS!$B$5:$B$1005="SALDO INICIAL")*(MOVIMIENTOS!$C$5:$C$1005="M")*(MOVIMIENTOS!$D$5:$D$1005="jabas")*(MOVIMIENTOS!$A$5:$A$1005&lt;&gt;"")*(MOVIMIENTOS!$A$5:$A$1005&lt;=$A676)*MOVIMIENTOS!$E$5:$E$1005)+SUMPRODUCT((MOVIMIENTOS!$B$5:$B$1005="PROCESO")*(MOVIMIENTOS!$C$5:$C$1005="M")*(MOVIMIENTOS!$D$5:$D$1005="jabas")*(MOVIMIENTOS!$A$5:$A$1005&lt;&gt;"")*(MOVIMIENTOS!$A$5:$A$1005&lt;=$A676)*MOVIMIENTOS!$E$5:$E$1005)-SUMPRODUCT((MOVIMIENTOS!$B$5:$B$1005="ENVÍO A SUPESA")*(MOVIMIENTOS!$C$5:$C$1005="M")*(MOVIMIENTOS!$D$5:$D$1005="jabas")*(MOVIMIENTOS!$A$5:$A$1005&lt;&gt;"")*(MOVIMIENTOS!$A$5:$A$1005&lt;=$A676)*MOVIMIENTOS!$E$5:$E$1005)+SUMPRODUCT((MOVIMIENTOS!$B$5:$B$1005="DEVOLUCIÓN")*(MOVIMIENTOS!$C$5:$C$1005="M")*(MOVIMIENTOS!$D$5:$D$1005="jabas")*(MOVIMIENTOS!$A$5:$A$1005&lt;&gt;"")*(MOVIMIENTOS!$A$5:$A$1005&lt;=$A676)*MOVIMIENTOS!$E$5:$E$1005)-SUMPRODUCT((MOVIMIENTOS!$B$5:$B$1005="TRASIEGO")*(MOVIMIENTOS!$C$5:$C$1005="M")*(MOVIMIENTOS!$D$5:$D$1005="jabas")*(MOVIMIENTOS!$A$5:$A$1005&lt;&gt;"")*(MOVIMIENTOS!$A$5:$A$1005&lt;=$A676)*MOVIMIENTOS!$E$5:$E$1005)-SUMPRODUCT((MOVIMIENTOS!$B$5:$B$1005="REGALO")*(MOVIMIENTOS!$C$5:$C$1005="M")*(MOVIMIENTOS!$D$5:$D$1005="jabas")*(MOVIMIENTOS!$A$5:$A$1005&lt;&gt;"")*(MOVIMIENTOS!$A$5:$A$1005&lt;=$A676)*MOVIMIENTOS!$E$5:$E$1005)-SUMPRODUCT((MOVIMIENTOS!$B$5:$B$1005="VENTA")*(MOVIMIENTOS!$C$5:$C$1005="M")*(MOVIMIENTOS!$D$5:$D$1005="jabas")*(MOVIMIENTOS!$A$5:$A$1005&lt;&gt;"")*(MOVIMIENTOS!$A$5:$A$1005&lt;=$A676)*MOVIMIENTOS!$E$5:$E$1005)+SUMPRODUCT((MOVIMIENTOS!$B$5:$B$1005="AJUSTE")*(MOVIMIENTOS!$C$5:$C$1005="M")*(MOVIMIENTOS!$D$5:$D$1005="jabas")*(MOVIMIENTOS!$A$5:$A$1005&lt;&gt;"")*(MOVIMIENTOS!$A$5:$A$1005&lt;=$A676)*MOVIMIENTOS!$E$5:$E$1005))</f>
        <v/>
      </c>
      <c r="F676" s="62" t="str">
        <f>IF($A676="","",SUMPRODUCT((MOVIMIENTOS!$B$5:$B$1005="SALDO INICIAL")*(MOVIMIENTOS!$C$5:$C$1005="Chancho")*(MOVIMIENTOS!$D$5:$D$1005="sacos")*(MOVIMIENTOS!$A$5:$A$1005&lt;&gt;"")*(MOVIMIENTOS!$A$5:$A$1005&lt;=$A676)*MOVIMIENTOS!$E$5:$E$1005)+SUMPRODUCT((MOVIMIENTOS!$B$5:$B$1005="PROCESO")*(MOVIMIENTOS!$C$5:$C$1005="Chancho")*(MOVIMIENTOS!$D$5:$D$1005="sacos")*(MOVIMIENTOS!$A$5:$A$1005&lt;&gt;"")*(MOVIMIENTOS!$A$5:$A$1005&lt;=$A676)*MOVIMIENTOS!$E$5:$E$1005)-SUMPRODUCT((MOVIMIENTOS!$B$5:$B$1005="VENTA CHANCHO")*(MOVIMIENTOS!$C$5:$C$1005="Chancho")*(MOVIMIENTOS!$D$5:$D$1005="sacos")*(MOVIMIENTOS!$A$5:$A$1005&lt;&gt;"")*(MOVIMIENTOS!$A$5:$A$1005&lt;=$A676)*MOVIMIENTOS!$E$5:$E$1005)-SUMPRODUCT((MOVIMIENTOS!$B$5:$B$1005="REGALO")*(MOVIMIENTOS!$C$5:$C$1005="Chancho")*(MOVIMIENTOS!$D$5:$D$1005="sacos")*(MOVIMIENTOS!$A$5:$A$1005&lt;&gt;"")*(MOVIMIENTOS!$A$5:$A$1005&lt;=$A676)*MOVIMIENTOS!$E$5:$E$1005)-SUMPRODUCT((MOVIMIENTOS!$B$5:$B$1005="VENTA")*(MOVIMIENTOS!$C$5:$C$1005="Chancho")*(MOVIMIENTOS!$D$5:$D$1005="sacos")*(MOVIMIENTOS!$A$5:$A$1005&lt;&gt;"")*(MOVIMIENTOS!$A$5:$A$1005&lt;=$A676)*MOVIMIENTOS!$E$5:$E$1005)+SUMPRODUCT((MOVIMIENTOS!$B$5:$B$1005="AJUSTE")*(MOVIMIENTOS!$C$5:$C$1005="Chancho")*(MOVIMIENTOS!$D$5:$D$1005="sacos")*(MOVIMIENTOS!$A$5:$A$1005&lt;&gt;"")*(MOVIMIENTOS!$A$5:$A$1005&lt;=$A676)*MOVIMIENTOS!$E$5:$E$1005))</f>
        <v/>
      </c>
      <c r="G676" s="62" t="str">
        <f t="shared" si="21"/>
        <v/>
      </c>
      <c r="H676" t="str">
        <f>IF($A676="","",SUMPRODUCT((((MOVIMIENTOS!$B$5:$B$1005="SALDO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676)*MOVIMIENTOS!$J$5:$J$1005))</f>
        <v/>
      </c>
      <c r="J676" t="str">
        <f>IF(AND(MOVIMIENTOS!$A681&lt;&gt;"",COUNTIF(MOVIMIENTOS!$A$5:$A680,MOVIMIENTOS!$A681)=0),COUNT(J$4:J675)+1,"")</f>
        <v/>
      </c>
      <c r="K676">
        <f>MOVIMIENTOS!$A681</f>
        <v>0</v>
      </c>
    </row>
    <row r="677" spans="1:11" ht="15" customHeight="1" x14ac:dyDescent="0.2">
      <c r="A677" t="str">
        <f t="shared" si="20"/>
        <v/>
      </c>
      <c r="B677" t="str">
        <f>IF($A677="","",SUMPRODUCT((MOVIMIENTOS!$B$5:$B$1005="SALDO INICIAL")*(MOVIMIENTOS!$C$5:$C$1005="A")*(MOVIMIENTOS!$D$5:$D$1005="jabas")*(MOVIMIENTOS!$A$5:$A$1005&lt;&gt;"")*(MOVIMIENTOS!$A$5:$A$1005&lt;=$A677)*MOVIMIENTOS!$E$5:$E$1005)+SUMPRODUCT((MOVIMIENTOS!$B$5:$B$1005="PROCESO")*(MOVIMIENTOS!$C$5:$C$1005="A")*(MOVIMIENTOS!$D$5:$D$1005="jabas")*(MOVIMIENTOS!$A$5:$A$1005&lt;&gt;"")*(MOVIMIENTOS!$A$5:$A$1005&lt;=$A677)*MOVIMIENTOS!$E$5:$E$1005)-SUMPRODUCT((MOVIMIENTOS!$B$5:$B$1005="ENVÍO A SUPESA")*(MOVIMIENTOS!$C$5:$C$1005="A")*(MOVIMIENTOS!$D$5:$D$1005="jabas")*(MOVIMIENTOS!$A$5:$A$1005&lt;&gt;"")*(MOVIMIENTOS!$A$5:$A$1005&lt;=$A677)*MOVIMIENTOS!$E$5:$E$1005)+SUMPRODUCT((MOVIMIENTOS!$B$5:$B$1005="DEVOLUCIÓN")*(MOVIMIENTOS!$C$5:$C$1005="A")*(MOVIMIENTOS!$D$5:$D$1005="jabas")*(MOVIMIENTOS!$A$5:$A$1005&lt;&gt;"")*(MOVIMIENTOS!$A$5:$A$1005&lt;=$A677)*MOVIMIENTOS!$E$5:$E$1005)-SUMPRODUCT((MOVIMIENTOS!$B$5:$B$1005="TRASIEGO")*(MOVIMIENTOS!$C$5:$C$1005="A")*(MOVIMIENTOS!$D$5:$D$1005="jabas")*(MOVIMIENTOS!$A$5:$A$1005&lt;&gt;"")*(MOVIMIENTOS!$A$5:$A$1005&lt;=$A677)*MOVIMIENTOS!$E$5:$E$1005)-SUMPRODUCT((MOVIMIENTOS!$B$5:$B$1005="REGALO")*(MOVIMIENTOS!$C$5:$C$1005="A")*(MOVIMIENTOS!$D$5:$D$1005="jabas")*(MOVIMIENTOS!$A$5:$A$1005&lt;&gt;"")*(MOVIMIENTOS!$A$5:$A$1005&lt;=$A677)*MOVIMIENTOS!$E$5:$E$1005)-SUMPRODUCT((MOVIMIENTOS!$B$5:$B$1005="VENTA")*(MOVIMIENTOS!$C$5:$C$1005="A")*(MOVIMIENTOS!$D$5:$D$1005="jabas")*(MOVIMIENTOS!$A$5:$A$1005&lt;&gt;"")*(MOVIMIENTOS!$A$5:$A$1005&lt;=$A677)*MOVIMIENTOS!$E$5:$E$1005)+SUMPRODUCT((MOVIMIENTOS!$B$5:$B$1005="AJUSTE")*(MOVIMIENTOS!$C$5:$C$1005="A")*(MOVIMIENTOS!$D$5:$D$1005="jabas")*(MOVIMIENTOS!$A$5:$A$1005&lt;&gt;"")*(MOVIMIENTOS!$A$5:$A$1005&lt;=$A677)*MOVIMIENTOS!$E$5:$E$1005))</f>
        <v/>
      </c>
      <c r="C677" t="str">
        <f>IF($A677="","",SUMPRODUCT((MOVIMIENTOS!$B$5:$B$1005="SALDO INICIAL")*(MOVIMIENTOS!$C$5:$C$1005="P")*(MOVIMIENTOS!$D$5:$D$1005="jabas")*(MOVIMIENTOS!$A$5:$A$1005&lt;&gt;"")*(MOVIMIENTOS!$A$5:$A$1005&lt;=$A677)*MOVIMIENTOS!$E$5:$E$1005)+SUMPRODUCT((MOVIMIENTOS!$B$5:$B$1005="PROCESO")*(MOVIMIENTOS!$C$5:$C$1005="P")*(MOVIMIENTOS!$D$5:$D$1005="jabas")*(MOVIMIENTOS!$A$5:$A$1005&lt;&gt;"")*(MOVIMIENTOS!$A$5:$A$1005&lt;=$A677)*MOVIMIENTOS!$E$5:$E$1005)-SUMPRODUCT((MOVIMIENTOS!$B$5:$B$1005="ENVÍO A SUPESA")*(MOVIMIENTOS!$C$5:$C$1005="P")*(MOVIMIENTOS!$D$5:$D$1005="jabas")*(MOVIMIENTOS!$A$5:$A$1005&lt;&gt;"")*(MOVIMIENTOS!$A$5:$A$1005&lt;=$A677)*MOVIMIENTOS!$E$5:$E$1005)+SUMPRODUCT((MOVIMIENTOS!$B$5:$B$1005="DEVOLUCIÓN")*(MOVIMIENTOS!$C$5:$C$1005="P")*(MOVIMIENTOS!$D$5:$D$1005="jabas")*(MOVIMIENTOS!$A$5:$A$1005&lt;&gt;"")*(MOVIMIENTOS!$A$5:$A$1005&lt;=$A677)*MOVIMIENTOS!$E$5:$E$1005)-SUMPRODUCT((MOVIMIENTOS!$B$5:$B$1005="TRASIEGO")*(MOVIMIENTOS!$C$5:$C$1005="P")*(MOVIMIENTOS!$D$5:$D$1005="jabas")*(MOVIMIENTOS!$A$5:$A$1005&lt;&gt;"")*(MOVIMIENTOS!$A$5:$A$1005&lt;=$A677)*MOVIMIENTOS!$E$5:$E$1005)-SUMPRODUCT((MOVIMIENTOS!$B$5:$B$1005="REGALO")*(MOVIMIENTOS!$C$5:$C$1005="P")*(MOVIMIENTOS!$D$5:$D$1005="jabas")*(MOVIMIENTOS!$A$5:$A$1005&lt;&gt;"")*(MOVIMIENTOS!$A$5:$A$1005&lt;=$A677)*MOVIMIENTOS!$E$5:$E$1005)-SUMPRODUCT((MOVIMIENTOS!$B$5:$B$1005="VENTA")*(MOVIMIENTOS!$C$5:$C$1005="P")*(MOVIMIENTOS!$D$5:$D$1005="jabas")*(MOVIMIENTOS!$A$5:$A$1005&lt;&gt;"")*(MOVIMIENTOS!$A$5:$A$1005&lt;=$A677)*MOVIMIENTOS!$E$5:$E$1005)+SUMPRODUCT((MOVIMIENTOS!$B$5:$B$1005="AJUSTE")*(MOVIMIENTOS!$C$5:$C$1005="P")*(MOVIMIENTOS!$D$5:$D$1005="jabas")*(MOVIMIENTOS!$A$5:$A$1005&lt;&gt;"")*(MOVIMIENTOS!$A$5:$A$1005&lt;=$A677)*MOVIMIENTOS!$E$5:$E$1005))</f>
        <v/>
      </c>
      <c r="D677" t="str">
        <f>IF($A677="","",SUMPRODUCT((MOVIMIENTOS!$B$5:$B$1005="SALDO INICIAL")*(MOVIMIENTOS!$C$5:$C$1005="C")*(MOVIMIENTOS!$D$5:$D$1005="jabas")*(MOVIMIENTOS!$A$5:$A$1005&lt;&gt;"")*(MOVIMIENTOS!$A$5:$A$1005&lt;=$A677)*MOVIMIENTOS!$E$5:$E$1005)+SUMPRODUCT((MOVIMIENTOS!$B$5:$B$1005="PROCESO")*(MOVIMIENTOS!$C$5:$C$1005="C")*(MOVIMIENTOS!$D$5:$D$1005="jabas")*(MOVIMIENTOS!$A$5:$A$1005&lt;&gt;"")*(MOVIMIENTOS!$A$5:$A$1005&lt;=$A677)*MOVIMIENTOS!$E$5:$E$1005)-SUMPRODUCT((MOVIMIENTOS!$B$5:$B$1005="ENVÍO A SUPESA")*(MOVIMIENTOS!$C$5:$C$1005="C")*(MOVIMIENTOS!$D$5:$D$1005="jabas")*(MOVIMIENTOS!$A$5:$A$1005&lt;&gt;"")*(MOVIMIENTOS!$A$5:$A$1005&lt;=$A677)*MOVIMIENTOS!$E$5:$E$1005)+SUMPRODUCT((MOVIMIENTOS!$B$5:$B$1005="DEVOLUCIÓN")*(MOVIMIENTOS!$C$5:$C$1005="C")*(MOVIMIENTOS!$D$5:$D$1005="jabas")*(MOVIMIENTOS!$A$5:$A$1005&lt;&gt;"")*(MOVIMIENTOS!$A$5:$A$1005&lt;=$A677)*MOVIMIENTOS!$E$5:$E$1005)-SUMPRODUCT((MOVIMIENTOS!$B$5:$B$1005="TRASIEGO")*(MOVIMIENTOS!$C$5:$C$1005="C")*(MOVIMIENTOS!$D$5:$D$1005="jabas")*(MOVIMIENTOS!$A$5:$A$1005&lt;&gt;"")*(MOVIMIENTOS!$A$5:$A$1005&lt;=$A677)*MOVIMIENTOS!$E$5:$E$1005)-SUMPRODUCT((MOVIMIENTOS!$B$5:$B$1005="REGALO")*(MOVIMIENTOS!$C$5:$C$1005="C")*(MOVIMIENTOS!$D$5:$D$1005="jabas")*(MOVIMIENTOS!$A$5:$A$1005&lt;&gt;"")*(MOVIMIENTOS!$A$5:$A$1005&lt;=$A677)*MOVIMIENTOS!$E$5:$E$1005)-SUMPRODUCT((MOVIMIENTOS!$B$5:$B$1005="VENTA")*(MOVIMIENTOS!$C$5:$C$1005="C")*(MOVIMIENTOS!$D$5:$D$1005="jabas")*(MOVIMIENTOS!$A$5:$A$1005&lt;&gt;"")*(MOVIMIENTOS!$A$5:$A$1005&lt;=$A677)*MOVIMIENTOS!$E$5:$E$1005)+SUMPRODUCT((MOVIMIENTOS!$B$5:$B$1005="AJUSTE")*(MOVIMIENTOS!$C$5:$C$1005="C")*(MOVIMIENTOS!$D$5:$D$1005="jabas")*(MOVIMIENTOS!$A$5:$A$1005&lt;&gt;"")*(MOVIMIENTOS!$A$5:$A$1005&lt;=$A677)*MOVIMIENTOS!$E$5:$E$1005))</f>
        <v/>
      </c>
      <c r="E677" t="str">
        <f>IF($A677="","",SUMPRODUCT((MOVIMIENTOS!$B$5:$B$1005="SALDO INICIAL")*(MOVIMIENTOS!$C$5:$C$1005="M")*(MOVIMIENTOS!$D$5:$D$1005="jabas")*(MOVIMIENTOS!$A$5:$A$1005&lt;&gt;"")*(MOVIMIENTOS!$A$5:$A$1005&lt;=$A677)*MOVIMIENTOS!$E$5:$E$1005)+SUMPRODUCT((MOVIMIENTOS!$B$5:$B$1005="PROCESO")*(MOVIMIENTOS!$C$5:$C$1005="M")*(MOVIMIENTOS!$D$5:$D$1005="jabas")*(MOVIMIENTOS!$A$5:$A$1005&lt;&gt;"")*(MOVIMIENTOS!$A$5:$A$1005&lt;=$A677)*MOVIMIENTOS!$E$5:$E$1005)-SUMPRODUCT((MOVIMIENTOS!$B$5:$B$1005="ENVÍO A SUPESA")*(MOVIMIENTOS!$C$5:$C$1005="M")*(MOVIMIENTOS!$D$5:$D$1005="jabas")*(MOVIMIENTOS!$A$5:$A$1005&lt;&gt;"")*(MOVIMIENTOS!$A$5:$A$1005&lt;=$A677)*MOVIMIENTOS!$E$5:$E$1005)+SUMPRODUCT((MOVIMIENTOS!$B$5:$B$1005="DEVOLUCIÓN")*(MOVIMIENTOS!$C$5:$C$1005="M")*(MOVIMIENTOS!$D$5:$D$1005="jabas")*(MOVIMIENTOS!$A$5:$A$1005&lt;&gt;"")*(MOVIMIENTOS!$A$5:$A$1005&lt;=$A677)*MOVIMIENTOS!$E$5:$E$1005)-SUMPRODUCT((MOVIMIENTOS!$B$5:$B$1005="TRASIEGO")*(MOVIMIENTOS!$C$5:$C$1005="M")*(MOVIMIENTOS!$D$5:$D$1005="jabas")*(MOVIMIENTOS!$A$5:$A$1005&lt;&gt;"")*(MOVIMIENTOS!$A$5:$A$1005&lt;=$A677)*MOVIMIENTOS!$E$5:$E$1005)-SUMPRODUCT((MOVIMIENTOS!$B$5:$B$1005="REGALO")*(MOVIMIENTOS!$C$5:$C$1005="M")*(MOVIMIENTOS!$D$5:$D$1005="jabas")*(MOVIMIENTOS!$A$5:$A$1005&lt;&gt;"")*(MOVIMIENTOS!$A$5:$A$1005&lt;=$A677)*MOVIMIENTOS!$E$5:$E$1005)-SUMPRODUCT((MOVIMIENTOS!$B$5:$B$1005="VENTA")*(MOVIMIENTOS!$C$5:$C$1005="M")*(MOVIMIENTOS!$D$5:$D$1005="jabas")*(MOVIMIENTOS!$A$5:$A$1005&lt;&gt;"")*(MOVIMIENTOS!$A$5:$A$1005&lt;=$A677)*MOVIMIENTOS!$E$5:$E$1005)+SUMPRODUCT((MOVIMIENTOS!$B$5:$B$1005="AJUSTE")*(MOVIMIENTOS!$C$5:$C$1005="M")*(MOVIMIENTOS!$D$5:$D$1005="jabas")*(MOVIMIENTOS!$A$5:$A$1005&lt;&gt;"")*(MOVIMIENTOS!$A$5:$A$1005&lt;=$A677)*MOVIMIENTOS!$E$5:$E$1005))</f>
        <v/>
      </c>
      <c r="F677" s="62" t="str">
        <f>IF($A677="","",SUMPRODUCT((MOVIMIENTOS!$B$5:$B$1005="SALDO INICIAL")*(MOVIMIENTOS!$C$5:$C$1005="Chancho")*(MOVIMIENTOS!$D$5:$D$1005="sacos")*(MOVIMIENTOS!$A$5:$A$1005&lt;&gt;"")*(MOVIMIENTOS!$A$5:$A$1005&lt;=$A677)*MOVIMIENTOS!$E$5:$E$1005)+SUMPRODUCT((MOVIMIENTOS!$B$5:$B$1005="PROCESO")*(MOVIMIENTOS!$C$5:$C$1005="Chancho")*(MOVIMIENTOS!$D$5:$D$1005="sacos")*(MOVIMIENTOS!$A$5:$A$1005&lt;&gt;"")*(MOVIMIENTOS!$A$5:$A$1005&lt;=$A677)*MOVIMIENTOS!$E$5:$E$1005)-SUMPRODUCT((MOVIMIENTOS!$B$5:$B$1005="VENTA CHANCHO")*(MOVIMIENTOS!$C$5:$C$1005="Chancho")*(MOVIMIENTOS!$D$5:$D$1005="sacos")*(MOVIMIENTOS!$A$5:$A$1005&lt;&gt;"")*(MOVIMIENTOS!$A$5:$A$1005&lt;=$A677)*MOVIMIENTOS!$E$5:$E$1005)-SUMPRODUCT((MOVIMIENTOS!$B$5:$B$1005="REGALO")*(MOVIMIENTOS!$C$5:$C$1005="Chancho")*(MOVIMIENTOS!$D$5:$D$1005="sacos")*(MOVIMIENTOS!$A$5:$A$1005&lt;&gt;"")*(MOVIMIENTOS!$A$5:$A$1005&lt;=$A677)*MOVIMIENTOS!$E$5:$E$1005)-SUMPRODUCT((MOVIMIENTOS!$B$5:$B$1005="VENTA")*(MOVIMIENTOS!$C$5:$C$1005="Chancho")*(MOVIMIENTOS!$D$5:$D$1005="sacos")*(MOVIMIENTOS!$A$5:$A$1005&lt;&gt;"")*(MOVIMIENTOS!$A$5:$A$1005&lt;=$A677)*MOVIMIENTOS!$E$5:$E$1005)+SUMPRODUCT((MOVIMIENTOS!$B$5:$B$1005="AJUSTE")*(MOVIMIENTOS!$C$5:$C$1005="Chancho")*(MOVIMIENTOS!$D$5:$D$1005="sacos")*(MOVIMIENTOS!$A$5:$A$1005&lt;&gt;"")*(MOVIMIENTOS!$A$5:$A$1005&lt;=$A677)*MOVIMIENTOS!$E$5:$E$1005))</f>
        <v/>
      </c>
      <c r="G677" s="62" t="str">
        <f t="shared" si="21"/>
        <v/>
      </c>
      <c r="H677" t="str">
        <f>IF($A677="","",SUMPRODUCT((((MOVIMIENTOS!$B$5:$B$1005="SALDO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677)*MOVIMIENTOS!$J$5:$J$1005))</f>
        <v/>
      </c>
      <c r="J677" t="str">
        <f>IF(AND(MOVIMIENTOS!$A682&lt;&gt;"",COUNTIF(MOVIMIENTOS!$A$5:$A681,MOVIMIENTOS!$A682)=0),COUNT(J$4:J676)+1,"")</f>
        <v/>
      </c>
      <c r="K677">
        <f>MOVIMIENTOS!$A682</f>
        <v>0</v>
      </c>
    </row>
    <row r="678" spans="1:11" ht="15" customHeight="1" x14ac:dyDescent="0.2">
      <c r="A678" t="str">
        <f t="shared" si="20"/>
        <v/>
      </c>
      <c r="B678" t="str">
        <f>IF($A678="","",SUMPRODUCT((MOVIMIENTOS!$B$5:$B$1005="SALDO INICIAL")*(MOVIMIENTOS!$C$5:$C$1005="A")*(MOVIMIENTOS!$D$5:$D$1005="jabas")*(MOVIMIENTOS!$A$5:$A$1005&lt;&gt;"")*(MOVIMIENTOS!$A$5:$A$1005&lt;=$A678)*MOVIMIENTOS!$E$5:$E$1005)+SUMPRODUCT((MOVIMIENTOS!$B$5:$B$1005="PROCESO")*(MOVIMIENTOS!$C$5:$C$1005="A")*(MOVIMIENTOS!$D$5:$D$1005="jabas")*(MOVIMIENTOS!$A$5:$A$1005&lt;&gt;"")*(MOVIMIENTOS!$A$5:$A$1005&lt;=$A678)*MOVIMIENTOS!$E$5:$E$1005)-SUMPRODUCT((MOVIMIENTOS!$B$5:$B$1005="ENVÍO A SUPESA")*(MOVIMIENTOS!$C$5:$C$1005="A")*(MOVIMIENTOS!$D$5:$D$1005="jabas")*(MOVIMIENTOS!$A$5:$A$1005&lt;&gt;"")*(MOVIMIENTOS!$A$5:$A$1005&lt;=$A678)*MOVIMIENTOS!$E$5:$E$1005)+SUMPRODUCT((MOVIMIENTOS!$B$5:$B$1005="DEVOLUCIÓN")*(MOVIMIENTOS!$C$5:$C$1005="A")*(MOVIMIENTOS!$D$5:$D$1005="jabas")*(MOVIMIENTOS!$A$5:$A$1005&lt;&gt;"")*(MOVIMIENTOS!$A$5:$A$1005&lt;=$A678)*MOVIMIENTOS!$E$5:$E$1005)-SUMPRODUCT((MOVIMIENTOS!$B$5:$B$1005="TRASIEGO")*(MOVIMIENTOS!$C$5:$C$1005="A")*(MOVIMIENTOS!$D$5:$D$1005="jabas")*(MOVIMIENTOS!$A$5:$A$1005&lt;&gt;"")*(MOVIMIENTOS!$A$5:$A$1005&lt;=$A678)*MOVIMIENTOS!$E$5:$E$1005)-SUMPRODUCT((MOVIMIENTOS!$B$5:$B$1005="REGALO")*(MOVIMIENTOS!$C$5:$C$1005="A")*(MOVIMIENTOS!$D$5:$D$1005="jabas")*(MOVIMIENTOS!$A$5:$A$1005&lt;&gt;"")*(MOVIMIENTOS!$A$5:$A$1005&lt;=$A678)*MOVIMIENTOS!$E$5:$E$1005)-SUMPRODUCT((MOVIMIENTOS!$B$5:$B$1005="VENTA")*(MOVIMIENTOS!$C$5:$C$1005="A")*(MOVIMIENTOS!$D$5:$D$1005="jabas")*(MOVIMIENTOS!$A$5:$A$1005&lt;&gt;"")*(MOVIMIENTOS!$A$5:$A$1005&lt;=$A678)*MOVIMIENTOS!$E$5:$E$1005)+SUMPRODUCT((MOVIMIENTOS!$B$5:$B$1005="AJUSTE")*(MOVIMIENTOS!$C$5:$C$1005="A")*(MOVIMIENTOS!$D$5:$D$1005="jabas")*(MOVIMIENTOS!$A$5:$A$1005&lt;&gt;"")*(MOVIMIENTOS!$A$5:$A$1005&lt;=$A678)*MOVIMIENTOS!$E$5:$E$1005))</f>
        <v/>
      </c>
      <c r="C678" t="str">
        <f>IF($A678="","",SUMPRODUCT((MOVIMIENTOS!$B$5:$B$1005="SALDO INICIAL")*(MOVIMIENTOS!$C$5:$C$1005="P")*(MOVIMIENTOS!$D$5:$D$1005="jabas")*(MOVIMIENTOS!$A$5:$A$1005&lt;&gt;"")*(MOVIMIENTOS!$A$5:$A$1005&lt;=$A678)*MOVIMIENTOS!$E$5:$E$1005)+SUMPRODUCT((MOVIMIENTOS!$B$5:$B$1005="PROCESO")*(MOVIMIENTOS!$C$5:$C$1005="P")*(MOVIMIENTOS!$D$5:$D$1005="jabas")*(MOVIMIENTOS!$A$5:$A$1005&lt;&gt;"")*(MOVIMIENTOS!$A$5:$A$1005&lt;=$A678)*MOVIMIENTOS!$E$5:$E$1005)-SUMPRODUCT((MOVIMIENTOS!$B$5:$B$1005="ENVÍO A SUPESA")*(MOVIMIENTOS!$C$5:$C$1005="P")*(MOVIMIENTOS!$D$5:$D$1005="jabas")*(MOVIMIENTOS!$A$5:$A$1005&lt;&gt;"")*(MOVIMIENTOS!$A$5:$A$1005&lt;=$A678)*MOVIMIENTOS!$E$5:$E$1005)+SUMPRODUCT((MOVIMIENTOS!$B$5:$B$1005="DEVOLUCIÓN")*(MOVIMIENTOS!$C$5:$C$1005="P")*(MOVIMIENTOS!$D$5:$D$1005="jabas")*(MOVIMIENTOS!$A$5:$A$1005&lt;&gt;"")*(MOVIMIENTOS!$A$5:$A$1005&lt;=$A678)*MOVIMIENTOS!$E$5:$E$1005)-SUMPRODUCT((MOVIMIENTOS!$B$5:$B$1005="TRASIEGO")*(MOVIMIENTOS!$C$5:$C$1005="P")*(MOVIMIENTOS!$D$5:$D$1005="jabas")*(MOVIMIENTOS!$A$5:$A$1005&lt;&gt;"")*(MOVIMIENTOS!$A$5:$A$1005&lt;=$A678)*MOVIMIENTOS!$E$5:$E$1005)-SUMPRODUCT((MOVIMIENTOS!$B$5:$B$1005="REGALO")*(MOVIMIENTOS!$C$5:$C$1005="P")*(MOVIMIENTOS!$D$5:$D$1005="jabas")*(MOVIMIENTOS!$A$5:$A$1005&lt;&gt;"")*(MOVIMIENTOS!$A$5:$A$1005&lt;=$A678)*MOVIMIENTOS!$E$5:$E$1005)-SUMPRODUCT((MOVIMIENTOS!$B$5:$B$1005="VENTA")*(MOVIMIENTOS!$C$5:$C$1005="P")*(MOVIMIENTOS!$D$5:$D$1005="jabas")*(MOVIMIENTOS!$A$5:$A$1005&lt;&gt;"")*(MOVIMIENTOS!$A$5:$A$1005&lt;=$A678)*MOVIMIENTOS!$E$5:$E$1005)+SUMPRODUCT((MOVIMIENTOS!$B$5:$B$1005="AJUSTE")*(MOVIMIENTOS!$C$5:$C$1005="P")*(MOVIMIENTOS!$D$5:$D$1005="jabas")*(MOVIMIENTOS!$A$5:$A$1005&lt;&gt;"")*(MOVIMIENTOS!$A$5:$A$1005&lt;=$A678)*MOVIMIENTOS!$E$5:$E$1005))</f>
        <v/>
      </c>
      <c r="D678" t="str">
        <f>IF($A678="","",SUMPRODUCT((MOVIMIENTOS!$B$5:$B$1005="SALDO INICIAL")*(MOVIMIENTOS!$C$5:$C$1005="C")*(MOVIMIENTOS!$D$5:$D$1005="jabas")*(MOVIMIENTOS!$A$5:$A$1005&lt;&gt;"")*(MOVIMIENTOS!$A$5:$A$1005&lt;=$A678)*MOVIMIENTOS!$E$5:$E$1005)+SUMPRODUCT((MOVIMIENTOS!$B$5:$B$1005="PROCESO")*(MOVIMIENTOS!$C$5:$C$1005="C")*(MOVIMIENTOS!$D$5:$D$1005="jabas")*(MOVIMIENTOS!$A$5:$A$1005&lt;&gt;"")*(MOVIMIENTOS!$A$5:$A$1005&lt;=$A678)*MOVIMIENTOS!$E$5:$E$1005)-SUMPRODUCT((MOVIMIENTOS!$B$5:$B$1005="ENVÍO A SUPESA")*(MOVIMIENTOS!$C$5:$C$1005="C")*(MOVIMIENTOS!$D$5:$D$1005="jabas")*(MOVIMIENTOS!$A$5:$A$1005&lt;&gt;"")*(MOVIMIENTOS!$A$5:$A$1005&lt;=$A678)*MOVIMIENTOS!$E$5:$E$1005)+SUMPRODUCT((MOVIMIENTOS!$B$5:$B$1005="DEVOLUCIÓN")*(MOVIMIENTOS!$C$5:$C$1005="C")*(MOVIMIENTOS!$D$5:$D$1005="jabas")*(MOVIMIENTOS!$A$5:$A$1005&lt;&gt;"")*(MOVIMIENTOS!$A$5:$A$1005&lt;=$A678)*MOVIMIENTOS!$E$5:$E$1005)-SUMPRODUCT((MOVIMIENTOS!$B$5:$B$1005="TRASIEGO")*(MOVIMIENTOS!$C$5:$C$1005="C")*(MOVIMIENTOS!$D$5:$D$1005="jabas")*(MOVIMIENTOS!$A$5:$A$1005&lt;&gt;"")*(MOVIMIENTOS!$A$5:$A$1005&lt;=$A678)*MOVIMIENTOS!$E$5:$E$1005)-SUMPRODUCT((MOVIMIENTOS!$B$5:$B$1005="REGALO")*(MOVIMIENTOS!$C$5:$C$1005="C")*(MOVIMIENTOS!$D$5:$D$1005="jabas")*(MOVIMIENTOS!$A$5:$A$1005&lt;&gt;"")*(MOVIMIENTOS!$A$5:$A$1005&lt;=$A678)*MOVIMIENTOS!$E$5:$E$1005)-SUMPRODUCT((MOVIMIENTOS!$B$5:$B$1005="VENTA")*(MOVIMIENTOS!$C$5:$C$1005="C")*(MOVIMIENTOS!$D$5:$D$1005="jabas")*(MOVIMIENTOS!$A$5:$A$1005&lt;&gt;"")*(MOVIMIENTOS!$A$5:$A$1005&lt;=$A678)*MOVIMIENTOS!$E$5:$E$1005)+SUMPRODUCT((MOVIMIENTOS!$B$5:$B$1005="AJUSTE")*(MOVIMIENTOS!$C$5:$C$1005="C")*(MOVIMIENTOS!$D$5:$D$1005="jabas")*(MOVIMIENTOS!$A$5:$A$1005&lt;&gt;"")*(MOVIMIENTOS!$A$5:$A$1005&lt;=$A678)*MOVIMIENTOS!$E$5:$E$1005))</f>
        <v/>
      </c>
      <c r="E678" t="str">
        <f>IF($A678="","",SUMPRODUCT((MOVIMIENTOS!$B$5:$B$1005="SALDO INICIAL")*(MOVIMIENTOS!$C$5:$C$1005="M")*(MOVIMIENTOS!$D$5:$D$1005="jabas")*(MOVIMIENTOS!$A$5:$A$1005&lt;&gt;"")*(MOVIMIENTOS!$A$5:$A$1005&lt;=$A678)*MOVIMIENTOS!$E$5:$E$1005)+SUMPRODUCT((MOVIMIENTOS!$B$5:$B$1005="PROCESO")*(MOVIMIENTOS!$C$5:$C$1005="M")*(MOVIMIENTOS!$D$5:$D$1005="jabas")*(MOVIMIENTOS!$A$5:$A$1005&lt;&gt;"")*(MOVIMIENTOS!$A$5:$A$1005&lt;=$A678)*MOVIMIENTOS!$E$5:$E$1005)-SUMPRODUCT((MOVIMIENTOS!$B$5:$B$1005="ENVÍO A SUPESA")*(MOVIMIENTOS!$C$5:$C$1005="M")*(MOVIMIENTOS!$D$5:$D$1005="jabas")*(MOVIMIENTOS!$A$5:$A$1005&lt;&gt;"")*(MOVIMIENTOS!$A$5:$A$1005&lt;=$A678)*MOVIMIENTOS!$E$5:$E$1005)+SUMPRODUCT((MOVIMIENTOS!$B$5:$B$1005="DEVOLUCIÓN")*(MOVIMIENTOS!$C$5:$C$1005="M")*(MOVIMIENTOS!$D$5:$D$1005="jabas")*(MOVIMIENTOS!$A$5:$A$1005&lt;&gt;"")*(MOVIMIENTOS!$A$5:$A$1005&lt;=$A678)*MOVIMIENTOS!$E$5:$E$1005)-SUMPRODUCT((MOVIMIENTOS!$B$5:$B$1005="TRASIEGO")*(MOVIMIENTOS!$C$5:$C$1005="M")*(MOVIMIENTOS!$D$5:$D$1005="jabas")*(MOVIMIENTOS!$A$5:$A$1005&lt;&gt;"")*(MOVIMIENTOS!$A$5:$A$1005&lt;=$A678)*MOVIMIENTOS!$E$5:$E$1005)-SUMPRODUCT((MOVIMIENTOS!$B$5:$B$1005="REGALO")*(MOVIMIENTOS!$C$5:$C$1005="M")*(MOVIMIENTOS!$D$5:$D$1005="jabas")*(MOVIMIENTOS!$A$5:$A$1005&lt;&gt;"")*(MOVIMIENTOS!$A$5:$A$1005&lt;=$A678)*MOVIMIENTOS!$E$5:$E$1005)-SUMPRODUCT((MOVIMIENTOS!$B$5:$B$1005="VENTA")*(MOVIMIENTOS!$C$5:$C$1005="M")*(MOVIMIENTOS!$D$5:$D$1005="jabas")*(MOVIMIENTOS!$A$5:$A$1005&lt;&gt;"")*(MOVIMIENTOS!$A$5:$A$1005&lt;=$A678)*MOVIMIENTOS!$E$5:$E$1005)+SUMPRODUCT((MOVIMIENTOS!$B$5:$B$1005="AJUSTE")*(MOVIMIENTOS!$C$5:$C$1005="M")*(MOVIMIENTOS!$D$5:$D$1005="jabas")*(MOVIMIENTOS!$A$5:$A$1005&lt;&gt;"")*(MOVIMIENTOS!$A$5:$A$1005&lt;=$A678)*MOVIMIENTOS!$E$5:$E$1005))</f>
        <v/>
      </c>
      <c r="F678" s="62" t="str">
        <f>IF($A678="","",SUMPRODUCT((MOVIMIENTOS!$B$5:$B$1005="SALDO INICIAL")*(MOVIMIENTOS!$C$5:$C$1005="Chancho")*(MOVIMIENTOS!$D$5:$D$1005="sacos")*(MOVIMIENTOS!$A$5:$A$1005&lt;&gt;"")*(MOVIMIENTOS!$A$5:$A$1005&lt;=$A678)*MOVIMIENTOS!$E$5:$E$1005)+SUMPRODUCT((MOVIMIENTOS!$B$5:$B$1005="PROCESO")*(MOVIMIENTOS!$C$5:$C$1005="Chancho")*(MOVIMIENTOS!$D$5:$D$1005="sacos")*(MOVIMIENTOS!$A$5:$A$1005&lt;&gt;"")*(MOVIMIENTOS!$A$5:$A$1005&lt;=$A678)*MOVIMIENTOS!$E$5:$E$1005)-SUMPRODUCT((MOVIMIENTOS!$B$5:$B$1005="VENTA CHANCHO")*(MOVIMIENTOS!$C$5:$C$1005="Chancho")*(MOVIMIENTOS!$D$5:$D$1005="sacos")*(MOVIMIENTOS!$A$5:$A$1005&lt;&gt;"")*(MOVIMIENTOS!$A$5:$A$1005&lt;=$A678)*MOVIMIENTOS!$E$5:$E$1005)-SUMPRODUCT((MOVIMIENTOS!$B$5:$B$1005="REGALO")*(MOVIMIENTOS!$C$5:$C$1005="Chancho")*(MOVIMIENTOS!$D$5:$D$1005="sacos")*(MOVIMIENTOS!$A$5:$A$1005&lt;&gt;"")*(MOVIMIENTOS!$A$5:$A$1005&lt;=$A678)*MOVIMIENTOS!$E$5:$E$1005)-SUMPRODUCT((MOVIMIENTOS!$B$5:$B$1005="VENTA")*(MOVIMIENTOS!$C$5:$C$1005="Chancho")*(MOVIMIENTOS!$D$5:$D$1005="sacos")*(MOVIMIENTOS!$A$5:$A$1005&lt;&gt;"")*(MOVIMIENTOS!$A$5:$A$1005&lt;=$A678)*MOVIMIENTOS!$E$5:$E$1005)+SUMPRODUCT((MOVIMIENTOS!$B$5:$B$1005="AJUSTE")*(MOVIMIENTOS!$C$5:$C$1005="Chancho")*(MOVIMIENTOS!$D$5:$D$1005="sacos")*(MOVIMIENTOS!$A$5:$A$1005&lt;&gt;"")*(MOVIMIENTOS!$A$5:$A$1005&lt;=$A678)*MOVIMIENTOS!$E$5:$E$1005))</f>
        <v/>
      </c>
      <c r="G678" s="62" t="str">
        <f t="shared" si="21"/>
        <v/>
      </c>
      <c r="H678" t="str">
        <f>IF($A678="","",SUMPRODUCT((((MOVIMIENTOS!$B$5:$B$1005="SALDO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678)*MOVIMIENTOS!$J$5:$J$1005))</f>
        <v/>
      </c>
      <c r="J678" t="str">
        <f>IF(AND(MOVIMIENTOS!$A683&lt;&gt;"",COUNTIF(MOVIMIENTOS!$A$5:$A682,MOVIMIENTOS!$A683)=0),COUNT(J$4:J677)+1,"")</f>
        <v/>
      </c>
      <c r="K678">
        <f>MOVIMIENTOS!$A683</f>
        <v>0</v>
      </c>
    </row>
    <row r="679" spans="1:11" ht="15" customHeight="1" x14ac:dyDescent="0.2">
      <c r="A679" t="str">
        <f t="shared" si="20"/>
        <v/>
      </c>
      <c r="B679" t="str">
        <f>IF($A679="","",SUMPRODUCT((MOVIMIENTOS!$B$5:$B$1005="SALDO INICIAL")*(MOVIMIENTOS!$C$5:$C$1005="A")*(MOVIMIENTOS!$D$5:$D$1005="jabas")*(MOVIMIENTOS!$A$5:$A$1005&lt;&gt;"")*(MOVIMIENTOS!$A$5:$A$1005&lt;=$A679)*MOVIMIENTOS!$E$5:$E$1005)+SUMPRODUCT((MOVIMIENTOS!$B$5:$B$1005="PROCESO")*(MOVIMIENTOS!$C$5:$C$1005="A")*(MOVIMIENTOS!$D$5:$D$1005="jabas")*(MOVIMIENTOS!$A$5:$A$1005&lt;&gt;"")*(MOVIMIENTOS!$A$5:$A$1005&lt;=$A679)*MOVIMIENTOS!$E$5:$E$1005)-SUMPRODUCT((MOVIMIENTOS!$B$5:$B$1005="ENVÍO A SUPESA")*(MOVIMIENTOS!$C$5:$C$1005="A")*(MOVIMIENTOS!$D$5:$D$1005="jabas")*(MOVIMIENTOS!$A$5:$A$1005&lt;&gt;"")*(MOVIMIENTOS!$A$5:$A$1005&lt;=$A679)*MOVIMIENTOS!$E$5:$E$1005)+SUMPRODUCT((MOVIMIENTOS!$B$5:$B$1005="DEVOLUCIÓN")*(MOVIMIENTOS!$C$5:$C$1005="A")*(MOVIMIENTOS!$D$5:$D$1005="jabas")*(MOVIMIENTOS!$A$5:$A$1005&lt;&gt;"")*(MOVIMIENTOS!$A$5:$A$1005&lt;=$A679)*MOVIMIENTOS!$E$5:$E$1005)-SUMPRODUCT((MOVIMIENTOS!$B$5:$B$1005="TRASIEGO")*(MOVIMIENTOS!$C$5:$C$1005="A")*(MOVIMIENTOS!$D$5:$D$1005="jabas")*(MOVIMIENTOS!$A$5:$A$1005&lt;&gt;"")*(MOVIMIENTOS!$A$5:$A$1005&lt;=$A679)*MOVIMIENTOS!$E$5:$E$1005)-SUMPRODUCT((MOVIMIENTOS!$B$5:$B$1005="REGALO")*(MOVIMIENTOS!$C$5:$C$1005="A")*(MOVIMIENTOS!$D$5:$D$1005="jabas")*(MOVIMIENTOS!$A$5:$A$1005&lt;&gt;"")*(MOVIMIENTOS!$A$5:$A$1005&lt;=$A679)*MOVIMIENTOS!$E$5:$E$1005)-SUMPRODUCT((MOVIMIENTOS!$B$5:$B$1005="VENTA")*(MOVIMIENTOS!$C$5:$C$1005="A")*(MOVIMIENTOS!$D$5:$D$1005="jabas")*(MOVIMIENTOS!$A$5:$A$1005&lt;&gt;"")*(MOVIMIENTOS!$A$5:$A$1005&lt;=$A679)*MOVIMIENTOS!$E$5:$E$1005)+SUMPRODUCT((MOVIMIENTOS!$B$5:$B$1005="AJUSTE")*(MOVIMIENTOS!$C$5:$C$1005="A")*(MOVIMIENTOS!$D$5:$D$1005="jabas")*(MOVIMIENTOS!$A$5:$A$1005&lt;&gt;"")*(MOVIMIENTOS!$A$5:$A$1005&lt;=$A679)*MOVIMIENTOS!$E$5:$E$1005))</f>
        <v/>
      </c>
      <c r="C679" t="str">
        <f>IF($A679="","",SUMPRODUCT((MOVIMIENTOS!$B$5:$B$1005="SALDO INICIAL")*(MOVIMIENTOS!$C$5:$C$1005="P")*(MOVIMIENTOS!$D$5:$D$1005="jabas")*(MOVIMIENTOS!$A$5:$A$1005&lt;&gt;"")*(MOVIMIENTOS!$A$5:$A$1005&lt;=$A679)*MOVIMIENTOS!$E$5:$E$1005)+SUMPRODUCT((MOVIMIENTOS!$B$5:$B$1005="PROCESO")*(MOVIMIENTOS!$C$5:$C$1005="P")*(MOVIMIENTOS!$D$5:$D$1005="jabas")*(MOVIMIENTOS!$A$5:$A$1005&lt;&gt;"")*(MOVIMIENTOS!$A$5:$A$1005&lt;=$A679)*MOVIMIENTOS!$E$5:$E$1005)-SUMPRODUCT((MOVIMIENTOS!$B$5:$B$1005="ENVÍO A SUPESA")*(MOVIMIENTOS!$C$5:$C$1005="P")*(MOVIMIENTOS!$D$5:$D$1005="jabas")*(MOVIMIENTOS!$A$5:$A$1005&lt;&gt;"")*(MOVIMIENTOS!$A$5:$A$1005&lt;=$A679)*MOVIMIENTOS!$E$5:$E$1005)+SUMPRODUCT((MOVIMIENTOS!$B$5:$B$1005="DEVOLUCIÓN")*(MOVIMIENTOS!$C$5:$C$1005="P")*(MOVIMIENTOS!$D$5:$D$1005="jabas")*(MOVIMIENTOS!$A$5:$A$1005&lt;&gt;"")*(MOVIMIENTOS!$A$5:$A$1005&lt;=$A679)*MOVIMIENTOS!$E$5:$E$1005)-SUMPRODUCT((MOVIMIENTOS!$B$5:$B$1005="TRASIEGO")*(MOVIMIENTOS!$C$5:$C$1005="P")*(MOVIMIENTOS!$D$5:$D$1005="jabas")*(MOVIMIENTOS!$A$5:$A$1005&lt;&gt;"")*(MOVIMIENTOS!$A$5:$A$1005&lt;=$A679)*MOVIMIENTOS!$E$5:$E$1005)-SUMPRODUCT((MOVIMIENTOS!$B$5:$B$1005="REGALO")*(MOVIMIENTOS!$C$5:$C$1005="P")*(MOVIMIENTOS!$D$5:$D$1005="jabas")*(MOVIMIENTOS!$A$5:$A$1005&lt;&gt;"")*(MOVIMIENTOS!$A$5:$A$1005&lt;=$A679)*MOVIMIENTOS!$E$5:$E$1005)-SUMPRODUCT((MOVIMIENTOS!$B$5:$B$1005="VENTA")*(MOVIMIENTOS!$C$5:$C$1005="P")*(MOVIMIENTOS!$D$5:$D$1005="jabas")*(MOVIMIENTOS!$A$5:$A$1005&lt;&gt;"")*(MOVIMIENTOS!$A$5:$A$1005&lt;=$A679)*MOVIMIENTOS!$E$5:$E$1005)+SUMPRODUCT((MOVIMIENTOS!$B$5:$B$1005="AJUSTE")*(MOVIMIENTOS!$C$5:$C$1005="P")*(MOVIMIENTOS!$D$5:$D$1005="jabas")*(MOVIMIENTOS!$A$5:$A$1005&lt;&gt;"")*(MOVIMIENTOS!$A$5:$A$1005&lt;=$A679)*MOVIMIENTOS!$E$5:$E$1005))</f>
        <v/>
      </c>
      <c r="D679" t="str">
        <f>IF($A679="","",SUMPRODUCT((MOVIMIENTOS!$B$5:$B$1005="SALDO INICIAL")*(MOVIMIENTOS!$C$5:$C$1005="C")*(MOVIMIENTOS!$D$5:$D$1005="jabas")*(MOVIMIENTOS!$A$5:$A$1005&lt;&gt;"")*(MOVIMIENTOS!$A$5:$A$1005&lt;=$A679)*MOVIMIENTOS!$E$5:$E$1005)+SUMPRODUCT((MOVIMIENTOS!$B$5:$B$1005="PROCESO")*(MOVIMIENTOS!$C$5:$C$1005="C")*(MOVIMIENTOS!$D$5:$D$1005="jabas")*(MOVIMIENTOS!$A$5:$A$1005&lt;&gt;"")*(MOVIMIENTOS!$A$5:$A$1005&lt;=$A679)*MOVIMIENTOS!$E$5:$E$1005)-SUMPRODUCT((MOVIMIENTOS!$B$5:$B$1005="ENVÍO A SUPESA")*(MOVIMIENTOS!$C$5:$C$1005="C")*(MOVIMIENTOS!$D$5:$D$1005="jabas")*(MOVIMIENTOS!$A$5:$A$1005&lt;&gt;"")*(MOVIMIENTOS!$A$5:$A$1005&lt;=$A679)*MOVIMIENTOS!$E$5:$E$1005)+SUMPRODUCT((MOVIMIENTOS!$B$5:$B$1005="DEVOLUCIÓN")*(MOVIMIENTOS!$C$5:$C$1005="C")*(MOVIMIENTOS!$D$5:$D$1005="jabas")*(MOVIMIENTOS!$A$5:$A$1005&lt;&gt;"")*(MOVIMIENTOS!$A$5:$A$1005&lt;=$A679)*MOVIMIENTOS!$E$5:$E$1005)-SUMPRODUCT((MOVIMIENTOS!$B$5:$B$1005="TRASIEGO")*(MOVIMIENTOS!$C$5:$C$1005="C")*(MOVIMIENTOS!$D$5:$D$1005="jabas")*(MOVIMIENTOS!$A$5:$A$1005&lt;&gt;"")*(MOVIMIENTOS!$A$5:$A$1005&lt;=$A679)*MOVIMIENTOS!$E$5:$E$1005)-SUMPRODUCT((MOVIMIENTOS!$B$5:$B$1005="REGALO")*(MOVIMIENTOS!$C$5:$C$1005="C")*(MOVIMIENTOS!$D$5:$D$1005="jabas")*(MOVIMIENTOS!$A$5:$A$1005&lt;&gt;"")*(MOVIMIENTOS!$A$5:$A$1005&lt;=$A679)*MOVIMIENTOS!$E$5:$E$1005)-SUMPRODUCT((MOVIMIENTOS!$B$5:$B$1005="VENTA")*(MOVIMIENTOS!$C$5:$C$1005="C")*(MOVIMIENTOS!$D$5:$D$1005="jabas")*(MOVIMIENTOS!$A$5:$A$1005&lt;&gt;"")*(MOVIMIENTOS!$A$5:$A$1005&lt;=$A679)*MOVIMIENTOS!$E$5:$E$1005)+SUMPRODUCT((MOVIMIENTOS!$B$5:$B$1005="AJUSTE")*(MOVIMIENTOS!$C$5:$C$1005="C")*(MOVIMIENTOS!$D$5:$D$1005="jabas")*(MOVIMIENTOS!$A$5:$A$1005&lt;&gt;"")*(MOVIMIENTOS!$A$5:$A$1005&lt;=$A679)*MOVIMIENTOS!$E$5:$E$1005))</f>
        <v/>
      </c>
      <c r="E679" t="str">
        <f>IF($A679="","",SUMPRODUCT((MOVIMIENTOS!$B$5:$B$1005="SALDO INICIAL")*(MOVIMIENTOS!$C$5:$C$1005="M")*(MOVIMIENTOS!$D$5:$D$1005="jabas")*(MOVIMIENTOS!$A$5:$A$1005&lt;&gt;"")*(MOVIMIENTOS!$A$5:$A$1005&lt;=$A679)*MOVIMIENTOS!$E$5:$E$1005)+SUMPRODUCT((MOVIMIENTOS!$B$5:$B$1005="PROCESO")*(MOVIMIENTOS!$C$5:$C$1005="M")*(MOVIMIENTOS!$D$5:$D$1005="jabas")*(MOVIMIENTOS!$A$5:$A$1005&lt;&gt;"")*(MOVIMIENTOS!$A$5:$A$1005&lt;=$A679)*MOVIMIENTOS!$E$5:$E$1005)-SUMPRODUCT((MOVIMIENTOS!$B$5:$B$1005="ENVÍO A SUPESA")*(MOVIMIENTOS!$C$5:$C$1005="M")*(MOVIMIENTOS!$D$5:$D$1005="jabas")*(MOVIMIENTOS!$A$5:$A$1005&lt;&gt;"")*(MOVIMIENTOS!$A$5:$A$1005&lt;=$A679)*MOVIMIENTOS!$E$5:$E$1005)+SUMPRODUCT((MOVIMIENTOS!$B$5:$B$1005="DEVOLUCIÓN")*(MOVIMIENTOS!$C$5:$C$1005="M")*(MOVIMIENTOS!$D$5:$D$1005="jabas")*(MOVIMIENTOS!$A$5:$A$1005&lt;&gt;"")*(MOVIMIENTOS!$A$5:$A$1005&lt;=$A679)*MOVIMIENTOS!$E$5:$E$1005)-SUMPRODUCT((MOVIMIENTOS!$B$5:$B$1005="TRASIEGO")*(MOVIMIENTOS!$C$5:$C$1005="M")*(MOVIMIENTOS!$D$5:$D$1005="jabas")*(MOVIMIENTOS!$A$5:$A$1005&lt;&gt;"")*(MOVIMIENTOS!$A$5:$A$1005&lt;=$A679)*MOVIMIENTOS!$E$5:$E$1005)-SUMPRODUCT((MOVIMIENTOS!$B$5:$B$1005="REGALO")*(MOVIMIENTOS!$C$5:$C$1005="M")*(MOVIMIENTOS!$D$5:$D$1005="jabas")*(MOVIMIENTOS!$A$5:$A$1005&lt;&gt;"")*(MOVIMIENTOS!$A$5:$A$1005&lt;=$A679)*MOVIMIENTOS!$E$5:$E$1005)-SUMPRODUCT((MOVIMIENTOS!$B$5:$B$1005="VENTA")*(MOVIMIENTOS!$C$5:$C$1005="M")*(MOVIMIENTOS!$D$5:$D$1005="jabas")*(MOVIMIENTOS!$A$5:$A$1005&lt;&gt;"")*(MOVIMIENTOS!$A$5:$A$1005&lt;=$A679)*MOVIMIENTOS!$E$5:$E$1005)+SUMPRODUCT((MOVIMIENTOS!$B$5:$B$1005="AJUSTE")*(MOVIMIENTOS!$C$5:$C$1005="M")*(MOVIMIENTOS!$D$5:$D$1005="jabas")*(MOVIMIENTOS!$A$5:$A$1005&lt;&gt;"")*(MOVIMIENTOS!$A$5:$A$1005&lt;=$A679)*MOVIMIENTOS!$E$5:$E$1005))</f>
        <v/>
      </c>
      <c r="F679" s="62" t="str">
        <f>IF($A679="","",SUMPRODUCT((MOVIMIENTOS!$B$5:$B$1005="SALDO INICIAL")*(MOVIMIENTOS!$C$5:$C$1005="Chancho")*(MOVIMIENTOS!$D$5:$D$1005="sacos")*(MOVIMIENTOS!$A$5:$A$1005&lt;&gt;"")*(MOVIMIENTOS!$A$5:$A$1005&lt;=$A679)*MOVIMIENTOS!$E$5:$E$1005)+SUMPRODUCT((MOVIMIENTOS!$B$5:$B$1005="PROCESO")*(MOVIMIENTOS!$C$5:$C$1005="Chancho")*(MOVIMIENTOS!$D$5:$D$1005="sacos")*(MOVIMIENTOS!$A$5:$A$1005&lt;&gt;"")*(MOVIMIENTOS!$A$5:$A$1005&lt;=$A679)*MOVIMIENTOS!$E$5:$E$1005)-SUMPRODUCT((MOVIMIENTOS!$B$5:$B$1005="VENTA CHANCHO")*(MOVIMIENTOS!$C$5:$C$1005="Chancho")*(MOVIMIENTOS!$D$5:$D$1005="sacos")*(MOVIMIENTOS!$A$5:$A$1005&lt;&gt;"")*(MOVIMIENTOS!$A$5:$A$1005&lt;=$A679)*MOVIMIENTOS!$E$5:$E$1005)-SUMPRODUCT((MOVIMIENTOS!$B$5:$B$1005="REGALO")*(MOVIMIENTOS!$C$5:$C$1005="Chancho")*(MOVIMIENTOS!$D$5:$D$1005="sacos")*(MOVIMIENTOS!$A$5:$A$1005&lt;&gt;"")*(MOVIMIENTOS!$A$5:$A$1005&lt;=$A679)*MOVIMIENTOS!$E$5:$E$1005)-SUMPRODUCT((MOVIMIENTOS!$B$5:$B$1005="VENTA")*(MOVIMIENTOS!$C$5:$C$1005="Chancho")*(MOVIMIENTOS!$D$5:$D$1005="sacos")*(MOVIMIENTOS!$A$5:$A$1005&lt;&gt;"")*(MOVIMIENTOS!$A$5:$A$1005&lt;=$A679)*MOVIMIENTOS!$E$5:$E$1005)+SUMPRODUCT((MOVIMIENTOS!$B$5:$B$1005="AJUSTE")*(MOVIMIENTOS!$C$5:$C$1005="Chancho")*(MOVIMIENTOS!$D$5:$D$1005="sacos")*(MOVIMIENTOS!$A$5:$A$1005&lt;&gt;"")*(MOVIMIENTOS!$A$5:$A$1005&lt;=$A679)*MOVIMIENTOS!$E$5:$E$1005))</f>
        <v/>
      </c>
      <c r="G679" s="62" t="str">
        <f t="shared" si="21"/>
        <v/>
      </c>
      <c r="H679" t="str">
        <f>IF($A679="","",SUMPRODUCT((((MOVIMIENTOS!$B$5:$B$1005="SALDO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679)*MOVIMIENTOS!$J$5:$J$1005))</f>
        <v/>
      </c>
      <c r="J679" t="str">
        <f>IF(AND(MOVIMIENTOS!$A684&lt;&gt;"",COUNTIF(MOVIMIENTOS!$A$5:$A683,MOVIMIENTOS!$A684)=0),COUNT(J$4:J678)+1,"")</f>
        <v/>
      </c>
      <c r="K679">
        <f>MOVIMIENTOS!$A684</f>
        <v>0</v>
      </c>
    </row>
    <row r="680" spans="1:11" ht="15" customHeight="1" x14ac:dyDescent="0.2">
      <c r="A680" t="str">
        <f t="shared" si="20"/>
        <v/>
      </c>
      <c r="B680" t="str">
        <f>IF($A680="","",SUMPRODUCT((MOVIMIENTOS!$B$5:$B$1005="SALDO INICIAL")*(MOVIMIENTOS!$C$5:$C$1005="A")*(MOVIMIENTOS!$D$5:$D$1005="jabas")*(MOVIMIENTOS!$A$5:$A$1005&lt;&gt;"")*(MOVIMIENTOS!$A$5:$A$1005&lt;=$A680)*MOVIMIENTOS!$E$5:$E$1005)+SUMPRODUCT((MOVIMIENTOS!$B$5:$B$1005="PROCESO")*(MOVIMIENTOS!$C$5:$C$1005="A")*(MOVIMIENTOS!$D$5:$D$1005="jabas")*(MOVIMIENTOS!$A$5:$A$1005&lt;&gt;"")*(MOVIMIENTOS!$A$5:$A$1005&lt;=$A680)*MOVIMIENTOS!$E$5:$E$1005)-SUMPRODUCT((MOVIMIENTOS!$B$5:$B$1005="ENVÍO A SUPESA")*(MOVIMIENTOS!$C$5:$C$1005="A")*(MOVIMIENTOS!$D$5:$D$1005="jabas")*(MOVIMIENTOS!$A$5:$A$1005&lt;&gt;"")*(MOVIMIENTOS!$A$5:$A$1005&lt;=$A680)*MOVIMIENTOS!$E$5:$E$1005)+SUMPRODUCT((MOVIMIENTOS!$B$5:$B$1005="DEVOLUCIÓN")*(MOVIMIENTOS!$C$5:$C$1005="A")*(MOVIMIENTOS!$D$5:$D$1005="jabas")*(MOVIMIENTOS!$A$5:$A$1005&lt;&gt;"")*(MOVIMIENTOS!$A$5:$A$1005&lt;=$A680)*MOVIMIENTOS!$E$5:$E$1005)-SUMPRODUCT((MOVIMIENTOS!$B$5:$B$1005="TRASIEGO")*(MOVIMIENTOS!$C$5:$C$1005="A")*(MOVIMIENTOS!$D$5:$D$1005="jabas")*(MOVIMIENTOS!$A$5:$A$1005&lt;&gt;"")*(MOVIMIENTOS!$A$5:$A$1005&lt;=$A680)*MOVIMIENTOS!$E$5:$E$1005)-SUMPRODUCT((MOVIMIENTOS!$B$5:$B$1005="REGALO")*(MOVIMIENTOS!$C$5:$C$1005="A")*(MOVIMIENTOS!$D$5:$D$1005="jabas")*(MOVIMIENTOS!$A$5:$A$1005&lt;&gt;"")*(MOVIMIENTOS!$A$5:$A$1005&lt;=$A680)*MOVIMIENTOS!$E$5:$E$1005)-SUMPRODUCT((MOVIMIENTOS!$B$5:$B$1005="VENTA")*(MOVIMIENTOS!$C$5:$C$1005="A")*(MOVIMIENTOS!$D$5:$D$1005="jabas")*(MOVIMIENTOS!$A$5:$A$1005&lt;&gt;"")*(MOVIMIENTOS!$A$5:$A$1005&lt;=$A680)*MOVIMIENTOS!$E$5:$E$1005)+SUMPRODUCT((MOVIMIENTOS!$B$5:$B$1005="AJUSTE")*(MOVIMIENTOS!$C$5:$C$1005="A")*(MOVIMIENTOS!$D$5:$D$1005="jabas")*(MOVIMIENTOS!$A$5:$A$1005&lt;&gt;"")*(MOVIMIENTOS!$A$5:$A$1005&lt;=$A680)*MOVIMIENTOS!$E$5:$E$1005))</f>
        <v/>
      </c>
      <c r="C680" t="str">
        <f>IF($A680="","",SUMPRODUCT((MOVIMIENTOS!$B$5:$B$1005="SALDO INICIAL")*(MOVIMIENTOS!$C$5:$C$1005="P")*(MOVIMIENTOS!$D$5:$D$1005="jabas")*(MOVIMIENTOS!$A$5:$A$1005&lt;&gt;"")*(MOVIMIENTOS!$A$5:$A$1005&lt;=$A680)*MOVIMIENTOS!$E$5:$E$1005)+SUMPRODUCT((MOVIMIENTOS!$B$5:$B$1005="PROCESO")*(MOVIMIENTOS!$C$5:$C$1005="P")*(MOVIMIENTOS!$D$5:$D$1005="jabas")*(MOVIMIENTOS!$A$5:$A$1005&lt;&gt;"")*(MOVIMIENTOS!$A$5:$A$1005&lt;=$A680)*MOVIMIENTOS!$E$5:$E$1005)-SUMPRODUCT((MOVIMIENTOS!$B$5:$B$1005="ENVÍO A SUPESA")*(MOVIMIENTOS!$C$5:$C$1005="P")*(MOVIMIENTOS!$D$5:$D$1005="jabas")*(MOVIMIENTOS!$A$5:$A$1005&lt;&gt;"")*(MOVIMIENTOS!$A$5:$A$1005&lt;=$A680)*MOVIMIENTOS!$E$5:$E$1005)+SUMPRODUCT((MOVIMIENTOS!$B$5:$B$1005="DEVOLUCIÓN")*(MOVIMIENTOS!$C$5:$C$1005="P")*(MOVIMIENTOS!$D$5:$D$1005="jabas")*(MOVIMIENTOS!$A$5:$A$1005&lt;&gt;"")*(MOVIMIENTOS!$A$5:$A$1005&lt;=$A680)*MOVIMIENTOS!$E$5:$E$1005)-SUMPRODUCT((MOVIMIENTOS!$B$5:$B$1005="TRASIEGO")*(MOVIMIENTOS!$C$5:$C$1005="P")*(MOVIMIENTOS!$D$5:$D$1005="jabas")*(MOVIMIENTOS!$A$5:$A$1005&lt;&gt;"")*(MOVIMIENTOS!$A$5:$A$1005&lt;=$A680)*MOVIMIENTOS!$E$5:$E$1005)-SUMPRODUCT((MOVIMIENTOS!$B$5:$B$1005="REGALO")*(MOVIMIENTOS!$C$5:$C$1005="P")*(MOVIMIENTOS!$D$5:$D$1005="jabas")*(MOVIMIENTOS!$A$5:$A$1005&lt;&gt;"")*(MOVIMIENTOS!$A$5:$A$1005&lt;=$A680)*MOVIMIENTOS!$E$5:$E$1005)-SUMPRODUCT((MOVIMIENTOS!$B$5:$B$1005="VENTA")*(MOVIMIENTOS!$C$5:$C$1005="P")*(MOVIMIENTOS!$D$5:$D$1005="jabas")*(MOVIMIENTOS!$A$5:$A$1005&lt;&gt;"")*(MOVIMIENTOS!$A$5:$A$1005&lt;=$A680)*MOVIMIENTOS!$E$5:$E$1005)+SUMPRODUCT((MOVIMIENTOS!$B$5:$B$1005="AJUSTE")*(MOVIMIENTOS!$C$5:$C$1005="P")*(MOVIMIENTOS!$D$5:$D$1005="jabas")*(MOVIMIENTOS!$A$5:$A$1005&lt;&gt;"")*(MOVIMIENTOS!$A$5:$A$1005&lt;=$A680)*MOVIMIENTOS!$E$5:$E$1005))</f>
        <v/>
      </c>
      <c r="D680" t="str">
        <f>IF($A680="","",SUMPRODUCT((MOVIMIENTOS!$B$5:$B$1005="SALDO INICIAL")*(MOVIMIENTOS!$C$5:$C$1005="C")*(MOVIMIENTOS!$D$5:$D$1005="jabas")*(MOVIMIENTOS!$A$5:$A$1005&lt;&gt;"")*(MOVIMIENTOS!$A$5:$A$1005&lt;=$A680)*MOVIMIENTOS!$E$5:$E$1005)+SUMPRODUCT((MOVIMIENTOS!$B$5:$B$1005="PROCESO")*(MOVIMIENTOS!$C$5:$C$1005="C")*(MOVIMIENTOS!$D$5:$D$1005="jabas")*(MOVIMIENTOS!$A$5:$A$1005&lt;&gt;"")*(MOVIMIENTOS!$A$5:$A$1005&lt;=$A680)*MOVIMIENTOS!$E$5:$E$1005)-SUMPRODUCT((MOVIMIENTOS!$B$5:$B$1005="ENVÍO A SUPESA")*(MOVIMIENTOS!$C$5:$C$1005="C")*(MOVIMIENTOS!$D$5:$D$1005="jabas")*(MOVIMIENTOS!$A$5:$A$1005&lt;&gt;"")*(MOVIMIENTOS!$A$5:$A$1005&lt;=$A680)*MOVIMIENTOS!$E$5:$E$1005)+SUMPRODUCT((MOVIMIENTOS!$B$5:$B$1005="DEVOLUCIÓN")*(MOVIMIENTOS!$C$5:$C$1005="C")*(MOVIMIENTOS!$D$5:$D$1005="jabas")*(MOVIMIENTOS!$A$5:$A$1005&lt;&gt;"")*(MOVIMIENTOS!$A$5:$A$1005&lt;=$A680)*MOVIMIENTOS!$E$5:$E$1005)-SUMPRODUCT((MOVIMIENTOS!$B$5:$B$1005="TRASIEGO")*(MOVIMIENTOS!$C$5:$C$1005="C")*(MOVIMIENTOS!$D$5:$D$1005="jabas")*(MOVIMIENTOS!$A$5:$A$1005&lt;&gt;"")*(MOVIMIENTOS!$A$5:$A$1005&lt;=$A680)*MOVIMIENTOS!$E$5:$E$1005)-SUMPRODUCT((MOVIMIENTOS!$B$5:$B$1005="REGALO")*(MOVIMIENTOS!$C$5:$C$1005="C")*(MOVIMIENTOS!$D$5:$D$1005="jabas")*(MOVIMIENTOS!$A$5:$A$1005&lt;&gt;"")*(MOVIMIENTOS!$A$5:$A$1005&lt;=$A680)*MOVIMIENTOS!$E$5:$E$1005)-SUMPRODUCT((MOVIMIENTOS!$B$5:$B$1005="VENTA")*(MOVIMIENTOS!$C$5:$C$1005="C")*(MOVIMIENTOS!$D$5:$D$1005="jabas")*(MOVIMIENTOS!$A$5:$A$1005&lt;&gt;"")*(MOVIMIENTOS!$A$5:$A$1005&lt;=$A680)*MOVIMIENTOS!$E$5:$E$1005)+SUMPRODUCT((MOVIMIENTOS!$B$5:$B$1005="AJUSTE")*(MOVIMIENTOS!$C$5:$C$1005="C")*(MOVIMIENTOS!$D$5:$D$1005="jabas")*(MOVIMIENTOS!$A$5:$A$1005&lt;&gt;"")*(MOVIMIENTOS!$A$5:$A$1005&lt;=$A680)*MOVIMIENTOS!$E$5:$E$1005))</f>
        <v/>
      </c>
      <c r="E680" t="str">
        <f>IF($A680="","",SUMPRODUCT((MOVIMIENTOS!$B$5:$B$1005="SALDO INICIAL")*(MOVIMIENTOS!$C$5:$C$1005="M")*(MOVIMIENTOS!$D$5:$D$1005="jabas")*(MOVIMIENTOS!$A$5:$A$1005&lt;&gt;"")*(MOVIMIENTOS!$A$5:$A$1005&lt;=$A680)*MOVIMIENTOS!$E$5:$E$1005)+SUMPRODUCT((MOVIMIENTOS!$B$5:$B$1005="PROCESO")*(MOVIMIENTOS!$C$5:$C$1005="M")*(MOVIMIENTOS!$D$5:$D$1005="jabas")*(MOVIMIENTOS!$A$5:$A$1005&lt;&gt;"")*(MOVIMIENTOS!$A$5:$A$1005&lt;=$A680)*MOVIMIENTOS!$E$5:$E$1005)-SUMPRODUCT((MOVIMIENTOS!$B$5:$B$1005="ENVÍO A SUPESA")*(MOVIMIENTOS!$C$5:$C$1005="M")*(MOVIMIENTOS!$D$5:$D$1005="jabas")*(MOVIMIENTOS!$A$5:$A$1005&lt;&gt;"")*(MOVIMIENTOS!$A$5:$A$1005&lt;=$A680)*MOVIMIENTOS!$E$5:$E$1005)+SUMPRODUCT((MOVIMIENTOS!$B$5:$B$1005="DEVOLUCIÓN")*(MOVIMIENTOS!$C$5:$C$1005="M")*(MOVIMIENTOS!$D$5:$D$1005="jabas")*(MOVIMIENTOS!$A$5:$A$1005&lt;&gt;"")*(MOVIMIENTOS!$A$5:$A$1005&lt;=$A680)*MOVIMIENTOS!$E$5:$E$1005)-SUMPRODUCT((MOVIMIENTOS!$B$5:$B$1005="TRASIEGO")*(MOVIMIENTOS!$C$5:$C$1005="M")*(MOVIMIENTOS!$D$5:$D$1005="jabas")*(MOVIMIENTOS!$A$5:$A$1005&lt;&gt;"")*(MOVIMIENTOS!$A$5:$A$1005&lt;=$A680)*MOVIMIENTOS!$E$5:$E$1005)-SUMPRODUCT((MOVIMIENTOS!$B$5:$B$1005="REGALO")*(MOVIMIENTOS!$C$5:$C$1005="M")*(MOVIMIENTOS!$D$5:$D$1005="jabas")*(MOVIMIENTOS!$A$5:$A$1005&lt;&gt;"")*(MOVIMIENTOS!$A$5:$A$1005&lt;=$A680)*MOVIMIENTOS!$E$5:$E$1005)-SUMPRODUCT((MOVIMIENTOS!$B$5:$B$1005="VENTA")*(MOVIMIENTOS!$C$5:$C$1005="M")*(MOVIMIENTOS!$D$5:$D$1005="jabas")*(MOVIMIENTOS!$A$5:$A$1005&lt;&gt;"")*(MOVIMIENTOS!$A$5:$A$1005&lt;=$A680)*MOVIMIENTOS!$E$5:$E$1005)+SUMPRODUCT((MOVIMIENTOS!$B$5:$B$1005="AJUSTE")*(MOVIMIENTOS!$C$5:$C$1005="M")*(MOVIMIENTOS!$D$5:$D$1005="jabas")*(MOVIMIENTOS!$A$5:$A$1005&lt;&gt;"")*(MOVIMIENTOS!$A$5:$A$1005&lt;=$A680)*MOVIMIENTOS!$E$5:$E$1005))</f>
        <v/>
      </c>
      <c r="F680" s="62" t="str">
        <f>IF($A680="","",SUMPRODUCT((MOVIMIENTOS!$B$5:$B$1005="SALDO INICIAL")*(MOVIMIENTOS!$C$5:$C$1005="Chancho")*(MOVIMIENTOS!$D$5:$D$1005="sacos")*(MOVIMIENTOS!$A$5:$A$1005&lt;&gt;"")*(MOVIMIENTOS!$A$5:$A$1005&lt;=$A680)*MOVIMIENTOS!$E$5:$E$1005)+SUMPRODUCT((MOVIMIENTOS!$B$5:$B$1005="PROCESO")*(MOVIMIENTOS!$C$5:$C$1005="Chancho")*(MOVIMIENTOS!$D$5:$D$1005="sacos")*(MOVIMIENTOS!$A$5:$A$1005&lt;&gt;"")*(MOVIMIENTOS!$A$5:$A$1005&lt;=$A680)*MOVIMIENTOS!$E$5:$E$1005)-SUMPRODUCT((MOVIMIENTOS!$B$5:$B$1005="VENTA CHANCHO")*(MOVIMIENTOS!$C$5:$C$1005="Chancho")*(MOVIMIENTOS!$D$5:$D$1005="sacos")*(MOVIMIENTOS!$A$5:$A$1005&lt;&gt;"")*(MOVIMIENTOS!$A$5:$A$1005&lt;=$A680)*MOVIMIENTOS!$E$5:$E$1005)-SUMPRODUCT((MOVIMIENTOS!$B$5:$B$1005="REGALO")*(MOVIMIENTOS!$C$5:$C$1005="Chancho")*(MOVIMIENTOS!$D$5:$D$1005="sacos")*(MOVIMIENTOS!$A$5:$A$1005&lt;&gt;"")*(MOVIMIENTOS!$A$5:$A$1005&lt;=$A680)*MOVIMIENTOS!$E$5:$E$1005)-SUMPRODUCT((MOVIMIENTOS!$B$5:$B$1005="VENTA")*(MOVIMIENTOS!$C$5:$C$1005="Chancho")*(MOVIMIENTOS!$D$5:$D$1005="sacos")*(MOVIMIENTOS!$A$5:$A$1005&lt;&gt;"")*(MOVIMIENTOS!$A$5:$A$1005&lt;=$A680)*MOVIMIENTOS!$E$5:$E$1005)+SUMPRODUCT((MOVIMIENTOS!$B$5:$B$1005="AJUSTE")*(MOVIMIENTOS!$C$5:$C$1005="Chancho")*(MOVIMIENTOS!$D$5:$D$1005="sacos")*(MOVIMIENTOS!$A$5:$A$1005&lt;&gt;"")*(MOVIMIENTOS!$A$5:$A$1005&lt;=$A680)*MOVIMIENTOS!$E$5:$E$1005))</f>
        <v/>
      </c>
      <c r="G680" s="62" t="str">
        <f t="shared" si="21"/>
        <v/>
      </c>
      <c r="H680" t="str">
        <f>IF($A680="","",SUMPRODUCT((((MOVIMIENTOS!$B$5:$B$1005="SALDO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680)*MOVIMIENTOS!$J$5:$J$1005))</f>
        <v/>
      </c>
      <c r="J680" t="str">
        <f>IF(AND(MOVIMIENTOS!$A685&lt;&gt;"",COUNTIF(MOVIMIENTOS!$A$5:$A684,MOVIMIENTOS!$A685)=0),COUNT(J$4:J679)+1,"")</f>
        <v/>
      </c>
      <c r="K680">
        <f>MOVIMIENTOS!$A685</f>
        <v>0</v>
      </c>
    </row>
    <row r="681" spans="1:11" ht="15" customHeight="1" x14ac:dyDescent="0.2">
      <c r="A681" t="str">
        <f t="shared" si="20"/>
        <v/>
      </c>
      <c r="B681" t="str">
        <f>IF($A681="","",SUMPRODUCT((MOVIMIENTOS!$B$5:$B$1005="SALDO INICIAL")*(MOVIMIENTOS!$C$5:$C$1005="A")*(MOVIMIENTOS!$D$5:$D$1005="jabas")*(MOVIMIENTOS!$A$5:$A$1005&lt;&gt;"")*(MOVIMIENTOS!$A$5:$A$1005&lt;=$A681)*MOVIMIENTOS!$E$5:$E$1005)+SUMPRODUCT((MOVIMIENTOS!$B$5:$B$1005="PROCESO")*(MOVIMIENTOS!$C$5:$C$1005="A")*(MOVIMIENTOS!$D$5:$D$1005="jabas")*(MOVIMIENTOS!$A$5:$A$1005&lt;&gt;"")*(MOVIMIENTOS!$A$5:$A$1005&lt;=$A681)*MOVIMIENTOS!$E$5:$E$1005)-SUMPRODUCT((MOVIMIENTOS!$B$5:$B$1005="ENVÍO A SUPESA")*(MOVIMIENTOS!$C$5:$C$1005="A")*(MOVIMIENTOS!$D$5:$D$1005="jabas")*(MOVIMIENTOS!$A$5:$A$1005&lt;&gt;"")*(MOVIMIENTOS!$A$5:$A$1005&lt;=$A681)*MOVIMIENTOS!$E$5:$E$1005)+SUMPRODUCT((MOVIMIENTOS!$B$5:$B$1005="DEVOLUCIÓN")*(MOVIMIENTOS!$C$5:$C$1005="A")*(MOVIMIENTOS!$D$5:$D$1005="jabas")*(MOVIMIENTOS!$A$5:$A$1005&lt;&gt;"")*(MOVIMIENTOS!$A$5:$A$1005&lt;=$A681)*MOVIMIENTOS!$E$5:$E$1005)-SUMPRODUCT((MOVIMIENTOS!$B$5:$B$1005="TRASIEGO")*(MOVIMIENTOS!$C$5:$C$1005="A")*(MOVIMIENTOS!$D$5:$D$1005="jabas")*(MOVIMIENTOS!$A$5:$A$1005&lt;&gt;"")*(MOVIMIENTOS!$A$5:$A$1005&lt;=$A681)*MOVIMIENTOS!$E$5:$E$1005)-SUMPRODUCT((MOVIMIENTOS!$B$5:$B$1005="REGALO")*(MOVIMIENTOS!$C$5:$C$1005="A")*(MOVIMIENTOS!$D$5:$D$1005="jabas")*(MOVIMIENTOS!$A$5:$A$1005&lt;&gt;"")*(MOVIMIENTOS!$A$5:$A$1005&lt;=$A681)*MOVIMIENTOS!$E$5:$E$1005)-SUMPRODUCT((MOVIMIENTOS!$B$5:$B$1005="VENTA")*(MOVIMIENTOS!$C$5:$C$1005="A")*(MOVIMIENTOS!$D$5:$D$1005="jabas")*(MOVIMIENTOS!$A$5:$A$1005&lt;&gt;"")*(MOVIMIENTOS!$A$5:$A$1005&lt;=$A681)*MOVIMIENTOS!$E$5:$E$1005)+SUMPRODUCT((MOVIMIENTOS!$B$5:$B$1005="AJUSTE")*(MOVIMIENTOS!$C$5:$C$1005="A")*(MOVIMIENTOS!$D$5:$D$1005="jabas")*(MOVIMIENTOS!$A$5:$A$1005&lt;&gt;"")*(MOVIMIENTOS!$A$5:$A$1005&lt;=$A681)*MOVIMIENTOS!$E$5:$E$1005))</f>
        <v/>
      </c>
      <c r="C681" t="str">
        <f>IF($A681="","",SUMPRODUCT((MOVIMIENTOS!$B$5:$B$1005="SALDO INICIAL")*(MOVIMIENTOS!$C$5:$C$1005="P")*(MOVIMIENTOS!$D$5:$D$1005="jabas")*(MOVIMIENTOS!$A$5:$A$1005&lt;&gt;"")*(MOVIMIENTOS!$A$5:$A$1005&lt;=$A681)*MOVIMIENTOS!$E$5:$E$1005)+SUMPRODUCT((MOVIMIENTOS!$B$5:$B$1005="PROCESO")*(MOVIMIENTOS!$C$5:$C$1005="P")*(MOVIMIENTOS!$D$5:$D$1005="jabas")*(MOVIMIENTOS!$A$5:$A$1005&lt;&gt;"")*(MOVIMIENTOS!$A$5:$A$1005&lt;=$A681)*MOVIMIENTOS!$E$5:$E$1005)-SUMPRODUCT((MOVIMIENTOS!$B$5:$B$1005="ENVÍO A SUPESA")*(MOVIMIENTOS!$C$5:$C$1005="P")*(MOVIMIENTOS!$D$5:$D$1005="jabas")*(MOVIMIENTOS!$A$5:$A$1005&lt;&gt;"")*(MOVIMIENTOS!$A$5:$A$1005&lt;=$A681)*MOVIMIENTOS!$E$5:$E$1005)+SUMPRODUCT((MOVIMIENTOS!$B$5:$B$1005="DEVOLUCIÓN")*(MOVIMIENTOS!$C$5:$C$1005="P")*(MOVIMIENTOS!$D$5:$D$1005="jabas")*(MOVIMIENTOS!$A$5:$A$1005&lt;&gt;"")*(MOVIMIENTOS!$A$5:$A$1005&lt;=$A681)*MOVIMIENTOS!$E$5:$E$1005)-SUMPRODUCT((MOVIMIENTOS!$B$5:$B$1005="TRASIEGO")*(MOVIMIENTOS!$C$5:$C$1005="P")*(MOVIMIENTOS!$D$5:$D$1005="jabas")*(MOVIMIENTOS!$A$5:$A$1005&lt;&gt;"")*(MOVIMIENTOS!$A$5:$A$1005&lt;=$A681)*MOVIMIENTOS!$E$5:$E$1005)-SUMPRODUCT((MOVIMIENTOS!$B$5:$B$1005="REGALO")*(MOVIMIENTOS!$C$5:$C$1005="P")*(MOVIMIENTOS!$D$5:$D$1005="jabas")*(MOVIMIENTOS!$A$5:$A$1005&lt;&gt;"")*(MOVIMIENTOS!$A$5:$A$1005&lt;=$A681)*MOVIMIENTOS!$E$5:$E$1005)-SUMPRODUCT((MOVIMIENTOS!$B$5:$B$1005="VENTA")*(MOVIMIENTOS!$C$5:$C$1005="P")*(MOVIMIENTOS!$D$5:$D$1005="jabas")*(MOVIMIENTOS!$A$5:$A$1005&lt;&gt;"")*(MOVIMIENTOS!$A$5:$A$1005&lt;=$A681)*MOVIMIENTOS!$E$5:$E$1005)+SUMPRODUCT((MOVIMIENTOS!$B$5:$B$1005="AJUSTE")*(MOVIMIENTOS!$C$5:$C$1005="P")*(MOVIMIENTOS!$D$5:$D$1005="jabas")*(MOVIMIENTOS!$A$5:$A$1005&lt;&gt;"")*(MOVIMIENTOS!$A$5:$A$1005&lt;=$A681)*MOVIMIENTOS!$E$5:$E$1005))</f>
        <v/>
      </c>
      <c r="D681" t="str">
        <f>IF($A681="","",SUMPRODUCT((MOVIMIENTOS!$B$5:$B$1005="SALDO INICIAL")*(MOVIMIENTOS!$C$5:$C$1005="C")*(MOVIMIENTOS!$D$5:$D$1005="jabas")*(MOVIMIENTOS!$A$5:$A$1005&lt;&gt;"")*(MOVIMIENTOS!$A$5:$A$1005&lt;=$A681)*MOVIMIENTOS!$E$5:$E$1005)+SUMPRODUCT((MOVIMIENTOS!$B$5:$B$1005="PROCESO")*(MOVIMIENTOS!$C$5:$C$1005="C")*(MOVIMIENTOS!$D$5:$D$1005="jabas")*(MOVIMIENTOS!$A$5:$A$1005&lt;&gt;"")*(MOVIMIENTOS!$A$5:$A$1005&lt;=$A681)*MOVIMIENTOS!$E$5:$E$1005)-SUMPRODUCT((MOVIMIENTOS!$B$5:$B$1005="ENVÍO A SUPESA")*(MOVIMIENTOS!$C$5:$C$1005="C")*(MOVIMIENTOS!$D$5:$D$1005="jabas")*(MOVIMIENTOS!$A$5:$A$1005&lt;&gt;"")*(MOVIMIENTOS!$A$5:$A$1005&lt;=$A681)*MOVIMIENTOS!$E$5:$E$1005)+SUMPRODUCT((MOVIMIENTOS!$B$5:$B$1005="DEVOLUCIÓN")*(MOVIMIENTOS!$C$5:$C$1005="C")*(MOVIMIENTOS!$D$5:$D$1005="jabas")*(MOVIMIENTOS!$A$5:$A$1005&lt;&gt;"")*(MOVIMIENTOS!$A$5:$A$1005&lt;=$A681)*MOVIMIENTOS!$E$5:$E$1005)-SUMPRODUCT((MOVIMIENTOS!$B$5:$B$1005="TRASIEGO")*(MOVIMIENTOS!$C$5:$C$1005="C")*(MOVIMIENTOS!$D$5:$D$1005="jabas")*(MOVIMIENTOS!$A$5:$A$1005&lt;&gt;"")*(MOVIMIENTOS!$A$5:$A$1005&lt;=$A681)*MOVIMIENTOS!$E$5:$E$1005)-SUMPRODUCT((MOVIMIENTOS!$B$5:$B$1005="REGALO")*(MOVIMIENTOS!$C$5:$C$1005="C")*(MOVIMIENTOS!$D$5:$D$1005="jabas")*(MOVIMIENTOS!$A$5:$A$1005&lt;&gt;"")*(MOVIMIENTOS!$A$5:$A$1005&lt;=$A681)*MOVIMIENTOS!$E$5:$E$1005)-SUMPRODUCT((MOVIMIENTOS!$B$5:$B$1005="VENTA")*(MOVIMIENTOS!$C$5:$C$1005="C")*(MOVIMIENTOS!$D$5:$D$1005="jabas")*(MOVIMIENTOS!$A$5:$A$1005&lt;&gt;"")*(MOVIMIENTOS!$A$5:$A$1005&lt;=$A681)*MOVIMIENTOS!$E$5:$E$1005)+SUMPRODUCT((MOVIMIENTOS!$B$5:$B$1005="AJUSTE")*(MOVIMIENTOS!$C$5:$C$1005="C")*(MOVIMIENTOS!$D$5:$D$1005="jabas")*(MOVIMIENTOS!$A$5:$A$1005&lt;&gt;"")*(MOVIMIENTOS!$A$5:$A$1005&lt;=$A681)*MOVIMIENTOS!$E$5:$E$1005))</f>
        <v/>
      </c>
      <c r="E681" t="str">
        <f>IF($A681="","",SUMPRODUCT((MOVIMIENTOS!$B$5:$B$1005="SALDO INICIAL")*(MOVIMIENTOS!$C$5:$C$1005="M")*(MOVIMIENTOS!$D$5:$D$1005="jabas")*(MOVIMIENTOS!$A$5:$A$1005&lt;&gt;"")*(MOVIMIENTOS!$A$5:$A$1005&lt;=$A681)*MOVIMIENTOS!$E$5:$E$1005)+SUMPRODUCT((MOVIMIENTOS!$B$5:$B$1005="PROCESO")*(MOVIMIENTOS!$C$5:$C$1005="M")*(MOVIMIENTOS!$D$5:$D$1005="jabas")*(MOVIMIENTOS!$A$5:$A$1005&lt;&gt;"")*(MOVIMIENTOS!$A$5:$A$1005&lt;=$A681)*MOVIMIENTOS!$E$5:$E$1005)-SUMPRODUCT((MOVIMIENTOS!$B$5:$B$1005="ENVÍO A SUPESA")*(MOVIMIENTOS!$C$5:$C$1005="M")*(MOVIMIENTOS!$D$5:$D$1005="jabas")*(MOVIMIENTOS!$A$5:$A$1005&lt;&gt;"")*(MOVIMIENTOS!$A$5:$A$1005&lt;=$A681)*MOVIMIENTOS!$E$5:$E$1005)+SUMPRODUCT((MOVIMIENTOS!$B$5:$B$1005="DEVOLUCIÓN")*(MOVIMIENTOS!$C$5:$C$1005="M")*(MOVIMIENTOS!$D$5:$D$1005="jabas")*(MOVIMIENTOS!$A$5:$A$1005&lt;&gt;"")*(MOVIMIENTOS!$A$5:$A$1005&lt;=$A681)*MOVIMIENTOS!$E$5:$E$1005)-SUMPRODUCT((MOVIMIENTOS!$B$5:$B$1005="TRASIEGO")*(MOVIMIENTOS!$C$5:$C$1005="M")*(MOVIMIENTOS!$D$5:$D$1005="jabas")*(MOVIMIENTOS!$A$5:$A$1005&lt;&gt;"")*(MOVIMIENTOS!$A$5:$A$1005&lt;=$A681)*MOVIMIENTOS!$E$5:$E$1005)-SUMPRODUCT((MOVIMIENTOS!$B$5:$B$1005="REGALO")*(MOVIMIENTOS!$C$5:$C$1005="M")*(MOVIMIENTOS!$D$5:$D$1005="jabas")*(MOVIMIENTOS!$A$5:$A$1005&lt;&gt;"")*(MOVIMIENTOS!$A$5:$A$1005&lt;=$A681)*MOVIMIENTOS!$E$5:$E$1005)-SUMPRODUCT((MOVIMIENTOS!$B$5:$B$1005="VENTA")*(MOVIMIENTOS!$C$5:$C$1005="M")*(MOVIMIENTOS!$D$5:$D$1005="jabas")*(MOVIMIENTOS!$A$5:$A$1005&lt;&gt;"")*(MOVIMIENTOS!$A$5:$A$1005&lt;=$A681)*MOVIMIENTOS!$E$5:$E$1005)+SUMPRODUCT((MOVIMIENTOS!$B$5:$B$1005="AJUSTE")*(MOVIMIENTOS!$C$5:$C$1005="M")*(MOVIMIENTOS!$D$5:$D$1005="jabas")*(MOVIMIENTOS!$A$5:$A$1005&lt;&gt;"")*(MOVIMIENTOS!$A$5:$A$1005&lt;=$A681)*MOVIMIENTOS!$E$5:$E$1005))</f>
        <v/>
      </c>
      <c r="F681" s="62" t="str">
        <f>IF($A681="","",SUMPRODUCT((MOVIMIENTOS!$B$5:$B$1005="SALDO INICIAL")*(MOVIMIENTOS!$C$5:$C$1005="Chancho")*(MOVIMIENTOS!$D$5:$D$1005="sacos")*(MOVIMIENTOS!$A$5:$A$1005&lt;&gt;"")*(MOVIMIENTOS!$A$5:$A$1005&lt;=$A681)*MOVIMIENTOS!$E$5:$E$1005)+SUMPRODUCT((MOVIMIENTOS!$B$5:$B$1005="PROCESO")*(MOVIMIENTOS!$C$5:$C$1005="Chancho")*(MOVIMIENTOS!$D$5:$D$1005="sacos")*(MOVIMIENTOS!$A$5:$A$1005&lt;&gt;"")*(MOVIMIENTOS!$A$5:$A$1005&lt;=$A681)*MOVIMIENTOS!$E$5:$E$1005)-SUMPRODUCT((MOVIMIENTOS!$B$5:$B$1005="VENTA CHANCHO")*(MOVIMIENTOS!$C$5:$C$1005="Chancho")*(MOVIMIENTOS!$D$5:$D$1005="sacos")*(MOVIMIENTOS!$A$5:$A$1005&lt;&gt;"")*(MOVIMIENTOS!$A$5:$A$1005&lt;=$A681)*MOVIMIENTOS!$E$5:$E$1005)-SUMPRODUCT((MOVIMIENTOS!$B$5:$B$1005="REGALO")*(MOVIMIENTOS!$C$5:$C$1005="Chancho")*(MOVIMIENTOS!$D$5:$D$1005="sacos")*(MOVIMIENTOS!$A$5:$A$1005&lt;&gt;"")*(MOVIMIENTOS!$A$5:$A$1005&lt;=$A681)*MOVIMIENTOS!$E$5:$E$1005)-SUMPRODUCT((MOVIMIENTOS!$B$5:$B$1005="VENTA")*(MOVIMIENTOS!$C$5:$C$1005="Chancho")*(MOVIMIENTOS!$D$5:$D$1005="sacos")*(MOVIMIENTOS!$A$5:$A$1005&lt;&gt;"")*(MOVIMIENTOS!$A$5:$A$1005&lt;=$A681)*MOVIMIENTOS!$E$5:$E$1005)+SUMPRODUCT((MOVIMIENTOS!$B$5:$B$1005="AJUSTE")*(MOVIMIENTOS!$C$5:$C$1005="Chancho")*(MOVIMIENTOS!$D$5:$D$1005="sacos")*(MOVIMIENTOS!$A$5:$A$1005&lt;&gt;"")*(MOVIMIENTOS!$A$5:$A$1005&lt;=$A681)*MOVIMIENTOS!$E$5:$E$1005))</f>
        <v/>
      </c>
      <c r="G681" s="62" t="str">
        <f t="shared" si="21"/>
        <v/>
      </c>
      <c r="H681" t="str">
        <f>IF($A681="","",SUMPRODUCT((((MOVIMIENTOS!$B$5:$B$1005="SALDO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681)*MOVIMIENTOS!$J$5:$J$1005))</f>
        <v/>
      </c>
      <c r="J681" t="str">
        <f>IF(AND(MOVIMIENTOS!$A686&lt;&gt;"",COUNTIF(MOVIMIENTOS!$A$5:$A685,MOVIMIENTOS!$A686)=0),COUNT(J$4:J680)+1,"")</f>
        <v/>
      </c>
      <c r="K681">
        <f>MOVIMIENTOS!$A686</f>
        <v>0</v>
      </c>
    </row>
    <row r="682" spans="1:11" ht="15" customHeight="1" x14ac:dyDescent="0.2">
      <c r="A682" t="str">
        <f t="shared" si="20"/>
        <v/>
      </c>
      <c r="B682" t="str">
        <f>IF($A682="","",SUMPRODUCT((MOVIMIENTOS!$B$5:$B$1005="SALDO INICIAL")*(MOVIMIENTOS!$C$5:$C$1005="A")*(MOVIMIENTOS!$D$5:$D$1005="jabas")*(MOVIMIENTOS!$A$5:$A$1005&lt;&gt;"")*(MOVIMIENTOS!$A$5:$A$1005&lt;=$A682)*MOVIMIENTOS!$E$5:$E$1005)+SUMPRODUCT((MOVIMIENTOS!$B$5:$B$1005="PROCESO")*(MOVIMIENTOS!$C$5:$C$1005="A")*(MOVIMIENTOS!$D$5:$D$1005="jabas")*(MOVIMIENTOS!$A$5:$A$1005&lt;&gt;"")*(MOVIMIENTOS!$A$5:$A$1005&lt;=$A682)*MOVIMIENTOS!$E$5:$E$1005)-SUMPRODUCT((MOVIMIENTOS!$B$5:$B$1005="ENVÍO A SUPESA")*(MOVIMIENTOS!$C$5:$C$1005="A")*(MOVIMIENTOS!$D$5:$D$1005="jabas")*(MOVIMIENTOS!$A$5:$A$1005&lt;&gt;"")*(MOVIMIENTOS!$A$5:$A$1005&lt;=$A682)*MOVIMIENTOS!$E$5:$E$1005)+SUMPRODUCT((MOVIMIENTOS!$B$5:$B$1005="DEVOLUCIÓN")*(MOVIMIENTOS!$C$5:$C$1005="A")*(MOVIMIENTOS!$D$5:$D$1005="jabas")*(MOVIMIENTOS!$A$5:$A$1005&lt;&gt;"")*(MOVIMIENTOS!$A$5:$A$1005&lt;=$A682)*MOVIMIENTOS!$E$5:$E$1005)-SUMPRODUCT((MOVIMIENTOS!$B$5:$B$1005="TRASIEGO")*(MOVIMIENTOS!$C$5:$C$1005="A")*(MOVIMIENTOS!$D$5:$D$1005="jabas")*(MOVIMIENTOS!$A$5:$A$1005&lt;&gt;"")*(MOVIMIENTOS!$A$5:$A$1005&lt;=$A682)*MOVIMIENTOS!$E$5:$E$1005)-SUMPRODUCT((MOVIMIENTOS!$B$5:$B$1005="REGALO")*(MOVIMIENTOS!$C$5:$C$1005="A")*(MOVIMIENTOS!$D$5:$D$1005="jabas")*(MOVIMIENTOS!$A$5:$A$1005&lt;&gt;"")*(MOVIMIENTOS!$A$5:$A$1005&lt;=$A682)*MOVIMIENTOS!$E$5:$E$1005)-SUMPRODUCT((MOVIMIENTOS!$B$5:$B$1005="VENTA")*(MOVIMIENTOS!$C$5:$C$1005="A")*(MOVIMIENTOS!$D$5:$D$1005="jabas")*(MOVIMIENTOS!$A$5:$A$1005&lt;&gt;"")*(MOVIMIENTOS!$A$5:$A$1005&lt;=$A682)*MOVIMIENTOS!$E$5:$E$1005)+SUMPRODUCT((MOVIMIENTOS!$B$5:$B$1005="AJUSTE")*(MOVIMIENTOS!$C$5:$C$1005="A")*(MOVIMIENTOS!$D$5:$D$1005="jabas")*(MOVIMIENTOS!$A$5:$A$1005&lt;&gt;"")*(MOVIMIENTOS!$A$5:$A$1005&lt;=$A682)*MOVIMIENTOS!$E$5:$E$1005))</f>
        <v/>
      </c>
      <c r="C682" t="str">
        <f>IF($A682="","",SUMPRODUCT((MOVIMIENTOS!$B$5:$B$1005="SALDO INICIAL")*(MOVIMIENTOS!$C$5:$C$1005="P")*(MOVIMIENTOS!$D$5:$D$1005="jabas")*(MOVIMIENTOS!$A$5:$A$1005&lt;&gt;"")*(MOVIMIENTOS!$A$5:$A$1005&lt;=$A682)*MOVIMIENTOS!$E$5:$E$1005)+SUMPRODUCT((MOVIMIENTOS!$B$5:$B$1005="PROCESO")*(MOVIMIENTOS!$C$5:$C$1005="P")*(MOVIMIENTOS!$D$5:$D$1005="jabas")*(MOVIMIENTOS!$A$5:$A$1005&lt;&gt;"")*(MOVIMIENTOS!$A$5:$A$1005&lt;=$A682)*MOVIMIENTOS!$E$5:$E$1005)-SUMPRODUCT((MOVIMIENTOS!$B$5:$B$1005="ENVÍO A SUPESA")*(MOVIMIENTOS!$C$5:$C$1005="P")*(MOVIMIENTOS!$D$5:$D$1005="jabas")*(MOVIMIENTOS!$A$5:$A$1005&lt;&gt;"")*(MOVIMIENTOS!$A$5:$A$1005&lt;=$A682)*MOVIMIENTOS!$E$5:$E$1005)+SUMPRODUCT((MOVIMIENTOS!$B$5:$B$1005="DEVOLUCIÓN")*(MOVIMIENTOS!$C$5:$C$1005="P")*(MOVIMIENTOS!$D$5:$D$1005="jabas")*(MOVIMIENTOS!$A$5:$A$1005&lt;&gt;"")*(MOVIMIENTOS!$A$5:$A$1005&lt;=$A682)*MOVIMIENTOS!$E$5:$E$1005)-SUMPRODUCT((MOVIMIENTOS!$B$5:$B$1005="TRASIEGO")*(MOVIMIENTOS!$C$5:$C$1005="P")*(MOVIMIENTOS!$D$5:$D$1005="jabas")*(MOVIMIENTOS!$A$5:$A$1005&lt;&gt;"")*(MOVIMIENTOS!$A$5:$A$1005&lt;=$A682)*MOVIMIENTOS!$E$5:$E$1005)-SUMPRODUCT((MOVIMIENTOS!$B$5:$B$1005="REGALO")*(MOVIMIENTOS!$C$5:$C$1005="P")*(MOVIMIENTOS!$D$5:$D$1005="jabas")*(MOVIMIENTOS!$A$5:$A$1005&lt;&gt;"")*(MOVIMIENTOS!$A$5:$A$1005&lt;=$A682)*MOVIMIENTOS!$E$5:$E$1005)-SUMPRODUCT((MOVIMIENTOS!$B$5:$B$1005="VENTA")*(MOVIMIENTOS!$C$5:$C$1005="P")*(MOVIMIENTOS!$D$5:$D$1005="jabas")*(MOVIMIENTOS!$A$5:$A$1005&lt;&gt;"")*(MOVIMIENTOS!$A$5:$A$1005&lt;=$A682)*MOVIMIENTOS!$E$5:$E$1005)+SUMPRODUCT((MOVIMIENTOS!$B$5:$B$1005="AJUSTE")*(MOVIMIENTOS!$C$5:$C$1005="P")*(MOVIMIENTOS!$D$5:$D$1005="jabas")*(MOVIMIENTOS!$A$5:$A$1005&lt;&gt;"")*(MOVIMIENTOS!$A$5:$A$1005&lt;=$A682)*MOVIMIENTOS!$E$5:$E$1005))</f>
        <v/>
      </c>
      <c r="D682" t="str">
        <f>IF($A682="","",SUMPRODUCT((MOVIMIENTOS!$B$5:$B$1005="SALDO INICIAL")*(MOVIMIENTOS!$C$5:$C$1005="C")*(MOVIMIENTOS!$D$5:$D$1005="jabas")*(MOVIMIENTOS!$A$5:$A$1005&lt;&gt;"")*(MOVIMIENTOS!$A$5:$A$1005&lt;=$A682)*MOVIMIENTOS!$E$5:$E$1005)+SUMPRODUCT((MOVIMIENTOS!$B$5:$B$1005="PROCESO")*(MOVIMIENTOS!$C$5:$C$1005="C")*(MOVIMIENTOS!$D$5:$D$1005="jabas")*(MOVIMIENTOS!$A$5:$A$1005&lt;&gt;"")*(MOVIMIENTOS!$A$5:$A$1005&lt;=$A682)*MOVIMIENTOS!$E$5:$E$1005)-SUMPRODUCT((MOVIMIENTOS!$B$5:$B$1005="ENVÍO A SUPESA")*(MOVIMIENTOS!$C$5:$C$1005="C")*(MOVIMIENTOS!$D$5:$D$1005="jabas")*(MOVIMIENTOS!$A$5:$A$1005&lt;&gt;"")*(MOVIMIENTOS!$A$5:$A$1005&lt;=$A682)*MOVIMIENTOS!$E$5:$E$1005)+SUMPRODUCT((MOVIMIENTOS!$B$5:$B$1005="DEVOLUCIÓN")*(MOVIMIENTOS!$C$5:$C$1005="C")*(MOVIMIENTOS!$D$5:$D$1005="jabas")*(MOVIMIENTOS!$A$5:$A$1005&lt;&gt;"")*(MOVIMIENTOS!$A$5:$A$1005&lt;=$A682)*MOVIMIENTOS!$E$5:$E$1005)-SUMPRODUCT((MOVIMIENTOS!$B$5:$B$1005="TRASIEGO")*(MOVIMIENTOS!$C$5:$C$1005="C")*(MOVIMIENTOS!$D$5:$D$1005="jabas")*(MOVIMIENTOS!$A$5:$A$1005&lt;&gt;"")*(MOVIMIENTOS!$A$5:$A$1005&lt;=$A682)*MOVIMIENTOS!$E$5:$E$1005)-SUMPRODUCT((MOVIMIENTOS!$B$5:$B$1005="REGALO")*(MOVIMIENTOS!$C$5:$C$1005="C")*(MOVIMIENTOS!$D$5:$D$1005="jabas")*(MOVIMIENTOS!$A$5:$A$1005&lt;&gt;"")*(MOVIMIENTOS!$A$5:$A$1005&lt;=$A682)*MOVIMIENTOS!$E$5:$E$1005)-SUMPRODUCT((MOVIMIENTOS!$B$5:$B$1005="VENTA")*(MOVIMIENTOS!$C$5:$C$1005="C")*(MOVIMIENTOS!$D$5:$D$1005="jabas")*(MOVIMIENTOS!$A$5:$A$1005&lt;&gt;"")*(MOVIMIENTOS!$A$5:$A$1005&lt;=$A682)*MOVIMIENTOS!$E$5:$E$1005)+SUMPRODUCT((MOVIMIENTOS!$B$5:$B$1005="AJUSTE")*(MOVIMIENTOS!$C$5:$C$1005="C")*(MOVIMIENTOS!$D$5:$D$1005="jabas")*(MOVIMIENTOS!$A$5:$A$1005&lt;&gt;"")*(MOVIMIENTOS!$A$5:$A$1005&lt;=$A682)*MOVIMIENTOS!$E$5:$E$1005))</f>
        <v/>
      </c>
      <c r="E682" t="str">
        <f>IF($A682="","",SUMPRODUCT((MOVIMIENTOS!$B$5:$B$1005="SALDO INICIAL")*(MOVIMIENTOS!$C$5:$C$1005="M")*(MOVIMIENTOS!$D$5:$D$1005="jabas")*(MOVIMIENTOS!$A$5:$A$1005&lt;&gt;"")*(MOVIMIENTOS!$A$5:$A$1005&lt;=$A682)*MOVIMIENTOS!$E$5:$E$1005)+SUMPRODUCT((MOVIMIENTOS!$B$5:$B$1005="PROCESO")*(MOVIMIENTOS!$C$5:$C$1005="M")*(MOVIMIENTOS!$D$5:$D$1005="jabas")*(MOVIMIENTOS!$A$5:$A$1005&lt;&gt;"")*(MOVIMIENTOS!$A$5:$A$1005&lt;=$A682)*MOVIMIENTOS!$E$5:$E$1005)-SUMPRODUCT((MOVIMIENTOS!$B$5:$B$1005="ENVÍO A SUPESA")*(MOVIMIENTOS!$C$5:$C$1005="M")*(MOVIMIENTOS!$D$5:$D$1005="jabas")*(MOVIMIENTOS!$A$5:$A$1005&lt;&gt;"")*(MOVIMIENTOS!$A$5:$A$1005&lt;=$A682)*MOVIMIENTOS!$E$5:$E$1005)+SUMPRODUCT((MOVIMIENTOS!$B$5:$B$1005="DEVOLUCIÓN")*(MOVIMIENTOS!$C$5:$C$1005="M")*(MOVIMIENTOS!$D$5:$D$1005="jabas")*(MOVIMIENTOS!$A$5:$A$1005&lt;&gt;"")*(MOVIMIENTOS!$A$5:$A$1005&lt;=$A682)*MOVIMIENTOS!$E$5:$E$1005)-SUMPRODUCT((MOVIMIENTOS!$B$5:$B$1005="TRASIEGO")*(MOVIMIENTOS!$C$5:$C$1005="M")*(MOVIMIENTOS!$D$5:$D$1005="jabas")*(MOVIMIENTOS!$A$5:$A$1005&lt;&gt;"")*(MOVIMIENTOS!$A$5:$A$1005&lt;=$A682)*MOVIMIENTOS!$E$5:$E$1005)-SUMPRODUCT((MOVIMIENTOS!$B$5:$B$1005="REGALO")*(MOVIMIENTOS!$C$5:$C$1005="M")*(MOVIMIENTOS!$D$5:$D$1005="jabas")*(MOVIMIENTOS!$A$5:$A$1005&lt;&gt;"")*(MOVIMIENTOS!$A$5:$A$1005&lt;=$A682)*MOVIMIENTOS!$E$5:$E$1005)-SUMPRODUCT((MOVIMIENTOS!$B$5:$B$1005="VENTA")*(MOVIMIENTOS!$C$5:$C$1005="M")*(MOVIMIENTOS!$D$5:$D$1005="jabas")*(MOVIMIENTOS!$A$5:$A$1005&lt;&gt;"")*(MOVIMIENTOS!$A$5:$A$1005&lt;=$A682)*MOVIMIENTOS!$E$5:$E$1005)+SUMPRODUCT((MOVIMIENTOS!$B$5:$B$1005="AJUSTE")*(MOVIMIENTOS!$C$5:$C$1005="M")*(MOVIMIENTOS!$D$5:$D$1005="jabas")*(MOVIMIENTOS!$A$5:$A$1005&lt;&gt;"")*(MOVIMIENTOS!$A$5:$A$1005&lt;=$A682)*MOVIMIENTOS!$E$5:$E$1005))</f>
        <v/>
      </c>
      <c r="F682" s="62" t="str">
        <f>IF($A682="","",SUMPRODUCT((MOVIMIENTOS!$B$5:$B$1005="SALDO INICIAL")*(MOVIMIENTOS!$C$5:$C$1005="Chancho")*(MOVIMIENTOS!$D$5:$D$1005="sacos")*(MOVIMIENTOS!$A$5:$A$1005&lt;&gt;"")*(MOVIMIENTOS!$A$5:$A$1005&lt;=$A682)*MOVIMIENTOS!$E$5:$E$1005)+SUMPRODUCT((MOVIMIENTOS!$B$5:$B$1005="PROCESO")*(MOVIMIENTOS!$C$5:$C$1005="Chancho")*(MOVIMIENTOS!$D$5:$D$1005="sacos")*(MOVIMIENTOS!$A$5:$A$1005&lt;&gt;"")*(MOVIMIENTOS!$A$5:$A$1005&lt;=$A682)*MOVIMIENTOS!$E$5:$E$1005)-SUMPRODUCT((MOVIMIENTOS!$B$5:$B$1005="VENTA CHANCHO")*(MOVIMIENTOS!$C$5:$C$1005="Chancho")*(MOVIMIENTOS!$D$5:$D$1005="sacos")*(MOVIMIENTOS!$A$5:$A$1005&lt;&gt;"")*(MOVIMIENTOS!$A$5:$A$1005&lt;=$A682)*MOVIMIENTOS!$E$5:$E$1005)-SUMPRODUCT((MOVIMIENTOS!$B$5:$B$1005="REGALO")*(MOVIMIENTOS!$C$5:$C$1005="Chancho")*(MOVIMIENTOS!$D$5:$D$1005="sacos")*(MOVIMIENTOS!$A$5:$A$1005&lt;&gt;"")*(MOVIMIENTOS!$A$5:$A$1005&lt;=$A682)*MOVIMIENTOS!$E$5:$E$1005)-SUMPRODUCT((MOVIMIENTOS!$B$5:$B$1005="VENTA")*(MOVIMIENTOS!$C$5:$C$1005="Chancho")*(MOVIMIENTOS!$D$5:$D$1005="sacos")*(MOVIMIENTOS!$A$5:$A$1005&lt;&gt;"")*(MOVIMIENTOS!$A$5:$A$1005&lt;=$A682)*MOVIMIENTOS!$E$5:$E$1005)+SUMPRODUCT((MOVIMIENTOS!$B$5:$B$1005="AJUSTE")*(MOVIMIENTOS!$C$5:$C$1005="Chancho")*(MOVIMIENTOS!$D$5:$D$1005="sacos")*(MOVIMIENTOS!$A$5:$A$1005&lt;&gt;"")*(MOVIMIENTOS!$A$5:$A$1005&lt;=$A682)*MOVIMIENTOS!$E$5:$E$1005))</f>
        <v/>
      </c>
      <c r="G682" s="62" t="str">
        <f t="shared" si="21"/>
        <v/>
      </c>
      <c r="H682" t="str">
        <f>IF($A682="","",SUMPRODUCT((((MOVIMIENTOS!$B$5:$B$1005="SALDO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682)*MOVIMIENTOS!$J$5:$J$1005))</f>
        <v/>
      </c>
      <c r="J682" t="str">
        <f>IF(AND(MOVIMIENTOS!$A687&lt;&gt;"",COUNTIF(MOVIMIENTOS!$A$5:$A686,MOVIMIENTOS!$A687)=0),COUNT(J$4:J681)+1,"")</f>
        <v/>
      </c>
      <c r="K682">
        <f>MOVIMIENTOS!$A687</f>
        <v>0</v>
      </c>
    </row>
    <row r="683" spans="1:11" ht="15" customHeight="1" x14ac:dyDescent="0.2">
      <c r="A683" t="str">
        <f t="shared" si="20"/>
        <v/>
      </c>
      <c r="B683" t="str">
        <f>IF($A683="","",SUMPRODUCT((MOVIMIENTOS!$B$5:$B$1005="SALDO INICIAL")*(MOVIMIENTOS!$C$5:$C$1005="A")*(MOVIMIENTOS!$D$5:$D$1005="jabas")*(MOVIMIENTOS!$A$5:$A$1005&lt;&gt;"")*(MOVIMIENTOS!$A$5:$A$1005&lt;=$A683)*MOVIMIENTOS!$E$5:$E$1005)+SUMPRODUCT((MOVIMIENTOS!$B$5:$B$1005="PROCESO")*(MOVIMIENTOS!$C$5:$C$1005="A")*(MOVIMIENTOS!$D$5:$D$1005="jabas")*(MOVIMIENTOS!$A$5:$A$1005&lt;&gt;"")*(MOVIMIENTOS!$A$5:$A$1005&lt;=$A683)*MOVIMIENTOS!$E$5:$E$1005)-SUMPRODUCT((MOVIMIENTOS!$B$5:$B$1005="ENVÍO A SUPESA")*(MOVIMIENTOS!$C$5:$C$1005="A")*(MOVIMIENTOS!$D$5:$D$1005="jabas")*(MOVIMIENTOS!$A$5:$A$1005&lt;&gt;"")*(MOVIMIENTOS!$A$5:$A$1005&lt;=$A683)*MOVIMIENTOS!$E$5:$E$1005)+SUMPRODUCT((MOVIMIENTOS!$B$5:$B$1005="DEVOLUCIÓN")*(MOVIMIENTOS!$C$5:$C$1005="A")*(MOVIMIENTOS!$D$5:$D$1005="jabas")*(MOVIMIENTOS!$A$5:$A$1005&lt;&gt;"")*(MOVIMIENTOS!$A$5:$A$1005&lt;=$A683)*MOVIMIENTOS!$E$5:$E$1005)-SUMPRODUCT((MOVIMIENTOS!$B$5:$B$1005="TRASIEGO")*(MOVIMIENTOS!$C$5:$C$1005="A")*(MOVIMIENTOS!$D$5:$D$1005="jabas")*(MOVIMIENTOS!$A$5:$A$1005&lt;&gt;"")*(MOVIMIENTOS!$A$5:$A$1005&lt;=$A683)*MOVIMIENTOS!$E$5:$E$1005)-SUMPRODUCT((MOVIMIENTOS!$B$5:$B$1005="REGALO")*(MOVIMIENTOS!$C$5:$C$1005="A")*(MOVIMIENTOS!$D$5:$D$1005="jabas")*(MOVIMIENTOS!$A$5:$A$1005&lt;&gt;"")*(MOVIMIENTOS!$A$5:$A$1005&lt;=$A683)*MOVIMIENTOS!$E$5:$E$1005)-SUMPRODUCT((MOVIMIENTOS!$B$5:$B$1005="VENTA")*(MOVIMIENTOS!$C$5:$C$1005="A")*(MOVIMIENTOS!$D$5:$D$1005="jabas")*(MOVIMIENTOS!$A$5:$A$1005&lt;&gt;"")*(MOVIMIENTOS!$A$5:$A$1005&lt;=$A683)*MOVIMIENTOS!$E$5:$E$1005)+SUMPRODUCT((MOVIMIENTOS!$B$5:$B$1005="AJUSTE")*(MOVIMIENTOS!$C$5:$C$1005="A")*(MOVIMIENTOS!$D$5:$D$1005="jabas")*(MOVIMIENTOS!$A$5:$A$1005&lt;&gt;"")*(MOVIMIENTOS!$A$5:$A$1005&lt;=$A683)*MOVIMIENTOS!$E$5:$E$1005))</f>
        <v/>
      </c>
      <c r="C683" t="str">
        <f>IF($A683="","",SUMPRODUCT((MOVIMIENTOS!$B$5:$B$1005="SALDO INICIAL")*(MOVIMIENTOS!$C$5:$C$1005="P")*(MOVIMIENTOS!$D$5:$D$1005="jabas")*(MOVIMIENTOS!$A$5:$A$1005&lt;&gt;"")*(MOVIMIENTOS!$A$5:$A$1005&lt;=$A683)*MOVIMIENTOS!$E$5:$E$1005)+SUMPRODUCT((MOVIMIENTOS!$B$5:$B$1005="PROCESO")*(MOVIMIENTOS!$C$5:$C$1005="P")*(MOVIMIENTOS!$D$5:$D$1005="jabas")*(MOVIMIENTOS!$A$5:$A$1005&lt;&gt;"")*(MOVIMIENTOS!$A$5:$A$1005&lt;=$A683)*MOVIMIENTOS!$E$5:$E$1005)-SUMPRODUCT((MOVIMIENTOS!$B$5:$B$1005="ENVÍO A SUPESA")*(MOVIMIENTOS!$C$5:$C$1005="P")*(MOVIMIENTOS!$D$5:$D$1005="jabas")*(MOVIMIENTOS!$A$5:$A$1005&lt;&gt;"")*(MOVIMIENTOS!$A$5:$A$1005&lt;=$A683)*MOVIMIENTOS!$E$5:$E$1005)+SUMPRODUCT((MOVIMIENTOS!$B$5:$B$1005="DEVOLUCIÓN")*(MOVIMIENTOS!$C$5:$C$1005="P")*(MOVIMIENTOS!$D$5:$D$1005="jabas")*(MOVIMIENTOS!$A$5:$A$1005&lt;&gt;"")*(MOVIMIENTOS!$A$5:$A$1005&lt;=$A683)*MOVIMIENTOS!$E$5:$E$1005)-SUMPRODUCT((MOVIMIENTOS!$B$5:$B$1005="TRASIEGO")*(MOVIMIENTOS!$C$5:$C$1005="P")*(MOVIMIENTOS!$D$5:$D$1005="jabas")*(MOVIMIENTOS!$A$5:$A$1005&lt;&gt;"")*(MOVIMIENTOS!$A$5:$A$1005&lt;=$A683)*MOVIMIENTOS!$E$5:$E$1005)-SUMPRODUCT((MOVIMIENTOS!$B$5:$B$1005="REGALO")*(MOVIMIENTOS!$C$5:$C$1005="P")*(MOVIMIENTOS!$D$5:$D$1005="jabas")*(MOVIMIENTOS!$A$5:$A$1005&lt;&gt;"")*(MOVIMIENTOS!$A$5:$A$1005&lt;=$A683)*MOVIMIENTOS!$E$5:$E$1005)-SUMPRODUCT((MOVIMIENTOS!$B$5:$B$1005="VENTA")*(MOVIMIENTOS!$C$5:$C$1005="P")*(MOVIMIENTOS!$D$5:$D$1005="jabas")*(MOVIMIENTOS!$A$5:$A$1005&lt;&gt;"")*(MOVIMIENTOS!$A$5:$A$1005&lt;=$A683)*MOVIMIENTOS!$E$5:$E$1005)+SUMPRODUCT((MOVIMIENTOS!$B$5:$B$1005="AJUSTE")*(MOVIMIENTOS!$C$5:$C$1005="P")*(MOVIMIENTOS!$D$5:$D$1005="jabas")*(MOVIMIENTOS!$A$5:$A$1005&lt;&gt;"")*(MOVIMIENTOS!$A$5:$A$1005&lt;=$A683)*MOVIMIENTOS!$E$5:$E$1005))</f>
        <v/>
      </c>
      <c r="D683" t="str">
        <f>IF($A683="","",SUMPRODUCT((MOVIMIENTOS!$B$5:$B$1005="SALDO INICIAL")*(MOVIMIENTOS!$C$5:$C$1005="C")*(MOVIMIENTOS!$D$5:$D$1005="jabas")*(MOVIMIENTOS!$A$5:$A$1005&lt;&gt;"")*(MOVIMIENTOS!$A$5:$A$1005&lt;=$A683)*MOVIMIENTOS!$E$5:$E$1005)+SUMPRODUCT((MOVIMIENTOS!$B$5:$B$1005="PROCESO")*(MOVIMIENTOS!$C$5:$C$1005="C")*(MOVIMIENTOS!$D$5:$D$1005="jabas")*(MOVIMIENTOS!$A$5:$A$1005&lt;&gt;"")*(MOVIMIENTOS!$A$5:$A$1005&lt;=$A683)*MOVIMIENTOS!$E$5:$E$1005)-SUMPRODUCT((MOVIMIENTOS!$B$5:$B$1005="ENVÍO A SUPESA")*(MOVIMIENTOS!$C$5:$C$1005="C")*(MOVIMIENTOS!$D$5:$D$1005="jabas")*(MOVIMIENTOS!$A$5:$A$1005&lt;&gt;"")*(MOVIMIENTOS!$A$5:$A$1005&lt;=$A683)*MOVIMIENTOS!$E$5:$E$1005)+SUMPRODUCT((MOVIMIENTOS!$B$5:$B$1005="DEVOLUCIÓN")*(MOVIMIENTOS!$C$5:$C$1005="C")*(MOVIMIENTOS!$D$5:$D$1005="jabas")*(MOVIMIENTOS!$A$5:$A$1005&lt;&gt;"")*(MOVIMIENTOS!$A$5:$A$1005&lt;=$A683)*MOVIMIENTOS!$E$5:$E$1005)-SUMPRODUCT((MOVIMIENTOS!$B$5:$B$1005="TRASIEGO")*(MOVIMIENTOS!$C$5:$C$1005="C")*(MOVIMIENTOS!$D$5:$D$1005="jabas")*(MOVIMIENTOS!$A$5:$A$1005&lt;&gt;"")*(MOVIMIENTOS!$A$5:$A$1005&lt;=$A683)*MOVIMIENTOS!$E$5:$E$1005)-SUMPRODUCT((MOVIMIENTOS!$B$5:$B$1005="REGALO")*(MOVIMIENTOS!$C$5:$C$1005="C")*(MOVIMIENTOS!$D$5:$D$1005="jabas")*(MOVIMIENTOS!$A$5:$A$1005&lt;&gt;"")*(MOVIMIENTOS!$A$5:$A$1005&lt;=$A683)*MOVIMIENTOS!$E$5:$E$1005)-SUMPRODUCT((MOVIMIENTOS!$B$5:$B$1005="VENTA")*(MOVIMIENTOS!$C$5:$C$1005="C")*(MOVIMIENTOS!$D$5:$D$1005="jabas")*(MOVIMIENTOS!$A$5:$A$1005&lt;&gt;"")*(MOVIMIENTOS!$A$5:$A$1005&lt;=$A683)*MOVIMIENTOS!$E$5:$E$1005)+SUMPRODUCT((MOVIMIENTOS!$B$5:$B$1005="AJUSTE")*(MOVIMIENTOS!$C$5:$C$1005="C")*(MOVIMIENTOS!$D$5:$D$1005="jabas")*(MOVIMIENTOS!$A$5:$A$1005&lt;&gt;"")*(MOVIMIENTOS!$A$5:$A$1005&lt;=$A683)*MOVIMIENTOS!$E$5:$E$1005))</f>
        <v/>
      </c>
      <c r="E683" t="str">
        <f>IF($A683="","",SUMPRODUCT((MOVIMIENTOS!$B$5:$B$1005="SALDO INICIAL")*(MOVIMIENTOS!$C$5:$C$1005="M")*(MOVIMIENTOS!$D$5:$D$1005="jabas")*(MOVIMIENTOS!$A$5:$A$1005&lt;&gt;"")*(MOVIMIENTOS!$A$5:$A$1005&lt;=$A683)*MOVIMIENTOS!$E$5:$E$1005)+SUMPRODUCT((MOVIMIENTOS!$B$5:$B$1005="PROCESO")*(MOVIMIENTOS!$C$5:$C$1005="M")*(MOVIMIENTOS!$D$5:$D$1005="jabas")*(MOVIMIENTOS!$A$5:$A$1005&lt;&gt;"")*(MOVIMIENTOS!$A$5:$A$1005&lt;=$A683)*MOVIMIENTOS!$E$5:$E$1005)-SUMPRODUCT((MOVIMIENTOS!$B$5:$B$1005="ENVÍO A SUPESA")*(MOVIMIENTOS!$C$5:$C$1005="M")*(MOVIMIENTOS!$D$5:$D$1005="jabas")*(MOVIMIENTOS!$A$5:$A$1005&lt;&gt;"")*(MOVIMIENTOS!$A$5:$A$1005&lt;=$A683)*MOVIMIENTOS!$E$5:$E$1005)+SUMPRODUCT((MOVIMIENTOS!$B$5:$B$1005="DEVOLUCIÓN")*(MOVIMIENTOS!$C$5:$C$1005="M")*(MOVIMIENTOS!$D$5:$D$1005="jabas")*(MOVIMIENTOS!$A$5:$A$1005&lt;&gt;"")*(MOVIMIENTOS!$A$5:$A$1005&lt;=$A683)*MOVIMIENTOS!$E$5:$E$1005)-SUMPRODUCT((MOVIMIENTOS!$B$5:$B$1005="TRASIEGO")*(MOVIMIENTOS!$C$5:$C$1005="M")*(MOVIMIENTOS!$D$5:$D$1005="jabas")*(MOVIMIENTOS!$A$5:$A$1005&lt;&gt;"")*(MOVIMIENTOS!$A$5:$A$1005&lt;=$A683)*MOVIMIENTOS!$E$5:$E$1005)-SUMPRODUCT((MOVIMIENTOS!$B$5:$B$1005="REGALO")*(MOVIMIENTOS!$C$5:$C$1005="M")*(MOVIMIENTOS!$D$5:$D$1005="jabas")*(MOVIMIENTOS!$A$5:$A$1005&lt;&gt;"")*(MOVIMIENTOS!$A$5:$A$1005&lt;=$A683)*MOVIMIENTOS!$E$5:$E$1005)-SUMPRODUCT((MOVIMIENTOS!$B$5:$B$1005="VENTA")*(MOVIMIENTOS!$C$5:$C$1005="M")*(MOVIMIENTOS!$D$5:$D$1005="jabas")*(MOVIMIENTOS!$A$5:$A$1005&lt;&gt;"")*(MOVIMIENTOS!$A$5:$A$1005&lt;=$A683)*MOVIMIENTOS!$E$5:$E$1005)+SUMPRODUCT((MOVIMIENTOS!$B$5:$B$1005="AJUSTE")*(MOVIMIENTOS!$C$5:$C$1005="M")*(MOVIMIENTOS!$D$5:$D$1005="jabas")*(MOVIMIENTOS!$A$5:$A$1005&lt;&gt;"")*(MOVIMIENTOS!$A$5:$A$1005&lt;=$A683)*MOVIMIENTOS!$E$5:$E$1005))</f>
        <v/>
      </c>
      <c r="F683" s="62" t="str">
        <f>IF($A683="","",SUMPRODUCT((MOVIMIENTOS!$B$5:$B$1005="SALDO INICIAL")*(MOVIMIENTOS!$C$5:$C$1005="Chancho")*(MOVIMIENTOS!$D$5:$D$1005="sacos")*(MOVIMIENTOS!$A$5:$A$1005&lt;&gt;"")*(MOVIMIENTOS!$A$5:$A$1005&lt;=$A683)*MOVIMIENTOS!$E$5:$E$1005)+SUMPRODUCT((MOVIMIENTOS!$B$5:$B$1005="PROCESO")*(MOVIMIENTOS!$C$5:$C$1005="Chancho")*(MOVIMIENTOS!$D$5:$D$1005="sacos")*(MOVIMIENTOS!$A$5:$A$1005&lt;&gt;"")*(MOVIMIENTOS!$A$5:$A$1005&lt;=$A683)*MOVIMIENTOS!$E$5:$E$1005)-SUMPRODUCT((MOVIMIENTOS!$B$5:$B$1005="VENTA CHANCHO")*(MOVIMIENTOS!$C$5:$C$1005="Chancho")*(MOVIMIENTOS!$D$5:$D$1005="sacos")*(MOVIMIENTOS!$A$5:$A$1005&lt;&gt;"")*(MOVIMIENTOS!$A$5:$A$1005&lt;=$A683)*MOVIMIENTOS!$E$5:$E$1005)-SUMPRODUCT((MOVIMIENTOS!$B$5:$B$1005="REGALO")*(MOVIMIENTOS!$C$5:$C$1005="Chancho")*(MOVIMIENTOS!$D$5:$D$1005="sacos")*(MOVIMIENTOS!$A$5:$A$1005&lt;&gt;"")*(MOVIMIENTOS!$A$5:$A$1005&lt;=$A683)*MOVIMIENTOS!$E$5:$E$1005)-SUMPRODUCT((MOVIMIENTOS!$B$5:$B$1005="VENTA")*(MOVIMIENTOS!$C$5:$C$1005="Chancho")*(MOVIMIENTOS!$D$5:$D$1005="sacos")*(MOVIMIENTOS!$A$5:$A$1005&lt;&gt;"")*(MOVIMIENTOS!$A$5:$A$1005&lt;=$A683)*MOVIMIENTOS!$E$5:$E$1005)+SUMPRODUCT((MOVIMIENTOS!$B$5:$B$1005="AJUSTE")*(MOVIMIENTOS!$C$5:$C$1005="Chancho")*(MOVIMIENTOS!$D$5:$D$1005="sacos")*(MOVIMIENTOS!$A$5:$A$1005&lt;&gt;"")*(MOVIMIENTOS!$A$5:$A$1005&lt;=$A683)*MOVIMIENTOS!$E$5:$E$1005))</f>
        <v/>
      </c>
      <c r="G683" s="62" t="str">
        <f t="shared" si="21"/>
        <v/>
      </c>
      <c r="H683" t="str">
        <f>IF($A683="","",SUMPRODUCT((((MOVIMIENTOS!$B$5:$B$1005="SALDO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683)*MOVIMIENTOS!$J$5:$J$1005))</f>
        <v/>
      </c>
      <c r="J683" t="str">
        <f>IF(AND(MOVIMIENTOS!$A688&lt;&gt;"",COUNTIF(MOVIMIENTOS!$A$5:$A687,MOVIMIENTOS!$A688)=0),COUNT(J$4:J682)+1,"")</f>
        <v/>
      </c>
      <c r="K683">
        <f>MOVIMIENTOS!$A688</f>
        <v>0</v>
      </c>
    </row>
    <row r="684" spans="1:11" ht="15" customHeight="1" x14ac:dyDescent="0.2">
      <c r="A684" t="str">
        <f t="shared" si="20"/>
        <v/>
      </c>
      <c r="B684" t="str">
        <f>IF($A684="","",SUMPRODUCT((MOVIMIENTOS!$B$5:$B$1005="SALDO INICIAL")*(MOVIMIENTOS!$C$5:$C$1005="A")*(MOVIMIENTOS!$D$5:$D$1005="jabas")*(MOVIMIENTOS!$A$5:$A$1005&lt;&gt;"")*(MOVIMIENTOS!$A$5:$A$1005&lt;=$A684)*MOVIMIENTOS!$E$5:$E$1005)+SUMPRODUCT((MOVIMIENTOS!$B$5:$B$1005="PROCESO")*(MOVIMIENTOS!$C$5:$C$1005="A")*(MOVIMIENTOS!$D$5:$D$1005="jabas")*(MOVIMIENTOS!$A$5:$A$1005&lt;&gt;"")*(MOVIMIENTOS!$A$5:$A$1005&lt;=$A684)*MOVIMIENTOS!$E$5:$E$1005)-SUMPRODUCT((MOVIMIENTOS!$B$5:$B$1005="ENVÍO A SUPESA")*(MOVIMIENTOS!$C$5:$C$1005="A")*(MOVIMIENTOS!$D$5:$D$1005="jabas")*(MOVIMIENTOS!$A$5:$A$1005&lt;&gt;"")*(MOVIMIENTOS!$A$5:$A$1005&lt;=$A684)*MOVIMIENTOS!$E$5:$E$1005)+SUMPRODUCT((MOVIMIENTOS!$B$5:$B$1005="DEVOLUCIÓN")*(MOVIMIENTOS!$C$5:$C$1005="A")*(MOVIMIENTOS!$D$5:$D$1005="jabas")*(MOVIMIENTOS!$A$5:$A$1005&lt;&gt;"")*(MOVIMIENTOS!$A$5:$A$1005&lt;=$A684)*MOVIMIENTOS!$E$5:$E$1005)-SUMPRODUCT((MOVIMIENTOS!$B$5:$B$1005="TRASIEGO")*(MOVIMIENTOS!$C$5:$C$1005="A")*(MOVIMIENTOS!$D$5:$D$1005="jabas")*(MOVIMIENTOS!$A$5:$A$1005&lt;&gt;"")*(MOVIMIENTOS!$A$5:$A$1005&lt;=$A684)*MOVIMIENTOS!$E$5:$E$1005)-SUMPRODUCT((MOVIMIENTOS!$B$5:$B$1005="REGALO")*(MOVIMIENTOS!$C$5:$C$1005="A")*(MOVIMIENTOS!$D$5:$D$1005="jabas")*(MOVIMIENTOS!$A$5:$A$1005&lt;&gt;"")*(MOVIMIENTOS!$A$5:$A$1005&lt;=$A684)*MOVIMIENTOS!$E$5:$E$1005)-SUMPRODUCT((MOVIMIENTOS!$B$5:$B$1005="VENTA")*(MOVIMIENTOS!$C$5:$C$1005="A")*(MOVIMIENTOS!$D$5:$D$1005="jabas")*(MOVIMIENTOS!$A$5:$A$1005&lt;&gt;"")*(MOVIMIENTOS!$A$5:$A$1005&lt;=$A684)*MOVIMIENTOS!$E$5:$E$1005)+SUMPRODUCT((MOVIMIENTOS!$B$5:$B$1005="AJUSTE")*(MOVIMIENTOS!$C$5:$C$1005="A")*(MOVIMIENTOS!$D$5:$D$1005="jabas")*(MOVIMIENTOS!$A$5:$A$1005&lt;&gt;"")*(MOVIMIENTOS!$A$5:$A$1005&lt;=$A684)*MOVIMIENTOS!$E$5:$E$1005))</f>
        <v/>
      </c>
      <c r="C684" t="str">
        <f>IF($A684="","",SUMPRODUCT((MOVIMIENTOS!$B$5:$B$1005="SALDO INICIAL")*(MOVIMIENTOS!$C$5:$C$1005="P")*(MOVIMIENTOS!$D$5:$D$1005="jabas")*(MOVIMIENTOS!$A$5:$A$1005&lt;&gt;"")*(MOVIMIENTOS!$A$5:$A$1005&lt;=$A684)*MOVIMIENTOS!$E$5:$E$1005)+SUMPRODUCT((MOVIMIENTOS!$B$5:$B$1005="PROCESO")*(MOVIMIENTOS!$C$5:$C$1005="P")*(MOVIMIENTOS!$D$5:$D$1005="jabas")*(MOVIMIENTOS!$A$5:$A$1005&lt;&gt;"")*(MOVIMIENTOS!$A$5:$A$1005&lt;=$A684)*MOVIMIENTOS!$E$5:$E$1005)-SUMPRODUCT((MOVIMIENTOS!$B$5:$B$1005="ENVÍO A SUPESA")*(MOVIMIENTOS!$C$5:$C$1005="P")*(MOVIMIENTOS!$D$5:$D$1005="jabas")*(MOVIMIENTOS!$A$5:$A$1005&lt;&gt;"")*(MOVIMIENTOS!$A$5:$A$1005&lt;=$A684)*MOVIMIENTOS!$E$5:$E$1005)+SUMPRODUCT((MOVIMIENTOS!$B$5:$B$1005="DEVOLUCIÓN")*(MOVIMIENTOS!$C$5:$C$1005="P")*(MOVIMIENTOS!$D$5:$D$1005="jabas")*(MOVIMIENTOS!$A$5:$A$1005&lt;&gt;"")*(MOVIMIENTOS!$A$5:$A$1005&lt;=$A684)*MOVIMIENTOS!$E$5:$E$1005)-SUMPRODUCT((MOVIMIENTOS!$B$5:$B$1005="TRASIEGO")*(MOVIMIENTOS!$C$5:$C$1005="P")*(MOVIMIENTOS!$D$5:$D$1005="jabas")*(MOVIMIENTOS!$A$5:$A$1005&lt;&gt;"")*(MOVIMIENTOS!$A$5:$A$1005&lt;=$A684)*MOVIMIENTOS!$E$5:$E$1005)-SUMPRODUCT((MOVIMIENTOS!$B$5:$B$1005="REGALO")*(MOVIMIENTOS!$C$5:$C$1005="P")*(MOVIMIENTOS!$D$5:$D$1005="jabas")*(MOVIMIENTOS!$A$5:$A$1005&lt;&gt;"")*(MOVIMIENTOS!$A$5:$A$1005&lt;=$A684)*MOVIMIENTOS!$E$5:$E$1005)-SUMPRODUCT((MOVIMIENTOS!$B$5:$B$1005="VENTA")*(MOVIMIENTOS!$C$5:$C$1005="P")*(MOVIMIENTOS!$D$5:$D$1005="jabas")*(MOVIMIENTOS!$A$5:$A$1005&lt;&gt;"")*(MOVIMIENTOS!$A$5:$A$1005&lt;=$A684)*MOVIMIENTOS!$E$5:$E$1005)+SUMPRODUCT((MOVIMIENTOS!$B$5:$B$1005="AJUSTE")*(MOVIMIENTOS!$C$5:$C$1005="P")*(MOVIMIENTOS!$D$5:$D$1005="jabas")*(MOVIMIENTOS!$A$5:$A$1005&lt;&gt;"")*(MOVIMIENTOS!$A$5:$A$1005&lt;=$A684)*MOVIMIENTOS!$E$5:$E$1005))</f>
        <v/>
      </c>
      <c r="D684" t="str">
        <f>IF($A684="","",SUMPRODUCT((MOVIMIENTOS!$B$5:$B$1005="SALDO INICIAL")*(MOVIMIENTOS!$C$5:$C$1005="C")*(MOVIMIENTOS!$D$5:$D$1005="jabas")*(MOVIMIENTOS!$A$5:$A$1005&lt;&gt;"")*(MOVIMIENTOS!$A$5:$A$1005&lt;=$A684)*MOVIMIENTOS!$E$5:$E$1005)+SUMPRODUCT((MOVIMIENTOS!$B$5:$B$1005="PROCESO")*(MOVIMIENTOS!$C$5:$C$1005="C")*(MOVIMIENTOS!$D$5:$D$1005="jabas")*(MOVIMIENTOS!$A$5:$A$1005&lt;&gt;"")*(MOVIMIENTOS!$A$5:$A$1005&lt;=$A684)*MOVIMIENTOS!$E$5:$E$1005)-SUMPRODUCT((MOVIMIENTOS!$B$5:$B$1005="ENVÍO A SUPESA")*(MOVIMIENTOS!$C$5:$C$1005="C")*(MOVIMIENTOS!$D$5:$D$1005="jabas")*(MOVIMIENTOS!$A$5:$A$1005&lt;&gt;"")*(MOVIMIENTOS!$A$5:$A$1005&lt;=$A684)*MOVIMIENTOS!$E$5:$E$1005)+SUMPRODUCT((MOVIMIENTOS!$B$5:$B$1005="DEVOLUCIÓN")*(MOVIMIENTOS!$C$5:$C$1005="C")*(MOVIMIENTOS!$D$5:$D$1005="jabas")*(MOVIMIENTOS!$A$5:$A$1005&lt;&gt;"")*(MOVIMIENTOS!$A$5:$A$1005&lt;=$A684)*MOVIMIENTOS!$E$5:$E$1005)-SUMPRODUCT((MOVIMIENTOS!$B$5:$B$1005="TRASIEGO")*(MOVIMIENTOS!$C$5:$C$1005="C")*(MOVIMIENTOS!$D$5:$D$1005="jabas")*(MOVIMIENTOS!$A$5:$A$1005&lt;&gt;"")*(MOVIMIENTOS!$A$5:$A$1005&lt;=$A684)*MOVIMIENTOS!$E$5:$E$1005)-SUMPRODUCT((MOVIMIENTOS!$B$5:$B$1005="REGALO")*(MOVIMIENTOS!$C$5:$C$1005="C")*(MOVIMIENTOS!$D$5:$D$1005="jabas")*(MOVIMIENTOS!$A$5:$A$1005&lt;&gt;"")*(MOVIMIENTOS!$A$5:$A$1005&lt;=$A684)*MOVIMIENTOS!$E$5:$E$1005)-SUMPRODUCT((MOVIMIENTOS!$B$5:$B$1005="VENTA")*(MOVIMIENTOS!$C$5:$C$1005="C")*(MOVIMIENTOS!$D$5:$D$1005="jabas")*(MOVIMIENTOS!$A$5:$A$1005&lt;&gt;"")*(MOVIMIENTOS!$A$5:$A$1005&lt;=$A684)*MOVIMIENTOS!$E$5:$E$1005)+SUMPRODUCT((MOVIMIENTOS!$B$5:$B$1005="AJUSTE")*(MOVIMIENTOS!$C$5:$C$1005="C")*(MOVIMIENTOS!$D$5:$D$1005="jabas")*(MOVIMIENTOS!$A$5:$A$1005&lt;&gt;"")*(MOVIMIENTOS!$A$5:$A$1005&lt;=$A684)*MOVIMIENTOS!$E$5:$E$1005))</f>
        <v/>
      </c>
      <c r="E684" t="str">
        <f>IF($A684="","",SUMPRODUCT((MOVIMIENTOS!$B$5:$B$1005="SALDO INICIAL")*(MOVIMIENTOS!$C$5:$C$1005="M")*(MOVIMIENTOS!$D$5:$D$1005="jabas")*(MOVIMIENTOS!$A$5:$A$1005&lt;&gt;"")*(MOVIMIENTOS!$A$5:$A$1005&lt;=$A684)*MOVIMIENTOS!$E$5:$E$1005)+SUMPRODUCT((MOVIMIENTOS!$B$5:$B$1005="PROCESO")*(MOVIMIENTOS!$C$5:$C$1005="M")*(MOVIMIENTOS!$D$5:$D$1005="jabas")*(MOVIMIENTOS!$A$5:$A$1005&lt;&gt;"")*(MOVIMIENTOS!$A$5:$A$1005&lt;=$A684)*MOVIMIENTOS!$E$5:$E$1005)-SUMPRODUCT((MOVIMIENTOS!$B$5:$B$1005="ENVÍO A SUPESA")*(MOVIMIENTOS!$C$5:$C$1005="M")*(MOVIMIENTOS!$D$5:$D$1005="jabas")*(MOVIMIENTOS!$A$5:$A$1005&lt;&gt;"")*(MOVIMIENTOS!$A$5:$A$1005&lt;=$A684)*MOVIMIENTOS!$E$5:$E$1005)+SUMPRODUCT((MOVIMIENTOS!$B$5:$B$1005="DEVOLUCIÓN")*(MOVIMIENTOS!$C$5:$C$1005="M")*(MOVIMIENTOS!$D$5:$D$1005="jabas")*(MOVIMIENTOS!$A$5:$A$1005&lt;&gt;"")*(MOVIMIENTOS!$A$5:$A$1005&lt;=$A684)*MOVIMIENTOS!$E$5:$E$1005)-SUMPRODUCT((MOVIMIENTOS!$B$5:$B$1005="TRASIEGO")*(MOVIMIENTOS!$C$5:$C$1005="M")*(MOVIMIENTOS!$D$5:$D$1005="jabas")*(MOVIMIENTOS!$A$5:$A$1005&lt;&gt;"")*(MOVIMIENTOS!$A$5:$A$1005&lt;=$A684)*MOVIMIENTOS!$E$5:$E$1005)-SUMPRODUCT((MOVIMIENTOS!$B$5:$B$1005="REGALO")*(MOVIMIENTOS!$C$5:$C$1005="M")*(MOVIMIENTOS!$D$5:$D$1005="jabas")*(MOVIMIENTOS!$A$5:$A$1005&lt;&gt;"")*(MOVIMIENTOS!$A$5:$A$1005&lt;=$A684)*MOVIMIENTOS!$E$5:$E$1005)-SUMPRODUCT((MOVIMIENTOS!$B$5:$B$1005="VENTA")*(MOVIMIENTOS!$C$5:$C$1005="M")*(MOVIMIENTOS!$D$5:$D$1005="jabas")*(MOVIMIENTOS!$A$5:$A$1005&lt;&gt;"")*(MOVIMIENTOS!$A$5:$A$1005&lt;=$A684)*MOVIMIENTOS!$E$5:$E$1005)+SUMPRODUCT((MOVIMIENTOS!$B$5:$B$1005="AJUSTE")*(MOVIMIENTOS!$C$5:$C$1005="M")*(MOVIMIENTOS!$D$5:$D$1005="jabas")*(MOVIMIENTOS!$A$5:$A$1005&lt;&gt;"")*(MOVIMIENTOS!$A$5:$A$1005&lt;=$A684)*MOVIMIENTOS!$E$5:$E$1005))</f>
        <v/>
      </c>
      <c r="F684" s="62" t="str">
        <f>IF($A684="","",SUMPRODUCT((MOVIMIENTOS!$B$5:$B$1005="SALDO INICIAL")*(MOVIMIENTOS!$C$5:$C$1005="Chancho")*(MOVIMIENTOS!$D$5:$D$1005="sacos")*(MOVIMIENTOS!$A$5:$A$1005&lt;&gt;"")*(MOVIMIENTOS!$A$5:$A$1005&lt;=$A684)*MOVIMIENTOS!$E$5:$E$1005)+SUMPRODUCT((MOVIMIENTOS!$B$5:$B$1005="PROCESO")*(MOVIMIENTOS!$C$5:$C$1005="Chancho")*(MOVIMIENTOS!$D$5:$D$1005="sacos")*(MOVIMIENTOS!$A$5:$A$1005&lt;&gt;"")*(MOVIMIENTOS!$A$5:$A$1005&lt;=$A684)*MOVIMIENTOS!$E$5:$E$1005)-SUMPRODUCT((MOVIMIENTOS!$B$5:$B$1005="VENTA CHANCHO")*(MOVIMIENTOS!$C$5:$C$1005="Chancho")*(MOVIMIENTOS!$D$5:$D$1005="sacos")*(MOVIMIENTOS!$A$5:$A$1005&lt;&gt;"")*(MOVIMIENTOS!$A$5:$A$1005&lt;=$A684)*MOVIMIENTOS!$E$5:$E$1005)-SUMPRODUCT((MOVIMIENTOS!$B$5:$B$1005="REGALO")*(MOVIMIENTOS!$C$5:$C$1005="Chancho")*(MOVIMIENTOS!$D$5:$D$1005="sacos")*(MOVIMIENTOS!$A$5:$A$1005&lt;&gt;"")*(MOVIMIENTOS!$A$5:$A$1005&lt;=$A684)*MOVIMIENTOS!$E$5:$E$1005)-SUMPRODUCT((MOVIMIENTOS!$B$5:$B$1005="VENTA")*(MOVIMIENTOS!$C$5:$C$1005="Chancho")*(MOVIMIENTOS!$D$5:$D$1005="sacos")*(MOVIMIENTOS!$A$5:$A$1005&lt;&gt;"")*(MOVIMIENTOS!$A$5:$A$1005&lt;=$A684)*MOVIMIENTOS!$E$5:$E$1005)+SUMPRODUCT((MOVIMIENTOS!$B$5:$B$1005="AJUSTE")*(MOVIMIENTOS!$C$5:$C$1005="Chancho")*(MOVIMIENTOS!$D$5:$D$1005="sacos")*(MOVIMIENTOS!$A$5:$A$1005&lt;&gt;"")*(MOVIMIENTOS!$A$5:$A$1005&lt;=$A684)*MOVIMIENTOS!$E$5:$E$1005))</f>
        <v/>
      </c>
      <c r="G684" s="62" t="str">
        <f t="shared" si="21"/>
        <v/>
      </c>
      <c r="H684" t="str">
        <f>IF($A684="","",SUMPRODUCT((((MOVIMIENTOS!$B$5:$B$1005="SALDO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684)*MOVIMIENTOS!$J$5:$J$1005))</f>
        <v/>
      </c>
      <c r="J684" t="str">
        <f>IF(AND(MOVIMIENTOS!$A689&lt;&gt;"",COUNTIF(MOVIMIENTOS!$A$5:$A688,MOVIMIENTOS!$A689)=0),COUNT(J$4:J683)+1,"")</f>
        <v/>
      </c>
      <c r="K684">
        <f>MOVIMIENTOS!$A689</f>
        <v>0</v>
      </c>
    </row>
    <row r="685" spans="1:11" ht="15" customHeight="1" x14ac:dyDescent="0.2">
      <c r="A685" t="str">
        <f t="shared" si="20"/>
        <v/>
      </c>
      <c r="B685" t="str">
        <f>IF($A685="","",SUMPRODUCT((MOVIMIENTOS!$B$5:$B$1005="SALDO INICIAL")*(MOVIMIENTOS!$C$5:$C$1005="A")*(MOVIMIENTOS!$D$5:$D$1005="jabas")*(MOVIMIENTOS!$A$5:$A$1005&lt;&gt;"")*(MOVIMIENTOS!$A$5:$A$1005&lt;=$A685)*MOVIMIENTOS!$E$5:$E$1005)+SUMPRODUCT((MOVIMIENTOS!$B$5:$B$1005="PROCESO")*(MOVIMIENTOS!$C$5:$C$1005="A")*(MOVIMIENTOS!$D$5:$D$1005="jabas")*(MOVIMIENTOS!$A$5:$A$1005&lt;&gt;"")*(MOVIMIENTOS!$A$5:$A$1005&lt;=$A685)*MOVIMIENTOS!$E$5:$E$1005)-SUMPRODUCT((MOVIMIENTOS!$B$5:$B$1005="ENVÍO A SUPESA")*(MOVIMIENTOS!$C$5:$C$1005="A")*(MOVIMIENTOS!$D$5:$D$1005="jabas")*(MOVIMIENTOS!$A$5:$A$1005&lt;&gt;"")*(MOVIMIENTOS!$A$5:$A$1005&lt;=$A685)*MOVIMIENTOS!$E$5:$E$1005)+SUMPRODUCT((MOVIMIENTOS!$B$5:$B$1005="DEVOLUCIÓN")*(MOVIMIENTOS!$C$5:$C$1005="A")*(MOVIMIENTOS!$D$5:$D$1005="jabas")*(MOVIMIENTOS!$A$5:$A$1005&lt;&gt;"")*(MOVIMIENTOS!$A$5:$A$1005&lt;=$A685)*MOVIMIENTOS!$E$5:$E$1005)-SUMPRODUCT((MOVIMIENTOS!$B$5:$B$1005="TRASIEGO")*(MOVIMIENTOS!$C$5:$C$1005="A")*(MOVIMIENTOS!$D$5:$D$1005="jabas")*(MOVIMIENTOS!$A$5:$A$1005&lt;&gt;"")*(MOVIMIENTOS!$A$5:$A$1005&lt;=$A685)*MOVIMIENTOS!$E$5:$E$1005)-SUMPRODUCT((MOVIMIENTOS!$B$5:$B$1005="REGALO")*(MOVIMIENTOS!$C$5:$C$1005="A")*(MOVIMIENTOS!$D$5:$D$1005="jabas")*(MOVIMIENTOS!$A$5:$A$1005&lt;&gt;"")*(MOVIMIENTOS!$A$5:$A$1005&lt;=$A685)*MOVIMIENTOS!$E$5:$E$1005)-SUMPRODUCT((MOVIMIENTOS!$B$5:$B$1005="VENTA")*(MOVIMIENTOS!$C$5:$C$1005="A")*(MOVIMIENTOS!$D$5:$D$1005="jabas")*(MOVIMIENTOS!$A$5:$A$1005&lt;&gt;"")*(MOVIMIENTOS!$A$5:$A$1005&lt;=$A685)*MOVIMIENTOS!$E$5:$E$1005)+SUMPRODUCT((MOVIMIENTOS!$B$5:$B$1005="AJUSTE")*(MOVIMIENTOS!$C$5:$C$1005="A")*(MOVIMIENTOS!$D$5:$D$1005="jabas")*(MOVIMIENTOS!$A$5:$A$1005&lt;&gt;"")*(MOVIMIENTOS!$A$5:$A$1005&lt;=$A685)*MOVIMIENTOS!$E$5:$E$1005))</f>
        <v/>
      </c>
      <c r="C685" t="str">
        <f>IF($A685="","",SUMPRODUCT((MOVIMIENTOS!$B$5:$B$1005="SALDO INICIAL")*(MOVIMIENTOS!$C$5:$C$1005="P")*(MOVIMIENTOS!$D$5:$D$1005="jabas")*(MOVIMIENTOS!$A$5:$A$1005&lt;&gt;"")*(MOVIMIENTOS!$A$5:$A$1005&lt;=$A685)*MOVIMIENTOS!$E$5:$E$1005)+SUMPRODUCT((MOVIMIENTOS!$B$5:$B$1005="PROCESO")*(MOVIMIENTOS!$C$5:$C$1005="P")*(MOVIMIENTOS!$D$5:$D$1005="jabas")*(MOVIMIENTOS!$A$5:$A$1005&lt;&gt;"")*(MOVIMIENTOS!$A$5:$A$1005&lt;=$A685)*MOVIMIENTOS!$E$5:$E$1005)-SUMPRODUCT((MOVIMIENTOS!$B$5:$B$1005="ENVÍO A SUPESA")*(MOVIMIENTOS!$C$5:$C$1005="P")*(MOVIMIENTOS!$D$5:$D$1005="jabas")*(MOVIMIENTOS!$A$5:$A$1005&lt;&gt;"")*(MOVIMIENTOS!$A$5:$A$1005&lt;=$A685)*MOVIMIENTOS!$E$5:$E$1005)+SUMPRODUCT((MOVIMIENTOS!$B$5:$B$1005="DEVOLUCIÓN")*(MOVIMIENTOS!$C$5:$C$1005="P")*(MOVIMIENTOS!$D$5:$D$1005="jabas")*(MOVIMIENTOS!$A$5:$A$1005&lt;&gt;"")*(MOVIMIENTOS!$A$5:$A$1005&lt;=$A685)*MOVIMIENTOS!$E$5:$E$1005)-SUMPRODUCT((MOVIMIENTOS!$B$5:$B$1005="TRASIEGO")*(MOVIMIENTOS!$C$5:$C$1005="P")*(MOVIMIENTOS!$D$5:$D$1005="jabas")*(MOVIMIENTOS!$A$5:$A$1005&lt;&gt;"")*(MOVIMIENTOS!$A$5:$A$1005&lt;=$A685)*MOVIMIENTOS!$E$5:$E$1005)-SUMPRODUCT((MOVIMIENTOS!$B$5:$B$1005="REGALO")*(MOVIMIENTOS!$C$5:$C$1005="P")*(MOVIMIENTOS!$D$5:$D$1005="jabas")*(MOVIMIENTOS!$A$5:$A$1005&lt;&gt;"")*(MOVIMIENTOS!$A$5:$A$1005&lt;=$A685)*MOVIMIENTOS!$E$5:$E$1005)-SUMPRODUCT((MOVIMIENTOS!$B$5:$B$1005="VENTA")*(MOVIMIENTOS!$C$5:$C$1005="P")*(MOVIMIENTOS!$D$5:$D$1005="jabas")*(MOVIMIENTOS!$A$5:$A$1005&lt;&gt;"")*(MOVIMIENTOS!$A$5:$A$1005&lt;=$A685)*MOVIMIENTOS!$E$5:$E$1005)+SUMPRODUCT((MOVIMIENTOS!$B$5:$B$1005="AJUSTE")*(MOVIMIENTOS!$C$5:$C$1005="P")*(MOVIMIENTOS!$D$5:$D$1005="jabas")*(MOVIMIENTOS!$A$5:$A$1005&lt;&gt;"")*(MOVIMIENTOS!$A$5:$A$1005&lt;=$A685)*MOVIMIENTOS!$E$5:$E$1005))</f>
        <v/>
      </c>
      <c r="D685" t="str">
        <f>IF($A685="","",SUMPRODUCT((MOVIMIENTOS!$B$5:$B$1005="SALDO INICIAL")*(MOVIMIENTOS!$C$5:$C$1005="C")*(MOVIMIENTOS!$D$5:$D$1005="jabas")*(MOVIMIENTOS!$A$5:$A$1005&lt;&gt;"")*(MOVIMIENTOS!$A$5:$A$1005&lt;=$A685)*MOVIMIENTOS!$E$5:$E$1005)+SUMPRODUCT((MOVIMIENTOS!$B$5:$B$1005="PROCESO")*(MOVIMIENTOS!$C$5:$C$1005="C")*(MOVIMIENTOS!$D$5:$D$1005="jabas")*(MOVIMIENTOS!$A$5:$A$1005&lt;&gt;"")*(MOVIMIENTOS!$A$5:$A$1005&lt;=$A685)*MOVIMIENTOS!$E$5:$E$1005)-SUMPRODUCT((MOVIMIENTOS!$B$5:$B$1005="ENVÍO A SUPESA")*(MOVIMIENTOS!$C$5:$C$1005="C")*(MOVIMIENTOS!$D$5:$D$1005="jabas")*(MOVIMIENTOS!$A$5:$A$1005&lt;&gt;"")*(MOVIMIENTOS!$A$5:$A$1005&lt;=$A685)*MOVIMIENTOS!$E$5:$E$1005)+SUMPRODUCT((MOVIMIENTOS!$B$5:$B$1005="DEVOLUCIÓN")*(MOVIMIENTOS!$C$5:$C$1005="C")*(MOVIMIENTOS!$D$5:$D$1005="jabas")*(MOVIMIENTOS!$A$5:$A$1005&lt;&gt;"")*(MOVIMIENTOS!$A$5:$A$1005&lt;=$A685)*MOVIMIENTOS!$E$5:$E$1005)-SUMPRODUCT((MOVIMIENTOS!$B$5:$B$1005="TRASIEGO")*(MOVIMIENTOS!$C$5:$C$1005="C")*(MOVIMIENTOS!$D$5:$D$1005="jabas")*(MOVIMIENTOS!$A$5:$A$1005&lt;&gt;"")*(MOVIMIENTOS!$A$5:$A$1005&lt;=$A685)*MOVIMIENTOS!$E$5:$E$1005)-SUMPRODUCT((MOVIMIENTOS!$B$5:$B$1005="REGALO")*(MOVIMIENTOS!$C$5:$C$1005="C")*(MOVIMIENTOS!$D$5:$D$1005="jabas")*(MOVIMIENTOS!$A$5:$A$1005&lt;&gt;"")*(MOVIMIENTOS!$A$5:$A$1005&lt;=$A685)*MOVIMIENTOS!$E$5:$E$1005)-SUMPRODUCT((MOVIMIENTOS!$B$5:$B$1005="VENTA")*(MOVIMIENTOS!$C$5:$C$1005="C")*(MOVIMIENTOS!$D$5:$D$1005="jabas")*(MOVIMIENTOS!$A$5:$A$1005&lt;&gt;"")*(MOVIMIENTOS!$A$5:$A$1005&lt;=$A685)*MOVIMIENTOS!$E$5:$E$1005)+SUMPRODUCT((MOVIMIENTOS!$B$5:$B$1005="AJUSTE")*(MOVIMIENTOS!$C$5:$C$1005="C")*(MOVIMIENTOS!$D$5:$D$1005="jabas")*(MOVIMIENTOS!$A$5:$A$1005&lt;&gt;"")*(MOVIMIENTOS!$A$5:$A$1005&lt;=$A685)*MOVIMIENTOS!$E$5:$E$1005))</f>
        <v/>
      </c>
      <c r="E685" t="str">
        <f>IF($A685="","",SUMPRODUCT((MOVIMIENTOS!$B$5:$B$1005="SALDO INICIAL")*(MOVIMIENTOS!$C$5:$C$1005="M")*(MOVIMIENTOS!$D$5:$D$1005="jabas")*(MOVIMIENTOS!$A$5:$A$1005&lt;&gt;"")*(MOVIMIENTOS!$A$5:$A$1005&lt;=$A685)*MOVIMIENTOS!$E$5:$E$1005)+SUMPRODUCT((MOVIMIENTOS!$B$5:$B$1005="PROCESO")*(MOVIMIENTOS!$C$5:$C$1005="M")*(MOVIMIENTOS!$D$5:$D$1005="jabas")*(MOVIMIENTOS!$A$5:$A$1005&lt;&gt;"")*(MOVIMIENTOS!$A$5:$A$1005&lt;=$A685)*MOVIMIENTOS!$E$5:$E$1005)-SUMPRODUCT((MOVIMIENTOS!$B$5:$B$1005="ENVÍO A SUPESA")*(MOVIMIENTOS!$C$5:$C$1005="M")*(MOVIMIENTOS!$D$5:$D$1005="jabas")*(MOVIMIENTOS!$A$5:$A$1005&lt;&gt;"")*(MOVIMIENTOS!$A$5:$A$1005&lt;=$A685)*MOVIMIENTOS!$E$5:$E$1005)+SUMPRODUCT((MOVIMIENTOS!$B$5:$B$1005="DEVOLUCIÓN")*(MOVIMIENTOS!$C$5:$C$1005="M")*(MOVIMIENTOS!$D$5:$D$1005="jabas")*(MOVIMIENTOS!$A$5:$A$1005&lt;&gt;"")*(MOVIMIENTOS!$A$5:$A$1005&lt;=$A685)*MOVIMIENTOS!$E$5:$E$1005)-SUMPRODUCT((MOVIMIENTOS!$B$5:$B$1005="TRASIEGO")*(MOVIMIENTOS!$C$5:$C$1005="M")*(MOVIMIENTOS!$D$5:$D$1005="jabas")*(MOVIMIENTOS!$A$5:$A$1005&lt;&gt;"")*(MOVIMIENTOS!$A$5:$A$1005&lt;=$A685)*MOVIMIENTOS!$E$5:$E$1005)-SUMPRODUCT((MOVIMIENTOS!$B$5:$B$1005="REGALO")*(MOVIMIENTOS!$C$5:$C$1005="M")*(MOVIMIENTOS!$D$5:$D$1005="jabas")*(MOVIMIENTOS!$A$5:$A$1005&lt;&gt;"")*(MOVIMIENTOS!$A$5:$A$1005&lt;=$A685)*MOVIMIENTOS!$E$5:$E$1005)-SUMPRODUCT((MOVIMIENTOS!$B$5:$B$1005="VENTA")*(MOVIMIENTOS!$C$5:$C$1005="M")*(MOVIMIENTOS!$D$5:$D$1005="jabas")*(MOVIMIENTOS!$A$5:$A$1005&lt;&gt;"")*(MOVIMIENTOS!$A$5:$A$1005&lt;=$A685)*MOVIMIENTOS!$E$5:$E$1005)+SUMPRODUCT((MOVIMIENTOS!$B$5:$B$1005="AJUSTE")*(MOVIMIENTOS!$C$5:$C$1005="M")*(MOVIMIENTOS!$D$5:$D$1005="jabas")*(MOVIMIENTOS!$A$5:$A$1005&lt;&gt;"")*(MOVIMIENTOS!$A$5:$A$1005&lt;=$A685)*MOVIMIENTOS!$E$5:$E$1005))</f>
        <v/>
      </c>
      <c r="F685" s="62" t="str">
        <f>IF($A685="","",SUMPRODUCT((MOVIMIENTOS!$B$5:$B$1005="SALDO INICIAL")*(MOVIMIENTOS!$C$5:$C$1005="Chancho")*(MOVIMIENTOS!$D$5:$D$1005="sacos")*(MOVIMIENTOS!$A$5:$A$1005&lt;&gt;"")*(MOVIMIENTOS!$A$5:$A$1005&lt;=$A685)*MOVIMIENTOS!$E$5:$E$1005)+SUMPRODUCT((MOVIMIENTOS!$B$5:$B$1005="PROCESO")*(MOVIMIENTOS!$C$5:$C$1005="Chancho")*(MOVIMIENTOS!$D$5:$D$1005="sacos")*(MOVIMIENTOS!$A$5:$A$1005&lt;&gt;"")*(MOVIMIENTOS!$A$5:$A$1005&lt;=$A685)*MOVIMIENTOS!$E$5:$E$1005)-SUMPRODUCT((MOVIMIENTOS!$B$5:$B$1005="VENTA CHANCHO")*(MOVIMIENTOS!$C$5:$C$1005="Chancho")*(MOVIMIENTOS!$D$5:$D$1005="sacos")*(MOVIMIENTOS!$A$5:$A$1005&lt;&gt;"")*(MOVIMIENTOS!$A$5:$A$1005&lt;=$A685)*MOVIMIENTOS!$E$5:$E$1005)-SUMPRODUCT((MOVIMIENTOS!$B$5:$B$1005="REGALO")*(MOVIMIENTOS!$C$5:$C$1005="Chancho")*(MOVIMIENTOS!$D$5:$D$1005="sacos")*(MOVIMIENTOS!$A$5:$A$1005&lt;&gt;"")*(MOVIMIENTOS!$A$5:$A$1005&lt;=$A685)*MOVIMIENTOS!$E$5:$E$1005)-SUMPRODUCT((MOVIMIENTOS!$B$5:$B$1005="VENTA")*(MOVIMIENTOS!$C$5:$C$1005="Chancho")*(MOVIMIENTOS!$D$5:$D$1005="sacos")*(MOVIMIENTOS!$A$5:$A$1005&lt;&gt;"")*(MOVIMIENTOS!$A$5:$A$1005&lt;=$A685)*MOVIMIENTOS!$E$5:$E$1005)+SUMPRODUCT((MOVIMIENTOS!$B$5:$B$1005="AJUSTE")*(MOVIMIENTOS!$C$5:$C$1005="Chancho")*(MOVIMIENTOS!$D$5:$D$1005="sacos")*(MOVIMIENTOS!$A$5:$A$1005&lt;&gt;"")*(MOVIMIENTOS!$A$5:$A$1005&lt;=$A685)*MOVIMIENTOS!$E$5:$E$1005))</f>
        <v/>
      </c>
      <c r="G685" s="62" t="str">
        <f t="shared" si="21"/>
        <v/>
      </c>
      <c r="H685" t="str">
        <f>IF($A685="","",SUMPRODUCT((((MOVIMIENTOS!$B$5:$B$1005="SALDO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685)*MOVIMIENTOS!$J$5:$J$1005))</f>
        <v/>
      </c>
      <c r="J685" t="str">
        <f>IF(AND(MOVIMIENTOS!$A690&lt;&gt;"",COUNTIF(MOVIMIENTOS!$A$5:$A689,MOVIMIENTOS!$A690)=0),COUNT(J$4:J684)+1,"")</f>
        <v/>
      </c>
      <c r="K685">
        <f>MOVIMIENTOS!$A690</f>
        <v>0</v>
      </c>
    </row>
    <row r="686" spans="1:11" ht="15" customHeight="1" x14ac:dyDescent="0.2">
      <c r="A686" t="str">
        <f t="shared" si="20"/>
        <v/>
      </c>
      <c r="B686" t="str">
        <f>IF($A686="","",SUMPRODUCT((MOVIMIENTOS!$B$5:$B$1005="SALDO INICIAL")*(MOVIMIENTOS!$C$5:$C$1005="A")*(MOVIMIENTOS!$D$5:$D$1005="jabas")*(MOVIMIENTOS!$A$5:$A$1005&lt;&gt;"")*(MOVIMIENTOS!$A$5:$A$1005&lt;=$A686)*MOVIMIENTOS!$E$5:$E$1005)+SUMPRODUCT((MOVIMIENTOS!$B$5:$B$1005="PROCESO")*(MOVIMIENTOS!$C$5:$C$1005="A")*(MOVIMIENTOS!$D$5:$D$1005="jabas")*(MOVIMIENTOS!$A$5:$A$1005&lt;&gt;"")*(MOVIMIENTOS!$A$5:$A$1005&lt;=$A686)*MOVIMIENTOS!$E$5:$E$1005)-SUMPRODUCT((MOVIMIENTOS!$B$5:$B$1005="ENVÍO A SUPESA")*(MOVIMIENTOS!$C$5:$C$1005="A")*(MOVIMIENTOS!$D$5:$D$1005="jabas")*(MOVIMIENTOS!$A$5:$A$1005&lt;&gt;"")*(MOVIMIENTOS!$A$5:$A$1005&lt;=$A686)*MOVIMIENTOS!$E$5:$E$1005)+SUMPRODUCT((MOVIMIENTOS!$B$5:$B$1005="DEVOLUCIÓN")*(MOVIMIENTOS!$C$5:$C$1005="A")*(MOVIMIENTOS!$D$5:$D$1005="jabas")*(MOVIMIENTOS!$A$5:$A$1005&lt;&gt;"")*(MOVIMIENTOS!$A$5:$A$1005&lt;=$A686)*MOVIMIENTOS!$E$5:$E$1005)-SUMPRODUCT((MOVIMIENTOS!$B$5:$B$1005="TRASIEGO")*(MOVIMIENTOS!$C$5:$C$1005="A")*(MOVIMIENTOS!$D$5:$D$1005="jabas")*(MOVIMIENTOS!$A$5:$A$1005&lt;&gt;"")*(MOVIMIENTOS!$A$5:$A$1005&lt;=$A686)*MOVIMIENTOS!$E$5:$E$1005)-SUMPRODUCT((MOVIMIENTOS!$B$5:$B$1005="REGALO")*(MOVIMIENTOS!$C$5:$C$1005="A")*(MOVIMIENTOS!$D$5:$D$1005="jabas")*(MOVIMIENTOS!$A$5:$A$1005&lt;&gt;"")*(MOVIMIENTOS!$A$5:$A$1005&lt;=$A686)*MOVIMIENTOS!$E$5:$E$1005)-SUMPRODUCT((MOVIMIENTOS!$B$5:$B$1005="VENTA")*(MOVIMIENTOS!$C$5:$C$1005="A")*(MOVIMIENTOS!$D$5:$D$1005="jabas")*(MOVIMIENTOS!$A$5:$A$1005&lt;&gt;"")*(MOVIMIENTOS!$A$5:$A$1005&lt;=$A686)*MOVIMIENTOS!$E$5:$E$1005)+SUMPRODUCT((MOVIMIENTOS!$B$5:$B$1005="AJUSTE")*(MOVIMIENTOS!$C$5:$C$1005="A")*(MOVIMIENTOS!$D$5:$D$1005="jabas")*(MOVIMIENTOS!$A$5:$A$1005&lt;&gt;"")*(MOVIMIENTOS!$A$5:$A$1005&lt;=$A686)*MOVIMIENTOS!$E$5:$E$1005))</f>
        <v/>
      </c>
      <c r="C686" t="str">
        <f>IF($A686="","",SUMPRODUCT((MOVIMIENTOS!$B$5:$B$1005="SALDO INICIAL")*(MOVIMIENTOS!$C$5:$C$1005="P")*(MOVIMIENTOS!$D$5:$D$1005="jabas")*(MOVIMIENTOS!$A$5:$A$1005&lt;&gt;"")*(MOVIMIENTOS!$A$5:$A$1005&lt;=$A686)*MOVIMIENTOS!$E$5:$E$1005)+SUMPRODUCT((MOVIMIENTOS!$B$5:$B$1005="PROCESO")*(MOVIMIENTOS!$C$5:$C$1005="P")*(MOVIMIENTOS!$D$5:$D$1005="jabas")*(MOVIMIENTOS!$A$5:$A$1005&lt;&gt;"")*(MOVIMIENTOS!$A$5:$A$1005&lt;=$A686)*MOVIMIENTOS!$E$5:$E$1005)-SUMPRODUCT((MOVIMIENTOS!$B$5:$B$1005="ENVÍO A SUPESA")*(MOVIMIENTOS!$C$5:$C$1005="P")*(MOVIMIENTOS!$D$5:$D$1005="jabas")*(MOVIMIENTOS!$A$5:$A$1005&lt;&gt;"")*(MOVIMIENTOS!$A$5:$A$1005&lt;=$A686)*MOVIMIENTOS!$E$5:$E$1005)+SUMPRODUCT((MOVIMIENTOS!$B$5:$B$1005="DEVOLUCIÓN")*(MOVIMIENTOS!$C$5:$C$1005="P")*(MOVIMIENTOS!$D$5:$D$1005="jabas")*(MOVIMIENTOS!$A$5:$A$1005&lt;&gt;"")*(MOVIMIENTOS!$A$5:$A$1005&lt;=$A686)*MOVIMIENTOS!$E$5:$E$1005)-SUMPRODUCT((MOVIMIENTOS!$B$5:$B$1005="TRASIEGO")*(MOVIMIENTOS!$C$5:$C$1005="P")*(MOVIMIENTOS!$D$5:$D$1005="jabas")*(MOVIMIENTOS!$A$5:$A$1005&lt;&gt;"")*(MOVIMIENTOS!$A$5:$A$1005&lt;=$A686)*MOVIMIENTOS!$E$5:$E$1005)-SUMPRODUCT((MOVIMIENTOS!$B$5:$B$1005="REGALO")*(MOVIMIENTOS!$C$5:$C$1005="P")*(MOVIMIENTOS!$D$5:$D$1005="jabas")*(MOVIMIENTOS!$A$5:$A$1005&lt;&gt;"")*(MOVIMIENTOS!$A$5:$A$1005&lt;=$A686)*MOVIMIENTOS!$E$5:$E$1005)-SUMPRODUCT((MOVIMIENTOS!$B$5:$B$1005="VENTA")*(MOVIMIENTOS!$C$5:$C$1005="P")*(MOVIMIENTOS!$D$5:$D$1005="jabas")*(MOVIMIENTOS!$A$5:$A$1005&lt;&gt;"")*(MOVIMIENTOS!$A$5:$A$1005&lt;=$A686)*MOVIMIENTOS!$E$5:$E$1005)+SUMPRODUCT((MOVIMIENTOS!$B$5:$B$1005="AJUSTE")*(MOVIMIENTOS!$C$5:$C$1005="P")*(MOVIMIENTOS!$D$5:$D$1005="jabas")*(MOVIMIENTOS!$A$5:$A$1005&lt;&gt;"")*(MOVIMIENTOS!$A$5:$A$1005&lt;=$A686)*MOVIMIENTOS!$E$5:$E$1005))</f>
        <v/>
      </c>
      <c r="D686" t="str">
        <f>IF($A686="","",SUMPRODUCT((MOVIMIENTOS!$B$5:$B$1005="SALDO INICIAL")*(MOVIMIENTOS!$C$5:$C$1005="C")*(MOVIMIENTOS!$D$5:$D$1005="jabas")*(MOVIMIENTOS!$A$5:$A$1005&lt;&gt;"")*(MOVIMIENTOS!$A$5:$A$1005&lt;=$A686)*MOVIMIENTOS!$E$5:$E$1005)+SUMPRODUCT((MOVIMIENTOS!$B$5:$B$1005="PROCESO")*(MOVIMIENTOS!$C$5:$C$1005="C")*(MOVIMIENTOS!$D$5:$D$1005="jabas")*(MOVIMIENTOS!$A$5:$A$1005&lt;&gt;"")*(MOVIMIENTOS!$A$5:$A$1005&lt;=$A686)*MOVIMIENTOS!$E$5:$E$1005)-SUMPRODUCT((MOVIMIENTOS!$B$5:$B$1005="ENVÍO A SUPESA")*(MOVIMIENTOS!$C$5:$C$1005="C")*(MOVIMIENTOS!$D$5:$D$1005="jabas")*(MOVIMIENTOS!$A$5:$A$1005&lt;&gt;"")*(MOVIMIENTOS!$A$5:$A$1005&lt;=$A686)*MOVIMIENTOS!$E$5:$E$1005)+SUMPRODUCT((MOVIMIENTOS!$B$5:$B$1005="DEVOLUCIÓN")*(MOVIMIENTOS!$C$5:$C$1005="C")*(MOVIMIENTOS!$D$5:$D$1005="jabas")*(MOVIMIENTOS!$A$5:$A$1005&lt;&gt;"")*(MOVIMIENTOS!$A$5:$A$1005&lt;=$A686)*MOVIMIENTOS!$E$5:$E$1005)-SUMPRODUCT((MOVIMIENTOS!$B$5:$B$1005="TRASIEGO")*(MOVIMIENTOS!$C$5:$C$1005="C")*(MOVIMIENTOS!$D$5:$D$1005="jabas")*(MOVIMIENTOS!$A$5:$A$1005&lt;&gt;"")*(MOVIMIENTOS!$A$5:$A$1005&lt;=$A686)*MOVIMIENTOS!$E$5:$E$1005)-SUMPRODUCT((MOVIMIENTOS!$B$5:$B$1005="REGALO")*(MOVIMIENTOS!$C$5:$C$1005="C")*(MOVIMIENTOS!$D$5:$D$1005="jabas")*(MOVIMIENTOS!$A$5:$A$1005&lt;&gt;"")*(MOVIMIENTOS!$A$5:$A$1005&lt;=$A686)*MOVIMIENTOS!$E$5:$E$1005)-SUMPRODUCT((MOVIMIENTOS!$B$5:$B$1005="VENTA")*(MOVIMIENTOS!$C$5:$C$1005="C")*(MOVIMIENTOS!$D$5:$D$1005="jabas")*(MOVIMIENTOS!$A$5:$A$1005&lt;&gt;"")*(MOVIMIENTOS!$A$5:$A$1005&lt;=$A686)*MOVIMIENTOS!$E$5:$E$1005)+SUMPRODUCT((MOVIMIENTOS!$B$5:$B$1005="AJUSTE")*(MOVIMIENTOS!$C$5:$C$1005="C")*(MOVIMIENTOS!$D$5:$D$1005="jabas")*(MOVIMIENTOS!$A$5:$A$1005&lt;&gt;"")*(MOVIMIENTOS!$A$5:$A$1005&lt;=$A686)*MOVIMIENTOS!$E$5:$E$1005))</f>
        <v/>
      </c>
      <c r="E686" t="str">
        <f>IF($A686="","",SUMPRODUCT((MOVIMIENTOS!$B$5:$B$1005="SALDO INICIAL")*(MOVIMIENTOS!$C$5:$C$1005="M")*(MOVIMIENTOS!$D$5:$D$1005="jabas")*(MOVIMIENTOS!$A$5:$A$1005&lt;&gt;"")*(MOVIMIENTOS!$A$5:$A$1005&lt;=$A686)*MOVIMIENTOS!$E$5:$E$1005)+SUMPRODUCT((MOVIMIENTOS!$B$5:$B$1005="PROCESO")*(MOVIMIENTOS!$C$5:$C$1005="M")*(MOVIMIENTOS!$D$5:$D$1005="jabas")*(MOVIMIENTOS!$A$5:$A$1005&lt;&gt;"")*(MOVIMIENTOS!$A$5:$A$1005&lt;=$A686)*MOVIMIENTOS!$E$5:$E$1005)-SUMPRODUCT((MOVIMIENTOS!$B$5:$B$1005="ENVÍO A SUPESA")*(MOVIMIENTOS!$C$5:$C$1005="M")*(MOVIMIENTOS!$D$5:$D$1005="jabas")*(MOVIMIENTOS!$A$5:$A$1005&lt;&gt;"")*(MOVIMIENTOS!$A$5:$A$1005&lt;=$A686)*MOVIMIENTOS!$E$5:$E$1005)+SUMPRODUCT((MOVIMIENTOS!$B$5:$B$1005="DEVOLUCIÓN")*(MOVIMIENTOS!$C$5:$C$1005="M")*(MOVIMIENTOS!$D$5:$D$1005="jabas")*(MOVIMIENTOS!$A$5:$A$1005&lt;&gt;"")*(MOVIMIENTOS!$A$5:$A$1005&lt;=$A686)*MOVIMIENTOS!$E$5:$E$1005)-SUMPRODUCT((MOVIMIENTOS!$B$5:$B$1005="TRASIEGO")*(MOVIMIENTOS!$C$5:$C$1005="M")*(MOVIMIENTOS!$D$5:$D$1005="jabas")*(MOVIMIENTOS!$A$5:$A$1005&lt;&gt;"")*(MOVIMIENTOS!$A$5:$A$1005&lt;=$A686)*MOVIMIENTOS!$E$5:$E$1005)-SUMPRODUCT((MOVIMIENTOS!$B$5:$B$1005="REGALO")*(MOVIMIENTOS!$C$5:$C$1005="M")*(MOVIMIENTOS!$D$5:$D$1005="jabas")*(MOVIMIENTOS!$A$5:$A$1005&lt;&gt;"")*(MOVIMIENTOS!$A$5:$A$1005&lt;=$A686)*MOVIMIENTOS!$E$5:$E$1005)-SUMPRODUCT((MOVIMIENTOS!$B$5:$B$1005="VENTA")*(MOVIMIENTOS!$C$5:$C$1005="M")*(MOVIMIENTOS!$D$5:$D$1005="jabas")*(MOVIMIENTOS!$A$5:$A$1005&lt;&gt;"")*(MOVIMIENTOS!$A$5:$A$1005&lt;=$A686)*MOVIMIENTOS!$E$5:$E$1005)+SUMPRODUCT((MOVIMIENTOS!$B$5:$B$1005="AJUSTE")*(MOVIMIENTOS!$C$5:$C$1005="M")*(MOVIMIENTOS!$D$5:$D$1005="jabas")*(MOVIMIENTOS!$A$5:$A$1005&lt;&gt;"")*(MOVIMIENTOS!$A$5:$A$1005&lt;=$A686)*MOVIMIENTOS!$E$5:$E$1005))</f>
        <v/>
      </c>
      <c r="F686" s="62" t="str">
        <f>IF($A686="","",SUMPRODUCT((MOVIMIENTOS!$B$5:$B$1005="SALDO INICIAL")*(MOVIMIENTOS!$C$5:$C$1005="Chancho")*(MOVIMIENTOS!$D$5:$D$1005="sacos")*(MOVIMIENTOS!$A$5:$A$1005&lt;&gt;"")*(MOVIMIENTOS!$A$5:$A$1005&lt;=$A686)*MOVIMIENTOS!$E$5:$E$1005)+SUMPRODUCT((MOVIMIENTOS!$B$5:$B$1005="PROCESO")*(MOVIMIENTOS!$C$5:$C$1005="Chancho")*(MOVIMIENTOS!$D$5:$D$1005="sacos")*(MOVIMIENTOS!$A$5:$A$1005&lt;&gt;"")*(MOVIMIENTOS!$A$5:$A$1005&lt;=$A686)*MOVIMIENTOS!$E$5:$E$1005)-SUMPRODUCT((MOVIMIENTOS!$B$5:$B$1005="VENTA CHANCHO")*(MOVIMIENTOS!$C$5:$C$1005="Chancho")*(MOVIMIENTOS!$D$5:$D$1005="sacos")*(MOVIMIENTOS!$A$5:$A$1005&lt;&gt;"")*(MOVIMIENTOS!$A$5:$A$1005&lt;=$A686)*MOVIMIENTOS!$E$5:$E$1005)-SUMPRODUCT((MOVIMIENTOS!$B$5:$B$1005="REGALO")*(MOVIMIENTOS!$C$5:$C$1005="Chancho")*(MOVIMIENTOS!$D$5:$D$1005="sacos")*(MOVIMIENTOS!$A$5:$A$1005&lt;&gt;"")*(MOVIMIENTOS!$A$5:$A$1005&lt;=$A686)*MOVIMIENTOS!$E$5:$E$1005)-SUMPRODUCT((MOVIMIENTOS!$B$5:$B$1005="VENTA")*(MOVIMIENTOS!$C$5:$C$1005="Chancho")*(MOVIMIENTOS!$D$5:$D$1005="sacos")*(MOVIMIENTOS!$A$5:$A$1005&lt;&gt;"")*(MOVIMIENTOS!$A$5:$A$1005&lt;=$A686)*MOVIMIENTOS!$E$5:$E$1005)+SUMPRODUCT((MOVIMIENTOS!$B$5:$B$1005="AJUSTE")*(MOVIMIENTOS!$C$5:$C$1005="Chancho")*(MOVIMIENTOS!$D$5:$D$1005="sacos")*(MOVIMIENTOS!$A$5:$A$1005&lt;&gt;"")*(MOVIMIENTOS!$A$5:$A$1005&lt;=$A686)*MOVIMIENTOS!$E$5:$E$1005))</f>
        <v/>
      </c>
      <c r="G686" s="62" t="str">
        <f t="shared" si="21"/>
        <v/>
      </c>
      <c r="H686" t="str">
        <f>IF($A686="","",SUMPRODUCT((((MOVIMIENTOS!$B$5:$B$1005="SALDO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686)*MOVIMIENTOS!$J$5:$J$1005))</f>
        <v/>
      </c>
      <c r="J686" t="str">
        <f>IF(AND(MOVIMIENTOS!$A691&lt;&gt;"",COUNTIF(MOVIMIENTOS!$A$5:$A690,MOVIMIENTOS!$A691)=0),COUNT(J$4:J685)+1,"")</f>
        <v/>
      </c>
      <c r="K686">
        <f>MOVIMIENTOS!$A691</f>
        <v>0</v>
      </c>
    </row>
    <row r="687" spans="1:11" ht="15" customHeight="1" x14ac:dyDescent="0.2">
      <c r="A687" t="str">
        <f t="shared" si="20"/>
        <v/>
      </c>
      <c r="B687" t="str">
        <f>IF($A687="","",SUMPRODUCT((MOVIMIENTOS!$B$5:$B$1005="SALDO INICIAL")*(MOVIMIENTOS!$C$5:$C$1005="A")*(MOVIMIENTOS!$D$5:$D$1005="jabas")*(MOVIMIENTOS!$A$5:$A$1005&lt;&gt;"")*(MOVIMIENTOS!$A$5:$A$1005&lt;=$A687)*MOVIMIENTOS!$E$5:$E$1005)+SUMPRODUCT((MOVIMIENTOS!$B$5:$B$1005="PROCESO")*(MOVIMIENTOS!$C$5:$C$1005="A")*(MOVIMIENTOS!$D$5:$D$1005="jabas")*(MOVIMIENTOS!$A$5:$A$1005&lt;&gt;"")*(MOVIMIENTOS!$A$5:$A$1005&lt;=$A687)*MOVIMIENTOS!$E$5:$E$1005)-SUMPRODUCT((MOVIMIENTOS!$B$5:$B$1005="ENVÍO A SUPESA")*(MOVIMIENTOS!$C$5:$C$1005="A")*(MOVIMIENTOS!$D$5:$D$1005="jabas")*(MOVIMIENTOS!$A$5:$A$1005&lt;&gt;"")*(MOVIMIENTOS!$A$5:$A$1005&lt;=$A687)*MOVIMIENTOS!$E$5:$E$1005)+SUMPRODUCT((MOVIMIENTOS!$B$5:$B$1005="DEVOLUCIÓN")*(MOVIMIENTOS!$C$5:$C$1005="A")*(MOVIMIENTOS!$D$5:$D$1005="jabas")*(MOVIMIENTOS!$A$5:$A$1005&lt;&gt;"")*(MOVIMIENTOS!$A$5:$A$1005&lt;=$A687)*MOVIMIENTOS!$E$5:$E$1005)-SUMPRODUCT((MOVIMIENTOS!$B$5:$B$1005="TRASIEGO")*(MOVIMIENTOS!$C$5:$C$1005="A")*(MOVIMIENTOS!$D$5:$D$1005="jabas")*(MOVIMIENTOS!$A$5:$A$1005&lt;&gt;"")*(MOVIMIENTOS!$A$5:$A$1005&lt;=$A687)*MOVIMIENTOS!$E$5:$E$1005)-SUMPRODUCT((MOVIMIENTOS!$B$5:$B$1005="REGALO")*(MOVIMIENTOS!$C$5:$C$1005="A")*(MOVIMIENTOS!$D$5:$D$1005="jabas")*(MOVIMIENTOS!$A$5:$A$1005&lt;&gt;"")*(MOVIMIENTOS!$A$5:$A$1005&lt;=$A687)*MOVIMIENTOS!$E$5:$E$1005)-SUMPRODUCT((MOVIMIENTOS!$B$5:$B$1005="VENTA")*(MOVIMIENTOS!$C$5:$C$1005="A")*(MOVIMIENTOS!$D$5:$D$1005="jabas")*(MOVIMIENTOS!$A$5:$A$1005&lt;&gt;"")*(MOVIMIENTOS!$A$5:$A$1005&lt;=$A687)*MOVIMIENTOS!$E$5:$E$1005)+SUMPRODUCT((MOVIMIENTOS!$B$5:$B$1005="AJUSTE")*(MOVIMIENTOS!$C$5:$C$1005="A")*(MOVIMIENTOS!$D$5:$D$1005="jabas")*(MOVIMIENTOS!$A$5:$A$1005&lt;&gt;"")*(MOVIMIENTOS!$A$5:$A$1005&lt;=$A687)*MOVIMIENTOS!$E$5:$E$1005))</f>
        <v/>
      </c>
      <c r="C687" t="str">
        <f>IF($A687="","",SUMPRODUCT((MOVIMIENTOS!$B$5:$B$1005="SALDO INICIAL")*(MOVIMIENTOS!$C$5:$C$1005="P")*(MOVIMIENTOS!$D$5:$D$1005="jabas")*(MOVIMIENTOS!$A$5:$A$1005&lt;&gt;"")*(MOVIMIENTOS!$A$5:$A$1005&lt;=$A687)*MOVIMIENTOS!$E$5:$E$1005)+SUMPRODUCT((MOVIMIENTOS!$B$5:$B$1005="PROCESO")*(MOVIMIENTOS!$C$5:$C$1005="P")*(MOVIMIENTOS!$D$5:$D$1005="jabas")*(MOVIMIENTOS!$A$5:$A$1005&lt;&gt;"")*(MOVIMIENTOS!$A$5:$A$1005&lt;=$A687)*MOVIMIENTOS!$E$5:$E$1005)-SUMPRODUCT((MOVIMIENTOS!$B$5:$B$1005="ENVÍO A SUPESA")*(MOVIMIENTOS!$C$5:$C$1005="P")*(MOVIMIENTOS!$D$5:$D$1005="jabas")*(MOVIMIENTOS!$A$5:$A$1005&lt;&gt;"")*(MOVIMIENTOS!$A$5:$A$1005&lt;=$A687)*MOVIMIENTOS!$E$5:$E$1005)+SUMPRODUCT((MOVIMIENTOS!$B$5:$B$1005="DEVOLUCIÓN")*(MOVIMIENTOS!$C$5:$C$1005="P")*(MOVIMIENTOS!$D$5:$D$1005="jabas")*(MOVIMIENTOS!$A$5:$A$1005&lt;&gt;"")*(MOVIMIENTOS!$A$5:$A$1005&lt;=$A687)*MOVIMIENTOS!$E$5:$E$1005)-SUMPRODUCT((MOVIMIENTOS!$B$5:$B$1005="TRASIEGO")*(MOVIMIENTOS!$C$5:$C$1005="P")*(MOVIMIENTOS!$D$5:$D$1005="jabas")*(MOVIMIENTOS!$A$5:$A$1005&lt;&gt;"")*(MOVIMIENTOS!$A$5:$A$1005&lt;=$A687)*MOVIMIENTOS!$E$5:$E$1005)-SUMPRODUCT((MOVIMIENTOS!$B$5:$B$1005="REGALO")*(MOVIMIENTOS!$C$5:$C$1005="P")*(MOVIMIENTOS!$D$5:$D$1005="jabas")*(MOVIMIENTOS!$A$5:$A$1005&lt;&gt;"")*(MOVIMIENTOS!$A$5:$A$1005&lt;=$A687)*MOVIMIENTOS!$E$5:$E$1005)-SUMPRODUCT((MOVIMIENTOS!$B$5:$B$1005="VENTA")*(MOVIMIENTOS!$C$5:$C$1005="P")*(MOVIMIENTOS!$D$5:$D$1005="jabas")*(MOVIMIENTOS!$A$5:$A$1005&lt;&gt;"")*(MOVIMIENTOS!$A$5:$A$1005&lt;=$A687)*MOVIMIENTOS!$E$5:$E$1005)+SUMPRODUCT((MOVIMIENTOS!$B$5:$B$1005="AJUSTE")*(MOVIMIENTOS!$C$5:$C$1005="P")*(MOVIMIENTOS!$D$5:$D$1005="jabas")*(MOVIMIENTOS!$A$5:$A$1005&lt;&gt;"")*(MOVIMIENTOS!$A$5:$A$1005&lt;=$A687)*MOVIMIENTOS!$E$5:$E$1005))</f>
        <v/>
      </c>
      <c r="D687" t="str">
        <f>IF($A687="","",SUMPRODUCT((MOVIMIENTOS!$B$5:$B$1005="SALDO INICIAL")*(MOVIMIENTOS!$C$5:$C$1005="C")*(MOVIMIENTOS!$D$5:$D$1005="jabas")*(MOVIMIENTOS!$A$5:$A$1005&lt;&gt;"")*(MOVIMIENTOS!$A$5:$A$1005&lt;=$A687)*MOVIMIENTOS!$E$5:$E$1005)+SUMPRODUCT((MOVIMIENTOS!$B$5:$B$1005="PROCESO")*(MOVIMIENTOS!$C$5:$C$1005="C")*(MOVIMIENTOS!$D$5:$D$1005="jabas")*(MOVIMIENTOS!$A$5:$A$1005&lt;&gt;"")*(MOVIMIENTOS!$A$5:$A$1005&lt;=$A687)*MOVIMIENTOS!$E$5:$E$1005)-SUMPRODUCT((MOVIMIENTOS!$B$5:$B$1005="ENVÍO A SUPESA")*(MOVIMIENTOS!$C$5:$C$1005="C")*(MOVIMIENTOS!$D$5:$D$1005="jabas")*(MOVIMIENTOS!$A$5:$A$1005&lt;&gt;"")*(MOVIMIENTOS!$A$5:$A$1005&lt;=$A687)*MOVIMIENTOS!$E$5:$E$1005)+SUMPRODUCT((MOVIMIENTOS!$B$5:$B$1005="DEVOLUCIÓN")*(MOVIMIENTOS!$C$5:$C$1005="C")*(MOVIMIENTOS!$D$5:$D$1005="jabas")*(MOVIMIENTOS!$A$5:$A$1005&lt;&gt;"")*(MOVIMIENTOS!$A$5:$A$1005&lt;=$A687)*MOVIMIENTOS!$E$5:$E$1005)-SUMPRODUCT((MOVIMIENTOS!$B$5:$B$1005="TRASIEGO")*(MOVIMIENTOS!$C$5:$C$1005="C")*(MOVIMIENTOS!$D$5:$D$1005="jabas")*(MOVIMIENTOS!$A$5:$A$1005&lt;&gt;"")*(MOVIMIENTOS!$A$5:$A$1005&lt;=$A687)*MOVIMIENTOS!$E$5:$E$1005)-SUMPRODUCT((MOVIMIENTOS!$B$5:$B$1005="REGALO")*(MOVIMIENTOS!$C$5:$C$1005="C")*(MOVIMIENTOS!$D$5:$D$1005="jabas")*(MOVIMIENTOS!$A$5:$A$1005&lt;&gt;"")*(MOVIMIENTOS!$A$5:$A$1005&lt;=$A687)*MOVIMIENTOS!$E$5:$E$1005)-SUMPRODUCT((MOVIMIENTOS!$B$5:$B$1005="VENTA")*(MOVIMIENTOS!$C$5:$C$1005="C")*(MOVIMIENTOS!$D$5:$D$1005="jabas")*(MOVIMIENTOS!$A$5:$A$1005&lt;&gt;"")*(MOVIMIENTOS!$A$5:$A$1005&lt;=$A687)*MOVIMIENTOS!$E$5:$E$1005)+SUMPRODUCT((MOVIMIENTOS!$B$5:$B$1005="AJUSTE")*(MOVIMIENTOS!$C$5:$C$1005="C")*(MOVIMIENTOS!$D$5:$D$1005="jabas")*(MOVIMIENTOS!$A$5:$A$1005&lt;&gt;"")*(MOVIMIENTOS!$A$5:$A$1005&lt;=$A687)*MOVIMIENTOS!$E$5:$E$1005))</f>
        <v/>
      </c>
      <c r="E687" t="str">
        <f>IF($A687="","",SUMPRODUCT((MOVIMIENTOS!$B$5:$B$1005="SALDO INICIAL")*(MOVIMIENTOS!$C$5:$C$1005="M")*(MOVIMIENTOS!$D$5:$D$1005="jabas")*(MOVIMIENTOS!$A$5:$A$1005&lt;&gt;"")*(MOVIMIENTOS!$A$5:$A$1005&lt;=$A687)*MOVIMIENTOS!$E$5:$E$1005)+SUMPRODUCT((MOVIMIENTOS!$B$5:$B$1005="PROCESO")*(MOVIMIENTOS!$C$5:$C$1005="M")*(MOVIMIENTOS!$D$5:$D$1005="jabas")*(MOVIMIENTOS!$A$5:$A$1005&lt;&gt;"")*(MOVIMIENTOS!$A$5:$A$1005&lt;=$A687)*MOVIMIENTOS!$E$5:$E$1005)-SUMPRODUCT((MOVIMIENTOS!$B$5:$B$1005="ENVÍO A SUPESA")*(MOVIMIENTOS!$C$5:$C$1005="M")*(MOVIMIENTOS!$D$5:$D$1005="jabas")*(MOVIMIENTOS!$A$5:$A$1005&lt;&gt;"")*(MOVIMIENTOS!$A$5:$A$1005&lt;=$A687)*MOVIMIENTOS!$E$5:$E$1005)+SUMPRODUCT((MOVIMIENTOS!$B$5:$B$1005="DEVOLUCIÓN")*(MOVIMIENTOS!$C$5:$C$1005="M")*(MOVIMIENTOS!$D$5:$D$1005="jabas")*(MOVIMIENTOS!$A$5:$A$1005&lt;&gt;"")*(MOVIMIENTOS!$A$5:$A$1005&lt;=$A687)*MOVIMIENTOS!$E$5:$E$1005)-SUMPRODUCT((MOVIMIENTOS!$B$5:$B$1005="TRASIEGO")*(MOVIMIENTOS!$C$5:$C$1005="M")*(MOVIMIENTOS!$D$5:$D$1005="jabas")*(MOVIMIENTOS!$A$5:$A$1005&lt;&gt;"")*(MOVIMIENTOS!$A$5:$A$1005&lt;=$A687)*MOVIMIENTOS!$E$5:$E$1005)-SUMPRODUCT((MOVIMIENTOS!$B$5:$B$1005="REGALO")*(MOVIMIENTOS!$C$5:$C$1005="M")*(MOVIMIENTOS!$D$5:$D$1005="jabas")*(MOVIMIENTOS!$A$5:$A$1005&lt;&gt;"")*(MOVIMIENTOS!$A$5:$A$1005&lt;=$A687)*MOVIMIENTOS!$E$5:$E$1005)-SUMPRODUCT((MOVIMIENTOS!$B$5:$B$1005="VENTA")*(MOVIMIENTOS!$C$5:$C$1005="M")*(MOVIMIENTOS!$D$5:$D$1005="jabas")*(MOVIMIENTOS!$A$5:$A$1005&lt;&gt;"")*(MOVIMIENTOS!$A$5:$A$1005&lt;=$A687)*MOVIMIENTOS!$E$5:$E$1005)+SUMPRODUCT((MOVIMIENTOS!$B$5:$B$1005="AJUSTE")*(MOVIMIENTOS!$C$5:$C$1005="M")*(MOVIMIENTOS!$D$5:$D$1005="jabas")*(MOVIMIENTOS!$A$5:$A$1005&lt;&gt;"")*(MOVIMIENTOS!$A$5:$A$1005&lt;=$A687)*MOVIMIENTOS!$E$5:$E$1005))</f>
        <v/>
      </c>
      <c r="F687" s="62" t="str">
        <f>IF($A687="","",SUMPRODUCT((MOVIMIENTOS!$B$5:$B$1005="SALDO INICIAL")*(MOVIMIENTOS!$C$5:$C$1005="Chancho")*(MOVIMIENTOS!$D$5:$D$1005="sacos")*(MOVIMIENTOS!$A$5:$A$1005&lt;&gt;"")*(MOVIMIENTOS!$A$5:$A$1005&lt;=$A687)*MOVIMIENTOS!$E$5:$E$1005)+SUMPRODUCT((MOVIMIENTOS!$B$5:$B$1005="PROCESO")*(MOVIMIENTOS!$C$5:$C$1005="Chancho")*(MOVIMIENTOS!$D$5:$D$1005="sacos")*(MOVIMIENTOS!$A$5:$A$1005&lt;&gt;"")*(MOVIMIENTOS!$A$5:$A$1005&lt;=$A687)*MOVIMIENTOS!$E$5:$E$1005)-SUMPRODUCT((MOVIMIENTOS!$B$5:$B$1005="VENTA CHANCHO")*(MOVIMIENTOS!$C$5:$C$1005="Chancho")*(MOVIMIENTOS!$D$5:$D$1005="sacos")*(MOVIMIENTOS!$A$5:$A$1005&lt;&gt;"")*(MOVIMIENTOS!$A$5:$A$1005&lt;=$A687)*MOVIMIENTOS!$E$5:$E$1005)-SUMPRODUCT((MOVIMIENTOS!$B$5:$B$1005="REGALO")*(MOVIMIENTOS!$C$5:$C$1005="Chancho")*(MOVIMIENTOS!$D$5:$D$1005="sacos")*(MOVIMIENTOS!$A$5:$A$1005&lt;&gt;"")*(MOVIMIENTOS!$A$5:$A$1005&lt;=$A687)*MOVIMIENTOS!$E$5:$E$1005)-SUMPRODUCT((MOVIMIENTOS!$B$5:$B$1005="VENTA")*(MOVIMIENTOS!$C$5:$C$1005="Chancho")*(MOVIMIENTOS!$D$5:$D$1005="sacos")*(MOVIMIENTOS!$A$5:$A$1005&lt;&gt;"")*(MOVIMIENTOS!$A$5:$A$1005&lt;=$A687)*MOVIMIENTOS!$E$5:$E$1005)+SUMPRODUCT((MOVIMIENTOS!$B$5:$B$1005="AJUSTE")*(MOVIMIENTOS!$C$5:$C$1005="Chancho")*(MOVIMIENTOS!$D$5:$D$1005="sacos")*(MOVIMIENTOS!$A$5:$A$1005&lt;&gt;"")*(MOVIMIENTOS!$A$5:$A$1005&lt;=$A687)*MOVIMIENTOS!$E$5:$E$1005))</f>
        <v/>
      </c>
      <c r="G687" s="62" t="str">
        <f t="shared" si="21"/>
        <v/>
      </c>
      <c r="H687" t="str">
        <f>IF($A687="","",SUMPRODUCT((((MOVIMIENTOS!$B$5:$B$1005="SALDO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687)*MOVIMIENTOS!$J$5:$J$1005))</f>
        <v/>
      </c>
      <c r="J687" t="str">
        <f>IF(AND(MOVIMIENTOS!$A692&lt;&gt;"",COUNTIF(MOVIMIENTOS!$A$5:$A691,MOVIMIENTOS!$A692)=0),COUNT(J$4:J686)+1,"")</f>
        <v/>
      </c>
      <c r="K687">
        <f>MOVIMIENTOS!$A692</f>
        <v>0</v>
      </c>
    </row>
    <row r="688" spans="1:11" ht="15" customHeight="1" x14ac:dyDescent="0.2">
      <c r="A688" t="str">
        <f t="shared" si="20"/>
        <v/>
      </c>
      <c r="B688" t="str">
        <f>IF($A688="","",SUMPRODUCT((MOVIMIENTOS!$B$5:$B$1005="SALDO INICIAL")*(MOVIMIENTOS!$C$5:$C$1005="A")*(MOVIMIENTOS!$D$5:$D$1005="jabas")*(MOVIMIENTOS!$A$5:$A$1005&lt;&gt;"")*(MOVIMIENTOS!$A$5:$A$1005&lt;=$A688)*MOVIMIENTOS!$E$5:$E$1005)+SUMPRODUCT((MOVIMIENTOS!$B$5:$B$1005="PROCESO")*(MOVIMIENTOS!$C$5:$C$1005="A")*(MOVIMIENTOS!$D$5:$D$1005="jabas")*(MOVIMIENTOS!$A$5:$A$1005&lt;&gt;"")*(MOVIMIENTOS!$A$5:$A$1005&lt;=$A688)*MOVIMIENTOS!$E$5:$E$1005)-SUMPRODUCT((MOVIMIENTOS!$B$5:$B$1005="ENVÍO A SUPESA")*(MOVIMIENTOS!$C$5:$C$1005="A")*(MOVIMIENTOS!$D$5:$D$1005="jabas")*(MOVIMIENTOS!$A$5:$A$1005&lt;&gt;"")*(MOVIMIENTOS!$A$5:$A$1005&lt;=$A688)*MOVIMIENTOS!$E$5:$E$1005)+SUMPRODUCT((MOVIMIENTOS!$B$5:$B$1005="DEVOLUCIÓN")*(MOVIMIENTOS!$C$5:$C$1005="A")*(MOVIMIENTOS!$D$5:$D$1005="jabas")*(MOVIMIENTOS!$A$5:$A$1005&lt;&gt;"")*(MOVIMIENTOS!$A$5:$A$1005&lt;=$A688)*MOVIMIENTOS!$E$5:$E$1005)-SUMPRODUCT((MOVIMIENTOS!$B$5:$B$1005="TRASIEGO")*(MOVIMIENTOS!$C$5:$C$1005="A")*(MOVIMIENTOS!$D$5:$D$1005="jabas")*(MOVIMIENTOS!$A$5:$A$1005&lt;&gt;"")*(MOVIMIENTOS!$A$5:$A$1005&lt;=$A688)*MOVIMIENTOS!$E$5:$E$1005)-SUMPRODUCT((MOVIMIENTOS!$B$5:$B$1005="REGALO")*(MOVIMIENTOS!$C$5:$C$1005="A")*(MOVIMIENTOS!$D$5:$D$1005="jabas")*(MOVIMIENTOS!$A$5:$A$1005&lt;&gt;"")*(MOVIMIENTOS!$A$5:$A$1005&lt;=$A688)*MOVIMIENTOS!$E$5:$E$1005)-SUMPRODUCT((MOVIMIENTOS!$B$5:$B$1005="VENTA")*(MOVIMIENTOS!$C$5:$C$1005="A")*(MOVIMIENTOS!$D$5:$D$1005="jabas")*(MOVIMIENTOS!$A$5:$A$1005&lt;&gt;"")*(MOVIMIENTOS!$A$5:$A$1005&lt;=$A688)*MOVIMIENTOS!$E$5:$E$1005)+SUMPRODUCT((MOVIMIENTOS!$B$5:$B$1005="AJUSTE")*(MOVIMIENTOS!$C$5:$C$1005="A")*(MOVIMIENTOS!$D$5:$D$1005="jabas")*(MOVIMIENTOS!$A$5:$A$1005&lt;&gt;"")*(MOVIMIENTOS!$A$5:$A$1005&lt;=$A688)*MOVIMIENTOS!$E$5:$E$1005))</f>
        <v/>
      </c>
      <c r="C688" t="str">
        <f>IF($A688="","",SUMPRODUCT((MOVIMIENTOS!$B$5:$B$1005="SALDO INICIAL")*(MOVIMIENTOS!$C$5:$C$1005="P")*(MOVIMIENTOS!$D$5:$D$1005="jabas")*(MOVIMIENTOS!$A$5:$A$1005&lt;&gt;"")*(MOVIMIENTOS!$A$5:$A$1005&lt;=$A688)*MOVIMIENTOS!$E$5:$E$1005)+SUMPRODUCT((MOVIMIENTOS!$B$5:$B$1005="PROCESO")*(MOVIMIENTOS!$C$5:$C$1005="P")*(MOVIMIENTOS!$D$5:$D$1005="jabas")*(MOVIMIENTOS!$A$5:$A$1005&lt;&gt;"")*(MOVIMIENTOS!$A$5:$A$1005&lt;=$A688)*MOVIMIENTOS!$E$5:$E$1005)-SUMPRODUCT((MOVIMIENTOS!$B$5:$B$1005="ENVÍO A SUPESA")*(MOVIMIENTOS!$C$5:$C$1005="P")*(MOVIMIENTOS!$D$5:$D$1005="jabas")*(MOVIMIENTOS!$A$5:$A$1005&lt;&gt;"")*(MOVIMIENTOS!$A$5:$A$1005&lt;=$A688)*MOVIMIENTOS!$E$5:$E$1005)+SUMPRODUCT((MOVIMIENTOS!$B$5:$B$1005="DEVOLUCIÓN")*(MOVIMIENTOS!$C$5:$C$1005="P")*(MOVIMIENTOS!$D$5:$D$1005="jabas")*(MOVIMIENTOS!$A$5:$A$1005&lt;&gt;"")*(MOVIMIENTOS!$A$5:$A$1005&lt;=$A688)*MOVIMIENTOS!$E$5:$E$1005)-SUMPRODUCT((MOVIMIENTOS!$B$5:$B$1005="TRASIEGO")*(MOVIMIENTOS!$C$5:$C$1005="P")*(MOVIMIENTOS!$D$5:$D$1005="jabas")*(MOVIMIENTOS!$A$5:$A$1005&lt;&gt;"")*(MOVIMIENTOS!$A$5:$A$1005&lt;=$A688)*MOVIMIENTOS!$E$5:$E$1005)-SUMPRODUCT((MOVIMIENTOS!$B$5:$B$1005="REGALO")*(MOVIMIENTOS!$C$5:$C$1005="P")*(MOVIMIENTOS!$D$5:$D$1005="jabas")*(MOVIMIENTOS!$A$5:$A$1005&lt;&gt;"")*(MOVIMIENTOS!$A$5:$A$1005&lt;=$A688)*MOVIMIENTOS!$E$5:$E$1005)-SUMPRODUCT((MOVIMIENTOS!$B$5:$B$1005="VENTA")*(MOVIMIENTOS!$C$5:$C$1005="P")*(MOVIMIENTOS!$D$5:$D$1005="jabas")*(MOVIMIENTOS!$A$5:$A$1005&lt;&gt;"")*(MOVIMIENTOS!$A$5:$A$1005&lt;=$A688)*MOVIMIENTOS!$E$5:$E$1005)+SUMPRODUCT((MOVIMIENTOS!$B$5:$B$1005="AJUSTE")*(MOVIMIENTOS!$C$5:$C$1005="P")*(MOVIMIENTOS!$D$5:$D$1005="jabas")*(MOVIMIENTOS!$A$5:$A$1005&lt;&gt;"")*(MOVIMIENTOS!$A$5:$A$1005&lt;=$A688)*MOVIMIENTOS!$E$5:$E$1005))</f>
        <v/>
      </c>
      <c r="D688" t="str">
        <f>IF($A688="","",SUMPRODUCT((MOVIMIENTOS!$B$5:$B$1005="SALDO INICIAL")*(MOVIMIENTOS!$C$5:$C$1005="C")*(MOVIMIENTOS!$D$5:$D$1005="jabas")*(MOVIMIENTOS!$A$5:$A$1005&lt;&gt;"")*(MOVIMIENTOS!$A$5:$A$1005&lt;=$A688)*MOVIMIENTOS!$E$5:$E$1005)+SUMPRODUCT((MOVIMIENTOS!$B$5:$B$1005="PROCESO")*(MOVIMIENTOS!$C$5:$C$1005="C")*(MOVIMIENTOS!$D$5:$D$1005="jabas")*(MOVIMIENTOS!$A$5:$A$1005&lt;&gt;"")*(MOVIMIENTOS!$A$5:$A$1005&lt;=$A688)*MOVIMIENTOS!$E$5:$E$1005)-SUMPRODUCT((MOVIMIENTOS!$B$5:$B$1005="ENVÍO A SUPESA")*(MOVIMIENTOS!$C$5:$C$1005="C")*(MOVIMIENTOS!$D$5:$D$1005="jabas")*(MOVIMIENTOS!$A$5:$A$1005&lt;&gt;"")*(MOVIMIENTOS!$A$5:$A$1005&lt;=$A688)*MOVIMIENTOS!$E$5:$E$1005)+SUMPRODUCT((MOVIMIENTOS!$B$5:$B$1005="DEVOLUCIÓN")*(MOVIMIENTOS!$C$5:$C$1005="C")*(MOVIMIENTOS!$D$5:$D$1005="jabas")*(MOVIMIENTOS!$A$5:$A$1005&lt;&gt;"")*(MOVIMIENTOS!$A$5:$A$1005&lt;=$A688)*MOVIMIENTOS!$E$5:$E$1005)-SUMPRODUCT((MOVIMIENTOS!$B$5:$B$1005="TRASIEGO")*(MOVIMIENTOS!$C$5:$C$1005="C")*(MOVIMIENTOS!$D$5:$D$1005="jabas")*(MOVIMIENTOS!$A$5:$A$1005&lt;&gt;"")*(MOVIMIENTOS!$A$5:$A$1005&lt;=$A688)*MOVIMIENTOS!$E$5:$E$1005)-SUMPRODUCT((MOVIMIENTOS!$B$5:$B$1005="REGALO")*(MOVIMIENTOS!$C$5:$C$1005="C")*(MOVIMIENTOS!$D$5:$D$1005="jabas")*(MOVIMIENTOS!$A$5:$A$1005&lt;&gt;"")*(MOVIMIENTOS!$A$5:$A$1005&lt;=$A688)*MOVIMIENTOS!$E$5:$E$1005)-SUMPRODUCT((MOVIMIENTOS!$B$5:$B$1005="VENTA")*(MOVIMIENTOS!$C$5:$C$1005="C")*(MOVIMIENTOS!$D$5:$D$1005="jabas")*(MOVIMIENTOS!$A$5:$A$1005&lt;&gt;"")*(MOVIMIENTOS!$A$5:$A$1005&lt;=$A688)*MOVIMIENTOS!$E$5:$E$1005)+SUMPRODUCT((MOVIMIENTOS!$B$5:$B$1005="AJUSTE")*(MOVIMIENTOS!$C$5:$C$1005="C")*(MOVIMIENTOS!$D$5:$D$1005="jabas")*(MOVIMIENTOS!$A$5:$A$1005&lt;&gt;"")*(MOVIMIENTOS!$A$5:$A$1005&lt;=$A688)*MOVIMIENTOS!$E$5:$E$1005))</f>
        <v/>
      </c>
      <c r="E688" t="str">
        <f>IF($A688="","",SUMPRODUCT((MOVIMIENTOS!$B$5:$B$1005="SALDO INICIAL")*(MOVIMIENTOS!$C$5:$C$1005="M")*(MOVIMIENTOS!$D$5:$D$1005="jabas")*(MOVIMIENTOS!$A$5:$A$1005&lt;&gt;"")*(MOVIMIENTOS!$A$5:$A$1005&lt;=$A688)*MOVIMIENTOS!$E$5:$E$1005)+SUMPRODUCT((MOVIMIENTOS!$B$5:$B$1005="PROCESO")*(MOVIMIENTOS!$C$5:$C$1005="M")*(MOVIMIENTOS!$D$5:$D$1005="jabas")*(MOVIMIENTOS!$A$5:$A$1005&lt;&gt;"")*(MOVIMIENTOS!$A$5:$A$1005&lt;=$A688)*MOVIMIENTOS!$E$5:$E$1005)-SUMPRODUCT((MOVIMIENTOS!$B$5:$B$1005="ENVÍO A SUPESA")*(MOVIMIENTOS!$C$5:$C$1005="M")*(MOVIMIENTOS!$D$5:$D$1005="jabas")*(MOVIMIENTOS!$A$5:$A$1005&lt;&gt;"")*(MOVIMIENTOS!$A$5:$A$1005&lt;=$A688)*MOVIMIENTOS!$E$5:$E$1005)+SUMPRODUCT((MOVIMIENTOS!$B$5:$B$1005="DEVOLUCIÓN")*(MOVIMIENTOS!$C$5:$C$1005="M")*(MOVIMIENTOS!$D$5:$D$1005="jabas")*(MOVIMIENTOS!$A$5:$A$1005&lt;&gt;"")*(MOVIMIENTOS!$A$5:$A$1005&lt;=$A688)*MOVIMIENTOS!$E$5:$E$1005)-SUMPRODUCT((MOVIMIENTOS!$B$5:$B$1005="TRASIEGO")*(MOVIMIENTOS!$C$5:$C$1005="M")*(MOVIMIENTOS!$D$5:$D$1005="jabas")*(MOVIMIENTOS!$A$5:$A$1005&lt;&gt;"")*(MOVIMIENTOS!$A$5:$A$1005&lt;=$A688)*MOVIMIENTOS!$E$5:$E$1005)-SUMPRODUCT((MOVIMIENTOS!$B$5:$B$1005="REGALO")*(MOVIMIENTOS!$C$5:$C$1005="M")*(MOVIMIENTOS!$D$5:$D$1005="jabas")*(MOVIMIENTOS!$A$5:$A$1005&lt;&gt;"")*(MOVIMIENTOS!$A$5:$A$1005&lt;=$A688)*MOVIMIENTOS!$E$5:$E$1005)-SUMPRODUCT((MOVIMIENTOS!$B$5:$B$1005="VENTA")*(MOVIMIENTOS!$C$5:$C$1005="M")*(MOVIMIENTOS!$D$5:$D$1005="jabas")*(MOVIMIENTOS!$A$5:$A$1005&lt;&gt;"")*(MOVIMIENTOS!$A$5:$A$1005&lt;=$A688)*MOVIMIENTOS!$E$5:$E$1005)+SUMPRODUCT((MOVIMIENTOS!$B$5:$B$1005="AJUSTE")*(MOVIMIENTOS!$C$5:$C$1005="M")*(MOVIMIENTOS!$D$5:$D$1005="jabas")*(MOVIMIENTOS!$A$5:$A$1005&lt;&gt;"")*(MOVIMIENTOS!$A$5:$A$1005&lt;=$A688)*MOVIMIENTOS!$E$5:$E$1005))</f>
        <v/>
      </c>
      <c r="F688" s="62" t="str">
        <f>IF($A688="","",SUMPRODUCT((MOVIMIENTOS!$B$5:$B$1005="SALDO INICIAL")*(MOVIMIENTOS!$C$5:$C$1005="Chancho")*(MOVIMIENTOS!$D$5:$D$1005="sacos")*(MOVIMIENTOS!$A$5:$A$1005&lt;&gt;"")*(MOVIMIENTOS!$A$5:$A$1005&lt;=$A688)*MOVIMIENTOS!$E$5:$E$1005)+SUMPRODUCT((MOVIMIENTOS!$B$5:$B$1005="PROCESO")*(MOVIMIENTOS!$C$5:$C$1005="Chancho")*(MOVIMIENTOS!$D$5:$D$1005="sacos")*(MOVIMIENTOS!$A$5:$A$1005&lt;&gt;"")*(MOVIMIENTOS!$A$5:$A$1005&lt;=$A688)*MOVIMIENTOS!$E$5:$E$1005)-SUMPRODUCT((MOVIMIENTOS!$B$5:$B$1005="VENTA CHANCHO")*(MOVIMIENTOS!$C$5:$C$1005="Chancho")*(MOVIMIENTOS!$D$5:$D$1005="sacos")*(MOVIMIENTOS!$A$5:$A$1005&lt;&gt;"")*(MOVIMIENTOS!$A$5:$A$1005&lt;=$A688)*MOVIMIENTOS!$E$5:$E$1005)-SUMPRODUCT((MOVIMIENTOS!$B$5:$B$1005="REGALO")*(MOVIMIENTOS!$C$5:$C$1005="Chancho")*(MOVIMIENTOS!$D$5:$D$1005="sacos")*(MOVIMIENTOS!$A$5:$A$1005&lt;&gt;"")*(MOVIMIENTOS!$A$5:$A$1005&lt;=$A688)*MOVIMIENTOS!$E$5:$E$1005)-SUMPRODUCT((MOVIMIENTOS!$B$5:$B$1005="VENTA")*(MOVIMIENTOS!$C$5:$C$1005="Chancho")*(MOVIMIENTOS!$D$5:$D$1005="sacos")*(MOVIMIENTOS!$A$5:$A$1005&lt;&gt;"")*(MOVIMIENTOS!$A$5:$A$1005&lt;=$A688)*MOVIMIENTOS!$E$5:$E$1005)+SUMPRODUCT((MOVIMIENTOS!$B$5:$B$1005="AJUSTE")*(MOVIMIENTOS!$C$5:$C$1005="Chancho")*(MOVIMIENTOS!$D$5:$D$1005="sacos")*(MOVIMIENTOS!$A$5:$A$1005&lt;&gt;"")*(MOVIMIENTOS!$A$5:$A$1005&lt;=$A688)*MOVIMIENTOS!$E$5:$E$1005))</f>
        <v/>
      </c>
      <c r="G688" s="62" t="str">
        <f t="shared" si="21"/>
        <v/>
      </c>
      <c r="H688" t="str">
        <f>IF($A688="","",SUMPRODUCT((((MOVIMIENTOS!$B$5:$B$1005="SALDO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688)*MOVIMIENTOS!$J$5:$J$1005))</f>
        <v/>
      </c>
      <c r="J688" t="str">
        <f>IF(AND(MOVIMIENTOS!$A693&lt;&gt;"",COUNTIF(MOVIMIENTOS!$A$5:$A692,MOVIMIENTOS!$A693)=0),COUNT(J$4:J687)+1,"")</f>
        <v/>
      </c>
      <c r="K688">
        <f>MOVIMIENTOS!$A693</f>
        <v>0</v>
      </c>
    </row>
    <row r="689" spans="1:11" ht="15" customHeight="1" x14ac:dyDescent="0.2">
      <c r="A689" t="str">
        <f t="shared" si="20"/>
        <v/>
      </c>
      <c r="B689" t="str">
        <f>IF($A689="","",SUMPRODUCT((MOVIMIENTOS!$B$5:$B$1005="SALDO INICIAL")*(MOVIMIENTOS!$C$5:$C$1005="A")*(MOVIMIENTOS!$D$5:$D$1005="jabas")*(MOVIMIENTOS!$A$5:$A$1005&lt;&gt;"")*(MOVIMIENTOS!$A$5:$A$1005&lt;=$A689)*MOVIMIENTOS!$E$5:$E$1005)+SUMPRODUCT((MOVIMIENTOS!$B$5:$B$1005="PROCESO")*(MOVIMIENTOS!$C$5:$C$1005="A")*(MOVIMIENTOS!$D$5:$D$1005="jabas")*(MOVIMIENTOS!$A$5:$A$1005&lt;&gt;"")*(MOVIMIENTOS!$A$5:$A$1005&lt;=$A689)*MOVIMIENTOS!$E$5:$E$1005)-SUMPRODUCT((MOVIMIENTOS!$B$5:$B$1005="ENVÍO A SUPESA")*(MOVIMIENTOS!$C$5:$C$1005="A")*(MOVIMIENTOS!$D$5:$D$1005="jabas")*(MOVIMIENTOS!$A$5:$A$1005&lt;&gt;"")*(MOVIMIENTOS!$A$5:$A$1005&lt;=$A689)*MOVIMIENTOS!$E$5:$E$1005)+SUMPRODUCT((MOVIMIENTOS!$B$5:$B$1005="DEVOLUCIÓN")*(MOVIMIENTOS!$C$5:$C$1005="A")*(MOVIMIENTOS!$D$5:$D$1005="jabas")*(MOVIMIENTOS!$A$5:$A$1005&lt;&gt;"")*(MOVIMIENTOS!$A$5:$A$1005&lt;=$A689)*MOVIMIENTOS!$E$5:$E$1005)-SUMPRODUCT((MOVIMIENTOS!$B$5:$B$1005="TRASIEGO")*(MOVIMIENTOS!$C$5:$C$1005="A")*(MOVIMIENTOS!$D$5:$D$1005="jabas")*(MOVIMIENTOS!$A$5:$A$1005&lt;&gt;"")*(MOVIMIENTOS!$A$5:$A$1005&lt;=$A689)*MOVIMIENTOS!$E$5:$E$1005)-SUMPRODUCT((MOVIMIENTOS!$B$5:$B$1005="REGALO")*(MOVIMIENTOS!$C$5:$C$1005="A")*(MOVIMIENTOS!$D$5:$D$1005="jabas")*(MOVIMIENTOS!$A$5:$A$1005&lt;&gt;"")*(MOVIMIENTOS!$A$5:$A$1005&lt;=$A689)*MOVIMIENTOS!$E$5:$E$1005)-SUMPRODUCT((MOVIMIENTOS!$B$5:$B$1005="VENTA")*(MOVIMIENTOS!$C$5:$C$1005="A")*(MOVIMIENTOS!$D$5:$D$1005="jabas")*(MOVIMIENTOS!$A$5:$A$1005&lt;&gt;"")*(MOVIMIENTOS!$A$5:$A$1005&lt;=$A689)*MOVIMIENTOS!$E$5:$E$1005)+SUMPRODUCT((MOVIMIENTOS!$B$5:$B$1005="AJUSTE")*(MOVIMIENTOS!$C$5:$C$1005="A")*(MOVIMIENTOS!$D$5:$D$1005="jabas")*(MOVIMIENTOS!$A$5:$A$1005&lt;&gt;"")*(MOVIMIENTOS!$A$5:$A$1005&lt;=$A689)*MOVIMIENTOS!$E$5:$E$1005))</f>
        <v/>
      </c>
      <c r="C689" t="str">
        <f>IF($A689="","",SUMPRODUCT((MOVIMIENTOS!$B$5:$B$1005="SALDO INICIAL")*(MOVIMIENTOS!$C$5:$C$1005="P")*(MOVIMIENTOS!$D$5:$D$1005="jabas")*(MOVIMIENTOS!$A$5:$A$1005&lt;&gt;"")*(MOVIMIENTOS!$A$5:$A$1005&lt;=$A689)*MOVIMIENTOS!$E$5:$E$1005)+SUMPRODUCT((MOVIMIENTOS!$B$5:$B$1005="PROCESO")*(MOVIMIENTOS!$C$5:$C$1005="P")*(MOVIMIENTOS!$D$5:$D$1005="jabas")*(MOVIMIENTOS!$A$5:$A$1005&lt;&gt;"")*(MOVIMIENTOS!$A$5:$A$1005&lt;=$A689)*MOVIMIENTOS!$E$5:$E$1005)-SUMPRODUCT((MOVIMIENTOS!$B$5:$B$1005="ENVÍO A SUPESA")*(MOVIMIENTOS!$C$5:$C$1005="P")*(MOVIMIENTOS!$D$5:$D$1005="jabas")*(MOVIMIENTOS!$A$5:$A$1005&lt;&gt;"")*(MOVIMIENTOS!$A$5:$A$1005&lt;=$A689)*MOVIMIENTOS!$E$5:$E$1005)+SUMPRODUCT((MOVIMIENTOS!$B$5:$B$1005="DEVOLUCIÓN")*(MOVIMIENTOS!$C$5:$C$1005="P")*(MOVIMIENTOS!$D$5:$D$1005="jabas")*(MOVIMIENTOS!$A$5:$A$1005&lt;&gt;"")*(MOVIMIENTOS!$A$5:$A$1005&lt;=$A689)*MOVIMIENTOS!$E$5:$E$1005)-SUMPRODUCT((MOVIMIENTOS!$B$5:$B$1005="TRASIEGO")*(MOVIMIENTOS!$C$5:$C$1005="P")*(MOVIMIENTOS!$D$5:$D$1005="jabas")*(MOVIMIENTOS!$A$5:$A$1005&lt;&gt;"")*(MOVIMIENTOS!$A$5:$A$1005&lt;=$A689)*MOVIMIENTOS!$E$5:$E$1005)-SUMPRODUCT((MOVIMIENTOS!$B$5:$B$1005="REGALO")*(MOVIMIENTOS!$C$5:$C$1005="P")*(MOVIMIENTOS!$D$5:$D$1005="jabas")*(MOVIMIENTOS!$A$5:$A$1005&lt;&gt;"")*(MOVIMIENTOS!$A$5:$A$1005&lt;=$A689)*MOVIMIENTOS!$E$5:$E$1005)-SUMPRODUCT((MOVIMIENTOS!$B$5:$B$1005="VENTA")*(MOVIMIENTOS!$C$5:$C$1005="P")*(MOVIMIENTOS!$D$5:$D$1005="jabas")*(MOVIMIENTOS!$A$5:$A$1005&lt;&gt;"")*(MOVIMIENTOS!$A$5:$A$1005&lt;=$A689)*MOVIMIENTOS!$E$5:$E$1005)+SUMPRODUCT((MOVIMIENTOS!$B$5:$B$1005="AJUSTE")*(MOVIMIENTOS!$C$5:$C$1005="P")*(MOVIMIENTOS!$D$5:$D$1005="jabas")*(MOVIMIENTOS!$A$5:$A$1005&lt;&gt;"")*(MOVIMIENTOS!$A$5:$A$1005&lt;=$A689)*MOVIMIENTOS!$E$5:$E$1005))</f>
        <v/>
      </c>
      <c r="D689" t="str">
        <f>IF($A689="","",SUMPRODUCT((MOVIMIENTOS!$B$5:$B$1005="SALDO INICIAL")*(MOVIMIENTOS!$C$5:$C$1005="C")*(MOVIMIENTOS!$D$5:$D$1005="jabas")*(MOVIMIENTOS!$A$5:$A$1005&lt;&gt;"")*(MOVIMIENTOS!$A$5:$A$1005&lt;=$A689)*MOVIMIENTOS!$E$5:$E$1005)+SUMPRODUCT((MOVIMIENTOS!$B$5:$B$1005="PROCESO")*(MOVIMIENTOS!$C$5:$C$1005="C")*(MOVIMIENTOS!$D$5:$D$1005="jabas")*(MOVIMIENTOS!$A$5:$A$1005&lt;&gt;"")*(MOVIMIENTOS!$A$5:$A$1005&lt;=$A689)*MOVIMIENTOS!$E$5:$E$1005)-SUMPRODUCT((MOVIMIENTOS!$B$5:$B$1005="ENVÍO A SUPESA")*(MOVIMIENTOS!$C$5:$C$1005="C")*(MOVIMIENTOS!$D$5:$D$1005="jabas")*(MOVIMIENTOS!$A$5:$A$1005&lt;&gt;"")*(MOVIMIENTOS!$A$5:$A$1005&lt;=$A689)*MOVIMIENTOS!$E$5:$E$1005)+SUMPRODUCT((MOVIMIENTOS!$B$5:$B$1005="DEVOLUCIÓN")*(MOVIMIENTOS!$C$5:$C$1005="C")*(MOVIMIENTOS!$D$5:$D$1005="jabas")*(MOVIMIENTOS!$A$5:$A$1005&lt;&gt;"")*(MOVIMIENTOS!$A$5:$A$1005&lt;=$A689)*MOVIMIENTOS!$E$5:$E$1005)-SUMPRODUCT((MOVIMIENTOS!$B$5:$B$1005="TRASIEGO")*(MOVIMIENTOS!$C$5:$C$1005="C")*(MOVIMIENTOS!$D$5:$D$1005="jabas")*(MOVIMIENTOS!$A$5:$A$1005&lt;&gt;"")*(MOVIMIENTOS!$A$5:$A$1005&lt;=$A689)*MOVIMIENTOS!$E$5:$E$1005)-SUMPRODUCT((MOVIMIENTOS!$B$5:$B$1005="REGALO")*(MOVIMIENTOS!$C$5:$C$1005="C")*(MOVIMIENTOS!$D$5:$D$1005="jabas")*(MOVIMIENTOS!$A$5:$A$1005&lt;&gt;"")*(MOVIMIENTOS!$A$5:$A$1005&lt;=$A689)*MOVIMIENTOS!$E$5:$E$1005)-SUMPRODUCT((MOVIMIENTOS!$B$5:$B$1005="VENTA")*(MOVIMIENTOS!$C$5:$C$1005="C")*(MOVIMIENTOS!$D$5:$D$1005="jabas")*(MOVIMIENTOS!$A$5:$A$1005&lt;&gt;"")*(MOVIMIENTOS!$A$5:$A$1005&lt;=$A689)*MOVIMIENTOS!$E$5:$E$1005)+SUMPRODUCT((MOVIMIENTOS!$B$5:$B$1005="AJUSTE")*(MOVIMIENTOS!$C$5:$C$1005="C")*(MOVIMIENTOS!$D$5:$D$1005="jabas")*(MOVIMIENTOS!$A$5:$A$1005&lt;&gt;"")*(MOVIMIENTOS!$A$5:$A$1005&lt;=$A689)*MOVIMIENTOS!$E$5:$E$1005))</f>
        <v/>
      </c>
      <c r="E689" t="str">
        <f>IF($A689="","",SUMPRODUCT((MOVIMIENTOS!$B$5:$B$1005="SALDO INICIAL")*(MOVIMIENTOS!$C$5:$C$1005="M")*(MOVIMIENTOS!$D$5:$D$1005="jabas")*(MOVIMIENTOS!$A$5:$A$1005&lt;&gt;"")*(MOVIMIENTOS!$A$5:$A$1005&lt;=$A689)*MOVIMIENTOS!$E$5:$E$1005)+SUMPRODUCT((MOVIMIENTOS!$B$5:$B$1005="PROCESO")*(MOVIMIENTOS!$C$5:$C$1005="M")*(MOVIMIENTOS!$D$5:$D$1005="jabas")*(MOVIMIENTOS!$A$5:$A$1005&lt;&gt;"")*(MOVIMIENTOS!$A$5:$A$1005&lt;=$A689)*MOVIMIENTOS!$E$5:$E$1005)-SUMPRODUCT((MOVIMIENTOS!$B$5:$B$1005="ENVÍO A SUPESA")*(MOVIMIENTOS!$C$5:$C$1005="M")*(MOVIMIENTOS!$D$5:$D$1005="jabas")*(MOVIMIENTOS!$A$5:$A$1005&lt;&gt;"")*(MOVIMIENTOS!$A$5:$A$1005&lt;=$A689)*MOVIMIENTOS!$E$5:$E$1005)+SUMPRODUCT((MOVIMIENTOS!$B$5:$B$1005="DEVOLUCIÓN")*(MOVIMIENTOS!$C$5:$C$1005="M")*(MOVIMIENTOS!$D$5:$D$1005="jabas")*(MOVIMIENTOS!$A$5:$A$1005&lt;&gt;"")*(MOVIMIENTOS!$A$5:$A$1005&lt;=$A689)*MOVIMIENTOS!$E$5:$E$1005)-SUMPRODUCT((MOVIMIENTOS!$B$5:$B$1005="TRASIEGO")*(MOVIMIENTOS!$C$5:$C$1005="M")*(MOVIMIENTOS!$D$5:$D$1005="jabas")*(MOVIMIENTOS!$A$5:$A$1005&lt;&gt;"")*(MOVIMIENTOS!$A$5:$A$1005&lt;=$A689)*MOVIMIENTOS!$E$5:$E$1005)-SUMPRODUCT((MOVIMIENTOS!$B$5:$B$1005="REGALO")*(MOVIMIENTOS!$C$5:$C$1005="M")*(MOVIMIENTOS!$D$5:$D$1005="jabas")*(MOVIMIENTOS!$A$5:$A$1005&lt;&gt;"")*(MOVIMIENTOS!$A$5:$A$1005&lt;=$A689)*MOVIMIENTOS!$E$5:$E$1005)-SUMPRODUCT((MOVIMIENTOS!$B$5:$B$1005="VENTA")*(MOVIMIENTOS!$C$5:$C$1005="M")*(MOVIMIENTOS!$D$5:$D$1005="jabas")*(MOVIMIENTOS!$A$5:$A$1005&lt;&gt;"")*(MOVIMIENTOS!$A$5:$A$1005&lt;=$A689)*MOVIMIENTOS!$E$5:$E$1005)+SUMPRODUCT((MOVIMIENTOS!$B$5:$B$1005="AJUSTE")*(MOVIMIENTOS!$C$5:$C$1005="M")*(MOVIMIENTOS!$D$5:$D$1005="jabas")*(MOVIMIENTOS!$A$5:$A$1005&lt;&gt;"")*(MOVIMIENTOS!$A$5:$A$1005&lt;=$A689)*MOVIMIENTOS!$E$5:$E$1005))</f>
        <v/>
      </c>
      <c r="F689" s="62" t="str">
        <f>IF($A689="","",SUMPRODUCT((MOVIMIENTOS!$B$5:$B$1005="SALDO INICIAL")*(MOVIMIENTOS!$C$5:$C$1005="Chancho")*(MOVIMIENTOS!$D$5:$D$1005="sacos")*(MOVIMIENTOS!$A$5:$A$1005&lt;&gt;"")*(MOVIMIENTOS!$A$5:$A$1005&lt;=$A689)*MOVIMIENTOS!$E$5:$E$1005)+SUMPRODUCT((MOVIMIENTOS!$B$5:$B$1005="PROCESO")*(MOVIMIENTOS!$C$5:$C$1005="Chancho")*(MOVIMIENTOS!$D$5:$D$1005="sacos")*(MOVIMIENTOS!$A$5:$A$1005&lt;&gt;"")*(MOVIMIENTOS!$A$5:$A$1005&lt;=$A689)*MOVIMIENTOS!$E$5:$E$1005)-SUMPRODUCT((MOVIMIENTOS!$B$5:$B$1005="VENTA CHANCHO")*(MOVIMIENTOS!$C$5:$C$1005="Chancho")*(MOVIMIENTOS!$D$5:$D$1005="sacos")*(MOVIMIENTOS!$A$5:$A$1005&lt;&gt;"")*(MOVIMIENTOS!$A$5:$A$1005&lt;=$A689)*MOVIMIENTOS!$E$5:$E$1005)-SUMPRODUCT((MOVIMIENTOS!$B$5:$B$1005="REGALO")*(MOVIMIENTOS!$C$5:$C$1005="Chancho")*(MOVIMIENTOS!$D$5:$D$1005="sacos")*(MOVIMIENTOS!$A$5:$A$1005&lt;&gt;"")*(MOVIMIENTOS!$A$5:$A$1005&lt;=$A689)*MOVIMIENTOS!$E$5:$E$1005)-SUMPRODUCT((MOVIMIENTOS!$B$5:$B$1005="VENTA")*(MOVIMIENTOS!$C$5:$C$1005="Chancho")*(MOVIMIENTOS!$D$5:$D$1005="sacos")*(MOVIMIENTOS!$A$5:$A$1005&lt;&gt;"")*(MOVIMIENTOS!$A$5:$A$1005&lt;=$A689)*MOVIMIENTOS!$E$5:$E$1005)+SUMPRODUCT((MOVIMIENTOS!$B$5:$B$1005="AJUSTE")*(MOVIMIENTOS!$C$5:$C$1005="Chancho")*(MOVIMIENTOS!$D$5:$D$1005="sacos")*(MOVIMIENTOS!$A$5:$A$1005&lt;&gt;"")*(MOVIMIENTOS!$A$5:$A$1005&lt;=$A689)*MOVIMIENTOS!$E$5:$E$1005))</f>
        <v/>
      </c>
      <c r="G689" s="62" t="str">
        <f t="shared" si="21"/>
        <v/>
      </c>
      <c r="H689" t="str">
        <f>IF($A689="","",SUMPRODUCT((((MOVIMIENTOS!$B$5:$B$1005="SALDO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689)*MOVIMIENTOS!$J$5:$J$1005))</f>
        <v/>
      </c>
      <c r="J689" t="str">
        <f>IF(AND(MOVIMIENTOS!$A694&lt;&gt;"",COUNTIF(MOVIMIENTOS!$A$5:$A693,MOVIMIENTOS!$A694)=0),COUNT(J$4:J688)+1,"")</f>
        <v/>
      </c>
      <c r="K689">
        <f>MOVIMIENTOS!$A694</f>
        <v>0</v>
      </c>
    </row>
    <row r="690" spans="1:11" ht="15" customHeight="1" x14ac:dyDescent="0.2">
      <c r="A690" t="str">
        <f t="shared" si="20"/>
        <v/>
      </c>
      <c r="B690" t="str">
        <f>IF($A690="","",SUMPRODUCT((MOVIMIENTOS!$B$5:$B$1005="SALDO INICIAL")*(MOVIMIENTOS!$C$5:$C$1005="A")*(MOVIMIENTOS!$D$5:$D$1005="jabas")*(MOVIMIENTOS!$A$5:$A$1005&lt;&gt;"")*(MOVIMIENTOS!$A$5:$A$1005&lt;=$A690)*MOVIMIENTOS!$E$5:$E$1005)+SUMPRODUCT((MOVIMIENTOS!$B$5:$B$1005="PROCESO")*(MOVIMIENTOS!$C$5:$C$1005="A")*(MOVIMIENTOS!$D$5:$D$1005="jabas")*(MOVIMIENTOS!$A$5:$A$1005&lt;&gt;"")*(MOVIMIENTOS!$A$5:$A$1005&lt;=$A690)*MOVIMIENTOS!$E$5:$E$1005)-SUMPRODUCT((MOVIMIENTOS!$B$5:$B$1005="ENVÍO A SUPESA")*(MOVIMIENTOS!$C$5:$C$1005="A")*(MOVIMIENTOS!$D$5:$D$1005="jabas")*(MOVIMIENTOS!$A$5:$A$1005&lt;&gt;"")*(MOVIMIENTOS!$A$5:$A$1005&lt;=$A690)*MOVIMIENTOS!$E$5:$E$1005)+SUMPRODUCT((MOVIMIENTOS!$B$5:$B$1005="DEVOLUCIÓN")*(MOVIMIENTOS!$C$5:$C$1005="A")*(MOVIMIENTOS!$D$5:$D$1005="jabas")*(MOVIMIENTOS!$A$5:$A$1005&lt;&gt;"")*(MOVIMIENTOS!$A$5:$A$1005&lt;=$A690)*MOVIMIENTOS!$E$5:$E$1005)-SUMPRODUCT((MOVIMIENTOS!$B$5:$B$1005="TRASIEGO")*(MOVIMIENTOS!$C$5:$C$1005="A")*(MOVIMIENTOS!$D$5:$D$1005="jabas")*(MOVIMIENTOS!$A$5:$A$1005&lt;&gt;"")*(MOVIMIENTOS!$A$5:$A$1005&lt;=$A690)*MOVIMIENTOS!$E$5:$E$1005)-SUMPRODUCT((MOVIMIENTOS!$B$5:$B$1005="REGALO")*(MOVIMIENTOS!$C$5:$C$1005="A")*(MOVIMIENTOS!$D$5:$D$1005="jabas")*(MOVIMIENTOS!$A$5:$A$1005&lt;&gt;"")*(MOVIMIENTOS!$A$5:$A$1005&lt;=$A690)*MOVIMIENTOS!$E$5:$E$1005)-SUMPRODUCT((MOVIMIENTOS!$B$5:$B$1005="VENTA")*(MOVIMIENTOS!$C$5:$C$1005="A")*(MOVIMIENTOS!$D$5:$D$1005="jabas")*(MOVIMIENTOS!$A$5:$A$1005&lt;&gt;"")*(MOVIMIENTOS!$A$5:$A$1005&lt;=$A690)*MOVIMIENTOS!$E$5:$E$1005)+SUMPRODUCT((MOVIMIENTOS!$B$5:$B$1005="AJUSTE")*(MOVIMIENTOS!$C$5:$C$1005="A")*(MOVIMIENTOS!$D$5:$D$1005="jabas")*(MOVIMIENTOS!$A$5:$A$1005&lt;&gt;"")*(MOVIMIENTOS!$A$5:$A$1005&lt;=$A690)*MOVIMIENTOS!$E$5:$E$1005))</f>
        <v/>
      </c>
      <c r="C690" t="str">
        <f>IF($A690="","",SUMPRODUCT((MOVIMIENTOS!$B$5:$B$1005="SALDO INICIAL")*(MOVIMIENTOS!$C$5:$C$1005="P")*(MOVIMIENTOS!$D$5:$D$1005="jabas")*(MOVIMIENTOS!$A$5:$A$1005&lt;&gt;"")*(MOVIMIENTOS!$A$5:$A$1005&lt;=$A690)*MOVIMIENTOS!$E$5:$E$1005)+SUMPRODUCT((MOVIMIENTOS!$B$5:$B$1005="PROCESO")*(MOVIMIENTOS!$C$5:$C$1005="P")*(MOVIMIENTOS!$D$5:$D$1005="jabas")*(MOVIMIENTOS!$A$5:$A$1005&lt;&gt;"")*(MOVIMIENTOS!$A$5:$A$1005&lt;=$A690)*MOVIMIENTOS!$E$5:$E$1005)-SUMPRODUCT((MOVIMIENTOS!$B$5:$B$1005="ENVÍO A SUPESA")*(MOVIMIENTOS!$C$5:$C$1005="P")*(MOVIMIENTOS!$D$5:$D$1005="jabas")*(MOVIMIENTOS!$A$5:$A$1005&lt;&gt;"")*(MOVIMIENTOS!$A$5:$A$1005&lt;=$A690)*MOVIMIENTOS!$E$5:$E$1005)+SUMPRODUCT((MOVIMIENTOS!$B$5:$B$1005="DEVOLUCIÓN")*(MOVIMIENTOS!$C$5:$C$1005="P")*(MOVIMIENTOS!$D$5:$D$1005="jabas")*(MOVIMIENTOS!$A$5:$A$1005&lt;&gt;"")*(MOVIMIENTOS!$A$5:$A$1005&lt;=$A690)*MOVIMIENTOS!$E$5:$E$1005)-SUMPRODUCT((MOVIMIENTOS!$B$5:$B$1005="TRASIEGO")*(MOVIMIENTOS!$C$5:$C$1005="P")*(MOVIMIENTOS!$D$5:$D$1005="jabas")*(MOVIMIENTOS!$A$5:$A$1005&lt;&gt;"")*(MOVIMIENTOS!$A$5:$A$1005&lt;=$A690)*MOVIMIENTOS!$E$5:$E$1005)-SUMPRODUCT((MOVIMIENTOS!$B$5:$B$1005="REGALO")*(MOVIMIENTOS!$C$5:$C$1005="P")*(MOVIMIENTOS!$D$5:$D$1005="jabas")*(MOVIMIENTOS!$A$5:$A$1005&lt;&gt;"")*(MOVIMIENTOS!$A$5:$A$1005&lt;=$A690)*MOVIMIENTOS!$E$5:$E$1005)-SUMPRODUCT((MOVIMIENTOS!$B$5:$B$1005="VENTA")*(MOVIMIENTOS!$C$5:$C$1005="P")*(MOVIMIENTOS!$D$5:$D$1005="jabas")*(MOVIMIENTOS!$A$5:$A$1005&lt;&gt;"")*(MOVIMIENTOS!$A$5:$A$1005&lt;=$A690)*MOVIMIENTOS!$E$5:$E$1005)+SUMPRODUCT((MOVIMIENTOS!$B$5:$B$1005="AJUSTE")*(MOVIMIENTOS!$C$5:$C$1005="P")*(MOVIMIENTOS!$D$5:$D$1005="jabas")*(MOVIMIENTOS!$A$5:$A$1005&lt;&gt;"")*(MOVIMIENTOS!$A$5:$A$1005&lt;=$A690)*MOVIMIENTOS!$E$5:$E$1005))</f>
        <v/>
      </c>
      <c r="D690" t="str">
        <f>IF($A690="","",SUMPRODUCT((MOVIMIENTOS!$B$5:$B$1005="SALDO INICIAL")*(MOVIMIENTOS!$C$5:$C$1005="C")*(MOVIMIENTOS!$D$5:$D$1005="jabas")*(MOVIMIENTOS!$A$5:$A$1005&lt;&gt;"")*(MOVIMIENTOS!$A$5:$A$1005&lt;=$A690)*MOVIMIENTOS!$E$5:$E$1005)+SUMPRODUCT((MOVIMIENTOS!$B$5:$B$1005="PROCESO")*(MOVIMIENTOS!$C$5:$C$1005="C")*(MOVIMIENTOS!$D$5:$D$1005="jabas")*(MOVIMIENTOS!$A$5:$A$1005&lt;&gt;"")*(MOVIMIENTOS!$A$5:$A$1005&lt;=$A690)*MOVIMIENTOS!$E$5:$E$1005)-SUMPRODUCT((MOVIMIENTOS!$B$5:$B$1005="ENVÍO A SUPESA")*(MOVIMIENTOS!$C$5:$C$1005="C")*(MOVIMIENTOS!$D$5:$D$1005="jabas")*(MOVIMIENTOS!$A$5:$A$1005&lt;&gt;"")*(MOVIMIENTOS!$A$5:$A$1005&lt;=$A690)*MOVIMIENTOS!$E$5:$E$1005)+SUMPRODUCT((MOVIMIENTOS!$B$5:$B$1005="DEVOLUCIÓN")*(MOVIMIENTOS!$C$5:$C$1005="C")*(MOVIMIENTOS!$D$5:$D$1005="jabas")*(MOVIMIENTOS!$A$5:$A$1005&lt;&gt;"")*(MOVIMIENTOS!$A$5:$A$1005&lt;=$A690)*MOVIMIENTOS!$E$5:$E$1005)-SUMPRODUCT((MOVIMIENTOS!$B$5:$B$1005="TRASIEGO")*(MOVIMIENTOS!$C$5:$C$1005="C")*(MOVIMIENTOS!$D$5:$D$1005="jabas")*(MOVIMIENTOS!$A$5:$A$1005&lt;&gt;"")*(MOVIMIENTOS!$A$5:$A$1005&lt;=$A690)*MOVIMIENTOS!$E$5:$E$1005)-SUMPRODUCT((MOVIMIENTOS!$B$5:$B$1005="REGALO")*(MOVIMIENTOS!$C$5:$C$1005="C")*(MOVIMIENTOS!$D$5:$D$1005="jabas")*(MOVIMIENTOS!$A$5:$A$1005&lt;&gt;"")*(MOVIMIENTOS!$A$5:$A$1005&lt;=$A690)*MOVIMIENTOS!$E$5:$E$1005)-SUMPRODUCT((MOVIMIENTOS!$B$5:$B$1005="VENTA")*(MOVIMIENTOS!$C$5:$C$1005="C")*(MOVIMIENTOS!$D$5:$D$1005="jabas")*(MOVIMIENTOS!$A$5:$A$1005&lt;&gt;"")*(MOVIMIENTOS!$A$5:$A$1005&lt;=$A690)*MOVIMIENTOS!$E$5:$E$1005)+SUMPRODUCT((MOVIMIENTOS!$B$5:$B$1005="AJUSTE")*(MOVIMIENTOS!$C$5:$C$1005="C")*(MOVIMIENTOS!$D$5:$D$1005="jabas")*(MOVIMIENTOS!$A$5:$A$1005&lt;&gt;"")*(MOVIMIENTOS!$A$5:$A$1005&lt;=$A690)*MOVIMIENTOS!$E$5:$E$1005))</f>
        <v/>
      </c>
      <c r="E690" t="str">
        <f>IF($A690="","",SUMPRODUCT((MOVIMIENTOS!$B$5:$B$1005="SALDO INICIAL")*(MOVIMIENTOS!$C$5:$C$1005="M")*(MOVIMIENTOS!$D$5:$D$1005="jabas")*(MOVIMIENTOS!$A$5:$A$1005&lt;&gt;"")*(MOVIMIENTOS!$A$5:$A$1005&lt;=$A690)*MOVIMIENTOS!$E$5:$E$1005)+SUMPRODUCT((MOVIMIENTOS!$B$5:$B$1005="PROCESO")*(MOVIMIENTOS!$C$5:$C$1005="M")*(MOVIMIENTOS!$D$5:$D$1005="jabas")*(MOVIMIENTOS!$A$5:$A$1005&lt;&gt;"")*(MOVIMIENTOS!$A$5:$A$1005&lt;=$A690)*MOVIMIENTOS!$E$5:$E$1005)-SUMPRODUCT((MOVIMIENTOS!$B$5:$B$1005="ENVÍO A SUPESA")*(MOVIMIENTOS!$C$5:$C$1005="M")*(MOVIMIENTOS!$D$5:$D$1005="jabas")*(MOVIMIENTOS!$A$5:$A$1005&lt;&gt;"")*(MOVIMIENTOS!$A$5:$A$1005&lt;=$A690)*MOVIMIENTOS!$E$5:$E$1005)+SUMPRODUCT((MOVIMIENTOS!$B$5:$B$1005="DEVOLUCIÓN")*(MOVIMIENTOS!$C$5:$C$1005="M")*(MOVIMIENTOS!$D$5:$D$1005="jabas")*(MOVIMIENTOS!$A$5:$A$1005&lt;&gt;"")*(MOVIMIENTOS!$A$5:$A$1005&lt;=$A690)*MOVIMIENTOS!$E$5:$E$1005)-SUMPRODUCT((MOVIMIENTOS!$B$5:$B$1005="TRASIEGO")*(MOVIMIENTOS!$C$5:$C$1005="M")*(MOVIMIENTOS!$D$5:$D$1005="jabas")*(MOVIMIENTOS!$A$5:$A$1005&lt;&gt;"")*(MOVIMIENTOS!$A$5:$A$1005&lt;=$A690)*MOVIMIENTOS!$E$5:$E$1005)-SUMPRODUCT((MOVIMIENTOS!$B$5:$B$1005="REGALO")*(MOVIMIENTOS!$C$5:$C$1005="M")*(MOVIMIENTOS!$D$5:$D$1005="jabas")*(MOVIMIENTOS!$A$5:$A$1005&lt;&gt;"")*(MOVIMIENTOS!$A$5:$A$1005&lt;=$A690)*MOVIMIENTOS!$E$5:$E$1005)-SUMPRODUCT((MOVIMIENTOS!$B$5:$B$1005="VENTA")*(MOVIMIENTOS!$C$5:$C$1005="M")*(MOVIMIENTOS!$D$5:$D$1005="jabas")*(MOVIMIENTOS!$A$5:$A$1005&lt;&gt;"")*(MOVIMIENTOS!$A$5:$A$1005&lt;=$A690)*MOVIMIENTOS!$E$5:$E$1005)+SUMPRODUCT((MOVIMIENTOS!$B$5:$B$1005="AJUSTE")*(MOVIMIENTOS!$C$5:$C$1005="M")*(MOVIMIENTOS!$D$5:$D$1005="jabas")*(MOVIMIENTOS!$A$5:$A$1005&lt;&gt;"")*(MOVIMIENTOS!$A$5:$A$1005&lt;=$A690)*MOVIMIENTOS!$E$5:$E$1005))</f>
        <v/>
      </c>
      <c r="F690" s="62" t="str">
        <f>IF($A690="","",SUMPRODUCT((MOVIMIENTOS!$B$5:$B$1005="SALDO INICIAL")*(MOVIMIENTOS!$C$5:$C$1005="Chancho")*(MOVIMIENTOS!$D$5:$D$1005="sacos")*(MOVIMIENTOS!$A$5:$A$1005&lt;&gt;"")*(MOVIMIENTOS!$A$5:$A$1005&lt;=$A690)*MOVIMIENTOS!$E$5:$E$1005)+SUMPRODUCT((MOVIMIENTOS!$B$5:$B$1005="PROCESO")*(MOVIMIENTOS!$C$5:$C$1005="Chancho")*(MOVIMIENTOS!$D$5:$D$1005="sacos")*(MOVIMIENTOS!$A$5:$A$1005&lt;&gt;"")*(MOVIMIENTOS!$A$5:$A$1005&lt;=$A690)*MOVIMIENTOS!$E$5:$E$1005)-SUMPRODUCT((MOVIMIENTOS!$B$5:$B$1005="VENTA CHANCHO")*(MOVIMIENTOS!$C$5:$C$1005="Chancho")*(MOVIMIENTOS!$D$5:$D$1005="sacos")*(MOVIMIENTOS!$A$5:$A$1005&lt;&gt;"")*(MOVIMIENTOS!$A$5:$A$1005&lt;=$A690)*MOVIMIENTOS!$E$5:$E$1005)-SUMPRODUCT((MOVIMIENTOS!$B$5:$B$1005="REGALO")*(MOVIMIENTOS!$C$5:$C$1005="Chancho")*(MOVIMIENTOS!$D$5:$D$1005="sacos")*(MOVIMIENTOS!$A$5:$A$1005&lt;&gt;"")*(MOVIMIENTOS!$A$5:$A$1005&lt;=$A690)*MOVIMIENTOS!$E$5:$E$1005)-SUMPRODUCT((MOVIMIENTOS!$B$5:$B$1005="VENTA")*(MOVIMIENTOS!$C$5:$C$1005="Chancho")*(MOVIMIENTOS!$D$5:$D$1005="sacos")*(MOVIMIENTOS!$A$5:$A$1005&lt;&gt;"")*(MOVIMIENTOS!$A$5:$A$1005&lt;=$A690)*MOVIMIENTOS!$E$5:$E$1005)+SUMPRODUCT((MOVIMIENTOS!$B$5:$B$1005="AJUSTE")*(MOVIMIENTOS!$C$5:$C$1005="Chancho")*(MOVIMIENTOS!$D$5:$D$1005="sacos")*(MOVIMIENTOS!$A$5:$A$1005&lt;&gt;"")*(MOVIMIENTOS!$A$5:$A$1005&lt;=$A690)*MOVIMIENTOS!$E$5:$E$1005))</f>
        <v/>
      </c>
      <c r="G690" s="62" t="str">
        <f t="shared" si="21"/>
        <v/>
      </c>
      <c r="H690" t="str">
        <f>IF($A690="","",SUMPRODUCT((((MOVIMIENTOS!$B$5:$B$1005="SALDO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690)*MOVIMIENTOS!$J$5:$J$1005))</f>
        <v/>
      </c>
      <c r="J690" t="str">
        <f>IF(AND(MOVIMIENTOS!$A695&lt;&gt;"",COUNTIF(MOVIMIENTOS!$A$5:$A694,MOVIMIENTOS!$A695)=0),COUNT(J$4:J689)+1,"")</f>
        <v/>
      </c>
      <c r="K690">
        <f>MOVIMIENTOS!$A695</f>
        <v>0</v>
      </c>
    </row>
    <row r="691" spans="1:11" ht="15" customHeight="1" x14ac:dyDescent="0.2">
      <c r="A691" t="str">
        <f t="shared" si="20"/>
        <v/>
      </c>
      <c r="B691" t="str">
        <f>IF($A691="","",SUMPRODUCT((MOVIMIENTOS!$B$5:$B$1005="SALDO INICIAL")*(MOVIMIENTOS!$C$5:$C$1005="A")*(MOVIMIENTOS!$D$5:$D$1005="jabas")*(MOVIMIENTOS!$A$5:$A$1005&lt;&gt;"")*(MOVIMIENTOS!$A$5:$A$1005&lt;=$A691)*MOVIMIENTOS!$E$5:$E$1005)+SUMPRODUCT((MOVIMIENTOS!$B$5:$B$1005="PROCESO")*(MOVIMIENTOS!$C$5:$C$1005="A")*(MOVIMIENTOS!$D$5:$D$1005="jabas")*(MOVIMIENTOS!$A$5:$A$1005&lt;&gt;"")*(MOVIMIENTOS!$A$5:$A$1005&lt;=$A691)*MOVIMIENTOS!$E$5:$E$1005)-SUMPRODUCT((MOVIMIENTOS!$B$5:$B$1005="ENVÍO A SUPESA")*(MOVIMIENTOS!$C$5:$C$1005="A")*(MOVIMIENTOS!$D$5:$D$1005="jabas")*(MOVIMIENTOS!$A$5:$A$1005&lt;&gt;"")*(MOVIMIENTOS!$A$5:$A$1005&lt;=$A691)*MOVIMIENTOS!$E$5:$E$1005)+SUMPRODUCT((MOVIMIENTOS!$B$5:$B$1005="DEVOLUCIÓN")*(MOVIMIENTOS!$C$5:$C$1005="A")*(MOVIMIENTOS!$D$5:$D$1005="jabas")*(MOVIMIENTOS!$A$5:$A$1005&lt;&gt;"")*(MOVIMIENTOS!$A$5:$A$1005&lt;=$A691)*MOVIMIENTOS!$E$5:$E$1005)-SUMPRODUCT((MOVIMIENTOS!$B$5:$B$1005="TRASIEGO")*(MOVIMIENTOS!$C$5:$C$1005="A")*(MOVIMIENTOS!$D$5:$D$1005="jabas")*(MOVIMIENTOS!$A$5:$A$1005&lt;&gt;"")*(MOVIMIENTOS!$A$5:$A$1005&lt;=$A691)*MOVIMIENTOS!$E$5:$E$1005)-SUMPRODUCT((MOVIMIENTOS!$B$5:$B$1005="REGALO")*(MOVIMIENTOS!$C$5:$C$1005="A")*(MOVIMIENTOS!$D$5:$D$1005="jabas")*(MOVIMIENTOS!$A$5:$A$1005&lt;&gt;"")*(MOVIMIENTOS!$A$5:$A$1005&lt;=$A691)*MOVIMIENTOS!$E$5:$E$1005)-SUMPRODUCT((MOVIMIENTOS!$B$5:$B$1005="VENTA")*(MOVIMIENTOS!$C$5:$C$1005="A")*(MOVIMIENTOS!$D$5:$D$1005="jabas")*(MOVIMIENTOS!$A$5:$A$1005&lt;&gt;"")*(MOVIMIENTOS!$A$5:$A$1005&lt;=$A691)*MOVIMIENTOS!$E$5:$E$1005)+SUMPRODUCT((MOVIMIENTOS!$B$5:$B$1005="AJUSTE")*(MOVIMIENTOS!$C$5:$C$1005="A")*(MOVIMIENTOS!$D$5:$D$1005="jabas")*(MOVIMIENTOS!$A$5:$A$1005&lt;&gt;"")*(MOVIMIENTOS!$A$5:$A$1005&lt;=$A691)*MOVIMIENTOS!$E$5:$E$1005))</f>
        <v/>
      </c>
      <c r="C691" t="str">
        <f>IF($A691="","",SUMPRODUCT((MOVIMIENTOS!$B$5:$B$1005="SALDO INICIAL")*(MOVIMIENTOS!$C$5:$C$1005="P")*(MOVIMIENTOS!$D$5:$D$1005="jabas")*(MOVIMIENTOS!$A$5:$A$1005&lt;&gt;"")*(MOVIMIENTOS!$A$5:$A$1005&lt;=$A691)*MOVIMIENTOS!$E$5:$E$1005)+SUMPRODUCT((MOVIMIENTOS!$B$5:$B$1005="PROCESO")*(MOVIMIENTOS!$C$5:$C$1005="P")*(MOVIMIENTOS!$D$5:$D$1005="jabas")*(MOVIMIENTOS!$A$5:$A$1005&lt;&gt;"")*(MOVIMIENTOS!$A$5:$A$1005&lt;=$A691)*MOVIMIENTOS!$E$5:$E$1005)-SUMPRODUCT((MOVIMIENTOS!$B$5:$B$1005="ENVÍO A SUPESA")*(MOVIMIENTOS!$C$5:$C$1005="P")*(MOVIMIENTOS!$D$5:$D$1005="jabas")*(MOVIMIENTOS!$A$5:$A$1005&lt;&gt;"")*(MOVIMIENTOS!$A$5:$A$1005&lt;=$A691)*MOVIMIENTOS!$E$5:$E$1005)+SUMPRODUCT((MOVIMIENTOS!$B$5:$B$1005="DEVOLUCIÓN")*(MOVIMIENTOS!$C$5:$C$1005="P")*(MOVIMIENTOS!$D$5:$D$1005="jabas")*(MOVIMIENTOS!$A$5:$A$1005&lt;&gt;"")*(MOVIMIENTOS!$A$5:$A$1005&lt;=$A691)*MOVIMIENTOS!$E$5:$E$1005)-SUMPRODUCT((MOVIMIENTOS!$B$5:$B$1005="TRASIEGO")*(MOVIMIENTOS!$C$5:$C$1005="P")*(MOVIMIENTOS!$D$5:$D$1005="jabas")*(MOVIMIENTOS!$A$5:$A$1005&lt;&gt;"")*(MOVIMIENTOS!$A$5:$A$1005&lt;=$A691)*MOVIMIENTOS!$E$5:$E$1005)-SUMPRODUCT((MOVIMIENTOS!$B$5:$B$1005="REGALO")*(MOVIMIENTOS!$C$5:$C$1005="P")*(MOVIMIENTOS!$D$5:$D$1005="jabas")*(MOVIMIENTOS!$A$5:$A$1005&lt;&gt;"")*(MOVIMIENTOS!$A$5:$A$1005&lt;=$A691)*MOVIMIENTOS!$E$5:$E$1005)-SUMPRODUCT((MOVIMIENTOS!$B$5:$B$1005="VENTA")*(MOVIMIENTOS!$C$5:$C$1005="P")*(MOVIMIENTOS!$D$5:$D$1005="jabas")*(MOVIMIENTOS!$A$5:$A$1005&lt;&gt;"")*(MOVIMIENTOS!$A$5:$A$1005&lt;=$A691)*MOVIMIENTOS!$E$5:$E$1005)+SUMPRODUCT((MOVIMIENTOS!$B$5:$B$1005="AJUSTE")*(MOVIMIENTOS!$C$5:$C$1005="P")*(MOVIMIENTOS!$D$5:$D$1005="jabas")*(MOVIMIENTOS!$A$5:$A$1005&lt;&gt;"")*(MOVIMIENTOS!$A$5:$A$1005&lt;=$A691)*MOVIMIENTOS!$E$5:$E$1005))</f>
        <v/>
      </c>
      <c r="D691" t="str">
        <f>IF($A691="","",SUMPRODUCT((MOVIMIENTOS!$B$5:$B$1005="SALDO INICIAL")*(MOVIMIENTOS!$C$5:$C$1005="C")*(MOVIMIENTOS!$D$5:$D$1005="jabas")*(MOVIMIENTOS!$A$5:$A$1005&lt;&gt;"")*(MOVIMIENTOS!$A$5:$A$1005&lt;=$A691)*MOVIMIENTOS!$E$5:$E$1005)+SUMPRODUCT((MOVIMIENTOS!$B$5:$B$1005="PROCESO")*(MOVIMIENTOS!$C$5:$C$1005="C")*(MOVIMIENTOS!$D$5:$D$1005="jabas")*(MOVIMIENTOS!$A$5:$A$1005&lt;&gt;"")*(MOVIMIENTOS!$A$5:$A$1005&lt;=$A691)*MOVIMIENTOS!$E$5:$E$1005)-SUMPRODUCT((MOVIMIENTOS!$B$5:$B$1005="ENVÍO A SUPESA")*(MOVIMIENTOS!$C$5:$C$1005="C")*(MOVIMIENTOS!$D$5:$D$1005="jabas")*(MOVIMIENTOS!$A$5:$A$1005&lt;&gt;"")*(MOVIMIENTOS!$A$5:$A$1005&lt;=$A691)*MOVIMIENTOS!$E$5:$E$1005)+SUMPRODUCT((MOVIMIENTOS!$B$5:$B$1005="DEVOLUCIÓN")*(MOVIMIENTOS!$C$5:$C$1005="C")*(MOVIMIENTOS!$D$5:$D$1005="jabas")*(MOVIMIENTOS!$A$5:$A$1005&lt;&gt;"")*(MOVIMIENTOS!$A$5:$A$1005&lt;=$A691)*MOVIMIENTOS!$E$5:$E$1005)-SUMPRODUCT((MOVIMIENTOS!$B$5:$B$1005="TRASIEGO")*(MOVIMIENTOS!$C$5:$C$1005="C")*(MOVIMIENTOS!$D$5:$D$1005="jabas")*(MOVIMIENTOS!$A$5:$A$1005&lt;&gt;"")*(MOVIMIENTOS!$A$5:$A$1005&lt;=$A691)*MOVIMIENTOS!$E$5:$E$1005)-SUMPRODUCT((MOVIMIENTOS!$B$5:$B$1005="REGALO")*(MOVIMIENTOS!$C$5:$C$1005="C")*(MOVIMIENTOS!$D$5:$D$1005="jabas")*(MOVIMIENTOS!$A$5:$A$1005&lt;&gt;"")*(MOVIMIENTOS!$A$5:$A$1005&lt;=$A691)*MOVIMIENTOS!$E$5:$E$1005)-SUMPRODUCT((MOVIMIENTOS!$B$5:$B$1005="VENTA")*(MOVIMIENTOS!$C$5:$C$1005="C")*(MOVIMIENTOS!$D$5:$D$1005="jabas")*(MOVIMIENTOS!$A$5:$A$1005&lt;&gt;"")*(MOVIMIENTOS!$A$5:$A$1005&lt;=$A691)*MOVIMIENTOS!$E$5:$E$1005)+SUMPRODUCT((MOVIMIENTOS!$B$5:$B$1005="AJUSTE")*(MOVIMIENTOS!$C$5:$C$1005="C")*(MOVIMIENTOS!$D$5:$D$1005="jabas")*(MOVIMIENTOS!$A$5:$A$1005&lt;&gt;"")*(MOVIMIENTOS!$A$5:$A$1005&lt;=$A691)*MOVIMIENTOS!$E$5:$E$1005))</f>
        <v/>
      </c>
      <c r="E691" t="str">
        <f>IF($A691="","",SUMPRODUCT((MOVIMIENTOS!$B$5:$B$1005="SALDO INICIAL")*(MOVIMIENTOS!$C$5:$C$1005="M")*(MOVIMIENTOS!$D$5:$D$1005="jabas")*(MOVIMIENTOS!$A$5:$A$1005&lt;&gt;"")*(MOVIMIENTOS!$A$5:$A$1005&lt;=$A691)*MOVIMIENTOS!$E$5:$E$1005)+SUMPRODUCT((MOVIMIENTOS!$B$5:$B$1005="PROCESO")*(MOVIMIENTOS!$C$5:$C$1005="M")*(MOVIMIENTOS!$D$5:$D$1005="jabas")*(MOVIMIENTOS!$A$5:$A$1005&lt;&gt;"")*(MOVIMIENTOS!$A$5:$A$1005&lt;=$A691)*MOVIMIENTOS!$E$5:$E$1005)-SUMPRODUCT((MOVIMIENTOS!$B$5:$B$1005="ENVÍO A SUPESA")*(MOVIMIENTOS!$C$5:$C$1005="M")*(MOVIMIENTOS!$D$5:$D$1005="jabas")*(MOVIMIENTOS!$A$5:$A$1005&lt;&gt;"")*(MOVIMIENTOS!$A$5:$A$1005&lt;=$A691)*MOVIMIENTOS!$E$5:$E$1005)+SUMPRODUCT((MOVIMIENTOS!$B$5:$B$1005="DEVOLUCIÓN")*(MOVIMIENTOS!$C$5:$C$1005="M")*(MOVIMIENTOS!$D$5:$D$1005="jabas")*(MOVIMIENTOS!$A$5:$A$1005&lt;&gt;"")*(MOVIMIENTOS!$A$5:$A$1005&lt;=$A691)*MOVIMIENTOS!$E$5:$E$1005)-SUMPRODUCT((MOVIMIENTOS!$B$5:$B$1005="TRASIEGO")*(MOVIMIENTOS!$C$5:$C$1005="M")*(MOVIMIENTOS!$D$5:$D$1005="jabas")*(MOVIMIENTOS!$A$5:$A$1005&lt;&gt;"")*(MOVIMIENTOS!$A$5:$A$1005&lt;=$A691)*MOVIMIENTOS!$E$5:$E$1005)-SUMPRODUCT((MOVIMIENTOS!$B$5:$B$1005="REGALO")*(MOVIMIENTOS!$C$5:$C$1005="M")*(MOVIMIENTOS!$D$5:$D$1005="jabas")*(MOVIMIENTOS!$A$5:$A$1005&lt;&gt;"")*(MOVIMIENTOS!$A$5:$A$1005&lt;=$A691)*MOVIMIENTOS!$E$5:$E$1005)-SUMPRODUCT((MOVIMIENTOS!$B$5:$B$1005="VENTA")*(MOVIMIENTOS!$C$5:$C$1005="M")*(MOVIMIENTOS!$D$5:$D$1005="jabas")*(MOVIMIENTOS!$A$5:$A$1005&lt;&gt;"")*(MOVIMIENTOS!$A$5:$A$1005&lt;=$A691)*MOVIMIENTOS!$E$5:$E$1005)+SUMPRODUCT((MOVIMIENTOS!$B$5:$B$1005="AJUSTE")*(MOVIMIENTOS!$C$5:$C$1005="M")*(MOVIMIENTOS!$D$5:$D$1005="jabas")*(MOVIMIENTOS!$A$5:$A$1005&lt;&gt;"")*(MOVIMIENTOS!$A$5:$A$1005&lt;=$A691)*MOVIMIENTOS!$E$5:$E$1005))</f>
        <v/>
      </c>
      <c r="F691" s="62" t="str">
        <f>IF($A691="","",SUMPRODUCT((MOVIMIENTOS!$B$5:$B$1005="SALDO INICIAL")*(MOVIMIENTOS!$C$5:$C$1005="Chancho")*(MOVIMIENTOS!$D$5:$D$1005="sacos")*(MOVIMIENTOS!$A$5:$A$1005&lt;&gt;"")*(MOVIMIENTOS!$A$5:$A$1005&lt;=$A691)*MOVIMIENTOS!$E$5:$E$1005)+SUMPRODUCT((MOVIMIENTOS!$B$5:$B$1005="PROCESO")*(MOVIMIENTOS!$C$5:$C$1005="Chancho")*(MOVIMIENTOS!$D$5:$D$1005="sacos")*(MOVIMIENTOS!$A$5:$A$1005&lt;&gt;"")*(MOVIMIENTOS!$A$5:$A$1005&lt;=$A691)*MOVIMIENTOS!$E$5:$E$1005)-SUMPRODUCT((MOVIMIENTOS!$B$5:$B$1005="VENTA CHANCHO")*(MOVIMIENTOS!$C$5:$C$1005="Chancho")*(MOVIMIENTOS!$D$5:$D$1005="sacos")*(MOVIMIENTOS!$A$5:$A$1005&lt;&gt;"")*(MOVIMIENTOS!$A$5:$A$1005&lt;=$A691)*MOVIMIENTOS!$E$5:$E$1005)-SUMPRODUCT((MOVIMIENTOS!$B$5:$B$1005="REGALO")*(MOVIMIENTOS!$C$5:$C$1005="Chancho")*(MOVIMIENTOS!$D$5:$D$1005="sacos")*(MOVIMIENTOS!$A$5:$A$1005&lt;&gt;"")*(MOVIMIENTOS!$A$5:$A$1005&lt;=$A691)*MOVIMIENTOS!$E$5:$E$1005)-SUMPRODUCT((MOVIMIENTOS!$B$5:$B$1005="VENTA")*(MOVIMIENTOS!$C$5:$C$1005="Chancho")*(MOVIMIENTOS!$D$5:$D$1005="sacos")*(MOVIMIENTOS!$A$5:$A$1005&lt;&gt;"")*(MOVIMIENTOS!$A$5:$A$1005&lt;=$A691)*MOVIMIENTOS!$E$5:$E$1005)+SUMPRODUCT((MOVIMIENTOS!$B$5:$B$1005="AJUSTE")*(MOVIMIENTOS!$C$5:$C$1005="Chancho")*(MOVIMIENTOS!$D$5:$D$1005="sacos")*(MOVIMIENTOS!$A$5:$A$1005&lt;&gt;"")*(MOVIMIENTOS!$A$5:$A$1005&lt;=$A691)*MOVIMIENTOS!$E$5:$E$1005))</f>
        <v/>
      </c>
      <c r="G691" s="62" t="str">
        <f t="shared" si="21"/>
        <v/>
      </c>
      <c r="H691" t="str">
        <f>IF($A691="","",SUMPRODUCT((((MOVIMIENTOS!$B$5:$B$1005="SALDO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691)*MOVIMIENTOS!$J$5:$J$1005))</f>
        <v/>
      </c>
      <c r="J691" t="str">
        <f>IF(AND(MOVIMIENTOS!$A696&lt;&gt;"",COUNTIF(MOVIMIENTOS!$A$5:$A695,MOVIMIENTOS!$A696)=0),COUNT(J$4:J690)+1,"")</f>
        <v/>
      </c>
      <c r="K691">
        <f>MOVIMIENTOS!$A696</f>
        <v>0</v>
      </c>
    </row>
    <row r="692" spans="1:11" ht="15" customHeight="1" x14ac:dyDescent="0.2">
      <c r="A692" t="str">
        <f t="shared" si="20"/>
        <v/>
      </c>
      <c r="B692" t="str">
        <f>IF($A692="","",SUMPRODUCT((MOVIMIENTOS!$B$5:$B$1005="SALDO INICIAL")*(MOVIMIENTOS!$C$5:$C$1005="A")*(MOVIMIENTOS!$D$5:$D$1005="jabas")*(MOVIMIENTOS!$A$5:$A$1005&lt;&gt;"")*(MOVIMIENTOS!$A$5:$A$1005&lt;=$A692)*MOVIMIENTOS!$E$5:$E$1005)+SUMPRODUCT((MOVIMIENTOS!$B$5:$B$1005="PROCESO")*(MOVIMIENTOS!$C$5:$C$1005="A")*(MOVIMIENTOS!$D$5:$D$1005="jabas")*(MOVIMIENTOS!$A$5:$A$1005&lt;&gt;"")*(MOVIMIENTOS!$A$5:$A$1005&lt;=$A692)*MOVIMIENTOS!$E$5:$E$1005)-SUMPRODUCT((MOVIMIENTOS!$B$5:$B$1005="ENVÍO A SUPESA")*(MOVIMIENTOS!$C$5:$C$1005="A")*(MOVIMIENTOS!$D$5:$D$1005="jabas")*(MOVIMIENTOS!$A$5:$A$1005&lt;&gt;"")*(MOVIMIENTOS!$A$5:$A$1005&lt;=$A692)*MOVIMIENTOS!$E$5:$E$1005)+SUMPRODUCT((MOVIMIENTOS!$B$5:$B$1005="DEVOLUCIÓN")*(MOVIMIENTOS!$C$5:$C$1005="A")*(MOVIMIENTOS!$D$5:$D$1005="jabas")*(MOVIMIENTOS!$A$5:$A$1005&lt;&gt;"")*(MOVIMIENTOS!$A$5:$A$1005&lt;=$A692)*MOVIMIENTOS!$E$5:$E$1005)-SUMPRODUCT((MOVIMIENTOS!$B$5:$B$1005="TRASIEGO")*(MOVIMIENTOS!$C$5:$C$1005="A")*(MOVIMIENTOS!$D$5:$D$1005="jabas")*(MOVIMIENTOS!$A$5:$A$1005&lt;&gt;"")*(MOVIMIENTOS!$A$5:$A$1005&lt;=$A692)*MOVIMIENTOS!$E$5:$E$1005)-SUMPRODUCT((MOVIMIENTOS!$B$5:$B$1005="REGALO")*(MOVIMIENTOS!$C$5:$C$1005="A")*(MOVIMIENTOS!$D$5:$D$1005="jabas")*(MOVIMIENTOS!$A$5:$A$1005&lt;&gt;"")*(MOVIMIENTOS!$A$5:$A$1005&lt;=$A692)*MOVIMIENTOS!$E$5:$E$1005)-SUMPRODUCT((MOVIMIENTOS!$B$5:$B$1005="VENTA")*(MOVIMIENTOS!$C$5:$C$1005="A")*(MOVIMIENTOS!$D$5:$D$1005="jabas")*(MOVIMIENTOS!$A$5:$A$1005&lt;&gt;"")*(MOVIMIENTOS!$A$5:$A$1005&lt;=$A692)*MOVIMIENTOS!$E$5:$E$1005)+SUMPRODUCT((MOVIMIENTOS!$B$5:$B$1005="AJUSTE")*(MOVIMIENTOS!$C$5:$C$1005="A")*(MOVIMIENTOS!$D$5:$D$1005="jabas")*(MOVIMIENTOS!$A$5:$A$1005&lt;&gt;"")*(MOVIMIENTOS!$A$5:$A$1005&lt;=$A692)*MOVIMIENTOS!$E$5:$E$1005))</f>
        <v/>
      </c>
      <c r="C692" t="str">
        <f>IF($A692="","",SUMPRODUCT((MOVIMIENTOS!$B$5:$B$1005="SALDO INICIAL")*(MOVIMIENTOS!$C$5:$C$1005="P")*(MOVIMIENTOS!$D$5:$D$1005="jabas")*(MOVIMIENTOS!$A$5:$A$1005&lt;&gt;"")*(MOVIMIENTOS!$A$5:$A$1005&lt;=$A692)*MOVIMIENTOS!$E$5:$E$1005)+SUMPRODUCT((MOVIMIENTOS!$B$5:$B$1005="PROCESO")*(MOVIMIENTOS!$C$5:$C$1005="P")*(MOVIMIENTOS!$D$5:$D$1005="jabas")*(MOVIMIENTOS!$A$5:$A$1005&lt;&gt;"")*(MOVIMIENTOS!$A$5:$A$1005&lt;=$A692)*MOVIMIENTOS!$E$5:$E$1005)-SUMPRODUCT((MOVIMIENTOS!$B$5:$B$1005="ENVÍO A SUPESA")*(MOVIMIENTOS!$C$5:$C$1005="P")*(MOVIMIENTOS!$D$5:$D$1005="jabas")*(MOVIMIENTOS!$A$5:$A$1005&lt;&gt;"")*(MOVIMIENTOS!$A$5:$A$1005&lt;=$A692)*MOVIMIENTOS!$E$5:$E$1005)+SUMPRODUCT((MOVIMIENTOS!$B$5:$B$1005="DEVOLUCIÓN")*(MOVIMIENTOS!$C$5:$C$1005="P")*(MOVIMIENTOS!$D$5:$D$1005="jabas")*(MOVIMIENTOS!$A$5:$A$1005&lt;&gt;"")*(MOVIMIENTOS!$A$5:$A$1005&lt;=$A692)*MOVIMIENTOS!$E$5:$E$1005)-SUMPRODUCT((MOVIMIENTOS!$B$5:$B$1005="TRASIEGO")*(MOVIMIENTOS!$C$5:$C$1005="P")*(MOVIMIENTOS!$D$5:$D$1005="jabas")*(MOVIMIENTOS!$A$5:$A$1005&lt;&gt;"")*(MOVIMIENTOS!$A$5:$A$1005&lt;=$A692)*MOVIMIENTOS!$E$5:$E$1005)-SUMPRODUCT((MOVIMIENTOS!$B$5:$B$1005="REGALO")*(MOVIMIENTOS!$C$5:$C$1005="P")*(MOVIMIENTOS!$D$5:$D$1005="jabas")*(MOVIMIENTOS!$A$5:$A$1005&lt;&gt;"")*(MOVIMIENTOS!$A$5:$A$1005&lt;=$A692)*MOVIMIENTOS!$E$5:$E$1005)-SUMPRODUCT((MOVIMIENTOS!$B$5:$B$1005="VENTA")*(MOVIMIENTOS!$C$5:$C$1005="P")*(MOVIMIENTOS!$D$5:$D$1005="jabas")*(MOVIMIENTOS!$A$5:$A$1005&lt;&gt;"")*(MOVIMIENTOS!$A$5:$A$1005&lt;=$A692)*MOVIMIENTOS!$E$5:$E$1005)+SUMPRODUCT((MOVIMIENTOS!$B$5:$B$1005="AJUSTE")*(MOVIMIENTOS!$C$5:$C$1005="P")*(MOVIMIENTOS!$D$5:$D$1005="jabas")*(MOVIMIENTOS!$A$5:$A$1005&lt;&gt;"")*(MOVIMIENTOS!$A$5:$A$1005&lt;=$A692)*MOVIMIENTOS!$E$5:$E$1005))</f>
        <v/>
      </c>
      <c r="D692" t="str">
        <f>IF($A692="","",SUMPRODUCT((MOVIMIENTOS!$B$5:$B$1005="SALDO INICIAL")*(MOVIMIENTOS!$C$5:$C$1005="C")*(MOVIMIENTOS!$D$5:$D$1005="jabas")*(MOVIMIENTOS!$A$5:$A$1005&lt;&gt;"")*(MOVIMIENTOS!$A$5:$A$1005&lt;=$A692)*MOVIMIENTOS!$E$5:$E$1005)+SUMPRODUCT((MOVIMIENTOS!$B$5:$B$1005="PROCESO")*(MOVIMIENTOS!$C$5:$C$1005="C")*(MOVIMIENTOS!$D$5:$D$1005="jabas")*(MOVIMIENTOS!$A$5:$A$1005&lt;&gt;"")*(MOVIMIENTOS!$A$5:$A$1005&lt;=$A692)*MOVIMIENTOS!$E$5:$E$1005)-SUMPRODUCT((MOVIMIENTOS!$B$5:$B$1005="ENVÍO A SUPESA")*(MOVIMIENTOS!$C$5:$C$1005="C")*(MOVIMIENTOS!$D$5:$D$1005="jabas")*(MOVIMIENTOS!$A$5:$A$1005&lt;&gt;"")*(MOVIMIENTOS!$A$5:$A$1005&lt;=$A692)*MOVIMIENTOS!$E$5:$E$1005)+SUMPRODUCT((MOVIMIENTOS!$B$5:$B$1005="DEVOLUCIÓN")*(MOVIMIENTOS!$C$5:$C$1005="C")*(MOVIMIENTOS!$D$5:$D$1005="jabas")*(MOVIMIENTOS!$A$5:$A$1005&lt;&gt;"")*(MOVIMIENTOS!$A$5:$A$1005&lt;=$A692)*MOVIMIENTOS!$E$5:$E$1005)-SUMPRODUCT((MOVIMIENTOS!$B$5:$B$1005="TRASIEGO")*(MOVIMIENTOS!$C$5:$C$1005="C")*(MOVIMIENTOS!$D$5:$D$1005="jabas")*(MOVIMIENTOS!$A$5:$A$1005&lt;&gt;"")*(MOVIMIENTOS!$A$5:$A$1005&lt;=$A692)*MOVIMIENTOS!$E$5:$E$1005)-SUMPRODUCT((MOVIMIENTOS!$B$5:$B$1005="REGALO")*(MOVIMIENTOS!$C$5:$C$1005="C")*(MOVIMIENTOS!$D$5:$D$1005="jabas")*(MOVIMIENTOS!$A$5:$A$1005&lt;&gt;"")*(MOVIMIENTOS!$A$5:$A$1005&lt;=$A692)*MOVIMIENTOS!$E$5:$E$1005)-SUMPRODUCT((MOVIMIENTOS!$B$5:$B$1005="VENTA")*(MOVIMIENTOS!$C$5:$C$1005="C")*(MOVIMIENTOS!$D$5:$D$1005="jabas")*(MOVIMIENTOS!$A$5:$A$1005&lt;&gt;"")*(MOVIMIENTOS!$A$5:$A$1005&lt;=$A692)*MOVIMIENTOS!$E$5:$E$1005)+SUMPRODUCT((MOVIMIENTOS!$B$5:$B$1005="AJUSTE")*(MOVIMIENTOS!$C$5:$C$1005="C")*(MOVIMIENTOS!$D$5:$D$1005="jabas")*(MOVIMIENTOS!$A$5:$A$1005&lt;&gt;"")*(MOVIMIENTOS!$A$5:$A$1005&lt;=$A692)*MOVIMIENTOS!$E$5:$E$1005))</f>
        <v/>
      </c>
      <c r="E692" t="str">
        <f>IF($A692="","",SUMPRODUCT((MOVIMIENTOS!$B$5:$B$1005="SALDO INICIAL")*(MOVIMIENTOS!$C$5:$C$1005="M")*(MOVIMIENTOS!$D$5:$D$1005="jabas")*(MOVIMIENTOS!$A$5:$A$1005&lt;&gt;"")*(MOVIMIENTOS!$A$5:$A$1005&lt;=$A692)*MOVIMIENTOS!$E$5:$E$1005)+SUMPRODUCT((MOVIMIENTOS!$B$5:$B$1005="PROCESO")*(MOVIMIENTOS!$C$5:$C$1005="M")*(MOVIMIENTOS!$D$5:$D$1005="jabas")*(MOVIMIENTOS!$A$5:$A$1005&lt;&gt;"")*(MOVIMIENTOS!$A$5:$A$1005&lt;=$A692)*MOVIMIENTOS!$E$5:$E$1005)-SUMPRODUCT((MOVIMIENTOS!$B$5:$B$1005="ENVÍO A SUPESA")*(MOVIMIENTOS!$C$5:$C$1005="M")*(MOVIMIENTOS!$D$5:$D$1005="jabas")*(MOVIMIENTOS!$A$5:$A$1005&lt;&gt;"")*(MOVIMIENTOS!$A$5:$A$1005&lt;=$A692)*MOVIMIENTOS!$E$5:$E$1005)+SUMPRODUCT((MOVIMIENTOS!$B$5:$B$1005="DEVOLUCIÓN")*(MOVIMIENTOS!$C$5:$C$1005="M")*(MOVIMIENTOS!$D$5:$D$1005="jabas")*(MOVIMIENTOS!$A$5:$A$1005&lt;&gt;"")*(MOVIMIENTOS!$A$5:$A$1005&lt;=$A692)*MOVIMIENTOS!$E$5:$E$1005)-SUMPRODUCT((MOVIMIENTOS!$B$5:$B$1005="TRASIEGO")*(MOVIMIENTOS!$C$5:$C$1005="M")*(MOVIMIENTOS!$D$5:$D$1005="jabas")*(MOVIMIENTOS!$A$5:$A$1005&lt;&gt;"")*(MOVIMIENTOS!$A$5:$A$1005&lt;=$A692)*MOVIMIENTOS!$E$5:$E$1005)-SUMPRODUCT((MOVIMIENTOS!$B$5:$B$1005="REGALO")*(MOVIMIENTOS!$C$5:$C$1005="M")*(MOVIMIENTOS!$D$5:$D$1005="jabas")*(MOVIMIENTOS!$A$5:$A$1005&lt;&gt;"")*(MOVIMIENTOS!$A$5:$A$1005&lt;=$A692)*MOVIMIENTOS!$E$5:$E$1005)-SUMPRODUCT((MOVIMIENTOS!$B$5:$B$1005="VENTA")*(MOVIMIENTOS!$C$5:$C$1005="M")*(MOVIMIENTOS!$D$5:$D$1005="jabas")*(MOVIMIENTOS!$A$5:$A$1005&lt;&gt;"")*(MOVIMIENTOS!$A$5:$A$1005&lt;=$A692)*MOVIMIENTOS!$E$5:$E$1005)+SUMPRODUCT((MOVIMIENTOS!$B$5:$B$1005="AJUSTE")*(MOVIMIENTOS!$C$5:$C$1005="M")*(MOVIMIENTOS!$D$5:$D$1005="jabas")*(MOVIMIENTOS!$A$5:$A$1005&lt;&gt;"")*(MOVIMIENTOS!$A$5:$A$1005&lt;=$A692)*MOVIMIENTOS!$E$5:$E$1005))</f>
        <v/>
      </c>
      <c r="F692" s="62" t="str">
        <f>IF($A692="","",SUMPRODUCT((MOVIMIENTOS!$B$5:$B$1005="SALDO INICIAL")*(MOVIMIENTOS!$C$5:$C$1005="Chancho")*(MOVIMIENTOS!$D$5:$D$1005="sacos")*(MOVIMIENTOS!$A$5:$A$1005&lt;&gt;"")*(MOVIMIENTOS!$A$5:$A$1005&lt;=$A692)*MOVIMIENTOS!$E$5:$E$1005)+SUMPRODUCT((MOVIMIENTOS!$B$5:$B$1005="PROCESO")*(MOVIMIENTOS!$C$5:$C$1005="Chancho")*(MOVIMIENTOS!$D$5:$D$1005="sacos")*(MOVIMIENTOS!$A$5:$A$1005&lt;&gt;"")*(MOVIMIENTOS!$A$5:$A$1005&lt;=$A692)*MOVIMIENTOS!$E$5:$E$1005)-SUMPRODUCT((MOVIMIENTOS!$B$5:$B$1005="VENTA CHANCHO")*(MOVIMIENTOS!$C$5:$C$1005="Chancho")*(MOVIMIENTOS!$D$5:$D$1005="sacos")*(MOVIMIENTOS!$A$5:$A$1005&lt;&gt;"")*(MOVIMIENTOS!$A$5:$A$1005&lt;=$A692)*MOVIMIENTOS!$E$5:$E$1005)-SUMPRODUCT((MOVIMIENTOS!$B$5:$B$1005="REGALO")*(MOVIMIENTOS!$C$5:$C$1005="Chancho")*(MOVIMIENTOS!$D$5:$D$1005="sacos")*(MOVIMIENTOS!$A$5:$A$1005&lt;&gt;"")*(MOVIMIENTOS!$A$5:$A$1005&lt;=$A692)*MOVIMIENTOS!$E$5:$E$1005)-SUMPRODUCT((MOVIMIENTOS!$B$5:$B$1005="VENTA")*(MOVIMIENTOS!$C$5:$C$1005="Chancho")*(MOVIMIENTOS!$D$5:$D$1005="sacos")*(MOVIMIENTOS!$A$5:$A$1005&lt;&gt;"")*(MOVIMIENTOS!$A$5:$A$1005&lt;=$A692)*MOVIMIENTOS!$E$5:$E$1005)+SUMPRODUCT((MOVIMIENTOS!$B$5:$B$1005="AJUSTE")*(MOVIMIENTOS!$C$5:$C$1005="Chancho")*(MOVIMIENTOS!$D$5:$D$1005="sacos")*(MOVIMIENTOS!$A$5:$A$1005&lt;&gt;"")*(MOVIMIENTOS!$A$5:$A$1005&lt;=$A692)*MOVIMIENTOS!$E$5:$E$1005))</f>
        <v/>
      </c>
      <c r="G692" s="62" t="str">
        <f t="shared" si="21"/>
        <v/>
      </c>
      <c r="H692" t="str">
        <f>IF($A692="","",SUMPRODUCT((((MOVIMIENTOS!$B$5:$B$1005="SALDO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692)*MOVIMIENTOS!$J$5:$J$1005))</f>
        <v/>
      </c>
      <c r="J692" t="str">
        <f>IF(AND(MOVIMIENTOS!$A697&lt;&gt;"",COUNTIF(MOVIMIENTOS!$A$5:$A696,MOVIMIENTOS!$A697)=0),COUNT(J$4:J691)+1,"")</f>
        <v/>
      </c>
      <c r="K692">
        <f>MOVIMIENTOS!$A697</f>
        <v>0</v>
      </c>
    </row>
    <row r="693" spans="1:11" ht="15" customHeight="1" x14ac:dyDescent="0.2">
      <c r="A693" t="str">
        <f t="shared" si="20"/>
        <v/>
      </c>
      <c r="B693" t="str">
        <f>IF($A693="","",SUMPRODUCT((MOVIMIENTOS!$B$5:$B$1005="SALDO INICIAL")*(MOVIMIENTOS!$C$5:$C$1005="A")*(MOVIMIENTOS!$D$5:$D$1005="jabas")*(MOVIMIENTOS!$A$5:$A$1005&lt;&gt;"")*(MOVIMIENTOS!$A$5:$A$1005&lt;=$A693)*MOVIMIENTOS!$E$5:$E$1005)+SUMPRODUCT((MOVIMIENTOS!$B$5:$B$1005="PROCESO")*(MOVIMIENTOS!$C$5:$C$1005="A")*(MOVIMIENTOS!$D$5:$D$1005="jabas")*(MOVIMIENTOS!$A$5:$A$1005&lt;&gt;"")*(MOVIMIENTOS!$A$5:$A$1005&lt;=$A693)*MOVIMIENTOS!$E$5:$E$1005)-SUMPRODUCT((MOVIMIENTOS!$B$5:$B$1005="ENVÍO A SUPESA")*(MOVIMIENTOS!$C$5:$C$1005="A")*(MOVIMIENTOS!$D$5:$D$1005="jabas")*(MOVIMIENTOS!$A$5:$A$1005&lt;&gt;"")*(MOVIMIENTOS!$A$5:$A$1005&lt;=$A693)*MOVIMIENTOS!$E$5:$E$1005)+SUMPRODUCT((MOVIMIENTOS!$B$5:$B$1005="DEVOLUCIÓN")*(MOVIMIENTOS!$C$5:$C$1005="A")*(MOVIMIENTOS!$D$5:$D$1005="jabas")*(MOVIMIENTOS!$A$5:$A$1005&lt;&gt;"")*(MOVIMIENTOS!$A$5:$A$1005&lt;=$A693)*MOVIMIENTOS!$E$5:$E$1005)-SUMPRODUCT((MOVIMIENTOS!$B$5:$B$1005="TRASIEGO")*(MOVIMIENTOS!$C$5:$C$1005="A")*(MOVIMIENTOS!$D$5:$D$1005="jabas")*(MOVIMIENTOS!$A$5:$A$1005&lt;&gt;"")*(MOVIMIENTOS!$A$5:$A$1005&lt;=$A693)*MOVIMIENTOS!$E$5:$E$1005)-SUMPRODUCT((MOVIMIENTOS!$B$5:$B$1005="REGALO")*(MOVIMIENTOS!$C$5:$C$1005="A")*(MOVIMIENTOS!$D$5:$D$1005="jabas")*(MOVIMIENTOS!$A$5:$A$1005&lt;&gt;"")*(MOVIMIENTOS!$A$5:$A$1005&lt;=$A693)*MOVIMIENTOS!$E$5:$E$1005)-SUMPRODUCT((MOVIMIENTOS!$B$5:$B$1005="VENTA")*(MOVIMIENTOS!$C$5:$C$1005="A")*(MOVIMIENTOS!$D$5:$D$1005="jabas")*(MOVIMIENTOS!$A$5:$A$1005&lt;&gt;"")*(MOVIMIENTOS!$A$5:$A$1005&lt;=$A693)*MOVIMIENTOS!$E$5:$E$1005)+SUMPRODUCT((MOVIMIENTOS!$B$5:$B$1005="AJUSTE")*(MOVIMIENTOS!$C$5:$C$1005="A")*(MOVIMIENTOS!$D$5:$D$1005="jabas")*(MOVIMIENTOS!$A$5:$A$1005&lt;&gt;"")*(MOVIMIENTOS!$A$5:$A$1005&lt;=$A693)*MOVIMIENTOS!$E$5:$E$1005))</f>
        <v/>
      </c>
      <c r="C693" t="str">
        <f>IF($A693="","",SUMPRODUCT((MOVIMIENTOS!$B$5:$B$1005="SALDO INICIAL")*(MOVIMIENTOS!$C$5:$C$1005="P")*(MOVIMIENTOS!$D$5:$D$1005="jabas")*(MOVIMIENTOS!$A$5:$A$1005&lt;&gt;"")*(MOVIMIENTOS!$A$5:$A$1005&lt;=$A693)*MOVIMIENTOS!$E$5:$E$1005)+SUMPRODUCT((MOVIMIENTOS!$B$5:$B$1005="PROCESO")*(MOVIMIENTOS!$C$5:$C$1005="P")*(MOVIMIENTOS!$D$5:$D$1005="jabas")*(MOVIMIENTOS!$A$5:$A$1005&lt;&gt;"")*(MOVIMIENTOS!$A$5:$A$1005&lt;=$A693)*MOVIMIENTOS!$E$5:$E$1005)-SUMPRODUCT((MOVIMIENTOS!$B$5:$B$1005="ENVÍO A SUPESA")*(MOVIMIENTOS!$C$5:$C$1005="P")*(MOVIMIENTOS!$D$5:$D$1005="jabas")*(MOVIMIENTOS!$A$5:$A$1005&lt;&gt;"")*(MOVIMIENTOS!$A$5:$A$1005&lt;=$A693)*MOVIMIENTOS!$E$5:$E$1005)+SUMPRODUCT((MOVIMIENTOS!$B$5:$B$1005="DEVOLUCIÓN")*(MOVIMIENTOS!$C$5:$C$1005="P")*(MOVIMIENTOS!$D$5:$D$1005="jabas")*(MOVIMIENTOS!$A$5:$A$1005&lt;&gt;"")*(MOVIMIENTOS!$A$5:$A$1005&lt;=$A693)*MOVIMIENTOS!$E$5:$E$1005)-SUMPRODUCT((MOVIMIENTOS!$B$5:$B$1005="TRASIEGO")*(MOVIMIENTOS!$C$5:$C$1005="P")*(MOVIMIENTOS!$D$5:$D$1005="jabas")*(MOVIMIENTOS!$A$5:$A$1005&lt;&gt;"")*(MOVIMIENTOS!$A$5:$A$1005&lt;=$A693)*MOVIMIENTOS!$E$5:$E$1005)-SUMPRODUCT((MOVIMIENTOS!$B$5:$B$1005="REGALO")*(MOVIMIENTOS!$C$5:$C$1005="P")*(MOVIMIENTOS!$D$5:$D$1005="jabas")*(MOVIMIENTOS!$A$5:$A$1005&lt;&gt;"")*(MOVIMIENTOS!$A$5:$A$1005&lt;=$A693)*MOVIMIENTOS!$E$5:$E$1005)-SUMPRODUCT((MOVIMIENTOS!$B$5:$B$1005="VENTA")*(MOVIMIENTOS!$C$5:$C$1005="P")*(MOVIMIENTOS!$D$5:$D$1005="jabas")*(MOVIMIENTOS!$A$5:$A$1005&lt;&gt;"")*(MOVIMIENTOS!$A$5:$A$1005&lt;=$A693)*MOVIMIENTOS!$E$5:$E$1005)+SUMPRODUCT((MOVIMIENTOS!$B$5:$B$1005="AJUSTE")*(MOVIMIENTOS!$C$5:$C$1005="P")*(MOVIMIENTOS!$D$5:$D$1005="jabas")*(MOVIMIENTOS!$A$5:$A$1005&lt;&gt;"")*(MOVIMIENTOS!$A$5:$A$1005&lt;=$A693)*MOVIMIENTOS!$E$5:$E$1005))</f>
        <v/>
      </c>
      <c r="D693" t="str">
        <f>IF($A693="","",SUMPRODUCT((MOVIMIENTOS!$B$5:$B$1005="SALDO INICIAL")*(MOVIMIENTOS!$C$5:$C$1005="C")*(MOVIMIENTOS!$D$5:$D$1005="jabas")*(MOVIMIENTOS!$A$5:$A$1005&lt;&gt;"")*(MOVIMIENTOS!$A$5:$A$1005&lt;=$A693)*MOVIMIENTOS!$E$5:$E$1005)+SUMPRODUCT((MOVIMIENTOS!$B$5:$B$1005="PROCESO")*(MOVIMIENTOS!$C$5:$C$1005="C")*(MOVIMIENTOS!$D$5:$D$1005="jabas")*(MOVIMIENTOS!$A$5:$A$1005&lt;&gt;"")*(MOVIMIENTOS!$A$5:$A$1005&lt;=$A693)*MOVIMIENTOS!$E$5:$E$1005)-SUMPRODUCT((MOVIMIENTOS!$B$5:$B$1005="ENVÍO A SUPESA")*(MOVIMIENTOS!$C$5:$C$1005="C")*(MOVIMIENTOS!$D$5:$D$1005="jabas")*(MOVIMIENTOS!$A$5:$A$1005&lt;&gt;"")*(MOVIMIENTOS!$A$5:$A$1005&lt;=$A693)*MOVIMIENTOS!$E$5:$E$1005)+SUMPRODUCT((MOVIMIENTOS!$B$5:$B$1005="DEVOLUCIÓN")*(MOVIMIENTOS!$C$5:$C$1005="C")*(MOVIMIENTOS!$D$5:$D$1005="jabas")*(MOVIMIENTOS!$A$5:$A$1005&lt;&gt;"")*(MOVIMIENTOS!$A$5:$A$1005&lt;=$A693)*MOVIMIENTOS!$E$5:$E$1005)-SUMPRODUCT((MOVIMIENTOS!$B$5:$B$1005="TRASIEGO")*(MOVIMIENTOS!$C$5:$C$1005="C")*(MOVIMIENTOS!$D$5:$D$1005="jabas")*(MOVIMIENTOS!$A$5:$A$1005&lt;&gt;"")*(MOVIMIENTOS!$A$5:$A$1005&lt;=$A693)*MOVIMIENTOS!$E$5:$E$1005)-SUMPRODUCT((MOVIMIENTOS!$B$5:$B$1005="REGALO")*(MOVIMIENTOS!$C$5:$C$1005="C")*(MOVIMIENTOS!$D$5:$D$1005="jabas")*(MOVIMIENTOS!$A$5:$A$1005&lt;&gt;"")*(MOVIMIENTOS!$A$5:$A$1005&lt;=$A693)*MOVIMIENTOS!$E$5:$E$1005)-SUMPRODUCT((MOVIMIENTOS!$B$5:$B$1005="VENTA")*(MOVIMIENTOS!$C$5:$C$1005="C")*(MOVIMIENTOS!$D$5:$D$1005="jabas")*(MOVIMIENTOS!$A$5:$A$1005&lt;&gt;"")*(MOVIMIENTOS!$A$5:$A$1005&lt;=$A693)*MOVIMIENTOS!$E$5:$E$1005)+SUMPRODUCT((MOVIMIENTOS!$B$5:$B$1005="AJUSTE")*(MOVIMIENTOS!$C$5:$C$1005="C")*(MOVIMIENTOS!$D$5:$D$1005="jabas")*(MOVIMIENTOS!$A$5:$A$1005&lt;&gt;"")*(MOVIMIENTOS!$A$5:$A$1005&lt;=$A693)*MOVIMIENTOS!$E$5:$E$1005))</f>
        <v/>
      </c>
      <c r="E693" t="str">
        <f>IF($A693="","",SUMPRODUCT((MOVIMIENTOS!$B$5:$B$1005="SALDO INICIAL")*(MOVIMIENTOS!$C$5:$C$1005="M")*(MOVIMIENTOS!$D$5:$D$1005="jabas")*(MOVIMIENTOS!$A$5:$A$1005&lt;&gt;"")*(MOVIMIENTOS!$A$5:$A$1005&lt;=$A693)*MOVIMIENTOS!$E$5:$E$1005)+SUMPRODUCT((MOVIMIENTOS!$B$5:$B$1005="PROCESO")*(MOVIMIENTOS!$C$5:$C$1005="M")*(MOVIMIENTOS!$D$5:$D$1005="jabas")*(MOVIMIENTOS!$A$5:$A$1005&lt;&gt;"")*(MOVIMIENTOS!$A$5:$A$1005&lt;=$A693)*MOVIMIENTOS!$E$5:$E$1005)-SUMPRODUCT((MOVIMIENTOS!$B$5:$B$1005="ENVÍO A SUPESA")*(MOVIMIENTOS!$C$5:$C$1005="M")*(MOVIMIENTOS!$D$5:$D$1005="jabas")*(MOVIMIENTOS!$A$5:$A$1005&lt;&gt;"")*(MOVIMIENTOS!$A$5:$A$1005&lt;=$A693)*MOVIMIENTOS!$E$5:$E$1005)+SUMPRODUCT((MOVIMIENTOS!$B$5:$B$1005="DEVOLUCIÓN")*(MOVIMIENTOS!$C$5:$C$1005="M")*(MOVIMIENTOS!$D$5:$D$1005="jabas")*(MOVIMIENTOS!$A$5:$A$1005&lt;&gt;"")*(MOVIMIENTOS!$A$5:$A$1005&lt;=$A693)*MOVIMIENTOS!$E$5:$E$1005)-SUMPRODUCT((MOVIMIENTOS!$B$5:$B$1005="TRASIEGO")*(MOVIMIENTOS!$C$5:$C$1005="M")*(MOVIMIENTOS!$D$5:$D$1005="jabas")*(MOVIMIENTOS!$A$5:$A$1005&lt;&gt;"")*(MOVIMIENTOS!$A$5:$A$1005&lt;=$A693)*MOVIMIENTOS!$E$5:$E$1005)-SUMPRODUCT((MOVIMIENTOS!$B$5:$B$1005="REGALO")*(MOVIMIENTOS!$C$5:$C$1005="M")*(MOVIMIENTOS!$D$5:$D$1005="jabas")*(MOVIMIENTOS!$A$5:$A$1005&lt;&gt;"")*(MOVIMIENTOS!$A$5:$A$1005&lt;=$A693)*MOVIMIENTOS!$E$5:$E$1005)-SUMPRODUCT((MOVIMIENTOS!$B$5:$B$1005="VENTA")*(MOVIMIENTOS!$C$5:$C$1005="M")*(MOVIMIENTOS!$D$5:$D$1005="jabas")*(MOVIMIENTOS!$A$5:$A$1005&lt;&gt;"")*(MOVIMIENTOS!$A$5:$A$1005&lt;=$A693)*MOVIMIENTOS!$E$5:$E$1005)+SUMPRODUCT((MOVIMIENTOS!$B$5:$B$1005="AJUSTE")*(MOVIMIENTOS!$C$5:$C$1005="M")*(MOVIMIENTOS!$D$5:$D$1005="jabas")*(MOVIMIENTOS!$A$5:$A$1005&lt;&gt;"")*(MOVIMIENTOS!$A$5:$A$1005&lt;=$A693)*MOVIMIENTOS!$E$5:$E$1005))</f>
        <v/>
      </c>
      <c r="F693" s="62" t="str">
        <f>IF($A693="","",SUMPRODUCT((MOVIMIENTOS!$B$5:$B$1005="SALDO INICIAL")*(MOVIMIENTOS!$C$5:$C$1005="Chancho")*(MOVIMIENTOS!$D$5:$D$1005="sacos")*(MOVIMIENTOS!$A$5:$A$1005&lt;&gt;"")*(MOVIMIENTOS!$A$5:$A$1005&lt;=$A693)*MOVIMIENTOS!$E$5:$E$1005)+SUMPRODUCT((MOVIMIENTOS!$B$5:$B$1005="PROCESO")*(MOVIMIENTOS!$C$5:$C$1005="Chancho")*(MOVIMIENTOS!$D$5:$D$1005="sacos")*(MOVIMIENTOS!$A$5:$A$1005&lt;&gt;"")*(MOVIMIENTOS!$A$5:$A$1005&lt;=$A693)*MOVIMIENTOS!$E$5:$E$1005)-SUMPRODUCT((MOVIMIENTOS!$B$5:$B$1005="VENTA CHANCHO")*(MOVIMIENTOS!$C$5:$C$1005="Chancho")*(MOVIMIENTOS!$D$5:$D$1005="sacos")*(MOVIMIENTOS!$A$5:$A$1005&lt;&gt;"")*(MOVIMIENTOS!$A$5:$A$1005&lt;=$A693)*MOVIMIENTOS!$E$5:$E$1005)-SUMPRODUCT((MOVIMIENTOS!$B$5:$B$1005="REGALO")*(MOVIMIENTOS!$C$5:$C$1005="Chancho")*(MOVIMIENTOS!$D$5:$D$1005="sacos")*(MOVIMIENTOS!$A$5:$A$1005&lt;&gt;"")*(MOVIMIENTOS!$A$5:$A$1005&lt;=$A693)*MOVIMIENTOS!$E$5:$E$1005)-SUMPRODUCT((MOVIMIENTOS!$B$5:$B$1005="VENTA")*(MOVIMIENTOS!$C$5:$C$1005="Chancho")*(MOVIMIENTOS!$D$5:$D$1005="sacos")*(MOVIMIENTOS!$A$5:$A$1005&lt;&gt;"")*(MOVIMIENTOS!$A$5:$A$1005&lt;=$A693)*MOVIMIENTOS!$E$5:$E$1005)+SUMPRODUCT((MOVIMIENTOS!$B$5:$B$1005="AJUSTE")*(MOVIMIENTOS!$C$5:$C$1005="Chancho")*(MOVIMIENTOS!$D$5:$D$1005="sacos")*(MOVIMIENTOS!$A$5:$A$1005&lt;&gt;"")*(MOVIMIENTOS!$A$5:$A$1005&lt;=$A693)*MOVIMIENTOS!$E$5:$E$1005))</f>
        <v/>
      </c>
      <c r="G693" s="62" t="str">
        <f t="shared" si="21"/>
        <v/>
      </c>
      <c r="H693" t="str">
        <f>IF($A693="","",SUMPRODUCT((((MOVIMIENTOS!$B$5:$B$1005="SALDO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693)*MOVIMIENTOS!$J$5:$J$1005))</f>
        <v/>
      </c>
      <c r="J693" t="str">
        <f>IF(AND(MOVIMIENTOS!$A698&lt;&gt;"",COUNTIF(MOVIMIENTOS!$A$5:$A697,MOVIMIENTOS!$A698)=0),COUNT(J$4:J692)+1,"")</f>
        <v/>
      </c>
      <c r="K693">
        <f>MOVIMIENTOS!$A698</f>
        <v>0</v>
      </c>
    </row>
    <row r="694" spans="1:11" ht="15" customHeight="1" x14ac:dyDescent="0.2">
      <c r="A694" t="str">
        <f t="shared" si="20"/>
        <v/>
      </c>
      <c r="B694" t="str">
        <f>IF($A694="","",SUMPRODUCT((MOVIMIENTOS!$B$5:$B$1005="SALDO INICIAL")*(MOVIMIENTOS!$C$5:$C$1005="A")*(MOVIMIENTOS!$D$5:$D$1005="jabas")*(MOVIMIENTOS!$A$5:$A$1005&lt;&gt;"")*(MOVIMIENTOS!$A$5:$A$1005&lt;=$A694)*MOVIMIENTOS!$E$5:$E$1005)+SUMPRODUCT((MOVIMIENTOS!$B$5:$B$1005="PROCESO")*(MOVIMIENTOS!$C$5:$C$1005="A")*(MOVIMIENTOS!$D$5:$D$1005="jabas")*(MOVIMIENTOS!$A$5:$A$1005&lt;&gt;"")*(MOVIMIENTOS!$A$5:$A$1005&lt;=$A694)*MOVIMIENTOS!$E$5:$E$1005)-SUMPRODUCT((MOVIMIENTOS!$B$5:$B$1005="ENVÍO A SUPESA")*(MOVIMIENTOS!$C$5:$C$1005="A")*(MOVIMIENTOS!$D$5:$D$1005="jabas")*(MOVIMIENTOS!$A$5:$A$1005&lt;&gt;"")*(MOVIMIENTOS!$A$5:$A$1005&lt;=$A694)*MOVIMIENTOS!$E$5:$E$1005)+SUMPRODUCT((MOVIMIENTOS!$B$5:$B$1005="DEVOLUCIÓN")*(MOVIMIENTOS!$C$5:$C$1005="A")*(MOVIMIENTOS!$D$5:$D$1005="jabas")*(MOVIMIENTOS!$A$5:$A$1005&lt;&gt;"")*(MOVIMIENTOS!$A$5:$A$1005&lt;=$A694)*MOVIMIENTOS!$E$5:$E$1005)-SUMPRODUCT((MOVIMIENTOS!$B$5:$B$1005="TRASIEGO")*(MOVIMIENTOS!$C$5:$C$1005="A")*(MOVIMIENTOS!$D$5:$D$1005="jabas")*(MOVIMIENTOS!$A$5:$A$1005&lt;&gt;"")*(MOVIMIENTOS!$A$5:$A$1005&lt;=$A694)*MOVIMIENTOS!$E$5:$E$1005)-SUMPRODUCT((MOVIMIENTOS!$B$5:$B$1005="REGALO")*(MOVIMIENTOS!$C$5:$C$1005="A")*(MOVIMIENTOS!$D$5:$D$1005="jabas")*(MOVIMIENTOS!$A$5:$A$1005&lt;&gt;"")*(MOVIMIENTOS!$A$5:$A$1005&lt;=$A694)*MOVIMIENTOS!$E$5:$E$1005)-SUMPRODUCT((MOVIMIENTOS!$B$5:$B$1005="VENTA")*(MOVIMIENTOS!$C$5:$C$1005="A")*(MOVIMIENTOS!$D$5:$D$1005="jabas")*(MOVIMIENTOS!$A$5:$A$1005&lt;&gt;"")*(MOVIMIENTOS!$A$5:$A$1005&lt;=$A694)*MOVIMIENTOS!$E$5:$E$1005)+SUMPRODUCT((MOVIMIENTOS!$B$5:$B$1005="AJUSTE")*(MOVIMIENTOS!$C$5:$C$1005="A")*(MOVIMIENTOS!$D$5:$D$1005="jabas")*(MOVIMIENTOS!$A$5:$A$1005&lt;&gt;"")*(MOVIMIENTOS!$A$5:$A$1005&lt;=$A694)*MOVIMIENTOS!$E$5:$E$1005))</f>
        <v/>
      </c>
      <c r="C694" t="str">
        <f>IF($A694="","",SUMPRODUCT((MOVIMIENTOS!$B$5:$B$1005="SALDO INICIAL")*(MOVIMIENTOS!$C$5:$C$1005="P")*(MOVIMIENTOS!$D$5:$D$1005="jabas")*(MOVIMIENTOS!$A$5:$A$1005&lt;&gt;"")*(MOVIMIENTOS!$A$5:$A$1005&lt;=$A694)*MOVIMIENTOS!$E$5:$E$1005)+SUMPRODUCT((MOVIMIENTOS!$B$5:$B$1005="PROCESO")*(MOVIMIENTOS!$C$5:$C$1005="P")*(MOVIMIENTOS!$D$5:$D$1005="jabas")*(MOVIMIENTOS!$A$5:$A$1005&lt;&gt;"")*(MOVIMIENTOS!$A$5:$A$1005&lt;=$A694)*MOVIMIENTOS!$E$5:$E$1005)-SUMPRODUCT((MOVIMIENTOS!$B$5:$B$1005="ENVÍO A SUPESA")*(MOVIMIENTOS!$C$5:$C$1005="P")*(MOVIMIENTOS!$D$5:$D$1005="jabas")*(MOVIMIENTOS!$A$5:$A$1005&lt;&gt;"")*(MOVIMIENTOS!$A$5:$A$1005&lt;=$A694)*MOVIMIENTOS!$E$5:$E$1005)+SUMPRODUCT((MOVIMIENTOS!$B$5:$B$1005="DEVOLUCIÓN")*(MOVIMIENTOS!$C$5:$C$1005="P")*(MOVIMIENTOS!$D$5:$D$1005="jabas")*(MOVIMIENTOS!$A$5:$A$1005&lt;&gt;"")*(MOVIMIENTOS!$A$5:$A$1005&lt;=$A694)*MOVIMIENTOS!$E$5:$E$1005)-SUMPRODUCT((MOVIMIENTOS!$B$5:$B$1005="TRASIEGO")*(MOVIMIENTOS!$C$5:$C$1005="P")*(MOVIMIENTOS!$D$5:$D$1005="jabas")*(MOVIMIENTOS!$A$5:$A$1005&lt;&gt;"")*(MOVIMIENTOS!$A$5:$A$1005&lt;=$A694)*MOVIMIENTOS!$E$5:$E$1005)-SUMPRODUCT((MOVIMIENTOS!$B$5:$B$1005="REGALO")*(MOVIMIENTOS!$C$5:$C$1005="P")*(MOVIMIENTOS!$D$5:$D$1005="jabas")*(MOVIMIENTOS!$A$5:$A$1005&lt;&gt;"")*(MOVIMIENTOS!$A$5:$A$1005&lt;=$A694)*MOVIMIENTOS!$E$5:$E$1005)-SUMPRODUCT((MOVIMIENTOS!$B$5:$B$1005="VENTA")*(MOVIMIENTOS!$C$5:$C$1005="P")*(MOVIMIENTOS!$D$5:$D$1005="jabas")*(MOVIMIENTOS!$A$5:$A$1005&lt;&gt;"")*(MOVIMIENTOS!$A$5:$A$1005&lt;=$A694)*MOVIMIENTOS!$E$5:$E$1005)+SUMPRODUCT((MOVIMIENTOS!$B$5:$B$1005="AJUSTE")*(MOVIMIENTOS!$C$5:$C$1005="P")*(MOVIMIENTOS!$D$5:$D$1005="jabas")*(MOVIMIENTOS!$A$5:$A$1005&lt;&gt;"")*(MOVIMIENTOS!$A$5:$A$1005&lt;=$A694)*MOVIMIENTOS!$E$5:$E$1005))</f>
        <v/>
      </c>
      <c r="D694" t="str">
        <f>IF($A694="","",SUMPRODUCT((MOVIMIENTOS!$B$5:$B$1005="SALDO INICIAL")*(MOVIMIENTOS!$C$5:$C$1005="C")*(MOVIMIENTOS!$D$5:$D$1005="jabas")*(MOVIMIENTOS!$A$5:$A$1005&lt;&gt;"")*(MOVIMIENTOS!$A$5:$A$1005&lt;=$A694)*MOVIMIENTOS!$E$5:$E$1005)+SUMPRODUCT((MOVIMIENTOS!$B$5:$B$1005="PROCESO")*(MOVIMIENTOS!$C$5:$C$1005="C")*(MOVIMIENTOS!$D$5:$D$1005="jabas")*(MOVIMIENTOS!$A$5:$A$1005&lt;&gt;"")*(MOVIMIENTOS!$A$5:$A$1005&lt;=$A694)*MOVIMIENTOS!$E$5:$E$1005)-SUMPRODUCT((MOVIMIENTOS!$B$5:$B$1005="ENVÍO A SUPESA")*(MOVIMIENTOS!$C$5:$C$1005="C")*(MOVIMIENTOS!$D$5:$D$1005="jabas")*(MOVIMIENTOS!$A$5:$A$1005&lt;&gt;"")*(MOVIMIENTOS!$A$5:$A$1005&lt;=$A694)*MOVIMIENTOS!$E$5:$E$1005)+SUMPRODUCT((MOVIMIENTOS!$B$5:$B$1005="DEVOLUCIÓN")*(MOVIMIENTOS!$C$5:$C$1005="C")*(MOVIMIENTOS!$D$5:$D$1005="jabas")*(MOVIMIENTOS!$A$5:$A$1005&lt;&gt;"")*(MOVIMIENTOS!$A$5:$A$1005&lt;=$A694)*MOVIMIENTOS!$E$5:$E$1005)-SUMPRODUCT((MOVIMIENTOS!$B$5:$B$1005="TRASIEGO")*(MOVIMIENTOS!$C$5:$C$1005="C")*(MOVIMIENTOS!$D$5:$D$1005="jabas")*(MOVIMIENTOS!$A$5:$A$1005&lt;&gt;"")*(MOVIMIENTOS!$A$5:$A$1005&lt;=$A694)*MOVIMIENTOS!$E$5:$E$1005)-SUMPRODUCT((MOVIMIENTOS!$B$5:$B$1005="REGALO")*(MOVIMIENTOS!$C$5:$C$1005="C")*(MOVIMIENTOS!$D$5:$D$1005="jabas")*(MOVIMIENTOS!$A$5:$A$1005&lt;&gt;"")*(MOVIMIENTOS!$A$5:$A$1005&lt;=$A694)*MOVIMIENTOS!$E$5:$E$1005)-SUMPRODUCT((MOVIMIENTOS!$B$5:$B$1005="VENTA")*(MOVIMIENTOS!$C$5:$C$1005="C")*(MOVIMIENTOS!$D$5:$D$1005="jabas")*(MOVIMIENTOS!$A$5:$A$1005&lt;&gt;"")*(MOVIMIENTOS!$A$5:$A$1005&lt;=$A694)*MOVIMIENTOS!$E$5:$E$1005)+SUMPRODUCT((MOVIMIENTOS!$B$5:$B$1005="AJUSTE")*(MOVIMIENTOS!$C$5:$C$1005="C")*(MOVIMIENTOS!$D$5:$D$1005="jabas")*(MOVIMIENTOS!$A$5:$A$1005&lt;&gt;"")*(MOVIMIENTOS!$A$5:$A$1005&lt;=$A694)*MOVIMIENTOS!$E$5:$E$1005))</f>
        <v/>
      </c>
      <c r="E694" t="str">
        <f>IF($A694="","",SUMPRODUCT((MOVIMIENTOS!$B$5:$B$1005="SALDO INICIAL")*(MOVIMIENTOS!$C$5:$C$1005="M")*(MOVIMIENTOS!$D$5:$D$1005="jabas")*(MOVIMIENTOS!$A$5:$A$1005&lt;&gt;"")*(MOVIMIENTOS!$A$5:$A$1005&lt;=$A694)*MOVIMIENTOS!$E$5:$E$1005)+SUMPRODUCT((MOVIMIENTOS!$B$5:$B$1005="PROCESO")*(MOVIMIENTOS!$C$5:$C$1005="M")*(MOVIMIENTOS!$D$5:$D$1005="jabas")*(MOVIMIENTOS!$A$5:$A$1005&lt;&gt;"")*(MOVIMIENTOS!$A$5:$A$1005&lt;=$A694)*MOVIMIENTOS!$E$5:$E$1005)-SUMPRODUCT((MOVIMIENTOS!$B$5:$B$1005="ENVÍO A SUPESA")*(MOVIMIENTOS!$C$5:$C$1005="M")*(MOVIMIENTOS!$D$5:$D$1005="jabas")*(MOVIMIENTOS!$A$5:$A$1005&lt;&gt;"")*(MOVIMIENTOS!$A$5:$A$1005&lt;=$A694)*MOVIMIENTOS!$E$5:$E$1005)+SUMPRODUCT((MOVIMIENTOS!$B$5:$B$1005="DEVOLUCIÓN")*(MOVIMIENTOS!$C$5:$C$1005="M")*(MOVIMIENTOS!$D$5:$D$1005="jabas")*(MOVIMIENTOS!$A$5:$A$1005&lt;&gt;"")*(MOVIMIENTOS!$A$5:$A$1005&lt;=$A694)*MOVIMIENTOS!$E$5:$E$1005)-SUMPRODUCT((MOVIMIENTOS!$B$5:$B$1005="TRASIEGO")*(MOVIMIENTOS!$C$5:$C$1005="M")*(MOVIMIENTOS!$D$5:$D$1005="jabas")*(MOVIMIENTOS!$A$5:$A$1005&lt;&gt;"")*(MOVIMIENTOS!$A$5:$A$1005&lt;=$A694)*MOVIMIENTOS!$E$5:$E$1005)-SUMPRODUCT((MOVIMIENTOS!$B$5:$B$1005="REGALO")*(MOVIMIENTOS!$C$5:$C$1005="M")*(MOVIMIENTOS!$D$5:$D$1005="jabas")*(MOVIMIENTOS!$A$5:$A$1005&lt;&gt;"")*(MOVIMIENTOS!$A$5:$A$1005&lt;=$A694)*MOVIMIENTOS!$E$5:$E$1005)-SUMPRODUCT((MOVIMIENTOS!$B$5:$B$1005="VENTA")*(MOVIMIENTOS!$C$5:$C$1005="M")*(MOVIMIENTOS!$D$5:$D$1005="jabas")*(MOVIMIENTOS!$A$5:$A$1005&lt;&gt;"")*(MOVIMIENTOS!$A$5:$A$1005&lt;=$A694)*MOVIMIENTOS!$E$5:$E$1005)+SUMPRODUCT((MOVIMIENTOS!$B$5:$B$1005="AJUSTE")*(MOVIMIENTOS!$C$5:$C$1005="M")*(MOVIMIENTOS!$D$5:$D$1005="jabas")*(MOVIMIENTOS!$A$5:$A$1005&lt;&gt;"")*(MOVIMIENTOS!$A$5:$A$1005&lt;=$A694)*MOVIMIENTOS!$E$5:$E$1005))</f>
        <v/>
      </c>
      <c r="F694" s="62" t="str">
        <f>IF($A694="","",SUMPRODUCT((MOVIMIENTOS!$B$5:$B$1005="SALDO INICIAL")*(MOVIMIENTOS!$C$5:$C$1005="Chancho")*(MOVIMIENTOS!$D$5:$D$1005="sacos")*(MOVIMIENTOS!$A$5:$A$1005&lt;&gt;"")*(MOVIMIENTOS!$A$5:$A$1005&lt;=$A694)*MOVIMIENTOS!$E$5:$E$1005)+SUMPRODUCT((MOVIMIENTOS!$B$5:$B$1005="PROCESO")*(MOVIMIENTOS!$C$5:$C$1005="Chancho")*(MOVIMIENTOS!$D$5:$D$1005="sacos")*(MOVIMIENTOS!$A$5:$A$1005&lt;&gt;"")*(MOVIMIENTOS!$A$5:$A$1005&lt;=$A694)*MOVIMIENTOS!$E$5:$E$1005)-SUMPRODUCT((MOVIMIENTOS!$B$5:$B$1005="VENTA CHANCHO")*(MOVIMIENTOS!$C$5:$C$1005="Chancho")*(MOVIMIENTOS!$D$5:$D$1005="sacos")*(MOVIMIENTOS!$A$5:$A$1005&lt;&gt;"")*(MOVIMIENTOS!$A$5:$A$1005&lt;=$A694)*MOVIMIENTOS!$E$5:$E$1005)-SUMPRODUCT((MOVIMIENTOS!$B$5:$B$1005="REGALO")*(MOVIMIENTOS!$C$5:$C$1005="Chancho")*(MOVIMIENTOS!$D$5:$D$1005="sacos")*(MOVIMIENTOS!$A$5:$A$1005&lt;&gt;"")*(MOVIMIENTOS!$A$5:$A$1005&lt;=$A694)*MOVIMIENTOS!$E$5:$E$1005)-SUMPRODUCT((MOVIMIENTOS!$B$5:$B$1005="VENTA")*(MOVIMIENTOS!$C$5:$C$1005="Chancho")*(MOVIMIENTOS!$D$5:$D$1005="sacos")*(MOVIMIENTOS!$A$5:$A$1005&lt;&gt;"")*(MOVIMIENTOS!$A$5:$A$1005&lt;=$A694)*MOVIMIENTOS!$E$5:$E$1005)+SUMPRODUCT((MOVIMIENTOS!$B$5:$B$1005="AJUSTE")*(MOVIMIENTOS!$C$5:$C$1005="Chancho")*(MOVIMIENTOS!$D$5:$D$1005="sacos")*(MOVIMIENTOS!$A$5:$A$1005&lt;&gt;"")*(MOVIMIENTOS!$A$5:$A$1005&lt;=$A694)*MOVIMIENTOS!$E$5:$E$1005))</f>
        <v/>
      </c>
      <c r="G694" s="62" t="str">
        <f t="shared" si="21"/>
        <v/>
      </c>
      <c r="H694" t="str">
        <f>IF($A694="","",SUMPRODUCT((((MOVIMIENTOS!$B$5:$B$1005="SALDO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694)*MOVIMIENTOS!$J$5:$J$1005))</f>
        <v/>
      </c>
      <c r="J694" t="str">
        <f>IF(AND(MOVIMIENTOS!$A699&lt;&gt;"",COUNTIF(MOVIMIENTOS!$A$5:$A698,MOVIMIENTOS!$A699)=0),COUNT(J$4:J693)+1,"")</f>
        <v/>
      </c>
      <c r="K694">
        <f>MOVIMIENTOS!$A699</f>
        <v>0</v>
      </c>
    </row>
    <row r="695" spans="1:11" ht="15" customHeight="1" x14ac:dyDescent="0.2">
      <c r="A695" t="str">
        <f t="shared" si="20"/>
        <v/>
      </c>
      <c r="B695" t="str">
        <f>IF($A695="","",SUMPRODUCT((MOVIMIENTOS!$B$5:$B$1005="SALDO INICIAL")*(MOVIMIENTOS!$C$5:$C$1005="A")*(MOVIMIENTOS!$D$5:$D$1005="jabas")*(MOVIMIENTOS!$A$5:$A$1005&lt;&gt;"")*(MOVIMIENTOS!$A$5:$A$1005&lt;=$A695)*MOVIMIENTOS!$E$5:$E$1005)+SUMPRODUCT((MOVIMIENTOS!$B$5:$B$1005="PROCESO")*(MOVIMIENTOS!$C$5:$C$1005="A")*(MOVIMIENTOS!$D$5:$D$1005="jabas")*(MOVIMIENTOS!$A$5:$A$1005&lt;&gt;"")*(MOVIMIENTOS!$A$5:$A$1005&lt;=$A695)*MOVIMIENTOS!$E$5:$E$1005)-SUMPRODUCT((MOVIMIENTOS!$B$5:$B$1005="ENVÍO A SUPESA")*(MOVIMIENTOS!$C$5:$C$1005="A")*(MOVIMIENTOS!$D$5:$D$1005="jabas")*(MOVIMIENTOS!$A$5:$A$1005&lt;&gt;"")*(MOVIMIENTOS!$A$5:$A$1005&lt;=$A695)*MOVIMIENTOS!$E$5:$E$1005)+SUMPRODUCT((MOVIMIENTOS!$B$5:$B$1005="DEVOLUCIÓN")*(MOVIMIENTOS!$C$5:$C$1005="A")*(MOVIMIENTOS!$D$5:$D$1005="jabas")*(MOVIMIENTOS!$A$5:$A$1005&lt;&gt;"")*(MOVIMIENTOS!$A$5:$A$1005&lt;=$A695)*MOVIMIENTOS!$E$5:$E$1005)-SUMPRODUCT((MOVIMIENTOS!$B$5:$B$1005="TRASIEGO")*(MOVIMIENTOS!$C$5:$C$1005="A")*(MOVIMIENTOS!$D$5:$D$1005="jabas")*(MOVIMIENTOS!$A$5:$A$1005&lt;&gt;"")*(MOVIMIENTOS!$A$5:$A$1005&lt;=$A695)*MOVIMIENTOS!$E$5:$E$1005)-SUMPRODUCT((MOVIMIENTOS!$B$5:$B$1005="REGALO")*(MOVIMIENTOS!$C$5:$C$1005="A")*(MOVIMIENTOS!$D$5:$D$1005="jabas")*(MOVIMIENTOS!$A$5:$A$1005&lt;&gt;"")*(MOVIMIENTOS!$A$5:$A$1005&lt;=$A695)*MOVIMIENTOS!$E$5:$E$1005)-SUMPRODUCT((MOVIMIENTOS!$B$5:$B$1005="VENTA")*(MOVIMIENTOS!$C$5:$C$1005="A")*(MOVIMIENTOS!$D$5:$D$1005="jabas")*(MOVIMIENTOS!$A$5:$A$1005&lt;&gt;"")*(MOVIMIENTOS!$A$5:$A$1005&lt;=$A695)*MOVIMIENTOS!$E$5:$E$1005)+SUMPRODUCT((MOVIMIENTOS!$B$5:$B$1005="AJUSTE")*(MOVIMIENTOS!$C$5:$C$1005="A")*(MOVIMIENTOS!$D$5:$D$1005="jabas")*(MOVIMIENTOS!$A$5:$A$1005&lt;&gt;"")*(MOVIMIENTOS!$A$5:$A$1005&lt;=$A695)*MOVIMIENTOS!$E$5:$E$1005))</f>
        <v/>
      </c>
      <c r="C695" t="str">
        <f>IF($A695="","",SUMPRODUCT((MOVIMIENTOS!$B$5:$B$1005="SALDO INICIAL")*(MOVIMIENTOS!$C$5:$C$1005="P")*(MOVIMIENTOS!$D$5:$D$1005="jabas")*(MOVIMIENTOS!$A$5:$A$1005&lt;&gt;"")*(MOVIMIENTOS!$A$5:$A$1005&lt;=$A695)*MOVIMIENTOS!$E$5:$E$1005)+SUMPRODUCT((MOVIMIENTOS!$B$5:$B$1005="PROCESO")*(MOVIMIENTOS!$C$5:$C$1005="P")*(MOVIMIENTOS!$D$5:$D$1005="jabas")*(MOVIMIENTOS!$A$5:$A$1005&lt;&gt;"")*(MOVIMIENTOS!$A$5:$A$1005&lt;=$A695)*MOVIMIENTOS!$E$5:$E$1005)-SUMPRODUCT((MOVIMIENTOS!$B$5:$B$1005="ENVÍO A SUPESA")*(MOVIMIENTOS!$C$5:$C$1005="P")*(MOVIMIENTOS!$D$5:$D$1005="jabas")*(MOVIMIENTOS!$A$5:$A$1005&lt;&gt;"")*(MOVIMIENTOS!$A$5:$A$1005&lt;=$A695)*MOVIMIENTOS!$E$5:$E$1005)+SUMPRODUCT((MOVIMIENTOS!$B$5:$B$1005="DEVOLUCIÓN")*(MOVIMIENTOS!$C$5:$C$1005="P")*(MOVIMIENTOS!$D$5:$D$1005="jabas")*(MOVIMIENTOS!$A$5:$A$1005&lt;&gt;"")*(MOVIMIENTOS!$A$5:$A$1005&lt;=$A695)*MOVIMIENTOS!$E$5:$E$1005)-SUMPRODUCT((MOVIMIENTOS!$B$5:$B$1005="TRASIEGO")*(MOVIMIENTOS!$C$5:$C$1005="P")*(MOVIMIENTOS!$D$5:$D$1005="jabas")*(MOVIMIENTOS!$A$5:$A$1005&lt;&gt;"")*(MOVIMIENTOS!$A$5:$A$1005&lt;=$A695)*MOVIMIENTOS!$E$5:$E$1005)-SUMPRODUCT((MOVIMIENTOS!$B$5:$B$1005="REGALO")*(MOVIMIENTOS!$C$5:$C$1005="P")*(MOVIMIENTOS!$D$5:$D$1005="jabas")*(MOVIMIENTOS!$A$5:$A$1005&lt;&gt;"")*(MOVIMIENTOS!$A$5:$A$1005&lt;=$A695)*MOVIMIENTOS!$E$5:$E$1005)-SUMPRODUCT((MOVIMIENTOS!$B$5:$B$1005="VENTA")*(MOVIMIENTOS!$C$5:$C$1005="P")*(MOVIMIENTOS!$D$5:$D$1005="jabas")*(MOVIMIENTOS!$A$5:$A$1005&lt;&gt;"")*(MOVIMIENTOS!$A$5:$A$1005&lt;=$A695)*MOVIMIENTOS!$E$5:$E$1005)+SUMPRODUCT((MOVIMIENTOS!$B$5:$B$1005="AJUSTE")*(MOVIMIENTOS!$C$5:$C$1005="P")*(MOVIMIENTOS!$D$5:$D$1005="jabas")*(MOVIMIENTOS!$A$5:$A$1005&lt;&gt;"")*(MOVIMIENTOS!$A$5:$A$1005&lt;=$A695)*MOVIMIENTOS!$E$5:$E$1005))</f>
        <v/>
      </c>
      <c r="D695" t="str">
        <f>IF($A695="","",SUMPRODUCT((MOVIMIENTOS!$B$5:$B$1005="SALDO INICIAL")*(MOVIMIENTOS!$C$5:$C$1005="C")*(MOVIMIENTOS!$D$5:$D$1005="jabas")*(MOVIMIENTOS!$A$5:$A$1005&lt;&gt;"")*(MOVIMIENTOS!$A$5:$A$1005&lt;=$A695)*MOVIMIENTOS!$E$5:$E$1005)+SUMPRODUCT((MOVIMIENTOS!$B$5:$B$1005="PROCESO")*(MOVIMIENTOS!$C$5:$C$1005="C")*(MOVIMIENTOS!$D$5:$D$1005="jabas")*(MOVIMIENTOS!$A$5:$A$1005&lt;&gt;"")*(MOVIMIENTOS!$A$5:$A$1005&lt;=$A695)*MOVIMIENTOS!$E$5:$E$1005)-SUMPRODUCT((MOVIMIENTOS!$B$5:$B$1005="ENVÍO A SUPESA")*(MOVIMIENTOS!$C$5:$C$1005="C")*(MOVIMIENTOS!$D$5:$D$1005="jabas")*(MOVIMIENTOS!$A$5:$A$1005&lt;&gt;"")*(MOVIMIENTOS!$A$5:$A$1005&lt;=$A695)*MOVIMIENTOS!$E$5:$E$1005)+SUMPRODUCT((MOVIMIENTOS!$B$5:$B$1005="DEVOLUCIÓN")*(MOVIMIENTOS!$C$5:$C$1005="C")*(MOVIMIENTOS!$D$5:$D$1005="jabas")*(MOVIMIENTOS!$A$5:$A$1005&lt;&gt;"")*(MOVIMIENTOS!$A$5:$A$1005&lt;=$A695)*MOVIMIENTOS!$E$5:$E$1005)-SUMPRODUCT((MOVIMIENTOS!$B$5:$B$1005="TRASIEGO")*(MOVIMIENTOS!$C$5:$C$1005="C")*(MOVIMIENTOS!$D$5:$D$1005="jabas")*(MOVIMIENTOS!$A$5:$A$1005&lt;&gt;"")*(MOVIMIENTOS!$A$5:$A$1005&lt;=$A695)*MOVIMIENTOS!$E$5:$E$1005)-SUMPRODUCT((MOVIMIENTOS!$B$5:$B$1005="REGALO")*(MOVIMIENTOS!$C$5:$C$1005="C")*(MOVIMIENTOS!$D$5:$D$1005="jabas")*(MOVIMIENTOS!$A$5:$A$1005&lt;&gt;"")*(MOVIMIENTOS!$A$5:$A$1005&lt;=$A695)*MOVIMIENTOS!$E$5:$E$1005)-SUMPRODUCT((MOVIMIENTOS!$B$5:$B$1005="VENTA")*(MOVIMIENTOS!$C$5:$C$1005="C")*(MOVIMIENTOS!$D$5:$D$1005="jabas")*(MOVIMIENTOS!$A$5:$A$1005&lt;&gt;"")*(MOVIMIENTOS!$A$5:$A$1005&lt;=$A695)*MOVIMIENTOS!$E$5:$E$1005)+SUMPRODUCT((MOVIMIENTOS!$B$5:$B$1005="AJUSTE")*(MOVIMIENTOS!$C$5:$C$1005="C")*(MOVIMIENTOS!$D$5:$D$1005="jabas")*(MOVIMIENTOS!$A$5:$A$1005&lt;&gt;"")*(MOVIMIENTOS!$A$5:$A$1005&lt;=$A695)*MOVIMIENTOS!$E$5:$E$1005))</f>
        <v/>
      </c>
      <c r="E695" t="str">
        <f>IF($A695="","",SUMPRODUCT((MOVIMIENTOS!$B$5:$B$1005="SALDO INICIAL")*(MOVIMIENTOS!$C$5:$C$1005="M")*(MOVIMIENTOS!$D$5:$D$1005="jabas")*(MOVIMIENTOS!$A$5:$A$1005&lt;&gt;"")*(MOVIMIENTOS!$A$5:$A$1005&lt;=$A695)*MOVIMIENTOS!$E$5:$E$1005)+SUMPRODUCT((MOVIMIENTOS!$B$5:$B$1005="PROCESO")*(MOVIMIENTOS!$C$5:$C$1005="M")*(MOVIMIENTOS!$D$5:$D$1005="jabas")*(MOVIMIENTOS!$A$5:$A$1005&lt;&gt;"")*(MOVIMIENTOS!$A$5:$A$1005&lt;=$A695)*MOVIMIENTOS!$E$5:$E$1005)-SUMPRODUCT((MOVIMIENTOS!$B$5:$B$1005="ENVÍO A SUPESA")*(MOVIMIENTOS!$C$5:$C$1005="M")*(MOVIMIENTOS!$D$5:$D$1005="jabas")*(MOVIMIENTOS!$A$5:$A$1005&lt;&gt;"")*(MOVIMIENTOS!$A$5:$A$1005&lt;=$A695)*MOVIMIENTOS!$E$5:$E$1005)+SUMPRODUCT((MOVIMIENTOS!$B$5:$B$1005="DEVOLUCIÓN")*(MOVIMIENTOS!$C$5:$C$1005="M")*(MOVIMIENTOS!$D$5:$D$1005="jabas")*(MOVIMIENTOS!$A$5:$A$1005&lt;&gt;"")*(MOVIMIENTOS!$A$5:$A$1005&lt;=$A695)*MOVIMIENTOS!$E$5:$E$1005)-SUMPRODUCT((MOVIMIENTOS!$B$5:$B$1005="TRASIEGO")*(MOVIMIENTOS!$C$5:$C$1005="M")*(MOVIMIENTOS!$D$5:$D$1005="jabas")*(MOVIMIENTOS!$A$5:$A$1005&lt;&gt;"")*(MOVIMIENTOS!$A$5:$A$1005&lt;=$A695)*MOVIMIENTOS!$E$5:$E$1005)-SUMPRODUCT((MOVIMIENTOS!$B$5:$B$1005="REGALO")*(MOVIMIENTOS!$C$5:$C$1005="M")*(MOVIMIENTOS!$D$5:$D$1005="jabas")*(MOVIMIENTOS!$A$5:$A$1005&lt;&gt;"")*(MOVIMIENTOS!$A$5:$A$1005&lt;=$A695)*MOVIMIENTOS!$E$5:$E$1005)-SUMPRODUCT((MOVIMIENTOS!$B$5:$B$1005="VENTA")*(MOVIMIENTOS!$C$5:$C$1005="M")*(MOVIMIENTOS!$D$5:$D$1005="jabas")*(MOVIMIENTOS!$A$5:$A$1005&lt;&gt;"")*(MOVIMIENTOS!$A$5:$A$1005&lt;=$A695)*MOVIMIENTOS!$E$5:$E$1005)+SUMPRODUCT((MOVIMIENTOS!$B$5:$B$1005="AJUSTE")*(MOVIMIENTOS!$C$5:$C$1005="M")*(MOVIMIENTOS!$D$5:$D$1005="jabas")*(MOVIMIENTOS!$A$5:$A$1005&lt;&gt;"")*(MOVIMIENTOS!$A$5:$A$1005&lt;=$A695)*MOVIMIENTOS!$E$5:$E$1005))</f>
        <v/>
      </c>
      <c r="F695" s="62" t="str">
        <f>IF($A695="","",SUMPRODUCT((MOVIMIENTOS!$B$5:$B$1005="SALDO INICIAL")*(MOVIMIENTOS!$C$5:$C$1005="Chancho")*(MOVIMIENTOS!$D$5:$D$1005="sacos")*(MOVIMIENTOS!$A$5:$A$1005&lt;&gt;"")*(MOVIMIENTOS!$A$5:$A$1005&lt;=$A695)*MOVIMIENTOS!$E$5:$E$1005)+SUMPRODUCT((MOVIMIENTOS!$B$5:$B$1005="PROCESO")*(MOVIMIENTOS!$C$5:$C$1005="Chancho")*(MOVIMIENTOS!$D$5:$D$1005="sacos")*(MOVIMIENTOS!$A$5:$A$1005&lt;&gt;"")*(MOVIMIENTOS!$A$5:$A$1005&lt;=$A695)*MOVIMIENTOS!$E$5:$E$1005)-SUMPRODUCT((MOVIMIENTOS!$B$5:$B$1005="VENTA CHANCHO")*(MOVIMIENTOS!$C$5:$C$1005="Chancho")*(MOVIMIENTOS!$D$5:$D$1005="sacos")*(MOVIMIENTOS!$A$5:$A$1005&lt;&gt;"")*(MOVIMIENTOS!$A$5:$A$1005&lt;=$A695)*MOVIMIENTOS!$E$5:$E$1005)-SUMPRODUCT((MOVIMIENTOS!$B$5:$B$1005="REGALO")*(MOVIMIENTOS!$C$5:$C$1005="Chancho")*(MOVIMIENTOS!$D$5:$D$1005="sacos")*(MOVIMIENTOS!$A$5:$A$1005&lt;&gt;"")*(MOVIMIENTOS!$A$5:$A$1005&lt;=$A695)*MOVIMIENTOS!$E$5:$E$1005)-SUMPRODUCT((MOVIMIENTOS!$B$5:$B$1005="VENTA")*(MOVIMIENTOS!$C$5:$C$1005="Chancho")*(MOVIMIENTOS!$D$5:$D$1005="sacos")*(MOVIMIENTOS!$A$5:$A$1005&lt;&gt;"")*(MOVIMIENTOS!$A$5:$A$1005&lt;=$A695)*MOVIMIENTOS!$E$5:$E$1005)+SUMPRODUCT((MOVIMIENTOS!$B$5:$B$1005="AJUSTE")*(MOVIMIENTOS!$C$5:$C$1005="Chancho")*(MOVIMIENTOS!$D$5:$D$1005="sacos")*(MOVIMIENTOS!$A$5:$A$1005&lt;&gt;"")*(MOVIMIENTOS!$A$5:$A$1005&lt;=$A695)*MOVIMIENTOS!$E$5:$E$1005))</f>
        <v/>
      </c>
      <c r="G695" s="62" t="str">
        <f t="shared" si="21"/>
        <v/>
      </c>
      <c r="H695" t="str">
        <f>IF($A695="","",SUMPRODUCT((((MOVIMIENTOS!$B$5:$B$1005="SALDO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695)*MOVIMIENTOS!$J$5:$J$1005))</f>
        <v/>
      </c>
      <c r="J695" t="str">
        <f>IF(AND(MOVIMIENTOS!$A700&lt;&gt;"",COUNTIF(MOVIMIENTOS!$A$5:$A699,MOVIMIENTOS!$A700)=0),COUNT(J$4:J694)+1,"")</f>
        <v/>
      </c>
      <c r="K695">
        <f>MOVIMIENTOS!$A700</f>
        <v>0</v>
      </c>
    </row>
    <row r="696" spans="1:11" ht="15" customHeight="1" x14ac:dyDescent="0.2">
      <c r="A696" t="str">
        <f t="shared" si="20"/>
        <v/>
      </c>
      <c r="B696" t="str">
        <f>IF($A696="","",SUMPRODUCT((MOVIMIENTOS!$B$5:$B$1005="SALDO INICIAL")*(MOVIMIENTOS!$C$5:$C$1005="A")*(MOVIMIENTOS!$D$5:$D$1005="jabas")*(MOVIMIENTOS!$A$5:$A$1005&lt;&gt;"")*(MOVIMIENTOS!$A$5:$A$1005&lt;=$A696)*MOVIMIENTOS!$E$5:$E$1005)+SUMPRODUCT((MOVIMIENTOS!$B$5:$B$1005="PROCESO")*(MOVIMIENTOS!$C$5:$C$1005="A")*(MOVIMIENTOS!$D$5:$D$1005="jabas")*(MOVIMIENTOS!$A$5:$A$1005&lt;&gt;"")*(MOVIMIENTOS!$A$5:$A$1005&lt;=$A696)*MOVIMIENTOS!$E$5:$E$1005)-SUMPRODUCT((MOVIMIENTOS!$B$5:$B$1005="ENVÍO A SUPESA")*(MOVIMIENTOS!$C$5:$C$1005="A")*(MOVIMIENTOS!$D$5:$D$1005="jabas")*(MOVIMIENTOS!$A$5:$A$1005&lt;&gt;"")*(MOVIMIENTOS!$A$5:$A$1005&lt;=$A696)*MOVIMIENTOS!$E$5:$E$1005)+SUMPRODUCT((MOVIMIENTOS!$B$5:$B$1005="DEVOLUCIÓN")*(MOVIMIENTOS!$C$5:$C$1005="A")*(MOVIMIENTOS!$D$5:$D$1005="jabas")*(MOVIMIENTOS!$A$5:$A$1005&lt;&gt;"")*(MOVIMIENTOS!$A$5:$A$1005&lt;=$A696)*MOVIMIENTOS!$E$5:$E$1005)-SUMPRODUCT((MOVIMIENTOS!$B$5:$B$1005="TRASIEGO")*(MOVIMIENTOS!$C$5:$C$1005="A")*(MOVIMIENTOS!$D$5:$D$1005="jabas")*(MOVIMIENTOS!$A$5:$A$1005&lt;&gt;"")*(MOVIMIENTOS!$A$5:$A$1005&lt;=$A696)*MOVIMIENTOS!$E$5:$E$1005)-SUMPRODUCT((MOVIMIENTOS!$B$5:$B$1005="REGALO")*(MOVIMIENTOS!$C$5:$C$1005="A")*(MOVIMIENTOS!$D$5:$D$1005="jabas")*(MOVIMIENTOS!$A$5:$A$1005&lt;&gt;"")*(MOVIMIENTOS!$A$5:$A$1005&lt;=$A696)*MOVIMIENTOS!$E$5:$E$1005)-SUMPRODUCT((MOVIMIENTOS!$B$5:$B$1005="VENTA")*(MOVIMIENTOS!$C$5:$C$1005="A")*(MOVIMIENTOS!$D$5:$D$1005="jabas")*(MOVIMIENTOS!$A$5:$A$1005&lt;&gt;"")*(MOVIMIENTOS!$A$5:$A$1005&lt;=$A696)*MOVIMIENTOS!$E$5:$E$1005)+SUMPRODUCT((MOVIMIENTOS!$B$5:$B$1005="AJUSTE")*(MOVIMIENTOS!$C$5:$C$1005="A")*(MOVIMIENTOS!$D$5:$D$1005="jabas")*(MOVIMIENTOS!$A$5:$A$1005&lt;&gt;"")*(MOVIMIENTOS!$A$5:$A$1005&lt;=$A696)*MOVIMIENTOS!$E$5:$E$1005))</f>
        <v/>
      </c>
      <c r="C696" t="str">
        <f>IF($A696="","",SUMPRODUCT((MOVIMIENTOS!$B$5:$B$1005="SALDO INICIAL")*(MOVIMIENTOS!$C$5:$C$1005="P")*(MOVIMIENTOS!$D$5:$D$1005="jabas")*(MOVIMIENTOS!$A$5:$A$1005&lt;&gt;"")*(MOVIMIENTOS!$A$5:$A$1005&lt;=$A696)*MOVIMIENTOS!$E$5:$E$1005)+SUMPRODUCT((MOVIMIENTOS!$B$5:$B$1005="PROCESO")*(MOVIMIENTOS!$C$5:$C$1005="P")*(MOVIMIENTOS!$D$5:$D$1005="jabas")*(MOVIMIENTOS!$A$5:$A$1005&lt;&gt;"")*(MOVIMIENTOS!$A$5:$A$1005&lt;=$A696)*MOVIMIENTOS!$E$5:$E$1005)-SUMPRODUCT((MOVIMIENTOS!$B$5:$B$1005="ENVÍO A SUPESA")*(MOVIMIENTOS!$C$5:$C$1005="P")*(MOVIMIENTOS!$D$5:$D$1005="jabas")*(MOVIMIENTOS!$A$5:$A$1005&lt;&gt;"")*(MOVIMIENTOS!$A$5:$A$1005&lt;=$A696)*MOVIMIENTOS!$E$5:$E$1005)+SUMPRODUCT((MOVIMIENTOS!$B$5:$B$1005="DEVOLUCIÓN")*(MOVIMIENTOS!$C$5:$C$1005="P")*(MOVIMIENTOS!$D$5:$D$1005="jabas")*(MOVIMIENTOS!$A$5:$A$1005&lt;&gt;"")*(MOVIMIENTOS!$A$5:$A$1005&lt;=$A696)*MOVIMIENTOS!$E$5:$E$1005)-SUMPRODUCT((MOVIMIENTOS!$B$5:$B$1005="TRASIEGO")*(MOVIMIENTOS!$C$5:$C$1005="P")*(MOVIMIENTOS!$D$5:$D$1005="jabas")*(MOVIMIENTOS!$A$5:$A$1005&lt;&gt;"")*(MOVIMIENTOS!$A$5:$A$1005&lt;=$A696)*MOVIMIENTOS!$E$5:$E$1005)-SUMPRODUCT((MOVIMIENTOS!$B$5:$B$1005="REGALO")*(MOVIMIENTOS!$C$5:$C$1005="P")*(MOVIMIENTOS!$D$5:$D$1005="jabas")*(MOVIMIENTOS!$A$5:$A$1005&lt;&gt;"")*(MOVIMIENTOS!$A$5:$A$1005&lt;=$A696)*MOVIMIENTOS!$E$5:$E$1005)-SUMPRODUCT((MOVIMIENTOS!$B$5:$B$1005="VENTA")*(MOVIMIENTOS!$C$5:$C$1005="P")*(MOVIMIENTOS!$D$5:$D$1005="jabas")*(MOVIMIENTOS!$A$5:$A$1005&lt;&gt;"")*(MOVIMIENTOS!$A$5:$A$1005&lt;=$A696)*MOVIMIENTOS!$E$5:$E$1005)+SUMPRODUCT((MOVIMIENTOS!$B$5:$B$1005="AJUSTE")*(MOVIMIENTOS!$C$5:$C$1005="P")*(MOVIMIENTOS!$D$5:$D$1005="jabas")*(MOVIMIENTOS!$A$5:$A$1005&lt;&gt;"")*(MOVIMIENTOS!$A$5:$A$1005&lt;=$A696)*MOVIMIENTOS!$E$5:$E$1005))</f>
        <v/>
      </c>
      <c r="D696" t="str">
        <f>IF($A696="","",SUMPRODUCT((MOVIMIENTOS!$B$5:$B$1005="SALDO INICIAL")*(MOVIMIENTOS!$C$5:$C$1005="C")*(MOVIMIENTOS!$D$5:$D$1005="jabas")*(MOVIMIENTOS!$A$5:$A$1005&lt;&gt;"")*(MOVIMIENTOS!$A$5:$A$1005&lt;=$A696)*MOVIMIENTOS!$E$5:$E$1005)+SUMPRODUCT((MOVIMIENTOS!$B$5:$B$1005="PROCESO")*(MOVIMIENTOS!$C$5:$C$1005="C")*(MOVIMIENTOS!$D$5:$D$1005="jabas")*(MOVIMIENTOS!$A$5:$A$1005&lt;&gt;"")*(MOVIMIENTOS!$A$5:$A$1005&lt;=$A696)*MOVIMIENTOS!$E$5:$E$1005)-SUMPRODUCT((MOVIMIENTOS!$B$5:$B$1005="ENVÍO A SUPESA")*(MOVIMIENTOS!$C$5:$C$1005="C")*(MOVIMIENTOS!$D$5:$D$1005="jabas")*(MOVIMIENTOS!$A$5:$A$1005&lt;&gt;"")*(MOVIMIENTOS!$A$5:$A$1005&lt;=$A696)*MOVIMIENTOS!$E$5:$E$1005)+SUMPRODUCT((MOVIMIENTOS!$B$5:$B$1005="DEVOLUCIÓN")*(MOVIMIENTOS!$C$5:$C$1005="C")*(MOVIMIENTOS!$D$5:$D$1005="jabas")*(MOVIMIENTOS!$A$5:$A$1005&lt;&gt;"")*(MOVIMIENTOS!$A$5:$A$1005&lt;=$A696)*MOVIMIENTOS!$E$5:$E$1005)-SUMPRODUCT((MOVIMIENTOS!$B$5:$B$1005="TRASIEGO")*(MOVIMIENTOS!$C$5:$C$1005="C")*(MOVIMIENTOS!$D$5:$D$1005="jabas")*(MOVIMIENTOS!$A$5:$A$1005&lt;&gt;"")*(MOVIMIENTOS!$A$5:$A$1005&lt;=$A696)*MOVIMIENTOS!$E$5:$E$1005)-SUMPRODUCT((MOVIMIENTOS!$B$5:$B$1005="REGALO")*(MOVIMIENTOS!$C$5:$C$1005="C")*(MOVIMIENTOS!$D$5:$D$1005="jabas")*(MOVIMIENTOS!$A$5:$A$1005&lt;&gt;"")*(MOVIMIENTOS!$A$5:$A$1005&lt;=$A696)*MOVIMIENTOS!$E$5:$E$1005)-SUMPRODUCT((MOVIMIENTOS!$B$5:$B$1005="VENTA")*(MOVIMIENTOS!$C$5:$C$1005="C")*(MOVIMIENTOS!$D$5:$D$1005="jabas")*(MOVIMIENTOS!$A$5:$A$1005&lt;&gt;"")*(MOVIMIENTOS!$A$5:$A$1005&lt;=$A696)*MOVIMIENTOS!$E$5:$E$1005)+SUMPRODUCT((MOVIMIENTOS!$B$5:$B$1005="AJUSTE")*(MOVIMIENTOS!$C$5:$C$1005="C")*(MOVIMIENTOS!$D$5:$D$1005="jabas")*(MOVIMIENTOS!$A$5:$A$1005&lt;&gt;"")*(MOVIMIENTOS!$A$5:$A$1005&lt;=$A696)*MOVIMIENTOS!$E$5:$E$1005))</f>
        <v/>
      </c>
      <c r="E696" t="str">
        <f>IF($A696="","",SUMPRODUCT((MOVIMIENTOS!$B$5:$B$1005="SALDO INICIAL")*(MOVIMIENTOS!$C$5:$C$1005="M")*(MOVIMIENTOS!$D$5:$D$1005="jabas")*(MOVIMIENTOS!$A$5:$A$1005&lt;&gt;"")*(MOVIMIENTOS!$A$5:$A$1005&lt;=$A696)*MOVIMIENTOS!$E$5:$E$1005)+SUMPRODUCT((MOVIMIENTOS!$B$5:$B$1005="PROCESO")*(MOVIMIENTOS!$C$5:$C$1005="M")*(MOVIMIENTOS!$D$5:$D$1005="jabas")*(MOVIMIENTOS!$A$5:$A$1005&lt;&gt;"")*(MOVIMIENTOS!$A$5:$A$1005&lt;=$A696)*MOVIMIENTOS!$E$5:$E$1005)-SUMPRODUCT((MOVIMIENTOS!$B$5:$B$1005="ENVÍO A SUPESA")*(MOVIMIENTOS!$C$5:$C$1005="M")*(MOVIMIENTOS!$D$5:$D$1005="jabas")*(MOVIMIENTOS!$A$5:$A$1005&lt;&gt;"")*(MOVIMIENTOS!$A$5:$A$1005&lt;=$A696)*MOVIMIENTOS!$E$5:$E$1005)+SUMPRODUCT((MOVIMIENTOS!$B$5:$B$1005="DEVOLUCIÓN")*(MOVIMIENTOS!$C$5:$C$1005="M")*(MOVIMIENTOS!$D$5:$D$1005="jabas")*(MOVIMIENTOS!$A$5:$A$1005&lt;&gt;"")*(MOVIMIENTOS!$A$5:$A$1005&lt;=$A696)*MOVIMIENTOS!$E$5:$E$1005)-SUMPRODUCT((MOVIMIENTOS!$B$5:$B$1005="TRASIEGO")*(MOVIMIENTOS!$C$5:$C$1005="M")*(MOVIMIENTOS!$D$5:$D$1005="jabas")*(MOVIMIENTOS!$A$5:$A$1005&lt;&gt;"")*(MOVIMIENTOS!$A$5:$A$1005&lt;=$A696)*MOVIMIENTOS!$E$5:$E$1005)-SUMPRODUCT((MOVIMIENTOS!$B$5:$B$1005="REGALO")*(MOVIMIENTOS!$C$5:$C$1005="M")*(MOVIMIENTOS!$D$5:$D$1005="jabas")*(MOVIMIENTOS!$A$5:$A$1005&lt;&gt;"")*(MOVIMIENTOS!$A$5:$A$1005&lt;=$A696)*MOVIMIENTOS!$E$5:$E$1005)-SUMPRODUCT((MOVIMIENTOS!$B$5:$B$1005="VENTA")*(MOVIMIENTOS!$C$5:$C$1005="M")*(MOVIMIENTOS!$D$5:$D$1005="jabas")*(MOVIMIENTOS!$A$5:$A$1005&lt;&gt;"")*(MOVIMIENTOS!$A$5:$A$1005&lt;=$A696)*MOVIMIENTOS!$E$5:$E$1005)+SUMPRODUCT((MOVIMIENTOS!$B$5:$B$1005="AJUSTE")*(MOVIMIENTOS!$C$5:$C$1005="M")*(MOVIMIENTOS!$D$5:$D$1005="jabas")*(MOVIMIENTOS!$A$5:$A$1005&lt;&gt;"")*(MOVIMIENTOS!$A$5:$A$1005&lt;=$A696)*MOVIMIENTOS!$E$5:$E$1005))</f>
        <v/>
      </c>
      <c r="F696" s="62" t="str">
        <f>IF($A696="","",SUMPRODUCT((MOVIMIENTOS!$B$5:$B$1005="SALDO INICIAL")*(MOVIMIENTOS!$C$5:$C$1005="Chancho")*(MOVIMIENTOS!$D$5:$D$1005="sacos")*(MOVIMIENTOS!$A$5:$A$1005&lt;&gt;"")*(MOVIMIENTOS!$A$5:$A$1005&lt;=$A696)*MOVIMIENTOS!$E$5:$E$1005)+SUMPRODUCT((MOVIMIENTOS!$B$5:$B$1005="PROCESO")*(MOVIMIENTOS!$C$5:$C$1005="Chancho")*(MOVIMIENTOS!$D$5:$D$1005="sacos")*(MOVIMIENTOS!$A$5:$A$1005&lt;&gt;"")*(MOVIMIENTOS!$A$5:$A$1005&lt;=$A696)*MOVIMIENTOS!$E$5:$E$1005)-SUMPRODUCT((MOVIMIENTOS!$B$5:$B$1005="VENTA CHANCHO")*(MOVIMIENTOS!$C$5:$C$1005="Chancho")*(MOVIMIENTOS!$D$5:$D$1005="sacos")*(MOVIMIENTOS!$A$5:$A$1005&lt;&gt;"")*(MOVIMIENTOS!$A$5:$A$1005&lt;=$A696)*MOVIMIENTOS!$E$5:$E$1005)-SUMPRODUCT((MOVIMIENTOS!$B$5:$B$1005="REGALO")*(MOVIMIENTOS!$C$5:$C$1005="Chancho")*(MOVIMIENTOS!$D$5:$D$1005="sacos")*(MOVIMIENTOS!$A$5:$A$1005&lt;&gt;"")*(MOVIMIENTOS!$A$5:$A$1005&lt;=$A696)*MOVIMIENTOS!$E$5:$E$1005)-SUMPRODUCT((MOVIMIENTOS!$B$5:$B$1005="VENTA")*(MOVIMIENTOS!$C$5:$C$1005="Chancho")*(MOVIMIENTOS!$D$5:$D$1005="sacos")*(MOVIMIENTOS!$A$5:$A$1005&lt;&gt;"")*(MOVIMIENTOS!$A$5:$A$1005&lt;=$A696)*MOVIMIENTOS!$E$5:$E$1005)+SUMPRODUCT((MOVIMIENTOS!$B$5:$B$1005="AJUSTE")*(MOVIMIENTOS!$C$5:$C$1005="Chancho")*(MOVIMIENTOS!$D$5:$D$1005="sacos")*(MOVIMIENTOS!$A$5:$A$1005&lt;&gt;"")*(MOVIMIENTOS!$A$5:$A$1005&lt;=$A696)*MOVIMIENTOS!$E$5:$E$1005))</f>
        <v/>
      </c>
      <c r="G696" s="62" t="str">
        <f t="shared" si="21"/>
        <v/>
      </c>
      <c r="H696" t="str">
        <f>IF($A696="","",SUMPRODUCT((((MOVIMIENTOS!$B$5:$B$1005="SALDO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696)*MOVIMIENTOS!$J$5:$J$1005))</f>
        <v/>
      </c>
      <c r="J696" t="str">
        <f>IF(AND(MOVIMIENTOS!$A701&lt;&gt;"",COUNTIF(MOVIMIENTOS!$A$5:$A700,MOVIMIENTOS!$A701)=0),COUNT(J$4:J695)+1,"")</f>
        <v/>
      </c>
      <c r="K696">
        <f>MOVIMIENTOS!$A701</f>
        <v>0</v>
      </c>
    </row>
    <row r="697" spans="1:11" ht="15" customHeight="1" x14ac:dyDescent="0.2">
      <c r="A697" t="str">
        <f t="shared" si="20"/>
        <v/>
      </c>
      <c r="B697" t="str">
        <f>IF($A697="","",SUMPRODUCT((MOVIMIENTOS!$B$5:$B$1005="SALDO INICIAL")*(MOVIMIENTOS!$C$5:$C$1005="A")*(MOVIMIENTOS!$D$5:$D$1005="jabas")*(MOVIMIENTOS!$A$5:$A$1005&lt;&gt;"")*(MOVIMIENTOS!$A$5:$A$1005&lt;=$A697)*MOVIMIENTOS!$E$5:$E$1005)+SUMPRODUCT((MOVIMIENTOS!$B$5:$B$1005="PROCESO")*(MOVIMIENTOS!$C$5:$C$1005="A")*(MOVIMIENTOS!$D$5:$D$1005="jabas")*(MOVIMIENTOS!$A$5:$A$1005&lt;&gt;"")*(MOVIMIENTOS!$A$5:$A$1005&lt;=$A697)*MOVIMIENTOS!$E$5:$E$1005)-SUMPRODUCT((MOVIMIENTOS!$B$5:$B$1005="ENVÍO A SUPESA")*(MOVIMIENTOS!$C$5:$C$1005="A")*(MOVIMIENTOS!$D$5:$D$1005="jabas")*(MOVIMIENTOS!$A$5:$A$1005&lt;&gt;"")*(MOVIMIENTOS!$A$5:$A$1005&lt;=$A697)*MOVIMIENTOS!$E$5:$E$1005)+SUMPRODUCT((MOVIMIENTOS!$B$5:$B$1005="DEVOLUCIÓN")*(MOVIMIENTOS!$C$5:$C$1005="A")*(MOVIMIENTOS!$D$5:$D$1005="jabas")*(MOVIMIENTOS!$A$5:$A$1005&lt;&gt;"")*(MOVIMIENTOS!$A$5:$A$1005&lt;=$A697)*MOVIMIENTOS!$E$5:$E$1005)-SUMPRODUCT((MOVIMIENTOS!$B$5:$B$1005="TRASIEGO")*(MOVIMIENTOS!$C$5:$C$1005="A")*(MOVIMIENTOS!$D$5:$D$1005="jabas")*(MOVIMIENTOS!$A$5:$A$1005&lt;&gt;"")*(MOVIMIENTOS!$A$5:$A$1005&lt;=$A697)*MOVIMIENTOS!$E$5:$E$1005)-SUMPRODUCT((MOVIMIENTOS!$B$5:$B$1005="REGALO")*(MOVIMIENTOS!$C$5:$C$1005="A")*(MOVIMIENTOS!$D$5:$D$1005="jabas")*(MOVIMIENTOS!$A$5:$A$1005&lt;&gt;"")*(MOVIMIENTOS!$A$5:$A$1005&lt;=$A697)*MOVIMIENTOS!$E$5:$E$1005)-SUMPRODUCT((MOVIMIENTOS!$B$5:$B$1005="VENTA")*(MOVIMIENTOS!$C$5:$C$1005="A")*(MOVIMIENTOS!$D$5:$D$1005="jabas")*(MOVIMIENTOS!$A$5:$A$1005&lt;&gt;"")*(MOVIMIENTOS!$A$5:$A$1005&lt;=$A697)*MOVIMIENTOS!$E$5:$E$1005)+SUMPRODUCT((MOVIMIENTOS!$B$5:$B$1005="AJUSTE")*(MOVIMIENTOS!$C$5:$C$1005="A")*(MOVIMIENTOS!$D$5:$D$1005="jabas")*(MOVIMIENTOS!$A$5:$A$1005&lt;&gt;"")*(MOVIMIENTOS!$A$5:$A$1005&lt;=$A697)*MOVIMIENTOS!$E$5:$E$1005))</f>
        <v/>
      </c>
      <c r="C697" t="str">
        <f>IF($A697="","",SUMPRODUCT((MOVIMIENTOS!$B$5:$B$1005="SALDO INICIAL")*(MOVIMIENTOS!$C$5:$C$1005="P")*(MOVIMIENTOS!$D$5:$D$1005="jabas")*(MOVIMIENTOS!$A$5:$A$1005&lt;&gt;"")*(MOVIMIENTOS!$A$5:$A$1005&lt;=$A697)*MOVIMIENTOS!$E$5:$E$1005)+SUMPRODUCT((MOVIMIENTOS!$B$5:$B$1005="PROCESO")*(MOVIMIENTOS!$C$5:$C$1005="P")*(MOVIMIENTOS!$D$5:$D$1005="jabas")*(MOVIMIENTOS!$A$5:$A$1005&lt;&gt;"")*(MOVIMIENTOS!$A$5:$A$1005&lt;=$A697)*MOVIMIENTOS!$E$5:$E$1005)-SUMPRODUCT((MOVIMIENTOS!$B$5:$B$1005="ENVÍO A SUPESA")*(MOVIMIENTOS!$C$5:$C$1005="P")*(MOVIMIENTOS!$D$5:$D$1005="jabas")*(MOVIMIENTOS!$A$5:$A$1005&lt;&gt;"")*(MOVIMIENTOS!$A$5:$A$1005&lt;=$A697)*MOVIMIENTOS!$E$5:$E$1005)+SUMPRODUCT((MOVIMIENTOS!$B$5:$B$1005="DEVOLUCIÓN")*(MOVIMIENTOS!$C$5:$C$1005="P")*(MOVIMIENTOS!$D$5:$D$1005="jabas")*(MOVIMIENTOS!$A$5:$A$1005&lt;&gt;"")*(MOVIMIENTOS!$A$5:$A$1005&lt;=$A697)*MOVIMIENTOS!$E$5:$E$1005)-SUMPRODUCT((MOVIMIENTOS!$B$5:$B$1005="TRASIEGO")*(MOVIMIENTOS!$C$5:$C$1005="P")*(MOVIMIENTOS!$D$5:$D$1005="jabas")*(MOVIMIENTOS!$A$5:$A$1005&lt;&gt;"")*(MOVIMIENTOS!$A$5:$A$1005&lt;=$A697)*MOVIMIENTOS!$E$5:$E$1005)-SUMPRODUCT((MOVIMIENTOS!$B$5:$B$1005="REGALO")*(MOVIMIENTOS!$C$5:$C$1005="P")*(MOVIMIENTOS!$D$5:$D$1005="jabas")*(MOVIMIENTOS!$A$5:$A$1005&lt;&gt;"")*(MOVIMIENTOS!$A$5:$A$1005&lt;=$A697)*MOVIMIENTOS!$E$5:$E$1005)-SUMPRODUCT((MOVIMIENTOS!$B$5:$B$1005="VENTA")*(MOVIMIENTOS!$C$5:$C$1005="P")*(MOVIMIENTOS!$D$5:$D$1005="jabas")*(MOVIMIENTOS!$A$5:$A$1005&lt;&gt;"")*(MOVIMIENTOS!$A$5:$A$1005&lt;=$A697)*MOVIMIENTOS!$E$5:$E$1005)+SUMPRODUCT((MOVIMIENTOS!$B$5:$B$1005="AJUSTE")*(MOVIMIENTOS!$C$5:$C$1005="P")*(MOVIMIENTOS!$D$5:$D$1005="jabas")*(MOVIMIENTOS!$A$5:$A$1005&lt;&gt;"")*(MOVIMIENTOS!$A$5:$A$1005&lt;=$A697)*MOVIMIENTOS!$E$5:$E$1005))</f>
        <v/>
      </c>
      <c r="D697" t="str">
        <f>IF($A697="","",SUMPRODUCT((MOVIMIENTOS!$B$5:$B$1005="SALDO INICIAL")*(MOVIMIENTOS!$C$5:$C$1005="C")*(MOVIMIENTOS!$D$5:$D$1005="jabas")*(MOVIMIENTOS!$A$5:$A$1005&lt;&gt;"")*(MOVIMIENTOS!$A$5:$A$1005&lt;=$A697)*MOVIMIENTOS!$E$5:$E$1005)+SUMPRODUCT((MOVIMIENTOS!$B$5:$B$1005="PROCESO")*(MOVIMIENTOS!$C$5:$C$1005="C")*(MOVIMIENTOS!$D$5:$D$1005="jabas")*(MOVIMIENTOS!$A$5:$A$1005&lt;&gt;"")*(MOVIMIENTOS!$A$5:$A$1005&lt;=$A697)*MOVIMIENTOS!$E$5:$E$1005)-SUMPRODUCT((MOVIMIENTOS!$B$5:$B$1005="ENVÍO A SUPESA")*(MOVIMIENTOS!$C$5:$C$1005="C")*(MOVIMIENTOS!$D$5:$D$1005="jabas")*(MOVIMIENTOS!$A$5:$A$1005&lt;&gt;"")*(MOVIMIENTOS!$A$5:$A$1005&lt;=$A697)*MOVIMIENTOS!$E$5:$E$1005)+SUMPRODUCT((MOVIMIENTOS!$B$5:$B$1005="DEVOLUCIÓN")*(MOVIMIENTOS!$C$5:$C$1005="C")*(MOVIMIENTOS!$D$5:$D$1005="jabas")*(MOVIMIENTOS!$A$5:$A$1005&lt;&gt;"")*(MOVIMIENTOS!$A$5:$A$1005&lt;=$A697)*MOVIMIENTOS!$E$5:$E$1005)-SUMPRODUCT((MOVIMIENTOS!$B$5:$B$1005="TRASIEGO")*(MOVIMIENTOS!$C$5:$C$1005="C")*(MOVIMIENTOS!$D$5:$D$1005="jabas")*(MOVIMIENTOS!$A$5:$A$1005&lt;&gt;"")*(MOVIMIENTOS!$A$5:$A$1005&lt;=$A697)*MOVIMIENTOS!$E$5:$E$1005)-SUMPRODUCT((MOVIMIENTOS!$B$5:$B$1005="REGALO")*(MOVIMIENTOS!$C$5:$C$1005="C")*(MOVIMIENTOS!$D$5:$D$1005="jabas")*(MOVIMIENTOS!$A$5:$A$1005&lt;&gt;"")*(MOVIMIENTOS!$A$5:$A$1005&lt;=$A697)*MOVIMIENTOS!$E$5:$E$1005)-SUMPRODUCT((MOVIMIENTOS!$B$5:$B$1005="VENTA")*(MOVIMIENTOS!$C$5:$C$1005="C")*(MOVIMIENTOS!$D$5:$D$1005="jabas")*(MOVIMIENTOS!$A$5:$A$1005&lt;&gt;"")*(MOVIMIENTOS!$A$5:$A$1005&lt;=$A697)*MOVIMIENTOS!$E$5:$E$1005)+SUMPRODUCT((MOVIMIENTOS!$B$5:$B$1005="AJUSTE")*(MOVIMIENTOS!$C$5:$C$1005="C")*(MOVIMIENTOS!$D$5:$D$1005="jabas")*(MOVIMIENTOS!$A$5:$A$1005&lt;&gt;"")*(MOVIMIENTOS!$A$5:$A$1005&lt;=$A697)*MOVIMIENTOS!$E$5:$E$1005))</f>
        <v/>
      </c>
      <c r="E697" t="str">
        <f>IF($A697="","",SUMPRODUCT((MOVIMIENTOS!$B$5:$B$1005="SALDO INICIAL")*(MOVIMIENTOS!$C$5:$C$1005="M")*(MOVIMIENTOS!$D$5:$D$1005="jabas")*(MOVIMIENTOS!$A$5:$A$1005&lt;&gt;"")*(MOVIMIENTOS!$A$5:$A$1005&lt;=$A697)*MOVIMIENTOS!$E$5:$E$1005)+SUMPRODUCT((MOVIMIENTOS!$B$5:$B$1005="PROCESO")*(MOVIMIENTOS!$C$5:$C$1005="M")*(MOVIMIENTOS!$D$5:$D$1005="jabas")*(MOVIMIENTOS!$A$5:$A$1005&lt;&gt;"")*(MOVIMIENTOS!$A$5:$A$1005&lt;=$A697)*MOVIMIENTOS!$E$5:$E$1005)-SUMPRODUCT((MOVIMIENTOS!$B$5:$B$1005="ENVÍO A SUPESA")*(MOVIMIENTOS!$C$5:$C$1005="M")*(MOVIMIENTOS!$D$5:$D$1005="jabas")*(MOVIMIENTOS!$A$5:$A$1005&lt;&gt;"")*(MOVIMIENTOS!$A$5:$A$1005&lt;=$A697)*MOVIMIENTOS!$E$5:$E$1005)+SUMPRODUCT((MOVIMIENTOS!$B$5:$B$1005="DEVOLUCIÓN")*(MOVIMIENTOS!$C$5:$C$1005="M")*(MOVIMIENTOS!$D$5:$D$1005="jabas")*(MOVIMIENTOS!$A$5:$A$1005&lt;&gt;"")*(MOVIMIENTOS!$A$5:$A$1005&lt;=$A697)*MOVIMIENTOS!$E$5:$E$1005)-SUMPRODUCT((MOVIMIENTOS!$B$5:$B$1005="TRASIEGO")*(MOVIMIENTOS!$C$5:$C$1005="M")*(MOVIMIENTOS!$D$5:$D$1005="jabas")*(MOVIMIENTOS!$A$5:$A$1005&lt;&gt;"")*(MOVIMIENTOS!$A$5:$A$1005&lt;=$A697)*MOVIMIENTOS!$E$5:$E$1005)-SUMPRODUCT((MOVIMIENTOS!$B$5:$B$1005="REGALO")*(MOVIMIENTOS!$C$5:$C$1005="M")*(MOVIMIENTOS!$D$5:$D$1005="jabas")*(MOVIMIENTOS!$A$5:$A$1005&lt;&gt;"")*(MOVIMIENTOS!$A$5:$A$1005&lt;=$A697)*MOVIMIENTOS!$E$5:$E$1005)-SUMPRODUCT((MOVIMIENTOS!$B$5:$B$1005="VENTA")*(MOVIMIENTOS!$C$5:$C$1005="M")*(MOVIMIENTOS!$D$5:$D$1005="jabas")*(MOVIMIENTOS!$A$5:$A$1005&lt;&gt;"")*(MOVIMIENTOS!$A$5:$A$1005&lt;=$A697)*MOVIMIENTOS!$E$5:$E$1005)+SUMPRODUCT((MOVIMIENTOS!$B$5:$B$1005="AJUSTE")*(MOVIMIENTOS!$C$5:$C$1005="M")*(MOVIMIENTOS!$D$5:$D$1005="jabas")*(MOVIMIENTOS!$A$5:$A$1005&lt;&gt;"")*(MOVIMIENTOS!$A$5:$A$1005&lt;=$A697)*MOVIMIENTOS!$E$5:$E$1005))</f>
        <v/>
      </c>
      <c r="F697" s="62" t="str">
        <f>IF($A697="","",SUMPRODUCT((MOVIMIENTOS!$B$5:$B$1005="SALDO INICIAL")*(MOVIMIENTOS!$C$5:$C$1005="Chancho")*(MOVIMIENTOS!$D$5:$D$1005="sacos")*(MOVIMIENTOS!$A$5:$A$1005&lt;&gt;"")*(MOVIMIENTOS!$A$5:$A$1005&lt;=$A697)*MOVIMIENTOS!$E$5:$E$1005)+SUMPRODUCT((MOVIMIENTOS!$B$5:$B$1005="PROCESO")*(MOVIMIENTOS!$C$5:$C$1005="Chancho")*(MOVIMIENTOS!$D$5:$D$1005="sacos")*(MOVIMIENTOS!$A$5:$A$1005&lt;&gt;"")*(MOVIMIENTOS!$A$5:$A$1005&lt;=$A697)*MOVIMIENTOS!$E$5:$E$1005)-SUMPRODUCT((MOVIMIENTOS!$B$5:$B$1005="VENTA CHANCHO")*(MOVIMIENTOS!$C$5:$C$1005="Chancho")*(MOVIMIENTOS!$D$5:$D$1005="sacos")*(MOVIMIENTOS!$A$5:$A$1005&lt;&gt;"")*(MOVIMIENTOS!$A$5:$A$1005&lt;=$A697)*MOVIMIENTOS!$E$5:$E$1005)-SUMPRODUCT((MOVIMIENTOS!$B$5:$B$1005="REGALO")*(MOVIMIENTOS!$C$5:$C$1005="Chancho")*(MOVIMIENTOS!$D$5:$D$1005="sacos")*(MOVIMIENTOS!$A$5:$A$1005&lt;&gt;"")*(MOVIMIENTOS!$A$5:$A$1005&lt;=$A697)*MOVIMIENTOS!$E$5:$E$1005)-SUMPRODUCT((MOVIMIENTOS!$B$5:$B$1005="VENTA")*(MOVIMIENTOS!$C$5:$C$1005="Chancho")*(MOVIMIENTOS!$D$5:$D$1005="sacos")*(MOVIMIENTOS!$A$5:$A$1005&lt;&gt;"")*(MOVIMIENTOS!$A$5:$A$1005&lt;=$A697)*MOVIMIENTOS!$E$5:$E$1005)+SUMPRODUCT((MOVIMIENTOS!$B$5:$B$1005="AJUSTE")*(MOVIMIENTOS!$C$5:$C$1005="Chancho")*(MOVIMIENTOS!$D$5:$D$1005="sacos")*(MOVIMIENTOS!$A$5:$A$1005&lt;&gt;"")*(MOVIMIENTOS!$A$5:$A$1005&lt;=$A697)*MOVIMIENTOS!$E$5:$E$1005))</f>
        <v/>
      </c>
      <c r="G697" s="62" t="str">
        <f t="shared" si="21"/>
        <v/>
      </c>
      <c r="H697" t="str">
        <f>IF($A697="","",SUMPRODUCT((((MOVIMIENTOS!$B$5:$B$1005="SALDO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697)*MOVIMIENTOS!$J$5:$J$1005))</f>
        <v/>
      </c>
      <c r="J697" t="str">
        <f>IF(AND(MOVIMIENTOS!$A702&lt;&gt;"",COUNTIF(MOVIMIENTOS!$A$5:$A701,MOVIMIENTOS!$A702)=0),COUNT(J$4:J696)+1,"")</f>
        <v/>
      </c>
      <c r="K697">
        <f>MOVIMIENTOS!$A702</f>
        <v>0</v>
      </c>
    </row>
    <row r="698" spans="1:11" ht="15" customHeight="1" x14ac:dyDescent="0.2">
      <c r="A698" t="str">
        <f t="shared" si="20"/>
        <v/>
      </c>
      <c r="B698" t="str">
        <f>IF($A698="","",SUMPRODUCT((MOVIMIENTOS!$B$5:$B$1005="SALDO INICIAL")*(MOVIMIENTOS!$C$5:$C$1005="A")*(MOVIMIENTOS!$D$5:$D$1005="jabas")*(MOVIMIENTOS!$A$5:$A$1005&lt;&gt;"")*(MOVIMIENTOS!$A$5:$A$1005&lt;=$A698)*MOVIMIENTOS!$E$5:$E$1005)+SUMPRODUCT((MOVIMIENTOS!$B$5:$B$1005="PROCESO")*(MOVIMIENTOS!$C$5:$C$1005="A")*(MOVIMIENTOS!$D$5:$D$1005="jabas")*(MOVIMIENTOS!$A$5:$A$1005&lt;&gt;"")*(MOVIMIENTOS!$A$5:$A$1005&lt;=$A698)*MOVIMIENTOS!$E$5:$E$1005)-SUMPRODUCT((MOVIMIENTOS!$B$5:$B$1005="ENVÍO A SUPESA")*(MOVIMIENTOS!$C$5:$C$1005="A")*(MOVIMIENTOS!$D$5:$D$1005="jabas")*(MOVIMIENTOS!$A$5:$A$1005&lt;&gt;"")*(MOVIMIENTOS!$A$5:$A$1005&lt;=$A698)*MOVIMIENTOS!$E$5:$E$1005)+SUMPRODUCT((MOVIMIENTOS!$B$5:$B$1005="DEVOLUCIÓN")*(MOVIMIENTOS!$C$5:$C$1005="A")*(MOVIMIENTOS!$D$5:$D$1005="jabas")*(MOVIMIENTOS!$A$5:$A$1005&lt;&gt;"")*(MOVIMIENTOS!$A$5:$A$1005&lt;=$A698)*MOVIMIENTOS!$E$5:$E$1005)-SUMPRODUCT((MOVIMIENTOS!$B$5:$B$1005="TRASIEGO")*(MOVIMIENTOS!$C$5:$C$1005="A")*(MOVIMIENTOS!$D$5:$D$1005="jabas")*(MOVIMIENTOS!$A$5:$A$1005&lt;&gt;"")*(MOVIMIENTOS!$A$5:$A$1005&lt;=$A698)*MOVIMIENTOS!$E$5:$E$1005)-SUMPRODUCT((MOVIMIENTOS!$B$5:$B$1005="REGALO")*(MOVIMIENTOS!$C$5:$C$1005="A")*(MOVIMIENTOS!$D$5:$D$1005="jabas")*(MOVIMIENTOS!$A$5:$A$1005&lt;&gt;"")*(MOVIMIENTOS!$A$5:$A$1005&lt;=$A698)*MOVIMIENTOS!$E$5:$E$1005)-SUMPRODUCT((MOVIMIENTOS!$B$5:$B$1005="VENTA")*(MOVIMIENTOS!$C$5:$C$1005="A")*(MOVIMIENTOS!$D$5:$D$1005="jabas")*(MOVIMIENTOS!$A$5:$A$1005&lt;&gt;"")*(MOVIMIENTOS!$A$5:$A$1005&lt;=$A698)*MOVIMIENTOS!$E$5:$E$1005)+SUMPRODUCT((MOVIMIENTOS!$B$5:$B$1005="AJUSTE")*(MOVIMIENTOS!$C$5:$C$1005="A")*(MOVIMIENTOS!$D$5:$D$1005="jabas")*(MOVIMIENTOS!$A$5:$A$1005&lt;&gt;"")*(MOVIMIENTOS!$A$5:$A$1005&lt;=$A698)*MOVIMIENTOS!$E$5:$E$1005))</f>
        <v/>
      </c>
      <c r="C698" t="str">
        <f>IF($A698="","",SUMPRODUCT((MOVIMIENTOS!$B$5:$B$1005="SALDO INICIAL")*(MOVIMIENTOS!$C$5:$C$1005="P")*(MOVIMIENTOS!$D$5:$D$1005="jabas")*(MOVIMIENTOS!$A$5:$A$1005&lt;&gt;"")*(MOVIMIENTOS!$A$5:$A$1005&lt;=$A698)*MOVIMIENTOS!$E$5:$E$1005)+SUMPRODUCT((MOVIMIENTOS!$B$5:$B$1005="PROCESO")*(MOVIMIENTOS!$C$5:$C$1005="P")*(MOVIMIENTOS!$D$5:$D$1005="jabas")*(MOVIMIENTOS!$A$5:$A$1005&lt;&gt;"")*(MOVIMIENTOS!$A$5:$A$1005&lt;=$A698)*MOVIMIENTOS!$E$5:$E$1005)-SUMPRODUCT((MOVIMIENTOS!$B$5:$B$1005="ENVÍO A SUPESA")*(MOVIMIENTOS!$C$5:$C$1005="P")*(MOVIMIENTOS!$D$5:$D$1005="jabas")*(MOVIMIENTOS!$A$5:$A$1005&lt;&gt;"")*(MOVIMIENTOS!$A$5:$A$1005&lt;=$A698)*MOVIMIENTOS!$E$5:$E$1005)+SUMPRODUCT((MOVIMIENTOS!$B$5:$B$1005="DEVOLUCIÓN")*(MOVIMIENTOS!$C$5:$C$1005="P")*(MOVIMIENTOS!$D$5:$D$1005="jabas")*(MOVIMIENTOS!$A$5:$A$1005&lt;&gt;"")*(MOVIMIENTOS!$A$5:$A$1005&lt;=$A698)*MOVIMIENTOS!$E$5:$E$1005)-SUMPRODUCT((MOVIMIENTOS!$B$5:$B$1005="TRASIEGO")*(MOVIMIENTOS!$C$5:$C$1005="P")*(MOVIMIENTOS!$D$5:$D$1005="jabas")*(MOVIMIENTOS!$A$5:$A$1005&lt;&gt;"")*(MOVIMIENTOS!$A$5:$A$1005&lt;=$A698)*MOVIMIENTOS!$E$5:$E$1005)-SUMPRODUCT((MOVIMIENTOS!$B$5:$B$1005="REGALO")*(MOVIMIENTOS!$C$5:$C$1005="P")*(MOVIMIENTOS!$D$5:$D$1005="jabas")*(MOVIMIENTOS!$A$5:$A$1005&lt;&gt;"")*(MOVIMIENTOS!$A$5:$A$1005&lt;=$A698)*MOVIMIENTOS!$E$5:$E$1005)-SUMPRODUCT((MOVIMIENTOS!$B$5:$B$1005="VENTA")*(MOVIMIENTOS!$C$5:$C$1005="P")*(MOVIMIENTOS!$D$5:$D$1005="jabas")*(MOVIMIENTOS!$A$5:$A$1005&lt;&gt;"")*(MOVIMIENTOS!$A$5:$A$1005&lt;=$A698)*MOVIMIENTOS!$E$5:$E$1005)+SUMPRODUCT((MOVIMIENTOS!$B$5:$B$1005="AJUSTE")*(MOVIMIENTOS!$C$5:$C$1005="P")*(MOVIMIENTOS!$D$5:$D$1005="jabas")*(MOVIMIENTOS!$A$5:$A$1005&lt;&gt;"")*(MOVIMIENTOS!$A$5:$A$1005&lt;=$A698)*MOVIMIENTOS!$E$5:$E$1005))</f>
        <v/>
      </c>
      <c r="D698" t="str">
        <f>IF($A698="","",SUMPRODUCT((MOVIMIENTOS!$B$5:$B$1005="SALDO INICIAL")*(MOVIMIENTOS!$C$5:$C$1005="C")*(MOVIMIENTOS!$D$5:$D$1005="jabas")*(MOVIMIENTOS!$A$5:$A$1005&lt;&gt;"")*(MOVIMIENTOS!$A$5:$A$1005&lt;=$A698)*MOVIMIENTOS!$E$5:$E$1005)+SUMPRODUCT((MOVIMIENTOS!$B$5:$B$1005="PROCESO")*(MOVIMIENTOS!$C$5:$C$1005="C")*(MOVIMIENTOS!$D$5:$D$1005="jabas")*(MOVIMIENTOS!$A$5:$A$1005&lt;&gt;"")*(MOVIMIENTOS!$A$5:$A$1005&lt;=$A698)*MOVIMIENTOS!$E$5:$E$1005)-SUMPRODUCT((MOVIMIENTOS!$B$5:$B$1005="ENVÍO A SUPESA")*(MOVIMIENTOS!$C$5:$C$1005="C")*(MOVIMIENTOS!$D$5:$D$1005="jabas")*(MOVIMIENTOS!$A$5:$A$1005&lt;&gt;"")*(MOVIMIENTOS!$A$5:$A$1005&lt;=$A698)*MOVIMIENTOS!$E$5:$E$1005)+SUMPRODUCT((MOVIMIENTOS!$B$5:$B$1005="DEVOLUCIÓN")*(MOVIMIENTOS!$C$5:$C$1005="C")*(MOVIMIENTOS!$D$5:$D$1005="jabas")*(MOVIMIENTOS!$A$5:$A$1005&lt;&gt;"")*(MOVIMIENTOS!$A$5:$A$1005&lt;=$A698)*MOVIMIENTOS!$E$5:$E$1005)-SUMPRODUCT((MOVIMIENTOS!$B$5:$B$1005="TRASIEGO")*(MOVIMIENTOS!$C$5:$C$1005="C")*(MOVIMIENTOS!$D$5:$D$1005="jabas")*(MOVIMIENTOS!$A$5:$A$1005&lt;&gt;"")*(MOVIMIENTOS!$A$5:$A$1005&lt;=$A698)*MOVIMIENTOS!$E$5:$E$1005)-SUMPRODUCT((MOVIMIENTOS!$B$5:$B$1005="REGALO")*(MOVIMIENTOS!$C$5:$C$1005="C")*(MOVIMIENTOS!$D$5:$D$1005="jabas")*(MOVIMIENTOS!$A$5:$A$1005&lt;&gt;"")*(MOVIMIENTOS!$A$5:$A$1005&lt;=$A698)*MOVIMIENTOS!$E$5:$E$1005)-SUMPRODUCT((MOVIMIENTOS!$B$5:$B$1005="VENTA")*(MOVIMIENTOS!$C$5:$C$1005="C")*(MOVIMIENTOS!$D$5:$D$1005="jabas")*(MOVIMIENTOS!$A$5:$A$1005&lt;&gt;"")*(MOVIMIENTOS!$A$5:$A$1005&lt;=$A698)*MOVIMIENTOS!$E$5:$E$1005)+SUMPRODUCT((MOVIMIENTOS!$B$5:$B$1005="AJUSTE")*(MOVIMIENTOS!$C$5:$C$1005="C")*(MOVIMIENTOS!$D$5:$D$1005="jabas")*(MOVIMIENTOS!$A$5:$A$1005&lt;&gt;"")*(MOVIMIENTOS!$A$5:$A$1005&lt;=$A698)*MOVIMIENTOS!$E$5:$E$1005))</f>
        <v/>
      </c>
      <c r="E698" t="str">
        <f>IF($A698="","",SUMPRODUCT((MOVIMIENTOS!$B$5:$B$1005="SALDO INICIAL")*(MOVIMIENTOS!$C$5:$C$1005="M")*(MOVIMIENTOS!$D$5:$D$1005="jabas")*(MOVIMIENTOS!$A$5:$A$1005&lt;&gt;"")*(MOVIMIENTOS!$A$5:$A$1005&lt;=$A698)*MOVIMIENTOS!$E$5:$E$1005)+SUMPRODUCT((MOVIMIENTOS!$B$5:$B$1005="PROCESO")*(MOVIMIENTOS!$C$5:$C$1005="M")*(MOVIMIENTOS!$D$5:$D$1005="jabas")*(MOVIMIENTOS!$A$5:$A$1005&lt;&gt;"")*(MOVIMIENTOS!$A$5:$A$1005&lt;=$A698)*MOVIMIENTOS!$E$5:$E$1005)-SUMPRODUCT((MOVIMIENTOS!$B$5:$B$1005="ENVÍO A SUPESA")*(MOVIMIENTOS!$C$5:$C$1005="M")*(MOVIMIENTOS!$D$5:$D$1005="jabas")*(MOVIMIENTOS!$A$5:$A$1005&lt;&gt;"")*(MOVIMIENTOS!$A$5:$A$1005&lt;=$A698)*MOVIMIENTOS!$E$5:$E$1005)+SUMPRODUCT((MOVIMIENTOS!$B$5:$B$1005="DEVOLUCIÓN")*(MOVIMIENTOS!$C$5:$C$1005="M")*(MOVIMIENTOS!$D$5:$D$1005="jabas")*(MOVIMIENTOS!$A$5:$A$1005&lt;&gt;"")*(MOVIMIENTOS!$A$5:$A$1005&lt;=$A698)*MOVIMIENTOS!$E$5:$E$1005)-SUMPRODUCT((MOVIMIENTOS!$B$5:$B$1005="TRASIEGO")*(MOVIMIENTOS!$C$5:$C$1005="M")*(MOVIMIENTOS!$D$5:$D$1005="jabas")*(MOVIMIENTOS!$A$5:$A$1005&lt;&gt;"")*(MOVIMIENTOS!$A$5:$A$1005&lt;=$A698)*MOVIMIENTOS!$E$5:$E$1005)-SUMPRODUCT((MOVIMIENTOS!$B$5:$B$1005="REGALO")*(MOVIMIENTOS!$C$5:$C$1005="M")*(MOVIMIENTOS!$D$5:$D$1005="jabas")*(MOVIMIENTOS!$A$5:$A$1005&lt;&gt;"")*(MOVIMIENTOS!$A$5:$A$1005&lt;=$A698)*MOVIMIENTOS!$E$5:$E$1005)-SUMPRODUCT((MOVIMIENTOS!$B$5:$B$1005="VENTA")*(MOVIMIENTOS!$C$5:$C$1005="M")*(MOVIMIENTOS!$D$5:$D$1005="jabas")*(MOVIMIENTOS!$A$5:$A$1005&lt;&gt;"")*(MOVIMIENTOS!$A$5:$A$1005&lt;=$A698)*MOVIMIENTOS!$E$5:$E$1005)+SUMPRODUCT((MOVIMIENTOS!$B$5:$B$1005="AJUSTE")*(MOVIMIENTOS!$C$5:$C$1005="M")*(MOVIMIENTOS!$D$5:$D$1005="jabas")*(MOVIMIENTOS!$A$5:$A$1005&lt;&gt;"")*(MOVIMIENTOS!$A$5:$A$1005&lt;=$A698)*MOVIMIENTOS!$E$5:$E$1005))</f>
        <v/>
      </c>
      <c r="F698" s="62" t="str">
        <f>IF($A698="","",SUMPRODUCT((MOVIMIENTOS!$B$5:$B$1005="SALDO INICIAL")*(MOVIMIENTOS!$C$5:$C$1005="Chancho")*(MOVIMIENTOS!$D$5:$D$1005="sacos")*(MOVIMIENTOS!$A$5:$A$1005&lt;&gt;"")*(MOVIMIENTOS!$A$5:$A$1005&lt;=$A698)*MOVIMIENTOS!$E$5:$E$1005)+SUMPRODUCT((MOVIMIENTOS!$B$5:$B$1005="PROCESO")*(MOVIMIENTOS!$C$5:$C$1005="Chancho")*(MOVIMIENTOS!$D$5:$D$1005="sacos")*(MOVIMIENTOS!$A$5:$A$1005&lt;&gt;"")*(MOVIMIENTOS!$A$5:$A$1005&lt;=$A698)*MOVIMIENTOS!$E$5:$E$1005)-SUMPRODUCT((MOVIMIENTOS!$B$5:$B$1005="VENTA CHANCHO")*(MOVIMIENTOS!$C$5:$C$1005="Chancho")*(MOVIMIENTOS!$D$5:$D$1005="sacos")*(MOVIMIENTOS!$A$5:$A$1005&lt;&gt;"")*(MOVIMIENTOS!$A$5:$A$1005&lt;=$A698)*MOVIMIENTOS!$E$5:$E$1005)-SUMPRODUCT((MOVIMIENTOS!$B$5:$B$1005="REGALO")*(MOVIMIENTOS!$C$5:$C$1005="Chancho")*(MOVIMIENTOS!$D$5:$D$1005="sacos")*(MOVIMIENTOS!$A$5:$A$1005&lt;&gt;"")*(MOVIMIENTOS!$A$5:$A$1005&lt;=$A698)*MOVIMIENTOS!$E$5:$E$1005)-SUMPRODUCT((MOVIMIENTOS!$B$5:$B$1005="VENTA")*(MOVIMIENTOS!$C$5:$C$1005="Chancho")*(MOVIMIENTOS!$D$5:$D$1005="sacos")*(MOVIMIENTOS!$A$5:$A$1005&lt;&gt;"")*(MOVIMIENTOS!$A$5:$A$1005&lt;=$A698)*MOVIMIENTOS!$E$5:$E$1005)+SUMPRODUCT((MOVIMIENTOS!$B$5:$B$1005="AJUSTE")*(MOVIMIENTOS!$C$5:$C$1005="Chancho")*(MOVIMIENTOS!$D$5:$D$1005="sacos")*(MOVIMIENTOS!$A$5:$A$1005&lt;&gt;"")*(MOVIMIENTOS!$A$5:$A$1005&lt;=$A698)*MOVIMIENTOS!$E$5:$E$1005))</f>
        <v/>
      </c>
      <c r="G698" s="62" t="str">
        <f t="shared" si="21"/>
        <v/>
      </c>
      <c r="H698" t="str">
        <f>IF($A698="","",SUMPRODUCT((((MOVIMIENTOS!$B$5:$B$1005="SALDO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698)*MOVIMIENTOS!$J$5:$J$1005))</f>
        <v/>
      </c>
      <c r="J698" t="str">
        <f>IF(AND(MOVIMIENTOS!$A703&lt;&gt;"",COUNTIF(MOVIMIENTOS!$A$5:$A702,MOVIMIENTOS!$A703)=0),COUNT(J$4:J697)+1,"")</f>
        <v/>
      </c>
      <c r="K698">
        <f>MOVIMIENTOS!$A703</f>
        <v>0</v>
      </c>
    </row>
    <row r="699" spans="1:11" ht="15" customHeight="1" x14ac:dyDescent="0.2">
      <c r="A699" t="str">
        <f t="shared" si="20"/>
        <v/>
      </c>
      <c r="B699" t="str">
        <f>IF($A699="","",SUMPRODUCT((MOVIMIENTOS!$B$5:$B$1005="SALDO INICIAL")*(MOVIMIENTOS!$C$5:$C$1005="A")*(MOVIMIENTOS!$D$5:$D$1005="jabas")*(MOVIMIENTOS!$A$5:$A$1005&lt;&gt;"")*(MOVIMIENTOS!$A$5:$A$1005&lt;=$A699)*MOVIMIENTOS!$E$5:$E$1005)+SUMPRODUCT((MOVIMIENTOS!$B$5:$B$1005="PROCESO")*(MOVIMIENTOS!$C$5:$C$1005="A")*(MOVIMIENTOS!$D$5:$D$1005="jabas")*(MOVIMIENTOS!$A$5:$A$1005&lt;&gt;"")*(MOVIMIENTOS!$A$5:$A$1005&lt;=$A699)*MOVIMIENTOS!$E$5:$E$1005)-SUMPRODUCT((MOVIMIENTOS!$B$5:$B$1005="ENVÍO A SUPESA")*(MOVIMIENTOS!$C$5:$C$1005="A")*(MOVIMIENTOS!$D$5:$D$1005="jabas")*(MOVIMIENTOS!$A$5:$A$1005&lt;&gt;"")*(MOVIMIENTOS!$A$5:$A$1005&lt;=$A699)*MOVIMIENTOS!$E$5:$E$1005)+SUMPRODUCT((MOVIMIENTOS!$B$5:$B$1005="DEVOLUCIÓN")*(MOVIMIENTOS!$C$5:$C$1005="A")*(MOVIMIENTOS!$D$5:$D$1005="jabas")*(MOVIMIENTOS!$A$5:$A$1005&lt;&gt;"")*(MOVIMIENTOS!$A$5:$A$1005&lt;=$A699)*MOVIMIENTOS!$E$5:$E$1005)-SUMPRODUCT((MOVIMIENTOS!$B$5:$B$1005="TRASIEGO")*(MOVIMIENTOS!$C$5:$C$1005="A")*(MOVIMIENTOS!$D$5:$D$1005="jabas")*(MOVIMIENTOS!$A$5:$A$1005&lt;&gt;"")*(MOVIMIENTOS!$A$5:$A$1005&lt;=$A699)*MOVIMIENTOS!$E$5:$E$1005)-SUMPRODUCT((MOVIMIENTOS!$B$5:$B$1005="REGALO")*(MOVIMIENTOS!$C$5:$C$1005="A")*(MOVIMIENTOS!$D$5:$D$1005="jabas")*(MOVIMIENTOS!$A$5:$A$1005&lt;&gt;"")*(MOVIMIENTOS!$A$5:$A$1005&lt;=$A699)*MOVIMIENTOS!$E$5:$E$1005)-SUMPRODUCT((MOVIMIENTOS!$B$5:$B$1005="VENTA")*(MOVIMIENTOS!$C$5:$C$1005="A")*(MOVIMIENTOS!$D$5:$D$1005="jabas")*(MOVIMIENTOS!$A$5:$A$1005&lt;&gt;"")*(MOVIMIENTOS!$A$5:$A$1005&lt;=$A699)*MOVIMIENTOS!$E$5:$E$1005)+SUMPRODUCT((MOVIMIENTOS!$B$5:$B$1005="AJUSTE")*(MOVIMIENTOS!$C$5:$C$1005="A")*(MOVIMIENTOS!$D$5:$D$1005="jabas")*(MOVIMIENTOS!$A$5:$A$1005&lt;&gt;"")*(MOVIMIENTOS!$A$5:$A$1005&lt;=$A699)*MOVIMIENTOS!$E$5:$E$1005))</f>
        <v/>
      </c>
      <c r="C699" t="str">
        <f>IF($A699="","",SUMPRODUCT((MOVIMIENTOS!$B$5:$B$1005="SALDO INICIAL")*(MOVIMIENTOS!$C$5:$C$1005="P")*(MOVIMIENTOS!$D$5:$D$1005="jabas")*(MOVIMIENTOS!$A$5:$A$1005&lt;&gt;"")*(MOVIMIENTOS!$A$5:$A$1005&lt;=$A699)*MOVIMIENTOS!$E$5:$E$1005)+SUMPRODUCT((MOVIMIENTOS!$B$5:$B$1005="PROCESO")*(MOVIMIENTOS!$C$5:$C$1005="P")*(MOVIMIENTOS!$D$5:$D$1005="jabas")*(MOVIMIENTOS!$A$5:$A$1005&lt;&gt;"")*(MOVIMIENTOS!$A$5:$A$1005&lt;=$A699)*MOVIMIENTOS!$E$5:$E$1005)-SUMPRODUCT((MOVIMIENTOS!$B$5:$B$1005="ENVÍO A SUPESA")*(MOVIMIENTOS!$C$5:$C$1005="P")*(MOVIMIENTOS!$D$5:$D$1005="jabas")*(MOVIMIENTOS!$A$5:$A$1005&lt;&gt;"")*(MOVIMIENTOS!$A$5:$A$1005&lt;=$A699)*MOVIMIENTOS!$E$5:$E$1005)+SUMPRODUCT((MOVIMIENTOS!$B$5:$B$1005="DEVOLUCIÓN")*(MOVIMIENTOS!$C$5:$C$1005="P")*(MOVIMIENTOS!$D$5:$D$1005="jabas")*(MOVIMIENTOS!$A$5:$A$1005&lt;&gt;"")*(MOVIMIENTOS!$A$5:$A$1005&lt;=$A699)*MOVIMIENTOS!$E$5:$E$1005)-SUMPRODUCT((MOVIMIENTOS!$B$5:$B$1005="TRASIEGO")*(MOVIMIENTOS!$C$5:$C$1005="P")*(MOVIMIENTOS!$D$5:$D$1005="jabas")*(MOVIMIENTOS!$A$5:$A$1005&lt;&gt;"")*(MOVIMIENTOS!$A$5:$A$1005&lt;=$A699)*MOVIMIENTOS!$E$5:$E$1005)-SUMPRODUCT((MOVIMIENTOS!$B$5:$B$1005="REGALO")*(MOVIMIENTOS!$C$5:$C$1005="P")*(MOVIMIENTOS!$D$5:$D$1005="jabas")*(MOVIMIENTOS!$A$5:$A$1005&lt;&gt;"")*(MOVIMIENTOS!$A$5:$A$1005&lt;=$A699)*MOVIMIENTOS!$E$5:$E$1005)-SUMPRODUCT((MOVIMIENTOS!$B$5:$B$1005="VENTA")*(MOVIMIENTOS!$C$5:$C$1005="P")*(MOVIMIENTOS!$D$5:$D$1005="jabas")*(MOVIMIENTOS!$A$5:$A$1005&lt;&gt;"")*(MOVIMIENTOS!$A$5:$A$1005&lt;=$A699)*MOVIMIENTOS!$E$5:$E$1005)+SUMPRODUCT((MOVIMIENTOS!$B$5:$B$1005="AJUSTE")*(MOVIMIENTOS!$C$5:$C$1005="P")*(MOVIMIENTOS!$D$5:$D$1005="jabas")*(MOVIMIENTOS!$A$5:$A$1005&lt;&gt;"")*(MOVIMIENTOS!$A$5:$A$1005&lt;=$A699)*MOVIMIENTOS!$E$5:$E$1005))</f>
        <v/>
      </c>
      <c r="D699" t="str">
        <f>IF($A699="","",SUMPRODUCT((MOVIMIENTOS!$B$5:$B$1005="SALDO INICIAL")*(MOVIMIENTOS!$C$5:$C$1005="C")*(MOVIMIENTOS!$D$5:$D$1005="jabas")*(MOVIMIENTOS!$A$5:$A$1005&lt;&gt;"")*(MOVIMIENTOS!$A$5:$A$1005&lt;=$A699)*MOVIMIENTOS!$E$5:$E$1005)+SUMPRODUCT((MOVIMIENTOS!$B$5:$B$1005="PROCESO")*(MOVIMIENTOS!$C$5:$C$1005="C")*(MOVIMIENTOS!$D$5:$D$1005="jabas")*(MOVIMIENTOS!$A$5:$A$1005&lt;&gt;"")*(MOVIMIENTOS!$A$5:$A$1005&lt;=$A699)*MOVIMIENTOS!$E$5:$E$1005)-SUMPRODUCT((MOVIMIENTOS!$B$5:$B$1005="ENVÍO A SUPESA")*(MOVIMIENTOS!$C$5:$C$1005="C")*(MOVIMIENTOS!$D$5:$D$1005="jabas")*(MOVIMIENTOS!$A$5:$A$1005&lt;&gt;"")*(MOVIMIENTOS!$A$5:$A$1005&lt;=$A699)*MOVIMIENTOS!$E$5:$E$1005)+SUMPRODUCT((MOVIMIENTOS!$B$5:$B$1005="DEVOLUCIÓN")*(MOVIMIENTOS!$C$5:$C$1005="C")*(MOVIMIENTOS!$D$5:$D$1005="jabas")*(MOVIMIENTOS!$A$5:$A$1005&lt;&gt;"")*(MOVIMIENTOS!$A$5:$A$1005&lt;=$A699)*MOVIMIENTOS!$E$5:$E$1005)-SUMPRODUCT((MOVIMIENTOS!$B$5:$B$1005="TRASIEGO")*(MOVIMIENTOS!$C$5:$C$1005="C")*(MOVIMIENTOS!$D$5:$D$1005="jabas")*(MOVIMIENTOS!$A$5:$A$1005&lt;&gt;"")*(MOVIMIENTOS!$A$5:$A$1005&lt;=$A699)*MOVIMIENTOS!$E$5:$E$1005)-SUMPRODUCT((MOVIMIENTOS!$B$5:$B$1005="REGALO")*(MOVIMIENTOS!$C$5:$C$1005="C")*(MOVIMIENTOS!$D$5:$D$1005="jabas")*(MOVIMIENTOS!$A$5:$A$1005&lt;&gt;"")*(MOVIMIENTOS!$A$5:$A$1005&lt;=$A699)*MOVIMIENTOS!$E$5:$E$1005)-SUMPRODUCT((MOVIMIENTOS!$B$5:$B$1005="VENTA")*(MOVIMIENTOS!$C$5:$C$1005="C")*(MOVIMIENTOS!$D$5:$D$1005="jabas")*(MOVIMIENTOS!$A$5:$A$1005&lt;&gt;"")*(MOVIMIENTOS!$A$5:$A$1005&lt;=$A699)*MOVIMIENTOS!$E$5:$E$1005)+SUMPRODUCT((MOVIMIENTOS!$B$5:$B$1005="AJUSTE")*(MOVIMIENTOS!$C$5:$C$1005="C")*(MOVIMIENTOS!$D$5:$D$1005="jabas")*(MOVIMIENTOS!$A$5:$A$1005&lt;&gt;"")*(MOVIMIENTOS!$A$5:$A$1005&lt;=$A699)*MOVIMIENTOS!$E$5:$E$1005))</f>
        <v/>
      </c>
      <c r="E699" t="str">
        <f>IF($A699="","",SUMPRODUCT((MOVIMIENTOS!$B$5:$B$1005="SALDO INICIAL")*(MOVIMIENTOS!$C$5:$C$1005="M")*(MOVIMIENTOS!$D$5:$D$1005="jabas")*(MOVIMIENTOS!$A$5:$A$1005&lt;&gt;"")*(MOVIMIENTOS!$A$5:$A$1005&lt;=$A699)*MOVIMIENTOS!$E$5:$E$1005)+SUMPRODUCT((MOVIMIENTOS!$B$5:$B$1005="PROCESO")*(MOVIMIENTOS!$C$5:$C$1005="M")*(MOVIMIENTOS!$D$5:$D$1005="jabas")*(MOVIMIENTOS!$A$5:$A$1005&lt;&gt;"")*(MOVIMIENTOS!$A$5:$A$1005&lt;=$A699)*MOVIMIENTOS!$E$5:$E$1005)-SUMPRODUCT((MOVIMIENTOS!$B$5:$B$1005="ENVÍO A SUPESA")*(MOVIMIENTOS!$C$5:$C$1005="M")*(MOVIMIENTOS!$D$5:$D$1005="jabas")*(MOVIMIENTOS!$A$5:$A$1005&lt;&gt;"")*(MOVIMIENTOS!$A$5:$A$1005&lt;=$A699)*MOVIMIENTOS!$E$5:$E$1005)+SUMPRODUCT((MOVIMIENTOS!$B$5:$B$1005="DEVOLUCIÓN")*(MOVIMIENTOS!$C$5:$C$1005="M")*(MOVIMIENTOS!$D$5:$D$1005="jabas")*(MOVIMIENTOS!$A$5:$A$1005&lt;&gt;"")*(MOVIMIENTOS!$A$5:$A$1005&lt;=$A699)*MOVIMIENTOS!$E$5:$E$1005)-SUMPRODUCT((MOVIMIENTOS!$B$5:$B$1005="TRASIEGO")*(MOVIMIENTOS!$C$5:$C$1005="M")*(MOVIMIENTOS!$D$5:$D$1005="jabas")*(MOVIMIENTOS!$A$5:$A$1005&lt;&gt;"")*(MOVIMIENTOS!$A$5:$A$1005&lt;=$A699)*MOVIMIENTOS!$E$5:$E$1005)-SUMPRODUCT((MOVIMIENTOS!$B$5:$B$1005="REGALO")*(MOVIMIENTOS!$C$5:$C$1005="M")*(MOVIMIENTOS!$D$5:$D$1005="jabas")*(MOVIMIENTOS!$A$5:$A$1005&lt;&gt;"")*(MOVIMIENTOS!$A$5:$A$1005&lt;=$A699)*MOVIMIENTOS!$E$5:$E$1005)-SUMPRODUCT((MOVIMIENTOS!$B$5:$B$1005="VENTA")*(MOVIMIENTOS!$C$5:$C$1005="M")*(MOVIMIENTOS!$D$5:$D$1005="jabas")*(MOVIMIENTOS!$A$5:$A$1005&lt;&gt;"")*(MOVIMIENTOS!$A$5:$A$1005&lt;=$A699)*MOVIMIENTOS!$E$5:$E$1005)+SUMPRODUCT((MOVIMIENTOS!$B$5:$B$1005="AJUSTE")*(MOVIMIENTOS!$C$5:$C$1005="M")*(MOVIMIENTOS!$D$5:$D$1005="jabas")*(MOVIMIENTOS!$A$5:$A$1005&lt;&gt;"")*(MOVIMIENTOS!$A$5:$A$1005&lt;=$A699)*MOVIMIENTOS!$E$5:$E$1005))</f>
        <v/>
      </c>
      <c r="F699" s="62" t="str">
        <f>IF($A699="","",SUMPRODUCT((MOVIMIENTOS!$B$5:$B$1005="SALDO INICIAL")*(MOVIMIENTOS!$C$5:$C$1005="Chancho")*(MOVIMIENTOS!$D$5:$D$1005="sacos")*(MOVIMIENTOS!$A$5:$A$1005&lt;&gt;"")*(MOVIMIENTOS!$A$5:$A$1005&lt;=$A699)*MOVIMIENTOS!$E$5:$E$1005)+SUMPRODUCT((MOVIMIENTOS!$B$5:$B$1005="PROCESO")*(MOVIMIENTOS!$C$5:$C$1005="Chancho")*(MOVIMIENTOS!$D$5:$D$1005="sacos")*(MOVIMIENTOS!$A$5:$A$1005&lt;&gt;"")*(MOVIMIENTOS!$A$5:$A$1005&lt;=$A699)*MOVIMIENTOS!$E$5:$E$1005)-SUMPRODUCT((MOVIMIENTOS!$B$5:$B$1005="VENTA CHANCHO")*(MOVIMIENTOS!$C$5:$C$1005="Chancho")*(MOVIMIENTOS!$D$5:$D$1005="sacos")*(MOVIMIENTOS!$A$5:$A$1005&lt;&gt;"")*(MOVIMIENTOS!$A$5:$A$1005&lt;=$A699)*MOVIMIENTOS!$E$5:$E$1005)-SUMPRODUCT((MOVIMIENTOS!$B$5:$B$1005="REGALO")*(MOVIMIENTOS!$C$5:$C$1005="Chancho")*(MOVIMIENTOS!$D$5:$D$1005="sacos")*(MOVIMIENTOS!$A$5:$A$1005&lt;&gt;"")*(MOVIMIENTOS!$A$5:$A$1005&lt;=$A699)*MOVIMIENTOS!$E$5:$E$1005)-SUMPRODUCT((MOVIMIENTOS!$B$5:$B$1005="VENTA")*(MOVIMIENTOS!$C$5:$C$1005="Chancho")*(MOVIMIENTOS!$D$5:$D$1005="sacos")*(MOVIMIENTOS!$A$5:$A$1005&lt;&gt;"")*(MOVIMIENTOS!$A$5:$A$1005&lt;=$A699)*MOVIMIENTOS!$E$5:$E$1005)+SUMPRODUCT((MOVIMIENTOS!$B$5:$B$1005="AJUSTE")*(MOVIMIENTOS!$C$5:$C$1005="Chancho")*(MOVIMIENTOS!$D$5:$D$1005="sacos")*(MOVIMIENTOS!$A$5:$A$1005&lt;&gt;"")*(MOVIMIENTOS!$A$5:$A$1005&lt;=$A699)*MOVIMIENTOS!$E$5:$E$1005))</f>
        <v/>
      </c>
      <c r="G699" s="62" t="str">
        <f t="shared" si="21"/>
        <v/>
      </c>
      <c r="H699" t="str">
        <f>IF($A699="","",SUMPRODUCT((((MOVIMIENTOS!$B$5:$B$1005="SALDO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699)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699)*MOVIMIENTOS!$J$5:$J$1005))</f>
        <v/>
      </c>
      <c r="J699" t="str">
        <f>IF(AND(MOVIMIENTOS!$A704&lt;&gt;"",COUNTIF(MOVIMIENTOS!$A$5:$A703,MOVIMIENTOS!$A704)=0),COUNT(J$4:J698)+1,"")</f>
        <v/>
      </c>
      <c r="K699">
        <f>MOVIMIENTOS!$A704</f>
        <v>0</v>
      </c>
    </row>
    <row r="700" spans="1:11" ht="15" customHeight="1" x14ac:dyDescent="0.2">
      <c r="A700" t="str">
        <f t="shared" si="20"/>
        <v/>
      </c>
      <c r="B700" t="str">
        <f>IF($A700="","",SUMPRODUCT((MOVIMIENTOS!$B$5:$B$1005="SALDO INICIAL")*(MOVIMIENTOS!$C$5:$C$1005="A")*(MOVIMIENTOS!$D$5:$D$1005="jabas")*(MOVIMIENTOS!$A$5:$A$1005&lt;&gt;"")*(MOVIMIENTOS!$A$5:$A$1005&lt;=$A700)*MOVIMIENTOS!$E$5:$E$1005)+SUMPRODUCT((MOVIMIENTOS!$B$5:$B$1005="PROCESO")*(MOVIMIENTOS!$C$5:$C$1005="A")*(MOVIMIENTOS!$D$5:$D$1005="jabas")*(MOVIMIENTOS!$A$5:$A$1005&lt;&gt;"")*(MOVIMIENTOS!$A$5:$A$1005&lt;=$A700)*MOVIMIENTOS!$E$5:$E$1005)-SUMPRODUCT((MOVIMIENTOS!$B$5:$B$1005="ENVÍO A SUPESA")*(MOVIMIENTOS!$C$5:$C$1005="A")*(MOVIMIENTOS!$D$5:$D$1005="jabas")*(MOVIMIENTOS!$A$5:$A$1005&lt;&gt;"")*(MOVIMIENTOS!$A$5:$A$1005&lt;=$A700)*MOVIMIENTOS!$E$5:$E$1005)+SUMPRODUCT((MOVIMIENTOS!$B$5:$B$1005="DEVOLUCIÓN")*(MOVIMIENTOS!$C$5:$C$1005="A")*(MOVIMIENTOS!$D$5:$D$1005="jabas")*(MOVIMIENTOS!$A$5:$A$1005&lt;&gt;"")*(MOVIMIENTOS!$A$5:$A$1005&lt;=$A700)*MOVIMIENTOS!$E$5:$E$1005)-SUMPRODUCT((MOVIMIENTOS!$B$5:$B$1005="TRASIEGO")*(MOVIMIENTOS!$C$5:$C$1005="A")*(MOVIMIENTOS!$D$5:$D$1005="jabas")*(MOVIMIENTOS!$A$5:$A$1005&lt;&gt;"")*(MOVIMIENTOS!$A$5:$A$1005&lt;=$A700)*MOVIMIENTOS!$E$5:$E$1005)-SUMPRODUCT((MOVIMIENTOS!$B$5:$B$1005="REGALO")*(MOVIMIENTOS!$C$5:$C$1005="A")*(MOVIMIENTOS!$D$5:$D$1005="jabas")*(MOVIMIENTOS!$A$5:$A$1005&lt;&gt;"")*(MOVIMIENTOS!$A$5:$A$1005&lt;=$A700)*MOVIMIENTOS!$E$5:$E$1005)-SUMPRODUCT((MOVIMIENTOS!$B$5:$B$1005="VENTA")*(MOVIMIENTOS!$C$5:$C$1005="A")*(MOVIMIENTOS!$D$5:$D$1005="jabas")*(MOVIMIENTOS!$A$5:$A$1005&lt;&gt;"")*(MOVIMIENTOS!$A$5:$A$1005&lt;=$A700)*MOVIMIENTOS!$E$5:$E$1005)+SUMPRODUCT((MOVIMIENTOS!$B$5:$B$1005="AJUSTE")*(MOVIMIENTOS!$C$5:$C$1005="A")*(MOVIMIENTOS!$D$5:$D$1005="jabas")*(MOVIMIENTOS!$A$5:$A$1005&lt;&gt;"")*(MOVIMIENTOS!$A$5:$A$1005&lt;=$A700)*MOVIMIENTOS!$E$5:$E$1005))</f>
        <v/>
      </c>
      <c r="C700" t="str">
        <f>IF($A700="","",SUMPRODUCT((MOVIMIENTOS!$B$5:$B$1005="SALDO INICIAL")*(MOVIMIENTOS!$C$5:$C$1005="P")*(MOVIMIENTOS!$D$5:$D$1005="jabas")*(MOVIMIENTOS!$A$5:$A$1005&lt;&gt;"")*(MOVIMIENTOS!$A$5:$A$1005&lt;=$A700)*MOVIMIENTOS!$E$5:$E$1005)+SUMPRODUCT((MOVIMIENTOS!$B$5:$B$1005="PROCESO")*(MOVIMIENTOS!$C$5:$C$1005="P")*(MOVIMIENTOS!$D$5:$D$1005="jabas")*(MOVIMIENTOS!$A$5:$A$1005&lt;&gt;"")*(MOVIMIENTOS!$A$5:$A$1005&lt;=$A700)*MOVIMIENTOS!$E$5:$E$1005)-SUMPRODUCT((MOVIMIENTOS!$B$5:$B$1005="ENVÍO A SUPESA")*(MOVIMIENTOS!$C$5:$C$1005="P")*(MOVIMIENTOS!$D$5:$D$1005="jabas")*(MOVIMIENTOS!$A$5:$A$1005&lt;&gt;"")*(MOVIMIENTOS!$A$5:$A$1005&lt;=$A700)*MOVIMIENTOS!$E$5:$E$1005)+SUMPRODUCT((MOVIMIENTOS!$B$5:$B$1005="DEVOLUCIÓN")*(MOVIMIENTOS!$C$5:$C$1005="P")*(MOVIMIENTOS!$D$5:$D$1005="jabas")*(MOVIMIENTOS!$A$5:$A$1005&lt;&gt;"")*(MOVIMIENTOS!$A$5:$A$1005&lt;=$A700)*MOVIMIENTOS!$E$5:$E$1005)-SUMPRODUCT((MOVIMIENTOS!$B$5:$B$1005="TRASIEGO")*(MOVIMIENTOS!$C$5:$C$1005="P")*(MOVIMIENTOS!$D$5:$D$1005="jabas")*(MOVIMIENTOS!$A$5:$A$1005&lt;&gt;"")*(MOVIMIENTOS!$A$5:$A$1005&lt;=$A700)*MOVIMIENTOS!$E$5:$E$1005)-SUMPRODUCT((MOVIMIENTOS!$B$5:$B$1005="REGALO")*(MOVIMIENTOS!$C$5:$C$1005="P")*(MOVIMIENTOS!$D$5:$D$1005="jabas")*(MOVIMIENTOS!$A$5:$A$1005&lt;&gt;"")*(MOVIMIENTOS!$A$5:$A$1005&lt;=$A700)*MOVIMIENTOS!$E$5:$E$1005)-SUMPRODUCT((MOVIMIENTOS!$B$5:$B$1005="VENTA")*(MOVIMIENTOS!$C$5:$C$1005="P")*(MOVIMIENTOS!$D$5:$D$1005="jabas")*(MOVIMIENTOS!$A$5:$A$1005&lt;&gt;"")*(MOVIMIENTOS!$A$5:$A$1005&lt;=$A700)*MOVIMIENTOS!$E$5:$E$1005)+SUMPRODUCT((MOVIMIENTOS!$B$5:$B$1005="AJUSTE")*(MOVIMIENTOS!$C$5:$C$1005="P")*(MOVIMIENTOS!$D$5:$D$1005="jabas")*(MOVIMIENTOS!$A$5:$A$1005&lt;&gt;"")*(MOVIMIENTOS!$A$5:$A$1005&lt;=$A700)*MOVIMIENTOS!$E$5:$E$1005))</f>
        <v/>
      </c>
      <c r="D700" t="str">
        <f>IF($A700="","",SUMPRODUCT((MOVIMIENTOS!$B$5:$B$1005="SALDO INICIAL")*(MOVIMIENTOS!$C$5:$C$1005="C")*(MOVIMIENTOS!$D$5:$D$1005="jabas")*(MOVIMIENTOS!$A$5:$A$1005&lt;&gt;"")*(MOVIMIENTOS!$A$5:$A$1005&lt;=$A700)*MOVIMIENTOS!$E$5:$E$1005)+SUMPRODUCT((MOVIMIENTOS!$B$5:$B$1005="PROCESO")*(MOVIMIENTOS!$C$5:$C$1005="C")*(MOVIMIENTOS!$D$5:$D$1005="jabas")*(MOVIMIENTOS!$A$5:$A$1005&lt;&gt;"")*(MOVIMIENTOS!$A$5:$A$1005&lt;=$A700)*MOVIMIENTOS!$E$5:$E$1005)-SUMPRODUCT((MOVIMIENTOS!$B$5:$B$1005="ENVÍO A SUPESA")*(MOVIMIENTOS!$C$5:$C$1005="C")*(MOVIMIENTOS!$D$5:$D$1005="jabas")*(MOVIMIENTOS!$A$5:$A$1005&lt;&gt;"")*(MOVIMIENTOS!$A$5:$A$1005&lt;=$A700)*MOVIMIENTOS!$E$5:$E$1005)+SUMPRODUCT((MOVIMIENTOS!$B$5:$B$1005="DEVOLUCIÓN")*(MOVIMIENTOS!$C$5:$C$1005="C")*(MOVIMIENTOS!$D$5:$D$1005="jabas")*(MOVIMIENTOS!$A$5:$A$1005&lt;&gt;"")*(MOVIMIENTOS!$A$5:$A$1005&lt;=$A700)*MOVIMIENTOS!$E$5:$E$1005)-SUMPRODUCT((MOVIMIENTOS!$B$5:$B$1005="TRASIEGO")*(MOVIMIENTOS!$C$5:$C$1005="C")*(MOVIMIENTOS!$D$5:$D$1005="jabas")*(MOVIMIENTOS!$A$5:$A$1005&lt;&gt;"")*(MOVIMIENTOS!$A$5:$A$1005&lt;=$A700)*MOVIMIENTOS!$E$5:$E$1005)-SUMPRODUCT((MOVIMIENTOS!$B$5:$B$1005="REGALO")*(MOVIMIENTOS!$C$5:$C$1005="C")*(MOVIMIENTOS!$D$5:$D$1005="jabas")*(MOVIMIENTOS!$A$5:$A$1005&lt;&gt;"")*(MOVIMIENTOS!$A$5:$A$1005&lt;=$A700)*MOVIMIENTOS!$E$5:$E$1005)-SUMPRODUCT((MOVIMIENTOS!$B$5:$B$1005="VENTA")*(MOVIMIENTOS!$C$5:$C$1005="C")*(MOVIMIENTOS!$D$5:$D$1005="jabas")*(MOVIMIENTOS!$A$5:$A$1005&lt;&gt;"")*(MOVIMIENTOS!$A$5:$A$1005&lt;=$A700)*MOVIMIENTOS!$E$5:$E$1005)+SUMPRODUCT((MOVIMIENTOS!$B$5:$B$1005="AJUSTE")*(MOVIMIENTOS!$C$5:$C$1005="C")*(MOVIMIENTOS!$D$5:$D$1005="jabas")*(MOVIMIENTOS!$A$5:$A$1005&lt;&gt;"")*(MOVIMIENTOS!$A$5:$A$1005&lt;=$A700)*MOVIMIENTOS!$E$5:$E$1005))</f>
        <v/>
      </c>
      <c r="E700" t="str">
        <f>IF($A700="","",SUMPRODUCT((MOVIMIENTOS!$B$5:$B$1005="SALDO INICIAL")*(MOVIMIENTOS!$C$5:$C$1005="M")*(MOVIMIENTOS!$D$5:$D$1005="jabas")*(MOVIMIENTOS!$A$5:$A$1005&lt;&gt;"")*(MOVIMIENTOS!$A$5:$A$1005&lt;=$A700)*MOVIMIENTOS!$E$5:$E$1005)+SUMPRODUCT((MOVIMIENTOS!$B$5:$B$1005="PROCESO")*(MOVIMIENTOS!$C$5:$C$1005="M")*(MOVIMIENTOS!$D$5:$D$1005="jabas")*(MOVIMIENTOS!$A$5:$A$1005&lt;&gt;"")*(MOVIMIENTOS!$A$5:$A$1005&lt;=$A700)*MOVIMIENTOS!$E$5:$E$1005)-SUMPRODUCT((MOVIMIENTOS!$B$5:$B$1005="ENVÍO A SUPESA")*(MOVIMIENTOS!$C$5:$C$1005="M")*(MOVIMIENTOS!$D$5:$D$1005="jabas")*(MOVIMIENTOS!$A$5:$A$1005&lt;&gt;"")*(MOVIMIENTOS!$A$5:$A$1005&lt;=$A700)*MOVIMIENTOS!$E$5:$E$1005)+SUMPRODUCT((MOVIMIENTOS!$B$5:$B$1005="DEVOLUCIÓN")*(MOVIMIENTOS!$C$5:$C$1005="M")*(MOVIMIENTOS!$D$5:$D$1005="jabas")*(MOVIMIENTOS!$A$5:$A$1005&lt;&gt;"")*(MOVIMIENTOS!$A$5:$A$1005&lt;=$A700)*MOVIMIENTOS!$E$5:$E$1005)-SUMPRODUCT((MOVIMIENTOS!$B$5:$B$1005="TRASIEGO")*(MOVIMIENTOS!$C$5:$C$1005="M")*(MOVIMIENTOS!$D$5:$D$1005="jabas")*(MOVIMIENTOS!$A$5:$A$1005&lt;&gt;"")*(MOVIMIENTOS!$A$5:$A$1005&lt;=$A700)*MOVIMIENTOS!$E$5:$E$1005)-SUMPRODUCT((MOVIMIENTOS!$B$5:$B$1005="REGALO")*(MOVIMIENTOS!$C$5:$C$1005="M")*(MOVIMIENTOS!$D$5:$D$1005="jabas")*(MOVIMIENTOS!$A$5:$A$1005&lt;&gt;"")*(MOVIMIENTOS!$A$5:$A$1005&lt;=$A700)*MOVIMIENTOS!$E$5:$E$1005)-SUMPRODUCT((MOVIMIENTOS!$B$5:$B$1005="VENTA")*(MOVIMIENTOS!$C$5:$C$1005="M")*(MOVIMIENTOS!$D$5:$D$1005="jabas")*(MOVIMIENTOS!$A$5:$A$1005&lt;&gt;"")*(MOVIMIENTOS!$A$5:$A$1005&lt;=$A700)*MOVIMIENTOS!$E$5:$E$1005)+SUMPRODUCT((MOVIMIENTOS!$B$5:$B$1005="AJUSTE")*(MOVIMIENTOS!$C$5:$C$1005="M")*(MOVIMIENTOS!$D$5:$D$1005="jabas")*(MOVIMIENTOS!$A$5:$A$1005&lt;&gt;"")*(MOVIMIENTOS!$A$5:$A$1005&lt;=$A700)*MOVIMIENTOS!$E$5:$E$1005))</f>
        <v/>
      </c>
      <c r="F700" s="62" t="str">
        <f>IF($A700="","",SUMPRODUCT((MOVIMIENTOS!$B$5:$B$1005="SALDO INICIAL")*(MOVIMIENTOS!$C$5:$C$1005="Chancho")*(MOVIMIENTOS!$D$5:$D$1005="sacos")*(MOVIMIENTOS!$A$5:$A$1005&lt;&gt;"")*(MOVIMIENTOS!$A$5:$A$1005&lt;=$A700)*MOVIMIENTOS!$E$5:$E$1005)+SUMPRODUCT((MOVIMIENTOS!$B$5:$B$1005="PROCESO")*(MOVIMIENTOS!$C$5:$C$1005="Chancho")*(MOVIMIENTOS!$D$5:$D$1005="sacos")*(MOVIMIENTOS!$A$5:$A$1005&lt;&gt;"")*(MOVIMIENTOS!$A$5:$A$1005&lt;=$A700)*MOVIMIENTOS!$E$5:$E$1005)-SUMPRODUCT((MOVIMIENTOS!$B$5:$B$1005="VENTA CHANCHO")*(MOVIMIENTOS!$C$5:$C$1005="Chancho")*(MOVIMIENTOS!$D$5:$D$1005="sacos")*(MOVIMIENTOS!$A$5:$A$1005&lt;&gt;"")*(MOVIMIENTOS!$A$5:$A$1005&lt;=$A700)*MOVIMIENTOS!$E$5:$E$1005)-SUMPRODUCT((MOVIMIENTOS!$B$5:$B$1005="REGALO")*(MOVIMIENTOS!$C$5:$C$1005="Chancho")*(MOVIMIENTOS!$D$5:$D$1005="sacos")*(MOVIMIENTOS!$A$5:$A$1005&lt;&gt;"")*(MOVIMIENTOS!$A$5:$A$1005&lt;=$A700)*MOVIMIENTOS!$E$5:$E$1005)-SUMPRODUCT((MOVIMIENTOS!$B$5:$B$1005="VENTA")*(MOVIMIENTOS!$C$5:$C$1005="Chancho")*(MOVIMIENTOS!$D$5:$D$1005="sacos")*(MOVIMIENTOS!$A$5:$A$1005&lt;&gt;"")*(MOVIMIENTOS!$A$5:$A$1005&lt;=$A700)*MOVIMIENTOS!$E$5:$E$1005)+SUMPRODUCT((MOVIMIENTOS!$B$5:$B$1005="AJUSTE")*(MOVIMIENTOS!$C$5:$C$1005="Chancho")*(MOVIMIENTOS!$D$5:$D$1005="sacos")*(MOVIMIENTOS!$A$5:$A$1005&lt;&gt;"")*(MOVIMIENTOS!$A$5:$A$1005&lt;=$A700)*MOVIMIENTOS!$E$5:$E$1005))</f>
        <v/>
      </c>
      <c r="G700" s="62" t="str">
        <f t="shared" si="21"/>
        <v/>
      </c>
      <c r="H700" t="str">
        <f>IF($A700="","",SUMPRODUCT((((MOVIMIENTOS!$B$5:$B$1005="SALDO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700)*MOVIMIENTOS!$J$5:$J$1005))</f>
        <v/>
      </c>
      <c r="J700" t="str">
        <f>IF(AND(MOVIMIENTOS!$A705&lt;&gt;"",COUNTIF(MOVIMIENTOS!$A$5:$A704,MOVIMIENTOS!$A705)=0),COUNT(J$4:J699)+1,"")</f>
        <v/>
      </c>
      <c r="K700">
        <f>MOVIMIENTOS!$A705</f>
        <v>0</v>
      </c>
    </row>
    <row r="701" spans="1:11" ht="15" customHeight="1" x14ac:dyDescent="0.2">
      <c r="A701" t="str">
        <f t="shared" si="20"/>
        <v/>
      </c>
      <c r="B701" t="str">
        <f>IF($A701="","",SUMPRODUCT((MOVIMIENTOS!$B$5:$B$1005="SALDO INICIAL")*(MOVIMIENTOS!$C$5:$C$1005="A")*(MOVIMIENTOS!$D$5:$D$1005="jabas")*(MOVIMIENTOS!$A$5:$A$1005&lt;&gt;"")*(MOVIMIENTOS!$A$5:$A$1005&lt;=$A701)*MOVIMIENTOS!$E$5:$E$1005)+SUMPRODUCT((MOVIMIENTOS!$B$5:$B$1005="PROCESO")*(MOVIMIENTOS!$C$5:$C$1005="A")*(MOVIMIENTOS!$D$5:$D$1005="jabas")*(MOVIMIENTOS!$A$5:$A$1005&lt;&gt;"")*(MOVIMIENTOS!$A$5:$A$1005&lt;=$A701)*MOVIMIENTOS!$E$5:$E$1005)-SUMPRODUCT((MOVIMIENTOS!$B$5:$B$1005="ENVÍO A SUPESA")*(MOVIMIENTOS!$C$5:$C$1005="A")*(MOVIMIENTOS!$D$5:$D$1005="jabas")*(MOVIMIENTOS!$A$5:$A$1005&lt;&gt;"")*(MOVIMIENTOS!$A$5:$A$1005&lt;=$A701)*MOVIMIENTOS!$E$5:$E$1005)+SUMPRODUCT((MOVIMIENTOS!$B$5:$B$1005="DEVOLUCIÓN")*(MOVIMIENTOS!$C$5:$C$1005="A")*(MOVIMIENTOS!$D$5:$D$1005="jabas")*(MOVIMIENTOS!$A$5:$A$1005&lt;&gt;"")*(MOVIMIENTOS!$A$5:$A$1005&lt;=$A701)*MOVIMIENTOS!$E$5:$E$1005)-SUMPRODUCT((MOVIMIENTOS!$B$5:$B$1005="TRASIEGO")*(MOVIMIENTOS!$C$5:$C$1005="A")*(MOVIMIENTOS!$D$5:$D$1005="jabas")*(MOVIMIENTOS!$A$5:$A$1005&lt;&gt;"")*(MOVIMIENTOS!$A$5:$A$1005&lt;=$A701)*MOVIMIENTOS!$E$5:$E$1005)-SUMPRODUCT((MOVIMIENTOS!$B$5:$B$1005="REGALO")*(MOVIMIENTOS!$C$5:$C$1005="A")*(MOVIMIENTOS!$D$5:$D$1005="jabas")*(MOVIMIENTOS!$A$5:$A$1005&lt;&gt;"")*(MOVIMIENTOS!$A$5:$A$1005&lt;=$A701)*MOVIMIENTOS!$E$5:$E$1005)-SUMPRODUCT((MOVIMIENTOS!$B$5:$B$1005="VENTA")*(MOVIMIENTOS!$C$5:$C$1005="A")*(MOVIMIENTOS!$D$5:$D$1005="jabas")*(MOVIMIENTOS!$A$5:$A$1005&lt;&gt;"")*(MOVIMIENTOS!$A$5:$A$1005&lt;=$A701)*MOVIMIENTOS!$E$5:$E$1005)+SUMPRODUCT((MOVIMIENTOS!$B$5:$B$1005="AJUSTE")*(MOVIMIENTOS!$C$5:$C$1005="A")*(MOVIMIENTOS!$D$5:$D$1005="jabas")*(MOVIMIENTOS!$A$5:$A$1005&lt;&gt;"")*(MOVIMIENTOS!$A$5:$A$1005&lt;=$A701)*MOVIMIENTOS!$E$5:$E$1005))</f>
        <v/>
      </c>
      <c r="C701" t="str">
        <f>IF($A701="","",SUMPRODUCT((MOVIMIENTOS!$B$5:$B$1005="SALDO INICIAL")*(MOVIMIENTOS!$C$5:$C$1005="P")*(MOVIMIENTOS!$D$5:$D$1005="jabas")*(MOVIMIENTOS!$A$5:$A$1005&lt;&gt;"")*(MOVIMIENTOS!$A$5:$A$1005&lt;=$A701)*MOVIMIENTOS!$E$5:$E$1005)+SUMPRODUCT((MOVIMIENTOS!$B$5:$B$1005="PROCESO")*(MOVIMIENTOS!$C$5:$C$1005="P")*(MOVIMIENTOS!$D$5:$D$1005="jabas")*(MOVIMIENTOS!$A$5:$A$1005&lt;&gt;"")*(MOVIMIENTOS!$A$5:$A$1005&lt;=$A701)*MOVIMIENTOS!$E$5:$E$1005)-SUMPRODUCT((MOVIMIENTOS!$B$5:$B$1005="ENVÍO A SUPESA")*(MOVIMIENTOS!$C$5:$C$1005="P")*(MOVIMIENTOS!$D$5:$D$1005="jabas")*(MOVIMIENTOS!$A$5:$A$1005&lt;&gt;"")*(MOVIMIENTOS!$A$5:$A$1005&lt;=$A701)*MOVIMIENTOS!$E$5:$E$1005)+SUMPRODUCT((MOVIMIENTOS!$B$5:$B$1005="DEVOLUCIÓN")*(MOVIMIENTOS!$C$5:$C$1005="P")*(MOVIMIENTOS!$D$5:$D$1005="jabas")*(MOVIMIENTOS!$A$5:$A$1005&lt;&gt;"")*(MOVIMIENTOS!$A$5:$A$1005&lt;=$A701)*MOVIMIENTOS!$E$5:$E$1005)-SUMPRODUCT((MOVIMIENTOS!$B$5:$B$1005="TRASIEGO")*(MOVIMIENTOS!$C$5:$C$1005="P")*(MOVIMIENTOS!$D$5:$D$1005="jabas")*(MOVIMIENTOS!$A$5:$A$1005&lt;&gt;"")*(MOVIMIENTOS!$A$5:$A$1005&lt;=$A701)*MOVIMIENTOS!$E$5:$E$1005)-SUMPRODUCT((MOVIMIENTOS!$B$5:$B$1005="REGALO")*(MOVIMIENTOS!$C$5:$C$1005="P")*(MOVIMIENTOS!$D$5:$D$1005="jabas")*(MOVIMIENTOS!$A$5:$A$1005&lt;&gt;"")*(MOVIMIENTOS!$A$5:$A$1005&lt;=$A701)*MOVIMIENTOS!$E$5:$E$1005)-SUMPRODUCT((MOVIMIENTOS!$B$5:$B$1005="VENTA")*(MOVIMIENTOS!$C$5:$C$1005="P")*(MOVIMIENTOS!$D$5:$D$1005="jabas")*(MOVIMIENTOS!$A$5:$A$1005&lt;&gt;"")*(MOVIMIENTOS!$A$5:$A$1005&lt;=$A701)*MOVIMIENTOS!$E$5:$E$1005)+SUMPRODUCT((MOVIMIENTOS!$B$5:$B$1005="AJUSTE")*(MOVIMIENTOS!$C$5:$C$1005="P")*(MOVIMIENTOS!$D$5:$D$1005="jabas")*(MOVIMIENTOS!$A$5:$A$1005&lt;&gt;"")*(MOVIMIENTOS!$A$5:$A$1005&lt;=$A701)*MOVIMIENTOS!$E$5:$E$1005))</f>
        <v/>
      </c>
      <c r="D701" t="str">
        <f>IF($A701="","",SUMPRODUCT((MOVIMIENTOS!$B$5:$B$1005="SALDO INICIAL")*(MOVIMIENTOS!$C$5:$C$1005="C")*(MOVIMIENTOS!$D$5:$D$1005="jabas")*(MOVIMIENTOS!$A$5:$A$1005&lt;&gt;"")*(MOVIMIENTOS!$A$5:$A$1005&lt;=$A701)*MOVIMIENTOS!$E$5:$E$1005)+SUMPRODUCT((MOVIMIENTOS!$B$5:$B$1005="PROCESO")*(MOVIMIENTOS!$C$5:$C$1005="C")*(MOVIMIENTOS!$D$5:$D$1005="jabas")*(MOVIMIENTOS!$A$5:$A$1005&lt;&gt;"")*(MOVIMIENTOS!$A$5:$A$1005&lt;=$A701)*MOVIMIENTOS!$E$5:$E$1005)-SUMPRODUCT((MOVIMIENTOS!$B$5:$B$1005="ENVÍO A SUPESA")*(MOVIMIENTOS!$C$5:$C$1005="C")*(MOVIMIENTOS!$D$5:$D$1005="jabas")*(MOVIMIENTOS!$A$5:$A$1005&lt;&gt;"")*(MOVIMIENTOS!$A$5:$A$1005&lt;=$A701)*MOVIMIENTOS!$E$5:$E$1005)+SUMPRODUCT((MOVIMIENTOS!$B$5:$B$1005="DEVOLUCIÓN")*(MOVIMIENTOS!$C$5:$C$1005="C")*(MOVIMIENTOS!$D$5:$D$1005="jabas")*(MOVIMIENTOS!$A$5:$A$1005&lt;&gt;"")*(MOVIMIENTOS!$A$5:$A$1005&lt;=$A701)*MOVIMIENTOS!$E$5:$E$1005)-SUMPRODUCT((MOVIMIENTOS!$B$5:$B$1005="TRASIEGO")*(MOVIMIENTOS!$C$5:$C$1005="C")*(MOVIMIENTOS!$D$5:$D$1005="jabas")*(MOVIMIENTOS!$A$5:$A$1005&lt;&gt;"")*(MOVIMIENTOS!$A$5:$A$1005&lt;=$A701)*MOVIMIENTOS!$E$5:$E$1005)-SUMPRODUCT((MOVIMIENTOS!$B$5:$B$1005="REGALO")*(MOVIMIENTOS!$C$5:$C$1005="C")*(MOVIMIENTOS!$D$5:$D$1005="jabas")*(MOVIMIENTOS!$A$5:$A$1005&lt;&gt;"")*(MOVIMIENTOS!$A$5:$A$1005&lt;=$A701)*MOVIMIENTOS!$E$5:$E$1005)-SUMPRODUCT((MOVIMIENTOS!$B$5:$B$1005="VENTA")*(MOVIMIENTOS!$C$5:$C$1005="C")*(MOVIMIENTOS!$D$5:$D$1005="jabas")*(MOVIMIENTOS!$A$5:$A$1005&lt;&gt;"")*(MOVIMIENTOS!$A$5:$A$1005&lt;=$A701)*MOVIMIENTOS!$E$5:$E$1005)+SUMPRODUCT((MOVIMIENTOS!$B$5:$B$1005="AJUSTE")*(MOVIMIENTOS!$C$5:$C$1005="C")*(MOVIMIENTOS!$D$5:$D$1005="jabas")*(MOVIMIENTOS!$A$5:$A$1005&lt;&gt;"")*(MOVIMIENTOS!$A$5:$A$1005&lt;=$A701)*MOVIMIENTOS!$E$5:$E$1005))</f>
        <v/>
      </c>
      <c r="E701" t="str">
        <f>IF($A701="","",SUMPRODUCT((MOVIMIENTOS!$B$5:$B$1005="SALDO INICIAL")*(MOVIMIENTOS!$C$5:$C$1005="M")*(MOVIMIENTOS!$D$5:$D$1005="jabas")*(MOVIMIENTOS!$A$5:$A$1005&lt;&gt;"")*(MOVIMIENTOS!$A$5:$A$1005&lt;=$A701)*MOVIMIENTOS!$E$5:$E$1005)+SUMPRODUCT((MOVIMIENTOS!$B$5:$B$1005="PROCESO")*(MOVIMIENTOS!$C$5:$C$1005="M")*(MOVIMIENTOS!$D$5:$D$1005="jabas")*(MOVIMIENTOS!$A$5:$A$1005&lt;&gt;"")*(MOVIMIENTOS!$A$5:$A$1005&lt;=$A701)*MOVIMIENTOS!$E$5:$E$1005)-SUMPRODUCT((MOVIMIENTOS!$B$5:$B$1005="ENVÍO A SUPESA")*(MOVIMIENTOS!$C$5:$C$1005="M")*(MOVIMIENTOS!$D$5:$D$1005="jabas")*(MOVIMIENTOS!$A$5:$A$1005&lt;&gt;"")*(MOVIMIENTOS!$A$5:$A$1005&lt;=$A701)*MOVIMIENTOS!$E$5:$E$1005)+SUMPRODUCT((MOVIMIENTOS!$B$5:$B$1005="DEVOLUCIÓN")*(MOVIMIENTOS!$C$5:$C$1005="M")*(MOVIMIENTOS!$D$5:$D$1005="jabas")*(MOVIMIENTOS!$A$5:$A$1005&lt;&gt;"")*(MOVIMIENTOS!$A$5:$A$1005&lt;=$A701)*MOVIMIENTOS!$E$5:$E$1005)-SUMPRODUCT((MOVIMIENTOS!$B$5:$B$1005="TRASIEGO")*(MOVIMIENTOS!$C$5:$C$1005="M")*(MOVIMIENTOS!$D$5:$D$1005="jabas")*(MOVIMIENTOS!$A$5:$A$1005&lt;&gt;"")*(MOVIMIENTOS!$A$5:$A$1005&lt;=$A701)*MOVIMIENTOS!$E$5:$E$1005)-SUMPRODUCT((MOVIMIENTOS!$B$5:$B$1005="REGALO")*(MOVIMIENTOS!$C$5:$C$1005="M")*(MOVIMIENTOS!$D$5:$D$1005="jabas")*(MOVIMIENTOS!$A$5:$A$1005&lt;&gt;"")*(MOVIMIENTOS!$A$5:$A$1005&lt;=$A701)*MOVIMIENTOS!$E$5:$E$1005)-SUMPRODUCT((MOVIMIENTOS!$B$5:$B$1005="VENTA")*(MOVIMIENTOS!$C$5:$C$1005="M")*(MOVIMIENTOS!$D$5:$D$1005="jabas")*(MOVIMIENTOS!$A$5:$A$1005&lt;&gt;"")*(MOVIMIENTOS!$A$5:$A$1005&lt;=$A701)*MOVIMIENTOS!$E$5:$E$1005)+SUMPRODUCT((MOVIMIENTOS!$B$5:$B$1005="AJUSTE")*(MOVIMIENTOS!$C$5:$C$1005="M")*(MOVIMIENTOS!$D$5:$D$1005="jabas")*(MOVIMIENTOS!$A$5:$A$1005&lt;&gt;"")*(MOVIMIENTOS!$A$5:$A$1005&lt;=$A701)*MOVIMIENTOS!$E$5:$E$1005))</f>
        <v/>
      </c>
      <c r="F701" s="62" t="str">
        <f>IF($A701="","",SUMPRODUCT((MOVIMIENTOS!$B$5:$B$1005="SALDO INICIAL")*(MOVIMIENTOS!$C$5:$C$1005="Chancho")*(MOVIMIENTOS!$D$5:$D$1005="sacos")*(MOVIMIENTOS!$A$5:$A$1005&lt;&gt;"")*(MOVIMIENTOS!$A$5:$A$1005&lt;=$A701)*MOVIMIENTOS!$E$5:$E$1005)+SUMPRODUCT((MOVIMIENTOS!$B$5:$B$1005="PROCESO")*(MOVIMIENTOS!$C$5:$C$1005="Chancho")*(MOVIMIENTOS!$D$5:$D$1005="sacos")*(MOVIMIENTOS!$A$5:$A$1005&lt;&gt;"")*(MOVIMIENTOS!$A$5:$A$1005&lt;=$A701)*MOVIMIENTOS!$E$5:$E$1005)-SUMPRODUCT((MOVIMIENTOS!$B$5:$B$1005="VENTA CHANCHO")*(MOVIMIENTOS!$C$5:$C$1005="Chancho")*(MOVIMIENTOS!$D$5:$D$1005="sacos")*(MOVIMIENTOS!$A$5:$A$1005&lt;&gt;"")*(MOVIMIENTOS!$A$5:$A$1005&lt;=$A701)*MOVIMIENTOS!$E$5:$E$1005)-SUMPRODUCT((MOVIMIENTOS!$B$5:$B$1005="REGALO")*(MOVIMIENTOS!$C$5:$C$1005="Chancho")*(MOVIMIENTOS!$D$5:$D$1005="sacos")*(MOVIMIENTOS!$A$5:$A$1005&lt;&gt;"")*(MOVIMIENTOS!$A$5:$A$1005&lt;=$A701)*MOVIMIENTOS!$E$5:$E$1005)-SUMPRODUCT((MOVIMIENTOS!$B$5:$B$1005="VENTA")*(MOVIMIENTOS!$C$5:$C$1005="Chancho")*(MOVIMIENTOS!$D$5:$D$1005="sacos")*(MOVIMIENTOS!$A$5:$A$1005&lt;&gt;"")*(MOVIMIENTOS!$A$5:$A$1005&lt;=$A701)*MOVIMIENTOS!$E$5:$E$1005)+SUMPRODUCT((MOVIMIENTOS!$B$5:$B$1005="AJUSTE")*(MOVIMIENTOS!$C$5:$C$1005="Chancho")*(MOVIMIENTOS!$D$5:$D$1005="sacos")*(MOVIMIENTOS!$A$5:$A$1005&lt;&gt;"")*(MOVIMIENTOS!$A$5:$A$1005&lt;=$A701)*MOVIMIENTOS!$E$5:$E$1005))</f>
        <v/>
      </c>
      <c r="G701" s="62" t="str">
        <f t="shared" si="21"/>
        <v/>
      </c>
      <c r="H701" t="str">
        <f>IF($A701="","",SUMPRODUCT((((MOVIMIENTOS!$B$5:$B$1005="SALDO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701)*MOVIMIENTOS!$J$5:$J$1005))</f>
        <v/>
      </c>
      <c r="J701" t="str">
        <f>IF(AND(MOVIMIENTOS!$A706&lt;&gt;"",COUNTIF(MOVIMIENTOS!$A$5:$A705,MOVIMIENTOS!$A706)=0),COUNT(J$4:J700)+1,"")</f>
        <v/>
      </c>
      <c r="K701">
        <f>MOVIMIENTOS!$A706</f>
        <v>0</v>
      </c>
    </row>
    <row r="702" spans="1:11" ht="15" customHeight="1" x14ac:dyDescent="0.2">
      <c r="A702" t="str">
        <f t="shared" si="20"/>
        <v/>
      </c>
      <c r="B702" t="str">
        <f>IF($A702="","",SUMPRODUCT((MOVIMIENTOS!$B$5:$B$1005="SALDO INICIAL")*(MOVIMIENTOS!$C$5:$C$1005="A")*(MOVIMIENTOS!$D$5:$D$1005="jabas")*(MOVIMIENTOS!$A$5:$A$1005&lt;&gt;"")*(MOVIMIENTOS!$A$5:$A$1005&lt;=$A702)*MOVIMIENTOS!$E$5:$E$1005)+SUMPRODUCT((MOVIMIENTOS!$B$5:$B$1005="PROCESO")*(MOVIMIENTOS!$C$5:$C$1005="A")*(MOVIMIENTOS!$D$5:$D$1005="jabas")*(MOVIMIENTOS!$A$5:$A$1005&lt;&gt;"")*(MOVIMIENTOS!$A$5:$A$1005&lt;=$A702)*MOVIMIENTOS!$E$5:$E$1005)-SUMPRODUCT((MOVIMIENTOS!$B$5:$B$1005="ENVÍO A SUPESA")*(MOVIMIENTOS!$C$5:$C$1005="A")*(MOVIMIENTOS!$D$5:$D$1005="jabas")*(MOVIMIENTOS!$A$5:$A$1005&lt;&gt;"")*(MOVIMIENTOS!$A$5:$A$1005&lt;=$A702)*MOVIMIENTOS!$E$5:$E$1005)+SUMPRODUCT((MOVIMIENTOS!$B$5:$B$1005="DEVOLUCIÓN")*(MOVIMIENTOS!$C$5:$C$1005="A")*(MOVIMIENTOS!$D$5:$D$1005="jabas")*(MOVIMIENTOS!$A$5:$A$1005&lt;&gt;"")*(MOVIMIENTOS!$A$5:$A$1005&lt;=$A702)*MOVIMIENTOS!$E$5:$E$1005)-SUMPRODUCT((MOVIMIENTOS!$B$5:$B$1005="TRASIEGO")*(MOVIMIENTOS!$C$5:$C$1005="A")*(MOVIMIENTOS!$D$5:$D$1005="jabas")*(MOVIMIENTOS!$A$5:$A$1005&lt;&gt;"")*(MOVIMIENTOS!$A$5:$A$1005&lt;=$A702)*MOVIMIENTOS!$E$5:$E$1005)-SUMPRODUCT((MOVIMIENTOS!$B$5:$B$1005="REGALO")*(MOVIMIENTOS!$C$5:$C$1005="A")*(MOVIMIENTOS!$D$5:$D$1005="jabas")*(MOVIMIENTOS!$A$5:$A$1005&lt;&gt;"")*(MOVIMIENTOS!$A$5:$A$1005&lt;=$A702)*MOVIMIENTOS!$E$5:$E$1005)-SUMPRODUCT((MOVIMIENTOS!$B$5:$B$1005="VENTA")*(MOVIMIENTOS!$C$5:$C$1005="A")*(MOVIMIENTOS!$D$5:$D$1005="jabas")*(MOVIMIENTOS!$A$5:$A$1005&lt;&gt;"")*(MOVIMIENTOS!$A$5:$A$1005&lt;=$A702)*MOVIMIENTOS!$E$5:$E$1005)+SUMPRODUCT((MOVIMIENTOS!$B$5:$B$1005="AJUSTE")*(MOVIMIENTOS!$C$5:$C$1005="A")*(MOVIMIENTOS!$D$5:$D$1005="jabas")*(MOVIMIENTOS!$A$5:$A$1005&lt;&gt;"")*(MOVIMIENTOS!$A$5:$A$1005&lt;=$A702)*MOVIMIENTOS!$E$5:$E$1005))</f>
        <v/>
      </c>
      <c r="C702" t="str">
        <f>IF($A702="","",SUMPRODUCT((MOVIMIENTOS!$B$5:$B$1005="SALDO INICIAL")*(MOVIMIENTOS!$C$5:$C$1005="P")*(MOVIMIENTOS!$D$5:$D$1005="jabas")*(MOVIMIENTOS!$A$5:$A$1005&lt;&gt;"")*(MOVIMIENTOS!$A$5:$A$1005&lt;=$A702)*MOVIMIENTOS!$E$5:$E$1005)+SUMPRODUCT((MOVIMIENTOS!$B$5:$B$1005="PROCESO")*(MOVIMIENTOS!$C$5:$C$1005="P")*(MOVIMIENTOS!$D$5:$D$1005="jabas")*(MOVIMIENTOS!$A$5:$A$1005&lt;&gt;"")*(MOVIMIENTOS!$A$5:$A$1005&lt;=$A702)*MOVIMIENTOS!$E$5:$E$1005)-SUMPRODUCT((MOVIMIENTOS!$B$5:$B$1005="ENVÍO A SUPESA")*(MOVIMIENTOS!$C$5:$C$1005="P")*(MOVIMIENTOS!$D$5:$D$1005="jabas")*(MOVIMIENTOS!$A$5:$A$1005&lt;&gt;"")*(MOVIMIENTOS!$A$5:$A$1005&lt;=$A702)*MOVIMIENTOS!$E$5:$E$1005)+SUMPRODUCT((MOVIMIENTOS!$B$5:$B$1005="DEVOLUCIÓN")*(MOVIMIENTOS!$C$5:$C$1005="P")*(MOVIMIENTOS!$D$5:$D$1005="jabas")*(MOVIMIENTOS!$A$5:$A$1005&lt;&gt;"")*(MOVIMIENTOS!$A$5:$A$1005&lt;=$A702)*MOVIMIENTOS!$E$5:$E$1005)-SUMPRODUCT((MOVIMIENTOS!$B$5:$B$1005="TRASIEGO")*(MOVIMIENTOS!$C$5:$C$1005="P")*(MOVIMIENTOS!$D$5:$D$1005="jabas")*(MOVIMIENTOS!$A$5:$A$1005&lt;&gt;"")*(MOVIMIENTOS!$A$5:$A$1005&lt;=$A702)*MOVIMIENTOS!$E$5:$E$1005)-SUMPRODUCT((MOVIMIENTOS!$B$5:$B$1005="REGALO")*(MOVIMIENTOS!$C$5:$C$1005="P")*(MOVIMIENTOS!$D$5:$D$1005="jabas")*(MOVIMIENTOS!$A$5:$A$1005&lt;&gt;"")*(MOVIMIENTOS!$A$5:$A$1005&lt;=$A702)*MOVIMIENTOS!$E$5:$E$1005)-SUMPRODUCT((MOVIMIENTOS!$B$5:$B$1005="VENTA")*(MOVIMIENTOS!$C$5:$C$1005="P")*(MOVIMIENTOS!$D$5:$D$1005="jabas")*(MOVIMIENTOS!$A$5:$A$1005&lt;&gt;"")*(MOVIMIENTOS!$A$5:$A$1005&lt;=$A702)*MOVIMIENTOS!$E$5:$E$1005)+SUMPRODUCT((MOVIMIENTOS!$B$5:$B$1005="AJUSTE")*(MOVIMIENTOS!$C$5:$C$1005="P")*(MOVIMIENTOS!$D$5:$D$1005="jabas")*(MOVIMIENTOS!$A$5:$A$1005&lt;&gt;"")*(MOVIMIENTOS!$A$5:$A$1005&lt;=$A702)*MOVIMIENTOS!$E$5:$E$1005))</f>
        <v/>
      </c>
      <c r="D702" t="str">
        <f>IF($A702="","",SUMPRODUCT((MOVIMIENTOS!$B$5:$B$1005="SALDO INICIAL")*(MOVIMIENTOS!$C$5:$C$1005="C")*(MOVIMIENTOS!$D$5:$D$1005="jabas")*(MOVIMIENTOS!$A$5:$A$1005&lt;&gt;"")*(MOVIMIENTOS!$A$5:$A$1005&lt;=$A702)*MOVIMIENTOS!$E$5:$E$1005)+SUMPRODUCT((MOVIMIENTOS!$B$5:$B$1005="PROCESO")*(MOVIMIENTOS!$C$5:$C$1005="C")*(MOVIMIENTOS!$D$5:$D$1005="jabas")*(MOVIMIENTOS!$A$5:$A$1005&lt;&gt;"")*(MOVIMIENTOS!$A$5:$A$1005&lt;=$A702)*MOVIMIENTOS!$E$5:$E$1005)-SUMPRODUCT((MOVIMIENTOS!$B$5:$B$1005="ENVÍO A SUPESA")*(MOVIMIENTOS!$C$5:$C$1005="C")*(MOVIMIENTOS!$D$5:$D$1005="jabas")*(MOVIMIENTOS!$A$5:$A$1005&lt;&gt;"")*(MOVIMIENTOS!$A$5:$A$1005&lt;=$A702)*MOVIMIENTOS!$E$5:$E$1005)+SUMPRODUCT((MOVIMIENTOS!$B$5:$B$1005="DEVOLUCIÓN")*(MOVIMIENTOS!$C$5:$C$1005="C")*(MOVIMIENTOS!$D$5:$D$1005="jabas")*(MOVIMIENTOS!$A$5:$A$1005&lt;&gt;"")*(MOVIMIENTOS!$A$5:$A$1005&lt;=$A702)*MOVIMIENTOS!$E$5:$E$1005)-SUMPRODUCT((MOVIMIENTOS!$B$5:$B$1005="TRASIEGO")*(MOVIMIENTOS!$C$5:$C$1005="C")*(MOVIMIENTOS!$D$5:$D$1005="jabas")*(MOVIMIENTOS!$A$5:$A$1005&lt;&gt;"")*(MOVIMIENTOS!$A$5:$A$1005&lt;=$A702)*MOVIMIENTOS!$E$5:$E$1005)-SUMPRODUCT((MOVIMIENTOS!$B$5:$B$1005="REGALO")*(MOVIMIENTOS!$C$5:$C$1005="C")*(MOVIMIENTOS!$D$5:$D$1005="jabas")*(MOVIMIENTOS!$A$5:$A$1005&lt;&gt;"")*(MOVIMIENTOS!$A$5:$A$1005&lt;=$A702)*MOVIMIENTOS!$E$5:$E$1005)-SUMPRODUCT((MOVIMIENTOS!$B$5:$B$1005="VENTA")*(MOVIMIENTOS!$C$5:$C$1005="C")*(MOVIMIENTOS!$D$5:$D$1005="jabas")*(MOVIMIENTOS!$A$5:$A$1005&lt;&gt;"")*(MOVIMIENTOS!$A$5:$A$1005&lt;=$A702)*MOVIMIENTOS!$E$5:$E$1005)+SUMPRODUCT((MOVIMIENTOS!$B$5:$B$1005="AJUSTE")*(MOVIMIENTOS!$C$5:$C$1005="C")*(MOVIMIENTOS!$D$5:$D$1005="jabas")*(MOVIMIENTOS!$A$5:$A$1005&lt;&gt;"")*(MOVIMIENTOS!$A$5:$A$1005&lt;=$A702)*MOVIMIENTOS!$E$5:$E$1005))</f>
        <v/>
      </c>
      <c r="E702" t="str">
        <f>IF($A702="","",SUMPRODUCT((MOVIMIENTOS!$B$5:$B$1005="SALDO INICIAL")*(MOVIMIENTOS!$C$5:$C$1005="M")*(MOVIMIENTOS!$D$5:$D$1005="jabas")*(MOVIMIENTOS!$A$5:$A$1005&lt;&gt;"")*(MOVIMIENTOS!$A$5:$A$1005&lt;=$A702)*MOVIMIENTOS!$E$5:$E$1005)+SUMPRODUCT((MOVIMIENTOS!$B$5:$B$1005="PROCESO")*(MOVIMIENTOS!$C$5:$C$1005="M")*(MOVIMIENTOS!$D$5:$D$1005="jabas")*(MOVIMIENTOS!$A$5:$A$1005&lt;&gt;"")*(MOVIMIENTOS!$A$5:$A$1005&lt;=$A702)*MOVIMIENTOS!$E$5:$E$1005)-SUMPRODUCT((MOVIMIENTOS!$B$5:$B$1005="ENVÍO A SUPESA")*(MOVIMIENTOS!$C$5:$C$1005="M")*(MOVIMIENTOS!$D$5:$D$1005="jabas")*(MOVIMIENTOS!$A$5:$A$1005&lt;&gt;"")*(MOVIMIENTOS!$A$5:$A$1005&lt;=$A702)*MOVIMIENTOS!$E$5:$E$1005)+SUMPRODUCT((MOVIMIENTOS!$B$5:$B$1005="DEVOLUCIÓN")*(MOVIMIENTOS!$C$5:$C$1005="M")*(MOVIMIENTOS!$D$5:$D$1005="jabas")*(MOVIMIENTOS!$A$5:$A$1005&lt;&gt;"")*(MOVIMIENTOS!$A$5:$A$1005&lt;=$A702)*MOVIMIENTOS!$E$5:$E$1005)-SUMPRODUCT((MOVIMIENTOS!$B$5:$B$1005="TRASIEGO")*(MOVIMIENTOS!$C$5:$C$1005="M")*(MOVIMIENTOS!$D$5:$D$1005="jabas")*(MOVIMIENTOS!$A$5:$A$1005&lt;&gt;"")*(MOVIMIENTOS!$A$5:$A$1005&lt;=$A702)*MOVIMIENTOS!$E$5:$E$1005)-SUMPRODUCT((MOVIMIENTOS!$B$5:$B$1005="REGALO")*(MOVIMIENTOS!$C$5:$C$1005="M")*(MOVIMIENTOS!$D$5:$D$1005="jabas")*(MOVIMIENTOS!$A$5:$A$1005&lt;&gt;"")*(MOVIMIENTOS!$A$5:$A$1005&lt;=$A702)*MOVIMIENTOS!$E$5:$E$1005)-SUMPRODUCT((MOVIMIENTOS!$B$5:$B$1005="VENTA")*(MOVIMIENTOS!$C$5:$C$1005="M")*(MOVIMIENTOS!$D$5:$D$1005="jabas")*(MOVIMIENTOS!$A$5:$A$1005&lt;&gt;"")*(MOVIMIENTOS!$A$5:$A$1005&lt;=$A702)*MOVIMIENTOS!$E$5:$E$1005)+SUMPRODUCT((MOVIMIENTOS!$B$5:$B$1005="AJUSTE")*(MOVIMIENTOS!$C$5:$C$1005="M")*(MOVIMIENTOS!$D$5:$D$1005="jabas")*(MOVIMIENTOS!$A$5:$A$1005&lt;&gt;"")*(MOVIMIENTOS!$A$5:$A$1005&lt;=$A702)*MOVIMIENTOS!$E$5:$E$1005))</f>
        <v/>
      </c>
      <c r="F702" s="62" t="str">
        <f>IF($A702="","",SUMPRODUCT((MOVIMIENTOS!$B$5:$B$1005="SALDO INICIAL")*(MOVIMIENTOS!$C$5:$C$1005="Chancho")*(MOVIMIENTOS!$D$5:$D$1005="sacos")*(MOVIMIENTOS!$A$5:$A$1005&lt;&gt;"")*(MOVIMIENTOS!$A$5:$A$1005&lt;=$A702)*MOVIMIENTOS!$E$5:$E$1005)+SUMPRODUCT((MOVIMIENTOS!$B$5:$B$1005="PROCESO")*(MOVIMIENTOS!$C$5:$C$1005="Chancho")*(MOVIMIENTOS!$D$5:$D$1005="sacos")*(MOVIMIENTOS!$A$5:$A$1005&lt;&gt;"")*(MOVIMIENTOS!$A$5:$A$1005&lt;=$A702)*MOVIMIENTOS!$E$5:$E$1005)-SUMPRODUCT((MOVIMIENTOS!$B$5:$B$1005="VENTA CHANCHO")*(MOVIMIENTOS!$C$5:$C$1005="Chancho")*(MOVIMIENTOS!$D$5:$D$1005="sacos")*(MOVIMIENTOS!$A$5:$A$1005&lt;&gt;"")*(MOVIMIENTOS!$A$5:$A$1005&lt;=$A702)*MOVIMIENTOS!$E$5:$E$1005)-SUMPRODUCT((MOVIMIENTOS!$B$5:$B$1005="REGALO")*(MOVIMIENTOS!$C$5:$C$1005="Chancho")*(MOVIMIENTOS!$D$5:$D$1005="sacos")*(MOVIMIENTOS!$A$5:$A$1005&lt;&gt;"")*(MOVIMIENTOS!$A$5:$A$1005&lt;=$A702)*MOVIMIENTOS!$E$5:$E$1005)-SUMPRODUCT((MOVIMIENTOS!$B$5:$B$1005="VENTA")*(MOVIMIENTOS!$C$5:$C$1005="Chancho")*(MOVIMIENTOS!$D$5:$D$1005="sacos")*(MOVIMIENTOS!$A$5:$A$1005&lt;&gt;"")*(MOVIMIENTOS!$A$5:$A$1005&lt;=$A702)*MOVIMIENTOS!$E$5:$E$1005)+SUMPRODUCT((MOVIMIENTOS!$B$5:$B$1005="AJUSTE")*(MOVIMIENTOS!$C$5:$C$1005="Chancho")*(MOVIMIENTOS!$D$5:$D$1005="sacos")*(MOVIMIENTOS!$A$5:$A$1005&lt;&gt;"")*(MOVIMIENTOS!$A$5:$A$1005&lt;=$A702)*MOVIMIENTOS!$E$5:$E$1005))</f>
        <v/>
      </c>
      <c r="G702" s="62" t="str">
        <f t="shared" si="21"/>
        <v/>
      </c>
      <c r="H702" t="str">
        <f>IF($A702="","",SUMPRODUCT((((MOVIMIENTOS!$B$5:$B$1005="SALDO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702)*MOVIMIENTOS!$J$5:$J$1005))</f>
        <v/>
      </c>
      <c r="J702" t="str">
        <f>IF(AND(MOVIMIENTOS!$A707&lt;&gt;"",COUNTIF(MOVIMIENTOS!$A$5:$A706,MOVIMIENTOS!$A707)=0),COUNT(J$4:J701)+1,"")</f>
        <v/>
      </c>
      <c r="K702">
        <f>MOVIMIENTOS!$A707</f>
        <v>0</v>
      </c>
    </row>
    <row r="703" spans="1:11" ht="15" customHeight="1" x14ac:dyDescent="0.2">
      <c r="A703" t="str">
        <f t="shared" si="20"/>
        <v/>
      </c>
      <c r="B703" t="str">
        <f>IF($A703="","",SUMPRODUCT((MOVIMIENTOS!$B$5:$B$1005="SALDO INICIAL")*(MOVIMIENTOS!$C$5:$C$1005="A")*(MOVIMIENTOS!$D$5:$D$1005="jabas")*(MOVIMIENTOS!$A$5:$A$1005&lt;&gt;"")*(MOVIMIENTOS!$A$5:$A$1005&lt;=$A703)*MOVIMIENTOS!$E$5:$E$1005)+SUMPRODUCT((MOVIMIENTOS!$B$5:$B$1005="PROCESO")*(MOVIMIENTOS!$C$5:$C$1005="A")*(MOVIMIENTOS!$D$5:$D$1005="jabas")*(MOVIMIENTOS!$A$5:$A$1005&lt;&gt;"")*(MOVIMIENTOS!$A$5:$A$1005&lt;=$A703)*MOVIMIENTOS!$E$5:$E$1005)-SUMPRODUCT((MOVIMIENTOS!$B$5:$B$1005="ENVÍO A SUPESA")*(MOVIMIENTOS!$C$5:$C$1005="A")*(MOVIMIENTOS!$D$5:$D$1005="jabas")*(MOVIMIENTOS!$A$5:$A$1005&lt;&gt;"")*(MOVIMIENTOS!$A$5:$A$1005&lt;=$A703)*MOVIMIENTOS!$E$5:$E$1005)+SUMPRODUCT((MOVIMIENTOS!$B$5:$B$1005="DEVOLUCIÓN")*(MOVIMIENTOS!$C$5:$C$1005="A")*(MOVIMIENTOS!$D$5:$D$1005="jabas")*(MOVIMIENTOS!$A$5:$A$1005&lt;&gt;"")*(MOVIMIENTOS!$A$5:$A$1005&lt;=$A703)*MOVIMIENTOS!$E$5:$E$1005)-SUMPRODUCT((MOVIMIENTOS!$B$5:$B$1005="TRASIEGO")*(MOVIMIENTOS!$C$5:$C$1005="A")*(MOVIMIENTOS!$D$5:$D$1005="jabas")*(MOVIMIENTOS!$A$5:$A$1005&lt;&gt;"")*(MOVIMIENTOS!$A$5:$A$1005&lt;=$A703)*MOVIMIENTOS!$E$5:$E$1005)-SUMPRODUCT((MOVIMIENTOS!$B$5:$B$1005="REGALO")*(MOVIMIENTOS!$C$5:$C$1005="A")*(MOVIMIENTOS!$D$5:$D$1005="jabas")*(MOVIMIENTOS!$A$5:$A$1005&lt;&gt;"")*(MOVIMIENTOS!$A$5:$A$1005&lt;=$A703)*MOVIMIENTOS!$E$5:$E$1005)-SUMPRODUCT((MOVIMIENTOS!$B$5:$B$1005="VENTA")*(MOVIMIENTOS!$C$5:$C$1005="A")*(MOVIMIENTOS!$D$5:$D$1005="jabas")*(MOVIMIENTOS!$A$5:$A$1005&lt;&gt;"")*(MOVIMIENTOS!$A$5:$A$1005&lt;=$A703)*MOVIMIENTOS!$E$5:$E$1005)+SUMPRODUCT((MOVIMIENTOS!$B$5:$B$1005="AJUSTE")*(MOVIMIENTOS!$C$5:$C$1005="A")*(MOVIMIENTOS!$D$5:$D$1005="jabas")*(MOVIMIENTOS!$A$5:$A$1005&lt;&gt;"")*(MOVIMIENTOS!$A$5:$A$1005&lt;=$A703)*MOVIMIENTOS!$E$5:$E$1005))</f>
        <v/>
      </c>
      <c r="C703" t="str">
        <f>IF($A703="","",SUMPRODUCT((MOVIMIENTOS!$B$5:$B$1005="SALDO INICIAL")*(MOVIMIENTOS!$C$5:$C$1005="P")*(MOVIMIENTOS!$D$5:$D$1005="jabas")*(MOVIMIENTOS!$A$5:$A$1005&lt;&gt;"")*(MOVIMIENTOS!$A$5:$A$1005&lt;=$A703)*MOVIMIENTOS!$E$5:$E$1005)+SUMPRODUCT((MOVIMIENTOS!$B$5:$B$1005="PROCESO")*(MOVIMIENTOS!$C$5:$C$1005="P")*(MOVIMIENTOS!$D$5:$D$1005="jabas")*(MOVIMIENTOS!$A$5:$A$1005&lt;&gt;"")*(MOVIMIENTOS!$A$5:$A$1005&lt;=$A703)*MOVIMIENTOS!$E$5:$E$1005)-SUMPRODUCT((MOVIMIENTOS!$B$5:$B$1005="ENVÍO A SUPESA")*(MOVIMIENTOS!$C$5:$C$1005="P")*(MOVIMIENTOS!$D$5:$D$1005="jabas")*(MOVIMIENTOS!$A$5:$A$1005&lt;&gt;"")*(MOVIMIENTOS!$A$5:$A$1005&lt;=$A703)*MOVIMIENTOS!$E$5:$E$1005)+SUMPRODUCT((MOVIMIENTOS!$B$5:$B$1005="DEVOLUCIÓN")*(MOVIMIENTOS!$C$5:$C$1005="P")*(MOVIMIENTOS!$D$5:$D$1005="jabas")*(MOVIMIENTOS!$A$5:$A$1005&lt;&gt;"")*(MOVIMIENTOS!$A$5:$A$1005&lt;=$A703)*MOVIMIENTOS!$E$5:$E$1005)-SUMPRODUCT((MOVIMIENTOS!$B$5:$B$1005="TRASIEGO")*(MOVIMIENTOS!$C$5:$C$1005="P")*(MOVIMIENTOS!$D$5:$D$1005="jabas")*(MOVIMIENTOS!$A$5:$A$1005&lt;&gt;"")*(MOVIMIENTOS!$A$5:$A$1005&lt;=$A703)*MOVIMIENTOS!$E$5:$E$1005)-SUMPRODUCT((MOVIMIENTOS!$B$5:$B$1005="REGALO")*(MOVIMIENTOS!$C$5:$C$1005="P")*(MOVIMIENTOS!$D$5:$D$1005="jabas")*(MOVIMIENTOS!$A$5:$A$1005&lt;&gt;"")*(MOVIMIENTOS!$A$5:$A$1005&lt;=$A703)*MOVIMIENTOS!$E$5:$E$1005)-SUMPRODUCT((MOVIMIENTOS!$B$5:$B$1005="VENTA")*(MOVIMIENTOS!$C$5:$C$1005="P")*(MOVIMIENTOS!$D$5:$D$1005="jabas")*(MOVIMIENTOS!$A$5:$A$1005&lt;&gt;"")*(MOVIMIENTOS!$A$5:$A$1005&lt;=$A703)*MOVIMIENTOS!$E$5:$E$1005)+SUMPRODUCT((MOVIMIENTOS!$B$5:$B$1005="AJUSTE")*(MOVIMIENTOS!$C$5:$C$1005="P")*(MOVIMIENTOS!$D$5:$D$1005="jabas")*(MOVIMIENTOS!$A$5:$A$1005&lt;&gt;"")*(MOVIMIENTOS!$A$5:$A$1005&lt;=$A703)*MOVIMIENTOS!$E$5:$E$1005))</f>
        <v/>
      </c>
      <c r="D703" t="str">
        <f>IF($A703="","",SUMPRODUCT((MOVIMIENTOS!$B$5:$B$1005="SALDO INICIAL")*(MOVIMIENTOS!$C$5:$C$1005="C")*(MOVIMIENTOS!$D$5:$D$1005="jabas")*(MOVIMIENTOS!$A$5:$A$1005&lt;&gt;"")*(MOVIMIENTOS!$A$5:$A$1005&lt;=$A703)*MOVIMIENTOS!$E$5:$E$1005)+SUMPRODUCT((MOVIMIENTOS!$B$5:$B$1005="PROCESO")*(MOVIMIENTOS!$C$5:$C$1005="C")*(MOVIMIENTOS!$D$5:$D$1005="jabas")*(MOVIMIENTOS!$A$5:$A$1005&lt;&gt;"")*(MOVIMIENTOS!$A$5:$A$1005&lt;=$A703)*MOVIMIENTOS!$E$5:$E$1005)-SUMPRODUCT((MOVIMIENTOS!$B$5:$B$1005="ENVÍO A SUPESA")*(MOVIMIENTOS!$C$5:$C$1005="C")*(MOVIMIENTOS!$D$5:$D$1005="jabas")*(MOVIMIENTOS!$A$5:$A$1005&lt;&gt;"")*(MOVIMIENTOS!$A$5:$A$1005&lt;=$A703)*MOVIMIENTOS!$E$5:$E$1005)+SUMPRODUCT((MOVIMIENTOS!$B$5:$B$1005="DEVOLUCIÓN")*(MOVIMIENTOS!$C$5:$C$1005="C")*(MOVIMIENTOS!$D$5:$D$1005="jabas")*(MOVIMIENTOS!$A$5:$A$1005&lt;&gt;"")*(MOVIMIENTOS!$A$5:$A$1005&lt;=$A703)*MOVIMIENTOS!$E$5:$E$1005)-SUMPRODUCT((MOVIMIENTOS!$B$5:$B$1005="TRASIEGO")*(MOVIMIENTOS!$C$5:$C$1005="C")*(MOVIMIENTOS!$D$5:$D$1005="jabas")*(MOVIMIENTOS!$A$5:$A$1005&lt;&gt;"")*(MOVIMIENTOS!$A$5:$A$1005&lt;=$A703)*MOVIMIENTOS!$E$5:$E$1005)-SUMPRODUCT((MOVIMIENTOS!$B$5:$B$1005="REGALO")*(MOVIMIENTOS!$C$5:$C$1005="C")*(MOVIMIENTOS!$D$5:$D$1005="jabas")*(MOVIMIENTOS!$A$5:$A$1005&lt;&gt;"")*(MOVIMIENTOS!$A$5:$A$1005&lt;=$A703)*MOVIMIENTOS!$E$5:$E$1005)-SUMPRODUCT((MOVIMIENTOS!$B$5:$B$1005="VENTA")*(MOVIMIENTOS!$C$5:$C$1005="C")*(MOVIMIENTOS!$D$5:$D$1005="jabas")*(MOVIMIENTOS!$A$5:$A$1005&lt;&gt;"")*(MOVIMIENTOS!$A$5:$A$1005&lt;=$A703)*MOVIMIENTOS!$E$5:$E$1005)+SUMPRODUCT((MOVIMIENTOS!$B$5:$B$1005="AJUSTE")*(MOVIMIENTOS!$C$5:$C$1005="C")*(MOVIMIENTOS!$D$5:$D$1005="jabas")*(MOVIMIENTOS!$A$5:$A$1005&lt;&gt;"")*(MOVIMIENTOS!$A$5:$A$1005&lt;=$A703)*MOVIMIENTOS!$E$5:$E$1005))</f>
        <v/>
      </c>
      <c r="E703" t="str">
        <f>IF($A703="","",SUMPRODUCT((MOVIMIENTOS!$B$5:$B$1005="SALDO INICIAL")*(MOVIMIENTOS!$C$5:$C$1005="M")*(MOVIMIENTOS!$D$5:$D$1005="jabas")*(MOVIMIENTOS!$A$5:$A$1005&lt;&gt;"")*(MOVIMIENTOS!$A$5:$A$1005&lt;=$A703)*MOVIMIENTOS!$E$5:$E$1005)+SUMPRODUCT((MOVIMIENTOS!$B$5:$B$1005="PROCESO")*(MOVIMIENTOS!$C$5:$C$1005="M")*(MOVIMIENTOS!$D$5:$D$1005="jabas")*(MOVIMIENTOS!$A$5:$A$1005&lt;&gt;"")*(MOVIMIENTOS!$A$5:$A$1005&lt;=$A703)*MOVIMIENTOS!$E$5:$E$1005)-SUMPRODUCT((MOVIMIENTOS!$B$5:$B$1005="ENVÍO A SUPESA")*(MOVIMIENTOS!$C$5:$C$1005="M")*(MOVIMIENTOS!$D$5:$D$1005="jabas")*(MOVIMIENTOS!$A$5:$A$1005&lt;&gt;"")*(MOVIMIENTOS!$A$5:$A$1005&lt;=$A703)*MOVIMIENTOS!$E$5:$E$1005)+SUMPRODUCT((MOVIMIENTOS!$B$5:$B$1005="DEVOLUCIÓN")*(MOVIMIENTOS!$C$5:$C$1005="M")*(MOVIMIENTOS!$D$5:$D$1005="jabas")*(MOVIMIENTOS!$A$5:$A$1005&lt;&gt;"")*(MOVIMIENTOS!$A$5:$A$1005&lt;=$A703)*MOVIMIENTOS!$E$5:$E$1005)-SUMPRODUCT((MOVIMIENTOS!$B$5:$B$1005="TRASIEGO")*(MOVIMIENTOS!$C$5:$C$1005="M")*(MOVIMIENTOS!$D$5:$D$1005="jabas")*(MOVIMIENTOS!$A$5:$A$1005&lt;&gt;"")*(MOVIMIENTOS!$A$5:$A$1005&lt;=$A703)*MOVIMIENTOS!$E$5:$E$1005)-SUMPRODUCT((MOVIMIENTOS!$B$5:$B$1005="REGALO")*(MOVIMIENTOS!$C$5:$C$1005="M")*(MOVIMIENTOS!$D$5:$D$1005="jabas")*(MOVIMIENTOS!$A$5:$A$1005&lt;&gt;"")*(MOVIMIENTOS!$A$5:$A$1005&lt;=$A703)*MOVIMIENTOS!$E$5:$E$1005)-SUMPRODUCT((MOVIMIENTOS!$B$5:$B$1005="VENTA")*(MOVIMIENTOS!$C$5:$C$1005="M")*(MOVIMIENTOS!$D$5:$D$1005="jabas")*(MOVIMIENTOS!$A$5:$A$1005&lt;&gt;"")*(MOVIMIENTOS!$A$5:$A$1005&lt;=$A703)*MOVIMIENTOS!$E$5:$E$1005)+SUMPRODUCT((MOVIMIENTOS!$B$5:$B$1005="AJUSTE")*(MOVIMIENTOS!$C$5:$C$1005="M")*(MOVIMIENTOS!$D$5:$D$1005="jabas")*(MOVIMIENTOS!$A$5:$A$1005&lt;&gt;"")*(MOVIMIENTOS!$A$5:$A$1005&lt;=$A703)*MOVIMIENTOS!$E$5:$E$1005))</f>
        <v/>
      </c>
      <c r="F703" s="62" t="str">
        <f>IF($A703="","",SUMPRODUCT((MOVIMIENTOS!$B$5:$B$1005="SALDO INICIAL")*(MOVIMIENTOS!$C$5:$C$1005="Chancho")*(MOVIMIENTOS!$D$5:$D$1005="sacos")*(MOVIMIENTOS!$A$5:$A$1005&lt;&gt;"")*(MOVIMIENTOS!$A$5:$A$1005&lt;=$A703)*MOVIMIENTOS!$E$5:$E$1005)+SUMPRODUCT((MOVIMIENTOS!$B$5:$B$1005="PROCESO")*(MOVIMIENTOS!$C$5:$C$1005="Chancho")*(MOVIMIENTOS!$D$5:$D$1005="sacos")*(MOVIMIENTOS!$A$5:$A$1005&lt;&gt;"")*(MOVIMIENTOS!$A$5:$A$1005&lt;=$A703)*MOVIMIENTOS!$E$5:$E$1005)-SUMPRODUCT((MOVIMIENTOS!$B$5:$B$1005="VENTA CHANCHO")*(MOVIMIENTOS!$C$5:$C$1005="Chancho")*(MOVIMIENTOS!$D$5:$D$1005="sacos")*(MOVIMIENTOS!$A$5:$A$1005&lt;&gt;"")*(MOVIMIENTOS!$A$5:$A$1005&lt;=$A703)*MOVIMIENTOS!$E$5:$E$1005)-SUMPRODUCT((MOVIMIENTOS!$B$5:$B$1005="REGALO")*(MOVIMIENTOS!$C$5:$C$1005="Chancho")*(MOVIMIENTOS!$D$5:$D$1005="sacos")*(MOVIMIENTOS!$A$5:$A$1005&lt;&gt;"")*(MOVIMIENTOS!$A$5:$A$1005&lt;=$A703)*MOVIMIENTOS!$E$5:$E$1005)-SUMPRODUCT((MOVIMIENTOS!$B$5:$B$1005="VENTA")*(MOVIMIENTOS!$C$5:$C$1005="Chancho")*(MOVIMIENTOS!$D$5:$D$1005="sacos")*(MOVIMIENTOS!$A$5:$A$1005&lt;&gt;"")*(MOVIMIENTOS!$A$5:$A$1005&lt;=$A703)*MOVIMIENTOS!$E$5:$E$1005)+SUMPRODUCT((MOVIMIENTOS!$B$5:$B$1005="AJUSTE")*(MOVIMIENTOS!$C$5:$C$1005="Chancho")*(MOVIMIENTOS!$D$5:$D$1005="sacos")*(MOVIMIENTOS!$A$5:$A$1005&lt;&gt;"")*(MOVIMIENTOS!$A$5:$A$1005&lt;=$A703)*MOVIMIENTOS!$E$5:$E$1005))</f>
        <v/>
      </c>
      <c r="G703" s="62" t="str">
        <f t="shared" si="21"/>
        <v/>
      </c>
      <c r="H703" t="str">
        <f>IF($A703="","",SUMPRODUCT((((MOVIMIENTOS!$B$5:$B$1005="SALDO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703)*MOVIMIENTOS!$J$5:$J$1005))</f>
        <v/>
      </c>
      <c r="J703" t="str">
        <f>IF(AND(MOVIMIENTOS!$A708&lt;&gt;"",COUNTIF(MOVIMIENTOS!$A$5:$A707,MOVIMIENTOS!$A708)=0),COUNT(J$4:J702)+1,"")</f>
        <v/>
      </c>
      <c r="K703">
        <f>MOVIMIENTOS!$A708</f>
        <v>0</v>
      </c>
    </row>
    <row r="704" spans="1:11" ht="15" customHeight="1" x14ac:dyDescent="0.2">
      <c r="A704" t="str">
        <f t="shared" si="20"/>
        <v/>
      </c>
      <c r="B704" t="str">
        <f>IF($A704="","",SUMPRODUCT((MOVIMIENTOS!$B$5:$B$1005="SALDO INICIAL")*(MOVIMIENTOS!$C$5:$C$1005="A")*(MOVIMIENTOS!$D$5:$D$1005="jabas")*(MOVIMIENTOS!$A$5:$A$1005&lt;&gt;"")*(MOVIMIENTOS!$A$5:$A$1005&lt;=$A704)*MOVIMIENTOS!$E$5:$E$1005)+SUMPRODUCT((MOVIMIENTOS!$B$5:$B$1005="PROCESO")*(MOVIMIENTOS!$C$5:$C$1005="A")*(MOVIMIENTOS!$D$5:$D$1005="jabas")*(MOVIMIENTOS!$A$5:$A$1005&lt;&gt;"")*(MOVIMIENTOS!$A$5:$A$1005&lt;=$A704)*MOVIMIENTOS!$E$5:$E$1005)-SUMPRODUCT((MOVIMIENTOS!$B$5:$B$1005="ENVÍO A SUPESA")*(MOVIMIENTOS!$C$5:$C$1005="A")*(MOVIMIENTOS!$D$5:$D$1005="jabas")*(MOVIMIENTOS!$A$5:$A$1005&lt;&gt;"")*(MOVIMIENTOS!$A$5:$A$1005&lt;=$A704)*MOVIMIENTOS!$E$5:$E$1005)+SUMPRODUCT((MOVIMIENTOS!$B$5:$B$1005="DEVOLUCIÓN")*(MOVIMIENTOS!$C$5:$C$1005="A")*(MOVIMIENTOS!$D$5:$D$1005="jabas")*(MOVIMIENTOS!$A$5:$A$1005&lt;&gt;"")*(MOVIMIENTOS!$A$5:$A$1005&lt;=$A704)*MOVIMIENTOS!$E$5:$E$1005)-SUMPRODUCT((MOVIMIENTOS!$B$5:$B$1005="TRASIEGO")*(MOVIMIENTOS!$C$5:$C$1005="A")*(MOVIMIENTOS!$D$5:$D$1005="jabas")*(MOVIMIENTOS!$A$5:$A$1005&lt;&gt;"")*(MOVIMIENTOS!$A$5:$A$1005&lt;=$A704)*MOVIMIENTOS!$E$5:$E$1005)-SUMPRODUCT((MOVIMIENTOS!$B$5:$B$1005="REGALO")*(MOVIMIENTOS!$C$5:$C$1005="A")*(MOVIMIENTOS!$D$5:$D$1005="jabas")*(MOVIMIENTOS!$A$5:$A$1005&lt;&gt;"")*(MOVIMIENTOS!$A$5:$A$1005&lt;=$A704)*MOVIMIENTOS!$E$5:$E$1005)-SUMPRODUCT((MOVIMIENTOS!$B$5:$B$1005="VENTA")*(MOVIMIENTOS!$C$5:$C$1005="A")*(MOVIMIENTOS!$D$5:$D$1005="jabas")*(MOVIMIENTOS!$A$5:$A$1005&lt;&gt;"")*(MOVIMIENTOS!$A$5:$A$1005&lt;=$A704)*MOVIMIENTOS!$E$5:$E$1005)+SUMPRODUCT((MOVIMIENTOS!$B$5:$B$1005="AJUSTE")*(MOVIMIENTOS!$C$5:$C$1005="A")*(MOVIMIENTOS!$D$5:$D$1005="jabas")*(MOVIMIENTOS!$A$5:$A$1005&lt;&gt;"")*(MOVIMIENTOS!$A$5:$A$1005&lt;=$A704)*MOVIMIENTOS!$E$5:$E$1005))</f>
        <v/>
      </c>
      <c r="C704" t="str">
        <f>IF($A704="","",SUMPRODUCT((MOVIMIENTOS!$B$5:$B$1005="SALDO INICIAL")*(MOVIMIENTOS!$C$5:$C$1005="P")*(MOVIMIENTOS!$D$5:$D$1005="jabas")*(MOVIMIENTOS!$A$5:$A$1005&lt;&gt;"")*(MOVIMIENTOS!$A$5:$A$1005&lt;=$A704)*MOVIMIENTOS!$E$5:$E$1005)+SUMPRODUCT((MOVIMIENTOS!$B$5:$B$1005="PROCESO")*(MOVIMIENTOS!$C$5:$C$1005="P")*(MOVIMIENTOS!$D$5:$D$1005="jabas")*(MOVIMIENTOS!$A$5:$A$1005&lt;&gt;"")*(MOVIMIENTOS!$A$5:$A$1005&lt;=$A704)*MOVIMIENTOS!$E$5:$E$1005)-SUMPRODUCT((MOVIMIENTOS!$B$5:$B$1005="ENVÍO A SUPESA")*(MOVIMIENTOS!$C$5:$C$1005="P")*(MOVIMIENTOS!$D$5:$D$1005="jabas")*(MOVIMIENTOS!$A$5:$A$1005&lt;&gt;"")*(MOVIMIENTOS!$A$5:$A$1005&lt;=$A704)*MOVIMIENTOS!$E$5:$E$1005)+SUMPRODUCT((MOVIMIENTOS!$B$5:$B$1005="DEVOLUCIÓN")*(MOVIMIENTOS!$C$5:$C$1005="P")*(MOVIMIENTOS!$D$5:$D$1005="jabas")*(MOVIMIENTOS!$A$5:$A$1005&lt;&gt;"")*(MOVIMIENTOS!$A$5:$A$1005&lt;=$A704)*MOVIMIENTOS!$E$5:$E$1005)-SUMPRODUCT((MOVIMIENTOS!$B$5:$B$1005="TRASIEGO")*(MOVIMIENTOS!$C$5:$C$1005="P")*(MOVIMIENTOS!$D$5:$D$1005="jabas")*(MOVIMIENTOS!$A$5:$A$1005&lt;&gt;"")*(MOVIMIENTOS!$A$5:$A$1005&lt;=$A704)*MOVIMIENTOS!$E$5:$E$1005)-SUMPRODUCT((MOVIMIENTOS!$B$5:$B$1005="REGALO")*(MOVIMIENTOS!$C$5:$C$1005="P")*(MOVIMIENTOS!$D$5:$D$1005="jabas")*(MOVIMIENTOS!$A$5:$A$1005&lt;&gt;"")*(MOVIMIENTOS!$A$5:$A$1005&lt;=$A704)*MOVIMIENTOS!$E$5:$E$1005)-SUMPRODUCT((MOVIMIENTOS!$B$5:$B$1005="VENTA")*(MOVIMIENTOS!$C$5:$C$1005="P")*(MOVIMIENTOS!$D$5:$D$1005="jabas")*(MOVIMIENTOS!$A$5:$A$1005&lt;&gt;"")*(MOVIMIENTOS!$A$5:$A$1005&lt;=$A704)*MOVIMIENTOS!$E$5:$E$1005)+SUMPRODUCT((MOVIMIENTOS!$B$5:$B$1005="AJUSTE")*(MOVIMIENTOS!$C$5:$C$1005="P")*(MOVIMIENTOS!$D$5:$D$1005="jabas")*(MOVIMIENTOS!$A$5:$A$1005&lt;&gt;"")*(MOVIMIENTOS!$A$5:$A$1005&lt;=$A704)*MOVIMIENTOS!$E$5:$E$1005))</f>
        <v/>
      </c>
      <c r="D704" t="str">
        <f>IF($A704="","",SUMPRODUCT((MOVIMIENTOS!$B$5:$B$1005="SALDO INICIAL")*(MOVIMIENTOS!$C$5:$C$1005="C")*(MOVIMIENTOS!$D$5:$D$1005="jabas")*(MOVIMIENTOS!$A$5:$A$1005&lt;&gt;"")*(MOVIMIENTOS!$A$5:$A$1005&lt;=$A704)*MOVIMIENTOS!$E$5:$E$1005)+SUMPRODUCT((MOVIMIENTOS!$B$5:$B$1005="PROCESO")*(MOVIMIENTOS!$C$5:$C$1005="C")*(MOVIMIENTOS!$D$5:$D$1005="jabas")*(MOVIMIENTOS!$A$5:$A$1005&lt;&gt;"")*(MOVIMIENTOS!$A$5:$A$1005&lt;=$A704)*MOVIMIENTOS!$E$5:$E$1005)-SUMPRODUCT((MOVIMIENTOS!$B$5:$B$1005="ENVÍO A SUPESA")*(MOVIMIENTOS!$C$5:$C$1005="C")*(MOVIMIENTOS!$D$5:$D$1005="jabas")*(MOVIMIENTOS!$A$5:$A$1005&lt;&gt;"")*(MOVIMIENTOS!$A$5:$A$1005&lt;=$A704)*MOVIMIENTOS!$E$5:$E$1005)+SUMPRODUCT((MOVIMIENTOS!$B$5:$B$1005="DEVOLUCIÓN")*(MOVIMIENTOS!$C$5:$C$1005="C")*(MOVIMIENTOS!$D$5:$D$1005="jabas")*(MOVIMIENTOS!$A$5:$A$1005&lt;&gt;"")*(MOVIMIENTOS!$A$5:$A$1005&lt;=$A704)*MOVIMIENTOS!$E$5:$E$1005)-SUMPRODUCT((MOVIMIENTOS!$B$5:$B$1005="TRASIEGO")*(MOVIMIENTOS!$C$5:$C$1005="C")*(MOVIMIENTOS!$D$5:$D$1005="jabas")*(MOVIMIENTOS!$A$5:$A$1005&lt;&gt;"")*(MOVIMIENTOS!$A$5:$A$1005&lt;=$A704)*MOVIMIENTOS!$E$5:$E$1005)-SUMPRODUCT((MOVIMIENTOS!$B$5:$B$1005="REGALO")*(MOVIMIENTOS!$C$5:$C$1005="C")*(MOVIMIENTOS!$D$5:$D$1005="jabas")*(MOVIMIENTOS!$A$5:$A$1005&lt;&gt;"")*(MOVIMIENTOS!$A$5:$A$1005&lt;=$A704)*MOVIMIENTOS!$E$5:$E$1005)-SUMPRODUCT((MOVIMIENTOS!$B$5:$B$1005="VENTA")*(MOVIMIENTOS!$C$5:$C$1005="C")*(MOVIMIENTOS!$D$5:$D$1005="jabas")*(MOVIMIENTOS!$A$5:$A$1005&lt;&gt;"")*(MOVIMIENTOS!$A$5:$A$1005&lt;=$A704)*MOVIMIENTOS!$E$5:$E$1005)+SUMPRODUCT((MOVIMIENTOS!$B$5:$B$1005="AJUSTE")*(MOVIMIENTOS!$C$5:$C$1005="C")*(MOVIMIENTOS!$D$5:$D$1005="jabas")*(MOVIMIENTOS!$A$5:$A$1005&lt;&gt;"")*(MOVIMIENTOS!$A$5:$A$1005&lt;=$A704)*MOVIMIENTOS!$E$5:$E$1005))</f>
        <v/>
      </c>
      <c r="E704" t="str">
        <f>IF($A704="","",SUMPRODUCT((MOVIMIENTOS!$B$5:$B$1005="SALDO INICIAL")*(MOVIMIENTOS!$C$5:$C$1005="M")*(MOVIMIENTOS!$D$5:$D$1005="jabas")*(MOVIMIENTOS!$A$5:$A$1005&lt;&gt;"")*(MOVIMIENTOS!$A$5:$A$1005&lt;=$A704)*MOVIMIENTOS!$E$5:$E$1005)+SUMPRODUCT((MOVIMIENTOS!$B$5:$B$1005="PROCESO")*(MOVIMIENTOS!$C$5:$C$1005="M")*(MOVIMIENTOS!$D$5:$D$1005="jabas")*(MOVIMIENTOS!$A$5:$A$1005&lt;&gt;"")*(MOVIMIENTOS!$A$5:$A$1005&lt;=$A704)*MOVIMIENTOS!$E$5:$E$1005)-SUMPRODUCT((MOVIMIENTOS!$B$5:$B$1005="ENVÍO A SUPESA")*(MOVIMIENTOS!$C$5:$C$1005="M")*(MOVIMIENTOS!$D$5:$D$1005="jabas")*(MOVIMIENTOS!$A$5:$A$1005&lt;&gt;"")*(MOVIMIENTOS!$A$5:$A$1005&lt;=$A704)*MOVIMIENTOS!$E$5:$E$1005)+SUMPRODUCT((MOVIMIENTOS!$B$5:$B$1005="DEVOLUCIÓN")*(MOVIMIENTOS!$C$5:$C$1005="M")*(MOVIMIENTOS!$D$5:$D$1005="jabas")*(MOVIMIENTOS!$A$5:$A$1005&lt;&gt;"")*(MOVIMIENTOS!$A$5:$A$1005&lt;=$A704)*MOVIMIENTOS!$E$5:$E$1005)-SUMPRODUCT((MOVIMIENTOS!$B$5:$B$1005="TRASIEGO")*(MOVIMIENTOS!$C$5:$C$1005="M")*(MOVIMIENTOS!$D$5:$D$1005="jabas")*(MOVIMIENTOS!$A$5:$A$1005&lt;&gt;"")*(MOVIMIENTOS!$A$5:$A$1005&lt;=$A704)*MOVIMIENTOS!$E$5:$E$1005)-SUMPRODUCT((MOVIMIENTOS!$B$5:$B$1005="REGALO")*(MOVIMIENTOS!$C$5:$C$1005="M")*(MOVIMIENTOS!$D$5:$D$1005="jabas")*(MOVIMIENTOS!$A$5:$A$1005&lt;&gt;"")*(MOVIMIENTOS!$A$5:$A$1005&lt;=$A704)*MOVIMIENTOS!$E$5:$E$1005)-SUMPRODUCT((MOVIMIENTOS!$B$5:$B$1005="VENTA")*(MOVIMIENTOS!$C$5:$C$1005="M")*(MOVIMIENTOS!$D$5:$D$1005="jabas")*(MOVIMIENTOS!$A$5:$A$1005&lt;&gt;"")*(MOVIMIENTOS!$A$5:$A$1005&lt;=$A704)*MOVIMIENTOS!$E$5:$E$1005)+SUMPRODUCT((MOVIMIENTOS!$B$5:$B$1005="AJUSTE")*(MOVIMIENTOS!$C$5:$C$1005="M")*(MOVIMIENTOS!$D$5:$D$1005="jabas")*(MOVIMIENTOS!$A$5:$A$1005&lt;&gt;"")*(MOVIMIENTOS!$A$5:$A$1005&lt;=$A704)*MOVIMIENTOS!$E$5:$E$1005))</f>
        <v/>
      </c>
      <c r="F704" s="62" t="str">
        <f>IF($A704="","",SUMPRODUCT((MOVIMIENTOS!$B$5:$B$1005="SALDO INICIAL")*(MOVIMIENTOS!$C$5:$C$1005="Chancho")*(MOVIMIENTOS!$D$5:$D$1005="sacos")*(MOVIMIENTOS!$A$5:$A$1005&lt;&gt;"")*(MOVIMIENTOS!$A$5:$A$1005&lt;=$A704)*MOVIMIENTOS!$E$5:$E$1005)+SUMPRODUCT((MOVIMIENTOS!$B$5:$B$1005="PROCESO")*(MOVIMIENTOS!$C$5:$C$1005="Chancho")*(MOVIMIENTOS!$D$5:$D$1005="sacos")*(MOVIMIENTOS!$A$5:$A$1005&lt;&gt;"")*(MOVIMIENTOS!$A$5:$A$1005&lt;=$A704)*MOVIMIENTOS!$E$5:$E$1005)-SUMPRODUCT((MOVIMIENTOS!$B$5:$B$1005="VENTA CHANCHO")*(MOVIMIENTOS!$C$5:$C$1005="Chancho")*(MOVIMIENTOS!$D$5:$D$1005="sacos")*(MOVIMIENTOS!$A$5:$A$1005&lt;&gt;"")*(MOVIMIENTOS!$A$5:$A$1005&lt;=$A704)*MOVIMIENTOS!$E$5:$E$1005)-SUMPRODUCT((MOVIMIENTOS!$B$5:$B$1005="REGALO")*(MOVIMIENTOS!$C$5:$C$1005="Chancho")*(MOVIMIENTOS!$D$5:$D$1005="sacos")*(MOVIMIENTOS!$A$5:$A$1005&lt;&gt;"")*(MOVIMIENTOS!$A$5:$A$1005&lt;=$A704)*MOVIMIENTOS!$E$5:$E$1005)-SUMPRODUCT((MOVIMIENTOS!$B$5:$B$1005="VENTA")*(MOVIMIENTOS!$C$5:$C$1005="Chancho")*(MOVIMIENTOS!$D$5:$D$1005="sacos")*(MOVIMIENTOS!$A$5:$A$1005&lt;&gt;"")*(MOVIMIENTOS!$A$5:$A$1005&lt;=$A704)*MOVIMIENTOS!$E$5:$E$1005)+SUMPRODUCT((MOVIMIENTOS!$B$5:$B$1005="AJUSTE")*(MOVIMIENTOS!$C$5:$C$1005="Chancho")*(MOVIMIENTOS!$D$5:$D$1005="sacos")*(MOVIMIENTOS!$A$5:$A$1005&lt;&gt;"")*(MOVIMIENTOS!$A$5:$A$1005&lt;=$A704)*MOVIMIENTOS!$E$5:$E$1005))</f>
        <v/>
      </c>
      <c r="G704" s="62" t="str">
        <f t="shared" si="21"/>
        <v/>
      </c>
      <c r="H704" t="str">
        <f>IF($A704="","",SUMPRODUCT((((MOVIMIENTOS!$B$5:$B$1005="SALDO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704)*MOVIMIENTOS!$J$5:$J$1005))</f>
        <v/>
      </c>
      <c r="J704" t="str">
        <f>IF(AND(MOVIMIENTOS!$A709&lt;&gt;"",COUNTIF(MOVIMIENTOS!$A$5:$A708,MOVIMIENTOS!$A709)=0),COUNT(J$4:J703)+1,"")</f>
        <v/>
      </c>
      <c r="K704">
        <f>MOVIMIENTOS!$A709</f>
        <v>0</v>
      </c>
    </row>
    <row r="705" spans="1:11" ht="15" customHeight="1" x14ac:dyDescent="0.2">
      <c r="A705" t="str">
        <f t="shared" si="20"/>
        <v/>
      </c>
      <c r="B705" t="str">
        <f>IF($A705="","",SUMPRODUCT((MOVIMIENTOS!$B$5:$B$1005="SALDO INICIAL")*(MOVIMIENTOS!$C$5:$C$1005="A")*(MOVIMIENTOS!$D$5:$D$1005="jabas")*(MOVIMIENTOS!$A$5:$A$1005&lt;&gt;"")*(MOVIMIENTOS!$A$5:$A$1005&lt;=$A705)*MOVIMIENTOS!$E$5:$E$1005)+SUMPRODUCT((MOVIMIENTOS!$B$5:$B$1005="PROCESO")*(MOVIMIENTOS!$C$5:$C$1005="A")*(MOVIMIENTOS!$D$5:$D$1005="jabas")*(MOVIMIENTOS!$A$5:$A$1005&lt;&gt;"")*(MOVIMIENTOS!$A$5:$A$1005&lt;=$A705)*MOVIMIENTOS!$E$5:$E$1005)-SUMPRODUCT((MOVIMIENTOS!$B$5:$B$1005="ENVÍO A SUPESA")*(MOVIMIENTOS!$C$5:$C$1005="A")*(MOVIMIENTOS!$D$5:$D$1005="jabas")*(MOVIMIENTOS!$A$5:$A$1005&lt;&gt;"")*(MOVIMIENTOS!$A$5:$A$1005&lt;=$A705)*MOVIMIENTOS!$E$5:$E$1005)+SUMPRODUCT((MOVIMIENTOS!$B$5:$B$1005="DEVOLUCIÓN")*(MOVIMIENTOS!$C$5:$C$1005="A")*(MOVIMIENTOS!$D$5:$D$1005="jabas")*(MOVIMIENTOS!$A$5:$A$1005&lt;&gt;"")*(MOVIMIENTOS!$A$5:$A$1005&lt;=$A705)*MOVIMIENTOS!$E$5:$E$1005)-SUMPRODUCT((MOVIMIENTOS!$B$5:$B$1005="TRASIEGO")*(MOVIMIENTOS!$C$5:$C$1005="A")*(MOVIMIENTOS!$D$5:$D$1005="jabas")*(MOVIMIENTOS!$A$5:$A$1005&lt;&gt;"")*(MOVIMIENTOS!$A$5:$A$1005&lt;=$A705)*MOVIMIENTOS!$E$5:$E$1005)-SUMPRODUCT((MOVIMIENTOS!$B$5:$B$1005="REGALO")*(MOVIMIENTOS!$C$5:$C$1005="A")*(MOVIMIENTOS!$D$5:$D$1005="jabas")*(MOVIMIENTOS!$A$5:$A$1005&lt;&gt;"")*(MOVIMIENTOS!$A$5:$A$1005&lt;=$A705)*MOVIMIENTOS!$E$5:$E$1005)-SUMPRODUCT((MOVIMIENTOS!$B$5:$B$1005="VENTA")*(MOVIMIENTOS!$C$5:$C$1005="A")*(MOVIMIENTOS!$D$5:$D$1005="jabas")*(MOVIMIENTOS!$A$5:$A$1005&lt;&gt;"")*(MOVIMIENTOS!$A$5:$A$1005&lt;=$A705)*MOVIMIENTOS!$E$5:$E$1005)+SUMPRODUCT((MOVIMIENTOS!$B$5:$B$1005="AJUSTE")*(MOVIMIENTOS!$C$5:$C$1005="A")*(MOVIMIENTOS!$D$5:$D$1005="jabas")*(MOVIMIENTOS!$A$5:$A$1005&lt;&gt;"")*(MOVIMIENTOS!$A$5:$A$1005&lt;=$A705)*MOVIMIENTOS!$E$5:$E$1005))</f>
        <v/>
      </c>
      <c r="C705" t="str">
        <f>IF($A705="","",SUMPRODUCT((MOVIMIENTOS!$B$5:$B$1005="SALDO INICIAL")*(MOVIMIENTOS!$C$5:$C$1005="P")*(MOVIMIENTOS!$D$5:$D$1005="jabas")*(MOVIMIENTOS!$A$5:$A$1005&lt;&gt;"")*(MOVIMIENTOS!$A$5:$A$1005&lt;=$A705)*MOVIMIENTOS!$E$5:$E$1005)+SUMPRODUCT((MOVIMIENTOS!$B$5:$B$1005="PROCESO")*(MOVIMIENTOS!$C$5:$C$1005="P")*(MOVIMIENTOS!$D$5:$D$1005="jabas")*(MOVIMIENTOS!$A$5:$A$1005&lt;&gt;"")*(MOVIMIENTOS!$A$5:$A$1005&lt;=$A705)*MOVIMIENTOS!$E$5:$E$1005)-SUMPRODUCT((MOVIMIENTOS!$B$5:$B$1005="ENVÍO A SUPESA")*(MOVIMIENTOS!$C$5:$C$1005="P")*(MOVIMIENTOS!$D$5:$D$1005="jabas")*(MOVIMIENTOS!$A$5:$A$1005&lt;&gt;"")*(MOVIMIENTOS!$A$5:$A$1005&lt;=$A705)*MOVIMIENTOS!$E$5:$E$1005)+SUMPRODUCT((MOVIMIENTOS!$B$5:$B$1005="DEVOLUCIÓN")*(MOVIMIENTOS!$C$5:$C$1005="P")*(MOVIMIENTOS!$D$5:$D$1005="jabas")*(MOVIMIENTOS!$A$5:$A$1005&lt;&gt;"")*(MOVIMIENTOS!$A$5:$A$1005&lt;=$A705)*MOVIMIENTOS!$E$5:$E$1005)-SUMPRODUCT((MOVIMIENTOS!$B$5:$B$1005="TRASIEGO")*(MOVIMIENTOS!$C$5:$C$1005="P")*(MOVIMIENTOS!$D$5:$D$1005="jabas")*(MOVIMIENTOS!$A$5:$A$1005&lt;&gt;"")*(MOVIMIENTOS!$A$5:$A$1005&lt;=$A705)*MOVIMIENTOS!$E$5:$E$1005)-SUMPRODUCT((MOVIMIENTOS!$B$5:$B$1005="REGALO")*(MOVIMIENTOS!$C$5:$C$1005="P")*(MOVIMIENTOS!$D$5:$D$1005="jabas")*(MOVIMIENTOS!$A$5:$A$1005&lt;&gt;"")*(MOVIMIENTOS!$A$5:$A$1005&lt;=$A705)*MOVIMIENTOS!$E$5:$E$1005)-SUMPRODUCT((MOVIMIENTOS!$B$5:$B$1005="VENTA")*(MOVIMIENTOS!$C$5:$C$1005="P")*(MOVIMIENTOS!$D$5:$D$1005="jabas")*(MOVIMIENTOS!$A$5:$A$1005&lt;&gt;"")*(MOVIMIENTOS!$A$5:$A$1005&lt;=$A705)*MOVIMIENTOS!$E$5:$E$1005)+SUMPRODUCT((MOVIMIENTOS!$B$5:$B$1005="AJUSTE")*(MOVIMIENTOS!$C$5:$C$1005="P")*(MOVIMIENTOS!$D$5:$D$1005="jabas")*(MOVIMIENTOS!$A$5:$A$1005&lt;&gt;"")*(MOVIMIENTOS!$A$5:$A$1005&lt;=$A705)*MOVIMIENTOS!$E$5:$E$1005))</f>
        <v/>
      </c>
      <c r="D705" t="str">
        <f>IF($A705="","",SUMPRODUCT((MOVIMIENTOS!$B$5:$B$1005="SALDO INICIAL")*(MOVIMIENTOS!$C$5:$C$1005="C")*(MOVIMIENTOS!$D$5:$D$1005="jabas")*(MOVIMIENTOS!$A$5:$A$1005&lt;&gt;"")*(MOVIMIENTOS!$A$5:$A$1005&lt;=$A705)*MOVIMIENTOS!$E$5:$E$1005)+SUMPRODUCT((MOVIMIENTOS!$B$5:$B$1005="PROCESO")*(MOVIMIENTOS!$C$5:$C$1005="C")*(MOVIMIENTOS!$D$5:$D$1005="jabas")*(MOVIMIENTOS!$A$5:$A$1005&lt;&gt;"")*(MOVIMIENTOS!$A$5:$A$1005&lt;=$A705)*MOVIMIENTOS!$E$5:$E$1005)-SUMPRODUCT((MOVIMIENTOS!$B$5:$B$1005="ENVÍO A SUPESA")*(MOVIMIENTOS!$C$5:$C$1005="C")*(MOVIMIENTOS!$D$5:$D$1005="jabas")*(MOVIMIENTOS!$A$5:$A$1005&lt;&gt;"")*(MOVIMIENTOS!$A$5:$A$1005&lt;=$A705)*MOVIMIENTOS!$E$5:$E$1005)+SUMPRODUCT((MOVIMIENTOS!$B$5:$B$1005="DEVOLUCIÓN")*(MOVIMIENTOS!$C$5:$C$1005="C")*(MOVIMIENTOS!$D$5:$D$1005="jabas")*(MOVIMIENTOS!$A$5:$A$1005&lt;&gt;"")*(MOVIMIENTOS!$A$5:$A$1005&lt;=$A705)*MOVIMIENTOS!$E$5:$E$1005)-SUMPRODUCT((MOVIMIENTOS!$B$5:$B$1005="TRASIEGO")*(MOVIMIENTOS!$C$5:$C$1005="C")*(MOVIMIENTOS!$D$5:$D$1005="jabas")*(MOVIMIENTOS!$A$5:$A$1005&lt;&gt;"")*(MOVIMIENTOS!$A$5:$A$1005&lt;=$A705)*MOVIMIENTOS!$E$5:$E$1005)-SUMPRODUCT((MOVIMIENTOS!$B$5:$B$1005="REGALO")*(MOVIMIENTOS!$C$5:$C$1005="C")*(MOVIMIENTOS!$D$5:$D$1005="jabas")*(MOVIMIENTOS!$A$5:$A$1005&lt;&gt;"")*(MOVIMIENTOS!$A$5:$A$1005&lt;=$A705)*MOVIMIENTOS!$E$5:$E$1005)-SUMPRODUCT((MOVIMIENTOS!$B$5:$B$1005="VENTA")*(MOVIMIENTOS!$C$5:$C$1005="C")*(MOVIMIENTOS!$D$5:$D$1005="jabas")*(MOVIMIENTOS!$A$5:$A$1005&lt;&gt;"")*(MOVIMIENTOS!$A$5:$A$1005&lt;=$A705)*MOVIMIENTOS!$E$5:$E$1005)+SUMPRODUCT((MOVIMIENTOS!$B$5:$B$1005="AJUSTE")*(MOVIMIENTOS!$C$5:$C$1005="C")*(MOVIMIENTOS!$D$5:$D$1005="jabas")*(MOVIMIENTOS!$A$5:$A$1005&lt;&gt;"")*(MOVIMIENTOS!$A$5:$A$1005&lt;=$A705)*MOVIMIENTOS!$E$5:$E$1005))</f>
        <v/>
      </c>
      <c r="E705" t="str">
        <f>IF($A705="","",SUMPRODUCT((MOVIMIENTOS!$B$5:$B$1005="SALDO INICIAL")*(MOVIMIENTOS!$C$5:$C$1005="M")*(MOVIMIENTOS!$D$5:$D$1005="jabas")*(MOVIMIENTOS!$A$5:$A$1005&lt;&gt;"")*(MOVIMIENTOS!$A$5:$A$1005&lt;=$A705)*MOVIMIENTOS!$E$5:$E$1005)+SUMPRODUCT((MOVIMIENTOS!$B$5:$B$1005="PROCESO")*(MOVIMIENTOS!$C$5:$C$1005="M")*(MOVIMIENTOS!$D$5:$D$1005="jabas")*(MOVIMIENTOS!$A$5:$A$1005&lt;&gt;"")*(MOVIMIENTOS!$A$5:$A$1005&lt;=$A705)*MOVIMIENTOS!$E$5:$E$1005)-SUMPRODUCT((MOVIMIENTOS!$B$5:$B$1005="ENVÍO A SUPESA")*(MOVIMIENTOS!$C$5:$C$1005="M")*(MOVIMIENTOS!$D$5:$D$1005="jabas")*(MOVIMIENTOS!$A$5:$A$1005&lt;&gt;"")*(MOVIMIENTOS!$A$5:$A$1005&lt;=$A705)*MOVIMIENTOS!$E$5:$E$1005)+SUMPRODUCT((MOVIMIENTOS!$B$5:$B$1005="DEVOLUCIÓN")*(MOVIMIENTOS!$C$5:$C$1005="M")*(MOVIMIENTOS!$D$5:$D$1005="jabas")*(MOVIMIENTOS!$A$5:$A$1005&lt;&gt;"")*(MOVIMIENTOS!$A$5:$A$1005&lt;=$A705)*MOVIMIENTOS!$E$5:$E$1005)-SUMPRODUCT((MOVIMIENTOS!$B$5:$B$1005="TRASIEGO")*(MOVIMIENTOS!$C$5:$C$1005="M")*(MOVIMIENTOS!$D$5:$D$1005="jabas")*(MOVIMIENTOS!$A$5:$A$1005&lt;&gt;"")*(MOVIMIENTOS!$A$5:$A$1005&lt;=$A705)*MOVIMIENTOS!$E$5:$E$1005)-SUMPRODUCT((MOVIMIENTOS!$B$5:$B$1005="REGALO")*(MOVIMIENTOS!$C$5:$C$1005="M")*(MOVIMIENTOS!$D$5:$D$1005="jabas")*(MOVIMIENTOS!$A$5:$A$1005&lt;&gt;"")*(MOVIMIENTOS!$A$5:$A$1005&lt;=$A705)*MOVIMIENTOS!$E$5:$E$1005)-SUMPRODUCT((MOVIMIENTOS!$B$5:$B$1005="VENTA")*(MOVIMIENTOS!$C$5:$C$1005="M")*(MOVIMIENTOS!$D$5:$D$1005="jabas")*(MOVIMIENTOS!$A$5:$A$1005&lt;&gt;"")*(MOVIMIENTOS!$A$5:$A$1005&lt;=$A705)*MOVIMIENTOS!$E$5:$E$1005)+SUMPRODUCT((MOVIMIENTOS!$B$5:$B$1005="AJUSTE")*(MOVIMIENTOS!$C$5:$C$1005="M")*(MOVIMIENTOS!$D$5:$D$1005="jabas")*(MOVIMIENTOS!$A$5:$A$1005&lt;&gt;"")*(MOVIMIENTOS!$A$5:$A$1005&lt;=$A705)*MOVIMIENTOS!$E$5:$E$1005))</f>
        <v/>
      </c>
      <c r="F705" s="62" t="str">
        <f>IF($A705="","",SUMPRODUCT((MOVIMIENTOS!$B$5:$B$1005="SALDO INICIAL")*(MOVIMIENTOS!$C$5:$C$1005="Chancho")*(MOVIMIENTOS!$D$5:$D$1005="sacos")*(MOVIMIENTOS!$A$5:$A$1005&lt;&gt;"")*(MOVIMIENTOS!$A$5:$A$1005&lt;=$A705)*MOVIMIENTOS!$E$5:$E$1005)+SUMPRODUCT((MOVIMIENTOS!$B$5:$B$1005="PROCESO")*(MOVIMIENTOS!$C$5:$C$1005="Chancho")*(MOVIMIENTOS!$D$5:$D$1005="sacos")*(MOVIMIENTOS!$A$5:$A$1005&lt;&gt;"")*(MOVIMIENTOS!$A$5:$A$1005&lt;=$A705)*MOVIMIENTOS!$E$5:$E$1005)-SUMPRODUCT((MOVIMIENTOS!$B$5:$B$1005="VENTA CHANCHO")*(MOVIMIENTOS!$C$5:$C$1005="Chancho")*(MOVIMIENTOS!$D$5:$D$1005="sacos")*(MOVIMIENTOS!$A$5:$A$1005&lt;&gt;"")*(MOVIMIENTOS!$A$5:$A$1005&lt;=$A705)*MOVIMIENTOS!$E$5:$E$1005)-SUMPRODUCT((MOVIMIENTOS!$B$5:$B$1005="REGALO")*(MOVIMIENTOS!$C$5:$C$1005="Chancho")*(MOVIMIENTOS!$D$5:$D$1005="sacos")*(MOVIMIENTOS!$A$5:$A$1005&lt;&gt;"")*(MOVIMIENTOS!$A$5:$A$1005&lt;=$A705)*MOVIMIENTOS!$E$5:$E$1005)-SUMPRODUCT((MOVIMIENTOS!$B$5:$B$1005="VENTA")*(MOVIMIENTOS!$C$5:$C$1005="Chancho")*(MOVIMIENTOS!$D$5:$D$1005="sacos")*(MOVIMIENTOS!$A$5:$A$1005&lt;&gt;"")*(MOVIMIENTOS!$A$5:$A$1005&lt;=$A705)*MOVIMIENTOS!$E$5:$E$1005)+SUMPRODUCT((MOVIMIENTOS!$B$5:$B$1005="AJUSTE")*(MOVIMIENTOS!$C$5:$C$1005="Chancho")*(MOVIMIENTOS!$D$5:$D$1005="sacos")*(MOVIMIENTOS!$A$5:$A$1005&lt;&gt;"")*(MOVIMIENTOS!$A$5:$A$1005&lt;=$A705)*MOVIMIENTOS!$E$5:$E$1005))</f>
        <v/>
      </c>
      <c r="G705" s="62" t="str">
        <f t="shared" si="21"/>
        <v/>
      </c>
      <c r="H705" t="str">
        <f>IF($A705="","",SUMPRODUCT((((MOVIMIENTOS!$B$5:$B$1005="SALDO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705)*MOVIMIENTOS!$J$5:$J$1005))</f>
        <v/>
      </c>
      <c r="J705" t="str">
        <f>IF(AND(MOVIMIENTOS!$A710&lt;&gt;"",COUNTIF(MOVIMIENTOS!$A$5:$A709,MOVIMIENTOS!$A710)=0),COUNT(J$4:J704)+1,"")</f>
        <v/>
      </c>
      <c r="K705">
        <f>MOVIMIENTOS!$A710</f>
        <v>0</v>
      </c>
    </row>
    <row r="706" spans="1:11" ht="15" customHeight="1" x14ac:dyDescent="0.2">
      <c r="A706" t="str">
        <f t="shared" si="20"/>
        <v/>
      </c>
      <c r="B706" t="str">
        <f>IF($A706="","",SUMPRODUCT((MOVIMIENTOS!$B$5:$B$1005="SALDO INICIAL")*(MOVIMIENTOS!$C$5:$C$1005="A")*(MOVIMIENTOS!$D$5:$D$1005="jabas")*(MOVIMIENTOS!$A$5:$A$1005&lt;&gt;"")*(MOVIMIENTOS!$A$5:$A$1005&lt;=$A706)*MOVIMIENTOS!$E$5:$E$1005)+SUMPRODUCT((MOVIMIENTOS!$B$5:$B$1005="PROCESO")*(MOVIMIENTOS!$C$5:$C$1005="A")*(MOVIMIENTOS!$D$5:$D$1005="jabas")*(MOVIMIENTOS!$A$5:$A$1005&lt;&gt;"")*(MOVIMIENTOS!$A$5:$A$1005&lt;=$A706)*MOVIMIENTOS!$E$5:$E$1005)-SUMPRODUCT((MOVIMIENTOS!$B$5:$B$1005="ENVÍO A SUPESA")*(MOVIMIENTOS!$C$5:$C$1005="A")*(MOVIMIENTOS!$D$5:$D$1005="jabas")*(MOVIMIENTOS!$A$5:$A$1005&lt;&gt;"")*(MOVIMIENTOS!$A$5:$A$1005&lt;=$A706)*MOVIMIENTOS!$E$5:$E$1005)+SUMPRODUCT((MOVIMIENTOS!$B$5:$B$1005="DEVOLUCIÓN")*(MOVIMIENTOS!$C$5:$C$1005="A")*(MOVIMIENTOS!$D$5:$D$1005="jabas")*(MOVIMIENTOS!$A$5:$A$1005&lt;&gt;"")*(MOVIMIENTOS!$A$5:$A$1005&lt;=$A706)*MOVIMIENTOS!$E$5:$E$1005)-SUMPRODUCT((MOVIMIENTOS!$B$5:$B$1005="TRASIEGO")*(MOVIMIENTOS!$C$5:$C$1005="A")*(MOVIMIENTOS!$D$5:$D$1005="jabas")*(MOVIMIENTOS!$A$5:$A$1005&lt;&gt;"")*(MOVIMIENTOS!$A$5:$A$1005&lt;=$A706)*MOVIMIENTOS!$E$5:$E$1005)-SUMPRODUCT((MOVIMIENTOS!$B$5:$B$1005="REGALO")*(MOVIMIENTOS!$C$5:$C$1005="A")*(MOVIMIENTOS!$D$5:$D$1005="jabas")*(MOVIMIENTOS!$A$5:$A$1005&lt;&gt;"")*(MOVIMIENTOS!$A$5:$A$1005&lt;=$A706)*MOVIMIENTOS!$E$5:$E$1005)-SUMPRODUCT((MOVIMIENTOS!$B$5:$B$1005="VENTA")*(MOVIMIENTOS!$C$5:$C$1005="A")*(MOVIMIENTOS!$D$5:$D$1005="jabas")*(MOVIMIENTOS!$A$5:$A$1005&lt;&gt;"")*(MOVIMIENTOS!$A$5:$A$1005&lt;=$A706)*MOVIMIENTOS!$E$5:$E$1005)+SUMPRODUCT((MOVIMIENTOS!$B$5:$B$1005="AJUSTE")*(MOVIMIENTOS!$C$5:$C$1005="A")*(MOVIMIENTOS!$D$5:$D$1005="jabas")*(MOVIMIENTOS!$A$5:$A$1005&lt;&gt;"")*(MOVIMIENTOS!$A$5:$A$1005&lt;=$A706)*MOVIMIENTOS!$E$5:$E$1005))</f>
        <v/>
      </c>
      <c r="C706" t="str">
        <f>IF($A706="","",SUMPRODUCT((MOVIMIENTOS!$B$5:$B$1005="SALDO INICIAL")*(MOVIMIENTOS!$C$5:$C$1005="P")*(MOVIMIENTOS!$D$5:$D$1005="jabas")*(MOVIMIENTOS!$A$5:$A$1005&lt;&gt;"")*(MOVIMIENTOS!$A$5:$A$1005&lt;=$A706)*MOVIMIENTOS!$E$5:$E$1005)+SUMPRODUCT((MOVIMIENTOS!$B$5:$B$1005="PROCESO")*(MOVIMIENTOS!$C$5:$C$1005="P")*(MOVIMIENTOS!$D$5:$D$1005="jabas")*(MOVIMIENTOS!$A$5:$A$1005&lt;&gt;"")*(MOVIMIENTOS!$A$5:$A$1005&lt;=$A706)*MOVIMIENTOS!$E$5:$E$1005)-SUMPRODUCT((MOVIMIENTOS!$B$5:$B$1005="ENVÍO A SUPESA")*(MOVIMIENTOS!$C$5:$C$1005="P")*(MOVIMIENTOS!$D$5:$D$1005="jabas")*(MOVIMIENTOS!$A$5:$A$1005&lt;&gt;"")*(MOVIMIENTOS!$A$5:$A$1005&lt;=$A706)*MOVIMIENTOS!$E$5:$E$1005)+SUMPRODUCT((MOVIMIENTOS!$B$5:$B$1005="DEVOLUCIÓN")*(MOVIMIENTOS!$C$5:$C$1005="P")*(MOVIMIENTOS!$D$5:$D$1005="jabas")*(MOVIMIENTOS!$A$5:$A$1005&lt;&gt;"")*(MOVIMIENTOS!$A$5:$A$1005&lt;=$A706)*MOVIMIENTOS!$E$5:$E$1005)-SUMPRODUCT((MOVIMIENTOS!$B$5:$B$1005="TRASIEGO")*(MOVIMIENTOS!$C$5:$C$1005="P")*(MOVIMIENTOS!$D$5:$D$1005="jabas")*(MOVIMIENTOS!$A$5:$A$1005&lt;&gt;"")*(MOVIMIENTOS!$A$5:$A$1005&lt;=$A706)*MOVIMIENTOS!$E$5:$E$1005)-SUMPRODUCT((MOVIMIENTOS!$B$5:$B$1005="REGALO")*(MOVIMIENTOS!$C$5:$C$1005="P")*(MOVIMIENTOS!$D$5:$D$1005="jabas")*(MOVIMIENTOS!$A$5:$A$1005&lt;&gt;"")*(MOVIMIENTOS!$A$5:$A$1005&lt;=$A706)*MOVIMIENTOS!$E$5:$E$1005)-SUMPRODUCT((MOVIMIENTOS!$B$5:$B$1005="VENTA")*(MOVIMIENTOS!$C$5:$C$1005="P")*(MOVIMIENTOS!$D$5:$D$1005="jabas")*(MOVIMIENTOS!$A$5:$A$1005&lt;&gt;"")*(MOVIMIENTOS!$A$5:$A$1005&lt;=$A706)*MOVIMIENTOS!$E$5:$E$1005)+SUMPRODUCT((MOVIMIENTOS!$B$5:$B$1005="AJUSTE")*(MOVIMIENTOS!$C$5:$C$1005="P")*(MOVIMIENTOS!$D$5:$D$1005="jabas")*(MOVIMIENTOS!$A$5:$A$1005&lt;&gt;"")*(MOVIMIENTOS!$A$5:$A$1005&lt;=$A706)*MOVIMIENTOS!$E$5:$E$1005))</f>
        <v/>
      </c>
      <c r="D706" t="str">
        <f>IF($A706="","",SUMPRODUCT((MOVIMIENTOS!$B$5:$B$1005="SALDO INICIAL")*(MOVIMIENTOS!$C$5:$C$1005="C")*(MOVIMIENTOS!$D$5:$D$1005="jabas")*(MOVIMIENTOS!$A$5:$A$1005&lt;&gt;"")*(MOVIMIENTOS!$A$5:$A$1005&lt;=$A706)*MOVIMIENTOS!$E$5:$E$1005)+SUMPRODUCT((MOVIMIENTOS!$B$5:$B$1005="PROCESO")*(MOVIMIENTOS!$C$5:$C$1005="C")*(MOVIMIENTOS!$D$5:$D$1005="jabas")*(MOVIMIENTOS!$A$5:$A$1005&lt;&gt;"")*(MOVIMIENTOS!$A$5:$A$1005&lt;=$A706)*MOVIMIENTOS!$E$5:$E$1005)-SUMPRODUCT((MOVIMIENTOS!$B$5:$B$1005="ENVÍO A SUPESA")*(MOVIMIENTOS!$C$5:$C$1005="C")*(MOVIMIENTOS!$D$5:$D$1005="jabas")*(MOVIMIENTOS!$A$5:$A$1005&lt;&gt;"")*(MOVIMIENTOS!$A$5:$A$1005&lt;=$A706)*MOVIMIENTOS!$E$5:$E$1005)+SUMPRODUCT((MOVIMIENTOS!$B$5:$B$1005="DEVOLUCIÓN")*(MOVIMIENTOS!$C$5:$C$1005="C")*(MOVIMIENTOS!$D$5:$D$1005="jabas")*(MOVIMIENTOS!$A$5:$A$1005&lt;&gt;"")*(MOVIMIENTOS!$A$5:$A$1005&lt;=$A706)*MOVIMIENTOS!$E$5:$E$1005)-SUMPRODUCT((MOVIMIENTOS!$B$5:$B$1005="TRASIEGO")*(MOVIMIENTOS!$C$5:$C$1005="C")*(MOVIMIENTOS!$D$5:$D$1005="jabas")*(MOVIMIENTOS!$A$5:$A$1005&lt;&gt;"")*(MOVIMIENTOS!$A$5:$A$1005&lt;=$A706)*MOVIMIENTOS!$E$5:$E$1005)-SUMPRODUCT((MOVIMIENTOS!$B$5:$B$1005="REGALO")*(MOVIMIENTOS!$C$5:$C$1005="C")*(MOVIMIENTOS!$D$5:$D$1005="jabas")*(MOVIMIENTOS!$A$5:$A$1005&lt;&gt;"")*(MOVIMIENTOS!$A$5:$A$1005&lt;=$A706)*MOVIMIENTOS!$E$5:$E$1005)-SUMPRODUCT((MOVIMIENTOS!$B$5:$B$1005="VENTA")*(MOVIMIENTOS!$C$5:$C$1005="C")*(MOVIMIENTOS!$D$5:$D$1005="jabas")*(MOVIMIENTOS!$A$5:$A$1005&lt;&gt;"")*(MOVIMIENTOS!$A$5:$A$1005&lt;=$A706)*MOVIMIENTOS!$E$5:$E$1005)+SUMPRODUCT((MOVIMIENTOS!$B$5:$B$1005="AJUSTE")*(MOVIMIENTOS!$C$5:$C$1005="C")*(MOVIMIENTOS!$D$5:$D$1005="jabas")*(MOVIMIENTOS!$A$5:$A$1005&lt;&gt;"")*(MOVIMIENTOS!$A$5:$A$1005&lt;=$A706)*MOVIMIENTOS!$E$5:$E$1005))</f>
        <v/>
      </c>
      <c r="E706" t="str">
        <f>IF($A706="","",SUMPRODUCT((MOVIMIENTOS!$B$5:$B$1005="SALDO INICIAL")*(MOVIMIENTOS!$C$5:$C$1005="M")*(MOVIMIENTOS!$D$5:$D$1005="jabas")*(MOVIMIENTOS!$A$5:$A$1005&lt;&gt;"")*(MOVIMIENTOS!$A$5:$A$1005&lt;=$A706)*MOVIMIENTOS!$E$5:$E$1005)+SUMPRODUCT((MOVIMIENTOS!$B$5:$B$1005="PROCESO")*(MOVIMIENTOS!$C$5:$C$1005="M")*(MOVIMIENTOS!$D$5:$D$1005="jabas")*(MOVIMIENTOS!$A$5:$A$1005&lt;&gt;"")*(MOVIMIENTOS!$A$5:$A$1005&lt;=$A706)*MOVIMIENTOS!$E$5:$E$1005)-SUMPRODUCT((MOVIMIENTOS!$B$5:$B$1005="ENVÍO A SUPESA")*(MOVIMIENTOS!$C$5:$C$1005="M")*(MOVIMIENTOS!$D$5:$D$1005="jabas")*(MOVIMIENTOS!$A$5:$A$1005&lt;&gt;"")*(MOVIMIENTOS!$A$5:$A$1005&lt;=$A706)*MOVIMIENTOS!$E$5:$E$1005)+SUMPRODUCT((MOVIMIENTOS!$B$5:$B$1005="DEVOLUCIÓN")*(MOVIMIENTOS!$C$5:$C$1005="M")*(MOVIMIENTOS!$D$5:$D$1005="jabas")*(MOVIMIENTOS!$A$5:$A$1005&lt;&gt;"")*(MOVIMIENTOS!$A$5:$A$1005&lt;=$A706)*MOVIMIENTOS!$E$5:$E$1005)-SUMPRODUCT((MOVIMIENTOS!$B$5:$B$1005="TRASIEGO")*(MOVIMIENTOS!$C$5:$C$1005="M")*(MOVIMIENTOS!$D$5:$D$1005="jabas")*(MOVIMIENTOS!$A$5:$A$1005&lt;&gt;"")*(MOVIMIENTOS!$A$5:$A$1005&lt;=$A706)*MOVIMIENTOS!$E$5:$E$1005)-SUMPRODUCT((MOVIMIENTOS!$B$5:$B$1005="REGALO")*(MOVIMIENTOS!$C$5:$C$1005="M")*(MOVIMIENTOS!$D$5:$D$1005="jabas")*(MOVIMIENTOS!$A$5:$A$1005&lt;&gt;"")*(MOVIMIENTOS!$A$5:$A$1005&lt;=$A706)*MOVIMIENTOS!$E$5:$E$1005)-SUMPRODUCT((MOVIMIENTOS!$B$5:$B$1005="VENTA")*(MOVIMIENTOS!$C$5:$C$1005="M")*(MOVIMIENTOS!$D$5:$D$1005="jabas")*(MOVIMIENTOS!$A$5:$A$1005&lt;&gt;"")*(MOVIMIENTOS!$A$5:$A$1005&lt;=$A706)*MOVIMIENTOS!$E$5:$E$1005)+SUMPRODUCT((MOVIMIENTOS!$B$5:$B$1005="AJUSTE")*(MOVIMIENTOS!$C$5:$C$1005="M")*(MOVIMIENTOS!$D$5:$D$1005="jabas")*(MOVIMIENTOS!$A$5:$A$1005&lt;&gt;"")*(MOVIMIENTOS!$A$5:$A$1005&lt;=$A706)*MOVIMIENTOS!$E$5:$E$1005))</f>
        <v/>
      </c>
      <c r="F706" s="62" t="str">
        <f>IF($A706="","",SUMPRODUCT((MOVIMIENTOS!$B$5:$B$1005="SALDO INICIAL")*(MOVIMIENTOS!$C$5:$C$1005="Chancho")*(MOVIMIENTOS!$D$5:$D$1005="sacos")*(MOVIMIENTOS!$A$5:$A$1005&lt;&gt;"")*(MOVIMIENTOS!$A$5:$A$1005&lt;=$A706)*MOVIMIENTOS!$E$5:$E$1005)+SUMPRODUCT((MOVIMIENTOS!$B$5:$B$1005="PROCESO")*(MOVIMIENTOS!$C$5:$C$1005="Chancho")*(MOVIMIENTOS!$D$5:$D$1005="sacos")*(MOVIMIENTOS!$A$5:$A$1005&lt;&gt;"")*(MOVIMIENTOS!$A$5:$A$1005&lt;=$A706)*MOVIMIENTOS!$E$5:$E$1005)-SUMPRODUCT((MOVIMIENTOS!$B$5:$B$1005="VENTA CHANCHO")*(MOVIMIENTOS!$C$5:$C$1005="Chancho")*(MOVIMIENTOS!$D$5:$D$1005="sacos")*(MOVIMIENTOS!$A$5:$A$1005&lt;&gt;"")*(MOVIMIENTOS!$A$5:$A$1005&lt;=$A706)*MOVIMIENTOS!$E$5:$E$1005)-SUMPRODUCT((MOVIMIENTOS!$B$5:$B$1005="REGALO")*(MOVIMIENTOS!$C$5:$C$1005="Chancho")*(MOVIMIENTOS!$D$5:$D$1005="sacos")*(MOVIMIENTOS!$A$5:$A$1005&lt;&gt;"")*(MOVIMIENTOS!$A$5:$A$1005&lt;=$A706)*MOVIMIENTOS!$E$5:$E$1005)-SUMPRODUCT((MOVIMIENTOS!$B$5:$B$1005="VENTA")*(MOVIMIENTOS!$C$5:$C$1005="Chancho")*(MOVIMIENTOS!$D$5:$D$1005="sacos")*(MOVIMIENTOS!$A$5:$A$1005&lt;&gt;"")*(MOVIMIENTOS!$A$5:$A$1005&lt;=$A706)*MOVIMIENTOS!$E$5:$E$1005)+SUMPRODUCT((MOVIMIENTOS!$B$5:$B$1005="AJUSTE")*(MOVIMIENTOS!$C$5:$C$1005="Chancho")*(MOVIMIENTOS!$D$5:$D$1005="sacos")*(MOVIMIENTOS!$A$5:$A$1005&lt;&gt;"")*(MOVIMIENTOS!$A$5:$A$1005&lt;=$A706)*MOVIMIENTOS!$E$5:$E$1005))</f>
        <v/>
      </c>
      <c r="G706" s="62" t="str">
        <f t="shared" si="21"/>
        <v/>
      </c>
      <c r="H706" t="str">
        <f>IF($A706="","",SUMPRODUCT((((MOVIMIENTOS!$B$5:$B$1005="SALDO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706)*MOVIMIENTOS!$J$5:$J$1005))</f>
        <v/>
      </c>
      <c r="J706" t="str">
        <f>IF(AND(MOVIMIENTOS!$A711&lt;&gt;"",COUNTIF(MOVIMIENTOS!$A$5:$A710,MOVIMIENTOS!$A711)=0),COUNT(J$4:J705)+1,"")</f>
        <v/>
      </c>
      <c r="K706">
        <f>MOVIMIENTOS!$A711</f>
        <v>0</v>
      </c>
    </row>
    <row r="707" spans="1:11" ht="15" customHeight="1" x14ac:dyDescent="0.2">
      <c r="A707" t="str">
        <f t="shared" si="20"/>
        <v/>
      </c>
      <c r="B707" t="str">
        <f>IF($A707="","",SUMPRODUCT((MOVIMIENTOS!$B$5:$B$1005="SALDO INICIAL")*(MOVIMIENTOS!$C$5:$C$1005="A")*(MOVIMIENTOS!$D$5:$D$1005="jabas")*(MOVIMIENTOS!$A$5:$A$1005&lt;&gt;"")*(MOVIMIENTOS!$A$5:$A$1005&lt;=$A707)*MOVIMIENTOS!$E$5:$E$1005)+SUMPRODUCT((MOVIMIENTOS!$B$5:$B$1005="PROCESO")*(MOVIMIENTOS!$C$5:$C$1005="A")*(MOVIMIENTOS!$D$5:$D$1005="jabas")*(MOVIMIENTOS!$A$5:$A$1005&lt;&gt;"")*(MOVIMIENTOS!$A$5:$A$1005&lt;=$A707)*MOVIMIENTOS!$E$5:$E$1005)-SUMPRODUCT((MOVIMIENTOS!$B$5:$B$1005="ENVÍO A SUPESA")*(MOVIMIENTOS!$C$5:$C$1005="A")*(MOVIMIENTOS!$D$5:$D$1005="jabas")*(MOVIMIENTOS!$A$5:$A$1005&lt;&gt;"")*(MOVIMIENTOS!$A$5:$A$1005&lt;=$A707)*MOVIMIENTOS!$E$5:$E$1005)+SUMPRODUCT((MOVIMIENTOS!$B$5:$B$1005="DEVOLUCIÓN")*(MOVIMIENTOS!$C$5:$C$1005="A")*(MOVIMIENTOS!$D$5:$D$1005="jabas")*(MOVIMIENTOS!$A$5:$A$1005&lt;&gt;"")*(MOVIMIENTOS!$A$5:$A$1005&lt;=$A707)*MOVIMIENTOS!$E$5:$E$1005)-SUMPRODUCT((MOVIMIENTOS!$B$5:$B$1005="TRASIEGO")*(MOVIMIENTOS!$C$5:$C$1005="A")*(MOVIMIENTOS!$D$5:$D$1005="jabas")*(MOVIMIENTOS!$A$5:$A$1005&lt;&gt;"")*(MOVIMIENTOS!$A$5:$A$1005&lt;=$A707)*MOVIMIENTOS!$E$5:$E$1005)-SUMPRODUCT((MOVIMIENTOS!$B$5:$B$1005="REGALO")*(MOVIMIENTOS!$C$5:$C$1005="A")*(MOVIMIENTOS!$D$5:$D$1005="jabas")*(MOVIMIENTOS!$A$5:$A$1005&lt;&gt;"")*(MOVIMIENTOS!$A$5:$A$1005&lt;=$A707)*MOVIMIENTOS!$E$5:$E$1005)-SUMPRODUCT((MOVIMIENTOS!$B$5:$B$1005="VENTA")*(MOVIMIENTOS!$C$5:$C$1005="A")*(MOVIMIENTOS!$D$5:$D$1005="jabas")*(MOVIMIENTOS!$A$5:$A$1005&lt;&gt;"")*(MOVIMIENTOS!$A$5:$A$1005&lt;=$A707)*MOVIMIENTOS!$E$5:$E$1005)+SUMPRODUCT((MOVIMIENTOS!$B$5:$B$1005="AJUSTE")*(MOVIMIENTOS!$C$5:$C$1005="A")*(MOVIMIENTOS!$D$5:$D$1005="jabas")*(MOVIMIENTOS!$A$5:$A$1005&lt;&gt;"")*(MOVIMIENTOS!$A$5:$A$1005&lt;=$A707)*MOVIMIENTOS!$E$5:$E$1005))</f>
        <v/>
      </c>
      <c r="C707" t="str">
        <f>IF($A707="","",SUMPRODUCT((MOVIMIENTOS!$B$5:$B$1005="SALDO INICIAL")*(MOVIMIENTOS!$C$5:$C$1005="P")*(MOVIMIENTOS!$D$5:$D$1005="jabas")*(MOVIMIENTOS!$A$5:$A$1005&lt;&gt;"")*(MOVIMIENTOS!$A$5:$A$1005&lt;=$A707)*MOVIMIENTOS!$E$5:$E$1005)+SUMPRODUCT((MOVIMIENTOS!$B$5:$B$1005="PROCESO")*(MOVIMIENTOS!$C$5:$C$1005="P")*(MOVIMIENTOS!$D$5:$D$1005="jabas")*(MOVIMIENTOS!$A$5:$A$1005&lt;&gt;"")*(MOVIMIENTOS!$A$5:$A$1005&lt;=$A707)*MOVIMIENTOS!$E$5:$E$1005)-SUMPRODUCT((MOVIMIENTOS!$B$5:$B$1005="ENVÍO A SUPESA")*(MOVIMIENTOS!$C$5:$C$1005="P")*(MOVIMIENTOS!$D$5:$D$1005="jabas")*(MOVIMIENTOS!$A$5:$A$1005&lt;&gt;"")*(MOVIMIENTOS!$A$5:$A$1005&lt;=$A707)*MOVIMIENTOS!$E$5:$E$1005)+SUMPRODUCT((MOVIMIENTOS!$B$5:$B$1005="DEVOLUCIÓN")*(MOVIMIENTOS!$C$5:$C$1005="P")*(MOVIMIENTOS!$D$5:$D$1005="jabas")*(MOVIMIENTOS!$A$5:$A$1005&lt;&gt;"")*(MOVIMIENTOS!$A$5:$A$1005&lt;=$A707)*MOVIMIENTOS!$E$5:$E$1005)-SUMPRODUCT((MOVIMIENTOS!$B$5:$B$1005="TRASIEGO")*(MOVIMIENTOS!$C$5:$C$1005="P")*(MOVIMIENTOS!$D$5:$D$1005="jabas")*(MOVIMIENTOS!$A$5:$A$1005&lt;&gt;"")*(MOVIMIENTOS!$A$5:$A$1005&lt;=$A707)*MOVIMIENTOS!$E$5:$E$1005)-SUMPRODUCT((MOVIMIENTOS!$B$5:$B$1005="REGALO")*(MOVIMIENTOS!$C$5:$C$1005="P")*(MOVIMIENTOS!$D$5:$D$1005="jabas")*(MOVIMIENTOS!$A$5:$A$1005&lt;&gt;"")*(MOVIMIENTOS!$A$5:$A$1005&lt;=$A707)*MOVIMIENTOS!$E$5:$E$1005)-SUMPRODUCT((MOVIMIENTOS!$B$5:$B$1005="VENTA")*(MOVIMIENTOS!$C$5:$C$1005="P")*(MOVIMIENTOS!$D$5:$D$1005="jabas")*(MOVIMIENTOS!$A$5:$A$1005&lt;&gt;"")*(MOVIMIENTOS!$A$5:$A$1005&lt;=$A707)*MOVIMIENTOS!$E$5:$E$1005)+SUMPRODUCT((MOVIMIENTOS!$B$5:$B$1005="AJUSTE")*(MOVIMIENTOS!$C$5:$C$1005="P")*(MOVIMIENTOS!$D$5:$D$1005="jabas")*(MOVIMIENTOS!$A$5:$A$1005&lt;&gt;"")*(MOVIMIENTOS!$A$5:$A$1005&lt;=$A707)*MOVIMIENTOS!$E$5:$E$1005))</f>
        <v/>
      </c>
      <c r="D707" t="str">
        <f>IF($A707="","",SUMPRODUCT((MOVIMIENTOS!$B$5:$B$1005="SALDO INICIAL")*(MOVIMIENTOS!$C$5:$C$1005="C")*(MOVIMIENTOS!$D$5:$D$1005="jabas")*(MOVIMIENTOS!$A$5:$A$1005&lt;&gt;"")*(MOVIMIENTOS!$A$5:$A$1005&lt;=$A707)*MOVIMIENTOS!$E$5:$E$1005)+SUMPRODUCT((MOVIMIENTOS!$B$5:$B$1005="PROCESO")*(MOVIMIENTOS!$C$5:$C$1005="C")*(MOVIMIENTOS!$D$5:$D$1005="jabas")*(MOVIMIENTOS!$A$5:$A$1005&lt;&gt;"")*(MOVIMIENTOS!$A$5:$A$1005&lt;=$A707)*MOVIMIENTOS!$E$5:$E$1005)-SUMPRODUCT((MOVIMIENTOS!$B$5:$B$1005="ENVÍO A SUPESA")*(MOVIMIENTOS!$C$5:$C$1005="C")*(MOVIMIENTOS!$D$5:$D$1005="jabas")*(MOVIMIENTOS!$A$5:$A$1005&lt;&gt;"")*(MOVIMIENTOS!$A$5:$A$1005&lt;=$A707)*MOVIMIENTOS!$E$5:$E$1005)+SUMPRODUCT((MOVIMIENTOS!$B$5:$B$1005="DEVOLUCIÓN")*(MOVIMIENTOS!$C$5:$C$1005="C")*(MOVIMIENTOS!$D$5:$D$1005="jabas")*(MOVIMIENTOS!$A$5:$A$1005&lt;&gt;"")*(MOVIMIENTOS!$A$5:$A$1005&lt;=$A707)*MOVIMIENTOS!$E$5:$E$1005)-SUMPRODUCT((MOVIMIENTOS!$B$5:$B$1005="TRASIEGO")*(MOVIMIENTOS!$C$5:$C$1005="C")*(MOVIMIENTOS!$D$5:$D$1005="jabas")*(MOVIMIENTOS!$A$5:$A$1005&lt;&gt;"")*(MOVIMIENTOS!$A$5:$A$1005&lt;=$A707)*MOVIMIENTOS!$E$5:$E$1005)-SUMPRODUCT((MOVIMIENTOS!$B$5:$B$1005="REGALO")*(MOVIMIENTOS!$C$5:$C$1005="C")*(MOVIMIENTOS!$D$5:$D$1005="jabas")*(MOVIMIENTOS!$A$5:$A$1005&lt;&gt;"")*(MOVIMIENTOS!$A$5:$A$1005&lt;=$A707)*MOVIMIENTOS!$E$5:$E$1005)-SUMPRODUCT((MOVIMIENTOS!$B$5:$B$1005="VENTA")*(MOVIMIENTOS!$C$5:$C$1005="C")*(MOVIMIENTOS!$D$5:$D$1005="jabas")*(MOVIMIENTOS!$A$5:$A$1005&lt;&gt;"")*(MOVIMIENTOS!$A$5:$A$1005&lt;=$A707)*MOVIMIENTOS!$E$5:$E$1005)+SUMPRODUCT((MOVIMIENTOS!$B$5:$B$1005="AJUSTE")*(MOVIMIENTOS!$C$5:$C$1005="C")*(MOVIMIENTOS!$D$5:$D$1005="jabas")*(MOVIMIENTOS!$A$5:$A$1005&lt;&gt;"")*(MOVIMIENTOS!$A$5:$A$1005&lt;=$A707)*MOVIMIENTOS!$E$5:$E$1005))</f>
        <v/>
      </c>
      <c r="E707" t="str">
        <f>IF($A707="","",SUMPRODUCT((MOVIMIENTOS!$B$5:$B$1005="SALDO INICIAL")*(MOVIMIENTOS!$C$5:$C$1005="M")*(MOVIMIENTOS!$D$5:$D$1005="jabas")*(MOVIMIENTOS!$A$5:$A$1005&lt;&gt;"")*(MOVIMIENTOS!$A$5:$A$1005&lt;=$A707)*MOVIMIENTOS!$E$5:$E$1005)+SUMPRODUCT((MOVIMIENTOS!$B$5:$B$1005="PROCESO")*(MOVIMIENTOS!$C$5:$C$1005="M")*(MOVIMIENTOS!$D$5:$D$1005="jabas")*(MOVIMIENTOS!$A$5:$A$1005&lt;&gt;"")*(MOVIMIENTOS!$A$5:$A$1005&lt;=$A707)*MOVIMIENTOS!$E$5:$E$1005)-SUMPRODUCT((MOVIMIENTOS!$B$5:$B$1005="ENVÍO A SUPESA")*(MOVIMIENTOS!$C$5:$C$1005="M")*(MOVIMIENTOS!$D$5:$D$1005="jabas")*(MOVIMIENTOS!$A$5:$A$1005&lt;&gt;"")*(MOVIMIENTOS!$A$5:$A$1005&lt;=$A707)*MOVIMIENTOS!$E$5:$E$1005)+SUMPRODUCT((MOVIMIENTOS!$B$5:$B$1005="DEVOLUCIÓN")*(MOVIMIENTOS!$C$5:$C$1005="M")*(MOVIMIENTOS!$D$5:$D$1005="jabas")*(MOVIMIENTOS!$A$5:$A$1005&lt;&gt;"")*(MOVIMIENTOS!$A$5:$A$1005&lt;=$A707)*MOVIMIENTOS!$E$5:$E$1005)-SUMPRODUCT((MOVIMIENTOS!$B$5:$B$1005="TRASIEGO")*(MOVIMIENTOS!$C$5:$C$1005="M")*(MOVIMIENTOS!$D$5:$D$1005="jabas")*(MOVIMIENTOS!$A$5:$A$1005&lt;&gt;"")*(MOVIMIENTOS!$A$5:$A$1005&lt;=$A707)*MOVIMIENTOS!$E$5:$E$1005)-SUMPRODUCT((MOVIMIENTOS!$B$5:$B$1005="REGALO")*(MOVIMIENTOS!$C$5:$C$1005="M")*(MOVIMIENTOS!$D$5:$D$1005="jabas")*(MOVIMIENTOS!$A$5:$A$1005&lt;&gt;"")*(MOVIMIENTOS!$A$5:$A$1005&lt;=$A707)*MOVIMIENTOS!$E$5:$E$1005)-SUMPRODUCT((MOVIMIENTOS!$B$5:$B$1005="VENTA")*(MOVIMIENTOS!$C$5:$C$1005="M")*(MOVIMIENTOS!$D$5:$D$1005="jabas")*(MOVIMIENTOS!$A$5:$A$1005&lt;&gt;"")*(MOVIMIENTOS!$A$5:$A$1005&lt;=$A707)*MOVIMIENTOS!$E$5:$E$1005)+SUMPRODUCT((MOVIMIENTOS!$B$5:$B$1005="AJUSTE")*(MOVIMIENTOS!$C$5:$C$1005="M")*(MOVIMIENTOS!$D$5:$D$1005="jabas")*(MOVIMIENTOS!$A$5:$A$1005&lt;&gt;"")*(MOVIMIENTOS!$A$5:$A$1005&lt;=$A707)*MOVIMIENTOS!$E$5:$E$1005))</f>
        <v/>
      </c>
      <c r="F707" s="62" t="str">
        <f>IF($A707="","",SUMPRODUCT((MOVIMIENTOS!$B$5:$B$1005="SALDO INICIAL")*(MOVIMIENTOS!$C$5:$C$1005="Chancho")*(MOVIMIENTOS!$D$5:$D$1005="sacos")*(MOVIMIENTOS!$A$5:$A$1005&lt;&gt;"")*(MOVIMIENTOS!$A$5:$A$1005&lt;=$A707)*MOVIMIENTOS!$E$5:$E$1005)+SUMPRODUCT((MOVIMIENTOS!$B$5:$B$1005="PROCESO")*(MOVIMIENTOS!$C$5:$C$1005="Chancho")*(MOVIMIENTOS!$D$5:$D$1005="sacos")*(MOVIMIENTOS!$A$5:$A$1005&lt;&gt;"")*(MOVIMIENTOS!$A$5:$A$1005&lt;=$A707)*MOVIMIENTOS!$E$5:$E$1005)-SUMPRODUCT((MOVIMIENTOS!$B$5:$B$1005="VENTA CHANCHO")*(MOVIMIENTOS!$C$5:$C$1005="Chancho")*(MOVIMIENTOS!$D$5:$D$1005="sacos")*(MOVIMIENTOS!$A$5:$A$1005&lt;&gt;"")*(MOVIMIENTOS!$A$5:$A$1005&lt;=$A707)*MOVIMIENTOS!$E$5:$E$1005)-SUMPRODUCT((MOVIMIENTOS!$B$5:$B$1005="REGALO")*(MOVIMIENTOS!$C$5:$C$1005="Chancho")*(MOVIMIENTOS!$D$5:$D$1005="sacos")*(MOVIMIENTOS!$A$5:$A$1005&lt;&gt;"")*(MOVIMIENTOS!$A$5:$A$1005&lt;=$A707)*MOVIMIENTOS!$E$5:$E$1005)-SUMPRODUCT((MOVIMIENTOS!$B$5:$B$1005="VENTA")*(MOVIMIENTOS!$C$5:$C$1005="Chancho")*(MOVIMIENTOS!$D$5:$D$1005="sacos")*(MOVIMIENTOS!$A$5:$A$1005&lt;&gt;"")*(MOVIMIENTOS!$A$5:$A$1005&lt;=$A707)*MOVIMIENTOS!$E$5:$E$1005)+SUMPRODUCT((MOVIMIENTOS!$B$5:$B$1005="AJUSTE")*(MOVIMIENTOS!$C$5:$C$1005="Chancho")*(MOVIMIENTOS!$D$5:$D$1005="sacos")*(MOVIMIENTOS!$A$5:$A$1005&lt;&gt;"")*(MOVIMIENTOS!$A$5:$A$1005&lt;=$A707)*MOVIMIENTOS!$E$5:$E$1005))</f>
        <v/>
      </c>
      <c r="G707" s="62" t="str">
        <f t="shared" si="21"/>
        <v/>
      </c>
      <c r="H707" t="str">
        <f>IF($A707="","",SUMPRODUCT((((MOVIMIENTOS!$B$5:$B$1005="SALDO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707)*MOVIMIENTOS!$J$5:$J$1005))</f>
        <v/>
      </c>
      <c r="J707" t="str">
        <f>IF(AND(MOVIMIENTOS!$A712&lt;&gt;"",COUNTIF(MOVIMIENTOS!$A$5:$A711,MOVIMIENTOS!$A712)=0),COUNT(J$4:J706)+1,"")</f>
        <v/>
      </c>
      <c r="K707">
        <f>MOVIMIENTOS!$A712</f>
        <v>0</v>
      </c>
    </row>
    <row r="708" spans="1:11" ht="15" customHeight="1" x14ac:dyDescent="0.2">
      <c r="A708" t="str">
        <f t="shared" si="20"/>
        <v/>
      </c>
      <c r="B708" t="str">
        <f>IF($A708="","",SUMPRODUCT((MOVIMIENTOS!$B$5:$B$1005="SALDO INICIAL")*(MOVIMIENTOS!$C$5:$C$1005="A")*(MOVIMIENTOS!$D$5:$D$1005="jabas")*(MOVIMIENTOS!$A$5:$A$1005&lt;&gt;"")*(MOVIMIENTOS!$A$5:$A$1005&lt;=$A708)*MOVIMIENTOS!$E$5:$E$1005)+SUMPRODUCT((MOVIMIENTOS!$B$5:$B$1005="PROCESO")*(MOVIMIENTOS!$C$5:$C$1005="A")*(MOVIMIENTOS!$D$5:$D$1005="jabas")*(MOVIMIENTOS!$A$5:$A$1005&lt;&gt;"")*(MOVIMIENTOS!$A$5:$A$1005&lt;=$A708)*MOVIMIENTOS!$E$5:$E$1005)-SUMPRODUCT((MOVIMIENTOS!$B$5:$B$1005="ENVÍO A SUPESA")*(MOVIMIENTOS!$C$5:$C$1005="A")*(MOVIMIENTOS!$D$5:$D$1005="jabas")*(MOVIMIENTOS!$A$5:$A$1005&lt;&gt;"")*(MOVIMIENTOS!$A$5:$A$1005&lt;=$A708)*MOVIMIENTOS!$E$5:$E$1005)+SUMPRODUCT((MOVIMIENTOS!$B$5:$B$1005="DEVOLUCIÓN")*(MOVIMIENTOS!$C$5:$C$1005="A")*(MOVIMIENTOS!$D$5:$D$1005="jabas")*(MOVIMIENTOS!$A$5:$A$1005&lt;&gt;"")*(MOVIMIENTOS!$A$5:$A$1005&lt;=$A708)*MOVIMIENTOS!$E$5:$E$1005)-SUMPRODUCT((MOVIMIENTOS!$B$5:$B$1005="TRASIEGO")*(MOVIMIENTOS!$C$5:$C$1005="A")*(MOVIMIENTOS!$D$5:$D$1005="jabas")*(MOVIMIENTOS!$A$5:$A$1005&lt;&gt;"")*(MOVIMIENTOS!$A$5:$A$1005&lt;=$A708)*MOVIMIENTOS!$E$5:$E$1005)-SUMPRODUCT((MOVIMIENTOS!$B$5:$B$1005="REGALO")*(MOVIMIENTOS!$C$5:$C$1005="A")*(MOVIMIENTOS!$D$5:$D$1005="jabas")*(MOVIMIENTOS!$A$5:$A$1005&lt;&gt;"")*(MOVIMIENTOS!$A$5:$A$1005&lt;=$A708)*MOVIMIENTOS!$E$5:$E$1005)-SUMPRODUCT((MOVIMIENTOS!$B$5:$B$1005="VENTA")*(MOVIMIENTOS!$C$5:$C$1005="A")*(MOVIMIENTOS!$D$5:$D$1005="jabas")*(MOVIMIENTOS!$A$5:$A$1005&lt;&gt;"")*(MOVIMIENTOS!$A$5:$A$1005&lt;=$A708)*MOVIMIENTOS!$E$5:$E$1005)+SUMPRODUCT((MOVIMIENTOS!$B$5:$B$1005="AJUSTE")*(MOVIMIENTOS!$C$5:$C$1005="A")*(MOVIMIENTOS!$D$5:$D$1005="jabas")*(MOVIMIENTOS!$A$5:$A$1005&lt;&gt;"")*(MOVIMIENTOS!$A$5:$A$1005&lt;=$A708)*MOVIMIENTOS!$E$5:$E$1005))</f>
        <v/>
      </c>
      <c r="C708" t="str">
        <f>IF($A708="","",SUMPRODUCT((MOVIMIENTOS!$B$5:$B$1005="SALDO INICIAL")*(MOVIMIENTOS!$C$5:$C$1005="P")*(MOVIMIENTOS!$D$5:$D$1005="jabas")*(MOVIMIENTOS!$A$5:$A$1005&lt;&gt;"")*(MOVIMIENTOS!$A$5:$A$1005&lt;=$A708)*MOVIMIENTOS!$E$5:$E$1005)+SUMPRODUCT((MOVIMIENTOS!$B$5:$B$1005="PROCESO")*(MOVIMIENTOS!$C$5:$C$1005="P")*(MOVIMIENTOS!$D$5:$D$1005="jabas")*(MOVIMIENTOS!$A$5:$A$1005&lt;&gt;"")*(MOVIMIENTOS!$A$5:$A$1005&lt;=$A708)*MOVIMIENTOS!$E$5:$E$1005)-SUMPRODUCT((MOVIMIENTOS!$B$5:$B$1005="ENVÍO A SUPESA")*(MOVIMIENTOS!$C$5:$C$1005="P")*(MOVIMIENTOS!$D$5:$D$1005="jabas")*(MOVIMIENTOS!$A$5:$A$1005&lt;&gt;"")*(MOVIMIENTOS!$A$5:$A$1005&lt;=$A708)*MOVIMIENTOS!$E$5:$E$1005)+SUMPRODUCT((MOVIMIENTOS!$B$5:$B$1005="DEVOLUCIÓN")*(MOVIMIENTOS!$C$5:$C$1005="P")*(MOVIMIENTOS!$D$5:$D$1005="jabas")*(MOVIMIENTOS!$A$5:$A$1005&lt;&gt;"")*(MOVIMIENTOS!$A$5:$A$1005&lt;=$A708)*MOVIMIENTOS!$E$5:$E$1005)-SUMPRODUCT((MOVIMIENTOS!$B$5:$B$1005="TRASIEGO")*(MOVIMIENTOS!$C$5:$C$1005="P")*(MOVIMIENTOS!$D$5:$D$1005="jabas")*(MOVIMIENTOS!$A$5:$A$1005&lt;&gt;"")*(MOVIMIENTOS!$A$5:$A$1005&lt;=$A708)*MOVIMIENTOS!$E$5:$E$1005)-SUMPRODUCT((MOVIMIENTOS!$B$5:$B$1005="REGALO")*(MOVIMIENTOS!$C$5:$C$1005="P")*(MOVIMIENTOS!$D$5:$D$1005="jabas")*(MOVIMIENTOS!$A$5:$A$1005&lt;&gt;"")*(MOVIMIENTOS!$A$5:$A$1005&lt;=$A708)*MOVIMIENTOS!$E$5:$E$1005)-SUMPRODUCT((MOVIMIENTOS!$B$5:$B$1005="VENTA")*(MOVIMIENTOS!$C$5:$C$1005="P")*(MOVIMIENTOS!$D$5:$D$1005="jabas")*(MOVIMIENTOS!$A$5:$A$1005&lt;&gt;"")*(MOVIMIENTOS!$A$5:$A$1005&lt;=$A708)*MOVIMIENTOS!$E$5:$E$1005)+SUMPRODUCT((MOVIMIENTOS!$B$5:$B$1005="AJUSTE")*(MOVIMIENTOS!$C$5:$C$1005="P")*(MOVIMIENTOS!$D$5:$D$1005="jabas")*(MOVIMIENTOS!$A$5:$A$1005&lt;&gt;"")*(MOVIMIENTOS!$A$5:$A$1005&lt;=$A708)*MOVIMIENTOS!$E$5:$E$1005))</f>
        <v/>
      </c>
      <c r="D708" t="str">
        <f>IF($A708="","",SUMPRODUCT((MOVIMIENTOS!$B$5:$B$1005="SALDO INICIAL")*(MOVIMIENTOS!$C$5:$C$1005="C")*(MOVIMIENTOS!$D$5:$D$1005="jabas")*(MOVIMIENTOS!$A$5:$A$1005&lt;&gt;"")*(MOVIMIENTOS!$A$5:$A$1005&lt;=$A708)*MOVIMIENTOS!$E$5:$E$1005)+SUMPRODUCT((MOVIMIENTOS!$B$5:$B$1005="PROCESO")*(MOVIMIENTOS!$C$5:$C$1005="C")*(MOVIMIENTOS!$D$5:$D$1005="jabas")*(MOVIMIENTOS!$A$5:$A$1005&lt;&gt;"")*(MOVIMIENTOS!$A$5:$A$1005&lt;=$A708)*MOVIMIENTOS!$E$5:$E$1005)-SUMPRODUCT((MOVIMIENTOS!$B$5:$B$1005="ENVÍO A SUPESA")*(MOVIMIENTOS!$C$5:$C$1005="C")*(MOVIMIENTOS!$D$5:$D$1005="jabas")*(MOVIMIENTOS!$A$5:$A$1005&lt;&gt;"")*(MOVIMIENTOS!$A$5:$A$1005&lt;=$A708)*MOVIMIENTOS!$E$5:$E$1005)+SUMPRODUCT((MOVIMIENTOS!$B$5:$B$1005="DEVOLUCIÓN")*(MOVIMIENTOS!$C$5:$C$1005="C")*(MOVIMIENTOS!$D$5:$D$1005="jabas")*(MOVIMIENTOS!$A$5:$A$1005&lt;&gt;"")*(MOVIMIENTOS!$A$5:$A$1005&lt;=$A708)*MOVIMIENTOS!$E$5:$E$1005)-SUMPRODUCT((MOVIMIENTOS!$B$5:$B$1005="TRASIEGO")*(MOVIMIENTOS!$C$5:$C$1005="C")*(MOVIMIENTOS!$D$5:$D$1005="jabas")*(MOVIMIENTOS!$A$5:$A$1005&lt;&gt;"")*(MOVIMIENTOS!$A$5:$A$1005&lt;=$A708)*MOVIMIENTOS!$E$5:$E$1005)-SUMPRODUCT((MOVIMIENTOS!$B$5:$B$1005="REGALO")*(MOVIMIENTOS!$C$5:$C$1005="C")*(MOVIMIENTOS!$D$5:$D$1005="jabas")*(MOVIMIENTOS!$A$5:$A$1005&lt;&gt;"")*(MOVIMIENTOS!$A$5:$A$1005&lt;=$A708)*MOVIMIENTOS!$E$5:$E$1005)-SUMPRODUCT((MOVIMIENTOS!$B$5:$B$1005="VENTA")*(MOVIMIENTOS!$C$5:$C$1005="C")*(MOVIMIENTOS!$D$5:$D$1005="jabas")*(MOVIMIENTOS!$A$5:$A$1005&lt;&gt;"")*(MOVIMIENTOS!$A$5:$A$1005&lt;=$A708)*MOVIMIENTOS!$E$5:$E$1005)+SUMPRODUCT((MOVIMIENTOS!$B$5:$B$1005="AJUSTE")*(MOVIMIENTOS!$C$5:$C$1005="C")*(MOVIMIENTOS!$D$5:$D$1005="jabas")*(MOVIMIENTOS!$A$5:$A$1005&lt;&gt;"")*(MOVIMIENTOS!$A$5:$A$1005&lt;=$A708)*MOVIMIENTOS!$E$5:$E$1005))</f>
        <v/>
      </c>
      <c r="E708" t="str">
        <f>IF($A708="","",SUMPRODUCT((MOVIMIENTOS!$B$5:$B$1005="SALDO INICIAL")*(MOVIMIENTOS!$C$5:$C$1005="M")*(MOVIMIENTOS!$D$5:$D$1005="jabas")*(MOVIMIENTOS!$A$5:$A$1005&lt;&gt;"")*(MOVIMIENTOS!$A$5:$A$1005&lt;=$A708)*MOVIMIENTOS!$E$5:$E$1005)+SUMPRODUCT((MOVIMIENTOS!$B$5:$B$1005="PROCESO")*(MOVIMIENTOS!$C$5:$C$1005="M")*(MOVIMIENTOS!$D$5:$D$1005="jabas")*(MOVIMIENTOS!$A$5:$A$1005&lt;&gt;"")*(MOVIMIENTOS!$A$5:$A$1005&lt;=$A708)*MOVIMIENTOS!$E$5:$E$1005)-SUMPRODUCT((MOVIMIENTOS!$B$5:$B$1005="ENVÍO A SUPESA")*(MOVIMIENTOS!$C$5:$C$1005="M")*(MOVIMIENTOS!$D$5:$D$1005="jabas")*(MOVIMIENTOS!$A$5:$A$1005&lt;&gt;"")*(MOVIMIENTOS!$A$5:$A$1005&lt;=$A708)*MOVIMIENTOS!$E$5:$E$1005)+SUMPRODUCT((MOVIMIENTOS!$B$5:$B$1005="DEVOLUCIÓN")*(MOVIMIENTOS!$C$5:$C$1005="M")*(MOVIMIENTOS!$D$5:$D$1005="jabas")*(MOVIMIENTOS!$A$5:$A$1005&lt;&gt;"")*(MOVIMIENTOS!$A$5:$A$1005&lt;=$A708)*MOVIMIENTOS!$E$5:$E$1005)-SUMPRODUCT((MOVIMIENTOS!$B$5:$B$1005="TRASIEGO")*(MOVIMIENTOS!$C$5:$C$1005="M")*(MOVIMIENTOS!$D$5:$D$1005="jabas")*(MOVIMIENTOS!$A$5:$A$1005&lt;&gt;"")*(MOVIMIENTOS!$A$5:$A$1005&lt;=$A708)*MOVIMIENTOS!$E$5:$E$1005)-SUMPRODUCT((MOVIMIENTOS!$B$5:$B$1005="REGALO")*(MOVIMIENTOS!$C$5:$C$1005="M")*(MOVIMIENTOS!$D$5:$D$1005="jabas")*(MOVIMIENTOS!$A$5:$A$1005&lt;&gt;"")*(MOVIMIENTOS!$A$5:$A$1005&lt;=$A708)*MOVIMIENTOS!$E$5:$E$1005)-SUMPRODUCT((MOVIMIENTOS!$B$5:$B$1005="VENTA")*(MOVIMIENTOS!$C$5:$C$1005="M")*(MOVIMIENTOS!$D$5:$D$1005="jabas")*(MOVIMIENTOS!$A$5:$A$1005&lt;&gt;"")*(MOVIMIENTOS!$A$5:$A$1005&lt;=$A708)*MOVIMIENTOS!$E$5:$E$1005)+SUMPRODUCT((MOVIMIENTOS!$B$5:$B$1005="AJUSTE")*(MOVIMIENTOS!$C$5:$C$1005="M")*(MOVIMIENTOS!$D$5:$D$1005="jabas")*(MOVIMIENTOS!$A$5:$A$1005&lt;&gt;"")*(MOVIMIENTOS!$A$5:$A$1005&lt;=$A708)*MOVIMIENTOS!$E$5:$E$1005))</f>
        <v/>
      </c>
      <c r="F708" s="62" t="str">
        <f>IF($A708="","",SUMPRODUCT((MOVIMIENTOS!$B$5:$B$1005="SALDO INICIAL")*(MOVIMIENTOS!$C$5:$C$1005="Chancho")*(MOVIMIENTOS!$D$5:$D$1005="sacos")*(MOVIMIENTOS!$A$5:$A$1005&lt;&gt;"")*(MOVIMIENTOS!$A$5:$A$1005&lt;=$A708)*MOVIMIENTOS!$E$5:$E$1005)+SUMPRODUCT((MOVIMIENTOS!$B$5:$B$1005="PROCESO")*(MOVIMIENTOS!$C$5:$C$1005="Chancho")*(MOVIMIENTOS!$D$5:$D$1005="sacos")*(MOVIMIENTOS!$A$5:$A$1005&lt;&gt;"")*(MOVIMIENTOS!$A$5:$A$1005&lt;=$A708)*MOVIMIENTOS!$E$5:$E$1005)-SUMPRODUCT((MOVIMIENTOS!$B$5:$B$1005="VENTA CHANCHO")*(MOVIMIENTOS!$C$5:$C$1005="Chancho")*(MOVIMIENTOS!$D$5:$D$1005="sacos")*(MOVIMIENTOS!$A$5:$A$1005&lt;&gt;"")*(MOVIMIENTOS!$A$5:$A$1005&lt;=$A708)*MOVIMIENTOS!$E$5:$E$1005)-SUMPRODUCT((MOVIMIENTOS!$B$5:$B$1005="REGALO")*(MOVIMIENTOS!$C$5:$C$1005="Chancho")*(MOVIMIENTOS!$D$5:$D$1005="sacos")*(MOVIMIENTOS!$A$5:$A$1005&lt;&gt;"")*(MOVIMIENTOS!$A$5:$A$1005&lt;=$A708)*MOVIMIENTOS!$E$5:$E$1005)-SUMPRODUCT((MOVIMIENTOS!$B$5:$B$1005="VENTA")*(MOVIMIENTOS!$C$5:$C$1005="Chancho")*(MOVIMIENTOS!$D$5:$D$1005="sacos")*(MOVIMIENTOS!$A$5:$A$1005&lt;&gt;"")*(MOVIMIENTOS!$A$5:$A$1005&lt;=$A708)*MOVIMIENTOS!$E$5:$E$1005)+SUMPRODUCT((MOVIMIENTOS!$B$5:$B$1005="AJUSTE")*(MOVIMIENTOS!$C$5:$C$1005="Chancho")*(MOVIMIENTOS!$D$5:$D$1005="sacos")*(MOVIMIENTOS!$A$5:$A$1005&lt;&gt;"")*(MOVIMIENTOS!$A$5:$A$1005&lt;=$A708)*MOVIMIENTOS!$E$5:$E$1005))</f>
        <v/>
      </c>
      <c r="G708" s="62" t="str">
        <f t="shared" si="21"/>
        <v/>
      </c>
      <c r="H708" t="str">
        <f>IF($A708="","",SUMPRODUCT((((MOVIMIENTOS!$B$5:$B$1005="SALDO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708)*MOVIMIENTOS!$J$5:$J$1005))</f>
        <v/>
      </c>
      <c r="J708" t="str">
        <f>IF(AND(MOVIMIENTOS!$A713&lt;&gt;"",COUNTIF(MOVIMIENTOS!$A$5:$A712,MOVIMIENTOS!$A713)=0),COUNT(J$4:J707)+1,"")</f>
        <v/>
      </c>
      <c r="K708">
        <f>MOVIMIENTOS!$A713</f>
        <v>0</v>
      </c>
    </row>
    <row r="709" spans="1:11" ht="15" customHeight="1" x14ac:dyDescent="0.2">
      <c r="A709" t="str">
        <f t="shared" ref="A709:A772" si="22">IFERROR(INDEX(K$5:K$1000,MATCH(ROW()-4,J$5:J$1000,0)),"")</f>
        <v/>
      </c>
      <c r="B709" t="str">
        <f>IF($A709="","",SUMPRODUCT((MOVIMIENTOS!$B$5:$B$1005="SALDO INICIAL")*(MOVIMIENTOS!$C$5:$C$1005="A")*(MOVIMIENTOS!$D$5:$D$1005="jabas")*(MOVIMIENTOS!$A$5:$A$1005&lt;&gt;"")*(MOVIMIENTOS!$A$5:$A$1005&lt;=$A709)*MOVIMIENTOS!$E$5:$E$1005)+SUMPRODUCT((MOVIMIENTOS!$B$5:$B$1005="PROCESO")*(MOVIMIENTOS!$C$5:$C$1005="A")*(MOVIMIENTOS!$D$5:$D$1005="jabas")*(MOVIMIENTOS!$A$5:$A$1005&lt;&gt;"")*(MOVIMIENTOS!$A$5:$A$1005&lt;=$A709)*MOVIMIENTOS!$E$5:$E$1005)-SUMPRODUCT((MOVIMIENTOS!$B$5:$B$1005="ENVÍO A SUPESA")*(MOVIMIENTOS!$C$5:$C$1005="A")*(MOVIMIENTOS!$D$5:$D$1005="jabas")*(MOVIMIENTOS!$A$5:$A$1005&lt;&gt;"")*(MOVIMIENTOS!$A$5:$A$1005&lt;=$A709)*MOVIMIENTOS!$E$5:$E$1005)+SUMPRODUCT((MOVIMIENTOS!$B$5:$B$1005="DEVOLUCIÓN")*(MOVIMIENTOS!$C$5:$C$1005="A")*(MOVIMIENTOS!$D$5:$D$1005="jabas")*(MOVIMIENTOS!$A$5:$A$1005&lt;&gt;"")*(MOVIMIENTOS!$A$5:$A$1005&lt;=$A709)*MOVIMIENTOS!$E$5:$E$1005)-SUMPRODUCT((MOVIMIENTOS!$B$5:$B$1005="TRASIEGO")*(MOVIMIENTOS!$C$5:$C$1005="A")*(MOVIMIENTOS!$D$5:$D$1005="jabas")*(MOVIMIENTOS!$A$5:$A$1005&lt;&gt;"")*(MOVIMIENTOS!$A$5:$A$1005&lt;=$A709)*MOVIMIENTOS!$E$5:$E$1005)-SUMPRODUCT((MOVIMIENTOS!$B$5:$B$1005="REGALO")*(MOVIMIENTOS!$C$5:$C$1005="A")*(MOVIMIENTOS!$D$5:$D$1005="jabas")*(MOVIMIENTOS!$A$5:$A$1005&lt;&gt;"")*(MOVIMIENTOS!$A$5:$A$1005&lt;=$A709)*MOVIMIENTOS!$E$5:$E$1005)-SUMPRODUCT((MOVIMIENTOS!$B$5:$B$1005="VENTA")*(MOVIMIENTOS!$C$5:$C$1005="A")*(MOVIMIENTOS!$D$5:$D$1005="jabas")*(MOVIMIENTOS!$A$5:$A$1005&lt;&gt;"")*(MOVIMIENTOS!$A$5:$A$1005&lt;=$A709)*MOVIMIENTOS!$E$5:$E$1005)+SUMPRODUCT((MOVIMIENTOS!$B$5:$B$1005="AJUSTE")*(MOVIMIENTOS!$C$5:$C$1005="A")*(MOVIMIENTOS!$D$5:$D$1005="jabas")*(MOVIMIENTOS!$A$5:$A$1005&lt;&gt;"")*(MOVIMIENTOS!$A$5:$A$1005&lt;=$A709)*MOVIMIENTOS!$E$5:$E$1005))</f>
        <v/>
      </c>
      <c r="C709" t="str">
        <f>IF($A709="","",SUMPRODUCT((MOVIMIENTOS!$B$5:$B$1005="SALDO INICIAL")*(MOVIMIENTOS!$C$5:$C$1005="P")*(MOVIMIENTOS!$D$5:$D$1005="jabas")*(MOVIMIENTOS!$A$5:$A$1005&lt;&gt;"")*(MOVIMIENTOS!$A$5:$A$1005&lt;=$A709)*MOVIMIENTOS!$E$5:$E$1005)+SUMPRODUCT((MOVIMIENTOS!$B$5:$B$1005="PROCESO")*(MOVIMIENTOS!$C$5:$C$1005="P")*(MOVIMIENTOS!$D$5:$D$1005="jabas")*(MOVIMIENTOS!$A$5:$A$1005&lt;&gt;"")*(MOVIMIENTOS!$A$5:$A$1005&lt;=$A709)*MOVIMIENTOS!$E$5:$E$1005)-SUMPRODUCT((MOVIMIENTOS!$B$5:$B$1005="ENVÍO A SUPESA")*(MOVIMIENTOS!$C$5:$C$1005="P")*(MOVIMIENTOS!$D$5:$D$1005="jabas")*(MOVIMIENTOS!$A$5:$A$1005&lt;&gt;"")*(MOVIMIENTOS!$A$5:$A$1005&lt;=$A709)*MOVIMIENTOS!$E$5:$E$1005)+SUMPRODUCT((MOVIMIENTOS!$B$5:$B$1005="DEVOLUCIÓN")*(MOVIMIENTOS!$C$5:$C$1005="P")*(MOVIMIENTOS!$D$5:$D$1005="jabas")*(MOVIMIENTOS!$A$5:$A$1005&lt;&gt;"")*(MOVIMIENTOS!$A$5:$A$1005&lt;=$A709)*MOVIMIENTOS!$E$5:$E$1005)-SUMPRODUCT((MOVIMIENTOS!$B$5:$B$1005="TRASIEGO")*(MOVIMIENTOS!$C$5:$C$1005="P")*(MOVIMIENTOS!$D$5:$D$1005="jabas")*(MOVIMIENTOS!$A$5:$A$1005&lt;&gt;"")*(MOVIMIENTOS!$A$5:$A$1005&lt;=$A709)*MOVIMIENTOS!$E$5:$E$1005)-SUMPRODUCT((MOVIMIENTOS!$B$5:$B$1005="REGALO")*(MOVIMIENTOS!$C$5:$C$1005="P")*(MOVIMIENTOS!$D$5:$D$1005="jabas")*(MOVIMIENTOS!$A$5:$A$1005&lt;&gt;"")*(MOVIMIENTOS!$A$5:$A$1005&lt;=$A709)*MOVIMIENTOS!$E$5:$E$1005)-SUMPRODUCT((MOVIMIENTOS!$B$5:$B$1005="VENTA")*(MOVIMIENTOS!$C$5:$C$1005="P")*(MOVIMIENTOS!$D$5:$D$1005="jabas")*(MOVIMIENTOS!$A$5:$A$1005&lt;&gt;"")*(MOVIMIENTOS!$A$5:$A$1005&lt;=$A709)*MOVIMIENTOS!$E$5:$E$1005)+SUMPRODUCT((MOVIMIENTOS!$B$5:$B$1005="AJUSTE")*(MOVIMIENTOS!$C$5:$C$1005="P")*(MOVIMIENTOS!$D$5:$D$1005="jabas")*(MOVIMIENTOS!$A$5:$A$1005&lt;&gt;"")*(MOVIMIENTOS!$A$5:$A$1005&lt;=$A709)*MOVIMIENTOS!$E$5:$E$1005))</f>
        <v/>
      </c>
      <c r="D709" t="str">
        <f>IF($A709="","",SUMPRODUCT((MOVIMIENTOS!$B$5:$B$1005="SALDO INICIAL")*(MOVIMIENTOS!$C$5:$C$1005="C")*(MOVIMIENTOS!$D$5:$D$1005="jabas")*(MOVIMIENTOS!$A$5:$A$1005&lt;&gt;"")*(MOVIMIENTOS!$A$5:$A$1005&lt;=$A709)*MOVIMIENTOS!$E$5:$E$1005)+SUMPRODUCT((MOVIMIENTOS!$B$5:$B$1005="PROCESO")*(MOVIMIENTOS!$C$5:$C$1005="C")*(MOVIMIENTOS!$D$5:$D$1005="jabas")*(MOVIMIENTOS!$A$5:$A$1005&lt;&gt;"")*(MOVIMIENTOS!$A$5:$A$1005&lt;=$A709)*MOVIMIENTOS!$E$5:$E$1005)-SUMPRODUCT((MOVIMIENTOS!$B$5:$B$1005="ENVÍO A SUPESA")*(MOVIMIENTOS!$C$5:$C$1005="C")*(MOVIMIENTOS!$D$5:$D$1005="jabas")*(MOVIMIENTOS!$A$5:$A$1005&lt;&gt;"")*(MOVIMIENTOS!$A$5:$A$1005&lt;=$A709)*MOVIMIENTOS!$E$5:$E$1005)+SUMPRODUCT((MOVIMIENTOS!$B$5:$B$1005="DEVOLUCIÓN")*(MOVIMIENTOS!$C$5:$C$1005="C")*(MOVIMIENTOS!$D$5:$D$1005="jabas")*(MOVIMIENTOS!$A$5:$A$1005&lt;&gt;"")*(MOVIMIENTOS!$A$5:$A$1005&lt;=$A709)*MOVIMIENTOS!$E$5:$E$1005)-SUMPRODUCT((MOVIMIENTOS!$B$5:$B$1005="TRASIEGO")*(MOVIMIENTOS!$C$5:$C$1005="C")*(MOVIMIENTOS!$D$5:$D$1005="jabas")*(MOVIMIENTOS!$A$5:$A$1005&lt;&gt;"")*(MOVIMIENTOS!$A$5:$A$1005&lt;=$A709)*MOVIMIENTOS!$E$5:$E$1005)-SUMPRODUCT((MOVIMIENTOS!$B$5:$B$1005="REGALO")*(MOVIMIENTOS!$C$5:$C$1005="C")*(MOVIMIENTOS!$D$5:$D$1005="jabas")*(MOVIMIENTOS!$A$5:$A$1005&lt;&gt;"")*(MOVIMIENTOS!$A$5:$A$1005&lt;=$A709)*MOVIMIENTOS!$E$5:$E$1005)-SUMPRODUCT((MOVIMIENTOS!$B$5:$B$1005="VENTA")*(MOVIMIENTOS!$C$5:$C$1005="C")*(MOVIMIENTOS!$D$5:$D$1005="jabas")*(MOVIMIENTOS!$A$5:$A$1005&lt;&gt;"")*(MOVIMIENTOS!$A$5:$A$1005&lt;=$A709)*MOVIMIENTOS!$E$5:$E$1005)+SUMPRODUCT((MOVIMIENTOS!$B$5:$B$1005="AJUSTE")*(MOVIMIENTOS!$C$5:$C$1005="C")*(MOVIMIENTOS!$D$5:$D$1005="jabas")*(MOVIMIENTOS!$A$5:$A$1005&lt;&gt;"")*(MOVIMIENTOS!$A$5:$A$1005&lt;=$A709)*MOVIMIENTOS!$E$5:$E$1005))</f>
        <v/>
      </c>
      <c r="E709" t="str">
        <f>IF($A709="","",SUMPRODUCT((MOVIMIENTOS!$B$5:$B$1005="SALDO INICIAL")*(MOVIMIENTOS!$C$5:$C$1005="M")*(MOVIMIENTOS!$D$5:$D$1005="jabas")*(MOVIMIENTOS!$A$5:$A$1005&lt;&gt;"")*(MOVIMIENTOS!$A$5:$A$1005&lt;=$A709)*MOVIMIENTOS!$E$5:$E$1005)+SUMPRODUCT((MOVIMIENTOS!$B$5:$B$1005="PROCESO")*(MOVIMIENTOS!$C$5:$C$1005="M")*(MOVIMIENTOS!$D$5:$D$1005="jabas")*(MOVIMIENTOS!$A$5:$A$1005&lt;&gt;"")*(MOVIMIENTOS!$A$5:$A$1005&lt;=$A709)*MOVIMIENTOS!$E$5:$E$1005)-SUMPRODUCT((MOVIMIENTOS!$B$5:$B$1005="ENVÍO A SUPESA")*(MOVIMIENTOS!$C$5:$C$1005="M")*(MOVIMIENTOS!$D$5:$D$1005="jabas")*(MOVIMIENTOS!$A$5:$A$1005&lt;&gt;"")*(MOVIMIENTOS!$A$5:$A$1005&lt;=$A709)*MOVIMIENTOS!$E$5:$E$1005)+SUMPRODUCT((MOVIMIENTOS!$B$5:$B$1005="DEVOLUCIÓN")*(MOVIMIENTOS!$C$5:$C$1005="M")*(MOVIMIENTOS!$D$5:$D$1005="jabas")*(MOVIMIENTOS!$A$5:$A$1005&lt;&gt;"")*(MOVIMIENTOS!$A$5:$A$1005&lt;=$A709)*MOVIMIENTOS!$E$5:$E$1005)-SUMPRODUCT((MOVIMIENTOS!$B$5:$B$1005="TRASIEGO")*(MOVIMIENTOS!$C$5:$C$1005="M")*(MOVIMIENTOS!$D$5:$D$1005="jabas")*(MOVIMIENTOS!$A$5:$A$1005&lt;&gt;"")*(MOVIMIENTOS!$A$5:$A$1005&lt;=$A709)*MOVIMIENTOS!$E$5:$E$1005)-SUMPRODUCT((MOVIMIENTOS!$B$5:$B$1005="REGALO")*(MOVIMIENTOS!$C$5:$C$1005="M")*(MOVIMIENTOS!$D$5:$D$1005="jabas")*(MOVIMIENTOS!$A$5:$A$1005&lt;&gt;"")*(MOVIMIENTOS!$A$5:$A$1005&lt;=$A709)*MOVIMIENTOS!$E$5:$E$1005)-SUMPRODUCT((MOVIMIENTOS!$B$5:$B$1005="VENTA")*(MOVIMIENTOS!$C$5:$C$1005="M")*(MOVIMIENTOS!$D$5:$D$1005="jabas")*(MOVIMIENTOS!$A$5:$A$1005&lt;&gt;"")*(MOVIMIENTOS!$A$5:$A$1005&lt;=$A709)*MOVIMIENTOS!$E$5:$E$1005)+SUMPRODUCT((MOVIMIENTOS!$B$5:$B$1005="AJUSTE")*(MOVIMIENTOS!$C$5:$C$1005="M")*(MOVIMIENTOS!$D$5:$D$1005="jabas")*(MOVIMIENTOS!$A$5:$A$1005&lt;&gt;"")*(MOVIMIENTOS!$A$5:$A$1005&lt;=$A709)*MOVIMIENTOS!$E$5:$E$1005))</f>
        <v/>
      </c>
      <c r="F709" s="62" t="str">
        <f>IF($A709="","",SUMPRODUCT((MOVIMIENTOS!$B$5:$B$1005="SALDO INICIAL")*(MOVIMIENTOS!$C$5:$C$1005="Chancho")*(MOVIMIENTOS!$D$5:$D$1005="sacos")*(MOVIMIENTOS!$A$5:$A$1005&lt;&gt;"")*(MOVIMIENTOS!$A$5:$A$1005&lt;=$A709)*MOVIMIENTOS!$E$5:$E$1005)+SUMPRODUCT((MOVIMIENTOS!$B$5:$B$1005="PROCESO")*(MOVIMIENTOS!$C$5:$C$1005="Chancho")*(MOVIMIENTOS!$D$5:$D$1005="sacos")*(MOVIMIENTOS!$A$5:$A$1005&lt;&gt;"")*(MOVIMIENTOS!$A$5:$A$1005&lt;=$A709)*MOVIMIENTOS!$E$5:$E$1005)-SUMPRODUCT((MOVIMIENTOS!$B$5:$B$1005="VENTA CHANCHO")*(MOVIMIENTOS!$C$5:$C$1005="Chancho")*(MOVIMIENTOS!$D$5:$D$1005="sacos")*(MOVIMIENTOS!$A$5:$A$1005&lt;&gt;"")*(MOVIMIENTOS!$A$5:$A$1005&lt;=$A709)*MOVIMIENTOS!$E$5:$E$1005)-SUMPRODUCT((MOVIMIENTOS!$B$5:$B$1005="REGALO")*(MOVIMIENTOS!$C$5:$C$1005="Chancho")*(MOVIMIENTOS!$D$5:$D$1005="sacos")*(MOVIMIENTOS!$A$5:$A$1005&lt;&gt;"")*(MOVIMIENTOS!$A$5:$A$1005&lt;=$A709)*MOVIMIENTOS!$E$5:$E$1005)-SUMPRODUCT((MOVIMIENTOS!$B$5:$B$1005="VENTA")*(MOVIMIENTOS!$C$5:$C$1005="Chancho")*(MOVIMIENTOS!$D$5:$D$1005="sacos")*(MOVIMIENTOS!$A$5:$A$1005&lt;&gt;"")*(MOVIMIENTOS!$A$5:$A$1005&lt;=$A709)*MOVIMIENTOS!$E$5:$E$1005)+SUMPRODUCT((MOVIMIENTOS!$B$5:$B$1005="AJUSTE")*(MOVIMIENTOS!$C$5:$C$1005="Chancho")*(MOVIMIENTOS!$D$5:$D$1005="sacos")*(MOVIMIENTOS!$A$5:$A$1005&lt;&gt;"")*(MOVIMIENTOS!$A$5:$A$1005&lt;=$A709)*MOVIMIENTOS!$E$5:$E$1005))</f>
        <v/>
      </c>
      <c r="G709" s="62" t="str">
        <f t="shared" ref="G709:G772" si="23">IF($A709="","",SUM(B709:E709))</f>
        <v/>
      </c>
      <c r="H709" t="str">
        <f>IF($A709="","",SUMPRODUCT((((MOVIMIENTOS!$B$5:$B$1005="SALDO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709)*MOVIMIENTOS!$J$5:$J$1005))</f>
        <v/>
      </c>
      <c r="J709" t="str">
        <f>IF(AND(MOVIMIENTOS!$A714&lt;&gt;"",COUNTIF(MOVIMIENTOS!$A$5:$A713,MOVIMIENTOS!$A714)=0),COUNT(J$4:J708)+1,"")</f>
        <v/>
      </c>
      <c r="K709">
        <f>MOVIMIENTOS!$A714</f>
        <v>0</v>
      </c>
    </row>
    <row r="710" spans="1:11" ht="15" customHeight="1" x14ac:dyDescent="0.2">
      <c r="A710" t="str">
        <f t="shared" si="22"/>
        <v/>
      </c>
      <c r="B710" t="str">
        <f>IF($A710="","",SUMPRODUCT((MOVIMIENTOS!$B$5:$B$1005="SALDO INICIAL")*(MOVIMIENTOS!$C$5:$C$1005="A")*(MOVIMIENTOS!$D$5:$D$1005="jabas")*(MOVIMIENTOS!$A$5:$A$1005&lt;&gt;"")*(MOVIMIENTOS!$A$5:$A$1005&lt;=$A710)*MOVIMIENTOS!$E$5:$E$1005)+SUMPRODUCT((MOVIMIENTOS!$B$5:$B$1005="PROCESO")*(MOVIMIENTOS!$C$5:$C$1005="A")*(MOVIMIENTOS!$D$5:$D$1005="jabas")*(MOVIMIENTOS!$A$5:$A$1005&lt;&gt;"")*(MOVIMIENTOS!$A$5:$A$1005&lt;=$A710)*MOVIMIENTOS!$E$5:$E$1005)-SUMPRODUCT((MOVIMIENTOS!$B$5:$B$1005="ENVÍO A SUPESA")*(MOVIMIENTOS!$C$5:$C$1005="A")*(MOVIMIENTOS!$D$5:$D$1005="jabas")*(MOVIMIENTOS!$A$5:$A$1005&lt;&gt;"")*(MOVIMIENTOS!$A$5:$A$1005&lt;=$A710)*MOVIMIENTOS!$E$5:$E$1005)+SUMPRODUCT((MOVIMIENTOS!$B$5:$B$1005="DEVOLUCIÓN")*(MOVIMIENTOS!$C$5:$C$1005="A")*(MOVIMIENTOS!$D$5:$D$1005="jabas")*(MOVIMIENTOS!$A$5:$A$1005&lt;&gt;"")*(MOVIMIENTOS!$A$5:$A$1005&lt;=$A710)*MOVIMIENTOS!$E$5:$E$1005)-SUMPRODUCT((MOVIMIENTOS!$B$5:$B$1005="TRASIEGO")*(MOVIMIENTOS!$C$5:$C$1005="A")*(MOVIMIENTOS!$D$5:$D$1005="jabas")*(MOVIMIENTOS!$A$5:$A$1005&lt;&gt;"")*(MOVIMIENTOS!$A$5:$A$1005&lt;=$A710)*MOVIMIENTOS!$E$5:$E$1005)-SUMPRODUCT((MOVIMIENTOS!$B$5:$B$1005="REGALO")*(MOVIMIENTOS!$C$5:$C$1005="A")*(MOVIMIENTOS!$D$5:$D$1005="jabas")*(MOVIMIENTOS!$A$5:$A$1005&lt;&gt;"")*(MOVIMIENTOS!$A$5:$A$1005&lt;=$A710)*MOVIMIENTOS!$E$5:$E$1005)-SUMPRODUCT((MOVIMIENTOS!$B$5:$B$1005="VENTA")*(MOVIMIENTOS!$C$5:$C$1005="A")*(MOVIMIENTOS!$D$5:$D$1005="jabas")*(MOVIMIENTOS!$A$5:$A$1005&lt;&gt;"")*(MOVIMIENTOS!$A$5:$A$1005&lt;=$A710)*MOVIMIENTOS!$E$5:$E$1005)+SUMPRODUCT((MOVIMIENTOS!$B$5:$B$1005="AJUSTE")*(MOVIMIENTOS!$C$5:$C$1005="A")*(MOVIMIENTOS!$D$5:$D$1005="jabas")*(MOVIMIENTOS!$A$5:$A$1005&lt;&gt;"")*(MOVIMIENTOS!$A$5:$A$1005&lt;=$A710)*MOVIMIENTOS!$E$5:$E$1005))</f>
        <v/>
      </c>
      <c r="C710" t="str">
        <f>IF($A710="","",SUMPRODUCT((MOVIMIENTOS!$B$5:$B$1005="SALDO INICIAL")*(MOVIMIENTOS!$C$5:$C$1005="P")*(MOVIMIENTOS!$D$5:$D$1005="jabas")*(MOVIMIENTOS!$A$5:$A$1005&lt;&gt;"")*(MOVIMIENTOS!$A$5:$A$1005&lt;=$A710)*MOVIMIENTOS!$E$5:$E$1005)+SUMPRODUCT((MOVIMIENTOS!$B$5:$B$1005="PROCESO")*(MOVIMIENTOS!$C$5:$C$1005="P")*(MOVIMIENTOS!$D$5:$D$1005="jabas")*(MOVIMIENTOS!$A$5:$A$1005&lt;&gt;"")*(MOVIMIENTOS!$A$5:$A$1005&lt;=$A710)*MOVIMIENTOS!$E$5:$E$1005)-SUMPRODUCT((MOVIMIENTOS!$B$5:$B$1005="ENVÍO A SUPESA")*(MOVIMIENTOS!$C$5:$C$1005="P")*(MOVIMIENTOS!$D$5:$D$1005="jabas")*(MOVIMIENTOS!$A$5:$A$1005&lt;&gt;"")*(MOVIMIENTOS!$A$5:$A$1005&lt;=$A710)*MOVIMIENTOS!$E$5:$E$1005)+SUMPRODUCT((MOVIMIENTOS!$B$5:$B$1005="DEVOLUCIÓN")*(MOVIMIENTOS!$C$5:$C$1005="P")*(MOVIMIENTOS!$D$5:$D$1005="jabas")*(MOVIMIENTOS!$A$5:$A$1005&lt;&gt;"")*(MOVIMIENTOS!$A$5:$A$1005&lt;=$A710)*MOVIMIENTOS!$E$5:$E$1005)-SUMPRODUCT((MOVIMIENTOS!$B$5:$B$1005="TRASIEGO")*(MOVIMIENTOS!$C$5:$C$1005="P")*(MOVIMIENTOS!$D$5:$D$1005="jabas")*(MOVIMIENTOS!$A$5:$A$1005&lt;&gt;"")*(MOVIMIENTOS!$A$5:$A$1005&lt;=$A710)*MOVIMIENTOS!$E$5:$E$1005)-SUMPRODUCT((MOVIMIENTOS!$B$5:$B$1005="REGALO")*(MOVIMIENTOS!$C$5:$C$1005="P")*(MOVIMIENTOS!$D$5:$D$1005="jabas")*(MOVIMIENTOS!$A$5:$A$1005&lt;&gt;"")*(MOVIMIENTOS!$A$5:$A$1005&lt;=$A710)*MOVIMIENTOS!$E$5:$E$1005)-SUMPRODUCT((MOVIMIENTOS!$B$5:$B$1005="VENTA")*(MOVIMIENTOS!$C$5:$C$1005="P")*(MOVIMIENTOS!$D$5:$D$1005="jabas")*(MOVIMIENTOS!$A$5:$A$1005&lt;&gt;"")*(MOVIMIENTOS!$A$5:$A$1005&lt;=$A710)*MOVIMIENTOS!$E$5:$E$1005)+SUMPRODUCT((MOVIMIENTOS!$B$5:$B$1005="AJUSTE")*(MOVIMIENTOS!$C$5:$C$1005="P")*(MOVIMIENTOS!$D$5:$D$1005="jabas")*(MOVIMIENTOS!$A$5:$A$1005&lt;&gt;"")*(MOVIMIENTOS!$A$5:$A$1005&lt;=$A710)*MOVIMIENTOS!$E$5:$E$1005))</f>
        <v/>
      </c>
      <c r="D710" t="str">
        <f>IF($A710="","",SUMPRODUCT((MOVIMIENTOS!$B$5:$B$1005="SALDO INICIAL")*(MOVIMIENTOS!$C$5:$C$1005="C")*(MOVIMIENTOS!$D$5:$D$1005="jabas")*(MOVIMIENTOS!$A$5:$A$1005&lt;&gt;"")*(MOVIMIENTOS!$A$5:$A$1005&lt;=$A710)*MOVIMIENTOS!$E$5:$E$1005)+SUMPRODUCT((MOVIMIENTOS!$B$5:$B$1005="PROCESO")*(MOVIMIENTOS!$C$5:$C$1005="C")*(MOVIMIENTOS!$D$5:$D$1005="jabas")*(MOVIMIENTOS!$A$5:$A$1005&lt;&gt;"")*(MOVIMIENTOS!$A$5:$A$1005&lt;=$A710)*MOVIMIENTOS!$E$5:$E$1005)-SUMPRODUCT((MOVIMIENTOS!$B$5:$B$1005="ENVÍO A SUPESA")*(MOVIMIENTOS!$C$5:$C$1005="C")*(MOVIMIENTOS!$D$5:$D$1005="jabas")*(MOVIMIENTOS!$A$5:$A$1005&lt;&gt;"")*(MOVIMIENTOS!$A$5:$A$1005&lt;=$A710)*MOVIMIENTOS!$E$5:$E$1005)+SUMPRODUCT((MOVIMIENTOS!$B$5:$B$1005="DEVOLUCIÓN")*(MOVIMIENTOS!$C$5:$C$1005="C")*(MOVIMIENTOS!$D$5:$D$1005="jabas")*(MOVIMIENTOS!$A$5:$A$1005&lt;&gt;"")*(MOVIMIENTOS!$A$5:$A$1005&lt;=$A710)*MOVIMIENTOS!$E$5:$E$1005)-SUMPRODUCT((MOVIMIENTOS!$B$5:$B$1005="TRASIEGO")*(MOVIMIENTOS!$C$5:$C$1005="C")*(MOVIMIENTOS!$D$5:$D$1005="jabas")*(MOVIMIENTOS!$A$5:$A$1005&lt;&gt;"")*(MOVIMIENTOS!$A$5:$A$1005&lt;=$A710)*MOVIMIENTOS!$E$5:$E$1005)-SUMPRODUCT((MOVIMIENTOS!$B$5:$B$1005="REGALO")*(MOVIMIENTOS!$C$5:$C$1005="C")*(MOVIMIENTOS!$D$5:$D$1005="jabas")*(MOVIMIENTOS!$A$5:$A$1005&lt;&gt;"")*(MOVIMIENTOS!$A$5:$A$1005&lt;=$A710)*MOVIMIENTOS!$E$5:$E$1005)-SUMPRODUCT((MOVIMIENTOS!$B$5:$B$1005="VENTA")*(MOVIMIENTOS!$C$5:$C$1005="C")*(MOVIMIENTOS!$D$5:$D$1005="jabas")*(MOVIMIENTOS!$A$5:$A$1005&lt;&gt;"")*(MOVIMIENTOS!$A$5:$A$1005&lt;=$A710)*MOVIMIENTOS!$E$5:$E$1005)+SUMPRODUCT((MOVIMIENTOS!$B$5:$B$1005="AJUSTE")*(MOVIMIENTOS!$C$5:$C$1005="C")*(MOVIMIENTOS!$D$5:$D$1005="jabas")*(MOVIMIENTOS!$A$5:$A$1005&lt;&gt;"")*(MOVIMIENTOS!$A$5:$A$1005&lt;=$A710)*MOVIMIENTOS!$E$5:$E$1005))</f>
        <v/>
      </c>
      <c r="E710" t="str">
        <f>IF($A710="","",SUMPRODUCT((MOVIMIENTOS!$B$5:$B$1005="SALDO INICIAL")*(MOVIMIENTOS!$C$5:$C$1005="M")*(MOVIMIENTOS!$D$5:$D$1005="jabas")*(MOVIMIENTOS!$A$5:$A$1005&lt;&gt;"")*(MOVIMIENTOS!$A$5:$A$1005&lt;=$A710)*MOVIMIENTOS!$E$5:$E$1005)+SUMPRODUCT((MOVIMIENTOS!$B$5:$B$1005="PROCESO")*(MOVIMIENTOS!$C$5:$C$1005="M")*(MOVIMIENTOS!$D$5:$D$1005="jabas")*(MOVIMIENTOS!$A$5:$A$1005&lt;&gt;"")*(MOVIMIENTOS!$A$5:$A$1005&lt;=$A710)*MOVIMIENTOS!$E$5:$E$1005)-SUMPRODUCT((MOVIMIENTOS!$B$5:$B$1005="ENVÍO A SUPESA")*(MOVIMIENTOS!$C$5:$C$1005="M")*(MOVIMIENTOS!$D$5:$D$1005="jabas")*(MOVIMIENTOS!$A$5:$A$1005&lt;&gt;"")*(MOVIMIENTOS!$A$5:$A$1005&lt;=$A710)*MOVIMIENTOS!$E$5:$E$1005)+SUMPRODUCT((MOVIMIENTOS!$B$5:$B$1005="DEVOLUCIÓN")*(MOVIMIENTOS!$C$5:$C$1005="M")*(MOVIMIENTOS!$D$5:$D$1005="jabas")*(MOVIMIENTOS!$A$5:$A$1005&lt;&gt;"")*(MOVIMIENTOS!$A$5:$A$1005&lt;=$A710)*MOVIMIENTOS!$E$5:$E$1005)-SUMPRODUCT((MOVIMIENTOS!$B$5:$B$1005="TRASIEGO")*(MOVIMIENTOS!$C$5:$C$1005="M")*(MOVIMIENTOS!$D$5:$D$1005="jabas")*(MOVIMIENTOS!$A$5:$A$1005&lt;&gt;"")*(MOVIMIENTOS!$A$5:$A$1005&lt;=$A710)*MOVIMIENTOS!$E$5:$E$1005)-SUMPRODUCT((MOVIMIENTOS!$B$5:$B$1005="REGALO")*(MOVIMIENTOS!$C$5:$C$1005="M")*(MOVIMIENTOS!$D$5:$D$1005="jabas")*(MOVIMIENTOS!$A$5:$A$1005&lt;&gt;"")*(MOVIMIENTOS!$A$5:$A$1005&lt;=$A710)*MOVIMIENTOS!$E$5:$E$1005)-SUMPRODUCT((MOVIMIENTOS!$B$5:$B$1005="VENTA")*(MOVIMIENTOS!$C$5:$C$1005="M")*(MOVIMIENTOS!$D$5:$D$1005="jabas")*(MOVIMIENTOS!$A$5:$A$1005&lt;&gt;"")*(MOVIMIENTOS!$A$5:$A$1005&lt;=$A710)*MOVIMIENTOS!$E$5:$E$1005)+SUMPRODUCT((MOVIMIENTOS!$B$5:$B$1005="AJUSTE")*(MOVIMIENTOS!$C$5:$C$1005="M")*(MOVIMIENTOS!$D$5:$D$1005="jabas")*(MOVIMIENTOS!$A$5:$A$1005&lt;&gt;"")*(MOVIMIENTOS!$A$5:$A$1005&lt;=$A710)*MOVIMIENTOS!$E$5:$E$1005))</f>
        <v/>
      </c>
      <c r="F710" s="62" t="str">
        <f>IF($A710="","",SUMPRODUCT((MOVIMIENTOS!$B$5:$B$1005="SALDO INICIAL")*(MOVIMIENTOS!$C$5:$C$1005="Chancho")*(MOVIMIENTOS!$D$5:$D$1005="sacos")*(MOVIMIENTOS!$A$5:$A$1005&lt;&gt;"")*(MOVIMIENTOS!$A$5:$A$1005&lt;=$A710)*MOVIMIENTOS!$E$5:$E$1005)+SUMPRODUCT((MOVIMIENTOS!$B$5:$B$1005="PROCESO")*(MOVIMIENTOS!$C$5:$C$1005="Chancho")*(MOVIMIENTOS!$D$5:$D$1005="sacos")*(MOVIMIENTOS!$A$5:$A$1005&lt;&gt;"")*(MOVIMIENTOS!$A$5:$A$1005&lt;=$A710)*MOVIMIENTOS!$E$5:$E$1005)-SUMPRODUCT((MOVIMIENTOS!$B$5:$B$1005="VENTA CHANCHO")*(MOVIMIENTOS!$C$5:$C$1005="Chancho")*(MOVIMIENTOS!$D$5:$D$1005="sacos")*(MOVIMIENTOS!$A$5:$A$1005&lt;&gt;"")*(MOVIMIENTOS!$A$5:$A$1005&lt;=$A710)*MOVIMIENTOS!$E$5:$E$1005)-SUMPRODUCT((MOVIMIENTOS!$B$5:$B$1005="REGALO")*(MOVIMIENTOS!$C$5:$C$1005="Chancho")*(MOVIMIENTOS!$D$5:$D$1005="sacos")*(MOVIMIENTOS!$A$5:$A$1005&lt;&gt;"")*(MOVIMIENTOS!$A$5:$A$1005&lt;=$A710)*MOVIMIENTOS!$E$5:$E$1005)-SUMPRODUCT((MOVIMIENTOS!$B$5:$B$1005="VENTA")*(MOVIMIENTOS!$C$5:$C$1005="Chancho")*(MOVIMIENTOS!$D$5:$D$1005="sacos")*(MOVIMIENTOS!$A$5:$A$1005&lt;&gt;"")*(MOVIMIENTOS!$A$5:$A$1005&lt;=$A710)*MOVIMIENTOS!$E$5:$E$1005)+SUMPRODUCT((MOVIMIENTOS!$B$5:$B$1005="AJUSTE")*(MOVIMIENTOS!$C$5:$C$1005="Chancho")*(MOVIMIENTOS!$D$5:$D$1005="sacos")*(MOVIMIENTOS!$A$5:$A$1005&lt;&gt;"")*(MOVIMIENTOS!$A$5:$A$1005&lt;=$A710)*MOVIMIENTOS!$E$5:$E$1005))</f>
        <v/>
      </c>
      <c r="G710" s="62" t="str">
        <f t="shared" si="23"/>
        <v/>
      </c>
      <c r="H710" t="str">
        <f>IF($A710="","",SUMPRODUCT((((MOVIMIENTOS!$B$5:$B$1005="SALDO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710)*MOVIMIENTOS!$J$5:$J$1005))</f>
        <v/>
      </c>
      <c r="J710" t="str">
        <f>IF(AND(MOVIMIENTOS!$A715&lt;&gt;"",COUNTIF(MOVIMIENTOS!$A$5:$A714,MOVIMIENTOS!$A715)=0),COUNT(J$4:J709)+1,"")</f>
        <v/>
      </c>
      <c r="K710">
        <f>MOVIMIENTOS!$A715</f>
        <v>0</v>
      </c>
    </row>
    <row r="711" spans="1:11" ht="15" customHeight="1" x14ac:dyDescent="0.2">
      <c r="A711" t="str">
        <f t="shared" si="22"/>
        <v/>
      </c>
      <c r="B711" t="str">
        <f>IF($A711="","",SUMPRODUCT((MOVIMIENTOS!$B$5:$B$1005="SALDO INICIAL")*(MOVIMIENTOS!$C$5:$C$1005="A")*(MOVIMIENTOS!$D$5:$D$1005="jabas")*(MOVIMIENTOS!$A$5:$A$1005&lt;&gt;"")*(MOVIMIENTOS!$A$5:$A$1005&lt;=$A711)*MOVIMIENTOS!$E$5:$E$1005)+SUMPRODUCT((MOVIMIENTOS!$B$5:$B$1005="PROCESO")*(MOVIMIENTOS!$C$5:$C$1005="A")*(MOVIMIENTOS!$D$5:$D$1005="jabas")*(MOVIMIENTOS!$A$5:$A$1005&lt;&gt;"")*(MOVIMIENTOS!$A$5:$A$1005&lt;=$A711)*MOVIMIENTOS!$E$5:$E$1005)-SUMPRODUCT((MOVIMIENTOS!$B$5:$B$1005="ENVÍO A SUPESA")*(MOVIMIENTOS!$C$5:$C$1005="A")*(MOVIMIENTOS!$D$5:$D$1005="jabas")*(MOVIMIENTOS!$A$5:$A$1005&lt;&gt;"")*(MOVIMIENTOS!$A$5:$A$1005&lt;=$A711)*MOVIMIENTOS!$E$5:$E$1005)+SUMPRODUCT((MOVIMIENTOS!$B$5:$B$1005="DEVOLUCIÓN")*(MOVIMIENTOS!$C$5:$C$1005="A")*(MOVIMIENTOS!$D$5:$D$1005="jabas")*(MOVIMIENTOS!$A$5:$A$1005&lt;&gt;"")*(MOVIMIENTOS!$A$5:$A$1005&lt;=$A711)*MOVIMIENTOS!$E$5:$E$1005)-SUMPRODUCT((MOVIMIENTOS!$B$5:$B$1005="TRASIEGO")*(MOVIMIENTOS!$C$5:$C$1005="A")*(MOVIMIENTOS!$D$5:$D$1005="jabas")*(MOVIMIENTOS!$A$5:$A$1005&lt;&gt;"")*(MOVIMIENTOS!$A$5:$A$1005&lt;=$A711)*MOVIMIENTOS!$E$5:$E$1005)-SUMPRODUCT((MOVIMIENTOS!$B$5:$B$1005="REGALO")*(MOVIMIENTOS!$C$5:$C$1005="A")*(MOVIMIENTOS!$D$5:$D$1005="jabas")*(MOVIMIENTOS!$A$5:$A$1005&lt;&gt;"")*(MOVIMIENTOS!$A$5:$A$1005&lt;=$A711)*MOVIMIENTOS!$E$5:$E$1005)-SUMPRODUCT((MOVIMIENTOS!$B$5:$B$1005="VENTA")*(MOVIMIENTOS!$C$5:$C$1005="A")*(MOVIMIENTOS!$D$5:$D$1005="jabas")*(MOVIMIENTOS!$A$5:$A$1005&lt;&gt;"")*(MOVIMIENTOS!$A$5:$A$1005&lt;=$A711)*MOVIMIENTOS!$E$5:$E$1005)+SUMPRODUCT((MOVIMIENTOS!$B$5:$B$1005="AJUSTE")*(MOVIMIENTOS!$C$5:$C$1005="A")*(MOVIMIENTOS!$D$5:$D$1005="jabas")*(MOVIMIENTOS!$A$5:$A$1005&lt;&gt;"")*(MOVIMIENTOS!$A$5:$A$1005&lt;=$A711)*MOVIMIENTOS!$E$5:$E$1005))</f>
        <v/>
      </c>
      <c r="C711" t="str">
        <f>IF($A711="","",SUMPRODUCT((MOVIMIENTOS!$B$5:$B$1005="SALDO INICIAL")*(MOVIMIENTOS!$C$5:$C$1005="P")*(MOVIMIENTOS!$D$5:$D$1005="jabas")*(MOVIMIENTOS!$A$5:$A$1005&lt;&gt;"")*(MOVIMIENTOS!$A$5:$A$1005&lt;=$A711)*MOVIMIENTOS!$E$5:$E$1005)+SUMPRODUCT((MOVIMIENTOS!$B$5:$B$1005="PROCESO")*(MOVIMIENTOS!$C$5:$C$1005="P")*(MOVIMIENTOS!$D$5:$D$1005="jabas")*(MOVIMIENTOS!$A$5:$A$1005&lt;&gt;"")*(MOVIMIENTOS!$A$5:$A$1005&lt;=$A711)*MOVIMIENTOS!$E$5:$E$1005)-SUMPRODUCT((MOVIMIENTOS!$B$5:$B$1005="ENVÍO A SUPESA")*(MOVIMIENTOS!$C$5:$C$1005="P")*(MOVIMIENTOS!$D$5:$D$1005="jabas")*(MOVIMIENTOS!$A$5:$A$1005&lt;&gt;"")*(MOVIMIENTOS!$A$5:$A$1005&lt;=$A711)*MOVIMIENTOS!$E$5:$E$1005)+SUMPRODUCT((MOVIMIENTOS!$B$5:$B$1005="DEVOLUCIÓN")*(MOVIMIENTOS!$C$5:$C$1005="P")*(MOVIMIENTOS!$D$5:$D$1005="jabas")*(MOVIMIENTOS!$A$5:$A$1005&lt;&gt;"")*(MOVIMIENTOS!$A$5:$A$1005&lt;=$A711)*MOVIMIENTOS!$E$5:$E$1005)-SUMPRODUCT((MOVIMIENTOS!$B$5:$B$1005="TRASIEGO")*(MOVIMIENTOS!$C$5:$C$1005="P")*(MOVIMIENTOS!$D$5:$D$1005="jabas")*(MOVIMIENTOS!$A$5:$A$1005&lt;&gt;"")*(MOVIMIENTOS!$A$5:$A$1005&lt;=$A711)*MOVIMIENTOS!$E$5:$E$1005)-SUMPRODUCT((MOVIMIENTOS!$B$5:$B$1005="REGALO")*(MOVIMIENTOS!$C$5:$C$1005="P")*(MOVIMIENTOS!$D$5:$D$1005="jabas")*(MOVIMIENTOS!$A$5:$A$1005&lt;&gt;"")*(MOVIMIENTOS!$A$5:$A$1005&lt;=$A711)*MOVIMIENTOS!$E$5:$E$1005)-SUMPRODUCT((MOVIMIENTOS!$B$5:$B$1005="VENTA")*(MOVIMIENTOS!$C$5:$C$1005="P")*(MOVIMIENTOS!$D$5:$D$1005="jabas")*(MOVIMIENTOS!$A$5:$A$1005&lt;&gt;"")*(MOVIMIENTOS!$A$5:$A$1005&lt;=$A711)*MOVIMIENTOS!$E$5:$E$1005)+SUMPRODUCT((MOVIMIENTOS!$B$5:$B$1005="AJUSTE")*(MOVIMIENTOS!$C$5:$C$1005="P")*(MOVIMIENTOS!$D$5:$D$1005="jabas")*(MOVIMIENTOS!$A$5:$A$1005&lt;&gt;"")*(MOVIMIENTOS!$A$5:$A$1005&lt;=$A711)*MOVIMIENTOS!$E$5:$E$1005))</f>
        <v/>
      </c>
      <c r="D711" t="str">
        <f>IF($A711="","",SUMPRODUCT((MOVIMIENTOS!$B$5:$B$1005="SALDO INICIAL")*(MOVIMIENTOS!$C$5:$C$1005="C")*(MOVIMIENTOS!$D$5:$D$1005="jabas")*(MOVIMIENTOS!$A$5:$A$1005&lt;&gt;"")*(MOVIMIENTOS!$A$5:$A$1005&lt;=$A711)*MOVIMIENTOS!$E$5:$E$1005)+SUMPRODUCT((MOVIMIENTOS!$B$5:$B$1005="PROCESO")*(MOVIMIENTOS!$C$5:$C$1005="C")*(MOVIMIENTOS!$D$5:$D$1005="jabas")*(MOVIMIENTOS!$A$5:$A$1005&lt;&gt;"")*(MOVIMIENTOS!$A$5:$A$1005&lt;=$A711)*MOVIMIENTOS!$E$5:$E$1005)-SUMPRODUCT((MOVIMIENTOS!$B$5:$B$1005="ENVÍO A SUPESA")*(MOVIMIENTOS!$C$5:$C$1005="C")*(MOVIMIENTOS!$D$5:$D$1005="jabas")*(MOVIMIENTOS!$A$5:$A$1005&lt;&gt;"")*(MOVIMIENTOS!$A$5:$A$1005&lt;=$A711)*MOVIMIENTOS!$E$5:$E$1005)+SUMPRODUCT((MOVIMIENTOS!$B$5:$B$1005="DEVOLUCIÓN")*(MOVIMIENTOS!$C$5:$C$1005="C")*(MOVIMIENTOS!$D$5:$D$1005="jabas")*(MOVIMIENTOS!$A$5:$A$1005&lt;&gt;"")*(MOVIMIENTOS!$A$5:$A$1005&lt;=$A711)*MOVIMIENTOS!$E$5:$E$1005)-SUMPRODUCT((MOVIMIENTOS!$B$5:$B$1005="TRASIEGO")*(MOVIMIENTOS!$C$5:$C$1005="C")*(MOVIMIENTOS!$D$5:$D$1005="jabas")*(MOVIMIENTOS!$A$5:$A$1005&lt;&gt;"")*(MOVIMIENTOS!$A$5:$A$1005&lt;=$A711)*MOVIMIENTOS!$E$5:$E$1005)-SUMPRODUCT((MOVIMIENTOS!$B$5:$B$1005="REGALO")*(MOVIMIENTOS!$C$5:$C$1005="C")*(MOVIMIENTOS!$D$5:$D$1005="jabas")*(MOVIMIENTOS!$A$5:$A$1005&lt;&gt;"")*(MOVIMIENTOS!$A$5:$A$1005&lt;=$A711)*MOVIMIENTOS!$E$5:$E$1005)-SUMPRODUCT((MOVIMIENTOS!$B$5:$B$1005="VENTA")*(MOVIMIENTOS!$C$5:$C$1005="C")*(MOVIMIENTOS!$D$5:$D$1005="jabas")*(MOVIMIENTOS!$A$5:$A$1005&lt;&gt;"")*(MOVIMIENTOS!$A$5:$A$1005&lt;=$A711)*MOVIMIENTOS!$E$5:$E$1005)+SUMPRODUCT((MOVIMIENTOS!$B$5:$B$1005="AJUSTE")*(MOVIMIENTOS!$C$5:$C$1005="C")*(MOVIMIENTOS!$D$5:$D$1005="jabas")*(MOVIMIENTOS!$A$5:$A$1005&lt;&gt;"")*(MOVIMIENTOS!$A$5:$A$1005&lt;=$A711)*MOVIMIENTOS!$E$5:$E$1005))</f>
        <v/>
      </c>
      <c r="E711" t="str">
        <f>IF($A711="","",SUMPRODUCT((MOVIMIENTOS!$B$5:$B$1005="SALDO INICIAL")*(MOVIMIENTOS!$C$5:$C$1005="M")*(MOVIMIENTOS!$D$5:$D$1005="jabas")*(MOVIMIENTOS!$A$5:$A$1005&lt;&gt;"")*(MOVIMIENTOS!$A$5:$A$1005&lt;=$A711)*MOVIMIENTOS!$E$5:$E$1005)+SUMPRODUCT((MOVIMIENTOS!$B$5:$B$1005="PROCESO")*(MOVIMIENTOS!$C$5:$C$1005="M")*(MOVIMIENTOS!$D$5:$D$1005="jabas")*(MOVIMIENTOS!$A$5:$A$1005&lt;&gt;"")*(MOVIMIENTOS!$A$5:$A$1005&lt;=$A711)*MOVIMIENTOS!$E$5:$E$1005)-SUMPRODUCT((MOVIMIENTOS!$B$5:$B$1005="ENVÍO A SUPESA")*(MOVIMIENTOS!$C$5:$C$1005="M")*(MOVIMIENTOS!$D$5:$D$1005="jabas")*(MOVIMIENTOS!$A$5:$A$1005&lt;&gt;"")*(MOVIMIENTOS!$A$5:$A$1005&lt;=$A711)*MOVIMIENTOS!$E$5:$E$1005)+SUMPRODUCT((MOVIMIENTOS!$B$5:$B$1005="DEVOLUCIÓN")*(MOVIMIENTOS!$C$5:$C$1005="M")*(MOVIMIENTOS!$D$5:$D$1005="jabas")*(MOVIMIENTOS!$A$5:$A$1005&lt;&gt;"")*(MOVIMIENTOS!$A$5:$A$1005&lt;=$A711)*MOVIMIENTOS!$E$5:$E$1005)-SUMPRODUCT((MOVIMIENTOS!$B$5:$B$1005="TRASIEGO")*(MOVIMIENTOS!$C$5:$C$1005="M")*(MOVIMIENTOS!$D$5:$D$1005="jabas")*(MOVIMIENTOS!$A$5:$A$1005&lt;&gt;"")*(MOVIMIENTOS!$A$5:$A$1005&lt;=$A711)*MOVIMIENTOS!$E$5:$E$1005)-SUMPRODUCT((MOVIMIENTOS!$B$5:$B$1005="REGALO")*(MOVIMIENTOS!$C$5:$C$1005="M")*(MOVIMIENTOS!$D$5:$D$1005="jabas")*(MOVIMIENTOS!$A$5:$A$1005&lt;&gt;"")*(MOVIMIENTOS!$A$5:$A$1005&lt;=$A711)*MOVIMIENTOS!$E$5:$E$1005)-SUMPRODUCT((MOVIMIENTOS!$B$5:$B$1005="VENTA")*(MOVIMIENTOS!$C$5:$C$1005="M")*(MOVIMIENTOS!$D$5:$D$1005="jabas")*(MOVIMIENTOS!$A$5:$A$1005&lt;&gt;"")*(MOVIMIENTOS!$A$5:$A$1005&lt;=$A711)*MOVIMIENTOS!$E$5:$E$1005)+SUMPRODUCT((MOVIMIENTOS!$B$5:$B$1005="AJUSTE")*(MOVIMIENTOS!$C$5:$C$1005="M")*(MOVIMIENTOS!$D$5:$D$1005="jabas")*(MOVIMIENTOS!$A$5:$A$1005&lt;&gt;"")*(MOVIMIENTOS!$A$5:$A$1005&lt;=$A711)*MOVIMIENTOS!$E$5:$E$1005))</f>
        <v/>
      </c>
      <c r="F711" s="62" t="str">
        <f>IF($A711="","",SUMPRODUCT((MOVIMIENTOS!$B$5:$B$1005="SALDO INICIAL")*(MOVIMIENTOS!$C$5:$C$1005="Chancho")*(MOVIMIENTOS!$D$5:$D$1005="sacos")*(MOVIMIENTOS!$A$5:$A$1005&lt;&gt;"")*(MOVIMIENTOS!$A$5:$A$1005&lt;=$A711)*MOVIMIENTOS!$E$5:$E$1005)+SUMPRODUCT((MOVIMIENTOS!$B$5:$B$1005="PROCESO")*(MOVIMIENTOS!$C$5:$C$1005="Chancho")*(MOVIMIENTOS!$D$5:$D$1005="sacos")*(MOVIMIENTOS!$A$5:$A$1005&lt;&gt;"")*(MOVIMIENTOS!$A$5:$A$1005&lt;=$A711)*MOVIMIENTOS!$E$5:$E$1005)-SUMPRODUCT((MOVIMIENTOS!$B$5:$B$1005="VENTA CHANCHO")*(MOVIMIENTOS!$C$5:$C$1005="Chancho")*(MOVIMIENTOS!$D$5:$D$1005="sacos")*(MOVIMIENTOS!$A$5:$A$1005&lt;&gt;"")*(MOVIMIENTOS!$A$5:$A$1005&lt;=$A711)*MOVIMIENTOS!$E$5:$E$1005)-SUMPRODUCT((MOVIMIENTOS!$B$5:$B$1005="REGALO")*(MOVIMIENTOS!$C$5:$C$1005="Chancho")*(MOVIMIENTOS!$D$5:$D$1005="sacos")*(MOVIMIENTOS!$A$5:$A$1005&lt;&gt;"")*(MOVIMIENTOS!$A$5:$A$1005&lt;=$A711)*MOVIMIENTOS!$E$5:$E$1005)-SUMPRODUCT((MOVIMIENTOS!$B$5:$B$1005="VENTA")*(MOVIMIENTOS!$C$5:$C$1005="Chancho")*(MOVIMIENTOS!$D$5:$D$1005="sacos")*(MOVIMIENTOS!$A$5:$A$1005&lt;&gt;"")*(MOVIMIENTOS!$A$5:$A$1005&lt;=$A711)*MOVIMIENTOS!$E$5:$E$1005)+SUMPRODUCT((MOVIMIENTOS!$B$5:$B$1005="AJUSTE")*(MOVIMIENTOS!$C$5:$C$1005="Chancho")*(MOVIMIENTOS!$D$5:$D$1005="sacos")*(MOVIMIENTOS!$A$5:$A$1005&lt;&gt;"")*(MOVIMIENTOS!$A$5:$A$1005&lt;=$A711)*MOVIMIENTOS!$E$5:$E$1005))</f>
        <v/>
      </c>
      <c r="G711" s="62" t="str">
        <f t="shared" si="23"/>
        <v/>
      </c>
      <c r="H711" t="str">
        <f>IF($A711="","",SUMPRODUCT((((MOVIMIENTOS!$B$5:$B$1005="SALDO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711)*MOVIMIENTOS!$J$5:$J$1005))</f>
        <v/>
      </c>
      <c r="J711" t="str">
        <f>IF(AND(MOVIMIENTOS!$A716&lt;&gt;"",COUNTIF(MOVIMIENTOS!$A$5:$A715,MOVIMIENTOS!$A716)=0),COUNT(J$4:J710)+1,"")</f>
        <v/>
      </c>
      <c r="K711">
        <f>MOVIMIENTOS!$A716</f>
        <v>0</v>
      </c>
    </row>
    <row r="712" spans="1:11" ht="15" customHeight="1" x14ac:dyDescent="0.2">
      <c r="A712" t="str">
        <f t="shared" si="22"/>
        <v/>
      </c>
      <c r="B712" t="str">
        <f>IF($A712="","",SUMPRODUCT((MOVIMIENTOS!$B$5:$B$1005="SALDO INICIAL")*(MOVIMIENTOS!$C$5:$C$1005="A")*(MOVIMIENTOS!$D$5:$D$1005="jabas")*(MOVIMIENTOS!$A$5:$A$1005&lt;&gt;"")*(MOVIMIENTOS!$A$5:$A$1005&lt;=$A712)*MOVIMIENTOS!$E$5:$E$1005)+SUMPRODUCT((MOVIMIENTOS!$B$5:$B$1005="PROCESO")*(MOVIMIENTOS!$C$5:$C$1005="A")*(MOVIMIENTOS!$D$5:$D$1005="jabas")*(MOVIMIENTOS!$A$5:$A$1005&lt;&gt;"")*(MOVIMIENTOS!$A$5:$A$1005&lt;=$A712)*MOVIMIENTOS!$E$5:$E$1005)-SUMPRODUCT((MOVIMIENTOS!$B$5:$B$1005="ENVÍO A SUPESA")*(MOVIMIENTOS!$C$5:$C$1005="A")*(MOVIMIENTOS!$D$5:$D$1005="jabas")*(MOVIMIENTOS!$A$5:$A$1005&lt;&gt;"")*(MOVIMIENTOS!$A$5:$A$1005&lt;=$A712)*MOVIMIENTOS!$E$5:$E$1005)+SUMPRODUCT((MOVIMIENTOS!$B$5:$B$1005="DEVOLUCIÓN")*(MOVIMIENTOS!$C$5:$C$1005="A")*(MOVIMIENTOS!$D$5:$D$1005="jabas")*(MOVIMIENTOS!$A$5:$A$1005&lt;&gt;"")*(MOVIMIENTOS!$A$5:$A$1005&lt;=$A712)*MOVIMIENTOS!$E$5:$E$1005)-SUMPRODUCT((MOVIMIENTOS!$B$5:$B$1005="TRASIEGO")*(MOVIMIENTOS!$C$5:$C$1005="A")*(MOVIMIENTOS!$D$5:$D$1005="jabas")*(MOVIMIENTOS!$A$5:$A$1005&lt;&gt;"")*(MOVIMIENTOS!$A$5:$A$1005&lt;=$A712)*MOVIMIENTOS!$E$5:$E$1005)-SUMPRODUCT((MOVIMIENTOS!$B$5:$B$1005="REGALO")*(MOVIMIENTOS!$C$5:$C$1005="A")*(MOVIMIENTOS!$D$5:$D$1005="jabas")*(MOVIMIENTOS!$A$5:$A$1005&lt;&gt;"")*(MOVIMIENTOS!$A$5:$A$1005&lt;=$A712)*MOVIMIENTOS!$E$5:$E$1005)-SUMPRODUCT((MOVIMIENTOS!$B$5:$B$1005="VENTA")*(MOVIMIENTOS!$C$5:$C$1005="A")*(MOVIMIENTOS!$D$5:$D$1005="jabas")*(MOVIMIENTOS!$A$5:$A$1005&lt;&gt;"")*(MOVIMIENTOS!$A$5:$A$1005&lt;=$A712)*MOVIMIENTOS!$E$5:$E$1005)+SUMPRODUCT((MOVIMIENTOS!$B$5:$B$1005="AJUSTE")*(MOVIMIENTOS!$C$5:$C$1005="A")*(MOVIMIENTOS!$D$5:$D$1005="jabas")*(MOVIMIENTOS!$A$5:$A$1005&lt;&gt;"")*(MOVIMIENTOS!$A$5:$A$1005&lt;=$A712)*MOVIMIENTOS!$E$5:$E$1005))</f>
        <v/>
      </c>
      <c r="C712" t="str">
        <f>IF($A712="","",SUMPRODUCT((MOVIMIENTOS!$B$5:$B$1005="SALDO INICIAL")*(MOVIMIENTOS!$C$5:$C$1005="P")*(MOVIMIENTOS!$D$5:$D$1005="jabas")*(MOVIMIENTOS!$A$5:$A$1005&lt;&gt;"")*(MOVIMIENTOS!$A$5:$A$1005&lt;=$A712)*MOVIMIENTOS!$E$5:$E$1005)+SUMPRODUCT((MOVIMIENTOS!$B$5:$B$1005="PROCESO")*(MOVIMIENTOS!$C$5:$C$1005="P")*(MOVIMIENTOS!$D$5:$D$1005="jabas")*(MOVIMIENTOS!$A$5:$A$1005&lt;&gt;"")*(MOVIMIENTOS!$A$5:$A$1005&lt;=$A712)*MOVIMIENTOS!$E$5:$E$1005)-SUMPRODUCT((MOVIMIENTOS!$B$5:$B$1005="ENVÍO A SUPESA")*(MOVIMIENTOS!$C$5:$C$1005="P")*(MOVIMIENTOS!$D$5:$D$1005="jabas")*(MOVIMIENTOS!$A$5:$A$1005&lt;&gt;"")*(MOVIMIENTOS!$A$5:$A$1005&lt;=$A712)*MOVIMIENTOS!$E$5:$E$1005)+SUMPRODUCT((MOVIMIENTOS!$B$5:$B$1005="DEVOLUCIÓN")*(MOVIMIENTOS!$C$5:$C$1005="P")*(MOVIMIENTOS!$D$5:$D$1005="jabas")*(MOVIMIENTOS!$A$5:$A$1005&lt;&gt;"")*(MOVIMIENTOS!$A$5:$A$1005&lt;=$A712)*MOVIMIENTOS!$E$5:$E$1005)-SUMPRODUCT((MOVIMIENTOS!$B$5:$B$1005="TRASIEGO")*(MOVIMIENTOS!$C$5:$C$1005="P")*(MOVIMIENTOS!$D$5:$D$1005="jabas")*(MOVIMIENTOS!$A$5:$A$1005&lt;&gt;"")*(MOVIMIENTOS!$A$5:$A$1005&lt;=$A712)*MOVIMIENTOS!$E$5:$E$1005)-SUMPRODUCT((MOVIMIENTOS!$B$5:$B$1005="REGALO")*(MOVIMIENTOS!$C$5:$C$1005="P")*(MOVIMIENTOS!$D$5:$D$1005="jabas")*(MOVIMIENTOS!$A$5:$A$1005&lt;&gt;"")*(MOVIMIENTOS!$A$5:$A$1005&lt;=$A712)*MOVIMIENTOS!$E$5:$E$1005)-SUMPRODUCT((MOVIMIENTOS!$B$5:$B$1005="VENTA")*(MOVIMIENTOS!$C$5:$C$1005="P")*(MOVIMIENTOS!$D$5:$D$1005="jabas")*(MOVIMIENTOS!$A$5:$A$1005&lt;&gt;"")*(MOVIMIENTOS!$A$5:$A$1005&lt;=$A712)*MOVIMIENTOS!$E$5:$E$1005)+SUMPRODUCT((MOVIMIENTOS!$B$5:$B$1005="AJUSTE")*(MOVIMIENTOS!$C$5:$C$1005="P")*(MOVIMIENTOS!$D$5:$D$1005="jabas")*(MOVIMIENTOS!$A$5:$A$1005&lt;&gt;"")*(MOVIMIENTOS!$A$5:$A$1005&lt;=$A712)*MOVIMIENTOS!$E$5:$E$1005))</f>
        <v/>
      </c>
      <c r="D712" t="str">
        <f>IF($A712="","",SUMPRODUCT((MOVIMIENTOS!$B$5:$B$1005="SALDO INICIAL")*(MOVIMIENTOS!$C$5:$C$1005="C")*(MOVIMIENTOS!$D$5:$D$1005="jabas")*(MOVIMIENTOS!$A$5:$A$1005&lt;&gt;"")*(MOVIMIENTOS!$A$5:$A$1005&lt;=$A712)*MOVIMIENTOS!$E$5:$E$1005)+SUMPRODUCT((MOVIMIENTOS!$B$5:$B$1005="PROCESO")*(MOVIMIENTOS!$C$5:$C$1005="C")*(MOVIMIENTOS!$D$5:$D$1005="jabas")*(MOVIMIENTOS!$A$5:$A$1005&lt;&gt;"")*(MOVIMIENTOS!$A$5:$A$1005&lt;=$A712)*MOVIMIENTOS!$E$5:$E$1005)-SUMPRODUCT((MOVIMIENTOS!$B$5:$B$1005="ENVÍO A SUPESA")*(MOVIMIENTOS!$C$5:$C$1005="C")*(MOVIMIENTOS!$D$5:$D$1005="jabas")*(MOVIMIENTOS!$A$5:$A$1005&lt;&gt;"")*(MOVIMIENTOS!$A$5:$A$1005&lt;=$A712)*MOVIMIENTOS!$E$5:$E$1005)+SUMPRODUCT((MOVIMIENTOS!$B$5:$B$1005="DEVOLUCIÓN")*(MOVIMIENTOS!$C$5:$C$1005="C")*(MOVIMIENTOS!$D$5:$D$1005="jabas")*(MOVIMIENTOS!$A$5:$A$1005&lt;&gt;"")*(MOVIMIENTOS!$A$5:$A$1005&lt;=$A712)*MOVIMIENTOS!$E$5:$E$1005)-SUMPRODUCT((MOVIMIENTOS!$B$5:$B$1005="TRASIEGO")*(MOVIMIENTOS!$C$5:$C$1005="C")*(MOVIMIENTOS!$D$5:$D$1005="jabas")*(MOVIMIENTOS!$A$5:$A$1005&lt;&gt;"")*(MOVIMIENTOS!$A$5:$A$1005&lt;=$A712)*MOVIMIENTOS!$E$5:$E$1005)-SUMPRODUCT((MOVIMIENTOS!$B$5:$B$1005="REGALO")*(MOVIMIENTOS!$C$5:$C$1005="C")*(MOVIMIENTOS!$D$5:$D$1005="jabas")*(MOVIMIENTOS!$A$5:$A$1005&lt;&gt;"")*(MOVIMIENTOS!$A$5:$A$1005&lt;=$A712)*MOVIMIENTOS!$E$5:$E$1005)-SUMPRODUCT((MOVIMIENTOS!$B$5:$B$1005="VENTA")*(MOVIMIENTOS!$C$5:$C$1005="C")*(MOVIMIENTOS!$D$5:$D$1005="jabas")*(MOVIMIENTOS!$A$5:$A$1005&lt;&gt;"")*(MOVIMIENTOS!$A$5:$A$1005&lt;=$A712)*MOVIMIENTOS!$E$5:$E$1005)+SUMPRODUCT((MOVIMIENTOS!$B$5:$B$1005="AJUSTE")*(MOVIMIENTOS!$C$5:$C$1005="C")*(MOVIMIENTOS!$D$5:$D$1005="jabas")*(MOVIMIENTOS!$A$5:$A$1005&lt;&gt;"")*(MOVIMIENTOS!$A$5:$A$1005&lt;=$A712)*MOVIMIENTOS!$E$5:$E$1005))</f>
        <v/>
      </c>
      <c r="E712" t="str">
        <f>IF($A712="","",SUMPRODUCT((MOVIMIENTOS!$B$5:$B$1005="SALDO INICIAL")*(MOVIMIENTOS!$C$5:$C$1005="M")*(MOVIMIENTOS!$D$5:$D$1005="jabas")*(MOVIMIENTOS!$A$5:$A$1005&lt;&gt;"")*(MOVIMIENTOS!$A$5:$A$1005&lt;=$A712)*MOVIMIENTOS!$E$5:$E$1005)+SUMPRODUCT((MOVIMIENTOS!$B$5:$B$1005="PROCESO")*(MOVIMIENTOS!$C$5:$C$1005="M")*(MOVIMIENTOS!$D$5:$D$1005="jabas")*(MOVIMIENTOS!$A$5:$A$1005&lt;&gt;"")*(MOVIMIENTOS!$A$5:$A$1005&lt;=$A712)*MOVIMIENTOS!$E$5:$E$1005)-SUMPRODUCT((MOVIMIENTOS!$B$5:$B$1005="ENVÍO A SUPESA")*(MOVIMIENTOS!$C$5:$C$1005="M")*(MOVIMIENTOS!$D$5:$D$1005="jabas")*(MOVIMIENTOS!$A$5:$A$1005&lt;&gt;"")*(MOVIMIENTOS!$A$5:$A$1005&lt;=$A712)*MOVIMIENTOS!$E$5:$E$1005)+SUMPRODUCT((MOVIMIENTOS!$B$5:$B$1005="DEVOLUCIÓN")*(MOVIMIENTOS!$C$5:$C$1005="M")*(MOVIMIENTOS!$D$5:$D$1005="jabas")*(MOVIMIENTOS!$A$5:$A$1005&lt;&gt;"")*(MOVIMIENTOS!$A$5:$A$1005&lt;=$A712)*MOVIMIENTOS!$E$5:$E$1005)-SUMPRODUCT((MOVIMIENTOS!$B$5:$B$1005="TRASIEGO")*(MOVIMIENTOS!$C$5:$C$1005="M")*(MOVIMIENTOS!$D$5:$D$1005="jabas")*(MOVIMIENTOS!$A$5:$A$1005&lt;&gt;"")*(MOVIMIENTOS!$A$5:$A$1005&lt;=$A712)*MOVIMIENTOS!$E$5:$E$1005)-SUMPRODUCT((MOVIMIENTOS!$B$5:$B$1005="REGALO")*(MOVIMIENTOS!$C$5:$C$1005="M")*(MOVIMIENTOS!$D$5:$D$1005="jabas")*(MOVIMIENTOS!$A$5:$A$1005&lt;&gt;"")*(MOVIMIENTOS!$A$5:$A$1005&lt;=$A712)*MOVIMIENTOS!$E$5:$E$1005)-SUMPRODUCT((MOVIMIENTOS!$B$5:$B$1005="VENTA")*(MOVIMIENTOS!$C$5:$C$1005="M")*(MOVIMIENTOS!$D$5:$D$1005="jabas")*(MOVIMIENTOS!$A$5:$A$1005&lt;&gt;"")*(MOVIMIENTOS!$A$5:$A$1005&lt;=$A712)*MOVIMIENTOS!$E$5:$E$1005)+SUMPRODUCT((MOVIMIENTOS!$B$5:$B$1005="AJUSTE")*(MOVIMIENTOS!$C$5:$C$1005="M")*(MOVIMIENTOS!$D$5:$D$1005="jabas")*(MOVIMIENTOS!$A$5:$A$1005&lt;&gt;"")*(MOVIMIENTOS!$A$5:$A$1005&lt;=$A712)*MOVIMIENTOS!$E$5:$E$1005))</f>
        <v/>
      </c>
      <c r="F712" s="62" t="str">
        <f>IF($A712="","",SUMPRODUCT((MOVIMIENTOS!$B$5:$B$1005="SALDO INICIAL")*(MOVIMIENTOS!$C$5:$C$1005="Chancho")*(MOVIMIENTOS!$D$5:$D$1005="sacos")*(MOVIMIENTOS!$A$5:$A$1005&lt;&gt;"")*(MOVIMIENTOS!$A$5:$A$1005&lt;=$A712)*MOVIMIENTOS!$E$5:$E$1005)+SUMPRODUCT((MOVIMIENTOS!$B$5:$B$1005="PROCESO")*(MOVIMIENTOS!$C$5:$C$1005="Chancho")*(MOVIMIENTOS!$D$5:$D$1005="sacos")*(MOVIMIENTOS!$A$5:$A$1005&lt;&gt;"")*(MOVIMIENTOS!$A$5:$A$1005&lt;=$A712)*MOVIMIENTOS!$E$5:$E$1005)-SUMPRODUCT((MOVIMIENTOS!$B$5:$B$1005="VENTA CHANCHO")*(MOVIMIENTOS!$C$5:$C$1005="Chancho")*(MOVIMIENTOS!$D$5:$D$1005="sacos")*(MOVIMIENTOS!$A$5:$A$1005&lt;&gt;"")*(MOVIMIENTOS!$A$5:$A$1005&lt;=$A712)*MOVIMIENTOS!$E$5:$E$1005)-SUMPRODUCT((MOVIMIENTOS!$B$5:$B$1005="REGALO")*(MOVIMIENTOS!$C$5:$C$1005="Chancho")*(MOVIMIENTOS!$D$5:$D$1005="sacos")*(MOVIMIENTOS!$A$5:$A$1005&lt;&gt;"")*(MOVIMIENTOS!$A$5:$A$1005&lt;=$A712)*MOVIMIENTOS!$E$5:$E$1005)-SUMPRODUCT((MOVIMIENTOS!$B$5:$B$1005="VENTA")*(MOVIMIENTOS!$C$5:$C$1005="Chancho")*(MOVIMIENTOS!$D$5:$D$1005="sacos")*(MOVIMIENTOS!$A$5:$A$1005&lt;&gt;"")*(MOVIMIENTOS!$A$5:$A$1005&lt;=$A712)*MOVIMIENTOS!$E$5:$E$1005)+SUMPRODUCT((MOVIMIENTOS!$B$5:$B$1005="AJUSTE")*(MOVIMIENTOS!$C$5:$C$1005="Chancho")*(MOVIMIENTOS!$D$5:$D$1005="sacos")*(MOVIMIENTOS!$A$5:$A$1005&lt;&gt;"")*(MOVIMIENTOS!$A$5:$A$1005&lt;=$A712)*MOVIMIENTOS!$E$5:$E$1005))</f>
        <v/>
      </c>
      <c r="G712" s="62" t="str">
        <f t="shared" si="23"/>
        <v/>
      </c>
      <c r="H712" t="str">
        <f>IF($A712="","",SUMPRODUCT((((MOVIMIENTOS!$B$5:$B$1005="SALDO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712)*MOVIMIENTOS!$J$5:$J$1005))</f>
        <v/>
      </c>
      <c r="J712" t="str">
        <f>IF(AND(MOVIMIENTOS!$A717&lt;&gt;"",COUNTIF(MOVIMIENTOS!$A$5:$A716,MOVIMIENTOS!$A717)=0),COUNT(J$4:J711)+1,"")</f>
        <v/>
      </c>
      <c r="K712">
        <f>MOVIMIENTOS!$A717</f>
        <v>0</v>
      </c>
    </row>
    <row r="713" spans="1:11" ht="15" customHeight="1" x14ac:dyDescent="0.2">
      <c r="A713" t="str">
        <f t="shared" si="22"/>
        <v/>
      </c>
      <c r="B713" t="str">
        <f>IF($A713="","",SUMPRODUCT((MOVIMIENTOS!$B$5:$B$1005="SALDO INICIAL")*(MOVIMIENTOS!$C$5:$C$1005="A")*(MOVIMIENTOS!$D$5:$D$1005="jabas")*(MOVIMIENTOS!$A$5:$A$1005&lt;&gt;"")*(MOVIMIENTOS!$A$5:$A$1005&lt;=$A713)*MOVIMIENTOS!$E$5:$E$1005)+SUMPRODUCT((MOVIMIENTOS!$B$5:$B$1005="PROCESO")*(MOVIMIENTOS!$C$5:$C$1005="A")*(MOVIMIENTOS!$D$5:$D$1005="jabas")*(MOVIMIENTOS!$A$5:$A$1005&lt;&gt;"")*(MOVIMIENTOS!$A$5:$A$1005&lt;=$A713)*MOVIMIENTOS!$E$5:$E$1005)-SUMPRODUCT((MOVIMIENTOS!$B$5:$B$1005="ENVÍO A SUPESA")*(MOVIMIENTOS!$C$5:$C$1005="A")*(MOVIMIENTOS!$D$5:$D$1005="jabas")*(MOVIMIENTOS!$A$5:$A$1005&lt;&gt;"")*(MOVIMIENTOS!$A$5:$A$1005&lt;=$A713)*MOVIMIENTOS!$E$5:$E$1005)+SUMPRODUCT((MOVIMIENTOS!$B$5:$B$1005="DEVOLUCIÓN")*(MOVIMIENTOS!$C$5:$C$1005="A")*(MOVIMIENTOS!$D$5:$D$1005="jabas")*(MOVIMIENTOS!$A$5:$A$1005&lt;&gt;"")*(MOVIMIENTOS!$A$5:$A$1005&lt;=$A713)*MOVIMIENTOS!$E$5:$E$1005)-SUMPRODUCT((MOVIMIENTOS!$B$5:$B$1005="TRASIEGO")*(MOVIMIENTOS!$C$5:$C$1005="A")*(MOVIMIENTOS!$D$5:$D$1005="jabas")*(MOVIMIENTOS!$A$5:$A$1005&lt;&gt;"")*(MOVIMIENTOS!$A$5:$A$1005&lt;=$A713)*MOVIMIENTOS!$E$5:$E$1005)-SUMPRODUCT((MOVIMIENTOS!$B$5:$B$1005="REGALO")*(MOVIMIENTOS!$C$5:$C$1005="A")*(MOVIMIENTOS!$D$5:$D$1005="jabas")*(MOVIMIENTOS!$A$5:$A$1005&lt;&gt;"")*(MOVIMIENTOS!$A$5:$A$1005&lt;=$A713)*MOVIMIENTOS!$E$5:$E$1005)-SUMPRODUCT((MOVIMIENTOS!$B$5:$B$1005="VENTA")*(MOVIMIENTOS!$C$5:$C$1005="A")*(MOVIMIENTOS!$D$5:$D$1005="jabas")*(MOVIMIENTOS!$A$5:$A$1005&lt;&gt;"")*(MOVIMIENTOS!$A$5:$A$1005&lt;=$A713)*MOVIMIENTOS!$E$5:$E$1005)+SUMPRODUCT((MOVIMIENTOS!$B$5:$B$1005="AJUSTE")*(MOVIMIENTOS!$C$5:$C$1005="A")*(MOVIMIENTOS!$D$5:$D$1005="jabas")*(MOVIMIENTOS!$A$5:$A$1005&lt;&gt;"")*(MOVIMIENTOS!$A$5:$A$1005&lt;=$A713)*MOVIMIENTOS!$E$5:$E$1005))</f>
        <v/>
      </c>
      <c r="C713" t="str">
        <f>IF($A713="","",SUMPRODUCT((MOVIMIENTOS!$B$5:$B$1005="SALDO INICIAL")*(MOVIMIENTOS!$C$5:$C$1005="P")*(MOVIMIENTOS!$D$5:$D$1005="jabas")*(MOVIMIENTOS!$A$5:$A$1005&lt;&gt;"")*(MOVIMIENTOS!$A$5:$A$1005&lt;=$A713)*MOVIMIENTOS!$E$5:$E$1005)+SUMPRODUCT((MOVIMIENTOS!$B$5:$B$1005="PROCESO")*(MOVIMIENTOS!$C$5:$C$1005="P")*(MOVIMIENTOS!$D$5:$D$1005="jabas")*(MOVIMIENTOS!$A$5:$A$1005&lt;&gt;"")*(MOVIMIENTOS!$A$5:$A$1005&lt;=$A713)*MOVIMIENTOS!$E$5:$E$1005)-SUMPRODUCT((MOVIMIENTOS!$B$5:$B$1005="ENVÍO A SUPESA")*(MOVIMIENTOS!$C$5:$C$1005="P")*(MOVIMIENTOS!$D$5:$D$1005="jabas")*(MOVIMIENTOS!$A$5:$A$1005&lt;&gt;"")*(MOVIMIENTOS!$A$5:$A$1005&lt;=$A713)*MOVIMIENTOS!$E$5:$E$1005)+SUMPRODUCT((MOVIMIENTOS!$B$5:$B$1005="DEVOLUCIÓN")*(MOVIMIENTOS!$C$5:$C$1005="P")*(MOVIMIENTOS!$D$5:$D$1005="jabas")*(MOVIMIENTOS!$A$5:$A$1005&lt;&gt;"")*(MOVIMIENTOS!$A$5:$A$1005&lt;=$A713)*MOVIMIENTOS!$E$5:$E$1005)-SUMPRODUCT((MOVIMIENTOS!$B$5:$B$1005="TRASIEGO")*(MOVIMIENTOS!$C$5:$C$1005="P")*(MOVIMIENTOS!$D$5:$D$1005="jabas")*(MOVIMIENTOS!$A$5:$A$1005&lt;&gt;"")*(MOVIMIENTOS!$A$5:$A$1005&lt;=$A713)*MOVIMIENTOS!$E$5:$E$1005)-SUMPRODUCT((MOVIMIENTOS!$B$5:$B$1005="REGALO")*(MOVIMIENTOS!$C$5:$C$1005="P")*(MOVIMIENTOS!$D$5:$D$1005="jabas")*(MOVIMIENTOS!$A$5:$A$1005&lt;&gt;"")*(MOVIMIENTOS!$A$5:$A$1005&lt;=$A713)*MOVIMIENTOS!$E$5:$E$1005)-SUMPRODUCT((MOVIMIENTOS!$B$5:$B$1005="VENTA")*(MOVIMIENTOS!$C$5:$C$1005="P")*(MOVIMIENTOS!$D$5:$D$1005="jabas")*(MOVIMIENTOS!$A$5:$A$1005&lt;&gt;"")*(MOVIMIENTOS!$A$5:$A$1005&lt;=$A713)*MOVIMIENTOS!$E$5:$E$1005)+SUMPRODUCT((MOVIMIENTOS!$B$5:$B$1005="AJUSTE")*(MOVIMIENTOS!$C$5:$C$1005="P")*(MOVIMIENTOS!$D$5:$D$1005="jabas")*(MOVIMIENTOS!$A$5:$A$1005&lt;&gt;"")*(MOVIMIENTOS!$A$5:$A$1005&lt;=$A713)*MOVIMIENTOS!$E$5:$E$1005))</f>
        <v/>
      </c>
      <c r="D713" t="str">
        <f>IF($A713="","",SUMPRODUCT((MOVIMIENTOS!$B$5:$B$1005="SALDO INICIAL")*(MOVIMIENTOS!$C$5:$C$1005="C")*(MOVIMIENTOS!$D$5:$D$1005="jabas")*(MOVIMIENTOS!$A$5:$A$1005&lt;&gt;"")*(MOVIMIENTOS!$A$5:$A$1005&lt;=$A713)*MOVIMIENTOS!$E$5:$E$1005)+SUMPRODUCT((MOVIMIENTOS!$B$5:$B$1005="PROCESO")*(MOVIMIENTOS!$C$5:$C$1005="C")*(MOVIMIENTOS!$D$5:$D$1005="jabas")*(MOVIMIENTOS!$A$5:$A$1005&lt;&gt;"")*(MOVIMIENTOS!$A$5:$A$1005&lt;=$A713)*MOVIMIENTOS!$E$5:$E$1005)-SUMPRODUCT((MOVIMIENTOS!$B$5:$B$1005="ENVÍO A SUPESA")*(MOVIMIENTOS!$C$5:$C$1005="C")*(MOVIMIENTOS!$D$5:$D$1005="jabas")*(MOVIMIENTOS!$A$5:$A$1005&lt;&gt;"")*(MOVIMIENTOS!$A$5:$A$1005&lt;=$A713)*MOVIMIENTOS!$E$5:$E$1005)+SUMPRODUCT((MOVIMIENTOS!$B$5:$B$1005="DEVOLUCIÓN")*(MOVIMIENTOS!$C$5:$C$1005="C")*(MOVIMIENTOS!$D$5:$D$1005="jabas")*(MOVIMIENTOS!$A$5:$A$1005&lt;&gt;"")*(MOVIMIENTOS!$A$5:$A$1005&lt;=$A713)*MOVIMIENTOS!$E$5:$E$1005)-SUMPRODUCT((MOVIMIENTOS!$B$5:$B$1005="TRASIEGO")*(MOVIMIENTOS!$C$5:$C$1005="C")*(MOVIMIENTOS!$D$5:$D$1005="jabas")*(MOVIMIENTOS!$A$5:$A$1005&lt;&gt;"")*(MOVIMIENTOS!$A$5:$A$1005&lt;=$A713)*MOVIMIENTOS!$E$5:$E$1005)-SUMPRODUCT((MOVIMIENTOS!$B$5:$B$1005="REGALO")*(MOVIMIENTOS!$C$5:$C$1005="C")*(MOVIMIENTOS!$D$5:$D$1005="jabas")*(MOVIMIENTOS!$A$5:$A$1005&lt;&gt;"")*(MOVIMIENTOS!$A$5:$A$1005&lt;=$A713)*MOVIMIENTOS!$E$5:$E$1005)-SUMPRODUCT((MOVIMIENTOS!$B$5:$B$1005="VENTA")*(MOVIMIENTOS!$C$5:$C$1005="C")*(MOVIMIENTOS!$D$5:$D$1005="jabas")*(MOVIMIENTOS!$A$5:$A$1005&lt;&gt;"")*(MOVIMIENTOS!$A$5:$A$1005&lt;=$A713)*MOVIMIENTOS!$E$5:$E$1005)+SUMPRODUCT((MOVIMIENTOS!$B$5:$B$1005="AJUSTE")*(MOVIMIENTOS!$C$5:$C$1005="C")*(MOVIMIENTOS!$D$5:$D$1005="jabas")*(MOVIMIENTOS!$A$5:$A$1005&lt;&gt;"")*(MOVIMIENTOS!$A$5:$A$1005&lt;=$A713)*MOVIMIENTOS!$E$5:$E$1005))</f>
        <v/>
      </c>
      <c r="E713" t="str">
        <f>IF($A713="","",SUMPRODUCT((MOVIMIENTOS!$B$5:$B$1005="SALDO INICIAL")*(MOVIMIENTOS!$C$5:$C$1005="M")*(MOVIMIENTOS!$D$5:$D$1005="jabas")*(MOVIMIENTOS!$A$5:$A$1005&lt;&gt;"")*(MOVIMIENTOS!$A$5:$A$1005&lt;=$A713)*MOVIMIENTOS!$E$5:$E$1005)+SUMPRODUCT((MOVIMIENTOS!$B$5:$B$1005="PROCESO")*(MOVIMIENTOS!$C$5:$C$1005="M")*(MOVIMIENTOS!$D$5:$D$1005="jabas")*(MOVIMIENTOS!$A$5:$A$1005&lt;&gt;"")*(MOVIMIENTOS!$A$5:$A$1005&lt;=$A713)*MOVIMIENTOS!$E$5:$E$1005)-SUMPRODUCT((MOVIMIENTOS!$B$5:$B$1005="ENVÍO A SUPESA")*(MOVIMIENTOS!$C$5:$C$1005="M")*(MOVIMIENTOS!$D$5:$D$1005="jabas")*(MOVIMIENTOS!$A$5:$A$1005&lt;&gt;"")*(MOVIMIENTOS!$A$5:$A$1005&lt;=$A713)*MOVIMIENTOS!$E$5:$E$1005)+SUMPRODUCT((MOVIMIENTOS!$B$5:$B$1005="DEVOLUCIÓN")*(MOVIMIENTOS!$C$5:$C$1005="M")*(MOVIMIENTOS!$D$5:$D$1005="jabas")*(MOVIMIENTOS!$A$5:$A$1005&lt;&gt;"")*(MOVIMIENTOS!$A$5:$A$1005&lt;=$A713)*MOVIMIENTOS!$E$5:$E$1005)-SUMPRODUCT((MOVIMIENTOS!$B$5:$B$1005="TRASIEGO")*(MOVIMIENTOS!$C$5:$C$1005="M")*(MOVIMIENTOS!$D$5:$D$1005="jabas")*(MOVIMIENTOS!$A$5:$A$1005&lt;&gt;"")*(MOVIMIENTOS!$A$5:$A$1005&lt;=$A713)*MOVIMIENTOS!$E$5:$E$1005)-SUMPRODUCT((MOVIMIENTOS!$B$5:$B$1005="REGALO")*(MOVIMIENTOS!$C$5:$C$1005="M")*(MOVIMIENTOS!$D$5:$D$1005="jabas")*(MOVIMIENTOS!$A$5:$A$1005&lt;&gt;"")*(MOVIMIENTOS!$A$5:$A$1005&lt;=$A713)*MOVIMIENTOS!$E$5:$E$1005)-SUMPRODUCT((MOVIMIENTOS!$B$5:$B$1005="VENTA")*(MOVIMIENTOS!$C$5:$C$1005="M")*(MOVIMIENTOS!$D$5:$D$1005="jabas")*(MOVIMIENTOS!$A$5:$A$1005&lt;&gt;"")*(MOVIMIENTOS!$A$5:$A$1005&lt;=$A713)*MOVIMIENTOS!$E$5:$E$1005)+SUMPRODUCT((MOVIMIENTOS!$B$5:$B$1005="AJUSTE")*(MOVIMIENTOS!$C$5:$C$1005="M")*(MOVIMIENTOS!$D$5:$D$1005="jabas")*(MOVIMIENTOS!$A$5:$A$1005&lt;&gt;"")*(MOVIMIENTOS!$A$5:$A$1005&lt;=$A713)*MOVIMIENTOS!$E$5:$E$1005))</f>
        <v/>
      </c>
      <c r="F713" s="62" t="str">
        <f>IF($A713="","",SUMPRODUCT((MOVIMIENTOS!$B$5:$B$1005="SALDO INICIAL")*(MOVIMIENTOS!$C$5:$C$1005="Chancho")*(MOVIMIENTOS!$D$5:$D$1005="sacos")*(MOVIMIENTOS!$A$5:$A$1005&lt;&gt;"")*(MOVIMIENTOS!$A$5:$A$1005&lt;=$A713)*MOVIMIENTOS!$E$5:$E$1005)+SUMPRODUCT((MOVIMIENTOS!$B$5:$B$1005="PROCESO")*(MOVIMIENTOS!$C$5:$C$1005="Chancho")*(MOVIMIENTOS!$D$5:$D$1005="sacos")*(MOVIMIENTOS!$A$5:$A$1005&lt;&gt;"")*(MOVIMIENTOS!$A$5:$A$1005&lt;=$A713)*MOVIMIENTOS!$E$5:$E$1005)-SUMPRODUCT((MOVIMIENTOS!$B$5:$B$1005="VENTA CHANCHO")*(MOVIMIENTOS!$C$5:$C$1005="Chancho")*(MOVIMIENTOS!$D$5:$D$1005="sacos")*(MOVIMIENTOS!$A$5:$A$1005&lt;&gt;"")*(MOVIMIENTOS!$A$5:$A$1005&lt;=$A713)*MOVIMIENTOS!$E$5:$E$1005)-SUMPRODUCT((MOVIMIENTOS!$B$5:$B$1005="REGALO")*(MOVIMIENTOS!$C$5:$C$1005="Chancho")*(MOVIMIENTOS!$D$5:$D$1005="sacos")*(MOVIMIENTOS!$A$5:$A$1005&lt;&gt;"")*(MOVIMIENTOS!$A$5:$A$1005&lt;=$A713)*MOVIMIENTOS!$E$5:$E$1005)-SUMPRODUCT((MOVIMIENTOS!$B$5:$B$1005="VENTA")*(MOVIMIENTOS!$C$5:$C$1005="Chancho")*(MOVIMIENTOS!$D$5:$D$1005="sacos")*(MOVIMIENTOS!$A$5:$A$1005&lt;&gt;"")*(MOVIMIENTOS!$A$5:$A$1005&lt;=$A713)*MOVIMIENTOS!$E$5:$E$1005)+SUMPRODUCT((MOVIMIENTOS!$B$5:$B$1005="AJUSTE")*(MOVIMIENTOS!$C$5:$C$1005="Chancho")*(MOVIMIENTOS!$D$5:$D$1005="sacos")*(MOVIMIENTOS!$A$5:$A$1005&lt;&gt;"")*(MOVIMIENTOS!$A$5:$A$1005&lt;=$A713)*MOVIMIENTOS!$E$5:$E$1005))</f>
        <v/>
      </c>
      <c r="G713" s="62" t="str">
        <f t="shared" si="23"/>
        <v/>
      </c>
      <c r="H713" t="str">
        <f>IF($A713="","",SUMPRODUCT((((MOVIMIENTOS!$B$5:$B$1005="SALDO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713)*MOVIMIENTOS!$J$5:$J$1005))</f>
        <v/>
      </c>
      <c r="J713" t="str">
        <f>IF(AND(MOVIMIENTOS!$A718&lt;&gt;"",COUNTIF(MOVIMIENTOS!$A$5:$A717,MOVIMIENTOS!$A718)=0),COUNT(J$4:J712)+1,"")</f>
        <v/>
      </c>
      <c r="K713">
        <f>MOVIMIENTOS!$A718</f>
        <v>0</v>
      </c>
    </row>
    <row r="714" spans="1:11" ht="15" customHeight="1" x14ac:dyDescent="0.2">
      <c r="A714" t="str">
        <f t="shared" si="22"/>
        <v/>
      </c>
      <c r="B714" t="str">
        <f>IF($A714="","",SUMPRODUCT((MOVIMIENTOS!$B$5:$B$1005="SALDO INICIAL")*(MOVIMIENTOS!$C$5:$C$1005="A")*(MOVIMIENTOS!$D$5:$D$1005="jabas")*(MOVIMIENTOS!$A$5:$A$1005&lt;&gt;"")*(MOVIMIENTOS!$A$5:$A$1005&lt;=$A714)*MOVIMIENTOS!$E$5:$E$1005)+SUMPRODUCT((MOVIMIENTOS!$B$5:$B$1005="PROCESO")*(MOVIMIENTOS!$C$5:$C$1005="A")*(MOVIMIENTOS!$D$5:$D$1005="jabas")*(MOVIMIENTOS!$A$5:$A$1005&lt;&gt;"")*(MOVIMIENTOS!$A$5:$A$1005&lt;=$A714)*MOVIMIENTOS!$E$5:$E$1005)-SUMPRODUCT((MOVIMIENTOS!$B$5:$B$1005="ENVÍO A SUPESA")*(MOVIMIENTOS!$C$5:$C$1005="A")*(MOVIMIENTOS!$D$5:$D$1005="jabas")*(MOVIMIENTOS!$A$5:$A$1005&lt;&gt;"")*(MOVIMIENTOS!$A$5:$A$1005&lt;=$A714)*MOVIMIENTOS!$E$5:$E$1005)+SUMPRODUCT((MOVIMIENTOS!$B$5:$B$1005="DEVOLUCIÓN")*(MOVIMIENTOS!$C$5:$C$1005="A")*(MOVIMIENTOS!$D$5:$D$1005="jabas")*(MOVIMIENTOS!$A$5:$A$1005&lt;&gt;"")*(MOVIMIENTOS!$A$5:$A$1005&lt;=$A714)*MOVIMIENTOS!$E$5:$E$1005)-SUMPRODUCT((MOVIMIENTOS!$B$5:$B$1005="TRASIEGO")*(MOVIMIENTOS!$C$5:$C$1005="A")*(MOVIMIENTOS!$D$5:$D$1005="jabas")*(MOVIMIENTOS!$A$5:$A$1005&lt;&gt;"")*(MOVIMIENTOS!$A$5:$A$1005&lt;=$A714)*MOVIMIENTOS!$E$5:$E$1005)-SUMPRODUCT((MOVIMIENTOS!$B$5:$B$1005="REGALO")*(MOVIMIENTOS!$C$5:$C$1005="A")*(MOVIMIENTOS!$D$5:$D$1005="jabas")*(MOVIMIENTOS!$A$5:$A$1005&lt;&gt;"")*(MOVIMIENTOS!$A$5:$A$1005&lt;=$A714)*MOVIMIENTOS!$E$5:$E$1005)-SUMPRODUCT((MOVIMIENTOS!$B$5:$B$1005="VENTA")*(MOVIMIENTOS!$C$5:$C$1005="A")*(MOVIMIENTOS!$D$5:$D$1005="jabas")*(MOVIMIENTOS!$A$5:$A$1005&lt;&gt;"")*(MOVIMIENTOS!$A$5:$A$1005&lt;=$A714)*MOVIMIENTOS!$E$5:$E$1005)+SUMPRODUCT((MOVIMIENTOS!$B$5:$B$1005="AJUSTE")*(MOVIMIENTOS!$C$5:$C$1005="A")*(MOVIMIENTOS!$D$5:$D$1005="jabas")*(MOVIMIENTOS!$A$5:$A$1005&lt;&gt;"")*(MOVIMIENTOS!$A$5:$A$1005&lt;=$A714)*MOVIMIENTOS!$E$5:$E$1005))</f>
        <v/>
      </c>
      <c r="C714" t="str">
        <f>IF($A714="","",SUMPRODUCT((MOVIMIENTOS!$B$5:$B$1005="SALDO INICIAL")*(MOVIMIENTOS!$C$5:$C$1005="P")*(MOVIMIENTOS!$D$5:$D$1005="jabas")*(MOVIMIENTOS!$A$5:$A$1005&lt;&gt;"")*(MOVIMIENTOS!$A$5:$A$1005&lt;=$A714)*MOVIMIENTOS!$E$5:$E$1005)+SUMPRODUCT((MOVIMIENTOS!$B$5:$B$1005="PROCESO")*(MOVIMIENTOS!$C$5:$C$1005="P")*(MOVIMIENTOS!$D$5:$D$1005="jabas")*(MOVIMIENTOS!$A$5:$A$1005&lt;&gt;"")*(MOVIMIENTOS!$A$5:$A$1005&lt;=$A714)*MOVIMIENTOS!$E$5:$E$1005)-SUMPRODUCT((MOVIMIENTOS!$B$5:$B$1005="ENVÍO A SUPESA")*(MOVIMIENTOS!$C$5:$C$1005="P")*(MOVIMIENTOS!$D$5:$D$1005="jabas")*(MOVIMIENTOS!$A$5:$A$1005&lt;&gt;"")*(MOVIMIENTOS!$A$5:$A$1005&lt;=$A714)*MOVIMIENTOS!$E$5:$E$1005)+SUMPRODUCT((MOVIMIENTOS!$B$5:$B$1005="DEVOLUCIÓN")*(MOVIMIENTOS!$C$5:$C$1005="P")*(MOVIMIENTOS!$D$5:$D$1005="jabas")*(MOVIMIENTOS!$A$5:$A$1005&lt;&gt;"")*(MOVIMIENTOS!$A$5:$A$1005&lt;=$A714)*MOVIMIENTOS!$E$5:$E$1005)-SUMPRODUCT((MOVIMIENTOS!$B$5:$B$1005="TRASIEGO")*(MOVIMIENTOS!$C$5:$C$1005="P")*(MOVIMIENTOS!$D$5:$D$1005="jabas")*(MOVIMIENTOS!$A$5:$A$1005&lt;&gt;"")*(MOVIMIENTOS!$A$5:$A$1005&lt;=$A714)*MOVIMIENTOS!$E$5:$E$1005)-SUMPRODUCT((MOVIMIENTOS!$B$5:$B$1005="REGALO")*(MOVIMIENTOS!$C$5:$C$1005="P")*(MOVIMIENTOS!$D$5:$D$1005="jabas")*(MOVIMIENTOS!$A$5:$A$1005&lt;&gt;"")*(MOVIMIENTOS!$A$5:$A$1005&lt;=$A714)*MOVIMIENTOS!$E$5:$E$1005)-SUMPRODUCT((MOVIMIENTOS!$B$5:$B$1005="VENTA")*(MOVIMIENTOS!$C$5:$C$1005="P")*(MOVIMIENTOS!$D$5:$D$1005="jabas")*(MOVIMIENTOS!$A$5:$A$1005&lt;&gt;"")*(MOVIMIENTOS!$A$5:$A$1005&lt;=$A714)*MOVIMIENTOS!$E$5:$E$1005)+SUMPRODUCT((MOVIMIENTOS!$B$5:$B$1005="AJUSTE")*(MOVIMIENTOS!$C$5:$C$1005="P")*(MOVIMIENTOS!$D$5:$D$1005="jabas")*(MOVIMIENTOS!$A$5:$A$1005&lt;&gt;"")*(MOVIMIENTOS!$A$5:$A$1005&lt;=$A714)*MOVIMIENTOS!$E$5:$E$1005))</f>
        <v/>
      </c>
      <c r="D714" t="str">
        <f>IF($A714="","",SUMPRODUCT((MOVIMIENTOS!$B$5:$B$1005="SALDO INICIAL")*(MOVIMIENTOS!$C$5:$C$1005="C")*(MOVIMIENTOS!$D$5:$D$1005="jabas")*(MOVIMIENTOS!$A$5:$A$1005&lt;&gt;"")*(MOVIMIENTOS!$A$5:$A$1005&lt;=$A714)*MOVIMIENTOS!$E$5:$E$1005)+SUMPRODUCT((MOVIMIENTOS!$B$5:$B$1005="PROCESO")*(MOVIMIENTOS!$C$5:$C$1005="C")*(MOVIMIENTOS!$D$5:$D$1005="jabas")*(MOVIMIENTOS!$A$5:$A$1005&lt;&gt;"")*(MOVIMIENTOS!$A$5:$A$1005&lt;=$A714)*MOVIMIENTOS!$E$5:$E$1005)-SUMPRODUCT((MOVIMIENTOS!$B$5:$B$1005="ENVÍO A SUPESA")*(MOVIMIENTOS!$C$5:$C$1005="C")*(MOVIMIENTOS!$D$5:$D$1005="jabas")*(MOVIMIENTOS!$A$5:$A$1005&lt;&gt;"")*(MOVIMIENTOS!$A$5:$A$1005&lt;=$A714)*MOVIMIENTOS!$E$5:$E$1005)+SUMPRODUCT((MOVIMIENTOS!$B$5:$B$1005="DEVOLUCIÓN")*(MOVIMIENTOS!$C$5:$C$1005="C")*(MOVIMIENTOS!$D$5:$D$1005="jabas")*(MOVIMIENTOS!$A$5:$A$1005&lt;&gt;"")*(MOVIMIENTOS!$A$5:$A$1005&lt;=$A714)*MOVIMIENTOS!$E$5:$E$1005)-SUMPRODUCT((MOVIMIENTOS!$B$5:$B$1005="TRASIEGO")*(MOVIMIENTOS!$C$5:$C$1005="C")*(MOVIMIENTOS!$D$5:$D$1005="jabas")*(MOVIMIENTOS!$A$5:$A$1005&lt;&gt;"")*(MOVIMIENTOS!$A$5:$A$1005&lt;=$A714)*MOVIMIENTOS!$E$5:$E$1005)-SUMPRODUCT((MOVIMIENTOS!$B$5:$B$1005="REGALO")*(MOVIMIENTOS!$C$5:$C$1005="C")*(MOVIMIENTOS!$D$5:$D$1005="jabas")*(MOVIMIENTOS!$A$5:$A$1005&lt;&gt;"")*(MOVIMIENTOS!$A$5:$A$1005&lt;=$A714)*MOVIMIENTOS!$E$5:$E$1005)-SUMPRODUCT((MOVIMIENTOS!$B$5:$B$1005="VENTA")*(MOVIMIENTOS!$C$5:$C$1005="C")*(MOVIMIENTOS!$D$5:$D$1005="jabas")*(MOVIMIENTOS!$A$5:$A$1005&lt;&gt;"")*(MOVIMIENTOS!$A$5:$A$1005&lt;=$A714)*MOVIMIENTOS!$E$5:$E$1005)+SUMPRODUCT((MOVIMIENTOS!$B$5:$B$1005="AJUSTE")*(MOVIMIENTOS!$C$5:$C$1005="C")*(MOVIMIENTOS!$D$5:$D$1005="jabas")*(MOVIMIENTOS!$A$5:$A$1005&lt;&gt;"")*(MOVIMIENTOS!$A$5:$A$1005&lt;=$A714)*MOVIMIENTOS!$E$5:$E$1005))</f>
        <v/>
      </c>
      <c r="E714" t="str">
        <f>IF($A714="","",SUMPRODUCT((MOVIMIENTOS!$B$5:$B$1005="SALDO INICIAL")*(MOVIMIENTOS!$C$5:$C$1005="M")*(MOVIMIENTOS!$D$5:$D$1005="jabas")*(MOVIMIENTOS!$A$5:$A$1005&lt;&gt;"")*(MOVIMIENTOS!$A$5:$A$1005&lt;=$A714)*MOVIMIENTOS!$E$5:$E$1005)+SUMPRODUCT((MOVIMIENTOS!$B$5:$B$1005="PROCESO")*(MOVIMIENTOS!$C$5:$C$1005="M")*(MOVIMIENTOS!$D$5:$D$1005="jabas")*(MOVIMIENTOS!$A$5:$A$1005&lt;&gt;"")*(MOVIMIENTOS!$A$5:$A$1005&lt;=$A714)*MOVIMIENTOS!$E$5:$E$1005)-SUMPRODUCT((MOVIMIENTOS!$B$5:$B$1005="ENVÍO A SUPESA")*(MOVIMIENTOS!$C$5:$C$1005="M")*(MOVIMIENTOS!$D$5:$D$1005="jabas")*(MOVIMIENTOS!$A$5:$A$1005&lt;&gt;"")*(MOVIMIENTOS!$A$5:$A$1005&lt;=$A714)*MOVIMIENTOS!$E$5:$E$1005)+SUMPRODUCT((MOVIMIENTOS!$B$5:$B$1005="DEVOLUCIÓN")*(MOVIMIENTOS!$C$5:$C$1005="M")*(MOVIMIENTOS!$D$5:$D$1005="jabas")*(MOVIMIENTOS!$A$5:$A$1005&lt;&gt;"")*(MOVIMIENTOS!$A$5:$A$1005&lt;=$A714)*MOVIMIENTOS!$E$5:$E$1005)-SUMPRODUCT((MOVIMIENTOS!$B$5:$B$1005="TRASIEGO")*(MOVIMIENTOS!$C$5:$C$1005="M")*(MOVIMIENTOS!$D$5:$D$1005="jabas")*(MOVIMIENTOS!$A$5:$A$1005&lt;&gt;"")*(MOVIMIENTOS!$A$5:$A$1005&lt;=$A714)*MOVIMIENTOS!$E$5:$E$1005)-SUMPRODUCT((MOVIMIENTOS!$B$5:$B$1005="REGALO")*(MOVIMIENTOS!$C$5:$C$1005="M")*(MOVIMIENTOS!$D$5:$D$1005="jabas")*(MOVIMIENTOS!$A$5:$A$1005&lt;&gt;"")*(MOVIMIENTOS!$A$5:$A$1005&lt;=$A714)*MOVIMIENTOS!$E$5:$E$1005)-SUMPRODUCT((MOVIMIENTOS!$B$5:$B$1005="VENTA")*(MOVIMIENTOS!$C$5:$C$1005="M")*(MOVIMIENTOS!$D$5:$D$1005="jabas")*(MOVIMIENTOS!$A$5:$A$1005&lt;&gt;"")*(MOVIMIENTOS!$A$5:$A$1005&lt;=$A714)*MOVIMIENTOS!$E$5:$E$1005)+SUMPRODUCT((MOVIMIENTOS!$B$5:$B$1005="AJUSTE")*(MOVIMIENTOS!$C$5:$C$1005="M")*(MOVIMIENTOS!$D$5:$D$1005="jabas")*(MOVIMIENTOS!$A$5:$A$1005&lt;&gt;"")*(MOVIMIENTOS!$A$5:$A$1005&lt;=$A714)*MOVIMIENTOS!$E$5:$E$1005))</f>
        <v/>
      </c>
      <c r="F714" s="62" t="str">
        <f>IF($A714="","",SUMPRODUCT((MOVIMIENTOS!$B$5:$B$1005="SALDO INICIAL")*(MOVIMIENTOS!$C$5:$C$1005="Chancho")*(MOVIMIENTOS!$D$5:$D$1005="sacos")*(MOVIMIENTOS!$A$5:$A$1005&lt;&gt;"")*(MOVIMIENTOS!$A$5:$A$1005&lt;=$A714)*MOVIMIENTOS!$E$5:$E$1005)+SUMPRODUCT((MOVIMIENTOS!$B$5:$B$1005="PROCESO")*(MOVIMIENTOS!$C$5:$C$1005="Chancho")*(MOVIMIENTOS!$D$5:$D$1005="sacos")*(MOVIMIENTOS!$A$5:$A$1005&lt;&gt;"")*(MOVIMIENTOS!$A$5:$A$1005&lt;=$A714)*MOVIMIENTOS!$E$5:$E$1005)-SUMPRODUCT((MOVIMIENTOS!$B$5:$B$1005="VENTA CHANCHO")*(MOVIMIENTOS!$C$5:$C$1005="Chancho")*(MOVIMIENTOS!$D$5:$D$1005="sacos")*(MOVIMIENTOS!$A$5:$A$1005&lt;&gt;"")*(MOVIMIENTOS!$A$5:$A$1005&lt;=$A714)*MOVIMIENTOS!$E$5:$E$1005)-SUMPRODUCT((MOVIMIENTOS!$B$5:$B$1005="REGALO")*(MOVIMIENTOS!$C$5:$C$1005="Chancho")*(MOVIMIENTOS!$D$5:$D$1005="sacos")*(MOVIMIENTOS!$A$5:$A$1005&lt;&gt;"")*(MOVIMIENTOS!$A$5:$A$1005&lt;=$A714)*MOVIMIENTOS!$E$5:$E$1005)-SUMPRODUCT((MOVIMIENTOS!$B$5:$B$1005="VENTA")*(MOVIMIENTOS!$C$5:$C$1005="Chancho")*(MOVIMIENTOS!$D$5:$D$1005="sacos")*(MOVIMIENTOS!$A$5:$A$1005&lt;&gt;"")*(MOVIMIENTOS!$A$5:$A$1005&lt;=$A714)*MOVIMIENTOS!$E$5:$E$1005)+SUMPRODUCT((MOVIMIENTOS!$B$5:$B$1005="AJUSTE")*(MOVIMIENTOS!$C$5:$C$1005="Chancho")*(MOVIMIENTOS!$D$5:$D$1005="sacos")*(MOVIMIENTOS!$A$5:$A$1005&lt;&gt;"")*(MOVIMIENTOS!$A$5:$A$1005&lt;=$A714)*MOVIMIENTOS!$E$5:$E$1005))</f>
        <v/>
      </c>
      <c r="G714" s="62" t="str">
        <f t="shared" si="23"/>
        <v/>
      </c>
      <c r="H714" t="str">
        <f>IF($A714="","",SUMPRODUCT((((MOVIMIENTOS!$B$5:$B$1005="SALDO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714)*MOVIMIENTOS!$J$5:$J$1005))</f>
        <v/>
      </c>
      <c r="J714" t="str">
        <f>IF(AND(MOVIMIENTOS!$A719&lt;&gt;"",COUNTIF(MOVIMIENTOS!$A$5:$A718,MOVIMIENTOS!$A719)=0),COUNT(J$4:J713)+1,"")</f>
        <v/>
      </c>
      <c r="K714">
        <f>MOVIMIENTOS!$A719</f>
        <v>0</v>
      </c>
    </row>
    <row r="715" spans="1:11" ht="15" customHeight="1" x14ac:dyDescent="0.2">
      <c r="A715" t="str">
        <f t="shared" si="22"/>
        <v/>
      </c>
      <c r="B715" t="str">
        <f>IF($A715="","",SUMPRODUCT((MOVIMIENTOS!$B$5:$B$1005="SALDO INICIAL")*(MOVIMIENTOS!$C$5:$C$1005="A")*(MOVIMIENTOS!$D$5:$D$1005="jabas")*(MOVIMIENTOS!$A$5:$A$1005&lt;&gt;"")*(MOVIMIENTOS!$A$5:$A$1005&lt;=$A715)*MOVIMIENTOS!$E$5:$E$1005)+SUMPRODUCT((MOVIMIENTOS!$B$5:$B$1005="PROCESO")*(MOVIMIENTOS!$C$5:$C$1005="A")*(MOVIMIENTOS!$D$5:$D$1005="jabas")*(MOVIMIENTOS!$A$5:$A$1005&lt;&gt;"")*(MOVIMIENTOS!$A$5:$A$1005&lt;=$A715)*MOVIMIENTOS!$E$5:$E$1005)-SUMPRODUCT((MOVIMIENTOS!$B$5:$B$1005="ENVÍO A SUPESA")*(MOVIMIENTOS!$C$5:$C$1005="A")*(MOVIMIENTOS!$D$5:$D$1005="jabas")*(MOVIMIENTOS!$A$5:$A$1005&lt;&gt;"")*(MOVIMIENTOS!$A$5:$A$1005&lt;=$A715)*MOVIMIENTOS!$E$5:$E$1005)+SUMPRODUCT((MOVIMIENTOS!$B$5:$B$1005="DEVOLUCIÓN")*(MOVIMIENTOS!$C$5:$C$1005="A")*(MOVIMIENTOS!$D$5:$D$1005="jabas")*(MOVIMIENTOS!$A$5:$A$1005&lt;&gt;"")*(MOVIMIENTOS!$A$5:$A$1005&lt;=$A715)*MOVIMIENTOS!$E$5:$E$1005)-SUMPRODUCT((MOVIMIENTOS!$B$5:$B$1005="TRASIEGO")*(MOVIMIENTOS!$C$5:$C$1005="A")*(MOVIMIENTOS!$D$5:$D$1005="jabas")*(MOVIMIENTOS!$A$5:$A$1005&lt;&gt;"")*(MOVIMIENTOS!$A$5:$A$1005&lt;=$A715)*MOVIMIENTOS!$E$5:$E$1005)-SUMPRODUCT((MOVIMIENTOS!$B$5:$B$1005="REGALO")*(MOVIMIENTOS!$C$5:$C$1005="A")*(MOVIMIENTOS!$D$5:$D$1005="jabas")*(MOVIMIENTOS!$A$5:$A$1005&lt;&gt;"")*(MOVIMIENTOS!$A$5:$A$1005&lt;=$A715)*MOVIMIENTOS!$E$5:$E$1005)-SUMPRODUCT((MOVIMIENTOS!$B$5:$B$1005="VENTA")*(MOVIMIENTOS!$C$5:$C$1005="A")*(MOVIMIENTOS!$D$5:$D$1005="jabas")*(MOVIMIENTOS!$A$5:$A$1005&lt;&gt;"")*(MOVIMIENTOS!$A$5:$A$1005&lt;=$A715)*MOVIMIENTOS!$E$5:$E$1005)+SUMPRODUCT((MOVIMIENTOS!$B$5:$B$1005="AJUSTE")*(MOVIMIENTOS!$C$5:$C$1005="A")*(MOVIMIENTOS!$D$5:$D$1005="jabas")*(MOVIMIENTOS!$A$5:$A$1005&lt;&gt;"")*(MOVIMIENTOS!$A$5:$A$1005&lt;=$A715)*MOVIMIENTOS!$E$5:$E$1005))</f>
        <v/>
      </c>
      <c r="C715" t="str">
        <f>IF($A715="","",SUMPRODUCT((MOVIMIENTOS!$B$5:$B$1005="SALDO INICIAL")*(MOVIMIENTOS!$C$5:$C$1005="P")*(MOVIMIENTOS!$D$5:$D$1005="jabas")*(MOVIMIENTOS!$A$5:$A$1005&lt;&gt;"")*(MOVIMIENTOS!$A$5:$A$1005&lt;=$A715)*MOVIMIENTOS!$E$5:$E$1005)+SUMPRODUCT((MOVIMIENTOS!$B$5:$B$1005="PROCESO")*(MOVIMIENTOS!$C$5:$C$1005="P")*(MOVIMIENTOS!$D$5:$D$1005="jabas")*(MOVIMIENTOS!$A$5:$A$1005&lt;&gt;"")*(MOVIMIENTOS!$A$5:$A$1005&lt;=$A715)*MOVIMIENTOS!$E$5:$E$1005)-SUMPRODUCT((MOVIMIENTOS!$B$5:$B$1005="ENVÍO A SUPESA")*(MOVIMIENTOS!$C$5:$C$1005="P")*(MOVIMIENTOS!$D$5:$D$1005="jabas")*(MOVIMIENTOS!$A$5:$A$1005&lt;&gt;"")*(MOVIMIENTOS!$A$5:$A$1005&lt;=$A715)*MOVIMIENTOS!$E$5:$E$1005)+SUMPRODUCT((MOVIMIENTOS!$B$5:$B$1005="DEVOLUCIÓN")*(MOVIMIENTOS!$C$5:$C$1005="P")*(MOVIMIENTOS!$D$5:$D$1005="jabas")*(MOVIMIENTOS!$A$5:$A$1005&lt;&gt;"")*(MOVIMIENTOS!$A$5:$A$1005&lt;=$A715)*MOVIMIENTOS!$E$5:$E$1005)-SUMPRODUCT((MOVIMIENTOS!$B$5:$B$1005="TRASIEGO")*(MOVIMIENTOS!$C$5:$C$1005="P")*(MOVIMIENTOS!$D$5:$D$1005="jabas")*(MOVIMIENTOS!$A$5:$A$1005&lt;&gt;"")*(MOVIMIENTOS!$A$5:$A$1005&lt;=$A715)*MOVIMIENTOS!$E$5:$E$1005)-SUMPRODUCT((MOVIMIENTOS!$B$5:$B$1005="REGALO")*(MOVIMIENTOS!$C$5:$C$1005="P")*(MOVIMIENTOS!$D$5:$D$1005="jabas")*(MOVIMIENTOS!$A$5:$A$1005&lt;&gt;"")*(MOVIMIENTOS!$A$5:$A$1005&lt;=$A715)*MOVIMIENTOS!$E$5:$E$1005)-SUMPRODUCT((MOVIMIENTOS!$B$5:$B$1005="VENTA")*(MOVIMIENTOS!$C$5:$C$1005="P")*(MOVIMIENTOS!$D$5:$D$1005="jabas")*(MOVIMIENTOS!$A$5:$A$1005&lt;&gt;"")*(MOVIMIENTOS!$A$5:$A$1005&lt;=$A715)*MOVIMIENTOS!$E$5:$E$1005)+SUMPRODUCT((MOVIMIENTOS!$B$5:$B$1005="AJUSTE")*(MOVIMIENTOS!$C$5:$C$1005="P")*(MOVIMIENTOS!$D$5:$D$1005="jabas")*(MOVIMIENTOS!$A$5:$A$1005&lt;&gt;"")*(MOVIMIENTOS!$A$5:$A$1005&lt;=$A715)*MOVIMIENTOS!$E$5:$E$1005))</f>
        <v/>
      </c>
      <c r="D715" t="str">
        <f>IF($A715="","",SUMPRODUCT((MOVIMIENTOS!$B$5:$B$1005="SALDO INICIAL")*(MOVIMIENTOS!$C$5:$C$1005="C")*(MOVIMIENTOS!$D$5:$D$1005="jabas")*(MOVIMIENTOS!$A$5:$A$1005&lt;&gt;"")*(MOVIMIENTOS!$A$5:$A$1005&lt;=$A715)*MOVIMIENTOS!$E$5:$E$1005)+SUMPRODUCT((MOVIMIENTOS!$B$5:$B$1005="PROCESO")*(MOVIMIENTOS!$C$5:$C$1005="C")*(MOVIMIENTOS!$D$5:$D$1005="jabas")*(MOVIMIENTOS!$A$5:$A$1005&lt;&gt;"")*(MOVIMIENTOS!$A$5:$A$1005&lt;=$A715)*MOVIMIENTOS!$E$5:$E$1005)-SUMPRODUCT((MOVIMIENTOS!$B$5:$B$1005="ENVÍO A SUPESA")*(MOVIMIENTOS!$C$5:$C$1005="C")*(MOVIMIENTOS!$D$5:$D$1005="jabas")*(MOVIMIENTOS!$A$5:$A$1005&lt;&gt;"")*(MOVIMIENTOS!$A$5:$A$1005&lt;=$A715)*MOVIMIENTOS!$E$5:$E$1005)+SUMPRODUCT((MOVIMIENTOS!$B$5:$B$1005="DEVOLUCIÓN")*(MOVIMIENTOS!$C$5:$C$1005="C")*(MOVIMIENTOS!$D$5:$D$1005="jabas")*(MOVIMIENTOS!$A$5:$A$1005&lt;&gt;"")*(MOVIMIENTOS!$A$5:$A$1005&lt;=$A715)*MOVIMIENTOS!$E$5:$E$1005)-SUMPRODUCT((MOVIMIENTOS!$B$5:$B$1005="TRASIEGO")*(MOVIMIENTOS!$C$5:$C$1005="C")*(MOVIMIENTOS!$D$5:$D$1005="jabas")*(MOVIMIENTOS!$A$5:$A$1005&lt;&gt;"")*(MOVIMIENTOS!$A$5:$A$1005&lt;=$A715)*MOVIMIENTOS!$E$5:$E$1005)-SUMPRODUCT((MOVIMIENTOS!$B$5:$B$1005="REGALO")*(MOVIMIENTOS!$C$5:$C$1005="C")*(MOVIMIENTOS!$D$5:$D$1005="jabas")*(MOVIMIENTOS!$A$5:$A$1005&lt;&gt;"")*(MOVIMIENTOS!$A$5:$A$1005&lt;=$A715)*MOVIMIENTOS!$E$5:$E$1005)-SUMPRODUCT((MOVIMIENTOS!$B$5:$B$1005="VENTA")*(MOVIMIENTOS!$C$5:$C$1005="C")*(MOVIMIENTOS!$D$5:$D$1005="jabas")*(MOVIMIENTOS!$A$5:$A$1005&lt;&gt;"")*(MOVIMIENTOS!$A$5:$A$1005&lt;=$A715)*MOVIMIENTOS!$E$5:$E$1005)+SUMPRODUCT((MOVIMIENTOS!$B$5:$B$1005="AJUSTE")*(MOVIMIENTOS!$C$5:$C$1005="C")*(MOVIMIENTOS!$D$5:$D$1005="jabas")*(MOVIMIENTOS!$A$5:$A$1005&lt;&gt;"")*(MOVIMIENTOS!$A$5:$A$1005&lt;=$A715)*MOVIMIENTOS!$E$5:$E$1005))</f>
        <v/>
      </c>
      <c r="E715" t="str">
        <f>IF($A715="","",SUMPRODUCT((MOVIMIENTOS!$B$5:$B$1005="SALDO INICIAL")*(MOVIMIENTOS!$C$5:$C$1005="M")*(MOVIMIENTOS!$D$5:$D$1005="jabas")*(MOVIMIENTOS!$A$5:$A$1005&lt;&gt;"")*(MOVIMIENTOS!$A$5:$A$1005&lt;=$A715)*MOVIMIENTOS!$E$5:$E$1005)+SUMPRODUCT((MOVIMIENTOS!$B$5:$B$1005="PROCESO")*(MOVIMIENTOS!$C$5:$C$1005="M")*(MOVIMIENTOS!$D$5:$D$1005="jabas")*(MOVIMIENTOS!$A$5:$A$1005&lt;&gt;"")*(MOVIMIENTOS!$A$5:$A$1005&lt;=$A715)*MOVIMIENTOS!$E$5:$E$1005)-SUMPRODUCT((MOVIMIENTOS!$B$5:$B$1005="ENVÍO A SUPESA")*(MOVIMIENTOS!$C$5:$C$1005="M")*(MOVIMIENTOS!$D$5:$D$1005="jabas")*(MOVIMIENTOS!$A$5:$A$1005&lt;&gt;"")*(MOVIMIENTOS!$A$5:$A$1005&lt;=$A715)*MOVIMIENTOS!$E$5:$E$1005)+SUMPRODUCT((MOVIMIENTOS!$B$5:$B$1005="DEVOLUCIÓN")*(MOVIMIENTOS!$C$5:$C$1005="M")*(MOVIMIENTOS!$D$5:$D$1005="jabas")*(MOVIMIENTOS!$A$5:$A$1005&lt;&gt;"")*(MOVIMIENTOS!$A$5:$A$1005&lt;=$A715)*MOVIMIENTOS!$E$5:$E$1005)-SUMPRODUCT((MOVIMIENTOS!$B$5:$B$1005="TRASIEGO")*(MOVIMIENTOS!$C$5:$C$1005="M")*(MOVIMIENTOS!$D$5:$D$1005="jabas")*(MOVIMIENTOS!$A$5:$A$1005&lt;&gt;"")*(MOVIMIENTOS!$A$5:$A$1005&lt;=$A715)*MOVIMIENTOS!$E$5:$E$1005)-SUMPRODUCT((MOVIMIENTOS!$B$5:$B$1005="REGALO")*(MOVIMIENTOS!$C$5:$C$1005="M")*(MOVIMIENTOS!$D$5:$D$1005="jabas")*(MOVIMIENTOS!$A$5:$A$1005&lt;&gt;"")*(MOVIMIENTOS!$A$5:$A$1005&lt;=$A715)*MOVIMIENTOS!$E$5:$E$1005)-SUMPRODUCT((MOVIMIENTOS!$B$5:$B$1005="VENTA")*(MOVIMIENTOS!$C$5:$C$1005="M")*(MOVIMIENTOS!$D$5:$D$1005="jabas")*(MOVIMIENTOS!$A$5:$A$1005&lt;&gt;"")*(MOVIMIENTOS!$A$5:$A$1005&lt;=$A715)*MOVIMIENTOS!$E$5:$E$1005)+SUMPRODUCT((MOVIMIENTOS!$B$5:$B$1005="AJUSTE")*(MOVIMIENTOS!$C$5:$C$1005="M")*(MOVIMIENTOS!$D$5:$D$1005="jabas")*(MOVIMIENTOS!$A$5:$A$1005&lt;&gt;"")*(MOVIMIENTOS!$A$5:$A$1005&lt;=$A715)*MOVIMIENTOS!$E$5:$E$1005))</f>
        <v/>
      </c>
      <c r="F715" s="62" t="str">
        <f>IF($A715="","",SUMPRODUCT((MOVIMIENTOS!$B$5:$B$1005="SALDO INICIAL")*(MOVIMIENTOS!$C$5:$C$1005="Chancho")*(MOVIMIENTOS!$D$5:$D$1005="sacos")*(MOVIMIENTOS!$A$5:$A$1005&lt;&gt;"")*(MOVIMIENTOS!$A$5:$A$1005&lt;=$A715)*MOVIMIENTOS!$E$5:$E$1005)+SUMPRODUCT((MOVIMIENTOS!$B$5:$B$1005="PROCESO")*(MOVIMIENTOS!$C$5:$C$1005="Chancho")*(MOVIMIENTOS!$D$5:$D$1005="sacos")*(MOVIMIENTOS!$A$5:$A$1005&lt;&gt;"")*(MOVIMIENTOS!$A$5:$A$1005&lt;=$A715)*MOVIMIENTOS!$E$5:$E$1005)-SUMPRODUCT((MOVIMIENTOS!$B$5:$B$1005="VENTA CHANCHO")*(MOVIMIENTOS!$C$5:$C$1005="Chancho")*(MOVIMIENTOS!$D$5:$D$1005="sacos")*(MOVIMIENTOS!$A$5:$A$1005&lt;&gt;"")*(MOVIMIENTOS!$A$5:$A$1005&lt;=$A715)*MOVIMIENTOS!$E$5:$E$1005)-SUMPRODUCT((MOVIMIENTOS!$B$5:$B$1005="REGALO")*(MOVIMIENTOS!$C$5:$C$1005="Chancho")*(MOVIMIENTOS!$D$5:$D$1005="sacos")*(MOVIMIENTOS!$A$5:$A$1005&lt;&gt;"")*(MOVIMIENTOS!$A$5:$A$1005&lt;=$A715)*MOVIMIENTOS!$E$5:$E$1005)-SUMPRODUCT((MOVIMIENTOS!$B$5:$B$1005="VENTA")*(MOVIMIENTOS!$C$5:$C$1005="Chancho")*(MOVIMIENTOS!$D$5:$D$1005="sacos")*(MOVIMIENTOS!$A$5:$A$1005&lt;&gt;"")*(MOVIMIENTOS!$A$5:$A$1005&lt;=$A715)*MOVIMIENTOS!$E$5:$E$1005)+SUMPRODUCT((MOVIMIENTOS!$B$5:$B$1005="AJUSTE")*(MOVIMIENTOS!$C$5:$C$1005="Chancho")*(MOVIMIENTOS!$D$5:$D$1005="sacos")*(MOVIMIENTOS!$A$5:$A$1005&lt;&gt;"")*(MOVIMIENTOS!$A$5:$A$1005&lt;=$A715)*MOVIMIENTOS!$E$5:$E$1005))</f>
        <v/>
      </c>
      <c r="G715" s="62" t="str">
        <f t="shared" si="23"/>
        <v/>
      </c>
      <c r="H715" t="str">
        <f>IF($A715="","",SUMPRODUCT((((MOVIMIENTOS!$B$5:$B$1005="SALDO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715)*MOVIMIENTOS!$J$5:$J$1005))</f>
        <v/>
      </c>
      <c r="J715" t="str">
        <f>IF(AND(MOVIMIENTOS!$A720&lt;&gt;"",COUNTIF(MOVIMIENTOS!$A$5:$A719,MOVIMIENTOS!$A720)=0),COUNT(J$4:J714)+1,"")</f>
        <v/>
      </c>
      <c r="K715">
        <f>MOVIMIENTOS!$A720</f>
        <v>0</v>
      </c>
    </row>
    <row r="716" spans="1:11" ht="15" customHeight="1" x14ac:dyDescent="0.2">
      <c r="A716" t="str">
        <f t="shared" si="22"/>
        <v/>
      </c>
      <c r="B716" t="str">
        <f>IF($A716="","",SUMPRODUCT((MOVIMIENTOS!$B$5:$B$1005="SALDO INICIAL")*(MOVIMIENTOS!$C$5:$C$1005="A")*(MOVIMIENTOS!$D$5:$D$1005="jabas")*(MOVIMIENTOS!$A$5:$A$1005&lt;&gt;"")*(MOVIMIENTOS!$A$5:$A$1005&lt;=$A716)*MOVIMIENTOS!$E$5:$E$1005)+SUMPRODUCT((MOVIMIENTOS!$B$5:$B$1005="PROCESO")*(MOVIMIENTOS!$C$5:$C$1005="A")*(MOVIMIENTOS!$D$5:$D$1005="jabas")*(MOVIMIENTOS!$A$5:$A$1005&lt;&gt;"")*(MOVIMIENTOS!$A$5:$A$1005&lt;=$A716)*MOVIMIENTOS!$E$5:$E$1005)-SUMPRODUCT((MOVIMIENTOS!$B$5:$B$1005="ENVÍO A SUPESA")*(MOVIMIENTOS!$C$5:$C$1005="A")*(MOVIMIENTOS!$D$5:$D$1005="jabas")*(MOVIMIENTOS!$A$5:$A$1005&lt;&gt;"")*(MOVIMIENTOS!$A$5:$A$1005&lt;=$A716)*MOVIMIENTOS!$E$5:$E$1005)+SUMPRODUCT((MOVIMIENTOS!$B$5:$B$1005="DEVOLUCIÓN")*(MOVIMIENTOS!$C$5:$C$1005="A")*(MOVIMIENTOS!$D$5:$D$1005="jabas")*(MOVIMIENTOS!$A$5:$A$1005&lt;&gt;"")*(MOVIMIENTOS!$A$5:$A$1005&lt;=$A716)*MOVIMIENTOS!$E$5:$E$1005)-SUMPRODUCT((MOVIMIENTOS!$B$5:$B$1005="TRASIEGO")*(MOVIMIENTOS!$C$5:$C$1005="A")*(MOVIMIENTOS!$D$5:$D$1005="jabas")*(MOVIMIENTOS!$A$5:$A$1005&lt;&gt;"")*(MOVIMIENTOS!$A$5:$A$1005&lt;=$A716)*MOVIMIENTOS!$E$5:$E$1005)-SUMPRODUCT((MOVIMIENTOS!$B$5:$B$1005="REGALO")*(MOVIMIENTOS!$C$5:$C$1005="A")*(MOVIMIENTOS!$D$5:$D$1005="jabas")*(MOVIMIENTOS!$A$5:$A$1005&lt;&gt;"")*(MOVIMIENTOS!$A$5:$A$1005&lt;=$A716)*MOVIMIENTOS!$E$5:$E$1005)-SUMPRODUCT((MOVIMIENTOS!$B$5:$B$1005="VENTA")*(MOVIMIENTOS!$C$5:$C$1005="A")*(MOVIMIENTOS!$D$5:$D$1005="jabas")*(MOVIMIENTOS!$A$5:$A$1005&lt;&gt;"")*(MOVIMIENTOS!$A$5:$A$1005&lt;=$A716)*MOVIMIENTOS!$E$5:$E$1005)+SUMPRODUCT((MOVIMIENTOS!$B$5:$B$1005="AJUSTE")*(MOVIMIENTOS!$C$5:$C$1005="A")*(MOVIMIENTOS!$D$5:$D$1005="jabas")*(MOVIMIENTOS!$A$5:$A$1005&lt;&gt;"")*(MOVIMIENTOS!$A$5:$A$1005&lt;=$A716)*MOVIMIENTOS!$E$5:$E$1005))</f>
        <v/>
      </c>
      <c r="C716" t="str">
        <f>IF($A716="","",SUMPRODUCT((MOVIMIENTOS!$B$5:$B$1005="SALDO INICIAL")*(MOVIMIENTOS!$C$5:$C$1005="P")*(MOVIMIENTOS!$D$5:$D$1005="jabas")*(MOVIMIENTOS!$A$5:$A$1005&lt;&gt;"")*(MOVIMIENTOS!$A$5:$A$1005&lt;=$A716)*MOVIMIENTOS!$E$5:$E$1005)+SUMPRODUCT((MOVIMIENTOS!$B$5:$B$1005="PROCESO")*(MOVIMIENTOS!$C$5:$C$1005="P")*(MOVIMIENTOS!$D$5:$D$1005="jabas")*(MOVIMIENTOS!$A$5:$A$1005&lt;&gt;"")*(MOVIMIENTOS!$A$5:$A$1005&lt;=$A716)*MOVIMIENTOS!$E$5:$E$1005)-SUMPRODUCT((MOVIMIENTOS!$B$5:$B$1005="ENVÍO A SUPESA")*(MOVIMIENTOS!$C$5:$C$1005="P")*(MOVIMIENTOS!$D$5:$D$1005="jabas")*(MOVIMIENTOS!$A$5:$A$1005&lt;&gt;"")*(MOVIMIENTOS!$A$5:$A$1005&lt;=$A716)*MOVIMIENTOS!$E$5:$E$1005)+SUMPRODUCT((MOVIMIENTOS!$B$5:$B$1005="DEVOLUCIÓN")*(MOVIMIENTOS!$C$5:$C$1005="P")*(MOVIMIENTOS!$D$5:$D$1005="jabas")*(MOVIMIENTOS!$A$5:$A$1005&lt;&gt;"")*(MOVIMIENTOS!$A$5:$A$1005&lt;=$A716)*MOVIMIENTOS!$E$5:$E$1005)-SUMPRODUCT((MOVIMIENTOS!$B$5:$B$1005="TRASIEGO")*(MOVIMIENTOS!$C$5:$C$1005="P")*(MOVIMIENTOS!$D$5:$D$1005="jabas")*(MOVIMIENTOS!$A$5:$A$1005&lt;&gt;"")*(MOVIMIENTOS!$A$5:$A$1005&lt;=$A716)*MOVIMIENTOS!$E$5:$E$1005)-SUMPRODUCT((MOVIMIENTOS!$B$5:$B$1005="REGALO")*(MOVIMIENTOS!$C$5:$C$1005="P")*(MOVIMIENTOS!$D$5:$D$1005="jabas")*(MOVIMIENTOS!$A$5:$A$1005&lt;&gt;"")*(MOVIMIENTOS!$A$5:$A$1005&lt;=$A716)*MOVIMIENTOS!$E$5:$E$1005)-SUMPRODUCT((MOVIMIENTOS!$B$5:$B$1005="VENTA")*(MOVIMIENTOS!$C$5:$C$1005="P")*(MOVIMIENTOS!$D$5:$D$1005="jabas")*(MOVIMIENTOS!$A$5:$A$1005&lt;&gt;"")*(MOVIMIENTOS!$A$5:$A$1005&lt;=$A716)*MOVIMIENTOS!$E$5:$E$1005)+SUMPRODUCT((MOVIMIENTOS!$B$5:$B$1005="AJUSTE")*(MOVIMIENTOS!$C$5:$C$1005="P")*(MOVIMIENTOS!$D$5:$D$1005="jabas")*(MOVIMIENTOS!$A$5:$A$1005&lt;&gt;"")*(MOVIMIENTOS!$A$5:$A$1005&lt;=$A716)*MOVIMIENTOS!$E$5:$E$1005))</f>
        <v/>
      </c>
      <c r="D716" t="str">
        <f>IF($A716="","",SUMPRODUCT((MOVIMIENTOS!$B$5:$B$1005="SALDO INICIAL")*(MOVIMIENTOS!$C$5:$C$1005="C")*(MOVIMIENTOS!$D$5:$D$1005="jabas")*(MOVIMIENTOS!$A$5:$A$1005&lt;&gt;"")*(MOVIMIENTOS!$A$5:$A$1005&lt;=$A716)*MOVIMIENTOS!$E$5:$E$1005)+SUMPRODUCT((MOVIMIENTOS!$B$5:$B$1005="PROCESO")*(MOVIMIENTOS!$C$5:$C$1005="C")*(MOVIMIENTOS!$D$5:$D$1005="jabas")*(MOVIMIENTOS!$A$5:$A$1005&lt;&gt;"")*(MOVIMIENTOS!$A$5:$A$1005&lt;=$A716)*MOVIMIENTOS!$E$5:$E$1005)-SUMPRODUCT((MOVIMIENTOS!$B$5:$B$1005="ENVÍO A SUPESA")*(MOVIMIENTOS!$C$5:$C$1005="C")*(MOVIMIENTOS!$D$5:$D$1005="jabas")*(MOVIMIENTOS!$A$5:$A$1005&lt;&gt;"")*(MOVIMIENTOS!$A$5:$A$1005&lt;=$A716)*MOVIMIENTOS!$E$5:$E$1005)+SUMPRODUCT((MOVIMIENTOS!$B$5:$B$1005="DEVOLUCIÓN")*(MOVIMIENTOS!$C$5:$C$1005="C")*(MOVIMIENTOS!$D$5:$D$1005="jabas")*(MOVIMIENTOS!$A$5:$A$1005&lt;&gt;"")*(MOVIMIENTOS!$A$5:$A$1005&lt;=$A716)*MOVIMIENTOS!$E$5:$E$1005)-SUMPRODUCT((MOVIMIENTOS!$B$5:$B$1005="TRASIEGO")*(MOVIMIENTOS!$C$5:$C$1005="C")*(MOVIMIENTOS!$D$5:$D$1005="jabas")*(MOVIMIENTOS!$A$5:$A$1005&lt;&gt;"")*(MOVIMIENTOS!$A$5:$A$1005&lt;=$A716)*MOVIMIENTOS!$E$5:$E$1005)-SUMPRODUCT((MOVIMIENTOS!$B$5:$B$1005="REGALO")*(MOVIMIENTOS!$C$5:$C$1005="C")*(MOVIMIENTOS!$D$5:$D$1005="jabas")*(MOVIMIENTOS!$A$5:$A$1005&lt;&gt;"")*(MOVIMIENTOS!$A$5:$A$1005&lt;=$A716)*MOVIMIENTOS!$E$5:$E$1005)-SUMPRODUCT((MOVIMIENTOS!$B$5:$B$1005="VENTA")*(MOVIMIENTOS!$C$5:$C$1005="C")*(MOVIMIENTOS!$D$5:$D$1005="jabas")*(MOVIMIENTOS!$A$5:$A$1005&lt;&gt;"")*(MOVIMIENTOS!$A$5:$A$1005&lt;=$A716)*MOVIMIENTOS!$E$5:$E$1005)+SUMPRODUCT((MOVIMIENTOS!$B$5:$B$1005="AJUSTE")*(MOVIMIENTOS!$C$5:$C$1005="C")*(MOVIMIENTOS!$D$5:$D$1005="jabas")*(MOVIMIENTOS!$A$5:$A$1005&lt;&gt;"")*(MOVIMIENTOS!$A$5:$A$1005&lt;=$A716)*MOVIMIENTOS!$E$5:$E$1005))</f>
        <v/>
      </c>
      <c r="E716" t="str">
        <f>IF($A716="","",SUMPRODUCT((MOVIMIENTOS!$B$5:$B$1005="SALDO INICIAL")*(MOVIMIENTOS!$C$5:$C$1005="M")*(MOVIMIENTOS!$D$5:$D$1005="jabas")*(MOVIMIENTOS!$A$5:$A$1005&lt;&gt;"")*(MOVIMIENTOS!$A$5:$A$1005&lt;=$A716)*MOVIMIENTOS!$E$5:$E$1005)+SUMPRODUCT((MOVIMIENTOS!$B$5:$B$1005="PROCESO")*(MOVIMIENTOS!$C$5:$C$1005="M")*(MOVIMIENTOS!$D$5:$D$1005="jabas")*(MOVIMIENTOS!$A$5:$A$1005&lt;&gt;"")*(MOVIMIENTOS!$A$5:$A$1005&lt;=$A716)*MOVIMIENTOS!$E$5:$E$1005)-SUMPRODUCT((MOVIMIENTOS!$B$5:$B$1005="ENVÍO A SUPESA")*(MOVIMIENTOS!$C$5:$C$1005="M")*(MOVIMIENTOS!$D$5:$D$1005="jabas")*(MOVIMIENTOS!$A$5:$A$1005&lt;&gt;"")*(MOVIMIENTOS!$A$5:$A$1005&lt;=$A716)*MOVIMIENTOS!$E$5:$E$1005)+SUMPRODUCT((MOVIMIENTOS!$B$5:$B$1005="DEVOLUCIÓN")*(MOVIMIENTOS!$C$5:$C$1005="M")*(MOVIMIENTOS!$D$5:$D$1005="jabas")*(MOVIMIENTOS!$A$5:$A$1005&lt;&gt;"")*(MOVIMIENTOS!$A$5:$A$1005&lt;=$A716)*MOVIMIENTOS!$E$5:$E$1005)-SUMPRODUCT((MOVIMIENTOS!$B$5:$B$1005="TRASIEGO")*(MOVIMIENTOS!$C$5:$C$1005="M")*(MOVIMIENTOS!$D$5:$D$1005="jabas")*(MOVIMIENTOS!$A$5:$A$1005&lt;&gt;"")*(MOVIMIENTOS!$A$5:$A$1005&lt;=$A716)*MOVIMIENTOS!$E$5:$E$1005)-SUMPRODUCT((MOVIMIENTOS!$B$5:$B$1005="REGALO")*(MOVIMIENTOS!$C$5:$C$1005="M")*(MOVIMIENTOS!$D$5:$D$1005="jabas")*(MOVIMIENTOS!$A$5:$A$1005&lt;&gt;"")*(MOVIMIENTOS!$A$5:$A$1005&lt;=$A716)*MOVIMIENTOS!$E$5:$E$1005)-SUMPRODUCT((MOVIMIENTOS!$B$5:$B$1005="VENTA")*(MOVIMIENTOS!$C$5:$C$1005="M")*(MOVIMIENTOS!$D$5:$D$1005="jabas")*(MOVIMIENTOS!$A$5:$A$1005&lt;&gt;"")*(MOVIMIENTOS!$A$5:$A$1005&lt;=$A716)*MOVIMIENTOS!$E$5:$E$1005)+SUMPRODUCT((MOVIMIENTOS!$B$5:$B$1005="AJUSTE")*(MOVIMIENTOS!$C$5:$C$1005="M")*(MOVIMIENTOS!$D$5:$D$1005="jabas")*(MOVIMIENTOS!$A$5:$A$1005&lt;&gt;"")*(MOVIMIENTOS!$A$5:$A$1005&lt;=$A716)*MOVIMIENTOS!$E$5:$E$1005))</f>
        <v/>
      </c>
      <c r="F716" s="62" t="str">
        <f>IF($A716="","",SUMPRODUCT((MOVIMIENTOS!$B$5:$B$1005="SALDO INICIAL")*(MOVIMIENTOS!$C$5:$C$1005="Chancho")*(MOVIMIENTOS!$D$5:$D$1005="sacos")*(MOVIMIENTOS!$A$5:$A$1005&lt;&gt;"")*(MOVIMIENTOS!$A$5:$A$1005&lt;=$A716)*MOVIMIENTOS!$E$5:$E$1005)+SUMPRODUCT((MOVIMIENTOS!$B$5:$B$1005="PROCESO")*(MOVIMIENTOS!$C$5:$C$1005="Chancho")*(MOVIMIENTOS!$D$5:$D$1005="sacos")*(MOVIMIENTOS!$A$5:$A$1005&lt;&gt;"")*(MOVIMIENTOS!$A$5:$A$1005&lt;=$A716)*MOVIMIENTOS!$E$5:$E$1005)-SUMPRODUCT((MOVIMIENTOS!$B$5:$B$1005="VENTA CHANCHO")*(MOVIMIENTOS!$C$5:$C$1005="Chancho")*(MOVIMIENTOS!$D$5:$D$1005="sacos")*(MOVIMIENTOS!$A$5:$A$1005&lt;&gt;"")*(MOVIMIENTOS!$A$5:$A$1005&lt;=$A716)*MOVIMIENTOS!$E$5:$E$1005)-SUMPRODUCT((MOVIMIENTOS!$B$5:$B$1005="REGALO")*(MOVIMIENTOS!$C$5:$C$1005="Chancho")*(MOVIMIENTOS!$D$5:$D$1005="sacos")*(MOVIMIENTOS!$A$5:$A$1005&lt;&gt;"")*(MOVIMIENTOS!$A$5:$A$1005&lt;=$A716)*MOVIMIENTOS!$E$5:$E$1005)-SUMPRODUCT((MOVIMIENTOS!$B$5:$B$1005="VENTA")*(MOVIMIENTOS!$C$5:$C$1005="Chancho")*(MOVIMIENTOS!$D$5:$D$1005="sacos")*(MOVIMIENTOS!$A$5:$A$1005&lt;&gt;"")*(MOVIMIENTOS!$A$5:$A$1005&lt;=$A716)*MOVIMIENTOS!$E$5:$E$1005)+SUMPRODUCT((MOVIMIENTOS!$B$5:$B$1005="AJUSTE")*(MOVIMIENTOS!$C$5:$C$1005="Chancho")*(MOVIMIENTOS!$D$5:$D$1005="sacos")*(MOVIMIENTOS!$A$5:$A$1005&lt;&gt;"")*(MOVIMIENTOS!$A$5:$A$1005&lt;=$A716)*MOVIMIENTOS!$E$5:$E$1005))</f>
        <v/>
      </c>
      <c r="G716" s="62" t="str">
        <f t="shared" si="23"/>
        <v/>
      </c>
      <c r="H716" t="str">
        <f>IF($A716="","",SUMPRODUCT((((MOVIMIENTOS!$B$5:$B$1005="SALDO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716)*MOVIMIENTOS!$J$5:$J$1005))</f>
        <v/>
      </c>
      <c r="J716" t="str">
        <f>IF(AND(MOVIMIENTOS!$A721&lt;&gt;"",COUNTIF(MOVIMIENTOS!$A$5:$A720,MOVIMIENTOS!$A721)=0),COUNT(J$4:J715)+1,"")</f>
        <v/>
      </c>
      <c r="K716">
        <f>MOVIMIENTOS!$A721</f>
        <v>0</v>
      </c>
    </row>
    <row r="717" spans="1:11" ht="15" customHeight="1" x14ac:dyDescent="0.2">
      <c r="A717" t="str">
        <f t="shared" si="22"/>
        <v/>
      </c>
      <c r="B717" t="str">
        <f>IF($A717="","",SUMPRODUCT((MOVIMIENTOS!$B$5:$B$1005="SALDO INICIAL")*(MOVIMIENTOS!$C$5:$C$1005="A")*(MOVIMIENTOS!$D$5:$D$1005="jabas")*(MOVIMIENTOS!$A$5:$A$1005&lt;&gt;"")*(MOVIMIENTOS!$A$5:$A$1005&lt;=$A717)*MOVIMIENTOS!$E$5:$E$1005)+SUMPRODUCT((MOVIMIENTOS!$B$5:$B$1005="PROCESO")*(MOVIMIENTOS!$C$5:$C$1005="A")*(MOVIMIENTOS!$D$5:$D$1005="jabas")*(MOVIMIENTOS!$A$5:$A$1005&lt;&gt;"")*(MOVIMIENTOS!$A$5:$A$1005&lt;=$A717)*MOVIMIENTOS!$E$5:$E$1005)-SUMPRODUCT((MOVIMIENTOS!$B$5:$B$1005="ENVÍO A SUPESA")*(MOVIMIENTOS!$C$5:$C$1005="A")*(MOVIMIENTOS!$D$5:$D$1005="jabas")*(MOVIMIENTOS!$A$5:$A$1005&lt;&gt;"")*(MOVIMIENTOS!$A$5:$A$1005&lt;=$A717)*MOVIMIENTOS!$E$5:$E$1005)+SUMPRODUCT((MOVIMIENTOS!$B$5:$B$1005="DEVOLUCIÓN")*(MOVIMIENTOS!$C$5:$C$1005="A")*(MOVIMIENTOS!$D$5:$D$1005="jabas")*(MOVIMIENTOS!$A$5:$A$1005&lt;&gt;"")*(MOVIMIENTOS!$A$5:$A$1005&lt;=$A717)*MOVIMIENTOS!$E$5:$E$1005)-SUMPRODUCT((MOVIMIENTOS!$B$5:$B$1005="TRASIEGO")*(MOVIMIENTOS!$C$5:$C$1005="A")*(MOVIMIENTOS!$D$5:$D$1005="jabas")*(MOVIMIENTOS!$A$5:$A$1005&lt;&gt;"")*(MOVIMIENTOS!$A$5:$A$1005&lt;=$A717)*MOVIMIENTOS!$E$5:$E$1005)-SUMPRODUCT((MOVIMIENTOS!$B$5:$B$1005="REGALO")*(MOVIMIENTOS!$C$5:$C$1005="A")*(MOVIMIENTOS!$D$5:$D$1005="jabas")*(MOVIMIENTOS!$A$5:$A$1005&lt;&gt;"")*(MOVIMIENTOS!$A$5:$A$1005&lt;=$A717)*MOVIMIENTOS!$E$5:$E$1005)-SUMPRODUCT((MOVIMIENTOS!$B$5:$B$1005="VENTA")*(MOVIMIENTOS!$C$5:$C$1005="A")*(MOVIMIENTOS!$D$5:$D$1005="jabas")*(MOVIMIENTOS!$A$5:$A$1005&lt;&gt;"")*(MOVIMIENTOS!$A$5:$A$1005&lt;=$A717)*MOVIMIENTOS!$E$5:$E$1005)+SUMPRODUCT((MOVIMIENTOS!$B$5:$B$1005="AJUSTE")*(MOVIMIENTOS!$C$5:$C$1005="A")*(MOVIMIENTOS!$D$5:$D$1005="jabas")*(MOVIMIENTOS!$A$5:$A$1005&lt;&gt;"")*(MOVIMIENTOS!$A$5:$A$1005&lt;=$A717)*MOVIMIENTOS!$E$5:$E$1005))</f>
        <v/>
      </c>
      <c r="C717" t="str">
        <f>IF($A717="","",SUMPRODUCT((MOVIMIENTOS!$B$5:$B$1005="SALDO INICIAL")*(MOVIMIENTOS!$C$5:$C$1005="P")*(MOVIMIENTOS!$D$5:$D$1005="jabas")*(MOVIMIENTOS!$A$5:$A$1005&lt;&gt;"")*(MOVIMIENTOS!$A$5:$A$1005&lt;=$A717)*MOVIMIENTOS!$E$5:$E$1005)+SUMPRODUCT((MOVIMIENTOS!$B$5:$B$1005="PROCESO")*(MOVIMIENTOS!$C$5:$C$1005="P")*(MOVIMIENTOS!$D$5:$D$1005="jabas")*(MOVIMIENTOS!$A$5:$A$1005&lt;&gt;"")*(MOVIMIENTOS!$A$5:$A$1005&lt;=$A717)*MOVIMIENTOS!$E$5:$E$1005)-SUMPRODUCT((MOVIMIENTOS!$B$5:$B$1005="ENVÍO A SUPESA")*(MOVIMIENTOS!$C$5:$C$1005="P")*(MOVIMIENTOS!$D$5:$D$1005="jabas")*(MOVIMIENTOS!$A$5:$A$1005&lt;&gt;"")*(MOVIMIENTOS!$A$5:$A$1005&lt;=$A717)*MOVIMIENTOS!$E$5:$E$1005)+SUMPRODUCT((MOVIMIENTOS!$B$5:$B$1005="DEVOLUCIÓN")*(MOVIMIENTOS!$C$5:$C$1005="P")*(MOVIMIENTOS!$D$5:$D$1005="jabas")*(MOVIMIENTOS!$A$5:$A$1005&lt;&gt;"")*(MOVIMIENTOS!$A$5:$A$1005&lt;=$A717)*MOVIMIENTOS!$E$5:$E$1005)-SUMPRODUCT((MOVIMIENTOS!$B$5:$B$1005="TRASIEGO")*(MOVIMIENTOS!$C$5:$C$1005="P")*(MOVIMIENTOS!$D$5:$D$1005="jabas")*(MOVIMIENTOS!$A$5:$A$1005&lt;&gt;"")*(MOVIMIENTOS!$A$5:$A$1005&lt;=$A717)*MOVIMIENTOS!$E$5:$E$1005)-SUMPRODUCT((MOVIMIENTOS!$B$5:$B$1005="REGALO")*(MOVIMIENTOS!$C$5:$C$1005="P")*(MOVIMIENTOS!$D$5:$D$1005="jabas")*(MOVIMIENTOS!$A$5:$A$1005&lt;&gt;"")*(MOVIMIENTOS!$A$5:$A$1005&lt;=$A717)*MOVIMIENTOS!$E$5:$E$1005)-SUMPRODUCT((MOVIMIENTOS!$B$5:$B$1005="VENTA")*(MOVIMIENTOS!$C$5:$C$1005="P")*(MOVIMIENTOS!$D$5:$D$1005="jabas")*(MOVIMIENTOS!$A$5:$A$1005&lt;&gt;"")*(MOVIMIENTOS!$A$5:$A$1005&lt;=$A717)*MOVIMIENTOS!$E$5:$E$1005)+SUMPRODUCT((MOVIMIENTOS!$B$5:$B$1005="AJUSTE")*(MOVIMIENTOS!$C$5:$C$1005="P")*(MOVIMIENTOS!$D$5:$D$1005="jabas")*(MOVIMIENTOS!$A$5:$A$1005&lt;&gt;"")*(MOVIMIENTOS!$A$5:$A$1005&lt;=$A717)*MOVIMIENTOS!$E$5:$E$1005))</f>
        <v/>
      </c>
      <c r="D717" t="str">
        <f>IF($A717="","",SUMPRODUCT((MOVIMIENTOS!$B$5:$B$1005="SALDO INICIAL")*(MOVIMIENTOS!$C$5:$C$1005="C")*(MOVIMIENTOS!$D$5:$D$1005="jabas")*(MOVIMIENTOS!$A$5:$A$1005&lt;&gt;"")*(MOVIMIENTOS!$A$5:$A$1005&lt;=$A717)*MOVIMIENTOS!$E$5:$E$1005)+SUMPRODUCT((MOVIMIENTOS!$B$5:$B$1005="PROCESO")*(MOVIMIENTOS!$C$5:$C$1005="C")*(MOVIMIENTOS!$D$5:$D$1005="jabas")*(MOVIMIENTOS!$A$5:$A$1005&lt;&gt;"")*(MOVIMIENTOS!$A$5:$A$1005&lt;=$A717)*MOVIMIENTOS!$E$5:$E$1005)-SUMPRODUCT((MOVIMIENTOS!$B$5:$B$1005="ENVÍO A SUPESA")*(MOVIMIENTOS!$C$5:$C$1005="C")*(MOVIMIENTOS!$D$5:$D$1005="jabas")*(MOVIMIENTOS!$A$5:$A$1005&lt;&gt;"")*(MOVIMIENTOS!$A$5:$A$1005&lt;=$A717)*MOVIMIENTOS!$E$5:$E$1005)+SUMPRODUCT((MOVIMIENTOS!$B$5:$B$1005="DEVOLUCIÓN")*(MOVIMIENTOS!$C$5:$C$1005="C")*(MOVIMIENTOS!$D$5:$D$1005="jabas")*(MOVIMIENTOS!$A$5:$A$1005&lt;&gt;"")*(MOVIMIENTOS!$A$5:$A$1005&lt;=$A717)*MOVIMIENTOS!$E$5:$E$1005)-SUMPRODUCT((MOVIMIENTOS!$B$5:$B$1005="TRASIEGO")*(MOVIMIENTOS!$C$5:$C$1005="C")*(MOVIMIENTOS!$D$5:$D$1005="jabas")*(MOVIMIENTOS!$A$5:$A$1005&lt;&gt;"")*(MOVIMIENTOS!$A$5:$A$1005&lt;=$A717)*MOVIMIENTOS!$E$5:$E$1005)-SUMPRODUCT((MOVIMIENTOS!$B$5:$B$1005="REGALO")*(MOVIMIENTOS!$C$5:$C$1005="C")*(MOVIMIENTOS!$D$5:$D$1005="jabas")*(MOVIMIENTOS!$A$5:$A$1005&lt;&gt;"")*(MOVIMIENTOS!$A$5:$A$1005&lt;=$A717)*MOVIMIENTOS!$E$5:$E$1005)-SUMPRODUCT((MOVIMIENTOS!$B$5:$B$1005="VENTA")*(MOVIMIENTOS!$C$5:$C$1005="C")*(MOVIMIENTOS!$D$5:$D$1005="jabas")*(MOVIMIENTOS!$A$5:$A$1005&lt;&gt;"")*(MOVIMIENTOS!$A$5:$A$1005&lt;=$A717)*MOVIMIENTOS!$E$5:$E$1005)+SUMPRODUCT((MOVIMIENTOS!$B$5:$B$1005="AJUSTE")*(MOVIMIENTOS!$C$5:$C$1005="C")*(MOVIMIENTOS!$D$5:$D$1005="jabas")*(MOVIMIENTOS!$A$5:$A$1005&lt;&gt;"")*(MOVIMIENTOS!$A$5:$A$1005&lt;=$A717)*MOVIMIENTOS!$E$5:$E$1005))</f>
        <v/>
      </c>
      <c r="E717" t="str">
        <f>IF($A717="","",SUMPRODUCT((MOVIMIENTOS!$B$5:$B$1005="SALDO INICIAL")*(MOVIMIENTOS!$C$5:$C$1005="M")*(MOVIMIENTOS!$D$5:$D$1005="jabas")*(MOVIMIENTOS!$A$5:$A$1005&lt;&gt;"")*(MOVIMIENTOS!$A$5:$A$1005&lt;=$A717)*MOVIMIENTOS!$E$5:$E$1005)+SUMPRODUCT((MOVIMIENTOS!$B$5:$B$1005="PROCESO")*(MOVIMIENTOS!$C$5:$C$1005="M")*(MOVIMIENTOS!$D$5:$D$1005="jabas")*(MOVIMIENTOS!$A$5:$A$1005&lt;&gt;"")*(MOVIMIENTOS!$A$5:$A$1005&lt;=$A717)*MOVIMIENTOS!$E$5:$E$1005)-SUMPRODUCT((MOVIMIENTOS!$B$5:$B$1005="ENVÍO A SUPESA")*(MOVIMIENTOS!$C$5:$C$1005="M")*(MOVIMIENTOS!$D$5:$D$1005="jabas")*(MOVIMIENTOS!$A$5:$A$1005&lt;&gt;"")*(MOVIMIENTOS!$A$5:$A$1005&lt;=$A717)*MOVIMIENTOS!$E$5:$E$1005)+SUMPRODUCT((MOVIMIENTOS!$B$5:$B$1005="DEVOLUCIÓN")*(MOVIMIENTOS!$C$5:$C$1005="M")*(MOVIMIENTOS!$D$5:$D$1005="jabas")*(MOVIMIENTOS!$A$5:$A$1005&lt;&gt;"")*(MOVIMIENTOS!$A$5:$A$1005&lt;=$A717)*MOVIMIENTOS!$E$5:$E$1005)-SUMPRODUCT((MOVIMIENTOS!$B$5:$B$1005="TRASIEGO")*(MOVIMIENTOS!$C$5:$C$1005="M")*(MOVIMIENTOS!$D$5:$D$1005="jabas")*(MOVIMIENTOS!$A$5:$A$1005&lt;&gt;"")*(MOVIMIENTOS!$A$5:$A$1005&lt;=$A717)*MOVIMIENTOS!$E$5:$E$1005)-SUMPRODUCT((MOVIMIENTOS!$B$5:$B$1005="REGALO")*(MOVIMIENTOS!$C$5:$C$1005="M")*(MOVIMIENTOS!$D$5:$D$1005="jabas")*(MOVIMIENTOS!$A$5:$A$1005&lt;&gt;"")*(MOVIMIENTOS!$A$5:$A$1005&lt;=$A717)*MOVIMIENTOS!$E$5:$E$1005)-SUMPRODUCT((MOVIMIENTOS!$B$5:$B$1005="VENTA")*(MOVIMIENTOS!$C$5:$C$1005="M")*(MOVIMIENTOS!$D$5:$D$1005="jabas")*(MOVIMIENTOS!$A$5:$A$1005&lt;&gt;"")*(MOVIMIENTOS!$A$5:$A$1005&lt;=$A717)*MOVIMIENTOS!$E$5:$E$1005)+SUMPRODUCT((MOVIMIENTOS!$B$5:$B$1005="AJUSTE")*(MOVIMIENTOS!$C$5:$C$1005="M")*(MOVIMIENTOS!$D$5:$D$1005="jabas")*(MOVIMIENTOS!$A$5:$A$1005&lt;&gt;"")*(MOVIMIENTOS!$A$5:$A$1005&lt;=$A717)*MOVIMIENTOS!$E$5:$E$1005))</f>
        <v/>
      </c>
      <c r="F717" s="62" t="str">
        <f>IF($A717="","",SUMPRODUCT((MOVIMIENTOS!$B$5:$B$1005="SALDO INICIAL")*(MOVIMIENTOS!$C$5:$C$1005="Chancho")*(MOVIMIENTOS!$D$5:$D$1005="sacos")*(MOVIMIENTOS!$A$5:$A$1005&lt;&gt;"")*(MOVIMIENTOS!$A$5:$A$1005&lt;=$A717)*MOVIMIENTOS!$E$5:$E$1005)+SUMPRODUCT((MOVIMIENTOS!$B$5:$B$1005="PROCESO")*(MOVIMIENTOS!$C$5:$C$1005="Chancho")*(MOVIMIENTOS!$D$5:$D$1005="sacos")*(MOVIMIENTOS!$A$5:$A$1005&lt;&gt;"")*(MOVIMIENTOS!$A$5:$A$1005&lt;=$A717)*MOVIMIENTOS!$E$5:$E$1005)-SUMPRODUCT((MOVIMIENTOS!$B$5:$B$1005="VENTA CHANCHO")*(MOVIMIENTOS!$C$5:$C$1005="Chancho")*(MOVIMIENTOS!$D$5:$D$1005="sacos")*(MOVIMIENTOS!$A$5:$A$1005&lt;&gt;"")*(MOVIMIENTOS!$A$5:$A$1005&lt;=$A717)*MOVIMIENTOS!$E$5:$E$1005)-SUMPRODUCT((MOVIMIENTOS!$B$5:$B$1005="REGALO")*(MOVIMIENTOS!$C$5:$C$1005="Chancho")*(MOVIMIENTOS!$D$5:$D$1005="sacos")*(MOVIMIENTOS!$A$5:$A$1005&lt;&gt;"")*(MOVIMIENTOS!$A$5:$A$1005&lt;=$A717)*MOVIMIENTOS!$E$5:$E$1005)-SUMPRODUCT((MOVIMIENTOS!$B$5:$B$1005="VENTA")*(MOVIMIENTOS!$C$5:$C$1005="Chancho")*(MOVIMIENTOS!$D$5:$D$1005="sacos")*(MOVIMIENTOS!$A$5:$A$1005&lt;&gt;"")*(MOVIMIENTOS!$A$5:$A$1005&lt;=$A717)*MOVIMIENTOS!$E$5:$E$1005)+SUMPRODUCT((MOVIMIENTOS!$B$5:$B$1005="AJUSTE")*(MOVIMIENTOS!$C$5:$C$1005="Chancho")*(MOVIMIENTOS!$D$5:$D$1005="sacos")*(MOVIMIENTOS!$A$5:$A$1005&lt;&gt;"")*(MOVIMIENTOS!$A$5:$A$1005&lt;=$A717)*MOVIMIENTOS!$E$5:$E$1005))</f>
        <v/>
      </c>
      <c r="G717" s="62" t="str">
        <f t="shared" si="23"/>
        <v/>
      </c>
      <c r="H717" t="str">
        <f>IF($A717="","",SUMPRODUCT((((MOVIMIENTOS!$B$5:$B$1005="SALDO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717)*MOVIMIENTOS!$J$5:$J$1005))</f>
        <v/>
      </c>
      <c r="J717" t="str">
        <f>IF(AND(MOVIMIENTOS!$A722&lt;&gt;"",COUNTIF(MOVIMIENTOS!$A$5:$A721,MOVIMIENTOS!$A722)=0),COUNT(J$4:J716)+1,"")</f>
        <v/>
      </c>
      <c r="K717">
        <f>MOVIMIENTOS!$A722</f>
        <v>0</v>
      </c>
    </row>
    <row r="718" spans="1:11" ht="15" customHeight="1" x14ac:dyDescent="0.2">
      <c r="A718" t="str">
        <f t="shared" si="22"/>
        <v/>
      </c>
      <c r="B718" t="str">
        <f>IF($A718="","",SUMPRODUCT((MOVIMIENTOS!$B$5:$B$1005="SALDO INICIAL")*(MOVIMIENTOS!$C$5:$C$1005="A")*(MOVIMIENTOS!$D$5:$D$1005="jabas")*(MOVIMIENTOS!$A$5:$A$1005&lt;&gt;"")*(MOVIMIENTOS!$A$5:$A$1005&lt;=$A718)*MOVIMIENTOS!$E$5:$E$1005)+SUMPRODUCT((MOVIMIENTOS!$B$5:$B$1005="PROCESO")*(MOVIMIENTOS!$C$5:$C$1005="A")*(MOVIMIENTOS!$D$5:$D$1005="jabas")*(MOVIMIENTOS!$A$5:$A$1005&lt;&gt;"")*(MOVIMIENTOS!$A$5:$A$1005&lt;=$A718)*MOVIMIENTOS!$E$5:$E$1005)-SUMPRODUCT((MOVIMIENTOS!$B$5:$B$1005="ENVÍO A SUPESA")*(MOVIMIENTOS!$C$5:$C$1005="A")*(MOVIMIENTOS!$D$5:$D$1005="jabas")*(MOVIMIENTOS!$A$5:$A$1005&lt;&gt;"")*(MOVIMIENTOS!$A$5:$A$1005&lt;=$A718)*MOVIMIENTOS!$E$5:$E$1005)+SUMPRODUCT((MOVIMIENTOS!$B$5:$B$1005="DEVOLUCIÓN")*(MOVIMIENTOS!$C$5:$C$1005="A")*(MOVIMIENTOS!$D$5:$D$1005="jabas")*(MOVIMIENTOS!$A$5:$A$1005&lt;&gt;"")*(MOVIMIENTOS!$A$5:$A$1005&lt;=$A718)*MOVIMIENTOS!$E$5:$E$1005)-SUMPRODUCT((MOVIMIENTOS!$B$5:$B$1005="TRASIEGO")*(MOVIMIENTOS!$C$5:$C$1005="A")*(MOVIMIENTOS!$D$5:$D$1005="jabas")*(MOVIMIENTOS!$A$5:$A$1005&lt;&gt;"")*(MOVIMIENTOS!$A$5:$A$1005&lt;=$A718)*MOVIMIENTOS!$E$5:$E$1005)-SUMPRODUCT((MOVIMIENTOS!$B$5:$B$1005="REGALO")*(MOVIMIENTOS!$C$5:$C$1005="A")*(MOVIMIENTOS!$D$5:$D$1005="jabas")*(MOVIMIENTOS!$A$5:$A$1005&lt;&gt;"")*(MOVIMIENTOS!$A$5:$A$1005&lt;=$A718)*MOVIMIENTOS!$E$5:$E$1005)-SUMPRODUCT((MOVIMIENTOS!$B$5:$B$1005="VENTA")*(MOVIMIENTOS!$C$5:$C$1005="A")*(MOVIMIENTOS!$D$5:$D$1005="jabas")*(MOVIMIENTOS!$A$5:$A$1005&lt;&gt;"")*(MOVIMIENTOS!$A$5:$A$1005&lt;=$A718)*MOVIMIENTOS!$E$5:$E$1005)+SUMPRODUCT((MOVIMIENTOS!$B$5:$B$1005="AJUSTE")*(MOVIMIENTOS!$C$5:$C$1005="A")*(MOVIMIENTOS!$D$5:$D$1005="jabas")*(MOVIMIENTOS!$A$5:$A$1005&lt;&gt;"")*(MOVIMIENTOS!$A$5:$A$1005&lt;=$A718)*MOVIMIENTOS!$E$5:$E$1005))</f>
        <v/>
      </c>
      <c r="C718" t="str">
        <f>IF($A718="","",SUMPRODUCT((MOVIMIENTOS!$B$5:$B$1005="SALDO INICIAL")*(MOVIMIENTOS!$C$5:$C$1005="P")*(MOVIMIENTOS!$D$5:$D$1005="jabas")*(MOVIMIENTOS!$A$5:$A$1005&lt;&gt;"")*(MOVIMIENTOS!$A$5:$A$1005&lt;=$A718)*MOVIMIENTOS!$E$5:$E$1005)+SUMPRODUCT((MOVIMIENTOS!$B$5:$B$1005="PROCESO")*(MOVIMIENTOS!$C$5:$C$1005="P")*(MOVIMIENTOS!$D$5:$D$1005="jabas")*(MOVIMIENTOS!$A$5:$A$1005&lt;&gt;"")*(MOVIMIENTOS!$A$5:$A$1005&lt;=$A718)*MOVIMIENTOS!$E$5:$E$1005)-SUMPRODUCT((MOVIMIENTOS!$B$5:$B$1005="ENVÍO A SUPESA")*(MOVIMIENTOS!$C$5:$C$1005="P")*(MOVIMIENTOS!$D$5:$D$1005="jabas")*(MOVIMIENTOS!$A$5:$A$1005&lt;&gt;"")*(MOVIMIENTOS!$A$5:$A$1005&lt;=$A718)*MOVIMIENTOS!$E$5:$E$1005)+SUMPRODUCT((MOVIMIENTOS!$B$5:$B$1005="DEVOLUCIÓN")*(MOVIMIENTOS!$C$5:$C$1005="P")*(MOVIMIENTOS!$D$5:$D$1005="jabas")*(MOVIMIENTOS!$A$5:$A$1005&lt;&gt;"")*(MOVIMIENTOS!$A$5:$A$1005&lt;=$A718)*MOVIMIENTOS!$E$5:$E$1005)-SUMPRODUCT((MOVIMIENTOS!$B$5:$B$1005="TRASIEGO")*(MOVIMIENTOS!$C$5:$C$1005="P")*(MOVIMIENTOS!$D$5:$D$1005="jabas")*(MOVIMIENTOS!$A$5:$A$1005&lt;&gt;"")*(MOVIMIENTOS!$A$5:$A$1005&lt;=$A718)*MOVIMIENTOS!$E$5:$E$1005)-SUMPRODUCT((MOVIMIENTOS!$B$5:$B$1005="REGALO")*(MOVIMIENTOS!$C$5:$C$1005="P")*(MOVIMIENTOS!$D$5:$D$1005="jabas")*(MOVIMIENTOS!$A$5:$A$1005&lt;&gt;"")*(MOVIMIENTOS!$A$5:$A$1005&lt;=$A718)*MOVIMIENTOS!$E$5:$E$1005)-SUMPRODUCT((MOVIMIENTOS!$B$5:$B$1005="VENTA")*(MOVIMIENTOS!$C$5:$C$1005="P")*(MOVIMIENTOS!$D$5:$D$1005="jabas")*(MOVIMIENTOS!$A$5:$A$1005&lt;&gt;"")*(MOVIMIENTOS!$A$5:$A$1005&lt;=$A718)*MOVIMIENTOS!$E$5:$E$1005)+SUMPRODUCT((MOVIMIENTOS!$B$5:$B$1005="AJUSTE")*(MOVIMIENTOS!$C$5:$C$1005="P")*(MOVIMIENTOS!$D$5:$D$1005="jabas")*(MOVIMIENTOS!$A$5:$A$1005&lt;&gt;"")*(MOVIMIENTOS!$A$5:$A$1005&lt;=$A718)*MOVIMIENTOS!$E$5:$E$1005))</f>
        <v/>
      </c>
      <c r="D718" t="str">
        <f>IF($A718="","",SUMPRODUCT((MOVIMIENTOS!$B$5:$B$1005="SALDO INICIAL")*(MOVIMIENTOS!$C$5:$C$1005="C")*(MOVIMIENTOS!$D$5:$D$1005="jabas")*(MOVIMIENTOS!$A$5:$A$1005&lt;&gt;"")*(MOVIMIENTOS!$A$5:$A$1005&lt;=$A718)*MOVIMIENTOS!$E$5:$E$1005)+SUMPRODUCT((MOVIMIENTOS!$B$5:$B$1005="PROCESO")*(MOVIMIENTOS!$C$5:$C$1005="C")*(MOVIMIENTOS!$D$5:$D$1005="jabas")*(MOVIMIENTOS!$A$5:$A$1005&lt;&gt;"")*(MOVIMIENTOS!$A$5:$A$1005&lt;=$A718)*MOVIMIENTOS!$E$5:$E$1005)-SUMPRODUCT((MOVIMIENTOS!$B$5:$B$1005="ENVÍO A SUPESA")*(MOVIMIENTOS!$C$5:$C$1005="C")*(MOVIMIENTOS!$D$5:$D$1005="jabas")*(MOVIMIENTOS!$A$5:$A$1005&lt;&gt;"")*(MOVIMIENTOS!$A$5:$A$1005&lt;=$A718)*MOVIMIENTOS!$E$5:$E$1005)+SUMPRODUCT((MOVIMIENTOS!$B$5:$B$1005="DEVOLUCIÓN")*(MOVIMIENTOS!$C$5:$C$1005="C")*(MOVIMIENTOS!$D$5:$D$1005="jabas")*(MOVIMIENTOS!$A$5:$A$1005&lt;&gt;"")*(MOVIMIENTOS!$A$5:$A$1005&lt;=$A718)*MOVIMIENTOS!$E$5:$E$1005)-SUMPRODUCT((MOVIMIENTOS!$B$5:$B$1005="TRASIEGO")*(MOVIMIENTOS!$C$5:$C$1005="C")*(MOVIMIENTOS!$D$5:$D$1005="jabas")*(MOVIMIENTOS!$A$5:$A$1005&lt;&gt;"")*(MOVIMIENTOS!$A$5:$A$1005&lt;=$A718)*MOVIMIENTOS!$E$5:$E$1005)-SUMPRODUCT((MOVIMIENTOS!$B$5:$B$1005="REGALO")*(MOVIMIENTOS!$C$5:$C$1005="C")*(MOVIMIENTOS!$D$5:$D$1005="jabas")*(MOVIMIENTOS!$A$5:$A$1005&lt;&gt;"")*(MOVIMIENTOS!$A$5:$A$1005&lt;=$A718)*MOVIMIENTOS!$E$5:$E$1005)-SUMPRODUCT((MOVIMIENTOS!$B$5:$B$1005="VENTA")*(MOVIMIENTOS!$C$5:$C$1005="C")*(MOVIMIENTOS!$D$5:$D$1005="jabas")*(MOVIMIENTOS!$A$5:$A$1005&lt;&gt;"")*(MOVIMIENTOS!$A$5:$A$1005&lt;=$A718)*MOVIMIENTOS!$E$5:$E$1005)+SUMPRODUCT((MOVIMIENTOS!$B$5:$B$1005="AJUSTE")*(MOVIMIENTOS!$C$5:$C$1005="C")*(MOVIMIENTOS!$D$5:$D$1005="jabas")*(MOVIMIENTOS!$A$5:$A$1005&lt;&gt;"")*(MOVIMIENTOS!$A$5:$A$1005&lt;=$A718)*MOVIMIENTOS!$E$5:$E$1005))</f>
        <v/>
      </c>
      <c r="E718" t="str">
        <f>IF($A718="","",SUMPRODUCT((MOVIMIENTOS!$B$5:$B$1005="SALDO INICIAL")*(MOVIMIENTOS!$C$5:$C$1005="M")*(MOVIMIENTOS!$D$5:$D$1005="jabas")*(MOVIMIENTOS!$A$5:$A$1005&lt;&gt;"")*(MOVIMIENTOS!$A$5:$A$1005&lt;=$A718)*MOVIMIENTOS!$E$5:$E$1005)+SUMPRODUCT((MOVIMIENTOS!$B$5:$B$1005="PROCESO")*(MOVIMIENTOS!$C$5:$C$1005="M")*(MOVIMIENTOS!$D$5:$D$1005="jabas")*(MOVIMIENTOS!$A$5:$A$1005&lt;&gt;"")*(MOVIMIENTOS!$A$5:$A$1005&lt;=$A718)*MOVIMIENTOS!$E$5:$E$1005)-SUMPRODUCT((MOVIMIENTOS!$B$5:$B$1005="ENVÍO A SUPESA")*(MOVIMIENTOS!$C$5:$C$1005="M")*(MOVIMIENTOS!$D$5:$D$1005="jabas")*(MOVIMIENTOS!$A$5:$A$1005&lt;&gt;"")*(MOVIMIENTOS!$A$5:$A$1005&lt;=$A718)*MOVIMIENTOS!$E$5:$E$1005)+SUMPRODUCT((MOVIMIENTOS!$B$5:$B$1005="DEVOLUCIÓN")*(MOVIMIENTOS!$C$5:$C$1005="M")*(MOVIMIENTOS!$D$5:$D$1005="jabas")*(MOVIMIENTOS!$A$5:$A$1005&lt;&gt;"")*(MOVIMIENTOS!$A$5:$A$1005&lt;=$A718)*MOVIMIENTOS!$E$5:$E$1005)-SUMPRODUCT((MOVIMIENTOS!$B$5:$B$1005="TRASIEGO")*(MOVIMIENTOS!$C$5:$C$1005="M")*(MOVIMIENTOS!$D$5:$D$1005="jabas")*(MOVIMIENTOS!$A$5:$A$1005&lt;&gt;"")*(MOVIMIENTOS!$A$5:$A$1005&lt;=$A718)*MOVIMIENTOS!$E$5:$E$1005)-SUMPRODUCT((MOVIMIENTOS!$B$5:$B$1005="REGALO")*(MOVIMIENTOS!$C$5:$C$1005="M")*(MOVIMIENTOS!$D$5:$D$1005="jabas")*(MOVIMIENTOS!$A$5:$A$1005&lt;&gt;"")*(MOVIMIENTOS!$A$5:$A$1005&lt;=$A718)*MOVIMIENTOS!$E$5:$E$1005)-SUMPRODUCT((MOVIMIENTOS!$B$5:$B$1005="VENTA")*(MOVIMIENTOS!$C$5:$C$1005="M")*(MOVIMIENTOS!$D$5:$D$1005="jabas")*(MOVIMIENTOS!$A$5:$A$1005&lt;&gt;"")*(MOVIMIENTOS!$A$5:$A$1005&lt;=$A718)*MOVIMIENTOS!$E$5:$E$1005)+SUMPRODUCT((MOVIMIENTOS!$B$5:$B$1005="AJUSTE")*(MOVIMIENTOS!$C$5:$C$1005="M")*(MOVIMIENTOS!$D$5:$D$1005="jabas")*(MOVIMIENTOS!$A$5:$A$1005&lt;&gt;"")*(MOVIMIENTOS!$A$5:$A$1005&lt;=$A718)*MOVIMIENTOS!$E$5:$E$1005))</f>
        <v/>
      </c>
      <c r="F718" s="62" t="str">
        <f>IF($A718="","",SUMPRODUCT((MOVIMIENTOS!$B$5:$B$1005="SALDO INICIAL")*(MOVIMIENTOS!$C$5:$C$1005="Chancho")*(MOVIMIENTOS!$D$5:$D$1005="sacos")*(MOVIMIENTOS!$A$5:$A$1005&lt;&gt;"")*(MOVIMIENTOS!$A$5:$A$1005&lt;=$A718)*MOVIMIENTOS!$E$5:$E$1005)+SUMPRODUCT((MOVIMIENTOS!$B$5:$B$1005="PROCESO")*(MOVIMIENTOS!$C$5:$C$1005="Chancho")*(MOVIMIENTOS!$D$5:$D$1005="sacos")*(MOVIMIENTOS!$A$5:$A$1005&lt;&gt;"")*(MOVIMIENTOS!$A$5:$A$1005&lt;=$A718)*MOVIMIENTOS!$E$5:$E$1005)-SUMPRODUCT((MOVIMIENTOS!$B$5:$B$1005="VENTA CHANCHO")*(MOVIMIENTOS!$C$5:$C$1005="Chancho")*(MOVIMIENTOS!$D$5:$D$1005="sacos")*(MOVIMIENTOS!$A$5:$A$1005&lt;&gt;"")*(MOVIMIENTOS!$A$5:$A$1005&lt;=$A718)*MOVIMIENTOS!$E$5:$E$1005)-SUMPRODUCT((MOVIMIENTOS!$B$5:$B$1005="REGALO")*(MOVIMIENTOS!$C$5:$C$1005="Chancho")*(MOVIMIENTOS!$D$5:$D$1005="sacos")*(MOVIMIENTOS!$A$5:$A$1005&lt;&gt;"")*(MOVIMIENTOS!$A$5:$A$1005&lt;=$A718)*MOVIMIENTOS!$E$5:$E$1005)-SUMPRODUCT((MOVIMIENTOS!$B$5:$B$1005="VENTA")*(MOVIMIENTOS!$C$5:$C$1005="Chancho")*(MOVIMIENTOS!$D$5:$D$1005="sacos")*(MOVIMIENTOS!$A$5:$A$1005&lt;&gt;"")*(MOVIMIENTOS!$A$5:$A$1005&lt;=$A718)*MOVIMIENTOS!$E$5:$E$1005)+SUMPRODUCT((MOVIMIENTOS!$B$5:$B$1005="AJUSTE")*(MOVIMIENTOS!$C$5:$C$1005="Chancho")*(MOVIMIENTOS!$D$5:$D$1005="sacos")*(MOVIMIENTOS!$A$5:$A$1005&lt;&gt;"")*(MOVIMIENTOS!$A$5:$A$1005&lt;=$A718)*MOVIMIENTOS!$E$5:$E$1005))</f>
        <v/>
      </c>
      <c r="G718" s="62" t="str">
        <f t="shared" si="23"/>
        <v/>
      </c>
      <c r="H718" t="str">
        <f>IF($A718="","",SUMPRODUCT((((MOVIMIENTOS!$B$5:$B$1005="SALDO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718)*MOVIMIENTOS!$J$5:$J$1005))</f>
        <v/>
      </c>
      <c r="J718" t="str">
        <f>IF(AND(MOVIMIENTOS!$A723&lt;&gt;"",COUNTIF(MOVIMIENTOS!$A$5:$A722,MOVIMIENTOS!$A723)=0),COUNT(J$4:J717)+1,"")</f>
        <v/>
      </c>
      <c r="K718">
        <f>MOVIMIENTOS!$A723</f>
        <v>0</v>
      </c>
    </row>
    <row r="719" spans="1:11" ht="15" customHeight="1" x14ac:dyDescent="0.2">
      <c r="A719" t="str">
        <f t="shared" si="22"/>
        <v/>
      </c>
      <c r="B719" t="str">
        <f>IF($A719="","",SUMPRODUCT((MOVIMIENTOS!$B$5:$B$1005="SALDO INICIAL")*(MOVIMIENTOS!$C$5:$C$1005="A")*(MOVIMIENTOS!$D$5:$D$1005="jabas")*(MOVIMIENTOS!$A$5:$A$1005&lt;&gt;"")*(MOVIMIENTOS!$A$5:$A$1005&lt;=$A719)*MOVIMIENTOS!$E$5:$E$1005)+SUMPRODUCT((MOVIMIENTOS!$B$5:$B$1005="PROCESO")*(MOVIMIENTOS!$C$5:$C$1005="A")*(MOVIMIENTOS!$D$5:$D$1005="jabas")*(MOVIMIENTOS!$A$5:$A$1005&lt;&gt;"")*(MOVIMIENTOS!$A$5:$A$1005&lt;=$A719)*MOVIMIENTOS!$E$5:$E$1005)-SUMPRODUCT((MOVIMIENTOS!$B$5:$B$1005="ENVÍO A SUPESA")*(MOVIMIENTOS!$C$5:$C$1005="A")*(MOVIMIENTOS!$D$5:$D$1005="jabas")*(MOVIMIENTOS!$A$5:$A$1005&lt;&gt;"")*(MOVIMIENTOS!$A$5:$A$1005&lt;=$A719)*MOVIMIENTOS!$E$5:$E$1005)+SUMPRODUCT((MOVIMIENTOS!$B$5:$B$1005="DEVOLUCIÓN")*(MOVIMIENTOS!$C$5:$C$1005="A")*(MOVIMIENTOS!$D$5:$D$1005="jabas")*(MOVIMIENTOS!$A$5:$A$1005&lt;&gt;"")*(MOVIMIENTOS!$A$5:$A$1005&lt;=$A719)*MOVIMIENTOS!$E$5:$E$1005)-SUMPRODUCT((MOVIMIENTOS!$B$5:$B$1005="TRASIEGO")*(MOVIMIENTOS!$C$5:$C$1005="A")*(MOVIMIENTOS!$D$5:$D$1005="jabas")*(MOVIMIENTOS!$A$5:$A$1005&lt;&gt;"")*(MOVIMIENTOS!$A$5:$A$1005&lt;=$A719)*MOVIMIENTOS!$E$5:$E$1005)-SUMPRODUCT((MOVIMIENTOS!$B$5:$B$1005="REGALO")*(MOVIMIENTOS!$C$5:$C$1005="A")*(MOVIMIENTOS!$D$5:$D$1005="jabas")*(MOVIMIENTOS!$A$5:$A$1005&lt;&gt;"")*(MOVIMIENTOS!$A$5:$A$1005&lt;=$A719)*MOVIMIENTOS!$E$5:$E$1005)-SUMPRODUCT((MOVIMIENTOS!$B$5:$B$1005="VENTA")*(MOVIMIENTOS!$C$5:$C$1005="A")*(MOVIMIENTOS!$D$5:$D$1005="jabas")*(MOVIMIENTOS!$A$5:$A$1005&lt;&gt;"")*(MOVIMIENTOS!$A$5:$A$1005&lt;=$A719)*MOVIMIENTOS!$E$5:$E$1005)+SUMPRODUCT((MOVIMIENTOS!$B$5:$B$1005="AJUSTE")*(MOVIMIENTOS!$C$5:$C$1005="A")*(MOVIMIENTOS!$D$5:$D$1005="jabas")*(MOVIMIENTOS!$A$5:$A$1005&lt;&gt;"")*(MOVIMIENTOS!$A$5:$A$1005&lt;=$A719)*MOVIMIENTOS!$E$5:$E$1005))</f>
        <v/>
      </c>
      <c r="C719" t="str">
        <f>IF($A719="","",SUMPRODUCT((MOVIMIENTOS!$B$5:$B$1005="SALDO INICIAL")*(MOVIMIENTOS!$C$5:$C$1005="P")*(MOVIMIENTOS!$D$5:$D$1005="jabas")*(MOVIMIENTOS!$A$5:$A$1005&lt;&gt;"")*(MOVIMIENTOS!$A$5:$A$1005&lt;=$A719)*MOVIMIENTOS!$E$5:$E$1005)+SUMPRODUCT((MOVIMIENTOS!$B$5:$B$1005="PROCESO")*(MOVIMIENTOS!$C$5:$C$1005="P")*(MOVIMIENTOS!$D$5:$D$1005="jabas")*(MOVIMIENTOS!$A$5:$A$1005&lt;&gt;"")*(MOVIMIENTOS!$A$5:$A$1005&lt;=$A719)*MOVIMIENTOS!$E$5:$E$1005)-SUMPRODUCT((MOVIMIENTOS!$B$5:$B$1005="ENVÍO A SUPESA")*(MOVIMIENTOS!$C$5:$C$1005="P")*(MOVIMIENTOS!$D$5:$D$1005="jabas")*(MOVIMIENTOS!$A$5:$A$1005&lt;&gt;"")*(MOVIMIENTOS!$A$5:$A$1005&lt;=$A719)*MOVIMIENTOS!$E$5:$E$1005)+SUMPRODUCT((MOVIMIENTOS!$B$5:$B$1005="DEVOLUCIÓN")*(MOVIMIENTOS!$C$5:$C$1005="P")*(MOVIMIENTOS!$D$5:$D$1005="jabas")*(MOVIMIENTOS!$A$5:$A$1005&lt;&gt;"")*(MOVIMIENTOS!$A$5:$A$1005&lt;=$A719)*MOVIMIENTOS!$E$5:$E$1005)-SUMPRODUCT((MOVIMIENTOS!$B$5:$B$1005="TRASIEGO")*(MOVIMIENTOS!$C$5:$C$1005="P")*(MOVIMIENTOS!$D$5:$D$1005="jabas")*(MOVIMIENTOS!$A$5:$A$1005&lt;&gt;"")*(MOVIMIENTOS!$A$5:$A$1005&lt;=$A719)*MOVIMIENTOS!$E$5:$E$1005)-SUMPRODUCT((MOVIMIENTOS!$B$5:$B$1005="REGALO")*(MOVIMIENTOS!$C$5:$C$1005="P")*(MOVIMIENTOS!$D$5:$D$1005="jabas")*(MOVIMIENTOS!$A$5:$A$1005&lt;&gt;"")*(MOVIMIENTOS!$A$5:$A$1005&lt;=$A719)*MOVIMIENTOS!$E$5:$E$1005)-SUMPRODUCT((MOVIMIENTOS!$B$5:$B$1005="VENTA")*(MOVIMIENTOS!$C$5:$C$1005="P")*(MOVIMIENTOS!$D$5:$D$1005="jabas")*(MOVIMIENTOS!$A$5:$A$1005&lt;&gt;"")*(MOVIMIENTOS!$A$5:$A$1005&lt;=$A719)*MOVIMIENTOS!$E$5:$E$1005)+SUMPRODUCT((MOVIMIENTOS!$B$5:$B$1005="AJUSTE")*(MOVIMIENTOS!$C$5:$C$1005="P")*(MOVIMIENTOS!$D$5:$D$1005="jabas")*(MOVIMIENTOS!$A$5:$A$1005&lt;&gt;"")*(MOVIMIENTOS!$A$5:$A$1005&lt;=$A719)*MOVIMIENTOS!$E$5:$E$1005))</f>
        <v/>
      </c>
      <c r="D719" t="str">
        <f>IF($A719="","",SUMPRODUCT((MOVIMIENTOS!$B$5:$B$1005="SALDO INICIAL")*(MOVIMIENTOS!$C$5:$C$1005="C")*(MOVIMIENTOS!$D$5:$D$1005="jabas")*(MOVIMIENTOS!$A$5:$A$1005&lt;&gt;"")*(MOVIMIENTOS!$A$5:$A$1005&lt;=$A719)*MOVIMIENTOS!$E$5:$E$1005)+SUMPRODUCT((MOVIMIENTOS!$B$5:$B$1005="PROCESO")*(MOVIMIENTOS!$C$5:$C$1005="C")*(MOVIMIENTOS!$D$5:$D$1005="jabas")*(MOVIMIENTOS!$A$5:$A$1005&lt;&gt;"")*(MOVIMIENTOS!$A$5:$A$1005&lt;=$A719)*MOVIMIENTOS!$E$5:$E$1005)-SUMPRODUCT((MOVIMIENTOS!$B$5:$B$1005="ENVÍO A SUPESA")*(MOVIMIENTOS!$C$5:$C$1005="C")*(MOVIMIENTOS!$D$5:$D$1005="jabas")*(MOVIMIENTOS!$A$5:$A$1005&lt;&gt;"")*(MOVIMIENTOS!$A$5:$A$1005&lt;=$A719)*MOVIMIENTOS!$E$5:$E$1005)+SUMPRODUCT((MOVIMIENTOS!$B$5:$B$1005="DEVOLUCIÓN")*(MOVIMIENTOS!$C$5:$C$1005="C")*(MOVIMIENTOS!$D$5:$D$1005="jabas")*(MOVIMIENTOS!$A$5:$A$1005&lt;&gt;"")*(MOVIMIENTOS!$A$5:$A$1005&lt;=$A719)*MOVIMIENTOS!$E$5:$E$1005)-SUMPRODUCT((MOVIMIENTOS!$B$5:$B$1005="TRASIEGO")*(MOVIMIENTOS!$C$5:$C$1005="C")*(MOVIMIENTOS!$D$5:$D$1005="jabas")*(MOVIMIENTOS!$A$5:$A$1005&lt;&gt;"")*(MOVIMIENTOS!$A$5:$A$1005&lt;=$A719)*MOVIMIENTOS!$E$5:$E$1005)-SUMPRODUCT((MOVIMIENTOS!$B$5:$B$1005="REGALO")*(MOVIMIENTOS!$C$5:$C$1005="C")*(MOVIMIENTOS!$D$5:$D$1005="jabas")*(MOVIMIENTOS!$A$5:$A$1005&lt;&gt;"")*(MOVIMIENTOS!$A$5:$A$1005&lt;=$A719)*MOVIMIENTOS!$E$5:$E$1005)-SUMPRODUCT((MOVIMIENTOS!$B$5:$B$1005="VENTA")*(MOVIMIENTOS!$C$5:$C$1005="C")*(MOVIMIENTOS!$D$5:$D$1005="jabas")*(MOVIMIENTOS!$A$5:$A$1005&lt;&gt;"")*(MOVIMIENTOS!$A$5:$A$1005&lt;=$A719)*MOVIMIENTOS!$E$5:$E$1005)+SUMPRODUCT((MOVIMIENTOS!$B$5:$B$1005="AJUSTE")*(MOVIMIENTOS!$C$5:$C$1005="C")*(MOVIMIENTOS!$D$5:$D$1005="jabas")*(MOVIMIENTOS!$A$5:$A$1005&lt;&gt;"")*(MOVIMIENTOS!$A$5:$A$1005&lt;=$A719)*MOVIMIENTOS!$E$5:$E$1005))</f>
        <v/>
      </c>
      <c r="E719" t="str">
        <f>IF($A719="","",SUMPRODUCT((MOVIMIENTOS!$B$5:$B$1005="SALDO INICIAL")*(MOVIMIENTOS!$C$5:$C$1005="M")*(MOVIMIENTOS!$D$5:$D$1005="jabas")*(MOVIMIENTOS!$A$5:$A$1005&lt;&gt;"")*(MOVIMIENTOS!$A$5:$A$1005&lt;=$A719)*MOVIMIENTOS!$E$5:$E$1005)+SUMPRODUCT((MOVIMIENTOS!$B$5:$B$1005="PROCESO")*(MOVIMIENTOS!$C$5:$C$1005="M")*(MOVIMIENTOS!$D$5:$D$1005="jabas")*(MOVIMIENTOS!$A$5:$A$1005&lt;&gt;"")*(MOVIMIENTOS!$A$5:$A$1005&lt;=$A719)*MOVIMIENTOS!$E$5:$E$1005)-SUMPRODUCT((MOVIMIENTOS!$B$5:$B$1005="ENVÍO A SUPESA")*(MOVIMIENTOS!$C$5:$C$1005="M")*(MOVIMIENTOS!$D$5:$D$1005="jabas")*(MOVIMIENTOS!$A$5:$A$1005&lt;&gt;"")*(MOVIMIENTOS!$A$5:$A$1005&lt;=$A719)*MOVIMIENTOS!$E$5:$E$1005)+SUMPRODUCT((MOVIMIENTOS!$B$5:$B$1005="DEVOLUCIÓN")*(MOVIMIENTOS!$C$5:$C$1005="M")*(MOVIMIENTOS!$D$5:$D$1005="jabas")*(MOVIMIENTOS!$A$5:$A$1005&lt;&gt;"")*(MOVIMIENTOS!$A$5:$A$1005&lt;=$A719)*MOVIMIENTOS!$E$5:$E$1005)-SUMPRODUCT((MOVIMIENTOS!$B$5:$B$1005="TRASIEGO")*(MOVIMIENTOS!$C$5:$C$1005="M")*(MOVIMIENTOS!$D$5:$D$1005="jabas")*(MOVIMIENTOS!$A$5:$A$1005&lt;&gt;"")*(MOVIMIENTOS!$A$5:$A$1005&lt;=$A719)*MOVIMIENTOS!$E$5:$E$1005)-SUMPRODUCT((MOVIMIENTOS!$B$5:$B$1005="REGALO")*(MOVIMIENTOS!$C$5:$C$1005="M")*(MOVIMIENTOS!$D$5:$D$1005="jabas")*(MOVIMIENTOS!$A$5:$A$1005&lt;&gt;"")*(MOVIMIENTOS!$A$5:$A$1005&lt;=$A719)*MOVIMIENTOS!$E$5:$E$1005)-SUMPRODUCT((MOVIMIENTOS!$B$5:$B$1005="VENTA")*(MOVIMIENTOS!$C$5:$C$1005="M")*(MOVIMIENTOS!$D$5:$D$1005="jabas")*(MOVIMIENTOS!$A$5:$A$1005&lt;&gt;"")*(MOVIMIENTOS!$A$5:$A$1005&lt;=$A719)*MOVIMIENTOS!$E$5:$E$1005)+SUMPRODUCT((MOVIMIENTOS!$B$5:$B$1005="AJUSTE")*(MOVIMIENTOS!$C$5:$C$1005="M")*(MOVIMIENTOS!$D$5:$D$1005="jabas")*(MOVIMIENTOS!$A$5:$A$1005&lt;&gt;"")*(MOVIMIENTOS!$A$5:$A$1005&lt;=$A719)*MOVIMIENTOS!$E$5:$E$1005))</f>
        <v/>
      </c>
      <c r="F719" s="62" t="str">
        <f>IF($A719="","",SUMPRODUCT((MOVIMIENTOS!$B$5:$B$1005="SALDO INICIAL")*(MOVIMIENTOS!$C$5:$C$1005="Chancho")*(MOVIMIENTOS!$D$5:$D$1005="sacos")*(MOVIMIENTOS!$A$5:$A$1005&lt;&gt;"")*(MOVIMIENTOS!$A$5:$A$1005&lt;=$A719)*MOVIMIENTOS!$E$5:$E$1005)+SUMPRODUCT((MOVIMIENTOS!$B$5:$B$1005="PROCESO")*(MOVIMIENTOS!$C$5:$C$1005="Chancho")*(MOVIMIENTOS!$D$5:$D$1005="sacos")*(MOVIMIENTOS!$A$5:$A$1005&lt;&gt;"")*(MOVIMIENTOS!$A$5:$A$1005&lt;=$A719)*MOVIMIENTOS!$E$5:$E$1005)-SUMPRODUCT((MOVIMIENTOS!$B$5:$B$1005="VENTA CHANCHO")*(MOVIMIENTOS!$C$5:$C$1005="Chancho")*(MOVIMIENTOS!$D$5:$D$1005="sacos")*(MOVIMIENTOS!$A$5:$A$1005&lt;&gt;"")*(MOVIMIENTOS!$A$5:$A$1005&lt;=$A719)*MOVIMIENTOS!$E$5:$E$1005)-SUMPRODUCT((MOVIMIENTOS!$B$5:$B$1005="REGALO")*(MOVIMIENTOS!$C$5:$C$1005="Chancho")*(MOVIMIENTOS!$D$5:$D$1005="sacos")*(MOVIMIENTOS!$A$5:$A$1005&lt;&gt;"")*(MOVIMIENTOS!$A$5:$A$1005&lt;=$A719)*MOVIMIENTOS!$E$5:$E$1005)-SUMPRODUCT((MOVIMIENTOS!$B$5:$B$1005="VENTA")*(MOVIMIENTOS!$C$5:$C$1005="Chancho")*(MOVIMIENTOS!$D$5:$D$1005="sacos")*(MOVIMIENTOS!$A$5:$A$1005&lt;&gt;"")*(MOVIMIENTOS!$A$5:$A$1005&lt;=$A719)*MOVIMIENTOS!$E$5:$E$1005)+SUMPRODUCT((MOVIMIENTOS!$B$5:$B$1005="AJUSTE")*(MOVIMIENTOS!$C$5:$C$1005="Chancho")*(MOVIMIENTOS!$D$5:$D$1005="sacos")*(MOVIMIENTOS!$A$5:$A$1005&lt;&gt;"")*(MOVIMIENTOS!$A$5:$A$1005&lt;=$A719)*MOVIMIENTOS!$E$5:$E$1005))</f>
        <v/>
      </c>
      <c r="G719" s="62" t="str">
        <f t="shared" si="23"/>
        <v/>
      </c>
      <c r="H719" t="str">
        <f>IF($A719="","",SUMPRODUCT((((MOVIMIENTOS!$B$5:$B$1005="SALDO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719)*MOVIMIENTOS!$J$5:$J$1005))</f>
        <v/>
      </c>
      <c r="J719" t="str">
        <f>IF(AND(MOVIMIENTOS!$A724&lt;&gt;"",COUNTIF(MOVIMIENTOS!$A$5:$A723,MOVIMIENTOS!$A724)=0),COUNT(J$4:J718)+1,"")</f>
        <v/>
      </c>
      <c r="K719">
        <f>MOVIMIENTOS!$A724</f>
        <v>0</v>
      </c>
    </row>
    <row r="720" spans="1:11" ht="15" customHeight="1" x14ac:dyDescent="0.2">
      <c r="A720" t="str">
        <f t="shared" si="22"/>
        <v/>
      </c>
      <c r="B720" t="str">
        <f>IF($A720="","",SUMPRODUCT((MOVIMIENTOS!$B$5:$B$1005="SALDO INICIAL")*(MOVIMIENTOS!$C$5:$C$1005="A")*(MOVIMIENTOS!$D$5:$D$1005="jabas")*(MOVIMIENTOS!$A$5:$A$1005&lt;&gt;"")*(MOVIMIENTOS!$A$5:$A$1005&lt;=$A720)*MOVIMIENTOS!$E$5:$E$1005)+SUMPRODUCT((MOVIMIENTOS!$B$5:$B$1005="PROCESO")*(MOVIMIENTOS!$C$5:$C$1005="A")*(MOVIMIENTOS!$D$5:$D$1005="jabas")*(MOVIMIENTOS!$A$5:$A$1005&lt;&gt;"")*(MOVIMIENTOS!$A$5:$A$1005&lt;=$A720)*MOVIMIENTOS!$E$5:$E$1005)-SUMPRODUCT((MOVIMIENTOS!$B$5:$B$1005="ENVÍO A SUPESA")*(MOVIMIENTOS!$C$5:$C$1005="A")*(MOVIMIENTOS!$D$5:$D$1005="jabas")*(MOVIMIENTOS!$A$5:$A$1005&lt;&gt;"")*(MOVIMIENTOS!$A$5:$A$1005&lt;=$A720)*MOVIMIENTOS!$E$5:$E$1005)+SUMPRODUCT((MOVIMIENTOS!$B$5:$B$1005="DEVOLUCIÓN")*(MOVIMIENTOS!$C$5:$C$1005="A")*(MOVIMIENTOS!$D$5:$D$1005="jabas")*(MOVIMIENTOS!$A$5:$A$1005&lt;&gt;"")*(MOVIMIENTOS!$A$5:$A$1005&lt;=$A720)*MOVIMIENTOS!$E$5:$E$1005)-SUMPRODUCT((MOVIMIENTOS!$B$5:$B$1005="TRASIEGO")*(MOVIMIENTOS!$C$5:$C$1005="A")*(MOVIMIENTOS!$D$5:$D$1005="jabas")*(MOVIMIENTOS!$A$5:$A$1005&lt;&gt;"")*(MOVIMIENTOS!$A$5:$A$1005&lt;=$A720)*MOVIMIENTOS!$E$5:$E$1005)-SUMPRODUCT((MOVIMIENTOS!$B$5:$B$1005="REGALO")*(MOVIMIENTOS!$C$5:$C$1005="A")*(MOVIMIENTOS!$D$5:$D$1005="jabas")*(MOVIMIENTOS!$A$5:$A$1005&lt;&gt;"")*(MOVIMIENTOS!$A$5:$A$1005&lt;=$A720)*MOVIMIENTOS!$E$5:$E$1005)-SUMPRODUCT((MOVIMIENTOS!$B$5:$B$1005="VENTA")*(MOVIMIENTOS!$C$5:$C$1005="A")*(MOVIMIENTOS!$D$5:$D$1005="jabas")*(MOVIMIENTOS!$A$5:$A$1005&lt;&gt;"")*(MOVIMIENTOS!$A$5:$A$1005&lt;=$A720)*MOVIMIENTOS!$E$5:$E$1005)+SUMPRODUCT((MOVIMIENTOS!$B$5:$B$1005="AJUSTE")*(MOVIMIENTOS!$C$5:$C$1005="A")*(MOVIMIENTOS!$D$5:$D$1005="jabas")*(MOVIMIENTOS!$A$5:$A$1005&lt;&gt;"")*(MOVIMIENTOS!$A$5:$A$1005&lt;=$A720)*MOVIMIENTOS!$E$5:$E$1005))</f>
        <v/>
      </c>
      <c r="C720" t="str">
        <f>IF($A720="","",SUMPRODUCT((MOVIMIENTOS!$B$5:$B$1005="SALDO INICIAL")*(MOVIMIENTOS!$C$5:$C$1005="P")*(MOVIMIENTOS!$D$5:$D$1005="jabas")*(MOVIMIENTOS!$A$5:$A$1005&lt;&gt;"")*(MOVIMIENTOS!$A$5:$A$1005&lt;=$A720)*MOVIMIENTOS!$E$5:$E$1005)+SUMPRODUCT((MOVIMIENTOS!$B$5:$B$1005="PROCESO")*(MOVIMIENTOS!$C$5:$C$1005="P")*(MOVIMIENTOS!$D$5:$D$1005="jabas")*(MOVIMIENTOS!$A$5:$A$1005&lt;&gt;"")*(MOVIMIENTOS!$A$5:$A$1005&lt;=$A720)*MOVIMIENTOS!$E$5:$E$1005)-SUMPRODUCT((MOVIMIENTOS!$B$5:$B$1005="ENVÍO A SUPESA")*(MOVIMIENTOS!$C$5:$C$1005="P")*(MOVIMIENTOS!$D$5:$D$1005="jabas")*(MOVIMIENTOS!$A$5:$A$1005&lt;&gt;"")*(MOVIMIENTOS!$A$5:$A$1005&lt;=$A720)*MOVIMIENTOS!$E$5:$E$1005)+SUMPRODUCT((MOVIMIENTOS!$B$5:$B$1005="DEVOLUCIÓN")*(MOVIMIENTOS!$C$5:$C$1005="P")*(MOVIMIENTOS!$D$5:$D$1005="jabas")*(MOVIMIENTOS!$A$5:$A$1005&lt;&gt;"")*(MOVIMIENTOS!$A$5:$A$1005&lt;=$A720)*MOVIMIENTOS!$E$5:$E$1005)-SUMPRODUCT((MOVIMIENTOS!$B$5:$B$1005="TRASIEGO")*(MOVIMIENTOS!$C$5:$C$1005="P")*(MOVIMIENTOS!$D$5:$D$1005="jabas")*(MOVIMIENTOS!$A$5:$A$1005&lt;&gt;"")*(MOVIMIENTOS!$A$5:$A$1005&lt;=$A720)*MOVIMIENTOS!$E$5:$E$1005)-SUMPRODUCT((MOVIMIENTOS!$B$5:$B$1005="REGALO")*(MOVIMIENTOS!$C$5:$C$1005="P")*(MOVIMIENTOS!$D$5:$D$1005="jabas")*(MOVIMIENTOS!$A$5:$A$1005&lt;&gt;"")*(MOVIMIENTOS!$A$5:$A$1005&lt;=$A720)*MOVIMIENTOS!$E$5:$E$1005)-SUMPRODUCT((MOVIMIENTOS!$B$5:$B$1005="VENTA")*(MOVIMIENTOS!$C$5:$C$1005="P")*(MOVIMIENTOS!$D$5:$D$1005="jabas")*(MOVIMIENTOS!$A$5:$A$1005&lt;&gt;"")*(MOVIMIENTOS!$A$5:$A$1005&lt;=$A720)*MOVIMIENTOS!$E$5:$E$1005)+SUMPRODUCT((MOVIMIENTOS!$B$5:$B$1005="AJUSTE")*(MOVIMIENTOS!$C$5:$C$1005="P")*(MOVIMIENTOS!$D$5:$D$1005="jabas")*(MOVIMIENTOS!$A$5:$A$1005&lt;&gt;"")*(MOVIMIENTOS!$A$5:$A$1005&lt;=$A720)*MOVIMIENTOS!$E$5:$E$1005))</f>
        <v/>
      </c>
      <c r="D720" t="str">
        <f>IF($A720="","",SUMPRODUCT((MOVIMIENTOS!$B$5:$B$1005="SALDO INICIAL")*(MOVIMIENTOS!$C$5:$C$1005="C")*(MOVIMIENTOS!$D$5:$D$1005="jabas")*(MOVIMIENTOS!$A$5:$A$1005&lt;&gt;"")*(MOVIMIENTOS!$A$5:$A$1005&lt;=$A720)*MOVIMIENTOS!$E$5:$E$1005)+SUMPRODUCT((MOVIMIENTOS!$B$5:$B$1005="PROCESO")*(MOVIMIENTOS!$C$5:$C$1005="C")*(MOVIMIENTOS!$D$5:$D$1005="jabas")*(MOVIMIENTOS!$A$5:$A$1005&lt;&gt;"")*(MOVIMIENTOS!$A$5:$A$1005&lt;=$A720)*MOVIMIENTOS!$E$5:$E$1005)-SUMPRODUCT((MOVIMIENTOS!$B$5:$B$1005="ENVÍO A SUPESA")*(MOVIMIENTOS!$C$5:$C$1005="C")*(MOVIMIENTOS!$D$5:$D$1005="jabas")*(MOVIMIENTOS!$A$5:$A$1005&lt;&gt;"")*(MOVIMIENTOS!$A$5:$A$1005&lt;=$A720)*MOVIMIENTOS!$E$5:$E$1005)+SUMPRODUCT((MOVIMIENTOS!$B$5:$B$1005="DEVOLUCIÓN")*(MOVIMIENTOS!$C$5:$C$1005="C")*(MOVIMIENTOS!$D$5:$D$1005="jabas")*(MOVIMIENTOS!$A$5:$A$1005&lt;&gt;"")*(MOVIMIENTOS!$A$5:$A$1005&lt;=$A720)*MOVIMIENTOS!$E$5:$E$1005)-SUMPRODUCT((MOVIMIENTOS!$B$5:$B$1005="TRASIEGO")*(MOVIMIENTOS!$C$5:$C$1005="C")*(MOVIMIENTOS!$D$5:$D$1005="jabas")*(MOVIMIENTOS!$A$5:$A$1005&lt;&gt;"")*(MOVIMIENTOS!$A$5:$A$1005&lt;=$A720)*MOVIMIENTOS!$E$5:$E$1005)-SUMPRODUCT((MOVIMIENTOS!$B$5:$B$1005="REGALO")*(MOVIMIENTOS!$C$5:$C$1005="C")*(MOVIMIENTOS!$D$5:$D$1005="jabas")*(MOVIMIENTOS!$A$5:$A$1005&lt;&gt;"")*(MOVIMIENTOS!$A$5:$A$1005&lt;=$A720)*MOVIMIENTOS!$E$5:$E$1005)-SUMPRODUCT((MOVIMIENTOS!$B$5:$B$1005="VENTA")*(MOVIMIENTOS!$C$5:$C$1005="C")*(MOVIMIENTOS!$D$5:$D$1005="jabas")*(MOVIMIENTOS!$A$5:$A$1005&lt;&gt;"")*(MOVIMIENTOS!$A$5:$A$1005&lt;=$A720)*MOVIMIENTOS!$E$5:$E$1005)+SUMPRODUCT((MOVIMIENTOS!$B$5:$B$1005="AJUSTE")*(MOVIMIENTOS!$C$5:$C$1005="C")*(MOVIMIENTOS!$D$5:$D$1005="jabas")*(MOVIMIENTOS!$A$5:$A$1005&lt;&gt;"")*(MOVIMIENTOS!$A$5:$A$1005&lt;=$A720)*MOVIMIENTOS!$E$5:$E$1005))</f>
        <v/>
      </c>
      <c r="E720" t="str">
        <f>IF($A720="","",SUMPRODUCT((MOVIMIENTOS!$B$5:$B$1005="SALDO INICIAL")*(MOVIMIENTOS!$C$5:$C$1005="M")*(MOVIMIENTOS!$D$5:$D$1005="jabas")*(MOVIMIENTOS!$A$5:$A$1005&lt;&gt;"")*(MOVIMIENTOS!$A$5:$A$1005&lt;=$A720)*MOVIMIENTOS!$E$5:$E$1005)+SUMPRODUCT((MOVIMIENTOS!$B$5:$B$1005="PROCESO")*(MOVIMIENTOS!$C$5:$C$1005="M")*(MOVIMIENTOS!$D$5:$D$1005="jabas")*(MOVIMIENTOS!$A$5:$A$1005&lt;&gt;"")*(MOVIMIENTOS!$A$5:$A$1005&lt;=$A720)*MOVIMIENTOS!$E$5:$E$1005)-SUMPRODUCT((MOVIMIENTOS!$B$5:$B$1005="ENVÍO A SUPESA")*(MOVIMIENTOS!$C$5:$C$1005="M")*(MOVIMIENTOS!$D$5:$D$1005="jabas")*(MOVIMIENTOS!$A$5:$A$1005&lt;&gt;"")*(MOVIMIENTOS!$A$5:$A$1005&lt;=$A720)*MOVIMIENTOS!$E$5:$E$1005)+SUMPRODUCT((MOVIMIENTOS!$B$5:$B$1005="DEVOLUCIÓN")*(MOVIMIENTOS!$C$5:$C$1005="M")*(MOVIMIENTOS!$D$5:$D$1005="jabas")*(MOVIMIENTOS!$A$5:$A$1005&lt;&gt;"")*(MOVIMIENTOS!$A$5:$A$1005&lt;=$A720)*MOVIMIENTOS!$E$5:$E$1005)-SUMPRODUCT((MOVIMIENTOS!$B$5:$B$1005="TRASIEGO")*(MOVIMIENTOS!$C$5:$C$1005="M")*(MOVIMIENTOS!$D$5:$D$1005="jabas")*(MOVIMIENTOS!$A$5:$A$1005&lt;&gt;"")*(MOVIMIENTOS!$A$5:$A$1005&lt;=$A720)*MOVIMIENTOS!$E$5:$E$1005)-SUMPRODUCT((MOVIMIENTOS!$B$5:$B$1005="REGALO")*(MOVIMIENTOS!$C$5:$C$1005="M")*(MOVIMIENTOS!$D$5:$D$1005="jabas")*(MOVIMIENTOS!$A$5:$A$1005&lt;&gt;"")*(MOVIMIENTOS!$A$5:$A$1005&lt;=$A720)*MOVIMIENTOS!$E$5:$E$1005)-SUMPRODUCT((MOVIMIENTOS!$B$5:$B$1005="VENTA")*(MOVIMIENTOS!$C$5:$C$1005="M")*(MOVIMIENTOS!$D$5:$D$1005="jabas")*(MOVIMIENTOS!$A$5:$A$1005&lt;&gt;"")*(MOVIMIENTOS!$A$5:$A$1005&lt;=$A720)*MOVIMIENTOS!$E$5:$E$1005)+SUMPRODUCT((MOVIMIENTOS!$B$5:$B$1005="AJUSTE")*(MOVIMIENTOS!$C$5:$C$1005="M")*(MOVIMIENTOS!$D$5:$D$1005="jabas")*(MOVIMIENTOS!$A$5:$A$1005&lt;&gt;"")*(MOVIMIENTOS!$A$5:$A$1005&lt;=$A720)*MOVIMIENTOS!$E$5:$E$1005))</f>
        <v/>
      </c>
      <c r="F720" s="62" t="str">
        <f>IF($A720="","",SUMPRODUCT((MOVIMIENTOS!$B$5:$B$1005="SALDO INICIAL")*(MOVIMIENTOS!$C$5:$C$1005="Chancho")*(MOVIMIENTOS!$D$5:$D$1005="sacos")*(MOVIMIENTOS!$A$5:$A$1005&lt;&gt;"")*(MOVIMIENTOS!$A$5:$A$1005&lt;=$A720)*MOVIMIENTOS!$E$5:$E$1005)+SUMPRODUCT((MOVIMIENTOS!$B$5:$B$1005="PROCESO")*(MOVIMIENTOS!$C$5:$C$1005="Chancho")*(MOVIMIENTOS!$D$5:$D$1005="sacos")*(MOVIMIENTOS!$A$5:$A$1005&lt;&gt;"")*(MOVIMIENTOS!$A$5:$A$1005&lt;=$A720)*MOVIMIENTOS!$E$5:$E$1005)-SUMPRODUCT((MOVIMIENTOS!$B$5:$B$1005="VENTA CHANCHO")*(MOVIMIENTOS!$C$5:$C$1005="Chancho")*(MOVIMIENTOS!$D$5:$D$1005="sacos")*(MOVIMIENTOS!$A$5:$A$1005&lt;&gt;"")*(MOVIMIENTOS!$A$5:$A$1005&lt;=$A720)*MOVIMIENTOS!$E$5:$E$1005)-SUMPRODUCT((MOVIMIENTOS!$B$5:$B$1005="REGALO")*(MOVIMIENTOS!$C$5:$C$1005="Chancho")*(MOVIMIENTOS!$D$5:$D$1005="sacos")*(MOVIMIENTOS!$A$5:$A$1005&lt;&gt;"")*(MOVIMIENTOS!$A$5:$A$1005&lt;=$A720)*MOVIMIENTOS!$E$5:$E$1005)-SUMPRODUCT((MOVIMIENTOS!$B$5:$B$1005="VENTA")*(MOVIMIENTOS!$C$5:$C$1005="Chancho")*(MOVIMIENTOS!$D$5:$D$1005="sacos")*(MOVIMIENTOS!$A$5:$A$1005&lt;&gt;"")*(MOVIMIENTOS!$A$5:$A$1005&lt;=$A720)*MOVIMIENTOS!$E$5:$E$1005)+SUMPRODUCT((MOVIMIENTOS!$B$5:$B$1005="AJUSTE")*(MOVIMIENTOS!$C$5:$C$1005="Chancho")*(MOVIMIENTOS!$D$5:$D$1005="sacos")*(MOVIMIENTOS!$A$5:$A$1005&lt;&gt;"")*(MOVIMIENTOS!$A$5:$A$1005&lt;=$A720)*MOVIMIENTOS!$E$5:$E$1005))</f>
        <v/>
      </c>
      <c r="G720" s="62" t="str">
        <f t="shared" si="23"/>
        <v/>
      </c>
      <c r="H720" t="str">
        <f>IF($A720="","",SUMPRODUCT((((MOVIMIENTOS!$B$5:$B$1005="SALDO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720)*MOVIMIENTOS!$J$5:$J$1005))</f>
        <v/>
      </c>
      <c r="J720" t="str">
        <f>IF(AND(MOVIMIENTOS!$A725&lt;&gt;"",COUNTIF(MOVIMIENTOS!$A$5:$A724,MOVIMIENTOS!$A725)=0),COUNT(J$4:J719)+1,"")</f>
        <v/>
      </c>
      <c r="K720">
        <f>MOVIMIENTOS!$A725</f>
        <v>0</v>
      </c>
    </row>
    <row r="721" spans="1:11" ht="15" customHeight="1" x14ac:dyDescent="0.2">
      <c r="A721" t="str">
        <f t="shared" si="22"/>
        <v/>
      </c>
      <c r="B721" t="str">
        <f>IF($A721="","",SUMPRODUCT((MOVIMIENTOS!$B$5:$B$1005="SALDO INICIAL")*(MOVIMIENTOS!$C$5:$C$1005="A")*(MOVIMIENTOS!$D$5:$D$1005="jabas")*(MOVIMIENTOS!$A$5:$A$1005&lt;&gt;"")*(MOVIMIENTOS!$A$5:$A$1005&lt;=$A721)*MOVIMIENTOS!$E$5:$E$1005)+SUMPRODUCT((MOVIMIENTOS!$B$5:$B$1005="PROCESO")*(MOVIMIENTOS!$C$5:$C$1005="A")*(MOVIMIENTOS!$D$5:$D$1005="jabas")*(MOVIMIENTOS!$A$5:$A$1005&lt;&gt;"")*(MOVIMIENTOS!$A$5:$A$1005&lt;=$A721)*MOVIMIENTOS!$E$5:$E$1005)-SUMPRODUCT((MOVIMIENTOS!$B$5:$B$1005="ENVÍO A SUPESA")*(MOVIMIENTOS!$C$5:$C$1005="A")*(MOVIMIENTOS!$D$5:$D$1005="jabas")*(MOVIMIENTOS!$A$5:$A$1005&lt;&gt;"")*(MOVIMIENTOS!$A$5:$A$1005&lt;=$A721)*MOVIMIENTOS!$E$5:$E$1005)+SUMPRODUCT((MOVIMIENTOS!$B$5:$B$1005="DEVOLUCIÓN")*(MOVIMIENTOS!$C$5:$C$1005="A")*(MOVIMIENTOS!$D$5:$D$1005="jabas")*(MOVIMIENTOS!$A$5:$A$1005&lt;&gt;"")*(MOVIMIENTOS!$A$5:$A$1005&lt;=$A721)*MOVIMIENTOS!$E$5:$E$1005)-SUMPRODUCT((MOVIMIENTOS!$B$5:$B$1005="TRASIEGO")*(MOVIMIENTOS!$C$5:$C$1005="A")*(MOVIMIENTOS!$D$5:$D$1005="jabas")*(MOVIMIENTOS!$A$5:$A$1005&lt;&gt;"")*(MOVIMIENTOS!$A$5:$A$1005&lt;=$A721)*MOVIMIENTOS!$E$5:$E$1005)-SUMPRODUCT((MOVIMIENTOS!$B$5:$B$1005="REGALO")*(MOVIMIENTOS!$C$5:$C$1005="A")*(MOVIMIENTOS!$D$5:$D$1005="jabas")*(MOVIMIENTOS!$A$5:$A$1005&lt;&gt;"")*(MOVIMIENTOS!$A$5:$A$1005&lt;=$A721)*MOVIMIENTOS!$E$5:$E$1005)-SUMPRODUCT((MOVIMIENTOS!$B$5:$B$1005="VENTA")*(MOVIMIENTOS!$C$5:$C$1005="A")*(MOVIMIENTOS!$D$5:$D$1005="jabas")*(MOVIMIENTOS!$A$5:$A$1005&lt;&gt;"")*(MOVIMIENTOS!$A$5:$A$1005&lt;=$A721)*MOVIMIENTOS!$E$5:$E$1005)+SUMPRODUCT((MOVIMIENTOS!$B$5:$B$1005="AJUSTE")*(MOVIMIENTOS!$C$5:$C$1005="A")*(MOVIMIENTOS!$D$5:$D$1005="jabas")*(MOVIMIENTOS!$A$5:$A$1005&lt;&gt;"")*(MOVIMIENTOS!$A$5:$A$1005&lt;=$A721)*MOVIMIENTOS!$E$5:$E$1005))</f>
        <v/>
      </c>
      <c r="C721" t="str">
        <f>IF($A721="","",SUMPRODUCT((MOVIMIENTOS!$B$5:$B$1005="SALDO INICIAL")*(MOVIMIENTOS!$C$5:$C$1005="P")*(MOVIMIENTOS!$D$5:$D$1005="jabas")*(MOVIMIENTOS!$A$5:$A$1005&lt;&gt;"")*(MOVIMIENTOS!$A$5:$A$1005&lt;=$A721)*MOVIMIENTOS!$E$5:$E$1005)+SUMPRODUCT((MOVIMIENTOS!$B$5:$B$1005="PROCESO")*(MOVIMIENTOS!$C$5:$C$1005="P")*(MOVIMIENTOS!$D$5:$D$1005="jabas")*(MOVIMIENTOS!$A$5:$A$1005&lt;&gt;"")*(MOVIMIENTOS!$A$5:$A$1005&lt;=$A721)*MOVIMIENTOS!$E$5:$E$1005)-SUMPRODUCT((MOVIMIENTOS!$B$5:$B$1005="ENVÍO A SUPESA")*(MOVIMIENTOS!$C$5:$C$1005="P")*(MOVIMIENTOS!$D$5:$D$1005="jabas")*(MOVIMIENTOS!$A$5:$A$1005&lt;&gt;"")*(MOVIMIENTOS!$A$5:$A$1005&lt;=$A721)*MOVIMIENTOS!$E$5:$E$1005)+SUMPRODUCT((MOVIMIENTOS!$B$5:$B$1005="DEVOLUCIÓN")*(MOVIMIENTOS!$C$5:$C$1005="P")*(MOVIMIENTOS!$D$5:$D$1005="jabas")*(MOVIMIENTOS!$A$5:$A$1005&lt;&gt;"")*(MOVIMIENTOS!$A$5:$A$1005&lt;=$A721)*MOVIMIENTOS!$E$5:$E$1005)-SUMPRODUCT((MOVIMIENTOS!$B$5:$B$1005="TRASIEGO")*(MOVIMIENTOS!$C$5:$C$1005="P")*(MOVIMIENTOS!$D$5:$D$1005="jabas")*(MOVIMIENTOS!$A$5:$A$1005&lt;&gt;"")*(MOVIMIENTOS!$A$5:$A$1005&lt;=$A721)*MOVIMIENTOS!$E$5:$E$1005)-SUMPRODUCT((MOVIMIENTOS!$B$5:$B$1005="REGALO")*(MOVIMIENTOS!$C$5:$C$1005="P")*(MOVIMIENTOS!$D$5:$D$1005="jabas")*(MOVIMIENTOS!$A$5:$A$1005&lt;&gt;"")*(MOVIMIENTOS!$A$5:$A$1005&lt;=$A721)*MOVIMIENTOS!$E$5:$E$1005)-SUMPRODUCT((MOVIMIENTOS!$B$5:$B$1005="VENTA")*(MOVIMIENTOS!$C$5:$C$1005="P")*(MOVIMIENTOS!$D$5:$D$1005="jabas")*(MOVIMIENTOS!$A$5:$A$1005&lt;&gt;"")*(MOVIMIENTOS!$A$5:$A$1005&lt;=$A721)*MOVIMIENTOS!$E$5:$E$1005)+SUMPRODUCT((MOVIMIENTOS!$B$5:$B$1005="AJUSTE")*(MOVIMIENTOS!$C$5:$C$1005="P")*(MOVIMIENTOS!$D$5:$D$1005="jabas")*(MOVIMIENTOS!$A$5:$A$1005&lt;&gt;"")*(MOVIMIENTOS!$A$5:$A$1005&lt;=$A721)*MOVIMIENTOS!$E$5:$E$1005))</f>
        <v/>
      </c>
      <c r="D721" t="str">
        <f>IF($A721="","",SUMPRODUCT((MOVIMIENTOS!$B$5:$B$1005="SALDO INICIAL")*(MOVIMIENTOS!$C$5:$C$1005="C")*(MOVIMIENTOS!$D$5:$D$1005="jabas")*(MOVIMIENTOS!$A$5:$A$1005&lt;&gt;"")*(MOVIMIENTOS!$A$5:$A$1005&lt;=$A721)*MOVIMIENTOS!$E$5:$E$1005)+SUMPRODUCT((MOVIMIENTOS!$B$5:$B$1005="PROCESO")*(MOVIMIENTOS!$C$5:$C$1005="C")*(MOVIMIENTOS!$D$5:$D$1005="jabas")*(MOVIMIENTOS!$A$5:$A$1005&lt;&gt;"")*(MOVIMIENTOS!$A$5:$A$1005&lt;=$A721)*MOVIMIENTOS!$E$5:$E$1005)-SUMPRODUCT((MOVIMIENTOS!$B$5:$B$1005="ENVÍO A SUPESA")*(MOVIMIENTOS!$C$5:$C$1005="C")*(MOVIMIENTOS!$D$5:$D$1005="jabas")*(MOVIMIENTOS!$A$5:$A$1005&lt;&gt;"")*(MOVIMIENTOS!$A$5:$A$1005&lt;=$A721)*MOVIMIENTOS!$E$5:$E$1005)+SUMPRODUCT((MOVIMIENTOS!$B$5:$B$1005="DEVOLUCIÓN")*(MOVIMIENTOS!$C$5:$C$1005="C")*(MOVIMIENTOS!$D$5:$D$1005="jabas")*(MOVIMIENTOS!$A$5:$A$1005&lt;&gt;"")*(MOVIMIENTOS!$A$5:$A$1005&lt;=$A721)*MOVIMIENTOS!$E$5:$E$1005)-SUMPRODUCT((MOVIMIENTOS!$B$5:$B$1005="TRASIEGO")*(MOVIMIENTOS!$C$5:$C$1005="C")*(MOVIMIENTOS!$D$5:$D$1005="jabas")*(MOVIMIENTOS!$A$5:$A$1005&lt;&gt;"")*(MOVIMIENTOS!$A$5:$A$1005&lt;=$A721)*MOVIMIENTOS!$E$5:$E$1005)-SUMPRODUCT((MOVIMIENTOS!$B$5:$B$1005="REGALO")*(MOVIMIENTOS!$C$5:$C$1005="C")*(MOVIMIENTOS!$D$5:$D$1005="jabas")*(MOVIMIENTOS!$A$5:$A$1005&lt;&gt;"")*(MOVIMIENTOS!$A$5:$A$1005&lt;=$A721)*MOVIMIENTOS!$E$5:$E$1005)-SUMPRODUCT((MOVIMIENTOS!$B$5:$B$1005="VENTA")*(MOVIMIENTOS!$C$5:$C$1005="C")*(MOVIMIENTOS!$D$5:$D$1005="jabas")*(MOVIMIENTOS!$A$5:$A$1005&lt;&gt;"")*(MOVIMIENTOS!$A$5:$A$1005&lt;=$A721)*MOVIMIENTOS!$E$5:$E$1005)+SUMPRODUCT((MOVIMIENTOS!$B$5:$B$1005="AJUSTE")*(MOVIMIENTOS!$C$5:$C$1005="C")*(MOVIMIENTOS!$D$5:$D$1005="jabas")*(MOVIMIENTOS!$A$5:$A$1005&lt;&gt;"")*(MOVIMIENTOS!$A$5:$A$1005&lt;=$A721)*MOVIMIENTOS!$E$5:$E$1005))</f>
        <v/>
      </c>
      <c r="E721" t="str">
        <f>IF($A721="","",SUMPRODUCT((MOVIMIENTOS!$B$5:$B$1005="SALDO INICIAL")*(MOVIMIENTOS!$C$5:$C$1005="M")*(MOVIMIENTOS!$D$5:$D$1005="jabas")*(MOVIMIENTOS!$A$5:$A$1005&lt;&gt;"")*(MOVIMIENTOS!$A$5:$A$1005&lt;=$A721)*MOVIMIENTOS!$E$5:$E$1005)+SUMPRODUCT((MOVIMIENTOS!$B$5:$B$1005="PROCESO")*(MOVIMIENTOS!$C$5:$C$1005="M")*(MOVIMIENTOS!$D$5:$D$1005="jabas")*(MOVIMIENTOS!$A$5:$A$1005&lt;&gt;"")*(MOVIMIENTOS!$A$5:$A$1005&lt;=$A721)*MOVIMIENTOS!$E$5:$E$1005)-SUMPRODUCT((MOVIMIENTOS!$B$5:$B$1005="ENVÍO A SUPESA")*(MOVIMIENTOS!$C$5:$C$1005="M")*(MOVIMIENTOS!$D$5:$D$1005="jabas")*(MOVIMIENTOS!$A$5:$A$1005&lt;&gt;"")*(MOVIMIENTOS!$A$5:$A$1005&lt;=$A721)*MOVIMIENTOS!$E$5:$E$1005)+SUMPRODUCT((MOVIMIENTOS!$B$5:$B$1005="DEVOLUCIÓN")*(MOVIMIENTOS!$C$5:$C$1005="M")*(MOVIMIENTOS!$D$5:$D$1005="jabas")*(MOVIMIENTOS!$A$5:$A$1005&lt;&gt;"")*(MOVIMIENTOS!$A$5:$A$1005&lt;=$A721)*MOVIMIENTOS!$E$5:$E$1005)-SUMPRODUCT((MOVIMIENTOS!$B$5:$B$1005="TRASIEGO")*(MOVIMIENTOS!$C$5:$C$1005="M")*(MOVIMIENTOS!$D$5:$D$1005="jabas")*(MOVIMIENTOS!$A$5:$A$1005&lt;&gt;"")*(MOVIMIENTOS!$A$5:$A$1005&lt;=$A721)*MOVIMIENTOS!$E$5:$E$1005)-SUMPRODUCT((MOVIMIENTOS!$B$5:$B$1005="REGALO")*(MOVIMIENTOS!$C$5:$C$1005="M")*(MOVIMIENTOS!$D$5:$D$1005="jabas")*(MOVIMIENTOS!$A$5:$A$1005&lt;&gt;"")*(MOVIMIENTOS!$A$5:$A$1005&lt;=$A721)*MOVIMIENTOS!$E$5:$E$1005)-SUMPRODUCT((MOVIMIENTOS!$B$5:$B$1005="VENTA")*(MOVIMIENTOS!$C$5:$C$1005="M")*(MOVIMIENTOS!$D$5:$D$1005="jabas")*(MOVIMIENTOS!$A$5:$A$1005&lt;&gt;"")*(MOVIMIENTOS!$A$5:$A$1005&lt;=$A721)*MOVIMIENTOS!$E$5:$E$1005)+SUMPRODUCT((MOVIMIENTOS!$B$5:$B$1005="AJUSTE")*(MOVIMIENTOS!$C$5:$C$1005="M")*(MOVIMIENTOS!$D$5:$D$1005="jabas")*(MOVIMIENTOS!$A$5:$A$1005&lt;&gt;"")*(MOVIMIENTOS!$A$5:$A$1005&lt;=$A721)*MOVIMIENTOS!$E$5:$E$1005))</f>
        <v/>
      </c>
      <c r="F721" s="62" t="str">
        <f>IF($A721="","",SUMPRODUCT((MOVIMIENTOS!$B$5:$B$1005="SALDO INICIAL")*(MOVIMIENTOS!$C$5:$C$1005="Chancho")*(MOVIMIENTOS!$D$5:$D$1005="sacos")*(MOVIMIENTOS!$A$5:$A$1005&lt;&gt;"")*(MOVIMIENTOS!$A$5:$A$1005&lt;=$A721)*MOVIMIENTOS!$E$5:$E$1005)+SUMPRODUCT((MOVIMIENTOS!$B$5:$B$1005="PROCESO")*(MOVIMIENTOS!$C$5:$C$1005="Chancho")*(MOVIMIENTOS!$D$5:$D$1005="sacos")*(MOVIMIENTOS!$A$5:$A$1005&lt;&gt;"")*(MOVIMIENTOS!$A$5:$A$1005&lt;=$A721)*MOVIMIENTOS!$E$5:$E$1005)-SUMPRODUCT((MOVIMIENTOS!$B$5:$B$1005="VENTA CHANCHO")*(MOVIMIENTOS!$C$5:$C$1005="Chancho")*(MOVIMIENTOS!$D$5:$D$1005="sacos")*(MOVIMIENTOS!$A$5:$A$1005&lt;&gt;"")*(MOVIMIENTOS!$A$5:$A$1005&lt;=$A721)*MOVIMIENTOS!$E$5:$E$1005)-SUMPRODUCT((MOVIMIENTOS!$B$5:$B$1005="REGALO")*(MOVIMIENTOS!$C$5:$C$1005="Chancho")*(MOVIMIENTOS!$D$5:$D$1005="sacos")*(MOVIMIENTOS!$A$5:$A$1005&lt;&gt;"")*(MOVIMIENTOS!$A$5:$A$1005&lt;=$A721)*MOVIMIENTOS!$E$5:$E$1005)-SUMPRODUCT((MOVIMIENTOS!$B$5:$B$1005="VENTA")*(MOVIMIENTOS!$C$5:$C$1005="Chancho")*(MOVIMIENTOS!$D$5:$D$1005="sacos")*(MOVIMIENTOS!$A$5:$A$1005&lt;&gt;"")*(MOVIMIENTOS!$A$5:$A$1005&lt;=$A721)*MOVIMIENTOS!$E$5:$E$1005)+SUMPRODUCT((MOVIMIENTOS!$B$5:$B$1005="AJUSTE")*(MOVIMIENTOS!$C$5:$C$1005="Chancho")*(MOVIMIENTOS!$D$5:$D$1005="sacos")*(MOVIMIENTOS!$A$5:$A$1005&lt;&gt;"")*(MOVIMIENTOS!$A$5:$A$1005&lt;=$A721)*MOVIMIENTOS!$E$5:$E$1005))</f>
        <v/>
      </c>
      <c r="G721" s="62" t="str">
        <f t="shared" si="23"/>
        <v/>
      </c>
      <c r="H721" t="str">
        <f>IF($A721="","",SUMPRODUCT((((MOVIMIENTOS!$B$5:$B$1005="SALDO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721)*MOVIMIENTOS!$J$5:$J$1005))</f>
        <v/>
      </c>
      <c r="J721" t="str">
        <f>IF(AND(MOVIMIENTOS!$A726&lt;&gt;"",COUNTIF(MOVIMIENTOS!$A$5:$A725,MOVIMIENTOS!$A726)=0),COUNT(J$4:J720)+1,"")</f>
        <v/>
      </c>
      <c r="K721">
        <f>MOVIMIENTOS!$A726</f>
        <v>0</v>
      </c>
    </row>
    <row r="722" spans="1:11" ht="15" customHeight="1" x14ac:dyDescent="0.2">
      <c r="A722" t="str">
        <f t="shared" si="22"/>
        <v/>
      </c>
      <c r="B722" t="str">
        <f>IF($A722="","",SUMPRODUCT((MOVIMIENTOS!$B$5:$B$1005="SALDO INICIAL")*(MOVIMIENTOS!$C$5:$C$1005="A")*(MOVIMIENTOS!$D$5:$D$1005="jabas")*(MOVIMIENTOS!$A$5:$A$1005&lt;&gt;"")*(MOVIMIENTOS!$A$5:$A$1005&lt;=$A722)*MOVIMIENTOS!$E$5:$E$1005)+SUMPRODUCT((MOVIMIENTOS!$B$5:$B$1005="PROCESO")*(MOVIMIENTOS!$C$5:$C$1005="A")*(MOVIMIENTOS!$D$5:$D$1005="jabas")*(MOVIMIENTOS!$A$5:$A$1005&lt;&gt;"")*(MOVIMIENTOS!$A$5:$A$1005&lt;=$A722)*MOVIMIENTOS!$E$5:$E$1005)-SUMPRODUCT((MOVIMIENTOS!$B$5:$B$1005="ENVÍO A SUPESA")*(MOVIMIENTOS!$C$5:$C$1005="A")*(MOVIMIENTOS!$D$5:$D$1005="jabas")*(MOVIMIENTOS!$A$5:$A$1005&lt;&gt;"")*(MOVIMIENTOS!$A$5:$A$1005&lt;=$A722)*MOVIMIENTOS!$E$5:$E$1005)+SUMPRODUCT((MOVIMIENTOS!$B$5:$B$1005="DEVOLUCIÓN")*(MOVIMIENTOS!$C$5:$C$1005="A")*(MOVIMIENTOS!$D$5:$D$1005="jabas")*(MOVIMIENTOS!$A$5:$A$1005&lt;&gt;"")*(MOVIMIENTOS!$A$5:$A$1005&lt;=$A722)*MOVIMIENTOS!$E$5:$E$1005)-SUMPRODUCT((MOVIMIENTOS!$B$5:$B$1005="TRASIEGO")*(MOVIMIENTOS!$C$5:$C$1005="A")*(MOVIMIENTOS!$D$5:$D$1005="jabas")*(MOVIMIENTOS!$A$5:$A$1005&lt;&gt;"")*(MOVIMIENTOS!$A$5:$A$1005&lt;=$A722)*MOVIMIENTOS!$E$5:$E$1005)-SUMPRODUCT((MOVIMIENTOS!$B$5:$B$1005="REGALO")*(MOVIMIENTOS!$C$5:$C$1005="A")*(MOVIMIENTOS!$D$5:$D$1005="jabas")*(MOVIMIENTOS!$A$5:$A$1005&lt;&gt;"")*(MOVIMIENTOS!$A$5:$A$1005&lt;=$A722)*MOVIMIENTOS!$E$5:$E$1005)-SUMPRODUCT((MOVIMIENTOS!$B$5:$B$1005="VENTA")*(MOVIMIENTOS!$C$5:$C$1005="A")*(MOVIMIENTOS!$D$5:$D$1005="jabas")*(MOVIMIENTOS!$A$5:$A$1005&lt;&gt;"")*(MOVIMIENTOS!$A$5:$A$1005&lt;=$A722)*MOVIMIENTOS!$E$5:$E$1005)+SUMPRODUCT((MOVIMIENTOS!$B$5:$B$1005="AJUSTE")*(MOVIMIENTOS!$C$5:$C$1005="A")*(MOVIMIENTOS!$D$5:$D$1005="jabas")*(MOVIMIENTOS!$A$5:$A$1005&lt;&gt;"")*(MOVIMIENTOS!$A$5:$A$1005&lt;=$A722)*MOVIMIENTOS!$E$5:$E$1005))</f>
        <v/>
      </c>
      <c r="C722" t="str">
        <f>IF($A722="","",SUMPRODUCT((MOVIMIENTOS!$B$5:$B$1005="SALDO INICIAL")*(MOVIMIENTOS!$C$5:$C$1005="P")*(MOVIMIENTOS!$D$5:$D$1005="jabas")*(MOVIMIENTOS!$A$5:$A$1005&lt;&gt;"")*(MOVIMIENTOS!$A$5:$A$1005&lt;=$A722)*MOVIMIENTOS!$E$5:$E$1005)+SUMPRODUCT((MOVIMIENTOS!$B$5:$B$1005="PROCESO")*(MOVIMIENTOS!$C$5:$C$1005="P")*(MOVIMIENTOS!$D$5:$D$1005="jabas")*(MOVIMIENTOS!$A$5:$A$1005&lt;&gt;"")*(MOVIMIENTOS!$A$5:$A$1005&lt;=$A722)*MOVIMIENTOS!$E$5:$E$1005)-SUMPRODUCT((MOVIMIENTOS!$B$5:$B$1005="ENVÍO A SUPESA")*(MOVIMIENTOS!$C$5:$C$1005="P")*(MOVIMIENTOS!$D$5:$D$1005="jabas")*(MOVIMIENTOS!$A$5:$A$1005&lt;&gt;"")*(MOVIMIENTOS!$A$5:$A$1005&lt;=$A722)*MOVIMIENTOS!$E$5:$E$1005)+SUMPRODUCT((MOVIMIENTOS!$B$5:$B$1005="DEVOLUCIÓN")*(MOVIMIENTOS!$C$5:$C$1005="P")*(MOVIMIENTOS!$D$5:$D$1005="jabas")*(MOVIMIENTOS!$A$5:$A$1005&lt;&gt;"")*(MOVIMIENTOS!$A$5:$A$1005&lt;=$A722)*MOVIMIENTOS!$E$5:$E$1005)-SUMPRODUCT((MOVIMIENTOS!$B$5:$B$1005="TRASIEGO")*(MOVIMIENTOS!$C$5:$C$1005="P")*(MOVIMIENTOS!$D$5:$D$1005="jabas")*(MOVIMIENTOS!$A$5:$A$1005&lt;&gt;"")*(MOVIMIENTOS!$A$5:$A$1005&lt;=$A722)*MOVIMIENTOS!$E$5:$E$1005)-SUMPRODUCT((MOVIMIENTOS!$B$5:$B$1005="REGALO")*(MOVIMIENTOS!$C$5:$C$1005="P")*(MOVIMIENTOS!$D$5:$D$1005="jabas")*(MOVIMIENTOS!$A$5:$A$1005&lt;&gt;"")*(MOVIMIENTOS!$A$5:$A$1005&lt;=$A722)*MOVIMIENTOS!$E$5:$E$1005)-SUMPRODUCT((MOVIMIENTOS!$B$5:$B$1005="VENTA")*(MOVIMIENTOS!$C$5:$C$1005="P")*(MOVIMIENTOS!$D$5:$D$1005="jabas")*(MOVIMIENTOS!$A$5:$A$1005&lt;&gt;"")*(MOVIMIENTOS!$A$5:$A$1005&lt;=$A722)*MOVIMIENTOS!$E$5:$E$1005)+SUMPRODUCT((MOVIMIENTOS!$B$5:$B$1005="AJUSTE")*(MOVIMIENTOS!$C$5:$C$1005="P")*(MOVIMIENTOS!$D$5:$D$1005="jabas")*(MOVIMIENTOS!$A$5:$A$1005&lt;&gt;"")*(MOVIMIENTOS!$A$5:$A$1005&lt;=$A722)*MOVIMIENTOS!$E$5:$E$1005))</f>
        <v/>
      </c>
      <c r="D722" t="str">
        <f>IF($A722="","",SUMPRODUCT((MOVIMIENTOS!$B$5:$B$1005="SALDO INICIAL")*(MOVIMIENTOS!$C$5:$C$1005="C")*(MOVIMIENTOS!$D$5:$D$1005="jabas")*(MOVIMIENTOS!$A$5:$A$1005&lt;&gt;"")*(MOVIMIENTOS!$A$5:$A$1005&lt;=$A722)*MOVIMIENTOS!$E$5:$E$1005)+SUMPRODUCT((MOVIMIENTOS!$B$5:$B$1005="PROCESO")*(MOVIMIENTOS!$C$5:$C$1005="C")*(MOVIMIENTOS!$D$5:$D$1005="jabas")*(MOVIMIENTOS!$A$5:$A$1005&lt;&gt;"")*(MOVIMIENTOS!$A$5:$A$1005&lt;=$A722)*MOVIMIENTOS!$E$5:$E$1005)-SUMPRODUCT((MOVIMIENTOS!$B$5:$B$1005="ENVÍO A SUPESA")*(MOVIMIENTOS!$C$5:$C$1005="C")*(MOVIMIENTOS!$D$5:$D$1005="jabas")*(MOVIMIENTOS!$A$5:$A$1005&lt;&gt;"")*(MOVIMIENTOS!$A$5:$A$1005&lt;=$A722)*MOVIMIENTOS!$E$5:$E$1005)+SUMPRODUCT((MOVIMIENTOS!$B$5:$B$1005="DEVOLUCIÓN")*(MOVIMIENTOS!$C$5:$C$1005="C")*(MOVIMIENTOS!$D$5:$D$1005="jabas")*(MOVIMIENTOS!$A$5:$A$1005&lt;&gt;"")*(MOVIMIENTOS!$A$5:$A$1005&lt;=$A722)*MOVIMIENTOS!$E$5:$E$1005)-SUMPRODUCT((MOVIMIENTOS!$B$5:$B$1005="TRASIEGO")*(MOVIMIENTOS!$C$5:$C$1005="C")*(MOVIMIENTOS!$D$5:$D$1005="jabas")*(MOVIMIENTOS!$A$5:$A$1005&lt;&gt;"")*(MOVIMIENTOS!$A$5:$A$1005&lt;=$A722)*MOVIMIENTOS!$E$5:$E$1005)-SUMPRODUCT((MOVIMIENTOS!$B$5:$B$1005="REGALO")*(MOVIMIENTOS!$C$5:$C$1005="C")*(MOVIMIENTOS!$D$5:$D$1005="jabas")*(MOVIMIENTOS!$A$5:$A$1005&lt;&gt;"")*(MOVIMIENTOS!$A$5:$A$1005&lt;=$A722)*MOVIMIENTOS!$E$5:$E$1005)-SUMPRODUCT((MOVIMIENTOS!$B$5:$B$1005="VENTA")*(MOVIMIENTOS!$C$5:$C$1005="C")*(MOVIMIENTOS!$D$5:$D$1005="jabas")*(MOVIMIENTOS!$A$5:$A$1005&lt;&gt;"")*(MOVIMIENTOS!$A$5:$A$1005&lt;=$A722)*MOVIMIENTOS!$E$5:$E$1005)+SUMPRODUCT((MOVIMIENTOS!$B$5:$B$1005="AJUSTE")*(MOVIMIENTOS!$C$5:$C$1005="C")*(MOVIMIENTOS!$D$5:$D$1005="jabas")*(MOVIMIENTOS!$A$5:$A$1005&lt;&gt;"")*(MOVIMIENTOS!$A$5:$A$1005&lt;=$A722)*MOVIMIENTOS!$E$5:$E$1005))</f>
        <v/>
      </c>
      <c r="E722" t="str">
        <f>IF($A722="","",SUMPRODUCT((MOVIMIENTOS!$B$5:$B$1005="SALDO INICIAL")*(MOVIMIENTOS!$C$5:$C$1005="M")*(MOVIMIENTOS!$D$5:$D$1005="jabas")*(MOVIMIENTOS!$A$5:$A$1005&lt;&gt;"")*(MOVIMIENTOS!$A$5:$A$1005&lt;=$A722)*MOVIMIENTOS!$E$5:$E$1005)+SUMPRODUCT((MOVIMIENTOS!$B$5:$B$1005="PROCESO")*(MOVIMIENTOS!$C$5:$C$1005="M")*(MOVIMIENTOS!$D$5:$D$1005="jabas")*(MOVIMIENTOS!$A$5:$A$1005&lt;&gt;"")*(MOVIMIENTOS!$A$5:$A$1005&lt;=$A722)*MOVIMIENTOS!$E$5:$E$1005)-SUMPRODUCT((MOVIMIENTOS!$B$5:$B$1005="ENVÍO A SUPESA")*(MOVIMIENTOS!$C$5:$C$1005="M")*(MOVIMIENTOS!$D$5:$D$1005="jabas")*(MOVIMIENTOS!$A$5:$A$1005&lt;&gt;"")*(MOVIMIENTOS!$A$5:$A$1005&lt;=$A722)*MOVIMIENTOS!$E$5:$E$1005)+SUMPRODUCT((MOVIMIENTOS!$B$5:$B$1005="DEVOLUCIÓN")*(MOVIMIENTOS!$C$5:$C$1005="M")*(MOVIMIENTOS!$D$5:$D$1005="jabas")*(MOVIMIENTOS!$A$5:$A$1005&lt;&gt;"")*(MOVIMIENTOS!$A$5:$A$1005&lt;=$A722)*MOVIMIENTOS!$E$5:$E$1005)-SUMPRODUCT((MOVIMIENTOS!$B$5:$B$1005="TRASIEGO")*(MOVIMIENTOS!$C$5:$C$1005="M")*(MOVIMIENTOS!$D$5:$D$1005="jabas")*(MOVIMIENTOS!$A$5:$A$1005&lt;&gt;"")*(MOVIMIENTOS!$A$5:$A$1005&lt;=$A722)*MOVIMIENTOS!$E$5:$E$1005)-SUMPRODUCT((MOVIMIENTOS!$B$5:$B$1005="REGALO")*(MOVIMIENTOS!$C$5:$C$1005="M")*(MOVIMIENTOS!$D$5:$D$1005="jabas")*(MOVIMIENTOS!$A$5:$A$1005&lt;&gt;"")*(MOVIMIENTOS!$A$5:$A$1005&lt;=$A722)*MOVIMIENTOS!$E$5:$E$1005)-SUMPRODUCT((MOVIMIENTOS!$B$5:$B$1005="VENTA")*(MOVIMIENTOS!$C$5:$C$1005="M")*(MOVIMIENTOS!$D$5:$D$1005="jabas")*(MOVIMIENTOS!$A$5:$A$1005&lt;&gt;"")*(MOVIMIENTOS!$A$5:$A$1005&lt;=$A722)*MOVIMIENTOS!$E$5:$E$1005)+SUMPRODUCT((MOVIMIENTOS!$B$5:$B$1005="AJUSTE")*(MOVIMIENTOS!$C$5:$C$1005="M")*(MOVIMIENTOS!$D$5:$D$1005="jabas")*(MOVIMIENTOS!$A$5:$A$1005&lt;&gt;"")*(MOVIMIENTOS!$A$5:$A$1005&lt;=$A722)*MOVIMIENTOS!$E$5:$E$1005))</f>
        <v/>
      </c>
      <c r="F722" s="62" t="str">
        <f>IF($A722="","",SUMPRODUCT((MOVIMIENTOS!$B$5:$B$1005="SALDO INICIAL")*(MOVIMIENTOS!$C$5:$C$1005="Chancho")*(MOVIMIENTOS!$D$5:$D$1005="sacos")*(MOVIMIENTOS!$A$5:$A$1005&lt;&gt;"")*(MOVIMIENTOS!$A$5:$A$1005&lt;=$A722)*MOVIMIENTOS!$E$5:$E$1005)+SUMPRODUCT((MOVIMIENTOS!$B$5:$B$1005="PROCESO")*(MOVIMIENTOS!$C$5:$C$1005="Chancho")*(MOVIMIENTOS!$D$5:$D$1005="sacos")*(MOVIMIENTOS!$A$5:$A$1005&lt;&gt;"")*(MOVIMIENTOS!$A$5:$A$1005&lt;=$A722)*MOVIMIENTOS!$E$5:$E$1005)-SUMPRODUCT((MOVIMIENTOS!$B$5:$B$1005="VENTA CHANCHO")*(MOVIMIENTOS!$C$5:$C$1005="Chancho")*(MOVIMIENTOS!$D$5:$D$1005="sacos")*(MOVIMIENTOS!$A$5:$A$1005&lt;&gt;"")*(MOVIMIENTOS!$A$5:$A$1005&lt;=$A722)*MOVIMIENTOS!$E$5:$E$1005)-SUMPRODUCT((MOVIMIENTOS!$B$5:$B$1005="REGALO")*(MOVIMIENTOS!$C$5:$C$1005="Chancho")*(MOVIMIENTOS!$D$5:$D$1005="sacos")*(MOVIMIENTOS!$A$5:$A$1005&lt;&gt;"")*(MOVIMIENTOS!$A$5:$A$1005&lt;=$A722)*MOVIMIENTOS!$E$5:$E$1005)-SUMPRODUCT((MOVIMIENTOS!$B$5:$B$1005="VENTA")*(MOVIMIENTOS!$C$5:$C$1005="Chancho")*(MOVIMIENTOS!$D$5:$D$1005="sacos")*(MOVIMIENTOS!$A$5:$A$1005&lt;&gt;"")*(MOVIMIENTOS!$A$5:$A$1005&lt;=$A722)*MOVIMIENTOS!$E$5:$E$1005)+SUMPRODUCT((MOVIMIENTOS!$B$5:$B$1005="AJUSTE")*(MOVIMIENTOS!$C$5:$C$1005="Chancho")*(MOVIMIENTOS!$D$5:$D$1005="sacos")*(MOVIMIENTOS!$A$5:$A$1005&lt;&gt;"")*(MOVIMIENTOS!$A$5:$A$1005&lt;=$A722)*MOVIMIENTOS!$E$5:$E$1005))</f>
        <v/>
      </c>
      <c r="G722" s="62" t="str">
        <f t="shared" si="23"/>
        <v/>
      </c>
      <c r="H722" t="str">
        <f>IF($A722="","",SUMPRODUCT((((MOVIMIENTOS!$B$5:$B$1005="SALDO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722)*MOVIMIENTOS!$J$5:$J$1005))</f>
        <v/>
      </c>
      <c r="J722" t="str">
        <f>IF(AND(MOVIMIENTOS!$A727&lt;&gt;"",COUNTIF(MOVIMIENTOS!$A$5:$A726,MOVIMIENTOS!$A727)=0),COUNT(J$4:J721)+1,"")</f>
        <v/>
      </c>
      <c r="K722">
        <f>MOVIMIENTOS!$A727</f>
        <v>0</v>
      </c>
    </row>
    <row r="723" spans="1:11" ht="15" customHeight="1" x14ac:dyDescent="0.2">
      <c r="A723" t="str">
        <f t="shared" si="22"/>
        <v/>
      </c>
      <c r="B723" t="str">
        <f>IF($A723="","",SUMPRODUCT((MOVIMIENTOS!$B$5:$B$1005="SALDO INICIAL")*(MOVIMIENTOS!$C$5:$C$1005="A")*(MOVIMIENTOS!$D$5:$D$1005="jabas")*(MOVIMIENTOS!$A$5:$A$1005&lt;&gt;"")*(MOVIMIENTOS!$A$5:$A$1005&lt;=$A723)*MOVIMIENTOS!$E$5:$E$1005)+SUMPRODUCT((MOVIMIENTOS!$B$5:$B$1005="PROCESO")*(MOVIMIENTOS!$C$5:$C$1005="A")*(MOVIMIENTOS!$D$5:$D$1005="jabas")*(MOVIMIENTOS!$A$5:$A$1005&lt;&gt;"")*(MOVIMIENTOS!$A$5:$A$1005&lt;=$A723)*MOVIMIENTOS!$E$5:$E$1005)-SUMPRODUCT((MOVIMIENTOS!$B$5:$B$1005="ENVÍO A SUPESA")*(MOVIMIENTOS!$C$5:$C$1005="A")*(MOVIMIENTOS!$D$5:$D$1005="jabas")*(MOVIMIENTOS!$A$5:$A$1005&lt;&gt;"")*(MOVIMIENTOS!$A$5:$A$1005&lt;=$A723)*MOVIMIENTOS!$E$5:$E$1005)+SUMPRODUCT((MOVIMIENTOS!$B$5:$B$1005="DEVOLUCIÓN")*(MOVIMIENTOS!$C$5:$C$1005="A")*(MOVIMIENTOS!$D$5:$D$1005="jabas")*(MOVIMIENTOS!$A$5:$A$1005&lt;&gt;"")*(MOVIMIENTOS!$A$5:$A$1005&lt;=$A723)*MOVIMIENTOS!$E$5:$E$1005)-SUMPRODUCT((MOVIMIENTOS!$B$5:$B$1005="TRASIEGO")*(MOVIMIENTOS!$C$5:$C$1005="A")*(MOVIMIENTOS!$D$5:$D$1005="jabas")*(MOVIMIENTOS!$A$5:$A$1005&lt;&gt;"")*(MOVIMIENTOS!$A$5:$A$1005&lt;=$A723)*MOVIMIENTOS!$E$5:$E$1005)-SUMPRODUCT((MOVIMIENTOS!$B$5:$B$1005="REGALO")*(MOVIMIENTOS!$C$5:$C$1005="A")*(MOVIMIENTOS!$D$5:$D$1005="jabas")*(MOVIMIENTOS!$A$5:$A$1005&lt;&gt;"")*(MOVIMIENTOS!$A$5:$A$1005&lt;=$A723)*MOVIMIENTOS!$E$5:$E$1005)-SUMPRODUCT((MOVIMIENTOS!$B$5:$B$1005="VENTA")*(MOVIMIENTOS!$C$5:$C$1005="A")*(MOVIMIENTOS!$D$5:$D$1005="jabas")*(MOVIMIENTOS!$A$5:$A$1005&lt;&gt;"")*(MOVIMIENTOS!$A$5:$A$1005&lt;=$A723)*MOVIMIENTOS!$E$5:$E$1005)+SUMPRODUCT((MOVIMIENTOS!$B$5:$B$1005="AJUSTE")*(MOVIMIENTOS!$C$5:$C$1005="A")*(MOVIMIENTOS!$D$5:$D$1005="jabas")*(MOVIMIENTOS!$A$5:$A$1005&lt;&gt;"")*(MOVIMIENTOS!$A$5:$A$1005&lt;=$A723)*MOVIMIENTOS!$E$5:$E$1005))</f>
        <v/>
      </c>
      <c r="C723" t="str">
        <f>IF($A723="","",SUMPRODUCT((MOVIMIENTOS!$B$5:$B$1005="SALDO INICIAL")*(MOVIMIENTOS!$C$5:$C$1005="P")*(MOVIMIENTOS!$D$5:$D$1005="jabas")*(MOVIMIENTOS!$A$5:$A$1005&lt;&gt;"")*(MOVIMIENTOS!$A$5:$A$1005&lt;=$A723)*MOVIMIENTOS!$E$5:$E$1005)+SUMPRODUCT((MOVIMIENTOS!$B$5:$B$1005="PROCESO")*(MOVIMIENTOS!$C$5:$C$1005="P")*(MOVIMIENTOS!$D$5:$D$1005="jabas")*(MOVIMIENTOS!$A$5:$A$1005&lt;&gt;"")*(MOVIMIENTOS!$A$5:$A$1005&lt;=$A723)*MOVIMIENTOS!$E$5:$E$1005)-SUMPRODUCT((MOVIMIENTOS!$B$5:$B$1005="ENVÍO A SUPESA")*(MOVIMIENTOS!$C$5:$C$1005="P")*(MOVIMIENTOS!$D$5:$D$1005="jabas")*(MOVIMIENTOS!$A$5:$A$1005&lt;&gt;"")*(MOVIMIENTOS!$A$5:$A$1005&lt;=$A723)*MOVIMIENTOS!$E$5:$E$1005)+SUMPRODUCT((MOVIMIENTOS!$B$5:$B$1005="DEVOLUCIÓN")*(MOVIMIENTOS!$C$5:$C$1005="P")*(MOVIMIENTOS!$D$5:$D$1005="jabas")*(MOVIMIENTOS!$A$5:$A$1005&lt;&gt;"")*(MOVIMIENTOS!$A$5:$A$1005&lt;=$A723)*MOVIMIENTOS!$E$5:$E$1005)-SUMPRODUCT((MOVIMIENTOS!$B$5:$B$1005="TRASIEGO")*(MOVIMIENTOS!$C$5:$C$1005="P")*(MOVIMIENTOS!$D$5:$D$1005="jabas")*(MOVIMIENTOS!$A$5:$A$1005&lt;&gt;"")*(MOVIMIENTOS!$A$5:$A$1005&lt;=$A723)*MOVIMIENTOS!$E$5:$E$1005)-SUMPRODUCT((MOVIMIENTOS!$B$5:$B$1005="REGALO")*(MOVIMIENTOS!$C$5:$C$1005="P")*(MOVIMIENTOS!$D$5:$D$1005="jabas")*(MOVIMIENTOS!$A$5:$A$1005&lt;&gt;"")*(MOVIMIENTOS!$A$5:$A$1005&lt;=$A723)*MOVIMIENTOS!$E$5:$E$1005)-SUMPRODUCT((MOVIMIENTOS!$B$5:$B$1005="VENTA")*(MOVIMIENTOS!$C$5:$C$1005="P")*(MOVIMIENTOS!$D$5:$D$1005="jabas")*(MOVIMIENTOS!$A$5:$A$1005&lt;&gt;"")*(MOVIMIENTOS!$A$5:$A$1005&lt;=$A723)*MOVIMIENTOS!$E$5:$E$1005)+SUMPRODUCT((MOVIMIENTOS!$B$5:$B$1005="AJUSTE")*(MOVIMIENTOS!$C$5:$C$1005="P")*(MOVIMIENTOS!$D$5:$D$1005="jabas")*(MOVIMIENTOS!$A$5:$A$1005&lt;&gt;"")*(MOVIMIENTOS!$A$5:$A$1005&lt;=$A723)*MOVIMIENTOS!$E$5:$E$1005))</f>
        <v/>
      </c>
      <c r="D723" t="str">
        <f>IF($A723="","",SUMPRODUCT((MOVIMIENTOS!$B$5:$B$1005="SALDO INICIAL")*(MOVIMIENTOS!$C$5:$C$1005="C")*(MOVIMIENTOS!$D$5:$D$1005="jabas")*(MOVIMIENTOS!$A$5:$A$1005&lt;&gt;"")*(MOVIMIENTOS!$A$5:$A$1005&lt;=$A723)*MOVIMIENTOS!$E$5:$E$1005)+SUMPRODUCT((MOVIMIENTOS!$B$5:$B$1005="PROCESO")*(MOVIMIENTOS!$C$5:$C$1005="C")*(MOVIMIENTOS!$D$5:$D$1005="jabas")*(MOVIMIENTOS!$A$5:$A$1005&lt;&gt;"")*(MOVIMIENTOS!$A$5:$A$1005&lt;=$A723)*MOVIMIENTOS!$E$5:$E$1005)-SUMPRODUCT((MOVIMIENTOS!$B$5:$B$1005="ENVÍO A SUPESA")*(MOVIMIENTOS!$C$5:$C$1005="C")*(MOVIMIENTOS!$D$5:$D$1005="jabas")*(MOVIMIENTOS!$A$5:$A$1005&lt;&gt;"")*(MOVIMIENTOS!$A$5:$A$1005&lt;=$A723)*MOVIMIENTOS!$E$5:$E$1005)+SUMPRODUCT((MOVIMIENTOS!$B$5:$B$1005="DEVOLUCIÓN")*(MOVIMIENTOS!$C$5:$C$1005="C")*(MOVIMIENTOS!$D$5:$D$1005="jabas")*(MOVIMIENTOS!$A$5:$A$1005&lt;&gt;"")*(MOVIMIENTOS!$A$5:$A$1005&lt;=$A723)*MOVIMIENTOS!$E$5:$E$1005)-SUMPRODUCT((MOVIMIENTOS!$B$5:$B$1005="TRASIEGO")*(MOVIMIENTOS!$C$5:$C$1005="C")*(MOVIMIENTOS!$D$5:$D$1005="jabas")*(MOVIMIENTOS!$A$5:$A$1005&lt;&gt;"")*(MOVIMIENTOS!$A$5:$A$1005&lt;=$A723)*MOVIMIENTOS!$E$5:$E$1005)-SUMPRODUCT((MOVIMIENTOS!$B$5:$B$1005="REGALO")*(MOVIMIENTOS!$C$5:$C$1005="C")*(MOVIMIENTOS!$D$5:$D$1005="jabas")*(MOVIMIENTOS!$A$5:$A$1005&lt;&gt;"")*(MOVIMIENTOS!$A$5:$A$1005&lt;=$A723)*MOVIMIENTOS!$E$5:$E$1005)-SUMPRODUCT((MOVIMIENTOS!$B$5:$B$1005="VENTA")*(MOVIMIENTOS!$C$5:$C$1005="C")*(MOVIMIENTOS!$D$5:$D$1005="jabas")*(MOVIMIENTOS!$A$5:$A$1005&lt;&gt;"")*(MOVIMIENTOS!$A$5:$A$1005&lt;=$A723)*MOVIMIENTOS!$E$5:$E$1005)+SUMPRODUCT((MOVIMIENTOS!$B$5:$B$1005="AJUSTE")*(MOVIMIENTOS!$C$5:$C$1005="C")*(MOVIMIENTOS!$D$5:$D$1005="jabas")*(MOVIMIENTOS!$A$5:$A$1005&lt;&gt;"")*(MOVIMIENTOS!$A$5:$A$1005&lt;=$A723)*MOVIMIENTOS!$E$5:$E$1005))</f>
        <v/>
      </c>
      <c r="E723" t="str">
        <f>IF($A723="","",SUMPRODUCT((MOVIMIENTOS!$B$5:$B$1005="SALDO INICIAL")*(MOVIMIENTOS!$C$5:$C$1005="M")*(MOVIMIENTOS!$D$5:$D$1005="jabas")*(MOVIMIENTOS!$A$5:$A$1005&lt;&gt;"")*(MOVIMIENTOS!$A$5:$A$1005&lt;=$A723)*MOVIMIENTOS!$E$5:$E$1005)+SUMPRODUCT((MOVIMIENTOS!$B$5:$B$1005="PROCESO")*(MOVIMIENTOS!$C$5:$C$1005="M")*(MOVIMIENTOS!$D$5:$D$1005="jabas")*(MOVIMIENTOS!$A$5:$A$1005&lt;&gt;"")*(MOVIMIENTOS!$A$5:$A$1005&lt;=$A723)*MOVIMIENTOS!$E$5:$E$1005)-SUMPRODUCT((MOVIMIENTOS!$B$5:$B$1005="ENVÍO A SUPESA")*(MOVIMIENTOS!$C$5:$C$1005="M")*(MOVIMIENTOS!$D$5:$D$1005="jabas")*(MOVIMIENTOS!$A$5:$A$1005&lt;&gt;"")*(MOVIMIENTOS!$A$5:$A$1005&lt;=$A723)*MOVIMIENTOS!$E$5:$E$1005)+SUMPRODUCT((MOVIMIENTOS!$B$5:$B$1005="DEVOLUCIÓN")*(MOVIMIENTOS!$C$5:$C$1005="M")*(MOVIMIENTOS!$D$5:$D$1005="jabas")*(MOVIMIENTOS!$A$5:$A$1005&lt;&gt;"")*(MOVIMIENTOS!$A$5:$A$1005&lt;=$A723)*MOVIMIENTOS!$E$5:$E$1005)-SUMPRODUCT((MOVIMIENTOS!$B$5:$B$1005="TRASIEGO")*(MOVIMIENTOS!$C$5:$C$1005="M")*(MOVIMIENTOS!$D$5:$D$1005="jabas")*(MOVIMIENTOS!$A$5:$A$1005&lt;&gt;"")*(MOVIMIENTOS!$A$5:$A$1005&lt;=$A723)*MOVIMIENTOS!$E$5:$E$1005)-SUMPRODUCT((MOVIMIENTOS!$B$5:$B$1005="REGALO")*(MOVIMIENTOS!$C$5:$C$1005="M")*(MOVIMIENTOS!$D$5:$D$1005="jabas")*(MOVIMIENTOS!$A$5:$A$1005&lt;&gt;"")*(MOVIMIENTOS!$A$5:$A$1005&lt;=$A723)*MOVIMIENTOS!$E$5:$E$1005)-SUMPRODUCT((MOVIMIENTOS!$B$5:$B$1005="VENTA")*(MOVIMIENTOS!$C$5:$C$1005="M")*(MOVIMIENTOS!$D$5:$D$1005="jabas")*(MOVIMIENTOS!$A$5:$A$1005&lt;&gt;"")*(MOVIMIENTOS!$A$5:$A$1005&lt;=$A723)*MOVIMIENTOS!$E$5:$E$1005)+SUMPRODUCT((MOVIMIENTOS!$B$5:$B$1005="AJUSTE")*(MOVIMIENTOS!$C$5:$C$1005="M")*(MOVIMIENTOS!$D$5:$D$1005="jabas")*(MOVIMIENTOS!$A$5:$A$1005&lt;&gt;"")*(MOVIMIENTOS!$A$5:$A$1005&lt;=$A723)*MOVIMIENTOS!$E$5:$E$1005))</f>
        <v/>
      </c>
      <c r="F723" s="62" t="str">
        <f>IF($A723="","",SUMPRODUCT((MOVIMIENTOS!$B$5:$B$1005="SALDO INICIAL")*(MOVIMIENTOS!$C$5:$C$1005="Chancho")*(MOVIMIENTOS!$D$5:$D$1005="sacos")*(MOVIMIENTOS!$A$5:$A$1005&lt;&gt;"")*(MOVIMIENTOS!$A$5:$A$1005&lt;=$A723)*MOVIMIENTOS!$E$5:$E$1005)+SUMPRODUCT((MOVIMIENTOS!$B$5:$B$1005="PROCESO")*(MOVIMIENTOS!$C$5:$C$1005="Chancho")*(MOVIMIENTOS!$D$5:$D$1005="sacos")*(MOVIMIENTOS!$A$5:$A$1005&lt;&gt;"")*(MOVIMIENTOS!$A$5:$A$1005&lt;=$A723)*MOVIMIENTOS!$E$5:$E$1005)-SUMPRODUCT((MOVIMIENTOS!$B$5:$B$1005="VENTA CHANCHO")*(MOVIMIENTOS!$C$5:$C$1005="Chancho")*(MOVIMIENTOS!$D$5:$D$1005="sacos")*(MOVIMIENTOS!$A$5:$A$1005&lt;&gt;"")*(MOVIMIENTOS!$A$5:$A$1005&lt;=$A723)*MOVIMIENTOS!$E$5:$E$1005)-SUMPRODUCT((MOVIMIENTOS!$B$5:$B$1005="REGALO")*(MOVIMIENTOS!$C$5:$C$1005="Chancho")*(MOVIMIENTOS!$D$5:$D$1005="sacos")*(MOVIMIENTOS!$A$5:$A$1005&lt;&gt;"")*(MOVIMIENTOS!$A$5:$A$1005&lt;=$A723)*MOVIMIENTOS!$E$5:$E$1005)-SUMPRODUCT((MOVIMIENTOS!$B$5:$B$1005="VENTA")*(MOVIMIENTOS!$C$5:$C$1005="Chancho")*(MOVIMIENTOS!$D$5:$D$1005="sacos")*(MOVIMIENTOS!$A$5:$A$1005&lt;&gt;"")*(MOVIMIENTOS!$A$5:$A$1005&lt;=$A723)*MOVIMIENTOS!$E$5:$E$1005)+SUMPRODUCT((MOVIMIENTOS!$B$5:$B$1005="AJUSTE")*(MOVIMIENTOS!$C$5:$C$1005="Chancho")*(MOVIMIENTOS!$D$5:$D$1005="sacos")*(MOVIMIENTOS!$A$5:$A$1005&lt;&gt;"")*(MOVIMIENTOS!$A$5:$A$1005&lt;=$A723)*MOVIMIENTOS!$E$5:$E$1005))</f>
        <v/>
      </c>
      <c r="G723" s="62" t="str">
        <f t="shared" si="23"/>
        <v/>
      </c>
      <c r="H723" t="str">
        <f>IF($A723="","",SUMPRODUCT((((MOVIMIENTOS!$B$5:$B$1005="SALDO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723)*MOVIMIENTOS!$J$5:$J$1005))</f>
        <v/>
      </c>
      <c r="J723" t="str">
        <f>IF(AND(MOVIMIENTOS!$A728&lt;&gt;"",COUNTIF(MOVIMIENTOS!$A$5:$A727,MOVIMIENTOS!$A728)=0),COUNT(J$4:J722)+1,"")</f>
        <v/>
      </c>
      <c r="K723">
        <f>MOVIMIENTOS!$A728</f>
        <v>0</v>
      </c>
    </row>
    <row r="724" spans="1:11" ht="15" customHeight="1" x14ac:dyDescent="0.2">
      <c r="A724" t="str">
        <f t="shared" si="22"/>
        <v/>
      </c>
      <c r="B724" t="str">
        <f>IF($A724="","",SUMPRODUCT((MOVIMIENTOS!$B$5:$B$1005="SALDO INICIAL")*(MOVIMIENTOS!$C$5:$C$1005="A")*(MOVIMIENTOS!$D$5:$D$1005="jabas")*(MOVIMIENTOS!$A$5:$A$1005&lt;&gt;"")*(MOVIMIENTOS!$A$5:$A$1005&lt;=$A724)*MOVIMIENTOS!$E$5:$E$1005)+SUMPRODUCT((MOVIMIENTOS!$B$5:$B$1005="PROCESO")*(MOVIMIENTOS!$C$5:$C$1005="A")*(MOVIMIENTOS!$D$5:$D$1005="jabas")*(MOVIMIENTOS!$A$5:$A$1005&lt;&gt;"")*(MOVIMIENTOS!$A$5:$A$1005&lt;=$A724)*MOVIMIENTOS!$E$5:$E$1005)-SUMPRODUCT((MOVIMIENTOS!$B$5:$B$1005="ENVÍO A SUPESA")*(MOVIMIENTOS!$C$5:$C$1005="A")*(MOVIMIENTOS!$D$5:$D$1005="jabas")*(MOVIMIENTOS!$A$5:$A$1005&lt;&gt;"")*(MOVIMIENTOS!$A$5:$A$1005&lt;=$A724)*MOVIMIENTOS!$E$5:$E$1005)+SUMPRODUCT((MOVIMIENTOS!$B$5:$B$1005="DEVOLUCIÓN")*(MOVIMIENTOS!$C$5:$C$1005="A")*(MOVIMIENTOS!$D$5:$D$1005="jabas")*(MOVIMIENTOS!$A$5:$A$1005&lt;&gt;"")*(MOVIMIENTOS!$A$5:$A$1005&lt;=$A724)*MOVIMIENTOS!$E$5:$E$1005)-SUMPRODUCT((MOVIMIENTOS!$B$5:$B$1005="TRASIEGO")*(MOVIMIENTOS!$C$5:$C$1005="A")*(MOVIMIENTOS!$D$5:$D$1005="jabas")*(MOVIMIENTOS!$A$5:$A$1005&lt;&gt;"")*(MOVIMIENTOS!$A$5:$A$1005&lt;=$A724)*MOVIMIENTOS!$E$5:$E$1005)-SUMPRODUCT((MOVIMIENTOS!$B$5:$B$1005="REGALO")*(MOVIMIENTOS!$C$5:$C$1005="A")*(MOVIMIENTOS!$D$5:$D$1005="jabas")*(MOVIMIENTOS!$A$5:$A$1005&lt;&gt;"")*(MOVIMIENTOS!$A$5:$A$1005&lt;=$A724)*MOVIMIENTOS!$E$5:$E$1005)-SUMPRODUCT((MOVIMIENTOS!$B$5:$B$1005="VENTA")*(MOVIMIENTOS!$C$5:$C$1005="A")*(MOVIMIENTOS!$D$5:$D$1005="jabas")*(MOVIMIENTOS!$A$5:$A$1005&lt;&gt;"")*(MOVIMIENTOS!$A$5:$A$1005&lt;=$A724)*MOVIMIENTOS!$E$5:$E$1005)+SUMPRODUCT((MOVIMIENTOS!$B$5:$B$1005="AJUSTE")*(MOVIMIENTOS!$C$5:$C$1005="A")*(MOVIMIENTOS!$D$5:$D$1005="jabas")*(MOVIMIENTOS!$A$5:$A$1005&lt;&gt;"")*(MOVIMIENTOS!$A$5:$A$1005&lt;=$A724)*MOVIMIENTOS!$E$5:$E$1005))</f>
        <v/>
      </c>
      <c r="C724" t="str">
        <f>IF($A724="","",SUMPRODUCT((MOVIMIENTOS!$B$5:$B$1005="SALDO INICIAL")*(MOVIMIENTOS!$C$5:$C$1005="P")*(MOVIMIENTOS!$D$5:$D$1005="jabas")*(MOVIMIENTOS!$A$5:$A$1005&lt;&gt;"")*(MOVIMIENTOS!$A$5:$A$1005&lt;=$A724)*MOVIMIENTOS!$E$5:$E$1005)+SUMPRODUCT((MOVIMIENTOS!$B$5:$B$1005="PROCESO")*(MOVIMIENTOS!$C$5:$C$1005="P")*(MOVIMIENTOS!$D$5:$D$1005="jabas")*(MOVIMIENTOS!$A$5:$A$1005&lt;&gt;"")*(MOVIMIENTOS!$A$5:$A$1005&lt;=$A724)*MOVIMIENTOS!$E$5:$E$1005)-SUMPRODUCT((MOVIMIENTOS!$B$5:$B$1005="ENVÍO A SUPESA")*(MOVIMIENTOS!$C$5:$C$1005="P")*(MOVIMIENTOS!$D$5:$D$1005="jabas")*(MOVIMIENTOS!$A$5:$A$1005&lt;&gt;"")*(MOVIMIENTOS!$A$5:$A$1005&lt;=$A724)*MOVIMIENTOS!$E$5:$E$1005)+SUMPRODUCT((MOVIMIENTOS!$B$5:$B$1005="DEVOLUCIÓN")*(MOVIMIENTOS!$C$5:$C$1005="P")*(MOVIMIENTOS!$D$5:$D$1005="jabas")*(MOVIMIENTOS!$A$5:$A$1005&lt;&gt;"")*(MOVIMIENTOS!$A$5:$A$1005&lt;=$A724)*MOVIMIENTOS!$E$5:$E$1005)-SUMPRODUCT((MOVIMIENTOS!$B$5:$B$1005="TRASIEGO")*(MOVIMIENTOS!$C$5:$C$1005="P")*(MOVIMIENTOS!$D$5:$D$1005="jabas")*(MOVIMIENTOS!$A$5:$A$1005&lt;&gt;"")*(MOVIMIENTOS!$A$5:$A$1005&lt;=$A724)*MOVIMIENTOS!$E$5:$E$1005)-SUMPRODUCT((MOVIMIENTOS!$B$5:$B$1005="REGALO")*(MOVIMIENTOS!$C$5:$C$1005="P")*(MOVIMIENTOS!$D$5:$D$1005="jabas")*(MOVIMIENTOS!$A$5:$A$1005&lt;&gt;"")*(MOVIMIENTOS!$A$5:$A$1005&lt;=$A724)*MOVIMIENTOS!$E$5:$E$1005)-SUMPRODUCT((MOVIMIENTOS!$B$5:$B$1005="VENTA")*(MOVIMIENTOS!$C$5:$C$1005="P")*(MOVIMIENTOS!$D$5:$D$1005="jabas")*(MOVIMIENTOS!$A$5:$A$1005&lt;&gt;"")*(MOVIMIENTOS!$A$5:$A$1005&lt;=$A724)*MOVIMIENTOS!$E$5:$E$1005)+SUMPRODUCT((MOVIMIENTOS!$B$5:$B$1005="AJUSTE")*(MOVIMIENTOS!$C$5:$C$1005="P")*(MOVIMIENTOS!$D$5:$D$1005="jabas")*(MOVIMIENTOS!$A$5:$A$1005&lt;&gt;"")*(MOVIMIENTOS!$A$5:$A$1005&lt;=$A724)*MOVIMIENTOS!$E$5:$E$1005))</f>
        <v/>
      </c>
      <c r="D724" t="str">
        <f>IF($A724="","",SUMPRODUCT((MOVIMIENTOS!$B$5:$B$1005="SALDO INICIAL")*(MOVIMIENTOS!$C$5:$C$1005="C")*(MOVIMIENTOS!$D$5:$D$1005="jabas")*(MOVIMIENTOS!$A$5:$A$1005&lt;&gt;"")*(MOVIMIENTOS!$A$5:$A$1005&lt;=$A724)*MOVIMIENTOS!$E$5:$E$1005)+SUMPRODUCT((MOVIMIENTOS!$B$5:$B$1005="PROCESO")*(MOVIMIENTOS!$C$5:$C$1005="C")*(MOVIMIENTOS!$D$5:$D$1005="jabas")*(MOVIMIENTOS!$A$5:$A$1005&lt;&gt;"")*(MOVIMIENTOS!$A$5:$A$1005&lt;=$A724)*MOVIMIENTOS!$E$5:$E$1005)-SUMPRODUCT((MOVIMIENTOS!$B$5:$B$1005="ENVÍO A SUPESA")*(MOVIMIENTOS!$C$5:$C$1005="C")*(MOVIMIENTOS!$D$5:$D$1005="jabas")*(MOVIMIENTOS!$A$5:$A$1005&lt;&gt;"")*(MOVIMIENTOS!$A$5:$A$1005&lt;=$A724)*MOVIMIENTOS!$E$5:$E$1005)+SUMPRODUCT((MOVIMIENTOS!$B$5:$B$1005="DEVOLUCIÓN")*(MOVIMIENTOS!$C$5:$C$1005="C")*(MOVIMIENTOS!$D$5:$D$1005="jabas")*(MOVIMIENTOS!$A$5:$A$1005&lt;&gt;"")*(MOVIMIENTOS!$A$5:$A$1005&lt;=$A724)*MOVIMIENTOS!$E$5:$E$1005)-SUMPRODUCT((MOVIMIENTOS!$B$5:$B$1005="TRASIEGO")*(MOVIMIENTOS!$C$5:$C$1005="C")*(MOVIMIENTOS!$D$5:$D$1005="jabas")*(MOVIMIENTOS!$A$5:$A$1005&lt;&gt;"")*(MOVIMIENTOS!$A$5:$A$1005&lt;=$A724)*MOVIMIENTOS!$E$5:$E$1005)-SUMPRODUCT((MOVIMIENTOS!$B$5:$B$1005="REGALO")*(MOVIMIENTOS!$C$5:$C$1005="C")*(MOVIMIENTOS!$D$5:$D$1005="jabas")*(MOVIMIENTOS!$A$5:$A$1005&lt;&gt;"")*(MOVIMIENTOS!$A$5:$A$1005&lt;=$A724)*MOVIMIENTOS!$E$5:$E$1005)-SUMPRODUCT((MOVIMIENTOS!$B$5:$B$1005="VENTA")*(MOVIMIENTOS!$C$5:$C$1005="C")*(MOVIMIENTOS!$D$5:$D$1005="jabas")*(MOVIMIENTOS!$A$5:$A$1005&lt;&gt;"")*(MOVIMIENTOS!$A$5:$A$1005&lt;=$A724)*MOVIMIENTOS!$E$5:$E$1005)+SUMPRODUCT((MOVIMIENTOS!$B$5:$B$1005="AJUSTE")*(MOVIMIENTOS!$C$5:$C$1005="C")*(MOVIMIENTOS!$D$5:$D$1005="jabas")*(MOVIMIENTOS!$A$5:$A$1005&lt;&gt;"")*(MOVIMIENTOS!$A$5:$A$1005&lt;=$A724)*MOVIMIENTOS!$E$5:$E$1005))</f>
        <v/>
      </c>
      <c r="E724" t="str">
        <f>IF($A724="","",SUMPRODUCT((MOVIMIENTOS!$B$5:$B$1005="SALDO INICIAL")*(MOVIMIENTOS!$C$5:$C$1005="M")*(MOVIMIENTOS!$D$5:$D$1005="jabas")*(MOVIMIENTOS!$A$5:$A$1005&lt;&gt;"")*(MOVIMIENTOS!$A$5:$A$1005&lt;=$A724)*MOVIMIENTOS!$E$5:$E$1005)+SUMPRODUCT((MOVIMIENTOS!$B$5:$B$1005="PROCESO")*(MOVIMIENTOS!$C$5:$C$1005="M")*(MOVIMIENTOS!$D$5:$D$1005="jabas")*(MOVIMIENTOS!$A$5:$A$1005&lt;&gt;"")*(MOVIMIENTOS!$A$5:$A$1005&lt;=$A724)*MOVIMIENTOS!$E$5:$E$1005)-SUMPRODUCT((MOVIMIENTOS!$B$5:$B$1005="ENVÍO A SUPESA")*(MOVIMIENTOS!$C$5:$C$1005="M")*(MOVIMIENTOS!$D$5:$D$1005="jabas")*(MOVIMIENTOS!$A$5:$A$1005&lt;&gt;"")*(MOVIMIENTOS!$A$5:$A$1005&lt;=$A724)*MOVIMIENTOS!$E$5:$E$1005)+SUMPRODUCT((MOVIMIENTOS!$B$5:$B$1005="DEVOLUCIÓN")*(MOVIMIENTOS!$C$5:$C$1005="M")*(MOVIMIENTOS!$D$5:$D$1005="jabas")*(MOVIMIENTOS!$A$5:$A$1005&lt;&gt;"")*(MOVIMIENTOS!$A$5:$A$1005&lt;=$A724)*MOVIMIENTOS!$E$5:$E$1005)-SUMPRODUCT((MOVIMIENTOS!$B$5:$B$1005="TRASIEGO")*(MOVIMIENTOS!$C$5:$C$1005="M")*(MOVIMIENTOS!$D$5:$D$1005="jabas")*(MOVIMIENTOS!$A$5:$A$1005&lt;&gt;"")*(MOVIMIENTOS!$A$5:$A$1005&lt;=$A724)*MOVIMIENTOS!$E$5:$E$1005)-SUMPRODUCT((MOVIMIENTOS!$B$5:$B$1005="REGALO")*(MOVIMIENTOS!$C$5:$C$1005="M")*(MOVIMIENTOS!$D$5:$D$1005="jabas")*(MOVIMIENTOS!$A$5:$A$1005&lt;&gt;"")*(MOVIMIENTOS!$A$5:$A$1005&lt;=$A724)*MOVIMIENTOS!$E$5:$E$1005)-SUMPRODUCT((MOVIMIENTOS!$B$5:$B$1005="VENTA")*(MOVIMIENTOS!$C$5:$C$1005="M")*(MOVIMIENTOS!$D$5:$D$1005="jabas")*(MOVIMIENTOS!$A$5:$A$1005&lt;&gt;"")*(MOVIMIENTOS!$A$5:$A$1005&lt;=$A724)*MOVIMIENTOS!$E$5:$E$1005)+SUMPRODUCT((MOVIMIENTOS!$B$5:$B$1005="AJUSTE")*(MOVIMIENTOS!$C$5:$C$1005="M")*(MOVIMIENTOS!$D$5:$D$1005="jabas")*(MOVIMIENTOS!$A$5:$A$1005&lt;&gt;"")*(MOVIMIENTOS!$A$5:$A$1005&lt;=$A724)*MOVIMIENTOS!$E$5:$E$1005))</f>
        <v/>
      </c>
      <c r="F724" s="62" t="str">
        <f>IF($A724="","",SUMPRODUCT((MOVIMIENTOS!$B$5:$B$1005="SALDO INICIAL")*(MOVIMIENTOS!$C$5:$C$1005="Chancho")*(MOVIMIENTOS!$D$5:$D$1005="sacos")*(MOVIMIENTOS!$A$5:$A$1005&lt;&gt;"")*(MOVIMIENTOS!$A$5:$A$1005&lt;=$A724)*MOVIMIENTOS!$E$5:$E$1005)+SUMPRODUCT((MOVIMIENTOS!$B$5:$B$1005="PROCESO")*(MOVIMIENTOS!$C$5:$C$1005="Chancho")*(MOVIMIENTOS!$D$5:$D$1005="sacos")*(MOVIMIENTOS!$A$5:$A$1005&lt;&gt;"")*(MOVIMIENTOS!$A$5:$A$1005&lt;=$A724)*MOVIMIENTOS!$E$5:$E$1005)-SUMPRODUCT((MOVIMIENTOS!$B$5:$B$1005="VENTA CHANCHO")*(MOVIMIENTOS!$C$5:$C$1005="Chancho")*(MOVIMIENTOS!$D$5:$D$1005="sacos")*(MOVIMIENTOS!$A$5:$A$1005&lt;&gt;"")*(MOVIMIENTOS!$A$5:$A$1005&lt;=$A724)*MOVIMIENTOS!$E$5:$E$1005)-SUMPRODUCT((MOVIMIENTOS!$B$5:$B$1005="REGALO")*(MOVIMIENTOS!$C$5:$C$1005="Chancho")*(MOVIMIENTOS!$D$5:$D$1005="sacos")*(MOVIMIENTOS!$A$5:$A$1005&lt;&gt;"")*(MOVIMIENTOS!$A$5:$A$1005&lt;=$A724)*MOVIMIENTOS!$E$5:$E$1005)-SUMPRODUCT((MOVIMIENTOS!$B$5:$B$1005="VENTA")*(MOVIMIENTOS!$C$5:$C$1005="Chancho")*(MOVIMIENTOS!$D$5:$D$1005="sacos")*(MOVIMIENTOS!$A$5:$A$1005&lt;&gt;"")*(MOVIMIENTOS!$A$5:$A$1005&lt;=$A724)*MOVIMIENTOS!$E$5:$E$1005)+SUMPRODUCT((MOVIMIENTOS!$B$5:$B$1005="AJUSTE")*(MOVIMIENTOS!$C$5:$C$1005="Chancho")*(MOVIMIENTOS!$D$5:$D$1005="sacos")*(MOVIMIENTOS!$A$5:$A$1005&lt;&gt;"")*(MOVIMIENTOS!$A$5:$A$1005&lt;=$A724)*MOVIMIENTOS!$E$5:$E$1005))</f>
        <v/>
      </c>
      <c r="G724" s="62" t="str">
        <f t="shared" si="23"/>
        <v/>
      </c>
      <c r="H724" t="str">
        <f>IF($A724="","",SUMPRODUCT((((MOVIMIENTOS!$B$5:$B$1005="SALDO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724)*MOVIMIENTOS!$J$5:$J$1005))</f>
        <v/>
      </c>
      <c r="J724" t="str">
        <f>IF(AND(MOVIMIENTOS!$A729&lt;&gt;"",COUNTIF(MOVIMIENTOS!$A$5:$A728,MOVIMIENTOS!$A729)=0),COUNT(J$4:J723)+1,"")</f>
        <v/>
      </c>
      <c r="K724">
        <f>MOVIMIENTOS!$A729</f>
        <v>0</v>
      </c>
    </row>
    <row r="725" spans="1:11" ht="15" customHeight="1" x14ac:dyDescent="0.2">
      <c r="A725" t="str">
        <f t="shared" si="22"/>
        <v/>
      </c>
      <c r="B725" t="str">
        <f>IF($A725="","",SUMPRODUCT((MOVIMIENTOS!$B$5:$B$1005="SALDO INICIAL")*(MOVIMIENTOS!$C$5:$C$1005="A")*(MOVIMIENTOS!$D$5:$D$1005="jabas")*(MOVIMIENTOS!$A$5:$A$1005&lt;&gt;"")*(MOVIMIENTOS!$A$5:$A$1005&lt;=$A725)*MOVIMIENTOS!$E$5:$E$1005)+SUMPRODUCT((MOVIMIENTOS!$B$5:$B$1005="PROCESO")*(MOVIMIENTOS!$C$5:$C$1005="A")*(MOVIMIENTOS!$D$5:$D$1005="jabas")*(MOVIMIENTOS!$A$5:$A$1005&lt;&gt;"")*(MOVIMIENTOS!$A$5:$A$1005&lt;=$A725)*MOVIMIENTOS!$E$5:$E$1005)-SUMPRODUCT((MOVIMIENTOS!$B$5:$B$1005="ENVÍO A SUPESA")*(MOVIMIENTOS!$C$5:$C$1005="A")*(MOVIMIENTOS!$D$5:$D$1005="jabas")*(MOVIMIENTOS!$A$5:$A$1005&lt;&gt;"")*(MOVIMIENTOS!$A$5:$A$1005&lt;=$A725)*MOVIMIENTOS!$E$5:$E$1005)+SUMPRODUCT((MOVIMIENTOS!$B$5:$B$1005="DEVOLUCIÓN")*(MOVIMIENTOS!$C$5:$C$1005="A")*(MOVIMIENTOS!$D$5:$D$1005="jabas")*(MOVIMIENTOS!$A$5:$A$1005&lt;&gt;"")*(MOVIMIENTOS!$A$5:$A$1005&lt;=$A725)*MOVIMIENTOS!$E$5:$E$1005)-SUMPRODUCT((MOVIMIENTOS!$B$5:$B$1005="TRASIEGO")*(MOVIMIENTOS!$C$5:$C$1005="A")*(MOVIMIENTOS!$D$5:$D$1005="jabas")*(MOVIMIENTOS!$A$5:$A$1005&lt;&gt;"")*(MOVIMIENTOS!$A$5:$A$1005&lt;=$A725)*MOVIMIENTOS!$E$5:$E$1005)-SUMPRODUCT((MOVIMIENTOS!$B$5:$B$1005="REGALO")*(MOVIMIENTOS!$C$5:$C$1005="A")*(MOVIMIENTOS!$D$5:$D$1005="jabas")*(MOVIMIENTOS!$A$5:$A$1005&lt;&gt;"")*(MOVIMIENTOS!$A$5:$A$1005&lt;=$A725)*MOVIMIENTOS!$E$5:$E$1005)-SUMPRODUCT((MOVIMIENTOS!$B$5:$B$1005="VENTA")*(MOVIMIENTOS!$C$5:$C$1005="A")*(MOVIMIENTOS!$D$5:$D$1005="jabas")*(MOVIMIENTOS!$A$5:$A$1005&lt;&gt;"")*(MOVIMIENTOS!$A$5:$A$1005&lt;=$A725)*MOVIMIENTOS!$E$5:$E$1005)+SUMPRODUCT((MOVIMIENTOS!$B$5:$B$1005="AJUSTE")*(MOVIMIENTOS!$C$5:$C$1005="A")*(MOVIMIENTOS!$D$5:$D$1005="jabas")*(MOVIMIENTOS!$A$5:$A$1005&lt;&gt;"")*(MOVIMIENTOS!$A$5:$A$1005&lt;=$A725)*MOVIMIENTOS!$E$5:$E$1005))</f>
        <v/>
      </c>
      <c r="C725" t="str">
        <f>IF($A725="","",SUMPRODUCT((MOVIMIENTOS!$B$5:$B$1005="SALDO INICIAL")*(MOVIMIENTOS!$C$5:$C$1005="P")*(MOVIMIENTOS!$D$5:$D$1005="jabas")*(MOVIMIENTOS!$A$5:$A$1005&lt;&gt;"")*(MOVIMIENTOS!$A$5:$A$1005&lt;=$A725)*MOVIMIENTOS!$E$5:$E$1005)+SUMPRODUCT((MOVIMIENTOS!$B$5:$B$1005="PROCESO")*(MOVIMIENTOS!$C$5:$C$1005="P")*(MOVIMIENTOS!$D$5:$D$1005="jabas")*(MOVIMIENTOS!$A$5:$A$1005&lt;&gt;"")*(MOVIMIENTOS!$A$5:$A$1005&lt;=$A725)*MOVIMIENTOS!$E$5:$E$1005)-SUMPRODUCT((MOVIMIENTOS!$B$5:$B$1005="ENVÍO A SUPESA")*(MOVIMIENTOS!$C$5:$C$1005="P")*(MOVIMIENTOS!$D$5:$D$1005="jabas")*(MOVIMIENTOS!$A$5:$A$1005&lt;&gt;"")*(MOVIMIENTOS!$A$5:$A$1005&lt;=$A725)*MOVIMIENTOS!$E$5:$E$1005)+SUMPRODUCT((MOVIMIENTOS!$B$5:$B$1005="DEVOLUCIÓN")*(MOVIMIENTOS!$C$5:$C$1005="P")*(MOVIMIENTOS!$D$5:$D$1005="jabas")*(MOVIMIENTOS!$A$5:$A$1005&lt;&gt;"")*(MOVIMIENTOS!$A$5:$A$1005&lt;=$A725)*MOVIMIENTOS!$E$5:$E$1005)-SUMPRODUCT((MOVIMIENTOS!$B$5:$B$1005="TRASIEGO")*(MOVIMIENTOS!$C$5:$C$1005="P")*(MOVIMIENTOS!$D$5:$D$1005="jabas")*(MOVIMIENTOS!$A$5:$A$1005&lt;&gt;"")*(MOVIMIENTOS!$A$5:$A$1005&lt;=$A725)*MOVIMIENTOS!$E$5:$E$1005)-SUMPRODUCT((MOVIMIENTOS!$B$5:$B$1005="REGALO")*(MOVIMIENTOS!$C$5:$C$1005="P")*(MOVIMIENTOS!$D$5:$D$1005="jabas")*(MOVIMIENTOS!$A$5:$A$1005&lt;&gt;"")*(MOVIMIENTOS!$A$5:$A$1005&lt;=$A725)*MOVIMIENTOS!$E$5:$E$1005)-SUMPRODUCT((MOVIMIENTOS!$B$5:$B$1005="VENTA")*(MOVIMIENTOS!$C$5:$C$1005="P")*(MOVIMIENTOS!$D$5:$D$1005="jabas")*(MOVIMIENTOS!$A$5:$A$1005&lt;&gt;"")*(MOVIMIENTOS!$A$5:$A$1005&lt;=$A725)*MOVIMIENTOS!$E$5:$E$1005)+SUMPRODUCT((MOVIMIENTOS!$B$5:$B$1005="AJUSTE")*(MOVIMIENTOS!$C$5:$C$1005="P")*(MOVIMIENTOS!$D$5:$D$1005="jabas")*(MOVIMIENTOS!$A$5:$A$1005&lt;&gt;"")*(MOVIMIENTOS!$A$5:$A$1005&lt;=$A725)*MOVIMIENTOS!$E$5:$E$1005))</f>
        <v/>
      </c>
      <c r="D725" t="str">
        <f>IF($A725="","",SUMPRODUCT((MOVIMIENTOS!$B$5:$B$1005="SALDO INICIAL")*(MOVIMIENTOS!$C$5:$C$1005="C")*(MOVIMIENTOS!$D$5:$D$1005="jabas")*(MOVIMIENTOS!$A$5:$A$1005&lt;&gt;"")*(MOVIMIENTOS!$A$5:$A$1005&lt;=$A725)*MOVIMIENTOS!$E$5:$E$1005)+SUMPRODUCT((MOVIMIENTOS!$B$5:$B$1005="PROCESO")*(MOVIMIENTOS!$C$5:$C$1005="C")*(MOVIMIENTOS!$D$5:$D$1005="jabas")*(MOVIMIENTOS!$A$5:$A$1005&lt;&gt;"")*(MOVIMIENTOS!$A$5:$A$1005&lt;=$A725)*MOVIMIENTOS!$E$5:$E$1005)-SUMPRODUCT((MOVIMIENTOS!$B$5:$B$1005="ENVÍO A SUPESA")*(MOVIMIENTOS!$C$5:$C$1005="C")*(MOVIMIENTOS!$D$5:$D$1005="jabas")*(MOVIMIENTOS!$A$5:$A$1005&lt;&gt;"")*(MOVIMIENTOS!$A$5:$A$1005&lt;=$A725)*MOVIMIENTOS!$E$5:$E$1005)+SUMPRODUCT((MOVIMIENTOS!$B$5:$B$1005="DEVOLUCIÓN")*(MOVIMIENTOS!$C$5:$C$1005="C")*(MOVIMIENTOS!$D$5:$D$1005="jabas")*(MOVIMIENTOS!$A$5:$A$1005&lt;&gt;"")*(MOVIMIENTOS!$A$5:$A$1005&lt;=$A725)*MOVIMIENTOS!$E$5:$E$1005)-SUMPRODUCT((MOVIMIENTOS!$B$5:$B$1005="TRASIEGO")*(MOVIMIENTOS!$C$5:$C$1005="C")*(MOVIMIENTOS!$D$5:$D$1005="jabas")*(MOVIMIENTOS!$A$5:$A$1005&lt;&gt;"")*(MOVIMIENTOS!$A$5:$A$1005&lt;=$A725)*MOVIMIENTOS!$E$5:$E$1005)-SUMPRODUCT((MOVIMIENTOS!$B$5:$B$1005="REGALO")*(MOVIMIENTOS!$C$5:$C$1005="C")*(MOVIMIENTOS!$D$5:$D$1005="jabas")*(MOVIMIENTOS!$A$5:$A$1005&lt;&gt;"")*(MOVIMIENTOS!$A$5:$A$1005&lt;=$A725)*MOVIMIENTOS!$E$5:$E$1005)-SUMPRODUCT((MOVIMIENTOS!$B$5:$B$1005="VENTA")*(MOVIMIENTOS!$C$5:$C$1005="C")*(MOVIMIENTOS!$D$5:$D$1005="jabas")*(MOVIMIENTOS!$A$5:$A$1005&lt;&gt;"")*(MOVIMIENTOS!$A$5:$A$1005&lt;=$A725)*MOVIMIENTOS!$E$5:$E$1005)+SUMPRODUCT((MOVIMIENTOS!$B$5:$B$1005="AJUSTE")*(MOVIMIENTOS!$C$5:$C$1005="C")*(MOVIMIENTOS!$D$5:$D$1005="jabas")*(MOVIMIENTOS!$A$5:$A$1005&lt;&gt;"")*(MOVIMIENTOS!$A$5:$A$1005&lt;=$A725)*MOVIMIENTOS!$E$5:$E$1005))</f>
        <v/>
      </c>
      <c r="E725" t="str">
        <f>IF($A725="","",SUMPRODUCT((MOVIMIENTOS!$B$5:$B$1005="SALDO INICIAL")*(MOVIMIENTOS!$C$5:$C$1005="M")*(MOVIMIENTOS!$D$5:$D$1005="jabas")*(MOVIMIENTOS!$A$5:$A$1005&lt;&gt;"")*(MOVIMIENTOS!$A$5:$A$1005&lt;=$A725)*MOVIMIENTOS!$E$5:$E$1005)+SUMPRODUCT((MOVIMIENTOS!$B$5:$B$1005="PROCESO")*(MOVIMIENTOS!$C$5:$C$1005="M")*(MOVIMIENTOS!$D$5:$D$1005="jabas")*(MOVIMIENTOS!$A$5:$A$1005&lt;&gt;"")*(MOVIMIENTOS!$A$5:$A$1005&lt;=$A725)*MOVIMIENTOS!$E$5:$E$1005)-SUMPRODUCT((MOVIMIENTOS!$B$5:$B$1005="ENVÍO A SUPESA")*(MOVIMIENTOS!$C$5:$C$1005="M")*(MOVIMIENTOS!$D$5:$D$1005="jabas")*(MOVIMIENTOS!$A$5:$A$1005&lt;&gt;"")*(MOVIMIENTOS!$A$5:$A$1005&lt;=$A725)*MOVIMIENTOS!$E$5:$E$1005)+SUMPRODUCT((MOVIMIENTOS!$B$5:$B$1005="DEVOLUCIÓN")*(MOVIMIENTOS!$C$5:$C$1005="M")*(MOVIMIENTOS!$D$5:$D$1005="jabas")*(MOVIMIENTOS!$A$5:$A$1005&lt;&gt;"")*(MOVIMIENTOS!$A$5:$A$1005&lt;=$A725)*MOVIMIENTOS!$E$5:$E$1005)-SUMPRODUCT((MOVIMIENTOS!$B$5:$B$1005="TRASIEGO")*(MOVIMIENTOS!$C$5:$C$1005="M")*(MOVIMIENTOS!$D$5:$D$1005="jabas")*(MOVIMIENTOS!$A$5:$A$1005&lt;&gt;"")*(MOVIMIENTOS!$A$5:$A$1005&lt;=$A725)*MOVIMIENTOS!$E$5:$E$1005)-SUMPRODUCT((MOVIMIENTOS!$B$5:$B$1005="REGALO")*(MOVIMIENTOS!$C$5:$C$1005="M")*(MOVIMIENTOS!$D$5:$D$1005="jabas")*(MOVIMIENTOS!$A$5:$A$1005&lt;&gt;"")*(MOVIMIENTOS!$A$5:$A$1005&lt;=$A725)*MOVIMIENTOS!$E$5:$E$1005)-SUMPRODUCT((MOVIMIENTOS!$B$5:$B$1005="VENTA")*(MOVIMIENTOS!$C$5:$C$1005="M")*(MOVIMIENTOS!$D$5:$D$1005="jabas")*(MOVIMIENTOS!$A$5:$A$1005&lt;&gt;"")*(MOVIMIENTOS!$A$5:$A$1005&lt;=$A725)*MOVIMIENTOS!$E$5:$E$1005)+SUMPRODUCT((MOVIMIENTOS!$B$5:$B$1005="AJUSTE")*(MOVIMIENTOS!$C$5:$C$1005="M")*(MOVIMIENTOS!$D$5:$D$1005="jabas")*(MOVIMIENTOS!$A$5:$A$1005&lt;&gt;"")*(MOVIMIENTOS!$A$5:$A$1005&lt;=$A725)*MOVIMIENTOS!$E$5:$E$1005))</f>
        <v/>
      </c>
      <c r="F725" s="62" t="str">
        <f>IF($A725="","",SUMPRODUCT((MOVIMIENTOS!$B$5:$B$1005="SALDO INICIAL")*(MOVIMIENTOS!$C$5:$C$1005="Chancho")*(MOVIMIENTOS!$D$5:$D$1005="sacos")*(MOVIMIENTOS!$A$5:$A$1005&lt;&gt;"")*(MOVIMIENTOS!$A$5:$A$1005&lt;=$A725)*MOVIMIENTOS!$E$5:$E$1005)+SUMPRODUCT((MOVIMIENTOS!$B$5:$B$1005="PROCESO")*(MOVIMIENTOS!$C$5:$C$1005="Chancho")*(MOVIMIENTOS!$D$5:$D$1005="sacos")*(MOVIMIENTOS!$A$5:$A$1005&lt;&gt;"")*(MOVIMIENTOS!$A$5:$A$1005&lt;=$A725)*MOVIMIENTOS!$E$5:$E$1005)-SUMPRODUCT((MOVIMIENTOS!$B$5:$B$1005="VENTA CHANCHO")*(MOVIMIENTOS!$C$5:$C$1005="Chancho")*(MOVIMIENTOS!$D$5:$D$1005="sacos")*(MOVIMIENTOS!$A$5:$A$1005&lt;&gt;"")*(MOVIMIENTOS!$A$5:$A$1005&lt;=$A725)*MOVIMIENTOS!$E$5:$E$1005)-SUMPRODUCT((MOVIMIENTOS!$B$5:$B$1005="REGALO")*(MOVIMIENTOS!$C$5:$C$1005="Chancho")*(MOVIMIENTOS!$D$5:$D$1005="sacos")*(MOVIMIENTOS!$A$5:$A$1005&lt;&gt;"")*(MOVIMIENTOS!$A$5:$A$1005&lt;=$A725)*MOVIMIENTOS!$E$5:$E$1005)-SUMPRODUCT((MOVIMIENTOS!$B$5:$B$1005="VENTA")*(MOVIMIENTOS!$C$5:$C$1005="Chancho")*(MOVIMIENTOS!$D$5:$D$1005="sacos")*(MOVIMIENTOS!$A$5:$A$1005&lt;&gt;"")*(MOVIMIENTOS!$A$5:$A$1005&lt;=$A725)*MOVIMIENTOS!$E$5:$E$1005)+SUMPRODUCT((MOVIMIENTOS!$B$5:$B$1005="AJUSTE")*(MOVIMIENTOS!$C$5:$C$1005="Chancho")*(MOVIMIENTOS!$D$5:$D$1005="sacos")*(MOVIMIENTOS!$A$5:$A$1005&lt;&gt;"")*(MOVIMIENTOS!$A$5:$A$1005&lt;=$A725)*MOVIMIENTOS!$E$5:$E$1005))</f>
        <v/>
      </c>
      <c r="G725" s="62" t="str">
        <f t="shared" si="23"/>
        <v/>
      </c>
      <c r="H725" t="str">
        <f>IF($A725="","",SUMPRODUCT((((MOVIMIENTOS!$B$5:$B$1005="SALDO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725)*MOVIMIENTOS!$J$5:$J$1005))</f>
        <v/>
      </c>
      <c r="J725" t="str">
        <f>IF(AND(MOVIMIENTOS!$A730&lt;&gt;"",COUNTIF(MOVIMIENTOS!$A$5:$A729,MOVIMIENTOS!$A730)=0),COUNT(J$4:J724)+1,"")</f>
        <v/>
      </c>
      <c r="K725">
        <f>MOVIMIENTOS!$A730</f>
        <v>0</v>
      </c>
    </row>
    <row r="726" spans="1:11" ht="15" customHeight="1" x14ac:dyDescent="0.2">
      <c r="A726" t="str">
        <f t="shared" si="22"/>
        <v/>
      </c>
      <c r="B726" t="str">
        <f>IF($A726="","",SUMPRODUCT((MOVIMIENTOS!$B$5:$B$1005="SALDO INICIAL")*(MOVIMIENTOS!$C$5:$C$1005="A")*(MOVIMIENTOS!$D$5:$D$1005="jabas")*(MOVIMIENTOS!$A$5:$A$1005&lt;&gt;"")*(MOVIMIENTOS!$A$5:$A$1005&lt;=$A726)*MOVIMIENTOS!$E$5:$E$1005)+SUMPRODUCT((MOVIMIENTOS!$B$5:$B$1005="PROCESO")*(MOVIMIENTOS!$C$5:$C$1005="A")*(MOVIMIENTOS!$D$5:$D$1005="jabas")*(MOVIMIENTOS!$A$5:$A$1005&lt;&gt;"")*(MOVIMIENTOS!$A$5:$A$1005&lt;=$A726)*MOVIMIENTOS!$E$5:$E$1005)-SUMPRODUCT((MOVIMIENTOS!$B$5:$B$1005="ENVÍO A SUPESA")*(MOVIMIENTOS!$C$5:$C$1005="A")*(MOVIMIENTOS!$D$5:$D$1005="jabas")*(MOVIMIENTOS!$A$5:$A$1005&lt;&gt;"")*(MOVIMIENTOS!$A$5:$A$1005&lt;=$A726)*MOVIMIENTOS!$E$5:$E$1005)+SUMPRODUCT((MOVIMIENTOS!$B$5:$B$1005="DEVOLUCIÓN")*(MOVIMIENTOS!$C$5:$C$1005="A")*(MOVIMIENTOS!$D$5:$D$1005="jabas")*(MOVIMIENTOS!$A$5:$A$1005&lt;&gt;"")*(MOVIMIENTOS!$A$5:$A$1005&lt;=$A726)*MOVIMIENTOS!$E$5:$E$1005)-SUMPRODUCT((MOVIMIENTOS!$B$5:$B$1005="TRASIEGO")*(MOVIMIENTOS!$C$5:$C$1005="A")*(MOVIMIENTOS!$D$5:$D$1005="jabas")*(MOVIMIENTOS!$A$5:$A$1005&lt;&gt;"")*(MOVIMIENTOS!$A$5:$A$1005&lt;=$A726)*MOVIMIENTOS!$E$5:$E$1005)-SUMPRODUCT((MOVIMIENTOS!$B$5:$B$1005="REGALO")*(MOVIMIENTOS!$C$5:$C$1005="A")*(MOVIMIENTOS!$D$5:$D$1005="jabas")*(MOVIMIENTOS!$A$5:$A$1005&lt;&gt;"")*(MOVIMIENTOS!$A$5:$A$1005&lt;=$A726)*MOVIMIENTOS!$E$5:$E$1005)-SUMPRODUCT((MOVIMIENTOS!$B$5:$B$1005="VENTA")*(MOVIMIENTOS!$C$5:$C$1005="A")*(MOVIMIENTOS!$D$5:$D$1005="jabas")*(MOVIMIENTOS!$A$5:$A$1005&lt;&gt;"")*(MOVIMIENTOS!$A$5:$A$1005&lt;=$A726)*MOVIMIENTOS!$E$5:$E$1005)+SUMPRODUCT((MOVIMIENTOS!$B$5:$B$1005="AJUSTE")*(MOVIMIENTOS!$C$5:$C$1005="A")*(MOVIMIENTOS!$D$5:$D$1005="jabas")*(MOVIMIENTOS!$A$5:$A$1005&lt;&gt;"")*(MOVIMIENTOS!$A$5:$A$1005&lt;=$A726)*MOVIMIENTOS!$E$5:$E$1005))</f>
        <v/>
      </c>
      <c r="C726" t="str">
        <f>IF($A726="","",SUMPRODUCT((MOVIMIENTOS!$B$5:$B$1005="SALDO INICIAL")*(MOVIMIENTOS!$C$5:$C$1005="P")*(MOVIMIENTOS!$D$5:$D$1005="jabas")*(MOVIMIENTOS!$A$5:$A$1005&lt;&gt;"")*(MOVIMIENTOS!$A$5:$A$1005&lt;=$A726)*MOVIMIENTOS!$E$5:$E$1005)+SUMPRODUCT((MOVIMIENTOS!$B$5:$B$1005="PROCESO")*(MOVIMIENTOS!$C$5:$C$1005="P")*(MOVIMIENTOS!$D$5:$D$1005="jabas")*(MOVIMIENTOS!$A$5:$A$1005&lt;&gt;"")*(MOVIMIENTOS!$A$5:$A$1005&lt;=$A726)*MOVIMIENTOS!$E$5:$E$1005)-SUMPRODUCT((MOVIMIENTOS!$B$5:$B$1005="ENVÍO A SUPESA")*(MOVIMIENTOS!$C$5:$C$1005="P")*(MOVIMIENTOS!$D$5:$D$1005="jabas")*(MOVIMIENTOS!$A$5:$A$1005&lt;&gt;"")*(MOVIMIENTOS!$A$5:$A$1005&lt;=$A726)*MOVIMIENTOS!$E$5:$E$1005)+SUMPRODUCT((MOVIMIENTOS!$B$5:$B$1005="DEVOLUCIÓN")*(MOVIMIENTOS!$C$5:$C$1005="P")*(MOVIMIENTOS!$D$5:$D$1005="jabas")*(MOVIMIENTOS!$A$5:$A$1005&lt;&gt;"")*(MOVIMIENTOS!$A$5:$A$1005&lt;=$A726)*MOVIMIENTOS!$E$5:$E$1005)-SUMPRODUCT((MOVIMIENTOS!$B$5:$B$1005="TRASIEGO")*(MOVIMIENTOS!$C$5:$C$1005="P")*(MOVIMIENTOS!$D$5:$D$1005="jabas")*(MOVIMIENTOS!$A$5:$A$1005&lt;&gt;"")*(MOVIMIENTOS!$A$5:$A$1005&lt;=$A726)*MOVIMIENTOS!$E$5:$E$1005)-SUMPRODUCT((MOVIMIENTOS!$B$5:$B$1005="REGALO")*(MOVIMIENTOS!$C$5:$C$1005="P")*(MOVIMIENTOS!$D$5:$D$1005="jabas")*(MOVIMIENTOS!$A$5:$A$1005&lt;&gt;"")*(MOVIMIENTOS!$A$5:$A$1005&lt;=$A726)*MOVIMIENTOS!$E$5:$E$1005)-SUMPRODUCT((MOVIMIENTOS!$B$5:$B$1005="VENTA")*(MOVIMIENTOS!$C$5:$C$1005="P")*(MOVIMIENTOS!$D$5:$D$1005="jabas")*(MOVIMIENTOS!$A$5:$A$1005&lt;&gt;"")*(MOVIMIENTOS!$A$5:$A$1005&lt;=$A726)*MOVIMIENTOS!$E$5:$E$1005)+SUMPRODUCT((MOVIMIENTOS!$B$5:$B$1005="AJUSTE")*(MOVIMIENTOS!$C$5:$C$1005="P")*(MOVIMIENTOS!$D$5:$D$1005="jabas")*(MOVIMIENTOS!$A$5:$A$1005&lt;&gt;"")*(MOVIMIENTOS!$A$5:$A$1005&lt;=$A726)*MOVIMIENTOS!$E$5:$E$1005))</f>
        <v/>
      </c>
      <c r="D726" t="str">
        <f>IF($A726="","",SUMPRODUCT((MOVIMIENTOS!$B$5:$B$1005="SALDO INICIAL")*(MOVIMIENTOS!$C$5:$C$1005="C")*(MOVIMIENTOS!$D$5:$D$1005="jabas")*(MOVIMIENTOS!$A$5:$A$1005&lt;&gt;"")*(MOVIMIENTOS!$A$5:$A$1005&lt;=$A726)*MOVIMIENTOS!$E$5:$E$1005)+SUMPRODUCT((MOVIMIENTOS!$B$5:$B$1005="PROCESO")*(MOVIMIENTOS!$C$5:$C$1005="C")*(MOVIMIENTOS!$D$5:$D$1005="jabas")*(MOVIMIENTOS!$A$5:$A$1005&lt;&gt;"")*(MOVIMIENTOS!$A$5:$A$1005&lt;=$A726)*MOVIMIENTOS!$E$5:$E$1005)-SUMPRODUCT((MOVIMIENTOS!$B$5:$B$1005="ENVÍO A SUPESA")*(MOVIMIENTOS!$C$5:$C$1005="C")*(MOVIMIENTOS!$D$5:$D$1005="jabas")*(MOVIMIENTOS!$A$5:$A$1005&lt;&gt;"")*(MOVIMIENTOS!$A$5:$A$1005&lt;=$A726)*MOVIMIENTOS!$E$5:$E$1005)+SUMPRODUCT((MOVIMIENTOS!$B$5:$B$1005="DEVOLUCIÓN")*(MOVIMIENTOS!$C$5:$C$1005="C")*(MOVIMIENTOS!$D$5:$D$1005="jabas")*(MOVIMIENTOS!$A$5:$A$1005&lt;&gt;"")*(MOVIMIENTOS!$A$5:$A$1005&lt;=$A726)*MOVIMIENTOS!$E$5:$E$1005)-SUMPRODUCT((MOVIMIENTOS!$B$5:$B$1005="TRASIEGO")*(MOVIMIENTOS!$C$5:$C$1005="C")*(MOVIMIENTOS!$D$5:$D$1005="jabas")*(MOVIMIENTOS!$A$5:$A$1005&lt;&gt;"")*(MOVIMIENTOS!$A$5:$A$1005&lt;=$A726)*MOVIMIENTOS!$E$5:$E$1005)-SUMPRODUCT((MOVIMIENTOS!$B$5:$B$1005="REGALO")*(MOVIMIENTOS!$C$5:$C$1005="C")*(MOVIMIENTOS!$D$5:$D$1005="jabas")*(MOVIMIENTOS!$A$5:$A$1005&lt;&gt;"")*(MOVIMIENTOS!$A$5:$A$1005&lt;=$A726)*MOVIMIENTOS!$E$5:$E$1005)-SUMPRODUCT((MOVIMIENTOS!$B$5:$B$1005="VENTA")*(MOVIMIENTOS!$C$5:$C$1005="C")*(MOVIMIENTOS!$D$5:$D$1005="jabas")*(MOVIMIENTOS!$A$5:$A$1005&lt;&gt;"")*(MOVIMIENTOS!$A$5:$A$1005&lt;=$A726)*MOVIMIENTOS!$E$5:$E$1005)+SUMPRODUCT((MOVIMIENTOS!$B$5:$B$1005="AJUSTE")*(MOVIMIENTOS!$C$5:$C$1005="C")*(MOVIMIENTOS!$D$5:$D$1005="jabas")*(MOVIMIENTOS!$A$5:$A$1005&lt;&gt;"")*(MOVIMIENTOS!$A$5:$A$1005&lt;=$A726)*MOVIMIENTOS!$E$5:$E$1005))</f>
        <v/>
      </c>
      <c r="E726" t="str">
        <f>IF($A726="","",SUMPRODUCT((MOVIMIENTOS!$B$5:$B$1005="SALDO INICIAL")*(MOVIMIENTOS!$C$5:$C$1005="M")*(MOVIMIENTOS!$D$5:$D$1005="jabas")*(MOVIMIENTOS!$A$5:$A$1005&lt;&gt;"")*(MOVIMIENTOS!$A$5:$A$1005&lt;=$A726)*MOVIMIENTOS!$E$5:$E$1005)+SUMPRODUCT((MOVIMIENTOS!$B$5:$B$1005="PROCESO")*(MOVIMIENTOS!$C$5:$C$1005="M")*(MOVIMIENTOS!$D$5:$D$1005="jabas")*(MOVIMIENTOS!$A$5:$A$1005&lt;&gt;"")*(MOVIMIENTOS!$A$5:$A$1005&lt;=$A726)*MOVIMIENTOS!$E$5:$E$1005)-SUMPRODUCT((MOVIMIENTOS!$B$5:$B$1005="ENVÍO A SUPESA")*(MOVIMIENTOS!$C$5:$C$1005="M")*(MOVIMIENTOS!$D$5:$D$1005="jabas")*(MOVIMIENTOS!$A$5:$A$1005&lt;&gt;"")*(MOVIMIENTOS!$A$5:$A$1005&lt;=$A726)*MOVIMIENTOS!$E$5:$E$1005)+SUMPRODUCT((MOVIMIENTOS!$B$5:$B$1005="DEVOLUCIÓN")*(MOVIMIENTOS!$C$5:$C$1005="M")*(MOVIMIENTOS!$D$5:$D$1005="jabas")*(MOVIMIENTOS!$A$5:$A$1005&lt;&gt;"")*(MOVIMIENTOS!$A$5:$A$1005&lt;=$A726)*MOVIMIENTOS!$E$5:$E$1005)-SUMPRODUCT((MOVIMIENTOS!$B$5:$B$1005="TRASIEGO")*(MOVIMIENTOS!$C$5:$C$1005="M")*(MOVIMIENTOS!$D$5:$D$1005="jabas")*(MOVIMIENTOS!$A$5:$A$1005&lt;&gt;"")*(MOVIMIENTOS!$A$5:$A$1005&lt;=$A726)*MOVIMIENTOS!$E$5:$E$1005)-SUMPRODUCT((MOVIMIENTOS!$B$5:$B$1005="REGALO")*(MOVIMIENTOS!$C$5:$C$1005="M")*(MOVIMIENTOS!$D$5:$D$1005="jabas")*(MOVIMIENTOS!$A$5:$A$1005&lt;&gt;"")*(MOVIMIENTOS!$A$5:$A$1005&lt;=$A726)*MOVIMIENTOS!$E$5:$E$1005)-SUMPRODUCT((MOVIMIENTOS!$B$5:$B$1005="VENTA")*(MOVIMIENTOS!$C$5:$C$1005="M")*(MOVIMIENTOS!$D$5:$D$1005="jabas")*(MOVIMIENTOS!$A$5:$A$1005&lt;&gt;"")*(MOVIMIENTOS!$A$5:$A$1005&lt;=$A726)*MOVIMIENTOS!$E$5:$E$1005)+SUMPRODUCT((MOVIMIENTOS!$B$5:$B$1005="AJUSTE")*(MOVIMIENTOS!$C$5:$C$1005="M")*(MOVIMIENTOS!$D$5:$D$1005="jabas")*(MOVIMIENTOS!$A$5:$A$1005&lt;&gt;"")*(MOVIMIENTOS!$A$5:$A$1005&lt;=$A726)*MOVIMIENTOS!$E$5:$E$1005))</f>
        <v/>
      </c>
      <c r="F726" s="62" t="str">
        <f>IF($A726="","",SUMPRODUCT((MOVIMIENTOS!$B$5:$B$1005="SALDO INICIAL")*(MOVIMIENTOS!$C$5:$C$1005="Chancho")*(MOVIMIENTOS!$D$5:$D$1005="sacos")*(MOVIMIENTOS!$A$5:$A$1005&lt;&gt;"")*(MOVIMIENTOS!$A$5:$A$1005&lt;=$A726)*MOVIMIENTOS!$E$5:$E$1005)+SUMPRODUCT((MOVIMIENTOS!$B$5:$B$1005="PROCESO")*(MOVIMIENTOS!$C$5:$C$1005="Chancho")*(MOVIMIENTOS!$D$5:$D$1005="sacos")*(MOVIMIENTOS!$A$5:$A$1005&lt;&gt;"")*(MOVIMIENTOS!$A$5:$A$1005&lt;=$A726)*MOVIMIENTOS!$E$5:$E$1005)-SUMPRODUCT((MOVIMIENTOS!$B$5:$B$1005="VENTA CHANCHO")*(MOVIMIENTOS!$C$5:$C$1005="Chancho")*(MOVIMIENTOS!$D$5:$D$1005="sacos")*(MOVIMIENTOS!$A$5:$A$1005&lt;&gt;"")*(MOVIMIENTOS!$A$5:$A$1005&lt;=$A726)*MOVIMIENTOS!$E$5:$E$1005)-SUMPRODUCT((MOVIMIENTOS!$B$5:$B$1005="REGALO")*(MOVIMIENTOS!$C$5:$C$1005="Chancho")*(MOVIMIENTOS!$D$5:$D$1005="sacos")*(MOVIMIENTOS!$A$5:$A$1005&lt;&gt;"")*(MOVIMIENTOS!$A$5:$A$1005&lt;=$A726)*MOVIMIENTOS!$E$5:$E$1005)-SUMPRODUCT((MOVIMIENTOS!$B$5:$B$1005="VENTA")*(MOVIMIENTOS!$C$5:$C$1005="Chancho")*(MOVIMIENTOS!$D$5:$D$1005="sacos")*(MOVIMIENTOS!$A$5:$A$1005&lt;&gt;"")*(MOVIMIENTOS!$A$5:$A$1005&lt;=$A726)*MOVIMIENTOS!$E$5:$E$1005)+SUMPRODUCT((MOVIMIENTOS!$B$5:$B$1005="AJUSTE")*(MOVIMIENTOS!$C$5:$C$1005="Chancho")*(MOVIMIENTOS!$D$5:$D$1005="sacos")*(MOVIMIENTOS!$A$5:$A$1005&lt;&gt;"")*(MOVIMIENTOS!$A$5:$A$1005&lt;=$A726)*MOVIMIENTOS!$E$5:$E$1005))</f>
        <v/>
      </c>
      <c r="G726" s="62" t="str">
        <f t="shared" si="23"/>
        <v/>
      </c>
      <c r="H726" t="str">
        <f>IF($A726="","",SUMPRODUCT((((MOVIMIENTOS!$B$5:$B$1005="SALDO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726)*MOVIMIENTOS!$J$5:$J$1005))</f>
        <v/>
      </c>
      <c r="J726" t="str">
        <f>IF(AND(MOVIMIENTOS!$A731&lt;&gt;"",COUNTIF(MOVIMIENTOS!$A$5:$A730,MOVIMIENTOS!$A731)=0),COUNT(J$4:J725)+1,"")</f>
        <v/>
      </c>
      <c r="K726">
        <f>MOVIMIENTOS!$A731</f>
        <v>0</v>
      </c>
    </row>
    <row r="727" spans="1:11" ht="15" customHeight="1" x14ac:dyDescent="0.2">
      <c r="A727" t="str">
        <f t="shared" si="22"/>
        <v/>
      </c>
      <c r="B727" t="str">
        <f>IF($A727="","",SUMPRODUCT((MOVIMIENTOS!$B$5:$B$1005="SALDO INICIAL")*(MOVIMIENTOS!$C$5:$C$1005="A")*(MOVIMIENTOS!$D$5:$D$1005="jabas")*(MOVIMIENTOS!$A$5:$A$1005&lt;&gt;"")*(MOVIMIENTOS!$A$5:$A$1005&lt;=$A727)*MOVIMIENTOS!$E$5:$E$1005)+SUMPRODUCT((MOVIMIENTOS!$B$5:$B$1005="PROCESO")*(MOVIMIENTOS!$C$5:$C$1005="A")*(MOVIMIENTOS!$D$5:$D$1005="jabas")*(MOVIMIENTOS!$A$5:$A$1005&lt;&gt;"")*(MOVIMIENTOS!$A$5:$A$1005&lt;=$A727)*MOVIMIENTOS!$E$5:$E$1005)-SUMPRODUCT((MOVIMIENTOS!$B$5:$B$1005="ENVÍO A SUPESA")*(MOVIMIENTOS!$C$5:$C$1005="A")*(MOVIMIENTOS!$D$5:$D$1005="jabas")*(MOVIMIENTOS!$A$5:$A$1005&lt;&gt;"")*(MOVIMIENTOS!$A$5:$A$1005&lt;=$A727)*MOVIMIENTOS!$E$5:$E$1005)+SUMPRODUCT((MOVIMIENTOS!$B$5:$B$1005="DEVOLUCIÓN")*(MOVIMIENTOS!$C$5:$C$1005="A")*(MOVIMIENTOS!$D$5:$D$1005="jabas")*(MOVIMIENTOS!$A$5:$A$1005&lt;&gt;"")*(MOVIMIENTOS!$A$5:$A$1005&lt;=$A727)*MOVIMIENTOS!$E$5:$E$1005)-SUMPRODUCT((MOVIMIENTOS!$B$5:$B$1005="TRASIEGO")*(MOVIMIENTOS!$C$5:$C$1005="A")*(MOVIMIENTOS!$D$5:$D$1005="jabas")*(MOVIMIENTOS!$A$5:$A$1005&lt;&gt;"")*(MOVIMIENTOS!$A$5:$A$1005&lt;=$A727)*MOVIMIENTOS!$E$5:$E$1005)-SUMPRODUCT((MOVIMIENTOS!$B$5:$B$1005="REGALO")*(MOVIMIENTOS!$C$5:$C$1005="A")*(MOVIMIENTOS!$D$5:$D$1005="jabas")*(MOVIMIENTOS!$A$5:$A$1005&lt;&gt;"")*(MOVIMIENTOS!$A$5:$A$1005&lt;=$A727)*MOVIMIENTOS!$E$5:$E$1005)-SUMPRODUCT((MOVIMIENTOS!$B$5:$B$1005="VENTA")*(MOVIMIENTOS!$C$5:$C$1005="A")*(MOVIMIENTOS!$D$5:$D$1005="jabas")*(MOVIMIENTOS!$A$5:$A$1005&lt;&gt;"")*(MOVIMIENTOS!$A$5:$A$1005&lt;=$A727)*MOVIMIENTOS!$E$5:$E$1005)+SUMPRODUCT((MOVIMIENTOS!$B$5:$B$1005="AJUSTE")*(MOVIMIENTOS!$C$5:$C$1005="A")*(MOVIMIENTOS!$D$5:$D$1005="jabas")*(MOVIMIENTOS!$A$5:$A$1005&lt;&gt;"")*(MOVIMIENTOS!$A$5:$A$1005&lt;=$A727)*MOVIMIENTOS!$E$5:$E$1005))</f>
        <v/>
      </c>
      <c r="C727" t="str">
        <f>IF($A727="","",SUMPRODUCT((MOVIMIENTOS!$B$5:$B$1005="SALDO INICIAL")*(MOVIMIENTOS!$C$5:$C$1005="P")*(MOVIMIENTOS!$D$5:$D$1005="jabas")*(MOVIMIENTOS!$A$5:$A$1005&lt;&gt;"")*(MOVIMIENTOS!$A$5:$A$1005&lt;=$A727)*MOVIMIENTOS!$E$5:$E$1005)+SUMPRODUCT((MOVIMIENTOS!$B$5:$B$1005="PROCESO")*(MOVIMIENTOS!$C$5:$C$1005="P")*(MOVIMIENTOS!$D$5:$D$1005="jabas")*(MOVIMIENTOS!$A$5:$A$1005&lt;&gt;"")*(MOVIMIENTOS!$A$5:$A$1005&lt;=$A727)*MOVIMIENTOS!$E$5:$E$1005)-SUMPRODUCT((MOVIMIENTOS!$B$5:$B$1005="ENVÍO A SUPESA")*(MOVIMIENTOS!$C$5:$C$1005="P")*(MOVIMIENTOS!$D$5:$D$1005="jabas")*(MOVIMIENTOS!$A$5:$A$1005&lt;&gt;"")*(MOVIMIENTOS!$A$5:$A$1005&lt;=$A727)*MOVIMIENTOS!$E$5:$E$1005)+SUMPRODUCT((MOVIMIENTOS!$B$5:$B$1005="DEVOLUCIÓN")*(MOVIMIENTOS!$C$5:$C$1005="P")*(MOVIMIENTOS!$D$5:$D$1005="jabas")*(MOVIMIENTOS!$A$5:$A$1005&lt;&gt;"")*(MOVIMIENTOS!$A$5:$A$1005&lt;=$A727)*MOVIMIENTOS!$E$5:$E$1005)-SUMPRODUCT((MOVIMIENTOS!$B$5:$B$1005="TRASIEGO")*(MOVIMIENTOS!$C$5:$C$1005="P")*(MOVIMIENTOS!$D$5:$D$1005="jabas")*(MOVIMIENTOS!$A$5:$A$1005&lt;&gt;"")*(MOVIMIENTOS!$A$5:$A$1005&lt;=$A727)*MOVIMIENTOS!$E$5:$E$1005)-SUMPRODUCT((MOVIMIENTOS!$B$5:$B$1005="REGALO")*(MOVIMIENTOS!$C$5:$C$1005="P")*(MOVIMIENTOS!$D$5:$D$1005="jabas")*(MOVIMIENTOS!$A$5:$A$1005&lt;&gt;"")*(MOVIMIENTOS!$A$5:$A$1005&lt;=$A727)*MOVIMIENTOS!$E$5:$E$1005)-SUMPRODUCT((MOVIMIENTOS!$B$5:$B$1005="VENTA")*(MOVIMIENTOS!$C$5:$C$1005="P")*(MOVIMIENTOS!$D$5:$D$1005="jabas")*(MOVIMIENTOS!$A$5:$A$1005&lt;&gt;"")*(MOVIMIENTOS!$A$5:$A$1005&lt;=$A727)*MOVIMIENTOS!$E$5:$E$1005)+SUMPRODUCT((MOVIMIENTOS!$B$5:$B$1005="AJUSTE")*(MOVIMIENTOS!$C$5:$C$1005="P")*(MOVIMIENTOS!$D$5:$D$1005="jabas")*(MOVIMIENTOS!$A$5:$A$1005&lt;&gt;"")*(MOVIMIENTOS!$A$5:$A$1005&lt;=$A727)*MOVIMIENTOS!$E$5:$E$1005))</f>
        <v/>
      </c>
      <c r="D727" t="str">
        <f>IF($A727="","",SUMPRODUCT((MOVIMIENTOS!$B$5:$B$1005="SALDO INICIAL")*(MOVIMIENTOS!$C$5:$C$1005="C")*(MOVIMIENTOS!$D$5:$D$1005="jabas")*(MOVIMIENTOS!$A$5:$A$1005&lt;&gt;"")*(MOVIMIENTOS!$A$5:$A$1005&lt;=$A727)*MOVIMIENTOS!$E$5:$E$1005)+SUMPRODUCT((MOVIMIENTOS!$B$5:$B$1005="PROCESO")*(MOVIMIENTOS!$C$5:$C$1005="C")*(MOVIMIENTOS!$D$5:$D$1005="jabas")*(MOVIMIENTOS!$A$5:$A$1005&lt;&gt;"")*(MOVIMIENTOS!$A$5:$A$1005&lt;=$A727)*MOVIMIENTOS!$E$5:$E$1005)-SUMPRODUCT((MOVIMIENTOS!$B$5:$B$1005="ENVÍO A SUPESA")*(MOVIMIENTOS!$C$5:$C$1005="C")*(MOVIMIENTOS!$D$5:$D$1005="jabas")*(MOVIMIENTOS!$A$5:$A$1005&lt;&gt;"")*(MOVIMIENTOS!$A$5:$A$1005&lt;=$A727)*MOVIMIENTOS!$E$5:$E$1005)+SUMPRODUCT((MOVIMIENTOS!$B$5:$B$1005="DEVOLUCIÓN")*(MOVIMIENTOS!$C$5:$C$1005="C")*(MOVIMIENTOS!$D$5:$D$1005="jabas")*(MOVIMIENTOS!$A$5:$A$1005&lt;&gt;"")*(MOVIMIENTOS!$A$5:$A$1005&lt;=$A727)*MOVIMIENTOS!$E$5:$E$1005)-SUMPRODUCT((MOVIMIENTOS!$B$5:$B$1005="TRASIEGO")*(MOVIMIENTOS!$C$5:$C$1005="C")*(MOVIMIENTOS!$D$5:$D$1005="jabas")*(MOVIMIENTOS!$A$5:$A$1005&lt;&gt;"")*(MOVIMIENTOS!$A$5:$A$1005&lt;=$A727)*MOVIMIENTOS!$E$5:$E$1005)-SUMPRODUCT((MOVIMIENTOS!$B$5:$B$1005="REGALO")*(MOVIMIENTOS!$C$5:$C$1005="C")*(MOVIMIENTOS!$D$5:$D$1005="jabas")*(MOVIMIENTOS!$A$5:$A$1005&lt;&gt;"")*(MOVIMIENTOS!$A$5:$A$1005&lt;=$A727)*MOVIMIENTOS!$E$5:$E$1005)-SUMPRODUCT((MOVIMIENTOS!$B$5:$B$1005="VENTA")*(MOVIMIENTOS!$C$5:$C$1005="C")*(MOVIMIENTOS!$D$5:$D$1005="jabas")*(MOVIMIENTOS!$A$5:$A$1005&lt;&gt;"")*(MOVIMIENTOS!$A$5:$A$1005&lt;=$A727)*MOVIMIENTOS!$E$5:$E$1005)+SUMPRODUCT((MOVIMIENTOS!$B$5:$B$1005="AJUSTE")*(MOVIMIENTOS!$C$5:$C$1005="C")*(MOVIMIENTOS!$D$5:$D$1005="jabas")*(MOVIMIENTOS!$A$5:$A$1005&lt;&gt;"")*(MOVIMIENTOS!$A$5:$A$1005&lt;=$A727)*MOVIMIENTOS!$E$5:$E$1005))</f>
        <v/>
      </c>
      <c r="E727" t="str">
        <f>IF($A727="","",SUMPRODUCT((MOVIMIENTOS!$B$5:$B$1005="SALDO INICIAL")*(MOVIMIENTOS!$C$5:$C$1005="M")*(MOVIMIENTOS!$D$5:$D$1005="jabas")*(MOVIMIENTOS!$A$5:$A$1005&lt;&gt;"")*(MOVIMIENTOS!$A$5:$A$1005&lt;=$A727)*MOVIMIENTOS!$E$5:$E$1005)+SUMPRODUCT((MOVIMIENTOS!$B$5:$B$1005="PROCESO")*(MOVIMIENTOS!$C$5:$C$1005="M")*(MOVIMIENTOS!$D$5:$D$1005="jabas")*(MOVIMIENTOS!$A$5:$A$1005&lt;&gt;"")*(MOVIMIENTOS!$A$5:$A$1005&lt;=$A727)*MOVIMIENTOS!$E$5:$E$1005)-SUMPRODUCT((MOVIMIENTOS!$B$5:$B$1005="ENVÍO A SUPESA")*(MOVIMIENTOS!$C$5:$C$1005="M")*(MOVIMIENTOS!$D$5:$D$1005="jabas")*(MOVIMIENTOS!$A$5:$A$1005&lt;&gt;"")*(MOVIMIENTOS!$A$5:$A$1005&lt;=$A727)*MOVIMIENTOS!$E$5:$E$1005)+SUMPRODUCT((MOVIMIENTOS!$B$5:$B$1005="DEVOLUCIÓN")*(MOVIMIENTOS!$C$5:$C$1005="M")*(MOVIMIENTOS!$D$5:$D$1005="jabas")*(MOVIMIENTOS!$A$5:$A$1005&lt;&gt;"")*(MOVIMIENTOS!$A$5:$A$1005&lt;=$A727)*MOVIMIENTOS!$E$5:$E$1005)-SUMPRODUCT((MOVIMIENTOS!$B$5:$B$1005="TRASIEGO")*(MOVIMIENTOS!$C$5:$C$1005="M")*(MOVIMIENTOS!$D$5:$D$1005="jabas")*(MOVIMIENTOS!$A$5:$A$1005&lt;&gt;"")*(MOVIMIENTOS!$A$5:$A$1005&lt;=$A727)*MOVIMIENTOS!$E$5:$E$1005)-SUMPRODUCT((MOVIMIENTOS!$B$5:$B$1005="REGALO")*(MOVIMIENTOS!$C$5:$C$1005="M")*(MOVIMIENTOS!$D$5:$D$1005="jabas")*(MOVIMIENTOS!$A$5:$A$1005&lt;&gt;"")*(MOVIMIENTOS!$A$5:$A$1005&lt;=$A727)*MOVIMIENTOS!$E$5:$E$1005)-SUMPRODUCT((MOVIMIENTOS!$B$5:$B$1005="VENTA")*(MOVIMIENTOS!$C$5:$C$1005="M")*(MOVIMIENTOS!$D$5:$D$1005="jabas")*(MOVIMIENTOS!$A$5:$A$1005&lt;&gt;"")*(MOVIMIENTOS!$A$5:$A$1005&lt;=$A727)*MOVIMIENTOS!$E$5:$E$1005)+SUMPRODUCT((MOVIMIENTOS!$B$5:$B$1005="AJUSTE")*(MOVIMIENTOS!$C$5:$C$1005="M")*(MOVIMIENTOS!$D$5:$D$1005="jabas")*(MOVIMIENTOS!$A$5:$A$1005&lt;&gt;"")*(MOVIMIENTOS!$A$5:$A$1005&lt;=$A727)*MOVIMIENTOS!$E$5:$E$1005))</f>
        <v/>
      </c>
      <c r="F727" s="62" t="str">
        <f>IF($A727="","",SUMPRODUCT((MOVIMIENTOS!$B$5:$B$1005="SALDO INICIAL")*(MOVIMIENTOS!$C$5:$C$1005="Chancho")*(MOVIMIENTOS!$D$5:$D$1005="sacos")*(MOVIMIENTOS!$A$5:$A$1005&lt;&gt;"")*(MOVIMIENTOS!$A$5:$A$1005&lt;=$A727)*MOVIMIENTOS!$E$5:$E$1005)+SUMPRODUCT((MOVIMIENTOS!$B$5:$B$1005="PROCESO")*(MOVIMIENTOS!$C$5:$C$1005="Chancho")*(MOVIMIENTOS!$D$5:$D$1005="sacos")*(MOVIMIENTOS!$A$5:$A$1005&lt;&gt;"")*(MOVIMIENTOS!$A$5:$A$1005&lt;=$A727)*MOVIMIENTOS!$E$5:$E$1005)-SUMPRODUCT((MOVIMIENTOS!$B$5:$B$1005="VENTA CHANCHO")*(MOVIMIENTOS!$C$5:$C$1005="Chancho")*(MOVIMIENTOS!$D$5:$D$1005="sacos")*(MOVIMIENTOS!$A$5:$A$1005&lt;&gt;"")*(MOVIMIENTOS!$A$5:$A$1005&lt;=$A727)*MOVIMIENTOS!$E$5:$E$1005)-SUMPRODUCT((MOVIMIENTOS!$B$5:$B$1005="REGALO")*(MOVIMIENTOS!$C$5:$C$1005="Chancho")*(MOVIMIENTOS!$D$5:$D$1005="sacos")*(MOVIMIENTOS!$A$5:$A$1005&lt;&gt;"")*(MOVIMIENTOS!$A$5:$A$1005&lt;=$A727)*MOVIMIENTOS!$E$5:$E$1005)-SUMPRODUCT((MOVIMIENTOS!$B$5:$B$1005="VENTA")*(MOVIMIENTOS!$C$5:$C$1005="Chancho")*(MOVIMIENTOS!$D$5:$D$1005="sacos")*(MOVIMIENTOS!$A$5:$A$1005&lt;&gt;"")*(MOVIMIENTOS!$A$5:$A$1005&lt;=$A727)*MOVIMIENTOS!$E$5:$E$1005)+SUMPRODUCT((MOVIMIENTOS!$B$5:$B$1005="AJUSTE")*(MOVIMIENTOS!$C$5:$C$1005="Chancho")*(MOVIMIENTOS!$D$5:$D$1005="sacos")*(MOVIMIENTOS!$A$5:$A$1005&lt;&gt;"")*(MOVIMIENTOS!$A$5:$A$1005&lt;=$A727)*MOVIMIENTOS!$E$5:$E$1005))</f>
        <v/>
      </c>
      <c r="G727" s="62" t="str">
        <f t="shared" si="23"/>
        <v/>
      </c>
      <c r="H727" t="str">
        <f>IF($A727="","",SUMPRODUCT((((MOVIMIENTOS!$B$5:$B$1005="SALDO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727)*MOVIMIENTOS!$J$5:$J$1005))</f>
        <v/>
      </c>
      <c r="J727" t="str">
        <f>IF(AND(MOVIMIENTOS!$A732&lt;&gt;"",COUNTIF(MOVIMIENTOS!$A$5:$A731,MOVIMIENTOS!$A732)=0),COUNT(J$4:J726)+1,"")</f>
        <v/>
      </c>
      <c r="K727">
        <f>MOVIMIENTOS!$A732</f>
        <v>0</v>
      </c>
    </row>
    <row r="728" spans="1:11" ht="15" customHeight="1" x14ac:dyDescent="0.2">
      <c r="A728" t="str">
        <f t="shared" si="22"/>
        <v/>
      </c>
      <c r="B728" t="str">
        <f>IF($A728="","",SUMPRODUCT((MOVIMIENTOS!$B$5:$B$1005="SALDO INICIAL")*(MOVIMIENTOS!$C$5:$C$1005="A")*(MOVIMIENTOS!$D$5:$D$1005="jabas")*(MOVIMIENTOS!$A$5:$A$1005&lt;&gt;"")*(MOVIMIENTOS!$A$5:$A$1005&lt;=$A728)*MOVIMIENTOS!$E$5:$E$1005)+SUMPRODUCT((MOVIMIENTOS!$B$5:$B$1005="PROCESO")*(MOVIMIENTOS!$C$5:$C$1005="A")*(MOVIMIENTOS!$D$5:$D$1005="jabas")*(MOVIMIENTOS!$A$5:$A$1005&lt;&gt;"")*(MOVIMIENTOS!$A$5:$A$1005&lt;=$A728)*MOVIMIENTOS!$E$5:$E$1005)-SUMPRODUCT((MOVIMIENTOS!$B$5:$B$1005="ENVÍO A SUPESA")*(MOVIMIENTOS!$C$5:$C$1005="A")*(MOVIMIENTOS!$D$5:$D$1005="jabas")*(MOVIMIENTOS!$A$5:$A$1005&lt;&gt;"")*(MOVIMIENTOS!$A$5:$A$1005&lt;=$A728)*MOVIMIENTOS!$E$5:$E$1005)+SUMPRODUCT((MOVIMIENTOS!$B$5:$B$1005="DEVOLUCIÓN")*(MOVIMIENTOS!$C$5:$C$1005="A")*(MOVIMIENTOS!$D$5:$D$1005="jabas")*(MOVIMIENTOS!$A$5:$A$1005&lt;&gt;"")*(MOVIMIENTOS!$A$5:$A$1005&lt;=$A728)*MOVIMIENTOS!$E$5:$E$1005)-SUMPRODUCT((MOVIMIENTOS!$B$5:$B$1005="TRASIEGO")*(MOVIMIENTOS!$C$5:$C$1005="A")*(MOVIMIENTOS!$D$5:$D$1005="jabas")*(MOVIMIENTOS!$A$5:$A$1005&lt;&gt;"")*(MOVIMIENTOS!$A$5:$A$1005&lt;=$A728)*MOVIMIENTOS!$E$5:$E$1005)-SUMPRODUCT((MOVIMIENTOS!$B$5:$B$1005="REGALO")*(MOVIMIENTOS!$C$5:$C$1005="A")*(MOVIMIENTOS!$D$5:$D$1005="jabas")*(MOVIMIENTOS!$A$5:$A$1005&lt;&gt;"")*(MOVIMIENTOS!$A$5:$A$1005&lt;=$A728)*MOVIMIENTOS!$E$5:$E$1005)-SUMPRODUCT((MOVIMIENTOS!$B$5:$B$1005="VENTA")*(MOVIMIENTOS!$C$5:$C$1005="A")*(MOVIMIENTOS!$D$5:$D$1005="jabas")*(MOVIMIENTOS!$A$5:$A$1005&lt;&gt;"")*(MOVIMIENTOS!$A$5:$A$1005&lt;=$A728)*MOVIMIENTOS!$E$5:$E$1005)+SUMPRODUCT((MOVIMIENTOS!$B$5:$B$1005="AJUSTE")*(MOVIMIENTOS!$C$5:$C$1005="A")*(MOVIMIENTOS!$D$5:$D$1005="jabas")*(MOVIMIENTOS!$A$5:$A$1005&lt;&gt;"")*(MOVIMIENTOS!$A$5:$A$1005&lt;=$A728)*MOVIMIENTOS!$E$5:$E$1005))</f>
        <v/>
      </c>
      <c r="C728" t="str">
        <f>IF($A728="","",SUMPRODUCT((MOVIMIENTOS!$B$5:$B$1005="SALDO INICIAL")*(MOVIMIENTOS!$C$5:$C$1005="P")*(MOVIMIENTOS!$D$5:$D$1005="jabas")*(MOVIMIENTOS!$A$5:$A$1005&lt;&gt;"")*(MOVIMIENTOS!$A$5:$A$1005&lt;=$A728)*MOVIMIENTOS!$E$5:$E$1005)+SUMPRODUCT((MOVIMIENTOS!$B$5:$B$1005="PROCESO")*(MOVIMIENTOS!$C$5:$C$1005="P")*(MOVIMIENTOS!$D$5:$D$1005="jabas")*(MOVIMIENTOS!$A$5:$A$1005&lt;&gt;"")*(MOVIMIENTOS!$A$5:$A$1005&lt;=$A728)*MOVIMIENTOS!$E$5:$E$1005)-SUMPRODUCT((MOVIMIENTOS!$B$5:$B$1005="ENVÍO A SUPESA")*(MOVIMIENTOS!$C$5:$C$1005="P")*(MOVIMIENTOS!$D$5:$D$1005="jabas")*(MOVIMIENTOS!$A$5:$A$1005&lt;&gt;"")*(MOVIMIENTOS!$A$5:$A$1005&lt;=$A728)*MOVIMIENTOS!$E$5:$E$1005)+SUMPRODUCT((MOVIMIENTOS!$B$5:$B$1005="DEVOLUCIÓN")*(MOVIMIENTOS!$C$5:$C$1005="P")*(MOVIMIENTOS!$D$5:$D$1005="jabas")*(MOVIMIENTOS!$A$5:$A$1005&lt;&gt;"")*(MOVIMIENTOS!$A$5:$A$1005&lt;=$A728)*MOVIMIENTOS!$E$5:$E$1005)-SUMPRODUCT((MOVIMIENTOS!$B$5:$B$1005="TRASIEGO")*(MOVIMIENTOS!$C$5:$C$1005="P")*(MOVIMIENTOS!$D$5:$D$1005="jabas")*(MOVIMIENTOS!$A$5:$A$1005&lt;&gt;"")*(MOVIMIENTOS!$A$5:$A$1005&lt;=$A728)*MOVIMIENTOS!$E$5:$E$1005)-SUMPRODUCT((MOVIMIENTOS!$B$5:$B$1005="REGALO")*(MOVIMIENTOS!$C$5:$C$1005="P")*(MOVIMIENTOS!$D$5:$D$1005="jabas")*(MOVIMIENTOS!$A$5:$A$1005&lt;&gt;"")*(MOVIMIENTOS!$A$5:$A$1005&lt;=$A728)*MOVIMIENTOS!$E$5:$E$1005)-SUMPRODUCT((MOVIMIENTOS!$B$5:$B$1005="VENTA")*(MOVIMIENTOS!$C$5:$C$1005="P")*(MOVIMIENTOS!$D$5:$D$1005="jabas")*(MOVIMIENTOS!$A$5:$A$1005&lt;&gt;"")*(MOVIMIENTOS!$A$5:$A$1005&lt;=$A728)*MOVIMIENTOS!$E$5:$E$1005)+SUMPRODUCT((MOVIMIENTOS!$B$5:$B$1005="AJUSTE")*(MOVIMIENTOS!$C$5:$C$1005="P")*(MOVIMIENTOS!$D$5:$D$1005="jabas")*(MOVIMIENTOS!$A$5:$A$1005&lt;&gt;"")*(MOVIMIENTOS!$A$5:$A$1005&lt;=$A728)*MOVIMIENTOS!$E$5:$E$1005))</f>
        <v/>
      </c>
      <c r="D728" t="str">
        <f>IF($A728="","",SUMPRODUCT((MOVIMIENTOS!$B$5:$B$1005="SALDO INICIAL")*(MOVIMIENTOS!$C$5:$C$1005="C")*(MOVIMIENTOS!$D$5:$D$1005="jabas")*(MOVIMIENTOS!$A$5:$A$1005&lt;&gt;"")*(MOVIMIENTOS!$A$5:$A$1005&lt;=$A728)*MOVIMIENTOS!$E$5:$E$1005)+SUMPRODUCT((MOVIMIENTOS!$B$5:$B$1005="PROCESO")*(MOVIMIENTOS!$C$5:$C$1005="C")*(MOVIMIENTOS!$D$5:$D$1005="jabas")*(MOVIMIENTOS!$A$5:$A$1005&lt;&gt;"")*(MOVIMIENTOS!$A$5:$A$1005&lt;=$A728)*MOVIMIENTOS!$E$5:$E$1005)-SUMPRODUCT((MOVIMIENTOS!$B$5:$B$1005="ENVÍO A SUPESA")*(MOVIMIENTOS!$C$5:$C$1005="C")*(MOVIMIENTOS!$D$5:$D$1005="jabas")*(MOVIMIENTOS!$A$5:$A$1005&lt;&gt;"")*(MOVIMIENTOS!$A$5:$A$1005&lt;=$A728)*MOVIMIENTOS!$E$5:$E$1005)+SUMPRODUCT((MOVIMIENTOS!$B$5:$B$1005="DEVOLUCIÓN")*(MOVIMIENTOS!$C$5:$C$1005="C")*(MOVIMIENTOS!$D$5:$D$1005="jabas")*(MOVIMIENTOS!$A$5:$A$1005&lt;&gt;"")*(MOVIMIENTOS!$A$5:$A$1005&lt;=$A728)*MOVIMIENTOS!$E$5:$E$1005)-SUMPRODUCT((MOVIMIENTOS!$B$5:$B$1005="TRASIEGO")*(MOVIMIENTOS!$C$5:$C$1005="C")*(MOVIMIENTOS!$D$5:$D$1005="jabas")*(MOVIMIENTOS!$A$5:$A$1005&lt;&gt;"")*(MOVIMIENTOS!$A$5:$A$1005&lt;=$A728)*MOVIMIENTOS!$E$5:$E$1005)-SUMPRODUCT((MOVIMIENTOS!$B$5:$B$1005="REGALO")*(MOVIMIENTOS!$C$5:$C$1005="C")*(MOVIMIENTOS!$D$5:$D$1005="jabas")*(MOVIMIENTOS!$A$5:$A$1005&lt;&gt;"")*(MOVIMIENTOS!$A$5:$A$1005&lt;=$A728)*MOVIMIENTOS!$E$5:$E$1005)-SUMPRODUCT((MOVIMIENTOS!$B$5:$B$1005="VENTA")*(MOVIMIENTOS!$C$5:$C$1005="C")*(MOVIMIENTOS!$D$5:$D$1005="jabas")*(MOVIMIENTOS!$A$5:$A$1005&lt;&gt;"")*(MOVIMIENTOS!$A$5:$A$1005&lt;=$A728)*MOVIMIENTOS!$E$5:$E$1005)+SUMPRODUCT((MOVIMIENTOS!$B$5:$B$1005="AJUSTE")*(MOVIMIENTOS!$C$5:$C$1005="C")*(MOVIMIENTOS!$D$5:$D$1005="jabas")*(MOVIMIENTOS!$A$5:$A$1005&lt;&gt;"")*(MOVIMIENTOS!$A$5:$A$1005&lt;=$A728)*MOVIMIENTOS!$E$5:$E$1005))</f>
        <v/>
      </c>
      <c r="E728" t="str">
        <f>IF($A728="","",SUMPRODUCT((MOVIMIENTOS!$B$5:$B$1005="SALDO INICIAL")*(MOVIMIENTOS!$C$5:$C$1005="M")*(MOVIMIENTOS!$D$5:$D$1005="jabas")*(MOVIMIENTOS!$A$5:$A$1005&lt;&gt;"")*(MOVIMIENTOS!$A$5:$A$1005&lt;=$A728)*MOVIMIENTOS!$E$5:$E$1005)+SUMPRODUCT((MOVIMIENTOS!$B$5:$B$1005="PROCESO")*(MOVIMIENTOS!$C$5:$C$1005="M")*(MOVIMIENTOS!$D$5:$D$1005="jabas")*(MOVIMIENTOS!$A$5:$A$1005&lt;&gt;"")*(MOVIMIENTOS!$A$5:$A$1005&lt;=$A728)*MOVIMIENTOS!$E$5:$E$1005)-SUMPRODUCT((MOVIMIENTOS!$B$5:$B$1005="ENVÍO A SUPESA")*(MOVIMIENTOS!$C$5:$C$1005="M")*(MOVIMIENTOS!$D$5:$D$1005="jabas")*(MOVIMIENTOS!$A$5:$A$1005&lt;&gt;"")*(MOVIMIENTOS!$A$5:$A$1005&lt;=$A728)*MOVIMIENTOS!$E$5:$E$1005)+SUMPRODUCT((MOVIMIENTOS!$B$5:$B$1005="DEVOLUCIÓN")*(MOVIMIENTOS!$C$5:$C$1005="M")*(MOVIMIENTOS!$D$5:$D$1005="jabas")*(MOVIMIENTOS!$A$5:$A$1005&lt;&gt;"")*(MOVIMIENTOS!$A$5:$A$1005&lt;=$A728)*MOVIMIENTOS!$E$5:$E$1005)-SUMPRODUCT((MOVIMIENTOS!$B$5:$B$1005="TRASIEGO")*(MOVIMIENTOS!$C$5:$C$1005="M")*(MOVIMIENTOS!$D$5:$D$1005="jabas")*(MOVIMIENTOS!$A$5:$A$1005&lt;&gt;"")*(MOVIMIENTOS!$A$5:$A$1005&lt;=$A728)*MOVIMIENTOS!$E$5:$E$1005)-SUMPRODUCT((MOVIMIENTOS!$B$5:$B$1005="REGALO")*(MOVIMIENTOS!$C$5:$C$1005="M")*(MOVIMIENTOS!$D$5:$D$1005="jabas")*(MOVIMIENTOS!$A$5:$A$1005&lt;&gt;"")*(MOVIMIENTOS!$A$5:$A$1005&lt;=$A728)*MOVIMIENTOS!$E$5:$E$1005)-SUMPRODUCT((MOVIMIENTOS!$B$5:$B$1005="VENTA")*(MOVIMIENTOS!$C$5:$C$1005="M")*(MOVIMIENTOS!$D$5:$D$1005="jabas")*(MOVIMIENTOS!$A$5:$A$1005&lt;&gt;"")*(MOVIMIENTOS!$A$5:$A$1005&lt;=$A728)*MOVIMIENTOS!$E$5:$E$1005)+SUMPRODUCT((MOVIMIENTOS!$B$5:$B$1005="AJUSTE")*(MOVIMIENTOS!$C$5:$C$1005="M")*(MOVIMIENTOS!$D$5:$D$1005="jabas")*(MOVIMIENTOS!$A$5:$A$1005&lt;&gt;"")*(MOVIMIENTOS!$A$5:$A$1005&lt;=$A728)*MOVIMIENTOS!$E$5:$E$1005))</f>
        <v/>
      </c>
      <c r="F728" s="62" t="str">
        <f>IF($A728="","",SUMPRODUCT((MOVIMIENTOS!$B$5:$B$1005="SALDO INICIAL")*(MOVIMIENTOS!$C$5:$C$1005="Chancho")*(MOVIMIENTOS!$D$5:$D$1005="sacos")*(MOVIMIENTOS!$A$5:$A$1005&lt;&gt;"")*(MOVIMIENTOS!$A$5:$A$1005&lt;=$A728)*MOVIMIENTOS!$E$5:$E$1005)+SUMPRODUCT((MOVIMIENTOS!$B$5:$B$1005="PROCESO")*(MOVIMIENTOS!$C$5:$C$1005="Chancho")*(MOVIMIENTOS!$D$5:$D$1005="sacos")*(MOVIMIENTOS!$A$5:$A$1005&lt;&gt;"")*(MOVIMIENTOS!$A$5:$A$1005&lt;=$A728)*MOVIMIENTOS!$E$5:$E$1005)-SUMPRODUCT((MOVIMIENTOS!$B$5:$B$1005="VENTA CHANCHO")*(MOVIMIENTOS!$C$5:$C$1005="Chancho")*(MOVIMIENTOS!$D$5:$D$1005="sacos")*(MOVIMIENTOS!$A$5:$A$1005&lt;&gt;"")*(MOVIMIENTOS!$A$5:$A$1005&lt;=$A728)*MOVIMIENTOS!$E$5:$E$1005)-SUMPRODUCT((MOVIMIENTOS!$B$5:$B$1005="REGALO")*(MOVIMIENTOS!$C$5:$C$1005="Chancho")*(MOVIMIENTOS!$D$5:$D$1005="sacos")*(MOVIMIENTOS!$A$5:$A$1005&lt;&gt;"")*(MOVIMIENTOS!$A$5:$A$1005&lt;=$A728)*MOVIMIENTOS!$E$5:$E$1005)-SUMPRODUCT((MOVIMIENTOS!$B$5:$B$1005="VENTA")*(MOVIMIENTOS!$C$5:$C$1005="Chancho")*(MOVIMIENTOS!$D$5:$D$1005="sacos")*(MOVIMIENTOS!$A$5:$A$1005&lt;&gt;"")*(MOVIMIENTOS!$A$5:$A$1005&lt;=$A728)*MOVIMIENTOS!$E$5:$E$1005)+SUMPRODUCT((MOVIMIENTOS!$B$5:$B$1005="AJUSTE")*(MOVIMIENTOS!$C$5:$C$1005="Chancho")*(MOVIMIENTOS!$D$5:$D$1005="sacos")*(MOVIMIENTOS!$A$5:$A$1005&lt;&gt;"")*(MOVIMIENTOS!$A$5:$A$1005&lt;=$A728)*MOVIMIENTOS!$E$5:$E$1005))</f>
        <v/>
      </c>
      <c r="G728" s="62" t="str">
        <f t="shared" si="23"/>
        <v/>
      </c>
      <c r="H728" t="str">
        <f>IF($A728="","",SUMPRODUCT((((MOVIMIENTOS!$B$5:$B$1005="SALDO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728)*MOVIMIENTOS!$J$5:$J$1005))</f>
        <v/>
      </c>
      <c r="J728" t="str">
        <f>IF(AND(MOVIMIENTOS!$A733&lt;&gt;"",COUNTIF(MOVIMIENTOS!$A$5:$A732,MOVIMIENTOS!$A733)=0),COUNT(J$4:J727)+1,"")</f>
        <v/>
      </c>
      <c r="K728">
        <f>MOVIMIENTOS!$A733</f>
        <v>0</v>
      </c>
    </row>
    <row r="729" spans="1:11" ht="15" customHeight="1" x14ac:dyDescent="0.2">
      <c r="A729" t="str">
        <f t="shared" si="22"/>
        <v/>
      </c>
      <c r="B729" t="str">
        <f>IF($A729="","",SUMPRODUCT((MOVIMIENTOS!$B$5:$B$1005="SALDO INICIAL")*(MOVIMIENTOS!$C$5:$C$1005="A")*(MOVIMIENTOS!$D$5:$D$1005="jabas")*(MOVIMIENTOS!$A$5:$A$1005&lt;&gt;"")*(MOVIMIENTOS!$A$5:$A$1005&lt;=$A729)*MOVIMIENTOS!$E$5:$E$1005)+SUMPRODUCT((MOVIMIENTOS!$B$5:$B$1005="PROCESO")*(MOVIMIENTOS!$C$5:$C$1005="A")*(MOVIMIENTOS!$D$5:$D$1005="jabas")*(MOVIMIENTOS!$A$5:$A$1005&lt;&gt;"")*(MOVIMIENTOS!$A$5:$A$1005&lt;=$A729)*MOVIMIENTOS!$E$5:$E$1005)-SUMPRODUCT((MOVIMIENTOS!$B$5:$B$1005="ENVÍO A SUPESA")*(MOVIMIENTOS!$C$5:$C$1005="A")*(MOVIMIENTOS!$D$5:$D$1005="jabas")*(MOVIMIENTOS!$A$5:$A$1005&lt;&gt;"")*(MOVIMIENTOS!$A$5:$A$1005&lt;=$A729)*MOVIMIENTOS!$E$5:$E$1005)+SUMPRODUCT((MOVIMIENTOS!$B$5:$B$1005="DEVOLUCIÓN")*(MOVIMIENTOS!$C$5:$C$1005="A")*(MOVIMIENTOS!$D$5:$D$1005="jabas")*(MOVIMIENTOS!$A$5:$A$1005&lt;&gt;"")*(MOVIMIENTOS!$A$5:$A$1005&lt;=$A729)*MOVIMIENTOS!$E$5:$E$1005)-SUMPRODUCT((MOVIMIENTOS!$B$5:$B$1005="TRASIEGO")*(MOVIMIENTOS!$C$5:$C$1005="A")*(MOVIMIENTOS!$D$5:$D$1005="jabas")*(MOVIMIENTOS!$A$5:$A$1005&lt;&gt;"")*(MOVIMIENTOS!$A$5:$A$1005&lt;=$A729)*MOVIMIENTOS!$E$5:$E$1005)-SUMPRODUCT((MOVIMIENTOS!$B$5:$B$1005="REGALO")*(MOVIMIENTOS!$C$5:$C$1005="A")*(MOVIMIENTOS!$D$5:$D$1005="jabas")*(MOVIMIENTOS!$A$5:$A$1005&lt;&gt;"")*(MOVIMIENTOS!$A$5:$A$1005&lt;=$A729)*MOVIMIENTOS!$E$5:$E$1005)-SUMPRODUCT((MOVIMIENTOS!$B$5:$B$1005="VENTA")*(MOVIMIENTOS!$C$5:$C$1005="A")*(MOVIMIENTOS!$D$5:$D$1005="jabas")*(MOVIMIENTOS!$A$5:$A$1005&lt;&gt;"")*(MOVIMIENTOS!$A$5:$A$1005&lt;=$A729)*MOVIMIENTOS!$E$5:$E$1005)+SUMPRODUCT((MOVIMIENTOS!$B$5:$B$1005="AJUSTE")*(MOVIMIENTOS!$C$5:$C$1005="A")*(MOVIMIENTOS!$D$5:$D$1005="jabas")*(MOVIMIENTOS!$A$5:$A$1005&lt;&gt;"")*(MOVIMIENTOS!$A$5:$A$1005&lt;=$A729)*MOVIMIENTOS!$E$5:$E$1005))</f>
        <v/>
      </c>
      <c r="C729" t="str">
        <f>IF($A729="","",SUMPRODUCT((MOVIMIENTOS!$B$5:$B$1005="SALDO INICIAL")*(MOVIMIENTOS!$C$5:$C$1005="P")*(MOVIMIENTOS!$D$5:$D$1005="jabas")*(MOVIMIENTOS!$A$5:$A$1005&lt;&gt;"")*(MOVIMIENTOS!$A$5:$A$1005&lt;=$A729)*MOVIMIENTOS!$E$5:$E$1005)+SUMPRODUCT((MOVIMIENTOS!$B$5:$B$1005="PROCESO")*(MOVIMIENTOS!$C$5:$C$1005="P")*(MOVIMIENTOS!$D$5:$D$1005="jabas")*(MOVIMIENTOS!$A$5:$A$1005&lt;&gt;"")*(MOVIMIENTOS!$A$5:$A$1005&lt;=$A729)*MOVIMIENTOS!$E$5:$E$1005)-SUMPRODUCT((MOVIMIENTOS!$B$5:$B$1005="ENVÍO A SUPESA")*(MOVIMIENTOS!$C$5:$C$1005="P")*(MOVIMIENTOS!$D$5:$D$1005="jabas")*(MOVIMIENTOS!$A$5:$A$1005&lt;&gt;"")*(MOVIMIENTOS!$A$5:$A$1005&lt;=$A729)*MOVIMIENTOS!$E$5:$E$1005)+SUMPRODUCT((MOVIMIENTOS!$B$5:$B$1005="DEVOLUCIÓN")*(MOVIMIENTOS!$C$5:$C$1005="P")*(MOVIMIENTOS!$D$5:$D$1005="jabas")*(MOVIMIENTOS!$A$5:$A$1005&lt;&gt;"")*(MOVIMIENTOS!$A$5:$A$1005&lt;=$A729)*MOVIMIENTOS!$E$5:$E$1005)-SUMPRODUCT((MOVIMIENTOS!$B$5:$B$1005="TRASIEGO")*(MOVIMIENTOS!$C$5:$C$1005="P")*(MOVIMIENTOS!$D$5:$D$1005="jabas")*(MOVIMIENTOS!$A$5:$A$1005&lt;&gt;"")*(MOVIMIENTOS!$A$5:$A$1005&lt;=$A729)*MOVIMIENTOS!$E$5:$E$1005)-SUMPRODUCT((MOVIMIENTOS!$B$5:$B$1005="REGALO")*(MOVIMIENTOS!$C$5:$C$1005="P")*(MOVIMIENTOS!$D$5:$D$1005="jabas")*(MOVIMIENTOS!$A$5:$A$1005&lt;&gt;"")*(MOVIMIENTOS!$A$5:$A$1005&lt;=$A729)*MOVIMIENTOS!$E$5:$E$1005)-SUMPRODUCT((MOVIMIENTOS!$B$5:$B$1005="VENTA")*(MOVIMIENTOS!$C$5:$C$1005="P")*(MOVIMIENTOS!$D$5:$D$1005="jabas")*(MOVIMIENTOS!$A$5:$A$1005&lt;&gt;"")*(MOVIMIENTOS!$A$5:$A$1005&lt;=$A729)*MOVIMIENTOS!$E$5:$E$1005)+SUMPRODUCT((MOVIMIENTOS!$B$5:$B$1005="AJUSTE")*(MOVIMIENTOS!$C$5:$C$1005="P")*(MOVIMIENTOS!$D$5:$D$1005="jabas")*(MOVIMIENTOS!$A$5:$A$1005&lt;&gt;"")*(MOVIMIENTOS!$A$5:$A$1005&lt;=$A729)*MOVIMIENTOS!$E$5:$E$1005))</f>
        <v/>
      </c>
      <c r="D729" t="str">
        <f>IF($A729="","",SUMPRODUCT((MOVIMIENTOS!$B$5:$B$1005="SALDO INICIAL")*(MOVIMIENTOS!$C$5:$C$1005="C")*(MOVIMIENTOS!$D$5:$D$1005="jabas")*(MOVIMIENTOS!$A$5:$A$1005&lt;&gt;"")*(MOVIMIENTOS!$A$5:$A$1005&lt;=$A729)*MOVIMIENTOS!$E$5:$E$1005)+SUMPRODUCT((MOVIMIENTOS!$B$5:$B$1005="PROCESO")*(MOVIMIENTOS!$C$5:$C$1005="C")*(MOVIMIENTOS!$D$5:$D$1005="jabas")*(MOVIMIENTOS!$A$5:$A$1005&lt;&gt;"")*(MOVIMIENTOS!$A$5:$A$1005&lt;=$A729)*MOVIMIENTOS!$E$5:$E$1005)-SUMPRODUCT((MOVIMIENTOS!$B$5:$B$1005="ENVÍO A SUPESA")*(MOVIMIENTOS!$C$5:$C$1005="C")*(MOVIMIENTOS!$D$5:$D$1005="jabas")*(MOVIMIENTOS!$A$5:$A$1005&lt;&gt;"")*(MOVIMIENTOS!$A$5:$A$1005&lt;=$A729)*MOVIMIENTOS!$E$5:$E$1005)+SUMPRODUCT((MOVIMIENTOS!$B$5:$B$1005="DEVOLUCIÓN")*(MOVIMIENTOS!$C$5:$C$1005="C")*(MOVIMIENTOS!$D$5:$D$1005="jabas")*(MOVIMIENTOS!$A$5:$A$1005&lt;&gt;"")*(MOVIMIENTOS!$A$5:$A$1005&lt;=$A729)*MOVIMIENTOS!$E$5:$E$1005)-SUMPRODUCT((MOVIMIENTOS!$B$5:$B$1005="TRASIEGO")*(MOVIMIENTOS!$C$5:$C$1005="C")*(MOVIMIENTOS!$D$5:$D$1005="jabas")*(MOVIMIENTOS!$A$5:$A$1005&lt;&gt;"")*(MOVIMIENTOS!$A$5:$A$1005&lt;=$A729)*MOVIMIENTOS!$E$5:$E$1005)-SUMPRODUCT((MOVIMIENTOS!$B$5:$B$1005="REGALO")*(MOVIMIENTOS!$C$5:$C$1005="C")*(MOVIMIENTOS!$D$5:$D$1005="jabas")*(MOVIMIENTOS!$A$5:$A$1005&lt;&gt;"")*(MOVIMIENTOS!$A$5:$A$1005&lt;=$A729)*MOVIMIENTOS!$E$5:$E$1005)-SUMPRODUCT((MOVIMIENTOS!$B$5:$B$1005="VENTA")*(MOVIMIENTOS!$C$5:$C$1005="C")*(MOVIMIENTOS!$D$5:$D$1005="jabas")*(MOVIMIENTOS!$A$5:$A$1005&lt;&gt;"")*(MOVIMIENTOS!$A$5:$A$1005&lt;=$A729)*MOVIMIENTOS!$E$5:$E$1005)+SUMPRODUCT((MOVIMIENTOS!$B$5:$B$1005="AJUSTE")*(MOVIMIENTOS!$C$5:$C$1005="C")*(MOVIMIENTOS!$D$5:$D$1005="jabas")*(MOVIMIENTOS!$A$5:$A$1005&lt;&gt;"")*(MOVIMIENTOS!$A$5:$A$1005&lt;=$A729)*MOVIMIENTOS!$E$5:$E$1005))</f>
        <v/>
      </c>
      <c r="E729" t="str">
        <f>IF($A729="","",SUMPRODUCT((MOVIMIENTOS!$B$5:$B$1005="SALDO INICIAL")*(MOVIMIENTOS!$C$5:$C$1005="M")*(MOVIMIENTOS!$D$5:$D$1005="jabas")*(MOVIMIENTOS!$A$5:$A$1005&lt;&gt;"")*(MOVIMIENTOS!$A$5:$A$1005&lt;=$A729)*MOVIMIENTOS!$E$5:$E$1005)+SUMPRODUCT((MOVIMIENTOS!$B$5:$B$1005="PROCESO")*(MOVIMIENTOS!$C$5:$C$1005="M")*(MOVIMIENTOS!$D$5:$D$1005="jabas")*(MOVIMIENTOS!$A$5:$A$1005&lt;&gt;"")*(MOVIMIENTOS!$A$5:$A$1005&lt;=$A729)*MOVIMIENTOS!$E$5:$E$1005)-SUMPRODUCT((MOVIMIENTOS!$B$5:$B$1005="ENVÍO A SUPESA")*(MOVIMIENTOS!$C$5:$C$1005="M")*(MOVIMIENTOS!$D$5:$D$1005="jabas")*(MOVIMIENTOS!$A$5:$A$1005&lt;&gt;"")*(MOVIMIENTOS!$A$5:$A$1005&lt;=$A729)*MOVIMIENTOS!$E$5:$E$1005)+SUMPRODUCT((MOVIMIENTOS!$B$5:$B$1005="DEVOLUCIÓN")*(MOVIMIENTOS!$C$5:$C$1005="M")*(MOVIMIENTOS!$D$5:$D$1005="jabas")*(MOVIMIENTOS!$A$5:$A$1005&lt;&gt;"")*(MOVIMIENTOS!$A$5:$A$1005&lt;=$A729)*MOVIMIENTOS!$E$5:$E$1005)-SUMPRODUCT((MOVIMIENTOS!$B$5:$B$1005="TRASIEGO")*(MOVIMIENTOS!$C$5:$C$1005="M")*(MOVIMIENTOS!$D$5:$D$1005="jabas")*(MOVIMIENTOS!$A$5:$A$1005&lt;&gt;"")*(MOVIMIENTOS!$A$5:$A$1005&lt;=$A729)*MOVIMIENTOS!$E$5:$E$1005)-SUMPRODUCT((MOVIMIENTOS!$B$5:$B$1005="REGALO")*(MOVIMIENTOS!$C$5:$C$1005="M")*(MOVIMIENTOS!$D$5:$D$1005="jabas")*(MOVIMIENTOS!$A$5:$A$1005&lt;&gt;"")*(MOVIMIENTOS!$A$5:$A$1005&lt;=$A729)*MOVIMIENTOS!$E$5:$E$1005)-SUMPRODUCT((MOVIMIENTOS!$B$5:$B$1005="VENTA")*(MOVIMIENTOS!$C$5:$C$1005="M")*(MOVIMIENTOS!$D$5:$D$1005="jabas")*(MOVIMIENTOS!$A$5:$A$1005&lt;&gt;"")*(MOVIMIENTOS!$A$5:$A$1005&lt;=$A729)*MOVIMIENTOS!$E$5:$E$1005)+SUMPRODUCT((MOVIMIENTOS!$B$5:$B$1005="AJUSTE")*(MOVIMIENTOS!$C$5:$C$1005="M")*(MOVIMIENTOS!$D$5:$D$1005="jabas")*(MOVIMIENTOS!$A$5:$A$1005&lt;&gt;"")*(MOVIMIENTOS!$A$5:$A$1005&lt;=$A729)*MOVIMIENTOS!$E$5:$E$1005))</f>
        <v/>
      </c>
      <c r="F729" s="62" t="str">
        <f>IF($A729="","",SUMPRODUCT((MOVIMIENTOS!$B$5:$B$1005="SALDO INICIAL")*(MOVIMIENTOS!$C$5:$C$1005="Chancho")*(MOVIMIENTOS!$D$5:$D$1005="sacos")*(MOVIMIENTOS!$A$5:$A$1005&lt;&gt;"")*(MOVIMIENTOS!$A$5:$A$1005&lt;=$A729)*MOVIMIENTOS!$E$5:$E$1005)+SUMPRODUCT((MOVIMIENTOS!$B$5:$B$1005="PROCESO")*(MOVIMIENTOS!$C$5:$C$1005="Chancho")*(MOVIMIENTOS!$D$5:$D$1005="sacos")*(MOVIMIENTOS!$A$5:$A$1005&lt;&gt;"")*(MOVIMIENTOS!$A$5:$A$1005&lt;=$A729)*MOVIMIENTOS!$E$5:$E$1005)-SUMPRODUCT((MOVIMIENTOS!$B$5:$B$1005="VENTA CHANCHO")*(MOVIMIENTOS!$C$5:$C$1005="Chancho")*(MOVIMIENTOS!$D$5:$D$1005="sacos")*(MOVIMIENTOS!$A$5:$A$1005&lt;&gt;"")*(MOVIMIENTOS!$A$5:$A$1005&lt;=$A729)*MOVIMIENTOS!$E$5:$E$1005)-SUMPRODUCT((MOVIMIENTOS!$B$5:$B$1005="REGALO")*(MOVIMIENTOS!$C$5:$C$1005="Chancho")*(MOVIMIENTOS!$D$5:$D$1005="sacos")*(MOVIMIENTOS!$A$5:$A$1005&lt;&gt;"")*(MOVIMIENTOS!$A$5:$A$1005&lt;=$A729)*MOVIMIENTOS!$E$5:$E$1005)-SUMPRODUCT((MOVIMIENTOS!$B$5:$B$1005="VENTA")*(MOVIMIENTOS!$C$5:$C$1005="Chancho")*(MOVIMIENTOS!$D$5:$D$1005="sacos")*(MOVIMIENTOS!$A$5:$A$1005&lt;&gt;"")*(MOVIMIENTOS!$A$5:$A$1005&lt;=$A729)*MOVIMIENTOS!$E$5:$E$1005)+SUMPRODUCT((MOVIMIENTOS!$B$5:$B$1005="AJUSTE")*(MOVIMIENTOS!$C$5:$C$1005="Chancho")*(MOVIMIENTOS!$D$5:$D$1005="sacos")*(MOVIMIENTOS!$A$5:$A$1005&lt;&gt;"")*(MOVIMIENTOS!$A$5:$A$1005&lt;=$A729)*MOVIMIENTOS!$E$5:$E$1005))</f>
        <v/>
      </c>
      <c r="G729" s="62" t="str">
        <f t="shared" si="23"/>
        <v/>
      </c>
      <c r="H729" t="str">
        <f>IF($A729="","",SUMPRODUCT((((MOVIMIENTOS!$B$5:$B$1005="SALDO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729)*MOVIMIENTOS!$J$5:$J$1005))</f>
        <v/>
      </c>
      <c r="J729" t="str">
        <f>IF(AND(MOVIMIENTOS!$A734&lt;&gt;"",COUNTIF(MOVIMIENTOS!$A$5:$A733,MOVIMIENTOS!$A734)=0),COUNT(J$4:J728)+1,"")</f>
        <v/>
      </c>
      <c r="K729">
        <f>MOVIMIENTOS!$A734</f>
        <v>0</v>
      </c>
    </row>
    <row r="730" spans="1:11" ht="15" customHeight="1" x14ac:dyDescent="0.2">
      <c r="A730" t="str">
        <f t="shared" si="22"/>
        <v/>
      </c>
      <c r="B730" t="str">
        <f>IF($A730="","",SUMPRODUCT((MOVIMIENTOS!$B$5:$B$1005="SALDO INICIAL")*(MOVIMIENTOS!$C$5:$C$1005="A")*(MOVIMIENTOS!$D$5:$D$1005="jabas")*(MOVIMIENTOS!$A$5:$A$1005&lt;&gt;"")*(MOVIMIENTOS!$A$5:$A$1005&lt;=$A730)*MOVIMIENTOS!$E$5:$E$1005)+SUMPRODUCT((MOVIMIENTOS!$B$5:$B$1005="PROCESO")*(MOVIMIENTOS!$C$5:$C$1005="A")*(MOVIMIENTOS!$D$5:$D$1005="jabas")*(MOVIMIENTOS!$A$5:$A$1005&lt;&gt;"")*(MOVIMIENTOS!$A$5:$A$1005&lt;=$A730)*MOVIMIENTOS!$E$5:$E$1005)-SUMPRODUCT((MOVIMIENTOS!$B$5:$B$1005="ENVÍO A SUPESA")*(MOVIMIENTOS!$C$5:$C$1005="A")*(MOVIMIENTOS!$D$5:$D$1005="jabas")*(MOVIMIENTOS!$A$5:$A$1005&lt;&gt;"")*(MOVIMIENTOS!$A$5:$A$1005&lt;=$A730)*MOVIMIENTOS!$E$5:$E$1005)+SUMPRODUCT((MOVIMIENTOS!$B$5:$B$1005="DEVOLUCIÓN")*(MOVIMIENTOS!$C$5:$C$1005="A")*(MOVIMIENTOS!$D$5:$D$1005="jabas")*(MOVIMIENTOS!$A$5:$A$1005&lt;&gt;"")*(MOVIMIENTOS!$A$5:$A$1005&lt;=$A730)*MOVIMIENTOS!$E$5:$E$1005)-SUMPRODUCT((MOVIMIENTOS!$B$5:$B$1005="TRASIEGO")*(MOVIMIENTOS!$C$5:$C$1005="A")*(MOVIMIENTOS!$D$5:$D$1005="jabas")*(MOVIMIENTOS!$A$5:$A$1005&lt;&gt;"")*(MOVIMIENTOS!$A$5:$A$1005&lt;=$A730)*MOVIMIENTOS!$E$5:$E$1005)-SUMPRODUCT((MOVIMIENTOS!$B$5:$B$1005="REGALO")*(MOVIMIENTOS!$C$5:$C$1005="A")*(MOVIMIENTOS!$D$5:$D$1005="jabas")*(MOVIMIENTOS!$A$5:$A$1005&lt;&gt;"")*(MOVIMIENTOS!$A$5:$A$1005&lt;=$A730)*MOVIMIENTOS!$E$5:$E$1005)-SUMPRODUCT((MOVIMIENTOS!$B$5:$B$1005="VENTA")*(MOVIMIENTOS!$C$5:$C$1005="A")*(MOVIMIENTOS!$D$5:$D$1005="jabas")*(MOVIMIENTOS!$A$5:$A$1005&lt;&gt;"")*(MOVIMIENTOS!$A$5:$A$1005&lt;=$A730)*MOVIMIENTOS!$E$5:$E$1005)+SUMPRODUCT((MOVIMIENTOS!$B$5:$B$1005="AJUSTE")*(MOVIMIENTOS!$C$5:$C$1005="A")*(MOVIMIENTOS!$D$5:$D$1005="jabas")*(MOVIMIENTOS!$A$5:$A$1005&lt;&gt;"")*(MOVIMIENTOS!$A$5:$A$1005&lt;=$A730)*MOVIMIENTOS!$E$5:$E$1005))</f>
        <v/>
      </c>
      <c r="C730" t="str">
        <f>IF($A730="","",SUMPRODUCT((MOVIMIENTOS!$B$5:$B$1005="SALDO INICIAL")*(MOVIMIENTOS!$C$5:$C$1005="P")*(MOVIMIENTOS!$D$5:$D$1005="jabas")*(MOVIMIENTOS!$A$5:$A$1005&lt;&gt;"")*(MOVIMIENTOS!$A$5:$A$1005&lt;=$A730)*MOVIMIENTOS!$E$5:$E$1005)+SUMPRODUCT((MOVIMIENTOS!$B$5:$B$1005="PROCESO")*(MOVIMIENTOS!$C$5:$C$1005="P")*(MOVIMIENTOS!$D$5:$D$1005="jabas")*(MOVIMIENTOS!$A$5:$A$1005&lt;&gt;"")*(MOVIMIENTOS!$A$5:$A$1005&lt;=$A730)*MOVIMIENTOS!$E$5:$E$1005)-SUMPRODUCT((MOVIMIENTOS!$B$5:$B$1005="ENVÍO A SUPESA")*(MOVIMIENTOS!$C$5:$C$1005="P")*(MOVIMIENTOS!$D$5:$D$1005="jabas")*(MOVIMIENTOS!$A$5:$A$1005&lt;&gt;"")*(MOVIMIENTOS!$A$5:$A$1005&lt;=$A730)*MOVIMIENTOS!$E$5:$E$1005)+SUMPRODUCT((MOVIMIENTOS!$B$5:$B$1005="DEVOLUCIÓN")*(MOVIMIENTOS!$C$5:$C$1005="P")*(MOVIMIENTOS!$D$5:$D$1005="jabas")*(MOVIMIENTOS!$A$5:$A$1005&lt;&gt;"")*(MOVIMIENTOS!$A$5:$A$1005&lt;=$A730)*MOVIMIENTOS!$E$5:$E$1005)-SUMPRODUCT((MOVIMIENTOS!$B$5:$B$1005="TRASIEGO")*(MOVIMIENTOS!$C$5:$C$1005="P")*(MOVIMIENTOS!$D$5:$D$1005="jabas")*(MOVIMIENTOS!$A$5:$A$1005&lt;&gt;"")*(MOVIMIENTOS!$A$5:$A$1005&lt;=$A730)*MOVIMIENTOS!$E$5:$E$1005)-SUMPRODUCT((MOVIMIENTOS!$B$5:$B$1005="REGALO")*(MOVIMIENTOS!$C$5:$C$1005="P")*(MOVIMIENTOS!$D$5:$D$1005="jabas")*(MOVIMIENTOS!$A$5:$A$1005&lt;&gt;"")*(MOVIMIENTOS!$A$5:$A$1005&lt;=$A730)*MOVIMIENTOS!$E$5:$E$1005)-SUMPRODUCT((MOVIMIENTOS!$B$5:$B$1005="VENTA")*(MOVIMIENTOS!$C$5:$C$1005="P")*(MOVIMIENTOS!$D$5:$D$1005="jabas")*(MOVIMIENTOS!$A$5:$A$1005&lt;&gt;"")*(MOVIMIENTOS!$A$5:$A$1005&lt;=$A730)*MOVIMIENTOS!$E$5:$E$1005)+SUMPRODUCT((MOVIMIENTOS!$B$5:$B$1005="AJUSTE")*(MOVIMIENTOS!$C$5:$C$1005="P")*(MOVIMIENTOS!$D$5:$D$1005="jabas")*(MOVIMIENTOS!$A$5:$A$1005&lt;&gt;"")*(MOVIMIENTOS!$A$5:$A$1005&lt;=$A730)*MOVIMIENTOS!$E$5:$E$1005))</f>
        <v/>
      </c>
      <c r="D730" t="str">
        <f>IF($A730="","",SUMPRODUCT((MOVIMIENTOS!$B$5:$B$1005="SALDO INICIAL")*(MOVIMIENTOS!$C$5:$C$1005="C")*(MOVIMIENTOS!$D$5:$D$1005="jabas")*(MOVIMIENTOS!$A$5:$A$1005&lt;&gt;"")*(MOVIMIENTOS!$A$5:$A$1005&lt;=$A730)*MOVIMIENTOS!$E$5:$E$1005)+SUMPRODUCT((MOVIMIENTOS!$B$5:$B$1005="PROCESO")*(MOVIMIENTOS!$C$5:$C$1005="C")*(MOVIMIENTOS!$D$5:$D$1005="jabas")*(MOVIMIENTOS!$A$5:$A$1005&lt;&gt;"")*(MOVIMIENTOS!$A$5:$A$1005&lt;=$A730)*MOVIMIENTOS!$E$5:$E$1005)-SUMPRODUCT((MOVIMIENTOS!$B$5:$B$1005="ENVÍO A SUPESA")*(MOVIMIENTOS!$C$5:$C$1005="C")*(MOVIMIENTOS!$D$5:$D$1005="jabas")*(MOVIMIENTOS!$A$5:$A$1005&lt;&gt;"")*(MOVIMIENTOS!$A$5:$A$1005&lt;=$A730)*MOVIMIENTOS!$E$5:$E$1005)+SUMPRODUCT((MOVIMIENTOS!$B$5:$B$1005="DEVOLUCIÓN")*(MOVIMIENTOS!$C$5:$C$1005="C")*(MOVIMIENTOS!$D$5:$D$1005="jabas")*(MOVIMIENTOS!$A$5:$A$1005&lt;&gt;"")*(MOVIMIENTOS!$A$5:$A$1005&lt;=$A730)*MOVIMIENTOS!$E$5:$E$1005)-SUMPRODUCT((MOVIMIENTOS!$B$5:$B$1005="TRASIEGO")*(MOVIMIENTOS!$C$5:$C$1005="C")*(MOVIMIENTOS!$D$5:$D$1005="jabas")*(MOVIMIENTOS!$A$5:$A$1005&lt;&gt;"")*(MOVIMIENTOS!$A$5:$A$1005&lt;=$A730)*MOVIMIENTOS!$E$5:$E$1005)-SUMPRODUCT((MOVIMIENTOS!$B$5:$B$1005="REGALO")*(MOVIMIENTOS!$C$5:$C$1005="C")*(MOVIMIENTOS!$D$5:$D$1005="jabas")*(MOVIMIENTOS!$A$5:$A$1005&lt;&gt;"")*(MOVIMIENTOS!$A$5:$A$1005&lt;=$A730)*MOVIMIENTOS!$E$5:$E$1005)-SUMPRODUCT((MOVIMIENTOS!$B$5:$B$1005="VENTA")*(MOVIMIENTOS!$C$5:$C$1005="C")*(MOVIMIENTOS!$D$5:$D$1005="jabas")*(MOVIMIENTOS!$A$5:$A$1005&lt;&gt;"")*(MOVIMIENTOS!$A$5:$A$1005&lt;=$A730)*MOVIMIENTOS!$E$5:$E$1005)+SUMPRODUCT((MOVIMIENTOS!$B$5:$B$1005="AJUSTE")*(MOVIMIENTOS!$C$5:$C$1005="C")*(MOVIMIENTOS!$D$5:$D$1005="jabas")*(MOVIMIENTOS!$A$5:$A$1005&lt;&gt;"")*(MOVIMIENTOS!$A$5:$A$1005&lt;=$A730)*MOVIMIENTOS!$E$5:$E$1005))</f>
        <v/>
      </c>
      <c r="E730" t="str">
        <f>IF($A730="","",SUMPRODUCT((MOVIMIENTOS!$B$5:$B$1005="SALDO INICIAL")*(MOVIMIENTOS!$C$5:$C$1005="M")*(MOVIMIENTOS!$D$5:$D$1005="jabas")*(MOVIMIENTOS!$A$5:$A$1005&lt;&gt;"")*(MOVIMIENTOS!$A$5:$A$1005&lt;=$A730)*MOVIMIENTOS!$E$5:$E$1005)+SUMPRODUCT((MOVIMIENTOS!$B$5:$B$1005="PROCESO")*(MOVIMIENTOS!$C$5:$C$1005="M")*(MOVIMIENTOS!$D$5:$D$1005="jabas")*(MOVIMIENTOS!$A$5:$A$1005&lt;&gt;"")*(MOVIMIENTOS!$A$5:$A$1005&lt;=$A730)*MOVIMIENTOS!$E$5:$E$1005)-SUMPRODUCT((MOVIMIENTOS!$B$5:$B$1005="ENVÍO A SUPESA")*(MOVIMIENTOS!$C$5:$C$1005="M")*(MOVIMIENTOS!$D$5:$D$1005="jabas")*(MOVIMIENTOS!$A$5:$A$1005&lt;&gt;"")*(MOVIMIENTOS!$A$5:$A$1005&lt;=$A730)*MOVIMIENTOS!$E$5:$E$1005)+SUMPRODUCT((MOVIMIENTOS!$B$5:$B$1005="DEVOLUCIÓN")*(MOVIMIENTOS!$C$5:$C$1005="M")*(MOVIMIENTOS!$D$5:$D$1005="jabas")*(MOVIMIENTOS!$A$5:$A$1005&lt;&gt;"")*(MOVIMIENTOS!$A$5:$A$1005&lt;=$A730)*MOVIMIENTOS!$E$5:$E$1005)-SUMPRODUCT((MOVIMIENTOS!$B$5:$B$1005="TRASIEGO")*(MOVIMIENTOS!$C$5:$C$1005="M")*(MOVIMIENTOS!$D$5:$D$1005="jabas")*(MOVIMIENTOS!$A$5:$A$1005&lt;&gt;"")*(MOVIMIENTOS!$A$5:$A$1005&lt;=$A730)*MOVIMIENTOS!$E$5:$E$1005)-SUMPRODUCT((MOVIMIENTOS!$B$5:$B$1005="REGALO")*(MOVIMIENTOS!$C$5:$C$1005="M")*(MOVIMIENTOS!$D$5:$D$1005="jabas")*(MOVIMIENTOS!$A$5:$A$1005&lt;&gt;"")*(MOVIMIENTOS!$A$5:$A$1005&lt;=$A730)*MOVIMIENTOS!$E$5:$E$1005)-SUMPRODUCT((MOVIMIENTOS!$B$5:$B$1005="VENTA")*(MOVIMIENTOS!$C$5:$C$1005="M")*(MOVIMIENTOS!$D$5:$D$1005="jabas")*(MOVIMIENTOS!$A$5:$A$1005&lt;&gt;"")*(MOVIMIENTOS!$A$5:$A$1005&lt;=$A730)*MOVIMIENTOS!$E$5:$E$1005)+SUMPRODUCT((MOVIMIENTOS!$B$5:$B$1005="AJUSTE")*(MOVIMIENTOS!$C$5:$C$1005="M")*(MOVIMIENTOS!$D$5:$D$1005="jabas")*(MOVIMIENTOS!$A$5:$A$1005&lt;&gt;"")*(MOVIMIENTOS!$A$5:$A$1005&lt;=$A730)*MOVIMIENTOS!$E$5:$E$1005))</f>
        <v/>
      </c>
      <c r="F730" s="62" t="str">
        <f>IF($A730="","",SUMPRODUCT((MOVIMIENTOS!$B$5:$B$1005="SALDO INICIAL")*(MOVIMIENTOS!$C$5:$C$1005="Chancho")*(MOVIMIENTOS!$D$5:$D$1005="sacos")*(MOVIMIENTOS!$A$5:$A$1005&lt;&gt;"")*(MOVIMIENTOS!$A$5:$A$1005&lt;=$A730)*MOVIMIENTOS!$E$5:$E$1005)+SUMPRODUCT((MOVIMIENTOS!$B$5:$B$1005="PROCESO")*(MOVIMIENTOS!$C$5:$C$1005="Chancho")*(MOVIMIENTOS!$D$5:$D$1005="sacos")*(MOVIMIENTOS!$A$5:$A$1005&lt;&gt;"")*(MOVIMIENTOS!$A$5:$A$1005&lt;=$A730)*MOVIMIENTOS!$E$5:$E$1005)-SUMPRODUCT((MOVIMIENTOS!$B$5:$B$1005="VENTA CHANCHO")*(MOVIMIENTOS!$C$5:$C$1005="Chancho")*(MOVIMIENTOS!$D$5:$D$1005="sacos")*(MOVIMIENTOS!$A$5:$A$1005&lt;&gt;"")*(MOVIMIENTOS!$A$5:$A$1005&lt;=$A730)*MOVIMIENTOS!$E$5:$E$1005)-SUMPRODUCT((MOVIMIENTOS!$B$5:$B$1005="REGALO")*(MOVIMIENTOS!$C$5:$C$1005="Chancho")*(MOVIMIENTOS!$D$5:$D$1005="sacos")*(MOVIMIENTOS!$A$5:$A$1005&lt;&gt;"")*(MOVIMIENTOS!$A$5:$A$1005&lt;=$A730)*MOVIMIENTOS!$E$5:$E$1005)-SUMPRODUCT((MOVIMIENTOS!$B$5:$B$1005="VENTA")*(MOVIMIENTOS!$C$5:$C$1005="Chancho")*(MOVIMIENTOS!$D$5:$D$1005="sacos")*(MOVIMIENTOS!$A$5:$A$1005&lt;&gt;"")*(MOVIMIENTOS!$A$5:$A$1005&lt;=$A730)*MOVIMIENTOS!$E$5:$E$1005)+SUMPRODUCT((MOVIMIENTOS!$B$5:$B$1005="AJUSTE")*(MOVIMIENTOS!$C$5:$C$1005="Chancho")*(MOVIMIENTOS!$D$5:$D$1005="sacos")*(MOVIMIENTOS!$A$5:$A$1005&lt;&gt;"")*(MOVIMIENTOS!$A$5:$A$1005&lt;=$A730)*MOVIMIENTOS!$E$5:$E$1005))</f>
        <v/>
      </c>
      <c r="G730" s="62" t="str">
        <f t="shared" si="23"/>
        <v/>
      </c>
      <c r="H730" t="str">
        <f>IF($A730="","",SUMPRODUCT((((MOVIMIENTOS!$B$5:$B$1005="SALDO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730)*MOVIMIENTOS!$J$5:$J$1005))</f>
        <v/>
      </c>
      <c r="J730" t="str">
        <f>IF(AND(MOVIMIENTOS!$A735&lt;&gt;"",COUNTIF(MOVIMIENTOS!$A$5:$A734,MOVIMIENTOS!$A735)=0),COUNT(J$4:J729)+1,"")</f>
        <v/>
      </c>
      <c r="K730">
        <f>MOVIMIENTOS!$A735</f>
        <v>0</v>
      </c>
    </row>
    <row r="731" spans="1:11" ht="15" customHeight="1" x14ac:dyDescent="0.2">
      <c r="A731" t="str">
        <f t="shared" si="22"/>
        <v/>
      </c>
      <c r="B731" t="str">
        <f>IF($A731="","",SUMPRODUCT((MOVIMIENTOS!$B$5:$B$1005="SALDO INICIAL")*(MOVIMIENTOS!$C$5:$C$1005="A")*(MOVIMIENTOS!$D$5:$D$1005="jabas")*(MOVIMIENTOS!$A$5:$A$1005&lt;&gt;"")*(MOVIMIENTOS!$A$5:$A$1005&lt;=$A731)*MOVIMIENTOS!$E$5:$E$1005)+SUMPRODUCT((MOVIMIENTOS!$B$5:$B$1005="PROCESO")*(MOVIMIENTOS!$C$5:$C$1005="A")*(MOVIMIENTOS!$D$5:$D$1005="jabas")*(MOVIMIENTOS!$A$5:$A$1005&lt;&gt;"")*(MOVIMIENTOS!$A$5:$A$1005&lt;=$A731)*MOVIMIENTOS!$E$5:$E$1005)-SUMPRODUCT((MOVIMIENTOS!$B$5:$B$1005="ENVÍO A SUPESA")*(MOVIMIENTOS!$C$5:$C$1005="A")*(MOVIMIENTOS!$D$5:$D$1005="jabas")*(MOVIMIENTOS!$A$5:$A$1005&lt;&gt;"")*(MOVIMIENTOS!$A$5:$A$1005&lt;=$A731)*MOVIMIENTOS!$E$5:$E$1005)+SUMPRODUCT((MOVIMIENTOS!$B$5:$B$1005="DEVOLUCIÓN")*(MOVIMIENTOS!$C$5:$C$1005="A")*(MOVIMIENTOS!$D$5:$D$1005="jabas")*(MOVIMIENTOS!$A$5:$A$1005&lt;&gt;"")*(MOVIMIENTOS!$A$5:$A$1005&lt;=$A731)*MOVIMIENTOS!$E$5:$E$1005)-SUMPRODUCT((MOVIMIENTOS!$B$5:$B$1005="TRASIEGO")*(MOVIMIENTOS!$C$5:$C$1005="A")*(MOVIMIENTOS!$D$5:$D$1005="jabas")*(MOVIMIENTOS!$A$5:$A$1005&lt;&gt;"")*(MOVIMIENTOS!$A$5:$A$1005&lt;=$A731)*MOVIMIENTOS!$E$5:$E$1005)-SUMPRODUCT((MOVIMIENTOS!$B$5:$B$1005="REGALO")*(MOVIMIENTOS!$C$5:$C$1005="A")*(MOVIMIENTOS!$D$5:$D$1005="jabas")*(MOVIMIENTOS!$A$5:$A$1005&lt;&gt;"")*(MOVIMIENTOS!$A$5:$A$1005&lt;=$A731)*MOVIMIENTOS!$E$5:$E$1005)-SUMPRODUCT((MOVIMIENTOS!$B$5:$B$1005="VENTA")*(MOVIMIENTOS!$C$5:$C$1005="A")*(MOVIMIENTOS!$D$5:$D$1005="jabas")*(MOVIMIENTOS!$A$5:$A$1005&lt;&gt;"")*(MOVIMIENTOS!$A$5:$A$1005&lt;=$A731)*MOVIMIENTOS!$E$5:$E$1005)+SUMPRODUCT((MOVIMIENTOS!$B$5:$B$1005="AJUSTE")*(MOVIMIENTOS!$C$5:$C$1005="A")*(MOVIMIENTOS!$D$5:$D$1005="jabas")*(MOVIMIENTOS!$A$5:$A$1005&lt;&gt;"")*(MOVIMIENTOS!$A$5:$A$1005&lt;=$A731)*MOVIMIENTOS!$E$5:$E$1005))</f>
        <v/>
      </c>
      <c r="C731" t="str">
        <f>IF($A731="","",SUMPRODUCT((MOVIMIENTOS!$B$5:$B$1005="SALDO INICIAL")*(MOVIMIENTOS!$C$5:$C$1005="P")*(MOVIMIENTOS!$D$5:$D$1005="jabas")*(MOVIMIENTOS!$A$5:$A$1005&lt;&gt;"")*(MOVIMIENTOS!$A$5:$A$1005&lt;=$A731)*MOVIMIENTOS!$E$5:$E$1005)+SUMPRODUCT((MOVIMIENTOS!$B$5:$B$1005="PROCESO")*(MOVIMIENTOS!$C$5:$C$1005="P")*(MOVIMIENTOS!$D$5:$D$1005="jabas")*(MOVIMIENTOS!$A$5:$A$1005&lt;&gt;"")*(MOVIMIENTOS!$A$5:$A$1005&lt;=$A731)*MOVIMIENTOS!$E$5:$E$1005)-SUMPRODUCT((MOVIMIENTOS!$B$5:$B$1005="ENVÍO A SUPESA")*(MOVIMIENTOS!$C$5:$C$1005="P")*(MOVIMIENTOS!$D$5:$D$1005="jabas")*(MOVIMIENTOS!$A$5:$A$1005&lt;&gt;"")*(MOVIMIENTOS!$A$5:$A$1005&lt;=$A731)*MOVIMIENTOS!$E$5:$E$1005)+SUMPRODUCT((MOVIMIENTOS!$B$5:$B$1005="DEVOLUCIÓN")*(MOVIMIENTOS!$C$5:$C$1005="P")*(MOVIMIENTOS!$D$5:$D$1005="jabas")*(MOVIMIENTOS!$A$5:$A$1005&lt;&gt;"")*(MOVIMIENTOS!$A$5:$A$1005&lt;=$A731)*MOVIMIENTOS!$E$5:$E$1005)-SUMPRODUCT((MOVIMIENTOS!$B$5:$B$1005="TRASIEGO")*(MOVIMIENTOS!$C$5:$C$1005="P")*(MOVIMIENTOS!$D$5:$D$1005="jabas")*(MOVIMIENTOS!$A$5:$A$1005&lt;&gt;"")*(MOVIMIENTOS!$A$5:$A$1005&lt;=$A731)*MOVIMIENTOS!$E$5:$E$1005)-SUMPRODUCT((MOVIMIENTOS!$B$5:$B$1005="REGALO")*(MOVIMIENTOS!$C$5:$C$1005="P")*(MOVIMIENTOS!$D$5:$D$1005="jabas")*(MOVIMIENTOS!$A$5:$A$1005&lt;&gt;"")*(MOVIMIENTOS!$A$5:$A$1005&lt;=$A731)*MOVIMIENTOS!$E$5:$E$1005)-SUMPRODUCT((MOVIMIENTOS!$B$5:$B$1005="VENTA")*(MOVIMIENTOS!$C$5:$C$1005="P")*(MOVIMIENTOS!$D$5:$D$1005="jabas")*(MOVIMIENTOS!$A$5:$A$1005&lt;&gt;"")*(MOVIMIENTOS!$A$5:$A$1005&lt;=$A731)*MOVIMIENTOS!$E$5:$E$1005)+SUMPRODUCT((MOVIMIENTOS!$B$5:$B$1005="AJUSTE")*(MOVIMIENTOS!$C$5:$C$1005="P")*(MOVIMIENTOS!$D$5:$D$1005="jabas")*(MOVIMIENTOS!$A$5:$A$1005&lt;&gt;"")*(MOVIMIENTOS!$A$5:$A$1005&lt;=$A731)*MOVIMIENTOS!$E$5:$E$1005))</f>
        <v/>
      </c>
      <c r="D731" t="str">
        <f>IF($A731="","",SUMPRODUCT((MOVIMIENTOS!$B$5:$B$1005="SALDO INICIAL")*(MOVIMIENTOS!$C$5:$C$1005="C")*(MOVIMIENTOS!$D$5:$D$1005="jabas")*(MOVIMIENTOS!$A$5:$A$1005&lt;&gt;"")*(MOVIMIENTOS!$A$5:$A$1005&lt;=$A731)*MOVIMIENTOS!$E$5:$E$1005)+SUMPRODUCT((MOVIMIENTOS!$B$5:$B$1005="PROCESO")*(MOVIMIENTOS!$C$5:$C$1005="C")*(MOVIMIENTOS!$D$5:$D$1005="jabas")*(MOVIMIENTOS!$A$5:$A$1005&lt;&gt;"")*(MOVIMIENTOS!$A$5:$A$1005&lt;=$A731)*MOVIMIENTOS!$E$5:$E$1005)-SUMPRODUCT((MOVIMIENTOS!$B$5:$B$1005="ENVÍO A SUPESA")*(MOVIMIENTOS!$C$5:$C$1005="C")*(MOVIMIENTOS!$D$5:$D$1005="jabas")*(MOVIMIENTOS!$A$5:$A$1005&lt;&gt;"")*(MOVIMIENTOS!$A$5:$A$1005&lt;=$A731)*MOVIMIENTOS!$E$5:$E$1005)+SUMPRODUCT((MOVIMIENTOS!$B$5:$B$1005="DEVOLUCIÓN")*(MOVIMIENTOS!$C$5:$C$1005="C")*(MOVIMIENTOS!$D$5:$D$1005="jabas")*(MOVIMIENTOS!$A$5:$A$1005&lt;&gt;"")*(MOVIMIENTOS!$A$5:$A$1005&lt;=$A731)*MOVIMIENTOS!$E$5:$E$1005)-SUMPRODUCT((MOVIMIENTOS!$B$5:$B$1005="TRASIEGO")*(MOVIMIENTOS!$C$5:$C$1005="C")*(MOVIMIENTOS!$D$5:$D$1005="jabas")*(MOVIMIENTOS!$A$5:$A$1005&lt;&gt;"")*(MOVIMIENTOS!$A$5:$A$1005&lt;=$A731)*MOVIMIENTOS!$E$5:$E$1005)-SUMPRODUCT((MOVIMIENTOS!$B$5:$B$1005="REGALO")*(MOVIMIENTOS!$C$5:$C$1005="C")*(MOVIMIENTOS!$D$5:$D$1005="jabas")*(MOVIMIENTOS!$A$5:$A$1005&lt;&gt;"")*(MOVIMIENTOS!$A$5:$A$1005&lt;=$A731)*MOVIMIENTOS!$E$5:$E$1005)-SUMPRODUCT((MOVIMIENTOS!$B$5:$B$1005="VENTA")*(MOVIMIENTOS!$C$5:$C$1005="C")*(MOVIMIENTOS!$D$5:$D$1005="jabas")*(MOVIMIENTOS!$A$5:$A$1005&lt;&gt;"")*(MOVIMIENTOS!$A$5:$A$1005&lt;=$A731)*MOVIMIENTOS!$E$5:$E$1005)+SUMPRODUCT((MOVIMIENTOS!$B$5:$B$1005="AJUSTE")*(MOVIMIENTOS!$C$5:$C$1005="C")*(MOVIMIENTOS!$D$5:$D$1005="jabas")*(MOVIMIENTOS!$A$5:$A$1005&lt;&gt;"")*(MOVIMIENTOS!$A$5:$A$1005&lt;=$A731)*MOVIMIENTOS!$E$5:$E$1005))</f>
        <v/>
      </c>
      <c r="E731" t="str">
        <f>IF($A731="","",SUMPRODUCT((MOVIMIENTOS!$B$5:$B$1005="SALDO INICIAL")*(MOVIMIENTOS!$C$5:$C$1005="M")*(MOVIMIENTOS!$D$5:$D$1005="jabas")*(MOVIMIENTOS!$A$5:$A$1005&lt;&gt;"")*(MOVIMIENTOS!$A$5:$A$1005&lt;=$A731)*MOVIMIENTOS!$E$5:$E$1005)+SUMPRODUCT((MOVIMIENTOS!$B$5:$B$1005="PROCESO")*(MOVIMIENTOS!$C$5:$C$1005="M")*(MOVIMIENTOS!$D$5:$D$1005="jabas")*(MOVIMIENTOS!$A$5:$A$1005&lt;&gt;"")*(MOVIMIENTOS!$A$5:$A$1005&lt;=$A731)*MOVIMIENTOS!$E$5:$E$1005)-SUMPRODUCT((MOVIMIENTOS!$B$5:$B$1005="ENVÍO A SUPESA")*(MOVIMIENTOS!$C$5:$C$1005="M")*(MOVIMIENTOS!$D$5:$D$1005="jabas")*(MOVIMIENTOS!$A$5:$A$1005&lt;&gt;"")*(MOVIMIENTOS!$A$5:$A$1005&lt;=$A731)*MOVIMIENTOS!$E$5:$E$1005)+SUMPRODUCT((MOVIMIENTOS!$B$5:$B$1005="DEVOLUCIÓN")*(MOVIMIENTOS!$C$5:$C$1005="M")*(MOVIMIENTOS!$D$5:$D$1005="jabas")*(MOVIMIENTOS!$A$5:$A$1005&lt;&gt;"")*(MOVIMIENTOS!$A$5:$A$1005&lt;=$A731)*MOVIMIENTOS!$E$5:$E$1005)-SUMPRODUCT((MOVIMIENTOS!$B$5:$B$1005="TRASIEGO")*(MOVIMIENTOS!$C$5:$C$1005="M")*(MOVIMIENTOS!$D$5:$D$1005="jabas")*(MOVIMIENTOS!$A$5:$A$1005&lt;&gt;"")*(MOVIMIENTOS!$A$5:$A$1005&lt;=$A731)*MOVIMIENTOS!$E$5:$E$1005)-SUMPRODUCT((MOVIMIENTOS!$B$5:$B$1005="REGALO")*(MOVIMIENTOS!$C$5:$C$1005="M")*(MOVIMIENTOS!$D$5:$D$1005="jabas")*(MOVIMIENTOS!$A$5:$A$1005&lt;&gt;"")*(MOVIMIENTOS!$A$5:$A$1005&lt;=$A731)*MOVIMIENTOS!$E$5:$E$1005)-SUMPRODUCT((MOVIMIENTOS!$B$5:$B$1005="VENTA")*(MOVIMIENTOS!$C$5:$C$1005="M")*(MOVIMIENTOS!$D$5:$D$1005="jabas")*(MOVIMIENTOS!$A$5:$A$1005&lt;&gt;"")*(MOVIMIENTOS!$A$5:$A$1005&lt;=$A731)*MOVIMIENTOS!$E$5:$E$1005)+SUMPRODUCT((MOVIMIENTOS!$B$5:$B$1005="AJUSTE")*(MOVIMIENTOS!$C$5:$C$1005="M")*(MOVIMIENTOS!$D$5:$D$1005="jabas")*(MOVIMIENTOS!$A$5:$A$1005&lt;&gt;"")*(MOVIMIENTOS!$A$5:$A$1005&lt;=$A731)*MOVIMIENTOS!$E$5:$E$1005))</f>
        <v/>
      </c>
      <c r="F731" s="62" t="str">
        <f>IF($A731="","",SUMPRODUCT((MOVIMIENTOS!$B$5:$B$1005="SALDO INICIAL")*(MOVIMIENTOS!$C$5:$C$1005="Chancho")*(MOVIMIENTOS!$D$5:$D$1005="sacos")*(MOVIMIENTOS!$A$5:$A$1005&lt;&gt;"")*(MOVIMIENTOS!$A$5:$A$1005&lt;=$A731)*MOVIMIENTOS!$E$5:$E$1005)+SUMPRODUCT((MOVIMIENTOS!$B$5:$B$1005="PROCESO")*(MOVIMIENTOS!$C$5:$C$1005="Chancho")*(MOVIMIENTOS!$D$5:$D$1005="sacos")*(MOVIMIENTOS!$A$5:$A$1005&lt;&gt;"")*(MOVIMIENTOS!$A$5:$A$1005&lt;=$A731)*MOVIMIENTOS!$E$5:$E$1005)-SUMPRODUCT((MOVIMIENTOS!$B$5:$B$1005="VENTA CHANCHO")*(MOVIMIENTOS!$C$5:$C$1005="Chancho")*(MOVIMIENTOS!$D$5:$D$1005="sacos")*(MOVIMIENTOS!$A$5:$A$1005&lt;&gt;"")*(MOVIMIENTOS!$A$5:$A$1005&lt;=$A731)*MOVIMIENTOS!$E$5:$E$1005)-SUMPRODUCT((MOVIMIENTOS!$B$5:$B$1005="REGALO")*(MOVIMIENTOS!$C$5:$C$1005="Chancho")*(MOVIMIENTOS!$D$5:$D$1005="sacos")*(MOVIMIENTOS!$A$5:$A$1005&lt;&gt;"")*(MOVIMIENTOS!$A$5:$A$1005&lt;=$A731)*MOVIMIENTOS!$E$5:$E$1005)-SUMPRODUCT((MOVIMIENTOS!$B$5:$B$1005="VENTA")*(MOVIMIENTOS!$C$5:$C$1005="Chancho")*(MOVIMIENTOS!$D$5:$D$1005="sacos")*(MOVIMIENTOS!$A$5:$A$1005&lt;&gt;"")*(MOVIMIENTOS!$A$5:$A$1005&lt;=$A731)*MOVIMIENTOS!$E$5:$E$1005)+SUMPRODUCT((MOVIMIENTOS!$B$5:$B$1005="AJUSTE")*(MOVIMIENTOS!$C$5:$C$1005="Chancho")*(MOVIMIENTOS!$D$5:$D$1005="sacos")*(MOVIMIENTOS!$A$5:$A$1005&lt;&gt;"")*(MOVIMIENTOS!$A$5:$A$1005&lt;=$A731)*MOVIMIENTOS!$E$5:$E$1005))</f>
        <v/>
      </c>
      <c r="G731" s="62" t="str">
        <f t="shared" si="23"/>
        <v/>
      </c>
      <c r="H731" t="str">
        <f>IF($A731="","",SUMPRODUCT((((MOVIMIENTOS!$B$5:$B$1005="SALDO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731)*MOVIMIENTOS!$J$5:$J$1005))</f>
        <v/>
      </c>
      <c r="J731" t="str">
        <f>IF(AND(MOVIMIENTOS!$A736&lt;&gt;"",COUNTIF(MOVIMIENTOS!$A$5:$A735,MOVIMIENTOS!$A736)=0),COUNT(J$4:J730)+1,"")</f>
        <v/>
      </c>
      <c r="K731">
        <f>MOVIMIENTOS!$A736</f>
        <v>0</v>
      </c>
    </row>
    <row r="732" spans="1:11" ht="15" customHeight="1" x14ac:dyDescent="0.2">
      <c r="A732" t="str">
        <f t="shared" si="22"/>
        <v/>
      </c>
      <c r="B732" t="str">
        <f>IF($A732="","",SUMPRODUCT((MOVIMIENTOS!$B$5:$B$1005="SALDO INICIAL")*(MOVIMIENTOS!$C$5:$C$1005="A")*(MOVIMIENTOS!$D$5:$D$1005="jabas")*(MOVIMIENTOS!$A$5:$A$1005&lt;&gt;"")*(MOVIMIENTOS!$A$5:$A$1005&lt;=$A732)*MOVIMIENTOS!$E$5:$E$1005)+SUMPRODUCT((MOVIMIENTOS!$B$5:$B$1005="PROCESO")*(MOVIMIENTOS!$C$5:$C$1005="A")*(MOVIMIENTOS!$D$5:$D$1005="jabas")*(MOVIMIENTOS!$A$5:$A$1005&lt;&gt;"")*(MOVIMIENTOS!$A$5:$A$1005&lt;=$A732)*MOVIMIENTOS!$E$5:$E$1005)-SUMPRODUCT((MOVIMIENTOS!$B$5:$B$1005="ENVÍO A SUPESA")*(MOVIMIENTOS!$C$5:$C$1005="A")*(MOVIMIENTOS!$D$5:$D$1005="jabas")*(MOVIMIENTOS!$A$5:$A$1005&lt;&gt;"")*(MOVIMIENTOS!$A$5:$A$1005&lt;=$A732)*MOVIMIENTOS!$E$5:$E$1005)+SUMPRODUCT((MOVIMIENTOS!$B$5:$B$1005="DEVOLUCIÓN")*(MOVIMIENTOS!$C$5:$C$1005="A")*(MOVIMIENTOS!$D$5:$D$1005="jabas")*(MOVIMIENTOS!$A$5:$A$1005&lt;&gt;"")*(MOVIMIENTOS!$A$5:$A$1005&lt;=$A732)*MOVIMIENTOS!$E$5:$E$1005)-SUMPRODUCT((MOVIMIENTOS!$B$5:$B$1005="TRASIEGO")*(MOVIMIENTOS!$C$5:$C$1005="A")*(MOVIMIENTOS!$D$5:$D$1005="jabas")*(MOVIMIENTOS!$A$5:$A$1005&lt;&gt;"")*(MOVIMIENTOS!$A$5:$A$1005&lt;=$A732)*MOVIMIENTOS!$E$5:$E$1005)-SUMPRODUCT((MOVIMIENTOS!$B$5:$B$1005="REGALO")*(MOVIMIENTOS!$C$5:$C$1005="A")*(MOVIMIENTOS!$D$5:$D$1005="jabas")*(MOVIMIENTOS!$A$5:$A$1005&lt;&gt;"")*(MOVIMIENTOS!$A$5:$A$1005&lt;=$A732)*MOVIMIENTOS!$E$5:$E$1005)-SUMPRODUCT((MOVIMIENTOS!$B$5:$B$1005="VENTA")*(MOVIMIENTOS!$C$5:$C$1005="A")*(MOVIMIENTOS!$D$5:$D$1005="jabas")*(MOVIMIENTOS!$A$5:$A$1005&lt;&gt;"")*(MOVIMIENTOS!$A$5:$A$1005&lt;=$A732)*MOVIMIENTOS!$E$5:$E$1005)+SUMPRODUCT((MOVIMIENTOS!$B$5:$B$1005="AJUSTE")*(MOVIMIENTOS!$C$5:$C$1005="A")*(MOVIMIENTOS!$D$5:$D$1005="jabas")*(MOVIMIENTOS!$A$5:$A$1005&lt;&gt;"")*(MOVIMIENTOS!$A$5:$A$1005&lt;=$A732)*MOVIMIENTOS!$E$5:$E$1005))</f>
        <v/>
      </c>
      <c r="C732" t="str">
        <f>IF($A732="","",SUMPRODUCT((MOVIMIENTOS!$B$5:$B$1005="SALDO INICIAL")*(MOVIMIENTOS!$C$5:$C$1005="P")*(MOVIMIENTOS!$D$5:$D$1005="jabas")*(MOVIMIENTOS!$A$5:$A$1005&lt;&gt;"")*(MOVIMIENTOS!$A$5:$A$1005&lt;=$A732)*MOVIMIENTOS!$E$5:$E$1005)+SUMPRODUCT((MOVIMIENTOS!$B$5:$B$1005="PROCESO")*(MOVIMIENTOS!$C$5:$C$1005="P")*(MOVIMIENTOS!$D$5:$D$1005="jabas")*(MOVIMIENTOS!$A$5:$A$1005&lt;&gt;"")*(MOVIMIENTOS!$A$5:$A$1005&lt;=$A732)*MOVIMIENTOS!$E$5:$E$1005)-SUMPRODUCT((MOVIMIENTOS!$B$5:$B$1005="ENVÍO A SUPESA")*(MOVIMIENTOS!$C$5:$C$1005="P")*(MOVIMIENTOS!$D$5:$D$1005="jabas")*(MOVIMIENTOS!$A$5:$A$1005&lt;&gt;"")*(MOVIMIENTOS!$A$5:$A$1005&lt;=$A732)*MOVIMIENTOS!$E$5:$E$1005)+SUMPRODUCT((MOVIMIENTOS!$B$5:$B$1005="DEVOLUCIÓN")*(MOVIMIENTOS!$C$5:$C$1005="P")*(MOVIMIENTOS!$D$5:$D$1005="jabas")*(MOVIMIENTOS!$A$5:$A$1005&lt;&gt;"")*(MOVIMIENTOS!$A$5:$A$1005&lt;=$A732)*MOVIMIENTOS!$E$5:$E$1005)-SUMPRODUCT((MOVIMIENTOS!$B$5:$B$1005="TRASIEGO")*(MOVIMIENTOS!$C$5:$C$1005="P")*(MOVIMIENTOS!$D$5:$D$1005="jabas")*(MOVIMIENTOS!$A$5:$A$1005&lt;&gt;"")*(MOVIMIENTOS!$A$5:$A$1005&lt;=$A732)*MOVIMIENTOS!$E$5:$E$1005)-SUMPRODUCT((MOVIMIENTOS!$B$5:$B$1005="REGALO")*(MOVIMIENTOS!$C$5:$C$1005="P")*(MOVIMIENTOS!$D$5:$D$1005="jabas")*(MOVIMIENTOS!$A$5:$A$1005&lt;&gt;"")*(MOVIMIENTOS!$A$5:$A$1005&lt;=$A732)*MOVIMIENTOS!$E$5:$E$1005)-SUMPRODUCT((MOVIMIENTOS!$B$5:$B$1005="VENTA")*(MOVIMIENTOS!$C$5:$C$1005="P")*(MOVIMIENTOS!$D$5:$D$1005="jabas")*(MOVIMIENTOS!$A$5:$A$1005&lt;&gt;"")*(MOVIMIENTOS!$A$5:$A$1005&lt;=$A732)*MOVIMIENTOS!$E$5:$E$1005)+SUMPRODUCT((MOVIMIENTOS!$B$5:$B$1005="AJUSTE")*(MOVIMIENTOS!$C$5:$C$1005="P")*(MOVIMIENTOS!$D$5:$D$1005="jabas")*(MOVIMIENTOS!$A$5:$A$1005&lt;&gt;"")*(MOVIMIENTOS!$A$5:$A$1005&lt;=$A732)*MOVIMIENTOS!$E$5:$E$1005))</f>
        <v/>
      </c>
      <c r="D732" t="str">
        <f>IF($A732="","",SUMPRODUCT((MOVIMIENTOS!$B$5:$B$1005="SALDO INICIAL")*(MOVIMIENTOS!$C$5:$C$1005="C")*(MOVIMIENTOS!$D$5:$D$1005="jabas")*(MOVIMIENTOS!$A$5:$A$1005&lt;&gt;"")*(MOVIMIENTOS!$A$5:$A$1005&lt;=$A732)*MOVIMIENTOS!$E$5:$E$1005)+SUMPRODUCT((MOVIMIENTOS!$B$5:$B$1005="PROCESO")*(MOVIMIENTOS!$C$5:$C$1005="C")*(MOVIMIENTOS!$D$5:$D$1005="jabas")*(MOVIMIENTOS!$A$5:$A$1005&lt;&gt;"")*(MOVIMIENTOS!$A$5:$A$1005&lt;=$A732)*MOVIMIENTOS!$E$5:$E$1005)-SUMPRODUCT((MOVIMIENTOS!$B$5:$B$1005="ENVÍO A SUPESA")*(MOVIMIENTOS!$C$5:$C$1005="C")*(MOVIMIENTOS!$D$5:$D$1005="jabas")*(MOVIMIENTOS!$A$5:$A$1005&lt;&gt;"")*(MOVIMIENTOS!$A$5:$A$1005&lt;=$A732)*MOVIMIENTOS!$E$5:$E$1005)+SUMPRODUCT((MOVIMIENTOS!$B$5:$B$1005="DEVOLUCIÓN")*(MOVIMIENTOS!$C$5:$C$1005="C")*(MOVIMIENTOS!$D$5:$D$1005="jabas")*(MOVIMIENTOS!$A$5:$A$1005&lt;&gt;"")*(MOVIMIENTOS!$A$5:$A$1005&lt;=$A732)*MOVIMIENTOS!$E$5:$E$1005)-SUMPRODUCT((MOVIMIENTOS!$B$5:$B$1005="TRASIEGO")*(MOVIMIENTOS!$C$5:$C$1005="C")*(MOVIMIENTOS!$D$5:$D$1005="jabas")*(MOVIMIENTOS!$A$5:$A$1005&lt;&gt;"")*(MOVIMIENTOS!$A$5:$A$1005&lt;=$A732)*MOVIMIENTOS!$E$5:$E$1005)-SUMPRODUCT((MOVIMIENTOS!$B$5:$B$1005="REGALO")*(MOVIMIENTOS!$C$5:$C$1005="C")*(MOVIMIENTOS!$D$5:$D$1005="jabas")*(MOVIMIENTOS!$A$5:$A$1005&lt;&gt;"")*(MOVIMIENTOS!$A$5:$A$1005&lt;=$A732)*MOVIMIENTOS!$E$5:$E$1005)-SUMPRODUCT((MOVIMIENTOS!$B$5:$B$1005="VENTA")*(MOVIMIENTOS!$C$5:$C$1005="C")*(MOVIMIENTOS!$D$5:$D$1005="jabas")*(MOVIMIENTOS!$A$5:$A$1005&lt;&gt;"")*(MOVIMIENTOS!$A$5:$A$1005&lt;=$A732)*MOVIMIENTOS!$E$5:$E$1005)+SUMPRODUCT((MOVIMIENTOS!$B$5:$B$1005="AJUSTE")*(MOVIMIENTOS!$C$5:$C$1005="C")*(MOVIMIENTOS!$D$5:$D$1005="jabas")*(MOVIMIENTOS!$A$5:$A$1005&lt;&gt;"")*(MOVIMIENTOS!$A$5:$A$1005&lt;=$A732)*MOVIMIENTOS!$E$5:$E$1005))</f>
        <v/>
      </c>
      <c r="E732" t="str">
        <f>IF($A732="","",SUMPRODUCT((MOVIMIENTOS!$B$5:$B$1005="SALDO INICIAL")*(MOVIMIENTOS!$C$5:$C$1005="M")*(MOVIMIENTOS!$D$5:$D$1005="jabas")*(MOVIMIENTOS!$A$5:$A$1005&lt;&gt;"")*(MOVIMIENTOS!$A$5:$A$1005&lt;=$A732)*MOVIMIENTOS!$E$5:$E$1005)+SUMPRODUCT((MOVIMIENTOS!$B$5:$B$1005="PROCESO")*(MOVIMIENTOS!$C$5:$C$1005="M")*(MOVIMIENTOS!$D$5:$D$1005="jabas")*(MOVIMIENTOS!$A$5:$A$1005&lt;&gt;"")*(MOVIMIENTOS!$A$5:$A$1005&lt;=$A732)*MOVIMIENTOS!$E$5:$E$1005)-SUMPRODUCT((MOVIMIENTOS!$B$5:$B$1005="ENVÍO A SUPESA")*(MOVIMIENTOS!$C$5:$C$1005="M")*(MOVIMIENTOS!$D$5:$D$1005="jabas")*(MOVIMIENTOS!$A$5:$A$1005&lt;&gt;"")*(MOVIMIENTOS!$A$5:$A$1005&lt;=$A732)*MOVIMIENTOS!$E$5:$E$1005)+SUMPRODUCT((MOVIMIENTOS!$B$5:$B$1005="DEVOLUCIÓN")*(MOVIMIENTOS!$C$5:$C$1005="M")*(MOVIMIENTOS!$D$5:$D$1005="jabas")*(MOVIMIENTOS!$A$5:$A$1005&lt;&gt;"")*(MOVIMIENTOS!$A$5:$A$1005&lt;=$A732)*MOVIMIENTOS!$E$5:$E$1005)-SUMPRODUCT((MOVIMIENTOS!$B$5:$B$1005="TRASIEGO")*(MOVIMIENTOS!$C$5:$C$1005="M")*(MOVIMIENTOS!$D$5:$D$1005="jabas")*(MOVIMIENTOS!$A$5:$A$1005&lt;&gt;"")*(MOVIMIENTOS!$A$5:$A$1005&lt;=$A732)*MOVIMIENTOS!$E$5:$E$1005)-SUMPRODUCT((MOVIMIENTOS!$B$5:$B$1005="REGALO")*(MOVIMIENTOS!$C$5:$C$1005="M")*(MOVIMIENTOS!$D$5:$D$1005="jabas")*(MOVIMIENTOS!$A$5:$A$1005&lt;&gt;"")*(MOVIMIENTOS!$A$5:$A$1005&lt;=$A732)*MOVIMIENTOS!$E$5:$E$1005)-SUMPRODUCT((MOVIMIENTOS!$B$5:$B$1005="VENTA")*(MOVIMIENTOS!$C$5:$C$1005="M")*(MOVIMIENTOS!$D$5:$D$1005="jabas")*(MOVIMIENTOS!$A$5:$A$1005&lt;&gt;"")*(MOVIMIENTOS!$A$5:$A$1005&lt;=$A732)*MOVIMIENTOS!$E$5:$E$1005)+SUMPRODUCT((MOVIMIENTOS!$B$5:$B$1005="AJUSTE")*(MOVIMIENTOS!$C$5:$C$1005="M")*(MOVIMIENTOS!$D$5:$D$1005="jabas")*(MOVIMIENTOS!$A$5:$A$1005&lt;&gt;"")*(MOVIMIENTOS!$A$5:$A$1005&lt;=$A732)*MOVIMIENTOS!$E$5:$E$1005))</f>
        <v/>
      </c>
      <c r="F732" s="62" t="str">
        <f>IF($A732="","",SUMPRODUCT((MOVIMIENTOS!$B$5:$B$1005="SALDO INICIAL")*(MOVIMIENTOS!$C$5:$C$1005="Chancho")*(MOVIMIENTOS!$D$5:$D$1005="sacos")*(MOVIMIENTOS!$A$5:$A$1005&lt;&gt;"")*(MOVIMIENTOS!$A$5:$A$1005&lt;=$A732)*MOVIMIENTOS!$E$5:$E$1005)+SUMPRODUCT((MOVIMIENTOS!$B$5:$B$1005="PROCESO")*(MOVIMIENTOS!$C$5:$C$1005="Chancho")*(MOVIMIENTOS!$D$5:$D$1005="sacos")*(MOVIMIENTOS!$A$5:$A$1005&lt;&gt;"")*(MOVIMIENTOS!$A$5:$A$1005&lt;=$A732)*MOVIMIENTOS!$E$5:$E$1005)-SUMPRODUCT((MOVIMIENTOS!$B$5:$B$1005="VENTA CHANCHO")*(MOVIMIENTOS!$C$5:$C$1005="Chancho")*(MOVIMIENTOS!$D$5:$D$1005="sacos")*(MOVIMIENTOS!$A$5:$A$1005&lt;&gt;"")*(MOVIMIENTOS!$A$5:$A$1005&lt;=$A732)*MOVIMIENTOS!$E$5:$E$1005)-SUMPRODUCT((MOVIMIENTOS!$B$5:$B$1005="REGALO")*(MOVIMIENTOS!$C$5:$C$1005="Chancho")*(MOVIMIENTOS!$D$5:$D$1005="sacos")*(MOVIMIENTOS!$A$5:$A$1005&lt;&gt;"")*(MOVIMIENTOS!$A$5:$A$1005&lt;=$A732)*MOVIMIENTOS!$E$5:$E$1005)-SUMPRODUCT((MOVIMIENTOS!$B$5:$B$1005="VENTA")*(MOVIMIENTOS!$C$5:$C$1005="Chancho")*(MOVIMIENTOS!$D$5:$D$1005="sacos")*(MOVIMIENTOS!$A$5:$A$1005&lt;&gt;"")*(MOVIMIENTOS!$A$5:$A$1005&lt;=$A732)*MOVIMIENTOS!$E$5:$E$1005)+SUMPRODUCT((MOVIMIENTOS!$B$5:$B$1005="AJUSTE")*(MOVIMIENTOS!$C$5:$C$1005="Chancho")*(MOVIMIENTOS!$D$5:$D$1005="sacos")*(MOVIMIENTOS!$A$5:$A$1005&lt;&gt;"")*(MOVIMIENTOS!$A$5:$A$1005&lt;=$A732)*MOVIMIENTOS!$E$5:$E$1005))</f>
        <v/>
      </c>
      <c r="G732" s="62" t="str">
        <f t="shared" si="23"/>
        <v/>
      </c>
      <c r="H732" t="str">
        <f>IF($A732="","",SUMPRODUCT((((MOVIMIENTOS!$B$5:$B$1005="SALDO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732)*MOVIMIENTOS!$J$5:$J$1005))</f>
        <v/>
      </c>
      <c r="J732" t="str">
        <f>IF(AND(MOVIMIENTOS!$A737&lt;&gt;"",COUNTIF(MOVIMIENTOS!$A$5:$A736,MOVIMIENTOS!$A737)=0),COUNT(J$4:J731)+1,"")</f>
        <v/>
      </c>
      <c r="K732">
        <f>MOVIMIENTOS!$A737</f>
        <v>0</v>
      </c>
    </row>
    <row r="733" spans="1:11" ht="15" customHeight="1" x14ac:dyDescent="0.2">
      <c r="A733" t="str">
        <f t="shared" si="22"/>
        <v/>
      </c>
      <c r="B733" t="str">
        <f>IF($A733="","",SUMPRODUCT((MOVIMIENTOS!$B$5:$B$1005="SALDO INICIAL")*(MOVIMIENTOS!$C$5:$C$1005="A")*(MOVIMIENTOS!$D$5:$D$1005="jabas")*(MOVIMIENTOS!$A$5:$A$1005&lt;&gt;"")*(MOVIMIENTOS!$A$5:$A$1005&lt;=$A733)*MOVIMIENTOS!$E$5:$E$1005)+SUMPRODUCT((MOVIMIENTOS!$B$5:$B$1005="PROCESO")*(MOVIMIENTOS!$C$5:$C$1005="A")*(MOVIMIENTOS!$D$5:$D$1005="jabas")*(MOVIMIENTOS!$A$5:$A$1005&lt;&gt;"")*(MOVIMIENTOS!$A$5:$A$1005&lt;=$A733)*MOVIMIENTOS!$E$5:$E$1005)-SUMPRODUCT((MOVIMIENTOS!$B$5:$B$1005="ENVÍO A SUPESA")*(MOVIMIENTOS!$C$5:$C$1005="A")*(MOVIMIENTOS!$D$5:$D$1005="jabas")*(MOVIMIENTOS!$A$5:$A$1005&lt;&gt;"")*(MOVIMIENTOS!$A$5:$A$1005&lt;=$A733)*MOVIMIENTOS!$E$5:$E$1005)+SUMPRODUCT((MOVIMIENTOS!$B$5:$B$1005="DEVOLUCIÓN")*(MOVIMIENTOS!$C$5:$C$1005="A")*(MOVIMIENTOS!$D$5:$D$1005="jabas")*(MOVIMIENTOS!$A$5:$A$1005&lt;&gt;"")*(MOVIMIENTOS!$A$5:$A$1005&lt;=$A733)*MOVIMIENTOS!$E$5:$E$1005)-SUMPRODUCT((MOVIMIENTOS!$B$5:$B$1005="TRASIEGO")*(MOVIMIENTOS!$C$5:$C$1005="A")*(MOVIMIENTOS!$D$5:$D$1005="jabas")*(MOVIMIENTOS!$A$5:$A$1005&lt;&gt;"")*(MOVIMIENTOS!$A$5:$A$1005&lt;=$A733)*MOVIMIENTOS!$E$5:$E$1005)-SUMPRODUCT((MOVIMIENTOS!$B$5:$B$1005="REGALO")*(MOVIMIENTOS!$C$5:$C$1005="A")*(MOVIMIENTOS!$D$5:$D$1005="jabas")*(MOVIMIENTOS!$A$5:$A$1005&lt;&gt;"")*(MOVIMIENTOS!$A$5:$A$1005&lt;=$A733)*MOVIMIENTOS!$E$5:$E$1005)-SUMPRODUCT((MOVIMIENTOS!$B$5:$B$1005="VENTA")*(MOVIMIENTOS!$C$5:$C$1005="A")*(MOVIMIENTOS!$D$5:$D$1005="jabas")*(MOVIMIENTOS!$A$5:$A$1005&lt;&gt;"")*(MOVIMIENTOS!$A$5:$A$1005&lt;=$A733)*MOVIMIENTOS!$E$5:$E$1005)+SUMPRODUCT((MOVIMIENTOS!$B$5:$B$1005="AJUSTE")*(MOVIMIENTOS!$C$5:$C$1005="A")*(MOVIMIENTOS!$D$5:$D$1005="jabas")*(MOVIMIENTOS!$A$5:$A$1005&lt;&gt;"")*(MOVIMIENTOS!$A$5:$A$1005&lt;=$A733)*MOVIMIENTOS!$E$5:$E$1005))</f>
        <v/>
      </c>
      <c r="C733" t="str">
        <f>IF($A733="","",SUMPRODUCT((MOVIMIENTOS!$B$5:$B$1005="SALDO INICIAL")*(MOVIMIENTOS!$C$5:$C$1005="P")*(MOVIMIENTOS!$D$5:$D$1005="jabas")*(MOVIMIENTOS!$A$5:$A$1005&lt;&gt;"")*(MOVIMIENTOS!$A$5:$A$1005&lt;=$A733)*MOVIMIENTOS!$E$5:$E$1005)+SUMPRODUCT((MOVIMIENTOS!$B$5:$B$1005="PROCESO")*(MOVIMIENTOS!$C$5:$C$1005="P")*(MOVIMIENTOS!$D$5:$D$1005="jabas")*(MOVIMIENTOS!$A$5:$A$1005&lt;&gt;"")*(MOVIMIENTOS!$A$5:$A$1005&lt;=$A733)*MOVIMIENTOS!$E$5:$E$1005)-SUMPRODUCT((MOVIMIENTOS!$B$5:$B$1005="ENVÍO A SUPESA")*(MOVIMIENTOS!$C$5:$C$1005="P")*(MOVIMIENTOS!$D$5:$D$1005="jabas")*(MOVIMIENTOS!$A$5:$A$1005&lt;&gt;"")*(MOVIMIENTOS!$A$5:$A$1005&lt;=$A733)*MOVIMIENTOS!$E$5:$E$1005)+SUMPRODUCT((MOVIMIENTOS!$B$5:$B$1005="DEVOLUCIÓN")*(MOVIMIENTOS!$C$5:$C$1005="P")*(MOVIMIENTOS!$D$5:$D$1005="jabas")*(MOVIMIENTOS!$A$5:$A$1005&lt;&gt;"")*(MOVIMIENTOS!$A$5:$A$1005&lt;=$A733)*MOVIMIENTOS!$E$5:$E$1005)-SUMPRODUCT((MOVIMIENTOS!$B$5:$B$1005="TRASIEGO")*(MOVIMIENTOS!$C$5:$C$1005="P")*(MOVIMIENTOS!$D$5:$D$1005="jabas")*(MOVIMIENTOS!$A$5:$A$1005&lt;&gt;"")*(MOVIMIENTOS!$A$5:$A$1005&lt;=$A733)*MOVIMIENTOS!$E$5:$E$1005)-SUMPRODUCT((MOVIMIENTOS!$B$5:$B$1005="REGALO")*(MOVIMIENTOS!$C$5:$C$1005="P")*(MOVIMIENTOS!$D$5:$D$1005="jabas")*(MOVIMIENTOS!$A$5:$A$1005&lt;&gt;"")*(MOVIMIENTOS!$A$5:$A$1005&lt;=$A733)*MOVIMIENTOS!$E$5:$E$1005)-SUMPRODUCT((MOVIMIENTOS!$B$5:$B$1005="VENTA")*(MOVIMIENTOS!$C$5:$C$1005="P")*(MOVIMIENTOS!$D$5:$D$1005="jabas")*(MOVIMIENTOS!$A$5:$A$1005&lt;&gt;"")*(MOVIMIENTOS!$A$5:$A$1005&lt;=$A733)*MOVIMIENTOS!$E$5:$E$1005)+SUMPRODUCT((MOVIMIENTOS!$B$5:$B$1005="AJUSTE")*(MOVIMIENTOS!$C$5:$C$1005="P")*(MOVIMIENTOS!$D$5:$D$1005="jabas")*(MOVIMIENTOS!$A$5:$A$1005&lt;&gt;"")*(MOVIMIENTOS!$A$5:$A$1005&lt;=$A733)*MOVIMIENTOS!$E$5:$E$1005))</f>
        <v/>
      </c>
      <c r="D733" t="str">
        <f>IF($A733="","",SUMPRODUCT((MOVIMIENTOS!$B$5:$B$1005="SALDO INICIAL")*(MOVIMIENTOS!$C$5:$C$1005="C")*(MOVIMIENTOS!$D$5:$D$1005="jabas")*(MOVIMIENTOS!$A$5:$A$1005&lt;&gt;"")*(MOVIMIENTOS!$A$5:$A$1005&lt;=$A733)*MOVIMIENTOS!$E$5:$E$1005)+SUMPRODUCT((MOVIMIENTOS!$B$5:$B$1005="PROCESO")*(MOVIMIENTOS!$C$5:$C$1005="C")*(MOVIMIENTOS!$D$5:$D$1005="jabas")*(MOVIMIENTOS!$A$5:$A$1005&lt;&gt;"")*(MOVIMIENTOS!$A$5:$A$1005&lt;=$A733)*MOVIMIENTOS!$E$5:$E$1005)-SUMPRODUCT((MOVIMIENTOS!$B$5:$B$1005="ENVÍO A SUPESA")*(MOVIMIENTOS!$C$5:$C$1005="C")*(MOVIMIENTOS!$D$5:$D$1005="jabas")*(MOVIMIENTOS!$A$5:$A$1005&lt;&gt;"")*(MOVIMIENTOS!$A$5:$A$1005&lt;=$A733)*MOVIMIENTOS!$E$5:$E$1005)+SUMPRODUCT((MOVIMIENTOS!$B$5:$B$1005="DEVOLUCIÓN")*(MOVIMIENTOS!$C$5:$C$1005="C")*(MOVIMIENTOS!$D$5:$D$1005="jabas")*(MOVIMIENTOS!$A$5:$A$1005&lt;&gt;"")*(MOVIMIENTOS!$A$5:$A$1005&lt;=$A733)*MOVIMIENTOS!$E$5:$E$1005)-SUMPRODUCT((MOVIMIENTOS!$B$5:$B$1005="TRASIEGO")*(MOVIMIENTOS!$C$5:$C$1005="C")*(MOVIMIENTOS!$D$5:$D$1005="jabas")*(MOVIMIENTOS!$A$5:$A$1005&lt;&gt;"")*(MOVIMIENTOS!$A$5:$A$1005&lt;=$A733)*MOVIMIENTOS!$E$5:$E$1005)-SUMPRODUCT((MOVIMIENTOS!$B$5:$B$1005="REGALO")*(MOVIMIENTOS!$C$5:$C$1005="C")*(MOVIMIENTOS!$D$5:$D$1005="jabas")*(MOVIMIENTOS!$A$5:$A$1005&lt;&gt;"")*(MOVIMIENTOS!$A$5:$A$1005&lt;=$A733)*MOVIMIENTOS!$E$5:$E$1005)-SUMPRODUCT((MOVIMIENTOS!$B$5:$B$1005="VENTA")*(MOVIMIENTOS!$C$5:$C$1005="C")*(MOVIMIENTOS!$D$5:$D$1005="jabas")*(MOVIMIENTOS!$A$5:$A$1005&lt;&gt;"")*(MOVIMIENTOS!$A$5:$A$1005&lt;=$A733)*MOVIMIENTOS!$E$5:$E$1005)+SUMPRODUCT((MOVIMIENTOS!$B$5:$B$1005="AJUSTE")*(MOVIMIENTOS!$C$5:$C$1005="C")*(MOVIMIENTOS!$D$5:$D$1005="jabas")*(MOVIMIENTOS!$A$5:$A$1005&lt;&gt;"")*(MOVIMIENTOS!$A$5:$A$1005&lt;=$A733)*MOVIMIENTOS!$E$5:$E$1005))</f>
        <v/>
      </c>
      <c r="E733" t="str">
        <f>IF($A733="","",SUMPRODUCT((MOVIMIENTOS!$B$5:$B$1005="SALDO INICIAL")*(MOVIMIENTOS!$C$5:$C$1005="M")*(MOVIMIENTOS!$D$5:$D$1005="jabas")*(MOVIMIENTOS!$A$5:$A$1005&lt;&gt;"")*(MOVIMIENTOS!$A$5:$A$1005&lt;=$A733)*MOVIMIENTOS!$E$5:$E$1005)+SUMPRODUCT((MOVIMIENTOS!$B$5:$B$1005="PROCESO")*(MOVIMIENTOS!$C$5:$C$1005="M")*(MOVIMIENTOS!$D$5:$D$1005="jabas")*(MOVIMIENTOS!$A$5:$A$1005&lt;&gt;"")*(MOVIMIENTOS!$A$5:$A$1005&lt;=$A733)*MOVIMIENTOS!$E$5:$E$1005)-SUMPRODUCT((MOVIMIENTOS!$B$5:$B$1005="ENVÍO A SUPESA")*(MOVIMIENTOS!$C$5:$C$1005="M")*(MOVIMIENTOS!$D$5:$D$1005="jabas")*(MOVIMIENTOS!$A$5:$A$1005&lt;&gt;"")*(MOVIMIENTOS!$A$5:$A$1005&lt;=$A733)*MOVIMIENTOS!$E$5:$E$1005)+SUMPRODUCT((MOVIMIENTOS!$B$5:$B$1005="DEVOLUCIÓN")*(MOVIMIENTOS!$C$5:$C$1005="M")*(MOVIMIENTOS!$D$5:$D$1005="jabas")*(MOVIMIENTOS!$A$5:$A$1005&lt;&gt;"")*(MOVIMIENTOS!$A$5:$A$1005&lt;=$A733)*MOVIMIENTOS!$E$5:$E$1005)-SUMPRODUCT((MOVIMIENTOS!$B$5:$B$1005="TRASIEGO")*(MOVIMIENTOS!$C$5:$C$1005="M")*(MOVIMIENTOS!$D$5:$D$1005="jabas")*(MOVIMIENTOS!$A$5:$A$1005&lt;&gt;"")*(MOVIMIENTOS!$A$5:$A$1005&lt;=$A733)*MOVIMIENTOS!$E$5:$E$1005)-SUMPRODUCT((MOVIMIENTOS!$B$5:$B$1005="REGALO")*(MOVIMIENTOS!$C$5:$C$1005="M")*(MOVIMIENTOS!$D$5:$D$1005="jabas")*(MOVIMIENTOS!$A$5:$A$1005&lt;&gt;"")*(MOVIMIENTOS!$A$5:$A$1005&lt;=$A733)*MOVIMIENTOS!$E$5:$E$1005)-SUMPRODUCT((MOVIMIENTOS!$B$5:$B$1005="VENTA")*(MOVIMIENTOS!$C$5:$C$1005="M")*(MOVIMIENTOS!$D$5:$D$1005="jabas")*(MOVIMIENTOS!$A$5:$A$1005&lt;&gt;"")*(MOVIMIENTOS!$A$5:$A$1005&lt;=$A733)*MOVIMIENTOS!$E$5:$E$1005)+SUMPRODUCT((MOVIMIENTOS!$B$5:$B$1005="AJUSTE")*(MOVIMIENTOS!$C$5:$C$1005="M")*(MOVIMIENTOS!$D$5:$D$1005="jabas")*(MOVIMIENTOS!$A$5:$A$1005&lt;&gt;"")*(MOVIMIENTOS!$A$5:$A$1005&lt;=$A733)*MOVIMIENTOS!$E$5:$E$1005))</f>
        <v/>
      </c>
      <c r="F733" s="62" t="str">
        <f>IF($A733="","",SUMPRODUCT((MOVIMIENTOS!$B$5:$B$1005="SALDO INICIAL")*(MOVIMIENTOS!$C$5:$C$1005="Chancho")*(MOVIMIENTOS!$D$5:$D$1005="sacos")*(MOVIMIENTOS!$A$5:$A$1005&lt;&gt;"")*(MOVIMIENTOS!$A$5:$A$1005&lt;=$A733)*MOVIMIENTOS!$E$5:$E$1005)+SUMPRODUCT((MOVIMIENTOS!$B$5:$B$1005="PROCESO")*(MOVIMIENTOS!$C$5:$C$1005="Chancho")*(MOVIMIENTOS!$D$5:$D$1005="sacos")*(MOVIMIENTOS!$A$5:$A$1005&lt;&gt;"")*(MOVIMIENTOS!$A$5:$A$1005&lt;=$A733)*MOVIMIENTOS!$E$5:$E$1005)-SUMPRODUCT((MOVIMIENTOS!$B$5:$B$1005="VENTA CHANCHO")*(MOVIMIENTOS!$C$5:$C$1005="Chancho")*(MOVIMIENTOS!$D$5:$D$1005="sacos")*(MOVIMIENTOS!$A$5:$A$1005&lt;&gt;"")*(MOVIMIENTOS!$A$5:$A$1005&lt;=$A733)*MOVIMIENTOS!$E$5:$E$1005)-SUMPRODUCT((MOVIMIENTOS!$B$5:$B$1005="REGALO")*(MOVIMIENTOS!$C$5:$C$1005="Chancho")*(MOVIMIENTOS!$D$5:$D$1005="sacos")*(MOVIMIENTOS!$A$5:$A$1005&lt;&gt;"")*(MOVIMIENTOS!$A$5:$A$1005&lt;=$A733)*MOVIMIENTOS!$E$5:$E$1005)-SUMPRODUCT((MOVIMIENTOS!$B$5:$B$1005="VENTA")*(MOVIMIENTOS!$C$5:$C$1005="Chancho")*(MOVIMIENTOS!$D$5:$D$1005="sacos")*(MOVIMIENTOS!$A$5:$A$1005&lt;&gt;"")*(MOVIMIENTOS!$A$5:$A$1005&lt;=$A733)*MOVIMIENTOS!$E$5:$E$1005)+SUMPRODUCT((MOVIMIENTOS!$B$5:$B$1005="AJUSTE")*(MOVIMIENTOS!$C$5:$C$1005="Chancho")*(MOVIMIENTOS!$D$5:$D$1005="sacos")*(MOVIMIENTOS!$A$5:$A$1005&lt;&gt;"")*(MOVIMIENTOS!$A$5:$A$1005&lt;=$A733)*MOVIMIENTOS!$E$5:$E$1005))</f>
        <v/>
      </c>
      <c r="G733" s="62" t="str">
        <f t="shared" si="23"/>
        <v/>
      </c>
      <c r="H733" t="str">
        <f>IF($A733="","",SUMPRODUCT((((MOVIMIENTOS!$B$5:$B$1005="SALDO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733)*MOVIMIENTOS!$J$5:$J$1005))</f>
        <v/>
      </c>
      <c r="J733" t="str">
        <f>IF(AND(MOVIMIENTOS!$A738&lt;&gt;"",COUNTIF(MOVIMIENTOS!$A$5:$A737,MOVIMIENTOS!$A738)=0),COUNT(J$4:J732)+1,"")</f>
        <v/>
      </c>
      <c r="K733">
        <f>MOVIMIENTOS!$A738</f>
        <v>0</v>
      </c>
    </row>
    <row r="734" spans="1:11" ht="15" customHeight="1" x14ac:dyDescent="0.2">
      <c r="A734" t="str">
        <f t="shared" si="22"/>
        <v/>
      </c>
      <c r="B734" t="str">
        <f>IF($A734="","",SUMPRODUCT((MOVIMIENTOS!$B$5:$B$1005="SALDO INICIAL")*(MOVIMIENTOS!$C$5:$C$1005="A")*(MOVIMIENTOS!$D$5:$D$1005="jabas")*(MOVIMIENTOS!$A$5:$A$1005&lt;&gt;"")*(MOVIMIENTOS!$A$5:$A$1005&lt;=$A734)*MOVIMIENTOS!$E$5:$E$1005)+SUMPRODUCT((MOVIMIENTOS!$B$5:$B$1005="PROCESO")*(MOVIMIENTOS!$C$5:$C$1005="A")*(MOVIMIENTOS!$D$5:$D$1005="jabas")*(MOVIMIENTOS!$A$5:$A$1005&lt;&gt;"")*(MOVIMIENTOS!$A$5:$A$1005&lt;=$A734)*MOVIMIENTOS!$E$5:$E$1005)-SUMPRODUCT((MOVIMIENTOS!$B$5:$B$1005="ENVÍO A SUPESA")*(MOVIMIENTOS!$C$5:$C$1005="A")*(MOVIMIENTOS!$D$5:$D$1005="jabas")*(MOVIMIENTOS!$A$5:$A$1005&lt;&gt;"")*(MOVIMIENTOS!$A$5:$A$1005&lt;=$A734)*MOVIMIENTOS!$E$5:$E$1005)+SUMPRODUCT((MOVIMIENTOS!$B$5:$B$1005="DEVOLUCIÓN")*(MOVIMIENTOS!$C$5:$C$1005="A")*(MOVIMIENTOS!$D$5:$D$1005="jabas")*(MOVIMIENTOS!$A$5:$A$1005&lt;&gt;"")*(MOVIMIENTOS!$A$5:$A$1005&lt;=$A734)*MOVIMIENTOS!$E$5:$E$1005)-SUMPRODUCT((MOVIMIENTOS!$B$5:$B$1005="TRASIEGO")*(MOVIMIENTOS!$C$5:$C$1005="A")*(MOVIMIENTOS!$D$5:$D$1005="jabas")*(MOVIMIENTOS!$A$5:$A$1005&lt;&gt;"")*(MOVIMIENTOS!$A$5:$A$1005&lt;=$A734)*MOVIMIENTOS!$E$5:$E$1005)-SUMPRODUCT((MOVIMIENTOS!$B$5:$B$1005="REGALO")*(MOVIMIENTOS!$C$5:$C$1005="A")*(MOVIMIENTOS!$D$5:$D$1005="jabas")*(MOVIMIENTOS!$A$5:$A$1005&lt;&gt;"")*(MOVIMIENTOS!$A$5:$A$1005&lt;=$A734)*MOVIMIENTOS!$E$5:$E$1005)-SUMPRODUCT((MOVIMIENTOS!$B$5:$B$1005="VENTA")*(MOVIMIENTOS!$C$5:$C$1005="A")*(MOVIMIENTOS!$D$5:$D$1005="jabas")*(MOVIMIENTOS!$A$5:$A$1005&lt;&gt;"")*(MOVIMIENTOS!$A$5:$A$1005&lt;=$A734)*MOVIMIENTOS!$E$5:$E$1005)+SUMPRODUCT((MOVIMIENTOS!$B$5:$B$1005="AJUSTE")*(MOVIMIENTOS!$C$5:$C$1005="A")*(MOVIMIENTOS!$D$5:$D$1005="jabas")*(MOVIMIENTOS!$A$5:$A$1005&lt;&gt;"")*(MOVIMIENTOS!$A$5:$A$1005&lt;=$A734)*MOVIMIENTOS!$E$5:$E$1005))</f>
        <v/>
      </c>
      <c r="C734" t="str">
        <f>IF($A734="","",SUMPRODUCT((MOVIMIENTOS!$B$5:$B$1005="SALDO INICIAL")*(MOVIMIENTOS!$C$5:$C$1005="P")*(MOVIMIENTOS!$D$5:$D$1005="jabas")*(MOVIMIENTOS!$A$5:$A$1005&lt;&gt;"")*(MOVIMIENTOS!$A$5:$A$1005&lt;=$A734)*MOVIMIENTOS!$E$5:$E$1005)+SUMPRODUCT((MOVIMIENTOS!$B$5:$B$1005="PROCESO")*(MOVIMIENTOS!$C$5:$C$1005="P")*(MOVIMIENTOS!$D$5:$D$1005="jabas")*(MOVIMIENTOS!$A$5:$A$1005&lt;&gt;"")*(MOVIMIENTOS!$A$5:$A$1005&lt;=$A734)*MOVIMIENTOS!$E$5:$E$1005)-SUMPRODUCT((MOVIMIENTOS!$B$5:$B$1005="ENVÍO A SUPESA")*(MOVIMIENTOS!$C$5:$C$1005="P")*(MOVIMIENTOS!$D$5:$D$1005="jabas")*(MOVIMIENTOS!$A$5:$A$1005&lt;&gt;"")*(MOVIMIENTOS!$A$5:$A$1005&lt;=$A734)*MOVIMIENTOS!$E$5:$E$1005)+SUMPRODUCT((MOVIMIENTOS!$B$5:$B$1005="DEVOLUCIÓN")*(MOVIMIENTOS!$C$5:$C$1005="P")*(MOVIMIENTOS!$D$5:$D$1005="jabas")*(MOVIMIENTOS!$A$5:$A$1005&lt;&gt;"")*(MOVIMIENTOS!$A$5:$A$1005&lt;=$A734)*MOVIMIENTOS!$E$5:$E$1005)-SUMPRODUCT((MOVIMIENTOS!$B$5:$B$1005="TRASIEGO")*(MOVIMIENTOS!$C$5:$C$1005="P")*(MOVIMIENTOS!$D$5:$D$1005="jabas")*(MOVIMIENTOS!$A$5:$A$1005&lt;&gt;"")*(MOVIMIENTOS!$A$5:$A$1005&lt;=$A734)*MOVIMIENTOS!$E$5:$E$1005)-SUMPRODUCT((MOVIMIENTOS!$B$5:$B$1005="REGALO")*(MOVIMIENTOS!$C$5:$C$1005="P")*(MOVIMIENTOS!$D$5:$D$1005="jabas")*(MOVIMIENTOS!$A$5:$A$1005&lt;&gt;"")*(MOVIMIENTOS!$A$5:$A$1005&lt;=$A734)*MOVIMIENTOS!$E$5:$E$1005)-SUMPRODUCT((MOVIMIENTOS!$B$5:$B$1005="VENTA")*(MOVIMIENTOS!$C$5:$C$1005="P")*(MOVIMIENTOS!$D$5:$D$1005="jabas")*(MOVIMIENTOS!$A$5:$A$1005&lt;&gt;"")*(MOVIMIENTOS!$A$5:$A$1005&lt;=$A734)*MOVIMIENTOS!$E$5:$E$1005)+SUMPRODUCT((MOVIMIENTOS!$B$5:$B$1005="AJUSTE")*(MOVIMIENTOS!$C$5:$C$1005="P")*(MOVIMIENTOS!$D$5:$D$1005="jabas")*(MOVIMIENTOS!$A$5:$A$1005&lt;&gt;"")*(MOVIMIENTOS!$A$5:$A$1005&lt;=$A734)*MOVIMIENTOS!$E$5:$E$1005))</f>
        <v/>
      </c>
      <c r="D734" t="str">
        <f>IF($A734="","",SUMPRODUCT((MOVIMIENTOS!$B$5:$B$1005="SALDO INICIAL")*(MOVIMIENTOS!$C$5:$C$1005="C")*(MOVIMIENTOS!$D$5:$D$1005="jabas")*(MOVIMIENTOS!$A$5:$A$1005&lt;&gt;"")*(MOVIMIENTOS!$A$5:$A$1005&lt;=$A734)*MOVIMIENTOS!$E$5:$E$1005)+SUMPRODUCT((MOVIMIENTOS!$B$5:$B$1005="PROCESO")*(MOVIMIENTOS!$C$5:$C$1005="C")*(MOVIMIENTOS!$D$5:$D$1005="jabas")*(MOVIMIENTOS!$A$5:$A$1005&lt;&gt;"")*(MOVIMIENTOS!$A$5:$A$1005&lt;=$A734)*MOVIMIENTOS!$E$5:$E$1005)-SUMPRODUCT((MOVIMIENTOS!$B$5:$B$1005="ENVÍO A SUPESA")*(MOVIMIENTOS!$C$5:$C$1005="C")*(MOVIMIENTOS!$D$5:$D$1005="jabas")*(MOVIMIENTOS!$A$5:$A$1005&lt;&gt;"")*(MOVIMIENTOS!$A$5:$A$1005&lt;=$A734)*MOVIMIENTOS!$E$5:$E$1005)+SUMPRODUCT((MOVIMIENTOS!$B$5:$B$1005="DEVOLUCIÓN")*(MOVIMIENTOS!$C$5:$C$1005="C")*(MOVIMIENTOS!$D$5:$D$1005="jabas")*(MOVIMIENTOS!$A$5:$A$1005&lt;&gt;"")*(MOVIMIENTOS!$A$5:$A$1005&lt;=$A734)*MOVIMIENTOS!$E$5:$E$1005)-SUMPRODUCT((MOVIMIENTOS!$B$5:$B$1005="TRASIEGO")*(MOVIMIENTOS!$C$5:$C$1005="C")*(MOVIMIENTOS!$D$5:$D$1005="jabas")*(MOVIMIENTOS!$A$5:$A$1005&lt;&gt;"")*(MOVIMIENTOS!$A$5:$A$1005&lt;=$A734)*MOVIMIENTOS!$E$5:$E$1005)-SUMPRODUCT((MOVIMIENTOS!$B$5:$B$1005="REGALO")*(MOVIMIENTOS!$C$5:$C$1005="C")*(MOVIMIENTOS!$D$5:$D$1005="jabas")*(MOVIMIENTOS!$A$5:$A$1005&lt;&gt;"")*(MOVIMIENTOS!$A$5:$A$1005&lt;=$A734)*MOVIMIENTOS!$E$5:$E$1005)-SUMPRODUCT((MOVIMIENTOS!$B$5:$B$1005="VENTA")*(MOVIMIENTOS!$C$5:$C$1005="C")*(MOVIMIENTOS!$D$5:$D$1005="jabas")*(MOVIMIENTOS!$A$5:$A$1005&lt;&gt;"")*(MOVIMIENTOS!$A$5:$A$1005&lt;=$A734)*MOVIMIENTOS!$E$5:$E$1005)+SUMPRODUCT((MOVIMIENTOS!$B$5:$B$1005="AJUSTE")*(MOVIMIENTOS!$C$5:$C$1005="C")*(MOVIMIENTOS!$D$5:$D$1005="jabas")*(MOVIMIENTOS!$A$5:$A$1005&lt;&gt;"")*(MOVIMIENTOS!$A$5:$A$1005&lt;=$A734)*MOVIMIENTOS!$E$5:$E$1005))</f>
        <v/>
      </c>
      <c r="E734" t="str">
        <f>IF($A734="","",SUMPRODUCT((MOVIMIENTOS!$B$5:$B$1005="SALDO INICIAL")*(MOVIMIENTOS!$C$5:$C$1005="M")*(MOVIMIENTOS!$D$5:$D$1005="jabas")*(MOVIMIENTOS!$A$5:$A$1005&lt;&gt;"")*(MOVIMIENTOS!$A$5:$A$1005&lt;=$A734)*MOVIMIENTOS!$E$5:$E$1005)+SUMPRODUCT((MOVIMIENTOS!$B$5:$B$1005="PROCESO")*(MOVIMIENTOS!$C$5:$C$1005="M")*(MOVIMIENTOS!$D$5:$D$1005="jabas")*(MOVIMIENTOS!$A$5:$A$1005&lt;&gt;"")*(MOVIMIENTOS!$A$5:$A$1005&lt;=$A734)*MOVIMIENTOS!$E$5:$E$1005)-SUMPRODUCT((MOVIMIENTOS!$B$5:$B$1005="ENVÍO A SUPESA")*(MOVIMIENTOS!$C$5:$C$1005="M")*(MOVIMIENTOS!$D$5:$D$1005="jabas")*(MOVIMIENTOS!$A$5:$A$1005&lt;&gt;"")*(MOVIMIENTOS!$A$5:$A$1005&lt;=$A734)*MOVIMIENTOS!$E$5:$E$1005)+SUMPRODUCT((MOVIMIENTOS!$B$5:$B$1005="DEVOLUCIÓN")*(MOVIMIENTOS!$C$5:$C$1005="M")*(MOVIMIENTOS!$D$5:$D$1005="jabas")*(MOVIMIENTOS!$A$5:$A$1005&lt;&gt;"")*(MOVIMIENTOS!$A$5:$A$1005&lt;=$A734)*MOVIMIENTOS!$E$5:$E$1005)-SUMPRODUCT((MOVIMIENTOS!$B$5:$B$1005="TRASIEGO")*(MOVIMIENTOS!$C$5:$C$1005="M")*(MOVIMIENTOS!$D$5:$D$1005="jabas")*(MOVIMIENTOS!$A$5:$A$1005&lt;&gt;"")*(MOVIMIENTOS!$A$5:$A$1005&lt;=$A734)*MOVIMIENTOS!$E$5:$E$1005)-SUMPRODUCT((MOVIMIENTOS!$B$5:$B$1005="REGALO")*(MOVIMIENTOS!$C$5:$C$1005="M")*(MOVIMIENTOS!$D$5:$D$1005="jabas")*(MOVIMIENTOS!$A$5:$A$1005&lt;&gt;"")*(MOVIMIENTOS!$A$5:$A$1005&lt;=$A734)*MOVIMIENTOS!$E$5:$E$1005)-SUMPRODUCT((MOVIMIENTOS!$B$5:$B$1005="VENTA")*(MOVIMIENTOS!$C$5:$C$1005="M")*(MOVIMIENTOS!$D$5:$D$1005="jabas")*(MOVIMIENTOS!$A$5:$A$1005&lt;&gt;"")*(MOVIMIENTOS!$A$5:$A$1005&lt;=$A734)*MOVIMIENTOS!$E$5:$E$1005)+SUMPRODUCT((MOVIMIENTOS!$B$5:$B$1005="AJUSTE")*(MOVIMIENTOS!$C$5:$C$1005="M")*(MOVIMIENTOS!$D$5:$D$1005="jabas")*(MOVIMIENTOS!$A$5:$A$1005&lt;&gt;"")*(MOVIMIENTOS!$A$5:$A$1005&lt;=$A734)*MOVIMIENTOS!$E$5:$E$1005))</f>
        <v/>
      </c>
      <c r="F734" s="62" t="str">
        <f>IF($A734="","",SUMPRODUCT((MOVIMIENTOS!$B$5:$B$1005="SALDO INICIAL")*(MOVIMIENTOS!$C$5:$C$1005="Chancho")*(MOVIMIENTOS!$D$5:$D$1005="sacos")*(MOVIMIENTOS!$A$5:$A$1005&lt;&gt;"")*(MOVIMIENTOS!$A$5:$A$1005&lt;=$A734)*MOVIMIENTOS!$E$5:$E$1005)+SUMPRODUCT((MOVIMIENTOS!$B$5:$B$1005="PROCESO")*(MOVIMIENTOS!$C$5:$C$1005="Chancho")*(MOVIMIENTOS!$D$5:$D$1005="sacos")*(MOVIMIENTOS!$A$5:$A$1005&lt;&gt;"")*(MOVIMIENTOS!$A$5:$A$1005&lt;=$A734)*MOVIMIENTOS!$E$5:$E$1005)-SUMPRODUCT((MOVIMIENTOS!$B$5:$B$1005="VENTA CHANCHO")*(MOVIMIENTOS!$C$5:$C$1005="Chancho")*(MOVIMIENTOS!$D$5:$D$1005="sacos")*(MOVIMIENTOS!$A$5:$A$1005&lt;&gt;"")*(MOVIMIENTOS!$A$5:$A$1005&lt;=$A734)*MOVIMIENTOS!$E$5:$E$1005)-SUMPRODUCT((MOVIMIENTOS!$B$5:$B$1005="REGALO")*(MOVIMIENTOS!$C$5:$C$1005="Chancho")*(MOVIMIENTOS!$D$5:$D$1005="sacos")*(MOVIMIENTOS!$A$5:$A$1005&lt;&gt;"")*(MOVIMIENTOS!$A$5:$A$1005&lt;=$A734)*MOVIMIENTOS!$E$5:$E$1005)-SUMPRODUCT((MOVIMIENTOS!$B$5:$B$1005="VENTA")*(MOVIMIENTOS!$C$5:$C$1005="Chancho")*(MOVIMIENTOS!$D$5:$D$1005="sacos")*(MOVIMIENTOS!$A$5:$A$1005&lt;&gt;"")*(MOVIMIENTOS!$A$5:$A$1005&lt;=$A734)*MOVIMIENTOS!$E$5:$E$1005)+SUMPRODUCT((MOVIMIENTOS!$B$5:$B$1005="AJUSTE")*(MOVIMIENTOS!$C$5:$C$1005="Chancho")*(MOVIMIENTOS!$D$5:$D$1005="sacos")*(MOVIMIENTOS!$A$5:$A$1005&lt;&gt;"")*(MOVIMIENTOS!$A$5:$A$1005&lt;=$A734)*MOVIMIENTOS!$E$5:$E$1005))</f>
        <v/>
      </c>
      <c r="G734" s="62" t="str">
        <f t="shared" si="23"/>
        <v/>
      </c>
      <c r="H734" t="str">
        <f>IF($A734="","",SUMPRODUCT((((MOVIMIENTOS!$B$5:$B$1005="SALDO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734)*MOVIMIENTOS!$J$5:$J$1005))</f>
        <v/>
      </c>
      <c r="J734" t="str">
        <f>IF(AND(MOVIMIENTOS!$A739&lt;&gt;"",COUNTIF(MOVIMIENTOS!$A$5:$A738,MOVIMIENTOS!$A739)=0),COUNT(J$4:J733)+1,"")</f>
        <v/>
      </c>
      <c r="K734">
        <f>MOVIMIENTOS!$A739</f>
        <v>0</v>
      </c>
    </row>
    <row r="735" spans="1:11" ht="15" customHeight="1" x14ac:dyDescent="0.2">
      <c r="A735" t="str">
        <f t="shared" si="22"/>
        <v/>
      </c>
      <c r="B735" t="str">
        <f>IF($A735="","",SUMPRODUCT((MOVIMIENTOS!$B$5:$B$1005="SALDO INICIAL")*(MOVIMIENTOS!$C$5:$C$1005="A")*(MOVIMIENTOS!$D$5:$D$1005="jabas")*(MOVIMIENTOS!$A$5:$A$1005&lt;&gt;"")*(MOVIMIENTOS!$A$5:$A$1005&lt;=$A735)*MOVIMIENTOS!$E$5:$E$1005)+SUMPRODUCT((MOVIMIENTOS!$B$5:$B$1005="PROCESO")*(MOVIMIENTOS!$C$5:$C$1005="A")*(MOVIMIENTOS!$D$5:$D$1005="jabas")*(MOVIMIENTOS!$A$5:$A$1005&lt;&gt;"")*(MOVIMIENTOS!$A$5:$A$1005&lt;=$A735)*MOVIMIENTOS!$E$5:$E$1005)-SUMPRODUCT((MOVIMIENTOS!$B$5:$B$1005="ENVÍO A SUPESA")*(MOVIMIENTOS!$C$5:$C$1005="A")*(MOVIMIENTOS!$D$5:$D$1005="jabas")*(MOVIMIENTOS!$A$5:$A$1005&lt;&gt;"")*(MOVIMIENTOS!$A$5:$A$1005&lt;=$A735)*MOVIMIENTOS!$E$5:$E$1005)+SUMPRODUCT((MOVIMIENTOS!$B$5:$B$1005="DEVOLUCIÓN")*(MOVIMIENTOS!$C$5:$C$1005="A")*(MOVIMIENTOS!$D$5:$D$1005="jabas")*(MOVIMIENTOS!$A$5:$A$1005&lt;&gt;"")*(MOVIMIENTOS!$A$5:$A$1005&lt;=$A735)*MOVIMIENTOS!$E$5:$E$1005)-SUMPRODUCT((MOVIMIENTOS!$B$5:$B$1005="TRASIEGO")*(MOVIMIENTOS!$C$5:$C$1005="A")*(MOVIMIENTOS!$D$5:$D$1005="jabas")*(MOVIMIENTOS!$A$5:$A$1005&lt;&gt;"")*(MOVIMIENTOS!$A$5:$A$1005&lt;=$A735)*MOVIMIENTOS!$E$5:$E$1005)-SUMPRODUCT((MOVIMIENTOS!$B$5:$B$1005="REGALO")*(MOVIMIENTOS!$C$5:$C$1005="A")*(MOVIMIENTOS!$D$5:$D$1005="jabas")*(MOVIMIENTOS!$A$5:$A$1005&lt;&gt;"")*(MOVIMIENTOS!$A$5:$A$1005&lt;=$A735)*MOVIMIENTOS!$E$5:$E$1005)-SUMPRODUCT((MOVIMIENTOS!$B$5:$B$1005="VENTA")*(MOVIMIENTOS!$C$5:$C$1005="A")*(MOVIMIENTOS!$D$5:$D$1005="jabas")*(MOVIMIENTOS!$A$5:$A$1005&lt;&gt;"")*(MOVIMIENTOS!$A$5:$A$1005&lt;=$A735)*MOVIMIENTOS!$E$5:$E$1005)+SUMPRODUCT((MOVIMIENTOS!$B$5:$B$1005="AJUSTE")*(MOVIMIENTOS!$C$5:$C$1005="A")*(MOVIMIENTOS!$D$5:$D$1005="jabas")*(MOVIMIENTOS!$A$5:$A$1005&lt;&gt;"")*(MOVIMIENTOS!$A$5:$A$1005&lt;=$A735)*MOVIMIENTOS!$E$5:$E$1005))</f>
        <v/>
      </c>
      <c r="C735" t="str">
        <f>IF($A735="","",SUMPRODUCT((MOVIMIENTOS!$B$5:$B$1005="SALDO INICIAL")*(MOVIMIENTOS!$C$5:$C$1005="P")*(MOVIMIENTOS!$D$5:$D$1005="jabas")*(MOVIMIENTOS!$A$5:$A$1005&lt;&gt;"")*(MOVIMIENTOS!$A$5:$A$1005&lt;=$A735)*MOVIMIENTOS!$E$5:$E$1005)+SUMPRODUCT((MOVIMIENTOS!$B$5:$B$1005="PROCESO")*(MOVIMIENTOS!$C$5:$C$1005="P")*(MOVIMIENTOS!$D$5:$D$1005="jabas")*(MOVIMIENTOS!$A$5:$A$1005&lt;&gt;"")*(MOVIMIENTOS!$A$5:$A$1005&lt;=$A735)*MOVIMIENTOS!$E$5:$E$1005)-SUMPRODUCT((MOVIMIENTOS!$B$5:$B$1005="ENVÍO A SUPESA")*(MOVIMIENTOS!$C$5:$C$1005="P")*(MOVIMIENTOS!$D$5:$D$1005="jabas")*(MOVIMIENTOS!$A$5:$A$1005&lt;&gt;"")*(MOVIMIENTOS!$A$5:$A$1005&lt;=$A735)*MOVIMIENTOS!$E$5:$E$1005)+SUMPRODUCT((MOVIMIENTOS!$B$5:$B$1005="DEVOLUCIÓN")*(MOVIMIENTOS!$C$5:$C$1005="P")*(MOVIMIENTOS!$D$5:$D$1005="jabas")*(MOVIMIENTOS!$A$5:$A$1005&lt;&gt;"")*(MOVIMIENTOS!$A$5:$A$1005&lt;=$A735)*MOVIMIENTOS!$E$5:$E$1005)-SUMPRODUCT((MOVIMIENTOS!$B$5:$B$1005="TRASIEGO")*(MOVIMIENTOS!$C$5:$C$1005="P")*(MOVIMIENTOS!$D$5:$D$1005="jabas")*(MOVIMIENTOS!$A$5:$A$1005&lt;&gt;"")*(MOVIMIENTOS!$A$5:$A$1005&lt;=$A735)*MOVIMIENTOS!$E$5:$E$1005)-SUMPRODUCT((MOVIMIENTOS!$B$5:$B$1005="REGALO")*(MOVIMIENTOS!$C$5:$C$1005="P")*(MOVIMIENTOS!$D$5:$D$1005="jabas")*(MOVIMIENTOS!$A$5:$A$1005&lt;&gt;"")*(MOVIMIENTOS!$A$5:$A$1005&lt;=$A735)*MOVIMIENTOS!$E$5:$E$1005)-SUMPRODUCT((MOVIMIENTOS!$B$5:$B$1005="VENTA")*(MOVIMIENTOS!$C$5:$C$1005="P")*(MOVIMIENTOS!$D$5:$D$1005="jabas")*(MOVIMIENTOS!$A$5:$A$1005&lt;&gt;"")*(MOVIMIENTOS!$A$5:$A$1005&lt;=$A735)*MOVIMIENTOS!$E$5:$E$1005)+SUMPRODUCT((MOVIMIENTOS!$B$5:$B$1005="AJUSTE")*(MOVIMIENTOS!$C$5:$C$1005="P")*(MOVIMIENTOS!$D$5:$D$1005="jabas")*(MOVIMIENTOS!$A$5:$A$1005&lt;&gt;"")*(MOVIMIENTOS!$A$5:$A$1005&lt;=$A735)*MOVIMIENTOS!$E$5:$E$1005))</f>
        <v/>
      </c>
      <c r="D735" t="str">
        <f>IF($A735="","",SUMPRODUCT((MOVIMIENTOS!$B$5:$B$1005="SALDO INICIAL")*(MOVIMIENTOS!$C$5:$C$1005="C")*(MOVIMIENTOS!$D$5:$D$1005="jabas")*(MOVIMIENTOS!$A$5:$A$1005&lt;&gt;"")*(MOVIMIENTOS!$A$5:$A$1005&lt;=$A735)*MOVIMIENTOS!$E$5:$E$1005)+SUMPRODUCT((MOVIMIENTOS!$B$5:$B$1005="PROCESO")*(MOVIMIENTOS!$C$5:$C$1005="C")*(MOVIMIENTOS!$D$5:$D$1005="jabas")*(MOVIMIENTOS!$A$5:$A$1005&lt;&gt;"")*(MOVIMIENTOS!$A$5:$A$1005&lt;=$A735)*MOVIMIENTOS!$E$5:$E$1005)-SUMPRODUCT((MOVIMIENTOS!$B$5:$B$1005="ENVÍO A SUPESA")*(MOVIMIENTOS!$C$5:$C$1005="C")*(MOVIMIENTOS!$D$5:$D$1005="jabas")*(MOVIMIENTOS!$A$5:$A$1005&lt;&gt;"")*(MOVIMIENTOS!$A$5:$A$1005&lt;=$A735)*MOVIMIENTOS!$E$5:$E$1005)+SUMPRODUCT((MOVIMIENTOS!$B$5:$B$1005="DEVOLUCIÓN")*(MOVIMIENTOS!$C$5:$C$1005="C")*(MOVIMIENTOS!$D$5:$D$1005="jabas")*(MOVIMIENTOS!$A$5:$A$1005&lt;&gt;"")*(MOVIMIENTOS!$A$5:$A$1005&lt;=$A735)*MOVIMIENTOS!$E$5:$E$1005)-SUMPRODUCT((MOVIMIENTOS!$B$5:$B$1005="TRASIEGO")*(MOVIMIENTOS!$C$5:$C$1005="C")*(MOVIMIENTOS!$D$5:$D$1005="jabas")*(MOVIMIENTOS!$A$5:$A$1005&lt;&gt;"")*(MOVIMIENTOS!$A$5:$A$1005&lt;=$A735)*MOVIMIENTOS!$E$5:$E$1005)-SUMPRODUCT((MOVIMIENTOS!$B$5:$B$1005="REGALO")*(MOVIMIENTOS!$C$5:$C$1005="C")*(MOVIMIENTOS!$D$5:$D$1005="jabas")*(MOVIMIENTOS!$A$5:$A$1005&lt;&gt;"")*(MOVIMIENTOS!$A$5:$A$1005&lt;=$A735)*MOVIMIENTOS!$E$5:$E$1005)-SUMPRODUCT((MOVIMIENTOS!$B$5:$B$1005="VENTA")*(MOVIMIENTOS!$C$5:$C$1005="C")*(MOVIMIENTOS!$D$5:$D$1005="jabas")*(MOVIMIENTOS!$A$5:$A$1005&lt;&gt;"")*(MOVIMIENTOS!$A$5:$A$1005&lt;=$A735)*MOVIMIENTOS!$E$5:$E$1005)+SUMPRODUCT((MOVIMIENTOS!$B$5:$B$1005="AJUSTE")*(MOVIMIENTOS!$C$5:$C$1005="C")*(MOVIMIENTOS!$D$5:$D$1005="jabas")*(MOVIMIENTOS!$A$5:$A$1005&lt;&gt;"")*(MOVIMIENTOS!$A$5:$A$1005&lt;=$A735)*MOVIMIENTOS!$E$5:$E$1005))</f>
        <v/>
      </c>
      <c r="E735" t="str">
        <f>IF($A735="","",SUMPRODUCT((MOVIMIENTOS!$B$5:$B$1005="SALDO INICIAL")*(MOVIMIENTOS!$C$5:$C$1005="M")*(MOVIMIENTOS!$D$5:$D$1005="jabas")*(MOVIMIENTOS!$A$5:$A$1005&lt;&gt;"")*(MOVIMIENTOS!$A$5:$A$1005&lt;=$A735)*MOVIMIENTOS!$E$5:$E$1005)+SUMPRODUCT((MOVIMIENTOS!$B$5:$B$1005="PROCESO")*(MOVIMIENTOS!$C$5:$C$1005="M")*(MOVIMIENTOS!$D$5:$D$1005="jabas")*(MOVIMIENTOS!$A$5:$A$1005&lt;&gt;"")*(MOVIMIENTOS!$A$5:$A$1005&lt;=$A735)*MOVIMIENTOS!$E$5:$E$1005)-SUMPRODUCT((MOVIMIENTOS!$B$5:$B$1005="ENVÍO A SUPESA")*(MOVIMIENTOS!$C$5:$C$1005="M")*(MOVIMIENTOS!$D$5:$D$1005="jabas")*(MOVIMIENTOS!$A$5:$A$1005&lt;&gt;"")*(MOVIMIENTOS!$A$5:$A$1005&lt;=$A735)*MOVIMIENTOS!$E$5:$E$1005)+SUMPRODUCT((MOVIMIENTOS!$B$5:$B$1005="DEVOLUCIÓN")*(MOVIMIENTOS!$C$5:$C$1005="M")*(MOVIMIENTOS!$D$5:$D$1005="jabas")*(MOVIMIENTOS!$A$5:$A$1005&lt;&gt;"")*(MOVIMIENTOS!$A$5:$A$1005&lt;=$A735)*MOVIMIENTOS!$E$5:$E$1005)-SUMPRODUCT((MOVIMIENTOS!$B$5:$B$1005="TRASIEGO")*(MOVIMIENTOS!$C$5:$C$1005="M")*(MOVIMIENTOS!$D$5:$D$1005="jabas")*(MOVIMIENTOS!$A$5:$A$1005&lt;&gt;"")*(MOVIMIENTOS!$A$5:$A$1005&lt;=$A735)*MOVIMIENTOS!$E$5:$E$1005)-SUMPRODUCT((MOVIMIENTOS!$B$5:$B$1005="REGALO")*(MOVIMIENTOS!$C$5:$C$1005="M")*(MOVIMIENTOS!$D$5:$D$1005="jabas")*(MOVIMIENTOS!$A$5:$A$1005&lt;&gt;"")*(MOVIMIENTOS!$A$5:$A$1005&lt;=$A735)*MOVIMIENTOS!$E$5:$E$1005)-SUMPRODUCT((MOVIMIENTOS!$B$5:$B$1005="VENTA")*(MOVIMIENTOS!$C$5:$C$1005="M")*(MOVIMIENTOS!$D$5:$D$1005="jabas")*(MOVIMIENTOS!$A$5:$A$1005&lt;&gt;"")*(MOVIMIENTOS!$A$5:$A$1005&lt;=$A735)*MOVIMIENTOS!$E$5:$E$1005)+SUMPRODUCT((MOVIMIENTOS!$B$5:$B$1005="AJUSTE")*(MOVIMIENTOS!$C$5:$C$1005="M")*(MOVIMIENTOS!$D$5:$D$1005="jabas")*(MOVIMIENTOS!$A$5:$A$1005&lt;&gt;"")*(MOVIMIENTOS!$A$5:$A$1005&lt;=$A735)*MOVIMIENTOS!$E$5:$E$1005))</f>
        <v/>
      </c>
      <c r="F735" s="62" t="str">
        <f>IF($A735="","",SUMPRODUCT((MOVIMIENTOS!$B$5:$B$1005="SALDO INICIAL")*(MOVIMIENTOS!$C$5:$C$1005="Chancho")*(MOVIMIENTOS!$D$5:$D$1005="sacos")*(MOVIMIENTOS!$A$5:$A$1005&lt;&gt;"")*(MOVIMIENTOS!$A$5:$A$1005&lt;=$A735)*MOVIMIENTOS!$E$5:$E$1005)+SUMPRODUCT((MOVIMIENTOS!$B$5:$B$1005="PROCESO")*(MOVIMIENTOS!$C$5:$C$1005="Chancho")*(MOVIMIENTOS!$D$5:$D$1005="sacos")*(MOVIMIENTOS!$A$5:$A$1005&lt;&gt;"")*(MOVIMIENTOS!$A$5:$A$1005&lt;=$A735)*MOVIMIENTOS!$E$5:$E$1005)-SUMPRODUCT((MOVIMIENTOS!$B$5:$B$1005="VENTA CHANCHO")*(MOVIMIENTOS!$C$5:$C$1005="Chancho")*(MOVIMIENTOS!$D$5:$D$1005="sacos")*(MOVIMIENTOS!$A$5:$A$1005&lt;&gt;"")*(MOVIMIENTOS!$A$5:$A$1005&lt;=$A735)*MOVIMIENTOS!$E$5:$E$1005)-SUMPRODUCT((MOVIMIENTOS!$B$5:$B$1005="REGALO")*(MOVIMIENTOS!$C$5:$C$1005="Chancho")*(MOVIMIENTOS!$D$5:$D$1005="sacos")*(MOVIMIENTOS!$A$5:$A$1005&lt;&gt;"")*(MOVIMIENTOS!$A$5:$A$1005&lt;=$A735)*MOVIMIENTOS!$E$5:$E$1005)-SUMPRODUCT((MOVIMIENTOS!$B$5:$B$1005="VENTA")*(MOVIMIENTOS!$C$5:$C$1005="Chancho")*(MOVIMIENTOS!$D$5:$D$1005="sacos")*(MOVIMIENTOS!$A$5:$A$1005&lt;&gt;"")*(MOVIMIENTOS!$A$5:$A$1005&lt;=$A735)*MOVIMIENTOS!$E$5:$E$1005)+SUMPRODUCT((MOVIMIENTOS!$B$5:$B$1005="AJUSTE")*(MOVIMIENTOS!$C$5:$C$1005="Chancho")*(MOVIMIENTOS!$D$5:$D$1005="sacos")*(MOVIMIENTOS!$A$5:$A$1005&lt;&gt;"")*(MOVIMIENTOS!$A$5:$A$1005&lt;=$A735)*MOVIMIENTOS!$E$5:$E$1005))</f>
        <v/>
      </c>
      <c r="G735" s="62" t="str">
        <f t="shared" si="23"/>
        <v/>
      </c>
      <c r="H735" t="str">
        <f>IF($A735="","",SUMPRODUCT((((MOVIMIENTOS!$B$5:$B$1005="SALDO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735)*MOVIMIENTOS!$J$5:$J$1005))</f>
        <v/>
      </c>
      <c r="J735" t="str">
        <f>IF(AND(MOVIMIENTOS!$A740&lt;&gt;"",COUNTIF(MOVIMIENTOS!$A$5:$A739,MOVIMIENTOS!$A740)=0),COUNT(J$4:J734)+1,"")</f>
        <v/>
      </c>
      <c r="K735">
        <f>MOVIMIENTOS!$A740</f>
        <v>0</v>
      </c>
    </row>
    <row r="736" spans="1:11" ht="15" customHeight="1" x14ac:dyDescent="0.2">
      <c r="A736" t="str">
        <f t="shared" si="22"/>
        <v/>
      </c>
      <c r="B736" t="str">
        <f>IF($A736="","",SUMPRODUCT((MOVIMIENTOS!$B$5:$B$1005="SALDO INICIAL")*(MOVIMIENTOS!$C$5:$C$1005="A")*(MOVIMIENTOS!$D$5:$D$1005="jabas")*(MOVIMIENTOS!$A$5:$A$1005&lt;&gt;"")*(MOVIMIENTOS!$A$5:$A$1005&lt;=$A736)*MOVIMIENTOS!$E$5:$E$1005)+SUMPRODUCT((MOVIMIENTOS!$B$5:$B$1005="PROCESO")*(MOVIMIENTOS!$C$5:$C$1005="A")*(MOVIMIENTOS!$D$5:$D$1005="jabas")*(MOVIMIENTOS!$A$5:$A$1005&lt;&gt;"")*(MOVIMIENTOS!$A$5:$A$1005&lt;=$A736)*MOVIMIENTOS!$E$5:$E$1005)-SUMPRODUCT((MOVIMIENTOS!$B$5:$B$1005="ENVÍO A SUPESA")*(MOVIMIENTOS!$C$5:$C$1005="A")*(MOVIMIENTOS!$D$5:$D$1005="jabas")*(MOVIMIENTOS!$A$5:$A$1005&lt;&gt;"")*(MOVIMIENTOS!$A$5:$A$1005&lt;=$A736)*MOVIMIENTOS!$E$5:$E$1005)+SUMPRODUCT((MOVIMIENTOS!$B$5:$B$1005="DEVOLUCIÓN")*(MOVIMIENTOS!$C$5:$C$1005="A")*(MOVIMIENTOS!$D$5:$D$1005="jabas")*(MOVIMIENTOS!$A$5:$A$1005&lt;&gt;"")*(MOVIMIENTOS!$A$5:$A$1005&lt;=$A736)*MOVIMIENTOS!$E$5:$E$1005)-SUMPRODUCT((MOVIMIENTOS!$B$5:$B$1005="TRASIEGO")*(MOVIMIENTOS!$C$5:$C$1005="A")*(MOVIMIENTOS!$D$5:$D$1005="jabas")*(MOVIMIENTOS!$A$5:$A$1005&lt;&gt;"")*(MOVIMIENTOS!$A$5:$A$1005&lt;=$A736)*MOVIMIENTOS!$E$5:$E$1005)-SUMPRODUCT((MOVIMIENTOS!$B$5:$B$1005="REGALO")*(MOVIMIENTOS!$C$5:$C$1005="A")*(MOVIMIENTOS!$D$5:$D$1005="jabas")*(MOVIMIENTOS!$A$5:$A$1005&lt;&gt;"")*(MOVIMIENTOS!$A$5:$A$1005&lt;=$A736)*MOVIMIENTOS!$E$5:$E$1005)-SUMPRODUCT((MOVIMIENTOS!$B$5:$B$1005="VENTA")*(MOVIMIENTOS!$C$5:$C$1005="A")*(MOVIMIENTOS!$D$5:$D$1005="jabas")*(MOVIMIENTOS!$A$5:$A$1005&lt;&gt;"")*(MOVIMIENTOS!$A$5:$A$1005&lt;=$A736)*MOVIMIENTOS!$E$5:$E$1005)+SUMPRODUCT((MOVIMIENTOS!$B$5:$B$1005="AJUSTE")*(MOVIMIENTOS!$C$5:$C$1005="A")*(MOVIMIENTOS!$D$5:$D$1005="jabas")*(MOVIMIENTOS!$A$5:$A$1005&lt;&gt;"")*(MOVIMIENTOS!$A$5:$A$1005&lt;=$A736)*MOVIMIENTOS!$E$5:$E$1005))</f>
        <v/>
      </c>
      <c r="C736" t="str">
        <f>IF($A736="","",SUMPRODUCT((MOVIMIENTOS!$B$5:$B$1005="SALDO INICIAL")*(MOVIMIENTOS!$C$5:$C$1005="P")*(MOVIMIENTOS!$D$5:$D$1005="jabas")*(MOVIMIENTOS!$A$5:$A$1005&lt;&gt;"")*(MOVIMIENTOS!$A$5:$A$1005&lt;=$A736)*MOVIMIENTOS!$E$5:$E$1005)+SUMPRODUCT((MOVIMIENTOS!$B$5:$B$1005="PROCESO")*(MOVIMIENTOS!$C$5:$C$1005="P")*(MOVIMIENTOS!$D$5:$D$1005="jabas")*(MOVIMIENTOS!$A$5:$A$1005&lt;&gt;"")*(MOVIMIENTOS!$A$5:$A$1005&lt;=$A736)*MOVIMIENTOS!$E$5:$E$1005)-SUMPRODUCT((MOVIMIENTOS!$B$5:$B$1005="ENVÍO A SUPESA")*(MOVIMIENTOS!$C$5:$C$1005="P")*(MOVIMIENTOS!$D$5:$D$1005="jabas")*(MOVIMIENTOS!$A$5:$A$1005&lt;&gt;"")*(MOVIMIENTOS!$A$5:$A$1005&lt;=$A736)*MOVIMIENTOS!$E$5:$E$1005)+SUMPRODUCT((MOVIMIENTOS!$B$5:$B$1005="DEVOLUCIÓN")*(MOVIMIENTOS!$C$5:$C$1005="P")*(MOVIMIENTOS!$D$5:$D$1005="jabas")*(MOVIMIENTOS!$A$5:$A$1005&lt;&gt;"")*(MOVIMIENTOS!$A$5:$A$1005&lt;=$A736)*MOVIMIENTOS!$E$5:$E$1005)-SUMPRODUCT((MOVIMIENTOS!$B$5:$B$1005="TRASIEGO")*(MOVIMIENTOS!$C$5:$C$1005="P")*(MOVIMIENTOS!$D$5:$D$1005="jabas")*(MOVIMIENTOS!$A$5:$A$1005&lt;&gt;"")*(MOVIMIENTOS!$A$5:$A$1005&lt;=$A736)*MOVIMIENTOS!$E$5:$E$1005)-SUMPRODUCT((MOVIMIENTOS!$B$5:$B$1005="REGALO")*(MOVIMIENTOS!$C$5:$C$1005="P")*(MOVIMIENTOS!$D$5:$D$1005="jabas")*(MOVIMIENTOS!$A$5:$A$1005&lt;&gt;"")*(MOVIMIENTOS!$A$5:$A$1005&lt;=$A736)*MOVIMIENTOS!$E$5:$E$1005)-SUMPRODUCT((MOVIMIENTOS!$B$5:$B$1005="VENTA")*(MOVIMIENTOS!$C$5:$C$1005="P")*(MOVIMIENTOS!$D$5:$D$1005="jabas")*(MOVIMIENTOS!$A$5:$A$1005&lt;&gt;"")*(MOVIMIENTOS!$A$5:$A$1005&lt;=$A736)*MOVIMIENTOS!$E$5:$E$1005)+SUMPRODUCT((MOVIMIENTOS!$B$5:$B$1005="AJUSTE")*(MOVIMIENTOS!$C$5:$C$1005="P")*(MOVIMIENTOS!$D$5:$D$1005="jabas")*(MOVIMIENTOS!$A$5:$A$1005&lt;&gt;"")*(MOVIMIENTOS!$A$5:$A$1005&lt;=$A736)*MOVIMIENTOS!$E$5:$E$1005))</f>
        <v/>
      </c>
      <c r="D736" t="str">
        <f>IF($A736="","",SUMPRODUCT((MOVIMIENTOS!$B$5:$B$1005="SALDO INICIAL")*(MOVIMIENTOS!$C$5:$C$1005="C")*(MOVIMIENTOS!$D$5:$D$1005="jabas")*(MOVIMIENTOS!$A$5:$A$1005&lt;&gt;"")*(MOVIMIENTOS!$A$5:$A$1005&lt;=$A736)*MOVIMIENTOS!$E$5:$E$1005)+SUMPRODUCT((MOVIMIENTOS!$B$5:$B$1005="PROCESO")*(MOVIMIENTOS!$C$5:$C$1005="C")*(MOVIMIENTOS!$D$5:$D$1005="jabas")*(MOVIMIENTOS!$A$5:$A$1005&lt;&gt;"")*(MOVIMIENTOS!$A$5:$A$1005&lt;=$A736)*MOVIMIENTOS!$E$5:$E$1005)-SUMPRODUCT((MOVIMIENTOS!$B$5:$B$1005="ENVÍO A SUPESA")*(MOVIMIENTOS!$C$5:$C$1005="C")*(MOVIMIENTOS!$D$5:$D$1005="jabas")*(MOVIMIENTOS!$A$5:$A$1005&lt;&gt;"")*(MOVIMIENTOS!$A$5:$A$1005&lt;=$A736)*MOVIMIENTOS!$E$5:$E$1005)+SUMPRODUCT((MOVIMIENTOS!$B$5:$B$1005="DEVOLUCIÓN")*(MOVIMIENTOS!$C$5:$C$1005="C")*(MOVIMIENTOS!$D$5:$D$1005="jabas")*(MOVIMIENTOS!$A$5:$A$1005&lt;&gt;"")*(MOVIMIENTOS!$A$5:$A$1005&lt;=$A736)*MOVIMIENTOS!$E$5:$E$1005)-SUMPRODUCT((MOVIMIENTOS!$B$5:$B$1005="TRASIEGO")*(MOVIMIENTOS!$C$5:$C$1005="C")*(MOVIMIENTOS!$D$5:$D$1005="jabas")*(MOVIMIENTOS!$A$5:$A$1005&lt;&gt;"")*(MOVIMIENTOS!$A$5:$A$1005&lt;=$A736)*MOVIMIENTOS!$E$5:$E$1005)-SUMPRODUCT((MOVIMIENTOS!$B$5:$B$1005="REGALO")*(MOVIMIENTOS!$C$5:$C$1005="C")*(MOVIMIENTOS!$D$5:$D$1005="jabas")*(MOVIMIENTOS!$A$5:$A$1005&lt;&gt;"")*(MOVIMIENTOS!$A$5:$A$1005&lt;=$A736)*MOVIMIENTOS!$E$5:$E$1005)-SUMPRODUCT((MOVIMIENTOS!$B$5:$B$1005="VENTA")*(MOVIMIENTOS!$C$5:$C$1005="C")*(MOVIMIENTOS!$D$5:$D$1005="jabas")*(MOVIMIENTOS!$A$5:$A$1005&lt;&gt;"")*(MOVIMIENTOS!$A$5:$A$1005&lt;=$A736)*MOVIMIENTOS!$E$5:$E$1005)+SUMPRODUCT((MOVIMIENTOS!$B$5:$B$1005="AJUSTE")*(MOVIMIENTOS!$C$5:$C$1005="C")*(MOVIMIENTOS!$D$5:$D$1005="jabas")*(MOVIMIENTOS!$A$5:$A$1005&lt;&gt;"")*(MOVIMIENTOS!$A$5:$A$1005&lt;=$A736)*MOVIMIENTOS!$E$5:$E$1005))</f>
        <v/>
      </c>
      <c r="E736" t="str">
        <f>IF($A736="","",SUMPRODUCT((MOVIMIENTOS!$B$5:$B$1005="SALDO INICIAL")*(MOVIMIENTOS!$C$5:$C$1005="M")*(MOVIMIENTOS!$D$5:$D$1005="jabas")*(MOVIMIENTOS!$A$5:$A$1005&lt;&gt;"")*(MOVIMIENTOS!$A$5:$A$1005&lt;=$A736)*MOVIMIENTOS!$E$5:$E$1005)+SUMPRODUCT((MOVIMIENTOS!$B$5:$B$1005="PROCESO")*(MOVIMIENTOS!$C$5:$C$1005="M")*(MOVIMIENTOS!$D$5:$D$1005="jabas")*(MOVIMIENTOS!$A$5:$A$1005&lt;&gt;"")*(MOVIMIENTOS!$A$5:$A$1005&lt;=$A736)*MOVIMIENTOS!$E$5:$E$1005)-SUMPRODUCT((MOVIMIENTOS!$B$5:$B$1005="ENVÍO A SUPESA")*(MOVIMIENTOS!$C$5:$C$1005="M")*(MOVIMIENTOS!$D$5:$D$1005="jabas")*(MOVIMIENTOS!$A$5:$A$1005&lt;&gt;"")*(MOVIMIENTOS!$A$5:$A$1005&lt;=$A736)*MOVIMIENTOS!$E$5:$E$1005)+SUMPRODUCT((MOVIMIENTOS!$B$5:$B$1005="DEVOLUCIÓN")*(MOVIMIENTOS!$C$5:$C$1005="M")*(MOVIMIENTOS!$D$5:$D$1005="jabas")*(MOVIMIENTOS!$A$5:$A$1005&lt;&gt;"")*(MOVIMIENTOS!$A$5:$A$1005&lt;=$A736)*MOVIMIENTOS!$E$5:$E$1005)-SUMPRODUCT((MOVIMIENTOS!$B$5:$B$1005="TRASIEGO")*(MOVIMIENTOS!$C$5:$C$1005="M")*(MOVIMIENTOS!$D$5:$D$1005="jabas")*(MOVIMIENTOS!$A$5:$A$1005&lt;&gt;"")*(MOVIMIENTOS!$A$5:$A$1005&lt;=$A736)*MOVIMIENTOS!$E$5:$E$1005)-SUMPRODUCT((MOVIMIENTOS!$B$5:$B$1005="REGALO")*(MOVIMIENTOS!$C$5:$C$1005="M")*(MOVIMIENTOS!$D$5:$D$1005="jabas")*(MOVIMIENTOS!$A$5:$A$1005&lt;&gt;"")*(MOVIMIENTOS!$A$5:$A$1005&lt;=$A736)*MOVIMIENTOS!$E$5:$E$1005)-SUMPRODUCT((MOVIMIENTOS!$B$5:$B$1005="VENTA")*(MOVIMIENTOS!$C$5:$C$1005="M")*(MOVIMIENTOS!$D$5:$D$1005="jabas")*(MOVIMIENTOS!$A$5:$A$1005&lt;&gt;"")*(MOVIMIENTOS!$A$5:$A$1005&lt;=$A736)*MOVIMIENTOS!$E$5:$E$1005)+SUMPRODUCT((MOVIMIENTOS!$B$5:$B$1005="AJUSTE")*(MOVIMIENTOS!$C$5:$C$1005="M")*(MOVIMIENTOS!$D$5:$D$1005="jabas")*(MOVIMIENTOS!$A$5:$A$1005&lt;&gt;"")*(MOVIMIENTOS!$A$5:$A$1005&lt;=$A736)*MOVIMIENTOS!$E$5:$E$1005))</f>
        <v/>
      </c>
      <c r="F736" s="62" t="str">
        <f>IF($A736="","",SUMPRODUCT((MOVIMIENTOS!$B$5:$B$1005="SALDO INICIAL")*(MOVIMIENTOS!$C$5:$C$1005="Chancho")*(MOVIMIENTOS!$D$5:$D$1005="sacos")*(MOVIMIENTOS!$A$5:$A$1005&lt;&gt;"")*(MOVIMIENTOS!$A$5:$A$1005&lt;=$A736)*MOVIMIENTOS!$E$5:$E$1005)+SUMPRODUCT((MOVIMIENTOS!$B$5:$B$1005="PROCESO")*(MOVIMIENTOS!$C$5:$C$1005="Chancho")*(MOVIMIENTOS!$D$5:$D$1005="sacos")*(MOVIMIENTOS!$A$5:$A$1005&lt;&gt;"")*(MOVIMIENTOS!$A$5:$A$1005&lt;=$A736)*MOVIMIENTOS!$E$5:$E$1005)-SUMPRODUCT((MOVIMIENTOS!$B$5:$B$1005="VENTA CHANCHO")*(MOVIMIENTOS!$C$5:$C$1005="Chancho")*(MOVIMIENTOS!$D$5:$D$1005="sacos")*(MOVIMIENTOS!$A$5:$A$1005&lt;&gt;"")*(MOVIMIENTOS!$A$5:$A$1005&lt;=$A736)*MOVIMIENTOS!$E$5:$E$1005)-SUMPRODUCT((MOVIMIENTOS!$B$5:$B$1005="REGALO")*(MOVIMIENTOS!$C$5:$C$1005="Chancho")*(MOVIMIENTOS!$D$5:$D$1005="sacos")*(MOVIMIENTOS!$A$5:$A$1005&lt;&gt;"")*(MOVIMIENTOS!$A$5:$A$1005&lt;=$A736)*MOVIMIENTOS!$E$5:$E$1005)-SUMPRODUCT((MOVIMIENTOS!$B$5:$B$1005="VENTA")*(MOVIMIENTOS!$C$5:$C$1005="Chancho")*(MOVIMIENTOS!$D$5:$D$1005="sacos")*(MOVIMIENTOS!$A$5:$A$1005&lt;&gt;"")*(MOVIMIENTOS!$A$5:$A$1005&lt;=$A736)*MOVIMIENTOS!$E$5:$E$1005)+SUMPRODUCT((MOVIMIENTOS!$B$5:$B$1005="AJUSTE")*(MOVIMIENTOS!$C$5:$C$1005="Chancho")*(MOVIMIENTOS!$D$5:$D$1005="sacos")*(MOVIMIENTOS!$A$5:$A$1005&lt;&gt;"")*(MOVIMIENTOS!$A$5:$A$1005&lt;=$A736)*MOVIMIENTOS!$E$5:$E$1005))</f>
        <v/>
      </c>
      <c r="G736" s="62" t="str">
        <f t="shared" si="23"/>
        <v/>
      </c>
      <c r="H736" t="str">
        <f>IF($A736="","",SUMPRODUCT((((MOVIMIENTOS!$B$5:$B$1005="SALDO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736)*MOVIMIENTOS!$J$5:$J$1005))</f>
        <v/>
      </c>
      <c r="J736" t="str">
        <f>IF(AND(MOVIMIENTOS!$A741&lt;&gt;"",COUNTIF(MOVIMIENTOS!$A$5:$A740,MOVIMIENTOS!$A741)=0),COUNT(J$4:J735)+1,"")</f>
        <v/>
      </c>
      <c r="K736">
        <f>MOVIMIENTOS!$A741</f>
        <v>0</v>
      </c>
    </row>
    <row r="737" spans="1:11" ht="15" customHeight="1" x14ac:dyDescent="0.2">
      <c r="A737" t="str">
        <f t="shared" si="22"/>
        <v/>
      </c>
      <c r="B737" t="str">
        <f>IF($A737="","",SUMPRODUCT((MOVIMIENTOS!$B$5:$B$1005="SALDO INICIAL")*(MOVIMIENTOS!$C$5:$C$1005="A")*(MOVIMIENTOS!$D$5:$D$1005="jabas")*(MOVIMIENTOS!$A$5:$A$1005&lt;&gt;"")*(MOVIMIENTOS!$A$5:$A$1005&lt;=$A737)*MOVIMIENTOS!$E$5:$E$1005)+SUMPRODUCT((MOVIMIENTOS!$B$5:$B$1005="PROCESO")*(MOVIMIENTOS!$C$5:$C$1005="A")*(MOVIMIENTOS!$D$5:$D$1005="jabas")*(MOVIMIENTOS!$A$5:$A$1005&lt;&gt;"")*(MOVIMIENTOS!$A$5:$A$1005&lt;=$A737)*MOVIMIENTOS!$E$5:$E$1005)-SUMPRODUCT((MOVIMIENTOS!$B$5:$B$1005="ENVÍO A SUPESA")*(MOVIMIENTOS!$C$5:$C$1005="A")*(MOVIMIENTOS!$D$5:$D$1005="jabas")*(MOVIMIENTOS!$A$5:$A$1005&lt;&gt;"")*(MOVIMIENTOS!$A$5:$A$1005&lt;=$A737)*MOVIMIENTOS!$E$5:$E$1005)+SUMPRODUCT((MOVIMIENTOS!$B$5:$B$1005="DEVOLUCIÓN")*(MOVIMIENTOS!$C$5:$C$1005="A")*(MOVIMIENTOS!$D$5:$D$1005="jabas")*(MOVIMIENTOS!$A$5:$A$1005&lt;&gt;"")*(MOVIMIENTOS!$A$5:$A$1005&lt;=$A737)*MOVIMIENTOS!$E$5:$E$1005)-SUMPRODUCT((MOVIMIENTOS!$B$5:$B$1005="TRASIEGO")*(MOVIMIENTOS!$C$5:$C$1005="A")*(MOVIMIENTOS!$D$5:$D$1005="jabas")*(MOVIMIENTOS!$A$5:$A$1005&lt;&gt;"")*(MOVIMIENTOS!$A$5:$A$1005&lt;=$A737)*MOVIMIENTOS!$E$5:$E$1005)-SUMPRODUCT((MOVIMIENTOS!$B$5:$B$1005="REGALO")*(MOVIMIENTOS!$C$5:$C$1005="A")*(MOVIMIENTOS!$D$5:$D$1005="jabas")*(MOVIMIENTOS!$A$5:$A$1005&lt;&gt;"")*(MOVIMIENTOS!$A$5:$A$1005&lt;=$A737)*MOVIMIENTOS!$E$5:$E$1005)-SUMPRODUCT((MOVIMIENTOS!$B$5:$B$1005="VENTA")*(MOVIMIENTOS!$C$5:$C$1005="A")*(MOVIMIENTOS!$D$5:$D$1005="jabas")*(MOVIMIENTOS!$A$5:$A$1005&lt;&gt;"")*(MOVIMIENTOS!$A$5:$A$1005&lt;=$A737)*MOVIMIENTOS!$E$5:$E$1005)+SUMPRODUCT((MOVIMIENTOS!$B$5:$B$1005="AJUSTE")*(MOVIMIENTOS!$C$5:$C$1005="A")*(MOVIMIENTOS!$D$5:$D$1005="jabas")*(MOVIMIENTOS!$A$5:$A$1005&lt;&gt;"")*(MOVIMIENTOS!$A$5:$A$1005&lt;=$A737)*MOVIMIENTOS!$E$5:$E$1005))</f>
        <v/>
      </c>
      <c r="C737" t="str">
        <f>IF($A737="","",SUMPRODUCT((MOVIMIENTOS!$B$5:$B$1005="SALDO INICIAL")*(MOVIMIENTOS!$C$5:$C$1005="P")*(MOVIMIENTOS!$D$5:$D$1005="jabas")*(MOVIMIENTOS!$A$5:$A$1005&lt;&gt;"")*(MOVIMIENTOS!$A$5:$A$1005&lt;=$A737)*MOVIMIENTOS!$E$5:$E$1005)+SUMPRODUCT((MOVIMIENTOS!$B$5:$B$1005="PROCESO")*(MOVIMIENTOS!$C$5:$C$1005="P")*(MOVIMIENTOS!$D$5:$D$1005="jabas")*(MOVIMIENTOS!$A$5:$A$1005&lt;&gt;"")*(MOVIMIENTOS!$A$5:$A$1005&lt;=$A737)*MOVIMIENTOS!$E$5:$E$1005)-SUMPRODUCT((MOVIMIENTOS!$B$5:$B$1005="ENVÍO A SUPESA")*(MOVIMIENTOS!$C$5:$C$1005="P")*(MOVIMIENTOS!$D$5:$D$1005="jabas")*(MOVIMIENTOS!$A$5:$A$1005&lt;&gt;"")*(MOVIMIENTOS!$A$5:$A$1005&lt;=$A737)*MOVIMIENTOS!$E$5:$E$1005)+SUMPRODUCT((MOVIMIENTOS!$B$5:$B$1005="DEVOLUCIÓN")*(MOVIMIENTOS!$C$5:$C$1005="P")*(MOVIMIENTOS!$D$5:$D$1005="jabas")*(MOVIMIENTOS!$A$5:$A$1005&lt;&gt;"")*(MOVIMIENTOS!$A$5:$A$1005&lt;=$A737)*MOVIMIENTOS!$E$5:$E$1005)-SUMPRODUCT((MOVIMIENTOS!$B$5:$B$1005="TRASIEGO")*(MOVIMIENTOS!$C$5:$C$1005="P")*(MOVIMIENTOS!$D$5:$D$1005="jabas")*(MOVIMIENTOS!$A$5:$A$1005&lt;&gt;"")*(MOVIMIENTOS!$A$5:$A$1005&lt;=$A737)*MOVIMIENTOS!$E$5:$E$1005)-SUMPRODUCT((MOVIMIENTOS!$B$5:$B$1005="REGALO")*(MOVIMIENTOS!$C$5:$C$1005="P")*(MOVIMIENTOS!$D$5:$D$1005="jabas")*(MOVIMIENTOS!$A$5:$A$1005&lt;&gt;"")*(MOVIMIENTOS!$A$5:$A$1005&lt;=$A737)*MOVIMIENTOS!$E$5:$E$1005)-SUMPRODUCT((MOVIMIENTOS!$B$5:$B$1005="VENTA")*(MOVIMIENTOS!$C$5:$C$1005="P")*(MOVIMIENTOS!$D$5:$D$1005="jabas")*(MOVIMIENTOS!$A$5:$A$1005&lt;&gt;"")*(MOVIMIENTOS!$A$5:$A$1005&lt;=$A737)*MOVIMIENTOS!$E$5:$E$1005)+SUMPRODUCT((MOVIMIENTOS!$B$5:$B$1005="AJUSTE")*(MOVIMIENTOS!$C$5:$C$1005="P")*(MOVIMIENTOS!$D$5:$D$1005="jabas")*(MOVIMIENTOS!$A$5:$A$1005&lt;&gt;"")*(MOVIMIENTOS!$A$5:$A$1005&lt;=$A737)*MOVIMIENTOS!$E$5:$E$1005))</f>
        <v/>
      </c>
      <c r="D737" t="str">
        <f>IF($A737="","",SUMPRODUCT((MOVIMIENTOS!$B$5:$B$1005="SALDO INICIAL")*(MOVIMIENTOS!$C$5:$C$1005="C")*(MOVIMIENTOS!$D$5:$D$1005="jabas")*(MOVIMIENTOS!$A$5:$A$1005&lt;&gt;"")*(MOVIMIENTOS!$A$5:$A$1005&lt;=$A737)*MOVIMIENTOS!$E$5:$E$1005)+SUMPRODUCT((MOVIMIENTOS!$B$5:$B$1005="PROCESO")*(MOVIMIENTOS!$C$5:$C$1005="C")*(MOVIMIENTOS!$D$5:$D$1005="jabas")*(MOVIMIENTOS!$A$5:$A$1005&lt;&gt;"")*(MOVIMIENTOS!$A$5:$A$1005&lt;=$A737)*MOVIMIENTOS!$E$5:$E$1005)-SUMPRODUCT((MOVIMIENTOS!$B$5:$B$1005="ENVÍO A SUPESA")*(MOVIMIENTOS!$C$5:$C$1005="C")*(MOVIMIENTOS!$D$5:$D$1005="jabas")*(MOVIMIENTOS!$A$5:$A$1005&lt;&gt;"")*(MOVIMIENTOS!$A$5:$A$1005&lt;=$A737)*MOVIMIENTOS!$E$5:$E$1005)+SUMPRODUCT((MOVIMIENTOS!$B$5:$B$1005="DEVOLUCIÓN")*(MOVIMIENTOS!$C$5:$C$1005="C")*(MOVIMIENTOS!$D$5:$D$1005="jabas")*(MOVIMIENTOS!$A$5:$A$1005&lt;&gt;"")*(MOVIMIENTOS!$A$5:$A$1005&lt;=$A737)*MOVIMIENTOS!$E$5:$E$1005)-SUMPRODUCT((MOVIMIENTOS!$B$5:$B$1005="TRASIEGO")*(MOVIMIENTOS!$C$5:$C$1005="C")*(MOVIMIENTOS!$D$5:$D$1005="jabas")*(MOVIMIENTOS!$A$5:$A$1005&lt;&gt;"")*(MOVIMIENTOS!$A$5:$A$1005&lt;=$A737)*MOVIMIENTOS!$E$5:$E$1005)-SUMPRODUCT((MOVIMIENTOS!$B$5:$B$1005="REGALO")*(MOVIMIENTOS!$C$5:$C$1005="C")*(MOVIMIENTOS!$D$5:$D$1005="jabas")*(MOVIMIENTOS!$A$5:$A$1005&lt;&gt;"")*(MOVIMIENTOS!$A$5:$A$1005&lt;=$A737)*MOVIMIENTOS!$E$5:$E$1005)-SUMPRODUCT((MOVIMIENTOS!$B$5:$B$1005="VENTA")*(MOVIMIENTOS!$C$5:$C$1005="C")*(MOVIMIENTOS!$D$5:$D$1005="jabas")*(MOVIMIENTOS!$A$5:$A$1005&lt;&gt;"")*(MOVIMIENTOS!$A$5:$A$1005&lt;=$A737)*MOVIMIENTOS!$E$5:$E$1005)+SUMPRODUCT((MOVIMIENTOS!$B$5:$B$1005="AJUSTE")*(MOVIMIENTOS!$C$5:$C$1005="C")*(MOVIMIENTOS!$D$5:$D$1005="jabas")*(MOVIMIENTOS!$A$5:$A$1005&lt;&gt;"")*(MOVIMIENTOS!$A$5:$A$1005&lt;=$A737)*MOVIMIENTOS!$E$5:$E$1005))</f>
        <v/>
      </c>
      <c r="E737" t="str">
        <f>IF($A737="","",SUMPRODUCT((MOVIMIENTOS!$B$5:$B$1005="SALDO INICIAL")*(MOVIMIENTOS!$C$5:$C$1005="M")*(MOVIMIENTOS!$D$5:$D$1005="jabas")*(MOVIMIENTOS!$A$5:$A$1005&lt;&gt;"")*(MOVIMIENTOS!$A$5:$A$1005&lt;=$A737)*MOVIMIENTOS!$E$5:$E$1005)+SUMPRODUCT((MOVIMIENTOS!$B$5:$B$1005="PROCESO")*(MOVIMIENTOS!$C$5:$C$1005="M")*(MOVIMIENTOS!$D$5:$D$1005="jabas")*(MOVIMIENTOS!$A$5:$A$1005&lt;&gt;"")*(MOVIMIENTOS!$A$5:$A$1005&lt;=$A737)*MOVIMIENTOS!$E$5:$E$1005)-SUMPRODUCT((MOVIMIENTOS!$B$5:$B$1005="ENVÍO A SUPESA")*(MOVIMIENTOS!$C$5:$C$1005="M")*(MOVIMIENTOS!$D$5:$D$1005="jabas")*(MOVIMIENTOS!$A$5:$A$1005&lt;&gt;"")*(MOVIMIENTOS!$A$5:$A$1005&lt;=$A737)*MOVIMIENTOS!$E$5:$E$1005)+SUMPRODUCT((MOVIMIENTOS!$B$5:$B$1005="DEVOLUCIÓN")*(MOVIMIENTOS!$C$5:$C$1005="M")*(MOVIMIENTOS!$D$5:$D$1005="jabas")*(MOVIMIENTOS!$A$5:$A$1005&lt;&gt;"")*(MOVIMIENTOS!$A$5:$A$1005&lt;=$A737)*MOVIMIENTOS!$E$5:$E$1005)-SUMPRODUCT((MOVIMIENTOS!$B$5:$B$1005="TRASIEGO")*(MOVIMIENTOS!$C$5:$C$1005="M")*(MOVIMIENTOS!$D$5:$D$1005="jabas")*(MOVIMIENTOS!$A$5:$A$1005&lt;&gt;"")*(MOVIMIENTOS!$A$5:$A$1005&lt;=$A737)*MOVIMIENTOS!$E$5:$E$1005)-SUMPRODUCT((MOVIMIENTOS!$B$5:$B$1005="REGALO")*(MOVIMIENTOS!$C$5:$C$1005="M")*(MOVIMIENTOS!$D$5:$D$1005="jabas")*(MOVIMIENTOS!$A$5:$A$1005&lt;&gt;"")*(MOVIMIENTOS!$A$5:$A$1005&lt;=$A737)*MOVIMIENTOS!$E$5:$E$1005)-SUMPRODUCT((MOVIMIENTOS!$B$5:$B$1005="VENTA")*(MOVIMIENTOS!$C$5:$C$1005="M")*(MOVIMIENTOS!$D$5:$D$1005="jabas")*(MOVIMIENTOS!$A$5:$A$1005&lt;&gt;"")*(MOVIMIENTOS!$A$5:$A$1005&lt;=$A737)*MOVIMIENTOS!$E$5:$E$1005)+SUMPRODUCT((MOVIMIENTOS!$B$5:$B$1005="AJUSTE")*(MOVIMIENTOS!$C$5:$C$1005="M")*(MOVIMIENTOS!$D$5:$D$1005="jabas")*(MOVIMIENTOS!$A$5:$A$1005&lt;&gt;"")*(MOVIMIENTOS!$A$5:$A$1005&lt;=$A737)*MOVIMIENTOS!$E$5:$E$1005))</f>
        <v/>
      </c>
      <c r="F737" s="62" t="str">
        <f>IF($A737="","",SUMPRODUCT((MOVIMIENTOS!$B$5:$B$1005="SALDO INICIAL")*(MOVIMIENTOS!$C$5:$C$1005="Chancho")*(MOVIMIENTOS!$D$5:$D$1005="sacos")*(MOVIMIENTOS!$A$5:$A$1005&lt;&gt;"")*(MOVIMIENTOS!$A$5:$A$1005&lt;=$A737)*MOVIMIENTOS!$E$5:$E$1005)+SUMPRODUCT((MOVIMIENTOS!$B$5:$B$1005="PROCESO")*(MOVIMIENTOS!$C$5:$C$1005="Chancho")*(MOVIMIENTOS!$D$5:$D$1005="sacos")*(MOVIMIENTOS!$A$5:$A$1005&lt;&gt;"")*(MOVIMIENTOS!$A$5:$A$1005&lt;=$A737)*MOVIMIENTOS!$E$5:$E$1005)-SUMPRODUCT((MOVIMIENTOS!$B$5:$B$1005="VENTA CHANCHO")*(MOVIMIENTOS!$C$5:$C$1005="Chancho")*(MOVIMIENTOS!$D$5:$D$1005="sacos")*(MOVIMIENTOS!$A$5:$A$1005&lt;&gt;"")*(MOVIMIENTOS!$A$5:$A$1005&lt;=$A737)*MOVIMIENTOS!$E$5:$E$1005)-SUMPRODUCT((MOVIMIENTOS!$B$5:$B$1005="REGALO")*(MOVIMIENTOS!$C$5:$C$1005="Chancho")*(MOVIMIENTOS!$D$5:$D$1005="sacos")*(MOVIMIENTOS!$A$5:$A$1005&lt;&gt;"")*(MOVIMIENTOS!$A$5:$A$1005&lt;=$A737)*MOVIMIENTOS!$E$5:$E$1005)-SUMPRODUCT((MOVIMIENTOS!$B$5:$B$1005="VENTA")*(MOVIMIENTOS!$C$5:$C$1005="Chancho")*(MOVIMIENTOS!$D$5:$D$1005="sacos")*(MOVIMIENTOS!$A$5:$A$1005&lt;&gt;"")*(MOVIMIENTOS!$A$5:$A$1005&lt;=$A737)*MOVIMIENTOS!$E$5:$E$1005)+SUMPRODUCT((MOVIMIENTOS!$B$5:$B$1005="AJUSTE")*(MOVIMIENTOS!$C$5:$C$1005="Chancho")*(MOVIMIENTOS!$D$5:$D$1005="sacos")*(MOVIMIENTOS!$A$5:$A$1005&lt;&gt;"")*(MOVIMIENTOS!$A$5:$A$1005&lt;=$A737)*MOVIMIENTOS!$E$5:$E$1005))</f>
        <v/>
      </c>
      <c r="G737" s="62" t="str">
        <f t="shared" si="23"/>
        <v/>
      </c>
      <c r="H737" t="str">
        <f>IF($A737="","",SUMPRODUCT((((MOVIMIENTOS!$B$5:$B$1005="SALDO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737)*MOVIMIENTOS!$J$5:$J$1005))</f>
        <v/>
      </c>
      <c r="J737" t="str">
        <f>IF(AND(MOVIMIENTOS!$A742&lt;&gt;"",COUNTIF(MOVIMIENTOS!$A$5:$A741,MOVIMIENTOS!$A742)=0),COUNT(J$4:J736)+1,"")</f>
        <v/>
      </c>
      <c r="K737">
        <f>MOVIMIENTOS!$A742</f>
        <v>0</v>
      </c>
    </row>
    <row r="738" spans="1:11" ht="15" customHeight="1" x14ac:dyDescent="0.2">
      <c r="A738" t="str">
        <f t="shared" si="22"/>
        <v/>
      </c>
      <c r="B738" t="str">
        <f>IF($A738="","",SUMPRODUCT((MOVIMIENTOS!$B$5:$B$1005="SALDO INICIAL")*(MOVIMIENTOS!$C$5:$C$1005="A")*(MOVIMIENTOS!$D$5:$D$1005="jabas")*(MOVIMIENTOS!$A$5:$A$1005&lt;&gt;"")*(MOVIMIENTOS!$A$5:$A$1005&lt;=$A738)*MOVIMIENTOS!$E$5:$E$1005)+SUMPRODUCT((MOVIMIENTOS!$B$5:$B$1005="PROCESO")*(MOVIMIENTOS!$C$5:$C$1005="A")*(MOVIMIENTOS!$D$5:$D$1005="jabas")*(MOVIMIENTOS!$A$5:$A$1005&lt;&gt;"")*(MOVIMIENTOS!$A$5:$A$1005&lt;=$A738)*MOVIMIENTOS!$E$5:$E$1005)-SUMPRODUCT((MOVIMIENTOS!$B$5:$B$1005="ENVÍO A SUPESA")*(MOVIMIENTOS!$C$5:$C$1005="A")*(MOVIMIENTOS!$D$5:$D$1005="jabas")*(MOVIMIENTOS!$A$5:$A$1005&lt;&gt;"")*(MOVIMIENTOS!$A$5:$A$1005&lt;=$A738)*MOVIMIENTOS!$E$5:$E$1005)+SUMPRODUCT((MOVIMIENTOS!$B$5:$B$1005="DEVOLUCIÓN")*(MOVIMIENTOS!$C$5:$C$1005="A")*(MOVIMIENTOS!$D$5:$D$1005="jabas")*(MOVIMIENTOS!$A$5:$A$1005&lt;&gt;"")*(MOVIMIENTOS!$A$5:$A$1005&lt;=$A738)*MOVIMIENTOS!$E$5:$E$1005)-SUMPRODUCT((MOVIMIENTOS!$B$5:$B$1005="TRASIEGO")*(MOVIMIENTOS!$C$5:$C$1005="A")*(MOVIMIENTOS!$D$5:$D$1005="jabas")*(MOVIMIENTOS!$A$5:$A$1005&lt;&gt;"")*(MOVIMIENTOS!$A$5:$A$1005&lt;=$A738)*MOVIMIENTOS!$E$5:$E$1005)-SUMPRODUCT((MOVIMIENTOS!$B$5:$B$1005="REGALO")*(MOVIMIENTOS!$C$5:$C$1005="A")*(MOVIMIENTOS!$D$5:$D$1005="jabas")*(MOVIMIENTOS!$A$5:$A$1005&lt;&gt;"")*(MOVIMIENTOS!$A$5:$A$1005&lt;=$A738)*MOVIMIENTOS!$E$5:$E$1005)-SUMPRODUCT((MOVIMIENTOS!$B$5:$B$1005="VENTA")*(MOVIMIENTOS!$C$5:$C$1005="A")*(MOVIMIENTOS!$D$5:$D$1005="jabas")*(MOVIMIENTOS!$A$5:$A$1005&lt;&gt;"")*(MOVIMIENTOS!$A$5:$A$1005&lt;=$A738)*MOVIMIENTOS!$E$5:$E$1005)+SUMPRODUCT((MOVIMIENTOS!$B$5:$B$1005="AJUSTE")*(MOVIMIENTOS!$C$5:$C$1005="A")*(MOVIMIENTOS!$D$5:$D$1005="jabas")*(MOVIMIENTOS!$A$5:$A$1005&lt;&gt;"")*(MOVIMIENTOS!$A$5:$A$1005&lt;=$A738)*MOVIMIENTOS!$E$5:$E$1005))</f>
        <v/>
      </c>
      <c r="C738" t="str">
        <f>IF($A738="","",SUMPRODUCT((MOVIMIENTOS!$B$5:$B$1005="SALDO INICIAL")*(MOVIMIENTOS!$C$5:$C$1005="P")*(MOVIMIENTOS!$D$5:$D$1005="jabas")*(MOVIMIENTOS!$A$5:$A$1005&lt;&gt;"")*(MOVIMIENTOS!$A$5:$A$1005&lt;=$A738)*MOVIMIENTOS!$E$5:$E$1005)+SUMPRODUCT((MOVIMIENTOS!$B$5:$B$1005="PROCESO")*(MOVIMIENTOS!$C$5:$C$1005="P")*(MOVIMIENTOS!$D$5:$D$1005="jabas")*(MOVIMIENTOS!$A$5:$A$1005&lt;&gt;"")*(MOVIMIENTOS!$A$5:$A$1005&lt;=$A738)*MOVIMIENTOS!$E$5:$E$1005)-SUMPRODUCT((MOVIMIENTOS!$B$5:$B$1005="ENVÍO A SUPESA")*(MOVIMIENTOS!$C$5:$C$1005="P")*(MOVIMIENTOS!$D$5:$D$1005="jabas")*(MOVIMIENTOS!$A$5:$A$1005&lt;&gt;"")*(MOVIMIENTOS!$A$5:$A$1005&lt;=$A738)*MOVIMIENTOS!$E$5:$E$1005)+SUMPRODUCT((MOVIMIENTOS!$B$5:$B$1005="DEVOLUCIÓN")*(MOVIMIENTOS!$C$5:$C$1005="P")*(MOVIMIENTOS!$D$5:$D$1005="jabas")*(MOVIMIENTOS!$A$5:$A$1005&lt;&gt;"")*(MOVIMIENTOS!$A$5:$A$1005&lt;=$A738)*MOVIMIENTOS!$E$5:$E$1005)-SUMPRODUCT((MOVIMIENTOS!$B$5:$B$1005="TRASIEGO")*(MOVIMIENTOS!$C$5:$C$1005="P")*(MOVIMIENTOS!$D$5:$D$1005="jabas")*(MOVIMIENTOS!$A$5:$A$1005&lt;&gt;"")*(MOVIMIENTOS!$A$5:$A$1005&lt;=$A738)*MOVIMIENTOS!$E$5:$E$1005)-SUMPRODUCT((MOVIMIENTOS!$B$5:$B$1005="REGALO")*(MOVIMIENTOS!$C$5:$C$1005="P")*(MOVIMIENTOS!$D$5:$D$1005="jabas")*(MOVIMIENTOS!$A$5:$A$1005&lt;&gt;"")*(MOVIMIENTOS!$A$5:$A$1005&lt;=$A738)*MOVIMIENTOS!$E$5:$E$1005)-SUMPRODUCT((MOVIMIENTOS!$B$5:$B$1005="VENTA")*(MOVIMIENTOS!$C$5:$C$1005="P")*(MOVIMIENTOS!$D$5:$D$1005="jabas")*(MOVIMIENTOS!$A$5:$A$1005&lt;&gt;"")*(MOVIMIENTOS!$A$5:$A$1005&lt;=$A738)*MOVIMIENTOS!$E$5:$E$1005)+SUMPRODUCT((MOVIMIENTOS!$B$5:$B$1005="AJUSTE")*(MOVIMIENTOS!$C$5:$C$1005="P")*(MOVIMIENTOS!$D$5:$D$1005="jabas")*(MOVIMIENTOS!$A$5:$A$1005&lt;&gt;"")*(MOVIMIENTOS!$A$5:$A$1005&lt;=$A738)*MOVIMIENTOS!$E$5:$E$1005))</f>
        <v/>
      </c>
      <c r="D738" t="str">
        <f>IF($A738="","",SUMPRODUCT((MOVIMIENTOS!$B$5:$B$1005="SALDO INICIAL")*(MOVIMIENTOS!$C$5:$C$1005="C")*(MOVIMIENTOS!$D$5:$D$1005="jabas")*(MOVIMIENTOS!$A$5:$A$1005&lt;&gt;"")*(MOVIMIENTOS!$A$5:$A$1005&lt;=$A738)*MOVIMIENTOS!$E$5:$E$1005)+SUMPRODUCT((MOVIMIENTOS!$B$5:$B$1005="PROCESO")*(MOVIMIENTOS!$C$5:$C$1005="C")*(MOVIMIENTOS!$D$5:$D$1005="jabas")*(MOVIMIENTOS!$A$5:$A$1005&lt;&gt;"")*(MOVIMIENTOS!$A$5:$A$1005&lt;=$A738)*MOVIMIENTOS!$E$5:$E$1005)-SUMPRODUCT((MOVIMIENTOS!$B$5:$B$1005="ENVÍO A SUPESA")*(MOVIMIENTOS!$C$5:$C$1005="C")*(MOVIMIENTOS!$D$5:$D$1005="jabas")*(MOVIMIENTOS!$A$5:$A$1005&lt;&gt;"")*(MOVIMIENTOS!$A$5:$A$1005&lt;=$A738)*MOVIMIENTOS!$E$5:$E$1005)+SUMPRODUCT((MOVIMIENTOS!$B$5:$B$1005="DEVOLUCIÓN")*(MOVIMIENTOS!$C$5:$C$1005="C")*(MOVIMIENTOS!$D$5:$D$1005="jabas")*(MOVIMIENTOS!$A$5:$A$1005&lt;&gt;"")*(MOVIMIENTOS!$A$5:$A$1005&lt;=$A738)*MOVIMIENTOS!$E$5:$E$1005)-SUMPRODUCT((MOVIMIENTOS!$B$5:$B$1005="TRASIEGO")*(MOVIMIENTOS!$C$5:$C$1005="C")*(MOVIMIENTOS!$D$5:$D$1005="jabas")*(MOVIMIENTOS!$A$5:$A$1005&lt;&gt;"")*(MOVIMIENTOS!$A$5:$A$1005&lt;=$A738)*MOVIMIENTOS!$E$5:$E$1005)-SUMPRODUCT((MOVIMIENTOS!$B$5:$B$1005="REGALO")*(MOVIMIENTOS!$C$5:$C$1005="C")*(MOVIMIENTOS!$D$5:$D$1005="jabas")*(MOVIMIENTOS!$A$5:$A$1005&lt;&gt;"")*(MOVIMIENTOS!$A$5:$A$1005&lt;=$A738)*MOVIMIENTOS!$E$5:$E$1005)-SUMPRODUCT((MOVIMIENTOS!$B$5:$B$1005="VENTA")*(MOVIMIENTOS!$C$5:$C$1005="C")*(MOVIMIENTOS!$D$5:$D$1005="jabas")*(MOVIMIENTOS!$A$5:$A$1005&lt;&gt;"")*(MOVIMIENTOS!$A$5:$A$1005&lt;=$A738)*MOVIMIENTOS!$E$5:$E$1005)+SUMPRODUCT((MOVIMIENTOS!$B$5:$B$1005="AJUSTE")*(MOVIMIENTOS!$C$5:$C$1005="C")*(MOVIMIENTOS!$D$5:$D$1005="jabas")*(MOVIMIENTOS!$A$5:$A$1005&lt;&gt;"")*(MOVIMIENTOS!$A$5:$A$1005&lt;=$A738)*MOVIMIENTOS!$E$5:$E$1005))</f>
        <v/>
      </c>
      <c r="E738" t="str">
        <f>IF($A738="","",SUMPRODUCT((MOVIMIENTOS!$B$5:$B$1005="SALDO INICIAL")*(MOVIMIENTOS!$C$5:$C$1005="M")*(MOVIMIENTOS!$D$5:$D$1005="jabas")*(MOVIMIENTOS!$A$5:$A$1005&lt;&gt;"")*(MOVIMIENTOS!$A$5:$A$1005&lt;=$A738)*MOVIMIENTOS!$E$5:$E$1005)+SUMPRODUCT((MOVIMIENTOS!$B$5:$B$1005="PROCESO")*(MOVIMIENTOS!$C$5:$C$1005="M")*(MOVIMIENTOS!$D$5:$D$1005="jabas")*(MOVIMIENTOS!$A$5:$A$1005&lt;&gt;"")*(MOVIMIENTOS!$A$5:$A$1005&lt;=$A738)*MOVIMIENTOS!$E$5:$E$1005)-SUMPRODUCT((MOVIMIENTOS!$B$5:$B$1005="ENVÍO A SUPESA")*(MOVIMIENTOS!$C$5:$C$1005="M")*(MOVIMIENTOS!$D$5:$D$1005="jabas")*(MOVIMIENTOS!$A$5:$A$1005&lt;&gt;"")*(MOVIMIENTOS!$A$5:$A$1005&lt;=$A738)*MOVIMIENTOS!$E$5:$E$1005)+SUMPRODUCT((MOVIMIENTOS!$B$5:$B$1005="DEVOLUCIÓN")*(MOVIMIENTOS!$C$5:$C$1005="M")*(MOVIMIENTOS!$D$5:$D$1005="jabas")*(MOVIMIENTOS!$A$5:$A$1005&lt;&gt;"")*(MOVIMIENTOS!$A$5:$A$1005&lt;=$A738)*MOVIMIENTOS!$E$5:$E$1005)-SUMPRODUCT((MOVIMIENTOS!$B$5:$B$1005="TRASIEGO")*(MOVIMIENTOS!$C$5:$C$1005="M")*(MOVIMIENTOS!$D$5:$D$1005="jabas")*(MOVIMIENTOS!$A$5:$A$1005&lt;&gt;"")*(MOVIMIENTOS!$A$5:$A$1005&lt;=$A738)*MOVIMIENTOS!$E$5:$E$1005)-SUMPRODUCT((MOVIMIENTOS!$B$5:$B$1005="REGALO")*(MOVIMIENTOS!$C$5:$C$1005="M")*(MOVIMIENTOS!$D$5:$D$1005="jabas")*(MOVIMIENTOS!$A$5:$A$1005&lt;&gt;"")*(MOVIMIENTOS!$A$5:$A$1005&lt;=$A738)*MOVIMIENTOS!$E$5:$E$1005)-SUMPRODUCT((MOVIMIENTOS!$B$5:$B$1005="VENTA")*(MOVIMIENTOS!$C$5:$C$1005="M")*(MOVIMIENTOS!$D$5:$D$1005="jabas")*(MOVIMIENTOS!$A$5:$A$1005&lt;&gt;"")*(MOVIMIENTOS!$A$5:$A$1005&lt;=$A738)*MOVIMIENTOS!$E$5:$E$1005)+SUMPRODUCT((MOVIMIENTOS!$B$5:$B$1005="AJUSTE")*(MOVIMIENTOS!$C$5:$C$1005="M")*(MOVIMIENTOS!$D$5:$D$1005="jabas")*(MOVIMIENTOS!$A$5:$A$1005&lt;&gt;"")*(MOVIMIENTOS!$A$5:$A$1005&lt;=$A738)*MOVIMIENTOS!$E$5:$E$1005))</f>
        <v/>
      </c>
      <c r="F738" s="62" t="str">
        <f>IF($A738="","",SUMPRODUCT((MOVIMIENTOS!$B$5:$B$1005="SALDO INICIAL")*(MOVIMIENTOS!$C$5:$C$1005="Chancho")*(MOVIMIENTOS!$D$5:$D$1005="sacos")*(MOVIMIENTOS!$A$5:$A$1005&lt;&gt;"")*(MOVIMIENTOS!$A$5:$A$1005&lt;=$A738)*MOVIMIENTOS!$E$5:$E$1005)+SUMPRODUCT((MOVIMIENTOS!$B$5:$B$1005="PROCESO")*(MOVIMIENTOS!$C$5:$C$1005="Chancho")*(MOVIMIENTOS!$D$5:$D$1005="sacos")*(MOVIMIENTOS!$A$5:$A$1005&lt;&gt;"")*(MOVIMIENTOS!$A$5:$A$1005&lt;=$A738)*MOVIMIENTOS!$E$5:$E$1005)-SUMPRODUCT((MOVIMIENTOS!$B$5:$B$1005="VENTA CHANCHO")*(MOVIMIENTOS!$C$5:$C$1005="Chancho")*(MOVIMIENTOS!$D$5:$D$1005="sacos")*(MOVIMIENTOS!$A$5:$A$1005&lt;&gt;"")*(MOVIMIENTOS!$A$5:$A$1005&lt;=$A738)*MOVIMIENTOS!$E$5:$E$1005)-SUMPRODUCT((MOVIMIENTOS!$B$5:$B$1005="REGALO")*(MOVIMIENTOS!$C$5:$C$1005="Chancho")*(MOVIMIENTOS!$D$5:$D$1005="sacos")*(MOVIMIENTOS!$A$5:$A$1005&lt;&gt;"")*(MOVIMIENTOS!$A$5:$A$1005&lt;=$A738)*MOVIMIENTOS!$E$5:$E$1005)-SUMPRODUCT((MOVIMIENTOS!$B$5:$B$1005="VENTA")*(MOVIMIENTOS!$C$5:$C$1005="Chancho")*(MOVIMIENTOS!$D$5:$D$1005="sacos")*(MOVIMIENTOS!$A$5:$A$1005&lt;&gt;"")*(MOVIMIENTOS!$A$5:$A$1005&lt;=$A738)*MOVIMIENTOS!$E$5:$E$1005)+SUMPRODUCT((MOVIMIENTOS!$B$5:$B$1005="AJUSTE")*(MOVIMIENTOS!$C$5:$C$1005="Chancho")*(MOVIMIENTOS!$D$5:$D$1005="sacos")*(MOVIMIENTOS!$A$5:$A$1005&lt;&gt;"")*(MOVIMIENTOS!$A$5:$A$1005&lt;=$A738)*MOVIMIENTOS!$E$5:$E$1005))</f>
        <v/>
      </c>
      <c r="G738" s="62" t="str">
        <f t="shared" si="23"/>
        <v/>
      </c>
      <c r="H738" t="str">
        <f>IF($A738="","",SUMPRODUCT((((MOVIMIENTOS!$B$5:$B$1005="SALDO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738)*MOVIMIENTOS!$J$5:$J$1005))</f>
        <v/>
      </c>
      <c r="J738" t="str">
        <f>IF(AND(MOVIMIENTOS!$A743&lt;&gt;"",COUNTIF(MOVIMIENTOS!$A$5:$A742,MOVIMIENTOS!$A743)=0),COUNT(J$4:J737)+1,"")</f>
        <v/>
      </c>
      <c r="K738">
        <f>MOVIMIENTOS!$A743</f>
        <v>0</v>
      </c>
    </row>
    <row r="739" spans="1:11" ht="15" customHeight="1" x14ac:dyDescent="0.2">
      <c r="A739" t="str">
        <f t="shared" si="22"/>
        <v/>
      </c>
      <c r="B739" t="str">
        <f>IF($A739="","",SUMPRODUCT((MOVIMIENTOS!$B$5:$B$1005="SALDO INICIAL")*(MOVIMIENTOS!$C$5:$C$1005="A")*(MOVIMIENTOS!$D$5:$D$1005="jabas")*(MOVIMIENTOS!$A$5:$A$1005&lt;&gt;"")*(MOVIMIENTOS!$A$5:$A$1005&lt;=$A739)*MOVIMIENTOS!$E$5:$E$1005)+SUMPRODUCT((MOVIMIENTOS!$B$5:$B$1005="PROCESO")*(MOVIMIENTOS!$C$5:$C$1005="A")*(MOVIMIENTOS!$D$5:$D$1005="jabas")*(MOVIMIENTOS!$A$5:$A$1005&lt;&gt;"")*(MOVIMIENTOS!$A$5:$A$1005&lt;=$A739)*MOVIMIENTOS!$E$5:$E$1005)-SUMPRODUCT((MOVIMIENTOS!$B$5:$B$1005="ENVÍO A SUPESA")*(MOVIMIENTOS!$C$5:$C$1005="A")*(MOVIMIENTOS!$D$5:$D$1005="jabas")*(MOVIMIENTOS!$A$5:$A$1005&lt;&gt;"")*(MOVIMIENTOS!$A$5:$A$1005&lt;=$A739)*MOVIMIENTOS!$E$5:$E$1005)+SUMPRODUCT((MOVIMIENTOS!$B$5:$B$1005="DEVOLUCIÓN")*(MOVIMIENTOS!$C$5:$C$1005="A")*(MOVIMIENTOS!$D$5:$D$1005="jabas")*(MOVIMIENTOS!$A$5:$A$1005&lt;&gt;"")*(MOVIMIENTOS!$A$5:$A$1005&lt;=$A739)*MOVIMIENTOS!$E$5:$E$1005)-SUMPRODUCT((MOVIMIENTOS!$B$5:$B$1005="TRASIEGO")*(MOVIMIENTOS!$C$5:$C$1005="A")*(MOVIMIENTOS!$D$5:$D$1005="jabas")*(MOVIMIENTOS!$A$5:$A$1005&lt;&gt;"")*(MOVIMIENTOS!$A$5:$A$1005&lt;=$A739)*MOVIMIENTOS!$E$5:$E$1005)-SUMPRODUCT((MOVIMIENTOS!$B$5:$B$1005="REGALO")*(MOVIMIENTOS!$C$5:$C$1005="A")*(MOVIMIENTOS!$D$5:$D$1005="jabas")*(MOVIMIENTOS!$A$5:$A$1005&lt;&gt;"")*(MOVIMIENTOS!$A$5:$A$1005&lt;=$A739)*MOVIMIENTOS!$E$5:$E$1005)-SUMPRODUCT((MOVIMIENTOS!$B$5:$B$1005="VENTA")*(MOVIMIENTOS!$C$5:$C$1005="A")*(MOVIMIENTOS!$D$5:$D$1005="jabas")*(MOVIMIENTOS!$A$5:$A$1005&lt;&gt;"")*(MOVIMIENTOS!$A$5:$A$1005&lt;=$A739)*MOVIMIENTOS!$E$5:$E$1005)+SUMPRODUCT((MOVIMIENTOS!$B$5:$B$1005="AJUSTE")*(MOVIMIENTOS!$C$5:$C$1005="A")*(MOVIMIENTOS!$D$5:$D$1005="jabas")*(MOVIMIENTOS!$A$5:$A$1005&lt;&gt;"")*(MOVIMIENTOS!$A$5:$A$1005&lt;=$A739)*MOVIMIENTOS!$E$5:$E$1005))</f>
        <v/>
      </c>
      <c r="C739" t="str">
        <f>IF($A739="","",SUMPRODUCT((MOVIMIENTOS!$B$5:$B$1005="SALDO INICIAL")*(MOVIMIENTOS!$C$5:$C$1005="P")*(MOVIMIENTOS!$D$5:$D$1005="jabas")*(MOVIMIENTOS!$A$5:$A$1005&lt;&gt;"")*(MOVIMIENTOS!$A$5:$A$1005&lt;=$A739)*MOVIMIENTOS!$E$5:$E$1005)+SUMPRODUCT((MOVIMIENTOS!$B$5:$B$1005="PROCESO")*(MOVIMIENTOS!$C$5:$C$1005="P")*(MOVIMIENTOS!$D$5:$D$1005="jabas")*(MOVIMIENTOS!$A$5:$A$1005&lt;&gt;"")*(MOVIMIENTOS!$A$5:$A$1005&lt;=$A739)*MOVIMIENTOS!$E$5:$E$1005)-SUMPRODUCT((MOVIMIENTOS!$B$5:$B$1005="ENVÍO A SUPESA")*(MOVIMIENTOS!$C$5:$C$1005="P")*(MOVIMIENTOS!$D$5:$D$1005="jabas")*(MOVIMIENTOS!$A$5:$A$1005&lt;&gt;"")*(MOVIMIENTOS!$A$5:$A$1005&lt;=$A739)*MOVIMIENTOS!$E$5:$E$1005)+SUMPRODUCT((MOVIMIENTOS!$B$5:$B$1005="DEVOLUCIÓN")*(MOVIMIENTOS!$C$5:$C$1005="P")*(MOVIMIENTOS!$D$5:$D$1005="jabas")*(MOVIMIENTOS!$A$5:$A$1005&lt;&gt;"")*(MOVIMIENTOS!$A$5:$A$1005&lt;=$A739)*MOVIMIENTOS!$E$5:$E$1005)-SUMPRODUCT((MOVIMIENTOS!$B$5:$B$1005="TRASIEGO")*(MOVIMIENTOS!$C$5:$C$1005="P")*(MOVIMIENTOS!$D$5:$D$1005="jabas")*(MOVIMIENTOS!$A$5:$A$1005&lt;&gt;"")*(MOVIMIENTOS!$A$5:$A$1005&lt;=$A739)*MOVIMIENTOS!$E$5:$E$1005)-SUMPRODUCT((MOVIMIENTOS!$B$5:$B$1005="REGALO")*(MOVIMIENTOS!$C$5:$C$1005="P")*(MOVIMIENTOS!$D$5:$D$1005="jabas")*(MOVIMIENTOS!$A$5:$A$1005&lt;&gt;"")*(MOVIMIENTOS!$A$5:$A$1005&lt;=$A739)*MOVIMIENTOS!$E$5:$E$1005)-SUMPRODUCT((MOVIMIENTOS!$B$5:$B$1005="VENTA")*(MOVIMIENTOS!$C$5:$C$1005="P")*(MOVIMIENTOS!$D$5:$D$1005="jabas")*(MOVIMIENTOS!$A$5:$A$1005&lt;&gt;"")*(MOVIMIENTOS!$A$5:$A$1005&lt;=$A739)*MOVIMIENTOS!$E$5:$E$1005)+SUMPRODUCT((MOVIMIENTOS!$B$5:$B$1005="AJUSTE")*(MOVIMIENTOS!$C$5:$C$1005="P")*(MOVIMIENTOS!$D$5:$D$1005="jabas")*(MOVIMIENTOS!$A$5:$A$1005&lt;&gt;"")*(MOVIMIENTOS!$A$5:$A$1005&lt;=$A739)*MOVIMIENTOS!$E$5:$E$1005))</f>
        <v/>
      </c>
      <c r="D739" t="str">
        <f>IF($A739="","",SUMPRODUCT((MOVIMIENTOS!$B$5:$B$1005="SALDO INICIAL")*(MOVIMIENTOS!$C$5:$C$1005="C")*(MOVIMIENTOS!$D$5:$D$1005="jabas")*(MOVIMIENTOS!$A$5:$A$1005&lt;&gt;"")*(MOVIMIENTOS!$A$5:$A$1005&lt;=$A739)*MOVIMIENTOS!$E$5:$E$1005)+SUMPRODUCT((MOVIMIENTOS!$B$5:$B$1005="PROCESO")*(MOVIMIENTOS!$C$5:$C$1005="C")*(MOVIMIENTOS!$D$5:$D$1005="jabas")*(MOVIMIENTOS!$A$5:$A$1005&lt;&gt;"")*(MOVIMIENTOS!$A$5:$A$1005&lt;=$A739)*MOVIMIENTOS!$E$5:$E$1005)-SUMPRODUCT((MOVIMIENTOS!$B$5:$B$1005="ENVÍO A SUPESA")*(MOVIMIENTOS!$C$5:$C$1005="C")*(MOVIMIENTOS!$D$5:$D$1005="jabas")*(MOVIMIENTOS!$A$5:$A$1005&lt;&gt;"")*(MOVIMIENTOS!$A$5:$A$1005&lt;=$A739)*MOVIMIENTOS!$E$5:$E$1005)+SUMPRODUCT((MOVIMIENTOS!$B$5:$B$1005="DEVOLUCIÓN")*(MOVIMIENTOS!$C$5:$C$1005="C")*(MOVIMIENTOS!$D$5:$D$1005="jabas")*(MOVIMIENTOS!$A$5:$A$1005&lt;&gt;"")*(MOVIMIENTOS!$A$5:$A$1005&lt;=$A739)*MOVIMIENTOS!$E$5:$E$1005)-SUMPRODUCT((MOVIMIENTOS!$B$5:$B$1005="TRASIEGO")*(MOVIMIENTOS!$C$5:$C$1005="C")*(MOVIMIENTOS!$D$5:$D$1005="jabas")*(MOVIMIENTOS!$A$5:$A$1005&lt;&gt;"")*(MOVIMIENTOS!$A$5:$A$1005&lt;=$A739)*MOVIMIENTOS!$E$5:$E$1005)-SUMPRODUCT((MOVIMIENTOS!$B$5:$B$1005="REGALO")*(MOVIMIENTOS!$C$5:$C$1005="C")*(MOVIMIENTOS!$D$5:$D$1005="jabas")*(MOVIMIENTOS!$A$5:$A$1005&lt;&gt;"")*(MOVIMIENTOS!$A$5:$A$1005&lt;=$A739)*MOVIMIENTOS!$E$5:$E$1005)-SUMPRODUCT((MOVIMIENTOS!$B$5:$B$1005="VENTA")*(MOVIMIENTOS!$C$5:$C$1005="C")*(MOVIMIENTOS!$D$5:$D$1005="jabas")*(MOVIMIENTOS!$A$5:$A$1005&lt;&gt;"")*(MOVIMIENTOS!$A$5:$A$1005&lt;=$A739)*MOVIMIENTOS!$E$5:$E$1005)+SUMPRODUCT((MOVIMIENTOS!$B$5:$B$1005="AJUSTE")*(MOVIMIENTOS!$C$5:$C$1005="C")*(MOVIMIENTOS!$D$5:$D$1005="jabas")*(MOVIMIENTOS!$A$5:$A$1005&lt;&gt;"")*(MOVIMIENTOS!$A$5:$A$1005&lt;=$A739)*MOVIMIENTOS!$E$5:$E$1005))</f>
        <v/>
      </c>
      <c r="E739" t="str">
        <f>IF($A739="","",SUMPRODUCT((MOVIMIENTOS!$B$5:$B$1005="SALDO INICIAL")*(MOVIMIENTOS!$C$5:$C$1005="M")*(MOVIMIENTOS!$D$5:$D$1005="jabas")*(MOVIMIENTOS!$A$5:$A$1005&lt;&gt;"")*(MOVIMIENTOS!$A$5:$A$1005&lt;=$A739)*MOVIMIENTOS!$E$5:$E$1005)+SUMPRODUCT((MOVIMIENTOS!$B$5:$B$1005="PROCESO")*(MOVIMIENTOS!$C$5:$C$1005="M")*(MOVIMIENTOS!$D$5:$D$1005="jabas")*(MOVIMIENTOS!$A$5:$A$1005&lt;&gt;"")*(MOVIMIENTOS!$A$5:$A$1005&lt;=$A739)*MOVIMIENTOS!$E$5:$E$1005)-SUMPRODUCT((MOVIMIENTOS!$B$5:$B$1005="ENVÍO A SUPESA")*(MOVIMIENTOS!$C$5:$C$1005="M")*(MOVIMIENTOS!$D$5:$D$1005="jabas")*(MOVIMIENTOS!$A$5:$A$1005&lt;&gt;"")*(MOVIMIENTOS!$A$5:$A$1005&lt;=$A739)*MOVIMIENTOS!$E$5:$E$1005)+SUMPRODUCT((MOVIMIENTOS!$B$5:$B$1005="DEVOLUCIÓN")*(MOVIMIENTOS!$C$5:$C$1005="M")*(MOVIMIENTOS!$D$5:$D$1005="jabas")*(MOVIMIENTOS!$A$5:$A$1005&lt;&gt;"")*(MOVIMIENTOS!$A$5:$A$1005&lt;=$A739)*MOVIMIENTOS!$E$5:$E$1005)-SUMPRODUCT((MOVIMIENTOS!$B$5:$B$1005="TRASIEGO")*(MOVIMIENTOS!$C$5:$C$1005="M")*(MOVIMIENTOS!$D$5:$D$1005="jabas")*(MOVIMIENTOS!$A$5:$A$1005&lt;&gt;"")*(MOVIMIENTOS!$A$5:$A$1005&lt;=$A739)*MOVIMIENTOS!$E$5:$E$1005)-SUMPRODUCT((MOVIMIENTOS!$B$5:$B$1005="REGALO")*(MOVIMIENTOS!$C$5:$C$1005="M")*(MOVIMIENTOS!$D$5:$D$1005="jabas")*(MOVIMIENTOS!$A$5:$A$1005&lt;&gt;"")*(MOVIMIENTOS!$A$5:$A$1005&lt;=$A739)*MOVIMIENTOS!$E$5:$E$1005)-SUMPRODUCT((MOVIMIENTOS!$B$5:$B$1005="VENTA")*(MOVIMIENTOS!$C$5:$C$1005="M")*(MOVIMIENTOS!$D$5:$D$1005="jabas")*(MOVIMIENTOS!$A$5:$A$1005&lt;&gt;"")*(MOVIMIENTOS!$A$5:$A$1005&lt;=$A739)*MOVIMIENTOS!$E$5:$E$1005)+SUMPRODUCT((MOVIMIENTOS!$B$5:$B$1005="AJUSTE")*(MOVIMIENTOS!$C$5:$C$1005="M")*(MOVIMIENTOS!$D$5:$D$1005="jabas")*(MOVIMIENTOS!$A$5:$A$1005&lt;&gt;"")*(MOVIMIENTOS!$A$5:$A$1005&lt;=$A739)*MOVIMIENTOS!$E$5:$E$1005))</f>
        <v/>
      </c>
      <c r="F739" s="62" t="str">
        <f>IF($A739="","",SUMPRODUCT((MOVIMIENTOS!$B$5:$B$1005="SALDO INICIAL")*(MOVIMIENTOS!$C$5:$C$1005="Chancho")*(MOVIMIENTOS!$D$5:$D$1005="sacos")*(MOVIMIENTOS!$A$5:$A$1005&lt;&gt;"")*(MOVIMIENTOS!$A$5:$A$1005&lt;=$A739)*MOVIMIENTOS!$E$5:$E$1005)+SUMPRODUCT((MOVIMIENTOS!$B$5:$B$1005="PROCESO")*(MOVIMIENTOS!$C$5:$C$1005="Chancho")*(MOVIMIENTOS!$D$5:$D$1005="sacos")*(MOVIMIENTOS!$A$5:$A$1005&lt;&gt;"")*(MOVIMIENTOS!$A$5:$A$1005&lt;=$A739)*MOVIMIENTOS!$E$5:$E$1005)-SUMPRODUCT((MOVIMIENTOS!$B$5:$B$1005="VENTA CHANCHO")*(MOVIMIENTOS!$C$5:$C$1005="Chancho")*(MOVIMIENTOS!$D$5:$D$1005="sacos")*(MOVIMIENTOS!$A$5:$A$1005&lt;&gt;"")*(MOVIMIENTOS!$A$5:$A$1005&lt;=$A739)*MOVIMIENTOS!$E$5:$E$1005)-SUMPRODUCT((MOVIMIENTOS!$B$5:$B$1005="REGALO")*(MOVIMIENTOS!$C$5:$C$1005="Chancho")*(MOVIMIENTOS!$D$5:$D$1005="sacos")*(MOVIMIENTOS!$A$5:$A$1005&lt;&gt;"")*(MOVIMIENTOS!$A$5:$A$1005&lt;=$A739)*MOVIMIENTOS!$E$5:$E$1005)-SUMPRODUCT((MOVIMIENTOS!$B$5:$B$1005="VENTA")*(MOVIMIENTOS!$C$5:$C$1005="Chancho")*(MOVIMIENTOS!$D$5:$D$1005="sacos")*(MOVIMIENTOS!$A$5:$A$1005&lt;&gt;"")*(MOVIMIENTOS!$A$5:$A$1005&lt;=$A739)*MOVIMIENTOS!$E$5:$E$1005)+SUMPRODUCT((MOVIMIENTOS!$B$5:$B$1005="AJUSTE")*(MOVIMIENTOS!$C$5:$C$1005="Chancho")*(MOVIMIENTOS!$D$5:$D$1005="sacos")*(MOVIMIENTOS!$A$5:$A$1005&lt;&gt;"")*(MOVIMIENTOS!$A$5:$A$1005&lt;=$A739)*MOVIMIENTOS!$E$5:$E$1005))</f>
        <v/>
      </c>
      <c r="G739" s="62" t="str">
        <f t="shared" si="23"/>
        <v/>
      </c>
      <c r="H739" t="str">
        <f>IF($A739="","",SUMPRODUCT((((MOVIMIENTOS!$B$5:$B$1005="SALDO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739)*MOVIMIENTOS!$J$5:$J$1005))</f>
        <v/>
      </c>
      <c r="J739" t="str">
        <f>IF(AND(MOVIMIENTOS!$A744&lt;&gt;"",COUNTIF(MOVIMIENTOS!$A$5:$A743,MOVIMIENTOS!$A744)=0),COUNT(J$4:J738)+1,"")</f>
        <v/>
      </c>
      <c r="K739">
        <f>MOVIMIENTOS!$A744</f>
        <v>0</v>
      </c>
    </row>
    <row r="740" spans="1:11" ht="15" customHeight="1" x14ac:dyDescent="0.2">
      <c r="A740" t="str">
        <f t="shared" si="22"/>
        <v/>
      </c>
      <c r="B740" t="str">
        <f>IF($A740="","",SUMPRODUCT((MOVIMIENTOS!$B$5:$B$1005="SALDO INICIAL")*(MOVIMIENTOS!$C$5:$C$1005="A")*(MOVIMIENTOS!$D$5:$D$1005="jabas")*(MOVIMIENTOS!$A$5:$A$1005&lt;&gt;"")*(MOVIMIENTOS!$A$5:$A$1005&lt;=$A740)*MOVIMIENTOS!$E$5:$E$1005)+SUMPRODUCT((MOVIMIENTOS!$B$5:$B$1005="PROCESO")*(MOVIMIENTOS!$C$5:$C$1005="A")*(MOVIMIENTOS!$D$5:$D$1005="jabas")*(MOVIMIENTOS!$A$5:$A$1005&lt;&gt;"")*(MOVIMIENTOS!$A$5:$A$1005&lt;=$A740)*MOVIMIENTOS!$E$5:$E$1005)-SUMPRODUCT((MOVIMIENTOS!$B$5:$B$1005="ENVÍO A SUPESA")*(MOVIMIENTOS!$C$5:$C$1005="A")*(MOVIMIENTOS!$D$5:$D$1005="jabas")*(MOVIMIENTOS!$A$5:$A$1005&lt;&gt;"")*(MOVIMIENTOS!$A$5:$A$1005&lt;=$A740)*MOVIMIENTOS!$E$5:$E$1005)+SUMPRODUCT((MOVIMIENTOS!$B$5:$B$1005="DEVOLUCIÓN")*(MOVIMIENTOS!$C$5:$C$1005="A")*(MOVIMIENTOS!$D$5:$D$1005="jabas")*(MOVIMIENTOS!$A$5:$A$1005&lt;&gt;"")*(MOVIMIENTOS!$A$5:$A$1005&lt;=$A740)*MOVIMIENTOS!$E$5:$E$1005)-SUMPRODUCT((MOVIMIENTOS!$B$5:$B$1005="TRASIEGO")*(MOVIMIENTOS!$C$5:$C$1005="A")*(MOVIMIENTOS!$D$5:$D$1005="jabas")*(MOVIMIENTOS!$A$5:$A$1005&lt;&gt;"")*(MOVIMIENTOS!$A$5:$A$1005&lt;=$A740)*MOVIMIENTOS!$E$5:$E$1005)-SUMPRODUCT((MOVIMIENTOS!$B$5:$B$1005="REGALO")*(MOVIMIENTOS!$C$5:$C$1005="A")*(MOVIMIENTOS!$D$5:$D$1005="jabas")*(MOVIMIENTOS!$A$5:$A$1005&lt;&gt;"")*(MOVIMIENTOS!$A$5:$A$1005&lt;=$A740)*MOVIMIENTOS!$E$5:$E$1005)-SUMPRODUCT((MOVIMIENTOS!$B$5:$B$1005="VENTA")*(MOVIMIENTOS!$C$5:$C$1005="A")*(MOVIMIENTOS!$D$5:$D$1005="jabas")*(MOVIMIENTOS!$A$5:$A$1005&lt;&gt;"")*(MOVIMIENTOS!$A$5:$A$1005&lt;=$A740)*MOVIMIENTOS!$E$5:$E$1005)+SUMPRODUCT((MOVIMIENTOS!$B$5:$B$1005="AJUSTE")*(MOVIMIENTOS!$C$5:$C$1005="A")*(MOVIMIENTOS!$D$5:$D$1005="jabas")*(MOVIMIENTOS!$A$5:$A$1005&lt;&gt;"")*(MOVIMIENTOS!$A$5:$A$1005&lt;=$A740)*MOVIMIENTOS!$E$5:$E$1005))</f>
        <v/>
      </c>
      <c r="C740" t="str">
        <f>IF($A740="","",SUMPRODUCT((MOVIMIENTOS!$B$5:$B$1005="SALDO INICIAL")*(MOVIMIENTOS!$C$5:$C$1005="P")*(MOVIMIENTOS!$D$5:$D$1005="jabas")*(MOVIMIENTOS!$A$5:$A$1005&lt;&gt;"")*(MOVIMIENTOS!$A$5:$A$1005&lt;=$A740)*MOVIMIENTOS!$E$5:$E$1005)+SUMPRODUCT((MOVIMIENTOS!$B$5:$B$1005="PROCESO")*(MOVIMIENTOS!$C$5:$C$1005="P")*(MOVIMIENTOS!$D$5:$D$1005="jabas")*(MOVIMIENTOS!$A$5:$A$1005&lt;&gt;"")*(MOVIMIENTOS!$A$5:$A$1005&lt;=$A740)*MOVIMIENTOS!$E$5:$E$1005)-SUMPRODUCT((MOVIMIENTOS!$B$5:$B$1005="ENVÍO A SUPESA")*(MOVIMIENTOS!$C$5:$C$1005="P")*(MOVIMIENTOS!$D$5:$D$1005="jabas")*(MOVIMIENTOS!$A$5:$A$1005&lt;&gt;"")*(MOVIMIENTOS!$A$5:$A$1005&lt;=$A740)*MOVIMIENTOS!$E$5:$E$1005)+SUMPRODUCT((MOVIMIENTOS!$B$5:$B$1005="DEVOLUCIÓN")*(MOVIMIENTOS!$C$5:$C$1005="P")*(MOVIMIENTOS!$D$5:$D$1005="jabas")*(MOVIMIENTOS!$A$5:$A$1005&lt;&gt;"")*(MOVIMIENTOS!$A$5:$A$1005&lt;=$A740)*MOVIMIENTOS!$E$5:$E$1005)-SUMPRODUCT((MOVIMIENTOS!$B$5:$B$1005="TRASIEGO")*(MOVIMIENTOS!$C$5:$C$1005="P")*(MOVIMIENTOS!$D$5:$D$1005="jabas")*(MOVIMIENTOS!$A$5:$A$1005&lt;&gt;"")*(MOVIMIENTOS!$A$5:$A$1005&lt;=$A740)*MOVIMIENTOS!$E$5:$E$1005)-SUMPRODUCT((MOVIMIENTOS!$B$5:$B$1005="REGALO")*(MOVIMIENTOS!$C$5:$C$1005="P")*(MOVIMIENTOS!$D$5:$D$1005="jabas")*(MOVIMIENTOS!$A$5:$A$1005&lt;&gt;"")*(MOVIMIENTOS!$A$5:$A$1005&lt;=$A740)*MOVIMIENTOS!$E$5:$E$1005)-SUMPRODUCT((MOVIMIENTOS!$B$5:$B$1005="VENTA")*(MOVIMIENTOS!$C$5:$C$1005="P")*(MOVIMIENTOS!$D$5:$D$1005="jabas")*(MOVIMIENTOS!$A$5:$A$1005&lt;&gt;"")*(MOVIMIENTOS!$A$5:$A$1005&lt;=$A740)*MOVIMIENTOS!$E$5:$E$1005)+SUMPRODUCT((MOVIMIENTOS!$B$5:$B$1005="AJUSTE")*(MOVIMIENTOS!$C$5:$C$1005="P")*(MOVIMIENTOS!$D$5:$D$1005="jabas")*(MOVIMIENTOS!$A$5:$A$1005&lt;&gt;"")*(MOVIMIENTOS!$A$5:$A$1005&lt;=$A740)*MOVIMIENTOS!$E$5:$E$1005))</f>
        <v/>
      </c>
      <c r="D740" t="str">
        <f>IF($A740="","",SUMPRODUCT((MOVIMIENTOS!$B$5:$B$1005="SALDO INICIAL")*(MOVIMIENTOS!$C$5:$C$1005="C")*(MOVIMIENTOS!$D$5:$D$1005="jabas")*(MOVIMIENTOS!$A$5:$A$1005&lt;&gt;"")*(MOVIMIENTOS!$A$5:$A$1005&lt;=$A740)*MOVIMIENTOS!$E$5:$E$1005)+SUMPRODUCT((MOVIMIENTOS!$B$5:$B$1005="PROCESO")*(MOVIMIENTOS!$C$5:$C$1005="C")*(MOVIMIENTOS!$D$5:$D$1005="jabas")*(MOVIMIENTOS!$A$5:$A$1005&lt;&gt;"")*(MOVIMIENTOS!$A$5:$A$1005&lt;=$A740)*MOVIMIENTOS!$E$5:$E$1005)-SUMPRODUCT((MOVIMIENTOS!$B$5:$B$1005="ENVÍO A SUPESA")*(MOVIMIENTOS!$C$5:$C$1005="C")*(MOVIMIENTOS!$D$5:$D$1005="jabas")*(MOVIMIENTOS!$A$5:$A$1005&lt;&gt;"")*(MOVIMIENTOS!$A$5:$A$1005&lt;=$A740)*MOVIMIENTOS!$E$5:$E$1005)+SUMPRODUCT((MOVIMIENTOS!$B$5:$B$1005="DEVOLUCIÓN")*(MOVIMIENTOS!$C$5:$C$1005="C")*(MOVIMIENTOS!$D$5:$D$1005="jabas")*(MOVIMIENTOS!$A$5:$A$1005&lt;&gt;"")*(MOVIMIENTOS!$A$5:$A$1005&lt;=$A740)*MOVIMIENTOS!$E$5:$E$1005)-SUMPRODUCT((MOVIMIENTOS!$B$5:$B$1005="TRASIEGO")*(MOVIMIENTOS!$C$5:$C$1005="C")*(MOVIMIENTOS!$D$5:$D$1005="jabas")*(MOVIMIENTOS!$A$5:$A$1005&lt;&gt;"")*(MOVIMIENTOS!$A$5:$A$1005&lt;=$A740)*MOVIMIENTOS!$E$5:$E$1005)-SUMPRODUCT((MOVIMIENTOS!$B$5:$B$1005="REGALO")*(MOVIMIENTOS!$C$5:$C$1005="C")*(MOVIMIENTOS!$D$5:$D$1005="jabas")*(MOVIMIENTOS!$A$5:$A$1005&lt;&gt;"")*(MOVIMIENTOS!$A$5:$A$1005&lt;=$A740)*MOVIMIENTOS!$E$5:$E$1005)-SUMPRODUCT((MOVIMIENTOS!$B$5:$B$1005="VENTA")*(MOVIMIENTOS!$C$5:$C$1005="C")*(MOVIMIENTOS!$D$5:$D$1005="jabas")*(MOVIMIENTOS!$A$5:$A$1005&lt;&gt;"")*(MOVIMIENTOS!$A$5:$A$1005&lt;=$A740)*MOVIMIENTOS!$E$5:$E$1005)+SUMPRODUCT((MOVIMIENTOS!$B$5:$B$1005="AJUSTE")*(MOVIMIENTOS!$C$5:$C$1005="C")*(MOVIMIENTOS!$D$5:$D$1005="jabas")*(MOVIMIENTOS!$A$5:$A$1005&lt;&gt;"")*(MOVIMIENTOS!$A$5:$A$1005&lt;=$A740)*MOVIMIENTOS!$E$5:$E$1005))</f>
        <v/>
      </c>
      <c r="E740" t="str">
        <f>IF($A740="","",SUMPRODUCT((MOVIMIENTOS!$B$5:$B$1005="SALDO INICIAL")*(MOVIMIENTOS!$C$5:$C$1005="M")*(MOVIMIENTOS!$D$5:$D$1005="jabas")*(MOVIMIENTOS!$A$5:$A$1005&lt;&gt;"")*(MOVIMIENTOS!$A$5:$A$1005&lt;=$A740)*MOVIMIENTOS!$E$5:$E$1005)+SUMPRODUCT((MOVIMIENTOS!$B$5:$B$1005="PROCESO")*(MOVIMIENTOS!$C$5:$C$1005="M")*(MOVIMIENTOS!$D$5:$D$1005="jabas")*(MOVIMIENTOS!$A$5:$A$1005&lt;&gt;"")*(MOVIMIENTOS!$A$5:$A$1005&lt;=$A740)*MOVIMIENTOS!$E$5:$E$1005)-SUMPRODUCT((MOVIMIENTOS!$B$5:$B$1005="ENVÍO A SUPESA")*(MOVIMIENTOS!$C$5:$C$1005="M")*(MOVIMIENTOS!$D$5:$D$1005="jabas")*(MOVIMIENTOS!$A$5:$A$1005&lt;&gt;"")*(MOVIMIENTOS!$A$5:$A$1005&lt;=$A740)*MOVIMIENTOS!$E$5:$E$1005)+SUMPRODUCT((MOVIMIENTOS!$B$5:$B$1005="DEVOLUCIÓN")*(MOVIMIENTOS!$C$5:$C$1005="M")*(MOVIMIENTOS!$D$5:$D$1005="jabas")*(MOVIMIENTOS!$A$5:$A$1005&lt;&gt;"")*(MOVIMIENTOS!$A$5:$A$1005&lt;=$A740)*MOVIMIENTOS!$E$5:$E$1005)-SUMPRODUCT((MOVIMIENTOS!$B$5:$B$1005="TRASIEGO")*(MOVIMIENTOS!$C$5:$C$1005="M")*(MOVIMIENTOS!$D$5:$D$1005="jabas")*(MOVIMIENTOS!$A$5:$A$1005&lt;&gt;"")*(MOVIMIENTOS!$A$5:$A$1005&lt;=$A740)*MOVIMIENTOS!$E$5:$E$1005)-SUMPRODUCT((MOVIMIENTOS!$B$5:$B$1005="REGALO")*(MOVIMIENTOS!$C$5:$C$1005="M")*(MOVIMIENTOS!$D$5:$D$1005="jabas")*(MOVIMIENTOS!$A$5:$A$1005&lt;&gt;"")*(MOVIMIENTOS!$A$5:$A$1005&lt;=$A740)*MOVIMIENTOS!$E$5:$E$1005)-SUMPRODUCT((MOVIMIENTOS!$B$5:$B$1005="VENTA")*(MOVIMIENTOS!$C$5:$C$1005="M")*(MOVIMIENTOS!$D$5:$D$1005="jabas")*(MOVIMIENTOS!$A$5:$A$1005&lt;&gt;"")*(MOVIMIENTOS!$A$5:$A$1005&lt;=$A740)*MOVIMIENTOS!$E$5:$E$1005)+SUMPRODUCT((MOVIMIENTOS!$B$5:$B$1005="AJUSTE")*(MOVIMIENTOS!$C$5:$C$1005="M")*(MOVIMIENTOS!$D$5:$D$1005="jabas")*(MOVIMIENTOS!$A$5:$A$1005&lt;&gt;"")*(MOVIMIENTOS!$A$5:$A$1005&lt;=$A740)*MOVIMIENTOS!$E$5:$E$1005))</f>
        <v/>
      </c>
      <c r="F740" s="62" t="str">
        <f>IF($A740="","",SUMPRODUCT((MOVIMIENTOS!$B$5:$B$1005="SALDO INICIAL")*(MOVIMIENTOS!$C$5:$C$1005="Chancho")*(MOVIMIENTOS!$D$5:$D$1005="sacos")*(MOVIMIENTOS!$A$5:$A$1005&lt;&gt;"")*(MOVIMIENTOS!$A$5:$A$1005&lt;=$A740)*MOVIMIENTOS!$E$5:$E$1005)+SUMPRODUCT((MOVIMIENTOS!$B$5:$B$1005="PROCESO")*(MOVIMIENTOS!$C$5:$C$1005="Chancho")*(MOVIMIENTOS!$D$5:$D$1005="sacos")*(MOVIMIENTOS!$A$5:$A$1005&lt;&gt;"")*(MOVIMIENTOS!$A$5:$A$1005&lt;=$A740)*MOVIMIENTOS!$E$5:$E$1005)-SUMPRODUCT((MOVIMIENTOS!$B$5:$B$1005="VENTA CHANCHO")*(MOVIMIENTOS!$C$5:$C$1005="Chancho")*(MOVIMIENTOS!$D$5:$D$1005="sacos")*(MOVIMIENTOS!$A$5:$A$1005&lt;&gt;"")*(MOVIMIENTOS!$A$5:$A$1005&lt;=$A740)*MOVIMIENTOS!$E$5:$E$1005)-SUMPRODUCT((MOVIMIENTOS!$B$5:$B$1005="REGALO")*(MOVIMIENTOS!$C$5:$C$1005="Chancho")*(MOVIMIENTOS!$D$5:$D$1005="sacos")*(MOVIMIENTOS!$A$5:$A$1005&lt;&gt;"")*(MOVIMIENTOS!$A$5:$A$1005&lt;=$A740)*MOVIMIENTOS!$E$5:$E$1005)-SUMPRODUCT((MOVIMIENTOS!$B$5:$B$1005="VENTA")*(MOVIMIENTOS!$C$5:$C$1005="Chancho")*(MOVIMIENTOS!$D$5:$D$1005="sacos")*(MOVIMIENTOS!$A$5:$A$1005&lt;&gt;"")*(MOVIMIENTOS!$A$5:$A$1005&lt;=$A740)*MOVIMIENTOS!$E$5:$E$1005)+SUMPRODUCT((MOVIMIENTOS!$B$5:$B$1005="AJUSTE")*(MOVIMIENTOS!$C$5:$C$1005="Chancho")*(MOVIMIENTOS!$D$5:$D$1005="sacos")*(MOVIMIENTOS!$A$5:$A$1005&lt;&gt;"")*(MOVIMIENTOS!$A$5:$A$1005&lt;=$A740)*MOVIMIENTOS!$E$5:$E$1005))</f>
        <v/>
      </c>
      <c r="G740" s="62" t="str">
        <f t="shared" si="23"/>
        <v/>
      </c>
      <c r="H740" t="str">
        <f>IF($A740="","",SUMPRODUCT((((MOVIMIENTOS!$B$5:$B$1005="SALDO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740)*MOVIMIENTOS!$J$5:$J$1005))</f>
        <v/>
      </c>
      <c r="J740" t="str">
        <f>IF(AND(MOVIMIENTOS!$A745&lt;&gt;"",COUNTIF(MOVIMIENTOS!$A$5:$A744,MOVIMIENTOS!$A745)=0),COUNT(J$4:J739)+1,"")</f>
        <v/>
      </c>
      <c r="K740">
        <f>MOVIMIENTOS!$A745</f>
        <v>0</v>
      </c>
    </row>
    <row r="741" spans="1:11" ht="15" customHeight="1" x14ac:dyDescent="0.2">
      <c r="A741" t="str">
        <f t="shared" si="22"/>
        <v/>
      </c>
      <c r="B741" t="str">
        <f>IF($A741="","",SUMPRODUCT((MOVIMIENTOS!$B$5:$B$1005="SALDO INICIAL")*(MOVIMIENTOS!$C$5:$C$1005="A")*(MOVIMIENTOS!$D$5:$D$1005="jabas")*(MOVIMIENTOS!$A$5:$A$1005&lt;&gt;"")*(MOVIMIENTOS!$A$5:$A$1005&lt;=$A741)*MOVIMIENTOS!$E$5:$E$1005)+SUMPRODUCT((MOVIMIENTOS!$B$5:$B$1005="PROCESO")*(MOVIMIENTOS!$C$5:$C$1005="A")*(MOVIMIENTOS!$D$5:$D$1005="jabas")*(MOVIMIENTOS!$A$5:$A$1005&lt;&gt;"")*(MOVIMIENTOS!$A$5:$A$1005&lt;=$A741)*MOVIMIENTOS!$E$5:$E$1005)-SUMPRODUCT((MOVIMIENTOS!$B$5:$B$1005="ENVÍO A SUPESA")*(MOVIMIENTOS!$C$5:$C$1005="A")*(MOVIMIENTOS!$D$5:$D$1005="jabas")*(MOVIMIENTOS!$A$5:$A$1005&lt;&gt;"")*(MOVIMIENTOS!$A$5:$A$1005&lt;=$A741)*MOVIMIENTOS!$E$5:$E$1005)+SUMPRODUCT((MOVIMIENTOS!$B$5:$B$1005="DEVOLUCIÓN")*(MOVIMIENTOS!$C$5:$C$1005="A")*(MOVIMIENTOS!$D$5:$D$1005="jabas")*(MOVIMIENTOS!$A$5:$A$1005&lt;&gt;"")*(MOVIMIENTOS!$A$5:$A$1005&lt;=$A741)*MOVIMIENTOS!$E$5:$E$1005)-SUMPRODUCT((MOVIMIENTOS!$B$5:$B$1005="TRASIEGO")*(MOVIMIENTOS!$C$5:$C$1005="A")*(MOVIMIENTOS!$D$5:$D$1005="jabas")*(MOVIMIENTOS!$A$5:$A$1005&lt;&gt;"")*(MOVIMIENTOS!$A$5:$A$1005&lt;=$A741)*MOVIMIENTOS!$E$5:$E$1005)-SUMPRODUCT((MOVIMIENTOS!$B$5:$B$1005="REGALO")*(MOVIMIENTOS!$C$5:$C$1005="A")*(MOVIMIENTOS!$D$5:$D$1005="jabas")*(MOVIMIENTOS!$A$5:$A$1005&lt;&gt;"")*(MOVIMIENTOS!$A$5:$A$1005&lt;=$A741)*MOVIMIENTOS!$E$5:$E$1005)-SUMPRODUCT((MOVIMIENTOS!$B$5:$B$1005="VENTA")*(MOVIMIENTOS!$C$5:$C$1005="A")*(MOVIMIENTOS!$D$5:$D$1005="jabas")*(MOVIMIENTOS!$A$5:$A$1005&lt;&gt;"")*(MOVIMIENTOS!$A$5:$A$1005&lt;=$A741)*MOVIMIENTOS!$E$5:$E$1005)+SUMPRODUCT((MOVIMIENTOS!$B$5:$B$1005="AJUSTE")*(MOVIMIENTOS!$C$5:$C$1005="A")*(MOVIMIENTOS!$D$5:$D$1005="jabas")*(MOVIMIENTOS!$A$5:$A$1005&lt;&gt;"")*(MOVIMIENTOS!$A$5:$A$1005&lt;=$A741)*MOVIMIENTOS!$E$5:$E$1005))</f>
        <v/>
      </c>
      <c r="C741" t="str">
        <f>IF($A741="","",SUMPRODUCT((MOVIMIENTOS!$B$5:$B$1005="SALDO INICIAL")*(MOVIMIENTOS!$C$5:$C$1005="P")*(MOVIMIENTOS!$D$5:$D$1005="jabas")*(MOVIMIENTOS!$A$5:$A$1005&lt;&gt;"")*(MOVIMIENTOS!$A$5:$A$1005&lt;=$A741)*MOVIMIENTOS!$E$5:$E$1005)+SUMPRODUCT((MOVIMIENTOS!$B$5:$B$1005="PROCESO")*(MOVIMIENTOS!$C$5:$C$1005="P")*(MOVIMIENTOS!$D$5:$D$1005="jabas")*(MOVIMIENTOS!$A$5:$A$1005&lt;&gt;"")*(MOVIMIENTOS!$A$5:$A$1005&lt;=$A741)*MOVIMIENTOS!$E$5:$E$1005)-SUMPRODUCT((MOVIMIENTOS!$B$5:$B$1005="ENVÍO A SUPESA")*(MOVIMIENTOS!$C$5:$C$1005="P")*(MOVIMIENTOS!$D$5:$D$1005="jabas")*(MOVIMIENTOS!$A$5:$A$1005&lt;&gt;"")*(MOVIMIENTOS!$A$5:$A$1005&lt;=$A741)*MOVIMIENTOS!$E$5:$E$1005)+SUMPRODUCT((MOVIMIENTOS!$B$5:$B$1005="DEVOLUCIÓN")*(MOVIMIENTOS!$C$5:$C$1005="P")*(MOVIMIENTOS!$D$5:$D$1005="jabas")*(MOVIMIENTOS!$A$5:$A$1005&lt;&gt;"")*(MOVIMIENTOS!$A$5:$A$1005&lt;=$A741)*MOVIMIENTOS!$E$5:$E$1005)-SUMPRODUCT((MOVIMIENTOS!$B$5:$B$1005="TRASIEGO")*(MOVIMIENTOS!$C$5:$C$1005="P")*(MOVIMIENTOS!$D$5:$D$1005="jabas")*(MOVIMIENTOS!$A$5:$A$1005&lt;&gt;"")*(MOVIMIENTOS!$A$5:$A$1005&lt;=$A741)*MOVIMIENTOS!$E$5:$E$1005)-SUMPRODUCT((MOVIMIENTOS!$B$5:$B$1005="REGALO")*(MOVIMIENTOS!$C$5:$C$1005="P")*(MOVIMIENTOS!$D$5:$D$1005="jabas")*(MOVIMIENTOS!$A$5:$A$1005&lt;&gt;"")*(MOVIMIENTOS!$A$5:$A$1005&lt;=$A741)*MOVIMIENTOS!$E$5:$E$1005)-SUMPRODUCT((MOVIMIENTOS!$B$5:$B$1005="VENTA")*(MOVIMIENTOS!$C$5:$C$1005="P")*(MOVIMIENTOS!$D$5:$D$1005="jabas")*(MOVIMIENTOS!$A$5:$A$1005&lt;&gt;"")*(MOVIMIENTOS!$A$5:$A$1005&lt;=$A741)*MOVIMIENTOS!$E$5:$E$1005)+SUMPRODUCT((MOVIMIENTOS!$B$5:$B$1005="AJUSTE")*(MOVIMIENTOS!$C$5:$C$1005="P")*(MOVIMIENTOS!$D$5:$D$1005="jabas")*(MOVIMIENTOS!$A$5:$A$1005&lt;&gt;"")*(MOVIMIENTOS!$A$5:$A$1005&lt;=$A741)*MOVIMIENTOS!$E$5:$E$1005))</f>
        <v/>
      </c>
      <c r="D741" t="str">
        <f>IF($A741="","",SUMPRODUCT((MOVIMIENTOS!$B$5:$B$1005="SALDO INICIAL")*(MOVIMIENTOS!$C$5:$C$1005="C")*(MOVIMIENTOS!$D$5:$D$1005="jabas")*(MOVIMIENTOS!$A$5:$A$1005&lt;&gt;"")*(MOVIMIENTOS!$A$5:$A$1005&lt;=$A741)*MOVIMIENTOS!$E$5:$E$1005)+SUMPRODUCT((MOVIMIENTOS!$B$5:$B$1005="PROCESO")*(MOVIMIENTOS!$C$5:$C$1005="C")*(MOVIMIENTOS!$D$5:$D$1005="jabas")*(MOVIMIENTOS!$A$5:$A$1005&lt;&gt;"")*(MOVIMIENTOS!$A$5:$A$1005&lt;=$A741)*MOVIMIENTOS!$E$5:$E$1005)-SUMPRODUCT((MOVIMIENTOS!$B$5:$B$1005="ENVÍO A SUPESA")*(MOVIMIENTOS!$C$5:$C$1005="C")*(MOVIMIENTOS!$D$5:$D$1005="jabas")*(MOVIMIENTOS!$A$5:$A$1005&lt;&gt;"")*(MOVIMIENTOS!$A$5:$A$1005&lt;=$A741)*MOVIMIENTOS!$E$5:$E$1005)+SUMPRODUCT((MOVIMIENTOS!$B$5:$B$1005="DEVOLUCIÓN")*(MOVIMIENTOS!$C$5:$C$1005="C")*(MOVIMIENTOS!$D$5:$D$1005="jabas")*(MOVIMIENTOS!$A$5:$A$1005&lt;&gt;"")*(MOVIMIENTOS!$A$5:$A$1005&lt;=$A741)*MOVIMIENTOS!$E$5:$E$1005)-SUMPRODUCT((MOVIMIENTOS!$B$5:$B$1005="TRASIEGO")*(MOVIMIENTOS!$C$5:$C$1005="C")*(MOVIMIENTOS!$D$5:$D$1005="jabas")*(MOVIMIENTOS!$A$5:$A$1005&lt;&gt;"")*(MOVIMIENTOS!$A$5:$A$1005&lt;=$A741)*MOVIMIENTOS!$E$5:$E$1005)-SUMPRODUCT((MOVIMIENTOS!$B$5:$B$1005="REGALO")*(MOVIMIENTOS!$C$5:$C$1005="C")*(MOVIMIENTOS!$D$5:$D$1005="jabas")*(MOVIMIENTOS!$A$5:$A$1005&lt;&gt;"")*(MOVIMIENTOS!$A$5:$A$1005&lt;=$A741)*MOVIMIENTOS!$E$5:$E$1005)-SUMPRODUCT((MOVIMIENTOS!$B$5:$B$1005="VENTA")*(MOVIMIENTOS!$C$5:$C$1005="C")*(MOVIMIENTOS!$D$5:$D$1005="jabas")*(MOVIMIENTOS!$A$5:$A$1005&lt;&gt;"")*(MOVIMIENTOS!$A$5:$A$1005&lt;=$A741)*MOVIMIENTOS!$E$5:$E$1005)+SUMPRODUCT((MOVIMIENTOS!$B$5:$B$1005="AJUSTE")*(MOVIMIENTOS!$C$5:$C$1005="C")*(MOVIMIENTOS!$D$5:$D$1005="jabas")*(MOVIMIENTOS!$A$5:$A$1005&lt;&gt;"")*(MOVIMIENTOS!$A$5:$A$1005&lt;=$A741)*MOVIMIENTOS!$E$5:$E$1005))</f>
        <v/>
      </c>
      <c r="E741" t="str">
        <f>IF($A741="","",SUMPRODUCT((MOVIMIENTOS!$B$5:$B$1005="SALDO INICIAL")*(MOVIMIENTOS!$C$5:$C$1005="M")*(MOVIMIENTOS!$D$5:$D$1005="jabas")*(MOVIMIENTOS!$A$5:$A$1005&lt;&gt;"")*(MOVIMIENTOS!$A$5:$A$1005&lt;=$A741)*MOVIMIENTOS!$E$5:$E$1005)+SUMPRODUCT((MOVIMIENTOS!$B$5:$B$1005="PROCESO")*(MOVIMIENTOS!$C$5:$C$1005="M")*(MOVIMIENTOS!$D$5:$D$1005="jabas")*(MOVIMIENTOS!$A$5:$A$1005&lt;&gt;"")*(MOVIMIENTOS!$A$5:$A$1005&lt;=$A741)*MOVIMIENTOS!$E$5:$E$1005)-SUMPRODUCT((MOVIMIENTOS!$B$5:$B$1005="ENVÍO A SUPESA")*(MOVIMIENTOS!$C$5:$C$1005="M")*(MOVIMIENTOS!$D$5:$D$1005="jabas")*(MOVIMIENTOS!$A$5:$A$1005&lt;&gt;"")*(MOVIMIENTOS!$A$5:$A$1005&lt;=$A741)*MOVIMIENTOS!$E$5:$E$1005)+SUMPRODUCT((MOVIMIENTOS!$B$5:$B$1005="DEVOLUCIÓN")*(MOVIMIENTOS!$C$5:$C$1005="M")*(MOVIMIENTOS!$D$5:$D$1005="jabas")*(MOVIMIENTOS!$A$5:$A$1005&lt;&gt;"")*(MOVIMIENTOS!$A$5:$A$1005&lt;=$A741)*MOVIMIENTOS!$E$5:$E$1005)-SUMPRODUCT((MOVIMIENTOS!$B$5:$B$1005="TRASIEGO")*(MOVIMIENTOS!$C$5:$C$1005="M")*(MOVIMIENTOS!$D$5:$D$1005="jabas")*(MOVIMIENTOS!$A$5:$A$1005&lt;&gt;"")*(MOVIMIENTOS!$A$5:$A$1005&lt;=$A741)*MOVIMIENTOS!$E$5:$E$1005)-SUMPRODUCT((MOVIMIENTOS!$B$5:$B$1005="REGALO")*(MOVIMIENTOS!$C$5:$C$1005="M")*(MOVIMIENTOS!$D$5:$D$1005="jabas")*(MOVIMIENTOS!$A$5:$A$1005&lt;&gt;"")*(MOVIMIENTOS!$A$5:$A$1005&lt;=$A741)*MOVIMIENTOS!$E$5:$E$1005)-SUMPRODUCT((MOVIMIENTOS!$B$5:$B$1005="VENTA")*(MOVIMIENTOS!$C$5:$C$1005="M")*(MOVIMIENTOS!$D$5:$D$1005="jabas")*(MOVIMIENTOS!$A$5:$A$1005&lt;&gt;"")*(MOVIMIENTOS!$A$5:$A$1005&lt;=$A741)*MOVIMIENTOS!$E$5:$E$1005)+SUMPRODUCT((MOVIMIENTOS!$B$5:$B$1005="AJUSTE")*(MOVIMIENTOS!$C$5:$C$1005="M")*(MOVIMIENTOS!$D$5:$D$1005="jabas")*(MOVIMIENTOS!$A$5:$A$1005&lt;&gt;"")*(MOVIMIENTOS!$A$5:$A$1005&lt;=$A741)*MOVIMIENTOS!$E$5:$E$1005))</f>
        <v/>
      </c>
      <c r="F741" s="62" t="str">
        <f>IF($A741="","",SUMPRODUCT((MOVIMIENTOS!$B$5:$B$1005="SALDO INICIAL")*(MOVIMIENTOS!$C$5:$C$1005="Chancho")*(MOVIMIENTOS!$D$5:$D$1005="sacos")*(MOVIMIENTOS!$A$5:$A$1005&lt;&gt;"")*(MOVIMIENTOS!$A$5:$A$1005&lt;=$A741)*MOVIMIENTOS!$E$5:$E$1005)+SUMPRODUCT((MOVIMIENTOS!$B$5:$B$1005="PROCESO")*(MOVIMIENTOS!$C$5:$C$1005="Chancho")*(MOVIMIENTOS!$D$5:$D$1005="sacos")*(MOVIMIENTOS!$A$5:$A$1005&lt;&gt;"")*(MOVIMIENTOS!$A$5:$A$1005&lt;=$A741)*MOVIMIENTOS!$E$5:$E$1005)-SUMPRODUCT((MOVIMIENTOS!$B$5:$B$1005="VENTA CHANCHO")*(MOVIMIENTOS!$C$5:$C$1005="Chancho")*(MOVIMIENTOS!$D$5:$D$1005="sacos")*(MOVIMIENTOS!$A$5:$A$1005&lt;&gt;"")*(MOVIMIENTOS!$A$5:$A$1005&lt;=$A741)*MOVIMIENTOS!$E$5:$E$1005)-SUMPRODUCT((MOVIMIENTOS!$B$5:$B$1005="REGALO")*(MOVIMIENTOS!$C$5:$C$1005="Chancho")*(MOVIMIENTOS!$D$5:$D$1005="sacos")*(MOVIMIENTOS!$A$5:$A$1005&lt;&gt;"")*(MOVIMIENTOS!$A$5:$A$1005&lt;=$A741)*MOVIMIENTOS!$E$5:$E$1005)-SUMPRODUCT((MOVIMIENTOS!$B$5:$B$1005="VENTA")*(MOVIMIENTOS!$C$5:$C$1005="Chancho")*(MOVIMIENTOS!$D$5:$D$1005="sacos")*(MOVIMIENTOS!$A$5:$A$1005&lt;&gt;"")*(MOVIMIENTOS!$A$5:$A$1005&lt;=$A741)*MOVIMIENTOS!$E$5:$E$1005)+SUMPRODUCT((MOVIMIENTOS!$B$5:$B$1005="AJUSTE")*(MOVIMIENTOS!$C$5:$C$1005="Chancho")*(MOVIMIENTOS!$D$5:$D$1005="sacos")*(MOVIMIENTOS!$A$5:$A$1005&lt;&gt;"")*(MOVIMIENTOS!$A$5:$A$1005&lt;=$A741)*MOVIMIENTOS!$E$5:$E$1005))</f>
        <v/>
      </c>
      <c r="G741" s="62" t="str">
        <f t="shared" si="23"/>
        <v/>
      </c>
      <c r="H741" t="str">
        <f>IF($A741="","",SUMPRODUCT((((MOVIMIENTOS!$B$5:$B$1005="SALDO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741)*MOVIMIENTOS!$J$5:$J$1005))</f>
        <v/>
      </c>
      <c r="J741" t="str">
        <f>IF(AND(MOVIMIENTOS!$A746&lt;&gt;"",COUNTIF(MOVIMIENTOS!$A$5:$A745,MOVIMIENTOS!$A746)=0),COUNT(J$4:J740)+1,"")</f>
        <v/>
      </c>
      <c r="K741">
        <f>MOVIMIENTOS!$A746</f>
        <v>0</v>
      </c>
    </row>
    <row r="742" spans="1:11" ht="15" customHeight="1" x14ac:dyDescent="0.2">
      <c r="A742" t="str">
        <f t="shared" si="22"/>
        <v/>
      </c>
      <c r="B742" t="str">
        <f>IF($A742="","",SUMPRODUCT((MOVIMIENTOS!$B$5:$B$1005="SALDO INICIAL")*(MOVIMIENTOS!$C$5:$C$1005="A")*(MOVIMIENTOS!$D$5:$D$1005="jabas")*(MOVIMIENTOS!$A$5:$A$1005&lt;&gt;"")*(MOVIMIENTOS!$A$5:$A$1005&lt;=$A742)*MOVIMIENTOS!$E$5:$E$1005)+SUMPRODUCT((MOVIMIENTOS!$B$5:$B$1005="PROCESO")*(MOVIMIENTOS!$C$5:$C$1005="A")*(MOVIMIENTOS!$D$5:$D$1005="jabas")*(MOVIMIENTOS!$A$5:$A$1005&lt;&gt;"")*(MOVIMIENTOS!$A$5:$A$1005&lt;=$A742)*MOVIMIENTOS!$E$5:$E$1005)-SUMPRODUCT((MOVIMIENTOS!$B$5:$B$1005="ENVÍO A SUPESA")*(MOVIMIENTOS!$C$5:$C$1005="A")*(MOVIMIENTOS!$D$5:$D$1005="jabas")*(MOVIMIENTOS!$A$5:$A$1005&lt;&gt;"")*(MOVIMIENTOS!$A$5:$A$1005&lt;=$A742)*MOVIMIENTOS!$E$5:$E$1005)+SUMPRODUCT((MOVIMIENTOS!$B$5:$B$1005="DEVOLUCIÓN")*(MOVIMIENTOS!$C$5:$C$1005="A")*(MOVIMIENTOS!$D$5:$D$1005="jabas")*(MOVIMIENTOS!$A$5:$A$1005&lt;&gt;"")*(MOVIMIENTOS!$A$5:$A$1005&lt;=$A742)*MOVIMIENTOS!$E$5:$E$1005)-SUMPRODUCT((MOVIMIENTOS!$B$5:$B$1005="TRASIEGO")*(MOVIMIENTOS!$C$5:$C$1005="A")*(MOVIMIENTOS!$D$5:$D$1005="jabas")*(MOVIMIENTOS!$A$5:$A$1005&lt;&gt;"")*(MOVIMIENTOS!$A$5:$A$1005&lt;=$A742)*MOVIMIENTOS!$E$5:$E$1005)-SUMPRODUCT((MOVIMIENTOS!$B$5:$B$1005="REGALO")*(MOVIMIENTOS!$C$5:$C$1005="A")*(MOVIMIENTOS!$D$5:$D$1005="jabas")*(MOVIMIENTOS!$A$5:$A$1005&lt;&gt;"")*(MOVIMIENTOS!$A$5:$A$1005&lt;=$A742)*MOVIMIENTOS!$E$5:$E$1005)-SUMPRODUCT((MOVIMIENTOS!$B$5:$B$1005="VENTA")*(MOVIMIENTOS!$C$5:$C$1005="A")*(MOVIMIENTOS!$D$5:$D$1005="jabas")*(MOVIMIENTOS!$A$5:$A$1005&lt;&gt;"")*(MOVIMIENTOS!$A$5:$A$1005&lt;=$A742)*MOVIMIENTOS!$E$5:$E$1005)+SUMPRODUCT((MOVIMIENTOS!$B$5:$B$1005="AJUSTE")*(MOVIMIENTOS!$C$5:$C$1005="A")*(MOVIMIENTOS!$D$5:$D$1005="jabas")*(MOVIMIENTOS!$A$5:$A$1005&lt;&gt;"")*(MOVIMIENTOS!$A$5:$A$1005&lt;=$A742)*MOVIMIENTOS!$E$5:$E$1005))</f>
        <v/>
      </c>
      <c r="C742" t="str">
        <f>IF($A742="","",SUMPRODUCT((MOVIMIENTOS!$B$5:$B$1005="SALDO INICIAL")*(MOVIMIENTOS!$C$5:$C$1005="P")*(MOVIMIENTOS!$D$5:$D$1005="jabas")*(MOVIMIENTOS!$A$5:$A$1005&lt;&gt;"")*(MOVIMIENTOS!$A$5:$A$1005&lt;=$A742)*MOVIMIENTOS!$E$5:$E$1005)+SUMPRODUCT((MOVIMIENTOS!$B$5:$B$1005="PROCESO")*(MOVIMIENTOS!$C$5:$C$1005="P")*(MOVIMIENTOS!$D$5:$D$1005="jabas")*(MOVIMIENTOS!$A$5:$A$1005&lt;&gt;"")*(MOVIMIENTOS!$A$5:$A$1005&lt;=$A742)*MOVIMIENTOS!$E$5:$E$1005)-SUMPRODUCT((MOVIMIENTOS!$B$5:$B$1005="ENVÍO A SUPESA")*(MOVIMIENTOS!$C$5:$C$1005="P")*(MOVIMIENTOS!$D$5:$D$1005="jabas")*(MOVIMIENTOS!$A$5:$A$1005&lt;&gt;"")*(MOVIMIENTOS!$A$5:$A$1005&lt;=$A742)*MOVIMIENTOS!$E$5:$E$1005)+SUMPRODUCT((MOVIMIENTOS!$B$5:$B$1005="DEVOLUCIÓN")*(MOVIMIENTOS!$C$5:$C$1005="P")*(MOVIMIENTOS!$D$5:$D$1005="jabas")*(MOVIMIENTOS!$A$5:$A$1005&lt;&gt;"")*(MOVIMIENTOS!$A$5:$A$1005&lt;=$A742)*MOVIMIENTOS!$E$5:$E$1005)-SUMPRODUCT((MOVIMIENTOS!$B$5:$B$1005="TRASIEGO")*(MOVIMIENTOS!$C$5:$C$1005="P")*(MOVIMIENTOS!$D$5:$D$1005="jabas")*(MOVIMIENTOS!$A$5:$A$1005&lt;&gt;"")*(MOVIMIENTOS!$A$5:$A$1005&lt;=$A742)*MOVIMIENTOS!$E$5:$E$1005)-SUMPRODUCT((MOVIMIENTOS!$B$5:$B$1005="REGALO")*(MOVIMIENTOS!$C$5:$C$1005="P")*(MOVIMIENTOS!$D$5:$D$1005="jabas")*(MOVIMIENTOS!$A$5:$A$1005&lt;&gt;"")*(MOVIMIENTOS!$A$5:$A$1005&lt;=$A742)*MOVIMIENTOS!$E$5:$E$1005)-SUMPRODUCT((MOVIMIENTOS!$B$5:$B$1005="VENTA")*(MOVIMIENTOS!$C$5:$C$1005="P")*(MOVIMIENTOS!$D$5:$D$1005="jabas")*(MOVIMIENTOS!$A$5:$A$1005&lt;&gt;"")*(MOVIMIENTOS!$A$5:$A$1005&lt;=$A742)*MOVIMIENTOS!$E$5:$E$1005)+SUMPRODUCT((MOVIMIENTOS!$B$5:$B$1005="AJUSTE")*(MOVIMIENTOS!$C$5:$C$1005="P")*(MOVIMIENTOS!$D$5:$D$1005="jabas")*(MOVIMIENTOS!$A$5:$A$1005&lt;&gt;"")*(MOVIMIENTOS!$A$5:$A$1005&lt;=$A742)*MOVIMIENTOS!$E$5:$E$1005))</f>
        <v/>
      </c>
      <c r="D742" t="str">
        <f>IF($A742="","",SUMPRODUCT((MOVIMIENTOS!$B$5:$B$1005="SALDO INICIAL")*(MOVIMIENTOS!$C$5:$C$1005="C")*(MOVIMIENTOS!$D$5:$D$1005="jabas")*(MOVIMIENTOS!$A$5:$A$1005&lt;&gt;"")*(MOVIMIENTOS!$A$5:$A$1005&lt;=$A742)*MOVIMIENTOS!$E$5:$E$1005)+SUMPRODUCT((MOVIMIENTOS!$B$5:$B$1005="PROCESO")*(MOVIMIENTOS!$C$5:$C$1005="C")*(MOVIMIENTOS!$D$5:$D$1005="jabas")*(MOVIMIENTOS!$A$5:$A$1005&lt;&gt;"")*(MOVIMIENTOS!$A$5:$A$1005&lt;=$A742)*MOVIMIENTOS!$E$5:$E$1005)-SUMPRODUCT((MOVIMIENTOS!$B$5:$B$1005="ENVÍO A SUPESA")*(MOVIMIENTOS!$C$5:$C$1005="C")*(MOVIMIENTOS!$D$5:$D$1005="jabas")*(MOVIMIENTOS!$A$5:$A$1005&lt;&gt;"")*(MOVIMIENTOS!$A$5:$A$1005&lt;=$A742)*MOVIMIENTOS!$E$5:$E$1005)+SUMPRODUCT((MOVIMIENTOS!$B$5:$B$1005="DEVOLUCIÓN")*(MOVIMIENTOS!$C$5:$C$1005="C")*(MOVIMIENTOS!$D$5:$D$1005="jabas")*(MOVIMIENTOS!$A$5:$A$1005&lt;&gt;"")*(MOVIMIENTOS!$A$5:$A$1005&lt;=$A742)*MOVIMIENTOS!$E$5:$E$1005)-SUMPRODUCT((MOVIMIENTOS!$B$5:$B$1005="TRASIEGO")*(MOVIMIENTOS!$C$5:$C$1005="C")*(MOVIMIENTOS!$D$5:$D$1005="jabas")*(MOVIMIENTOS!$A$5:$A$1005&lt;&gt;"")*(MOVIMIENTOS!$A$5:$A$1005&lt;=$A742)*MOVIMIENTOS!$E$5:$E$1005)-SUMPRODUCT((MOVIMIENTOS!$B$5:$B$1005="REGALO")*(MOVIMIENTOS!$C$5:$C$1005="C")*(MOVIMIENTOS!$D$5:$D$1005="jabas")*(MOVIMIENTOS!$A$5:$A$1005&lt;&gt;"")*(MOVIMIENTOS!$A$5:$A$1005&lt;=$A742)*MOVIMIENTOS!$E$5:$E$1005)-SUMPRODUCT((MOVIMIENTOS!$B$5:$B$1005="VENTA")*(MOVIMIENTOS!$C$5:$C$1005="C")*(MOVIMIENTOS!$D$5:$D$1005="jabas")*(MOVIMIENTOS!$A$5:$A$1005&lt;&gt;"")*(MOVIMIENTOS!$A$5:$A$1005&lt;=$A742)*MOVIMIENTOS!$E$5:$E$1005)+SUMPRODUCT((MOVIMIENTOS!$B$5:$B$1005="AJUSTE")*(MOVIMIENTOS!$C$5:$C$1005="C")*(MOVIMIENTOS!$D$5:$D$1005="jabas")*(MOVIMIENTOS!$A$5:$A$1005&lt;&gt;"")*(MOVIMIENTOS!$A$5:$A$1005&lt;=$A742)*MOVIMIENTOS!$E$5:$E$1005))</f>
        <v/>
      </c>
      <c r="E742" t="str">
        <f>IF($A742="","",SUMPRODUCT((MOVIMIENTOS!$B$5:$B$1005="SALDO INICIAL")*(MOVIMIENTOS!$C$5:$C$1005="M")*(MOVIMIENTOS!$D$5:$D$1005="jabas")*(MOVIMIENTOS!$A$5:$A$1005&lt;&gt;"")*(MOVIMIENTOS!$A$5:$A$1005&lt;=$A742)*MOVIMIENTOS!$E$5:$E$1005)+SUMPRODUCT((MOVIMIENTOS!$B$5:$B$1005="PROCESO")*(MOVIMIENTOS!$C$5:$C$1005="M")*(MOVIMIENTOS!$D$5:$D$1005="jabas")*(MOVIMIENTOS!$A$5:$A$1005&lt;&gt;"")*(MOVIMIENTOS!$A$5:$A$1005&lt;=$A742)*MOVIMIENTOS!$E$5:$E$1005)-SUMPRODUCT((MOVIMIENTOS!$B$5:$B$1005="ENVÍO A SUPESA")*(MOVIMIENTOS!$C$5:$C$1005="M")*(MOVIMIENTOS!$D$5:$D$1005="jabas")*(MOVIMIENTOS!$A$5:$A$1005&lt;&gt;"")*(MOVIMIENTOS!$A$5:$A$1005&lt;=$A742)*MOVIMIENTOS!$E$5:$E$1005)+SUMPRODUCT((MOVIMIENTOS!$B$5:$B$1005="DEVOLUCIÓN")*(MOVIMIENTOS!$C$5:$C$1005="M")*(MOVIMIENTOS!$D$5:$D$1005="jabas")*(MOVIMIENTOS!$A$5:$A$1005&lt;&gt;"")*(MOVIMIENTOS!$A$5:$A$1005&lt;=$A742)*MOVIMIENTOS!$E$5:$E$1005)-SUMPRODUCT((MOVIMIENTOS!$B$5:$B$1005="TRASIEGO")*(MOVIMIENTOS!$C$5:$C$1005="M")*(MOVIMIENTOS!$D$5:$D$1005="jabas")*(MOVIMIENTOS!$A$5:$A$1005&lt;&gt;"")*(MOVIMIENTOS!$A$5:$A$1005&lt;=$A742)*MOVIMIENTOS!$E$5:$E$1005)-SUMPRODUCT((MOVIMIENTOS!$B$5:$B$1005="REGALO")*(MOVIMIENTOS!$C$5:$C$1005="M")*(MOVIMIENTOS!$D$5:$D$1005="jabas")*(MOVIMIENTOS!$A$5:$A$1005&lt;&gt;"")*(MOVIMIENTOS!$A$5:$A$1005&lt;=$A742)*MOVIMIENTOS!$E$5:$E$1005)-SUMPRODUCT((MOVIMIENTOS!$B$5:$B$1005="VENTA")*(MOVIMIENTOS!$C$5:$C$1005="M")*(MOVIMIENTOS!$D$5:$D$1005="jabas")*(MOVIMIENTOS!$A$5:$A$1005&lt;&gt;"")*(MOVIMIENTOS!$A$5:$A$1005&lt;=$A742)*MOVIMIENTOS!$E$5:$E$1005)+SUMPRODUCT((MOVIMIENTOS!$B$5:$B$1005="AJUSTE")*(MOVIMIENTOS!$C$5:$C$1005="M")*(MOVIMIENTOS!$D$5:$D$1005="jabas")*(MOVIMIENTOS!$A$5:$A$1005&lt;&gt;"")*(MOVIMIENTOS!$A$5:$A$1005&lt;=$A742)*MOVIMIENTOS!$E$5:$E$1005))</f>
        <v/>
      </c>
      <c r="F742" s="62" t="str">
        <f>IF($A742="","",SUMPRODUCT((MOVIMIENTOS!$B$5:$B$1005="SALDO INICIAL")*(MOVIMIENTOS!$C$5:$C$1005="Chancho")*(MOVIMIENTOS!$D$5:$D$1005="sacos")*(MOVIMIENTOS!$A$5:$A$1005&lt;&gt;"")*(MOVIMIENTOS!$A$5:$A$1005&lt;=$A742)*MOVIMIENTOS!$E$5:$E$1005)+SUMPRODUCT((MOVIMIENTOS!$B$5:$B$1005="PROCESO")*(MOVIMIENTOS!$C$5:$C$1005="Chancho")*(MOVIMIENTOS!$D$5:$D$1005="sacos")*(MOVIMIENTOS!$A$5:$A$1005&lt;&gt;"")*(MOVIMIENTOS!$A$5:$A$1005&lt;=$A742)*MOVIMIENTOS!$E$5:$E$1005)-SUMPRODUCT((MOVIMIENTOS!$B$5:$B$1005="VENTA CHANCHO")*(MOVIMIENTOS!$C$5:$C$1005="Chancho")*(MOVIMIENTOS!$D$5:$D$1005="sacos")*(MOVIMIENTOS!$A$5:$A$1005&lt;&gt;"")*(MOVIMIENTOS!$A$5:$A$1005&lt;=$A742)*MOVIMIENTOS!$E$5:$E$1005)-SUMPRODUCT((MOVIMIENTOS!$B$5:$B$1005="REGALO")*(MOVIMIENTOS!$C$5:$C$1005="Chancho")*(MOVIMIENTOS!$D$5:$D$1005="sacos")*(MOVIMIENTOS!$A$5:$A$1005&lt;&gt;"")*(MOVIMIENTOS!$A$5:$A$1005&lt;=$A742)*MOVIMIENTOS!$E$5:$E$1005)-SUMPRODUCT((MOVIMIENTOS!$B$5:$B$1005="VENTA")*(MOVIMIENTOS!$C$5:$C$1005="Chancho")*(MOVIMIENTOS!$D$5:$D$1005="sacos")*(MOVIMIENTOS!$A$5:$A$1005&lt;&gt;"")*(MOVIMIENTOS!$A$5:$A$1005&lt;=$A742)*MOVIMIENTOS!$E$5:$E$1005)+SUMPRODUCT((MOVIMIENTOS!$B$5:$B$1005="AJUSTE")*(MOVIMIENTOS!$C$5:$C$1005="Chancho")*(MOVIMIENTOS!$D$5:$D$1005="sacos")*(MOVIMIENTOS!$A$5:$A$1005&lt;&gt;"")*(MOVIMIENTOS!$A$5:$A$1005&lt;=$A742)*MOVIMIENTOS!$E$5:$E$1005))</f>
        <v/>
      </c>
      <c r="G742" s="62" t="str">
        <f t="shared" si="23"/>
        <v/>
      </c>
      <c r="H742" t="str">
        <f>IF($A742="","",SUMPRODUCT((((MOVIMIENTOS!$B$5:$B$1005="SALDO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742)*MOVIMIENTOS!$J$5:$J$1005))</f>
        <v/>
      </c>
      <c r="J742" t="str">
        <f>IF(AND(MOVIMIENTOS!$A747&lt;&gt;"",COUNTIF(MOVIMIENTOS!$A$5:$A746,MOVIMIENTOS!$A747)=0),COUNT(J$4:J741)+1,"")</f>
        <v/>
      </c>
      <c r="K742">
        <f>MOVIMIENTOS!$A747</f>
        <v>0</v>
      </c>
    </row>
    <row r="743" spans="1:11" ht="15" customHeight="1" x14ac:dyDescent="0.2">
      <c r="A743" t="str">
        <f t="shared" si="22"/>
        <v/>
      </c>
      <c r="B743" t="str">
        <f>IF($A743="","",SUMPRODUCT((MOVIMIENTOS!$B$5:$B$1005="SALDO INICIAL")*(MOVIMIENTOS!$C$5:$C$1005="A")*(MOVIMIENTOS!$D$5:$D$1005="jabas")*(MOVIMIENTOS!$A$5:$A$1005&lt;&gt;"")*(MOVIMIENTOS!$A$5:$A$1005&lt;=$A743)*MOVIMIENTOS!$E$5:$E$1005)+SUMPRODUCT((MOVIMIENTOS!$B$5:$B$1005="PROCESO")*(MOVIMIENTOS!$C$5:$C$1005="A")*(MOVIMIENTOS!$D$5:$D$1005="jabas")*(MOVIMIENTOS!$A$5:$A$1005&lt;&gt;"")*(MOVIMIENTOS!$A$5:$A$1005&lt;=$A743)*MOVIMIENTOS!$E$5:$E$1005)-SUMPRODUCT((MOVIMIENTOS!$B$5:$B$1005="ENVÍO A SUPESA")*(MOVIMIENTOS!$C$5:$C$1005="A")*(MOVIMIENTOS!$D$5:$D$1005="jabas")*(MOVIMIENTOS!$A$5:$A$1005&lt;&gt;"")*(MOVIMIENTOS!$A$5:$A$1005&lt;=$A743)*MOVIMIENTOS!$E$5:$E$1005)+SUMPRODUCT((MOVIMIENTOS!$B$5:$B$1005="DEVOLUCIÓN")*(MOVIMIENTOS!$C$5:$C$1005="A")*(MOVIMIENTOS!$D$5:$D$1005="jabas")*(MOVIMIENTOS!$A$5:$A$1005&lt;&gt;"")*(MOVIMIENTOS!$A$5:$A$1005&lt;=$A743)*MOVIMIENTOS!$E$5:$E$1005)-SUMPRODUCT((MOVIMIENTOS!$B$5:$B$1005="TRASIEGO")*(MOVIMIENTOS!$C$5:$C$1005="A")*(MOVIMIENTOS!$D$5:$D$1005="jabas")*(MOVIMIENTOS!$A$5:$A$1005&lt;&gt;"")*(MOVIMIENTOS!$A$5:$A$1005&lt;=$A743)*MOVIMIENTOS!$E$5:$E$1005)-SUMPRODUCT((MOVIMIENTOS!$B$5:$B$1005="REGALO")*(MOVIMIENTOS!$C$5:$C$1005="A")*(MOVIMIENTOS!$D$5:$D$1005="jabas")*(MOVIMIENTOS!$A$5:$A$1005&lt;&gt;"")*(MOVIMIENTOS!$A$5:$A$1005&lt;=$A743)*MOVIMIENTOS!$E$5:$E$1005)-SUMPRODUCT((MOVIMIENTOS!$B$5:$B$1005="VENTA")*(MOVIMIENTOS!$C$5:$C$1005="A")*(MOVIMIENTOS!$D$5:$D$1005="jabas")*(MOVIMIENTOS!$A$5:$A$1005&lt;&gt;"")*(MOVIMIENTOS!$A$5:$A$1005&lt;=$A743)*MOVIMIENTOS!$E$5:$E$1005)+SUMPRODUCT((MOVIMIENTOS!$B$5:$B$1005="AJUSTE")*(MOVIMIENTOS!$C$5:$C$1005="A")*(MOVIMIENTOS!$D$5:$D$1005="jabas")*(MOVIMIENTOS!$A$5:$A$1005&lt;&gt;"")*(MOVIMIENTOS!$A$5:$A$1005&lt;=$A743)*MOVIMIENTOS!$E$5:$E$1005))</f>
        <v/>
      </c>
      <c r="C743" t="str">
        <f>IF($A743="","",SUMPRODUCT((MOVIMIENTOS!$B$5:$B$1005="SALDO INICIAL")*(MOVIMIENTOS!$C$5:$C$1005="P")*(MOVIMIENTOS!$D$5:$D$1005="jabas")*(MOVIMIENTOS!$A$5:$A$1005&lt;&gt;"")*(MOVIMIENTOS!$A$5:$A$1005&lt;=$A743)*MOVIMIENTOS!$E$5:$E$1005)+SUMPRODUCT((MOVIMIENTOS!$B$5:$B$1005="PROCESO")*(MOVIMIENTOS!$C$5:$C$1005="P")*(MOVIMIENTOS!$D$5:$D$1005="jabas")*(MOVIMIENTOS!$A$5:$A$1005&lt;&gt;"")*(MOVIMIENTOS!$A$5:$A$1005&lt;=$A743)*MOVIMIENTOS!$E$5:$E$1005)-SUMPRODUCT((MOVIMIENTOS!$B$5:$B$1005="ENVÍO A SUPESA")*(MOVIMIENTOS!$C$5:$C$1005="P")*(MOVIMIENTOS!$D$5:$D$1005="jabas")*(MOVIMIENTOS!$A$5:$A$1005&lt;&gt;"")*(MOVIMIENTOS!$A$5:$A$1005&lt;=$A743)*MOVIMIENTOS!$E$5:$E$1005)+SUMPRODUCT((MOVIMIENTOS!$B$5:$B$1005="DEVOLUCIÓN")*(MOVIMIENTOS!$C$5:$C$1005="P")*(MOVIMIENTOS!$D$5:$D$1005="jabas")*(MOVIMIENTOS!$A$5:$A$1005&lt;&gt;"")*(MOVIMIENTOS!$A$5:$A$1005&lt;=$A743)*MOVIMIENTOS!$E$5:$E$1005)-SUMPRODUCT((MOVIMIENTOS!$B$5:$B$1005="TRASIEGO")*(MOVIMIENTOS!$C$5:$C$1005="P")*(MOVIMIENTOS!$D$5:$D$1005="jabas")*(MOVIMIENTOS!$A$5:$A$1005&lt;&gt;"")*(MOVIMIENTOS!$A$5:$A$1005&lt;=$A743)*MOVIMIENTOS!$E$5:$E$1005)-SUMPRODUCT((MOVIMIENTOS!$B$5:$B$1005="REGALO")*(MOVIMIENTOS!$C$5:$C$1005="P")*(MOVIMIENTOS!$D$5:$D$1005="jabas")*(MOVIMIENTOS!$A$5:$A$1005&lt;&gt;"")*(MOVIMIENTOS!$A$5:$A$1005&lt;=$A743)*MOVIMIENTOS!$E$5:$E$1005)-SUMPRODUCT((MOVIMIENTOS!$B$5:$B$1005="VENTA")*(MOVIMIENTOS!$C$5:$C$1005="P")*(MOVIMIENTOS!$D$5:$D$1005="jabas")*(MOVIMIENTOS!$A$5:$A$1005&lt;&gt;"")*(MOVIMIENTOS!$A$5:$A$1005&lt;=$A743)*MOVIMIENTOS!$E$5:$E$1005)+SUMPRODUCT((MOVIMIENTOS!$B$5:$B$1005="AJUSTE")*(MOVIMIENTOS!$C$5:$C$1005="P")*(MOVIMIENTOS!$D$5:$D$1005="jabas")*(MOVIMIENTOS!$A$5:$A$1005&lt;&gt;"")*(MOVIMIENTOS!$A$5:$A$1005&lt;=$A743)*MOVIMIENTOS!$E$5:$E$1005))</f>
        <v/>
      </c>
      <c r="D743" t="str">
        <f>IF($A743="","",SUMPRODUCT((MOVIMIENTOS!$B$5:$B$1005="SALDO INICIAL")*(MOVIMIENTOS!$C$5:$C$1005="C")*(MOVIMIENTOS!$D$5:$D$1005="jabas")*(MOVIMIENTOS!$A$5:$A$1005&lt;&gt;"")*(MOVIMIENTOS!$A$5:$A$1005&lt;=$A743)*MOVIMIENTOS!$E$5:$E$1005)+SUMPRODUCT((MOVIMIENTOS!$B$5:$B$1005="PROCESO")*(MOVIMIENTOS!$C$5:$C$1005="C")*(MOVIMIENTOS!$D$5:$D$1005="jabas")*(MOVIMIENTOS!$A$5:$A$1005&lt;&gt;"")*(MOVIMIENTOS!$A$5:$A$1005&lt;=$A743)*MOVIMIENTOS!$E$5:$E$1005)-SUMPRODUCT((MOVIMIENTOS!$B$5:$B$1005="ENVÍO A SUPESA")*(MOVIMIENTOS!$C$5:$C$1005="C")*(MOVIMIENTOS!$D$5:$D$1005="jabas")*(MOVIMIENTOS!$A$5:$A$1005&lt;&gt;"")*(MOVIMIENTOS!$A$5:$A$1005&lt;=$A743)*MOVIMIENTOS!$E$5:$E$1005)+SUMPRODUCT((MOVIMIENTOS!$B$5:$B$1005="DEVOLUCIÓN")*(MOVIMIENTOS!$C$5:$C$1005="C")*(MOVIMIENTOS!$D$5:$D$1005="jabas")*(MOVIMIENTOS!$A$5:$A$1005&lt;&gt;"")*(MOVIMIENTOS!$A$5:$A$1005&lt;=$A743)*MOVIMIENTOS!$E$5:$E$1005)-SUMPRODUCT((MOVIMIENTOS!$B$5:$B$1005="TRASIEGO")*(MOVIMIENTOS!$C$5:$C$1005="C")*(MOVIMIENTOS!$D$5:$D$1005="jabas")*(MOVIMIENTOS!$A$5:$A$1005&lt;&gt;"")*(MOVIMIENTOS!$A$5:$A$1005&lt;=$A743)*MOVIMIENTOS!$E$5:$E$1005)-SUMPRODUCT((MOVIMIENTOS!$B$5:$B$1005="REGALO")*(MOVIMIENTOS!$C$5:$C$1005="C")*(MOVIMIENTOS!$D$5:$D$1005="jabas")*(MOVIMIENTOS!$A$5:$A$1005&lt;&gt;"")*(MOVIMIENTOS!$A$5:$A$1005&lt;=$A743)*MOVIMIENTOS!$E$5:$E$1005)-SUMPRODUCT((MOVIMIENTOS!$B$5:$B$1005="VENTA")*(MOVIMIENTOS!$C$5:$C$1005="C")*(MOVIMIENTOS!$D$5:$D$1005="jabas")*(MOVIMIENTOS!$A$5:$A$1005&lt;&gt;"")*(MOVIMIENTOS!$A$5:$A$1005&lt;=$A743)*MOVIMIENTOS!$E$5:$E$1005)+SUMPRODUCT((MOVIMIENTOS!$B$5:$B$1005="AJUSTE")*(MOVIMIENTOS!$C$5:$C$1005="C")*(MOVIMIENTOS!$D$5:$D$1005="jabas")*(MOVIMIENTOS!$A$5:$A$1005&lt;&gt;"")*(MOVIMIENTOS!$A$5:$A$1005&lt;=$A743)*MOVIMIENTOS!$E$5:$E$1005))</f>
        <v/>
      </c>
      <c r="E743" t="str">
        <f>IF($A743="","",SUMPRODUCT((MOVIMIENTOS!$B$5:$B$1005="SALDO INICIAL")*(MOVIMIENTOS!$C$5:$C$1005="M")*(MOVIMIENTOS!$D$5:$D$1005="jabas")*(MOVIMIENTOS!$A$5:$A$1005&lt;&gt;"")*(MOVIMIENTOS!$A$5:$A$1005&lt;=$A743)*MOVIMIENTOS!$E$5:$E$1005)+SUMPRODUCT((MOVIMIENTOS!$B$5:$B$1005="PROCESO")*(MOVIMIENTOS!$C$5:$C$1005="M")*(MOVIMIENTOS!$D$5:$D$1005="jabas")*(MOVIMIENTOS!$A$5:$A$1005&lt;&gt;"")*(MOVIMIENTOS!$A$5:$A$1005&lt;=$A743)*MOVIMIENTOS!$E$5:$E$1005)-SUMPRODUCT((MOVIMIENTOS!$B$5:$B$1005="ENVÍO A SUPESA")*(MOVIMIENTOS!$C$5:$C$1005="M")*(MOVIMIENTOS!$D$5:$D$1005="jabas")*(MOVIMIENTOS!$A$5:$A$1005&lt;&gt;"")*(MOVIMIENTOS!$A$5:$A$1005&lt;=$A743)*MOVIMIENTOS!$E$5:$E$1005)+SUMPRODUCT((MOVIMIENTOS!$B$5:$B$1005="DEVOLUCIÓN")*(MOVIMIENTOS!$C$5:$C$1005="M")*(MOVIMIENTOS!$D$5:$D$1005="jabas")*(MOVIMIENTOS!$A$5:$A$1005&lt;&gt;"")*(MOVIMIENTOS!$A$5:$A$1005&lt;=$A743)*MOVIMIENTOS!$E$5:$E$1005)-SUMPRODUCT((MOVIMIENTOS!$B$5:$B$1005="TRASIEGO")*(MOVIMIENTOS!$C$5:$C$1005="M")*(MOVIMIENTOS!$D$5:$D$1005="jabas")*(MOVIMIENTOS!$A$5:$A$1005&lt;&gt;"")*(MOVIMIENTOS!$A$5:$A$1005&lt;=$A743)*MOVIMIENTOS!$E$5:$E$1005)-SUMPRODUCT((MOVIMIENTOS!$B$5:$B$1005="REGALO")*(MOVIMIENTOS!$C$5:$C$1005="M")*(MOVIMIENTOS!$D$5:$D$1005="jabas")*(MOVIMIENTOS!$A$5:$A$1005&lt;&gt;"")*(MOVIMIENTOS!$A$5:$A$1005&lt;=$A743)*MOVIMIENTOS!$E$5:$E$1005)-SUMPRODUCT((MOVIMIENTOS!$B$5:$B$1005="VENTA")*(MOVIMIENTOS!$C$5:$C$1005="M")*(MOVIMIENTOS!$D$5:$D$1005="jabas")*(MOVIMIENTOS!$A$5:$A$1005&lt;&gt;"")*(MOVIMIENTOS!$A$5:$A$1005&lt;=$A743)*MOVIMIENTOS!$E$5:$E$1005)+SUMPRODUCT((MOVIMIENTOS!$B$5:$B$1005="AJUSTE")*(MOVIMIENTOS!$C$5:$C$1005="M")*(MOVIMIENTOS!$D$5:$D$1005="jabas")*(MOVIMIENTOS!$A$5:$A$1005&lt;&gt;"")*(MOVIMIENTOS!$A$5:$A$1005&lt;=$A743)*MOVIMIENTOS!$E$5:$E$1005))</f>
        <v/>
      </c>
      <c r="F743" s="62" t="str">
        <f>IF($A743="","",SUMPRODUCT((MOVIMIENTOS!$B$5:$B$1005="SALDO INICIAL")*(MOVIMIENTOS!$C$5:$C$1005="Chancho")*(MOVIMIENTOS!$D$5:$D$1005="sacos")*(MOVIMIENTOS!$A$5:$A$1005&lt;&gt;"")*(MOVIMIENTOS!$A$5:$A$1005&lt;=$A743)*MOVIMIENTOS!$E$5:$E$1005)+SUMPRODUCT((MOVIMIENTOS!$B$5:$B$1005="PROCESO")*(MOVIMIENTOS!$C$5:$C$1005="Chancho")*(MOVIMIENTOS!$D$5:$D$1005="sacos")*(MOVIMIENTOS!$A$5:$A$1005&lt;&gt;"")*(MOVIMIENTOS!$A$5:$A$1005&lt;=$A743)*MOVIMIENTOS!$E$5:$E$1005)-SUMPRODUCT((MOVIMIENTOS!$B$5:$B$1005="VENTA CHANCHO")*(MOVIMIENTOS!$C$5:$C$1005="Chancho")*(MOVIMIENTOS!$D$5:$D$1005="sacos")*(MOVIMIENTOS!$A$5:$A$1005&lt;&gt;"")*(MOVIMIENTOS!$A$5:$A$1005&lt;=$A743)*MOVIMIENTOS!$E$5:$E$1005)-SUMPRODUCT((MOVIMIENTOS!$B$5:$B$1005="REGALO")*(MOVIMIENTOS!$C$5:$C$1005="Chancho")*(MOVIMIENTOS!$D$5:$D$1005="sacos")*(MOVIMIENTOS!$A$5:$A$1005&lt;&gt;"")*(MOVIMIENTOS!$A$5:$A$1005&lt;=$A743)*MOVIMIENTOS!$E$5:$E$1005)-SUMPRODUCT((MOVIMIENTOS!$B$5:$B$1005="VENTA")*(MOVIMIENTOS!$C$5:$C$1005="Chancho")*(MOVIMIENTOS!$D$5:$D$1005="sacos")*(MOVIMIENTOS!$A$5:$A$1005&lt;&gt;"")*(MOVIMIENTOS!$A$5:$A$1005&lt;=$A743)*MOVIMIENTOS!$E$5:$E$1005)+SUMPRODUCT((MOVIMIENTOS!$B$5:$B$1005="AJUSTE")*(MOVIMIENTOS!$C$5:$C$1005="Chancho")*(MOVIMIENTOS!$D$5:$D$1005="sacos")*(MOVIMIENTOS!$A$5:$A$1005&lt;&gt;"")*(MOVIMIENTOS!$A$5:$A$1005&lt;=$A743)*MOVIMIENTOS!$E$5:$E$1005))</f>
        <v/>
      </c>
      <c r="G743" s="62" t="str">
        <f t="shared" si="23"/>
        <v/>
      </c>
      <c r="H743" t="str">
        <f>IF($A743="","",SUMPRODUCT((((MOVIMIENTOS!$B$5:$B$1005="SALDO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743)*MOVIMIENTOS!$J$5:$J$1005))</f>
        <v/>
      </c>
      <c r="J743" t="str">
        <f>IF(AND(MOVIMIENTOS!$A748&lt;&gt;"",COUNTIF(MOVIMIENTOS!$A$5:$A747,MOVIMIENTOS!$A748)=0),COUNT(J$4:J742)+1,"")</f>
        <v/>
      </c>
      <c r="K743">
        <f>MOVIMIENTOS!$A748</f>
        <v>0</v>
      </c>
    </row>
    <row r="744" spans="1:11" ht="15" customHeight="1" x14ac:dyDescent="0.2">
      <c r="A744" t="str">
        <f t="shared" si="22"/>
        <v/>
      </c>
      <c r="B744" t="str">
        <f>IF($A744="","",SUMPRODUCT((MOVIMIENTOS!$B$5:$B$1005="SALDO INICIAL")*(MOVIMIENTOS!$C$5:$C$1005="A")*(MOVIMIENTOS!$D$5:$D$1005="jabas")*(MOVIMIENTOS!$A$5:$A$1005&lt;&gt;"")*(MOVIMIENTOS!$A$5:$A$1005&lt;=$A744)*MOVIMIENTOS!$E$5:$E$1005)+SUMPRODUCT((MOVIMIENTOS!$B$5:$B$1005="PROCESO")*(MOVIMIENTOS!$C$5:$C$1005="A")*(MOVIMIENTOS!$D$5:$D$1005="jabas")*(MOVIMIENTOS!$A$5:$A$1005&lt;&gt;"")*(MOVIMIENTOS!$A$5:$A$1005&lt;=$A744)*MOVIMIENTOS!$E$5:$E$1005)-SUMPRODUCT((MOVIMIENTOS!$B$5:$B$1005="ENVÍO A SUPESA")*(MOVIMIENTOS!$C$5:$C$1005="A")*(MOVIMIENTOS!$D$5:$D$1005="jabas")*(MOVIMIENTOS!$A$5:$A$1005&lt;&gt;"")*(MOVIMIENTOS!$A$5:$A$1005&lt;=$A744)*MOVIMIENTOS!$E$5:$E$1005)+SUMPRODUCT((MOVIMIENTOS!$B$5:$B$1005="DEVOLUCIÓN")*(MOVIMIENTOS!$C$5:$C$1005="A")*(MOVIMIENTOS!$D$5:$D$1005="jabas")*(MOVIMIENTOS!$A$5:$A$1005&lt;&gt;"")*(MOVIMIENTOS!$A$5:$A$1005&lt;=$A744)*MOVIMIENTOS!$E$5:$E$1005)-SUMPRODUCT((MOVIMIENTOS!$B$5:$B$1005="TRASIEGO")*(MOVIMIENTOS!$C$5:$C$1005="A")*(MOVIMIENTOS!$D$5:$D$1005="jabas")*(MOVIMIENTOS!$A$5:$A$1005&lt;&gt;"")*(MOVIMIENTOS!$A$5:$A$1005&lt;=$A744)*MOVIMIENTOS!$E$5:$E$1005)-SUMPRODUCT((MOVIMIENTOS!$B$5:$B$1005="REGALO")*(MOVIMIENTOS!$C$5:$C$1005="A")*(MOVIMIENTOS!$D$5:$D$1005="jabas")*(MOVIMIENTOS!$A$5:$A$1005&lt;&gt;"")*(MOVIMIENTOS!$A$5:$A$1005&lt;=$A744)*MOVIMIENTOS!$E$5:$E$1005)-SUMPRODUCT((MOVIMIENTOS!$B$5:$B$1005="VENTA")*(MOVIMIENTOS!$C$5:$C$1005="A")*(MOVIMIENTOS!$D$5:$D$1005="jabas")*(MOVIMIENTOS!$A$5:$A$1005&lt;&gt;"")*(MOVIMIENTOS!$A$5:$A$1005&lt;=$A744)*MOVIMIENTOS!$E$5:$E$1005)+SUMPRODUCT((MOVIMIENTOS!$B$5:$B$1005="AJUSTE")*(MOVIMIENTOS!$C$5:$C$1005="A")*(MOVIMIENTOS!$D$5:$D$1005="jabas")*(MOVIMIENTOS!$A$5:$A$1005&lt;&gt;"")*(MOVIMIENTOS!$A$5:$A$1005&lt;=$A744)*MOVIMIENTOS!$E$5:$E$1005))</f>
        <v/>
      </c>
      <c r="C744" t="str">
        <f>IF($A744="","",SUMPRODUCT((MOVIMIENTOS!$B$5:$B$1005="SALDO INICIAL")*(MOVIMIENTOS!$C$5:$C$1005="P")*(MOVIMIENTOS!$D$5:$D$1005="jabas")*(MOVIMIENTOS!$A$5:$A$1005&lt;&gt;"")*(MOVIMIENTOS!$A$5:$A$1005&lt;=$A744)*MOVIMIENTOS!$E$5:$E$1005)+SUMPRODUCT((MOVIMIENTOS!$B$5:$B$1005="PROCESO")*(MOVIMIENTOS!$C$5:$C$1005="P")*(MOVIMIENTOS!$D$5:$D$1005="jabas")*(MOVIMIENTOS!$A$5:$A$1005&lt;&gt;"")*(MOVIMIENTOS!$A$5:$A$1005&lt;=$A744)*MOVIMIENTOS!$E$5:$E$1005)-SUMPRODUCT((MOVIMIENTOS!$B$5:$B$1005="ENVÍO A SUPESA")*(MOVIMIENTOS!$C$5:$C$1005="P")*(MOVIMIENTOS!$D$5:$D$1005="jabas")*(MOVIMIENTOS!$A$5:$A$1005&lt;&gt;"")*(MOVIMIENTOS!$A$5:$A$1005&lt;=$A744)*MOVIMIENTOS!$E$5:$E$1005)+SUMPRODUCT((MOVIMIENTOS!$B$5:$B$1005="DEVOLUCIÓN")*(MOVIMIENTOS!$C$5:$C$1005="P")*(MOVIMIENTOS!$D$5:$D$1005="jabas")*(MOVIMIENTOS!$A$5:$A$1005&lt;&gt;"")*(MOVIMIENTOS!$A$5:$A$1005&lt;=$A744)*MOVIMIENTOS!$E$5:$E$1005)-SUMPRODUCT((MOVIMIENTOS!$B$5:$B$1005="TRASIEGO")*(MOVIMIENTOS!$C$5:$C$1005="P")*(MOVIMIENTOS!$D$5:$D$1005="jabas")*(MOVIMIENTOS!$A$5:$A$1005&lt;&gt;"")*(MOVIMIENTOS!$A$5:$A$1005&lt;=$A744)*MOVIMIENTOS!$E$5:$E$1005)-SUMPRODUCT((MOVIMIENTOS!$B$5:$B$1005="REGALO")*(MOVIMIENTOS!$C$5:$C$1005="P")*(MOVIMIENTOS!$D$5:$D$1005="jabas")*(MOVIMIENTOS!$A$5:$A$1005&lt;&gt;"")*(MOVIMIENTOS!$A$5:$A$1005&lt;=$A744)*MOVIMIENTOS!$E$5:$E$1005)-SUMPRODUCT((MOVIMIENTOS!$B$5:$B$1005="VENTA")*(MOVIMIENTOS!$C$5:$C$1005="P")*(MOVIMIENTOS!$D$5:$D$1005="jabas")*(MOVIMIENTOS!$A$5:$A$1005&lt;&gt;"")*(MOVIMIENTOS!$A$5:$A$1005&lt;=$A744)*MOVIMIENTOS!$E$5:$E$1005)+SUMPRODUCT((MOVIMIENTOS!$B$5:$B$1005="AJUSTE")*(MOVIMIENTOS!$C$5:$C$1005="P")*(MOVIMIENTOS!$D$5:$D$1005="jabas")*(MOVIMIENTOS!$A$5:$A$1005&lt;&gt;"")*(MOVIMIENTOS!$A$5:$A$1005&lt;=$A744)*MOVIMIENTOS!$E$5:$E$1005))</f>
        <v/>
      </c>
      <c r="D744" t="str">
        <f>IF($A744="","",SUMPRODUCT((MOVIMIENTOS!$B$5:$B$1005="SALDO INICIAL")*(MOVIMIENTOS!$C$5:$C$1005="C")*(MOVIMIENTOS!$D$5:$D$1005="jabas")*(MOVIMIENTOS!$A$5:$A$1005&lt;&gt;"")*(MOVIMIENTOS!$A$5:$A$1005&lt;=$A744)*MOVIMIENTOS!$E$5:$E$1005)+SUMPRODUCT((MOVIMIENTOS!$B$5:$B$1005="PROCESO")*(MOVIMIENTOS!$C$5:$C$1005="C")*(MOVIMIENTOS!$D$5:$D$1005="jabas")*(MOVIMIENTOS!$A$5:$A$1005&lt;&gt;"")*(MOVIMIENTOS!$A$5:$A$1005&lt;=$A744)*MOVIMIENTOS!$E$5:$E$1005)-SUMPRODUCT((MOVIMIENTOS!$B$5:$B$1005="ENVÍO A SUPESA")*(MOVIMIENTOS!$C$5:$C$1005="C")*(MOVIMIENTOS!$D$5:$D$1005="jabas")*(MOVIMIENTOS!$A$5:$A$1005&lt;&gt;"")*(MOVIMIENTOS!$A$5:$A$1005&lt;=$A744)*MOVIMIENTOS!$E$5:$E$1005)+SUMPRODUCT((MOVIMIENTOS!$B$5:$B$1005="DEVOLUCIÓN")*(MOVIMIENTOS!$C$5:$C$1005="C")*(MOVIMIENTOS!$D$5:$D$1005="jabas")*(MOVIMIENTOS!$A$5:$A$1005&lt;&gt;"")*(MOVIMIENTOS!$A$5:$A$1005&lt;=$A744)*MOVIMIENTOS!$E$5:$E$1005)-SUMPRODUCT((MOVIMIENTOS!$B$5:$B$1005="TRASIEGO")*(MOVIMIENTOS!$C$5:$C$1005="C")*(MOVIMIENTOS!$D$5:$D$1005="jabas")*(MOVIMIENTOS!$A$5:$A$1005&lt;&gt;"")*(MOVIMIENTOS!$A$5:$A$1005&lt;=$A744)*MOVIMIENTOS!$E$5:$E$1005)-SUMPRODUCT((MOVIMIENTOS!$B$5:$B$1005="REGALO")*(MOVIMIENTOS!$C$5:$C$1005="C")*(MOVIMIENTOS!$D$5:$D$1005="jabas")*(MOVIMIENTOS!$A$5:$A$1005&lt;&gt;"")*(MOVIMIENTOS!$A$5:$A$1005&lt;=$A744)*MOVIMIENTOS!$E$5:$E$1005)-SUMPRODUCT((MOVIMIENTOS!$B$5:$B$1005="VENTA")*(MOVIMIENTOS!$C$5:$C$1005="C")*(MOVIMIENTOS!$D$5:$D$1005="jabas")*(MOVIMIENTOS!$A$5:$A$1005&lt;&gt;"")*(MOVIMIENTOS!$A$5:$A$1005&lt;=$A744)*MOVIMIENTOS!$E$5:$E$1005)+SUMPRODUCT((MOVIMIENTOS!$B$5:$B$1005="AJUSTE")*(MOVIMIENTOS!$C$5:$C$1005="C")*(MOVIMIENTOS!$D$5:$D$1005="jabas")*(MOVIMIENTOS!$A$5:$A$1005&lt;&gt;"")*(MOVIMIENTOS!$A$5:$A$1005&lt;=$A744)*MOVIMIENTOS!$E$5:$E$1005))</f>
        <v/>
      </c>
      <c r="E744" t="str">
        <f>IF($A744="","",SUMPRODUCT((MOVIMIENTOS!$B$5:$B$1005="SALDO INICIAL")*(MOVIMIENTOS!$C$5:$C$1005="M")*(MOVIMIENTOS!$D$5:$D$1005="jabas")*(MOVIMIENTOS!$A$5:$A$1005&lt;&gt;"")*(MOVIMIENTOS!$A$5:$A$1005&lt;=$A744)*MOVIMIENTOS!$E$5:$E$1005)+SUMPRODUCT((MOVIMIENTOS!$B$5:$B$1005="PROCESO")*(MOVIMIENTOS!$C$5:$C$1005="M")*(MOVIMIENTOS!$D$5:$D$1005="jabas")*(MOVIMIENTOS!$A$5:$A$1005&lt;&gt;"")*(MOVIMIENTOS!$A$5:$A$1005&lt;=$A744)*MOVIMIENTOS!$E$5:$E$1005)-SUMPRODUCT((MOVIMIENTOS!$B$5:$B$1005="ENVÍO A SUPESA")*(MOVIMIENTOS!$C$5:$C$1005="M")*(MOVIMIENTOS!$D$5:$D$1005="jabas")*(MOVIMIENTOS!$A$5:$A$1005&lt;&gt;"")*(MOVIMIENTOS!$A$5:$A$1005&lt;=$A744)*MOVIMIENTOS!$E$5:$E$1005)+SUMPRODUCT((MOVIMIENTOS!$B$5:$B$1005="DEVOLUCIÓN")*(MOVIMIENTOS!$C$5:$C$1005="M")*(MOVIMIENTOS!$D$5:$D$1005="jabas")*(MOVIMIENTOS!$A$5:$A$1005&lt;&gt;"")*(MOVIMIENTOS!$A$5:$A$1005&lt;=$A744)*MOVIMIENTOS!$E$5:$E$1005)-SUMPRODUCT((MOVIMIENTOS!$B$5:$B$1005="TRASIEGO")*(MOVIMIENTOS!$C$5:$C$1005="M")*(MOVIMIENTOS!$D$5:$D$1005="jabas")*(MOVIMIENTOS!$A$5:$A$1005&lt;&gt;"")*(MOVIMIENTOS!$A$5:$A$1005&lt;=$A744)*MOVIMIENTOS!$E$5:$E$1005)-SUMPRODUCT((MOVIMIENTOS!$B$5:$B$1005="REGALO")*(MOVIMIENTOS!$C$5:$C$1005="M")*(MOVIMIENTOS!$D$5:$D$1005="jabas")*(MOVIMIENTOS!$A$5:$A$1005&lt;&gt;"")*(MOVIMIENTOS!$A$5:$A$1005&lt;=$A744)*MOVIMIENTOS!$E$5:$E$1005)-SUMPRODUCT((MOVIMIENTOS!$B$5:$B$1005="VENTA")*(MOVIMIENTOS!$C$5:$C$1005="M")*(MOVIMIENTOS!$D$5:$D$1005="jabas")*(MOVIMIENTOS!$A$5:$A$1005&lt;&gt;"")*(MOVIMIENTOS!$A$5:$A$1005&lt;=$A744)*MOVIMIENTOS!$E$5:$E$1005)+SUMPRODUCT((MOVIMIENTOS!$B$5:$B$1005="AJUSTE")*(MOVIMIENTOS!$C$5:$C$1005="M")*(MOVIMIENTOS!$D$5:$D$1005="jabas")*(MOVIMIENTOS!$A$5:$A$1005&lt;&gt;"")*(MOVIMIENTOS!$A$5:$A$1005&lt;=$A744)*MOVIMIENTOS!$E$5:$E$1005))</f>
        <v/>
      </c>
      <c r="F744" s="62" t="str">
        <f>IF($A744="","",SUMPRODUCT((MOVIMIENTOS!$B$5:$B$1005="SALDO INICIAL")*(MOVIMIENTOS!$C$5:$C$1005="Chancho")*(MOVIMIENTOS!$D$5:$D$1005="sacos")*(MOVIMIENTOS!$A$5:$A$1005&lt;&gt;"")*(MOVIMIENTOS!$A$5:$A$1005&lt;=$A744)*MOVIMIENTOS!$E$5:$E$1005)+SUMPRODUCT((MOVIMIENTOS!$B$5:$B$1005="PROCESO")*(MOVIMIENTOS!$C$5:$C$1005="Chancho")*(MOVIMIENTOS!$D$5:$D$1005="sacos")*(MOVIMIENTOS!$A$5:$A$1005&lt;&gt;"")*(MOVIMIENTOS!$A$5:$A$1005&lt;=$A744)*MOVIMIENTOS!$E$5:$E$1005)-SUMPRODUCT((MOVIMIENTOS!$B$5:$B$1005="VENTA CHANCHO")*(MOVIMIENTOS!$C$5:$C$1005="Chancho")*(MOVIMIENTOS!$D$5:$D$1005="sacos")*(MOVIMIENTOS!$A$5:$A$1005&lt;&gt;"")*(MOVIMIENTOS!$A$5:$A$1005&lt;=$A744)*MOVIMIENTOS!$E$5:$E$1005)-SUMPRODUCT((MOVIMIENTOS!$B$5:$B$1005="REGALO")*(MOVIMIENTOS!$C$5:$C$1005="Chancho")*(MOVIMIENTOS!$D$5:$D$1005="sacos")*(MOVIMIENTOS!$A$5:$A$1005&lt;&gt;"")*(MOVIMIENTOS!$A$5:$A$1005&lt;=$A744)*MOVIMIENTOS!$E$5:$E$1005)-SUMPRODUCT((MOVIMIENTOS!$B$5:$B$1005="VENTA")*(MOVIMIENTOS!$C$5:$C$1005="Chancho")*(MOVIMIENTOS!$D$5:$D$1005="sacos")*(MOVIMIENTOS!$A$5:$A$1005&lt;&gt;"")*(MOVIMIENTOS!$A$5:$A$1005&lt;=$A744)*MOVIMIENTOS!$E$5:$E$1005)+SUMPRODUCT((MOVIMIENTOS!$B$5:$B$1005="AJUSTE")*(MOVIMIENTOS!$C$5:$C$1005="Chancho")*(MOVIMIENTOS!$D$5:$D$1005="sacos")*(MOVIMIENTOS!$A$5:$A$1005&lt;&gt;"")*(MOVIMIENTOS!$A$5:$A$1005&lt;=$A744)*MOVIMIENTOS!$E$5:$E$1005))</f>
        <v/>
      </c>
      <c r="G744" s="62" t="str">
        <f t="shared" si="23"/>
        <v/>
      </c>
      <c r="H744" t="str">
        <f>IF($A744="","",SUMPRODUCT((((MOVIMIENTOS!$B$5:$B$1005="SALDO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744)*MOVIMIENTOS!$J$5:$J$1005))</f>
        <v/>
      </c>
      <c r="J744" t="str">
        <f>IF(AND(MOVIMIENTOS!$A749&lt;&gt;"",COUNTIF(MOVIMIENTOS!$A$5:$A748,MOVIMIENTOS!$A749)=0),COUNT(J$4:J743)+1,"")</f>
        <v/>
      </c>
      <c r="K744">
        <f>MOVIMIENTOS!$A749</f>
        <v>0</v>
      </c>
    </row>
    <row r="745" spans="1:11" ht="15" customHeight="1" x14ac:dyDescent="0.2">
      <c r="A745" t="str">
        <f t="shared" si="22"/>
        <v/>
      </c>
      <c r="B745" t="str">
        <f>IF($A745="","",SUMPRODUCT((MOVIMIENTOS!$B$5:$B$1005="SALDO INICIAL")*(MOVIMIENTOS!$C$5:$C$1005="A")*(MOVIMIENTOS!$D$5:$D$1005="jabas")*(MOVIMIENTOS!$A$5:$A$1005&lt;&gt;"")*(MOVIMIENTOS!$A$5:$A$1005&lt;=$A745)*MOVIMIENTOS!$E$5:$E$1005)+SUMPRODUCT((MOVIMIENTOS!$B$5:$B$1005="PROCESO")*(MOVIMIENTOS!$C$5:$C$1005="A")*(MOVIMIENTOS!$D$5:$D$1005="jabas")*(MOVIMIENTOS!$A$5:$A$1005&lt;&gt;"")*(MOVIMIENTOS!$A$5:$A$1005&lt;=$A745)*MOVIMIENTOS!$E$5:$E$1005)-SUMPRODUCT((MOVIMIENTOS!$B$5:$B$1005="ENVÍO A SUPESA")*(MOVIMIENTOS!$C$5:$C$1005="A")*(MOVIMIENTOS!$D$5:$D$1005="jabas")*(MOVIMIENTOS!$A$5:$A$1005&lt;&gt;"")*(MOVIMIENTOS!$A$5:$A$1005&lt;=$A745)*MOVIMIENTOS!$E$5:$E$1005)+SUMPRODUCT((MOVIMIENTOS!$B$5:$B$1005="DEVOLUCIÓN")*(MOVIMIENTOS!$C$5:$C$1005="A")*(MOVIMIENTOS!$D$5:$D$1005="jabas")*(MOVIMIENTOS!$A$5:$A$1005&lt;&gt;"")*(MOVIMIENTOS!$A$5:$A$1005&lt;=$A745)*MOVIMIENTOS!$E$5:$E$1005)-SUMPRODUCT((MOVIMIENTOS!$B$5:$B$1005="TRASIEGO")*(MOVIMIENTOS!$C$5:$C$1005="A")*(MOVIMIENTOS!$D$5:$D$1005="jabas")*(MOVIMIENTOS!$A$5:$A$1005&lt;&gt;"")*(MOVIMIENTOS!$A$5:$A$1005&lt;=$A745)*MOVIMIENTOS!$E$5:$E$1005)-SUMPRODUCT((MOVIMIENTOS!$B$5:$B$1005="REGALO")*(MOVIMIENTOS!$C$5:$C$1005="A")*(MOVIMIENTOS!$D$5:$D$1005="jabas")*(MOVIMIENTOS!$A$5:$A$1005&lt;&gt;"")*(MOVIMIENTOS!$A$5:$A$1005&lt;=$A745)*MOVIMIENTOS!$E$5:$E$1005)-SUMPRODUCT((MOVIMIENTOS!$B$5:$B$1005="VENTA")*(MOVIMIENTOS!$C$5:$C$1005="A")*(MOVIMIENTOS!$D$5:$D$1005="jabas")*(MOVIMIENTOS!$A$5:$A$1005&lt;&gt;"")*(MOVIMIENTOS!$A$5:$A$1005&lt;=$A745)*MOVIMIENTOS!$E$5:$E$1005)+SUMPRODUCT((MOVIMIENTOS!$B$5:$B$1005="AJUSTE")*(MOVIMIENTOS!$C$5:$C$1005="A")*(MOVIMIENTOS!$D$5:$D$1005="jabas")*(MOVIMIENTOS!$A$5:$A$1005&lt;&gt;"")*(MOVIMIENTOS!$A$5:$A$1005&lt;=$A745)*MOVIMIENTOS!$E$5:$E$1005))</f>
        <v/>
      </c>
      <c r="C745" t="str">
        <f>IF($A745="","",SUMPRODUCT((MOVIMIENTOS!$B$5:$B$1005="SALDO INICIAL")*(MOVIMIENTOS!$C$5:$C$1005="P")*(MOVIMIENTOS!$D$5:$D$1005="jabas")*(MOVIMIENTOS!$A$5:$A$1005&lt;&gt;"")*(MOVIMIENTOS!$A$5:$A$1005&lt;=$A745)*MOVIMIENTOS!$E$5:$E$1005)+SUMPRODUCT((MOVIMIENTOS!$B$5:$B$1005="PROCESO")*(MOVIMIENTOS!$C$5:$C$1005="P")*(MOVIMIENTOS!$D$5:$D$1005="jabas")*(MOVIMIENTOS!$A$5:$A$1005&lt;&gt;"")*(MOVIMIENTOS!$A$5:$A$1005&lt;=$A745)*MOVIMIENTOS!$E$5:$E$1005)-SUMPRODUCT((MOVIMIENTOS!$B$5:$B$1005="ENVÍO A SUPESA")*(MOVIMIENTOS!$C$5:$C$1005="P")*(MOVIMIENTOS!$D$5:$D$1005="jabas")*(MOVIMIENTOS!$A$5:$A$1005&lt;&gt;"")*(MOVIMIENTOS!$A$5:$A$1005&lt;=$A745)*MOVIMIENTOS!$E$5:$E$1005)+SUMPRODUCT((MOVIMIENTOS!$B$5:$B$1005="DEVOLUCIÓN")*(MOVIMIENTOS!$C$5:$C$1005="P")*(MOVIMIENTOS!$D$5:$D$1005="jabas")*(MOVIMIENTOS!$A$5:$A$1005&lt;&gt;"")*(MOVIMIENTOS!$A$5:$A$1005&lt;=$A745)*MOVIMIENTOS!$E$5:$E$1005)-SUMPRODUCT((MOVIMIENTOS!$B$5:$B$1005="TRASIEGO")*(MOVIMIENTOS!$C$5:$C$1005="P")*(MOVIMIENTOS!$D$5:$D$1005="jabas")*(MOVIMIENTOS!$A$5:$A$1005&lt;&gt;"")*(MOVIMIENTOS!$A$5:$A$1005&lt;=$A745)*MOVIMIENTOS!$E$5:$E$1005)-SUMPRODUCT((MOVIMIENTOS!$B$5:$B$1005="REGALO")*(MOVIMIENTOS!$C$5:$C$1005="P")*(MOVIMIENTOS!$D$5:$D$1005="jabas")*(MOVIMIENTOS!$A$5:$A$1005&lt;&gt;"")*(MOVIMIENTOS!$A$5:$A$1005&lt;=$A745)*MOVIMIENTOS!$E$5:$E$1005)-SUMPRODUCT((MOVIMIENTOS!$B$5:$B$1005="VENTA")*(MOVIMIENTOS!$C$5:$C$1005="P")*(MOVIMIENTOS!$D$5:$D$1005="jabas")*(MOVIMIENTOS!$A$5:$A$1005&lt;&gt;"")*(MOVIMIENTOS!$A$5:$A$1005&lt;=$A745)*MOVIMIENTOS!$E$5:$E$1005)+SUMPRODUCT((MOVIMIENTOS!$B$5:$B$1005="AJUSTE")*(MOVIMIENTOS!$C$5:$C$1005="P")*(MOVIMIENTOS!$D$5:$D$1005="jabas")*(MOVIMIENTOS!$A$5:$A$1005&lt;&gt;"")*(MOVIMIENTOS!$A$5:$A$1005&lt;=$A745)*MOVIMIENTOS!$E$5:$E$1005))</f>
        <v/>
      </c>
      <c r="D745" t="str">
        <f>IF($A745="","",SUMPRODUCT((MOVIMIENTOS!$B$5:$B$1005="SALDO INICIAL")*(MOVIMIENTOS!$C$5:$C$1005="C")*(MOVIMIENTOS!$D$5:$D$1005="jabas")*(MOVIMIENTOS!$A$5:$A$1005&lt;&gt;"")*(MOVIMIENTOS!$A$5:$A$1005&lt;=$A745)*MOVIMIENTOS!$E$5:$E$1005)+SUMPRODUCT((MOVIMIENTOS!$B$5:$B$1005="PROCESO")*(MOVIMIENTOS!$C$5:$C$1005="C")*(MOVIMIENTOS!$D$5:$D$1005="jabas")*(MOVIMIENTOS!$A$5:$A$1005&lt;&gt;"")*(MOVIMIENTOS!$A$5:$A$1005&lt;=$A745)*MOVIMIENTOS!$E$5:$E$1005)-SUMPRODUCT((MOVIMIENTOS!$B$5:$B$1005="ENVÍO A SUPESA")*(MOVIMIENTOS!$C$5:$C$1005="C")*(MOVIMIENTOS!$D$5:$D$1005="jabas")*(MOVIMIENTOS!$A$5:$A$1005&lt;&gt;"")*(MOVIMIENTOS!$A$5:$A$1005&lt;=$A745)*MOVIMIENTOS!$E$5:$E$1005)+SUMPRODUCT((MOVIMIENTOS!$B$5:$B$1005="DEVOLUCIÓN")*(MOVIMIENTOS!$C$5:$C$1005="C")*(MOVIMIENTOS!$D$5:$D$1005="jabas")*(MOVIMIENTOS!$A$5:$A$1005&lt;&gt;"")*(MOVIMIENTOS!$A$5:$A$1005&lt;=$A745)*MOVIMIENTOS!$E$5:$E$1005)-SUMPRODUCT((MOVIMIENTOS!$B$5:$B$1005="TRASIEGO")*(MOVIMIENTOS!$C$5:$C$1005="C")*(MOVIMIENTOS!$D$5:$D$1005="jabas")*(MOVIMIENTOS!$A$5:$A$1005&lt;&gt;"")*(MOVIMIENTOS!$A$5:$A$1005&lt;=$A745)*MOVIMIENTOS!$E$5:$E$1005)-SUMPRODUCT((MOVIMIENTOS!$B$5:$B$1005="REGALO")*(MOVIMIENTOS!$C$5:$C$1005="C")*(MOVIMIENTOS!$D$5:$D$1005="jabas")*(MOVIMIENTOS!$A$5:$A$1005&lt;&gt;"")*(MOVIMIENTOS!$A$5:$A$1005&lt;=$A745)*MOVIMIENTOS!$E$5:$E$1005)-SUMPRODUCT((MOVIMIENTOS!$B$5:$B$1005="VENTA")*(MOVIMIENTOS!$C$5:$C$1005="C")*(MOVIMIENTOS!$D$5:$D$1005="jabas")*(MOVIMIENTOS!$A$5:$A$1005&lt;&gt;"")*(MOVIMIENTOS!$A$5:$A$1005&lt;=$A745)*MOVIMIENTOS!$E$5:$E$1005)+SUMPRODUCT((MOVIMIENTOS!$B$5:$B$1005="AJUSTE")*(MOVIMIENTOS!$C$5:$C$1005="C")*(MOVIMIENTOS!$D$5:$D$1005="jabas")*(MOVIMIENTOS!$A$5:$A$1005&lt;&gt;"")*(MOVIMIENTOS!$A$5:$A$1005&lt;=$A745)*MOVIMIENTOS!$E$5:$E$1005))</f>
        <v/>
      </c>
      <c r="E745" t="str">
        <f>IF($A745="","",SUMPRODUCT((MOVIMIENTOS!$B$5:$B$1005="SALDO INICIAL")*(MOVIMIENTOS!$C$5:$C$1005="M")*(MOVIMIENTOS!$D$5:$D$1005="jabas")*(MOVIMIENTOS!$A$5:$A$1005&lt;&gt;"")*(MOVIMIENTOS!$A$5:$A$1005&lt;=$A745)*MOVIMIENTOS!$E$5:$E$1005)+SUMPRODUCT((MOVIMIENTOS!$B$5:$B$1005="PROCESO")*(MOVIMIENTOS!$C$5:$C$1005="M")*(MOVIMIENTOS!$D$5:$D$1005="jabas")*(MOVIMIENTOS!$A$5:$A$1005&lt;&gt;"")*(MOVIMIENTOS!$A$5:$A$1005&lt;=$A745)*MOVIMIENTOS!$E$5:$E$1005)-SUMPRODUCT((MOVIMIENTOS!$B$5:$B$1005="ENVÍO A SUPESA")*(MOVIMIENTOS!$C$5:$C$1005="M")*(MOVIMIENTOS!$D$5:$D$1005="jabas")*(MOVIMIENTOS!$A$5:$A$1005&lt;&gt;"")*(MOVIMIENTOS!$A$5:$A$1005&lt;=$A745)*MOVIMIENTOS!$E$5:$E$1005)+SUMPRODUCT((MOVIMIENTOS!$B$5:$B$1005="DEVOLUCIÓN")*(MOVIMIENTOS!$C$5:$C$1005="M")*(MOVIMIENTOS!$D$5:$D$1005="jabas")*(MOVIMIENTOS!$A$5:$A$1005&lt;&gt;"")*(MOVIMIENTOS!$A$5:$A$1005&lt;=$A745)*MOVIMIENTOS!$E$5:$E$1005)-SUMPRODUCT((MOVIMIENTOS!$B$5:$B$1005="TRASIEGO")*(MOVIMIENTOS!$C$5:$C$1005="M")*(MOVIMIENTOS!$D$5:$D$1005="jabas")*(MOVIMIENTOS!$A$5:$A$1005&lt;&gt;"")*(MOVIMIENTOS!$A$5:$A$1005&lt;=$A745)*MOVIMIENTOS!$E$5:$E$1005)-SUMPRODUCT((MOVIMIENTOS!$B$5:$B$1005="REGALO")*(MOVIMIENTOS!$C$5:$C$1005="M")*(MOVIMIENTOS!$D$5:$D$1005="jabas")*(MOVIMIENTOS!$A$5:$A$1005&lt;&gt;"")*(MOVIMIENTOS!$A$5:$A$1005&lt;=$A745)*MOVIMIENTOS!$E$5:$E$1005)-SUMPRODUCT((MOVIMIENTOS!$B$5:$B$1005="VENTA")*(MOVIMIENTOS!$C$5:$C$1005="M")*(MOVIMIENTOS!$D$5:$D$1005="jabas")*(MOVIMIENTOS!$A$5:$A$1005&lt;&gt;"")*(MOVIMIENTOS!$A$5:$A$1005&lt;=$A745)*MOVIMIENTOS!$E$5:$E$1005)+SUMPRODUCT((MOVIMIENTOS!$B$5:$B$1005="AJUSTE")*(MOVIMIENTOS!$C$5:$C$1005="M")*(MOVIMIENTOS!$D$5:$D$1005="jabas")*(MOVIMIENTOS!$A$5:$A$1005&lt;&gt;"")*(MOVIMIENTOS!$A$5:$A$1005&lt;=$A745)*MOVIMIENTOS!$E$5:$E$1005))</f>
        <v/>
      </c>
      <c r="F745" s="62" t="str">
        <f>IF($A745="","",SUMPRODUCT((MOVIMIENTOS!$B$5:$B$1005="SALDO INICIAL")*(MOVIMIENTOS!$C$5:$C$1005="Chancho")*(MOVIMIENTOS!$D$5:$D$1005="sacos")*(MOVIMIENTOS!$A$5:$A$1005&lt;&gt;"")*(MOVIMIENTOS!$A$5:$A$1005&lt;=$A745)*MOVIMIENTOS!$E$5:$E$1005)+SUMPRODUCT((MOVIMIENTOS!$B$5:$B$1005="PROCESO")*(MOVIMIENTOS!$C$5:$C$1005="Chancho")*(MOVIMIENTOS!$D$5:$D$1005="sacos")*(MOVIMIENTOS!$A$5:$A$1005&lt;&gt;"")*(MOVIMIENTOS!$A$5:$A$1005&lt;=$A745)*MOVIMIENTOS!$E$5:$E$1005)-SUMPRODUCT((MOVIMIENTOS!$B$5:$B$1005="VENTA CHANCHO")*(MOVIMIENTOS!$C$5:$C$1005="Chancho")*(MOVIMIENTOS!$D$5:$D$1005="sacos")*(MOVIMIENTOS!$A$5:$A$1005&lt;&gt;"")*(MOVIMIENTOS!$A$5:$A$1005&lt;=$A745)*MOVIMIENTOS!$E$5:$E$1005)-SUMPRODUCT((MOVIMIENTOS!$B$5:$B$1005="REGALO")*(MOVIMIENTOS!$C$5:$C$1005="Chancho")*(MOVIMIENTOS!$D$5:$D$1005="sacos")*(MOVIMIENTOS!$A$5:$A$1005&lt;&gt;"")*(MOVIMIENTOS!$A$5:$A$1005&lt;=$A745)*MOVIMIENTOS!$E$5:$E$1005)-SUMPRODUCT((MOVIMIENTOS!$B$5:$B$1005="VENTA")*(MOVIMIENTOS!$C$5:$C$1005="Chancho")*(MOVIMIENTOS!$D$5:$D$1005="sacos")*(MOVIMIENTOS!$A$5:$A$1005&lt;&gt;"")*(MOVIMIENTOS!$A$5:$A$1005&lt;=$A745)*MOVIMIENTOS!$E$5:$E$1005)+SUMPRODUCT((MOVIMIENTOS!$B$5:$B$1005="AJUSTE")*(MOVIMIENTOS!$C$5:$C$1005="Chancho")*(MOVIMIENTOS!$D$5:$D$1005="sacos")*(MOVIMIENTOS!$A$5:$A$1005&lt;&gt;"")*(MOVIMIENTOS!$A$5:$A$1005&lt;=$A745)*MOVIMIENTOS!$E$5:$E$1005))</f>
        <v/>
      </c>
      <c r="G745" s="62" t="str">
        <f t="shared" si="23"/>
        <v/>
      </c>
      <c r="H745" t="str">
        <f>IF($A745="","",SUMPRODUCT((((MOVIMIENTOS!$B$5:$B$1005="SALDO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745)*MOVIMIENTOS!$J$5:$J$1005))</f>
        <v/>
      </c>
      <c r="J745" t="str">
        <f>IF(AND(MOVIMIENTOS!$A750&lt;&gt;"",COUNTIF(MOVIMIENTOS!$A$5:$A749,MOVIMIENTOS!$A750)=0),COUNT(J$4:J744)+1,"")</f>
        <v/>
      </c>
      <c r="K745">
        <f>MOVIMIENTOS!$A750</f>
        <v>0</v>
      </c>
    </row>
    <row r="746" spans="1:11" ht="15" customHeight="1" x14ac:dyDescent="0.2">
      <c r="A746" t="str">
        <f t="shared" si="22"/>
        <v/>
      </c>
      <c r="B746" t="str">
        <f>IF($A746="","",SUMPRODUCT((MOVIMIENTOS!$B$5:$B$1005="SALDO INICIAL")*(MOVIMIENTOS!$C$5:$C$1005="A")*(MOVIMIENTOS!$D$5:$D$1005="jabas")*(MOVIMIENTOS!$A$5:$A$1005&lt;&gt;"")*(MOVIMIENTOS!$A$5:$A$1005&lt;=$A746)*MOVIMIENTOS!$E$5:$E$1005)+SUMPRODUCT((MOVIMIENTOS!$B$5:$B$1005="PROCESO")*(MOVIMIENTOS!$C$5:$C$1005="A")*(MOVIMIENTOS!$D$5:$D$1005="jabas")*(MOVIMIENTOS!$A$5:$A$1005&lt;&gt;"")*(MOVIMIENTOS!$A$5:$A$1005&lt;=$A746)*MOVIMIENTOS!$E$5:$E$1005)-SUMPRODUCT((MOVIMIENTOS!$B$5:$B$1005="ENVÍO A SUPESA")*(MOVIMIENTOS!$C$5:$C$1005="A")*(MOVIMIENTOS!$D$5:$D$1005="jabas")*(MOVIMIENTOS!$A$5:$A$1005&lt;&gt;"")*(MOVIMIENTOS!$A$5:$A$1005&lt;=$A746)*MOVIMIENTOS!$E$5:$E$1005)+SUMPRODUCT((MOVIMIENTOS!$B$5:$B$1005="DEVOLUCIÓN")*(MOVIMIENTOS!$C$5:$C$1005="A")*(MOVIMIENTOS!$D$5:$D$1005="jabas")*(MOVIMIENTOS!$A$5:$A$1005&lt;&gt;"")*(MOVIMIENTOS!$A$5:$A$1005&lt;=$A746)*MOVIMIENTOS!$E$5:$E$1005)-SUMPRODUCT((MOVIMIENTOS!$B$5:$B$1005="TRASIEGO")*(MOVIMIENTOS!$C$5:$C$1005="A")*(MOVIMIENTOS!$D$5:$D$1005="jabas")*(MOVIMIENTOS!$A$5:$A$1005&lt;&gt;"")*(MOVIMIENTOS!$A$5:$A$1005&lt;=$A746)*MOVIMIENTOS!$E$5:$E$1005)-SUMPRODUCT((MOVIMIENTOS!$B$5:$B$1005="REGALO")*(MOVIMIENTOS!$C$5:$C$1005="A")*(MOVIMIENTOS!$D$5:$D$1005="jabas")*(MOVIMIENTOS!$A$5:$A$1005&lt;&gt;"")*(MOVIMIENTOS!$A$5:$A$1005&lt;=$A746)*MOVIMIENTOS!$E$5:$E$1005)-SUMPRODUCT((MOVIMIENTOS!$B$5:$B$1005="VENTA")*(MOVIMIENTOS!$C$5:$C$1005="A")*(MOVIMIENTOS!$D$5:$D$1005="jabas")*(MOVIMIENTOS!$A$5:$A$1005&lt;&gt;"")*(MOVIMIENTOS!$A$5:$A$1005&lt;=$A746)*MOVIMIENTOS!$E$5:$E$1005)+SUMPRODUCT((MOVIMIENTOS!$B$5:$B$1005="AJUSTE")*(MOVIMIENTOS!$C$5:$C$1005="A")*(MOVIMIENTOS!$D$5:$D$1005="jabas")*(MOVIMIENTOS!$A$5:$A$1005&lt;&gt;"")*(MOVIMIENTOS!$A$5:$A$1005&lt;=$A746)*MOVIMIENTOS!$E$5:$E$1005))</f>
        <v/>
      </c>
      <c r="C746" t="str">
        <f>IF($A746="","",SUMPRODUCT((MOVIMIENTOS!$B$5:$B$1005="SALDO INICIAL")*(MOVIMIENTOS!$C$5:$C$1005="P")*(MOVIMIENTOS!$D$5:$D$1005="jabas")*(MOVIMIENTOS!$A$5:$A$1005&lt;&gt;"")*(MOVIMIENTOS!$A$5:$A$1005&lt;=$A746)*MOVIMIENTOS!$E$5:$E$1005)+SUMPRODUCT((MOVIMIENTOS!$B$5:$B$1005="PROCESO")*(MOVIMIENTOS!$C$5:$C$1005="P")*(MOVIMIENTOS!$D$5:$D$1005="jabas")*(MOVIMIENTOS!$A$5:$A$1005&lt;&gt;"")*(MOVIMIENTOS!$A$5:$A$1005&lt;=$A746)*MOVIMIENTOS!$E$5:$E$1005)-SUMPRODUCT((MOVIMIENTOS!$B$5:$B$1005="ENVÍO A SUPESA")*(MOVIMIENTOS!$C$5:$C$1005="P")*(MOVIMIENTOS!$D$5:$D$1005="jabas")*(MOVIMIENTOS!$A$5:$A$1005&lt;&gt;"")*(MOVIMIENTOS!$A$5:$A$1005&lt;=$A746)*MOVIMIENTOS!$E$5:$E$1005)+SUMPRODUCT((MOVIMIENTOS!$B$5:$B$1005="DEVOLUCIÓN")*(MOVIMIENTOS!$C$5:$C$1005="P")*(MOVIMIENTOS!$D$5:$D$1005="jabas")*(MOVIMIENTOS!$A$5:$A$1005&lt;&gt;"")*(MOVIMIENTOS!$A$5:$A$1005&lt;=$A746)*MOVIMIENTOS!$E$5:$E$1005)-SUMPRODUCT((MOVIMIENTOS!$B$5:$B$1005="TRASIEGO")*(MOVIMIENTOS!$C$5:$C$1005="P")*(MOVIMIENTOS!$D$5:$D$1005="jabas")*(MOVIMIENTOS!$A$5:$A$1005&lt;&gt;"")*(MOVIMIENTOS!$A$5:$A$1005&lt;=$A746)*MOVIMIENTOS!$E$5:$E$1005)-SUMPRODUCT((MOVIMIENTOS!$B$5:$B$1005="REGALO")*(MOVIMIENTOS!$C$5:$C$1005="P")*(MOVIMIENTOS!$D$5:$D$1005="jabas")*(MOVIMIENTOS!$A$5:$A$1005&lt;&gt;"")*(MOVIMIENTOS!$A$5:$A$1005&lt;=$A746)*MOVIMIENTOS!$E$5:$E$1005)-SUMPRODUCT((MOVIMIENTOS!$B$5:$B$1005="VENTA")*(MOVIMIENTOS!$C$5:$C$1005="P")*(MOVIMIENTOS!$D$5:$D$1005="jabas")*(MOVIMIENTOS!$A$5:$A$1005&lt;&gt;"")*(MOVIMIENTOS!$A$5:$A$1005&lt;=$A746)*MOVIMIENTOS!$E$5:$E$1005)+SUMPRODUCT((MOVIMIENTOS!$B$5:$B$1005="AJUSTE")*(MOVIMIENTOS!$C$5:$C$1005="P")*(MOVIMIENTOS!$D$5:$D$1005="jabas")*(MOVIMIENTOS!$A$5:$A$1005&lt;&gt;"")*(MOVIMIENTOS!$A$5:$A$1005&lt;=$A746)*MOVIMIENTOS!$E$5:$E$1005))</f>
        <v/>
      </c>
      <c r="D746" t="str">
        <f>IF($A746="","",SUMPRODUCT((MOVIMIENTOS!$B$5:$B$1005="SALDO INICIAL")*(MOVIMIENTOS!$C$5:$C$1005="C")*(MOVIMIENTOS!$D$5:$D$1005="jabas")*(MOVIMIENTOS!$A$5:$A$1005&lt;&gt;"")*(MOVIMIENTOS!$A$5:$A$1005&lt;=$A746)*MOVIMIENTOS!$E$5:$E$1005)+SUMPRODUCT((MOVIMIENTOS!$B$5:$B$1005="PROCESO")*(MOVIMIENTOS!$C$5:$C$1005="C")*(MOVIMIENTOS!$D$5:$D$1005="jabas")*(MOVIMIENTOS!$A$5:$A$1005&lt;&gt;"")*(MOVIMIENTOS!$A$5:$A$1005&lt;=$A746)*MOVIMIENTOS!$E$5:$E$1005)-SUMPRODUCT((MOVIMIENTOS!$B$5:$B$1005="ENVÍO A SUPESA")*(MOVIMIENTOS!$C$5:$C$1005="C")*(MOVIMIENTOS!$D$5:$D$1005="jabas")*(MOVIMIENTOS!$A$5:$A$1005&lt;&gt;"")*(MOVIMIENTOS!$A$5:$A$1005&lt;=$A746)*MOVIMIENTOS!$E$5:$E$1005)+SUMPRODUCT((MOVIMIENTOS!$B$5:$B$1005="DEVOLUCIÓN")*(MOVIMIENTOS!$C$5:$C$1005="C")*(MOVIMIENTOS!$D$5:$D$1005="jabas")*(MOVIMIENTOS!$A$5:$A$1005&lt;&gt;"")*(MOVIMIENTOS!$A$5:$A$1005&lt;=$A746)*MOVIMIENTOS!$E$5:$E$1005)-SUMPRODUCT((MOVIMIENTOS!$B$5:$B$1005="TRASIEGO")*(MOVIMIENTOS!$C$5:$C$1005="C")*(MOVIMIENTOS!$D$5:$D$1005="jabas")*(MOVIMIENTOS!$A$5:$A$1005&lt;&gt;"")*(MOVIMIENTOS!$A$5:$A$1005&lt;=$A746)*MOVIMIENTOS!$E$5:$E$1005)-SUMPRODUCT((MOVIMIENTOS!$B$5:$B$1005="REGALO")*(MOVIMIENTOS!$C$5:$C$1005="C")*(MOVIMIENTOS!$D$5:$D$1005="jabas")*(MOVIMIENTOS!$A$5:$A$1005&lt;&gt;"")*(MOVIMIENTOS!$A$5:$A$1005&lt;=$A746)*MOVIMIENTOS!$E$5:$E$1005)-SUMPRODUCT((MOVIMIENTOS!$B$5:$B$1005="VENTA")*(MOVIMIENTOS!$C$5:$C$1005="C")*(MOVIMIENTOS!$D$5:$D$1005="jabas")*(MOVIMIENTOS!$A$5:$A$1005&lt;&gt;"")*(MOVIMIENTOS!$A$5:$A$1005&lt;=$A746)*MOVIMIENTOS!$E$5:$E$1005)+SUMPRODUCT((MOVIMIENTOS!$B$5:$B$1005="AJUSTE")*(MOVIMIENTOS!$C$5:$C$1005="C")*(MOVIMIENTOS!$D$5:$D$1005="jabas")*(MOVIMIENTOS!$A$5:$A$1005&lt;&gt;"")*(MOVIMIENTOS!$A$5:$A$1005&lt;=$A746)*MOVIMIENTOS!$E$5:$E$1005))</f>
        <v/>
      </c>
      <c r="E746" t="str">
        <f>IF($A746="","",SUMPRODUCT((MOVIMIENTOS!$B$5:$B$1005="SALDO INICIAL")*(MOVIMIENTOS!$C$5:$C$1005="M")*(MOVIMIENTOS!$D$5:$D$1005="jabas")*(MOVIMIENTOS!$A$5:$A$1005&lt;&gt;"")*(MOVIMIENTOS!$A$5:$A$1005&lt;=$A746)*MOVIMIENTOS!$E$5:$E$1005)+SUMPRODUCT((MOVIMIENTOS!$B$5:$B$1005="PROCESO")*(MOVIMIENTOS!$C$5:$C$1005="M")*(MOVIMIENTOS!$D$5:$D$1005="jabas")*(MOVIMIENTOS!$A$5:$A$1005&lt;&gt;"")*(MOVIMIENTOS!$A$5:$A$1005&lt;=$A746)*MOVIMIENTOS!$E$5:$E$1005)-SUMPRODUCT((MOVIMIENTOS!$B$5:$B$1005="ENVÍO A SUPESA")*(MOVIMIENTOS!$C$5:$C$1005="M")*(MOVIMIENTOS!$D$5:$D$1005="jabas")*(MOVIMIENTOS!$A$5:$A$1005&lt;&gt;"")*(MOVIMIENTOS!$A$5:$A$1005&lt;=$A746)*MOVIMIENTOS!$E$5:$E$1005)+SUMPRODUCT((MOVIMIENTOS!$B$5:$B$1005="DEVOLUCIÓN")*(MOVIMIENTOS!$C$5:$C$1005="M")*(MOVIMIENTOS!$D$5:$D$1005="jabas")*(MOVIMIENTOS!$A$5:$A$1005&lt;&gt;"")*(MOVIMIENTOS!$A$5:$A$1005&lt;=$A746)*MOVIMIENTOS!$E$5:$E$1005)-SUMPRODUCT((MOVIMIENTOS!$B$5:$B$1005="TRASIEGO")*(MOVIMIENTOS!$C$5:$C$1005="M")*(MOVIMIENTOS!$D$5:$D$1005="jabas")*(MOVIMIENTOS!$A$5:$A$1005&lt;&gt;"")*(MOVIMIENTOS!$A$5:$A$1005&lt;=$A746)*MOVIMIENTOS!$E$5:$E$1005)-SUMPRODUCT((MOVIMIENTOS!$B$5:$B$1005="REGALO")*(MOVIMIENTOS!$C$5:$C$1005="M")*(MOVIMIENTOS!$D$5:$D$1005="jabas")*(MOVIMIENTOS!$A$5:$A$1005&lt;&gt;"")*(MOVIMIENTOS!$A$5:$A$1005&lt;=$A746)*MOVIMIENTOS!$E$5:$E$1005)-SUMPRODUCT((MOVIMIENTOS!$B$5:$B$1005="VENTA")*(MOVIMIENTOS!$C$5:$C$1005="M")*(MOVIMIENTOS!$D$5:$D$1005="jabas")*(MOVIMIENTOS!$A$5:$A$1005&lt;&gt;"")*(MOVIMIENTOS!$A$5:$A$1005&lt;=$A746)*MOVIMIENTOS!$E$5:$E$1005)+SUMPRODUCT((MOVIMIENTOS!$B$5:$B$1005="AJUSTE")*(MOVIMIENTOS!$C$5:$C$1005="M")*(MOVIMIENTOS!$D$5:$D$1005="jabas")*(MOVIMIENTOS!$A$5:$A$1005&lt;&gt;"")*(MOVIMIENTOS!$A$5:$A$1005&lt;=$A746)*MOVIMIENTOS!$E$5:$E$1005))</f>
        <v/>
      </c>
      <c r="F746" s="62" t="str">
        <f>IF($A746="","",SUMPRODUCT((MOVIMIENTOS!$B$5:$B$1005="SALDO INICIAL")*(MOVIMIENTOS!$C$5:$C$1005="Chancho")*(MOVIMIENTOS!$D$5:$D$1005="sacos")*(MOVIMIENTOS!$A$5:$A$1005&lt;&gt;"")*(MOVIMIENTOS!$A$5:$A$1005&lt;=$A746)*MOVIMIENTOS!$E$5:$E$1005)+SUMPRODUCT((MOVIMIENTOS!$B$5:$B$1005="PROCESO")*(MOVIMIENTOS!$C$5:$C$1005="Chancho")*(MOVIMIENTOS!$D$5:$D$1005="sacos")*(MOVIMIENTOS!$A$5:$A$1005&lt;&gt;"")*(MOVIMIENTOS!$A$5:$A$1005&lt;=$A746)*MOVIMIENTOS!$E$5:$E$1005)-SUMPRODUCT((MOVIMIENTOS!$B$5:$B$1005="VENTA CHANCHO")*(MOVIMIENTOS!$C$5:$C$1005="Chancho")*(MOVIMIENTOS!$D$5:$D$1005="sacos")*(MOVIMIENTOS!$A$5:$A$1005&lt;&gt;"")*(MOVIMIENTOS!$A$5:$A$1005&lt;=$A746)*MOVIMIENTOS!$E$5:$E$1005)-SUMPRODUCT((MOVIMIENTOS!$B$5:$B$1005="REGALO")*(MOVIMIENTOS!$C$5:$C$1005="Chancho")*(MOVIMIENTOS!$D$5:$D$1005="sacos")*(MOVIMIENTOS!$A$5:$A$1005&lt;&gt;"")*(MOVIMIENTOS!$A$5:$A$1005&lt;=$A746)*MOVIMIENTOS!$E$5:$E$1005)-SUMPRODUCT((MOVIMIENTOS!$B$5:$B$1005="VENTA")*(MOVIMIENTOS!$C$5:$C$1005="Chancho")*(MOVIMIENTOS!$D$5:$D$1005="sacos")*(MOVIMIENTOS!$A$5:$A$1005&lt;&gt;"")*(MOVIMIENTOS!$A$5:$A$1005&lt;=$A746)*MOVIMIENTOS!$E$5:$E$1005)+SUMPRODUCT((MOVIMIENTOS!$B$5:$B$1005="AJUSTE")*(MOVIMIENTOS!$C$5:$C$1005="Chancho")*(MOVIMIENTOS!$D$5:$D$1005="sacos")*(MOVIMIENTOS!$A$5:$A$1005&lt;&gt;"")*(MOVIMIENTOS!$A$5:$A$1005&lt;=$A746)*MOVIMIENTOS!$E$5:$E$1005))</f>
        <v/>
      </c>
      <c r="G746" s="62" t="str">
        <f t="shared" si="23"/>
        <v/>
      </c>
      <c r="H746" t="str">
        <f>IF($A746="","",SUMPRODUCT((((MOVIMIENTOS!$B$5:$B$1005="SALDO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746)*MOVIMIENTOS!$J$5:$J$1005))</f>
        <v/>
      </c>
      <c r="J746" t="str">
        <f>IF(AND(MOVIMIENTOS!$A751&lt;&gt;"",COUNTIF(MOVIMIENTOS!$A$5:$A750,MOVIMIENTOS!$A751)=0),COUNT(J$4:J745)+1,"")</f>
        <v/>
      </c>
      <c r="K746">
        <f>MOVIMIENTOS!$A751</f>
        <v>0</v>
      </c>
    </row>
    <row r="747" spans="1:11" ht="15" customHeight="1" x14ac:dyDescent="0.2">
      <c r="A747" t="str">
        <f t="shared" si="22"/>
        <v/>
      </c>
      <c r="B747" t="str">
        <f>IF($A747="","",SUMPRODUCT((MOVIMIENTOS!$B$5:$B$1005="SALDO INICIAL")*(MOVIMIENTOS!$C$5:$C$1005="A")*(MOVIMIENTOS!$D$5:$D$1005="jabas")*(MOVIMIENTOS!$A$5:$A$1005&lt;&gt;"")*(MOVIMIENTOS!$A$5:$A$1005&lt;=$A747)*MOVIMIENTOS!$E$5:$E$1005)+SUMPRODUCT((MOVIMIENTOS!$B$5:$B$1005="PROCESO")*(MOVIMIENTOS!$C$5:$C$1005="A")*(MOVIMIENTOS!$D$5:$D$1005="jabas")*(MOVIMIENTOS!$A$5:$A$1005&lt;&gt;"")*(MOVIMIENTOS!$A$5:$A$1005&lt;=$A747)*MOVIMIENTOS!$E$5:$E$1005)-SUMPRODUCT((MOVIMIENTOS!$B$5:$B$1005="ENVÍO A SUPESA")*(MOVIMIENTOS!$C$5:$C$1005="A")*(MOVIMIENTOS!$D$5:$D$1005="jabas")*(MOVIMIENTOS!$A$5:$A$1005&lt;&gt;"")*(MOVIMIENTOS!$A$5:$A$1005&lt;=$A747)*MOVIMIENTOS!$E$5:$E$1005)+SUMPRODUCT((MOVIMIENTOS!$B$5:$B$1005="DEVOLUCIÓN")*(MOVIMIENTOS!$C$5:$C$1005="A")*(MOVIMIENTOS!$D$5:$D$1005="jabas")*(MOVIMIENTOS!$A$5:$A$1005&lt;&gt;"")*(MOVIMIENTOS!$A$5:$A$1005&lt;=$A747)*MOVIMIENTOS!$E$5:$E$1005)-SUMPRODUCT((MOVIMIENTOS!$B$5:$B$1005="TRASIEGO")*(MOVIMIENTOS!$C$5:$C$1005="A")*(MOVIMIENTOS!$D$5:$D$1005="jabas")*(MOVIMIENTOS!$A$5:$A$1005&lt;&gt;"")*(MOVIMIENTOS!$A$5:$A$1005&lt;=$A747)*MOVIMIENTOS!$E$5:$E$1005)-SUMPRODUCT((MOVIMIENTOS!$B$5:$B$1005="REGALO")*(MOVIMIENTOS!$C$5:$C$1005="A")*(MOVIMIENTOS!$D$5:$D$1005="jabas")*(MOVIMIENTOS!$A$5:$A$1005&lt;&gt;"")*(MOVIMIENTOS!$A$5:$A$1005&lt;=$A747)*MOVIMIENTOS!$E$5:$E$1005)-SUMPRODUCT((MOVIMIENTOS!$B$5:$B$1005="VENTA")*(MOVIMIENTOS!$C$5:$C$1005="A")*(MOVIMIENTOS!$D$5:$D$1005="jabas")*(MOVIMIENTOS!$A$5:$A$1005&lt;&gt;"")*(MOVIMIENTOS!$A$5:$A$1005&lt;=$A747)*MOVIMIENTOS!$E$5:$E$1005)+SUMPRODUCT((MOVIMIENTOS!$B$5:$B$1005="AJUSTE")*(MOVIMIENTOS!$C$5:$C$1005="A")*(MOVIMIENTOS!$D$5:$D$1005="jabas")*(MOVIMIENTOS!$A$5:$A$1005&lt;&gt;"")*(MOVIMIENTOS!$A$5:$A$1005&lt;=$A747)*MOVIMIENTOS!$E$5:$E$1005))</f>
        <v/>
      </c>
      <c r="C747" t="str">
        <f>IF($A747="","",SUMPRODUCT((MOVIMIENTOS!$B$5:$B$1005="SALDO INICIAL")*(MOVIMIENTOS!$C$5:$C$1005="P")*(MOVIMIENTOS!$D$5:$D$1005="jabas")*(MOVIMIENTOS!$A$5:$A$1005&lt;&gt;"")*(MOVIMIENTOS!$A$5:$A$1005&lt;=$A747)*MOVIMIENTOS!$E$5:$E$1005)+SUMPRODUCT((MOVIMIENTOS!$B$5:$B$1005="PROCESO")*(MOVIMIENTOS!$C$5:$C$1005="P")*(MOVIMIENTOS!$D$5:$D$1005="jabas")*(MOVIMIENTOS!$A$5:$A$1005&lt;&gt;"")*(MOVIMIENTOS!$A$5:$A$1005&lt;=$A747)*MOVIMIENTOS!$E$5:$E$1005)-SUMPRODUCT((MOVIMIENTOS!$B$5:$B$1005="ENVÍO A SUPESA")*(MOVIMIENTOS!$C$5:$C$1005="P")*(MOVIMIENTOS!$D$5:$D$1005="jabas")*(MOVIMIENTOS!$A$5:$A$1005&lt;&gt;"")*(MOVIMIENTOS!$A$5:$A$1005&lt;=$A747)*MOVIMIENTOS!$E$5:$E$1005)+SUMPRODUCT((MOVIMIENTOS!$B$5:$B$1005="DEVOLUCIÓN")*(MOVIMIENTOS!$C$5:$C$1005="P")*(MOVIMIENTOS!$D$5:$D$1005="jabas")*(MOVIMIENTOS!$A$5:$A$1005&lt;&gt;"")*(MOVIMIENTOS!$A$5:$A$1005&lt;=$A747)*MOVIMIENTOS!$E$5:$E$1005)-SUMPRODUCT((MOVIMIENTOS!$B$5:$B$1005="TRASIEGO")*(MOVIMIENTOS!$C$5:$C$1005="P")*(MOVIMIENTOS!$D$5:$D$1005="jabas")*(MOVIMIENTOS!$A$5:$A$1005&lt;&gt;"")*(MOVIMIENTOS!$A$5:$A$1005&lt;=$A747)*MOVIMIENTOS!$E$5:$E$1005)-SUMPRODUCT((MOVIMIENTOS!$B$5:$B$1005="REGALO")*(MOVIMIENTOS!$C$5:$C$1005="P")*(MOVIMIENTOS!$D$5:$D$1005="jabas")*(MOVIMIENTOS!$A$5:$A$1005&lt;&gt;"")*(MOVIMIENTOS!$A$5:$A$1005&lt;=$A747)*MOVIMIENTOS!$E$5:$E$1005)-SUMPRODUCT((MOVIMIENTOS!$B$5:$B$1005="VENTA")*(MOVIMIENTOS!$C$5:$C$1005="P")*(MOVIMIENTOS!$D$5:$D$1005="jabas")*(MOVIMIENTOS!$A$5:$A$1005&lt;&gt;"")*(MOVIMIENTOS!$A$5:$A$1005&lt;=$A747)*MOVIMIENTOS!$E$5:$E$1005)+SUMPRODUCT((MOVIMIENTOS!$B$5:$B$1005="AJUSTE")*(MOVIMIENTOS!$C$5:$C$1005="P")*(MOVIMIENTOS!$D$5:$D$1005="jabas")*(MOVIMIENTOS!$A$5:$A$1005&lt;&gt;"")*(MOVIMIENTOS!$A$5:$A$1005&lt;=$A747)*MOVIMIENTOS!$E$5:$E$1005))</f>
        <v/>
      </c>
      <c r="D747" t="str">
        <f>IF($A747="","",SUMPRODUCT((MOVIMIENTOS!$B$5:$B$1005="SALDO INICIAL")*(MOVIMIENTOS!$C$5:$C$1005="C")*(MOVIMIENTOS!$D$5:$D$1005="jabas")*(MOVIMIENTOS!$A$5:$A$1005&lt;&gt;"")*(MOVIMIENTOS!$A$5:$A$1005&lt;=$A747)*MOVIMIENTOS!$E$5:$E$1005)+SUMPRODUCT((MOVIMIENTOS!$B$5:$B$1005="PROCESO")*(MOVIMIENTOS!$C$5:$C$1005="C")*(MOVIMIENTOS!$D$5:$D$1005="jabas")*(MOVIMIENTOS!$A$5:$A$1005&lt;&gt;"")*(MOVIMIENTOS!$A$5:$A$1005&lt;=$A747)*MOVIMIENTOS!$E$5:$E$1005)-SUMPRODUCT((MOVIMIENTOS!$B$5:$B$1005="ENVÍO A SUPESA")*(MOVIMIENTOS!$C$5:$C$1005="C")*(MOVIMIENTOS!$D$5:$D$1005="jabas")*(MOVIMIENTOS!$A$5:$A$1005&lt;&gt;"")*(MOVIMIENTOS!$A$5:$A$1005&lt;=$A747)*MOVIMIENTOS!$E$5:$E$1005)+SUMPRODUCT((MOVIMIENTOS!$B$5:$B$1005="DEVOLUCIÓN")*(MOVIMIENTOS!$C$5:$C$1005="C")*(MOVIMIENTOS!$D$5:$D$1005="jabas")*(MOVIMIENTOS!$A$5:$A$1005&lt;&gt;"")*(MOVIMIENTOS!$A$5:$A$1005&lt;=$A747)*MOVIMIENTOS!$E$5:$E$1005)-SUMPRODUCT((MOVIMIENTOS!$B$5:$B$1005="TRASIEGO")*(MOVIMIENTOS!$C$5:$C$1005="C")*(MOVIMIENTOS!$D$5:$D$1005="jabas")*(MOVIMIENTOS!$A$5:$A$1005&lt;&gt;"")*(MOVIMIENTOS!$A$5:$A$1005&lt;=$A747)*MOVIMIENTOS!$E$5:$E$1005)-SUMPRODUCT((MOVIMIENTOS!$B$5:$B$1005="REGALO")*(MOVIMIENTOS!$C$5:$C$1005="C")*(MOVIMIENTOS!$D$5:$D$1005="jabas")*(MOVIMIENTOS!$A$5:$A$1005&lt;&gt;"")*(MOVIMIENTOS!$A$5:$A$1005&lt;=$A747)*MOVIMIENTOS!$E$5:$E$1005)-SUMPRODUCT((MOVIMIENTOS!$B$5:$B$1005="VENTA")*(MOVIMIENTOS!$C$5:$C$1005="C")*(MOVIMIENTOS!$D$5:$D$1005="jabas")*(MOVIMIENTOS!$A$5:$A$1005&lt;&gt;"")*(MOVIMIENTOS!$A$5:$A$1005&lt;=$A747)*MOVIMIENTOS!$E$5:$E$1005)+SUMPRODUCT((MOVIMIENTOS!$B$5:$B$1005="AJUSTE")*(MOVIMIENTOS!$C$5:$C$1005="C")*(MOVIMIENTOS!$D$5:$D$1005="jabas")*(MOVIMIENTOS!$A$5:$A$1005&lt;&gt;"")*(MOVIMIENTOS!$A$5:$A$1005&lt;=$A747)*MOVIMIENTOS!$E$5:$E$1005))</f>
        <v/>
      </c>
      <c r="E747" t="str">
        <f>IF($A747="","",SUMPRODUCT((MOVIMIENTOS!$B$5:$B$1005="SALDO INICIAL")*(MOVIMIENTOS!$C$5:$C$1005="M")*(MOVIMIENTOS!$D$5:$D$1005="jabas")*(MOVIMIENTOS!$A$5:$A$1005&lt;&gt;"")*(MOVIMIENTOS!$A$5:$A$1005&lt;=$A747)*MOVIMIENTOS!$E$5:$E$1005)+SUMPRODUCT((MOVIMIENTOS!$B$5:$B$1005="PROCESO")*(MOVIMIENTOS!$C$5:$C$1005="M")*(MOVIMIENTOS!$D$5:$D$1005="jabas")*(MOVIMIENTOS!$A$5:$A$1005&lt;&gt;"")*(MOVIMIENTOS!$A$5:$A$1005&lt;=$A747)*MOVIMIENTOS!$E$5:$E$1005)-SUMPRODUCT((MOVIMIENTOS!$B$5:$B$1005="ENVÍO A SUPESA")*(MOVIMIENTOS!$C$5:$C$1005="M")*(MOVIMIENTOS!$D$5:$D$1005="jabas")*(MOVIMIENTOS!$A$5:$A$1005&lt;&gt;"")*(MOVIMIENTOS!$A$5:$A$1005&lt;=$A747)*MOVIMIENTOS!$E$5:$E$1005)+SUMPRODUCT((MOVIMIENTOS!$B$5:$B$1005="DEVOLUCIÓN")*(MOVIMIENTOS!$C$5:$C$1005="M")*(MOVIMIENTOS!$D$5:$D$1005="jabas")*(MOVIMIENTOS!$A$5:$A$1005&lt;&gt;"")*(MOVIMIENTOS!$A$5:$A$1005&lt;=$A747)*MOVIMIENTOS!$E$5:$E$1005)-SUMPRODUCT((MOVIMIENTOS!$B$5:$B$1005="TRASIEGO")*(MOVIMIENTOS!$C$5:$C$1005="M")*(MOVIMIENTOS!$D$5:$D$1005="jabas")*(MOVIMIENTOS!$A$5:$A$1005&lt;&gt;"")*(MOVIMIENTOS!$A$5:$A$1005&lt;=$A747)*MOVIMIENTOS!$E$5:$E$1005)-SUMPRODUCT((MOVIMIENTOS!$B$5:$B$1005="REGALO")*(MOVIMIENTOS!$C$5:$C$1005="M")*(MOVIMIENTOS!$D$5:$D$1005="jabas")*(MOVIMIENTOS!$A$5:$A$1005&lt;&gt;"")*(MOVIMIENTOS!$A$5:$A$1005&lt;=$A747)*MOVIMIENTOS!$E$5:$E$1005)-SUMPRODUCT((MOVIMIENTOS!$B$5:$B$1005="VENTA")*(MOVIMIENTOS!$C$5:$C$1005="M")*(MOVIMIENTOS!$D$5:$D$1005="jabas")*(MOVIMIENTOS!$A$5:$A$1005&lt;&gt;"")*(MOVIMIENTOS!$A$5:$A$1005&lt;=$A747)*MOVIMIENTOS!$E$5:$E$1005)+SUMPRODUCT((MOVIMIENTOS!$B$5:$B$1005="AJUSTE")*(MOVIMIENTOS!$C$5:$C$1005="M")*(MOVIMIENTOS!$D$5:$D$1005="jabas")*(MOVIMIENTOS!$A$5:$A$1005&lt;&gt;"")*(MOVIMIENTOS!$A$5:$A$1005&lt;=$A747)*MOVIMIENTOS!$E$5:$E$1005))</f>
        <v/>
      </c>
      <c r="F747" s="62" t="str">
        <f>IF($A747="","",SUMPRODUCT((MOVIMIENTOS!$B$5:$B$1005="SALDO INICIAL")*(MOVIMIENTOS!$C$5:$C$1005="Chancho")*(MOVIMIENTOS!$D$5:$D$1005="sacos")*(MOVIMIENTOS!$A$5:$A$1005&lt;&gt;"")*(MOVIMIENTOS!$A$5:$A$1005&lt;=$A747)*MOVIMIENTOS!$E$5:$E$1005)+SUMPRODUCT((MOVIMIENTOS!$B$5:$B$1005="PROCESO")*(MOVIMIENTOS!$C$5:$C$1005="Chancho")*(MOVIMIENTOS!$D$5:$D$1005="sacos")*(MOVIMIENTOS!$A$5:$A$1005&lt;&gt;"")*(MOVIMIENTOS!$A$5:$A$1005&lt;=$A747)*MOVIMIENTOS!$E$5:$E$1005)-SUMPRODUCT((MOVIMIENTOS!$B$5:$B$1005="VENTA CHANCHO")*(MOVIMIENTOS!$C$5:$C$1005="Chancho")*(MOVIMIENTOS!$D$5:$D$1005="sacos")*(MOVIMIENTOS!$A$5:$A$1005&lt;&gt;"")*(MOVIMIENTOS!$A$5:$A$1005&lt;=$A747)*MOVIMIENTOS!$E$5:$E$1005)-SUMPRODUCT((MOVIMIENTOS!$B$5:$B$1005="REGALO")*(MOVIMIENTOS!$C$5:$C$1005="Chancho")*(MOVIMIENTOS!$D$5:$D$1005="sacos")*(MOVIMIENTOS!$A$5:$A$1005&lt;&gt;"")*(MOVIMIENTOS!$A$5:$A$1005&lt;=$A747)*MOVIMIENTOS!$E$5:$E$1005)-SUMPRODUCT((MOVIMIENTOS!$B$5:$B$1005="VENTA")*(MOVIMIENTOS!$C$5:$C$1005="Chancho")*(MOVIMIENTOS!$D$5:$D$1005="sacos")*(MOVIMIENTOS!$A$5:$A$1005&lt;&gt;"")*(MOVIMIENTOS!$A$5:$A$1005&lt;=$A747)*MOVIMIENTOS!$E$5:$E$1005)+SUMPRODUCT((MOVIMIENTOS!$B$5:$B$1005="AJUSTE")*(MOVIMIENTOS!$C$5:$C$1005="Chancho")*(MOVIMIENTOS!$D$5:$D$1005="sacos")*(MOVIMIENTOS!$A$5:$A$1005&lt;&gt;"")*(MOVIMIENTOS!$A$5:$A$1005&lt;=$A747)*MOVIMIENTOS!$E$5:$E$1005))</f>
        <v/>
      </c>
      <c r="G747" s="62" t="str">
        <f t="shared" si="23"/>
        <v/>
      </c>
      <c r="H747" t="str">
        <f>IF($A747="","",SUMPRODUCT((((MOVIMIENTOS!$B$5:$B$1005="SALDO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747)*MOVIMIENTOS!$J$5:$J$1005))</f>
        <v/>
      </c>
      <c r="J747" t="str">
        <f>IF(AND(MOVIMIENTOS!$A752&lt;&gt;"",COUNTIF(MOVIMIENTOS!$A$5:$A751,MOVIMIENTOS!$A752)=0),COUNT(J$4:J746)+1,"")</f>
        <v/>
      </c>
      <c r="K747">
        <f>MOVIMIENTOS!$A752</f>
        <v>0</v>
      </c>
    </row>
    <row r="748" spans="1:11" ht="15" customHeight="1" x14ac:dyDescent="0.2">
      <c r="A748" t="str">
        <f t="shared" si="22"/>
        <v/>
      </c>
      <c r="B748" t="str">
        <f>IF($A748="","",SUMPRODUCT((MOVIMIENTOS!$B$5:$B$1005="SALDO INICIAL")*(MOVIMIENTOS!$C$5:$C$1005="A")*(MOVIMIENTOS!$D$5:$D$1005="jabas")*(MOVIMIENTOS!$A$5:$A$1005&lt;&gt;"")*(MOVIMIENTOS!$A$5:$A$1005&lt;=$A748)*MOVIMIENTOS!$E$5:$E$1005)+SUMPRODUCT((MOVIMIENTOS!$B$5:$B$1005="PROCESO")*(MOVIMIENTOS!$C$5:$C$1005="A")*(MOVIMIENTOS!$D$5:$D$1005="jabas")*(MOVIMIENTOS!$A$5:$A$1005&lt;&gt;"")*(MOVIMIENTOS!$A$5:$A$1005&lt;=$A748)*MOVIMIENTOS!$E$5:$E$1005)-SUMPRODUCT((MOVIMIENTOS!$B$5:$B$1005="ENVÍO A SUPESA")*(MOVIMIENTOS!$C$5:$C$1005="A")*(MOVIMIENTOS!$D$5:$D$1005="jabas")*(MOVIMIENTOS!$A$5:$A$1005&lt;&gt;"")*(MOVIMIENTOS!$A$5:$A$1005&lt;=$A748)*MOVIMIENTOS!$E$5:$E$1005)+SUMPRODUCT((MOVIMIENTOS!$B$5:$B$1005="DEVOLUCIÓN")*(MOVIMIENTOS!$C$5:$C$1005="A")*(MOVIMIENTOS!$D$5:$D$1005="jabas")*(MOVIMIENTOS!$A$5:$A$1005&lt;&gt;"")*(MOVIMIENTOS!$A$5:$A$1005&lt;=$A748)*MOVIMIENTOS!$E$5:$E$1005)-SUMPRODUCT((MOVIMIENTOS!$B$5:$B$1005="TRASIEGO")*(MOVIMIENTOS!$C$5:$C$1005="A")*(MOVIMIENTOS!$D$5:$D$1005="jabas")*(MOVIMIENTOS!$A$5:$A$1005&lt;&gt;"")*(MOVIMIENTOS!$A$5:$A$1005&lt;=$A748)*MOVIMIENTOS!$E$5:$E$1005)-SUMPRODUCT((MOVIMIENTOS!$B$5:$B$1005="REGALO")*(MOVIMIENTOS!$C$5:$C$1005="A")*(MOVIMIENTOS!$D$5:$D$1005="jabas")*(MOVIMIENTOS!$A$5:$A$1005&lt;&gt;"")*(MOVIMIENTOS!$A$5:$A$1005&lt;=$A748)*MOVIMIENTOS!$E$5:$E$1005)-SUMPRODUCT((MOVIMIENTOS!$B$5:$B$1005="VENTA")*(MOVIMIENTOS!$C$5:$C$1005="A")*(MOVIMIENTOS!$D$5:$D$1005="jabas")*(MOVIMIENTOS!$A$5:$A$1005&lt;&gt;"")*(MOVIMIENTOS!$A$5:$A$1005&lt;=$A748)*MOVIMIENTOS!$E$5:$E$1005)+SUMPRODUCT((MOVIMIENTOS!$B$5:$B$1005="AJUSTE")*(MOVIMIENTOS!$C$5:$C$1005="A")*(MOVIMIENTOS!$D$5:$D$1005="jabas")*(MOVIMIENTOS!$A$5:$A$1005&lt;&gt;"")*(MOVIMIENTOS!$A$5:$A$1005&lt;=$A748)*MOVIMIENTOS!$E$5:$E$1005))</f>
        <v/>
      </c>
      <c r="C748" t="str">
        <f>IF($A748="","",SUMPRODUCT((MOVIMIENTOS!$B$5:$B$1005="SALDO INICIAL")*(MOVIMIENTOS!$C$5:$C$1005="P")*(MOVIMIENTOS!$D$5:$D$1005="jabas")*(MOVIMIENTOS!$A$5:$A$1005&lt;&gt;"")*(MOVIMIENTOS!$A$5:$A$1005&lt;=$A748)*MOVIMIENTOS!$E$5:$E$1005)+SUMPRODUCT((MOVIMIENTOS!$B$5:$B$1005="PROCESO")*(MOVIMIENTOS!$C$5:$C$1005="P")*(MOVIMIENTOS!$D$5:$D$1005="jabas")*(MOVIMIENTOS!$A$5:$A$1005&lt;&gt;"")*(MOVIMIENTOS!$A$5:$A$1005&lt;=$A748)*MOVIMIENTOS!$E$5:$E$1005)-SUMPRODUCT((MOVIMIENTOS!$B$5:$B$1005="ENVÍO A SUPESA")*(MOVIMIENTOS!$C$5:$C$1005="P")*(MOVIMIENTOS!$D$5:$D$1005="jabas")*(MOVIMIENTOS!$A$5:$A$1005&lt;&gt;"")*(MOVIMIENTOS!$A$5:$A$1005&lt;=$A748)*MOVIMIENTOS!$E$5:$E$1005)+SUMPRODUCT((MOVIMIENTOS!$B$5:$B$1005="DEVOLUCIÓN")*(MOVIMIENTOS!$C$5:$C$1005="P")*(MOVIMIENTOS!$D$5:$D$1005="jabas")*(MOVIMIENTOS!$A$5:$A$1005&lt;&gt;"")*(MOVIMIENTOS!$A$5:$A$1005&lt;=$A748)*MOVIMIENTOS!$E$5:$E$1005)-SUMPRODUCT((MOVIMIENTOS!$B$5:$B$1005="TRASIEGO")*(MOVIMIENTOS!$C$5:$C$1005="P")*(MOVIMIENTOS!$D$5:$D$1005="jabas")*(MOVIMIENTOS!$A$5:$A$1005&lt;&gt;"")*(MOVIMIENTOS!$A$5:$A$1005&lt;=$A748)*MOVIMIENTOS!$E$5:$E$1005)-SUMPRODUCT((MOVIMIENTOS!$B$5:$B$1005="REGALO")*(MOVIMIENTOS!$C$5:$C$1005="P")*(MOVIMIENTOS!$D$5:$D$1005="jabas")*(MOVIMIENTOS!$A$5:$A$1005&lt;&gt;"")*(MOVIMIENTOS!$A$5:$A$1005&lt;=$A748)*MOVIMIENTOS!$E$5:$E$1005)-SUMPRODUCT((MOVIMIENTOS!$B$5:$B$1005="VENTA")*(MOVIMIENTOS!$C$5:$C$1005="P")*(MOVIMIENTOS!$D$5:$D$1005="jabas")*(MOVIMIENTOS!$A$5:$A$1005&lt;&gt;"")*(MOVIMIENTOS!$A$5:$A$1005&lt;=$A748)*MOVIMIENTOS!$E$5:$E$1005)+SUMPRODUCT((MOVIMIENTOS!$B$5:$B$1005="AJUSTE")*(MOVIMIENTOS!$C$5:$C$1005="P")*(MOVIMIENTOS!$D$5:$D$1005="jabas")*(MOVIMIENTOS!$A$5:$A$1005&lt;&gt;"")*(MOVIMIENTOS!$A$5:$A$1005&lt;=$A748)*MOVIMIENTOS!$E$5:$E$1005))</f>
        <v/>
      </c>
      <c r="D748" t="str">
        <f>IF($A748="","",SUMPRODUCT((MOVIMIENTOS!$B$5:$B$1005="SALDO INICIAL")*(MOVIMIENTOS!$C$5:$C$1005="C")*(MOVIMIENTOS!$D$5:$D$1005="jabas")*(MOVIMIENTOS!$A$5:$A$1005&lt;&gt;"")*(MOVIMIENTOS!$A$5:$A$1005&lt;=$A748)*MOVIMIENTOS!$E$5:$E$1005)+SUMPRODUCT((MOVIMIENTOS!$B$5:$B$1005="PROCESO")*(MOVIMIENTOS!$C$5:$C$1005="C")*(MOVIMIENTOS!$D$5:$D$1005="jabas")*(MOVIMIENTOS!$A$5:$A$1005&lt;&gt;"")*(MOVIMIENTOS!$A$5:$A$1005&lt;=$A748)*MOVIMIENTOS!$E$5:$E$1005)-SUMPRODUCT((MOVIMIENTOS!$B$5:$B$1005="ENVÍO A SUPESA")*(MOVIMIENTOS!$C$5:$C$1005="C")*(MOVIMIENTOS!$D$5:$D$1005="jabas")*(MOVIMIENTOS!$A$5:$A$1005&lt;&gt;"")*(MOVIMIENTOS!$A$5:$A$1005&lt;=$A748)*MOVIMIENTOS!$E$5:$E$1005)+SUMPRODUCT((MOVIMIENTOS!$B$5:$B$1005="DEVOLUCIÓN")*(MOVIMIENTOS!$C$5:$C$1005="C")*(MOVIMIENTOS!$D$5:$D$1005="jabas")*(MOVIMIENTOS!$A$5:$A$1005&lt;&gt;"")*(MOVIMIENTOS!$A$5:$A$1005&lt;=$A748)*MOVIMIENTOS!$E$5:$E$1005)-SUMPRODUCT((MOVIMIENTOS!$B$5:$B$1005="TRASIEGO")*(MOVIMIENTOS!$C$5:$C$1005="C")*(MOVIMIENTOS!$D$5:$D$1005="jabas")*(MOVIMIENTOS!$A$5:$A$1005&lt;&gt;"")*(MOVIMIENTOS!$A$5:$A$1005&lt;=$A748)*MOVIMIENTOS!$E$5:$E$1005)-SUMPRODUCT((MOVIMIENTOS!$B$5:$B$1005="REGALO")*(MOVIMIENTOS!$C$5:$C$1005="C")*(MOVIMIENTOS!$D$5:$D$1005="jabas")*(MOVIMIENTOS!$A$5:$A$1005&lt;&gt;"")*(MOVIMIENTOS!$A$5:$A$1005&lt;=$A748)*MOVIMIENTOS!$E$5:$E$1005)-SUMPRODUCT((MOVIMIENTOS!$B$5:$B$1005="VENTA")*(MOVIMIENTOS!$C$5:$C$1005="C")*(MOVIMIENTOS!$D$5:$D$1005="jabas")*(MOVIMIENTOS!$A$5:$A$1005&lt;&gt;"")*(MOVIMIENTOS!$A$5:$A$1005&lt;=$A748)*MOVIMIENTOS!$E$5:$E$1005)+SUMPRODUCT((MOVIMIENTOS!$B$5:$B$1005="AJUSTE")*(MOVIMIENTOS!$C$5:$C$1005="C")*(MOVIMIENTOS!$D$5:$D$1005="jabas")*(MOVIMIENTOS!$A$5:$A$1005&lt;&gt;"")*(MOVIMIENTOS!$A$5:$A$1005&lt;=$A748)*MOVIMIENTOS!$E$5:$E$1005))</f>
        <v/>
      </c>
      <c r="E748" t="str">
        <f>IF($A748="","",SUMPRODUCT((MOVIMIENTOS!$B$5:$B$1005="SALDO INICIAL")*(MOVIMIENTOS!$C$5:$C$1005="M")*(MOVIMIENTOS!$D$5:$D$1005="jabas")*(MOVIMIENTOS!$A$5:$A$1005&lt;&gt;"")*(MOVIMIENTOS!$A$5:$A$1005&lt;=$A748)*MOVIMIENTOS!$E$5:$E$1005)+SUMPRODUCT((MOVIMIENTOS!$B$5:$B$1005="PROCESO")*(MOVIMIENTOS!$C$5:$C$1005="M")*(MOVIMIENTOS!$D$5:$D$1005="jabas")*(MOVIMIENTOS!$A$5:$A$1005&lt;&gt;"")*(MOVIMIENTOS!$A$5:$A$1005&lt;=$A748)*MOVIMIENTOS!$E$5:$E$1005)-SUMPRODUCT((MOVIMIENTOS!$B$5:$B$1005="ENVÍO A SUPESA")*(MOVIMIENTOS!$C$5:$C$1005="M")*(MOVIMIENTOS!$D$5:$D$1005="jabas")*(MOVIMIENTOS!$A$5:$A$1005&lt;&gt;"")*(MOVIMIENTOS!$A$5:$A$1005&lt;=$A748)*MOVIMIENTOS!$E$5:$E$1005)+SUMPRODUCT((MOVIMIENTOS!$B$5:$B$1005="DEVOLUCIÓN")*(MOVIMIENTOS!$C$5:$C$1005="M")*(MOVIMIENTOS!$D$5:$D$1005="jabas")*(MOVIMIENTOS!$A$5:$A$1005&lt;&gt;"")*(MOVIMIENTOS!$A$5:$A$1005&lt;=$A748)*MOVIMIENTOS!$E$5:$E$1005)-SUMPRODUCT((MOVIMIENTOS!$B$5:$B$1005="TRASIEGO")*(MOVIMIENTOS!$C$5:$C$1005="M")*(MOVIMIENTOS!$D$5:$D$1005="jabas")*(MOVIMIENTOS!$A$5:$A$1005&lt;&gt;"")*(MOVIMIENTOS!$A$5:$A$1005&lt;=$A748)*MOVIMIENTOS!$E$5:$E$1005)-SUMPRODUCT((MOVIMIENTOS!$B$5:$B$1005="REGALO")*(MOVIMIENTOS!$C$5:$C$1005="M")*(MOVIMIENTOS!$D$5:$D$1005="jabas")*(MOVIMIENTOS!$A$5:$A$1005&lt;&gt;"")*(MOVIMIENTOS!$A$5:$A$1005&lt;=$A748)*MOVIMIENTOS!$E$5:$E$1005)-SUMPRODUCT((MOVIMIENTOS!$B$5:$B$1005="VENTA")*(MOVIMIENTOS!$C$5:$C$1005="M")*(MOVIMIENTOS!$D$5:$D$1005="jabas")*(MOVIMIENTOS!$A$5:$A$1005&lt;&gt;"")*(MOVIMIENTOS!$A$5:$A$1005&lt;=$A748)*MOVIMIENTOS!$E$5:$E$1005)+SUMPRODUCT((MOVIMIENTOS!$B$5:$B$1005="AJUSTE")*(MOVIMIENTOS!$C$5:$C$1005="M")*(MOVIMIENTOS!$D$5:$D$1005="jabas")*(MOVIMIENTOS!$A$5:$A$1005&lt;&gt;"")*(MOVIMIENTOS!$A$5:$A$1005&lt;=$A748)*MOVIMIENTOS!$E$5:$E$1005))</f>
        <v/>
      </c>
      <c r="F748" s="62" t="str">
        <f>IF($A748="","",SUMPRODUCT((MOVIMIENTOS!$B$5:$B$1005="SALDO INICIAL")*(MOVIMIENTOS!$C$5:$C$1005="Chancho")*(MOVIMIENTOS!$D$5:$D$1005="sacos")*(MOVIMIENTOS!$A$5:$A$1005&lt;&gt;"")*(MOVIMIENTOS!$A$5:$A$1005&lt;=$A748)*MOVIMIENTOS!$E$5:$E$1005)+SUMPRODUCT((MOVIMIENTOS!$B$5:$B$1005="PROCESO")*(MOVIMIENTOS!$C$5:$C$1005="Chancho")*(MOVIMIENTOS!$D$5:$D$1005="sacos")*(MOVIMIENTOS!$A$5:$A$1005&lt;&gt;"")*(MOVIMIENTOS!$A$5:$A$1005&lt;=$A748)*MOVIMIENTOS!$E$5:$E$1005)-SUMPRODUCT((MOVIMIENTOS!$B$5:$B$1005="VENTA CHANCHO")*(MOVIMIENTOS!$C$5:$C$1005="Chancho")*(MOVIMIENTOS!$D$5:$D$1005="sacos")*(MOVIMIENTOS!$A$5:$A$1005&lt;&gt;"")*(MOVIMIENTOS!$A$5:$A$1005&lt;=$A748)*MOVIMIENTOS!$E$5:$E$1005)-SUMPRODUCT((MOVIMIENTOS!$B$5:$B$1005="REGALO")*(MOVIMIENTOS!$C$5:$C$1005="Chancho")*(MOVIMIENTOS!$D$5:$D$1005="sacos")*(MOVIMIENTOS!$A$5:$A$1005&lt;&gt;"")*(MOVIMIENTOS!$A$5:$A$1005&lt;=$A748)*MOVIMIENTOS!$E$5:$E$1005)-SUMPRODUCT((MOVIMIENTOS!$B$5:$B$1005="VENTA")*(MOVIMIENTOS!$C$5:$C$1005="Chancho")*(MOVIMIENTOS!$D$5:$D$1005="sacos")*(MOVIMIENTOS!$A$5:$A$1005&lt;&gt;"")*(MOVIMIENTOS!$A$5:$A$1005&lt;=$A748)*MOVIMIENTOS!$E$5:$E$1005)+SUMPRODUCT((MOVIMIENTOS!$B$5:$B$1005="AJUSTE")*(MOVIMIENTOS!$C$5:$C$1005="Chancho")*(MOVIMIENTOS!$D$5:$D$1005="sacos")*(MOVIMIENTOS!$A$5:$A$1005&lt;&gt;"")*(MOVIMIENTOS!$A$5:$A$1005&lt;=$A748)*MOVIMIENTOS!$E$5:$E$1005))</f>
        <v/>
      </c>
      <c r="G748" s="62" t="str">
        <f t="shared" si="23"/>
        <v/>
      </c>
      <c r="H748" t="str">
        <f>IF($A748="","",SUMPRODUCT((((MOVIMIENTOS!$B$5:$B$1005="SALDO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748)*MOVIMIENTOS!$J$5:$J$1005))</f>
        <v/>
      </c>
      <c r="J748" t="str">
        <f>IF(AND(MOVIMIENTOS!$A753&lt;&gt;"",COUNTIF(MOVIMIENTOS!$A$5:$A752,MOVIMIENTOS!$A753)=0),COUNT(J$4:J747)+1,"")</f>
        <v/>
      </c>
      <c r="K748">
        <f>MOVIMIENTOS!$A753</f>
        <v>0</v>
      </c>
    </row>
    <row r="749" spans="1:11" ht="15" customHeight="1" x14ac:dyDescent="0.2">
      <c r="A749" t="str">
        <f t="shared" si="22"/>
        <v/>
      </c>
      <c r="B749" t="str">
        <f>IF($A749="","",SUMPRODUCT((MOVIMIENTOS!$B$5:$B$1005="SALDO INICIAL")*(MOVIMIENTOS!$C$5:$C$1005="A")*(MOVIMIENTOS!$D$5:$D$1005="jabas")*(MOVIMIENTOS!$A$5:$A$1005&lt;&gt;"")*(MOVIMIENTOS!$A$5:$A$1005&lt;=$A749)*MOVIMIENTOS!$E$5:$E$1005)+SUMPRODUCT((MOVIMIENTOS!$B$5:$B$1005="PROCESO")*(MOVIMIENTOS!$C$5:$C$1005="A")*(MOVIMIENTOS!$D$5:$D$1005="jabas")*(MOVIMIENTOS!$A$5:$A$1005&lt;&gt;"")*(MOVIMIENTOS!$A$5:$A$1005&lt;=$A749)*MOVIMIENTOS!$E$5:$E$1005)-SUMPRODUCT((MOVIMIENTOS!$B$5:$B$1005="ENVÍO A SUPESA")*(MOVIMIENTOS!$C$5:$C$1005="A")*(MOVIMIENTOS!$D$5:$D$1005="jabas")*(MOVIMIENTOS!$A$5:$A$1005&lt;&gt;"")*(MOVIMIENTOS!$A$5:$A$1005&lt;=$A749)*MOVIMIENTOS!$E$5:$E$1005)+SUMPRODUCT((MOVIMIENTOS!$B$5:$B$1005="DEVOLUCIÓN")*(MOVIMIENTOS!$C$5:$C$1005="A")*(MOVIMIENTOS!$D$5:$D$1005="jabas")*(MOVIMIENTOS!$A$5:$A$1005&lt;&gt;"")*(MOVIMIENTOS!$A$5:$A$1005&lt;=$A749)*MOVIMIENTOS!$E$5:$E$1005)-SUMPRODUCT((MOVIMIENTOS!$B$5:$B$1005="TRASIEGO")*(MOVIMIENTOS!$C$5:$C$1005="A")*(MOVIMIENTOS!$D$5:$D$1005="jabas")*(MOVIMIENTOS!$A$5:$A$1005&lt;&gt;"")*(MOVIMIENTOS!$A$5:$A$1005&lt;=$A749)*MOVIMIENTOS!$E$5:$E$1005)-SUMPRODUCT((MOVIMIENTOS!$B$5:$B$1005="REGALO")*(MOVIMIENTOS!$C$5:$C$1005="A")*(MOVIMIENTOS!$D$5:$D$1005="jabas")*(MOVIMIENTOS!$A$5:$A$1005&lt;&gt;"")*(MOVIMIENTOS!$A$5:$A$1005&lt;=$A749)*MOVIMIENTOS!$E$5:$E$1005)-SUMPRODUCT((MOVIMIENTOS!$B$5:$B$1005="VENTA")*(MOVIMIENTOS!$C$5:$C$1005="A")*(MOVIMIENTOS!$D$5:$D$1005="jabas")*(MOVIMIENTOS!$A$5:$A$1005&lt;&gt;"")*(MOVIMIENTOS!$A$5:$A$1005&lt;=$A749)*MOVIMIENTOS!$E$5:$E$1005)+SUMPRODUCT((MOVIMIENTOS!$B$5:$B$1005="AJUSTE")*(MOVIMIENTOS!$C$5:$C$1005="A")*(MOVIMIENTOS!$D$5:$D$1005="jabas")*(MOVIMIENTOS!$A$5:$A$1005&lt;&gt;"")*(MOVIMIENTOS!$A$5:$A$1005&lt;=$A749)*MOVIMIENTOS!$E$5:$E$1005))</f>
        <v/>
      </c>
      <c r="C749" t="str">
        <f>IF($A749="","",SUMPRODUCT((MOVIMIENTOS!$B$5:$B$1005="SALDO INICIAL")*(MOVIMIENTOS!$C$5:$C$1005="P")*(MOVIMIENTOS!$D$5:$D$1005="jabas")*(MOVIMIENTOS!$A$5:$A$1005&lt;&gt;"")*(MOVIMIENTOS!$A$5:$A$1005&lt;=$A749)*MOVIMIENTOS!$E$5:$E$1005)+SUMPRODUCT((MOVIMIENTOS!$B$5:$B$1005="PROCESO")*(MOVIMIENTOS!$C$5:$C$1005="P")*(MOVIMIENTOS!$D$5:$D$1005="jabas")*(MOVIMIENTOS!$A$5:$A$1005&lt;&gt;"")*(MOVIMIENTOS!$A$5:$A$1005&lt;=$A749)*MOVIMIENTOS!$E$5:$E$1005)-SUMPRODUCT((MOVIMIENTOS!$B$5:$B$1005="ENVÍO A SUPESA")*(MOVIMIENTOS!$C$5:$C$1005="P")*(MOVIMIENTOS!$D$5:$D$1005="jabas")*(MOVIMIENTOS!$A$5:$A$1005&lt;&gt;"")*(MOVIMIENTOS!$A$5:$A$1005&lt;=$A749)*MOVIMIENTOS!$E$5:$E$1005)+SUMPRODUCT((MOVIMIENTOS!$B$5:$B$1005="DEVOLUCIÓN")*(MOVIMIENTOS!$C$5:$C$1005="P")*(MOVIMIENTOS!$D$5:$D$1005="jabas")*(MOVIMIENTOS!$A$5:$A$1005&lt;&gt;"")*(MOVIMIENTOS!$A$5:$A$1005&lt;=$A749)*MOVIMIENTOS!$E$5:$E$1005)-SUMPRODUCT((MOVIMIENTOS!$B$5:$B$1005="TRASIEGO")*(MOVIMIENTOS!$C$5:$C$1005="P")*(MOVIMIENTOS!$D$5:$D$1005="jabas")*(MOVIMIENTOS!$A$5:$A$1005&lt;&gt;"")*(MOVIMIENTOS!$A$5:$A$1005&lt;=$A749)*MOVIMIENTOS!$E$5:$E$1005)-SUMPRODUCT((MOVIMIENTOS!$B$5:$B$1005="REGALO")*(MOVIMIENTOS!$C$5:$C$1005="P")*(MOVIMIENTOS!$D$5:$D$1005="jabas")*(MOVIMIENTOS!$A$5:$A$1005&lt;&gt;"")*(MOVIMIENTOS!$A$5:$A$1005&lt;=$A749)*MOVIMIENTOS!$E$5:$E$1005)-SUMPRODUCT((MOVIMIENTOS!$B$5:$B$1005="VENTA")*(MOVIMIENTOS!$C$5:$C$1005="P")*(MOVIMIENTOS!$D$5:$D$1005="jabas")*(MOVIMIENTOS!$A$5:$A$1005&lt;&gt;"")*(MOVIMIENTOS!$A$5:$A$1005&lt;=$A749)*MOVIMIENTOS!$E$5:$E$1005)+SUMPRODUCT((MOVIMIENTOS!$B$5:$B$1005="AJUSTE")*(MOVIMIENTOS!$C$5:$C$1005="P")*(MOVIMIENTOS!$D$5:$D$1005="jabas")*(MOVIMIENTOS!$A$5:$A$1005&lt;&gt;"")*(MOVIMIENTOS!$A$5:$A$1005&lt;=$A749)*MOVIMIENTOS!$E$5:$E$1005))</f>
        <v/>
      </c>
      <c r="D749" t="str">
        <f>IF($A749="","",SUMPRODUCT((MOVIMIENTOS!$B$5:$B$1005="SALDO INICIAL")*(MOVIMIENTOS!$C$5:$C$1005="C")*(MOVIMIENTOS!$D$5:$D$1005="jabas")*(MOVIMIENTOS!$A$5:$A$1005&lt;&gt;"")*(MOVIMIENTOS!$A$5:$A$1005&lt;=$A749)*MOVIMIENTOS!$E$5:$E$1005)+SUMPRODUCT((MOVIMIENTOS!$B$5:$B$1005="PROCESO")*(MOVIMIENTOS!$C$5:$C$1005="C")*(MOVIMIENTOS!$D$5:$D$1005="jabas")*(MOVIMIENTOS!$A$5:$A$1005&lt;&gt;"")*(MOVIMIENTOS!$A$5:$A$1005&lt;=$A749)*MOVIMIENTOS!$E$5:$E$1005)-SUMPRODUCT((MOVIMIENTOS!$B$5:$B$1005="ENVÍO A SUPESA")*(MOVIMIENTOS!$C$5:$C$1005="C")*(MOVIMIENTOS!$D$5:$D$1005="jabas")*(MOVIMIENTOS!$A$5:$A$1005&lt;&gt;"")*(MOVIMIENTOS!$A$5:$A$1005&lt;=$A749)*MOVIMIENTOS!$E$5:$E$1005)+SUMPRODUCT((MOVIMIENTOS!$B$5:$B$1005="DEVOLUCIÓN")*(MOVIMIENTOS!$C$5:$C$1005="C")*(MOVIMIENTOS!$D$5:$D$1005="jabas")*(MOVIMIENTOS!$A$5:$A$1005&lt;&gt;"")*(MOVIMIENTOS!$A$5:$A$1005&lt;=$A749)*MOVIMIENTOS!$E$5:$E$1005)-SUMPRODUCT((MOVIMIENTOS!$B$5:$B$1005="TRASIEGO")*(MOVIMIENTOS!$C$5:$C$1005="C")*(MOVIMIENTOS!$D$5:$D$1005="jabas")*(MOVIMIENTOS!$A$5:$A$1005&lt;&gt;"")*(MOVIMIENTOS!$A$5:$A$1005&lt;=$A749)*MOVIMIENTOS!$E$5:$E$1005)-SUMPRODUCT((MOVIMIENTOS!$B$5:$B$1005="REGALO")*(MOVIMIENTOS!$C$5:$C$1005="C")*(MOVIMIENTOS!$D$5:$D$1005="jabas")*(MOVIMIENTOS!$A$5:$A$1005&lt;&gt;"")*(MOVIMIENTOS!$A$5:$A$1005&lt;=$A749)*MOVIMIENTOS!$E$5:$E$1005)-SUMPRODUCT((MOVIMIENTOS!$B$5:$B$1005="VENTA")*(MOVIMIENTOS!$C$5:$C$1005="C")*(MOVIMIENTOS!$D$5:$D$1005="jabas")*(MOVIMIENTOS!$A$5:$A$1005&lt;&gt;"")*(MOVIMIENTOS!$A$5:$A$1005&lt;=$A749)*MOVIMIENTOS!$E$5:$E$1005)+SUMPRODUCT((MOVIMIENTOS!$B$5:$B$1005="AJUSTE")*(MOVIMIENTOS!$C$5:$C$1005="C")*(MOVIMIENTOS!$D$5:$D$1005="jabas")*(MOVIMIENTOS!$A$5:$A$1005&lt;&gt;"")*(MOVIMIENTOS!$A$5:$A$1005&lt;=$A749)*MOVIMIENTOS!$E$5:$E$1005))</f>
        <v/>
      </c>
      <c r="E749" t="str">
        <f>IF($A749="","",SUMPRODUCT((MOVIMIENTOS!$B$5:$B$1005="SALDO INICIAL")*(MOVIMIENTOS!$C$5:$C$1005="M")*(MOVIMIENTOS!$D$5:$D$1005="jabas")*(MOVIMIENTOS!$A$5:$A$1005&lt;&gt;"")*(MOVIMIENTOS!$A$5:$A$1005&lt;=$A749)*MOVIMIENTOS!$E$5:$E$1005)+SUMPRODUCT((MOVIMIENTOS!$B$5:$B$1005="PROCESO")*(MOVIMIENTOS!$C$5:$C$1005="M")*(MOVIMIENTOS!$D$5:$D$1005="jabas")*(MOVIMIENTOS!$A$5:$A$1005&lt;&gt;"")*(MOVIMIENTOS!$A$5:$A$1005&lt;=$A749)*MOVIMIENTOS!$E$5:$E$1005)-SUMPRODUCT((MOVIMIENTOS!$B$5:$B$1005="ENVÍO A SUPESA")*(MOVIMIENTOS!$C$5:$C$1005="M")*(MOVIMIENTOS!$D$5:$D$1005="jabas")*(MOVIMIENTOS!$A$5:$A$1005&lt;&gt;"")*(MOVIMIENTOS!$A$5:$A$1005&lt;=$A749)*MOVIMIENTOS!$E$5:$E$1005)+SUMPRODUCT((MOVIMIENTOS!$B$5:$B$1005="DEVOLUCIÓN")*(MOVIMIENTOS!$C$5:$C$1005="M")*(MOVIMIENTOS!$D$5:$D$1005="jabas")*(MOVIMIENTOS!$A$5:$A$1005&lt;&gt;"")*(MOVIMIENTOS!$A$5:$A$1005&lt;=$A749)*MOVIMIENTOS!$E$5:$E$1005)-SUMPRODUCT((MOVIMIENTOS!$B$5:$B$1005="TRASIEGO")*(MOVIMIENTOS!$C$5:$C$1005="M")*(MOVIMIENTOS!$D$5:$D$1005="jabas")*(MOVIMIENTOS!$A$5:$A$1005&lt;&gt;"")*(MOVIMIENTOS!$A$5:$A$1005&lt;=$A749)*MOVIMIENTOS!$E$5:$E$1005)-SUMPRODUCT((MOVIMIENTOS!$B$5:$B$1005="REGALO")*(MOVIMIENTOS!$C$5:$C$1005="M")*(MOVIMIENTOS!$D$5:$D$1005="jabas")*(MOVIMIENTOS!$A$5:$A$1005&lt;&gt;"")*(MOVIMIENTOS!$A$5:$A$1005&lt;=$A749)*MOVIMIENTOS!$E$5:$E$1005)-SUMPRODUCT((MOVIMIENTOS!$B$5:$B$1005="VENTA")*(MOVIMIENTOS!$C$5:$C$1005="M")*(MOVIMIENTOS!$D$5:$D$1005="jabas")*(MOVIMIENTOS!$A$5:$A$1005&lt;&gt;"")*(MOVIMIENTOS!$A$5:$A$1005&lt;=$A749)*MOVIMIENTOS!$E$5:$E$1005)+SUMPRODUCT((MOVIMIENTOS!$B$5:$B$1005="AJUSTE")*(MOVIMIENTOS!$C$5:$C$1005="M")*(MOVIMIENTOS!$D$5:$D$1005="jabas")*(MOVIMIENTOS!$A$5:$A$1005&lt;&gt;"")*(MOVIMIENTOS!$A$5:$A$1005&lt;=$A749)*MOVIMIENTOS!$E$5:$E$1005))</f>
        <v/>
      </c>
      <c r="F749" s="62" t="str">
        <f>IF($A749="","",SUMPRODUCT((MOVIMIENTOS!$B$5:$B$1005="SALDO INICIAL")*(MOVIMIENTOS!$C$5:$C$1005="Chancho")*(MOVIMIENTOS!$D$5:$D$1005="sacos")*(MOVIMIENTOS!$A$5:$A$1005&lt;&gt;"")*(MOVIMIENTOS!$A$5:$A$1005&lt;=$A749)*MOVIMIENTOS!$E$5:$E$1005)+SUMPRODUCT((MOVIMIENTOS!$B$5:$B$1005="PROCESO")*(MOVIMIENTOS!$C$5:$C$1005="Chancho")*(MOVIMIENTOS!$D$5:$D$1005="sacos")*(MOVIMIENTOS!$A$5:$A$1005&lt;&gt;"")*(MOVIMIENTOS!$A$5:$A$1005&lt;=$A749)*MOVIMIENTOS!$E$5:$E$1005)-SUMPRODUCT((MOVIMIENTOS!$B$5:$B$1005="VENTA CHANCHO")*(MOVIMIENTOS!$C$5:$C$1005="Chancho")*(MOVIMIENTOS!$D$5:$D$1005="sacos")*(MOVIMIENTOS!$A$5:$A$1005&lt;&gt;"")*(MOVIMIENTOS!$A$5:$A$1005&lt;=$A749)*MOVIMIENTOS!$E$5:$E$1005)-SUMPRODUCT((MOVIMIENTOS!$B$5:$B$1005="REGALO")*(MOVIMIENTOS!$C$5:$C$1005="Chancho")*(MOVIMIENTOS!$D$5:$D$1005="sacos")*(MOVIMIENTOS!$A$5:$A$1005&lt;&gt;"")*(MOVIMIENTOS!$A$5:$A$1005&lt;=$A749)*MOVIMIENTOS!$E$5:$E$1005)-SUMPRODUCT((MOVIMIENTOS!$B$5:$B$1005="VENTA")*(MOVIMIENTOS!$C$5:$C$1005="Chancho")*(MOVIMIENTOS!$D$5:$D$1005="sacos")*(MOVIMIENTOS!$A$5:$A$1005&lt;&gt;"")*(MOVIMIENTOS!$A$5:$A$1005&lt;=$A749)*MOVIMIENTOS!$E$5:$E$1005)+SUMPRODUCT((MOVIMIENTOS!$B$5:$B$1005="AJUSTE")*(MOVIMIENTOS!$C$5:$C$1005="Chancho")*(MOVIMIENTOS!$D$5:$D$1005="sacos")*(MOVIMIENTOS!$A$5:$A$1005&lt;&gt;"")*(MOVIMIENTOS!$A$5:$A$1005&lt;=$A749)*MOVIMIENTOS!$E$5:$E$1005))</f>
        <v/>
      </c>
      <c r="G749" s="62" t="str">
        <f t="shared" si="23"/>
        <v/>
      </c>
      <c r="H749" t="str">
        <f>IF($A749="","",SUMPRODUCT((((MOVIMIENTOS!$B$5:$B$1005="SALDO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749)*MOVIMIENTOS!$J$5:$J$1005))</f>
        <v/>
      </c>
      <c r="J749" t="str">
        <f>IF(AND(MOVIMIENTOS!$A754&lt;&gt;"",COUNTIF(MOVIMIENTOS!$A$5:$A753,MOVIMIENTOS!$A754)=0),COUNT(J$4:J748)+1,"")</f>
        <v/>
      </c>
      <c r="K749">
        <f>MOVIMIENTOS!$A754</f>
        <v>0</v>
      </c>
    </row>
    <row r="750" spans="1:11" ht="15" customHeight="1" x14ac:dyDescent="0.2">
      <c r="A750" t="str">
        <f t="shared" si="22"/>
        <v/>
      </c>
      <c r="B750" t="str">
        <f>IF($A750="","",SUMPRODUCT((MOVIMIENTOS!$B$5:$B$1005="SALDO INICIAL")*(MOVIMIENTOS!$C$5:$C$1005="A")*(MOVIMIENTOS!$D$5:$D$1005="jabas")*(MOVIMIENTOS!$A$5:$A$1005&lt;&gt;"")*(MOVIMIENTOS!$A$5:$A$1005&lt;=$A750)*MOVIMIENTOS!$E$5:$E$1005)+SUMPRODUCT((MOVIMIENTOS!$B$5:$B$1005="PROCESO")*(MOVIMIENTOS!$C$5:$C$1005="A")*(MOVIMIENTOS!$D$5:$D$1005="jabas")*(MOVIMIENTOS!$A$5:$A$1005&lt;&gt;"")*(MOVIMIENTOS!$A$5:$A$1005&lt;=$A750)*MOVIMIENTOS!$E$5:$E$1005)-SUMPRODUCT((MOVIMIENTOS!$B$5:$B$1005="ENVÍO A SUPESA")*(MOVIMIENTOS!$C$5:$C$1005="A")*(MOVIMIENTOS!$D$5:$D$1005="jabas")*(MOVIMIENTOS!$A$5:$A$1005&lt;&gt;"")*(MOVIMIENTOS!$A$5:$A$1005&lt;=$A750)*MOVIMIENTOS!$E$5:$E$1005)+SUMPRODUCT((MOVIMIENTOS!$B$5:$B$1005="DEVOLUCIÓN")*(MOVIMIENTOS!$C$5:$C$1005="A")*(MOVIMIENTOS!$D$5:$D$1005="jabas")*(MOVIMIENTOS!$A$5:$A$1005&lt;&gt;"")*(MOVIMIENTOS!$A$5:$A$1005&lt;=$A750)*MOVIMIENTOS!$E$5:$E$1005)-SUMPRODUCT((MOVIMIENTOS!$B$5:$B$1005="TRASIEGO")*(MOVIMIENTOS!$C$5:$C$1005="A")*(MOVIMIENTOS!$D$5:$D$1005="jabas")*(MOVIMIENTOS!$A$5:$A$1005&lt;&gt;"")*(MOVIMIENTOS!$A$5:$A$1005&lt;=$A750)*MOVIMIENTOS!$E$5:$E$1005)-SUMPRODUCT((MOVIMIENTOS!$B$5:$B$1005="REGALO")*(MOVIMIENTOS!$C$5:$C$1005="A")*(MOVIMIENTOS!$D$5:$D$1005="jabas")*(MOVIMIENTOS!$A$5:$A$1005&lt;&gt;"")*(MOVIMIENTOS!$A$5:$A$1005&lt;=$A750)*MOVIMIENTOS!$E$5:$E$1005)-SUMPRODUCT((MOVIMIENTOS!$B$5:$B$1005="VENTA")*(MOVIMIENTOS!$C$5:$C$1005="A")*(MOVIMIENTOS!$D$5:$D$1005="jabas")*(MOVIMIENTOS!$A$5:$A$1005&lt;&gt;"")*(MOVIMIENTOS!$A$5:$A$1005&lt;=$A750)*MOVIMIENTOS!$E$5:$E$1005)+SUMPRODUCT((MOVIMIENTOS!$B$5:$B$1005="AJUSTE")*(MOVIMIENTOS!$C$5:$C$1005="A")*(MOVIMIENTOS!$D$5:$D$1005="jabas")*(MOVIMIENTOS!$A$5:$A$1005&lt;&gt;"")*(MOVIMIENTOS!$A$5:$A$1005&lt;=$A750)*MOVIMIENTOS!$E$5:$E$1005))</f>
        <v/>
      </c>
      <c r="C750" t="str">
        <f>IF($A750="","",SUMPRODUCT((MOVIMIENTOS!$B$5:$B$1005="SALDO INICIAL")*(MOVIMIENTOS!$C$5:$C$1005="P")*(MOVIMIENTOS!$D$5:$D$1005="jabas")*(MOVIMIENTOS!$A$5:$A$1005&lt;&gt;"")*(MOVIMIENTOS!$A$5:$A$1005&lt;=$A750)*MOVIMIENTOS!$E$5:$E$1005)+SUMPRODUCT((MOVIMIENTOS!$B$5:$B$1005="PROCESO")*(MOVIMIENTOS!$C$5:$C$1005="P")*(MOVIMIENTOS!$D$5:$D$1005="jabas")*(MOVIMIENTOS!$A$5:$A$1005&lt;&gt;"")*(MOVIMIENTOS!$A$5:$A$1005&lt;=$A750)*MOVIMIENTOS!$E$5:$E$1005)-SUMPRODUCT((MOVIMIENTOS!$B$5:$B$1005="ENVÍO A SUPESA")*(MOVIMIENTOS!$C$5:$C$1005="P")*(MOVIMIENTOS!$D$5:$D$1005="jabas")*(MOVIMIENTOS!$A$5:$A$1005&lt;&gt;"")*(MOVIMIENTOS!$A$5:$A$1005&lt;=$A750)*MOVIMIENTOS!$E$5:$E$1005)+SUMPRODUCT((MOVIMIENTOS!$B$5:$B$1005="DEVOLUCIÓN")*(MOVIMIENTOS!$C$5:$C$1005="P")*(MOVIMIENTOS!$D$5:$D$1005="jabas")*(MOVIMIENTOS!$A$5:$A$1005&lt;&gt;"")*(MOVIMIENTOS!$A$5:$A$1005&lt;=$A750)*MOVIMIENTOS!$E$5:$E$1005)-SUMPRODUCT((MOVIMIENTOS!$B$5:$B$1005="TRASIEGO")*(MOVIMIENTOS!$C$5:$C$1005="P")*(MOVIMIENTOS!$D$5:$D$1005="jabas")*(MOVIMIENTOS!$A$5:$A$1005&lt;&gt;"")*(MOVIMIENTOS!$A$5:$A$1005&lt;=$A750)*MOVIMIENTOS!$E$5:$E$1005)-SUMPRODUCT((MOVIMIENTOS!$B$5:$B$1005="REGALO")*(MOVIMIENTOS!$C$5:$C$1005="P")*(MOVIMIENTOS!$D$5:$D$1005="jabas")*(MOVIMIENTOS!$A$5:$A$1005&lt;&gt;"")*(MOVIMIENTOS!$A$5:$A$1005&lt;=$A750)*MOVIMIENTOS!$E$5:$E$1005)-SUMPRODUCT((MOVIMIENTOS!$B$5:$B$1005="VENTA")*(MOVIMIENTOS!$C$5:$C$1005="P")*(MOVIMIENTOS!$D$5:$D$1005="jabas")*(MOVIMIENTOS!$A$5:$A$1005&lt;&gt;"")*(MOVIMIENTOS!$A$5:$A$1005&lt;=$A750)*MOVIMIENTOS!$E$5:$E$1005)+SUMPRODUCT((MOVIMIENTOS!$B$5:$B$1005="AJUSTE")*(MOVIMIENTOS!$C$5:$C$1005="P")*(MOVIMIENTOS!$D$5:$D$1005="jabas")*(MOVIMIENTOS!$A$5:$A$1005&lt;&gt;"")*(MOVIMIENTOS!$A$5:$A$1005&lt;=$A750)*MOVIMIENTOS!$E$5:$E$1005))</f>
        <v/>
      </c>
      <c r="D750" t="str">
        <f>IF($A750="","",SUMPRODUCT((MOVIMIENTOS!$B$5:$B$1005="SALDO INICIAL")*(MOVIMIENTOS!$C$5:$C$1005="C")*(MOVIMIENTOS!$D$5:$D$1005="jabas")*(MOVIMIENTOS!$A$5:$A$1005&lt;&gt;"")*(MOVIMIENTOS!$A$5:$A$1005&lt;=$A750)*MOVIMIENTOS!$E$5:$E$1005)+SUMPRODUCT((MOVIMIENTOS!$B$5:$B$1005="PROCESO")*(MOVIMIENTOS!$C$5:$C$1005="C")*(MOVIMIENTOS!$D$5:$D$1005="jabas")*(MOVIMIENTOS!$A$5:$A$1005&lt;&gt;"")*(MOVIMIENTOS!$A$5:$A$1005&lt;=$A750)*MOVIMIENTOS!$E$5:$E$1005)-SUMPRODUCT((MOVIMIENTOS!$B$5:$B$1005="ENVÍO A SUPESA")*(MOVIMIENTOS!$C$5:$C$1005="C")*(MOVIMIENTOS!$D$5:$D$1005="jabas")*(MOVIMIENTOS!$A$5:$A$1005&lt;&gt;"")*(MOVIMIENTOS!$A$5:$A$1005&lt;=$A750)*MOVIMIENTOS!$E$5:$E$1005)+SUMPRODUCT((MOVIMIENTOS!$B$5:$B$1005="DEVOLUCIÓN")*(MOVIMIENTOS!$C$5:$C$1005="C")*(MOVIMIENTOS!$D$5:$D$1005="jabas")*(MOVIMIENTOS!$A$5:$A$1005&lt;&gt;"")*(MOVIMIENTOS!$A$5:$A$1005&lt;=$A750)*MOVIMIENTOS!$E$5:$E$1005)-SUMPRODUCT((MOVIMIENTOS!$B$5:$B$1005="TRASIEGO")*(MOVIMIENTOS!$C$5:$C$1005="C")*(MOVIMIENTOS!$D$5:$D$1005="jabas")*(MOVIMIENTOS!$A$5:$A$1005&lt;&gt;"")*(MOVIMIENTOS!$A$5:$A$1005&lt;=$A750)*MOVIMIENTOS!$E$5:$E$1005)-SUMPRODUCT((MOVIMIENTOS!$B$5:$B$1005="REGALO")*(MOVIMIENTOS!$C$5:$C$1005="C")*(MOVIMIENTOS!$D$5:$D$1005="jabas")*(MOVIMIENTOS!$A$5:$A$1005&lt;&gt;"")*(MOVIMIENTOS!$A$5:$A$1005&lt;=$A750)*MOVIMIENTOS!$E$5:$E$1005)-SUMPRODUCT((MOVIMIENTOS!$B$5:$B$1005="VENTA")*(MOVIMIENTOS!$C$5:$C$1005="C")*(MOVIMIENTOS!$D$5:$D$1005="jabas")*(MOVIMIENTOS!$A$5:$A$1005&lt;&gt;"")*(MOVIMIENTOS!$A$5:$A$1005&lt;=$A750)*MOVIMIENTOS!$E$5:$E$1005)+SUMPRODUCT((MOVIMIENTOS!$B$5:$B$1005="AJUSTE")*(MOVIMIENTOS!$C$5:$C$1005="C")*(MOVIMIENTOS!$D$5:$D$1005="jabas")*(MOVIMIENTOS!$A$5:$A$1005&lt;&gt;"")*(MOVIMIENTOS!$A$5:$A$1005&lt;=$A750)*MOVIMIENTOS!$E$5:$E$1005))</f>
        <v/>
      </c>
      <c r="E750" t="str">
        <f>IF($A750="","",SUMPRODUCT((MOVIMIENTOS!$B$5:$B$1005="SALDO INICIAL")*(MOVIMIENTOS!$C$5:$C$1005="M")*(MOVIMIENTOS!$D$5:$D$1005="jabas")*(MOVIMIENTOS!$A$5:$A$1005&lt;&gt;"")*(MOVIMIENTOS!$A$5:$A$1005&lt;=$A750)*MOVIMIENTOS!$E$5:$E$1005)+SUMPRODUCT((MOVIMIENTOS!$B$5:$B$1005="PROCESO")*(MOVIMIENTOS!$C$5:$C$1005="M")*(MOVIMIENTOS!$D$5:$D$1005="jabas")*(MOVIMIENTOS!$A$5:$A$1005&lt;&gt;"")*(MOVIMIENTOS!$A$5:$A$1005&lt;=$A750)*MOVIMIENTOS!$E$5:$E$1005)-SUMPRODUCT((MOVIMIENTOS!$B$5:$B$1005="ENVÍO A SUPESA")*(MOVIMIENTOS!$C$5:$C$1005="M")*(MOVIMIENTOS!$D$5:$D$1005="jabas")*(MOVIMIENTOS!$A$5:$A$1005&lt;&gt;"")*(MOVIMIENTOS!$A$5:$A$1005&lt;=$A750)*MOVIMIENTOS!$E$5:$E$1005)+SUMPRODUCT((MOVIMIENTOS!$B$5:$B$1005="DEVOLUCIÓN")*(MOVIMIENTOS!$C$5:$C$1005="M")*(MOVIMIENTOS!$D$5:$D$1005="jabas")*(MOVIMIENTOS!$A$5:$A$1005&lt;&gt;"")*(MOVIMIENTOS!$A$5:$A$1005&lt;=$A750)*MOVIMIENTOS!$E$5:$E$1005)-SUMPRODUCT((MOVIMIENTOS!$B$5:$B$1005="TRASIEGO")*(MOVIMIENTOS!$C$5:$C$1005="M")*(MOVIMIENTOS!$D$5:$D$1005="jabas")*(MOVIMIENTOS!$A$5:$A$1005&lt;&gt;"")*(MOVIMIENTOS!$A$5:$A$1005&lt;=$A750)*MOVIMIENTOS!$E$5:$E$1005)-SUMPRODUCT((MOVIMIENTOS!$B$5:$B$1005="REGALO")*(MOVIMIENTOS!$C$5:$C$1005="M")*(MOVIMIENTOS!$D$5:$D$1005="jabas")*(MOVIMIENTOS!$A$5:$A$1005&lt;&gt;"")*(MOVIMIENTOS!$A$5:$A$1005&lt;=$A750)*MOVIMIENTOS!$E$5:$E$1005)-SUMPRODUCT((MOVIMIENTOS!$B$5:$B$1005="VENTA")*(MOVIMIENTOS!$C$5:$C$1005="M")*(MOVIMIENTOS!$D$5:$D$1005="jabas")*(MOVIMIENTOS!$A$5:$A$1005&lt;&gt;"")*(MOVIMIENTOS!$A$5:$A$1005&lt;=$A750)*MOVIMIENTOS!$E$5:$E$1005)+SUMPRODUCT((MOVIMIENTOS!$B$5:$B$1005="AJUSTE")*(MOVIMIENTOS!$C$5:$C$1005="M")*(MOVIMIENTOS!$D$5:$D$1005="jabas")*(MOVIMIENTOS!$A$5:$A$1005&lt;&gt;"")*(MOVIMIENTOS!$A$5:$A$1005&lt;=$A750)*MOVIMIENTOS!$E$5:$E$1005))</f>
        <v/>
      </c>
      <c r="F750" s="62" t="str">
        <f>IF($A750="","",SUMPRODUCT((MOVIMIENTOS!$B$5:$B$1005="SALDO INICIAL")*(MOVIMIENTOS!$C$5:$C$1005="Chancho")*(MOVIMIENTOS!$D$5:$D$1005="sacos")*(MOVIMIENTOS!$A$5:$A$1005&lt;&gt;"")*(MOVIMIENTOS!$A$5:$A$1005&lt;=$A750)*MOVIMIENTOS!$E$5:$E$1005)+SUMPRODUCT((MOVIMIENTOS!$B$5:$B$1005="PROCESO")*(MOVIMIENTOS!$C$5:$C$1005="Chancho")*(MOVIMIENTOS!$D$5:$D$1005="sacos")*(MOVIMIENTOS!$A$5:$A$1005&lt;&gt;"")*(MOVIMIENTOS!$A$5:$A$1005&lt;=$A750)*MOVIMIENTOS!$E$5:$E$1005)-SUMPRODUCT((MOVIMIENTOS!$B$5:$B$1005="VENTA CHANCHO")*(MOVIMIENTOS!$C$5:$C$1005="Chancho")*(MOVIMIENTOS!$D$5:$D$1005="sacos")*(MOVIMIENTOS!$A$5:$A$1005&lt;&gt;"")*(MOVIMIENTOS!$A$5:$A$1005&lt;=$A750)*MOVIMIENTOS!$E$5:$E$1005)-SUMPRODUCT((MOVIMIENTOS!$B$5:$B$1005="REGALO")*(MOVIMIENTOS!$C$5:$C$1005="Chancho")*(MOVIMIENTOS!$D$5:$D$1005="sacos")*(MOVIMIENTOS!$A$5:$A$1005&lt;&gt;"")*(MOVIMIENTOS!$A$5:$A$1005&lt;=$A750)*MOVIMIENTOS!$E$5:$E$1005)-SUMPRODUCT((MOVIMIENTOS!$B$5:$B$1005="VENTA")*(MOVIMIENTOS!$C$5:$C$1005="Chancho")*(MOVIMIENTOS!$D$5:$D$1005="sacos")*(MOVIMIENTOS!$A$5:$A$1005&lt;&gt;"")*(MOVIMIENTOS!$A$5:$A$1005&lt;=$A750)*MOVIMIENTOS!$E$5:$E$1005)+SUMPRODUCT((MOVIMIENTOS!$B$5:$B$1005="AJUSTE")*(MOVIMIENTOS!$C$5:$C$1005="Chancho")*(MOVIMIENTOS!$D$5:$D$1005="sacos")*(MOVIMIENTOS!$A$5:$A$1005&lt;&gt;"")*(MOVIMIENTOS!$A$5:$A$1005&lt;=$A750)*MOVIMIENTOS!$E$5:$E$1005))</f>
        <v/>
      </c>
      <c r="G750" s="62" t="str">
        <f t="shared" si="23"/>
        <v/>
      </c>
      <c r="H750" t="str">
        <f>IF($A750="","",SUMPRODUCT((((MOVIMIENTOS!$B$5:$B$1005="SALDO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750)*MOVIMIENTOS!$J$5:$J$1005))</f>
        <v/>
      </c>
      <c r="J750" t="str">
        <f>IF(AND(MOVIMIENTOS!$A755&lt;&gt;"",COUNTIF(MOVIMIENTOS!$A$5:$A754,MOVIMIENTOS!$A755)=0),COUNT(J$4:J749)+1,"")</f>
        <v/>
      </c>
      <c r="K750">
        <f>MOVIMIENTOS!$A755</f>
        <v>0</v>
      </c>
    </row>
    <row r="751" spans="1:11" ht="15" customHeight="1" x14ac:dyDescent="0.2">
      <c r="A751" t="str">
        <f t="shared" si="22"/>
        <v/>
      </c>
      <c r="B751" t="str">
        <f>IF($A751="","",SUMPRODUCT((MOVIMIENTOS!$B$5:$B$1005="SALDO INICIAL")*(MOVIMIENTOS!$C$5:$C$1005="A")*(MOVIMIENTOS!$D$5:$D$1005="jabas")*(MOVIMIENTOS!$A$5:$A$1005&lt;&gt;"")*(MOVIMIENTOS!$A$5:$A$1005&lt;=$A751)*MOVIMIENTOS!$E$5:$E$1005)+SUMPRODUCT((MOVIMIENTOS!$B$5:$B$1005="PROCESO")*(MOVIMIENTOS!$C$5:$C$1005="A")*(MOVIMIENTOS!$D$5:$D$1005="jabas")*(MOVIMIENTOS!$A$5:$A$1005&lt;&gt;"")*(MOVIMIENTOS!$A$5:$A$1005&lt;=$A751)*MOVIMIENTOS!$E$5:$E$1005)-SUMPRODUCT((MOVIMIENTOS!$B$5:$B$1005="ENVÍO A SUPESA")*(MOVIMIENTOS!$C$5:$C$1005="A")*(MOVIMIENTOS!$D$5:$D$1005="jabas")*(MOVIMIENTOS!$A$5:$A$1005&lt;&gt;"")*(MOVIMIENTOS!$A$5:$A$1005&lt;=$A751)*MOVIMIENTOS!$E$5:$E$1005)+SUMPRODUCT((MOVIMIENTOS!$B$5:$B$1005="DEVOLUCIÓN")*(MOVIMIENTOS!$C$5:$C$1005="A")*(MOVIMIENTOS!$D$5:$D$1005="jabas")*(MOVIMIENTOS!$A$5:$A$1005&lt;&gt;"")*(MOVIMIENTOS!$A$5:$A$1005&lt;=$A751)*MOVIMIENTOS!$E$5:$E$1005)-SUMPRODUCT((MOVIMIENTOS!$B$5:$B$1005="TRASIEGO")*(MOVIMIENTOS!$C$5:$C$1005="A")*(MOVIMIENTOS!$D$5:$D$1005="jabas")*(MOVIMIENTOS!$A$5:$A$1005&lt;&gt;"")*(MOVIMIENTOS!$A$5:$A$1005&lt;=$A751)*MOVIMIENTOS!$E$5:$E$1005)-SUMPRODUCT((MOVIMIENTOS!$B$5:$B$1005="REGALO")*(MOVIMIENTOS!$C$5:$C$1005="A")*(MOVIMIENTOS!$D$5:$D$1005="jabas")*(MOVIMIENTOS!$A$5:$A$1005&lt;&gt;"")*(MOVIMIENTOS!$A$5:$A$1005&lt;=$A751)*MOVIMIENTOS!$E$5:$E$1005)-SUMPRODUCT((MOVIMIENTOS!$B$5:$B$1005="VENTA")*(MOVIMIENTOS!$C$5:$C$1005="A")*(MOVIMIENTOS!$D$5:$D$1005="jabas")*(MOVIMIENTOS!$A$5:$A$1005&lt;&gt;"")*(MOVIMIENTOS!$A$5:$A$1005&lt;=$A751)*MOVIMIENTOS!$E$5:$E$1005)+SUMPRODUCT((MOVIMIENTOS!$B$5:$B$1005="AJUSTE")*(MOVIMIENTOS!$C$5:$C$1005="A")*(MOVIMIENTOS!$D$5:$D$1005="jabas")*(MOVIMIENTOS!$A$5:$A$1005&lt;&gt;"")*(MOVIMIENTOS!$A$5:$A$1005&lt;=$A751)*MOVIMIENTOS!$E$5:$E$1005))</f>
        <v/>
      </c>
      <c r="C751" t="str">
        <f>IF($A751="","",SUMPRODUCT((MOVIMIENTOS!$B$5:$B$1005="SALDO INICIAL")*(MOVIMIENTOS!$C$5:$C$1005="P")*(MOVIMIENTOS!$D$5:$D$1005="jabas")*(MOVIMIENTOS!$A$5:$A$1005&lt;&gt;"")*(MOVIMIENTOS!$A$5:$A$1005&lt;=$A751)*MOVIMIENTOS!$E$5:$E$1005)+SUMPRODUCT((MOVIMIENTOS!$B$5:$B$1005="PROCESO")*(MOVIMIENTOS!$C$5:$C$1005="P")*(MOVIMIENTOS!$D$5:$D$1005="jabas")*(MOVIMIENTOS!$A$5:$A$1005&lt;&gt;"")*(MOVIMIENTOS!$A$5:$A$1005&lt;=$A751)*MOVIMIENTOS!$E$5:$E$1005)-SUMPRODUCT((MOVIMIENTOS!$B$5:$B$1005="ENVÍO A SUPESA")*(MOVIMIENTOS!$C$5:$C$1005="P")*(MOVIMIENTOS!$D$5:$D$1005="jabas")*(MOVIMIENTOS!$A$5:$A$1005&lt;&gt;"")*(MOVIMIENTOS!$A$5:$A$1005&lt;=$A751)*MOVIMIENTOS!$E$5:$E$1005)+SUMPRODUCT((MOVIMIENTOS!$B$5:$B$1005="DEVOLUCIÓN")*(MOVIMIENTOS!$C$5:$C$1005="P")*(MOVIMIENTOS!$D$5:$D$1005="jabas")*(MOVIMIENTOS!$A$5:$A$1005&lt;&gt;"")*(MOVIMIENTOS!$A$5:$A$1005&lt;=$A751)*MOVIMIENTOS!$E$5:$E$1005)-SUMPRODUCT((MOVIMIENTOS!$B$5:$B$1005="TRASIEGO")*(MOVIMIENTOS!$C$5:$C$1005="P")*(MOVIMIENTOS!$D$5:$D$1005="jabas")*(MOVIMIENTOS!$A$5:$A$1005&lt;&gt;"")*(MOVIMIENTOS!$A$5:$A$1005&lt;=$A751)*MOVIMIENTOS!$E$5:$E$1005)-SUMPRODUCT((MOVIMIENTOS!$B$5:$B$1005="REGALO")*(MOVIMIENTOS!$C$5:$C$1005="P")*(MOVIMIENTOS!$D$5:$D$1005="jabas")*(MOVIMIENTOS!$A$5:$A$1005&lt;&gt;"")*(MOVIMIENTOS!$A$5:$A$1005&lt;=$A751)*MOVIMIENTOS!$E$5:$E$1005)-SUMPRODUCT((MOVIMIENTOS!$B$5:$B$1005="VENTA")*(MOVIMIENTOS!$C$5:$C$1005="P")*(MOVIMIENTOS!$D$5:$D$1005="jabas")*(MOVIMIENTOS!$A$5:$A$1005&lt;&gt;"")*(MOVIMIENTOS!$A$5:$A$1005&lt;=$A751)*MOVIMIENTOS!$E$5:$E$1005)+SUMPRODUCT((MOVIMIENTOS!$B$5:$B$1005="AJUSTE")*(MOVIMIENTOS!$C$5:$C$1005="P")*(MOVIMIENTOS!$D$5:$D$1005="jabas")*(MOVIMIENTOS!$A$5:$A$1005&lt;&gt;"")*(MOVIMIENTOS!$A$5:$A$1005&lt;=$A751)*MOVIMIENTOS!$E$5:$E$1005))</f>
        <v/>
      </c>
      <c r="D751" t="str">
        <f>IF($A751="","",SUMPRODUCT((MOVIMIENTOS!$B$5:$B$1005="SALDO INICIAL")*(MOVIMIENTOS!$C$5:$C$1005="C")*(MOVIMIENTOS!$D$5:$D$1005="jabas")*(MOVIMIENTOS!$A$5:$A$1005&lt;&gt;"")*(MOVIMIENTOS!$A$5:$A$1005&lt;=$A751)*MOVIMIENTOS!$E$5:$E$1005)+SUMPRODUCT((MOVIMIENTOS!$B$5:$B$1005="PROCESO")*(MOVIMIENTOS!$C$5:$C$1005="C")*(MOVIMIENTOS!$D$5:$D$1005="jabas")*(MOVIMIENTOS!$A$5:$A$1005&lt;&gt;"")*(MOVIMIENTOS!$A$5:$A$1005&lt;=$A751)*MOVIMIENTOS!$E$5:$E$1005)-SUMPRODUCT((MOVIMIENTOS!$B$5:$B$1005="ENVÍO A SUPESA")*(MOVIMIENTOS!$C$5:$C$1005="C")*(MOVIMIENTOS!$D$5:$D$1005="jabas")*(MOVIMIENTOS!$A$5:$A$1005&lt;&gt;"")*(MOVIMIENTOS!$A$5:$A$1005&lt;=$A751)*MOVIMIENTOS!$E$5:$E$1005)+SUMPRODUCT((MOVIMIENTOS!$B$5:$B$1005="DEVOLUCIÓN")*(MOVIMIENTOS!$C$5:$C$1005="C")*(MOVIMIENTOS!$D$5:$D$1005="jabas")*(MOVIMIENTOS!$A$5:$A$1005&lt;&gt;"")*(MOVIMIENTOS!$A$5:$A$1005&lt;=$A751)*MOVIMIENTOS!$E$5:$E$1005)-SUMPRODUCT((MOVIMIENTOS!$B$5:$B$1005="TRASIEGO")*(MOVIMIENTOS!$C$5:$C$1005="C")*(MOVIMIENTOS!$D$5:$D$1005="jabas")*(MOVIMIENTOS!$A$5:$A$1005&lt;&gt;"")*(MOVIMIENTOS!$A$5:$A$1005&lt;=$A751)*MOVIMIENTOS!$E$5:$E$1005)-SUMPRODUCT((MOVIMIENTOS!$B$5:$B$1005="REGALO")*(MOVIMIENTOS!$C$5:$C$1005="C")*(MOVIMIENTOS!$D$5:$D$1005="jabas")*(MOVIMIENTOS!$A$5:$A$1005&lt;&gt;"")*(MOVIMIENTOS!$A$5:$A$1005&lt;=$A751)*MOVIMIENTOS!$E$5:$E$1005)-SUMPRODUCT((MOVIMIENTOS!$B$5:$B$1005="VENTA")*(MOVIMIENTOS!$C$5:$C$1005="C")*(MOVIMIENTOS!$D$5:$D$1005="jabas")*(MOVIMIENTOS!$A$5:$A$1005&lt;&gt;"")*(MOVIMIENTOS!$A$5:$A$1005&lt;=$A751)*MOVIMIENTOS!$E$5:$E$1005)+SUMPRODUCT((MOVIMIENTOS!$B$5:$B$1005="AJUSTE")*(MOVIMIENTOS!$C$5:$C$1005="C")*(MOVIMIENTOS!$D$5:$D$1005="jabas")*(MOVIMIENTOS!$A$5:$A$1005&lt;&gt;"")*(MOVIMIENTOS!$A$5:$A$1005&lt;=$A751)*MOVIMIENTOS!$E$5:$E$1005))</f>
        <v/>
      </c>
      <c r="E751" t="str">
        <f>IF($A751="","",SUMPRODUCT((MOVIMIENTOS!$B$5:$B$1005="SALDO INICIAL")*(MOVIMIENTOS!$C$5:$C$1005="M")*(MOVIMIENTOS!$D$5:$D$1005="jabas")*(MOVIMIENTOS!$A$5:$A$1005&lt;&gt;"")*(MOVIMIENTOS!$A$5:$A$1005&lt;=$A751)*MOVIMIENTOS!$E$5:$E$1005)+SUMPRODUCT((MOVIMIENTOS!$B$5:$B$1005="PROCESO")*(MOVIMIENTOS!$C$5:$C$1005="M")*(MOVIMIENTOS!$D$5:$D$1005="jabas")*(MOVIMIENTOS!$A$5:$A$1005&lt;&gt;"")*(MOVIMIENTOS!$A$5:$A$1005&lt;=$A751)*MOVIMIENTOS!$E$5:$E$1005)-SUMPRODUCT((MOVIMIENTOS!$B$5:$B$1005="ENVÍO A SUPESA")*(MOVIMIENTOS!$C$5:$C$1005="M")*(MOVIMIENTOS!$D$5:$D$1005="jabas")*(MOVIMIENTOS!$A$5:$A$1005&lt;&gt;"")*(MOVIMIENTOS!$A$5:$A$1005&lt;=$A751)*MOVIMIENTOS!$E$5:$E$1005)+SUMPRODUCT((MOVIMIENTOS!$B$5:$B$1005="DEVOLUCIÓN")*(MOVIMIENTOS!$C$5:$C$1005="M")*(MOVIMIENTOS!$D$5:$D$1005="jabas")*(MOVIMIENTOS!$A$5:$A$1005&lt;&gt;"")*(MOVIMIENTOS!$A$5:$A$1005&lt;=$A751)*MOVIMIENTOS!$E$5:$E$1005)-SUMPRODUCT((MOVIMIENTOS!$B$5:$B$1005="TRASIEGO")*(MOVIMIENTOS!$C$5:$C$1005="M")*(MOVIMIENTOS!$D$5:$D$1005="jabas")*(MOVIMIENTOS!$A$5:$A$1005&lt;&gt;"")*(MOVIMIENTOS!$A$5:$A$1005&lt;=$A751)*MOVIMIENTOS!$E$5:$E$1005)-SUMPRODUCT((MOVIMIENTOS!$B$5:$B$1005="REGALO")*(MOVIMIENTOS!$C$5:$C$1005="M")*(MOVIMIENTOS!$D$5:$D$1005="jabas")*(MOVIMIENTOS!$A$5:$A$1005&lt;&gt;"")*(MOVIMIENTOS!$A$5:$A$1005&lt;=$A751)*MOVIMIENTOS!$E$5:$E$1005)-SUMPRODUCT((MOVIMIENTOS!$B$5:$B$1005="VENTA")*(MOVIMIENTOS!$C$5:$C$1005="M")*(MOVIMIENTOS!$D$5:$D$1005="jabas")*(MOVIMIENTOS!$A$5:$A$1005&lt;&gt;"")*(MOVIMIENTOS!$A$5:$A$1005&lt;=$A751)*MOVIMIENTOS!$E$5:$E$1005)+SUMPRODUCT((MOVIMIENTOS!$B$5:$B$1005="AJUSTE")*(MOVIMIENTOS!$C$5:$C$1005="M")*(MOVIMIENTOS!$D$5:$D$1005="jabas")*(MOVIMIENTOS!$A$5:$A$1005&lt;&gt;"")*(MOVIMIENTOS!$A$5:$A$1005&lt;=$A751)*MOVIMIENTOS!$E$5:$E$1005))</f>
        <v/>
      </c>
      <c r="F751" s="62" t="str">
        <f>IF($A751="","",SUMPRODUCT((MOVIMIENTOS!$B$5:$B$1005="SALDO INICIAL")*(MOVIMIENTOS!$C$5:$C$1005="Chancho")*(MOVIMIENTOS!$D$5:$D$1005="sacos")*(MOVIMIENTOS!$A$5:$A$1005&lt;&gt;"")*(MOVIMIENTOS!$A$5:$A$1005&lt;=$A751)*MOVIMIENTOS!$E$5:$E$1005)+SUMPRODUCT((MOVIMIENTOS!$B$5:$B$1005="PROCESO")*(MOVIMIENTOS!$C$5:$C$1005="Chancho")*(MOVIMIENTOS!$D$5:$D$1005="sacos")*(MOVIMIENTOS!$A$5:$A$1005&lt;&gt;"")*(MOVIMIENTOS!$A$5:$A$1005&lt;=$A751)*MOVIMIENTOS!$E$5:$E$1005)-SUMPRODUCT((MOVIMIENTOS!$B$5:$B$1005="VENTA CHANCHO")*(MOVIMIENTOS!$C$5:$C$1005="Chancho")*(MOVIMIENTOS!$D$5:$D$1005="sacos")*(MOVIMIENTOS!$A$5:$A$1005&lt;&gt;"")*(MOVIMIENTOS!$A$5:$A$1005&lt;=$A751)*MOVIMIENTOS!$E$5:$E$1005)-SUMPRODUCT((MOVIMIENTOS!$B$5:$B$1005="REGALO")*(MOVIMIENTOS!$C$5:$C$1005="Chancho")*(MOVIMIENTOS!$D$5:$D$1005="sacos")*(MOVIMIENTOS!$A$5:$A$1005&lt;&gt;"")*(MOVIMIENTOS!$A$5:$A$1005&lt;=$A751)*MOVIMIENTOS!$E$5:$E$1005)-SUMPRODUCT((MOVIMIENTOS!$B$5:$B$1005="VENTA")*(MOVIMIENTOS!$C$5:$C$1005="Chancho")*(MOVIMIENTOS!$D$5:$D$1005="sacos")*(MOVIMIENTOS!$A$5:$A$1005&lt;&gt;"")*(MOVIMIENTOS!$A$5:$A$1005&lt;=$A751)*MOVIMIENTOS!$E$5:$E$1005)+SUMPRODUCT((MOVIMIENTOS!$B$5:$B$1005="AJUSTE")*(MOVIMIENTOS!$C$5:$C$1005="Chancho")*(MOVIMIENTOS!$D$5:$D$1005="sacos")*(MOVIMIENTOS!$A$5:$A$1005&lt;&gt;"")*(MOVIMIENTOS!$A$5:$A$1005&lt;=$A751)*MOVIMIENTOS!$E$5:$E$1005))</f>
        <v/>
      </c>
      <c r="G751" s="62" t="str">
        <f t="shared" si="23"/>
        <v/>
      </c>
      <c r="H751" t="str">
        <f>IF($A751="","",SUMPRODUCT((((MOVIMIENTOS!$B$5:$B$1005="SALDO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751)*MOVIMIENTOS!$J$5:$J$1005))</f>
        <v/>
      </c>
      <c r="J751" t="str">
        <f>IF(AND(MOVIMIENTOS!$A756&lt;&gt;"",COUNTIF(MOVIMIENTOS!$A$5:$A755,MOVIMIENTOS!$A756)=0),COUNT(J$4:J750)+1,"")</f>
        <v/>
      </c>
      <c r="K751">
        <f>MOVIMIENTOS!$A756</f>
        <v>0</v>
      </c>
    </row>
    <row r="752" spans="1:11" ht="15" customHeight="1" x14ac:dyDescent="0.2">
      <c r="A752" t="str">
        <f t="shared" si="22"/>
        <v/>
      </c>
      <c r="B752" t="str">
        <f>IF($A752="","",SUMPRODUCT((MOVIMIENTOS!$B$5:$B$1005="SALDO INICIAL")*(MOVIMIENTOS!$C$5:$C$1005="A")*(MOVIMIENTOS!$D$5:$D$1005="jabas")*(MOVIMIENTOS!$A$5:$A$1005&lt;&gt;"")*(MOVIMIENTOS!$A$5:$A$1005&lt;=$A752)*MOVIMIENTOS!$E$5:$E$1005)+SUMPRODUCT((MOVIMIENTOS!$B$5:$B$1005="PROCESO")*(MOVIMIENTOS!$C$5:$C$1005="A")*(MOVIMIENTOS!$D$5:$D$1005="jabas")*(MOVIMIENTOS!$A$5:$A$1005&lt;&gt;"")*(MOVIMIENTOS!$A$5:$A$1005&lt;=$A752)*MOVIMIENTOS!$E$5:$E$1005)-SUMPRODUCT((MOVIMIENTOS!$B$5:$B$1005="ENVÍO A SUPESA")*(MOVIMIENTOS!$C$5:$C$1005="A")*(MOVIMIENTOS!$D$5:$D$1005="jabas")*(MOVIMIENTOS!$A$5:$A$1005&lt;&gt;"")*(MOVIMIENTOS!$A$5:$A$1005&lt;=$A752)*MOVIMIENTOS!$E$5:$E$1005)+SUMPRODUCT((MOVIMIENTOS!$B$5:$B$1005="DEVOLUCIÓN")*(MOVIMIENTOS!$C$5:$C$1005="A")*(MOVIMIENTOS!$D$5:$D$1005="jabas")*(MOVIMIENTOS!$A$5:$A$1005&lt;&gt;"")*(MOVIMIENTOS!$A$5:$A$1005&lt;=$A752)*MOVIMIENTOS!$E$5:$E$1005)-SUMPRODUCT((MOVIMIENTOS!$B$5:$B$1005="TRASIEGO")*(MOVIMIENTOS!$C$5:$C$1005="A")*(MOVIMIENTOS!$D$5:$D$1005="jabas")*(MOVIMIENTOS!$A$5:$A$1005&lt;&gt;"")*(MOVIMIENTOS!$A$5:$A$1005&lt;=$A752)*MOVIMIENTOS!$E$5:$E$1005)-SUMPRODUCT((MOVIMIENTOS!$B$5:$B$1005="REGALO")*(MOVIMIENTOS!$C$5:$C$1005="A")*(MOVIMIENTOS!$D$5:$D$1005="jabas")*(MOVIMIENTOS!$A$5:$A$1005&lt;&gt;"")*(MOVIMIENTOS!$A$5:$A$1005&lt;=$A752)*MOVIMIENTOS!$E$5:$E$1005)-SUMPRODUCT((MOVIMIENTOS!$B$5:$B$1005="VENTA")*(MOVIMIENTOS!$C$5:$C$1005="A")*(MOVIMIENTOS!$D$5:$D$1005="jabas")*(MOVIMIENTOS!$A$5:$A$1005&lt;&gt;"")*(MOVIMIENTOS!$A$5:$A$1005&lt;=$A752)*MOVIMIENTOS!$E$5:$E$1005)+SUMPRODUCT((MOVIMIENTOS!$B$5:$B$1005="AJUSTE")*(MOVIMIENTOS!$C$5:$C$1005="A")*(MOVIMIENTOS!$D$5:$D$1005="jabas")*(MOVIMIENTOS!$A$5:$A$1005&lt;&gt;"")*(MOVIMIENTOS!$A$5:$A$1005&lt;=$A752)*MOVIMIENTOS!$E$5:$E$1005))</f>
        <v/>
      </c>
      <c r="C752" t="str">
        <f>IF($A752="","",SUMPRODUCT((MOVIMIENTOS!$B$5:$B$1005="SALDO INICIAL")*(MOVIMIENTOS!$C$5:$C$1005="P")*(MOVIMIENTOS!$D$5:$D$1005="jabas")*(MOVIMIENTOS!$A$5:$A$1005&lt;&gt;"")*(MOVIMIENTOS!$A$5:$A$1005&lt;=$A752)*MOVIMIENTOS!$E$5:$E$1005)+SUMPRODUCT((MOVIMIENTOS!$B$5:$B$1005="PROCESO")*(MOVIMIENTOS!$C$5:$C$1005="P")*(MOVIMIENTOS!$D$5:$D$1005="jabas")*(MOVIMIENTOS!$A$5:$A$1005&lt;&gt;"")*(MOVIMIENTOS!$A$5:$A$1005&lt;=$A752)*MOVIMIENTOS!$E$5:$E$1005)-SUMPRODUCT((MOVIMIENTOS!$B$5:$B$1005="ENVÍO A SUPESA")*(MOVIMIENTOS!$C$5:$C$1005="P")*(MOVIMIENTOS!$D$5:$D$1005="jabas")*(MOVIMIENTOS!$A$5:$A$1005&lt;&gt;"")*(MOVIMIENTOS!$A$5:$A$1005&lt;=$A752)*MOVIMIENTOS!$E$5:$E$1005)+SUMPRODUCT((MOVIMIENTOS!$B$5:$B$1005="DEVOLUCIÓN")*(MOVIMIENTOS!$C$5:$C$1005="P")*(MOVIMIENTOS!$D$5:$D$1005="jabas")*(MOVIMIENTOS!$A$5:$A$1005&lt;&gt;"")*(MOVIMIENTOS!$A$5:$A$1005&lt;=$A752)*MOVIMIENTOS!$E$5:$E$1005)-SUMPRODUCT((MOVIMIENTOS!$B$5:$B$1005="TRASIEGO")*(MOVIMIENTOS!$C$5:$C$1005="P")*(MOVIMIENTOS!$D$5:$D$1005="jabas")*(MOVIMIENTOS!$A$5:$A$1005&lt;&gt;"")*(MOVIMIENTOS!$A$5:$A$1005&lt;=$A752)*MOVIMIENTOS!$E$5:$E$1005)-SUMPRODUCT((MOVIMIENTOS!$B$5:$B$1005="REGALO")*(MOVIMIENTOS!$C$5:$C$1005="P")*(MOVIMIENTOS!$D$5:$D$1005="jabas")*(MOVIMIENTOS!$A$5:$A$1005&lt;&gt;"")*(MOVIMIENTOS!$A$5:$A$1005&lt;=$A752)*MOVIMIENTOS!$E$5:$E$1005)-SUMPRODUCT((MOVIMIENTOS!$B$5:$B$1005="VENTA")*(MOVIMIENTOS!$C$5:$C$1005="P")*(MOVIMIENTOS!$D$5:$D$1005="jabas")*(MOVIMIENTOS!$A$5:$A$1005&lt;&gt;"")*(MOVIMIENTOS!$A$5:$A$1005&lt;=$A752)*MOVIMIENTOS!$E$5:$E$1005)+SUMPRODUCT((MOVIMIENTOS!$B$5:$B$1005="AJUSTE")*(MOVIMIENTOS!$C$5:$C$1005="P")*(MOVIMIENTOS!$D$5:$D$1005="jabas")*(MOVIMIENTOS!$A$5:$A$1005&lt;&gt;"")*(MOVIMIENTOS!$A$5:$A$1005&lt;=$A752)*MOVIMIENTOS!$E$5:$E$1005))</f>
        <v/>
      </c>
      <c r="D752" t="str">
        <f>IF($A752="","",SUMPRODUCT((MOVIMIENTOS!$B$5:$B$1005="SALDO INICIAL")*(MOVIMIENTOS!$C$5:$C$1005="C")*(MOVIMIENTOS!$D$5:$D$1005="jabas")*(MOVIMIENTOS!$A$5:$A$1005&lt;&gt;"")*(MOVIMIENTOS!$A$5:$A$1005&lt;=$A752)*MOVIMIENTOS!$E$5:$E$1005)+SUMPRODUCT((MOVIMIENTOS!$B$5:$B$1005="PROCESO")*(MOVIMIENTOS!$C$5:$C$1005="C")*(MOVIMIENTOS!$D$5:$D$1005="jabas")*(MOVIMIENTOS!$A$5:$A$1005&lt;&gt;"")*(MOVIMIENTOS!$A$5:$A$1005&lt;=$A752)*MOVIMIENTOS!$E$5:$E$1005)-SUMPRODUCT((MOVIMIENTOS!$B$5:$B$1005="ENVÍO A SUPESA")*(MOVIMIENTOS!$C$5:$C$1005="C")*(MOVIMIENTOS!$D$5:$D$1005="jabas")*(MOVIMIENTOS!$A$5:$A$1005&lt;&gt;"")*(MOVIMIENTOS!$A$5:$A$1005&lt;=$A752)*MOVIMIENTOS!$E$5:$E$1005)+SUMPRODUCT((MOVIMIENTOS!$B$5:$B$1005="DEVOLUCIÓN")*(MOVIMIENTOS!$C$5:$C$1005="C")*(MOVIMIENTOS!$D$5:$D$1005="jabas")*(MOVIMIENTOS!$A$5:$A$1005&lt;&gt;"")*(MOVIMIENTOS!$A$5:$A$1005&lt;=$A752)*MOVIMIENTOS!$E$5:$E$1005)-SUMPRODUCT((MOVIMIENTOS!$B$5:$B$1005="TRASIEGO")*(MOVIMIENTOS!$C$5:$C$1005="C")*(MOVIMIENTOS!$D$5:$D$1005="jabas")*(MOVIMIENTOS!$A$5:$A$1005&lt;&gt;"")*(MOVIMIENTOS!$A$5:$A$1005&lt;=$A752)*MOVIMIENTOS!$E$5:$E$1005)-SUMPRODUCT((MOVIMIENTOS!$B$5:$B$1005="REGALO")*(MOVIMIENTOS!$C$5:$C$1005="C")*(MOVIMIENTOS!$D$5:$D$1005="jabas")*(MOVIMIENTOS!$A$5:$A$1005&lt;&gt;"")*(MOVIMIENTOS!$A$5:$A$1005&lt;=$A752)*MOVIMIENTOS!$E$5:$E$1005)-SUMPRODUCT((MOVIMIENTOS!$B$5:$B$1005="VENTA")*(MOVIMIENTOS!$C$5:$C$1005="C")*(MOVIMIENTOS!$D$5:$D$1005="jabas")*(MOVIMIENTOS!$A$5:$A$1005&lt;&gt;"")*(MOVIMIENTOS!$A$5:$A$1005&lt;=$A752)*MOVIMIENTOS!$E$5:$E$1005)+SUMPRODUCT((MOVIMIENTOS!$B$5:$B$1005="AJUSTE")*(MOVIMIENTOS!$C$5:$C$1005="C")*(MOVIMIENTOS!$D$5:$D$1005="jabas")*(MOVIMIENTOS!$A$5:$A$1005&lt;&gt;"")*(MOVIMIENTOS!$A$5:$A$1005&lt;=$A752)*MOVIMIENTOS!$E$5:$E$1005))</f>
        <v/>
      </c>
      <c r="E752" t="str">
        <f>IF($A752="","",SUMPRODUCT((MOVIMIENTOS!$B$5:$B$1005="SALDO INICIAL")*(MOVIMIENTOS!$C$5:$C$1005="M")*(MOVIMIENTOS!$D$5:$D$1005="jabas")*(MOVIMIENTOS!$A$5:$A$1005&lt;&gt;"")*(MOVIMIENTOS!$A$5:$A$1005&lt;=$A752)*MOVIMIENTOS!$E$5:$E$1005)+SUMPRODUCT((MOVIMIENTOS!$B$5:$B$1005="PROCESO")*(MOVIMIENTOS!$C$5:$C$1005="M")*(MOVIMIENTOS!$D$5:$D$1005="jabas")*(MOVIMIENTOS!$A$5:$A$1005&lt;&gt;"")*(MOVIMIENTOS!$A$5:$A$1005&lt;=$A752)*MOVIMIENTOS!$E$5:$E$1005)-SUMPRODUCT((MOVIMIENTOS!$B$5:$B$1005="ENVÍO A SUPESA")*(MOVIMIENTOS!$C$5:$C$1005="M")*(MOVIMIENTOS!$D$5:$D$1005="jabas")*(MOVIMIENTOS!$A$5:$A$1005&lt;&gt;"")*(MOVIMIENTOS!$A$5:$A$1005&lt;=$A752)*MOVIMIENTOS!$E$5:$E$1005)+SUMPRODUCT((MOVIMIENTOS!$B$5:$B$1005="DEVOLUCIÓN")*(MOVIMIENTOS!$C$5:$C$1005="M")*(MOVIMIENTOS!$D$5:$D$1005="jabas")*(MOVIMIENTOS!$A$5:$A$1005&lt;&gt;"")*(MOVIMIENTOS!$A$5:$A$1005&lt;=$A752)*MOVIMIENTOS!$E$5:$E$1005)-SUMPRODUCT((MOVIMIENTOS!$B$5:$B$1005="TRASIEGO")*(MOVIMIENTOS!$C$5:$C$1005="M")*(MOVIMIENTOS!$D$5:$D$1005="jabas")*(MOVIMIENTOS!$A$5:$A$1005&lt;&gt;"")*(MOVIMIENTOS!$A$5:$A$1005&lt;=$A752)*MOVIMIENTOS!$E$5:$E$1005)-SUMPRODUCT((MOVIMIENTOS!$B$5:$B$1005="REGALO")*(MOVIMIENTOS!$C$5:$C$1005="M")*(MOVIMIENTOS!$D$5:$D$1005="jabas")*(MOVIMIENTOS!$A$5:$A$1005&lt;&gt;"")*(MOVIMIENTOS!$A$5:$A$1005&lt;=$A752)*MOVIMIENTOS!$E$5:$E$1005)-SUMPRODUCT((MOVIMIENTOS!$B$5:$B$1005="VENTA")*(MOVIMIENTOS!$C$5:$C$1005="M")*(MOVIMIENTOS!$D$5:$D$1005="jabas")*(MOVIMIENTOS!$A$5:$A$1005&lt;&gt;"")*(MOVIMIENTOS!$A$5:$A$1005&lt;=$A752)*MOVIMIENTOS!$E$5:$E$1005)+SUMPRODUCT((MOVIMIENTOS!$B$5:$B$1005="AJUSTE")*(MOVIMIENTOS!$C$5:$C$1005="M")*(MOVIMIENTOS!$D$5:$D$1005="jabas")*(MOVIMIENTOS!$A$5:$A$1005&lt;&gt;"")*(MOVIMIENTOS!$A$5:$A$1005&lt;=$A752)*MOVIMIENTOS!$E$5:$E$1005))</f>
        <v/>
      </c>
      <c r="F752" s="62" t="str">
        <f>IF($A752="","",SUMPRODUCT((MOVIMIENTOS!$B$5:$B$1005="SALDO INICIAL")*(MOVIMIENTOS!$C$5:$C$1005="Chancho")*(MOVIMIENTOS!$D$5:$D$1005="sacos")*(MOVIMIENTOS!$A$5:$A$1005&lt;&gt;"")*(MOVIMIENTOS!$A$5:$A$1005&lt;=$A752)*MOVIMIENTOS!$E$5:$E$1005)+SUMPRODUCT((MOVIMIENTOS!$B$5:$B$1005="PROCESO")*(MOVIMIENTOS!$C$5:$C$1005="Chancho")*(MOVIMIENTOS!$D$5:$D$1005="sacos")*(MOVIMIENTOS!$A$5:$A$1005&lt;&gt;"")*(MOVIMIENTOS!$A$5:$A$1005&lt;=$A752)*MOVIMIENTOS!$E$5:$E$1005)-SUMPRODUCT((MOVIMIENTOS!$B$5:$B$1005="VENTA CHANCHO")*(MOVIMIENTOS!$C$5:$C$1005="Chancho")*(MOVIMIENTOS!$D$5:$D$1005="sacos")*(MOVIMIENTOS!$A$5:$A$1005&lt;&gt;"")*(MOVIMIENTOS!$A$5:$A$1005&lt;=$A752)*MOVIMIENTOS!$E$5:$E$1005)-SUMPRODUCT((MOVIMIENTOS!$B$5:$B$1005="REGALO")*(MOVIMIENTOS!$C$5:$C$1005="Chancho")*(MOVIMIENTOS!$D$5:$D$1005="sacos")*(MOVIMIENTOS!$A$5:$A$1005&lt;&gt;"")*(MOVIMIENTOS!$A$5:$A$1005&lt;=$A752)*MOVIMIENTOS!$E$5:$E$1005)-SUMPRODUCT((MOVIMIENTOS!$B$5:$B$1005="VENTA")*(MOVIMIENTOS!$C$5:$C$1005="Chancho")*(MOVIMIENTOS!$D$5:$D$1005="sacos")*(MOVIMIENTOS!$A$5:$A$1005&lt;&gt;"")*(MOVIMIENTOS!$A$5:$A$1005&lt;=$A752)*MOVIMIENTOS!$E$5:$E$1005)+SUMPRODUCT((MOVIMIENTOS!$B$5:$B$1005="AJUSTE")*(MOVIMIENTOS!$C$5:$C$1005="Chancho")*(MOVIMIENTOS!$D$5:$D$1005="sacos")*(MOVIMIENTOS!$A$5:$A$1005&lt;&gt;"")*(MOVIMIENTOS!$A$5:$A$1005&lt;=$A752)*MOVIMIENTOS!$E$5:$E$1005))</f>
        <v/>
      </c>
      <c r="G752" s="62" t="str">
        <f t="shared" si="23"/>
        <v/>
      </c>
      <c r="H752" t="str">
        <f>IF($A752="","",SUMPRODUCT((((MOVIMIENTOS!$B$5:$B$1005="SALDO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752)*MOVIMIENTOS!$J$5:$J$1005))</f>
        <v/>
      </c>
      <c r="J752" t="str">
        <f>IF(AND(MOVIMIENTOS!$A757&lt;&gt;"",COUNTIF(MOVIMIENTOS!$A$5:$A756,MOVIMIENTOS!$A757)=0),COUNT(J$4:J751)+1,"")</f>
        <v/>
      </c>
      <c r="K752">
        <f>MOVIMIENTOS!$A757</f>
        <v>0</v>
      </c>
    </row>
    <row r="753" spans="1:11" ht="15" customHeight="1" x14ac:dyDescent="0.2">
      <c r="A753" t="str">
        <f t="shared" si="22"/>
        <v/>
      </c>
      <c r="B753" t="str">
        <f>IF($A753="","",SUMPRODUCT((MOVIMIENTOS!$B$5:$B$1005="SALDO INICIAL")*(MOVIMIENTOS!$C$5:$C$1005="A")*(MOVIMIENTOS!$D$5:$D$1005="jabas")*(MOVIMIENTOS!$A$5:$A$1005&lt;&gt;"")*(MOVIMIENTOS!$A$5:$A$1005&lt;=$A753)*MOVIMIENTOS!$E$5:$E$1005)+SUMPRODUCT((MOVIMIENTOS!$B$5:$B$1005="PROCESO")*(MOVIMIENTOS!$C$5:$C$1005="A")*(MOVIMIENTOS!$D$5:$D$1005="jabas")*(MOVIMIENTOS!$A$5:$A$1005&lt;&gt;"")*(MOVIMIENTOS!$A$5:$A$1005&lt;=$A753)*MOVIMIENTOS!$E$5:$E$1005)-SUMPRODUCT((MOVIMIENTOS!$B$5:$B$1005="ENVÍO A SUPESA")*(MOVIMIENTOS!$C$5:$C$1005="A")*(MOVIMIENTOS!$D$5:$D$1005="jabas")*(MOVIMIENTOS!$A$5:$A$1005&lt;&gt;"")*(MOVIMIENTOS!$A$5:$A$1005&lt;=$A753)*MOVIMIENTOS!$E$5:$E$1005)+SUMPRODUCT((MOVIMIENTOS!$B$5:$B$1005="DEVOLUCIÓN")*(MOVIMIENTOS!$C$5:$C$1005="A")*(MOVIMIENTOS!$D$5:$D$1005="jabas")*(MOVIMIENTOS!$A$5:$A$1005&lt;&gt;"")*(MOVIMIENTOS!$A$5:$A$1005&lt;=$A753)*MOVIMIENTOS!$E$5:$E$1005)-SUMPRODUCT((MOVIMIENTOS!$B$5:$B$1005="TRASIEGO")*(MOVIMIENTOS!$C$5:$C$1005="A")*(MOVIMIENTOS!$D$5:$D$1005="jabas")*(MOVIMIENTOS!$A$5:$A$1005&lt;&gt;"")*(MOVIMIENTOS!$A$5:$A$1005&lt;=$A753)*MOVIMIENTOS!$E$5:$E$1005)-SUMPRODUCT((MOVIMIENTOS!$B$5:$B$1005="REGALO")*(MOVIMIENTOS!$C$5:$C$1005="A")*(MOVIMIENTOS!$D$5:$D$1005="jabas")*(MOVIMIENTOS!$A$5:$A$1005&lt;&gt;"")*(MOVIMIENTOS!$A$5:$A$1005&lt;=$A753)*MOVIMIENTOS!$E$5:$E$1005)-SUMPRODUCT((MOVIMIENTOS!$B$5:$B$1005="VENTA")*(MOVIMIENTOS!$C$5:$C$1005="A")*(MOVIMIENTOS!$D$5:$D$1005="jabas")*(MOVIMIENTOS!$A$5:$A$1005&lt;&gt;"")*(MOVIMIENTOS!$A$5:$A$1005&lt;=$A753)*MOVIMIENTOS!$E$5:$E$1005)+SUMPRODUCT((MOVIMIENTOS!$B$5:$B$1005="AJUSTE")*(MOVIMIENTOS!$C$5:$C$1005="A")*(MOVIMIENTOS!$D$5:$D$1005="jabas")*(MOVIMIENTOS!$A$5:$A$1005&lt;&gt;"")*(MOVIMIENTOS!$A$5:$A$1005&lt;=$A753)*MOVIMIENTOS!$E$5:$E$1005))</f>
        <v/>
      </c>
      <c r="C753" t="str">
        <f>IF($A753="","",SUMPRODUCT((MOVIMIENTOS!$B$5:$B$1005="SALDO INICIAL")*(MOVIMIENTOS!$C$5:$C$1005="P")*(MOVIMIENTOS!$D$5:$D$1005="jabas")*(MOVIMIENTOS!$A$5:$A$1005&lt;&gt;"")*(MOVIMIENTOS!$A$5:$A$1005&lt;=$A753)*MOVIMIENTOS!$E$5:$E$1005)+SUMPRODUCT((MOVIMIENTOS!$B$5:$B$1005="PROCESO")*(MOVIMIENTOS!$C$5:$C$1005="P")*(MOVIMIENTOS!$D$5:$D$1005="jabas")*(MOVIMIENTOS!$A$5:$A$1005&lt;&gt;"")*(MOVIMIENTOS!$A$5:$A$1005&lt;=$A753)*MOVIMIENTOS!$E$5:$E$1005)-SUMPRODUCT((MOVIMIENTOS!$B$5:$B$1005="ENVÍO A SUPESA")*(MOVIMIENTOS!$C$5:$C$1005="P")*(MOVIMIENTOS!$D$5:$D$1005="jabas")*(MOVIMIENTOS!$A$5:$A$1005&lt;&gt;"")*(MOVIMIENTOS!$A$5:$A$1005&lt;=$A753)*MOVIMIENTOS!$E$5:$E$1005)+SUMPRODUCT((MOVIMIENTOS!$B$5:$B$1005="DEVOLUCIÓN")*(MOVIMIENTOS!$C$5:$C$1005="P")*(MOVIMIENTOS!$D$5:$D$1005="jabas")*(MOVIMIENTOS!$A$5:$A$1005&lt;&gt;"")*(MOVIMIENTOS!$A$5:$A$1005&lt;=$A753)*MOVIMIENTOS!$E$5:$E$1005)-SUMPRODUCT((MOVIMIENTOS!$B$5:$B$1005="TRASIEGO")*(MOVIMIENTOS!$C$5:$C$1005="P")*(MOVIMIENTOS!$D$5:$D$1005="jabas")*(MOVIMIENTOS!$A$5:$A$1005&lt;&gt;"")*(MOVIMIENTOS!$A$5:$A$1005&lt;=$A753)*MOVIMIENTOS!$E$5:$E$1005)-SUMPRODUCT((MOVIMIENTOS!$B$5:$B$1005="REGALO")*(MOVIMIENTOS!$C$5:$C$1005="P")*(MOVIMIENTOS!$D$5:$D$1005="jabas")*(MOVIMIENTOS!$A$5:$A$1005&lt;&gt;"")*(MOVIMIENTOS!$A$5:$A$1005&lt;=$A753)*MOVIMIENTOS!$E$5:$E$1005)-SUMPRODUCT((MOVIMIENTOS!$B$5:$B$1005="VENTA")*(MOVIMIENTOS!$C$5:$C$1005="P")*(MOVIMIENTOS!$D$5:$D$1005="jabas")*(MOVIMIENTOS!$A$5:$A$1005&lt;&gt;"")*(MOVIMIENTOS!$A$5:$A$1005&lt;=$A753)*MOVIMIENTOS!$E$5:$E$1005)+SUMPRODUCT((MOVIMIENTOS!$B$5:$B$1005="AJUSTE")*(MOVIMIENTOS!$C$5:$C$1005="P")*(MOVIMIENTOS!$D$5:$D$1005="jabas")*(MOVIMIENTOS!$A$5:$A$1005&lt;&gt;"")*(MOVIMIENTOS!$A$5:$A$1005&lt;=$A753)*MOVIMIENTOS!$E$5:$E$1005))</f>
        <v/>
      </c>
      <c r="D753" t="str">
        <f>IF($A753="","",SUMPRODUCT((MOVIMIENTOS!$B$5:$B$1005="SALDO INICIAL")*(MOVIMIENTOS!$C$5:$C$1005="C")*(MOVIMIENTOS!$D$5:$D$1005="jabas")*(MOVIMIENTOS!$A$5:$A$1005&lt;&gt;"")*(MOVIMIENTOS!$A$5:$A$1005&lt;=$A753)*MOVIMIENTOS!$E$5:$E$1005)+SUMPRODUCT((MOVIMIENTOS!$B$5:$B$1005="PROCESO")*(MOVIMIENTOS!$C$5:$C$1005="C")*(MOVIMIENTOS!$D$5:$D$1005="jabas")*(MOVIMIENTOS!$A$5:$A$1005&lt;&gt;"")*(MOVIMIENTOS!$A$5:$A$1005&lt;=$A753)*MOVIMIENTOS!$E$5:$E$1005)-SUMPRODUCT((MOVIMIENTOS!$B$5:$B$1005="ENVÍO A SUPESA")*(MOVIMIENTOS!$C$5:$C$1005="C")*(MOVIMIENTOS!$D$5:$D$1005="jabas")*(MOVIMIENTOS!$A$5:$A$1005&lt;&gt;"")*(MOVIMIENTOS!$A$5:$A$1005&lt;=$A753)*MOVIMIENTOS!$E$5:$E$1005)+SUMPRODUCT((MOVIMIENTOS!$B$5:$B$1005="DEVOLUCIÓN")*(MOVIMIENTOS!$C$5:$C$1005="C")*(MOVIMIENTOS!$D$5:$D$1005="jabas")*(MOVIMIENTOS!$A$5:$A$1005&lt;&gt;"")*(MOVIMIENTOS!$A$5:$A$1005&lt;=$A753)*MOVIMIENTOS!$E$5:$E$1005)-SUMPRODUCT((MOVIMIENTOS!$B$5:$B$1005="TRASIEGO")*(MOVIMIENTOS!$C$5:$C$1005="C")*(MOVIMIENTOS!$D$5:$D$1005="jabas")*(MOVIMIENTOS!$A$5:$A$1005&lt;&gt;"")*(MOVIMIENTOS!$A$5:$A$1005&lt;=$A753)*MOVIMIENTOS!$E$5:$E$1005)-SUMPRODUCT((MOVIMIENTOS!$B$5:$B$1005="REGALO")*(MOVIMIENTOS!$C$5:$C$1005="C")*(MOVIMIENTOS!$D$5:$D$1005="jabas")*(MOVIMIENTOS!$A$5:$A$1005&lt;&gt;"")*(MOVIMIENTOS!$A$5:$A$1005&lt;=$A753)*MOVIMIENTOS!$E$5:$E$1005)-SUMPRODUCT((MOVIMIENTOS!$B$5:$B$1005="VENTA")*(MOVIMIENTOS!$C$5:$C$1005="C")*(MOVIMIENTOS!$D$5:$D$1005="jabas")*(MOVIMIENTOS!$A$5:$A$1005&lt;&gt;"")*(MOVIMIENTOS!$A$5:$A$1005&lt;=$A753)*MOVIMIENTOS!$E$5:$E$1005)+SUMPRODUCT((MOVIMIENTOS!$B$5:$B$1005="AJUSTE")*(MOVIMIENTOS!$C$5:$C$1005="C")*(MOVIMIENTOS!$D$5:$D$1005="jabas")*(MOVIMIENTOS!$A$5:$A$1005&lt;&gt;"")*(MOVIMIENTOS!$A$5:$A$1005&lt;=$A753)*MOVIMIENTOS!$E$5:$E$1005))</f>
        <v/>
      </c>
      <c r="E753" t="str">
        <f>IF($A753="","",SUMPRODUCT((MOVIMIENTOS!$B$5:$B$1005="SALDO INICIAL")*(MOVIMIENTOS!$C$5:$C$1005="M")*(MOVIMIENTOS!$D$5:$D$1005="jabas")*(MOVIMIENTOS!$A$5:$A$1005&lt;&gt;"")*(MOVIMIENTOS!$A$5:$A$1005&lt;=$A753)*MOVIMIENTOS!$E$5:$E$1005)+SUMPRODUCT((MOVIMIENTOS!$B$5:$B$1005="PROCESO")*(MOVIMIENTOS!$C$5:$C$1005="M")*(MOVIMIENTOS!$D$5:$D$1005="jabas")*(MOVIMIENTOS!$A$5:$A$1005&lt;&gt;"")*(MOVIMIENTOS!$A$5:$A$1005&lt;=$A753)*MOVIMIENTOS!$E$5:$E$1005)-SUMPRODUCT((MOVIMIENTOS!$B$5:$B$1005="ENVÍO A SUPESA")*(MOVIMIENTOS!$C$5:$C$1005="M")*(MOVIMIENTOS!$D$5:$D$1005="jabas")*(MOVIMIENTOS!$A$5:$A$1005&lt;&gt;"")*(MOVIMIENTOS!$A$5:$A$1005&lt;=$A753)*MOVIMIENTOS!$E$5:$E$1005)+SUMPRODUCT((MOVIMIENTOS!$B$5:$B$1005="DEVOLUCIÓN")*(MOVIMIENTOS!$C$5:$C$1005="M")*(MOVIMIENTOS!$D$5:$D$1005="jabas")*(MOVIMIENTOS!$A$5:$A$1005&lt;&gt;"")*(MOVIMIENTOS!$A$5:$A$1005&lt;=$A753)*MOVIMIENTOS!$E$5:$E$1005)-SUMPRODUCT((MOVIMIENTOS!$B$5:$B$1005="TRASIEGO")*(MOVIMIENTOS!$C$5:$C$1005="M")*(MOVIMIENTOS!$D$5:$D$1005="jabas")*(MOVIMIENTOS!$A$5:$A$1005&lt;&gt;"")*(MOVIMIENTOS!$A$5:$A$1005&lt;=$A753)*MOVIMIENTOS!$E$5:$E$1005)-SUMPRODUCT((MOVIMIENTOS!$B$5:$B$1005="REGALO")*(MOVIMIENTOS!$C$5:$C$1005="M")*(MOVIMIENTOS!$D$5:$D$1005="jabas")*(MOVIMIENTOS!$A$5:$A$1005&lt;&gt;"")*(MOVIMIENTOS!$A$5:$A$1005&lt;=$A753)*MOVIMIENTOS!$E$5:$E$1005)-SUMPRODUCT((MOVIMIENTOS!$B$5:$B$1005="VENTA")*(MOVIMIENTOS!$C$5:$C$1005="M")*(MOVIMIENTOS!$D$5:$D$1005="jabas")*(MOVIMIENTOS!$A$5:$A$1005&lt;&gt;"")*(MOVIMIENTOS!$A$5:$A$1005&lt;=$A753)*MOVIMIENTOS!$E$5:$E$1005)+SUMPRODUCT((MOVIMIENTOS!$B$5:$B$1005="AJUSTE")*(MOVIMIENTOS!$C$5:$C$1005="M")*(MOVIMIENTOS!$D$5:$D$1005="jabas")*(MOVIMIENTOS!$A$5:$A$1005&lt;&gt;"")*(MOVIMIENTOS!$A$5:$A$1005&lt;=$A753)*MOVIMIENTOS!$E$5:$E$1005))</f>
        <v/>
      </c>
      <c r="F753" s="62" t="str">
        <f>IF($A753="","",SUMPRODUCT((MOVIMIENTOS!$B$5:$B$1005="SALDO INICIAL")*(MOVIMIENTOS!$C$5:$C$1005="Chancho")*(MOVIMIENTOS!$D$5:$D$1005="sacos")*(MOVIMIENTOS!$A$5:$A$1005&lt;&gt;"")*(MOVIMIENTOS!$A$5:$A$1005&lt;=$A753)*MOVIMIENTOS!$E$5:$E$1005)+SUMPRODUCT((MOVIMIENTOS!$B$5:$B$1005="PROCESO")*(MOVIMIENTOS!$C$5:$C$1005="Chancho")*(MOVIMIENTOS!$D$5:$D$1005="sacos")*(MOVIMIENTOS!$A$5:$A$1005&lt;&gt;"")*(MOVIMIENTOS!$A$5:$A$1005&lt;=$A753)*MOVIMIENTOS!$E$5:$E$1005)-SUMPRODUCT((MOVIMIENTOS!$B$5:$B$1005="VENTA CHANCHO")*(MOVIMIENTOS!$C$5:$C$1005="Chancho")*(MOVIMIENTOS!$D$5:$D$1005="sacos")*(MOVIMIENTOS!$A$5:$A$1005&lt;&gt;"")*(MOVIMIENTOS!$A$5:$A$1005&lt;=$A753)*MOVIMIENTOS!$E$5:$E$1005)-SUMPRODUCT((MOVIMIENTOS!$B$5:$B$1005="REGALO")*(MOVIMIENTOS!$C$5:$C$1005="Chancho")*(MOVIMIENTOS!$D$5:$D$1005="sacos")*(MOVIMIENTOS!$A$5:$A$1005&lt;&gt;"")*(MOVIMIENTOS!$A$5:$A$1005&lt;=$A753)*MOVIMIENTOS!$E$5:$E$1005)-SUMPRODUCT((MOVIMIENTOS!$B$5:$B$1005="VENTA")*(MOVIMIENTOS!$C$5:$C$1005="Chancho")*(MOVIMIENTOS!$D$5:$D$1005="sacos")*(MOVIMIENTOS!$A$5:$A$1005&lt;&gt;"")*(MOVIMIENTOS!$A$5:$A$1005&lt;=$A753)*MOVIMIENTOS!$E$5:$E$1005)+SUMPRODUCT((MOVIMIENTOS!$B$5:$B$1005="AJUSTE")*(MOVIMIENTOS!$C$5:$C$1005="Chancho")*(MOVIMIENTOS!$D$5:$D$1005="sacos")*(MOVIMIENTOS!$A$5:$A$1005&lt;&gt;"")*(MOVIMIENTOS!$A$5:$A$1005&lt;=$A753)*MOVIMIENTOS!$E$5:$E$1005))</f>
        <v/>
      </c>
      <c r="G753" s="62" t="str">
        <f t="shared" si="23"/>
        <v/>
      </c>
      <c r="H753" t="str">
        <f>IF($A753="","",SUMPRODUCT((((MOVIMIENTOS!$B$5:$B$1005="SALDO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753)*MOVIMIENTOS!$J$5:$J$1005))</f>
        <v/>
      </c>
      <c r="J753" t="str">
        <f>IF(AND(MOVIMIENTOS!$A758&lt;&gt;"",COUNTIF(MOVIMIENTOS!$A$5:$A757,MOVIMIENTOS!$A758)=0),COUNT(J$4:J752)+1,"")</f>
        <v/>
      </c>
      <c r="K753">
        <f>MOVIMIENTOS!$A758</f>
        <v>0</v>
      </c>
    </row>
    <row r="754" spans="1:11" ht="15" customHeight="1" x14ac:dyDescent="0.2">
      <c r="A754" t="str">
        <f t="shared" si="22"/>
        <v/>
      </c>
      <c r="B754" t="str">
        <f>IF($A754="","",SUMPRODUCT((MOVIMIENTOS!$B$5:$B$1005="SALDO INICIAL")*(MOVIMIENTOS!$C$5:$C$1005="A")*(MOVIMIENTOS!$D$5:$D$1005="jabas")*(MOVIMIENTOS!$A$5:$A$1005&lt;&gt;"")*(MOVIMIENTOS!$A$5:$A$1005&lt;=$A754)*MOVIMIENTOS!$E$5:$E$1005)+SUMPRODUCT((MOVIMIENTOS!$B$5:$B$1005="PROCESO")*(MOVIMIENTOS!$C$5:$C$1005="A")*(MOVIMIENTOS!$D$5:$D$1005="jabas")*(MOVIMIENTOS!$A$5:$A$1005&lt;&gt;"")*(MOVIMIENTOS!$A$5:$A$1005&lt;=$A754)*MOVIMIENTOS!$E$5:$E$1005)-SUMPRODUCT((MOVIMIENTOS!$B$5:$B$1005="ENVÍO A SUPESA")*(MOVIMIENTOS!$C$5:$C$1005="A")*(MOVIMIENTOS!$D$5:$D$1005="jabas")*(MOVIMIENTOS!$A$5:$A$1005&lt;&gt;"")*(MOVIMIENTOS!$A$5:$A$1005&lt;=$A754)*MOVIMIENTOS!$E$5:$E$1005)+SUMPRODUCT((MOVIMIENTOS!$B$5:$B$1005="DEVOLUCIÓN")*(MOVIMIENTOS!$C$5:$C$1005="A")*(MOVIMIENTOS!$D$5:$D$1005="jabas")*(MOVIMIENTOS!$A$5:$A$1005&lt;&gt;"")*(MOVIMIENTOS!$A$5:$A$1005&lt;=$A754)*MOVIMIENTOS!$E$5:$E$1005)-SUMPRODUCT((MOVIMIENTOS!$B$5:$B$1005="TRASIEGO")*(MOVIMIENTOS!$C$5:$C$1005="A")*(MOVIMIENTOS!$D$5:$D$1005="jabas")*(MOVIMIENTOS!$A$5:$A$1005&lt;&gt;"")*(MOVIMIENTOS!$A$5:$A$1005&lt;=$A754)*MOVIMIENTOS!$E$5:$E$1005)-SUMPRODUCT((MOVIMIENTOS!$B$5:$B$1005="REGALO")*(MOVIMIENTOS!$C$5:$C$1005="A")*(MOVIMIENTOS!$D$5:$D$1005="jabas")*(MOVIMIENTOS!$A$5:$A$1005&lt;&gt;"")*(MOVIMIENTOS!$A$5:$A$1005&lt;=$A754)*MOVIMIENTOS!$E$5:$E$1005)-SUMPRODUCT((MOVIMIENTOS!$B$5:$B$1005="VENTA")*(MOVIMIENTOS!$C$5:$C$1005="A")*(MOVIMIENTOS!$D$5:$D$1005="jabas")*(MOVIMIENTOS!$A$5:$A$1005&lt;&gt;"")*(MOVIMIENTOS!$A$5:$A$1005&lt;=$A754)*MOVIMIENTOS!$E$5:$E$1005)+SUMPRODUCT((MOVIMIENTOS!$B$5:$B$1005="AJUSTE")*(MOVIMIENTOS!$C$5:$C$1005="A")*(MOVIMIENTOS!$D$5:$D$1005="jabas")*(MOVIMIENTOS!$A$5:$A$1005&lt;&gt;"")*(MOVIMIENTOS!$A$5:$A$1005&lt;=$A754)*MOVIMIENTOS!$E$5:$E$1005))</f>
        <v/>
      </c>
      <c r="C754" t="str">
        <f>IF($A754="","",SUMPRODUCT((MOVIMIENTOS!$B$5:$B$1005="SALDO INICIAL")*(MOVIMIENTOS!$C$5:$C$1005="P")*(MOVIMIENTOS!$D$5:$D$1005="jabas")*(MOVIMIENTOS!$A$5:$A$1005&lt;&gt;"")*(MOVIMIENTOS!$A$5:$A$1005&lt;=$A754)*MOVIMIENTOS!$E$5:$E$1005)+SUMPRODUCT((MOVIMIENTOS!$B$5:$B$1005="PROCESO")*(MOVIMIENTOS!$C$5:$C$1005="P")*(MOVIMIENTOS!$D$5:$D$1005="jabas")*(MOVIMIENTOS!$A$5:$A$1005&lt;&gt;"")*(MOVIMIENTOS!$A$5:$A$1005&lt;=$A754)*MOVIMIENTOS!$E$5:$E$1005)-SUMPRODUCT((MOVIMIENTOS!$B$5:$B$1005="ENVÍO A SUPESA")*(MOVIMIENTOS!$C$5:$C$1005="P")*(MOVIMIENTOS!$D$5:$D$1005="jabas")*(MOVIMIENTOS!$A$5:$A$1005&lt;&gt;"")*(MOVIMIENTOS!$A$5:$A$1005&lt;=$A754)*MOVIMIENTOS!$E$5:$E$1005)+SUMPRODUCT((MOVIMIENTOS!$B$5:$B$1005="DEVOLUCIÓN")*(MOVIMIENTOS!$C$5:$C$1005="P")*(MOVIMIENTOS!$D$5:$D$1005="jabas")*(MOVIMIENTOS!$A$5:$A$1005&lt;&gt;"")*(MOVIMIENTOS!$A$5:$A$1005&lt;=$A754)*MOVIMIENTOS!$E$5:$E$1005)-SUMPRODUCT((MOVIMIENTOS!$B$5:$B$1005="TRASIEGO")*(MOVIMIENTOS!$C$5:$C$1005="P")*(MOVIMIENTOS!$D$5:$D$1005="jabas")*(MOVIMIENTOS!$A$5:$A$1005&lt;&gt;"")*(MOVIMIENTOS!$A$5:$A$1005&lt;=$A754)*MOVIMIENTOS!$E$5:$E$1005)-SUMPRODUCT((MOVIMIENTOS!$B$5:$B$1005="REGALO")*(MOVIMIENTOS!$C$5:$C$1005="P")*(MOVIMIENTOS!$D$5:$D$1005="jabas")*(MOVIMIENTOS!$A$5:$A$1005&lt;&gt;"")*(MOVIMIENTOS!$A$5:$A$1005&lt;=$A754)*MOVIMIENTOS!$E$5:$E$1005)-SUMPRODUCT((MOVIMIENTOS!$B$5:$B$1005="VENTA")*(MOVIMIENTOS!$C$5:$C$1005="P")*(MOVIMIENTOS!$D$5:$D$1005="jabas")*(MOVIMIENTOS!$A$5:$A$1005&lt;&gt;"")*(MOVIMIENTOS!$A$5:$A$1005&lt;=$A754)*MOVIMIENTOS!$E$5:$E$1005)+SUMPRODUCT((MOVIMIENTOS!$B$5:$B$1005="AJUSTE")*(MOVIMIENTOS!$C$5:$C$1005="P")*(MOVIMIENTOS!$D$5:$D$1005="jabas")*(MOVIMIENTOS!$A$5:$A$1005&lt;&gt;"")*(MOVIMIENTOS!$A$5:$A$1005&lt;=$A754)*MOVIMIENTOS!$E$5:$E$1005))</f>
        <v/>
      </c>
      <c r="D754" t="str">
        <f>IF($A754="","",SUMPRODUCT((MOVIMIENTOS!$B$5:$B$1005="SALDO INICIAL")*(MOVIMIENTOS!$C$5:$C$1005="C")*(MOVIMIENTOS!$D$5:$D$1005="jabas")*(MOVIMIENTOS!$A$5:$A$1005&lt;&gt;"")*(MOVIMIENTOS!$A$5:$A$1005&lt;=$A754)*MOVIMIENTOS!$E$5:$E$1005)+SUMPRODUCT((MOVIMIENTOS!$B$5:$B$1005="PROCESO")*(MOVIMIENTOS!$C$5:$C$1005="C")*(MOVIMIENTOS!$D$5:$D$1005="jabas")*(MOVIMIENTOS!$A$5:$A$1005&lt;&gt;"")*(MOVIMIENTOS!$A$5:$A$1005&lt;=$A754)*MOVIMIENTOS!$E$5:$E$1005)-SUMPRODUCT((MOVIMIENTOS!$B$5:$B$1005="ENVÍO A SUPESA")*(MOVIMIENTOS!$C$5:$C$1005="C")*(MOVIMIENTOS!$D$5:$D$1005="jabas")*(MOVIMIENTOS!$A$5:$A$1005&lt;&gt;"")*(MOVIMIENTOS!$A$5:$A$1005&lt;=$A754)*MOVIMIENTOS!$E$5:$E$1005)+SUMPRODUCT((MOVIMIENTOS!$B$5:$B$1005="DEVOLUCIÓN")*(MOVIMIENTOS!$C$5:$C$1005="C")*(MOVIMIENTOS!$D$5:$D$1005="jabas")*(MOVIMIENTOS!$A$5:$A$1005&lt;&gt;"")*(MOVIMIENTOS!$A$5:$A$1005&lt;=$A754)*MOVIMIENTOS!$E$5:$E$1005)-SUMPRODUCT((MOVIMIENTOS!$B$5:$B$1005="TRASIEGO")*(MOVIMIENTOS!$C$5:$C$1005="C")*(MOVIMIENTOS!$D$5:$D$1005="jabas")*(MOVIMIENTOS!$A$5:$A$1005&lt;&gt;"")*(MOVIMIENTOS!$A$5:$A$1005&lt;=$A754)*MOVIMIENTOS!$E$5:$E$1005)-SUMPRODUCT((MOVIMIENTOS!$B$5:$B$1005="REGALO")*(MOVIMIENTOS!$C$5:$C$1005="C")*(MOVIMIENTOS!$D$5:$D$1005="jabas")*(MOVIMIENTOS!$A$5:$A$1005&lt;&gt;"")*(MOVIMIENTOS!$A$5:$A$1005&lt;=$A754)*MOVIMIENTOS!$E$5:$E$1005)-SUMPRODUCT((MOVIMIENTOS!$B$5:$B$1005="VENTA")*(MOVIMIENTOS!$C$5:$C$1005="C")*(MOVIMIENTOS!$D$5:$D$1005="jabas")*(MOVIMIENTOS!$A$5:$A$1005&lt;&gt;"")*(MOVIMIENTOS!$A$5:$A$1005&lt;=$A754)*MOVIMIENTOS!$E$5:$E$1005)+SUMPRODUCT((MOVIMIENTOS!$B$5:$B$1005="AJUSTE")*(MOVIMIENTOS!$C$5:$C$1005="C")*(MOVIMIENTOS!$D$5:$D$1005="jabas")*(MOVIMIENTOS!$A$5:$A$1005&lt;&gt;"")*(MOVIMIENTOS!$A$5:$A$1005&lt;=$A754)*MOVIMIENTOS!$E$5:$E$1005))</f>
        <v/>
      </c>
      <c r="E754" t="str">
        <f>IF($A754="","",SUMPRODUCT((MOVIMIENTOS!$B$5:$B$1005="SALDO INICIAL")*(MOVIMIENTOS!$C$5:$C$1005="M")*(MOVIMIENTOS!$D$5:$D$1005="jabas")*(MOVIMIENTOS!$A$5:$A$1005&lt;&gt;"")*(MOVIMIENTOS!$A$5:$A$1005&lt;=$A754)*MOVIMIENTOS!$E$5:$E$1005)+SUMPRODUCT((MOVIMIENTOS!$B$5:$B$1005="PROCESO")*(MOVIMIENTOS!$C$5:$C$1005="M")*(MOVIMIENTOS!$D$5:$D$1005="jabas")*(MOVIMIENTOS!$A$5:$A$1005&lt;&gt;"")*(MOVIMIENTOS!$A$5:$A$1005&lt;=$A754)*MOVIMIENTOS!$E$5:$E$1005)-SUMPRODUCT((MOVIMIENTOS!$B$5:$B$1005="ENVÍO A SUPESA")*(MOVIMIENTOS!$C$5:$C$1005="M")*(MOVIMIENTOS!$D$5:$D$1005="jabas")*(MOVIMIENTOS!$A$5:$A$1005&lt;&gt;"")*(MOVIMIENTOS!$A$5:$A$1005&lt;=$A754)*MOVIMIENTOS!$E$5:$E$1005)+SUMPRODUCT((MOVIMIENTOS!$B$5:$B$1005="DEVOLUCIÓN")*(MOVIMIENTOS!$C$5:$C$1005="M")*(MOVIMIENTOS!$D$5:$D$1005="jabas")*(MOVIMIENTOS!$A$5:$A$1005&lt;&gt;"")*(MOVIMIENTOS!$A$5:$A$1005&lt;=$A754)*MOVIMIENTOS!$E$5:$E$1005)-SUMPRODUCT((MOVIMIENTOS!$B$5:$B$1005="TRASIEGO")*(MOVIMIENTOS!$C$5:$C$1005="M")*(MOVIMIENTOS!$D$5:$D$1005="jabas")*(MOVIMIENTOS!$A$5:$A$1005&lt;&gt;"")*(MOVIMIENTOS!$A$5:$A$1005&lt;=$A754)*MOVIMIENTOS!$E$5:$E$1005)-SUMPRODUCT((MOVIMIENTOS!$B$5:$B$1005="REGALO")*(MOVIMIENTOS!$C$5:$C$1005="M")*(MOVIMIENTOS!$D$5:$D$1005="jabas")*(MOVIMIENTOS!$A$5:$A$1005&lt;&gt;"")*(MOVIMIENTOS!$A$5:$A$1005&lt;=$A754)*MOVIMIENTOS!$E$5:$E$1005)-SUMPRODUCT((MOVIMIENTOS!$B$5:$B$1005="VENTA")*(MOVIMIENTOS!$C$5:$C$1005="M")*(MOVIMIENTOS!$D$5:$D$1005="jabas")*(MOVIMIENTOS!$A$5:$A$1005&lt;&gt;"")*(MOVIMIENTOS!$A$5:$A$1005&lt;=$A754)*MOVIMIENTOS!$E$5:$E$1005)+SUMPRODUCT((MOVIMIENTOS!$B$5:$B$1005="AJUSTE")*(MOVIMIENTOS!$C$5:$C$1005="M")*(MOVIMIENTOS!$D$5:$D$1005="jabas")*(MOVIMIENTOS!$A$5:$A$1005&lt;&gt;"")*(MOVIMIENTOS!$A$5:$A$1005&lt;=$A754)*MOVIMIENTOS!$E$5:$E$1005))</f>
        <v/>
      </c>
      <c r="F754" s="62" t="str">
        <f>IF($A754="","",SUMPRODUCT((MOVIMIENTOS!$B$5:$B$1005="SALDO INICIAL")*(MOVIMIENTOS!$C$5:$C$1005="Chancho")*(MOVIMIENTOS!$D$5:$D$1005="sacos")*(MOVIMIENTOS!$A$5:$A$1005&lt;&gt;"")*(MOVIMIENTOS!$A$5:$A$1005&lt;=$A754)*MOVIMIENTOS!$E$5:$E$1005)+SUMPRODUCT((MOVIMIENTOS!$B$5:$B$1005="PROCESO")*(MOVIMIENTOS!$C$5:$C$1005="Chancho")*(MOVIMIENTOS!$D$5:$D$1005="sacos")*(MOVIMIENTOS!$A$5:$A$1005&lt;&gt;"")*(MOVIMIENTOS!$A$5:$A$1005&lt;=$A754)*MOVIMIENTOS!$E$5:$E$1005)-SUMPRODUCT((MOVIMIENTOS!$B$5:$B$1005="VENTA CHANCHO")*(MOVIMIENTOS!$C$5:$C$1005="Chancho")*(MOVIMIENTOS!$D$5:$D$1005="sacos")*(MOVIMIENTOS!$A$5:$A$1005&lt;&gt;"")*(MOVIMIENTOS!$A$5:$A$1005&lt;=$A754)*MOVIMIENTOS!$E$5:$E$1005)-SUMPRODUCT((MOVIMIENTOS!$B$5:$B$1005="REGALO")*(MOVIMIENTOS!$C$5:$C$1005="Chancho")*(MOVIMIENTOS!$D$5:$D$1005="sacos")*(MOVIMIENTOS!$A$5:$A$1005&lt;&gt;"")*(MOVIMIENTOS!$A$5:$A$1005&lt;=$A754)*MOVIMIENTOS!$E$5:$E$1005)-SUMPRODUCT((MOVIMIENTOS!$B$5:$B$1005="VENTA")*(MOVIMIENTOS!$C$5:$C$1005="Chancho")*(MOVIMIENTOS!$D$5:$D$1005="sacos")*(MOVIMIENTOS!$A$5:$A$1005&lt;&gt;"")*(MOVIMIENTOS!$A$5:$A$1005&lt;=$A754)*MOVIMIENTOS!$E$5:$E$1005)+SUMPRODUCT((MOVIMIENTOS!$B$5:$B$1005="AJUSTE")*(MOVIMIENTOS!$C$5:$C$1005="Chancho")*(MOVIMIENTOS!$D$5:$D$1005="sacos")*(MOVIMIENTOS!$A$5:$A$1005&lt;&gt;"")*(MOVIMIENTOS!$A$5:$A$1005&lt;=$A754)*MOVIMIENTOS!$E$5:$E$1005))</f>
        <v/>
      </c>
      <c r="G754" s="62" t="str">
        <f t="shared" si="23"/>
        <v/>
      </c>
      <c r="H754" t="str">
        <f>IF($A754="","",SUMPRODUCT((((MOVIMIENTOS!$B$5:$B$1005="SALDO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754)*MOVIMIENTOS!$J$5:$J$1005))</f>
        <v/>
      </c>
      <c r="J754" t="str">
        <f>IF(AND(MOVIMIENTOS!$A759&lt;&gt;"",COUNTIF(MOVIMIENTOS!$A$5:$A758,MOVIMIENTOS!$A759)=0),COUNT(J$4:J753)+1,"")</f>
        <v/>
      </c>
      <c r="K754">
        <f>MOVIMIENTOS!$A759</f>
        <v>0</v>
      </c>
    </row>
    <row r="755" spans="1:11" ht="15" customHeight="1" x14ac:dyDescent="0.2">
      <c r="A755" t="str">
        <f t="shared" si="22"/>
        <v/>
      </c>
      <c r="B755" t="str">
        <f>IF($A755="","",SUMPRODUCT((MOVIMIENTOS!$B$5:$B$1005="SALDO INICIAL")*(MOVIMIENTOS!$C$5:$C$1005="A")*(MOVIMIENTOS!$D$5:$D$1005="jabas")*(MOVIMIENTOS!$A$5:$A$1005&lt;&gt;"")*(MOVIMIENTOS!$A$5:$A$1005&lt;=$A755)*MOVIMIENTOS!$E$5:$E$1005)+SUMPRODUCT((MOVIMIENTOS!$B$5:$B$1005="PROCESO")*(MOVIMIENTOS!$C$5:$C$1005="A")*(MOVIMIENTOS!$D$5:$D$1005="jabas")*(MOVIMIENTOS!$A$5:$A$1005&lt;&gt;"")*(MOVIMIENTOS!$A$5:$A$1005&lt;=$A755)*MOVIMIENTOS!$E$5:$E$1005)-SUMPRODUCT((MOVIMIENTOS!$B$5:$B$1005="ENVÍO A SUPESA")*(MOVIMIENTOS!$C$5:$C$1005="A")*(MOVIMIENTOS!$D$5:$D$1005="jabas")*(MOVIMIENTOS!$A$5:$A$1005&lt;&gt;"")*(MOVIMIENTOS!$A$5:$A$1005&lt;=$A755)*MOVIMIENTOS!$E$5:$E$1005)+SUMPRODUCT((MOVIMIENTOS!$B$5:$B$1005="DEVOLUCIÓN")*(MOVIMIENTOS!$C$5:$C$1005="A")*(MOVIMIENTOS!$D$5:$D$1005="jabas")*(MOVIMIENTOS!$A$5:$A$1005&lt;&gt;"")*(MOVIMIENTOS!$A$5:$A$1005&lt;=$A755)*MOVIMIENTOS!$E$5:$E$1005)-SUMPRODUCT((MOVIMIENTOS!$B$5:$B$1005="TRASIEGO")*(MOVIMIENTOS!$C$5:$C$1005="A")*(MOVIMIENTOS!$D$5:$D$1005="jabas")*(MOVIMIENTOS!$A$5:$A$1005&lt;&gt;"")*(MOVIMIENTOS!$A$5:$A$1005&lt;=$A755)*MOVIMIENTOS!$E$5:$E$1005)-SUMPRODUCT((MOVIMIENTOS!$B$5:$B$1005="REGALO")*(MOVIMIENTOS!$C$5:$C$1005="A")*(MOVIMIENTOS!$D$5:$D$1005="jabas")*(MOVIMIENTOS!$A$5:$A$1005&lt;&gt;"")*(MOVIMIENTOS!$A$5:$A$1005&lt;=$A755)*MOVIMIENTOS!$E$5:$E$1005)-SUMPRODUCT((MOVIMIENTOS!$B$5:$B$1005="VENTA")*(MOVIMIENTOS!$C$5:$C$1005="A")*(MOVIMIENTOS!$D$5:$D$1005="jabas")*(MOVIMIENTOS!$A$5:$A$1005&lt;&gt;"")*(MOVIMIENTOS!$A$5:$A$1005&lt;=$A755)*MOVIMIENTOS!$E$5:$E$1005)+SUMPRODUCT((MOVIMIENTOS!$B$5:$B$1005="AJUSTE")*(MOVIMIENTOS!$C$5:$C$1005="A")*(MOVIMIENTOS!$D$5:$D$1005="jabas")*(MOVIMIENTOS!$A$5:$A$1005&lt;&gt;"")*(MOVIMIENTOS!$A$5:$A$1005&lt;=$A755)*MOVIMIENTOS!$E$5:$E$1005))</f>
        <v/>
      </c>
      <c r="C755" t="str">
        <f>IF($A755="","",SUMPRODUCT((MOVIMIENTOS!$B$5:$B$1005="SALDO INICIAL")*(MOVIMIENTOS!$C$5:$C$1005="P")*(MOVIMIENTOS!$D$5:$D$1005="jabas")*(MOVIMIENTOS!$A$5:$A$1005&lt;&gt;"")*(MOVIMIENTOS!$A$5:$A$1005&lt;=$A755)*MOVIMIENTOS!$E$5:$E$1005)+SUMPRODUCT((MOVIMIENTOS!$B$5:$B$1005="PROCESO")*(MOVIMIENTOS!$C$5:$C$1005="P")*(MOVIMIENTOS!$D$5:$D$1005="jabas")*(MOVIMIENTOS!$A$5:$A$1005&lt;&gt;"")*(MOVIMIENTOS!$A$5:$A$1005&lt;=$A755)*MOVIMIENTOS!$E$5:$E$1005)-SUMPRODUCT((MOVIMIENTOS!$B$5:$B$1005="ENVÍO A SUPESA")*(MOVIMIENTOS!$C$5:$C$1005="P")*(MOVIMIENTOS!$D$5:$D$1005="jabas")*(MOVIMIENTOS!$A$5:$A$1005&lt;&gt;"")*(MOVIMIENTOS!$A$5:$A$1005&lt;=$A755)*MOVIMIENTOS!$E$5:$E$1005)+SUMPRODUCT((MOVIMIENTOS!$B$5:$B$1005="DEVOLUCIÓN")*(MOVIMIENTOS!$C$5:$C$1005="P")*(MOVIMIENTOS!$D$5:$D$1005="jabas")*(MOVIMIENTOS!$A$5:$A$1005&lt;&gt;"")*(MOVIMIENTOS!$A$5:$A$1005&lt;=$A755)*MOVIMIENTOS!$E$5:$E$1005)-SUMPRODUCT((MOVIMIENTOS!$B$5:$B$1005="TRASIEGO")*(MOVIMIENTOS!$C$5:$C$1005="P")*(MOVIMIENTOS!$D$5:$D$1005="jabas")*(MOVIMIENTOS!$A$5:$A$1005&lt;&gt;"")*(MOVIMIENTOS!$A$5:$A$1005&lt;=$A755)*MOVIMIENTOS!$E$5:$E$1005)-SUMPRODUCT((MOVIMIENTOS!$B$5:$B$1005="REGALO")*(MOVIMIENTOS!$C$5:$C$1005="P")*(MOVIMIENTOS!$D$5:$D$1005="jabas")*(MOVIMIENTOS!$A$5:$A$1005&lt;&gt;"")*(MOVIMIENTOS!$A$5:$A$1005&lt;=$A755)*MOVIMIENTOS!$E$5:$E$1005)-SUMPRODUCT((MOVIMIENTOS!$B$5:$B$1005="VENTA")*(MOVIMIENTOS!$C$5:$C$1005="P")*(MOVIMIENTOS!$D$5:$D$1005="jabas")*(MOVIMIENTOS!$A$5:$A$1005&lt;&gt;"")*(MOVIMIENTOS!$A$5:$A$1005&lt;=$A755)*MOVIMIENTOS!$E$5:$E$1005)+SUMPRODUCT((MOVIMIENTOS!$B$5:$B$1005="AJUSTE")*(MOVIMIENTOS!$C$5:$C$1005="P")*(MOVIMIENTOS!$D$5:$D$1005="jabas")*(MOVIMIENTOS!$A$5:$A$1005&lt;&gt;"")*(MOVIMIENTOS!$A$5:$A$1005&lt;=$A755)*MOVIMIENTOS!$E$5:$E$1005))</f>
        <v/>
      </c>
      <c r="D755" t="str">
        <f>IF($A755="","",SUMPRODUCT((MOVIMIENTOS!$B$5:$B$1005="SALDO INICIAL")*(MOVIMIENTOS!$C$5:$C$1005="C")*(MOVIMIENTOS!$D$5:$D$1005="jabas")*(MOVIMIENTOS!$A$5:$A$1005&lt;&gt;"")*(MOVIMIENTOS!$A$5:$A$1005&lt;=$A755)*MOVIMIENTOS!$E$5:$E$1005)+SUMPRODUCT((MOVIMIENTOS!$B$5:$B$1005="PROCESO")*(MOVIMIENTOS!$C$5:$C$1005="C")*(MOVIMIENTOS!$D$5:$D$1005="jabas")*(MOVIMIENTOS!$A$5:$A$1005&lt;&gt;"")*(MOVIMIENTOS!$A$5:$A$1005&lt;=$A755)*MOVIMIENTOS!$E$5:$E$1005)-SUMPRODUCT((MOVIMIENTOS!$B$5:$B$1005="ENVÍO A SUPESA")*(MOVIMIENTOS!$C$5:$C$1005="C")*(MOVIMIENTOS!$D$5:$D$1005="jabas")*(MOVIMIENTOS!$A$5:$A$1005&lt;&gt;"")*(MOVIMIENTOS!$A$5:$A$1005&lt;=$A755)*MOVIMIENTOS!$E$5:$E$1005)+SUMPRODUCT((MOVIMIENTOS!$B$5:$B$1005="DEVOLUCIÓN")*(MOVIMIENTOS!$C$5:$C$1005="C")*(MOVIMIENTOS!$D$5:$D$1005="jabas")*(MOVIMIENTOS!$A$5:$A$1005&lt;&gt;"")*(MOVIMIENTOS!$A$5:$A$1005&lt;=$A755)*MOVIMIENTOS!$E$5:$E$1005)-SUMPRODUCT((MOVIMIENTOS!$B$5:$B$1005="TRASIEGO")*(MOVIMIENTOS!$C$5:$C$1005="C")*(MOVIMIENTOS!$D$5:$D$1005="jabas")*(MOVIMIENTOS!$A$5:$A$1005&lt;&gt;"")*(MOVIMIENTOS!$A$5:$A$1005&lt;=$A755)*MOVIMIENTOS!$E$5:$E$1005)-SUMPRODUCT((MOVIMIENTOS!$B$5:$B$1005="REGALO")*(MOVIMIENTOS!$C$5:$C$1005="C")*(MOVIMIENTOS!$D$5:$D$1005="jabas")*(MOVIMIENTOS!$A$5:$A$1005&lt;&gt;"")*(MOVIMIENTOS!$A$5:$A$1005&lt;=$A755)*MOVIMIENTOS!$E$5:$E$1005)-SUMPRODUCT((MOVIMIENTOS!$B$5:$B$1005="VENTA")*(MOVIMIENTOS!$C$5:$C$1005="C")*(MOVIMIENTOS!$D$5:$D$1005="jabas")*(MOVIMIENTOS!$A$5:$A$1005&lt;&gt;"")*(MOVIMIENTOS!$A$5:$A$1005&lt;=$A755)*MOVIMIENTOS!$E$5:$E$1005)+SUMPRODUCT((MOVIMIENTOS!$B$5:$B$1005="AJUSTE")*(MOVIMIENTOS!$C$5:$C$1005="C")*(MOVIMIENTOS!$D$5:$D$1005="jabas")*(MOVIMIENTOS!$A$5:$A$1005&lt;&gt;"")*(MOVIMIENTOS!$A$5:$A$1005&lt;=$A755)*MOVIMIENTOS!$E$5:$E$1005))</f>
        <v/>
      </c>
      <c r="E755" t="str">
        <f>IF($A755="","",SUMPRODUCT((MOVIMIENTOS!$B$5:$B$1005="SALDO INICIAL")*(MOVIMIENTOS!$C$5:$C$1005="M")*(MOVIMIENTOS!$D$5:$D$1005="jabas")*(MOVIMIENTOS!$A$5:$A$1005&lt;&gt;"")*(MOVIMIENTOS!$A$5:$A$1005&lt;=$A755)*MOVIMIENTOS!$E$5:$E$1005)+SUMPRODUCT((MOVIMIENTOS!$B$5:$B$1005="PROCESO")*(MOVIMIENTOS!$C$5:$C$1005="M")*(MOVIMIENTOS!$D$5:$D$1005="jabas")*(MOVIMIENTOS!$A$5:$A$1005&lt;&gt;"")*(MOVIMIENTOS!$A$5:$A$1005&lt;=$A755)*MOVIMIENTOS!$E$5:$E$1005)-SUMPRODUCT((MOVIMIENTOS!$B$5:$B$1005="ENVÍO A SUPESA")*(MOVIMIENTOS!$C$5:$C$1005="M")*(MOVIMIENTOS!$D$5:$D$1005="jabas")*(MOVIMIENTOS!$A$5:$A$1005&lt;&gt;"")*(MOVIMIENTOS!$A$5:$A$1005&lt;=$A755)*MOVIMIENTOS!$E$5:$E$1005)+SUMPRODUCT((MOVIMIENTOS!$B$5:$B$1005="DEVOLUCIÓN")*(MOVIMIENTOS!$C$5:$C$1005="M")*(MOVIMIENTOS!$D$5:$D$1005="jabas")*(MOVIMIENTOS!$A$5:$A$1005&lt;&gt;"")*(MOVIMIENTOS!$A$5:$A$1005&lt;=$A755)*MOVIMIENTOS!$E$5:$E$1005)-SUMPRODUCT((MOVIMIENTOS!$B$5:$B$1005="TRASIEGO")*(MOVIMIENTOS!$C$5:$C$1005="M")*(MOVIMIENTOS!$D$5:$D$1005="jabas")*(MOVIMIENTOS!$A$5:$A$1005&lt;&gt;"")*(MOVIMIENTOS!$A$5:$A$1005&lt;=$A755)*MOVIMIENTOS!$E$5:$E$1005)-SUMPRODUCT((MOVIMIENTOS!$B$5:$B$1005="REGALO")*(MOVIMIENTOS!$C$5:$C$1005="M")*(MOVIMIENTOS!$D$5:$D$1005="jabas")*(MOVIMIENTOS!$A$5:$A$1005&lt;&gt;"")*(MOVIMIENTOS!$A$5:$A$1005&lt;=$A755)*MOVIMIENTOS!$E$5:$E$1005)-SUMPRODUCT((MOVIMIENTOS!$B$5:$B$1005="VENTA")*(MOVIMIENTOS!$C$5:$C$1005="M")*(MOVIMIENTOS!$D$5:$D$1005="jabas")*(MOVIMIENTOS!$A$5:$A$1005&lt;&gt;"")*(MOVIMIENTOS!$A$5:$A$1005&lt;=$A755)*MOVIMIENTOS!$E$5:$E$1005)+SUMPRODUCT((MOVIMIENTOS!$B$5:$B$1005="AJUSTE")*(MOVIMIENTOS!$C$5:$C$1005="M")*(MOVIMIENTOS!$D$5:$D$1005="jabas")*(MOVIMIENTOS!$A$5:$A$1005&lt;&gt;"")*(MOVIMIENTOS!$A$5:$A$1005&lt;=$A755)*MOVIMIENTOS!$E$5:$E$1005))</f>
        <v/>
      </c>
      <c r="F755" s="62" t="str">
        <f>IF($A755="","",SUMPRODUCT((MOVIMIENTOS!$B$5:$B$1005="SALDO INICIAL")*(MOVIMIENTOS!$C$5:$C$1005="Chancho")*(MOVIMIENTOS!$D$5:$D$1005="sacos")*(MOVIMIENTOS!$A$5:$A$1005&lt;&gt;"")*(MOVIMIENTOS!$A$5:$A$1005&lt;=$A755)*MOVIMIENTOS!$E$5:$E$1005)+SUMPRODUCT((MOVIMIENTOS!$B$5:$B$1005="PROCESO")*(MOVIMIENTOS!$C$5:$C$1005="Chancho")*(MOVIMIENTOS!$D$5:$D$1005="sacos")*(MOVIMIENTOS!$A$5:$A$1005&lt;&gt;"")*(MOVIMIENTOS!$A$5:$A$1005&lt;=$A755)*MOVIMIENTOS!$E$5:$E$1005)-SUMPRODUCT((MOVIMIENTOS!$B$5:$B$1005="VENTA CHANCHO")*(MOVIMIENTOS!$C$5:$C$1005="Chancho")*(MOVIMIENTOS!$D$5:$D$1005="sacos")*(MOVIMIENTOS!$A$5:$A$1005&lt;&gt;"")*(MOVIMIENTOS!$A$5:$A$1005&lt;=$A755)*MOVIMIENTOS!$E$5:$E$1005)-SUMPRODUCT((MOVIMIENTOS!$B$5:$B$1005="REGALO")*(MOVIMIENTOS!$C$5:$C$1005="Chancho")*(MOVIMIENTOS!$D$5:$D$1005="sacos")*(MOVIMIENTOS!$A$5:$A$1005&lt;&gt;"")*(MOVIMIENTOS!$A$5:$A$1005&lt;=$A755)*MOVIMIENTOS!$E$5:$E$1005)-SUMPRODUCT((MOVIMIENTOS!$B$5:$B$1005="VENTA")*(MOVIMIENTOS!$C$5:$C$1005="Chancho")*(MOVIMIENTOS!$D$5:$D$1005="sacos")*(MOVIMIENTOS!$A$5:$A$1005&lt;&gt;"")*(MOVIMIENTOS!$A$5:$A$1005&lt;=$A755)*MOVIMIENTOS!$E$5:$E$1005)+SUMPRODUCT((MOVIMIENTOS!$B$5:$B$1005="AJUSTE")*(MOVIMIENTOS!$C$5:$C$1005="Chancho")*(MOVIMIENTOS!$D$5:$D$1005="sacos")*(MOVIMIENTOS!$A$5:$A$1005&lt;&gt;"")*(MOVIMIENTOS!$A$5:$A$1005&lt;=$A755)*MOVIMIENTOS!$E$5:$E$1005))</f>
        <v/>
      </c>
      <c r="G755" s="62" t="str">
        <f t="shared" si="23"/>
        <v/>
      </c>
      <c r="H755" t="str">
        <f>IF($A755="","",SUMPRODUCT((((MOVIMIENTOS!$B$5:$B$1005="SALDO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755)*MOVIMIENTOS!$J$5:$J$1005))</f>
        <v/>
      </c>
      <c r="J755" t="str">
        <f>IF(AND(MOVIMIENTOS!$A760&lt;&gt;"",COUNTIF(MOVIMIENTOS!$A$5:$A759,MOVIMIENTOS!$A760)=0),COUNT(J$4:J754)+1,"")</f>
        <v/>
      </c>
      <c r="K755">
        <f>MOVIMIENTOS!$A760</f>
        <v>0</v>
      </c>
    </row>
    <row r="756" spans="1:11" ht="15" customHeight="1" x14ac:dyDescent="0.2">
      <c r="A756" t="str">
        <f t="shared" si="22"/>
        <v/>
      </c>
      <c r="B756" t="str">
        <f>IF($A756="","",SUMPRODUCT((MOVIMIENTOS!$B$5:$B$1005="SALDO INICIAL")*(MOVIMIENTOS!$C$5:$C$1005="A")*(MOVIMIENTOS!$D$5:$D$1005="jabas")*(MOVIMIENTOS!$A$5:$A$1005&lt;&gt;"")*(MOVIMIENTOS!$A$5:$A$1005&lt;=$A756)*MOVIMIENTOS!$E$5:$E$1005)+SUMPRODUCT((MOVIMIENTOS!$B$5:$B$1005="PROCESO")*(MOVIMIENTOS!$C$5:$C$1005="A")*(MOVIMIENTOS!$D$5:$D$1005="jabas")*(MOVIMIENTOS!$A$5:$A$1005&lt;&gt;"")*(MOVIMIENTOS!$A$5:$A$1005&lt;=$A756)*MOVIMIENTOS!$E$5:$E$1005)-SUMPRODUCT((MOVIMIENTOS!$B$5:$B$1005="ENVÍO A SUPESA")*(MOVIMIENTOS!$C$5:$C$1005="A")*(MOVIMIENTOS!$D$5:$D$1005="jabas")*(MOVIMIENTOS!$A$5:$A$1005&lt;&gt;"")*(MOVIMIENTOS!$A$5:$A$1005&lt;=$A756)*MOVIMIENTOS!$E$5:$E$1005)+SUMPRODUCT((MOVIMIENTOS!$B$5:$B$1005="DEVOLUCIÓN")*(MOVIMIENTOS!$C$5:$C$1005="A")*(MOVIMIENTOS!$D$5:$D$1005="jabas")*(MOVIMIENTOS!$A$5:$A$1005&lt;&gt;"")*(MOVIMIENTOS!$A$5:$A$1005&lt;=$A756)*MOVIMIENTOS!$E$5:$E$1005)-SUMPRODUCT((MOVIMIENTOS!$B$5:$B$1005="TRASIEGO")*(MOVIMIENTOS!$C$5:$C$1005="A")*(MOVIMIENTOS!$D$5:$D$1005="jabas")*(MOVIMIENTOS!$A$5:$A$1005&lt;&gt;"")*(MOVIMIENTOS!$A$5:$A$1005&lt;=$A756)*MOVIMIENTOS!$E$5:$E$1005)-SUMPRODUCT((MOVIMIENTOS!$B$5:$B$1005="REGALO")*(MOVIMIENTOS!$C$5:$C$1005="A")*(MOVIMIENTOS!$D$5:$D$1005="jabas")*(MOVIMIENTOS!$A$5:$A$1005&lt;&gt;"")*(MOVIMIENTOS!$A$5:$A$1005&lt;=$A756)*MOVIMIENTOS!$E$5:$E$1005)-SUMPRODUCT((MOVIMIENTOS!$B$5:$B$1005="VENTA")*(MOVIMIENTOS!$C$5:$C$1005="A")*(MOVIMIENTOS!$D$5:$D$1005="jabas")*(MOVIMIENTOS!$A$5:$A$1005&lt;&gt;"")*(MOVIMIENTOS!$A$5:$A$1005&lt;=$A756)*MOVIMIENTOS!$E$5:$E$1005)+SUMPRODUCT((MOVIMIENTOS!$B$5:$B$1005="AJUSTE")*(MOVIMIENTOS!$C$5:$C$1005="A")*(MOVIMIENTOS!$D$5:$D$1005="jabas")*(MOVIMIENTOS!$A$5:$A$1005&lt;&gt;"")*(MOVIMIENTOS!$A$5:$A$1005&lt;=$A756)*MOVIMIENTOS!$E$5:$E$1005))</f>
        <v/>
      </c>
      <c r="C756" t="str">
        <f>IF($A756="","",SUMPRODUCT((MOVIMIENTOS!$B$5:$B$1005="SALDO INICIAL")*(MOVIMIENTOS!$C$5:$C$1005="P")*(MOVIMIENTOS!$D$5:$D$1005="jabas")*(MOVIMIENTOS!$A$5:$A$1005&lt;&gt;"")*(MOVIMIENTOS!$A$5:$A$1005&lt;=$A756)*MOVIMIENTOS!$E$5:$E$1005)+SUMPRODUCT((MOVIMIENTOS!$B$5:$B$1005="PROCESO")*(MOVIMIENTOS!$C$5:$C$1005="P")*(MOVIMIENTOS!$D$5:$D$1005="jabas")*(MOVIMIENTOS!$A$5:$A$1005&lt;&gt;"")*(MOVIMIENTOS!$A$5:$A$1005&lt;=$A756)*MOVIMIENTOS!$E$5:$E$1005)-SUMPRODUCT((MOVIMIENTOS!$B$5:$B$1005="ENVÍO A SUPESA")*(MOVIMIENTOS!$C$5:$C$1005="P")*(MOVIMIENTOS!$D$5:$D$1005="jabas")*(MOVIMIENTOS!$A$5:$A$1005&lt;&gt;"")*(MOVIMIENTOS!$A$5:$A$1005&lt;=$A756)*MOVIMIENTOS!$E$5:$E$1005)+SUMPRODUCT((MOVIMIENTOS!$B$5:$B$1005="DEVOLUCIÓN")*(MOVIMIENTOS!$C$5:$C$1005="P")*(MOVIMIENTOS!$D$5:$D$1005="jabas")*(MOVIMIENTOS!$A$5:$A$1005&lt;&gt;"")*(MOVIMIENTOS!$A$5:$A$1005&lt;=$A756)*MOVIMIENTOS!$E$5:$E$1005)-SUMPRODUCT((MOVIMIENTOS!$B$5:$B$1005="TRASIEGO")*(MOVIMIENTOS!$C$5:$C$1005="P")*(MOVIMIENTOS!$D$5:$D$1005="jabas")*(MOVIMIENTOS!$A$5:$A$1005&lt;&gt;"")*(MOVIMIENTOS!$A$5:$A$1005&lt;=$A756)*MOVIMIENTOS!$E$5:$E$1005)-SUMPRODUCT((MOVIMIENTOS!$B$5:$B$1005="REGALO")*(MOVIMIENTOS!$C$5:$C$1005="P")*(MOVIMIENTOS!$D$5:$D$1005="jabas")*(MOVIMIENTOS!$A$5:$A$1005&lt;&gt;"")*(MOVIMIENTOS!$A$5:$A$1005&lt;=$A756)*MOVIMIENTOS!$E$5:$E$1005)-SUMPRODUCT((MOVIMIENTOS!$B$5:$B$1005="VENTA")*(MOVIMIENTOS!$C$5:$C$1005="P")*(MOVIMIENTOS!$D$5:$D$1005="jabas")*(MOVIMIENTOS!$A$5:$A$1005&lt;&gt;"")*(MOVIMIENTOS!$A$5:$A$1005&lt;=$A756)*MOVIMIENTOS!$E$5:$E$1005)+SUMPRODUCT((MOVIMIENTOS!$B$5:$B$1005="AJUSTE")*(MOVIMIENTOS!$C$5:$C$1005="P")*(MOVIMIENTOS!$D$5:$D$1005="jabas")*(MOVIMIENTOS!$A$5:$A$1005&lt;&gt;"")*(MOVIMIENTOS!$A$5:$A$1005&lt;=$A756)*MOVIMIENTOS!$E$5:$E$1005))</f>
        <v/>
      </c>
      <c r="D756" t="str">
        <f>IF($A756="","",SUMPRODUCT((MOVIMIENTOS!$B$5:$B$1005="SALDO INICIAL")*(MOVIMIENTOS!$C$5:$C$1005="C")*(MOVIMIENTOS!$D$5:$D$1005="jabas")*(MOVIMIENTOS!$A$5:$A$1005&lt;&gt;"")*(MOVIMIENTOS!$A$5:$A$1005&lt;=$A756)*MOVIMIENTOS!$E$5:$E$1005)+SUMPRODUCT((MOVIMIENTOS!$B$5:$B$1005="PROCESO")*(MOVIMIENTOS!$C$5:$C$1005="C")*(MOVIMIENTOS!$D$5:$D$1005="jabas")*(MOVIMIENTOS!$A$5:$A$1005&lt;&gt;"")*(MOVIMIENTOS!$A$5:$A$1005&lt;=$A756)*MOVIMIENTOS!$E$5:$E$1005)-SUMPRODUCT((MOVIMIENTOS!$B$5:$B$1005="ENVÍO A SUPESA")*(MOVIMIENTOS!$C$5:$C$1005="C")*(MOVIMIENTOS!$D$5:$D$1005="jabas")*(MOVIMIENTOS!$A$5:$A$1005&lt;&gt;"")*(MOVIMIENTOS!$A$5:$A$1005&lt;=$A756)*MOVIMIENTOS!$E$5:$E$1005)+SUMPRODUCT((MOVIMIENTOS!$B$5:$B$1005="DEVOLUCIÓN")*(MOVIMIENTOS!$C$5:$C$1005="C")*(MOVIMIENTOS!$D$5:$D$1005="jabas")*(MOVIMIENTOS!$A$5:$A$1005&lt;&gt;"")*(MOVIMIENTOS!$A$5:$A$1005&lt;=$A756)*MOVIMIENTOS!$E$5:$E$1005)-SUMPRODUCT((MOVIMIENTOS!$B$5:$B$1005="TRASIEGO")*(MOVIMIENTOS!$C$5:$C$1005="C")*(MOVIMIENTOS!$D$5:$D$1005="jabas")*(MOVIMIENTOS!$A$5:$A$1005&lt;&gt;"")*(MOVIMIENTOS!$A$5:$A$1005&lt;=$A756)*MOVIMIENTOS!$E$5:$E$1005)-SUMPRODUCT((MOVIMIENTOS!$B$5:$B$1005="REGALO")*(MOVIMIENTOS!$C$5:$C$1005="C")*(MOVIMIENTOS!$D$5:$D$1005="jabas")*(MOVIMIENTOS!$A$5:$A$1005&lt;&gt;"")*(MOVIMIENTOS!$A$5:$A$1005&lt;=$A756)*MOVIMIENTOS!$E$5:$E$1005)-SUMPRODUCT((MOVIMIENTOS!$B$5:$B$1005="VENTA")*(MOVIMIENTOS!$C$5:$C$1005="C")*(MOVIMIENTOS!$D$5:$D$1005="jabas")*(MOVIMIENTOS!$A$5:$A$1005&lt;&gt;"")*(MOVIMIENTOS!$A$5:$A$1005&lt;=$A756)*MOVIMIENTOS!$E$5:$E$1005)+SUMPRODUCT((MOVIMIENTOS!$B$5:$B$1005="AJUSTE")*(MOVIMIENTOS!$C$5:$C$1005="C")*(MOVIMIENTOS!$D$5:$D$1005="jabas")*(MOVIMIENTOS!$A$5:$A$1005&lt;&gt;"")*(MOVIMIENTOS!$A$5:$A$1005&lt;=$A756)*MOVIMIENTOS!$E$5:$E$1005))</f>
        <v/>
      </c>
      <c r="E756" t="str">
        <f>IF($A756="","",SUMPRODUCT((MOVIMIENTOS!$B$5:$B$1005="SALDO INICIAL")*(MOVIMIENTOS!$C$5:$C$1005="M")*(MOVIMIENTOS!$D$5:$D$1005="jabas")*(MOVIMIENTOS!$A$5:$A$1005&lt;&gt;"")*(MOVIMIENTOS!$A$5:$A$1005&lt;=$A756)*MOVIMIENTOS!$E$5:$E$1005)+SUMPRODUCT((MOVIMIENTOS!$B$5:$B$1005="PROCESO")*(MOVIMIENTOS!$C$5:$C$1005="M")*(MOVIMIENTOS!$D$5:$D$1005="jabas")*(MOVIMIENTOS!$A$5:$A$1005&lt;&gt;"")*(MOVIMIENTOS!$A$5:$A$1005&lt;=$A756)*MOVIMIENTOS!$E$5:$E$1005)-SUMPRODUCT((MOVIMIENTOS!$B$5:$B$1005="ENVÍO A SUPESA")*(MOVIMIENTOS!$C$5:$C$1005="M")*(MOVIMIENTOS!$D$5:$D$1005="jabas")*(MOVIMIENTOS!$A$5:$A$1005&lt;&gt;"")*(MOVIMIENTOS!$A$5:$A$1005&lt;=$A756)*MOVIMIENTOS!$E$5:$E$1005)+SUMPRODUCT((MOVIMIENTOS!$B$5:$B$1005="DEVOLUCIÓN")*(MOVIMIENTOS!$C$5:$C$1005="M")*(MOVIMIENTOS!$D$5:$D$1005="jabas")*(MOVIMIENTOS!$A$5:$A$1005&lt;&gt;"")*(MOVIMIENTOS!$A$5:$A$1005&lt;=$A756)*MOVIMIENTOS!$E$5:$E$1005)-SUMPRODUCT((MOVIMIENTOS!$B$5:$B$1005="TRASIEGO")*(MOVIMIENTOS!$C$5:$C$1005="M")*(MOVIMIENTOS!$D$5:$D$1005="jabas")*(MOVIMIENTOS!$A$5:$A$1005&lt;&gt;"")*(MOVIMIENTOS!$A$5:$A$1005&lt;=$A756)*MOVIMIENTOS!$E$5:$E$1005)-SUMPRODUCT((MOVIMIENTOS!$B$5:$B$1005="REGALO")*(MOVIMIENTOS!$C$5:$C$1005="M")*(MOVIMIENTOS!$D$5:$D$1005="jabas")*(MOVIMIENTOS!$A$5:$A$1005&lt;&gt;"")*(MOVIMIENTOS!$A$5:$A$1005&lt;=$A756)*MOVIMIENTOS!$E$5:$E$1005)-SUMPRODUCT((MOVIMIENTOS!$B$5:$B$1005="VENTA")*(MOVIMIENTOS!$C$5:$C$1005="M")*(MOVIMIENTOS!$D$5:$D$1005="jabas")*(MOVIMIENTOS!$A$5:$A$1005&lt;&gt;"")*(MOVIMIENTOS!$A$5:$A$1005&lt;=$A756)*MOVIMIENTOS!$E$5:$E$1005)+SUMPRODUCT((MOVIMIENTOS!$B$5:$B$1005="AJUSTE")*(MOVIMIENTOS!$C$5:$C$1005="M")*(MOVIMIENTOS!$D$5:$D$1005="jabas")*(MOVIMIENTOS!$A$5:$A$1005&lt;&gt;"")*(MOVIMIENTOS!$A$5:$A$1005&lt;=$A756)*MOVIMIENTOS!$E$5:$E$1005))</f>
        <v/>
      </c>
      <c r="F756" s="62" t="str">
        <f>IF($A756="","",SUMPRODUCT((MOVIMIENTOS!$B$5:$B$1005="SALDO INICIAL")*(MOVIMIENTOS!$C$5:$C$1005="Chancho")*(MOVIMIENTOS!$D$5:$D$1005="sacos")*(MOVIMIENTOS!$A$5:$A$1005&lt;&gt;"")*(MOVIMIENTOS!$A$5:$A$1005&lt;=$A756)*MOVIMIENTOS!$E$5:$E$1005)+SUMPRODUCT((MOVIMIENTOS!$B$5:$B$1005="PROCESO")*(MOVIMIENTOS!$C$5:$C$1005="Chancho")*(MOVIMIENTOS!$D$5:$D$1005="sacos")*(MOVIMIENTOS!$A$5:$A$1005&lt;&gt;"")*(MOVIMIENTOS!$A$5:$A$1005&lt;=$A756)*MOVIMIENTOS!$E$5:$E$1005)-SUMPRODUCT((MOVIMIENTOS!$B$5:$B$1005="VENTA CHANCHO")*(MOVIMIENTOS!$C$5:$C$1005="Chancho")*(MOVIMIENTOS!$D$5:$D$1005="sacos")*(MOVIMIENTOS!$A$5:$A$1005&lt;&gt;"")*(MOVIMIENTOS!$A$5:$A$1005&lt;=$A756)*MOVIMIENTOS!$E$5:$E$1005)-SUMPRODUCT((MOVIMIENTOS!$B$5:$B$1005="REGALO")*(MOVIMIENTOS!$C$5:$C$1005="Chancho")*(MOVIMIENTOS!$D$5:$D$1005="sacos")*(MOVIMIENTOS!$A$5:$A$1005&lt;&gt;"")*(MOVIMIENTOS!$A$5:$A$1005&lt;=$A756)*MOVIMIENTOS!$E$5:$E$1005)-SUMPRODUCT((MOVIMIENTOS!$B$5:$B$1005="VENTA")*(MOVIMIENTOS!$C$5:$C$1005="Chancho")*(MOVIMIENTOS!$D$5:$D$1005="sacos")*(MOVIMIENTOS!$A$5:$A$1005&lt;&gt;"")*(MOVIMIENTOS!$A$5:$A$1005&lt;=$A756)*MOVIMIENTOS!$E$5:$E$1005)+SUMPRODUCT((MOVIMIENTOS!$B$5:$B$1005="AJUSTE")*(MOVIMIENTOS!$C$5:$C$1005="Chancho")*(MOVIMIENTOS!$D$5:$D$1005="sacos")*(MOVIMIENTOS!$A$5:$A$1005&lt;&gt;"")*(MOVIMIENTOS!$A$5:$A$1005&lt;=$A756)*MOVIMIENTOS!$E$5:$E$1005))</f>
        <v/>
      </c>
      <c r="G756" s="62" t="str">
        <f t="shared" si="23"/>
        <v/>
      </c>
      <c r="H756" t="str">
        <f>IF($A756="","",SUMPRODUCT((((MOVIMIENTOS!$B$5:$B$1005="SALDO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756)*MOVIMIENTOS!$J$5:$J$1005))</f>
        <v/>
      </c>
      <c r="J756" t="str">
        <f>IF(AND(MOVIMIENTOS!$A761&lt;&gt;"",COUNTIF(MOVIMIENTOS!$A$5:$A760,MOVIMIENTOS!$A761)=0),COUNT(J$4:J755)+1,"")</f>
        <v/>
      </c>
      <c r="K756">
        <f>MOVIMIENTOS!$A761</f>
        <v>0</v>
      </c>
    </row>
    <row r="757" spans="1:11" ht="15" customHeight="1" x14ac:dyDescent="0.2">
      <c r="A757" t="str">
        <f t="shared" si="22"/>
        <v/>
      </c>
      <c r="B757" t="str">
        <f>IF($A757="","",SUMPRODUCT((MOVIMIENTOS!$B$5:$B$1005="SALDO INICIAL")*(MOVIMIENTOS!$C$5:$C$1005="A")*(MOVIMIENTOS!$D$5:$D$1005="jabas")*(MOVIMIENTOS!$A$5:$A$1005&lt;&gt;"")*(MOVIMIENTOS!$A$5:$A$1005&lt;=$A757)*MOVIMIENTOS!$E$5:$E$1005)+SUMPRODUCT((MOVIMIENTOS!$B$5:$B$1005="PROCESO")*(MOVIMIENTOS!$C$5:$C$1005="A")*(MOVIMIENTOS!$D$5:$D$1005="jabas")*(MOVIMIENTOS!$A$5:$A$1005&lt;&gt;"")*(MOVIMIENTOS!$A$5:$A$1005&lt;=$A757)*MOVIMIENTOS!$E$5:$E$1005)-SUMPRODUCT((MOVIMIENTOS!$B$5:$B$1005="ENVÍO A SUPESA")*(MOVIMIENTOS!$C$5:$C$1005="A")*(MOVIMIENTOS!$D$5:$D$1005="jabas")*(MOVIMIENTOS!$A$5:$A$1005&lt;&gt;"")*(MOVIMIENTOS!$A$5:$A$1005&lt;=$A757)*MOVIMIENTOS!$E$5:$E$1005)+SUMPRODUCT((MOVIMIENTOS!$B$5:$B$1005="DEVOLUCIÓN")*(MOVIMIENTOS!$C$5:$C$1005="A")*(MOVIMIENTOS!$D$5:$D$1005="jabas")*(MOVIMIENTOS!$A$5:$A$1005&lt;&gt;"")*(MOVIMIENTOS!$A$5:$A$1005&lt;=$A757)*MOVIMIENTOS!$E$5:$E$1005)-SUMPRODUCT((MOVIMIENTOS!$B$5:$B$1005="TRASIEGO")*(MOVIMIENTOS!$C$5:$C$1005="A")*(MOVIMIENTOS!$D$5:$D$1005="jabas")*(MOVIMIENTOS!$A$5:$A$1005&lt;&gt;"")*(MOVIMIENTOS!$A$5:$A$1005&lt;=$A757)*MOVIMIENTOS!$E$5:$E$1005)-SUMPRODUCT((MOVIMIENTOS!$B$5:$B$1005="REGALO")*(MOVIMIENTOS!$C$5:$C$1005="A")*(MOVIMIENTOS!$D$5:$D$1005="jabas")*(MOVIMIENTOS!$A$5:$A$1005&lt;&gt;"")*(MOVIMIENTOS!$A$5:$A$1005&lt;=$A757)*MOVIMIENTOS!$E$5:$E$1005)-SUMPRODUCT((MOVIMIENTOS!$B$5:$B$1005="VENTA")*(MOVIMIENTOS!$C$5:$C$1005="A")*(MOVIMIENTOS!$D$5:$D$1005="jabas")*(MOVIMIENTOS!$A$5:$A$1005&lt;&gt;"")*(MOVIMIENTOS!$A$5:$A$1005&lt;=$A757)*MOVIMIENTOS!$E$5:$E$1005)+SUMPRODUCT((MOVIMIENTOS!$B$5:$B$1005="AJUSTE")*(MOVIMIENTOS!$C$5:$C$1005="A")*(MOVIMIENTOS!$D$5:$D$1005="jabas")*(MOVIMIENTOS!$A$5:$A$1005&lt;&gt;"")*(MOVIMIENTOS!$A$5:$A$1005&lt;=$A757)*MOVIMIENTOS!$E$5:$E$1005))</f>
        <v/>
      </c>
      <c r="C757" t="str">
        <f>IF($A757="","",SUMPRODUCT((MOVIMIENTOS!$B$5:$B$1005="SALDO INICIAL")*(MOVIMIENTOS!$C$5:$C$1005="P")*(MOVIMIENTOS!$D$5:$D$1005="jabas")*(MOVIMIENTOS!$A$5:$A$1005&lt;&gt;"")*(MOVIMIENTOS!$A$5:$A$1005&lt;=$A757)*MOVIMIENTOS!$E$5:$E$1005)+SUMPRODUCT((MOVIMIENTOS!$B$5:$B$1005="PROCESO")*(MOVIMIENTOS!$C$5:$C$1005="P")*(MOVIMIENTOS!$D$5:$D$1005="jabas")*(MOVIMIENTOS!$A$5:$A$1005&lt;&gt;"")*(MOVIMIENTOS!$A$5:$A$1005&lt;=$A757)*MOVIMIENTOS!$E$5:$E$1005)-SUMPRODUCT((MOVIMIENTOS!$B$5:$B$1005="ENVÍO A SUPESA")*(MOVIMIENTOS!$C$5:$C$1005="P")*(MOVIMIENTOS!$D$5:$D$1005="jabas")*(MOVIMIENTOS!$A$5:$A$1005&lt;&gt;"")*(MOVIMIENTOS!$A$5:$A$1005&lt;=$A757)*MOVIMIENTOS!$E$5:$E$1005)+SUMPRODUCT((MOVIMIENTOS!$B$5:$B$1005="DEVOLUCIÓN")*(MOVIMIENTOS!$C$5:$C$1005="P")*(MOVIMIENTOS!$D$5:$D$1005="jabas")*(MOVIMIENTOS!$A$5:$A$1005&lt;&gt;"")*(MOVIMIENTOS!$A$5:$A$1005&lt;=$A757)*MOVIMIENTOS!$E$5:$E$1005)-SUMPRODUCT((MOVIMIENTOS!$B$5:$B$1005="TRASIEGO")*(MOVIMIENTOS!$C$5:$C$1005="P")*(MOVIMIENTOS!$D$5:$D$1005="jabas")*(MOVIMIENTOS!$A$5:$A$1005&lt;&gt;"")*(MOVIMIENTOS!$A$5:$A$1005&lt;=$A757)*MOVIMIENTOS!$E$5:$E$1005)-SUMPRODUCT((MOVIMIENTOS!$B$5:$B$1005="REGALO")*(MOVIMIENTOS!$C$5:$C$1005="P")*(MOVIMIENTOS!$D$5:$D$1005="jabas")*(MOVIMIENTOS!$A$5:$A$1005&lt;&gt;"")*(MOVIMIENTOS!$A$5:$A$1005&lt;=$A757)*MOVIMIENTOS!$E$5:$E$1005)-SUMPRODUCT((MOVIMIENTOS!$B$5:$B$1005="VENTA")*(MOVIMIENTOS!$C$5:$C$1005="P")*(MOVIMIENTOS!$D$5:$D$1005="jabas")*(MOVIMIENTOS!$A$5:$A$1005&lt;&gt;"")*(MOVIMIENTOS!$A$5:$A$1005&lt;=$A757)*MOVIMIENTOS!$E$5:$E$1005)+SUMPRODUCT((MOVIMIENTOS!$B$5:$B$1005="AJUSTE")*(MOVIMIENTOS!$C$5:$C$1005="P")*(MOVIMIENTOS!$D$5:$D$1005="jabas")*(MOVIMIENTOS!$A$5:$A$1005&lt;&gt;"")*(MOVIMIENTOS!$A$5:$A$1005&lt;=$A757)*MOVIMIENTOS!$E$5:$E$1005))</f>
        <v/>
      </c>
      <c r="D757" t="str">
        <f>IF($A757="","",SUMPRODUCT((MOVIMIENTOS!$B$5:$B$1005="SALDO INICIAL")*(MOVIMIENTOS!$C$5:$C$1005="C")*(MOVIMIENTOS!$D$5:$D$1005="jabas")*(MOVIMIENTOS!$A$5:$A$1005&lt;&gt;"")*(MOVIMIENTOS!$A$5:$A$1005&lt;=$A757)*MOVIMIENTOS!$E$5:$E$1005)+SUMPRODUCT((MOVIMIENTOS!$B$5:$B$1005="PROCESO")*(MOVIMIENTOS!$C$5:$C$1005="C")*(MOVIMIENTOS!$D$5:$D$1005="jabas")*(MOVIMIENTOS!$A$5:$A$1005&lt;&gt;"")*(MOVIMIENTOS!$A$5:$A$1005&lt;=$A757)*MOVIMIENTOS!$E$5:$E$1005)-SUMPRODUCT((MOVIMIENTOS!$B$5:$B$1005="ENVÍO A SUPESA")*(MOVIMIENTOS!$C$5:$C$1005="C")*(MOVIMIENTOS!$D$5:$D$1005="jabas")*(MOVIMIENTOS!$A$5:$A$1005&lt;&gt;"")*(MOVIMIENTOS!$A$5:$A$1005&lt;=$A757)*MOVIMIENTOS!$E$5:$E$1005)+SUMPRODUCT((MOVIMIENTOS!$B$5:$B$1005="DEVOLUCIÓN")*(MOVIMIENTOS!$C$5:$C$1005="C")*(MOVIMIENTOS!$D$5:$D$1005="jabas")*(MOVIMIENTOS!$A$5:$A$1005&lt;&gt;"")*(MOVIMIENTOS!$A$5:$A$1005&lt;=$A757)*MOVIMIENTOS!$E$5:$E$1005)-SUMPRODUCT((MOVIMIENTOS!$B$5:$B$1005="TRASIEGO")*(MOVIMIENTOS!$C$5:$C$1005="C")*(MOVIMIENTOS!$D$5:$D$1005="jabas")*(MOVIMIENTOS!$A$5:$A$1005&lt;&gt;"")*(MOVIMIENTOS!$A$5:$A$1005&lt;=$A757)*MOVIMIENTOS!$E$5:$E$1005)-SUMPRODUCT((MOVIMIENTOS!$B$5:$B$1005="REGALO")*(MOVIMIENTOS!$C$5:$C$1005="C")*(MOVIMIENTOS!$D$5:$D$1005="jabas")*(MOVIMIENTOS!$A$5:$A$1005&lt;&gt;"")*(MOVIMIENTOS!$A$5:$A$1005&lt;=$A757)*MOVIMIENTOS!$E$5:$E$1005)-SUMPRODUCT((MOVIMIENTOS!$B$5:$B$1005="VENTA")*(MOVIMIENTOS!$C$5:$C$1005="C")*(MOVIMIENTOS!$D$5:$D$1005="jabas")*(MOVIMIENTOS!$A$5:$A$1005&lt;&gt;"")*(MOVIMIENTOS!$A$5:$A$1005&lt;=$A757)*MOVIMIENTOS!$E$5:$E$1005)+SUMPRODUCT((MOVIMIENTOS!$B$5:$B$1005="AJUSTE")*(MOVIMIENTOS!$C$5:$C$1005="C")*(MOVIMIENTOS!$D$5:$D$1005="jabas")*(MOVIMIENTOS!$A$5:$A$1005&lt;&gt;"")*(MOVIMIENTOS!$A$5:$A$1005&lt;=$A757)*MOVIMIENTOS!$E$5:$E$1005))</f>
        <v/>
      </c>
      <c r="E757" t="str">
        <f>IF($A757="","",SUMPRODUCT((MOVIMIENTOS!$B$5:$B$1005="SALDO INICIAL")*(MOVIMIENTOS!$C$5:$C$1005="M")*(MOVIMIENTOS!$D$5:$D$1005="jabas")*(MOVIMIENTOS!$A$5:$A$1005&lt;&gt;"")*(MOVIMIENTOS!$A$5:$A$1005&lt;=$A757)*MOVIMIENTOS!$E$5:$E$1005)+SUMPRODUCT((MOVIMIENTOS!$B$5:$B$1005="PROCESO")*(MOVIMIENTOS!$C$5:$C$1005="M")*(MOVIMIENTOS!$D$5:$D$1005="jabas")*(MOVIMIENTOS!$A$5:$A$1005&lt;&gt;"")*(MOVIMIENTOS!$A$5:$A$1005&lt;=$A757)*MOVIMIENTOS!$E$5:$E$1005)-SUMPRODUCT((MOVIMIENTOS!$B$5:$B$1005="ENVÍO A SUPESA")*(MOVIMIENTOS!$C$5:$C$1005="M")*(MOVIMIENTOS!$D$5:$D$1005="jabas")*(MOVIMIENTOS!$A$5:$A$1005&lt;&gt;"")*(MOVIMIENTOS!$A$5:$A$1005&lt;=$A757)*MOVIMIENTOS!$E$5:$E$1005)+SUMPRODUCT((MOVIMIENTOS!$B$5:$B$1005="DEVOLUCIÓN")*(MOVIMIENTOS!$C$5:$C$1005="M")*(MOVIMIENTOS!$D$5:$D$1005="jabas")*(MOVIMIENTOS!$A$5:$A$1005&lt;&gt;"")*(MOVIMIENTOS!$A$5:$A$1005&lt;=$A757)*MOVIMIENTOS!$E$5:$E$1005)-SUMPRODUCT((MOVIMIENTOS!$B$5:$B$1005="TRASIEGO")*(MOVIMIENTOS!$C$5:$C$1005="M")*(MOVIMIENTOS!$D$5:$D$1005="jabas")*(MOVIMIENTOS!$A$5:$A$1005&lt;&gt;"")*(MOVIMIENTOS!$A$5:$A$1005&lt;=$A757)*MOVIMIENTOS!$E$5:$E$1005)-SUMPRODUCT((MOVIMIENTOS!$B$5:$B$1005="REGALO")*(MOVIMIENTOS!$C$5:$C$1005="M")*(MOVIMIENTOS!$D$5:$D$1005="jabas")*(MOVIMIENTOS!$A$5:$A$1005&lt;&gt;"")*(MOVIMIENTOS!$A$5:$A$1005&lt;=$A757)*MOVIMIENTOS!$E$5:$E$1005)-SUMPRODUCT((MOVIMIENTOS!$B$5:$B$1005="VENTA")*(MOVIMIENTOS!$C$5:$C$1005="M")*(MOVIMIENTOS!$D$5:$D$1005="jabas")*(MOVIMIENTOS!$A$5:$A$1005&lt;&gt;"")*(MOVIMIENTOS!$A$5:$A$1005&lt;=$A757)*MOVIMIENTOS!$E$5:$E$1005)+SUMPRODUCT((MOVIMIENTOS!$B$5:$B$1005="AJUSTE")*(MOVIMIENTOS!$C$5:$C$1005="M")*(MOVIMIENTOS!$D$5:$D$1005="jabas")*(MOVIMIENTOS!$A$5:$A$1005&lt;&gt;"")*(MOVIMIENTOS!$A$5:$A$1005&lt;=$A757)*MOVIMIENTOS!$E$5:$E$1005))</f>
        <v/>
      </c>
      <c r="F757" s="62" t="str">
        <f>IF($A757="","",SUMPRODUCT((MOVIMIENTOS!$B$5:$B$1005="SALDO INICIAL")*(MOVIMIENTOS!$C$5:$C$1005="Chancho")*(MOVIMIENTOS!$D$5:$D$1005="sacos")*(MOVIMIENTOS!$A$5:$A$1005&lt;&gt;"")*(MOVIMIENTOS!$A$5:$A$1005&lt;=$A757)*MOVIMIENTOS!$E$5:$E$1005)+SUMPRODUCT((MOVIMIENTOS!$B$5:$B$1005="PROCESO")*(MOVIMIENTOS!$C$5:$C$1005="Chancho")*(MOVIMIENTOS!$D$5:$D$1005="sacos")*(MOVIMIENTOS!$A$5:$A$1005&lt;&gt;"")*(MOVIMIENTOS!$A$5:$A$1005&lt;=$A757)*MOVIMIENTOS!$E$5:$E$1005)-SUMPRODUCT((MOVIMIENTOS!$B$5:$B$1005="VENTA CHANCHO")*(MOVIMIENTOS!$C$5:$C$1005="Chancho")*(MOVIMIENTOS!$D$5:$D$1005="sacos")*(MOVIMIENTOS!$A$5:$A$1005&lt;&gt;"")*(MOVIMIENTOS!$A$5:$A$1005&lt;=$A757)*MOVIMIENTOS!$E$5:$E$1005)-SUMPRODUCT((MOVIMIENTOS!$B$5:$B$1005="REGALO")*(MOVIMIENTOS!$C$5:$C$1005="Chancho")*(MOVIMIENTOS!$D$5:$D$1005="sacos")*(MOVIMIENTOS!$A$5:$A$1005&lt;&gt;"")*(MOVIMIENTOS!$A$5:$A$1005&lt;=$A757)*MOVIMIENTOS!$E$5:$E$1005)-SUMPRODUCT((MOVIMIENTOS!$B$5:$B$1005="VENTA")*(MOVIMIENTOS!$C$5:$C$1005="Chancho")*(MOVIMIENTOS!$D$5:$D$1005="sacos")*(MOVIMIENTOS!$A$5:$A$1005&lt;&gt;"")*(MOVIMIENTOS!$A$5:$A$1005&lt;=$A757)*MOVIMIENTOS!$E$5:$E$1005)+SUMPRODUCT((MOVIMIENTOS!$B$5:$B$1005="AJUSTE")*(MOVIMIENTOS!$C$5:$C$1005="Chancho")*(MOVIMIENTOS!$D$5:$D$1005="sacos")*(MOVIMIENTOS!$A$5:$A$1005&lt;&gt;"")*(MOVIMIENTOS!$A$5:$A$1005&lt;=$A757)*MOVIMIENTOS!$E$5:$E$1005))</f>
        <v/>
      </c>
      <c r="G757" s="62" t="str">
        <f t="shared" si="23"/>
        <v/>
      </c>
      <c r="H757" t="str">
        <f>IF($A757="","",SUMPRODUCT((((MOVIMIENTOS!$B$5:$B$1005="SALDO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757)*MOVIMIENTOS!$J$5:$J$1005))</f>
        <v/>
      </c>
      <c r="J757" t="str">
        <f>IF(AND(MOVIMIENTOS!$A762&lt;&gt;"",COUNTIF(MOVIMIENTOS!$A$5:$A761,MOVIMIENTOS!$A762)=0),COUNT(J$4:J756)+1,"")</f>
        <v/>
      </c>
      <c r="K757">
        <f>MOVIMIENTOS!$A762</f>
        <v>0</v>
      </c>
    </row>
    <row r="758" spans="1:11" ht="15" customHeight="1" x14ac:dyDescent="0.2">
      <c r="A758" t="str">
        <f t="shared" si="22"/>
        <v/>
      </c>
      <c r="B758" t="str">
        <f>IF($A758="","",SUMPRODUCT((MOVIMIENTOS!$B$5:$B$1005="SALDO INICIAL")*(MOVIMIENTOS!$C$5:$C$1005="A")*(MOVIMIENTOS!$D$5:$D$1005="jabas")*(MOVIMIENTOS!$A$5:$A$1005&lt;&gt;"")*(MOVIMIENTOS!$A$5:$A$1005&lt;=$A758)*MOVIMIENTOS!$E$5:$E$1005)+SUMPRODUCT((MOVIMIENTOS!$B$5:$B$1005="PROCESO")*(MOVIMIENTOS!$C$5:$C$1005="A")*(MOVIMIENTOS!$D$5:$D$1005="jabas")*(MOVIMIENTOS!$A$5:$A$1005&lt;&gt;"")*(MOVIMIENTOS!$A$5:$A$1005&lt;=$A758)*MOVIMIENTOS!$E$5:$E$1005)-SUMPRODUCT((MOVIMIENTOS!$B$5:$B$1005="ENVÍO A SUPESA")*(MOVIMIENTOS!$C$5:$C$1005="A")*(MOVIMIENTOS!$D$5:$D$1005="jabas")*(MOVIMIENTOS!$A$5:$A$1005&lt;&gt;"")*(MOVIMIENTOS!$A$5:$A$1005&lt;=$A758)*MOVIMIENTOS!$E$5:$E$1005)+SUMPRODUCT((MOVIMIENTOS!$B$5:$B$1005="DEVOLUCIÓN")*(MOVIMIENTOS!$C$5:$C$1005="A")*(MOVIMIENTOS!$D$5:$D$1005="jabas")*(MOVIMIENTOS!$A$5:$A$1005&lt;&gt;"")*(MOVIMIENTOS!$A$5:$A$1005&lt;=$A758)*MOVIMIENTOS!$E$5:$E$1005)-SUMPRODUCT((MOVIMIENTOS!$B$5:$B$1005="TRASIEGO")*(MOVIMIENTOS!$C$5:$C$1005="A")*(MOVIMIENTOS!$D$5:$D$1005="jabas")*(MOVIMIENTOS!$A$5:$A$1005&lt;&gt;"")*(MOVIMIENTOS!$A$5:$A$1005&lt;=$A758)*MOVIMIENTOS!$E$5:$E$1005)-SUMPRODUCT((MOVIMIENTOS!$B$5:$B$1005="REGALO")*(MOVIMIENTOS!$C$5:$C$1005="A")*(MOVIMIENTOS!$D$5:$D$1005="jabas")*(MOVIMIENTOS!$A$5:$A$1005&lt;&gt;"")*(MOVIMIENTOS!$A$5:$A$1005&lt;=$A758)*MOVIMIENTOS!$E$5:$E$1005)-SUMPRODUCT((MOVIMIENTOS!$B$5:$B$1005="VENTA")*(MOVIMIENTOS!$C$5:$C$1005="A")*(MOVIMIENTOS!$D$5:$D$1005="jabas")*(MOVIMIENTOS!$A$5:$A$1005&lt;&gt;"")*(MOVIMIENTOS!$A$5:$A$1005&lt;=$A758)*MOVIMIENTOS!$E$5:$E$1005)+SUMPRODUCT((MOVIMIENTOS!$B$5:$B$1005="AJUSTE")*(MOVIMIENTOS!$C$5:$C$1005="A")*(MOVIMIENTOS!$D$5:$D$1005="jabas")*(MOVIMIENTOS!$A$5:$A$1005&lt;&gt;"")*(MOVIMIENTOS!$A$5:$A$1005&lt;=$A758)*MOVIMIENTOS!$E$5:$E$1005))</f>
        <v/>
      </c>
      <c r="C758" t="str">
        <f>IF($A758="","",SUMPRODUCT((MOVIMIENTOS!$B$5:$B$1005="SALDO INICIAL")*(MOVIMIENTOS!$C$5:$C$1005="P")*(MOVIMIENTOS!$D$5:$D$1005="jabas")*(MOVIMIENTOS!$A$5:$A$1005&lt;&gt;"")*(MOVIMIENTOS!$A$5:$A$1005&lt;=$A758)*MOVIMIENTOS!$E$5:$E$1005)+SUMPRODUCT((MOVIMIENTOS!$B$5:$B$1005="PROCESO")*(MOVIMIENTOS!$C$5:$C$1005="P")*(MOVIMIENTOS!$D$5:$D$1005="jabas")*(MOVIMIENTOS!$A$5:$A$1005&lt;&gt;"")*(MOVIMIENTOS!$A$5:$A$1005&lt;=$A758)*MOVIMIENTOS!$E$5:$E$1005)-SUMPRODUCT((MOVIMIENTOS!$B$5:$B$1005="ENVÍO A SUPESA")*(MOVIMIENTOS!$C$5:$C$1005="P")*(MOVIMIENTOS!$D$5:$D$1005="jabas")*(MOVIMIENTOS!$A$5:$A$1005&lt;&gt;"")*(MOVIMIENTOS!$A$5:$A$1005&lt;=$A758)*MOVIMIENTOS!$E$5:$E$1005)+SUMPRODUCT((MOVIMIENTOS!$B$5:$B$1005="DEVOLUCIÓN")*(MOVIMIENTOS!$C$5:$C$1005="P")*(MOVIMIENTOS!$D$5:$D$1005="jabas")*(MOVIMIENTOS!$A$5:$A$1005&lt;&gt;"")*(MOVIMIENTOS!$A$5:$A$1005&lt;=$A758)*MOVIMIENTOS!$E$5:$E$1005)-SUMPRODUCT((MOVIMIENTOS!$B$5:$B$1005="TRASIEGO")*(MOVIMIENTOS!$C$5:$C$1005="P")*(MOVIMIENTOS!$D$5:$D$1005="jabas")*(MOVIMIENTOS!$A$5:$A$1005&lt;&gt;"")*(MOVIMIENTOS!$A$5:$A$1005&lt;=$A758)*MOVIMIENTOS!$E$5:$E$1005)-SUMPRODUCT((MOVIMIENTOS!$B$5:$B$1005="REGALO")*(MOVIMIENTOS!$C$5:$C$1005="P")*(MOVIMIENTOS!$D$5:$D$1005="jabas")*(MOVIMIENTOS!$A$5:$A$1005&lt;&gt;"")*(MOVIMIENTOS!$A$5:$A$1005&lt;=$A758)*MOVIMIENTOS!$E$5:$E$1005)-SUMPRODUCT((MOVIMIENTOS!$B$5:$B$1005="VENTA")*(MOVIMIENTOS!$C$5:$C$1005="P")*(MOVIMIENTOS!$D$5:$D$1005="jabas")*(MOVIMIENTOS!$A$5:$A$1005&lt;&gt;"")*(MOVIMIENTOS!$A$5:$A$1005&lt;=$A758)*MOVIMIENTOS!$E$5:$E$1005)+SUMPRODUCT((MOVIMIENTOS!$B$5:$B$1005="AJUSTE")*(MOVIMIENTOS!$C$5:$C$1005="P")*(MOVIMIENTOS!$D$5:$D$1005="jabas")*(MOVIMIENTOS!$A$5:$A$1005&lt;&gt;"")*(MOVIMIENTOS!$A$5:$A$1005&lt;=$A758)*MOVIMIENTOS!$E$5:$E$1005))</f>
        <v/>
      </c>
      <c r="D758" t="str">
        <f>IF($A758="","",SUMPRODUCT((MOVIMIENTOS!$B$5:$B$1005="SALDO INICIAL")*(MOVIMIENTOS!$C$5:$C$1005="C")*(MOVIMIENTOS!$D$5:$D$1005="jabas")*(MOVIMIENTOS!$A$5:$A$1005&lt;&gt;"")*(MOVIMIENTOS!$A$5:$A$1005&lt;=$A758)*MOVIMIENTOS!$E$5:$E$1005)+SUMPRODUCT((MOVIMIENTOS!$B$5:$B$1005="PROCESO")*(MOVIMIENTOS!$C$5:$C$1005="C")*(MOVIMIENTOS!$D$5:$D$1005="jabas")*(MOVIMIENTOS!$A$5:$A$1005&lt;&gt;"")*(MOVIMIENTOS!$A$5:$A$1005&lt;=$A758)*MOVIMIENTOS!$E$5:$E$1005)-SUMPRODUCT((MOVIMIENTOS!$B$5:$B$1005="ENVÍO A SUPESA")*(MOVIMIENTOS!$C$5:$C$1005="C")*(MOVIMIENTOS!$D$5:$D$1005="jabas")*(MOVIMIENTOS!$A$5:$A$1005&lt;&gt;"")*(MOVIMIENTOS!$A$5:$A$1005&lt;=$A758)*MOVIMIENTOS!$E$5:$E$1005)+SUMPRODUCT((MOVIMIENTOS!$B$5:$B$1005="DEVOLUCIÓN")*(MOVIMIENTOS!$C$5:$C$1005="C")*(MOVIMIENTOS!$D$5:$D$1005="jabas")*(MOVIMIENTOS!$A$5:$A$1005&lt;&gt;"")*(MOVIMIENTOS!$A$5:$A$1005&lt;=$A758)*MOVIMIENTOS!$E$5:$E$1005)-SUMPRODUCT((MOVIMIENTOS!$B$5:$B$1005="TRASIEGO")*(MOVIMIENTOS!$C$5:$C$1005="C")*(MOVIMIENTOS!$D$5:$D$1005="jabas")*(MOVIMIENTOS!$A$5:$A$1005&lt;&gt;"")*(MOVIMIENTOS!$A$5:$A$1005&lt;=$A758)*MOVIMIENTOS!$E$5:$E$1005)-SUMPRODUCT((MOVIMIENTOS!$B$5:$B$1005="REGALO")*(MOVIMIENTOS!$C$5:$C$1005="C")*(MOVIMIENTOS!$D$5:$D$1005="jabas")*(MOVIMIENTOS!$A$5:$A$1005&lt;&gt;"")*(MOVIMIENTOS!$A$5:$A$1005&lt;=$A758)*MOVIMIENTOS!$E$5:$E$1005)-SUMPRODUCT((MOVIMIENTOS!$B$5:$B$1005="VENTA")*(MOVIMIENTOS!$C$5:$C$1005="C")*(MOVIMIENTOS!$D$5:$D$1005="jabas")*(MOVIMIENTOS!$A$5:$A$1005&lt;&gt;"")*(MOVIMIENTOS!$A$5:$A$1005&lt;=$A758)*MOVIMIENTOS!$E$5:$E$1005)+SUMPRODUCT((MOVIMIENTOS!$B$5:$B$1005="AJUSTE")*(MOVIMIENTOS!$C$5:$C$1005="C")*(MOVIMIENTOS!$D$5:$D$1005="jabas")*(MOVIMIENTOS!$A$5:$A$1005&lt;&gt;"")*(MOVIMIENTOS!$A$5:$A$1005&lt;=$A758)*MOVIMIENTOS!$E$5:$E$1005))</f>
        <v/>
      </c>
      <c r="E758" t="str">
        <f>IF($A758="","",SUMPRODUCT((MOVIMIENTOS!$B$5:$B$1005="SALDO INICIAL")*(MOVIMIENTOS!$C$5:$C$1005="M")*(MOVIMIENTOS!$D$5:$D$1005="jabas")*(MOVIMIENTOS!$A$5:$A$1005&lt;&gt;"")*(MOVIMIENTOS!$A$5:$A$1005&lt;=$A758)*MOVIMIENTOS!$E$5:$E$1005)+SUMPRODUCT((MOVIMIENTOS!$B$5:$B$1005="PROCESO")*(MOVIMIENTOS!$C$5:$C$1005="M")*(MOVIMIENTOS!$D$5:$D$1005="jabas")*(MOVIMIENTOS!$A$5:$A$1005&lt;&gt;"")*(MOVIMIENTOS!$A$5:$A$1005&lt;=$A758)*MOVIMIENTOS!$E$5:$E$1005)-SUMPRODUCT((MOVIMIENTOS!$B$5:$B$1005="ENVÍO A SUPESA")*(MOVIMIENTOS!$C$5:$C$1005="M")*(MOVIMIENTOS!$D$5:$D$1005="jabas")*(MOVIMIENTOS!$A$5:$A$1005&lt;&gt;"")*(MOVIMIENTOS!$A$5:$A$1005&lt;=$A758)*MOVIMIENTOS!$E$5:$E$1005)+SUMPRODUCT((MOVIMIENTOS!$B$5:$B$1005="DEVOLUCIÓN")*(MOVIMIENTOS!$C$5:$C$1005="M")*(MOVIMIENTOS!$D$5:$D$1005="jabas")*(MOVIMIENTOS!$A$5:$A$1005&lt;&gt;"")*(MOVIMIENTOS!$A$5:$A$1005&lt;=$A758)*MOVIMIENTOS!$E$5:$E$1005)-SUMPRODUCT((MOVIMIENTOS!$B$5:$B$1005="TRASIEGO")*(MOVIMIENTOS!$C$5:$C$1005="M")*(MOVIMIENTOS!$D$5:$D$1005="jabas")*(MOVIMIENTOS!$A$5:$A$1005&lt;&gt;"")*(MOVIMIENTOS!$A$5:$A$1005&lt;=$A758)*MOVIMIENTOS!$E$5:$E$1005)-SUMPRODUCT((MOVIMIENTOS!$B$5:$B$1005="REGALO")*(MOVIMIENTOS!$C$5:$C$1005="M")*(MOVIMIENTOS!$D$5:$D$1005="jabas")*(MOVIMIENTOS!$A$5:$A$1005&lt;&gt;"")*(MOVIMIENTOS!$A$5:$A$1005&lt;=$A758)*MOVIMIENTOS!$E$5:$E$1005)-SUMPRODUCT((MOVIMIENTOS!$B$5:$B$1005="VENTA")*(MOVIMIENTOS!$C$5:$C$1005="M")*(MOVIMIENTOS!$D$5:$D$1005="jabas")*(MOVIMIENTOS!$A$5:$A$1005&lt;&gt;"")*(MOVIMIENTOS!$A$5:$A$1005&lt;=$A758)*MOVIMIENTOS!$E$5:$E$1005)+SUMPRODUCT((MOVIMIENTOS!$B$5:$B$1005="AJUSTE")*(MOVIMIENTOS!$C$5:$C$1005="M")*(MOVIMIENTOS!$D$5:$D$1005="jabas")*(MOVIMIENTOS!$A$5:$A$1005&lt;&gt;"")*(MOVIMIENTOS!$A$5:$A$1005&lt;=$A758)*MOVIMIENTOS!$E$5:$E$1005))</f>
        <v/>
      </c>
      <c r="F758" s="62" t="str">
        <f>IF($A758="","",SUMPRODUCT((MOVIMIENTOS!$B$5:$B$1005="SALDO INICIAL")*(MOVIMIENTOS!$C$5:$C$1005="Chancho")*(MOVIMIENTOS!$D$5:$D$1005="sacos")*(MOVIMIENTOS!$A$5:$A$1005&lt;&gt;"")*(MOVIMIENTOS!$A$5:$A$1005&lt;=$A758)*MOVIMIENTOS!$E$5:$E$1005)+SUMPRODUCT((MOVIMIENTOS!$B$5:$B$1005="PROCESO")*(MOVIMIENTOS!$C$5:$C$1005="Chancho")*(MOVIMIENTOS!$D$5:$D$1005="sacos")*(MOVIMIENTOS!$A$5:$A$1005&lt;&gt;"")*(MOVIMIENTOS!$A$5:$A$1005&lt;=$A758)*MOVIMIENTOS!$E$5:$E$1005)-SUMPRODUCT((MOVIMIENTOS!$B$5:$B$1005="VENTA CHANCHO")*(MOVIMIENTOS!$C$5:$C$1005="Chancho")*(MOVIMIENTOS!$D$5:$D$1005="sacos")*(MOVIMIENTOS!$A$5:$A$1005&lt;&gt;"")*(MOVIMIENTOS!$A$5:$A$1005&lt;=$A758)*MOVIMIENTOS!$E$5:$E$1005)-SUMPRODUCT((MOVIMIENTOS!$B$5:$B$1005="REGALO")*(MOVIMIENTOS!$C$5:$C$1005="Chancho")*(MOVIMIENTOS!$D$5:$D$1005="sacos")*(MOVIMIENTOS!$A$5:$A$1005&lt;&gt;"")*(MOVIMIENTOS!$A$5:$A$1005&lt;=$A758)*MOVIMIENTOS!$E$5:$E$1005)-SUMPRODUCT((MOVIMIENTOS!$B$5:$B$1005="VENTA")*(MOVIMIENTOS!$C$5:$C$1005="Chancho")*(MOVIMIENTOS!$D$5:$D$1005="sacos")*(MOVIMIENTOS!$A$5:$A$1005&lt;&gt;"")*(MOVIMIENTOS!$A$5:$A$1005&lt;=$A758)*MOVIMIENTOS!$E$5:$E$1005)+SUMPRODUCT((MOVIMIENTOS!$B$5:$B$1005="AJUSTE")*(MOVIMIENTOS!$C$5:$C$1005="Chancho")*(MOVIMIENTOS!$D$5:$D$1005="sacos")*(MOVIMIENTOS!$A$5:$A$1005&lt;&gt;"")*(MOVIMIENTOS!$A$5:$A$1005&lt;=$A758)*MOVIMIENTOS!$E$5:$E$1005))</f>
        <v/>
      </c>
      <c r="G758" s="62" t="str">
        <f t="shared" si="23"/>
        <v/>
      </c>
      <c r="H758" t="str">
        <f>IF($A758="","",SUMPRODUCT((((MOVIMIENTOS!$B$5:$B$1005="SALDO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758)*MOVIMIENTOS!$J$5:$J$1005))</f>
        <v/>
      </c>
      <c r="J758" t="str">
        <f>IF(AND(MOVIMIENTOS!$A763&lt;&gt;"",COUNTIF(MOVIMIENTOS!$A$5:$A762,MOVIMIENTOS!$A763)=0),COUNT(J$4:J757)+1,"")</f>
        <v/>
      </c>
      <c r="K758">
        <f>MOVIMIENTOS!$A763</f>
        <v>0</v>
      </c>
    </row>
    <row r="759" spans="1:11" ht="15" customHeight="1" x14ac:dyDescent="0.2">
      <c r="A759" t="str">
        <f t="shared" si="22"/>
        <v/>
      </c>
      <c r="B759" t="str">
        <f>IF($A759="","",SUMPRODUCT((MOVIMIENTOS!$B$5:$B$1005="SALDO INICIAL")*(MOVIMIENTOS!$C$5:$C$1005="A")*(MOVIMIENTOS!$D$5:$D$1005="jabas")*(MOVIMIENTOS!$A$5:$A$1005&lt;&gt;"")*(MOVIMIENTOS!$A$5:$A$1005&lt;=$A759)*MOVIMIENTOS!$E$5:$E$1005)+SUMPRODUCT((MOVIMIENTOS!$B$5:$B$1005="PROCESO")*(MOVIMIENTOS!$C$5:$C$1005="A")*(MOVIMIENTOS!$D$5:$D$1005="jabas")*(MOVIMIENTOS!$A$5:$A$1005&lt;&gt;"")*(MOVIMIENTOS!$A$5:$A$1005&lt;=$A759)*MOVIMIENTOS!$E$5:$E$1005)-SUMPRODUCT((MOVIMIENTOS!$B$5:$B$1005="ENVÍO A SUPESA")*(MOVIMIENTOS!$C$5:$C$1005="A")*(MOVIMIENTOS!$D$5:$D$1005="jabas")*(MOVIMIENTOS!$A$5:$A$1005&lt;&gt;"")*(MOVIMIENTOS!$A$5:$A$1005&lt;=$A759)*MOVIMIENTOS!$E$5:$E$1005)+SUMPRODUCT((MOVIMIENTOS!$B$5:$B$1005="DEVOLUCIÓN")*(MOVIMIENTOS!$C$5:$C$1005="A")*(MOVIMIENTOS!$D$5:$D$1005="jabas")*(MOVIMIENTOS!$A$5:$A$1005&lt;&gt;"")*(MOVIMIENTOS!$A$5:$A$1005&lt;=$A759)*MOVIMIENTOS!$E$5:$E$1005)-SUMPRODUCT((MOVIMIENTOS!$B$5:$B$1005="TRASIEGO")*(MOVIMIENTOS!$C$5:$C$1005="A")*(MOVIMIENTOS!$D$5:$D$1005="jabas")*(MOVIMIENTOS!$A$5:$A$1005&lt;&gt;"")*(MOVIMIENTOS!$A$5:$A$1005&lt;=$A759)*MOVIMIENTOS!$E$5:$E$1005)-SUMPRODUCT((MOVIMIENTOS!$B$5:$B$1005="REGALO")*(MOVIMIENTOS!$C$5:$C$1005="A")*(MOVIMIENTOS!$D$5:$D$1005="jabas")*(MOVIMIENTOS!$A$5:$A$1005&lt;&gt;"")*(MOVIMIENTOS!$A$5:$A$1005&lt;=$A759)*MOVIMIENTOS!$E$5:$E$1005)-SUMPRODUCT((MOVIMIENTOS!$B$5:$B$1005="VENTA")*(MOVIMIENTOS!$C$5:$C$1005="A")*(MOVIMIENTOS!$D$5:$D$1005="jabas")*(MOVIMIENTOS!$A$5:$A$1005&lt;&gt;"")*(MOVIMIENTOS!$A$5:$A$1005&lt;=$A759)*MOVIMIENTOS!$E$5:$E$1005)+SUMPRODUCT((MOVIMIENTOS!$B$5:$B$1005="AJUSTE")*(MOVIMIENTOS!$C$5:$C$1005="A")*(MOVIMIENTOS!$D$5:$D$1005="jabas")*(MOVIMIENTOS!$A$5:$A$1005&lt;&gt;"")*(MOVIMIENTOS!$A$5:$A$1005&lt;=$A759)*MOVIMIENTOS!$E$5:$E$1005))</f>
        <v/>
      </c>
      <c r="C759" t="str">
        <f>IF($A759="","",SUMPRODUCT((MOVIMIENTOS!$B$5:$B$1005="SALDO INICIAL")*(MOVIMIENTOS!$C$5:$C$1005="P")*(MOVIMIENTOS!$D$5:$D$1005="jabas")*(MOVIMIENTOS!$A$5:$A$1005&lt;&gt;"")*(MOVIMIENTOS!$A$5:$A$1005&lt;=$A759)*MOVIMIENTOS!$E$5:$E$1005)+SUMPRODUCT((MOVIMIENTOS!$B$5:$B$1005="PROCESO")*(MOVIMIENTOS!$C$5:$C$1005="P")*(MOVIMIENTOS!$D$5:$D$1005="jabas")*(MOVIMIENTOS!$A$5:$A$1005&lt;&gt;"")*(MOVIMIENTOS!$A$5:$A$1005&lt;=$A759)*MOVIMIENTOS!$E$5:$E$1005)-SUMPRODUCT((MOVIMIENTOS!$B$5:$B$1005="ENVÍO A SUPESA")*(MOVIMIENTOS!$C$5:$C$1005="P")*(MOVIMIENTOS!$D$5:$D$1005="jabas")*(MOVIMIENTOS!$A$5:$A$1005&lt;&gt;"")*(MOVIMIENTOS!$A$5:$A$1005&lt;=$A759)*MOVIMIENTOS!$E$5:$E$1005)+SUMPRODUCT((MOVIMIENTOS!$B$5:$B$1005="DEVOLUCIÓN")*(MOVIMIENTOS!$C$5:$C$1005="P")*(MOVIMIENTOS!$D$5:$D$1005="jabas")*(MOVIMIENTOS!$A$5:$A$1005&lt;&gt;"")*(MOVIMIENTOS!$A$5:$A$1005&lt;=$A759)*MOVIMIENTOS!$E$5:$E$1005)-SUMPRODUCT((MOVIMIENTOS!$B$5:$B$1005="TRASIEGO")*(MOVIMIENTOS!$C$5:$C$1005="P")*(MOVIMIENTOS!$D$5:$D$1005="jabas")*(MOVIMIENTOS!$A$5:$A$1005&lt;&gt;"")*(MOVIMIENTOS!$A$5:$A$1005&lt;=$A759)*MOVIMIENTOS!$E$5:$E$1005)-SUMPRODUCT((MOVIMIENTOS!$B$5:$B$1005="REGALO")*(MOVIMIENTOS!$C$5:$C$1005="P")*(MOVIMIENTOS!$D$5:$D$1005="jabas")*(MOVIMIENTOS!$A$5:$A$1005&lt;&gt;"")*(MOVIMIENTOS!$A$5:$A$1005&lt;=$A759)*MOVIMIENTOS!$E$5:$E$1005)-SUMPRODUCT((MOVIMIENTOS!$B$5:$B$1005="VENTA")*(MOVIMIENTOS!$C$5:$C$1005="P")*(MOVIMIENTOS!$D$5:$D$1005="jabas")*(MOVIMIENTOS!$A$5:$A$1005&lt;&gt;"")*(MOVIMIENTOS!$A$5:$A$1005&lt;=$A759)*MOVIMIENTOS!$E$5:$E$1005)+SUMPRODUCT((MOVIMIENTOS!$B$5:$B$1005="AJUSTE")*(MOVIMIENTOS!$C$5:$C$1005="P")*(MOVIMIENTOS!$D$5:$D$1005="jabas")*(MOVIMIENTOS!$A$5:$A$1005&lt;&gt;"")*(MOVIMIENTOS!$A$5:$A$1005&lt;=$A759)*MOVIMIENTOS!$E$5:$E$1005))</f>
        <v/>
      </c>
      <c r="D759" t="str">
        <f>IF($A759="","",SUMPRODUCT((MOVIMIENTOS!$B$5:$B$1005="SALDO INICIAL")*(MOVIMIENTOS!$C$5:$C$1005="C")*(MOVIMIENTOS!$D$5:$D$1005="jabas")*(MOVIMIENTOS!$A$5:$A$1005&lt;&gt;"")*(MOVIMIENTOS!$A$5:$A$1005&lt;=$A759)*MOVIMIENTOS!$E$5:$E$1005)+SUMPRODUCT((MOVIMIENTOS!$B$5:$B$1005="PROCESO")*(MOVIMIENTOS!$C$5:$C$1005="C")*(MOVIMIENTOS!$D$5:$D$1005="jabas")*(MOVIMIENTOS!$A$5:$A$1005&lt;&gt;"")*(MOVIMIENTOS!$A$5:$A$1005&lt;=$A759)*MOVIMIENTOS!$E$5:$E$1005)-SUMPRODUCT((MOVIMIENTOS!$B$5:$B$1005="ENVÍO A SUPESA")*(MOVIMIENTOS!$C$5:$C$1005="C")*(MOVIMIENTOS!$D$5:$D$1005="jabas")*(MOVIMIENTOS!$A$5:$A$1005&lt;&gt;"")*(MOVIMIENTOS!$A$5:$A$1005&lt;=$A759)*MOVIMIENTOS!$E$5:$E$1005)+SUMPRODUCT((MOVIMIENTOS!$B$5:$B$1005="DEVOLUCIÓN")*(MOVIMIENTOS!$C$5:$C$1005="C")*(MOVIMIENTOS!$D$5:$D$1005="jabas")*(MOVIMIENTOS!$A$5:$A$1005&lt;&gt;"")*(MOVIMIENTOS!$A$5:$A$1005&lt;=$A759)*MOVIMIENTOS!$E$5:$E$1005)-SUMPRODUCT((MOVIMIENTOS!$B$5:$B$1005="TRASIEGO")*(MOVIMIENTOS!$C$5:$C$1005="C")*(MOVIMIENTOS!$D$5:$D$1005="jabas")*(MOVIMIENTOS!$A$5:$A$1005&lt;&gt;"")*(MOVIMIENTOS!$A$5:$A$1005&lt;=$A759)*MOVIMIENTOS!$E$5:$E$1005)-SUMPRODUCT((MOVIMIENTOS!$B$5:$B$1005="REGALO")*(MOVIMIENTOS!$C$5:$C$1005="C")*(MOVIMIENTOS!$D$5:$D$1005="jabas")*(MOVIMIENTOS!$A$5:$A$1005&lt;&gt;"")*(MOVIMIENTOS!$A$5:$A$1005&lt;=$A759)*MOVIMIENTOS!$E$5:$E$1005)-SUMPRODUCT((MOVIMIENTOS!$B$5:$B$1005="VENTA")*(MOVIMIENTOS!$C$5:$C$1005="C")*(MOVIMIENTOS!$D$5:$D$1005="jabas")*(MOVIMIENTOS!$A$5:$A$1005&lt;&gt;"")*(MOVIMIENTOS!$A$5:$A$1005&lt;=$A759)*MOVIMIENTOS!$E$5:$E$1005)+SUMPRODUCT((MOVIMIENTOS!$B$5:$B$1005="AJUSTE")*(MOVIMIENTOS!$C$5:$C$1005="C")*(MOVIMIENTOS!$D$5:$D$1005="jabas")*(MOVIMIENTOS!$A$5:$A$1005&lt;&gt;"")*(MOVIMIENTOS!$A$5:$A$1005&lt;=$A759)*MOVIMIENTOS!$E$5:$E$1005))</f>
        <v/>
      </c>
      <c r="E759" t="str">
        <f>IF($A759="","",SUMPRODUCT((MOVIMIENTOS!$B$5:$B$1005="SALDO INICIAL")*(MOVIMIENTOS!$C$5:$C$1005="M")*(MOVIMIENTOS!$D$5:$D$1005="jabas")*(MOVIMIENTOS!$A$5:$A$1005&lt;&gt;"")*(MOVIMIENTOS!$A$5:$A$1005&lt;=$A759)*MOVIMIENTOS!$E$5:$E$1005)+SUMPRODUCT((MOVIMIENTOS!$B$5:$B$1005="PROCESO")*(MOVIMIENTOS!$C$5:$C$1005="M")*(MOVIMIENTOS!$D$5:$D$1005="jabas")*(MOVIMIENTOS!$A$5:$A$1005&lt;&gt;"")*(MOVIMIENTOS!$A$5:$A$1005&lt;=$A759)*MOVIMIENTOS!$E$5:$E$1005)-SUMPRODUCT((MOVIMIENTOS!$B$5:$B$1005="ENVÍO A SUPESA")*(MOVIMIENTOS!$C$5:$C$1005="M")*(MOVIMIENTOS!$D$5:$D$1005="jabas")*(MOVIMIENTOS!$A$5:$A$1005&lt;&gt;"")*(MOVIMIENTOS!$A$5:$A$1005&lt;=$A759)*MOVIMIENTOS!$E$5:$E$1005)+SUMPRODUCT((MOVIMIENTOS!$B$5:$B$1005="DEVOLUCIÓN")*(MOVIMIENTOS!$C$5:$C$1005="M")*(MOVIMIENTOS!$D$5:$D$1005="jabas")*(MOVIMIENTOS!$A$5:$A$1005&lt;&gt;"")*(MOVIMIENTOS!$A$5:$A$1005&lt;=$A759)*MOVIMIENTOS!$E$5:$E$1005)-SUMPRODUCT((MOVIMIENTOS!$B$5:$B$1005="TRASIEGO")*(MOVIMIENTOS!$C$5:$C$1005="M")*(MOVIMIENTOS!$D$5:$D$1005="jabas")*(MOVIMIENTOS!$A$5:$A$1005&lt;&gt;"")*(MOVIMIENTOS!$A$5:$A$1005&lt;=$A759)*MOVIMIENTOS!$E$5:$E$1005)-SUMPRODUCT((MOVIMIENTOS!$B$5:$B$1005="REGALO")*(MOVIMIENTOS!$C$5:$C$1005="M")*(MOVIMIENTOS!$D$5:$D$1005="jabas")*(MOVIMIENTOS!$A$5:$A$1005&lt;&gt;"")*(MOVIMIENTOS!$A$5:$A$1005&lt;=$A759)*MOVIMIENTOS!$E$5:$E$1005)-SUMPRODUCT((MOVIMIENTOS!$B$5:$B$1005="VENTA")*(MOVIMIENTOS!$C$5:$C$1005="M")*(MOVIMIENTOS!$D$5:$D$1005="jabas")*(MOVIMIENTOS!$A$5:$A$1005&lt;&gt;"")*(MOVIMIENTOS!$A$5:$A$1005&lt;=$A759)*MOVIMIENTOS!$E$5:$E$1005)+SUMPRODUCT((MOVIMIENTOS!$B$5:$B$1005="AJUSTE")*(MOVIMIENTOS!$C$5:$C$1005="M")*(MOVIMIENTOS!$D$5:$D$1005="jabas")*(MOVIMIENTOS!$A$5:$A$1005&lt;&gt;"")*(MOVIMIENTOS!$A$5:$A$1005&lt;=$A759)*MOVIMIENTOS!$E$5:$E$1005))</f>
        <v/>
      </c>
      <c r="F759" s="62" t="str">
        <f>IF($A759="","",SUMPRODUCT((MOVIMIENTOS!$B$5:$B$1005="SALDO INICIAL")*(MOVIMIENTOS!$C$5:$C$1005="Chancho")*(MOVIMIENTOS!$D$5:$D$1005="sacos")*(MOVIMIENTOS!$A$5:$A$1005&lt;&gt;"")*(MOVIMIENTOS!$A$5:$A$1005&lt;=$A759)*MOVIMIENTOS!$E$5:$E$1005)+SUMPRODUCT((MOVIMIENTOS!$B$5:$B$1005="PROCESO")*(MOVIMIENTOS!$C$5:$C$1005="Chancho")*(MOVIMIENTOS!$D$5:$D$1005="sacos")*(MOVIMIENTOS!$A$5:$A$1005&lt;&gt;"")*(MOVIMIENTOS!$A$5:$A$1005&lt;=$A759)*MOVIMIENTOS!$E$5:$E$1005)-SUMPRODUCT((MOVIMIENTOS!$B$5:$B$1005="VENTA CHANCHO")*(MOVIMIENTOS!$C$5:$C$1005="Chancho")*(MOVIMIENTOS!$D$5:$D$1005="sacos")*(MOVIMIENTOS!$A$5:$A$1005&lt;&gt;"")*(MOVIMIENTOS!$A$5:$A$1005&lt;=$A759)*MOVIMIENTOS!$E$5:$E$1005)-SUMPRODUCT((MOVIMIENTOS!$B$5:$B$1005="REGALO")*(MOVIMIENTOS!$C$5:$C$1005="Chancho")*(MOVIMIENTOS!$D$5:$D$1005="sacos")*(MOVIMIENTOS!$A$5:$A$1005&lt;&gt;"")*(MOVIMIENTOS!$A$5:$A$1005&lt;=$A759)*MOVIMIENTOS!$E$5:$E$1005)-SUMPRODUCT((MOVIMIENTOS!$B$5:$B$1005="VENTA")*(MOVIMIENTOS!$C$5:$C$1005="Chancho")*(MOVIMIENTOS!$D$5:$D$1005="sacos")*(MOVIMIENTOS!$A$5:$A$1005&lt;&gt;"")*(MOVIMIENTOS!$A$5:$A$1005&lt;=$A759)*MOVIMIENTOS!$E$5:$E$1005)+SUMPRODUCT((MOVIMIENTOS!$B$5:$B$1005="AJUSTE")*(MOVIMIENTOS!$C$5:$C$1005="Chancho")*(MOVIMIENTOS!$D$5:$D$1005="sacos")*(MOVIMIENTOS!$A$5:$A$1005&lt;&gt;"")*(MOVIMIENTOS!$A$5:$A$1005&lt;=$A759)*MOVIMIENTOS!$E$5:$E$1005))</f>
        <v/>
      </c>
      <c r="G759" s="62" t="str">
        <f t="shared" si="23"/>
        <v/>
      </c>
      <c r="H759" t="str">
        <f>IF($A759="","",SUMPRODUCT((((MOVIMIENTOS!$B$5:$B$1005="SALDO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759)*MOVIMIENTOS!$J$5:$J$1005))</f>
        <v/>
      </c>
      <c r="J759" t="str">
        <f>IF(AND(MOVIMIENTOS!$A764&lt;&gt;"",COUNTIF(MOVIMIENTOS!$A$5:$A763,MOVIMIENTOS!$A764)=0),COUNT(J$4:J758)+1,"")</f>
        <v/>
      </c>
      <c r="K759">
        <f>MOVIMIENTOS!$A764</f>
        <v>0</v>
      </c>
    </row>
    <row r="760" spans="1:11" ht="15" customHeight="1" x14ac:dyDescent="0.2">
      <c r="A760" t="str">
        <f t="shared" si="22"/>
        <v/>
      </c>
      <c r="B760" t="str">
        <f>IF($A760="","",SUMPRODUCT((MOVIMIENTOS!$B$5:$B$1005="SALDO INICIAL")*(MOVIMIENTOS!$C$5:$C$1005="A")*(MOVIMIENTOS!$D$5:$D$1005="jabas")*(MOVIMIENTOS!$A$5:$A$1005&lt;&gt;"")*(MOVIMIENTOS!$A$5:$A$1005&lt;=$A760)*MOVIMIENTOS!$E$5:$E$1005)+SUMPRODUCT((MOVIMIENTOS!$B$5:$B$1005="PROCESO")*(MOVIMIENTOS!$C$5:$C$1005="A")*(MOVIMIENTOS!$D$5:$D$1005="jabas")*(MOVIMIENTOS!$A$5:$A$1005&lt;&gt;"")*(MOVIMIENTOS!$A$5:$A$1005&lt;=$A760)*MOVIMIENTOS!$E$5:$E$1005)-SUMPRODUCT((MOVIMIENTOS!$B$5:$B$1005="ENVÍO A SUPESA")*(MOVIMIENTOS!$C$5:$C$1005="A")*(MOVIMIENTOS!$D$5:$D$1005="jabas")*(MOVIMIENTOS!$A$5:$A$1005&lt;&gt;"")*(MOVIMIENTOS!$A$5:$A$1005&lt;=$A760)*MOVIMIENTOS!$E$5:$E$1005)+SUMPRODUCT((MOVIMIENTOS!$B$5:$B$1005="DEVOLUCIÓN")*(MOVIMIENTOS!$C$5:$C$1005="A")*(MOVIMIENTOS!$D$5:$D$1005="jabas")*(MOVIMIENTOS!$A$5:$A$1005&lt;&gt;"")*(MOVIMIENTOS!$A$5:$A$1005&lt;=$A760)*MOVIMIENTOS!$E$5:$E$1005)-SUMPRODUCT((MOVIMIENTOS!$B$5:$B$1005="TRASIEGO")*(MOVIMIENTOS!$C$5:$C$1005="A")*(MOVIMIENTOS!$D$5:$D$1005="jabas")*(MOVIMIENTOS!$A$5:$A$1005&lt;&gt;"")*(MOVIMIENTOS!$A$5:$A$1005&lt;=$A760)*MOVIMIENTOS!$E$5:$E$1005)-SUMPRODUCT((MOVIMIENTOS!$B$5:$B$1005="REGALO")*(MOVIMIENTOS!$C$5:$C$1005="A")*(MOVIMIENTOS!$D$5:$D$1005="jabas")*(MOVIMIENTOS!$A$5:$A$1005&lt;&gt;"")*(MOVIMIENTOS!$A$5:$A$1005&lt;=$A760)*MOVIMIENTOS!$E$5:$E$1005)-SUMPRODUCT((MOVIMIENTOS!$B$5:$B$1005="VENTA")*(MOVIMIENTOS!$C$5:$C$1005="A")*(MOVIMIENTOS!$D$5:$D$1005="jabas")*(MOVIMIENTOS!$A$5:$A$1005&lt;&gt;"")*(MOVIMIENTOS!$A$5:$A$1005&lt;=$A760)*MOVIMIENTOS!$E$5:$E$1005)+SUMPRODUCT((MOVIMIENTOS!$B$5:$B$1005="AJUSTE")*(MOVIMIENTOS!$C$5:$C$1005="A")*(MOVIMIENTOS!$D$5:$D$1005="jabas")*(MOVIMIENTOS!$A$5:$A$1005&lt;&gt;"")*(MOVIMIENTOS!$A$5:$A$1005&lt;=$A760)*MOVIMIENTOS!$E$5:$E$1005))</f>
        <v/>
      </c>
      <c r="C760" t="str">
        <f>IF($A760="","",SUMPRODUCT((MOVIMIENTOS!$B$5:$B$1005="SALDO INICIAL")*(MOVIMIENTOS!$C$5:$C$1005="P")*(MOVIMIENTOS!$D$5:$D$1005="jabas")*(MOVIMIENTOS!$A$5:$A$1005&lt;&gt;"")*(MOVIMIENTOS!$A$5:$A$1005&lt;=$A760)*MOVIMIENTOS!$E$5:$E$1005)+SUMPRODUCT((MOVIMIENTOS!$B$5:$B$1005="PROCESO")*(MOVIMIENTOS!$C$5:$C$1005="P")*(MOVIMIENTOS!$D$5:$D$1005="jabas")*(MOVIMIENTOS!$A$5:$A$1005&lt;&gt;"")*(MOVIMIENTOS!$A$5:$A$1005&lt;=$A760)*MOVIMIENTOS!$E$5:$E$1005)-SUMPRODUCT((MOVIMIENTOS!$B$5:$B$1005="ENVÍO A SUPESA")*(MOVIMIENTOS!$C$5:$C$1005="P")*(MOVIMIENTOS!$D$5:$D$1005="jabas")*(MOVIMIENTOS!$A$5:$A$1005&lt;&gt;"")*(MOVIMIENTOS!$A$5:$A$1005&lt;=$A760)*MOVIMIENTOS!$E$5:$E$1005)+SUMPRODUCT((MOVIMIENTOS!$B$5:$B$1005="DEVOLUCIÓN")*(MOVIMIENTOS!$C$5:$C$1005="P")*(MOVIMIENTOS!$D$5:$D$1005="jabas")*(MOVIMIENTOS!$A$5:$A$1005&lt;&gt;"")*(MOVIMIENTOS!$A$5:$A$1005&lt;=$A760)*MOVIMIENTOS!$E$5:$E$1005)-SUMPRODUCT((MOVIMIENTOS!$B$5:$B$1005="TRASIEGO")*(MOVIMIENTOS!$C$5:$C$1005="P")*(MOVIMIENTOS!$D$5:$D$1005="jabas")*(MOVIMIENTOS!$A$5:$A$1005&lt;&gt;"")*(MOVIMIENTOS!$A$5:$A$1005&lt;=$A760)*MOVIMIENTOS!$E$5:$E$1005)-SUMPRODUCT((MOVIMIENTOS!$B$5:$B$1005="REGALO")*(MOVIMIENTOS!$C$5:$C$1005="P")*(MOVIMIENTOS!$D$5:$D$1005="jabas")*(MOVIMIENTOS!$A$5:$A$1005&lt;&gt;"")*(MOVIMIENTOS!$A$5:$A$1005&lt;=$A760)*MOVIMIENTOS!$E$5:$E$1005)-SUMPRODUCT((MOVIMIENTOS!$B$5:$B$1005="VENTA")*(MOVIMIENTOS!$C$5:$C$1005="P")*(MOVIMIENTOS!$D$5:$D$1005="jabas")*(MOVIMIENTOS!$A$5:$A$1005&lt;&gt;"")*(MOVIMIENTOS!$A$5:$A$1005&lt;=$A760)*MOVIMIENTOS!$E$5:$E$1005)+SUMPRODUCT((MOVIMIENTOS!$B$5:$B$1005="AJUSTE")*(MOVIMIENTOS!$C$5:$C$1005="P")*(MOVIMIENTOS!$D$5:$D$1005="jabas")*(MOVIMIENTOS!$A$5:$A$1005&lt;&gt;"")*(MOVIMIENTOS!$A$5:$A$1005&lt;=$A760)*MOVIMIENTOS!$E$5:$E$1005))</f>
        <v/>
      </c>
      <c r="D760" t="str">
        <f>IF($A760="","",SUMPRODUCT((MOVIMIENTOS!$B$5:$B$1005="SALDO INICIAL")*(MOVIMIENTOS!$C$5:$C$1005="C")*(MOVIMIENTOS!$D$5:$D$1005="jabas")*(MOVIMIENTOS!$A$5:$A$1005&lt;&gt;"")*(MOVIMIENTOS!$A$5:$A$1005&lt;=$A760)*MOVIMIENTOS!$E$5:$E$1005)+SUMPRODUCT((MOVIMIENTOS!$B$5:$B$1005="PROCESO")*(MOVIMIENTOS!$C$5:$C$1005="C")*(MOVIMIENTOS!$D$5:$D$1005="jabas")*(MOVIMIENTOS!$A$5:$A$1005&lt;&gt;"")*(MOVIMIENTOS!$A$5:$A$1005&lt;=$A760)*MOVIMIENTOS!$E$5:$E$1005)-SUMPRODUCT((MOVIMIENTOS!$B$5:$B$1005="ENVÍO A SUPESA")*(MOVIMIENTOS!$C$5:$C$1005="C")*(MOVIMIENTOS!$D$5:$D$1005="jabas")*(MOVIMIENTOS!$A$5:$A$1005&lt;&gt;"")*(MOVIMIENTOS!$A$5:$A$1005&lt;=$A760)*MOVIMIENTOS!$E$5:$E$1005)+SUMPRODUCT((MOVIMIENTOS!$B$5:$B$1005="DEVOLUCIÓN")*(MOVIMIENTOS!$C$5:$C$1005="C")*(MOVIMIENTOS!$D$5:$D$1005="jabas")*(MOVIMIENTOS!$A$5:$A$1005&lt;&gt;"")*(MOVIMIENTOS!$A$5:$A$1005&lt;=$A760)*MOVIMIENTOS!$E$5:$E$1005)-SUMPRODUCT((MOVIMIENTOS!$B$5:$B$1005="TRASIEGO")*(MOVIMIENTOS!$C$5:$C$1005="C")*(MOVIMIENTOS!$D$5:$D$1005="jabas")*(MOVIMIENTOS!$A$5:$A$1005&lt;&gt;"")*(MOVIMIENTOS!$A$5:$A$1005&lt;=$A760)*MOVIMIENTOS!$E$5:$E$1005)-SUMPRODUCT((MOVIMIENTOS!$B$5:$B$1005="REGALO")*(MOVIMIENTOS!$C$5:$C$1005="C")*(MOVIMIENTOS!$D$5:$D$1005="jabas")*(MOVIMIENTOS!$A$5:$A$1005&lt;&gt;"")*(MOVIMIENTOS!$A$5:$A$1005&lt;=$A760)*MOVIMIENTOS!$E$5:$E$1005)-SUMPRODUCT((MOVIMIENTOS!$B$5:$B$1005="VENTA")*(MOVIMIENTOS!$C$5:$C$1005="C")*(MOVIMIENTOS!$D$5:$D$1005="jabas")*(MOVIMIENTOS!$A$5:$A$1005&lt;&gt;"")*(MOVIMIENTOS!$A$5:$A$1005&lt;=$A760)*MOVIMIENTOS!$E$5:$E$1005)+SUMPRODUCT((MOVIMIENTOS!$B$5:$B$1005="AJUSTE")*(MOVIMIENTOS!$C$5:$C$1005="C")*(MOVIMIENTOS!$D$5:$D$1005="jabas")*(MOVIMIENTOS!$A$5:$A$1005&lt;&gt;"")*(MOVIMIENTOS!$A$5:$A$1005&lt;=$A760)*MOVIMIENTOS!$E$5:$E$1005))</f>
        <v/>
      </c>
      <c r="E760" t="str">
        <f>IF($A760="","",SUMPRODUCT((MOVIMIENTOS!$B$5:$B$1005="SALDO INICIAL")*(MOVIMIENTOS!$C$5:$C$1005="M")*(MOVIMIENTOS!$D$5:$D$1005="jabas")*(MOVIMIENTOS!$A$5:$A$1005&lt;&gt;"")*(MOVIMIENTOS!$A$5:$A$1005&lt;=$A760)*MOVIMIENTOS!$E$5:$E$1005)+SUMPRODUCT((MOVIMIENTOS!$B$5:$B$1005="PROCESO")*(MOVIMIENTOS!$C$5:$C$1005="M")*(MOVIMIENTOS!$D$5:$D$1005="jabas")*(MOVIMIENTOS!$A$5:$A$1005&lt;&gt;"")*(MOVIMIENTOS!$A$5:$A$1005&lt;=$A760)*MOVIMIENTOS!$E$5:$E$1005)-SUMPRODUCT((MOVIMIENTOS!$B$5:$B$1005="ENVÍO A SUPESA")*(MOVIMIENTOS!$C$5:$C$1005="M")*(MOVIMIENTOS!$D$5:$D$1005="jabas")*(MOVIMIENTOS!$A$5:$A$1005&lt;&gt;"")*(MOVIMIENTOS!$A$5:$A$1005&lt;=$A760)*MOVIMIENTOS!$E$5:$E$1005)+SUMPRODUCT((MOVIMIENTOS!$B$5:$B$1005="DEVOLUCIÓN")*(MOVIMIENTOS!$C$5:$C$1005="M")*(MOVIMIENTOS!$D$5:$D$1005="jabas")*(MOVIMIENTOS!$A$5:$A$1005&lt;&gt;"")*(MOVIMIENTOS!$A$5:$A$1005&lt;=$A760)*MOVIMIENTOS!$E$5:$E$1005)-SUMPRODUCT((MOVIMIENTOS!$B$5:$B$1005="TRASIEGO")*(MOVIMIENTOS!$C$5:$C$1005="M")*(MOVIMIENTOS!$D$5:$D$1005="jabas")*(MOVIMIENTOS!$A$5:$A$1005&lt;&gt;"")*(MOVIMIENTOS!$A$5:$A$1005&lt;=$A760)*MOVIMIENTOS!$E$5:$E$1005)-SUMPRODUCT((MOVIMIENTOS!$B$5:$B$1005="REGALO")*(MOVIMIENTOS!$C$5:$C$1005="M")*(MOVIMIENTOS!$D$5:$D$1005="jabas")*(MOVIMIENTOS!$A$5:$A$1005&lt;&gt;"")*(MOVIMIENTOS!$A$5:$A$1005&lt;=$A760)*MOVIMIENTOS!$E$5:$E$1005)-SUMPRODUCT((MOVIMIENTOS!$B$5:$B$1005="VENTA")*(MOVIMIENTOS!$C$5:$C$1005="M")*(MOVIMIENTOS!$D$5:$D$1005="jabas")*(MOVIMIENTOS!$A$5:$A$1005&lt;&gt;"")*(MOVIMIENTOS!$A$5:$A$1005&lt;=$A760)*MOVIMIENTOS!$E$5:$E$1005)+SUMPRODUCT((MOVIMIENTOS!$B$5:$B$1005="AJUSTE")*(MOVIMIENTOS!$C$5:$C$1005="M")*(MOVIMIENTOS!$D$5:$D$1005="jabas")*(MOVIMIENTOS!$A$5:$A$1005&lt;&gt;"")*(MOVIMIENTOS!$A$5:$A$1005&lt;=$A760)*MOVIMIENTOS!$E$5:$E$1005))</f>
        <v/>
      </c>
      <c r="F760" s="62" t="str">
        <f>IF($A760="","",SUMPRODUCT((MOVIMIENTOS!$B$5:$B$1005="SALDO INICIAL")*(MOVIMIENTOS!$C$5:$C$1005="Chancho")*(MOVIMIENTOS!$D$5:$D$1005="sacos")*(MOVIMIENTOS!$A$5:$A$1005&lt;&gt;"")*(MOVIMIENTOS!$A$5:$A$1005&lt;=$A760)*MOVIMIENTOS!$E$5:$E$1005)+SUMPRODUCT((MOVIMIENTOS!$B$5:$B$1005="PROCESO")*(MOVIMIENTOS!$C$5:$C$1005="Chancho")*(MOVIMIENTOS!$D$5:$D$1005="sacos")*(MOVIMIENTOS!$A$5:$A$1005&lt;&gt;"")*(MOVIMIENTOS!$A$5:$A$1005&lt;=$A760)*MOVIMIENTOS!$E$5:$E$1005)-SUMPRODUCT((MOVIMIENTOS!$B$5:$B$1005="VENTA CHANCHO")*(MOVIMIENTOS!$C$5:$C$1005="Chancho")*(MOVIMIENTOS!$D$5:$D$1005="sacos")*(MOVIMIENTOS!$A$5:$A$1005&lt;&gt;"")*(MOVIMIENTOS!$A$5:$A$1005&lt;=$A760)*MOVIMIENTOS!$E$5:$E$1005)-SUMPRODUCT((MOVIMIENTOS!$B$5:$B$1005="REGALO")*(MOVIMIENTOS!$C$5:$C$1005="Chancho")*(MOVIMIENTOS!$D$5:$D$1005="sacos")*(MOVIMIENTOS!$A$5:$A$1005&lt;&gt;"")*(MOVIMIENTOS!$A$5:$A$1005&lt;=$A760)*MOVIMIENTOS!$E$5:$E$1005)-SUMPRODUCT((MOVIMIENTOS!$B$5:$B$1005="VENTA")*(MOVIMIENTOS!$C$5:$C$1005="Chancho")*(MOVIMIENTOS!$D$5:$D$1005="sacos")*(MOVIMIENTOS!$A$5:$A$1005&lt;&gt;"")*(MOVIMIENTOS!$A$5:$A$1005&lt;=$A760)*MOVIMIENTOS!$E$5:$E$1005)+SUMPRODUCT((MOVIMIENTOS!$B$5:$B$1005="AJUSTE")*(MOVIMIENTOS!$C$5:$C$1005="Chancho")*(MOVIMIENTOS!$D$5:$D$1005="sacos")*(MOVIMIENTOS!$A$5:$A$1005&lt;&gt;"")*(MOVIMIENTOS!$A$5:$A$1005&lt;=$A760)*MOVIMIENTOS!$E$5:$E$1005))</f>
        <v/>
      </c>
      <c r="G760" s="62" t="str">
        <f t="shared" si="23"/>
        <v/>
      </c>
      <c r="H760" t="str">
        <f>IF($A760="","",SUMPRODUCT((((MOVIMIENTOS!$B$5:$B$1005="SALDO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760)*MOVIMIENTOS!$J$5:$J$1005))</f>
        <v/>
      </c>
      <c r="J760" t="str">
        <f>IF(AND(MOVIMIENTOS!$A765&lt;&gt;"",COUNTIF(MOVIMIENTOS!$A$5:$A764,MOVIMIENTOS!$A765)=0),COUNT(J$4:J759)+1,"")</f>
        <v/>
      </c>
      <c r="K760">
        <f>MOVIMIENTOS!$A765</f>
        <v>0</v>
      </c>
    </row>
    <row r="761" spans="1:11" ht="15" customHeight="1" x14ac:dyDescent="0.2">
      <c r="A761" t="str">
        <f t="shared" si="22"/>
        <v/>
      </c>
      <c r="B761" t="str">
        <f>IF($A761="","",SUMPRODUCT((MOVIMIENTOS!$B$5:$B$1005="SALDO INICIAL")*(MOVIMIENTOS!$C$5:$C$1005="A")*(MOVIMIENTOS!$D$5:$D$1005="jabas")*(MOVIMIENTOS!$A$5:$A$1005&lt;&gt;"")*(MOVIMIENTOS!$A$5:$A$1005&lt;=$A761)*MOVIMIENTOS!$E$5:$E$1005)+SUMPRODUCT((MOVIMIENTOS!$B$5:$B$1005="PROCESO")*(MOVIMIENTOS!$C$5:$C$1005="A")*(MOVIMIENTOS!$D$5:$D$1005="jabas")*(MOVIMIENTOS!$A$5:$A$1005&lt;&gt;"")*(MOVIMIENTOS!$A$5:$A$1005&lt;=$A761)*MOVIMIENTOS!$E$5:$E$1005)-SUMPRODUCT((MOVIMIENTOS!$B$5:$B$1005="ENVÍO A SUPESA")*(MOVIMIENTOS!$C$5:$C$1005="A")*(MOVIMIENTOS!$D$5:$D$1005="jabas")*(MOVIMIENTOS!$A$5:$A$1005&lt;&gt;"")*(MOVIMIENTOS!$A$5:$A$1005&lt;=$A761)*MOVIMIENTOS!$E$5:$E$1005)+SUMPRODUCT((MOVIMIENTOS!$B$5:$B$1005="DEVOLUCIÓN")*(MOVIMIENTOS!$C$5:$C$1005="A")*(MOVIMIENTOS!$D$5:$D$1005="jabas")*(MOVIMIENTOS!$A$5:$A$1005&lt;&gt;"")*(MOVIMIENTOS!$A$5:$A$1005&lt;=$A761)*MOVIMIENTOS!$E$5:$E$1005)-SUMPRODUCT((MOVIMIENTOS!$B$5:$B$1005="TRASIEGO")*(MOVIMIENTOS!$C$5:$C$1005="A")*(MOVIMIENTOS!$D$5:$D$1005="jabas")*(MOVIMIENTOS!$A$5:$A$1005&lt;&gt;"")*(MOVIMIENTOS!$A$5:$A$1005&lt;=$A761)*MOVIMIENTOS!$E$5:$E$1005)-SUMPRODUCT((MOVIMIENTOS!$B$5:$B$1005="REGALO")*(MOVIMIENTOS!$C$5:$C$1005="A")*(MOVIMIENTOS!$D$5:$D$1005="jabas")*(MOVIMIENTOS!$A$5:$A$1005&lt;&gt;"")*(MOVIMIENTOS!$A$5:$A$1005&lt;=$A761)*MOVIMIENTOS!$E$5:$E$1005)-SUMPRODUCT((MOVIMIENTOS!$B$5:$B$1005="VENTA")*(MOVIMIENTOS!$C$5:$C$1005="A")*(MOVIMIENTOS!$D$5:$D$1005="jabas")*(MOVIMIENTOS!$A$5:$A$1005&lt;&gt;"")*(MOVIMIENTOS!$A$5:$A$1005&lt;=$A761)*MOVIMIENTOS!$E$5:$E$1005)+SUMPRODUCT((MOVIMIENTOS!$B$5:$B$1005="AJUSTE")*(MOVIMIENTOS!$C$5:$C$1005="A")*(MOVIMIENTOS!$D$5:$D$1005="jabas")*(MOVIMIENTOS!$A$5:$A$1005&lt;&gt;"")*(MOVIMIENTOS!$A$5:$A$1005&lt;=$A761)*MOVIMIENTOS!$E$5:$E$1005))</f>
        <v/>
      </c>
      <c r="C761" t="str">
        <f>IF($A761="","",SUMPRODUCT((MOVIMIENTOS!$B$5:$B$1005="SALDO INICIAL")*(MOVIMIENTOS!$C$5:$C$1005="P")*(MOVIMIENTOS!$D$5:$D$1005="jabas")*(MOVIMIENTOS!$A$5:$A$1005&lt;&gt;"")*(MOVIMIENTOS!$A$5:$A$1005&lt;=$A761)*MOVIMIENTOS!$E$5:$E$1005)+SUMPRODUCT((MOVIMIENTOS!$B$5:$B$1005="PROCESO")*(MOVIMIENTOS!$C$5:$C$1005="P")*(MOVIMIENTOS!$D$5:$D$1005="jabas")*(MOVIMIENTOS!$A$5:$A$1005&lt;&gt;"")*(MOVIMIENTOS!$A$5:$A$1005&lt;=$A761)*MOVIMIENTOS!$E$5:$E$1005)-SUMPRODUCT((MOVIMIENTOS!$B$5:$B$1005="ENVÍO A SUPESA")*(MOVIMIENTOS!$C$5:$C$1005="P")*(MOVIMIENTOS!$D$5:$D$1005="jabas")*(MOVIMIENTOS!$A$5:$A$1005&lt;&gt;"")*(MOVIMIENTOS!$A$5:$A$1005&lt;=$A761)*MOVIMIENTOS!$E$5:$E$1005)+SUMPRODUCT((MOVIMIENTOS!$B$5:$B$1005="DEVOLUCIÓN")*(MOVIMIENTOS!$C$5:$C$1005="P")*(MOVIMIENTOS!$D$5:$D$1005="jabas")*(MOVIMIENTOS!$A$5:$A$1005&lt;&gt;"")*(MOVIMIENTOS!$A$5:$A$1005&lt;=$A761)*MOVIMIENTOS!$E$5:$E$1005)-SUMPRODUCT((MOVIMIENTOS!$B$5:$B$1005="TRASIEGO")*(MOVIMIENTOS!$C$5:$C$1005="P")*(MOVIMIENTOS!$D$5:$D$1005="jabas")*(MOVIMIENTOS!$A$5:$A$1005&lt;&gt;"")*(MOVIMIENTOS!$A$5:$A$1005&lt;=$A761)*MOVIMIENTOS!$E$5:$E$1005)-SUMPRODUCT((MOVIMIENTOS!$B$5:$B$1005="REGALO")*(MOVIMIENTOS!$C$5:$C$1005="P")*(MOVIMIENTOS!$D$5:$D$1005="jabas")*(MOVIMIENTOS!$A$5:$A$1005&lt;&gt;"")*(MOVIMIENTOS!$A$5:$A$1005&lt;=$A761)*MOVIMIENTOS!$E$5:$E$1005)-SUMPRODUCT((MOVIMIENTOS!$B$5:$B$1005="VENTA")*(MOVIMIENTOS!$C$5:$C$1005="P")*(MOVIMIENTOS!$D$5:$D$1005="jabas")*(MOVIMIENTOS!$A$5:$A$1005&lt;&gt;"")*(MOVIMIENTOS!$A$5:$A$1005&lt;=$A761)*MOVIMIENTOS!$E$5:$E$1005)+SUMPRODUCT((MOVIMIENTOS!$B$5:$B$1005="AJUSTE")*(MOVIMIENTOS!$C$5:$C$1005="P")*(MOVIMIENTOS!$D$5:$D$1005="jabas")*(MOVIMIENTOS!$A$5:$A$1005&lt;&gt;"")*(MOVIMIENTOS!$A$5:$A$1005&lt;=$A761)*MOVIMIENTOS!$E$5:$E$1005))</f>
        <v/>
      </c>
      <c r="D761" t="str">
        <f>IF($A761="","",SUMPRODUCT((MOVIMIENTOS!$B$5:$B$1005="SALDO INICIAL")*(MOVIMIENTOS!$C$5:$C$1005="C")*(MOVIMIENTOS!$D$5:$D$1005="jabas")*(MOVIMIENTOS!$A$5:$A$1005&lt;&gt;"")*(MOVIMIENTOS!$A$5:$A$1005&lt;=$A761)*MOVIMIENTOS!$E$5:$E$1005)+SUMPRODUCT((MOVIMIENTOS!$B$5:$B$1005="PROCESO")*(MOVIMIENTOS!$C$5:$C$1005="C")*(MOVIMIENTOS!$D$5:$D$1005="jabas")*(MOVIMIENTOS!$A$5:$A$1005&lt;&gt;"")*(MOVIMIENTOS!$A$5:$A$1005&lt;=$A761)*MOVIMIENTOS!$E$5:$E$1005)-SUMPRODUCT((MOVIMIENTOS!$B$5:$B$1005="ENVÍO A SUPESA")*(MOVIMIENTOS!$C$5:$C$1005="C")*(MOVIMIENTOS!$D$5:$D$1005="jabas")*(MOVIMIENTOS!$A$5:$A$1005&lt;&gt;"")*(MOVIMIENTOS!$A$5:$A$1005&lt;=$A761)*MOVIMIENTOS!$E$5:$E$1005)+SUMPRODUCT((MOVIMIENTOS!$B$5:$B$1005="DEVOLUCIÓN")*(MOVIMIENTOS!$C$5:$C$1005="C")*(MOVIMIENTOS!$D$5:$D$1005="jabas")*(MOVIMIENTOS!$A$5:$A$1005&lt;&gt;"")*(MOVIMIENTOS!$A$5:$A$1005&lt;=$A761)*MOVIMIENTOS!$E$5:$E$1005)-SUMPRODUCT((MOVIMIENTOS!$B$5:$B$1005="TRASIEGO")*(MOVIMIENTOS!$C$5:$C$1005="C")*(MOVIMIENTOS!$D$5:$D$1005="jabas")*(MOVIMIENTOS!$A$5:$A$1005&lt;&gt;"")*(MOVIMIENTOS!$A$5:$A$1005&lt;=$A761)*MOVIMIENTOS!$E$5:$E$1005)-SUMPRODUCT((MOVIMIENTOS!$B$5:$B$1005="REGALO")*(MOVIMIENTOS!$C$5:$C$1005="C")*(MOVIMIENTOS!$D$5:$D$1005="jabas")*(MOVIMIENTOS!$A$5:$A$1005&lt;&gt;"")*(MOVIMIENTOS!$A$5:$A$1005&lt;=$A761)*MOVIMIENTOS!$E$5:$E$1005)-SUMPRODUCT((MOVIMIENTOS!$B$5:$B$1005="VENTA")*(MOVIMIENTOS!$C$5:$C$1005="C")*(MOVIMIENTOS!$D$5:$D$1005="jabas")*(MOVIMIENTOS!$A$5:$A$1005&lt;&gt;"")*(MOVIMIENTOS!$A$5:$A$1005&lt;=$A761)*MOVIMIENTOS!$E$5:$E$1005)+SUMPRODUCT((MOVIMIENTOS!$B$5:$B$1005="AJUSTE")*(MOVIMIENTOS!$C$5:$C$1005="C")*(MOVIMIENTOS!$D$5:$D$1005="jabas")*(MOVIMIENTOS!$A$5:$A$1005&lt;&gt;"")*(MOVIMIENTOS!$A$5:$A$1005&lt;=$A761)*MOVIMIENTOS!$E$5:$E$1005))</f>
        <v/>
      </c>
      <c r="E761" t="str">
        <f>IF($A761="","",SUMPRODUCT((MOVIMIENTOS!$B$5:$B$1005="SALDO INICIAL")*(MOVIMIENTOS!$C$5:$C$1005="M")*(MOVIMIENTOS!$D$5:$D$1005="jabas")*(MOVIMIENTOS!$A$5:$A$1005&lt;&gt;"")*(MOVIMIENTOS!$A$5:$A$1005&lt;=$A761)*MOVIMIENTOS!$E$5:$E$1005)+SUMPRODUCT((MOVIMIENTOS!$B$5:$B$1005="PROCESO")*(MOVIMIENTOS!$C$5:$C$1005="M")*(MOVIMIENTOS!$D$5:$D$1005="jabas")*(MOVIMIENTOS!$A$5:$A$1005&lt;&gt;"")*(MOVIMIENTOS!$A$5:$A$1005&lt;=$A761)*MOVIMIENTOS!$E$5:$E$1005)-SUMPRODUCT((MOVIMIENTOS!$B$5:$B$1005="ENVÍO A SUPESA")*(MOVIMIENTOS!$C$5:$C$1005="M")*(MOVIMIENTOS!$D$5:$D$1005="jabas")*(MOVIMIENTOS!$A$5:$A$1005&lt;&gt;"")*(MOVIMIENTOS!$A$5:$A$1005&lt;=$A761)*MOVIMIENTOS!$E$5:$E$1005)+SUMPRODUCT((MOVIMIENTOS!$B$5:$B$1005="DEVOLUCIÓN")*(MOVIMIENTOS!$C$5:$C$1005="M")*(MOVIMIENTOS!$D$5:$D$1005="jabas")*(MOVIMIENTOS!$A$5:$A$1005&lt;&gt;"")*(MOVIMIENTOS!$A$5:$A$1005&lt;=$A761)*MOVIMIENTOS!$E$5:$E$1005)-SUMPRODUCT((MOVIMIENTOS!$B$5:$B$1005="TRASIEGO")*(MOVIMIENTOS!$C$5:$C$1005="M")*(MOVIMIENTOS!$D$5:$D$1005="jabas")*(MOVIMIENTOS!$A$5:$A$1005&lt;&gt;"")*(MOVIMIENTOS!$A$5:$A$1005&lt;=$A761)*MOVIMIENTOS!$E$5:$E$1005)-SUMPRODUCT((MOVIMIENTOS!$B$5:$B$1005="REGALO")*(MOVIMIENTOS!$C$5:$C$1005="M")*(MOVIMIENTOS!$D$5:$D$1005="jabas")*(MOVIMIENTOS!$A$5:$A$1005&lt;&gt;"")*(MOVIMIENTOS!$A$5:$A$1005&lt;=$A761)*MOVIMIENTOS!$E$5:$E$1005)-SUMPRODUCT((MOVIMIENTOS!$B$5:$B$1005="VENTA")*(MOVIMIENTOS!$C$5:$C$1005="M")*(MOVIMIENTOS!$D$5:$D$1005="jabas")*(MOVIMIENTOS!$A$5:$A$1005&lt;&gt;"")*(MOVIMIENTOS!$A$5:$A$1005&lt;=$A761)*MOVIMIENTOS!$E$5:$E$1005)+SUMPRODUCT((MOVIMIENTOS!$B$5:$B$1005="AJUSTE")*(MOVIMIENTOS!$C$5:$C$1005="M")*(MOVIMIENTOS!$D$5:$D$1005="jabas")*(MOVIMIENTOS!$A$5:$A$1005&lt;&gt;"")*(MOVIMIENTOS!$A$5:$A$1005&lt;=$A761)*MOVIMIENTOS!$E$5:$E$1005))</f>
        <v/>
      </c>
      <c r="F761" s="62" t="str">
        <f>IF($A761="","",SUMPRODUCT((MOVIMIENTOS!$B$5:$B$1005="SALDO INICIAL")*(MOVIMIENTOS!$C$5:$C$1005="Chancho")*(MOVIMIENTOS!$D$5:$D$1005="sacos")*(MOVIMIENTOS!$A$5:$A$1005&lt;&gt;"")*(MOVIMIENTOS!$A$5:$A$1005&lt;=$A761)*MOVIMIENTOS!$E$5:$E$1005)+SUMPRODUCT((MOVIMIENTOS!$B$5:$B$1005="PROCESO")*(MOVIMIENTOS!$C$5:$C$1005="Chancho")*(MOVIMIENTOS!$D$5:$D$1005="sacos")*(MOVIMIENTOS!$A$5:$A$1005&lt;&gt;"")*(MOVIMIENTOS!$A$5:$A$1005&lt;=$A761)*MOVIMIENTOS!$E$5:$E$1005)-SUMPRODUCT((MOVIMIENTOS!$B$5:$B$1005="VENTA CHANCHO")*(MOVIMIENTOS!$C$5:$C$1005="Chancho")*(MOVIMIENTOS!$D$5:$D$1005="sacos")*(MOVIMIENTOS!$A$5:$A$1005&lt;&gt;"")*(MOVIMIENTOS!$A$5:$A$1005&lt;=$A761)*MOVIMIENTOS!$E$5:$E$1005)-SUMPRODUCT((MOVIMIENTOS!$B$5:$B$1005="REGALO")*(MOVIMIENTOS!$C$5:$C$1005="Chancho")*(MOVIMIENTOS!$D$5:$D$1005="sacos")*(MOVIMIENTOS!$A$5:$A$1005&lt;&gt;"")*(MOVIMIENTOS!$A$5:$A$1005&lt;=$A761)*MOVIMIENTOS!$E$5:$E$1005)-SUMPRODUCT((MOVIMIENTOS!$B$5:$B$1005="VENTA")*(MOVIMIENTOS!$C$5:$C$1005="Chancho")*(MOVIMIENTOS!$D$5:$D$1005="sacos")*(MOVIMIENTOS!$A$5:$A$1005&lt;&gt;"")*(MOVIMIENTOS!$A$5:$A$1005&lt;=$A761)*MOVIMIENTOS!$E$5:$E$1005)+SUMPRODUCT((MOVIMIENTOS!$B$5:$B$1005="AJUSTE")*(MOVIMIENTOS!$C$5:$C$1005="Chancho")*(MOVIMIENTOS!$D$5:$D$1005="sacos")*(MOVIMIENTOS!$A$5:$A$1005&lt;&gt;"")*(MOVIMIENTOS!$A$5:$A$1005&lt;=$A761)*MOVIMIENTOS!$E$5:$E$1005))</f>
        <v/>
      </c>
      <c r="G761" s="62" t="str">
        <f t="shared" si="23"/>
        <v/>
      </c>
      <c r="H761" t="str">
        <f>IF($A761="","",SUMPRODUCT((((MOVIMIENTOS!$B$5:$B$1005="SALDO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761)*MOVIMIENTOS!$J$5:$J$1005))</f>
        <v/>
      </c>
      <c r="J761" t="str">
        <f>IF(AND(MOVIMIENTOS!$A766&lt;&gt;"",COUNTIF(MOVIMIENTOS!$A$5:$A765,MOVIMIENTOS!$A766)=0),COUNT(J$4:J760)+1,"")</f>
        <v/>
      </c>
      <c r="K761">
        <f>MOVIMIENTOS!$A766</f>
        <v>0</v>
      </c>
    </row>
    <row r="762" spans="1:11" ht="15" customHeight="1" x14ac:dyDescent="0.2">
      <c r="A762" t="str">
        <f t="shared" si="22"/>
        <v/>
      </c>
      <c r="B762" t="str">
        <f>IF($A762="","",SUMPRODUCT((MOVIMIENTOS!$B$5:$B$1005="SALDO INICIAL")*(MOVIMIENTOS!$C$5:$C$1005="A")*(MOVIMIENTOS!$D$5:$D$1005="jabas")*(MOVIMIENTOS!$A$5:$A$1005&lt;&gt;"")*(MOVIMIENTOS!$A$5:$A$1005&lt;=$A762)*MOVIMIENTOS!$E$5:$E$1005)+SUMPRODUCT((MOVIMIENTOS!$B$5:$B$1005="PROCESO")*(MOVIMIENTOS!$C$5:$C$1005="A")*(MOVIMIENTOS!$D$5:$D$1005="jabas")*(MOVIMIENTOS!$A$5:$A$1005&lt;&gt;"")*(MOVIMIENTOS!$A$5:$A$1005&lt;=$A762)*MOVIMIENTOS!$E$5:$E$1005)-SUMPRODUCT((MOVIMIENTOS!$B$5:$B$1005="ENVÍO A SUPESA")*(MOVIMIENTOS!$C$5:$C$1005="A")*(MOVIMIENTOS!$D$5:$D$1005="jabas")*(MOVIMIENTOS!$A$5:$A$1005&lt;&gt;"")*(MOVIMIENTOS!$A$5:$A$1005&lt;=$A762)*MOVIMIENTOS!$E$5:$E$1005)+SUMPRODUCT((MOVIMIENTOS!$B$5:$B$1005="DEVOLUCIÓN")*(MOVIMIENTOS!$C$5:$C$1005="A")*(MOVIMIENTOS!$D$5:$D$1005="jabas")*(MOVIMIENTOS!$A$5:$A$1005&lt;&gt;"")*(MOVIMIENTOS!$A$5:$A$1005&lt;=$A762)*MOVIMIENTOS!$E$5:$E$1005)-SUMPRODUCT((MOVIMIENTOS!$B$5:$B$1005="TRASIEGO")*(MOVIMIENTOS!$C$5:$C$1005="A")*(MOVIMIENTOS!$D$5:$D$1005="jabas")*(MOVIMIENTOS!$A$5:$A$1005&lt;&gt;"")*(MOVIMIENTOS!$A$5:$A$1005&lt;=$A762)*MOVIMIENTOS!$E$5:$E$1005)-SUMPRODUCT((MOVIMIENTOS!$B$5:$B$1005="REGALO")*(MOVIMIENTOS!$C$5:$C$1005="A")*(MOVIMIENTOS!$D$5:$D$1005="jabas")*(MOVIMIENTOS!$A$5:$A$1005&lt;&gt;"")*(MOVIMIENTOS!$A$5:$A$1005&lt;=$A762)*MOVIMIENTOS!$E$5:$E$1005)-SUMPRODUCT((MOVIMIENTOS!$B$5:$B$1005="VENTA")*(MOVIMIENTOS!$C$5:$C$1005="A")*(MOVIMIENTOS!$D$5:$D$1005="jabas")*(MOVIMIENTOS!$A$5:$A$1005&lt;&gt;"")*(MOVIMIENTOS!$A$5:$A$1005&lt;=$A762)*MOVIMIENTOS!$E$5:$E$1005)+SUMPRODUCT((MOVIMIENTOS!$B$5:$B$1005="AJUSTE")*(MOVIMIENTOS!$C$5:$C$1005="A")*(MOVIMIENTOS!$D$5:$D$1005="jabas")*(MOVIMIENTOS!$A$5:$A$1005&lt;&gt;"")*(MOVIMIENTOS!$A$5:$A$1005&lt;=$A762)*MOVIMIENTOS!$E$5:$E$1005))</f>
        <v/>
      </c>
      <c r="C762" t="str">
        <f>IF($A762="","",SUMPRODUCT((MOVIMIENTOS!$B$5:$B$1005="SALDO INICIAL")*(MOVIMIENTOS!$C$5:$C$1005="P")*(MOVIMIENTOS!$D$5:$D$1005="jabas")*(MOVIMIENTOS!$A$5:$A$1005&lt;&gt;"")*(MOVIMIENTOS!$A$5:$A$1005&lt;=$A762)*MOVIMIENTOS!$E$5:$E$1005)+SUMPRODUCT((MOVIMIENTOS!$B$5:$B$1005="PROCESO")*(MOVIMIENTOS!$C$5:$C$1005="P")*(MOVIMIENTOS!$D$5:$D$1005="jabas")*(MOVIMIENTOS!$A$5:$A$1005&lt;&gt;"")*(MOVIMIENTOS!$A$5:$A$1005&lt;=$A762)*MOVIMIENTOS!$E$5:$E$1005)-SUMPRODUCT((MOVIMIENTOS!$B$5:$B$1005="ENVÍO A SUPESA")*(MOVIMIENTOS!$C$5:$C$1005="P")*(MOVIMIENTOS!$D$5:$D$1005="jabas")*(MOVIMIENTOS!$A$5:$A$1005&lt;&gt;"")*(MOVIMIENTOS!$A$5:$A$1005&lt;=$A762)*MOVIMIENTOS!$E$5:$E$1005)+SUMPRODUCT((MOVIMIENTOS!$B$5:$B$1005="DEVOLUCIÓN")*(MOVIMIENTOS!$C$5:$C$1005="P")*(MOVIMIENTOS!$D$5:$D$1005="jabas")*(MOVIMIENTOS!$A$5:$A$1005&lt;&gt;"")*(MOVIMIENTOS!$A$5:$A$1005&lt;=$A762)*MOVIMIENTOS!$E$5:$E$1005)-SUMPRODUCT((MOVIMIENTOS!$B$5:$B$1005="TRASIEGO")*(MOVIMIENTOS!$C$5:$C$1005="P")*(MOVIMIENTOS!$D$5:$D$1005="jabas")*(MOVIMIENTOS!$A$5:$A$1005&lt;&gt;"")*(MOVIMIENTOS!$A$5:$A$1005&lt;=$A762)*MOVIMIENTOS!$E$5:$E$1005)-SUMPRODUCT((MOVIMIENTOS!$B$5:$B$1005="REGALO")*(MOVIMIENTOS!$C$5:$C$1005="P")*(MOVIMIENTOS!$D$5:$D$1005="jabas")*(MOVIMIENTOS!$A$5:$A$1005&lt;&gt;"")*(MOVIMIENTOS!$A$5:$A$1005&lt;=$A762)*MOVIMIENTOS!$E$5:$E$1005)-SUMPRODUCT((MOVIMIENTOS!$B$5:$B$1005="VENTA")*(MOVIMIENTOS!$C$5:$C$1005="P")*(MOVIMIENTOS!$D$5:$D$1005="jabas")*(MOVIMIENTOS!$A$5:$A$1005&lt;&gt;"")*(MOVIMIENTOS!$A$5:$A$1005&lt;=$A762)*MOVIMIENTOS!$E$5:$E$1005)+SUMPRODUCT((MOVIMIENTOS!$B$5:$B$1005="AJUSTE")*(MOVIMIENTOS!$C$5:$C$1005="P")*(MOVIMIENTOS!$D$5:$D$1005="jabas")*(MOVIMIENTOS!$A$5:$A$1005&lt;&gt;"")*(MOVIMIENTOS!$A$5:$A$1005&lt;=$A762)*MOVIMIENTOS!$E$5:$E$1005))</f>
        <v/>
      </c>
      <c r="D762" t="str">
        <f>IF($A762="","",SUMPRODUCT((MOVIMIENTOS!$B$5:$B$1005="SALDO INICIAL")*(MOVIMIENTOS!$C$5:$C$1005="C")*(MOVIMIENTOS!$D$5:$D$1005="jabas")*(MOVIMIENTOS!$A$5:$A$1005&lt;&gt;"")*(MOVIMIENTOS!$A$5:$A$1005&lt;=$A762)*MOVIMIENTOS!$E$5:$E$1005)+SUMPRODUCT((MOVIMIENTOS!$B$5:$B$1005="PROCESO")*(MOVIMIENTOS!$C$5:$C$1005="C")*(MOVIMIENTOS!$D$5:$D$1005="jabas")*(MOVIMIENTOS!$A$5:$A$1005&lt;&gt;"")*(MOVIMIENTOS!$A$5:$A$1005&lt;=$A762)*MOVIMIENTOS!$E$5:$E$1005)-SUMPRODUCT((MOVIMIENTOS!$B$5:$B$1005="ENVÍO A SUPESA")*(MOVIMIENTOS!$C$5:$C$1005="C")*(MOVIMIENTOS!$D$5:$D$1005="jabas")*(MOVIMIENTOS!$A$5:$A$1005&lt;&gt;"")*(MOVIMIENTOS!$A$5:$A$1005&lt;=$A762)*MOVIMIENTOS!$E$5:$E$1005)+SUMPRODUCT((MOVIMIENTOS!$B$5:$B$1005="DEVOLUCIÓN")*(MOVIMIENTOS!$C$5:$C$1005="C")*(MOVIMIENTOS!$D$5:$D$1005="jabas")*(MOVIMIENTOS!$A$5:$A$1005&lt;&gt;"")*(MOVIMIENTOS!$A$5:$A$1005&lt;=$A762)*MOVIMIENTOS!$E$5:$E$1005)-SUMPRODUCT((MOVIMIENTOS!$B$5:$B$1005="TRASIEGO")*(MOVIMIENTOS!$C$5:$C$1005="C")*(MOVIMIENTOS!$D$5:$D$1005="jabas")*(MOVIMIENTOS!$A$5:$A$1005&lt;&gt;"")*(MOVIMIENTOS!$A$5:$A$1005&lt;=$A762)*MOVIMIENTOS!$E$5:$E$1005)-SUMPRODUCT((MOVIMIENTOS!$B$5:$B$1005="REGALO")*(MOVIMIENTOS!$C$5:$C$1005="C")*(MOVIMIENTOS!$D$5:$D$1005="jabas")*(MOVIMIENTOS!$A$5:$A$1005&lt;&gt;"")*(MOVIMIENTOS!$A$5:$A$1005&lt;=$A762)*MOVIMIENTOS!$E$5:$E$1005)-SUMPRODUCT((MOVIMIENTOS!$B$5:$B$1005="VENTA")*(MOVIMIENTOS!$C$5:$C$1005="C")*(MOVIMIENTOS!$D$5:$D$1005="jabas")*(MOVIMIENTOS!$A$5:$A$1005&lt;&gt;"")*(MOVIMIENTOS!$A$5:$A$1005&lt;=$A762)*MOVIMIENTOS!$E$5:$E$1005)+SUMPRODUCT((MOVIMIENTOS!$B$5:$B$1005="AJUSTE")*(MOVIMIENTOS!$C$5:$C$1005="C")*(MOVIMIENTOS!$D$5:$D$1005="jabas")*(MOVIMIENTOS!$A$5:$A$1005&lt;&gt;"")*(MOVIMIENTOS!$A$5:$A$1005&lt;=$A762)*MOVIMIENTOS!$E$5:$E$1005))</f>
        <v/>
      </c>
      <c r="E762" t="str">
        <f>IF($A762="","",SUMPRODUCT((MOVIMIENTOS!$B$5:$B$1005="SALDO INICIAL")*(MOVIMIENTOS!$C$5:$C$1005="M")*(MOVIMIENTOS!$D$5:$D$1005="jabas")*(MOVIMIENTOS!$A$5:$A$1005&lt;&gt;"")*(MOVIMIENTOS!$A$5:$A$1005&lt;=$A762)*MOVIMIENTOS!$E$5:$E$1005)+SUMPRODUCT((MOVIMIENTOS!$B$5:$B$1005="PROCESO")*(MOVIMIENTOS!$C$5:$C$1005="M")*(MOVIMIENTOS!$D$5:$D$1005="jabas")*(MOVIMIENTOS!$A$5:$A$1005&lt;&gt;"")*(MOVIMIENTOS!$A$5:$A$1005&lt;=$A762)*MOVIMIENTOS!$E$5:$E$1005)-SUMPRODUCT((MOVIMIENTOS!$B$5:$B$1005="ENVÍO A SUPESA")*(MOVIMIENTOS!$C$5:$C$1005="M")*(MOVIMIENTOS!$D$5:$D$1005="jabas")*(MOVIMIENTOS!$A$5:$A$1005&lt;&gt;"")*(MOVIMIENTOS!$A$5:$A$1005&lt;=$A762)*MOVIMIENTOS!$E$5:$E$1005)+SUMPRODUCT((MOVIMIENTOS!$B$5:$B$1005="DEVOLUCIÓN")*(MOVIMIENTOS!$C$5:$C$1005="M")*(MOVIMIENTOS!$D$5:$D$1005="jabas")*(MOVIMIENTOS!$A$5:$A$1005&lt;&gt;"")*(MOVIMIENTOS!$A$5:$A$1005&lt;=$A762)*MOVIMIENTOS!$E$5:$E$1005)-SUMPRODUCT((MOVIMIENTOS!$B$5:$B$1005="TRASIEGO")*(MOVIMIENTOS!$C$5:$C$1005="M")*(MOVIMIENTOS!$D$5:$D$1005="jabas")*(MOVIMIENTOS!$A$5:$A$1005&lt;&gt;"")*(MOVIMIENTOS!$A$5:$A$1005&lt;=$A762)*MOVIMIENTOS!$E$5:$E$1005)-SUMPRODUCT((MOVIMIENTOS!$B$5:$B$1005="REGALO")*(MOVIMIENTOS!$C$5:$C$1005="M")*(MOVIMIENTOS!$D$5:$D$1005="jabas")*(MOVIMIENTOS!$A$5:$A$1005&lt;&gt;"")*(MOVIMIENTOS!$A$5:$A$1005&lt;=$A762)*MOVIMIENTOS!$E$5:$E$1005)-SUMPRODUCT((MOVIMIENTOS!$B$5:$B$1005="VENTA")*(MOVIMIENTOS!$C$5:$C$1005="M")*(MOVIMIENTOS!$D$5:$D$1005="jabas")*(MOVIMIENTOS!$A$5:$A$1005&lt;&gt;"")*(MOVIMIENTOS!$A$5:$A$1005&lt;=$A762)*MOVIMIENTOS!$E$5:$E$1005)+SUMPRODUCT((MOVIMIENTOS!$B$5:$B$1005="AJUSTE")*(MOVIMIENTOS!$C$5:$C$1005="M")*(MOVIMIENTOS!$D$5:$D$1005="jabas")*(MOVIMIENTOS!$A$5:$A$1005&lt;&gt;"")*(MOVIMIENTOS!$A$5:$A$1005&lt;=$A762)*MOVIMIENTOS!$E$5:$E$1005))</f>
        <v/>
      </c>
      <c r="F762" s="62" t="str">
        <f>IF($A762="","",SUMPRODUCT((MOVIMIENTOS!$B$5:$B$1005="SALDO INICIAL")*(MOVIMIENTOS!$C$5:$C$1005="Chancho")*(MOVIMIENTOS!$D$5:$D$1005="sacos")*(MOVIMIENTOS!$A$5:$A$1005&lt;&gt;"")*(MOVIMIENTOS!$A$5:$A$1005&lt;=$A762)*MOVIMIENTOS!$E$5:$E$1005)+SUMPRODUCT((MOVIMIENTOS!$B$5:$B$1005="PROCESO")*(MOVIMIENTOS!$C$5:$C$1005="Chancho")*(MOVIMIENTOS!$D$5:$D$1005="sacos")*(MOVIMIENTOS!$A$5:$A$1005&lt;&gt;"")*(MOVIMIENTOS!$A$5:$A$1005&lt;=$A762)*MOVIMIENTOS!$E$5:$E$1005)-SUMPRODUCT((MOVIMIENTOS!$B$5:$B$1005="VENTA CHANCHO")*(MOVIMIENTOS!$C$5:$C$1005="Chancho")*(MOVIMIENTOS!$D$5:$D$1005="sacos")*(MOVIMIENTOS!$A$5:$A$1005&lt;&gt;"")*(MOVIMIENTOS!$A$5:$A$1005&lt;=$A762)*MOVIMIENTOS!$E$5:$E$1005)-SUMPRODUCT((MOVIMIENTOS!$B$5:$B$1005="REGALO")*(MOVIMIENTOS!$C$5:$C$1005="Chancho")*(MOVIMIENTOS!$D$5:$D$1005="sacos")*(MOVIMIENTOS!$A$5:$A$1005&lt;&gt;"")*(MOVIMIENTOS!$A$5:$A$1005&lt;=$A762)*MOVIMIENTOS!$E$5:$E$1005)-SUMPRODUCT((MOVIMIENTOS!$B$5:$B$1005="VENTA")*(MOVIMIENTOS!$C$5:$C$1005="Chancho")*(MOVIMIENTOS!$D$5:$D$1005="sacos")*(MOVIMIENTOS!$A$5:$A$1005&lt;&gt;"")*(MOVIMIENTOS!$A$5:$A$1005&lt;=$A762)*MOVIMIENTOS!$E$5:$E$1005)+SUMPRODUCT((MOVIMIENTOS!$B$5:$B$1005="AJUSTE")*(MOVIMIENTOS!$C$5:$C$1005="Chancho")*(MOVIMIENTOS!$D$5:$D$1005="sacos")*(MOVIMIENTOS!$A$5:$A$1005&lt;&gt;"")*(MOVIMIENTOS!$A$5:$A$1005&lt;=$A762)*MOVIMIENTOS!$E$5:$E$1005))</f>
        <v/>
      </c>
      <c r="G762" s="62" t="str">
        <f t="shared" si="23"/>
        <v/>
      </c>
      <c r="H762" t="str">
        <f>IF($A762="","",SUMPRODUCT((((MOVIMIENTOS!$B$5:$B$1005="SALDO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762)*MOVIMIENTOS!$J$5:$J$1005))</f>
        <v/>
      </c>
      <c r="J762" t="str">
        <f>IF(AND(MOVIMIENTOS!$A767&lt;&gt;"",COUNTIF(MOVIMIENTOS!$A$5:$A766,MOVIMIENTOS!$A767)=0),COUNT(J$4:J761)+1,"")</f>
        <v/>
      </c>
      <c r="K762">
        <f>MOVIMIENTOS!$A767</f>
        <v>0</v>
      </c>
    </row>
    <row r="763" spans="1:11" ht="15" customHeight="1" x14ac:dyDescent="0.2">
      <c r="A763" t="str">
        <f t="shared" si="22"/>
        <v/>
      </c>
      <c r="B763" t="str">
        <f>IF($A763="","",SUMPRODUCT((MOVIMIENTOS!$B$5:$B$1005="SALDO INICIAL")*(MOVIMIENTOS!$C$5:$C$1005="A")*(MOVIMIENTOS!$D$5:$D$1005="jabas")*(MOVIMIENTOS!$A$5:$A$1005&lt;&gt;"")*(MOVIMIENTOS!$A$5:$A$1005&lt;=$A763)*MOVIMIENTOS!$E$5:$E$1005)+SUMPRODUCT((MOVIMIENTOS!$B$5:$B$1005="PROCESO")*(MOVIMIENTOS!$C$5:$C$1005="A")*(MOVIMIENTOS!$D$5:$D$1005="jabas")*(MOVIMIENTOS!$A$5:$A$1005&lt;&gt;"")*(MOVIMIENTOS!$A$5:$A$1005&lt;=$A763)*MOVIMIENTOS!$E$5:$E$1005)-SUMPRODUCT((MOVIMIENTOS!$B$5:$B$1005="ENVÍO A SUPESA")*(MOVIMIENTOS!$C$5:$C$1005="A")*(MOVIMIENTOS!$D$5:$D$1005="jabas")*(MOVIMIENTOS!$A$5:$A$1005&lt;&gt;"")*(MOVIMIENTOS!$A$5:$A$1005&lt;=$A763)*MOVIMIENTOS!$E$5:$E$1005)+SUMPRODUCT((MOVIMIENTOS!$B$5:$B$1005="DEVOLUCIÓN")*(MOVIMIENTOS!$C$5:$C$1005="A")*(MOVIMIENTOS!$D$5:$D$1005="jabas")*(MOVIMIENTOS!$A$5:$A$1005&lt;&gt;"")*(MOVIMIENTOS!$A$5:$A$1005&lt;=$A763)*MOVIMIENTOS!$E$5:$E$1005)-SUMPRODUCT((MOVIMIENTOS!$B$5:$B$1005="TRASIEGO")*(MOVIMIENTOS!$C$5:$C$1005="A")*(MOVIMIENTOS!$D$5:$D$1005="jabas")*(MOVIMIENTOS!$A$5:$A$1005&lt;&gt;"")*(MOVIMIENTOS!$A$5:$A$1005&lt;=$A763)*MOVIMIENTOS!$E$5:$E$1005)-SUMPRODUCT((MOVIMIENTOS!$B$5:$B$1005="REGALO")*(MOVIMIENTOS!$C$5:$C$1005="A")*(MOVIMIENTOS!$D$5:$D$1005="jabas")*(MOVIMIENTOS!$A$5:$A$1005&lt;&gt;"")*(MOVIMIENTOS!$A$5:$A$1005&lt;=$A763)*MOVIMIENTOS!$E$5:$E$1005)-SUMPRODUCT((MOVIMIENTOS!$B$5:$B$1005="VENTA")*(MOVIMIENTOS!$C$5:$C$1005="A")*(MOVIMIENTOS!$D$5:$D$1005="jabas")*(MOVIMIENTOS!$A$5:$A$1005&lt;&gt;"")*(MOVIMIENTOS!$A$5:$A$1005&lt;=$A763)*MOVIMIENTOS!$E$5:$E$1005)+SUMPRODUCT((MOVIMIENTOS!$B$5:$B$1005="AJUSTE")*(MOVIMIENTOS!$C$5:$C$1005="A")*(MOVIMIENTOS!$D$5:$D$1005="jabas")*(MOVIMIENTOS!$A$5:$A$1005&lt;&gt;"")*(MOVIMIENTOS!$A$5:$A$1005&lt;=$A763)*MOVIMIENTOS!$E$5:$E$1005))</f>
        <v/>
      </c>
      <c r="C763" t="str">
        <f>IF($A763="","",SUMPRODUCT((MOVIMIENTOS!$B$5:$B$1005="SALDO INICIAL")*(MOVIMIENTOS!$C$5:$C$1005="P")*(MOVIMIENTOS!$D$5:$D$1005="jabas")*(MOVIMIENTOS!$A$5:$A$1005&lt;&gt;"")*(MOVIMIENTOS!$A$5:$A$1005&lt;=$A763)*MOVIMIENTOS!$E$5:$E$1005)+SUMPRODUCT((MOVIMIENTOS!$B$5:$B$1005="PROCESO")*(MOVIMIENTOS!$C$5:$C$1005="P")*(MOVIMIENTOS!$D$5:$D$1005="jabas")*(MOVIMIENTOS!$A$5:$A$1005&lt;&gt;"")*(MOVIMIENTOS!$A$5:$A$1005&lt;=$A763)*MOVIMIENTOS!$E$5:$E$1005)-SUMPRODUCT((MOVIMIENTOS!$B$5:$B$1005="ENVÍO A SUPESA")*(MOVIMIENTOS!$C$5:$C$1005="P")*(MOVIMIENTOS!$D$5:$D$1005="jabas")*(MOVIMIENTOS!$A$5:$A$1005&lt;&gt;"")*(MOVIMIENTOS!$A$5:$A$1005&lt;=$A763)*MOVIMIENTOS!$E$5:$E$1005)+SUMPRODUCT((MOVIMIENTOS!$B$5:$B$1005="DEVOLUCIÓN")*(MOVIMIENTOS!$C$5:$C$1005="P")*(MOVIMIENTOS!$D$5:$D$1005="jabas")*(MOVIMIENTOS!$A$5:$A$1005&lt;&gt;"")*(MOVIMIENTOS!$A$5:$A$1005&lt;=$A763)*MOVIMIENTOS!$E$5:$E$1005)-SUMPRODUCT((MOVIMIENTOS!$B$5:$B$1005="TRASIEGO")*(MOVIMIENTOS!$C$5:$C$1005="P")*(MOVIMIENTOS!$D$5:$D$1005="jabas")*(MOVIMIENTOS!$A$5:$A$1005&lt;&gt;"")*(MOVIMIENTOS!$A$5:$A$1005&lt;=$A763)*MOVIMIENTOS!$E$5:$E$1005)-SUMPRODUCT((MOVIMIENTOS!$B$5:$B$1005="REGALO")*(MOVIMIENTOS!$C$5:$C$1005="P")*(MOVIMIENTOS!$D$5:$D$1005="jabas")*(MOVIMIENTOS!$A$5:$A$1005&lt;&gt;"")*(MOVIMIENTOS!$A$5:$A$1005&lt;=$A763)*MOVIMIENTOS!$E$5:$E$1005)-SUMPRODUCT((MOVIMIENTOS!$B$5:$B$1005="VENTA")*(MOVIMIENTOS!$C$5:$C$1005="P")*(MOVIMIENTOS!$D$5:$D$1005="jabas")*(MOVIMIENTOS!$A$5:$A$1005&lt;&gt;"")*(MOVIMIENTOS!$A$5:$A$1005&lt;=$A763)*MOVIMIENTOS!$E$5:$E$1005)+SUMPRODUCT((MOVIMIENTOS!$B$5:$B$1005="AJUSTE")*(MOVIMIENTOS!$C$5:$C$1005="P")*(MOVIMIENTOS!$D$5:$D$1005="jabas")*(MOVIMIENTOS!$A$5:$A$1005&lt;&gt;"")*(MOVIMIENTOS!$A$5:$A$1005&lt;=$A763)*MOVIMIENTOS!$E$5:$E$1005))</f>
        <v/>
      </c>
      <c r="D763" t="str">
        <f>IF($A763="","",SUMPRODUCT((MOVIMIENTOS!$B$5:$B$1005="SALDO INICIAL")*(MOVIMIENTOS!$C$5:$C$1005="C")*(MOVIMIENTOS!$D$5:$D$1005="jabas")*(MOVIMIENTOS!$A$5:$A$1005&lt;&gt;"")*(MOVIMIENTOS!$A$5:$A$1005&lt;=$A763)*MOVIMIENTOS!$E$5:$E$1005)+SUMPRODUCT((MOVIMIENTOS!$B$5:$B$1005="PROCESO")*(MOVIMIENTOS!$C$5:$C$1005="C")*(MOVIMIENTOS!$D$5:$D$1005="jabas")*(MOVIMIENTOS!$A$5:$A$1005&lt;&gt;"")*(MOVIMIENTOS!$A$5:$A$1005&lt;=$A763)*MOVIMIENTOS!$E$5:$E$1005)-SUMPRODUCT((MOVIMIENTOS!$B$5:$B$1005="ENVÍO A SUPESA")*(MOVIMIENTOS!$C$5:$C$1005="C")*(MOVIMIENTOS!$D$5:$D$1005="jabas")*(MOVIMIENTOS!$A$5:$A$1005&lt;&gt;"")*(MOVIMIENTOS!$A$5:$A$1005&lt;=$A763)*MOVIMIENTOS!$E$5:$E$1005)+SUMPRODUCT((MOVIMIENTOS!$B$5:$B$1005="DEVOLUCIÓN")*(MOVIMIENTOS!$C$5:$C$1005="C")*(MOVIMIENTOS!$D$5:$D$1005="jabas")*(MOVIMIENTOS!$A$5:$A$1005&lt;&gt;"")*(MOVIMIENTOS!$A$5:$A$1005&lt;=$A763)*MOVIMIENTOS!$E$5:$E$1005)-SUMPRODUCT((MOVIMIENTOS!$B$5:$B$1005="TRASIEGO")*(MOVIMIENTOS!$C$5:$C$1005="C")*(MOVIMIENTOS!$D$5:$D$1005="jabas")*(MOVIMIENTOS!$A$5:$A$1005&lt;&gt;"")*(MOVIMIENTOS!$A$5:$A$1005&lt;=$A763)*MOVIMIENTOS!$E$5:$E$1005)-SUMPRODUCT((MOVIMIENTOS!$B$5:$B$1005="REGALO")*(MOVIMIENTOS!$C$5:$C$1005="C")*(MOVIMIENTOS!$D$5:$D$1005="jabas")*(MOVIMIENTOS!$A$5:$A$1005&lt;&gt;"")*(MOVIMIENTOS!$A$5:$A$1005&lt;=$A763)*MOVIMIENTOS!$E$5:$E$1005)-SUMPRODUCT((MOVIMIENTOS!$B$5:$B$1005="VENTA")*(MOVIMIENTOS!$C$5:$C$1005="C")*(MOVIMIENTOS!$D$5:$D$1005="jabas")*(MOVIMIENTOS!$A$5:$A$1005&lt;&gt;"")*(MOVIMIENTOS!$A$5:$A$1005&lt;=$A763)*MOVIMIENTOS!$E$5:$E$1005)+SUMPRODUCT((MOVIMIENTOS!$B$5:$B$1005="AJUSTE")*(MOVIMIENTOS!$C$5:$C$1005="C")*(MOVIMIENTOS!$D$5:$D$1005="jabas")*(MOVIMIENTOS!$A$5:$A$1005&lt;&gt;"")*(MOVIMIENTOS!$A$5:$A$1005&lt;=$A763)*MOVIMIENTOS!$E$5:$E$1005))</f>
        <v/>
      </c>
      <c r="E763" t="str">
        <f>IF($A763="","",SUMPRODUCT((MOVIMIENTOS!$B$5:$B$1005="SALDO INICIAL")*(MOVIMIENTOS!$C$5:$C$1005="M")*(MOVIMIENTOS!$D$5:$D$1005="jabas")*(MOVIMIENTOS!$A$5:$A$1005&lt;&gt;"")*(MOVIMIENTOS!$A$5:$A$1005&lt;=$A763)*MOVIMIENTOS!$E$5:$E$1005)+SUMPRODUCT((MOVIMIENTOS!$B$5:$B$1005="PROCESO")*(MOVIMIENTOS!$C$5:$C$1005="M")*(MOVIMIENTOS!$D$5:$D$1005="jabas")*(MOVIMIENTOS!$A$5:$A$1005&lt;&gt;"")*(MOVIMIENTOS!$A$5:$A$1005&lt;=$A763)*MOVIMIENTOS!$E$5:$E$1005)-SUMPRODUCT((MOVIMIENTOS!$B$5:$B$1005="ENVÍO A SUPESA")*(MOVIMIENTOS!$C$5:$C$1005="M")*(MOVIMIENTOS!$D$5:$D$1005="jabas")*(MOVIMIENTOS!$A$5:$A$1005&lt;&gt;"")*(MOVIMIENTOS!$A$5:$A$1005&lt;=$A763)*MOVIMIENTOS!$E$5:$E$1005)+SUMPRODUCT((MOVIMIENTOS!$B$5:$B$1005="DEVOLUCIÓN")*(MOVIMIENTOS!$C$5:$C$1005="M")*(MOVIMIENTOS!$D$5:$D$1005="jabas")*(MOVIMIENTOS!$A$5:$A$1005&lt;&gt;"")*(MOVIMIENTOS!$A$5:$A$1005&lt;=$A763)*MOVIMIENTOS!$E$5:$E$1005)-SUMPRODUCT((MOVIMIENTOS!$B$5:$B$1005="TRASIEGO")*(MOVIMIENTOS!$C$5:$C$1005="M")*(MOVIMIENTOS!$D$5:$D$1005="jabas")*(MOVIMIENTOS!$A$5:$A$1005&lt;&gt;"")*(MOVIMIENTOS!$A$5:$A$1005&lt;=$A763)*MOVIMIENTOS!$E$5:$E$1005)-SUMPRODUCT((MOVIMIENTOS!$B$5:$B$1005="REGALO")*(MOVIMIENTOS!$C$5:$C$1005="M")*(MOVIMIENTOS!$D$5:$D$1005="jabas")*(MOVIMIENTOS!$A$5:$A$1005&lt;&gt;"")*(MOVIMIENTOS!$A$5:$A$1005&lt;=$A763)*MOVIMIENTOS!$E$5:$E$1005)-SUMPRODUCT((MOVIMIENTOS!$B$5:$B$1005="VENTA")*(MOVIMIENTOS!$C$5:$C$1005="M")*(MOVIMIENTOS!$D$5:$D$1005="jabas")*(MOVIMIENTOS!$A$5:$A$1005&lt;&gt;"")*(MOVIMIENTOS!$A$5:$A$1005&lt;=$A763)*MOVIMIENTOS!$E$5:$E$1005)+SUMPRODUCT((MOVIMIENTOS!$B$5:$B$1005="AJUSTE")*(MOVIMIENTOS!$C$5:$C$1005="M")*(MOVIMIENTOS!$D$5:$D$1005="jabas")*(MOVIMIENTOS!$A$5:$A$1005&lt;&gt;"")*(MOVIMIENTOS!$A$5:$A$1005&lt;=$A763)*MOVIMIENTOS!$E$5:$E$1005))</f>
        <v/>
      </c>
      <c r="F763" s="62" t="str">
        <f>IF($A763="","",SUMPRODUCT((MOVIMIENTOS!$B$5:$B$1005="SALDO INICIAL")*(MOVIMIENTOS!$C$5:$C$1005="Chancho")*(MOVIMIENTOS!$D$5:$D$1005="sacos")*(MOVIMIENTOS!$A$5:$A$1005&lt;&gt;"")*(MOVIMIENTOS!$A$5:$A$1005&lt;=$A763)*MOVIMIENTOS!$E$5:$E$1005)+SUMPRODUCT((MOVIMIENTOS!$B$5:$B$1005="PROCESO")*(MOVIMIENTOS!$C$5:$C$1005="Chancho")*(MOVIMIENTOS!$D$5:$D$1005="sacos")*(MOVIMIENTOS!$A$5:$A$1005&lt;&gt;"")*(MOVIMIENTOS!$A$5:$A$1005&lt;=$A763)*MOVIMIENTOS!$E$5:$E$1005)-SUMPRODUCT((MOVIMIENTOS!$B$5:$B$1005="VENTA CHANCHO")*(MOVIMIENTOS!$C$5:$C$1005="Chancho")*(MOVIMIENTOS!$D$5:$D$1005="sacos")*(MOVIMIENTOS!$A$5:$A$1005&lt;&gt;"")*(MOVIMIENTOS!$A$5:$A$1005&lt;=$A763)*MOVIMIENTOS!$E$5:$E$1005)-SUMPRODUCT((MOVIMIENTOS!$B$5:$B$1005="REGALO")*(MOVIMIENTOS!$C$5:$C$1005="Chancho")*(MOVIMIENTOS!$D$5:$D$1005="sacos")*(MOVIMIENTOS!$A$5:$A$1005&lt;&gt;"")*(MOVIMIENTOS!$A$5:$A$1005&lt;=$A763)*MOVIMIENTOS!$E$5:$E$1005)-SUMPRODUCT((MOVIMIENTOS!$B$5:$B$1005="VENTA")*(MOVIMIENTOS!$C$5:$C$1005="Chancho")*(MOVIMIENTOS!$D$5:$D$1005="sacos")*(MOVIMIENTOS!$A$5:$A$1005&lt;&gt;"")*(MOVIMIENTOS!$A$5:$A$1005&lt;=$A763)*MOVIMIENTOS!$E$5:$E$1005)+SUMPRODUCT((MOVIMIENTOS!$B$5:$B$1005="AJUSTE")*(MOVIMIENTOS!$C$5:$C$1005="Chancho")*(MOVIMIENTOS!$D$5:$D$1005="sacos")*(MOVIMIENTOS!$A$5:$A$1005&lt;&gt;"")*(MOVIMIENTOS!$A$5:$A$1005&lt;=$A763)*MOVIMIENTOS!$E$5:$E$1005))</f>
        <v/>
      </c>
      <c r="G763" s="62" t="str">
        <f t="shared" si="23"/>
        <v/>
      </c>
      <c r="H763" t="str">
        <f>IF($A763="","",SUMPRODUCT((((MOVIMIENTOS!$B$5:$B$1005="SALDO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763)*MOVIMIENTOS!$J$5:$J$1005))</f>
        <v/>
      </c>
      <c r="J763" t="str">
        <f>IF(AND(MOVIMIENTOS!$A768&lt;&gt;"",COUNTIF(MOVIMIENTOS!$A$5:$A767,MOVIMIENTOS!$A768)=0),COUNT(J$4:J762)+1,"")</f>
        <v/>
      </c>
      <c r="K763">
        <f>MOVIMIENTOS!$A768</f>
        <v>0</v>
      </c>
    </row>
    <row r="764" spans="1:11" ht="15" customHeight="1" x14ac:dyDescent="0.2">
      <c r="A764" t="str">
        <f t="shared" si="22"/>
        <v/>
      </c>
      <c r="B764" t="str">
        <f>IF($A764="","",SUMPRODUCT((MOVIMIENTOS!$B$5:$B$1005="SALDO INICIAL")*(MOVIMIENTOS!$C$5:$C$1005="A")*(MOVIMIENTOS!$D$5:$D$1005="jabas")*(MOVIMIENTOS!$A$5:$A$1005&lt;&gt;"")*(MOVIMIENTOS!$A$5:$A$1005&lt;=$A764)*MOVIMIENTOS!$E$5:$E$1005)+SUMPRODUCT((MOVIMIENTOS!$B$5:$B$1005="PROCESO")*(MOVIMIENTOS!$C$5:$C$1005="A")*(MOVIMIENTOS!$D$5:$D$1005="jabas")*(MOVIMIENTOS!$A$5:$A$1005&lt;&gt;"")*(MOVIMIENTOS!$A$5:$A$1005&lt;=$A764)*MOVIMIENTOS!$E$5:$E$1005)-SUMPRODUCT((MOVIMIENTOS!$B$5:$B$1005="ENVÍO A SUPESA")*(MOVIMIENTOS!$C$5:$C$1005="A")*(MOVIMIENTOS!$D$5:$D$1005="jabas")*(MOVIMIENTOS!$A$5:$A$1005&lt;&gt;"")*(MOVIMIENTOS!$A$5:$A$1005&lt;=$A764)*MOVIMIENTOS!$E$5:$E$1005)+SUMPRODUCT((MOVIMIENTOS!$B$5:$B$1005="DEVOLUCIÓN")*(MOVIMIENTOS!$C$5:$C$1005="A")*(MOVIMIENTOS!$D$5:$D$1005="jabas")*(MOVIMIENTOS!$A$5:$A$1005&lt;&gt;"")*(MOVIMIENTOS!$A$5:$A$1005&lt;=$A764)*MOVIMIENTOS!$E$5:$E$1005)-SUMPRODUCT((MOVIMIENTOS!$B$5:$B$1005="TRASIEGO")*(MOVIMIENTOS!$C$5:$C$1005="A")*(MOVIMIENTOS!$D$5:$D$1005="jabas")*(MOVIMIENTOS!$A$5:$A$1005&lt;&gt;"")*(MOVIMIENTOS!$A$5:$A$1005&lt;=$A764)*MOVIMIENTOS!$E$5:$E$1005)-SUMPRODUCT((MOVIMIENTOS!$B$5:$B$1005="REGALO")*(MOVIMIENTOS!$C$5:$C$1005="A")*(MOVIMIENTOS!$D$5:$D$1005="jabas")*(MOVIMIENTOS!$A$5:$A$1005&lt;&gt;"")*(MOVIMIENTOS!$A$5:$A$1005&lt;=$A764)*MOVIMIENTOS!$E$5:$E$1005)-SUMPRODUCT((MOVIMIENTOS!$B$5:$B$1005="VENTA")*(MOVIMIENTOS!$C$5:$C$1005="A")*(MOVIMIENTOS!$D$5:$D$1005="jabas")*(MOVIMIENTOS!$A$5:$A$1005&lt;&gt;"")*(MOVIMIENTOS!$A$5:$A$1005&lt;=$A764)*MOVIMIENTOS!$E$5:$E$1005)+SUMPRODUCT((MOVIMIENTOS!$B$5:$B$1005="AJUSTE")*(MOVIMIENTOS!$C$5:$C$1005="A")*(MOVIMIENTOS!$D$5:$D$1005="jabas")*(MOVIMIENTOS!$A$5:$A$1005&lt;&gt;"")*(MOVIMIENTOS!$A$5:$A$1005&lt;=$A764)*MOVIMIENTOS!$E$5:$E$1005))</f>
        <v/>
      </c>
      <c r="C764" t="str">
        <f>IF($A764="","",SUMPRODUCT((MOVIMIENTOS!$B$5:$B$1005="SALDO INICIAL")*(MOVIMIENTOS!$C$5:$C$1005="P")*(MOVIMIENTOS!$D$5:$D$1005="jabas")*(MOVIMIENTOS!$A$5:$A$1005&lt;&gt;"")*(MOVIMIENTOS!$A$5:$A$1005&lt;=$A764)*MOVIMIENTOS!$E$5:$E$1005)+SUMPRODUCT((MOVIMIENTOS!$B$5:$B$1005="PROCESO")*(MOVIMIENTOS!$C$5:$C$1005="P")*(MOVIMIENTOS!$D$5:$D$1005="jabas")*(MOVIMIENTOS!$A$5:$A$1005&lt;&gt;"")*(MOVIMIENTOS!$A$5:$A$1005&lt;=$A764)*MOVIMIENTOS!$E$5:$E$1005)-SUMPRODUCT((MOVIMIENTOS!$B$5:$B$1005="ENVÍO A SUPESA")*(MOVIMIENTOS!$C$5:$C$1005="P")*(MOVIMIENTOS!$D$5:$D$1005="jabas")*(MOVIMIENTOS!$A$5:$A$1005&lt;&gt;"")*(MOVIMIENTOS!$A$5:$A$1005&lt;=$A764)*MOVIMIENTOS!$E$5:$E$1005)+SUMPRODUCT((MOVIMIENTOS!$B$5:$B$1005="DEVOLUCIÓN")*(MOVIMIENTOS!$C$5:$C$1005="P")*(MOVIMIENTOS!$D$5:$D$1005="jabas")*(MOVIMIENTOS!$A$5:$A$1005&lt;&gt;"")*(MOVIMIENTOS!$A$5:$A$1005&lt;=$A764)*MOVIMIENTOS!$E$5:$E$1005)-SUMPRODUCT((MOVIMIENTOS!$B$5:$B$1005="TRASIEGO")*(MOVIMIENTOS!$C$5:$C$1005="P")*(MOVIMIENTOS!$D$5:$D$1005="jabas")*(MOVIMIENTOS!$A$5:$A$1005&lt;&gt;"")*(MOVIMIENTOS!$A$5:$A$1005&lt;=$A764)*MOVIMIENTOS!$E$5:$E$1005)-SUMPRODUCT((MOVIMIENTOS!$B$5:$B$1005="REGALO")*(MOVIMIENTOS!$C$5:$C$1005="P")*(MOVIMIENTOS!$D$5:$D$1005="jabas")*(MOVIMIENTOS!$A$5:$A$1005&lt;&gt;"")*(MOVIMIENTOS!$A$5:$A$1005&lt;=$A764)*MOVIMIENTOS!$E$5:$E$1005)-SUMPRODUCT((MOVIMIENTOS!$B$5:$B$1005="VENTA")*(MOVIMIENTOS!$C$5:$C$1005="P")*(MOVIMIENTOS!$D$5:$D$1005="jabas")*(MOVIMIENTOS!$A$5:$A$1005&lt;&gt;"")*(MOVIMIENTOS!$A$5:$A$1005&lt;=$A764)*MOVIMIENTOS!$E$5:$E$1005)+SUMPRODUCT((MOVIMIENTOS!$B$5:$B$1005="AJUSTE")*(MOVIMIENTOS!$C$5:$C$1005="P")*(MOVIMIENTOS!$D$5:$D$1005="jabas")*(MOVIMIENTOS!$A$5:$A$1005&lt;&gt;"")*(MOVIMIENTOS!$A$5:$A$1005&lt;=$A764)*MOVIMIENTOS!$E$5:$E$1005))</f>
        <v/>
      </c>
      <c r="D764" t="str">
        <f>IF($A764="","",SUMPRODUCT((MOVIMIENTOS!$B$5:$B$1005="SALDO INICIAL")*(MOVIMIENTOS!$C$5:$C$1005="C")*(MOVIMIENTOS!$D$5:$D$1005="jabas")*(MOVIMIENTOS!$A$5:$A$1005&lt;&gt;"")*(MOVIMIENTOS!$A$5:$A$1005&lt;=$A764)*MOVIMIENTOS!$E$5:$E$1005)+SUMPRODUCT((MOVIMIENTOS!$B$5:$B$1005="PROCESO")*(MOVIMIENTOS!$C$5:$C$1005="C")*(MOVIMIENTOS!$D$5:$D$1005="jabas")*(MOVIMIENTOS!$A$5:$A$1005&lt;&gt;"")*(MOVIMIENTOS!$A$5:$A$1005&lt;=$A764)*MOVIMIENTOS!$E$5:$E$1005)-SUMPRODUCT((MOVIMIENTOS!$B$5:$B$1005="ENVÍO A SUPESA")*(MOVIMIENTOS!$C$5:$C$1005="C")*(MOVIMIENTOS!$D$5:$D$1005="jabas")*(MOVIMIENTOS!$A$5:$A$1005&lt;&gt;"")*(MOVIMIENTOS!$A$5:$A$1005&lt;=$A764)*MOVIMIENTOS!$E$5:$E$1005)+SUMPRODUCT((MOVIMIENTOS!$B$5:$B$1005="DEVOLUCIÓN")*(MOVIMIENTOS!$C$5:$C$1005="C")*(MOVIMIENTOS!$D$5:$D$1005="jabas")*(MOVIMIENTOS!$A$5:$A$1005&lt;&gt;"")*(MOVIMIENTOS!$A$5:$A$1005&lt;=$A764)*MOVIMIENTOS!$E$5:$E$1005)-SUMPRODUCT((MOVIMIENTOS!$B$5:$B$1005="TRASIEGO")*(MOVIMIENTOS!$C$5:$C$1005="C")*(MOVIMIENTOS!$D$5:$D$1005="jabas")*(MOVIMIENTOS!$A$5:$A$1005&lt;&gt;"")*(MOVIMIENTOS!$A$5:$A$1005&lt;=$A764)*MOVIMIENTOS!$E$5:$E$1005)-SUMPRODUCT((MOVIMIENTOS!$B$5:$B$1005="REGALO")*(MOVIMIENTOS!$C$5:$C$1005="C")*(MOVIMIENTOS!$D$5:$D$1005="jabas")*(MOVIMIENTOS!$A$5:$A$1005&lt;&gt;"")*(MOVIMIENTOS!$A$5:$A$1005&lt;=$A764)*MOVIMIENTOS!$E$5:$E$1005)-SUMPRODUCT((MOVIMIENTOS!$B$5:$B$1005="VENTA")*(MOVIMIENTOS!$C$5:$C$1005="C")*(MOVIMIENTOS!$D$5:$D$1005="jabas")*(MOVIMIENTOS!$A$5:$A$1005&lt;&gt;"")*(MOVIMIENTOS!$A$5:$A$1005&lt;=$A764)*MOVIMIENTOS!$E$5:$E$1005)+SUMPRODUCT((MOVIMIENTOS!$B$5:$B$1005="AJUSTE")*(MOVIMIENTOS!$C$5:$C$1005="C")*(MOVIMIENTOS!$D$5:$D$1005="jabas")*(MOVIMIENTOS!$A$5:$A$1005&lt;&gt;"")*(MOVIMIENTOS!$A$5:$A$1005&lt;=$A764)*MOVIMIENTOS!$E$5:$E$1005))</f>
        <v/>
      </c>
      <c r="E764" t="str">
        <f>IF($A764="","",SUMPRODUCT((MOVIMIENTOS!$B$5:$B$1005="SALDO INICIAL")*(MOVIMIENTOS!$C$5:$C$1005="M")*(MOVIMIENTOS!$D$5:$D$1005="jabas")*(MOVIMIENTOS!$A$5:$A$1005&lt;&gt;"")*(MOVIMIENTOS!$A$5:$A$1005&lt;=$A764)*MOVIMIENTOS!$E$5:$E$1005)+SUMPRODUCT((MOVIMIENTOS!$B$5:$B$1005="PROCESO")*(MOVIMIENTOS!$C$5:$C$1005="M")*(MOVIMIENTOS!$D$5:$D$1005="jabas")*(MOVIMIENTOS!$A$5:$A$1005&lt;&gt;"")*(MOVIMIENTOS!$A$5:$A$1005&lt;=$A764)*MOVIMIENTOS!$E$5:$E$1005)-SUMPRODUCT((MOVIMIENTOS!$B$5:$B$1005="ENVÍO A SUPESA")*(MOVIMIENTOS!$C$5:$C$1005="M")*(MOVIMIENTOS!$D$5:$D$1005="jabas")*(MOVIMIENTOS!$A$5:$A$1005&lt;&gt;"")*(MOVIMIENTOS!$A$5:$A$1005&lt;=$A764)*MOVIMIENTOS!$E$5:$E$1005)+SUMPRODUCT((MOVIMIENTOS!$B$5:$B$1005="DEVOLUCIÓN")*(MOVIMIENTOS!$C$5:$C$1005="M")*(MOVIMIENTOS!$D$5:$D$1005="jabas")*(MOVIMIENTOS!$A$5:$A$1005&lt;&gt;"")*(MOVIMIENTOS!$A$5:$A$1005&lt;=$A764)*MOVIMIENTOS!$E$5:$E$1005)-SUMPRODUCT((MOVIMIENTOS!$B$5:$B$1005="TRASIEGO")*(MOVIMIENTOS!$C$5:$C$1005="M")*(MOVIMIENTOS!$D$5:$D$1005="jabas")*(MOVIMIENTOS!$A$5:$A$1005&lt;&gt;"")*(MOVIMIENTOS!$A$5:$A$1005&lt;=$A764)*MOVIMIENTOS!$E$5:$E$1005)-SUMPRODUCT((MOVIMIENTOS!$B$5:$B$1005="REGALO")*(MOVIMIENTOS!$C$5:$C$1005="M")*(MOVIMIENTOS!$D$5:$D$1005="jabas")*(MOVIMIENTOS!$A$5:$A$1005&lt;&gt;"")*(MOVIMIENTOS!$A$5:$A$1005&lt;=$A764)*MOVIMIENTOS!$E$5:$E$1005)-SUMPRODUCT((MOVIMIENTOS!$B$5:$B$1005="VENTA")*(MOVIMIENTOS!$C$5:$C$1005="M")*(MOVIMIENTOS!$D$5:$D$1005="jabas")*(MOVIMIENTOS!$A$5:$A$1005&lt;&gt;"")*(MOVIMIENTOS!$A$5:$A$1005&lt;=$A764)*MOVIMIENTOS!$E$5:$E$1005)+SUMPRODUCT((MOVIMIENTOS!$B$5:$B$1005="AJUSTE")*(MOVIMIENTOS!$C$5:$C$1005="M")*(MOVIMIENTOS!$D$5:$D$1005="jabas")*(MOVIMIENTOS!$A$5:$A$1005&lt;&gt;"")*(MOVIMIENTOS!$A$5:$A$1005&lt;=$A764)*MOVIMIENTOS!$E$5:$E$1005))</f>
        <v/>
      </c>
      <c r="F764" s="62" t="str">
        <f>IF($A764="","",SUMPRODUCT((MOVIMIENTOS!$B$5:$B$1005="SALDO INICIAL")*(MOVIMIENTOS!$C$5:$C$1005="Chancho")*(MOVIMIENTOS!$D$5:$D$1005="sacos")*(MOVIMIENTOS!$A$5:$A$1005&lt;&gt;"")*(MOVIMIENTOS!$A$5:$A$1005&lt;=$A764)*MOVIMIENTOS!$E$5:$E$1005)+SUMPRODUCT((MOVIMIENTOS!$B$5:$B$1005="PROCESO")*(MOVIMIENTOS!$C$5:$C$1005="Chancho")*(MOVIMIENTOS!$D$5:$D$1005="sacos")*(MOVIMIENTOS!$A$5:$A$1005&lt;&gt;"")*(MOVIMIENTOS!$A$5:$A$1005&lt;=$A764)*MOVIMIENTOS!$E$5:$E$1005)-SUMPRODUCT((MOVIMIENTOS!$B$5:$B$1005="VENTA CHANCHO")*(MOVIMIENTOS!$C$5:$C$1005="Chancho")*(MOVIMIENTOS!$D$5:$D$1005="sacos")*(MOVIMIENTOS!$A$5:$A$1005&lt;&gt;"")*(MOVIMIENTOS!$A$5:$A$1005&lt;=$A764)*MOVIMIENTOS!$E$5:$E$1005)-SUMPRODUCT((MOVIMIENTOS!$B$5:$B$1005="REGALO")*(MOVIMIENTOS!$C$5:$C$1005="Chancho")*(MOVIMIENTOS!$D$5:$D$1005="sacos")*(MOVIMIENTOS!$A$5:$A$1005&lt;&gt;"")*(MOVIMIENTOS!$A$5:$A$1005&lt;=$A764)*MOVIMIENTOS!$E$5:$E$1005)-SUMPRODUCT((MOVIMIENTOS!$B$5:$B$1005="VENTA")*(MOVIMIENTOS!$C$5:$C$1005="Chancho")*(MOVIMIENTOS!$D$5:$D$1005="sacos")*(MOVIMIENTOS!$A$5:$A$1005&lt;&gt;"")*(MOVIMIENTOS!$A$5:$A$1005&lt;=$A764)*MOVIMIENTOS!$E$5:$E$1005)+SUMPRODUCT((MOVIMIENTOS!$B$5:$B$1005="AJUSTE")*(MOVIMIENTOS!$C$5:$C$1005="Chancho")*(MOVIMIENTOS!$D$5:$D$1005="sacos")*(MOVIMIENTOS!$A$5:$A$1005&lt;&gt;"")*(MOVIMIENTOS!$A$5:$A$1005&lt;=$A764)*MOVIMIENTOS!$E$5:$E$1005))</f>
        <v/>
      </c>
      <c r="G764" s="62" t="str">
        <f t="shared" si="23"/>
        <v/>
      </c>
      <c r="H764" t="str">
        <f>IF($A764="","",SUMPRODUCT((((MOVIMIENTOS!$B$5:$B$1005="SALDO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764)*MOVIMIENTOS!$J$5:$J$1005))</f>
        <v/>
      </c>
      <c r="J764" t="str">
        <f>IF(AND(MOVIMIENTOS!$A769&lt;&gt;"",COUNTIF(MOVIMIENTOS!$A$5:$A768,MOVIMIENTOS!$A769)=0),COUNT(J$4:J763)+1,"")</f>
        <v/>
      </c>
      <c r="K764">
        <f>MOVIMIENTOS!$A769</f>
        <v>0</v>
      </c>
    </row>
    <row r="765" spans="1:11" ht="15" customHeight="1" x14ac:dyDescent="0.2">
      <c r="A765" t="str">
        <f t="shared" si="22"/>
        <v/>
      </c>
      <c r="B765" t="str">
        <f>IF($A765="","",SUMPRODUCT((MOVIMIENTOS!$B$5:$B$1005="SALDO INICIAL")*(MOVIMIENTOS!$C$5:$C$1005="A")*(MOVIMIENTOS!$D$5:$D$1005="jabas")*(MOVIMIENTOS!$A$5:$A$1005&lt;&gt;"")*(MOVIMIENTOS!$A$5:$A$1005&lt;=$A765)*MOVIMIENTOS!$E$5:$E$1005)+SUMPRODUCT((MOVIMIENTOS!$B$5:$B$1005="PROCESO")*(MOVIMIENTOS!$C$5:$C$1005="A")*(MOVIMIENTOS!$D$5:$D$1005="jabas")*(MOVIMIENTOS!$A$5:$A$1005&lt;&gt;"")*(MOVIMIENTOS!$A$5:$A$1005&lt;=$A765)*MOVIMIENTOS!$E$5:$E$1005)-SUMPRODUCT((MOVIMIENTOS!$B$5:$B$1005="ENVÍO A SUPESA")*(MOVIMIENTOS!$C$5:$C$1005="A")*(MOVIMIENTOS!$D$5:$D$1005="jabas")*(MOVIMIENTOS!$A$5:$A$1005&lt;&gt;"")*(MOVIMIENTOS!$A$5:$A$1005&lt;=$A765)*MOVIMIENTOS!$E$5:$E$1005)+SUMPRODUCT((MOVIMIENTOS!$B$5:$B$1005="DEVOLUCIÓN")*(MOVIMIENTOS!$C$5:$C$1005="A")*(MOVIMIENTOS!$D$5:$D$1005="jabas")*(MOVIMIENTOS!$A$5:$A$1005&lt;&gt;"")*(MOVIMIENTOS!$A$5:$A$1005&lt;=$A765)*MOVIMIENTOS!$E$5:$E$1005)-SUMPRODUCT((MOVIMIENTOS!$B$5:$B$1005="TRASIEGO")*(MOVIMIENTOS!$C$5:$C$1005="A")*(MOVIMIENTOS!$D$5:$D$1005="jabas")*(MOVIMIENTOS!$A$5:$A$1005&lt;&gt;"")*(MOVIMIENTOS!$A$5:$A$1005&lt;=$A765)*MOVIMIENTOS!$E$5:$E$1005)-SUMPRODUCT((MOVIMIENTOS!$B$5:$B$1005="REGALO")*(MOVIMIENTOS!$C$5:$C$1005="A")*(MOVIMIENTOS!$D$5:$D$1005="jabas")*(MOVIMIENTOS!$A$5:$A$1005&lt;&gt;"")*(MOVIMIENTOS!$A$5:$A$1005&lt;=$A765)*MOVIMIENTOS!$E$5:$E$1005)-SUMPRODUCT((MOVIMIENTOS!$B$5:$B$1005="VENTA")*(MOVIMIENTOS!$C$5:$C$1005="A")*(MOVIMIENTOS!$D$5:$D$1005="jabas")*(MOVIMIENTOS!$A$5:$A$1005&lt;&gt;"")*(MOVIMIENTOS!$A$5:$A$1005&lt;=$A765)*MOVIMIENTOS!$E$5:$E$1005)+SUMPRODUCT((MOVIMIENTOS!$B$5:$B$1005="AJUSTE")*(MOVIMIENTOS!$C$5:$C$1005="A")*(MOVIMIENTOS!$D$5:$D$1005="jabas")*(MOVIMIENTOS!$A$5:$A$1005&lt;&gt;"")*(MOVIMIENTOS!$A$5:$A$1005&lt;=$A765)*MOVIMIENTOS!$E$5:$E$1005))</f>
        <v/>
      </c>
      <c r="C765" t="str">
        <f>IF($A765="","",SUMPRODUCT((MOVIMIENTOS!$B$5:$B$1005="SALDO INICIAL")*(MOVIMIENTOS!$C$5:$C$1005="P")*(MOVIMIENTOS!$D$5:$D$1005="jabas")*(MOVIMIENTOS!$A$5:$A$1005&lt;&gt;"")*(MOVIMIENTOS!$A$5:$A$1005&lt;=$A765)*MOVIMIENTOS!$E$5:$E$1005)+SUMPRODUCT((MOVIMIENTOS!$B$5:$B$1005="PROCESO")*(MOVIMIENTOS!$C$5:$C$1005="P")*(MOVIMIENTOS!$D$5:$D$1005="jabas")*(MOVIMIENTOS!$A$5:$A$1005&lt;&gt;"")*(MOVIMIENTOS!$A$5:$A$1005&lt;=$A765)*MOVIMIENTOS!$E$5:$E$1005)-SUMPRODUCT((MOVIMIENTOS!$B$5:$B$1005="ENVÍO A SUPESA")*(MOVIMIENTOS!$C$5:$C$1005="P")*(MOVIMIENTOS!$D$5:$D$1005="jabas")*(MOVIMIENTOS!$A$5:$A$1005&lt;&gt;"")*(MOVIMIENTOS!$A$5:$A$1005&lt;=$A765)*MOVIMIENTOS!$E$5:$E$1005)+SUMPRODUCT((MOVIMIENTOS!$B$5:$B$1005="DEVOLUCIÓN")*(MOVIMIENTOS!$C$5:$C$1005="P")*(MOVIMIENTOS!$D$5:$D$1005="jabas")*(MOVIMIENTOS!$A$5:$A$1005&lt;&gt;"")*(MOVIMIENTOS!$A$5:$A$1005&lt;=$A765)*MOVIMIENTOS!$E$5:$E$1005)-SUMPRODUCT((MOVIMIENTOS!$B$5:$B$1005="TRASIEGO")*(MOVIMIENTOS!$C$5:$C$1005="P")*(MOVIMIENTOS!$D$5:$D$1005="jabas")*(MOVIMIENTOS!$A$5:$A$1005&lt;&gt;"")*(MOVIMIENTOS!$A$5:$A$1005&lt;=$A765)*MOVIMIENTOS!$E$5:$E$1005)-SUMPRODUCT((MOVIMIENTOS!$B$5:$B$1005="REGALO")*(MOVIMIENTOS!$C$5:$C$1005="P")*(MOVIMIENTOS!$D$5:$D$1005="jabas")*(MOVIMIENTOS!$A$5:$A$1005&lt;&gt;"")*(MOVIMIENTOS!$A$5:$A$1005&lt;=$A765)*MOVIMIENTOS!$E$5:$E$1005)-SUMPRODUCT((MOVIMIENTOS!$B$5:$B$1005="VENTA")*(MOVIMIENTOS!$C$5:$C$1005="P")*(MOVIMIENTOS!$D$5:$D$1005="jabas")*(MOVIMIENTOS!$A$5:$A$1005&lt;&gt;"")*(MOVIMIENTOS!$A$5:$A$1005&lt;=$A765)*MOVIMIENTOS!$E$5:$E$1005)+SUMPRODUCT((MOVIMIENTOS!$B$5:$B$1005="AJUSTE")*(MOVIMIENTOS!$C$5:$C$1005="P")*(MOVIMIENTOS!$D$5:$D$1005="jabas")*(MOVIMIENTOS!$A$5:$A$1005&lt;&gt;"")*(MOVIMIENTOS!$A$5:$A$1005&lt;=$A765)*MOVIMIENTOS!$E$5:$E$1005))</f>
        <v/>
      </c>
      <c r="D765" t="str">
        <f>IF($A765="","",SUMPRODUCT((MOVIMIENTOS!$B$5:$B$1005="SALDO INICIAL")*(MOVIMIENTOS!$C$5:$C$1005="C")*(MOVIMIENTOS!$D$5:$D$1005="jabas")*(MOVIMIENTOS!$A$5:$A$1005&lt;&gt;"")*(MOVIMIENTOS!$A$5:$A$1005&lt;=$A765)*MOVIMIENTOS!$E$5:$E$1005)+SUMPRODUCT((MOVIMIENTOS!$B$5:$B$1005="PROCESO")*(MOVIMIENTOS!$C$5:$C$1005="C")*(MOVIMIENTOS!$D$5:$D$1005="jabas")*(MOVIMIENTOS!$A$5:$A$1005&lt;&gt;"")*(MOVIMIENTOS!$A$5:$A$1005&lt;=$A765)*MOVIMIENTOS!$E$5:$E$1005)-SUMPRODUCT((MOVIMIENTOS!$B$5:$B$1005="ENVÍO A SUPESA")*(MOVIMIENTOS!$C$5:$C$1005="C")*(MOVIMIENTOS!$D$5:$D$1005="jabas")*(MOVIMIENTOS!$A$5:$A$1005&lt;&gt;"")*(MOVIMIENTOS!$A$5:$A$1005&lt;=$A765)*MOVIMIENTOS!$E$5:$E$1005)+SUMPRODUCT((MOVIMIENTOS!$B$5:$B$1005="DEVOLUCIÓN")*(MOVIMIENTOS!$C$5:$C$1005="C")*(MOVIMIENTOS!$D$5:$D$1005="jabas")*(MOVIMIENTOS!$A$5:$A$1005&lt;&gt;"")*(MOVIMIENTOS!$A$5:$A$1005&lt;=$A765)*MOVIMIENTOS!$E$5:$E$1005)-SUMPRODUCT((MOVIMIENTOS!$B$5:$B$1005="TRASIEGO")*(MOVIMIENTOS!$C$5:$C$1005="C")*(MOVIMIENTOS!$D$5:$D$1005="jabas")*(MOVIMIENTOS!$A$5:$A$1005&lt;&gt;"")*(MOVIMIENTOS!$A$5:$A$1005&lt;=$A765)*MOVIMIENTOS!$E$5:$E$1005)-SUMPRODUCT((MOVIMIENTOS!$B$5:$B$1005="REGALO")*(MOVIMIENTOS!$C$5:$C$1005="C")*(MOVIMIENTOS!$D$5:$D$1005="jabas")*(MOVIMIENTOS!$A$5:$A$1005&lt;&gt;"")*(MOVIMIENTOS!$A$5:$A$1005&lt;=$A765)*MOVIMIENTOS!$E$5:$E$1005)-SUMPRODUCT((MOVIMIENTOS!$B$5:$B$1005="VENTA")*(MOVIMIENTOS!$C$5:$C$1005="C")*(MOVIMIENTOS!$D$5:$D$1005="jabas")*(MOVIMIENTOS!$A$5:$A$1005&lt;&gt;"")*(MOVIMIENTOS!$A$5:$A$1005&lt;=$A765)*MOVIMIENTOS!$E$5:$E$1005)+SUMPRODUCT((MOVIMIENTOS!$B$5:$B$1005="AJUSTE")*(MOVIMIENTOS!$C$5:$C$1005="C")*(MOVIMIENTOS!$D$5:$D$1005="jabas")*(MOVIMIENTOS!$A$5:$A$1005&lt;&gt;"")*(MOVIMIENTOS!$A$5:$A$1005&lt;=$A765)*MOVIMIENTOS!$E$5:$E$1005))</f>
        <v/>
      </c>
      <c r="E765" t="str">
        <f>IF($A765="","",SUMPRODUCT((MOVIMIENTOS!$B$5:$B$1005="SALDO INICIAL")*(MOVIMIENTOS!$C$5:$C$1005="M")*(MOVIMIENTOS!$D$5:$D$1005="jabas")*(MOVIMIENTOS!$A$5:$A$1005&lt;&gt;"")*(MOVIMIENTOS!$A$5:$A$1005&lt;=$A765)*MOVIMIENTOS!$E$5:$E$1005)+SUMPRODUCT((MOVIMIENTOS!$B$5:$B$1005="PROCESO")*(MOVIMIENTOS!$C$5:$C$1005="M")*(MOVIMIENTOS!$D$5:$D$1005="jabas")*(MOVIMIENTOS!$A$5:$A$1005&lt;&gt;"")*(MOVIMIENTOS!$A$5:$A$1005&lt;=$A765)*MOVIMIENTOS!$E$5:$E$1005)-SUMPRODUCT((MOVIMIENTOS!$B$5:$B$1005="ENVÍO A SUPESA")*(MOVIMIENTOS!$C$5:$C$1005="M")*(MOVIMIENTOS!$D$5:$D$1005="jabas")*(MOVIMIENTOS!$A$5:$A$1005&lt;&gt;"")*(MOVIMIENTOS!$A$5:$A$1005&lt;=$A765)*MOVIMIENTOS!$E$5:$E$1005)+SUMPRODUCT((MOVIMIENTOS!$B$5:$B$1005="DEVOLUCIÓN")*(MOVIMIENTOS!$C$5:$C$1005="M")*(MOVIMIENTOS!$D$5:$D$1005="jabas")*(MOVIMIENTOS!$A$5:$A$1005&lt;&gt;"")*(MOVIMIENTOS!$A$5:$A$1005&lt;=$A765)*MOVIMIENTOS!$E$5:$E$1005)-SUMPRODUCT((MOVIMIENTOS!$B$5:$B$1005="TRASIEGO")*(MOVIMIENTOS!$C$5:$C$1005="M")*(MOVIMIENTOS!$D$5:$D$1005="jabas")*(MOVIMIENTOS!$A$5:$A$1005&lt;&gt;"")*(MOVIMIENTOS!$A$5:$A$1005&lt;=$A765)*MOVIMIENTOS!$E$5:$E$1005)-SUMPRODUCT((MOVIMIENTOS!$B$5:$B$1005="REGALO")*(MOVIMIENTOS!$C$5:$C$1005="M")*(MOVIMIENTOS!$D$5:$D$1005="jabas")*(MOVIMIENTOS!$A$5:$A$1005&lt;&gt;"")*(MOVIMIENTOS!$A$5:$A$1005&lt;=$A765)*MOVIMIENTOS!$E$5:$E$1005)-SUMPRODUCT((MOVIMIENTOS!$B$5:$B$1005="VENTA")*(MOVIMIENTOS!$C$5:$C$1005="M")*(MOVIMIENTOS!$D$5:$D$1005="jabas")*(MOVIMIENTOS!$A$5:$A$1005&lt;&gt;"")*(MOVIMIENTOS!$A$5:$A$1005&lt;=$A765)*MOVIMIENTOS!$E$5:$E$1005)+SUMPRODUCT((MOVIMIENTOS!$B$5:$B$1005="AJUSTE")*(MOVIMIENTOS!$C$5:$C$1005="M")*(MOVIMIENTOS!$D$5:$D$1005="jabas")*(MOVIMIENTOS!$A$5:$A$1005&lt;&gt;"")*(MOVIMIENTOS!$A$5:$A$1005&lt;=$A765)*MOVIMIENTOS!$E$5:$E$1005))</f>
        <v/>
      </c>
      <c r="F765" s="62" t="str">
        <f>IF($A765="","",SUMPRODUCT((MOVIMIENTOS!$B$5:$B$1005="SALDO INICIAL")*(MOVIMIENTOS!$C$5:$C$1005="Chancho")*(MOVIMIENTOS!$D$5:$D$1005="sacos")*(MOVIMIENTOS!$A$5:$A$1005&lt;&gt;"")*(MOVIMIENTOS!$A$5:$A$1005&lt;=$A765)*MOVIMIENTOS!$E$5:$E$1005)+SUMPRODUCT((MOVIMIENTOS!$B$5:$B$1005="PROCESO")*(MOVIMIENTOS!$C$5:$C$1005="Chancho")*(MOVIMIENTOS!$D$5:$D$1005="sacos")*(MOVIMIENTOS!$A$5:$A$1005&lt;&gt;"")*(MOVIMIENTOS!$A$5:$A$1005&lt;=$A765)*MOVIMIENTOS!$E$5:$E$1005)-SUMPRODUCT((MOVIMIENTOS!$B$5:$B$1005="VENTA CHANCHO")*(MOVIMIENTOS!$C$5:$C$1005="Chancho")*(MOVIMIENTOS!$D$5:$D$1005="sacos")*(MOVIMIENTOS!$A$5:$A$1005&lt;&gt;"")*(MOVIMIENTOS!$A$5:$A$1005&lt;=$A765)*MOVIMIENTOS!$E$5:$E$1005)-SUMPRODUCT((MOVIMIENTOS!$B$5:$B$1005="REGALO")*(MOVIMIENTOS!$C$5:$C$1005="Chancho")*(MOVIMIENTOS!$D$5:$D$1005="sacos")*(MOVIMIENTOS!$A$5:$A$1005&lt;&gt;"")*(MOVIMIENTOS!$A$5:$A$1005&lt;=$A765)*MOVIMIENTOS!$E$5:$E$1005)-SUMPRODUCT((MOVIMIENTOS!$B$5:$B$1005="VENTA")*(MOVIMIENTOS!$C$5:$C$1005="Chancho")*(MOVIMIENTOS!$D$5:$D$1005="sacos")*(MOVIMIENTOS!$A$5:$A$1005&lt;&gt;"")*(MOVIMIENTOS!$A$5:$A$1005&lt;=$A765)*MOVIMIENTOS!$E$5:$E$1005)+SUMPRODUCT((MOVIMIENTOS!$B$5:$B$1005="AJUSTE")*(MOVIMIENTOS!$C$5:$C$1005="Chancho")*(MOVIMIENTOS!$D$5:$D$1005="sacos")*(MOVIMIENTOS!$A$5:$A$1005&lt;&gt;"")*(MOVIMIENTOS!$A$5:$A$1005&lt;=$A765)*MOVIMIENTOS!$E$5:$E$1005))</f>
        <v/>
      </c>
      <c r="G765" s="62" t="str">
        <f t="shared" si="23"/>
        <v/>
      </c>
      <c r="H765" t="str">
        <f>IF($A765="","",SUMPRODUCT((((MOVIMIENTOS!$B$5:$B$1005="SALDO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765)*MOVIMIENTOS!$J$5:$J$1005))</f>
        <v/>
      </c>
      <c r="J765" t="str">
        <f>IF(AND(MOVIMIENTOS!$A770&lt;&gt;"",COUNTIF(MOVIMIENTOS!$A$5:$A769,MOVIMIENTOS!$A770)=0),COUNT(J$4:J764)+1,"")</f>
        <v/>
      </c>
      <c r="K765">
        <f>MOVIMIENTOS!$A770</f>
        <v>0</v>
      </c>
    </row>
    <row r="766" spans="1:11" ht="15" customHeight="1" x14ac:dyDescent="0.2">
      <c r="A766" t="str">
        <f t="shared" si="22"/>
        <v/>
      </c>
      <c r="B766" t="str">
        <f>IF($A766="","",SUMPRODUCT((MOVIMIENTOS!$B$5:$B$1005="SALDO INICIAL")*(MOVIMIENTOS!$C$5:$C$1005="A")*(MOVIMIENTOS!$D$5:$D$1005="jabas")*(MOVIMIENTOS!$A$5:$A$1005&lt;&gt;"")*(MOVIMIENTOS!$A$5:$A$1005&lt;=$A766)*MOVIMIENTOS!$E$5:$E$1005)+SUMPRODUCT((MOVIMIENTOS!$B$5:$B$1005="PROCESO")*(MOVIMIENTOS!$C$5:$C$1005="A")*(MOVIMIENTOS!$D$5:$D$1005="jabas")*(MOVIMIENTOS!$A$5:$A$1005&lt;&gt;"")*(MOVIMIENTOS!$A$5:$A$1005&lt;=$A766)*MOVIMIENTOS!$E$5:$E$1005)-SUMPRODUCT((MOVIMIENTOS!$B$5:$B$1005="ENVÍO A SUPESA")*(MOVIMIENTOS!$C$5:$C$1005="A")*(MOVIMIENTOS!$D$5:$D$1005="jabas")*(MOVIMIENTOS!$A$5:$A$1005&lt;&gt;"")*(MOVIMIENTOS!$A$5:$A$1005&lt;=$A766)*MOVIMIENTOS!$E$5:$E$1005)+SUMPRODUCT((MOVIMIENTOS!$B$5:$B$1005="DEVOLUCIÓN")*(MOVIMIENTOS!$C$5:$C$1005="A")*(MOVIMIENTOS!$D$5:$D$1005="jabas")*(MOVIMIENTOS!$A$5:$A$1005&lt;&gt;"")*(MOVIMIENTOS!$A$5:$A$1005&lt;=$A766)*MOVIMIENTOS!$E$5:$E$1005)-SUMPRODUCT((MOVIMIENTOS!$B$5:$B$1005="TRASIEGO")*(MOVIMIENTOS!$C$5:$C$1005="A")*(MOVIMIENTOS!$D$5:$D$1005="jabas")*(MOVIMIENTOS!$A$5:$A$1005&lt;&gt;"")*(MOVIMIENTOS!$A$5:$A$1005&lt;=$A766)*MOVIMIENTOS!$E$5:$E$1005)-SUMPRODUCT((MOVIMIENTOS!$B$5:$B$1005="REGALO")*(MOVIMIENTOS!$C$5:$C$1005="A")*(MOVIMIENTOS!$D$5:$D$1005="jabas")*(MOVIMIENTOS!$A$5:$A$1005&lt;&gt;"")*(MOVIMIENTOS!$A$5:$A$1005&lt;=$A766)*MOVIMIENTOS!$E$5:$E$1005)-SUMPRODUCT((MOVIMIENTOS!$B$5:$B$1005="VENTA")*(MOVIMIENTOS!$C$5:$C$1005="A")*(MOVIMIENTOS!$D$5:$D$1005="jabas")*(MOVIMIENTOS!$A$5:$A$1005&lt;&gt;"")*(MOVIMIENTOS!$A$5:$A$1005&lt;=$A766)*MOVIMIENTOS!$E$5:$E$1005)+SUMPRODUCT((MOVIMIENTOS!$B$5:$B$1005="AJUSTE")*(MOVIMIENTOS!$C$5:$C$1005="A")*(MOVIMIENTOS!$D$5:$D$1005="jabas")*(MOVIMIENTOS!$A$5:$A$1005&lt;&gt;"")*(MOVIMIENTOS!$A$5:$A$1005&lt;=$A766)*MOVIMIENTOS!$E$5:$E$1005))</f>
        <v/>
      </c>
      <c r="C766" t="str">
        <f>IF($A766="","",SUMPRODUCT((MOVIMIENTOS!$B$5:$B$1005="SALDO INICIAL")*(MOVIMIENTOS!$C$5:$C$1005="P")*(MOVIMIENTOS!$D$5:$D$1005="jabas")*(MOVIMIENTOS!$A$5:$A$1005&lt;&gt;"")*(MOVIMIENTOS!$A$5:$A$1005&lt;=$A766)*MOVIMIENTOS!$E$5:$E$1005)+SUMPRODUCT((MOVIMIENTOS!$B$5:$B$1005="PROCESO")*(MOVIMIENTOS!$C$5:$C$1005="P")*(MOVIMIENTOS!$D$5:$D$1005="jabas")*(MOVIMIENTOS!$A$5:$A$1005&lt;&gt;"")*(MOVIMIENTOS!$A$5:$A$1005&lt;=$A766)*MOVIMIENTOS!$E$5:$E$1005)-SUMPRODUCT((MOVIMIENTOS!$B$5:$B$1005="ENVÍO A SUPESA")*(MOVIMIENTOS!$C$5:$C$1005="P")*(MOVIMIENTOS!$D$5:$D$1005="jabas")*(MOVIMIENTOS!$A$5:$A$1005&lt;&gt;"")*(MOVIMIENTOS!$A$5:$A$1005&lt;=$A766)*MOVIMIENTOS!$E$5:$E$1005)+SUMPRODUCT((MOVIMIENTOS!$B$5:$B$1005="DEVOLUCIÓN")*(MOVIMIENTOS!$C$5:$C$1005="P")*(MOVIMIENTOS!$D$5:$D$1005="jabas")*(MOVIMIENTOS!$A$5:$A$1005&lt;&gt;"")*(MOVIMIENTOS!$A$5:$A$1005&lt;=$A766)*MOVIMIENTOS!$E$5:$E$1005)-SUMPRODUCT((MOVIMIENTOS!$B$5:$B$1005="TRASIEGO")*(MOVIMIENTOS!$C$5:$C$1005="P")*(MOVIMIENTOS!$D$5:$D$1005="jabas")*(MOVIMIENTOS!$A$5:$A$1005&lt;&gt;"")*(MOVIMIENTOS!$A$5:$A$1005&lt;=$A766)*MOVIMIENTOS!$E$5:$E$1005)-SUMPRODUCT((MOVIMIENTOS!$B$5:$B$1005="REGALO")*(MOVIMIENTOS!$C$5:$C$1005="P")*(MOVIMIENTOS!$D$5:$D$1005="jabas")*(MOVIMIENTOS!$A$5:$A$1005&lt;&gt;"")*(MOVIMIENTOS!$A$5:$A$1005&lt;=$A766)*MOVIMIENTOS!$E$5:$E$1005)-SUMPRODUCT((MOVIMIENTOS!$B$5:$B$1005="VENTA")*(MOVIMIENTOS!$C$5:$C$1005="P")*(MOVIMIENTOS!$D$5:$D$1005="jabas")*(MOVIMIENTOS!$A$5:$A$1005&lt;&gt;"")*(MOVIMIENTOS!$A$5:$A$1005&lt;=$A766)*MOVIMIENTOS!$E$5:$E$1005)+SUMPRODUCT((MOVIMIENTOS!$B$5:$B$1005="AJUSTE")*(MOVIMIENTOS!$C$5:$C$1005="P")*(MOVIMIENTOS!$D$5:$D$1005="jabas")*(MOVIMIENTOS!$A$5:$A$1005&lt;&gt;"")*(MOVIMIENTOS!$A$5:$A$1005&lt;=$A766)*MOVIMIENTOS!$E$5:$E$1005))</f>
        <v/>
      </c>
      <c r="D766" t="str">
        <f>IF($A766="","",SUMPRODUCT((MOVIMIENTOS!$B$5:$B$1005="SALDO INICIAL")*(MOVIMIENTOS!$C$5:$C$1005="C")*(MOVIMIENTOS!$D$5:$D$1005="jabas")*(MOVIMIENTOS!$A$5:$A$1005&lt;&gt;"")*(MOVIMIENTOS!$A$5:$A$1005&lt;=$A766)*MOVIMIENTOS!$E$5:$E$1005)+SUMPRODUCT((MOVIMIENTOS!$B$5:$B$1005="PROCESO")*(MOVIMIENTOS!$C$5:$C$1005="C")*(MOVIMIENTOS!$D$5:$D$1005="jabas")*(MOVIMIENTOS!$A$5:$A$1005&lt;&gt;"")*(MOVIMIENTOS!$A$5:$A$1005&lt;=$A766)*MOVIMIENTOS!$E$5:$E$1005)-SUMPRODUCT((MOVIMIENTOS!$B$5:$B$1005="ENVÍO A SUPESA")*(MOVIMIENTOS!$C$5:$C$1005="C")*(MOVIMIENTOS!$D$5:$D$1005="jabas")*(MOVIMIENTOS!$A$5:$A$1005&lt;&gt;"")*(MOVIMIENTOS!$A$5:$A$1005&lt;=$A766)*MOVIMIENTOS!$E$5:$E$1005)+SUMPRODUCT((MOVIMIENTOS!$B$5:$B$1005="DEVOLUCIÓN")*(MOVIMIENTOS!$C$5:$C$1005="C")*(MOVIMIENTOS!$D$5:$D$1005="jabas")*(MOVIMIENTOS!$A$5:$A$1005&lt;&gt;"")*(MOVIMIENTOS!$A$5:$A$1005&lt;=$A766)*MOVIMIENTOS!$E$5:$E$1005)-SUMPRODUCT((MOVIMIENTOS!$B$5:$B$1005="TRASIEGO")*(MOVIMIENTOS!$C$5:$C$1005="C")*(MOVIMIENTOS!$D$5:$D$1005="jabas")*(MOVIMIENTOS!$A$5:$A$1005&lt;&gt;"")*(MOVIMIENTOS!$A$5:$A$1005&lt;=$A766)*MOVIMIENTOS!$E$5:$E$1005)-SUMPRODUCT((MOVIMIENTOS!$B$5:$B$1005="REGALO")*(MOVIMIENTOS!$C$5:$C$1005="C")*(MOVIMIENTOS!$D$5:$D$1005="jabas")*(MOVIMIENTOS!$A$5:$A$1005&lt;&gt;"")*(MOVIMIENTOS!$A$5:$A$1005&lt;=$A766)*MOVIMIENTOS!$E$5:$E$1005)-SUMPRODUCT((MOVIMIENTOS!$B$5:$B$1005="VENTA")*(MOVIMIENTOS!$C$5:$C$1005="C")*(MOVIMIENTOS!$D$5:$D$1005="jabas")*(MOVIMIENTOS!$A$5:$A$1005&lt;&gt;"")*(MOVIMIENTOS!$A$5:$A$1005&lt;=$A766)*MOVIMIENTOS!$E$5:$E$1005)+SUMPRODUCT((MOVIMIENTOS!$B$5:$B$1005="AJUSTE")*(MOVIMIENTOS!$C$5:$C$1005="C")*(MOVIMIENTOS!$D$5:$D$1005="jabas")*(MOVIMIENTOS!$A$5:$A$1005&lt;&gt;"")*(MOVIMIENTOS!$A$5:$A$1005&lt;=$A766)*MOVIMIENTOS!$E$5:$E$1005))</f>
        <v/>
      </c>
      <c r="E766" t="str">
        <f>IF($A766="","",SUMPRODUCT((MOVIMIENTOS!$B$5:$B$1005="SALDO INICIAL")*(MOVIMIENTOS!$C$5:$C$1005="M")*(MOVIMIENTOS!$D$5:$D$1005="jabas")*(MOVIMIENTOS!$A$5:$A$1005&lt;&gt;"")*(MOVIMIENTOS!$A$5:$A$1005&lt;=$A766)*MOVIMIENTOS!$E$5:$E$1005)+SUMPRODUCT((MOVIMIENTOS!$B$5:$B$1005="PROCESO")*(MOVIMIENTOS!$C$5:$C$1005="M")*(MOVIMIENTOS!$D$5:$D$1005="jabas")*(MOVIMIENTOS!$A$5:$A$1005&lt;&gt;"")*(MOVIMIENTOS!$A$5:$A$1005&lt;=$A766)*MOVIMIENTOS!$E$5:$E$1005)-SUMPRODUCT((MOVIMIENTOS!$B$5:$B$1005="ENVÍO A SUPESA")*(MOVIMIENTOS!$C$5:$C$1005="M")*(MOVIMIENTOS!$D$5:$D$1005="jabas")*(MOVIMIENTOS!$A$5:$A$1005&lt;&gt;"")*(MOVIMIENTOS!$A$5:$A$1005&lt;=$A766)*MOVIMIENTOS!$E$5:$E$1005)+SUMPRODUCT((MOVIMIENTOS!$B$5:$B$1005="DEVOLUCIÓN")*(MOVIMIENTOS!$C$5:$C$1005="M")*(MOVIMIENTOS!$D$5:$D$1005="jabas")*(MOVIMIENTOS!$A$5:$A$1005&lt;&gt;"")*(MOVIMIENTOS!$A$5:$A$1005&lt;=$A766)*MOVIMIENTOS!$E$5:$E$1005)-SUMPRODUCT((MOVIMIENTOS!$B$5:$B$1005="TRASIEGO")*(MOVIMIENTOS!$C$5:$C$1005="M")*(MOVIMIENTOS!$D$5:$D$1005="jabas")*(MOVIMIENTOS!$A$5:$A$1005&lt;&gt;"")*(MOVIMIENTOS!$A$5:$A$1005&lt;=$A766)*MOVIMIENTOS!$E$5:$E$1005)-SUMPRODUCT((MOVIMIENTOS!$B$5:$B$1005="REGALO")*(MOVIMIENTOS!$C$5:$C$1005="M")*(MOVIMIENTOS!$D$5:$D$1005="jabas")*(MOVIMIENTOS!$A$5:$A$1005&lt;&gt;"")*(MOVIMIENTOS!$A$5:$A$1005&lt;=$A766)*MOVIMIENTOS!$E$5:$E$1005)-SUMPRODUCT((MOVIMIENTOS!$B$5:$B$1005="VENTA")*(MOVIMIENTOS!$C$5:$C$1005="M")*(MOVIMIENTOS!$D$5:$D$1005="jabas")*(MOVIMIENTOS!$A$5:$A$1005&lt;&gt;"")*(MOVIMIENTOS!$A$5:$A$1005&lt;=$A766)*MOVIMIENTOS!$E$5:$E$1005)+SUMPRODUCT((MOVIMIENTOS!$B$5:$B$1005="AJUSTE")*(MOVIMIENTOS!$C$5:$C$1005="M")*(MOVIMIENTOS!$D$5:$D$1005="jabas")*(MOVIMIENTOS!$A$5:$A$1005&lt;&gt;"")*(MOVIMIENTOS!$A$5:$A$1005&lt;=$A766)*MOVIMIENTOS!$E$5:$E$1005))</f>
        <v/>
      </c>
      <c r="F766" s="62" t="str">
        <f>IF($A766="","",SUMPRODUCT((MOVIMIENTOS!$B$5:$B$1005="SALDO INICIAL")*(MOVIMIENTOS!$C$5:$C$1005="Chancho")*(MOVIMIENTOS!$D$5:$D$1005="sacos")*(MOVIMIENTOS!$A$5:$A$1005&lt;&gt;"")*(MOVIMIENTOS!$A$5:$A$1005&lt;=$A766)*MOVIMIENTOS!$E$5:$E$1005)+SUMPRODUCT((MOVIMIENTOS!$B$5:$B$1005="PROCESO")*(MOVIMIENTOS!$C$5:$C$1005="Chancho")*(MOVIMIENTOS!$D$5:$D$1005="sacos")*(MOVIMIENTOS!$A$5:$A$1005&lt;&gt;"")*(MOVIMIENTOS!$A$5:$A$1005&lt;=$A766)*MOVIMIENTOS!$E$5:$E$1005)-SUMPRODUCT((MOVIMIENTOS!$B$5:$B$1005="VENTA CHANCHO")*(MOVIMIENTOS!$C$5:$C$1005="Chancho")*(MOVIMIENTOS!$D$5:$D$1005="sacos")*(MOVIMIENTOS!$A$5:$A$1005&lt;&gt;"")*(MOVIMIENTOS!$A$5:$A$1005&lt;=$A766)*MOVIMIENTOS!$E$5:$E$1005)-SUMPRODUCT((MOVIMIENTOS!$B$5:$B$1005="REGALO")*(MOVIMIENTOS!$C$5:$C$1005="Chancho")*(MOVIMIENTOS!$D$5:$D$1005="sacos")*(MOVIMIENTOS!$A$5:$A$1005&lt;&gt;"")*(MOVIMIENTOS!$A$5:$A$1005&lt;=$A766)*MOVIMIENTOS!$E$5:$E$1005)-SUMPRODUCT((MOVIMIENTOS!$B$5:$B$1005="VENTA")*(MOVIMIENTOS!$C$5:$C$1005="Chancho")*(MOVIMIENTOS!$D$5:$D$1005="sacos")*(MOVIMIENTOS!$A$5:$A$1005&lt;&gt;"")*(MOVIMIENTOS!$A$5:$A$1005&lt;=$A766)*MOVIMIENTOS!$E$5:$E$1005)+SUMPRODUCT((MOVIMIENTOS!$B$5:$B$1005="AJUSTE")*(MOVIMIENTOS!$C$5:$C$1005="Chancho")*(MOVIMIENTOS!$D$5:$D$1005="sacos")*(MOVIMIENTOS!$A$5:$A$1005&lt;&gt;"")*(MOVIMIENTOS!$A$5:$A$1005&lt;=$A766)*MOVIMIENTOS!$E$5:$E$1005))</f>
        <v/>
      </c>
      <c r="G766" s="62" t="str">
        <f t="shared" si="23"/>
        <v/>
      </c>
      <c r="H766" t="str">
        <f>IF($A766="","",SUMPRODUCT((((MOVIMIENTOS!$B$5:$B$1005="SALDO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766)*MOVIMIENTOS!$J$5:$J$1005))</f>
        <v/>
      </c>
      <c r="J766" t="str">
        <f>IF(AND(MOVIMIENTOS!$A771&lt;&gt;"",COUNTIF(MOVIMIENTOS!$A$5:$A770,MOVIMIENTOS!$A771)=0),COUNT(J$4:J765)+1,"")</f>
        <v/>
      </c>
      <c r="K766">
        <f>MOVIMIENTOS!$A771</f>
        <v>0</v>
      </c>
    </row>
    <row r="767" spans="1:11" ht="15" customHeight="1" x14ac:dyDescent="0.2">
      <c r="A767" t="str">
        <f t="shared" si="22"/>
        <v/>
      </c>
      <c r="B767" t="str">
        <f>IF($A767="","",SUMPRODUCT((MOVIMIENTOS!$B$5:$B$1005="SALDO INICIAL")*(MOVIMIENTOS!$C$5:$C$1005="A")*(MOVIMIENTOS!$D$5:$D$1005="jabas")*(MOVIMIENTOS!$A$5:$A$1005&lt;&gt;"")*(MOVIMIENTOS!$A$5:$A$1005&lt;=$A767)*MOVIMIENTOS!$E$5:$E$1005)+SUMPRODUCT((MOVIMIENTOS!$B$5:$B$1005="PROCESO")*(MOVIMIENTOS!$C$5:$C$1005="A")*(MOVIMIENTOS!$D$5:$D$1005="jabas")*(MOVIMIENTOS!$A$5:$A$1005&lt;&gt;"")*(MOVIMIENTOS!$A$5:$A$1005&lt;=$A767)*MOVIMIENTOS!$E$5:$E$1005)-SUMPRODUCT((MOVIMIENTOS!$B$5:$B$1005="ENVÍO A SUPESA")*(MOVIMIENTOS!$C$5:$C$1005="A")*(MOVIMIENTOS!$D$5:$D$1005="jabas")*(MOVIMIENTOS!$A$5:$A$1005&lt;&gt;"")*(MOVIMIENTOS!$A$5:$A$1005&lt;=$A767)*MOVIMIENTOS!$E$5:$E$1005)+SUMPRODUCT((MOVIMIENTOS!$B$5:$B$1005="DEVOLUCIÓN")*(MOVIMIENTOS!$C$5:$C$1005="A")*(MOVIMIENTOS!$D$5:$D$1005="jabas")*(MOVIMIENTOS!$A$5:$A$1005&lt;&gt;"")*(MOVIMIENTOS!$A$5:$A$1005&lt;=$A767)*MOVIMIENTOS!$E$5:$E$1005)-SUMPRODUCT((MOVIMIENTOS!$B$5:$B$1005="TRASIEGO")*(MOVIMIENTOS!$C$5:$C$1005="A")*(MOVIMIENTOS!$D$5:$D$1005="jabas")*(MOVIMIENTOS!$A$5:$A$1005&lt;&gt;"")*(MOVIMIENTOS!$A$5:$A$1005&lt;=$A767)*MOVIMIENTOS!$E$5:$E$1005)-SUMPRODUCT((MOVIMIENTOS!$B$5:$B$1005="REGALO")*(MOVIMIENTOS!$C$5:$C$1005="A")*(MOVIMIENTOS!$D$5:$D$1005="jabas")*(MOVIMIENTOS!$A$5:$A$1005&lt;&gt;"")*(MOVIMIENTOS!$A$5:$A$1005&lt;=$A767)*MOVIMIENTOS!$E$5:$E$1005)-SUMPRODUCT((MOVIMIENTOS!$B$5:$B$1005="VENTA")*(MOVIMIENTOS!$C$5:$C$1005="A")*(MOVIMIENTOS!$D$5:$D$1005="jabas")*(MOVIMIENTOS!$A$5:$A$1005&lt;&gt;"")*(MOVIMIENTOS!$A$5:$A$1005&lt;=$A767)*MOVIMIENTOS!$E$5:$E$1005)+SUMPRODUCT((MOVIMIENTOS!$B$5:$B$1005="AJUSTE")*(MOVIMIENTOS!$C$5:$C$1005="A")*(MOVIMIENTOS!$D$5:$D$1005="jabas")*(MOVIMIENTOS!$A$5:$A$1005&lt;&gt;"")*(MOVIMIENTOS!$A$5:$A$1005&lt;=$A767)*MOVIMIENTOS!$E$5:$E$1005))</f>
        <v/>
      </c>
      <c r="C767" t="str">
        <f>IF($A767="","",SUMPRODUCT((MOVIMIENTOS!$B$5:$B$1005="SALDO INICIAL")*(MOVIMIENTOS!$C$5:$C$1005="P")*(MOVIMIENTOS!$D$5:$D$1005="jabas")*(MOVIMIENTOS!$A$5:$A$1005&lt;&gt;"")*(MOVIMIENTOS!$A$5:$A$1005&lt;=$A767)*MOVIMIENTOS!$E$5:$E$1005)+SUMPRODUCT((MOVIMIENTOS!$B$5:$B$1005="PROCESO")*(MOVIMIENTOS!$C$5:$C$1005="P")*(MOVIMIENTOS!$D$5:$D$1005="jabas")*(MOVIMIENTOS!$A$5:$A$1005&lt;&gt;"")*(MOVIMIENTOS!$A$5:$A$1005&lt;=$A767)*MOVIMIENTOS!$E$5:$E$1005)-SUMPRODUCT((MOVIMIENTOS!$B$5:$B$1005="ENVÍO A SUPESA")*(MOVIMIENTOS!$C$5:$C$1005="P")*(MOVIMIENTOS!$D$5:$D$1005="jabas")*(MOVIMIENTOS!$A$5:$A$1005&lt;&gt;"")*(MOVIMIENTOS!$A$5:$A$1005&lt;=$A767)*MOVIMIENTOS!$E$5:$E$1005)+SUMPRODUCT((MOVIMIENTOS!$B$5:$B$1005="DEVOLUCIÓN")*(MOVIMIENTOS!$C$5:$C$1005="P")*(MOVIMIENTOS!$D$5:$D$1005="jabas")*(MOVIMIENTOS!$A$5:$A$1005&lt;&gt;"")*(MOVIMIENTOS!$A$5:$A$1005&lt;=$A767)*MOVIMIENTOS!$E$5:$E$1005)-SUMPRODUCT((MOVIMIENTOS!$B$5:$B$1005="TRASIEGO")*(MOVIMIENTOS!$C$5:$C$1005="P")*(MOVIMIENTOS!$D$5:$D$1005="jabas")*(MOVIMIENTOS!$A$5:$A$1005&lt;&gt;"")*(MOVIMIENTOS!$A$5:$A$1005&lt;=$A767)*MOVIMIENTOS!$E$5:$E$1005)-SUMPRODUCT((MOVIMIENTOS!$B$5:$B$1005="REGALO")*(MOVIMIENTOS!$C$5:$C$1005="P")*(MOVIMIENTOS!$D$5:$D$1005="jabas")*(MOVIMIENTOS!$A$5:$A$1005&lt;&gt;"")*(MOVIMIENTOS!$A$5:$A$1005&lt;=$A767)*MOVIMIENTOS!$E$5:$E$1005)-SUMPRODUCT((MOVIMIENTOS!$B$5:$B$1005="VENTA")*(MOVIMIENTOS!$C$5:$C$1005="P")*(MOVIMIENTOS!$D$5:$D$1005="jabas")*(MOVIMIENTOS!$A$5:$A$1005&lt;&gt;"")*(MOVIMIENTOS!$A$5:$A$1005&lt;=$A767)*MOVIMIENTOS!$E$5:$E$1005)+SUMPRODUCT((MOVIMIENTOS!$B$5:$B$1005="AJUSTE")*(MOVIMIENTOS!$C$5:$C$1005="P")*(MOVIMIENTOS!$D$5:$D$1005="jabas")*(MOVIMIENTOS!$A$5:$A$1005&lt;&gt;"")*(MOVIMIENTOS!$A$5:$A$1005&lt;=$A767)*MOVIMIENTOS!$E$5:$E$1005))</f>
        <v/>
      </c>
      <c r="D767" t="str">
        <f>IF($A767="","",SUMPRODUCT((MOVIMIENTOS!$B$5:$B$1005="SALDO INICIAL")*(MOVIMIENTOS!$C$5:$C$1005="C")*(MOVIMIENTOS!$D$5:$D$1005="jabas")*(MOVIMIENTOS!$A$5:$A$1005&lt;&gt;"")*(MOVIMIENTOS!$A$5:$A$1005&lt;=$A767)*MOVIMIENTOS!$E$5:$E$1005)+SUMPRODUCT((MOVIMIENTOS!$B$5:$B$1005="PROCESO")*(MOVIMIENTOS!$C$5:$C$1005="C")*(MOVIMIENTOS!$D$5:$D$1005="jabas")*(MOVIMIENTOS!$A$5:$A$1005&lt;&gt;"")*(MOVIMIENTOS!$A$5:$A$1005&lt;=$A767)*MOVIMIENTOS!$E$5:$E$1005)-SUMPRODUCT((MOVIMIENTOS!$B$5:$B$1005="ENVÍO A SUPESA")*(MOVIMIENTOS!$C$5:$C$1005="C")*(MOVIMIENTOS!$D$5:$D$1005="jabas")*(MOVIMIENTOS!$A$5:$A$1005&lt;&gt;"")*(MOVIMIENTOS!$A$5:$A$1005&lt;=$A767)*MOVIMIENTOS!$E$5:$E$1005)+SUMPRODUCT((MOVIMIENTOS!$B$5:$B$1005="DEVOLUCIÓN")*(MOVIMIENTOS!$C$5:$C$1005="C")*(MOVIMIENTOS!$D$5:$D$1005="jabas")*(MOVIMIENTOS!$A$5:$A$1005&lt;&gt;"")*(MOVIMIENTOS!$A$5:$A$1005&lt;=$A767)*MOVIMIENTOS!$E$5:$E$1005)-SUMPRODUCT((MOVIMIENTOS!$B$5:$B$1005="TRASIEGO")*(MOVIMIENTOS!$C$5:$C$1005="C")*(MOVIMIENTOS!$D$5:$D$1005="jabas")*(MOVIMIENTOS!$A$5:$A$1005&lt;&gt;"")*(MOVIMIENTOS!$A$5:$A$1005&lt;=$A767)*MOVIMIENTOS!$E$5:$E$1005)-SUMPRODUCT((MOVIMIENTOS!$B$5:$B$1005="REGALO")*(MOVIMIENTOS!$C$5:$C$1005="C")*(MOVIMIENTOS!$D$5:$D$1005="jabas")*(MOVIMIENTOS!$A$5:$A$1005&lt;&gt;"")*(MOVIMIENTOS!$A$5:$A$1005&lt;=$A767)*MOVIMIENTOS!$E$5:$E$1005)-SUMPRODUCT((MOVIMIENTOS!$B$5:$B$1005="VENTA")*(MOVIMIENTOS!$C$5:$C$1005="C")*(MOVIMIENTOS!$D$5:$D$1005="jabas")*(MOVIMIENTOS!$A$5:$A$1005&lt;&gt;"")*(MOVIMIENTOS!$A$5:$A$1005&lt;=$A767)*MOVIMIENTOS!$E$5:$E$1005)+SUMPRODUCT((MOVIMIENTOS!$B$5:$B$1005="AJUSTE")*(MOVIMIENTOS!$C$5:$C$1005="C")*(MOVIMIENTOS!$D$5:$D$1005="jabas")*(MOVIMIENTOS!$A$5:$A$1005&lt;&gt;"")*(MOVIMIENTOS!$A$5:$A$1005&lt;=$A767)*MOVIMIENTOS!$E$5:$E$1005))</f>
        <v/>
      </c>
      <c r="E767" t="str">
        <f>IF($A767="","",SUMPRODUCT((MOVIMIENTOS!$B$5:$B$1005="SALDO INICIAL")*(MOVIMIENTOS!$C$5:$C$1005="M")*(MOVIMIENTOS!$D$5:$D$1005="jabas")*(MOVIMIENTOS!$A$5:$A$1005&lt;&gt;"")*(MOVIMIENTOS!$A$5:$A$1005&lt;=$A767)*MOVIMIENTOS!$E$5:$E$1005)+SUMPRODUCT((MOVIMIENTOS!$B$5:$B$1005="PROCESO")*(MOVIMIENTOS!$C$5:$C$1005="M")*(MOVIMIENTOS!$D$5:$D$1005="jabas")*(MOVIMIENTOS!$A$5:$A$1005&lt;&gt;"")*(MOVIMIENTOS!$A$5:$A$1005&lt;=$A767)*MOVIMIENTOS!$E$5:$E$1005)-SUMPRODUCT((MOVIMIENTOS!$B$5:$B$1005="ENVÍO A SUPESA")*(MOVIMIENTOS!$C$5:$C$1005="M")*(MOVIMIENTOS!$D$5:$D$1005="jabas")*(MOVIMIENTOS!$A$5:$A$1005&lt;&gt;"")*(MOVIMIENTOS!$A$5:$A$1005&lt;=$A767)*MOVIMIENTOS!$E$5:$E$1005)+SUMPRODUCT((MOVIMIENTOS!$B$5:$B$1005="DEVOLUCIÓN")*(MOVIMIENTOS!$C$5:$C$1005="M")*(MOVIMIENTOS!$D$5:$D$1005="jabas")*(MOVIMIENTOS!$A$5:$A$1005&lt;&gt;"")*(MOVIMIENTOS!$A$5:$A$1005&lt;=$A767)*MOVIMIENTOS!$E$5:$E$1005)-SUMPRODUCT((MOVIMIENTOS!$B$5:$B$1005="TRASIEGO")*(MOVIMIENTOS!$C$5:$C$1005="M")*(MOVIMIENTOS!$D$5:$D$1005="jabas")*(MOVIMIENTOS!$A$5:$A$1005&lt;&gt;"")*(MOVIMIENTOS!$A$5:$A$1005&lt;=$A767)*MOVIMIENTOS!$E$5:$E$1005)-SUMPRODUCT((MOVIMIENTOS!$B$5:$B$1005="REGALO")*(MOVIMIENTOS!$C$5:$C$1005="M")*(MOVIMIENTOS!$D$5:$D$1005="jabas")*(MOVIMIENTOS!$A$5:$A$1005&lt;&gt;"")*(MOVIMIENTOS!$A$5:$A$1005&lt;=$A767)*MOVIMIENTOS!$E$5:$E$1005)-SUMPRODUCT((MOVIMIENTOS!$B$5:$B$1005="VENTA")*(MOVIMIENTOS!$C$5:$C$1005="M")*(MOVIMIENTOS!$D$5:$D$1005="jabas")*(MOVIMIENTOS!$A$5:$A$1005&lt;&gt;"")*(MOVIMIENTOS!$A$5:$A$1005&lt;=$A767)*MOVIMIENTOS!$E$5:$E$1005)+SUMPRODUCT((MOVIMIENTOS!$B$5:$B$1005="AJUSTE")*(MOVIMIENTOS!$C$5:$C$1005="M")*(MOVIMIENTOS!$D$5:$D$1005="jabas")*(MOVIMIENTOS!$A$5:$A$1005&lt;&gt;"")*(MOVIMIENTOS!$A$5:$A$1005&lt;=$A767)*MOVIMIENTOS!$E$5:$E$1005))</f>
        <v/>
      </c>
      <c r="F767" s="62" t="str">
        <f>IF($A767="","",SUMPRODUCT((MOVIMIENTOS!$B$5:$B$1005="SALDO INICIAL")*(MOVIMIENTOS!$C$5:$C$1005="Chancho")*(MOVIMIENTOS!$D$5:$D$1005="sacos")*(MOVIMIENTOS!$A$5:$A$1005&lt;&gt;"")*(MOVIMIENTOS!$A$5:$A$1005&lt;=$A767)*MOVIMIENTOS!$E$5:$E$1005)+SUMPRODUCT((MOVIMIENTOS!$B$5:$B$1005="PROCESO")*(MOVIMIENTOS!$C$5:$C$1005="Chancho")*(MOVIMIENTOS!$D$5:$D$1005="sacos")*(MOVIMIENTOS!$A$5:$A$1005&lt;&gt;"")*(MOVIMIENTOS!$A$5:$A$1005&lt;=$A767)*MOVIMIENTOS!$E$5:$E$1005)-SUMPRODUCT((MOVIMIENTOS!$B$5:$B$1005="VENTA CHANCHO")*(MOVIMIENTOS!$C$5:$C$1005="Chancho")*(MOVIMIENTOS!$D$5:$D$1005="sacos")*(MOVIMIENTOS!$A$5:$A$1005&lt;&gt;"")*(MOVIMIENTOS!$A$5:$A$1005&lt;=$A767)*MOVIMIENTOS!$E$5:$E$1005)-SUMPRODUCT((MOVIMIENTOS!$B$5:$B$1005="REGALO")*(MOVIMIENTOS!$C$5:$C$1005="Chancho")*(MOVIMIENTOS!$D$5:$D$1005="sacos")*(MOVIMIENTOS!$A$5:$A$1005&lt;&gt;"")*(MOVIMIENTOS!$A$5:$A$1005&lt;=$A767)*MOVIMIENTOS!$E$5:$E$1005)-SUMPRODUCT((MOVIMIENTOS!$B$5:$B$1005="VENTA")*(MOVIMIENTOS!$C$5:$C$1005="Chancho")*(MOVIMIENTOS!$D$5:$D$1005="sacos")*(MOVIMIENTOS!$A$5:$A$1005&lt;&gt;"")*(MOVIMIENTOS!$A$5:$A$1005&lt;=$A767)*MOVIMIENTOS!$E$5:$E$1005)+SUMPRODUCT((MOVIMIENTOS!$B$5:$B$1005="AJUSTE")*(MOVIMIENTOS!$C$5:$C$1005="Chancho")*(MOVIMIENTOS!$D$5:$D$1005="sacos")*(MOVIMIENTOS!$A$5:$A$1005&lt;&gt;"")*(MOVIMIENTOS!$A$5:$A$1005&lt;=$A767)*MOVIMIENTOS!$E$5:$E$1005))</f>
        <v/>
      </c>
      <c r="G767" s="62" t="str">
        <f t="shared" si="23"/>
        <v/>
      </c>
      <c r="H767" t="str">
        <f>IF($A767="","",SUMPRODUCT((((MOVIMIENTOS!$B$5:$B$1005="SALDO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767)*MOVIMIENTOS!$J$5:$J$1005))</f>
        <v/>
      </c>
      <c r="J767" t="str">
        <f>IF(AND(MOVIMIENTOS!$A772&lt;&gt;"",COUNTIF(MOVIMIENTOS!$A$5:$A771,MOVIMIENTOS!$A772)=0),COUNT(J$4:J766)+1,"")</f>
        <v/>
      </c>
      <c r="K767">
        <f>MOVIMIENTOS!$A772</f>
        <v>0</v>
      </c>
    </row>
    <row r="768" spans="1:11" ht="15" customHeight="1" x14ac:dyDescent="0.2">
      <c r="A768" t="str">
        <f t="shared" si="22"/>
        <v/>
      </c>
      <c r="B768" t="str">
        <f>IF($A768="","",SUMPRODUCT((MOVIMIENTOS!$B$5:$B$1005="SALDO INICIAL")*(MOVIMIENTOS!$C$5:$C$1005="A")*(MOVIMIENTOS!$D$5:$D$1005="jabas")*(MOVIMIENTOS!$A$5:$A$1005&lt;&gt;"")*(MOVIMIENTOS!$A$5:$A$1005&lt;=$A768)*MOVIMIENTOS!$E$5:$E$1005)+SUMPRODUCT((MOVIMIENTOS!$B$5:$B$1005="PROCESO")*(MOVIMIENTOS!$C$5:$C$1005="A")*(MOVIMIENTOS!$D$5:$D$1005="jabas")*(MOVIMIENTOS!$A$5:$A$1005&lt;&gt;"")*(MOVIMIENTOS!$A$5:$A$1005&lt;=$A768)*MOVIMIENTOS!$E$5:$E$1005)-SUMPRODUCT((MOVIMIENTOS!$B$5:$B$1005="ENVÍO A SUPESA")*(MOVIMIENTOS!$C$5:$C$1005="A")*(MOVIMIENTOS!$D$5:$D$1005="jabas")*(MOVIMIENTOS!$A$5:$A$1005&lt;&gt;"")*(MOVIMIENTOS!$A$5:$A$1005&lt;=$A768)*MOVIMIENTOS!$E$5:$E$1005)+SUMPRODUCT((MOVIMIENTOS!$B$5:$B$1005="DEVOLUCIÓN")*(MOVIMIENTOS!$C$5:$C$1005="A")*(MOVIMIENTOS!$D$5:$D$1005="jabas")*(MOVIMIENTOS!$A$5:$A$1005&lt;&gt;"")*(MOVIMIENTOS!$A$5:$A$1005&lt;=$A768)*MOVIMIENTOS!$E$5:$E$1005)-SUMPRODUCT((MOVIMIENTOS!$B$5:$B$1005="TRASIEGO")*(MOVIMIENTOS!$C$5:$C$1005="A")*(MOVIMIENTOS!$D$5:$D$1005="jabas")*(MOVIMIENTOS!$A$5:$A$1005&lt;&gt;"")*(MOVIMIENTOS!$A$5:$A$1005&lt;=$A768)*MOVIMIENTOS!$E$5:$E$1005)-SUMPRODUCT((MOVIMIENTOS!$B$5:$B$1005="REGALO")*(MOVIMIENTOS!$C$5:$C$1005="A")*(MOVIMIENTOS!$D$5:$D$1005="jabas")*(MOVIMIENTOS!$A$5:$A$1005&lt;&gt;"")*(MOVIMIENTOS!$A$5:$A$1005&lt;=$A768)*MOVIMIENTOS!$E$5:$E$1005)-SUMPRODUCT((MOVIMIENTOS!$B$5:$B$1005="VENTA")*(MOVIMIENTOS!$C$5:$C$1005="A")*(MOVIMIENTOS!$D$5:$D$1005="jabas")*(MOVIMIENTOS!$A$5:$A$1005&lt;&gt;"")*(MOVIMIENTOS!$A$5:$A$1005&lt;=$A768)*MOVIMIENTOS!$E$5:$E$1005)+SUMPRODUCT((MOVIMIENTOS!$B$5:$B$1005="AJUSTE")*(MOVIMIENTOS!$C$5:$C$1005="A")*(MOVIMIENTOS!$D$5:$D$1005="jabas")*(MOVIMIENTOS!$A$5:$A$1005&lt;&gt;"")*(MOVIMIENTOS!$A$5:$A$1005&lt;=$A768)*MOVIMIENTOS!$E$5:$E$1005))</f>
        <v/>
      </c>
      <c r="C768" t="str">
        <f>IF($A768="","",SUMPRODUCT((MOVIMIENTOS!$B$5:$B$1005="SALDO INICIAL")*(MOVIMIENTOS!$C$5:$C$1005="P")*(MOVIMIENTOS!$D$5:$D$1005="jabas")*(MOVIMIENTOS!$A$5:$A$1005&lt;&gt;"")*(MOVIMIENTOS!$A$5:$A$1005&lt;=$A768)*MOVIMIENTOS!$E$5:$E$1005)+SUMPRODUCT((MOVIMIENTOS!$B$5:$B$1005="PROCESO")*(MOVIMIENTOS!$C$5:$C$1005="P")*(MOVIMIENTOS!$D$5:$D$1005="jabas")*(MOVIMIENTOS!$A$5:$A$1005&lt;&gt;"")*(MOVIMIENTOS!$A$5:$A$1005&lt;=$A768)*MOVIMIENTOS!$E$5:$E$1005)-SUMPRODUCT((MOVIMIENTOS!$B$5:$B$1005="ENVÍO A SUPESA")*(MOVIMIENTOS!$C$5:$C$1005="P")*(MOVIMIENTOS!$D$5:$D$1005="jabas")*(MOVIMIENTOS!$A$5:$A$1005&lt;&gt;"")*(MOVIMIENTOS!$A$5:$A$1005&lt;=$A768)*MOVIMIENTOS!$E$5:$E$1005)+SUMPRODUCT((MOVIMIENTOS!$B$5:$B$1005="DEVOLUCIÓN")*(MOVIMIENTOS!$C$5:$C$1005="P")*(MOVIMIENTOS!$D$5:$D$1005="jabas")*(MOVIMIENTOS!$A$5:$A$1005&lt;&gt;"")*(MOVIMIENTOS!$A$5:$A$1005&lt;=$A768)*MOVIMIENTOS!$E$5:$E$1005)-SUMPRODUCT((MOVIMIENTOS!$B$5:$B$1005="TRASIEGO")*(MOVIMIENTOS!$C$5:$C$1005="P")*(MOVIMIENTOS!$D$5:$D$1005="jabas")*(MOVIMIENTOS!$A$5:$A$1005&lt;&gt;"")*(MOVIMIENTOS!$A$5:$A$1005&lt;=$A768)*MOVIMIENTOS!$E$5:$E$1005)-SUMPRODUCT((MOVIMIENTOS!$B$5:$B$1005="REGALO")*(MOVIMIENTOS!$C$5:$C$1005="P")*(MOVIMIENTOS!$D$5:$D$1005="jabas")*(MOVIMIENTOS!$A$5:$A$1005&lt;&gt;"")*(MOVIMIENTOS!$A$5:$A$1005&lt;=$A768)*MOVIMIENTOS!$E$5:$E$1005)-SUMPRODUCT((MOVIMIENTOS!$B$5:$B$1005="VENTA")*(MOVIMIENTOS!$C$5:$C$1005="P")*(MOVIMIENTOS!$D$5:$D$1005="jabas")*(MOVIMIENTOS!$A$5:$A$1005&lt;&gt;"")*(MOVIMIENTOS!$A$5:$A$1005&lt;=$A768)*MOVIMIENTOS!$E$5:$E$1005)+SUMPRODUCT((MOVIMIENTOS!$B$5:$B$1005="AJUSTE")*(MOVIMIENTOS!$C$5:$C$1005="P")*(MOVIMIENTOS!$D$5:$D$1005="jabas")*(MOVIMIENTOS!$A$5:$A$1005&lt;&gt;"")*(MOVIMIENTOS!$A$5:$A$1005&lt;=$A768)*MOVIMIENTOS!$E$5:$E$1005))</f>
        <v/>
      </c>
      <c r="D768" t="str">
        <f>IF($A768="","",SUMPRODUCT((MOVIMIENTOS!$B$5:$B$1005="SALDO INICIAL")*(MOVIMIENTOS!$C$5:$C$1005="C")*(MOVIMIENTOS!$D$5:$D$1005="jabas")*(MOVIMIENTOS!$A$5:$A$1005&lt;&gt;"")*(MOVIMIENTOS!$A$5:$A$1005&lt;=$A768)*MOVIMIENTOS!$E$5:$E$1005)+SUMPRODUCT((MOVIMIENTOS!$B$5:$B$1005="PROCESO")*(MOVIMIENTOS!$C$5:$C$1005="C")*(MOVIMIENTOS!$D$5:$D$1005="jabas")*(MOVIMIENTOS!$A$5:$A$1005&lt;&gt;"")*(MOVIMIENTOS!$A$5:$A$1005&lt;=$A768)*MOVIMIENTOS!$E$5:$E$1005)-SUMPRODUCT((MOVIMIENTOS!$B$5:$B$1005="ENVÍO A SUPESA")*(MOVIMIENTOS!$C$5:$C$1005="C")*(MOVIMIENTOS!$D$5:$D$1005="jabas")*(MOVIMIENTOS!$A$5:$A$1005&lt;&gt;"")*(MOVIMIENTOS!$A$5:$A$1005&lt;=$A768)*MOVIMIENTOS!$E$5:$E$1005)+SUMPRODUCT((MOVIMIENTOS!$B$5:$B$1005="DEVOLUCIÓN")*(MOVIMIENTOS!$C$5:$C$1005="C")*(MOVIMIENTOS!$D$5:$D$1005="jabas")*(MOVIMIENTOS!$A$5:$A$1005&lt;&gt;"")*(MOVIMIENTOS!$A$5:$A$1005&lt;=$A768)*MOVIMIENTOS!$E$5:$E$1005)-SUMPRODUCT((MOVIMIENTOS!$B$5:$B$1005="TRASIEGO")*(MOVIMIENTOS!$C$5:$C$1005="C")*(MOVIMIENTOS!$D$5:$D$1005="jabas")*(MOVIMIENTOS!$A$5:$A$1005&lt;&gt;"")*(MOVIMIENTOS!$A$5:$A$1005&lt;=$A768)*MOVIMIENTOS!$E$5:$E$1005)-SUMPRODUCT((MOVIMIENTOS!$B$5:$B$1005="REGALO")*(MOVIMIENTOS!$C$5:$C$1005="C")*(MOVIMIENTOS!$D$5:$D$1005="jabas")*(MOVIMIENTOS!$A$5:$A$1005&lt;&gt;"")*(MOVIMIENTOS!$A$5:$A$1005&lt;=$A768)*MOVIMIENTOS!$E$5:$E$1005)-SUMPRODUCT((MOVIMIENTOS!$B$5:$B$1005="VENTA")*(MOVIMIENTOS!$C$5:$C$1005="C")*(MOVIMIENTOS!$D$5:$D$1005="jabas")*(MOVIMIENTOS!$A$5:$A$1005&lt;&gt;"")*(MOVIMIENTOS!$A$5:$A$1005&lt;=$A768)*MOVIMIENTOS!$E$5:$E$1005)+SUMPRODUCT((MOVIMIENTOS!$B$5:$B$1005="AJUSTE")*(MOVIMIENTOS!$C$5:$C$1005="C")*(MOVIMIENTOS!$D$5:$D$1005="jabas")*(MOVIMIENTOS!$A$5:$A$1005&lt;&gt;"")*(MOVIMIENTOS!$A$5:$A$1005&lt;=$A768)*MOVIMIENTOS!$E$5:$E$1005))</f>
        <v/>
      </c>
      <c r="E768" t="str">
        <f>IF($A768="","",SUMPRODUCT((MOVIMIENTOS!$B$5:$B$1005="SALDO INICIAL")*(MOVIMIENTOS!$C$5:$C$1005="M")*(MOVIMIENTOS!$D$5:$D$1005="jabas")*(MOVIMIENTOS!$A$5:$A$1005&lt;&gt;"")*(MOVIMIENTOS!$A$5:$A$1005&lt;=$A768)*MOVIMIENTOS!$E$5:$E$1005)+SUMPRODUCT((MOVIMIENTOS!$B$5:$B$1005="PROCESO")*(MOVIMIENTOS!$C$5:$C$1005="M")*(MOVIMIENTOS!$D$5:$D$1005="jabas")*(MOVIMIENTOS!$A$5:$A$1005&lt;&gt;"")*(MOVIMIENTOS!$A$5:$A$1005&lt;=$A768)*MOVIMIENTOS!$E$5:$E$1005)-SUMPRODUCT((MOVIMIENTOS!$B$5:$B$1005="ENVÍO A SUPESA")*(MOVIMIENTOS!$C$5:$C$1005="M")*(MOVIMIENTOS!$D$5:$D$1005="jabas")*(MOVIMIENTOS!$A$5:$A$1005&lt;&gt;"")*(MOVIMIENTOS!$A$5:$A$1005&lt;=$A768)*MOVIMIENTOS!$E$5:$E$1005)+SUMPRODUCT((MOVIMIENTOS!$B$5:$B$1005="DEVOLUCIÓN")*(MOVIMIENTOS!$C$5:$C$1005="M")*(MOVIMIENTOS!$D$5:$D$1005="jabas")*(MOVIMIENTOS!$A$5:$A$1005&lt;&gt;"")*(MOVIMIENTOS!$A$5:$A$1005&lt;=$A768)*MOVIMIENTOS!$E$5:$E$1005)-SUMPRODUCT((MOVIMIENTOS!$B$5:$B$1005="TRASIEGO")*(MOVIMIENTOS!$C$5:$C$1005="M")*(MOVIMIENTOS!$D$5:$D$1005="jabas")*(MOVIMIENTOS!$A$5:$A$1005&lt;&gt;"")*(MOVIMIENTOS!$A$5:$A$1005&lt;=$A768)*MOVIMIENTOS!$E$5:$E$1005)-SUMPRODUCT((MOVIMIENTOS!$B$5:$B$1005="REGALO")*(MOVIMIENTOS!$C$5:$C$1005="M")*(MOVIMIENTOS!$D$5:$D$1005="jabas")*(MOVIMIENTOS!$A$5:$A$1005&lt;&gt;"")*(MOVIMIENTOS!$A$5:$A$1005&lt;=$A768)*MOVIMIENTOS!$E$5:$E$1005)-SUMPRODUCT((MOVIMIENTOS!$B$5:$B$1005="VENTA")*(MOVIMIENTOS!$C$5:$C$1005="M")*(MOVIMIENTOS!$D$5:$D$1005="jabas")*(MOVIMIENTOS!$A$5:$A$1005&lt;&gt;"")*(MOVIMIENTOS!$A$5:$A$1005&lt;=$A768)*MOVIMIENTOS!$E$5:$E$1005)+SUMPRODUCT((MOVIMIENTOS!$B$5:$B$1005="AJUSTE")*(MOVIMIENTOS!$C$5:$C$1005="M")*(MOVIMIENTOS!$D$5:$D$1005="jabas")*(MOVIMIENTOS!$A$5:$A$1005&lt;&gt;"")*(MOVIMIENTOS!$A$5:$A$1005&lt;=$A768)*MOVIMIENTOS!$E$5:$E$1005))</f>
        <v/>
      </c>
      <c r="F768" s="62" t="str">
        <f>IF($A768="","",SUMPRODUCT((MOVIMIENTOS!$B$5:$B$1005="SALDO INICIAL")*(MOVIMIENTOS!$C$5:$C$1005="Chancho")*(MOVIMIENTOS!$D$5:$D$1005="sacos")*(MOVIMIENTOS!$A$5:$A$1005&lt;&gt;"")*(MOVIMIENTOS!$A$5:$A$1005&lt;=$A768)*MOVIMIENTOS!$E$5:$E$1005)+SUMPRODUCT((MOVIMIENTOS!$B$5:$B$1005="PROCESO")*(MOVIMIENTOS!$C$5:$C$1005="Chancho")*(MOVIMIENTOS!$D$5:$D$1005="sacos")*(MOVIMIENTOS!$A$5:$A$1005&lt;&gt;"")*(MOVIMIENTOS!$A$5:$A$1005&lt;=$A768)*MOVIMIENTOS!$E$5:$E$1005)-SUMPRODUCT((MOVIMIENTOS!$B$5:$B$1005="VENTA CHANCHO")*(MOVIMIENTOS!$C$5:$C$1005="Chancho")*(MOVIMIENTOS!$D$5:$D$1005="sacos")*(MOVIMIENTOS!$A$5:$A$1005&lt;&gt;"")*(MOVIMIENTOS!$A$5:$A$1005&lt;=$A768)*MOVIMIENTOS!$E$5:$E$1005)-SUMPRODUCT((MOVIMIENTOS!$B$5:$B$1005="REGALO")*(MOVIMIENTOS!$C$5:$C$1005="Chancho")*(MOVIMIENTOS!$D$5:$D$1005="sacos")*(MOVIMIENTOS!$A$5:$A$1005&lt;&gt;"")*(MOVIMIENTOS!$A$5:$A$1005&lt;=$A768)*MOVIMIENTOS!$E$5:$E$1005)-SUMPRODUCT((MOVIMIENTOS!$B$5:$B$1005="VENTA")*(MOVIMIENTOS!$C$5:$C$1005="Chancho")*(MOVIMIENTOS!$D$5:$D$1005="sacos")*(MOVIMIENTOS!$A$5:$A$1005&lt;&gt;"")*(MOVIMIENTOS!$A$5:$A$1005&lt;=$A768)*MOVIMIENTOS!$E$5:$E$1005)+SUMPRODUCT((MOVIMIENTOS!$B$5:$B$1005="AJUSTE")*(MOVIMIENTOS!$C$5:$C$1005="Chancho")*(MOVIMIENTOS!$D$5:$D$1005="sacos")*(MOVIMIENTOS!$A$5:$A$1005&lt;&gt;"")*(MOVIMIENTOS!$A$5:$A$1005&lt;=$A768)*MOVIMIENTOS!$E$5:$E$1005))</f>
        <v/>
      </c>
      <c r="G768" s="62" t="str">
        <f t="shared" si="23"/>
        <v/>
      </c>
      <c r="H768" t="str">
        <f>IF($A768="","",SUMPRODUCT((((MOVIMIENTOS!$B$5:$B$1005="SALDO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768)*MOVIMIENTOS!$J$5:$J$1005))</f>
        <v/>
      </c>
      <c r="J768" t="str">
        <f>IF(AND(MOVIMIENTOS!$A773&lt;&gt;"",COUNTIF(MOVIMIENTOS!$A$5:$A772,MOVIMIENTOS!$A773)=0),COUNT(J$4:J767)+1,"")</f>
        <v/>
      </c>
      <c r="K768">
        <f>MOVIMIENTOS!$A773</f>
        <v>0</v>
      </c>
    </row>
    <row r="769" spans="1:11" ht="15" customHeight="1" x14ac:dyDescent="0.2">
      <c r="A769" t="str">
        <f t="shared" si="22"/>
        <v/>
      </c>
      <c r="B769" t="str">
        <f>IF($A769="","",SUMPRODUCT((MOVIMIENTOS!$B$5:$B$1005="SALDO INICIAL")*(MOVIMIENTOS!$C$5:$C$1005="A")*(MOVIMIENTOS!$D$5:$D$1005="jabas")*(MOVIMIENTOS!$A$5:$A$1005&lt;&gt;"")*(MOVIMIENTOS!$A$5:$A$1005&lt;=$A769)*MOVIMIENTOS!$E$5:$E$1005)+SUMPRODUCT((MOVIMIENTOS!$B$5:$B$1005="PROCESO")*(MOVIMIENTOS!$C$5:$C$1005="A")*(MOVIMIENTOS!$D$5:$D$1005="jabas")*(MOVIMIENTOS!$A$5:$A$1005&lt;&gt;"")*(MOVIMIENTOS!$A$5:$A$1005&lt;=$A769)*MOVIMIENTOS!$E$5:$E$1005)-SUMPRODUCT((MOVIMIENTOS!$B$5:$B$1005="ENVÍO A SUPESA")*(MOVIMIENTOS!$C$5:$C$1005="A")*(MOVIMIENTOS!$D$5:$D$1005="jabas")*(MOVIMIENTOS!$A$5:$A$1005&lt;&gt;"")*(MOVIMIENTOS!$A$5:$A$1005&lt;=$A769)*MOVIMIENTOS!$E$5:$E$1005)+SUMPRODUCT((MOVIMIENTOS!$B$5:$B$1005="DEVOLUCIÓN")*(MOVIMIENTOS!$C$5:$C$1005="A")*(MOVIMIENTOS!$D$5:$D$1005="jabas")*(MOVIMIENTOS!$A$5:$A$1005&lt;&gt;"")*(MOVIMIENTOS!$A$5:$A$1005&lt;=$A769)*MOVIMIENTOS!$E$5:$E$1005)-SUMPRODUCT((MOVIMIENTOS!$B$5:$B$1005="TRASIEGO")*(MOVIMIENTOS!$C$5:$C$1005="A")*(MOVIMIENTOS!$D$5:$D$1005="jabas")*(MOVIMIENTOS!$A$5:$A$1005&lt;&gt;"")*(MOVIMIENTOS!$A$5:$A$1005&lt;=$A769)*MOVIMIENTOS!$E$5:$E$1005)-SUMPRODUCT((MOVIMIENTOS!$B$5:$B$1005="REGALO")*(MOVIMIENTOS!$C$5:$C$1005="A")*(MOVIMIENTOS!$D$5:$D$1005="jabas")*(MOVIMIENTOS!$A$5:$A$1005&lt;&gt;"")*(MOVIMIENTOS!$A$5:$A$1005&lt;=$A769)*MOVIMIENTOS!$E$5:$E$1005)-SUMPRODUCT((MOVIMIENTOS!$B$5:$B$1005="VENTA")*(MOVIMIENTOS!$C$5:$C$1005="A")*(MOVIMIENTOS!$D$5:$D$1005="jabas")*(MOVIMIENTOS!$A$5:$A$1005&lt;&gt;"")*(MOVIMIENTOS!$A$5:$A$1005&lt;=$A769)*MOVIMIENTOS!$E$5:$E$1005)+SUMPRODUCT((MOVIMIENTOS!$B$5:$B$1005="AJUSTE")*(MOVIMIENTOS!$C$5:$C$1005="A")*(MOVIMIENTOS!$D$5:$D$1005="jabas")*(MOVIMIENTOS!$A$5:$A$1005&lt;&gt;"")*(MOVIMIENTOS!$A$5:$A$1005&lt;=$A769)*MOVIMIENTOS!$E$5:$E$1005))</f>
        <v/>
      </c>
      <c r="C769" t="str">
        <f>IF($A769="","",SUMPRODUCT((MOVIMIENTOS!$B$5:$B$1005="SALDO INICIAL")*(MOVIMIENTOS!$C$5:$C$1005="P")*(MOVIMIENTOS!$D$5:$D$1005="jabas")*(MOVIMIENTOS!$A$5:$A$1005&lt;&gt;"")*(MOVIMIENTOS!$A$5:$A$1005&lt;=$A769)*MOVIMIENTOS!$E$5:$E$1005)+SUMPRODUCT((MOVIMIENTOS!$B$5:$B$1005="PROCESO")*(MOVIMIENTOS!$C$5:$C$1005="P")*(MOVIMIENTOS!$D$5:$D$1005="jabas")*(MOVIMIENTOS!$A$5:$A$1005&lt;&gt;"")*(MOVIMIENTOS!$A$5:$A$1005&lt;=$A769)*MOVIMIENTOS!$E$5:$E$1005)-SUMPRODUCT((MOVIMIENTOS!$B$5:$B$1005="ENVÍO A SUPESA")*(MOVIMIENTOS!$C$5:$C$1005="P")*(MOVIMIENTOS!$D$5:$D$1005="jabas")*(MOVIMIENTOS!$A$5:$A$1005&lt;&gt;"")*(MOVIMIENTOS!$A$5:$A$1005&lt;=$A769)*MOVIMIENTOS!$E$5:$E$1005)+SUMPRODUCT((MOVIMIENTOS!$B$5:$B$1005="DEVOLUCIÓN")*(MOVIMIENTOS!$C$5:$C$1005="P")*(MOVIMIENTOS!$D$5:$D$1005="jabas")*(MOVIMIENTOS!$A$5:$A$1005&lt;&gt;"")*(MOVIMIENTOS!$A$5:$A$1005&lt;=$A769)*MOVIMIENTOS!$E$5:$E$1005)-SUMPRODUCT((MOVIMIENTOS!$B$5:$B$1005="TRASIEGO")*(MOVIMIENTOS!$C$5:$C$1005="P")*(MOVIMIENTOS!$D$5:$D$1005="jabas")*(MOVIMIENTOS!$A$5:$A$1005&lt;&gt;"")*(MOVIMIENTOS!$A$5:$A$1005&lt;=$A769)*MOVIMIENTOS!$E$5:$E$1005)-SUMPRODUCT((MOVIMIENTOS!$B$5:$B$1005="REGALO")*(MOVIMIENTOS!$C$5:$C$1005="P")*(MOVIMIENTOS!$D$5:$D$1005="jabas")*(MOVIMIENTOS!$A$5:$A$1005&lt;&gt;"")*(MOVIMIENTOS!$A$5:$A$1005&lt;=$A769)*MOVIMIENTOS!$E$5:$E$1005)-SUMPRODUCT((MOVIMIENTOS!$B$5:$B$1005="VENTA")*(MOVIMIENTOS!$C$5:$C$1005="P")*(MOVIMIENTOS!$D$5:$D$1005="jabas")*(MOVIMIENTOS!$A$5:$A$1005&lt;&gt;"")*(MOVIMIENTOS!$A$5:$A$1005&lt;=$A769)*MOVIMIENTOS!$E$5:$E$1005)+SUMPRODUCT((MOVIMIENTOS!$B$5:$B$1005="AJUSTE")*(MOVIMIENTOS!$C$5:$C$1005="P")*(MOVIMIENTOS!$D$5:$D$1005="jabas")*(MOVIMIENTOS!$A$5:$A$1005&lt;&gt;"")*(MOVIMIENTOS!$A$5:$A$1005&lt;=$A769)*MOVIMIENTOS!$E$5:$E$1005))</f>
        <v/>
      </c>
      <c r="D769" t="str">
        <f>IF($A769="","",SUMPRODUCT((MOVIMIENTOS!$B$5:$B$1005="SALDO INICIAL")*(MOVIMIENTOS!$C$5:$C$1005="C")*(MOVIMIENTOS!$D$5:$D$1005="jabas")*(MOVIMIENTOS!$A$5:$A$1005&lt;&gt;"")*(MOVIMIENTOS!$A$5:$A$1005&lt;=$A769)*MOVIMIENTOS!$E$5:$E$1005)+SUMPRODUCT((MOVIMIENTOS!$B$5:$B$1005="PROCESO")*(MOVIMIENTOS!$C$5:$C$1005="C")*(MOVIMIENTOS!$D$5:$D$1005="jabas")*(MOVIMIENTOS!$A$5:$A$1005&lt;&gt;"")*(MOVIMIENTOS!$A$5:$A$1005&lt;=$A769)*MOVIMIENTOS!$E$5:$E$1005)-SUMPRODUCT((MOVIMIENTOS!$B$5:$B$1005="ENVÍO A SUPESA")*(MOVIMIENTOS!$C$5:$C$1005="C")*(MOVIMIENTOS!$D$5:$D$1005="jabas")*(MOVIMIENTOS!$A$5:$A$1005&lt;&gt;"")*(MOVIMIENTOS!$A$5:$A$1005&lt;=$A769)*MOVIMIENTOS!$E$5:$E$1005)+SUMPRODUCT((MOVIMIENTOS!$B$5:$B$1005="DEVOLUCIÓN")*(MOVIMIENTOS!$C$5:$C$1005="C")*(MOVIMIENTOS!$D$5:$D$1005="jabas")*(MOVIMIENTOS!$A$5:$A$1005&lt;&gt;"")*(MOVIMIENTOS!$A$5:$A$1005&lt;=$A769)*MOVIMIENTOS!$E$5:$E$1005)-SUMPRODUCT((MOVIMIENTOS!$B$5:$B$1005="TRASIEGO")*(MOVIMIENTOS!$C$5:$C$1005="C")*(MOVIMIENTOS!$D$5:$D$1005="jabas")*(MOVIMIENTOS!$A$5:$A$1005&lt;&gt;"")*(MOVIMIENTOS!$A$5:$A$1005&lt;=$A769)*MOVIMIENTOS!$E$5:$E$1005)-SUMPRODUCT((MOVIMIENTOS!$B$5:$B$1005="REGALO")*(MOVIMIENTOS!$C$5:$C$1005="C")*(MOVIMIENTOS!$D$5:$D$1005="jabas")*(MOVIMIENTOS!$A$5:$A$1005&lt;&gt;"")*(MOVIMIENTOS!$A$5:$A$1005&lt;=$A769)*MOVIMIENTOS!$E$5:$E$1005)-SUMPRODUCT((MOVIMIENTOS!$B$5:$B$1005="VENTA")*(MOVIMIENTOS!$C$5:$C$1005="C")*(MOVIMIENTOS!$D$5:$D$1005="jabas")*(MOVIMIENTOS!$A$5:$A$1005&lt;&gt;"")*(MOVIMIENTOS!$A$5:$A$1005&lt;=$A769)*MOVIMIENTOS!$E$5:$E$1005)+SUMPRODUCT((MOVIMIENTOS!$B$5:$B$1005="AJUSTE")*(MOVIMIENTOS!$C$5:$C$1005="C")*(MOVIMIENTOS!$D$5:$D$1005="jabas")*(MOVIMIENTOS!$A$5:$A$1005&lt;&gt;"")*(MOVIMIENTOS!$A$5:$A$1005&lt;=$A769)*MOVIMIENTOS!$E$5:$E$1005))</f>
        <v/>
      </c>
      <c r="E769" t="str">
        <f>IF($A769="","",SUMPRODUCT((MOVIMIENTOS!$B$5:$B$1005="SALDO INICIAL")*(MOVIMIENTOS!$C$5:$C$1005="M")*(MOVIMIENTOS!$D$5:$D$1005="jabas")*(MOVIMIENTOS!$A$5:$A$1005&lt;&gt;"")*(MOVIMIENTOS!$A$5:$A$1005&lt;=$A769)*MOVIMIENTOS!$E$5:$E$1005)+SUMPRODUCT((MOVIMIENTOS!$B$5:$B$1005="PROCESO")*(MOVIMIENTOS!$C$5:$C$1005="M")*(MOVIMIENTOS!$D$5:$D$1005="jabas")*(MOVIMIENTOS!$A$5:$A$1005&lt;&gt;"")*(MOVIMIENTOS!$A$5:$A$1005&lt;=$A769)*MOVIMIENTOS!$E$5:$E$1005)-SUMPRODUCT((MOVIMIENTOS!$B$5:$B$1005="ENVÍO A SUPESA")*(MOVIMIENTOS!$C$5:$C$1005="M")*(MOVIMIENTOS!$D$5:$D$1005="jabas")*(MOVIMIENTOS!$A$5:$A$1005&lt;&gt;"")*(MOVIMIENTOS!$A$5:$A$1005&lt;=$A769)*MOVIMIENTOS!$E$5:$E$1005)+SUMPRODUCT((MOVIMIENTOS!$B$5:$B$1005="DEVOLUCIÓN")*(MOVIMIENTOS!$C$5:$C$1005="M")*(MOVIMIENTOS!$D$5:$D$1005="jabas")*(MOVIMIENTOS!$A$5:$A$1005&lt;&gt;"")*(MOVIMIENTOS!$A$5:$A$1005&lt;=$A769)*MOVIMIENTOS!$E$5:$E$1005)-SUMPRODUCT((MOVIMIENTOS!$B$5:$B$1005="TRASIEGO")*(MOVIMIENTOS!$C$5:$C$1005="M")*(MOVIMIENTOS!$D$5:$D$1005="jabas")*(MOVIMIENTOS!$A$5:$A$1005&lt;&gt;"")*(MOVIMIENTOS!$A$5:$A$1005&lt;=$A769)*MOVIMIENTOS!$E$5:$E$1005)-SUMPRODUCT((MOVIMIENTOS!$B$5:$B$1005="REGALO")*(MOVIMIENTOS!$C$5:$C$1005="M")*(MOVIMIENTOS!$D$5:$D$1005="jabas")*(MOVIMIENTOS!$A$5:$A$1005&lt;&gt;"")*(MOVIMIENTOS!$A$5:$A$1005&lt;=$A769)*MOVIMIENTOS!$E$5:$E$1005)-SUMPRODUCT((MOVIMIENTOS!$B$5:$B$1005="VENTA")*(MOVIMIENTOS!$C$5:$C$1005="M")*(MOVIMIENTOS!$D$5:$D$1005="jabas")*(MOVIMIENTOS!$A$5:$A$1005&lt;&gt;"")*(MOVIMIENTOS!$A$5:$A$1005&lt;=$A769)*MOVIMIENTOS!$E$5:$E$1005)+SUMPRODUCT((MOVIMIENTOS!$B$5:$B$1005="AJUSTE")*(MOVIMIENTOS!$C$5:$C$1005="M")*(MOVIMIENTOS!$D$5:$D$1005="jabas")*(MOVIMIENTOS!$A$5:$A$1005&lt;&gt;"")*(MOVIMIENTOS!$A$5:$A$1005&lt;=$A769)*MOVIMIENTOS!$E$5:$E$1005))</f>
        <v/>
      </c>
      <c r="F769" s="62" t="str">
        <f>IF($A769="","",SUMPRODUCT((MOVIMIENTOS!$B$5:$B$1005="SALDO INICIAL")*(MOVIMIENTOS!$C$5:$C$1005="Chancho")*(MOVIMIENTOS!$D$5:$D$1005="sacos")*(MOVIMIENTOS!$A$5:$A$1005&lt;&gt;"")*(MOVIMIENTOS!$A$5:$A$1005&lt;=$A769)*MOVIMIENTOS!$E$5:$E$1005)+SUMPRODUCT((MOVIMIENTOS!$B$5:$B$1005="PROCESO")*(MOVIMIENTOS!$C$5:$C$1005="Chancho")*(MOVIMIENTOS!$D$5:$D$1005="sacos")*(MOVIMIENTOS!$A$5:$A$1005&lt;&gt;"")*(MOVIMIENTOS!$A$5:$A$1005&lt;=$A769)*MOVIMIENTOS!$E$5:$E$1005)-SUMPRODUCT((MOVIMIENTOS!$B$5:$B$1005="VENTA CHANCHO")*(MOVIMIENTOS!$C$5:$C$1005="Chancho")*(MOVIMIENTOS!$D$5:$D$1005="sacos")*(MOVIMIENTOS!$A$5:$A$1005&lt;&gt;"")*(MOVIMIENTOS!$A$5:$A$1005&lt;=$A769)*MOVIMIENTOS!$E$5:$E$1005)-SUMPRODUCT((MOVIMIENTOS!$B$5:$B$1005="REGALO")*(MOVIMIENTOS!$C$5:$C$1005="Chancho")*(MOVIMIENTOS!$D$5:$D$1005="sacos")*(MOVIMIENTOS!$A$5:$A$1005&lt;&gt;"")*(MOVIMIENTOS!$A$5:$A$1005&lt;=$A769)*MOVIMIENTOS!$E$5:$E$1005)-SUMPRODUCT((MOVIMIENTOS!$B$5:$B$1005="VENTA")*(MOVIMIENTOS!$C$5:$C$1005="Chancho")*(MOVIMIENTOS!$D$5:$D$1005="sacos")*(MOVIMIENTOS!$A$5:$A$1005&lt;&gt;"")*(MOVIMIENTOS!$A$5:$A$1005&lt;=$A769)*MOVIMIENTOS!$E$5:$E$1005)+SUMPRODUCT((MOVIMIENTOS!$B$5:$B$1005="AJUSTE")*(MOVIMIENTOS!$C$5:$C$1005="Chancho")*(MOVIMIENTOS!$D$5:$D$1005="sacos")*(MOVIMIENTOS!$A$5:$A$1005&lt;&gt;"")*(MOVIMIENTOS!$A$5:$A$1005&lt;=$A769)*MOVIMIENTOS!$E$5:$E$1005))</f>
        <v/>
      </c>
      <c r="G769" s="62" t="str">
        <f t="shared" si="23"/>
        <v/>
      </c>
      <c r="H769" t="str">
        <f>IF($A769="","",SUMPRODUCT((((MOVIMIENTOS!$B$5:$B$1005="SALDO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769)*MOVIMIENTOS!$J$5:$J$1005))</f>
        <v/>
      </c>
      <c r="J769" t="str">
        <f>IF(AND(MOVIMIENTOS!$A774&lt;&gt;"",COUNTIF(MOVIMIENTOS!$A$5:$A773,MOVIMIENTOS!$A774)=0),COUNT(J$4:J768)+1,"")</f>
        <v/>
      </c>
      <c r="K769">
        <f>MOVIMIENTOS!$A774</f>
        <v>0</v>
      </c>
    </row>
    <row r="770" spans="1:11" ht="15" customHeight="1" x14ac:dyDescent="0.2">
      <c r="A770" t="str">
        <f t="shared" si="22"/>
        <v/>
      </c>
      <c r="B770" t="str">
        <f>IF($A770="","",SUMPRODUCT((MOVIMIENTOS!$B$5:$B$1005="SALDO INICIAL")*(MOVIMIENTOS!$C$5:$C$1005="A")*(MOVIMIENTOS!$D$5:$D$1005="jabas")*(MOVIMIENTOS!$A$5:$A$1005&lt;&gt;"")*(MOVIMIENTOS!$A$5:$A$1005&lt;=$A770)*MOVIMIENTOS!$E$5:$E$1005)+SUMPRODUCT((MOVIMIENTOS!$B$5:$B$1005="PROCESO")*(MOVIMIENTOS!$C$5:$C$1005="A")*(MOVIMIENTOS!$D$5:$D$1005="jabas")*(MOVIMIENTOS!$A$5:$A$1005&lt;&gt;"")*(MOVIMIENTOS!$A$5:$A$1005&lt;=$A770)*MOVIMIENTOS!$E$5:$E$1005)-SUMPRODUCT((MOVIMIENTOS!$B$5:$B$1005="ENVÍO A SUPESA")*(MOVIMIENTOS!$C$5:$C$1005="A")*(MOVIMIENTOS!$D$5:$D$1005="jabas")*(MOVIMIENTOS!$A$5:$A$1005&lt;&gt;"")*(MOVIMIENTOS!$A$5:$A$1005&lt;=$A770)*MOVIMIENTOS!$E$5:$E$1005)+SUMPRODUCT((MOVIMIENTOS!$B$5:$B$1005="DEVOLUCIÓN")*(MOVIMIENTOS!$C$5:$C$1005="A")*(MOVIMIENTOS!$D$5:$D$1005="jabas")*(MOVIMIENTOS!$A$5:$A$1005&lt;&gt;"")*(MOVIMIENTOS!$A$5:$A$1005&lt;=$A770)*MOVIMIENTOS!$E$5:$E$1005)-SUMPRODUCT((MOVIMIENTOS!$B$5:$B$1005="TRASIEGO")*(MOVIMIENTOS!$C$5:$C$1005="A")*(MOVIMIENTOS!$D$5:$D$1005="jabas")*(MOVIMIENTOS!$A$5:$A$1005&lt;&gt;"")*(MOVIMIENTOS!$A$5:$A$1005&lt;=$A770)*MOVIMIENTOS!$E$5:$E$1005)-SUMPRODUCT((MOVIMIENTOS!$B$5:$B$1005="REGALO")*(MOVIMIENTOS!$C$5:$C$1005="A")*(MOVIMIENTOS!$D$5:$D$1005="jabas")*(MOVIMIENTOS!$A$5:$A$1005&lt;&gt;"")*(MOVIMIENTOS!$A$5:$A$1005&lt;=$A770)*MOVIMIENTOS!$E$5:$E$1005)-SUMPRODUCT((MOVIMIENTOS!$B$5:$B$1005="VENTA")*(MOVIMIENTOS!$C$5:$C$1005="A")*(MOVIMIENTOS!$D$5:$D$1005="jabas")*(MOVIMIENTOS!$A$5:$A$1005&lt;&gt;"")*(MOVIMIENTOS!$A$5:$A$1005&lt;=$A770)*MOVIMIENTOS!$E$5:$E$1005)+SUMPRODUCT((MOVIMIENTOS!$B$5:$B$1005="AJUSTE")*(MOVIMIENTOS!$C$5:$C$1005="A")*(MOVIMIENTOS!$D$5:$D$1005="jabas")*(MOVIMIENTOS!$A$5:$A$1005&lt;&gt;"")*(MOVIMIENTOS!$A$5:$A$1005&lt;=$A770)*MOVIMIENTOS!$E$5:$E$1005))</f>
        <v/>
      </c>
      <c r="C770" t="str">
        <f>IF($A770="","",SUMPRODUCT((MOVIMIENTOS!$B$5:$B$1005="SALDO INICIAL")*(MOVIMIENTOS!$C$5:$C$1005="P")*(MOVIMIENTOS!$D$5:$D$1005="jabas")*(MOVIMIENTOS!$A$5:$A$1005&lt;&gt;"")*(MOVIMIENTOS!$A$5:$A$1005&lt;=$A770)*MOVIMIENTOS!$E$5:$E$1005)+SUMPRODUCT((MOVIMIENTOS!$B$5:$B$1005="PROCESO")*(MOVIMIENTOS!$C$5:$C$1005="P")*(MOVIMIENTOS!$D$5:$D$1005="jabas")*(MOVIMIENTOS!$A$5:$A$1005&lt;&gt;"")*(MOVIMIENTOS!$A$5:$A$1005&lt;=$A770)*MOVIMIENTOS!$E$5:$E$1005)-SUMPRODUCT((MOVIMIENTOS!$B$5:$B$1005="ENVÍO A SUPESA")*(MOVIMIENTOS!$C$5:$C$1005="P")*(MOVIMIENTOS!$D$5:$D$1005="jabas")*(MOVIMIENTOS!$A$5:$A$1005&lt;&gt;"")*(MOVIMIENTOS!$A$5:$A$1005&lt;=$A770)*MOVIMIENTOS!$E$5:$E$1005)+SUMPRODUCT((MOVIMIENTOS!$B$5:$B$1005="DEVOLUCIÓN")*(MOVIMIENTOS!$C$5:$C$1005="P")*(MOVIMIENTOS!$D$5:$D$1005="jabas")*(MOVIMIENTOS!$A$5:$A$1005&lt;&gt;"")*(MOVIMIENTOS!$A$5:$A$1005&lt;=$A770)*MOVIMIENTOS!$E$5:$E$1005)-SUMPRODUCT((MOVIMIENTOS!$B$5:$B$1005="TRASIEGO")*(MOVIMIENTOS!$C$5:$C$1005="P")*(MOVIMIENTOS!$D$5:$D$1005="jabas")*(MOVIMIENTOS!$A$5:$A$1005&lt;&gt;"")*(MOVIMIENTOS!$A$5:$A$1005&lt;=$A770)*MOVIMIENTOS!$E$5:$E$1005)-SUMPRODUCT((MOVIMIENTOS!$B$5:$B$1005="REGALO")*(MOVIMIENTOS!$C$5:$C$1005="P")*(MOVIMIENTOS!$D$5:$D$1005="jabas")*(MOVIMIENTOS!$A$5:$A$1005&lt;&gt;"")*(MOVIMIENTOS!$A$5:$A$1005&lt;=$A770)*MOVIMIENTOS!$E$5:$E$1005)-SUMPRODUCT((MOVIMIENTOS!$B$5:$B$1005="VENTA")*(MOVIMIENTOS!$C$5:$C$1005="P")*(MOVIMIENTOS!$D$5:$D$1005="jabas")*(MOVIMIENTOS!$A$5:$A$1005&lt;&gt;"")*(MOVIMIENTOS!$A$5:$A$1005&lt;=$A770)*MOVIMIENTOS!$E$5:$E$1005)+SUMPRODUCT((MOVIMIENTOS!$B$5:$B$1005="AJUSTE")*(MOVIMIENTOS!$C$5:$C$1005="P")*(MOVIMIENTOS!$D$5:$D$1005="jabas")*(MOVIMIENTOS!$A$5:$A$1005&lt;&gt;"")*(MOVIMIENTOS!$A$5:$A$1005&lt;=$A770)*MOVIMIENTOS!$E$5:$E$1005))</f>
        <v/>
      </c>
      <c r="D770" t="str">
        <f>IF($A770="","",SUMPRODUCT((MOVIMIENTOS!$B$5:$B$1005="SALDO INICIAL")*(MOVIMIENTOS!$C$5:$C$1005="C")*(MOVIMIENTOS!$D$5:$D$1005="jabas")*(MOVIMIENTOS!$A$5:$A$1005&lt;&gt;"")*(MOVIMIENTOS!$A$5:$A$1005&lt;=$A770)*MOVIMIENTOS!$E$5:$E$1005)+SUMPRODUCT((MOVIMIENTOS!$B$5:$B$1005="PROCESO")*(MOVIMIENTOS!$C$5:$C$1005="C")*(MOVIMIENTOS!$D$5:$D$1005="jabas")*(MOVIMIENTOS!$A$5:$A$1005&lt;&gt;"")*(MOVIMIENTOS!$A$5:$A$1005&lt;=$A770)*MOVIMIENTOS!$E$5:$E$1005)-SUMPRODUCT((MOVIMIENTOS!$B$5:$B$1005="ENVÍO A SUPESA")*(MOVIMIENTOS!$C$5:$C$1005="C")*(MOVIMIENTOS!$D$5:$D$1005="jabas")*(MOVIMIENTOS!$A$5:$A$1005&lt;&gt;"")*(MOVIMIENTOS!$A$5:$A$1005&lt;=$A770)*MOVIMIENTOS!$E$5:$E$1005)+SUMPRODUCT((MOVIMIENTOS!$B$5:$B$1005="DEVOLUCIÓN")*(MOVIMIENTOS!$C$5:$C$1005="C")*(MOVIMIENTOS!$D$5:$D$1005="jabas")*(MOVIMIENTOS!$A$5:$A$1005&lt;&gt;"")*(MOVIMIENTOS!$A$5:$A$1005&lt;=$A770)*MOVIMIENTOS!$E$5:$E$1005)-SUMPRODUCT((MOVIMIENTOS!$B$5:$B$1005="TRASIEGO")*(MOVIMIENTOS!$C$5:$C$1005="C")*(MOVIMIENTOS!$D$5:$D$1005="jabas")*(MOVIMIENTOS!$A$5:$A$1005&lt;&gt;"")*(MOVIMIENTOS!$A$5:$A$1005&lt;=$A770)*MOVIMIENTOS!$E$5:$E$1005)-SUMPRODUCT((MOVIMIENTOS!$B$5:$B$1005="REGALO")*(MOVIMIENTOS!$C$5:$C$1005="C")*(MOVIMIENTOS!$D$5:$D$1005="jabas")*(MOVIMIENTOS!$A$5:$A$1005&lt;&gt;"")*(MOVIMIENTOS!$A$5:$A$1005&lt;=$A770)*MOVIMIENTOS!$E$5:$E$1005)-SUMPRODUCT((MOVIMIENTOS!$B$5:$B$1005="VENTA")*(MOVIMIENTOS!$C$5:$C$1005="C")*(MOVIMIENTOS!$D$5:$D$1005="jabas")*(MOVIMIENTOS!$A$5:$A$1005&lt;&gt;"")*(MOVIMIENTOS!$A$5:$A$1005&lt;=$A770)*MOVIMIENTOS!$E$5:$E$1005)+SUMPRODUCT((MOVIMIENTOS!$B$5:$B$1005="AJUSTE")*(MOVIMIENTOS!$C$5:$C$1005="C")*(MOVIMIENTOS!$D$5:$D$1005="jabas")*(MOVIMIENTOS!$A$5:$A$1005&lt;&gt;"")*(MOVIMIENTOS!$A$5:$A$1005&lt;=$A770)*MOVIMIENTOS!$E$5:$E$1005))</f>
        <v/>
      </c>
      <c r="E770" t="str">
        <f>IF($A770="","",SUMPRODUCT((MOVIMIENTOS!$B$5:$B$1005="SALDO INICIAL")*(MOVIMIENTOS!$C$5:$C$1005="M")*(MOVIMIENTOS!$D$5:$D$1005="jabas")*(MOVIMIENTOS!$A$5:$A$1005&lt;&gt;"")*(MOVIMIENTOS!$A$5:$A$1005&lt;=$A770)*MOVIMIENTOS!$E$5:$E$1005)+SUMPRODUCT((MOVIMIENTOS!$B$5:$B$1005="PROCESO")*(MOVIMIENTOS!$C$5:$C$1005="M")*(MOVIMIENTOS!$D$5:$D$1005="jabas")*(MOVIMIENTOS!$A$5:$A$1005&lt;&gt;"")*(MOVIMIENTOS!$A$5:$A$1005&lt;=$A770)*MOVIMIENTOS!$E$5:$E$1005)-SUMPRODUCT((MOVIMIENTOS!$B$5:$B$1005="ENVÍO A SUPESA")*(MOVIMIENTOS!$C$5:$C$1005="M")*(MOVIMIENTOS!$D$5:$D$1005="jabas")*(MOVIMIENTOS!$A$5:$A$1005&lt;&gt;"")*(MOVIMIENTOS!$A$5:$A$1005&lt;=$A770)*MOVIMIENTOS!$E$5:$E$1005)+SUMPRODUCT((MOVIMIENTOS!$B$5:$B$1005="DEVOLUCIÓN")*(MOVIMIENTOS!$C$5:$C$1005="M")*(MOVIMIENTOS!$D$5:$D$1005="jabas")*(MOVIMIENTOS!$A$5:$A$1005&lt;&gt;"")*(MOVIMIENTOS!$A$5:$A$1005&lt;=$A770)*MOVIMIENTOS!$E$5:$E$1005)-SUMPRODUCT((MOVIMIENTOS!$B$5:$B$1005="TRASIEGO")*(MOVIMIENTOS!$C$5:$C$1005="M")*(MOVIMIENTOS!$D$5:$D$1005="jabas")*(MOVIMIENTOS!$A$5:$A$1005&lt;&gt;"")*(MOVIMIENTOS!$A$5:$A$1005&lt;=$A770)*MOVIMIENTOS!$E$5:$E$1005)-SUMPRODUCT((MOVIMIENTOS!$B$5:$B$1005="REGALO")*(MOVIMIENTOS!$C$5:$C$1005="M")*(MOVIMIENTOS!$D$5:$D$1005="jabas")*(MOVIMIENTOS!$A$5:$A$1005&lt;&gt;"")*(MOVIMIENTOS!$A$5:$A$1005&lt;=$A770)*MOVIMIENTOS!$E$5:$E$1005)-SUMPRODUCT((MOVIMIENTOS!$B$5:$B$1005="VENTA")*(MOVIMIENTOS!$C$5:$C$1005="M")*(MOVIMIENTOS!$D$5:$D$1005="jabas")*(MOVIMIENTOS!$A$5:$A$1005&lt;&gt;"")*(MOVIMIENTOS!$A$5:$A$1005&lt;=$A770)*MOVIMIENTOS!$E$5:$E$1005)+SUMPRODUCT((MOVIMIENTOS!$B$5:$B$1005="AJUSTE")*(MOVIMIENTOS!$C$5:$C$1005="M")*(MOVIMIENTOS!$D$5:$D$1005="jabas")*(MOVIMIENTOS!$A$5:$A$1005&lt;&gt;"")*(MOVIMIENTOS!$A$5:$A$1005&lt;=$A770)*MOVIMIENTOS!$E$5:$E$1005))</f>
        <v/>
      </c>
      <c r="F770" s="62" t="str">
        <f>IF($A770="","",SUMPRODUCT((MOVIMIENTOS!$B$5:$B$1005="SALDO INICIAL")*(MOVIMIENTOS!$C$5:$C$1005="Chancho")*(MOVIMIENTOS!$D$5:$D$1005="sacos")*(MOVIMIENTOS!$A$5:$A$1005&lt;&gt;"")*(MOVIMIENTOS!$A$5:$A$1005&lt;=$A770)*MOVIMIENTOS!$E$5:$E$1005)+SUMPRODUCT((MOVIMIENTOS!$B$5:$B$1005="PROCESO")*(MOVIMIENTOS!$C$5:$C$1005="Chancho")*(MOVIMIENTOS!$D$5:$D$1005="sacos")*(MOVIMIENTOS!$A$5:$A$1005&lt;&gt;"")*(MOVIMIENTOS!$A$5:$A$1005&lt;=$A770)*MOVIMIENTOS!$E$5:$E$1005)-SUMPRODUCT((MOVIMIENTOS!$B$5:$B$1005="VENTA CHANCHO")*(MOVIMIENTOS!$C$5:$C$1005="Chancho")*(MOVIMIENTOS!$D$5:$D$1005="sacos")*(MOVIMIENTOS!$A$5:$A$1005&lt;&gt;"")*(MOVIMIENTOS!$A$5:$A$1005&lt;=$A770)*MOVIMIENTOS!$E$5:$E$1005)-SUMPRODUCT((MOVIMIENTOS!$B$5:$B$1005="REGALO")*(MOVIMIENTOS!$C$5:$C$1005="Chancho")*(MOVIMIENTOS!$D$5:$D$1005="sacos")*(MOVIMIENTOS!$A$5:$A$1005&lt;&gt;"")*(MOVIMIENTOS!$A$5:$A$1005&lt;=$A770)*MOVIMIENTOS!$E$5:$E$1005)-SUMPRODUCT((MOVIMIENTOS!$B$5:$B$1005="VENTA")*(MOVIMIENTOS!$C$5:$C$1005="Chancho")*(MOVIMIENTOS!$D$5:$D$1005="sacos")*(MOVIMIENTOS!$A$5:$A$1005&lt;&gt;"")*(MOVIMIENTOS!$A$5:$A$1005&lt;=$A770)*MOVIMIENTOS!$E$5:$E$1005)+SUMPRODUCT((MOVIMIENTOS!$B$5:$B$1005="AJUSTE")*(MOVIMIENTOS!$C$5:$C$1005="Chancho")*(MOVIMIENTOS!$D$5:$D$1005="sacos")*(MOVIMIENTOS!$A$5:$A$1005&lt;&gt;"")*(MOVIMIENTOS!$A$5:$A$1005&lt;=$A770)*MOVIMIENTOS!$E$5:$E$1005))</f>
        <v/>
      </c>
      <c r="G770" s="62" t="str">
        <f t="shared" si="23"/>
        <v/>
      </c>
      <c r="H770" t="str">
        <f>IF($A770="","",SUMPRODUCT((((MOVIMIENTOS!$B$5:$B$1005="SALDO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770)*MOVIMIENTOS!$J$5:$J$1005))</f>
        <v/>
      </c>
      <c r="J770" t="str">
        <f>IF(AND(MOVIMIENTOS!$A775&lt;&gt;"",COUNTIF(MOVIMIENTOS!$A$5:$A774,MOVIMIENTOS!$A775)=0),COUNT(J$4:J769)+1,"")</f>
        <v/>
      </c>
      <c r="K770">
        <f>MOVIMIENTOS!$A775</f>
        <v>0</v>
      </c>
    </row>
    <row r="771" spans="1:11" ht="15" customHeight="1" x14ac:dyDescent="0.2">
      <c r="A771" t="str">
        <f t="shared" si="22"/>
        <v/>
      </c>
      <c r="B771" t="str">
        <f>IF($A771="","",SUMPRODUCT((MOVIMIENTOS!$B$5:$B$1005="SALDO INICIAL")*(MOVIMIENTOS!$C$5:$C$1005="A")*(MOVIMIENTOS!$D$5:$D$1005="jabas")*(MOVIMIENTOS!$A$5:$A$1005&lt;&gt;"")*(MOVIMIENTOS!$A$5:$A$1005&lt;=$A771)*MOVIMIENTOS!$E$5:$E$1005)+SUMPRODUCT((MOVIMIENTOS!$B$5:$B$1005="PROCESO")*(MOVIMIENTOS!$C$5:$C$1005="A")*(MOVIMIENTOS!$D$5:$D$1005="jabas")*(MOVIMIENTOS!$A$5:$A$1005&lt;&gt;"")*(MOVIMIENTOS!$A$5:$A$1005&lt;=$A771)*MOVIMIENTOS!$E$5:$E$1005)-SUMPRODUCT((MOVIMIENTOS!$B$5:$B$1005="ENVÍO A SUPESA")*(MOVIMIENTOS!$C$5:$C$1005="A")*(MOVIMIENTOS!$D$5:$D$1005="jabas")*(MOVIMIENTOS!$A$5:$A$1005&lt;&gt;"")*(MOVIMIENTOS!$A$5:$A$1005&lt;=$A771)*MOVIMIENTOS!$E$5:$E$1005)+SUMPRODUCT((MOVIMIENTOS!$B$5:$B$1005="DEVOLUCIÓN")*(MOVIMIENTOS!$C$5:$C$1005="A")*(MOVIMIENTOS!$D$5:$D$1005="jabas")*(MOVIMIENTOS!$A$5:$A$1005&lt;&gt;"")*(MOVIMIENTOS!$A$5:$A$1005&lt;=$A771)*MOVIMIENTOS!$E$5:$E$1005)-SUMPRODUCT((MOVIMIENTOS!$B$5:$B$1005="TRASIEGO")*(MOVIMIENTOS!$C$5:$C$1005="A")*(MOVIMIENTOS!$D$5:$D$1005="jabas")*(MOVIMIENTOS!$A$5:$A$1005&lt;&gt;"")*(MOVIMIENTOS!$A$5:$A$1005&lt;=$A771)*MOVIMIENTOS!$E$5:$E$1005)-SUMPRODUCT((MOVIMIENTOS!$B$5:$B$1005="REGALO")*(MOVIMIENTOS!$C$5:$C$1005="A")*(MOVIMIENTOS!$D$5:$D$1005="jabas")*(MOVIMIENTOS!$A$5:$A$1005&lt;&gt;"")*(MOVIMIENTOS!$A$5:$A$1005&lt;=$A771)*MOVIMIENTOS!$E$5:$E$1005)-SUMPRODUCT((MOVIMIENTOS!$B$5:$B$1005="VENTA")*(MOVIMIENTOS!$C$5:$C$1005="A")*(MOVIMIENTOS!$D$5:$D$1005="jabas")*(MOVIMIENTOS!$A$5:$A$1005&lt;&gt;"")*(MOVIMIENTOS!$A$5:$A$1005&lt;=$A771)*MOVIMIENTOS!$E$5:$E$1005)+SUMPRODUCT((MOVIMIENTOS!$B$5:$B$1005="AJUSTE")*(MOVIMIENTOS!$C$5:$C$1005="A")*(MOVIMIENTOS!$D$5:$D$1005="jabas")*(MOVIMIENTOS!$A$5:$A$1005&lt;&gt;"")*(MOVIMIENTOS!$A$5:$A$1005&lt;=$A771)*MOVIMIENTOS!$E$5:$E$1005))</f>
        <v/>
      </c>
      <c r="C771" t="str">
        <f>IF($A771="","",SUMPRODUCT((MOVIMIENTOS!$B$5:$B$1005="SALDO INICIAL")*(MOVIMIENTOS!$C$5:$C$1005="P")*(MOVIMIENTOS!$D$5:$D$1005="jabas")*(MOVIMIENTOS!$A$5:$A$1005&lt;&gt;"")*(MOVIMIENTOS!$A$5:$A$1005&lt;=$A771)*MOVIMIENTOS!$E$5:$E$1005)+SUMPRODUCT((MOVIMIENTOS!$B$5:$B$1005="PROCESO")*(MOVIMIENTOS!$C$5:$C$1005="P")*(MOVIMIENTOS!$D$5:$D$1005="jabas")*(MOVIMIENTOS!$A$5:$A$1005&lt;&gt;"")*(MOVIMIENTOS!$A$5:$A$1005&lt;=$A771)*MOVIMIENTOS!$E$5:$E$1005)-SUMPRODUCT((MOVIMIENTOS!$B$5:$B$1005="ENVÍO A SUPESA")*(MOVIMIENTOS!$C$5:$C$1005="P")*(MOVIMIENTOS!$D$5:$D$1005="jabas")*(MOVIMIENTOS!$A$5:$A$1005&lt;&gt;"")*(MOVIMIENTOS!$A$5:$A$1005&lt;=$A771)*MOVIMIENTOS!$E$5:$E$1005)+SUMPRODUCT((MOVIMIENTOS!$B$5:$B$1005="DEVOLUCIÓN")*(MOVIMIENTOS!$C$5:$C$1005="P")*(MOVIMIENTOS!$D$5:$D$1005="jabas")*(MOVIMIENTOS!$A$5:$A$1005&lt;&gt;"")*(MOVIMIENTOS!$A$5:$A$1005&lt;=$A771)*MOVIMIENTOS!$E$5:$E$1005)-SUMPRODUCT((MOVIMIENTOS!$B$5:$B$1005="TRASIEGO")*(MOVIMIENTOS!$C$5:$C$1005="P")*(MOVIMIENTOS!$D$5:$D$1005="jabas")*(MOVIMIENTOS!$A$5:$A$1005&lt;&gt;"")*(MOVIMIENTOS!$A$5:$A$1005&lt;=$A771)*MOVIMIENTOS!$E$5:$E$1005)-SUMPRODUCT((MOVIMIENTOS!$B$5:$B$1005="REGALO")*(MOVIMIENTOS!$C$5:$C$1005="P")*(MOVIMIENTOS!$D$5:$D$1005="jabas")*(MOVIMIENTOS!$A$5:$A$1005&lt;&gt;"")*(MOVIMIENTOS!$A$5:$A$1005&lt;=$A771)*MOVIMIENTOS!$E$5:$E$1005)-SUMPRODUCT((MOVIMIENTOS!$B$5:$B$1005="VENTA")*(MOVIMIENTOS!$C$5:$C$1005="P")*(MOVIMIENTOS!$D$5:$D$1005="jabas")*(MOVIMIENTOS!$A$5:$A$1005&lt;&gt;"")*(MOVIMIENTOS!$A$5:$A$1005&lt;=$A771)*MOVIMIENTOS!$E$5:$E$1005)+SUMPRODUCT((MOVIMIENTOS!$B$5:$B$1005="AJUSTE")*(MOVIMIENTOS!$C$5:$C$1005="P")*(MOVIMIENTOS!$D$5:$D$1005="jabas")*(MOVIMIENTOS!$A$5:$A$1005&lt;&gt;"")*(MOVIMIENTOS!$A$5:$A$1005&lt;=$A771)*MOVIMIENTOS!$E$5:$E$1005))</f>
        <v/>
      </c>
      <c r="D771" t="str">
        <f>IF($A771="","",SUMPRODUCT((MOVIMIENTOS!$B$5:$B$1005="SALDO INICIAL")*(MOVIMIENTOS!$C$5:$C$1005="C")*(MOVIMIENTOS!$D$5:$D$1005="jabas")*(MOVIMIENTOS!$A$5:$A$1005&lt;&gt;"")*(MOVIMIENTOS!$A$5:$A$1005&lt;=$A771)*MOVIMIENTOS!$E$5:$E$1005)+SUMPRODUCT((MOVIMIENTOS!$B$5:$B$1005="PROCESO")*(MOVIMIENTOS!$C$5:$C$1005="C")*(MOVIMIENTOS!$D$5:$D$1005="jabas")*(MOVIMIENTOS!$A$5:$A$1005&lt;&gt;"")*(MOVIMIENTOS!$A$5:$A$1005&lt;=$A771)*MOVIMIENTOS!$E$5:$E$1005)-SUMPRODUCT((MOVIMIENTOS!$B$5:$B$1005="ENVÍO A SUPESA")*(MOVIMIENTOS!$C$5:$C$1005="C")*(MOVIMIENTOS!$D$5:$D$1005="jabas")*(MOVIMIENTOS!$A$5:$A$1005&lt;&gt;"")*(MOVIMIENTOS!$A$5:$A$1005&lt;=$A771)*MOVIMIENTOS!$E$5:$E$1005)+SUMPRODUCT((MOVIMIENTOS!$B$5:$B$1005="DEVOLUCIÓN")*(MOVIMIENTOS!$C$5:$C$1005="C")*(MOVIMIENTOS!$D$5:$D$1005="jabas")*(MOVIMIENTOS!$A$5:$A$1005&lt;&gt;"")*(MOVIMIENTOS!$A$5:$A$1005&lt;=$A771)*MOVIMIENTOS!$E$5:$E$1005)-SUMPRODUCT((MOVIMIENTOS!$B$5:$B$1005="TRASIEGO")*(MOVIMIENTOS!$C$5:$C$1005="C")*(MOVIMIENTOS!$D$5:$D$1005="jabas")*(MOVIMIENTOS!$A$5:$A$1005&lt;&gt;"")*(MOVIMIENTOS!$A$5:$A$1005&lt;=$A771)*MOVIMIENTOS!$E$5:$E$1005)-SUMPRODUCT((MOVIMIENTOS!$B$5:$B$1005="REGALO")*(MOVIMIENTOS!$C$5:$C$1005="C")*(MOVIMIENTOS!$D$5:$D$1005="jabas")*(MOVIMIENTOS!$A$5:$A$1005&lt;&gt;"")*(MOVIMIENTOS!$A$5:$A$1005&lt;=$A771)*MOVIMIENTOS!$E$5:$E$1005)-SUMPRODUCT((MOVIMIENTOS!$B$5:$B$1005="VENTA")*(MOVIMIENTOS!$C$5:$C$1005="C")*(MOVIMIENTOS!$D$5:$D$1005="jabas")*(MOVIMIENTOS!$A$5:$A$1005&lt;&gt;"")*(MOVIMIENTOS!$A$5:$A$1005&lt;=$A771)*MOVIMIENTOS!$E$5:$E$1005)+SUMPRODUCT((MOVIMIENTOS!$B$5:$B$1005="AJUSTE")*(MOVIMIENTOS!$C$5:$C$1005="C")*(MOVIMIENTOS!$D$5:$D$1005="jabas")*(MOVIMIENTOS!$A$5:$A$1005&lt;&gt;"")*(MOVIMIENTOS!$A$5:$A$1005&lt;=$A771)*MOVIMIENTOS!$E$5:$E$1005))</f>
        <v/>
      </c>
      <c r="E771" t="str">
        <f>IF($A771="","",SUMPRODUCT((MOVIMIENTOS!$B$5:$B$1005="SALDO INICIAL")*(MOVIMIENTOS!$C$5:$C$1005="M")*(MOVIMIENTOS!$D$5:$D$1005="jabas")*(MOVIMIENTOS!$A$5:$A$1005&lt;&gt;"")*(MOVIMIENTOS!$A$5:$A$1005&lt;=$A771)*MOVIMIENTOS!$E$5:$E$1005)+SUMPRODUCT((MOVIMIENTOS!$B$5:$B$1005="PROCESO")*(MOVIMIENTOS!$C$5:$C$1005="M")*(MOVIMIENTOS!$D$5:$D$1005="jabas")*(MOVIMIENTOS!$A$5:$A$1005&lt;&gt;"")*(MOVIMIENTOS!$A$5:$A$1005&lt;=$A771)*MOVIMIENTOS!$E$5:$E$1005)-SUMPRODUCT((MOVIMIENTOS!$B$5:$B$1005="ENVÍO A SUPESA")*(MOVIMIENTOS!$C$5:$C$1005="M")*(MOVIMIENTOS!$D$5:$D$1005="jabas")*(MOVIMIENTOS!$A$5:$A$1005&lt;&gt;"")*(MOVIMIENTOS!$A$5:$A$1005&lt;=$A771)*MOVIMIENTOS!$E$5:$E$1005)+SUMPRODUCT((MOVIMIENTOS!$B$5:$B$1005="DEVOLUCIÓN")*(MOVIMIENTOS!$C$5:$C$1005="M")*(MOVIMIENTOS!$D$5:$D$1005="jabas")*(MOVIMIENTOS!$A$5:$A$1005&lt;&gt;"")*(MOVIMIENTOS!$A$5:$A$1005&lt;=$A771)*MOVIMIENTOS!$E$5:$E$1005)-SUMPRODUCT((MOVIMIENTOS!$B$5:$B$1005="TRASIEGO")*(MOVIMIENTOS!$C$5:$C$1005="M")*(MOVIMIENTOS!$D$5:$D$1005="jabas")*(MOVIMIENTOS!$A$5:$A$1005&lt;&gt;"")*(MOVIMIENTOS!$A$5:$A$1005&lt;=$A771)*MOVIMIENTOS!$E$5:$E$1005)-SUMPRODUCT((MOVIMIENTOS!$B$5:$B$1005="REGALO")*(MOVIMIENTOS!$C$5:$C$1005="M")*(MOVIMIENTOS!$D$5:$D$1005="jabas")*(MOVIMIENTOS!$A$5:$A$1005&lt;&gt;"")*(MOVIMIENTOS!$A$5:$A$1005&lt;=$A771)*MOVIMIENTOS!$E$5:$E$1005)-SUMPRODUCT((MOVIMIENTOS!$B$5:$B$1005="VENTA")*(MOVIMIENTOS!$C$5:$C$1005="M")*(MOVIMIENTOS!$D$5:$D$1005="jabas")*(MOVIMIENTOS!$A$5:$A$1005&lt;&gt;"")*(MOVIMIENTOS!$A$5:$A$1005&lt;=$A771)*MOVIMIENTOS!$E$5:$E$1005)+SUMPRODUCT((MOVIMIENTOS!$B$5:$B$1005="AJUSTE")*(MOVIMIENTOS!$C$5:$C$1005="M")*(MOVIMIENTOS!$D$5:$D$1005="jabas")*(MOVIMIENTOS!$A$5:$A$1005&lt;&gt;"")*(MOVIMIENTOS!$A$5:$A$1005&lt;=$A771)*MOVIMIENTOS!$E$5:$E$1005))</f>
        <v/>
      </c>
      <c r="F771" s="62" t="str">
        <f>IF($A771="","",SUMPRODUCT((MOVIMIENTOS!$B$5:$B$1005="SALDO INICIAL")*(MOVIMIENTOS!$C$5:$C$1005="Chancho")*(MOVIMIENTOS!$D$5:$D$1005="sacos")*(MOVIMIENTOS!$A$5:$A$1005&lt;&gt;"")*(MOVIMIENTOS!$A$5:$A$1005&lt;=$A771)*MOVIMIENTOS!$E$5:$E$1005)+SUMPRODUCT((MOVIMIENTOS!$B$5:$B$1005="PROCESO")*(MOVIMIENTOS!$C$5:$C$1005="Chancho")*(MOVIMIENTOS!$D$5:$D$1005="sacos")*(MOVIMIENTOS!$A$5:$A$1005&lt;&gt;"")*(MOVIMIENTOS!$A$5:$A$1005&lt;=$A771)*MOVIMIENTOS!$E$5:$E$1005)-SUMPRODUCT((MOVIMIENTOS!$B$5:$B$1005="VENTA CHANCHO")*(MOVIMIENTOS!$C$5:$C$1005="Chancho")*(MOVIMIENTOS!$D$5:$D$1005="sacos")*(MOVIMIENTOS!$A$5:$A$1005&lt;&gt;"")*(MOVIMIENTOS!$A$5:$A$1005&lt;=$A771)*MOVIMIENTOS!$E$5:$E$1005)-SUMPRODUCT((MOVIMIENTOS!$B$5:$B$1005="REGALO")*(MOVIMIENTOS!$C$5:$C$1005="Chancho")*(MOVIMIENTOS!$D$5:$D$1005="sacos")*(MOVIMIENTOS!$A$5:$A$1005&lt;&gt;"")*(MOVIMIENTOS!$A$5:$A$1005&lt;=$A771)*MOVIMIENTOS!$E$5:$E$1005)-SUMPRODUCT((MOVIMIENTOS!$B$5:$B$1005="VENTA")*(MOVIMIENTOS!$C$5:$C$1005="Chancho")*(MOVIMIENTOS!$D$5:$D$1005="sacos")*(MOVIMIENTOS!$A$5:$A$1005&lt;&gt;"")*(MOVIMIENTOS!$A$5:$A$1005&lt;=$A771)*MOVIMIENTOS!$E$5:$E$1005)+SUMPRODUCT((MOVIMIENTOS!$B$5:$B$1005="AJUSTE")*(MOVIMIENTOS!$C$5:$C$1005="Chancho")*(MOVIMIENTOS!$D$5:$D$1005="sacos")*(MOVIMIENTOS!$A$5:$A$1005&lt;&gt;"")*(MOVIMIENTOS!$A$5:$A$1005&lt;=$A771)*MOVIMIENTOS!$E$5:$E$1005))</f>
        <v/>
      </c>
      <c r="G771" s="62" t="str">
        <f t="shared" si="23"/>
        <v/>
      </c>
      <c r="H771" t="str">
        <f>IF($A771="","",SUMPRODUCT((((MOVIMIENTOS!$B$5:$B$1005="SALDO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771)*MOVIMIENTOS!$J$5:$J$1005))</f>
        <v/>
      </c>
      <c r="J771" t="str">
        <f>IF(AND(MOVIMIENTOS!$A776&lt;&gt;"",COUNTIF(MOVIMIENTOS!$A$5:$A775,MOVIMIENTOS!$A776)=0),COUNT(J$4:J770)+1,"")</f>
        <v/>
      </c>
      <c r="K771">
        <f>MOVIMIENTOS!$A776</f>
        <v>0</v>
      </c>
    </row>
    <row r="772" spans="1:11" ht="15" customHeight="1" x14ac:dyDescent="0.2">
      <c r="A772" t="str">
        <f t="shared" si="22"/>
        <v/>
      </c>
      <c r="B772" t="str">
        <f>IF($A772="","",SUMPRODUCT((MOVIMIENTOS!$B$5:$B$1005="SALDO INICIAL")*(MOVIMIENTOS!$C$5:$C$1005="A")*(MOVIMIENTOS!$D$5:$D$1005="jabas")*(MOVIMIENTOS!$A$5:$A$1005&lt;&gt;"")*(MOVIMIENTOS!$A$5:$A$1005&lt;=$A772)*MOVIMIENTOS!$E$5:$E$1005)+SUMPRODUCT((MOVIMIENTOS!$B$5:$B$1005="PROCESO")*(MOVIMIENTOS!$C$5:$C$1005="A")*(MOVIMIENTOS!$D$5:$D$1005="jabas")*(MOVIMIENTOS!$A$5:$A$1005&lt;&gt;"")*(MOVIMIENTOS!$A$5:$A$1005&lt;=$A772)*MOVIMIENTOS!$E$5:$E$1005)-SUMPRODUCT((MOVIMIENTOS!$B$5:$B$1005="ENVÍO A SUPESA")*(MOVIMIENTOS!$C$5:$C$1005="A")*(MOVIMIENTOS!$D$5:$D$1005="jabas")*(MOVIMIENTOS!$A$5:$A$1005&lt;&gt;"")*(MOVIMIENTOS!$A$5:$A$1005&lt;=$A772)*MOVIMIENTOS!$E$5:$E$1005)+SUMPRODUCT((MOVIMIENTOS!$B$5:$B$1005="DEVOLUCIÓN")*(MOVIMIENTOS!$C$5:$C$1005="A")*(MOVIMIENTOS!$D$5:$D$1005="jabas")*(MOVIMIENTOS!$A$5:$A$1005&lt;&gt;"")*(MOVIMIENTOS!$A$5:$A$1005&lt;=$A772)*MOVIMIENTOS!$E$5:$E$1005)-SUMPRODUCT((MOVIMIENTOS!$B$5:$B$1005="TRASIEGO")*(MOVIMIENTOS!$C$5:$C$1005="A")*(MOVIMIENTOS!$D$5:$D$1005="jabas")*(MOVIMIENTOS!$A$5:$A$1005&lt;&gt;"")*(MOVIMIENTOS!$A$5:$A$1005&lt;=$A772)*MOVIMIENTOS!$E$5:$E$1005)-SUMPRODUCT((MOVIMIENTOS!$B$5:$B$1005="REGALO")*(MOVIMIENTOS!$C$5:$C$1005="A")*(MOVIMIENTOS!$D$5:$D$1005="jabas")*(MOVIMIENTOS!$A$5:$A$1005&lt;&gt;"")*(MOVIMIENTOS!$A$5:$A$1005&lt;=$A772)*MOVIMIENTOS!$E$5:$E$1005)-SUMPRODUCT((MOVIMIENTOS!$B$5:$B$1005="VENTA")*(MOVIMIENTOS!$C$5:$C$1005="A")*(MOVIMIENTOS!$D$5:$D$1005="jabas")*(MOVIMIENTOS!$A$5:$A$1005&lt;&gt;"")*(MOVIMIENTOS!$A$5:$A$1005&lt;=$A772)*MOVIMIENTOS!$E$5:$E$1005)+SUMPRODUCT((MOVIMIENTOS!$B$5:$B$1005="AJUSTE")*(MOVIMIENTOS!$C$5:$C$1005="A")*(MOVIMIENTOS!$D$5:$D$1005="jabas")*(MOVIMIENTOS!$A$5:$A$1005&lt;&gt;"")*(MOVIMIENTOS!$A$5:$A$1005&lt;=$A772)*MOVIMIENTOS!$E$5:$E$1005))</f>
        <v/>
      </c>
      <c r="C772" t="str">
        <f>IF($A772="","",SUMPRODUCT((MOVIMIENTOS!$B$5:$B$1005="SALDO INICIAL")*(MOVIMIENTOS!$C$5:$C$1005="P")*(MOVIMIENTOS!$D$5:$D$1005="jabas")*(MOVIMIENTOS!$A$5:$A$1005&lt;&gt;"")*(MOVIMIENTOS!$A$5:$A$1005&lt;=$A772)*MOVIMIENTOS!$E$5:$E$1005)+SUMPRODUCT((MOVIMIENTOS!$B$5:$B$1005="PROCESO")*(MOVIMIENTOS!$C$5:$C$1005="P")*(MOVIMIENTOS!$D$5:$D$1005="jabas")*(MOVIMIENTOS!$A$5:$A$1005&lt;&gt;"")*(MOVIMIENTOS!$A$5:$A$1005&lt;=$A772)*MOVIMIENTOS!$E$5:$E$1005)-SUMPRODUCT((MOVIMIENTOS!$B$5:$B$1005="ENVÍO A SUPESA")*(MOVIMIENTOS!$C$5:$C$1005="P")*(MOVIMIENTOS!$D$5:$D$1005="jabas")*(MOVIMIENTOS!$A$5:$A$1005&lt;&gt;"")*(MOVIMIENTOS!$A$5:$A$1005&lt;=$A772)*MOVIMIENTOS!$E$5:$E$1005)+SUMPRODUCT((MOVIMIENTOS!$B$5:$B$1005="DEVOLUCIÓN")*(MOVIMIENTOS!$C$5:$C$1005="P")*(MOVIMIENTOS!$D$5:$D$1005="jabas")*(MOVIMIENTOS!$A$5:$A$1005&lt;&gt;"")*(MOVIMIENTOS!$A$5:$A$1005&lt;=$A772)*MOVIMIENTOS!$E$5:$E$1005)-SUMPRODUCT((MOVIMIENTOS!$B$5:$B$1005="TRASIEGO")*(MOVIMIENTOS!$C$5:$C$1005="P")*(MOVIMIENTOS!$D$5:$D$1005="jabas")*(MOVIMIENTOS!$A$5:$A$1005&lt;&gt;"")*(MOVIMIENTOS!$A$5:$A$1005&lt;=$A772)*MOVIMIENTOS!$E$5:$E$1005)-SUMPRODUCT((MOVIMIENTOS!$B$5:$B$1005="REGALO")*(MOVIMIENTOS!$C$5:$C$1005="P")*(MOVIMIENTOS!$D$5:$D$1005="jabas")*(MOVIMIENTOS!$A$5:$A$1005&lt;&gt;"")*(MOVIMIENTOS!$A$5:$A$1005&lt;=$A772)*MOVIMIENTOS!$E$5:$E$1005)-SUMPRODUCT((MOVIMIENTOS!$B$5:$B$1005="VENTA")*(MOVIMIENTOS!$C$5:$C$1005="P")*(MOVIMIENTOS!$D$5:$D$1005="jabas")*(MOVIMIENTOS!$A$5:$A$1005&lt;&gt;"")*(MOVIMIENTOS!$A$5:$A$1005&lt;=$A772)*MOVIMIENTOS!$E$5:$E$1005)+SUMPRODUCT((MOVIMIENTOS!$B$5:$B$1005="AJUSTE")*(MOVIMIENTOS!$C$5:$C$1005="P")*(MOVIMIENTOS!$D$5:$D$1005="jabas")*(MOVIMIENTOS!$A$5:$A$1005&lt;&gt;"")*(MOVIMIENTOS!$A$5:$A$1005&lt;=$A772)*MOVIMIENTOS!$E$5:$E$1005))</f>
        <v/>
      </c>
      <c r="D772" t="str">
        <f>IF($A772="","",SUMPRODUCT((MOVIMIENTOS!$B$5:$B$1005="SALDO INICIAL")*(MOVIMIENTOS!$C$5:$C$1005="C")*(MOVIMIENTOS!$D$5:$D$1005="jabas")*(MOVIMIENTOS!$A$5:$A$1005&lt;&gt;"")*(MOVIMIENTOS!$A$5:$A$1005&lt;=$A772)*MOVIMIENTOS!$E$5:$E$1005)+SUMPRODUCT((MOVIMIENTOS!$B$5:$B$1005="PROCESO")*(MOVIMIENTOS!$C$5:$C$1005="C")*(MOVIMIENTOS!$D$5:$D$1005="jabas")*(MOVIMIENTOS!$A$5:$A$1005&lt;&gt;"")*(MOVIMIENTOS!$A$5:$A$1005&lt;=$A772)*MOVIMIENTOS!$E$5:$E$1005)-SUMPRODUCT((MOVIMIENTOS!$B$5:$B$1005="ENVÍO A SUPESA")*(MOVIMIENTOS!$C$5:$C$1005="C")*(MOVIMIENTOS!$D$5:$D$1005="jabas")*(MOVIMIENTOS!$A$5:$A$1005&lt;&gt;"")*(MOVIMIENTOS!$A$5:$A$1005&lt;=$A772)*MOVIMIENTOS!$E$5:$E$1005)+SUMPRODUCT((MOVIMIENTOS!$B$5:$B$1005="DEVOLUCIÓN")*(MOVIMIENTOS!$C$5:$C$1005="C")*(MOVIMIENTOS!$D$5:$D$1005="jabas")*(MOVIMIENTOS!$A$5:$A$1005&lt;&gt;"")*(MOVIMIENTOS!$A$5:$A$1005&lt;=$A772)*MOVIMIENTOS!$E$5:$E$1005)-SUMPRODUCT((MOVIMIENTOS!$B$5:$B$1005="TRASIEGO")*(MOVIMIENTOS!$C$5:$C$1005="C")*(MOVIMIENTOS!$D$5:$D$1005="jabas")*(MOVIMIENTOS!$A$5:$A$1005&lt;&gt;"")*(MOVIMIENTOS!$A$5:$A$1005&lt;=$A772)*MOVIMIENTOS!$E$5:$E$1005)-SUMPRODUCT((MOVIMIENTOS!$B$5:$B$1005="REGALO")*(MOVIMIENTOS!$C$5:$C$1005="C")*(MOVIMIENTOS!$D$5:$D$1005="jabas")*(MOVIMIENTOS!$A$5:$A$1005&lt;&gt;"")*(MOVIMIENTOS!$A$5:$A$1005&lt;=$A772)*MOVIMIENTOS!$E$5:$E$1005)-SUMPRODUCT((MOVIMIENTOS!$B$5:$B$1005="VENTA")*(MOVIMIENTOS!$C$5:$C$1005="C")*(MOVIMIENTOS!$D$5:$D$1005="jabas")*(MOVIMIENTOS!$A$5:$A$1005&lt;&gt;"")*(MOVIMIENTOS!$A$5:$A$1005&lt;=$A772)*MOVIMIENTOS!$E$5:$E$1005)+SUMPRODUCT((MOVIMIENTOS!$B$5:$B$1005="AJUSTE")*(MOVIMIENTOS!$C$5:$C$1005="C")*(MOVIMIENTOS!$D$5:$D$1005="jabas")*(MOVIMIENTOS!$A$5:$A$1005&lt;&gt;"")*(MOVIMIENTOS!$A$5:$A$1005&lt;=$A772)*MOVIMIENTOS!$E$5:$E$1005))</f>
        <v/>
      </c>
      <c r="E772" t="str">
        <f>IF($A772="","",SUMPRODUCT((MOVIMIENTOS!$B$5:$B$1005="SALDO INICIAL")*(MOVIMIENTOS!$C$5:$C$1005="M")*(MOVIMIENTOS!$D$5:$D$1005="jabas")*(MOVIMIENTOS!$A$5:$A$1005&lt;&gt;"")*(MOVIMIENTOS!$A$5:$A$1005&lt;=$A772)*MOVIMIENTOS!$E$5:$E$1005)+SUMPRODUCT((MOVIMIENTOS!$B$5:$B$1005="PROCESO")*(MOVIMIENTOS!$C$5:$C$1005="M")*(MOVIMIENTOS!$D$5:$D$1005="jabas")*(MOVIMIENTOS!$A$5:$A$1005&lt;&gt;"")*(MOVIMIENTOS!$A$5:$A$1005&lt;=$A772)*MOVIMIENTOS!$E$5:$E$1005)-SUMPRODUCT((MOVIMIENTOS!$B$5:$B$1005="ENVÍO A SUPESA")*(MOVIMIENTOS!$C$5:$C$1005="M")*(MOVIMIENTOS!$D$5:$D$1005="jabas")*(MOVIMIENTOS!$A$5:$A$1005&lt;&gt;"")*(MOVIMIENTOS!$A$5:$A$1005&lt;=$A772)*MOVIMIENTOS!$E$5:$E$1005)+SUMPRODUCT((MOVIMIENTOS!$B$5:$B$1005="DEVOLUCIÓN")*(MOVIMIENTOS!$C$5:$C$1005="M")*(MOVIMIENTOS!$D$5:$D$1005="jabas")*(MOVIMIENTOS!$A$5:$A$1005&lt;&gt;"")*(MOVIMIENTOS!$A$5:$A$1005&lt;=$A772)*MOVIMIENTOS!$E$5:$E$1005)-SUMPRODUCT((MOVIMIENTOS!$B$5:$B$1005="TRASIEGO")*(MOVIMIENTOS!$C$5:$C$1005="M")*(MOVIMIENTOS!$D$5:$D$1005="jabas")*(MOVIMIENTOS!$A$5:$A$1005&lt;&gt;"")*(MOVIMIENTOS!$A$5:$A$1005&lt;=$A772)*MOVIMIENTOS!$E$5:$E$1005)-SUMPRODUCT((MOVIMIENTOS!$B$5:$B$1005="REGALO")*(MOVIMIENTOS!$C$5:$C$1005="M")*(MOVIMIENTOS!$D$5:$D$1005="jabas")*(MOVIMIENTOS!$A$5:$A$1005&lt;&gt;"")*(MOVIMIENTOS!$A$5:$A$1005&lt;=$A772)*MOVIMIENTOS!$E$5:$E$1005)-SUMPRODUCT((MOVIMIENTOS!$B$5:$B$1005="VENTA")*(MOVIMIENTOS!$C$5:$C$1005="M")*(MOVIMIENTOS!$D$5:$D$1005="jabas")*(MOVIMIENTOS!$A$5:$A$1005&lt;&gt;"")*(MOVIMIENTOS!$A$5:$A$1005&lt;=$A772)*MOVIMIENTOS!$E$5:$E$1005)+SUMPRODUCT((MOVIMIENTOS!$B$5:$B$1005="AJUSTE")*(MOVIMIENTOS!$C$5:$C$1005="M")*(MOVIMIENTOS!$D$5:$D$1005="jabas")*(MOVIMIENTOS!$A$5:$A$1005&lt;&gt;"")*(MOVIMIENTOS!$A$5:$A$1005&lt;=$A772)*MOVIMIENTOS!$E$5:$E$1005))</f>
        <v/>
      </c>
      <c r="F772" s="62" t="str">
        <f>IF($A772="","",SUMPRODUCT((MOVIMIENTOS!$B$5:$B$1005="SALDO INICIAL")*(MOVIMIENTOS!$C$5:$C$1005="Chancho")*(MOVIMIENTOS!$D$5:$D$1005="sacos")*(MOVIMIENTOS!$A$5:$A$1005&lt;&gt;"")*(MOVIMIENTOS!$A$5:$A$1005&lt;=$A772)*MOVIMIENTOS!$E$5:$E$1005)+SUMPRODUCT((MOVIMIENTOS!$B$5:$B$1005="PROCESO")*(MOVIMIENTOS!$C$5:$C$1005="Chancho")*(MOVIMIENTOS!$D$5:$D$1005="sacos")*(MOVIMIENTOS!$A$5:$A$1005&lt;&gt;"")*(MOVIMIENTOS!$A$5:$A$1005&lt;=$A772)*MOVIMIENTOS!$E$5:$E$1005)-SUMPRODUCT((MOVIMIENTOS!$B$5:$B$1005="VENTA CHANCHO")*(MOVIMIENTOS!$C$5:$C$1005="Chancho")*(MOVIMIENTOS!$D$5:$D$1005="sacos")*(MOVIMIENTOS!$A$5:$A$1005&lt;&gt;"")*(MOVIMIENTOS!$A$5:$A$1005&lt;=$A772)*MOVIMIENTOS!$E$5:$E$1005)-SUMPRODUCT((MOVIMIENTOS!$B$5:$B$1005="REGALO")*(MOVIMIENTOS!$C$5:$C$1005="Chancho")*(MOVIMIENTOS!$D$5:$D$1005="sacos")*(MOVIMIENTOS!$A$5:$A$1005&lt;&gt;"")*(MOVIMIENTOS!$A$5:$A$1005&lt;=$A772)*MOVIMIENTOS!$E$5:$E$1005)-SUMPRODUCT((MOVIMIENTOS!$B$5:$B$1005="VENTA")*(MOVIMIENTOS!$C$5:$C$1005="Chancho")*(MOVIMIENTOS!$D$5:$D$1005="sacos")*(MOVIMIENTOS!$A$5:$A$1005&lt;&gt;"")*(MOVIMIENTOS!$A$5:$A$1005&lt;=$A772)*MOVIMIENTOS!$E$5:$E$1005)+SUMPRODUCT((MOVIMIENTOS!$B$5:$B$1005="AJUSTE")*(MOVIMIENTOS!$C$5:$C$1005="Chancho")*(MOVIMIENTOS!$D$5:$D$1005="sacos")*(MOVIMIENTOS!$A$5:$A$1005&lt;&gt;"")*(MOVIMIENTOS!$A$5:$A$1005&lt;=$A772)*MOVIMIENTOS!$E$5:$E$1005))</f>
        <v/>
      </c>
      <c r="G772" s="62" t="str">
        <f t="shared" si="23"/>
        <v/>
      </c>
      <c r="H772" t="str">
        <f>IF($A772="","",SUMPRODUCT((((MOVIMIENTOS!$B$5:$B$1005="SALDO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772)*MOVIMIENTOS!$J$5:$J$1005))</f>
        <v/>
      </c>
      <c r="J772" t="str">
        <f>IF(AND(MOVIMIENTOS!$A777&lt;&gt;"",COUNTIF(MOVIMIENTOS!$A$5:$A776,MOVIMIENTOS!$A777)=0),COUNT(J$4:J771)+1,"")</f>
        <v/>
      </c>
      <c r="K772">
        <f>MOVIMIENTOS!$A777</f>
        <v>0</v>
      </c>
    </row>
    <row r="773" spans="1:11" ht="15" customHeight="1" x14ac:dyDescent="0.2">
      <c r="A773" t="str">
        <f t="shared" ref="A773:A836" si="24">IFERROR(INDEX(K$5:K$1000,MATCH(ROW()-4,J$5:J$1000,0)),"")</f>
        <v/>
      </c>
      <c r="B773" t="str">
        <f>IF($A773="","",SUMPRODUCT((MOVIMIENTOS!$B$5:$B$1005="SALDO INICIAL")*(MOVIMIENTOS!$C$5:$C$1005="A")*(MOVIMIENTOS!$D$5:$D$1005="jabas")*(MOVIMIENTOS!$A$5:$A$1005&lt;&gt;"")*(MOVIMIENTOS!$A$5:$A$1005&lt;=$A773)*MOVIMIENTOS!$E$5:$E$1005)+SUMPRODUCT((MOVIMIENTOS!$B$5:$B$1005="PROCESO")*(MOVIMIENTOS!$C$5:$C$1005="A")*(MOVIMIENTOS!$D$5:$D$1005="jabas")*(MOVIMIENTOS!$A$5:$A$1005&lt;&gt;"")*(MOVIMIENTOS!$A$5:$A$1005&lt;=$A773)*MOVIMIENTOS!$E$5:$E$1005)-SUMPRODUCT((MOVIMIENTOS!$B$5:$B$1005="ENVÍO A SUPESA")*(MOVIMIENTOS!$C$5:$C$1005="A")*(MOVIMIENTOS!$D$5:$D$1005="jabas")*(MOVIMIENTOS!$A$5:$A$1005&lt;&gt;"")*(MOVIMIENTOS!$A$5:$A$1005&lt;=$A773)*MOVIMIENTOS!$E$5:$E$1005)+SUMPRODUCT((MOVIMIENTOS!$B$5:$B$1005="DEVOLUCIÓN")*(MOVIMIENTOS!$C$5:$C$1005="A")*(MOVIMIENTOS!$D$5:$D$1005="jabas")*(MOVIMIENTOS!$A$5:$A$1005&lt;&gt;"")*(MOVIMIENTOS!$A$5:$A$1005&lt;=$A773)*MOVIMIENTOS!$E$5:$E$1005)-SUMPRODUCT((MOVIMIENTOS!$B$5:$B$1005="TRASIEGO")*(MOVIMIENTOS!$C$5:$C$1005="A")*(MOVIMIENTOS!$D$5:$D$1005="jabas")*(MOVIMIENTOS!$A$5:$A$1005&lt;&gt;"")*(MOVIMIENTOS!$A$5:$A$1005&lt;=$A773)*MOVIMIENTOS!$E$5:$E$1005)-SUMPRODUCT((MOVIMIENTOS!$B$5:$B$1005="REGALO")*(MOVIMIENTOS!$C$5:$C$1005="A")*(MOVIMIENTOS!$D$5:$D$1005="jabas")*(MOVIMIENTOS!$A$5:$A$1005&lt;&gt;"")*(MOVIMIENTOS!$A$5:$A$1005&lt;=$A773)*MOVIMIENTOS!$E$5:$E$1005)-SUMPRODUCT((MOVIMIENTOS!$B$5:$B$1005="VENTA")*(MOVIMIENTOS!$C$5:$C$1005="A")*(MOVIMIENTOS!$D$5:$D$1005="jabas")*(MOVIMIENTOS!$A$5:$A$1005&lt;&gt;"")*(MOVIMIENTOS!$A$5:$A$1005&lt;=$A773)*MOVIMIENTOS!$E$5:$E$1005)+SUMPRODUCT((MOVIMIENTOS!$B$5:$B$1005="AJUSTE")*(MOVIMIENTOS!$C$5:$C$1005="A")*(MOVIMIENTOS!$D$5:$D$1005="jabas")*(MOVIMIENTOS!$A$5:$A$1005&lt;&gt;"")*(MOVIMIENTOS!$A$5:$A$1005&lt;=$A773)*MOVIMIENTOS!$E$5:$E$1005))</f>
        <v/>
      </c>
      <c r="C773" t="str">
        <f>IF($A773="","",SUMPRODUCT((MOVIMIENTOS!$B$5:$B$1005="SALDO INICIAL")*(MOVIMIENTOS!$C$5:$C$1005="P")*(MOVIMIENTOS!$D$5:$D$1005="jabas")*(MOVIMIENTOS!$A$5:$A$1005&lt;&gt;"")*(MOVIMIENTOS!$A$5:$A$1005&lt;=$A773)*MOVIMIENTOS!$E$5:$E$1005)+SUMPRODUCT((MOVIMIENTOS!$B$5:$B$1005="PROCESO")*(MOVIMIENTOS!$C$5:$C$1005="P")*(MOVIMIENTOS!$D$5:$D$1005="jabas")*(MOVIMIENTOS!$A$5:$A$1005&lt;&gt;"")*(MOVIMIENTOS!$A$5:$A$1005&lt;=$A773)*MOVIMIENTOS!$E$5:$E$1005)-SUMPRODUCT((MOVIMIENTOS!$B$5:$B$1005="ENVÍO A SUPESA")*(MOVIMIENTOS!$C$5:$C$1005="P")*(MOVIMIENTOS!$D$5:$D$1005="jabas")*(MOVIMIENTOS!$A$5:$A$1005&lt;&gt;"")*(MOVIMIENTOS!$A$5:$A$1005&lt;=$A773)*MOVIMIENTOS!$E$5:$E$1005)+SUMPRODUCT((MOVIMIENTOS!$B$5:$B$1005="DEVOLUCIÓN")*(MOVIMIENTOS!$C$5:$C$1005="P")*(MOVIMIENTOS!$D$5:$D$1005="jabas")*(MOVIMIENTOS!$A$5:$A$1005&lt;&gt;"")*(MOVIMIENTOS!$A$5:$A$1005&lt;=$A773)*MOVIMIENTOS!$E$5:$E$1005)-SUMPRODUCT((MOVIMIENTOS!$B$5:$B$1005="TRASIEGO")*(MOVIMIENTOS!$C$5:$C$1005="P")*(MOVIMIENTOS!$D$5:$D$1005="jabas")*(MOVIMIENTOS!$A$5:$A$1005&lt;&gt;"")*(MOVIMIENTOS!$A$5:$A$1005&lt;=$A773)*MOVIMIENTOS!$E$5:$E$1005)-SUMPRODUCT((MOVIMIENTOS!$B$5:$B$1005="REGALO")*(MOVIMIENTOS!$C$5:$C$1005="P")*(MOVIMIENTOS!$D$5:$D$1005="jabas")*(MOVIMIENTOS!$A$5:$A$1005&lt;&gt;"")*(MOVIMIENTOS!$A$5:$A$1005&lt;=$A773)*MOVIMIENTOS!$E$5:$E$1005)-SUMPRODUCT((MOVIMIENTOS!$B$5:$B$1005="VENTA")*(MOVIMIENTOS!$C$5:$C$1005="P")*(MOVIMIENTOS!$D$5:$D$1005="jabas")*(MOVIMIENTOS!$A$5:$A$1005&lt;&gt;"")*(MOVIMIENTOS!$A$5:$A$1005&lt;=$A773)*MOVIMIENTOS!$E$5:$E$1005)+SUMPRODUCT((MOVIMIENTOS!$B$5:$B$1005="AJUSTE")*(MOVIMIENTOS!$C$5:$C$1005="P")*(MOVIMIENTOS!$D$5:$D$1005="jabas")*(MOVIMIENTOS!$A$5:$A$1005&lt;&gt;"")*(MOVIMIENTOS!$A$5:$A$1005&lt;=$A773)*MOVIMIENTOS!$E$5:$E$1005))</f>
        <v/>
      </c>
      <c r="D773" t="str">
        <f>IF($A773="","",SUMPRODUCT((MOVIMIENTOS!$B$5:$B$1005="SALDO INICIAL")*(MOVIMIENTOS!$C$5:$C$1005="C")*(MOVIMIENTOS!$D$5:$D$1005="jabas")*(MOVIMIENTOS!$A$5:$A$1005&lt;&gt;"")*(MOVIMIENTOS!$A$5:$A$1005&lt;=$A773)*MOVIMIENTOS!$E$5:$E$1005)+SUMPRODUCT((MOVIMIENTOS!$B$5:$B$1005="PROCESO")*(MOVIMIENTOS!$C$5:$C$1005="C")*(MOVIMIENTOS!$D$5:$D$1005="jabas")*(MOVIMIENTOS!$A$5:$A$1005&lt;&gt;"")*(MOVIMIENTOS!$A$5:$A$1005&lt;=$A773)*MOVIMIENTOS!$E$5:$E$1005)-SUMPRODUCT((MOVIMIENTOS!$B$5:$B$1005="ENVÍO A SUPESA")*(MOVIMIENTOS!$C$5:$C$1005="C")*(MOVIMIENTOS!$D$5:$D$1005="jabas")*(MOVIMIENTOS!$A$5:$A$1005&lt;&gt;"")*(MOVIMIENTOS!$A$5:$A$1005&lt;=$A773)*MOVIMIENTOS!$E$5:$E$1005)+SUMPRODUCT((MOVIMIENTOS!$B$5:$B$1005="DEVOLUCIÓN")*(MOVIMIENTOS!$C$5:$C$1005="C")*(MOVIMIENTOS!$D$5:$D$1005="jabas")*(MOVIMIENTOS!$A$5:$A$1005&lt;&gt;"")*(MOVIMIENTOS!$A$5:$A$1005&lt;=$A773)*MOVIMIENTOS!$E$5:$E$1005)-SUMPRODUCT((MOVIMIENTOS!$B$5:$B$1005="TRASIEGO")*(MOVIMIENTOS!$C$5:$C$1005="C")*(MOVIMIENTOS!$D$5:$D$1005="jabas")*(MOVIMIENTOS!$A$5:$A$1005&lt;&gt;"")*(MOVIMIENTOS!$A$5:$A$1005&lt;=$A773)*MOVIMIENTOS!$E$5:$E$1005)-SUMPRODUCT((MOVIMIENTOS!$B$5:$B$1005="REGALO")*(MOVIMIENTOS!$C$5:$C$1005="C")*(MOVIMIENTOS!$D$5:$D$1005="jabas")*(MOVIMIENTOS!$A$5:$A$1005&lt;&gt;"")*(MOVIMIENTOS!$A$5:$A$1005&lt;=$A773)*MOVIMIENTOS!$E$5:$E$1005)-SUMPRODUCT((MOVIMIENTOS!$B$5:$B$1005="VENTA")*(MOVIMIENTOS!$C$5:$C$1005="C")*(MOVIMIENTOS!$D$5:$D$1005="jabas")*(MOVIMIENTOS!$A$5:$A$1005&lt;&gt;"")*(MOVIMIENTOS!$A$5:$A$1005&lt;=$A773)*MOVIMIENTOS!$E$5:$E$1005)+SUMPRODUCT((MOVIMIENTOS!$B$5:$B$1005="AJUSTE")*(MOVIMIENTOS!$C$5:$C$1005="C")*(MOVIMIENTOS!$D$5:$D$1005="jabas")*(MOVIMIENTOS!$A$5:$A$1005&lt;&gt;"")*(MOVIMIENTOS!$A$5:$A$1005&lt;=$A773)*MOVIMIENTOS!$E$5:$E$1005))</f>
        <v/>
      </c>
      <c r="E773" t="str">
        <f>IF($A773="","",SUMPRODUCT((MOVIMIENTOS!$B$5:$B$1005="SALDO INICIAL")*(MOVIMIENTOS!$C$5:$C$1005="M")*(MOVIMIENTOS!$D$5:$D$1005="jabas")*(MOVIMIENTOS!$A$5:$A$1005&lt;&gt;"")*(MOVIMIENTOS!$A$5:$A$1005&lt;=$A773)*MOVIMIENTOS!$E$5:$E$1005)+SUMPRODUCT((MOVIMIENTOS!$B$5:$B$1005="PROCESO")*(MOVIMIENTOS!$C$5:$C$1005="M")*(MOVIMIENTOS!$D$5:$D$1005="jabas")*(MOVIMIENTOS!$A$5:$A$1005&lt;&gt;"")*(MOVIMIENTOS!$A$5:$A$1005&lt;=$A773)*MOVIMIENTOS!$E$5:$E$1005)-SUMPRODUCT((MOVIMIENTOS!$B$5:$B$1005="ENVÍO A SUPESA")*(MOVIMIENTOS!$C$5:$C$1005="M")*(MOVIMIENTOS!$D$5:$D$1005="jabas")*(MOVIMIENTOS!$A$5:$A$1005&lt;&gt;"")*(MOVIMIENTOS!$A$5:$A$1005&lt;=$A773)*MOVIMIENTOS!$E$5:$E$1005)+SUMPRODUCT((MOVIMIENTOS!$B$5:$B$1005="DEVOLUCIÓN")*(MOVIMIENTOS!$C$5:$C$1005="M")*(MOVIMIENTOS!$D$5:$D$1005="jabas")*(MOVIMIENTOS!$A$5:$A$1005&lt;&gt;"")*(MOVIMIENTOS!$A$5:$A$1005&lt;=$A773)*MOVIMIENTOS!$E$5:$E$1005)-SUMPRODUCT((MOVIMIENTOS!$B$5:$B$1005="TRASIEGO")*(MOVIMIENTOS!$C$5:$C$1005="M")*(MOVIMIENTOS!$D$5:$D$1005="jabas")*(MOVIMIENTOS!$A$5:$A$1005&lt;&gt;"")*(MOVIMIENTOS!$A$5:$A$1005&lt;=$A773)*MOVIMIENTOS!$E$5:$E$1005)-SUMPRODUCT((MOVIMIENTOS!$B$5:$B$1005="REGALO")*(MOVIMIENTOS!$C$5:$C$1005="M")*(MOVIMIENTOS!$D$5:$D$1005="jabas")*(MOVIMIENTOS!$A$5:$A$1005&lt;&gt;"")*(MOVIMIENTOS!$A$5:$A$1005&lt;=$A773)*MOVIMIENTOS!$E$5:$E$1005)-SUMPRODUCT((MOVIMIENTOS!$B$5:$B$1005="VENTA")*(MOVIMIENTOS!$C$5:$C$1005="M")*(MOVIMIENTOS!$D$5:$D$1005="jabas")*(MOVIMIENTOS!$A$5:$A$1005&lt;&gt;"")*(MOVIMIENTOS!$A$5:$A$1005&lt;=$A773)*MOVIMIENTOS!$E$5:$E$1005)+SUMPRODUCT((MOVIMIENTOS!$B$5:$B$1005="AJUSTE")*(MOVIMIENTOS!$C$5:$C$1005="M")*(MOVIMIENTOS!$D$5:$D$1005="jabas")*(MOVIMIENTOS!$A$5:$A$1005&lt;&gt;"")*(MOVIMIENTOS!$A$5:$A$1005&lt;=$A773)*MOVIMIENTOS!$E$5:$E$1005))</f>
        <v/>
      </c>
      <c r="F773" s="62" t="str">
        <f>IF($A773="","",SUMPRODUCT((MOVIMIENTOS!$B$5:$B$1005="SALDO INICIAL")*(MOVIMIENTOS!$C$5:$C$1005="Chancho")*(MOVIMIENTOS!$D$5:$D$1005="sacos")*(MOVIMIENTOS!$A$5:$A$1005&lt;&gt;"")*(MOVIMIENTOS!$A$5:$A$1005&lt;=$A773)*MOVIMIENTOS!$E$5:$E$1005)+SUMPRODUCT((MOVIMIENTOS!$B$5:$B$1005="PROCESO")*(MOVIMIENTOS!$C$5:$C$1005="Chancho")*(MOVIMIENTOS!$D$5:$D$1005="sacos")*(MOVIMIENTOS!$A$5:$A$1005&lt;&gt;"")*(MOVIMIENTOS!$A$5:$A$1005&lt;=$A773)*MOVIMIENTOS!$E$5:$E$1005)-SUMPRODUCT((MOVIMIENTOS!$B$5:$B$1005="VENTA CHANCHO")*(MOVIMIENTOS!$C$5:$C$1005="Chancho")*(MOVIMIENTOS!$D$5:$D$1005="sacos")*(MOVIMIENTOS!$A$5:$A$1005&lt;&gt;"")*(MOVIMIENTOS!$A$5:$A$1005&lt;=$A773)*MOVIMIENTOS!$E$5:$E$1005)-SUMPRODUCT((MOVIMIENTOS!$B$5:$B$1005="REGALO")*(MOVIMIENTOS!$C$5:$C$1005="Chancho")*(MOVIMIENTOS!$D$5:$D$1005="sacos")*(MOVIMIENTOS!$A$5:$A$1005&lt;&gt;"")*(MOVIMIENTOS!$A$5:$A$1005&lt;=$A773)*MOVIMIENTOS!$E$5:$E$1005)-SUMPRODUCT((MOVIMIENTOS!$B$5:$B$1005="VENTA")*(MOVIMIENTOS!$C$5:$C$1005="Chancho")*(MOVIMIENTOS!$D$5:$D$1005="sacos")*(MOVIMIENTOS!$A$5:$A$1005&lt;&gt;"")*(MOVIMIENTOS!$A$5:$A$1005&lt;=$A773)*MOVIMIENTOS!$E$5:$E$1005)+SUMPRODUCT((MOVIMIENTOS!$B$5:$B$1005="AJUSTE")*(MOVIMIENTOS!$C$5:$C$1005="Chancho")*(MOVIMIENTOS!$D$5:$D$1005="sacos")*(MOVIMIENTOS!$A$5:$A$1005&lt;&gt;"")*(MOVIMIENTOS!$A$5:$A$1005&lt;=$A773)*MOVIMIENTOS!$E$5:$E$1005))</f>
        <v/>
      </c>
      <c r="G773" s="62" t="str">
        <f t="shared" ref="G773:G836" si="25">IF($A773="","",SUM(B773:E773))</f>
        <v/>
      </c>
      <c r="H773" t="str">
        <f>IF($A773="","",SUMPRODUCT((((MOVIMIENTOS!$B$5:$B$1005="SALDO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773)*MOVIMIENTOS!$J$5:$J$1005))</f>
        <v/>
      </c>
      <c r="J773" t="str">
        <f>IF(AND(MOVIMIENTOS!$A778&lt;&gt;"",COUNTIF(MOVIMIENTOS!$A$5:$A777,MOVIMIENTOS!$A778)=0),COUNT(J$4:J772)+1,"")</f>
        <v/>
      </c>
      <c r="K773">
        <f>MOVIMIENTOS!$A778</f>
        <v>0</v>
      </c>
    </row>
    <row r="774" spans="1:11" ht="15" customHeight="1" x14ac:dyDescent="0.2">
      <c r="A774" t="str">
        <f t="shared" si="24"/>
        <v/>
      </c>
      <c r="B774" t="str">
        <f>IF($A774="","",SUMPRODUCT((MOVIMIENTOS!$B$5:$B$1005="SALDO INICIAL")*(MOVIMIENTOS!$C$5:$C$1005="A")*(MOVIMIENTOS!$D$5:$D$1005="jabas")*(MOVIMIENTOS!$A$5:$A$1005&lt;&gt;"")*(MOVIMIENTOS!$A$5:$A$1005&lt;=$A774)*MOVIMIENTOS!$E$5:$E$1005)+SUMPRODUCT((MOVIMIENTOS!$B$5:$B$1005="PROCESO")*(MOVIMIENTOS!$C$5:$C$1005="A")*(MOVIMIENTOS!$D$5:$D$1005="jabas")*(MOVIMIENTOS!$A$5:$A$1005&lt;&gt;"")*(MOVIMIENTOS!$A$5:$A$1005&lt;=$A774)*MOVIMIENTOS!$E$5:$E$1005)-SUMPRODUCT((MOVIMIENTOS!$B$5:$B$1005="ENVÍO A SUPESA")*(MOVIMIENTOS!$C$5:$C$1005="A")*(MOVIMIENTOS!$D$5:$D$1005="jabas")*(MOVIMIENTOS!$A$5:$A$1005&lt;&gt;"")*(MOVIMIENTOS!$A$5:$A$1005&lt;=$A774)*MOVIMIENTOS!$E$5:$E$1005)+SUMPRODUCT((MOVIMIENTOS!$B$5:$B$1005="DEVOLUCIÓN")*(MOVIMIENTOS!$C$5:$C$1005="A")*(MOVIMIENTOS!$D$5:$D$1005="jabas")*(MOVIMIENTOS!$A$5:$A$1005&lt;&gt;"")*(MOVIMIENTOS!$A$5:$A$1005&lt;=$A774)*MOVIMIENTOS!$E$5:$E$1005)-SUMPRODUCT((MOVIMIENTOS!$B$5:$B$1005="TRASIEGO")*(MOVIMIENTOS!$C$5:$C$1005="A")*(MOVIMIENTOS!$D$5:$D$1005="jabas")*(MOVIMIENTOS!$A$5:$A$1005&lt;&gt;"")*(MOVIMIENTOS!$A$5:$A$1005&lt;=$A774)*MOVIMIENTOS!$E$5:$E$1005)-SUMPRODUCT((MOVIMIENTOS!$B$5:$B$1005="REGALO")*(MOVIMIENTOS!$C$5:$C$1005="A")*(MOVIMIENTOS!$D$5:$D$1005="jabas")*(MOVIMIENTOS!$A$5:$A$1005&lt;&gt;"")*(MOVIMIENTOS!$A$5:$A$1005&lt;=$A774)*MOVIMIENTOS!$E$5:$E$1005)-SUMPRODUCT((MOVIMIENTOS!$B$5:$B$1005="VENTA")*(MOVIMIENTOS!$C$5:$C$1005="A")*(MOVIMIENTOS!$D$5:$D$1005="jabas")*(MOVIMIENTOS!$A$5:$A$1005&lt;&gt;"")*(MOVIMIENTOS!$A$5:$A$1005&lt;=$A774)*MOVIMIENTOS!$E$5:$E$1005)+SUMPRODUCT((MOVIMIENTOS!$B$5:$B$1005="AJUSTE")*(MOVIMIENTOS!$C$5:$C$1005="A")*(MOVIMIENTOS!$D$5:$D$1005="jabas")*(MOVIMIENTOS!$A$5:$A$1005&lt;&gt;"")*(MOVIMIENTOS!$A$5:$A$1005&lt;=$A774)*MOVIMIENTOS!$E$5:$E$1005))</f>
        <v/>
      </c>
      <c r="C774" t="str">
        <f>IF($A774="","",SUMPRODUCT((MOVIMIENTOS!$B$5:$B$1005="SALDO INICIAL")*(MOVIMIENTOS!$C$5:$C$1005="P")*(MOVIMIENTOS!$D$5:$D$1005="jabas")*(MOVIMIENTOS!$A$5:$A$1005&lt;&gt;"")*(MOVIMIENTOS!$A$5:$A$1005&lt;=$A774)*MOVIMIENTOS!$E$5:$E$1005)+SUMPRODUCT((MOVIMIENTOS!$B$5:$B$1005="PROCESO")*(MOVIMIENTOS!$C$5:$C$1005="P")*(MOVIMIENTOS!$D$5:$D$1005="jabas")*(MOVIMIENTOS!$A$5:$A$1005&lt;&gt;"")*(MOVIMIENTOS!$A$5:$A$1005&lt;=$A774)*MOVIMIENTOS!$E$5:$E$1005)-SUMPRODUCT((MOVIMIENTOS!$B$5:$B$1005="ENVÍO A SUPESA")*(MOVIMIENTOS!$C$5:$C$1005="P")*(MOVIMIENTOS!$D$5:$D$1005="jabas")*(MOVIMIENTOS!$A$5:$A$1005&lt;&gt;"")*(MOVIMIENTOS!$A$5:$A$1005&lt;=$A774)*MOVIMIENTOS!$E$5:$E$1005)+SUMPRODUCT((MOVIMIENTOS!$B$5:$B$1005="DEVOLUCIÓN")*(MOVIMIENTOS!$C$5:$C$1005="P")*(MOVIMIENTOS!$D$5:$D$1005="jabas")*(MOVIMIENTOS!$A$5:$A$1005&lt;&gt;"")*(MOVIMIENTOS!$A$5:$A$1005&lt;=$A774)*MOVIMIENTOS!$E$5:$E$1005)-SUMPRODUCT((MOVIMIENTOS!$B$5:$B$1005="TRASIEGO")*(MOVIMIENTOS!$C$5:$C$1005="P")*(MOVIMIENTOS!$D$5:$D$1005="jabas")*(MOVIMIENTOS!$A$5:$A$1005&lt;&gt;"")*(MOVIMIENTOS!$A$5:$A$1005&lt;=$A774)*MOVIMIENTOS!$E$5:$E$1005)-SUMPRODUCT((MOVIMIENTOS!$B$5:$B$1005="REGALO")*(MOVIMIENTOS!$C$5:$C$1005="P")*(MOVIMIENTOS!$D$5:$D$1005="jabas")*(MOVIMIENTOS!$A$5:$A$1005&lt;&gt;"")*(MOVIMIENTOS!$A$5:$A$1005&lt;=$A774)*MOVIMIENTOS!$E$5:$E$1005)-SUMPRODUCT((MOVIMIENTOS!$B$5:$B$1005="VENTA")*(MOVIMIENTOS!$C$5:$C$1005="P")*(MOVIMIENTOS!$D$5:$D$1005="jabas")*(MOVIMIENTOS!$A$5:$A$1005&lt;&gt;"")*(MOVIMIENTOS!$A$5:$A$1005&lt;=$A774)*MOVIMIENTOS!$E$5:$E$1005)+SUMPRODUCT((MOVIMIENTOS!$B$5:$B$1005="AJUSTE")*(MOVIMIENTOS!$C$5:$C$1005="P")*(MOVIMIENTOS!$D$5:$D$1005="jabas")*(MOVIMIENTOS!$A$5:$A$1005&lt;&gt;"")*(MOVIMIENTOS!$A$5:$A$1005&lt;=$A774)*MOVIMIENTOS!$E$5:$E$1005))</f>
        <v/>
      </c>
      <c r="D774" t="str">
        <f>IF($A774="","",SUMPRODUCT((MOVIMIENTOS!$B$5:$B$1005="SALDO INICIAL")*(MOVIMIENTOS!$C$5:$C$1005="C")*(MOVIMIENTOS!$D$5:$D$1005="jabas")*(MOVIMIENTOS!$A$5:$A$1005&lt;&gt;"")*(MOVIMIENTOS!$A$5:$A$1005&lt;=$A774)*MOVIMIENTOS!$E$5:$E$1005)+SUMPRODUCT((MOVIMIENTOS!$B$5:$B$1005="PROCESO")*(MOVIMIENTOS!$C$5:$C$1005="C")*(MOVIMIENTOS!$D$5:$D$1005="jabas")*(MOVIMIENTOS!$A$5:$A$1005&lt;&gt;"")*(MOVIMIENTOS!$A$5:$A$1005&lt;=$A774)*MOVIMIENTOS!$E$5:$E$1005)-SUMPRODUCT((MOVIMIENTOS!$B$5:$B$1005="ENVÍO A SUPESA")*(MOVIMIENTOS!$C$5:$C$1005="C")*(MOVIMIENTOS!$D$5:$D$1005="jabas")*(MOVIMIENTOS!$A$5:$A$1005&lt;&gt;"")*(MOVIMIENTOS!$A$5:$A$1005&lt;=$A774)*MOVIMIENTOS!$E$5:$E$1005)+SUMPRODUCT((MOVIMIENTOS!$B$5:$B$1005="DEVOLUCIÓN")*(MOVIMIENTOS!$C$5:$C$1005="C")*(MOVIMIENTOS!$D$5:$D$1005="jabas")*(MOVIMIENTOS!$A$5:$A$1005&lt;&gt;"")*(MOVIMIENTOS!$A$5:$A$1005&lt;=$A774)*MOVIMIENTOS!$E$5:$E$1005)-SUMPRODUCT((MOVIMIENTOS!$B$5:$B$1005="TRASIEGO")*(MOVIMIENTOS!$C$5:$C$1005="C")*(MOVIMIENTOS!$D$5:$D$1005="jabas")*(MOVIMIENTOS!$A$5:$A$1005&lt;&gt;"")*(MOVIMIENTOS!$A$5:$A$1005&lt;=$A774)*MOVIMIENTOS!$E$5:$E$1005)-SUMPRODUCT((MOVIMIENTOS!$B$5:$B$1005="REGALO")*(MOVIMIENTOS!$C$5:$C$1005="C")*(MOVIMIENTOS!$D$5:$D$1005="jabas")*(MOVIMIENTOS!$A$5:$A$1005&lt;&gt;"")*(MOVIMIENTOS!$A$5:$A$1005&lt;=$A774)*MOVIMIENTOS!$E$5:$E$1005)-SUMPRODUCT((MOVIMIENTOS!$B$5:$B$1005="VENTA")*(MOVIMIENTOS!$C$5:$C$1005="C")*(MOVIMIENTOS!$D$5:$D$1005="jabas")*(MOVIMIENTOS!$A$5:$A$1005&lt;&gt;"")*(MOVIMIENTOS!$A$5:$A$1005&lt;=$A774)*MOVIMIENTOS!$E$5:$E$1005)+SUMPRODUCT((MOVIMIENTOS!$B$5:$B$1005="AJUSTE")*(MOVIMIENTOS!$C$5:$C$1005="C")*(MOVIMIENTOS!$D$5:$D$1005="jabas")*(MOVIMIENTOS!$A$5:$A$1005&lt;&gt;"")*(MOVIMIENTOS!$A$5:$A$1005&lt;=$A774)*MOVIMIENTOS!$E$5:$E$1005))</f>
        <v/>
      </c>
      <c r="E774" t="str">
        <f>IF($A774="","",SUMPRODUCT((MOVIMIENTOS!$B$5:$B$1005="SALDO INICIAL")*(MOVIMIENTOS!$C$5:$C$1005="M")*(MOVIMIENTOS!$D$5:$D$1005="jabas")*(MOVIMIENTOS!$A$5:$A$1005&lt;&gt;"")*(MOVIMIENTOS!$A$5:$A$1005&lt;=$A774)*MOVIMIENTOS!$E$5:$E$1005)+SUMPRODUCT((MOVIMIENTOS!$B$5:$B$1005="PROCESO")*(MOVIMIENTOS!$C$5:$C$1005="M")*(MOVIMIENTOS!$D$5:$D$1005="jabas")*(MOVIMIENTOS!$A$5:$A$1005&lt;&gt;"")*(MOVIMIENTOS!$A$5:$A$1005&lt;=$A774)*MOVIMIENTOS!$E$5:$E$1005)-SUMPRODUCT((MOVIMIENTOS!$B$5:$B$1005="ENVÍO A SUPESA")*(MOVIMIENTOS!$C$5:$C$1005="M")*(MOVIMIENTOS!$D$5:$D$1005="jabas")*(MOVIMIENTOS!$A$5:$A$1005&lt;&gt;"")*(MOVIMIENTOS!$A$5:$A$1005&lt;=$A774)*MOVIMIENTOS!$E$5:$E$1005)+SUMPRODUCT((MOVIMIENTOS!$B$5:$B$1005="DEVOLUCIÓN")*(MOVIMIENTOS!$C$5:$C$1005="M")*(MOVIMIENTOS!$D$5:$D$1005="jabas")*(MOVIMIENTOS!$A$5:$A$1005&lt;&gt;"")*(MOVIMIENTOS!$A$5:$A$1005&lt;=$A774)*MOVIMIENTOS!$E$5:$E$1005)-SUMPRODUCT((MOVIMIENTOS!$B$5:$B$1005="TRASIEGO")*(MOVIMIENTOS!$C$5:$C$1005="M")*(MOVIMIENTOS!$D$5:$D$1005="jabas")*(MOVIMIENTOS!$A$5:$A$1005&lt;&gt;"")*(MOVIMIENTOS!$A$5:$A$1005&lt;=$A774)*MOVIMIENTOS!$E$5:$E$1005)-SUMPRODUCT((MOVIMIENTOS!$B$5:$B$1005="REGALO")*(MOVIMIENTOS!$C$5:$C$1005="M")*(MOVIMIENTOS!$D$5:$D$1005="jabas")*(MOVIMIENTOS!$A$5:$A$1005&lt;&gt;"")*(MOVIMIENTOS!$A$5:$A$1005&lt;=$A774)*MOVIMIENTOS!$E$5:$E$1005)-SUMPRODUCT((MOVIMIENTOS!$B$5:$B$1005="VENTA")*(MOVIMIENTOS!$C$5:$C$1005="M")*(MOVIMIENTOS!$D$5:$D$1005="jabas")*(MOVIMIENTOS!$A$5:$A$1005&lt;&gt;"")*(MOVIMIENTOS!$A$5:$A$1005&lt;=$A774)*MOVIMIENTOS!$E$5:$E$1005)+SUMPRODUCT((MOVIMIENTOS!$B$5:$B$1005="AJUSTE")*(MOVIMIENTOS!$C$5:$C$1005="M")*(MOVIMIENTOS!$D$5:$D$1005="jabas")*(MOVIMIENTOS!$A$5:$A$1005&lt;&gt;"")*(MOVIMIENTOS!$A$5:$A$1005&lt;=$A774)*MOVIMIENTOS!$E$5:$E$1005))</f>
        <v/>
      </c>
      <c r="F774" s="62" t="str">
        <f>IF($A774="","",SUMPRODUCT((MOVIMIENTOS!$B$5:$B$1005="SALDO INICIAL")*(MOVIMIENTOS!$C$5:$C$1005="Chancho")*(MOVIMIENTOS!$D$5:$D$1005="sacos")*(MOVIMIENTOS!$A$5:$A$1005&lt;&gt;"")*(MOVIMIENTOS!$A$5:$A$1005&lt;=$A774)*MOVIMIENTOS!$E$5:$E$1005)+SUMPRODUCT((MOVIMIENTOS!$B$5:$B$1005="PROCESO")*(MOVIMIENTOS!$C$5:$C$1005="Chancho")*(MOVIMIENTOS!$D$5:$D$1005="sacos")*(MOVIMIENTOS!$A$5:$A$1005&lt;&gt;"")*(MOVIMIENTOS!$A$5:$A$1005&lt;=$A774)*MOVIMIENTOS!$E$5:$E$1005)-SUMPRODUCT((MOVIMIENTOS!$B$5:$B$1005="VENTA CHANCHO")*(MOVIMIENTOS!$C$5:$C$1005="Chancho")*(MOVIMIENTOS!$D$5:$D$1005="sacos")*(MOVIMIENTOS!$A$5:$A$1005&lt;&gt;"")*(MOVIMIENTOS!$A$5:$A$1005&lt;=$A774)*MOVIMIENTOS!$E$5:$E$1005)-SUMPRODUCT((MOVIMIENTOS!$B$5:$B$1005="REGALO")*(MOVIMIENTOS!$C$5:$C$1005="Chancho")*(MOVIMIENTOS!$D$5:$D$1005="sacos")*(MOVIMIENTOS!$A$5:$A$1005&lt;&gt;"")*(MOVIMIENTOS!$A$5:$A$1005&lt;=$A774)*MOVIMIENTOS!$E$5:$E$1005)-SUMPRODUCT((MOVIMIENTOS!$B$5:$B$1005="VENTA")*(MOVIMIENTOS!$C$5:$C$1005="Chancho")*(MOVIMIENTOS!$D$5:$D$1005="sacos")*(MOVIMIENTOS!$A$5:$A$1005&lt;&gt;"")*(MOVIMIENTOS!$A$5:$A$1005&lt;=$A774)*MOVIMIENTOS!$E$5:$E$1005)+SUMPRODUCT((MOVIMIENTOS!$B$5:$B$1005="AJUSTE")*(MOVIMIENTOS!$C$5:$C$1005="Chancho")*(MOVIMIENTOS!$D$5:$D$1005="sacos")*(MOVIMIENTOS!$A$5:$A$1005&lt;&gt;"")*(MOVIMIENTOS!$A$5:$A$1005&lt;=$A774)*MOVIMIENTOS!$E$5:$E$1005))</f>
        <v/>
      </c>
      <c r="G774" s="62" t="str">
        <f t="shared" si="25"/>
        <v/>
      </c>
      <c r="H774" t="str">
        <f>IF($A774="","",SUMPRODUCT((((MOVIMIENTOS!$B$5:$B$1005="SALDO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774)*MOVIMIENTOS!$J$5:$J$1005))</f>
        <v/>
      </c>
      <c r="J774" t="str">
        <f>IF(AND(MOVIMIENTOS!$A779&lt;&gt;"",COUNTIF(MOVIMIENTOS!$A$5:$A778,MOVIMIENTOS!$A779)=0),COUNT(J$4:J773)+1,"")</f>
        <v/>
      </c>
      <c r="K774">
        <f>MOVIMIENTOS!$A779</f>
        <v>0</v>
      </c>
    </row>
    <row r="775" spans="1:11" ht="15" customHeight="1" x14ac:dyDescent="0.2">
      <c r="A775" t="str">
        <f t="shared" si="24"/>
        <v/>
      </c>
      <c r="B775" t="str">
        <f>IF($A775="","",SUMPRODUCT((MOVIMIENTOS!$B$5:$B$1005="SALDO INICIAL")*(MOVIMIENTOS!$C$5:$C$1005="A")*(MOVIMIENTOS!$D$5:$D$1005="jabas")*(MOVIMIENTOS!$A$5:$A$1005&lt;&gt;"")*(MOVIMIENTOS!$A$5:$A$1005&lt;=$A775)*MOVIMIENTOS!$E$5:$E$1005)+SUMPRODUCT((MOVIMIENTOS!$B$5:$B$1005="PROCESO")*(MOVIMIENTOS!$C$5:$C$1005="A")*(MOVIMIENTOS!$D$5:$D$1005="jabas")*(MOVIMIENTOS!$A$5:$A$1005&lt;&gt;"")*(MOVIMIENTOS!$A$5:$A$1005&lt;=$A775)*MOVIMIENTOS!$E$5:$E$1005)-SUMPRODUCT((MOVIMIENTOS!$B$5:$B$1005="ENVÍO A SUPESA")*(MOVIMIENTOS!$C$5:$C$1005="A")*(MOVIMIENTOS!$D$5:$D$1005="jabas")*(MOVIMIENTOS!$A$5:$A$1005&lt;&gt;"")*(MOVIMIENTOS!$A$5:$A$1005&lt;=$A775)*MOVIMIENTOS!$E$5:$E$1005)+SUMPRODUCT((MOVIMIENTOS!$B$5:$B$1005="DEVOLUCIÓN")*(MOVIMIENTOS!$C$5:$C$1005="A")*(MOVIMIENTOS!$D$5:$D$1005="jabas")*(MOVIMIENTOS!$A$5:$A$1005&lt;&gt;"")*(MOVIMIENTOS!$A$5:$A$1005&lt;=$A775)*MOVIMIENTOS!$E$5:$E$1005)-SUMPRODUCT((MOVIMIENTOS!$B$5:$B$1005="TRASIEGO")*(MOVIMIENTOS!$C$5:$C$1005="A")*(MOVIMIENTOS!$D$5:$D$1005="jabas")*(MOVIMIENTOS!$A$5:$A$1005&lt;&gt;"")*(MOVIMIENTOS!$A$5:$A$1005&lt;=$A775)*MOVIMIENTOS!$E$5:$E$1005)-SUMPRODUCT((MOVIMIENTOS!$B$5:$B$1005="REGALO")*(MOVIMIENTOS!$C$5:$C$1005="A")*(MOVIMIENTOS!$D$5:$D$1005="jabas")*(MOVIMIENTOS!$A$5:$A$1005&lt;&gt;"")*(MOVIMIENTOS!$A$5:$A$1005&lt;=$A775)*MOVIMIENTOS!$E$5:$E$1005)-SUMPRODUCT((MOVIMIENTOS!$B$5:$B$1005="VENTA")*(MOVIMIENTOS!$C$5:$C$1005="A")*(MOVIMIENTOS!$D$5:$D$1005="jabas")*(MOVIMIENTOS!$A$5:$A$1005&lt;&gt;"")*(MOVIMIENTOS!$A$5:$A$1005&lt;=$A775)*MOVIMIENTOS!$E$5:$E$1005)+SUMPRODUCT((MOVIMIENTOS!$B$5:$B$1005="AJUSTE")*(MOVIMIENTOS!$C$5:$C$1005="A")*(MOVIMIENTOS!$D$5:$D$1005="jabas")*(MOVIMIENTOS!$A$5:$A$1005&lt;&gt;"")*(MOVIMIENTOS!$A$5:$A$1005&lt;=$A775)*MOVIMIENTOS!$E$5:$E$1005))</f>
        <v/>
      </c>
      <c r="C775" t="str">
        <f>IF($A775="","",SUMPRODUCT((MOVIMIENTOS!$B$5:$B$1005="SALDO INICIAL")*(MOVIMIENTOS!$C$5:$C$1005="P")*(MOVIMIENTOS!$D$5:$D$1005="jabas")*(MOVIMIENTOS!$A$5:$A$1005&lt;&gt;"")*(MOVIMIENTOS!$A$5:$A$1005&lt;=$A775)*MOVIMIENTOS!$E$5:$E$1005)+SUMPRODUCT((MOVIMIENTOS!$B$5:$B$1005="PROCESO")*(MOVIMIENTOS!$C$5:$C$1005="P")*(MOVIMIENTOS!$D$5:$D$1005="jabas")*(MOVIMIENTOS!$A$5:$A$1005&lt;&gt;"")*(MOVIMIENTOS!$A$5:$A$1005&lt;=$A775)*MOVIMIENTOS!$E$5:$E$1005)-SUMPRODUCT((MOVIMIENTOS!$B$5:$B$1005="ENVÍO A SUPESA")*(MOVIMIENTOS!$C$5:$C$1005="P")*(MOVIMIENTOS!$D$5:$D$1005="jabas")*(MOVIMIENTOS!$A$5:$A$1005&lt;&gt;"")*(MOVIMIENTOS!$A$5:$A$1005&lt;=$A775)*MOVIMIENTOS!$E$5:$E$1005)+SUMPRODUCT((MOVIMIENTOS!$B$5:$B$1005="DEVOLUCIÓN")*(MOVIMIENTOS!$C$5:$C$1005="P")*(MOVIMIENTOS!$D$5:$D$1005="jabas")*(MOVIMIENTOS!$A$5:$A$1005&lt;&gt;"")*(MOVIMIENTOS!$A$5:$A$1005&lt;=$A775)*MOVIMIENTOS!$E$5:$E$1005)-SUMPRODUCT((MOVIMIENTOS!$B$5:$B$1005="TRASIEGO")*(MOVIMIENTOS!$C$5:$C$1005="P")*(MOVIMIENTOS!$D$5:$D$1005="jabas")*(MOVIMIENTOS!$A$5:$A$1005&lt;&gt;"")*(MOVIMIENTOS!$A$5:$A$1005&lt;=$A775)*MOVIMIENTOS!$E$5:$E$1005)-SUMPRODUCT((MOVIMIENTOS!$B$5:$B$1005="REGALO")*(MOVIMIENTOS!$C$5:$C$1005="P")*(MOVIMIENTOS!$D$5:$D$1005="jabas")*(MOVIMIENTOS!$A$5:$A$1005&lt;&gt;"")*(MOVIMIENTOS!$A$5:$A$1005&lt;=$A775)*MOVIMIENTOS!$E$5:$E$1005)-SUMPRODUCT((MOVIMIENTOS!$B$5:$B$1005="VENTA")*(MOVIMIENTOS!$C$5:$C$1005="P")*(MOVIMIENTOS!$D$5:$D$1005="jabas")*(MOVIMIENTOS!$A$5:$A$1005&lt;&gt;"")*(MOVIMIENTOS!$A$5:$A$1005&lt;=$A775)*MOVIMIENTOS!$E$5:$E$1005)+SUMPRODUCT((MOVIMIENTOS!$B$5:$B$1005="AJUSTE")*(MOVIMIENTOS!$C$5:$C$1005="P")*(MOVIMIENTOS!$D$5:$D$1005="jabas")*(MOVIMIENTOS!$A$5:$A$1005&lt;&gt;"")*(MOVIMIENTOS!$A$5:$A$1005&lt;=$A775)*MOVIMIENTOS!$E$5:$E$1005))</f>
        <v/>
      </c>
      <c r="D775" t="str">
        <f>IF($A775="","",SUMPRODUCT((MOVIMIENTOS!$B$5:$B$1005="SALDO INICIAL")*(MOVIMIENTOS!$C$5:$C$1005="C")*(MOVIMIENTOS!$D$5:$D$1005="jabas")*(MOVIMIENTOS!$A$5:$A$1005&lt;&gt;"")*(MOVIMIENTOS!$A$5:$A$1005&lt;=$A775)*MOVIMIENTOS!$E$5:$E$1005)+SUMPRODUCT((MOVIMIENTOS!$B$5:$B$1005="PROCESO")*(MOVIMIENTOS!$C$5:$C$1005="C")*(MOVIMIENTOS!$D$5:$D$1005="jabas")*(MOVIMIENTOS!$A$5:$A$1005&lt;&gt;"")*(MOVIMIENTOS!$A$5:$A$1005&lt;=$A775)*MOVIMIENTOS!$E$5:$E$1005)-SUMPRODUCT((MOVIMIENTOS!$B$5:$B$1005="ENVÍO A SUPESA")*(MOVIMIENTOS!$C$5:$C$1005="C")*(MOVIMIENTOS!$D$5:$D$1005="jabas")*(MOVIMIENTOS!$A$5:$A$1005&lt;&gt;"")*(MOVIMIENTOS!$A$5:$A$1005&lt;=$A775)*MOVIMIENTOS!$E$5:$E$1005)+SUMPRODUCT((MOVIMIENTOS!$B$5:$B$1005="DEVOLUCIÓN")*(MOVIMIENTOS!$C$5:$C$1005="C")*(MOVIMIENTOS!$D$5:$D$1005="jabas")*(MOVIMIENTOS!$A$5:$A$1005&lt;&gt;"")*(MOVIMIENTOS!$A$5:$A$1005&lt;=$A775)*MOVIMIENTOS!$E$5:$E$1005)-SUMPRODUCT((MOVIMIENTOS!$B$5:$B$1005="TRASIEGO")*(MOVIMIENTOS!$C$5:$C$1005="C")*(MOVIMIENTOS!$D$5:$D$1005="jabas")*(MOVIMIENTOS!$A$5:$A$1005&lt;&gt;"")*(MOVIMIENTOS!$A$5:$A$1005&lt;=$A775)*MOVIMIENTOS!$E$5:$E$1005)-SUMPRODUCT((MOVIMIENTOS!$B$5:$B$1005="REGALO")*(MOVIMIENTOS!$C$5:$C$1005="C")*(MOVIMIENTOS!$D$5:$D$1005="jabas")*(MOVIMIENTOS!$A$5:$A$1005&lt;&gt;"")*(MOVIMIENTOS!$A$5:$A$1005&lt;=$A775)*MOVIMIENTOS!$E$5:$E$1005)-SUMPRODUCT((MOVIMIENTOS!$B$5:$B$1005="VENTA")*(MOVIMIENTOS!$C$5:$C$1005="C")*(MOVIMIENTOS!$D$5:$D$1005="jabas")*(MOVIMIENTOS!$A$5:$A$1005&lt;&gt;"")*(MOVIMIENTOS!$A$5:$A$1005&lt;=$A775)*MOVIMIENTOS!$E$5:$E$1005)+SUMPRODUCT((MOVIMIENTOS!$B$5:$B$1005="AJUSTE")*(MOVIMIENTOS!$C$5:$C$1005="C")*(MOVIMIENTOS!$D$5:$D$1005="jabas")*(MOVIMIENTOS!$A$5:$A$1005&lt;&gt;"")*(MOVIMIENTOS!$A$5:$A$1005&lt;=$A775)*MOVIMIENTOS!$E$5:$E$1005))</f>
        <v/>
      </c>
      <c r="E775" t="str">
        <f>IF($A775="","",SUMPRODUCT((MOVIMIENTOS!$B$5:$B$1005="SALDO INICIAL")*(MOVIMIENTOS!$C$5:$C$1005="M")*(MOVIMIENTOS!$D$5:$D$1005="jabas")*(MOVIMIENTOS!$A$5:$A$1005&lt;&gt;"")*(MOVIMIENTOS!$A$5:$A$1005&lt;=$A775)*MOVIMIENTOS!$E$5:$E$1005)+SUMPRODUCT((MOVIMIENTOS!$B$5:$B$1005="PROCESO")*(MOVIMIENTOS!$C$5:$C$1005="M")*(MOVIMIENTOS!$D$5:$D$1005="jabas")*(MOVIMIENTOS!$A$5:$A$1005&lt;&gt;"")*(MOVIMIENTOS!$A$5:$A$1005&lt;=$A775)*MOVIMIENTOS!$E$5:$E$1005)-SUMPRODUCT((MOVIMIENTOS!$B$5:$B$1005="ENVÍO A SUPESA")*(MOVIMIENTOS!$C$5:$C$1005="M")*(MOVIMIENTOS!$D$5:$D$1005="jabas")*(MOVIMIENTOS!$A$5:$A$1005&lt;&gt;"")*(MOVIMIENTOS!$A$5:$A$1005&lt;=$A775)*MOVIMIENTOS!$E$5:$E$1005)+SUMPRODUCT((MOVIMIENTOS!$B$5:$B$1005="DEVOLUCIÓN")*(MOVIMIENTOS!$C$5:$C$1005="M")*(MOVIMIENTOS!$D$5:$D$1005="jabas")*(MOVIMIENTOS!$A$5:$A$1005&lt;&gt;"")*(MOVIMIENTOS!$A$5:$A$1005&lt;=$A775)*MOVIMIENTOS!$E$5:$E$1005)-SUMPRODUCT((MOVIMIENTOS!$B$5:$B$1005="TRASIEGO")*(MOVIMIENTOS!$C$5:$C$1005="M")*(MOVIMIENTOS!$D$5:$D$1005="jabas")*(MOVIMIENTOS!$A$5:$A$1005&lt;&gt;"")*(MOVIMIENTOS!$A$5:$A$1005&lt;=$A775)*MOVIMIENTOS!$E$5:$E$1005)-SUMPRODUCT((MOVIMIENTOS!$B$5:$B$1005="REGALO")*(MOVIMIENTOS!$C$5:$C$1005="M")*(MOVIMIENTOS!$D$5:$D$1005="jabas")*(MOVIMIENTOS!$A$5:$A$1005&lt;&gt;"")*(MOVIMIENTOS!$A$5:$A$1005&lt;=$A775)*MOVIMIENTOS!$E$5:$E$1005)-SUMPRODUCT((MOVIMIENTOS!$B$5:$B$1005="VENTA")*(MOVIMIENTOS!$C$5:$C$1005="M")*(MOVIMIENTOS!$D$5:$D$1005="jabas")*(MOVIMIENTOS!$A$5:$A$1005&lt;&gt;"")*(MOVIMIENTOS!$A$5:$A$1005&lt;=$A775)*MOVIMIENTOS!$E$5:$E$1005)+SUMPRODUCT((MOVIMIENTOS!$B$5:$B$1005="AJUSTE")*(MOVIMIENTOS!$C$5:$C$1005="M")*(MOVIMIENTOS!$D$5:$D$1005="jabas")*(MOVIMIENTOS!$A$5:$A$1005&lt;&gt;"")*(MOVIMIENTOS!$A$5:$A$1005&lt;=$A775)*MOVIMIENTOS!$E$5:$E$1005))</f>
        <v/>
      </c>
      <c r="F775" s="62" t="str">
        <f>IF($A775="","",SUMPRODUCT((MOVIMIENTOS!$B$5:$B$1005="SALDO INICIAL")*(MOVIMIENTOS!$C$5:$C$1005="Chancho")*(MOVIMIENTOS!$D$5:$D$1005="sacos")*(MOVIMIENTOS!$A$5:$A$1005&lt;&gt;"")*(MOVIMIENTOS!$A$5:$A$1005&lt;=$A775)*MOVIMIENTOS!$E$5:$E$1005)+SUMPRODUCT((MOVIMIENTOS!$B$5:$B$1005="PROCESO")*(MOVIMIENTOS!$C$5:$C$1005="Chancho")*(MOVIMIENTOS!$D$5:$D$1005="sacos")*(MOVIMIENTOS!$A$5:$A$1005&lt;&gt;"")*(MOVIMIENTOS!$A$5:$A$1005&lt;=$A775)*MOVIMIENTOS!$E$5:$E$1005)-SUMPRODUCT((MOVIMIENTOS!$B$5:$B$1005="VENTA CHANCHO")*(MOVIMIENTOS!$C$5:$C$1005="Chancho")*(MOVIMIENTOS!$D$5:$D$1005="sacos")*(MOVIMIENTOS!$A$5:$A$1005&lt;&gt;"")*(MOVIMIENTOS!$A$5:$A$1005&lt;=$A775)*MOVIMIENTOS!$E$5:$E$1005)-SUMPRODUCT((MOVIMIENTOS!$B$5:$B$1005="REGALO")*(MOVIMIENTOS!$C$5:$C$1005="Chancho")*(MOVIMIENTOS!$D$5:$D$1005="sacos")*(MOVIMIENTOS!$A$5:$A$1005&lt;&gt;"")*(MOVIMIENTOS!$A$5:$A$1005&lt;=$A775)*MOVIMIENTOS!$E$5:$E$1005)-SUMPRODUCT((MOVIMIENTOS!$B$5:$B$1005="VENTA")*(MOVIMIENTOS!$C$5:$C$1005="Chancho")*(MOVIMIENTOS!$D$5:$D$1005="sacos")*(MOVIMIENTOS!$A$5:$A$1005&lt;&gt;"")*(MOVIMIENTOS!$A$5:$A$1005&lt;=$A775)*MOVIMIENTOS!$E$5:$E$1005)+SUMPRODUCT((MOVIMIENTOS!$B$5:$B$1005="AJUSTE")*(MOVIMIENTOS!$C$5:$C$1005="Chancho")*(MOVIMIENTOS!$D$5:$D$1005="sacos")*(MOVIMIENTOS!$A$5:$A$1005&lt;&gt;"")*(MOVIMIENTOS!$A$5:$A$1005&lt;=$A775)*MOVIMIENTOS!$E$5:$E$1005))</f>
        <v/>
      </c>
      <c r="G775" s="62" t="str">
        <f t="shared" si="25"/>
        <v/>
      </c>
      <c r="H775" t="str">
        <f>IF($A775="","",SUMPRODUCT((((MOVIMIENTOS!$B$5:$B$1005="SALDO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775)*MOVIMIENTOS!$J$5:$J$1005))</f>
        <v/>
      </c>
      <c r="J775" t="str">
        <f>IF(AND(MOVIMIENTOS!$A780&lt;&gt;"",COUNTIF(MOVIMIENTOS!$A$5:$A779,MOVIMIENTOS!$A780)=0),COUNT(J$4:J774)+1,"")</f>
        <v/>
      </c>
      <c r="K775">
        <f>MOVIMIENTOS!$A780</f>
        <v>0</v>
      </c>
    </row>
    <row r="776" spans="1:11" ht="15" customHeight="1" x14ac:dyDescent="0.2">
      <c r="A776" t="str">
        <f t="shared" si="24"/>
        <v/>
      </c>
      <c r="B776" t="str">
        <f>IF($A776="","",SUMPRODUCT((MOVIMIENTOS!$B$5:$B$1005="SALDO INICIAL")*(MOVIMIENTOS!$C$5:$C$1005="A")*(MOVIMIENTOS!$D$5:$D$1005="jabas")*(MOVIMIENTOS!$A$5:$A$1005&lt;&gt;"")*(MOVIMIENTOS!$A$5:$A$1005&lt;=$A776)*MOVIMIENTOS!$E$5:$E$1005)+SUMPRODUCT((MOVIMIENTOS!$B$5:$B$1005="PROCESO")*(MOVIMIENTOS!$C$5:$C$1005="A")*(MOVIMIENTOS!$D$5:$D$1005="jabas")*(MOVIMIENTOS!$A$5:$A$1005&lt;&gt;"")*(MOVIMIENTOS!$A$5:$A$1005&lt;=$A776)*MOVIMIENTOS!$E$5:$E$1005)-SUMPRODUCT((MOVIMIENTOS!$B$5:$B$1005="ENVÍO A SUPESA")*(MOVIMIENTOS!$C$5:$C$1005="A")*(MOVIMIENTOS!$D$5:$D$1005="jabas")*(MOVIMIENTOS!$A$5:$A$1005&lt;&gt;"")*(MOVIMIENTOS!$A$5:$A$1005&lt;=$A776)*MOVIMIENTOS!$E$5:$E$1005)+SUMPRODUCT((MOVIMIENTOS!$B$5:$B$1005="DEVOLUCIÓN")*(MOVIMIENTOS!$C$5:$C$1005="A")*(MOVIMIENTOS!$D$5:$D$1005="jabas")*(MOVIMIENTOS!$A$5:$A$1005&lt;&gt;"")*(MOVIMIENTOS!$A$5:$A$1005&lt;=$A776)*MOVIMIENTOS!$E$5:$E$1005)-SUMPRODUCT((MOVIMIENTOS!$B$5:$B$1005="TRASIEGO")*(MOVIMIENTOS!$C$5:$C$1005="A")*(MOVIMIENTOS!$D$5:$D$1005="jabas")*(MOVIMIENTOS!$A$5:$A$1005&lt;&gt;"")*(MOVIMIENTOS!$A$5:$A$1005&lt;=$A776)*MOVIMIENTOS!$E$5:$E$1005)-SUMPRODUCT((MOVIMIENTOS!$B$5:$B$1005="REGALO")*(MOVIMIENTOS!$C$5:$C$1005="A")*(MOVIMIENTOS!$D$5:$D$1005="jabas")*(MOVIMIENTOS!$A$5:$A$1005&lt;&gt;"")*(MOVIMIENTOS!$A$5:$A$1005&lt;=$A776)*MOVIMIENTOS!$E$5:$E$1005)-SUMPRODUCT((MOVIMIENTOS!$B$5:$B$1005="VENTA")*(MOVIMIENTOS!$C$5:$C$1005="A")*(MOVIMIENTOS!$D$5:$D$1005="jabas")*(MOVIMIENTOS!$A$5:$A$1005&lt;&gt;"")*(MOVIMIENTOS!$A$5:$A$1005&lt;=$A776)*MOVIMIENTOS!$E$5:$E$1005)+SUMPRODUCT((MOVIMIENTOS!$B$5:$B$1005="AJUSTE")*(MOVIMIENTOS!$C$5:$C$1005="A")*(MOVIMIENTOS!$D$5:$D$1005="jabas")*(MOVIMIENTOS!$A$5:$A$1005&lt;&gt;"")*(MOVIMIENTOS!$A$5:$A$1005&lt;=$A776)*MOVIMIENTOS!$E$5:$E$1005))</f>
        <v/>
      </c>
      <c r="C776" t="str">
        <f>IF($A776="","",SUMPRODUCT((MOVIMIENTOS!$B$5:$B$1005="SALDO INICIAL")*(MOVIMIENTOS!$C$5:$C$1005="P")*(MOVIMIENTOS!$D$5:$D$1005="jabas")*(MOVIMIENTOS!$A$5:$A$1005&lt;&gt;"")*(MOVIMIENTOS!$A$5:$A$1005&lt;=$A776)*MOVIMIENTOS!$E$5:$E$1005)+SUMPRODUCT((MOVIMIENTOS!$B$5:$B$1005="PROCESO")*(MOVIMIENTOS!$C$5:$C$1005="P")*(MOVIMIENTOS!$D$5:$D$1005="jabas")*(MOVIMIENTOS!$A$5:$A$1005&lt;&gt;"")*(MOVIMIENTOS!$A$5:$A$1005&lt;=$A776)*MOVIMIENTOS!$E$5:$E$1005)-SUMPRODUCT((MOVIMIENTOS!$B$5:$B$1005="ENVÍO A SUPESA")*(MOVIMIENTOS!$C$5:$C$1005="P")*(MOVIMIENTOS!$D$5:$D$1005="jabas")*(MOVIMIENTOS!$A$5:$A$1005&lt;&gt;"")*(MOVIMIENTOS!$A$5:$A$1005&lt;=$A776)*MOVIMIENTOS!$E$5:$E$1005)+SUMPRODUCT((MOVIMIENTOS!$B$5:$B$1005="DEVOLUCIÓN")*(MOVIMIENTOS!$C$5:$C$1005="P")*(MOVIMIENTOS!$D$5:$D$1005="jabas")*(MOVIMIENTOS!$A$5:$A$1005&lt;&gt;"")*(MOVIMIENTOS!$A$5:$A$1005&lt;=$A776)*MOVIMIENTOS!$E$5:$E$1005)-SUMPRODUCT((MOVIMIENTOS!$B$5:$B$1005="TRASIEGO")*(MOVIMIENTOS!$C$5:$C$1005="P")*(MOVIMIENTOS!$D$5:$D$1005="jabas")*(MOVIMIENTOS!$A$5:$A$1005&lt;&gt;"")*(MOVIMIENTOS!$A$5:$A$1005&lt;=$A776)*MOVIMIENTOS!$E$5:$E$1005)-SUMPRODUCT((MOVIMIENTOS!$B$5:$B$1005="REGALO")*(MOVIMIENTOS!$C$5:$C$1005="P")*(MOVIMIENTOS!$D$5:$D$1005="jabas")*(MOVIMIENTOS!$A$5:$A$1005&lt;&gt;"")*(MOVIMIENTOS!$A$5:$A$1005&lt;=$A776)*MOVIMIENTOS!$E$5:$E$1005)-SUMPRODUCT((MOVIMIENTOS!$B$5:$B$1005="VENTA")*(MOVIMIENTOS!$C$5:$C$1005="P")*(MOVIMIENTOS!$D$5:$D$1005="jabas")*(MOVIMIENTOS!$A$5:$A$1005&lt;&gt;"")*(MOVIMIENTOS!$A$5:$A$1005&lt;=$A776)*MOVIMIENTOS!$E$5:$E$1005)+SUMPRODUCT((MOVIMIENTOS!$B$5:$B$1005="AJUSTE")*(MOVIMIENTOS!$C$5:$C$1005="P")*(MOVIMIENTOS!$D$5:$D$1005="jabas")*(MOVIMIENTOS!$A$5:$A$1005&lt;&gt;"")*(MOVIMIENTOS!$A$5:$A$1005&lt;=$A776)*MOVIMIENTOS!$E$5:$E$1005))</f>
        <v/>
      </c>
      <c r="D776" t="str">
        <f>IF($A776="","",SUMPRODUCT((MOVIMIENTOS!$B$5:$B$1005="SALDO INICIAL")*(MOVIMIENTOS!$C$5:$C$1005="C")*(MOVIMIENTOS!$D$5:$D$1005="jabas")*(MOVIMIENTOS!$A$5:$A$1005&lt;&gt;"")*(MOVIMIENTOS!$A$5:$A$1005&lt;=$A776)*MOVIMIENTOS!$E$5:$E$1005)+SUMPRODUCT((MOVIMIENTOS!$B$5:$B$1005="PROCESO")*(MOVIMIENTOS!$C$5:$C$1005="C")*(MOVIMIENTOS!$D$5:$D$1005="jabas")*(MOVIMIENTOS!$A$5:$A$1005&lt;&gt;"")*(MOVIMIENTOS!$A$5:$A$1005&lt;=$A776)*MOVIMIENTOS!$E$5:$E$1005)-SUMPRODUCT((MOVIMIENTOS!$B$5:$B$1005="ENVÍO A SUPESA")*(MOVIMIENTOS!$C$5:$C$1005="C")*(MOVIMIENTOS!$D$5:$D$1005="jabas")*(MOVIMIENTOS!$A$5:$A$1005&lt;&gt;"")*(MOVIMIENTOS!$A$5:$A$1005&lt;=$A776)*MOVIMIENTOS!$E$5:$E$1005)+SUMPRODUCT((MOVIMIENTOS!$B$5:$B$1005="DEVOLUCIÓN")*(MOVIMIENTOS!$C$5:$C$1005="C")*(MOVIMIENTOS!$D$5:$D$1005="jabas")*(MOVIMIENTOS!$A$5:$A$1005&lt;&gt;"")*(MOVIMIENTOS!$A$5:$A$1005&lt;=$A776)*MOVIMIENTOS!$E$5:$E$1005)-SUMPRODUCT((MOVIMIENTOS!$B$5:$B$1005="TRASIEGO")*(MOVIMIENTOS!$C$5:$C$1005="C")*(MOVIMIENTOS!$D$5:$D$1005="jabas")*(MOVIMIENTOS!$A$5:$A$1005&lt;&gt;"")*(MOVIMIENTOS!$A$5:$A$1005&lt;=$A776)*MOVIMIENTOS!$E$5:$E$1005)-SUMPRODUCT((MOVIMIENTOS!$B$5:$B$1005="REGALO")*(MOVIMIENTOS!$C$5:$C$1005="C")*(MOVIMIENTOS!$D$5:$D$1005="jabas")*(MOVIMIENTOS!$A$5:$A$1005&lt;&gt;"")*(MOVIMIENTOS!$A$5:$A$1005&lt;=$A776)*MOVIMIENTOS!$E$5:$E$1005)-SUMPRODUCT((MOVIMIENTOS!$B$5:$B$1005="VENTA")*(MOVIMIENTOS!$C$5:$C$1005="C")*(MOVIMIENTOS!$D$5:$D$1005="jabas")*(MOVIMIENTOS!$A$5:$A$1005&lt;&gt;"")*(MOVIMIENTOS!$A$5:$A$1005&lt;=$A776)*MOVIMIENTOS!$E$5:$E$1005)+SUMPRODUCT((MOVIMIENTOS!$B$5:$B$1005="AJUSTE")*(MOVIMIENTOS!$C$5:$C$1005="C")*(MOVIMIENTOS!$D$5:$D$1005="jabas")*(MOVIMIENTOS!$A$5:$A$1005&lt;&gt;"")*(MOVIMIENTOS!$A$5:$A$1005&lt;=$A776)*MOVIMIENTOS!$E$5:$E$1005))</f>
        <v/>
      </c>
      <c r="E776" t="str">
        <f>IF($A776="","",SUMPRODUCT((MOVIMIENTOS!$B$5:$B$1005="SALDO INICIAL")*(MOVIMIENTOS!$C$5:$C$1005="M")*(MOVIMIENTOS!$D$5:$D$1005="jabas")*(MOVIMIENTOS!$A$5:$A$1005&lt;&gt;"")*(MOVIMIENTOS!$A$5:$A$1005&lt;=$A776)*MOVIMIENTOS!$E$5:$E$1005)+SUMPRODUCT((MOVIMIENTOS!$B$5:$B$1005="PROCESO")*(MOVIMIENTOS!$C$5:$C$1005="M")*(MOVIMIENTOS!$D$5:$D$1005="jabas")*(MOVIMIENTOS!$A$5:$A$1005&lt;&gt;"")*(MOVIMIENTOS!$A$5:$A$1005&lt;=$A776)*MOVIMIENTOS!$E$5:$E$1005)-SUMPRODUCT((MOVIMIENTOS!$B$5:$B$1005="ENVÍO A SUPESA")*(MOVIMIENTOS!$C$5:$C$1005="M")*(MOVIMIENTOS!$D$5:$D$1005="jabas")*(MOVIMIENTOS!$A$5:$A$1005&lt;&gt;"")*(MOVIMIENTOS!$A$5:$A$1005&lt;=$A776)*MOVIMIENTOS!$E$5:$E$1005)+SUMPRODUCT((MOVIMIENTOS!$B$5:$B$1005="DEVOLUCIÓN")*(MOVIMIENTOS!$C$5:$C$1005="M")*(MOVIMIENTOS!$D$5:$D$1005="jabas")*(MOVIMIENTOS!$A$5:$A$1005&lt;&gt;"")*(MOVIMIENTOS!$A$5:$A$1005&lt;=$A776)*MOVIMIENTOS!$E$5:$E$1005)-SUMPRODUCT((MOVIMIENTOS!$B$5:$B$1005="TRASIEGO")*(MOVIMIENTOS!$C$5:$C$1005="M")*(MOVIMIENTOS!$D$5:$D$1005="jabas")*(MOVIMIENTOS!$A$5:$A$1005&lt;&gt;"")*(MOVIMIENTOS!$A$5:$A$1005&lt;=$A776)*MOVIMIENTOS!$E$5:$E$1005)-SUMPRODUCT((MOVIMIENTOS!$B$5:$B$1005="REGALO")*(MOVIMIENTOS!$C$5:$C$1005="M")*(MOVIMIENTOS!$D$5:$D$1005="jabas")*(MOVIMIENTOS!$A$5:$A$1005&lt;&gt;"")*(MOVIMIENTOS!$A$5:$A$1005&lt;=$A776)*MOVIMIENTOS!$E$5:$E$1005)-SUMPRODUCT((MOVIMIENTOS!$B$5:$B$1005="VENTA")*(MOVIMIENTOS!$C$5:$C$1005="M")*(MOVIMIENTOS!$D$5:$D$1005="jabas")*(MOVIMIENTOS!$A$5:$A$1005&lt;&gt;"")*(MOVIMIENTOS!$A$5:$A$1005&lt;=$A776)*MOVIMIENTOS!$E$5:$E$1005)+SUMPRODUCT((MOVIMIENTOS!$B$5:$B$1005="AJUSTE")*(MOVIMIENTOS!$C$5:$C$1005="M")*(MOVIMIENTOS!$D$5:$D$1005="jabas")*(MOVIMIENTOS!$A$5:$A$1005&lt;&gt;"")*(MOVIMIENTOS!$A$5:$A$1005&lt;=$A776)*MOVIMIENTOS!$E$5:$E$1005))</f>
        <v/>
      </c>
      <c r="F776" s="62" t="str">
        <f>IF($A776="","",SUMPRODUCT((MOVIMIENTOS!$B$5:$B$1005="SALDO INICIAL")*(MOVIMIENTOS!$C$5:$C$1005="Chancho")*(MOVIMIENTOS!$D$5:$D$1005="sacos")*(MOVIMIENTOS!$A$5:$A$1005&lt;&gt;"")*(MOVIMIENTOS!$A$5:$A$1005&lt;=$A776)*MOVIMIENTOS!$E$5:$E$1005)+SUMPRODUCT((MOVIMIENTOS!$B$5:$B$1005="PROCESO")*(MOVIMIENTOS!$C$5:$C$1005="Chancho")*(MOVIMIENTOS!$D$5:$D$1005="sacos")*(MOVIMIENTOS!$A$5:$A$1005&lt;&gt;"")*(MOVIMIENTOS!$A$5:$A$1005&lt;=$A776)*MOVIMIENTOS!$E$5:$E$1005)-SUMPRODUCT((MOVIMIENTOS!$B$5:$B$1005="VENTA CHANCHO")*(MOVIMIENTOS!$C$5:$C$1005="Chancho")*(MOVIMIENTOS!$D$5:$D$1005="sacos")*(MOVIMIENTOS!$A$5:$A$1005&lt;&gt;"")*(MOVIMIENTOS!$A$5:$A$1005&lt;=$A776)*MOVIMIENTOS!$E$5:$E$1005)-SUMPRODUCT((MOVIMIENTOS!$B$5:$B$1005="REGALO")*(MOVIMIENTOS!$C$5:$C$1005="Chancho")*(MOVIMIENTOS!$D$5:$D$1005="sacos")*(MOVIMIENTOS!$A$5:$A$1005&lt;&gt;"")*(MOVIMIENTOS!$A$5:$A$1005&lt;=$A776)*MOVIMIENTOS!$E$5:$E$1005)-SUMPRODUCT((MOVIMIENTOS!$B$5:$B$1005="VENTA")*(MOVIMIENTOS!$C$5:$C$1005="Chancho")*(MOVIMIENTOS!$D$5:$D$1005="sacos")*(MOVIMIENTOS!$A$5:$A$1005&lt;&gt;"")*(MOVIMIENTOS!$A$5:$A$1005&lt;=$A776)*MOVIMIENTOS!$E$5:$E$1005)+SUMPRODUCT((MOVIMIENTOS!$B$5:$B$1005="AJUSTE")*(MOVIMIENTOS!$C$5:$C$1005="Chancho")*(MOVIMIENTOS!$D$5:$D$1005="sacos")*(MOVIMIENTOS!$A$5:$A$1005&lt;&gt;"")*(MOVIMIENTOS!$A$5:$A$1005&lt;=$A776)*MOVIMIENTOS!$E$5:$E$1005))</f>
        <v/>
      </c>
      <c r="G776" s="62" t="str">
        <f t="shared" si="25"/>
        <v/>
      </c>
      <c r="H776" t="str">
        <f>IF($A776="","",SUMPRODUCT((((MOVIMIENTOS!$B$5:$B$1005="SALDO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776)*MOVIMIENTOS!$J$5:$J$1005))</f>
        <v/>
      </c>
      <c r="J776" t="str">
        <f>IF(AND(MOVIMIENTOS!$A781&lt;&gt;"",COUNTIF(MOVIMIENTOS!$A$5:$A780,MOVIMIENTOS!$A781)=0),COUNT(J$4:J775)+1,"")</f>
        <v/>
      </c>
      <c r="K776">
        <f>MOVIMIENTOS!$A781</f>
        <v>0</v>
      </c>
    </row>
    <row r="777" spans="1:11" ht="15" customHeight="1" x14ac:dyDescent="0.2">
      <c r="A777" t="str">
        <f t="shared" si="24"/>
        <v/>
      </c>
      <c r="B777" t="str">
        <f>IF($A777="","",SUMPRODUCT((MOVIMIENTOS!$B$5:$B$1005="SALDO INICIAL")*(MOVIMIENTOS!$C$5:$C$1005="A")*(MOVIMIENTOS!$D$5:$D$1005="jabas")*(MOVIMIENTOS!$A$5:$A$1005&lt;&gt;"")*(MOVIMIENTOS!$A$5:$A$1005&lt;=$A777)*MOVIMIENTOS!$E$5:$E$1005)+SUMPRODUCT((MOVIMIENTOS!$B$5:$B$1005="PROCESO")*(MOVIMIENTOS!$C$5:$C$1005="A")*(MOVIMIENTOS!$D$5:$D$1005="jabas")*(MOVIMIENTOS!$A$5:$A$1005&lt;&gt;"")*(MOVIMIENTOS!$A$5:$A$1005&lt;=$A777)*MOVIMIENTOS!$E$5:$E$1005)-SUMPRODUCT((MOVIMIENTOS!$B$5:$B$1005="ENVÍO A SUPESA")*(MOVIMIENTOS!$C$5:$C$1005="A")*(MOVIMIENTOS!$D$5:$D$1005="jabas")*(MOVIMIENTOS!$A$5:$A$1005&lt;&gt;"")*(MOVIMIENTOS!$A$5:$A$1005&lt;=$A777)*MOVIMIENTOS!$E$5:$E$1005)+SUMPRODUCT((MOVIMIENTOS!$B$5:$B$1005="DEVOLUCIÓN")*(MOVIMIENTOS!$C$5:$C$1005="A")*(MOVIMIENTOS!$D$5:$D$1005="jabas")*(MOVIMIENTOS!$A$5:$A$1005&lt;&gt;"")*(MOVIMIENTOS!$A$5:$A$1005&lt;=$A777)*MOVIMIENTOS!$E$5:$E$1005)-SUMPRODUCT((MOVIMIENTOS!$B$5:$B$1005="TRASIEGO")*(MOVIMIENTOS!$C$5:$C$1005="A")*(MOVIMIENTOS!$D$5:$D$1005="jabas")*(MOVIMIENTOS!$A$5:$A$1005&lt;&gt;"")*(MOVIMIENTOS!$A$5:$A$1005&lt;=$A777)*MOVIMIENTOS!$E$5:$E$1005)-SUMPRODUCT((MOVIMIENTOS!$B$5:$B$1005="REGALO")*(MOVIMIENTOS!$C$5:$C$1005="A")*(MOVIMIENTOS!$D$5:$D$1005="jabas")*(MOVIMIENTOS!$A$5:$A$1005&lt;&gt;"")*(MOVIMIENTOS!$A$5:$A$1005&lt;=$A777)*MOVIMIENTOS!$E$5:$E$1005)-SUMPRODUCT((MOVIMIENTOS!$B$5:$B$1005="VENTA")*(MOVIMIENTOS!$C$5:$C$1005="A")*(MOVIMIENTOS!$D$5:$D$1005="jabas")*(MOVIMIENTOS!$A$5:$A$1005&lt;&gt;"")*(MOVIMIENTOS!$A$5:$A$1005&lt;=$A777)*MOVIMIENTOS!$E$5:$E$1005)+SUMPRODUCT((MOVIMIENTOS!$B$5:$B$1005="AJUSTE")*(MOVIMIENTOS!$C$5:$C$1005="A")*(MOVIMIENTOS!$D$5:$D$1005="jabas")*(MOVIMIENTOS!$A$5:$A$1005&lt;&gt;"")*(MOVIMIENTOS!$A$5:$A$1005&lt;=$A777)*MOVIMIENTOS!$E$5:$E$1005))</f>
        <v/>
      </c>
      <c r="C777" t="str">
        <f>IF($A777="","",SUMPRODUCT((MOVIMIENTOS!$B$5:$B$1005="SALDO INICIAL")*(MOVIMIENTOS!$C$5:$C$1005="P")*(MOVIMIENTOS!$D$5:$D$1005="jabas")*(MOVIMIENTOS!$A$5:$A$1005&lt;&gt;"")*(MOVIMIENTOS!$A$5:$A$1005&lt;=$A777)*MOVIMIENTOS!$E$5:$E$1005)+SUMPRODUCT((MOVIMIENTOS!$B$5:$B$1005="PROCESO")*(MOVIMIENTOS!$C$5:$C$1005="P")*(MOVIMIENTOS!$D$5:$D$1005="jabas")*(MOVIMIENTOS!$A$5:$A$1005&lt;&gt;"")*(MOVIMIENTOS!$A$5:$A$1005&lt;=$A777)*MOVIMIENTOS!$E$5:$E$1005)-SUMPRODUCT((MOVIMIENTOS!$B$5:$B$1005="ENVÍO A SUPESA")*(MOVIMIENTOS!$C$5:$C$1005="P")*(MOVIMIENTOS!$D$5:$D$1005="jabas")*(MOVIMIENTOS!$A$5:$A$1005&lt;&gt;"")*(MOVIMIENTOS!$A$5:$A$1005&lt;=$A777)*MOVIMIENTOS!$E$5:$E$1005)+SUMPRODUCT((MOVIMIENTOS!$B$5:$B$1005="DEVOLUCIÓN")*(MOVIMIENTOS!$C$5:$C$1005="P")*(MOVIMIENTOS!$D$5:$D$1005="jabas")*(MOVIMIENTOS!$A$5:$A$1005&lt;&gt;"")*(MOVIMIENTOS!$A$5:$A$1005&lt;=$A777)*MOVIMIENTOS!$E$5:$E$1005)-SUMPRODUCT((MOVIMIENTOS!$B$5:$B$1005="TRASIEGO")*(MOVIMIENTOS!$C$5:$C$1005="P")*(MOVIMIENTOS!$D$5:$D$1005="jabas")*(MOVIMIENTOS!$A$5:$A$1005&lt;&gt;"")*(MOVIMIENTOS!$A$5:$A$1005&lt;=$A777)*MOVIMIENTOS!$E$5:$E$1005)-SUMPRODUCT((MOVIMIENTOS!$B$5:$B$1005="REGALO")*(MOVIMIENTOS!$C$5:$C$1005="P")*(MOVIMIENTOS!$D$5:$D$1005="jabas")*(MOVIMIENTOS!$A$5:$A$1005&lt;&gt;"")*(MOVIMIENTOS!$A$5:$A$1005&lt;=$A777)*MOVIMIENTOS!$E$5:$E$1005)-SUMPRODUCT((MOVIMIENTOS!$B$5:$B$1005="VENTA")*(MOVIMIENTOS!$C$5:$C$1005="P")*(MOVIMIENTOS!$D$5:$D$1005="jabas")*(MOVIMIENTOS!$A$5:$A$1005&lt;&gt;"")*(MOVIMIENTOS!$A$5:$A$1005&lt;=$A777)*MOVIMIENTOS!$E$5:$E$1005)+SUMPRODUCT((MOVIMIENTOS!$B$5:$B$1005="AJUSTE")*(MOVIMIENTOS!$C$5:$C$1005="P")*(MOVIMIENTOS!$D$5:$D$1005="jabas")*(MOVIMIENTOS!$A$5:$A$1005&lt;&gt;"")*(MOVIMIENTOS!$A$5:$A$1005&lt;=$A777)*MOVIMIENTOS!$E$5:$E$1005))</f>
        <v/>
      </c>
      <c r="D777" t="str">
        <f>IF($A777="","",SUMPRODUCT((MOVIMIENTOS!$B$5:$B$1005="SALDO INICIAL")*(MOVIMIENTOS!$C$5:$C$1005="C")*(MOVIMIENTOS!$D$5:$D$1005="jabas")*(MOVIMIENTOS!$A$5:$A$1005&lt;&gt;"")*(MOVIMIENTOS!$A$5:$A$1005&lt;=$A777)*MOVIMIENTOS!$E$5:$E$1005)+SUMPRODUCT((MOVIMIENTOS!$B$5:$B$1005="PROCESO")*(MOVIMIENTOS!$C$5:$C$1005="C")*(MOVIMIENTOS!$D$5:$D$1005="jabas")*(MOVIMIENTOS!$A$5:$A$1005&lt;&gt;"")*(MOVIMIENTOS!$A$5:$A$1005&lt;=$A777)*MOVIMIENTOS!$E$5:$E$1005)-SUMPRODUCT((MOVIMIENTOS!$B$5:$B$1005="ENVÍO A SUPESA")*(MOVIMIENTOS!$C$5:$C$1005="C")*(MOVIMIENTOS!$D$5:$D$1005="jabas")*(MOVIMIENTOS!$A$5:$A$1005&lt;&gt;"")*(MOVIMIENTOS!$A$5:$A$1005&lt;=$A777)*MOVIMIENTOS!$E$5:$E$1005)+SUMPRODUCT((MOVIMIENTOS!$B$5:$B$1005="DEVOLUCIÓN")*(MOVIMIENTOS!$C$5:$C$1005="C")*(MOVIMIENTOS!$D$5:$D$1005="jabas")*(MOVIMIENTOS!$A$5:$A$1005&lt;&gt;"")*(MOVIMIENTOS!$A$5:$A$1005&lt;=$A777)*MOVIMIENTOS!$E$5:$E$1005)-SUMPRODUCT((MOVIMIENTOS!$B$5:$B$1005="TRASIEGO")*(MOVIMIENTOS!$C$5:$C$1005="C")*(MOVIMIENTOS!$D$5:$D$1005="jabas")*(MOVIMIENTOS!$A$5:$A$1005&lt;&gt;"")*(MOVIMIENTOS!$A$5:$A$1005&lt;=$A777)*MOVIMIENTOS!$E$5:$E$1005)-SUMPRODUCT((MOVIMIENTOS!$B$5:$B$1005="REGALO")*(MOVIMIENTOS!$C$5:$C$1005="C")*(MOVIMIENTOS!$D$5:$D$1005="jabas")*(MOVIMIENTOS!$A$5:$A$1005&lt;&gt;"")*(MOVIMIENTOS!$A$5:$A$1005&lt;=$A777)*MOVIMIENTOS!$E$5:$E$1005)-SUMPRODUCT((MOVIMIENTOS!$B$5:$B$1005="VENTA")*(MOVIMIENTOS!$C$5:$C$1005="C")*(MOVIMIENTOS!$D$5:$D$1005="jabas")*(MOVIMIENTOS!$A$5:$A$1005&lt;&gt;"")*(MOVIMIENTOS!$A$5:$A$1005&lt;=$A777)*MOVIMIENTOS!$E$5:$E$1005)+SUMPRODUCT((MOVIMIENTOS!$B$5:$B$1005="AJUSTE")*(MOVIMIENTOS!$C$5:$C$1005="C")*(MOVIMIENTOS!$D$5:$D$1005="jabas")*(MOVIMIENTOS!$A$5:$A$1005&lt;&gt;"")*(MOVIMIENTOS!$A$5:$A$1005&lt;=$A777)*MOVIMIENTOS!$E$5:$E$1005))</f>
        <v/>
      </c>
      <c r="E777" t="str">
        <f>IF($A777="","",SUMPRODUCT((MOVIMIENTOS!$B$5:$B$1005="SALDO INICIAL")*(MOVIMIENTOS!$C$5:$C$1005="M")*(MOVIMIENTOS!$D$5:$D$1005="jabas")*(MOVIMIENTOS!$A$5:$A$1005&lt;&gt;"")*(MOVIMIENTOS!$A$5:$A$1005&lt;=$A777)*MOVIMIENTOS!$E$5:$E$1005)+SUMPRODUCT((MOVIMIENTOS!$B$5:$B$1005="PROCESO")*(MOVIMIENTOS!$C$5:$C$1005="M")*(MOVIMIENTOS!$D$5:$D$1005="jabas")*(MOVIMIENTOS!$A$5:$A$1005&lt;&gt;"")*(MOVIMIENTOS!$A$5:$A$1005&lt;=$A777)*MOVIMIENTOS!$E$5:$E$1005)-SUMPRODUCT((MOVIMIENTOS!$B$5:$B$1005="ENVÍO A SUPESA")*(MOVIMIENTOS!$C$5:$C$1005="M")*(MOVIMIENTOS!$D$5:$D$1005="jabas")*(MOVIMIENTOS!$A$5:$A$1005&lt;&gt;"")*(MOVIMIENTOS!$A$5:$A$1005&lt;=$A777)*MOVIMIENTOS!$E$5:$E$1005)+SUMPRODUCT((MOVIMIENTOS!$B$5:$B$1005="DEVOLUCIÓN")*(MOVIMIENTOS!$C$5:$C$1005="M")*(MOVIMIENTOS!$D$5:$D$1005="jabas")*(MOVIMIENTOS!$A$5:$A$1005&lt;&gt;"")*(MOVIMIENTOS!$A$5:$A$1005&lt;=$A777)*MOVIMIENTOS!$E$5:$E$1005)-SUMPRODUCT((MOVIMIENTOS!$B$5:$B$1005="TRASIEGO")*(MOVIMIENTOS!$C$5:$C$1005="M")*(MOVIMIENTOS!$D$5:$D$1005="jabas")*(MOVIMIENTOS!$A$5:$A$1005&lt;&gt;"")*(MOVIMIENTOS!$A$5:$A$1005&lt;=$A777)*MOVIMIENTOS!$E$5:$E$1005)-SUMPRODUCT((MOVIMIENTOS!$B$5:$B$1005="REGALO")*(MOVIMIENTOS!$C$5:$C$1005="M")*(MOVIMIENTOS!$D$5:$D$1005="jabas")*(MOVIMIENTOS!$A$5:$A$1005&lt;&gt;"")*(MOVIMIENTOS!$A$5:$A$1005&lt;=$A777)*MOVIMIENTOS!$E$5:$E$1005)-SUMPRODUCT((MOVIMIENTOS!$B$5:$B$1005="VENTA")*(MOVIMIENTOS!$C$5:$C$1005="M")*(MOVIMIENTOS!$D$5:$D$1005="jabas")*(MOVIMIENTOS!$A$5:$A$1005&lt;&gt;"")*(MOVIMIENTOS!$A$5:$A$1005&lt;=$A777)*MOVIMIENTOS!$E$5:$E$1005)+SUMPRODUCT((MOVIMIENTOS!$B$5:$B$1005="AJUSTE")*(MOVIMIENTOS!$C$5:$C$1005="M")*(MOVIMIENTOS!$D$5:$D$1005="jabas")*(MOVIMIENTOS!$A$5:$A$1005&lt;&gt;"")*(MOVIMIENTOS!$A$5:$A$1005&lt;=$A777)*MOVIMIENTOS!$E$5:$E$1005))</f>
        <v/>
      </c>
      <c r="F777" s="62" t="str">
        <f>IF($A777="","",SUMPRODUCT((MOVIMIENTOS!$B$5:$B$1005="SALDO INICIAL")*(MOVIMIENTOS!$C$5:$C$1005="Chancho")*(MOVIMIENTOS!$D$5:$D$1005="sacos")*(MOVIMIENTOS!$A$5:$A$1005&lt;&gt;"")*(MOVIMIENTOS!$A$5:$A$1005&lt;=$A777)*MOVIMIENTOS!$E$5:$E$1005)+SUMPRODUCT((MOVIMIENTOS!$B$5:$B$1005="PROCESO")*(MOVIMIENTOS!$C$5:$C$1005="Chancho")*(MOVIMIENTOS!$D$5:$D$1005="sacos")*(MOVIMIENTOS!$A$5:$A$1005&lt;&gt;"")*(MOVIMIENTOS!$A$5:$A$1005&lt;=$A777)*MOVIMIENTOS!$E$5:$E$1005)-SUMPRODUCT((MOVIMIENTOS!$B$5:$B$1005="VENTA CHANCHO")*(MOVIMIENTOS!$C$5:$C$1005="Chancho")*(MOVIMIENTOS!$D$5:$D$1005="sacos")*(MOVIMIENTOS!$A$5:$A$1005&lt;&gt;"")*(MOVIMIENTOS!$A$5:$A$1005&lt;=$A777)*MOVIMIENTOS!$E$5:$E$1005)-SUMPRODUCT((MOVIMIENTOS!$B$5:$B$1005="REGALO")*(MOVIMIENTOS!$C$5:$C$1005="Chancho")*(MOVIMIENTOS!$D$5:$D$1005="sacos")*(MOVIMIENTOS!$A$5:$A$1005&lt;&gt;"")*(MOVIMIENTOS!$A$5:$A$1005&lt;=$A777)*MOVIMIENTOS!$E$5:$E$1005)-SUMPRODUCT((MOVIMIENTOS!$B$5:$B$1005="VENTA")*(MOVIMIENTOS!$C$5:$C$1005="Chancho")*(MOVIMIENTOS!$D$5:$D$1005="sacos")*(MOVIMIENTOS!$A$5:$A$1005&lt;&gt;"")*(MOVIMIENTOS!$A$5:$A$1005&lt;=$A777)*MOVIMIENTOS!$E$5:$E$1005)+SUMPRODUCT((MOVIMIENTOS!$B$5:$B$1005="AJUSTE")*(MOVIMIENTOS!$C$5:$C$1005="Chancho")*(MOVIMIENTOS!$D$5:$D$1005="sacos")*(MOVIMIENTOS!$A$5:$A$1005&lt;&gt;"")*(MOVIMIENTOS!$A$5:$A$1005&lt;=$A777)*MOVIMIENTOS!$E$5:$E$1005))</f>
        <v/>
      </c>
      <c r="G777" s="62" t="str">
        <f t="shared" si="25"/>
        <v/>
      </c>
      <c r="H777" t="str">
        <f>IF($A777="","",SUMPRODUCT((((MOVIMIENTOS!$B$5:$B$1005="SALDO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777)*MOVIMIENTOS!$J$5:$J$1005))</f>
        <v/>
      </c>
      <c r="J777" t="str">
        <f>IF(AND(MOVIMIENTOS!$A782&lt;&gt;"",COUNTIF(MOVIMIENTOS!$A$5:$A781,MOVIMIENTOS!$A782)=0),COUNT(J$4:J776)+1,"")</f>
        <v/>
      </c>
      <c r="K777">
        <f>MOVIMIENTOS!$A782</f>
        <v>0</v>
      </c>
    </row>
    <row r="778" spans="1:11" ht="15" customHeight="1" x14ac:dyDescent="0.2">
      <c r="A778" t="str">
        <f t="shared" si="24"/>
        <v/>
      </c>
      <c r="B778" t="str">
        <f>IF($A778="","",SUMPRODUCT((MOVIMIENTOS!$B$5:$B$1005="SALDO INICIAL")*(MOVIMIENTOS!$C$5:$C$1005="A")*(MOVIMIENTOS!$D$5:$D$1005="jabas")*(MOVIMIENTOS!$A$5:$A$1005&lt;&gt;"")*(MOVIMIENTOS!$A$5:$A$1005&lt;=$A778)*MOVIMIENTOS!$E$5:$E$1005)+SUMPRODUCT((MOVIMIENTOS!$B$5:$B$1005="PROCESO")*(MOVIMIENTOS!$C$5:$C$1005="A")*(MOVIMIENTOS!$D$5:$D$1005="jabas")*(MOVIMIENTOS!$A$5:$A$1005&lt;&gt;"")*(MOVIMIENTOS!$A$5:$A$1005&lt;=$A778)*MOVIMIENTOS!$E$5:$E$1005)-SUMPRODUCT((MOVIMIENTOS!$B$5:$B$1005="ENVÍO A SUPESA")*(MOVIMIENTOS!$C$5:$C$1005="A")*(MOVIMIENTOS!$D$5:$D$1005="jabas")*(MOVIMIENTOS!$A$5:$A$1005&lt;&gt;"")*(MOVIMIENTOS!$A$5:$A$1005&lt;=$A778)*MOVIMIENTOS!$E$5:$E$1005)+SUMPRODUCT((MOVIMIENTOS!$B$5:$B$1005="DEVOLUCIÓN")*(MOVIMIENTOS!$C$5:$C$1005="A")*(MOVIMIENTOS!$D$5:$D$1005="jabas")*(MOVIMIENTOS!$A$5:$A$1005&lt;&gt;"")*(MOVIMIENTOS!$A$5:$A$1005&lt;=$A778)*MOVIMIENTOS!$E$5:$E$1005)-SUMPRODUCT((MOVIMIENTOS!$B$5:$B$1005="TRASIEGO")*(MOVIMIENTOS!$C$5:$C$1005="A")*(MOVIMIENTOS!$D$5:$D$1005="jabas")*(MOVIMIENTOS!$A$5:$A$1005&lt;&gt;"")*(MOVIMIENTOS!$A$5:$A$1005&lt;=$A778)*MOVIMIENTOS!$E$5:$E$1005)-SUMPRODUCT((MOVIMIENTOS!$B$5:$B$1005="REGALO")*(MOVIMIENTOS!$C$5:$C$1005="A")*(MOVIMIENTOS!$D$5:$D$1005="jabas")*(MOVIMIENTOS!$A$5:$A$1005&lt;&gt;"")*(MOVIMIENTOS!$A$5:$A$1005&lt;=$A778)*MOVIMIENTOS!$E$5:$E$1005)-SUMPRODUCT((MOVIMIENTOS!$B$5:$B$1005="VENTA")*(MOVIMIENTOS!$C$5:$C$1005="A")*(MOVIMIENTOS!$D$5:$D$1005="jabas")*(MOVIMIENTOS!$A$5:$A$1005&lt;&gt;"")*(MOVIMIENTOS!$A$5:$A$1005&lt;=$A778)*MOVIMIENTOS!$E$5:$E$1005)+SUMPRODUCT((MOVIMIENTOS!$B$5:$B$1005="AJUSTE")*(MOVIMIENTOS!$C$5:$C$1005="A")*(MOVIMIENTOS!$D$5:$D$1005="jabas")*(MOVIMIENTOS!$A$5:$A$1005&lt;&gt;"")*(MOVIMIENTOS!$A$5:$A$1005&lt;=$A778)*MOVIMIENTOS!$E$5:$E$1005))</f>
        <v/>
      </c>
      <c r="C778" t="str">
        <f>IF($A778="","",SUMPRODUCT((MOVIMIENTOS!$B$5:$B$1005="SALDO INICIAL")*(MOVIMIENTOS!$C$5:$C$1005="P")*(MOVIMIENTOS!$D$5:$D$1005="jabas")*(MOVIMIENTOS!$A$5:$A$1005&lt;&gt;"")*(MOVIMIENTOS!$A$5:$A$1005&lt;=$A778)*MOVIMIENTOS!$E$5:$E$1005)+SUMPRODUCT((MOVIMIENTOS!$B$5:$B$1005="PROCESO")*(MOVIMIENTOS!$C$5:$C$1005="P")*(MOVIMIENTOS!$D$5:$D$1005="jabas")*(MOVIMIENTOS!$A$5:$A$1005&lt;&gt;"")*(MOVIMIENTOS!$A$5:$A$1005&lt;=$A778)*MOVIMIENTOS!$E$5:$E$1005)-SUMPRODUCT((MOVIMIENTOS!$B$5:$B$1005="ENVÍO A SUPESA")*(MOVIMIENTOS!$C$5:$C$1005="P")*(MOVIMIENTOS!$D$5:$D$1005="jabas")*(MOVIMIENTOS!$A$5:$A$1005&lt;&gt;"")*(MOVIMIENTOS!$A$5:$A$1005&lt;=$A778)*MOVIMIENTOS!$E$5:$E$1005)+SUMPRODUCT((MOVIMIENTOS!$B$5:$B$1005="DEVOLUCIÓN")*(MOVIMIENTOS!$C$5:$C$1005="P")*(MOVIMIENTOS!$D$5:$D$1005="jabas")*(MOVIMIENTOS!$A$5:$A$1005&lt;&gt;"")*(MOVIMIENTOS!$A$5:$A$1005&lt;=$A778)*MOVIMIENTOS!$E$5:$E$1005)-SUMPRODUCT((MOVIMIENTOS!$B$5:$B$1005="TRASIEGO")*(MOVIMIENTOS!$C$5:$C$1005="P")*(MOVIMIENTOS!$D$5:$D$1005="jabas")*(MOVIMIENTOS!$A$5:$A$1005&lt;&gt;"")*(MOVIMIENTOS!$A$5:$A$1005&lt;=$A778)*MOVIMIENTOS!$E$5:$E$1005)-SUMPRODUCT((MOVIMIENTOS!$B$5:$B$1005="REGALO")*(MOVIMIENTOS!$C$5:$C$1005="P")*(MOVIMIENTOS!$D$5:$D$1005="jabas")*(MOVIMIENTOS!$A$5:$A$1005&lt;&gt;"")*(MOVIMIENTOS!$A$5:$A$1005&lt;=$A778)*MOVIMIENTOS!$E$5:$E$1005)-SUMPRODUCT((MOVIMIENTOS!$B$5:$B$1005="VENTA")*(MOVIMIENTOS!$C$5:$C$1005="P")*(MOVIMIENTOS!$D$5:$D$1005="jabas")*(MOVIMIENTOS!$A$5:$A$1005&lt;&gt;"")*(MOVIMIENTOS!$A$5:$A$1005&lt;=$A778)*MOVIMIENTOS!$E$5:$E$1005)+SUMPRODUCT((MOVIMIENTOS!$B$5:$B$1005="AJUSTE")*(MOVIMIENTOS!$C$5:$C$1005="P")*(MOVIMIENTOS!$D$5:$D$1005="jabas")*(MOVIMIENTOS!$A$5:$A$1005&lt;&gt;"")*(MOVIMIENTOS!$A$5:$A$1005&lt;=$A778)*MOVIMIENTOS!$E$5:$E$1005))</f>
        <v/>
      </c>
      <c r="D778" t="str">
        <f>IF($A778="","",SUMPRODUCT((MOVIMIENTOS!$B$5:$B$1005="SALDO INICIAL")*(MOVIMIENTOS!$C$5:$C$1005="C")*(MOVIMIENTOS!$D$5:$D$1005="jabas")*(MOVIMIENTOS!$A$5:$A$1005&lt;&gt;"")*(MOVIMIENTOS!$A$5:$A$1005&lt;=$A778)*MOVIMIENTOS!$E$5:$E$1005)+SUMPRODUCT((MOVIMIENTOS!$B$5:$B$1005="PROCESO")*(MOVIMIENTOS!$C$5:$C$1005="C")*(MOVIMIENTOS!$D$5:$D$1005="jabas")*(MOVIMIENTOS!$A$5:$A$1005&lt;&gt;"")*(MOVIMIENTOS!$A$5:$A$1005&lt;=$A778)*MOVIMIENTOS!$E$5:$E$1005)-SUMPRODUCT((MOVIMIENTOS!$B$5:$B$1005="ENVÍO A SUPESA")*(MOVIMIENTOS!$C$5:$C$1005="C")*(MOVIMIENTOS!$D$5:$D$1005="jabas")*(MOVIMIENTOS!$A$5:$A$1005&lt;&gt;"")*(MOVIMIENTOS!$A$5:$A$1005&lt;=$A778)*MOVIMIENTOS!$E$5:$E$1005)+SUMPRODUCT((MOVIMIENTOS!$B$5:$B$1005="DEVOLUCIÓN")*(MOVIMIENTOS!$C$5:$C$1005="C")*(MOVIMIENTOS!$D$5:$D$1005="jabas")*(MOVIMIENTOS!$A$5:$A$1005&lt;&gt;"")*(MOVIMIENTOS!$A$5:$A$1005&lt;=$A778)*MOVIMIENTOS!$E$5:$E$1005)-SUMPRODUCT((MOVIMIENTOS!$B$5:$B$1005="TRASIEGO")*(MOVIMIENTOS!$C$5:$C$1005="C")*(MOVIMIENTOS!$D$5:$D$1005="jabas")*(MOVIMIENTOS!$A$5:$A$1005&lt;&gt;"")*(MOVIMIENTOS!$A$5:$A$1005&lt;=$A778)*MOVIMIENTOS!$E$5:$E$1005)-SUMPRODUCT((MOVIMIENTOS!$B$5:$B$1005="REGALO")*(MOVIMIENTOS!$C$5:$C$1005="C")*(MOVIMIENTOS!$D$5:$D$1005="jabas")*(MOVIMIENTOS!$A$5:$A$1005&lt;&gt;"")*(MOVIMIENTOS!$A$5:$A$1005&lt;=$A778)*MOVIMIENTOS!$E$5:$E$1005)-SUMPRODUCT((MOVIMIENTOS!$B$5:$B$1005="VENTA")*(MOVIMIENTOS!$C$5:$C$1005="C")*(MOVIMIENTOS!$D$5:$D$1005="jabas")*(MOVIMIENTOS!$A$5:$A$1005&lt;&gt;"")*(MOVIMIENTOS!$A$5:$A$1005&lt;=$A778)*MOVIMIENTOS!$E$5:$E$1005)+SUMPRODUCT((MOVIMIENTOS!$B$5:$B$1005="AJUSTE")*(MOVIMIENTOS!$C$5:$C$1005="C")*(MOVIMIENTOS!$D$5:$D$1005="jabas")*(MOVIMIENTOS!$A$5:$A$1005&lt;&gt;"")*(MOVIMIENTOS!$A$5:$A$1005&lt;=$A778)*MOVIMIENTOS!$E$5:$E$1005))</f>
        <v/>
      </c>
      <c r="E778" t="str">
        <f>IF($A778="","",SUMPRODUCT((MOVIMIENTOS!$B$5:$B$1005="SALDO INICIAL")*(MOVIMIENTOS!$C$5:$C$1005="M")*(MOVIMIENTOS!$D$5:$D$1005="jabas")*(MOVIMIENTOS!$A$5:$A$1005&lt;&gt;"")*(MOVIMIENTOS!$A$5:$A$1005&lt;=$A778)*MOVIMIENTOS!$E$5:$E$1005)+SUMPRODUCT((MOVIMIENTOS!$B$5:$B$1005="PROCESO")*(MOVIMIENTOS!$C$5:$C$1005="M")*(MOVIMIENTOS!$D$5:$D$1005="jabas")*(MOVIMIENTOS!$A$5:$A$1005&lt;&gt;"")*(MOVIMIENTOS!$A$5:$A$1005&lt;=$A778)*MOVIMIENTOS!$E$5:$E$1005)-SUMPRODUCT((MOVIMIENTOS!$B$5:$B$1005="ENVÍO A SUPESA")*(MOVIMIENTOS!$C$5:$C$1005="M")*(MOVIMIENTOS!$D$5:$D$1005="jabas")*(MOVIMIENTOS!$A$5:$A$1005&lt;&gt;"")*(MOVIMIENTOS!$A$5:$A$1005&lt;=$A778)*MOVIMIENTOS!$E$5:$E$1005)+SUMPRODUCT((MOVIMIENTOS!$B$5:$B$1005="DEVOLUCIÓN")*(MOVIMIENTOS!$C$5:$C$1005="M")*(MOVIMIENTOS!$D$5:$D$1005="jabas")*(MOVIMIENTOS!$A$5:$A$1005&lt;&gt;"")*(MOVIMIENTOS!$A$5:$A$1005&lt;=$A778)*MOVIMIENTOS!$E$5:$E$1005)-SUMPRODUCT((MOVIMIENTOS!$B$5:$B$1005="TRASIEGO")*(MOVIMIENTOS!$C$5:$C$1005="M")*(MOVIMIENTOS!$D$5:$D$1005="jabas")*(MOVIMIENTOS!$A$5:$A$1005&lt;&gt;"")*(MOVIMIENTOS!$A$5:$A$1005&lt;=$A778)*MOVIMIENTOS!$E$5:$E$1005)-SUMPRODUCT((MOVIMIENTOS!$B$5:$B$1005="REGALO")*(MOVIMIENTOS!$C$5:$C$1005="M")*(MOVIMIENTOS!$D$5:$D$1005="jabas")*(MOVIMIENTOS!$A$5:$A$1005&lt;&gt;"")*(MOVIMIENTOS!$A$5:$A$1005&lt;=$A778)*MOVIMIENTOS!$E$5:$E$1005)-SUMPRODUCT((MOVIMIENTOS!$B$5:$B$1005="VENTA")*(MOVIMIENTOS!$C$5:$C$1005="M")*(MOVIMIENTOS!$D$5:$D$1005="jabas")*(MOVIMIENTOS!$A$5:$A$1005&lt;&gt;"")*(MOVIMIENTOS!$A$5:$A$1005&lt;=$A778)*MOVIMIENTOS!$E$5:$E$1005)+SUMPRODUCT((MOVIMIENTOS!$B$5:$B$1005="AJUSTE")*(MOVIMIENTOS!$C$5:$C$1005="M")*(MOVIMIENTOS!$D$5:$D$1005="jabas")*(MOVIMIENTOS!$A$5:$A$1005&lt;&gt;"")*(MOVIMIENTOS!$A$5:$A$1005&lt;=$A778)*MOVIMIENTOS!$E$5:$E$1005))</f>
        <v/>
      </c>
      <c r="F778" s="62" t="str">
        <f>IF($A778="","",SUMPRODUCT((MOVIMIENTOS!$B$5:$B$1005="SALDO INICIAL")*(MOVIMIENTOS!$C$5:$C$1005="Chancho")*(MOVIMIENTOS!$D$5:$D$1005="sacos")*(MOVIMIENTOS!$A$5:$A$1005&lt;&gt;"")*(MOVIMIENTOS!$A$5:$A$1005&lt;=$A778)*MOVIMIENTOS!$E$5:$E$1005)+SUMPRODUCT((MOVIMIENTOS!$B$5:$B$1005="PROCESO")*(MOVIMIENTOS!$C$5:$C$1005="Chancho")*(MOVIMIENTOS!$D$5:$D$1005="sacos")*(MOVIMIENTOS!$A$5:$A$1005&lt;&gt;"")*(MOVIMIENTOS!$A$5:$A$1005&lt;=$A778)*MOVIMIENTOS!$E$5:$E$1005)-SUMPRODUCT((MOVIMIENTOS!$B$5:$B$1005="VENTA CHANCHO")*(MOVIMIENTOS!$C$5:$C$1005="Chancho")*(MOVIMIENTOS!$D$5:$D$1005="sacos")*(MOVIMIENTOS!$A$5:$A$1005&lt;&gt;"")*(MOVIMIENTOS!$A$5:$A$1005&lt;=$A778)*MOVIMIENTOS!$E$5:$E$1005)-SUMPRODUCT((MOVIMIENTOS!$B$5:$B$1005="REGALO")*(MOVIMIENTOS!$C$5:$C$1005="Chancho")*(MOVIMIENTOS!$D$5:$D$1005="sacos")*(MOVIMIENTOS!$A$5:$A$1005&lt;&gt;"")*(MOVIMIENTOS!$A$5:$A$1005&lt;=$A778)*MOVIMIENTOS!$E$5:$E$1005)-SUMPRODUCT((MOVIMIENTOS!$B$5:$B$1005="VENTA")*(MOVIMIENTOS!$C$5:$C$1005="Chancho")*(MOVIMIENTOS!$D$5:$D$1005="sacos")*(MOVIMIENTOS!$A$5:$A$1005&lt;&gt;"")*(MOVIMIENTOS!$A$5:$A$1005&lt;=$A778)*MOVIMIENTOS!$E$5:$E$1005)+SUMPRODUCT((MOVIMIENTOS!$B$5:$B$1005="AJUSTE")*(MOVIMIENTOS!$C$5:$C$1005="Chancho")*(MOVIMIENTOS!$D$5:$D$1005="sacos")*(MOVIMIENTOS!$A$5:$A$1005&lt;&gt;"")*(MOVIMIENTOS!$A$5:$A$1005&lt;=$A778)*MOVIMIENTOS!$E$5:$E$1005))</f>
        <v/>
      </c>
      <c r="G778" s="62" t="str">
        <f t="shared" si="25"/>
        <v/>
      </c>
      <c r="H778" t="str">
        <f>IF($A778="","",SUMPRODUCT((((MOVIMIENTOS!$B$5:$B$1005="SALDO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778)*MOVIMIENTOS!$J$5:$J$1005))</f>
        <v/>
      </c>
      <c r="J778" t="str">
        <f>IF(AND(MOVIMIENTOS!$A783&lt;&gt;"",COUNTIF(MOVIMIENTOS!$A$5:$A782,MOVIMIENTOS!$A783)=0),COUNT(J$4:J777)+1,"")</f>
        <v/>
      </c>
      <c r="K778">
        <f>MOVIMIENTOS!$A783</f>
        <v>0</v>
      </c>
    </row>
    <row r="779" spans="1:11" ht="15" customHeight="1" x14ac:dyDescent="0.2">
      <c r="A779" t="str">
        <f t="shared" si="24"/>
        <v/>
      </c>
      <c r="B779" t="str">
        <f>IF($A779="","",SUMPRODUCT((MOVIMIENTOS!$B$5:$B$1005="SALDO INICIAL")*(MOVIMIENTOS!$C$5:$C$1005="A")*(MOVIMIENTOS!$D$5:$D$1005="jabas")*(MOVIMIENTOS!$A$5:$A$1005&lt;&gt;"")*(MOVIMIENTOS!$A$5:$A$1005&lt;=$A779)*MOVIMIENTOS!$E$5:$E$1005)+SUMPRODUCT((MOVIMIENTOS!$B$5:$B$1005="PROCESO")*(MOVIMIENTOS!$C$5:$C$1005="A")*(MOVIMIENTOS!$D$5:$D$1005="jabas")*(MOVIMIENTOS!$A$5:$A$1005&lt;&gt;"")*(MOVIMIENTOS!$A$5:$A$1005&lt;=$A779)*MOVIMIENTOS!$E$5:$E$1005)-SUMPRODUCT((MOVIMIENTOS!$B$5:$B$1005="ENVÍO A SUPESA")*(MOVIMIENTOS!$C$5:$C$1005="A")*(MOVIMIENTOS!$D$5:$D$1005="jabas")*(MOVIMIENTOS!$A$5:$A$1005&lt;&gt;"")*(MOVIMIENTOS!$A$5:$A$1005&lt;=$A779)*MOVIMIENTOS!$E$5:$E$1005)+SUMPRODUCT((MOVIMIENTOS!$B$5:$B$1005="DEVOLUCIÓN")*(MOVIMIENTOS!$C$5:$C$1005="A")*(MOVIMIENTOS!$D$5:$D$1005="jabas")*(MOVIMIENTOS!$A$5:$A$1005&lt;&gt;"")*(MOVIMIENTOS!$A$5:$A$1005&lt;=$A779)*MOVIMIENTOS!$E$5:$E$1005)-SUMPRODUCT((MOVIMIENTOS!$B$5:$B$1005="TRASIEGO")*(MOVIMIENTOS!$C$5:$C$1005="A")*(MOVIMIENTOS!$D$5:$D$1005="jabas")*(MOVIMIENTOS!$A$5:$A$1005&lt;&gt;"")*(MOVIMIENTOS!$A$5:$A$1005&lt;=$A779)*MOVIMIENTOS!$E$5:$E$1005)-SUMPRODUCT((MOVIMIENTOS!$B$5:$B$1005="REGALO")*(MOVIMIENTOS!$C$5:$C$1005="A")*(MOVIMIENTOS!$D$5:$D$1005="jabas")*(MOVIMIENTOS!$A$5:$A$1005&lt;&gt;"")*(MOVIMIENTOS!$A$5:$A$1005&lt;=$A779)*MOVIMIENTOS!$E$5:$E$1005)-SUMPRODUCT((MOVIMIENTOS!$B$5:$B$1005="VENTA")*(MOVIMIENTOS!$C$5:$C$1005="A")*(MOVIMIENTOS!$D$5:$D$1005="jabas")*(MOVIMIENTOS!$A$5:$A$1005&lt;&gt;"")*(MOVIMIENTOS!$A$5:$A$1005&lt;=$A779)*MOVIMIENTOS!$E$5:$E$1005)+SUMPRODUCT((MOVIMIENTOS!$B$5:$B$1005="AJUSTE")*(MOVIMIENTOS!$C$5:$C$1005="A")*(MOVIMIENTOS!$D$5:$D$1005="jabas")*(MOVIMIENTOS!$A$5:$A$1005&lt;&gt;"")*(MOVIMIENTOS!$A$5:$A$1005&lt;=$A779)*MOVIMIENTOS!$E$5:$E$1005))</f>
        <v/>
      </c>
      <c r="C779" t="str">
        <f>IF($A779="","",SUMPRODUCT((MOVIMIENTOS!$B$5:$B$1005="SALDO INICIAL")*(MOVIMIENTOS!$C$5:$C$1005="P")*(MOVIMIENTOS!$D$5:$D$1005="jabas")*(MOVIMIENTOS!$A$5:$A$1005&lt;&gt;"")*(MOVIMIENTOS!$A$5:$A$1005&lt;=$A779)*MOVIMIENTOS!$E$5:$E$1005)+SUMPRODUCT((MOVIMIENTOS!$B$5:$B$1005="PROCESO")*(MOVIMIENTOS!$C$5:$C$1005="P")*(MOVIMIENTOS!$D$5:$D$1005="jabas")*(MOVIMIENTOS!$A$5:$A$1005&lt;&gt;"")*(MOVIMIENTOS!$A$5:$A$1005&lt;=$A779)*MOVIMIENTOS!$E$5:$E$1005)-SUMPRODUCT((MOVIMIENTOS!$B$5:$B$1005="ENVÍO A SUPESA")*(MOVIMIENTOS!$C$5:$C$1005="P")*(MOVIMIENTOS!$D$5:$D$1005="jabas")*(MOVIMIENTOS!$A$5:$A$1005&lt;&gt;"")*(MOVIMIENTOS!$A$5:$A$1005&lt;=$A779)*MOVIMIENTOS!$E$5:$E$1005)+SUMPRODUCT((MOVIMIENTOS!$B$5:$B$1005="DEVOLUCIÓN")*(MOVIMIENTOS!$C$5:$C$1005="P")*(MOVIMIENTOS!$D$5:$D$1005="jabas")*(MOVIMIENTOS!$A$5:$A$1005&lt;&gt;"")*(MOVIMIENTOS!$A$5:$A$1005&lt;=$A779)*MOVIMIENTOS!$E$5:$E$1005)-SUMPRODUCT((MOVIMIENTOS!$B$5:$B$1005="TRASIEGO")*(MOVIMIENTOS!$C$5:$C$1005="P")*(MOVIMIENTOS!$D$5:$D$1005="jabas")*(MOVIMIENTOS!$A$5:$A$1005&lt;&gt;"")*(MOVIMIENTOS!$A$5:$A$1005&lt;=$A779)*MOVIMIENTOS!$E$5:$E$1005)-SUMPRODUCT((MOVIMIENTOS!$B$5:$B$1005="REGALO")*(MOVIMIENTOS!$C$5:$C$1005="P")*(MOVIMIENTOS!$D$5:$D$1005="jabas")*(MOVIMIENTOS!$A$5:$A$1005&lt;&gt;"")*(MOVIMIENTOS!$A$5:$A$1005&lt;=$A779)*MOVIMIENTOS!$E$5:$E$1005)-SUMPRODUCT((MOVIMIENTOS!$B$5:$B$1005="VENTA")*(MOVIMIENTOS!$C$5:$C$1005="P")*(MOVIMIENTOS!$D$5:$D$1005="jabas")*(MOVIMIENTOS!$A$5:$A$1005&lt;&gt;"")*(MOVIMIENTOS!$A$5:$A$1005&lt;=$A779)*MOVIMIENTOS!$E$5:$E$1005)+SUMPRODUCT((MOVIMIENTOS!$B$5:$B$1005="AJUSTE")*(MOVIMIENTOS!$C$5:$C$1005="P")*(MOVIMIENTOS!$D$5:$D$1005="jabas")*(MOVIMIENTOS!$A$5:$A$1005&lt;&gt;"")*(MOVIMIENTOS!$A$5:$A$1005&lt;=$A779)*MOVIMIENTOS!$E$5:$E$1005))</f>
        <v/>
      </c>
      <c r="D779" t="str">
        <f>IF($A779="","",SUMPRODUCT((MOVIMIENTOS!$B$5:$B$1005="SALDO INICIAL")*(MOVIMIENTOS!$C$5:$C$1005="C")*(MOVIMIENTOS!$D$5:$D$1005="jabas")*(MOVIMIENTOS!$A$5:$A$1005&lt;&gt;"")*(MOVIMIENTOS!$A$5:$A$1005&lt;=$A779)*MOVIMIENTOS!$E$5:$E$1005)+SUMPRODUCT((MOVIMIENTOS!$B$5:$B$1005="PROCESO")*(MOVIMIENTOS!$C$5:$C$1005="C")*(MOVIMIENTOS!$D$5:$D$1005="jabas")*(MOVIMIENTOS!$A$5:$A$1005&lt;&gt;"")*(MOVIMIENTOS!$A$5:$A$1005&lt;=$A779)*MOVIMIENTOS!$E$5:$E$1005)-SUMPRODUCT((MOVIMIENTOS!$B$5:$B$1005="ENVÍO A SUPESA")*(MOVIMIENTOS!$C$5:$C$1005="C")*(MOVIMIENTOS!$D$5:$D$1005="jabas")*(MOVIMIENTOS!$A$5:$A$1005&lt;&gt;"")*(MOVIMIENTOS!$A$5:$A$1005&lt;=$A779)*MOVIMIENTOS!$E$5:$E$1005)+SUMPRODUCT((MOVIMIENTOS!$B$5:$B$1005="DEVOLUCIÓN")*(MOVIMIENTOS!$C$5:$C$1005="C")*(MOVIMIENTOS!$D$5:$D$1005="jabas")*(MOVIMIENTOS!$A$5:$A$1005&lt;&gt;"")*(MOVIMIENTOS!$A$5:$A$1005&lt;=$A779)*MOVIMIENTOS!$E$5:$E$1005)-SUMPRODUCT((MOVIMIENTOS!$B$5:$B$1005="TRASIEGO")*(MOVIMIENTOS!$C$5:$C$1005="C")*(MOVIMIENTOS!$D$5:$D$1005="jabas")*(MOVIMIENTOS!$A$5:$A$1005&lt;&gt;"")*(MOVIMIENTOS!$A$5:$A$1005&lt;=$A779)*MOVIMIENTOS!$E$5:$E$1005)-SUMPRODUCT((MOVIMIENTOS!$B$5:$B$1005="REGALO")*(MOVIMIENTOS!$C$5:$C$1005="C")*(MOVIMIENTOS!$D$5:$D$1005="jabas")*(MOVIMIENTOS!$A$5:$A$1005&lt;&gt;"")*(MOVIMIENTOS!$A$5:$A$1005&lt;=$A779)*MOVIMIENTOS!$E$5:$E$1005)-SUMPRODUCT((MOVIMIENTOS!$B$5:$B$1005="VENTA")*(MOVIMIENTOS!$C$5:$C$1005="C")*(MOVIMIENTOS!$D$5:$D$1005="jabas")*(MOVIMIENTOS!$A$5:$A$1005&lt;&gt;"")*(MOVIMIENTOS!$A$5:$A$1005&lt;=$A779)*MOVIMIENTOS!$E$5:$E$1005)+SUMPRODUCT((MOVIMIENTOS!$B$5:$B$1005="AJUSTE")*(MOVIMIENTOS!$C$5:$C$1005="C")*(MOVIMIENTOS!$D$5:$D$1005="jabas")*(MOVIMIENTOS!$A$5:$A$1005&lt;&gt;"")*(MOVIMIENTOS!$A$5:$A$1005&lt;=$A779)*MOVIMIENTOS!$E$5:$E$1005))</f>
        <v/>
      </c>
      <c r="E779" t="str">
        <f>IF($A779="","",SUMPRODUCT((MOVIMIENTOS!$B$5:$B$1005="SALDO INICIAL")*(MOVIMIENTOS!$C$5:$C$1005="M")*(MOVIMIENTOS!$D$5:$D$1005="jabas")*(MOVIMIENTOS!$A$5:$A$1005&lt;&gt;"")*(MOVIMIENTOS!$A$5:$A$1005&lt;=$A779)*MOVIMIENTOS!$E$5:$E$1005)+SUMPRODUCT((MOVIMIENTOS!$B$5:$B$1005="PROCESO")*(MOVIMIENTOS!$C$5:$C$1005="M")*(MOVIMIENTOS!$D$5:$D$1005="jabas")*(MOVIMIENTOS!$A$5:$A$1005&lt;&gt;"")*(MOVIMIENTOS!$A$5:$A$1005&lt;=$A779)*MOVIMIENTOS!$E$5:$E$1005)-SUMPRODUCT((MOVIMIENTOS!$B$5:$B$1005="ENVÍO A SUPESA")*(MOVIMIENTOS!$C$5:$C$1005="M")*(MOVIMIENTOS!$D$5:$D$1005="jabas")*(MOVIMIENTOS!$A$5:$A$1005&lt;&gt;"")*(MOVIMIENTOS!$A$5:$A$1005&lt;=$A779)*MOVIMIENTOS!$E$5:$E$1005)+SUMPRODUCT((MOVIMIENTOS!$B$5:$B$1005="DEVOLUCIÓN")*(MOVIMIENTOS!$C$5:$C$1005="M")*(MOVIMIENTOS!$D$5:$D$1005="jabas")*(MOVIMIENTOS!$A$5:$A$1005&lt;&gt;"")*(MOVIMIENTOS!$A$5:$A$1005&lt;=$A779)*MOVIMIENTOS!$E$5:$E$1005)-SUMPRODUCT((MOVIMIENTOS!$B$5:$B$1005="TRASIEGO")*(MOVIMIENTOS!$C$5:$C$1005="M")*(MOVIMIENTOS!$D$5:$D$1005="jabas")*(MOVIMIENTOS!$A$5:$A$1005&lt;&gt;"")*(MOVIMIENTOS!$A$5:$A$1005&lt;=$A779)*MOVIMIENTOS!$E$5:$E$1005)-SUMPRODUCT((MOVIMIENTOS!$B$5:$B$1005="REGALO")*(MOVIMIENTOS!$C$5:$C$1005="M")*(MOVIMIENTOS!$D$5:$D$1005="jabas")*(MOVIMIENTOS!$A$5:$A$1005&lt;&gt;"")*(MOVIMIENTOS!$A$5:$A$1005&lt;=$A779)*MOVIMIENTOS!$E$5:$E$1005)-SUMPRODUCT((MOVIMIENTOS!$B$5:$B$1005="VENTA")*(MOVIMIENTOS!$C$5:$C$1005="M")*(MOVIMIENTOS!$D$5:$D$1005="jabas")*(MOVIMIENTOS!$A$5:$A$1005&lt;&gt;"")*(MOVIMIENTOS!$A$5:$A$1005&lt;=$A779)*MOVIMIENTOS!$E$5:$E$1005)+SUMPRODUCT((MOVIMIENTOS!$B$5:$B$1005="AJUSTE")*(MOVIMIENTOS!$C$5:$C$1005="M")*(MOVIMIENTOS!$D$5:$D$1005="jabas")*(MOVIMIENTOS!$A$5:$A$1005&lt;&gt;"")*(MOVIMIENTOS!$A$5:$A$1005&lt;=$A779)*MOVIMIENTOS!$E$5:$E$1005))</f>
        <v/>
      </c>
      <c r="F779" s="62" t="str">
        <f>IF($A779="","",SUMPRODUCT((MOVIMIENTOS!$B$5:$B$1005="SALDO INICIAL")*(MOVIMIENTOS!$C$5:$C$1005="Chancho")*(MOVIMIENTOS!$D$5:$D$1005="sacos")*(MOVIMIENTOS!$A$5:$A$1005&lt;&gt;"")*(MOVIMIENTOS!$A$5:$A$1005&lt;=$A779)*MOVIMIENTOS!$E$5:$E$1005)+SUMPRODUCT((MOVIMIENTOS!$B$5:$B$1005="PROCESO")*(MOVIMIENTOS!$C$5:$C$1005="Chancho")*(MOVIMIENTOS!$D$5:$D$1005="sacos")*(MOVIMIENTOS!$A$5:$A$1005&lt;&gt;"")*(MOVIMIENTOS!$A$5:$A$1005&lt;=$A779)*MOVIMIENTOS!$E$5:$E$1005)-SUMPRODUCT((MOVIMIENTOS!$B$5:$B$1005="VENTA CHANCHO")*(MOVIMIENTOS!$C$5:$C$1005="Chancho")*(MOVIMIENTOS!$D$5:$D$1005="sacos")*(MOVIMIENTOS!$A$5:$A$1005&lt;&gt;"")*(MOVIMIENTOS!$A$5:$A$1005&lt;=$A779)*MOVIMIENTOS!$E$5:$E$1005)-SUMPRODUCT((MOVIMIENTOS!$B$5:$B$1005="REGALO")*(MOVIMIENTOS!$C$5:$C$1005="Chancho")*(MOVIMIENTOS!$D$5:$D$1005="sacos")*(MOVIMIENTOS!$A$5:$A$1005&lt;&gt;"")*(MOVIMIENTOS!$A$5:$A$1005&lt;=$A779)*MOVIMIENTOS!$E$5:$E$1005)-SUMPRODUCT((MOVIMIENTOS!$B$5:$B$1005="VENTA")*(MOVIMIENTOS!$C$5:$C$1005="Chancho")*(MOVIMIENTOS!$D$5:$D$1005="sacos")*(MOVIMIENTOS!$A$5:$A$1005&lt;&gt;"")*(MOVIMIENTOS!$A$5:$A$1005&lt;=$A779)*MOVIMIENTOS!$E$5:$E$1005)+SUMPRODUCT((MOVIMIENTOS!$B$5:$B$1005="AJUSTE")*(MOVIMIENTOS!$C$5:$C$1005="Chancho")*(MOVIMIENTOS!$D$5:$D$1005="sacos")*(MOVIMIENTOS!$A$5:$A$1005&lt;&gt;"")*(MOVIMIENTOS!$A$5:$A$1005&lt;=$A779)*MOVIMIENTOS!$E$5:$E$1005))</f>
        <v/>
      </c>
      <c r="G779" s="62" t="str">
        <f t="shared" si="25"/>
        <v/>
      </c>
      <c r="H779" t="str">
        <f>IF($A779="","",SUMPRODUCT((((MOVIMIENTOS!$B$5:$B$1005="SALDO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779)*MOVIMIENTOS!$J$5:$J$1005))</f>
        <v/>
      </c>
      <c r="J779" t="str">
        <f>IF(AND(MOVIMIENTOS!$A784&lt;&gt;"",COUNTIF(MOVIMIENTOS!$A$5:$A783,MOVIMIENTOS!$A784)=0),COUNT(J$4:J778)+1,"")</f>
        <v/>
      </c>
      <c r="K779">
        <f>MOVIMIENTOS!$A784</f>
        <v>0</v>
      </c>
    </row>
    <row r="780" spans="1:11" ht="15" customHeight="1" x14ac:dyDescent="0.2">
      <c r="A780" t="str">
        <f t="shared" si="24"/>
        <v/>
      </c>
      <c r="B780" t="str">
        <f>IF($A780="","",SUMPRODUCT((MOVIMIENTOS!$B$5:$B$1005="SALDO INICIAL")*(MOVIMIENTOS!$C$5:$C$1005="A")*(MOVIMIENTOS!$D$5:$D$1005="jabas")*(MOVIMIENTOS!$A$5:$A$1005&lt;&gt;"")*(MOVIMIENTOS!$A$5:$A$1005&lt;=$A780)*MOVIMIENTOS!$E$5:$E$1005)+SUMPRODUCT((MOVIMIENTOS!$B$5:$B$1005="PROCESO")*(MOVIMIENTOS!$C$5:$C$1005="A")*(MOVIMIENTOS!$D$5:$D$1005="jabas")*(MOVIMIENTOS!$A$5:$A$1005&lt;&gt;"")*(MOVIMIENTOS!$A$5:$A$1005&lt;=$A780)*MOVIMIENTOS!$E$5:$E$1005)-SUMPRODUCT((MOVIMIENTOS!$B$5:$B$1005="ENVÍO A SUPESA")*(MOVIMIENTOS!$C$5:$C$1005="A")*(MOVIMIENTOS!$D$5:$D$1005="jabas")*(MOVIMIENTOS!$A$5:$A$1005&lt;&gt;"")*(MOVIMIENTOS!$A$5:$A$1005&lt;=$A780)*MOVIMIENTOS!$E$5:$E$1005)+SUMPRODUCT((MOVIMIENTOS!$B$5:$B$1005="DEVOLUCIÓN")*(MOVIMIENTOS!$C$5:$C$1005="A")*(MOVIMIENTOS!$D$5:$D$1005="jabas")*(MOVIMIENTOS!$A$5:$A$1005&lt;&gt;"")*(MOVIMIENTOS!$A$5:$A$1005&lt;=$A780)*MOVIMIENTOS!$E$5:$E$1005)-SUMPRODUCT((MOVIMIENTOS!$B$5:$B$1005="TRASIEGO")*(MOVIMIENTOS!$C$5:$C$1005="A")*(MOVIMIENTOS!$D$5:$D$1005="jabas")*(MOVIMIENTOS!$A$5:$A$1005&lt;&gt;"")*(MOVIMIENTOS!$A$5:$A$1005&lt;=$A780)*MOVIMIENTOS!$E$5:$E$1005)-SUMPRODUCT((MOVIMIENTOS!$B$5:$B$1005="REGALO")*(MOVIMIENTOS!$C$5:$C$1005="A")*(MOVIMIENTOS!$D$5:$D$1005="jabas")*(MOVIMIENTOS!$A$5:$A$1005&lt;&gt;"")*(MOVIMIENTOS!$A$5:$A$1005&lt;=$A780)*MOVIMIENTOS!$E$5:$E$1005)-SUMPRODUCT((MOVIMIENTOS!$B$5:$B$1005="VENTA")*(MOVIMIENTOS!$C$5:$C$1005="A")*(MOVIMIENTOS!$D$5:$D$1005="jabas")*(MOVIMIENTOS!$A$5:$A$1005&lt;&gt;"")*(MOVIMIENTOS!$A$5:$A$1005&lt;=$A780)*MOVIMIENTOS!$E$5:$E$1005)+SUMPRODUCT((MOVIMIENTOS!$B$5:$B$1005="AJUSTE")*(MOVIMIENTOS!$C$5:$C$1005="A")*(MOVIMIENTOS!$D$5:$D$1005="jabas")*(MOVIMIENTOS!$A$5:$A$1005&lt;&gt;"")*(MOVIMIENTOS!$A$5:$A$1005&lt;=$A780)*MOVIMIENTOS!$E$5:$E$1005))</f>
        <v/>
      </c>
      <c r="C780" t="str">
        <f>IF($A780="","",SUMPRODUCT((MOVIMIENTOS!$B$5:$B$1005="SALDO INICIAL")*(MOVIMIENTOS!$C$5:$C$1005="P")*(MOVIMIENTOS!$D$5:$D$1005="jabas")*(MOVIMIENTOS!$A$5:$A$1005&lt;&gt;"")*(MOVIMIENTOS!$A$5:$A$1005&lt;=$A780)*MOVIMIENTOS!$E$5:$E$1005)+SUMPRODUCT((MOVIMIENTOS!$B$5:$B$1005="PROCESO")*(MOVIMIENTOS!$C$5:$C$1005="P")*(MOVIMIENTOS!$D$5:$D$1005="jabas")*(MOVIMIENTOS!$A$5:$A$1005&lt;&gt;"")*(MOVIMIENTOS!$A$5:$A$1005&lt;=$A780)*MOVIMIENTOS!$E$5:$E$1005)-SUMPRODUCT((MOVIMIENTOS!$B$5:$B$1005="ENVÍO A SUPESA")*(MOVIMIENTOS!$C$5:$C$1005="P")*(MOVIMIENTOS!$D$5:$D$1005="jabas")*(MOVIMIENTOS!$A$5:$A$1005&lt;&gt;"")*(MOVIMIENTOS!$A$5:$A$1005&lt;=$A780)*MOVIMIENTOS!$E$5:$E$1005)+SUMPRODUCT((MOVIMIENTOS!$B$5:$B$1005="DEVOLUCIÓN")*(MOVIMIENTOS!$C$5:$C$1005="P")*(MOVIMIENTOS!$D$5:$D$1005="jabas")*(MOVIMIENTOS!$A$5:$A$1005&lt;&gt;"")*(MOVIMIENTOS!$A$5:$A$1005&lt;=$A780)*MOVIMIENTOS!$E$5:$E$1005)-SUMPRODUCT((MOVIMIENTOS!$B$5:$B$1005="TRASIEGO")*(MOVIMIENTOS!$C$5:$C$1005="P")*(MOVIMIENTOS!$D$5:$D$1005="jabas")*(MOVIMIENTOS!$A$5:$A$1005&lt;&gt;"")*(MOVIMIENTOS!$A$5:$A$1005&lt;=$A780)*MOVIMIENTOS!$E$5:$E$1005)-SUMPRODUCT((MOVIMIENTOS!$B$5:$B$1005="REGALO")*(MOVIMIENTOS!$C$5:$C$1005="P")*(MOVIMIENTOS!$D$5:$D$1005="jabas")*(MOVIMIENTOS!$A$5:$A$1005&lt;&gt;"")*(MOVIMIENTOS!$A$5:$A$1005&lt;=$A780)*MOVIMIENTOS!$E$5:$E$1005)-SUMPRODUCT((MOVIMIENTOS!$B$5:$B$1005="VENTA")*(MOVIMIENTOS!$C$5:$C$1005="P")*(MOVIMIENTOS!$D$5:$D$1005="jabas")*(MOVIMIENTOS!$A$5:$A$1005&lt;&gt;"")*(MOVIMIENTOS!$A$5:$A$1005&lt;=$A780)*MOVIMIENTOS!$E$5:$E$1005)+SUMPRODUCT((MOVIMIENTOS!$B$5:$B$1005="AJUSTE")*(MOVIMIENTOS!$C$5:$C$1005="P")*(MOVIMIENTOS!$D$5:$D$1005="jabas")*(MOVIMIENTOS!$A$5:$A$1005&lt;&gt;"")*(MOVIMIENTOS!$A$5:$A$1005&lt;=$A780)*MOVIMIENTOS!$E$5:$E$1005))</f>
        <v/>
      </c>
      <c r="D780" t="str">
        <f>IF($A780="","",SUMPRODUCT((MOVIMIENTOS!$B$5:$B$1005="SALDO INICIAL")*(MOVIMIENTOS!$C$5:$C$1005="C")*(MOVIMIENTOS!$D$5:$D$1005="jabas")*(MOVIMIENTOS!$A$5:$A$1005&lt;&gt;"")*(MOVIMIENTOS!$A$5:$A$1005&lt;=$A780)*MOVIMIENTOS!$E$5:$E$1005)+SUMPRODUCT((MOVIMIENTOS!$B$5:$B$1005="PROCESO")*(MOVIMIENTOS!$C$5:$C$1005="C")*(MOVIMIENTOS!$D$5:$D$1005="jabas")*(MOVIMIENTOS!$A$5:$A$1005&lt;&gt;"")*(MOVIMIENTOS!$A$5:$A$1005&lt;=$A780)*MOVIMIENTOS!$E$5:$E$1005)-SUMPRODUCT((MOVIMIENTOS!$B$5:$B$1005="ENVÍO A SUPESA")*(MOVIMIENTOS!$C$5:$C$1005="C")*(MOVIMIENTOS!$D$5:$D$1005="jabas")*(MOVIMIENTOS!$A$5:$A$1005&lt;&gt;"")*(MOVIMIENTOS!$A$5:$A$1005&lt;=$A780)*MOVIMIENTOS!$E$5:$E$1005)+SUMPRODUCT((MOVIMIENTOS!$B$5:$B$1005="DEVOLUCIÓN")*(MOVIMIENTOS!$C$5:$C$1005="C")*(MOVIMIENTOS!$D$5:$D$1005="jabas")*(MOVIMIENTOS!$A$5:$A$1005&lt;&gt;"")*(MOVIMIENTOS!$A$5:$A$1005&lt;=$A780)*MOVIMIENTOS!$E$5:$E$1005)-SUMPRODUCT((MOVIMIENTOS!$B$5:$B$1005="TRASIEGO")*(MOVIMIENTOS!$C$5:$C$1005="C")*(MOVIMIENTOS!$D$5:$D$1005="jabas")*(MOVIMIENTOS!$A$5:$A$1005&lt;&gt;"")*(MOVIMIENTOS!$A$5:$A$1005&lt;=$A780)*MOVIMIENTOS!$E$5:$E$1005)-SUMPRODUCT((MOVIMIENTOS!$B$5:$B$1005="REGALO")*(MOVIMIENTOS!$C$5:$C$1005="C")*(MOVIMIENTOS!$D$5:$D$1005="jabas")*(MOVIMIENTOS!$A$5:$A$1005&lt;&gt;"")*(MOVIMIENTOS!$A$5:$A$1005&lt;=$A780)*MOVIMIENTOS!$E$5:$E$1005)-SUMPRODUCT((MOVIMIENTOS!$B$5:$B$1005="VENTA")*(MOVIMIENTOS!$C$5:$C$1005="C")*(MOVIMIENTOS!$D$5:$D$1005="jabas")*(MOVIMIENTOS!$A$5:$A$1005&lt;&gt;"")*(MOVIMIENTOS!$A$5:$A$1005&lt;=$A780)*MOVIMIENTOS!$E$5:$E$1005)+SUMPRODUCT((MOVIMIENTOS!$B$5:$B$1005="AJUSTE")*(MOVIMIENTOS!$C$5:$C$1005="C")*(MOVIMIENTOS!$D$5:$D$1005="jabas")*(MOVIMIENTOS!$A$5:$A$1005&lt;&gt;"")*(MOVIMIENTOS!$A$5:$A$1005&lt;=$A780)*MOVIMIENTOS!$E$5:$E$1005))</f>
        <v/>
      </c>
      <c r="E780" t="str">
        <f>IF($A780="","",SUMPRODUCT((MOVIMIENTOS!$B$5:$B$1005="SALDO INICIAL")*(MOVIMIENTOS!$C$5:$C$1005="M")*(MOVIMIENTOS!$D$5:$D$1005="jabas")*(MOVIMIENTOS!$A$5:$A$1005&lt;&gt;"")*(MOVIMIENTOS!$A$5:$A$1005&lt;=$A780)*MOVIMIENTOS!$E$5:$E$1005)+SUMPRODUCT((MOVIMIENTOS!$B$5:$B$1005="PROCESO")*(MOVIMIENTOS!$C$5:$C$1005="M")*(MOVIMIENTOS!$D$5:$D$1005="jabas")*(MOVIMIENTOS!$A$5:$A$1005&lt;&gt;"")*(MOVIMIENTOS!$A$5:$A$1005&lt;=$A780)*MOVIMIENTOS!$E$5:$E$1005)-SUMPRODUCT((MOVIMIENTOS!$B$5:$B$1005="ENVÍO A SUPESA")*(MOVIMIENTOS!$C$5:$C$1005="M")*(MOVIMIENTOS!$D$5:$D$1005="jabas")*(MOVIMIENTOS!$A$5:$A$1005&lt;&gt;"")*(MOVIMIENTOS!$A$5:$A$1005&lt;=$A780)*MOVIMIENTOS!$E$5:$E$1005)+SUMPRODUCT((MOVIMIENTOS!$B$5:$B$1005="DEVOLUCIÓN")*(MOVIMIENTOS!$C$5:$C$1005="M")*(MOVIMIENTOS!$D$5:$D$1005="jabas")*(MOVIMIENTOS!$A$5:$A$1005&lt;&gt;"")*(MOVIMIENTOS!$A$5:$A$1005&lt;=$A780)*MOVIMIENTOS!$E$5:$E$1005)-SUMPRODUCT((MOVIMIENTOS!$B$5:$B$1005="TRASIEGO")*(MOVIMIENTOS!$C$5:$C$1005="M")*(MOVIMIENTOS!$D$5:$D$1005="jabas")*(MOVIMIENTOS!$A$5:$A$1005&lt;&gt;"")*(MOVIMIENTOS!$A$5:$A$1005&lt;=$A780)*MOVIMIENTOS!$E$5:$E$1005)-SUMPRODUCT((MOVIMIENTOS!$B$5:$B$1005="REGALO")*(MOVIMIENTOS!$C$5:$C$1005="M")*(MOVIMIENTOS!$D$5:$D$1005="jabas")*(MOVIMIENTOS!$A$5:$A$1005&lt;&gt;"")*(MOVIMIENTOS!$A$5:$A$1005&lt;=$A780)*MOVIMIENTOS!$E$5:$E$1005)-SUMPRODUCT((MOVIMIENTOS!$B$5:$B$1005="VENTA")*(MOVIMIENTOS!$C$5:$C$1005="M")*(MOVIMIENTOS!$D$5:$D$1005="jabas")*(MOVIMIENTOS!$A$5:$A$1005&lt;&gt;"")*(MOVIMIENTOS!$A$5:$A$1005&lt;=$A780)*MOVIMIENTOS!$E$5:$E$1005)+SUMPRODUCT((MOVIMIENTOS!$B$5:$B$1005="AJUSTE")*(MOVIMIENTOS!$C$5:$C$1005="M")*(MOVIMIENTOS!$D$5:$D$1005="jabas")*(MOVIMIENTOS!$A$5:$A$1005&lt;&gt;"")*(MOVIMIENTOS!$A$5:$A$1005&lt;=$A780)*MOVIMIENTOS!$E$5:$E$1005))</f>
        <v/>
      </c>
      <c r="F780" s="62" t="str">
        <f>IF($A780="","",SUMPRODUCT((MOVIMIENTOS!$B$5:$B$1005="SALDO INICIAL")*(MOVIMIENTOS!$C$5:$C$1005="Chancho")*(MOVIMIENTOS!$D$5:$D$1005="sacos")*(MOVIMIENTOS!$A$5:$A$1005&lt;&gt;"")*(MOVIMIENTOS!$A$5:$A$1005&lt;=$A780)*MOVIMIENTOS!$E$5:$E$1005)+SUMPRODUCT((MOVIMIENTOS!$B$5:$B$1005="PROCESO")*(MOVIMIENTOS!$C$5:$C$1005="Chancho")*(MOVIMIENTOS!$D$5:$D$1005="sacos")*(MOVIMIENTOS!$A$5:$A$1005&lt;&gt;"")*(MOVIMIENTOS!$A$5:$A$1005&lt;=$A780)*MOVIMIENTOS!$E$5:$E$1005)-SUMPRODUCT((MOVIMIENTOS!$B$5:$B$1005="VENTA CHANCHO")*(MOVIMIENTOS!$C$5:$C$1005="Chancho")*(MOVIMIENTOS!$D$5:$D$1005="sacos")*(MOVIMIENTOS!$A$5:$A$1005&lt;&gt;"")*(MOVIMIENTOS!$A$5:$A$1005&lt;=$A780)*MOVIMIENTOS!$E$5:$E$1005)-SUMPRODUCT((MOVIMIENTOS!$B$5:$B$1005="REGALO")*(MOVIMIENTOS!$C$5:$C$1005="Chancho")*(MOVIMIENTOS!$D$5:$D$1005="sacos")*(MOVIMIENTOS!$A$5:$A$1005&lt;&gt;"")*(MOVIMIENTOS!$A$5:$A$1005&lt;=$A780)*MOVIMIENTOS!$E$5:$E$1005)-SUMPRODUCT((MOVIMIENTOS!$B$5:$B$1005="VENTA")*(MOVIMIENTOS!$C$5:$C$1005="Chancho")*(MOVIMIENTOS!$D$5:$D$1005="sacos")*(MOVIMIENTOS!$A$5:$A$1005&lt;&gt;"")*(MOVIMIENTOS!$A$5:$A$1005&lt;=$A780)*MOVIMIENTOS!$E$5:$E$1005)+SUMPRODUCT((MOVIMIENTOS!$B$5:$B$1005="AJUSTE")*(MOVIMIENTOS!$C$5:$C$1005="Chancho")*(MOVIMIENTOS!$D$5:$D$1005="sacos")*(MOVIMIENTOS!$A$5:$A$1005&lt;&gt;"")*(MOVIMIENTOS!$A$5:$A$1005&lt;=$A780)*MOVIMIENTOS!$E$5:$E$1005))</f>
        <v/>
      </c>
      <c r="G780" s="62" t="str">
        <f t="shared" si="25"/>
        <v/>
      </c>
      <c r="H780" t="str">
        <f>IF($A780="","",SUMPRODUCT((((MOVIMIENTOS!$B$5:$B$1005="SALDO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780)*MOVIMIENTOS!$J$5:$J$1005))</f>
        <v/>
      </c>
      <c r="J780" t="str">
        <f>IF(AND(MOVIMIENTOS!$A785&lt;&gt;"",COUNTIF(MOVIMIENTOS!$A$5:$A784,MOVIMIENTOS!$A785)=0),COUNT(J$4:J779)+1,"")</f>
        <v/>
      </c>
      <c r="K780">
        <f>MOVIMIENTOS!$A785</f>
        <v>0</v>
      </c>
    </row>
    <row r="781" spans="1:11" ht="15" customHeight="1" x14ac:dyDescent="0.2">
      <c r="A781" t="str">
        <f t="shared" si="24"/>
        <v/>
      </c>
      <c r="B781" t="str">
        <f>IF($A781="","",SUMPRODUCT((MOVIMIENTOS!$B$5:$B$1005="SALDO INICIAL")*(MOVIMIENTOS!$C$5:$C$1005="A")*(MOVIMIENTOS!$D$5:$D$1005="jabas")*(MOVIMIENTOS!$A$5:$A$1005&lt;&gt;"")*(MOVIMIENTOS!$A$5:$A$1005&lt;=$A781)*MOVIMIENTOS!$E$5:$E$1005)+SUMPRODUCT((MOVIMIENTOS!$B$5:$B$1005="PROCESO")*(MOVIMIENTOS!$C$5:$C$1005="A")*(MOVIMIENTOS!$D$5:$D$1005="jabas")*(MOVIMIENTOS!$A$5:$A$1005&lt;&gt;"")*(MOVIMIENTOS!$A$5:$A$1005&lt;=$A781)*MOVIMIENTOS!$E$5:$E$1005)-SUMPRODUCT((MOVIMIENTOS!$B$5:$B$1005="ENVÍO A SUPESA")*(MOVIMIENTOS!$C$5:$C$1005="A")*(MOVIMIENTOS!$D$5:$D$1005="jabas")*(MOVIMIENTOS!$A$5:$A$1005&lt;&gt;"")*(MOVIMIENTOS!$A$5:$A$1005&lt;=$A781)*MOVIMIENTOS!$E$5:$E$1005)+SUMPRODUCT((MOVIMIENTOS!$B$5:$B$1005="DEVOLUCIÓN")*(MOVIMIENTOS!$C$5:$C$1005="A")*(MOVIMIENTOS!$D$5:$D$1005="jabas")*(MOVIMIENTOS!$A$5:$A$1005&lt;&gt;"")*(MOVIMIENTOS!$A$5:$A$1005&lt;=$A781)*MOVIMIENTOS!$E$5:$E$1005)-SUMPRODUCT((MOVIMIENTOS!$B$5:$B$1005="TRASIEGO")*(MOVIMIENTOS!$C$5:$C$1005="A")*(MOVIMIENTOS!$D$5:$D$1005="jabas")*(MOVIMIENTOS!$A$5:$A$1005&lt;&gt;"")*(MOVIMIENTOS!$A$5:$A$1005&lt;=$A781)*MOVIMIENTOS!$E$5:$E$1005)-SUMPRODUCT((MOVIMIENTOS!$B$5:$B$1005="REGALO")*(MOVIMIENTOS!$C$5:$C$1005="A")*(MOVIMIENTOS!$D$5:$D$1005="jabas")*(MOVIMIENTOS!$A$5:$A$1005&lt;&gt;"")*(MOVIMIENTOS!$A$5:$A$1005&lt;=$A781)*MOVIMIENTOS!$E$5:$E$1005)-SUMPRODUCT((MOVIMIENTOS!$B$5:$B$1005="VENTA")*(MOVIMIENTOS!$C$5:$C$1005="A")*(MOVIMIENTOS!$D$5:$D$1005="jabas")*(MOVIMIENTOS!$A$5:$A$1005&lt;&gt;"")*(MOVIMIENTOS!$A$5:$A$1005&lt;=$A781)*MOVIMIENTOS!$E$5:$E$1005)+SUMPRODUCT((MOVIMIENTOS!$B$5:$B$1005="AJUSTE")*(MOVIMIENTOS!$C$5:$C$1005="A")*(MOVIMIENTOS!$D$5:$D$1005="jabas")*(MOVIMIENTOS!$A$5:$A$1005&lt;&gt;"")*(MOVIMIENTOS!$A$5:$A$1005&lt;=$A781)*MOVIMIENTOS!$E$5:$E$1005))</f>
        <v/>
      </c>
      <c r="C781" t="str">
        <f>IF($A781="","",SUMPRODUCT((MOVIMIENTOS!$B$5:$B$1005="SALDO INICIAL")*(MOVIMIENTOS!$C$5:$C$1005="P")*(MOVIMIENTOS!$D$5:$D$1005="jabas")*(MOVIMIENTOS!$A$5:$A$1005&lt;&gt;"")*(MOVIMIENTOS!$A$5:$A$1005&lt;=$A781)*MOVIMIENTOS!$E$5:$E$1005)+SUMPRODUCT((MOVIMIENTOS!$B$5:$B$1005="PROCESO")*(MOVIMIENTOS!$C$5:$C$1005="P")*(MOVIMIENTOS!$D$5:$D$1005="jabas")*(MOVIMIENTOS!$A$5:$A$1005&lt;&gt;"")*(MOVIMIENTOS!$A$5:$A$1005&lt;=$A781)*MOVIMIENTOS!$E$5:$E$1005)-SUMPRODUCT((MOVIMIENTOS!$B$5:$B$1005="ENVÍO A SUPESA")*(MOVIMIENTOS!$C$5:$C$1005="P")*(MOVIMIENTOS!$D$5:$D$1005="jabas")*(MOVIMIENTOS!$A$5:$A$1005&lt;&gt;"")*(MOVIMIENTOS!$A$5:$A$1005&lt;=$A781)*MOVIMIENTOS!$E$5:$E$1005)+SUMPRODUCT((MOVIMIENTOS!$B$5:$B$1005="DEVOLUCIÓN")*(MOVIMIENTOS!$C$5:$C$1005="P")*(MOVIMIENTOS!$D$5:$D$1005="jabas")*(MOVIMIENTOS!$A$5:$A$1005&lt;&gt;"")*(MOVIMIENTOS!$A$5:$A$1005&lt;=$A781)*MOVIMIENTOS!$E$5:$E$1005)-SUMPRODUCT((MOVIMIENTOS!$B$5:$B$1005="TRASIEGO")*(MOVIMIENTOS!$C$5:$C$1005="P")*(MOVIMIENTOS!$D$5:$D$1005="jabas")*(MOVIMIENTOS!$A$5:$A$1005&lt;&gt;"")*(MOVIMIENTOS!$A$5:$A$1005&lt;=$A781)*MOVIMIENTOS!$E$5:$E$1005)-SUMPRODUCT((MOVIMIENTOS!$B$5:$B$1005="REGALO")*(MOVIMIENTOS!$C$5:$C$1005="P")*(MOVIMIENTOS!$D$5:$D$1005="jabas")*(MOVIMIENTOS!$A$5:$A$1005&lt;&gt;"")*(MOVIMIENTOS!$A$5:$A$1005&lt;=$A781)*MOVIMIENTOS!$E$5:$E$1005)-SUMPRODUCT((MOVIMIENTOS!$B$5:$B$1005="VENTA")*(MOVIMIENTOS!$C$5:$C$1005="P")*(MOVIMIENTOS!$D$5:$D$1005="jabas")*(MOVIMIENTOS!$A$5:$A$1005&lt;&gt;"")*(MOVIMIENTOS!$A$5:$A$1005&lt;=$A781)*MOVIMIENTOS!$E$5:$E$1005)+SUMPRODUCT((MOVIMIENTOS!$B$5:$B$1005="AJUSTE")*(MOVIMIENTOS!$C$5:$C$1005="P")*(MOVIMIENTOS!$D$5:$D$1005="jabas")*(MOVIMIENTOS!$A$5:$A$1005&lt;&gt;"")*(MOVIMIENTOS!$A$5:$A$1005&lt;=$A781)*MOVIMIENTOS!$E$5:$E$1005))</f>
        <v/>
      </c>
      <c r="D781" t="str">
        <f>IF($A781="","",SUMPRODUCT((MOVIMIENTOS!$B$5:$B$1005="SALDO INICIAL")*(MOVIMIENTOS!$C$5:$C$1005="C")*(MOVIMIENTOS!$D$5:$D$1005="jabas")*(MOVIMIENTOS!$A$5:$A$1005&lt;&gt;"")*(MOVIMIENTOS!$A$5:$A$1005&lt;=$A781)*MOVIMIENTOS!$E$5:$E$1005)+SUMPRODUCT((MOVIMIENTOS!$B$5:$B$1005="PROCESO")*(MOVIMIENTOS!$C$5:$C$1005="C")*(MOVIMIENTOS!$D$5:$D$1005="jabas")*(MOVIMIENTOS!$A$5:$A$1005&lt;&gt;"")*(MOVIMIENTOS!$A$5:$A$1005&lt;=$A781)*MOVIMIENTOS!$E$5:$E$1005)-SUMPRODUCT((MOVIMIENTOS!$B$5:$B$1005="ENVÍO A SUPESA")*(MOVIMIENTOS!$C$5:$C$1005="C")*(MOVIMIENTOS!$D$5:$D$1005="jabas")*(MOVIMIENTOS!$A$5:$A$1005&lt;&gt;"")*(MOVIMIENTOS!$A$5:$A$1005&lt;=$A781)*MOVIMIENTOS!$E$5:$E$1005)+SUMPRODUCT((MOVIMIENTOS!$B$5:$B$1005="DEVOLUCIÓN")*(MOVIMIENTOS!$C$5:$C$1005="C")*(MOVIMIENTOS!$D$5:$D$1005="jabas")*(MOVIMIENTOS!$A$5:$A$1005&lt;&gt;"")*(MOVIMIENTOS!$A$5:$A$1005&lt;=$A781)*MOVIMIENTOS!$E$5:$E$1005)-SUMPRODUCT((MOVIMIENTOS!$B$5:$B$1005="TRASIEGO")*(MOVIMIENTOS!$C$5:$C$1005="C")*(MOVIMIENTOS!$D$5:$D$1005="jabas")*(MOVIMIENTOS!$A$5:$A$1005&lt;&gt;"")*(MOVIMIENTOS!$A$5:$A$1005&lt;=$A781)*MOVIMIENTOS!$E$5:$E$1005)-SUMPRODUCT((MOVIMIENTOS!$B$5:$B$1005="REGALO")*(MOVIMIENTOS!$C$5:$C$1005="C")*(MOVIMIENTOS!$D$5:$D$1005="jabas")*(MOVIMIENTOS!$A$5:$A$1005&lt;&gt;"")*(MOVIMIENTOS!$A$5:$A$1005&lt;=$A781)*MOVIMIENTOS!$E$5:$E$1005)-SUMPRODUCT((MOVIMIENTOS!$B$5:$B$1005="VENTA")*(MOVIMIENTOS!$C$5:$C$1005="C")*(MOVIMIENTOS!$D$5:$D$1005="jabas")*(MOVIMIENTOS!$A$5:$A$1005&lt;&gt;"")*(MOVIMIENTOS!$A$5:$A$1005&lt;=$A781)*MOVIMIENTOS!$E$5:$E$1005)+SUMPRODUCT((MOVIMIENTOS!$B$5:$B$1005="AJUSTE")*(MOVIMIENTOS!$C$5:$C$1005="C")*(MOVIMIENTOS!$D$5:$D$1005="jabas")*(MOVIMIENTOS!$A$5:$A$1005&lt;&gt;"")*(MOVIMIENTOS!$A$5:$A$1005&lt;=$A781)*MOVIMIENTOS!$E$5:$E$1005))</f>
        <v/>
      </c>
      <c r="E781" t="str">
        <f>IF($A781="","",SUMPRODUCT((MOVIMIENTOS!$B$5:$B$1005="SALDO INICIAL")*(MOVIMIENTOS!$C$5:$C$1005="M")*(MOVIMIENTOS!$D$5:$D$1005="jabas")*(MOVIMIENTOS!$A$5:$A$1005&lt;&gt;"")*(MOVIMIENTOS!$A$5:$A$1005&lt;=$A781)*MOVIMIENTOS!$E$5:$E$1005)+SUMPRODUCT((MOVIMIENTOS!$B$5:$B$1005="PROCESO")*(MOVIMIENTOS!$C$5:$C$1005="M")*(MOVIMIENTOS!$D$5:$D$1005="jabas")*(MOVIMIENTOS!$A$5:$A$1005&lt;&gt;"")*(MOVIMIENTOS!$A$5:$A$1005&lt;=$A781)*MOVIMIENTOS!$E$5:$E$1005)-SUMPRODUCT((MOVIMIENTOS!$B$5:$B$1005="ENVÍO A SUPESA")*(MOVIMIENTOS!$C$5:$C$1005="M")*(MOVIMIENTOS!$D$5:$D$1005="jabas")*(MOVIMIENTOS!$A$5:$A$1005&lt;&gt;"")*(MOVIMIENTOS!$A$5:$A$1005&lt;=$A781)*MOVIMIENTOS!$E$5:$E$1005)+SUMPRODUCT((MOVIMIENTOS!$B$5:$B$1005="DEVOLUCIÓN")*(MOVIMIENTOS!$C$5:$C$1005="M")*(MOVIMIENTOS!$D$5:$D$1005="jabas")*(MOVIMIENTOS!$A$5:$A$1005&lt;&gt;"")*(MOVIMIENTOS!$A$5:$A$1005&lt;=$A781)*MOVIMIENTOS!$E$5:$E$1005)-SUMPRODUCT((MOVIMIENTOS!$B$5:$B$1005="TRASIEGO")*(MOVIMIENTOS!$C$5:$C$1005="M")*(MOVIMIENTOS!$D$5:$D$1005="jabas")*(MOVIMIENTOS!$A$5:$A$1005&lt;&gt;"")*(MOVIMIENTOS!$A$5:$A$1005&lt;=$A781)*MOVIMIENTOS!$E$5:$E$1005)-SUMPRODUCT((MOVIMIENTOS!$B$5:$B$1005="REGALO")*(MOVIMIENTOS!$C$5:$C$1005="M")*(MOVIMIENTOS!$D$5:$D$1005="jabas")*(MOVIMIENTOS!$A$5:$A$1005&lt;&gt;"")*(MOVIMIENTOS!$A$5:$A$1005&lt;=$A781)*MOVIMIENTOS!$E$5:$E$1005)-SUMPRODUCT((MOVIMIENTOS!$B$5:$B$1005="VENTA")*(MOVIMIENTOS!$C$5:$C$1005="M")*(MOVIMIENTOS!$D$5:$D$1005="jabas")*(MOVIMIENTOS!$A$5:$A$1005&lt;&gt;"")*(MOVIMIENTOS!$A$5:$A$1005&lt;=$A781)*MOVIMIENTOS!$E$5:$E$1005)+SUMPRODUCT((MOVIMIENTOS!$B$5:$B$1005="AJUSTE")*(MOVIMIENTOS!$C$5:$C$1005="M")*(MOVIMIENTOS!$D$5:$D$1005="jabas")*(MOVIMIENTOS!$A$5:$A$1005&lt;&gt;"")*(MOVIMIENTOS!$A$5:$A$1005&lt;=$A781)*MOVIMIENTOS!$E$5:$E$1005))</f>
        <v/>
      </c>
      <c r="F781" s="62" t="str">
        <f>IF($A781="","",SUMPRODUCT((MOVIMIENTOS!$B$5:$B$1005="SALDO INICIAL")*(MOVIMIENTOS!$C$5:$C$1005="Chancho")*(MOVIMIENTOS!$D$5:$D$1005="sacos")*(MOVIMIENTOS!$A$5:$A$1005&lt;&gt;"")*(MOVIMIENTOS!$A$5:$A$1005&lt;=$A781)*MOVIMIENTOS!$E$5:$E$1005)+SUMPRODUCT((MOVIMIENTOS!$B$5:$B$1005="PROCESO")*(MOVIMIENTOS!$C$5:$C$1005="Chancho")*(MOVIMIENTOS!$D$5:$D$1005="sacos")*(MOVIMIENTOS!$A$5:$A$1005&lt;&gt;"")*(MOVIMIENTOS!$A$5:$A$1005&lt;=$A781)*MOVIMIENTOS!$E$5:$E$1005)-SUMPRODUCT((MOVIMIENTOS!$B$5:$B$1005="VENTA CHANCHO")*(MOVIMIENTOS!$C$5:$C$1005="Chancho")*(MOVIMIENTOS!$D$5:$D$1005="sacos")*(MOVIMIENTOS!$A$5:$A$1005&lt;&gt;"")*(MOVIMIENTOS!$A$5:$A$1005&lt;=$A781)*MOVIMIENTOS!$E$5:$E$1005)-SUMPRODUCT((MOVIMIENTOS!$B$5:$B$1005="REGALO")*(MOVIMIENTOS!$C$5:$C$1005="Chancho")*(MOVIMIENTOS!$D$5:$D$1005="sacos")*(MOVIMIENTOS!$A$5:$A$1005&lt;&gt;"")*(MOVIMIENTOS!$A$5:$A$1005&lt;=$A781)*MOVIMIENTOS!$E$5:$E$1005)-SUMPRODUCT((MOVIMIENTOS!$B$5:$B$1005="VENTA")*(MOVIMIENTOS!$C$5:$C$1005="Chancho")*(MOVIMIENTOS!$D$5:$D$1005="sacos")*(MOVIMIENTOS!$A$5:$A$1005&lt;&gt;"")*(MOVIMIENTOS!$A$5:$A$1005&lt;=$A781)*MOVIMIENTOS!$E$5:$E$1005)+SUMPRODUCT((MOVIMIENTOS!$B$5:$B$1005="AJUSTE")*(MOVIMIENTOS!$C$5:$C$1005="Chancho")*(MOVIMIENTOS!$D$5:$D$1005="sacos")*(MOVIMIENTOS!$A$5:$A$1005&lt;&gt;"")*(MOVIMIENTOS!$A$5:$A$1005&lt;=$A781)*MOVIMIENTOS!$E$5:$E$1005))</f>
        <v/>
      </c>
      <c r="G781" s="62" t="str">
        <f t="shared" si="25"/>
        <v/>
      </c>
      <c r="H781" t="str">
        <f>IF($A781="","",SUMPRODUCT((((MOVIMIENTOS!$B$5:$B$1005="SALDO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781)*MOVIMIENTOS!$J$5:$J$1005))</f>
        <v/>
      </c>
      <c r="J781" t="str">
        <f>IF(AND(MOVIMIENTOS!$A786&lt;&gt;"",COUNTIF(MOVIMIENTOS!$A$5:$A785,MOVIMIENTOS!$A786)=0),COUNT(J$4:J780)+1,"")</f>
        <v/>
      </c>
      <c r="K781">
        <f>MOVIMIENTOS!$A786</f>
        <v>0</v>
      </c>
    </row>
    <row r="782" spans="1:11" ht="15" customHeight="1" x14ac:dyDescent="0.2">
      <c r="A782" t="str">
        <f t="shared" si="24"/>
        <v/>
      </c>
      <c r="B782" t="str">
        <f>IF($A782="","",SUMPRODUCT((MOVIMIENTOS!$B$5:$B$1005="SALDO INICIAL")*(MOVIMIENTOS!$C$5:$C$1005="A")*(MOVIMIENTOS!$D$5:$D$1005="jabas")*(MOVIMIENTOS!$A$5:$A$1005&lt;&gt;"")*(MOVIMIENTOS!$A$5:$A$1005&lt;=$A782)*MOVIMIENTOS!$E$5:$E$1005)+SUMPRODUCT((MOVIMIENTOS!$B$5:$B$1005="PROCESO")*(MOVIMIENTOS!$C$5:$C$1005="A")*(MOVIMIENTOS!$D$5:$D$1005="jabas")*(MOVIMIENTOS!$A$5:$A$1005&lt;&gt;"")*(MOVIMIENTOS!$A$5:$A$1005&lt;=$A782)*MOVIMIENTOS!$E$5:$E$1005)-SUMPRODUCT((MOVIMIENTOS!$B$5:$B$1005="ENVÍO A SUPESA")*(MOVIMIENTOS!$C$5:$C$1005="A")*(MOVIMIENTOS!$D$5:$D$1005="jabas")*(MOVIMIENTOS!$A$5:$A$1005&lt;&gt;"")*(MOVIMIENTOS!$A$5:$A$1005&lt;=$A782)*MOVIMIENTOS!$E$5:$E$1005)+SUMPRODUCT((MOVIMIENTOS!$B$5:$B$1005="DEVOLUCIÓN")*(MOVIMIENTOS!$C$5:$C$1005="A")*(MOVIMIENTOS!$D$5:$D$1005="jabas")*(MOVIMIENTOS!$A$5:$A$1005&lt;&gt;"")*(MOVIMIENTOS!$A$5:$A$1005&lt;=$A782)*MOVIMIENTOS!$E$5:$E$1005)-SUMPRODUCT((MOVIMIENTOS!$B$5:$B$1005="TRASIEGO")*(MOVIMIENTOS!$C$5:$C$1005="A")*(MOVIMIENTOS!$D$5:$D$1005="jabas")*(MOVIMIENTOS!$A$5:$A$1005&lt;&gt;"")*(MOVIMIENTOS!$A$5:$A$1005&lt;=$A782)*MOVIMIENTOS!$E$5:$E$1005)-SUMPRODUCT((MOVIMIENTOS!$B$5:$B$1005="REGALO")*(MOVIMIENTOS!$C$5:$C$1005="A")*(MOVIMIENTOS!$D$5:$D$1005="jabas")*(MOVIMIENTOS!$A$5:$A$1005&lt;&gt;"")*(MOVIMIENTOS!$A$5:$A$1005&lt;=$A782)*MOVIMIENTOS!$E$5:$E$1005)-SUMPRODUCT((MOVIMIENTOS!$B$5:$B$1005="VENTA")*(MOVIMIENTOS!$C$5:$C$1005="A")*(MOVIMIENTOS!$D$5:$D$1005="jabas")*(MOVIMIENTOS!$A$5:$A$1005&lt;&gt;"")*(MOVIMIENTOS!$A$5:$A$1005&lt;=$A782)*MOVIMIENTOS!$E$5:$E$1005)+SUMPRODUCT((MOVIMIENTOS!$B$5:$B$1005="AJUSTE")*(MOVIMIENTOS!$C$5:$C$1005="A")*(MOVIMIENTOS!$D$5:$D$1005="jabas")*(MOVIMIENTOS!$A$5:$A$1005&lt;&gt;"")*(MOVIMIENTOS!$A$5:$A$1005&lt;=$A782)*MOVIMIENTOS!$E$5:$E$1005))</f>
        <v/>
      </c>
      <c r="C782" t="str">
        <f>IF($A782="","",SUMPRODUCT((MOVIMIENTOS!$B$5:$B$1005="SALDO INICIAL")*(MOVIMIENTOS!$C$5:$C$1005="P")*(MOVIMIENTOS!$D$5:$D$1005="jabas")*(MOVIMIENTOS!$A$5:$A$1005&lt;&gt;"")*(MOVIMIENTOS!$A$5:$A$1005&lt;=$A782)*MOVIMIENTOS!$E$5:$E$1005)+SUMPRODUCT((MOVIMIENTOS!$B$5:$B$1005="PROCESO")*(MOVIMIENTOS!$C$5:$C$1005="P")*(MOVIMIENTOS!$D$5:$D$1005="jabas")*(MOVIMIENTOS!$A$5:$A$1005&lt;&gt;"")*(MOVIMIENTOS!$A$5:$A$1005&lt;=$A782)*MOVIMIENTOS!$E$5:$E$1005)-SUMPRODUCT((MOVIMIENTOS!$B$5:$B$1005="ENVÍO A SUPESA")*(MOVIMIENTOS!$C$5:$C$1005="P")*(MOVIMIENTOS!$D$5:$D$1005="jabas")*(MOVIMIENTOS!$A$5:$A$1005&lt;&gt;"")*(MOVIMIENTOS!$A$5:$A$1005&lt;=$A782)*MOVIMIENTOS!$E$5:$E$1005)+SUMPRODUCT((MOVIMIENTOS!$B$5:$B$1005="DEVOLUCIÓN")*(MOVIMIENTOS!$C$5:$C$1005="P")*(MOVIMIENTOS!$D$5:$D$1005="jabas")*(MOVIMIENTOS!$A$5:$A$1005&lt;&gt;"")*(MOVIMIENTOS!$A$5:$A$1005&lt;=$A782)*MOVIMIENTOS!$E$5:$E$1005)-SUMPRODUCT((MOVIMIENTOS!$B$5:$B$1005="TRASIEGO")*(MOVIMIENTOS!$C$5:$C$1005="P")*(MOVIMIENTOS!$D$5:$D$1005="jabas")*(MOVIMIENTOS!$A$5:$A$1005&lt;&gt;"")*(MOVIMIENTOS!$A$5:$A$1005&lt;=$A782)*MOVIMIENTOS!$E$5:$E$1005)-SUMPRODUCT((MOVIMIENTOS!$B$5:$B$1005="REGALO")*(MOVIMIENTOS!$C$5:$C$1005="P")*(MOVIMIENTOS!$D$5:$D$1005="jabas")*(MOVIMIENTOS!$A$5:$A$1005&lt;&gt;"")*(MOVIMIENTOS!$A$5:$A$1005&lt;=$A782)*MOVIMIENTOS!$E$5:$E$1005)-SUMPRODUCT((MOVIMIENTOS!$B$5:$B$1005="VENTA")*(MOVIMIENTOS!$C$5:$C$1005="P")*(MOVIMIENTOS!$D$5:$D$1005="jabas")*(MOVIMIENTOS!$A$5:$A$1005&lt;&gt;"")*(MOVIMIENTOS!$A$5:$A$1005&lt;=$A782)*MOVIMIENTOS!$E$5:$E$1005)+SUMPRODUCT((MOVIMIENTOS!$B$5:$B$1005="AJUSTE")*(MOVIMIENTOS!$C$5:$C$1005="P")*(MOVIMIENTOS!$D$5:$D$1005="jabas")*(MOVIMIENTOS!$A$5:$A$1005&lt;&gt;"")*(MOVIMIENTOS!$A$5:$A$1005&lt;=$A782)*MOVIMIENTOS!$E$5:$E$1005))</f>
        <v/>
      </c>
      <c r="D782" t="str">
        <f>IF($A782="","",SUMPRODUCT((MOVIMIENTOS!$B$5:$B$1005="SALDO INICIAL")*(MOVIMIENTOS!$C$5:$C$1005="C")*(MOVIMIENTOS!$D$5:$D$1005="jabas")*(MOVIMIENTOS!$A$5:$A$1005&lt;&gt;"")*(MOVIMIENTOS!$A$5:$A$1005&lt;=$A782)*MOVIMIENTOS!$E$5:$E$1005)+SUMPRODUCT((MOVIMIENTOS!$B$5:$B$1005="PROCESO")*(MOVIMIENTOS!$C$5:$C$1005="C")*(MOVIMIENTOS!$D$5:$D$1005="jabas")*(MOVIMIENTOS!$A$5:$A$1005&lt;&gt;"")*(MOVIMIENTOS!$A$5:$A$1005&lt;=$A782)*MOVIMIENTOS!$E$5:$E$1005)-SUMPRODUCT((MOVIMIENTOS!$B$5:$B$1005="ENVÍO A SUPESA")*(MOVIMIENTOS!$C$5:$C$1005="C")*(MOVIMIENTOS!$D$5:$D$1005="jabas")*(MOVIMIENTOS!$A$5:$A$1005&lt;&gt;"")*(MOVIMIENTOS!$A$5:$A$1005&lt;=$A782)*MOVIMIENTOS!$E$5:$E$1005)+SUMPRODUCT((MOVIMIENTOS!$B$5:$B$1005="DEVOLUCIÓN")*(MOVIMIENTOS!$C$5:$C$1005="C")*(MOVIMIENTOS!$D$5:$D$1005="jabas")*(MOVIMIENTOS!$A$5:$A$1005&lt;&gt;"")*(MOVIMIENTOS!$A$5:$A$1005&lt;=$A782)*MOVIMIENTOS!$E$5:$E$1005)-SUMPRODUCT((MOVIMIENTOS!$B$5:$B$1005="TRASIEGO")*(MOVIMIENTOS!$C$5:$C$1005="C")*(MOVIMIENTOS!$D$5:$D$1005="jabas")*(MOVIMIENTOS!$A$5:$A$1005&lt;&gt;"")*(MOVIMIENTOS!$A$5:$A$1005&lt;=$A782)*MOVIMIENTOS!$E$5:$E$1005)-SUMPRODUCT((MOVIMIENTOS!$B$5:$B$1005="REGALO")*(MOVIMIENTOS!$C$5:$C$1005="C")*(MOVIMIENTOS!$D$5:$D$1005="jabas")*(MOVIMIENTOS!$A$5:$A$1005&lt;&gt;"")*(MOVIMIENTOS!$A$5:$A$1005&lt;=$A782)*MOVIMIENTOS!$E$5:$E$1005)-SUMPRODUCT((MOVIMIENTOS!$B$5:$B$1005="VENTA")*(MOVIMIENTOS!$C$5:$C$1005="C")*(MOVIMIENTOS!$D$5:$D$1005="jabas")*(MOVIMIENTOS!$A$5:$A$1005&lt;&gt;"")*(MOVIMIENTOS!$A$5:$A$1005&lt;=$A782)*MOVIMIENTOS!$E$5:$E$1005)+SUMPRODUCT((MOVIMIENTOS!$B$5:$B$1005="AJUSTE")*(MOVIMIENTOS!$C$5:$C$1005="C")*(MOVIMIENTOS!$D$5:$D$1005="jabas")*(MOVIMIENTOS!$A$5:$A$1005&lt;&gt;"")*(MOVIMIENTOS!$A$5:$A$1005&lt;=$A782)*MOVIMIENTOS!$E$5:$E$1005))</f>
        <v/>
      </c>
      <c r="E782" t="str">
        <f>IF($A782="","",SUMPRODUCT((MOVIMIENTOS!$B$5:$B$1005="SALDO INICIAL")*(MOVIMIENTOS!$C$5:$C$1005="M")*(MOVIMIENTOS!$D$5:$D$1005="jabas")*(MOVIMIENTOS!$A$5:$A$1005&lt;&gt;"")*(MOVIMIENTOS!$A$5:$A$1005&lt;=$A782)*MOVIMIENTOS!$E$5:$E$1005)+SUMPRODUCT((MOVIMIENTOS!$B$5:$B$1005="PROCESO")*(MOVIMIENTOS!$C$5:$C$1005="M")*(MOVIMIENTOS!$D$5:$D$1005="jabas")*(MOVIMIENTOS!$A$5:$A$1005&lt;&gt;"")*(MOVIMIENTOS!$A$5:$A$1005&lt;=$A782)*MOVIMIENTOS!$E$5:$E$1005)-SUMPRODUCT((MOVIMIENTOS!$B$5:$B$1005="ENVÍO A SUPESA")*(MOVIMIENTOS!$C$5:$C$1005="M")*(MOVIMIENTOS!$D$5:$D$1005="jabas")*(MOVIMIENTOS!$A$5:$A$1005&lt;&gt;"")*(MOVIMIENTOS!$A$5:$A$1005&lt;=$A782)*MOVIMIENTOS!$E$5:$E$1005)+SUMPRODUCT((MOVIMIENTOS!$B$5:$B$1005="DEVOLUCIÓN")*(MOVIMIENTOS!$C$5:$C$1005="M")*(MOVIMIENTOS!$D$5:$D$1005="jabas")*(MOVIMIENTOS!$A$5:$A$1005&lt;&gt;"")*(MOVIMIENTOS!$A$5:$A$1005&lt;=$A782)*MOVIMIENTOS!$E$5:$E$1005)-SUMPRODUCT((MOVIMIENTOS!$B$5:$B$1005="TRASIEGO")*(MOVIMIENTOS!$C$5:$C$1005="M")*(MOVIMIENTOS!$D$5:$D$1005="jabas")*(MOVIMIENTOS!$A$5:$A$1005&lt;&gt;"")*(MOVIMIENTOS!$A$5:$A$1005&lt;=$A782)*MOVIMIENTOS!$E$5:$E$1005)-SUMPRODUCT((MOVIMIENTOS!$B$5:$B$1005="REGALO")*(MOVIMIENTOS!$C$5:$C$1005="M")*(MOVIMIENTOS!$D$5:$D$1005="jabas")*(MOVIMIENTOS!$A$5:$A$1005&lt;&gt;"")*(MOVIMIENTOS!$A$5:$A$1005&lt;=$A782)*MOVIMIENTOS!$E$5:$E$1005)-SUMPRODUCT((MOVIMIENTOS!$B$5:$B$1005="VENTA")*(MOVIMIENTOS!$C$5:$C$1005="M")*(MOVIMIENTOS!$D$5:$D$1005="jabas")*(MOVIMIENTOS!$A$5:$A$1005&lt;&gt;"")*(MOVIMIENTOS!$A$5:$A$1005&lt;=$A782)*MOVIMIENTOS!$E$5:$E$1005)+SUMPRODUCT((MOVIMIENTOS!$B$5:$B$1005="AJUSTE")*(MOVIMIENTOS!$C$5:$C$1005="M")*(MOVIMIENTOS!$D$5:$D$1005="jabas")*(MOVIMIENTOS!$A$5:$A$1005&lt;&gt;"")*(MOVIMIENTOS!$A$5:$A$1005&lt;=$A782)*MOVIMIENTOS!$E$5:$E$1005))</f>
        <v/>
      </c>
      <c r="F782" s="62" t="str">
        <f>IF($A782="","",SUMPRODUCT((MOVIMIENTOS!$B$5:$B$1005="SALDO INICIAL")*(MOVIMIENTOS!$C$5:$C$1005="Chancho")*(MOVIMIENTOS!$D$5:$D$1005="sacos")*(MOVIMIENTOS!$A$5:$A$1005&lt;&gt;"")*(MOVIMIENTOS!$A$5:$A$1005&lt;=$A782)*MOVIMIENTOS!$E$5:$E$1005)+SUMPRODUCT((MOVIMIENTOS!$B$5:$B$1005="PROCESO")*(MOVIMIENTOS!$C$5:$C$1005="Chancho")*(MOVIMIENTOS!$D$5:$D$1005="sacos")*(MOVIMIENTOS!$A$5:$A$1005&lt;&gt;"")*(MOVIMIENTOS!$A$5:$A$1005&lt;=$A782)*MOVIMIENTOS!$E$5:$E$1005)-SUMPRODUCT((MOVIMIENTOS!$B$5:$B$1005="VENTA CHANCHO")*(MOVIMIENTOS!$C$5:$C$1005="Chancho")*(MOVIMIENTOS!$D$5:$D$1005="sacos")*(MOVIMIENTOS!$A$5:$A$1005&lt;&gt;"")*(MOVIMIENTOS!$A$5:$A$1005&lt;=$A782)*MOVIMIENTOS!$E$5:$E$1005)-SUMPRODUCT((MOVIMIENTOS!$B$5:$B$1005="REGALO")*(MOVIMIENTOS!$C$5:$C$1005="Chancho")*(MOVIMIENTOS!$D$5:$D$1005="sacos")*(MOVIMIENTOS!$A$5:$A$1005&lt;&gt;"")*(MOVIMIENTOS!$A$5:$A$1005&lt;=$A782)*MOVIMIENTOS!$E$5:$E$1005)-SUMPRODUCT((MOVIMIENTOS!$B$5:$B$1005="VENTA")*(MOVIMIENTOS!$C$5:$C$1005="Chancho")*(MOVIMIENTOS!$D$5:$D$1005="sacos")*(MOVIMIENTOS!$A$5:$A$1005&lt;&gt;"")*(MOVIMIENTOS!$A$5:$A$1005&lt;=$A782)*MOVIMIENTOS!$E$5:$E$1005)+SUMPRODUCT((MOVIMIENTOS!$B$5:$B$1005="AJUSTE")*(MOVIMIENTOS!$C$5:$C$1005="Chancho")*(MOVIMIENTOS!$D$5:$D$1005="sacos")*(MOVIMIENTOS!$A$5:$A$1005&lt;&gt;"")*(MOVIMIENTOS!$A$5:$A$1005&lt;=$A782)*MOVIMIENTOS!$E$5:$E$1005))</f>
        <v/>
      </c>
      <c r="G782" s="62" t="str">
        <f t="shared" si="25"/>
        <v/>
      </c>
      <c r="H782" t="str">
        <f>IF($A782="","",SUMPRODUCT((((MOVIMIENTOS!$B$5:$B$1005="SALDO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782)*MOVIMIENTOS!$J$5:$J$1005))</f>
        <v/>
      </c>
      <c r="J782" t="str">
        <f>IF(AND(MOVIMIENTOS!$A787&lt;&gt;"",COUNTIF(MOVIMIENTOS!$A$5:$A786,MOVIMIENTOS!$A787)=0),COUNT(J$4:J781)+1,"")</f>
        <v/>
      </c>
      <c r="K782">
        <f>MOVIMIENTOS!$A787</f>
        <v>0</v>
      </c>
    </row>
    <row r="783" spans="1:11" ht="15" customHeight="1" x14ac:dyDescent="0.2">
      <c r="A783" t="str">
        <f t="shared" si="24"/>
        <v/>
      </c>
      <c r="B783" t="str">
        <f>IF($A783="","",SUMPRODUCT((MOVIMIENTOS!$B$5:$B$1005="SALDO INICIAL")*(MOVIMIENTOS!$C$5:$C$1005="A")*(MOVIMIENTOS!$D$5:$D$1005="jabas")*(MOVIMIENTOS!$A$5:$A$1005&lt;&gt;"")*(MOVIMIENTOS!$A$5:$A$1005&lt;=$A783)*MOVIMIENTOS!$E$5:$E$1005)+SUMPRODUCT((MOVIMIENTOS!$B$5:$B$1005="PROCESO")*(MOVIMIENTOS!$C$5:$C$1005="A")*(MOVIMIENTOS!$D$5:$D$1005="jabas")*(MOVIMIENTOS!$A$5:$A$1005&lt;&gt;"")*(MOVIMIENTOS!$A$5:$A$1005&lt;=$A783)*MOVIMIENTOS!$E$5:$E$1005)-SUMPRODUCT((MOVIMIENTOS!$B$5:$B$1005="ENVÍO A SUPESA")*(MOVIMIENTOS!$C$5:$C$1005="A")*(MOVIMIENTOS!$D$5:$D$1005="jabas")*(MOVIMIENTOS!$A$5:$A$1005&lt;&gt;"")*(MOVIMIENTOS!$A$5:$A$1005&lt;=$A783)*MOVIMIENTOS!$E$5:$E$1005)+SUMPRODUCT((MOVIMIENTOS!$B$5:$B$1005="DEVOLUCIÓN")*(MOVIMIENTOS!$C$5:$C$1005="A")*(MOVIMIENTOS!$D$5:$D$1005="jabas")*(MOVIMIENTOS!$A$5:$A$1005&lt;&gt;"")*(MOVIMIENTOS!$A$5:$A$1005&lt;=$A783)*MOVIMIENTOS!$E$5:$E$1005)-SUMPRODUCT((MOVIMIENTOS!$B$5:$B$1005="TRASIEGO")*(MOVIMIENTOS!$C$5:$C$1005="A")*(MOVIMIENTOS!$D$5:$D$1005="jabas")*(MOVIMIENTOS!$A$5:$A$1005&lt;&gt;"")*(MOVIMIENTOS!$A$5:$A$1005&lt;=$A783)*MOVIMIENTOS!$E$5:$E$1005)-SUMPRODUCT((MOVIMIENTOS!$B$5:$B$1005="REGALO")*(MOVIMIENTOS!$C$5:$C$1005="A")*(MOVIMIENTOS!$D$5:$D$1005="jabas")*(MOVIMIENTOS!$A$5:$A$1005&lt;&gt;"")*(MOVIMIENTOS!$A$5:$A$1005&lt;=$A783)*MOVIMIENTOS!$E$5:$E$1005)-SUMPRODUCT((MOVIMIENTOS!$B$5:$B$1005="VENTA")*(MOVIMIENTOS!$C$5:$C$1005="A")*(MOVIMIENTOS!$D$5:$D$1005="jabas")*(MOVIMIENTOS!$A$5:$A$1005&lt;&gt;"")*(MOVIMIENTOS!$A$5:$A$1005&lt;=$A783)*MOVIMIENTOS!$E$5:$E$1005)+SUMPRODUCT((MOVIMIENTOS!$B$5:$B$1005="AJUSTE")*(MOVIMIENTOS!$C$5:$C$1005="A")*(MOVIMIENTOS!$D$5:$D$1005="jabas")*(MOVIMIENTOS!$A$5:$A$1005&lt;&gt;"")*(MOVIMIENTOS!$A$5:$A$1005&lt;=$A783)*MOVIMIENTOS!$E$5:$E$1005))</f>
        <v/>
      </c>
      <c r="C783" t="str">
        <f>IF($A783="","",SUMPRODUCT((MOVIMIENTOS!$B$5:$B$1005="SALDO INICIAL")*(MOVIMIENTOS!$C$5:$C$1005="P")*(MOVIMIENTOS!$D$5:$D$1005="jabas")*(MOVIMIENTOS!$A$5:$A$1005&lt;&gt;"")*(MOVIMIENTOS!$A$5:$A$1005&lt;=$A783)*MOVIMIENTOS!$E$5:$E$1005)+SUMPRODUCT((MOVIMIENTOS!$B$5:$B$1005="PROCESO")*(MOVIMIENTOS!$C$5:$C$1005="P")*(MOVIMIENTOS!$D$5:$D$1005="jabas")*(MOVIMIENTOS!$A$5:$A$1005&lt;&gt;"")*(MOVIMIENTOS!$A$5:$A$1005&lt;=$A783)*MOVIMIENTOS!$E$5:$E$1005)-SUMPRODUCT((MOVIMIENTOS!$B$5:$B$1005="ENVÍO A SUPESA")*(MOVIMIENTOS!$C$5:$C$1005="P")*(MOVIMIENTOS!$D$5:$D$1005="jabas")*(MOVIMIENTOS!$A$5:$A$1005&lt;&gt;"")*(MOVIMIENTOS!$A$5:$A$1005&lt;=$A783)*MOVIMIENTOS!$E$5:$E$1005)+SUMPRODUCT((MOVIMIENTOS!$B$5:$B$1005="DEVOLUCIÓN")*(MOVIMIENTOS!$C$5:$C$1005="P")*(MOVIMIENTOS!$D$5:$D$1005="jabas")*(MOVIMIENTOS!$A$5:$A$1005&lt;&gt;"")*(MOVIMIENTOS!$A$5:$A$1005&lt;=$A783)*MOVIMIENTOS!$E$5:$E$1005)-SUMPRODUCT((MOVIMIENTOS!$B$5:$B$1005="TRASIEGO")*(MOVIMIENTOS!$C$5:$C$1005="P")*(MOVIMIENTOS!$D$5:$D$1005="jabas")*(MOVIMIENTOS!$A$5:$A$1005&lt;&gt;"")*(MOVIMIENTOS!$A$5:$A$1005&lt;=$A783)*MOVIMIENTOS!$E$5:$E$1005)-SUMPRODUCT((MOVIMIENTOS!$B$5:$B$1005="REGALO")*(MOVIMIENTOS!$C$5:$C$1005="P")*(MOVIMIENTOS!$D$5:$D$1005="jabas")*(MOVIMIENTOS!$A$5:$A$1005&lt;&gt;"")*(MOVIMIENTOS!$A$5:$A$1005&lt;=$A783)*MOVIMIENTOS!$E$5:$E$1005)-SUMPRODUCT((MOVIMIENTOS!$B$5:$B$1005="VENTA")*(MOVIMIENTOS!$C$5:$C$1005="P")*(MOVIMIENTOS!$D$5:$D$1005="jabas")*(MOVIMIENTOS!$A$5:$A$1005&lt;&gt;"")*(MOVIMIENTOS!$A$5:$A$1005&lt;=$A783)*MOVIMIENTOS!$E$5:$E$1005)+SUMPRODUCT((MOVIMIENTOS!$B$5:$B$1005="AJUSTE")*(MOVIMIENTOS!$C$5:$C$1005="P")*(MOVIMIENTOS!$D$5:$D$1005="jabas")*(MOVIMIENTOS!$A$5:$A$1005&lt;&gt;"")*(MOVIMIENTOS!$A$5:$A$1005&lt;=$A783)*MOVIMIENTOS!$E$5:$E$1005))</f>
        <v/>
      </c>
      <c r="D783" t="str">
        <f>IF($A783="","",SUMPRODUCT((MOVIMIENTOS!$B$5:$B$1005="SALDO INICIAL")*(MOVIMIENTOS!$C$5:$C$1005="C")*(MOVIMIENTOS!$D$5:$D$1005="jabas")*(MOVIMIENTOS!$A$5:$A$1005&lt;&gt;"")*(MOVIMIENTOS!$A$5:$A$1005&lt;=$A783)*MOVIMIENTOS!$E$5:$E$1005)+SUMPRODUCT((MOVIMIENTOS!$B$5:$B$1005="PROCESO")*(MOVIMIENTOS!$C$5:$C$1005="C")*(MOVIMIENTOS!$D$5:$D$1005="jabas")*(MOVIMIENTOS!$A$5:$A$1005&lt;&gt;"")*(MOVIMIENTOS!$A$5:$A$1005&lt;=$A783)*MOVIMIENTOS!$E$5:$E$1005)-SUMPRODUCT((MOVIMIENTOS!$B$5:$B$1005="ENVÍO A SUPESA")*(MOVIMIENTOS!$C$5:$C$1005="C")*(MOVIMIENTOS!$D$5:$D$1005="jabas")*(MOVIMIENTOS!$A$5:$A$1005&lt;&gt;"")*(MOVIMIENTOS!$A$5:$A$1005&lt;=$A783)*MOVIMIENTOS!$E$5:$E$1005)+SUMPRODUCT((MOVIMIENTOS!$B$5:$B$1005="DEVOLUCIÓN")*(MOVIMIENTOS!$C$5:$C$1005="C")*(MOVIMIENTOS!$D$5:$D$1005="jabas")*(MOVIMIENTOS!$A$5:$A$1005&lt;&gt;"")*(MOVIMIENTOS!$A$5:$A$1005&lt;=$A783)*MOVIMIENTOS!$E$5:$E$1005)-SUMPRODUCT((MOVIMIENTOS!$B$5:$B$1005="TRASIEGO")*(MOVIMIENTOS!$C$5:$C$1005="C")*(MOVIMIENTOS!$D$5:$D$1005="jabas")*(MOVIMIENTOS!$A$5:$A$1005&lt;&gt;"")*(MOVIMIENTOS!$A$5:$A$1005&lt;=$A783)*MOVIMIENTOS!$E$5:$E$1005)-SUMPRODUCT((MOVIMIENTOS!$B$5:$B$1005="REGALO")*(MOVIMIENTOS!$C$5:$C$1005="C")*(MOVIMIENTOS!$D$5:$D$1005="jabas")*(MOVIMIENTOS!$A$5:$A$1005&lt;&gt;"")*(MOVIMIENTOS!$A$5:$A$1005&lt;=$A783)*MOVIMIENTOS!$E$5:$E$1005)-SUMPRODUCT((MOVIMIENTOS!$B$5:$B$1005="VENTA")*(MOVIMIENTOS!$C$5:$C$1005="C")*(MOVIMIENTOS!$D$5:$D$1005="jabas")*(MOVIMIENTOS!$A$5:$A$1005&lt;&gt;"")*(MOVIMIENTOS!$A$5:$A$1005&lt;=$A783)*MOVIMIENTOS!$E$5:$E$1005)+SUMPRODUCT((MOVIMIENTOS!$B$5:$B$1005="AJUSTE")*(MOVIMIENTOS!$C$5:$C$1005="C")*(MOVIMIENTOS!$D$5:$D$1005="jabas")*(MOVIMIENTOS!$A$5:$A$1005&lt;&gt;"")*(MOVIMIENTOS!$A$5:$A$1005&lt;=$A783)*MOVIMIENTOS!$E$5:$E$1005))</f>
        <v/>
      </c>
      <c r="E783" t="str">
        <f>IF($A783="","",SUMPRODUCT((MOVIMIENTOS!$B$5:$B$1005="SALDO INICIAL")*(MOVIMIENTOS!$C$5:$C$1005="M")*(MOVIMIENTOS!$D$5:$D$1005="jabas")*(MOVIMIENTOS!$A$5:$A$1005&lt;&gt;"")*(MOVIMIENTOS!$A$5:$A$1005&lt;=$A783)*MOVIMIENTOS!$E$5:$E$1005)+SUMPRODUCT((MOVIMIENTOS!$B$5:$B$1005="PROCESO")*(MOVIMIENTOS!$C$5:$C$1005="M")*(MOVIMIENTOS!$D$5:$D$1005="jabas")*(MOVIMIENTOS!$A$5:$A$1005&lt;&gt;"")*(MOVIMIENTOS!$A$5:$A$1005&lt;=$A783)*MOVIMIENTOS!$E$5:$E$1005)-SUMPRODUCT((MOVIMIENTOS!$B$5:$B$1005="ENVÍO A SUPESA")*(MOVIMIENTOS!$C$5:$C$1005="M")*(MOVIMIENTOS!$D$5:$D$1005="jabas")*(MOVIMIENTOS!$A$5:$A$1005&lt;&gt;"")*(MOVIMIENTOS!$A$5:$A$1005&lt;=$A783)*MOVIMIENTOS!$E$5:$E$1005)+SUMPRODUCT((MOVIMIENTOS!$B$5:$B$1005="DEVOLUCIÓN")*(MOVIMIENTOS!$C$5:$C$1005="M")*(MOVIMIENTOS!$D$5:$D$1005="jabas")*(MOVIMIENTOS!$A$5:$A$1005&lt;&gt;"")*(MOVIMIENTOS!$A$5:$A$1005&lt;=$A783)*MOVIMIENTOS!$E$5:$E$1005)-SUMPRODUCT((MOVIMIENTOS!$B$5:$B$1005="TRASIEGO")*(MOVIMIENTOS!$C$5:$C$1005="M")*(MOVIMIENTOS!$D$5:$D$1005="jabas")*(MOVIMIENTOS!$A$5:$A$1005&lt;&gt;"")*(MOVIMIENTOS!$A$5:$A$1005&lt;=$A783)*MOVIMIENTOS!$E$5:$E$1005)-SUMPRODUCT((MOVIMIENTOS!$B$5:$B$1005="REGALO")*(MOVIMIENTOS!$C$5:$C$1005="M")*(MOVIMIENTOS!$D$5:$D$1005="jabas")*(MOVIMIENTOS!$A$5:$A$1005&lt;&gt;"")*(MOVIMIENTOS!$A$5:$A$1005&lt;=$A783)*MOVIMIENTOS!$E$5:$E$1005)-SUMPRODUCT((MOVIMIENTOS!$B$5:$B$1005="VENTA")*(MOVIMIENTOS!$C$5:$C$1005="M")*(MOVIMIENTOS!$D$5:$D$1005="jabas")*(MOVIMIENTOS!$A$5:$A$1005&lt;&gt;"")*(MOVIMIENTOS!$A$5:$A$1005&lt;=$A783)*MOVIMIENTOS!$E$5:$E$1005)+SUMPRODUCT((MOVIMIENTOS!$B$5:$B$1005="AJUSTE")*(MOVIMIENTOS!$C$5:$C$1005="M")*(MOVIMIENTOS!$D$5:$D$1005="jabas")*(MOVIMIENTOS!$A$5:$A$1005&lt;&gt;"")*(MOVIMIENTOS!$A$5:$A$1005&lt;=$A783)*MOVIMIENTOS!$E$5:$E$1005))</f>
        <v/>
      </c>
      <c r="F783" s="62" t="str">
        <f>IF($A783="","",SUMPRODUCT((MOVIMIENTOS!$B$5:$B$1005="SALDO INICIAL")*(MOVIMIENTOS!$C$5:$C$1005="Chancho")*(MOVIMIENTOS!$D$5:$D$1005="sacos")*(MOVIMIENTOS!$A$5:$A$1005&lt;&gt;"")*(MOVIMIENTOS!$A$5:$A$1005&lt;=$A783)*MOVIMIENTOS!$E$5:$E$1005)+SUMPRODUCT((MOVIMIENTOS!$B$5:$B$1005="PROCESO")*(MOVIMIENTOS!$C$5:$C$1005="Chancho")*(MOVIMIENTOS!$D$5:$D$1005="sacos")*(MOVIMIENTOS!$A$5:$A$1005&lt;&gt;"")*(MOVIMIENTOS!$A$5:$A$1005&lt;=$A783)*MOVIMIENTOS!$E$5:$E$1005)-SUMPRODUCT((MOVIMIENTOS!$B$5:$B$1005="VENTA CHANCHO")*(MOVIMIENTOS!$C$5:$C$1005="Chancho")*(MOVIMIENTOS!$D$5:$D$1005="sacos")*(MOVIMIENTOS!$A$5:$A$1005&lt;&gt;"")*(MOVIMIENTOS!$A$5:$A$1005&lt;=$A783)*MOVIMIENTOS!$E$5:$E$1005)-SUMPRODUCT((MOVIMIENTOS!$B$5:$B$1005="REGALO")*(MOVIMIENTOS!$C$5:$C$1005="Chancho")*(MOVIMIENTOS!$D$5:$D$1005="sacos")*(MOVIMIENTOS!$A$5:$A$1005&lt;&gt;"")*(MOVIMIENTOS!$A$5:$A$1005&lt;=$A783)*MOVIMIENTOS!$E$5:$E$1005)-SUMPRODUCT((MOVIMIENTOS!$B$5:$B$1005="VENTA")*(MOVIMIENTOS!$C$5:$C$1005="Chancho")*(MOVIMIENTOS!$D$5:$D$1005="sacos")*(MOVIMIENTOS!$A$5:$A$1005&lt;&gt;"")*(MOVIMIENTOS!$A$5:$A$1005&lt;=$A783)*MOVIMIENTOS!$E$5:$E$1005)+SUMPRODUCT((MOVIMIENTOS!$B$5:$B$1005="AJUSTE")*(MOVIMIENTOS!$C$5:$C$1005="Chancho")*(MOVIMIENTOS!$D$5:$D$1005="sacos")*(MOVIMIENTOS!$A$5:$A$1005&lt;&gt;"")*(MOVIMIENTOS!$A$5:$A$1005&lt;=$A783)*MOVIMIENTOS!$E$5:$E$1005))</f>
        <v/>
      </c>
      <c r="G783" s="62" t="str">
        <f t="shared" si="25"/>
        <v/>
      </c>
      <c r="H783" t="str">
        <f>IF($A783="","",SUMPRODUCT((((MOVIMIENTOS!$B$5:$B$1005="SALDO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783)*MOVIMIENTOS!$J$5:$J$1005))</f>
        <v/>
      </c>
      <c r="J783" t="str">
        <f>IF(AND(MOVIMIENTOS!$A788&lt;&gt;"",COUNTIF(MOVIMIENTOS!$A$5:$A787,MOVIMIENTOS!$A788)=0),COUNT(J$4:J782)+1,"")</f>
        <v/>
      </c>
      <c r="K783">
        <f>MOVIMIENTOS!$A788</f>
        <v>0</v>
      </c>
    </row>
    <row r="784" spans="1:11" ht="15" customHeight="1" x14ac:dyDescent="0.2">
      <c r="A784" t="str">
        <f t="shared" si="24"/>
        <v/>
      </c>
      <c r="B784" t="str">
        <f>IF($A784="","",SUMPRODUCT((MOVIMIENTOS!$B$5:$B$1005="SALDO INICIAL")*(MOVIMIENTOS!$C$5:$C$1005="A")*(MOVIMIENTOS!$D$5:$D$1005="jabas")*(MOVIMIENTOS!$A$5:$A$1005&lt;&gt;"")*(MOVIMIENTOS!$A$5:$A$1005&lt;=$A784)*MOVIMIENTOS!$E$5:$E$1005)+SUMPRODUCT((MOVIMIENTOS!$B$5:$B$1005="PROCESO")*(MOVIMIENTOS!$C$5:$C$1005="A")*(MOVIMIENTOS!$D$5:$D$1005="jabas")*(MOVIMIENTOS!$A$5:$A$1005&lt;&gt;"")*(MOVIMIENTOS!$A$5:$A$1005&lt;=$A784)*MOVIMIENTOS!$E$5:$E$1005)-SUMPRODUCT((MOVIMIENTOS!$B$5:$B$1005="ENVÍO A SUPESA")*(MOVIMIENTOS!$C$5:$C$1005="A")*(MOVIMIENTOS!$D$5:$D$1005="jabas")*(MOVIMIENTOS!$A$5:$A$1005&lt;&gt;"")*(MOVIMIENTOS!$A$5:$A$1005&lt;=$A784)*MOVIMIENTOS!$E$5:$E$1005)+SUMPRODUCT((MOVIMIENTOS!$B$5:$B$1005="DEVOLUCIÓN")*(MOVIMIENTOS!$C$5:$C$1005="A")*(MOVIMIENTOS!$D$5:$D$1005="jabas")*(MOVIMIENTOS!$A$5:$A$1005&lt;&gt;"")*(MOVIMIENTOS!$A$5:$A$1005&lt;=$A784)*MOVIMIENTOS!$E$5:$E$1005)-SUMPRODUCT((MOVIMIENTOS!$B$5:$B$1005="TRASIEGO")*(MOVIMIENTOS!$C$5:$C$1005="A")*(MOVIMIENTOS!$D$5:$D$1005="jabas")*(MOVIMIENTOS!$A$5:$A$1005&lt;&gt;"")*(MOVIMIENTOS!$A$5:$A$1005&lt;=$A784)*MOVIMIENTOS!$E$5:$E$1005)-SUMPRODUCT((MOVIMIENTOS!$B$5:$B$1005="REGALO")*(MOVIMIENTOS!$C$5:$C$1005="A")*(MOVIMIENTOS!$D$5:$D$1005="jabas")*(MOVIMIENTOS!$A$5:$A$1005&lt;&gt;"")*(MOVIMIENTOS!$A$5:$A$1005&lt;=$A784)*MOVIMIENTOS!$E$5:$E$1005)-SUMPRODUCT((MOVIMIENTOS!$B$5:$B$1005="VENTA")*(MOVIMIENTOS!$C$5:$C$1005="A")*(MOVIMIENTOS!$D$5:$D$1005="jabas")*(MOVIMIENTOS!$A$5:$A$1005&lt;&gt;"")*(MOVIMIENTOS!$A$5:$A$1005&lt;=$A784)*MOVIMIENTOS!$E$5:$E$1005)+SUMPRODUCT((MOVIMIENTOS!$B$5:$B$1005="AJUSTE")*(MOVIMIENTOS!$C$5:$C$1005="A")*(MOVIMIENTOS!$D$5:$D$1005="jabas")*(MOVIMIENTOS!$A$5:$A$1005&lt;&gt;"")*(MOVIMIENTOS!$A$5:$A$1005&lt;=$A784)*MOVIMIENTOS!$E$5:$E$1005))</f>
        <v/>
      </c>
      <c r="C784" t="str">
        <f>IF($A784="","",SUMPRODUCT((MOVIMIENTOS!$B$5:$B$1005="SALDO INICIAL")*(MOVIMIENTOS!$C$5:$C$1005="P")*(MOVIMIENTOS!$D$5:$D$1005="jabas")*(MOVIMIENTOS!$A$5:$A$1005&lt;&gt;"")*(MOVIMIENTOS!$A$5:$A$1005&lt;=$A784)*MOVIMIENTOS!$E$5:$E$1005)+SUMPRODUCT((MOVIMIENTOS!$B$5:$B$1005="PROCESO")*(MOVIMIENTOS!$C$5:$C$1005="P")*(MOVIMIENTOS!$D$5:$D$1005="jabas")*(MOVIMIENTOS!$A$5:$A$1005&lt;&gt;"")*(MOVIMIENTOS!$A$5:$A$1005&lt;=$A784)*MOVIMIENTOS!$E$5:$E$1005)-SUMPRODUCT((MOVIMIENTOS!$B$5:$B$1005="ENVÍO A SUPESA")*(MOVIMIENTOS!$C$5:$C$1005="P")*(MOVIMIENTOS!$D$5:$D$1005="jabas")*(MOVIMIENTOS!$A$5:$A$1005&lt;&gt;"")*(MOVIMIENTOS!$A$5:$A$1005&lt;=$A784)*MOVIMIENTOS!$E$5:$E$1005)+SUMPRODUCT((MOVIMIENTOS!$B$5:$B$1005="DEVOLUCIÓN")*(MOVIMIENTOS!$C$5:$C$1005="P")*(MOVIMIENTOS!$D$5:$D$1005="jabas")*(MOVIMIENTOS!$A$5:$A$1005&lt;&gt;"")*(MOVIMIENTOS!$A$5:$A$1005&lt;=$A784)*MOVIMIENTOS!$E$5:$E$1005)-SUMPRODUCT((MOVIMIENTOS!$B$5:$B$1005="TRASIEGO")*(MOVIMIENTOS!$C$5:$C$1005="P")*(MOVIMIENTOS!$D$5:$D$1005="jabas")*(MOVIMIENTOS!$A$5:$A$1005&lt;&gt;"")*(MOVIMIENTOS!$A$5:$A$1005&lt;=$A784)*MOVIMIENTOS!$E$5:$E$1005)-SUMPRODUCT((MOVIMIENTOS!$B$5:$B$1005="REGALO")*(MOVIMIENTOS!$C$5:$C$1005="P")*(MOVIMIENTOS!$D$5:$D$1005="jabas")*(MOVIMIENTOS!$A$5:$A$1005&lt;&gt;"")*(MOVIMIENTOS!$A$5:$A$1005&lt;=$A784)*MOVIMIENTOS!$E$5:$E$1005)-SUMPRODUCT((MOVIMIENTOS!$B$5:$B$1005="VENTA")*(MOVIMIENTOS!$C$5:$C$1005="P")*(MOVIMIENTOS!$D$5:$D$1005="jabas")*(MOVIMIENTOS!$A$5:$A$1005&lt;&gt;"")*(MOVIMIENTOS!$A$5:$A$1005&lt;=$A784)*MOVIMIENTOS!$E$5:$E$1005)+SUMPRODUCT((MOVIMIENTOS!$B$5:$B$1005="AJUSTE")*(MOVIMIENTOS!$C$5:$C$1005="P")*(MOVIMIENTOS!$D$5:$D$1005="jabas")*(MOVIMIENTOS!$A$5:$A$1005&lt;&gt;"")*(MOVIMIENTOS!$A$5:$A$1005&lt;=$A784)*MOVIMIENTOS!$E$5:$E$1005))</f>
        <v/>
      </c>
      <c r="D784" t="str">
        <f>IF($A784="","",SUMPRODUCT((MOVIMIENTOS!$B$5:$B$1005="SALDO INICIAL")*(MOVIMIENTOS!$C$5:$C$1005="C")*(MOVIMIENTOS!$D$5:$D$1005="jabas")*(MOVIMIENTOS!$A$5:$A$1005&lt;&gt;"")*(MOVIMIENTOS!$A$5:$A$1005&lt;=$A784)*MOVIMIENTOS!$E$5:$E$1005)+SUMPRODUCT((MOVIMIENTOS!$B$5:$B$1005="PROCESO")*(MOVIMIENTOS!$C$5:$C$1005="C")*(MOVIMIENTOS!$D$5:$D$1005="jabas")*(MOVIMIENTOS!$A$5:$A$1005&lt;&gt;"")*(MOVIMIENTOS!$A$5:$A$1005&lt;=$A784)*MOVIMIENTOS!$E$5:$E$1005)-SUMPRODUCT((MOVIMIENTOS!$B$5:$B$1005="ENVÍO A SUPESA")*(MOVIMIENTOS!$C$5:$C$1005="C")*(MOVIMIENTOS!$D$5:$D$1005="jabas")*(MOVIMIENTOS!$A$5:$A$1005&lt;&gt;"")*(MOVIMIENTOS!$A$5:$A$1005&lt;=$A784)*MOVIMIENTOS!$E$5:$E$1005)+SUMPRODUCT((MOVIMIENTOS!$B$5:$B$1005="DEVOLUCIÓN")*(MOVIMIENTOS!$C$5:$C$1005="C")*(MOVIMIENTOS!$D$5:$D$1005="jabas")*(MOVIMIENTOS!$A$5:$A$1005&lt;&gt;"")*(MOVIMIENTOS!$A$5:$A$1005&lt;=$A784)*MOVIMIENTOS!$E$5:$E$1005)-SUMPRODUCT((MOVIMIENTOS!$B$5:$B$1005="TRASIEGO")*(MOVIMIENTOS!$C$5:$C$1005="C")*(MOVIMIENTOS!$D$5:$D$1005="jabas")*(MOVIMIENTOS!$A$5:$A$1005&lt;&gt;"")*(MOVIMIENTOS!$A$5:$A$1005&lt;=$A784)*MOVIMIENTOS!$E$5:$E$1005)-SUMPRODUCT((MOVIMIENTOS!$B$5:$B$1005="REGALO")*(MOVIMIENTOS!$C$5:$C$1005="C")*(MOVIMIENTOS!$D$5:$D$1005="jabas")*(MOVIMIENTOS!$A$5:$A$1005&lt;&gt;"")*(MOVIMIENTOS!$A$5:$A$1005&lt;=$A784)*MOVIMIENTOS!$E$5:$E$1005)-SUMPRODUCT((MOVIMIENTOS!$B$5:$B$1005="VENTA")*(MOVIMIENTOS!$C$5:$C$1005="C")*(MOVIMIENTOS!$D$5:$D$1005="jabas")*(MOVIMIENTOS!$A$5:$A$1005&lt;&gt;"")*(MOVIMIENTOS!$A$5:$A$1005&lt;=$A784)*MOVIMIENTOS!$E$5:$E$1005)+SUMPRODUCT((MOVIMIENTOS!$B$5:$B$1005="AJUSTE")*(MOVIMIENTOS!$C$5:$C$1005="C")*(MOVIMIENTOS!$D$5:$D$1005="jabas")*(MOVIMIENTOS!$A$5:$A$1005&lt;&gt;"")*(MOVIMIENTOS!$A$5:$A$1005&lt;=$A784)*MOVIMIENTOS!$E$5:$E$1005))</f>
        <v/>
      </c>
      <c r="E784" t="str">
        <f>IF($A784="","",SUMPRODUCT((MOVIMIENTOS!$B$5:$B$1005="SALDO INICIAL")*(MOVIMIENTOS!$C$5:$C$1005="M")*(MOVIMIENTOS!$D$5:$D$1005="jabas")*(MOVIMIENTOS!$A$5:$A$1005&lt;&gt;"")*(MOVIMIENTOS!$A$5:$A$1005&lt;=$A784)*MOVIMIENTOS!$E$5:$E$1005)+SUMPRODUCT((MOVIMIENTOS!$B$5:$B$1005="PROCESO")*(MOVIMIENTOS!$C$5:$C$1005="M")*(MOVIMIENTOS!$D$5:$D$1005="jabas")*(MOVIMIENTOS!$A$5:$A$1005&lt;&gt;"")*(MOVIMIENTOS!$A$5:$A$1005&lt;=$A784)*MOVIMIENTOS!$E$5:$E$1005)-SUMPRODUCT((MOVIMIENTOS!$B$5:$B$1005="ENVÍO A SUPESA")*(MOVIMIENTOS!$C$5:$C$1005="M")*(MOVIMIENTOS!$D$5:$D$1005="jabas")*(MOVIMIENTOS!$A$5:$A$1005&lt;&gt;"")*(MOVIMIENTOS!$A$5:$A$1005&lt;=$A784)*MOVIMIENTOS!$E$5:$E$1005)+SUMPRODUCT((MOVIMIENTOS!$B$5:$B$1005="DEVOLUCIÓN")*(MOVIMIENTOS!$C$5:$C$1005="M")*(MOVIMIENTOS!$D$5:$D$1005="jabas")*(MOVIMIENTOS!$A$5:$A$1005&lt;&gt;"")*(MOVIMIENTOS!$A$5:$A$1005&lt;=$A784)*MOVIMIENTOS!$E$5:$E$1005)-SUMPRODUCT((MOVIMIENTOS!$B$5:$B$1005="TRASIEGO")*(MOVIMIENTOS!$C$5:$C$1005="M")*(MOVIMIENTOS!$D$5:$D$1005="jabas")*(MOVIMIENTOS!$A$5:$A$1005&lt;&gt;"")*(MOVIMIENTOS!$A$5:$A$1005&lt;=$A784)*MOVIMIENTOS!$E$5:$E$1005)-SUMPRODUCT((MOVIMIENTOS!$B$5:$B$1005="REGALO")*(MOVIMIENTOS!$C$5:$C$1005="M")*(MOVIMIENTOS!$D$5:$D$1005="jabas")*(MOVIMIENTOS!$A$5:$A$1005&lt;&gt;"")*(MOVIMIENTOS!$A$5:$A$1005&lt;=$A784)*MOVIMIENTOS!$E$5:$E$1005)-SUMPRODUCT((MOVIMIENTOS!$B$5:$B$1005="VENTA")*(MOVIMIENTOS!$C$5:$C$1005="M")*(MOVIMIENTOS!$D$5:$D$1005="jabas")*(MOVIMIENTOS!$A$5:$A$1005&lt;&gt;"")*(MOVIMIENTOS!$A$5:$A$1005&lt;=$A784)*MOVIMIENTOS!$E$5:$E$1005)+SUMPRODUCT((MOVIMIENTOS!$B$5:$B$1005="AJUSTE")*(MOVIMIENTOS!$C$5:$C$1005="M")*(MOVIMIENTOS!$D$5:$D$1005="jabas")*(MOVIMIENTOS!$A$5:$A$1005&lt;&gt;"")*(MOVIMIENTOS!$A$5:$A$1005&lt;=$A784)*MOVIMIENTOS!$E$5:$E$1005))</f>
        <v/>
      </c>
      <c r="F784" s="62" t="str">
        <f>IF($A784="","",SUMPRODUCT((MOVIMIENTOS!$B$5:$B$1005="SALDO INICIAL")*(MOVIMIENTOS!$C$5:$C$1005="Chancho")*(MOVIMIENTOS!$D$5:$D$1005="sacos")*(MOVIMIENTOS!$A$5:$A$1005&lt;&gt;"")*(MOVIMIENTOS!$A$5:$A$1005&lt;=$A784)*MOVIMIENTOS!$E$5:$E$1005)+SUMPRODUCT((MOVIMIENTOS!$B$5:$B$1005="PROCESO")*(MOVIMIENTOS!$C$5:$C$1005="Chancho")*(MOVIMIENTOS!$D$5:$D$1005="sacos")*(MOVIMIENTOS!$A$5:$A$1005&lt;&gt;"")*(MOVIMIENTOS!$A$5:$A$1005&lt;=$A784)*MOVIMIENTOS!$E$5:$E$1005)-SUMPRODUCT((MOVIMIENTOS!$B$5:$B$1005="VENTA CHANCHO")*(MOVIMIENTOS!$C$5:$C$1005="Chancho")*(MOVIMIENTOS!$D$5:$D$1005="sacos")*(MOVIMIENTOS!$A$5:$A$1005&lt;&gt;"")*(MOVIMIENTOS!$A$5:$A$1005&lt;=$A784)*MOVIMIENTOS!$E$5:$E$1005)-SUMPRODUCT((MOVIMIENTOS!$B$5:$B$1005="REGALO")*(MOVIMIENTOS!$C$5:$C$1005="Chancho")*(MOVIMIENTOS!$D$5:$D$1005="sacos")*(MOVIMIENTOS!$A$5:$A$1005&lt;&gt;"")*(MOVIMIENTOS!$A$5:$A$1005&lt;=$A784)*MOVIMIENTOS!$E$5:$E$1005)-SUMPRODUCT((MOVIMIENTOS!$B$5:$B$1005="VENTA")*(MOVIMIENTOS!$C$5:$C$1005="Chancho")*(MOVIMIENTOS!$D$5:$D$1005="sacos")*(MOVIMIENTOS!$A$5:$A$1005&lt;&gt;"")*(MOVIMIENTOS!$A$5:$A$1005&lt;=$A784)*MOVIMIENTOS!$E$5:$E$1005)+SUMPRODUCT((MOVIMIENTOS!$B$5:$B$1005="AJUSTE")*(MOVIMIENTOS!$C$5:$C$1005="Chancho")*(MOVIMIENTOS!$D$5:$D$1005="sacos")*(MOVIMIENTOS!$A$5:$A$1005&lt;&gt;"")*(MOVIMIENTOS!$A$5:$A$1005&lt;=$A784)*MOVIMIENTOS!$E$5:$E$1005))</f>
        <v/>
      </c>
      <c r="G784" s="62" t="str">
        <f t="shared" si="25"/>
        <v/>
      </c>
      <c r="H784" t="str">
        <f>IF($A784="","",SUMPRODUCT((((MOVIMIENTOS!$B$5:$B$1005="SALDO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784)*MOVIMIENTOS!$J$5:$J$1005))</f>
        <v/>
      </c>
      <c r="J784" t="str">
        <f>IF(AND(MOVIMIENTOS!$A789&lt;&gt;"",COUNTIF(MOVIMIENTOS!$A$5:$A788,MOVIMIENTOS!$A789)=0),COUNT(J$4:J783)+1,"")</f>
        <v/>
      </c>
      <c r="K784">
        <f>MOVIMIENTOS!$A789</f>
        <v>0</v>
      </c>
    </row>
    <row r="785" spans="1:11" ht="15" customHeight="1" x14ac:dyDescent="0.2">
      <c r="A785" t="str">
        <f t="shared" si="24"/>
        <v/>
      </c>
      <c r="B785" t="str">
        <f>IF($A785="","",SUMPRODUCT((MOVIMIENTOS!$B$5:$B$1005="SALDO INICIAL")*(MOVIMIENTOS!$C$5:$C$1005="A")*(MOVIMIENTOS!$D$5:$D$1005="jabas")*(MOVIMIENTOS!$A$5:$A$1005&lt;&gt;"")*(MOVIMIENTOS!$A$5:$A$1005&lt;=$A785)*MOVIMIENTOS!$E$5:$E$1005)+SUMPRODUCT((MOVIMIENTOS!$B$5:$B$1005="PROCESO")*(MOVIMIENTOS!$C$5:$C$1005="A")*(MOVIMIENTOS!$D$5:$D$1005="jabas")*(MOVIMIENTOS!$A$5:$A$1005&lt;&gt;"")*(MOVIMIENTOS!$A$5:$A$1005&lt;=$A785)*MOVIMIENTOS!$E$5:$E$1005)-SUMPRODUCT((MOVIMIENTOS!$B$5:$B$1005="ENVÍO A SUPESA")*(MOVIMIENTOS!$C$5:$C$1005="A")*(MOVIMIENTOS!$D$5:$D$1005="jabas")*(MOVIMIENTOS!$A$5:$A$1005&lt;&gt;"")*(MOVIMIENTOS!$A$5:$A$1005&lt;=$A785)*MOVIMIENTOS!$E$5:$E$1005)+SUMPRODUCT((MOVIMIENTOS!$B$5:$B$1005="DEVOLUCIÓN")*(MOVIMIENTOS!$C$5:$C$1005="A")*(MOVIMIENTOS!$D$5:$D$1005="jabas")*(MOVIMIENTOS!$A$5:$A$1005&lt;&gt;"")*(MOVIMIENTOS!$A$5:$A$1005&lt;=$A785)*MOVIMIENTOS!$E$5:$E$1005)-SUMPRODUCT((MOVIMIENTOS!$B$5:$B$1005="TRASIEGO")*(MOVIMIENTOS!$C$5:$C$1005="A")*(MOVIMIENTOS!$D$5:$D$1005="jabas")*(MOVIMIENTOS!$A$5:$A$1005&lt;&gt;"")*(MOVIMIENTOS!$A$5:$A$1005&lt;=$A785)*MOVIMIENTOS!$E$5:$E$1005)-SUMPRODUCT((MOVIMIENTOS!$B$5:$B$1005="REGALO")*(MOVIMIENTOS!$C$5:$C$1005="A")*(MOVIMIENTOS!$D$5:$D$1005="jabas")*(MOVIMIENTOS!$A$5:$A$1005&lt;&gt;"")*(MOVIMIENTOS!$A$5:$A$1005&lt;=$A785)*MOVIMIENTOS!$E$5:$E$1005)-SUMPRODUCT((MOVIMIENTOS!$B$5:$B$1005="VENTA")*(MOVIMIENTOS!$C$5:$C$1005="A")*(MOVIMIENTOS!$D$5:$D$1005="jabas")*(MOVIMIENTOS!$A$5:$A$1005&lt;&gt;"")*(MOVIMIENTOS!$A$5:$A$1005&lt;=$A785)*MOVIMIENTOS!$E$5:$E$1005)+SUMPRODUCT((MOVIMIENTOS!$B$5:$B$1005="AJUSTE")*(MOVIMIENTOS!$C$5:$C$1005="A")*(MOVIMIENTOS!$D$5:$D$1005="jabas")*(MOVIMIENTOS!$A$5:$A$1005&lt;&gt;"")*(MOVIMIENTOS!$A$5:$A$1005&lt;=$A785)*MOVIMIENTOS!$E$5:$E$1005))</f>
        <v/>
      </c>
      <c r="C785" t="str">
        <f>IF($A785="","",SUMPRODUCT((MOVIMIENTOS!$B$5:$B$1005="SALDO INICIAL")*(MOVIMIENTOS!$C$5:$C$1005="P")*(MOVIMIENTOS!$D$5:$D$1005="jabas")*(MOVIMIENTOS!$A$5:$A$1005&lt;&gt;"")*(MOVIMIENTOS!$A$5:$A$1005&lt;=$A785)*MOVIMIENTOS!$E$5:$E$1005)+SUMPRODUCT((MOVIMIENTOS!$B$5:$B$1005="PROCESO")*(MOVIMIENTOS!$C$5:$C$1005="P")*(MOVIMIENTOS!$D$5:$D$1005="jabas")*(MOVIMIENTOS!$A$5:$A$1005&lt;&gt;"")*(MOVIMIENTOS!$A$5:$A$1005&lt;=$A785)*MOVIMIENTOS!$E$5:$E$1005)-SUMPRODUCT((MOVIMIENTOS!$B$5:$B$1005="ENVÍO A SUPESA")*(MOVIMIENTOS!$C$5:$C$1005="P")*(MOVIMIENTOS!$D$5:$D$1005="jabas")*(MOVIMIENTOS!$A$5:$A$1005&lt;&gt;"")*(MOVIMIENTOS!$A$5:$A$1005&lt;=$A785)*MOVIMIENTOS!$E$5:$E$1005)+SUMPRODUCT((MOVIMIENTOS!$B$5:$B$1005="DEVOLUCIÓN")*(MOVIMIENTOS!$C$5:$C$1005="P")*(MOVIMIENTOS!$D$5:$D$1005="jabas")*(MOVIMIENTOS!$A$5:$A$1005&lt;&gt;"")*(MOVIMIENTOS!$A$5:$A$1005&lt;=$A785)*MOVIMIENTOS!$E$5:$E$1005)-SUMPRODUCT((MOVIMIENTOS!$B$5:$B$1005="TRASIEGO")*(MOVIMIENTOS!$C$5:$C$1005="P")*(MOVIMIENTOS!$D$5:$D$1005="jabas")*(MOVIMIENTOS!$A$5:$A$1005&lt;&gt;"")*(MOVIMIENTOS!$A$5:$A$1005&lt;=$A785)*MOVIMIENTOS!$E$5:$E$1005)-SUMPRODUCT((MOVIMIENTOS!$B$5:$B$1005="REGALO")*(MOVIMIENTOS!$C$5:$C$1005="P")*(MOVIMIENTOS!$D$5:$D$1005="jabas")*(MOVIMIENTOS!$A$5:$A$1005&lt;&gt;"")*(MOVIMIENTOS!$A$5:$A$1005&lt;=$A785)*MOVIMIENTOS!$E$5:$E$1005)-SUMPRODUCT((MOVIMIENTOS!$B$5:$B$1005="VENTA")*(MOVIMIENTOS!$C$5:$C$1005="P")*(MOVIMIENTOS!$D$5:$D$1005="jabas")*(MOVIMIENTOS!$A$5:$A$1005&lt;&gt;"")*(MOVIMIENTOS!$A$5:$A$1005&lt;=$A785)*MOVIMIENTOS!$E$5:$E$1005)+SUMPRODUCT((MOVIMIENTOS!$B$5:$B$1005="AJUSTE")*(MOVIMIENTOS!$C$5:$C$1005="P")*(MOVIMIENTOS!$D$5:$D$1005="jabas")*(MOVIMIENTOS!$A$5:$A$1005&lt;&gt;"")*(MOVIMIENTOS!$A$5:$A$1005&lt;=$A785)*MOVIMIENTOS!$E$5:$E$1005))</f>
        <v/>
      </c>
      <c r="D785" t="str">
        <f>IF($A785="","",SUMPRODUCT((MOVIMIENTOS!$B$5:$B$1005="SALDO INICIAL")*(MOVIMIENTOS!$C$5:$C$1005="C")*(MOVIMIENTOS!$D$5:$D$1005="jabas")*(MOVIMIENTOS!$A$5:$A$1005&lt;&gt;"")*(MOVIMIENTOS!$A$5:$A$1005&lt;=$A785)*MOVIMIENTOS!$E$5:$E$1005)+SUMPRODUCT((MOVIMIENTOS!$B$5:$B$1005="PROCESO")*(MOVIMIENTOS!$C$5:$C$1005="C")*(MOVIMIENTOS!$D$5:$D$1005="jabas")*(MOVIMIENTOS!$A$5:$A$1005&lt;&gt;"")*(MOVIMIENTOS!$A$5:$A$1005&lt;=$A785)*MOVIMIENTOS!$E$5:$E$1005)-SUMPRODUCT((MOVIMIENTOS!$B$5:$B$1005="ENVÍO A SUPESA")*(MOVIMIENTOS!$C$5:$C$1005="C")*(MOVIMIENTOS!$D$5:$D$1005="jabas")*(MOVIMIENTOS!$A$5:$A$1005&lt;&gt;"")*(MOVIMIENTOS!$A$5:$A$1005&lt;=$A785)*MOVIMIENTOS!$E$5:$E$1005)+SUMPRODUCT((MOVIMIENTOS!$B$5:$B$1005="DEVOLUCIÓN")*(MOVIMIENTOS!$C$5:$C$1005="C")*(MOVIMIENTOS!$D$5:$D$1005="jabas")*(MOVIMIENTOS!$A$5:$A$1005&lt;&gt;"")*(MOVIMIENTOS!$A$5:$A$1005&lt;=$A785)*MOVIMIENTOS!$E$5:$E$1005)-SUMPRODUCT((MOVIMIENTOS!$B$5:$B$1005="TRASIEGO")*(MOVIMIENTOS!$C$5:$C$1005="C")*(MOVIMIENTOS!$D$5:$D$1005="jabas")*(MOVIMIENTOS!$A$5:$A$1005&lt;&gt;"")*(MOVIMIENTOS!$A$5:$A$1005&lt;=$A785)*MOVIMIENTOS!$E$5:$E$1005)-SUMPRODUCT((MOVIMIENTOS!$B$5:$B$1005="REGALO")*(MOVIMIENTOS!$C$5:$C$1005="C")*(MOVIMIENTOS!$D$5:$D$1005="jabas")*(MOVIMIENTOS!$A$5:$A$1005&lt;&gt;"")*(MOVIMIENTOS!$A$5:$A$1005&lt;=$A785)*MOVIMIENTOS!$E$5:$E$1005)-SUMPRODUCT((MOVIMIENTOS!$B$5:$B$1005="VENTA")*(MOVIMIENTOS!$C$5:$C$1005="C")*(MOVIMIENTOS!$D$5:$D$1005="jabas")*(MOVIMIENTOS!$A$5:$A$1005&lt;&gt;"")*(MOVIMIENTOS!$A$5:$A$1005&lt;=$A785)*MOVIMIENTOS!$E$5:$E$1005)+SUMPRODUCT((MOVIMIENTOS!$B$5:$B$1005="AJUSTE")*(MOVIMIENTOS!$C$5:$C$1005="C")*(MOVIMIENTOS!$D$5:$D$1005="jabas")*(MOVIMIENTOS!$A$5:$A$1005&lt;&gt;"")*(MOVIMIENTOS!$A$5:$A$1005&lt;=$A785)*MOVIMIENTOS!$E$5:$E$1005))</f>
        <v/>
      </c>
      <c r="E785" t="str">
        <f>IF($A785="","",SUMPRODUCT((MOVIMIENTOS!$B$5:$B$1005="SALDO INICIAL")*(MOVIMIENTOS!$C$5:$C$1005="M")*(MOVIMIENTOS!$D$5:$D$1005="jabas")*(MOVIMIENTOS!$A$5:$A$1005&lt;&gt;"")*(MOVIMIENTOS!$A$5:$A$1005&lt;=$A785)*MOVIMIENTOS!$E$5:$E$1005)+SUMPRODUCT((MOVIMIENTOS!$B$5:$B$1005="PROCESO")*(MOVIMIENTOS!$C$5:$C$1005="M")*(MOVIMIENTOS!$D$5:$D$1005="jabas")*(MOVIMIENTOS!$A$5:$A$1005&lt;&gt;"")*(MOVIMIENTOS!$A$5:$A$1005&lt;=$A785)*MOVIMIENTOS!$E$5:$E$1005)-SUMPRODUCT((MOVIMIENTOS!$B$5:$B$1005="ENVÍO A SUPESA")*(MOVIMIENTOS!$C$5:$C$1005="M")*(MOVIMIENTOS!$D$5:$D$1005="jabas")*(MOVIMIENTOS!$A$5:$A$1005&lt;&gt;"")*(MOVIMIENTOS!$A$5:$A$1005&lt;=$A785)*MOVIMIENTOS!$E$5:$E$1005)+SUMPRODUCT((MOVIMIENTOS!$B$5:$B$1005="DEVOLUCIÓN")*(MOVIMIENTOS!$C$5:$C$1005="M")*(MOVIMIENTOS!$D$5:$D$1005="jabas")*(MOVIMIENTOS!$A$5:$A$1005&lt;&gt;"")*(MOVIMIENTOS!$A$5:$A$1005&lt;=$A785)*MOVIMIENTOS!$E$5:$E$1005)-SUMPRODUCT((MOVIMIENTOS!$B$5:$B$1005="TRASIEGO")*(MOVIMIENTOS!$C$5:$C$1005="M")*(MOVIMIENTOS!$D$5:$D$1005="jabas")*(MOVIMIENTOS!$A$5:$A$1005&lt;&gt;"")*(MOVIMIENTOS!$A$5:$A$1005&lt;=$A785)*MOVIMIENTOS!$E$5:$E$1005)-SUMPRODUCT((MOVIMIENTOS!$B$5:$B$1005="REGALO")*(MOVIMIENTOS!$C$5:$C$1005="M")*(MOVIMIENTOS!$D$5:$D$1005="jabas")*(MOVIMIENTOS!$A$5:$A$1005&lt;&gt;"")*(MOVIMIENTOS!$A$5:$A$1005&lt;=$A785)*MOVIMIENTOS!$E$5:$E$1005)-SUMPRODUCT((MOVIMIENTOS!$B$5:$B$1005="VENTA")*(MOVIMIENTOS!$C$5:$C$1005="M")*(MOVIMIENTOS!$D$5:$D$1005="jabas")*(MOVIMIENTOS!$A$5:$A$1005&lt;&gt;"")*(MOVIMIENTOS!$A$5:$A$1005&lt;=$A785)*MOVIMIENTOS!$E$5:$E$1005)+SUMPRODUCT((MOVIMIENTOS!$B$5:$B$1005="AJUSTE")*(MOVIMIENTOS!$C$5:$C$1005="M")*(MOVIMIENTOS!$D$5:$D$1005="jabas")*(MOVIMIENTOS!$A$5:$A$1005&lt;&gt;"")*(MOVIMIENTOS!$A$5:$A$1005&lt;=$A785)*MOVIMIENTOS!$E$5:$E$1005))</f>
        <v/>
      </c>
      <c r="F785" s="62" t="str">
        <f>IF($A785="","",SUMPRODUCT((MOVIMIENTOS!$B$5:$B$1005="SALDO INICIAL")*(MOVIMIENTOS!$C$5:$C$1005="Chancho")*(MOVIMIENTOS!$D$5:$D$1005="sacos")*(MOVIMIENTOS!$A$5:$A$1005&lt;&gt;"")*(MOVIMIENTOS!$A$5:$A$1005&lt;=$A785)*MOVIMIENTOS!$E$5:$E$1005)+SUMPRODUCT((MOVIMIENTOS!$B$5:$B$1005="PROCESO")*(MOVIMIENTOS!$C$5:$C$1005="Chancho")*(MOVIMIENTOS!$D$5:$D$1005="sacos")*(MOVIMIENTOS!$A$5:$A$1005&lt;&gt;"")*(MOVIMIENTOS!$A$5:$A$1005&lt;=$A785)*MOVIMIENTOS!$E$5:$E$1005)-SUMPRODUCT((MOVIMIENTOS!$B$5:$B$1005="VENTA CHANCHO")*(MOVIMIENTOS!$C$5:$C$1005="Chancho")*(MOVIMIENTOS!$D$5:$D$1005="sacos")*(MOVIMIENTOS!$A$5:$A$1005&lt;&gt;"")*(MOVIMIENTOS!$A$5:$A$1005&lt;=$A785)*MOVIMIENTOS!$E$5:$E$1005)-SUMPRODUCT((MOVIMIENTOS!$B$5:$B$1005="REGALO")*(MOVIMIENTOS!$C$5:$C$1005="Chancho")*(MOVIMIENTOS!$D$5:$D$1005="sacos")*(MOVIMIENTOS!$A$5:$A$1005&lt;&gt;"")*(MOVIMIENTOS!$A$5:$A$1005&lt;=$A785)*MOVIMIENTOS!$E$5:$E$1005)-SUMPRODUCT((MOVIMIENTOS!$B$5:$B$1005="VENTA")*(MOVIMIENTOS!$C$5:$C$1005="Chancho")*(MOVIMIENTOS!$D$5:$D$1005="sacos")*(MOVIMIENTOS!$A$5:$A$1005&lt;&gt;"")*(MOVIMIENTOS!$A$5:$A$1005&lt;=$A785)*MOVIMIENTOS!$E$5:$E$1005)+SUMPRODUCT((MOVIMIENTOS!$B$5:$B$1005="AJUSTE")*(MOVIMIENTOS!$C$5:$C$1005="Chancho")*(MOVIMIENTOS!$D$5:$D$1005="sacos")*(MOVIMIENTOS!$A$5:$A$1005&lt;&gt;"")*(MOVIMIENTOS!$A$5:$A$1005&lt;=$A785)*MOVIMIENTOS!$E$5:$E$1005))</f>
        <v/>
      </c>
      <c r="G785" s="62" t="str">
        <f t="shared" si="25"/>
        <v/>
      </c>
      <c r="H785" t="str">
        <f>IF($A785="","",SUMPRODUCT((((MOVIMIENTOS!$B$5:$B$1005="SALDO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785)*MOVIMIENTOS!$J$5:$J$1005))</f>
        <v/>
      </c>
      <c r="J785" t="str">
        <f>IF(AND(MOVIMIENTOS!$A790&lt;&gt;"",COUNTIF(MOVIMIENTOS!$A$5:$A789,MOVIMIENTOS!$A790)=0),COUNT(J$4:J784)+1,"")</f>
        <v/>
      </c>
      <c r="K785">
        <f>MOVIMIENTOS!$A790</f>
        <v>0</v>
      </c>
    </row>
    <row r="786" spans="1:11" ht="15" customHeight="1" x14ac:dyDescent="0.2">
      <c r="A786" t="str">
        <f t="shared" si="24"/>
        <v/>
      </c>
      <c r="B786" t="str">
        <f>IF($A786="","",SUMPRODUCT((MOVIMIENTOS!$B$5:$B$1005="SALDO INICIAL")*(MOVIMIENTOS!$C$5:$C$1005="A")*(MOVIMIENTOS!$D$5:$D$1005="jabas")*(MOVIMIENTOS!$A$5:$A$1005&lt;&gt;"")*(MOVIMIENTOS!$A$5:$A$1005&lt;=$A786)*MOVIMIENTOS!$E$5:$E$1005)+SUMPRODUCT((MOVIMIENTOS!$B$5:$B$1005="PROCESO")*(MOVIMIENTOS!$C$5:$C$1005="A")*(MOVIMIENTOS!$D$5:$D$1005="jabas")*(MOVIMIENTOS!$A$5:$A$1005&lt;&gt;"")*(MOVIMIENTOS!$A$5:$A$1005&lt;=$A786)*MOVIMIENTOS!$E$5:$E$1005)-SUMPRODUCT((MOVIMIENTOS!$B$5:$B$1005="ENVÍO A SUPESA")*(MOVIMIENTOS!$C$5:$C$1005="A")*(MOVIMIENTOS!$D$5:$D$1005="jabas")*(MOVIMIENTOS!$A$5:$A$1005&lt;&gt;"")*(MOVIMIENTOS!$A$5:$A$1005&lt;=$A786)*MOVIMIENTOS!$E$5:$E$1005)+SUMPRODUCT((MOVIMIENTOS!$B$5:$B$1005="DEVOLUCIÓN")*(MOVIMIENTOS!$C$5:$C$1005="A")*(MOVIMIENTOS!$D$5:$D$1005="jabas")*(MOVIMIENTOS!$A$5:$A$1005&lt;&gt;"")*(MOVIMIENTOS!$A$5:$A$1005&lt;=$A786)*MOVIMIENTOS!$E$5:$E$1005)-SUMPRODUCT((MOVIMIENTOS!$B$5:$B$1005="TRASIEGO")*(MOVIMIENTOS!$C$5:$C$1005="A")*(MOVIMIENTOS!$D$5:$D$1005="jabas")*(MOVIMIENTOS!$A$5:$A$1005&lt;&gt;"")*(MOVIMIENTOS!$A$5:$A$1005&lt;=$A786)*MOVIMIENTOS!$E$5:$E$1005)-SUMPRODUCT((MOVIMIENTOS!$B$5:$B$1005="REGALO")*(MOVIMIENTOS!$C$5:$C$1005="A")*(MOVIMIENTOS!$D$5:$D$1005="jabas")*(MOVIMIENTOS!$A$5:$A$1005&lt;&gt;"")*(MOVIMIENTOS!$A$5:$A$1005&lt;=$A786)*MOVIMIENTOS!$E$5:$E$1005)-SUMPRODUCT((MOVIMIENTOS!$B$5:$B$1005="VENTA")*(MOVIMIENTOS!$C$5:$C$1005="A")*(MOVIMIENTOS!$D$5:$D$1005="jabas")*(MOVIMIENTOS!$A$5:$A$1005&lt;&gt;"")*(MOVIMIENTOS!$A$5:$A$1005&lt;=$A786)*MOVIMIENTOS!$E$5:$E$1005)+SUMPRODUCT((MOVIMIENTOS!$B$5:$B$1005="AJUSTE")*(MOVIMIENTOS!$C$5:$C$1005="A")*(MOVIMIENTOS!$D$5:$D$1005="jabas")*(MOVIMIENTOS!$A$5:$A$1005&lt;&gt;"")*(MOVIMIENTOS!$A$5:$A$1005&lt;=$A786)*MOVIMIENTOS!$E$5:$E$1005))</f>
        <v/>
      </c>
      <c r="C786" t="str">
        <f>IF($A786="","",SUMPRODUCT((MOVIMIENTOS!$B$5:$B$1005="SALDO INICIAL")*(MOVIMIENTOS!$C$5:$C$1005="P")*(MOVIMIENTOS!$D$5:$D$1005="jabas")*(MOVIMIENTOS!$A$5:$A$1005&lt;&gt;"")*(MOVIMIENTOS!$A$5:$A$1005&lt;=$A786)*MOVIMIENTOS!$E$5:$E$1005)+SUMPRODUCT((MOVIMIENTOS!$B$5:$B$1005="PROCESO")*(MOVIMIENTOS!$C$5:$C$1005="P")*(MOVIMIENTOS!$D$5:$D$1005="jabas")*(MOVIMIENTOS!$A$5:$A$1005&lt;&gt;"")*(MOVIMIENTOS!$A$5:$A$1005&lt;=$A786)*MOVIMIENTOS!$E$5:$E$1005)-SUMPRODUCT((MOVIMIENTOS!$B$5:$B$1005="ENVÍO A SUPESA")*(MOVIMIENTOS!$C$5:$C$1005="P")*(MOVIMIENTOS!$D$5:$D$1005="jabas")*(MOVIMIENTOS!$A$5:$A$1005&lt;&gt;"")*(MOVIMIENTOS!$A$5:$A$1005&lt;=$A786)*MOVIMIENTOS!$E$5:$E$1005)+SUMPRODUCT((MOVIMIENTOS!$B$5:$B$1005="DEVOLUCIÓN")*(MOVIMIENTOS!$C$5:$C$1005="P")*(MOVIMIENTOS!$D$5:$D$1005="jabas")*(MOVIMIENTOS!$A$5:$A$1005&lt;&gt;"")*(MOVIMIENTOS!$A$5:$A$1005&lt;=$A786)*MOVIMIENTOS!$E$5:$E$1005)-SUMPRODUCT((MOVIMIENTOS!$B$5:$B$1005="TRASIEGO")*(MOVIMIENTOS!$C$5:$C$1005="P")*(MOVIMIENTOS!$D$5:$D$1005="jabas")*(MOVIMIENTOS!$A$5:$A$1005&lt;&gt;"")*(MOVIMIENTOS!$A$5:$A$1005&lt;=$A786)*MOVIMIENTOS!$E$5:$E$1005)-SUMPRODUCT((MOVIMIENTOS!$B$5:$B$1005="REGALO")*(MOVIMIENTOS!$C$5:$C$1005="P")*(MOVIMIENTOS!$D$5:$D$1005="jabas")*(MOVIMIENTOS!$A$5:$A$1005&lt;&gt;"")*(MOVIMIENTOS!$A$5:$A$1005&lt;=$A786)*MOVIMIENTOS!$E$5:$E$1005)-SUMPRODUCT((MOVIMIENTOS!$B$5:$B$1005="VENTA")*(MOVIMIENTOS!$C$5:$C$1005="P")*(MOVIMIENTOS!$D$5:$D$1005="jabas")*(MOVIMIENTOS!$A$5:$A$1005&lt;&gt;"")*(MOVIMIENTOS!$A$5:$A$1005&lt;=$A786)*MOVIMIENTOS!$E$5:$E$1005)+SUMPRODUCT((MOVIMIENTOS!$B$5:$B$1005="AJUSTE")*(MOVIMIENTOS!$C$5:$C$1005="P")*(MOVIMIENTOS!$D$5:$D$1005="jabas")*(MOVIMIENTOS!$A$5:$A$1005&lt;&gt;"")*(MOVIMIENTOS!$A$5:$A$1005&lt;=$A786)*MOVIMIENTOS!$E$5:$E$1005))</f>
        <v/>
      </c>
      <c r="D786" t="str">
        <f>IF($A786="","",SUMPRODUCT((MOVIMIENTOS!$B$5:$B$1005="SALDO INICIAL")*(MOVIMIENTOS!$C$5:$C$1005="C")*(MOVIMIENTOS!$D$5:$D$1005="jabas")*(MOVIMIENTOS!$A$5:$A$1005&lt;&gt;"")*(MOVIMIENTOS!$A$5:$A$1005&lt;=$A786)*MOVIMIENTOS!$E$5:$E$1005)+SUMPRODUCT((MOVIMIENTOS!$B$5:$B$1005="PROCESO")*(MOVIMIENTOS!$C$5:$C$1005="C")*(MOVIMIENTOS!$D$5:$D$1005="jabas")*(MOVIMIENTOS!$A$5:$A$1005&lt;&gt;"")*(MOVIMIENTOS!$A$5:$A$1005&lt;=$A786)*MOVIMIENTOS!$E$5:$E$1005)-SUMPRODUCT((MOVIMIENTOS!$B$5:$B$1005="ENVÍO A SUPESA")*(MOVIMIENTOS!$C$5:$C$1005="C")*(MOVIMIENTOS!$D$5:$D$1005="jabas")*(MOVIMIENTOS!$A$5:$A$1005&lt;&gt;"")*(MOVIMIENTOS!$A$5:$A$1005&lt;=$A786)*MOVIMIENTOS!$E$5:$E$1005)+SUMPRODUCT((MOVIMIENTOS!$B$5:$B$1005="DEVOLUCIÓN")*(MOVIMIENTOS!$C$5:$C$1005="C")*(MOVIMIENTOS!$D$5:$D$1005="jabas")*(MOVIMIENTOS!$A$5:$A$1005&lt;&gt;"")*(MOVIMIENTOS!$A$5:$A$1005&lt;=$A786)*MOVIMIENTOS!$E$5:$E$1005)-SUMPRODUCT((MOVIMIENTOS!$B$5:$B$1005="TRASIEGO")*(MOVIMIENTOS!$C$5:$C$1005="C")*(MOVIMIENTOS!$D$5:$D$1005="jabas")*(MOVIMIENTOS!$A$5:$A$1005&lt;&gt;"")*(MOVIMIENTOS!$A$5:$A$1005&lt;=$A786)*MOVIMIENTOS!$E$5:$E$1005)-SUMPRODUCT((MOVIMIENTOS!$B$5:$B$1005="REGALO")*(MOVIMIENTOS!$C$5:$C$1005="C")*(MOVIMIENTOS!$D$5:$D$1005="jabas")*(MOVIMIENTOS!$A$5:$A$1005&lt;&gt;"")*(MOVIMIENTOS!$A$5:$A$1005&lt;=$A786)*MOVIMIENTOS!$E$5:$E$1005)-SUMPRODUCT((MOVIMIENTOS!$B$5:$B$1005="VENTA")*(MOVIMIENTOS!$C$5:$C$1005="C")*(MOVIMIENTOS!$D$5:$D$1005="jabas")*(MOVIMIENTOS!$A$5:$A$1005&lt;&gt;"")*(MOVIMIENTOS!$A$5:$A$1005&lt;=$A786)*MOVIMIENTOS!$E$5:$E$1005)+SUMPRODUCT((MOVIMIENTOS!$B$5:$B$1005="AJUSTE")*(MOVIMIENTOS!$C$5:$C$1005="C")*(MOVIMIENTOS!$D$5:$D$1005="jabas")*(MOVIMIENTOS!$A$5:$A$1005&lt;&gt;"")*(MOVIMIENTOS!$A$5:$A$1005&lt;=$A786)*MOVIMIENTOS!$E$5:$E$1005))</f>
        <v/>
      </c>
      <c r="E786" t="str">
        <f>IF($A786="","",SUMPRODUCT((MOVIMIENTOS!$B$5:$B$1005="SALDO INICIAL")*(MOVIMIENTOS!$C$5:$C$1005="M")*(MOVIMIENTOS!$D$5:$D$1005="jabas")*(MOVIMIENTOS!$A$5:$A$1005&lt;&gt;"")*(MOVIMIENTOS!$A$5:$A$1005&lt;=$A786)*MOVIMIENTOS!$E$5:$E$1005)+SUMPRODUCT((MOVIMIENTOS!$B$5:$B$1005="PROCESO")*(MOVIMIENTOS!$C$5:$C$1005="M")*(MOVIMIENTOS!$D$5:$D$1005="jabas")*(MOVIMIENTOS!$A$5:$A$1005&lt;&gt;"")*(MOVIMIENTOS!$A$5:$A$1005&lt;=$A786)*MOVIMIENTOS!$E$5:$E$1005)-SUMPRODUCT((MOVIMIENTOS!$B$5:$B$1005="ENVÍO A SUPESA")*(MOVIMIENTOS!$C$5:$C$1005="M")*(MOVIMIENTOS!$D$5:$D$1005="jabas")*(MOVIMIENTOS!$A$5:$A$1005&lt;&gt;"")*(MOVIMIENTOS!$A$5:$A$1005&lt;=$A786)*MOVIMIENTOS!$E$5:$E$1005)+SUMPRODUCT((MOVIMIENTOS!$B$5:$B$1005="DEVOLUCIÓN")*(MOVIMIENTOS!$C$5:$C$1005="M")*(MOVIMIENTOS!$D$5:$D$1005="jabas")*(MOVIMIENTOS!$A$5:$A$1005&lt;&gt;"")*(MOVIMIENTOS!$A$5:$A$1005&lt;=$A786)*MOVIMIENTOS!$E$5:$E$1005)-SUMPRODUCT((MOVIMIENTOS!$B$5:$B$1005="TRASIEGO")*(MOVIMIENTOS!$C$5:$C$1005="M")*(MOVIMIENTOS!$D$5:$D$1005="jabas")*(MOVIMIENTOS!$A$5:$A$1005&lt;&gt;"")*(MOVIMIENTOS!$A$5:$A$1005&lt;=$A786)*MOVIMIENTOS!$E$5:$E$1005)-SUMPRODUCT((MOVIMIENTOS!$B$5:$B$1005="REGALO")*(MOVIMIENTOS!$C$5:$C$1005="M")*(MOVIMIENTOS!$D$5:$D$1005="jabas")*(MOVIMIENTOS!$A$5:$A$1005&lt;&gt;"")*(MOVIMIENTOS!$A$5:$A$1005&lt;=$A786)*MOVIMIENTOS!$E$5:$E$1005)-SUMPRODUCT((MOVIMIENTOS!$B$5:$B$1005="VENTA")*(MOVIMIENTOS!$C$5:$C$1005="M")*(MOVIMIENTOS!$D$5:$D$1005="jabas")*(MOVIMIENTOS!$A$5:$A$1005&lt;&gt;"")*(MOVIMIENTOS!$A$5:$A$1005&lt;=$A786)*MOVIMIENTOS!$E$5:$E$1005)+SUMPRODUCT((MOVIMIENTOS!$B$5:$B$1005="AJUSTE")*(MOVIMIENTOS!$C$5:$C$1005="M")*(MOVIMIENTOS!$D$5:$D$1005="jabas")*(MOVIMIENTOS!$A$5:$A$1005&lt;&gt;"")*(MOVIMIENTOS!$A$5:$A$1005&lt;=$A786)*MOVIMIENTOS!$E$5:$E$1005))</f>
        <v/>
      </c>
      <c r="F786" s="62" t="str">
        <f>IF($A786="","",SUMPRODUCT((MOVIMIENTOS!$B$5:$B$1005="SALDO INICIAL")*(MOVIMIENTOS!$C$5:$C$1005="Chancho")*(MOVIMIENTOS!$D$5:$D$1005="sacos")*(MOVIMIENTOS!$A$5:$A$1005&lt;&gt;"")*(MOVIMIENTOS!$A$5:$A$1005&lt;=$A786)*MOVIMIENTOS!$E$5:$E$1005)+SUMPRODUCT((MOVIMIENTOS!$B$5:$B$1005="PROCESO")*(MOVIMIENTOS!$C$5:$C$1005="Chancho")*(MOVIMIENTOS!$D$5:$D$1005="sacos")*(MOVIMIENTOS!$A$5:$A$1005&lt;&gt;"")*(MOVIMIENTOS!$A$5:$A$1005&lt;=$A786)*MOVIMIENTOS!$E$5:$E$1005)-SUMPRODUCT((MOVIMIENTOS!$B$5:$B$1005="VENTA CHANCHO")*(MOVIMIENTOS!$C$5:$C$1005="Chancho")*(MOVIMIENTOS!$D$5:$D$1005="sacos")*(MOVIMIENTOS!$A$5:$A$1005&lt;&gt;"")*(MOVIMIENTOS!$A$5:$A$1005&lt;=$A786)*MOVIMIENTOS!$E$5:$E$1005)-SUMPRODUCT((MOVIMIENTOS!$B$5:$B$1005="REGALO")*(MOVIMIENTOS!$C$5:$C$1005="Chancho")*(MOVIMIENTOS!$D$5:$D$1005="sacos")*(MOVIMIENTOS!$A$5:$A$1005&lt;&gt;"")*(MOVIMIENTOS!$A$5:$A$1005&lt;=$A786)*MOVIMIENTOS!$E$5:$E$1005)-SUMPRODUCT((MOVIMIENTOS!$B$5:$B$1005="VENTA")*(MOVIMIENTOS!$C$5:$C$1005="Chancho")*(MOVIMIENTOS!$D$5:$D$1005="sacos")*(MOVIMIENTOS!$A$5:$A$1005&lt;&gt;"")*(MOVIMIENTOS!$A$5:$A$1005&lt;=$A786)*MOVIMIENTOS!$E$5:$E$1005)+SUMPRODUCT((MOVIMIENTOS!$B$5:$B$1005="AJUSTE")*(MOVIMIENTOS!$C$5:$C$1005="Chancho")*(MOVIMIENTOS!$D$5:$D$1005="sacos")*(MOVIMIENTOS!$A$5:$A$1005&lt;&gt;"")*(MOVIMIENTOS!$A$5:$A$1005&lt;=$A786)*MOVIMIENTOS!$E$5:$E$1005))</f>
        <v/>
      </c>
      <c r="G786" s="62" t="str">
        <f t="shared" si="25"/>
        <v/>
      </c>
      <c r="H786" t="str">
        <f>IF($A786="","",SUMPRODUCT((((MOVIMIENTOS!$B$5:$B$1005="SALDO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786)*MOVIMIENTOS!$J$5:$J$1005))</f>
        <v/>
      </c>
      <c r="J786" t="str">
        <f>IF(AND(MOVIMIENTOS!$A791&lt;&gt;"",COUNTIF(MOVIMIENTOS!$A$5:$A790,MOVIMIENTOS!$A791)=0),COUNT(J$4:J785)+1,"")</f>
        <v/>
      </c>
      <c r="K786">
        <f>MOVIMIENTOS!$A791</f>
        <v>0</v>
      </c>
    </row>
    <row r="787" spans="1:11" ht="15" customHeight="1" x14ac:dyDescent="0.2">
      <c r="A787" t="str">
        <f t="shared" si="24"/>
        <v/>
      </c>
      <c r="B787" t="str">
        <f>IF($A787="","",SUMPRODUCT((MOVIMIENTOS!$B$5:$B$1005="SALDO INICIAL")*(MOVIMIENTOS!$C$5:$C$1005="A")*(MOVIMIENTOS!$D$5:$D$1005="jabas")*(MOVIMIENTOS!$A$5:$A$1005&lt;&gt;"")*(MOVIMIENTOS!$A$5:$A$1005&lt;=$A787)*MOVIMIENTOS!$E$5:$E$1005)+SUMPRODUCT((MOVIMIENTOS!$B$5:$B$1005="PROCESO")*(MOVIMIENTOS!$C$5:$C$1005="A")*(MOVIMIENTOS!$D$5:$D$1005="jabas")*(MOVIMIENTOS!$A$5:$A$1005&lt;&gt;"")*(MOVIMIENTOS!$A$5:$A$1005&lt;=$A787)*MOVIMIENTOS!$E$5:$E$1005)-SUMPRODUCT((MOVIMIENTOS!$B$5:$B$1005="ENVÍO A SUPESA")*(MOVIMIENTOS!$C$5:$C$1005="A")*(MOVIMIENTOS!$D$5:$D$1005="jabas")*(MOVIMIENTOS!$A$5:$A$1005&lt;&gt;"")*(MOVIMIENTOS!$A$5:$A$1005&lt;=$A787)*MOVIMIENTOS!$E$5:$E$1005)+SUMPRODUCT((MOVIMIENTOS!$B$5:$B$1005="DEVOLUCIÓN")*(MOVIMIENTOS!$C$5:$C$1005="A")*(MOVIMIENTOS!$D$5:$D$1005="jabas")*(MOVIMIENTOS!$A$5:$A$1005&lt;&gt;"")*(MOVIMIENTOS!$A$5:$A$1005&lt;=$A787)*MOVIMIENTOS!$E$5:$E$1005)-SUMPRODUCT((MOVIMIENTOS!$B$5:$B$1005="TRASIEGO")*(MOVIMIENTOS!$C$5:$C$1005="A")*(MOVIMIENTOS!$D$5:$D$1005="jabas")*(MOVIMIENTOS!$A$5:$A$1005&lt;&gt;"")*(MOVIMIENTOS!$A$5:$A$1005&lt;=$A787)*MOVIMIENTOS!$E$5:$E$1005)-SUMPRODUCT((MOVIMIENTOS!$B$5:$B$1005="REGALO")*(MOVIMIENTOS!$C$5:$C$1005="A")*(MOVIMIENTOS!$D$5:$D$1005="jabas")*(MOVIMIENTOS!$A$5:$A$1005&lt;&gt;"")*(MOVIMIENTOS!$A$5:$A$1005&lt;=$A787)*MOVIMIENTOS!$E$5:$E$1005)-SUMPRODUCT((MOVIMIENTOS!$B$5:$B$1005="VENTA")*(MOVIMIENTOS!$C$5:$C$1005="A")*(MOVIMIENTOS!$D$5:$D$1005="jabas")*(MOVIMIENTOS!$A$5:$A$1005&lt;&gt;"")*(MOVIMIENTOS!$A$5:$A$1005&lt;=$A787)*MOVIMIENTOS!$E$5:$E$1005)+SUMPRODUCT((MOVIMIENTOS!$B$5:$B$1005="AJUSTE")*(MOVIMIENTOS!$C$5:$C$1005="A")*(MOVIMIENTOS!$D$5:$D$1005="jabas")*(MOVIMIENTOS!$A$5:$A$1005&lt;&gt;"")*(MOVIMIENTOS!$A$5:$A$1005&lt;=$A787)*MOVIMIENTOS!$E$5:$E$1005))</f>
        <v/>
      </c>
      <c r="C787" t="str">
        <f>IF($A787="","",SUMPRODUCT((MOVIMIENTOS!$B$5:$B$1005="SALDO INICIAL")*(MOVIMIENTOS!$C$5:$C$1005="P")*(MOVIMIENTOS!$D$5:$D$1005="jabas")*(MOVIMIENTOS!$A$5:$A$1005&lt;&gt;"")*(MOVIMIENTOS!$A$5:$A$1005&lt;=$A787)*MOVIMIENTOS!$E$5:$E$1005)+SUMPRODUCT((MOVIMIENTOS!$B$5:$B$1005="PROCESO")*(MOVIMIENTOS!$C$5:$C$1005="P")*(MOVIMIENTOS!$D$5:$D$1005="jabas")*(MOVIMIENTOS!$A$5:$A$1005&lt;&gt;"")*(MOVIMIENTOS!$A$5:$A$1005&lt;=$A787)*MOVIMIENTOS!$E$5:$E$1005)-SUMPRODUCT((MOVIMIENTOS!$B$5:$B$1005="ENVÍO A SUPESA")*(MOVIMIENTOS!$C$5:$C$1005="P")*(MOVIMIENTOS!$D$5:$D$1005="jabas")*(MOVIMIENTOS!$A$5:$A$1005&lt;&gt;"")*(MOVIMIENTOS!$A$5:$A$1005&lt;=$A787)*MOVIMIENTOS!$E$5:$E$1005)+SUMPRODUCT((MOVIMIENTOS!$B$5:$B$1005="DEVOLUCIÓN")*(MOVIMIENTOS!$C$5:$C$1005="P")*(MOVIMIENTOS!$D$5:$D$1005="jabas")*(MOVIMIENTOS!$A$5:$A$1005&lt;&gt;"")*(MOVIMIENTOS!$A$5:$A$1005&lt;=$A787)*MOVIMIENTOS!$E$5:$E$1005)-SUMPRODUCT((MOVIMIENTOS!$B$5:$B$1005="TRASIEGO")*(MOVIMIENTOS!$C$5:$C$1005="P")*(MOVIMIENTOS!$D$5:$D$1005="jabas")*(MOVIMIENTOS!$A$5:$A$1005&lt;&gt;"")*(MOVIMIENTOS!$A$5:$A$1005&lt;=$A787)*MOVIMIENTOS!$E$5:$E$1005)-SUMPRODUCT((MOVIMIENTOS!$B$5:$B$1005="REGALO")*(MOVIMIENTOS!$C$5:$C$1005="P")*(MOVIMIENTOS!$D$5:$D$1005="jabas")*(MOVIMIENTOS!$A$5:$A$1005&lt;&gt;"")*(MOVIMIENTOS!$A$5:$A$1005&lt;=$A787)*MOVIMIENTOS!$E$5:$E$1005)-SUMPRODUCT((MOVIMIENTOS!$B$5:$B$1005="VENTA")*(MOVIMIENTOS!$C$5:$C$1005="P")*(MOVIMIENTOS!$D$5:$D$1005="jabas")*(MOVIMIENTOS!$A$5:$A$1005&lt;&gt;"")*(MOVIMIENTOS!$A$5:$A$1005&lt;=$A787)*MOVIMIENTOS!$E$5:$E$1005)+SUMPRODUCT((MOVIMIENTOS!$B$5:$B$1005="AJUSTE")*(MOVIMIENTOS!$C$5:$C$1005="P")*(MOVIMIENTOS!$D$5:$D$1005="jabas")*(MOVIMIENTOS!$A$5:$A$1005&lt;&gt;"")*(MOVIMIENTOS!$A$5:$A$1005&lt;=$A787)*MOVIMIENTOS!$E$5:$E$1005))</f>
        <v/>
      </c>
      <c r="D787" t="str">
        <f>IF($A787="","",SUMPRODUCT((MOVIMIENTOS!$B$5:$B$1005="SALDO INICIAL")*(MOVIMIENTOS!$C$5:$C$1005="C")*(MOVIMIENTOS!$D$5:$D$1005="jabas")*(MOVIMIENTOS!$A$5:$A$1005&lt;&gt;"")*(MOVIMIENTOS!$A$5:$A$1005&lt;=$A787)*MOVIMIENTOS!$E$5:$E$1005)+SUMPRODUCT((MOVIMIENTOS!$B$5:$B$1005="PROCESO")*(MOVIMIENTOS!$C$5:$C$1005="C")*(MOVIMIENTOS!$D$5:$D$1005="jabas")*(MOVIMIENTOS!$A$5:$A$1005&lt;&gt;"")*(MOVIMIENTOS!$A$5:$A$1005&lt;=$A787)*MOVIMIENTOS!$E$5:$E$1005)-SUMPRODUCT((MOVIMIENTOS!$B$5:$B$1005="ENVÍO A SUPESA")*(MOVIMIENTOS!$C$5:$C$1005="C")*(MOVIMIENTOS!$D$5:$D$1005="jabas")*(MOVIMIENTOS!$A$5:$A$1005&lt;&gt;"")*(MOVIMIENTOS!$A$5:$A$1005&lt;=$A787)*MOVIMIENTOS!$E$5:$E$1005)+SUMPRODUCT((MOVIMIENTOS!$B$5:$B$1005="DEVOLUCIÓN")*(MOVIMIENTOS!$C$5:$C$1005="C")*(MOVIMIENTOS!$D$5:$D$1005="jabas")*(MOVIMIENTOS!$A$5:$A$1005&lt;&gt;"")*(MOVIMIENTOS!$A$5:$A$1005&lt;=$A787)*MOVIMIENTOS!$E$5:$E$1005)-SUMPRODUCT((MOVIMIENTOS!$B$5:$B$1005="TRASIEGO")*(MOVIMIENTOS!$C$5:$C$1005="C")*(MOVIMIENTOS!$D$5:$D$1005="jabas")*(MOVIMIENTOS!$A$5:$A$1005&lt;&gt;"")*(MOVIMIENTOS!$A$5:$A$1005&lt;=$A787)*MOVIMIENTOS!$E$5:$E$1005)-SUMPRODUCT((MOVIMIENTOS!$B$5:$B$1005="REGALO")*(MOVIMIENTOS!$C$5:$C$1005="C")*(MOVIMIENTOS!$D$5:$D$1005="jabas")*(MOVIMIENTOS!$A$5:$A$1005&lt;&gt;"")*(MOVIMIENTOS!$A$5:$A$1005&lt;=$A787)*MOVIMIENTOS!$E$5:$E$1005)-SUMPRODUCT((MOVIMIENTOS!$B$5:$B$1005="VENTA")*(MOVIMIENTOS!$C$5:$C$1005="C")*(MOVIMIENTOS!$D$5:$D$1005="jabas")*(MOVIMIENTOS!$A$5:$A$1005&lt;&gt;"")*(MOVIMIENTOS!$A$5:$A$1005&lt;=$A787)*MOVIMIENTOS!$E$5:$E$1005)+SUMPRODUCT((MOVIMIENTOS!$B$5:$B$1005="AJUSTE")*(MOVIMIENTOS!$C$5:$C$1005="C")*(MOVIMIENTOS!$D$5:$D$1005="jabas")*(MOVIMIENTOS!$A$5:$A$1005&lt;&gt;"")*(MOVIMIENTOS!$A$5:$A$1005&lt;=$A787)*MOVIMIENTOS!$E$5:$E$1005))</f>
        <v/>
      </c>
      <c r="E787" t="str">
        <f>IF($A787="","",SUMPRODUCT((MOVIMIENTOS!$B$5:$B$1005="SALDO INICIAL")*(MOVIMIENTOS!$C$5:$C$1005="M")*(MOVIMIENTOS!$D$5:$D$1005="jabas")*(MOVIMIENTOS!$A$5:$A$1005&lt;&gt;"")*(MOVIMIENTOS!$A$5:$A$1005&lt;=$A787)*MOVIMIENTOS!$E$5:$E$1005)+SUMPRODUCT((MOVIMIENTOS!$B$5:$B$1005="PROCESO")*(MOVIMIENTOS!$C$5:$C$1005="M")*(MOVIMIENTOS!$D$5:$D$1005="jabas")*(MOVIMIENTOS!$A$5:$A$1005&lt;&gt;"")*(MOVIMIENTOS!$A$5:$A$1005&lt;=$A787)*MOVIMIENTOS!$E$5:$E$1005)-SUMPRODUCT((MOVIMIENTOS!$B$5:$B$1005="ENVÍO A SUPESA")*(MOVIMIENTOS!$C$5:$C$1005="M")*(MOVIMIENTOS!$D$5:$D$1005="jabas")*(MOVIMIENTOS!$A$5:$A$1005&lt;&gt;"")*(MOVIMIENTOS!$A$5:$A$1005&lt;=$A787)*MOVIMIENTOS!$E$5:$E$1005)+SUMPRODUCT((MOVIMIENTOS!$B$5:$B$1005="DEVOLUCIÓN")*(MOVIMIENTOS!$C$5:$C$1005="M")*(MOVIMIENTOS!$D$5:$D$1005="jabas")*(MOVIMIENTOS!$A$5:$A$1005&lt;&gt;"")*(MOVIMIENTOS!$A$5:$A$1005&lt;=$A787)*MOVIMIENTOS!$E$5:$E$1005)-SUMPRODUCT((MOVIMIENTOS!$B$5:$B$1005="TRASIEGO")*(MOVIMIENTOS!$C$5:$C$1005="M")*(MOVIMIENTOS!$D$5:$D$1005="jabas")*(MOVIMIENTOS!$A$5:$A$1005&lt;&gt;"")*(MOVIMIENTOS!$A$5:$A$1005&lt;=$A787)*MOVIMIENTOS!$E$5:$E$1005)-SUMPRODUCT((MOVIMIENTOS!$B$5:$B$1005="REGALO")*(MOVIMIENTOS!$C$5:$C$1005="M")*(MOVIMIENTOS!$D$5:$D$1005="jabas")*(MOVIMIENTOS!$A$5:$A$1005&lt;&gt;"")*(MOVIMIENTOS!$A$5:$A$1005&lt;=$A787)*MOVIMIENTOS!$E$5:$E$1005)-SUMPRODUCT((MOVIMIENTOS!$B$5:$B$1005="VENTA")*(MOVIMIENTOS!$C$5:$C$1005="M")*(MOVIMIENTOS!$D$5:$D$1005="jabas")*(MOVIMIENTOS!$A$5:$A$1005&lt;&gt;"")*(MOVIMIENTOS!$A$5:$A$1005&lt;=$A787)*MOVIMIENTOS!$E$5:$E$1005)+SUMPRODUCT((MOVIMIENTOS!$B$5:$B$1005="AJUSTE")*(MOVIMIENTOS!$C$5:$C$1005="M")*(MOVIMIENTOS!$D$5:$D$1005="jabas")*(MOVIMIENTOS!$A$5:$A$1005&lt;&gt;"")*(MOVIMIENTOS!$A$5:$A$1005&lt;=$A787)*MOVIMIENTOS!$E$5:$E$1005))</f>
        <v/>
      </c>
      <c r="F787" s="62" t="str">
        <f>IF($A787="","",SUMPRODUCT((MOVIMIENTOS!$B$5:$B$1005="SALDO INICIAL")*(MOVIMIENTOS!$C$5:$C$1005="Chancho")*(MOVIMIENTOS!$D$5:$D$1005="sacos")*(MOVIMIENTOS!$A$5:$A$1005&lt;&gt;"")*(MOVIMIENTOS!$A$5:$A$1005&lt;=$A787)*MOVIMIENTOS!$E$5:$E$1005)+SUMPRODUCT((MOVIMIENTOS!$B$5:$B$1005="PROCESO")*(MOVIMIENTOS!$C$5:$C$1005="Chancho")*(MOVIMIENTOS!$D$5:$D$1005="sacos")*(MOVIMIENTOS!$A$5:$A$1005&lt;&gt;"")*(MOVIMIENTOS!$A$5:$A$1005&lt;=$A787)*MOVIMIENTOS!$E$5:$E$1005)-SUMPRODUCT((MOVIMIENTOS!$B$5:$B$1005="VENTA CHANCHO")*(MOVIMIENTOS!$C$5:$C$1005="Chancho")*(MOVIMIENTOS!$D$5:$D$1005="sacos")*(MOVIMIENTOS!$A$5:$A$1005&lt;&gt;"")*(MOVIMIENTOS!$A$5:$A$1005&lt;=$A787)*MOVIMIENTOS!$E$5:$E$1005)-SUMPRODUCT((MOVIMIENTOS!$B$5:$B$1005="REGALO")*(MOVIMIENTOS!$C$5:$C$1005="Chancho")*(MOVIMIENTOS!$D$5:$D$1005="sacos")*(MOVIMIENTOS!$A$5:$A$1005&lt;&gt;"")*(MOVIMIENTOS!$A$5:$A$1005&lt;=$A787)*MOVIMIENTOS!$E$5:$E$1005)-SUMPRODUCT((MOVIMIENTOS!$B$5:$B$1005="VENTA")*(MOVIMIENTOS!$C$5:$C$1005="Chancho")*(MOVIMIENTOS!$D$5:$D$1005="sacos")*(MOVIMIENTOS!$A$5:$A$1005&lt;&gt;"")*(MOVIMIENTOS!$A$5:$A$1005&lt;=$A787)*MOVIMIENTOS!$E$5:$E$1005)+SUMPRODUCT((MOVIMIENTOS!$B$5:$B$1005="AJUSTE")*(MOVIMIENTOS!$C$5:$C$1005="Chancho")*(MOVIMIENTOS!$D$5:$D$1005="sacos")*(MOVIMIENTOS!$A$5:$A$1005&lt;&gt;"")*(MOVIMIENTOS!$A$5:$A$1005&lt;=$A787)*MOVIMIENTOS!$E$5:$E$1005))</f>
        <v/>
      </c>
      <c r="G787" s="62" t="str">
        <f t="shared" si="25"/>
        <v/>
      </c>
      <c r="H787" t="str">
        <f>IF($A787="","",SUMPRODUCT((((MOVIMIENTOS!$B$5:$B$1005="SALDO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787)*MOVIMIENTOS!$J$5:$J$1005))</f>
        <v/>
      </c>
      <c r="J787" t="str">
        <f>IF(AND(MOVIMIENTOS!$A792&lt;&gt;"",COUNTIF(MOVIMIENTOS!$A$5:$A791,MOVIMIENTOS!$A792)=0),COUNT(J$4:J786)+1,"")</f>
        <v/>
      </c>
      <c r="K787">
        <f>MOVIMIENTOS!$A792</f>
        <v>0</v>
      </c>
    </row>
    <row r="788" spans="1:11" ht="15" customHeight="1" x14ac:dyDescent="0.2">
      <c r="A788" t="str">
        <f t="shared" si="24"/>
        <v/>
      </c>
      <c r="B788" t="str">
        <f>IF($A788="","",SUMPRODUCT((MOVIMIENTOS!$B$5:$B$1005="SALDO INICIAL")*(MOVIMIENTOS!$C$5:$C$1005="A")*(MOVIMIENTOS!$D$5:$D$1005="jabas")*(MOVIMIENTOS!$A$5:$A$1005&lt;&gt;"")*(MOVIMIENTOS!$A$5:$A$1005&lt;=$A788)*MOVIMIENTOS!$E$5:$E$1005)+SUMPRODUCT((MOVIMIENTOS!$B$5:$B$1005="PROCESO")*(MOVIMIENTOS!$C$5:$C$1005="A")*(MOVIMIENTOS!$D$5:$D$1005="jabas")*(MOVIMIENTOS!$A$5:$A$1005&lt;&gt;"")*(MOVIMIENTOS!$A$5:$A$1005&lt;=$A788)*MOVIMIENTOS!$E$5:$E$1005)-SUMPRODUCT((MOVIMIENTOS!$B$5:$B$1005="ENVÍO A SUPESA")*(MOVIMIENTOS!$C$5:$C$1005="A")*(MOVIMIENTOS!$D$5:$D$1005="jabas")*(MOVIMIENTOS!$A$5:$A$1005&lt;&gt;"")*(MOVIMIENTOS!$A$5:$A$1005&lt;=$A788)*MOVIMIENTOS!$E$5:$E$1005)+SUMPRODUCT((MOVIMIENTOS!$B$5:$B$1005="DEVOLUCIÓN")*(MOVIMIENTOS!$C$5:$C$1005="A")*(MOVIMIENTOS!$D$5:$D$1005="jabas")*(MOVIMIENTOS!$A$5:$A$1005&lt;&gt;"")*(MOVIMIENTOS!$A$5:$A$1005&lt;=$A788)*MOVIMIENTOS!$E$5:$E$1005)-SUMPRODUCT((MOVIMIENTOS!$B$5:$B$1005="TRASIEGO")*(MOVIMIENTOS!$C$5:$C$1005="A")*(MOVIMIENTOS!$D$5:$D$1005="jabas")*(MOVIMIENTOS!$A$5:$A$1005&lt;&gt;"")*(MOVIMIENTOS!$A$5:$A$1005&lt;=$A788)*MOVIMIENTOS!$E$5:$E$1005)-SUMPRODUCT((MOVIMIENTOS!$B$5:$B$1005="REGALO")*(MOVIMIENTOS!$C$5:$C$1005="A")*(MOVIMIENTOS!$D$5:$D$1005="jabas")*(MOVIMIENTOS!$A$5:$A$1005&lt;&gt;"")*(MOVIMIENTOS!$A$5:$A$1005&lt;=$A788)*MOVIMIENTOS!$E$5:$E$1005)-SUMPRODUCT((MOVIMIENTOS!$B$5:$B$1005="VENTA")*(MOVIMIENTOS!$C$5:$C$1005="A")*(MOVIMIENTOS!$D$5:$D$1005="jabas")*(MOVIMIENTOS!$A$5:$A$1005&lt;&gt;"")*(MOVIMIENTOS!$A$5:$A$1005&lt;=$A788)*MOVIMIENTOS!$E$5:$E$1005)+SUMPRODUCT((MOVIMIENTOS!$B$5:$B$1005="AJUSTE")*(MOVIMIENTOS!$C$5:$C$1005="A")*(MOVIMIENTOS!$D$5:$D$1005="jabas")*(MOVIMIENTOS!$A$5:$A$1005&lt;&gt;"")*(MOVIMIENTOS!$A$5:$A$1005&lt;=$A788)*MOVIMIENTOS!$E$5:$E$1005))</f>
        <v/>
      </c>
      <c r="C788" t="str">
        <f>IF($A788="","",SUMPRODUCT((MOVIMIENTOS!$B$5:$B$1005="SALDO INICIAL")*(MOVIMIENTOS!$C$5:$C$1005="P")*(MOVIMIENTOS!$D$5:$D$1005="jabas")*(MOVIMIENTOS!$A$5:$A$1005&lt;&gt;"")*(MOVIMIENTOS!$A$5:$A$1005&lt;=$A788)*MOVIMIENTOS!$E$5:$E$1005)+SUMPRODUCT((MOVIMIENTOS!$B$5:$B$1005="PROCESO")*(MOVIMIENTOS!$C$5:$C$1005="P")*(MOVIMIENTOS!$D$5:$D$1005="jabas")*(MOVIMIENTOS!$A$5:$A$1005&lt;&gt;"")*(MOVIMIENTOS!$A$5:$A$1005&lt;=$A788)*MOVIMIENTOS!$E$5:$E$1005)-SUMPRODUCT((MOVIMIENTOS!$B$5:$B$1005="ENVÍO A SUPESA")*(MOVIMIENTOS!$C$5:$C$1005="P")*(MOVIMIENTOS!$D$5:$D$1005="jabas")*(MOVIMIENTOS!$A$5:$A$1005&lt;&gt;"")*(MOVIMIENTOS!$A$5:$A$1005&lt;=$A788)*MOVIMIENTOS!$E$5:$E$1005)+SUMPRODUCT((MOVIMIENTOS!$B$5:$B$1005="DEVOLUCIÓN")*(MOVIMIENTOS!$C$5:$C$1005="P")*(MOVIMIENTOS!$D$5:$D$1005="jabas")*(MOVIMIENTOS!$A$5:$A$1005&lt;&gt;"")*(MOVIMIENTOS!$A$5:$A$1005&lt;=$A788)*MOVIMIENTOS!$E$5:$E$1005)-SUMPRODUCT((MOVIMIENTOS!$B$5:$B$1005="TRASIEGO")*(MOVIMIENTOS!$C$5:$C$1005="P")*(MOVIMIENTOS!$D$5:$D$1005="jabas")*(MOVIMIENTOS!$A$5:$A$1005&lt;&gt;"")*(MOVIMIENTOS!$A$5:$A$1005&lt;=$A788)*MOVIMIENTOS!$E$5:$E$1005)-SUMPRODUCT((MOVIMIENTOS!$B$5:$B$1005="REGALO")*(MOVIMIENTOS!$C$5:$C$1005="P")*(MOVIMIENTOS!$D$5:$D$1005="jabas")*(MOVIMIENTOS!$A$5:$A$1005&lt;&gt;"")*(MOVIMIENTOS!$A$5:$A$1005&lt;=$A788)*MOVIMIENTOS!$E$5:$E$1005)-SUMPRODUCT((MOVIMIENTOS!$B$5:$B$1005="VENTA")*(MOVIMIENTOS!$C$5:$C$1005="P")*(MOVIMIENTOS!$D$5:$D$1005="jabas")*(MOVIMIENTOS!$A$5:$A$1005&lt;&gt;"")*(MOVIMIENTOS!$A$5:$A$1005&lt;=$A788)*MOVIMIENTOS!$E$5:$E$1005)+SUMPRODUCT((MOVIMIENTOS!$B$5:$B$1005="AJUSTE")*(MOVIMIENTOS!$C$5:$C$1005="P")*(MOVIMIENTOS!$D$5:$D$1005="jabas")*(MOVIMIENTOS!$A$5:$A$1005&lt;&gt;"")*(MOVIMIENTOS!$A$5:$A$1005&lt;=$A788)*MOVIMIENTOS!$E$5:$E$1005))</f>
        <v/>
      </c>
      <c r="D788" t="str">
        <f>IF($A788="","",SUMPRODUCT((MOVIMIENTOS!$B$5:$B$1005="SALDO INICIAL")*(MOVIMIENTOS!$C$5:$C$1005="C")*(MOVIMIENTOS!$D$5:$D$1005="jabas")*(MOVIMIENTOS!$A$5:$A$1005&lt;&gt;"")*(MOVIMIENTOS!$A$5:$A$1005&lt;=$A788)*MOVIMIENTOS!$E$5:$E$1005)+SUMPRODUCT((MOVIMIENTOS!$B$5:$B$1005="PROCESO")*(MOVIMIENTOS!$C$5:$C$1005="C")*(MOVIMIENTOS!$D$5:$D$1005="jabas")*(MOVIMIENTOS!$A$5:$A$1005&lt;&gt;"")*(MOVIMIENTOS!$A$5:$A$1005&lt;=$A788)*MOVIMIENTOS!$E$5:$E$1005)-SUMPRODUCT((MOVIMIENTOS!$B$5:$B$1005="ENVÍO A SUPESA")*(MOVIMIENTOS!$C$5:$C$1005="C")*(MOVIMIENTOS!$D$5:$D$1005="jabas")*(MOVIMIENTOS!$A$5:$A$1005&lt;&gt;"")*(MOVIMIENTOS!$A$5:$A$1005&lt;=$A788)*MOVIMIENTOS!$E$5:$E$1005)+SUMPRODUCT((MOVIMIENTOS!$B$5:$B$1005="DEVOLUCIÓN")*(MOVIMIENTOS!$C$5:$C$1005="C")*(MOVIMIENTOS!$D$5:$D$1005="jabas")*(MOVIMIENTOS!$A$5:$A$1005&lt;&gt;"")*(MOVIMIENTOS!$A$5:$A$1005&lt;=$A788)*MOVIMIENTOS!$E$5:$E$1005)-SUMPRODUCT((MOVIMIENTOS!$B$5:$B$1005="TRASIEGO")*(MOVIMIENTOS!$C$5:$C$1005="C")*(MOVIMIENTOS!$D$5:$D$1005="jabas")*(MOVIMIENTOS!$A$5:$A$1005&lt;&gt;"")*(MOVIMIENTOS!$A$5:$A$1005&lt;=$A788)*MOVIMIENTOS!$E$5:$E$1005)-SUMPRODUCT((MOVIMIENTOS!$B$5:$B$1005="REGALO")*(MOVIMIENTOS!$C$5:$C$1005="C")*(MOVIMIENTOS!$D$5:$D$1005="jabas")*(MOVIMIENTOS!$A$5:$A$1005&lt;&gt;"")*(MOVIMIENTOS!$A$5:$A$1005&lt;=$A788)*MOVIMIENTOS!$E$5:$E$1005)-SUMPRODUCT((MOVIMIENTOS!$B$5:$B$1005="VENTA")*(MOVIMIENTOS!$C$5:$C$1005="C")*(MOVIMIENTOS!$D$5:$D$1005="jabas")*(MOVIMIENTOS!$A$5:$A$1005&lt;&gt;"")*(MOVIMIENTOS!$A$5:$A$1005&lt;=$A788)*MOVIMIENTOS!$E$5:$E$1005)+SUMPRODUCT((MOVIMIENTOS!$B$5:$B$1005="AJUSTE")*(MOVIMIENTOS!$C$5:$C$1005="C")*(MOVIMIENTOS!$D$5:$D$1005="jabas")*(MOVIMIENTOS!$A$5:$A$1005&lt;&gt;"")*(MOVIMIENTOS!$A$5:$A$1005&lt;=$A788)*MOVIMIENTOS!$E$5:$E$1005))</f>
        <v/>
      </c>
      <c r="E788" t="str">
        <f>IF($A788="","",SUMPRODUCT((MOVIMIENTOS!$B$5:$B$1005="SALDO INICIAL")*(MOVIMIENTOS!$C$5:$C$1005="M")*(MOVIMIENTOS!$D$5:$D$1005="jabas")*(MOVIMIENTOS!$A$5:$A$1005&lt;&gt;"")*(MOVIMIENTOS!$A$5:$A$1005&lt;=$A788)*MOVIMIENTOS!$E$5:$E$1005)+SUMPRODUCT((MOVIMIENTOS!$B$5:$B$1005="PROCESO")*(MOVIMIENTOS!$C$5:$C$1005="M")*(MOVIMIENTOS!$D$5:$D$1005="jabas")*(MOVIMIENTOS!$A$5:$A$1005&lt;&gt;"")*(MOVIMIENTOS!$A$5:$A$1005&lt;=$A788)*MOVIMIENTOS!$E$5:$E$1005)-SUMPRODUCT((MOVIMIENTOS!$B$5:$B$1005="ENVÍO A SUPESA")*(MOVIMIENTOS!$C$5:$C$1005="M")*(MOVIMIENTOS!$D$5:$D$1005="jabas")*(MOVIMIENTOS!$A$5:$A$1005&lt;&gt;"")*(MOVIMIENTOS!$A$5:$A$1005&lt;=$A788)*MOVIMIENTOS!$E$5:$E$1005)+SUMPRODUCT((MOVIMIENTOS!$B$5:$B$1005="DEVOLUCIÓN")*(MOVIMIENTOS!$C$5:$C$1005="M")*(MOVIMIENTOS!$D$5:$D$1005="jabas")*(MOVIMIENTOS!$A$5:$A$1005&lt;&gt;"")*(MOVIMIENTOS!$A$5:$A$1005&lt;=$A788)*MOVIMIENTOS!$E$5:$E$1005)-SUMPRODUCT((MOVIMIENTOS!$B$5:$B$1005="TRASIEGO")*(MOVIMIENTOS!$C$5:$C$1005="M")*(MOVIMIENTOS!$D$5:$D$1005="jabas")*(MOVIMIENTOS!$A$5:$A$1005&lt;&gt;"")*(MOVIMIENTOS!$A$5:$A$1005&lt;=$A788)*MOVIMIENTOS!$E$5:$E$1005)-SUMPRODUCT((MOVIMIENTOS!$B$5:$B$1005="REGALO")*(MOVIMIENTOS!$C$5:$C$1005="M")*(MOVIMIENTOS!$D$5:$D$1005="jabas")*(MOVIMIENTOS!$A$5:$A$1005&lt;&gt;"")*(MOVIMIENTOS!$A$5:$A$1005&lt;=$A788)*MOVIMIENTOS!$E$5:$E$1005)-SUMPRODUCT((MOVIMIENTOS!$B$5:$B$1005="VENTA")*(MOVIMIENTOS!$C$5:$C$1005="M")*(MOVIMIENTOS!$D$5:$D$1005="jabas")*(MOVIMIENTOS!$A$5:$A$1005&lt;&gt;"")*(MOVIMIENTOS!$A$5:$A$1005&lt;=$A788)*MOVIMIENTOS!$E$5:$E$1005)+SUMPRODUCT((MOVIMIENTOS!$B$5:$B$1005="AJUSTE")*(MOVIMIENTOS!$C$5:$C$1005="M")*(MOVIMIENTOS!$D$5:$D$1005="jabas")*(MOVIMIENTOS!$A$5:$A$1005&lt;&gt;"")*(MOVIMIENTOS!$A$5:$A$1005&lt;=$A788)*MOVIMIENTOS!$E$5:$E$1005))</f>
        <v/>
      </c>
      <c r="F788" s="62" t="str">
        <f>IF($A788="","",SUMPRODUCT((MOVIMIENTOS!$B$5:$B$1005="SALDO INICIAL")*(MOVIMIENTOS!$C$5:$C$1005="Chancho")*(MOVIMIENTOS!$D$5:$D$1005="sacos")*(MOVIMIENTOS!$A$5:$A$1005&lt;&gt;"")*(MOVIMIENTOS!$A$5:$A$1005&lt;=$A788)*MOVIMIENTOS!$E$5:$E$1005)+SUMPRODUCT((MOVIMIENTOS!$B$5:$B$1005="PROCESO")*(MOVIMIENTOS!$C$5:$C$1005="Chancho")*(MOVIMIENTOS!$D$5:$D$1005="sacos")*(MOVIMIENTOS!$A$5:$A$1005&lt;&gt;"")*(MOVIMIENTOS!$A$5:$A$1005&lt;=$A788)*MOVIMIENTOS!$E$5:$E$1005)-SUMPRODUCT((MOVIMIENTOS!$B$5:$B$1005="VENTA CHANCHO")*(MOVIMIENTOS!$C$5:$C$1005="Chancho")*(MOVIMIENTOS!$D$5:$D$1005="sacos")*(MOVIMIENTOS!$A$5:$A$1005&lt;&gt;"")*(MOVIMIENTOS!$A$5:$A$1005&lt;=$A788)*MOVIMIENTOS!$E$5:$E$1005)-SUMPRODUCT((MOVIMIENTOS!$B$5:$B$1005="REGALO")*(MOVIMIENTOS!$C$5:$C$1005="Chancho")*(MOVIMIENTOS!$D$5:$D$1005="sacos")*(MOVIMIENTOS!$A$5:$A$1005&lt;&gt;"")*(MOVIMIENTOS!$A$5:$A$1005&lt;=$A788)*MOVIMIENTOS!$E$5:$E$1005)-SUMPRODUCT((MOVIMIENTOS!$B$5:$B$1005="VENTA")*(MOVIMIENTOS!$C$5:$C$1005="Chancho")*(MOVIMIENTOS!$D$5:$D$1005="sacos")*(MOVIMIENTOS!$A$5:$A$1005&lt;&gt;"")*(MOVIMIENTOS!$A$5:$A$1005&lt;=$A788)*MOVIMIENTOS!$E$5:$E$1005)+SUMPRODUCT((MOVIMIENTOS!$B$5:$B$1005="AJUSTE")*(MOVIMIENTOS!$C$5:$C$1005="Chancho")*(MOVIMIENTOS!$D$5:$D$1005="sacos")*(MOVIMIENTOS!$A$5:$A$1005&lt;&gt;"")*(MOVIMIENTOS!$A$5:$A$1005&lt;=$A788)*MOVIMIENTOS!$E$5:$E$1005))</f>
        <v/>
      </c>
      <c r="G788" s="62" t="str">
        <f t="shared" si="25"/>
        <v/>
      </c>
      <c r="H788" t="str">
        <f>IF($A788="","",SUMPRODUCT((((MOVIMIENTOS!$B$5:$B$1005="SALDO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788)*MOVIMIENTOS!$J$5:$J$1005))</f>
        <v/>
      </c>
      <c r="J788" t="str">
        <f>IF(AND(MOVIMIENTOS!$A793&lt;&gt;"",COUNTIF(MOVIMIENTOS!$A$5:$A792,MOVIMIENTOS!$A793)=0),COUNT(J$4:J787)+1,"")</f>
        <v/>
      </c>
      <c r="K788">
        <f>MOVIMIENTOS!$A793</f>
        <v>0</v>
      </c>
    </row>
    <row r="789" spans="1:11" ht="15" customHeight="1" x14ac:dyDescent="0.2">
      <c r="A789" t="str">
        <f t="shared" si="24"/>
        <v/>
      </c>
      <c r="B789" t="str">
        <f>IF($A789="","",SUMPRODUCT((MOVIMIENTOS!$B$5:$B$1005="SALDO INICIAL")*(MOVIMIENTOS!$C$5:$C$1005="A")*(MOVIMIENTOS!$D$5:$D$1005="jabas")*(MOVIMIENTOS!$A$5:$A$1005&lt;&gt;"")*(MOVIMIENTOS!$A$5:$A$1005&lt;=$A789)*MOVIMIENTOS!$E$5:$E$1005)+SUMPRODUCT((MOVIMIENTOS!$B$5:$B$1005="PROCESO")*(MOVIMIENTOS!$C$5:$C$1005="A")*(MOVIMIENTOS!$D$5:$D$1005="jabas")*(MOVIMIENTOS!$A$5:$A$1005&lt;&gt;"")*(MOVIMIENTOS!$A$5:$A$1005&lt;=$A789)*MOVIMIENTOS!$E$5:$E$1005)-SUMPRODUCT((MOVIMIENTOS!$B$5:$B$1005="ENVÍO A SUPESA")*(MOVIMIENTOS!$C$5:$C$1005="A")*(MOVIMIENTOS!$D$5:$D$1005="jabas")*(MOVIMIENTOS!$A$5:$A$1005&lt;&gt;"")*(MOVIMIENTOS!$A$5:$A$1005&lt;=$A789)*MOVIMIENTOS!$E$5:$E$1005)+SUMPRODUCT((MOVIMIENTOS!$B$5:$B$1005="DEVOLUCIÓN")*(MOVIMIENTOS!$C$5:$C$1005="A")*(MOVIMIENTOS!$D$5:$D$1005="jabas")*(MOVIMIENTOS!$A$5:$A$1005&lt;&gt;"")*(MOVIMIENTOS!$A$5:$A$1005&lt;=$A789)*MOVIMIENTOS!$E$5:$E$1005)-SUMPRODUCT((MOVIMIENTOS!$B$5:$B$1005="TRASIEGO")*(MOVIMIENTOS!$C$5:$C$1005="A")*(MOVIMIENTOS!$D$5:$D$1005="jabas")*(MOVIMIENTOS!$A$5:$A$1005&lt;&gt;"")*(MOVIMIENTOS!$A$5:$A$1005&lt;=$A789)*MOVIMIENTOS!$E$5:$E$1005)-SUMPRODUCT((MOVIMIENTOS!$B$5:$B$1005="REGALO")*(MOVIMIENTOS!$C$5:$C$1005="A")*(MOVIMIENTOS!$D$5:$D$1005="jabas")*(MOVIMIENTOS!$A$5:$A$1005&lt;&gt;"")*(MOVIMIENTOS!$A$5:$A$1005&lt;=$A789)*MOVIMIENTOS!$E$5:$E$1005)-SUMPRODUCT((MOVIMIENTOS!$B$5:$B$1005="VENTA")*(MOVIMIENTOS!$C$5:$C$1005="A")*(MOVIMIENTOS!$D$5:$D$1005="jabas")*(MOVIMIENTOS!$A$5:$A$1005&lt;&gt;"")*(MOVIMIENTOS!$A$5:$A$1005&lt;=$A789)*MOVIMIENTOS!$E$5:$E$1005)+SUMPRODUCT((MOVIMIENTOS!$B$5:$B$1005="AJUSTE")*(MOVIMIENTOS!$C$5:$C$1005="A")*(MOVIMIENTOS!$D$5:$D$1005="jabas")*(MOVIMIENTOS!$A$5:$A$1005&lt;&gt;"")*(MOVIMIENTOS!$A$5:$A$1005&lt;=$A789)*MOVIMIENTOS!$E$5:$E$1005))</f>
        <v/>
      </c>
      <c r="C789" t="str">
        <f>IF($A789="","",SUMPRODUCT((MOVIMIENTOS!$B$5:$B$1005="SALDO INICIAL")*(MOVIMIENTOS!$C$5:$C$1005="P")*(MOVIMIENTOS!$D$5:$D$1005="jabas")*(MOVIMIENTOS!$A$5:$A$1005&lt;&gt;"")*(MOVIMIENTOS!$A$5:$A$1005&lt;=$A789)*MOVIMIENTOS!$E$5:$E$1005)+SUMPRODUCT((MOVIMIENTOS!$B$5:$B$1005="PROCESO")*(MOVIMIENTOS!$C$5:$C$1005="P")*(MOVIMIENTOS!$D$5:$D$1005="jabas")*(MOVIMIENTOS!$A$5:$A$1005&lt;&gt;"")*(MOVIMIENTOS!$A$5:$A$1005&lt;=$A789)*MOVIMIENTOS!$E$5:$E$1005)-SUMPRODUCT((MOVIMIENTOS!$B$5:$B$1005="ENVÍO A SUPESA")*(MOVIMIENTOS!$C$5:$C$1005="P")*(MOVIMIENTOS!$D$5:$D$1005="jabas")*(MOVIMIENTOS!$A$5:$A$1005&lt;&gt;"")*(MOVIMIENTOS!$A$5:$A$1005&lt;=$A789)*MOVIMIENTOS!$E$5:$E$1005)+SUMPRODUCT((MOVIMIENTOS!$B$5:$B$1005="DEVOLUCIÓN")*(MOVIMIENTOS!$C$5:$C$1005="P")*(MOVIMIENTOS!$D$5:$D$1005="jabas")*(MOVIMIENTOS!$A$5:$A$1005&lt;&gt;"")*(MOVIMIENTOS!$A$5:$A$1005&lt;=$A789)*MOVIMIENTOS!$E$5:$E$1005)-SUMPRODUCT((MOVIMIENTOS!$B$5:$B$1005="TRASIEGO")*(MOVIMIENTOS!$C$5:$C$1005="P")*(MOVIMIENTOS!$D$5:$D$1005="jabas")*(MOVIMIENTOS!$A$5:$A$1005&lt;&gt;"")*(MOVIMIENTOS!$A$5:$A$1005&lt;=$A789)*MOVIMIENTOS!$E$5:$E$1005)-SUMPRODUCT((MOVIMIENTOS!$B$5:$B$1005="REGALO")*(MOVIMIENTOS!$C$5:$C$1005="P")*(MOVIMIENTOS!$D$5:$D$1005="jabas")*(MOVIMIENTOS!$A$5:$A$1005&lt;&gt;"")*(MOVIMIENTOS!$A$5:$A$1005&lt;=$A789)*MOVIMIENTOS!$E$5:$E$1005)-SUMPRODUCT((MOVIMIENTOS!$B$5:$B$1005="VENTA")*(MOVIMIENTOS!$C$5:$C$1005="P")*(MOVIMIENTOS!$D$5:$D$1005="jabas")*(MOVIMIENTOS!$A$5:$A$1005&lt;&gt;"")*(MOVIMIENTOS!$A$5:$A$1005&lt;=$A789)*MOVIMIENTOS!$E$5:$E$1005)+SUMPRODUCT((MOVIMIENTOS!$B$5:$B$1005="AJUSTE")*(MOVIMIENTOS!$C$5:$C$1005="P")*(MOVIMIENTOS!$D$5:$D$1005="jabas")*(MOVIMIENTOS!$A$5:$A$1005&lt;&gt;"")*(MOVIMIENTOS!$A$5:$A$1005&lt;=$A789)*MOVIMIENTOS!$E$5:$E$1005))</f>
        <v/>
      </c>
      <c r="D789" t="str">
        <f>IF($A789="","",SUMPRODUCT((MOVIMIENTOS!$B$5:$B$1005="SALDO INICIAL")*(MOVIMIENTOS!$C$5:$C$1005="C")*(MOVIMIENTOS!$D$5:$D$1005="jabas")*(MOVIMIENTOS!$A$5:$A$1005&lt;&gt;"")*(MOVIMIENTOS!$A$5:$A$1005&lt;=$A789)*MOVIMIENTOS!$E$5:$E$1005)+SUMPRODUCT((MOVIMIENTOS!$B$5:$B$1005="PROCESO")*(MOVIMIENTOS!$C$5:$C$1005="C")*(MOVIMIENTOS!$D$5:$D$1005="jabas")*(MOVIMIENTOS!$A$5:$A$1005&lt;&gt;"")*(MOVIMIENTOS!$A$5:$A$1005&lt;=$A789)*MOVIMIENTOS!$E$5:$E$1005)-SUMPRODUCT((MOVIMIENTOS!$B$5:$B$1005="ENVÍO A SUPESA")*(MOVIMIENTOS!$C$5:$C$1005="C")*(MOVIMIENTOS!$D$5:$D$1005="jabas")*(MOVIMIENTOS!$A$5:$A$1005&lt;&gt;"")*(MOVIMIENTOS!$A$5:$A$1005&lt;=$A789)*MOVIMIENTOS!$E$5:$E$1005)+SUMPRODUCT((MOVIMIENTOS!$B$5:$B$1005="DEVOLUCIÓN")*(MOVIMIENTOS!$C$5:$C$1005="C")*(MOVIMIENTOS!$D$5:$D$1005="jabas")*(MOVIMIENTOS!$A$5:$A$1005&lt;&gt;"")*(MOVIMIENTOS!$A$5:$A$1005&lt;=$A789)*MOVIMIENTOS!$E$5:$E$1005)-SUMPRODUCT((MOVIMIENTOS!$B$5:$B$1005="TRASIEGO")*(MOVIMIENTOS!$C$5:$C$1005="C")*(MOVIMIENTOS!$D$5:$D$1005="jabas")*(MOVIMIENTOS!$A$5:$A$1005&lt;&gt;"")*(MOVIMIENTOS!$A$5:$A$1005&lt;=$A789)*MOVIMIENTOS!$E$5:$E$1005)-SUMPRODUCT((MOVIMIENTOS!$B$5:$B$1005="REGALO")*(MOVIMIENTOS!$C$5:$C$1005="C")*(MOVIMIENTOS!$D$5:$D$1005="jabas")*(MOVIMIENTOS!$A$5:$A$1005&lt;&gt;"")*(MOVIMIENTOS!$A$5:$A$1005&lt;=$A789)*MOVIMIENTOS!$E$5:$E$1005)-SUMPRODUCT((MOVIMIENTOS!$B$5:$B$1005="VENTA")*(MOVIMIENTOS!$C$5:$C$1005="C")*(MOVIMIENTOS!$D$5:$D$1005="jabas")*(MOVIMIENTOS!$A$5:$A$1005&lt;&gt;"")*(MOVIMIENTOS!$A$5:$A$1005&lt;=$A789)*MOVIMIENTOS!$E$5:$E$1005)+SUMPRODUCT((MOVIMIENTOS!$B$5:$B$1005="AJUSTE")*(MOVIMIENTOS!$C$5:$C$1005="C")*(MOVIMIENTOS!$D$5:$D$1005="jabas")*(MOVIMIENTOS!$A$5:$A$1005&lt;&gt;"")*(MOVIMIENTOS!$A$5:$A$1005&lt;=$A789)*MOVIMIENTOS!$E$5:$E$1005))</f>
        <v/>
      </c>
      <c r="E789" t="str">
        <f>IF($A789="","",SUMPRODUCT((MOVIMIENTOS!$B$5:$B$1005="SALDO INICIAL")*(MOVIMIENTOS!$C$5:$C$1005="M")*(MOVIMIENTOS!$D$5:$D$1005="jabas")*(MOVIMIENTOS!$A$5:$A$1005&lt;&gt;"")*(MOVIMIENTOS!$A$5:$A$1005&lt;=$A789)*MOVIMIENTOS!$E$5:$E$1005)+SUMPRODUCT((MOVIMIENTOS!$B$5:$B$1005="PROCESO")*(MOVIMIENTOS!$C$5:$C$1005="M")*(MOVIMIENTOS!$D$5:$D$1005="jabas")*(MOVIMIENTOS!$A$5:$A$1005&lt;&gt;"")*(MOVIMIENTOS!$A$5:$A$1005&lt;=$A789)*MOVIMIENTOS!$E$5:$E$1005)-SUMPRODUCT((MOVIMIENTOS!$B$5:$B$1005="ENVÍO A SUPESA")*(MOVIMIENTOS!$C$5:$C$1005="M")*(MOVIMIENTOS!$D$5:$D$1005="jabas")*(MOVIMIENTOS!$A$5:$A$1005&lt;&gt;"")*(MOVIMIENTOS!$A$5:$A$1005&lt;=$A789)*MOVIMIENTOS!$E$5:$E$1005)+SUMPRODUCT((MOVIMIENTOS!$B$5:$B$1005="DEVOLUCIÓN")*(MOVIMIENTOS!$C$5:$C$1005="M")*(MOVIMIENTOS!$D$5:$D$1005="jabas")*(MOVIMIENTOS!$A$5:$A$1005&lt;&gt;"")*(MOVIMIENTOS!$A$5:$A$1005&lt;=$A789)*MOVIMIENTOS!$E$5:$E$1005)-SUMPRODUCT((MOVIMIENTOS!$B$5:$B$1005="TRASIEGO")*(MOVIMIENTOS!$C$5:$C$1005="M")*(MOVIMIENTOS!$D$5:$D$1005="jabas")*(MOVIMIENTOS!$A$5:$A$1005&lt;&gt;"")*(MOVIMIENTOS!$A$5:$A$1005&lt;=$A789)*MOVIMIENTOS!$E$5:$E$1005)-SUMPRODUCT((MOVIMIENTOS!$B$5:$B$1005="REGALO")*(MOVIMIENTOS!$C$5:$C$1005="M")*(MOVIMIENTOS!$D$5:$D$1005="jabas")*(MOVIMIENTOS!$A$5:$A$1005&lt;&gt;"")*(MOVIMIENTOS!$A$5:$A$1005&lt;=$A789)*MOVIMIENTOS!$E$5:$E$1005)-SUMPRODUCT((MOVIMIENTOS!$B$5:$B$1005="VENTA")*(MOVIMIENTOS!$C$5:$C$1005="M")*(MOVIMIENTOS!$D$5:$D$1005="jabas")*(MOVIMIENTOS!$A$5:$A$1005&lt;&gt;"")*(MOVIMIENTOS!$A$5:$A$1005&lt;=$A789)*MOVIMIENTOS!$E$5:$E$1005)+SUMPRODUCT((MOVIMIENTOS!$B$5:$B$1005="AJUSTE")*(MOVIMIENTOS!$C$5:$C$1005="M")*(MOVIMIENTOS!$D$5:$D$1005="jabas")*(MOVIMIENTOS!$A$5:$A$1005&lt;&gt;"")*(MOVIMIENTOS!$A$5:$A$1005&lt;=$A789)*MOVIMIENTOS!$E$5:$E$1005))</f>
        <v/>
      </c>
      <c r="F789" s="62" t="str">
        <f>IF($A789="","",SUMPRODUCT((MOVIMIENTOS!$B$5:$B$1005="SALDO INICIAL")*(MOVIMIENTOS!$C$5:$C$1005="Chancho")*(MOVIMIENTOS!$D$5:$D$1005="sacos")*(MOVIMIENTOS!$A$5:$A$1005&lt;&gt;"")*(MOVIMIENTOS!$A$5:$A$1005&lt;=$A789)*MOVIMIENTOS!$E$5:$E$1005)+SUMPRODUCT((MOVIMIENTOS!$B$5:$B$1005="PROCESO")*(MOVIMIENTOS!$C$5:$C$1005="Chancho")*(MOVIMIENTOS!$D$5:$D$1005="sacos")*(MOVIMIENTOS!$A$5:$A$1005&lt;&gt;"")*(MOVIMIENTOS!$A$5:$A$1005&lt;=$A789)*MOVIMIENTOS!$E$5:$E$1005)-SUMPRODUCT((MOVIMIENTOS!$B$5:$B$1005="VENTA CHANCHO")*(MOVIMIENTOS!$C$5:$C$1005="Chancho")*(MOVIMIENTOS!$D$5:$D$1005="sacos")*(MOVIMIENTOS!$A$5:$A$1005&lt;&gt;"")*(MOVIMIENTOS!$A$5:$A$1005&lt;=$A789)*MOVIMIENTOS!$E$5:$E$1005)-SUMPRODUCT((MOVIMIENTOS!$B$5:$B$1005="REGALO")*(MOVIMIENTOS!$C$5:$C$1005="Chancho")*(MOVIMIENTOS!$D$5:$D$1005="sacos")*(MOVIMIENTOS!$A$5:$A$1005&lt;&gt;"")*(MOVIMIENTOS!$A$5:$A$1005&lt;=$A789)*MOVIMIENTOS!$E$5:$E$1005)-SUMPRODUCT((MOVIMIENTOS!$B$5:$B$1005="VENTA")*(MOVIMIENTOS!$C$5:$C$1005="Chancho")*(MOVIMIENTOS!$D$5:$D$1005="sacos")*(MOVIMIENTOS!$A$5:$A$1005&lt;&gt;"")*(MOVIMIENTOS!$A$5:$A$1005&lt;=$A789)*MOVIMIENTOS!$E$5:$E$1005)+SUMPRODUCT((MOVIMIENTOS!$B$5:$B$1005="AJUSTE")*(MOVIMIENTOS!$C$5:$C$1005="Chancho")*(MOVIMIENTOS!$D$5:$D$1005="sacos")*(MOVIMIENTOS!$A$5:$A$1005&lt;&gt;"")*(MOVIMIENTOS!$A$5:$A$1005&lt;=$A789)*MOVIMIENTOS!$E$5:$E$1005))</f>
        <v/>
      </c>
      <c r="G789" s="62" t="str">
        <f t="shared" si="25"/>
        <v/>
      </c>
      <c r="H789" t="str">
        <f>IF($A789="","",SUMPRODUCT((((MOVIMIENTOS!$B$5:$B$1005="SALDO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789)*MOVIMIENTOS!$J$5:$J$1005))</f>
        <v/>
      </c>
      <c r="J789" t="str">
        <f>IF(AND(MOVIMIENTOS!$A794&lt;&gt;"",COUNTIF(MOVIMIENTOS!$A$5:$A793,MOVIMIENTOS!$A794)=0),COUNT(J$4:J788)+1,"")</f>
        <v/>
      </c>
      <c r="K789">
        <f>MOVIMIENTOS!$A794</f>
        <v>0</v>
      </c>
    </row>
    <row r="790" spans="1:11" ht="15" customHeight="1" x14ac:dyDescent="0.2">
      <c r="A790" t="str">
        <f t="shared" si="24"/>
        <v/>
      </c>
      <c r="B790" t="str">
        <f>IF($A790="","",SUMPRODUCT((MOVIMIENTOS!$B$5:$B$1005="SALDO INICIAL")*(MOVIMIENTOS!$C$5:$C$1005="A")*(MOVIMIENTOS!$D$5:$D$1005="jabas")*(MOVIMIENTOS!$A$5:$A$1005&lt;&gt;"")*(MOVIMIENTOS!$A$5:$A$1005&lt;=$A790)*MOVIMIENTOS!$E$5:$E$1005)+SUMPRODUCT((MOVIMIENTOS!$B$5:$B$1005="PROCESO")*(MOVIMIENTOS!$C$5:$C$1005="A")*(MOVIMIENTOS!$D$5:$D$1005="jabas")*(MOVIMIENTOS!$A$5:$A$1005&lt;&gt;"")*(MOVIMIENTOS!$A$5:$A$1005&lt;=$A790)*MOVIMIENTOS!$E$5:$E$1005)-SUMPRODUCT((MOVIMIENTOS!$B$5:$B$1005="ENVÍO A SUPESA")*(MOVIMIENTOS!$C$5:$C$1005="A")*(MOVIMIENTOS!$D$5:$D$1005="jabas")*(MOVIMIENTOS!$A$5:$A$1005&lt;&gt;"")*(MOVIMIENTOS!$A$5:$A$1005&lt;=$A790)*MOVIMIENTOS!$E$5:$E$1005)+SUMPRODUCT((MOVIMIENTOS!$B$5:$B$1005="DEVOLUCIÓN")*(MOVIMIENTOS!$C$5:$C$1005="A")*(MOVIMIENTOS!$D$5:$D$1005="jabas")*(MOVIMIENTOS!$A$5:$A$1005&lt;&gt;"")*(MOVIMIENTOS!$A$5:$A$1005&lt;=$A790)*MOVIMIENTOS!$E$5:$E$1005)-SUMPRODUCT((MOVIMIENTOS!$B$5:$B$1005="TRASIEGO")*(MOVIMIENTOS!$C$5:$C$1005="A")*(MOVIMIENTOS!$D$5:$D$1005="jabas")*(MOVIMIENTOS!$A$5:$A$1005&lt;&gt;"")*(MOVIMIENTOS!$A$5:$A$1005&lt;=$A790)*MOVIMIENTOS!$E$5:$E$1005)-SUMPRODUCT((MOVIMIENTOS!$B$5:$B$1005="REGALO")*(MOVIMIENTOS!$C$5:$C$1005="A")*(MOVIMIENTOS!$D$5:$D$1005="jabas")*(MOVIMIENTOS!$A$5:$A$1005&lt;&gt;"")*(MOVIMIENTOS!$A$5:$A$1005&lt;=$A790)*MOVIMIENTOS!$E$5:$E$1005)-SUMPRODUCT((MOVIMIENTOS!$B$5:$B$1005="VENTA")*(MOVIMIENTOS!$C$5:$C$1005="A")*(MOVIMIENTOS!$D$5:$D$1005="jabas")*(MOVIMIENTOS!$A$5:$A$1005&lt;&gt;"")*(MOVIMIENTOS!$A$5:$A$1005&lt;=$A790)*MOVIMIENTOS!$E$5:$E$1005)+SUMPRODUCT((MOVIMIENTOS!$B$5:$B$1005="AJUSTE")*(MOVIMIENTOS!$C$5:$C$1005="A")*(MOVIMIENTOS!$D$5:$D$1005="jabas")*(MOVIMIENTOS!$A$5:$A$1005&lt;&gt;"")*(MOVIMIENTOS!$A$5:$A$1005&lt;=$A790)*MOVIMIENTOS!$E$5:$E$1005))</f>
        <v/>
      </c>
      <c r="C790" t="str">
        <f>IF($A790="","",SUMPRODUCT((MOVIMIENTOS!$B$5:$B$1005="SALDO INICIAL")*(MOVIMIENTOS!$C$5:$C$1005="P")*(MOVIMIENTOS!$D$5:$D$1005="jabas")*(MOVIMIENTOS!$A$5:$A$1005&lt;&gt;"")*(MOVIMIENTOS!$A$5:$A$1005&lt;=$A790)*MOVIMIENTOS!$E$5:$E$1005)+SUMPRODUCT((MOVIMIENTOS!$B$5:$B$1005="PROCESO")*(MOVIMIENTOS!$C$5:$C$1005="P")*(MOVIMIENTOS!$D$5:$D$1005="jabas")*(MOVIMIENTOS!$A$5:$A$1005&lt;&gt;"")*(MOVIMIENTOS!$A$5:$A$1005&lt;=$A790)*MOVIMIENTOS!$E$5:$E$1005)-SUMPRODUCT((MOVIMIENTOS!$B$5:$B$1005="ENVÍO A SUPESA")*(MOVIMIENTOS!$C$5:$C$1005="P")*(MOVIMIENTOS!$D$5:$D$1005="jabas")*(MOVIMIENTOS!$A$5:$A$1005&lt;&gt;"")*(MOVIMIENTOS!$A$5:$A$1005&lt;=$A790)*MOVIMIENTOS!$E$5:$E$1005)+SUMPRODUCT((MOVIMIENTOS!$B$5:$B$1005="DEVOLUCIÓN")*(MOVIMIENTOS!$C$5:$C$1005="P")*(MOVIMIENTOS!$D$5:$D$1005="jabas")*(MOVIMIENTOS!$A$5:$A$1005&lt;&gt;"")*(MOVIMIENTOS!$A$5:$A$1005&lt;=$A790)*MOVIMIENTOS!$E$5:$E$1005)-SUMPRODUCT((MOVIMIENTOS!$B$5:$B$1005="TRASIEGO")*(MOVIMIENTOS!$C$5:$C$1005="P")*(MOVIMIENTOS!$D$5:$D$1005="jabas")*(MOVIMIENTOS!$A$5:$A$1005&lt;&gt;"")*(MOVIMIENTOS!$A$5:$A$1005&lt;=$A790)*MOVIMIENTOS!$E$5:$E$1005)-SUMPRODUCT((MOVIMIENTOS!$B$5:$B$1005="REGALO")*(MOVIMIENTOS!$C$5:$C$1005="P")*(MOVIMIENTOS!$D$5:$D$1005="jabas")*(MOVIMIENTOS!$A$5:$A$1005&lt;&gt;"")*(MOVIMIENTOS!$A$5:$A$1005&lt;=$A790)*MOVIMIENTOS!$E$5:$E$1005)-SUMPRODUCT((MOVIMIENTOS!$B$5:$B$1005="VENTA")*(MOVIMIENTOS!$C$5:$C$1005="P")*(MOVIMIENTOS!$D$5:$D$1005="jabas")*(MOVIMIENTOS!$A$5:$A$1005&lt;&gt;"")*(MOVIMIENTOS!$A$5:$A$1005&lt;=$A790)*MOVIMIENTOS!$E$5:$E$1005)+SUMPRODUCT((MOVIMIENTOS!$B$5:$B$1005="AJUSTE")*(MOVIMIENTOS!$C$5:$C$1005="P")*(MOVIMIENTOS!$D$5:$D$1005="jabas")*(MOVIMIENTOS!$A$5:$A$1005&lt;&gt;"")*(MOVIMIENTOS!$A$5:$A$1005&lt;=$A790)*MOVIMIENTOS!$E$5:$E$1005))</f>
        <v/>
      </c>
      <c r="D790" t="str">
        <f>IF($A790="","",SUMPRODUCT((MOVIMIENTOS!$B$5:$B$1005="SALDO INICIAL")*(MOVIMIENTOS!$C$5:$C$1005="C")*(MOVIMIENTOS!$D$5:$D$1005="jabas")*(MOVIMIENTOS!$A$5:$A$1005&lt;&gt;"")*(MOVIMIENTOS!$A$5:$A$1005&lt;=$A790)*MOVIMIENTOS!$E$5:$E$1005)+SUMPRODUCT((MOVIMIENTOS!$B$5:$B$1005="PROCESO")*(MOVIMIENTOS!$C$5:$C$1005="C")*(MOVIMIENTOS!$D$5:$D$1005="jabas")*(MOVIMIENTOS!$A$5:$A$1005&lt;&gt;"")*(MOVIMIENTOS!$A$5:$A$1005&lt;=$A790)*MOVIMIENTOS!$E$5:$E$1005)-SUMPRODUCT((MOVIMIENTOS!$B$5:$B$1005="ENVÍO A SUPESA")*(MOVIMIENTOS!$C$5:$C$1005="C")*(MOVIMIENTOS!$D$5:$D$1005="jabas")*(MOVIMIENTOS!$A$5:$A$1005&lt;&gt;"")*(MOVIMIENTOS!$A$5:$A$1005&lt;=$A790)*MOVIMIENTOS!$E$5:$E$1005)+SUMPRODUCT((MOVIMIENTOS!$B$5:$B$1005="DEVOLUCIÓN")*(MOVIMIENTOS!$C$5:$C$1005="C")*(MOVIMIENTOS!$D$5:$D$1005="jabas")*(MOVIMIENTOS!$A$5:$A$1005&lt;&gt;"")*(MOVIMIENTOS!$A$5:$A$1005&lt;=$A790)*MOVIMIENTOS!$E$5:$E$1005)-SUMPRODUCT((MOVIMIENTOS!$B$5:$B$1005="TRASIEGO")*(MOVIMIENTOS!$C$5:$C$1005="C")*(MOVIMIENTOS!$D$5:$D$1005="jabas")*(MOVIMIENTOS!$A$5:$A$1005&lt;&gt;"")*(MOVIMIENTOS!$A$5:$A$1005&lt;=$A790)*MOVIMIENTOS!$E$5:$E$1005)-SUMPRODUCT((MOVIMIENTOS!$B$5:$B$1005="REGALO")*(MOVIMIENTOS!$C$5:$C$1005="C")*(MOVIMIENTOS!$D$5:$D$1005="jabas")*(MOVIMIENTOS!$A$5:$A$1005&lt;&gt;"")*(MOVIMIENTOS!$A$5:$A$1005&lt;=$A790)*MOVIMIENTOS!$E$5:$E$1005)-SUMPRODUCT((MOVIMIENTOS!$B$5:$B$1005="VENTA")*(MOVIMIENTOS!$C$5:$C$1005="C")*(MOVIMIENTOS!$D$5:$D$1005="jabas")*(MOVIMIENTOS!$A$5:$A$1005&lt;&gt;"")*(MOVIMIENTOS!$A$5:$A$1005&lt;=$A790)*MOVIMIENTOS!$E$5:$E$1005)+SUMPRODUCT((MOVIMIENTOS!$B$5:$B$1005="AJUSTE")*(MOVIMIENTOS!$C$5:$C$1005="C")*(MOVIMIENTOS!$D$5:$D$1005="jabas")*(MOVIMIENTOS!$A$5:$A$1005&lt;&gt;"")*(MOVIMIENTOS!$A$5:$A$1005&lt;=$A790)*MOVIMIENTOS!$E$5:$E$1005))</f>
        <v/>
      </c>
      <c r="E790" t="str">
        <f>IF($A790="","",SUMPRODUCT((MOVIMIENTOS!$B$5:$B$1005="SALDO INICIAL")*(MOVIMIENTOS!$C$5:$C$1005="M")*(MOVIMIENTOS!$D$5:$D$1005="jabas")*(MOVIMIENTOS!$A$5:$A$1005&lt;&gt;"")*(MOVIMIENTOS!$A$5:$A$1005&lt;=$A790)*MOVIMIENTOS!$E$5:$E$1005)+SUMPRODUCT((MOVIMIENTOS!$B$5:$B$1005="PROCESO")*(MOVIMIENTOS!$C$5:$C$1005="M")*(MOVIMIENTOS!$D$5:$D$1005="jabas")*(MOVIMIENTOS!$A$5:$A$1005&lt;&gt;"")*(MOVIMIENTOS!$A$5:$A$1005&lt;=$A790)*MOVIMIENTOS!$E$5:$E$1005)-SUMPRODUCT((MOVIMIENTOS!$B$5:$B$1005="ENVÍO A SUPESA")*(MOVIMIENTOS!$C$5:$C$1005="M")*(MOVIMIENTOS!$D$5:$D$1005="jabas")*(MOVIMIENTOS!$A$5:$A$1005&lt;&gt;"")*(MOVIMIENTOS!$A$5:$A$1005&lt;=$A790)*MOVIMIENTOS!$E$5:$E$1005)+SUMPRODUCT((MOVIMIENTOS!$B$5:$B$1005="DEVOLUCIÓN")*(MOVIMIENTOS!$C$5:$C$1005="M")*(MOVIMIENTOS!$D$5:$D$1005="jabas")*(MOVIMIENTOS!$A$5:$A$1005&lt;&gt;"")*(MOVIMIENTOS!$A$5:$A$1005&lt;=$A790)*MOVIMIENTOS!$E$5:$E$1005)-SUMPRODUCT((MOVIMIENTOS!$B$5:$B$1005="TRASIEGO")*(MOVIMIENTOS!$C$5:$C$1005="M")*(MOVIMIENTOS!$D$5:$D$1005="jabas")*(MOVIMIENTOS!$A$5:$A$1005&lt;&gt;"")*(MOVIMIENTOS!$A$5:$A$1005&lt;=$A790)*MOVIMIENTOS!$E$5:$E$1005)-SUMPRODUCT((MOVIMIENTOS!$B$5:$B$1005="REGALO")*(MOVIMIENTOS!$C$5:$C$1005="M")*(MOVIMIENTOS!$D$5:$D$1005="jabas")*(MOVIMIENTOS!$A$5:$A$1005&lt;&gt;"")*(MOVIMIENTOS!$A$5:$A$1005&lt;=$A790)*MOVIMIENTOS!$E$5:$E$1005)-SUMPRODUCT((MOVIMIENTOS!$B$5:$B$1005="VENTA")*(MOVIMIENTOS!$C$5:$C$1005="M")*(MOVIMIENTOS!$D$5:$D$1005="jabas")*(MOVIMIENTOS!$A$5:$A$1005&lt;&gt;"")*(MOVIMIENTOS!$A$5:$A$1005&lt;=$A790)*MOVIMIENTOS!$E$5:$E$1005)+SUMPRODUCT((MOVIMIENTOS!$B$5:$B$1005="AJUSTE")*(MOVIMIENTOS!$C$5:$C$1005="M")*(MOVIMIENTOS!$D$5:$D$1005="jabas")*(MOVIMIENTOS!$A$5:$A$1005&lt;&gt;"")*(MOVIMIENTOS!$A$5:$A$1005&lt;=$A790)*MOVIMIENTOS!$E$5:$E$1005))</f>
        <v/>
      </c>
      <c r="F790" s="62" t="str">
        <f>IF($A790="","",SUMPRODUCT((MOVIMIENTOS!$B$5:$B$1005="SALDO INICIAL")*(MOVIMIENTOS!$C$5:$C$1005="Chancho")*(MOVIMIENTOS!$D$5:$D$1005="sacos")*(MOVIMIENTOS!$A$5:$A$1005&lt;&gt;"")*(MOVIMIENTOS!$A$5:$A$1005&lt;=$A790)*MOVIMIENTOS!$E$5:$E$1005)+SUMPRODUCT((MOVIMIENTOS!$B$5:$B$1005="PROCESO")*(MOVIMIENTOS!$C$5:$C$1005="Chancho")*(MOVIMIENTOS!$D$5:$D$1005="sacos")*(MOVIMIENTOS!$A$5:$A$1005&lt;&gt;"")*(MOVIMIENTOS!$A$5:$A$1005&lt;=$A790)*MOVIMIENTOS!$E$5:$E$1005)-SUMPRODUCT((MOVIMIENTOS!$B$5:$B$1005="VENTA CHANCHO")*(MOVIMIENTOS!$C$5:$C$1005="Chancho")*(MOVIMIENTOS!$D$5:$D$1005="sacos")*(MOVIMIENTOS!$A$5:$A$1005&lt;&gt;"")*(MOVIMIENTOS!$A$5:$A$1005&lt;=$A790)*MOVIMIENTOS!$E$5:$E$1005)-SUMPRODUCT((MOVIMIENTOS!$B$5:$B$1005="REGALO")*(MOVIMIENTOS!$C$5:$C$1005="Chancho")*(MOVIMIENTOS!$D$5:$D$1005="sacos")*(MOVIMIENTOS!$A$5:$A$1005&lt;&gt;"")*(MOVIMIENTOS!$A$5:$A$1005&lt;=$A790)*MOVIMIENTOS!$E$5:$E$1005)-SUMPRODUCT((MOVIMIENTOS!$B$5:$B$1005="VENTA")*(MOVIMIENTOS!$C$5:$C$1005="Chancho")*(MOVIMIENTOS!$D$5:$D$1005="sacos")*(MOVIMIENTOS!$A$5:$A$1005&lt;&gt;"")*(MOVIMIENTOS!$A$5:$A$1005&lt;=$A790)*MOVIMIENTOS!$E$5:$E$1005)+SUMPRODUCT((MOVIMIENTOS!$B$5:$B$1005="AJUSTE")*(MOVIMIENTOS!$C$5:$C$1005="Chancho")*(MOVIMIENTOS!$D$5:$D$1005="sacos")*(MOVIMIENTOS!$A$5:$A$1005&lt;&gt;"")*(MOVIMIENTOS!$A$5:$A$1005&lt;=$A790)*MOVIMIENTOS!$E$5:$E$1005))</f>
        <v/>
      </c>
      <c r="G790" s="62" t="str">
        <f t="shared" si="25"/>
        <v/>
      </c>
      <c r="H790" t="str">
        <f>IF($A790="","",SUMPRODUCT((((MOVIMIENTOS!$B$5:$B$1005="SALDO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790)*MOVIMIENTOS!$J$5:$J$1005))</f>
        <v/>
      </c>
      <c r="J790" t="str">
        <f>IF(AND(MOVIMIENTOS!$A795&lt;&gt;"",COUNTIF(MOVIMIENTOS!$A$5:$A794,MOVIMIENTOS!$A795)=0),COUNT(J$4:J789)+1,"")</f>
        <v/>
      </c>
      <c r="K790">
        <f>MOVIMIENTOS!$A795</f>
        <v>0</v>
      </c>
    </row>
    <row r="791" spans="1:11" ht="15" customHeight="1" x14ac:dyDescent="0.2">
      <c r="A791" t="str">
        <f t="shared" si="24"/>
        <v/>
      </c>
      <c r="B791" t="str">
        <f>IF($A791="","",SUMPRODUCT((MOVIMIENTOS!$B$5:$B$1005="SALDO INICIAL")*(MOVIMIENTOS!$C$5:$C$1005="A")*(MOVIMIENTOS!$D$5:$D$1005="jabas")*(MOVIMIENTOS!$A$5:$A$1005&lt;&gt;"")*(MOVIMIENTOS!$A$5:$A$1005&lt;=$A791)*MOVIMIENTOS!$E$5:$E$1005)+SUMPRODUCT((MOVIMIENTOS!$B$5:$B$1005="PROCESO")*(MOVIMIENTOS!$C$5:$C$1005="A")*(MOVIMIENTOS!$D$5:$D$1005="jabas")*(MOVIMIENTOS!$A$5:$A$1005&lt;&gt;"")*(MOVIMIENTOS!$A$5:$A$1005&lt;=$A791)*MOVIMIENTOS!$E$5:$E$1005)-SUMPRODUCT((MOVIMIENTOS!$B$5:$B$1005="ENVÍO A SUPESA")*(MOVIMIENTOS!$C$5:$C$1005="A")*(MOVIMIENTOS!$D$5:$D$1005="jabas")*(MOVIMIENTOS!$A$5:$A$1005&lt;&gt;"")*(MOVIMIENTOS!$A$5:$A$1005&lt;=$A791)*MOVIMIENTOS!$E$5:$E$1005)+SUMPRODUCT((MOVIMIENTOS!$B$5:$B$1005="DEVOLUCIÓN")*(MOVIMIENTOS!$C$5:$C$1005="A")*(MOVIMIENTOS!$D$5:$D$1005="jabas")*(MOVIMIENTOS!$A$5:$A$1005&lt;&gt;"")*(MOVIMIENTOS!$A$5:$A$1005&lt;=$A791)*MOVIMIENTOS!$E$5:$E$1005)-SUMPRODUCT((MOVIMIENTOS!$B$5:$B$1005="TRASIEGO")*(MOVIMIENTOS!$C$5:$C$1005="A")*(MOVIMIENTOS!$D$5:$D$1005="jabas")*(MOVIMIENTOS!$A$5:$A$1005&lt;&gt;"")*(MOVIMIENTOS!$A$5:$A$1005&lt;=$A791)*MOVIMIENTOS!$E$5:$E$1005)-SUMPRODUCT((MOVIMIENTOS!$B$5:$B$1005="REGALO")*(MOVIMIENTOS!$C$5:$C$1005="A")*(MOVIMIENTOS!$D$5:$D$1005="jabas")*(MOVIMIENTOS!$A$5:$A$1005&lt;&gt;"")*(MOVIMIENTOS!$A$5:$A$1005&lt;=$A791)*MOVIMIENTOS!$E$5:$E$1005)-SUMPRODUCT((MOVIMIENTOS!$B$5:$B$1005="VENTA")*(MOVIMIENTOS!$C$5:$C$1005="A")*(MOVIMIENTOS!$D$5:$D$1005="jabas")*(MOVIMIENTOS!$A$5:$A$1005&lt;&gt;"")*(MOVIMIENTOS!$A$5:$A$1005&lt;=$A791)*MOVIMIENTOS!$E$5:$E$1005)+SUMPRODUCT((MOVIMIENTOS!$B$5:$B$1005="AJUSTE")*(MOVIMIENTOS!$C$5:$C$1005="A")*(MOVIMIENTOS!$D$5:$D$1005="jabas")*(MOVIMIENTOS!$A$5:$A$1005&lt;&gt;"")*(MOVIMIENTOS!$A$5:$A$1005&lt;=$A791)*MOVIMIENTOS!$E$5:$E$1005))</f>
        <v/>
      </c>
      <c r="C791" t="str">
        <f>IF($A791="","",SUMPRODUCT((MOVIMIENTOS!$B$5:$B$1005="SALDO INICIAL")*(MOVIMIENTOS!$C$5:$C$1005="P")*(MOVIMIENTOS!$D$5:$D$1005="jabas")*(MOVIMIENTOS!$A$5:$A$1005&lt;&gt;"")*(MOVIMIENTOS!$A$5:$A$1005&lt;=$A791)*MOVIMIENTOS!$E$5:$E$1005)+SUMPRODUCT((MOVIMIENTOS!$B$5:$B$1005="PROCESO")*(MOVIMIENTOS!$C$5:$C$1005="P")*(MOVIMIENTOS!$D$5:$D$1005="jabas")*(MOVIMIENTOS!$A$5:$A$1005&lt;&gt;"")*(MOVIMIENTOS!$A$5:$A$1005&lt;=$A791)*MOVIMIENTOS!$E$5:$E$1005)-SUMPRODUCT((MOVIMIENTOS!$B$5:$B$1005="ENVÍO A SUPESA")*(MOVIMIENTOS!$C$5:$C$1005="P")*(MOVIMIENTOS!$D$5:$D$1005="jabas")*(MOVIMIENTOS!$A$5:$A$1005&lt;&gt;"")*(MOVIMIENTOS!$A$5:$A$1005&lt;=$A791)*MOVIMIENTOS!$E$5:$E$1005)+SUMPRODUCT((MOVIMIENTOS!$B$5:$B$1005="DEVOLUCIÓN")*(MOVIMIENTOS!$C$5:$C$1005="P")*(MOVIMIENTOS!$D$5:$D$1005="jabas")*(MOVIMIENTOS!$A$5:$A$1005&lt;&gt;"")*(MOVIMIENTOS!$A$5:$A$1005&lt;=$A791)*MOVIMIENTOS!$E$5:$E$1005)-SUMPRODUCT((MOVIMIENTOS!$B$5:$B$1005="TRASIEGO")*(MOVIMIENTOS!$C$5:$C$1005="P")*(MOVIMIENTOS!$D$5:$D$1005="jabas")*(MOVIMIENTOS!$A$5:$A$1005&lt;&gt;"")*(MOVIMIENTOS!$A$5:$A$1005&lt;=$A791)*MOVIMIENTOS!$E$5:$E$1005)-SUMPRODUCT((MOVIMIENTOS!$B$5:$B$1005="REGALO")*(MOVIMIENTOS!$C$5:$C$1005="P")*(MOVIMIENTOS!$D$5:$D$1005="jabas")*(MOVIMIENTOS!$A$5:$A$1005&lt;&gt;"")*(MOVIMIENTOS!$A$5:$A$1005&lt;=$A791)*MOVIMIENTOS!$E$5:$E$1005)-SUMPRODUCT((MOVIMIENTOS!$B$5:$B$1005="VENTA")*(MOVIMIENTOS!$C$5:$C$1005="P")*(MOVIMIENTOS!$D$5:$D$1005="jabas")*(MOVIMIENTOS!$A$5:$A$1005&lt;&gt;"")*(MOVIMIENTOS!$A$5:$A$1005&lt;=$A791)*MOVIMIENTOS!$E$5:$E$1005)+SUMPRODUCT((MOVIMIENTOS!$B$5:$B$1005="AJUSTE")*(MOVIMIENTOS!$C$5:$C$1005="P")*(MOVIMIENTOS!$D$5:$D$1005="jabas")*(MOVIMIENTOS!$A$5:$A$1005&lt;&gt;"")*(MOVIMIENTOS!$A$5:$A$1005&lt;=$A791)*MOVIMIENTOS!$E$5:$E$1005))</f>
        <v/>
      </c>
      <c r="D791" t="str">
        <f>IF($A791="","",SUMPRODUCT((MOVIMIENTOS!$B$5:$B$1005="SALDO INICIAL")*(MOVIMIENTOS!$C$5:$C$1005="C")*(MOVIMIENTOS!$D$5:$D$1005="jabas")*(MOVIMIENTOS!$A$5:$A$1005&lt;&gt;"")*(MOVIMIENTOS!$A$5:$A$1005&lt;=$A791)*MOVIMIENTOS!$E$5:$E$1005)+SUMPRODUCT((MOVIMIENTOS!$B$5:$B$1005="PROCESO")*(MOVIMIENTOS!$C$5:$C$1005="C")*(MOVIMIENTOS!$D$5:$D$1005="jabas")*(MOVIMIENTOS!$A$5:$A$1005&lt;&gt;"")*(MOVIMIENTOS!$A$5:$A$1005&lt;=$A791)*MOVIMIENTOS!$E$5:$E$1005)-SUMPRODUCT((MOVIMIENTOS!$B$5:$B$1005="ENVÍO A SUPESA")*(MOVIMIENTOS!$C$5:$C$1005="C")*(MOVIMIENTOS!$D$5:$D$1005="jabas")*(MOVIMIENTOS!$A$5:$A$1005&lt;&gt;"")*(MOVIMIENTOS!$A$5:$A$1005&lt;=$A791)*MOVIMIENTOS!$E$5:$E$1005)+SUMPRODUCT((MOVIMIENTOS!$B$5:$B$1005="DEVOLUCIÓN")*(MOVIMIENTOS!$C$5:$C$1005="C")*(MOVIMIENTOS!$D$5:$D$1005="jabas")*(MOVIMIENTOS!$A$5:$A$1005&lt;&gt;"")*(MOVIMIENTOS!$A$5:$A$1005&lt;=$A791)*MOVIMIENTOS!$E$5:$E$1005)-SUMPRODUCT((MOVIMIENTOS!$B$5:$B$1005="TRASIEGO")*(MOVIMIENTOS!$C$5:$C$1005="C")*(MOVIMIENTOS!$D$5:$D$1005="jabas")*(MOVIMIENTOS!$A$5:$A$1005&lt;&gt;"")*(MOVIMIENTOS!$A$5:$A$1005&lt;=$A791)*MOVIMIENTOS!$E$5:$E$1005)-SUMPRODUCT((MOVIMIENTOS!$B$5:$B$1005="REGALO")*(MOVIMIENTOS!$C$5:$C$1005="C")*(MOVIMIENTOS!$D$5:$D$1005="jabas")*(MOVIMIENTOS!$A$5:$A$1005&lt;&gt;"")*(MOVIMIENTOS!$A$5:$A$1005&lt;=$A791)*MOVIMIENTOS!$E$5:$E$1005)-SUMPRODUCT((MOVIMIENTOS!$B$5:$B$1005="VENTA")*(MOVIMIENTOS!$C$5:$C$1005="C")*(MOVIMIENTOS!$D$5:$D$1005="jabas")*(MOVIMIENTOS!$A$5:$A$1005&lt;&gt;"")*(MOVIMIENTOS!$A$5:$A$1005&lt;=$A791)*MOVIMIENTOS!$E$5:$E$1005)+SUMPRODUCT((MOVIMIENTOS!$B$5:$B$1005="AJUSTE")*(MOVIMIENTOS!$C$5:$C$1005="C")*(MOVIMIENTOS!$D$5:$D$1005="jabas")*(MOVIMIENTOS!$A$5:$A$1005&lt;&gt;"")*(MOVIMIENTOS!$A$5:$A$1005&lt;=$A791)*MOVIMIENTOS!$E$5:$E$1005))</f>
        <v/>
      </c>
      <c r="E791" t="str">
        <f>IF($A791="","",SUMPRODUCT((MOVIMIENTOS!$B$5:$B$1005="SALDO INICIAL")*(MOVIMIENTOS!$C$5:$C$1005="M")*(MOVIMIENTOS!$D$5:$D$1005="jabas")*(MOVIMIENTOS!$A$5:$A$1005&lt;&gt;"")*(MOVIMIENTOS!$A$5:$A$1005&lt;=$A791)*MOVIMIENTOS!$E$5:$E$1005)+SUMPRODUCT((MOVIMIENTOS!$B$5:$B$1005="PROCESO")*(MOVIMIENTOS!$C$5:$C$1005="M")*(MOVIMIENTOS!$D$5:$D$1005="jabas")*(MOVIMIENTOS!$A$5:$A$1005&lt;&gt;"")*(MOVIMIENTOS!$A$5:$A$1005&lt;=$A791)*MOVIMIENTOS!$E$5:$E$1005)-SUMPRODUCT((MOVIMIENTOS!$B$5:$B$1005="ENVÍO A SUPESA")*(MOVIMIENTOS!$C$5:$C$1005="M")*(MOVIMIENTOS!$D$5:$D$1005="jabas")*(MOVIMIENTOS!$A$5:$A$1005&lt;&gt;"")*(MOVIMIENTOS!$A$5:$A$1005&lt;=$A791)*MOVIMIENTOS!$E$5:$E$1005)+SUMPRODUCT((MOVIMIENTOS!$B$5:$B$1005="DEVOLUCIÓN")*(MOVIMIENTOS!$C$5:$C$1005="M")*(MOVIMIENTOS!$D$5:$D$1005="jabas")*(MOVIMIENTOS!$A$5:$A$1005&lt;&gt;"")*(MOVIMIENTOS!$A$5:$A$1005&lt;=$A791)*MOVIMIENTOS!$E$5:$E$1005)-SUMPRODUCT((MOVIMIENTOS!$B$5:$B$1005="TRASIEGO")*(MOVIMIENTOS!$C$5:$C$1005="M")*(MOVIMIENTOS!$D$5:$D$1005="jabas")*(MOVIMIENTOS!$A$5:$A$1005&lt;&gt;"")*(MOVIMIENTOS!$A$5:$A$1005&lt;=$A791)*MOVIMIENTOS!$E$5:$E$1005)-SUMPRODUCT((MOVIMIENTOS!$B$5:$B$1005="REGALO")*(MOVIMIENTOS!$C$5:$C$1005="M")*(MOVIMIENTOS!$D$5:$D$1005="jabas")*(MOVIMIENTOS!$A$5:$A$1005&lt;&gt;"")*(MOVIMIENTOS!$A$5:$A$1005&lt;=$A791)*MOVIMIENTOS!$E$5:$E$1005)-SUMPRODUCT((MOVIMIENTOS!$B$5:$B$1005="VENTA")*(MOVIMIENTOS!$C$5:$C$1005="M")*(MOVIMIENTOS!$D$5:$D$1005="jabas")*(MOVIMIENTOS!$A$5:$A$1005&lt;&gt;"")*(MOVIMIENTOS!$A$5:$A$1005&lt;=$A791)*MOVIMIENTOS!$E$5:$E$1005)+SUMPRODUCT((MOVIMIENTOS!$B$5:$B$1005="AJUSTE")*(MOVIMIENTOS!$C$5:$C$1005="M")*(MOVIMIENTOS!$D$5:$D$1005="jabas")*(MOVIMIENTOS!$A$5:$A$1005&lt;&gt;"")*(MOVIMIENTOS!$A$5:$A$1005&lt;=$A791)*MOVIMIENTOS!$E$5:$E$1005))</f>
        <v/>
      </c>
      <c r="F791" s="62" t="str">
        <f>IF($A791="","",SUMPRODUCT((MOVIMIENTOS!$B$5:$B$1005="SALDO INICIAL")*(MOVIMIENTOS!$C$5:$C$1005="Chancho")*(MOVIMIENTOS!$D$5:$D$1005="sacos")*(MOVIMIENTOS!$A$5:$A$1005&lt;&gt;"")*(MOVIMIENTOS!$A$5:$A$1005&lt;=$A791)*MOVIMIENTOS!$E$5:$E$1005)+SUMPRODUCT((MOVIMIENTOS!$B$5:$B$1005="PROCESO")*(MOVIMIENTOS!$C$5:$C$1005="Chancho")*(MOVIMIENTOS!$D$5:$D$1005="sacos")*(MOVIMIENTOS!$A$5:$A$1005&lt;&gt;"")*(MOVIMIENTOS!$A$5:$A$1005&lt;=$A791)*MOVIMIENTOS!$E$5:$E$1005)-SUMPRODUCT((MOVIMIENTOS!$B$5:$B$1005="VENTA CHANCHO")*(MOVIMIENTOS!$C$5:$C$1005="Chancho")*(MOVIMIENTOS!$D$5:$D$1005="sacos")*(MOVIMIENTOS!$A$5:$A$1005&lt;&gt;"")*(MOVIMIENTOS!$A$5:$A$1005&lt;=$A791)*MOVIMIENTOS!$E$5:$E$1005)-SUMPRODUCT((MOVIMIENTOS!$B$5:$B$1005="REGALO")*(MOVIMIENTOS!$C$5:$C$1005="Chancho")*(MOVIMIENTOS!$D$5:$D$1005="sacos")*(MOVIMIENTOS!$A$5:$A$1005&lt;&gt;"")*(MOVIMIENTOS!$A$5:$A$1005&lt;=$A791)*MOVIMIENTOS!$E$5:$E$1005)-SUMPRODUCT((MOVIMIENTOS!$B$5:$B$1005="VENTA")*(MOVIMIENTOS!$C$5:$C$1005="Chancho")*(MOVIMIENTOS!$D$5:$D$1005="sacos")*(MOVIMIENTOS!$A$5:$A$1005&lt;&gt;"")*(MOVIMIENTOS!$A$5:$A$1005&lt;=$A791)*MOVIMIENTOS!$E$5:$E$1005)+SUMPRODUCT((MOVIMIENTOS!$B$5:$B$1005="AJUSTE")*(MOVIMIENTOS!$C$5:$C$1005="Chancho")*(MOVIMIENTOS!$D$5:$D$1005="sacos")*(MOVIMIENTOS!$A$5:$A$1005&lt;&gt;"")*(MOVIMIENTOS!$A$5:$A$1005&lt;=$A791)*MOVIMIENTOS!$E$5:$E$1005))</f>
        <v/>
      </c>
      <c r="G791" s="62" t="str">
        <f t="shared" si="25"/>
        <v/>
      </c>
      <c r="H791" t="str">
        <f>IF($A791="","",SUMPRODUCT((((MOVIMIENTOS!$B$5:$B$1005="SALDO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791)*MOVIMIENTOS!$J$5:$J$1005))</f>
        <v/>
      </c>
      <c r="J791" t="str">
        <f>IF(AND(MOVIMIENTOS!$A796&lt;&gt;"",COUNTIF(MOVIMIENTOS!$A$5:$A795,MOVIMIENTOS!$A796)=0),COUNT(J$4:J790)+1,"")</f>
        <v/>
      </c>
      <c r="K791">
        <f>MOVIMIENTOS!$A796</f>
        <v>0</v>
      </c>
    </row>
    <row r="792" spans="1:11" ht="15" customHeight="1" x14ac:dyDescent="0.2">
      <c r="A792" t="str">
        <f t="shared" si="24"/>
        <v/>
      </c>
      <c r="B792" t="str">
        <f>IF($A792="","",SUMPRODUCT((MOVIMIENTOS!$B$5:$B$1005="SALDO INICIAL")*(MOVIMIENTOS!$C$5:$C$1005="A")*(MOVIMIENTOS!$D$5:$D$1005="jabas")*(MOVIMIENTOS!$A$5:$A$1005&lt;&gt;"")*(MOVIMIENTOS!$A$5:$A$1005&lt;=$A792)*MOVIMIENTOS!$E$5:$E$1005)+SUMPRODUCT((MOVIMIENTOS!$B$5:$B$1005="PROCESO")*(MOVIMIENTOS!$C$5:$C$1005="A")*(MOVIMIENTOS!$D$5:$D$1005="jabas")*(MOVIMIENTOS!$A$5:$A$1005&lt;&gt;"")*(MOVIMIENTOS!$A$5:$A$1005&lt;=$A792)*MOVIMIENTOS!$E$5:$E$1005)-SUMPRODUCT((MOVIMIENTOS!$B$5:$B$1005="ENVÍO A SUPESA")*(MOVIMIENTOS!$C$5:$C$1005="A")*(MOVIMIENTOS!$D$5:$D$1005="jabas")*(MOVIMIENTOS!$A$5:$A$1005&lt;&gt;"")*(MOVIMIENTOS!$A$5:$A$1005&lt;=$A792)*MOVIMIENTOS!$E$5:$E$1005)+SUMPRODUCT((MOVIMIENTOS!$B$5:$B$1005="DEVOLUCIÓN")*(MOVIMIENTOS!$C$5:$C$1005="A")*(MOVIMIENTOS!$D$5:$D$1005="jabas")*(MOVIMIENTOS!$A$5:$A$1005&lt;&gt;"")*(MOVIMIENTOS!$A$5:$A$1005&lt;=$A792)*MOVIMIENTOS!$E$5:$E$1005)-SUMPRODUCT((MOVIMIENTOS!$B$5:$B$1005="TRASIEGO")*(MOVIMIENTOS!$C$5:$C$1005="A")*(MOVIMIENTOS!$D$5:$D$1005="jabas")*(MOVIMIENTOS!$A$5:$A$1005&lt;&gt;"")*(MOVIMIENTOS!$A$5:$A$1005&lt;=$A792)*MOVIMIENTOS!$E$5:$E$1005)-SUMPRODUCT((MOVIMIENTOS!$B$5:$B$1005="REGALO")*(MOVIMIENTOS!$C$5:$C$1005="A")*(MOVIMIENTOS!$D$5:$D$1005="jabas")*(MOVIMIENTOS!$A$5:$A$1005&lt;&gt;"")*(MOVIMIENTOS!$A$5:$A$1005&lt;=$A792)*MOVIMIENTOS!$E$5:$E$1005)-SUMPRODUCT((MOVIMIENTOS!$B$5:$B$1005="VENTA")*(MOVIMIENTOS!$C$5:$C$1005="A")*(MOVIMIENTOS!$D$5:$D$1005="jabas")*(MOVIMIENTOS!$A$5:$A$1005&lt;&gt;"")*(MOVIMIENTOS!$A$5:$A$1005&lt;=$A792)*MOVIMIENTOS!$E$5:$E$1005)+SUMPRODUCT((MOVIMIENTOS!$B$5:$B$1005="AJUSTE")*(MOVIMIENTOS!$C$5:$C$1005="A")*(MOVIMIENTOS!$D$5:$D$1005="jabas")*(MOVIMIENTOS!$A$5:$A$1005&lt;&gt;"")*(MOVIMIENTOS!$A$5:$A$1005&lt;=$A792)*MOVIMIENTOS!$E$5:$E$1005))</f>
        <v/>
      </c>
      <c r="C792" t="str">
        <f>IF($A792="","",SUMPRODUCT((MOVIMIENTOS!$B$5:$B$1005="SALDO INICIAL")*(MOVIMIENTOS!$C$5:$C$1005="P")*(MOVIMIENTOS!$D$5:$D$1005="jabas")*(MOVIMIENTOS!$A$5:$A$1005&lt;&gt;"")*(MOVIMIENTOS!$A$5:$A$1005&lt;=$A792)*MOVIMIENTOS!$E$5:$E$1005)+SUMPRODUCT((MOVIMIENTOS!$B$5:$B$1005="PROCESO")*(MOVIMIENTOS!$C$5:$C$1005="P")*(MOVIMIENTOS!$D$5:$D$1005="jabas")*(MOVIMIENTOS!$A$5:$A$1005&lt;&gt;"")*(MOVIMIENTOS!$A$5:$A$1005&lt;=$A792)*MOVIMIENTOS!$E$5:$E$1005)-SUMPRODUCT((MOVIMIENTOS!$B$5:$B$1005="ENVÍO A SUPESA")*(MOVIMIENTOS!$C$5:$C$1005="P")*(MOVIMIENTOS!$D$5:$D$1005="jabas")*(MOVIMIENTOS!$A$5:$A$1005&lt;&gt;"")*(MOVIMIENTOS!$A$5:$A$1005&lt;=$A792)*MOVIMIENTOS!$E$5:$E$1005)+SUMPRODUCT((MOVIMIENTOS!$B$5:$B$1005="DEVOLUCIÓN")*(MOVIMIENTOS!$C$5:$C$1005="P")*(MOVIMIENTOS!$D$5:$D$1005="jabas")*(MOVIMIENTOS!$A$5:$A$1005&lt;&gt;"")*(MOVIMIENTOS!$A$5:$A$1005&lt;=$A792)*MOVIMIENTOS!$E$5:$E$1005)-SUMPRODUCT((MOVIMIENTOS!$B$5:$B$1005="TRASIEGO")*(MOVIMIENTOS!$C$5:$C$1005="P")*(MOVIMIENTOS!$D$5:$D$1005="jabas")*(MOVIMIENTOS!$A$5:$A$1005&lt;&gt;"")*(MOVIMIENTOS!$A$5:$A$1005&lt;=$A792)*MOVIMIENTOS!$E$5:$E$1005)-SUMPRODUCT((MOVIMIENTOS!$B$5:$B$1005="REGALO")*(MOVIMIENTOS!$C$5:$C$1005="P")*(MOVIMIENTOS!$D$5:$D$1005="jabas")*(MOVIMIENTOS!$A$5:$A$1005&lt;&gt;"")*(MOVIMIENTOS!$A$5:$A$1005&lt;=$A792)*MOVIMIENTOS!$E$5:$E$1005)-SUMPRODUCT((MOVIMIENTOS!$B$5:$B$1005="VENTA")*(MOVIMIENTOS!$C$5:$C$1005="P")*(MOVIMIENTOS!$D$5:$D$1005="jabas")*(MOVIMIENTOS!$A$5:$A$1005&lt;&gt;"")*(MOVIMIENTOS!$A$5:$A$1005&lt;=$A792)*MOVIMIENTOS!$E$5:$E$1005)+SUMPRODUCT((MOVIMIENTOS!$B$5:$B$1005="AJUSTE")*(MOVIMIENTOS!$C$5:$C$1005="P")*(MOVIMIENTOS!$D$5:$D$1005="jabas")*(MOVIMIENTOS!$A$5:$A$1005&lt;&gt;"")*(MOVIMIENTOS!$A$5:$A$1005&lt;=$A792)*MOVIMIENTOS!$E$5:$E$1005))</f>
        <v/>
      </c>
      <c r="D792" t="str">
        <f>IF($A792="","",SUMPRODUCT((MOVIMIENTOS!$B$5:$B$1005="SALDO INICIAL")*(MOVIMIENTOS!$C$5:$C$1005="C")*(MOVIMIENTOS!$D$5:$D$1005="jabas")*(MOVIMIENTOS!$A$5:$A$1005&lt;&gt;"")*(MOVIMIENTOS!$A$5:$A$1005&lt;=$A792)*MOVIMIENTOS!$E$5:$E$1005)+SUMPRODUCT((MOVIMIENTOS!$B$5:$B$1005="PROCESO")*(MOVIMIENTOS!$C$5:$C$1005="C")*(MOVIMIENTOS!$D$5:$D$1005="jabas")*(MOVIMIENTOS!$A$5:$A$1005&lt;&gt;"")*(MOVIMIENTOS!$A$5:$A$1005&lt;=$A792)*MOVIMIENTOS!$E$5:$E$1005)-SUMPRODUCT((MOVIMIENTOS!$B$5:$B$1005="ENVÍO A SUPESA")*(MOVIMIENTOS!$C$5:$C$1005="C")*(MOVIMIENTOS!$D$5:$D$1005="jabas")*(MOVIMIENTOS!$A$5:$A$1005&lt;&gt;"")*(MOVIMIENTOS!$A$5:$A$1005&lt;=$A792)*MOVIMIENTOS!$E$5:$E$1005)+SUMPRODUCT((MOVIMIENTOS!$B$5:$B$1005="DEVOLUCIÓN")*(MOVIMIENTOS!$C$5:$C$1005="C")*(MOVIMIENTOS!$D$5:$D$1005="jabas")*(MOVIMIENTOS!$A$5:$A$1005&lt;&gt;"")*(MOVIMIENTOS!$A$5:$A$1005&lt;=$A792)*MOVIMIENTOS!$E$5:$E$1005)-SUMPRODUCT((MOVIMIENTOS!$B$5:$B$1005="TRASIEGO")*(MOVIMIENTOS!$C$5:$C$1005="C")*(MOVIMIENTOS!$D$5:$D$1005="jabas")*(MOVIMIENTOS!$A$5:$A$1005&lt;&gt;"")*(MOVIMIENTOS!$A$5:$A$1005&lt;=$A792)*MOVIMIENTOS!$E$5:$E$1005)-SUMPRODUCT((MOVIMIENTOS!$B$5:$B$1005="REGALO")*(MOVIMIENTOS!$C$5:$C$1005="C")*(MOVIMIENTOS!$D$5:$D$1005="jabas")*(MOVIMIENTOS!$A$5:$A$1005&lt;&gt;"")*(MOVIMIENTOS!$A$5:$A$1005&lt;=$A792)*MOVIMIENTOS!$E$5:$E$1005)-SUMPRODUCT((MOVIMIENTOS!$B$5:$B$1005="VENTA")*(MOVIMIENTOS!$C$5:$C$1005="C")*(MOVIMIENTOS!$D$5:$D$1005="jabas")*(MOVIMIENTOS!$A$5:$A$1005&lt;&gt;"")*(MOVIMIENTOS!$A$5:$A$1005&lt;=$A792)*MOVIMIENTOS!$E$5:$E$1005)+SUMPRODUCT((MOVIMIENTOS!$B$5:$B$1005="AJUSTE")*(MOVIMIENTOS!$C$5:$C$1005="C")*(MOVIMIENTOS!$D$5:$D$1005="jabas")*(MOVIMIENTOS!$A$5:$A$1005&lt;&gt;"")*(MOVIMIENTOS!$A$5:$A$1005&lt;=$A792)*MOVIMIENTOS!$E$5:$E$1005))</f>
        <v/>
      </c>
      <c r="E792" t="str">
        <f>IF($A792="","",SUMPRODUCT((MOVIMIENTOS!$B$5:$B$1005="SALDO INICIAL")*(MOVIMIENTOS!$C$5:$C$1005="M")*(MOVIMIENTOS!$D$5:$D$1005="jabas")*(MOVIMIENTOS!$A$5:$A$1005&lt;&gt;"")*(MOVIMIENTOS!$A$5:$A$1005&lt;=$A792)*MOVIMIENTOS!$E$5:$E$1005)+SUMPRODUCT((MOVIMIENTOS!$B$5:$B$1005="PROCESO")*(MOVIMIENTOS!$C$5:$C$1005="M")*(MOVIMIENTOS!$D$5:$D$1005="jabas")*(MOVIMIENTOS!$A$5:$A$1005&lt;&gt;"")*(MOVIMIENTOS!$A$5:$A$1005&lt;=$A792)*MOVIMIENTOS!$E$5:$E$1005)-SUMPRODUCT((MOVIMIENTOS!$B$5:$B$1005="ENVÍO A SUPESA")*(MOVIMIENTOS!$C$5:$C$1005="M")*(MOVIMIENTOS!$D$5:$D$1005="jabas")*(MOVIMIENTOS!$A$5:$A$1005&lt;&gt;"")*(MOVIMIENTOS!$A$5:$A$1005&lt;=$A792)*MOVIMIENTOS!$E$5:$E$1005)+SUMPRODUCT((MOVIMIENTOS!$B$5:$B$1005="DEVOLUCIÓN")*(MOVIMIENTOS!$C$5:$C$1005="M")*(MOVIMIENTOS!$D$5:$D$1005="jabas")*(MOVIMIENTOS!$A$5:$A$1005&lt;&gt;"")*(MOVIMIENTOS!$A$5:$A$1005&lt;=$A792)*MOVIMIENTOS!$E$5:$E$1005)-SUMPRODUCT((MOVIMIENTOS!$B$5:$B$1005="TRASIEGO")*(MOVIMIENTOS!$C$5:$C$1005="M")*(MOVIMIENTOS!$D$5:$D$1005="jabas")*(MOVIMIENTOS!$A$5:$A$1005&lt;&gt;"")*(MOVIMIENTOS!$A$5:$A$1005&lt;=$A792)*MOVIMIENTOS!$E$5:$E$1005)-SUMPRODUCT((MOVIMIENTOS!$B$5:$B$1005="REGALO")*(MOVIMIENTOS!$C$5:$C$1005="M")*(MOVIMIENTOS!$D$5:$D$1005="jabas")*(MOVIMIENTOS!$A$5:$A$1005&lt;&gt;"")*(MOVIMIENTOS!$A$5:$A$1005&lt;=$A792)*MOVIMIENTOS!$E$5:$E$1005)-SUMPRODUCT((MOVIMIENTOS!$B$5:$B$1005="VENTA")*(MOVIMIENTOS!$C$5:$C$1005="M")*(MOVIMIENTOS!$D$5:$D$1005="jabas")*(MOVIMIENTOS!$A$5:$A$1005&lt;&gt;"")*(MOVIMIENTOS!$A$5:$A$1005&lt;=$A792)*MOVIMIENTOS!$E$5:$E$1005)+SUMPRODUCT((MOVIMIENTOS!$B$5:$B$1005="AJUSTE")*(MOVIMIENTOS!$C$5:$C$1005="M")*(MOVIMIENTOS!$D$5:$D$1005="jabas")*(MOVIMIENTOS!$A$5:$A$1005&lt;&gt;"")*(MOVIMIENTOS!$A$5:$A$1005&lt;=$A792)*MOVIMIENTOS!$E$5:$E$1005))</f>
        <v/>
      </c>
      <c r="F792" s="62" t="str">
        <f>IF($A792="","",SUMPRODUCT((MOVIMIENTOS!$B$5:$B$1005="SALDO INICIAL")*(MOVIMIENTOS!$C$5:$C$1005="Chancho")*(MOVIMIENTOS!$D$5:$D$1005="sacos")*(MOVIMIENTOS!$A$5:$A$1005&lt;&gt;"")*(MOVIMIENTOS!$A$5:$A$1005&lt;=$A792)*MOVIMIENTOS!$E$5:$E$1005)+SUMPRODUCT((MOVIMIENTOS!$B$5:$B$1005="PROCESO")*(MOVIMIENTOS!$C$5:$C$1005="Chancho")*(MOVIMIENTOS!$D$5:$D$1005="sacos")*(MOVIMIENTOS!$A$5:$A$1005&lt;&gt;"")*(MOVIMIENTOS!$A$5:$A$1005&lt;=$A792)*MOVIMIENTOS!$E$5:$E$1005)-SUMPRODUCT((MOVIMIENTOS!$B$5:$B$1005="VENTA CHANCHO")*(MOVIMIENTOS!$C$5:$C$1005="Chancho")*(MOVIMIENTOS!$D$5:$D$1005="sacos")*(MOVIMIENTOS!$A$5:$A$1005&lt;&gt;"")*(MOVIMIENTOS!$A$5:$A$1005&lt;=$A792)*MOVIMIENTOS!$E$5:$E$1005)-SUMPRODUCT((MOVIMIENTOS!$B$5:$B$1005="REGALO")*(MOVIMIENTOS!$C$5:$C$1005="Chancho")*(MOVIMIENTOS!$D$5:$D$1005="sacos")*(MOVIMIENTOS!$A$5:$A$1005&lt;&gt;"")*(MOVIMIENTOS!$A$5:$A$1005&lt;=$A792)*MOVIMIENTOS!$E$5:$E$1005)-SUMPRODUCT((MOVIMIENTOS!$B$5:$B$1005="VENTA")*(MOVIMIENTOS!$C$5:$C$1005="Chancho")*(MOVIMIENTOS!$D$5:$D$1005="sacos")*(MOVIMIENTOS!$A$5:$A$1005&lt;&gt;"")*(MOVIMIENTOS!$A$5:$A$1005&lt;=$A792)*MOVIMIENTOS!$E$5:$E$1005)+SUMPRODUCT((MOVIMIENTOS!$B$5:$B$1005="AJUSTE")*(MOVIMIENTOS!$C$5:$C$1005="Chancho")*(MOVIMIENTOS!$D$5:$D$1005="sacos")*(MOVIMIENTOS!$A$5:$A$1005&lt;&gt;"")*(MOVIMIENTOS!$A$5:$A$1005&lt;=$A792)*MOVIMIENTOS!$E$5:$E$1005))</f>
        <v/>
      </c>
      <c r="G792" s="62" t="str">
        <f t="shared" si="25"/>
        <v/>
      </c>
      <c r="H792" t="str">
        <f>IF($A792="","",SUMPRODUCT((((MOVIMIENTOS!$B$5:$B$1005="SALDO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792)*MOVIMIENTOS!$J$5:$J$1005))</f>
        <v/>
      </c>
      <c r="J792" t="str">
        <f>IF(AND(MOVIMIENTOS!$A797&lt;&gt;"",COUNTIF(MOVIMIENTOS!$A$5:$A796,MOVIMIENTOS!$A797)=0),COUNT(J$4:J791)+1,"")</f>
        <v/>
      </c>
      <c r="K792">
        <f>MOVIMIENTOS!$A797</f>
        <v>0</v>
      </c>
    </row>
    <row r="793" spans="1:11" ht="15" customHeight="1" x14ac:dyDescent="0.2">
      <c r="A793" t="str">
        <f t="shared" si="24"/>
        <v/>
      </c>
      <c r="B793" t="str">
        <f>IF($A793="","",SUMPRODUCT((MOVIMIENTOS!$B$5:$B$1005="SALDO INICIAL")*(MOVIMIENTOS!$C$5:$C$1005="A")*(MOVIMIENTOS!$D$5:$D$1005="jabas")*(MOVIMIENTOS!$A$5:$A$1005&lt;&gt;"")*(MOVIMIENTOS!$A$5:$A$1005&lt;=$A793)*MOVIMIENTOS!$E$5:$E$1005)+SUMPRODUCT((MOVIMIENTOS!$B$5:$B$1005="PROCESO")*(MOVIMIENTOS!$C$5:$C$1005="A")*(MOVIMIENTOS!$D$5:$D$1005="jabas")*(MOVIMIENTOS!$A$5:$A$1005&lt;&gt;"")*(MOVIMIENTOS!$A$5:$A$1005&lt;=$A793)*MOVIMIENTOS!$E$5:$E$1005)-SUMPRODUCT((MOVIMIENTOS!$B$5:$B$1005="ENVÍO A SUPESA")*(MOVIMIENTOS!$C$5:$C$1005="A")*(MOVIMIENTOS!$D$5:$D$1005="jabas")*(MOVIMIENTOS!$A$5:$A$1005&lt;&gt;"")*(MOVIMIENTOS!$A$5:$A$1005&lt;=$A793)*MOVIMIENTOS!$E$5:$E$1005)+SUMPRODUCT((MOVIMIENTOS!$B$5:$B$1005="DEVOLUCIÓN")*(MOVIMIENTOS!$C$5:$C$1005="A")*(MOVIMIENTOS!$D$5:$D$1005="jabas")*(MOVIMIENTOS!$A$5:$A$1005&lt;&gt;"")*(MOVIMIENTOS!$A$5:$A$1005&lt;=$A793)*MOVIMIENTOS!$E$5:$E$1005)-SUMPRODUCT((MOVIMIENTOS!$B$5:$B$1005="TRASIEGO")*(MOVIMIENTOS!$C$5:$C$1005="A")*(MOVIMIENTOS!$D$5:$D$1005="jabas")*(MOVIMIENTOS!$A$5:$A$1005&lt;&gt;"")*(MOVIMIENTOS!$A$5:$A$1005&lt;=$A793)*MOVIMIENTOS!$E$5:$E$1005)-SUMPRODUCT((MOVIMIENTOS!$B$5:$B$1005="REGALO")*(MOVIMIENTOS!$C$5:$C$1005="A")*(MOVIMIENTOS!$D$5:$D$1005="jabas")*(MOVIMIENTOS!$A$5:$A$1005&lt;&gt;"")*(MOVIMIENTOS!$A$5:$A$1005&lt;=$A793)*MOVIMIENTOS!$E$5:$E$1005)-SUMPRODUCT((MOVIMIENTOS!$B$5:$B$1005="VENTA")*(MOVIMIENTOS!$C$5:$C$1005="A")*(MOVIMIENTOS!$D$5:$D$1005="jabas")*(MOVIMIENTOS!$A$5:$A$1005&lt;&gt;"")*(MOVIMIENTOS!$A$5:$A$1005&lt;=$A793)*MOVIMIENTOS!$E$5:$E$1005)+SUMPRODUCT((MOVIMIENTOS!$B$5:$B$1005="AJUSTE")*(MOVIMIENTOS!$C$5:$C$1005="A")*(MOVIMIENTOS!$D$5:$D$1005="jabas")*(MOVIMIENTOS!$A$5:$A$1005&lt;&gt;"")*(MOVIMIENTOS!$A$5:$A$1005&lt;=$A793)*MOVIMIENTOS!$E$5:$E$1005))</f>
        <v/>
      </c>
      <c r="C793" t="str">
        <f>IF($A793="","",SUMPRODUCT((MOVIMIENTOS!$B$5:$B$1005="SALDO INICIAL")*(MOVIMIENTOS!$C$5:$C$1005="P")*(MOVIMIENTOS!$D$5:$D$1005="jabas")*(MOVIMIENTOS!$A$5:$A$1005&lt;&gt;"")*(MOVIMIENTOS!$A$5:$A$1005&lt;=$A793)*MOVIMIENTOS!$E$5:$E$1005)+SUMPRODUCT((MOVIMIENTOS!$B$5:$B$1005="PROCESO")*(MOVIMIENTOS!$C$5:$C$1005="P")*(MOVIMIENTOS!$D$5:$D$1005="jabas")*(MOVIMIENTOS!$A$5:$A$1005&lt;&gt;"")*(MOVIMIENTOS!$A$5:$A$1005&lt;=$A793)*MOVIMIENTOS!$E$5:$E$1005)-SUMPRODUCT((MOVIMIENTOS!$B$5:$B$1005="ENVÍO A SUPESA")*(MOVIMIENTOS!$C$5:$C$1005="P")*(MOVIMIENTOS!$D$5:$D$1005="jabas")*(MOVIMIENTOS!$A$5:$A$1005&lt;&gt;"")*(MOVIMIENTOS!$A$5:$A$1005&lt;=$A793)*MOVIMIENTOS!$E$5:$E$1005)+SUMPRODUCT((MOVIMIENTOS!$B$5:$B$1005="DEVOLUCIÓN")*(MOVIMIENTOS!$C$5:$C$1005="P")*(MOVIMIENTOS!$D$5:$D$1005="jabas")*(MOVIMIENTOS!$A$5:$A$1005&lt;&gt;"")*(MOVIMIENTOS!$A$5:$A$1005&lt;=$A793)*MOVIMIENTOS!$E$5:$E$1005)-SUMPRODUCT((MOVIMIENTOS!$B$5:$B$1005="TRASIEGO")*(MOVIMIENTOS!$C$5:$C$1005="P")*(MOVIMIENTOS!$D$5:$D$1005="jabas")*(MOVIMIENTOS!$A$5:$A$1005&lt;&gt;"")*(MOVIMIENTOS!$A$5:$A$1005&lt;=$A793)*MOVIMIENTOS!$E$5:$E$1005)-SUMPRODUCT((MOVIMIENTOS!$B$5:$B$1005="REGALO")*(MOVIMIENTOS!$C$5:$C$1005="P")*(MOVIMIENTOS!$D$5:$D$1005="jabas")*(MOVIMIENTOS!$A$5:$A$1005&lt;&gt;"")*(MOVIMIENTOS!$A$5:$A$1005&lt;=$A793)*MOVIMIENTOS!$E$5:$E$1005)-SUMPRODUCT((MOVIMIENTOS!$B$5:$B$1005="VENTA")*(MOVIMIENTOS!$C$5:$C$1005="P")*(MOVIMIENTOS!$D$5:$D$1005="jabas")*(MOVIMIENTOS!$A$5:$A$1005&lt;&gt;"")*(MOVIMIENTOS!$A$5:$A$1005&lt;=$A793)*MOVIMIENTOS!$E$5:$E$1005)+SUMPRODUCT((MOVIMIENTOS!$B$5:$B$1005="AJUSTE")*(MOVIMIENTOS!$C$5:$C$1005="P")*(MOVIMIENTOS!$D$5:$D$1005="jabas")*(MOVIMIENTOS!$A$5:$A$1005&lt;&gt;"")*(MOVIMIENTOS!$A$5:$A$1005&lt;=$A793)*MOVIMIENTOS!$E$5:$E$1005))</f>
        <v/>
      </c>
      <c r="D793" t="str">
        <f>IF($A793="","",SUMPRODUCT((MOVIMIENTOS!$B$5:$B$1005="SALDO INICIAL")*(MOVIMIENTOS!$C$5:$C$1005="C")*(MOVIMIENTOS!$D$5:$D$1005="jabas")*(MOVIMIENTOS!$A$5:$A$1005&lt;&gt;"")*(MOVIMIENTOS!$A$5:$A$1005&lt;=$A793)*MOVIMIENTOS!$E$5:$E$1005)+SUMPRODUCT((MOVIMIENTOS!$B$5:$B$1005="PROCESO")*(MOVIMIENTOS!$C$5:$C$1005="C")*(MOVIMIENTOS!$D$5:$D$1005="jabas")*(MOVIMIENTOS!$A$5:$A$1005&lt;&gt;"")*(MOVIMIENTOS!$A$5:$A$1005&lt;=$A793)*MOVIMIENTOS!$E$5:$E$1005)-SUMPRODUCT((MOVIMIENTOS!$B$5:$B$1005="ENVÍO A SUPESA")*(MOVIMIENTOS!$C$5:$C$1005="C")*(MOVIMIENTOS!$D$5:$D$1005="jabas")*(MOVIMIENTOS!$A$5:$A$1005&lt;&gt;"")*(MOVIMIENTOS!$A$5:$A$1005&lt;=$A793)*MOVIMIENTOS!$E$5:$E$1005)+SUMPRODUCT((MOVIMIENTOS!$B$5:$B$1005="DEVOLUCIÓN")*(MOVIMIENTOS!$C$5:$C$1005="C")*(MOVIMIENTOS!$D$5:$D$1005="jabas")*(MOVIMIENTOS!$A$5:$A$1005&lt;&gt;"")*(MOVIMIENTOS!$A$5:$A$1005&lt;=$A793)*MOVIMIENTOS!$E$5:$E$1005)-SUMPRODUCT((MOVIMIENTOS!$B$5:$B$1005="TRASIEGO")*(MOVIMIENTOS!$C$5:$C$1005="C")*(MOVIMIENTOS!$D$5:$D$1005="jabas")*(MOVIMIENTOS!$A$5:$A$1005&lt;&gt;"")*(MOVIMIENTOS!$A$5:$A$1005&lt;=$A793)*MOVIMIENTOS!$E$5:$E$1005)-SUMPRODUCT((MOVIMIENTOS!$B$5:$B$1005="REGALO")*(MOVIMIENTOS!$C$5:$C$1005="C")*(MOVIMIENTOS!$D$5:$D$1005="jabas")*(MOVIMIENTOS!$A$5:$A$1005&lt;&gt;"")*(MOVIMIENTOS!$A$5:$A$1005&lt;=$A793)*MOVIMIENTOS!$E$5:$E$1005)-SUMPRODUCT((MOVIMIENTOS!$B$5:$B$1005="VENTA")*(MOVIMIENTOS!$C$5:$C$1005="C")*(MOVIMIENTOS!$D$5:$D$1005="jabas")*(MOVIMIENTOS!$A$5:$A$1005&lt;&gt;"")*(MOVIMIENTOS!$A$5:$A$1005&lt;=$A793)*MOVIMIENTOS!$E$5:$E$1005)+SUMPRODUCT((MOVIMIENTOS!$B$5:$B$1005="AJUSTE")*(MOVIMIENTOS!$C$5:$C$1005="C")*(MOVIMIENTOS!$D$5:$D$1005="jabas")*(MOVIMIENTOS!$A$5:$A$1005&lt;&gt;"")*(MOVIMIENTOS!$A$5:$A$1005&lt;=$A793)*MOVIMIENTOS!$E$5:$E$1005))</f>
        <v/>
      </c>
      <c r="E793" t="str">
        <f>IF($A793="","",SUMPRODUCT((MOVIMIENTOS!$B$5:$B$1005="SALDO INICIAL")*(MOVIMIENTOS!$C$5:$C$1005="M")*(MOVIMIENTOS!$D$5:$D$1005="jabas")*(MOVIMIENTOS!$A$5:$A$1005&lt;&gt;"")*(MOVIMIENTOS!$A$5:$A$1005&lt;=$A793)*MOVIMIENTOS!$E$5:$E$1005)+SUMPRODUCT((MOVIMIENTOS!$B$5:$B$1005="PROCESO")*(MOVIMIENTOS!$C$5:$C$1005="M")*(MOVIMIENTOS!$D$5:$D$1005="jabas")*(MOVIMIENTOS!$A$5:$A$1005&lt;&gt;"")*(MOVIMIENTOS!$A$5:$A$1005&lt;=$A793)*MOVIMIENTOS!$E$5:$E$1005)-SUMPRODUCT((MOVIMIENTOS!$B$5:$B$1005="ENVÍO A SUPESA")*(MOVIMIENTOS!$C$5:$C$1005="M")*(MOVIMIENTOS!$D$5:$D$1005="jabas")*(MOVIMIENTOS!$A$5:$A$1005&lt;&gt;"")*(MOVIMIENTOS!$A$5:$A$1005&lt;=$A793)*MOVIMIENTOS!$E$5:$E$1005)+SUMPRODUCT((MOVIMIENTOS!$B$5:$B$1005="DEVOLUCIÓN")*(MOVIMIENTOS!$C$5:$C$1005="M")*(MOVIMIENTOS!$D$5:$D$1005="jabas")*(MOVIMIENTOS!$A$5:$A$1005&lt;&gt;"")*(MOVIMIENTOS!$A$5:$A$1005&lt;=$A793)*MOVIMIENTOS!$E$5:$E$1005)-SUMPRODUCT((MOVIMIENTOS!$B$5:$B$1005="TRASIEGO")*(MOVIMIENTOS!$C$5:$C$1005="M")*(MOVIMIENTOS!$D$5:$D$1005="jabas")*(MOVIMIENTOS!$A$5:$A$1005&lt;&gt;"")*(MOVIMIENTOS!$A$5:$A$1005&lt;=$A793)*MOVIMIENTOS!$E$5:$E$1005)-SUMPRODUCT((MOVIMIENTOS!$B$5:$B$1005="REGALO")*(MOVIMIENTOS!$C$5:$C$1005="M")*(MOVIMIENTOS!$D$5:$D$1005="jabas")*(MOVIMIENTOS!$A$5:$A$1005&lt;&gt;"")*(MOVIMIENTOS!$A$5:$A$1005&lt;=$A793)*MOVIMIENTOS!$E$5:$E$1005)-SUMPRODUCT((MOVIMIENTOS!$B$5:$B$1005="VENTA")*(MOVIMIENTOS!$C$5:$C$1005="M")*(MOVIMIENTOS!$D$5:$D$1005="jabas")*(MOVIMIENTOS!$A$5:$A$1005&lt;&gt;"")*(MOVIMIENTOS!$A$5:$A$1005&lt;=$A793)*MOVIMIENTOS!$E$5:$E$1005)+SUMPRODUCT((MOVIMIENTOS!$B$5:$B$1005="AJUSTE")*(MOVIMIENTOS!$C$5:$C$1005="M")*(MOVIMIENTOS!$D$5:$D$1005="jabas")*(MOVIMIENTOS!$A$5:$A$1005&lt;&gt;"")*(MOVIMIENTOS!$A$5:$A$1005&lt;=$A793)*MOVIMIENTOS!$E$5:$E$1005))</f>
        <v/>
      </c>
      <c r="F793" s="62" t="str">
        <f>IF($A793="","",SUMPRODUCT((MOVIMIENTOS!$B$5:$B$1005="SALDO INICIAL")*(MOVIMIENTOS!$C$5:$C$1005="Chancho")*(MOVIMIENTOS!$D$5:$D$1005="sacos")*(MOVIMIENTOS!$A$5:$A$1005&lt;&gt;"")*(MOVIMIENTOS!$A$5:$A$1005&lt;=$A793)*MOVIMIENTOS!$E$5:$E$1005)+SUMPRODUCT((MOVIMIENTOS!$B$5:$B$1005="PROCESO")*(MOVIMIENTOS!$C$5:$C$1005="Chancho")*(MOVIMIENTOS!$D$5:$D$1005="sacos")*(MOVIMIENTOS!$A$5:$A$1005&lt;&gt;"")*(MOVIMIENTOS!$A$5:$A$1005&lt;=$A793)*MOVIMIENTOS!$E$5:$E$1005)-SUMPRODUCT((MOVIMIENTOS!$B$5:$B$1005="VENTA CHANCHO")*(MOVIMIENTOS!$C$5:$C$1005="Chancho")*(MOVIMIENTOS!$D$5:$D$1005="sacos")*(MOVIMIENTOS!$A$5:$A$1005&lt;&gt;"")*(MOVIMIENTOS!$A$5:$A$1005&lt;=$A793)*MOVIMIENTOS!$E$5:$E$1005)-SUMPRODUCT((MOVIMIENTOS!$B$5:$B$1005="REGALO")*(MOVIMIENTOS!$C$5:$C$1005="Chancho")*(MOVIMIENTOS!$D$5:$D$1005="sacos")*(MOVIMIENTOS!$A$5:$A$1005&lt;&gt;"")*(MOVIMIENTOS!$A$5:$A$1005&lt;=$A793)*MOVIMIENTOS!$E$5:$E$1005)-SUMPRODUCT((MOVIMIENTOS!$B$5:$B$1005="VENTA")*(MOVIMIENTOS!$C$5:$C$1005="Chancho")*(MOVIMIENTOS!$D$5:$D$1005="sacos")*(MOVIMIENTOS!$A$5:$A$1005&lt;&gt;"")*(MOVIMIENTOS!$A$5:$A$1005&lt;=$A793)*MOVIMIENTOS!$E$5:$E$1005)+SUMPRODUCT((MOVIMIENTOS!$B$5:$B$1005="AJUSTE")*(MOVIMIENTOS!$C$5:$C$1005="Chancho")*(MOVIMIENTOS!$D$5:$D$1005="sacos")*(MOVIMIENTOS!$A$5:$A$1005&lt;&gt;"")*(MOVIMIENTOS!$A$5:$A$1005&lt;=$A793)*MOVIMIENTOS!$E$5:$E$1005))</f>
        <v/>
      </c>
      <c r="G793" s="62" t="str">
        <f t="shared" si="25"/>
        <v/>
      </c>
      <c r="H793" t="str">
        <f>IF($A793="","",SUMPRODUCT((((MOVIMIENTOS!$B$5:$B$1005="SALDO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793)*MOVIMIENTOS!$J$5:$J$1005))</f>
        <v/>
      </c>
      <c r="J793" t="str">
        <f>IF(AND(MOVIMIENTOS!$A798&lt;&gt;"",COUNTIF(MOVIMIENTOS!$A$5:$A797,MOVIMIENTOS!$A798)=0),COUNT(J$4:J792)+1,"")</f>
        <v/>
      </c>
      <c r="K793">
        <f>MOVIMIENTOS!$A798</f>
        <v>0</v>
      </c>
    </row>
    <row r="794" spans="1:11" ht="15" customHeight="1" x14ac:dyDescent="0.2">
      <c r="A794" t="str">
        <f t="shared" si="24"/>
        <v/>
      </c>
      <c r="B794" t="str">
        <f>IF($A794="","",SUMPRODUCT((MOVIMIENTOS!$B$5:$B$1005="SALDO INICIAL")*(MOVIMIENTOS!$C$5:$C$1005="A")*(MOVIMIENTOS!$D$5:$D$1005="jabas")*(MOVIMIENTOS!$A$5:$A$1005&lt;&gt;"")*(MOVIMIENTOS!$A$5:$A$1005&lt;=$A794)*MOVIMIENTOS!$E$5:$E$1005)+SUMPRODUCT((MOVIMIENTOS!$B$5:$B$1005="PROCESO")*(MOVIMIENTOS!$C$5:$C$1005="A")*(MOVIMIENTOS!$D$5:$D$1005="jabas")*(MOVIMIENTOS!$A$5:$A$1005&lt;&gt;"")*(MOVIMIENTOS!$A$5:$A$1005&lt;=$A794)*MOVIMIENTOS!$E$5:$E$1005)-SUMPRODUCT((MOVIMIENTOS!$B$5:$B$1005="ENVÍO A SUPESA")*(MOVIMIENTOS!$C$5:$C$1005="A")*(MOVIMIENTOS!$D$5:$D$1005="jabas")*(MOVIMIENTOS!$A$5:$A$1005&lt;&gt;"")*(MOVIMIENTOS!$A$5:$A$1005&lt;=$A794)*MOVIMIENTOS!$E$5:$E$1005)+SUMPRODUCT((MOVIMIENTOS!$B$5:$B$1005="DEVOLUCIÓN")*(MOVIMIENTOS!$C$5:$C$1005="A")*(MOVIMIENTOS!$D$5:$D$1005="jabas")*(MOVIMIENTOS!$A$5:$A$1005&lt;&gt;"")*(MOVIMIENTOS!$A$5:$A$1005&lt;=$A794)*MOVIMIENTOS!$E$5:$E$1005)-SUMPRODUCT((MOVIMIENTOS!$B$5:$B$1005="TRASIEGO")*(MOVIMIENTOS!$C$5:$C$1005="A")*(MOVIMIENTOS!$D$5:$D$1005="jabas")*(MOVIMIENTOS!$A$5:$A$1005&lt;&gt;"")*(MOVIMIENTOS!$A$5:$A$1005&lt;=$A794)*MOVIMIENTOS!$E$5:$E$1005)-SUMPRODUCT((MOVIMIENTOS!$B$5:$B$1005="REGALO")*(MOVIMIENTOS!$C$5:$C$1005="A")*(MOVIMIENTOS!$D$5:$D$1005="jabas")*(MOVIMIENTOS!$A$5:$A$1005&lt;&gt;"")*(MOVIMIENTOS!$A$5:$A$1005&lt;=$A794)*MOVIMIENTOS!$E$5:$E$1005)-SUMPRODUCT((MOVIMIENTOS!$B$5:$B$1005="VENTA")*(MOVIMIENTOS!$C$5:$C$1005="A")*(MOVIMIENTOS!$D$5:$D$1005="jabas")*(MOVIMIENTOS!$A$5:$A$1005&lt;&gt;"")*(MOVIMIENTOS!$A$5:$A$1005&lt;=$A794)*MOVIMIENTOS!$E$5:$E$1005)+SUMPRODUCT((MOVIMIENTOS!$B$5:$B$1005="AJUSTE")*(MOVIMIENTOS!$C$5:$C$1005="A")*(MOVIMIENTOS!$D$5:$D$1005="jabas")*(MOVIMIENTOS!$A$5:$A$1005&lt;&gt;"")*(MOVIMIENTOS!$A$5:$A$1005&lt;=$A794)*MOVIMIENTOS!$E$5:$E$1005))</f>
        <v/>
      </c>
      <c r="C794" t="str">
        <f>IF($A794="","",SUMPRODUCT((MOVIMIENTOS!$B$5:$B$1005="SALDO INICIAL")*(MOVIMIENTOS!$C$5:$C$1005="P")*(MOVIMIENTOS!$D$5:$D$1005="jabas")*(MOVIMIENTOS!$A$5:$A$1005&lt;&gt;"")*(MOVIMIENTOS!$A$5:$A$1005&lt;=$A794)*MOVIMIENTOS!$E$5:$E$1005)+SUMPRODUCT((MOVIMIENTOS!$B$5:$B$1005="PROCESO")*(MOVIMIENTOS!$C$5:$C$1005="P")*(MOVIMIENTOS!$D$5:$D$1005="jabas")*(MOVIMIENTOS!$A$5:$A$1005&lt;&gt;"")*(MOVIMIENTOS!$A$5:$A$1005&lt;=$A794)*MOVIMIENTOS!$E$5:$E$1005)-SUMPRODUCT((MOVIMIENTOS!$B$5:$B$1005="ENVÍO A SUPESA")*(MOVIMIENTOS!$C$5:$C$1005="P")*(MOVIMIENTOS!$D$5:$D$1005="jabas")*(MOVIMIENTOS!$A$5:$A$1005&lt;&gt;"")*(MOVIMIENTOS!$A$5:$A$1005&lt;=$A794)*MOVIMIENTOS!$E$5:$E$1005)+SUMPRODUCT((MOVIMIENTOS!$B$5:$B$1005="DEVOLUCIÓN")*(MOVIMIENTOS!$C$5:$C$1005="P")*(MOVIMIENTOS!$D$5:$D$1005="jabas")*(MOVIMIENTOS!$A$5:$A$1005&lt;&gt;"")*(MOVIMIENTOS!$A$5:$A$1005&lt;=$A794)*MOVIMIENTOS!$E$5:$E$1005)-SUMPRODUCT((MOVIMIENTOS!$B$5:$B$1005="TRASIEGO")*(MOVIMIENTOS!$C$5:$C$1005="P")*(MOVIMIENTOS!$D$5:$D$1005="jabas")*(MOVIMIENTOS!$A$5:$A$1005&lt;&gt;"")*(MOVIMIENTOS!$A$5:$A$1005&lt;=$A794)*MOVIMIENTOS!$E$5:$E$1005)-SUMPRODUCT((MOVIMIENTOS!$B$5:$B$1005="REGALO")*(MOVIMIENTOS!$C$5:$C$1005="P")*(MOVIMIENTOS!$D$5:$D$1005="jabas")*(MOVIMIENTOS!$A$5:$A$1005&lt;&gt;"")*(MOVIMIENTOS!$A$5:$A$1005&lt;=$A794)*MOVIMIENTOS!$E$5:$E$1005)-SUMPRODUCT((MOVIMIENTOS!$B$5:$B$1005="VENTA")*(MOVIMIENTOS!$C$5:$C$1005="P")*(MOVIMIENTOS!$D$5:$D$1005="jabas")*(MOVIMIENTOS!$A$5:$A$1005&lt;&gt;"")*(MOVIMIENTOS!$A$5:$A$1005&lt;=$A794)*MOVIMIENTOS!$E$5:$E$1005)+SUMPRODUCT((MOVIMIENTOS!$B$5:$B$1005="AJUSTE")*(MOVIMIENTOS!$C$5:$C$1005="P")*(MOVIMIENTOS!$D$5:$D$1005="jabas")*(MOVIMIENTOS!$A$5:$A$1005&lt;&gt;"")*(MOVIMIENTOS!$A$5:$A$1005&lt;=$A794)*MOVIMIENTOS!$E$5:$E$1005))</f>
        <v/>
      </c>
      <c r="D794" t="str">
        <f>IF($A794="","",SUMPRODUCT((MOVIMIENTOS!$B$5:$B$1005="SALDO INICIAL")*(MOVIMIENTOS!$C$5:$C$1005="C")*(MOVIMIENTOS!$D$5:$D$1005="jabas")*(MOVIMIENTOS!$A$5:$A$1005&lt;&gt;"")*(MOVIMIENTOS!$A$5:$A$1005&lt;=$A794)*MOVIMIENTOS!$E$5:$E$1005)+SUMPRODUCT((MOVIMIENTOS!$B$5:$B$1005="PROCESO")*(MOVIMIENTOS!$C$5:$C$1005="C")*(MOVIMIENTOS!$D$5:$D$1005="jabas")*(MOVIMIENTOS!$A$5:$A$1005&lt;&gt;"")*(MOVIMIENTOS!$A$5:$A$1005&lt;=$A794)*MOVIMIENTOS!$E$5:$E$1005)-SUMPRODUCT((MOVIMIENTOS!$B$5:$B$1005="ENVÍO A SUPESA")*(MOVIMIENTOS!$C$5:$C$1005="C")*(MOVIMIENTOS!$D$5:$D$1005="jabas")*(MOVIMIENTOS!$A$5:$A$1005&lt;&gt;"")*(MOVIMIENTOS!$A$5:$A$1005&lt;=$A794)*MOVIMIENTOS!$E$5:$E$1005)+SUMPRODUCT((MOVIMIENTOS!$B$5:$B$1005="DEVOLUCIÓN")*(MOVIMIENTOS!$C$5:$C$1005="C")*(MOVIMIENTOS!$D$5:$D$1005="jabas")*(MOVIMIENTOS!$A$5:$A$1005&lt;&gt;"")*(MOVIMIENTOS!$A$5:$A$1005&lt;=$A794)*MOVIMIENTOS!$E$5:$E$1005)-SUMPRODUCT((MOVIMIENTOS!$B$5:$B$1005="TRASIEGO")*(MOVIMIENTOS!$C$5:$C$1005="C")*(MOVIMIENTOS!$D$5:$D$1005="jabas")*(MOVIMIENTOS!$A$5:$A$1005&lt;&gt;"")*(MOVIMIENTOS!$A$5:$A$1005&lt;=$A794)*MOVIMIENTOS!$E$5:$E$1005)-SUMPRODUCT((MOVIMIENTOS!$B$5:$B$1005="REGALO")*(MOVIMIENTOS!$C$5:$C$1005="C")*(MOVIMIENTOS!$D$5:$D$1005="jabas")*(MOVIMIENTOS!$A$5:$A$1005&lt;&gt;"")*(MOVIMIENTOS!$A$5:$A$1005&lt;=$A794)*MOVIMIENTOS!$E$5:$E$1005)-SUMPRODUCT((MOVIMIENTOS!$B$5:$B$1005="VENTA")*(MOVIMIENTOS!$C$5:$C$1005="C")*(MOVIMIENTOS!$D$5:$D$1005="jabas")*(MOVIMIENTOS!$A$5:$A$1005&lt;&gt;"")*(MOVIMIENTOS!$A$5:$A$1005&lt;=$A794)*MOVIMIENTOS!$E$5:$E$1005)+SUMPRODUCT((MOVIMIENTOS!$B$5:$B$1005="AJUSTE")*(MOVIMIENTOS!$C$5:$C$1005="C")*(MOVIMIENTOS!$D$5:$D$1005="jabas")*(MOVIMIENTOS!$A$5:$A$1005&lt;&gt;"")*(MOVIMIENTOS!$A$5:$A$1005&lt;=$A794)*MOVIMIENTOS!$E$5:$E$1005))</f>
        <v/>
      </c>
      <c r="E794" t="str">
        <f>IF($A794="","",SUMPRODUCT((MOVIMIENTOS!$B$5:$B$1005="SALDO INICIAL")*(MOVIMIENTOS!$C$5:$C$1005="M")*(MOVIMIENTOS!$D$5:$D$1005="jabas")*(MOVIMIENTOS!$A$5:$A$1005&lt;&gt;"")*(MOVIMIENTOS!$A$5:$A$1005&lt;=$A794)*MOVIMIENTOS!$E$5:$E$1005)+SUMPRODUCT((MOVIMIENTOS!$B$5:$B$1005="PROCESO")*(MOVIMIENTOS!$C$5:$C$1005="M")*(MOVIMIENTOS!$D$5:$D$1005="jabas")*(MOVIMIENTOS!$A$5:$A$1005&lt;&gt;"")*(MOVIMIENTOS!$A$5:$A$1005&lt;=$A794)*MOVIMIENTOS!$E$5:$E$1005)-SUMPRODUCT((MOVIMIENTOS!$B$5:$B$1005="ENVÍO A SUPESA")*(MOVIMIENTOS!$C$5:$C$1005="M")*(MOVIMIENTOS!$D$5:$D$1005="jabas")*(MOVIMIENTOS!$A$5:$A$1005&lt;&gt;"")*(MOVIMIENTOS!$A$5:$A$1005&lt;=$A794)*MOVIMIENTOS!$E$5:$E$1005)+SUMPRODUCT((MOVIMIENTOS!$B$5:$B$1005="DEVOLUCIÓN")*(MOVIMIENTOS!$C$5:$C$1005="M")*(MOVIMIENTOS!$D$5:$D$1005="jabas")*(MOVIMIENTOS!$A$5:$A$1005&lt;&gt;"")*(MOVIMIENTOS!$A$5:$A$1005&lt;=$A794)*MOVIMIENTOS!$E$5:$E$1005)-SUMPRODUCT((MOVIMIENTOS!$B$5:$B$1005="TRASIEGO")*(MOVIMIENTOS!$C$5:$C$1005="M")*(MOVIMIENTOS!$D$5:$D$1005="jabas")*(MOVIMIENTOS!$A$5:$A$1005&lt;&gt;"")*(MOVIMIENTOS!$A$5:$A$1005&lt;=$A794)*MOVIMIENTOS!$E$5:$E$1005)-SUMPRODUCT((MOVIMIENTOS!$B$5:$B$1005="REGALO")*(MOVIMIENTOS!$C$5:$C$1005="M")*(MOVIMIENTOS!$D$5:$D$1005="jabas")*(MOVIMIENTOS!$A$5:$A$1005&lt;&gt;"")*(MOVIMIENTOS!$A$5:$A$1005&lt;=$A794)*MOVIMIENTOS!$E$5:$E$1005)-SUMPRODUCT((MOVIMIENTOS!$B$5:$B$1005="VENTA")*(MOVIMIENTOS!$C$5:$C$1005="M")*(MOVIMIENTOS!$D$5:$D$1005="jabas")*(MOVIMIENTOS!$A$5:$A$1005&lt;&gt;"")*(MOVIMIENTOS!$A$5:$A$1005&lt;=$A794)*MOVIMIENTOS!$E$5:$E$1005)+SUMPRODUCT((MOVIMIENTOS!$B$5:$B$1005="AJUSTE")*(MOVIMIENTOS!$C$5:$C$1005="M")*(MOVIMIENTOS!$D$5:$D$1005="jabas")*(MOVIMIENTOS!$A$5:$A$1005&lt;&gt;"")*(MOVIMIENTOS!$A$5:$A$1005&lt;=$A794)*MOVIMIENTOS!$E$5:$E$1005))</f>
        <v/>
      </c>
      <c r="F794" s="62" t="str">
        <f>IF($A794="","",SUMPRODUCT((MOVIMIENTOS!$B$5:$B$1005="SALDO INICIAL")*(MOVIMIENTOS!$C$5:$C$1005="Chancho")*(MOVIMIENTOS!$D$5:$D$1005="sacos")*(MOVIMIENTOS!$A$5:$A$1005&lt;&gt;"")*(MOVIMIENTOS!$A$5:$A$1005&lt;=$A794)*MOVIMIENTOS!$E$5:$E$1005)+SUMPRODUCT((MOVIMIENTOS!$B$5:$B$1005="PROCESO")*(MOVIMIENTOS!$C$5:$C$1005="Chancho")*(MOVIMIENTOS!$D$5:$D$1005="sacos")*(MOVIMIENTOS!$A$5:$A$1005&lt;&gt;"")*(MOVIMIENTOS!$A$5:$A$1005&lt;=$A794)*MOVIMIENTOS!$E$5:$E$1005)-SUMPRODUCT((MOVIMIENTOS!$B$5:$B$1005="VENTA CHANCHO")*(MOVIMIENTOS!$C$5:$C$1005="Chancho")*(MOVIMIENTOS!$D$5:$D$1005="sacos")*(MOVIMIENTOS!$A$5:$A$1005&lt;&gt;"")*(MOVIMIENTOS!$A$5:$A$1005&lt;=$A794)*MOVIMIENTOS!$E$5:$E$1005)-SUMPRODUCT((MOVIMIENTOS!$B$5:$B$1005="REGALO")*(MOVIMIENTOS!$C$5:$C$1005="Chancho")*(MOVIMIENTOS!$D$5:$D$1005="sacos")*(MOVIMIENTOS!$A$5:$A$1005&lt;&gt;"")*(MOVIMIENTOS!$A$5:$A$1005&lt;=$A794)*MOVIMIENTOS!$E$5:$E$1005)-SUMPRODUCT((MOVIMIENTOS!$B$5:$B$1005="VENTA")*(MOVIMIENTOS!$C$5:$C$1005="Chancho")*(MOVIMIENTOS!$D$5:$D$1005="sacos")*(MOVIMIENTOS!$A$5:$A$1005&lt;&gt;"")*(MOVIMIENTOS!$A$5:$A$1005&lt;=$A794)*MOVIMIENTOS!$E$5:$E$1005)+SUMPRODUCT((MOVIMIENTOS!$B$5:$B$1005="AJUSTE")*(MOVIMIENTOS!$C$5:$C$1005="Chancho")*(MOVIMIENTOS!$D$5:$D$1005="sacos")*(MOVIMIENTOS!$A$5:$A$1005&lt;&gt;"")*(MOVIMIENTOS!$A$5:$A$1005&lt;=$A794)*MOVIMIENTOS!$E$5:$E$1005))</f>
        <v/>
      </c>
      <c r="G794" s="62" t="str">
        <f t="shared" si="25"/>
        <v/>
      </c>
      <c r="H794" t="str">
        <f>IF($A794="","",SUMPRODUCT((((MOVIMIENTOS!$B$5:$B$1005="SALDO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794)*MOVIMIENTOS!$J$5:$J$1005))</f>
        <v/>
      </c>
      <c r="J794" t="str">
        <f>IF(AND(MOVIMIENTOS!$A799&lt;&gt;"",COUNTIF(MOVIMIENTOS!$A$5:$A798,MOVIMIENTOS!$A799)=0),COUNT(J$4:J793)+1,"")</f>
        <v/>
      </c>
      <c r="K794">
        <f>MOVIMIENTOS!$A799</f>
        <v>0</v>
      </c>
    </row>
    <row r="795" spans="1:11" ht="15" customHeight="1" x14ac:dyDescent="0.2">
      <c r="A795" t="str">
        <f t="shared" si="24"/>
        <v/>
      </c>
      <c r="B795" t="str">
        <f>IF($A795="","",SUMPRODUCT((MOVIMIENTOS!$B$5:$B$1005="SALDO INICIAL")*(MOVIMIENTOS!$C$5:$C$1005="A")*(MOVIMIENTOS!$D$5:$D$1005="jabas")*(MOVIMIENTOS!$A$5:$A$1005&lt;&gt;"")*(MOVIMIENTOS!$A$5:$A$1005&lt;=$A795)*MOVIMIENTOS!$E$5:$E$1005)+SUMPRODUCT((MOVIMIENTOS!$B$5:$B$1005="PROCESO")*(MOVIMIENTOS!$C$5:$C$1005="A")*(MOVIMIENTOS!$D$5:$D$1005="jabas")*(MOVIMIENTOS!$A$5:$A$1005&lt;&gt;"")*(MOVIMIENTOS!$A$5:$A$1005&lt;=$A795)*MOVIMIENTOS!$E$5:$E$1005)-SUMPRODUCT((MOVIMIENTOS!$B$5:$B$1005="ENVÍO A SUPESA")*(MOVIMIENTOS!$C$5:$C$1005="A")*(MOVIMIENTOS!$D$5:$D$1005="jabas")*(MOVIMIENTOS!$A$5:$A$1005&lt;&gt;"")*(MOVIMIENTOS!$A$5:$A$1005&lt;=$A795)*MOVIMIENTOS!$E$5:$E$1005)+SUMPRODUCT((MOVIMIENTOS!$B$5:$B$1005="DEVOLUCIÓN")*(MOVIMIENTOS!$C$5:$C$1005="A")*(MOVIMIENTOS!$D$5:$D$1005="jabas")*(MOVIMIENTOS!$A$5:$A$1005&lt;&gt;"")*(MOVIMIENTOS!$A$5:$A$1005&lt;=$A795)*MOVIMIENTOS!$E$5:$E$1005)-SUMPRODUCT((MOVIMIENTOS!$B$5:$B$1005="TRASIEGO")*(MOVIMIENTOS!$C$5:$C$1005="A")*(MOVIMIENTOS!$D$5:$D$1005="jabas")*(MOVIMIENTOS!$A$5:$A$1005&lt;&gt;"")*(MOVIMIENTOS!$A$5:$A$1005&lt;=$A795)*MOVIMIENTOS!$E$5:$E$1005)-SUMPRODUCT((MOVIMIENTOS!$B$5:$B$1005="REGALO")*(MOVIMIENTOS!$C$5:$C$1005="A")*(MOVIMIENTOS!$D$5:$D$1005="jabas")*(MOVIMIENTOS!$A$5:$A$1005&lt;&gt;"")*(MOVIMIENTOS!$A$5:$A$1005&lt;=$A795)*MOVIMIENTOS!$E$5:$E$1005)-SUMPRODUCT((MOVIMIENTOS!$B$5:$B$1005="VENTA")*(MOVIMIENTOS!$C$5:$C$1005="A")*(MOVIMIENTOS!$D$5:$D$1005="jabas")*(MOVIMIENTOS!$A$5:$A$1005&lt;&gt;"")*(MOVIMIENTOS!$A$5:$A$1005&lt;=$A795)*MOVIMIENTOS!$E$5:$E$1005)+SUMPRODUCT((MOVIMIENTOS!$B$5:$B$1005="AJUSTE")*(MOVIMIENTOS!$C$5:$C$1005="A")*(MOVIMIENTOS!$D$5:$D$1005="jabas")*(MOVIMIENTOS!$A$5:$A$1005&lt;&gt;"")*(MOVIMIENTOS!$A$5:$A$1005&lt;=$A795)*MOVIMIENTOS!$E$5:$E$1005))</f>
        <v/>
      </c>
      <c r="C795" t="str">
        <f>IF($A795="","",SUMPRODUCT((MOVIMIENTOS!$B$5:$B$1005="SALDO INICIAL")*(MOVIMIENTOS!$C$5:$C$1005="P")*(MOVIMIENTOS!$D$5:$D$1005="jabas")*(MOVIMIENTOS!$A$5:$A$1005&lt;&gt;"")*(MOVIMIENTOS!$A$5:$A$1005&lt;=$A795)*MOVIMIENTOS!$E$5:$E$1005)+SUMPRODUCT((MOVIMIENTOS!$B$5:$B$1005="PROCESO")*(MOVIMIENTOS!$C$5:$C$1005="P")*(MOVIMIENTOS!$D$5:$D$1005="jabas")*(MOVIMIENTOS!$A$5:$A$1005&lt;&gt;"")*(MOVIMIENTOS!$A$5:$A$1005&lt;=$A795)*MOVIMIENTOS!$E$5:$E$1005)-SUMPRODUCT((MOVIMIENTOS!$B$5:$B$1005="ENVÍO A SUPESA")*(MOVIMIENTOS!$C$5:$C$1005="P")*(MOVIMIENTOS!$D$5:$D$1005="jabas")*(MOVIMIENTOS!$A$5:$A$1005&lt;&gt;"")*(MOVIMIENTOS!$A$5:$A$1005&lt;=$A795)*MOVIMIENTOS!$E$5:$E$1005)+SUMPRODUCT((MOVIMIENTOS!$B$5:$B$1005="DEVOLUCIÓN")*(MOVIMIENTOS!$C$5:$C$1005="P")*(MOVIMIENTOS!$D$5:$D$1005="jabas")*(MOVIMIENTOS!$A$5:$A$1005&lt;&gt;"")*(MOVIMIENTOS!$A$5:$A$1005&lt;=$A795)*MOVIMIENTOS!$E$5:$E$1005)-SUMPRODUCT((MOVIMIENTOS!$B$5:$B$1005="TRASIEGO")*(MOVIMIENTOS!$C$5:$C$1005="P")*(MOVIMIENTOS!$D$5:$D$1005="jabas")*(MOVIMIENTOS!$A$5:$A$1005&lt;&gt;"")*(MOVIMIENTOS!$A$5:$A$1005&lt;=$A795)*MOVIMIENTOS!$E$5:$E$1005)-SUMPRODUCT((MOVIMIENTOS!$B$5:$B$1005="REGALO")*(MOVIMIENTOS!$C$5:$C$1005="P")*(MOVIMIENTOS!$D$5:$D$1005="jabas")*(MOVIMIENTOS!$A$5:$A$1005&lt;&gt;"")*(MOVIMIENTOS!$A$5:$A$1005&lt;=$A795)*MOVIMIENTOS!$E$5:$E$1005)-SUMPRODUCT((MOVIMIENTOS!$B$5:$B$1005="VENTA")*(MOVIMIENTOS!$C$5:$C$1005="P")*(MOVIMIENTOS!$D$5:$D$1005="jabas")*(MOVIMIENTOS!$A$5:$A$1005&lt;&gt;"")*(MOVIMIENTOS!$A$5:$A$1005&lt;=$A795)*MOVIMIENTOS!$E$5:$E$1005)+SUMPRODUCT((MOVIMIENTOS!$B$5:$B$1005="AJUSTE")*(MOVIMIENTOS!$C$5:$C$1005="P")*(MOVIMIENTOS!$D$5:$D$1005="jabas")*(MOVIMIENTOS!$A$5:$A$1005&lt;&gt;"")*(MOVIMIENTOS!$A$5:$A$1005&lt;=$A795)*MOVIMIENTOS!$E$5:$E$1005))</f>
        <v/>
      </c>
      <c r="D795" t="str">
        <f>IF($A795="","",SUMPRODUCT((MOVIMIENTOS!$B$5:$B$1005="SALDO INICIAL")*(MOVIMIENTOS!$C$5:$C$1005="C")*(MOVIMIENTOS!$D$5:$D$1005="jabas")*(MOVIMIENTOS!$A$5:$A$1005&lt;&gt;"")*(MOVIMIENTOS!$A$5:$A$1005&lt;=$A795)*MOVIMIENTOS!$E$5:$E$1005)+SUMPRODUCT((MOVIMIENTOS!$B$5:$B$1005="PROCESO")*(MOVIMIENTOS!$C$5:$C$1005="C")*(MOVIMIENTOS!$D$5:$D$1005="jabas")*(MOVIMIENTOS!$A$5:$A$1005&lt;&gt;"")*(MOVIMIENTOS!$A$5:$A$1005&lt;=$A795)*MOVIMIENTOS!$E$5:$E$1005)-SUMPRODUCT((MOVIMIENTOS!$B$5:$B$1005="ENVÍO A SUPESA")*(MOVIMIENTOS!$C$5:$C$1005="C")*(MOVIMIENTOS!$D$5:$D$1005="jabas")*(MOVIMIENTOS!$A$5:$A$1005&lt;&gt;"")*(MOVIMIENTOS!$A$5:$A$1005&lt;=$A795)*MOVIMIENTOS!$E$5:$E$1005)+SUMPRODUCT((MOVIMIENTOS!$B$5:$B$1005="DEVOLUCIÓN")*(MOVIMIENTOS!$C$5:$C$1005="C")*(MOVIMIENTOS!$D$5:$D$1005="jabas")*(MOVIMIENTOS!$A$5:$A$1005&lt;&gt;"")*(MOVIMIENTOS!$A$5:$A$1005&lt;=$A795)*MOVIMIENTOS!$E$5:$E$1005)-SUMPRODUCT((MOVIMIENTOS!$B$5:$B$1005="TRASIEGO")*(MOVIMIENTOS!$C$5:$C$1005="C")*(MOVIMIENTOS!$D$5:$D$1005="jabas")*(MOVIMIENTOS!$A$5:$A$1005&lt;&gt;"")*(MOVIMIENTOS!$A$5:$A$1005&lt;=$A795)*MOVIMIENTOS!$E$5:$E$1005)-SUMPRODUCT((MOVIMIENTOS!$B$5:$B$1005="REGALO")*(MOVIMIENTOS!$C$5:$C$1005="C")*(MOVIMIENTOS!$D$5:$D$1005="jabas")*(MOVIMIENTOS!$A$5:$A$1005&lt;&gt;"")*(MOVIMIENTOS!$A$5:$A$1005&lt;=$A795)*MOVIMIENTOS!$E$5:$E$1005)-SUMPRODUCT((MOVIMIENTOS!$B$5:$B$1005="VENTA")*(MOVIMIENTOS!$C$5:$C$1005="C")*(MOVIMIENTOS!$D$5:$D$1005="jabas")*(MOVIMIENTOS!$A$5:$A$1005&lt;&gt;"")*(MOVIMIENTOS!$A$5:$A$1005&lt;=$A795)*MOVIMIENTOS!$E$5:$E$1005)+SUMPRODUCT((MOVIMIENTOS!$B$5:$B$1005="AJUSTE")*(MOVIMIENTOS!$C$5:$C$1005="C")*(MOVIMIENTOS!$D$5:$D$1005="jabas")*(MOVIMIENTOS!$A$5:$A$1005&lt;&gt;"")*(MOVIMIENTOS!$A$5:$A$1005&lt;=$A795)*MOVIMIENTOS!$E$5:$E$1005))</f>
        <v/>
      </c>
      <c r="E795" t="str">
        <f>IF($A795="","",SUMPRODUCT((MOVIMIENTOS!$B$5:$B$1005="SALDO INICIAL")*(MOVIMIENTOS!$C$5:$C$1005="M")*(MOVIMIENTOS!$D$5:$D$1005="jabas")*(MOVIMIENTOS!$A$5:$A$1005&lt;&gt;"")*(MOVIMIENTOS!$A$5:$A$1005&lt;=$A795)*MOVIMIENTOS!$E$5:$E$1005)+SUMPRODUCT((MOVIMIENTOS!$B$5:$B$1005="PROCESO")*(MOVIMIENTOS!$C$5:$C$1005="M")*(MOVIMIENTOS!$D$5:$D$1005="jabas")*(MOVIMIENTOS!$A$5:$A$1005&lt;&gt;"")*(MOVIMIENTOS!$A$5:$A$1005&lt;=$A795)*MOVIMIENTOS!$E$5:$E$1005)-SUMPRODUCT((MOVIMIENTOS!$B$5:$B$1005="ENVÍO A SUPESA")*(MOVIMIENTOS!$C$5:$C$1005="M")*(MOVIMIENTOS!$D$5:$D$1005="jabas")*(MOVIMIENTOS!$A$5:$A$1005&lt;&gt;"")*(MOVIMIENTOS!$A$5:$A$1005&lt;=$A795)*MOVIMIENTOS!$E$5:$E$1005)+SUMPRODUCT((MOVIMIENTOS!$B$5:$B$1005="DEVOLUCIÓN")*(MOVIMIENTOS!$C$5:$C$1005="M")*(MOVIMIENTOS!$D$5:$D$1005="jabas")*(MOVIMIENTOS!$A$5:$A$1005&lt;&gt;"")*(MOVIMIENTOS!$A$5:$A$1005&lt;=$A795)*MOVIMIENTOS!$E$5:$E$1005)-SUMPRODUCT((MOVIMIENTOS!$B$5:$B$1005="TRASIEGO")*(MOVIMIENTOS!$C$5:$C$1005="M")*(MOVIMIENTOS!$D$5:$D$1005="jabas")*(MOVIMIENTOS!$A$5:$A$1005&lt;&gt;"")*(MOVIMIENTOS!$A$5:$A$1005&lt;=$A795)*MOVIMIENTOS!$E$5:$E$1005)-SUMPRODUCT((MOVIMIENTOS!$B$5:$B$1005="REGALO")*(MOVIMIENTOS!$C$5:$C$1005="M")*(MOVIMIENTOS!$D$5:$D$1005="jabas")*(MOVIMIENTOS!$A$5:$A$1005&lt;&gt;"")*(MOVIMIENTOS!$A$5:$A$1005&lt;=$A795)*MOVIMIENTOS!$E$5:$E$1005)-SUMPRODUCT((MOVIMIENTOS!$B$5:$B$1005="VENTA")*(MOVIMIENTOS!$C$5:$C$1005="M")*(MOVIMIENTOS!$D$5:$D$1005="jabas")*(MOVIMIENTOS!$A$5:$A$1005&lt;&gt;"")*(MOVIMIENTOS!$A$5:$A$1005&lt;=$A795)*MOVIMIENTOS!$E$5:$E$1005)+SUMPRODUCT((MOVIMIENTOS!$B$5:$B$1005="AJUSTE")*(MOVIMIENTOS!$C$5:$C$1005="M")*(MOVIMIENTOS!$D$5:$D$1005="jabas")*(MOVIMIENTOS!$A$5:$A$1005&lt;&gt;"")*(MOVIMIENTOS!$A$5:$A$1005&lt;=$A795)*MOVIMIENTOS!$E$5:$E$1005))</f>
        <v/>
      </c>
      <c r="F795" s="62" t="str">
        <f>IF($A795="","",SUMPRODUCT((MOVIMIENTOS!$B$5:$B$1005="SALDO INICIAL")*(MOVIMIENTOS!$C$5:$C$1005="Chancho")*(MOVIMIENTOS!$D$5:$D$1005="sacos")*(MOVIMIENTOS!$A$5:$A$1005&lt;&gt;"")*(MOVIMIENTOS!$A$5:$A$1005&lt;=$A795)*MOVIMIENTOS!$E$5:$E$1005)+SUMPRODUCT((MOVIMIENTOS!$B$5:$B$1005="PROCESO")*(MOVIMIENTOS!$C$5:$C$1005="Chancho")*(MOVIMIENTOS!$D$5:$D$1005="sacos")*(MOVIMIENTOS!$A$5:$A$1005&lt;&gt;"")*(MOVIMIENTOS!$A$5:$A$1005&lt;=$A795)*MOVIMIENTOS!$E$5:$E$1005)-SUMPRODUCT((MOVIMIENTOS!$B$5:$B$1005="VENTA CHANCHO")*(MOVIMIENTOS!$C$5:$C$1005="Chancho")*(MOVIMIENTOS!$D$5:$D$1005="sacos")*(MOVIMIENTOS!$A$5:$A$1005&lt;&gt;"")*(MOVIMIENTOS!$A$5:$A$1005&lt;=$A795)*MOVIMIENTOS!$E$5:$E$1005)-SUMPRODUCT((MOVIMIENTOS!$B$5:$B$1005="REGALO")*(MOVIMIENTOS!$C$5:$C$1005="Chancho")*(MOVIMIENTOS!$D$5:$D$1005="sacos")*(MOVIMIENTOS!$A$5:$A$1005&lt;&gt;"")*(MOVIMIENTOS!$A$5:$A$1005&lt;=$A795)*MOVIMIENTOS!$E$5:$E$1005)-SUMPRODUCT((MOVIMIENTOS!$B$5:$B$1005="VENTA")*(MOVIMIENTOS!$C$5:$C$1005="Chancho")*(MOVIMIENTOS!$D$5:$D$1005="sacos")*(MOVIMIENTOS!$A$5:$A$1005&lt;&gt;"")*(MOVIMIENTOS!$A$5:$A$1005&lt;=$A795)*MOVIMIENTOS!$E$5:$E$1005)+SUMPRODUCT((MOVIMIENTOS!$B$5:$B$1005="AJUSTE")*(MOVIMIENTOS!$C$5:$C$1005="Chancho")*(MOVIMIENTOS!$D$5:$D$1005="sacos")*(MOVIMIENTOS!$A$5:$A$1005&lt;&gt;"")*(MOVIMIENTOS!$A$5:$A$1005&lt;=$A795)*MOVIMIENTOS!$E$5:$E$1005))</f>
        <v/>
      </c>
      <c r="G795" s="62" t="str">
        <f t="shared" si="25"/>
        <v/>
      </c>
      <c r="H795" t="str">
        <f>IF($A795="","",SUMPRODUCT((((MOVIMIENTOS!$B$5:$B$1005="SALDO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795)*MOVIMIENTOS!$J$5:$J$1005))</f>
        <v/>
      </c>
      <c r="J795" t="str">
        <f>IF(AND(MOVIMIENTOS!$A800&lt;&gt;"",COUNTIF(MOVIMIENTOS!$A$5:$A799,MOVIMIENTOS!$A800)=0),COUNT(J$4:J794)+1,"")</f>
        <v/>
      </c>
      <c r="K795">
        <f>MOVIMIENTOS!$A800</f>
        <v>0</v>
      </c>
    </row>
    <row r="796" spans="1:11" ht="15" customHeight="1" x14ac:dyDescent="0.2">
      <c r="A796" t="str">
        <f t="shared" si="24"/>
        <v/>
      </c>
      <c r="B796" t="str">
        <f>IF($A796="","",SUMPRODUCT((MOVIMIENTOS!$B$5:$B$1005="SALDO INICIAL")*(MOVIMIENTOS!$C$5:$C$1005="A")*(MOVIMIENTOS!$D$5:$D$1005="jabas")*(MOVIMIENTOS!$A$5:$A$1005&lt;&gt;"")*(MOVIMIENTOS!$A$5:$A$1005&lt;=$A796)*MOVIMIENTOS!$E$5:$E$1005)+SUMPRODUCT((MOVIMIENTOS!$B$5:$B$1005="PROCESO")*(MOVIMIENTOS!$C$5:$C$1005="A")*(MOVIMIENTOS!$D$5:$D$1005="jabas")*(MOVIMIENTOS!$A$5:$A$1005&lt;&gt;"")*(MOVIMIENTOS!$A$5:$A$1005&lt;=$A796)*MOVIMIENTOS!$E$5:$E$1005)-SUMPRODUCT((MOVIMIENTOS!$B$5:$B$1005="ENVÍO A SUPESA")*(MOVIMIENTOS!$C$5:$C$1005="A")*(MOVIMIENTOS!$D$5:$D$1005="jabas")*(MOVIMIENTOS!$A$5:$A$1005&lt;&gt;"")*(MOVIMIENTOS!$A$5:$A$1005&lt;=$A796)*MOVIMIENTOS!$E$5:$E$1005)+SUMPRODUCT((MOVIMIENTOS!$B$5:$B$1005="DEVOLUCIÓN")*(MOVIMIENTOS!$C$5:$C$1005="A")*(MOVIMIENTOS!$D$5:$D$1005="jabas")*(MOVIMIENTOS!$A$5:$A$1005&lt;&gt;"")*(MOVIMIENTOS!$A$5:$A$1005&lt;=$A796)*MOVIMIENTOS!$E$5:$E$1005)-SUMPRODUCT((MOVIMIENTOS!$B$5:$B$1005="TRASIEGO")*(MOVIMIENTOS!$C$5:$C$1005="A")*(MOVIMIENTOS!$D$5:$D$1005="jabas")*(MOVIMIENTOS!$A$5:$A$1005&lt;&gt;"")*(MOVIMIENTOS!$A$5:$A$1005&lt;=$A796)*MOVIMIENTOS!$E$5:$E$1005)-SUMPRODUCT((MOVIMIENTOS!$B$5:$B$1005="REGALO")*(MOVIMIENTOS!$C$5:$C$1005="A")*(MOVIMIENTOS!$D$5:$D$1005="jabas")*(MOVIMIENTOS!$A$5:$A$1005&lt;&gt;"")*(MOVIMIENTOS!$A$5:$A$1005&lt;=$A796)*MOVIMIENTOS!$E$5:$E$1005)-SUMPRODUCT((MOVIMIENTOS!$B$5:$B$1005="VENTA")*(MOVIMIENTOS!$C$5:$C$1005="A")*(MOVIMIENTOS!$D$5:$D$1005="jabas")*(MOVIMIENTOS!$A$5:$A$1005&lt;&gt;"")*(MOVIMIENTOS!$A$5:$A$1005&lt;=$A796)*MOVIMIENTOS!$E$5:$E$1005)+SUMPRODUCT((MOVIMIENTOS!$B$5:$B$1005="AJUSTE")*(MOVIMIENTOS!$C$5:$C$1005="A")*(MOVIMIENTOS!$D$5:$D$1005="jabas")*(MOVIMIENTOS!$A$5:$A$1005&lt;&gt;"")*(MOVIMIENTOS!$A$5:$A$1005&lt;=$A796)*MOVIMIENTOS!$E$5:$E$1005))</f>
        <v/>
      </c>
      <c r="C796" t="str">
        <f>IF($A796="","",SUMPRODUCT((MOVIMIENTOS!$B$5:$B$1005="SALDO INICIAL")*(MOVIMIENTOS!$C$5:$C$1005="P")*(MOVIMIENTOS!$D$5:$D$1005="jabas")*(MOVIMIENTOS!$A$5:$A$1005&lt;&gt;"")*(MOVIMIENTOS!$A$5:$A$1005&lt;=$A796)*MOVIMIENTOS!$E$5:$E$1005)+SUMPRODUCT((MOVIMIENTOS!$B$5:$B$1005="PROCESO")*(MOVIMIENTOS!$C$5:$C$1005="P")*(MOVIMIENTOS!$D$5:$D$1005="jabas")*(MOVIMIENTOS!$A$5:$A$1005&lt;&gt;"")*(MOVIMIENTOS!$A$5:$A$1005&lt;=$A796)*MOVIMIENTOS!$E$5:$E$1005)-SUMPRODUCT((MOVIMIENTOS!$B$5:$B$1005="ENVÍO A SUPESA")*(MOVIMIENTOS!$C$5:$C$1005="P")*(MOVIMIENTOS!$D$5:$D$1005="jabas")*(MOVIMIENTOS!$A$5:$A$1005&lt;&gt;"")*(MOVIMIENTOS!$A$5:$A$1005&lt;=$A796)*MOVIMIENTOS!$E$5:$E$1005)+SUMPRODUCT((MOVIMIENTOS!$B$5:$B$1005="DEVOLUCIÓN")*(MOVIMIENTOS!$C$5:$C$1005="P")*(MOVIMIENTOS!$D$5:$D$1005="jabas")*(MOVIMIENTOS!$A$5:$A$1005&lt;&gt;"")*(MOVIMIENTOS!$A$5:$A$1005&lt;=$A796)*MOVIMIENTOS!$E$5:$E$1005)-SUMPRODUCT((MOVIMIENTOS!$B$5:$B$1005="TRASIEGO")*(MOVIMIENTOS!$C$5:$C$1005="P")*(MOVIMIENTOS!$D$5:$D$1005="jabas")*(MOVIMIENTOS!$A$5:$A$1005&lt;&gt;"")*(MOVIMIENTOS!$A$5:$A$1005&lt;=$A796)*MOVIMIENTOS!$E$5:$E$1005)-SUMPRODUCT((MOVIMIENTOS!$B$5:$B$1005="REGALO")*(MOVIMIENTOS!$C$5:$C$1005="P")*(MOVIMIENTOS!$D$5:$D$1005="jabas")*(MOVIMIENTOS!$A$5:$A$1005&lt;&gt;"")*(MOVIMIENTOS!$A$5:$A$1005&lt;=$A796)*MOVIMIENTOS!$E$5:$E$1005)-SUMPRODUCT((MOVIMIENTOS!$B$5:$B$1005="VENTA")*(MOVIMIENTOS!$C$5:$C$1005="P")*(MOVIMIENTOS!$D$5:$D$1005="jabas")*(MOVIMIENTOS!$A$5:$A$1005&lt;&gt;"")*(MOVIMIENTOS!$A$5:$A$1005&lt;=$A796)*MOVIMIENTOS!$E$5:$E$1005)+SUMPRODUCT((MOVIMIENTOS!$B$5:$B$1005="AJUSTE")*(MOVIMIENTOS!$C$5:$C$1005="P")*(MOVIMIENTOS!$D$5:$D$1005="jabas")*(MOVIMIENTOS!$A$5:$A$1005&lt;&gt;"")*(MOVIMIENTOS!$A$5:$A$1005&lt;=$A796)*MOVIMIENTOS!$E$5:$E$1005))</f>
        <v/>
      </c>
      <c r="D796" t="str">
        <f>IF($A796="","",SUMPRODUCT((MOVIMIENTOS!$B$5:$B$1005="SALDO INICIAL")*(MOVIMIENTOS!$C$5:$C$1005="C")*(MOVIMIENTOS!$D$5:$D$1005="jabas")*(MOVIMIENTOS!$A$5:$A$1005&lt;&gt;"")*(MOVIMIENTOS!$A$5:$A$1005&lt;=$A796)*MOVIMIENTOS!$E$5:$E$1005)+SUMPRODUCT((MOVIMIENTOS!$B$5:$B$1005="PROCESO")*(MOVIMIENTOS!$C$5:$C$1005="C")*(MOVIMIENTOS!$D$5:$D$1005="jabas")*(MOVIMIENTOS!$A$5:$A$1005&lt;&gt;"")*(MOVIMIENTOS!$A$5:$A$1005&lt;=$A796)*MOVIMIENTOS!$E$5:$E$1005)-SUMPRODUCT((MOVIMIENTOS!$B$5:$B$1005="ENVÍO A SUPESA")*(MOVIMIENTOS!$C$5:$C$1005="C")*(MOVIMIENTOS!$D$5:$D$1005="jabas")*(MOVIMIENTOS!$A$5:$A$1005&lt;&gt;"")*(MOVIMIENTOS!$A$5:$A$1005&lt;=$A796)*MOVIMIENTOS!$E$5:$E$1005)+SUMPRODUCT((MOVIMIENTOS!$B$5:$B$1005="DEVOLUCIÓN")*(MOVIMIENTOS!$C$5:$C$1005="C")*(MOVIMIENTOS!$D$5:$D$1005="jabas")*(MOVIMIENTOS!$A$5:$A$1005&lt;&gt;"")*(MOVIMIENTOS!$A$5:$A$1005&lt;=$A796)*MOVIMIENTOS!$E$5:$E$1005)-SUMPRODUCT((MOVIMIENTOS!$B$5:$B$1005="TRASIEGO")*(MOVIMIENTOS!$C$5:$C$1005="C")*(MOVIMIENTOS!$D$5:$D$1005="jabas")*(MOVIMIENTOS!$A$5:$A$1005&lt;&gt;"")*(MOVIMIENTOS!$A$5:$A$1005&lt;=$A796)*MOVIMIENTOS!$E$5:$E$1005)-SUMPRODUCT((MOVIMIENTOS!$B$5:$B$1005="REGALO")*(MOVIMIENTOS!$C$5:$C$1005="C")*(MOVIMIENTOS!$D$5:$D$1005="jabas")*(MOVIMIENTOS!$A$5:$A$1005&lt;&gt;"")*(MOVIMIENTOS!$A$5:$A$1005&lt;=$A796)*MOVIMIENTOS!$E$5:$E$1005)-SUMPRODUCT((MOVIMIENTOS!$B$5:$B$1005="VENTA")*(MOVIMIENTOS!$C$5:$C$1005="C")*(MOVIMIENTOS!$D$5:$D$1005="jabas")*(MOVIMIENTOS!$A$5:$A$1005&lt;&gt;"")*(MOVIMIENTOS!$A$5:$A$1005&lt;=$A796)*MOVIMIENTOS!$E$5:$E$1005)+SUMPRODUCT((MOVIMIENTOS!$B$5:$B$1005="AJUSTE")*(MOVIMIENTOS!$C$5:$C$1005="C")*(MOVIMIENTOS!$D$5:$D$1005="jabas")*(MOVIMIENTOS!$A$5:$A$1005&lt;&gt;"")*(MOVIMIENTOS!$A$5:$A$1005&lt;=$A796)*MOVIMIENTOS!$E$5:$E$1005))</f>
        <v/>
      </c>
      <c r="E796" t="str">
        <f>IF($A796="","",SUMPRODUCT((MOVIMIENTOS!$B$5:$B$1005="SALDO INICIAL")*(MOVIMIENTOS!$C$5:$C$1005="M")*(MOVIMIENTOS!$D$5:$D$1005="jabas")*(MOVIMIENTOS!$A$5:$A$1005&lt;&gt;"")*(MOVIMIENTOS!$A$5:$A$1005&lt;=$A796)*MOVIMIENTOS!$E$5:$E$1005)+SUMPRODUCT((MOVIMIENTOS!$B$5:$B$1005="PROCESO")*(MOVIMIENTOS!$C$5:$C$1005="M")*(MOVIMIENTOS!$D$5:$D$1005="jabas")*(MOVIMIENTOS!$A$5:$A$1005&lt;&gt;"")*(MOVIMIENTOS!$A$5:$A$1005&lt;=$A796)*MOVIMIENTOS!$E$5:$E$1005)-SUMPRODUCT((MOVIMIENTOS!$B$5:$B$1005="ENVÍO A SUPESA")*(MOVIMIENTOS!$C$5:$C$1005="M")*(MOVIMIENTOS!$D$5:$D$1005="jabas")*(MOVIMIENTOS!$A$5:$A$1005&lt;&gt;"")*(MOVIMIENTOS!$A$5:$A$1005&lt;=$A796)*MOVIMIENTOS!$E$5:$E$1005)+SUMPRODUCT((MOVIMIENTOS!$B$5:$B$1005="DEVOLUCIÓN")*(MOVIMIENTOS!$C$5:$C$1005="M")*(MOVIMIENTOS!$D$5:$D$1005="jabas")*(MOVIMIENTOS!$A$5:$A$1005&lt;&gt;"")*(MOVIMIENTOS!$A$5:$A$1005&lt;=$A796)*MOVIMIENTOS!$E$5:$E$1005)-SUMPRODUCT((MOVIMIENTOS!$B$5:$B$1005="TRASIEGO")*(MOVIMIENTOS!$C$5:$C$1005="M")*(MOVIMIENTOS!$D$5:$D$1005="jabas")*(MOVIMIENTOS!$A$5:$A$1005&lt;&gt;"")*(MOVIMIENTOS!$A$5:$A$1005&lt;=$A796)*MOVIMIENTOS!$E$5:$E$1005)-SUMPRODUCT((MOVIMIENTOS!$B$5:$B$1005="REGALO")*(MOVIMIENTOS!$C$5:$C$1005="M")*(MOVIMIENTOS!$D$5:$D$1005="jabas")*(MOVIMIENTOS!$A$5:$A$1005&lt;&gt;"")*(MOVIMIENTOS!$A$5:$A$1005&lt;=$A796)*MOVIMIENTOS!$E$5:$E$1005)-SUMPRODUCT((MOVIMIENTOS!$B$5:$B$1005="VENTA")*(MOVIMIENTOS!$C$5:$C$1005="M")*(MOVIMIENTOS!$D$5:$D$1005="jabas")*(MOVIMIENTOS!$A$5:$A$1005&lt;&gt;"")*(MOVIMIENTOS!$A$5:$A$1005&lt;=$A796)*MOVIMIENTOS!$E$5:$E$1005)+SUMPRODUCT((MOVIMIENTOS!$B$5:$B$1005="AJUSTE")*(MOVIMIENTOS!$C$5:$C$1005="M")*(MOVIMIENTOS!$D$5:$D$1005="jabas")*(MOVIMIENTOS!$A$5:$A$1005&lt;&gt;"")*(MOVIMIENTOS!$A$5:$A$1005&lt;=$A796)*MOVIMIENTOS!$E$5:$E$1005))</f>
        <v/>
      </c>
      <c r="F796" s="62" t="str">
        <f>IF($A796="","",SUMPRODUCT((MOVIMIENTOS!$B$5:$B$1005="SALDO INICIAL")*(MOVIMIENTOS!$C$5:$C$1005="Chancho")*(MOVIMIENTOS!$D$5:$D$1005="sacos")*(MOVIMIENTOS!$A$5:$A$1005&lt;&gt;"")*(MOVIMIENTOS!$A$5:$A$1005&lt;=$A796)*MOVIMIENTOS!$E$5:$E$1005)+SUMPRODUCT((MOVIMIENTOS!$B$5:$B$1005="PROCESO")*(MOVIMIENTOS!$C$5:$C$1005="Chancho")*(MOVIMIENTOS!$D$5:$D$1005="sacos")*(MOVIMIENTOS!$A$5:$A$1005&lt;&gt;"")*(MOVIMIENTOS!$A$5:$A$1005&lt;=$A796)*MOVIMIENTOS!$E$5:$E$1005)-SUMPRODUCT((MOVIMIENTOS!$B$5:$B$1005="VENTA CHANCHO")*(MOVIMIENTOS!$C$5:$C$1005="Chancho")*(MOVIMIENTOS!$D$5:$D$1005="sacos")*(MOVIMIENTOS!$A$5:$A$1005&lt;&gt;"")*(MOVIMIENTOS!$A$5:$A$1005&lt;=$A796)*MOVIMIENTOS!$E$5:$E$1005)-SUMPRODUCT((MOVIMIENTOS!$B$5:$B$1005="REGALO")*(MOVIMIENTOS!$C$5:$C$1005="Chancho")*(MOVIMIENTOS!$D$5:$D$1005="sacos")*(MOVIMIENTOS!$A$5:$A$1005&lt;&gt;"")*(MOVIMIENTOS!$A$5:$A$1005&lt;=$A796)*MOVIMIENTOS!$E$5:$E$1005)-SUMPRODUCT((MOVIMIENTOS!$B$5:$B$1005="VENTA")*(MOVIMIENTOS!$C$5:$C$1005="Chancho")*(MOVIMIENTOS!$D$5:$D$1005="sacos")*(MOVIMIENTOS!$A$5:$A$1005&lt;&gt;"")*(MOVIMIENTOS!$A$5:$A$1005&lt;=$A796)*MOVIMIENTOS!$E$5:$E$1005)+SUMPRODUCT((MOVIMIENTOS!$B$5:$B$1005="AJUSTE")*(MOVIMIENTOS!$C$5:$C$1005="Chancho")*(MOVIMIENTOS!$D$5:$D$1005="sacos")*(MOVIMIENTOS!$A$5:$A$1005&lt;&gt;"")*(MOVIMIENTOS!$A$5:$A$1005&lt;=$A796)*MOVIMIENTOS!$E$5:$E$1005))</f>
        <v/>
      </c>
      <c r="G796" s="62" t="str">
        <f t="shared" si="25"/>
        <v/>
      </c>
      <c r="H796" t="str">
        <f>IF($A796="","",SUMPRODUCT((((MOVIMIENTOS!$B$5:$B$1005="SALDO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796)*MOVIMIENTOS!$J$5:$J$1005))</f>
        <v/>
      </c>
      <c r="J796" t="str">
        <f>IF(AND(MOVIMIENTOS!$A801&lt;&gt;"",COUNTIF(MOVIMIENTOS!$A$5:$A800,MOVIMIENTOS!$A801)=0),COUNT(J$4:J795)+1,"")</f>
        <v/>
      </c>
      <c r="K796">
        <f>MOVIMIENTOS!$A801</f>
        <v>0</v>
      </c>
    </row>
    <row r="797" spans="1:11" ht="15" customHeight="1" x14ac:dyDescent="0.2">
      <c r="A797" t="str">
        <f t="shared" si="24"/>
        <v/>
      </c>
      <c r="B797" t="str">
        <f>IF($A797="","",SUMPRODUCT((MOVIMIENTOS!$B$5:$B$1005="SALDO INICIAL")*(MOVIMIENTOS!$C$5:$C$1005="A")*(MOVIMIENTOS!$D$5:$D$1005="jabas")*(MOVIMIENTOS!$A$5:$A$1005&lt;&gt;"")*(MOVIMIENTOS!$A$5:$A$1005&lt;=$A797)*MOVIMIENTOS!$E$5:$E$1005)+SUMPRODUCT((MOVIMIENTOS!$B$5:$B$1005="PROCESO")*(MOVIMIENTOS!$C$5:$C$1005="A")*(MOVIMIENTOS!$D$5:$D$1005="jabas")*(MOVIMIENTOS!$A$5:$A$1005&lt;&gt;"")*(MOVIMIENTOS!$A$5:$A$1005&lt;=$A797)*MOVIMIENTOS!$E$5:$E$1005)-SUMPRODUCT((MOVIMIENTOS!$B$5:$B$1005="ENVÍO A SUPESA")*(MOVIMIENTOS!$C$5:$C$1005="A")*(MOVIMIENTOS!$D$5:$D$1005="jabas")*(MOVIMIENTOS!$A$5:$A$1005&lt;&gt;"")*(MOVIMIENTOS!$A$5:$A$1005&lt;=$A797)*MOVIMIENTOS!$E$5:$E$1005)+SUMPRODUCT((MOVIMIENTOS!$B$5:$B$1005="DEVOLUCIÓN")*(MOVIMIENTOS!$C$5:$C$1005="A")*(MOVIMIENTOS!$D$5:$D$1005="jabas")*(MOVIMIENTOS!$A$5:$A$1005&lt;&gt;"")*(MOVIMIENTOS!$A$5:$A$1005&lt;=$A797)*MOVIMIENTOS!$E$5:$E$1005)-SUMPRODUCT((MOVIMIENTOS!$B$5:$B$1005="TRASIEGO")*(MOVIMIENTOS!$C$5:$C$1005="A")*(MOVIMIENTOS!$D$5:$D$1005="jabas")*(MOVIMIENTOS!$A$5:$A$1005&lt;&gt;"")*(MOVIMIENTOS!$A$5:$A$1005&lt;=$A797)*MOVIMIENTOS!$E$5:$E$1005)-SUMPRODUCT((MOVIMIENTOS!$B$5:$B$1005="REGALO")*(MOVIMIENTOS!$C$5:$C$1005="A")*(MOVIMIENTOS!$D$5:$D$1005="jabas")*(MOVIMIENTOS!$A$5:$A$1005&lt;&gt;"")*(MOVIMIENTOS!$A$5:$A$1005&lt;=$A797)*MOVIMIENTOS!$E$5:$E$1005)-SUMPRODUCT((MOVIMIENTOS!$B$5:$B$1005="VENTA")*(MOVIMIENTOS!$C$5:$C$1005="A")*(MOVIMIENTOS!$D$5:$D$1005="jabas")*(MOVIMIENTOS!$A$5:$A$1005&lt;&gt;"")*(MOVIMIENTOS!$A$5:$A$1005&lt;=$A797)*MOVIMIENTOS!$E$5:$E$1005)+SUMPRODUCT((MOVIMIENTOS!$B$5:$B$1005="AJUSTE")*(MOVIMIENTOS!$C$5:$C$1005="A")*(MOVIMIENTOS!$D$5:$D$1005="jabas")*(MOVIMIENTOS!$A$5:$A$1005&lt;&gt;"")*(MOVIMIENTOS!$A$5:$A$1005&lt;=$A797)*MOVIMIENTOS!$E$5:$E$1005))</f>
        <v/>
      </c>
      <c r="C797" t="str">
        <f>IF($A797="","",SUMPRODUCT((MOVIMIENTOS!$B$5:$B$1005="SALDO INICIAL")*(MOVIMIENTOS!$C$5:$C$1005="P")*(MOVIMIENTOS!$D$5:$D$1005="jabas")*(MOVIMIENTOS!$A$5:$A$1005&lt;&gt;"")*(MOVIMIENTOS!$A$5:$A$1005&lt;=$A797)*MOVIMIENTOS!$E$5:$E$1005)+SUMPRODUCT((MOVIMIENTOS!$B$5:$B$1005="PROCESO")*(MOVIMIENTOS!$C$5:$C$1005="P")*(MOVIMIENTOS!$D$5:$D$1005="jabas")*(MOVIMIENTOS!$A$5:$A$1005&lt;&gt;"")*(MOVIMIENTOS!$A$5:$A$1005&lt;=$A797)*MOVIMIENTOS!$E$5:$E$1005)-SUMPRODUCT((MOVIMIENTOS!$B$5:$B$1005="ENVÍO A SUPESA")*(MOVIMIENTOS!$C$5:$C$1005="P")*(MOVIMIENTOS!$D$5:$D$1005="jabas")*(MOVIMIENTOS!$A$5:$A$1005&lt;&gt;"")*(MOVIMIENTOS!$A$5:$A$1005&lt;=$A797)*MOVIMIENTOS!$E$5:$E$1005)+SUMPRODUCT((MOVIMIENTOS!$B$5:$B$1005="DEVOLUCIÓN")*(MOVIMIENTOS!$C$5:$C$1005="P")*(MOVIMIENTOS!$D$5:$D$1005="jabas")*(MOVIMIENTOS!$A$5:$A$1005&lt;&gt;"")*(MOVIMIENTOS!$A$5:$A$1005&lt;=$A797)*MOVIMIENTOS!$E$5:$E$1005)-SUMPRODUCT((MOVIMIENTOS!$B$5:$B$1005="TRASIEGO")*(MOVIMIENTOS!$C$5:$C$1005="P")*(MOVIMIENTOS!$D$5:$D$1005="jabas")*(MOVIMIENTOS!$A$5:$A$1005&lt;&gt;"")*(MOVIMIENTOS!$A$5:$A$1005&lt;=$A797)*MOVIMIENTOS!$E$5:$E$1005)-SUMPRODUCT((MOVIMIENTOS!$B$5:$B$1005="REGALO")*(MOVIMIENTOS!$C$5:$C$1005="P")*(MOVIMIENTOS!$D$5:$D$1005="jabas")*(MOVIMIENTOS!$A$5:$A$1005&lt;&gt;"")*(MOVIMIENTOS!$A$5:$A$1005&lt;=$A797)*MOVIMIENTOS!$E$5:$E$1005)-SUMPRODUCT((MOVIMIENTOS!$B$5:$B$1005="VENTA")*(MOVIMIENTOS!$C$5:$C$1005="P")*(MOVIMIENTOS!$D$5:$D$1005="jabas")*(MOVIMIENTOS!$A$5:$A$1005&lt;&gt;"")*(MOVIMIENTOS!$A$5:$A$1005&lt;=$A797)*MOVIMIENTOS!$E$5:$E$1005)+SUMPRODUCT((MOVIMIENTOS!$B$5:$B$1005="AJUSTE")*(MOVIMIENTOS!$C$5:$C$1005="P")*(MOVIMIENTOS!$D$5:$D$1005="jabas")*(MOVIMIENTOS!$A$5:$A$1005&lt;&gt;"")*(MOVIMIENTOS!$A$5:$A$1005&lt;=$A797)*MOVIMIENTOS!$E$5:$E$1005))</f>
        <v/>
      </c>
      <c r="D797" t="str">
        <f>IF($A797="","",SUMPRODUCT((MOVIMIENTOS!$B$5:$B$1005="SALDO INICIAL")*(MOVIMIENTOS!$C$5:$C$1005="C")*(MOVIMIENTOS!$D$5:$D$1005="jabas")*(MOVIMIENTOS!$A$5:$A$1005&lt;&gt;"")*(MOVIMIENTOS!$A$5:$A$1005&lt;=$A797)*MOVIMIENTOS!$E$5:$E$1005)+SUMPRODUCT((MOVIMIENTOS!$B$5:$B$1005="PROCESO")*(MOVIMIENTOS!$C$5:$C$1005="C")*(MOVIMIENTOS!$D$5:$D$1005="jabas")*(MOVIMIENTOS!$A$5:$A$1005&lt;&gt;"")*(MOVIMIENTOS!$A$5:$A$1005&lt;=$A797)*MOVIMIENTOS!$E$5:$E$1005)-SUMPRODUCT((MOVIMIENTOS!$B$5:$B$1005="ENVÍO A SUPESA")*(MOVIMIENTOS!$C$5:$C$1005="C")*(MOVIMIENTOS!$D$5:$D$1005="jabas")*(MOVIMIENTOS!$A$5:$A$1005&lt;&gt;"")*(MOVIMIENTOS!$A$5:$A$1005&lt;=$A797)*MOVIMIENTOS!$E$5:$E$1005)+SUMPRODUCT((MOVIMIENTOS!$B$5:$B$1005="DEVOLUCIÓN")*(MOVIMIENTOS!$C$5:$C$1005="C")*(MOVIMIENTOS!$D$5:$D$1005="jabas")*(MOVIMIENTOS!$A$5:$A$1005&lt;&gt;"")*(MOVIMIENTOS!$A$5:$A$1005&lt;=$A797)*MOVIMIENTOS!$E$5:$E$1005)-SUMPRODUCT((MOVIMIENTOS!$B$5:$B$1005="TRASIEGO")*(MOVIMIENTOS!$C$5:$C$1005="C")*(MOVIMIENTOS!$D$5:$D$1005="jabas")*(MOVIMIENTOS!$A$5:$A$1005&lt;&gt;"")*(MOVIMIENTOS!$A$5:$A$1005&lt;=$A797)*MOVIMIENTOS!$E$5:$E$1005)-SUMPRODUCT((MOVIMIENTOS!$B$5:$B$1005="REGALO")*(MOVIMIENTOS!$C$5:$C$1005="C")*(MOVIMIENTOS!$D$5:$D$1005="jabas")*(MOVIMIENTOS!$A$5:$A$1005&lt;&gt;"")*(MOVIMIENTOS!$A$5:$A$1005&lt;=$A797)*MOVIMIENTOS!$E$5:$E$1005)-SUMPRODUCT((MOVIMIENTOS!$B$5:$B$1005="VENTA")*(MOVIMIENTOS!$C$5:$C$1005="C")*(MOVIMIENTOS!$D$5:$D$1005="jabas")*(MOVIMIENTOS!$A$5:$A$1005&lt;&gt;"")*(MOVIMIENTOS!$A$5:$A$1005&lt;=$A797)*MOVIMIENTOS!$E$5:$E$1005)+SUMPRODUCT((MOVIMIENTOS!$B$5:$B$1005="AJUSTE")*(MOVIMIENTOS!$C$5:$C$1005="C")*(MOVIMIENTOS!$D$5:$D$1005="jabas")*(MOVIMIENTOS!$A$5:$A$1005&lt;&gt;"")*(MOVIMIENTOS!$A$5:$A$1005&lt;=$A797)*MOVIMIENTOS!$E$5:$E$1005))</f>
        <v/>
      </c>
      <c r="E797" t="str">
        <f>IF($A797="","",SUMPRODUCT((MOVIMIENTOS!$B$5:$B$1005="SALDO INICIAL")*(MOVIMIENTOS!$C$5:$C$1005="M")*(MOVIMIENTOS!$D$5:$D$1005="jabas")*(MOVIMIENTOS!$A$5:$A$1005&lt;&gt;"")*(MOVIMIENTOS!$A$5:$A$1005&lt;=$A797)*MOVIMIENTOS!$E$5:$E$1005)+SUMPRODUCT((MOVIMIENTOS!$B$5:$B$1005="PROCESO")*(MOVIMIENTOS!$C$5:$C$1005="M")*(MOVIMIENTOS!$D$5:$D$1005="jabas")*(MOVIMIENTOS!$A$5:$A$1005&lt;&gt;"")*(MOVIMIENTOS!$A$5:$A$1005&lt;=$A797)*MOVIMIENTOS!$E$5:$E$1005)-SUMPRODUCT((MOVIMIENTOS!$B$5:$B$1005="ENVÍO A SUPESA")*(MOVIMIENTOS!$C$5:$C$1005="M")*(MOVIMIENTOS!$D$5:$D$1005="jabas")*(MOVIMIENTOS!$A$5:$A$1005&lt;&gt;"")*(MOVIMIENTOS!$A$5:$A$1005&lt;=$A797)*MOVIMIENTOS!$E$5:$E$1005)+SUMPRODUCT((MOVIMIENTOS!$B$5:$B$1005="DEVOLUCIÓN")*(MOVIMIENTOS!$C$5:$C$1005="M")*(MOVIMIENTOS!$D$5:$D$1005="jabas")*(MOVIMIENTOS!$A$5:$A$1005&lt;&gt;"")*(MOVIMIENTOS!$A$5:$A$1005&lt;=$A797)*MOVIMIENTOS!$E$5:$E$1005)-SUMPRODUCT((MOVIMIENTOS!$B$5:$B$1005="TRASIEGO")*(MOVIMIENTOS!$C$5:$C$1005="M")*(MOVIMIENTOS!$D$5:$D$1005="jabas")*(MOVIMIENTOS!$A$5:$A$1005&lt;&gt;"")*(MOVIMIENTOS!$A$5:$A$1005&lt;=$A797)*MOVIMIENTOS!$E$5:$E$1005)-SUMPRODUCT((MOVIMIENTOS!$B$5:$B$1005="REGALO")*(MOVIMIENTOS!$C$5:$C$1005="M")*(MOVIMIENTOS!$D$5:$D$1005="jabas")*(MOVIMIENTOS!$A$5:$A$1005&lt;&gt;"")*(MOVIMIENTOS!$A$5:$A$1005&lt;=$A797)*MOVIMIENTOS!$E$5:$E$1005)-SUMPRODUCT((MOVIMIENTOS!$B$5:$B$1005="VENTA")*(MOVIMIENTOS!$C$5:$C$1005="M")*(MOVIMIENTOS!$D$5:$D$1005="jabas")*(MOVIMIENTOS!$A$5:$A$1005&lt;&gt;"")*(MOVIMIENTOS!$A$5:$A$1005&lt;=$A797)*MOVIMIENTOS!$E$5:$E$1005)+SUMPRODUCT((MOVIMIENTOS!$B$5:$B$1005="AJUSTE")*(MOVIMIENTOS!$C$5:$C$1005="M")*(MOVIMIENTOS!$D$5:$D$1005="jabas")*(MOVIMIENTOS!$A$5:$A$1005&lt;&gt;"")*(MOVIMIENTOS!$A$5:$A$1005&lt;=$A797)*MOVIMIENTOS!$E$5:$E$1005))</f>
        <v/>
      </c>
      <c r="F797" s="62" t="str">
        <f>IF($A797="","",SUMPRODUCT((MOVIMIENTOS!$B$5:$B$1005="SALDO INICIAL")*(MOVIMIENTOS!$C$5:$C$1005="Chancho")*(MOVIMIENTOS!$D$5:$D$1005="sacos")*(MOVIMIENTOS!$A$5:$A$1005&lt;&gt;"")*(MOVIMIENTOS!$A$5:$A$1005&lt;=$A797)*MOVIMIENTOS!$E$5:$E$1005)+SUMPRODUCT((MOVIMIENTOS!$B$5:$B$1005="PROCESO")*(MOVIMIENTOS!$C$5:$C$1005="Chancho")*(MOVIMIENTOS!$D$5:$D$1005="sacos")*(MOVIMIENTOS!$A$5:$A$1005&lt;&gt;"")*(MOVIMIENTOS!$A$5:$A$1005&lt;=$A797)*MOVIMIENTOS!$E$5:$E$1005)-SUMPRODUCT((MOVIMIENTOS!$B$5:$B$1005="VENTA CHANCHO")*(MOVIMIENTOS!$C$5:$C$1005="Chancho")*(MOVIMIENTOS!$D$5:$D$1005="sacos")*(MOVIMIENTOS!$A$5:$A$1005&lt;&gt;"")*(MOVIMIENTOS!$A$5:$A$1005&lt;=$A797)*MOVIMIENTOS!$E$5:$E$1005)-SUMPRODUCT((MOVIMIENTOS!$B$5:$B$1005="REGALO")*(MOVIMIENTOS!$C$5:$C$1005="Chancho")*(MOVIMIENTOS!$D$5:$D$1005="sacos")*(MOVIMIENTOS!$A$5:$A$1005&lt;&gt;"")*(MOVIMIENTOS!$A$5:$A$1005&lt;=$A797)*MOVIMIENTOS!$E$5:$E$1005)-SUMPRODUCT((MOVIMIENTOS!$B$5:$B$1005="VENTA")*(MOVIMIENTOS!$C$5:$C$1005="Chancho")*(MOVIMIENTOS!$D$5:$D$1005="sacos")*(MOVIMIENTOS!$A$5:$A$1005&lt;&gt;"")*(MOVIMIENTOS!$A$5:$A$1005&lt;=$A797)*MOVIMIENTOS!$E$5:$E$1005)+SUMPRODUCT((MOVIMIENTOS!$B$5:$B$1005="AJUSTE")*(MOVIMIENTOS!$C$5:$C$1005="Chancho")*(MOVIMIENTOS!$D$5:$D$1005="sacos")*(MOVIMIENTOS!$A$5:$A$1005&lt;&gt;"")*(MOVIMIENTOS!$A$5:$A$1005&lt;=$A797)*MOVIMIENTOS!$E$5:$E$1005))</f>
        <v/>
      </c>
      <c r="G797" s="62" t="str">
        <f t="shared" si="25"/>
        <v/>
      </c>
      <c r="H797" t="str">
        <f>IF($A797="","",SUMPRODUCT((((MOVIMIENTOS!$B$5:$B$1005="SALDO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797)*MOVIMIENTOS!$J$5:$J$1005))</f>
        <v/>
      </c>
      <c r="J797" t="str">
        <f>IF(AND(MOVIMIENTOS!$A802&lt;&gt;"",COUNTIF(MOVIMIENTOS!$A$5:$A801,MOVIMIENTOS!$A802)=0),COUNT(J$4:J796)+1,"")</f>
        <v/>
      </c>
      <c r="K797">
        <f>MOVIMIENTOS!$A802</f>
        <v>0</v>
      </c>
    </row>
    <row r="798" spans="1:11" ht="15" customHeight="1" x14ac:dyDescent="0.2">
      <c r="A798" t="str">
        <f t="shared" si="24"/>
        <v/>
      </c>
      <c r="B798" t="str">
        <f>IF($A798="","",SUMPRODUCT((MOVIMIENTOS!$B$5:$B$1005="SALDO INICIAL")*(MOVIMIENTOS!$C$5:$C$1005="A")*(MOVIMIENTOS!$D$5:$D$1005="jabas")*(MOVIMIENTOS!$A$5:$A$1005&lt;&gt;"")*(MOVIMIENTOS!$A$5:$A$1005&lt;=$A798)*MOVIMIENTOS!$E$5:$E$1005)+SUMPRODUCT((MOVIMIENTOS!$B$5:$B$1005="PROCESO")*(MOVIMIENTOS!$C$5:$C$1005="A")*(MOVIMIENTOS!$D$5:$D$1005="jabas")*(MOVIMIENTOS!$A$5:$A$1005&lt;&gt;"")*(MOVIMIENTOS!$A$5:$A$1005&lt;=$A798)*MOVIMIENTOS!$E$5:$E$1005)-SUMPRODUCT((MOVIMIENTOS!$B$5:$B$1005="ENVÍO A SUPESA")*(MOVIMIENTOS!$C$5:$C$1005="A")*(MOVIMIENTOS!$D$5:$D$1005="jabas")*(MOVIMIENTOS!$A$5:$A$1005&lt;&gt;"")*(MOVIMIENTOS!$A$5:$A$1005&lt;=$A798)*MOVIMIENTOS!$E$5:$E$1005)+SUMPRODUCT((MOVIMIENTOS!$B$5:$B$1005="DEVOLUCIÓN")*(MOVIMIENTOS!$C$5:$C$1005="A")*(MOVIMIENTOS!$D$5:$D$1005="jabas")*(MOVIMIENTOS!$A$5:$A$1005&lt;&gt;"")*(MOVIMIENTOS!$A$5:$A$1005&lt;=$A798)*MOVIMIENTOS!$E$5:$E$1005)-SUMPRODUCT((MOVIMIENTOS!$B$5:$B$1005="TRASIEGO")*(MOVIMIENTOS!$C$5:$C$1005="A")*(MOVIMIENTOS!$D$5:$D$1005="jabas")*(MOVIMIENTOS!$A$5:$A$1005&lt;&gt;"")*(MOVIMIENTOS!$A$5:$A$1005&lt;=$A798)*MOVIMIENTOS!$E$5:$E$1005)-SUMPRODUCT((MOVIMIENTOS!$B$5:$B$1005="REGALO")*(MOVIMIENTOS!$C$5:$C$1005="A")*(MOVIMIENTOS!$D$5:$D$1005="jabas")*(MOVIMIENTOS!$A$5:$A$1005&lt;&gt;"")*(MOVIMIENTOS!$A$5:$A$1005&lt;=$A798)*MOVIMIENTOS!$E$5:$E$1005)-SUMPRODUCT((MOVIMIENTOS!$B$5:$B$1005="VENTA")*(MOVIMIENTOS!$C$5:$C$1005="A")*(MOVIMIENTOS!$D$5:$D$1005="jabas")*(MOVIMIENTOS!$A$5:$A$1005&lt;&gt;"")*(MOVIMIENTOS!$A$5:$A$1005&lt;=$A798)*MOVIMIENTOS!$E$5:$E$1005)+SUMPRODUCT((MOVIMIENTOS!$B$5:$B$1005="AJUSTE")*(MOVIMIENTOS!$C$5:$C$1005="A")*(MOVIMIENTOS!$D$5:$D$1005="jabas")*(MOVIMIENTOS!$A$5:$A$1005&lt;&gt;"")*(MOVIMIENTOS!$A$5:$A$1005&lt;=$A798)*MOVIMIENTOS!$E$5:$E$1005))</f>
        <v/>
      </c>
      <c r="C798" t="str">
        <f>IF($A798="","",SUMPRODUCT((MOVIMIENTOS!$B$5:$B$1005="SALDO INICIAL")*(MOVIMIENTOS!$C$5:$C$1005="P")*(MOVIMIENTOS!$D$5:$D$1005="jabas")*(MOVIMIENTOS!$A$5:$A$1005&lt;&gt;"")*(MOVIMIENTOS!$A$5:$A$1005&lt;=$A798)*MOVIMIENTOS!$E$5:$E$1005)+SUMPRODUCT((MOVIMIENTOS!$B$5:$B$1005="PROCESO")*(MOVIMIENTOS!$C$5:$C$1005="P")*(MOVIMIENTOS!$D$5:$D$1005="jabas")*(MOVIMIENTOS!$A$5:$A$1005&lt;&gt;"")*(MOVIMIENTOS!$A$5:$A$1005&lt;=$A798)*MOVIMIENTOS!$E$5:$E$1005)-SUMPRODUCT((MOVIMIENTOS!$B$5:$B$1005="ENVÍO A SUPESA")*(MOVIMIENTOS!$C$5:$C$1005="P")*(MOVIMIENTOS!$D$5:$D$1005="jabas")*(MOVIMIENTOS!$A$5:$A$1005&lt;&gt;"")*(MOVIMIENTOS!$A$5:$A$1005&lt;=$A798)*MOVIMIENTOS!$E$5:$E$1005)+SUMPRODUCT((MOVIMIENTOS!$B$5:$B$1005="DEVOLUCIÓN")*(MOVIMIENTOS!$C$5:$C$1005="P")*(MOVIMIENTOS!$D$5:$D$1005="jabas")*(MOVIMIENTOS!$A$5:$A$1005&lt;&gt;"")*(MOVIMIENTOS!$A$5:$A$1005&lt;=$A798)*MOVIMIENTOS!$E$5:$E$1005)-SUMPRODUCT((MOVIMIENTOS!$B$5:$B$1005="TRASIEGO")*(MOVIMIENTOS!$C$5:$C$1005="P")*(MOVIMIENTOS!$D$5:$D$1005="jabas")*(MOVIMIENTOS!$A$5:$A$1005&lt;&gt;"")*(MOVIMIENTOS!$A$5:$A$1005&lt;=$A798)*MOVIMIENTOS!$E$5:$E$1005)-SUMPRODUCT((MOVIMIENTOS!$B$5:$B$1005="REGALO")*(MOVIMIENTOS!$C$5:$C$1005="P")*(MOVIMIENTOS!$D$5:$D$1005="jabas")*(MOVIMIENTOS!$A$5:$A$1005&lt;&gt;"")*(MOVIMIENTOS!$A$5:$A$1005&lt;=$A798)*MOVIMIENTOS!$E$5:$E$1005)-SUMPRODUCT((MOVIMIENTOS!$B$5:$B$1005="VENTA")*(MOVIMIENTOS!$C$5:$C$1005="P")*(MOVIMIENTOS!$D$5:$D$1005="jabas")*(MOVIMIENTOS!$A$5:$A$1005&lt;&gt;"")*(MOVIMIENTOS!$A$5:$A$1005&lt;=$A798)*MOVIMIENTOS!$E$5:$E$1005)+SUMPRODUCT((MOVIMIENTOS!$B$5:$B$1005="AJUSTE")*(MOVIMIENTOS!$C$5:$C$1005="P")*(MOVIMIENTOS!$D$5:$D$1005="jabas")*(MOVIMIENTOS!$A$5:$A$1005&lt;&gt;"")*(MOVIMIENTOS!$A$5:$A$1005&lt;=$A798)*MOVIMIENTOS!$E$5:$E$1005))</f>
        <v/>
      </c>
      <c r="D798" t="str">
        <f>IF($A798="","",SUMPRODUCT((MOVIMIENTOS!$B$5:$B$1005="SALDO INICIAL")*(MOVIMIENTOS!$C$5:$C$1005="C")*(MOVIMIENTOS!$D$5:$D$1005="jabas")*(MOVIMIENTOS!$A$5:$A$1005&lt;&gt;"")*(MOVIMIENTOS!$A$5:$A$1005&lt;=$A798)*MOVIMIENTOS!$E$5:$E$1005)+SUMPRODUCT((MOVIMIENTOS!$B$5:$B$1005="PROCESO")*(MOVIMIENTOS!$C$5:$C$1005="C")*(MOVIMIENTOS!$D$5:$D$1005="jabas")*(MOVIMIENTOS!$A$5:$A$1005&lt;&gt;"")*(MOVIMIENTOS!$A$5:$A$1005&lt;=$A798)*MOVIMIENTOS!$E$5:$E$1005)-SUMPRODUCT((MOVIMIENTOS!$B$5:$B$1005="ENVÍO A SUPESA")*(MOVIMIENTOS!$C$5:$C$1005="C")*(MOVIMIENTOS!$D$5:$D$1005="jabas")*(MOVIMIENTOS!$A$5:$A$1005&lt;&gt;"")*(MOVIMIENTOS!$A$5:$A$1005&lt;=$A798)*MOVIMIENTOS!$E$5:$E$1005)+SUMPRODUCT((MOVIMIENTOS!$B$5:$B$1005="DEVOLUCIÓN")*(MOVIMIENTOS!$C$5:$C$1005="C")*(MOVIMIENTOS!$D$5:$D$1005="jabas")*(MOVIMIENTOS!$A$5:$A$1005&lt;&gt;"")*(MOVIMIENTOS!$A$5:$A$1005&lt;=$A798)*MOVIMIENTOS!$E$5:$E$1005)-SUMPRODUCT((MOVIMIENTOS!$B$5:$B$1005="TRASIEGO")*(MOVIMIENTOS!$C$5:$C$1005="C")*(MOVIMIENTOS!$D$5:$D$1005="jabas")*(MOVIMIENTOS!$A$5:$A$1005&lt;&gt;"")*(MOVIMIENTOS!$A$5:$A$1005&lt;=$A798)*MOVIMIENTOS!$E$5:$E$1005)-SUMPRODUCT((MOVIMIENTOS!$B$5:$B$1005="REGALO")*(MOVIMIENTOS!$C$5:$C$1005="C")*(MOVIMIENTOS!$D$5:$D$1005="jabas")*(MOVIMIENTOS!$A$5:$A$1005&lt;&gt;"")*(MOVIMIENTOS!$A$5:$A$1005&lt;=$A798)*MOVIMIENTOS!$E$5:$E$1005)-SUMPRODUCT((MOVIMIENTOS!$B$5:$B$1005="VENTA")*(MOVIMIENTOS!$C$5:$C$1005="C")*(MOVIMIENTOS!$D$5:$D$1005="jabas")*(MOVIMIENTOS!$A$5:$A$1005&lt;&gt;"")*(MOVIMIENTOS!$A$5:$A$1005&lt;=$A798)*MOVIMIENTOS!$E$5:$E$1005)+SUMPRODUCT((MOVIMIENTOS!$B$5:$B$1005="AJUSTE")*(MOVIMIENTOS!$C$5:$C$1005="C")*(MOVIMIENTOS!$D$5:$D$1005="jabas")*(MOVIMIENTOS!$A$5:$A$1005&lt;&gt;"")*(MOVIMIENTOS!$A$5:$A$1005&lt;=$A798)*MOVIMIENTOS!$E$5:$E$1005))</f>
        <v/>
      </c>
      <c r="E798" t="str">
        <f>IF($A798="","",SUMPRODUCT((MOVIMIENTOS!$B$5:$B$1005="SALDO INICIAL")*(MOVIMIENTOS!$C$5:$C$1005="M")*(MOVIMIENTOS!$D$5:$D$1005="jabas")*(MOVIMIENTOS!$A$5:$A$1005&lt;&gt;"")*(MOVIMIENTOS!$A$5:$A$1005&lt;=$A798)*MOVIMIENTOS!$E$5:$E$1005)+SUMPRODUCT((MOVIMIENTOS!$B$5:$B$1005="PROCESO")*(MOVIMIENTOS!$C$5:$C$1005="M")*(MOVIMIENTOS!$D$5:$D$1005="jabas")*(MOVIMIENTOS!$A$5:$A$1005&lt;&gt;"")*(MOVIMIENTOS!$A$5:$A$1005&lt;=$A798)*MOVIMIENTOS!$E$5:$E$1005)-SUMPRODUCT((MOVIMIENTOS!$B$5:$B$1005="ENVÍO A SUPESA")*(MOVIMIENTOS!$C$5:$C$1005="M")*(MOVIMIENTOS!$D$5:$D$1005="jabas")*(MOVIMIENTOS!$A$5:$A$1005&lt;&gt;"")*(MOVIMIENTOS!$A$5:$A$1005&lt;=$A798)*MOVIMIENTOS!$E$5:$E$1005)+SUMPRODUCT((MOVIMIENTOS!$B$5:$B$1005="DEVOLUCIÓN")*(MOVIMIENTOS!$C$5:$C$1005="M")*(MOVIMIENTOS!$D$5:$D$1005="jabas")*(MOVIMIENTOS!$A$5:$A$1005&lt;&gt;"")*(MOVIMIENTOS!$A$5:$A$1005&lt;=$A798)*MOVIMIENTOS!$E$5:$E$1005)-SUMPRODUCT((MOVIMIENTOS!$B$5:$B$1005="TRASIEGO")*(MOVIMIENTOS!$C$5:$C$1005="M")*(MOVIMIENTOS!$D$5:$D$1005="jabas")*(MOVIMIENTOS!$A$5:$A$1005&lt;&gt;"")*(MOVIMIENTOS!$A$5:$A$1005&lt;=$A798)*MOVIMIENTOS!$E$5:$E$1005)-SUMPRODUCT((MOVIMIENTOS!$B$5:$B$1005="REGALO")*(MOVIMIENTOS!$C$5:$C$1005="M")*(MOVIMIENTOS!$D$5:$D$1005="jabas")*(MOVIMIENTOS!$A$5:$A$1005&lt;&gt;"")*(MOVIMIENTOS!$A$5:$A$1005&lt;=$A798)*MOVIMIENTOS!$E$5:$E$1005)-SUMPRODUCT((MOVIMIENTOS!$B$5:$B$1005="VENTA")*(MOVIMIENTOS!$C$5:$C$1005="M")*(MOVIMIENTOS!$D$5:$D$1005="jabas")*(MOVIMIENTOS!$A$5:$A$1005&lt;&gt;"")*(MOVIMIENTOS!$A$5:$A$1005&lt;=$A798)*MOVIMIENTOS!$E$5:$E$1005)+SUMPRODUCT((MOVIMIENTOS!$B$5:$B$1005="AJUSTE")*(MOVIMIENTOS!$C$5:$C$1005="M")*(MOVIMIENTOS!$D$5:$D$1005="jabas")*(MOVIMIENTOS!$A$5:$A$1005&lt;&gt;"")*(MOVIMIENTOS!$A$5:$A$1005&lt;=$A798)*MOVIMIENTOS!$E$5:$E$1005))</f>
        <v/>
      </c>
      <c r="F798" s="62" t="str">
        <f>IF($A798="","",SUMPRODUCT((MOVIMIENTOS!$B$5:$B$1005="SALDO INICIAL")*(MOVIMIENTOS!$C$5:$C$1005="Chancho")*(MOVIMIENTOS!$D$5:$D$1005="sacos")*(MOVIMIENTOS!$A$5:$A$1005&lt;&gt;"")*(MOVIMIENTOS!$A$5:$A$1005&lt;=$A798)*MOVIMIENTOS!$E$5:$E$1005)+SUMPRODUCT((MOVIMIENTOS!$B$5:$B$1005="PROCESO")*(MOVIMIENTOS!$C$5:$C$1005="Chancho")*(MOVIMIENTOS!$D$5:$D$1005="sacos")*(MOVIMIENTOS!$A$5:$A$1005&lt;&gt;"")*(MOVIMIENTOS!$A$5:$A$1005&lt;=$A798)*MOVIMIENTOS!$E$5:$E$1005)-SUMPRODUCT((MOVIMIENTOS!$B$5:$B$1005="VENTA CHANCHO")*(MOVIMIENTOS!$C$5:$C$1005="Chancho")*(MOVIMIENTOS!$D$5:$D$1005="sacos")*(MOVIMIENTOS!$A$5:$A$1005&lt;&gt;"")*(MOVIMIENTOS!$A$5:$A$1005&lt;=$A798)*MOVIMIENTOS!$E$5:$E$1005)-SUMPRODUCT((MOVIMIENTOS!$B$5:$B$1005="REGALO")*(MOVIMIENTOS!$C$5:$C$1005="Chancho")*(MOVIMIENTOS!$D$5:$D$1005="sacos")*(MOVIMIENTOS!$A$5:$A$1005&lt;&gt;"")*(MOVIMIENTOS!$A$5:$A$1005&lt;=$A798)*MOVIMIENTOS!$E$5:$E$1005)-SUMPRODUCT((MOVIMIENTOS!$B$5:$B$1005="VENTA")*(MOVIMIENTOS!$C$5:$C$1005="Chancho")*(MOVIMIENTOS!$D$5:$D$1005="sacos")*(MOVIMIENTOS!$A$5:$A$1005&lt;&gt;"")*(MOVIMIENTOS!$A$5:$A$1005&lt;=$A798)*MOVIMIENTOS!$E$5:$E$1005)+SUMPRODUCT((MOVIMIENTOS!$B$5:$B$1005="AJUSTE")*(MOVIMIENTOS!$C$5:$C$1005="Chancho")*(MOVIMIENTOS!$D$5:$D$1005="sacos")*(MOVIMIENTOS!$A$5:$A$1005&lt;&gt;"")*(MOVIMIENTOS!$A$5:$A$1005&lt;=$A798)*MOVIMIENTOS!$E$5:$E$1005))</f>
        <v/>
      </c>
      <c r="G798" s="62" t="str">
        <f t="shared" si="25"/>
        <v/>
      </c>
      <c r="H798" t="str">
        <f>IF($A798="","",SUMPRODUCT((((MOVIMIENTOS!$B$5:$B$1005="SALDO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798)*MOVIMIENTOS!$J$5:$J$1005))</f>
        <v/>
      </c>
      <c r="J798" t="str">
        <f>IF(AND(MOVIMIENTOS!$A803&lt;&gt;"",COUNTIF(MOVIMIENTOS!$A$5:$A802,MOVIMIENTOS!$A803)=0),COUNT(J$4:J797)+1,"")</f>
        <v/>
      </c>
      <c r="K798">
        <f>MOVIMIENTOS!$A803</f>
        <v>0</v>
      </c>
    </row>
    <row r="799" spans="1:11" ht="15" customHeight="1" x14ac:dyDescent="0.2">
      <c r="A799" t="str">
        <f t="shared" si="24"/>
        <v/>
      </c>
      <c r="B799" t="str">
        <f>IF($A799="","",SUMPRODUCT((MOVIMIENTOS!$B$5:$B$1005="SALDO INICIAL")*(MOVIMIENTOS!$C$5:$C$1005="A")*(MOVIMIENTOS!$D$5:$D$1005="jabas")*(MOVIMIENTOS!$A$5:$A$1005&lt;&gt;"")*(MOVIMIENTOS!$A$5:$A$1005&lt;=$A799)*MOVIMIENTOS!$E$5:$E$1005)+SUMPRODUCT((MOVIMIENTOS!$B$5:$B$1005="PROCESO")*(MOVIMIENTOS!$C$5:$C$1005="A")*(MOVIMIENTOS!$D$5:$D$1005="jabas")*(MOVIMIENTOS!$A$5:$A$1005&lt;&gt;"")*(MOVIMIENTOS!$A$5:$A$1005&lt;=$A799)*MOVIMIENTOS!$E$5:$E$1005)-SUMPRODUCT((MOVIMIENTOS!$B$5:$B$1005="ENVÍO A SUPESA")*(MOVIMIENTOS!$C$5:$C$1005="A")*(MOVIMIENTOS!$D$5:$D$1005="jabas")*(MOVIMIENTOS!$A$5:$A$1005&lt;&gt;"")*(MOVIMIENTOS!$A$5:$A$1005&lt;=$A799)*MOVIMIENTOS!$E$5:$E$1005)+SUMPRODUCT((MOVIMIENTOS!$B$5:$B$1005="DEVOLUCIÓN")*(MOVIMIENTOS!$C$5:$C$1005="A")*(MOVIMIENTOS!$D$5:$D$1005="jabas")*(MOVIMIENTOS!$A$5:$A$1005&lt;&gt;"")*(MOVIMIENTOS!$A$5:$A$1005&lt;=$A799)*MOVIMIENTOS!$E$5:$E$1005)-SUMPRODUCT((MOVIMIENTOS!$B$5:$B$1005="TRASIEGO")*(MOVIMIENTOS!$C$5:$C$1005="A")*(MOVIMIENTOS!$D$5:$D$1005="jabas")*(MOVIMIENTOS!$A$5:$A$1005&lt;&gt;"")*(MOVIMIENTOS!$A$5:$A$1005&lt;=$A799)*MOVIMIENTOS!$E$5:$E$1005)-SUMPRODUCT((MOVIMIENTOS!$B$5:$B$1005="REGALO")*(MOVIMIENTOS!$C$5:$C$1005="A")*(MOVIMIENTOS!$D$5:$D$1005="jabas")*(MOVIMIENTOS!$A$5:$A$1005&lt;&gt;"")*(MOVIMIENTOS!$A$5:$A$1005&lt;=$A799)*MOVIMIENTOS!$E$5:$E$1005)-SUMPRODUCT((MOVIMIENTOS!$B$5:$B$1005="VENTA")*(MOVIMIENTOS!$C$5:$C$1005="A")*(MOVIMIENTOS!$D$5:$D$1005="jabas")*(MOVIMIENTOS!$A$5:$A$1005&lt;&gt;"")*(MOVIMIENTOS!$A$5:$A$1005&lt;=$A799)*MOVIMIENTOS!$E$5:$E$1005)+SUMPRODUCT((MOVIMIENTOS!$B$5:$B$1005="AJUSTE")*(MOVIMIENTOS!$C$5:$C$1005="A")*(MOVIMIENTOS!$D$5:$D$1005="jabas")*(MOVIMIENTOS!$A$5:$A$1005&lt;&gt;"")*(MOVIMIENTOS!$A$5:$A$1005&lt;=$A799)*MOVIMIENTOS!$E$5:$E$1005))</f>
        <v/>
      </c>
      <c r="C799" t="str">
        <f>IF($A799="","",SUMPRODUCT((MOVIMIENTOS!$B$5:$B$1005="SALDO INICIAL")*(MOVIMIENTOS!$C$5:$C$1005="P")*(MOVIMIENTOS!$D$5:$D$1005="jabas")*(MOVIMIENTOS!$A$5:$A$1005&lt;&gt;"")*(MOVIMIENTOS!$A$5:$A$1005&lt;=$A799)*MOVIMIENTOS!$E$5:$E$1005)+SUMPRODUCT((MOVIMIENTOS!$B$5:$B$1005="PROCESO")*(MOVIMIENTOS!$C$5:$C$1005="P")*(MOVIMIENTOS!$D$5:$D$1005="jabas")*(MOVIMIENTOS!$A$5:$A$1005&lt;&gt;"")*(MOVIMIENTOS!$A$5:$A$1005&lt;=$A799)*MOVIMIENTOS!$E$5:$E$1005)-SUMPRODUCT((MOVIMIENTOS!$B$5:$B$1005="ENVÍO A SUPESA")*(MOVIMIENTOS!$C$5:$C$1005="P")*(MOVIMIENTOS!$D$5:$D$1005="jabas")*(MOVIMIENTOS!$A$5:$A$1005&lt;&gt;"")*(MOVIMIENTOS!$A$5:$A$1005&lt;=$A799)*MOVIMIENTOS!$E$5:$E$1005)+SUMPRODUCT((MOVIMIENTOS!$B$5:$B$1005="DEVOLUCIÓN")*(MOVIMIENTOS!$C$5:$C$1005="P")*(MOVIMIENTOS!$D$5:$D$1005="jabas")*(MOVIMIENTOS!$A$5:$A$1005&lt;&gt;"")*(MOVIMIENTOS!$A$5:$A$1005&lt;=$A799)*MOVIMIENTOS!$E$5:$E$1005)-SUMPRODUCT((MOVIMIENTOS!$B$5:$B$1005="TRASIEGO")*(MOVIMIENTOS!$C$5:$C$1005="P")*(MOVIMIENTOS!$D$5:$D$1005="jabas")*(MOVIMIENTOS!$A$5:$A$1005&lt;&gt;"")*(MOVIMIENTOS!$A$5:$A$1005&lt;=$A799)*MOVIMIENTOS!$E$5:$E$1005)-SUMPRODUCT((MOVIMIENTOS!$B$5:$B$1005="REGALO")*(MOVIMIENTOS!$C$5:$C$1005="P")*(MOVIMIENTOS!$D$5:$D$1005="jabas")*(MOVIMIENTOS!$A$5:$A$1005&lt;&gt;"")*(MOVIMIENTOS!$A$5:$A$1005&lt;=$A799)*MOVIMIENTOS!$E$5:$E$1005)-SUMPRODUCT((MOVIMIENTOS!$B$5:$B$1005="VENTA")*(MOVIMIENTOS!$C$5:$C$1005="P")*(MOVIMIENTOS!$D$5:$D$1005="jabas")*(MOVIMIENTOS!$A$5:$A$1005&lt;&gt;"")*(MOVIMIENTOS!$A$5:$A$1005&lt;=$A799)*MOVIMIENTOS!$E$5:$E$1005)+SUMPRODUCT((MOVIMIENTOS!$B$5:$B$1005="AJUSTE")*(MOVIMIENTOS!$C$5:$C$1005="P")*(MOVIMIENTOS!$D$5:$D$1005="jabas")*(MOVIMIENTOS!$A$5:$A$1005&lt;&gt;"")*(MOVIMIENTOS!$A$5:$A$1005&lt;=$A799)*MOVIMIENTOS!$E$5:$E$1005))</f>
        <v/>
      </c>
      <c r="D799" t="str">
        <f>IF($A799="","",SUMPRODUCT((MOVIMIENTOS!$B$5:$B$1005="SALDO INICIAL")*(MOVIMIENTOS!$C$5:$C$1005="C")*(MOVIMIENTOS!$D$5:$D$1005="jabas")*(MOVIMIENTOS!$A$5:$A$1005&lt;&gt;"")*(MOVIMIENTOS!$A$5:$A$1005&lt;=$A799)*MOVIMIENTOS!$E$5:$E$1005)+SUMPRODUCT((MOVIMIENTOS!$B$5:$B$1005="PROCESO")*(MOVIMIENTOS!$C$5:$C$1005="C")*(MOVIMIENTOS!$D$5:$D$1005="jabas")*(MOVIMIENTOS!$A$5:$A$1005&lt;&gt;"")*(MOVIMIENTOS!$A$5:$A$1005&lt;=$A799)*MOVIMIENTOS!$E$5:$E$1005)-SUMPRODUCT((MOVIMIENTOS!$B$5:$B$1005="ENVÍO A SUPESA")*(MOVIMIENTOS!$C$5:$C$1005="C")*(MOVIMIENTOS!$D$5:$D$1005="jabas")*(MOVIMIENTOS!$A$5:$A$1005&lt;&gt;"")*(MOVIMIENTOS!$A$5:$A$1005&lt;=$A799)*MOVIMIENTOS!$E$5:$E$1005)+SUMPRODUCT((MOVIMIENTOS!$B$5:$B$1005="DEVOLUCIÓN")*(MOVIMIENTOS!$C$5:$C$1005="C")*(MOVIMIENTOS!$D$5:$D$1005="jabas")*(MOVIMIENTOS!$A$5:$A$1005&lt;&gt;"")*(MOVIMIENTOS!$A$5:$A$1005&lt;=$A799)*MOVIMIENTOS!$E$5:$E$1005)-SUMPRODUCT((MOVIMIENTOS!$B$5:$B$1005="TRASIEGO")*(MOVIMIENTOS!$C$5:$C$1005="C")*(MOVIMIENTOS!$D$5:$D$1005="jabas")*(MOVIMIENTOS!$A$5:$A$1005&lt;&gt;"")*(MOVIMIENTOS!$A$5:$A$1005&lt;=$A799)*MOVIMIENTOS!$E$5:$E$1005)-SUMPRODUCT((MOVIMIENTOS!$B$5:$B$1005="REGALO")*(MOVIMIENTOS!$C$5:$C$1005="C")*(MOVIMIENTOS!$D$5:$D$1005="jabas")*(MOVIMIENTOS!$A$5:$A$1005&lt;&gt;"")*(MOVIMIENTOS!$A$5:$A$1005&lt;=$A799)*MOVIMIENTOS!$E$5:$E$1005)-SUMPRODUCT((MOVIMIENTOS!$B$5:$B$1005="VENTA")*(MOVIMIENTOS!$C$5:$C$1005="C")*(MOVIMIENTOS!$D$5:$D$1005="jabas")*(MOVIMIENTOS!$A$5:$A$1005&lt;&gt;"")*(MOVIMIENTOS!$A$5:$A$1005&lt;=$A799)*MOVIMIENTOS!$E$5:$E$1005)+SUMPRODUCT((MOVIMIENTOS!$B$5:$B$1005="AJUSTE")*(MOVIMIENTOS!$C$5:$C$1005="C")*(MOVIMIENTOS!$D$5:$D$1005="jabas")*(MOVIMIENTOS!$A$5:$A$1005&lt;&gt;"")*(MOVIMIENTOS!$A$5:$A$1005&lt;=$A799)*MOVIMIENTOS!$E$5:$E$1005))</f>
        <v/>
      </c>
      <c r="E799" t="str">
        <f>IF($A799="","",SUMPRODUCT((MOVIMIENTOS!$B$5:$B$1005="SALDO INICIAL")*(MOVIMIENTOS!$C$5:$C$1005="M")*(MOVIMIENTOS!$D$5:$D$1005="jabas")*(MOVIMIENTOS!$A$5:$A$1005&lt;&gt;"")*(MOVIMIENTOS!$A$5:$A$1005&lt;=$A799)*MOVIMIENTOS!$E$5:$E$1005)+SUMPRODUCT((MOVIMIENTOS!$B$5:$B$1005="PROCESO")*(MOVIMIENTOS!$C$5:$C$1005="M")*(MOVIMIENTOS!$D$5:$D$1005="jabas")*(MOVIMIENTOS!$A$5:$A$1005&lt;&gt;"")*(MOVIMIENTOS!$A$5:$A$1005&lt;=$A799)*MOVIMIENTOS!$E$5:$E$1005)-SUMPRODUCT((MOVIMIENTOS!$B$5:$B$1005="ENVÍO A SUPESA")*(MOVIMIENTOS!$C$5:$C$1005="M")*(MOVIMIENTOS!$D$5:$D$1005="jabas")*(MOVIMIENTOS!$A$5:$A$1005&lt;&gt;"")*(MOVIMIENTOS!$A$5:$A$1005&lt;=$A799)*MOVIMIENTOS!$E$5:$E$1005)+SUMPRODUCT((MOVIMIENTOS!$B$5:$B$1005="DEVOLUCIÓN")*(MOVIMIENTOS!$C$5:$C$1005="M")*(MOVIMIENTOS!$D$5:$D$1005="jabas")*(MOVIMIENTOS!$A$5:$A$1005&lt;&gt;"")*(MOVIMIENTOS!$A$5:$A$1005&lt;=$A799)*MOVIMIENTOS!$E$5:$E$1005)-SUMPRODUCT((MOVIMIENTOS!$B$5:$B$1005="TRASIEGO")*(MOVIMIENTOS!$C$5:$C$1005="M")*(MOVIMIENTOS!$D$5:$D$1005="jabas")*(MOVIMIENTOS!$A$5:$A$1005&lt;&gt;"")*(MOVIMIENTOS!$A$5:$A$1005&lt;=$A799)*MOVIMIENTOS!$E$5:$E$1005)-SUMPRODUCT((MOVIMIENTOS!$B$5:$B$1005="REGALO")*(MOVIMIENTOS!$C$5:$C$1005="M")*(MOVIMIENTOS!$D$5:$D$1005="jabas")*(MOVIMIENTOS!$A$5:$A$1005&lt;&gt;"")*(MOVIMIENTOS!$A$5:$A$1005&lt;=$A799)*MOVIMIENTOS!$E$5:$E$1005)-SUMPRODUCT((MOVIMIENTOS!$B$5:$B$1005="VENTA")*(MOVIMIENTOS!$C$5:$C$1005="M")*(MOVIMIENTOS!$D$5:$D$1005="jabas")*(MOVIMIENTOS!$A$5:$A$1005&lt;&gt;"")*(MOVIMIENTOS!$A$5:$A$1005&lt;=$A799)*MOVIMIENTOS!$E$5:$E$1005)+SUMPRODUCT((MOVIMIENTOS!$B$5:$B$1005="AJUSTE")*(MOVIMIENTOS!$C$5:$C$1005="M")*(MOVIMIENTOS!$D$5:$D$1005="jabas")*(MOVIMIENTOS!$A$5:$A$1005&lt;&gt;"")*(MOVIMIENTOS!$A$5:$A$1005&lt;=$A799)*MOVIMIENTOS!$E$5:$E$1005))</f>
        <v/>
      </c>
      <c r="F799" s="62" t="str">
        <f>IF($A799="","",SUMPRODUCT((MOVIMIENTOS!$B$5:$B$1005="SALDO INICIAL")*(MOVIMIENTOS!$C$5:$C$1005="Chancho")*(MOVIMIENTOS!$D$5:$D$1005="sacos")*(MOVIMIENTOS!$A$5:$A$1005&lt;&gt;"")*(MOVIMIENTOS!$A$5:$A$1005&lt;=$A799)*MOVIMIENTOS!$E$5:$E$1005)+SUMPRODUCT((MOVIMIENTOS!$B$5:$B$1005="PROCESO")*(MOVIMIENTOS!$C$5:$C$1005="Chancho")*(MOVIMIENTOS!$D$5:$D$1005="sacos")*(MOVIMIENTOS!$A$5:$A$1005&lt;&gt;"")*(MOVIMIENTOS!$A$5:$A$1005&lt;=$A799)*MOVIMIENTOS!$E$5:$E$1005)-SUMPRODUCT((MOVIMIENTOS!$B$5:$B$1005="VENTA CHANCHO")*(MOVIMIENTOS!$C$5:$C$1005="Chancho")*(MOVIMIENTOS!$D$5:$D$1005="sacos")*(MOVIMIENTOS!$A$5:$A$1005&lt;&gt;"")*(MOVIMIENTOS!$A$5:$A$1005&lt;=$A799)*MOVIMIENTOS!$E$5:$E$1005)-SUMPRODUCT((MOVIMIENTOS!$B$5:$B$1005="REGALO")*(MOVIMIENTOS!$C$5:$C$1005="Chancho")*(MOVIMIENTOS!$D$5:$D$1005="sacos")*(MOVIMIENTOS!$A$5:$A$1005&lt;&gt;"")*(MOVIMIENTOS!$A$5:$A$1005&lt;=$A799)*MOVIMIENTOS!$E$5:$E$1005)-SUMPRODUCT((MOVIMIENTOS!$B$5:$B$1005="VENTA")*(MOVIMIENTOS!$C$5:$C$1005="Chancho")*(MOVIMIENTOS!$D$5:$D$1005="sacos")*(MOVIMIENTOS!$A$5:$A$1005&lt;&gt;"")*(MOVIMIENTOS!$A$5:$A$1005&lt;=$A799)*MOVIMIENTOS!$E$5:$E$1005)+SUMPRODUCT((MOVIMIENTOS!$B$5:$B$1005="AJUSTE")*(MOVIMIENTOS!$C$5:$C$1005="Chancho")*(MOVIMIENTOS!$D$5:$D$1005="sacos")*(MOVIMIENTOS!$A$5:$A$1005&lt;&gt;"")*(MOVIMIENTOS!$A$5:$A$1005&lt;=$A799)*MOVIMIENTOS!$E$5:$E$1005))</f>
        <v/>
      </c>
      <c r="G799" s="62" t="str">
        <f t="shared" si="25"/>
        <v/>
      </c>
      <c r="H799" t="str">
        <f>IF($A799="","",SUMPRODUCT((((MOVIMIENTOS!$B$5:$B$1005="SALDO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799)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799)*MOVIMIENTOS!$J$5:$J$1005))</f>
        <v/>
      </c>
      <c r="J799" t="str">
        <f>IF(AND(MOVIMIENTOS!$A804&lt;&gt;"",COUNTIF(MOVIMIENTOS!$A$5:$A803,MOVIMIENTOS!$A804)=0),COUNT(J$4:J798)+1,"")</f>
        <v/>
      </c>
      <c r="K799">
        <f>MOVIMIENTOS!$A804</f>
        <v>0</v>
      </c>
    </row>
    <row r="800" spans="1:11" ht="15" customHeight="1" x14ac:dyDescent="0.2">
      <c r="A800" t="str">
        <f t="shared" si="24"/>
        <v/>
      </c>
      <c r="B800" t="str">
        <f>IF($A800="","",SUMPRODUCT((MOVIMIENTOS!$B$5:$B$1005="SALDO INICIAL")*(MOVIMIENTOS!$C$5:$C$1005="A")*(MOVIMIENTOS!$D$5:$D$1005="jabas")*(MOVIMIENTOS!$A$5:$A$1005&lt;&gt;"")*(MOVIMIENTOS!$A$5:$A$1005&lt;=$A800)*MOVIMIENTOS!$E$5:$E$1005)+SUMPRODUCT((MOVIMIENTOS!$B$5:$B$1005="PROCESO")*(MOVIMIENTOS!$C$5:$C$1005="A")*(MOVIMIENTOS!$D$5:$D$1005="jabas")*(MOVIMIENTOS!$A$5:$A$1005&lt;&gt;"")*(MOVIMIENTOS!$A$5:$A$1005&lt;=$A800)*MOVIMIENTOS!$E$5:$E$1005)-SUMPRODUCT((MOVIMIENTOS!$B$5:$B$1005="ENVÍO A SUPESA")*(MOVIMIENTOS!$C$5:$C$1005="A")*(MOVIMIENTOS!$D$5:$D$1005="jabas")*(MOVIMIENTOS!$A$5:$A$1005&lt;&gt;"")*(MOVIMIENTOS!$A$5:$A$1005&lt;=$A800)*MOVIMIENTOS!$E$5:$E$1005)+SUMPRODUCT((MOVIMIENTOS!$B$5:$B$1005="DEVOLUCIÓN")*(MOVIMIENTOS!$C$5:$C$1005="A")*(MOVIMIENTOS!$D$5:$D$1005="jabas")*(MOVIMIENTOS!$A$5:$A$1005&lt;&gt;"")*(MOVIMIENTOS!$A$5:$A$1005&lt;=$A800)*MOVIMIENTOS!$E$5:$E$1005)-SUMPRODUCT((MOVIMIENTOS!$B$5:$B$1005="TRASIEGO")*(MOVIMIENTOS!$C$5:$C$1005="A")*(MOVIMIENTOS!$D$5:$D$1005="jabas")*(MOVIMIENTOS!$A$5:$A$1005&lt;&gt;"")*(MOVIMIENTOS!$A$5:$A$1005&lt;=$A800)*MOVIMIENTOS!$E$5:$E$1005)-SUMPRODUCT((MOVIMIENTOS!$B$5:$B$1005="REGALO")*(MOVIMIENTOS!$C$5:$C$1005="A")*(MOVIMIENTOS!$D$5:$D$1005="jabas")*(MOVIMIENTOS!$A$5:$A$1005&lt;&gt;"")*(MOVIMIENTOS!$A$5:$A$1005&lt;=$A800)*MOVIMIENTOS!$E$5:$E$1005)-SUMPRODUCT((MOVIMIENTOS!$B$5:$B$1005="VENTA")*(MOVIMIENTOS!$C$5:$C$1005="A")*(MOVIMIENTOS!$D$5:$D$1005="jabas")*(MOVIMIENTOS!$A$5:$A$1005&lt;&gt;"")*(MOVIMIENTOS!$A$5:$A$1005&lt;=$A800)*MOVIMIENTOS!$E$5:$E$1005)+SUMPRODUCT((MOVIMIENTOS!$B$5:$B$1005="AJUSTE")*(MOVIMIENTOS!$C$5:$C$1005="A")*(MOVIMIENTOS!$D$5:$D$1005="jabas")*(MOVIMIENTOS!$A$5:$A$1005&lt;&gt;"")*(MOVIMIENTOS!$A$5:$A$1005&lt;=$A800)*MOVIMIENTOS!$E$5:$E$1005))</f>
        <v/>
      </c>
      <c r="C800" t="str">
        <f>IF($A800="","",SUMPRODUCT((MOVIMIENTOS!$B$5:$B$1005="SALDO INICIAL")*(MOVIMIENTOS!$C$5:$C$1005="P")*(MOVIMIENTOS!$D$5:$D$1005="jabas")*(MOVIMIENTOS!$A$5:$A$1005&lt;&gt;"")*(MOVIMIENTOS!$A$5:$A$1005&lt;=$A800)*MOVIMIENTOS!$E$5:$E$1005)+SUMPRODUCT((MOVIMIENTOS!$B$5:$B$1005="PROCESO")*(MOVIMIENTOS!$C$5:$C$1005="P")*(MOVIMIENTOS!$D$5:$D$1005="jabas")*(MOVIMIENTOS!$A$5:$A$1005&lt;&gt;"")*(MOVIMIENTOS!$A$5:$A$1005&lt;=$A800)*MOVIMIENTOS!$E$5:$E$1005)-SUMPRODUCT((MOVIMIENTOS!$B$5:$B$1005="ENVÍO A SUPESA")*(MOVIMIENTOS!$C$5:$C$1005="P")*(MOVIMIENTOS!$D$5:$D$1005="jabas")*(MOVIMIENTOS!$A$5:$A$1005&lt;&gt;"")*(MOVIMIENTOS!$A$5:$A$1005&lt;=$A800)*MOVIMIENTOS!$E$5:$E$1005)+SUMPRODUCT((MOVIMIENTOS!$B$5:$B$1005="DEVOLUCIÓN")*(MOVIMIENTOS!$C$5:$C$1005="P")*(MOVIMIENTOS!$D$5:$D$1005="jabas")*(MOVIMIENTOS!$A$5:$A$1005&lt;&gt;"")*(MOVIMIENTOS!$A$5:$A$1005&lt;=$A800)*MOVIMIENTOS!$E$5:$E$1005)-SUMPRODUCT((MOVIMIENTOS!$B$5:$B$1005="TRASIEGO")*(MOVIMIENTOS!$C$5:$C$1005="P")*(MOVIMIENTOS!$D$5:$D$1005="jabas")*(MOVIMIENTOS!$A$5:$A$1005&lt;&gt;"")*(MOVIMIENTOS!$A$5:$A$1005&lt;=$A800)*MOVIMIENTOS!$E$5:$E$1005)-SUMPRODUCT((MOVIMIENTOS!$B$5:$B$1005="REGALO")*(MOVIMIENTOS!$C$5:$C$1005="P")*(MOVIMIENTOS!$D$5:$D$1005="jabas")*(MOVIMIENTOS!$A$5:$A$1005&lt;&gt;"")*(MOVIMIENTOS!$A$5:$A$1005&lt;=$A800)*MOVIMIENTOS!$E$5:$E$1005)-SUMPRODUCT((MOVIMIENTOS!$B$5:$B$1005="VENTA")*(MOVIMIENTOS!$C$5:$C$1005="P")*(MOVIMIENTOS!$D$5:$D$1005="jabas")*(MOVIMIENTOS!$A$5:$A$1005&lt;&gt;"")*(MOVIMIENTOS!$A$5:$A$1005&lt;=$A800)*MOVIMIENTOS!$E$5:$E$1005)+SUMPRODUCT((MOVIMIENTOS!$B$5:$B$1005="AJUSTE")*(MOVIMIENTOS!$C$5:$C$1005="P")*(MOVIMIENTOS!$D$5:$D$1005="jabas")*(MOVIMIENTOS!$A$5:$A$1005&lt;&gt;"")*(MOVIMIENTOS!$A$5:$A$1005&lt;=$A800)*MOVIMIENTOS!$E$5:$E$1005))</f>
        <v/>
      </c>
      <c r="D800" t="str">
        <f>IF($A800="","",SUMPRODUCT((MOVIMIENTOS!$B$5:$B$1005="SALDO INICIAL")*(MOVIMIENTOS!$C$5:$C$1005="C")*(MOVIMIENTOS!$D$5:$D$1005="jabas")*(MOVIMIENTOS!$A$5:$A$1005&lt;&gt;"")*(MOVIMIENTOS!$A$5:$A$1005&lt;=$A800)*MOVIMIENTOS!$E$5:$E$1005)+SUMPRODUCT((MOVIMIENTOS!$B$5:$B$1005="PROCESO")*(MOVIMIENTOS!$C$5:$C$1005="C")*(MOVIMIENTOS!$D$5:$D$1005="jabas")*(MOVIMIENTOS!$A$5:$A$1005&lt;&gt;"")*(MOVIMIENTOS!$A$5:$A$1005&lt;=$A800)*MOVIMIENTOS!$E$5:$E$1005)-SUMPRODUCT((MOVIMIENTOS!$B$5:$B$1005="ENVÍO A SUPESA")*(MOVIMIENTOS!$C$5:$C$1005="C")*(MOVIMIENTOS!$D$5:$D$1005="jabas")*(MOVIMIENTOS!$A$5:$A$1005&lt;&gt;"")*(MOVIMIENTOS!$A$5:$A$1005&lt;=$A800)*MOVIMIENTOS!$E$5:$E$1005)+SUMPRODUCT((MOVIMIENTOS!$B$5:$B$1005="DEVOLUCIÓN")*(MOVIMIENTOS!$C$5:$C$1005="C")*(MOVIMIENTOS!$D$5:$D$1005="jabas")*(MOVIMIENTOS!$A$5:$A$1005&lt;&gt;"")*(MOVIMIENTOS!$A$5:$A$1005&lt;=$A800)*MOVIMIENTOS!$E$5:$E$1005)-SUMPRODUCT((MOVIMIENTOS!$B$5:$B$1005="TRASIEGO")*(MOVIMIENTOS!$C$5:$C$1005="C")*(MOVIMIENTOS!$D$5:$D$1005="jabas")*(MOVIMIENTOS!$A$5:$A$1005&lt;&gt;"")*(MOVIMIENTOS!$A$5:$A$1005&lt;=$A800)*MOVIMIENTOS!$E$5:$E$1005)-SUMPRODUCT((MOVIMIENTOS!$B$5:$B$1005="REGALO")*(MOVIMIENTOS!$C$5:$C$1005="C")*(MOVIMIENTOS!$D$5:$D$1005="jabas")*(MOVIMIENTOS!$A$5:$A$1005&lt;&gt;"")*(MOVIMIENTOS!$A$5:$A$1005&lt;=$A800)*MOVIMIENTOS!$E$5:$E$1005)-SUMPRODUCT((MOVIMIENTOS!$B$5:$B$1005="VENTA")*(MOVIMIENTOS!$C$5:$C$1005="C")*(MOVIMIENTOS!$D$5:$D$1005="jabas")*(MOVIMIENTOS!$A$5:$A$1005&lt;&gt;"")*(MOVIMIENTOS!$A$5:$A$1005&lt;=$A800)*MOVIMIENTOS!$E$5:$E$1005)+SUMPRODUCT((MOVIMIENTOS!$B$5:$B$1005="AJUSTE")*(MOVIMIENTOS!$C$5:$C$1005="C")*(MOVIMIENTOS!$D$5:$D$1005="jabas")*(MOVIMIENTOS!$A$5:$A$1005&lt;&gt;"")*(MOVIMIENTOS!$A$5:$A$1005&lt;=$A800)*MOVIMIENTOS!$E$5:$E$1005))</f>
        <v/>
      </c>
      <c r="E800" t="str">
        <f>IF($A800="","",SUMPRODUCT((MOVIMIENTOS!$B$5:$B$1005="SALDO INICIAL")*(MOVIMIENTOS!$C$5:$C$1005="M")*(MOVIMIENTOS!$D$5:$D$1005="jabas")*(MOVIMIENTOS!$A$5:$A$1005&lt;&gt;"")*(MOVIMIENTOS!$A$5:$A$1005&lt;=$A800)*MOVIMIENTOS!$E$5:$E$1005)+SUMPRODUCT((MOVIMIENTOS!$B$5:$B$1005="PROCESO")*(MOVIMIENTOS!$C$5:$C$1005="M")*(MOVIMIENTOS!$D$5:$D$1005="jabas")*(MOVIMIENTOS!$A$5:$A$1005&lt;&gt;"")*(MOVIMIENTOS!$A$5:$A$1005&lt;=$A800)*MOVIMIENTOS!$E$5:$E$1005)-SUMPRODUCT((MOVIMIENTOS!$B$5:$B$1005="ENVÍO A SUPESA")*(MOVIMIENTOS!$C$5:$C$1005="M")*(MOVIMIENTOS!$D$5:$D$1005="jabas")*(MOVIMIENTOS!$A$5:$A$1005&lt;&gt;"")*(MOVIMIENTOS!$A$5:$A$1005&lt;=$A800)*MOVIMIENTOS!$E$5:$E$1005)+SUMPRODUCT((MOVIMIENTOS!$B$5:$B$1005="DEVOLUCIÓN")*(MOVIMIENTOS!$C$5:$C$1005="M")*(MOVIMIENTOS!$D$5:$D$1005="jabas")*(MOVIMIENTOS!$A$5:$A$1005&lt;&gt;"")*(MOVIMIENTOS!$A$5:$A$1005&lt;=$A800)*MOVIMIENTOS!$E$5:$E$1005)-SUMPRODUCT((MOVIMIENTOS!$B$5:$B$1005="TRASIEGO")*(MOVIMIENTOS!$C$5:$C$1005="M")*(MOVIMIENTOS!$D$5:$D$1005="jabas")*(MOVIMIENTOS!$A$5:$A$1005&lt;&gt;"")*(MOVIMIENTOS!$A$5:$A$1005&lt;=$A800)*MOVIMIENTOS!$E$5:$E$1005)-SUMPRODUCT((MOVIMIENTOS!$B$5:$B$1005="REGALO")*(MOVIMIENTOS!$C$5:$C$1005="M")*(MOVIMIENTOS!$D$5:$D$1005="jabas")*(MOVIMIENTOS!$A$5:$A$1005&lt;&gt;"")*(MOVIMIENTOS!$A$5:$A$1005&lt;=$A800)*MOVIMIENTOS!$E$5:$E$1005)-SUMPRODUCT((MOVIMIENTOS!$B$5:$B$1005="VENTA")*(MOVIMIENTOS!$C$5:$C$1005="M")*(MOVIMIENTOS!$D$5:$D$1005="jabas")*(MOVIMIENTOS!$A$5:$A$1005&lt;&gt;"")*(MOVIMIENTOS!$A$5:$A$1005&lt;=$A800)*MOVIMIENTOS!$E$5:$E$1005)+SUMPRODUCT((MOVIMIENTOS!$B$5:$B$1005="AJUSTE")*(MOVIMIENTOS!$C$5:$C$1005="M")*(MOVIMIENTOS!$D$5:$D$1005="jabas")*(MOVIMIENTOS!$A$5:$A$1005&lt;&gt;"")*(MOVIMIENTOS!$A$5:$A$1005&lt;=$A800)*MOVIMIENTOS!$E$5:$E$1005))</f>
        <v/>
      </c>
      <c r="F800" s="62" t="str">
        <f>IF($A800="","",SUMPRODUCT((MOVIMIENTOS!$B$5:$B$1005="SALDO INICIAL")*(MOVIMIENTOS!$C$5:$C$1005="Chancho")*(MOVIMIENTOS!$D$5:$D$1005="sacos")*(MOVIMIENTOS!$A$5:$A$1005&lt;&gt;"")*(MOVIMIENTOS!$A$5:$A$1005&lt;=$A800)*MOVIMIENTOS!$E$5:$E$1005)+SUMPRODUCT((MOVIMIENTOS!$B$5:$B$1005="PROCESO")*(MOVIMIENTOS!$C$5:$C$1005="Chancho")*(MOVIMIENTOS!$D$5:$D$1005="sacos")*(MOVIMIENTOS!$A$5:$A$1005&lt;&gt;"")*(MOVIMIENTOS!$A$5:$A$1005&lt;=$A800)*MOVIMIENTOS!$E$5:$E$1005)-SUMPRODUCT((MOVIMIENTOS!$B$5:$B$1005="VENTA CHANCHO")*(MOVIMIENTOS!$C$5:$C$1005="Chancho")*(MOVIMIENTOS!$D$5:$D$1005="sacos")*(MOVIMIENTOS!$A$5:$A$1005&lt;&gt;"")*(MOVIMIENTOS!$A$5:$A$1005&lt;=$A800)*MOVIMIENTOS!$E$5:$E$1005)-SUMPRODUCT((MOVIMIENTOS!$B$5:$B$1005="REGALO")*(MOVIMIENTOS!$C$5:$C$1005="Chancho")*(MOVIMIENTOS!$D$5:$D$1005="sacos")*(MOVIMIENTOS!$A$5:$A$1005&lt;&gt;"")*(MOVIMIENTOS!$A$5:$A$1005&lt;=$A800)*MOVIMIENTOS!$E$5:$E$1005)-SUMPRODUCT((MOVIMIENTOS!$B$5:$B$1005="VENTA")*(MOVIMIENTOS!$C$5:$C$1005="Chancho")*(MOVIMIENTOS!$D$5:$D$1005="sacos")*(MOVIMIENTOS!$A$5:$A$1005&lt;&gt;"")*(MOVIMIENTOS!$A$5:$A$1005&lt;=$A800)*MOVIMIENTOS!$E$5:$E$1005)+SUMPRODUCT((MOVIMIENTOS!$B$5:$B$1005="AJUSTE")*(MOVIMIENTOS!$C$5:$C$1005="Chancho")*(MOVIMIENTOS!$D$5:$D$1005="sacos")*(MOVIMIENTOS!$A$5:$A$1005&lt;&gt;"")*(MOVIMIENTOS!$A$5:$A$1005&lt;=$A800)*MOVIMIENTOS!$E$5:$E$1005))</f>
        <v/>
      </c>
      <c r="G800" s="62" t="str">
        <f t="shared" si="25"/>
        <v/>
      </c>
      <c r="H800" t="str">
        <f>IF($A800="","",SUMPRODUCT((((MOVIMIENTOS!$B$5:$B$1005="SALDO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800)*MOVIMIENTOS!$J$5:$J$1005))</f>
        <v/>
      </c>
      <c r="J800" t="str">
        <f>IF(AND(MOVIMIENTOS!$A805&lt;&gt;"",COUNTIF(MOVIMIENTOS!$A$5:$A804,MOVIMIENTOS!$A805)=0),COUNT(J$4:J799)+1,"")</f>
        <v/>
      </c>
      <c r="K800">
        <f>MOVIMIENTOS!$A805</f>
        <v>0</v>
      </c>
    </row>
    <row r="801" spans="1:11" ht="15" customHeight="1" x14ac:dyDescent="0.2">
      <c r="A801" t="str">
        <f t="shared" si="24"/>
        <v/>
      </c>
      <c r="B801" t="str">
        <f>IF($A801="","",SUMPRODUCT((MOVIMIENTOS!$B$5:$B$1005="SALDO INICIAL")*(MOVIMIENTOS!$C$5:$C$1005="A")*(MOVIMIENTOS!$D$5:$D$1005="jabas")*(MOVIMIENTOS!$A$5:$A$1005&lt;&gt;"")*(MOVIMIENTOS!$A$5:$A$1005&lt;=$A801)*MOVIMIENTOS!$E$5:$E$1005)+SUMPRODUCT((MOVIMIENTOS!$B$5:$B$1005="PROCESO")*(MOVIMIENTOS!$C$5:$C$1005="A")*(MOVIMIENTOS!$D$5:$D$1005="jabas")*(MOVIMIENTOS!$A$5:$A$1005&lt;&gt;"")*(MOVIMIENTOS!$A$5:$A$1005&lt;=$A801)*MOVIMIENTOS!$E$5:$E$1005)-SUMPRODUCT((MOVIMIENTOS!$B$5:$B$1005="ENVÍO A SUPESA")*(MOVIMIENTOS!$C$5:$C$1005="A")*(MOVIMIENTOS!$D$5:$D$1005="jabas")*(MOVIMIENTOS!$A$5:$A$1005&lt;&gt;"")*(MOVIMIENTOS!$A$5:$A$1005&lt;=$A801)*MOVIMIENTOS!$E$5:$E$1005)+SUMPRODUCT((MOVIMIENTOS!$B$5:$B$1005="DEVOLUCIÓN")*(MOVIMIENTOS!$C$5:$C$1005="A")*(MOVIMIENTOS!$D$5:$D$1005="jabas")*(MOVIMIENTOS!$A$5:$A$1005&lt;&gt;"")*(MOVIMIENTOS!$A$5:$A$1005&lt;=$A801)*MOVIMIENTOS!$E$5:$E$1005)-SUMPRODUCT((MOVIMIENTOS!$B$5:$B$1005="TRASIEGO")*(MOVIMIENTOS!$C$5:$C$1005="A")*(MOVIMIENTOS!$D$5:$D$1005="jabas")*(MOVIMIENTOS!$A$5:$A$1005&lt;&gt;"")*(MOVIMIENTOS!$A$5:$A$1005&lt;=$A801)*MOVIMIENTOS!$E$5:$E$1005)-SUMPRODUCT((MOVIMIENTOS!$B$5:$B$1005="REGALO")*(MOVIMIENTOS!$C$5:$C$1005="A")*(MOVIMIENTOS!$D$5:$D$1005="jabas")*(MOVIMIENTOS!$A$5:$A$1005&lt;&gt;"")*(MOVIMIENTOS!$A$5:$A$1005&lt;=$A801)*MOVIMIENTOS!$E$5:$E$1005)-SUMPRODUCT((MOVIMIENTOS!$B$5:$B$1005="VENTA")*(MOVIMIENTOS!$C$5:$C$1005="A")*(MOVIMIENTOS!$D$5:$D$1005="jabas")*(MOVIMIENTOS!$A$5:$A$1005&lt;&gt;"")*(MOVIMIENTOS!$A$5:$A$1005&lt;=$A801)*MOVIMIENTOS!$E$5:$E$1005)+SUMPRODUCT((MOVIMIENTOS!$B$5:$B$1005="AJUSTE")*(MOVIMIENTOS!$C$5:$C$1005="A")*(MOVIMIENTOS!$D$5:$D$1005="jabas")*(MOVIMIENTOS!$A$5:$A$1005&lt;&gt;"")*(MOVIMIENTOS!$A$5:$A$1005&lt;=$A801)*MOVIMIENTOS!$E$5:$E$1005))</f>
        <v/>
      </c>
      <c r="C801" t="str">
        <f>IF($A801="","",SUMPRODUCT((MOVIMIENTOS!$B$5:$B$1005="SALDO INICIAL")*(MOVIMIENTOS!$C$5:$C$1005="P")*(MOVIMIENTOS!$D$5:$D$1005="jabas")*(MOVIMIENTOS!$A$5:$A$1005&lt;&gt;"")*(MOVIMIENTOS!$A$5:$A$1005&lt;=$A801)*MOVIMIENTOS!$E$5:$E$1005)+SUMPRODUCT((MOVIMIENTOS!$B$5:$B$1005="PROCESO")*(MOVIMIENTOS!$C$5:$C$1005="P")*(MOVIMIENTOS!$D$5:$D$1005="jabas")*(MOVIMIENTOS!$A$5:$A$1005&lt;&gt;"")*(MOVIMIENTOS!$A$5:$A$1005&lt;=$A801)*MOVIMIENTOS!$E$5:$E$1005)-SUMPRODUCT((MOVIMIENTOS!$B$5:$B$1005="ENVÍO A SUPESA")*(MOVIMIENTOS!$C$5:$C$1005="P")*(MOVIMIENTOS!$D$5:$D$1005="jabas")*(MOVIMIENTOS!$A$5:$A$1005&lt;&gt;"")*(MOVIMIENTOS!$A$5:$A$1005&lt;=$A801)*MOVIMIENTOS!$E$5:$E$1005)+SUMPRODUCT((MOVIMIENTOS!$B$5:$B$1005="DEVOLUCIÓN")*(MOVIMIENTOS!$C$5:$C$1005="P")*(MOVIMIENTOS!$D$5:$D$1005="jabas")*(MOVIMIENTOS!$A$5:$A$1005&lt;&gt;"")*(MOVIMIENTOS!$A$5:$A$1005&lt;=$A801)*MOVIMIENTOS!$E$5:$E$1005)-SUMPRODUCT((MOVIMIENTOS!$B$5:$B$1005="TRASIEGO")*(MOVIMIENTOS!$C$5:$C$1005="P")*(MOVIMIENTOS!$D$5:$D$1005="jabas")*(MOVIMIENTOS!$A$5:$A$1005&lt;&gt;"")*(MOVIMIENTOS!$A$5:$A$1005&lt;=$A801)*MOVIMIENTOS!$E$5:$E$1005)-SUMPRODUCT((MOVIMIENTOS!$B$5:$B$1005="REGALO")*(MOVIMIENTOS!$C$5:$C$1005="P")*(MOVIMIENTOS!$D$5:$D$1005="jabas")*(MOVIMIENTOS!$A$5:$A$1005&lt;&gt;"")*(MOVIMIENTOS!$A$5:$A$1005&lt;=$A801)*MOVIMIENTOS!$E$5:$E$1005)-SUMPRODUCT((MOVIMIENTOS!$B$5:$B$1005="VENTA")*(MOVIMIENTOS!$C$5:$C$1005="P")*(MOVIMIENTOS!$D$5:$D$1005="jabas")*(MOVIMIENTOS!$A$5:$A$1005&lt;&gt;"")*(MOVIMIENTOS!$A$5:$A$1005&lt;=$A801)*MOVIMIENTOS!$E$5:$E$1005)+SUMPRODUCT((MOVIMIENTOS!$B$5:$B$1005="AJUSTE")*(MOVIMIENTOS!$C$5:$C$1005="P")*(MOVIMIENTOS!$D$5:$D$1005="jabas")*(MOVIMIENTOS!$A$5:$A$1005&lt;&gt;"")*(MOVIMIENTOS!$A$5:$A$1005&lt;=$A801)*MOVIMIENTOS!$E$5:$E$1005))</f>
        <v/>
      </c>
      <c r="D801" t="str">
        <f>IF($A801="","",SUMPRODUCT((MOVIMIENTOS!$B$5:$B$1005="SALDO INICIAL")*(MOVIMIENTOS!$C$5:$C$1005="C")*(MOVIMIENTOS!$D$5:$D$1005="jabas")*(MOVIMIENTOS!$A$5:$A$1005&lt;&gt;"")*(MOVIMIENTOS!$A$5:$A$1005&lt;=$A801)*MOVIMIENTOS!$E$5:$E$1005)+SUMPRODUCT((MOVIMIENTOS!$B$5:$B$1005="PROCESO")*(MOVIMIENTOS!$C$5:$C$1005="C")*(MOVIMIENTOS!$D$5:$D$1005="jabas")*(MOVIMIENTOS!$A$5:$A$1005&lt;&gt;"")*(MOVIMIENTOS!$A$5:$A$1005&lt;=$A801)*MOVIMIENTOS!$E$5:$E$1005)-SUMPRODUCT((MOVIMIENTOS!$B$5:$B$1005="ENVÍO A SUPESA")*(MOVIMIENTOS!$C$5:$C$1005="C")*(MOVIMIENTOS!$D$5:$D$1005="jabas")*(MOVIMIENTOS!$A$5:$A$1005&lt;&gt;"")*(MOVIMIENTOS!$A$5:$A$1005&lt;=$A801)*MOVIMIENTOS!$E$5:$E$1005)+SUMPRODUCT((MOVIMIENTOS!$B$5:$B$1005="DEVOLUCIÓN")*(MOVIMIENTOS!$C$5:$C$1005="C")*(MOVIMIENTOS!$D$5:$D$1005="jabas")*(MOVIMIENTOS!$A$5:$A$1005&lt;&gt;"")*(MOVIMIENTOS!$A$5:$A$1005&lt;=$A801)*MOVIMIENTOS!$E$5:$E$1005)-SUMPRODUCT((MOVIMIENTOS!$B$5:$B$1005="TRASIEGO")*(MOVIMIENTOS!$C$5:$C$1005="C")*(MOVIMIENTOS!$D$5:$D$1005="jabas")*(MOVIMIENTOS!$A$5:$A$1005&lt;&gt;"")*(MOVIMIENTOS!$A$5:$A$1005&lt;=$A801)*MOVIMIENTOS!$E$5:$E$1005)-SUMPRODUCT((MOVIMIENTOS!$B$5:$B$1005="REGALO")*(MOVIMIENTOS!$C$5:$C$1005="C")*(MOVIMIENTOS!$D$5:$D$1005="jabas")*(MOVIMIENTOS!$A$5:$A$1005&lt;&gt;"")*(MOVIMIENTOS!$A$5:$A$1005&lt;=$A801)*MOVIMIENTOS!$E$5:$E$1005)-SUMPRODUCT((MOVIMIENTOS!$B$5:$B$1005="VENTA")*(MOVIMIENTOS!$C$5:$C$1005="C")*(MOVIMIENTOS!$D$5:$D$1005="jabas")*(MOVIMIENTOS!$A$5:$A$1005&lt;&gt;"")*(MOVIMIENTOS!$A$5:$A$1005&lt;=$A801)*MOVIMIENTOS!$E$5:$E$1005)+SUMPRODUCT((MOVIMIENTOS!$B$5:$B$1005="AJUSTE")*(MOVIMIENTOS!$C$5:$C$1005="C")*(MOVIMIENTOS!$D$5:$D$1005="jabas")*(MOVIMIENTOS!$A$5:$A$1005&lt;&gt;"")*(MOVIMIENTOS!$A$5:$A$1005&lt;=$A801)*MOVIMIENTOS!$E$5:$E$1005))</f>
        <v/>
      </c>
      <c r="E801" t="str">
        <f>IF($A801="","",SUMPRODUCT((MOVIMIENTOS!$B$5:$B$1005="SALDO INICIAL")*(MOVIMIENTOS!$C$5:$C$1005="M")*(MOVIMIENTOS!$D$5:$D$1005="jabas")*(MOVIMIENTOS!$A$5:$A$1005&lt;&gt;"")*(MOVIMIENTOS!$A$5:$A$1005&lt;=$A801)*MOVIMIENTOS!$E$5:$E$1005)+SUMPRODUCT((MOVIMIENTOS!$B$5:$B$1005="PROCESO")*(MOVIMIENTOS!$C$5:$C$1005="M")*(MOVIMIENTOS!$D$5:$D$1005="jabas")*(MOVIMIENTOS!$A$5:$A$1005&lt;&gt;"")*(MOVIMIENTOS!$A$5:$A$1005&lt;=$A801)*MOVIMIENTOS!$E$5:$E$1005)-SUMPRODUCT((MOVIMIENTOS!$B$5:$B$1005="ENVÍO A SUPESA")*(MOVIMIENTOS!$C$5:$C$1005="M")*(MOVIMIENTOS!$D$5:$D$1005="jabas")*(MOVIMIENTOS!$A$5:$A$1005&lt;&gt;"")*(MOVIMIENTOS!$A$5:$A$1005&lt;=$A801)*MOVIMIENTOS!$E$5:$E$1005)+SUMPRODUCT((MOVIMIENTOS!$B$5:$B$1005="DEVOLUCIÓN")*(MOVIMIENTOS!$C$5:$C$1005="M")*(MOVIMIENTOS!$D$5:$D$1005="jabas")*(MOVIMIENTOS!$A$5:$A$1005&lt;&gt;"")*(MOVIMIENTOS!$A$5:$A$1005&lt;=$A801)*MOVIMIENTOS!$E$5:$E$1005)-SUMPRODUCT((MOVIMIENTOS!$B$5:$B$1005="TRASIEGO")*(MOVIMIENTOS!$C$5:$C$1005="M")*(MOVIMIENTOS!$D$5:$D$1005="jabas")*(MOVIMIENTOS!$A$5:$A$1005&lt;&gt;"")*(MOVIMIENTOS!$A$5:$A$1005&lt;=$A801)*MOVIMIENTOS!$E$5:$E$1005)-SUMPRODUCT((MOVIMIENTOS!$B$5:$B$1005="REGALO")*(MOVIMIENTOS!$C$5:$C$1005="M")*(MOVIMIENTOS!$D$5:$D$1005="jabas")*(MOVIMIENTOS!$A$5:$A$1005&lt;&gt;"")*(MOVIMIENTOS!$A$5:$A$1005&lt;=$A801)*MOVIMIENTOS!$E$5:$E$1005)-SUMPRODUCT((MOVIMIENTOS!$B$5:$B$1005="VENTA")*(MOVIMIENTOS!$C$5:$C$1005="M")*(MOVIMIENTOS!$D$5:$D$1005="jabas")*(MOVIMIENTOS!$A$5:$A$1005&lt;&gt;"")*(MOVIMIENTOS!$A$5:$A$1005&lt;=$A801)*MOVIMIENTOS!$E$5:$E$1005)+SUMPRODUCT((MOVIMIENTOS!$B$5:$B$1005="AJUSTE")*(MOVIMIENTOS!$C$5:$C$1005="M")*(MOVIMIENTOS!$D$5:$D$1005="jabas")*(MOVIMIENTOS!$A$5:$A$1005&lt;&gt;"")*(MOVIMIENTOS!$A$5:$A$1005&lt;=$A801)*MOVIMIENTOS!$E$5:$E$1005))</f>
        <v/>
      </c>
      <c r="F801" s="62" t="str">
        <f>IF($A801="","",SUMPRODUCT((MOVIMIENTOS!$B$5:$B$1005="SALDO INICIAL")*(MOVIMIENTOS!$C$5:$C$1005="Chancho")*(MOVIMIENTOS!$D$5:$D$1005="sacos")*(MOVIMIENTOS!$A$5:$A$1005&lt;&gt;"")*(MOVIMIENTOS!$A$5:$A$1005&lt;=$A801)*MOVIMIENTOS!$E$5:$E$1005)+SUMPRODUCT((MOVIMIENTOS!$B$5:$B$1005="PROCESO")*(MOVIMIENTOS!$C$5:$C$1005="Chancho")*(MOVIMIENTOS!$D$5:$D$1005="sacos")*(MOVIMIENTOS!$A$5:$A$1005&lt;&gt;"")*(MOVIMIENTOS!$A$5:$A$1005&lt;=$A801)*MOVIMIENTOS!$E$5:$E$1005)-SUMPRODUCT((MOVIMIENTOS!$B$5:$B$1005="VENTA CHANCHO")*(MOVIMIENTOS!$C$5:$C$1005="Chancho")*(MOVIMIENTOS!$D$5:$D$1005="sacos")*(MOVIMIENTOS!$A$5:$A$1005&lt;&gt;"")*(MOVIMIENTOS!$A$5:$A$1005&lt;=$A801)*MOVIMIENTOS!$E$5:$E$1005)-SUMPRODUCT((MOVIMIENTOS!$B$5:$B$1005="REGALO")*(MOVIMIENTOS!$C$5:$C$1005="Chancho")*(MOVIMIENTOS!$D$5:$D$1005="sacos")*(MOVIMIENTOS!$A$5:$A$1005&lt;&gt;"")*(MOVIMIENTOS!$A$5:$A$1005&lt;=$A801)*MOVIMIENTOS!$E$5:$E$1005)-SUMPRODUCT((MOVIMIENTOS!$B$5:$B$1005="VENTA")*(MOVIMIENTOS!$C$5:$C$1005="Chancho")*(MOVIMIENTOS!$D$5:$D$1005="sacos")*(MOVIMIENTOS!$A$5:$A$1005&lt;&gt;"")*(MOVIMIENTOS!$A$5:$A$1005&lt;=$A801)*MOVIMIENTOS!$E$5:$E$1005)+SUMPRODUCT((MOVIMIENTOS!$B$5:$B$1005="AJUSTE")*(MOVIMIENTOS!$C$5:$C$1005="Chancho")*(MOVIMIENTOS!$D$5:$D$1005="sacos")*(MOVIMIENTOS!$A$5:$A$1005&lt;&gt;"")*(MOVIMIENTOS!$A$5:$A$1005&lt;=$A801)*MOVIMIENTOS!$E$5:$E$1005))</f>
        <v/>
      </c>
      <c r="G801" s="62" t="str">
        <f t="shared" si="25"/>
        <v/>
      </c>
      <c r="H801" t="str">
        <f>IF($A801="","",SUMPRODUCT((((MOVIMIENTOS!$B$5:$B$1005="SALDO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801)*MOVIMIENTOS!$J$5:$J$1005))</f>
        <v/>
      </c>
      <c r="J801" t="str">
        <f>IF(AND(MOVIMIENTOS!$A806&lt;&gt;"",COUNTIF(MOVIMIENTOS!$A$5:$A805,MOVIMIENTOS!$A806)=0),COUNT(J$4:J800)+1,"")</f>
        <v/>
      </c>
      <c r="K801">
        <f>MOVIMIENTOS!$A806</f>
        <v>0</v>
      </c>
    </row>
    <row r="802" spans="1:11" ht="15" customHeight="1" x14ac:dyDescent="0.2">
      <c r="A802" t="str">
        <f t="shared" si="24"/>
        <v/>
      </c>
      <c r="B802" t="str">
        <f>IF($A802="","",SUMPRODUCT((MOVIMIENTOS!$B$5:$B$1005="SALDO INICIAL")*(MOVIMIENTOS!$C$5:$C$1005="A")*(MOVIMIENTOS!$D$5:$D$1005="jabas")*(MOVIMIENTOS!$A$5:$A$1005&lt;&gt;"")*(MOVIMIENTOS!$A$5:$A$1005&lt;=$A802)*MOVIMIENTOS!$E$5:$E$1005)+SUMPRODUCT((MOVIMIENTOS!$B$5:$B$1005="PROCESO")*(MOVIMIENTOS!$C$5:$C$1005="A")*(MOVIMIENTOS!$D$5:$D$1005="jabas")*(MOVIMIENTOS!$A$5:$A$1005&lt;&gt;"")*(MOVIMIENTOS!$A$5:$A$1005&lt;=$A802)*MOVIMIENTOS!$E$5:$E$1005)-SUMPRODUCT((MOVIMIENTOS!$B$5:$B$1005="ENVÍO A SUPESA")*(MOVIMIENTOS!$C$5:$C$1005="A")*(MOVIMIENTOS!$D$5:$D$1005="jabas")*(MOVIMIENTOS!$A$5:$A$1005&lt;&gt;"")*(MOVIMIENTOS!$A$5:$A$1005&lt;=$A802)*MOVIMIENTOS!$E$5:$E$1005)+SUMPRODUCT((MOVIMIENTOS!$B$5:$B$1005="DEVOLUCIÓN")*(MOVIMIENTOS!$C$5:$C$1005="A")*(MOVIMIENTOS!$D$5:$D$1005="jabas")*(MOVIMIENTOS!$A$5:$A$1005&lt;&gt;"")*(MOVIMIENTOS!$A$5:$A$1005&lt;=$A802)*MOVIMIENTOS!$E$5:$E$1005)-SUMPRODUCT((MOVIMIENTOS!$B$5:$B$1005="TRASIEGO")*(MOVIMIENTOS!$C$5:$C$1005="A")*(MOVIMIENTOS!$D$5:$D$1005="jabas")*(MOVIMIENTOS!$A$5:$A$1005&lt;&gt;"")*(MOVIMIENTOS!$A$5:$A$1005&lt;=$A802)*MOVIMIENTOS!$E$5:$E$1005)-SUMPRODUCT((MOVIMIENTOS!$B$5:$B$1005="REGALO")*(MOVIMIENTOS!$C$5:$C$1005="A")*(MOVIMIENTOS!$D$5:$D$1005="jabas")*(MOVIMIENTOS!$A$5:$A$1005&lt;&gt;"")*(MOVIMIENTOS!$A$5:$A$1005&lt;=$A802)*MOVIMIENTOS!$E$5:$E$1005)-SUMPRODUCT((MOVIMIENTOS!$B$5:$B$1005="VENTA")*(MOVIMIENTOS!$C$5:$C$1005="A")*(MOVIMIENTOS!$D$5:$D$1005="jabas")*(MOVIMIENTOS!$A$5:$A$1005&lt;&gt;"")*(MOVIMIENTOS!$A$5:$A$1005&lt;=$A802)*MOVIMIENTOS!$E$5:$E$1005)+SUMPRODUCT((MOVIMIENTOS!$B$5:$B$1005="AJUSTE")*(MOVIMIENTOS!$C$5:$C$1005="A")*(MOVIMIENTOS!$D$5:$D$1005="jabas")*(MOVIMIENTOS!$A$5:$A$1005&lt;&gt;"")*(MOVIMIENTOS!$A$5:$A$1005&lt;=$A802)*MOVIMIENTOS!$E$5:$E$1005))</f>
        <v/>
      </c>
      <c r="C802" t="str">
        <f>IF($A802="","",SUMPRODUCT((MOVIMIENTOS!$B$5:$B$1005="SALDO INICIAL")*(MOVIMIENTOS!$C$5:$C$1005="P")*(MOVIMIENTOS!$D$5:$D$1005="jabas")*(MOVIMIENTOS!$A$5:$A$1005&lt;&gt;"")*(MOVIMIENTOS!$A$5:$A$1005&lt;=$A802)*MOVIMIENTOS!$E$5:$E$1005)+SUMPRODUCT((MOVIMIENTOS!$B$5:$B$1005="PROCESO")*(MOVIMIENTOS!$C$5:$C$1005="P")*(MOVIMIENTOS!$D$5:$D$1005="jabas")*(MOVIMIENTOS!$A$5:$A$1005&lt;&gt;"")*(MOVIMIENTOS!$A$5:$A$1005&lt;=$A802)*MOVIMIENTOS!$E$5:$E$1005)-SUMPRODUCT((MOVIMIENTOS!$B$5:$B$1005="ENVÍO A SUPESA")*(MOVIMIENTOS!$C$5:$C$1005="P")*(MOVIMIENTOS!$D$5:$D$1005="jabas")*(MOVIMIENTOS!$A$5:$A$1005&lt;&gt;"")*(MOVIMIENTOS!$A$5:$A$1005&lt;=$A802)*MOVIMIENTOS!$E$5:$E$1005)+SUMPRODUCT((MOVIMIENTOS!$B$5:$B$1005="DEVOLUCIÓN")*(MOVIMIENTOS!$C$5:$C$1005="P")*(MOVIMIENTOS!$D$5:$D$1005="jabas")*(MOVIMIENTOS!$A$5:$A$1005&lt;&gt;"")*(MOVIMIENTOS!$A$5:$A$1005&lt;=$A802)*MOVIMIENTOS!$E$5:$E$1005)-SUMPRODUCT((MOVIMIENTOS!$B$5:$B$1005="TRASIEGO")*(MOVIMIENTOS!$C$5:$C$1005="P")*(MOVIMIENTOS!$D$5:$D$1005="jabas")*(MOVIMIENTOS!$A$5:$A$1005&lt;&gt;"")*(MOVIMIENTOS!$A$5:$A$1005&lt;=$A802)*MOVIMIENTOS!$E$5:$E$1005)-SUMPRODUCT((MOVIMIENTOS!$B$5:$B$1005="REGALO")*(MOVIMIENTOS!$C$5:$C$1005="P")*(MOVIMIENTOS!$D$5:$D$1005="jabas")*(MOVIMIENTOS!$A$5:$A$1005&lt;&gt;"")*(MOVIMIENTOS!$A$5:$A$1005&lt;=$A802)*MOVIMIENTOS!$E$5:$E$1005)-SUMPRODUCT((MOVIMIENTOS!$B$5:$B$1005="VENTA")*(MOVIMIENTOS!$C$5:$C$1005="P")*(MOVIMIENTOS!$D$5:$D$1005="jabas")*(MOVIMIENTOS!$A$5:$A$1005&lt;&gt;"")*(MOVIMIENTOS!$A$5:$A$1005&lt;=$A802)*MOVIMIENTOS!$E$5:$E$1005)+SUMPRODUCT((MOVIMIENTOS!$B$5:$B$1005="AJUSTE")*(MOVIMIENTOS!$C$5:$C$1005="P")*(MOVIMIENTOS!$D$5:$D$1005="jabas")*(MOVIMIENTOS!$A$5:$A$1005&lt;&gt;"")*(MOVIMIENTOS!$A$5:$A$1005&lt;=$A802)*MOVIMIENTOS!$E$5:$E$1005))</f>
        <v/>
      </c>
      <c r="D802" t="str">
        <f>IF($A802="","",SUMPRODUCT((MOVIMIENTOS!$B$5:$B$1005="SALDO INICIAL")*(MOVIMIENTOS!$C$5:$C$1005="C")*(MOVIMIENTOS!$D$5:$D$1005="jabas")*(MOVIMIENTOS!$A$5:$A$1005&lt;&gt;"")*(MOVIMIENTOS!$A$5:$A$1005&lt;=$A802)*MOVIMIENTOS!$E$5:$E$1005)+SUMPRODUCT((MOVIMIENTOS!$B$5:$B$1005="PROCESO")*(MOVIMIENTOS!$C$5:$C$1005="C")*(MOVIMIENTOS!$D$5:$D$1005="jabas")*(MOVIMIENTOS!$A$5:$A$1005&lt;&gt;"")*(MOVIMIENTOS!$A$5:$A$1005&lt;=$A802)*MOVIMIENTOS!$E$5:$E$1005)-SUMPRODUCT((MOVIMIENTOS!$B$5:$B$1005="ENVÍO A SUPESA")*(MOVIMIENTOS!$C$5:$C$1005="C")*(MOVIMIENTOS!$D$5:$D$1005="jabas")*(MOVIMIENTOS!$A$5:$A$1005&lt;&gt;"")*(MOVIMIENTOS!$A$5:$A$1005&lt;=$A802)*MOVIMIENTOS!$E$5:$E$1005)+SUMPRODUCT((MOVIMIENTOS!$B$5:$B$1005="DEVOLUCIÓN")*(MOVIMIENTOS!$C$5:$C$1005="C")*(MOVIMIENTOS!$D$5:$D$1005="jabas")*(MOVIMIENTOS!$A$5:$A$1005&lt;&gt;"")*(MOVIMIENTOS!$A$5:$A$1005&lt;=$A802)*MOVIMIENTOS!$E$5:$E$1005)-SUMPRODUCT((MOVIMIENTOS!$B$5:$B$1005="TRASIEGO")*(MOVIMIENTOS!$C$5:$C$1005="C")*(MOVIMIENTOS!$D$5:$D$1005="jabas")*(MOVIMIENTOS!$A$5:$A$1005&lt;&gt;"")*(MOVIMIENTOS!$A$5:$A$1005&lt;=$A802)*MOVIMIENTOS!$E$5:$E$1005)-SUMPRODUCT((MOVIMIENTOS!$B$5:$B$1005="REGALO")*(MOVIMIENTOS!$C$5:$C$1005="C")*(MOVIMIENTOS!$D$5:$D$1005="jabas")*(MOVIMIENTOS!$A$5:$A$1005&lt;&gt;"")*(MOVIMIENTOS!$A$5:$A$1005&lt;=$A802)*MOVIMIENTOS!$E$5:$E$1005)-SUMPRODUCT((MOVIMIENTOS!$B$5:$B$1005="VENTA")*(MOVIMIENTOS!$C$5:$C$1005="C")*(MOVIMIENTOS!$D$5:$D$1005="jabas")*(MOVIMIENTOS!$A$5:$A$1005&lt;&gt;"")*(MOVIMIENTOS!$A$5:$A$1005&lt;=$A802)*MOVIMIENTOS!$E$5:$E$1005)+SUMPRODUCT((MOVIMIENTOS!$B$5:$B$1005="AJUSTE")*(MOVIMIENTOS!$C$5:$C$1005="C")*(MOVIMIENTOS!$D$5:$D$1005="jabas")*(MOVIMIENTOS!$A$5:$A$1005&lt;&gt;"")*(MOVIMIENTOS!$A$5:$A$1005&lt;=$A802)*MOVIMIENTOS!$E$5:$E$1005))</f>
        <v/>
      </c>
      <c r="E802" t="str">
        <f>IF($A802="","",SUMPRODUCT((MOVIMIENTOS!$B$5:$B$1005="SALDO INICIAL")*(MOVIMIENTOS!$C$5:$C$1005="M")*(MOVIMIENTOS!$D$5:$D$1005="jabas")*(MOVIMIENTOS!$A$5:$A$1005&lt;&gt;"")*(MOVIMIENTOS!$A$5:$A$1005&lt;=$A802)*MOVIMIENTOS!$E$5:$E$1005)+SUMPRODUCT((MOVIMIENTOS!$B$5:$B$1005="PROCESO")*(MOVIMIENTOS!$C$5:$C$1005="M")*(MOVIMIENTOS!$D$5:$D$1005="jabas")*(MOVIMIENTOS!$A$5:$A$1005&lt;&gt;"")*(MOVIMIENTOS!$A$5:$A$1005&lt;=$A802)*MOVIMIENTOS!$E$5:$E$1005)-SUMPRODUCT((MOVIMIENTOS!$B$5:$B$1005="ENVÍO A SUPESA")*(MOVIMIENTOS!$C$5:$C$1005="M")*(MOVIMIENTOS!$D$5:$D$1005="jabas")*(MOVIMIENTOS!$A$5:$A$1005&lt;&gt;"")*(MOVIMIENTOS!$A$5:$A$1005&lt;=$A802)*MOVIMIENTOS!$E$5:$E$1005)+SUMPRODUCT((MOVIMIENTOS!$B$5:$B$1005="DEVOLUCIÓN")*(MOVIMIENTOS!$C$5:$C$1005="M")*(MOVIMIENTOS!$D$5:$D$1005="jabas")*(MOVIMIENTOS!$A$5:$A$1005&lt;&gt;"")*(MOVIMIENTOS!$A$5:$A$1005&lt;=$A802)*MOVIMIENTOS!$E$5:$E$1005)-SUMPRODUCT((MOVIMIENTOS!$B$5:$B$1005="TRASIEGO")*(MOVIMIENTOS!$C$5:$C$1005="M")*(MOVIMIENTOS!$D$5:$D$1005="jabas")*(MOVIMIENTOS!$A$5:$A$1005&lt;&gt;"")*(MOVIMIENTOS!$A$5:$A$1005&lt;=$A802)*MOVIMIENTOS!$E$5:$E$1005)-SUMPRODUCT((MOVIMIENTOS!$B$5:$B$1005="REGALO")*(MOVIMIENTOS!$C$5:$C$1005="M")*(MOVIMIENTOS!$D$5:$D$1005="jabas")*(MOVIMIENTOS!$A$5:$A$1005&lt;&gt;"")*(MOVIMIENTOS!$A$5:$A$1005&lt;=$A802)*MOVIMIENTOS!$E$5:$E$1005)-SUMPRODUCT((MOVIMIENTOS!$B$5:$B$1005="VENTA")*(MOVIMIENTOS!$C$5:$C$1005="M")*(MOVIMIENTOS!$D$5:$D$1005="jabas")*(MOVIMIENTOS!$A$5:$A$1005&lt;&gt;"")*(MOVIMIENTOS!$A$5:$A$1005&lt;=$A802)*MOVIMIENTOS!$E$5:$E$1005)+SUMPRODUCT((MOVIMIENTOS!$B$5:$B$1005="AJUSTE")*(MOVIMIENTOS!$C$5:$C$1005="M")*(MOVIMIENTOS!$D$5:$D$1005="jabas")*(MOVIMIENTOS!$A$5:$A$1005&lt;&gt;"")*(MOVIMIENTOS!$A$5:$A$1005&lt;=$A802)*MOVIMIENTOS!$E$5:$E$1005))</f>
        <v/>
      </c>
      <c r="F802" s="62" t="str">
        <f>IF($A802="","",SUMPRODUCT((MOVIMIENTOS!$B$5:$B$1005="SALDO INICIAL")*(MOVIMIENTOS!$C$5:$C$1005="Chancho")*(MOVIMIENTOS!$D$5:$D$1005="sacos")*(MOVIMIENTOS!$A$5:$A$1005&lt;&gt;"")*(MOVIMIENTOS!$A$5:$A$1005&lt;=$A802)*MOVIMIENTOS!$E$5:$E$1005)+SUMPRODUCT((MOVIMIENTOS!$B$5:$B$1005="PROCESO")*(MOVIMIENTOS!$C$5:$C$1005="Chancho")*(MOVIMIENTOS!$D$5:$D$1005="sacos")*(MOVIMIENTOS!$A$5:$A$1005&lt;&gt;"")*(MOVIMIENTOS!$A$5:$A$1005&lt;=$A802)*MOVIMIENTOS!$E$5:$E$1005)-SUMPRODUCT((MOVIMIENTOS!$B$5:$B$1005="VENTA CHANCHO")*(MOVIMIENTOS!$C$5:$C$1005="Chancho")*(MOVIMIENTOS!$D$5:$D$1005="sacos")*(MOVIMIENTOS!$A$5:$A$1005&lt;&gt;"")*(MOVIMIENTOS!$A$5:$A$1005&lt;=$A802)*MOVIMIENTOS!$E$5:$E$1005)-SUMPRODUCT((MOVIMIENTOS!$B$5:$B$1005="REGALO")*(MOVIMIENTOS!$C$5:$C$1005="Chancho")*(MOVIMIENTOS!$D$5:$D$1005="sacos")*(MOVIMIENTOS!$A$5:$A$1005&lt;&gt;"")*(MOVIMIENTOS!$A$5:$A$1005&lt;=$A802)*MOVIMIENTOS!$E$5:$E$1005)-SUMPRODUCT((MOVIMIENTOS!$B$5:$B$1005="VENTA")*(MOVIMIENTOS!$C$5:$C$1005="Chancho")*(MOVIMIENTOS!$D$5:$D$1005="sacos")*(MOVIMIENTOS!$A$5:$A$1005&lt;&gt;"")*(MOVIMIENTOS!$A$5:$A$1005&lt;=$A802)*MOVIMIENTOS!$E$5:$E$1005)+SUMPRODUCT((MOVIMIENTOS!$B$5:$B$1005="AJUSTE")*(MOVIMIENTOS!$C$5:$C$1005="Chancho")*(MOVIMIENTOS!$D$5:$D$1005="sacos")*(MOVIMIENTOS!$A$5:$A$1005&lt;&gt;"")*(MOVIMIENTOS!$A$5:$A$1005&lt;=$A802)*MOVIMIENTOS!$E$5:$E$1005))</f>
        <v/>
      </c>
      <c r="G802" s="62" t="str">
        <f t="shared" si="25"/>
        <v/>
      </c>
      <c r="H802" t="str">
        <f>IF($A802="","",SUMPRODUCT((((MOVIMIENTOS!$B$5:$B$1005="SALDO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802)*MOVIMIENTOS!$J$5:$J$1005))</f>
        <v/>
      </c>
      <c r="J802" t="str">
        <f>IF(AND(MOVIMIENTOS!$A807&lt;&gt;"",COUNTIF(MOVIMIENTOS!$A$5:$A806,MOVIMIENTOS!$A807)=0),COUNT(J$4:J801)+1,"")</f>
        <v/>
      </c>
      <c r="K802">
        <f>MOVIMIENTOS!$A807</f>
        <v>0</v>
      </c>
    </row>
    <row r="803" spans="1:11" ht="15" customHeight="1" x14ac:dyDescent="0.2">
      <c r="A803" t="str">
        <f t="shared" si="24"/>
        <v/>
      </c>
      <c r="B803" t="str">
        <f>IF($A803="","",SUMPRODUCT((MOVIMIENTOS!$B$5:$B$1005="SALDO INICIAL")*(MOVIMIENTOS!$C$5:$C$1005="A")*(MOVIMIENTOS!$D$5:$D$1005="jabas")*(MOVIMIENTOS!$A$5:$A$1005&lt;&gt;"")*(MOVIMIENTOS!$A$5:$A$1005&lt;=$A803)*MOVIMIENTOS!$E$5:$E$1005)+SUMPRODUCT((MOVIMIENTOS!$B$5:$B$1005="PROCESO")*(MOVIMIENTOS!$C$5:$C$1005="A")*(MOVIMIENTOS!$D$5:$D$1005="jabas")*(MOVIMIENTOS!$A$5:$A$1005&lt;&gt;"")*(MOVIMIENTOS!$A$5:$A$1005&lt;=$A803)*MOVIMIENTOS!$E$5:$E$1005)-SUMPRODUCT((MOVIMIENTOS!$B$5:$B$1005="ENVÍO A SUPESA")*(MOVIMIENTOS!$C$5:$C$1005="A")*(MOVIMIENTOS!$D$5:$D$1005="jabas")*(MOVIMIENTOS!$A$5:$A$1005&lt;&gt;"")*(MOVIMIENTOS!$A$5:$A$1005&lt;=$A803)*MOVIMIENTOS!$E$5:$E$1005)+SUMPRODUCT((MOVIMIENTOS!$B$5:$B$1005="DEVOLUCIÓN")*(MOVIMIENTOS!$C$5:$C$1005="A")*(MOVIMIENTOS!$D$5:$D$1005="jabas")*(MOVIMIENTOS!$A$5:$A$1005&lt;&gt;"")*(MOVIMIENTOS!$A$5:$A$1005&lt;=$A803)*MOVIMIENTOS!$E$5:$E$1005)-SUMPRODUCT((MOVIMIENTOS!$B$5:$B$1005="TRASIEGO")*(MOVIMIENTOS!$C$5:$C$1005="A")*(MOVIMIENTOS!$D$5:$D$1005="jabas")*(MOVIMIENTOS!$A$5:$A$1005&lt;&gt;"")*(MOVIMIENTOS!$A$5:$A$1005&lt;=$A803)*MOVIMIENTOS!$E$5:$E$1005)-SUMPRODUCT((MOVIMIENTOS!$B$5:$B$1005="REGALO")*(MOVIMIENTOS!$C$5:$C$1005="A")*(MOVIMIENTOS!$D$5:$D$1005="jabas")*(MOVIMIENTOS!$A$5:$A$1005&lt;&gt;"")*(MOVIMIENTOS!$A$5:$A$1005&lt;=$A803)*MOVIMIENTOS!$E$5:$E$1005)-SUMPRODUCT((MOVIMIENTOS!$B$5:$B$1005="VENTA")*(MOVIMIENTOS!$C$5:$C$1005="A")*(MOVIMIENTOS!$D$5:$D$1005="jabas")*(MOVIMIENTOS!$A$5:$A$1005&lt;&gt;"")*(MOVIMIENTOS!$A$5:$A$1005&lt;=$A803)*MOVIMIENTOS!$E$5:$E$1005)+SUMPRODUCT((MOVIMIENTOS!$B$5:$B$1005="AJUSTE")*(MOVIMIENTOS!$C$5:$C$1005="A")*(MOVIMIENTOS!$D$5:$D$1005="jabas")*(MOVIMIENTOS!$A$5:$A$1005&lt;&gt;"")*(MOVIMIENTOS!$A$5:$A$1005&lt;=$A803)*MOVIMIENTOS!$E$5:$E$1005))</f>
        <v/>
      </c>
      <c r="C803" t="str">
        <f>IF($A803="","",SUMPRODUCT((MOVIMIENTOS!$B$5:$B$1005="SALDO INICIAL")*(MOVIMIENTOS!$C$5:$C$1005="P")*(MOVIMIENTOS!$D$5:$D$1005="jabas")*(MOVIMIENTOS!$A$5:$A$1005&lt;&gt;"")*(MOVIMIENTOS!$A$5:$A$1005&lt;=$A803)*MOVIMIENTOS!$E$5:$E$1005)+SUMPRODUCT((MOVIMIENTOS!$B$5:$B$1005="PROCESO")*(MOVIMIENTOS!$C$5:$C$1005="P")*(MOVIMIENTOS!$D$5:$D$1005="jabas")*(MOVIMIENTOS!$A$5:$A$1005&lt;&gt;"")*(MOVIMIENTOS!$A$5:$A$1005&lt;=$A803)*MOVIMIENTOS!$E$5:$E$1005)-SUMPRODUCT((MOVIMIENTOS!$B$5:$B$1005="ENVÍO A SUPESA")*(MOVIMIENTOS!$C$5:$C$1005="P")*(MOVIMIENTOS!$D$5:$D$1005="jabas")*(MOVIMIENTOS!$A$5:$A$1005&lt;&gt;"")*(MOVIMIENTOS!$A$5:$A$1005&lt;=$A803)*MOVIMIENTOS!$E$5:$E$1005)+SUMPRODUCT((MOVIMIENTOS!$B$5:$B$1005="DEVOLUCIÓN")*(MOVIMIENTOS!$C$5:$C$1005="P")*(MOVIMIENTOS!$D$5:$D$1005="jabas")*(MOVIMIENTOS!$A$5:$A$1005&lt;&gt;"")*(MOVIMIENTOS!$A$5:$A$1005&lt;=$A803)*MOVIMIENTOS!$E$5:$E$1005)-SUMPRODUCT((MOVIMIENTOS!$B$5:$B$1005="TRASIEGO")*(MOVIMIENTOS!$C$5:$C$1005="P")*(MOVIMIENTOS!$D$5:$D$1005="jabas")*(MOVIMIENTOS!$A$5:$A$1005&lt;&gt;"")*(MOVIMIENTOS!$A$5:$A$1005&lt;=$A803)*MOVIMIENTOS!$E$5:$E$1005)-SUMPRODUCT((MOVIMIENTOS!$B$5:$B$1005="REGALO")*(MOVIMIENTOS!$C$5:$C$1005="P")*(MOVIMIENTOS!$D$5:$D$1005="jabas")*(MOVIMIENTOS!$A$5:$A$1005&lt;&gt;"")*(MOVIMIENTOS!$A$5:$A$1005&lt;=$A803)*MOVIMIENTOS!$E$5:$E$1005)-SUMPRODUCT((MOVIMIENTOS!$B$5:$B$1005="VENTA")*(MOVIMIENTOS!$C$5:$C$1005="P")*(MOVIMIENTOS!$D$5:$D$1005="jabas")*(MOVIMIENTOS!$A$5:$A$1005&lt;&gt;"")*(MOVIMIENTOS!$A$5:$A$1005&lt;=$A803)*MOVIMIENTOS!$E$5:$E$1005)+SUMPRODUCT((MOVIMIENTOS!$B$5:$B$1005="AJUSTE")*(MOVIMIENTOS!$C$5:$C$1005="P")*(MOVIMIENTOS!$D$5:$D$1005="jabas")*(MOVIMIENTOS!$A$5:$A$1005&lt;&gt;"")*(MOVIMIENTOS!$A$5:$A$1005&lt;=$A803)*MOVIMIENTOS!$E$5:$E$1005))</f>
        <v/>
      </c>
      <c r="D803" t="str">
        <f>IF($A803="","",SUMPRODUCT((MOVIMIENTOS!$B$5:$B$1005="SALDO INICIAL")*(MOVIMIENTOS!$C$5:$C$1005="C")*(MOVIMIENTOS!$D$5:$D$1005="jabas")*(MOVIMIENTOS!$A$5:$A$1005&lt;&gt;"")*(MOVIMIENTOS!$A$5:$A$1005&lt;=$A803)*MOVIMIENTOS!$E$5:$E$1005)+SUMPRODUCT((MOVIMIENTOS!$B$5:$B$1005="PROCESO")*(MOVIMIENTOS!$C$5:$C$1005="C")*(MOVIMIENTOS!$D$5:$D$1005="jabas")*(MOVIMIENTOS!$A$5:$A$1005&lt;&gt;"")*(MOVIMIENTOS!$A$5:$A$1005&lt;=$A803)*MOVIMIENTOS!$E$5:$E$1005)-SUMPRODUCT((MOVIMIENTOS!$B$5:$B$1005="ENVÍO A SUPESA")*(MOVIMIENTOS!$C$5:$C$1005="C")*(MOVIMIENTOS!$D$5:$D$1005="jabas")*(MOVIMIENTOS!$A$5:$A$1005&lt;&gt;"")*(MOVIMIENTOS!$A$5:$A$1005&lt;=$A803)*MOVIMIENTOS!$E$5:$E$1005)+SUMPRODUCT((MOVIMIENTOS!$B$5:$B$1005="DEVOLUCIÓN")*(MOVIMIENTOS!$C$5:$C$1005="C")*(MOVIMIENTOS!$D$5:$D$1005="jabas")*(MOVIMIENTOS!$A$5:$A$1005&lt;&gt;"")*(MOVIMIENTOS!$A$5:$A$1005&lt;=$A803)*MOVIMIENTOS!$E$5:$E$1005)-SUMPRODUCT((MOVIMIENTOS!$B$5:$B$1005="TRASIEGO")*(MOVIMIENTOS!$C$5:$C$1005="C")*(MOVIMIENTOS!$D$5:$D$1005="jabas")*(MOVIMIENTOS!$A$5:$A$1005&lt;&gt;"")*(MOVIMIENTOS!$A$5:$A$1005&lt;=$A803)*MOVIMIENTOS!$E$5:$E$1005)-SUMPRODUCT((MOVIMIENTOS!$B$5:$B$1005="REGALO")*(MOVIMIENTOS!$C$5:$C$1005="C")*(MOVIMIENTOS!$D$5:$D$1005="jabas")*(MOVIMIENTOS!$A$5:$A$1005&lt;&gt;"")*(MOVIMIENTOS!$A$5:$A$1005&lt;=$A803)*MOVIMIENTOS!$E$5:$E$1005)-SUMPRODUCT((MOVIMIENTOS!$B$5:$B$1005="VENTA")*(MOVIMIENTOS!$C$5:$C$1005="C")*(MOVIMIENTOS!$D$5:$D$1005="jabas")*(MOVIMIENTOS!$A$5:$A$1005&lt;&gt;"")*(MOVIMIENTOS!$A$5:$A$1005&lt;=$A803)*MOVIMIENTOS!$E$5:$E$1005)+SUMPRODUCT((MOVIMIENTOS!$B$5:$B$1005="AJUSTE")*(MOVIMIENTOS!$C$5:$C$1005="C")*(MOVIMIENTOS!$D$5:$D$1005="jabas")*(MOVIMIENTOS!$A$5:$A$1005&lt;&gt;"")*(MOVIMIENTOS!$A$5:$A$1005&lt;=$A803)*MOVIMIENTOS!$E$5:$E$1005))</f>
        <v/>
      </c>
      <c r="E803" t="str">
        <f>IF($A803="","",SUMPRODUCT((MOVIMIENTOS!$B$5:$B$1005="SALDO INICIAL")*(MOVIMIENTOS!$C$5:$C$1005="M")*(MOVIMIENTOS!$D$5:$D$1005="jabas")*(MOVIMIENTOS!$A$5:$A$1005&lt;&gt;"")*(MOVIMIENTOS!$A$5:$A$1005&lt;=$A803)*MOVIMIENTOS!$E$5:$E$1005)+SUMPRODUCT((MOVIMIENTOS!$B$5:$B$1005="PROCESO")*(MOVIMIENTOS!$C$5:$C$1005="M")*(MOVIMIENTOS!$D$5:$D$1005="jabas")*(MOVIMIENTOS!$A$5:$A$1005&lt;&gt;"")*(MOVIMIENTOS!$A$5:$A$1005&lt;=$A803)*MOVIMIENTOS!$E$5:$E$1005)-SUMPRODUCT((MOVIMIENTOS!$B$5:$B$1005="ENVÍO A SUPESA")*(MOVIMIENTOS!$C$5:$C$1005="M")*(MOVIMIENTOS!$D$5:$D$1005="jabas")*(MOVIMIENTOS!$A$5:$A$1005&lt;&gt;"")*(MOVIMIENTOS!$A$5:$A$1005&lt;=$A803)*MOVIMIENTOS!$E$5:$E$1005)+SUMPRODUCT((MOVIMIENTOS!$B$5:$B$1005="DEVOLUCIÓN")*(MOVIMIENTOS!$C$5:$C$1005="M")*(MOVIMIENTOS!$D$5:$D$1005="jabas")*(MOVIMIENTOS!$A$5:$A$1005&lt;&gt;"")*(MOVIMIENTOS!$A$5:$A$1005&lt;=$A803)*MOVIMIENTOS!$E$5:$E$1005)-SUMPRODUCT((MOVIMIENTOS!$B$5:$B$1005="TRASIEGO")*(MOVIMIENTOS!$C$5:$C$1005="M")*(MOVIMIENTOS!$D$5:$D$1005="jabas")*(MOVIMIENTOS!$A$5:$A$1005&lt;&gt;"")*(MOVIMIENTOS!$A$5:$A$1005&lt;=$A803)*MOVIMIENTOS!$E$5:$E$1005)-SUMPRODUCT((MOVIMIENTOS!$B$5:$B$1005="REGALO")*(MOVIMIENTOS!$C$5:$C$1005="M")*(MOVIMIENTOS!$D$5:$D$1005="jabas")*(MOVIMIENTOS!$A$5:$A$1005&lt;&gt;"")*(MOVIMIENTOS!$A$5:$A$1005&lt;=$A803)*MOVIMIENTOS!$E$5:$E$1005)-SUMPRODUCT((MOVIMIENTOS!$B$5:$B$1005="VENTA")*(MOVIMIENTOS!$C$5:$C$1005="M")*(MOVIMIENTOS!$D$5:$D$1005="jabas")*(MOVIMIENTOS!$A$5:$A$1005&lt;&gt;"")*(MOVIMIENTOS!$A$5:$A$1005&lt;=$A803)*MOVIMIENTOS!$E$5:$E$1005)+SUMPRODUCT((MOVIMIENTOS!$B$5:$B$1005="AJUSTE")*(MOVIMIENTOS!$C$5:$C$1005="M")*(MOVIMIENTOS!$D$5:$D$1005="jabas")*(MOVIMIENTOS!$A$5:$A$1005&lt;&gt;"")*(MOVIMIENTOS!$A$5:$A$1005&lt;=$A803)*MOVIMIENTOS!$E$5:$E$1005))</f>
        <v/>
      </c>
      <c r="F803" s="62" t="str">
        <f>IF($A803="","",SUMPRODUCT((MOVIMIENTOS!$B$5:$B$1005="SALDO INICIAL")*(MOVIMIENTOS!$C$5:$C$1005="Chancho")*(MOVIMIENTOS!$D$5:$D$1005="sacos")*(MOVIMIENTOS!$A$5:$A$1005&lt;&gt;"")*(MOVIMIENTOS!$A$5:$A$1005&lt;=$A803)*MOVIMIENTOS!$E$5:$E$1005)+SUMPRODUCT((MOVIMIENTOS!$B$5:$B$1005="PROCESO")*(MOVIMIENTOS!$C$5:$C$1005="Chancho")*(MOVIMIENTOS!$D$5:$D$1005="sacos")*(MOVIMIENTOS!$A$5:$A$1005&lt;&gt;"")*(MOVIMIENTOS!$A$5:$A$1005&lt;=$A803)*MOVIMIENTOS!$E$5:$E$1005)-SUMPRODUCT((MOVIMIENTOS!$B$5:$B$1005="VENTA CHANCHO")*(MOVIMIENTOS!$C$5:$C$1005="Chancho")*(MOVIMIENTOS!$D$5:$D$1005="sacos")*(MOVIMIENTOS!$A$5:$A$1005&lt;&gt;"")*(MOVIMIENTOS!$A$5:$A$1005&lt;=$A803)*MOVIMIENTOS!$E$5:$E$1005)-SUMPRODUCT((MOVIMIENTOS!$B$5:$B$1005="REGALO")*(MOVIMIENTOS!$C$5:$C$1005="Chancho")*(MOVIMIENTOS!$D$5:$D$1005="sacos")*(MOVIMIENTOS!$A$5:$A$1005&lt;&gt;"")*(MOVIMIENTOS!$A$5:$A$1005&lt;=$A803)*MOVIMIENTOS!$E$5:$E$1005)-SUMPRODUCT((MOVIMIENTOS!$B$5:$B$1005="VENTA")*(MOVIMIENTOS!$C$5:$C$1005="Chancho")*(MOVIMIENTOS!$D$5:$D$1005="sacos")*(MOVIMIENTOS!$A$5:$A$1005&lt;&gt;"")*(MOVIMIENTOS!$A$5:$A$1005&lt;=$A803)*MOVIMIENTOS!$E$5:$E$1005)+SUMPRODUCT((MOVIMIENTOS!$B$5:$B$1005="AJUSTE")*(MOVIMIENTOS!$C$5:$C$1005="Chancho")*(MOVIMIENTOS!$D$5:$D$1005="sacos")*(MOVIMIENTOS!$A$5:$A$1005&lt;&gt;"")*(MOVIMIENTOS!$A$5:$A$1005&lt;=$A803)*MOVIMIENTOS!$E$5:$E$1005))</f>
        <v/>
      </c>
      <c r="G803" s="62" t="str">
        <f t="shared" si="25"/>
        <v/>
      </c>
      <c r="H803" t="str">
        <f>IF($A803="","",SUMPRODUCT((((MOVIMIENTOS!$B$5:$B$1005="SALDO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803)*MOVIMIENTOS!$J$5:$J$1005))</f>
        <v/>
      </c>
      <c r="J803" t="str">
        <f>IF(AND(MOVIMIENTOS!$A808&lt;&gt;"",COUNTIF(MOVIMIENTOS!$A$5:$A807,MOVIMIENTOS!$A808)=0),COUNT(J$4:J802)+1,"")</f>
        <v/>
      </c>
      <c r="K803">
        <f>MOVIMIENTOS!$A808</f>
        <v>0</v>
      </c>
    </row>
    <row r="804" spans="1:11" ht="15" customHeight="1" x14ac:dyDescent="0.2">
      <c r="A804" t="str">
        <f t="shared" si="24"/>
        <v/>
      </c>
      <c r="B804" t="str">
        <f>IF($A804="","",SUMPRODUCT((MOVIMIENTOS!$B$5:$B$1005="SALDO INICIAL")*(MOVIMIENTOS!$C$5:$C$1005="A")*(MOVIMIENTOS!$D$5:$D$1005="jabas")*(MOVIMIENTOS!$A$5:$A$1005&lt;&gt;"")*(MOVIMIENTOS!$A$5:$A$1005&lt;=$A804)*MOVIMIENTOS!$E$5:$E$1005)+SUMPRODUCT((MOVIMIENTOS!$B$5:$B$1005="PROCESO")*(MOVIMIENTOS!$C$5:$C$1005="A")*(MOVIMIENTOS!$D$5:$D$1005="jabas")*(MOVIMIENTOS!$A$5:$A$1005&lt;&gt;"")*(MOVIMIENTOS!$A$5:$A$1005&lt;=$A804)*MOVIMIENTOS!$E$5:$E$1005)-SUMPRODUCT((MOVIMIENTOS!$B$5:$B$1005="ENVÍO A SUPESA")*(MOVIMIENTOS!$C$5:$C$1005="A")*(MOVIMIENTOS!$D$5:$D$1005="jabas")*(MOVIMIENTOS!$A$5:$A$1005&lt;&gt;"")*(MOVIMIENTOS!$A$5:$A$1005&lt;=$A804)*MOVIMIENTOS!$E$5:$E$1005)+SUMPRODUCT((MOVIMIENTOS!$B$5:$B$1005="DEVOLUCIÓN")*(MOVIMIENTOS!$C$5:$C$1005="A")*(MOVIMIENTOS!$D$5:$D$1005="jabas")*(MOVIMIENTOS!$A$5:$A$1005&lt;&gt;"")*(MOVIMIENTOS!$A$5:$A$1005&lt;=$A804)*MOVIMIENTOS!$E$5:$E$1005)-SUMPRODUCT((MOVIMIENTOS!$B$5:$B$1005="TRASIEGO")*(MOVIMIENTOS!$C$5:$C$1005="A")*(MOVIMIENTOS!$D$5:$D$1005="jabas")*(MOVIMIENTOS!$A$5:$A$1005&lt;&gt;"")*(MOVIMIENTOS!$A$5:$A$1005&lt;=$A804)*MOVIMIENTOS!$E$5:$E$1005)-SUMPRODUCT((MOVIMIENTOS!$B$5:$B$1005="REGALO")*(MOVIMIENTOS!$C$5:$C$1005="A")*(MOVIMIENTOS!$D$5:$D$1005="jabas")*(MOVIMIENTOS!$A$5:$A$1005&lt;&gt;"")*(MOVIMIENTOS!$A$5:$A$1005&lt;=$A804)*MOVIMIENTOS!$E$5:$E$1005)-SUMPRODUCT((MOVIMIENTOS!$B$5:$B$1005="VENTA")*(MOVIMIENTOS!$C$5:$C$1005="A")*(MOVIMIENTOS!$D$5:$D$1005="jabas")*(MOVIMIENTOS!$A$5:$A$1005&lt;&gt;"")*(MOVIMIENTOS!$A$5:$A$1005&lt;=$A804)*MOVIMIENTOS!$E$5:$E$1005)+SUMPRODUCT((MOVIMIENTOS!$B$5:$B$1005="AJUSTE")*(MOVIMIENTOS!$C$5:$C$1005="A")*(MOVIMIENTOS!$D$5:$D$1005="jabas")*(MOVIMIENTOS!$A$5:$A$1005&lt;&gt;"")*(MOVIMIENTOS!$A$5:$A$1005&lt;=$A804)*MOVIMIENTOS!$E$5:$E$1005))</f>
        <v/>
      </c>
      <c r="C804" t="str">
        <f>IF($A804="","",SUMPRODUCT((MOVIMIENTOS!$B$5:$B$1005="SALDO INICIAL")*(MOVIMIENTOS!$C$5:$C$1005="P")*(MOVIMIENTOS!$D$5:$D$1005="jabas")*(MOVIMIENTOS!$A$5:$A$1005&lt;&gt;"")*(MOVIMIENTOS!$A$5:$A$1005&lt;=$A804)*MOVIMIENTOS!$E$5:$E$1005)+SUMPRODUCT((MOVIMIENTOS!$B$5:$B$1005="PROCESO")*(MOVIMIENTOS!$C$5:$C$1005="P")*(MOVIMIENTOS!$D$5:$D$1005="jabas")*(MOVIMIENTOS!$A$5:$A$1005&lt;&gt;"")*(MOVIMIENTOS!$A$5:$A$1005&lt;=$A804)*MOVIMIENTOS!$E$5:$E$1005)-SUMPRODUCT((MOVIMIENTOS!$B$5:$B$1005="ENVÍO A SUPESA")*(MOVIMIENTOS!$C$5:$C$1005="P")*(MOVIMIENTOS!$D$5:$D$1005="jabas")*(MOVIMIENTOS!$A$5:$A$1005&lt;&gt;"")*(MOVIMIENTOS!$A$5:$A$1005&lt;=$A804)*MOVIMIENTOS!$E$5:$E$1005)+SUMPRODUCT((MOVIMIENTOS!$B$5:$B$1005="DEVOLUCIÓN")*(MOVIMIENTOS!$C$5:$C$1005="P")*(MOVIMIENTOS!$D$5:$D$1005="jabas")*(MOVIMIENTOS!$A$5:$A$1005&lt;&gt;"")*(MOVIMIENTOS!$A$5:$A$1005&lt;=$A804)*MOVIMIENTOS!$E$5:$E$1005)-SUMPRODUCT((MOVIMIENTOS!$B$5:$B$1005="TRASIEGO")*(MOVIMIENTOS!$C$5:$C$1005="P")*(MOVIMIENTOS!$D$5:$D$1005="jabas")*(MOVIMIENTOS!$A$5:$A$1005&lt;&gt;"")*(MOVIMIENTOS!$A$5:$A$1005&lt;=$A804)*MOVIMIENTOS!$E$5:$E$1005)-SUMPRODUCT((MOVIMIENTOS!$B$5:$B$1005="REGALO")*(MOVIMIENTOS!$C$5:$C$1005="P")*(MOVIMIENTOS!$D$5:$D$1005="jabas")*(MOVIMIENTOS!$A$5:$A$1005&lt;&gt;"")*(MOVIMIENTOS!$A$5:$A$1005&lt;=$A804)*MOVIMIENTOS!$E$5:$E$1005)-SUMPRODUCT((MOVIMIENTOS!$B$5:$B$1005="VENTA")*(MOVIMIENTOS!$C$5:$C$1005="P")*(MOVIMIENTOS!$D$5:$D$1005="jabas")*(MOVIMIENTOS!$A$5:$A$1005&lt;&gt;"")*(MOVIMIENTOS!$A$5:$A$1005&lt;=$A804)*MOVIMIENTOS!$E$5:$E$1005)+SUMPRODUCT((MOVIMIENTOS!$B$5:$B$1005="AJUSTE")*(MOVIMIENTOS!$C$5:$C$1005="P")*(MOVIMIENTOS!$D$5:$D$1005="jabas")*(MOVIMIENTOS!$A$5:$A$1005&lt;&gt;"")*(MOVIMIENTOS!$A$5:$A$1005&lt;=$A804)*MOVIMIENTOS!$E$5:$E$1005))</f>
        <v/>
      </c>
      <c r="D804" t="str">
        <f>IF($A804="","",SUMPRODUCT((MOVIMIENTOS!$B$5:$B$1005="SALDO INICIAL")*(MOVIMIENTOS!$C$5:$C$1005="C")*(MOVIMIENTOS!$D$5:$D$1005="jabas")*(MOVIMIENTOS!$A$5:$A$1005&lt;&gt;"")*(MOVIMIENTOS!$A$5:$A$1005&lt;=$A804)*MOVIMIENTOS!$E$5:$E$1005)+SUMPRODUCT((MOVIMIENTOS!$B$5:$B$1005="PROCESO")*(MOVIMIENTOS!$C$5:$C$1005="C")*(MOVIMIENTOS!$D$5:$D$1005="jabas")*(MOVIMIENTOS!$A$5:$A$1005&lt;&gt;"")*(MOVIMIENTOS!$A$5:$A$1005&lt;=$A804)*MOVIMIENTOS!$E$5:$E$1005)-SUMPRODUCT((MOVIMIENTOS!$B$5:$B$1005="ENVÍO A SUPESA")*(MOVIMIENTOS!$C$5:$C$1005="C")*(MOVIMIENTOS!$D$5:$D$1005="jabas")*(MOVIMIENTOS!$A$5:$A$1005&lt;&gt;"")*(MOVIMIENTOS!$A$5:$A$1005&lt;=$A804)*MOVIMIENTOS!$E$5:$E$1005)+SUMPRODUCT((MOVIMIENTOS!$B$5:$B$1005="DEVOLUCIÓN")*(MOVIMIENTOS!$C$5:$C$1005="C")*(MOVIMIENTOS!$D$5:$D$1005="jabas")*(MOVIMIENTOS!$A$5:$A$1005&lt;&gt;"")*(MOVIMIENTOS!$A$5:$A$1005&lt;=$A804)*MOVIMIENTOS!$E$5:$E$1005)-SUMPRODUCT((MOVIMIENTOS!$B$5:$B$1005="TRASIEGO")*(MOVIMIENTOS!$C$5:$C$1005="C")*(MOVIMIENTOS!$D$5:$D$1005="jabas")*(MOVIMIENTOS!$A$5:$A$1005&lt;&gt;"")*(MOVIMIENTOS!$A$5:$A$1005&lt;=$A804)*MOVIMIENTOS!$E$5:$E$1005)-SUMPRODUCT((MOVIMIENTOS!$B$5:$B$1005="REGALO")*(MOVIMIENTOS!$C$5:$C$1005="C")*(MOVIMIENTOS!$D$5:$D$1005="jabas")*(MOVIMIENTOS!$A$5:$A$1005&lt;&gt;"")*(MOVIMIENTOS!$A$5:$A$1005&lt;=$A804)*MOVIMIENTOS!$E$5:$E$1005)-SUMPRODUCT((MOVIMIENTOS!$B$5:$B$1005="VENTA")*(MOVIMIENTOS!$C$5:$C$1005="C")*(MOVIMIENTOS!$D$5:$D$1005="jabas")*(MOVIMIENTOS!$A$5:$A$1005&lt;&gt;"")*(MOVIMIENTOS!$A$5:$A$1005&lt;=$A804)*MOVIMIENTOS!$E$5:$E$1005)+SUMPRODUCT((MOVIMIENTOS!$B$5:$B$1005="AJUSTE")*(MOVIMIENTOS!$C$5:$C$1005="C")*(MOVIMIENTOS!$D$5:$D$1005="jabas")*(MOVIMIENTOS!$A$5:$A$1005&lt;&gt;"")*(MOVIMIENTOS!$A$5:$A$1005&lt;=$A804)*MOVIMIENTOS!$E$5:$E$1005))</f>
        <v/>
      </c>
      <c r="E804" t="str">
        <f>IF($A804="","",SUMPRODUCT((MOVIMIENTOS!$B$5:$B$1005="SALDO INICIAL")*(MOVIMIENTOS!$C$5:$C$1005="M")*(MOVIMIENTOS!$D$5:$D$1005="jabas")*(MOVIMIENTOS!$A$5:$A$1005&lt;&gt;"")*(MOVIMIENTOS!$A$5:$A$1005&lt;=$A804)*MOVIMIENTOS!$E$5:$E$1005)+SUMPRODUCT((MOVIMIENTOS!$B$5:$B$1005="PROCESO")*(MOVIMIENTOS!$C$5:$C$1005="M")*(MOVIMIENTOS!$D$5:$D$1005="jabas")*(MOVIMIENTOS!$A$5:$A$1005&lt;&gt;"")*(MOVIMIENTOS!$A$5:$A$1005&lt;=$A804)*MOVIMIENTOS!$E$5:$E$1005)-SUMPRODUCT((MOVIMIENTOS!$B$5:$B$1005="ENVÍO A SUPESA")*(MOVIMIENTOS!$C$5:$C$1005="M")*(MOVIMIENTOS!$D$5:$D$1005="jabas")*(MOVIMIENTOS!$A$5:$A$1005&lt;&gt;"")*(MOVIMIENTOS!$A$5:$A$1005&lt;=$A804)*MOVIMIENTOS!$E$5:$E$1005)+SUMPRODUCT((MOVIMIENTOS!$B$5:$B$1005="DEVOLUCIÓN")*(MOVIMIENTOS!$C$5:$C$1005="M")*(MOVIMIENTOS!$D$5:$D$1005="jabas")*(MOVIMIENTOS!$A$5:$A$1005&lt;&gt;"")*(MOVIMIENTOS!$A$5:$A$1005&lt;=$A804)*MOVIMIENTOS!$E$5:$E$1005)-SUMPRODUCT((MOVIMIENTOS!$B$5:$B$1005="TRASIEGO")*(MOVIMIENTOS!$C$5:$C$1005="M")*(MOVIMIENTOS!$D$5:$D$1005="jabas")*(MOVIMIENTOS!$A$5:$A$1005&lt;&gt;"")*(MOVIMIENTOS!$A$5:$A$1005&lt;=$A804)*MOVIMIENTOS!$E$5:$E$1005)-SUMPRODUCT((MOVIMIENTOS!$B$5:$B$1005="REGALO")*(MOVIMIENTOS!$C$5:$C$1005="M")*(MOVIMIENTOS!$D$5:$D$1005="jabas")*(MOVIMIENTOS!$A$5:$A$1005&lt;&gt;"")*(MOVIMIENTOS!$A$5:$A$1005&lt;=$A804)*MOVIMIENTOS!$E$5:$E$1005)-SUMPRODUCT((MOVIMIENTOS!$B$5:$B$1005="VENTA")*(MOVIMIENTOS!$C$5:$C$1005="M")*(MOVIMIENTOS!$D$5:$D$1005="jabas")*(MOVIMIENTOS!$A$5:$A$1005&lt;&gt;"")*(MOVIMIENTOS!$A$5:$A$1005&lt;=$A804)*MOVIMIENTOS!$E$5:$E$1005)+SUMPRODUCT((MOVIMIENTOS!$B$5:$B$1005="AJUSTE")*(MOVIMIENTOS!$C$5:$C$1005="M")*(MOVIMIENTOS!$D$5:$D$1005="jabas")*(MOVIMIENTOS!$A$5:$A$1005&lt;&gt;"")*(MOVIMIENTOS!$A$5:$A$1005&lt;=$A804)*MOVIMIENTOS!$E$5:$E$1005))</f>
        <v/>
      </c>
      <c r="F804" s="62" t="str">
        <f>IF($A804="","",SUMPRODUCT((MOVIMIENTOS!$B$5:$B$1005="SALDO INICIAL")*(MOVIMIENTOS!$C$5:$C$1005="Chancho")*(MOVIMIENTOS!$D$5:$D$1005="sacos")*(MOVIMIENTOS!$A$5:$A$1005&lt;&gt;"")*(MOVIMIENTOS!$A$5:$A$1005&lt;=$A804)*MOVIMIENTOS!$E$5:$E$1005)+SUMPRODUCT((MOVIMIENTOS!$B$5:$B$1005="PROCESO")*(MOVIMIENTOS!$C$5:$C$1005="Chancho")*(MOVIMIENTOS!$D$5:$D$1005="sacos")*(MOVIMIENTOS!$A$5:$A$1005&lt;&gt;"")*(MOVIMIENTOS!$A$5:$A$1005&lt;=$A804)*MOVIMIENTOS!$E$5:$E$1005)-SUMPRODUCT((MOVIMIENTOS!$B$5:$B$1005="VENTA CHANCHO")*(MOVIMIENTOS!$C$5:$C$1005="Chancho")*(MOVIMIENTOS!$D$5:$D$1005="sacos")*(MOVIMIENTOS!$A$5:$A$1005&lt;&gt;"")*(MOVIMIENTOS!$A$5:$A$1005&lt;=$A804)*MOVIMIENTOS!$E$5:$E$1005)-SUMPRODUCT((MOVIMIENTOS!$B$5:$B$1005="REGALO")*(MOVIMIENTOS!$C$5:$C$1005="Chancho")*(MOVIMIENTOS!$D$5:$D$1005="sacos")*(MOVIMIENTOS!$A$5:$A$1005&lt;&gt;"")*(MOVIMIENTOS!$A$5:$A$1005&lt;=$A804)*MOVIMIENTOS!$E$5:$E$1005)-SUMPRODUCT((MOVIMIENTOS!$B$5:$B$1005="VENTA")*(MOVIMIENTOS!$C$5:$C$1005="Chancho")*(MOVIMIENTOS!$D$5:$D$1005="sacos")*(MOVIMIENTOS!$A$5:$A$1005&lt;&gt;"")*(MOVIMIENTOS!$A$5:$A$1005&lt;=$A804)*MOVIMIENTOS!$E$5:$E$1005)+SUMPRODUCT((MOVIMIENTOS!$B$5:$B$1005="AJUSTE")*(MOVIMIENTOS!$C$5:$C$1005="Chancho")*(MOVIMIENTOS!$D$5:$D$1005="sacos")*(MOVIMIENTOS!$A$5:$A$1005&lt;&gt;"")*(MOVIMIENTOS!$A$5:$A$1005&lt;=$A804)*MOVIMIENTOS!$E$5:$E$1005))</f>
        <v/>
      </c>
      <c r="G804" s="62" t="str">
        <f t="shared" si="25"/>
        <v/>
      </c>
      <c r="H804" t="str">
        <f>IF($A804="","",SUMPRODUCT((((MOVIMIENTOS!$B$5:$B$1005="SALDO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804)*MOVIMIENTOS!$J$5:$J$1005))</f>
        <v/>
      </c>
      <c r="J804" t="str">
        <f>IF(AND(MOVIMIENTOS!$A809&lt;&gt;"",COUNTIF(MOVIMIENTOS!$A$5:$A808,MOVIMIENTOS!$A809)=0),COUNT(J$4:J803)+1,"")</f>
        <v/>
      </c>
      <c r="K804">
        <f>MOVIMIENTOS!$A809</f>
        <v>0</v>
      </c>
    </row>
    <row r="805" spans="1:11" ht="15" customHeight="1" x14ac:dyDescent="0.2">
      <c r="A805" t="str">
        <f t="shared" si="24"/>
        <v/>
      </c>
      <c r="B805" t="str">
        <f>IF($A805="","",SUMPRODUCT((MOVIMIENTOS!$B$5:$B$1005="SALDO INICIAL")*(MOVIMIENTOS!$C$5:$C$1005="A")*(MOVIMIENTOS!$D$5:$D$1005="jabas")*(MOVIMIENTOS!$A$5:$A$1005&lt;&gt;"")*(MOVIMIENTOS!$A$5:$A$1005&lt;=$A805)*MOVIMIENTOS!$E$5:$E$1005)+SUMPRODUCT((MOVIMIENTOS!$B$5:$B$1005="PROCESO")*(MOVIMIENTOS!$C$5:$C$1005="A")*(MOVIMIENTOS!$D$5:$D$1005="jabas")*(MOVIMIENTOS!$A$5:$A$1005&lt;&gt;"")*(MOVIMIENTOS!$A$5:$A$1005&lt;=$A805)*MOVIMIENTOS!$E$5:$E$1005)-SUMPRODUCT((MOVIMIENTOS!$B$5:$B$1005="ENVÍO A SUPESA")*(MOVIMIENTOS!$C$5:$C$1005="A")*(MOVIMIENTOS!$D$5:$D$1005="jabas")*(MOVIMIENTOS!$A$5:$A$1005&lt;&gt;"")*(MOVIMIENTOS!$A$5:$A$1005&lt;=$A805)*MOVIMIENTOS!$E$5:$E$1005)+SUMPRODUCT((MOVIMIENTOS!$B$5:$B$1005="DEVOLUCIÓN")*(MOVIMIENTOS!$C$5:$C$1005="A")*(MOVIMIENTOS!$D$5:$D$1005="jabas")*(MOVIMIENTOS!$A$5:$A$1005&lt;&gt;"")*(MOVIMIENTOS!$A$5:$A$1005&lt;=$A805)*MOVIMIENTOS!$E$5:$E$1005)-SUMPRODUCT((MOVIMIENTOS!$B$5:$B$1005="TRASIEGO")*(MOVIMIENTOS!$C$5:$C$1005="A")*(MOVIMIENTOS!$D$5:$D$1005="jabas")*(MOVIMIENTOS!$A$5:$A$1005&lt;&gt;"")*(MOVIMIENTOS!$A$5:$A$1005&lt;=$A805)*MOVIMIENTOS!$E$5:$E$1005)-SUMPRODUCT((MOVIMIENTOS!$B$5:$B$1005="REGALO")*(MOVIMIENTOS!$C$5:$C$1005="A")*(MOVIMIENTOS!$D$5:$D$1005="jabas")*(MOVIMIENTOS!$A$5:$A$1005&lt;&gt;"")*(MOVIMIENTOS!$A$5:$A$1005&lt;=$A805)*MOVIMIENTOS!$E$5:$E$1005)-SUMPRODUCT((MOVIMIENTOS!$B$5:$B$1005="VENTA")*(MOVIMIENTOS!$C$5:$C$1005="A")*(MOVIMIENTOS!$D$5:$D$1005="jabas")*(MOVIMIENTOS!$A$5:$A$1005&lt;&gt;"")*(MOVIMIENTOS!$A$5:$A$1005&lt;=$A805)*MOVIMIENTOS!$E$5:$E$1005)+SUMPRODUCT((MOVIMIENTOS!$B$5:$B$1005="AJUSTE")*(MOVIMIENTOS!$C$5:$C$1005="A")*(MOVIMIENTOS!$D$5:$D$1005="jabas")*(MOVIMIENTOS!$A$5:$A$1005&lt;&gt;"")*(MOVIMIENTOS!$A$5:$A$1005&lt;=$A805)*MOVIMIENTOS!$E$5:$E$1005))</f>
        <v/>
      </c>
      <c r="C805" t="str">
        <f>IF($A805="","",SUMPRODUCT((MOVIMIENTOS!$B$5:$B$1005="SALDO INICIAL")*(MOVIMIENTOS!$C$5:$C$1005="P")*(MOVIMIENTOS!$D$5:$D$1005="jabas")*(MOVIMIENTOS!$A$5:$A$1005&lt;&gt;"")*(MOVIMIENTOS!$A$5:$A$1005&lt;=$A805)*MOVIMIENTOS!$E$5:$E$1005)+SUMPRODUCT((MOVIMIENTOS!$B$5:$B$1005="PROCESO")*(MOVIMIENTOS!$C$5:$C$1005="P")*(MOVIMIENTOS!$D$5:$D$1005="jabas")*(MOVIMIENTOS!$A$5:$A$1005&lt;&gt;"")*(MOVIMIENTOS!$A$5:$A$1005&lt;=$A805)*MOVIMIENTOS!$E$5:$E$1005)-SUMPRODUCT((MOVIMIENTOS!$B$5:$B$1005="ENVÍO A SUPESA")*(MOVIMIENTOS!$C$5:$C$1005="P")*(MOVIMIENTOS!$D$5:$D$1005="jabas")*(MOVIMIENTOS!$A$5:$A$1005&lt;&gt;"")*(MOVIMIENTOS!$A$5:$A$1005&lt;=$A805)*MOVIMIENTOS!$E$5:$E$1005)+SUMPRODUCT((MOVIMIENTOS!$B$5:$B$1005="DEVOLUCIÓN")*(MOVIMIENTOS!$C$5:$C$1005="P")*(MOVIMIENTOS!$D$5:$D$1005="jabas")*(MOVIMIENTOS!$A$5:$A$1005&lt;&gt;"")*(MOVIMIENTOS!$A$5:$A$1005&lt;=$A805)*MOVIMIENTOS!$E$5:$E$1005)-SUMPRODUCT((MOVIMIENTOS!$B$5:$B$1005="TRASIEGO")*(MOVIMIENTOS!$C$5:$C$1005="P")*(MOVIMIENTOS!$D$5:$D$1005="jabas")*(MOVIMIENTOS!$A$5:$A$1005&lt;&gt;"")*(MOVIMIENTOS!$A$5:$A$1005&lt;=$A805)*MOVIMIENTOS!$E$5:$E$1005)-SUMPRODUCT((MOVIMIENTOS!$B$5:$B$1005="REGALO")*(MOVIMIENTOS!$C$5:$C$1005="P")*(MOVIMIENTOS!$D$5:$D$1005="jabas")*(MOVIMIENTOS!$A$5:$A$1005&lt;&gt;"")*(MOVIMIENTOS!$A$5:$A$1005&lt;=$A805)*MOVIMIENTOS!$E$5:$E$1005)-SUMPRODUCT((MOVIMIENTOS!$B$5:$B$1005="VENTA")*(MOVIMIENTOS!$C$5:$C$1005="P")*(MOVIMIENTOS!$D$5:$D$1005="jabas")*(MOVIMIENTOS!$A$5:$A$1005&lt;&gt;"")*(MOVIMIENTOS!$A$5:$A$1005&lt;=$A805)*MOVIMIENTOS!$E$5:$E$1005)+SUMPRODUCT((MOVIMIENTOS!$B$5:$B$1005="AJUSTE")*(MOVIMIENTOS!$C$5:$C$1005="P")*(MOVIMIENTOS!$D$5:$D$1005="jabas")*(MOVIMIENTOS!$A$5:$A$1005&lt;&gt;"")*(MOVIMIENTOS!$A$5:$A$1005&lt;=$A805)*MOVIMIENTOS!$E$5:$E$1005))</f>
        <v/>
      </c>
      <c r="D805" t="str">
        <f>IF($A805="","",SUMPRODUCT((MOVIMIENTOS!$B$5:$B$1005="SALDO INICIAL")*(MOVIMIENTOS!$C$5:$C$1005="C")*(MOVIMIENTOS!$D$5:$D$1005="jabas")*(MOVIMIENTOS!$A$5:$A$1005&lt;&gt;"")*(MOVIMIENTOS!$A$5:$A$1005&lt;=$A805)*MOVIMIENTOS!$E$5:$E$1005)+SUMPRODUCT((MOVIMIENTOS!$B$5:$B$1005="PROCESO")*(MOVIMIENTOS!$C$5:$C$1005="C")*(MOVIMIENTOS!$D$5:$D$1005="jabas")*(MOVIMIENTOS!$A$5:$A$1005&lt;&gt;"")*(MOVIMIENTOS!$A$5:$A$1005&lt;=$A805)*MOVIMIENTOS!$E$5:$E$1005)-SUMPRODUCT((MOVIMIENTOS!$B$5:$B$1005="ENVÍO A SUPESA")*(MOVIMIENTOS!$C$5:$C$1005="C")*(MOVIMIENTOS!$D$5:$D$1005="jabas")*(MOVIMIENTOS!$A$5:$A$1005&lt;&gt;"")*(MOVIMIENTOS!$A$5:$A$1005&lt;=$A805)*MOVIMIENTOS!$E$5:$E$1005)+SUMPRODUCT((MOVIMIENTOS!$B$5:$B$1005="DEVOLUCIÓN")*(MOVIMIENTOS!$C$5:$C$1005="C")*(MOVIMIENTOS!$D$5:$D$1005="jabas")*(MOVIMIENTOS!$A$5:$A$1005&lt;&gt;"")*(MOVIMIENTOS!$A$5:$A$1005&lt;=$A805)*MOVIMIENTOS!$E$5:$E$1005)-SUMPRODUCT((MOVIMIENTOS!$B$5:$B$1005="TRASIEGO")*(MOVIMIENTOS!$C$5:$C$1005="C")*(MOVIMIENTOS!$D$5:$D$1005="jabas")*(MOVIMIENTOS!$A$5:$A$1005&lt;&gt;"")*(MOVIMIENTOS!$A$5:$A$1005&lt;=$A805)*MOVIMIENTOS!$E$5:$E$1005)-SUMPRODUCT((MOVIMIENTOS!$B$5:$B$1005="REGALO")*(MOVIMIENTOS!$C$5:$C$1005="C")*(MOVIMIENTOS!$D$5:$D$1005="jabas")*(MOVIMIENTOS!$A$5:$A$1005&lt;&gt;"")*(MOVIMIENTOS!$A$5:$A$1005&lt;=$A805)*MOVIMIENTOS!$E$5:$E$1005)-SUMPRODUCT((MOVIMIENTOS!$B$5:$B$1005="VENTA")*(MOVIMIENTOS!$C$5:$C$1005="C")*(MOVIMIENTOS!$D$5:$D$1005="jabas")*(MOVIMIENTOS!$A$5:$A$1005&lt;&gt;"")*(MOVIMIENTOS!$A$5:$A$1005&lt;=$A805)*MOVIMIENTOS!$E$5:$E$1005)+SUMPRODUCT((MOVIMIENTOS!$B$5:$B$1005="AJUSTE")*(MOVIMIENTOS!$C$5:$C$1005="C")*(MOVIMIENTOS!$D$5:$D$1005="jabas")*(MOVIMIENTOS!$A$5:$A$1005&lt;&gt;"")*(MOVIMIENTOS!$A$5:$A$1005&lt;=$A805)*MOVIMIENTOS!$E$5:$E$1005))</f>
        <v/>
      </c>
      <c r="E805" t="str">
        <f>IF($A805="","",SUMPRODUCT((MOVIMIENTOS!$B$5:$B$1005="SALDO INICIAL")*(MOVIMIENTOS!$C$5:$C$1005="M")*(MOVIMIENTOS!$D$5:$D$1005="jabas")*(MOVIMIENTOS!$A$5:$A$1005&lt;&gt;"")*(MOVIMIENTOS!$A$5:$A$1005&lt;=$A805)*MOVIMIENTOS!$E$5:$E$1005)+SUMPRODUCT((MOVIMIENTOS!$B$5:$B$1005="PROCESO")*(MOVIMIENTOS!$C$5:$C$1005="M")*(MOVIMIENTOS!$D$5:$D$1005="jabas")*(MOVIMIENTOS!$A$5:$A$1005&lt;&gt;"")*(MOVIMIENTOS!$A$5:$A$1005&lt;=$A805)*MOVIMIENTOS!$E$5:$E$1005)-SUMPRODUCT((MOVIMIENTOS!$B$5:$B$1005="ENVÍO A SUPESA")*(MOVIMIENTOS!$C$5:$C$1005="M")*(MOVIMIENTOS!$D$5:$D$1005="jabas")*(MOVIMIENTOS!$A$5:$A$1005&lt;&gt;"")*(MOVIMIENTOS!$A$5:$A$1005&lt;=$A805)*MOVIMIENTOS!$E$5:$E$1005)+SUMPRODUCT((MOVIMIENTOS!$B$5:$B$1005="DEVOLUCIÓN")*(MOVIMIENTOS!$C$5:$C$1005="M")*(MOVIMIENTOS!$D$5:$D$1005="jabas")*(MOVIMIENTOS!$A$5:$A$1005&lt;&gt;"")*(MOVIMIENTOS!$A$5:$A$1005&lt;=$A805)*MOVIMIENTOS!$E$5:$E$1005)-SUMPRODUCT((MOVIMIENTOS!$B$5:$B$1005="TRASIEGO")*(MOVIMIENTOS!$C$5:$C$1005="M")*(MOVIMIENTOS!$D$5:$D$1005="jabas")*(MOVIMIENTOS!$A$5:$A$1005&lt;&gt;"")*(MOVIMIENTOS!$A$5:$A$1005&lt;=$A805)*MOVIMIENTOS!$E$5:$E$1005)-SUMPRODUCT((MOVIMIENTOS!$B$5:$B$1005="REGALO")*(MOVIMIENTOS!$C$5:$C$1005="M")*(MOVIMIENTOS!$D$5:$D$1005="jabas")*(MOVIMIENTOS!$A$5:$A$1005&lt;&gt;"")*(MOVIMIENTOS!$A$5:$A$1005&lt;=$A805)*MOVIMIENTOS!$E$5:$E$1005)-SUMPRODUCT((MOVIMIENTOS!$B$5:$B$1005="VENTA")*(MOVIMIENTOS!$C$5:$C$1005="M")*(MOVIMIENTOS!$D$5:$D$1005="jabas")*(MOVIMIENTOS!$A$5:$A$1005&lt;&gt;"")*(MOVIMIENTOS!$A$5:$A$1005&lt;=$A805)*MOVIMIENTOS!$E$5:$E$1005)+SUMPRODUCT((MOVIMIENTOS!$B$5:$B$1005="AJUSTE")*(MOVIMIENTOS!$C$5:$C$1005="M")*(MOVIMIENTOS!$D$5:$D$1005="jabas")*(MOVIMIENTOS!$A$5:$A$1005&lt;&gt;"")*(MOVIMIENTOS!$A$5:$A$1005&lt;=$A805)*MOVIMIENTOS!$E$5:$E$1005))</f>
        <v/>
      </c>
      <c r="F805" s="62" t="str">
        <f>IF($A805="","",SUMPRODUCT((MOVIMIENTOS!$B$5:$B$1005="SALDO INICIAL")*(MOVIMIENTOS!$C$5:$C$1005="Chancho")*(MOVIMIENTOS!$D$5:$D$1005="sacos")*(MOVIMIENTOS!$A$5:$A$1005&lt;&gt;"")*(MOVIMIENTOS!$A$5:$A$1005&lt;=$A805)*MOVIMIENTOS!$E$5:$E$1005)+SUMPRODUCT((MOVIMIENTOS!$B$5:$B$1005="PROCESO")*(MOVIMIENTOS!$C$5:$C$1005="Chancho")*(MOVIMIENTOS!$D$5:$D$1005="sacos")*(MOVIMIENTOS!$A$5:$A$1005&lt;&gt;"")*(MOVIMIENTOS!$A$5:$A$1005&lt;=$A805)*MOVIMIENTOS!$E$5:$E$1005)-SUMPRODUCT((MOVIMIENTOS!$B$5:$B$1005="VENTA CHANCHO")*(MOVIMIENTOS!$C$5:$C$1005="Chancho")*(MOVIMIENTOS!$D$5:$D$1005="sacos")*(MOVIMIENTOS!$A$5:$A$1005&lt;&gt;"")*(MOVIMIENTOS!$A$5:$A$1005&lt;=$A805)*MOVIMIENTOS!$E$5:$E$1005)-SUMPRODUCT((MOVIMIENTOS!$B$5:$B$1005="REGALO")*(MOVIMIENTOS!$C$5:$C$1005="Chancho")*(MOVIMIENTOS!$D$5:$D$1005="sacos")*(MOVIMIENTOS!$A$5:$A$1005&lt;&gt;"")*(MOVIMIENTOS!$A$5:$A$1005&lt;=$A805)*MOVIMIENTOS!$E$5:$E$1005)-SUMPRODUCT((MOVIMIENTOS!$B$5:$B$1005="VENTA")*(MOVIMIENTOS!$C$5:$C$1005="Chancho")*(MOVIMIENTOS!$D$5:$D$1005="sacos")*(MOVIMIENTOS!$A$5:$A$1005&lt;&gt;"")*(MOVIMIENTOS!$A$5:$A$1005&lt;=$A805)*MOVIMIENTOS!$E$5:$E$1005)+SUMPRODUCT((MOVIMIENTOS!$B$5:$B$1005="AJUSTE")*(MOVIMIENTOS!$C$5:$C$1005="Chancho")*(MOVIMIENTOS!$D$5:$D$1005="sacos")*(MOVIMIENTOS!$A$5:$A$1005&lt;&gt;"")*(MOVIMIENTOS!$A$5:$A$1005&lt;=$A805)*MOVIMIENTOS!$E$5:$E$1005))</f>
        <v/>
      </c>
      <c r="G805" s="62" t="str">
        <f t="shared" si="25"/>
        <v/>
      </c>
      <c r="H805" t="str">
        <f>IF($A805="","",SUMPRODUCT((((MOVIMIENTOS!$B$5:$B$1005="SALDO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805)*MOVIMIENTOS!$J$5:$J$1005))</f>
        <v/>
      </c>
      <c r="J805" t="str">
        <f>IF(AND(MOVIMIENTOS!$A810&lt;&gt;"",COUNTIF(MOVIMIENTOS!$A$5:$A809,MOVIMIENTOS!$A810)=0),COUNT(J$4:J804)+1,"")</f>
        <v/>
      </c>
      <c r="K805">
        <f>MOVIMIENTOS!$A810</f>
        <v>0</v>
      </c>
    </row>
    <row r="806" spans="1:11" ht="15" customHeight="1" x14ac:dyDescent="0.2">
      <c r="A806" t="str">
        <f t="shared" si="24"/>
        <v/>
      </c>
      <c r="B806" t="str">
        <f>IF($A806="","",SUMPRODUCT((MOVIMIENTOS!$B$5:$B$1005="SALDO INICIAL")*(MOVIMIENTOS!$C$5:$C$1005="A")*(MOVIMIENTOS!$D$5:$D$1005="jabas")*(MOVIMIENTOS!$A$5:$A$1005&lt;&gt;"")*(MOVIMIENTOS!$A$5:$A$1005&lt;=$A806)*MOVIMIENTOS!$E$5:$E$1005)+SUMPRODUCT((MOVIMIENTOS!$B$5:$B$1005="PROCESO")*(MOVIMIENTOS!$C$5:$C$1005="A")*(MOVIMIENTOS!$D$5:$D$1005="jabas")*(MOVIMIENTOS!$A$5:$A$1005&lt;&gt;"")*(MOVIMIENTOS!$A$5:$A$1005&lt;=$A806)*MOVIMIENTOS!$E$5:$E$1005)-SUMPRODUCT((MOVIMIENTOS!$B$5:$B$1005="ENVÍO A SUPESA")*(MOVIMIENTOS!$C$5:$C$1005="A")*(MOVIMIENTOS!$D$5:$D$1005="jabas")*(MOVIMIENTOS!$A$5:$A$1005&lt;&gt;"")*(MOVIMIENTOS!$A$5:$A$1005&lt;=$A806)*MOVIMIENTOS!$E$5:$E$1005)+SUMPRODUCT((MOVIMIENTOS!$B$5:$B$1005="DEVOLUCIÓN")*(MOVIMIENTOS!$C$5:$C$1005="A")*(MOVIMIENTOS!$D$5:$D$1005="jabas")*(MOVIMIENTOS!$A$5:$A$1005&lt;&gt;"")*(MOVIMIENTOS!$A$5:$A$1005&lt;=$A806)*MOVIMIENTOS!$E$5:$E$1005)-SUMPRODUCT((MOVIMIENTOS!$B$5:$B$1005="TRASIEGO")*(MOVIMIENTOS!$C$5:$C$1005="A")*(MOVIMIENTOS!$D$5:$D$1005="jabas")*(MOVIMIENTOS!$A$5:$A$1005&lt;&gt;"")*(MOVIMIENTOS!$A$5:$A$1005&lt;=$A806)*MOVIMIENTOS!$E$5:$E$1005)-SUMPRODUCT((MOVIMIENTOS!$B$5:$B$1005="REGALO")*(MOVIMIENTOS!$C$5:$C$1005="A")*(MOVIMIENTOS!$D$5:$D$1005="jabas")*(MOVIMIENTOS!$A$5:$A$1005&lt;&gt;"")*(MOVIMIENTOS!$A$5:$A$1005&lt;=$A806)*MOVIMIENTOS!$E$5:$E$1005)-SUMPRODUCT((MOVIMIENTOS!$B$5:$B$1005="VENTA")*(MOVIMIENTOS!$C$5:$C$1005="A")*(MOVIMIENTOS!$D$5:$D$1005="jabas")*(MOVIMIENTOS!$A$5:$A$1005&lt;&gt;"")*(MOVIMIENTOS!$A$5:$A$1005&lt;=$A806)*MOVIMIENTOS!$E$5:$E$1005)+SUMPRODUCT((MOVIMIENTOS!$B$5:$B$1005="AJUSTE")*(MOVIMIENTOS!$C$5:$C$1005="A")*(MOVIMIENTOS!$D$5:$D$1005="jabas")*(MOVIMIENTOS!$A$5:$A$1005&lt;&gt;"")*(MOVIMIENTOS!$A$5:$A$1005&lt;=$A806)*MOVIMIENTOS!$E$5:$E$1005))</f>
        <v/>
      </c>
      <c r="C806" t="str">
        <f>IF($A806="","",SUMPRODUCT((MOVIMIENTOS!$B$5:$B$1005="SALDO INICIAL")*(MOVIMIENTOS!$C$5:$C$1005="P")*(MOVIMIENTOS!$D$5:$D$1005="jabas")*(MOVIMIENTOS!$A$5:$A$1005&lt;&gt;"")*(MOVIMIENTOS!$A$5:$A$1005&lt;=$A806)*MOVIMIENTOS!$E$5:$E$1005)+SUMPRODUCT((MOVIMIENTOS!$B$5:$B$1005="PROCESO")*(MOVIMIENTOS!$C$5:$C$1005="P")*(MOVIMIENTOS!$D$5:$D$1005="jabas")*(MOVIMIENTOS!$A$5:$A$1005&lt;&gt;"")*(MOVIMIENTOS!$A$5:$A$1005&lt;=$A806)*MOVIMIENTOS!$E$5:$E$1005)-SUMPRODUCT((MOVIMIENTOS!$B$5:$B$1005="ENVÍO A SUPESA")*(MOVIMIENTOS!$C$5:$C$1005="P")*(MOVIMIENTOS!$D$5:$D$1005="jabas")*(MOVIMIENTOS!$A$5:$A$1005&lt;&gt;"")*(MOVIMIENTOS!$A$5:$A$1005&lt;=$A806)*MOVIMIENTOS!$E$5:$E$1005)+SUMPRODUCT((MOVIMIENTOS!$B$5:$B$1005="DEVOLUCIÓN")*(MOVIMIENTOS!$C$5:$C$1005="P")*(MOVIMIENTOS!$D$5:$D$1005="jabas")*(MOVIMIENTOS!$A$5:$A$1005&lt;&gt;"")*(MOVIMIENTOS!$A$5:$A$1005&lt;=$A806)*MOVIMIENTOS!$E$5:$E$1005)-SUMPRODUCT((MOVIMIENTOS!$B$5:$B$1005="TRASIEGO")*(MOVIMIENTOS!$C$5:$C$1005="P")*(MOVIMIENTOS!$D$5:$D$1005="jabas")*(MOVIMIENTOS!$A$5:$A$1005&lt;&gt;"")*(MOVIMIENTOS!$A$5:$A$1005&lt;=$A806)*MOVIMIENTOS!$E$5:$E$1005)-SUMPRODUCT((MOVIMIENTOS!$B$5:$B$1005="REGALO")*(MOVIMIENTOS!$C$5:$C$1005="P")*(MOVIMIENTOS!$D$5:$D$1005="jabas")*(MOVIMIENTOS!$A$5:$A$1005&lt;&gt;"")*(MOVIMIENTOS!$A$5:$A$1005&lt;=$A806)*MOVIMIENTOS!$E$5:$E$1005)-SUMPRODUCT((MOVIMIENTOS!$B$5:$B$1005="VENTA")*(MOVIMIENTOS!$C$5:$C$1005="P")*(MOVIMIENTOS!$D$5:$D$1005="jabas")*(MOVIMIENTOS!$A$5:$A$1005&lt;&gt;"")*(MOVIMIENTOS!$A$5:$A$1005&lt;=$A806)*MOVIMIENTOS!$E$5:$E$1005)+SUMPRODUCT((MOVIMIENTOS!$B$5:$B$1005="AJUSTE")*(MOVIMIENTOS!$C$5:$C$1005="P")*(MOVIMIENTOS!$D$5:$D$1005="jabas")*(MOVIMIENTOS!$A$5:$A$1005&lt;&gt;"")*(MOVIMIENTOS!$A$5:$A$1005&lt;=$A806)*MOVIMIENTOS!$E$5:$E$1005))</f>
        <v/>
      </c>
      <c r="D806" t="str">
        <f>IF($A806="","",SUMPRODUCT((MOVIMIENTOS!$B$5:$B$1005="SALDO INICIAL")*(MOVIMIENTOS!$C$5:$C$1005="C")*(MOVIMIENTOS!$D$5:$D$1005="jabas")*(MOVIMIENTOS!$A$5:$A$1005&lt;&gt;"")*(MOVIMIENTOS!$A$5:$A$1005&lt;=$A806)*MOVIMIENTOS!$E$5:$E$1005)+SUMPRODUCT((MOVIMIENTOS!$B$5:$B$1005="PROCESO")*(MOVIMIENTOS!$C$5:$C$1005="C")*(MOVIMIENTOS!$D$5:$D$1005="jabas")*(MOVIMIENTOS!$A$5:$A$1005&lt;&gt;"")*(MOVIMIENTOS!$A$5:$A$1005&lt;=$A806)*MOVIMIENTOS!$E$5:$E$1005)-SUMPRODUCT((MOVIMIENTOS!$B$5:$B$1005="ENVÍO A SUPESA")*(MOVIMIENTOS!$C$5:$C$1005="C")*(MOVIMIENTOS!$D$5:$D$1005="jabas")*(MOVIMIENTOS!$A$5:$A$1005&lt;&gt;"")*(MOVIMIENTOS!$A$5:$A$1005&lt;=$A806)*MOVIMIENTOS!$E$5:$E$1005)+SUMPRODUCT((MOVIMIENTOS!$B$5:$B$1005="DEVOLUCIÓN")*(MOVIMIENTOS!$C$5:$C$1005="C")*(MOVIMIENTOS!$D$5:$D$1005="jabas")*(MOVIMIENTOS!$A$5:$A$1005&lt;&gt;"")*(MOVIMIENTOS!$A$5:$A$1005&lt;=$A806)*MOVIMIENTOS!$E$5:$E$1005)-SUMPRODUCT((MOVIMIENTOS!$B$5:$B$1005="TRASIEGO")*(MOVIMIENTOS!$C$5:$C$1005="C")*(MOVIMIENTOS!$D$5:$D$1005="jabas")*(MOVIMIENTOS!$A$5:$A$1005&lt;&gt;"")*(MOVIMIENTOS!$A$5:$A$1005&lt;=$A806)*MOVIMIENTOS!$E$5:$E$1005)-SUMPRODUCT((MOVIMIENTOS!$B$5:$B$1005="REGALO")*(MOVIMIENTOS!$C$5:$C$1005="C")*(MOVIMIENTOS!$D$5:$D$1005="jabas")*(MOVIMIENTOS!$A$5:$A$1005&lt;&gt;"")*(MOVIMIENTOS!$A$5:$A$1005&lt;=$A806)*MOVIMIENTOS!$E$5:$E$1005)-SUMPRODUCT((MOVIMIENTOS!$B$5:$B$1005="VENTA")*(MOVIMIENTOS!$C$5:$C$1005="C")*(MOVIMIENTOS!$D$5:$D$1005="jabas")*(MOVIMIENTOS!$A$5:$A$1005&lt;&gt;"")*(MOVIMIENTOS!$A$5:$A$1005&lt;=$A806)*MOVIMIENTOS!$E$5:$E$1005)+SUMPRODUCT((MOVIMIENTOS!$B$5:$B$1005="AJUSTE")*(MOVIMIENTOS!$C$5:$C$1005="C")*(MOVIMIENTOS!$D$5:$D$1005="jabas")*(MOVIMIENTOS!$A$5:$A$1005&lt;&gt;"")*(MOVIMIENTOS!$A$5:$A$1005&lt;=$A806)*MOVIMIENTOS!$E$5:$E$1005))</f>
        <v/>
      </c>
      <c r="E806" t="str">
        <f>IF($A806="","",SUMPRODUCT((MOVIMIENTOS!$B$5:$B$1005="SALDO INICIAL")*(MOVIMIENTOS!$C$5:$C$1005="M")*(MOVIMIENTOS!$D$5:$D$1005="jabas")*(MOVIMIENTOS!$A$5:$A$1005&lt;&gt;"")*(MOVIMIENTOS!$A$5:$A$1005&lt;=$A806)*MOVIMIENTOS!$E$5:$E$1005)+SUMPRODUCT((MOVIMIENTOS!$B$5:$B$1005="PROCESO")*(MOVIMIENTOS!$C$5:$C$1005="M")*(MOVIMIENTOS!$D$5:$D$1005="jabas")*(MOVIMIENTOS!$A$5:$A$1005&lt;&gt;"")*(MOVIMIENTOS!$A$5:$A$1005&lt;=$A806)*MOVIMIENTOS!$E$5:$E$1005)-SUMPRODUCT((MOVIMIENTOS!$B$5:$B$1005="ENVÍO A SUPESA")*(MOVIMIENTOS!$C$5:$C$1005="M")*(MOVIMIENTOS!$D$5:$D$1005="jabas")*(MOVIMIENTOS!$A$5:$A$1005&lt;&gt;"")*(MOVIMIENTOS!$A$5:$A$1005&lt;=$A806)*MOVIMIENTOS!$E$5:$E$1005)+SUMPRODUCT((MOVIMIENTOS!$B$5:$B$1005="DEVOLUCIÓN")*(MOVIMIENTOS!$C$5:$C$1005="M")*(MOVIMIENTOS!$D$5:$D$1005="jabas")*(MOVIMIENTOS!$A$5:$A$1005&lt;&gt;"")*(MOVIMIENTOS!$A$5:$A$1005&lt;=$A806)*MOVIMIENTOS!$E$5:$E$1005)-SUMPRODUCT((MOVIMIENTOS!$B$5:$B$1005="TRASIEGO")*(MOVIMIENTOS!$C$5:$C$1005="M")*(MOVIMIENTOS!$D$5:$D$1005="jabas")*(MOVIMIENTOS!$A$5:$A$1005&lt;&gt;"")*(MOVIMIENTOS!$A$5:$A$1005&lt;=$A806)*MOVIMIENTOS!$E$5:$E$1005)-SUMPRODUCT((MOVIMIENTOS!$B$5:$B$1005="REGALO")*(MOVIMIENTOS!$C$5:$C$1005="M")*(MOVIMIENTOS!$D$5:$D$1005="jabas")*(MOVIMIENTOS!$A$5:$A$1005&lt;&gt;"")*(MOVIMIENTOS!$A$5:$A$1005&lt;=$A806)*MOVIMIENTOS!$E$5:$E$1005)-SUMPRODUCT((MOVIMIENTOS!$B$5:$B$1005="VENTA")*(MOVIMIENTOS!$C$5:$C$1005="M")*(MOVIMIENTOS!$D$5:$D$1005="jabas")*(MOVIMIENTOS!$A$5:$A$1005&lt;&gt;"")*(MOVIMIENTOS!$A$5:$A$1005&lt;=$A806)*MOVIMIENTOS!$E$5:$E$1005)+SUMPRODUCT((MOVIMIENTOS!$B$5:$B$1005="AJUSTE")*(MOVIMIENTOS!$C$5:$C$1005="M")*(MOVIMIENTOS!$D$5:$D$1005="jabas")*(MOVIMIENTOS!$A$5:$A$1005&lt;&gt;"")*(MOVIMIENTOS!$A$5:$A$1005&lt;=$A806)*MOVIMIENTOS!$E$5:$E$1005))</f>
        <v/>
      </c>
      <c r="F806" s="62" t="str">
        <f>IF($A806="","",SUMPRODUCT((MOVIMIENTOS!$B$5:$B$1005="SALDO INICIAL")*(MOVIMIENTOS!$C$5:$C$1005="Chancho")*(MOVIMIENTOS!$D$5:$D$1005="sacos")*(MOVIMIENTOS!$A$5:$A$1005&lt;&gt;"")*(MOVIMIENTOS!$A$5:$A$1005&lt;=$A806)*MOVIMIENTOS!$E$5:$E$1005)+SUMPRODUCT((MOVIMIENTOS!$B$5:$B$1005="PROCESO")*(MOVIMIENTOS!$C$5:$C$1005="Chancho")*(MOVIMIENTOS!$D$5:$D$1005="sacos")*(MOVIMIENTOS!$A$5:$A$1005&lt;&gt;"")*(MOVIMIENTOS!$A$5:$A$1005&lt;=$A806)*MOVIMIENTOS!$E$5:$E$1005)-SUMPRODUCT((MOVIMIENTOS!$B$5:$B$1005="VENTA CHANCHO")*(MOVIMIENTOS!$C$5:$C$1005="Chancho")*(MOVIMIENTOS!$D$5:$D$1005="sacos")*(MOVIMIENTOS!$A$5:$A$1005&lt;&gt;"")*(MOVIMIENTOS!$A$5:$A$1005&lt;=$A806)*MOVIMIENTOS!$E$5:$E$1005)-SUMPRODUCT((MOVIMIENTOS!$B$5:$B$1005="REGALO")*(MOVIMIENTOS!$C$5:$C$1005="Chancho")*(MOVIMIENTOS!$D$5:$D$1005="sacos")*(MOVIMIENTOS!$A$5:$A$1005&lt;&gt;"")*(MOVIMIENTOS!$A$5:$A$1005&lt;=$A806)*MOVIMIENTOS!$E$5:$E$1005)-SUMPRODUCT((MOVIMIENTOS!$B$5:$B$1005="VENTA")*(MOVIMIENTOS!$C$5:$C$1005="Chancho")*(MOVIMIENTOS!$D$5:$D$1005="sacos")*(MOVIMIENTOS!$A$5:$A$1005&lt;&gt;"")*(MOVIMIENTOS!$A$5:$A$1005&lt;=$A806)*MOVIMIENTOS!$E$5:$E$1005)+SUMPRODUCT((MOVIMIENTOS!$B$5:$B$1005="AJUSTE")*(MOVIMIENTOS!$C$5:$C$1005="Chancho")*(MOVIMIENTOS!$D$5:$D$1005="sacos")*(MOVIMIENTOS!$A$5:$A$1005&lt;&gt;"")*(MOVIMIENTOS!$A$5:$A$1005&lt;=$A806)*MOVIMIENTOS!$E$5:$E$1005))</f>
        <v/>
      </c>
      <c r="G806" s="62" t="str">
        <f t="shared" si="25"/>
        <v/>
      </c>
      <c r="H806" t="str">
        <f>IF($A806="","",SUMPRODUCT((((MOVIMIENTOS!$B$5:$B$1005="SALDO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806)*MOVIMIENTOS!$J$5:$J$1005))</f>
        <v/>
      </c>
      <c r="J806" t="str">
        <f>IF(AND(MOVIMIENTOS!$A811&lt;&gt;"",COUNTIF(MOVIMIENTOS!$A$5:$A810,MOVIMIENTOS!$A811)=0),COUNT(J$4:J805)+1,"")</f>
        <v/>
      </c>
      <c r="K806">
        <f>MOVIMIENTOS!$A811</f>
        <v>0</v>
      </c>
    </row>
    <row r="807" spans="1:11" ht="15" customHeight="1" x14ac:dyDescent="0.2">
      <c r="A807" t="str">
        <f t="shared" si="24"/>
        <v/>
      </c>
      <c r="B807" t="str">
        <f>IF($A807="","",SUMPRODUCT((MOVIMIENTOS!$B$5:$B$1005="SALDO INICIAL")*(MOVIMIENTOS!$C$5:$C$1005="A")*(MOVIMIENTOS!$D$5:$D$1005="jabas")*(MOVIMIENTOS!$A$5:$A$1005&lt;&gt;"")*(MOVIMIENTOS!$A$5:$A$1005&lt;=$A807)*MOVIMIENTOS!$E$5:$E$1005)+SUMPRODUCT((MOVIMIENTOS!$B$5:$B$1005="PROCESO")*(MOVIMIENTOS!$C$5:$C$1005="A")*(MOVIMIENTOS!$D$5:$D$1005="jabas")*(MOVIMIENTOS!$A$5:$A$1005&lt;&gt;"")*(MOVIMIENTOS!$A$5:$A$1005&lt;=$A807)*MOVIMIENTOS!$E$5:$E$1005)-SUMPRODUCT((MOVIMIENTOS!$B$5:$B$1005="ENVÍO A SUPESA")*(MOVIMIENTOS!$C$5:$C$1005="A")*(MOVIMIENTOS!$D$5:$D$1005="jabas")*(MOVIMIENTOS!$A$5:$A$1005&lt;&gt;"")*(MOVIMIENTOS!$A$5:$A$1005&lt;=$A807)*MOVIMIENTOS!$E$5:$E$1005)+SUMPRODUCT((MOVIMIENTOS!$B$5:$B$1005="DEVOLUCIÓN")*(MOVIMIENTOS!$C$5:$C$1005="A")*(MOVIMIENTOS!$D$5:$D$1005="jabas")*(MOVIMIENTOS!$A$5:$A$1005&lt;&gt;"")*(MOVIMIENTOS!$A$5:$A$1005&lt;=$A807)*MOVIMIENTOS!$E$5:$E$1005)-SUMPRODUCT((MOVIMIENTOS!$B$5:$B$1005="TRASIEGO")*(MOVIMIENTOS!$C$5:$C$1005="A")*(MOVIMIENTOS!$D$5:$D$1005="jabas")*(MOVIMIENTOS!$A$5:$A$1005&lt;&gt;"")*(MOVIMIENTOS!$A$5:$A$1005&lt;=$A807)*MOVIMIENTOS!$E$5:$E$1005)-SUMPRODUCT((MOVIMIENTOS!$B$5:$B$1005="REGALO")*(MOVIMIENTOS!$C$5:$C$1005="A")*(MOVIMIENTOS!$D$5:$D$1005="jabas")*(MOVIMIENTOS!$A$5:$A$1005&lt;&gt;"")*(MOVIMIENTOS!$A$5:$A$1005&lt;=$A807)*MOVIMIENTOS!$E$5:$E$1005)-SUMPRODUCT((MOVIMIENTOS!$B$5:$B$1005="VENTA")*(MOVIMIENTOS!$C$5:$C$1005="A")*(MOVIMIENTOS!$D$5:$D$1005="jabas")*(MOVIMIENTOS!$A$5:$A$1005&lt;&gt;"")*(MOVIMIENTOS!$A$5:$A$1005&lt;=$A807)*MOVIMIENTOS!$E$5:$E$1005)+SUMPRODUCT((MOVIMIENTOS!$B$5:$B$1005="AJUSTE")*(MOVIMIENTOS!$C$5:$C$1005="A")*(MOVIMIENTOS!$D$5:$D$1005="jabas")*(MOVIMIENTOS!$A$5:$A$1005&lt;&gt;"")*(MOVIMIENTOS!$A$5:$A$1005&lt;=$A807)*MOVIMIENTOS!$E$5:$E$1005))</f>
        <v/>
      </c>
      <c r="C807" t="str">
        <f>IF($A807="","",SUMPRODUCT((MOVIMIENTOS!$B$5:$B$1005="SALDO INICIAL")*(MOVIMIENTOS!$C$5:$C$1005="P")*(MOVIMIENTOS!$D$5:$D$1005="jabas")*(MOVIMIENTOS!$A$5:$A$1005&lt;&gt;"")*(MOVIMIENTOS!$A$5:$A$1005&lt;=$A807)*MOVIMIENTOS!$E$5:$E$1005)+SUMPRODUCT((MOVIMIENTOS!$B$5:$B$1005="PROCESO")*(MOVIMIENTOS!$C$5:$C$1005="P")*(MOVIMIENTOS!$D$5:$D$1005="jabas")*(MOVIMIENTOS!$A$5:$A$1005&lt;&gt;"")*(MOVIMIENTOS!$A$5:$A$1005&lt;=$A807)*MOVIMIENTOS!$E$5:$E$1005)-SUMPRODUCT((MOVIMIENTOS!$B$5:$B$1005="ENVÍO A SUPESA")*(MOVIMIENTOS!$C$5:$C$1005="P")*(MOVIMIENTOS!$D$5:$D$1005="jabas")*(MOVIMIENTOS!$A$5:$A$1005&lt;&gt;"")*(MOVIMIENTOS!$A$5:$A$1005&lt;=$A807)*MOVIMIENTOS!$E$5:$E$1005)+SUMPRODUCT((MOVIMIENTOS!$B$5:$B$1005="DEVOLUCIÓN")*(MOVIMIENTOS!$C$5:$C$1005="P")*(MOVIMIENTOS!$D$5:$D$1005="jabas")*(MOVIMIENTOS!$A$5:$A$1005&lt;&gt;"")*(MOVIMIENTOS!$A$5:$A$1005&lt;=$A807)*MOVIMIENTOS!$E$5:$E$1005)-SUMPRODUCT((MOVIMIENTOS!$B$5:$B$1005="TRASIEGO")*(MOVIMIENTOS!$C$5:$C$1005="P")*(MOVIMIENTOS!$D$5:$D$1005="jabas")*(MOVIMIENTOS!$A$5:$A$1005&lt;&gt;"")*(MOVIMIENTOS!$A$5:$A$1005&lt;=$A807)*MOVIMIENTOS!$E$5:$E$1005)-SUMPRODUCT((MOVIMIENTOS!$B$5:$B$1005="REGALO")*(MOVIMIENTOS!$C$5:$C$1005="P")*(MOVIMIENTOS!$D$5:$D$1005="jabas")*(MOVIMIENTOS!$A$5:$A$1005&lt;&gt;"")*(MOVIMIENTOS!$A$5:$A$1005&lt;=$A807)*MOVIMIENTOS!$E$5:$E$1005)-SUMPRODUCT((MOVIMIENTOS!$B$5:$B$1005="VENTA")*(MOVIMIENTOS!$C$5:$C$1005="P")*(MOVIMIENTOS!$D$5:$D$1005="jabas")*(MOVIMIENTOS!$A$5:$A$1005&lt;&gt;"")*(MOVIMIENTOS!$A$5:$A$1005&lt;=$A807)*MOVIMIENTOS!$E$5:$E$1005)+SUMPRODUCT((MOVIMIENTOS!$B$5:$B$1005="AJUSTE")*(MOVIMIENTOS!$C$5:$C$1005="P")*(MOVIMIENTOS!$D$5:$D$1005="jabas")*(MOVIMIENTOS!$A$5:$A$1005&lt;&gt;"")*(MOVIMIENTOS!$A$5:$A$1005&lt;=$A807)*MOVIMIENTOS!$E$5:$E$1005))</f>
        <v/>
      </c>
      <c r="D807" t="str">
        <f>IF($A807="","",SUMPRODUCT((MOVIMIENTOS!$B$5:$B$1005="SALDO INICIAL")*(MOVIMIENTOS!$C$5:$C$1005="C")*(MOVIMIENTOS!$D$5:$D$1005="jabas")*(MOVIMIENTOS!$A$5:$A$1005&lt;&gt;"")*(MOVIMIENTOS!$A$5:$A$1005&lt;=$A807)*MOVIMIENTOS!$E$5:$E$1005)+SUMPRODUCT((MOVIMIENTOS!$B$5:$B$1005="PROCESO")*(MOVIMIENTOS!$C$5:$C$1005="C")*(MOVIMIENTOS!$D$5:$D$1005="jabas")*(MOVIMIENTOS!$A$5:$A$1005&lt;&gt;"")*(MOVIMIENTOS!$A$5:$A$1005&lt;=$A807)*MOVIMIENTOS!$E$5:$E$1005)-SUMPRODUCT((MOVIMIENTOS!$B$5:$B$1005="ENVÍO A SUPESA")*(MOVIMIENTOS!$C$5:$C$1005="C")*(MOVIMIENTOS!$D$5:$D$1005="jabas")*(MOVIMIENTOS!$A$5:$A$1005&lt;&gt;"")*(MOVIMIENTOS!$A$5:$A$1005&lt;=$A807)*MOVIMIENTOS!$E$5:$E$1005)+SUMPRODUCT((MOVIMIENTOS!$B$5:$B$1005="DEVOLUCIÓN")*(MOVIMIENTOS!$C$5:$C$1005="C")*(MOVIMIENTOS!$D$5:$D$1005="jabas")*(MOVIMIENTOS!$A$5:$A$1005&lt;&gt;"")*(MOVIMIENTOS!$A$5:$A$1005&lt;=$A807)*MOVIMIENTOS!$E$5:$E$1005)-SUMPRODUCT((MOVIMIENTOS!$B$5:$B$1005="TRASIEGO")*(MOVIMIENTOS!$C$5:$C$1005="C")*(MOVIMIENTOS!$D$5:$D$1005="jabas")*(MOVIMIENTOS!$A$5:$A$1005&lt;&gt;"")*(MOVIMIENTOS!$A$5:$A$1005&lt;=$A807)*MOVIMIENTOS!$E$5:$E$1005)-SUMPRODUCT((MOVIMIENTOS!$B$5:$B$1005="REGALO")*(MOVIMIENTOS!$C$5:$C$1005="C")*(MOVIMIENTOS!$D$5:$D$1005="jabas")*(MOVIMIENTOS!$A$5:$A$1005&lt;&gt;"")*(MOVIMIENTOS!$A$5:$A$1005&lt;=$A807)*MOVIMIENTOS!$E$5:$E$1005)-SUMPRODUCT((MOVIMIENTOS!$B$5:$B$1005="VENTA")*(MOVIMIENTOS!$C$5:$C$1005="C")*(MOVIMIENTOS!$D$5:$D$1005="jabas")*(MOVIMIENTOS!$A$5:$A$1005&lt;&gt;"")*(MOVIMIENTOS!$A$5:$A$1005&lt;=$A807)*MOVIMIENTOS!$E$5:$E$1005)+SUMPRODUCT((MOVIMIENTOS!$B$5:$B$1005="AJUSTE")*(MOVIMIENTOS!$C$5:$C$1005="C")*(MOVIMIENTOS!$D$5:$D$1005="jabas")*(MOVIMIENTOS!$A$5:$A$1005&lt;&gt;"")*(MOVIMIENTOS!$A$5:$A$1005&lt;=$A807)*MOVIMIENTOS!$E$5:$E$1005))</f>
        <v/>
      </c>
      <c r="E807" t="str">
        <f>IF($A807="","",SUMPRODUCT((MOVIMIENTOS!$B$5:$B$1005="SALDO INICIAL")*(MOVIMIENTOS!$C$5:$C$1005="M")*(MOVIMIENTOS!$D$5:$D$1005="jabas")*(MOVIMIENTOS!$A$5:$A$1005&lt;&gt;"")*(MOVIMIENTOS!$A$5:$A$1005&lt;=$A807)*MOVIMIENTOS!$E$5:$E$1005)+SUMPRODUCT((MOVIMIENTOS!$B$5:$B$1005="PROCESO")*(MOVIMIENTOS!$C$5:$C$1005="M")*(MOVIMIENTOS!$D$5:$D$1005="jabas")*(MOVIMIENTOS!$A$5:$A$1005&lt;&gt;"")*(MOVIMIENTOS!$A$5:$A$1005&lt;=$A807)*MOVIMIENTOS!$E$5:$E$1005)-SUMPRODUCT((MOVIMIENTOS!$B$5:$B$1005="ENVÍO A SUPESA")*(MOVIMIENTOS!$C$5:$C$1005="M")*(MOVIMIENTOS!$D$5:$D$1005="jabas")*(MOVIMIENTOS!$A$5:$A$1005&lt;&gt;"")*(MOVIMIENTOS!$A$5:$A$1005&lt;=$A807)*MOVIMIENTOS!$E$5:$E$1005)+SUMPRODUCT((MOVIMIENTOS!$B$5:$B$1005="DEVOLUCIÓN")*(MOVIMIENTOS!$C$5:$C$1005="M")*(MOVIMIENTOS!$D$5:$D$1005="jabas")*(MOVIMIENTOS!$A$5:$A$1005&lt;&gt;"")*(MOVIMIENTOS!$A$5:$A$1005&lt;=$A807)*MOVIMIENTOS!$E$5:$E$1005)-SUMPRODUCT((MOVIMIENTOS!$B$5:$B$1005="TRASIEGO")*(MOVIMIENTOS!$C$5:$C$1005="M")*(MOVIMIENTOS!$D$5:$D$1005="jabas")*(MOVIMIENTOS!$A$5:$A$1005&lt;&gt;"")*(MOVIMIENTOS!$A$5:$A$1005&lt;=$A807)*MOVIMIENTOS!$E$5:$E$1005)-SUMPRODUCT((MOVIMIENTOS!$B$5:$B$1005="REGALO")*(MOVIMIENTOS!$C$5:$C$1005="M")*(MOVIMIENTOS!$D$5:$D$1005="jabas")*(MOVIMIENTOS!$A$5:$A$1005&lt;&gt;"")*(MOVIMIENTOS!$A$5:$A$1005&lt;=$A807)*MOVIMIENTOS!$E$5:$E$1005)-SUMPRODUCT((MOVIMIENTOS!$B$5:$B$1005="VENTA")*(MOVIMIENTOS!$C$5:$C$1005="M")*(MOVIMIENTOS!$D$5:$D$1005="jabas")*(MOVIMIENTOS!$A$5:$A$1005&lt;&gt;"")*(MOVIMIENTOS!$A$5:$A$1005&lt;=$A807)*MOVIMIENTOS!$E$5:$E$1005)+SUMPRODUCT((MOVIMIENTOS!$B$5:$B$1005="AJUSTE")*(MOVIMIENTOS!$C$5:$C$1005="M")*(MOVIMIENTOS!$D$5:$D$1005="jabas")*(MOVIMIENTOS!$A$5:$A$1005&lt;&gt;"")*(MOVIMIENTOS!$A$5:$A$1005&lt;=$A807)*MOVIMIENTOS!$E$5:$E$1005))</f>
        <v/>
      </c>
      <c r="F807" s="62" t="str">
        <f>IF($A807="","",SUMPRODUCT((MOVIMIENTOS!$B$5:$B$1005="SALDO INICIAL")*(MOVIMIENTOS!$C$5:$C$1005="Chancho")*(MOVIMIENTOS!$D$5:$D$1005="sacos")*(MOVIMIENTOS!$A$5:$A$1005&lt;&gt;"")*(MOVIMIENTOS!$A$5:$A$1005&lt;=$A807)*MOVIMIENTOS!$E$5:$E$1005)+SUMPRODUCT((MOVIMIENTOS!$B$5:$B$1005="PROCESO")*(MOVIMIENTOS!$C$5:$C$1005="Chancho")*(MOVIMIENTOS!$D$5:$D$1005="sacos")*(MOVIMIENTOS!$A$5:$A$1005&lt;&gt;"")*(MOVIMIENTOS!$A$5:$A$1005&lt;=$A807)*MOVIMIENTOS!$E$5:$E$1005)-SUMPRODUCT((MOVIMIENTOS!$B$5:$B$1005="VENTA CHANCHO")*(MOVIMIENTOS!$C$5:$C$1005="Chancho")*(MOVIMIENTOS!$D$5:$D$1005="sacos")*(MOVIMIENTOS!$A$5:$A$1005&lt;&gt;"")*(MOVIMIENTOS!$A$5:$A$1005&lt;=$A807)*MOVIMIENTOS!$E$5:$E$1005)-SUMPRODUCT((MOVIMIENTOS!$B$5:$B$1005="REGALO")*(MOVIMIENTOS!$C$5:$C$1005="Chancho")*(MOVIMIENTOS!$D$5:$D$1005="sacos")*(MOVIMIENTOS!$A$5:$A$1005&lt;&gt;"")*(MOVIMIENTOS!$A$5:$A$1005&lt;=$A807)*MOVIMIENTOS!$E$5:$E$1005)-SUMPRODUCT((MOVIMIENTOS!$B$5:$B$1005="VENTA")*(MOVIMIENTOS!$C$5:$C$1005="Chancho")*(MOVIMIENTOS!$D$5:$D$1005="sacos")*(MOVIMIENTOS!$A$5:$A$1005&lt;&gt;"")*(MOVIMIENTOS!$A$5:$A$1005&lt;=$A807)*MOVIMIENTOS!$E$5:$E$1005)+SUMPRODUCT((MOVIMIENTOS!$B$5:$B$1005="AJUSTE")*(MOVIMIENTOS!$C$5:$C$1005="Chancho")*(MOVIMIENTOS!$D$5:$D$1005="sacos")*(MOVIMIENTOS!$A$5:$A$1005&lt;&gt;"")*(MOVIMIENTOS!$A$5:$A$1005&lt;=$A807)*MOVIMIENTOS!$E$5:$E$1005))</f>
        <v/>
      </c>
      <c r="G807" s="62" t="str">
        <f t="shared" si="25"/>
        <v/>
      </c>
      <c r="H807" t="str">
        <f>IF($A807="","",SUMPRODUCT((((MOVIMIENTOS!$B$5:$B$1005="SALDO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807)*MOVIMIENTOS!$J$5:$J$1005))</f>
        <v/>
      </c>
      <c r="J807" t="str">
        <f>IF(AND(MOVIMIENTOS!$A812&lt;&gt;"",COUNTIF(MOVIMIENTOS!$A$5:$A811,MOVIMIENTOS!$A812)=0),COUNT(J$4:J806)+1,"")</f>
        <v/>
      </c>
      <c r="K807">
        <f>MOVIMIENTOS!$A812</f>
        <v>0</v>
      </c>
    </row>
    <row r="808" spans="1:11" ht="15" customHeight="1" x14ac:dyDescent="0.2">
      <c r="A808" t="str">
        <f t="shared" si="24"/>
        <v/>
      </c>
      <c r="B808" t="str">
        <f>IF($A808="","",SUMPRODUCT((MOVIMIENTOS!$B$5:$B$1005="SALDO INICIAL")*(MOVIMIENTOS!$C$5:$C$1005="A")*(MOVIMIENTOS!$D$5:$D$1005="jabas")*(MOVIMIENTOS!$A$5:$A$1005&lt;&gt;"")*(MOVIMIENTOS!$A$5:$A$1005&lt;=$A808)*MOVIMIENTOS!$E$5:$E$1005)+SUMPRODUCT((MOVIMIENTOS!$B$5:$B$1005="PROCESO")*(MOVIMIENTOS!$C$5:$C$1005="A")*(MOVIMIENTOS!$D$5:$D$1005="jabas")*(MOVIMIENTOS!$A$5:$A$1005&lt;&gt;"")*(MOVIMIENTOS!$A$5:$A$1005&lt;=$A808)*MOVIMIENTOS!$E$5:$E$1005)-SUMPRODUCT((MOVIMIENTOS!$B$5:$B$1005="ENVÍO A SUPESA")*(MOVIMIENTOS!$C$5:$C$1005="A")*(MOVIMIENTOS!$D$5:$D$1005="jabas")*(MOVIMIENTOS!$A$5:$A$1005&lt;&gt;"")*(MOVIMIENTOS!$A$5:$A$1005&lt;=$A808)*MOVIMIENTOS!$E$5:$E$1005)+SUMPRODUCT((MOVIMIENTOS!$B$5:$B$1005="DEVOLUCIÓN")*(MOVIMIENTOS!$C$5:$C$1005="A")*(MOVIMIENTOS!$D$5:$D$1005="jabas")*(MOVIMIENTOS!$A$5:$A$1005&lt;&gt;"")*(MOVIMIENTOS!$A$5:$A$1005&lt;=$A808)*MOVIMIENTOS!$E$5:$E$1005)-SUMPRODUCT((MOVIMIENTOS!$B$5:$B$1005="TRASIEGO")*(MOVIMIENTOS!$C$5:$C$1005="A")*(MOVIMIENTOS!$D$5:$D$1005="jabas")*(MOVIMIENTOS!$A$5:$A$1005&lt;&gt;"")*(MOVIMIENTOS!$A$5:$A$1005&lt;=$A808)*MOVIMIENTOS!$E$5:$E$1005)-SUMPRODUCT((MOVIMIENTOS!$B$5:$B$1005="REGALO")*(MOVIMIENTOS!$C$5:$C$1005="A")*(MOVIMIENTOS!$D$5:$D$1005="jabas")*(MOVIMIENTOS!$A$5:$A$1005&lt;&gt;"")*(MOVIMIENTOS!$A$5:$A$1005&lt;=$A808)*MOVIMIENTOS!$E$5:$E$1005)-SUMPRODUCT((MOVIMIENTOS!$B$5:$B$1005="VENTA")*(MOVIMIENTOS!$C$5:$C$1005="A")*(MOVIMIENTOS!$D$5:$D$1005="jabas")*(MOVIMIENTOS!$A$5:$A$1005&lt;&gt;"")*(MOVIMIENTOS!$A$5:$A$1005&lt;=$A808)*MOVIMIENTOS!$E$5:$E$1005)+SUMPRODUCT((MOVIMIENTOS!$B$5:$B$1005="AJUSTE")*(MOVIMIENTOS!$C$5:$C$1005="A")*(MOVIMIENTOS!$D$5:$D$1005="jabas")*(MOVIMIENTOS!$A$5:$A$1005&lt;&gt;"")*(MOVIMIENTOS!$A$5:$A$1005&lt;=$A808)*MOVIMIENTOS!$E$5:$E$1005))</f>
        <v/>
      </c>
      <c r="C808" t="str">
        <f>IF($A808="","",SUMPRODUCT((MOVIMIENTOS!$B$5:$B$1005="SALDO INICIAL")*(MOVIMIENTOS!$C$5:$C$1005="P")*(MOVIMIENTOS!$D$5:$D$1005="jabas")*(MOVIMIENTOS!$A$5:$A$1005&lt;&gt;"")*(MOVIMIENTOS!$A$5:$A$1005&lt;=$A808)*MOVIMIENTOS!$E$5:$E$1005)+SUMPRODUCT((MOVIMIENTOS!$B$5:$B$1005="PROCESO")*(MOVIMIENTOS!$C$5:$C$1005="P")*(MOVIMIENTOS!$D$5:$D$1005="jabas")*(MOVIMIENTOS!$A$5:$A$1005&lt;&gt;"")*(MOVIMIENTOS!$A$5:$A$1005&lt;=$A808)*MOVIMIENTOS!$E$5:$E$1005)-SUMPRODUCT((MOVIMIENTOS!$B$5:$B$1005="ENVÍO A SUPESA")*(MOVIMIENTOS!$C$5:$C$1005="P")*(MOVIMIENTOS!$D$5:$D$1005="jabas")*(MOVIMIENTOS!$A$5:$A$1005&lt;&gt;"")*(MOVIMIENTOS!$A$5:$A$1005&lt;=$A808)*MOVIMIENTOS!$E$5:$E$1005)+SUMPRODUCT((MOVIMIENTOS!$B$5:$B$1005="DEVOLUCIÓN")*(MOVIMIENTOS!$C$5:$C$1005="P")*(MOVIMIENTOS!$D$5:$D$1005="jabas")*(MOVIMIENTOS!$A$5:$A$1005&lt;&gt;"")*(MOVIMIENTOS!$A$5:$A$1005&lt;=$A808)*MOVIMIENTOS!$E$5:$E$1005)-SUMPRODUCT((MOVIMIENTOS!$B$5:$B$1005="TRASIEGO")*(MOVIMIENTOS!$C$5:$C$1005="P")*(MOVIMIENTOS!$D$5:$D$1005="jabas")*(MOVIMIENTOS!$A$5:$A$1005&lt;&gt;"")*(MOVIMIENTOS!$A$5:$A$1005&lt;=$A808)*MOVIMIENTOS!$E$5:$E$1005)-SUMPRODUCT((MOVIMIENTOS!$B$5:$B$1005="REGALO")*(MOVIMIENTOS!$C$5:$C$1005="P")*(MOVIMIENTOS!$D$5:$D$1005="jabas")*(MOVIMIENTOS!$A$5:$A$1005&lt;&gt;"")*(MOVIMIENTOS!$A$5:$A$1005&lt;=$A808)*MOVIMIENTOS!$E$5:$E$1005)-SUMPRODUCT((MOVIMIENTOS!$B$5:$B$1005="VENTA")*(MOVIMIENTOS!$C$5:$C$1005="P")*(MOVIMIENTOS!$D$5:$D$1005="jabas")*(MOVIMIENTOS!$A$5:$A$1005&lt;&gt;"")*(MOVIMIENTOS!$A$5:$A$1005&lt;=$A808)*MOVIMIENTOS!$E$5:$E$1005)+SUMPRODUCT((MOVIMIENTOS!$B$5:$B$1005="AJUSTE")*(MOVIMIENTOS!$C$5:$C$1005="P")*(MOVIMIENTOS!$D$5:$D$1005="jabas")*(MOVIMIENTOS!$A$5:$A$1005&lt;&gt;"")*(MOVIMIENTOS!$A$5:$A$1005&lt;=$A808)*MOVIMIENTOS!$E$5:$E$1005))</f>
        <v/>
      </c>
      <c r="D808" t="str">
        <f>IF($A808="","",SUMPRODUCT((MOVIMIENTOS!$B$5:$B$1005="SALDO INICIAL")*(MOVIMIENTOS!$C$5:$C$1005="C")*(MOVIMIENTOS!$D$5:$D$1005="jabas")*(MOVIMIENTOS!$A$5:$A$1005&lt;&gt;"")*(MOVIMIENTOS!$A$5:$A$1005&lt;=$A808)*MOVIMIENTOS!$E$5:$E$1005)+SUMPRODUCT((MOVIMIENTOS!$B$5:$B$1005="PROCESO")*(MOVIMIENTOS!$C$5:$C$1005="C")*(MOVIMIENTOS!$D$5:$D$1005="jabas")*(MOVIMIENTOS!$A$5:$A$1005&lt;&gt;"")*(MOVIMIENTOS!$A$5:$A$1005&lt;=$A808)*MOVIMIENTOS!$E$5:$E$1005)-SUMPRODUCT((MOVIMIENTOS!$B$5:$B$1005="ENVÍO A SUPESA")*(MOVIMIENTOS!$C$5:$C$1005="C")*(MOVIMIENTOS!$D$5:$D$1005="jabas")*(MOVIMIENTOS!$A$5:$A$1005&lt;&gt;"")*(MOVIMIENTOS!$A$5:$A$1005&lt;=$A808)*MOVIMIENTOS!$E$5:$E$1005)+SUMPRODUCT((MOVIMIENTOS!$B$5:$B$1005="DEVOLUCIÓN")*(MOVIMIENTOS!$C$5:$C$1005="C")*(MOVIMIENTOS!$D$5:$D$1005="jabas")*(MOVIMIENTOS!$A$5:$A$1005&lt;&gt;"")*(MOVIMIENTOS!$A$5:$A$1005&lt;=$A808)*MOVIMIENTOS!$E$5:$E$1005)-SUMPRODUCT((MOVIMIENTOS!$B$5:$B$1005="TRASIEGO")*(MOVIMIENTOS!$C$5:$C$1005="C")*(MOVIMIENTOS!$D$5:$D$1005="jabas")*(MOVIMIENTOS!$A$5:$A$1005&lt;&gt;"")*(MOVIMIENTOS!$A$5:$A$1005&lt;=$A808)*MOVIMIENTOS!$E$5:$E$1005)-SUMPRODUCT((MOVIMIENTOS!$B$5:$B$1005="REGALO")*(MOVIMIENTOS!$C$5:$C$1005="C")*(MOVIMIENTOS!$D$5:$D$1005="jabas")*(MOVIMIENTOS!$A$5:$A$1005&lt;&gt;"")*(MOVIMIENTOS!$A$5:$A$1005&lt;=$A808)*MOVIMIENTOS!$E$5:$E$1005)-SUMPRODUCT((MOVIMIENTOS!$B$5:$B$1005="VENTA")*(MOVIMIENTOS!$C$5:$C$1005="C")*(MOVIMIENTOS!$D$5:$D$1005="jabas")*(MOVIMIENTOS!$A$5:$A$1005&lt;&gt;"")*(MOVIMIENTOS!$A$5:$A$1005&lt;=$A808)*MOVIMIENTOS!$E$5:$E$1005)+SUMPRODUCT((MOVIMIENTOS!$B$5:$B$1005="AJUSTE")*(MOVIMIENTOS!$C$5:$C$1005="C")*(MOVIMIENTOS!$D$5:$D$1005="jabas")*(MOVIMIENTOS!$A$5:$A$1005&lt;&gt;"")*(MOVIMIENTOS!$A$5:$A$1005&lt;=$A808)*MOVIMIENTOS!$E$5:$E$1005))</f>
        <v/>
      </c>
      <c r="E808" t="str">
        <f>IF($A808="","",SUMPRODUCT((MOVIMIENTOS!$B$5:$B$1005="SALDO INICIAL")*(MOVIMIENTOS!$C$5:$C$1005="M")*(MOVIMIENTOS!$D$5:$D$1005="jabas")*(MOVIMIENTOS!$A$5:$A$1005&lt;&gt;"")*(MOVIMIENTOS!$A$5:$A$1005&lt;=$A808)*MOVIMIENTOS!$E$5:$E$1005)+SUMPRODUCT((MOVIMIENTOS!$B$5:$B$1005="PROCESO")*(MOVIMIENTOS!$C$5:$C$1005="M")*(MOVIMIENTOS!$D$5:$D$1005="jabas")*(MOVIMIENTOS!$A$5:$A$1005&lt;&gt;"")*(MOVIMIENTOS!$A$5:$A$1005&lt;=$A808)*MOVIMIENTOS!$E$5:$E$1005)-SUMPRODUCT((MOVIMIENTOS!$B$5:$B$1005="ENVÍO A SUPESA")*(MOVIMIENTOS!$C$5:$C$1005="M")*(MOVIMIENTOS!$D$5:$D$1005="jabas")*(MOVIMIENTOS!$A$5:$A$1005&lt;&gt;"")*(MOVIMIENTOS!$A$5:$A$1005&lt;=$A808)*MOVIMIENTOS!$E$5:$E$1005)+SUMPRODUCT((MOVIMIENTOS!$B$5:$B$1005="DEVOLUCIÓN")*(MOVIMIENTOS!$C$5:$C$1005="M")*(MOVIMIENTOS!$D$5:$D$1005="jabas")*(MOVIMIENTOS!$A$5:$A$1005&lt;&gt;"")*(MOVIMIENTOS!$A$5:$A$1005&lt;=$A808)*MOVIMIENTOS!$E$5:$E$1005)-SUMPRODUCT((MOVIMIENTOS!$B$5:$B$1005="TRASIEGO")*(MOVIMIENTOS!$C$5:$C$1005="M")*(MOVIMIENTOS!$D$5:$D$1005="jabas")*(MOVIMIENTOS!$A$5:$A$1005&lt;&gt;"")*(MOVIMIENTOS!$A$5:$A$1005&lt;=$A808)*MOVIMIENTOS!$E$5:$E$1005)-SUMPRODUCT((MOVIMIENTOS!$B$5:$B$1005="REGALO")*(MOVIMIENTOS!$C$5:$C$1005="M")*(MOVIMIENTOS!$D$5:$D$1005="jabas")*(MOVIMIENTOS!$A$5:$A$1005&lt;&gt;"")*(MOVIMIENTOS!$A$5:$A$1005&lt;=$A808)*MOVIMIENTOS!$E$5:$E$1005)-SUMPRODUCT((MOVIMIENTOS!$B$5:$B$1005="VENTA")*(MOVIMIENTOS!$C$5:$C$1005="M")*(MOVIMIENTOS!$D$5:$D$1005="jabas")*(MOVIMIENTOS!$A$5:$A$1005&lt;&gt;"")*(MOVIMIENTOS!$A$5:$A$1005&lt;=$A808)*MOVIMIENTOS!$E$5:$E$1005)+SUMPRODUCT((MOVIMIENTOS!$B$5:$B$1005="AJUSTE")*(MOVIMIENTOS!$C$5:$C$1005="M")*(MOVIMIENTOS!$D$5:$D$1005="jabas")*(MOVIMIENTOS!$A$5:$A$1005&lt;&gt;"")*(MOVIMIENTOS!$A$5:$A$1005&lt;=$A808)*MOVIMIENTOS!$E$5:$E$1005))</f>
        <v/>
      </c>
      <c r="F808" s="62" t="str">
        <f>IF($A808="","",SUMPRODUCT((MOVIMIENTOS!$B$5:$B$1005="SALDO INICIAL")*(MOVIMIENTOS!$C$5:$C$1005="Chancho")*(MOVIMIENTOS!$D$5:$D$1005="sacos")*(MOVIMIENTOS!$A$5:$A$1005&lt;&gt;"")*(MOVIMIENTOS!$A$5:$A$1005&lt;=$A808)*MOVIMIENTOS!$E$5:$E$1005)+SUMPRODUCT((MOVIMIENTOS!$B$5:$B$1005="PROCESO")*(MOVIMIENTOS!$C$5:$C$1005="Chancho")*(MOVIMIENTOS!$D$5:$D$1005="sacos")*(MOVIMIENTOS!$A$5:$A$1005&lt;&gt;"")*(MOVIMIENTOS!$A$5:$A$1005&lt;=$A808)*MOVIMIENTOS!$E$5:$E$1005)-SUMPRODUCT((MOVIMIENTOS!$B$5:$B$1005="VENTA CHANCHO")*(MOVIMIENTOS!$C$5:$C$1005="Chancho")*(MOVIMIENTOS!$D$5:$D$1005="sacos")*(MOVIMIENTOS!$A$5:$A$1005&lt;&gt;"")*(MOVIMIENTOS!$A$5:$A$1005&lt;=$A808)*MOVIMIENTOS!$E$5:$E$1005)-SUMPRODUCT((MOVIMIENTOS!$B$5:$B$1005="REGALO")*(MOVIMIENTOS!$C$5:$C$1005="Chancho")*(MOVIMIENTOS!$D$5:$D$1005="sacos")*(MOVIMIENTOS!$A$5:$A$1005&lt;&gt;"")*(MOVIMIENTOS!$A$5:$A$1005&lt;=$A808)*MOVIMIENTOS!$E$5:$E$1005)-SUMPRODUCT((MOVIMIENTOS!$B$5:$B$1005="VENTA")*(MOVIMIENTOS!$C$5:$C$1005="Chancho")*(MOVIMIENTOS!$D$5:$D$1005="sacos")*(MOVIMIENTOS!$A$5:$A$1005&lt;&gt;"")*(MOVIMIENTOS!$A$5:$A$1005&lt;=$A808)*MOVIMIENTOS!$E$5:$E$1005)+SUMPRODUCT((MOVIMIENTOS!$B$5:$B$1005="AJUSTE")*(MOVIMIENTOS!$C$5:$C$1005="Chancho")*(MOVIMIENTOS!$D$5:$D$1005="sacos")*(MOVIMIENTOS!$A$5:$A$1005&lt;&gt;"")*(MOVIMIENTOS!$A$5:$A$1005&lt;=$A808)*MOVIMIENTOS!$E$5:$E$1005))</f>
        <v/>
      </c>
      <c r="G808" s="62" t="str">
        <f t="shared" si="25"/>
        <v/>
      </c>
      <c r="H808" t="str">
        <f>IF($A808="","",SUMPRODUCT((((MOVIMIENTOS!$B$5:$B$1005="SALDO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808)*MOVIMIENTOS!$J$5:$J$1005))</f>
        <v/>
      </c>
      <c r="J808" t="str">
        <f>IF(AND(MOVIMIENTOS!$A813&lt;&gt;"",COUNTIF(MOVIMIENTOS!$A$5:$A812,MOVIMIENTOS!$A813)=0),COUNT(J$4:J807)+1,"")</f>
        <v/>
      </c>
      <c r="K808">
        <f>MOVIMIENTOS!$A813</f>
        <v>0</v>
      </c>
    </row>
    <row r="809" spans="1:11" ht="15" customHeight="1" x14ac:dyDescent="0.2">
      <c r="A809" t="str">
        <f t="shared" si="24"/>
        <v/>
      </c>
      <c r="B809" t="str">
        <f>IF($A809="","",SUMPRODUCT((MOVIMIENTOS!$B$5:$B$1005="SALDO INICIAL")*(MOVIMIENTOS!$C$5:$C$1005="A")*(MOVIMIENTOS!$D$5:$D$1005="jabas")*(MOVIMIENTOS!$A$5:$A$1005&lt;&gt;"")*(MOVIMIENTOS!$A$5:$A$1005&lt;=$A809)*MOVIMIENTOS!$E$5:$E$1005)+SUMPRODUCT((MOVIMIENTOS!$B$5:$B$1005="PROCESO")*(MOVIMIENTOS!$C$5:$C$1005="A")*(MOVIMIENTOS!$D$5:$D$1005="jabas")*(MOVIMIENTOS!$A$5:$A$1005&lt;&gt;"")*(MOVIMIENTOS!$A$5:$A$1005&lt;=$A809)*MOVIMIENTOS!$E$5:$E$1005)-SUMPRODUCT((MOVIMIENTOS!$B$5:$B$1005="ENVÍO A SUPESA")*(MOVIMIENTOS!$C$5:$C$1005="A")*(MOVIMIENTOS!$D$5:$D$1005="jabas")*(MOVIMIENTOS!$A$5:$A$1005&lt;&gt;"")*(MOVIMIENTOS!$A$5:$A$1005&lt;=$A809)*MOVIMIENTOS!$E$5:$E$1005)+SUMPRODUCT((MOVIMIENTOS!$B$5:$B$1005="DEVOLUCIÓN")*(MOVIMIENTOS!$C$5:$C$1005="A")*(MOVIMIENTOS!$D$5:$D$1005="jabas")*(MOVIMIENTOS!$A$5:$A$1005&lt;&gt;"")*(MOVIMIENTOS!$A$5:$A$1005&lt;=$A809)*MOVIMIENTOS!$E$5:$E$1005)-SUMPRODUCT((MOVIMIENTOS!$B$5:$B$1005="TRASIEGO")*(MOVIMIENTOS!$C$5:$C$1005="A")*(MOVIMIENTOS!$D$5:$D$1005="jabas")*(MOVIMIENTOS!$A$5:$A$1005&lt;&gt;"")*(MOVIMIENTOS!$A$5:$A$1005&lt;=$A809)*MOVIMIENTOS!$E$5:$E$1005)-SUMPRODUCT((MOVIMIENTOS!$B$5:$B$1005="REGALO")*(MOVIMIENTOS!$C$5:$C$1005="A")*(MOVIMIENTOS!$D$5:$D$1005="jabas")*(MOVIMIENTOS!$A$5:$A$1005&lt;&gt;"")*(MOVIMIENTOS!$A$5:$A$1005&lt;=$A809)*MOVIMIENTOS!$E$5:$E$1005)-SUMPRODUCT((MOVIMIENTOS!$B$5:$B$1005="VENTA")*(MOVIMIENTOS!$C$5:$C$1005="A")*(MOVIMIENTOS!$D$5:$D$1005="jabas")*(MOVIMIENTOS!$A$5:$A$1005&lt;&gt;"")*(MOVIMIENTOS!$A$5:$A$1005&lt;=$A809)*MOVIMIENTOS!$E$5:$E$1005)+SUMPRODUCT((MOVIMIENTOS!$B$5:$B$1005="AJUSTE")*(MOVIMIENTOS!$C$5:$C$1005="A")*(MOVIMIENTOS!$D$5:$D$1005="jabas")*(MOVIMIENTOS!$A$5:$A$1005&lt;&gt;"")*(MOVIMIENTOS!$A$5:$A$1005&lt;=$A809)*MOVIMIENTOS!$E$5:$E$1005))</f>
        <v/>
      </c>
      <c r="C809" t="str">
        <f>IF($A809="","",SUMPRODUCT((MOVIMIENTOS!$B$5:$B$1005="SALDO INICIAL")*(MOVIMIENTOS!$C$5:$C$1005="P")*(MOVIMIENTOS!$D$5:$D$1005="jabas")*(MOVIMIENTOS!$A$5:$A$1005&lt;&gt;"")*(MOVIMIENTOS!$A$5:$A$1005&lt;=$A809)*MOVIMIENTOS!$E$5:$E$1005)+SUMPRODUCT((MOVIMIENTOS!$B$5:$B$1005="PROCESO")*(MOVIMIENTOS!$C$5:$C$1005="P")*(MOVIMIENTOS!$D$5:$D$1005="jabas")*(MOVIMIENTOS!$A$5:$A$1005&lt;&gt;"")*(MOVIMIENTOS!$A$5:$A$1005&lt;=$A809)*MOVIMIENTOS!$E$5:$E$1005)-SUMPRODUCT((MOVIMIENTOS!$B$5:$B$1005="ENVÍO A SUPESA")*(MOVIMIENTOS!$C$5:$C$1005="P")*(MOVIMIENTOS!$D$5:$D$1005="jabas")*(MOVIMIENTOS!$A$5:$A$1005&lt;&gt;"")*(MOVIMIENTOS!$A$5:$A$1005&lt;=$A809)*MOVIMIENTOS!$E$5:$E$1005)+SUMPRODUCT((MOVIMIENTOS!$B$5:$B$1005="DEVOLUCIÓN")*(MOVIMIENTOS!$C$5:$C$1005="P")*(MOVIMIENTOS!$D$5:$D$1005="jabas")*(MOVIMIENTOS!$A$5:$A$1005&lt;&gt;"")*(MOVIMIENTOS!$A$5:$A$1005&lt;=$A809)*MOVIMIENTOS!$E$5:$E$1005)-SUMPRODUCT((MOVIMIENTOS!$B$5:$B$1005="TRASIEGO")*(MOVIMIENTOS!$C$5:$C$1005="P")*(MOVIMIENTOS!$D$5:$D$1005="jabas")*(MOVIMIENTOS!$A$5:$A$1005&lt;&gt;"")*(MOVIMIENTOS!$A$5:$A$1005&lt;=$A809)*MOVIMIENTOS!$E$5:$E$1005)-SUMPRODUCT((MOVIMIENTOS!$B$5:$B$1005="REGALO")*(MOVIMIENTOS!$C$5:$C$1005="P")*(MOVIMIENTOS!$D$5:$D$1005="jabas")*(MOVIMIENTOS!$A$5:$A$1005&lt;&gt;"")*(MOVIMIENTOS!$A$5:$A$1005&lt;=$A809)*MOVIMIENTOS!$E$5:$E$1005)-SUMPRODUCT((MOVIMIENTOS!$B$5:$B$1005="VENTA")*(MOVIMIENTOS!$C$5:$C$1005="P")*(MOVIMIENTOS!$D$5:$D$1005="jabas")*(MOVIMIENTOS!$A$5:$A$1005&lt;&gt;"")*(MOVIMIENTOS!$A$5:$A$1005&lt;=$A809)*MOVIMIENTOS!$E$5:$E$1005)+SUMPRODUCT((MOVIMIENTOS!$B$5:$B$1005="AJUSTE")*(MOVIMIENTOS!$C$5:$C$1005="P")*(MOVIMIENTOS!$D$5:$D$1005="jabas")*(MOVIMIENTOS!$A$5:$A$1005&lt;&gt;"")*(MOVIMIENTOS!$A$5:$A$1005&lt;=$A809)*MOVIMIENTOS!$E$5:$E$1005))</f>
        <v/>
      </c>
      <c r="D809" t="str">
        <f>IF($A809="","",SUMPRODUCT((MOVIMIENTOS!$B$5:$B$1005="SALDO INICIAL")*(MOVIMIENTOS!$C$5:$C$1005="C")*(MOVIMIENTOS!$D$5:$D$1005="jabas")*(MOVIMIENTOS!$A$5:$A$1005&lt;&gt;"")*(MOVIMIENTOS!$A$5:$A$1005&lt;=$A809)*MOVIMIENTOS!$E$5:$E$1005)+SUMPRODUCT((MOVIMIENTOS!$B$5:$B$1005="PROCESO")*(MOVIMIENTOS!$C$5:$C$1005="C")*(MOVIMIENTOS!$D$5:$D$1005="jabas")*(MOVIMIENTOS!$A$5:$A$1005&lt;&gt;"")*(MOVIMIENTOS!$A$5:$A$1005&lt;=$A809)*MOVIMIENTOS!$E$5:$E$1005)-SUMPRODUCT((MOVIMIENTOS!$B$5:$B$1005="ENVÍO A SUPESA")*(MOVIMIENTOS!$C$5:$C$1005="C")*(MOVIMIENTOS!$D$5:$D$1005="jabas")*(MOVIMIENTOS!$A$5:$A$1005&lt;&gt;"")*(MOVIMIENTOS!$A$5:$A$1005&lt;=$A809)*MOVIMIENTOS!$E$5:$E$1005)+SUMPRODUCT((MOVIMIENTOS!$B$5:$B$1005="DEVOLUCIÓN")*(MOVIMIENTOS!$C$5:$C$1005="C")*(MOVIMIENTOS!$D$5:$D$1005="jabas")*(MOVIMIENTOS!$A$5:$A$1005&lt;&gt;"")*(MOVIMIENTOS!$A$5:$A$1005&lt;=$A809)*MOVIMIENTOS!$E$5:$E$1005)-SUMPRODUCT((MOVIMIENTOS!$B$5:$B$1005="TRASIEGO")*(MOVIMIENTOS!$C$5:$C$1005="C")*(MOVIMIENTOS!$D$5:$D$1005="jabas")*(MOVIMIENTOS!$A$5:$A$1005&lt;&gt;"")*(MOVIMIENTOS!$A$5:$A$1005&lt;=$A809)*MOVIMIENTOS!$E$5:$E$1005)-SUMPRODUCT((MOVIMIENTOS!$B$5:$B$1005="REGALO")*(MOVIMIENTOS!$C$5:$C$1005="C")*(MOVIMIENTOS!$D$5:$D$1005="jabas")*(MOVIMIENTOS!$A$5:$A$1005&lt;&gt;"")*(MOVIMIENTOS!$A$5:$A$1005&lt;=$A809)*MOVIMIENTOS!$E$5:$E$1005)-SUMPRODUCT((MOVIMIENTOS!$B$5:$B$1005="VENTA")*(MOVIMIENTOS!$C$5:$C$1005="C")*(MOVIMIENTOS!$D$5:$D$1005="jabas")*(MOVIMIENTOS!$A$5:$A$1005&lt;&gt;"")*(MOVIMIENTOS!$A$5:$A$1005&lt;=$A809)*MOVIMIENTOS!$E$5:$E$1005)+SUMPRODUCT((MOVIMIENTOS!$B$5:$B$1005="AJUSTE")*(MOVIMIENTOS!$C$5:$C$1005="C")*(MOVIMIENTOS!$D$5:$D$1005="jabas")*(MOVIMIENTOS!$A$5:$A$1005&lt;&gt;"")*(MOVIMIENTOS!$A$5:$A$1005&lt;=$A809)*MOVIMIENTOS!$E$5:$E$1005))</f>
        <v/>
      </c>
      <c r="E809" t="str">
        <f>IF($A809="","",SUMPRODUCT((MOVIMIENTOS!$B$5:$B$1005="SALDO INICIAL")*(MOVIMIENTOS!$C$5:$C$1005="M")*(MOVIMIENTOS!$D$5:$D$1005="jabas")*(MOVIMIENTOS!$A$5:$A$1005&lt;&gt;"")*(MOVIMIENTOS!$A$5:$A$1005&lt;=$A809)*MOVIMIENTOS!$E$5:$E$1005)+SUMPRODUCT((MOVIMIENTOS!$B$5:$B$1005="PROCESO")*(MOVIMIENTOS!$C$5:$C$1005="M")*(MOVIMIENTOS!$D$5:$D$1005="jabas")*(MOVIMIENTOS!$A$5:$A$1005&lt;&gt;"")*(MOVIMIENTOS!$A$5:$A$1005&lt;=$A809)*MOVIMIENTOS!$E$5:$E$1005)-SUMPRODUCT((MOVIMIENTOS!$B$5:$B$1005="ENVÍO A SUPESA")*(MOVIMIENTOS!$C$5:$C$1005="M")*(MOVIMIENTOS!$D$5:$D$1005="jabas")*(MOVIMIENTOS!$A$5:$A$1005&lt;&gt;"")*(MOVIMIENTOS!$A$5:$A$1005&lt;=$A809)*MOVIMIENTOS!$E$5:$E$1005)+SUMPRODUCT((MOVIMIENTOS!$B$5:$B$1005="DEVOLUCIÓN")*(MOVIMIENTOS!$C$5:$C$1005="M")*(MOVIMIENTOS!$D$5:$D$1005="jabas")*(MOVIMIENTOS!$A$5:$A$1005&lt;&gt;"")*(MOVIMIENTOS!$A$5:$A$1005&lt;=$A809)*MOVIMIENTOS!$E$5:$E$1005)-SUMPRODUCT((MOVIMIENTOS!$B$5:$B$1005="TRASIEGO")*(MOVIMIENTOS!$C$5:$C$1005="M")*(MOVIMIENTOS!$D$5:$D$1005="jabas")*(MOVIMIENTOS!$A$5:$A$1005&lt;&gt;"")*(MOVIMIENTOS!$A$5:$A$1005&lt;=$A809)*MOVIMIENTOS!$E$5:$E$1005)-SUMPRODUCT((MOVIMIENTOS!$B$5:$B$1005="REGALO")*(MOVIMIENTOS!$C$5:$C$1005="M")*(MOVIMIENTOS!$D$5:$D$1005="jabas")*(MOVIMIENTOS!$A$5:$A$1005&lt;&gt;"")*(MOVIMIENTOS!$A$5:$A$1005&lt;=$A809)*MOVIMIENTOS!$E$5:$E$1005)-SUMPRODUCT((MOVIMIENTOS!$B$5:$B$1005="VENTA")*(MOVIMIENTOS!$C$5:$C$1005="M")*(MOVIMIENTOS!$D$5:$D$1005="jabas")*(MOVIMIENTOS!$A$5:$A$1005&lt;&gt;"")*(MOVIMIENTOS!$A$5:$A$1005&lt;=$A809)*MOVIMIENTOS!$E$5:$E$1005)+SUMPRODUCT((MOVIMIENTOS!$B$5:$B$1005="AJUSTE")*(MOVIMIENTOS!$C$5:$C$1005="M")*(MOVIMIENTOS!$D$5:$D$1005="jabas")*(MOVIMIENTOS!$A$5:$A$1005&lt;&gt;"")*(MOVIMIENTOS!$A$5:$A$1005&lt;=$A809)*MOVIMIENTOS!$E$5:$E$1005))</f>
        <v/>
      </c>
      <c r="F809" s="62" t="str">
        <f>IF($A809="","",SUMPRODUCT((MOVIMIENTOS!$B$5:$B$1005="SALDO INICIAL")*(MOVIMIENTOS!$C$5:$C$1005="Chancho")*(MOVIMIENTOS!$D$5:$D$1005="sacos")*(MOVIMIENTOS!$A$5:$A$1005&lt;&gt;"")*(MOVIMIENTOS!$A$5:$A$1005&lt;=$A809)*MOVIMIENTOS!$E$5:$E$1005)+SUMPRODUCT((MOVIMIENTOS!$B$5:$B$1005="PROCESO")*(MOVIMIENTOS!$C$5:$C$1005="Chancho")*(MOVIMIENTOS!$D$5:$D$1005="sacos")*(MOVIMIENTOS!$A$5:$A$1005&lt;&gt;"")*(MOVIMIENTOS!$A$5:$A$1005&lt;=$A809)*MOVIMIENTOS!$E$5:$E$1005)-SUMPRODUCT((MOVIMIENTOS!$B$5:$B$1005="VENTA CHANCHO")*(MOVIMIENTOS!$C$5:$C$1005="Chancho")*(MOVIMIENTOS!$D$5:$D$1005="sacos")*(MOVIMIENTOS!$A$5:$A$1005&lt;&gt;"")*(MOVIMIENTOS!$A$5:$A$1005&lt;=$A809)*MOVIMIENTOS!$E$5:$E$1005)-SUMPRODUCT((MOVIMIENTOS!$B$5:$B$1005="REGALO")*(MOVIMIENTOS!$C$5:$C$1005="Chancho")*(MOVIMIENTOS!$D$5:$D$1005="sacos")*(MOVIMIENTOS!$A$5:$A$1005&lt;&gt;"")*(MOVIMIENTOS!$A$5:$A$1005&lt;=$A809)*MOVIMIENTOS!$E$5:$E$1005)-SUMPRODUCT((MOVIMIENTOS!$B$5:$B$1005="VENTA")*(MOVIMIENTOS!$C$5:$C$1005="Chancho")*(MOVIMIENTOS!$D$5:$D$1005="sacos")*(MOVIMIENTOS!$A$5:$A$1005&lt;&gt;"")*(MOVIMIENTOS!$A$5:$A$1005&lt;=$A809)*MOVIMIENTOS!$E$5:$E$1005)+SUMPRODUCT((MOVIMIENTOS!$B$5:$B$1005="AJUSTE")*(MOVIMIENTOS!$C$5:$C$1005="Chancho")*(MOVIMIENTOS!$D$5:$D$1005="sacos")*(MOVIMIENTOS!$A$5:$A$1005&lt;&gt;"")*(MOVIMIENTOS!$A$5:$A$1005&lt;=$A809)*MOVIMIENTOS!$E$5:$E$1005))</f>
        <v/>
      </c>
      <c r="G809" s="62" t="str">
        <f t="shared" si="25"/>
        <v/>
      </c>
      <c r="H809" t="str">
        <f>IF($A809="","",SUMPRODUCT((((MOVIMIENTOS!$B$5:$B$1005="SALDO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809)*MOVIMIENTOS!$J$5:$J$1005))</f>
        <v/>
      </c>
      <c r="J809" t="str">
        <f>IF(AND(MOVIMIENTOS!$A814&lt;&gt;"",COUNTIF(MOVIMIENTOS!$A$5:$A813,MOVIMIENTOS!$A814)=0),COUNT(J$4:J808)+1,"")</f>
        <v/>
      </c>
      <c r="K809">
        <f>MOVIMIENTOS!$A814</f>
        <v>0</v>
      </c>
    </row>
    <row r="810" spans="1:11" ht="15" customHeight="1" x14ac:dyDescent="0.2">
      <c r="A810" t="str">
        <f t="shared" si="24"/>
        <v/>
      </c>
      <c r="B810" t="str">
        <f>IF($A810="","",SUMPRODUCT((MOVIMIENTOS!$B$5:$B$1005="SALDO INICIAL")*(MOVIMIENTOS!$C$5:$C$1005="A")*(MOVIMIENTOS!$D$5:$D$1005="jabas")*(MOVIMIENTOS!$A$5:$A$1005&lt;&gt;"")*(MOVIMIENTOS!$A$5:$A$1005&lt;=$A810)*MOVIMIENTOS!$E$5:$E$1005)+SUMPRODUCT((MOVIMIENTOS!$B$5:$B$1005="PROCESO")*(MOVIMIENTOS!$C$5:$C$1005="A")*(MOVIMIENTOS!$D$5:$D$1005="jabas")*(MOVIMIENTOS!$A$5:$A$1005&lt;&gt;"")*(MOVIMIENTOS!$A$5:$A$1005&lt;=$A810)*MOVIMIENTOS!$E$5:$E$1005)-SUMPRODUCT((MOVIMIENTOS!$B$5:$B$1005="ENVÍO A SUPESA")*(MOVIMIENTOS!$C$5:$C$1005="A")*(MOVIMIENTOS!$D$5:$D$1005="jabas")*(MOVIMIENTOS!$A$5:$A$1005&lt;&gt;"")*(MOVIMIENTOS!$A$5:$A$1005&lt;=$A810)*MOVIMIENTOS!$E$5:$E$1005)+SUMPRODUCT((MOVIMIENTOS!$B$5:$B$1005="DEVOLUCIÓN")*(MOVIMIENTOS!$C$5:$C$1005="A")*(MOVIMIENTOS!$D$5:$D$1005="jabas")*(MOVIMIENTOS!$A$5:$A$1005&lt;&gt;"")*(MOVIMIENTOS!$A$5:$A$1005&lt;=$A810)*MOVIMIENTOS!$E$5:$E$1005)-SUMPRODUCT((MOVIMIENTOS!$B$5:$B$1005="TRASIEGO")*(MOVIMIENTOS!$C$5:$C$1005="A")*(MOVIMIENTOS!$D$5:$D$1005="jabas")*(MOVIMIENTOS!$A$5:$A$1005&lt;&gt;"")*(MOVIMIENTOS!$A$5:$A$1005&lt;=$A810)*MOVIMIENTOS!$E$5:$E$1005)-SUMPRODUCT((MOVIMIENTOS!$B$5:$B$1005="REGALO")*(MOVIMIENTOS!$C$5:$C$1005="A")*(MOVIMIENTOS!$D$5:$D$1005="jabas")*(MOVIMIENTOS!$A$5:$A$1005&lt;&gt;"")*(MOVIMIENTOS!$A$5:$A$1005&lt;=$A810)*MOVIMIENTOS!$E$5:$E$1005)-SUMPRODUCT((MOVIMIENTOS!$B$5:$B$1005="VENTA")*(MOVIMIENTOS!$C$5:$C$1005="A")*(MOVIMIENTOS!$D$5:$D$1005="jabas")*(MOVIMIENTOS!$A$5:$A$1005&lt;&gt;"")*(MOVIMIENTOS!$A$5:$A$1005&lt;=$A810)*MOVIMIENTOS!$E$5:$E$1005)+SUMPRODUCT((MOVIMIENTOS!$B$5:$B$1005="AJUSTE")*(MOVIMIENTOS!$C$5:$C$1005="A")*(MOVIMIENTOS!$D$5:$D$1005="jabas")*(MOVIMIENTOS!$A$5:$A$1005&lt;&gt;"")*(MOVIMIENTOS!$A$5:$A$1005&lt;=$A810)*MOVIMIENTOS!$E$5:$E$1005))</f>
        <v/>
      </c>
      <c r="C810" t="str">
        <f>IF($A810="","",SUMPRODUCT((MOVIMIENTOS!$B$5:$B$1005="SALDO INICIAL")*(MOVIMIENTOS!$C$5:$C$1005="P")*(MOVIMIENTOS!$D$5:$D$1005="jabas")*(MOVIMIENTOS!$A$5:$A$1005&lt;&gt;"")*(MOVIMIENTOS!$A$5:$A$1005&lt;=$A810)*MOVIMIENTOS!$E$5:$E$1005)+SUMPRODUCT((MOVIMIENTOS!$B$5:$B$1005="PROCESO")*(MOVIMIENTOS!$C$5:$C$1005="P")*(MOVIMIENTOS!$D$5:$D$1005="jabas")*(MOVIMIENTOS!$A$5:$A$1005&lt;&gt;"")*(MOVIMIENTOS!$A$5:$A$1005&lt;=$A810)*MOVIMIENTOS!$E$5:$E$1005)-SUMPRODUCT((MOVIMIENTOS!$B$5:$B$1005="ENVÍO A SUPESA")*(MOVIMIENTOS!$C$5:$C$1005="P")*(MOVIMIENTOS!$D$5:$D$1005="jabas")*(MOVIMIENTOS!$A$5:$A$1005&lt;&gt;"")*(MOVIMIENTOS!$A$5:$A$1005&lt;=$A810)*MOVIMIENTOS!$E$5:$E$1005)+SUMPRODUCT((MOVIMIENTOS!$B$5:$B$1005="DEVOLUCIÓN")*(MOVIMIENTOS!$C$5:$C$1005="P")*(MOVIMIENTOS!$D$5:$D$1005="jabas")*(MOVIMIENTOS!$A$5:$A$1005&lt;&gt;"")*(MOVIMIENTOS!$A$5:$A$1005&lt;=$A810)*MOVIMIENTOS!$E$5:$E$1005)-SUMPRODUCT((MOVIMIENTOS!$B$5:$B$1005="TRASIEGO")*(MOVIMIENTOS!$C$5:$C$1005="P")*(MOVIMIENTOS!$D$5:$D$1005="jabas")*(MOVIMIENTOS!$A$5:$A$1005&lt;&gt;"")*(MOVIMIENTOS!$A$5:$A$1005&lt;=$A810)*MOVIMIENTOS!$E$5:$E$1005)-SUMPRODUCT((MOVIMIENTOS!$B$5:$B$1005="REGALO")*(MOVIMIENTOS!$C$5:$C$1005="P")*(MOVIMIENTOS!$D$5:$D$1005="jabas")*(MOVIMIENTOS!$A$5:$A$1005&lt;&gt;"")*(MOVIMIENTOS!$A$5:$A$1005&lt;=$A810)*MOVIMIENTOS!$E$5:$E$1005)-SUMPRODUCT((MOVIMIENTOS!$B$5:$B$1005="VENTA")*(MOVIMIENTOS!$C$5:$C$1005="P")*(MOVIMIENTOS!$D$5:$D$1005="jabas")*(MOVIMIENTOS!$A$5:$A$1005&lt;&gt;"")*(MOVIMIENTOS!$A$5:$A$1005&lt;=$A810)*MOVIMIENTOS!$E$5:$E$1005)+SUMPRODUCT((MOVIMIENTOS!$B$5:$B$1005="AJUSTE")*(MOVIMIENTOS!$C$5:$C$1005="P")*(MOVIMIENTOS!$D$5:$D$1005="jabas")*(MOVIMIENTOS!$A$5:$A$1005&lt;&gt;"")*(MOVIMIENTOS!$A$5:$A$1005&lt;=$A810)*MOVIMIENTOS!$E$5:$E$1005))</f>
        <v/>
      </c>
      <c r="D810" t="str">
        <f>IF($A810="","",SUMPRODUCT((MOVIMIENTOS!$B$5:$B$1005="SALDO INICIAL")*(MOVIMIENTOS!$C$5:$C$1005="C")*(MOVIMIENTOS!$D$5:$D$1005="jabas")*(MOVIMIENTOS!$A$5:$A$1005&lt;&gt;"")*(MOVIMIENTOS!$A$5:$A$1005&lt;=$A810)*MOVIMIENTOS!$E$5:$E$1005)+SUMPRODUCT((MOVIMIENTOS!$B$5:$B$1005="PROCESO")*(MOVIMIENTOS!$C$5:$C$1005="C")*(MOVIMIENTOS!$D$5:$D$1005="jabas")*(MOVIMIENTOS!$A$5:$A$1005&lt;&gt;"")*(MOVIMIENTOS!$A$5:$A$1005&lt;=$A810)*MOVIMIENTOS!$E$5:$E$1005)-SUMPRODUCT((MOVIMIENTOS!$B$5:$B$1005="ENVÍO A SUPESA")*(MOVIMIENTOS!$C$5:$C$1005="C")*(MOVIMIENTOS!$D$5:$D$1005="jabas")*(MOVIMIENTOS!$A$5:$A$1005&lt;&gt;"")*(MOVIMIENTOS!$A$5:$A$1005&lt;=$A810)*MOVIMIENTOS!$E$5:$E$1005)+SUMPRODUCT((MOVIMIENTOS!$B$5:$B$1005="DEVOLUCIÓN")*(MOVIMIENTOS!$C$5:$C$1005="C")*(MOVIMIENTOS!$D$5:$D$1005="jabas")*(MOVIMIENTOS!$A$5:$A$1005&lt;&gt;"")*(MOVIMIENTOS!$A$5:$A$1005&lt;=$A810)*MOVIMIENTOS!$E$5:$E$1005)-SUMPRODUCT((MOVIMIENTOS!$B$5:$B$1005="TRASIEGO")*(MOVIMIENTOS!$C$5:$C$1005="C")*(MOVIMIENTOS!$D$5:$D$1005="jabas")*(MOVIMIENTOS!$A$5:$A$1005&lt;&gt;"")*(MOVIMIENTOS!$A$5:$A$1005&lt;=$A810)*MOVIMIENTOS!$E$5:$E$1005)-SUMPRODUCT((MOVIMIENTOS!$B$5:$B$1005="REGALO")*(MOVIMIENTOS!$C$5:$C$1005="C")*(MOVIMIENTOS!$D$5:$D$1005="jabas")*(MOVIMIENTOS!$A$5:$A$1005&lt;&gt;"")*(MOVIMIENTOS!$A$5:$A$1005&lt;=$A810)*MOVIMIENTOS!$E$5:$E$1005)-SUMPRODUCT((MOVIMIENTOS!$B$5:$B$1005="VENTA")*(MOVIMIENTOS!$C$5:$C$1005="C")*(MOVIMIENTOS!$D$5:$D$1005="jabas")*(MOVIMIENTOS!$A$5:$A$1005&lt;&gt;"")*(MOVIMIENTOS!$A$5:$A$1005&lt;=$A810)*MOVIMIENTOS!$E$5:$E$1005)+SUMPRODUCT((MOVIMIENTOS!$B$5:$B$1005="AJUSTE")*(MOVIMIENTOS!$C$5:$C$1005="C")*(MOVIMIENTOS!$D$5:$D$1005="jabas")*(MOVIMIENTOS!$A$5:$A$1005&lt;&gt;"")*(MOVIMIENTOS!$A$5:$A$1005&lt;=$A810)*MOVIMIENTOS!$E$5:$E$1005))</f>
        <v/>
      </c>
      <c r="E810" t="str">
        <f>IF($A810="","",SUMPRODUCT((MOVIMIENTOS!$B$5:$B$1005="SALDO INICIAL")*(MOVIMIENTOS!$C$5:$C$1005="M")*(MOVIMIENTOS!$D$5:$D$1005="jabas")*(MOVIMIENTOS!$A$5:$A$1005&lt;&gt;"")*(MOVIMIENTOS!$A$5:$A$1005&lt;=$A810)*MOVIMIENTOS!$E$5:$E$1005)+SUMPRODUCT((MOVIMIENTOS!$B$5:$B$1005="PROCESO")*(MOVIMIENTOS!$C$5:$C$1005="M")*(MOVIMIENTOS!$D$5:$D$1005="jabas")*(MOVIMIENTOS!$A$5:$A$1005&lt;&gt;"")*(MOVIMIENTOS!$A$5:$A$1005&lt;=$A810)*MOVIMIENTOS!$E$5:$E$1005)-SUMPRODUCT((MOVIMIENTOS!$B$5:$B$1005="ENVÍO A SUPESA")*(MOVIMIENTOS!$C$5:$C$1005="M")*(MOVIMIENTOS!$D$5:$D$1005="jabas")*(MOVIMIENTOS!$A$5:$A$1005&lt;&gt;"")*(MOVIMIENTOS!$A$5:$A$1005&lt;=$A810)*MOVIMIENTOS!$E$5:$E$1005)+SUMPRODUCT((MOVIMIENTOS!$B$5:$B$1005="DEVOLUCIÓN")*(MOVIMIENTOS!$C$5:$C$1005="M")*(MOVIMIENTOS!$D$5:$D$1005="jabas")*(MOVIMIENTOS!$A$5:$A$1005&lt;&gt;"")*(MOVIMIENTOS!$A$5:$A$1005&lt;=$A810)*MOVIMIENTOS!$E$5:$E$1005)-SUMPRODUCT((MOVIMIENTOS!$B$5:$B$1005="TRASIEGO")*(MOVIMIENTOS!$C$5:$C$1005="M")*(MOVIMIENTOS!$D$5:$D$1005="jabas")*(MOVIMIENTOS!$A$5:$A$1005&lt;&gt;"")*(MOVIMIENTOS!$A$5:$A$1005&lt;=$A810)*MOVIMIENTOS!$E$5:$E$1005)-SUMPRODUCT((MOVIMIENTOS!$B$5:$B$1005="REGALO")*(MOVIMIENTOS!$C$5:$C$1005="M")*(MOVIMIENTOS!$D$5:$D$1005="jabas")*(MOVIMIENTOS!$A$5:$A$1005&lt;&gt;"")*(MOVIMIENTOS!$A$5:$A$1005&lt;=$A810)*MOVIMIENTOS!$E$5:$E$1005)-SUMPRODUCT((MOVIMIENTOS!$B$5:$B$1005="VENTA")*(MOVIMIENTOS!$C$5:$C$1005="M")*(MOVIMIENTOS!$D$5:$D$1005="jabas")*(MOVIMIENTOS!$A$5:$A$1005&lt;&gt;"")*(MOVIMIENTOS!$A$5:$A$1005&lt;=$A810)*MOVIMIENTOS!$E$5:$E$1005)+SUMPRODUCT((MOVIMIENTOS!$B$5:$B$1005="AJUSTE")*(MOVIMIENTOS!$C$5:$C$1005="M")*(MOVIMIENTOS!$D$5:$D$1005="jabas")*(MOVIMIENTOS!$A$5:$A$1005&lt;&gt;"")*(MOVIMIENTOS!$A$5:$A$1005&lt;=$A810)*MOVIMIENTOS!$E$5:$E$1005))</f>
        <v/>
      </c>
      <c r="F810" s="62" t="str">
        <f>IF($A810="","",SUMPRODUCT((MOVIMIENTOS!$B$5:$B$1005="SALDO INICIAL")*(MOVIMIENTOS!$C$5:$C$1005="Chancho")*(MOVIMIENTOS!$D$5:$D$1005="sacos")*(MOVIMIENTOS!$A$5:$A$1005&lt;&gt;"")*(MOVIMIENTOS!$A$5:$A$1005&lt;=$A810)*MOVIMIENTOS!$E$5:$E$1005)+SUMPRODUCT((MOVIMIENTOS!$B$5:$B$1005="PROCESO")*(MOVIMIENTOS!$C$5:$C$1005="Chancho")*(MOVIMIENTOS!$D$5:$D$1005="sacos")*(MOVIMIENTOS!$A$5:$A$1005&lt;&gt;"")*(MOVIMIENTOS!$A$5:$A$1005&lt;=$A810)*MOVIMIENTOS!$E$5:$E$1005)-SUMPRODUCT((MOVIMIENTOS!$B$5:$B$1005="VENTA CHANCHO")*(MOVIMIENTOS!$C$5:$C$1005="Chancho")*(MOVIMIENTOS!$D$5:$D$1005="sacos")*(MOVIMIENTOS!$A$5:$A$1005&lt;&gt;"")*(MOVIMIENTOS!$A$5:$A$1005&lt;=$A810)*MOVIMIENTOS!$E$5:$E$1005)-SUMPRODUCT((MOVIMIENTOS!$B$5:$B$1005="REGALO")*(MOVIMIENTOS!$C$5:$C$1005="Chancho")*(MOVIMIENTOS!$D$5:$D$1005="sacos")*(MOVIMIENTOS!$A$5:$A$1005&lt;&gt;"")*(MOVIMIENTOS!$A$5:$A$1005&lt;=$A810)*MOVIMIENTOS!$E$5:$E$1005)-SUMPRODUCT((MOVIMIENTOS!$B$5:$B$1005="VENTA")*(MOVIMIENTOS!$C$5:$C$1005="Chancho")*(MOVIMIENTOS!$D$5:$D$1005="sacos")*(MOVIMIENTOS!$A$5:$A$1005&lt;&gt;"")*(MOVIMIENTOS!$A$5:$A$1005&lt;=$A810)*MOVIMIENTOS!$E$5:$E$1005)+SUMPRODUCT((MOVIMIENTOS!$B$5:$B$1005="AJUSTE")*(MOVIMIENTOS!$C$5:$C$1005="Chancho")*(MOVIMIENTOS!$D$5:$D$1005="sacos")*(MOVIMIENTOS!$A$5:$A$1005&lt;&gt;"")*(MOVIMIENTOS!$A$5:$A$1005&lt;=$A810)*MOVIMIENTOS!$E$5:$E$1005))</f>
        <v/>
      </c>
      <c r="G810" s="62" t="str">
        <f t="shared" si="25"/>
        <v/>
      </c>
      <c r="H810" t="str">
        <f>IF($A810="","",SUMPRODUCT((((MOVIMIENTOS!$B$5:$B$1005="SALDO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810)*MOVIMIENTOS!$J$5:$J$1005))</f>
        <v/>
      </c>
      <c r="J810" t="str">
        <f>IF(AND(MOVIMIENTOS!$A815&lt;&gt;"",COUNTIF(MOVIMIENTOS!$A$5:$A814,MOVIMIENTOS!$A815)=0),COUNT(J$4:J809)+1,"")</f>
        <v/>
      </c>
      <c r="K810">
        <f>MOVIMIENTOS!$A815</f>
        <v>0</v>
      </c>
    </row>
    <row r="811" spans="1:11" ht="15" customHeight="1" x14ac:dyDescent="0.2">
      <c r="A811" t="str">
        <f t="shared" si="24"/>
        <v/>
      </c>
      <c r="B811" t="str">
        <f>IF($A811="","",SUMPRODUCT((MOVIMIENTOS!$B$5:$B$1005="SALDO INICIAL")*(MOVIMIENTOS!$C$5:$C$1005="A")*(MOVIMIENTOS!$D$5:$D$1005="jabas")*(MOVIMIENTOS!$A$5:$A$1005&lt;&gt;"")*(MOVIMIENTOS!$A$5:$A$1005&lt;=$A811)*MOVIMIENTOS!$E$5:$E$1005)+SUMPRODUCT((MOVIMIENTOS!$B$5:$B$1005="PROCESO")*(MOVIMIENTOS!$C$5:$C$1005="A")*(MOVIMIENTOS!$D$5:$D$1005="jabas")*(MOVIMIENTOS!$A$5:$A$1005&lt;&gt;"")*(MOVIMIENTOS!$A$5:$A$1005&lt;=$A811)*MOVIMIENTOS!$E$5:$E$1005)-SUMPRODUCT((MOVIMIENTOS!$B$5:$B$1005="ENVÍO A SUPESA")*(MOVIMIENTOS!$C$5:$C$1005="A")*(MOVIMIENTOS!$D$5:$D$1005="jabas")*(MOVIMIENTOS!$A$5:$A$1005&lt;&gt;"")*(MOVIMIENTOS!$A$5:$A$1005&lt;=$A811)*MOVIMIENTOS!$E$5:$E$1005)+SUMPRODUCT((MOVIMIENTOS!$B$5:$B$1005="DEVOLUCIÓN")*(MOVIMIENTOS!$C$5:$C$1005="A")*(MOVIMIENTOS!$D$5:$D$1005="jabas")*(MOVIMIENTOS!$A$5:$A$1005&lt;&gt;"")*(MOVIMIENTOS!$A$5:$A$1005&lt;=$A811)*MOVIMIENTOS!$E$5:$E$1005)-SUMPRODUCT((MOVIMIENTOS!$B$5:$B$1005="TRASIEGO")*(MOVIMIENTOS!$C$5:$C$1005="A")*(MOVIMIENTOS!$D$5:$D$1005="jabas")*(MOVIMIENTOS!$A$5:$A$1005&lt;&gt;"")*(MOVIMIENTOS!$A$5:$A$1005&lt;=$A811)*MOVIMIENTOS!$E$5:$E$1005)-SUMPRODUCT((MOVIMIENTOS!$B$5:$B$1005="REGALO")*(MOVIMIENTOS!$C$5:$C$1005="A")*(MOVIMIENTOS!$D$5:$D$1005="jabas")*(MOVIMIENTOS!$A$5:$A$1005&lt;&gt;"")*(MOVIMIENTOS!$A$5:$A$1005&lt;=$A811)*MOVIMIENTOS!$E$5:$E$1005)-SUMPRODUCT((MOVIMIENTOS!$B$5:$B$1005="VENTA")*(MOVIMIENTOS!$C$5:$C$1005="A")*(MOVIMIENTOS!$D$5:$D$1005="jabas")*(MOVIMIENTOS!$A$5:$A$1005&lt;&gt;"")*(MOVIMIENTOS!$A$5:$A$1005&lt;=$A811)*MOVIMIENTOS!$E$5:$E$1005)+SUMPRODUCT((MOVIMIENTOS!$B$5:$B$1005="AJUSTE")*(MOVIMIENTOS!$C$5:$C$1005="A")*(MOVIMIENTOS!$D$5:$D$1005="jabas")*(MOVIMIENTOS!$A$5:$A$1005&lt;&gt;"")*(MOVIMIENTOS!$A$5:$A$1005&lt;=$A811)*MOVIMIENTOS!$E$5:$E$1005))</f>
        <v/>
      </c>
      <c r="C811" t="str">
        <f>IF($A811="","",SUMPRODUCT((MOVIMIENTOS!$B$5:$B$1005="SALDO INICIAL")*(MOVIMIENTOS!$C$5:$C$1005="P")*(MOVIMIENTOS!$D$5:$D$1005="jabas")*(MOVIMIENTOS!$A$5:$A$1005&lt;&gt;"")*(MOVIMIENTOS!$A$5:$A$1005&lt;=$A811)*MOVIMIENTOS!$E$5:$E$1005)+SUMPRODUCT((MOVIMIENTOS!$B$5:$B$1005="PROCESO")*(MOVIMIENTOS!$C$5:$C$1005="P")*(MOVIMIENTOS!$D$5:$D$1005="jabas")*(MOVIMIENTOS!$A$5:$A$1005&lt;&gt;"")*(MOVIMIENTOS!$A$5:$A$1005&lt;=$A811)*MOVIMIENTOS!$E$5:$E$1005)-SUMPRODUCT((MOVIMIENTOS!$B$5:$B$1005="ENVÍO A SUPESA")*(MOVIMIENTOS!$C$5:$C$1005="P")*(MOVIMIENTOS!$D$5:$D$1005="jabas")*(MOVIMIENTOS!$A$5:$A$1005&lt;&gt;"")*(MOVIMIENTOS!$A$5:$A$1005&lt;=$A811)*MOVIMIENTOS!$E$5:$E$1005)+SUMPRODUCT((MOVIMIENTOS!$B$5:$B$1005="DEVOLUCIÓN")*(MOVIMIENTOS!$C$5:$C$1005="P")*(MOVIMIENTOS!$D$5:$D$1005="jabas")*(MOVIMIENTOS!$A$5:$A$1005&lt;&gt;"")*(MOVIMIENTOS!$A$5:$A$1005&lt;=$A811)*MOVIMIENTOS!$E$5:$E$1005)-SUMPRODUCT((MOVIMIENTOS!$B$5:$B$1005="TRASIEGO")*(MOVIMIENTOS!$C$5:$C$1005="P")*(MOVIMIENTOS!$D$5:$D$1005="jabas")*(MOVIMIENTOS!$A$5:$A$1005&lt;&gt;"")*(MOVIMIENTOS!$A$5:$A$1005&lt;=$A811)*MOVIMIENTOS!$E$5:$E$1005)-SUMPRODUCT((MOVIMIENTOS!$B$5:$B$1005="REGALO")*(MOVIMIENTOS!$C$5:$C$1005="P")*(MOVIMIENTOS!$D$5:$D$1005="jabas")*(MOVIMIENTOS!$A$5:$A$1005&lt;&gt;"")*(MOVIMIENTOS!$A$5:$A$1005&lt;=$A811)*MOVIMIENTOS!$E$5:$E$1005)-SUMPRODUCT((MOVIMIENTOS!$B$5:$B$1005="VENTA")*(MOVIMIENTOS!$C$5:$C$1005="P")*(MOVIMIENTOS!$D$5:$D$1005="jabas")*(MOVIMIENTOS!$A$5:$A$1005&lt;&gt;"")*(MOVIMIENTOS!$A$5:$A$1005&lt;=$A811)*MOVIMIENTOS!$E$5:$E$1005)+SUMPRODUCT((MOVIMIENTOS!$B$5:$B$1005="AJUSTE")*(MOVIMIENTOS!$C$5:$C$1005="P")*(MOVIMIENTOS!$D$5:$D$1005="jabas")*(MOVIMIENTOS!$A$5:$A$1005&lt;&gt;"")*(MOVIMIENTOS!$A$5:$A$1005&lt;=$A811)*MOVIMIENTOS!$E$5:$E$1005))</f>
        <v/>
      </c>
      <c r="D811" t="str">
        <f>IF($A811="","",SUMPRODUCT((MOVIMIENTOS!$B$5:$B$1005="SALDO INICIAL")*(MOVIMIENTOS!$C$5:$C$1005="C")*(MOVIMIENTOS!$D$5:$D$1005="jabas")*(MOVIMIENTOS!$A$5:$A$1005&lt;&gt;"")*(MOVIMIENTOS!$A$5:$A$1005&lt;=$A811)*MOVIMIENTOS!$E$5:$E$1005)+SUMPRODUCT((MOVIMIENTOS!$B$5:$B$1005="PROCESO")*(MOVIMIENTOS!$C$5:$C$1005="C")*(MOVIMIENTOS!$D$5:$D$1005="jabas")*(MOVIMIENTOS!$A$5:$A$1005&lt;&gt;"")*(MOVIMIENTOS!$A$5:$A$1005&lt;=$A811)*MOVIMIENTOS!$E$5:$E$1005)-SUMPRODUCT((MOVIMIENTOS!$B$5:$B$1005="ENVÍO A SUPESA")*(MOVIMIENTOS!$C$5:$C$1005="C")*(MOVIMIENTOS!$D$5:$D$1005="jabas")*(MOVIMIENTOS!$A$5:$A$1005&lt;&gt;"")*(MOVIMIENTOS!$A$5:$A$1005&lt;=$A811)*MOVIMIENTOS!$E$5:$E$1005)+SUMPRODUCT((MOVIMIENTOS!$B$5:$B$1005="DEVOLUCIÓN")*(MOVIMIENTOS!$C$5:$C$1005="C")*(MOVIMIENTOS!$D$5:$D$1005="jabas")*(MOVIMIENTOS!$A$5:$A$1005&lt;&gt;"")*(MOVIMIENTOS!$A$5:$A$1005&lt;=$A811)*MOVIMIENTOS!$E$5:$E$1005)-SUMPRODUCT((MOVIMIENTOS!$B$5:$B$1005="TRASIEGO")*(MOVIMIENTOS!$C$5:$C$1005="C")*(MOVIMIENTOS!$D$5:$D$1005="jabas")*(MOVIMIENTOS!$A$5:$A$1005&lt;&gt;"")*(MOVIMIENTOS!$A$5:$A$1005&lt;=$A811)*MOVIMIENTOS!$E$5:$E$1005)-SUMPRODUCT((MOVIMIENTOS!$B$5:$B$1005="REGALO")*(MOVIMIENTOS!$C$5:$C$1005="C")*(MOVIMIENTOS!$D$5:$D$1005="jabas")*(MOVIMIENTOS!$A$5:$A$1005&lt;&gt;"")*(MOVIMIENTOS!$A$5:$A$1005&lt;=$A811)*MOVIMIENTOS!$E$5:$E$1005)-SUMPRODUCT((MOVIMIENTOS!$B$5:$B$1005="VENTA")*(MOVIMIENTOS!$C$5:$C$1005="C")*(MOVIMIENTOS!$D$5:$D$1005="jabas")*(MOVIMIENTOS!$A$5:$A$1005&lt;&gt;"")*(MOVIMIENTOS!$A$5:$A$1005&lt;=$A811)*MOVIMIENTOS!$E$5:$E$1005)+SUMPRODUCT((MOVIMIENTOS!$B$5:$B$1005="AJUSTE")*(MOVIMIENTOS!$C$5:$C$1005="C")*(MOVIMIENTOS!$D$5:$D$1005="jabas")*(MOVIMIENTOS!$A$5:$A$1005&lt;&gt;"")*(MOVIMIENTOS!$A$5:$A$1005&lt;=$A811)*MOVIMIENTOS!$E$5:$E$1005))</f>
        <v/>
      </c>
      <c r="E811" t="str">
        <f>IF($A811="","",SUMPRODUCT((MOVIMIENTOS!$B$5:$B$1005="SALDO INICIAL")*(MOVIMIENTOS!$C$5:$C$1005="M")*(MOVIMIENTOS!$D$5:$D$1005="jabas")*(MOVIMIENTOS!$A$5:$A$1005&lt;&gt;"")*(MOVIMIENTOS!$A$5:$A$1005&lt;=$A811)*MOVIMIENTOS!$E$5:$E$1005)+SUMPRODUCT((MOVIMIENTOS!$B$5:$B$1005="PROCESO")*(MOVIMIENTOS!$C$5:$C$1005="M")*(MOVIMIENTOS!$D$5:$D$1005="jabas")*(MOVIMIENTOS!$A$5:$A$1005&lt;&gt;"")*(MOVIMIENTOS!$A$5:$A$1005&lt;=$A811)*MOVIMIENTOS!$E$5:$E$1005)-SUMPRODUCT((MOVIMIENTOS!$B$5:$B$1005="ENVÍO A SUPESA")*(MOVIMIENTOS!$C$5:$C$1005="M")*(MOVIMIENTOS!$D$5:$D$1005="jabas")*(MOVIMIENTOS!$A$5:$A$1005&lt;&gt;"")*(MOVIMIENTOS!$A$5:$A$1005&lt;=$A811)*MOVIMIENTOS!$E$5:$E$1005)+SUMPRODUCT((MOVIMIENTOS!$B$5:$B$1005="DEVOLUCIÓN")*(MOVIMIENTOS!$C$5:$C$1005="M")*(MOVIMIENTOS!$D$5:$D$1005="jabas")*(MOVIMIENTOS!$A$5:$A$1005&lt;&gt;"")*(MOVIMIENTOS!$A$5:$A$1005&lt;=$A811)*MOVIMIENTOS!$E$5:$E$1005)-SUMPRODUCT((MOVIMIENTOS!$B$5:$B$1005="TRASIEGO")*(MOVIMIENTOS!$C$5:$C$1005="M")*(MOVIMIENTOS!$D$5:$D$1005="jabas")*(MOVIMIENTOS!$A$5:$A$1005&lt;&gt;"")*(MOVIMIENTOS!$A$5:$A$1005&lt;=$A811)*MOVIMIENTOS!$E$5:$E$1005)-SUMPRODUCT((MOVIMIENTOS!$B$5:$B$1005="REGALO")*(MOVIMIENTOS!$C$5:$C$1005="M")*(MOVIMIENTOS!$D$5:$D$1005="jabas")*(MOVIMIENTOS!$A$5:$A$1005&lt;&gt;"")*(MOVIMIENTOS!$A$5:$A$1005&lt;=$A811)*MOVIMIENTOS!$E$5:$E$1005)-SUMPRODUCT((MOVIMIENTOS!$B$5:$B$1005="VENTA")*(MOVIMIENTOS!$C$5:$C$1005="M")*(MOVIMIENTOS!$D$5:$D$1005="jabas")*(MOVIMIENTOS!$A$5:$A$1005&lt;&gt;"")*(MOVIMIENTOS!$A$5:$A$1005&lt;=$A811)*MOVIMIENTOS!$E$5:$E$1005)+SUMPRODUCT((MOVIMIENTOS!$B$5:$B$1005="AJUSTE")*(MOVIMIENTOS!$C$5:$C$1005="M")*(MOVIMIENTOS!$D$5:$D$1005="jabas")*(MOVIMIENTOS!$A$5:$A$1005&lt;&gt;"")*(MOVIMIENTOS!$A$5:$A$1005&lt;=$A811)*MOVIMIENTOS!$E$5:$E$1005))</f>
        <v/>
      </c>
      <c r="F811" s="62" t="str">
        <f>IF($A811="","",SUMPRODUCT((MOVIMIENTOS!$B$5:$B$1005="SALDO INICIAL")*(MOVIMIENTOS!$C$5:$C$1005="Chancho")*(MOVIMIENTOS!$D$5:$D$1005="sacos")*(MOVIMIENTOS!$A$5:$A$1005&lt;&gt;"")*(MOVIMIENTOS!$A$5:$A$1005&lt;=$A811)*MOVIMIENTOS!$E$5:$E$1005)+SUMPRODUCT((MOVIMIENTOS!$B$5:$B$1005="PROCESO")*(MOVIMIENTOS!$C$5:$C$1005="Chancho")*(MOVIMIENTOS!$D$5:$D$1005="sacos")*(MOVIMIENTOS!$A$5:$A$1005&lt;&gt;"")*(MOVIMIENTOS!$A$5:$A$1005&lt;=$A811)*MOVIMIENTOS!$E$5:$E$1005)-SUMPRODUCT((MOVIMIENTOS!$B$5:$B$1005="VENTA CHANCHO")*(MOVIMIENTOS!$C$5:$C$1005="Chancho")*(MOVIMIENTOS!$D$5:$D$1005="sacos")*(MOVIMIENTOS!$A$5:$A$1005&lt;&gt;"")*(MOVIMIENTOS!$A$5:$A$1005&lt;=$A811)*MOVIMIENTOS!$E$5:$E$1005)-SUMPRODUCT((MOVIMIENTOS!$B$5:$B$1005="REGALO")*(MOVIMIENTOS!$C$5:$C$1005="Chancho")*(MOVIMIENTOS!$D$5:$D$1005="sacos")*(MOVIMIENTOS!$A$5:$A$1005&lt;&gt;"")*(MOVIMIENTOS!$A$5:$A$1005&lt;=$A811)*MOVIMIENTOS!$E$5:$E$1005)-SUMPRODUCT((MOVIMIENTOS!$B$5:$B$1005="VENTA")*(MOVIMIENTOS!$C$5:$C$1005="Chancho")*(MOVIMIENTOS!$D$5:$D$1005="sacos")*(MOVIMIENTOS!$A$5:$A$1005&lt;&gt;"")*(MOVIMIENTOS!$A$5:$A$1005&lt;=$A811)*MOVIMIENTOS!$E$5:$E$1005)+SUMPRODUCT((MOVIMIENTOS!$B$5:$B$1005="AJUSTE")*(MOVIMIENTOS!$C$5:$C$1005="Chancho")*(MOVIMIENTOS!$D$5:$D$1005="sacos")*(MOVIMIENTOS!$A$5:$A$1005&lt;&gt;"")*(MOVIMIENTOS!$A$5:$A$1005&lt;=$A811)*MOVIMIENTOS!$E$5:$E$1005))</f>
        <v/>
      </c>
      <c r="G811" s="62" t="str">
        <f t="shared" si="25"/>
        <v/>
      </c>
      <c r="H811" t="str">
        <f>IF($A811="","",SUMPRODUCT((((MOVIMIENTOS!$B$5:$B$1005="SALDO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811)*MOVIMIENTOS!$J$5:$J$1005))</f>
        <v/>
      </c>
      <c r="J811" t="str">
        <f>IF(AND(MOVIMIENTOS!$A816&lt;&gt;"",COUNTIF(MOVIMIENTOS!$A$5:$A815,MOVIMIENTOS!$A816)=0),COUNT(J$4:J810)+1,"")</f>
        <v/>
      </c>
      <c r="K811">
        <f>MOVIMIENTOS!$A816</f>
        <v>0</v>
      </c>
    </row>
    <row r="812" spans="1:11" ht="15" customHeight="1" x14ac:dyDescent="0.2">
      <c r="A812" t="str">
        <f t="shared" si="24"/>
        <v/>
      </c>
      <c r="B812" t="str">
        <f>IF($A812="","",SUMPRODUCT((MOVIMIENTOS!$B$5:$B$1005="SALDO INICIAL")*(MOVIMIENTOS!$C$5:$C$1005="A")*(MOVIMIENTOS!$D$5:$D$1005="jabas")*(MOVIMIENTOS!$A$5:$A$1005&lt;&gt;"")*(MOVIMIENTOS!$A$5:$A$1005&lt;=$A812)*MOVIMIENTOS!$E$5:$E$1005)+SUMPRODUCT((MOVIMIENTOS!$B$5:$B$1005="PROCESO")*(MOVIMIENTOS!$C$5:$C$1005="A")*(MOVIMIENTOS!$D$5:$D$1005="jabas")*(MOVIMIENTOS!$A$5:$A$1005&lt;&gt;"")*(MOVIMIENTOS!$A$5:$A$1005&lt;=$A812)*MOVIMIENTOS!$E$5:$E$1005)-SUMPRODUCT((MOVIMIENTOS!$B$5:$B$1005="ENVÍO A SUPESA")*(MOVIMIENTOS!$C$5:$C$1005="A")*(MOVIMIENTOS!$D$5:$D$1005="jabas")*(MOVIMIENTOS!$A$5:$A$1005&lt;&gt;"")*(MOVIMIENTOS!$A$5:$A$1005&lt;=$A812)*MOVIMIENTOS!$E$5:$E$1005)+SUMPRODUCT((MOVIMIENTOS!$B$5:$B$1005="DEVOLUCIÓN")*(MOVIMIENTOS!$C$5:$C$1005="A")*(MOVIMIENTOS!$D$5:$D$1005="jabas")*(MOVIMIENTOS!$A$5:$A$1005&lt;&gt;"")*(MOVIMIENTOS!$A$5:$A$1005&lt;=$A812)*MOVIMIENTOS!$E$5:$E$1005)-SUMPRODUCT((MOVIMIENTOS!$B$5:$B$1005="TRASIEGO")*(MOVIMIENTOS!$C$5:$C$1005="A")*(MOVIMIENTOS!$D$5:$D$1005="jabas")*(MOVIMIENTOS!$A$5:$A$1005&lt;&gt;"")*(MOVIMIENTOS!$A$5:$A$1005&lt;=$A812)*MOVIMIENTOS!$E$5:$E$1005)-SUMPRODUCT((MOVIMIENTOS!$B$5:$B$1005="REGALO")*(MOVIMIENTOS!$C$5:$C$1005="A")*(MOVIMIENTOS!$D$5:$D$1005="jabas")*(MOVIMIENTOS!$A$5:$A$1005&lt;&gt;"")*(MOVIMIENTOS!$A$5:$A$1005&lt;=$A812)*MOVIMIENTOS!$E$5:$E$1005)-SUMPRODUCT((MOVIMIENTOS!$B$5:$B$1005="VENTA")*(MOVIMIENTOS!$C$5:$C$1005="A")*(MOVIMIENTOS!$D$5:$D$1005="jabas")*(MOVIMIENTOS!$A$5:$A$1005&lt;&gt;"")*(MOVIMIENTOS!$A$5:$A$1005&lt;=$A812)*MOVIMIENTOS!$E$5:$E$1005)+SUMPRODUCT((MOVIMIENTOS!$B$5:$B$1005="AJUSTE")*(MOVIMIENTOS!$C$5:$C$1005="A")*(MOVIMIENTOS!$D$5:$D$1005="jabas")*(MOVIMIENTOS!$A$5:$A$1005&lt;&gt;"")*(MOVIMIENTOS!$A$5:$A$1005&lt;=$A812)*MOVIMIENTOS!$E$5:$E$1005))</f>
        <v/>
      </c>
      <c r="C812" t="str">
        <f>IF($A812="","",SUMPRODUCT((MOVIMIENTOS!$B$5:$B$1005="SALDO INICIAL")*(MOVIMIENTOS!$C$5:$C$1005="P")*(MOVIMIENTOS!$D$5:$D$1005="jabas")*(MOVIMIENTOS!$A$5:$A$1005&lt;&gt;"")*(MOVIMIENTOS!$A$5:$A$1005&lt;=$A812)*MOVIMIENTOS!$E$5:$E$1005)+SUMPRODUCT((MOVIMIENTOS!$B$5:$B$1005="PROCESO")*(MOVIMIENTOS!$C$5:$C$1005="P")*(MOVIMIENTOS!$D$5:$D$1005="jabas")*(MOVIMIENTOS!$A$5:$A$1005&lt;&gt;"")*(MOVIMIENTOS!$A$5:$A$1005&lt;=$A812)*MOVIMIENTOS!$E$5:$E$1005)-SUMPRODUCT((MOVIMIENTOS!$B$5:$B$1005="ENVÍO A SUPESA")*(MOVIMIENTOS!$C$5:$C$1005="P")*(MOVIMIENTOS!$D$5:$D$1005="jabas")*(MOVIMIENTOS!$A$5:$A$1005&lt;&gt;"")*(MOVIMIENTOS!$A$5:$A$1005&lt;=$A812)*MOVIMIENTOS!$E$5:$E$1005)+SUMPRODUCT((MOVIMIENTOS!$B$5:$B$1005="DEVOLUCIÓN")*(MOVIMIENTOS!$C$5:$C$1005="P")*(MOVIMIENTOS!$D$5:$D$1005="jabas")*(MOVIMIENTOS!$A$5:$A$1005&lt;&gt;"")*(MOVIMIENTOS!$A$5:$A$1005&lt;=$A812)*MOVIMIENTOS!$E$5:$E$1005)-SUMPRODUCT((MOVIMIENTOS!$B$5:$B$1005="TRASIEGO")*(MOVIMIENTOS!$C$5:$C$1005="P")*(MOVIMIENTOS!$D$5:$D$1005="jabas")*(MOVIMIENTOS!$A$5:$A$1005&lt;&gt;"")*(MOVIMIENTOS!$A$5:$A$1005&lt;=$A812)*MOVIMIENTOS!$E$5:$E$1005)-SUMPRODUCT((MOVIMIENTOS!$B$5:$B$1005="REGALO")*(MOVIMIENTOS!$C$5:$C$1005="P")*(MOVIMIENTOS!$D$5:$D$1005="jabas")*(MOVIMIENTOS!$A$5:$A$1005&lt;&gt;"")*(MOVIMIENTOS!$A$5:$A$1005&lt;=$A812)*MOVIMIENTOS!$E$5:$E$1005)-SUMPRODUCT((MOVIMIENTOS!$B$5:$B$1005="VENTA")*(MOVIMIENTOS!$C$5:$C$1005="P")*(MOVIMIENTOS!$D$5:$D$1005="jabas")*(MOVIMIENTOS!$A$5:$A$1005&lt;&gt;"")*(MOVIMIENTOS!$A$5:$A$1005&lt;=$A812)*MOVIMIENTOS!$E$5:$E$1005)+SUMPRODUCT((MOVIMIENTOS!$B$5:$B$1005="AJUSTE")*(MOVIMIENTOS!$C$5:$C$1005="P")*(MOVIMIENTOS!$D$5:$D$1005="jabas")*(MOVIMIENTOS!$A$5:$A$1005&lt;&gt;"")*(MOVIMIENTOS!$A$5:$A$1005&lt;=$A812)*MOVIMIENTOS!$E$5:$E$1005))</f>
        <v/>
      </c>
      <c r="D812" t="str">
        <f>IF($A812="","",SUMPRODUCT((MOVIMIENTOS!$B$5:$B$1005="SALDO INICIAL")*(MOVIMIENTOS!$C$5:$C$1005="C")*(MOVIMIENTOS!$D$5:$D$1005="jabas")*(MOVIMIENTOS!$A$5:$A$1005&lt;&gt;"")*(MOVIMIENTOS!$A$5:$A$1005&lt;=$A812)*MOVIMIENTOS!$E$5:$E$1005)+SUMPRODUCT((MOVIMIENTOS!$B$5:$B$1005="PROCESO")*(MOVIMIENTOS!$C$5:$C$1005="C")*(MOVIMIENTOS!$D$5:$D$1005="jabas")*(MOVIMIENTOS!$A$5:$A$1005&lt;&gt;"")*(MOVIMIENTOS!$A$5:$A$1005&lt;=$A812)*MOVIMIENTOS!$E$5:$E$1005)-SUMPRODUCT((MOVIMIENTOS!$B$5:$B$1005="ENVÍO A SUPESA")*(MOVIMIENTOS!$C$5:$C$1005="C")*(MOVIMIENTOS!$D$5:$D$1005="jabas")*(MOVIMIENTOS!$A$5:$A$1005&lt;&gt;"")*(MOVIMIENTOS!$A$5:$A$1005&lt;=$A812)*MOVIMIENTOS!$E$5:$E$1005)+SUMPRODUCT((MOVIMIENTOS!$B$5:$B$1005="DEVOLUCIÓN")*(MOVIMIENTOS!$C$5:$C$1005="C")*(MOVIMIENTOS!$D$5:$D$1005="jabas")*(MOVIMIENTOS!$A$5:$A$1005&lt;&gt;"")*(MOVIMIENTOS!$A$5:$A$1005&lt;=$A812)*MOVIMIENTOS!$E$5:$E$1005)-SUMPRODUCT((MOVIMIENTOS!$B$5:$B$1005="TRASIEGO")*(MOVIMIENTOS!$C$5:$C$1005="C")*(MOVIMIENTOS!$D$5:$D$1005="jabas")*(MOVIMIENTOS!$A$5:$A$1005&lt;&gt;"")*(MOVIMIENTOS!$A$5:$A$1005&lt;=$A812)*MOVIMIENTOS!$E$5:$E$1005)-SUMPRODUCT((MOVIMIENTOS!$B$5:$B$1005="REGALO")*(MOVIMIENTOS!$C$5:$C$1005="C")*(MOVIMIENTOS!$D$5:$D$1005="jabas")*(MOVIMIENTOS!$A$5:$A$1005&lt;&gt;"")*(MOVIMIENTOS!$A$5:$A$1005&lt;=$A812)*MOVIMIENTOS!$E$5:$E$1005)-SUMPRODUCT((MOVIMIENTOS!$B$5:$B$1005="VENTA")*(MOVIMIENTOS!$C$5:$C$1005="C")*(MOVIMIENTOS!$D$5:$D$1005="jabas")*(MOVIMIENTOS!$A$5:$A$1005&lt;&gt;"")*(MOVIMIENTOS!$A$5:$A$1005&lt;=$A812)*MOVIMIENTOS!$E$5:$E$1005)+SUMPRODUCT((MOVIMIENTOS!$B$5:$B$1005="AJUSTE")*(MOVIMIENTOS!$C$5:$C$1005="C")*(MOVIMIENTOS!$D$5:$D$1005="jabas")*(MOVIMIENTOS!$A$5:$A$1005&lt;&gt;"")*(MOVIMIENTOS!$A$5:$A$1005&lt;=$A812)*MOVIMIENTOS!$E$5:$E$1005))</f>
        <v/>
      </c>
      <c r="E812" t="str">
        <f>IF($A812="","",SUMPRODUCT((MOVIMIENTOS!$B$5:$B$1005="SALDO INICIAL")*(MOVIMIENTOS!$C$5:$C$1005="M")*(MOVIMIENTOS!$D$5:$D$1005="jabas")*(MOVIMIENTOS!$A$5:$A$1005&lt;&gt;"")*(MOVIMIENTOS!$A$5:$A$1005&lt;=$A812)*MOVIMIENTOS!$E$5:$E$1005)+SUMPRODUCT((MOVIMIENTOS!$B$5:$B$1005="PROCESO")*(MOVIMIENTOS!$C$5:$C$1005="M")*(MOVIMIENTOS!$D$5:$D$1005="jabas")*(MOVIMIENTOS!$A$5:$A$1005&lt;&gt;"")*(MOVIMIENTOS!$A$5:$A$1005&lt;=$A812)*MOVIMIENTOS!$E$5:$E$1005)-SUMPRODUCT((MOVIMIENTOS!$B$5:$B$1005="ENVÍO A SUPESA")*(MOVIMIENTOS!$C$5:$C$1005="M")*(MOVIMIENTOS!$D$5:$D$1005="jabas")*(MOVIMIENTOS!$A$5:$A$1005&lt;&gt;"")*(MOVIMIENTOS!$A$5:$A$1005&lt;=$A812)*MOVIMIENTOS!$E$5:$E$1005)+SUMPRODUCT((MOVIMIENTOS!$B$5:$B$1005="DEVOLUCIÓN")*(MOVIMIENTOS!$C$5:$C$1005="M")*(MOVIMIENTOS!$D$5:$D$1005="jabas")*(MOVIMIENTOS!$A$5:$A$1005&lt;&gt;"")*(MOVIMIENTOS!$A$5:$A$1005&lt;=$A812)*MOVIMIENTOS!$E$5:$E$1005)-SUMPRODUCT((MOVIMIENTOS!$B$5:$B$1005="TRASIEGO")*(MOVIMIENTOS!$C$5:$C$1005="M")*(MOVIMIENTOS!$D$5:$D$1005="jabas")*(MOVIMIENTOS!$A$5:$A$1005&lt;&gt;"")*(MOVIMIENTOS!$A$5:$A$1005&lt;=$A812)*MOVIMIENTOS!$E$5:$E$1005)-SUMPRODUCT((MOVIMIENTOS!$B$5:$B$1005="REGALO")*(MOVIMIENTOS!$C$5:$C$1005="M")*(MOVIMIENTOS!$D$5:$D$1005="jabas")*(MOVIMIENTOS!$A$5:$A$1005&lt;&gt;"")*(MOVIMIENTOS!$A$5:$A$1005&lt;=$A812)*MOVIMIENTOS!$E$5:$E$1005)-SUMPRODUCT((MOVIMIENTOS!$B$5:$B$1005="VENTA")*(MOVIMIENTOS!$C$5:$C$1005="M")*(MOVIMIENTOS!$D$5:$D$1005="jabas")*(MOVIMIENTOS!$A$5:$A$1005&lt;&gt;"")*(MOVIMIENTOS!$A$5:$A$1005&lt;=$A812)*MOVIMIENTOS!$E$5:$E$1005)+SUMPRODUCT((MOVIMIENTOS!$B$5:$B$1005="AJUSTE")*(MOVIMIENTOS!$C$5:$C$1005="M")*(MOVIMIENTOS!$D$5:$D$1005="jabas")*(MOVIMIENTOS!$A$5:$A$1005&lt;&gt;"")*(MOVIMIENTOS!$A$5:$A$1005&lt;=$A812)*MOVIMIENTOS!$E$5:$E$1005))</f>
        <v/>
      </c>
      <c r="F812" s="62" t="str">
        <f>IF($A812="","",SUMPRODUCT((MOVIMIENTOS!$B$5:$B$1005="SALDO INICIAL")*(MOVIMIENTOS!$C$5:$C$1005="Chancho")*(MOVIMIENTOS!$D$5:$D$1005="sacos")*(MOVIMIENTOS!$A$5:$A$1005&lt;&gt;"")*(MOVIMIENTOS!$A$5:$A$1005&lt;=$A812)*MOVIMIENTOS!$E$5:$E$1005)+SUMPRODUCT((MOVIMIENTOS!$B$5:$B$1005="PROCESO")*(MOVIMIENTOS!$C$5:$C$1005="Chancho")*(MOVIMIENTOS!$D$5:$D$1005="sacos")*(MOVIMIENTOS!$A$5:$A$1005&lt;&gt;"")*(MOVIMIENTOS!$A$5:$A$1005&lt;=$A812)*MOVIMIENTOS!$E$5:$E$1005)-SUMPRODUCT((MOVIMIENTOS!$B$5:$B$1005="VENTA CHANCHO")*(MOVIMIENTOS!$C$5:$C$1005="Chancho")*(MOVIMIENTOS!$D$5:$D$1005="sacos")*(MOVIMIENTOS!$A$5:$A$1005&lt;&gt;"")*(MOVIMIENTOS!$A$5:$A$1005&lt;=$A812)*MOVIMIENTOS!$E$5:$E$1005)-SUMPRODUCT((MOVIMIENTOS!$B$5:$B$1005="REGALO")*(MOVIMIENTOS!$C$5:$C$1005="Chancho")*(MOVIMIENTOS!$D$5:$D$1005="sacos")*(MOVIMIENTOS!$A$5:$A$1005&lt;&gt;"")*(MOVIMIENTOS!$A$5:$A$1005&lt;=$A812)*MOVIMIENTOS!$E$5:$E$1005)-SUMPRODUCT((MOVIMIENTOS!$B$5:$B$1005="VENTA")*(MOVIMIENTOS!$C$5:$C$1005="Chancho")*(MOVIMIENTOS!$D$5:$D$1005="sacos")*(MOVIMIENTOS!$A$5:$A$1005&lt;&gt;"")*(MOVIMIENTOS!$A$5:$A$1005&lt;=$A812)*MOVIMIENTOS!$E$5:$E$1005)+SUMPRODUCT((MOVIMIENTOS!$B$5:$B$1005="AJUSTE")*(MOVIMIENTOS!$C$5:$C$1005="Chancho")*(MOVIMIENTOS!$D$5:$D$1005="sacos")*(MOVIMIENTOS!$A$5:$A$1005&lt;&gt;"")*(MOVIMIENTOS!$A$5:$A$1005&lt;=$A812)*MOVIMIENTOS!$E$5:$E$1005))</f>
        <v/>
      </c>
      <c r="G812" s="62" t="str">
        <f t="shared" si="25"/>
        <v/>
      </c>
      <c r="H812" t="str">
        <f>IF($A812="","",SUMPRODUCT((((MOVIMIENTOS!$B$5:$B$1005="SALDO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812)*MOVIMIENTOS!$J$5:$J$1005))</f>
        <v/>
      </c>
      <c r="J812" t="str">
        <f>IF(AND(MOVIMIENTOS!$A817&lt;&gt;"",COUNTIF(MOVIMIENTOS!$A$5:$A816,MOVIMIENTOS!$A817)=0),COUNT(J$4:J811)+1,"")</f>
        <v/>
      </c>
      <c r="K812">
        <f>MOVIMIENTOS!$A817</f>
        <v>0</v>
      </c>
    </row>
    <row r="813" spans="1:11" ht="15" customHeight="1" x14ac:dyDescent="0.2">
      <c r="A813" t="str">
        <f t="shared" si="24"/>
        <v/>
      </c>
      <c r="B813" t="str">
        <f>IF($A813="","",SUMPRODUCT((MOVIMIENTOS!$B$5:$B$1005="SALDO INICIAL")*(MOVIMIENTOS!$C$5:$C$1005="A")*(MOVIMIENTOS!$D$5:$D$1005="jabas")*(MOVIMIENTOS!$A$5:$A$1005&lt;&gt;"")*(MOVIMIENTOS!$A$5:$A$1005&lt;=$A813)*MOVIMIENTOS!$E$5:$E$1005)+SUMPRODUCT((MOVIMIENTOS!$B$5:$B$1005="PROCESO")*(MOVIMIENTOS!$C$5:$C$1005="A")*(MOVIMIENTOS!$D$5:$D$1005="jabas")*(MOVIMIENTOS!$A$5:$A$1005&lt;&gt;"")*(MOVIMIENTOS!$A$5:$A$1005&lt;=$A813)*MOVIMIENTOS!$E$5:$E$1005)-SUMPRODUCT((MOVIMIENTOS!$B$5:$B$1005="ENVÍO A SUPESA")*(MOVIMIENTOS!$C$5:$C$1005="A")*(MOVIMIENTOS!$D$5:$D$1005="jabas")*(MOVIMIENTOS!$A$5:$A$1005&lt;&gt;"")*(MOVIMIENTOS!$A$5:$A$1005&lt;=$A813)*MOVIMIENTOS!$E$5:$E$1005)+SUMPRODUCT((MOVIMIENTOS!$B$5:$B$1005="DEVOLUCIÓN")*(MOVIMIENTOS!$C$5:$C$1005="A")*(MOVIMIENTOS!$D$5:$D$1005="jabas")*(MOVIMIENTOS!$A$5:$A$1005&lt;&gt;"")*(MOVIMIENTOS!$A$5:$A$1005&lt;=$A813)*MOVIMIENTOS!$E$5:$E$1005)-SUMPRODUCT((MOVIMIENTOS!$B$5:$B$1005="TRASIEGO")*(MOVIMIENTOS!$C$5:$C$1005="A")*(MOVIMIENTOS!$D$5:$D$1005="jabas")*(MOVIMIENTOS!$A$5:$A$1005&lt;&gt;"")*(MOVIMIENTOS!$A$5:$A$1005&lt;=$A813)*MOVIMIENTOS!$E$5:$E$1005)-SUMPRODUCT((MOVIMIENTOS!$B$5:$B$1005="REGALO")*(MOVIMIENTOS!$C$5:$C$1005="A")*(MOVIMIENTOS!$D$5:$D$1005="jabas")*(MOVIMIENTOS!$A$5:$A$1005&lt;&gt;"")*(MOVIMIENTOS!$A$5:$A$1005&lt;=$A813)*MOVIMIENTOS!$E$5:$E$1005)-SUMPRODUCT((MOVIMIENTOS!$B$5:$B$1005="VENTA")*(MOVIMIENTOS!$C$5:$C$1005="A")*(MOVIMIENTOS!$D$5:$D$1005="jabas")*(MOVIMIENTOS!$A$5:$A$1005&lt;&gt;"")*(MOVIMIENTOS!$A$5:$A$1005&lt;=$A813)*MOVIMIENTOS!$E$5:$E$1005)+SUMPRODUCT((MOVIMIENTOS!$B$5:$B$1005="AJUSTE")*(MOVIMIENTOS!$C$5:$C$1005="A")*(MOVIMIENTOS!$D$5:$D$1005="jabas")*(MOVIMIENTOS!$A$5:$A$1005&lt;&gt;"")*(MOVIMIENTOS!$A$5:$A$1005&lt;=$A813)*MOVIMIENTOS!$E$5:$E$1005))</f>
        <v/>
      </c>
      <c r="C813" t="str">
        <f>IF($A813="","",SUMPRODUCT((MOVIMIENTOS!$B$5:$B$1005="SALDO INICIAL")*(MOVIMIENTOS!$C$5:$C$1005="P")*(MOVIMIENTOS!$D$5:$D$1005="jabas")*(MOVIMIENTOS!$A$5:$A$1005&lt;&gt;"")*(MOVIMIENTOS!$A$5:$A$1005&lt;=$A813)*MOVIMIENTOS!$E$5:$E$1005)+SUMPRODUCT((MOVIMIENTOS!$B$5:$B$1005="PROCESO")*(MOVIMIENTOS!$C$5:$C$1005="P")*(MOVIMIENTOS!$D$5:$D$1005="jabas")*(MOVIMIENTOS!$A$5:$A$1005&lt;&gt;"")*(MOVIMIENTOS!$A$5:$A$1005&lt;=$A813)*MOVIMIENTOS!$E$5:$E$1005)-SUMPRODUCT((MOVIMIENTOS!$B$5:$B$1005="ENVÍO A SUPESA")*(MOVIMIENTOS!$C$5:$C$1005="P")*(MOVIMIENTOS!$D$5:$D$1005="jabas")*(MOVIMIENTOS!$A$5:$A$1005&lt;&gt;"")*(MOVIMIENTOS!$A$5:$A$1005&lt;=$A813)*MOVIMIENTOS!$E$5:$E$1005)+SUMPRODUCT((MOVIMIENTOS!$B$5:$B$1005="DEVOLUCIÓN")*(MOVIMIENTOS!$C$5:$C$1005="P")*(MOVIMIENTOS!$D$5:$D$1005="jabas")*(MOVIMIENTOS!$A$5:$A$1005&lt;&gt;"")*(MOVIMIENTOS!$A$5:$A$1005&lt;=$A813)*MOVIMIENTOS!$E$5:$E$1005)-SUMPRODUCT((MOVIMIENTOS!$B$5:$B$1005="TRASIEGO")*(MOVIMIENTOS!$C$5:$C$1005="P")*(MOVIMIENTOS!$D$5:$D$1005="jabas")*(MOVIMIENTOS!$A$5:$A$1005&lt;&gt;"")*(MOVIMIENTOS!$A$5:$A$1005&lt;=$A813)*MOVIMIENTOS!$E$5:$E$1005)-SUMPRODUCT((MOVIMIENTOS!$B$5:$B$1005="REGALO")*(MOVIMIENTOS!$C$5:$C$1005="P")*(MOVIMIENTOS!$D$5:$D$1005="jabas")*(MOVIMIENTOS!$A$5:$A$1005&lt;&gt;"")*(MOVIMIENTOS!$A$5:$A$1005&lt;=$A813)*MOVIMIENTOS!$E$5:$E$1005)-SUMPRODUCT((MOVIMIENTOS!$B$5:$B$1005="VENTA")*(MOVIMIENTOS!$C$5:$C$1005="P")*(MOVIMIENTOS!$D$5:$D$1005="jabas")*(MOVIMIENTOS!$A$5:$A$1005&lt;&gt;"")*(MOVIMIENTOS!$A$5:$A$1005&lt;=$A813)*MOVIMIENTOS!$E$5:$E$1005)+SUMPRODUCT((MOVIMIENTOS!$B$5:$B$1005="AJUSTE")*(MOVIMIENTOS!$C$5:$C$1005="P")*(MOVIMIENTOS!$D$5:$D$1005="jabas")*(MOVIMIENTOS!$A$5:$A$1005&lt;&gt;"")*(MOVIMIENTOS!$A$5:$A$1005&lt;=$A813)*MOVIMIENTOS!$E$5:$E$1005))</f>
        <v/>
      </c>
      <c r="D813" t="str">
        <f>IF($A813="","",SUMPRODUCT((MOVIMIENTOS!$B$5:$B$1005="SALDO INICIAL")*(MOVIMIENTOS!$C$5:$C$1005="C")*(MOVIMIENTOS!$D$5:$D$1005="jabas")*(MOVIMIENTOS!$A$5:$A$1005&lt;&gt;"")*(MOVIMIENTOS!$A$5:$A$1005&lt;=$A813)*MOVIMIENTOS!$E$5:$E$1005)+SUMPRODUCT((MOVIMIENTOS!$B$5:$B$1005="PROCESO")*(MOVIMIENTOS!$C$5:$C$1005="C")*(MOVIMIENTOS!$D$5:$D$1005="jabas")*(MOVIMIENTOS!$A$5:$A$1005&lt;&gt;"")*(MOVIMIENTOS!$A$5:$A$1005&lt;=$A813)*MOVIMIENTOS!$E$5:$E$1005)-SUMPRODUCT((MOVIMIENTOS!$B$5:$B$1005="ENVÍO A SUPESA")*(MOVIMIENTOS!$C$5:$C$1005="C")*(MOVIMIENTOS!$D$5:$D$1005="jabas")*(MOVIMIENTOS!$A$5:$A$1005&lt;&gt;"")*(MOVIMIENTOS!$A$5:$A$1005&lt;=$A813)*MOVIMIENTOS!$E$5:$E$1005)+SUMPRODUCT((MOVIMIENTOS!$B$5:$B$1005="DEVOLUCIÓN")*(MOVIMIENTOS!$C$5:$C$1005="C")*(MOVIMIENTOS!$D$5:$D$1005="jabas")*(MOVIMIENTOS!$A$5:$A$1005&lt;&gt;"")*(MOVIMIENTOS!$A$5:$A$1005&lt;=$A813)*MOVIMIENTOS!$E$5:$E$1005)-SUMPRODUCT((MOVIMIENTOS!$B$5:$B$1005="TRASIEGO")*(MOVIMIENTOS!$C$5:$C$1005="C")*(MOVIMIENTOS!$D$5:$D$1005="jabas")*(MOVIMIENTOS!$A$5:$A$1005&lt;&gt;"")*(MOVIMIENTOS!$A$5:$A$1005&lt;=$A813)*MOVIMIENTOS!$E$5:$E$1005)-SUMPRODUCT((MOVIMIENTOS!$B$5:$B$1005="REGALO")*(MOVIMIENTOS!$C$5:$C$1005="C")*(MOVIMIENTOS!$D$5:$D$1005="jabas")*(MOVIMIENTOS!$A$5:$A$1005&lt;&gt;"")*(MOVIMIENTOS!$A$5:$A$1005&lt;=$A813)*MOVIMIENTOS!$E$5:$E$1005)-SUMPRODUCT((MOVIMIENTOS!$B$5:$B$1005="VENTA")*(MOVIMIENTOS!$C$5:$C$1005="C")*(MOVIMIENTOS!$D$5:$D$1005="jabas")*(MOVIMIENTOS!$A$5:$A$1005&lt;&gt;"")*(MOVIMIENTOS!$A$5:$A$1005&lt;=$A813)*MOVIMIENTOS!$E$5:$E$1005)+SUMPRODUCT((MOVIMIENTOS!$B$5:$B$1005="AJUSTE")*(MOVIMIENTOS!$C$5:$C$1005="C")*(MOVIMIENTOS!$D$5:$D$1005="jabas")*(MOVIMIENTOS!$A$5:$A$1005&lt;&gt;"")*(MOVIMIENTOS!$A$5:$A$1005&lt;=$A813)*MOVIMIENTOS!$E$5:$E$1005))</f>
        <v/>
      </c>
      <c r="E813" t="str">
        <f>IF($A813="","",SUMPRODUCT((MOVIMIENTOS!$B$5:$B$1005="SALDO INICIAL")*(MOVIMIENTOS!$C$5:$C$1005="M")*(MOVIMIENTOS!$D$5:$D$1005="jabas")*(MOVIMIENTOS!$A$5:$A$1005&lt;&gt;"")*(MOVIMIENTOS!$A$5:$A$1005&lt;=$A813)*MOVIMIENTOS!$E$5:$E$1005)+SUMPRODUCT((MOVIMIENTOS!$B$5:$B$1005="PROCESO")*(MOVIMIENTOS!$C$5:$C$1005="M")*(MOVIMIENTOS!$D$5:$D$1005="jabas")*(MOVIMIENTOS!$A$5:$A$1005&lt;&gt;"")*(MOVIMIENTOS!$A$5:$A$1005&lt;=$A813)*MOVIMIENTOS!$E$5:$E$1005)-SUMPRODUCT((MOVIMIENTOS!$B$5:$B$1005="ENVÍO A SUPESA")*(MOVIMIENTOS!$C$5:$C$1005="M")*(MOVIMIENTOS!$D$5:$D$1005="jabas")*(MOVIMIENTOS!$A$5:$A$1005&lt;&gt;"")*(MOVIMIENTOS!$A$5:$A$1005&lt;=$A813)*MOVIMIENTOS!$E$5:$E$1005)+SUMPRODUCT((MOVIMIENTOS!$B$5:$B$1005="DEVOLUCIÓN")*(MOVIMIENTOS!$C$5:$C$1005="M")*(MOVIMIENTOS!$D$5:$D$1005="jabas")*(MOVIMIENTOS!$A$5:$A$1005&lt;&gt;"")*(MOVIMIENTOS!$A$5:$A$1005&lt;=$A813)*MOVIMIENTOS!$E$5:$E$1005)-SUMPRODUCT((MOVIMIENTOS!$B$5:$B$1005="TRASIEGO")*(MOVIMIENTOS!$C$5:$C$1005="M")*(MOVIMIENTOS!$D$5:$D$1005="jabas")*(MOVIMIENTOS!$A$5:$A$1005&lt;&gt;"")*(MOVIMIENTOS!$A$5:$A$1005&lt;=$A813)*MOVIMIENTOS!$E$5:$E$1005)-SUMPRODUCT((MOVIMIENTOS!$B$5:$B$1005="REGALO")*(MOVIMIENTOS!$C$5:$C$1005="M")*(MOVIMIENTOS!$D$5:$D$1005="jabas")*(MOVIMIENTOS!$A$5:$A$1005&lt;&gt;"")*(MOVIMIENTOS!$A$5:$A$1005&lt;=$A813)*MOVIMIENTOS!$E$5:$E$1005)-SUMPRODUCT((MOVIMIENTOS!$B$5:$B$1005="VENTA")*(MOVIMIENTOS!$C$5:$C$1005="M")*(MOVIMIENTOS!$D$5:$D$1005="jabas")*(MOVIMIENTOS!$A$5:$A$1005&lt;&gt;"")*(MOVIMIENTOS!$A$5:$A$1005&lt;=$A813)*MOVIMIENTOS!$E$5:$E$1005)+SUMPRODUCT((MOVIMIENTOS!$B$5:$B$1005="AJUSTE")*(MOVIMIENTOS!$C$5:$C$1005="M")*(MOVIMIENTOS!$D$5:$D$1005="jabas")*(MOVIMIENTOS!$A$5:$A$1005&lt;&gt;"")*(MOVIMIENTOS!$A$5:$A$1005&lt;=$A813)*MOVIMIENTOS!$E$5:$E$1005))</f>
        <v/>
      </c>
      <c r="F813" s="62" t="str">
        <f>IF($A813="","",SUMPRODUCT((MOVIMIENTOS!$B$5:$B$1005="SALDO INICIAL")*(MOVIMIENTOS!$C$5:$C$1005="Chancho")*(MOVIMIENTOS!$D$5:$D$1005="sacos")*(MOVIMIENTOS!$A$5:$A$1005&lt;&gt;"")*(MOVIMIENTOS!$A$5:$A$1005&lt;=$A813)*MOVIMIENTOS!$E$5:$E$1005)+SUMPRODUCT((MOVIMIENTOS!$B$5:$B$1005="PROCESO")*(MOVIMIENTOS!$C$5:$C$1005="Chancho")*(MOVIMIENTOS!$D$5:$D$1005="sacos")*(MOVIMIENTOS!$A$5:$A$1005&lt;&gt;"")*(MOVIMIENTOS!$A$5:$A$1005&lt;=$A813)*MOVIMIENTOS!$E$5:$E$1005)-SUMPRODUCT((MOVIMIENTOS!$B$5:$B$1005="VENTA CHANCHO")*(MOVIMIENTOS!$C$5:$C$1005="Chancho")*(MOVIMIENTOS!$D$5:$D$1005="sacos")*(MOVIMIENTOS!$A$5:$A$1005&lt;&gt;"")*(MOVIMIENTOS!$A$5:$A$1005&lt;=$A813)*MOVIMIENTOS!$E$5:$E$1005)-SUMPRODUCT((MOVIMIENTOS!$B$5:$B$1005="REGALO")*(MOVIMIENTOS!$C$5:$C$1005="Chancho")*(MOVIMIENTOS!$D$5:$D$1005="sacos")*(MOVIMIENTOS!$A$5:$A$1005&lt;&gt;"")*(MOVIMIENTOS!$A$5:$A$1005&lt;=$A813)*MOVIMIENTOS!$E$5:$E$1005)-SUMPRODUCT((MOVIMIENTOS!$B$5:$B$1005="VENTA")*(MOVIMIENTOS!$C$5:$C$1005="Chancho")*(MOVIMIENTOS!$D$5:$D$1005="sacos")*(MOVIMIENTOS!$A$5:$A$1005&lt;&gt;"")*(MOVIMIENTOS!$A$5:$A$1005&lt;=$A813)*MOVIMIENTOS!$E$5:$E$1005)+SUMPRODUCT((MOVIMIENTOS!$B$5:$B$1005="AJUSTE")*(MOVIMIENTOS!$C$5:$C$1005="Chancho")*(MOVIMIENTOS!$D$5:$D$1005="sacos")*(MOVIMIENTOS!$A$5:$A$1005&lt;&gt;"")*(MOVIMIENTOS!$A$5:$A$1005&lt;=$A813)*MOVIMIENTOS!$E$5:$E$1005))</f>
        <v/>
      </c>
      <c r="G813" s="62" t="str">
        <f t="shared" si="25"/>
        <v/>
      </c>
      <c r="H813" t="str">
        <f>IF($A813="","",SUMPRODUCT((((MOVIMIENTOS!$B$5:$B$1005="SALDO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813)*MOVIMIENTOS!$J$5:$J$1005))</f>
        <v/>
      </c>
      <c r="J813" t="str">
        <f>IF(AND(MOVIMIENTOS!$A818&lt;&gt;"",COUNTIF(MOVIMIENTOS!$A$5:$A817,MOVIMIENTOS!$A818)=0),COUNT(J$4:J812)+1,"")</f>
        <v/>
      </c>
      <c r="K813">
        <f>MOVIMIENTOS!$A818</f>
        <v>0</v>
      </c>
    </row>
    <row r="814" spans="1:11" ht="15" customHeight="1" x14ac:dyDescent="0.2">
      <c r="A814" t="str">
        <f t="shared" si="24"/>
        <v/>
      </c>
      <c r="B814" t="str">
        <f>IF($A814="","",SUMPRODUCT((MOVIMIENTOS!$B$5:$B$1005="SALDO INICIAL")*(MOVIMIENTOS!$C$5:$C$1005="A")*(MOVIMIENTOS!$D$5:$D$1005="jabas")*(MOVIMIENTOS!$A$5:$A$1005&lt;&gt;"")*(MOVIMIENTOS!$A$5:$A$1005&lt;=$A814)*MOVIMIENTOS!$E$5:$E$1005)+SUMPRODUCT((MOVIMIENTOS!$B$5:$B$1005="PROCESO")*(MOVIMIENTOS!$C$5:$C$1005="A")*(MOVIMIENTOS!$D$5:$D$1005="jabas")*(MOVIMIENTOS!$A$5:$A$1005&lt;&gt;"")*(MOVIMIENTOS!$A$5:$A$1005&lt;=$A814)*MOVIMIENTOS!$E$5:$E$1005)-SUMPRODUCT((MOVIMIENTOS!$B$5:$B$1005="ENVÍO A SUPESA")*(MOVIMIENTOS!$C$5:$C$1005="A")*(MOVIMIENTOS!$D$5:$D$1005="jabas")*(MOVIMIENTOS!$A$5:$A$1005&lt;&gt;"")*(MOVIMIENTOS!$A$5:$A$1005&lt;=$A814)*MOVIMIENTOS!$E$5:$E$1005)+SUMPRODUCT((MOVIMIENTOS!$B$5:$B$1005="DEVOLUCIÓN")*(MOVIMIENTOS!$C$5:$C$1005="A")*(MOVIMIENTOS!$D$5:$D$1005="jabas")*(MOVIMIENTOS!$A$5:$A$1005&lt;&gt;"")*(MOVIMIENTOS!$A$5:$A$1005&lt;=$A814)*MOVIMIENTOS!$E$5:$E$1005)-SUMPRODUCT((MOVIMIENTOS!$B$5:$B$1005="TRASIEGO")*(MOVIMIENTOS!$C$5:$C$1005="A")*(MOVIMIENTOS!$D$5:$D$1005="jabas")*(MOVIMIENTOS!$A$5:$A$1005&lt;&gt;"")*(MOVIMIENTOS!$A$5:$A$1005&lt;=$A814)*MOVIMIENTOS!$E$5:$E$1005)-SUMPRODUCT((MOVIMIENTOS!$B$5:$B$1005="REGALO")*(MOVIMIENTOS!$C$5:$C$1005="A")*(MOVIMIENTOS!$D$5:$D$1005="jabas")*(MOVIMIENTOS!$A$5:$A$1005&lt;&gt;"")*(MOVIMIENTOS!$A$5:$A$1005&lt;=$A814)*MOVIMIENTOS!$E$5:$E$1005)-SUMPRODUCT((MOVIMIENTOS!$B$5:$B$1005="VENTA")*(MOVIMIENTOS!$C$5:$C$1005="A")*(MOVIMIENTOS!$D$5:$D$1005="jabas")*(MOVIMIENTOS!$A$5:$A$1005&lt;&gt;"")*(MOVIMIENTOS!$A$5:$A$1005&lt;=$A814)*MOVIMIENTOS!$E$5:$E$1005)+SUMPRODUCT((MOVIMIENTOS!$B$5:$B$1005="AJUSTE")*(MOVIMIENTOS!$C$5:$C$1005="A")*(MOVIMIENTOS!$D$5:$D$1005="jabas")*(MOVIMIENTOS!$A$5:$A$1005&lt;&gt;"")*(MOVIMIENTOS!$A$5:$A$1005&lt;=$A814)*MOVIMIENTOS!$E$5:$E$1005))</f>
        <v/>
      </c>
      <c r="C814" t="str">
        <f>IF($A814="","",SUMPRODUCT((MOVIMIENTOS!$B$5:$B$1005="SALDO INICIAL")*(MOVIMIENTOS!$C$5:$C$1005="P")*(MOVIMIENTOS!$D$5:$D$1005="jabas")*(MOVIMIENTOS!$A$5:$A$1005&lt;&gt;"")*(MOVIMIENTOS!$A$5:$A$1005&lt;=$A814)*MOVIMIENTOS!$E$5:$E$1005)+SUMPRODUCT((MOVIMIENTOS!$B$5:$B$1005="PROCESO")*(MOVIMIENTOS!$C$5:$C$1005="P")*(MOVIMIENTOS!$D$5:$D$1005="jabas")*(MOVIMIENTOS!$A$5:$A$1005&lt;&gt;"")*(MOVIMIENTOS!$A$5:$A$1005&lt;=$A814)*MOVIMIENTOS!$E$5:$E$1005)-SUMPRODUCT((MOVIMIENTOS!$B$5:$B$1005="ENVÍO A SUPESA")*(MOVIMIENTOS!$C$5:$C$1005="P")*(MOVIMIENTOS!$D$5:$D$1005="jabas")*(MOVIMIENTOS!$A$5:$A$1005&lt;&gt;"")*(MOVIMIENTOS!$A$5:$A$1005&lt;=$A814)*MOVIMIENTOS!$E$5:$E$1005)+SUMPRODUCT((MOVIMIENTOS!$B$5:$B$1005="DEVOLUCIÓN")*(MOVIMIENTOS!$C$5:$C$1005="P")*(MOVIMIENTOS!$D$5:$D$1005="jabas")*(MOVIMIENTOS!$A$5:$A$1005&lt;&gt;"")*(MOVIMIENTOS!$A$5:$A$1005&lt;=$A814)*MOVIMIENTOS!$E$5:$E$1005)-SUMPRODUCT((MOVIMIENTOS!$B$5:$B$1005="TRASIEGO")*(MOVIMIENTOS!$C$5:$C$1005="P")*(MOVIMIENTOS!$D$5:$D$1005="jabas")*(MOVIMIENTOS!$A$5:$A$1005&lt;&gt;"")*(MOVIMIENTOS!$A$5:$A$1005&lt;=$A814)*MOVIMIENTOS!$E$5:$E$1005)-SUMPRODUCT((MOVIMIENTOS!$B$5:$B$1005="REGALO")*(MOVIMIENTOS!$C$5:$C$1005="P")*(MOVIMIENTOS!$D$5:$D$1005="jabas")*(MOVIMIENTOS!$A$5:$A$1005&lt;&gt;"")*(MOVIMIENTOS!$A$5:$A$1005&lt;=$A814)*MOVIMIENTOS!$E$5:$E$1005)-SUMPRODUCT((MOVIMIENTOS!$B$5:$B$1005="VENTA")*(MOVIMIENTOS!$C$5:$C$1005="P")*(MOVIMIENTOS!$D$5:$D$1005="jabas")*(MOVIMIENTOS!$A$5:$A$1005&lt;&gt;"")*(MOVIMIENTOS!$A$5:$A$1005&lt;=$A814)*MOVIMIENTOS!$E$5:$E$1005)+SUMPRODUCT((MOVIMIENTOS!$B$5:$B$1005="AJUSTE")*(MOVIMIENTOS!$C$5:$C$1005="P")*(MOVIMIENTOS!$D$5:$D$1005="jabas")*(MOVIMIENTOS!$A$5:$A$1005&lt;&gt;"")*(MOVIMIENTOS!$A$5:$A$1005&lt;=$A814)*MOVIMIENTOS!$E$5:$E$1005))</f>
        <v/>
      </c>
      <c r="D814" t="str">
        <f>IF($A814="","",SUMPRODUCT((MOVIMIENTOS!$B$5:$B$1005="SALDO INICIAL")*(MOVIMIENTOS!$C$5:$C$1005="C")*(MOVIMIENTOS!$D$5:$D$1005="jabas")*(MOVIMIENTOS!$A$5:$A$1005&lt;&gt;"")*(MOVIMIENTOS!$A$5:$A$1005&lt;=$A814)*MOVIMIENTOS!$E$5:$E$1005)+SUMPRODUCT((MOVIMIENTOS!$B$5:$B$1005="PROCESO")*(MOVIMIENTOS!$C$5:$C$1005="C")*(MOVIMIENTOS!$D$5:$D$1005="jabas")*(MOVIMIENTOS!$A$5:$A$1005&lt;&gt;"")*(MOVIMIENTOS!$A$5:$A$1005&lt;=$A814)*MOVIMIENTOS!$E$5:$E$1005)-SUMPRODUCT((MOVIMIENTOS!$B$5:$B$1005="ENVÍO A SUPESA")*(MOVIMIENTOS!$C$5:$C$1005="C")*(MOVIMIENTOS!$D$5:$D$1005="jabas")*(MOVIMIENTOS!$A$5:$A$1005&lt;&gt;"")*(MOVIMIENTOS!$A$5:$A$1005&lt;=$A814)*MOVIMIENTOS!$E$5:$E$1005)+SUMPRODUCT((MOVIMIENTOS!$B$5:$B$1005="DEVOLUCIÓN")*(MOVIMIENTOS!$C$5:$C$1005="C")*(MOVIMIENTOS!$D$5:$D$1005="jabas")*(MOVIMIENTOS!$A$5:$A$1005&lt;&gt;"")*(MOVIMIENTOS!$A$5:$A$1005&lt;=$A814)*MOVIMIENTOS!$E$5:$E$1005)-SUMPRODUCT((MOVIMIENTOS!$B$5:$B$1005="TRASIEGO")*(MOVIMIENTOS!$C$5:$C$1005="C")*(MOVIMIENTOS!$D$5:$D$1005="jabas")*(MOVIMIENTOS!$A$5:$A$1005&lt;&gt;"")*(MOVIMIENTOS!$A$5:$A$1005&lt;=$A814)*MOVIMIENTOS!$E$5:$E$1005)-SUMPRODUCT((MOVIMIENTOS!$B$5:$B$1005="REGALO")*(MOVIMIENTOS!$C$5:$C$1005="C")*(MOVIMIENTOS!$D$5:$D$1005="jabas")*(MOVIMIENTOS!$A$5:$A$1005&lt;&gt;"")*(MOVIMIENTOS!$A$5:$A$1005&lt;=$A814)*MOVIMIENTOS!$E$5:$E$1005)-SUMPRODUCT((MOVIMIENTOS!$B$5:$B$1005="VENTA")*(MOVIMIENTOS!$C$5:$C$1005="C")*(MOVIMIENTOS!$D$5:$D$1005="jabas")*(MOVIMIENTOS!$A$5:$A$1005&lt;&gt;"")*(MOVIMIENTOS!$A$5:$A$1005&lt;=$A814)*MOVIMIENTOS!$E$5:$E$1005)+SUMPRODUCT((MOVIMIENTOS!$B$5:$B$1005="AJUSTE")*(MOVIMIENTOS!$C$5:$C$1005="C")*(MOVIMIENTOS!$D$5:$D$1005="jabas")*(MOVIMIENTOS!$A$5:$A$1005&lt;&gt;"")*(MOVIMIENTOS!$A$5:$A$1005&lt;=$A814)*MOVIMIENTOS!$E$5:$E$1005))</f>
        <v/>
      </c>
      <c r="E814" t="str">
        <f>IF($A814="","",SUMPRODUCT((MOVIMIENTOS!$B$5:$B$1005="SALDO INICIAL")*(MOVIMIENTOS!$C$5:$C$1005="M")*(MOVIMIENTOS!$D$5:$D$1005="jabas")*(MOVIMIENTOS!$A$5:$A$1005&lt;&gt;"")*(MOVIMIENTOS!$A$5:$A$1005&lt;=$A814)*MOVIMIENTOS!$E$5:$E$1005)+SUMPRODUCT((MOVIMIENTOS!$B$5:$B$1005="PROCESO")*(MOVIMIENTOS!$C$5:$C$1005="M")*(MOVIMIENTOS!$D$5:$D$1005="jabas")*(MOVIMIENTOS!$A$5:$A$1005&lt;&gt;"")*(MOVIMIENTOS!$A$5:$A$1005&lt;=$A814)*MOVIMIENTOS!$E$5:$E$1005)-SUMPRODUCT((MOVIMIENTOS!$B$5:$B$1005="ENVÍO A SUPESA")*(MOVIMIENTOS!$C$5:$C$1005="M")*(MOVIMIENTOS!$D$5:$D$1005="jabas")*(MOVIMIENTOS!$A$5:$A$1005&lt;&gt;"")*(MOVIMIENTOS!$A$5:$A$1005&lt;=$A814)*MOVIMIENTOS!$E$5:$E$1005)+SUMPRODUCT((MOVIMIENTOS!$B$5:$B$1005="DEVOLUCIÓN")*(MOVIMIENTOS!$C$5:$C$1005="M")*(MOVIMIENTOS!$D$5:$D$1005="jabas")*(MOVIMIENTOS!$A$5:$A$1005&lt;&gt;"")*(MOVIMIENTOS!$A$5:$A$1005&lt;=$A814)*MOVIMIENTOS!$E$5:$E$1005)-SUMPRODUCT((MOVIMIENTOS!$B$5:$B$1005="TRASIEGO")*(MOVIMIENTOS!$C$5:$C$1005="M")*(MOVIMIENTOS!$D$5:$D$1005="jabas")*(MOVIMIENTOS!$A$5:$A$1005&lt;&gt;"")*(MOVIMIENTOS!$A$5:$A$1005&lt;=$A814)*MOVIMIENTOS!$E$5:$E$1005)-SUMPRODUCT((MOVIMIENTOS!$B$5:$B$1005="REGALO")*(MOVIMIENTOS!$C$5:$C$1005="M")*(MOVIMIENTOS!$D$5:$D$1005="jabas")*(MOVIMIENTOS!$A$5:$A$1005&lt;&gt;"")*(MOVIMIENTOS!$A$5:$A$1005&lt;=$A814)*MOVIMIENTOS!$E$5:$E$1005)-SUMPRODUCT((MOVIMIENTOS!$B$5:$B$1005="VENTA")*(MOVIMIENTOS!$C$5:$C$1005="M")*(MOVIMIENTOS!$D$5:$D$1005="jabas")*(MOVIMIENTOS!$A$5:$A$1005&lt;&gt;"")*(MOVIMIENTOS!$A$5:$A$1005&lt;=$A814)*MOVIMIENTOS!$E$5:$E$1005)+SUMPRODUCT((MOVIMIENTOS!$B$5:$B$1005="AJUSTE")*(MOVIMIENTOS!$C$5:$C$1005="M")*(MOVIMIENTOS!$D$5:$D$1005="jabas")*(MOVIMIENTOS!$A$5:$A$1005&lt;&gt;"")*(MOVIMIENTOS!$A$5:$A$1005&lt;=$A814)*MOVIMIENTOS!$E$5:$E$1005))</f>
        <v/>
      </c>
      <c r="F814" s="62" t="str">
        <f>IF($A814="","",SUMPRODUCT((MOVIMIENTOS!$B$5:$B$1005="SALDO INICIAL")*(MOVIMIENTOS!$C$5:$C$1005="Chancho")*(MOVIMIENTOS!$D$5:$D$1005="sacos")*(MOVIMIENTOS!$A$5:$A$1005&lt;&gt;"")*(MOVIMIENTOS!$A$5:$A$1005&lt;=$A814)*MOVIMIENTOS!$E$5:$E$1005)+SUMPRODUCT((MOVIMIENTOS!$B$5:$B$1005="PROCESO")*(MOVIMIENTOS!$C$5:$C$1005="Chancho")*(MOVIMIENTOS!$D$5:$D$1005="sacos")*(MOVIMIENTOS!$A$5:$A$1005&lt;&gt;"")*(MOVIMIENTOS!$A$5:$A$1005&lt;=$A814)*MOVIMIENTOS!$E$5:$E$1005)-SUMPRODUCT((MOVIMIENTOS!$B$5:$B$1005="VENTA CHANCHO")*(MOVIMIENTOS!$C$5:$C$1005="Chancho")*(MOVIMIENTOS!$D$5:$D$1005="sacos")*(MOVIMIENTOS!$A$5:$A$1005&lt;&gt;"")*(MOVIMIENTOS!$A$5:$A$1005&lt;=$A814)*MOVIMIENTOS!$E$5:$E$1005)-SUMPRODUCT((MOVIMIENTOS!$B$5:$B$1005="REGALO")*(MOVIMIENTOS!$C$5:$C$1005="Chancho")*(MOVIMIENTOS!$D$5:$D$1005="sacos")*(MOVIMIENTOS!$A$5:$A$1005&lt;&gt;"")*(MOVIMIENTOS!$A$5:$A$1005&lt;=$A814)*MOVIMIENTOS!$E$5:$E$1005)-SUMPRODUCT((MOVIMIENTOS!$B$5:$B$1005="VENTA")*(MOVIMIENTOS!$C$5:$C$1005="Chancho")*(MOVIMIENTOS!$D$5:$D$1005="sacos")*(MOVIMIENTOS!$A$5:$A$1005&lt;&gt;"")*(MOVIMIENTOS!$A$5:$A$1005&lt;=$A814)*MOVIMIENTOS!$E$5:$E$1005)+SUMPRODUCT((MOVIMIENTOS!$B$5:$B$1005="AJUSTE")*(MOVIMIENTOS!$C$5:$C$1005="Chancho")*(MOVIMIENTOS!$D$5:$D$1005="sacos")*(MOVIMIENTOS!$A$5:$A$1005&lt;&gt;"")*(MOVIMIENTOS!$A$5:$A$1005&lt;=$A814)*MOVIMIENTOS!$E$5:$E$1005))</f>
        <v/>
      </c>
      <c r="G814" s="62" t="str">
        <f t="shared" si="25"/>
        <v/>
      </c>
      <c r="H814" t="str">
        <f>IF($A814="","",SUMPRODUCT((((MOVIMIENTOS!$B$5:$B$1005="SALDO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814)*MOVIMIENTOS!$J$5:$J$1005))</f>
        <v/>
      </c>
      <c r="J814" t="str">
        <f>IF(AND(MOVIMIENTOS!$A819&lt;&gt;"",COUNTIF(MOVIMIENTOS!$A$5:$A818,MOVIMIENTOS!$A819)=0),COUNT(J$4:J813)+1,"")</f>
        <v/>
      </c>
      <c r="K814">
        <f>MOVIMIENTOS!$A819</f>
        <v>0</v>
      </c>
    </row>
    <row r="815" spans="1:11" ht="15" customHeight="1" x14ac:dyDescent="0.2">
      <c r="A815" t="str">
        <f t="shared" si="24"/>
        <v/>
      </c>
      <c r="B815" t="str">
        <f>IF($A815="","",SUMPRODUCT((MOVIMIENTOS!$B$5:$B$1005="SALDO INICIAL")*(MOVIMIENTOS!$C$5:$C$1005="A")*(MOVIMIENTOS!$D$5:$D$1005="jabas")*(MOVIMIENTOS!$A$5:$A$1005&lt;&gt;"")*(MOVIMIENTOS!$A$5:$A$1005&lt;=$A815)*MOVIMIENTOS!$E$5:$E$1005)+SUMPRODUCT((MOVIMIENTOS!$B$5:$B$1005="PROCESO")*(MOVIMIENTOS!$C$5:$C$1005="A")*(MOVIMIENTOS!$D$5:$D$1005="jabas")*(MOVIMIENTOS!$A$5:$A$1005&lt;&gt;"")*(MOVIMIENTOS!$A$5:$A$1005&lt;=$A815)*MOVIMIENTOS!$E$5:$E$1005)-SUMPRODUCT((MOVIMIENTOS!$B$5:$B$1005="ENVÍO A SUPESA")*(MOVIMIENTOS!$C$5:$C$1005="A")*(MOVIMIENTOS!$D$5:$D$1005="jabas")*(MOVIMIENTOS!$A$5:$A$1005&lt;&gt;"")*(MOVIMIENTOS!$A$5:$A$1005&lt;=$A815)*MOVIMIENTOS!$E$5:$E$1005)+SUMPRODUCT((MOVIMIENTOS!$B$5:$B$1005="DEVOLUCIÓN")*(MOVIMIENTOS!$C$5:$C$1005="A")*(MOVIMIENTOS!$D$5:$D$1005="jabas")*(MOVIMIENTOS!$A$5:$A$1005&lt;&gt;"")*(MOVIMIENTOS!$A$5:$A$1005&lt;=$A815)*MOVIMIENTOS!$E$5:$E$1005)-SUMPRODUCT((MOVIMIENTOS!$B$5:$B$1005="TRASIEGO")*(MOVIMIENTOS!$C$5:$C$1005="A")*(MOVIMIENTOS!$D$5:$D$1005="jabas")*(MOVIMIENTOS!$A$5:$A$1005&lt;&gt;"")*(MOVIMIENTOS!$A$5:$A$1005&lt;=$A815)*MOVIMIENTOS!$E$5:$E$1005)-SUMPRODUCT((MOVIMIENTOS!$B$5:$B$1005="REGALO")*(MOVIMIENTOS!$C$5:$C$1005="A")*(MOVIMIENTOS!$D$5:$D$1005="jabas")*(MOVIMIENTOS!$A$5:$A$1005&lt;&gt;"")*(MOVIMIENTOS!$A$5:$A$1005&lt;=$A815)*MOVIMIENTOS!$E$5:$E$1005)-SUMPRODUCT((MOVIMIENTOS!$B$5:$B$1005="VENTA")*(MOVIMIENTOS!$C$5:$C$1005="A")*(MOVIMIENTOS!$D$5:$D$1005="jabas")*(MOVIMIENTOS!$A$5:$A$1005&lt;&gt;"")*(MOVIMIENTOS!$A$5:$A$1005&lt;=$A815)*MOVIMIENTOS!$E$5:$E$1005)+SUMPRODUCT((MOVIMIENTOS!$B$5:$B$1005="AJUSTE")*(MOVIMIENTOS!$C$5:$C$1005="A")*(MOVIMIENTOS!$D$5:$D$1005="jabas")*(MOVIMIENTOS!$A$5:$A$1005&lt;&gt;"")*(MOVIMIENTOS!$A$5:$A$1005&lt;=$A815)*MOVIMIENTOS!$E$5:$E$1005))</f>
        <v/>
      </c>
      <c r="C815" t="str">
        <f>IF($A815="","",SUMPRODUCT((MOVIMIENTOS!$B$5:$B$1005="SALDO INICIAL")*(MOVIMIENTOS!$C$5:$C$1005="P")*(MOVIMIENTOS!$D$5:$D$1005="jabas")*(MOVIMIENTOS!$A$5:$A$1005&lt;&gt;"")*(MOVIMIENTOS!$A$5:$A$1005&lt;=$A815)*MOVIMIENTOS!$E$5:$E$1005)+SUMPRODUCT((MOVIMIENTOS!$B$5:$B$1005="PROCESO")*(MOVIMIENTOS!$C$5:$C$1005="P")*(MOVIMIENTOS!$D$5:$D$1005="jabas")*(MOVIMIENTOS!$A$5:$A$1005&lt;&gt;"")*(MOVIMIENTOS!$A$5:$A$1005&lt;=$A815)*MOVIMIENTOS!$E$5:$E$1005)-SUMPRODUCT((MOVIMIENTOS!$B$5:$B$1005="ENVÍO A SUPESA")*(MOVIMIENTOS!$C$5:$C$1005="P")*(MOVIMIENTOS!$D$5:$D$1005="jabas")*(MOVIMIENTOS!$A$5:$A$1005&lt;&gt;"")*(MOVIMIENTOS!$A$5:$A$1005&lt;=$A815)*MOVIMIENTOS!$E$5:$E$1005)+SUMPRODUCT((MOVIMIENTOS!$B$5:$B$1005="DEVOLUCIÓN")*(MOVIMIENTOS!$C$5:$C$1005="P")*(MOVIMIENTOS!$D$5:$D$1005="jabas")*(MOVIMIENTOS!$A$5:$A$1005&lt;&gt;"")*(MOVIMIENTOS!$A$5:$A$1005&lt;=$A815)*MOVIMIENTOS!$E$5:$E$1005)-SUMPRODUCT((MOVIMIENTOS!$B$5:$B$1005="TRASIEGO")*(MOVIMIENTOS!$C$5:$C$1005="P")*(MOVIMIENTOS!$D$5:$D$1005="jabas")*(MOVIMIENTOS!$A$5:$A$1005&lt;&gt;"")*(MOVIMIENTOS!$A$5:$A$1005&lt;=$A815)*MOVIMIENTOS!$E$5:$E$1005)-SUMPRODUCT((MOVIMIENTOS!$B$5:$B$1005="REGALO")*(MOVIMIENTOS!$C$5:$C$1005="P")*(MOVIMIENTOS!$D$5:$D$1005="jabas")*(MOVIMIENTOS!$A$5:$A$1005&lt;&gt;"")*(MOVIMIENTOS!$A$5:$A$1005&lt;=$A815)*MOVIMIENTOS!$E$5:$E$1005)-SUMPRODUCT((MOVIMIENTOS!$B$5:$B$1005="VENTA")*(MOVIMIENTOS!$C$5:$C$1005="P")*(MOVIMIENTOS!$D$5:$D$1005="jabas")*(MOVIMIENTOS!$A$5:$A$1005&lt;&gt;"")*(MOVIMIENTOS!$A$5:$A$1005&lt;=$A815)*MOVIMIENTOS!$E$5:$E$1005)+SUMPRODUCT((MOVIMIENTOS!$B$5:$B$1005="AJUSTE")*(MOVIMIENTOS!$C$5:$C$1005="P")*(MOVIMIENTOS!$D$5:$D$1005="jabas")*(MOVIMIENTOS!$A$5:$A$1005&lt;&gt;"")*(MOVIMIENTOS!$A$5:$A$1005&lt;=$A815)*MOVIMIENTOS!$E$5:$E$1005))</f>
        <v/>
      </c>
      <c r="D815" t="str">
        <f>IF($A815="","",SUMPRODUCT((MOVIMIENTOS!$B$5:$B$1005="SALDO INICIAL")*(MOVIMIENTOS!$C$5:$C$1005="C")*(MOVIMIENTOS!$D$5:$D$1005="jabas")*(MOVIMIENTOS!$A$5:$A$1005&lt;&gt;"")*(MOVIMIENTOS!$A$5:$A$1005&lt;=$A815)*MOVIMIENTOS!$E$5:$E$1005)+SUMPRODUCT((MOVIMIENTOS!$B$5:$B$1005="PROCESO")*(MOVIMIENTOS!$C$5:$C$1005="C")*(MOVIMIENTOS!$D$5:$D$1005="jabas")*(MOVIMIENTOS!$A$5:$A$1005&lt;&gt;"")*(MOVIMIENTOS!$A$5:$A$1005&lt;=$A815)*MOVIMIENTOS!$E$5:$E$1005)-SUMPRODUCT((MOVIMIENTOS!$B$5:$B$1005="ENVÍO A SUPESA")*(MOVIMIENTOS!$C$5:$C$1005="C")*(MOVIMIENTOS!$D$5:$D$1005="jabas")*(MOVIMIENTOS!$A$5:$A$1005&lt;&gt;"")*(MOVIMIENTOS!$A$5:$A$1005&lt;=$A815)*MOVIMIENTOS!$E$5:$E$1005)+SUMPRODUCT((MOVIMIENTOS!$B$5:$B$1005="DEVOLUCIÓN")*(MOVIMIENTOS!$C$5:$C$1005="C")*(MOVIMIENTOS!$D$5:$D$1005="jabas")*(MOVIMIENTOS!$A$5:$A$1005&lt;&gt;"")*(MOVIMIENTOS!$A$5:$A$1005&lt;=$A815)*MOVIMIENTOS!$E$5:$E$1005)-SUMPRODUCT((MOVIMIENTOS!$B$5:$B$1005="TRASIEGO")*(MOVIMIENTOS!$C$5:$C$1005="C")*(MOVIMIENTOS!$D$5:$D$1005="jabas")*(MOVIMIENTOS!$A$5:$A$1005&lt;&gt;"")*(MOVIMIENTOS!$A$5:$A$1005&lt;=$A815)*MOVIMIENTOS!$E$5:$E$1005)-SUMPRODUCT((MOVIMIENTOS!$B$5:$B$1005="REGALO")*(MOVIMIENTOS!$C$5:$C$1005="C")*(MOVIMIENTOS!$D$5:$D$1005="jabas")*(MOVIMIENTOS!$A$5:$A$1005&lt;&gt;"")*(MOVIMIENTOS!$A$5:$A$1005&lt;=$A815)*MOVIMIENTOS!$E$5:$E$1005)-SUMPRODUCT((MOVIMIENTOS!$B$5:$B$1005="VENTA")*(MOVIMIENTOS!$C$5:$C$1005="C")*(MOVIMIENTOS!$D$5:$D$1005="jabas")*(MOVIMIENTOS!$A$5:$A$1005&lt;&gt;"")*(MOVIMIENTOS!$A$5:$A$1005&lt;=$A815)*MOVIMIENTOS!$E$5:$E$1005)+SUMPRODUCT((MOVIMIENTOS!$B$5:$B$1005="AJUSTE")*(MOVIMIENTOS!$C$5:$C$1005="C")*(MOVIMIENTOS!$D$5:$D$1005="jabas")*(MOVIMIENTOS!$A$5:$A$1005&lt;&gt;"")*(MOVIMIENTOS!$A$5:$A$1005&lt;=$A815)*MOVIMIENTOS!$E$5:$E$1005))</f>
        <v/>
      </c>
      <c r="E815" t="str">
        <f>IF($A815="","",SUMPRODUCT((MOVIMIENTOS!$B$5:$B$1005="SALDO INICIAL")*(MOVIMIENTOS!$C$5:$C$1005="M")*(MOVIMIENTOS!$D$5:$D$1005="jabas")*(MOVIMIENTOS!$A$5:$A$1005&lt;&gt;"")*(MOVIMIENTOS!$A$5:$A$1005&lt;=$A815)*MOVIMIENTOS!$E$5:$E$1005)+SUMPRODUCT((MOVIMIENTOS!$B$5:$B$1005="PROCESO")*(MOVIMIENTOS!$C$5:$C$1005="M")*(MOVIMIENTOS!$D$5:$D$1005="jabas")*(MOVIMIENTOS!$A$5:$A$1005&lt;&gt;"")*(MOVIMIENTOS!$A$5:$A$1005&lt;=$A815)*MOVIMIENTOS!$E$5:$E$1005)-SUMPRODUCT((MOVIMIENTOS!$B$5:$B$1005="ENVÍO A SUPESA")*(MOVIMIENTOS!$C$5:$C$1005="M")*(MOVIMIENTOS!$D$5:$D$1005="jabas")*(MOVIMIENTOS!$A$5:$A$1005&lt;&gt;"")*(MOVIMIENTOS!$A$5:$A$1005&lt;=$A815)*MOVIMIENTOS!$E$5:$E$1005)+SUMPRODUCT((MOVIMIENTOS!$B$5:$B$1005="DEVOLUCIÓN")*(MOVIMIENTOS!$C$5:$C$1005="M")*(MOVIMIENTOS!$D$5:$D$1005="jabas")*(MOVIMIENTOS!$A$5:$A$1005&lt;&gt;"")*(MOVIMIENTOS!$A$5:$A$1005&lt;=$A815)*MOVIMIENTOS!$E$5:$E$1005)-SUMPRODUCT((MOVIMIENTOS!$B$5:$B$1005="TRASIEGO")*(MOVIMIENTOS!$C$5:$C$1005="M")*(MOVIMIENTOS!$D$5:$D$1005="jabas")*(MOVIMIENTOS!$A$5:$A$1005&lt;&gt;"")*(MOVIMIENTOS!$A$5:$A$1005&lt;=$A815)*MOVIMIENTOS!$E$5:$E$1005)-SUMPRODUCT((MOVIMIENTOS!$B$5:$B$1005="REGALO")*(MOVIMIENTOS!$C$5:$C$1005="M")*(MOVIMIENTOS!$D$5:$D$1005="jabas")*(MOVIMIENTOS!$A$5:$A$1005&lt;&gt;"")*(MOVIMIENTOS!$A$5:$A$1005&lt;=$A815)*MOVIMIENTOS!$E$5:$E$1005)-SUMPRODUCT((MOVIMIENTOS!$B$5:$B$1005="VENTA")*(MOVIMIENTOS!$C$5:$C$1005="M")*(MOVIMIENTOS!$D$5:$D$1005="jabas")*(MOVIMIENTOS!$A$5:$A$1005&lt;&gt;"")*(MOVIMIENTOS!$A$5:$A$1005&lt;=$A815)*MOVIMIENTOS!$E$5:$E$1005)+SUMPRODUCT((MOVIMIENTOS!$B$5:$B$1005="AJUSTE")*(MOVIMIENTOS!$C$5:$C$1005="M")*(MOVIMIENTOS!$D$5:$D$1005="jabas")*(MOVIMIENTOS!$A$5:$A$1005&lt;&gt;"")*(MOVIMIENTOS!$A$5:$A$1005&lt;=$A815)*MOVIMIENTOS!$E$5:$E$1005))</f>
        <v/>
      </c>
      <c r="F815" s="62" t="str">
        <f>IF($A815="","",SUMPRODUCT((MOVIMIENTOS!$B$5:$B$1005="SALDO INICIAL")*(MOVIMIENTOS!$C$5:$C$1005="Chancho")*(MOVIMIENTOS!$D$5:$D$1005="sacos")*(MOVIMIENTOS!$A$5:$A$1005&lt;&gt;"")*(MOVIMIENTOS!$A$5:$A$1005&lt;=$A815)*MOVIMIENTOS!$E$5:$E$1005)+SUMPRODUCT((MOVIMIENTOS!$B$5:$B$1005="PROCESO")*(MOVIMIENTOS!$C$5:$C$1005="Chancho")*(MOVIMIENTOS!$D$5:$D$1005="sacos")*(MOVIMIENTOS!$A$5:$A$1005&lt;&gt;"")*(MOVIMIENTOS!$A$5:$A$1005&lt;=$A815)*MOVIMIENTOS!$E$5:$E$1005)-SUMPRODUCT((MOVIMIENTOS!$B$5:$B$1005="VENTA CHANCHO")*(MOVIMIENTOS!$C$5:$C$1005="Chancho")*(MOVIMIENTOS!$D$5:$D$1005="sacos")*(MOVIMIENTOS!$A$5:$A$1005&lt;&gt;"")*(MOVIMIENTOS!$A$5:$A$1005&lt;=$A815)*MOVIMIENTOS!$E$5:$E$1005)-SUMPRODUCT((MOVIMIENTOS!$B$5:$B$1005="REGALO")*(MOVIMIENTOS!$C$5:$C$1005="Chancho")*(MOVIMIENTOS!$D$5:$D$1005="sacos")*(MOVIMIENTOS!$A$5:$A$1005&lt;&gt;"")*(MOVIMIENTOS!$A$5:$A$1005&lt;=$A815)*MOVIMIENTOS!$E$5:$E$1005)-SUMPRODUCT((MOVIMIENTOS!$B$5:$B$1005="VENTA")*(MOVIMIENTOS!$C$5:$C$1005="Chancho")*(MOVIMIENTOS!$D$5:$D$1005="sacos")*(MOVIMIENTOS!$A$5:$A$1005&lt;&gt;"")*(MOVIMIENTOS!$A$5:$A$1005&lt;=$A815)*MOVIMIENTOS!$E$5:$E$1005)+SUMPRODUCT((MOVIMIENTOS!$B$5:$B$1005="AJUSTE")*(MOVIMIENTOS!$C$5:$C$1005="Chancho")*(MOVIMIENTOS!$D$5:$D$1005="sacos")*(MOVIMIENTOS!$A$5:$A$1005&lt;&gt;"")*(MOVIMIENTOS!$A$5:$A$1005&lt;=$A815)*MOVIMIENTOS!$E$5:$E$1005))</f>
        <v/>
      </c>
      <c r="G815" s="62" t="str">
        <f t="shared" si="25"/>
        <v/>
      </c>
      <c r="H815" t="str">
        <f>IF($A815="","",SUMPRODUCT((((MOVIMIENTOS!$B$5:$B$1005="SALDO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815)*MOVIMIENTOS!$J$5:$J$1005))</f>
        <v/>
      </c>
      <c r="J815" t="str">
        <f>IF(AND(MOVIMIENTOS!$A820&lt;&gt;"",COUNTIF(MOVIMIENTOS!$A$5:$A819,MOVIMIENTOS!$A820)=0),COUNT(J$4:J814)+1,"")</f>
        <v/>
      </c>
      <c r="K815">
        <f>MOVIMIENTOS!$A820</f>
        <v>0</v>
      </c>
    </row>
    <row r="816" spans="1:11" ht="15" customHeight="1" x14ac:dyDescent="0.2">
      <c r="A816" t="str">
        <f t="shared" si="24"/>
        <v/>
      </c>
      <c r="B816" t="str">
        <f>IF($A816="","",SUMPRODUCT((MOVIMIENTOS!$B$5:$B$1005="SALDO INICIAL")*(MOVIMIENTOS!$C$5:$C$1005="A")*(MOVIMIENTOS!$D$5:$D$1005="jabas")*(MOVIMIENTOS!$A$5:$A$1005&lt;&gt;"")*(MOVIMIENTOS!$A$5:$A$1005&lt;=$A816)*MOVIMIENTOS!$E$5:$E$1005)+SUMPRODUCT((MOVIMIENTOS!$B$5:$B$1005="PROCESO")*(MOVIMIENTOS!$C$5:$C$1005="A")*(MOVIMIENTOS!$D$5:$D$1005="jabas")*(MOVIMIENTOS!$A$5:$A$1005&lt;&gt;"")*(MOVIMIENTOS!$A$5:$A$1005&lt;=$A816)*MOVIMIENTOS!$E$5:$E$1005)-SUMPRODUCT((MOVIMIENTOS!$B$5:$B$1005="ENVÍO A SUPESA")*(MOVIMIENTOS!$C$5:$C$1005="A")*(MOVIMIENTOS!$D$5:$D$1005="jabas")*(MOVIMIENTOS!$A$5:$A$1005&lt;&gt;"")*(MOVIMIENTOS!$A$5:$A$1005&lt;=$A816)*MOVIMIENTOS!$E$5:$E$1005)+SUMPRODUCT((MOVIMIENTOS!$B$5:$B$1005="DEVOLUCIÓN")*(MOVIMIENTOS!$C$5:$C$1005="A")*(MOVIMIENTOS!$D$5:$D$1005="jabas")*(MOVIMIENTOS!$A$5:$A$1005&lt;&gt;"")*(MOVIMIENTOS!$A$5:$A$1005&lt;=$A816)*MOVIMIENTOS!$E$5:$E$1005)-SUMPRODUCT((MOVIMIENTOS!$B$5:$B$1005="TRASIEGO")*(MOVIMIENTOS!$C$5:$C$1005="A")*(MOVIMIENTOS!$D$5:$D$1005="jabas")*(MOVIMIENTOS!$A$5:$A$1005&lt;&gt;"")*(MOVIMIENTOS!$A$5:$A$1005&lt;=$A816)*MOVIMIENTOS!$E$5:$E$1005)-SUMPRODUCT((MOVIMIENTOS!$B$5:$B$1005="REGALO")*(MOVIMIENTOS!$C$5:$C$1005="A")*(MOVIMIENTOS!$D$5:$D$1005="jabas")*(MOVIMIENTOS!$A$5:$A$1005&lt;&gt;"")*(MOVIMIENTOS!$A$5:$A$1005&lt;=$A816)*MOVIMIENTOS!$E$5:$E$1005)-SUMPRODUCT((MOVIMIENTOS!$B$5:$B$1005="VENTA")*(MOVIMIENTOS!$C$5:$C$1005="A")*(MOVIMIENTOS!$D$5:$D$1005="jabas")*(MOVIMIENTOS!$A$5:$A$1005&lt;&gt;"")*(MOVIMIENTOS!$A$5:$A$1005&lt;=$A816)*MOVIMIENTOS!$E$5:$E$1005)+SUMPRODUCT((MOVIMIENTOS!$B$5:$B$1005="AJUSTE")*(MOVIMIENTOS!$C$5:$C$1005="A")*(MOVIMIENTOS!$D$5:$D$1005="jabas")*(MOVIMIENTOS!$A$5:$A$1005&lt;&gt;"")*(MOVIMIENTOS!$A$5:$A$1005&lt;=$A816)*MOVIMIENTOS!$E$5:$E$1005))</f>
        <v/>
      </c>
      <c r="C816" t="str">
        <f>IF($A816="","",SUMPRODUCT((MOVIMIENTOS!$B$5:$B$1005="SALDO INICIAL")*(MOVIMIENTOS!$C$5:$C$1005="P")*(MOVIMIENTOS!$D$5:$D$1005="jabas")*(MOVIMIENTOS!$A$5:$A$1005&lt;&gt;"")*(MOVIMIENTOS!$A$5:$A$1005&lt;=$A816)*MOVIMIENTOS!$E$5:$E$1005)+SUMPRODUCT((MOVIMIENTOS!$B$5:$B$1005="PROCESO")*(MOVIMIENTOS!$C$5:$C$1005="P")*(MOVIMIENTOS!$D$5:$D$1005="jabas")*(MOVIMIENTOS!$A$5:$A$1005&lt;&gt;"")*(MOVIMIENTOS!$A$5:$A$1005&lt;=$A816)*MOVIMIENTOS!$E$5:$E$1005)-SUMPRODUCT((MOVIMIENTOS!$B$5:$B$1005="ENVÍO A SUPESA")*(MOVIMIENTOS!$C$5:$C$1005="P")*(MOVIMIENTOS!$D$5:$D$1005="jabas")*(MOVIMIENTOS!$A$5:$A$1005&lt;&gt;"")*(MOVIMIENTOS!$A$5:$A$1005&lt;=$A816)*MOVIMIENTOS!$E$5:$E$1005)+SUMPRODUCT((MOVIMIENTOS!$B$5:$B$1005="DEVOLUCIÓN")*(MOVIMIENTOS!$C$5:$C$1005="P")*(MOVIMIENTOS!$D$5:$D$1005="jabas")*(MOVIMIENTOS!$A$5:$A$1005&lt;&gt;"")*(MOVIMIENTOS!$A$5:$A$1005&lt;=$A816)*MOVIMIENTOS!$E$5:$E$1005)-SUMPRODUCT((MOVIMIENTOS!$B$5:$B$1005="TRASIEGO")*(MOVIMIENTOS!$C$5:$C$1005="P")*(MOVIMIENTOS!$D$5:$D$1005="jabas")*(MOVIMIENTOS!$A$5:$A$1005&lt;&gt;"")*(MOVIMIENTOS!$A$5:$A$1005&lt;=$A816)*MOVIMIENTOS!$E$5:$E$1005)-SUMPRODUCT((MOVIMIENTOS!$B$5:$B$1005="REGALO")*(MOVIMIENTOS!$C$5:$C$1005="P")*(MOVIMIENTOS!$D$5:$D$1005="jabas")*(MOVIMIENTOS!$A$5:$A$1005&lt;&gt;"")*(MOVIMIENTOS!$A$5:$A$1005&lt;=$A816)*MOVIMIENTOS!$E$5:$E$1005)-SUMPRODUCT((MOVIMIENTOS!$B$5:$B$1005="VENTA")*(MOVIMIENTOS!$C$5:$C$1005="P")*(MOVIMIENTOS!$D$5:$D$1005="jabas")*(MOVIMIENTOS!$A$5:$A$1005&lt;&gt;"")*(MOVIMIENTOS!$A$5:$A$1005&lt;=$A816)*MOVIMIENTOS!$E$5:$E$1005)+SUMPRODUCT((MOVIMIENTOS!$B$5:$B$1005="AJUSTE")*(MOVIMIENTOS!$C$5:$C$1005="P")*(MOVIMIENTOS!$D$5:$D$1005="jabas")*(MOVIMIENTOS!$A$5:$A$1005&lt;&gt;"")*(MOVIMIENTOS!$A$5:$A$1005&lt;=$A816)*MOVIMIENTOS!$E$5:$E$1005))</f>
        <v/>
      </c>
      <c r="D816" t="str">
        <f>IF($A816="","",SUMPRODUCT((MOVIMIENTOS!$B$5:$B$1005="SALDO INICIAL")*(MOVIMIENTOS!$C$5:$C$1005="C")*(MOVIMIENTOS!$D$5:$D$1005="jabas")*(MOVIMIENTOS!$A$5:$A$1005&lt;&gt;"")*(MOVIMIENTOS!$A$5:$A$1005&lt;=$A816)*MOVIMIENTOS!$E$5:$E$1005)+SUMPRODUCT((MOVIMIENTOS!$B$5:$B$1005="PROCESO")*(MOVIMIENTOS!$C$5:$C$1005="C")*(MOVIMIENTOS!$D$5:$D$1005="jabas")*(MOVIMIENTOS!$A$5:$A$1005&lt;&gt;"")*(MOVIMIENTOS!$A$5:$A$1005&lt;=$A816)*MOVIMIENTOS!$E$5:$E$1005)-SUMPRODUCT((MOVIMIENTOS!$B$5:$B$1005="ENVÍO A SUPESA")*(MOVIMIENTOS!$C$5:$C$1005="C")*(MOVIMIENTOS!$D$5:$D$1005="jabas")*(MOVIMIENTOS!$A$5:$A$1005&lt;&gt;"")*(MOVIMIENTOS!$A$5:$A$1005&lt;=$A816)*MOVIMIENTOS!$E$5:$E$1005)+SUMPRODUCT((MOVIMIENTOS!$B$5:$B$1005="DEVOLUCIÓN")*(MOVIMIENTOS!$C$5:$C$1005="C")*(MOVIMIENTOS!$D$5:$D$1005="jabas")*(MOVIMIENTOS!$A$5:$A$1005&lt;&gt;"")*(MOVIMIENTOS!$A$5:$A$1005&lt;=$A816)*MOVIMIENTOS!$E$5:$E$1005)-SUMPRODUCT((MOVIMIENTOS!$B$5:$B$1005="TRASIEGO")*(MOVIMIENTOS!$C$5:$C$1005="C")*(MOVIMIENTOS!$D$5:$D$1005="jabas")*(MOVIMIENTOS!$A$5:$A$1005&lt;&gt;"")*(MOVIMIENTOS!$A$5:$A$1005&lt;=$A816)*MOVIMIENTOS!$E$5:$E$1005)-SUMPRODUCT((MOVIMIENTOS!$B$5:$B$1005="REGALO")*(MOVIMIENTOS!$C$5:$C$1005="C")*(MOVIMIENTOS!$D$5:$D$1005="jabas")*(MOVIMIENTOS!$A$5:$A$1005&lt;&gt;"")*(MOVIMIENTOS!$A$5:$A$1005&lt;=$A816)*MOVIMIENTOS!$E$5:$E$1005)-SUMPRODUCT((MOVIMIENTOS!$B$5:$B$1005="VENTA")*(MOVIMIENTOS!$C$5:$C$1005="C")*(MOVIMIENTOS!$D$5:$D$1005="jabas")*(MOVIMIENTOS!$A$5:$A$1005&lt;&gt;"")*(MOVIMIENTOS!$A$5:$A$1005&lt;=$A816)*MOVIMIENTOS!$E$5:$E$1005)+SUMPRODUCT((MOVIMIENTOS!$B$5:$B$1005="AJUSTE")*(MOVIMIENTOS!$C$5:$C$1005="C")*(MOVIMIENTOS!$D$5:$D$1005="jabas")*(MOVIMIENTOS!$A$5:$A$1005&lt;&gt;"")*(MOVIMIENTOS!$A$5:$A$1005&lt;=$A816)*MOVIMIENTOS!$E$5:$E$1005))</f>
        <v/>
      </c>
      <c r="E816" t="str">
        <f>IF($A816="","",SUMPRODUCT((MOVIMIENTOS!$B$5:$B$1005="SALDO INICIAL")*(MOVIMIENTOS!$C$5:$C$1005="M")*(MOVIMIENTOS!$D$5:$D$1005="jabas")*(MOVIMIENTOS!$A$5:$A$1005&lt;&gt;"")*(MOVIMIENTOS!$A$5:$A$1005&lt;=$A816)*MOVIMIENTOS!$E$5:$E$1005)+SUMPRODUCT((MOVIMIENTOS!$B$5:$B$1005="PROCESO")*(MOVIMIENTOS!$C$5:$C$1005="M")*(MOVIMIENTOS!$D$5:$D$1005="jabas")*(MOVIMIENTOS!$A$5:$A$1005&lt;&gt;"")*(MOVIMIENTOS!$A$5:$A$1005&lt;=$A816)*MOVIMIENTOS!$E$5:$E$1005)-SUMPRODUCT((MOVIMIENTOS!$B$5:$B$1005="ENVÍO A SUPESA")*(MOVIMIENTOS!$C$5:$C$1005="M")*(MOVIMIENTOS!$D$5:$D$1005="jabas")*(MOVIMIENTOS!$A$5:$A$1005&lt;&gt;"")*(MOVIMIENTOS!$A$5:$A$1005&lt;=$A816)*MOVIMIENTOS!$E$5:$E$1005)+SUMPRODUCT((MOVIMIENTOS!$B$5:$B$1005="DEVOLUCIÓN")*(MOVIMIENTOS!$C$5:$C$1005="M")*(MOVIMIENTOS!$D$5:$D$1005="jabas")*(MOVIMIENTOS!$A$5:$A$1005&lt;&gt;"")*(MOVIMIENTOS!$A$5:$A$1005&lt;=$A816)*MOVIMIENTOS!$E$5:$E$1005)-SUMPRODUCT((MOVIMIENTOS!$B$5:$B$1005="TRASIEGO")*(MOVIMIENTOS!$C$5:$C$1005="M")*(MOVIMIENTOS!$D$5:$D$1005="jabas")*(MOVIMIENTOS!$A$5:$A$1005&lt;&gt;"")*(MOVIMIENTOS!$A$5:$A$1005&lt;=$A816)*MOVIMIENTOS!$E$5:$E$1005)-SUMPRODUCT((MOVIMIENTOS!$B$5:$B$1005="REGALO")*(MOVIMIENTOS!$C$5:$C$1005="M")*(MOVIMIENTOS!$D$5:$D$1005="jabas")*(MOVIMIENTOS!$A$5:$A$1005&lt;&gt;"")*(MOVIMIENTOS!$A$5:$A$1005&lt;=$A816)*MOVIMIENTOS!$E$5:$E$1005)-SUMPRODUCT((MOVIMIENTOS!$B$5:$B$1005="VENTA")*(MOVIMIENTOS!$C$5:$C$1005="M")*(MOVIMIENTOS!$D$5:$D$1005="jabas")*(MOVIMIENTOS!$A$5:$A$1005&lt;&gt;"")*(MOVIMIENTOS!$A$5:$A$1005&lt;=$A816)*MOVIMIENTOS!$E$5:$E$1005)+SUMPRODUCT((MOVIMIENTOS!$B$5:$B$1005="AJUSTE")*(MOVIMIENTOS!$C$5:$C$1005="M")*(MOVIMIENTOS!$D$5:$D$1005="jabas")*(MOVIMIENTOS!$A$5:$A$1005&lt;&gt;"")*(MOVIMIENTOS!$A$5:$A$1005&lt;=$A816)*MOVIMIENTOS!$E$5:$E$1005))</f>
        <v/>
      </c>
      <c r="F816" s="62" t="str">
        <f>IF($A816="","",SUMPRODUCT((MOVIMIENTOS!$B$5:$B$1005="SALDO INICIAL")*(MOVIMIENTOS!$C$5:$C$1005="Chancho")*(MOVIMIENTOS!$D$5:$D$1005="sacos")*(MOVIMIENTOS!$A$5:$A$1005&lt;&gt;"")*(MOVIMIENTOS!$A$5:$A$1005&lt;=$A816)*MOVIMIENTOS!$E$5:$E$1005)+SUMPRODUCT((MOVIMIENTOS!$B$5:$B$1005="PROCESO")*(MOVIMIENTOS!$C$5:$C$1005="Chancho")*(MOVIMIENTOS!$D$5:$D$1005="sacos")*(MOVIMIENTOS!$A$5:$A$1005&lt;&gt;"")*(MOVIMIENTOS!$A$5:$A$1005&lt;=$A816)*MOVIMIENTOS!$E$5:$E$1005)-SUMPRODUCT((MOVIMIENTOS!$B$5:$B$1005="VENTA CHANCHO")*(MOVIMIENTOS!$C$5:$C$1005="Chancho")*(MOVIMIENTOS!$D$5:$D$1005="sacos")*(MOVIMIENTOS!$A$5:$A$1005&lt;&gt;"")*(MOVIMIENTOS!$A$5:$A$1005&lt;=$A816)*MOVIMIENTOS!$E$5:$E$1005)-SUMPRODUCT((MOVIMIENTOS!$B$5:$B$1005="REGALO")*(MOVIMIENTOS!$C$5:$C$1005="Chancho")*(MOVIMIENTOS!$D$5:$D$1005="sacos")*(MOVIMIENTOS!$A$5:$A$1005&lt;&gt;"")*(MOVIMIENTOS!$A$5:$A$1005&lt;=$A816)*MOVIMIENTOS!$E$5:$E$1005)-SUMPRODUCT((MOVIMIENTOS!$B$5:$B$1005="VENTA")*(MOVIMIENTOS!$C$5:$C$1005="Chancho")*(MOVIMIENTOS!$D$5:$D$1005="sacos")*(MOVIMIENTOS!$A$5:$A$1005&lt;&gt;"")*(MOVIMIENTOS!$A$5:$A$1005&lt;=$A816)*MOVIMIENTOS!$E$5:$E$1005)+SUMPRODUCT((MOVIMIENTOS!$B$5:$B$1005="AJUSTE")*(MOVIMIENTOS!$C$5:$C$1005="Chancho")*(MOVIMIENTOS!$D$5:$D$1005="sacos")*(MOVIMIENTOS!$A$5:$A$1005&lt;&gt;"")*(MOVIMIENTOS!$A$5:$A$1005&lt;=$A816)*MOVIMIENTOS!$E$5:$E$1005))</f>
        <v/>
      </c>
      <c r="G816" s="62" t="str">
        <f t="shared" si="25"/>
        <v/>
      </c>
      <c r="H816" t="str">
        <f>IF($A816="","",SUMPRODUCT((((MOVIMIENTOS!$B$5:$B$1005="SALDO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816)*MOVIMIENTOS!$J$5:$J$1005))</f>
        <v/>
      </c>
      <c r="J816" t="str">
        <f>IF(AND(MOVIMIENTOS!$A821&lt;&gt;"",COUNTIF(MOVIMIENTOS!$A$5:$A820,MOVIMIENTOS!$A821)=0),COUNT(J$4:J815)+1,"")</f>
        <v/>
      </c>
      <c r="K816">
        <f>MOVIMIENTOS!$A821</f>
        <v>0</v>
      </c>
    </row>
    <row r="817" spans="1:11" ht="15" customHeight="1" x14ac:dyDescent="0.2">
      <c r="A817" t="str">
        <f t="shared" si="24"/>
        <v/>
      </c>
      <c r="B817" t="str">
        <f>IF($A817="","",SUMPRODUCT((MOVIMIENTOS!$B$5:$B$1005="SALDO INICIAL")*(MOVIMIENTOS!$C$5:$C$1005="A")*(MOVIMIENTOS!$D$5:$D$1005="jabas")*(MOVIMIENTOS!$A$5:$A$1005&lt;&gt;"")*(MOVIMIENTOS!$A$5:$A$1005&lt;=$A817)*MOVIMIENTOS!$E$5:$E$1005)+SUMPRODUCT((MOVIMIENTOS!$B$5:$B$1005="PROCESO")*(MOVIMIENTOS!$C$5:$C$1005="A")*(MOVIMIENTOS!$D$5:$D$1005="jabas")*(MOVIMIENTOS!$A$5:$A$1005&lt;&gt;"")*(MOVIMIENTOS!$A$5:$A$1005&lt;=$A817)*MOVIMIENTOS!$E$5:$E$1005)-SUMPRODUCT((MOVIMIENTOS!$B$5:$B$1005="ENVÍO A SUPESA")*(MOVIMIENTOS!$C$5:$C$1005="A")*(MOVIMIENTOS!$D$5:$D$1005="jabas")*(MOVIMIENTOS!$A$5:$A$1005&lt;&gt;"")*(MOVIMIENTOS!$A$5:$A$1005&lt;=$A817)*MOVIMIENTOS!$E$5:$E$1005)+SUMPRODUCT((MOVIMIENTOS!$B$5:$B$1005="DEVOLUCIÓN")*(MOVIMIENTOS!$C$5:$C$1005="A")*(MOVIMIENTOS!$D$5:$D$1005="jabas")*(MOVIMIENTOS!$A$5:$A$1005&lt;&gt;"")*(MOVIMIENTOS!$A$5:$A$1005&lt;=$A817)*MOVIMIENTOS!$E$5:$E$1005)-SUMPRODUCT((MOVIMIENTOS!$B$5:$B$1005="TRASIEGO")*(MOVIMIENTOS!$C$5:$C$1005="A")*(MOVIMIENTOS!$D$5:$D$1005="jabas")*(MOVIMIENTOS!$A$5:$A$1005&lt;&gt;"")*(MOVIMIENTOS!$A$5:$A$1005&lt;=$A817)*MOVIMIENTOS!$E$5:$E$1005)-SUMPRODUCT((MOVIMIENTOS!$B$5:$B$1005="REGALO")*(MOVIMIENTOS!$C$5:$C$1005="A")*(MOVIMIENTOS!$D$5:$D$1005="jabas")*(MOVIMIENTOS!$A$5:$A$1005&lt;&gt;"")*(MOVIMIENTOS!$A$5:$A$1005&lt;=$A817)*MOVIMIENTOS!$E$5:$E$1005)-SUMPRODUCT((MOVIMIENTOS!$B$5:$B$1005="VENTA")*(MOVIMIENTOS!$C$5:$C$1005="A")*(MOVIMIENTOS!$D$5:$D$1005="jabas")*(MOVIMIENTOS!$A$5:$A$1005&lt;&gt;"")*(MOVIMIENTOS!$A$5:$A$1005&lt;=$A817)*MOVIMIENTOS!$E$5:$E$1005)+SUMPRODUCT((MOVIMIENTOS!$B$5:$B$1005="AJUSTE")*(MOVIMIENTOS!$C$5:$C$1005="A")*(MOVIMIENTOS!$D$5:$D$1005="jabas")*(MOVIMIENTOS!$A$5:$A$1005&lt;&gt;"")*(MOVIMIENTOS!$A$5:$A$1005&lt;=$A817)*MOVIMIENTOS!$E$5:$E$1005))</f>
        <v/>
      </c>
      <c r="C817" t="str">
        <f>IF($A817="","",SUMPRODUCT((MOVIMIENTOS!$B$5:$B$1005="SALDO INICIAL")*(MOVIMIENTOS!$C$5:$C$1005="P")*(MOVIMIENTOS!$D$5:$D$1005="jabas")*(MOVIMIENTOS!$A$5:$A$1005&lt;&gt;"")*(MOVIMIENTOS!$A$5:$A$1005&lt;=$A817)*MOVIMIENTOS!$E$5:$E$1005)+SUMPRODUCT((MOVIMIENTOS!$B$5:$B$1005="PROCESO")*(MOVIMIENTOS!$C$5:$C$1005="P")*(MOVIMIENTOS!$D$5:$D$1005="jabas")*(MOVIMIENTOS!$A$5:$A$1005&lt;&gt;"")*(MOVIMIENTOS!$A$5:$A$1005&lt;=$A817)*MOVIMIENTOS!$E$5:$E$1005)-SUMPRODUCT((MOVIMIENTOS!$B$5:$B$1005="ENVÍO A SUPESA")*(MOVIMIENTOS!$C$5:$C$1005="P")*(MOVIMIENTOS!$D$5:$D$1005="jabas")*(MOVIMIENTOS!$A$5:$A$1005&lt;&gt;"")*(MOVIMIENTOS!$A$5:$A$1005&lt;=$A817)*MOVIMIENTOS!$E$5:$E$1005)+SUMPRODUCT((MOVIMIENTOS!$B$5:$B$1005="DEVOLUCIÓN")*(MOVIMIENTOS!$C$5:$C$1005="P")*(MOVIMIENTOS!$D$5:$D$1005="jabas")*(MOVIMIENTOS!$A$5:$A$1005&lt;&gt;"")*(MOVIMIENTOS!$A$5:$A$1005&lt;=$A817)*MOVIMIENTOS!$E$5:$E$1005)-SUMPRODUCT((MOVIMIENTOS!$B$5:$B$1005="TRASIEGO")*(MOVIMIENTOS!$C$5:$C$1005="P")*(MOVIMIENTOS!$D$5:$D$1005="jabas")*(MOVIMIENTOS!$A$5:$A$1005&lt;&gt;"")*(MOVIMIENTOS!$A$5:$A$1005&lt;=$A817)*MOVIMIENTOS!$E$5:$E$1005)-SUMPRODUCT((MOVIMIENTOS!$B$5:$B$1005="REGALO")*(MOVIMIENTOS!$C$5:$C$1005="P")*(MOVIMIENTOS!$D$5:$D$1005="jabas")*(MOVIMIENTOS!$A$5:$A$1005&lt;&gt;"")*(MOVIMIENTOS!$A$5:$A$1005&lt;=$A817)*MOVIMIENTOS!$E$5:$E$1005)-SUMPRODUCT((MOVIMIENTOS!$B$5:$B$1005="VENTA")*(MOVIMIENTOS!$C$5:$C$1005="P")*(MOVIMIENTOS!$D$5:$D$1005="jabas")*(MOVIMIENTOS!$A$5:$A$1005&lt;&gt;"")*(MOVIMIENTOS!$A$5:$A$1005&lt;=$A817)*MOVIMIENTOS!$E$5:$E$1005)+SUMPRODUCT((MOVIMIENTOS!$B$5:$B$1005="AJUSTE")*(MOVIMIENTOS!$C$5:$C$1005="P")*(MOVIMIENTOS!$D$5:$D$1005="jabas")*(MOVIMIENTOS!$A$5:$A$1005&lt;&gt;"")*(MOVIMIENTOS!$A$5:$A$1005&lt;=$A817)*MOVIMIENTOS!$E$5:$E$1005))</f>
        <v/>
      </c>
      <c r="D817" t="str">
        <f>IF($A817="","",SUMPRODUCT((MOVIMIENTOS!$B$5:$B$1005="SALDO INICIAL")*(MOVIMIENTOS!$C$5:$C$1005="C")*(MOVIMIENTOS!$D$5:$D$1005="jabas")*(MOVIMIENTOS!$A$5:$A$1005&lt;&gt;"")*(MOVIMIENTOS!$A$5:$A$1005&lt;=$A817)*MOVIMIENTOS!$E$5:$E$1005)+SUMPRODUCT((MOVIMIENTOS!$B$5:$B$1005="PROCESO")*(MOVIMIENTOS!$C$5:$C$1005="C")*(MOVIMIENTOS!$D$5:$D$1005="jabas")*(MOVIMIENTOS!$A$5:$A$1005&lt;&gt;"")*(MOVIMIENTOS!$A$5:$A$1005&lt;=$A817)*MOVIMIENTOS!$E$5:$E$1005)-SUMPRODUCT((MOVIMIENTOS!$B$5:$B$1005="ENVÍO A SUPESA")*(MOVIMIENTOS!$C$5:$C$1005="C")*(MOVIMIENTOS!$D$5:$D$1005="jabas")*(MOVIMIENTOS!$A$5:$A$1005&lt;&gt;"")*(MOVIMIENTOS!$A$5:$A$1005&lt;=$A817)*MOVIMIENTOS!$E$5:$E$1005)+SUMPRODUCT((MOVIMIENTOS!$B$5:$B$1005="DEVOLUCIÓN")*(MOVIMIENTOS!$C$5:$C$1005="C")*(MOVIMIENTOS!$D$5:$D$1005="jabas")*(MOVIMIENTOS!$A$5:$A$1005&lt;&gt;"")*(MOVIMIENTOS!$A$5:$A$1005&lt;=$A817)*MOVIMIENTOS!$E$5:$E$1005)-SUMPRODUCT((MOVIMIENTOS!$B$5:$B$1005="TRASIEGO")*(MOVIMIENTOS!$C$5:$C$1005="C")*(MOVIMIENTOS!$D$5:$D$1005="jabas")*(MOVIMIENTOS!$A$5:$A$1005&lt;&gt;"")*(MOVIMIENTOS!$A$5:$A$1005&lt;=$A817)*MOVIMIENTOS!$E$5:$E$1005)-SUMPRODUCT((MOVIMIENTOS!$B$5:$B$1005="REGALO")*(MOVIMIENTOS!$C$5:$C$1005="C")*(MOVIMIENTOS!$D$5:$D$1005="jabas")*(MOVIMIENTOS!$A$5:$A$1005&lt;&gt;"")*(MOVIMIENTOS!$A$5:$A$1005&lt;=$A817)*MOVIMIENTOS!$E$5:$E$1005)-SUMPRODUCT((MOVIMIENTOS!$B$5:$B$1005="VENTA")*(MOVIMIENTOS!$C$5:$C$1005="C")*(MOVIMIENTOS!$D$5:$D$1005="jabas")*(MOVIMIENTOS!$A$5:$A$1005&lt;&gt;"")*(MOVIMIENTOS!$A$5:$A$1005&lt;=$A817)*MOVIMIENTOS!$E$5:$E$1005)+SUMPRODUCT((MOVIMIENTOS!$B$5:$B$1005="AJUSTE")*(MOVIMIENTOS!$C$5:$C$1005="C")*(MOVIMIENTOS!$D$5:$D$1005="jabas")*(MOVIMIENTOS!$A$5:$A$1005&lt;&gt;"")*(MOVIMIENTOS!$A$5:$A$1005&lt;=$A817)*MOVIMIENTOS!$E$5:$E$1005))</f>
        <v/>
      </c>
      <c r="E817" t="str">
        <f>IF($A817="","",SUMPRODUCT((MOVIMIENTOS!$B$5:$B$1005="SALDO INICIAL")*(MOVIMIENTOS!$C$5:$C$1005="M")*(MOVIMIENTOS!$D$5:$D$1005="jabas")*(MOVIMIENTOS!$A$5:$A$1005&lt;&gt;"")*(MOVIMIENTOS!$A$5:$A$1005&lt;=$A817)*MOVIMIENTOS!$E$5:$E$1005)+SUMPRODUCT((MOVIMIENTOS!$B$5:$B$1005="PROCESO")*(MOVIMIENTOS!$C$5:$C$1005="M")*(MOVIMIENTOS!$D$5:$D$1005="jabas")*(MOVIMIENTOS!$A$5:$A$1005&lt;&gt;"")*(MOVIMIENTOS!$A$5:$A$1005&lt;=$A817)*MOVIMIENTOS!$E$5:$E$1005)-SUMPRODUCT((MOVIMIENTOS!$B$5:$B$1005="ENVÍO A SUPESA")*(MOVIMIENTOS!$C$5:$C$1005="M")*(MOVIMIENTOS!$D$5:$D$1005="jabas")*(MOVIMIENTOS!$A$5:$A$1005&lt;&gt;"")*(MOVIMIENTOS!$A$5:$A$1005&lt;=$A817)*MOVIMIENTOS!$E$5:$E$1005)+SUMPRODUCT((MOVIMIENTOS!$B$5:$B$1005="DEVOLUCIÓN")*(MOVIMIENTOS!$C$5:$C$1005="M")*(MOVIMIENTOS!$D$5:$D$1005="jabas")*(MOVIMIENTOS!$A$5:$A$1005&lt;&gt;"")*(MOVIMIENTOS!$A$5:$A$1005&lt;=$A817)*MOVIMIENTOS!$E$5:$E$1005)-SUMPRODUCT((MOVIMIENTOS!$B$5:$B$1005="TRASIEGO")*(MOVIMIENTOS!$C$5:$C$1005="M")*(MOVIMIENTOS!$D$5:$D$1005="jabas")*(MOVIMIENTOS!$A$5:$A$1005&lt;&gt;"")*(MOVIMIENTOS!$A$5:$A$1005&lt;=$A817)*MOVIMIENTOS!$E$5:$E$1005)-SUMPRODUCT((MOVIMIENTOS!$B$5:$B$1005="REGALO")*(MOVIMIENTOS!$C$5:$C$1005="M")*(MOVIMIENTOS!$D$5:$D$1005="jabas")*(MOVIMIENTOS!$A$5:$A$1005&lt;&gt;"")*(MOVIMIENTOS!$A$5:$A$1005&lt;=$A817)*MOVIMIENTOS!$E$5:$E$1005)-SUMPRODUCT((MOVIMIENTOS!$B$5:$B$1005="VENTA")*(MOVIMIENTOS!$C$5:$C$1005="M")*(MOVIMIENTOS!$D$5:$D$1005="jabas")*(MOVIMIENTOS!$A$5:$A$1005&lt;&gt;"")*(MOVIMIENTOS!$A$5:$A$1005&lt;=$A817)*MOVIMIENTOS!$E$5:$E$1005)+SUMPRODUCT((MOVIMIENTOS!$B$5:$B$1005="AJUSTE")*(MOVIMIENTOS!$C$5:$C$1005="M")*(MOVIMIENTOS!$D$5:$D$1005="jabas")*(MOVIMIENTOS!$A$5:$A$1005&lt;&gt;"")*(MOVIMIENTOS!$A$5:$A$1005&lt;=$A817)*MOVIMIENTOS!$E$5:$E$1005))</f>
        <v/>
      </c>
      <c r="F817" s="62" t="str">
        <f>IF($A817="","",SUMPRODUCT((MOVIMIENTOS!$B$5:$B$1005="SALDO INICIAL")*(MOVIMIENTOS!$C$5:$C$1005="Chancho")*(MOVIMIENTOS!$D$5:$D$1005="sacos")*(MOVIMIENTOS!$A$5:$A$1005&lt;&gt;"")*(MOVIMIENTOS!$A$5:$A$1005&lt;=$A817)*MOVIMIENTOS!$E$5:$E$1005)+SUMPRODUCT((MOVIMIENTOS!$B$5:$B$1005="PROCESO")*(MOVIMIENTOS!$C$5:$C$1005="Chancho")*(MOVIMIENTOS!$D$5:$D$1005="sacos")*(MOVIMIENTOS!$A$5:$A$1005&lt;&gt;"")*(MOVIMIENTOS!$A$5:$A$1005&lt;=$A817)*MOVIMIENTOS!$E$5:$E$1005)-SUMPRODUCT((MOVIMIENTOS!$B$5:$B$1005="VENTA CHANCHO")*(MOVIMIENTOS!$C$5:$C$1005="Chancho")*(MOVIMIENTOS!$D$5:$D$1005="sacos")*(MOVIMIENTOS!$A$5:$A$1005&lt;&gt;"")*(MOVIMIENTOS!$A$5:$A$1005&lt;=$A817)*MOVIMIENTOS!$E$5:$E$1005)-SUMPRODUCT((MOVIMIENTOS!$B$5:$B$1005="REGALO")*(MOVIMIENTOS!$C$5:$C$1005="Chancho")*(MOVIMIENTOS!$D$5:$D$1005="sacos")*(MOVIMIENTOS!$A$5:$A$1005&lt;&gt;"")*(MOVIMIENTOS!$A$5:$A$1005&lt;=$A817)*MOVIMIENTOS!$E$5:$E$1005)-SUMPRODUCT((MOVIMIENTOS!$B$5:$B$1005="VENTA")*(MOVIMIENTOS!$C$5:$C$1005="Chancho")*(MOVIMIENTOS!$D$5:$D$1005="sacos")*(MOVIMIENTOS!$A$5:$A$1005&lt;&gt;"")*(MOVIMIENTOS!$A$5:$A$1005&lt;=$A817)*MOVIMIENTOS!$E$5:$E$1005)+SUMPRODUCT((MOVIMIENTOS!$B$5:$B$1005="AJUSTE")*(MOVIMIENTOS!$C$5:$C$1005="Chancho")*(MOVIMIENTOS!$D$5:$D$1005="sacos")*(MOVIMIENTOS!$A$5:$A$1005&lt;&gt;"")*(MOVIMIENTOS!$A$5:$A$1005&lt;=$A817)*MOVIMIENTOS!$E$5:$E$1005))</f>
        <v/>
      </c>
      <c r="G817" s="62" t="str">
        <f t="shared" si="25"/>
        <v/>
      </c>
      <c r="H817" t="str">
        <f>IF($A817="","",SUMPRODUCT((((MOVIMIENTOS!$B$5:$B$1005="SALDO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817)*MOVIMIENTOS!$J$5:$J$1005))</f>
        <v/>
      </c>
      <c r="J817" t="str">
        <f>IF(AND(MOVIMIENTOS!$A822&lt;&gt;"",COUNTIF(MOVIMIENTOS!$A$5:$A821,MOVIMIENTOS!$A822)=0),COUNT(J$4:J816)+1,"")</f>
        <v/>
      </c>
      <c r="K817">
        <f>MOVIMIENTOS!$A822</f>
        <v>0</v>
      </c>
    </row>
    <row r="818" spans="1:11" ht="15" customHeight="1" x14ac:dyDescent="0.2">
      <c r="A818" t="str">
        <f t="shared" si="24"/>
        <v/>
      </c>
      <c r="B818" t="str">
        <f>IF($A818="","",SUMPRODUCT((MOVIMIENTOS!$B$5:$B$1005="SALDO INICIAL")*(MOVIMIENTOS!$C$5:$C$1005="A")*(MOVIMIENTOS!$D$5:$D$1005="jabas")*(MOVIMIENTOS!$A$5:$A$1005&lt;&gt;"")*(MOVIMIENTOS!$A$5:$A$1005&lt;=$A818)*MOVIMIENTOS!$E$5:$E$1005)+SUMPRODUCT((MOVIMIENTOS!$B$5:$B$1005="PROCESO")*(MOVIMIENTOS!$C$5:$C$1005="A")*(MOVIMIENTOS!$D$5:$D$1005="jabas")*(MOVIMIENTOS!$A$5:$A$1005&lt;&gt;"")*(MOVIMIENTOS!$A$5:$A$1005&lt;=$A818)*MOVIMIENTOS!$E$5:$E$1005)-SUMPRODUCT((MOVIMIENTOS!$B$5:$B$1005="ENVÍO A SUPESA")*(MOVIMIENTOS!$C$5:$C$1005="A")*(MOVIMIENTOS!$D$5:$D$1005="jabas")*(MOVIMIENTOS!$A$5:$A$1005&lt;&gt;"")*(MOVIMIENTOS!$A$5:$A$1005&lt;=$A818)*MOVIMIENTOS!$E$5:$E$1005)+SUMPRODUCT((MOVIMIENTOS!$B$5:$B$1005="DEVOLUCIÓN")*(MOVIMIENTOS!$C$5:$C$1005="A")*(MOVIMIENTOS!$D$5:$D$1005="jabas")*(MOVIMIENTOS!$A$5:$A$1005&lt;&gt;"")*(MOVIMIENTOS!$A$5:$A$1005&lt;=$A818)*MOVIMIENTOS!$E$5:$E$1005)-SUMPRODUCT((MOVIMIENTOS!$B$5:$B$1005="TRASIEGO")*(MOVIMIENTOS!$C$5:$C$1005="A")*(MOVIMIENTOS!$D$5:$D$1005="jabas")*(MOVIMIENTOS!$A$5:$A$1005&lt;&gt;"")*(MOVIMIENTOS!$A$5:$A$1005&lt;=$A818)*MOVIMIENTOS!$E$5:$E$1005)-SUMPRODUCT((MOVIMIENTOS!$B$5:$B$1005="REGALO")*(MOVIMIENTOS!$C$5:$C$1005="A")*(MOVIMIENTOS!$D$5:$D$1005="jabas")*(MOVIMIENTOS!$A$5:$A$1005&lt;&gt;"")*(MOVIMIENTOS!$A$5:$A$1005&lt;=$A818)*MOVIMIENTOS!$E$5:$E$1005)-SUMPRODUCT((MOVIMIENTOS!$B$5:$B$1005="VENTA")*(MOVIMIENTOS!$C$5:$C$1005="A")*(MOVIMIENTOS!$D$5:$D$1005="jabas")*(MOVIMIENTOS!$A$5:$A$1005&lt;&gt;"")*(MOVIMIENTOS!$A$5:$A$1005&lt;=$A818)*MOVIMIENTOS!$E$5:$E$1005)+SUMPRODUCT((MOVIMIENTOS!$B$5:$B$1005="AJUSTE")*(MOVIMIENTOS!$C$5:$C$1005="A")*(MOVIMIENTOS!$D$5:$D$1005="jabas")*(MOVIMIENTOS!$A$5:$A$1005&lt;&gt;"")*(MOVIMIENTOS!$A$5:$A$1005&lt;=$A818)*MOVIMIENTOS!$E$5:$E$1005))</f>
        <v/>
      </c>
      <c r="C818" t="str">
        <f>IF($A818="","",SUMPRODUCT((MOVIMIENTOS!$B$5:$B$1005="SALDO INICIAL")*(MOVIMIENTOS!$C$5:$C$1005="P")*(MOVIMIENTOS!$D$5:$D$1005="jabas")*(MOVIMIENTOS!$A$5:$A$1005&lt;&gt;"")*(MOVIMIENTOS!$A$5:$A$1005&lt;=$A818)*MOVIMIENTOS!$E$5:$E$1005)+SUMPRODUCT((MOVIMIENTOS!$B$5:$B$1005="PROCESO")*(MOVIMIENTOS!$C$5:$C$1005="P")*(MOVIMIENTOS!$D$5:$D$1005="jabas")*(MOVIMIENTOS!$A$5:$A$1005&lt;&gt;"")*(MOVIMIENTOS!$A$5:$A$1005&lt;=$A818)*MOVIMIENTOS!$E$5:$E$1005)-SUMPRODUCT((MOVIMIENTOS!$B$5:$B$1005="ENVÍO A SUPESA")*(MOVIMIENTOS!$C$5:$C$1005="P")*(MOVIMIENTOS!$D$5:$D$1005="jabas")*(MOVIMIENTOS!$A$5:$A$1005&lt;&gt;"")*(MOVIMIENTOS!$A$5:$A$1005&lt;=$A818)*MOVIMIENTOS!$E$5:$E$1005)+SUMPRODUCT((MOVIMIENTOS!$B$5:$B$1005="DEVOLUCIÓN")*(MOVIMIENTOS!$C$5:$C$1005="P")*(MOVIMIENTOS!$D$5:$D$1005="jabas")*(MOVIMIENTOS!$A$5:$A$1005&lt;&gt;"")*(MOVIMIENTOS!$A$5:$A$1005&lt;=$A818)*MOVIMIENTOS!$E$5:$E$1005)-SUMPRODUCT((MOVIMIENTOS!$B$5:$B$1005="TRASIEGO")*(MOVIMIENTOS!$C$5:$C$1005="P")*(MOVIMIENTOS!$D$5:$D$1005="jabas")*(MOVIMIENTOS!$A$5:$A$1005&lt;&gt;"")*(MOVIMIENTOS!$A$5:$A$1005&lt;=$A818)*MOVIMIENTOS!$E$5:$E$1005)-SUMPRODUCT((MOVIMIENTOS!$B$5:$B$1005="REGALO")*(MOVIMIENTOS!$C$5:$C$1005="P")*(MOVIMIENTOS!$D$5:$D$1005="jabas")*(MOVIMIENTOS!$A$5:$A$1005&lt;&gt;"")*(MOVIMIENTOS!$A$5:$A$1005&lt;=$A818)*MOVIMIENTOS!$E$5:$E$1005)-SUMPRODUCT((MOVIMIENTOS!$B$5:$B$1005="VENTA")*(MOVIMIENTOS!$C$5:$C$1005="P")*(MOVIMIENTOS!$D$5:$D$1005="jabas")*(MOVIMIENTOS!$A$5:$A$1005&lt;&gt;"")*(MOVIMIENTOS!$A$5:$A$1005&lt;=$A818)*MOVIMIENTOS!$E$5:$E$1005)+SUMPRODUCT((MOVIMIENTOS!$B$5:$B$1005="AJUSTE")*(MOVIMIENTOS!$C$5:$C$1005="P")*(MOVIMIENTOS!$D$5:$D$1005="jabas")*(MOVIMIENTOS!$A$5:$A$1005&lt;&gt;"")*(MOVIMIENTOS!$A$5:$A$1005&lt;=$A818)*MOVIMIENTOS!$E$5:$E$1005))</f>
        <v/>
      </c>
      <c r="D818" t="str">
        <f>IF($A818="","",SUMPRODUCT((MOVIMIENTOS!$B$5:$B$1005="SALDO INICIAL")*(MOVIMIENTOS!$C$5:$C$1005="C")*(MOVIMIENTOS!$D$5:$D$1005="jabas")*(MOVIMIENTOS!$A$5:$A$1005&lt;&gt;"")*(MOVIMIENTOS!$A$5:$A$1005&lt;=$A818)*MOVIMIENTOS!$E$5:$E$1005)+SUMPRODUCT((MOVIMIENTOS!$B$5:$B$1005="PROCESO")*(MOVIMIENTOS!$C$5:$C$1005="C")*(MOVIMIENTOS!$D$5:$D$1005="jabas")*(MOVIMIENTOS!$A$5:$A$1005&lt;&gt;"")*(MOVIMIENTOS!$A$5:$A$1005&lt;=$A818)*MOVIMIENTOS!$E$5:$E$1005)-SUMPRODUCT((MOVIMIENTOS!$B$5:$B$1005="ENVÍO A SUPESA")*(MOVIMIENTOS!$C$5:$C$1005="C")*(MOVIMIENTOS!$D$5:$D$1005="jabas")*(MOVIMIENTOS!$A$5:$A$1005&lt;&gt;"")*(MOVIMIENTOS!$A$5:$A$1005&lt;=$A818)*MOVIMIENTOS!$E$5:$E$1005)+SUMPRODUCT((MOVIMIENTOS!$B$5:$B$1005="DEVOLUCIÓN")*(MOVIMIENTOS!$C$5:$C$1005="C")*(MOVIMIENTOS!$D$5:$D$1005="jabas")*(MOVIMIENTOS!$A$5:$A$1005&lt;&gt;"")*(MOVIMIENTOS!$A$5:$A$1005&lt;=$A818)*MOVIMIENTOS!$E$5:$E$1005)-SUMPRODUCT((MOVIMIENTOS!$B$5:$B$1005="TRASIEGO")*(MOVIMIENTOS!$C$5:$C$1005="C")*(MOVIMIENTOS!$D$5:$D$1005="jabas")*(MOVIMIENTOS!$A$5:$A$1005&lt;&gt;"")*(MOVIMIENTOS!$A$5:$A$1005&lt;=$A818)*MOVIMIENTOS!$E$5:$E$1005)-SUMPRODUCT((MOVIMIENTOS!$B$5:$B$1005="REGALO")*(MOVIMIENTOS!$C$5:$C$1005="C")*(MOVIMIENTOS!$D$5:$D$1005="jabas")*(MOVIMIENTOS!$A$5:$A$1005&lt;&gt;"")*(MOVIMIENTOS!$A$5:$A$1005&lt;=$A818)*MOVIMIENTOS!$E$5:$E$1005)-SUMPRODUCT((MOVIMIENTOS!$B$5:$B$1005="VENTA")*(MOVIMIENTOS!$C$5:$C$1005="C")*(MOVIMIENTOS!$D$5:$D$1005="jabas")*(MOVIMIENTOS!$A$5:$A$1005&lt;&gt;"")*(MOVIMIENTOS!$A$5:$A$1005&lt;=$A818)*MOVIMIENTOS!$E$5:$E$1005)+SUMPRODUCT((MOVIMIENTOS!$B$5:$B$1005="AJUSTE")*(MOVIMIENTOS!$C$5:$C$1005="C")*(MOVIMIENTOS!$D$5:$D$1005="jabas")*(MOVIMIENTOS!$A$5:$A$1005&lt;&gt;"")*(MOVIMIENTOS!$A$5:$A$1005&lt;=$A818)*MOVIMIENTOS!$E$5:$E$1005))</f>
        <v/>
      </c>
      <c r="E818" t="str">
        <f>IF($A818="","",SUMPRODUCT((MOVIMIENTOS!$B$5:$B$1005="SALDO INICIAL")*(MOVIMIENTOS!$C$5:$C$1005="M")*(MOVIMIENTOS!$D$5:$D$1005="jabas")*(MOVIMIENTOS!$A$5:$A$1005&lt;&gt;"")*(MOVIMIENTOS!$A$5:$A$1005&lt;=$A818)*MOVIMIENTOS!$E$5:$E$1005)+SUMPRODUCT((MOVIMIENTOS!$B$5:$B$1005="PROCESO")*(MOVIMIENTOS!$C$5:$C$1005="M")*(MOVIMIENTOS!$D$5:$D$1005="jabas")*(MOVIMIENTOS!$A$5:$A$1005&lt;&gt;"")*(MOVIMIENTOS!$A$5:$A$1005&lt;=$A818)*MOVIMIENTOS!$E$5:$E$1005)-SUMPRODUCT((MOVIMIENTOS!$B$5:$B$1005="ENVÍO A SUPESA")*(MOVIMIENTOS!$C$5:$C$1005="M")*(MOVIMIENTOS!$D$5:$D$1005="jabas")*(MOVIMIENTOS!$A$5:$A$1005&lt;&gt;"")*(MOVIMIENTOS!$A$5:$A$1005&lt;=$A818)*MOVIMIENTOS!$E$5:$E$1005)+SUMPRODUCT((MOVIMIENTOS!$B$5:$B$1005="DEVOLUCIÓN")*(MOVIMIENTOS!$C$5:$C$1005="M")*(MOVIMIENTOS!$D$5:$D$1005="jabas")*(MOVIMIENTOS!$A$5:$A$1005&lt;&gt;"")*(MOVIMIENTOS!$A$5:$A$1005&lt;=$A818)*MOVIMIENTOS!$E$5:$E$1005)-SUMPRODUCT((MOVIMIENTOS!$B$5:$B$1005="TRASIEGO")*(MOVIMIENTOS!$C$5:$C$1005="M")*(MOVIMIENTOS!$D$5:$D$1005="jabas")*(MOVIMIENTOS!$A$5:$A$1005&lt;&gt;"")*(MOVIMIENTOS!$A$5:$A$1005&lt;=$A818)*MOVIMIENTOS!$E$5:$E$1005)-SUMPRODUCT((MOVIMIENTOS!$B$5:$B$1005="REGALO")*(MOVIMIENTOS!$C$5:$C$1005="M")*(MOVIMIENTOS!$D$5:$D$1005="jabas")*(MOVIMIENTOS!$A$5:$A$1005&lt;&gt;"")*(MOVIMIENTOS!$A$5:$A$1005&lt;=$A818)*MOVIMIENTOS!$E$5:$E$1005)-SUMPRODUCT((MOVIMIENTOS!$B$5:$B$1005="VENTA")*(MOVIMIENTOS!$C$5:$C$1005="M")*(MOVIMIENTOS!$D$5:$D$1005="jabas")*(MOVIMIENTOS!$A$5:$A$1005&lt;&gt;"")*(MOVIMIENTOS!$A$5:$A$1005&lt;=$A818)*MOVIMIENTOS!$E$5:$E$1005)+SUMPRODUCT((MOVIMIENTOS!$B$5:$B$1005="AJUSTE")*(MOVIMIENTOS!$C$5:$C$1005="M")*(MOVIMIENTOS!$D$5:$D$1005="jabas")*(MOVIMIENTOS!$A$5:$A$1005&lt;&gt;"")*(MOVIMIENTOS!$A$5:$A$1005&lt;=$A818)*MOVIMIENTOS!$E$5:$E$1005))</f>
        <v/>
      </c>
      <c r="F818" s="62" t="str">
        <f>IF($A818="","",SUMPRODUCT((MOVIMIENTOS!$B$5:$B$1005="SALDO INICIAL")*(MOVIMIENTOS!$C$5:$C$1005="Chancho")*(MOVIMIENTOS!$D$5:$D$1005="sacos")*(MOVIMIENTOS!$A$5:$A$1005&lt;&gt;"")*(MOVIMIENTOS!$A$5:$A$1005&lt;=$A818)*MOVIMIENTOS!$E$5:$E$1005)+SUMPRODUCT((MOVIMIENTOS!$B$5:$B$1005="PROCESO")*(MOVIMIENTOS!$C$5:$C$1005="Chancho")*(MOVIMIENTOS!$D$5:$D$1005="sacos")*(MOVIMIENTOS!$A$5:$A$1005&lt;&gt;"")*(MOVIMIENTOS!$A$5:$A$1005&lt;=$A818)*MOVIMIENTOS!$E$5:$E$1005)-SUMPRODUCT((MOVIMIENTOS!$B$5:$B$1005="VENTA CHANCHO")*(MOVIMIENTOS!$C$5:$C$1005="Chancho")*(MOVIMIENTOS!$D$5:$D$1005="sacos")*(MOVIMIENTOS!$A$5:$A$1005&lt;&gt;"")*(MOVIMIENTOS!$A$5:$A$1005&lt;=$A818)*MOVIMIENTOS!$E$5:$E$1005)-SUMPRODUCT((MOVIMIENTOS!$B$5:$B$1005="REGALO")*(MOVIMIENTOS!$C$5:$C$1005="Chancho")*(MOVIMIENTOS!$D$5:$D$1005="sacos")*(MOVIMIENTOS!$A$5:$A$1005&lt;&gt;"")*(MOVIMIENTOS!$A$5:$A$1005&lt;=$A818)*MOVIMIENTOS!$E$5:$E$1005)-SUMPRODUCT((MOVIMIENTOS!$B$5:$B$1005="VENTA")*(MOVIMIENTOS!$C$5:$C$1005="Chancho")*(MOVIMIENTOS!$D$5:$D$1005="sacos")*(MOVIMIENTOS!$A$5:$A$1005&lt;&gt;"")*(MOVIMIENTOS!$A$5:$A$1005&lt;=$A818)*MOVIMIENTOS!$E$5:$E$1005)+SUMPRODUCT((MOVIMIENTOS!$B$5:$B$1005="AJUSTE")*(MOVIMIENTOS!$C$5:$C$1005="Chancho")*(MOVIMIENTOS!$D$5:$D$1005="sacos")*(MOVIMIENTOS!$A$5:$A$1005&lt;&gt;"")*(MOVIMIENTOS!$A$5:$A$1005&lt;=$A818)*MOVIMIENTOS!$E$5:$E$1005))</f>
        <v/>
      </c>
      <c r="G818" s="62" t="str">
        <f t="shared" si="25"/>
        <v/>
      </c>
      <c r="H818" t="str">
        <f>IF($A818="","",SUMPRODUCT((((MOVIMIENTOS!$B$5:$B$1005="SALDO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818)*MOVIMIENTOS!$J$5:$J$1005))</f>
        <v/>
      </c>
      <c r="J818" t="str">
        <f>IF(AND(MOVIMIENTOS!$A823&lt;&gt;"",COUNTIF(MOVIMIENTOS!$A$5:$A822,MOVIMIENTOS!$A823)=0),COUNT(J$4:J817)+1,"")</f>
        <v/>
      </c>
      <c r="K818">
        <f>MOVIMIENTOS!$A823</f>
        <v>0</v>
      </c>
    </row>
    <row r="819" spans="1:11" ht="15" customHeight="1" x14ac:dyDescent="0.2">
      <c r="A819" t="str">
        <f t="shared" si="24"/>
        <v/>
      </c>
      <c r="B819" t="str">
        <f>IF($A819="","",SUMPRODUCT((MOVIMIENTOS!$B$5:$B$1005="SALDO INICIAL")*(MOVIMIENTOS!$C$5:$C$1005="A")*(MOVIMIENTOS!$D$5:$D$1005="jabas")*(MOVIMIENTOS!$A$5:$A$1005&lt;&gt;"")*(MOVIMIENTOS!$A$5:$A$1005&lt;=$A819)*MOVIMIENTOS!$E$5:$E$1005)+SUMPRODUCT((MOVIMIENTOS!$B$5:$B$1005="PROCESO")*(MOVIMIENTOS!$C$5:$C$1005="A")*(MOVIMIENTOS!$D$5:$D$1005="jabas")*(MOVIMIENTOS!$A$5:$A$1005&lt;&gt;"")*(MOVIMIENTOS!$A$5:$A$1005&lt;=$A819)*MOVIMIENTOS!$E$5:$E$1005)-SUMPRODUCT((MOVIMIENTOS!$B$5:$B$1005="ENVÍO A SUPESA")*(MOVIMIENTOS!$C$5:$C$1005="A")*(MOVIMIENTOS!$D$5:$D$1005="jabas")*(MOVIMIENTOS!$A$5:$A$1005&lt;&gt;"")*(MOVIMIENTOS!$A$5:$A$1005&lt;=$A819)*MOVIMIENTOS!$E$5:$E$1005)+SUMPRODUCT((MOVIMIENTOS!$B$5:$B$1005="DEVOLUCIÓN")*(MOVIMIENTOS!$C$5:$C$1005="A")*(MOVIMIENTOS!$D$5:$D$1005="jabas")*(MOVIMIENTOS!$A$5:$A$1005&lt;&gt;"")*(MOVIMIENTOS!$A$5:$A$1005&lt;=$A819)*MOVIMIENTOS!$E$5:$E$1005)-SUMPRODUCT((MOVIMIENTOS!$B$5:$B$1005="TRASIEGO")*(MOVIMIENTOS!$C$5:$C$1005="A")*(MOVIMIENTOS!$D$5:$D$1005="jabas")*(MOVIMIENTOS!$A$5:$A$1005&lt;&gt;"")*(MOVIMIENTOS!$A$5:$A$1005&lt;=$A819)*MOVIMIENTOS!$E$5:$E$1005)-SUMPRODUCT((MOVIMIENTOS!$B$5:$B$1005="REGALO")*(MOVIMIENTOS!$C$5:$C$1005="A")*(MOVIMIENTOS!$D$5:$D$1005="jabas")*(MOVIMIENTOS!$A$5:$A$1005&lt;&gt;"")*(MOVIMIENTOS!$A$5:$A$1005&lt;=$A819)*MOVIMIENTOS!$E$5:$E$1005)-SUMPRODUCT((MOVIMIENTOS!$B$5:$B$1005="VENTA")*(MOVIMIENTOS!$C$5:$C$1005="A")*(MOVIMIENTOS!$D$5:$D$1005="jabas")*(MOVIMIENTOS!$A$5:$A$1005&lt;&gt;"")*(MOVIMIENTOS!$A$5:$A$1005&lt;=$A819)*MOVIMIENTOS!$E$5:$E$1005)+SUMPRODUCT((MOVIMIENTOS!$B$5:$B$1005="AJUSTE")*(MOVIMIENTOS!$C$5:$C$1005="A")*(MOVIMIENTOS!$D$5:$D$1005="jabas")*(MOVIMIENTOS!$A$5:$A$1005&lt;&gt;"")*(MOVIMIENTOS!$A$5:$A$1005&lt;=$A819)*MOVIMIENTOS!$E$5:$E$1005))</f>
        <v/>
      </c>
      <c r="C819" t="str">
        <f>IF($A819="","",SUMPRODUCT((MOVIMIENTOS!$B$5:$B$1005="SALDO INICIAL")*(MOVIMIENTOS!$C$5:$C$1005="P")*(MOVIMIENTOS!$D$5:$D$1005="jabas")*(MOVIMIENTOS!$A$5:$A$1005&lt;&gt;"")*(MOVIMIENTOS!$A$5:$A$1005&lt;=$A819)*MOVIMIENTOS!$E$5:$E$1005)+SUMPRODUCT((MOVIMIENTOS!$B$5:$B$1005="PROCESO")*(MOVIMIENTOS!$C$5:$C$1005="P")*(MOVIMIENTOS!$D$5:$D$1005="jabas")*(MOVIMIENTOS!$A$5:$A$1005&lt;&gt;"")*(MOVIMIENTOS!$A$5:$A$1005&lt;=$A819)*MOVIMIENTOS!$E$5:$E$1005)-SUMPRODUCT((MOVIMIENTOS!$B$5:$B$1005="ENVÍO A SUPESA")*(MOVIMIENTOS!$C$5:$C$1005="P")*(MOVIMIENTOS!$D$5:$D$1005="jabas")*(MOVIMIENTOS!$A$5:$A$1005&lt;&gt;"")*(MOVIMIENTOS!$A$5:$A$1005&lt;=$A819)*MOVIMIENTOS!$E$5:$E$1005)+SUMPRODUCT((MOVIMIENTOS!$B$5:$B$1005="DEVOLUCIÓN")*(MOVIMIENTOS!$C$5:$C$1005="P")*(MOVIMIENTOS!$D$5:$D$1005="jabas")*(MOVIMIENTOS!$A$5:$A$1005&lt;&gt;"")*(MOVIMIENTOS!$A$5:$A$1005&lt;=$A819)*MOVIMIENTOS!$E$5:$E$1005)-SUMPRODUCT((MOVIMIENTOS!$B$5:$B$1005="TRASIEGO")*(MOVIMIENTOS!$C$5:$C$1005="P")*(MOVIMIENTOS!$D$5:$D$1005="jabas")*(MOVIMIENTOS!$A$5:$A$1005&lt;&gt;"")*(MOVIMIENTOS!$A$5:$A$1005&lt;=$A819)*MOVIMIENTOS!$E$5:$E$1005)-SUMPRODUCT((MOVIMIENTOS!$B$5:$B$1005="REGALO")*(MOVIMIENTOS!$C$5:$C$1005="P")*(MOVIMIENTOS!$D$5:$D$1005="jabas")*(MOVIMIENTOS!$A$5:$A$1005&lt;&gt;"")*(MOVIMIENTOS!$A$5:$A$1005&lt;=$A819)*MOVIMIENTOS!$E$5:$E$1005)-SUMPRODUCT((MOVIMIENTOS!$B$5:$B$1005="VENTA")*(MOVIMIENTOS!$C$5:$C$1005="P")*(MOVIMIENTOS!$D$5:$D$1005="jabas")*(MOVIMIENTOS!$A$5:$A$1005&lt;&gt;"")*(MOVIMIENTOS!$A$5:$A$1005&lt;=$A819)*MOVIMIENTOS!$E$5:$E$1005)+SUMPRODUCT((MOVIMIENTOS!$B$5:$B$1005="AJUSTE")*(MOVIMIENTOS!$C$5:$C$1005="P")*(MOVIMIENTOS!$D$5:$D$1005="jabas")*(MOVIMIENTOS!$A$5:$A$1005&lt;&gt;"")*(MOVIMIENTOS!$A$5:$A$1005&lt;=$A819)*MOVIMIENTOS!$E$5:$E$1005))</f>
        <v/>
      </c>
      <c r="D819" t="str">
        <f>IF($A819="","",SUMPRODUCT((MOVIMIENTOS!$B$5:$B$1005="SALDO INICIAL")*(MOVIMIENTOS!$C$5:$C$1005="C")*(MOVIMIENTOS!$D$5:$D$1005="jabas")*(MOVIMIENTOS!$A$5:$A$1005&lt;&gt;"")*(MOVIMIENTOS!$A$5:$A$1005&lt;=$A819)*MOVIMIENTOS!$E$5:$E$1005)+SUMPRODUCT((MOVIMIENTOS!$B$5:$B$1005="PROCESO")*(MOVIMIENTOS!$C$5:$C$1005="C")*(MOVIMIENTOS!$D$5:$D$1005="jabas")*(MOVIMIENTOS!$A$5:$A$1005&lt;&gt;"")*(MOVIMIENTOS!$A$5:$A$1005&lt;=$A819)*MOVIMIENTOS!$E$5:$E$1005)-SUMPRODUCT((MOVIMIENTOS!$B$5:$B$1005="ENVÍO A SUPESA")*(MOVIMIENTOS!$C$5:$C$1005="C")*(MOVIMIENTOS!$D$5:$D$1005="jabas")*(MOVIMIENTOS!$A$5:$A$1005&lt;&gt;"")*(MOVIMIENTOS!$A$5:$A$1005&lt;=$A819)*MOVIMIENTOS!$E$5:$E$1005)+SUMPRODUCT((MOVIMIENTOS!$B$5:$B$1005="DEVOLUCIÓN")*(MOVIMIENTOS!$C$5:$C$1005="C")*(MOVIMIENTOS!$D$5:$D$1005="jabas")*(MOVIMIENTOS!$A$5:$A$1005&lt;&gt;"")*(MOVIMIENTOS!$A$5:$A$1005&lt;=$A819)*MOVIMIENTOS!$E$5:$E$1005)-SUMPRODUCT((MOVIMIENTOS!$B$5:$B$1005="TRASIEGO")*(MOVIMIENTOS!$C$5:$C$1005="C")*(MOVIMIENTOS!$D$5:$D$1005="jabas")*(MOVIMIENTOS!$A$5:$A$1005&lt;&gt;"")*(MOVIMIENTOS!$A$5:$A$1005&lt;=$A819)*MOVIMIENTOS!$E$5:$E$1005)-SUMPRODUCT((MOVIMIENTOS!$B$5:$B$1005="REGALO")*(MOVIMIENTOS!$C$5:$C$1005="C")*(MOVIMIENTOS!$D$5:$D$1005="jabas")*(MOVIMIENTOS!$A$5:$A$1005&lt;&gt;"")*(MOVIMIENTOS!$A$5:$A$1005&lt;=$A819)*MOVIMIENTOS!$E$5:$E$1005)-SUMPRODUCT((MOVIMIENTOS!$B$5:$B$1005="VENTA")*(MOVIMIENTOS!$C$5:$C$1005="C")*(MOVIMIENTOS!$D$5:$D$1005="jabas")*(MOVIMIENTOS!$A$5:$A$1005&lt;&gt;"")*(MOVIMIENTOS!$A$5:$A$1005&lt;=$A819)*MOVIMIENTOS!$E$5:$E$1005)+SUMPRODUCT((MOVIMIENTOS!$B$5:$B$1005="AJUSTE")*(MOVIMIENTOS!$C$5:$C$1005="C")*(MOVIMIENTOS!$D$5:$D$1005="jabas")*(MOVIMIENTOS!$A$5:$A$1005&lt;&gt;"")*(MOVIMIENTOS!$A$5:$A$1005&lt;=$A819)*MOVIMIENTOS!$E$5:$E$1005))</f>
        <v/>
      </c>
      <c r="E819" t="str">
        <f>IF($A819="","",SUMPRODUCT((MOVIMIENTOS!$B$5:$B$1005="SALDO INICIAL")*(MOVIMIENTOS!$C$5:$C$1005="M")*(MOVIMIENTOS!$D$5:$D$1005="jabas")*(MOVIMIENTOS!$A$5:$A$1005&lt;&gt;"")*(MOVIMIENTOS!$A$5:$A$1005&lt;=$A819)*MOVIMIENTOS!$E$5:$E$1005)+SUMPRODUCT((MOVIMIENTOS!$B$5:$B$1005="PROCESO")*(MOVIMIENTOS!$C$5:$C$1005="M")*(MOVIMIENTOS!$D$5:$D$1005="jabas")*(MOVIMIENTOS!$A$5:$A$1005&lt;&gt;"")*(MOVIMIENTOS!$A$5:$A$1005&lt;=$A819)*MOVIMIENTOS!$E$5:$E$1005)-SUMPRODUCT((MOVIMIENTOS!$B$5:$B$1005="ENVÍO A SUPESA")*(MOVIMIENTOS!$C$5:$C$1005="M")*(MOVIMIENTOS!$D$5:$D$1005="jabas")*(MOVIMIENTOS!$A$5:$A$1005&lt;&gt;"")*(MOVIMIENTOS!$A$5:$A$1005&lt;=$A819)*MOVIMIENTOS!$E$5:$E$1005)+SUMPRODUCT((MOVIMIENTOS!$B$5:$B$1005="DEVOLUCIÓN")*(MOVIMIENTOS!$C$5:$C$1005="M")*(MOVIMIENTOS!$D$5:$D$1005="jabas")*(MOVIMIENTOS!$A$5:$A$1005&lt;&gt;"")*(MOVIMIENTOS!$A$5:$A$1005&lt;=$A819)*MOVIMIENTOS!$E$5:$E$1005)-SUMPRODUCT((MOVIMIENTOS!$B$5:$B$1005="TRASIEGO")*(MOVIMIENTOS!$C$5:$C$1005="M")*(MOVIMIENTOS!$D$5:$D$1005="jabas")*(MOVIMIENTOS!$A$5:$A$1005&lt;&gt;"")*(MOVIMIENTOS!$A$5:$A$1005&lt;=$A819)*MOVIMIENTOS!$E$5:$E$1005)-SUMPRODUCT((MOVIMIENTOS!$B$5:$B$1005="REGALO")*(MOVIMIENTOS!$C$5:$C$1005="M")*(MOVIMIENTOS!$D$5:$D$1005="jabas")*(MOVIMIENTOS!$A$5:$A$1005&lt;&gt;"")*(MOVIMIENTOS!$A$5:$A$1005&lt;=$A819)*MOVIMIENTOS!$E$5:$E$1005)-SUMPRODUCT((MOVIMIENTOS!$B$5:$B$1005="VENTA")*(MOVIMIENTOS!$C$5:$C$1005="M")*(MOVIMIENTOS!$D$5:$D$1005="jabas")*(MOVIMIENTOS!$A$5:$A$1005&lt;&gt;"")*(MOVIMIENTOS!$A$5:$A$1005&lt;=$A819)*MOVIMIENTOS!$E$5:$E$1005)+SUMPRODUCT((MOVIMIENTOS!$B$5:$B$1005="AJUSTE")*(MOVIMIENTOS!$C$5:$C$1005="M")*(MOVIMIENTOS!$D$5:$D$1005="jabas")*(MOVIMIENTOS!$A$5:$A$1005&lt;&gt;"")*(MOVIMIENTOS!$A$5:$A$1005&lt;=$A819)*MOVIMIENTOS!$E$5:$E$1005))</f>
        <v/>
      </c>
      <c r="F819" s="62" t="str">
        <f>IF($A819="","",SUMPRODUCT((MOVIMIENTOS!$B$5:$B$1005="SALDO INICIAL")*(MOVIMIENTOS!$C$5:$C$1005="Chancho")*(MOVIMIENTOS!$D$5:$D$1005="sacos")*(MOVIMIENTOS!$A$5:$A$1005&lt;&gt;"")*(MOVIMIENTOS!$A$5:$A$1005&lt;=$A819)*MOVIMIENTOS!$E$5:$E$1005)+SUMPRODUCT((MOVIMIENTOS!$B$5:$B$1005="PROCESO")*(MOVIMIENTOS!$C$5:$C$1005="Chancho")*(MOVIMIENTOS!$D$5:$D$1005="sacos")*(MOVIMIENTOS!$A$5:$A$1005&lt;&gt;"")*(MOVIMIENTOS!$A$5:$A$1005&lt;=$A819)*MOVIMIENTOS!$E$5:$E$1005)-SUMPRODUCT((MOVIMIENTOS!$B$5:$B$1005="VENTA CHANCHO")*(MOVIMIENTOS!$C$5:$C$1005="Chancho")*(MOVIMIENTOS!$D$5:$D$1005="sacos")*(MOVIMIENTOS!$A$5:$A$1005&lt;&gt;"")*(MOVIMIENTOS!$A$5:$A$1005&lt;=$A819)*MOVIMIENTOS!$E$5:$E$1005)-SUMPRODUCT((MOVIMIENTOS!$B$5:$B$1005="REGALO")*(MOVIMIENTOS!$C$5:$C$1005="Chancho")*(MOVIMIENTOS!$D$5:$D$1005="sacos")*(MOVIMIENTOS!$A$5:$A$1005&lt;&gt;"")*(MOVIMIENTOS!$A$5:$A$1005&lt;=$A819)*MOVIMIENTOS!$E$5:$E$1005)-SUMPRODUCT((MOVIMIENTOS!$B$5:$B$1005="VENTA")*(MOVIMIENTOS!$C$5:$C$1005="Chancho")*(MOVIMIENTOS!$D$5:$D$1005="sacos")*(MOVIMIENTOS!$A$5:$A$1005&lt;&gt;"")*(MOVIMIENTOS!$A$5:$A$1005&lt;=$A819)*MOVIMIENTOS!$E$5:$E$1005)+SUMPRODUCT((MOVIMIENTOS!$B$5:$B$1005="AJUSTE")*(MOVIMIENTOS!$C$5:$C$1005="Chancho")*(MOVIMIENTOS!$D$5:$D$1005="sacos")*(MOVIMIENTOS!$A$5:$A$1005&lt;&gt;"")*(MOVIMIENTOS!$A$5:$A$1005&lt;=$A819)*MOVIMIENTOS!$E$5:$E$1005))</f>
        <v/>
      </c>
      <c r="G819" s="62" t="str">
        <f t="shared" si="25"/>
        <v/>
      </c>
      <c r="H819" t="str">
        <f>IF($A819="","",SUMPRODUCT((((MOVIMIENTOS!$B$5:$B$1005="SALDO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819)*MOVIMIENTOS!$J$5:$J$1005))</f>
        <v/>
      </c>
      <c r="J819" t="str">
        <f>IF(AND(MOVIMIENTOS!$A824&lt;&gt;"",COUNTIF(MOVIMIENTOS!$A$5:$A823,MOVIMIENTOS!$A824)=0),COUNT(J$4:J818)+1,"")</f>
        <v/>
      </c>
      <c r="K819">
        <f>MOVIMIENTOS!$A824</f>
        <v>0</v>
      </c>
    </row>
    <row r="820" spans="1:11" ht="15" customHeight="1" x14ac:dyDescent="0.2">
      <c r="A820" t="str">
        <f t="shared" si="24"/>
        <v/>
      </c>
      <c r="B820" t="str">
        <f>IF($A820="","",SUMPRODUCT((MOVIMIENTOS!$B$5:$B$1005="SALDO INICIAL")*(MOVIMIENTOS!$C$5:$C$1005="A")*(MOVIMIENTOS!$D$5:$D$1005="jabas")*(MOVIMIENTOS!$A$5:$A$1005&lt;&gt;"")*(MOVIMIENTOS!$A$5:$A$1005&lt;=$A820)*MOVIMIENTOS!$E$5:$E$1005)+SUMPRODUCT((MOVIMIENTOS!$B$5:$B$1005="PROCESO")*(MOVIMIENTOS!$C$5:$C$1005="A")*(MOVIMIENTOS!$D$5:$D$1005="jabas")*(MOVIMIENTOS!$A$5:$A$1005&lt;&gt;"")*(MOVIMIENTOS!$A$5:$A$1005&lt;=$A820)*MOVIMIENTOS!$E$5:$E$1005)-SUMPRODUCT((MOVIMIENTOS!$B$5:$B$1005="ENVÍO A SUPESA")*(MOVIMIENTOS!$C$5:$C$1005="A")*(MOVIMIENTOS!$D$5:$D$1005="jabas")*(MOVIMIENTOS!$A$5:$A$1005&lt;&gt;"")*(MOVIMIENTOS!$A$5:$A$1005&lt;=$A820)*MOVIMIENTOS!$E$5:$E$1005)+SUMPRODUCT((MOVIMIENTOS!$B$5:$B$1005="DEVOLUCIÓN")*(MOVIMIENTOS!$C$5:$C$1005="A")*(MOVIMIENTOS!$D$5:$D$1005="jabas")*(MOVIMIENTOS!$A$5:$A$1005&lt;&gt;"")*(MOVIMIENTOS!$A$5:$A$1005&lt;=$A820)*MOVIMIENTOS!$E$5:$E$1005)-SUMPRODUCT((MOVIMIENTOS!$B$5:$B$1005="TRASIEGO")*(MOVIMIENTOS!$C$5:$C$1005="A")*(MOVIMIENTOS!$D$5:$D$1005="jabas")*(MOVIMIENTOS!$A$5:$A$1005&lt;&gt;"")*(MOVIMIENTOS!$A$5:$A$1005&lt;=$A820)*MOVIMIENTOS!$E$5:$E$1005)-SUMPRODUCT((MOVIMIENTOS!$B$5:$B$1005="REGALO")*(MOVIMIENTOS!$C$5:$C$1005="A")*(MOVIMIENTOS!$D$5:$D$1005="jabas")*(MOVIMIENTOS!$A$5:$A$1005&lt;&gt;"")*(MOVIMIENTOS!$A$5:$A$1005&lt;=$A820)*MOVIMIENTOS!$E$5:$E$1005)-SUMPRODUCT((MOVIMIENTOS!$B$5:$B$1005="VENTA")*(MOVIMIENTOS!$C$5:$C$1005="A")*(MOVIMIENTOS!$D$5:$D$1005="jabas")*(MOVIMIENTOS!$A$5:$A$1005&lt;&gt;"")*(MOVIMIENTOS!$A$5:$A$1005&lt;=$A820)*MOVIMIENTOS!$E$5:$E$1005)+SUMPRODUCT((MOVIMIENTOS!$B$5:$B$1005="AJUSTE")*(MOVIMIENTOS!$C$5:$C$1005="A")*(MOVIMIENTOS!$D$5:$D$1005="jabas")*(MOVIMIENTOS!$A$5:$A$1005&lt;&gt;"")*(MOVIMIENTOS!$A$5:$A$1005&lt;=$A820)*MOVIMIENTOS!$E$5:$E$1005))</f>
        <v/>
      </c>
      <c r="C820" t="str">
        <f>IF($A820="","",SUMPRODUCT((MOVIMIENTOS!$B$5:$B$1005="SALDO INICIAL")*(MOVIMIENTOS!$C$5:$C$1005="P")*(MOVIMIENTOS!$D$5:$D$1005="jabas")*(MOVIMIENTOS!$A$5:$A$1005&lt;&gt;"")*(MOVIMIENTOS!$A$5:$A$1005&lt;=$A820)*MOVIMIENTOS!$E$5:$E$1005)+SUMPRODUCT((MOVIMIENTOS!$B$5:$B$1005="PROCESO")*(MOVIMIENTOS!$C$5:$C$1005="P")*(MOVIMIENTOS!$D$5:$D$1005="jabas")*(MOVIMIENTOS!$A$5:$A$1005&lt;&gt;"")*(MOVIMIENTOS!$A$5:$A$1005&lt;=$A820)*MOVIMIENTOS!$E$5:$E$1005)-SUMPRODUCT((MOVIMIENTOS!$B$5:$B$1005="ENVÍO A SUPESA")*(MOVIMIENTOS!$C$5:$C$1005="P")*(MOVIMIENTOS!$D$5:$D$1005="jabas")*(MOVIMIENTOS!$A$5:$A$1005&lt;&gt;"")*(MOVIMIENTOS!$A$5:$A$1005&lt;=$A820)*MOVIMIENTOS!$E$5:$E$1005)+SUMPRODUCT((MOVIMIENTOS!$B$5:$B$1005="DEVOLUCIÓN")*(MOVIMIENTOS!$C$5:$C$1005="P")*(MOVIMIENTOS!$D$5:$D$1005="jabas")*(MOVIMIENTOS!$A$5:$A$1005&lt;&gt;"")*(MOVIMIENTOS!$A$5:$A$1005&lt;=$A820)*MOVIMIENTOS!$E$5:$E$1005)-SUMPRODUCT((MOVIMIENTOS!$B$5:$B$1005="TRASIEGO")*(MOVIMIENTOS!$C$5:$C$1005="P")*(MOVIMIENTOS!$D$5:$D$1005="jabas")*(MOVIMIENTOS!$A$5:$A$1005&lt;&gt;"")*(MOVIMIENTOS!$A$5:$A$1005&lt;=$A820)*MOVIMIENTOS!$E$5:$E$1005)-SUMPRODUCT((MOVIMIENTOS!$B$5:$B$1005="REGALO")*(MOVIMIENTOS!$C$5:$C$1005="P")*(MOVIMIENTOS!$D$5:$D$1005="jabas")*(MOVIMIENTOS!$A$5:$A$1005&lt;&gt;"")*(MOVIMIENTOS!$A$5:$A$1005&lt;=$A820)*MOVIMIENTOS!$E$5:$E$1005)-SUMPRODUCT((MOVIMIENTOS!$B$5:$B$1005="VENTA")*(MOVIMIENTOS!$C$5:$C$1005="P")*(MOVIMIENTOS!$D$5:$D$1005="jabas")*(MOVIMIENTOS!$A$5:$A$1005&lt;&gt;"")*(MOVIMIENTOS!$A$5:$A$1005&lt;=$A820)*MOVIMIENTOS!$E$5:$E$1005)+SUMPRODUCT((MOVIMIENTOS!$B$5:$B$1005="AJUSTE")*(MOVIMIENTOS!$C$5:$C$1005="P")*(MOVIMIENTOS!$D$5:$D$1005="jabas")*(MOVIMIENTOS!$A$5:$A$1005&lt;&gt;"")*(MOVIMIENTOS!$A$5:$A$1005&lt;=$A820)*MOVIMIENTOS!$E$5:$E$1005))</f>
        <v/>
      </c>
      <c r="D820" t="str">
        <f>IF($A820="","",SUMPRODUCT((MOVIMIENTOS!$B$5:$B$1005="SALDO INICIAL")*(MOVIMIENTOS!$C$5:$C$1005="C")*(MOVIMIENTOS!$D$5:$D$1005="jabas")*(MOVIMIENTOS!$A$5:$A$1005&lt;&gt;"")*(MOVIMIENTOS!$A$5:$A$1005&lt;=$A820)*MOVIMIENTOS!$E$5:$E$1005)+SUMPRODUCT((MOVIMIENTOS!$B$5:$B$1005="PROCESO")*(MOVIMIENTOS!$C$5:$C$1005="C")*(MOVIMIENTOS!$D$5:$D$1005="jabas")*(MOVIMIENTOS!$A$5:$A$1005&lt;&gt;"")*(MOVIMIENTOS!$A$5:$A$1005&lt;=$A820)*MOVIMIENTOS!$E$5:$E$1005)-SUMPRODUCT((MOVIMIENTOS!$B$5:$B$1005="ENVÍO A SUPESA")*(MOVIMIENTOS!$C$5:$C$1005="C")*(MOVIMIENTOS!$D$5:$D$1005="jabas")*(MOVIMIENTOS!$A$5:$A$1005&lt;&gt;"")*(MOVIMIENTOS!$A$5:$A$1005&lt;=$A820)*MOVIMIENTOS!$E$5:$E$1005)+SUMPRODUCT((MOVIMIENTOS!$B$5:$B$1005="DEVOLUCIÓN")*(MOVIMIENTOS!$C$5:$C$1005="C")*(MOVIMIENTOS!$D$5:$D$1005="jabas")*(MOVIMIENTOS!$A$5:$A$1005&lt;&gt;"")*(MOVIMIENTOS!$A$5:$A$1005&lt;=$A820)*MOVIMIENTOS!$E$5:$E$1005)-SUMPRODUCT((MOVIMIENTOS!$B$5:$B$1005="TRASIEGO")*(MOVIMIENTOS!$C$5:$C$1005="C")*(MOVIMIENTOS!$D$5:$D$1005="jabas")*(MOVIMIENTOS!$A$5:$A$1005&lt;&gt;"")*(MOVIMIENTOS!$A$5:$A$1005&lt;=$A820)*MOVIMIENTOS!$E$5:$E$1005)-SUMPRODUCT((MOVIMIENTOS!$B$5:$B$1005="REGALO")*(MOVIMIENTOS!$C$5:$C$1005="C")*(MOVIMIENTOS!$D$5:$D$1005="jabas")*(MOVIMIENTOS!$A$5:$A$1005&lt;&gt;"")*(MOVIMIENTOS!$A$5:$A$1005&lt;=$A820)*MOVIMIENTOS!$E$5:$E$1005)-SUMPRODUCT((MOVIMIENTOS!$B$5:$B$1005="VENTA")*(MOVIMIENTOS!$C$5:$C$1005="C")*(MOVIMIENTOS!$D$5:$D$1005="jabas")*(MOVIMIENTOS!$A$5:$A$1005&lt;&gt;"")*(MOVIMIENTOS!$A$5:$A$1005&lt;=$A820)*MOVIMIENTOS!$E$5:$E$1005)+SUMPRODUCT((MOVIMIENTOS!$B$5:$B$1005="AJUSTE")*(MOVIMIENTOS!$C$5:$C$1005="C")*(MOVIMIENTOS!$D$5:$D$1005="jabas")*(MOVIMIENTOS!$A$5:$A$1005&lt;&gt;"")*(MOVIMIENTOS!$A$5:$A$1005&lt;=$A820)*MOVIMIENTOS!$E$5:$E$1005))</f>
        <v/>
      </c>
      <c r="E820" t="str">
        <f>IF($A820="","",SUMPRODUCT((MOVIMIENTOS!$B$5:$B$1005="SALDO INICIAL")*(MOVIMIENTOS!$C$5:$C$1005="M")*(MOVIMIENTOS!$D$5:$D$1005="jabas")*(MOVIMIENTOS!$A$5:$A$1005&lt;&gt;"")*(MOVIMIENTOS!$A$5:$A$1005&lt;=$A820)*MOVIMIENTOS!$E$5:$E$1005)+SUMPRODUCT((MOVIMIENTOS!$B$5:$B$1005="PROCESO")*(MOVIMIENTOS!$C$5:$C$1005="M")*(MOVIMIENTOS!$D$5:$D$1005="jabas")*(MOVIMIENTOS!$A$5:$A$1005&lt;&gt;"")*(MOVIMIENTOS!$A$5:$A$1005&lt;=$A820)*MOVIMIENTOS!$E$5:$E$1005)-SUMPRODUCT((MOVIMIENTOS!$B$5:$B$1005="ENVÍO A SUPESA")*(MOVIMIENTOS!$C$5:$C$1005="M")*(MOVIMIENTOS!$D$5:$D$1005="jabas")*(MOVIMIENTOS!$A$5:$A$1005&lt;&gt;"")*(MOVIMIENTOS!$A$5:$A$1005&lt;=$A820)*MOVIMIENTOS!$E$5:$E$1005)+SUMPRODUCT((MOVIMIENTOS!$B$5:$B$1005="DEVOLUCIÓN")*(MOVIMIENTOS!$C$5:$C$1005="M")*(MOVIMIENTOS!$D$5:$D$1005="jabas")*(MOVIMIENTOS!$A$5:$A$1005&lt;&gt;"")*(MOVIMIENTOS!$A$5:$A$1005&lt;=$A820)*MOVIMIENTOS!$E$5:$E$1005)-SUMPRODUCT((MOVIMIENTOS!$B$5:$B$1005="TRASIEGO")*(MOVIMIENTOS!$C$5:$C$1005="M")*(MOVIMIENTOS!$D$5:$D$1005="jabas")*(MOVIMIENTOS!$A$5:$A$1005&lt;&gt;"")*(MOVIMIENTOS!$A$5:$A$1005&lt;=$A820)*MOVIMIENTOS!$E$5:$E$1005)-SUMPRODUCT((MOVIMIENTOS!$B$5:$B$1005="REGALO")*(MOVIMIENTOS!$C$5:$C$1005="M")*(MOVIMIENTOS!$D$5:$D$1005="jabas")*(MOVIMIENTOS!$A$5:$A$1005&lt;&gt;"")*(MOVIMIENTOS!$A$5:$A$1005&lt;=$A820)*MOVIMIENTOS!$E$5:$E$1005)-SUMPRODUCT((MOVIMIENTOS!$B$5:$B$1005="VENTA")*(MOVIMIENTOS!$C$5:$C$1005="M")*(MOVIMIENTOS!$D$5:$D$1005="jabas")*(MOVIMIENTOS!$A$5:$A$1005&lt;&gt;"")*(MOVIMIENTOS!$A$5:$A$1005&lt;=$A820)*MOVIMIENTOS!$E$5:$E$1005)+SUMPRODUCT((MOVIMIENTOS!$B$5:$B$1005="AJUSTE")*(MOVIMIENTOS!$C$5:$C$1005="M")*(MOVIMIENTOS!$D$5:$D$1005="jabas")*(MOVIMIENTOS!$A$5:$A$1005&lt;&gt;"")*(MOVIMIENTOS!$A$5:$A$1005&lt;=$A820)*MOVIMIENTOS!$E$5:$E$1005))</f>
        <v/>
      </c>
      <c r="F820" s="62" t="str">
        <f>IF($A820="","",SUMPRODUCT((MOVIMIENTOS!$B$5:$B$1005="SALDO INICIAL")*(MOVIMIENTOS!$C$5:$C$1005="Chancho")*(MOVIMIENTOS!$D$5:$D$1005="sacos")*(MOVIMIENTOS!$A$5:$A$1005&lt;&gt;"")*(MOVIMIENTOS!$A$5:$A$1005&lt;=$A820)*MOVIMIENTOS!$E$5:$E$1005)+SUMPRODUCT((MOVIMIENTOS!$B$5:$B$1005="PROCESO")*(MOVIMIENTOS!$C$5:$C$1005="Chancho")*(MOVIMIENTOS!$D$5:$D$1005="sacos")*(MOVIMIENTOS!$A$5:$A$1005&lt;&gt;"")*(MOVIMIENTOS!$A$5:$A$1005&lt;=$A820)*MOVIMIENTOS!$E$5:$E$1005)-SUMPRODUCT((MOVIMIENTOS!$B$5:$B$1005="VENTA CHANCHO")*(MOVIMIENTOS!$C$5:$C$1005="Chancho")*(MOVIMIENTOS!$D$5:$D$1005="sacos")*(MOVIMIENTOS!$A$5:$A$1005&lt;&gt;"")*(MOVIMIENTOS!$A$5:$A$1005&lt;=$A820)*MOVIMIENTOS!$E$5:$E$1005)-SUMPRODUCT((MOVIMIENTOS!$B$5:$B$1005="REGALO")*(MOVIMIENTOS!$C$5:$C$1005="Chancho")*(MOVIMIENTOS!$D$5:$D$1005="sacos")*(MOVIMIENTOS!$A$5:$A$1005&lt;&gt;"")*(MOVIMIENTOS!$A$5:$A$1005&lt;=$A820)*MOVIMIENTOS!$E$5:$E$1005)-SUMPRODUCT((MOVIMIENTOS!$B$5:$B$1005="VENTA")*(MOVIMIENTOS!$C$5:$C$1005="Chancho")*(MOVIMIENTOS!$D$5:$D$1005="sacos")*(MOVIMIENTOS!$A$5:$A$1005&lt;&gt;"")*(MOVIMIENTOS!$A$5:$A$1005&lt;=$A820)*MOVIMIENTOS!$E$5:$E$1005)+SUMPRODUCT((MOVIMIENTOS!$B$5:$B$1005="AJUSTE")*(MOVIMIENTOS!$C$5:$C$1005="Chancho")*(MOVIMIENTOS!$D$5:$D$1005="sacos")*(MOVIMIENTOS!$A$5:$A$1005&lt;&gt;"")*(MOVIMIENTOS!$A$5:$A$1005&lt;=$A820)*MOVIMIENTOS!$E$5:$E$1005))</f>
        <v/>
      </c>
      <c r="G820" s="62" t="str">
        <f t="shared" si="25"/>
        <v/>
      </c>
      <c r="H820" t="str">
        <f>IF($A820="","",SUMPRODUCT((((MOVIMIENTOS!$B$5:$B$1005="SALDO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820)*MOVIMIENTOS!$J$5:$J$1005))</f>
        <v/>
      </c>
      <c r="J820" t="str">
        <f>IF(AND(MOVIMIENTOS!$A825&lt;&gt;"",COUNTIF(MOVIMIENTOS!$A$5:$A824,MOVIMIENTOS!$A825)=0),COUNT(J$4:J819)+1,"")</f>
        <v/>
      </c>
      <c r="K820">
        <f>MOVIMIENTOS!$A825</f>
        <v>0</v>
      </c>
    </row>
    <row r="821" spans="1:11" ht="15" customHeight="1" x14ac:dyDescent="0.2">
      <c r="A821" t="str">
        <f t="shared" si="24"/>
        <v/>
      </c>
      <c r="B821" t="str">
        <f>IF($A821="","",SUMPRODUCT((MOVIMIENTOS!$B$5:$B$1005="SALDO INICIAL")*(MOVIMIENTOS!$C$5:$C$1005="A")*(MOVIMIENTOS!$D$5:$D$1005="jabas")*(MOVIMIENTOS!$A$5:$A$1005&lt;&gt;"")*(MOVIMIENTOS!$A$5:$A$1005&lt;=$A821)*MOVIMIENTOS!$E$5:$E$1005)+SUMPRODUCT((MOVIMIENTOS!$B$5:$B$1005="PROCESO")*(MOVIMIENTOS!$C$5:$C$1005="A")*(MOVIMIENTOS!$D$5:$D$1005="jabas")*(MOVIMIENTOS!$A$5:$A$1005&lt;&gt;"")*(MOVIMIENTOS!$A$5:$A$1005&lt;=$A821)*MOVIMIENTOS!$E$5:$E$1005)-SUMPRODUCT((MOVIMIENTOS!$B$5:$B$1005="ENVÍO A SUPESA")*(MOVIMIENTOS!$C$5:$C$1005="A")*(MOVIMIENTOS!$D$5:$D$1005="jabas")*(MOVIMIENTOS!$A$5:$A$1005&lt;&gt;"")*(MOVIMIENTOS!$A$5:$A$1005&lt;=$A821)*MOVIMIENTOS!$E$5:$E$1005)+SUMPRODUCT((MOVIMIENTOS!$B$5:$B$1005="DEVOLUCIÓN")*(MOVIMIENTOS!$C$5:$C$1005="A")*(MOVIMIENTOS!$D$5:$D$1005="jabas")*(MOVIMIENTOS!$A$5:$A$1005&lt;&gt;"")*(MOVIMIENTOS!$A$5:$A$1005&lt;=$A821)*MOVIMIENTOS!$E$5:$E$1005)-SUMPRODUCT((MOVIMIENTOS!$B$5:$B$1005="TRASIEGO")*(MOVIMIENTOS!$C$5:$C$1005="A")*(MOVIMIENTOS!$D$5:$D$1005="jabas")*(MOVIMIENTOS!$A$5:$A$1005&lt;&gt;"")*(MOVIMIENTOS!$A$5:$A$1005&lt;=$A821)*MOVIMIENTOS!$E$5:$E$1005)-SUMPRODUCT((MOVIMIENTOS!$B$5:$B$1005="REGALO")*(MOVIMIENTOS!$C$5:$C$1005="A")*(MOVIMIENTOS!$D$5:$D$1005="jabas")*(MOVIMIENTOS!$A$5:$A$1005&lt;&gt;"")*(MOVIMIENTOS!$A$5:$A$1005&lt;=$A821)*MOVIMIENTOS!$E$5:$E$1005)-SUMPRODUCT((MOVIMIENTOS!$B$5:$B$1005="VENTA")*(MOVIMIENTOS!$C$5:$C$1005="A")*(MOVIMIENTOS!$D$5:$D$1005="jabas")*(MOVIMIENTOS!$A$5:$A$1005&lt;&gt;"")*(MOVIMIENTOS!$A$5:$A$1005&lt;=$A821)*MOVIMIENTOS!$E$5:$E$1005)+SUMPRODUCT((MOVIMIENTOS!$B$5:$B$1005="AJUSTE")*(MOVIMIENTOS!$C$5:$C$1005="A")*(MOVIMIENTOS!$D$5:$D$1005="jabas")*(MOVIMIENTOS!$A$5:$A$1005&lt;&gt;"")*(MOVIMIENTOS!$A$5:$A$1005&lt;=$A821)*MOVIMIENTOS!$E$5:$E$1005))</f>
        <v/>
      </c>
      <c r="C821" t="str">
        <f>IF($A821="","",SUMPRODUCT((MOVIMIENTOS!$B$5:$B$1005="SALDO INICIAL")*(MOVIMIENTOS!$C$5:$C$1005="P")*(MOVIMIENTOS!$D$5:$D$1005="jabas")*(MOVIMIENTOS!$A$5:$A$1005&lt;&gt;"")*(MOVIMIENTOS!$A$5:$A$1005&lt;=$A821)*MOVIMIENTOS!$E$5:$E$1005)+SUMPRODUCT((MOVIMIENTOS!$B$5:$B$1005="PROCESO")*(MOVIMIENTOS!$C$5:$C$1005="P")*(MOVIMIENTOS!$D$5:$D$1005="jabas")*(MOVIMIENTOS!$A$5:$A$1005&lt;&gt;"")*(MOVIMIENTOS!$A$5:$A$1005&lt;=$A821)*MOVIMIENTOS!$E$5:$E$1005)-SUMPRODUCT((MOVIMIENTOS!$B$5:$B$1005="ENVÍO A SUPESA")*(MOVIMIENTOS!$C$5:$C$1005="P")*(MOVIMIENTOS!$D$5:$D$1005="jabas")*(MOVIMIENTOS!$A$5:$A$1005&lt;&gt;"")*(MOVIMIENTOS!$A$5:$A$1005&lt;=$A821)*MOVIMIENTOS!$E$5:$E$1005)+SUMPRODUCT((MOVIMIENTOS!$B$5:$B$1005="DEVOLUCIÓN")*(MOVIMIENTOS!$C$5:$C$1005="P")*(MOVIMIENTOS!$D$5:$D$1005="jabas")*(MOVIMIENTOS!$A$5:$A$1005&lt;&gt;"")*(MOVIMIENTOS!$A$5:$A$1005&lt;=$A821)*MOVIMIENTOS!$E$5:$E$1005)-SUMPRODUCT((MOVIMIENTOS!$B$5:$B$1005="TRASIEGO")*(MOVIMIENTOS!$C$5:$C$1005="P")*(MOVIMIENTOS!$D$5:$D$1005="jabas")*(MOVIMIENTOS!$A$5:$A$1005&lt;&gt;"")*(MOVIMIENTOS!$A$5:$A$1005&lt;=$A821)*MOVIMIENTOS!$E$5:$E$1005)-SUMPRODUCT((MOVIMIENTOS!$B$5:$B$1005="REGALO")*(MOVIMIENTOS!$C$5:$C$1005="P")*(MOVIMIENTOS!$D$5:$D$1005="jabas")*(MOVIMIENTOS!$A$5:$A$1005&lt;&gt;"")*(MOVIMIENTOS!$A$5:$A$1005&lt;=$A821)*MOVIMIENTOS!$E$5:$E$1005)-SUMPRODUCT((MOVIMIENTOS!$B$5:$B$1005="VENTA")*(MOVIMIENTOS!$C$5:$C$1005="P")*(MOVIMIENTOS!$D$5:$D$1005="jabas")*(MOVIMIENTOS!$A$5:$A$1005&lt;&gt;"")*(MOVIMIENTOS!$A$5:$A$1005&lt;=$A821)*MOVIMIENTOS!$E$5:$E$1005)+SUMPRODUCT((MOVIMIENTOS!$B$5:$B$1005="AJUSTE")*(MOVIMIENTOS!$C$5:$C$1005="P")*(MOVIMIENTOS!$D$5:$D$1005="jabas")*(MOVIMIENTOS!$A$5:$A$1005&lt;&gt;"")*(MOVIMIENTOS!$A$5:$A$1005&lt;=$A821)*MOVIMIENTOS!$E$5:$E$1005))</f>
        <v/>
      </c>
      <c r="D821" t="str">
        <f>IF($A821="","",SUMPRODUCT((MOVIMIENTOS!$B$5:$B$1005="SALDO INICIAL")*(MOVIMIENTOS!$C$5:$C$1005="C")*(MOVIMIENTOS!$D$5:$D$1005="jabas")*(MOVIMIENTOS!$A$5:$A$1005&lt;&gt;"")*(MOVIMIENTOS!$A$5:$A$1005&lt;=$A821)*MOVIMIENTOS!$E$5:$E$1005)+SUMPRODUCT((MOVIMIENTOS!$B$5:$B$1005="PROCESO")*(MOVIMIENTOS!$C$5:$C$1005="C")*(MOVIMIENTOS!$D$5:$D$1005="jabas")*(MOVIMIENTOS!$A$5:$A$1005&lt;&gt;"")*(MOVIMIENTOS!$A$5:$A$1005&lt;=$A821)*MOVIMIENTOS!$E$5:$E$1005)-SUMPRODUCT((MOVIMIENTOS!$B$5:$B$1005="ENVÍO A SUPESA")*(MOVIMIENTOS!$C$5:$C$1005="C")*(MOVIMIENTOS!$D$5:$D$1005="jabas")*(MOVIMIENTOS!$A$5:$A$1005&lt;&gt;"")*(MOVIMIENTOS!$A$5:$A$1005&lt;=$A821)*MOVIMIENTOS!$E$5:$E$1005)+SUMPRODUCT((MOVIMIENTOS!$B$5:$B$1005="DEVOLUCIÓN")*(MOVIMIENTOS!$C$5:$C$1005="C")*(MOVIMIENTOS!$D$5:$D$1005="jabas")*(MOVIMIENTOS!$A$5:$A$1005&lt;&gt;"")*(MOVIMIENTOS!$A$5:$A$1005&lt;=$A821)*MOVIMIENTOS!$E$5:$E$1005)-SUMPRODUCT((MOVIMIENTOS!$B$5:$B$1005="TRASIEGO")*(MOVIMIENTOS!$C$5:$C$1005="C")*(MOVIMIENTOS!$D$5:$D$1005="jabas")*(MOVIMIENTOS!$A$5:$A$1005&lt;&gt;"")*(MOVIMIENTOS!$A$5:$A$1005&lt;=$A821)*MOVIMIENTOS!$E$5:$E$1005)-SUMPRODUCT((MOVIMIENTOS!$B$5:$B$1005="REGALO")*(MOVIMIENTOS!$C$5:$C$1005="C")*(MOVIMIENTOS!$D$5:$D$1005="jabas")*(MOVIMIENTOS!$A$5:$A$1005&lt;&gt;"")*(MOVIMIENTOS!$A$5:$A$1005&lt;=$A821)*MOVIMIENTOS!$E$5:$E$1005)-SUMPRODUCT((MOVIMIENTOS!$B$5:$B$1005="VENTA")*(MOVIMIENTOS!$C$5:$C$1005="C")*(MOVIMIENTOS!$D$5:$D$1005="jabas")*(MOVIMIENTOS!$A$5:$A$1005&lt;&gt;"")*(MOVIMIENTOS!$A$5:$A$1005&lt;=$A821)*MOVIMIENTOS!$E$5:$E$1005)+SUMPRODUCT((MOVIMIENTOS!$B$5:$B$1005="AJUSTE")*(MOVIMIENTOS!$C$5:$C$1005="C")*(MOVIMIENTOS!$D$5:$D$1005="jabas")*(MOVIMIENTOS!$A$5:$A$1005&lt;&gt;"")*(MOVIMIENTOS!$A$5:$A$1005&lt;=$A821)*MOVIMIENTOS!$E$5:$E$1005))</f>
        <v/>
      </c>
      <c r="E821" t="str">
        <f>IF($A821="","",SUMPRODUCT((MOVIMIENTOS!$B$5:$B$1005="SALDO INICIAL")*(MOVIMIENTOS!$C$5:$C$1005="M")*(MOVIMIENTOS!$D$5:$D$1005="jabas")*(MOVIMIENTOS!$A$5:$A$1005&lt;&gt;"")*(MOVIMIENTOS!$A$5:$A$1005&lt;=$A821)*MOVIMIENTOS!$E$5:$E$1005)+SUMPRODUCT((MOVIMIENTOS!$B$5:$B$1005="PROCESO")*(MOVIMIENTOS!$C$5:$C$1005="M")*(MOVIMIENTOS!$D$5:$D$1005="jabas")*(MOVIMIENTOS!$A$5:$A$1005&lt;&gt;"")*(MOVIMIENTOS!$A$5:$A$1005&lt;=$A821)*MOVIMIENTOS!$E$5:$E$1005)-SUMPRODUCT((MOVIMIENTOS!$B$5:$B$1005="ENVÍO A SUPESA")*(MOVIMIENTOS!$C$5:$C$1005="M")*(MOVIMIENTOS!$D$5:$D$1005="jabas")*(MOVIMIENTOS!$A$5:$A$1005&lt;&gt;"")*(MOVIMIENTOS!$A$5:$A$1005&lt;=$A821)*MOVIMIENTOS!$E$5:$E$1005)+SUMPRODUCT((MOVIMIENTOS!$B$5:$B$1005="DEVOLUCIÓN")*(MOVIMIENTOS!$C$5:$C$1005="M")*(MOVIMIENTOS!$D$5:$D$1005="jabas")*(MOVIMIENTOS!$A$5:$A$1005&lt;&gt;"")*(MOVIMIENTOS!$A$5:$A$1005&lt;=$A821)*MOVIMIENTOS!$E$5:$E$1005)-SUMPRODUCT((MOVIMIENTOS!$B$5:$B$1005="TRASIEGO")*(MOVIMIENTOS!$C$5:$C$1005="M")*(MOVIMIENTOS!$D$5:$D$1005="jabas")*(MOVIMIENTOS!$A$5:$A$1005&lt;&gt;"")*(MOVIMIENTOS!$A$5:$A$1005&lt;=$A821)*MOVIMIENTOS!$E$5:$E$1005)-SUMPRODUCT((MOVIMIENTOS!$B$5:$B$1005="REGALO")*(MOVIMIENTOS!$C$5:$C$1005="M")*(MOVIMIENTOS!$D$5:$D$1005="jabas")*(MOVIMIENTOS!$A$5:$A$1005&lt;&gt;"")*(MOVIMIENTOS!$A$5:$A$1005&lt;=$A821)*MOVIMIENTOS!$E$5:$E$1005)-SUMPRODUCT((MOVIMIENTOS!$B$5:$B$1005="VENTA")*(MOVIMIENTOS!$C$5:$C$1005="M")*(MOVIMIENTOS!$D$5:$D$1005="jabas")*(MOVIMIENTOS!$A$5:$A$1005&lt;&gt;"")*(MOVIMIENTOS!$A$5:$A$1005&lt;=$A821)*MOVIMIENTOS!$E$5:$E$1005)+SUMPRODUCT((MOVIMIENTOS!$B$5:$B$1005="AJUSTE")*(MOVIMIENTOS!$C$5:$C$1005="M")*(MOVIMIENTOS!$D$5:$D$1005="jabas")*(MOVIMIENTOS!$A$5:$A$1005&lt;&gt;"")*(MOVIMIENTOS!$A$5:$A$1005&lt;=$A821)*MOVIMIENTOS!$E$5:$E$1005))</f>
        <v/>
      </c>
      <c r="F821" s="62" t="str">
        <f>IF($A821="","",SUMPRODUCT((MOVIMIENTOS!$B$5:$B$1005="SALDO INICIAL")*(MOVIMIENTOS!$C$5:$C$1005="Chancho")*(MOVIMIENTOS!$D$5:$D$1005="sacos")*(MOVIMIENTOS!$A$5:$A$1005&lt;&gt;"")*(MOVIMIENTOS!$A$5:$A$1005&lt;=$A821)*MOVIMIENTOS!$E$5:$E$1005)+SUMPRODUCT((MOVIMIENTOS!$B$5:$B$1005="PROCESO")*(MOVIMIENTOS!$C$5:$C$1005="Chancho")*(MOVIMIENTOS!$D$5:$D$1005="sacos")*(MOVIMIENTOS!$A$5:$A$1005&lt;&gt;"")*(MOVIMIENTOS!$A$5:$A$1005&lt;=$A821)*MOVIMIENTOS!$E$5:$E$1005)-SUMPRODUCT((MOVIMIENTOS!$B$5:$B$1005="VENTA CHANCHO")*(MOVIMIENTOS!$C$5:$C$1005="Chancho")*(MOVIMIENTOS!$D$5:$D$1005="sacos")*(MOVIMIENTOS!$A$5:$A$1005&lt;&gt;"")*(MOVIMIENTOS!$A$5:$A$1005&lt;=$A821)*MOVIMIENTOS!$E$5:$E$1005)-SUMPRODUCT((MOVIMIENTOS!$B$5:$B$1005="REGALO")*(MOVIMIENTOS!$C$5:$C$1005="Chancho")*(MOVIMIENTOS!$D$5:$D$1005="sacos")*(MOVIMIENTOS!$A$5:$A$1005&lt;&gt;"")*(MOVIMIENTOS!$A$5:$A$1005&lt;=$A821)*MOVIMIENTOS!$E$5:$E$1005)-SUMPRODUCT((MOVIMIENTOS!$B$5:$B$1005="VENTA")*(MOVIMIENTOS!$C$5:$C$1005="Chancho")*(MOVIMIENTOS!$D$5:$D$1005="sacos")*(MOVIMIENTOS!$A$5:$A$1005&lt;&gt;"")*(MOVIMIENTOS!$A$5:$A$1005&lt;=$A821)*MOVIMIENTOS!$E$5:$E$1005)+SUMPRODUCT((MOVIMIENTOS!$B$5:$B$1005="AJUSTE")*(MOVIMIENTOS!$C$5:$C$1005="Chancho")*(MOVIMIENTOS!$D$5:$D$1005="sacos")*(MOVIMIENTOS!$A$5:$A$1005&lt;&gt;"")*(MOVIMIENTOS!$A$5:$A$1005&lt;=$A821)*MOVIMIENTOS!$E$5:$E$1005))</f>
        <v/>
      </c>
      <c r="G821" s="62" t="str">
        <f t="shared" si="25"/>
        <v/>
      </c>
      <c r="H821" t="str">
        <f>IF($A821="","",SUMPRODUCT((((MOVIMIENTOS!$B$5:$B$1005="SALDO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821)*MOVIMIENTOS!$J$5:$J$1005))</f>
        <v/>
      </c>
      <c r="J821" t="str">
        <f>IF(AND(MOVIMIENTOS!$A826&lt;&gt;"",COUNTIF(MOVIMIENTOS!$A$5:$A825,MOVIMIENTOS!$A826)=0),COUNT(J$4:J820)+1,"")</f>
        <v/>
      </c>
      <c r="K821">
        <f>MOVIMIENTOS!$A826</f>
        <v>0</v>
      </c>
    </row>
    <row r="822" spans="1:11" ht="15" customHeight="1" x14ac:dyDescent="0.2">
      <c r="A822" t="str">
        <f t="shared" si="24"/>
        <v/>
      </c>
      <c r="B822" t="str">
        <f>IF($A822="","",SUMPRODUCT((MOVIMIENTOS!$B$5:$B$1005="SALDO INICIAL")*(MOVIMIENTOS!$C$5:$C$1005="A")*(MOVIMIENTOS!$D$5:$D$1005="jabas")*(MOVIMIENTOS!$A$5:$A$1005&lt;&gt;"")*(MOVIMIENTOS!$A$5:$A$1005&lt;=$A822)*MOVIMIENTOS!$E$5:$E$1005)+SUMPRODUCT((MOVIMIENTOS!$B$5:$B$1005="PROCESO")*(MOVIMIENTOS!$C$5:$C$1005="A")*(MOVIMIENTOS!$D$5:$D$1005="jabas")*(MOVIMIENTOS!$A$5:$A$1005&lt;&gt;"")*(MOVIMIENTOS!$A$5:$A$1005&lt;=$A822)*MOVIMIENTOS!$E$5:$E$1005)-SUMPRODUCT((MOVIMIENTOS!$B$5:$B$1005="ENVÍO A SUPESA")*(MOVIMIENTOS!$C$5:$C$1005="A")*(MOVIMIENTOS!$D$5:$D$1005="jabas")*(MOVIMIENTOS!$A$5:$A$1005&lt;&gt;"")*(MOVIMIENTOS!$A$5:$A$1005&lt;=$A822)*MOVIMIENTOS!$E$5:$E$1005)+SUMPRODUCT((MOVIMIENTOS!$B$5:$B$1005="DEVOLUCIÓN")*(MOVIMIENTOS!$C$5:$C$1005="A")*(MOVIMIENTOS!$D$5:$D$1005="jabas")*(MOVIMIENTOS!$A$5:$A$1005&lt;&gt;"")*(MOVIMIENTOS!$A$5:$A$1005&lt;=$A822)*MOVIMIENTOS!$E$5:$E$1005)-SUMPRODUCT((MOVIMIENTOS!$B$5:$B$1005="TRASIEGO")*(MOVIMIENTOS!$C$5:$C$1005="A")*(MOVIMIENTOS!$D$5:$D$1005="jabas")*(MOVIMIENTOS!$A$5:$A$1005&lt;&gt;"")*(MOVIMIENTOS!$A$5:$A$1005&lt;=$A822)*MOVIMIENTOS!$E$5:$E$1005)-SUMPRODUCT((MOVIMIENTOS!$B$5:$B$1005="REGALO")*(MOVIMIENTOS!$C$5:$C$1005="A")*(MOVIMIENTOS!$D$5:$D$1005="jabas")*(MOVIMIENTOS!$A$5:$A$1005&lt;&gt;"")*(MOVIMIENTOS!$A$5:$A$1005&lt;=$A822)*MOVIMIENTOS!$E$5:$E$1005)-SUMPRODUCT((MOVIMIENTOS!$B$5:$B$1005="VENTA")*(MOVIMIENTOS!$C$5:$C$1005="A")*(MOVIMIENTOS!$D$5:$D$1005="jabas")*(MOVIMIENTOS!$A$5:$A$1005&lt;&gt;"")*(MOVIMIENTOS!$A$5:$A$1005&lt;=$A822)*MOVIMIENTOS!$E$5:$E$1005)+SUMPRODUCT((MOVIMIENTOS!$B$5:$B$1005="AJUSTE")*(MOVIMIENTOS!$C$5:$C$1005="A")*(MOVIMIENTOS!$D$5:$D$1005="jabas")*(MOVIMIENTOS!$A$5:$A$1005&lt;&gt;"")*(MOVIMIENTOS!$A$5:$A$1005&lt;=$A822)*MOVIMIENTOS!$E$5:$E$1005))</f>
        <v/>
      </c>
      <c r="C822" t="str">
        <f>IF($A822="","",SUMPRODUCT((MOVIMIENTOS!$B$5:$B$1005="SALDO INICIAL")*(MOVIMIENTOS!$C$5:$C$1005="P")*(MOVIMIENTOS!$D$5:$D$1005="jabas")*(MOVIMIENTOS!$A$5:$A$1005&lt;&gt;"")*(MOVIMIENTOS!$A$5:$A$1005&lt;=$A822)*MOVIMIENTOS!$E$5:$E$1005)+SUMPRODUCT((MOVIMIENTOS!$B$5:$B$1005="PROCESO")*(MOVIMIENTOS!$C$5:$C$1005="P")*(MOVIMIENTOS!$D$5:$D$1005="jabas")*(MOVIMIENTOS!$A$5:$A$1005&lt;&gt;"")*(MOVIMIENTOS!$A$5:$A$1005&lt;=$A822)*MOVIMIENTOS!$E$5:$E$1005)-SUMPRODUCT((MOVIMIENTOS!$B$5:$B$1005="ENVÍO A SUPESA")*(MOVIMIENTOS!$C$5:$C$1005="P")*(MOVIMIENTOS!$D$5:$D$1005="jabas")*(MOVIMIENTOS!$A$5:$A$1005&lt;&gt;"")*(MOVIMIENTOS!$A$5:$A$1005&lt;=$A822)*MOVIMIENTOS!$E$5:$E$1005)+SUMPRODUCT((MOVIMIENTOS!$B$5:$B$1005="DEVOLUCIÓN")*(MOVIMIENTOS!$C$5:$C$1005="P")*(MOVIMIENTOS!$D$5:$D$1005="jabas")*(MOVIMIENTOS!$A$5:$A$1005&lt;&gt;"")*(MOVIMIENTOS!$A$5:$A$1005&lt;=$A822)*MOVIMIENTOS!$E$5:$E$1005)-SUMPRODUCT((MOVIMIENTOS!$B$5:$B$1005="TRASIEGO")*(MOVIMIENTOS!$C$5:$C$1005="P")*(MOVIMIENTOS!$D$5:$D$1005="jabas")*(MOVIMIENTOS!$A$5:$A$1005&lt;&gt;"")*(MOVIMIENTOS!$A$5:$A$1005&lt;=$A822)*MOVIMIENTOS!$E$5:$E$1005)-SUMPRODUCT((MOVIMIENTOS!$B$5:$B$1005="REGALO")*(MOVIMIENTOS!$C$5:$C$1005="P")*(MOVIMIENTOS!$D$5:$D$1005="jabas")*(MOVIMIENTOS!$A$5:$A$1005&lt;&gt;"")*(MOVIMIENTOS!$A$5:$A$1005&lt;=$A822)*MOVIMIENTOS!$E$5:$E$1005)-SUMPRODUCT((MOVIMIENTOS!$B$5:$B$1005="VENTA")*(MOVIMIENTOS!$C$5:$C$1005="P")*(MOVIMIENTOS!$D$5:$D$1005="jabas")*(MOVIMIENTOS!$A$5:$A$1005&lt;&gt;"")*(MOVIMIENTOS!$A$5:$A$1005&lt;=$A822)*MOVIMIENTOS!$E$5:$E$1005)+SUMPRODUCT((MOVIMIENTOS!$B$5:$B$1005="AJUSTE")*(MOVIMIENTOS!$C$5:$C$1005="P")*(MOVIMIENTOS!$D$5:$D$1005="jabas")*(MOVIMIENTOS!$A$5:$A$1005&lt;&gt;"")*(MOVIMIENTOS!$A$5:$A$1005&lt;=$A822)*MOVIMIENTOS!$E$5:$E$1005))</f>
        <v/>
      </c>
      <c r="D822" t="str">
        <f>IF($A822="","",SUMPRODUCT((MOVIMIENTOS!$B$5:$B$1005="SALDO INICIAL")*(MOVIMIENTOS!$C$5:$C$1005="C")*(MOVIMIENTOS!$D$5:$D$1005="jabas")*(MOVIMIENTOS!$A$5:$A$1005&lt;&gt;"")*(MOVIMIENTOS!$A$5:$A$1005&lt;=$A822)*MOVIMIENTOS!$E$5:$E$1005)+SUMPRODUCT((MOVIMIENTOS!$B$5:$B$1005="PROCESO")*(MOVIMIENTOS!$C$5:$C$1005="C")*(MOVIMIENTOS!$D$5:$D$1005="jabas")*(MOVIMIENTOS!$A$5:$A$1005&lt;&gt;"")*(MOVIMIENTOS!$A$5:$A$1005&lt;=$A822)*MOVIMIENTOS!$E$5:$E$1005)-SUMPRODUCT((MOVIMIENTOS!$B$5:$B$1005="ENVÍO A SUPESA")*(MOVIMIENTOS!$C$5:$C$1005="C")*(MOVIMIENTOS!$D$5:$D$1005="jabas")*(MOVIMIENTOS!$A$5:$A$1005&lt;&gt;"")*(MOVIMIENTOS!$A$5:$A$1005&lt;=$A822)*MOVIMIENTOS!$E$5:$E$1005)+SUMPRODUCT((MOVIMIENTOS!$B$5:$B$1005="DEVOLUCIÓN")*(MOVIMIENTOS!$C$5:$C$1005="C")*(MOVIMIENTOS!$D$5:$D$1005="jabas")*(MOVIMIENTOS!$A$5:$A$1005&lt;&gt;"")*(MOVIMIENTOS!$A$5:$A$1005&lt;=$A822)*MOVIMIENTOS!$E$5:$E$1005)-SUMPRODUCT((MOVIMIENTOS!$B$5:$B$1005="TRASIEGO")*(MOVIMIENTOS!$C$5:$C$1005="C")*(MOVIMIENTOS!$D$5:$D$1005="jabas")*(MOVIMIENTOS!$A$5:$A$1005&lt;&gt;"")*(MOVIMIENTOS!$A$5:$A$1005&lt;=$A822)*MOVIMIENTOS!$E$5:$E$1005)-SUMPRODUCT((MOVIMIENTOS!$B$5:$B$1005="REGALO")*(MOVIMIENTOS!$C$5:$C$1005="C")*(MOVIMIENTOS!$D$5:$D$1005="jabas")*(MOVIMIENTOS!$A$5:$A$1005&lt;&gt;"")*(MOVIMIENTOS!$A$5:$A$1005&lt;=$A822)*MOVIMIENTOS!$E$5:$E$1005)-SUMPRODUCT((MOVIMIENTOS!$B$5:$B$1005="VENTA")*(MOVIMIENTOS!$C$5:$C$1005="C")*(MOVIMIENTOS!$D$5:$D$1005="jabas")*(MOVIMIENTOS!$A$5:$A$1005&lt;&gt;"")*(MOVIMIENTOS!$A$5:$A$1005&lt;=$A822)*MOVIMIENTOS!$E$5:$E$1005)+SUMPRODUCT((MOVIMIENTOS!$B$5:$B$1005="AJUSTE")*(MOVIMIENTOS!$C$5:$C$1005="C")*(MOVIMIENTOS!$D$5:$D$1005="jabas")*(MOVIMIENTOS!$A$5:$A$1005&lt;&gt;"")*(MOVIMIENTOS!$A$5:$A$1005&lt;=$A822)*MOVIMIENTOS!$E$5:$E$1005))</f>
        <v/>
      </c>
      <c r="E822" t="str">
        <f>IF($A822="","",SUMPRODUCT((MOVIMIENTOS!$B$5:$B$1005="SALDO INICIAL")*(MOVIMIENTOS!$C$5:$C$1005="M")*(MOVIMIENTOS!$D$5:$D$1005="jabas")*(MOVIMIENTOS!$A$5:$A$1005&lt;&gt;"")*(MOVIMIENTOS!$A$5:$A$1005&lt;=$A822)*MOVIMIENTOS!$E$5:$E$1005)+SUMPRODUCT((MOVIMIENTOS!$B$5:$B$1005="PROCESO")*(MOVIMIENTOS!$C$5:$C$1005="M")*(MOVIMIENTOS!$D$5:$D$1005="jabas")*(MOVIMIENTOS!$A$5:$A$1005&lt;&gt;"")*(MOVIMIENTOS!$A$5:$A$1005&lt;=$A822)*MOVIMIENTOS!$E$5:$E$1005)-SUMPRODUCT((MOVIMIENTOS!$B$5:$B$1005="ENVÍO A SUPESA")*(MOVIMIENTOS!$C$5:$C$1005="M")*(MOVIMIENTOS!$D$5:$D$1005="jabas")*(MOVIMIENTOS!$A$5:$A$1005&lt;&gt;"")*(MOVIMIENTOS!$A$5:$A$1005&lt;=$A822)*MOVIMIENTOS!$E$5:$E$1005)+SUMPRODUCT((MOVIMIENTOS!$B$5:$B$1005="DEVOLUCIÓN")*(MOVIMIENTOS!$C$5:$C$1005="M")*(MOVIMIENTOS!$D$5:$D$1005="jabas")*(MOVIMIENTOS!$A$5:$A$1005&lt;&gt;"")*(MOVIMIENTOS!$A$5:$A$1005&lt;=$A822)*MOVIMIENTOS!$E$5:$E$1005)-SUMPRODUCT((MOVIMIENTOS!$B$5:$B$1005="TRASIEGO")*(MOVIMIENTOS!$C$5:$C$1005="M")*(MOVIMIENTOS!$D$5:$D$1005="jabas")*(MOVIMIENTOS!$A$5:$A$1005&lt;&gt;"")*(MOVIMIENTOS!$A$5:$A$1005&lt;=$A822)*MOVIMIENTOS!$E$5:$E$1005)-SUMPRODUCT((MOVIMIENTOS!$B$5:$B$1005="REGALO")*(MOVIMIENTOS!$C$5:$C$1005="M")*(MOVIMIENTOS!$D$5:$D$1005="jabas")*(MOVIMIENTOS!$A$5:$A$1005&lt;&gt;"")*(MOVIMIENTOS!$A$5:$A$1005&lt;=$A822)*MOVIMIENTOS!$E$5:$E$1005)-SUMPRODUCT((MOVIMIENTOS!$B$5:$B$1005="VENTA")*(MOVIMIENTOS!$C$5:$C$1005="M")*(MOVIMIENTOS!$D$5:$D$1005="jabas")*(MOVIMIENTOS!$A$5:$A$1005&lt;&gt;"")*(MOVIMIENTOS!$A$5:$A$1005&lt;=$A822)*MOVIMIENTOS!$E$5:$E$1005)+SUMPRODUCT((MOVIMIENTOS!$B$5:$B$1005="AJUSTE")*(MOVIMIENTOS!$C$5:$C$1005="M")*(MOVIMIENTOS!$D$5:$D$1005="jabas")*(MOVIMIENTOS!$A$5:$A$1005&lt;&gt;"")*(MOVIMIENTOS!$A$5:$A$1005&lt;=$A822)*MOVIMIENTOS!$E$5:$E$1005))</f>
        <v/>
      </c>
      <c r="F822" s="62" t="str">
        <f>IF($A822="","",SUMPRODUCT((MOVIMIENTOS!$B$5:$B$1005="SALDO INICIAL")*(MOVIMIENTOS!$C$5:$C$1005="Chancho")*(MOVIMIENTOS!$D$5:$D$1005="sacos")*(MOVIMIENTOS!$A$5:$A$1005&lt;&gt;"")*(MOVIMIENTOS!$A$5:$A$1005&lt;=$A822)*MOVIMIENTOS!$E$5:$E$1005)+SUMPRODUCT((MOVIMIENTOS!$B$5:$B$1005="PROCESO")*(MOVIMIENTOS!$C$5:$C$1005="Chancho")*(MOVIMIENTOS!$D$5:$D$1005="sacos")*(MOVIMIENTOS!$A$5:$A$1005&lt;&gt;"")*(MOVIMIENTOS!$A$5:$A$1005&lt;=$A822)*MOVIMIENTOS!$E$5:$E$1005)-SUMPRODUCT((MOVIMIENTOS!$B$5:$B$1005="VENTA CHANCHO")*(MOVIMIENTOS!$C$5:$C$1005="Chancho")*(MOVIMIENTOS!$D$5:$D$1005="sacos")*(MOVIMIENTOS!$A$5:$A$1005&lt;&gt;"")*(MOVIMIENTOS!$A$5:$A$1005&lt;=$A822)*MOVIMIENTOS!$E$5:$E$1005)-SUMPRODUCT((MOVIMIENTOS!$B$5:$B$1005="REGALO")*(MOVIMIENTOS!$C$5:$C$1005="Chancho")*(MOVIMIENTOS!$D$5:$D$1005="sacos")*(MOVIMIENTOS!$A$5:$A$1005&lt;&gt;"")*(MOVIMIENTOS!$A$5:$A$1005&lt;=$A822)*MOVIMIENTOS!$E$5:$E$1005)-SUMPRODUCT((MOVIMIENTOS!$B$5:$B$1005="VENTA")*(MOVIMIENTOS!$C$5:$C$1005="Chancho")*(MOVIMIENTOS!$D$5:$D$1005="sacos")*(MOVIMIENTOS!$A$5:$A$1005&lt;&gt;"")*(MOVIMIENTOS!$A$5:$A$1005&lt;=$A822)*MOVIMIENTOS!$E$5:$E$1005)+SUMPRODUCT((MOVIMIENTOS!$B$5:$B$1005="AJUSTE")*(MOVIMIENTOS!$C$5:$C$1005="Chancho")*(MOVIMIENTOS!$D$5:$D$1005="sacos")*(MOVIMIENTOS!$A$5:$A$1005&lt;&gt;"")*(MOVIMIENTOS!$A$5:$A$1005&lt;=$A822)*MOVIMIENTOS!$E$5:$E$1005))</f>
        <v/>
      </c>
      <c r="G822" s="62" t="str">
        <f t="shared" si="25"/>
        <v/>
      </c>
      <c r="H822" t="str">
        <f>IF($A822="","",SUMPRODUCT((((MOVIMIENTOS!$B$5:$B$1005="SALDO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822)*MOVIMIENTOS!$J$5:$J$1005))</f>
        <v/>
      </c>
      <c r="J822" t="str">
        <f>IF(AND(MOVIMIENTOS!$A827&lt;&gt;"",COUNTIF(MOVIMIENTOS!$A$5:$A826,MOVIMIENTOS!$A827)=0),COUNT(J$4:J821)+1,"")</f>
        <v/>
      </c>
      <c r="K822">
        <f>MOVIMIENTOS!$A827</f>
        <v>0</v>
      </c>
    </row>
    <row r="823" spans="1:11" ht="15" customHeight="1" x14ac:dyDescent="0.2">
      <c r="A823" t="str">
        <f t="shared" si="24"/>
        <v/>
      </c>
      <c r="B823" t="str">
        <f>IF($A823="","",SUMPRODUCT((MOVIMIENTOS!$B$5:$B$1005="SALDO INICIAL")*(MOVIMIENTOS!$C$5:$C$1005="A")*(MOVIMIENTOS!$D$5:$D$1005="jabas")*(MOVIMIENTOS!$A$5:$A$1005&lt;&gt;"")*(MOVIMIENTOS!$A$5:$A$1005&lt;=$A823)*MOVIMIENTOS!$E$5:$E$1005)+SUMPRODUCT((MOVIMIENTOS!$B$5:$B$1005="PROCESO")*(MOVIMIENTOS!$C$5:$C$1005="A")*(MOVIMIENTOS!$D$5:$D$1005="jabas")*(MOVIMIENTOS!$A$5:$A$1005&lt;&gt;"")*(MOVIMIENTOS!$A$5:$A$1005&lt;=$A823)*MOVIMIENTOS!$E$5:$E$1005)-SUMPRODUCT((MOVIMIENTOS!$B$5:$B$1005="ENVÍO A SUPESA")*(MOVIMIENTOS!$C$5:$C$1005="A")*(MOVIMIENTOS!$D$5:$D$1005="jabas")*(MOVIMIENTOS!$A$5:$A$1005&lt;&gt;"")*(MOVIMIENTOS!$A$5:$A$1005&lt;=$A823)*MOVIMIENTOS!$E$5:$E$1005)+SUMPRODUCT((MOVIMIENTOS!$B$5:$B$1005="DEVOLUCIÓN")*(MOVIMIENTOS!$C$5:$C$1005="A")*(MOVIMIENTOS!$D$5:$D$1005="jabas")*(MOVIMIENTOS!$A$5:$A$1005&lt;&gt;"")*(MOVIMIENTOS!$A$5:$A$1005&lt;=$A823)*MOVIMIENTOS!$E$5:$E$1005)-SUMPRODUCT((MOVIMIENTOS!$B$5:$B$1005="TRASIEGO")*(MOVIMIENTOS!$C$5:$C$1005="A")*(MOVIMIENTOS!$D$5:$D$1005="jabas")*(MOVIMIENTOS!$A$5:$A$1005&lt;&gt;"")*(MOVIMIENTOS!$A$5:$A$1005&lt;=$A823)*MOVIMIENTOS!$E$5:$E$1005)-SUMPRODUCT((MOVIMIENTOS!$B$5:$B$1005="REGALO")*(MOVIMIENTOS!$C$5:$C$1005="A")*(MOVIMIENTOS!$D$5:$D$1005="jabas")*(MOVIMIENTOS!$A$5:$A$1005&lt;&gt;"")*(MOVIMIENTOS!$A$5:$A$1005&lt;=$A823)*MOVIMIENTOS!$E$5:$E$1005)-SUMPRODUCT((MOVIMIENTOS!$B$5:$B$1005="VENTA")*(MOVIMIENTOS!$C$5:$C$1005="A")*(MOVIMIENTOS!$D$5:$D$1005="jabas")*(MOVIMIENTOS!$A$5:$A$1005&lt;&gt;"")*(MOVIMIENTOS!$A$5:$A$1005&lt;=$A823)*MOVIMIENTOS!$E$5:$E$1005)+SUMPRODUCT((MOVIMIENTOS!$B$5:$B$1005="AJUSTE")*(MOVIMIENTOS!$C$5:$C$1005="A")*(MOVIMIENTOS!$D$5:$D$1005="jabas")*(MOVIMIENTOS!$A$5:$A$1005&lt;&gt;"")*(MOVIMIENTOS!$A$5:$A$1005&lt;=$A823)*MOVIMIENTOS!$E$5:$E$1005))</f>
        <v/>
      </c>
      <c r="C823" t="str">
        <f>IF($A823="","",SUMPRODUCT((MOVIMIENTOS!$B$5:$B$1005="SALDO INICIAL")*(MOVIMIENTOS!$C$5:$C$1005="P")*(MOVIMIENTOS!$D$5:$D$1005="jabas")*(MOVIMIENTOS!$A$5:$A$1005&lt;&gt;"")*(MOVIMIENTOS!$A$5:$A$1005&lt;=$A823)*MOVIMIENTOS!$E$5:$E$1005)+SUMPRODUCT((MOVIMIENTOS!$B$5:$B$1005="PROCESO")*(MOVIMIENTOS!$C$5:$C$1005="P")*(MOVIMIENTOS!$D$5:$D$1005="jabas")*(MOVIMIENTOS!$A$5:$A$1005&lt;&gt;"")*(MOVIMIENTOS!$A$5:$A$1005&lt;=$A823)*MOVIMIENTOS!$E$5:$E$1005)-SUMPRODUCT((MOVIMIENTOS!$B$5:$B$1005="ENVÍO A SUPESA")*(MOVIMIENTOS!$C$5:$C$1005="P")*(MOVIMIENTOS!$D$5:$D$1005="jabas")*(MOVIMIENTOS!$A$5:$A$1005&lt;&gt;"")*(MOVIMIENTOS!$A$5:$A$1005&lt;=$A823)*MOVIMIENTOS!$E$5:$E$1005)+SUMPRODUCT((MOVIMIENTOS!$B$5:$B$1005="DEVOLUCIÓN")*(MOVIMIENTOS!$C$5:$C$1005="P")*(MOVIMIENTOS!$D$5:$D$1005="jabas")*(MOVIMIENTOS!$A$5:$A$1005&lt;&gt;"")*(MOVIMIENTOS!$A$5:$A$1005&lt;=$A823)*MOVIMIENTOS!$E$5:$E$1005)-SUMPRODUCT((MOVIMIENTOS!$B$5:$B$1005="TRASIEGO")*(MOVIMIENTOS!$C$5:$C$1005="P")*(MOVIMIENTOS!$D$5:$D$1005="jabas")*(MOVIMIENTOS!$A$5:$A$1005&lt;&gt;"")*(MOVIMIENTOS!$A$5:$A$1005&lt;=$A823)*MOVIMIENTOS!$E$5:$E$1005)-SUMPRODUCT((MOVIMIENTOS!$B$5:$B$1005="REGALO")*(MOVIMIENTOS!$C$5:$C$1005="P")*(MOVIMIENTOS!$D$5:$D$1005="jabas")*(MOVIMIENTOS!$A$5:$A$1005&lt;&gt;"")*(MOVIMIENTOS!$A$5:$A$1005&lt;=$A823)*MOVIMIENTOS!$E$5:$E$1005)-SUMPRODUCT((MOVIMIENTOS!$B$5:$B$1005="VENTA")*(MOVIMIENTOS!$C$5:$C$1005="P")*(MOVIMIENTOS!$D$5:$D$1005="jabas")*(MOVIMIENTOS!$A$5:$A$1005&lt;&gt;"")*(MOVIMIENTOS!$A$5:$A$1005&lt;=$A823)*MOVIMIENTOS!$E$5:$E$1005)+SUMPRODUCT((MOVIMIENTOS!$B$5:$B$1005="AJUSTE")*(MOVIMIENTOS!$C$5:$C$1005="P")*(MOVIMIENTOS!$D$5:$D$1005="jabas")*(MOVIMIENTOS!$A$5:$A$1005&lt;&gt;"")*(MOVIMIENTOS!$A$5:$A$1005&lt;=$A823)*MOVIMIENTOS!$E$5:$E$1005))</f>
        <v/>
      </c>
      <c r="D823" t="str">
        <f>IF($A823="","",SUMPRODUCT((MOVIMIENTOS!$B$5:$B$1005="SALDO INICIAL")*(MOVIMIENTOS!$C$5:$C$1005="C")*(MOVIMIENTOS!$D$5:$D$1005="jabas")*(MOVIMIENTOS!$A$5:$A$1005&lt;&gt;"")*(MOVIMIENTOS!$A$5:$A$1005&lt;=$A823)*MOVIMIENTOS!$E$5:$E$1005)+SUMPRODUCT((MOVIMIENTOS!$B$5:$B$1005="PROCESO")*(MOVIMIENTOS!$C$5:$C$1005="C")*(MOVIMIENTOS!$D$5:$D$1005="jabas")*(MOVIMIENTOS!$A$5:$A$1005&lt;&gt;"")*(MOVIMIENTOS!$A$5:$A$1005&lt;=$A823)*MOVIMIENTOS!$E$5:$E$1005)-SUMPRODUCT((MOVIMIENTOS!$B$5:$B$1005="ENVÍO A SUPESA")*(MOVIMIENTOS!$C$5:$C$1005="C")*(MOVIMIENTOS!$D$5:$D$1005="jabas")*(MOVIMIENTOS!$A$5:$A$1005&lt;&gt;"")*(MOVIMIENTOS!$A$5:$A$1005&lt;=$A823)*MOVIMIENTOS!$E$5:$E$1005)+SUMPRODUCT((MOVIMIENTOS!$B$5:$B$1005="DEVOLUCIÓN")*(MOVIMIENTOS!$C$5:$C$1005="C")*(MOVIMIENTOS!$D$5:$D$1005="jabas")*(MOVIMIENTOS!$A$5:$A$1005&lt;&gt;"")*(MOVIMIENTOS!$A$5:$A$1005&lt;=$A823)*MOVIMIENTOS!$E$5:$E$1005)-SUMPRODUCT((MOVIMIENTOS!$B$5:$B$1005="TRASIEGO")*(MOVIMIENTOS!$C$5:$C$1005="C")*(MOVIMIENTOS!$D$5:$D$1005="jabas")*(MOVIMIENTOS!$A$5:$A$1005&lt;&gt;"")*(MOVIMIENTOS!$A$5:$A$1005&lt;=$A823)*MOVIMIENTOS!$E$5:$E$1005)-SUMPRODUCT((MOVIMIENTOS!$B$5:$B$1005="REGALO")*(MOVIMIENTOS!$C$5:$C$1005="C")*(MOVIMIENTOS!$D$5:$D$1005="jabas")*(MOVIMIENTOS!$A$5:$A$1005&lt;&gt;"")*(MOVIMIENTOS!$A$5:$A$1005&lt;=$A823)*MOVIMIENTOS!$E$5:$E$1005)-SUMPRODUCT((MOVIMIENTOS!$B$5:$B$1005="VENTA")*(MOVIMIENTOS!$C$5:$C$1005="C")*(MOVIMIENTOS!$D$5:$D$1005="jabas")*(MOVIMIENTOS!$A$5:$A$1005&lt;&gt;"")*(MOVIMIENTOS!$A$5:$A$1005&lt;=$A823)*MOVIMIENTOS!$E$5:$E$1005)+SUMPRODUCT((MOVIMIENTOS!$B$5:$B$1005="AJUSTE")*(MOVIMIENTOS!$C$5:$C$1005="C")*(MOVIMIENTOS!$D$5:$D$1005="jabas")*(MOVIMIENTOS!$A$5:$A$1005&lt;&gt;"")*(MOVIMIENTOS!$A$5:$A$1005&lt;=$A823)*MOVIMIENTOS!$E$5:$E$1005))</f>
        <v/>
      </c>
      <c r="E823" t="str">
        <f>IF($A823="","",SUMPRODUCT((MOVIMIENTOS!$B$5:$B$1005="SALDO INICIAL")*(MOVIMIENTOS!$C$5:$C$1005="M")*(MOVIMIENTOS!$D$5:$D$1005="jabas")*(MOVIMIENTOS!$A$5:$A$1005&lt;&gt;"")*(MOVIMIENTOS!$A$5:$A$1005&lt;=$A823)*MOVIMIENTOS!$E$5:$E$1005)+SUMPRODUCT((MOVIMIENTOS!$B$5:$B$1005="PROCESO")*(MOVIMIENTOS!$C$5:$C$1005="M")*(MOVIMIENTOS!$D$5:$D$1005="jabas")*(MOVIMIENTOS!$A$5:$A$1005&lt;&gt;"")*(MOVIMIENTOS!$A$5:$A$1005&lt;=$A823)*MOVIMIENTOS!$E$5:$E$1005)-SUMPRODUCT((MOVIMIENTOS!$B$5:$B$1005="ENVÍO A SUPESA")*(MOVIMIENTOS!$C$5:$C$1005="M")*(MOVIMIENTOS!$D$5:$D$1005="jabas")*(MOVIMIENTOS!$A$5:$A$1005&lt;&gt;"")*(MOVIMIENTOS!$A$5:$A$1005&lt;=$A823)*MOVIMIENTOS!$E$5:$E$1005)+SUMPRODUCT((MOVIMIENTOS!$B$5:$B$1005="DEVOLUCIÓN")*(MOVIMIENTOS!$C$5:$C$1005="M")*(MOVIMIENTOS!$D$5:$D$1005="jabas")*(MOVIMIENTOS!$A$5:$A$1005&lt;&gt;"")*(MOVIMIENTOS!$A$5:$A$1005&lt;=$A823)*MOVIMIENTOS!$E$5:$E$1005)-SUMPRODUCT((MOVIMIENTOS!$B$5:$B$1005="TRASIEGO")*(MOVIMIENTOS!$C$5:$C$1005="M")*(MOVIMIENTOS!$D$5:$D$1005="jabas")*(MOVIMIENTOS!$A$5:$A$1005&lt;&gt;"")*(MOVIMIENTOS!$A$5:$A$1005&lt;=$A823)*MOVIMIENTOS!$E$5:$E$1005)-SUMPRODUCT((MOVIMIENTOS!$B$5:$B$1005="REGALO")*(MOVIMIENTOS!$C$5:$C$1005="M")*(MOVIMIENTOS!$D$5:$D$1005="jabas")*(MOVIMIENTOS!$A$5:$A$1005&lt;&gt;"")*(MOVIMIENTOS!$A$5:$A$1005&lt;=$A823)*MOVIMIENTOS!$E$5:$E$1005)-SUMPRODUCT((MOVIMIENTOS!$B$5:$B$1005="VENTA")*(MOVIMIENTOS!$C$5:$C$1005="M")*(MOVIMIENTOS!$D$5:$D$1005="jabas")*(MOVIMIENTOS!$A$5:$A$1005&lt;&gt;"")*(MOVIMIENTOS!$A$5:$A$1005&lt;=$A823)*MOVIMIENTOS!$E$5:$E$1005)+SUMPRODUCT((MOVIMIENTOS!$B$5:$B$1005="AJUSTE")*(MOVIMIENTOS!$C$5:$C$1005="M")*(MOVIMIENTOS!$D$5:$D$1005="jabas")*(MOVIMIENTOS!$A$5:$A$1005&lt;&gt;"")*(MOVIMIENTOS!$A$5:$A$1005&lt;=$A823)*MOVIMIENTOS!$E$5:$E$1005))</f>
        <v/>
      </c>
      <c r="F823" s="62" t="str">
        <f>IF($A823="","",SUMPRODUCT((MOVIMIENTOS!$B$5:$B$1005="SALDO INICIAL")*(MOVIMIENTOS!$C$5:$C$1005="Chancho")*(MOVIMIENTOS!$D$5:$D$1005="sacos")*(MOVIMIENTOS!$A$5:$A$1005&lt;&gt;"")*(MOVIMIENTOS!$A$5:$A$1005&lt;=$A823)*MOVIMIENTOS!$E$5:$E$1005)+SUMPRODUCT((MOVIMIENTOS!$B$5:$B$1005="PROCESO")*(MOVIMIENTOS!$C$5:$C$1005="Chancho")*(MOVIMIENTOS!$D$5:$D$1005="sacos")*(MOVIMIENTOS!$A$5:$A$1005&lt;&gt;"")*(MOVIMIENTOS!$A$5:$A$1005&lt;=$A823)*MOVIMIENTOS!$E$5:$E$1005)-SUMPRODUCT((MOVIMIENTOS!$B$5:$B$1005="VENTA CHANCHO")*(MOVIMIENTOS!$C$5:$C$1005="Chancho")*(MOVIMIENTOS!$D$5:$D$1005="sacos")*(MOVIMIENTOS!$A$5:$A$1005&lt;&gt;"")*(MOVIMIENTOS!$A$5:$A$1005&lt;=$A823)*MOVIMIENTOS!$E$5:$E$1005)-SUMPRODUCT((MOVIMIENTOS!$B$5:$B$1005="REGALO")*(MOVIMIENTOS!$C$5:$C$1005="Chancho")*(MOVIMIENTOS!$D$5:$D$1005="sacos")*(MOVIMIENTOS!$A$5:$A$1005&lt;&gt;"")*(MOVIMIENTOS!$A$5:$A$1005&lt;=$A823)*MOVIMIENTOS!$E$5:$E$1005)-SUMPRODUCT((MOVIMIENTOS!$B$5:$B$1005="VENTA")*(MOVIMIENTOS!$C$5:$C$1005="Chancho")*(MOVIMIENTOS!$D$5:$D$1005="sacos")*(MOVIMIENTOS!$A$5:$A$1005&lt;&gt;"")*(MOVIMIENTOS!$A$5:$A$1005&lt;=$A823)*MOVIMIENTOS!$E$5:$E$1005)+SUMPRODUCT((MOVIMIENTOS!$B$5:$B$1005="AJUSTE")*(MOVIMIENTOS!$C$5:$C$1005="Chancho")*(MOVIMIENTOS!$D$5:$D$1005="sacos")*(MOVIMIENTOS!$A$5:$A$1005&lt;&gt;"")*(MOVIMIENTOS!$A$5:$A$1005&lt;=$A823)*MOVIMIENTOS!$E$5:$E$1005))</f>
        <v/>
      </c>
      <c r="G823" s="62" t="str">
        <f t="shared" si="25"/>
        <v/>
      </c>
      <c r="H823" t="str">
        <f>IF($A823="","",SUMPRODUCT((((MOVIMIENTOS!$B$5:$B$1005="SALDO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823)*MOVIMIENTOS!$J$5:$J$1005))</f>
        <v/>
      </c>
      <c r="J823" t="str">
        <f>IF(AND(MOVIMIENTOS!$A828&lt;&gt;"",COUNTIF(MOVIMIENTOS!$A$5:$A827,MOVIMIENTOS!$A828)=0),COUNT(J$4:J822)+1,"")</f>
        <v/>
      </c>
      <c r="K823">
        <f>MOVIMIENTOS!$A828</f>
        <v>0</v>
      </c>
    </row>
    <row r="824" spans="1:11" ht="15" customHeight="1" x14ac:dyDescent="0.2">
      <c r="A824" t="str">
        <f t="shared" si="24"/>
        <v/>
      </c>
      <c r="B824" t="str">
        <f>IF($A824="","",SUMPRODUCT((MOVIMIENTOS!$B$5:$B$1005="SALDO INICIAL")*(MOVIMIENTOS!$C$5:$C$1005="A")*(MOVIMIENTOS!$D$5:$D$1005="jabas")*(MOVIMIENTOS!$A$5:$A$1005&lt;&gt;"")*(MOVIMIENTOS!$A$5:$A$1005&lt;=$A824)*MOVIMIENTOS!$E$5:$E$1005)+SUMPRODUCT((MOVIMIENTOS!$B$5:$B$1005="PROCESO")*(MOVIMIENTOS!$C$5:$C$1005="A")*(MOVIMIENTOS!$D$5:$D$1005="jabas")*(MOVIMIENTOS!$A$5:$A$1005&lt;&gt;"")*(MOVIMIENTOS!$A$5:$A$1005&lt;=$A824)*MOVIMIENTOS!$E$5:$E$1005)-SUMPRODUCT((MOVIMIENTOS!$B$5:$B$1005="ENVÍO A SUPESA")*(MOVIMIENTOS!$C$5:$C$1005="A")*(MOVIMIENTOS!$D$5:$D$1005="jabas")*(MOVIMIENTOS!$A$5:$A$1005&lt;&gt;"")*(MOVIMIENTOS!$A$5:$A$1005&lt;=$A824)*MOVIMIENTOS!$E$5:$E$1005)+SUMPRODUCT((MOVIMIENTOS!$B$5:$B$1005="DEVOLUCIÓN")*(MOVIMIENTOS!$C$5:$C$1005="A")*(MOVIMIENTOS!$D$5:$D$1005="jabas")*(MOVIMIENTOS!$A$5:$A$1005&lt;&gt;"")*(MOVIMIENTOS!$A$5:$A$1005&lt;=$A824)*MOVIMIENTOS!$E$5:$E$1005)-SUMPRODUCT((MOVIMIENTOS!$B$5:$B$1005="TRASIEGO")*(MOVIMIENTOS!$C$5:$C$1005="A")*(MOVIMIENTOS!$D$5:$D$1005="jabas")*(MOVIMIENTOS!$A$5:$A$1005&lt;&gt;"")*(MOVIMIENTOS!$A$5:$A$1005&lt;=$A824)*MOVIMIENTOS!$E$5:$E$1005)-SUMPRODUCT((MOVIMIENTOS!$B$5:$B$1005="REGALO")*(MOVIMIENTOS!$C$5:$C$1005="A")*(MOVIMIENTOS!$D$5:$D$1005="jabas")*(MOVIMIENTOS!$A$5:$A$1005&lt;&gt;"")*(MOVIMIENTOS!$A$5:$A$1005&lt;=$A824)*MOVIMIENTOS!$E$5:$E$1005)-SUMPRODUCT((MOVIMIENTOS!$B$5:$B$1005="VENTA")*(MOVIMIENTOS!$C$5:$C$1005="A")*(MOVIMIENTOS!$D$5:$D$1005="jabas")*(MOVIMIENTOS!$A$5:$A$1005&lt;&gt;"")*(MOVIMIENTOS!$A$5:$A$1005&lt;=$A824)*MOVIMIENTOS!$E$5:$E$1005)+SUMPRODUCT((MOVIMIENTOS!$B$5:$B$1005="AJUSTE")*(MOVIMIENTOS!$C$5:$C$1005="A")*(MOVIMIENTOS!$D$5:$D$1005="jabas")*(MOVIMIENTOS!$A$5:$A$1005&lt;&gt;"")*(MOVIMIENTOS!$A$5:$A$1005&lt;=$A824)*MOVIMIENTOS!$E$5:$E$1005))</f>
        <v/>
      </c>
      <c r="C824" t="str">
        <f>IF($A824="","",SUMPRODUCT((MOVIMIENTOS!$B$5:$B$1005="SALDO INICIAL")*(MOVIMIENTOS!$C$5:$C$1005="P")*(MOVIMIENTOS!$D$5:$D$1005="jabas")*(MOVIMIENTOS!$A$5:$A$1005&lt;&gt;"")*(MOVIMIENTOS!$A$5:$A$1005&lt;=$A824)*MOVIMIENTOS!$E$5:$E$1005)+SUMPRODUCT((MOVIMIENTOS!$B$5:$B$1005="PROCESO")*(MOVIMIENTOS!$C$5:$C$1005="P")*(MOVIMIENTOS!$D$5:$D$1005="jabas")*(MOVIMIENTOS!$A$5:$A$1005&lt;&gt;"")*(MOVIMIENTOS!$A$5:$A$1005&lt;=$A824)*MOVIMIENTOS!$E$5:$E$1005)-SUMPRODUCT((MOVIMIENTOS!$B$5:$B$1005="ENVÍO A SUPESA")*(MOVIMIENTOS!$C$5:$C$1005="P")*(MOVIMIENTOS!$D$5:$D$1005="jabas")*(MOVIMIENTOS!$A$5:$A$1005&lt;&gt;"")*(MOVIMIENTOS!$A$5:$A$1005&lt;=$A824)*MOVIMIENTOS!$E$5:$E$1005)+SUMPRODUCT((MOVIMIENTOS!$B$5:$B$1005="DEVOLUCIÓN")*(MOVIMIENTOS!$C$5:$C$1005="P")*(MOVIMIENTOS!$D$5:$D$1005="jabas")*(MOVIMIENTOS!$A$5:$A$1005&lt;&gt;"")*(MOVIMIENTOS!$A$5:$A$1005&lt;=$A824)*MOVIMIENTOS!$E$5:$E$1005)-SUMPRODUCT((MOVIMIENTOS!$B$5:$B$1005="TRASIEGO")*(MOVIMIENTOS!$C$5:$C$1005="P")*(MOVIMIENTOS!$D$5:$D$1005="jabas")*(MOVIMIENTOS!$A$5:$A$1005&lt;&gt;"")*(MOVIMIENTOS!$A$5:$A$1005&lt;=$A824)*MOVIMIENTOS!$E$5:$E$1005)-SUMPRODUCT((MOVIMIENTOS!$B$5:$B$1005="REGALO")*(MOVIMIENTOS!$C$5:$C$1005="P")*(MOVIMIENTOS!$D$5:$D$1005="jabas")*(MOVIMIENTOS!$A$5:$A$1005&lt;&gt;"")*(MOVIMIENTOS!$A$5:$A$1005&lt;=$A824)*MOVIMIENTOS!$E$5:$E$1005)-SUMPRODUCT((MOVIMIENTOS!$B$5:$B$1005="VENTA")*(MOVIMIENTOS!$C$5:$C$1005="P")*(MOVIMIENTOS!$D$5:$D$1005="jabas")*(MOVIMIENTOS!$A$5:$A$1005&lt;&gt;"")*(MOVIMIENTOS!$A$5:$A$1005&lt;=$A824)*MOVIMIENTOS!$E$5:$E$1005)+SUMPRODUCT((MOVIMIENTOS!$B$5:$B$1005="AJUSTE")*(MOVIMIENTOS!$C$5:$C$1005="P")*(MOVIMIENTOS!$D$5:$D$1005="jabas")*(MOVIMIENTOS!$A$5:$A$1005&lt;&gt;"")*(MOVIMIENTOS!$A$5:$A$1005&lt;=$A824)*MOVIMIENTOS!$E$5:$E$1005))</f>
        <v/>
      </c>
      <c r="D824" t="str">
        <f>IF($A824="","",SUMPRODUCT((MOVIMIENTOS!$B$5:$B$1005="SALDO INICIAL")*(MOVIMIENTOS!$C$5:$C$1005="C")*(MOVIMIENTOS!$D$5:$D$1005="jabas")*(MOVIMIENTOS!$A$5:$A$1005&lt;&gt;"")*(MOVIMIENTOS!$A$5:$A$1005&lt;=$A824)*MOVIMIENTOS!$E$5:$E$1005)+SUMPRODUCT((MOVIMIENTOS!$B$5:$B$1005="PROCESO")*(MOVIMIENTOS!$C$5:$C$1005="C")*(MOVIMIENTOS!$D$5:$D$1005="jabas")*(MOVIMIENTOS!$A$5:$A$1005&lt;&gt;"")*(MOVIMIENTOS!$A$5:$A$1005&lt;=$A824)*MOVIMIENTOS!$E$5:$E$1005)-SUMPRODUCT((MOVIMIENTOS!$B$5:$B$1005="ENVÍO A SUPESA")*(MOVIMIENTOS!$C$5:$C$1005="C")*(MOVIMIENTOS!$D$5:$D$1005="jabas")*(MOVIMIENTOS!$A$5:$A$1005&lt;&gt;"")*(MOVIMIENTOS!$A$5:$A$1005&lt;=$A824)*MOVIMIENTOS!$E$5:$E$1005)+SUMPRODUCT((MOVIMIENTOS!$B$5:$B$1005="DEVOLUCIÓN")*(MOVIMIENTOS!$C$5:$C$1005="C")*(MOVIMIENTOS!$D$5:$D$1005="jabas")*(MOVIMIENTOS!$A$5:$A$1005&lt;&gt;"")*(MOVIMIENTOS!$A$5:$A$1005&lt;=$A824)*MOVIMIENTOS!$E$5:$E$1005)-SUMPRODUCT((MOVIMIENTOS!$B$5:$B$1005="TRASIEGO")*(MOVIMIENTOS!$C$5:$C$1005="C")*(MOVIMIENTOS!$D$5:$D$1005="jabas")*(MOVIMIENTOS!$A$5:$A$1005&lt;&gt;"")*(MOVIMIENTOS!$A$5:$A$1005&lt;=$A824)*MOVIMIENTOS!$E$5:$E$1005)-SUMPRODUCT((MOVIMIENTOS!$B$5:$B$1005="REGALO")*(MOVIMIENTOS!$C$5:$C$1005="C")*(MOVIMIENTOS!$D$5:$D$1005="jabas")*(MOVIMIENTOS!$A$5:$A$1005&lt;&gt;"")*(MOVIMIENTOS!$A$5:$A$1005&lt;=$A824)*MOVIMIENTOS!$E$5:$E$1005)-SUMPRODUCT((MOVIMIENTOS!$B$5:$B$1005="VENTA")*(MOVIMIENTOS!$C$5:$C$1005="C")*(MOVIMIENTOS!$D$5:$D$1005="jabas")*(MOVIMIENTOS!$A$5:$A$1005&lt;&gt;"")*(MOVIMIENTOS!$A$5:$A$1005&lt;=$A824)*MOVIMIENTOS!$E$5:$E$1005)+SUMPRODUCT((MOVIMIENTOS!$B$5:$B$1005="AJUSTE")*(MOVIMIENTOS!$C$5:$C$1005="C")*(MOVIMIENTOS!$D$5:$D$1005="jabas")*(MOVIMIENTOS!$A$5:$A$1005&lt;&gt;"")*(MOVIMIENTOS!$A$5:$A$1005&lt;=$A824)*MOVIMIENTOS!$E$5:$E$1005))</f>
        <v/>
      </c>
      <c r="E824" t="str">
        <f>IF($A824="","",SUMPRODUCT((MOVIMIENTOS!$B$5:$B$1005="SALDO INICIAL")*(MOVIMIENTOS!$C$5:$C$1005="M")*(MOVIMIENTOS!$D$5:$D$1005="jabas")*(MOVIMIENTOS!$A$5:$A$1005&lt;&gt;"")*(MOVIMIENTOS!$A$5:$A$1005&lt;=$A824)*MOVIMIENTOS!$E$5:$E$1005)+SUMPRODUCT((MOVIMIENTOS!$B$5:$B$1005="PROCESO")*(MOVIMIENTOS!$C$5:$C$1005="M")*(MOVIMIENTOS!$D$5:$D$1005="jabas")*(MOVIMIENTOS!$A$5:$A$1005&lt;&gt;"")*(MOVIMIENTOS!$A$5:$A$1005&lt;=$A824)*MOVIMIENTOS!$E$5:$E$1005)-SUMPRODUCT((MOVIMIENTOS!$B$5:$B$1005="ENVÍO A SUPESA")*(MOVIMIENTOS!$C$5:$C$1005="M")*(MOVIMIENTOS!$D$5:$D$1005="jabas")*(MOVIMIENTOS!$A$5:$A$1005&lt;&gt;"")*(MOVIMIENTOS!$A$5:$A$1005&lt;=$A824)*MOVIMIENTOS!$E$5:$E$1005)+SUMPRODUCT((MOVIMIENTOS!$B$5:$B$1005="DEVOLUCIÓN")*(MOVIMIENTOS!$C$5:$C$1005="M")*(MOVIMIENTOS!$D$5:$D$1005="jabas")*(MOVIMIENTOS!$A$5:$A$1005&lt;&gt;"")*(MOVIMIENTOS!$A$5:$A$1005&lt;=$A824)*MOVIMIENTOS!$E$5:$E$1005)-SUMPRODUCT((MOVIMIENTOS!$B$5:$B$1005="TRASIEGO")*(MOVIMIENTOS!$C$5:$C$1005="M")*(MOVIMIENTOS!$D$5:$D$1005="jabas")*(MOVIMIENTOS!$A$5:$A$1005&lt;&gt;"")*(MOVIMIENTOS!$A$5:$A$1005&lt;=$A824)*MOVIMIENTOS!$E$5:$E$1005)-SUMPRODUCT((MOVIMIENTOS!$B$5:$B$1005="REGALO")*(MOVIMIENTOS!$C$5:$C$1005="M")*(MOVIMIENTOS!$D$5:$D$1005="jabas")*(MOVIMIENTOS!$A$5:$A$1005&lt;&gt;"")*(MOVIMIENTOS!$A$5:$A$1005&lt;=$A824)*MOVIMIENTOS!$E$5:$E$1005)-SUMPRODUCT((MOVIMIENTOS!$B$5:$B$1005="VENTA")*(MOVIMIENTOS!$C$5:$C$1005="M")*(MOVIMIENTOS!$D$5:$D$1005="jabas")*(MOVIMIENTOS!$A$5:$A$1005&lt;&gt;"")*(MOVIMIENTOS!$A$5:$A$1005&lt;=$A824)*MOVIMIENTOS!$E$5:$E$1005)+SUMPRODUCT((MOVIMIENTOS!$B$5:$B$1005="AJUSTE")*(MOVIMIENTOS!$C$5:$C$1005="M")*(MOVIMIENTOS!$D$5:$D$1005="jabas")*(MOVIMIENTOS!$A$5:$A$1005&lt;&gt;"")*(MOVIMIENTOS!$A$5:$A$1005&lt;=$A824)*MOVIMIENTOS!$E$5:$E$1005))</f>
        <v/>
      </c>
      <c r="F824" s="62" t="str">
        <f>IF($A824="","",SUMPRODUCT((MOVIMIENTOS!$B$5:$B$1005="SALDO INICIAL")*(MOVIMIENTOS!$C$5:$C$1005="Chancho")*(MOVIMIENTOS!$D$5:$D$1005="sacos")*(MOVIMIENTOS!$A$5:$A$1005&lt;&gt;"")*(MOVIMIENTOS!$A$5:$A$1005&lt;=$A824)*MOVIMIENTOS!$E$5:$E$1005)+SUMPRODUCT((MOVIMIENTOS!$B$5:$B$1005="PROCESO")*(MOVIMIENTOS!$C$5:$C$1005="Chancho")*(MOVIMIENTOS!$D$5:$D$1005="sacos")*(MOVIMIENTOS!$A$5:$A$1005&lt;&gt;"")*(MOVIMIENTOS!$A$5:$A$1005&lt;=$A824)*MOVIMIENTOS!$E$5:$E$1005)-SUMPRODUCT((MOVIMIENTOS!$B$5:$B$1005="VENTA CHANCHO")*(MOVIMIENTOS!$C$5:$C$1005="Chancho")*(MOVIMIENTOS!$D$5:$D$1005="sacos")*(MOVIMIENTOS!$A$5:$A$1005&lt;&gt;"")*(MOVIMIENTOS!$A$5:$A$1005&lt;=$A824)*MOVIMIENTOS!$E$5:$E$1005)-SUMPRODUCT((MOVIMIENTOS!$B$5:$B$1005="REGALO")*(MOVIMIENTOS!$C$5:$C$1005="Chancho")*(MOVIMIENTOS!$D$5:$D$1005="sacos")*(MOVIMIENTOS!$A$5:$A$1005&lt;&gt;"")*(MOVIMIENTOS!$A$5:$A$1005&lt;=$A824)*MOVIMIENTOS!$E$5:$E$1005)-SUMPRODUCT((MOVIMIENTOS!$B$5:$B$1005="VENTA")*(MOVIMIENTOS!$C$5:$C$1005="Chancho")*(MOVIMIENTOS!$D$5:$D$1005="sacos")*(MOVIMIENTOS!$A$5:$A$1005&lt;&gt;"")*(MOVIMIENTOS!$A$5:$A$1005&lt;=$A824)*MOVIMIENTOS!$E$5:$E$1005)+SUMPRODUCT((MOVIMIENTOS!$B$5:$B$1005="AJUSTE")*(MOVIMIENTOS!$C$5:$C$1005="Chancho")*(MOVIMIENTOS!$D$5:$D$1005="sacos")*(MOVIMIENTOS!$A$5:$A$1005&lt;&gt;"")*(MOVIMIENTOS!$A$5:$A$1005&lt;=$A824)*MOVIMIENTOS!$E$5:$E$1005))</f>
        <v/>
      </c>
      <c r="G824" s="62" t="str">
        <f t="shared" si="25"/>
        <v/>
      </c>
      <c r="H824" t="str">
        <f>IF($A824="","",SUMPRODUCT((((MOVIMIENTOS!$B$5:$B$1005="SALDO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824)*MOVIMIENTOS!$J$5:$J$1005))</f>
        <v/>
      </c>
      <c r="J824" t="str">
        <f>IF(AND(MOVIMIENTOS!$A829&lt;&gt;"",COUNTIF(MOVIMIENTOS!$A$5:$A828,MOVIMIENTOS!$A829)=0),COUNT(J$4:J823)+1,"")</f>
        <v/>
      </c>
      <c r="K824">
        <f>MOVIMIENTOS!$A829</f>
        <v>0</v>
      </c>
    </row>
    <row r="825" spans="1:11" ht="15" customHeight="1" x14ac:dyDescent="0.2">
      <c r="A825" t="str">
        <f t="shared" si="24"/>
        <v/>
      </c>
      <c r="B825" t="str">
        <f>IF($A825="","",SUMPRODUCT((MOVIMIENTOS!$B$5:$B$1005="SALDO INICIAL")*(MOVIMIENTOS!$C$5:$C$1005="A")*(MOVIMIENTOS!$D$5:$D$1005="jabas")*(MOVIMIENTOS!$A$5:$A$1005&lt;&gt;"")*(MOVIMIENTOS!$A$5:$A$1005&lt;=$A825)*MOVIMIENTOS!$E$5:$E$1005)+SUMPRODUCT((MOVIMIENTOS!$B$5:$B$1005="PROCESO")*(MOVIMIENTOS!$C$5:$C$1005="A")*(MOVIMIENTOS!$D$5:$D$1005="jabas")*(MOVIMIENTOS!$A$5:$A$1005&lt;&gt;"")*(MOVIMIENTOS!$A$5:$A$1005&lt;=$A825)*MOVIMIENTOS!$E$5:$E$1005)-SUMPRODUCT((MOVIMIENTOS!$B$5:$B$1005="ENVÍO A SUPESA")*(MOVIMIENTOS!$C$5:$C$1005="A")*(MOVIMIENTOS!$D$5:$D$1005="jabas")*(MOVIMIENTOS!$A$5:$A$1005&lt;&gt;"")*(MOVIMIENTOS!$A$5:$A$1005&lt;=$A825)*MOVIMIENTOS!$E$5:$E$1005)+SUMPRODUCT((MOVIMIENTOS!$B$5:$B$1005="DEVOLUCIÓN")*(MOVIMIENTOS!$C$5:$C$1005="A")*(MOVIMIENTOS!$D$5:$D$1005="jabas")*(MOVIMIENTOS!$A$5:$A$1005&lt;&gt;"")*(MOVIMIENTOS!$A$5:$A$1005&lt;=$A825)*MOVIMIENTOS!$E$5:$E$1005)-SUMPRODUCT((MOVIMIENTOS!$B$5:$B$1005="TRASIEGO")*(MOVIMIENTOS!$C$5:$C$1005="A")*(MOVIMIENTOS!$D$5:$D$1005="jabas")*(MOVIMIENTOS!$A$5:$A$1005&lt;&gt;"")*(MOVIMIENTOS!$A$5:$A$1005&lt;=$A825)*MOVIMIENTOS!$E$5:$E$1005)-SUMPRODUCT((MOVIMIENTOS!$B$5:$B$1005="REGALO")*(MOVIMIENTOS!$C$5:$C$1005="A")*(MOVIMIENTOS!$D$5:$D$1005="jabas")*(MOVIMIENTOS!$A$5:$A$1005&lt;&gt;"")*(MOVIMIENTOS!$A$5:$A$1005&lt;=$A825)*MOVIMIENTOS!$E$5:$E$1005)-SUMPRODUCT((MOVIMIENTOS!$B$5:$B$1005="VENTA")*(MOVIMIENTOS!$C$5:$C$1005="A")*(MOVIMIENTOS!$D$5:$D$1005="jabas")*(MOVIMIENTOS!$A$5:$A$1005&lt;&gt;"")*(MOVIMIENTOS!$A$5:$A$1005&lt;=$A825)*MOVIMIENTOS!$E$5:$E$1005)+SUMPRODUCT((MOVIMIENTOS!$B$5:$B$1005="AJUSTE")*(MOVIMIENTOS!$C$5:$C$1005="A")*(MOVIMIENTOS!$D$5:$D$1005="jabas")*(MOVIMIENTOS!$A$5:$A$1005&lt;&gt;"")*(MOVIMIENTOS!$A$5:$A$1005&lt;=$A825)*MOVIMIENTOS!$E$5:$E$1005))</f>
        <v/>
      </c>
      <c r="C825" t="str">
        <f>IF($A825="","",SUMPRODUCT((MOVIMIENTOS!$B$5:$B$1005="SALDO INICIAL")*(MOVIMIENTOS!$C$5:$C$1005="P")*(MOVIMIENTOS!$D$5:$D$1005="jabas")*(MOVIMIENTOS!$A$5:$A$1005&lt;&gt;"")*(MOVIMIENTOS!$A$5:$A$1005&lt;=$A825)*MOVIMIENTOS!$E$5:$E$1005)+SUMPRODUCT((MOVIMIENTOS!$B$5:$B$1005="PROCESO")*(MOVIMIENTOS!$C$5:$C$1005="P")*(MOVIMIENTOS!$D$5:$D$1005="jabas")*(MOVIMIENTOS!$A$5:$A$1005&lt;&gt;"")*(MOVIMIENTOS!$A$5:$A$1005&lt;=$A825)*MOVIMIENTOS!$E$5:$E$1005)-SUMPRODUCT((MOVIMIENTOS!$B$5:$B$1005="ENVÍO A SUPESA")*(MOVIMIENTOS!$C$5:$C$1005="P")*(MOVIMIENTOS!$D$5:$D$1005="jabas")*(MOVIMIENTOS!$A$5:$A$1005&lt;&gt;"")*(MOVIMIENTOS!$A$5:$A$1005&lt;=$A825)*MOVIMIENTOS!$E$5:$E$1005)+SUMPRODUCT((MOVIMIENTOS!$B$5:$B$1005="DEVOLUCIÓN")*(MOVIMIENTOS!$C$5:$C$1005="P")*(MOVIMIENTOS!$D$5:$D$1005="jabas")*(MOVIMIENTOS!$A$5:$A$1005&lt;&gt;"")*(MOVIMIENTOS!$A$5:$A$1005&lt;=$A825)*MOVIMIENTOS!$E$5:$E$1005)-SUMPRODUCT((MOVIMIENTOS!$B$5:$B$1005="TRASIEGO")*(MOVIMIENTOS!$C$5:$C$1005="P")*(MOVIMIENTOS!$D$5:$D$1005="jabas")*(MOVIMIENTOS!$A$5:$A$1005&lt;&gt;"")*(MOVIMIENTOS!$A$5:$A$1005&lt;=$A825)*MOVIMIENTOS!$E$5:$E$1005)-SUMPRODUCT((MOVIMIENTOS!$B$5:$B$1005="REGALO")*(MOVIMIENTOS!$C$5:$C$1005="P")*(MOVIMIENTOS!$D$5:$D$1005="jabas")*(MOVIMIENTOS!$A$5:$A$1005&lt;&gt;"")*(MOVIMIENTOS!$A$5:$A$1005&lt;=$A825)*MOVIMIENTOS!$E$5:$E$1005)-SUMPRODUCT((MOVIMIENTOS!$B$5:$B$1005="VENTA")*(MOVIMIENTOS!$C$5:$C$1005="P")*(MOVIMIENTOS!$D$5:$D$1005="jabas")*(MOVIMIENTOS!$A$5:$A$1005&lt;&gt;"")*(MOVIMIENTOS!$A$5:$A$1005&lt;=$A825)*MOVIMIENTOS!$E$5:$E$1005)+SUMPRODUCT((MOVIMIENTOS!$B$5:$B$1005="AJUSTE")*(MOVIMIENTOS!$C$5:$C$1005="P")*(MOVIMIENTOS!$D$5:$D$1005="jabas")*(MOVIMIENTOS!$A$5:$A$1005&lt;&gt;"")*(MOVIMIENTOS!$A$5:$A$1005&lt;=$A825)*MOVIMIENTOS!$E$5:$E$1005))</f>
        <v/>
      </c>
      <c r="D825" t="str">
        <f>IF($A825="","",SUMPRODUCT((MOVIMIENTOS!$B$5:$B$1005="SALDO INICIAL")*(MOVIMIENTOS!$C$5:$C$1005="C")*(MOVIMIENTOS!$D$5:$D$1005="jabas")*(MOVIMIENTOS!$A$5:$A$1005&lt;&gt;"")*(MOVIMIENTOS!$A$5:$A$1005&lt;=$A825)*MOVIMIENTOS!$E$5:$E$1005)+SUMPRODUCT((MOVIMIENTOS!$B$5:$B$1005="PROCESO")*(MOVIMIENTOS!$C$5:$C$1005="C")*(MOVIMIENTOS!$D$5:$D$1005="jabas")*(MOVIMIENTOS!$A$5:$A$1005&lt;&gt;"")*(MOVIMIENTOS!$A$5:$A$1005&lt;=$A825)*MOVIMIENTOS!$E$5:$E$1005)-SUMPRODUCT((MOVIMIENTOS!$B$5:$B$1005="ENVÍO A SUPESA")*(MOVIMIENTOS!$C$5:$C$1005="C")*(MOVIMIENTOS!$D$5:$D$1005="jabas")*(MOVIMIENTOS!$A$5:$A$1005&lt;&gt;"")*(MOVIMIENTOS!$A$5:$A$1005&lt;=$A825)*MOVIMIENTOS!$E$5:$E$1005)+SUMPRODUCT((MOVIMIENTOS!$B$5:$B$1005="DEVOLUCIÓN")*(MOVIMIENTOS!$C$5:$C$1005="C")*(MOVIMIENTOS!$D$5:$D$1005="jabas")*(MOVIMIENTOS!$A$5:$A$1005&lt;&gt;"")*(MOVIMIENTOS!$A$5:$A$1005&lt;=$A825)*MOVIMIENTOS!$E$5:$E$1005)-SUMPRODUCT((MOVIMIENTOS!$B$5:$B$1005="TRASIEGO")*(MOVIMIENTOS!$C$5:$C$1005="C")*(MOVIMIENTOS!$D$5:$D$1005="jabas")*(MOVIMIENTOS!$A$5:$A$1005&lt;&gt;"")*(MOVIMIENTOS!$A$5:$A$1005&lt;=$A825)*MOVIMIENTOS!$E$5:$E$1005)-SUMPRODUCT((MOVIMIENTOS!$B$5:$B$1005="REGALO")*(MOVIMIENTOS!$C$5:$C$1005="C")*(MOVIMIENTOS!$D$5:$D$1005="jabas")*(MOVIMIENTOS!$A$5:$A$1005&lt;&gt;"")*(MOVIMIENTOS!$A$5:$A$1005&lt;=$A825)*MOVIMIENTOS!$E$5:$E$1005)-SUMPRODUCT((MOVIMIENTOS!$B$5:$B$1005="VENTA")*(MOVIMIENTOS!$C$5:$C$1005="C")*(MOVIMIENTOS!$D$5:$D$1005="jabas")*(MOVIMIENTOS!$A$5:$A$1005&lt;&gt;"")*(MOVIMIENTOS!$A$5:$A$1005&lt;=$A825)*MOVIMIENTOS!$E$5:$E$1005)+SUMPRODUCT((MOVIMIENTOS!$B$5:$B$1005="AJUSTE")*(MOVIMIENTOS!$C$5:$C$1005="C")*(MOVIMIENTOS!$D$5:$D$1005="jabas")*(MOVIMIENTOS!$A$5:$A$1005&lt;&gt;"")*(MOVIMIENTOS!$A$5:$A$1005&lt;=$A825)*MOVIMIENTOS!$E$5:$E$1005))</f>
        <v/>
      </c>
      <c r="E825" t="str">
        <f>IF($A825="","",SUMPRODUCT((MOVIMIENTOS!$B$5:$B$1005="SALDO INICIAL")*(MOVIMIENTOS!$C$5:$C$1005="M")*(MOVIMIENTOS!$D$5:$D$1005="jabas")*(MOVIMIENTOS!$A$5:$A$1005&lt;&gt;"")*(MOVIMIENTOS!$A$5:$A$1005&lt;=$A825)*MOVIMIENTOS!$E$5:$E$1005)+SUMPRODUCT((MOVIMIENTOS!$B$5:$B$1005="PROCESO")*(MOVIMIENTOS!$C$5:$C$1005="M")*(MOVIMIENTOS!$D$5:$D$1005="jabas")*(MOVIMIENTOS!$A$5:$A$1005&lt;&gt;"")*(MOVIMIENTOS!$A$5:$A$1005&lt;=$A825)*MOVIMIENTOS!$E$5:$E$1005)-SUMPRODUCT((MOVIMIENTOS!$B$5:$B$1005="ENVÍO A SUPESA")*(MOVIMIENTOS!$C$5:$C$1005="M")*(MOVIMIENTOS!$D$5:$D$1005="jabas")*(MOVIMIENTOS!$A$5:$A$1005&lt;&gt;"")*(MOVIMIENTOS!$A$5:$A$1005&lt;=$A825)*MOVIMIENTOS!$E$5:$E$1005)+SUMPRODUCT((MOVIMIENTOS!$B$5:$B$1005="DEVOLUCIÓN")*(MOVIMIENTOS!$C$5:$C$1005="M")*(MOVIMIENTOS!$D$5:$D$1005="jabas")*(MOVIMIENTOS!$A$5:$A$1005&lt;&gt;"")*(MOVIMIENTOS!$A$5:$A$1005&lt;=$A825)*MOVIMIENTOS!$E$5:$E$1005)-SUMPRODUCT((MOVIMIENTOS!$B$5:$B$1005="TRASIEGO")*(MOVIMIENTOS!$C$5:$C$1005="M")*(MOVIMIENTOS!$D$5:$D$1005="jabas")*(MOVIMIENTOS!$A$5:$A$1005&lt;&gt;"")*(MOVIMIENTOS!$A$5:$A$1005&lt;=$A825)*MOVIMIENTOS!$E$5:$E$1005)-SUMPRODUCT((MOVIMIENTOS!$B$5:$B$1005="REGALO")*(MOVIMIENTOS!$C$5:$C$1005="M")*(MOVIMIENTOS!$D$5:$D$1005="jabas")*(MOVIMIENTOS!$A$5:$A$1005&lt;&gt;"")*(MOVIMIENTOS!$A$5:$A$1005&lt;=$A825)*MOVIMIENTOS!$E$5:$E$1005)-SUMPRODUCT((MOVIMIENTOS!$B$5:$B$1005="VENTA")*(MOVIMIENTOS!$C$5:$C$1005="M")*(MOVIMIENTOS!$D$5:$D$1005="jabas")*(MOVIMIENTOS!$A$5:$A$1005&lt;&gt;"")*(MOVIMIENTOS!$A$5:$A$1005&lt;=$A825)*MOVIMIENTOS!$E$5:$E$1005)+SUMPRODUCT((MOVIMIENTOS!$B$5:$B$1005="AJUSTE")*(MOVIMIENTOS!$C$5:$C$1005="M")*(MOVIMIENTOS!$D$5:$D$1005="jabas")*(MOVIMIENTOS!$A$5:$A$1005&lt;&gt;"")*(MOVIMIENTOS!$A$5:$A$1005&lt;=$A825)*MOVIMIENTOS!$E$5:$E$1005))</f>
        <v/>
      </c>
      <c r="F825" s="62" t="str">
        <f>IF($A825="","",SUMPRODUCT((MOVIMIENTOS!$B$5:$B$1005="SALDO INICIAL")*(MOVIMIENTOS!$C$5:$C$1005="Chancho")*(MOVIMIENTOS!$D$5:$D$1005="sacos")*(MOVIMIENTOS!$A$5:$A$1005&lt;&gt;"")*(MOVIMIENTOS!$A$5:$A$1005&lt;=$A825)*MOVIMIENTOS!$E$5:$E$1005)+SUMPRODUCT((MOVIMIENTOS!$B$5:$B$1005="PROCESO")*(MOVIMIENTOS!$C$5:$C$1005="Chancho")*(MOVIMIENTOS!$D$5:$D$1005="sacos")*(MOVIMIENTOS!$A$5:$A$1005&lt;&gt;"")*(MOVIMIENTOS!$A$5:$A$1005&lt;=$A825)*MOVIMIENTOS!$E$5:$E$1005)-SUMPRODUCT((MOVIMIENTOS!$B$5:$B$1005="VENTA CHANCHO")*(MOVIMIENTOS!$C$5:$C$1005="Chancho")*(MOVIMIENTOS!$D$5:$D$1005="sacos")*(MOVIMIENTOS!$A$5:$A$1005&lt;&gt;"")*(MOVIMIENTOS!$A$5:$A$1005&lt;=$A825)*MOVIMIENTOS!$E$5:$E$1005)-SUMPRODUCT((MOVIMIENTOS!$B$5:$B$1005="REGALO")*(MOVIMIENTOS!$C$5:$C$1005="Chancho")*(MOVIMIENTOS!$D$5:$D$1005="sacos")*(MOVIMIENTOS!$A$5:$A$1005&lt;&gt;"")*(MOVIMIENTOS!$A$5:$A$1005&lt;=$A825)*MOVIMIENTOS!$E$5:$E$1005)-SUMPRODUCT((MOVIMIENTOS!$B$5:$B$1005="VENTA")*(MOVIMIENTOS!$C$5:$C$1005="Chancho")*(MOVIMIENTOS!$D$5:$D$1005="sacos")*(MOVIMIENTOS!$A$5:$A$1005&lt;&gt;"")*(MOVIMIENTOS!$A$5:$A$1005&lt;=$A825)*MOVIMIENTOS!$E$5:$E$1005)+SUMPRODUCT((MOVIMIENTOS!$B$5:$B$1005="AJUSTE")*(MOVIMIENTOS!$C$5:$C$1005="Chancho")*(MOVIMIENTOS!$D$5:$D$1005="sacos")*(MOVIMIENTOS!$A$5:$A$1005&lt;&gt;"")*(MOVIMIENTOS!$A$5:$A$1005&lt;=$A825)*MOVIMIENTOS!$E$5:$E$1005))</f>
        <v/>
      </c>
      <c r="G825" s="62" t="str">
        <f t="shared" si="25"/>
        <v/>
      </c>
      <c r="H825" t="str">
        <f>IF($A825="","",SUMPRODUCT((((MOVIMIENTOS!$B$5:$B$1005="SALDO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825)*MOVIMIENTOS!$J$5:$J$1005))</f>
        <v/>
      </c>
      <c r="J825" t="str">
        <f>IF(AND(MOVIMIENTOS!$A830&lt;&gt;"",COUNTIF(MOVIMIENTOS!$A$5:$A829,MOVIMIENTOS!$A830)=0),COUNT(J$4:J824)+1,"")</f>
        <v/>
      </c>
      <c r="K825">
        <f>MOVIMIENTOS!$A830</f>
        <v>0</v>
      </c>
    </row>
    <row r="826" spans="1:11" ht="15" customHeight="1" x14ac:dyDescent="0.2">
      <c r="A826" t="str">
        <f t="shared" si="24"/>
        <v/>
      </c>
      <c r="B826" t="str">
        <f>IF($A826="","",SUMPRODUCT((MOVIMIENTOS!$B$5:$B$1005="SALDO INICIAL")*(MOVIMIENTOS!$C$5:$C$1005="A")*(MOVIMIENTOS!$D$5:$D$1005="jabas")*(MOVIMIENTOS!$A$5:$A$1005&lt;&gt;"")*(MOVIMIENTOS!$A$5:$A$1005&lt;=$A826)*MOVIMIENTOS!$E$5:$E$1005)+SUMPRODUCT((MOVIMIENTOS!$B$5:$B$1005="PROCESO")*(MOVIMIENTOS!$C$5:$C$1005="A")*(MOVIMIENTOS!$D$5:$D$1005="jabas")*(MOVIMIENTOS!$A$5:$A$1005&lt;&gt;"")*(MOVIMIENTOS!$A$5:$A$1005&lt;=$A826)*MOVIMIENTOS!$E$5:$E$1005)-SUMPRODUCT((MOVIMIENTOS!$B$5:$B$1005="ENVÍO A SUPESA")*(MOVIMIENTOS!$C$5:$C$1005="A")*(MOVIMIENTOS!$D$5:$D$1005="jabas")*(MOVIMIENTOS!$A$5:$A$1005&lt;&gt;"")*(MOVIMIENTOS!$A$5:$A$1005&lt;=$A826)*MOVIMIENTOS!$E$5:$E$1005)+SUMPRODUCT((MOVIMIENTOS!$B$5:$B$1005="DEVOLUCIÓN")*(MOVIMIENTOS!$C$5:$C$1005="A")*(MOVIMIENTOS!$D$5:$D$1005="jabas")*(MOVIMIENTOS!$A$5:$A$1005&lt;&gt;"")*(MOVIMIENTOS!$A$5:$A$1005&lt;=$A826)*MOVIMIENTOS!$E$5:$E$1005)-SUMPRODUCT((MOVIMIENTOS!$B$5:$B$1005="TRASIEGO")*(MOVIMIENTOS!$C$5:$C$1005="A")*(MOVIMIENTOS!$D$5:$D$1005="jabas")*(MOVIMIENTOS!$A$5:$A$1005&lt;&gt;"")*(MOVIMIENTOS!$A$5:$A$1005&lt;=$A826)*MOVIMIENTOS!$E$5:$E$1005)-SUMPRODUCT((MOVIMIENTOS!$B$5:$B$1005="REGALO")*(MOVIMIENTOS!$C$5:$C$1005="A")*(MOVIMIENTOS!$D$5:$D$1005="jabas")*(MOVIMIENTOS!$A$5:$A$1005&lt;&gt;"")*(MOVIMIENTOS!$A$5:$A$1005&lt;=$A826)*MOVIMIENTOS!$E$5:$E$1005)-SUMPRODUCT((MOVIMIENTOS!$B$5:$B$1005="VENTA")*(MOVIMIENTOS!$C$5:$C$1005="A")*(MOVIMIENTOS!$D$5:$D$1005="jabas")*(MOVIMIENTOS!$A$5:$A$1005&lt;&gt;"")*(MOVIMIENTOS!$A$5:$A$1005&lt;=$A826)*MOVIMIENTOS!$E$5:$E$1005)+SUMPRODUCT((MOVIMIENTOS!$B$5:$B$1005="AJUSTE")*(MOVIMIENTOS!$C$5:$C$1005="A")*(MOVIMIENTOS!$D$5:$D$1005="jabas")*(MOVIMIENTOS!$A$5:$A$1005&lt;&gt;"")*(MOVIMIENTOS!$A$5:$A$1005&lt;=$A826)*MOVIMIENTOS!$E$5:$E$1005))</f>
        <v/>
      </c>
      <c r="C826" t="str">
        <f>IF($A826="","",SUMPRODUCT((MOVIMIENTOS!$B$5:$B$1005="SALDO INICIAL")*(MOVIMIENTOS!$C$5:$C$1005="P")*(MOVIMIENTOS!$D$5:$D$1005="jabas")*(MOVIMIENTOS!$A$5:$A$1005&lt;&gt;"")*(MOVIMIENTOS!$A$5:$A$1005&lt;=$A826)*MOVIMIENTOS!$E$5:$E$1005)+SUMPRODUCT((MOVIMIENTOS!$B$5:$B$1005="PROCESO")*(MOVIMIENTOS!$C$5:$C$1005="P")*(MOVIMIENTOS!$D$5:$D$1005="jabas")*(MOVIMIENTOS!$A$5:$A$1005&lt;&gt;"")*(MOVIMIENTOS!$A$5:$A$1005&lt;=$A826)*MOVIMIENTOS!$E$5:$E$1005)-SUMPRODUCT((MOVIMIENTOS!$B$5:$B$1005="ENVÍO A SUPESA")*(MOVIMIENTOS!$C$5:$C$1005="P")*(MOVIMIENTOS!$D$5:$D$1005="jabas")*(MOVIMIENTOS!$A$5:$A$1005&lt;&gt;"")*(MOVIMIENTOS!$A$5:$A$1005&lt;=$A826)*MOVIMIENTOS!$E$5:$E$1005)+SUMPRODUCT((MOVIMIENTOS!$B$5:$B$1005="DEVOLUCIÓN")*(MOVIMIENTOS!$C$5:$C$1005="P")*(MOVIMIENTOS!$D$5:$D$1005="jabas")*(MOVIMIENTOS!$A$5:$A$1005&lt;&gt;"")*(MOVIMIENTOS!$A$5:$A$1005&lt;=$A826)*MOVIMIENTOS!$E$5:$E$1005)-SUMPRODUCT((MOVIMIENTOS!$B$5:$B$1005="TRASIEGO")*(MOVIMIENTOS!$C$5:$C$1005="P")*(MOVIMIENTOS!$D$5:$D$1005="jabas")*(MOVIMIENTOS!$A$5:$A$1005&lt;&gt;"")*(MOVIMIENTOS!$A$5:$A$1005&lt;=$A826)*MOVIMIENTOS!$E$5:$E$1005)-SUMPRODUCT((MOVIMIENTOS!$B$5:$B$1005="REGALO")*(MOVIMIENTOS!$C$5:$C$1005="P")*(MOVIMIENTOS!$D$5:$D$1005="jabas")*(MOVIMIENTOS!$A$5:$A$1005&lt;&gt;"")*(MOVIMIENTOS!$A$5:$A$1005&lt;=$A826)*MOVIMIENTOS!$E$5:$E$1005)-SUMPRODUCT((MOVIMIENTOS!$B$5:$B$1005="VENTA")*(MOVIMIENTOS!$C$5:$C$1005="P")*(MOVIMIENTOS!$D$5:$D$1005="jabas")*(MOVIMIENTOS!$A$5:$A$1005&lt;&gt;"")*(MOVIMIENTOS!$A$5:$A$1005&lt;=$A826)*MOVIMIENTOS!$E$5:$E$1005)+SUMPRODUCT((MOVIMIENTOS!$B$5:$B$1005="AJUSTE")*(MOVIMIENTOS!$C$5:$C$1005="P")*(MOVIMIENTOS!$D$5:$D$1005="jabas")*(MOVIMIENTOS!$A$5:$A$1005&lt;&gt;"")*(MOVIMIENTOS!$A$5:$A$1005&lt;=$A826)*MOVIMIENTOS!$E$5:$E$1005))</f>
        <v/>
      </c>
      <c r="D826" t="str">
        <f>IF($A826="","",SUMPRODUCT((MOVIMIENTOS!$B$5:$B$1005="SALDO INICIAL")*(MOVIMIENTOS!$C$5:$C$1005="C")*(MOVIMIENTOS!$D$5:$D$1005="jabas")*(MOVIMIENTOS!$A$5:$A$1005&lt;&gt;"")*(MOVIMIENTOS!$A$5:$A$1005&lt;=$A826)*MOVIMIENTOS!$E$5:$E$1005)+SUMPRODUCT((MOVIMIENTOS!$B$5:$B$1005="PROCESO")*(MOVIMIENTOS!$C$5:$C$1005="C")*(MOVIMIENTOS!$D$5:$D$1005="jabas")*(MOVIMIENTOS!$A$5:$A$1005&lt;&gt;"")*(MOVIMIENTOS!$A$5:$A$1005&lt;=$A826)*MOVIMIENTOS!$E$5:$E$1005)-SUMPRODUCT((MOVIMIENTOS!$B$5:$B$1005="ENVÍO A SUPESA")*(MOVIMIENTOS!$C$5:$C$1005="C")*(MOVIMIENTOS!$D$5:$D$1005="jabas")*(MOVIMIENTOS!$A$5:$A$1005&lt;&gt;"")*(MOVIMIENTOS!$A$5:$A$1005&lt;=$A826)*MOVIMIENTOS!$E$5:$E$1005)+SUMPRODUCT((MOVIMIENTOS!$B$5:$B$1005="DEVOLUCIÓN")*(MOVIMIENTOS!$C$5:$C$1005="C")*(MOVIMIENTOS!$D$5:$D$1005="jabas")*(MOVIMIENTOS!$A$5:$A$1005&lt;&gt;"")*(MOVIMIENTOS!$A$5:$A$1005&lt;=$A826)*MOVIMIENTOS!$E$5:$E$1005)-SUMPRODUCT((MOVIMIENTOS!$B$5:$B$1005="TRASIEGO")*(MOVIMIENTOS!$C$5:$C$1005="C")*(MOVIMIENTOS!$D$5:$D$1005="jabas")*(MOVIMIENTOS!$A$5:$A$1005&lt;&gt;"")*(MOVIMIENTOS!$A$5:$A$1005&lt;=$A826)*MOVIMIENTOS!$E$5:$E$1005)-SUMPRODUCT((MOVIMIENTOS!$B$5:$B$1005="REGALO")*(MOVIMIENTOS!$C$5:$C$1005="C")*(MOVIMIENTOS!$D$5:$D$1005="jabas")*(MOVIMIENTOS!$A$5:$A$1005&lt;&gt;"")*(MOVIMIENTOS!$A$5:$A$1005&lt;=$A826)*MOVIMIENTOS!$E$5:$E$1005)-SUMPRODUCT((MOVIMIENTOS!$B$5:$B$1005="VENTA")*(MOVIMIENTOS!$C$5:$C$1005="C")*(MOVIMIENTOS!$D$5:$D$1005="jabas")*(MOVIMIENTOS!$A$5:$A$1005&lt;&gt;"")*(MOVIMIENTOS!$A$5:$A$1005&lt;=$A826)*MOVIMIENTOS!$E$5:$E$1005)+SUMPRODUCT((MOVIMIENTOS!$B$5:$B$1005="AJUSTE")*(MOVIMIENTOS!$C$5:$C$1005="C")*(MOVIMIENTOS!$D$5:$D$1005="jabas")*(MOVIMIENTOS!$A$5:$A$1005&lt;&gt;"")*(MOVIMIENTOS!$A$5:$A$1005&lt;=$A826)*MOVIMIENTOS!$E$5:$E$1005))</f>
        <v/>
      </c>
      <c r="E826" t="str">
        <f>IF($A826="","",SUMPRODUCT((MOVIMIENTOS!$B$5:$B$1005="SALDO INICIAL")*(MOVIMIENTOS!$C$5:$C$1005="M")*(MOVIMIENTOS!$D$5:$D$1005="jabas")*(MOVIMIENTOS!$A$5:$A$1005&lt;&gt;"")*(MOVIMIENTOS!$A$5:$A$1005&lt;=$A826)*MOVIMIENTOS!$E$5:$E$1005)+SUMPRODUCT((MOVIMIENTOS!$B$5:$B$1005="PROCESO")*(MOVIMIENTOS!$C$5:$C$1005="M")*(MOVIMIENTOS!$D$5:$D$1005="jabas")*(MOVIMIENTOS!$A$5:$A$1005&lt;&gt;"")*(MOVIMIENTOS!$A$5:$A$1005&lt;=$A826)*MOVIMIENTOS!$E$5:$E$1005)-SUMPRODUCT((MOVIMIENTOS!$B$5:$B$1005="ENVÍO A SUPESA")*(MOVIMIENTOS!$C$5:$C$1005="M")*(MOVIMIENTOS!$D$5:$D$1005="jabas")*(MOVIMIENTOS!$A$5:$A$1005&lt;&gt;"")*(MOVIMIENTOS!$A$5:$A$1005&lt;=$A826)*MOVIMIENTOS!$E$5:$E$1005)+SUMPRODUCT((MOVIMIENTOS!$B$5:$B$1005="DEVOLUCIÓN")*(MOVIMIENTOS!$C$5:$C$1005="M")*(MOVIMIENTOS!$D$5:$D$1005="jabas")*(MOVIMIENTOS!$A$5:$A$1005&lt;&gt;"")*(MOVIMIENTOS!$A$5:$A$1005&lt;=$A826)*MOVIMIENTOS!$E$5:$E$1005)-SUMPRODUCT((MOVIMIENTOS!$B$5:$B$1005="TRASIEGO")*(MOVIMIENTOS!$C$5:$C$1005="M")*(MOVIMIENTOS!$D$5:$D$1005="jabas")*(MOVIMIENTOS!$A$5:$A$1005&lt;&gt;"")*(MOVIMIENTOS!$A$5:$A$1005&lt;=$A826)*MOVIMIENTOS!$E$5:$E$1005)-SUMPRODUCT((MOVIMIENTOS!$B$5:$B$1005="REGALO")*(MOVIMIENTOS!$C$5:$C$1005="M")*(MOVIMIENTOS!$D$5:$D$1005="jabas")*(MOVIMIENTOS!$A$5:$A$1005&lt;&gt;"")*(MOVIMIENTOS!$A$5:$A$1005&lt;=$A826)*MOVIMIENTOS!$E$5:$E$1005)-SUMPRODUCT((MOVIMIENTOS!$B$5:$B$1005="VENTA")*(MOVIMIENTOS!$C$5:$C$1005="M")*(MOVIMIENTOS!$D$5:$D$1005="jabas")*(MOVIMIENTOS!$A$5:$A$1005&lt;&gt;"")*(MOVIMIENTOS!$A$5:$A$1005&lt;=$A826)*MOVIMIENTOS!$E$5:$E$1005)+SUMPRODUCT((MOVIMIENTOS!$B$5:$B$1005="AJUSTE")*(MOVIMIENTOS!$C$5:$C$1005="M")*(MOVIMIENTOS!$D$5:$D$1005="jabas")*(MOVIMIENTOS!$A$5:$A$1005&lt;&gt;"")*(MOVIMIENTOS!$A$5:$A$1005&lt;=$A826)*MOVIMIENTOS!$E$5:$E$1005))</f>
        <v/>
      </c>
      <c r="F826" s="62" t="str">
        <f>IF($A826="","",SUMPRODUCT((MOVIMIENTOS!$B$5:$B$1005="SALDO INICIAL")*(MOVIMIENTOS!$C$5:$C$1005="Chancho")*(MOVIMIENTOS!$D$5:$D$1005="sacos")*(MOVIMIENTOS!$A$5:$A$1005&lt;&gt;"")*(MOVIMIENTOS!$A$5:$A$1005&lt;=$A826)*MOVIMIENTOS!$E$5:$E$1005)+SUMPRODUCT((MOVIMIENTOS!$B$5:$B$1005="PROCESO")*(MOVIMIENTOS!$C$5:$C$1005="Chancho")*(MOVIMIENTOS!$D$5:$D$1005="sacos")*(MOVIMIENTOS!$A$5:$A$1005&lt;&gt;"")*(MOVIMIENTOS!$A$5:$A$1005&lt;=$A826)*MOVIMIENTOS!$E$5:$E$1005)-SUMPRODUCT((MOVIMIENTOS!$B$5:$B$1005="VENTA CHANCHO")*(MOVIMIENTOS!$C$5:$C$1005="Chancho")*(MOVIMIENTOS!$D$5:$D$1005="sacos")*(MOVIMIENTOS!$A$5:$A$1005&lt;&gt;"")*(MOVIMIENTOS!$A$5:$A$1005&lt;=$A826)*MOVIMIENTOS!$E$5:$E$1005)-SUMPRODUCT((MOVIMIENTOS!$B$5:$B$1005="REGALO")*(MOVIMIENTOS!$C$5:$C$1005="Chancho")*(MOVIMIENTOS!$D$5:$D$1005="sacos")*(MOVIMIENTOS!$A$5:$A$1005&lt;&gt;"")*(MOVIMIENTOS!$A$5:$A$1005&lt;=$A826)*MOVIMIENTOS!$E$5:$E$1005)-SUMPRODUCT((MOVIMIENTOS!$B$5:$B$1005="VENTA")*(MOVIMIENTOS!$C$5:$C$1005="Chancho")*(MOVIMIENTOS!$D$5:$D$1005="sacos")*(MOVIMIENTOS!$A$5:$A$1005&lt;&gt;"")*(MOVIMIENTOS!$A$5:$A$1005&lt;=$A826)*MOVIMIENTOS!$E$5:$E$1005)+SUMPRODUCT((MOVIMIENTOS!$B$5:$B$1005="AJUSTE")*(MOVIMIENTOS!$C$5:$C$1005="Chancho")*(MOVIMIENTOS!$D$5:$D$1005="sacos")*(MOVIMIENTOS!$A$5:$A$1005&lt;&gt;"")*(MOVIMIENTOS!$A$5:$A$1005&lt;=$A826)*MOVIMIENTOS!$E$5:$E$1005))</f>
        <v/>
      </c>
      <c r="G826" s="62" t="str">
        <f t="shared" si="25"/>
        <v/>
      </c>
      <c r="H826" t="str">
        <f>IF($A826="","",SUMPRODUCT((((MOVIMIENTOS!$B$5:$B$1005="SALDO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826)*MOVIMIENTOS!$J$5:$J$1005))</f>
        <v/>
      </c>
      <c r="J826" t="str">
        <f>IF(AND(MOVIMIENTOS!$A831&lt;&gt;"",COUNTIF(MOVIMIENTOS!$A$5:$A830,MOVIMIENTOS!$A831)=0),COUNT(J$4:J825)+1,"")</f>
        <v/>
      </c>
      <c r="K826">
        <f>MOVIMIENTOS!$A831</f>
        <v>0</v>
      </c>
    </row>
    <row r="827" spans="1:11" ht="15" customHeight="1" x14ac:dyDescent="0.2">
      <c r="A827" t="str">
        <f t="shared" si="24"/>
        <v/>
      </c>
      <c r="B827" t="str">
        <f>IF($A827="","",SUMPRODUCT((MOVIMIENTOS!$B$5:$B$1005="SALDO INICIAL")*(MOVIMIENTOS!$C$5:$C$1005="A")*(MOVIMIENTOS!$D$5:$D$1005="jabas")*(MOVIMIENTOS!$A$5:$A$1005&lt;&gt;"")*(MOVIMIENTOS!$A$5:$A$1005&lt;=$A827)*MOVIMIENTOS!$E$5:$E$1005)+SUMPRODUCT((MOVIMIENTOS!$B$5:$B$1005="PROCESO")*(MOVIMIENTOS!$C$5:$C$1005="A")*(MOVIMIENTOS!$D$5:$D$1005="jabas")*(MOVIMIENTOS!$A$5:$A$1005&lt;&gt;"")*(MOVIMIENTOS!$A$5:$A$1005&lt;=$A827)*MOVIMIENTOS!$E$5:$E$1005)-SUMPRODUCT((MOVIMIENTOS!$B$5:$B$1005="ENVÍO A SUPESA")*(MOVIMIENTOS!$C$5:$C$1005="A")*(MOVIMIENTOS!$D$5:$D$1005="jabas")*(MOVIMIENTOS!$A$5:$A$1005&lt;&gt;"")*(MOVIMIENTOS!$A$5:$A$1005&lt;=$A827)*MOVIMIENTOS!$E$5:$E$1005)+SUMPRODUCT((MOVIMIENTOS!$B$5:$B$1005="DEVOLUCIÓN")*(MOVIMIENTOS!$C$5:$C$1005="A")*(MOVIMIENTOS!$D$5:$D$1005="jabas")*(MOVIMIENTOS!$A$5:$A$1005&lt;&gt;"")*(MOVIMIENTOS!$A$5:$A$1005&lt;=$A827)*MOVIMIENTOS!$E$5:$E$1005)-SUMPRODUCT((MOVIMIENTOS!$B$5:$B$1005="TRASIEGO")*(MOVIMIENTOS!$C$5:$C$1005="A")*(MOVIMIENTOS!$D$5:$D$1005="jabas")*(MOVIMIENTOS!$A$5:$A$1005&lt;&gt;"")*(MOVIMIENTOS!$A$5:$A$1005&lt;=$A827)*MOVIMIENTOS!$E$5:$E$1005)-SUMPRODUCT((MOVIMIENTOS!$B$5:$B$1005="REGALO")*(MOVIMIENTOS!$C$5:$C$1005="A")*(MOVIMIENTOS!$D$5:$D$1005="jabas")*(MOVIMIENTOS!$A$5:$A$1005&lt;&gt;"")*(MOVIMIENTOS!$A$5:$A$1005&lt;=$A827)*MOVIMIENTOS!$E$5:$E$1005)-SUMPRODUCT((MOVIMIENTOS!$B$5:$B$1005="VENTA")*(MOVIMIENTOS!$C$5:$C$1005="A")*(MOVIMIENTOS!$D$5:$D$1005="jabas")*(MOVIMIENTOS!$A$5:$A$1005&lt;&gt;"")*(MOVIMIENTOS!$A$5:$A$1005&lt;=$A827)*MOVIMIENTOS!$E$5:$E$1005)+SUMPRODUCT((MOVIMIENTOS!$B$5:$B$1005="AJUSTE")*(MOVIMIENTOS!$C$5:$C$1005="A")*(MOVIMIENTOS!$D$5:$D$1005="jabas")*(MOVIMIENTOS!$A$5:$A$1005&lt;&gt;"")*(MOVIMIENTOS!$A$5:$A$1005&lt;=$A827)*MOVIMIENTOS!$E$5:$E$1005))</f>
        <v/>
      </c>
      <c r="C827" t="str">
        <f>IF($A827="","",SUMPRODUCT((MOVIMIENTOS!$B$5:$B$1005="SALDO INICIAL")*(MOVIMIENTOS!$C$5:$C$1005="P")*(MOVIMIENTOS!$D$5:$D$1005="jabas")*(MOVIMIENTOS!$A$5:$A$1005&lt;&gt;"")*(MOVIMIENTOS!$A$5:$A$1005&lt;=$A827)*MOVIMIENTOS!$E$5:$E$1005)+SUMPRODUCT((MOVIMIENTOS!$B$5:$B$1005="PROCESO")*(MOVIMIENTOS!$C$5:$C$1005="P")*(MOVIMIENTOS!$D$5:$D$1005="jabas")*(MOVIMIENTOS!$A$5:$A$1005&lt;&gt;"")*(MOVIMIENTOS!$A$5:$A$1005&lt;=$A827)*MOVIMIENTOS!$E$5:$E$1005)-SUMPRODUCT((MOVIMIENTOS!$B$5:$B$1005="ENVÍO A SUPESA")*(MOVIMIENTOS!$C$5:$C$1005="P")*(MOVIMIENTOS!$D$5:$D$1005="jabas")*(MOVIMIENTOS!$A$5:$A$1005&lt;&gt;"")*(MOVIMIENTOS!$A$5:$A$1005&lt;=$A827)*MOVIMIENTOS!$E$5:$E$1005)+SUMPRODUCT((MOVIMIENTOS!$B$5:$B$1005="DEVOLUCIÓN")*(MOVIMIENTOS!$C$5:$C$1005="P")*(MOVIMIENTOS!$D$5:$D$1005="jabas")*(MOVIMIENTOS!$A$5:$A$1005&lt;&gt;"")*(MOVIMIENTOS!$A$5:$A$1005&lt;=$A827)*MOVIMIENTOS!$E$5:$E$1005)-SUMPRODUCT((MOVIMIENTOS!$B$5:$B$1005="TRASIEGO")*(MOVIMIENTOS!$C$5:$C$1005="P")*(MOVIMIENTOS!$D$5:$D$1005="jabas")*(MOVIMIENTOS!$A$5:$A$1005&lt;&gt;"")*(MOVIMIENTOS!$A$5:$A$1005&lt;=$A827)*MOVIMIENTOS!$E$5:$E$1005)-SUMPRODUCT((MOVIMIENTOS!$B$5:$B$1005="REGALO")*(MOVIMIENTOS!$C$5:$C$1005="P")*(MOVIMIENTOS!$D$5:$D$1005="jabas")*(MOVIMIENTOS!$A$5:$A$1005&lt;&gt;"")*(MOVIMIENTOS!$A$5:$A$1005&lt;=$A827)*MOVIMIENTOS!$E$5:$E$1005)-SUMPRODUCT((MOVIMIENTOS!$B$5:$B$1005="VENTA")*(MOVIMIENTOS!$C$5:$C$1005="P")*(MOVIMIENTOS!$D$5:$D$1005="jabas")*(MOVIMIENTOS!$A$5:$A$1005&lt;&gt;"")*(MOVIMIENTOS!$A$5:$A$1005&lt;=$A827)*MOVIMIENTOS!$E$5:$E$1005)+SUMPRODUCT((MOVIMIENTOS!$B$5:$B$1005="AJUSTE")*(MOVIMIENTOS!$C$5:$C$1005="P")*(MOVIMIENTOS!$D$5:$D$1005="jabas")*(MOVIMIENTOS!$A$5:$A$1005&lt;&gt;"")*(MOVIMIENTOS!$A$5:$A$1005&lt;=$A827)*MOVIMIENTOS!$E$5:$E$1005))</f>
        <v/>
      </c>
      <c r="D827" t="str">
        <f>IF($A827="","",SUMPRODUCT((MOVIMIENTOS!$B$5:$B$1005="SALDO INICIAL")*(MOVIMIENTOS!$C$5:$C$1005="C")*(MOVIMIENTOS!$D$5:$D$1005="jabas")*(MOVIMIENTOS!$A$5:$A$1005&lt;&gt;"")*(MOVIMIENTOS!$A$5:$A$1005&lt;=$A827)*MOVIMIENTOS!$E$5:$E$1005)+SUMPRODUCT((MOVIMIENTOS!$B$5:$B$1005="PROCESO")*(MOVIMIENTOS!$C$5:$C$1005="C")*(MOVIMIENTOS!$D$5:$D$1005="jabas")*(MOVIMIENTOS!$A$5:$A$1005&lt;&gt;"")*(MOVIMIENTOS!$A$5:$A$1005&lt;=$A827)*MOVIMIENTOS!$E$5:$E$1005)-SUMPRODUCT((MOVIMIENTOS!$B$5:$B$1005="ENVÍO A SUPESA")*(MOVIMIENTOS!$C$5:$C$1005="C")*(MOVIMIENTOS!$D$5:$D$1005="jabas")*(MOVIMIENTOS!$A$5:$A$1005&lt;&gt;"")*(MOVIMIENTOS!$A$5:$A$1005&lt;=$A827)*MOVIMIENTOS!$E$5:$E$1005)+SUMPRODUCT((MOVIMIENTOS!$B$5:$B$1005="DEVOLUCIÓN")*(MOVIMIENTOS!$C$5:$C$1005="C")*(MOVIMIENTOS!$D$5:$D$1005="jabas")*(MOVIMIENTOS!$A$5:$A$1005&lt;&gt;"")*(MOVIMIENTOS!$A$5:$A$1005&lt;=$A827)*MOVIMIENTOS!$E$5:$E$1005)-SUMPRODUCT((MOVIMIENTOS!$B$5:$B$1005="TRASIEGO")*(MOVIMIENTOS!$C$5:$C$1005="C")*(MOVIMIENTOS!$D$5:$D$1005="jabas")*(MOVIMIENTOS!$A$5:$A$1005&lt;&gt;"")*(MOVIMIENTOS!$A$5:$A$1005&lt;=$A827)*MOVIMIENTOS!$E$5:$E$1005)-SUMPRODUCT((MOVIMIENTOS!$B$5:$B$1005="REGALO")*(MOVIMIENTOS!$C$5:$C$1005="C")*(MOVIMIENTOS!$D$5:$D$1005="jabas")*(MOVIMIENTOS!$A$5:$A$1005&lt;&gt;"")*(MOVIMIENTOS!$A$5:$A$1005&lt;=$A827)*MOVIMIENTOS!$E$5:$E$1005)-SUMPRODUCT((MOVIMIENTOS!$B$5:$B$1005="VENTA")*(MOVIMIENTOS!$C$5:$C$1005="C")*(MOVIMIENTOS!$D$5:$D$1005="jabas")*(MOVIMIENTOS!$A$5:$A$1005&lt;&gt;"")*(MOVIMIENTOS!$A$5:$A$1005&lt;=$A827)*MOVIMIENTOS!$E$5:$E$1005)+SUMPRODUCT((MOVIMIENTOS!$B$5:$B$1005="AJUSTE")*(MOVIMIENTOS!$C$5:$C$1005="C")*(MOVIMIENTOS!$D$5:$D$1005="jabas")*(MOVIMIENTOS!$A$5:$A$1005&lt;&gt;"")*(MOVIMIENTOS!$A$5:$A$1005&lt;=$A827)*MOVIMIENTOS!$E$5:$E$1005))</f>
        <v/>
      </c>
      <c r="E827" t="str">
        <f>IF($A827="","",SUMPRODUCT((MOVIMIENTOS!$B$5:$B$1005="SALDO INICIAL")*(MOVIMIENTOS!$C$5:$C$1005="M")*(MOVIMIENTOS!$D$5:$D$1005="jabas")*(MOVIMIENTOS!$A$5:$A$1005&lt;&gt;"")*(MOVIMIENTOS!$A$5:$A$1005&lt;=$A827)*MOVIMIENTOS!$E$5:$E$1005)+SUMPRODUCT((MOVIMIENTOS!$B$5:$B$1005="PROCESO")*(MOVIMIENTOS!$C$5:$C$1005="M")*(MOVIMIENTOS!$D$5:$D$1005="jabas")*(MOVIMIENTOS!$A$5:$A$1005&lt;&gt;"")*(MOVIMIENTOS!$A$5:$A$1005&lt;=$A827)*MOVIMIENTOS!$E$5:$E$1005)-SUMPRODUCT((MOVIMIENTOS!$B$5:$B$1005="ENVÍO A SUPESA")*(MOVIMIENTOS!$C$5:$C$1005="M")*(MOVIMIENTOS!$D$5:$D$1005="jabas")*(MOVIMIENTOS!$A$5:$A$1005&lt;&gt;"")*(MOVIMIENTOS!$A$5:$A$1005&lt;=$A827)*MOVIMIENTOS!$E$5:$E$1005)+SUMPRODUCT((MOVIMIENTOS!$B$5:$B$1005="DEVOLUCIÓN")*(MOVIMIENTOS!$C$5:$C$1005="M")*(MOVIMIENTOS!$D$5:$D$1005="jabas")*(MOVIMIENTOS!$A$5:$A$1005&lt;&gt;"")*(MOVIMIENTOS!$A$5:$A$1005&lt;=$A827)*MOVIMIENTOS!$E$5:$E$1005)-SUMPRODUCT((MOVIMIENTOS!$B$5:$B$1005="TRASIEGO")*(MOVIMIENTOS!$C$5:$C$1005="M")*(MOVIMIENTOS!$D$5:$D$1005="jabas")*(MOVIMIENTOS!$A$5:$A$1005&lt;&gt;"")*(MOVIMIENTOS!$A$5:$A$1005&lt;=$A827)*MOVIMIENTOS!$E$5:$E$1005)-SUMPRODUCT((MOVIMIENTOS!$B$5:$B$1005="REGALO")*(MOVIMIENTOS!$C$5:$C$1005="M")*(MOVIMIENTOS!$D$5:$D$1005="jabas")*(MOVIMIENTOS!$A$5:$A$1005&lt;&gt;"")*(MOVIMIENTOS!$A$5:$A$1005&lt;=$A827)*MOVIMIENTOS!$E$5:$E$1005)-SUMPRODUCT((MOVIMIENTOS!$B$5:$B$1005="VENTA")*(MOVIMIENTOS!$C$5:$C$1005="M")*(MOVIMIENTOS!$D$5:$D$1005="jabas")*(MOVIMIENTOS!$A$5:$A$1005&lt;&gt;"")*(MOVIMIENTOS!$A$5:$A$1005&lt;=$A827)*MOVIMIENTOS!$E$5:$E$1005)+SUMPRODUCT((MOVIMIENTOS!$B$5:$B$1005="AJUSTE")*(MOVIMIENTOS!$C$5:$C$1005="M")*(MOVIMIENTOS!$D$5:$D$1005="jabas")*(MOVIMIENTOS!$A$5:$A$1005&lt;&gt;"")*(MOVIMIENTOS!$A$5:$A$1005&lt;=$A827)*MOVIMIENTOS!$E$5:$E$1005))</f>
        <v/>
      </c>
      <c r="F827" s="62" t="str">
        <f>IF($A827="","",SUMPRODUCT((MOVIMIENTOS!$B$5:$B$1005="SALDO INICIAL")*(MOVIMIENTOS!$C$5:$C$1005="Chancho")*(MOVIMIENTOS!$D$5:$D$1005="sacos")*(MOVIMIENTOS!$A$5:$A$1005&lt;&gt;"")*(MOVIMIENTOS!$A$5:$A$1005&lt;=$A827)*MOVIMIENTOS!$E$5:$E$1005)+SUMPRODUCT((MOVIMIENTOS!$B$5:$B$1005="PROCESO")*(MOVIMIENTOS!$C$5:$C$1005="Chancho")*(MOVIMIENTOS!$D$5:$D$1005="sacos")*(MOVIMIENTOS!$A$5:$A$1005&lt;&gt;"")*(MOVIMIENTOS!$A$5:$A$1005&lt;=$A827)*MOVIMIENTOS!$E$5:$E$1005)-SUMPRODUCT((MOVIMIENTOS!$B$5:$B$1005="VENTA CHANCHO")*(MOVIMIENTOS!$C$5:$C$1005="Chancho")*(MOVIMIENTOS!$D$5:$D$1005="sacos")*(MOVIMIENTOS!$A$5:$A$1005&lt;&gt;"")*(MOVIMIENTOS!$A$5:$A$1005&lt;=$A827)*MOVIMIENTOS!$E$5:$E$1005)-SUMPRODUCT((MOVIMIENTOS!$B$5:$B$1005="REGALO")*(MOVIMIENTOS!$C$5:$C$1005="Chancho")*(MOVIMIENTOS!$D$5:$D$1005="sacos")*(MOVIMIENTOS!$A$5:$A$1005&lt;&gt;"")*(MOVIMIENTOS!$A$5:$A$1005&lt;=$A827)*MOVIMIENTOS!$E$5:$E$1005)-SUMPRODUCT((MOVIMIENTOS!$B$5:$B$1005="VENTA")*(MOVIMIENTOS!$C$5:$C$1005="Chancho")*(MOVIMIENTOS!$D$5:$D$1005="sacos")*(MOVIMIENTOS!$A$5:$A$1005&lt;&gt;"")*(MOVIMIENTOS!$A$5:$A$1005&lt;=$A827)*MOVIMIENTOS!$E$5:$E$1005)+SUMPRODUCT((MOVIMIENTOS!$B$5:$B$1005="AJUSTE")*(MOVIMIENTOS!$C$5:$C$1005="Chancho")*(MOVIMIENTOS!$D$5:$D$1005="sacos")*(MOVIMIENTOS!$A$5:$A$1005&lt;&gt;"")*(MOVIMIENTOS!$A$5:$A$1005&lt;=$A827)*MOVIMIENTOS!$E$5:$E$1005))</f>
        <v/>
      </c>
      <c r="G827" s="62" t="str">
        <f t="shared" si="25"/>
        <v/>
      </c>
      <c r="H827" t="str">
        <f>IF($A827="","",SUMPRODUCT((((MOVIMIENTOS!$B$5:$B$1005="SALDO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827)*MOVIMIENTOS!$J$5:$J$1005))</f>
        <v/>
      </c>
      <c r="J827" t="str">
        <f>IF(AND(MOVIMIENTOS!$A832&lt;&gt;"",COUNTIF(MOVIMIENTOS!$A$5:$A831,MOVIMIENTOS!$A832)=0),COUNT(J$4:J826)+1,"")</f>
        <v/>
      </c>
      <c r="K827">
        <f>MOVIMIENTOS!$A832</f>
        <v>0</v>
      </c>
    </row>
    <row r="828" spans="1:11" ht="15" customHeight="1" x14ac:dyDescent="0.2">
      <c r="A828" t="str">
        <f t="shared" si="24"/>
        <v/>
      </c>
      <c r="B828" t="str">
        <f>IF($A828="","",SUMPRODUCT((MOVIMIENTOS!$B$5:$B$1005="SALDO INICIAL")*(MOVIMIENTOS!$C$5:$C$1005="A")*(MOVIMIENTOS!$D$5:$D$1005="jabas")*(MOVIMIENTOS!$A$5:$A$1005&lt;&gt;"")*(MOVIMIENTOS!$A$5:$A$1005&lt;=$A828)*MOVIMIENTOS!$E$5:$E$1005)+SUMPRODUCT((MOVIMIENTOS!$B$5:$B$1005="PROCESO")*(MOVIMIENTOS!$C$5:$C$1005="A")*(MOVIMIENTOS!$D$5:$D$1005="jabas")*(MOVIMIENTOS!$A$5:$A$1005&lt;&gt;"")*(MOVIMIENTOS!$A$5:$A$1005&lt;=$A828)*MOVIMIENTOS!$E$5:$E$1005)-SUMPRODUCT((MOVIMIENTOS!$B$5:$B$1005="ENVÍO A SUPESA")*(MOVIMIENTOS!$C$5:$C$1005="A")*(MOVIMIENTOS!$D$5:$D$1005="jabas")*(MOVIMIENTOS!$A$5:$A$1005&lt;&gt;"")*(MOVIMIENTOS!$A$5:$A$1005&lt;=$A828)*MOVIMIENTOS!$E$5:$E$1005)+SUMPRODUCT((MOVIMIENTOS!$B$5:$B$1005="DEVOLUCIÓN")*(MOVIMIENTOS!$C$5:$C$1005="A")*(MOVIMIENTOS!$D$5:$D$1005="jabas")*(MOVIMIENTOS!$A$5:$A$1005&lt;&gt;"")*(MOVIMIENTOS!$A$5:$A$1005&lt;=$A828)*MOVIMIENTOS!$E$5:$E$1005)-SUMPRODUCT((MOVIMIENTOS!$B$5:$B$1005="TRASIEGO")*(MOVIMIENTOS!$C$5:$C$1005="A")*(MOVIMIENTOS!$D$5:$D$1005="jabas")*(MOVIMIENTOS!$A$5:$A$1005&lt;&gt;"")*(MOVIMIENTOS!$A$5:$A$1005&lt;=$A828)*MOVIMIENTOS!$E$5:$E$1005)-SUMPRODUCT((MOVIMIENTOS!$B$5:$B$1005="REGALO")*(MOVIMIENTOS!$C$5:$C$1005="A")*(MOVIMIENTOS!$D$5:$D$1005="jabas")*(MOVIMIENTOS!$A$5:$A$1005&lt;&gt;"")*(MOVIMIENTOS!$A$5:$A$1005&lt;=$A828)*MOVIMIENTOS!$E$5:$E$1005)-SUMPRODUCT((MOVIMIENTOS!$B$5:$B$1005="VENTA")*(MOVIMIENTOS!$C$5:$C$1005="A")*(MOVIMIENTOS!$D$5:$D$1005="jabas")*(MOVIMIENTOS!$A$5:$A$1005&lt;&gt;"")*(MOVIMIENTOS!$A$5:$A$1005&lt;=$A828)*MOVIMIENTOS!$E$5:$E$1005)+SUMPRODUCT((MOVIMIENTOS!$B$5:$B$1005="AJUSTE")*(MOVIMIENTOS!$C$5:$C$1005="A")*(MOVIMIENTOS!$D$5:$D$1005="jabas")*(MOVIMIENTOS!$A$5:$A$1005&lt;&gt;"")*(MOVIMIENTOS!$A$5:$A$1005&lt;=$A828)*MOVIMIENTOS!$E$5:$E$1005))</f>
        <v/>
      </c>
      <c r="C828" t="str">
        <f>IF($A828="","",SUMPRODUCT((MOVIMIENTOS!$B$5:$B$1005="SALDO INICIAL")*(MOVIMIENTOS!$C$5:$C$1005="P")*(MOVIMIENTOS!$D$5:$D$1005="jabas")*(MOVIMIENTOS!$A$5:$A$1005&lt;&gt;"")*(MOVIMIENTOS!$A$5:$A$1005&lt;=$A828)*MOVIMIENTOS!$E$5:$E$1005)+SUMPRODUCT((MOVIMIENTOS!$B$5:$B$1005="PROCESO")*(MOVIMIENTOS!$C$5:$C$1005="P")*(MOVIMIENTOS!$D$5:$D$1005="jabas")*(MOVIMIENTOS!$A$5:$A$1005&lt;&gt;"")*(MOVIMIENTOS!$A$5:$A$1005&lt;=$A828)*MOVIMIENTOS!$E$5:$E$1005)-SUMPRODUCT((MOVIMIENTOS!$B$5:$B$1005="ENVÍO A SUPESA")*(MOVIMIENTOS!$C$5:$C$1005="P")*(MOVIMIENTOS!$D$5:$D$1005="jabas")*(MOVIMIENTOS!$A$5:$A$1005&lt;&gt;"")*(MOVIMIENTOS!$A$5:$A$1005&lt;=$A828)*MOVIMIENTOS!$E$5:$E$1005)+SUMPRODUCT((MOVIMIENTOS!$B$5:$B$1005="DEVOLUCIÓN")*(MOVIMIENTOS!$C$5:$C$1005="P")*(MOVIMIENTOS!$D$5:$D$1005="jabas")*(MOVIMIENTOS!$A$5:$A$1005&lt;&gt;"")*(MOVIMIENTOS!$A$5:$A$1005&lt;=$A828)*MOVIMIENTOS!$E$5:$E$1005)-SUMPRODUCT((MOVIMIENTOS!$B$5:$B$1005="TRASIEGO")*(MOVIMIENTOS!$C$5:$C$1005="P")*(MOVIMIENTOS!$D$5:$D$1005="jabas")*(MOVIMIENTOS!$A$5:$A$1005&lt;&gt;"")*(MOVIMIENTOS!$A$5:$A$1005&lt;=$A828)*MOVIMIENTOS!$E$5:$E$1005)-SUMPRODUCT((MOVIMIENTOS!$B$5:$B$1005="REGALO")*(MOVIMIENTOS!$C$5:$C$1005="P")*(MOVIMIENTOS!$D$5:$D$1005="jabas")*(MOVIMIENTOS!$A$5:$A$1005&lt;&gt;"")*(MOVIMIENTOS!$A$5:$A$1005&lt;=$A828)*MOVIMIENTOS!$E$5:$E$1005)-SUMPRODUCT((MOVIMIENTOS!$B$5:$B$1005="VENTA")*(MOVIMIENTOS!$C$5:$C$1005="P")*(MOVIMIENTOS!$D$5:$D$1005="jabas")*(MOVIMIENTOS!$A$5:$A$1005&lt;&gt;"")*(MOVIMIENTOS!$A$5:$A$1005&lt;=$A828)*MOVIMIENTOS!$E$5:$E$1005)+SUMPRODUCT((MOVIMIENTOS!$B$5:$B$1005="AJUSTE")*(MOVIMIENTOS!$C$5:$C$1005="P")*(MOVIMIENTOS!$D$5:$D$1005="jabas")*(MOVIMIENTOS!$A$5:$A$1005&lt;&gt;"")*(MOVIMIENTOS!$A$5:$A$1005&lt;=$A828)*MOVIMIENTOS!$E$5:$E$1005))</f>
        <v/>
      </c>
      <c r="D828" t="str">
        <f>IF($A828="","",SUMPRODUCT((MOVIMIENTOS!$B$5:$B$1005="SALDO INICIAL")*(MOVIMIENTOS!$C$5:$C$1005="C")*(MOVIMIENTOS!$D$5:$D$1005="jabas")*(MOVIMIENTOS!$A$5:$A$1005&lt;&gt;"")*(MOVIMIENTOS!$A$5:$A$1005&lt;=$A828)*MOVIMIENTOS!$E$5:$E$1005)+SUMPRODUCT((MOVIMIENTOS!$B$5:$B$1005="PROCESO")*(MOVIMIENTOS!$C$5:$C$1005="C")*(MOVIMIENTOS!$D$5:$D$1005="jabas")*(MOVIMIENTOS!$A$5:$A$1005&lt;&gt;"")*(MOVIMIENTOS!$A$5:$A$1005&lt;=$A828)*MOVIMIENTOS!$E$5:$E$1005)-SUMPRODUCT((MOVIMIENTOS!$B$5:$B$1005="ENVÍO A SUPESA")*(MOVIMIENTOS!$C$5:$C$1005="C")*(MOVIMIENTOS!$D$5:$D$1005="jabas")*(MOVIMIENTOS!$A$5:$A$1005&lt;&gt;"")*(MOVIMIENTOS!$A$5:$A$1005&lt;=$A828)*MOVIMIENTOS!$E$5:$E$1005)+SUMPRODUCT((MOVIMIENTOS!$B$5:$B$1005="DEVOLUCIÓN")*(MOVIMIENTOS!$C$5:$C$1005="C")*(MOVIMIENTOS!$D$5:$D$1005="jabas")*(MOVIMIENTOS!$A$5:$A$1005&lt;&gt;"")*(MOVIMIENTOS!$A$5:$A$1005&lt;=$A828)*MOVIMIENTOS!$E$5:$E$1005)-SUMPRODUCT((MOVIMIENTOS!$B$5:$B$1005="TRASIEGO")*(MOVIMIENTOS!$C$5:$C$1005="C")*(MOVIMIENTOS!$D$5:$D$1005="jabas")*(MOVIMIENTOS!$A$5:$A$1005&lt;&gt;"")*(MOVIMIENTOS!$A$5:$A$1005&lt;=$A828)*MOVIMIENTOS!$E$5:$E$1005)-SUMPRODUCT((MOVIMIENTOS!$B$5:$B$1005="REGALO")*(MOVIMIENTOS!$C$5:$C$1005="C")*(MOVIMIENTOS!$D$5:$D$1005="jabas")*(MOVIMIENTOS!$A$5:$A$1005&lt;&gt;"")*(MOVIMIENTOS!$A$5:$A$1005&lt;=$A828)*MOVIMIENTOS!$E$5:$E$1005)-SUMPRODUCT((MOVIMIENTOS!$B$5:$B$1005="VENTA")*(MOVIMIENTOS!$C$5:$C$1005="C")*(MOVIMIENTOS!$D$5:$D$1005="jabas")*(MOVIMIENTOS!$A$5:$A$1005&lt;&gt;"")*(MOVIMIENTOS!$A$5:$A$1005&lt;=$A828)*MOVIMIENTOS!$E$5:$E$1005)+SUMPRODUCT((MOVIMIENTOS!$B$5:$B$1005="AJUSTE")*(MOVIMIENTOS!$C$5:$C$1005="C")*(MOVIMIENTOS!$D$5:$D$1005="jabas")*(MOVIMIENTOS!$A$5:$A$1005&lt;&gt;"")*(MOVIMIENTOS!$A$5:$A$1005&lt;=$A828)*MOVIMIENTOS!$E$5:$E$1005))</f>
        <v/>
      </c>
      <c r="E828" t="str">
        <f>IF($A828="","",SUMPRODUCT((MOVIMIENTOS!$B$5:$B$1005="SALDO INICIAL")*(MOVIMIENTOS!$C$5:$C$1005="M")*(MOVIMIENTOS!$D$5:$D$1005="jabas")*(MOVIMIENTOS!$A$5:$A$1005&lt;&gt;"")*(MOVIMIENTOS!$A$5:$A$1005&lt;=$A828)*MOVIMIENTOS!$E$5:$E$1005)+SUMPRODUCT((MOVIMIENTOS!$B$5:$B$1005="PROCESO")*(MOVIMIENTOS!$C$5:$C$1005="M")*(MOVIMIENTOS!$D$5:$D$1005="jabas")*(MOVIMIENTOS!$A$5:$A$1005&lt;&gt;"")*(MOVIMIENTOS!$A$5:$A$1005&lt;=$A828)*MOVIMIENTOS!$E$5:$E$1005)-SUMPRODUCT((MOVIMIENTOS!$B$5:$B$1005="ENVÍO A SUPESA")*(MOVIMIENTOS!$C$5:$C$1005="M")*(MOVIMIENTOS!$D$5:$D$1005="jabas")*(MOVIMIENTOS!$A$5:$A$1005&lt;&gt;"")*(MOVIMIENTOS!$A$5:$A$1005&lt;=$A828)*MOVIMIENTOS!$E$5:$E$1005)+SUMPRODUCT((MOVIMIENTOS!$B$5:$B$1005="DEVOLUCIÓN")*(MOVIMIENTOS!$C$5:$C$1005="M")*(MOVIMIENTOS!$D$5:$D$1005="jabas")*(MOVIMIENTOS!$A$5:$A$1005&lt;&gt;"")*(MOVIMIENTOS!$A$5:$A$1005&lt;=$A828)*MOVIMIENTOS!$E$5:$E$1005)-SUMPRODUCT((MOVIMIENTOS!$B$5:$B$1005="TRASIEGO")*(MOVIMIENTOS!$C$5:$C$1005="M")*(MOVIMIENTOS!$D$5:$D$1005="jabas")*(MOVIMIENTOS!$A$5:$A$1005&lt;&gt;"")*(MOVIMIENTOS!$A$5:$A$1005&lt;=$A828)*MOVIMIENTOS!$E$5:$E$1005)-SUMPRODUCT((MOVIMIENTOS!$B$5:$B$1005="REGALO")*(MOVIMIENTOS!$C$5:$C$1005="M")*(MOVIMIENTOS!$D$5:$D$1005="jabas")*(MOVIMIENTOS!$A$5:$A$1005&lt;&gt;"")*(MOVIMIENTOS!$A$5:$A$1005&lt;=$A828)*MOVIMIENTOS!$E$5:$E$1005)-SUMPRODUCT((MOVIMIENTOS!$B$5:$B$1005="VENTA")*(MOVIMIENTOS!$C$5:$C$1005="M")*(MOVIMIENTOS!$D$5:$D$1005="jabas")*(MOVIMIENTOS!$A$5:$A$1005&lt;&gt;"")*(MOVIMIENTOS!$A$5:$A$1005&lt;=$A828)*MOVIMIENTOS!$E$5:$E$1005)+SUMPRODUCT((MOVIMIENTOS!$B$5:$B$1005="AJUSTE")*(MOVIMIENTOS!$C$5:$C$1005="M")*(MOVIMIENTOS!$D$5:$D$1005="jabas")*(MOVIMIENTOS!$A$5:$A$1005&lt;&gt;"")*(MOVIMIENTOS!$A$5:$A$1005&lt;=$A828)*MOVIMIENTOS!$E$5:$E$1005))</f>
        <v/>
      </c>
      <c r="F828" s="62" t="str">
        <f>IF($A828="","",SUMPRODUCT((MOVIMIENTOS!$B$5:$B$1005="SALDO INICIAL")*(MOVIMIENTOS!$C$5:$C$1005="Chancho")*(MOVIMIENTOS!$D$5:$D$1005="sacos")*(MOVIMIENTOS!$A$5:$A$1005&lt;&gt;"")*(MOVIMIENTOS!$A$5:$A$1005&lt;=$A828)*MOVIMIENTOS!$E$5:$E$1005)+SUMPRODUCT((MOVIMIENTOS!$B$5:$B$1005="PROCESO")*(MOVIMIENTOS!$C$5:$C$1005="Chancho")*(MOVIMIENTOS!$D$5:$D$1005="sacos")*(MOVIMIENTOS!$A$5:$A$1005&lt;&gt;"")*(MOVIMIENTOS!$A$5:$A$1005&lt;=$A828)*MOVIMIENTOS!$E$5:$E$1005)-SUMPRODUCT((MOVIMIENTOS!$B$5:$B$1005="VENTA CHANCHO")*(MOVIMIENTOS!$C$5:$C$1005="Chancho")*(MOVIMIENTOS!$D$5:$D$1005="sacos")*(MOVIMIENTOS!$A$5:$A$1005&lt;&gt;"")*(MOVIMIENTOS!$A$5:$A$1005&lt;=$A828)*MOVIMIENTOS!$E$5:$E$1005)-SUMPRODUCT((MOVIMIENTOS!$B$5:$B$1005="REGALO")*(MOVIMIENTOS!$C$5:$C$1005="Chancho")*(MOVIMIENTOS!$D$5:$D$1005="sacos")*(MOVIMIENTOS!$A$5:$A$1005&lt;&gt;"")*(MOVIMIENTOS!$A$5:$A$1005&lt;=$A828)*MOVIMIENTOS!$E$5:$E$1005)-SUMPRODUCT((MOVIMIENTOS!$B$5:$B$1005="VENTA")*(MOVIMIENTOS!$C$5:$C$1005="Chancho")*(MOVIMIENTOS!$D$5:$D$1005="sacos")*(MOVIMIENTOS!$A$5:$A$1005&lt;&gt;"")*(MOVIMIENTOS!$A$5:$A$1005&lt;=$A828)*MOVIMIENTOS!$E$5:$E$1005)+SUMPRODUCT((MOVIMIENTOS!$B$5:$B$1005="AJUSTE")*(MOVIMIENTOS!$C$5:$C$1005="Chancho")*(MOVIMIENTOS!$D$5:$D$1005="sacos")*(MOVIMIENTOS!$A$5:$A$1005&lt;&gt;"")*(MOVIMIENTOS!$A$5:$A$1005&lt;=$A828)*MOVIMIENTOS!$E$5:$E$1005))</f>
        <v/>
      </c>
      <c r="G828" s="62" t="str">
        <f t="shared" si="25"/>
        <v/>
      </c>
      <c r="H828" t="str">
        <f>IF($A828="","",SUMPRODUCT((((MOVIMIENTOS!$B$5:$B$1005="SALDO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828)*MOVIMIENTOS!$J$5:$J$1005))</f>
        <v/>
      </c>
      <c r="J828" t="str">
        <f>IF(AND(MOVIMIENTOS!$A833&lt;&gt;"",COUNTIF(MOVIMIENTOS!$A$5:$A832,MOVIMIENTOS!$A833)=0),COUNT(J$4:J827)+1,"")</f>
        <v/>
      </c>
      <c r="K828">
        <f>MOVIMIENTOS!$A833</f>
        <v>0</v>
      </c>
    </row>
    <row r="829" spans="1:11" ht="15" customHeight="1" x14ac:dyDescent="0.2">
      <c r="A829" t="str">
        <f t="shared" si="24"/>
        <v/>
      </c>
      <c r="B829" t="str">
        <f>IF($A829="","",SUMPRODUCT((MOVIMIENTOS!$B$5:$B$1005="SALDO INICIAL")*(MOVIMIENTOS!$C$5:$C$1005="A")*(MOVIMIENTOS!$D$5:$D$1005="jabas")*(MOVIMIENTOS!$A$5:$A$1005&lt;&gt;"")*(MOVIMIENTOS!$A$5:$A$1005&lt;=$A829)*MOVIMIENTOS!$E$5:$E$1005)+SUMPRODUCT((MOVIMIENTOS!$B$5:$B$1005="PROCESO")*(MOVIMIENTOS!$C$5:$C$1005="A")*(MOVIMIENTOS!$D$5:$D$1005="jabas")*(MOVIMIENTOS!$A$5:$A$1005&lt;&gt;"")*(MOVIMIENTOS!$A$5:$A$1005&lt;=$A829)*MOVIMIENTOS!$E$5:$E$1005)-SUMPRODUCT((MOVIMIENTOS!$B$5:$B$1005="ENVÍO A SUPESA")*(MOVIMIENTOS!$C$5:$C$1005="A")*(MOVIMIENTOS!$D$5:$D$1005="jabas")*(MOVIMIENTOS!$A$5:$A$1005&lt;&gt;"")*(MOVIMIENTOS!$A$5:$A$1005&lt;=$A829)*MOVIMIENTOS!$E$5:$E$1005)+SUMPRODUCT((MOVIMIENTOS!$B$5:$B$1005="DEVOLUCIÓN")*(MOVIMIENTOS!$C$5:$C$1005="A")*(MOVIMIENTOS!$D$5:$D$1005="jabas")*(MOVIMIENTOS!$A$5:$A$1005&lt;&gt;"")*(MOVIMIENTOS!$A$5:$A$1005&lt;=$A829)*MOVIMIENTOS!$E$5:$E$1005)-SUMPRODUCT((MOVIMIENTOS!$B$5:$B$1005="TRASIEGO")*(MOVIMIENTOS!$C$5:$C$1005="A")*(MOVIMIENTOS!$D$5:$D$1005="jabas")*(MOVIMIENTOS!$A$5:$A$1005&lt;&gt;"")*(MOVIMIENTOS!$A$5:$A$1005&lt;=$A829)*MOVIMIENTOS!$E$5:$E$1005)-SUMPRODUCT((MOVIMIENTOS!$B$5:$B$1005="REGALO")*(MOVIMIENTOS!$C$5:$C$1005="A")*(MOVIMIENTOS!$D$5:$D$1005="jabas")*(MOVIMIENTOS!$A$5:$A$1005&lt;&gt;"")*(MOVIMIENTOS!$A$5:$A$1005&lt;=$A829)*MOVIMIENTOS!$E$5:$E$1005)-SUMPRODUCT((MOVIMIENTOS!$B$5:$B$1005="VENTA")*(MOVIMIENTOS!$C$5:$C$1005="A")*(MOVIMIENTOS!$D$5:$D$1005="jabas")*(MOVIMIENTOS!$A$5:$A$1005&lt;&gt;"")*(MOVIMIENTOS!$A$5:$A$1005&lt;=$A829)*MOVIMIENTOS!$E$5:$E$1005)+SUMPRODUCT((MOVIMIENTOS!$B$5:$B$1005="AJUSTE")*(MOVIMIENTOS!$C$5:$C$1005="A")*(MOVIMIENTOS!$D$5:$D$1005="jabas")*(MOVIMIENTOS!$A$5:$A$1005&lt;&gt;"")*(MOVIMIENTOS!$A$5:$A$1005&lt;=$A829)*MOVIMIENTOS!$E$5:$E$1005))</f>
        <v/>
      </c>
      <c r="C829" t="str">
        <f>IF($A829="","",SUMPRODUCT((MOVIMIENTOS!$B$5:$B$1005="SALDO INICIAL")*(MOVIMIENTOS!$C$5:$C$1005="P")*(MOVIMIENTOS!$D$5:$D$1005="jabas")*(MOVIMIENTOS!$A$5:$A$1005&lt;&gt;"")*(MOVIMIENTOS!$A$5:$A$1005&lt;=$A829)*MOVIMIENTOS!$E$5:$E$1005)+SUMPRODUCT((MOVIMIENTOS!$B$5:$B$1005="PROCESO")*(MOVIMIENTOS!$C$5:$C$1005="P")*(MOVIMIENTOS!$D$5:$D$1005="jabas")*(MOVIMIENTOS!$A$5:$A$1005&lt;&gt;"")*(MOVIMIENTOS!$A$5:$A$1005&lt;=$A829)*MOVIMIENTOS!$E$5:$E$1005)-SUMPRODUCT((MOVIMIENTOS!$B$5:$B$1005="ENVÍO A SUPESA")*(MOVIMIENTOS!$C$5:$C$1005="P")*(MOVIMIENTOS!$D$5:$D$1005="jabas")*(MOVIMIENTOS!$A$5:$A$1005&lt;&gt;"")*(MOVIMIENTOS!$A$5:$A$1005&lt;=$A829)*MOVIMIENTOS!$E$5:$E$1005)+SUMPRODUCT((MOVIMIENTOS!$B$5:$B$1005="DEVOLUCIÓN")*(MOVIMIENTOS!$C$5:$C$1005="P")*(MOVIMIENTOS!$D$5:$D$1005="jabas")*(MOVIMIENTOS!$A$5:$A$1005&lt;&gt;"")*(MOVIMIENTOS!$A$5:$A$1005&lt;=$A829)*MOVIMIENTOS!$E$5:$E$1005)-SUMPRODUCT((MOVIMIENTOS!$B$5:$B$1005="TRASIEGO")*(MOVIMIENTOS!$C$5:$C$1005="P")*(MOVIMIENTOS!$D$5:$D$1005="jabas")*(MOVIMIENTOS!$A$5:$A$1005&lt;&gt;"")*(MOVIMIENTOS!$A$5:$A$1005&lt;=$A829)*MOVIMIENTOS!$E$5:$E$1005)-SUMPRODUCT((MOVIMIENTOS!$B$5:$B$1005="REGALO")*(MOVIMIENTOS!$C$5:$C$1005="P")*(MOVIMIENTOS!$D$5:$D$1005="jabas")*(MOVIMIENTOS!$A$5:$A$1005&lt;&gt;"")*(MOVIMIENTOS!$A$5:$A$1005&lt;=$A829)*MOVIMIENTOS!$E$5:$E$1005)-SUMPRODUCT((MOVIMIENTOS!$B$5:$B$1005="VENTA")*(MOVIMIENTOS!$C$5:$C$1005="P")*(MOVIMIENTOS!$D$5:$D$1005="jabas")*(MOVIMIENTOS!$A$5:$A$1005&lt;&gt;"")*(MOVIMIENTOS!$A$5:$A$1005&lt;=$A829)*MOVIMIENTOS!$E$5:$E$1005)+SUMPRODUCT((MOVIMIENTOS!$B$5:$B$1005="AJUSTE")*(MOVIMIENTOS!$C$5:$C$1005="P")*(MOVIMIENTOS!$D$5:$D$1005="jabas")*(MOVIMIENTOS!$A$5:$A$1005&lt;&gt;"")*(MOVIMIENTOS!$A$5:$A$1005&lt;=$A829)*MOVIMIENTOS!$E$5:$E$1005))</f>
        <v/>
      </c>
      <c r="D829" t="str">
        <f>IF($A829="","",SUMPRODUCT((MOVIMIENTOS!$B$5:$B$1005="SALDO INICIAL")*(MOVIMIENTOS!$C$5:$C$1005="C")*(MOVIMIENTOS!$D$5:$D$1005="jabas")*(MOVIMIENTOS!$A$5:$A$1005&lt;&gt;"")*(MOVIMIENTOS!$A$5:$A$1005&lt;=$A829)*MOVIMIENTOS!$E$5:$E$1005)+SUMPRODUCT((MOVIMIENTOS!$B$5:$B$1005="PROCESO")*(MOVIMIENTOS!$C$5:$C$1005="C")*(MOVIMIENTOS!$D$5:$D$1005="jabas")*(MOVIMIENTOS!$A$5:$A$1005&lt;&gt;"")*(MOVIMIENTOS!$A$5:$A$1005&lt;=$A829)*MOVIMIENTOS!$E$5:$E$1005)-SUMPRODUCT((MOVIMIENTOS!$B$5:$B$1005="ENVÍO A SUPESA")*(MOVIMIENTOS!$C$5:$C$1005="C")*(MOVIMIENTOS!$D$5:$D$1005="jabas")*(MOVIMIENTOS!$A$5:$A$1005&lt;&gt;"")*(MOVIMIENTOS!$A$5:$A$1005&lt;=$A829)*MOVIMIENTOS!$E$5:$E$1005)+SUMPRODUCT((MOVIMIENTOS!$B$5:$B$1005="DEVOLUCIÓN")*(MOVIMIENTOS!$C$5:$C$1005="C")*(MOVIMIENTOS!$D$5:$D$1005="jabas")*(MOVIMIENTOS!$A$5:$A$1005&lt;&gt;"")*(MOVIMIENTOS!$A$5:$A$1005&lt;=$A829)*MOVIMIENTOS!$E$5:$E$1005)-SUMPRODUCT((MOVIMIENTOS!$B$5:$B$1005="TRASIEGO")*(MOVIMIENTOS!$C$5:$C$1005="C")*(MOVIMIENTOS!$D$5:$D$1005="jabas")*(MOVIMIENTOS!$A$5:$A$1005&lt;&gt;"")*(MOVIMIENTOS!$A$5:$A$1005&lt;=$A829)*MOVIMIENTOS!$E$5:$E$1005)-SUMPRODUCT((MOVIMIENTOS!$B$5:$B$1005="REGALO")*(MOVIMIENTOS!$C$5:$C$1005="C")*(MOVIMIENTOS!$D$5:$D$1005="jabas")*(MOVIMIENTOS!$A$5:$A$1005&lt;&gt;"")*(MOVIMIENTOS!$A$5:$A$1005&lt;=$A829)*MOVIMIENTOS!$E$5:$E$1005)-SUMPRODUCT((MOVIMIENTOS!$B$5:$B$1005="VENTA")*(MOVIMIENTOS!$C$5:$C$1005="C")*(MOVIMIENTOS!$D$5:$D$1005="jabas")*(MOVIMIENTOS!$A$5:$A$1005&lt;&gt;"")*(MOVIMIENTOS!$A$5:$A$1005&lt;=$A829)*MOVIMIENTOS!$E$5:$E$1005)+SUMPRODUCT((MOVIMIENTOS!$B$5:$B$1005="AJUSTE")*(MOVIMIENTOS!$C$5:$C$1005="C")*(MOVIMIENTOS!$D$5:$D$1005="jabas")*(MOVIMIENTOS!$A$5:$A$1005&lt;&gt;"")*(MOVIMIENTOS!$A$5:$A$1005&lt;=$A829)*MOVIMIENTOS!$E$5:$E$1005))</f>
        <v/>
      </c>
      <c r="E829" t="str">
        <f>IF($A829="","",SUMPRODUCT((MOVIMIENTOS!$B$5:$B$1005="SALDO INICIAL")*(MOVIMIENTOS!$C$5:$C$1005="M")*(MOVIMIENTOS!$D$5:$D$1005="jabas")*(MOVIMIENTOS!$A$5:$A$1005&lt;&gt;"")*(MOVIMIENTOS!$A$5:$A$1005&lt;=$A829)*MOVIMIENTOS!$E$5:$E$1005)+SUMPRODUCT((MOVIMIENTOS!$B$5:$B$1005="PROCESO")*(MOVIMIENTOS!$C$5:$C$1005="M")*(MOVIMIENTOS!$D$5:$D$1005="jabas")*(MOVIMIENTOS!$A$5:$A$1005&lt;&gt;"")*(MOVIMIENTOS!$A$5:$A$1005&lt;=$A829)*MOVIMIENTOS!$E$5:$E$1005)-SUMPRODUCT((MOVIMIENTOS!$B$5:$B$1005="ENVÍO A SUPESA")*(MOVIMIENTOS!$C$5:$C$1005="M")*(MOVIMIENTOS!$D$5:$D$1005="jabas")*(MOVIMIENTOS!$A$5:$A$1005&lt;&gt;"")*(MOVIMIENTOS!$A$5:$A$1005&lt;=$A829)*MOVIMIENTOS!$E$5:$E$1005)+SUMPRODUCT((MOVIMIENTOS!$B$5:$B$1005="DEVOLUCIÓN")*(MOVIMIENTOS!$C$5:$C$1005="M")*(MOVIMIENTOS!$D$5:$D$1005="jabas")*(MOVIMIENTOS!$A$5:$A$1005&lt;&gt;"")*(MOVIMIENTOS!$A$5:$A$1005&lt;=$A829)*MOVIMIENTOS!$E$5:$E$1005)-SUMPRODUCT((MOVIMIENTOS!$B$5:$B$1005="TRASIEGO")*(MOVIMIENTOS!$C$5:$C$1005="M")*(MOVIMIENTOS!$D$5:$D$1005="jabas")*(MOVIMIENTOS!$A$5:$A$1005&lt;&gt;"")*(MOVIMIENTOS!$A$5:$A$1005&lt;=$A829)*MOVIMIENTOS!$E$5:$E$1005)-SUMPRODUCT((MOVIMIENTOS!$B$5:$B$1005="REGALO")*(MOVIMIENTOS!$C$5:$C$1005="M")*(MOVIMIENTOS!$D$5:$D$1005="jabas")*(MOVIMIENTOS!$A$5:$A$1005&lt;&gt;"")*(MOVIMIENTOS!$A$5:$A$1005&lt;=$A829)*MOVIMIENTOS!$E$5:$E$1005)-SUMPRODUCT((MOVIMIENTOS!$B$5:$B$1005="VENTA")*(MOVIMIENTOS!$C$5:$C$1005="M")*(MOVIMIENTOS!$D$5:$D$1005="jabas")*(MOVIMIENTOS!$A$5:$A$1005&lt;&gt;"")*(MOVIMIENTOS!$A$5:$A$1005&lt;=$A829)*MOVIMIENTOS!$E$5:$E$1005)+SUMPRODUCT((MOVIMIENTOS!$B$5:$B$1005="AJUSTE")*(MOVIMIENTOS!$C$5:$C$1005="M")*(MOVIMIENTOS!$D$5:$D$1005="jabas")*(MOVIMIENTOS!$A$5:$A$1005&lt;&gt;"")*(MOVIMIENTOS!$A$5:$A$1005&lt;=$A829)*MOVIMIENTOS!$E$5:$E$1005))</f>
        <v/>
      </c>
      <c r="F829" s="62" t="str">
        <f>IF($A829="","",SUMPRODUCT((MOVIMIENTOS!$B$5:$B$1005="SALDO INICIAL")*(MOVIMIENTOS!$C$5:$C$1005="Chancho")*(MOVIMIENTOS!$D$5:$D$1005="sacos")*(MOVIMIENTOS!$A$5:$A$1005&lt;&gt;"")*(MOVIMIENTOS!$A$5:$A$1005&lt;=$A829)*MOVIMIENTOS!$E$5:$E$1005)+SUMPRODUCT((MOVIMIENTOS!$B$5:$B$1005="PROCESO")*(MOVIMIENTOS!$C$5:$C$1005="Chancho")*(MOVIMIENTOS!$D$5:$D$1005="sacos")*(MOVIMIENTOS!$A$5:$A$1005&lt;&gt;"")*(MOVIMIENTOS!$A$5:$A$1005&lt;=$A829)*MOVIMIENTOS!$E$5:$E$1005)-SUMPRODUCT((MOVIMIENTOS!$B$5:$B$1005="VENTA CHANCHO")*(MOVIMIENTOS!$C$5:$C$1005="Chancho")*(MOVIMIENTOS!$D$5:$D$1005="sacos")*(MOVIMIENTOS!$A$5:$A$1005&lt;&gt;"")*(MOVIMIENTOS!$A$5:$A$1005&lt;=$A829)*MOVIMIENTOS!$E$5:$E$1005)-SUMPRODUCT((MOVIMIENTOS!$B$5:$B$1005="REGALO")*(MOVIMIENTOS!$C$5:$C$1005="Chancho")*(MOVIMIENTOS!$D$5:$D$1005="sacos")*(MOVIMIENTOS!$A$5:$A$1005&lt;&gt;"")*(MOVIMIENTOS!$A$5:$A$1005&lt;=$A829)*MOVIMIENTOS!$E$5:$E$1005)-SUMPRODUCT((MOVIMIENTOS!$B$5:$B$1005="VENTA")*(MOVIMIENTOS!$C$5:$C$1005="Chancho")*(MOVIMIENTOS!$D$5:$D$1005="sacos")*(MOVIMIENTOS!$A$5:$A$1005&lt;&gt;"")*(MOVIMIENTOS!$A$5:$A$1005&lt;=$A829)*MOVIMIENTOS!$E$5:$E$1005)+SUMPRODUCT((MOVIMIENTOS!$B$5:$B$1005="AJUSTE")*(MOVIMIENTOS!$C$5:$C$1005="Chancho")*(MOVIMIENTOS!$D$5:$D$1005="sacos")*(MOVIMIENTOS!$A$5:$A$1005&lt;&gt;"")*(MOVIMIENTOS!$A$5:$A$1005&lt;=$A829)*MOVIMIENTOS!$E$5:$E$1005))</f>
        <v/>
      </c>
      <c r="G829" s="62" t="str">
        <f t="shared" si="25"/>
        <v/>
      </c>
      <c r="H829" t="str">
        <f>IF($A829="","",SUMPRODUCT((((MOVIMIENTOS!$B$5:$B$1005="SALDO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829)*MOVIMIENTOS!$J$5:$J$1005))</f>
        <v/>
      </c>
      <c r="J829" t="str">
        <f>IF(AND(MOVIMIENTOS!$A834&lt;&gt;"",COUNTIF(MOVIMIENTOS!$A$5:$A833,MOVIMIENTOS!$A834)=0),COUNT(J$4:J828)+1,"")</f>
        <v/>
      </c>
      <c r="K829">
        <f>MOVIMIENTOS!$A834</f>
        <v>0</v>
      </c>
    </row>
    <row r="830" spans="1:11" ht="15" customHeight="1" x14ac:dyDescent="0.2">
      <c r="A830" t="str">
        <f t="shared" si="24"/>
        <v/>
      </c>
      <c r="B830" t="str">
        <f>IF($A830="","",SUMPRODUCT((MOVIMIENTOS!$B$5:$B$1005="SALDO INICIAL")*(MOVIMIENTOS!$C$5:$C$1005="A")*(MOVIMIENTOS!$D$5:$D$1005="jabas")*(MOVIMIENTOS!$A$5:$A$1005&lt;&gt;"")*(MOVIMIENTOS!$A$5:$A$1005&lt;=$A830)*MOVIMIENTOS!$E$5:$E$1005)+SUMPRODUCT((MOVIMIENTOS!$B$5:$B$1005="PROCESO")*(MOVIMIENTOS!$C$5:$C$1005="A")*(MOVIMIENTOS!$D$5:$D$1005="jabas")*(MOVIMIENTOS!$A$5:$A$1005&lt;&gt;"")*(MOVIMIENTOS!$A$5:$A$1005&lt;=$A830)*MOVIMIENTOS!$E$5:$E$1005)-SUMPRODUCT((MOVIMIENTOS!$B$5:$B$1005="ENVÍO A SUPESA")*(MOVIMIENTOS!$C$5:$C$1005="A")*(MOVIMIENTOS!$D$5:$D$1005="jabas")*(MOVIMIENTOS!$A$5:$A$1005&lt;&gt;"")*(MOVIMIENTOS!$A$5:$A$1005&lt;=$A830)*MOVIMIENTOS!$E$5:$E$1005)+SUMPRODUCT((MOVIMIENTOS!$B$5:$B$1005="DEVOLUCIÓN")*(MOVIMIENTOS!$C$5:$C$1005="A")*(MOVIMIENTOS!$D$5:$D$1005="jabas")*(MOVIMIENTOS!$A$5:$A$1005&lt;&gt;"")*(MOVIMIENTOS!$A$5:$A$1005&lt;=$A830)*MOVIMIENTOS!$E$5:$E$1005)-SUMPRODUCT((MOVIMIENTOS!$B$5:$B$1005="TRASIEGO")*(MOVIMIENTOS!$C$5:$C$1005="A")*(MOVIMIENTOS!$D$5:$D$1005="jabas")*(MOVIMIENTOS!$A$5:$A$1005&lt;&gt;"")*(MOVIMIENTOS!$A$5:$A$1005&lt;=$A830)*MOVIMIENTOS!$E$5:$E$1005)-SUMPRODUCT((MOVIMIENTOS!$B$5:$B$1005="REGALO")*(MOVIMIENTOS!$C$5:$C$1005="A")*(MOVIMIENTOS!$D$5:$D$1005="jabas")*(MOVIMIENTOS!$A$5:$A$1005&lt;&gt;"")*(MOVIMIENTOS!$A$5:$A$1005&lt;=$A830)*MOVIMIENTOS!$E$5:$E$1005)-SUMPRODUCT((MOVIMIENTOS!$B$5:$B$1005="VENTA")*(MOVIMIENTOS!$C$5:$C$1005="A")*(MOVIMIENTOS!$D$5:$D$1005="jabas")*(MOVIMIENTOS!$A$5:$A$1005&lt;&gt;"")*(MOVIMIENTOS!$A$5:$A$1005&lt;=$A830)*MOVIMIENTOS!$E$5:$E$1005)+SUMPRODUCT((MOVIMIENTOS!$B$5:$B$1005="AJUSTE")*(MOVIMIENTOS!$C$5:$C$1005="A")*(MOVIMIENTOS!$D$5:$D$1005="jabas")*(MOVIMIENTOS!$A$5:$A$1005&lt;&gt;"")*(MOVIMIENTOS!$A$5:$A$1005&lt;=$A830)*MOVIMIENTOS!$E$5:$E$1005))</f>
        <v/>
      </c>
      <c r="C830" t="str">
        <f>IF($A830="","",SUMPRODUCT((MOVIMIENTOS!$B$5:$B$1005="SALDO INICIAL")*(MOVIMIENTOS!$C$5:$C$1005="P")*(MOVIMIENTOS!$D$5:$D$1005="jabas")*(MOVIMIENTOS!$A$5:$A$1005&lt;&gt;"")*(MOVIMIENTOS!$A$5:$A$1005&lt;=$A830)*MOVIMIENTOS!$E$5:$E$1005)+SUMPRODUCT((MOVIMIENTOS!$B$5:$B$1005="PROCESO")*(MOVIMIENTOS!$C$5:$C$1005="P")*(MOVIMIENTOS!$D$5:$D$1005="jabas")*(MOVIMIENTOS!$A$5:$A$1005&lt;&gt;"")*(MOVIMIENTOS!$A$5:$A$1005&lt;=$A830)*MOVIMIENTOS!$E$5:$E$1005)-SUMPRODUCT((MOVIMIENTOS!$B$5:$B$1005="ENVÍO A SUPESA")*(MOVIMIENTOS!$C$5:$C$1005="P")*(MOVIMIENTOS!$D$5:$D$1005="jabas")*(MOVIMIENTOS!$A$5:$A$1005&lt;&gt;"")*(MOVIMIENTOS!$A$5:$A$1005&lt;=$A830)*MOVIMIENTOS!$E$5:$E$1005)+SUMPRODUCT((MOVIMIENTOS!$B$5:$B$1005="DEVOLUCIÓN")*(MOVIMIENTOS!$C$5:$C$1005="P")*(MOVIMIENTOS!$D$5:$D$1005="jabas")*(MOVIMIENTOS!$A$5:$A$1005&lt;&gt;"")*(MOVIMIENTOS!$A$5:$A$1005&lt;=$A830)*MOVIMIENTOS!$E$5:$E$1005)-SUMPRODUCT((MOVIMIENTOS!$B$5:$B$1005="TRASIEGO")*(MOVIMIENTOS!$C$5:$C$1005="P")*(MOVIMIENTOS!$D$5:$D$1005="jabas")*(MOVIMIENTOS!$A$5:$A$1005&lt;&gt;"")*(MOVIMIENTOS!$A$5:$A$1005&lt;=$A830)*MOVIMIENTOS!$E$5:$E$1005)-SUMPRODUCT((MOVIMIENTOS!$B$5:$B$1005="REGALO")*(MOVIMIENTOS!$C$5:$C$1005="P")*(MOVIMIENTOS!$D$5:$D$1005="jabas")*(MOVIMIENTOS!$A$5:$A$1005&lt;&gt;"")*(MOVIMIENTOS!$A$5:$A$1005&lt;=$A830)*MOVIMIENTOS!$E$5:$E$1005)-SUMPRODUCT((MOVIMIENTOS!$B$5:$B$1005="VENTA")*(MOVIMIENTOS!$C$5:$C$1005="P")*(MOVIMIENTOS!$D$5:$D$1005="jabas")*(MOVIMIENTOS!$A$5:$A$1005&lt;&gt;"")*(MOVIMIENTOS!$A$5:$A$1005&lt;=$A830)*MOVIMIENTOS!$E$5:$E$1005)+SUMPRODUCT((MOVIMIENTOS!$B$5:$B$1005="AJUSTE")*(MOVIMIENTOS!$C$5:$C$1005="P")*(MOVIMIENTOS!$D$5:$D$1005="jabas")*(MOVIMIENTOS!$A$5:$A$1005&lt;&gt;"")*(MOVIMIENTOS!$A$5:$A$1005&lt;=$A830)*MOVIMIENTOS!$E$5:$E$1005))</f>
        <v/>
      </c>
      <c r="D830" t="str">
        <f>IF($A830="","",SUMPRODUCT((MOVIMIENTOS!$B$5:$B$1005="SALDO INICIAL")*(MOVIMIENTOS!$C$5:$C$1005="C")*(MOVIMIENTOS!$D$5:$D$1005="jabas")*(MOVIMIENTOS!$A$5:$A$1005&lt;&gt;"")*(MOVIMIENTOS!$A$5:$A$1005&lt;=$A830)*MOVIMIENTOS!$E$5:$E$1005)+SUMPRODUCT((MOVIMIENTOS!$B$5:$B$1005="PROCESO")*(MOVIMIENTOS!$C$5:$C$1005="C")*(MOVIMIENTOS!$D$5:$D$1005="jabas")*(MOVIMIENTOS!$A$5:$A$1005&lt;&gt;"")*(MOVIMIENTOS!$A$5:$A$1005&lt;=$A830)*MOVIMIENTOS!$E$5:$E$1005)-SUMPRODUCT((MOVIMIENTOS!$B$5:$B$1005="ENVÍO A SUPESA")*(MOVIMIENTOS!$C$5:$C$1005="C")*(MOVIMIENTOS!$D$5:$D$1005="jabas")*(MOVIMIENTOS!$A$5:$A$1005&lt;&gt;"")*(MOVIMIENTOS!$A$5:$A$1005&lt;=$A830)*MOVIMIENTOS!$E$5:$E$1005)+SUMPRODUCT((MOVIMIENTOS!$B$5:$B$1005="DEVOLUCIÓN")*(MOVIMIENTOS!$C$5:$C$1005="C")*(MOVIMIENTOS!$D$5:$D$1005="jabas")*(MOVIMIENTOS!$A$5:$A$1005&lt;&gt;"")*(MOVIMIENTOS!$A$5:$A$1005&lt;=$A830)*MOVIMIENTOS!$E$5:$E$1005)-SUMPRODUCT((MOVIMIENTOS!$B$5:$B$1005="TRASIEGO")*(MOVIMIENTOS!$C$5:$C$1005="C")*(MOVIMIENTOS!$D$5:$D$1005="jabas")*(MOVIMIENTOS!$A$5:$A$1005&lt;&gt;"")*(MOVIMIENTOS!$A$5:$A$1005&lt;=$A830)*MOVIMIENTOS!$E$5:$E$1005)-SUMPRODUCT((MOVIMIENTOS!$B$5:$B$1005="REGALO")*(MOVIMIENTOS!$C$5:$C$1005="C")*(MOVIMIENTOS!$D$5:$D$1005="jabas")*(MOVIMIENTOS!$A$5:$A$1005&lt;&gt;"")*(MOVIMIENTOS!$A$5:$A$1005&lt;=$A830)*MOVIMIENTOS!$E$5:$E$1005)-SUMPRODUCT((MOVIMIENTOS!$B$5:$B$1005="VENTA")*(MOVIMIENTOS!$C$5:$C$1005="C")*(MOVIMIENTOS!$D$5:$D$1005="jabas")*(MOVIMIENTOS!$A$5:$A$1005&lt;&gt;"")*(MOVIMIENTOS!$A$5:$A$1005&lt;=$A830)*MOVIMIENTOS!$E$5:$E$1005)+SUMPRODUCT((MOVIMIENTOS!$B$5:$B$1005="AJUSTE")*(MOVIMIENTOS!$C$5:$C$1005="C")*(MOVIMIENTOS!$D$5:$D$1005="jabas")*(MOVIMIENTOS!$A$5:$A$1005&lt;&gt;"")*(MOVIMIENTOS!$A$5:$A$1005&lt;=$A830)*MOVIMIENTOS!$E$5:$E$1005))</f>
        <v/>
      </c>
      <c r="E830" t="str">
        <f>IF($A830="","",SUMPRODUCT((MOVIMIENTOS!$B$5:$B$1005="SALDO INICIAL")*(MOVIMIENTOS!$C$5:$C$1005="M")*(MOVIMIENTOS!$D$5:$D$1005="jabas")*(MOVIMIENTOS!$A$5:$A$1005&lt;&gt;"")*(MOVIMIENTOS!$A$5:$A$1005&lt;=$A830)*MOVIMIENTOS!$E$5:$E$1005)+SUMPRODUCT((MOVIMIENTOS!$B$5:$B$1005="PROCESO")*(MOVIMIENTOS!$C$5:$C$1005="M")*(MOVIMIENTOS!$D$5:$D$1005="jabas")*(MOVIMIENTOS!$A$5:$A$1005&lt;&gt;"")*(MOVIMIENTOS!$A$5:$A$1005&lt;=$A830)*MOVIMIENTOS!$E$5:$E$1005)-SUMPRODUCT((MOVIMIENTOS!$B$5:$B$1005="ENVÍO A SUPESA")*(MOVIMIENTOS!$C$5:$C$1005="M")*(MOVIMIENTOS!$D$5:$D$1005="jabas")*(MOVIMIENTOS!$A$5:$A$1005&lt;&gt;"")*(MOVIMIENTOS!$A$5:$A$1005&lt;=$A830)*MOVIMIENTOS!$E$5:$E$1005)+SUMPRODUCT((MOVIMIENTOS!$B$5:$B$1005="DEVOLUCIÓN")*(MOVIMIENTOS!$C$5:$C$1005="M")*(MOVIMIENTOS!$D$5:$D$1005="jabas")*(MOVIMIENTOS!$A$5:$A$1005&lt;&gt;"")*(MOVIMIENTOS!$A$5:$A$1005&lt;=$A830)*MOVIMIENTOS!$E$5:$E$1005)-SUMPRODUCT((MOVIMIENTOS!$B$5:$B$1005="TRASIEGO")*(MOVIMIENTOS!$C$5:$C$1005="M")*(MOVIMIENTOS!$D$5:$D$1005="jabas")*(MOVIMIENTOS!$A$5:$A$1005&lt;&gt;"")*(MOVIMIENTOS!$A$5:$A$1005&lt;=$A830)*MOVIMIENTOS!$E$5:$E$1005)-SUMPRODUCT((MOVIMIENTOS!$B$5:$B$1005="REGALO")*(MOVIMIENTOS!$C$5:$C$1005="M")*(MOVIMIENTOS!$D$5:$D$1005="jabas")*(MOVIMIENTOS!$A$5:$A$1005&lt;&gt;"")*(MOVIMIENTOS!$A$5:$A$1005&lt;=$A830)*MOVIMIENTOS!$E$5:$E$1005)-SUMPRODUCT((MOVIMIENTOS!$B$5:$B$1005="VENTA")*(MOVIMIENTOS!$C$5:$C$1005="M")*(MOVIMIENTOS!$D$5:$D$1005="jabas")*(MOVIMIENTOS!$A$5:$A$1005&lt;&gt;"")*(MOVIMIENTOS!$A$5:$A$1005&lt;=$A830)*MOVIMIENTOS!$E$5:$E$1005)+SUMPRODUCT((MOVIMIENTOS!$B$5:$B$1005="AJUSTE")*(MOVIMIENTOS!$C$5:$C$1005="M")*(MOVIMIENTOS!$D$5:$D$1005="jabas")*(MOVIMIENTOS!$A$5:$A$1005&lt;&gt;"")*(MOVIMIENTOS!$A$5:$A$1005&lt;=$A830)*MOVIMIENTOS!$E$5:$E$1005))</f>
        <v/>
      </c>
      <c r="F830" s="62" t="str">
        <f>IF($A830="","",SUMPRODUCT((MOVIMIENTOS!$B$5:$B$1005="SALDO INICIAL")*(MOVIMIENTOS!$C$5:$C$1005="Chancho")*(MOVIMIENTOS!$D$5:$D$1005="sacos")*(MOVIMIENTOS!$A$5:$A$1005&lt;&gt;"")*(MOVIMIENTOS!$A$5:$A$1005&lt;=$A830)*MOVIMIENTOS!$E$5:$E$1005)+SUMPRODUCT((MOVIMIENTOS!$B$5:$B$1005="PROCESO")*(MOVIMIENTOS!$C$5:$C$1005="Chancho")*(MOVIMIENTOS!$D$5:$D$1005="sacos")*(MOVIMIENTOS!$A$5:$A$1005&lt;&gt;"")*(MOVIMIENTOS!$A$5:$A$1005&lt;=$A830)*MOVIMIENTOS!$E$5:$E$1005)-SUMPRODUCT((MOVIMIENTOS!$B$5:$B$1005="VENTA CHANCHO")*(MOVIMIENTOS!$C$5:$C$1005="Chancho")*(MOVIMIENTOS!$D$5:$D$1005="sacos")*(MOVIMIENTOS!$A$5:$A$1005&lt;&gt;"")*(MOVIMIENTOS!$A$5:$A$1005&lt;=$A830)*MOVIMIENTOS!$E$5:$E$1005)-SUMPRODUCT((MOVIMIENTOS!$B$5:$B$1005="REGALO")*(MOVIMIENTOS!$C$5:$C$1005="Chancho")*(MOVIMIENTOS!$D$5:$D$1005="sacos")*(MOVIMIENTOS!$A$5:$A$1005&lt;&gt;"")*(MOVIMIENTOS!$A$5:$A$1005&lt;=$A830)*MOVIMIENTOS!$E$5:$E$1005)-SUMPRODUCT((MOVIMIENTOS!$B$5:$B$1005="VENTA")*(MOVIMIENTOS!$C$5:$C$1005="Chancho")*(MOVIMIENTOS!$D$5:$D$1005="sacos")*(MOVIMIENTOS!$A$5:$A$1005&lt;&gt;"")*(MOVIMIENTOS!$A$5:$A$1005&lt;=$A830)*MOVIMIENTOS!$E$5:$E$1005)+SUMPRODUCT((MOVIMIENTOS!$B$5:$B$1005="AJUSTE")*(MOVIMIENTOS!$C$5:$C$1005="Chancho")*(MOVIMIENTOS!$D$5:$D$1005="sacos")*(MOVIMIENTOS!$A$5:$A$1005&lt;&gt;"")*(MOVIMIENTOS!$A$5:$A$1005&lt;=$A830)*MOVIMIENTOS!$E$5:$E$1005))</f>
        <v/>
      </c>
      <c r="G830" s="62" t="str">
        <f t="shared" si="25"/>
        <v/>
      </c>
      <c r="H830" t="str">
        <f>IF($A830="","",SUMPRODUCT((((MOVIMIENTOS!$B$5:$B$1005="SALDO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830)*MOVIMIENTOS!$J$5:$J$1005))</f>
        <v/>
      </c>
      <c r="J830" t="str">
        <f>IF(AND(MOVIMIENTOS!$A835&lt;&gt;"",COUNTIF(MOVIMIENTOS!$A$5:$A834,MOVIMIENTOS!$A835)=0),COUNT(J$4:J829)+1,"")</f>
        <v/>
      </c>
      <c r="K830">
        <f>MOVIMIENTOS!$A835</f>
        <v>0</v>
      </c>
    </row>
    <row r="831" spans="1:11" ht="15" customHeight="1" x14ac:dyDescent="0.2">
      <c r="A831" t="str">
        <f t="shared" si="24"/>
        <v/>
      </c>
      <c r="B831" t="str">
        <f>IF($A831="","",SUMPRODUCT((MOVIMIENTOS!$B$5:$B$1005="SALDO INICIAL")*(MOVIMIENTOS!$C$5:$C$1005="A")*(MOVIMIENTOS!$D$5:$D$1005="jabas")*(MOVIMIENTOS!$A$5:$A$1005&lt;&gt;"")*(MOVIMIENTOS!$A$5:$A$1005&lt;=$A831)*MOVIMIENTOS!$E$5:$E$1005)+SUMPRODUCT((MOVIMIENTOS!$B$5:$B$1005="PROCESO")*(MOVIMIENTOS!$C$5:$C$1005="A")*(MOVIMIENTOS!$D$5:$D$1005="jabas")*(MOVIMIENTOS!$A$5:$A$1005&lt;&gt;"")*(MOVIMIENTOS!$A$5:$A$1005&lt;=$A831)*MOVIMIENTOS!$E$5:$E$1005)-SUMPRODUCT((MOVIMIENTOS!$B$5:$B$1005="ENVÍO A SUPESA")*(MOVIMIENTOS!$C$5:$C$1005="A")*(MOVIMIENTOS!$D$5:$D$1005="jabas")*(MOVIMIENTOS!$A$5:$A$1005&lt;&gt;"")*(MOVIMIENTOS!$A$5:$A$1005&lt;=$A831)*MOVIMIENTOS!$E$5:$E$1005)+SUMPRODUCT((MOVIMIENTOS!$B$5:$B$1005="DEVOLUCIÓN")*(MOVIMIENTOS!$C$5:$C$1005="A")*(MOVIMIENTOS!$D$5:$D$1005="jabas")*(MOVIMIENTOS!$A$5:$A$1005&lt;&gt;"")*(MOVIMIENTOS!$A$5:$A$1005&lt;=$A831)*MOVIMIENTOS!$E$5:$E$1005)-SUMPRODUCT((MOVIMIENTOS!$B$5:$B$1005="TRASIEGO")*(MOVIMIENTOS!$C$5:$C$1005="A")*(MOVIMIENTOS!$D$5:$D$1005="jabas")*(MOVIMIENTOS!$A$5:$A$1005&lt;&gt;"")*(MOVIMIENTOS!$A$5:$A$1005&lt;=$A831)*MOVIMIENTOS!$E$5:$E$1005)-SUMPRODUCT((MOVIMIENTOS!$B$5:$B$1005="REGALO")*(MOVIMIENTOS!$C$5:$C$1005="A")*(MOVIMIENTOS!$D$5:$D$1005="jabas")*(MOVIMIENTOS!$A$5:$A$1005&lt;&gt;"")*(MOVIMIENTOS!$A$5:$A$1005&lt;=$A831)*MOVIMIENTOS!$E$5:$E$1005)-SUMPRODUCT((MOVIMIENTOS!$B$5:$B$1005="VENTA")*(MOVIMIENTOS!$C$5:$C$1005="A")*(MOVIMIENTOS!$D$5:$D$1005="jabas")*(MOVIMIENTOS!$A$5:$A$1005&lt;&gt;"")*(MOVIMIENTOS!$A$5:$A$1005&lt;=$A831)*MOVIMIENTOS!$E$5:$E$1005)+SUMPRODUCT((MOVIMIENTOS!$B$5:$B$1005="AJUSTE")*(MOVIMIENTOS!$C$5:$C$1005="A")*(MOVIMIENTOS!$D$5:$D$1005="jabas")*(MOVIMIENTOS!$A$5:$A$1005&lt;&gt;"")*(MOVIMIENTOS!$A$5:$A$1005&lt;=$A831)*MOVIMIENTOS!$E$5:$E$1005))</f>
        <v/>
      </c>
      <c r="C831" t="str">
        <f>IF($A831="","",SUMPRODUCT((MOVIMIENTOS!$B$5:$B$1005="SALDO INICIAL")*(MOVIMIENTOS!$C$5:$C$1005="P")*(MOVIMIENTOS!$D$5:$D$1005="jabas")*(MOVIMIENTOS!$A$5:$A$1005&lt;&gt;"")*(MOVIMIENTOS!$A$5:$A$1005&lt;=$A831)*MOVIMIENTOS!$E$5:$E$1005)+SUMPRODUCT((MOVIMIENTOS!$B$5:$B$1005="PROCESO")*(MOVIMIENTOS!$C$5:$C$1005="P")*(MOVIMIENTOS!$D$5:$D$1005="jabas")*(MOVIMIENTOS!$A$5:$A$1005&lt;&gt;"")*(MOVIMIENTOS!$A$5:$A$1005&lt;=$A831)*MOVIMIENTOS!$E$5:$E$1005)-SUMPRODUCT((MOVIMIENTOS!$B$5:$B$1005="ENVÍO A SUPESA")*(MOVIMIENTOS!$C$5:$C$1005="P")*(MOVIMIENTOS!$D$5:$D$1005="jabas")*(MOVIMIENTOS!$A$5:$A$1005&lt;&gt;"")*(MOVIMIENTOS!$A$5:$A$1005&lt;=$A831)*MOVIMIENTOS!$E$5:$E$1005)+SUMPRODUCT((MOVIMIENTOS!$B$5:$B$1005="DEVOLUCIÓN")*(MOVIMIENTOS!$C$5:$C$1005="P")*(MOVIMIENTOS!$D$5:$D$1005="jabas")*(MOVIMIENTOS!$A$5:$A$1005&lt;&gt;"")*(MOVIMIENTOS!$A$5:$A$1005&lt;=$A831)*MOVIMIENTOS!$E$5:$E$1005)-SUMPRODUCT((MOVIMIENTOS!$B$5:$B$1005="TRASIEGO")*(MOVIMIENTOS!$C$5:$C$1005="P")*(MOVIMIENTOS!$D$5:$D$1005="jabas")*(MOVIMIENTOS!$A$5:$A$1005&lt;&gt;"")*(MOVIMIENTOS!$A$5:$A$1005&lt;=$A831)*MOVIMIENTOS!$E$5:$E$1005)-SUMPRODUCT((MOVIMIENTOS!$B$5:$B$1005="REGALO")*(MOVIMIENTOS!$C$5:$C$1005="P")*(MOVIMIENTOS!$D$5:$D$1005="jabas")*(MOVIMIENTOS!$A$5:$A$1005&lt;&gt;"")*(MOVIMIENTOS!$A$5:$A$1005&lt;=$A831)*MOVIMIENTOS!$E$5:$E$1005)-SUMPRODUCT((MOVIMIENTOS!$B$5:$B$1005="VENTA")*(MOVIMIENTOS!$C$5:$C$1005="P")*(MOVIMIENTOS!$D$5:$D$1005="jabas")*(MOVIMIENTOS!$A$5:$A$1005&lt;&gt;"")*(MOVIMIENTOS!$A$5:$A$1005&lt;=$A831)*MOVIMIENTOS!$E$5:$E$1005)+SUMPRODUCT((MOVIMIENTOS!$B$5:$B$1005="AJUSTE")*(MOVIMIENTOS!$C$5:$C$1005="P")*(MOVIMIENTOS!$D$5:$D$1005="jabas")*(MOVIMIENTOS!$A$5:$A$1005&lt;&gt;"")*(MOVIMIENTOS!$A$5:$A$1005&lt;=$A831)*MOVIMIENTOS!$E$5:$E$1005))</f>
        <v/>
      </c>
      <c r="D831" t="str">
        <f>IF($A831="","",SUMPRODUCT((MOVIMIENTOS!$B$5:$B$1005="SALDO INICIAL")*(MOVIMIENTOS!$C$5:$C$1005="C")*(MOVIMIENTOS!$D$5:$D$1005="jabas")*(MOVIMIENTOS!$A$5:$A$1005&lt;&gt;"")*(MOVIMIENTOS!$A$5:$A$1005&lt;=$A831)*MOVIMIENTOS!$E$5:$E$1005)+SUMPRODUCT((MOVIMIENTOS!$B$5:$B$1005="PROCESO")*(MOVIMIENTOS!$C$5:$C$1005="C")*(MOVIMIENTOS!$D$5:$D$1005="jabas")*(MOVIMIENTOS!$A$5:$A$1005&lt;&gt;"")*(MOVIMIENTOS!$A$5:$A$1005&lt;=$A831)*MOVIMIENTOS!$E$5:$E$1005)-SUMPRODUCT((MOVIMIENTOS!$B$5:$B$1005="ENVÍO A SUPESA")*(MOVIMIENTOS!$C$5:$C$1005="C")*(MOVIMIENTOS!$D$5:$D$1005="jabas")*(MOVIMIENTOS!$A$5:$A$1005&lt;&gt;"")*(MOVIMIENTOS!$A$5:$A$1005&lt;=$A831)*MOVIMIENTOS!$E$5:$E$1005)+SUMPRODUCT((MOVIMIENTOS!$B$5:$B$1005="DEVOLUCIÓN")*(MOVIMIENTOS!$C$5:$C$1005="C")*(MOVIMIENTOS!$D$5:$D$1005="jabas")*(MOVIMIENTOS!$A$5:$A$1005&lt;&gt;"")*(MOVIMIENTOS!$A$5:$A$1005&lt;=$A831)*MOVIMIENTOS!$E$5:$E$1005)-SUMPRODUCT((MOVIMIENTOS!$B$5:$B$1005="TRASIEGO")*(MOVIMIENTOS!$C$5:$C$1005="C")*(MOVIMIENTOS!$D$5:$D$1005="jabas")*(MOVIMIENTOS!$A$5:$A$1005&lt;&gt;"")*(MOVIMIENTOS!$A$5:$A$1005&lt;=$A831)*MOVIMIENTOS!$E$5:$E$1005)-SUMPRODUCT((MOVIMIENTOS!$B$5:$B$1005="REGALO")*(MOVIMIENTOS!$C$5:$C$1005="C")*(MOVIMIENTOS!$D$5:$D$1005="jabas")*(MOVIMIENTOS!$A$5:$A$1005&lt;&gt;"")*(MOVIMIENTOS!$A$5:$A$1005&lt;=$A831)*MOVIMIENTOS!$E$5:$E$1005)-SUMPRODUCT((MOVIMIENTOS!$B$5:$B$1005="VENTA")*(MOVIMIENTOS!$C$5:$C$1005="C")*(MOVIMIENTOS!$D$5:$D$1005="jabas")*(MOVIMIENTOS!$A$5:$A$1005&lt;&gt;"")*(MOVIMIENTOS!$A$5:$A$1005&lt;=$A831)*MOVIMIENTOS!$E$5:$E$1005)+SUMPRODUCT((MOVIMIENTOS!$B$5:$B$1005="AJUSTE")*(MOVIMIENTOS!$C$5:$C$1005="C")*(MOVIMIENTOS!$D$5:$D$1005="jabas")*(MOVIMIENTOS!$A$5:$A$1005&lt;&gt;"")*(MOVIMIENTOS!$A$5:$A$1005&lt;=$A831)*MOVIMIENTOS!$E$5:$E$1005))</f>
        <v/>
      </c>
      <c r="E831" t="str">
        <f>IF($A831="","",SUMPRODUCT((MOVIMIENTOS!$B$5:$B$1005="SALDO INICIAL")*(MOVIMIENTOS!$C$5:$C$1005="M")*(MOVIMIENTOS!$D$5:$D$1005="jabas")*(MOVIMIENTOS!$A$5:$A$1005&lt;&gt;"")*(MOVIMIENTOS!$A$5:$A$1005&lt;=$A831)*MOVIMIENTOS!$E$5:$E$1005)+SUMPRODUCT((MOVIMIENTOS!$B$5:$B$1005="PROCESO")*(MOVIMIENTOS!$C$5:$C$1005="M")*(MOVIMIENTOS!$D$5:$D$1005="jabas")*(MOVIMIENTOS!$A$5:$A$1005&lt;&gt;"")*(MOVIMIENTOS!$A$5:$A$1005&lt;=$A831)*MOVIMIENTOS!$E$5:$E$1005)-SUMPRODUCT((MOVIMIENTOS!$B$5:$B$1005="ENVÍO A SUPESA")*(MOVIMIENTOS!$C$5:$C$1005="M")*(MOVIMIENTOS!$D$5:$D$1005="jabas")*(MOVIMIENTOS!$A$5:$A$1005&lt;&gt;"")*(MOVIMIENTOS!$A$5:$A$1005&lt;=$A831)*MOVIMIENTOS!$E$5:$E$1005)+SUMPRODUCT((MOVIMIENTOS!$B$5:$B$1005="DEVOLUCIÓN")*(MOVIMIENTOS!$C$5:$C$1005="M")*(MOVIMIENTOS!$D$5:$D$1005="jabas")*(MOVIMIENTOS!$A$5:$A$1005&lt;&gt;"")*(MOVIMIENTOS!$A$5:$A$1005&lt;=$A831)*MOVIMIENTOS!$E$5:$E$1005)-SUMPRODUCT((MOVIMIENTOS!$B$5:$B$1005="TRASIEGO")*(MOVIMIENTOS!$C$5:$C$1005="M")*(MOVIMIENTOS!$D$5:$D$1005="jabas")*(MOVIMIENTOS!$A$5:$A$1005&lt;&gt;"")*(MOVIMIENTOS!$A$5:$A$1005&lt;=$A831)*MOVIMIENTOS!$E$5:$E$1005)-SUMPRODUCT((MOVIMIENTOS!$B$5:$B$1005="REGALO")*(MOVIMIENTOS!$C$5:$C$1005="M")*(MOVIMIENTOS!$D$5:$D$1005="jabas")*(MOVIMIENTOS!$A$5:$A$1005&lt;&gt;"")*(MOVIMIENTOS!$A$5:$A$1005&lt;=$A831)*MOVIMIENTOS!$E$5:$E$1005)-SUMPRODUCT((MOVIMIENTOS!$B$5:$B$1005="VENTA")*(MOVIMIENTOS!$C$5:$C$1005="M")*(MOVIMIENTOS!$D$5:$D$1005="jabas")*(MOVIMIENTOS!$A$5:$A$1005&lt;&gt;"")*(MOVIMIENTOS!$A$5:$A$1005&lt;=$A831)*MOVIMIENTOS!$E$5:$E$1005)+SUMPRODUCT((MOVIMIENTOS!$B$5:$B$1005="AJUSTE")*(MOVIMIENTOS!$C$5:$C$1005="M")*(MOVIMIENTOS!$D$5:$D$1005="jabas")*(MOVIMIENTOS!$A$5:$A$1005&lt;&gt;"")*(MOVIMIENTOS!$A$5:$A$1005&lt;=$A831)*MOVIMIENTOS!$E$5:$E$1005))</f>
        <v/>
      </c>
      <c r="F831" s="62" t="str">
        <f>IF($A831="","",SUMPRODUCT((MOVIMIENTOS!$B$5:$B$1005="SALDO INICIAL")*(MOVIMIENTOS!$C$5:$C$1005="Chancho")*(MOVIMIENTOS!$D$5:$D$1005="sacos")*(MOVIMIENTOS!$A$5:$A$1005&lt;&gt;"")*(MOVIMIENTOS!$A$5:$A$1005&lt;=$A831)*MOVIMIENTOS!$E$5:$E$1005)+SUMPRODUCT((MOVIMIENTOS!$B$5:$B$1005="PROCESO")*(MOVIMIENTOS!$C$5:$C$1005="Chancho")*(MOVIMIENTOS!$D$5:$D$1005="sacos")*(MOVIMIENTOS!$A$5:$A$1005&lt;&gt;"")*(MOVIMIENTOS!$A$5:$A$1005&lt;=$A831)*MOVIMIENTOS!$E$5:$E$1005)-SUMPRODUCT((MOVIMIENTOS!$B$5:$B$1005="VENTA CHANCHO")*(MOVIMIENTOS!$C$5:$C$1005="Chancho")*(MOVIMIENTOS!$D$5:$D$1005="sacos")*(MOVIMIENTOS!$A$5:$A$1005&lt;&gt;"")*(MOVIMIENTOS!$A$5:$A$1005&lt;=$A831)*MOVIMIENTOS!$E$5:$E$1005)-SUMPRODUCT((MOVIMIENTOS!$B$5:$B$1005="REGALO")*(MOVIMIENTOS!$C$5:$C$1005="Chancho")*(MOVIMIENTOS!$D$5:$D$1005="sacos")*(MOVIMIENTOS!$A$5:$A$1005&lt;&gt;"")*(MOVIMIENTOS!$A$5:$A$1005&lt;=$A831)*MOVIMIENTOS!$E$5:$E$1005)-SUMPRODUCT((MOVIMIENTOS!$B$5:$B$1005="VENTA")*(MOVIMIENTOS!$C$5:$C$1005="Chancho")*(MOVIMIENTOS!$D$5:$D$1005="sacos")*(MOVIMIENTOS!$A$5:$A$1005&lt;&gt;"")*(MOVIMIENTOS!$A$5:$A$1005&lt;=$A831)*MOVIMIENTOS!$E$5:$E$1005)+SUMPRODUCT((MOVIMIENTOS!$B$5:$B$1005="AJUSTE")*(MOVIMIENTOS!$C$5:$C$1005="Chancho")*(MOVIMIENTOS!$D$5:$D$1005="sacos")*(MOVIMIENTOS!$A$5:$A$1005&lt;&gt;"")*(MOVIMIENTOS!$A$5:$A$1005&lt;=$A831)*MOVIMIENTOS!$E$5:$E$1005))</f>
        <v/>
      </c>
      <c r="G831" s="62" t="str">
        <f t="shared" si="25"/>
        <v/>
      </c>
      <c r="H831" t="str">
        <f>IF($A831="","",SUMPRODUCT((((MOVIMIENTOS!$B$5:$B$1005="SALDO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831)*MOVIMIENTOS!$J$5:$J$1005))</f>
        <v/>
      </c>
      <c r="J831" t="str">
        <f>IF(AND(MOVIMIENTOS!$A836&lt;&gt;"",COUNTIF(MOVIMIENTOS!$A$5:$A835,MOVIMIENTOS!$A836)=0),COUNT(J$4:J830)+1,"")</f>
        <v/>
      </c>
      <c r="K831">
        <f>MOVIMIENTOS!$A836</f>
        <v>0</v>
      </c>
    </row>
    <row r="832" spans="1:11" ht="15" customHeight="1" x14ac:dyDescent="0.2">
      <c r="A832" t="str">
        <f t="shared" si="24"/>
        <v/>
      </c>
      <c r="B832" t="str">
        <f>IF($A832="","",SUMPRODUCT((MOVIMIENTOS!$B$5:$B$1005="SALDO INICIAL")*(MOVIMIENTOS!$C$5:$C$1005="A")*(MOVIMIENTOS!$D$5:$D$1005="jabas")*(MOVIMIENTOS!$A$5:$A$1005&lt;&gt;"")*(MOVIMIENTOS!$A$5:$A$1005&lt;=$A832)*MOVIMIENTOS!$E$5:$E$1005)+SUMPRODUCT((MOVIMIENTOS!$B$5:$B$1005="PROCESO")*(MOVIMIENTOS!$C$5:$C$1005="A")*(MOVIMIENTOS!$D$5:$D$1005="jabas")*(MOVIMIENTOS!$A$5:$A$1005&lt;&gt;"")*(MOVIMIENTOS!$A$5:$A$1005&lt;=$A832)*MOVIMIENTOS!$E$5:$E$1005)-SUMPRODUCT((MOVIMIENTOS!$B$5:$B$1005="ENVÍO A SUPESA")*(MOVIMIENTOS!$C$5:$C$1005="A")*(MOVIMIENTOS!$D$5:$D$1005="jabas")*(MOVIMIENTOS!$A$5:$A$1005&lt;&gt;"")*(MOVIMIENTOS!$A$5:$A$1005&lt;=$A832)*MOVIMIENTOS!$E$5:$E$1005)+SUMPRODUCT((MOVIMIENTOS!$B$5:$B$1005="DEVOLUCIÓN")*(MOVIMIENTOS!$C$5:$C$1005="A")*(MOVIMIENTOS!$D$5:$D$1005="jabas")*(MOVIMIENTOS!$A$5:$A$1005&lt;&gt;"")*(MOVIMIENTOS!$A$5:$A$1005&lt;=$A832)*MOVIMIENTOS!$E$5:$E$1005)-SUMPRODUCT((MOVIMIENTOS!$B$5:$B$1005="TRASIEGO")*(MOVIMIENTOS!$C$5:$C$1005="A")*(MOVIMIENTOS!$D$5:$D$1005="jabas")*(MOVIMIENTOS!$A$5:$A$1005&lt;&gt;"")*(MOVIMIENTOS!$A$5:$A$1005&lt;=$A832)*MOVIMIENTOS!$E$5:$E$1005)-SUMPRODUCT((MOVIMIENTOS!$B$5:$B$1005="REGALO")*(MOVIMIENTOS!$C$5:$C$1005="A")*(MOVIMIENTOS!$D$5:$D$1005="jabas")*(MOVIMIENTOS!$A$5:$A$1005&lt;&gt;"")*(MOVIMIENTOS!$A$5:$A$1005&lt;=$A832)*MOVIMIENTOS!$E$5:$E$1005)-SUMPRODUCT((MOVIMIENTOS!$B$5:$B$1005="VENTA")*(MOVIMIENTOS!$C$5:$C$1005="A")*(MOVIMIENTOS!$D$5:$D$1005="jabas")*(MOVIMIENTOS!$A$5:$A$1005&lt;&gt;"")*(MOVIMIENTOS!$A$5:$A$1005&lt;=$A832)*MOVIMIENTOS!$E$5:$E$1005)+SUMPRODUCT((MOVIMIENTOS!$B$5:$B$1005="AJUSTE")*(MOVIMIENTOS!$C$5:$C$1005="A")*(MOVIMIENTOS!$D$5:$D$1005="jabas")*(MOVIMIENTOS!$A$5:$A$1005&lt;&gt;"")*(MOVIMIENTOS!$A$5:$A$1005&lt;=$A832)*MOVIMIENTOS!$E$5:$E$1005))</f>
        <v/>
      </c>
      <c r="C832" t="str">
        <f>IF($A832="","",SUMPRODUCT((MOVIMIENTOS!$B$5:$B$1005="SALDO INICIAL")*(MOVIMIENTOS!$C$5:$C$1005="P")*(MOVIMIENTOS!$D$5:$D$1005="jabas")*(MOVIMIENTOS!$A$5:$A$1005&lt;&gt;"")*(MOVIMIENTOS!$A$5:$A$1005&lt;=$A832)*MOVIMIENTOS!$E$5:$E$1005)+SUMPRODUCT((MOVIMIENTOS!$B$5:$B$1005="PROCESO")*(MOVIMIENTOS!$C$5:$C$1005="P")*(MOVIMIENTOS!$D$5:$D$1005="jabas")*(MOVIMIENTOS!$A$5:$A$1005&lt;&gt;"")*(MOVIMIENTOS!$A$5:$A$1005&lt;=$A832)*MOVIMIENTOS!$E$5:$E$1005)-SUMPRODUCT((MOVIMIENTOS!$B$5:$B$1005="ENVÍO A SUPESA")*(MOVIMIENTOS!$C$5:$C$1005="P")*(MOVIMIENTOS!$D$5:$D$1005="jabas")*(MOVIMIENTOS!$A$5:$A$1005&lt;&gt;"")*(MOVIMIENTOS!$A$5:$A$1005&lt;=$A832)*MOVIMIENTOS!$E$5:$E$1005)+SUMPRODUCT((MOVIMIENTOS!$B$5:$B$1005="DEVOLUCIÓN")*(MOVIMIENTOS!$C$5:$C$1005="P")*(MOVIMIENTOS!$D$5:$D$1005="jabas")*(MOVIMIENTOS!$A$5:$A$1005&lt;&gt;"")*(MOVIMIENTOS!$A$5:$A$1005&lt;=$A832)*MOVIMIENTOS!$E$5:$E$1005)-SUMPRODUCT((MOVIMIENTOS!$B$5:$B$1005="TRASIEGO")*(MOVIMIENTOS!$C$5:$C$1005="P")*(MOVIMIENTOS!$D$5:$D$1005="jabas")*(MOVIMIENTOS!$A$5:$A$1005&lt;&gt;"")*(MOVIMIENTOS!$A$5:$A$1005&lt;=$A832)*MOVIMIENTOS!$E$5:$E$1005)-SUMPRODUCT((MOVIMIENTOS!$B$5:$B$1005="REGALO")*(MOVIMIENTOS!$C$5:$C$1005="P")*(MOVIMIENTOS!$D$5:$D$1005="jabas")*(MOVIMIENTOS!$A$5:$A$1005&lt;&gt;"")*(MOVIMIENTOS!$A$5:$A$1005&lt;=$A832)*MOVIMIENTOS!$E$5:$E$1005)-SUMPRODUCT((MOVIMIENTOS!$B$5:$B$1005="VENTA")*(MOVIMIENTOS!$C$5:$C$1005="P")*(MOVIMIENTOS!$D$5:$D$1005="jabas")*(MOVIMIENTOS!$A$5:$A$1005&lt;&gt;"")*(MOVIMIENTOS!$A$5:$A$1005&lt;=$A832)*MOVIMIENTOS!$E$5:$E$1005)+SUMPRODUCT((MOVIMIENTOS!$B$5:$B$1005="AJUSTE")*(MOVIMIENTOS!$C$5:$C$1005="P")*(MOVIMIENTOS!$D$5:$D$1005="jabas")*(MOVIMIENTOS!$A$5:$A$1005&lt;&gt;"")*(MOVIMIENTOS!$A$5:$A$1005&lt;=$A832)*MOVIMIENTOS!$E$5:$E$1005))</f>
        <v/>
      </c>
      <c r="D832" t="str">
        <f>IF($A832="","",SUMPRODUCT((MOVIMIENTOS!$B$5:$B$1005="SALDO INICIAL")*(MOVIMIENTOS!$C$5:$C$1005="C")*(MOVIMIENTOS!$D$5:$D$1005="jabas")*(MOVIMIENTOS!$A$5:$A$1005&lt;&gt;"")*(MOVIMIENTOS!$A$5:$A$1005&lt;=$A832)*MOVIMIENTOS!$E$5:$E$1005)+SUMPRODUCT((MOVIMIENTOS!$B$5:$B$1005="PROCESO")*(MOVIMIENTOS!$C$5:$C$1005="C")*(MOVIMIENTOS!$D$5:$D$1005="jabas")*(MOVIMIENTOS!$A$5:$A$1005&lt;&gt;"")*(MOVIMIENTOS!$A$5:$A$1005&lt;=$A832)*MOVIMIENTOS!$E$5:$E$1005)-SUMPRODUCT((MOVIMIENTOS!$B$5:$B$1005="ENVÍO A SUPESA")*(MOVIMIENTOS!$C$5:$C$1005="C")*(MOVIMIENTOS!$D$5:$D$1005="jabas")*(MOVIMIENTOS!$A$5:$A$1005&lt;&gt;"")*(MOVIMIENTOS!$A$5:$A$1005&lt;=$A832)*MOVIMIENTOS!$E$5:$E$1005)+SUMPRODUCT((MOVIMIENTOS!$B$5:$B$1005="DEVOLUCIÓN")*(MOVIMIENTOS!$C$5:$C$1005="C")*(MOVIMIENTOS!$D$5:$D$1005="jabas")*(MOVIMIENTOS!$A$5:$A$1005&lt;&gt;"")*(MOVIMIENTOS!$A$5:$A$1005&lt;=$A832)*MOVIMIENTOS!$E$5:$E$1005)-SUMPRODUCT((MOVIMIENTOS!$B$5:$B$1005="TRASIEGO")*(MOVIMIENTOS!$C$5:$C$1005="C")*(MOVIMIENTOS!$D$5:$D$1005="jabas")*(MOVIMIENTOS!$A$5:$A$1005&lt;&gt;"")*(MOVIMIENTOS!$A$5:$A$1005&lt;=$A832)*MOVIMIENTOS!$E$5:$E$1005)-SUMPRODUCT((MOVIMIENTOS!$B$5:$B$1005="REGALO")*(MOVIMIENTOS!$C$5:$C$1005="C")*(MOVIMIENTOS!$D$5:$D$1005="jabas")*(MOVIMIENTOS!$A$5:$A$1005&lt;&gt;"")*(MOVIMIENTOS!$A$5:$A$1005&lt;=$A832)*MOVIMIENTOS!$E$5:$E$1005)-SUMPRODUCT((MOVIMIENTOS!$B$5:$B$1005="VENTA")*(MOVIMIENTOS!$C$5:$C$1005="C")*(MOVIMIENTOS!$D$5:$D$1005="jabas")*(MOVIMIENTOS!$A$5:$A$1005&lt;&gt;"")*(MOVIMIENTOS!$A$5:$A$1005&lt;=$A832)*MOVIMIENTOS!$E$5:$E$1005)+SUMPRODUCT((MOVIMIENTOS!$B$5:$B$1005="AJUSTE")*(MOVIMIENTOS!$C$5:$C$1005="C")*(MOVIMIENTOS!$D$5:$D$1005="jabas")*(MOVIMIENTOS!$A$5:$A$1005&lt;&gt;"")*(MOVIMIENTOS!$A$5:$A$1005&lt;=$A832)*MOVIMIENTOS!$E$5:$E$1005))</f>
        <v/>
      </c>
      <c r="E832" t="str">
        <f>IF($A832="","",SUMPRODUCT((MOVIMIENTOS!$B$5:$B$1005="SALDO INICIAL")*(MOVIMIENTOS!$C$5:$C$1005="M")*(MOVIMIENTOS!$D$5:$D$1005="jabas")*(MOVIMIENTOS!$A$5:$A$1005&lt;&gt;"")*(MOVIMIENTOS!$A$5:$A$1005&lt;=$A832)*MOVIMIENTOS!$E$5:$E$1005)+SUMPRODUCT((MOVIMIENTOS!$B$5:$B$1005="PROCESO")*(MOVIMIENTOS!$C$5:$C$1005="M")*(MOVIMIENTOS!$D$5:$D$1005="jabas")*(MOVIMIENTOS!$A$5:$A$1005&lt;&gt;"")*(MOVIMIENTOS!$A$5:$A$1005&lt;=$A832)*MOVIMIENTOS!$E$5:$E$1005)-SUMPRODUCT((MOVIMIENTOS!$B$5:$B$1005="ENVÍO A SUPESA")*(MOVIMIENTOS!$C$5:$C$1005="M")*(MOVIMIENTOS!$D$5:$D$1005="jabas")*(MOVIMIENTOS!$A$5:$A$1005&lt;&gt;"")*(MOVIMIENTOS!$A$5:$A$1005&lt;=$A832)*MOVIMIENTOS!$E$5:$E$1005)+SUMPRODUCT((MOVIMIENTOS!$B$5:$B$1005="DEVOLUCIÓN")*(MOVIMIENTOS!$C$5:$C$1005="M")*(MOVIMIENTOS!$D$5:$D$1005="jabas")*(MOVIMIENTOS!$A$5:$A$1005&lt;&gt;"")*(MOVIMIENTOS!$A$5:$A$1005&lt;=$A832)*MOVIMIENTOS!$E$5:$E$1005)-SUMPRODUCT((MOVIMIENTOS!$B$5:$B$1005="TRASIEGO")*(MOVIMIENTOS!$C$5:$C$1005="M")*(MOVIMIENTOS!$D$5:$D$1005="jabas")*(MOVIMIENTOS!$A$5:$A$1005&lt;&gt;"")*(MOVIMIENTOS!$A$5:$A$1005&lt;=$A832)*MOVIMIENTOS!$E$5:$E$1005)-SUMPRODUCT((MOVIMIENTOS!$B$5:$B$1005="REGALO")*(MOVIMIENTOS!$C$5:$C$1005="M")*(MOVIMIENTOS!$D$5:$D$1005="jabas")*(MOVIMIENTOS!$A$5:$A$1005&lt;&gt;"")*(MOVIMIENTOS!$A$5:$A$1005&lt;=$A832)*MOVIMIENTOS!$E$5:$E$1005)-SUMPRODUCT((MOVIMIENTOS!$B$5:$B$1005="VENTA")*(MOVIMIENTOS!$C$5:$C$1005="M")*(MOVIMIENTOS!$D$5:$D$1005="jabas")*(MOVIMIENTOS!$A$5:$A$1005&lt;&gt;"")*(MOVIMIENTOS!$A$5:$A$1005&lt;=$A832)*MOVIMIENTOS!$E$5:$E$1005)+SUMPRODUCT((MOVIMIENTOS!$B$5:$B$1005="AJUSTE")*(MOVIMIENTOS!$C$5:$C$1005="M")*(MOVIMIENTOS!$D$5:$D$1005="jabas")*(MOVIMIENTOS!$A$5:$A$1005&lt;&gt;"")*(MOVIMIENTOS!$A$5:$A$1005&lt;=$A832)*MOVIMIENTOS!$E$5:$E$1005))</f>
        <v/>
      </c>
      <c r="F832" s="62" t="str">
        <f>IF($A832="","",SUMPRODUCT((MOVIMIENTOS!$B$5:$B$1005="SALDO INICIAL")*(MOVIMIENTOS!$C$5:$C$1005="Chancho")*(MOVIMIENTOS!$D$5:$D$1005="sacos")*(MOVIMIENTOS!$A$5:$A$1005&lt;&gt;"")*(MOVIMIENTOS!$A$5:$A$1005&lt;=$A832)*MOVIMIENTOS!$E$5:$E$1005)+SUMPRODUCT((MOVIMIENTOS!$B$5:$B$1005="PROCESO")*(MOVIMIENTOS!$C$5:$C$1005="Chancho")*(MOVIMIENTOS!$D$5:$D$1005="sacos")*(MOVIMIENTOS!$A$5:$A$1005&lt;&gt;"")*(MOVIMIENTOS!$A$5:$A$1005&lt;=$A832)*MOVIMIENTOS!$E$5:$E$1005)-SUMPRODUCT((MOVIMIENTOS!$B$5:$B$1005="VENTA CHANCHO")*(MOVIMIENTOS!$C$5:$C$1005="Chancho")*(MOVIMIENTOS!$D$5:$D$1005="sacos")*(MOVIMIENTOS!$A$5:$A$1005&lt;&gt;"")*(MOVIMIENTOS!$A$5:$A$1005&lt;=$A832)*MOVIMIENTOS!$E$5:$E$1005)-SUMPRODUCT((MOVIMIENTOS!$B$5:$B$1005="REGALO")*(MOVIMIENTOS!$C$5:$C$1005="Chancho")*(MOVIMIENTOS!$D$5:$D$1005="sacos")*(MOVIMIENTOS!$A$5:$A$1005&lt;&gt;"")*(MOVIMIENTOS!$A$5:$A$1005&lt;=$A832)*MOVIMIENTOS!$E$5:$E$1005)-SUMPRODUCT((MOVIMIENTOS!$B$5:$B$1005="VENTA")*(MOVIMIENTOS!$C$5:$C$1005="Chancho")*(MOVIMIENTOS!$D$5:$D$1005="sacos")*(MOVIMIENTOS!$A$5:$A$1005&lt;&gt;"")*(MOVIMIENTOS!$A$5:$A$1005&lt;=$A832)*MOVIMIENTOS!$E$5:$E$1005)+SUMPRODUCT((MOVIMIENTOS!$B$5:$B$1005="AJUSTE")*(MOVIMIENTOS!$C$5:$C$1005="Chancho")*(MOVIMIENTOS!$D$5:$D$1005="sacos")*(MOVIMIENTOS!$A$5:$A$1005&lt;&gt;"")*(MOVIMIENTOS!$A$5:$A$1005&lt;=$A832)*MOVIMIENTOS!$E$5:$E$1005))</f>
        <v/>
      </c>
      <c r="G832" s="62" t="str">
        <f t="shared" si="25"/>
        <v/>
      </c>
      <c r="H832" t="str">
        <f>IF($A832="","",SUMPRODUCT((((MOVIMIENTOS!$B$5:$B$1005="SALDO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832)*MOVIMIENTOS!$J$5:$J$1005))</f>
        <v/>
      </c>
      <c r="J832" t="str">
        <f>IF(AND(MOVIMIENTOS!$A837&lt;&gt;"",COUNTIF(MOVIMIENTOS!$A$5:$A836,MOVIMIENTOS!$A837)=0),COUNT(J$4:J831)+1,"")</f>
        <v/>
      </c>
      <c r="K832">
        <f>MOVIMIENTOS!$A837</f>
        <v>0</v>
      </c>
    </row>
    <row r="833" spans="1:11" ht="15" customHeight="1" x14ac:dyDescent="0.2">
      <c r="A833" t="str">
        <f t="shared" si="24"/>
        <v/>
      </c>
      <c r="B833" t="str">
        <f>IF($A833="","",SUMPRODUCT((MOVIMIENTOS!$B$5:$B$1005="SALDO INICIAL")*(MOVIMIENTOS!$C$5:$C$1005="A")*(MOVIMIENTOS!$D$5:$D$1005="jabas")*(MOVIMIENTOS!$A$5:$A$1005&lt;&gt;"")*(MOVIMIENTOS!$A$5:$A$1005&lt;=$A833)*MOVIMIENTOS!$E$5:$E$1005)+SUMPRODUCT((MOVIMIENTOS!$B$5:$B$1005="PROCESO")*(MOVIMIENTOS!$C$5:$C$1005="A")*(MOVIMIENTOS!$D$5:$D$1005="jabas")*(MOVIMIENTOS!$A$5:$A$1005&lt;&gt;"")*(MOVIMIENTOS!$A$5:$A$1005&lt;=$A833)*MOVIMIENTOS!$E$5:$E$1005)-SUMPRODUCT((MOVIMIENTOS!$B$5:$B$1005="ENVÍO A SUPESA")*(MOVIMIENTOS!$C$5:$C$1005="A")*(MOVIMIENTOS!$D$5:$D$1005="jabas")*(MOVIMIENTOS!$A$5:$A$1005&lt;&gt;"")*(MOVIMIENTOS!$A$5:$A$1005&lt;=$A833)*MOVIMIENTOS!$E$5:$E$1005)+SUMPRODUCT((MOVIMIENTOS!$B$5:$B$1005="DEVOLUCIÓN")*(MOVIMIENTOS!$C$5:$C$1005="A")*(MOVIMIENTOS!$D$5:$D$1005="jabas")*(MOVIMIENTOS!$A$5:$A$1005&lt;&gt;"")*(MOVIMIENTOS!$A$5:$A$1005&lt;=$A833)*MOVIMIENTOS!$E$5:$E$1005)-SUMPRODUCT((MOVIMIENTOS!$B$5:$B$1005="TRASIEGO")*(MOVIMIENTOS!$C$5:$C$1005="A")*(MOVIMIENTOS!$D$5:$D$1005="jabas")*(MOVIMIENTOS!$A$5:$A$1005&lt;&gt;"")*(MOVIMIENTOS!$A$5:$A$1005&lt;=$A833)*MOVIMIENTOS!$E$5:$E$1005)-SUMPRODUCT((MOVIMIENTOS!$B$5:$B$1005="REGALO")*(MOVIMIENTOS!$C$5:$C$1005="A")*(MOVIMIENTOS!$D$5:$D$1005="jabas")*(MOVIMIENTOS!$A$5:$A$1005&lt;&gt;"")*(MOVIMIENTOS!$A$5:$A$1005&lt;=$A833)*MOVIMIENTOS!$E$5:$E$1005)-SUMPRODUCT((MOVIMIENTOS!$B$5:$B$1005="VENTA")*(MOVIMIENTOS!$C$5:$C$1005="A")*(MOVIMIENTOS!$D$5:$D$1005="jabas")*(MOVIMIENTOS!$A$5:$A$1005&lt;&gt;"")*(MOVIMIENTOS!$A$5:$A$1005&lt;=$A833)*MOVIMIENTOS!$E$5:$E$1005)+SUMPRODUCT((MOVIMIENTOS!$B$5:$B$1005="AJUSTE")*(MOVIMIENTOS!$C$5:$C$1005="A")*(MOVIMIENTOS!$D$5:$D$1005="jabas")*(MOVIMIENTOS!$A$5:$A$1005&lt;&gt;"")*(MOVIMIENTOS!$A$5:$A$1005&lt;=$A833)*MOVIMIENTOS!$E$5:$E$1005))</f>
        <v/>
      </c>
      <c r="C833" t="str">
        <f>IF($A833="","",SUMPRODUCT((MOVIMIENTOS!$B$5:$B$1005="SALDO INICIAL")*(MOVIMIENTOS!$C$5:$C$1005="P")*(MOVIMIENTOS!$D$5:$D$1005="jabas")*(MOVIMIENTOS!$A$5:$A$1005&lt;&gt;"")*(MOVIMIENTOS!$A$5:$A$1005&lt;=$A833)*MOVIMIENTOS!$E$5:$E$1005)+SUMPRODUCT((MOVIMIENTOS!$B$5:$B$1005="PROCESO")*(MOVIMIENTOS!$C$5:$C$1005="P")*(MOVIMIENTOS!$D$5:$D$1005="jabas")*(MOVIMIENTOS!$A$5:$A$1005&lt;&gt;"")*(MOVIMIENTOS!$A$5:$A$1005&lt;=$A833)*MOVIMIENTOS!$E$5:$E$1005)-SUMPRODUCT((MOVIMIENTOS!$B$5:$B$1005="ENVÍO A SUPESA")*(MOVIMIENTOS!$C$5:$C$1005="P")*(MOVIMIENTOS!$D$5:$D$1005="jabas")*(MOVIMIENTOS!$A$5:$A$1005&lt;&gt;"")*(MOVIMIENTOS!$A$5:$A$1005&lt;=$A833)*MOVIMIENTOS!$E$5:$E$1005)+SUMPRODUCT((MOVIMIENTOS!$B$5:$B$1005="DEVOLUCIÓN")*(MOVIMIENTOS!$C$5:$C$1005="P")*(MOVIMIENTOS!$D$5:$D$1005="jabas")*(MOVIMIENTOS!$A$5:$A$1005&lt;&gt;"")*(MOVIMIENTOS!$A$5:$A$1005&lt;=$A833)*MOVIMIENTOS!$E$5:$E$1005)-SUMPRODUCT((MOVIMIENTOS!$B$5:$B$1005="TRASIEGO")*(MOVIMIENTOS!$C$5:$C$1005="P")*(MOVIMIENTOS!$D$5:$D$1005="jabas")*(MOVIMIENTOS!$A$5:$A$1005&lt;&gt;"")*(MOVIMIENTOS!$A$5:$A$1005&lt;=$A833)*MOVIMIENTOS!$E$5:$E$1005)-SUMPRODUCT((MOVIMIENTOS!$B$5:$B$1005="REGALO")*(MOVIMIENTOS!$C$5:$C$1005="P")*(MOVIMIENTOS!$D$5:$D$1005="jabas")*(MOVIMIENTOS!$A$5:$A$1005&lt;&gt;"")*(MOVIMIENTOS!$A$5:$A$1005&lt;=$A833)*MOVIMIENTOS!$E$5:$E$1005)-SUMPRODUCT((MOVIMIENTOS!$B$5:$B$1005="VENTA")*(MOVIMIENTOS!$C$5:$C$1005="P")*(MOVIMIENTOS!$D$5:$D$1005="jabas")*(MOVIMIENTOS!$A$5:$A$1005&lt;&gt;"")*(MOVIMIENTOS!$A$5:$A$1005&lt;=$A833)*MOVIMIENTOS!$E$5:$E$1005)+SUMPRODUCT((MOVIMIENTOS!$B$5:$B$1005="AJUSTE")*(MOVIMIENTOS!$C$5:$C$1005="P")*(MOVIMIENTOS!$D$5:$D$1005="jabas")*(MOVIMIENTOS!$A$5:$A$1005&lt;&gt;"")*(MOVIMIENTOS!$A$5:$A$1005&lt;=$A833)*MOVIMIENTOS!$E$5:$E$1005))</f>
        <v/>
      </c>
      <c r="D833" t="str">
        <f>IF($A833="","",SUMPRODUCT((MOVIMIENTOS!$B$5:$B$1005="SALDO INICIAL")*(MOVIMIENTOS!$C$5:$C$1005="C")*(MOVIMIENTOS!$D$5:$D$1005="jabas")*(MOVIMIENTOS!$A$5:$A$1005&lt;&gt;"")*(MOVIMIENTOS!$A$5:$A$1005&lt;=$A833)*MOVIMIENTOS!$E$5:$E$1005)+SUMPRODUCT((MOVIMIENTOS!$B$5:$B$1005="PROCESO")*(MOVIMIENTOS!$C$5:$C$1005="C")*(MOVIMIENTOS!$D$5:$D$1005="jabas")*(MOVIMIENTOS!$A$5:$A$1005&lt;&gt;"")*(MOVIMIENTOS!$A$5:$A$1005&lt;=$A833)*MOVIMIENTOS!$E$5:$E$1005)-SUMPRODUCT((MOVIMIENTOS!$B$5:$B$1005="ENVÍO A SUPESA")*(MOVIMIENTOS!$C$5:$C$1005="C")*(MOVIMIENTOS!$D$5:$D$1005="jabas")*(MOVIMIENTOS!$A$5:$A$1005&lt;&gt;"")*(MOVIMIENTOS!$A$5:$A$1005&lt;=$A833)*MOVIMIENTOS!$E$5:$E$1005)+SUMPRODUCT((MOVIMIENTOS!$B$5:$B$1005="DEVOLUCIÓN")*(MOVIMIENTOS!$C$5:$C$1005="C")*(MOVIMIENTOS!$D$5:$D$1005="jabas")*(MOVIMIENTOS!$A$5:$A$1005&lt;&gt;"")*(MOVIMIENTOS!$A$5:$A$1005&lt;=$A833)*MOVIMIENTOS!$E$5:$E$1005)-SUMPRODUCT((MOVIMIENTOS!$B$5:$B$1005="TRASIEGO")*(MOVIMIENTOS!$C$5:$C$1005="C")*(MOVIMIENTOS!$D$5:$D$1005="jabas")*(MOVIMIENTOS!$A$5:$A$1005&lt;&gt;"")*(MOVIMIENTOS!$A$5:$A$1005&lt;=$A833)*MOVIMIENTOS!$E$5:$E$1005)-SUMPRODUCT((MOVIMIENTOS!$B$5:$B$1005="REGALO")*(MOVIMIENTOS!$C$5:$C$1005="C")*(MOVIMIENTOS!$D$5:$D$1005="jabas")*(MOVIMIENTOS!$A$5:$A$1005&lt;&gt;"")*(MOVIMIENTOS!$A$5:$A$1005&lt;=$A833)*MOVIMIENTOS!$E$5:$E$1005)-SUMPRODUCT((MOVIMIENTOS!$B$5:$B$1005="VENTA")*(MOVIMIENTOS!$C$5:$C$1005="C")*(MOVIMIENTOS!$D$5:$D$1005="jabas")*(MOVIMIENTOS!$A$5:$A$1005&lt;&gt;"")*(MOVIMIENTOS!$A$5:$A$1005&lt;=$A833)*MOVIMIENTOS!$E$5:$E$1005)+SUMPRODUCT((MOVIMIENTOS!$B$5:$B$1005="AJUSTE")*(MOVIMIENTOS!$C$5:$C$1005="C")*(MOVIMIENTOS!$D$5:$D$1005="jabas")*(MOVIMIENTOS!$A$5:$A$1005&lt;&gt;"")*(MOVIMIENTOS!$A$5:$A$1005&lt;=$A833)*MOVIMIENTOS!$E$5:$E$1005))</f>
        <v/>
      </c>
      <c r="E833" t="str">
        <f>IF($A833="","",SUMPRODUCT((MOVIMIENTOS!$B$5:$B$1005="SALDO INICIAL")*(MOVIMIENTOS!$C$5:$C$1005="M")*(MOVIMIENTOS!$D$5:$D$1005="jabas")*(MOVIMIENTOS!$A$5:$A$1005&lt;&gt;"")*(MOVIMIENTOS!$A$5:$A$1005&lt;=$A833)*MOVIMIENTOS!$E$5:$E$1005)+SUMPRODUCT((MOVIMIENTOS!$B$5:$B$1005="PROCESO")*(MOVIMIENTOS!$C$5:$C$1005="M")*(MOVIMIENTOS!$D$5:$D$1005="jabas")*(MOVIMIENTOS!$A$5:$A$1005&lt;&gt;"")*(MOVIMIENTOS!$A$5:$A$1005&lt;=$A833)*MOVIMIENTOS!$E$5:$E$1005)-SUMPRODUCT((MOVIMIENTOS!$B$5:$B$1005="ENVÍO A SUPESA")*(MOVIMIENTOS!$C$5:$C$1005="M")*(MOVIMIENTOS!$D$5:$D$1005="jabas")*(MOVIMIENTOS!$A$5:$A$1005&lt;&gt;"")*(MOVIMIENTOS!$A$5:$A$1005&lt;=$A833)*MOVIMIENTOS!$E$5:$E$1005)+SUMPRODUCT((MOVIMIENTOS!$B$5:$B$1005="DEVOLUCIÓN")*(MOVIMIENTOS!$C$5:$C$1005="M")*(MOVIMIENTOS!$D$5:$D$1005="jabas")*(MOVIMIENTOS!$A$5:$A$1005&lt;&gt;"")*(MOVIMIENTOS!$A$5:$A$1005&lt;=$A833)*MOVIMIENTOS!$E$5:$E$1005)-SUMPRODUCT((MOVIMIENTOS!$B$5:$B$1005="TRASIEGO")*(MOVIMIENTOS!$C$5:$C$1005="M")*(MOVIMIENTOS!$D$5:$D$1005="jabas")*(MOVIMIENTOS!$A$5:$A$1005&lt;&gt;"")*(MOVIMIENTOS!$A$5:$A$1005&lt;=$A833)*MOVIMIENTOS!$E$5:$E$1005)-SUMPRODUCT((MOVIMIENTOS!$B$5:$B$1005="REGALO")*(MOVIMIENTOS!$C$5:$C$1005="M")*(MOVIMIENTOS!$D$5:$D$1005="jabas")*(MOVIMIENTOS!$A$5:$A$1005&lt;&gt;"")*(MOVIMIENTOS!$A$5:$A$1005&lt;=$A833)*MOVIMIENTOS!$E$5:$E$1005)-SUMPRODUCT((MOVIMIENTOS!$B$5:$B$1005="VENTA")*(MOVIMIENTOS!$C$5:$C$1005="M")*(MOVIMIENTOS!$D$5:$D$1005="jabas")*(MOVIMIENTOS!$A$5:$A$1005&lt;&gt;"")*(MOVIMIENTOS!$A$5:$A$1005&lt;=$A833)*MOVIMIENTOS!$E$5:$E$1005)+SUMPRODUCT((MOVIMIENTOS!$B$5:$B$1005="AJUSTE")*(MOVIMIENTOS!$C$5:$C$1005="M")*(MOVIMIENTOS!$D$5:$D$1005="jabas")*(MOVIMIENTOS!$A$5:$A$1005&lt;&gt;"")*(MOVIMIENTOS!$A$5:$A$1005&lt;=$A833)*MOVIMIENTOS!$E$5:$E$1005))</f>
        <v/>
      </c>
      <c r="F833" s="62" t="str">
        <f>IF($A833="","",SUMPRODUCT((MOVIMIENTOS!$B$5:$B$1005="SALDO INICIAL")*(MOVIMIENTOS!$C$5:$C$1005="Chancho")*(MOVIMIENTOS!$D$5:$D$1005="sacos")*(MOVIMIENTOS!$A$5:$A$1005&lt;&gt;"")*(MOVIMIENTOS!$A$5:$A$1005&lt;=$A833)*MOVIMIENTOS!$E$5:$E$1005)+SUMPRODUCT((MOVIMIENTOS!$B$5:$B$1005="PROCESO")*(MOVIMIENTOS!$C$5:$C$1005="Chancho")*(MOVIMIENTOS!$D$5:$D$1005="sacos")*(MOVIMIENTOS!$A$5:$A$1005&lt;&gt;"")*(MOVIMIENTOS!$A$5:$A$1005&lt;=$A833)*MOVIMIENTOS!$E$5:$E$1005)-SUMPRODUCT((MOVIMIENTOS!$B$5:$B$1005="VENTA CHANCHO")*(MOVIMIENTOS!$C$5:$C$1005="Chancho")*(MOVIMIENTOS!$D$5:$D$1005="sacos")*(MOVIMIENTOS!$A$5:$A$1005&lt;&gt;"")*(MOVIMIENTOS!$A$5:$A$1005&lt;=$A833)*MOVIMIENTOS!$E$5:$E$1005)-SUMPRODUCT((MOVIMIENTOS!$B$5:$B$1005="REGALO")*(MOVIMIENTOS!$C$5:$C$1005="Chancho")*(MOVIMIENTOS!$D$5:$D$1005="sacos")*(MOVIMIENTOS!$A$5:$A$1005&lt;&gt;"")*(MOVIMIENTOS!$A$5:$A$1005&lt;=$A833)*MOVIMIENTOS!$E$5:$E$1005)-SUMPRODUCT((MOVIMIENTOS!$B$5:$B$1005="VENTA")*(MOVIMIENTOS!$C$5:$C$1005="Chancho")*(MOVIMIENTOS!$D$5:$D$1005="sacos")*(MOVIMIENTOS!$A$5:$A$1005&lt;&gt;"")*(MOVIMIENTOS!$A$5:$A$1005&lt;=$A833)*MOVIMIENTOS!$E$5:$E$1005)+SUMPRODUCT((MOVIMIENTOS!$B$5:$B$1005="AJUSTE")*(MOVIMIENTOS!$C$5:$C$1005="Chancho")*(MOVIMIENTOS!$D$5:$D$1005="sacos")*(MOVIMIENTOS!$A$5:$A$1005&lt;&gt;"")*(MOVIMIENTOS!$A$5:$A$1005&lt;=$A833)*MOVIMIENTOS!$E$5:$E$1005))</f>
        <v/>
      </c>
      <c r="G833" s="62" t="str">
        <f t="shared" si="25"/>
        <v/>
      </c>
      <c r="H833" t="str">
        <f>IF($A833="","",SUMPRODUCT((((MOVIMIENTOS!$B$5:$B$1005="SALDO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833)*MOVIMIENTOS!$J$5:$J$1005))</f>
        <v/>
      </c>
      <c r="J833" t="str">
        <f>IF(AND(MOVIMIENTOS!$A838&lt;&gt;"",COUNTIF(MOVIMIENTOS!$A$5:$A837,MOVIMIENTOS!$A838)=0),COUNT(J$4:J832)+1,"")</f>
        <v/>
      </c>
      <c r="K833">
        <f>MOVIMIENTOS!$A838</f>
        <v>0</v>
      </c>
    </row>
    <row r="834" spans="1:11" ht="15" customHeight="1" x14ac:dyDescent="0.2">
      <c r="A834" t="str">
        <f t="shared" si="24"/>
        <v/>
      </c>
      <c r="B834" t="str">
        <f>IF($A834="","",SUMPRODUCT((MOVIMIENTOS!$B$5:$B$1005="SALDO INICIAL")*(MOVIMIENTOS!$C$5:$C$1005="A")*(MOVIMIENTOS!$D$5:$D$1005="jabas")*(MOVIMIENTOS!$A$5:$A$1005&lt;&gt;"")*(MOVIMIENTOS!$A$5:$A$1005&lt;=$A834)*MOVIMIENTOS!$E$5:$E$1005)+SUMPRODUCT((MOVIMIENTOS!$B$5:$B$1005="PROCESO")*(MOVIMIENTOS!$C$5:$C$1005="A")*(MOVIMIENTOS!$D$5:$D$1005="jabas")*(MOVIMIENTOS!$A$5:$A$1005&lt;&gt;"")*(MOVIMIENTOS!$A$5:$A$1005&lt;=$A834)*MOVIMIENTOS!$E$5:$E$1005)-SUMPRODUCT((MOVIMIENTOS!$B$5:$B$1005="ENVÍO A SUPESA")*(MOVIMIENTOS!$C$5:$C$1005="A")*(MOVIMIENTOS!$D$5:$D$1005="jabas")*(MOVIMIENTOS!$A$5:$A$1005&lt;&gt;"")*(MOVIMIENTOS!$A$5:$A$1005&lt;=$A834)*MOVIMIENTOS!$E$5:$E$1005)+SUMPRODUCT((MOVIMIENTOS!$B$5:$B$1005="DEVOLUCIÓN")*(MOVIMIENTOS!$C$5:$C$1005="A")*(MOVIMIENTOS!$D$5:$D$1005="jabas")*(MOVIMIENTOS!$A$5:$A$1005&lt;&gt;"")*(MOVIMIENTOS!$A$5:$A$1005&lt;=$A834)*MOVIMIENTOS!$E$5:$E$1005)-SUMPRODUCT((MOVIMIENTOS!$B$5:$B$1005="TRASIEGO")*(MOVIMIENTOS!$C$5:$C$1005="A")*(MOVIMIENTOS!$D$5:$D$1005="jabas")*(MOVIMIENTOS!$A$5:$A$1005&lt;&gt;"")*(MOVIMIENTOS!$A$5:$A$1005&lt;=$A834)*MOVIMIENTOS!$E$5:$E$1005)-SUMPRODUCT((MOVIMIENTOS!$B$5:$B$1005="REGALO")*(MOVIMIENTOS!$C$5:$C$1005="A")*(MOVIMIENTOS!$D$5:$D$1005="jabas")*(MOVIMIENTOS!$A$5:$A$1005&lt;&gt;"")*(MOVIMIENTOS!$A$5:$A$1005&lt;=$A834)*MOVIMIENTOS!$E$5:$E$1005)-SUMPRODUCT((MOVIMIENTOS!$B$5:$B$1005="VENTA")*(MOVIMIENTOS!$C$5:$C$1005="A")*(MOVIMIENTOS!$D$5:$D$1005="jabas")*(MOVIMIENTOS!$A$5:$A$1005&lt;&gt;"")*(MOVIMIENTOS!$A$5:$A$1005&lt;=$A834)*MOVIMIENTOS!$E$5:$E$1005)+SUMPRODUCT((MOVIMIENTOS!$B$5:$B$1005="AJUSTE")*(MOVIMIENTOS!$C$5:$C$1005="A")*(MOVIMIENTOS!$D$5:$D$1005="jabas")*(MOVIMIENTOS!$A$5:$A$1005&lt;&gt;"")*(MOVIMIENTOS!$A$5:$A$1005&lt;=$A834)*MOVIMIENTOS!$E$5:$E$1005))</f>
        <v/>
      </c>
      <c r="C834" t="str">
        <f>IF($A834="","",SUMPRODUCT((MOVIMIENTOS!$B$5:$B$1005="SALDO INICIAL")*(MOVIMIENTOS!$C$5:$C$1005="P")*(MOVIMIENTOS!$D$5:$D$1005="jabas")*(MOVIMIENTOS!$A$5:$A$1005&lt;&gt;"")*(MOVIMIENTOS!$A$5:$A$1005&lt;=$A834)*MOVIMIENTOS!$E$5:$E$1005)+SUMPRODUCT((MOVIMIENTOS!$B$5:$B$1005="PROCESO")*(MOVIMIENTOS!$C$5:$C$1005="P")*(MOVIMIENTOS!$D$5:$D$1005="jabas")*(MOVIMIENTOS!$A$5:$A$1005&lt;&gt;"")*(MOVIMIENTOS!$A$5:$A$1005&lt;=$A834)*MOVIMIENTOS!$E$5:$E$1005)-SUMPRODUCT((MOVIMIENTOS!$B$5:$B$1005="ENVÍO A SUPESA")*(MOVIMIENTOS!$C$5:$C$1005="P")*(MOVIMIENTOS!$D$5:$D$1005="jabas")*(MOVIMIENTOS!$A$5:$A$1005&lt;&gt;"")*(MOVIMIENTOS!$A$5:$A$1005&lt;=$A834)*MOVIMIENTOS!$E$5:$E$1005)+SUMPRODUCT((MOVIMIENTOS!$B$5:$B$1005="DEVOLUCIÓN")*(MOVIMIENTOS!$C$5:$C$1005="P")*(MOVIMIENTOS!$D$5:$D$1005="jabas")*(MOVIMIENTOS!$A$5:$A$1005&lt;&gt;"")*(MOVIMIENTOS!$A$5:$A$1005&lt;=$A834)*MOVIMIENTOS!$E$5:$E$1005)-SUMPRODUCT((MOVIMIENTOS!$B$5:$B$1005="TRASIEGO")*(MOVIMIENTOS!$C$5:$C$1005="P")*(MOVIMIENTOS!$D$5:$D$1005="jabas")*(MOVIMIENTOS!$A$5:$A$1005&lt;&gt;"")*(MOVIMIENTOS!$A$5:$A$1005&lt;=$A834)*MOVIMIENTOS!$E$5:$E$1005)-SUMPRODUCT((MOVIMIENTOS!$B$5:$B$1005="REGALO")*(MOVIMIENTOS!$C$5:$C$1005="P")*(MOVIMIENTOS!$D$5:$D$1005="jabas")*(MOVIMIENTOS!$A$5:$A$1005&lt;&gt;"")*(MOVIMIENTOS!$A$5:$A$1005&lt;=$A834)*MOVIMIENTOS!$E$5:$E$1005)-SUMPRODUCT((MOVIMIENTOS!$B$5:$B$1005="VENTA")*(MOVIMIENTOS!$C$5:$C$1005="P")*(MOVIMIENTOS!$D$5:$D$1005="jabas")*(MOVIMIENTOS!$A$5:$A$1005&lt;&gt;"")*(MOVIMIENTOS!$A$5:$A$1005&lt;=$A834)*MOVIMIENTOS!$E$5:$E$1005)+SUMPRODUCT((MOVIMIENTOS!$B$5:$B$1005="AJUSTE")*(MOVIMIENTOS!$C$5:$C$1005="P")*(MOVIMIENTOS!$D$5:$D$1005="jabas")*(MOVIMIENTOS!$A$5:$A$1005&lt;&gt;"")*(MOVIMIENTOS!$A$5:$A$1005&lt;=$A834)*MOVIMIENTOS!$E$5:$E$1005))</f>
        <v/>
      </c>
      <c r="D834" t="str">
        <f>IF($A834="","",SUMPRODUCT((MOVIMIENTOS!$B$5:$B$1005="SALDO INICIAL")*(MOVIMIENTOS!$C$5:$C$1005="C")*(MOVIMIENTOS!$D$5:$D$1005="jabas")*(MOVIMIENTOS!$A$5:$A$1005&lt;&gt;"")*(MOVIMIENTOS!$A$5:$A$1005&lt;=$A834)*MOVIMIENTOS!$E$5:$E$1005)+SUMPRODUCT((MOVIMIENTOS!$B$5:$B$1005="PROCESO")*(MOVIMIENTOS!$C$5:$C$1005="C")*(MOVIMIENTOS!$D$5:$D$1005="jabas")*(MOVIMIENTOS!$A$5:$A$1005&lt;&gt;"")*(MOVIMIENTOS!$A$5:$A$1005&lt;=$A834)*MOVIMIENTOS!$E$5:$E$1005)-SUMPRODUCT((MOVIMIENTOS!$B$5:$B$1005="ENVÍO A SUPESA")*(MOVIMIENTOS!$C$5:$C$1005="C")*(MOVIMIENTOS!$D$5:$D$1005="jabas")*(MOVIMIENTOS!$A$5:$A$1005&lt;&gt;"")*(MOVIMIENTOS!$A$5:$A$1005&lt;=$A834)*MOVIMIENTOS!$E$5:$E$1005)+SUMPRODUCT((MOVIMIENTOS!$B$5:$B$1005="DEVOLUCIÓN")*(MOVIMIENTOS!$C$5:$C$1005="C")*(MOVIMIENTOS!$D$5:$D$1005="jabas")*(MOVIMIENTOS!$A$5:$A$1005&lt;&gt;"")*(MOVIMIENTOS!$A$5:$A$1005&lt;=$A834)*MOVIMIENTOS!$E$5:$E$1005)-SUMPRODUCT((MOVIMIENTOS!$B$5:$B$1005="TRASIEGO")*(MOVIMIENTOS!$C$5:$C$1005="C")*(MOVIMIENTOS!$D$5:$D$1005="jabas")*(MOVIMIENTOS!$A$5:$A$1005&lt;&gt;"")*(MOVIMIENTOS!$A$5:$A$1005&lt;=$A834)*MOVIMIENTOS!$E$5:$E$1005)-SUMPRODUCT((MOVIMIENTOS!$B$5:$B$1005="REGALO")*(MOVIMIENTOS!$C$5:$C$1005="C")*(MOVIMIENTOS!$D$5:$D$1005="jabas")*(MOVIMIENTOS!$A$5:$A$1005&lt;&gt;"")*(MOVIMIENTOS!$A$5:$A$1005&lt;=$A834)*MOVIMIENTOS!$E$5:$E$1005)-SUMPRODUCT((MOVIMIENTOS!$B$5:$B$1005="VENTA")*(MOVIMIENTOS!$C$5:$C$1005="C")*(MOVIMIENTOS!$D$5:$D$1005="jabas")*(MOVIMIENTOS!$A$5:$A$1005&lt;&gt;"")*(MOVIMIENTOS!$A$5:$A$1005&lt;=$A834)*MOVIMIENTOS!$E$5:$E$1005)+SUMPRODUCT((MOVIMIENTOS!$B$5:$B$1005="AJUSTE")*(MOVIMIENTOS!$C$5:$C$1005="C")*(MOVIMIENTOS!$D$5:$D$1005="jabas")*(MOVIMIENTOS!$A$5:$A$1005&lt;&gt;"")*(MOVIMIENTOS!$A$5:$A$1005&lt;=$A834)*MOVIMIENTOS!$E$5:$E$1005))</f>
        <v/>
      </c>
      <c r="E834" t="str">
        <f>IF($A834="","",SUMPRODUCT((MOVIMIENTOS!$B$5:$B$1005="SALDO INICIAL")*(MOVIMIENTOS!$C$5:$C$1005="M")*(MOVIMIENTOS!$D$5:$D$1005="jabas")*(MOVIMIENTOS!$A$5:$A$1005&lt;&gt;"")*(MOVIMIENTOS!$A$5:$A$1005&lt;=$A834)*MOVIMIENTOS!$E$5:$E$1005)+SUMPRODUCT((MOVIMIENTOS!$B$5:$B$1005="PROCESO")*(MOVIMIENTOS!$C$5:$C$1005="M")*(MOVIMIENTOS!$D$5:$D$1005="jabas")*(MOVIMIENTOS!$A$5:$A$1005&lt;&gt;"")*(MOVIMIENTOS!$A$5:$A$1005&lt;=$A834)*MOVIMIENTOS!$E$5:$E$1005)-SUMPRODUCT((MOVIMIENTOS!$B$5:$B$1005="ENVÍO A SUPESA")*(MOVIMIENTOS!$C$5:$C$1005="M")*(MOVIMIENTOS!$D$5:$D$1005="jabas")*(MOVIMIENTOS!$A$5:$A$1005&lt;&gt;"")*(MOVIMIENTOS!$A$5:$A$1005&lt;=$A834)*MOVIMIENTOS!$E$5:$E$1005)+SUMPRODUCT((MOVIMIENTOS!$B$5:$B$1005="DEVOLUCIÓN")*(MOVIMIENTOS!$C$5:$C$1005="M")*(MOVIMIENTOS!$D$5:$D$1005="jabas")*(MOVIMIENTOS!$A$5:$A$1005&lt;&gt;"")*(MOVIMIENTOS!$A$5:$A$1005&lt;=$A834)*MOVIMIENTOS!$E$5:$E$1005)-SUMPRODUCT((MOVIMIENTOS!$B$5:$B$1005="TRASIEGO")*(MOVIMIENTOS!$C$5:$C$1005="M")*(MOVIMIENTOS!$D$5:$D$1005="jabas")*(MOVIMIENTOS!$A$5:$A$1005&lt;&gt;"")*(MOVIMIENTOS!$A$5:$A$1005&lt;=$A834)*MOVIMIENTOS!$E$5:$E$1005)-SUMPRODUCT((MOVIMIENTOS!$B$5:$B$1005="REGALO")*(MOVIMIENTOS!$C$5:$C$1005="M")*(MOVIMIENTOS!$D$5:$D$1005="jabas")*(MOVIMIENTOS!$A$5:$A$1005&lt;&gt;"")*(MOVIMIENTOS!$A$5:$A$1005&lt;=$A834)*MOVIMIENTOS!$E$5:$E$1005)-SUMPRODUCT((MOVIMIENTOS!$B$5:$B$1005="VENTA")*(MOVIMIENTOS!$C$5:$C$1005="M")*(MOVIMIENTOS!$D$5:$D$1005="jabas")*(MOVIMIENTOS!$A$5:$A$1005&lt;&gt;"")*(MOVIMIENTOS!$A$5:$A$1005&lt;=$A834)*MOVIMIENTOS!$E$5:$E$1005)+SUMPRODUCT((MOVIMIENTOS!$B$5:$B$1005="AJUSTE")*(MOVIMIENTOS!$C$5:$C$1005="M")*(MOVIMIENTOS!$D$5:$D$1005="jabas")*(MOVIMIENTOS!$A$5:$A$1005&lt;&gt;"")*(MOVIMIENTOS!$A$5:$A$1005&lt;=$A834)*MOVIMIENTOS!$E$5:$E$1005))</f>
        <v/>
      </c>
      <c r="F834" s="62" t="str">
        <f>IF($A834="","",SUMPRODUCT((MOVIMIENTOS!$B$5:$B$1005="SALDO INICIAL")*(MOVIMIENTOS!$C$5:$C$1005="Chancho")*(MOVIMIENTOS!$D$5:$D$1005="sacos")*(MOVIMIENTOS!$A$5:$A$1005&lt;&gt;"")*(MOVIMIENTOS!$A$5:$A$1005&lt;=$A834)*MOVIMIENTOS!$E$5:$E$1005)+SUMPRODUCT((MOVIMIENTOS!$B$5:$B$1005="PROCESO")*(MOVIMIENTOS!$C$5:$C$1005="Chancho")*(MOVIMIENTOS!$D$5:$D$1005="sacos")*(MOVIMIENTOS!$A$5:$A$1005&lt;&gt;"")*(MOVIMIENTOS!$A$5:$A$1005&lt;=$A834)*MOVIMIENTOS!$E$5:$E$1005)-SUMPRODUCT((MOVIMIENTOS!$B$5:$B$1005="VENTA CHANCHO")*(MOVIMIENTOS!$C$5:$C$1005="Chancho")*(MOVIMIENTOS!$D$5:$D$1005="sacos")*(MOVIMIENTOS!$A$5:$A$1005&lt;&gt;"")*(MOVIMIENTOS!$A$5:$A$1005&lt;=$A834)*MOVIMIENTOS!$E$5:$E$1005)-SUMPRODUCT((MOVIMIENTOS!$B$5:$B$1005="REGALO")*(MOVIMIENTOS!$C$5:$C$1005="Chancho")*(MOVIMIENTOS!$D$5:$D$1005="sacos")*(MOVIMIENTOS!$A$5:$A$1005&lt;&gt;"")*(MOVIMIENTOS!$A$5:$A$1005&lt;=$A834)*MOVIMIENTOS!$E$5:$E$1005)-SUMPRODUCT((MOVIMIENTOS!$B$5:$B$1005="VENTA")*(MOVIMIENTOS!$C$5:$C$1005="Chancho")*(MOVIMIENTOS!$D$5:$D$1005="sacos")*(MOVIMIENTOS!$A$5:$A$1005&lt;&gt;"")*(MOVIMIENTOS!$A$5:$A$1005&lt;=$A834)*MOVIMIENTOS!$E$5:$E$1005)+SUMPRODUCT((MOVIMIENTOS!$B$5:$B$1005="AJUSTE")*(MOVIMIENTOS!$C$5:$C$1005="Chancho")*(MOVIMIENTOS!$D$5:$D$1005="sacos")*(MOVIMIENTOS!$A$5:$A$1005&lt;&gt;"")*(MOVIMIENTOS!$A$5:$A$1005&lt;=$A834)*MOVIMIENTOS!$E$5:$E$1005))</f>
        <v/>
      </c>
      <c r="G834" s="62" t="str">
        <f t="shared" si="25"/>
        <v/>
      </c>
      <c r="H834" t="str">
        <f>IF($A834="","",SUMPRODUCT((((MOVIMIENTOS!$B$5:$B$1005="SALDO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834)*MOVIMIENTOS!$J$5:$J$1005))</f>
        <v/>
      </c>
      <c r="J834" t="str">
        <f>IF(AND(MOVIMIENTOS!$A839&lt;&gt;"",COUNTIF(MOVIMIENTOS!$A$5:$A838,MOVIMIENTOS!$A839)=0),COUNT(J$4:J833)+1,"")</f>
        <v/>
      </c>
      <c r="K834">
        <f>MOVIMIENTOS!$A839</f>
        <v>0</v>
      </c>
    </row>
    <row r="835" spans="1:11" ht="15" customHeight="1" x14ac:dyDescent="0.2">
      <c r="A835" t="str">
        <f t="shared" si="24"/>
        <v/>
      </c>
      <c r="B835" t="str">
        <f>IF($A835="","",SUMPRODUCT((MOVIMIENTOS!$B$5:$B$1005="SALDO INICIAL")*(MOVIMIENTOS!$C$5:$C$1005="A")*(MOVIMIENTOS!$D$5:$D$1005="jabas")*(MOVIMIENTOS!$A$5:$A$1005&lt;&gt;"")*(MOVIMIENTOS!$A$5:$A$1005&lt;=$A835)*MOVIMIENTOS!$E$5:$E$1005)+SUMPRODUCT((MOVIMIENTOS!$B$5:$B$1005="PROCESO")*(MOVIMIENTOS!$C$5:$C$1005="A")*(MOVIMIENTOS!$D$5:$D$1005="jabas")*(MOVIMIENTOS!$A$5:$A$1005&lt;&gt;"")*(MOVIMIENTOS!$A$5:$A$1005&lt;=$A835)*MOVIMIENTOS!$E$5:$E$1005)-SUMPRODUCT((MOVIMIENTOS!$B$5:$B$1005="ENVÍO A SUPESA")*(MOVIMIENTOS!$C$5:$C$1005="A")*(MOVIMIENTOS!$D$5:$D$1005="jabas")*(MOVIMIENTOS!$A$5:$A$1005&lt;&gt;"")*(MOVIMIENTOS!$A$5:$A$1005&lt;=$A835)*MOVIMIENTOS!$E$5:$E$1005)+SUMPRODUCT((MOVIMIENTOS!$B$5:$B$1005="DEVOLUCIÓN")*(MOVIMIENTOS!$C$5:$C$1005="A")*(MOVIMIENTOS!$D$5:$D$1005="jabas")*(MOVIMIENTOS!$A$5:$A$1005&lt;&gt;"")*(MOVIMIENTOS!$A$5:$A$1005&lt;=$A835)*MOVIMIENTOS!$E$5:$E$1005)-SUMPRODUCT((MOVIMIENTOS!$B$5:$B$1005="TRASIEGO")*(MOVIMIENTOS!$C$5:$C$1005="A")*(MOVIMIENTOS!$D$5:$D$1005="jabas")*(MOVIMIENTOS!$A$5:$A$1005&lt;&gt;"")*(MOVIMIENTOS!$A$5:$A$1005&lt;=$A835)*MOVIMIENTOS!$E$5:$E$1005)-SUMPRODUCT((MOVIMIENTOS!$B$5:$B$1005="REGALO")*(MOVIMIENTOS!$C$5:$C$1005="A")*(MOVIMIENTOS!$D$5:$D$1005="jabas")*(MOVIMIENTOS!$A$5:$A$1005&lt;&gt;"")*(MOVIMIENTOS!$A$5:$A$1005&lt;=$A835)*MOVIMIENTOS!$E$5:$E$1005)-SUMPRODUCT((MOVIMIENTOS!$B$5:$B$1005="VENTA")*(MOVIMIENTOS!$C$5:$C$1005="A")*(MOVIMIENTOS!$D$5:$D$1005="jabas")*(MOVIMIENTOS!$A$5:$A$1005&lt;&gt;"")*(MOVIMIENTOS!$A$5:$A$1005&lt;=$A835)*MOVIMIENTOS!$E$5:$E$1005)+SUMPRODUCT((MOVIMIENTOS!$B$5:$B$1005="AJUSTE")*(MOVIMIENTOS!$C$5:$C$1005="A")*(MOVIMIENTOS!$D$5:$D$1005="jabas")*(MOVIMIENTOS!$A$5:$A$1005&lt;&gt;"")*(MOVIMIENTOS!$A$5:$A$1005&lt;=$A835)*MOVIMIENTOS!$E$5:$E$1005))</f>
        <v/>
      </c>
      <c r="C835" t="str">
        <f>IF($A835="","",SUMPRODUCT((MOVIMIENTOS!$B$5:$B$1005="SALDO INICIAL")*(MOVIMIENTOS!$C$5:$C$1005="P")*(MOVIMIENTOS!$D$5:$D$1005="jabas")*(MOVIMIENTOS!$A$5:$A$1005&lt;&gt;"")*(MOVIMIENTOS!$A$5:$A$1005&lt;=$A835)*MOVIMIENTOS!$E$5:$E$1005)+SUMPRODUCT((MOVIMIENTOS!$B$5:$B$1005="PROCESO")*(MOVIMIENTOS!$C$5:$C$1005="P")*(MOVIMIENTOS!$D$5:$D$1005="jabas")*(MOVIMIENTOS!$A$5:$A$1005&lt;&gt;"")*(MOVIMIENTOS!$A$5:$A$1005&lt;=$A835)*MOVIMIENTOS!$E$5:$E$1005)-SUMPRODUCT((MOVIMIENTOS!$B$5:$B$1005="ENVÍO A SUPESA")*(MOVIMIENTOS!$C$5:$C$1005="P")*(MOVIMIENTOS!$D$5:$D$1005="jabas")*(MOVIMIENTOS!$A$5:$A$1005&lt;&gt;"")*(MOVIMIENTOS!$A$5:$A$1005&lt;=$A835)*MOVIMIENTOS!$E$5:$E$1005)+SUMPRODUCT((MOVIMIENTOS!$B$5:$B$1005="DEVOLUCIÓN")*(MOVIMIENTOS!$C$5:$C$1005="P")*(MOVIMIENTOS!$D$5:$D$1005="jabas")*(MOVIMIENTOS!$A$5:$A$1005&lt;&gt;"")*(MOVIMIENTOS!$A$5:$A$1005&lt;=$A835)*MOVIMIENTOS!$E$5:$E$1005)-SUMPRODUCT((MOVIMIENTOS!$B$5:$B$1005="TRASIEGO")*(MOVIMIENTOS!$C$5:$C$1005="P")*(MOVIMIENTOS!$D$5:$D$1005="jabas")*(MOVIMIENTOS!$A$5:$A$1005&lt;&gt;"")*(MOVIMIENTOS!$A$5:$A$1005&lt;=$A835)*MOVIMIENTOS!$E$5:$E$1005)-SUMPRODUCT((MOVIMIENTOS!$B$5:$B$1005="REGALO")*(MOVIMIENTOS!$C$5:$C$1005="P")*(MOVIMIENTOS!$D$5:$D$1005="jabas")*(MOVIMIENTOS!$A$5:$A$1005&lt;&gt;"")*(MOVIMIENTOS!$A$5:$A$1005&lt;=$A835)*MOVIMIENTOS!$E$5:$E$1005)-SUMPRODUCT((MOVIMIENTOS!$B$5:$B$1005="VENTA")*(MOVIMIENTOS!$C$5:$C$1005="P")*(MOVIMIENTOS!$D$5:$D$1005="jabas")*(MOVIMIENTOS!$A$5:$A$1005&lt;&gt;"")*(MOVIMIENTOS!$A$5:$A$1005&lt;=$A835)*MOVIMIENTOS!$E$5:$E$1005)+SUMPRODUCT((MOVIMIENTOS!$B$5:$B$1005="AJUSTE")*(MOVIMIENTOS!$C$5:$C$1005="P")*(MOVIMIENTOS!$D$5:$D$1005="jabas")*(MOVIMIENTOS!$A$5:$A$1005&lt;&gt;"")*(MOVIMIENTOS!$A$5:$A$1005&lt;=$A835)*MOVIMIENTOS!$E$5:$E$1005))</f>
        <v/>
      </c>
      <c r="D835" t="str">
        <f>IF($A835="","",SUMPRODUCT((MOVIMIENTOS!$B$5:$B$1005="SALDO INICIAL")*(MOVIMIENTOS!$C$5:$C$1005="C")*(MOVIMIENTOS!$D$5:$D$1005="jabas")*(MOVIMIENTOS!$A$5:$A$1005&lt;&gt;"")*(MOVIMIENTOS!$A$5:$A$1005&lt;=$A835)*MOVIMIENTOS!$E$5:$E$1005)+SUMPRODUCT((MOVIMIENTOS!$B$5:$B$1005="PROCESO")*(MOVIMIENTOS!$C$5:$C$1005="C")*(MOVIMIENTOS!$D$5:$D$1005="jabas")*(MOVIMIENTOS!$A$5:$A$1005&lt;&gt;"")*(MOVIMIENTOS!$A$5:$A$1005&lt;=$A835)*MOVIMIENTOS!$E$5:$E$1005)-SUMPRODUCT((MOVIMIENTOS!$B$5:$B$1005="ENVÍO A SUPESA")*(MOVIMIENTOS!$C$5:$C$1005="C")*(MOVIMIENTOS!$D$5:$D$1005="jabas")*(MOVIMIENTOS!$A$5:$A$1005&lt;&gt;"")*(MOVIMIENTOS!$A$5:$A$1005&lt;=$A835)*MOVIMIENTOS!$E$5:$E$1005)+SUMPRODUCT((MOVIMIENTOS!$B$5:$B$1005="DEVOLUCIÓN")*(MOVIMIENTOS!$C$5:$C$1005="C")*(MOVIMIENTOS!$D$5:$D$1005="jabas")*(MOVIMIENTOS!$A$5:$A$1005&lt;&gt;"")*(MOVIMIENTOS!$A$5:$A$1005&lt;=$A835)*MOVIMIENTOS!$E$5:$E$1005)-SUMPRODUCT((MOVIMIENTOS!$B$5:$B$1005="TRASIEGO")*(MOVIMIENTOS!$C$5:$C$1005="C")*(MOVIMIENTOS!$D$5:$D$1005="jabas")*(MOVIMIENTOS!$A$5:$A$1005&lt;&gt;"")*(MOVIMIENTOS!$A$5:$A$1005&lt;=$A835)*MOVIMIENTOS!$E$5:$E$1005)-SUMPRODUCT((MOVIMIENTOS!$B$5:$B$1005="REGALO")*(MOVIMIENTOS!$C$5:$C$1005="C")*(MOVIMIENTOS!$D$5:$D$1005="jabas")*(MOVIMIENTOS!$A$5:$A$1005&lt;&gt;"")*(MOVIMIENTOS!$A$5:$A$1005&lt;=$A835)*MOVIMIENTOS!$E$5:$E$1005)-SUMPRODUCT((MOVIMIENTOS!$B$5:$B$1005="VENTA")*(MOVIMIENTOS!$C$5:$C$1005="C")*(MOVIMIENTOS!$D$5:$D$1005="jabas")*(MOVIMIENTOS!$A$5:$A$1005&lt;&gt;"")*(MOVIMIENTOS!$A$5:$A$1005&lt;=$A835)*MOVIMIENTOS!$E$5:$E$1005)+SUMPRODUCT((MOVIMIENTOS!$B$5:$B$1005="AJUSTE")*(MOVIMIENTOS!$C$5:$C$1005="C")*(MOVIMIENTOS!$D$5:$D$1005="jabas")*(MOVIMIENTOS!$A$5:$A$1005&lt;&gt;"")*(MOVIMIENTOS!$A$5:$A$1005&lt;=$A835)*MOVIMIENTOS!$E$5:$E$1005))</f>
        <v/>
      </c>
      <c r="E835" t="str">
        <f>IF($A835="","",SUMPRODUCT((MOVIMIENTOS!$B$5:$B$1005="SALDO INICIAL")*(MOVIMIENTOS!$C$5:$C$1005="M")*(MOVIMIENTOS!$D$5:$D$1005="jabas")*(MOVIMIENTOS!$A$5:$A$1005&lt;&gt;"")*(MOVIMIENTOS!$A$5:$A$1005&lt;=$A835)*MOVIMIENTOS!$E$5:$E$1005)+SUMPRODUCT((MOVIMIENTOS!$B$5:$B$1005="PROCESO")*(MOVIMIENTOS!$C$5:$C$1005="M")*(MOVIMIENTOS!$D$5:$D$1005="jabas")*(MOVIMIENTOS!$A$5:$A$1005&lt;&gt;"")*(MOVIMIENTOS!$A$5:$A$1005&lt;=$A835)*MOVIMIENTOS!$E$5:$E$1005)-SUMPRODUCT((MOVIMIENTOS!$B$5:$B$1005="ENVÍO A SUPESA")*(MOVIMIENTOS!$C$5:$C$1005="M")*(MOVIMIENTOS!$D$5:$D$1005="jabas")*(MOVIMIENTOS!$A$5:$A$1005&lt;&gt;"")*(MOVIMIENTOS!$A$5:$A$1005&lt;=$A835)*MOVIMIENTOS!$E$5:$E$1005)+SUMPRODUCT((MOVIMIENTOS!$B$5:$B$1005="DEVOLUCIÓN")*(MOVIMIENTOS!$C$5:$C$1005="M")*(MOVIMIENTOS!$D$5:$D$1005="jabas")*(MOVIMIENTOS!$A$5:$A$1005&lt;&gt;"")*(MOVIMIENTOS!$A$5:$A$1005&lt;=$A835)*MOVIMIENTOS!$E$5:$E$1005)-SUMPRODUCT((MOVIMIENTOS!$B$5:$B$1005="TRASIEGO")*(MOVIMIENTOS!$C$5:$C$1005="M")*(MOVIMIENTOS!$D$5:$D$1005="jabas")*(MOVIMIENTOS!$A$5:$A$1005&lt;&gt;"")*(MOVIMIENTOS!$A$5:$A$1005&lt;=$A835)*MOVIMIENTOS!$E$5:$E$1005)-SUMPRODUCT((MOVIMIENTOS!$B$5:$B$1005="REGALO")*(MOVIMIENTOS!$C$5:$C$1005="M")*(MOVIMIENTOS!$D$5:$D$1005="jabas")*(MOVIMIENTOS!$A$5:$A$1005&lt;&gt;"")*(MOVIMIENTOS!$A$5:$A$1005&lt;=$A835)*MOVIMIENTOS!$E$5:$E$1005)-SUMPRODUCT((MOVIMIENTOS!$B$5:$B$1005="VENTA")*(MOVIMIENTOS!$C$5:$C$1005="M")*(MOVIMIENTOS!$D$5:$D$1005="jabas")*(MOVIMIENTOS!$A$5:$A$1005&lt;&gt;"")*(MOVIMIENTOS!$A$5:$A$1005&lt;=$A835)*MOVIMIENTOS!$E$5:$E$1005)+SUMPRODUCT((MOVIMIENTOS!$B$5:$B$1005="AJUSTE")*(MOVIMIENTOS!$C$5:$C$1005="M")*(MOVIMIENTOS!$D$5:$D$1005="jabas")*(MOVIMIENTOS!$A$5:$A$1005&lt;&gt;"")*(MOVIMIENTOS!$A$5:$A$1005&lt;=$A835)*MOVIMIENTOS!$E$5:$E$1005))</f>
        <v/>
      </c>
      <c r="F835" s="62" t="str">
        <f>IF($A835="","",SUMPRODUCT((MOVIMIENTOS!$B$5:$B$1005="SALDO INICIAL")*(MOVIMIENTOS!$C$5:$C$1005="Chancho")*(MOVIMIENTOS!$D$5:$D$1005="sacos")*(MOVIMIENTOS!$A$5:$A$1005&lt;&gt;"")*(MOVIMIENTOS!$A$5:$A$1005&lt;=$A835)*MOVIMIENTOS!$E$5:$E$1005)+SUMPRODUCT((MOVIMIENTOS!$B$5:$B$1005="PROCESO")*(MOVIMIENTOS!$C$5:$C$1005="Chancho")*(MOVIMIENTOS!$D$5:$D$1005="sacos")*(MOVIMIENTOS!$A$5:$A$1005&lt;&gt;"")*(MOVIMIENTOS!$A$5:$A$1005&lt;=$A835)*MOVIMIENTOS!$E$5:$E$1005)-SUMPRODUCT((MOVIMIENTOS!$B$5:$B$1005="VENTA CHANCHO")*(MOVIMIENTOS!$C$5:$C$1005="Chancho")*(MOVIMIENTOS!$D$5:$D$1005="sacos")*(MOVIMIENTOS!$A$5:$A$1005&lt;&gt;"")*(MOVIMIENTOS!$A$5:$A$1005&lt;=$A835)*MOVIMIENTOS!$E$5:$E$1005)-SUMPRODUCT((MOVIMIENTOS!$B$5:$B$1005="REGALO")*(MOVIMIENTOS!$C$5:$C$1005="Chancho")*(MOVIMIENTOS!$D$5:$D$1005="sacos")*(MOVIMIENTOS!$A$5:$A$1005&lt;&gt;"")*(MOVIMIENTOS!$A$5:$A$1005&lt;=$A835)*MOVIMIENTOS!$E$5:$E$1005)-SUMPRODUCT((MOVIMIENTOS!$B$5:$B$1005="VENTA")*(MOVIMIENTOS!$C$5:$C$1005="Chancho")*(MOVIMIENTOS!$D$5:$D$1005="sacos")*(MOVIMIENTOS!$A$5:$A$1005&lt;&gt;"")*(MOVIMIENTOS!$A$5:$A$1005&lt;=$A835)*MOVIMIENTOS!$E$5:$E$1005)+SUMPRODUCT((MOVIMIENTOS!$B$5:$B$1005="AJUSTE")*(MOVIMIENTOS!$C$5:$C$1005="Chancho")*(MOVIMIENTOS!$D$5:$D$1005="sacos")*(MOVIMIENTOS!$A$5:$A$1005&lt;&gt;"")*(MOVIMIENTOS!$A$5:$A$1005&lt;=$A835)*MOVIMIENTOS!$E$5:$E$1005))</f>
        <v/>
      </c>
      <c r="G835" s="62" t="str">
        <f t="shared" si="25"/>
        <v/>
      </c>
      <c r="H835" t="str">
        <f>IF($A835="","",SUMPRODUCT((((MOVIMIENTOS!$B$5:$B$1005="SALDO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835)*MOVIMIENTOS!$J$5:$J$1005))</f>
        <v/>
      </c>
      <c r="J835" t="str">
        <f>IF(AND(MOVIMIENTOS!$A840&lt;&gt;"",COUNTIF(MOVIMIENTOS!$A$5:$A839,MOVIMIENTOS!$A840)=0),COUNT(J$4:J834)+1,"")</f>
        <v/>
      </c>
      <c r="K835">
        <f>MOVIMIENTOS!$A840</f>
        <v>0</v>
      </c>
    </row>
    <row r="836" spans="1:11" ht="15" customHeight="1" x14ac:dyDescent="0.2">
      <c r="A836" t="str">
        <f t="shared" si="24"/>
        <v/>
      </c>
      <c r="B836" t="str">
        <f>IF($A836="","",SUMPRODUCT((MOVIMIENTOS!$B$5:$B$1005="SALDO INICIAL")*(MOVIMIENTOS!$C$5:$C$1005="A")*(MOVIMIENTOS!$D$5:$D$1005="jabas")*(MOVIMIENTOS!$A$5:$A$1005&lt;&gt;"")*(MOVIMIENTOS!$A$5:$A$1005&lt;=$A836)*MOVIMIENTOS!$E$5:$E$1005)+SUMPRODUCT((MOVIMIENTOS!$B$5:$B$1005="PROCESO")*(MOVIMIENTOS!$C$5:$C$1005="A")*(MOVIMIENTOS!$D$5:$D$1005="jabas")*(MOVIMIENTOS!$A$5:$A$1005&lt;&gt;"")*(MOVIMIENTOS!$A$5:$A$1005&lt;=$A836)*MOVIMIENTOS!$E$5:$E$1005)-SUMPRODUCT((MOVIMIENTOS!$B$5:$B$1005="ENVÍO A SUPESA")*(MOVIMIENTOS!$C$5:$C$1005="A")*(MOVIMIENTOS!$D$5:$D$1005="jabas")*(MOVIMIENTOS!$A$5:$A$1005&lt;&gt;"")*(MOVIMIENTOS!$A$5:$A$1005&lt;=$A836)*MOVIMIENTOS!$E$5:$E$1005)+SUMPRODUCT((MOVIMIENTOS!$B$5:$B$1005="DEVOLUCIÓN")*(MOVIMIENTOS!$C$5:$C$1005="A")*(MOVIMIENTOS!$D$5:$D$1005="jabas")*(MOVIMIENTOS!$A$5:$A$1005&lt;&gt;"")*(MOVIMIENTOS!$A$5:$A$1005&lt;=$A836)*MOVIMIENTOS!$E$5:$E$1005)-SUMPRODUCT((MOVIMIENTOS!$B$5:$B$1005="TRASIEGO")*(MOVIMIENTOS!$C$5:$C$1005="A")*(MOVIMIENTOS!$D$5:$D$1005="jabas")*(MOVIMIENTOS!$A$5:$A$1005&lt;&gt;"")*(MOVIMIENTOS!$A$5:$A$1005&lt;=$A836)*MOVIMIENTOS!$E$5:$E$1005)-SUMPRODUCT((MOVIMIENTOS!$B$5:$B$1005="REGALO")*(MOVIMIENTOS!$C$5:$C$1005="A")*(MOVIMIENTOS!$D$5:$D$1005="jabas")*(MOVIMIENTOS!$A$5:$A$1005&lt;&gt;"")*(MOVIMIENTOS!$A$5:$A$1005&lt;=$A836)*MOVIMIENTOS!$E$5:$E$1005)-SUMPRODUCT((MOVIMIENTOS!$B$5:$B$1005="VENTA")*(MOVIMIENTOS!$C$5:$C$1005="A")*(MOVIMIENTOS!$D$5:$D$1005="jabas")*(MOVIMIENTOS!$A$5:$A$1005&lt;&gt;"")*(MOVIMIENTOS!$A$5:$A$1005&lt;=$A836)*MOVIMIENTOS!$E$5:$E$1005)+SUMPRODUCT((MOVIMIENTOS!$B$5:$B$1005="AJUSTE")*(MOVIMIENTOS!$C$5:$C$1005="A")*(MOVIMIENTOS!$D$5:$D$1005="jabas")*(MOVIMIENTOS!$A$5:$A$1005&lt;&gt;"")*(MOVIMIENTOS!$A$5:$A$1005&lt;=$A836)*MOVIMIENTOS!$E$5:$E$1005))</f>
        <v/>
      </c>
      <c r="C836" t="str">
        <f>IF($A836="","",SUMPRODUCT((MOVIMIENTOS!$B$5:$B$1005="SALDO INICIAL")*(MOVIMIENTOS!$C$5:$C$1005="P")*(MOVIMIENTOS!$D$5:$D$1005="jabas")*(MOVIMIENTOS!$A$5:$A$1005&lt;&gt;"")*(MOVIMIENTOS!$A$5:$A$1005&lt;=$A836)*MOVIMIENTOS!$E$5:$E$1005)+SUMPRODUCT((MOVIMIENTOS!$B$5:$B$1005="PROCESO")*(MOVIMIENTOS!$C$5:$C$1005="P")*(MOVIMIENTOS!$D$5:$D$1005="jabas")*(MOVIMIENTOS!$A$5:$A$1005&lt;&gt;"")*(MOVIMIENTOS!$A$5:$A$1005&lt;=$A836)*MOVIMIENTOS!$E$5:$E$1005)-SUMPRODUCT((MOVIMIENTOS!$B$5:$B$1005="ENVÍO A SUPESA")*(MOVIMIENTOS!$C$5:$C$1005="P")*(MOVIMIENTOS!$D$5:$D$1005="jabas")*(MOVIMIENTOS!$A$5:$A$1005&lt;&gt;"")*(MOVIMIENTOS!$A$5:$A$1005&lt;=$A836)*MOVIMIENTOS!$E$5:$E$1005)+SUMPRODUCT((MOVIMIENTOS!$B$5:$B$1005="DEVOLUCIÓN")*(MOVIMIENTOS!$C$5:$C$1005="P")*(MOVIMIENTOS!$D$5:$D$1005="jabas")*(MOVIMIENTOS!$A$5:$A$1005&lt;&gt;"")*(MOVIMIENTOS!$A$5:$A$1005&lt;=$A836)*MOVIMIENTOS!$E$5:$E$1005)-SUMPRODUCT((MOVIMIENTOS!$B$5:$B$1005="TRASIEGO")*(MOVIMIENTOS!$C$5:$C$1005="P")*(MOVIMIENTOS!$D$5:$D$1005="jabas")*(MOVIMIENTOS!$A$5:$A$1005&lt;&gt;"")*(MOVIMIENTOS!$A$5:$A$1005&lt;=$A836)*MOVIMIENTOS!$E$5:$E$1005)-SUMPRODUCT((MOVIMIENTOS!$B$5:$B$1005="REGALO")*(MOVIMIENTOS!$C$5:$C$1005="P")*(MOVIMIENTOS!$D$5:$D$1005="jabas")*(MOVIMIENTOS!$A$5:$A$1005&lt;&gt;"")*(MOVIMIENTOS!$A$5:$A$1005&lt;=$A836)*MOVIMIENTOS!$E$5:$E$1005)-SUMPRODUCT((MOVIMIENTOS!$B$5:$B$1005="VENTA")*(MOVIMIENTOS!$C$5:$C$1005="P")*(MOVIMIENTOS!$D$5:$D$1005="jabas")*(MOVIMIENTOS!$A$5:$A$1005&lt;&gt;"")*(MOVIMIENTOS!$A$5:$A$1005&lt;=$A836)*MOVIMIENTOS!$E$5:$E$1005)+SUMPRODUCT((MOVIMIENTOS!$B$5:$B$1005="AJUSTE")*(MOVIMIENTOS!$C$5:$C$1005="P")*(MOVIMIENTOS!$D$5:$D$1005="jabas")*(MOVIMIENTOS!$A$5:$A$1005&lt;&gt;"")*(MOVIMIENTOS!$A$5:$A$1005&lt;=$A836)*MOVIMIENTOS!$E$5:$E$1005))</f>
        <v/>
      </c>
      <c r="D836" t="str">
        <f>IF($A836="","",SUMPRODUCT((MOVIMIENTOS!$B$5:$B$1005="SALDO INICIAL")*(MOVIMIENTOS!$C$5:$C$1005="C")*(MOVIMIENTOS!$D$5:$D$1005="jabas")*(MOVIMIENTOS!$A$5:$A$1005&lt;&gt;"")*(MOVIMIENTOS!$A$5:$A$1005&lt;=$A836)*MOVIMIENTOS!$E$5:$E$1005)+SUMPRODUCT((MOVIMIENTOS!$B$5:$B$1005="PROCESO")*(MOVIMIENTOS!$C$5:$C$1005="C")*(MOVIMIENTOS!$D$5:$D$1005="jabas")*(MOVIMIENTOS!$A$5:$A$1005&lt;&gt;"")*(MOVIMIENTOS!$A$5:$A$1005&lt;=$A836)*MOVIMIENTOS!$E$5:$E$1005)-SUMPRODUCT((MOVIMIENTOS!$B$5:$B$1005="ENVÍO A SUPESA")*(MOVIMIENTOS!$C$5:$C$1005="C")*(MOVIMIENTOS!$D$5:$D$1005="jabas")*(MOVIMIENTOS!$A$5:$A$1005&lt;&gt;"")*(MOVIMIENTOS!$A$5:$A$1005&lt;=$A836)*MOVIMIENTOS!$E$5:$E$1005)+SUMPRODUCT((MOVIMIENTOS!$B$5:$B$1005="DEVOLUCIÓN")*(MOVIMIENTOS!$C$5:$C$1005="C")*(MOVIMIENTOS!$D$5:$D$1005="jabas")*(MOVIMIENTOS!$A$5:$A$1005&lt;&gt;"")*(MOVIMIENTOS!$A$5:$A$1005&lt;=$A836)*MOVIMIENTOS!$E$5:$E$1005)-SUMPRODUCT((MOVIMIENTOS!$B$5:$B$1005="TRASIEGO")*(MOVIMIENTOS!$C$5:$C$1005="C")*(MOVIMIENTOS!$D$5:$D$1005="jabas")*(MOVIMIENTOS!$A$5:$A$1005&lt;&gt;"")*(MOVIMIENTOS!$A$5:$A$1005&lt;=$A836)*MOVIMIENTOS!$E$5:$E$1005)-SUMPRODUCT((MOVIMIENTOS!$B$5:$B$1005="REGALO")*(MOVIMIENTOS!$C$5:$C$1005="C")*(MOVIMIENTOS!$D$5:$D$1005="jabas")*(MOVIMIENTOS!$A$5:$A$1005&lt;&gt;"")*(MOVIMIENTOS!$A$5:$A$1005&lt;=$A836)*MOVIMIENTOS!$E$5:$E$1005)-SUMPRODUCT((MOVIMIENTOS!$B$5:$B$1005="VENTA")*(MOVIMIENTOS!$C$5:$C$1005="C")*(MOVIMIENTOS!$D$5:$D$1005="jabas")*(MOVIMIENTOS!$A$5:$A$1005&lt;&gt;"")*(MOVIMIENTOS!$A$5:$A$1005&lt;=$A836)*MOVIMIENTOS!$E$5:$E$1005)+SUMPRODUCT((MOVIMIENTOS!$B$5:$B$1005="AJUSTE")*(MOVIMIENTOS!$C$5:$C$1005="C")*(MOVIMIENTOS!$D$5:$D$1005="jabas")*(MOVIMIENTOS!$A$5:$A$1005&lt;&gt;"")*(MOVIMIENTOS!$A$5:$A$1005&lt;=$A836)*MOVIMIENTOS!$E$5:$E$1005))</f>
        <v/>
      </c>
      <c r="E836" t="str">
        <f>IF($A836="","",SUMPRODUCT((MOVIMIENTOS!$B$5:$B$1005="SALDO INICIAL")*(MOVIMIENTOS!$C$5:$C$1005="M")*(MOVIMIENTOS!$D$5:$D$1005="jabas")*(MOVIMIENTOS!$A$5:$A$1005&lt;&gt;"")*(MOVIMIENTOS!$A$5:$A$1005&lt;=$A836)*MOVIMIENTOS!$E$5:$E$1005)+SUMPRODUCT((MOVIMIENTOS!$B$5:$B$1005="PROCESO")*(MOVIMIENTOS!$C$5:$C$1005="M")*(MOVIMIENTOS!$D$5:$D$1005="jabas")*(MOVIMIENTOS!$A$5:$A$1005&lt;&gt;"")*(MOVIMIENTOS!$A$5:$A$1005&lt;=$A836)*MOVIMIENTOS!$E$5:$E$1005)-SUMPRODUCT((MOVIMIENTOS!$B$5:$B$1005="ENVÍO A SUPESA")*(MOVIMIENTOS!$C$5:$C$1005="M")*(MOVIMIENTOS!$D$5:$D$1005="jabas")*(MOVIMIENTOS!$A$5:$A$1005&lt;&gt;"")*(MOVIMIENTOS!$A$5:$A$1005&lt;=$A836)*MOVIMIENTOS!$E$5:$E$1005)+SUMPRODUCT((MOVIMIENTOS!$B$5:$B$1005="DEVOLUCIÓN")*(MOVIMIENTOS!$C$5:$C$1005="M")*(MOVIMIENTOS!$D$5:$D$1005="jabas")*(MOVIMIENTOS!$A$5:$A$1005&lt;&gt;"")*(MOVIMIENTOS!$A$5:$A$1005&lt;=$A836)*MOVIMIENTOS!$E$5:$E$1005)-SUMPRODUCT((MOVIMIENTOS!$B$5:$B$1005="TRASIEGO")*(MOVIMIENTOS!$C$5:$C$1005="M")*(MOVIMIENTOS!$D$5:$D$1005="jabas")*(MOVIMIENTOS!$A$5:$A$1005&lt;&gt;"")*(MOVIMIENTOS!$A$5:$A$1005&lt;=$A836)*MOVIMIENTOS!$E$5:$E$1005)-SUMPRODUCT((MOVIMIENTOS!$B$5:$B$1005="REGALO")*(MOVIMIENTOS!$C$5:$C$1005="M")*(MOVIMIENTOS!$D$5:$D$1005="jabas")*(MOVIMIENTOS!$A$5:$A$1005&lt;&gt;"")*(MOVIMIENTOS!$A$5:$A$1005&lt;=$A836)*MOVIMIENTOS!$E$5:$E$1005)-SUMPRODUCT((MOVIMIENTOS!$B$5:$B$1005="VENTA")*(MOVIMIENTOS!$C$5:$C$1005="M")*(MOVIMIENTOS!$D$5:$D$1005="jabas")*(MOVIMIENTOS!$A$5:$A$1005&lt;&gt;"")*(MOVIMIENTOS!$A$5:$A$1005&lt;=$A836)*MOVIMIENTOS!$E$5:$E$1005)+SUMPRODUCT((MOVIMIENTOS!$B$5:$B$1005="AJUSTE")*(MOVIMIENTOS!$C$5:$C$1005="M")*(MOVIMIENTOS!$D$5:$D$1005="jabas")*(MOVIMIENTOS!$A$5:$A$1005&lt;&gt;"")*(MOVIMIENTOS!$A$5:$A$1005&lt;=$A836)*MOVIMIENTOS!$E$5:$E$1005))</f>
        <v/>
      </c>
      <c r="F836" s="62" t="str">
        <f>IF($A836="","",SUMPRODUCT((MOVIMIENTOS!$B$5:$B$1005="SALDO INICIAL")*(MOVIMIENTOS!$C$5:$C$1005="Chancho")*(MOVIMIENTOS!$D$5:$D$1005="sacos")*(MOVIMIENTOS!$A$5:$A$1005&lt;&gt;"")*(MOVIMIENTOS!$A$5:$A$1005&lt;=$A836)*MOVIMIENTOS!$E$5:$E$1005)+SUMPRODUCT((MOVIMIENTOS!$B$5:$B$1005="PROCESO")*(MOVIMIENTOS!$C$5:$C$1005="Chancho")*(MOVIMIENTOS!$D$5:$D$1005="sacos")*(MOVIMIENTOS!$A$5:$A$1005&lt;&gt;"")*(MOVIMIENTOS!$A$5:$A$1005&lt;=$A836)*MOVIMIENTOS!$E$5:$E$1005)-SUMPRODUCT((MOVIMIENTOS!$B$5:$B$1005="VENTA CHANCHO")*(MOVIMIENTOS!$C$5:$C$1005="Chancho")*(MOVIMIENTOS!$D$5:$D$1005="sacos")*(MOVIMIENTOS!$A$5:$A$1005&lt;&gt;"")*(MOVIMIENTOS!$A$5:$A$1005&lt;=$A836)*MOVIMIENTOS!$E$5:$E$1005)-SUMPRODUCT((MOVIMIENTOS!$B$5:$B$1005="REGALO")*(MOVIMIENTOS!$C$5:$C$1005="Chancho")*(MOVIMIENTOS!$D$5:$D$1005="sacos")*(MOVIMIENTOS!$A$5:$A$1005&lt;&gt;"")*(MOVIMIENTOS!$A$5:$A$1005&lt;=$A836)*MOVIMIENTOS!$E$5:$E$1005)-SUMPRODUCT((MOVIMIENTOS!$B$5:$B$1005="VENTA")*(MOVIMIENTOS!$C$5:$C$1005="Chancho")*(MOVIMIENTOS!$D$5:$D$1005="sacos")*(MOVIMIENTOS!$A$5:$A$1005&lt;&gt;"")*(MOVIMIENTOS!$A$5:$A$1005&lt;=$A836)*MOVIMIENTOS!$E$5:$E$1005)+SUMPRODUCT((MOVIMIENTOS!$B$5:$B$1005="AJUSTE")*(MOVIMIENTOS!$C$5:$C$1005="Chancho")*(MOVIMIENTOS!$D$5:$D$1005="sacos")*(MOVIMIENTOS!$A$5:$A$1005&lt;&gt;"")*(MOVIMIENTOS!$A$5:$A$1005&lt;=$A836)*MOVIMIENTOS!$E$5:$E$1005))</f>
        <v/>
      </c>
      <c r="G836" s="62" t="str">
        <f t="shared" si="25"/>
        <v/>
      </c>
      <c r="H836" t="str">
        <f>IF($A836="","",SUMPRODUCT((((MOVIMIENTOS!$B$5:$B$1005="SALDO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836)*MOVIMIENTOS!$J$5:$J$1005))</f>
        <v/>
      </c>
      <c r="J836" t="str">
        <f>IF(AND(MOVIMIENTOS!$A841&lt;&gt;"",COUNTIF(MOVIMIENTOS!$A$5:$A840,MOVIMIENTOS!$A841)=0),COUNT(J$4:J835)+1,"")</f>
        <v/>
      </c>
      <c r="K836">
        <f>MOVIMIENTOS!$A841</f>
        <v>0</v>
      </c>
    </row>
    <row r="837" spans="1:11" ht="15" customHeight="1" x14ac:dyDescent="0.2">
      <c r="A837" t="str">
        <f t="shared" ref="A837:A900" si="26">IFERROR(INDEX(K$5:K$1000,MATCH(ROW()-4,J$5:J$1000,0)),"")</f>
        <v/>
      </c>
      <c r="B837" t="str">
        <f>IF($A837="","",SUMPRODUCT((MOVIMIENTOS!$B$5:$B$1005="SALDO INICIAL")*(MOVIMIENTOS!$C$5:$C$1005="A")*(MOVIMIENTOS!$D$5:$D$1005="jabas")*(MOVIMIENTOS!$A$5:$A$1005&lt;&gt;"")*(MOVIMIENTOS!$A$5:$A$1005&lt;=$A837)*MOVIMIENTOS!$E$5:$E$1005)+SUMPRODUCT((MOVIMIENTOS!$B$5:$B$1005="PROCESO")*(MOVIMIENTOS!$C$5:$C$1005="A")*(MOVIMIENTOS!$D$5:$D$1005="jabas")*(MOVIMIENTOS!$A$5:$A$1005&lt;&gt;"")*(MOVIMIENTOS!$A$5:$A$1005&lt;=$A837)*MOVIMIENTOS!$E$5:$E$1005)-SUMPRODUCT((MOVIMIENTOS!$B$5:$B$1005="ENVÍO A SUPESA")*(MOVIMIENTOS!$C$5:$C$1005="A")*(MOVIMIENTOS!$D$5:$D$1005="jabas")*(MOVIMIENTOS!$A$5:$A$1005&lt;&gt;"")*(MOVIMIENTOS!$A$5:$A$1005&lt;=$A837)*MOVIMIENTOS!$E$5:$E$1005)+SUMPRODUCT((MOVIMIENTOS!$B$5:$B$1005="DEVOLUCIÓN")*(MOVIMIENTOS!$C$5:$C$1005="A")*(MOVIMIENTOS!$D$5:$D$1005="jabas")*(MOVIMIENTOS!$A$5:$A$1005&lt;&gt;"")*(MOVIMIENTOS!$A$5:$A$1005&lt;=$A837)*MOVIMIENTOS!$E$5:$E$1005)-SUMPRODUCT((MOVIMIENTOS!$B$5:$B$1005="TRASIEGO")*(MOVIMIENTOS!$C$5:$C$1005="A")*(MOVIMIENTOS!$D$5:$D$1005="jabas")*(MOVIMIENTOS!$A$5:$A$1005&lt;&gt;"")*(MOVIMIENTOS!$A$5:$A$1005&lt;=$A837)*MOVIMIENTOS!$E$5:$E$1005)-SUMPRODUCT((MOVIMIENTOS!$B$5:$B$1005="REGALO")*(MOVIMIENTOS!$C$5:$C$1005="A")*(MOVIMIENTOS!$D$5:$D$1005="jabas")*(MOVIMIENTOS!$A$5:$A$1005&lt;&gt;"")*(MOVIMIENTOS!$A$5:$A$1005&lt;=$A837)*MOVIMIENTOS!$E$5:$E$1005)-SUMPRODUCT((MOVIMIENTOS!$B$5:$B$1005="VENTA")*(MOVIMIENTOS!$C$5:$C$1005="A")*(MOVIMIENTOS!$D$5:$D$1005="jabas")*(MOVIMIENTOS!$A$5:$A$1005&lt;&gt;"")*(MOVIMIENTOS!$A$5:$A$1005&lt;=$A837)*MOVIMIENTOS!$E$5:$E$1005)+SUMPRODUCT((MOVIMIENTOS!$B$5:$B$1005="AJUSTE")*(MOVIMIENTOS!$C$5:$C$1005="A")*(MOVIMIENTOS!$D$5:$D$1005="jabas")*(MOVIMIENTOS!$A$5:$A$1005&lt;&gt;"")*(MOVIMIENTOS!$A$5:$A$1005&lt;=$A837)*MOVIMIENTOS!$E$5:$E$1005))</f>
        <v/>
      </c>
      <c r="C837" t="str">
        <f>IF($A837="","",SUMPRODUCT((MOVIMIENTOS!$B$5:$B$1005="SALDO INICIAL")*(MOVIMIENTOS!$C$5:$C$1005="P")*(MOVIMIENTOS!$D$5:$D$1005="jabas")*(MOVIMIENTOS!$A$5:$A$1005&lt;&gt;"")*(MOVIMIENTOS!$A$5:$A$1005&lt;=$A837)*MOVIMIENTOS!$E$5:$E$1005)+SUMPRODUCT((MOVIMIENTOS!$B$5:$B$1005="PROCESO")*(MOVIMIENTOS!$C$5:$C$1005="P")*(MOVIMIENTOS!$D$5:$D$1005="jabas")*(MOVIMIENTOS!$A$5:$A$1005&lt;&gt;"")*(MOVIMIENTOS!$A$5:$A$1005&lt;=$A837)*MOVIMIENTOS!$E$5:$E$1005)-SUMPRODUCT((MOVIMIENTOS!$B$5:$B$1005="ENVÍO A SUPESA")*(MOVIMIENTOS!$C$5:$C$1005="P")*(MOVIMIENTOS!$D$5:$D$1005="jabas")*(MOVIMIENTOS!$A$5:$A$1005&lt;&gt;"")*(MOVIMIENTOS!$A$5:$A$1005&lt;=$A837)*MOVIMIENTOS!$E$5:$E$1005)+SUMPRODUCT((MOVIMIENTOS!$B$5:$B$1005="DEVOLUCIÓN")*(MOVIMIENTOS!$C$5:$C$1005="P")*(MOVIMIENTOS!$D$5:$D$1005="jabas")*(MOVIMIENTOS!$A$5:$A$1005&lt;&gt;"")*(MOVIMIENTOS!$A$5:$A$1005&lt;=$A837)*MOVIMIENTOS!$E$5:$E$1005)-SUMPRODUCT((MOVIMIENTOS!$B$5:$B$1005="TRASIEGO")*(MOVIMIENTOS!$C$5:$C$1005="P")*(MOVIMIENTOS!$D$5:$D$1005="jabas")*(MOVIMIENTOS!$A$5:$A$1005&lt;&gt;"")*(MOVIMIENTOS!$A$5:$A$1005&lt;=$A837)*MOVIMIENTOS!$E$5:$E$1005)-SUMPRODUCT((MOVIMIENTOS!$B$5:$B$1005="REGALO")*(MOVIMIENTOS!$C$5:$C$1005="P")*(MOVIMIENTOS!$D$5:$D$1005="jabas")*(MOVIMIENTOS!$A$5:$A$1005&lt;&gt;"")*(MOVIMIENTOS!$A$5:$A$1005&lt;=$A837)*MOVIMIENTOS!$E$5:$E$1005)-SUMPRODUCT((MOVIMIENTOS!$B$5:$B$1005="VENTA")*(MOVIMIENTOS!$C$5:$C$1005="P")*(MOVIMIENTOS!$D$5:$D$1005="jabas")*(MOVIMIENTOS!$A$5:$A$1005&lt;&gt;"")*(MOVIMIENTOS!$A$5:$A$1005&lt;=$A837)*MOVIMIENTOS!$E$5:$E$1005)+SUMPRODUCT((MOVIMIENTOS!$B$5:$B$1005="AJUSTE")*(MOVIMIENTOS!$C$5:$C$1005="P")*(MOVIMIENTOS!$D$5:$D$1005="jabas")*(MOVIMIENTOS!$A$5:$A$1005&lt;&gt;"")*(MOVIMIENTOS!$A$5:$A$1005&lt;=$A837)*MOVIMIENTOS!$E$5:$E$1005))</f>
        <v/>
      </c>
      <c r="D837" t="str">
        <f>IF($A837="","",SUMPRODUCT((MOVIMIENTOS!$B$5:$B$1005="SALDO INICIAL")*(MOVIMIENTOS!$C$5:$C$1005="C")*(MOVIMIENTOS!$D$5:$D$1005="jabas")*(MOVIMIENTOS!$A$5:$A$1005&lt;&gt;"")*(MOVIMIENTOS!$A$5:$A$1005&lt;=$A837)*MOVIMIENTOS!$E$5:$E$1005)+SUMPRODUCT((MOVIMIENTOS!$B$5:$B$1005="PROCESO")*(MOVIMIENTOS!$C$5:$C$1005="C")*(MOVIMIENTOS!$D$5:$D$1005="jabas")*(MOVIMIENTOS!$A$5:$A$1005&lt;&gt;"")*(MOVIMIENTOS!$A$5:$A$1005&lt;=$A837)*MOVIMIENTOS!$E$5:$E$1005)-SUMPRODUCT((MOVIMIENTOS!$B$5:$B$1005="ENVÍO A SUPESA")*(MOVIMIENTOS!$C$5:$C$1005="C")*(MOVIMIENTOS!$D$5:$D$1005="jabas")*(MOVIMIENTOS!$A$5:$A$1005&lt;&gt;"")*(MOVIMIENTOS!$A$5:$A$1005&lt;=$A837)*MOVIMIENTOS!$E$5:$E$1005)+SUMPRODUCT((MOVIMIENTOS!$B$5:$B$1005="DEVOLUCIÓN")*(MOVIMIENTOS!$C$5:$C$1005="C")*(MOVIMIENTOS!$D$5:$D$1005="jabas")*(MOVIMIENTOS!$A$5:$A$1005&lt;&gt;"")*(MOVIMIENTOS!$A$5:$A$1005&lt;=$A837)*MOVIMIENTOS!$E$5:$E$1005)-SUMPRODUCT((MOVIMIENTOS!$B$5:$B$1005="TRASIEGO")*(MOVIMIENTOS!$C$5:$C$1005="C")*(MOVIMIENTOS!$D$5:$D$1005="jabas")*(MOVIMIENTOS!$A$5:$A$1005&lt;&gt;"")*(MOVIMIENTOS!$A$5:$A$1005&lt;=$A837)*MOVIMIENTOS!$E$5:$E$1005)-SUMPRODUCT((MOVIMIENTOS!$B$5:$B$1005="REGALO")*(MOVIMIENTOS!$C$5:$C$1005="C")*(MOVIMIENTOS!$D$5:$D$1005="jabas")*(MOVIMIENTOS!$A$5:$A$1005&lt;&gt;"")*(MOVIMIENTOS!$A$5:$A$1005&lt;=$A837)*MOVIMIENTOS!$E$5:$E$1005)-SUMPRODUCT((MOVIMIENTOS!$B$5:$B$1005="VENTA")*(MOVIMIENTOS!$C$5:$C$1005="C")*(MOVIMIENTOS!$D$5:$D$1005="jabas")*(MOVIMIENTOS!$A$5:$A$1005&lt;&gt;"")*(MOVIMIENTOS!$A$5:$A$1005&lt;=$A837)*MOVIMIENTOS!$E$5:$E$1005)+SUMPRODUCT((MOVIMIENTOS!$B$5:$B$1005="AJUSTE")*(MOVIMIENTOS!$C$5:$C$1005="C")*(MOVIMIENTOS!$D$5:$D$1005="jabas")*(MOVIMIENTOS!$A$5:$A$1005&lt;&gt;"")*(MOVIMIENTOS!$A$5:$A$1005&lt;=$A837)*MOVIMIENTOS!$E$5:$E$1005))</f>
        <v/>
      </c>
      <c r="E837" t="str">
        <f>IF($A837="","",SUMPRODUCT((MOVIMIENTOS!$B$5:$B$1005="SALDO INICIAL")*(MOVIMIENTOS!$C$5:$C$1005="M")*(MOVIMIENTOS!$D$5:$D$1005="jabas")*(MOVIMIENTOS!$A$5:$A$1005&lt;&gt;"")*(MOVIMIENTOS!$A$5:$A$1005&lt;=$A837)*MOVIMIENTOS!$E$5:$E$1005)+SUMPRODUCT((MOVIMIENTOS!$B$5:$B$1005="PROCESO")*(MOVIMIENTOS!$C$5:$C$1005="M")*(MOVIMIENTOS!$D$5:$D$1005="jabas")*(MOVIMIENTOS!$A$5:$A$1005&lt;&gt;"")*(MOVIMIENTOS!$A$5:$A$1005&lt;=$A837)*MOVIMIENTOS!$E$5:$E$1005)-SUMPRODUCT((MOVIMIENTOS!$B$5:$B$1005="ENVÍO A SUPESA")*(MOVIMIENTOS!$C$5:$C$1005="M")*(MOVIMIENTOS!$D$5:$D$1005="jabas")*(MOVIMIENTOS!$A$5:$A$1005&lt;&gt;"")*(MOVIMIENTOS!$A$5:$A$1005&lt;=$A837)*MOVIMIENTOS!$E$5:$E$1005)+SUMPRODUCT((MOVIMIENTOS!$B$5:$B$1005="DEVOLUCIÓN")*(MOVIMIENTOS!$C$5:$C$1005="M")*(MOVIMIENTOS!$D$5:$D$1005="jabas")*(MOVIMIENTOS!$A$5:$A$1005&lt;&gt;"")*(MOVIMIENTOS!$A$5:$A$1005&lt;=$A837)*MOVIMIENTOS!$E$5:$E$1005)-SUMPRODUCT((MOVIMIENTOS!$B$5:$B$1005="TRASIEGO")*(MOVIMIENTOS!$C$5:$C$1005="M")*(MOVIMIENTOS!$D$5:$D$1005="jabas")*(MOVIMIENTOS!$A$5:$A$1005&lt;&gt;"")*(MOVIMIENTOS!$A$5:$A$1005&lt;=$A837)*MOVIMIENTOS!$E$5:$E$1005)-SUMPRODUCT((MOVIMIENTOS!$B$5:$B$1005="REGALO")*(MOVIMIENTOS!$C$5:$C$1005="M")*(MOVIMIENTOS!$D$5:$D$1005="jabas")*(MOVIMIENTOS!$A$5:$A$1005&lt;&gt;"")*(MOVIMIENTOS!$A$5:$A$1005&lt;=$A837)*MOVIMIENTOS!$E$5:$E$1005)-SUMPRODUCT((MOVIMIENTOS!$B$5:$B$1005="VENTA")*(MOVIMIENTOS!$C$5:$C$1005="M")*(MOVIMIENTOS!$D$5:$D$1005="jabas")*(MOVIMIENTOS!$A$5:$A$1005&lt;&gt;"")*(MOVIMIENTOS!$A$5:$A$1005&lt;=$A837)*MOVIMIENTOS!$E$5:$E$1005)+SUMPRODUCT((MOVIMIENTOS!$B$5:$B$1005="AJUSTE")*(MOVIMIENTOS!$C$5:$C$1005="M")*(MOVIMIENTOS!$D$5:$D$1005="jabas")*(MOVIMIENTOS!$A$5:$A$1005&lt;&gt;"")*(MOVIMIENTOS!$A$5:$A$1005&lt;=$A837)*MOVIMIENTOS!$E$5:$E$1005))</f>
        <v/>
      </c>
      <c r="F837" s="62" t="str">
        <f>IF($A837="","",SUMPRODUCT((MOVIMIENTOS!$B$5:$B$1005="SALDO INICIAL")*(MOVIMIENTOS!$C$5:$C$1005="Chancho")*(MOVIMIENTOS!$D$5:$D$1005="sacos")*(MOVIMIENTOS!$A$5:$A$1005&lt;&gt;"")*(MOVIMIENTOS!$A$5:$A$1005&lt;=$A837)*MOVIMIENTOS!$E$5:$E$1005)+SUMPRODUCT((MOVIMIENTOS!$B$5:$B$1005="PROCESO")*(MOVIMIENTOS!$C$5:$C$1005="Chancho")*(MOVIMIENTOS!$D$5:$D$1005="sacos")*(MOVIMIENTOS!$A$5:$A$1005&lt;&gt;"")*(MOVIMIENTOS!$A$5:$A$1005&lt;=$A837)*MOVIMIENTOS!$E$5:$E$1005)-SUMPRODUCT((MOVIMIENTOS!$B$5:$B$1005="VENTA CHANCHO")*(MOVIMIENTOS!$C$5:$C$1005="Chancho")*(MOVIMIENTOS!$D$5:$D$1005="sacos")*(MOVIMIENTOS!$A$5:$A$1005&lt;&gt;"")*(MOVIMIENTOS!$A$5:$A$1005&lt;=$A837)*MOVIMIENTOS!$E$5:$E$1005)-SUMPRODUCT((MOVIMIENTOS!$B$5:$B$1005="REGALO")*(MOVIMIENTOS!$C$5:$C$1005="Chancho")*(MOVIMIENTOS!$D$5:$D$1005="sacos")*(MOVIMIENTOS!$A$5:$A$1005&lt;&gt;"")*(MOVIMIENTOS!$A$5:$A$1005&lt;=$A837)*MOVIMIENTOS!$E$5:$E$1005)-SUMPRODUCT((MOVIMIENTOS!$B$5:$B$1005="VENTA")*(MOVIMIENTOS!$C$5:$C$1005="Chancho")*(MOVIMIENTOS!$D$5:$D$1005="sacos")*(MOVIMIENTOS!$A$5:$A$1005&lt;&gt;"")*(MOVIMIENTOS!$A$5:$A$1005&lt;=$A837)*MOVIMIENTOS!$E$5:$E$1005)+SUMPRODUCT((MOVIMIENTOS!$B$5:$B$1005="AJUSTE")*(MOVIMIENTOS!$C$5:$C$1005="Chancho")*(MOVIMIENTOS!$D$5:$D$1005="sacos")*(MOVIMIENTOS!$A$5:$A$1005&lt;&gt;"")*(MOVIMIENTOS!$A$5:$A$1005&lt;=$A837)*MOVIMIENTOS!$E$5:$E$1005))</f>
        <v/>
      </c>
      <c r="G837" s="62" t="str">
        <f t="shared" ref="G837:G900" si="27">IF($A837="","",SUM(B837:E837))</f>
        <v/>
      </c>
      <c r="H837" t="str">
        <f>IF($A837="","",SUMPRODUCT((((MOVIMIENTOS!$B$5:$B$1005="SALDO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837)*MOVIMIENTOS!$J$5:$J$1005))</f>
        <v/>
      </c>
      <c r="J837" t="str">
        <f>IF(AND(MOVIMIENTOS!$A842&lt;&gt;"",COUNTIF(MOVIMIENTOS!$A$5:$A841,MOVIMIENTOS!$A842)=0),COUNT(J$4:J836)+1,"")</f>
        <v/>
      </c>
      <c r="K837">
        <f>MOVIMIENTOS!$A842</f>
        <v>0</v>
      </c>
    </row>
    <row r="838" spans="1:11" ht="15" customHeight="1" x14ac:dyDescent="0.2">
      <c r="A838" t="str">
        <f t="shared" si="26"/>
        <v/>
      </c>
      <c r="B838" t="str">
        <f>IF($A838="","",SUMPRODUCT((MOVIMIENTOS!$B$5:$B$1005="SALDO INICIAL")*(MOVIMIENTOS!$C$5:$C$1005="A")*(MOVIMIENTOS!$D$5:$D$1005="jabas")*(MOVIMIENTOS!$A$5:$A$1005&lt;&gt;"")*(MOVIMIENTOS!$A$5:$A$1005&lt;=$A838)*MOVIMIENTOS!$E$5:$E$1005)+SUMPRODUCT((MOVIMIENTOS!$B$5:$B$1005="PROCESO")*(MOVIMIENTOS!$C$5:$C$1005="A")*(MOVIMIENTOS!$D$5:$D$1005="jabas")*(MOVIMIENTOS!$A$5:$A$1005&lt;&gt;"")*(MOVIMIENTOS!$A$5:$A$1005&lt;=$A838)*MOVIMIENTOS!$E$5:$E$1005)-SUMPRODUCT((MOVIMIENTOS!$B$5:$B$1005="ENVÍO A SUPESA")*(MOVIMIENTOS!$C$5:$C$1005="A")*(MOVIMIENTOS!$D$5:$D$1005="jabas")*(MOVIMIENTOS!$A$5:$A$1005&lt;&gt;"")*(MOVIMIENTOS!$A$5:$A$1005&lt;=$A838)*MOVIMIENTOS!$E$5:$E$1005)+SUMPRODUCT((MOVIMIENTOS!$B$5:$B$1005="DEVOLUCIÓN")*(MOVIMIENTOS!$C$5:$C$1005="A")*(MOVIMIENTOS!$D$5:$D$1005="jabas")*(MOVIMIENTOS!$A$5:$A$1005&lt;&gt;"")*(MOVIMIENTOS!$A$5:$A$1005&lt;=$A838)*MOVIMIENTOS!$E$5:$E$1005)-SUMPRODUCT((MOVIMIENTOS!$B$5:$B$1005="TRASIEGO")*(MOVIMIENTOS!$C$5:$C$1005="A")*(MOVIMIENTOS!$D$5:$D$1005="jabas")*(MOVIMIENTOS!$A$5:$A$1005&lt;&gt;"")*(MOVIMIENTOS!$A$5:$A$1005&lt;=$A838)*MOVIMIENTOS!$E$5:$E$1005)-SUMPRODUCT((MOVIMIENTOS!$B$5:$B$1005="REGALO")*(MOVIMIENTOS!$C$5:$C$1005="A")*(MOVIMIENTOS!$D$5:$D$1005="jabas")*(MOVIMIENTOS!$A$5:$A$1005&lt;&gt;"")*(MOVIMIENTOS!$A$5:$A$1005&lt;=$A838)*MOVIMIENTOS!$E$5:$E$1005)-SUMPRODUCT((MOVIMIENTOS!$B$5:$B$1005="VENTA")*(MOVIMIENTOS!$C$5:$C$1005="A")*(MOVIMIENTOS!$D$5:$D$1005="jabas")*(MOVIMIENTOS!$A$5:$A$1005&lt;&gt;"")*(MOVIMIENTOS!$A$5:$A$1005&lt;=$A838)*MOVIMIENTOS!$E$5:$E$1005)+SUMPRODUCT((MOVIMIENTOS!$B$5:$B$1005="AJUSTE")*(MOVIMIENTOS!$C$5:$C$1005="A")*(MOVIMIENTOS!$D$5:$D$1005="jabas")*(MOVIMIENTOS!$A$5:$A$1005&lt;&gt;"")*(MOVIMIENTOS!$A$5:$A$1005&lt;=$A838)*MOVIMIENTOS!$E$5:$E$1005))</f>
        <v/>
      </c>
      <c r="C838" t="str">
        <f>IF($A838="","",SUMPRODUCT((MOVIMIENTOS!$B$5:$B$1005="SALDO INICIAL")*(MOVIMIENTOS!$C$5:$C$1005="P")*(MOVIMIENTOS!$D$5:$D$1005="jabas")*(MOVIMIENTOS!$A$5:$A$1005&lt;&gt;"")*(MOVIMIENTOS!$A$5:$A$1005&lt;=$A838)*MOVIMIENTOS!$E$5:$E$1005)+SUMPRODUCT((MOVIMIENTOS!$B$5:$B$1005="PROCESO")*(MOVIMIENTOS!$C$5:$C$1005="P")*(MOVIMIENTOS!$D$5:$D$1005="jabas")*(MOVIMIENTOS!$A$5:$A$1005&lt;&gt;"")*(MOVIMIENTOS!$A$5:$A$1005&lt;=$A838)*MOVIMIENTOS!$E$5:$E$1005)-SUMPRODUCT((MOVIMIENTOS!$B$5:$B$1005="ENVÍO A SUPESA")*(MOVIMIENTOS!$C$5:$C$1005="P")*(MOVIMIENTOS!$D$5:$D$1005="jabas")*(MOVIMIENTOS!$A$5:$A$1005&lt;&gt;"")*(MOVIMIENTOS!$A$5:$A$1005&lt;=$A838)*MOVIMIENTOS!$E$5:$E$1005)+SUMPRODUCT((MOVIMIENTOS!$B$5:$B$1005="DEVOLUCIÓN")*(MOVIMIENTOS!$C$5:$C$1005="P")*(MOVIMIENTOS!$D$5:$D$1005="jabas")*(MOVIMIENTOS!$A$5:$A$1005&lt;&gt;"")*(MOVIMIENTOS!$A$5:$A$1005&lt;=$A838)*MOVIMIENTOS!$E$5:$E$1005)-SUMPRODUCT((MOVIMIENTOS!$B$5:$B$1005="TRASIEGO")*(MOVIMIENTOS!$C$5:$C$1005="P")*(MOVIMIENTOS!$D$5:$D$1005="jabas")*(MOVIMIENTOS!$A$5:$A$1005&lt;&gt;"")*(MOVIMIENTOS!$A$5:$A$1005&lt;=$A838)*MOVIMIENTOS!$E$5:$E$1005)-SUMPRODUCT((MOVIMIENTOS!$B$5:$B$1005="REGALO")*(MOVIMIENTOS!$C$5:$C$1005="P")*(MOVIMIENTOS!$D$5:$D$1005="jabas")*(MOVIMIENTOS!$A$5:$A$1005&lt;&gt;"")*(MOVIMIENTOS!$A$5:$A$1005&lt;=$A838)*MOVIMIENTOS!$E$5:$E$1005)-SUMPRODUCT((MOVIMIENTOS!$B$5:$B$1005="VENTA")*(MOVIMIENTOS!$C$5:$C$1005="P")*(MOVIMIENTOS!$D$5:$D$1005="jabas")*(MOVIMIENTOS!$A$5:$A$1005&lt;&gt;"")*(MOVIMIENTOS!$A$5:$A$1005&lt;=$A838)*MOVIMIENTOS!$E$5:$E$1005)+SUMPRODUCT((MOVIMIENTOS!$B$5:$B$1005="AJUSTE")*(MOVIMIENTOS!$C$5:$C$1005="P")*(MOVIMIENTOS!$D$5:$D$1005="jabas")*(MOVIMIENTOS!$A$5:$A$1005&lt;&gt;"")*(MOVIMIENTOS!$A$5:$A$1005&lt;=$A838)*MOVIMIENTOS!$E$5:$E$1005))</f>
        <v/>
      </c>
      <c r="D838" t="str">
        <f>IF($A838="","",SUMPRODUCT((MOVIMIENTOS!$B$5:$B$1005="SALDO INICIAL")*(MOVIMIENTOS!$C$5:$C$1005="C")*(MOVIMIENTOS!$D$5:$D$1005="jabas")*(MOVIMIENTOS!$A$5:$A$1005&lt;&gt;"")*(MOVIMIENTOS!$A$5:$A$1005&lt;=$A838)*MOVIMIENTOS!$E$5:$E$1005)+SUMPRODUCT((MOVIMIENTOS!$B$5:$B$1005="PROCESO")*(MOVIMIENTOS!$C$5:$C$1005="C")*(MOVIMIENTOS!$D$5:$D$1005="jabas")*(MOVIMIENTOS!$A$5:$A$1005&lt;&gt;"")*(MOVIMIENTOS!$A$5:$A$1005&lt;=$A838)*MOVIMIENTOS!$E$5:$E$1005)-SUMPRODUCT((MOVIMIENTOS!$B$5:$B$1005="ENVÍO A SUPESA")*(MOVIMIENTOS!$C$5:$C$1005="C")*(MOVIMIENTOS!$D$5:$D$1005="jabas")*(MOVIMIENTOS!$A$5:$A$1005&lt;&gt;"")*(MOVIMIENTOS!$A$5:$A$1005&lt;=$A838)*MOVIMIENTOS!$E$5:$E$1005)+SUMPRODUCT((MOVIMIENTOS!$B$5:$B$1005="DEVOLUCIÓN")*(MOVIMIENTOS!$C$5:$C$1005="C")*(MOVIMIENTOS!$D$5:$D$1005="jabas")*(MOVIMIENTOS!$A$5:$A$1005&lt;&gt;"")*(MOVIMIENTOS!$A$5:$A$1005&lt;=$A838)*MOVIMIENTOS!$E$5:$E$1005)-SUMPRODUCT((MOVIMIENTOS!$B$5:$B$1005="TRASIEGO")*(MOVIMIENTOS!$C$5:$C$1005="C")*(MOVIMIENTOS!$D$5:$D$1005="jabas")*(MOVIMIENTOS!$A$5:$A$1005&lt;&gt;"")*(MOVIMIENTOS!$A$5:$A$1005&lt;=$A838)*MOVIMIENTOS!$E$5:$E$1005)-SUMPRODUCT((MOVIMIENTOS!$B$5:$B$1005="REGALO")*(MOVIMIENTOS!$C$5:$C$1005="C")*(MOVIMIENTOS!$D$5:$D$1005="jabas")*(MOVIMIENTOS!$A$5:$A$1005&lt;&gt;"")*(MOVIMIENTOS!$A$5:$A$1005&lt;=$A838)*MOVIMIENTOS!$E$5:$E$1005)-SUMPRODUCT((MOVIMIENTOS!$B$5:$B$1005="VENTA")*(MOVIMIENTOS!$C$5:$C$1005="C")*(MOVIMIENTOS!$D$5:$D$1005="jabas")*(MOVIMIENTOS!$A$5:$A$1005&lt;&gt;"")*(MOVIMIENTOS!$A$5:$A$1005&lt;=$A838)*MOVIMIENTOS!$E$5:$E$1005)+SUMPRODUCT((MOVIMIENTOS!$B$5:$B$1005="AJUSTE")*(MOVIMIENTOS!$C$5:$C$1005="C")*(MOVIMIENTOS!$D$5:$D$1005="jabas")*(MOVIMIENTOS!$A$5:$A$1005&lt;&gt;"")*(MOVIMIENTOS!$A$5:$A$1005&lt;=$A838)*MOVIMIENTOS!$E$5:$E$1005))</f>
        <v/>
      </c>
      <c r="E838" t="str">
        <f>IF($A838="","",SUMPRODUCT((MOVIMIENTOS!$B$5:$B$1005="SALDO INICIAL")*(MOVIMIENTOS!$C$5:$C$1005="M")*(MOVIMIENTOS!$D$5:$D$1005="jabas")*(MOVIMIENTOS!$A$5:$A$1005&lt;&gt;"")*(MOVIMIENTOS!$A$5:$A$1005&lt;=$A838)*MOVIMIENTOS!$E$5:$E$1005)+SUMPRODUCT((MOVIMIENTOS!$B$5:$B$1005="PROCESO")*(MOVIMIENTOS!$C$5:$C$1005="M")*(MOVIMIENTOS!$D$5:$D$1005="jabas")*(MOVIMIENTOS!$A$5:$A$1005&lt;&gt;"")*(MOVIMIENTOS!$A$5:$A$1005&lt;=$A838)*MOVIMIENTOS!$E$5:$E$1005)-SUMPRODUCT((MOVIMIENTOS!$B$5:$B$1005="ENVÍO A SUPESA")*(MOVIMIENTOS!$C$5:$C$1005="M")*(MOVIMIENTOS!$D$5:$D$1005="jabas")*(MOVIMIENTOS!$A$5:$A$1005&lt;&gt;"")*(MOVIMIENTOS!$A$5:$A$1005&lt;=$A838)*MOVIMIENTOS!$E$5:$E$1005)+SUMPRODUCT((MOVIMIENTOS!$B$5:$B$1005="DEVOLUCIÓN")*(MOVIMIENTOS!$C$5:$C$1005="M")*(MOVIMIENTOS!$D$5:$D$1005="jabas")*(MOVIMIENTOS!$A$5:$A$1005&lt;&gt;"")*(MOVIMIENTOS!$A$5:$A$1005&lt;=$A838)*MOVIMIENTOS!$E$5:$E$1005)-SUMPRODUCT((MOVIMIENTOS!$B$5:$B$1005="TRASIEGO")*(MOVIMIENTOS!$C$5:$C$1005="M")*(MOVIMIENTOS!$D$5:$D$1005="jabas")*(MOVIMIENTOS!$A$5:$A$1005&lt;&gt;"")*(MOVIMIENTOS!$A$5:$A$1005&lt;=$A838)*MOVIMIENTOS!$E$5:$E$1005)-SUMPRODUCT((MOVIMIENTOS!$B$5:$B$1005="REGALO")*(MOVIMIENTOS!$C$5:$C$1005="M")*(MOVIMIENTOS!$D$5:$D$1005="jabas")*(MOVIMIENTOS!$A$5:$A$1005&lt;&gt;"")*(MOVIMIENTOS!$A$5:$A$1005&lt;=$A838)*MOVIMIENTOS!$E$5:$E$1005)-SUMPRODUCT((MOVIMIENTOS!$B$5:$B$1005="VENTA")*(MOVIMIENTOS!$C$5:$C$1005="M")*(MOVIMIENTOS!$D$5:$D$1005="jabas")*(MOVIMIENTOS!$A$5:$A$1005&lt;&gt;"")*(MOVIMIENTOS!$A$5:$A$1005&lt;=$A838)*MOVIMIENTOS!$E$5:$E$1005)+SUMPRODUCT((MOVIMIENTOS!$B$5:$B$1005="AJUSTE")*(MOVIMIENTOS!$C$5:$C$1005="M")*(MOVIMIENTOS!$D$5:$D$1005="jabas")*(MOVIMIENTOS!$A$5:$A$1005&lt;&gt;"")*(MOVIMIENTOS!$A$5:$A$1005&lt;=$A838)*MOVIMIENTOS!$E$5:$E$1005))</f>
        <v/>
      </c>
      <c r="F838" s="62" t="str">
        <f>IF($A838="","",SUMPRODUCT((MOVIMIENTOS!$B$5:$B$1005="SALDO INICIAL")*(MOVIMIENTOS!$C$5:$C$1005="Chancho")*(MOVIMIENTOS!$D$5:$D$1005="sacos")*(MOVIMIENTOS!$A$5:$A$1005&lt;&gt;"")*(MOVIMIENTOS!$A$5:$A$1005&lt;=$A838)*MOVIMIENTOS!$E$5:$E$1005)+SUMPRODUCT((MOVIMIENTOS!$B$5:$B$1005="PROCESO")*(MOVIMIENTOS!$C$5:$C$1005="Chancho")*(MOVIMIENTOS!$D$5:$D$1005="sacos")*(MOVIMIENTOS!$A$5:$A$1005&lt;&gt;"")*(MOVIMIENTOS!$A$5:$A$1005&lt;=$A838)*MOVIMIENTOS!$E$5:$E$1005)-SUMPRODUCT((MOVIMIENTOS!$B$5:$B$1005="VENTA CHANCHO")*(MOVIMIENTOS!$C$5:$C$1005="Chancho")*(MOVIMIENTOS!$D$5:$D$1005="sacos")*(MOVIMIENTOS!$A$5:$A$1005&lt;&gt;"")*(MOVIMIENTOS!$A$5:$A$1005&lt;=$A838)*MOVIMIENTOS!$E$5:$E$1005)-SUMPRODUCT((MOVIMIENTOS!$B$5:$B$1005="REGALO")*(MOVIMIENTOS!$C$5:$C$1005="Chancho")*(MOVIMIENTOS!$D$5:$D$1005="sacos")*(MOVIMIENTOS!$A$5:$A$1005&lt;&gt;"")*(MOVIMIENTOS!$A$5:$A$1005&lt;=$A838)*MOVIMIENTOS!$E$5:$E$1005)-SUMPRODUCT((MOVIMIENTOS!$B$5:$B$1005="VENTA")*(MOVIMIENTOS!$C$5:$C$1005="Chancho")*(MOVIMIENTOS!$D$5:$D$1005="sacos")*(MOVIMIENTOS!$A$5:$A$1005&lt;&gt;"")*(MOVIMIENTOS!$A$5:$A$1005&lt;=$A838)*MOVIMIENTOS!$E$5:$E$1005)+SUMPRODUCT((MOVIMIENTOS!$B$5:$B$1005="AJUSTE")*(MOVIMIENTOS!$C$5:$C$1005="Chancho")*(MOVIMIENTOS!$D$5:$D$1005="sacos")*(MOVIMIENTOS!$A$5:$A$1005&lt;&gt;"")*(MOVIMIENTOS!$A$5:$A$1005&lt;=$A838)*MOVIMIENTOS!$E$5:$E$1005))</f>
        <v/>
      </c>
      <c r="G838" s="62" t="str">
        <f t="shared" si="27"/>
        <v/>
      </c>
      <c r="H838" t="str">
        <f>IF($A838="","",SUMPRODUCT((((MOVIMIENTOS!$B$5:$B$1005="SALDO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838)*MOVIMIENTOS!$J$5:$J$1005))</f>
        <v/>
      </c>
      <c r="J838" t="str">
        <f>IF(AND(MOVIMIENTOS!$A843&lt;&gt;"",COUNTIF(MOVIMIENTOS!$A$5:$A842,MOVIMIENTOS!$A843)=0),COUNT(J$4:J837)+1,"")</f>
        <v/>
      </c>
      <c r="K838">
        <f>MOVIMIENTOS!$A843</f>
        <v>0</v>
      </c>
    </row>
    <row r="839" spans="1:11" ht="15" customHeight="1" x14ac:dyDescent="0.2">
      <c r="A839" t="str">
        <f t="shared" si="26"/>
        <v/>
      </c>
      <c r="B839" t="str">
        <f>IF($A839="","",SUMPRODUCT((MOVIMIENTOS!$B$5:$B$1005="SALDO INICIAL")*(MOVIMIENTOS!$C$5:$C$1005="A")*(MOVIMIENTOS!$D$5:$D$1005="jabas")*(MOVIMIENTOS!$A$5:$A$1005&lt;&gt;"")*(MOVIMIENTOS!$A$5:$A$1005&lt;=$A839)*MOVIMIENTOS!$E$5:$E$1005)+SUMPRODUCT((MOVIMIENTOS!$B$5:$B$1005="PROCESO")*(MOVIMIENTOS!$C$5:$C$1005="A")*(MOVIMIENTOS!$D$5:$D$1005="jabas")*(MOVIMIENTOS!$A$5:$A$1005&lt;&gt;"")*(MOVIMIENTOS!$A$5:$A$1005&lt;=$A839)*MOVIMIENTOS!$E$5:$E$1005)-SUMPRODUCT((MOVIMIENTOS!$B$5:$B$1005="ENVÍO A SUPESA")*(MOVIMIENTOS!$C$5:$C$1005="A")*(MOVIMIENTOS!$D$5:$D$1005="jabas")*(MOVIMIENTOS!$A$5:$A$1005&lt;&gt;"")*(MOVIMIENTOS!$A$5:$A$1005&lt;=$A839)*MOVIMIENTOS!$E$5:$E$1005)+SUMPRODUCT((MOVIMIENTOS!$B$5:$B$1005="DEVOLUCIÓN")*(MOVIMIENTOS!$C$5:$C$1005="A")*(MOVIMIENTOS!$D$5:$D$1005="jabas")*(MOVIMIENTOS!$A$5:$A$1005&lt;&gt;"")*(MOVIMIENTOS!$A$5:$A$1005&lt;=$A839)*MOVIMIENTOS!$E$5:$E$1005)-SUMPRODUCT((MOVIMIENTOS!$B$5:$B$1005="TRASIEGO")*(MOVIMIENTOS!$C$5:$C$1005="A")*(MOVIMIENTOS!$D$5:$D$1005="jabas")*(MOVIMIENTOS!$A$5:$A$1005&lt;&gt;"")*(MOVIMIENTOS!$A$5:$A$1005&lt;=$A839)*MOVIMIENTOS!$E$5:$E$1005)-SUMPRODUCT((MOVIMIENTOS!$B$5:$B$1005="REGALO")*(MOVIMIENTOS!$C$5:$C$1005="A")*(MOVIMIENTOS!$D$5:$D$1005="jabas")*(MOVIMIENTOS!$A$5:$A$1005&lt;&gt;"")*(MOVIMIENTOS!$A$5:$A$1005&lt;=$A839)*MOVIMIENTOS!$E$5:$E$1005)-SUMPRODUCT((MOVIMIENTOS!$B$5:$B$1005="VENTA")*(MOVIMIENTOS!$C$5:$C$1005="A")*(MOVIMIENTOS!$D$5:$D$1005="jabas")*(MOVIMIENTOS!$A$5:$A$1005&lt;&gt;"")*(MOVIMIENTOS!$A$5:$A$1005&lt;=$A839)*MOVIMIENTOS!$E$5:$E$1005)+SUMPRODUCT((MOVIMIENTOS!$B$5:$B$1005="AJUSTE")*(MOVIMIENTOS!$C$5:$C$1005="A")*(MOVIMIENTOS!$D$5:$D$1005="jabas")*(MOVIMIENTOS!$A$5:$A$1005&lt;&gt;"")*(MOVIMIENTOS!$A$5:$A$1005&lt;=$A839)*MOVIMIENTOS!$E$5:$E$1005))</f>
        <v/>
      </c>
      <c r="C839" t="str">
        <f>IF($A839="","",SUMPRODUCT((MOVIMIENTOS!$B$5:$B$1005="SALDO INICIAL")*(MOVIMIENTOS!$C$5:$C$1005="P")*(MOVIMIENTOS!$D$5:$D$1005="jabas")*(MOVIMIENTOS!$A$5:$A$1005&lt;&gt;"")*(MOVIMIENTOS!$A$5:$A$1005&lt;=$A839)*MOVIMIENTOS!$E$5:$E$1005)+SUMPRODUCT((MOVIMIENTOS!$B$5:$B$1005="PROCESO")*(MOVIMIENTOS!$C$5:$C$1005="P")*(MOVIMIENTOS!$D$5:$D$1005="jabas")*(MOVIMIENTOS!$A$5:$A$1005&lt;&gt;"")*(MOVIMIENTOS!$A$5:$A$1005&lt;=$A839)*MOVIMIENTOS!$E$5:$E$1005)-SUMPRODUCT((MOVIMIENTOS!$B$5:$B$1005="ENVÍO A SUPESA")*(MOVIMIENTOS!$C$5:$C$1005="P")*(MOVIMIENTOS!$D$5:$D$1005="jabas")*(MOVIMIENTOS!$A$5:$A$1005&lt;&gt;"")*(MOVIMIENTOS!$A$5:$A$1005&lt;=$A839)*MOVIMIENTOS!$E$5:$E$1005)+SUMPRODUCT((MOVIMIENTOS!$B$5:$B$1005="DEVOLUCIÓN")*(MOVIMIENTOS!$C$5:$C$1005="P")*(MOVIMIENTOS!$D$5:$D$1005="jabas")*(MOVIMIENTOS!$A$5:$A$1005&lt;&gt;"")*(MOVIMIENTOS!$A$5:$A$1005&lt;=$A839)*MOVIMIENTOS!$E$5:$E$1005)-SUMPRODUCT((MOVIMIENTOS!$B$5:$B$1005="TRASIEGO")*(MOVIMIENTOS!$C$5:$C$1005="P")*(MOVIMIENTOS!$D$5:$D$1005="jabas")*(MOVIMIENTOS!$A$5:$A$1005&lt;&gt;"")*(MOVIMIENTOS!$A$5:$A$1005&lt;=$A839)*MOVIMIENTOS!$E$5:$E$1005)-SUMPRODUCT((MOVIMIENTOS!$B$5:$B$1005="REGALO")*(MOVIMIENTOS!$C$5:$C$1005="P")*(MOVIMIENTOS!$D$5:$D$1005="jabas")*(MOVIMIENTOS!$A$5:$A$1005&lt;&gt;"")*(MOVIMIENTOS!$A$5:$A$1005&lt;=$A839)*MOVIMIENTOS!$E$5:$E$1005)-SUMPRODUCT((MOVIMIENTOS!$B$5:$B$1005="VENTA")*(MOVIMIENTOS!$C$5:$C$1005="P")*(MOVIMIENTOS!$D$5:$D$1005="jabas")*(MOVIMIENTOS!$A$5:$A$1005&lt;&gt;"")*(MOVIMIENTOS!$A$5:$A$1005&lt;=$A839)*MOVIMIENTOS!$E$5:$E$1005)+SUMPRODUCT((MOVIMIENTOS!$B$5:$B$1005="AJUSTE")*(MOVIMIENTOS!$C$5:$C$1005="P")*(MOVIMIENTOS!$D$5:$D$1005="jabas")*(MOVIMIENTOS!$A$5:$A$1005&lt;&gt;"")*(MOVIMIENTOS!$A$5:$A$1005&lt;=$A839)*MOVIMIENTOS!$E$5:$E$1005))</f>
        <v/>
      </c>
      <c r="D839" t="str">
        <f>IF($A839="","",SUMPRODUCT((MOVIMIENTOS!$B$5:$B$1005="SALDO INICIAL")*(MOVIMIENTOS!$C$5:$C$1005="C")*(MOVIMIENTOS!$D$5:$D$1005="jabas")*(MOVIMIENTOS!$A$5:$A$1005&lt;&gt;"")*(MOVIMIENTOS!$A$5:$A$1005&lt;=$A839)*MOVIMIENTOS!$E$5:$E$1005)+SUMPRODUCT((MOVIMIENTOS!$B$5:$B$1005="PROCESO")*(MOVIMIENTOS!$C$5:$C$1005="C")*(MOVIMIENTOS!$D$5:$D$1005="jabas")*(MOVIMIENTOS!$A$5:$A$1005&lt;&gt;"")*(MOVIMIENTOS!$A$5:$A$1005&lt;=$A839)*MOVIMIENTOS!$E$5:$E$1005)-SUMPRODUCT((MOVIMIENTOS!$B$5:$B$1005="ENVÍO A SUPESA")*(MOVIMIENTOS!$C$5:$C$1005="C")*(MOVIMIENTOS!$D$5:$D$1005="jabas")*(MOVIMIENTOS!$A$5:$A$1005&lt;&gt;"")*(MOVIMIENTOS!$A$5:$A$1005&lt;=$A839)*MOVIMIENTOS!$E$5:$E$1005)+SUMPRODUCT((MOVIMIENTOS!$B$5:$B$1005="DEVOLUCIÓN")*(MOVIMIENTOS!$C$5:$C$1005="C")*(MOVIMIENTOS!$D$5:$D$1005="jabas")*(MOVIMIENTOS!$A$5:$A$1005&lt;&gt;"")*(MOVIMIENTOS!$A$5:$A$1005&lt;=$A839)*MOVIMIENTOS!$E$5:$E$1005)-SUMPRODUCT((MOVIMIENTOS!$B$5:$B$1005="TRASIEGO")*(MOVIMIENTOS!$C$5:$C$1005="C")*(MOVIMIENTOS!$D$5:$D$1005="jabas")*(MOVIMIENTOS!$A$5:$A$1005&lt;&gt;"")*(MOVIMIENTOS!$A$5:$A$1005&lt;=$A839)*MOVIMIENTOS!$E$5:$E$1005)-SUMPRODUCT((MOVIMIENTOS!$B$5:$B$1005="REGALO")*(MOVIMIENTOS!$C$5:$C$1005="C")*(MOVIMIENTOS!$D$5:$D$1005="jabas")*(MOVIMIENTOS!$A$5:$A$1005&lt;&gt;"")*(MOVIMIENTOS!$A$5:$A$1005&lt;=$A839)*MOVIMIENTOS!$E$5:$E$1005)-SUMPRODUCT((MOVIMIENTOS!$B$5:$B$1005="VENTA")*(MOVIMIENTOS!$C$5:$C$1005="C")*(MOVIMIENTOS!$D$5:$D$1005="jabas")*(MOVIMIENTOS!$A$5:$A$1005&lt;&gt;"")*(MOVIMIENTOS!$A$5:$A$1005&lt;=$A839)*MOVIMIENTOS!$E$5:$E$1005)+SUMPRODUCT((MOVIMIENTOS!$B$5:$B$1005="AJUSTE")*(MOVIMIENTOS!$C$5:$C$1005="C")*(MOVIMIENTOS!$D$5:$D$1005="jabas")*(MOVIMIENTOS!$A$5:$A$1005&lt;&gt;"")*(MOVIMIENTOS!$A$5:$A$1005&lt;=$A839)*MOVIMIENTOS!$E$5:$E$1005))</f>
        <v/>
      </c>
      <c r="E839" t="str">
        <f>IF($A839="","",SUMPRODUCT((MOVIMIENTOS!$B$5:$B$1005="SALDO INICIAL")*(MOVIMIENTOS!$C$5:$C$1005="M")*(MOVIMIENTOS!$D$5:$D$1005="jabas")*(MOVIMIENTOS!$A$5:$A$1005&lt;&gt;"")*(MOVIMIENTOS!$A$5:$A$1005&lt;=$A839)*MOVIMIENTOS!$E$5:$E$1005)+SUMPRODUCT((MOVIMIENTOS!$B$5:$B$1005="PROCESO")*(MOVIMIENTOS!$C$5:$C$1005="M")*(MOVIMIENTOS!$D$5:$D$1005="jabas")*(MOVIMIENTOS!$A$5:$A$1005&lt;&gt;"")*(MOVIMIENTOS!$A$5:$A$1005&lt;=$A839)*MOVIMIENTOS!$E$5:$E$1005)-SUMPRODUCT((MOVIMIENTOS!$B$5:$B$1005="ENVÍO A SUPESA")*(MOVIMIENTOS!$C$5:$C$1005="M")*(MOVIMIENTOS!$D$5:$D$1005="jabas")*(MOVIMIENTOS!$A$5:$A$1005&lt;&gt;"")*(MOVIMIENTOS!$A$5:$A$1005&lt;=$A839)*MOVIMIENTOS!$E$5:$E$1005)+SUMPRODUCT((MOVIMIENTOS!$B$5:$B$1005="DEVOLUCIÓN")*(MOVIMIENTOS!$C$5:$C$1005="M")*(MOVIMIENTOS!$D$5:$D$1005="jabas")*(MOVIMIENTOS!$A$5:$A$1005&lt;&gt;"")*(MOVIMIENTOS!$A$5:$A$1005&lt;=$A839)*MOVIMIENTOS!$E$5:$E$1005)-SUMPRODUCT((MOVIMIENTOS!$B$5:$B$1005="TRASIEGO")*(MOVIMIENTOS!$C$5:$C$1005="M")*(MOVIMIENTOS!$D$5:$D$1005="jabas")*(MOVIMIENTOS!$A$5:$A$1005&lt;&gt;"")*(MOVIMIENTOS!$A$5:$A$1005&lt;=$A839)*MOVIMIENTOS!$E$5:$E$1005)-SUMPRODUCT((MOVIMIENTOS!$B$5:$B$1005="REGALO")*(MOVIMIENTOS!$C$5:$C$1005="M")*(MOVIMIENTOS!$D$5:$D$1005="jabas")*(MOVIMIENTOS!$A$5:$A$1005&lt;&gt;"")*(MOVIMIENTOS!$A$5:$A$1005&lt;=$A839)*MOVIMIENTOS!$E$5:$E$1005)-SUMPRODUCT((MOVIMIENTOS!$B$5:$B$1005="VENTA")*(MOVIMIENTOS!$C$5:$C$1005="M")*(MOVIMIENTOS!$D$5:$D$1005="jabas")*(MOVIMIENTOS!$A$5:$A$1005&lt;&gt;"")*(MOVIMIENTOS!$A$5:$A$1005&lt;=$A839)*MOVIMIENTOS!$E$5:$E$1005)+SUMPRODUCT((MOVIMIENTOS!$B$5:$B$1005="AJUSTE")*(MOVIMIENTOS!$C$5:$C$1005="M")*(MOVIMIENTOS!$D$5:$D$1005="jabas")*(MOVIMIENTOS!$A$5:$A$1005&lt;&gt;"")*(MOVIMIENTOS!$A$5:$A$1005&lt;=$A839)*MOVIMIENTOS!$E$5:$E$1005))</f>
        <v/>
      </c>
      <c r="F839" s="62" t="str">
        <f>IF($A839="","",SUMPRODUCT((MOVIMIENTOS!$B$5:$B$1005="SALDO INICIAL")*(MOVIMIENTOS!$C$5:$C$1005="Chancho")*(MOVIMIENTOS!$D$5:$D$1005="sacos")*(MOVIMIENTOS!$A$5:$A$1005&lt;&gt;"")*(MOVIMIENTOS!$A$5:$A$1005&lt;=$A839)*MOVIMIENTOS!$E$5:$E$1005)+SUMPRODUCT((MOVIMIENTOS!$B$5:$B$1005="PROCESO")*(MOVIMIENTOS!$C$5:$C$1005="Chancho")*(MOVIMIENTOS!$D$5:$D$1005="sacos")*(MOVIMIENTOS!$A$5:$A$1005&lt;&gt;"")*(MOVIMIENTOS!$A$5:$A$1005&lt;=$A839)*MOVIMIENTOS!$E$5:$E$1005)-SUMPRODUCT((MOVIMIENTOS!$B$5:$B$1005="VENTA CHANCHO")*(MOVIMIENTOS!$C$5:$C$1005="Chancho")*(MOVIMIENTOS!$D$5:$D$1005="sacos")*(MOVIMIENTOS!$A$5:$A$1005&lt;&gt;"")*(MOVIMIENTOS!$A$5:$A$1005&lt;=$A839)*MOVIMIENTOS!$E$5:$E$1005)-SUMPRODUCT((MOVIMIENTOS!$B$5:$B$1005="REGALO")*(MOVIMIENTOS!$C$5:$C$1005="Chancho")*(MOVIMIENTOS!$D$5:$D$1005="sacos")*(MOVIMIENTOS!$A$5:$A$1005&lt;&gt;"")*(MOVIMIENTOS!$A$5:$A$1005&lt;=$A839)*MOVIMIENTOS!$E$5:$E$1005)-SUMPRODUCT((MOVIMIENTOS!$B$5:$B$1005="VENTA")*(MOVIMIENTOS!$C$5:$C$1005="Chancho")*(MOVIMIENTOS!$D$5:$D$1005="sacos")*(MOVIMIENTOS!$A$5:$A$1005&lt;&gt;"")*(MOVIMIENTOS!$A$5:$A$1005&lt;=$A839)*MOVIMIENTOS!$E$5:$E$1005)+SUMPRODUCT((MOVIMIENTOS!$B$5:$B$1005="AJUSTE")*(MOVIMIENTOS!$C$5:$C$1005="Chancho")*(MOVIMIENTOS!$D$5:$D$1005="sacos")*(MOVIMIENTOS!$A$5:$A$1005&lt;&gt;"")*(MOVIMIENTOS!$A$5:$A$1005&lt;=$A839)*MOVIMIENTOS!$E$5:$E$1005))</f>
        <v/>
      </c>
      <c r="G839" s="62" t="str">
        <f t="shared" si="27"/>
        <v/>
      </c>
      <c r="H839" t="str">
        <f>IF($A839="","",SUMPRODUCT((((MOVIMIENTOS!$B$5:$B$1005="SALDO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839)*MOVIMIENTOS!$J$5:$J$1005))</f>
        <v/>
      </c>
      <c r="J839" t="str">
        <f>IF(AND(MOVIMIENTOS!$A844&lt;&gt;"",COUNTIF(MOVIMIENTOS!$A$5:$A843,MOVIMIENTOS!$A844)=0),COUNT(J$4:J838)+1,"")</f>
        <v/>
      </c>
      <c r="K839">
        <f>MOVIMIENTOS!$A844</f>
        <v>0</v>
      </c>
    </row>
    <row r="840" spans="1:11" ht="15" customHeight="1" x14ac:dyDescent="0.2">
      <c r="A840" t="str">
        <f t="shared" si="26"/>
        <v/>
      </c>
      <c r="B840" t="str">
        <f>IF($A840="","",SUMPRODUCT((MOVIMIENTOS!$B$5:$B$1005="SALDO INICIAL")*(MOVIMIENTOS!$C$5:$C$1005="A")*(MOVIMIENTOS!$D$5:$D$1005="jabas")*(MOVIMIENTOS!$A$5:$A$1005&lt;&gt;"")*(MOVIMIENTOS!$A$5:$A$1005&lt;=$A840)*MOVIMIENTOS!$E$5:$E$1005)+SUMPRODUCT((MOVIMIENTOS!$B$5:$B$1005="PROCESO")*(MOVIMIENTOS!$C$5:$C$1005="A")*(MOVIMIENTOS!$D$5:$D$1005="jabas")*(MOVIMIENTOS!$A$5:$A$1005&lt;&gt;"")*(MOVIMIENTOS!$A$5:$A$1005&lt;=$A840)*MOVIMIENTOS!$E$5:$E$1005)-SUMPRODUCT((MOVIMIENTOS!$B$5:$B$1005="ENVÍO A SUPESA")*(MOVIMIENTOS!$C$5:$C$1005="A")*(MOVIMIENTOS!$D$5:$D$1005="jabas")*(MOVIMIENTOS!$A$5:$A$1005&lt;&gt;"")*(MOVIMIENTOS!$A$5:$A$1005&lt;=$A840)*MOVIMIENTOS!$E$5:$E$1005)+SUMPRODUCT((MOVIMIENTOS!$B$5:$B$1005="DEVOLUCIÓN")*(MOVIMIENTOS!$C$5:$C$1005="A")*(MOVIMIENTOS!$D$5:$D$1005="jabas")*(MOVIMIENTOS!$A$5:$A$1005&lt;&gt;"")*(MOVIMIENTOS!$A$5:$A$1005&lt;=$A840)*MOVIMIENTOS!$E$5:$E$1005)-SUMPRODUCT((MOVIMIENTOS!$B$5:$B$1005="TRASIEGO")*(MOVIMIENTOS!$C$5:$C$1005="A")*(MOVIMIENTOS!$D$5:$D$1005="jabas")*(MOVIMIENTOS!$A$5:$A$1005&lt;&gt;"")*(MOVIMIENTOS!$A$5:$A$1005&lt;=$A840)*MOVIMIENTOS!$E$5:$E$1005)-SUMPRODUCT((MOVIMIENTOS!$B$5:$B$1005="REGALO")*(MOVIMIENTOS!$C$5:$C$1005="A")*(MOVIMIENTOS!$D$5:$D$1005="jabas")*(MOVIMIENTOS!$A$5:$A$1005&lt;&gt;"")*(MOVIMIENTOS!$A$5:$A$1005&lt;=$A840)*MOVIMIENTOS!$E$5:$E$1005)-SUMPRODUCT((MOVIMIENTOS!$B$5:$B$1005="VENTA")*(MOVIMIENTOS!$C$5:$C$1005="A")*(MOVIMIENTOS!$D$5:$D$1005="jabas")*(MOVIMIENTOS!$A$5:$A$1005&lt;&gt;"")*(MOVIMIENTOS!$A$5:$A$1005&lt;=$A840)*MOVIMIENTOS!$E$5:$E$1005)+SUMPRODUCT((MOVIMIENTOS!$B$5:$B$1005="AJUSTE")*(MOVIMIENTOS!$C$5:$C$1005="A")*(MOVIMIENTOS!$D$5:$D$1005="jabas")*(MOVIMIENTOS!$A$5:$A$1005&lt;&gt;"")*(MOVIMIENTOS!$A$5:$A$1005&lt;=$A840)*MOVIMIENTOS!$E$5:$E$1005))</f>
        <v/>
      </c>
      <c r="C840" t="str">
        <f>IF($A840="","",SUMPRODUCT((MOVIMIENTOS!$B$5:$B$1005="SALDO INICIAL")*(MOVIMIENTOS!$C$5:$C$1005="P")*(MOVIMIENTOS!$D$5:$D$1005="jabas")*(MOVIMIENTOS!$A$5:$A$1005&lt;&gt;"")*(MOVIMIENTOS!$A$5:$A$1005&lt;=$A840)*MOVIMIENTOS!$E$5:$E$1005)+SUMPRODUCT((MOVIMIENTOS!$B$5:$B$1005="PROCESO")*(MOVIMIENTOS!$C$5:$C$1005="P")*(MOVIMIENTOS!$D$5:$D$1005="jabas")*(MOVIMIENTOS!$A$5:$A$1005&lt;&gt;"")*(MOVIMIENTOS!$A$5:$A$1005&lt;=$A840)*MOVIMIENTOS!$E$5:$E$1005)-SUMPRODUCT((MOVIMIENTOS!$B$5:$B$1005="ENVÍO A SUPESA")*(MOVIMIENTOS!$C$5:$C$1005="P")*(MOVIMIENTOS!$D$5:$D$1005="jabas")*(MOVIMIENTOS!$A$5:$A$1005&lt;&gt;"")*(MOVIMIENTOS!$A$5:$A$1005&lt;=$A840)*MOVIMIENTOS!$E$5:$E$1005)+SUMPRODUCT((MOVIMIENTOS!$B$5:$B$1005="DEVOLUCIÓN")*(MOVIMIENTOS!$C$5:$C$1005="P")*(MOVIMIENTOS!$D$5:$D$1005="jabas")*(MOVIMIENTOS!$A$5:$A$1005&lt;&gt;"")*(MOVIMIENTOS!$A$5:$A$1005&lt;=$A840)*MOVIMIENTOS!$E$5:$E$1005)-SUMPRODUCT((MOVIMIENTOS!$B$5:$B$1005="TRASIEGO")*(MOVIMIENTOS!$C$5:$C$1005="P")*(MOVIMIENTOS!$D$5:$D$1005="jabas")*(MOVIMIENTOS!$A$5:$A$1005&lt;&gt;"")*(MOVIMIENTOS!$A$5:$A$1005&lt;=$A840)*MOVIMIENTOS!$E$5:$E$1005)-SUMPRODUCT((MOVIMIENTOS!$B$5:$B$1005="REGALO")*(MOVIMIENTOS!$C$5:$C$1005="P")*(MOVIMIENTOS!$D$5:$D$1005="jabas")*(MOVIMIENTOS!$A$5:$A$1005&lt;&gt;"")*(MOVIMIENTOS!$A$5:$A$1005&lt;=$A840)*MOVIMIENTOS!$E$5:$E$1005)-SUMPRODUCT((MOVIMIENTOS!$B$5:$B$1005="VENTA")*(MOVIMIENTOS!$C$5:$C$1005="P")*(MOVIMIENTOS!$D$5:$D$1005="jabas")*(MOVIMIENTOS!$A$5:$A$1005&lt;&gt;"")*(MOVIMIENTOS!$A$5:$A$1005&lt;=$A840)*MOVIMIENTOS!$E$5:$E$1005)+SUMPRODUCT((MOVIMIENTOS!$B$5:$B$1005="AJUSTE")*(MOVIMIENTOS!$C$5:$C$1005="P")*(MOVIMIENTOS!$D$5:$D$1005="jabas")*(MOVIMIENTOS!$A$5:$A$1005&lt;&gt;"")*(MOVIMIENTOS!$A$5:$A$1005&lt;=$A840)*MOVIMIENTOS!$E$5:$E$1005))</f>
        <v/>
      </c>
      <c r="D840" t="str">
        <f>IF($A840="","",SUMPRODUCT((MOVIMIENTOS!$B$5:$B$1005="SALDO INICIAL")*(MOVIMIENTOS!$C$5:$C$1005="C")*(MOVIMIENTOS!$D$5:$D$1005="jabas")*(MOVIMIENTOS!$A$5:$A$1005&lt;&gt;"")*(MOVIMIENTOS!$A$5:$A$1005&lt;=$A840)*MOVIMIENTOS!$E$5:$E$1005)+SUMPRODUCT((MOVIMIENTOS!$B$5:$B$1005="PROCESO")*(MOVIMIENTOS!$C$5:$C$1005="C")*(MOVIMIENTOS!$D$5:$D$1005="jabas")*(MOVIMIENTOS!$A$5:$A$1005&lt;&gt;"")*(MOVIMIENTOS!$A$5:$A$1005&lt;=$A840)*MOVIMIENTOS!$E$5:$E$1005)-SUMPRODUCT((MOVIMIENTOS!$B$5:$B$1005="ENVÍO A SUPESA")*(MOVIMIENTOS!$C$5:$C$1005="C")*(MOVIMIENTOS!$D$5:$D$1005="jabas")*(MOVIMIENTOS!$A$5:$A$1005&lt;&gt;"")*(MOVIMIENTOS!$A$5:$A$1005&lt;=$A840)*MOVIMIENTOS!$E$5:$E$1005)+SUMPRODUCT((MOVIMIENTOS!$B$5:$B$1005="DEVOLUCIÓN")*(MOVIMIENTOS!$C$5:$C$1005="C")*(MOVIMIENTOS!$D$5:$D$1005="jabas")*(MOVIMIENTOS!$A$5:$A$1005&lt;&gt;"")*(MOVIMIENTOS!$A$5:$A$1005&lt;=$A840)*MOVIMIENTOS!$E$5:$E$1005)-SUMPRODUCT((MOVIMIENTOS!$B$5:$B$1005="TRASIEGO")*(MOVIMIENTOS!$C$5:$C$1005="C")*(MOVIMIENTOS!$D$5:$D$1005="jabas")*(MOVIMIENTOS!$A$5:$A$1005&lt;&gt;"")*(MOVIMIENTOS!$A$5:$A$1005&lt;=$A840)*MOVIMIENTOS!$E$5:$E$1005)-SUMPRODUCT((MOVIMIENTOS!$B$5:$B$1005="REGALO")*(MOVIMIENTOS!$C$5:$C$1005="C")*(MOVIMIENTOS!$D$5:$D$1005="jabas")*(MOVIMIENTOS!$A$5:$A$1005&lt;&gt;"")*(MOVIMIENTOS!$A$5:$A$1005&lt;=$A840)*MOVIMIENTOS!$E$5:$E$1005)-SUMPRODUCT((MOVIMIENTOS!$B$5:$B$1005="VENTA")*(MOVIMIENTOS!$C$5:$C$1005="C")*(MOVIMIENTOS!$D$5:$D$1005="jabas")*(MOVIMIENTOS!$A$5:$A$1005&lt;&gt;"")*(MOVIMIENTOS!$A$5:$A$1005&lt;=$A840)*MOVIMIENTOS!$E$5:$E$1005)+SUMPRODUCT((MOVIMIENTOS!$B$5:$B$1005="AJUSTE")*(MOVIMIENTOS!$C$5:$C$1005="C")*(MOVIMIENTOS!$D$5:$D$1005="jabas")*(MOVIMIENTOS!$A$5:$A$1005&lt;&gt;"")*(MOVIMIENTOS!$A$5:$A$1005&lt;=$A840)*MOVIMIENTOS!$E$5:$E$1005))</f>
        <v/>
      </c>
      <c r="E840" t="str">
        <f>IF($A840="","",SUMPRODUCT((MOVIMIENTOS!$B$5:$B$1005="SALDO INICIAL")*(MOVIMIENTOS!$C$5:$C$1005="M")*(MOVIMIENTOS!$D$5:$D$1005="jabas")*(MOVIMIENTOS!$A$5:$A$1005&lt;&gt;"")*(MOVIMIENTOS!$A$5:$A$1005&lt;=$A840)*MOVIMIENTOS!$E$5:$E$1005)+SUMPRODUCT((MOVIMIENTOS!$B$5:$B$1005="PROCESO")*(MOVIMIENTOS!$C$5:$C$1005="M")*(MOVIMIENTOS!$D$5:$D$1005="jabas")*(MOVIMIENTOS!$A$5:$A$1005&lt;&gt;"")*(MOVIMIENTOS!$A$5:$A$1005&lt;=$A840)*MOVIMIENTOS!$E$5:$E$1005)-SUMPRODUCT((MOVIMIENTOS!$B$5:$B$1005="ENVÍO A SUPESA")*(MOVIMIENTOS!$C$5:$C$1005="M")*(MOVIMIENTOS!$D$5:$D$1005="jabas")*(MOVIMIENTOS!$A$5:$A$1005&lt;&gt;"")*(MOVIMIENTOS!$A$5:$A$1005&lt;=$A840)*MOVIMIENTOS!$E$5:$E$1005)+SUMPRODUCT((MOVIMIENTOS!$B$5:$B$1005="DEVOLUCIÓN")*(MOVIMIENTOS!$C$5:$C$1005="M")*(MOVIMIENTOS!$D$5:$D$1005="jabas")*(MOVIMIENTOS!$A$5:$A$1005&lt;&gt;"")*(MOVIMIENTOS!$A$5:$A$1005&lt;=$A840)*MOVIMIENTOS!$E$5:$E$1005)-SUMPRODUCT((MOVIMIENTOS!$B$5:$B$1005="TRASIEGO")*(MOVIMIENTOS!$C$5:$C$1005="M")*(MOVIMIENTOS!$D$5:$D$1005="jabas")*(MOVIMIENTOS!$A$5:$A$1005&lt;&gt;"")*(MOVIMIENTOS!$A$5:$A$1005&lt;=$A840)*MOVIMIENTOS!$E$5:$E$1005)-SUMPRODUCT((MOVIMIENTOS!$B$5:$B$1005="REGALO")*(MOVIMIENTOS!$C$5:$C$1005="M")*(MOVIMIENTOS!$D$5:$D$1005="jabas")*(MOVIMIENTOS!$A$5:$A$1005&lt;&gt;"")*(MOVIMIENTOS!$A$5:$A$1005&lt;=$A840)*MOVIMIENTOS!$E$5:$E$1005)-SUMPRODUCT((MOVIMIENTOS!$B$5:$B$1005="VENTA")*(MOVIMIENTOS!$C$5:$C$1005="M")*(MOVIMIENTOS!$D$5:$D$1005="jabas")*(MOVIMIENTOS!$A$5:$A$1005&lt;&gt;"")*(MOVIMIENTOS!$A$5:$A$1005&lt;=$A840)*MOVIMIENTOS!$E$5:$E$1005)+SUMPRODUCT((MOVIMIENTOS!$B$5:$B$1005="AJUSTE")*(MOVIMIENTOS!$C$5:$C$1005="M")*(MOVIMIENTOS!$D$5:$D$1005="jabas")*(MOVIMIENTOS!$A$5:$A$1005&lt;&gt;"")*(MOVIMIENTOS!$A$5:$A$1005&lt;=$A840)*MOVIMIENTOS!$E$5:$E$1005))</f>
        <v/>
      </c>
      <c r="F840" s="62" t="str">
        <f>IF($A840="","",SUMPRODUCT((MOVIMIENTOS!$B$5:$B$1005="SALDO INICIAL")*(MOVIMIENTOS!$C$5:$C$1005="Chancho")*(MOVIMIENTOS!$D$5:$D$1005="sacos")*(MOVIMIENTOS!$A$5:$A$1005&lt;&gt;"")*(MOVIMIENTOS!$A$5:$A$1005&lt;=$A840)*MOVIMIENTOS!$E$5:$E$1005)+SUMPRODUCT((MOVIMIENTOS!$B$5:$B$1005="PROCESO")*(MOVIMIENTOS!$C$5:$C$1005="Chancho")*(MOVIMIENTOS!$D$5:$D$1005="sacos")*(MOVIMIENTOS!$A$5:$A$1005&lt;&gt;"")*(MOVIMIENTOS!$A$5:$A$1005&lt;=$A840)*MOVIMIENTOS!$E$5:$E$1005)-SUMPRODUCT((MOVIMIENTOS!$B$5:$B$1005="VENTA CHANCHO")*(MOVIMIENTOS!$C$5:$C$1005="Chancho")*(MOVIMIENTOS!$D$5:$D$1005="sacos")*(MOVIMIENTOS!$A$5:$A$1005&lt;&gt;"")*(MOVIMIENTOS!$A$5:$A$1005&lt;=$A840)*MOVIMIENTOS!$E$5:$E$1005)-SUMPRODUCT((MOVIMIENTOS!$B$5:$B$1005="REGALO")*(MOVIMIENTOS!$C$5:$C$1005="Chancho")*(MOVIMIENTOS!$D$5:$D$1005="sacos")*(MOVIMIENTOS!$A$5:$A$1005&lt;&gt;"")*(MOVIMIENTOS!$A$5:$A$1005&lt;=$A840)*MOVIMIENTOS!$E$5:$E$1005)-SUMPRODUCT((MOVIMIENTOS!$B$5:$B$1005="VENTA")*(MOVIMIENTOS!$C$5:$C$1005="Chancho")*(MOVIMIENTOS!$D$5:$D$1005="sacos")*(MOVIMIENTOS!$A$5:$A$1005&lt;&gt;"")*(MOVIMIENTOS!$A$5:$A$1005&lt;=$A840)*MOVIMIENTOS!$E$5:$E$1005)+SUMPRODUCT((MOVIMIENTOS!$B$5:$B$1005="AJUSTE")*(MOVIMIENTOS!$C$5:$C$1005="Chancho")*(MOVIMIENTOS!$D$5:$D$1005="sacos")*(MOVIMIENTOS!$A$5:$A$1005&lt;&gt;"")*(MOVIMIENTOS!$A$5:$A$1005&lt;=$A840)*MOVIMIENTOS!$E$5:$E$1005))</f>
        <v/>
      </c>
      <c r="G840" s="62" t="str">
        <f t="shared" si="27"/>
        <v/>
      </c>
      <c r="H840" t="str">
        <f>IF($A840="","",SUMPRODUCT((((MOVIMIENTOS!$B$5:$B$1005="SALDO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840)*MOVIMIENTOS!$J$5:$J$1005))</f>
        <v/>
      </c>
      <c r="J840" t="str">
        <f>IF(AND(MOVIMIENTOS!$A845&lt;&gt;"",COUNTIF(MOVIMIENTOS!$A$5:$A844,MOVIMIENTOS!$A845)=0),COUNT(J$4:J839)+1,"")</f>
        <v/>
      </c>
      <c r="K840">
        <f>MOVIMIENTOS!$A845</f>
        <v>0</v>
      </c>
    </row>
    <row r="841" spans="1:11" ht="15" customHeight="1" x14ac:dyDescent="0.2">
      <c r="A841" t="str">
        <f t="shared" si="26"/>
        <v/>
      </c>
      <c r="B841" t="str">
        <f>IF($A841="","",SUMPRODUCT((MOVIMIENTOS!$B$5:$B$1005="SALDO INICIAL")*(MOVIMIENTOS!$C$5:$C$1005="A")*(MOVIMIENTOS!$D$5:$D$1005="jabas")*(MOVIMIENTOS!$A$5:$A$1005&lt;&gt;"")*(MOVIMIENTOS!$A$5:$A$1005&lt;=$A841)*MOVIMIENTOS!$E$5:$E$1005)+SUMPRODUCT((MOVIMIENTOS!$B$5:$B$1005="PROCESO")*(MOVIMIENTOS!$C$5:$C$1005="A")*(MOVIMIENTOS!$D$5:$D$1005="jabas")*(MOVIMIENTOS!$A$5:$A$1005&lt;&gt;"")*(MOVIMIENTOS!$A$5:$A$1005&lt;=$A841)*MOVIMIENTOS!$E$5:$E$1005)-SUMPRODUCT((MOVIMIENTOS!$B$5:$B$1005="ENVÍO A SUPESA")*(MOVIMIENTOS!$C$5:$C$1005="A")*(MOVIMIENTOS!$D$5:$D$1005="jabas")*(MOVIMIENTOS!$A$5:$A$1005&lt;&gt;"")*(MOVIMIENTOS!$A$5:$A$1005&lt;=$A841)*MOVIMIENTOS!$E$5:$E$1005)+SUMPRODUCT((MOVIMIENTOS!$B$5:$B$1005="DEVOLUCIÓN")*(MOVIMIENTOS!$C$5:$C$1005="A")*(MOVIMIENTOS!$D$5:$D$1005="jabas")*(MOVIMIENTOS!$A$5:$A$1005&lt;&gt;"")*(MOVIMIENTOS!$A$5:$A$1005&lt;=$A841)*MOVIMIENTOS!$E$5:$E$1005)-SUMPRODUCT((MOVIMIENTOS!$B$5:$B$1005="TRASIEGO")*(MOVIMIENTOS!$C$5:$C$1005="A")*(MOVIMIENTOS!$D$5:$D$1005="jabas")*(MOVIMIENTOS!$A$5:$A$1005&lt;&gt;"")*(MOVIMIENTOS!$A$5:$A$1005&lt;=$A841)*MOVIMIENTOS!$E$5:$E$1005)-SUMPRODUCT((MOVIMIENTOS!$B$5:$B$1005="REGALO")*(MOVIMIENTOS!$C$5:$C$1005="A")*(MOVIMIENTOS!$D$5:$D$1005="jabas")*(MOVIMIENTOS!$A$5:$A$1005&lt;&gt;"")*(MOVIMIENTOS!$A$5:$A$1005&lt;=$A841)*MOVIMIENTOS!$E$5:$E$1005)-SUMPRODUCT((MOVIMIENTOS!$B$5:$B$1005="VENTA")*(MOVIMIENTOS!$C$5:$C$1005="A")*(MOVIMIENTOS!$D$5:$D$1005="jabas")*(MOVIMIENTOS!$A$5:$A$1005&lt;&gt;"")*(MOVIMIENTOS!$A$5:$A$1005&lt;=$A841)*MOVIMIENTOS!$E$5:$E$1005)+SUMPRODUCT((MOVIMIENTOS!$B$5:$B$1005="AJUSTE")*(MOVIMIENTOS!$C$5:$C$1005="A")*(MOVIMIENTOS!$D$5:$D$1005="jabas")*(MOVIMIENTOS!$A$5:$A$1005&lt;&gt;"")*(MOVIMIENTOS!$A$5:$A$1005&lt;=$A841)*MOVIMIENTOS!$E$5:$E$1005))</f>
        <v/>
      </c>
      <c r="C841" t="str">
        <f>IF($A841="","",SUMPRODUCT((MOVIMIENTOS!$B$5:$B$1005="SALDO INICIAL")*(MOVIMIENTOS!$C$5:$C$1005="P")*(MOVIMIENTOS!$D$5:$D$1005="jabas")*(MOVIMIENTOS!$A$5:$A$1005&lt;&gt;"")*(MOVIMIENTOS!$A$5:$A$1005&lt;=$A841)*MOVIMIENTOS!$E$5:$E$1005)+SUMPRODUCT((MOVIMIENTOS!$B$5:$B$1005="PROCESO")*(MOVIMIENTOS!$C$5:$C$1005="P")*(MOVIMIENTOS!$D$5:$D$1005="jabas")*(MOVIMIENTOS!$A$5:$A$1005&lt;&gt;"")*(MOVIMIENTOS!$A$5:$A$1005&lt;=$A841)*MOVIMIENTOS!$E$5:$E$1005)-SUMPRODUCT((MOVIMIENTOS!$B$5:$B$1005="ENVÍO A SUPESA")*(MOVIMIENTOS!$C$5:$C$1005="P")*(MOVIMIENTOS!$D$5:$D$1005="jabas")*(MOVIMIENTOS!$A$5:$A$1005&lt;&gt;"")*(MOVIMIENTOS!$A$5:$A$1005&lt;=$A841)*MOVIMIENTOS!$E$5:$E$1005)+SUMPRODUCT((MOVIMIENTOS!$B$5:$B$1005="DEVOLUCIÓN")*(MOVIMIENTOS!$C$5:$C$1005="P")*(MOVIMIENTOS!$D$5:$D$1005="jabas")*(MOVIMIENTOS!$A$5:$A$1005&lt;&gt;"")*(MOVIMIENTOS!$A$5:$A$1005&lt;=$A841)*MOVIMIENTOS!$E$5:$E$1005)-SUMPRODUCT((MOVIMIENTOS!$B$5:$B$1005="TRASIEGO")*(MOVIMIENTOS!$C$5:$C$1005="P")*(MOVIMIENTOS!$D$5:$D$1005="jabas")*(MOVIMIENTOS!$A$5:$A$1005&lt;&gt;"")*(MOVIMIENTOS!$A$5:$A$1005&lt;=$A841)*MOVIMIENTOS!$E$5:$E$1005)-SUMPRODUCT((MOVIMIENTOS!$B$5:$B$1005="REGALO")*(MOVIMIENTOS!$C$5:$C$1005="P")*(MOVIMIENTOS!$D$5:$D$1005="jabas")*(MOVIMIENTOS!$A$5:$A$1005&lt;&gt;"")*(MOVIMIENTOS!$A$5:$A$1005&lt;=$A841)*MOVIMIENTOS!$E$5:$E$1005)-SUMPRODUCT((MOVIMIENTOS!$B$5:$B$1005="VENTA")*(MOVIMIENTOS!$C$5:$C$1005="P")*(MOVIMIENTOS!$D$5:$D$1005="jabas")*(MOVIMIENTOS!$A$5:$A$1005&lt;&gt;"")*(MOVIMIENTOS!$A$5:$A$1005&lt;=$A841)*MOVIMIENTOS!$E$5:$E$1005)+SUMPRODUCT((MOVIMIENTOS!$B$5:$B$1005="AJUSTE")*(MOVIMIENTOS!$C$5:$C$1005="P")*(MOVIMIENTOS!$D$5:$D$1005="jabas")*(MOVIMIENTOS!$A$5:$A$1005&lt;&gt;"")*(MOVIMIENTOS!$A$5:$A$1005&lt;=$A841)*MOVIMIENTOS!$E$5:$E$1005))</f>
        <v/>
      </c>
      <c r="D841" t="str">
        <f>IF($A841="","",SUMPRODUCT((MOVIMIENTOS!$B$5:$B$1005="SALDO INICIAL")*(MOVIMIENTOS!$C$5:$C$1005="C")*(MOVIMIENTOS!$D$5:$D$1005="jabas")*(MOVIMIENTOS!$A$5:$A$1005&lt;&gt;"")*(MOVIMIENTOS!$A$5:$A$1005&lt;=$A841)*MOVIMIENTOS!$E$5:$E$1005)+SUMPRODUCT((MOVIMIENTOS!$B$5:$B$1005="PROCESO")*(MOVIMIENTOS!$C$5:$C$1005="C")*(MOVIMIENTOS!$D$5:$D$1005="jabas")*(MOVIMIENTOS!$A$5:$A$1005&lt;&gt;"")*(MOVIMIENTOS!$A$5:$A$1005&lt;=$A841)*MOVIMIENTOS!$E$5:$E$1005)-SUMPRODUCT((MOVIMIENTOS!$B$5:$B$1005="ENVÍO A SUPESA")*(MOVIMIENTOS!$C$5:$C$1005="C")*(MOVIMIENTOS!$D$5:$D$1005="jabas")*(MOVIMIENTOS!$A$5:$A$1005&lt;&gt;"")*(MOVIMIENTOS!$A$5:$A$1005&lt;=$A841)*MOVIMIENTOS!$E$5:$E$1005)+SUMPRODUCT((MOVIMIENTOS!$B$5:$B$1005="DEVOLUCIÓN")*(MOVIMIENTOS!$C$5:$C$1005="C")*(MOVIMIENTOS!$D$5:$D$1005="jabas")*(MOVIMIENTOS!$A$5:$A$1005&lt;&gt;"")*(MOVIMIENTOS!$A$5:$A$1005&lt;=$A841)*MOVIMIENTOS!$E$5:$E$1005)-SUMPRODUCT((MOVIMIENTOS!$B$5:$B$1005="TRASIEGO")*(MOVIMIENTOS!$C$5:$C$1005="C")*(MOVIMIENTOS!$D$5:$D$1005="jabas")*(MOVIMIENTOS!$A$5:$A$1005&lt;&gt;"")*(MOVIMIENTOS!$A$5:$A$1005&lt;=$A841)*MOVIMIENTOS!$E$5:$E$1005)-SUMPRODUCT((MOVIMIENTOS!$B$5:$B$1005="REGALO")*(MOVIMIENTOS!$C$5:$C$1005="C")*(MOVIMIENTOS!$D$5:$D$1005="jabas")*(MOVIMIENTOS!$A$5:$A$1005&lt;&gt;"")*(MOVIMIENTOS!$A$5:$A$1005&lt;=$A841)*MOVIMIENTOS!$E$5:$E$1005)-SUMPRODUCT((MOVIMIENTOS!$B$5:$B$1005="VENTA")*(MOVIMIENTOS!$C$5:$C$1005="C")*(MOVIMIENTOS!$D$5:$D$1005="jabas")*(MOVIMIENTOS!$A$5:$A$1005&lt;&gt;"")*(MOVIMIENTOS!$A$5:$A$1005&lt;=$A841)*MOVIMIENTOS!$E$5:$E$1005)+SUMPRODUCT((MOVIMIENTOS!$B$5:$B$1005="AJUSTE")*(MOVIMIENTOS!$C$5:$C$1005="C")*(MOVIMIENTOS!$D$5:$D$1005="jabas")*(MOVIMIENTOS!$A$5:$A$1005&lt;&gt;"")*(MOVIMIENTOS!$A$5:$A$1005&lt;=$A841)*MOVIMIENTOS!$E$5:$E$1005))</f>
        <v/>
      </c>
      <c r="E841" t="str">
        <f>IF($A841="","",SUMPRODUCT((MOVIMIENTOS!$B$5:$B$1005="SALDO INICIAL")*(MOVIMIENTOS!$C$5:$C$1005="M")*(MOVIMIENTOS!$D$5:$D$1005="jabas")*(MOVIMIENTOS!$A$5:$A$1005&lt;&gt;"")*(MOVIMIENTOS!$A$5:$A$1005&lt;=$A841)*MOVIMIENTOS!$E$5:$E$1005)+SUMPRODUCT((MOVIMIENTOS!$B$5:$B$1005="PROCESO")*(MOVIMIENTOS!$C$5:$C$1005="M")*(MOVIMIENTOS!$D$5:$D$1005="jabas")*(MOVIMIENTOS!$A$5:$A$1005&lt;&gt;"")*(MOVIMIENTOS!$A$5:$A$1005&lt;=$A841)*MOVIMIENTOS!$E$5:$E$1005)-SUMPRODUCT((MOVIMIENTOS!$B$5:$B$1005="ENVÍO A SUPESA")*(MOVIMIENTOS!$C$5:$C$1005="M")*(MOVIMIENTOS!$D$5:$D$1005="jabas")*(MOVIMIENTOS!$A$5:$A$1005&lt;&gt;"")*(MOVIMIENTOS!$A$5:$A$1005&lt;=$A841)*MOVIMIENTOS!$E$5:$E$1005)+SUMPRODUCT((MOVIMIENTOS!$B$5:$B$1005="DEVOLUCIÓN")*(MOVIMIENTOS!$C$5:$C$1005="M")*(MOVIMIENTOS!$D$5:$D$1005="jabas")*(MOVIMIENTOS!$A$5:$A$1005&lt;&gt;"")*(MOVIMIENTOS!$A$5:$A$1005&lt;=$A841)*MOVIMIENTOS!$E$5:$E$1005)-SUMPRODUCT((MOVIMIENTOS!$B$5:$B$1005="TRASIEGO")*(MOVIMIENTOS!$C$5:$C$1005="M")*(MOVIMIENTOS!$D$5:$D$1005="jabas")*(MOVIMIENTOS!$A$5:$A$1005&lt;&gt;"")*(MOVIMIENTOS!$A$5:$A$1005&lt;=$A841)*MOVIMIENTOS!$E$5:$E$1005)-SUMPRODUCT((MOVIMIENTOS!$B$5:$B$1005="REGALO")*(MOVIMIENTOS!$C$5:$C$1005="M")*(MOVIMIENTOS!$D$5:$D$1005="jabas")*(MOVIMIENTOS!$A$5:$A$1005&lt;&gt;"")*(MOVIMIENTOS!$A$5:$A$1005&lt;=$A841)*MOVIMIENTOS!$E$5:$E$1005)-SUMPRODUCT((MOVIMIENTOS!$B$5:$B$1005="VENTA")*(MOVIMIENTOS!$C$5:$C$1005="M")*(MOVIMIENTOS!$D$5:$D$1005="jabas")*(MOVIMIENTOS!$A$5:$A$1005&lt;&gt;"")*(MOVIMIENTOS!$A$5:$A$1005&lt;=$A841)*MOVIMIENTOS!$E$5:$E$1005)+SUMPRODUCT((MOVIMIENTOS!$B$5:$B$1005="AJUSTE")*(MOVIMIENTOS!$C$5:$C$1005="M")*(MOVIMIENTOS!$D$5:$D$1005="jabas")*(MOVIMIENTOS!$A$5:$A$1005&lt;&gt;"")*(MOVIMIENTOS!$A$5:$A$1005&lt;=$A841)*MOVIMIENTOS!$E$5:$E$1005))</f>
        <v/>
      </c>
      <c r="F841" s="62" t="str">
        <f>IF($A841="","",SUMPRODUCT((MOVIMIENTOS!$B$5:$B$1005="SALDO INICIAL")*(MOVIMIENTOS!$C$5:$C$1005="Chancho")*(MOVIMIENTOS!$D$5:$D$1005="sacos")*(MOVIMIENTOS!$A$5:$A$1005&lt;&gt;"")*(MOVIMIENTOS!$A$5:$A$1005&lt;=$A841)*MOVIMIENTOS!$E$5:$E$1005)+SUMPRODUCT((MOVIMIENTOS!$B$5:$B$1005="PROCESO")*(MOVIMIENTOS!$C$5:$C$1005="Chancho")*(MOVIMIENTOS!$D$5:$D$1005="sacos")*(MOVIMIENTOS!$A$5:$A$1005&lt;&gt;"")*(MOVIMIENTOS!$A$5:$A$1005&lt;=$A841)*MOVIMIENTOS!$E$5:$E$1005)-SUMPRODUCT((MOVIMIENTOS!$B$5:$B$1005="VENTA CHANCHO")*(MOVIMIENTOS!$C$5:$C$1005="Chancho")*(MOVIMIENTOS!$D$5:$D$1005="sacos")*(MOVIMIENTOS!$A$5:$A$1005&lt;&gt;"")*(MOVIMIENTOS!$A$5:$A$1005&lt;=$A841)*MOVIMIENTOS!$E$5:$E$1005)-SUMPRODUCT((MOVIMIENTOS!$B$5:$B$1005="REGALO")*(MOVIMIENTOS!$C$5:$C$1005="Chancho")*(MOVIMIENTOS!$D$5:$D$1005="sacos")*(MOVIMIENTOS!$A$5:$A$1005&lt;&gt;"")*(MOVIMIENTOS!$A$5:$A$1005&lt;=$A841)*MOVIMIENTOS!$E$5:$E$1005)-SUMPRODUCT((MOVIMIENTOS!$B$5:$B$1005="VENTA")*(MOVIMIENTOS!$C$5:$C$1005="Chancho")*(MOVIMIENTOS!$D$5:$D$1005="sacos")*(MOVIMIENTOS!$A$5:$A$1005&lt;&gt;"")*(MOVIMIENTOS!$A$5:$A$1005&lt;=$A841)*MOVIMIENTOS!$E$5:$E$1005)+SUMPRODUCT((MOVIMIENTOS!$B$5:$B$1005="AJUSTE")*(MOVIMIENTOS!$C$5:$C$1005="Chancho")*(MOVIMIENTOS!$D$5:$D$1005="sacos")*(MOVIMIENTOS!$A$5:$A$1005&lt;&gt;"")*(MOVIMIENTOS!$A$5:$A$1005&lt;=$A841)*MOVIMIENTOS!$E$5:$E$1005))</f>
        <v/>
      </c>
      <c r="G841" s="62" t="str">
        <f t="shared" si="27"/>
        <v/>
      </c>
      <c r="H841" t="str">
        <f>IF($A841="","",SUMPRODUCT((((MOVIMIENTOS!$B$5:$B$1005="SALDO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841)*MOVIMIENTOS!$J$5:$J$1005))</f>
        <v/>
      </c>
      <c r="J841" t="str">
        <f>IF(AND(MOVIMIENTOS!$A846&lt;&gt;"",COUNTIF(MOVIMIENTOS!$A$5:$A845,MOVIMIENTOS!$A846)=0),COUNT(J$4:J840)+1,"")</f>
        <v/>
      </c>
      <c r="K841">
        <f>MOVIMIENTOS!$A846</f>
        <v>0</v>
      </c>
    </row>
    <row r="842" spans="1:11" ht="15" customHeight="1" x14ac:dyDescent="0.2">
      <c r="A842" t="str">
        <f t="shared" si="26"/>
        <v/>
      </c>
      <c r="B842" t="str">
        <f>IF($A842="","",SUMPRODUCT((MOVIMIENTOS!$B$5:$B$1005="SALDO INICIAL")*(MOVIMIENTOS!$C$5:$C$1005="A")*(MOVIMIENTOS!$D$5:$D$1005="jabas")*(MOVIMIENTOS!$A$5:$A$1005&lt;&gt;"")*(MOVIMIENTOS!$A$5:$A$1005&lt;=$A842)*MOVIMIENTOS!$E$5:$E$1005)+SUMPRODUCT((MOVIMIENTOS!$B$5:$B$1005="PROCESO")*(MOVIMIENTOS!$C$5:$C$1005="A")*(MOVIMIENTOS!$D$5:$D$1005="jabas")*(MOVIMIENTOS!$A$5:$A$1005&lt;&gt;"")*(MOVIMIENTOS!$A$5:$A$1005&lt;=$A842)*MOVIMIENTOS!$E$5:$E$1005)-SUMPRODUCT((MOVIMIENTOS!$B$5:$B$1005="ENVÍO A SUPESA")*(MOVIMIENTOS!$C$5:$C$1005="A")*(MOVIMIENTOS!$D$5:$D$1005="jabas")*(MOVIMIENTOS!$A$5:$A$1005&lt;&gt;"")*(MOVIMIENTOS!$A$5:$A$1005&lt;=$A842)*MOVIMIENTOS!$E$5:$E$1005)+SUMPRODUCT((MOVIMIENTOS!$B$5:$B$1005="DEVOLUCIÓN")*(MOVIMIENTOS!$C$5:$C$1005="A")*(MOVIMIENTOS!$D$5:$D$1005="jabas")*(MOVIMIENTOS!$A$5:$A$1005&lt;&gt;"")*(MOVIMIENTOS!$A$5:$A$1005&lt;=$A842)*MOVIMIENTOS!$E$5:$E$1005)-SUMPRODUCT((MOVIMIENTOS!$B$5:$B$1005="TRASIEGO")*(MOVIMIENTOS!$C$5:$C$1005="A")*(MOVIMIENTOS!$D$5:$D$1005="jabas")*(MOVIMIENTOS!$A$5:$A$1005&lt;&gt;"")*(MOVIMIENTOS!$A$5:$A$1005&lt;=$A842)*MOVIMIENTOS!$E$5:$E$1005)-SUMPRODUCT((MOVIMIENTOS!$B$5:$B$1005="REGALO")*(MOVIMIENTOS!$C$5:$C$1005="A")*(MOVIMIENTOS!$D$5:$D$1005="jabas")*(MOVIMIENTOS!$A$5:$A$1005&lt;&gt;"")*(MOVIMIENTOS!$A$5:$A$1005&lt;=$A842)*MOVIMIENTOS!$E$5:$E$1005)-SUMPRODUCT((MOVIMIENTOS!$B$5:$B$1005="VENTA")*(MOVIMIENTOS!$C$5:$C$1005="A")*(MOVIMIENTOS!$D$5:$D$1005="jabas")*(MOVIMIENTOS!$A$5:$A$1005&lt;&gt;"")*(MOVIMIENTOS!$A$5:$A$1005&lt;=$A842)*MOVIMIENTOS!$E$5:$E$1005)+SUMPRODUCT((MOVIMIENTOS!$B$5:$B$1005="AJUSTE")*(MOVIMIENTOS!$C$5:$C$1005="A")*(MOVIMIENTOS!$D$5:$D$1005="jabas")*(MOVIMIENTOS!$A$5:$A$1005&lt;&gt;"")*(MOVIMIENTOS!$A$5:$A$1005&lt;=$A842)*MOVIMIENTOS!$E$5:$E$1005))</f>
        <v/>
      </c>
      <c r="C842" t="str">
        <f>IF($A842="","",SUMPRODUCT((MOVIMIENTOS!$B$5:$B$1005="SALDO INICIAL")*(MOVIMIENTOS!$C$5:$C$1005="P")*(MOVIMIENTOS!$D$5:$D$1005="jabas")*(MOVIMIENTOS!$A$5:$A$1005&lt;&gt;"")*(MOVIMIENTOS!$A$5:$A$1005&lt;=$A842)*MOVIMIENTOS!$E$5:$E$1005)+SUMPRODUCT((MOVIMIENTOS!$B$5:$B$1005="PROCESO")*(MOVIMIENTOS!$C$5:$C$1005="P")*(MOVIMIENTOS!$D$5:$D$1005="jabas")*(MOVIMIENTOS!$A$5:$A$1005&lt;&gt;"")*(MOVIMIENTOS!$A$5:$A$1005&lt;=$A842)*MOVIMIENTOS!$E$5:$E$1005)-SUMPRODUCT((MOVIMIENTOS!$B$5:$B$1005="ENVÍO A SUPESA")*(MOVIMIENTOS!$C$5:$C$1005="P")*(MOVIMIENTOS!$D$5:$D$1005="jabas")*(MOVIMIENTOS!$A$5:$A$1005&lt;&gt;"")*(MOVIMIENTOS!$A$5:$A$1005&lt;=$A842)*MOVIMIENTOS!$E$5:$E$1005)+SUMPRODUCT((MOVIMIENTOS!$B$5:$B$1005="DEVOLUCIÓN")*(MOVIMIENTOS!$C$5:$C$1005="P")*(MOVIMIENTOS!$D$5:$D$1005="jabas")*(MOVIMIENTOS!$A$5:$A$1005&lt;&gt;"")*(MOVIMIENTOS!$A$5:$A$1005&lt;=$A842)*MOVIMIENTOS!$E$5:$E$1005)-SUMPRODUCT((MOVIMIENTOS!$B$5:$B$1005="TRASIEGO")*(MOVIMIENTOS!$C$5:$C$1005="P")*(MOVIMIENTOS!$D$5:$D$1005="jabas")*(MOVIMIENTOS!$A$5:$A$1005&lt;&gt;"")*(MOVIMIENTOS!$A$5:$A$1005&lt;=$A842)*MOVIMIENTOS!$E$5:$E$1005)-SUMPRODUCT((MOVIMIENTOS!$B$5:$B$1005="REGALO")*(MOVIMIENTOS!$C$5:$C$1005="P")*(MOVIMIENTOS!$D$5:$D$1005="jabas")*(MOVIMIENTOS!$A$5:$A$1005&lt;&gt;"")*(MOVIMIENTOS!$A$5:$A$1005&lt;=$A842)*MOVIMIENTOS!$E$5:$E$1005)-SUMPRODUCT((MOVIMIENTOS!$B$5:$B$1005="VENTA")*(MOVIMIENTOS!$C$5:$C$1005="P")*(MOVIMIENTOS!$D$5:$D$1005="jabas")*(MOVIMIENTOS!$A$5:$A$1005&lt;&gt;"")*(MOVIMIENTOS!$A$5:$A$1005&lt;=$A842)*MOVIMIENTOS!$E$5:$E$1005)+SUMPRODUCT((MOVIMIENTOS!$B$5:$B$1005="AJUSTE")*(MOVIMIENTOS!$C$5:$C$1005="P")*(MOVIMIENTOS!$D$5:$D$1005="jabas")*(MOVIMIENTOS!$A$5:$A$1005&lt;&gt;"")*(MOVIMIENTOS!$A$5:$A$1005&lt;=$A842)*MOVIMIENTOS!$E$5:$E$1005))</f>
        <v/>
      </c>
      <c r="D842" t="str">
        <f>IF($A842="","",SUMPRODUCT((MOVIMIENTOS!$B$5:$B$1005="SALDO INICIAL")*(MOVIMIENTOS!$C$5:$C$1005="C")*(MOVIMIENTOS!$D$5:$D$1005="jabas")*(MOVIMIENTOS!$A$5:$A$1005&lt;&gt;"")*(MOVIMIENTOS!$A$5:$A$1005&lt;=$A842)*MOVIMIENTOS!$E$5:$E$1005)+SUMPRODUCT((MOVIMIENTOS!$B$5:$B$1005="PROCESO")*(MOVIMIENTOS!$C$5:$C$1005="C")*(MOVIMIENTOS!$D$5:$D$1005="jabas")*(MOVIMIENTOS!$A$5:$A$1005&lt;&gt;"")*(MOVIMIENTOS!$A$5:$A$1005&lt;=$A842)*MOVIMIENTOS!$E$5:$E$1005)-SUMPRODUCT((MOVIMIENTOS!$B$5:$B$1005="ENVÍO A SUPESA")*(MOVIMIENTOS!$C$5:$C$1005="C")*(MOVIMIENTOS!$D$5:$D$1005="jabas")*(MOVIMIENTOS!$A$5:$A$1005&lt;&gt;"")*(MOVIMIENTOS!$A$5:$A$1005&lt;=$A842)*MOVIMIENTOS!$E$5:$E$1005)+SUMPRODUCT((MOVIMIENTOS!$B$5:$B$1005="DEVOLUCIÓN")*(MOVIMIENTOS!$C$5:$C$1005="C")*(MOVIMIENTOS!$D$5:$D$1005="jabas")*(MOVIMIENTOS!$A$5:$A$1005&lt;&gt;"")*(MOVIMIENTOS!$A$5:$A$1005&lt;=$A842)*MOVIMIENTOS!$E$5:$E$1005)-SUMPRODUCT((MOVIMIENTOS!$B$5:$B$1005="TRASIEGO")*(MOVIMIENTOS!$C$5:$C$1005="C")*(MOVIMIENTOS!$D$5:$D$1005="jabas")*(MOVIMIENTOS!$A$5:$A$1005&lt;&gt;"")*(MOVIMIENTOS!$A$5:$A$1005&lt;=$A842)*MOVIMIENTOS!$E$5:$E$1005)-SUMPRODUCT((MOVIMIENTOS!$B$5:$B$1005="REGALO")*(MOVIMIENTOS!$C$5:$C$1005="C")*(MOVIMIENTOS!$D$5:$D$1005="jabas")*(MOVIMIENTOS!$A$5:$A$1005&lt;&gt;"")*(MOVIMIENTOS!$A$5:$A$1005&lt;=$A842)*MOVIMIENTOS!$E$5:$E$1005)-SUMPRODUCT((MOVIMIENTOS!$B$5:$B$1005="VENTA")*(MOVIMIENTOS!$C$5:$C$1005="C")*(MOVIMIENTOS!$D$5:$D$1005="jabas")*(MOVIMIENTOS!$A$5:$A$1005&lt;&gt;"")*(MOVIMIENTOS!$A$5:$A$1005&lt;=$A842)*MOVIMIENTOS!$E$5:$E$1005)+SUMPRODUCT((MOVIMIENTOS!$B$5:$B$1005="AJUSTE")*(MOVIMIENTOS!$C$5:$C$1005="C")*(MOVIMIENTOS!$D$5:$D$1005="jabas")*(MOVIMIENTOS!$A$5:$A$1005&lt;&gt;"")*(MOVIMIENTOS!$A$5:$A$1005&lt;=$A842)*MOVIMIENTOS!$E$5:$E$1005))</f>
        <v/>
      </c>
      <c r="E842" t="str">
        <f>IF($A842="","",SUMPRODUCT((MOVIMIENTOS!$B$5:$B$1005="SALDO INICIAL")*(MOVIMIENTOS!$C$5:$C$1005="M")*(MOVIMIENTOS!$D$5:$D$1005="jabas")*(MOVIMIENTOS!$A$5:$A$1005&lt;&gt;"")*(MOVIMIENTOS!$A$5:$A$1005&lt;=$A842)*MOVIMIENTOS!$E$5:$E$1005)+SUMPRODUCT((MOVIMIENTOS!$B$5:$B$1005="PROCESO")*(MOVIMIENTOS!$C$5:$C$1005="M")*(MOVIMIENTOS!$D$5:$D$1005="jabas")*(MOVIMIENTOS!$A$5:$A$1005&lt;&gt;"")*(MOVIMIENTOS!$A$5:$A$1005&lt;=$A842)*MOVIMIENTOS!$E$5:$E$1005)-SUMPRODUCT((MOVIMIENTOS!$B$5:$B$1005="ENVÍO A SUPESA")*(MOVIMIENTOS!$C$5:$C$1005="M")*(MOVIMIENTOS!$D$5:$D$1005="jabas")*(MOVIMIENTOS!$A$5:$A$1005&lt;&gt;"")*(MOVIMIENTOS!$A$5:$A$1005&lt;=$A842)*MOVIMIENTOS!$E$5:$E$1005)+SUMPRODUCT((MOVIMIENTOS!$B$5:$B$1005="DEVOLUCIÓN")*(MOVIMIENTOS!$C$5:$C$1005="M")*(MOVIMIENTOS!$D$5:$D$1005="jabas")*(MOVIMIENTOS!$A$5:$A$1005&lt;&gt;"")*(MOVIMIENTOS!$A$5:$A$1005&lt;=$A842)*MOVIMIENTOS!$E$5:$E$1005)-SUMPRODUCT((MOVIMIENTOS!$B$5:$B$1005="TRASIEGO")*(MOVIMIENTOS!$C$5:$C$1005="M")*(MOVIMIENTOS!$D$5:$D$1005="jabas")*(MOVIMIENTOS!$A$5:$A$1005&lt;&gt;"")*(MOVIMIENTOS!$A$5:$A$1005&lt;=$A842)*MOVIMIENTOS!$E$5:$E$1005)-SUMPRODUCT((MOVIMIENTOS!$B$5:$B$1005="REGALO")*(MOVIMIENTOS!$C$5:$C$1005="M")*(MOVIMIENTOS!$D$5:$D$1005="jabas")*(MOVIMIENTOS!$A$5:$A$1005&lt;&gt;"")*(MOVIMIENTOS!$A$5:$A$1005&lt;=$A842)*MOVIMIENTOS!$E$5:$E$1005)-SUMPRODUCT((MOVIMIENTOS!$B$5:$B$1005="VENTA")*(MOVIMIENTOS!$C$5:$C$1005="M")*(MOVIMIENTOS!$D$5:$D$1005="jabas")*(MOVIMIENTOS!$A$5:$A$1005&lt;&gt;"")*(MOVIMIENTOS!$A$5:$A$1005&lt;=$A842)*MOVIMIENTOS!$E$5:$E$1005)+SUMPRODUCT((MOVIMIENTOS!$B$5:$B$1005="AJUSTE")*(MOVIMIENTOS!$C$5:$C$1005="M")*(MOVIMIENTOS!$D$5:$D$1005="jabas")*(MOVIMIENTOS!$A$5:$A$1005&lt;&gt;"")*(MOVIMIENTOS!$A$5:$A$1005&lt;=$A842)*MOVIMIENTOS!$E$5:$E$1005))</f>
        <v/>
      </c>
      <c r="F842" s="62" t="str">
        <f>IF($A842="","",SUMPRODUCT((MOVIMIENTOS!$B$5:$B$1005="SALDO INICIAL")*(MOVIMIENTOS!$C$5:$C$1005="Chancho")*(MOVIMIENTOS!$D$5:$D$1005="sacos")*(MOVIMIENTOS!$A$5:$A$1005&lt;&gt;"")*(MOVIMIENTOS!$A$5:$A$1005&lt;=$A842)*MOVIMIENTOS!$E$5:$E$1005)+SUMPRODUCT((MOVIMIENTOS!$B$5:$B$1005="PROCESO")*(MOVIMIENTOS!$C$5:$C$1005="Chancho")*(MOVIMIENTOS!$D$5:$D$1005="sacos")*(MOVIMIENTOS!$A$5:$A$1005&lt;&gt;"")*(MOVIMIENTOS!$A$5:$A$1005&lt;=$A842)*MOVIMIENTOS!$E$5:$E$1005)-SUMPRODUCT((MOVIMIENTOS!$B$5:$B$1005="VENTA CHANCHO")*(MOVIMIENTOS!$C$5:$C$1005="Chancho")*(MOVIMIENTOS!$D$5:$D$1005="sacos")*(MOVIMIENTOS!$A$5:$A$1005&lt;&gt;"")*(MOVIMIENTOS!$A$5:$A$1005&lt;=$A842)*MOVIMIENTOS!$E$5:$E$1005)-SUMPRODUCT((MOVIMIENTOS!$B$5:$B$1005="REGALO")*(MOVIMIENTOS!$C$5:$C$1005="Chancho")*(MOVIMIENTOS!$D$5:$D$1005="sacos")*(MOVIMIENTOS!$A$5:$A$1005&lt;&gt;"")*(MOVIMIENTOS!$A$5:$A$1005&lt;=$A842)*MOVIMIENTOS!$E$5:$E$1005)-SUMPRODUCT((MOVIMIENTOS!$B$5:$B$1005="VENTA")*(MOVIMIENTOS!$C$5:$C$1005="Chancho")*(MOVIMIENTOS!$D$5:$D$1005="sacos")*(MOVIMIENTOS!$A$5:$A$1005&lt;&gt;"")*(MOVIMIENTOS!$A$5:$A$1005&lt;=$A842)*MOVIMIENTOS!$E$5:$E$1005)+SUMPRODUCT((MOVIMIENTOS!$B$5:$B$1005="AJUSTE")*(MOVIMIENTOS!$C$5:$C$1005="Chancho")*(MOVIMIENTOS!$D$5:$D$1005="sacos")*(MOVIMIENTOS!$A$5:$A$1005&lt;&gt;"")*(MOVIMIENTOS!$A$5:$A$1005&lt;=$A842)*MOVIMIENTOS!$E$5:$E$1005))</f>
        <v/>
      </c>
      <c r="G842" s="62" t="str">
        <f t="shared" si="27"/>
        <v/>
      </c>
      <c r="H842" t="str">
        <f>IF($A842="","",SUMPRODUCT((((MOVIMIENTOS!$B$5:$B$1005="SALDO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842)*MOVIMIENTOS!$J$5:$J$1005))</f>
        <v/>
      </c>
      <c r="J842" t="str">
        <f>IF(AND(MOVIMIENTOS!$A847&lt;&gt;"",COUNTIF(MOVIMIENTOS!$A$5:$A846,MOVIMIENTOS!$A847)=0),COUNT(J$4:J841)+1,"")</f>
        <v/>
      </c>
      <c r="K842">
        <f>MOVIMIENTOS!$A847</f>
        <v>0</v>
      </c>
    </row>
    <row r="843" spans="1:11" ht="15" customHeight="1" x14ac:dyDescent="0.2">
      <c r="A843" t="str">
        <f t="shared" si="26"/>
        <v/>
      </c>
      <c r="B843" t="str">
        <f>IF($A843="","",SUMPRODUCT((MOVIMIENTOS!$B$5:$B$1005="SALDO INICIAL")*(MOVIMIENTOS!$C$5:$C$1005="A")*(MOVIMIENTOS!$D$5:$D$1005="jabas")*(MOVIMIENTOS!$A$5:$A$1005&lt;&gt;"")*(MOVIMIENTOS!$A$5:$A$1005&lt;=$A843)*MOVIMIENTOS!$E$5:$E$1005)+SUMPRODUCT((MOVIMIENTOS!$B$5:$B$1005="PROCESO")*(MOVIMIENTOS!$C$5:$C$1005="A")*(MOVIMIENTOS!$D$5:$D$1005="jabas")*(MOVIMIENTOS!$A$5:$A$1005&lt;&gt;"")*(MOVIMIENTOS!$A$5:$A$1005&lt;=$A843)*MOVIMIENTOS!$E$5:$E$1005)-SUMPRODUCT((MOVIMIENTOS!$B$5:$B$1005="ENVÍO A SUPESA")*(MOVIMIENTOS!$C$5:$C$1005="A")*(MOVIMIENTOS!$D$5:$D$1005="jabas")*(MOVIMIENTOS!$A$5:$A$1005&lt;&gt;"")*(MOVIMIENTOS!$A$5:$A$1005&lt;=$A843)*MOVIMIENTOS!$E$5:$E$1005)+SUMPRODUCT((MOVIMIENTOS!$B$5:$B$1005="DEVOLUCIÓN")*(MOVIMIENTOS!$C$5:$C$1005="A")*(MOVIMIENTOS!$D$5:$D$1005="jabas")*(MOVIMIENTOS!$A$5:$A$1005&lt;&gt;"")*(MOVIMIENTOS!$A$5:$A$1005&lt;=$A843)*MOVIMIENTOS!$E$5:$E$1005)-SUMPRODUCT((MOVIMIENTOS!$B$5:$B$1005="TRASIEGO")*(MOVIMIENTOS!$C$5:$C$1005="A")*(MOVIMIENTOS!$D$5:$D$1005="jabas")*(MOVIMIENTOS!$A$5:$A$1005&lt;&gt;"")*(MOVIMIENTOS!$A$5:$A$1005&lt;=$A843)*MOVIMIENTOS!$E$5:$E$1005)-SUMPRODUCT((MOVIMIENTOS!$B$5:$B$1005="REGALO")*(MOVIMIENTOS!$C$5:$C$1005="A")*(MOVIMIENTOS!$D$5:$D$1005="jabas")*(MOVIMIENTOS!$A$5:$A$1005&lt;&gt;"")*(MOVIMIENTOS!$A$5:$A$1005&lt;=$A843)*MOVIMIENTOS!$E$5:$E$1005)-SUMPRODUCT((MOVIMIENTOS!$B$5:$B$1005="VENTA")*(MOVIMIENTOS!$C$5:$C$1005="A")*(MOVIMIENTOS!$D$5:$D$1005="jabas")*(MOVIMIENTOS!$A$5:$A$1005&lt;&gt;"")*(MOVIMIENTOS!$A$5:$A$1005&lt;=$A843)*MOVIMIENTOS!$E$5:$E$1005)+SUMPRODUCT((MOVIMIENTOS!$B$5:$B$1005="AJUSTE")*(MOVIMIENTOS!$C$5:$C$1005="A")*(MOVIMIENTOS!$D$5:$D$1005="jabas")*(MOVIMIENTOS!$A$5:$A$1005&lt;&gt;"")*(MOVIMIENTOS!$A$5:$A$1005&lt;=$A843)*MOVIMIENTOS!$E$5:$E$1005))</f>
        <v/>
      </c>
      <c r="C843" t="str">
        <f>IF($A843="","",SUMPRODUCT((MOVIMIENTOS!$B$5:$B$1005="SALDO INICIAL")*(MOVIMIENTOS!$C$5:$C$1005="P")*(MOVIMIENTOS!$D$5:$D$1005="jabas")*(MOVIMIENTOS!$A$5:$A$1005&lt;&gt;"")*(MOVIMIENTOS!$A$5:$A$1005&lt;=$A843)*MOVIMIENTOS!$E$5:$E$1005)+SUMPRODUCT((MOVIMIENTOS!$B$5:$B$1005="PROCESO")*(MOVIMIENTOS!$C$5:$C$1005="P")*(MOVIMIENTOS!$D$5:$D$1005="jabas")*(MOVIMIENTOS!$A$5:$A$1005&lt;&gt;"")*(MOVIMIENTOS!$A$5:$A$1005&lt;=$A843)*MOVIMIENTOS!$E$5:$E$1005)-SUMPRODUCT((MOVIMIENTOS!$B$5:$B$1005="ENVÍO A SUPESA")*(MOVIMIENTOS!$C$5:$C$1005="P")*(MOVIMIENTOS!$D$5:$D$1005="jabas")*(MOVIMIENTOS!$A$5:$A$1005&lt;&gt;"")*(MOVIMIENTOS!$A$5:$A$1005&lt;=$A843)*MOVIMIENTOS!$E$5:$E$1005)+SUMPRODUCT((MOVIMIENTOS!$B$5:$B$1005="DEVOLUCIÓN")*(MOVIMIENTOS!$C$5:$C$1005="P")*(MOVIMIENTOS!$D$5:$D$1005="jabas")*(MOVIMIENTOS!$A$5:$A$1005&lt;&gt;"")*(MOVIMIENTOS!$A$5:$A$1005&lt;=$A843)*MOVIMIENTOS!$E$5:$E$1005)-SUMPRODUCT((MOVIMIENTOS!$B$5:$B$1005="TRASIEGO")*(MOVIMIENTOS!$C$5:$C$1005="P")*(MOVIMIENTOS!$D$5:$D$1005="jabas")*(MOVIMIENTOS!$A$5:$A$1005&lt;&gt;"")*(MOVIMIENTOS!$A$5:$A$1005&lt;=$A843)*MOVIMIENTOS!$E$5:$E$1005)-SUMPRODUCT((MOVIMIENTOS!$B$5:$B$1005="REGALO")*(MOVIMIENTOS!$C$5:$C$1005="P")*(MOVIMIENTOS!$D$5:$D$1005="jabas")*(MOVIMIENTOS!$A$5:$A$1005&lt;&gt;"")*(MOVIMIENTOS!$A$5:$A$1005&lt;=$A843)*MOVIMIENTOS!$E$5:$E$1005)-SUMPRODUCT((MOVIMIENTOS!$B$5:$B$1005="VENTA")*(MOVIMIENTOS!$C$5:$C$1005="P")*(MOVIMIENTOS!$D$5:$D$1005="jabas")*(MOVIMIENTOS!$A$5:$A$1005&lt;&gt;"")*(MOVIMIENTOS!$A$5:$A$1005&lt;=$A843)*MOVIMIENTOS!$E$5:$E$1005)+SUMPRODUCT((MOVIMIENTOS!$B$5:$B$1005="AJUSTE")*(MOVIMIENTOS!$C$5:$C$1005="P")*(MOVIMIENTOS!$D$5:$D$1005="jabas")*(MOVIMIENTOS!$A$5:$A$1005&lt;&gt;"")*(MOVIMIENTOS!$A$5:$A$1005&lt;=$A843)*MOVIMIENTOS!$E$5:$E$1005))</f>
        <v/>
      </c>
      <c r="D843" t="str">
        <f>IF($A843="","",SUMPRODUCT((MOVIMIENTOS!$B$5:$B$1005="SALDO INICIAL")*(MOVIMIENTOS!$C$5:$C$1005="C")*(MOVIMIENTOS!$D$5:$D$1005="jabas")*(MOVIMIENTOS!$A$5:$A$1005&lt;&gt;"")*(MOVIMIENTOS!$A$5:$A$1005&lt;=$A843)*MOVIMIENTOS!$E$5:$E$1005)+SUMPRODUCT((MOVIMIENTOS!$B$5:$B$1005="PROCESO")*(MOVIMIENTOS!$C$5:$C$1005="C")*(MOVIMIENTOS!$D$5:$D$1005="jabas")*(MOVIMIENTOS!$A$5:$A$1005&lt;&gt;"")*(MOVIMIENTOS!$A$5:$A$1005&lt;=$A843)*MOVIMIENTOS!$E$5:$E$1005)-SUMPRODUCT((MOVIMIENTOS!$B$5:$B$1005="ENVÍO A SUPESA")*(MOVIMIENTOS!$C$5:$C$1005="C")*(MOVIMIENTOS!$D$5:$D$1005="jabas")*(MOVIMIENTOS!$A$5:$A$1005&lt;&gt;"")*(MOVIMIENTOS!$A$5:$A$1005&lt;=$A843)*MOVIMIENTOS!$E$5:$E$1005)+SUMPRODUCT((MOVIMIENTOS!$B$5:$B$1005="DEVOLUCIÓN")*(MOVIMIENTOS!$C$5:$C$1005="C")*(MOVIMIENTOS!$D$5:$D$1005="jabas")*(MOVIMIENTOS!$A$5:$A$1005&lt;&gt;"")*(MOVIMIENTOS!$A$5:$A$1005&lt;=$A843)*MOVIMIENTOS!$E$5:$E$1005)-SUMPRODUCT((MOVIMIENTOS!$B$5:$B$1005="TRASIEGO")*(MOVIMIENTOS!$C$5:$C$1005="C")*(MOVIMIENTOS!$D$5:$D$1005="jabas")*(MOVIMIENTOS!$A$5:$A$1005&lt;&gt;"")*(MOVIMIENTOS!$A$5:$A$1005&lt;=$A843)*MOVIMIENTOS!$E$5:$E$1005)-SUMPRODUCT((MOVIMIENTOS!$B$5:$B$1005="REGALO")*(MOVIMIENTOS!$C$5:$C$1005="C")*(MOVIMIENTOS!$D$5:$D$1005="jabas")*(MOVIMIENTOS!$A$5:$A$1005&lt;&gt;"")*(MOVIMIENTOS!$A$5:$A$1005&lt;=$A843)*MOVIMIENTOS!$E$5:$E$1005)-SUMPRODUCT((MOVIMIENTOS!$B$5:$B$1005="VENTA")*(MOVIMIENTOS!$C$5:$C$1005="C")*(MOVIMIENTOS!$D$5:$D$1005="jabas")*(MOVIMIENTOS!$A$5:$A$1005&lt;&gt;"")*(MOVIMIENTOS!$A$5:$A$1005&lt;=$A843)*MOVIMIENTOS!$E$5:$E$1005)+SUMPRODUCT((MOVIMIENTOS!$B$5:$B$1005="AJUSTE")*(MOVIMIENTOS!$C$5:$C$1005="C")*(MOVIMIENTOS!$D$5:$D$1005="jabas")*(MOVIMIENTOS!$A$5:$A$1005&lt;&gt;"")*(MOVIMIENTOS!$A$5:$A$1005&lt;=$A843)*MOVIMIENTOS!$E$5:$E$1005))</f>
        <v/>
      </c>
      <c r="E843" t="str">
        <f>IF($A843="","",SUMPRODUCT((MOVIMIENTOS!$B$5:$B$1005="SALDO INICIAL")*(MOVIMIENTOS!$C$5:$C$1005="M")*(MOVIMIENTOS!$D$5:$D$1005="jabas")*(MOVIMIENTOS!$A$5:$A$1005&lt;&gt;"")*(MOVIMIENTOS!$A$5:$A$1005&lt;=$A843)*MOVIMIENTOS!$E$5:$E$1005)+SUMPRODUCT((MOVIMIENTOS!$B$5:$B$1005="PROCESO")*(MOVIMIENTOS!$C$5:$C$1005="M")*(MOVIMIENTOS!$D$5:$D$1005="jabas")*(MOVIMIENTOS!$A$5:$A$1005&lt;&gt;"")*(MOVIMIENTOS!$A$5:$A$1005&lt;=$A843)*MOVIMIENTOS!$E$5:$E$1005)-SUMPRODUCT((MOVIMIENTOS!$B$5:$B$1005="ENVÍO A SUPESA")*(MOVIMIENTOS!$C$5:$C$1005="M")*(MOVIMIENTOS!$D$5:$D$1005="jabas")*(MOVIMIENTOS!$A$5:$A$1005&lt;&gt;"")*(MOVIMIENTOS!$A$5:$A$1005&lt;=$A843)*MOVIMIENTOS!$E$5:$E$1005)+SUMPRODUCT((MOVIMIENTOS!$B$5:$B$1005="DEVOLUCIÓN")*(MOVIMIENTOS!$C$5:$C$1005="M")*(MOVIMIENTOS!$D$5:$D$1005="jabas")*(MOVIMIENTOS!$A$5:$A$1005&lt;&gt;"")*(MOVIMIENTOS!$A$5:$A$1005&lt;=$A843)*MOVIMIENTOS!$E$5:$E$1005)-SUMPRODUCT((MOVIMIENTOS!$B$5:$B$1005="TRASIEGO")*(MOVIMIENTOS!$C$5:$C$1005="M")*(MOVIMIENTOS!$D$5:$D$1005="jabas")*(MOVIMIENTOS!$A$5:$A$1005&lt;&gt;"")*(MOVIMIENTOS!$A$5:$A$1005&lt;=$A843)*MOVIMIENTOS!$E$5:$E$1005)-SUMPRODUCT((MOVIMIENTOS!$B$5:$B$1005="REGALO")*(MOVIMIENTOS!$C$5:$C$1005="M")*(MOVIMIENTOS!$D$5:$D$1005="jabas")*(MOVIMIENTOS!$A$5:$A$1005&lt;&gt;"")*(MOVIMIENTOS!$A$5:$A$1005&lt;=$A843)*MOVIMIENTOS!$E$5:$E$1005)-SUMPRODUCT((MOVIMIENTOS!$B$5:$B$1005="VENTA")*(MOVIMIENTOS!$C$5:$C$1005="M")*(MOVIMIENTOS!$D$5:$D$1005="jabas")*(MOVIMIENTOS!$A$5:$A$1005&lt;&gt;"")*(MOVIMIENTOS!$A$5:$A$1005&lt;=$A843)*MOVIMIENTOS!$E$5:$E$1005)+SUMPRODUCT((MOVIMIENTOS!$B$5:$B$1005="AJUSTE")*(MOVIMIENTOS!$C$5:$C$1005="M")*(MOVIMIENTOS!$D$5:$D$1005="jabas")*(MOVIMIENTOS!$A$5:$A$1005&lt;&gt;"")*(MOVIMIENTOS!$A$5:$A$1005&lt;=$A843)*MOVIMIENTOS!$E$5:$E$1005))</f>
        <v/>
      </c>
      <c r="F843" s="62" t="str">
        <f>IF($A843="","",SUMPRODUCT((MOVIMIENTOS!$B$5:$B$1005="SALDO INICIAL")*(MOVIMIENTOS!$C$5:$C$1005="Chancho")*(MOVIMIENTOS!$D$5:$D$1005="sacos")*(MOVIMIENTOS!$A$5:$A$1005&lt;&gt;"")*(MOVIMIENTOS!$A$5:$A$1005&lt;=$A843)*MOVIMIENTOS!$E$5:$E$1005)+SUMPRODUCT((MOVIMIENTOS!$B$5:$B$1005="PROCESO")*(MOVIMIENTOS!$C$5:$C$1005="Chancho")*(MOVIMIENTOS!$D$5:$D$1005="sacos")*(MOVIMIENTOS!$A$5:$A$1005&lt;&gt;"")*(MOVIMIENTOS!$A$5:$A$1005&lt;=$A843)*MOVIMIENTOS!$E$5:$E$1005)-SUMPRODUCT((MOVIMIENTOS!$B$5:$B$1005="VENTA CHANCHO")*(MOVIMIENTOS!$C$5:$C$1005="Chancho")*(MOVIMIENTOS!$D$5:$D$1005="sacos")*(MOVIMIENTOS!$A$5:$A$1005&lt;&gt;"")*(MOVIMIENTOS!$A$5:$A$1005&lt;=$A843)*MOVIMIENTOS!$E$5:$E$1005)-SUMPRODUCT((MOVIMIENTOS!$B$5:$B$1005="REGALO")*(MOVIMIENTOS!$C$5:$C$1005="Chancho")*(MOVIMIENTOS!$D$5:$D$1005="sacos")*(MOVIMIENTOS!$A$5:$A$1005&lt;&gt;"")*(MOVIMIENTOS!$A$5:$A$1005&lt;=$A843)*MOVIMIENTOS!$E$5:$E$1005)-SUMPRODUCT((MOVIMIENTOS!$B$5:$B$1005="VENTA")*(MOVIMIENTOS!$C$5:$C$1005="Chancho")*(MOVIMIENTOS!$D$5:$D$1005="sacos")*(MOVIMIENTOS!$A$5:$A$1005&lt;&gt;"")*(MOVIMIENTOS!$A$5:$A$1005&lt;=$A843)*MOVIMIENTOS!$E$5:$E$1005)+SUMPRODUCT((MOVIMIENTOS!$B$5:$B$1005="AJUSTE")*(MOVIMIENTOS!$C$5:$C$1005="Chancho")*(MOVIMIENTOS!$D$5:$D$1005="sacos")*(MOVIMIENTOS!$A$5:$A$1005&lt;&gt;"")*(MOVIMIENTOS!$A$5:$A$1005&lt;=$A843)*MOVIMIENTOS!$E$5:$E$1005))</f>
        <v/>
      </c>
      <c r="G843" s="62" t="str">
        <f t="shared" si="27"/>
        <v/>
      </c>
      <c r="H843" t="str">
        <f>IF($A843="","",SUMPRODUCT((((MOVIMIENTOS!$B$5:$B$1005="SALDO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843)*MOVIMIENTOS!$J$5:$J$1005))</f>
        <v/>
      </c>
      <c r="J843" t="str">
        <f>IF(AND(MOVIMIENTOS!$A848&lt;&gt;"",COUNTIF(MOVIMIENTOS!$A$5:$A847,MOVIMIENTOS!$A848)=0),COUNT(J$4:J842)+1,"")</f>
        <v/>
      </c>
      <c r="K843">
        <f>MOVIMIENTOS!$A848</f>
        <v>0</v>
      </c>
    </row>
    <row r="844" spans="1:11" ht="15" customHeight="1" x14ac:dyDescent="0.2">
      <c r="A844" t="str">
        <f t="shared" si="26"/>
        <v/>
      </c>
      <c r="B844" t="str">
        <f>IF($A844="","",SUMPRODUCT((MOVIMIENTOS!$B$5:$B$1005="SALDO INICIAL")*(MOVIMIENTOS!$C$5:$C$1005="A")*(MOVIMIENTOS!$D$5:$D$1005="jabas")*(MOVIMIENTOS!$A$5:$A$1005&lt;&gt;"")*(MOVIMIENTOS!$A$5:$A$1005&lt;=$A844)*MOVIMIENTOS!$E$5:$E$1005)+SUMPRODUCT((MOVIMIENTOS!$B$5:$B$1005="PROCESO")*(MOVIMIENTOS!$C$5:$C$1005="A")*(MOVIMIENTOS!$D$5:$D$1005="jabas")*(MOVIMIENTOS!$A$5:$A$1005&lt;&gt;"")*(MOVIMIENTOS!$A$5:$A$1005&lt;=$A844)*MOVIMIENTOS!$E$5:$E$1005)-SUMPRODUCT((MOVIMIENTOS!$B$5:$B$1005="ENVÍO A SUPESA")*(MOVIMIENTOS!$C$5:$C$1005="A")*(MOVIMIENTOS!$D$5:$D$1005="jabas")*(MOVIMIENTOS!$A$5:$A$1005&lt;&gt;"")*(MOVIMIENTOS!$A$5:$A$1005&lt;=$A844)*MOVIMIENTOS!$E$5:$E$1005)+SUMPRODUCT((MOVIMIENTOS!$B$5:$B$1005="DEVOLUCIÓN")*(MOVIMIENTOS!$C$5:$C$1005="A")*(MOVIMIENTOS!$D$5:$D$1005="jabas")*(MOVIMIENTOS!$A$5:$A$1005&lt;&gt;"")*(MOVIMIENTOS!$A$5:$A$1005&lt;=$A844)*MOVIMIENTOS!$E$5:$E$1005)-SUMPRODUCT((MOVIMIENTOS!$B$5:$B$1005="TRASIEGO")*(MOVIMIENTOS!$C$5:$C$1005="A")*(MOVIMIENTOS!$D$5:$D$1005="jabas")*(MOVIMIENTOS!$A$5:$A$1005&lt;&gt;"")*(MOVIMIENTOS!$A$5:$A$1005&lt;=$A844)*MOVIMIENTOS!$E$5:$E$1005)-SUMPRODUCT((MOVIMIENTOS!$B$5:$B$1005="REGALO")*(MOVIMIENTOS!$C$5:$C$1005="A")*(MOVIMIENTOS!$D$5:$D$1005="jabas")*(MOVIMIENTOS!$A$5:$A$1005&lt;&gt;"")*(MOVIMIENTOS!$A$5:$A$1005&lt;=$A844)*MOVIMIENTOS!$E$5:$E$1005)-SUMPRODUCT((MOVIMIENTOS!$B$5:$B$1005="VENTA")*(MOVIMIENTOS!$C$5:$C$1005="A")*(MOVIMIENTOS!$D$5:$D$1005="jabas")*(MOVIMIENTOS!$A$5:$A$1005&lt;&gt;"")*(MOVIMIENTOS!$A$5:$A$1005&lt;=$A844)*MOVIMIENTOS!$E$5:$E$1005)+SUMPRODUCT((MOVIMIENTOS!$B$5:$B$1005="AJUSTE")*(MOVIMIENTOS!$C$5:$C$1005="A")*(MOVIMIENTOS!$D$5:$D$1005="jabas")*(MOVIMIENTOS!$A$5:$A$1005&lt;&gt;"")*(MOVIMIENTOS!$A$5:$A$1005&lt;=$A844)*MOVIMIENTOS!$E$5:$E$1005))</f>
        <v/>
      </c>
      <c r="C844" t="str">
        <f>IF($A844="","",SUMPRODUCT((MOVIMIENTOS!$B$5:$B$1005="SALDO INICIAL")*(MOVIMIENTOS!$C$5:$C$1005="P")*(MOVIMIENTOS!$D$5:$D$1005="jabas")*(MOVIMIENTOS!$A$5:$A$1005&lt;&gt;"")*(MOVIMIENTOS!$A$5:$A$1005&lt;=$A844)*MOVIMIENTOS!$E$5:$E$1005)+SUMPRODUCT((MOVIMIENTOS!$B$5:$B$1005="PROCESO")*(MOVIMIENTOS!$C$5:$C$1005="P")*(MOVIMIENTOS!$D$5:$D$1005="jabas")*(MOVIMIENTOS!$A$5:$A$1005&lt;&gt;"")*(MOVIMIENTOS!$A$5:$A$1005&lt;=$A844)*MOVIMIENTOS!$E$5:$E$1005)-SUMPRODUCT((MOVIMIENTOS!$B$5:$B$1005="ENVÍO A SUPESA")*(MOVIMIENTOS!$C$5:$C$1005="P")*(MOVIMIENTOS!$D$5:$D$1005="jabas")*(MOVIMIENTOS!$A$5:$A$1005&lt;&gt;"")*(MOVIMIENTOS!$A$5:$A$1005&lt;=$A844)*MOVIMIENTOS!$E$5:$E$1005)+SUMPRODUCT((MOVIMIENTOS!$B$5:$B$1005="DEVOLUCIÓN")*(MOVIMIENTOS!$C$5:$C$1005="P")*(MOVIMIENTOS!$D$5:$D$1005="jabas")*(MOVIMIENTOS!$A$5:$A$1005&lt;&gt;"")*(MOVIMIENTOS!$A$5:$A$1005&lt;=$A844)*MOVIMIENTOS!$E$5:$E$1005)-SUMPRODUCT((MOVIMIENTOS!$B$5:$B$1005="TRASIEGO")*(MOVIMIENTOS!$C$5:$C$1005="P")*(MOVIMIENTOS!$D$5:$D$1005="jabas")*(MOVIMIENTOS!$A$5:$A$1005&lt;&gt;"")*(MOVIMIENTOS!$A$5:$A$1005&lt;=$A844)*MOVIMIENTOS!$E$5:$E$1005)-SUMPRODUCT((MOVIMIENTOS!$B$5:$B$1005="REGALO")*(MOVIMIENTOS!$C$5:$C$1005="P")*(MOVIMIENTOS!$D$5:$D$1005="jabas")*(MOVIMIENTOS!$A$5:$A$1005&lt;&gt;"")*(MOVIMIENTOS!$A$5:$A$1005&lt;=$A844)*MOVIMIENTOS!$E$5:$E$1005)-SUMPRODUCT((MOVIMIENTOS!$B$5:$B$1005="VENTA")*(MOVIMIENTOS!$C$5:$C$1005="P")*(MOVIMIENTOS!$D$5:$D$1005="jabas")*(MOVIMIENTOS!$A$5:$A$1005&lt;&gt;"")*(MOVIMIENTOS!$A$5:$A$1005&lt;=$A844)*MOVIMIENTOS!$E$5:$E$1005)+SUMPRODUCT((MOVIMIENTOS!$B$5:$B$1005="AJUSTE")*(MOVIMIENTOS!$C$5:$C$1005="P")*(MOVIMIENTOS!$D$5:$D$1005="jabas")*(MOVIMIENTOS!$A$5:$A$1005&lt;&gt;"")*(MOVIMIENTOS!$A$5:$A$1005&lt;=$A844)*MOVIMIENTOS!$E$5:$E$1005))</f>
        <v/>
      </c>
      <c r="D844" t="str">
        <f>IF($A844="","",SUMPRODUCT((MOVIMIENTOS!$B$5:$B$1005="SALDO INICIAL")*(MOVIMIENTOS!$C$5:$C$1005="C")*(MOVIMIENTOS!$D$5:$D$1005="jabas")*(MOVIMIENTOS!$A$5:$A$1005&lt;&gt;"")*(MOVIMIENTOS!$A$5:$A$1005&lt;=$A844)*MOVIMIENTOS!$E$5:$E$1005)+SUMPRODUCT((MOVIMIENTOS!$B$5:$B$1005="PROCESO")*(MOVIMIENTOS!$C$5:$C$1005="C")*(MOVIMIENTOS!$D$5:$D$1005="jabas")*(MOVIMIENTOS!$A$5:$A$1005&lt;&gt;"")*(MOVIMIENTOS!$A$5:$A$1005&lt;=$A844)*MOVIMIENTOS!$E$5:$E$1005)-SUMPRODUCT((MOVIMIENTOS!$B$5:$B$1005="ENVÍO A SUPESA")*(MOVIMIENTOS!$C$5:$C$1005="C")*(MOVIMIENTOS!$D$5:$D$1005="jabas")*(MOVIMIENTOS!$A$5:$A$1005&lt;&gt;"")*(MOVIMIENTOS!$A$5:$A$1005&lt;=$A844)*MOVIMIENTOS!$E$5:$E$1005)+SUMPRODUCT((MOVIMIENTOS!$B$5:$B$1005="DEVOLUCIÓN")*(MOVIMIENTOS!$C$5:$C$1005="C")*(MOVIMIENTOS!$D$5:$D$1005="jabas")*(MOVIMIENTOS!$A$5:$A$1005&lt;&gt;"")*(MOVIMIENTOS!$A$5:$A$1005&lt;=$A844)*MOVIMIENTOS!$E$5:$E$1005)-SUMPRODUCT((MOVIMIENTOS!$B$5:$B$1005="TRASIEGO")*(MOVIMIENTOS!$C$5:$C$1005="C")*(MOVIMIENTOS!$D$5:$D$1005="jabas")*(MOVIMIENTOS!$A$5:$A$1005&lt;&gt;"")*(MOVIMIENTOS!$A$5:$A$1005&lt;=$A844)*MOVIMIENTOS!$E$5:$E$1005)-SUMPRODUCT((MOVIMIENTOS!$B$5:$B$1005="REGALO")*(MOVIMIENTOS!$C$5:$C$1005="C")*(MOVIMIENTOS!$D$5:$D$1005="jabas")*(MOVIMIENTOS!$A$5:$A$1005&lt;&gt;"")*(MOVIMIENTOS!$A$5:$A$1005&lt;=$A844)*MOVIMIENTOS!$E$5:$E$1005)-SUMPRODUCT((MOVIMIENTOS!$B$5:$B$1005="VENTA")*(MOVIMIENTOS!$C$5:$C$1005="C")*(MOVIMIENTOS!$D$5:$D$1005="jabas")*(MOVIMIENTOS!$A$5:$A$1005&lt;&gt;"")*(MOVIMIENTOS!$A$5:$A$1005&lt;=$A844)*MOVIMIENTOS!$E$5:$E$1005)+SUMPRODUCT((MOVIMIENTOS!$B$5:$B$1005="AJUSTE")*(MOVIMIENTOS!$C$5:$C$1005="C")*(MOVIMIENTOS!$D$5:$D$1005="jabas")*(MOVIMIENTOS!$A$5:$A$1005&lt;&gt;"")*(MOVIMIENTOS!$A$5:$A$1005&lt;=$A844)*MOVIMIENTOS!$E$5:$E$1005))</f>
        <v/>
      </c>
      <c r="E844" t="str">
        <f>IF($A844="","",SUMPRODUCT((MOVIMIENTOS!$B$5:$B$1005="SALDO INICIAL")*(MOVIMIENTOS!$C$5:$C$1005="M")*(MOVIMIENTOS!$D$5:$D$1005="jabas")*(MOVIMIENTOS!$A$5:$A$1005&lt;&gt;"")*(MOVIMIENTOS!$A$5:$A$1005&lt;=$A844)*MOVIMIENTOS!$E$5:$E$1005)+SUMPRODUCT((MOVIMIENTOS!$B$5:$B$1005="PROCESO")*(MOVIMIENTOS!$C$5:$C$1005="M")*(MOVIMIENTOS!$D$5:$D$1005="jabas")*(MOVIMIENTOS!$A$5:$A$1005&lt;&gt;"")*(MOVIMIENTOS!$A$5:$A$1005&lt;=$A844)*MOVIMIENTOS!$E$5:$E$1005)-SUMPRODUCT((MOVIMIENTOS!$B$5:$B$1005="ENVÍO A SUPESA")*(MOVIMIENTOS!$C$5:$C$1005="M")*(MOVIMIENTOS!$D$5:$D$1005="jabas")*(MOVIMIENTOS!$A$5:$A$1005&lt;&gt;"")*(MOVIMIENTOS!$A$5:$A$1005&lt;=$A844)*MOVIMIENTOS!$E$5:$E$1005)+SUMPRODUCT((MOVIMIENTOS!$B$5:$B$1005="DEVOLUCIÓN")*(MOVIMIENTOS!$C$5:$C$1005="M")*(MOVIMIENTOS!$D$5:$D$1005="jabas")*(MOVIMIENTOS!$A$5:$A$1005&lt;&gt;"")*(MOVIMIENTOS!$A$5:$A$1005&lt;=$A844)*MOVIMIENTOS!$E$5:$E$1005)-SUMPRODUCT((MOVIMIENTOS!$B$5:$B$1005="TRASIEGO")*(MOVIMIENTOS!$C$5:$C$1005="M")*(MOVIMIENTOS!$D$5:$D$1005="jabas")*(MOVIMIENTOS!$A$5:$A$1005&lt;&gt;"")*(MOVIMIENTOS!$A$5:$A$1005&lt;=$A844)*MOVIMIENTOS!$E$5:$E$1005)-SUMPRODUCT((MOVIMIENTOS!$B$5:$B$1005="REGALO")*(MOVIMIENTOS!$C$5:$C$1005="M")*(MOVIMIENTOS!$D$5:$D$1005="jabas")*(MOVIMIENTOS!$A$5:$A$1005&lt;&gt;"")*(MOVIMIENTOS!$A$5:$A$1005&lt;=$A844)*MOVIMIENTOS!$E$5:$E$1005)-SUMPRODUCT((MOVIMIENTOS!$B$5:$B$1005="VENTA")*(MOVIMIENTOS!$C$5:$C$1005="M")*(MOVIMIENTOS!$D$5:$D$1005="jabas")*(MOVIMIENTOS!$A$5:$A$1005&lt;&gt;"")*(MOVIMIENTOS!$A$5:$A$1005&lt;=$A844)*MOVIMIENTOS!$E$5:$E$1005)+SUMPRODUCT((MOVIMIENTOS!$B$5:$B$1005="AJUSTE")*(MOVIMIENTOS!$C$5:$C$1005="M")*(MOVIMIENTOS!$D$5:$D$1005="jabas")*(MOVIMIENTOS!$A$5:$A$1005&lt;&gt;"")*(MOVIMIENTOS!$A$5:$A$1005&lt;=$A844)*MOVIMIENTOS!$E$5:$E$1005))</f>
        <v/>
      </c>
      <c r="F844" s="62" t="str">
        <f>IF($A844="","",SUMPRODUCT((MOVIMIENTOS!$B$5:$B$1005="SALDO INICIAL")*(MOVIMIENTOS!$C$5:$C$1005="Chancho")*(MOVIMIENTOS!$D$5:$D$1005="sacos")*(MOVIMIENTOS!$A$5:$A$1005&lt;&gt;"")*(MOVIMIENTOS!$A$5:$A$1005&lt;=$A844)*MOVIMIENTOS!$E$5:$E$1005)+SUMPRODUCT((MOVIMIENTOS!$B$5:$B$1005="PROCESO")*(MOVIMIENTOS!$C$5:$C$1005="Chancho")*(MOVIMIENTOS!$D$5:$D$1005="sacos")*(MOVIMIENTOS!$A$5:$A$1005&lt;&gt;"")*(MOVIMIENTOS!$A$5:$A$1005&lt;=$A844)*MOVIMIENTOS!$E$5:$E$1005)-SUMPRODUCT((MOVIMIENTOS!$B$5:$B$1005="VENTA CHANCHO")*(MOVIMIENTOS!$C$5:$C$1005="Chancho")*(MOVIMIENTOS!$D$5:$D$1005="sacos")*(MOVIMIENTOS!$A$5:$A$1005&lt;&gt;"")*(MOVIMIENTOS!$A$5:$A$1005&lt;=$A844)*MOVIMIENTOS!$E$5:$E$1005)-SUMPRODUCT((MOVIMIENTOS!$B$5:$B$1005="REGALO")*(MOVIMIENTOS!$C$5:$C$1005="Chancho")*(MOVIMIENTOS!$D$5:$D$1005="sacos")*(MOVIMIENTOS!$A$5:$A$1005&lt;&gt;"")*(MOVIMIENTOS!$A$5:$A$1005&lt;=$A844)*MOVIMIENTOS!$E$5:$E$1005)-SUMPRODUCT((MOVIMIENTOS!$B$5:$B$1005="VENTA")*(MOVIMIENTOS!$C$5:$C$1005="Chancho")*(MOVIMIENTOS!$D$5:$D$1005="sacos")*(MOVIMIENTOS!$A$5:$A$1005&lt;&gt;"")*(MOVIMIENTOS!$A$5:$A$1005&lt;=$A844)*MOVIMIENTOS!$E$5:$E$1005)+SUMPRODUCT((MOVIMIENTOS!$B$5:$B$1005="AJUSTE")*(MOVIMIENTOS!$C$5:$C$1005="Chancho")*(MOVIMIENTOS!$D$5:$D$1005="sacos")*(MOVIMIENTOS!$A$5:$A$1005&lt;&gt;"")*(MOVIMIENTOS!$A$5:$A$1005&lt;=$A844)*MOVIMIENTOS!$E$5:$E$1005))</f>
        <v/>
      </c>
      <c r="G844" s="62" t="str">
        <f t="shared" si="27"/>
        <v/>
      </c>
      <c r="H844" t="str">
        <f>IF($A844="","",SUMPRODUCT((((MOVIMIENTOS!$B$5:$B$1005="SALDO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844)*MOVIMIENTOS!$J$5:$J$1005))</f>
        <v/>
      </c>
      <c r="J844" t="str">
        <f>IF(AND(MOVIMIENTOS!$A849&lt;&gt;"",COUNTIF(MOVIMIENTOS!$A$5:$A848,MOVIMIENTOS!$A849)=0),COUNT(J$4:J843)+1,"")</f>
        <v/>
      </c>
      <c r="K844">
        <f>MOVIMIENTOS!$A849</f>
        <v>0</v>
      </c>
    </row>
    <row r="845" spans="1:11" ht="15" customHeight="1" x14ac:dyDescent="0.2">
      <c r="A845" t="str">
        <f t="shared" si="26"/>
        <v/>
      </c>
      <c r="B845" t="str">
        <f>IF($A845="","",SUMPRODUCT((MOVIMIENTOS!$B$5:$B$1005="SALDO INICIAL")*(MOVIMIENTOS!$C$5:$C$1005="A")*(MOVIMIENTOS!$D$5:$D$1005="jabas")*(MOVIMIENTOS!$A$5:$A$1005&lt;&gt;"")*(MOVIMIENTOS!$A$5:$A$1005&lt;=$A845)*MOVIMIENTOS!$E$5:$E$1005)+SUMPRODUCT((MOVIMIENTOS!$B$5:$B$1005="PROCESO")*(MOVIMIENTOS!$C$5:$C$1005="A")*(MOVIMIENTOS!$D$5:$D$1005="jabas")*(MOVIMIENTOS!$A$5:$A$1005&lt;&gt;"")*(MOVIMIENTOS!$A$5:$A$1005&lt;=$A845)*MOVIMIENTOS!$E$5:$E$1005)-SUMPRODUCT((MOVIMIENTOS!$B$5:$B$1005="ENVÍO A SUPESA")*(MOVIMIENTOS!$C$5:$C$1005="A")*(MOVIMIENTOS!$D$5:$D$1005="jabas")*(MOVIMIENTOS!$A$5:$A$1005&lt;&gt;"")*(MOVIMIENTOS!$A$5:$A$1005&lt;=$A845)*MOVIMIENTOS!$E$5:$E$1005)+SUMPRODUCT((MOVIMIENTOS!$B$5:$B$1005="DEVOLUCIÓN")*(MOVIMIENTOS!$C$5:$C$1005="A")*(MOVIMIENTOS!$D$5:$D$1005="jabas")*(MOVIMIENTOS!$A$5:$A$1005&lt;&gt;"")*(MOVIMIENTOS!$A$5:$A$1005&lt;=$A845)*MOVIMIENTOS!$E$5:$E$1005)-SUMPRODUCT((MOVIMIENTOS!$B$5:$B$1005="TRASIEGO")*(MOVIMIENTOS!$C$5:$C$1005="A")*(MOVIMIENTOS!$D$5:$D$1005="jabas")*(MOVIMIENTOS!$A$5:$A$1005&lt;&gt;"")*(MOVIMIENTOS!$A$5:$A$1005&lt;=$A845)*MOVIMIENTOS!$E$5:$E$1005)-SUMPRODUCT((MOVIMIENTOS!$B$5:$B$1005="REGALO")*(MOVIMIENTOS!$C$5:$C$1005="A")*(MOVIMIENTOS!$D$5:$D$1005="jabas")*(MOVIMIENTOS!$A$5:$A$1005&lt;&gt;"")*(MOVIMIENTOS!$A$5:$A$1005&lt;=$A845)*MOVIMIENTOS!$E$5:$E$1005)-SUMPRODUCT((MOVIMIENTOS!$B$5:$B$1005="VENTA")*(MOVIMIENTOS!$C$5:$C$1005="A")*(MOVIMIENTOS!$D$5:$D$1005="jabas")*(MOVIMIENTOS!$A$5:$A$1005&lt;&gt;"")*(MOVIMIENTOS!$A$5:$A$1005&lt;=$A845)*MOVIMIENTOS!$E$5:$E$1005)+SUMPRODUCT((MOVIMIENTOS!$B$5:$B$1005="AJUSTE")*(MOVIMIENTOS!$C$5:$C$1005="A")*(MOVIMIENTOS!$D$5:$D$1005="jabas")*(MOVIMIENTOS!$A$5:$A$1005&lt;&gt;"")*(MOVIMIENTOS!$A$5:$A$1005&lt;=$A845)*MOVIMIENTOS!$E$5:$E$1005))</f>
        <v/>
      </c>
      <c r="C845" t="str">
        <f>IF($A845="","",SUMPRODUCT((MOVIMIENTOS!$B$5:$B$1005="SALDO INICIAL")*(MOVIMIENTOS!$C$5:$C$1005="P")*(MOVIMIENTOS!$D$5:$D$1005="jabas")*(MOVIMIENTOS!$A$5:$A$1005&lt;&gt;"")*(MOVIMIENTOS!$A$5:$A$1005&lt;=$A845)*MOVIMIENTOS!$E$5:$E$1005)+SUMPRODUCT((MOVIMIENTOS!$B$5:$B$1005="PROCESO")*(MOVIMIENTOS!$C$5:$C$1005="P")*(MOVIMIENTOS!$D$5:$D$1005="jabas")*(MOVIMIENTOS!$A$5:$A$1005&lt;&gt;"")*(MOVIMIENTOS!$A$5:$A$1005&lt;=$A845)*MOVIMIENTOS!$E$5:$E$1005)-SUMPRODUCT((MOVIMIENTOS!$B$5:$B$1005="ENVÍO A SUPESA")*(MOVIMIENTOS!$C$5:$C$1005="P")*(MOVIMIENTOS!$D$5:$D$1005="jabas")*(MOVIMIENTOS!$A$5:$A$1005&lt;&gt;"")*(MOVIMIENTOS!$A$5:$A$1005&lt;=$A845)*MOVIMIENTOS!$E$5:$E$1005)+SUMPRODUCT((MOVIMIENTOS!$B$5:$B$1005="DEVOLUCIÓN")*(MOVIMIENTOS!$C$5:$C$1005="P")*(MOVIMIENTOS!$D$5:$D$1005="jabas")*(MOVIMIENTOS!$A$5:$A$1005&lt;&gt;"")*(MOVIMIENTOS!$A$5:$A$1005&lt;=$A845)*MOVIMIENTOS!$E$5:$E$1005)-SUMPRODUCT((MOVIMIENTOS!$B$5:$B$1005="TRASIEGO")*(MOVIMIENTOS!$C$5:$C$1005="P")*(MOVIMIENTOS!$D$5:$D$1005="jabas")*(MOVIMIENTOS!$A$5:$A$1005&lt;&gt;"")*(MOVIMIENTOS!$A$5:$A$1005&lt;=$A845)*MOVIMIENTOS!$E$5:$E$1005)-SUMPRODUCT((MOVIMIENTOS!$B$5:$B$1005="REGALO")*(MOVIMIENTOS!$C$5:$C$1005="P")*(MOVIMIENTOS!$D$5:$D$1005="jabas")*(MOVIMIENTOS!$A$5:$A$1005&lt;&gt;"")*(MOVIMIENTOS!$A$5:$A$1005&lt;=$A845)*MOVIMIENTOS!$E$5:$E$1005)-SUMPRODUCT((MOVIMIENTOS!$B$5:$B$1005="VENTA")*(MOVIMIENTOS!$C$5:$C$1005="P")*(MOVIMIENTOS!$D$5:$D$1005="jabas")*(MOVIMIENTOS!$A$5:$A$1005&lt;&gt;"")*(MOVIMIENTOS!$A$5:$A$1005&lt;=$A845)*MOVIMIENTOS!$E$5:$E$1005)+SUMPRODUCT((MOVIMIENTOS!$B$5:$B$1005="AJUSTE")*(MOVIMIENTOS!$C$5:$C$1005="P")*(MOVIMIENTOS!$D$5:$D$1005="jabas")*(MOVIMIENTOS!$A$5:$A$1005&lt;&gt;"")*(MOVIMIENTOS!$A$5:$A$1005&lt;=$A845)*MOVIMIENTOS!$E$5:$E$1005))</f>
        <v/>
      </c>
      <c r="D845" t="str">
        <f>IF($A845="","",SUMPRODUCT((MOVIMIENTOS!$B$5:$B$1005="SALDO INICIAL")*(MOVIMIENTOS!$C$5:$C$1005="C")*(MOVIMIENTOS!$D$5:$D$1005="jabas")*(MOVIMIENTOS!$A$5:$A$1005&lt;&gt;"")*(MOVIMIENTOS!$A$5:$A$1005&lt;=$A845)*MOVIMIENTOS!$E$5:$E$1005)+SUMPRODUCT((MOVIMIENTOS!$B$5:$B$1005="PROCESO")*(MOVIMIENTOS!$C$5:$C$1005="C")*(MOVIMIENTOS!$D$5:$D$1005="jabas")*(MOVIMIENTOS!$A$5:$A$1005&lt;&gt;"")*(MOVIMIENTOS!$A$5:$A$1005&lt;=$A845)*MOVIMIENTOS!$E$5:$E$1005)-SUMPRODUCT((MOVIMIENTOS!$B$5:$B$1005="ENVÍO A SUPESA")*(MOVIMIENTOS!$C$5:$C$1005="C")*(MOVIMIENTOS!$D$5:$D$1005="jabas")*(MOVIMIENTOS!$A$5:$A$1005&lt;&gt;"")*(MOVIMIENTOS!$A$5:$A$1005&lt;=$A845)*MOVIMIENTOS!$E$5:$E$1005)+SUMPRODUCT((MOVIMIENTOS!$B$5:$B$1005="DEVOLUCIÓN")*(MOVIMIENTOS!$C$5:$C$1005="C")*(MOVIMIENTOS!$D$5:$D$1005="jabas")*(MOVIMIENTOS!$A$5:$A$1005&lt;&gt;"")*(MOVIMIENTOS!$A$5:$A$1005&lt;=$A845)*MOVIMIENTOS!$E$5:$E$1005)-SUMPRODUCT((MOVIMIENTOS!$B$5:$B$1005="TRASIEGO")*(MOVIMIENTOS!$C$5:$C$1005="C")*(MOVIMIENTOS!$D$5:$D$1005="jabas")*(MOVIMIENTOS!$A$5:$A$1005&lt;&gt;"")*(MOVIMIENTOS!$A$5:$A$1005&lt;=$A845)*MOVIMIENTOS!$E$5:$E$1005)-SUMPRODUCT((MOVIMIENTOS!$B$5:$B$1005="REGALO")*(MOVIMIENTOS!$C$5:$C$1005="C")*(MOVIMIENTOS!$D$5:$D$1005="jabas")*(MOVIMIENTOS!$A$5:$A$1005&lt;&gt;"")*(MOVIMIENTOS!$A$5:$A$1005&lt;=$A845)*MOVIMIENTOS!$E$5:$E$1005)-SUMPRODUCT((MOVIMIENTOS!$B$5:$B$1005="VENTA")*(MOVIMIENTOS!$C$5:$C$1005="C")*(MOVIMIENTOS!$D$5:$D$1005="jabas")*(MOVIMIENTOS!$A$5:$A$1005&lt;&gt;"")*(MOVIMIENTOS!$A$5:$A$1005&lt;=$A845)*MOVIMIENTOS!$E$5:$E$1005)+SUMPRODUCT((MOVIMIENTOS!$B$5:$B$1005="AJUSTE")*(MOVIMIENTOS!$C$5:$C$1005="C")*(MOVIMIENTOS!$D$5:$D$1005="jabas")*(MOVIMIENTOS!$A$5:$A$1005&lt;&gt;"")*(MOVIMIENTOS!$A$5:$A$1005&lt;=$A845)*MOVIMIENTOS!$E$5:$E$1005))</f>
        <v/>
      </c>
      <c r="E845" t="str">
        <f>IF($A845="","",SUMPRODUCT((MOVIMIENTOS!$B$5:$B$1005="SALDO INICIAL")*(MOVIMIENTOS!$C$5:$C$1005="M")*(MOVIMIENTOS!$D$5:$D$1005="jabas")*(MOVIMIENTOS!$A$5:$A$1005&lt;&gt;"")*(MOVIMIENTOS!$A$5:$A$1005&lt;=$A845)*MOVIMIENTOS!$E$5:$E$1005)+SUMPRODUCT((MOVIMIENTOS!$B$5:$B$1005="PROCESO")*(MOVIMIENTOS!$C$5:$C$1005="M")*(MOVIMIENTOS!$D$5:$D$1005="jabas")*(MOVIMIENTOS!$A$5:$A$1005&lt;&gt;"")*(MOVIMIENTOS!$A$5:$A$1005&lt;=$A845)*MOVIMIENTOS!$E$5:$E$1005)-SUMPRODUCT((MOVIMIENTOS!$B$5:$B$1005="ENVÍO A SUPESA")*(MOVIMIENTOS!$C$5:$C$1005="M")*(MOVIMIENTOS!$D$5:$D$1005="jabas")*(MOVIMIENTOS!$A$5:$A$1005&lt;&gt;"")*(MOVIMIENTOS!$A$5:$A$1005&lt;=$A845)*MOVIMIENTOS!$E$5:$E$1005)+SUMPRODUCT((MOVIMIENTOS!$B$5:$B$1005="DEVOLUCIÓN")*(MOVIMIENTOS!$C$5:$C$1005="M")*(MOVIMIENTOS!$D$5:$D$1005="jabas")*(MOVIMIENTOS!$A$5:$A$1005&lt;&gt;"")*(MOVIMIENTOS!$A$5:$A$1005&lt;=$A845)*MOVIMIENTOS!$E$5:$E$1005)-SUMPRODUCT((MOVIMIENTOS!$B$5:$B$1005="TRASIEGO")*(MOVIMIENTOS!$C$5:$C$1005="M")*(MOVIMIENTOS!$D$5:$D$1005="jabas")*(MOVIMIENTOS!$A$5:$A$1005&lt;&gt;"")*(MOVIMIENTOS!$A$5:$A$1005&lt;=$A845)*MOVIMIENTOS!$E$5:$E$1005)-SUMPRODUCT((MOVIMIENTOS!$B$5:$B$1005="REGALO")*(MOVIMIENTOS!$C$5:$C$1005="M")*(MOVIMIENTOS!$D$5:$D$1005="jabas")*(MOVIMIENTOS!$A$5:$A$1005&lt;&gt;"")*(MOVIMIENTOS!$A$5:$A$1005&lt;=$A845)*MOVIMIENTOS!$E$5:$E$1005)-SUMPRODUCT((MOVIMIENTOS!$B$5:$B$1005="VENTA")*(MOVIMIENTOS!$C$5:$C$1005="M")*(MOVIMIENTOS!$D$5:$D$1005="jabas")*(MOVIMIENTOS!$A$5:$A$1005&lt;&gt;"")*(MOVIMIENTOS!$A$5:$A$1005&lt;=$A845)*MOVIMIENTOS!$E$5:$E$1005)+SUMPRODUCT((MOVIMIENTOS!$B$5:$B$1005="AJUSTE")*(MOVIMIENTOS!$C$5:$C$1005="M")*(MOVIMIENTOS!$D$5:$D$1005="jabas")*(MOVIMIENTOS!$A$5:$A$1005&lt;&gt;"")*(MOVIMIENTOS!$A$5:$A$1005&lt;=$A845)*MOVIMIENTOS!$E$5:$E$1005))</f>
        <v/>
      </c>
      <c r="F845" s="62" t="str">
        <f>IF($A845="","",SUMPRODUCT((MOVIMIENTOS!$B$5:$B$1005="SALDO INICIAL")*(MOVIMIENTOS!$C$5:$C$1005="Chancho")*(MOVIMIENTOS!$D$5:$D$1005="sacos")*(MOVIMIENTOS!$A$5:$A$1005&lt;&gt;"")*(MOVIMIENTOS!$A$5:$A$1005&lt;=$A845)*MOVIMIENTOS!$E$5:$E$1005)+SUMPRODUCT((MOVIMIENTOS!$B$5:$B$1005="PROCESO")*(MOVIMIENTOS!$C$5:$C$1005="Chancho")*(MOVIMIENTOS!$D$5:$D$1005="sacos")*(MOVIMIENTOS!$A$5:$A$1005&lt;&gt;"")*(MOVIMIENTOS!$A$5:$A$1005&lt;=$A845)*MOVIMIENTOS!$E$5:$E$1005)-SUMPRODUCT((MOVIMIENTOS!$B$5:$B$1005="VENTA CHANCHO")*(MOVIMIENTOS!$C$5:$C$1005="Chancho")*(MOVIMIENTOS!$D$5:$D$1005="sacos")*(MOVIMIENTOS!$A$5:$A$1005&lt;&gt;"")*(MOVIMIENTOS!$A$5:$A$1005&lt;=$A845)*MOVIMIENTOS!$E$5:$E$1005)-SUMPRODUCT((MOVIMIENTOS!$B$5:$B$1005="REGALO")*(MOVIMIENTOS!$C$5:$C$1005="Chancho")*(MOVIMIENTOS!$D$5:$D$1005="sacos")*(MOVIMIENTOS!$A$5:$A$1005&lt;&gt;"")*(MOVIMIENTOS!$A$5:$A$1005&lt;=$A845)*MOVIMIENTOS!$E$5:$E$1005)-SUMPRODUCT((MOVIMIENTOS!$B$5:$B$1005="VENTA")*(MOVIMIENTOS!$C$5:$C$1005="Chancho")*(MOVIMIENTOS!$D$5:$D$1005="sacos")*(MOVIMIENTOS!$A$5:$A$1005&lt;&gt;"")*(MOVIMIENTOS!$A$5:$A$1005&lt;=$A845)*MOVIMIENTOS!$E$5:$E$1005)+SUMPRODUCT((MOVIMIENTOS!$B$5:$B$1005="AJUSTE")*(MOVIMIENTOS!$C$5:$C$1005="Chancho")*(MOVIMIENTOS!$D$5:$D$1005="sacos")*(MOVIMIENTOS!$A$5:$A$1005&lt;&gt;"")*(MOVIMIENTOS!$A$5:$A$1005&lt;=$A845)*MOVIMIENTOS!$E$5:$E$1005))</f>
        <v/>
      </c>
      <c r="G845" s="62" t="str">
        <f t="shared" si="27"/>
        <v/>
      </c>
      <c r="H845" t="str">
        <f>IF($A845="","",SUMPRODUCT((((MOVIMIENTOS!$B$5:$B$1005="SALDO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845)*MOVIMIENTOS!$J$5:$J$1005))</f>
        <v/>
      </c>
      <c r="J845" t="str">
        <f>IF(AND(MOVIMIENTOS!$A850&lt;&gt;"",COUNTIF(MOVIMIENTOS!$A$5:$A849,MOVIMIENTOS!$A850)=0),COUNT(J$4:J844)+1,"")</f>
        <v/>
      </c>
      <c r="K845">
        <f>MOVIMIENTOS!$A850</f>
        <v>0</v>
      </c>
    </row>
    <row r="846" spans="1:11" ht="15" customHeight="1" x14ac:dyDescent="0.2">
      <c r="A846" t="str">
        <f t="shared" si="26"/>
        <v/>
      </c>
      <c r="B846" t="str">
        <f>IF($A846="","",SUMPRODUCT((MOVIMIENTOS!$B$5:$B$1005="SALDO INICIAL")*(MOVIMIENTOS!$C$5:$C$1005="A")*(MOVIMIENTOS!$D$5:$D$1005="jabas")*(MOVIMIENTOS!$A$5:$A$1005&lt;&gt;"")*(MOVIMIENTOS!$A$5:$A$1005&lt;=$A846)*MOVIMIENTOS!$E$5:$E$1005)+SUMPRODUCT((MOVIMIENTOS!$B$5:$B$1005="PROCESO")*(MOVIMIENTOS!$C$5:$C$1005="A")*(MOVIMIENTOS!$D$5:$D$1005="jabas")*(MOVIMIENTOS!$A$5:$A$1005&lt;&gt;"")*(MOVIMIENTOS!$A$5:$A$1005&lt;=$A846)*MOVIMIENTOS!$E$5:$E$1005)-SUMPRODUCT((MOVIMIENTOS!$B$5:$B$1005="ENVÍO A SUPESA")*(MOVIMIENTOS!$C$5:$C$1005="A")*(MOVIMIENTOS!$D$5:$D$1005="jabas")*(MOVIMIENTOS!$A$5:$A$1005&lt;&gt;"")*(MOVIMIENTOS!$A$5:$A$1005&lt;=$A846)*MOVIMIENTOS!$E$5:$E$1005)+SUMPRODUCT((MOVIMIENTOS!$B$5:$B$1005="DEVOLUCIÓN")*(MOVIMIENTOS!$C$5:$C$1005="A")*(MOVIMIENTOS!$D$5:$D$1005="jabas")*(MOVIMIENTOS!$A$5:$A$1005&lt;&gt;"")*(MOVIMIENTOS!$A$5:$A$1005&lt;=$A846)*MOVIMIENTOS!$E$5:$E$1005)-SUMPRODUCT((MOVIMIENTOS!$B$5:$B$1005="TRASIEGO")*(MOVIMIENTOS!$C$5:$C$1005="A")*(MOVIMIENTOS!$D$5:$D$1005="jabas")*(MOVIMIENTOS!$A$5:$A$1005&lt;&gt;"")*(MOVIMIENTOS!$A$5:$A$1005&lt;=$A846)*MOVIMIENTOS!$E$5:$E$1005)-SUMPRODUCT((MOVIMIENTOS!$B$5:$B$1005="REGALO")*(MOVIMIENTOS!$C$5:$C$1005="A")*(MOVIMIENTOS!$D$5:$D$1005="jabas")*(MOVIMIENTOS!$A$5:$A$1005&lt;&gt;"")*(MOVIMIENTOS!$A$5:$A$1005&lt;=$A846)*MOVIMIENTOS!$E$5:$E$1005)-SUMPRODUCT((MOVIMIENTOS!$B$5:$B$1005="VENTA")*(MOVIMIENTOS!$C$5:$C$1005="A")*(MOVIMIENTOS!$D$5:$D$1005="jabas")*(MOVIMIENTOS!$A$5:$A$1005&lt;&gt;"")*(MOVIMIENTOS!$A$5:$A$1005&lt;=$A846)*MOVIMIENTOS!$E$5:$E$1005)+SUMPRODUCT((MOVIMIENTOS!$B$5:$B$1005="AJUSTE")*(MOVIMIENTOS!$C$5:$C$1005="A")*(MOVIMIENTOS!$D$5:$D$1005="jabas")*(MOVIMIENTOS!$A$5:$A$1005&lt;&gt;"")*(MOVIMIENTOS!$A$5:$A$1005&lt;=$A846)*MOVIMIENTOS!$E$5:$E$1005))</f>
        <v/>
      </c>
      <c r="C846" t="str">
        <f>IF($A846="","",SUMPRODUCT((MOVIMIENTOS!$B$5:$B$1005="SALDO INICIAL")*(MOVIMIENTOS!$C$5:$C$1005="P")*(MOVIMIENTOS!$D$5:$D$1005="jabas")*(MOVIMIENTOS!$A$5:$A$1005&lt;&gt;"")*(MOVIMIENTOS!$A$5:$A$1005&lt;=$A846)*MOVIMIENTOS!$E$5:$E$1005)+SUMPRODUCT((MOVIMIENTOS!$B$5:$B$1005="PROCESO")*(MOVIMIENTOS!$C$5:$C$1005="P")*(MOVIMIENTOS!$D$5:$D$1005="jabas")*(MOVIMIENTOS!$A$5:$A$1005&lt;&gt;"")*(MOVIMIENTOS!$A$5:$A$1005&lt;=$A846)*MOVIMIENTOS!$E$5:$E$1005)-SUMPRODUCT((MOVIMIENTOS!$B$5:$B$1005="ENVÍO A SUPESA")*(MOVIMIENTOS!$C$5:$C$1005="P")*(MOVIMIENTOS!$D$5:$D$1005="jabas")*(MOVIMIENTOS!$A$5:$A$1005&lt;&gt;"")*(MOVIMIENTOS!$A$5:$A$1005&lt;=$A846)*MOVIMIENTOS!$E$5:$E$1005)+SUMPRODUCT((MOVIMIENTOS!$B$5:$B$1005="DEVOLUCIÓN")*(MOVIMIENTOS!$C$5:$C$1005="P")*(MOVIMIENTOS!$D$5:$D$1005="jabas")*(MOVIMIENTOS!$A$5:$A$1005&lt;&gt;"")*(MOVIMIENTOS!$A$5:$A$1005&lt;=$A846)*MOVIMIENTOS!$E$5:$E$1005)-SUMPRODUCT((MOVIMIENTOS!$B$5:$B$1005="TRASIEGO")*(MOVIMIENTOS!$C$5:$C$1005="P")*(MOVIMIENTOS!$D$5:$D$1005="jabas")*(MOVIMIENTOS!$A$5:$A$1005&lt;&gt;"")*(MOVIMIENTOS!$A$5:$A$1005&lt;=$A846)*MOVIMIENTOS!$E$5:$E$1005)-SUMPRODUCT((MOVIMIENTOS!$B$5:$B$1005="REGALO")*(MOVIMIENTOS!$C$5:$C$1005="P")*(MOVIMIENTOS!$D$5:$D$1005="jabas")*(MOVIMIENTOS!$A$5:$A$1005&lt;&gt;"")*(MOVIMIENTOS!$A$5:$A$1005&lt;=$A846)*MOVIMIENTOS!$E$5:$E$1005)-SUMPRODUCT((MOVIMIENTOS!$B$5:$B$1005="VENTA")*(MOVIMIENTOS!$C$5:$C$1005="P")*(MOVIMIENTOS!$D$5:$D$1005="jabas")*(MOVIMIENTOS!$A$5:$A$1005&lt;&gt;"")*(MOVIMIENTOS!$A$5:$A$1005&lt;=$A846)*MOVIMIENTOS!$E$5:$E$1005)+SUMPRODUCT((MOVIMIENTOS!$B$5:$B$1005="AJUSTE")*(MOVIMIENTOS!$C$5:$C$1005="P")*(MOVIMIENTOS!$D$5:$D$1005="jabas")*(MOVIMIENTOS!$A$5:$A$1005&lt;&gt;"")*(MOVIMIENTOS!$A$5:$A$1005&lt;=$A846)*MOVIMIENTOS!$E$5:$E$1005))</f>
        <v/>
      </c>
      <c r="D846" t="str">
        <f>IF($A846="","",SUMPRODUCT((MOVIMIENTOS!$B$5:$B$1005="SALDO INICIAL")*(MOVIMIENTOS!$C$5:$C$1005="C")*(MOVIMIENTOS!$D$5:$D$1005="jabas")*(MOVIMIENTOS!$A$5:$A$1005&lt;&gt;"")*(MOVIMIENTOS!$A$5:$A$1005&lt;=$A846)*MOVIMIENTOS!$E$5:$E$1005)+SUMPRODUCT((MOVIMIENTOS!$B$5:$B$1005="PROCESO")*(MOVIMIENTOS!$C$5:$C$1005="C")*(MOVIMIENTOS!$D$5:$D$1005="jabas")*(MOVIMIENTOS!$A$5:$A$1005&lt;&gt;"")*(MOVIMIENTOS!$A$5:$A$1005&lt;=$A846)*MOVIMIENTOS!$E$5:$E$1005)-SUMPRODUCT((MOVIMIENTOS!$B$5:$B$1005="ENVÍO A SUPESA")*(MOVIMIENTOS!$C$5:$C$1005="C")*(MOVIMIENTOS!$D$5:$D$1005="jabas")*(MOVIMIENTOS!$A$5:$A$1005&lt;&gt;"")*(MOVIMIENTOS!$A$5:$A$1005&lt;=$A846)*MOVIMIENTOS!$E$5:$E$1005)+SUMPRODUCT((MOVIMIENTOS!$B$5:$B$1005="DEVOLUCIÓN")*(MOVIMIENTOS!$C$5:$C$1005="C")*(MOVIMIENTOS!$D$5:$D$1005="jabas")*(MOVIMIENTOS!$A$5:$A$1005&lt;&gt;"")*(MOVIMIENTOS!$A$5:$A$1005&lt;=$A846)*MOVIMIENTOS!$E$5:$E$1005)-SUMPRODUCT((MOVIMIENTOS!$B$5:$B$1005="TRASIEGO")*(MOVIMIENTOS!$C$5:$C$1005="C")*(MOVIMIENTOS!$D$5:$D$1005="jabas")*(MOVIMIENTOS!$A$5:$A$1005&lt;&gt;"")*(MOVIMIENTOS!$A$5:$A$1005&lt;=$A846)*MOVIMIENTOS!$E$5:$E$1005)-SUMPRODUCT((MOVIMIENTOS!$B$5:$B$1005="REGALO")*(MOVIMIENTOS!$C$5:$C$1005="C")*(MOVIMIENTOS!$D$5:$D$1005="jabas")*(MOVIMIENTOS!$A$5:$A$1005&lt;&gt;"")*(MOVIMIENTOS!$A$5:$A$1005&lt;=$A846)*MOVIMIENTOS!$E$5:$E$1005)-SUMPRODUCT((MOVIMIENTOS!$B$5:$B$1005="VENTA")*(MOVIMIENTOS!$C$5:$C$1005="C")*(MOVIMIENTOS!$D$5:$D$1005="jabas")*(MOVIMIENTOS!$A$5:$A$1005&lt;&gt;"")*(MOVIMIENTOS!$A$5:$A$1005&lt;=$A846)*MOVIMIENTOS!$E$5:$E$1005)+SUMPRODUCT((MOVIMIENTOS!$B$5:$B$1005="AJUSTE")*(MOVIMIENTOS!$C$5:$C$1005="C")*(MOVIMIENTOS!$D$5:$D$1005="jabas")*(MOVIMIENTOS!$A$5:$A$1005&lt;&gt;"")*(MOVIMIENTOS!$A$5:$A$1005&lt;=$A846)*MOVIMIENTOS!$E$5:$E$1005))</f>
        <v/>
      </c>
      <c r="E846" t="str">
        <f>IF($A846="","",SUMPRODUCT((MOVIMIENTOS!$B$5:$B$1005="SALDO INICIAL")*(MOVIMIENTOS!$C$5:$C$1005="M")*(MOVIMIENTOS!$D$5:$D$1005="jabas")*(MOVIMIENTOS!$A$5:$A$1005&lt;&gt;"")*(MOVIMIENTOS!$A$5:$A$1005&lt;=$A846)*MOVIMIENTOS!$E$5:$E$1005)+SUMPRODUCT((MOVIMIENTOS!$B$5:$B$1005="PROCESO")*(MOVIMIENTOS!$C$5:$C$1005="M")*(MOVIMIENTOS!$D$5:$D$1005="jabas")*(MOVIMIENTOS!$A$5:$A$1005&lt;&gt;"")*(MOVIMIENTOS!$A$5:$A$1005&lt;=$A846)*MOVIMIENTOS!$E$5:$E$1005)-SUMPRODUCT((MOVIMIENTOS!$B$5:$B$1005="ENVÍO A SUPESA")*(MOVIMIENTOS!$C$5:$C$1005="M")*(MOVIMIENTOS!$D$5:$D$1005="jabas")*(MOVIMIENTOS!$A$5:$A$1005&lt;&gt;"")*(MOVIMIENTOS!$A$5:$A$1005&lt;=$A846)*MOVIMIENTOS!$E$5:$E$1005)+SUMPRODUCT((MOVIMIENTOS!$B$5:$B$1005="DEVOLUCIÓN")*(MOVIMIENTOS!$C$5:$C$1005="M")*(MOVIMIENTOS!$D$5:$D$1005="jabas")*(MOVIMIENTOS!$A$5:$A$1005&lt;&gt;"")*(MOVIMIENTOS!$A$5:$A$1005&lt;=$A846)*MOVIMIENTOS!$E$5:$E$1005)-SUMPRODUCT((MOVIMIENTOS!$B$5:$B$1005="TRASIEGO")*(MOVIMIENTOS!$C$5:$C$1005="M")*(MOVIMIENTOS!$D$5:$D$1005="jabas")*(MOVIMIENTOS!$A$5:$A$1005&lt;&gt;"")*(MOVIMIENTOS!$A$5:$A$1005&lt;=$A846)*MOVIMIENTOS!$E$5:$E$1005)-SUMPRODUCT((MOVIMIENTOS!$B$5:$B$1005="REGALO")*(MOVIMIENTOS!$C$5:$C$1005="M")*(MOVIMIENTOS!$D$5:$D$1005="jabas")*(MOVIMIENTOS!$A$5:$A$1005&lt;&gt;"")*(MOVIMIENTOS!$A$5:$A$1005&lt;=$A846)*MOVIMIENTOS!$E$5:$E$1005)-SUMPRODUCT((MOVIMIENTOS!$B$5:$B$1005="VENTA")*(MOVIMIENTOS!$C$5:$C$1005="M")*(MOVIMIENTOS!$D$5:$D$1005="jabas")*(MOVIMIENTOS!$A$5:$A$1005&lt;&gt;"")*(MOVIMIENTOS!$A$5:$A$1005&lt;=$A846)*MOVIMIENTOS!$E$5:$E$1005)+SUMPRODUCT((MOVIMIENTOS!$B$5:$B$1005="AJUSTE")*(MOVIMIENTOS!$C$5:$C$1005="M")*(MOVIMIENTOS!$D$5:$D$1005="jabas")*(MOVIMIENTOS!$A$5:$A$1005&lt;&gt;"")*(MOVIMIENTOS!$A$5:$A$1005&lt;=$A846)*MOVIMIENTOS!$E$5:$E$1005))</f>
        <v/>
      </c>
      <c r="F846" s="62" t="str">
        <f>IF($A846="","",SUMPRODUCT((MOVIMIENTOS!$B$5:$B$1005="SALDO INICIAL")*(MOVIMIENTOS!$C$5:$C$1005="Chancho")*(MOVIMIENTOS!$D$5:$D$1005="sacos")*(MOVIMIENTOS!$A$5:$A$1005&lt;&gt;"")*(MOVIMIENTOS!$A$5:$A$1005&lt;=$A846)*MOVIMIENTOS!$E$5:$E$1005)+SUMPRODUCT((MOVIMIENTOS!$B$5:$B$1005="PROCESO")*(MOVIMIENTOS!$C$5:$C$1005="Chancho")*(MOVIMIENTOS!$D$5:$D$1005="sacos")*(MOVIMIENTOS!$A$5:$A$1005&lt;&gt;"")*(MOVIMIENTOS!$A$5:$A$1005&lt;=$A846)*MOVIMIENTOS!$E$5:$E$1005)-SUMPRODUCT((MOVIMIENTOS!$B$5:$B$1005="VENTA CHANCHO")*(MOVIMIENTOS!$C$5:$C$1005="Chancho")*(MOVIMIENTOS!$D$5:$D$1005="sacos")*(MOVIMIENTOS!$A$5:$A$1005&lt;&gt;"")*(MOVIMIENTOS!$A$5:$A$1005&lt;=$A846)*MOVIMIENTOS!$E$5:$E$1005)-SUMPRODUCT((MOVIMIENTOS!$B$5:$B$1005="REGALO")*(MOVIMIENTOS!$C$5:$C$1005="Chancho")*(MOVIMIENTOS!$D$5:$D$1005="sacos")*(MOVIMIENTOS!$A$5:$A$1005&lt;&gt;"")*(MOVIMIENTOS!$A$5:$A$1005&lt;=$A846)*MOVIMIENTOS!$E$5:$E$1005)-SUMPRODUCT((MOVIMIENTOS!$B$5:$B$1005="VENTA")*(MOVIMIENTOS!$C$5:$C$1005="Chancho")*(MOVIMIENTOS!$D$5:$D$1005="sacos")*(MOVIMIENTOS!$A$5:$A$1005&lt;&gt;"")*(MOVIMIENTOS!$A$5:$A$1005&lt;=$A846)*MOVIMIENTOS!$E$5:$E$1005)+SUMPRODUCT((MOVIMIENTOS!$B$5:$B$1005="AJUSTE")*(MOVIMIENTOS!$C$5:$C$1005="Chancho")*(MOVIMIENTOS!$D$5:$D$1005="sacos")*(MOVIMIENTOS!$A$5:$A$1005&lt;&gt;"")*(MOVIMIENTOS!$A$5:$A$1005&lt;=$A846)*MOVIMIENTOS!$E$5:$E$1005))</f>
        <v/>
      </c>
      <c r="G846" s="62" t="str">
        <f t="shared" si="27"/>
        <v/>
      </c>
      <c r="H846" t="str">
        <f>IF($A846="","",SUMPRODUCT((((MOVIMIENTOS!$B$5:$B$1005="SALDO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846)*MOVIMIENTOS!$J$5:$J$1005))</f>
        <v/>
      </c>
      <c r="J846" t="str">
        <f>IF(AND(MOVIMIENTOS!$A851&lt;&gt;"",COUNTIF(MOVIMIENTOS!$A$5:$A850,MOVIMIENTOS!$A851)=0),COUNT(J$4:J845)+1,"")</f>
        <v/>
      </c>
      <c r="K846">
        <f>MOVIMIENTOS!$A851</f>
        <v>0</v>
      </c>
    </row>
    <row r="847" spans="1:11" ht="15" customHeight="1" x14ac:dyDescent="0.2">
      <c r="A847" t="str">
        <f t="shared" si="26"/>
        <v/>
      </c>
      <c r="B847" t="str">
        <f>IF($A847="","",SUMPRODUCT((MOVIMIENTOS!$B$5:$B$1005="SALDO INICIAL")*(MOVIMIENTOS!$C$5:$C$1005="A")*(MOVIMIENTOS!$D$5:$D$1005="jabas")*(MOVIMIENTOS!$A$5:$A$1005&lt;&gt;"")*(MOVIMIENTOS!$A$5:$A$1005&lt;=$A847)*MOVIMIENTOS!$E$5:$E$1005)+SUMPRODUCT((MOVIMIENTOS!$B$5:$B$1005="PROCESO")*(MOVIMIENTOS!$C$5:$C$1005="A")*(MOVIMIENTOS!$D$5:$D$1005="jabas")*(MOVIMIENTOS!$A$5:$A$1005&lt;&gt;"")*(MOVIMIENTOS!$A$5:$A$1005&lt;=$A847)*MOVIMIENTOS!$E$5:$E$1005)-SUMPRODUCT((MOVIMIENTOS!$B$5:$B$1005="ENVÍO A SUPESA")*(MOVIMIENTOS!$C$5:$C$1005="A")*(MOVIMIENTOS!$D$5:$D$1005="jabas")*(MOVIMIENTOS!$A$5:$A$1005&lt;&gt;"")*(MOVIMIENTOS!$A$5:$A$1005&lt;=$A847)*MOVIMIENTOS!$E$5:$E$1005)+SUMPRODUCT((MOVIMIENTOS!$B$5:$B$1005="DEVOLUCIÓN")*(MOVIMIENTOS!$C$5:$C$1005="A")*(MOVIMIENTOS!$D$5:$D$1005="jabas")*(MOVIMIENTOS!$A$5:$A$1005&lt;&gt;"")*(MOVIMIENTOS!$A$5:$A$1005&lt;=$A847)*MOVIMIENTOS!$E$5:$E$1005)-SUMPRODUCT((MOVIMIENTOS!$B$5:$B$1005="TRASIEGO")*(MOVIMIENTOS!$C$5:$C$1005="A")*(MOVIMIENTOS!$D$5:$D$1005="jabas")*(MOVIMIENTOS!$A$5:$A$1005&lt;&gt;"")*(MOVIMIENTOS!$A$5:$A$1005&lt;=$A847)*MOVIMIENTOS!$E$5:$E$1005)-SUMPRODUCT((MOVIMIENTOS!$B$5:$B$1005="REGALO")*(MOVIMIENTOS!$C$5:$C$1005="A")*(MOVIMIENTOS!$D$5:$D$1005="jabas")*(MOVIMIENTOS!$A$5:$A$1005&lt;&gt;"")*(MOVIMIENTOS!$A$5:$A$1005&lt;=$A847)*MOVIMIENTOS!$E$5:$E$1005)-SUMPRODUCT((MOVIMIENTOS!$B$5:$B$1005="VENTA")*(MOVIMIENTOS!$C$5:$C$1005="A")*(MOVIMIENTOS!$D$5:$D$1005="jabas")*(MOVIMIENTOS!$A$5:$A$1005&lt;&gt;"")*(MOVIMIENTOS!$A$5:$A$1005&lt;=$A847)*MOVIMIENTOS!$E$5:$E$1005)+SUMPRODUCT((MOVIMIENTOS!$B$5:$B$1005="AJUSTE")*(MOVIMIENTOS!$C$5:$C$1005="A")*(MOVIMIENTOS!$D$5:$D$1005="jabas")*(MOVIMIENTOS!$A$5:$A$1005&lt;&gt;"")*(MOVIMIENTOS!$A$5:$A$1005&lt;=$A847)*MOVIMIENTOS!$E$5:$E$1005))</f>
        <v/>
      </c>
      <c r="C847" t="str">
        <f>IF($A847="","",SUMPRODUCT((MOVIMIENTOS!$B$5:$B$1005="SALDO INICIAL")*(MOVIMIENTOS!$C$5:$C$1005="P")*(MOVIMIENTOS!$D$5:$D$1005="jabas")*(MOVIMIENTOS!$A$5:$A$1005&lt;&gt;"")*(MOVIMIENTOS!$A$5:$A$1005&lt;=$A847)*MOVIMIENTOS!$E$5:$E$1005)+SUMPRODUCT((MOVIMIENTOS!$B$5:$B$1005="PROCESO")*(MOVIMIENTOS!$C$5:$C$1005="P")*(MOVIMIENTOS!$D$5:$D$1005="jabas")*(MOVIMIENTOS!$A$5:$A$1005&lt;&gt;"")*(MOVIMIENTOS!$A$5:$A$1005&lt;=$A847)*MOVIMIENTOS!$E$5:$E$1005)-SUMPRODUCT((MOVIMIENTOS!$B$5:$B$1005="ENVÍO A SUPESA")*(MOVIMIENTOS!$C$5:$C$1005="P")*(MOVIMIENTOS!$D$5:$D$1005="jabas")*(MOVIMIENTOS!$A$5:$A$1005&lt;&gt;"")*(MOVIMIENTOS!$A$5:$A$1005&lt;=$A847)*MOVIMIENTOS!$E$5:$E$1005)+SUMPRODUCT((MOVIMIENTOS!$B$5:$B$1005="DEVOLUCIÓN")*(MOVIMIENTOS!$C$5:$C$1005="P")*(MOVIMIENTOS!$D$5:$D$1005="jabas")*(MOVIMIENTOS!$A$5:$A$1005&lt;&gt;"")*(MOVIMIENTOS!$A$5:$A$1005&lt;=$A847)*MOVIMIENTOS!$E$5:$E$1005)-SUMPRODUCT((MOVIMIENTOS!$B$5:$B$1005="TRASIEGO")*(MOVIMIENTOS!$C$5:$C$1005="P")*(MOVIMIENTOS!$D$5:$D$1005="jabas")*(MOVIMIENTOS!$A$5:$A$1005&lt;&gt;"")*(MOVIMIENTOS!$A$5:$A$1005&lt;=$A847)*MOVIMIENTOS!$E$5:$E$1005)-SUMPRODUCT((MOVIMIENTOS!$B$5:$B$1005="REGALO")*(MOVIMIENTOS!$C$5:$C$1005="P")*(MOVIMIENTOS!$D$5:$D$1005="jabas")*(MOVIMIENTOS!$A$5:$A$1005&lt;&gt;"")*(MOVIMIENTOS!$A$5:$A$1005&lt;=$A847)*MOVIMIENTOS!$E$5:$E$1005)-SUMPRODUCT((MOVIMIENTOS!$B$5:$B$1005="VENTA")*(MOVIMIENTOS!$C$5:$C$1005="P")*(MOVIMIENTOS!$D$5:$D$1005="jabas")*(MOVIMIENTOS!$A$5:$A$1005&lt;&gt;"")*(MOVIMIENTOS!$A$5:$A$1005&lt;=$A847)*MOVIMIENTOS!$E$5:$E$1005)+SUMPRODUCT((MOVIMIENTOS!$B$5:$B$1005="AJUSTE")*(MOVIMIENTOS!$C$5:$C$1005="P")*(MOVIMIENTOS!$D$5:$D$1005="jabas")*(MOVIMIENTOS!$A$5:$A$1005&lt;&gt;"")*(MOVIMIENTOS!$A$5:$A$1005&lt;=$A847)*MOVIMIENTOS!$E$5:$E$1005))</f>
        <v/>
      </c>
      <c r="D847" t="str">
        <f>IF($A847="","",SUMPRODUCT((MOVIMIENTOS!$B$5:$B$1005="SALDO INICIAL")*(MOVIMIENTOS!$C$5:$C$1005="C")*(MOVIMIENTOS!$D$5:$D$1005="jabas")*(MOVIMIENTOS!$A$5:$A$1005&lt;&gt;"")*(MOVIMIENTOS!$A$5:$A$1005&lt;=$A847)*MOVIMIENTOS!$E$5:$E$1005)+SUMPRODUCT((MOVIMIENTOS!$B$5:$B$1005="PROCESO")*(MOVIMIENTOS!$C$5:$C$1005="C")*(MOVIMIENTOS!$D$5:$D$1005="jabas")*(MOVIMIENTOS!$A$5:$A$1005&lt;&gt;"")*(MOVIMIENTOS!$A$5:$A$1005&lt;=$A847)*MOVIMIENTOS!$E$5:$E$1005)-SUMPRODUCT((MOVIMIENTOS!$B$5:$B$1005="ENVÍO A SUPESA")*(MOVIMIENTOS!$C$5:$C$1005="C")*(MOVIMIENTOS!$D$5:$D$1005="jabas")*(MOVIMIENTOS!$A$5:$A$1005&lt;&gt;"")*(MOVIMIENTOS!$A$5:$A$1005&lt;=$A847)*MOVIMIENTOS!$E$5:$E$1005)+SUMPRODUCT((MOVIMIENTOS!$B$5:$B$1005="DEVOLUCIÓN")*(MOVIMIENTOS!$C$5:$C$1005="C")*(MOVIMIENTOS!$D$5:$D$1005="jabas")*(MOVIMIENTOS!$A$5:$A$1005&lt;&gt;"")*(MOVIMIENTOS!$A$5:$A$1005&lt;=$A847)*MOVIMIENTOS!$E$5:$E$1005)-SUMPRODUCT((MOVIMIENTOS!$B$5:$B$1005="TRASIEGO")*(MOVIMIENTOS!$C$5:$C$1005="C")*(MOVIMIENTOS!$D$5:$D$1005="jabas")*(MOVIMIENTOS!$A$5:$A$1005&lt;&gt;"")*(MOVIMIENTOS!$A$5:$A$1005&lt;=$A847)*MOVIMIENTOS!$E$5:$E$1005)-SUMPRODUCT((MOVIMIENTOS!$B$5:$B$1005="REGALO")*(MOVIMIENTOS!$C$5:$C$1005="C")*(MOVIMIENTOS!$D$5:$D$1005="jabas")*(MOVIMIENTOS!$A$5:$A$1005&lt;&gt;"")*(MOVIMIENTOS!$A$5:$A$1005&lt;=$A847)*MOVIMIENTOS!$E$5:$E$1005)-SUMPRODUCT((MOVIMIENTOS!$B$5:$B$1005="VENTA")*(MOVIMIENTOS!$C$5:$C$1005="C")*(MOVIMIENTOS!$D$5:$D$1005="jabas")*(MOVIMIENTOS!$A$5:$A$1005&lt;&gt;"")*(MOVIMIENTOS!$A$5:$A$1005&lt;=$A847)*MOVIMIENTOS!$E$5:$E$1005)+SUMPRODUCT((MOVIMIENTOS!$B$5:$B$1005="AJUSTE")*(MOVIMIENTOS!$C$5:$C$1005="C")*(MOVIMIENTOS!$D$5:$D$1005="jabas")*(MOVIMIENTOS!$A$5:$A$1005&lt;&gt;"")*(MOVIMIENTOS!$A$5:$A$1005&lt;=$A847)*MOVIMIENTOS!$E$5:$E$1005))</f>
        <v/>
      </c>
      <c r="E847" t="str">
        <f>IF($A847="","",SUMPRODUCT((MOVIMIENTOS!$B$5:$B$1005="SALDO INICIAL")*(MOVIMIENTOS!$C$5:$C$1005="M")*(MOVIMIENTOS!$D$5:$D$1005="jabas")*(MOVIMIENTOS!$A$5:$A$1005&lt;&gt;"")*(MOVIMIENTOS!$A$5:$A$1005&lt;=$A847)*MOVIMIENTOS!$E$5:$E$1005)+SUMPRODUCT((MOVIMIENTOS!$B$5:$B$1005="PROCESO")*(MOVIMIENTOS!$C$5:$C$1005="M")*(MOVIMIENTOS!$D$5:$D$1005="jabas")*(MOVIMIENTOS!$A$5:$A$1005&lt;&gt;"")*(MOVIMIENTOS!$A$5:$A$1005&lt;=$A847)*MOVIMIENTOS!$E$5:$E$1005)-SUMPRODUCT((MOVIMIENTOS!$B$5:$B$1005="ENVÍO A SUPESA")*(MOVIMIENTOS!$C$5:$C$1005="M")*(MOVIMIENTOS!$D$5:$D$1005="jabas")*(MOVIMIENTOS!$A$5:$A$1005&lt;&gt;"")*(MOVIMIENTOS!$A$5:$A$1005&lt;=$A847)*MOVIMIENTOS!$E$5:$E$1005)+SUMPRODUCT((MOVIMIENTOS!$B$5:$B$1005="DEVOLUCIÓN")*(MOVIMIENTOS!$C$5:$C$1005="M")*(MOVIMIENTOS!$D$5:$D$1005="jabas")*(MOVIMIENTOS!$A$5:$A$1005&lt;&gt;"")*(MOVIMIENTOS!$A$5:$A$1005&lt;=$A847)*MOVIMIENTOS!$E$5:$E$1005)-SUMPRODUCT((MOVIMIENTOS!$B$5:$B$1005="TRASIEGO")*(MOVIMIENTOS!$C$5:$C$1005="M")*(MOVIMIENTOS!$D$5:$D$1005="jabas")*(MOVIMIENTOS!$A$5:$A$1005&lt;&gt;"")*(MOVIMIENTOS!$A$5:$A$1005&lt;=$A847)*MOVIMIENTOS!$E$5:$E$1005)-SUMPRODUCT((MOVIMIENTOS!$B$5:$B$1005="REGALO")*(MOVIMIENTOS!$C$5:$C$1005="M")*(MOVIMIENTOS!$D$5:$D$1005="jabas")*(MOVIMIENTOS!$A$5:$A$1005&lt;&gt;"")*(MOVIMIENTOS!$A$5:$A$1005&lt;=$A847)*MOVIMIENTOS!$E$5:$E$1005)-SUMPRODUCT((MOVIMIENTOS!$B$5:$B$1005="VENTA")*(MOVIMIENTOS!$C$5:$C$1005="M")*(MOVIMIENTOS!$D$5:$D$1005="jabas")*(MOVIMIENTOS!$A$5:$A$1005&lt;&gt;"")*(MOVIMIENTOS!$A$5:$A$1005&lt;=$A847)*MOVIMIENTOS!$E$5:$E$1005)+SUMPRODUCT((MOVIMIENTOS!$B$5:$B$1005="AJUSTE")*(MOVIMIENTOS!$C$5:$C$1005="M")*(MOVIMIENTOS!$D$5:$D$1005="jabas")*(MOVIMIENTOS!$A$5:$A$1005&lt;&gt;"")*(MOVIMIENTOS!$A$5:$A$1005&lt;=$A847)*MOVIMIENTOS!$E$5:$E$1005))</f>
        <v/>
      </c>
      <c r="F847" s="62" t="str">
        <f>IF($A847="","",SUMPRODUCT((MOVIMIENTOS!$B$5:$B$1005="SALDO INICIAL")*(MOVIMIENTOS!$C$5:$C$1005="Chancho")*(MOVIMIENTOS!$D$5:$D$1005="sacos")*(MOVIMIENTOS!$A$5:$A$1005&lt;&gt;"")*(MOVIMIENTOS!$A$5:$A$1005&lt;=$A847)*MOVIMIENTOS!$E$5:$E$1005)+SUMPRODUCT((MOVIMIENTOS!$B$5:$B$1005="PROCESO")*(MOVIMIENTOS!$C$5:$C$1005="Chancho")*(MOVIMIENTOS!$D$5:$D$1005="sacos")*(MOVIMIENTOS!$A$5:$A$1005&lt;&gt;"")*(MOVIMIENTOS!$A$5:$A$1005&lt;=$A847)*MOVIMIENTOS!$E$5:$E$1005)-SUMPRODUCT((MOVIMIENTOS!$B$5:$B$1005="VENTA CHANCHO")*(MOVIMIENTOS!$C$5:$C$1005="Chancho")*(MOVIMIENTOS!$D$5:$D$1005="sacos")*(MOVIMIENTOS!$A$5:$A$1005&lt;&gt;"")*(MOVIMIENTOS!$A$5:$A$1005&lt;=$A847)*MOVIMIENTOS!$E$5:$E$1005)-SUMPRODUCT((MOVIMIENTOS!$B$5:$B$1005="REGALO")*(MOVIMIENTOS!$C$5:$C$1005="Chancho")*(MOVIMIENTOS!$D$5:$D$1005="sacos")*(MOVIMIENTOS!$A$5:$A$1005&lt;&gt;"")*(MOVIMIENTOS!$A$5:$A$1005&lt;=$A847)*MOVIMIENTOS!$E$5:$E$1005)-SUMPRODUCT((MOVIMIENTOS!$B$5:$B$1005="VENTA")*(MOVIMIENTOS!$C$5:$C$1005="Chancho")*(MOVIMIENTOS!$D$5:$D$1005="sacos")*(MOVIMIENTOS!$A$5:$A$1005&lt;&gt;"")*(MOVIMIENTOS!$A$5:$A$1005&lt;=$A847)*MOVIMIENTOS!$E$5:$E$1005)+SUMPRODUCT((MOVIMIENTOS!$B$5:$B$1005="AJUSTE")*(MOVIMIENTOS!$C$5:$C$1005="Chancho")*(MOVIMIENTOS!$D$5:$D$1005="sacos")*(MOVIMIENTOS!$A$5:$A$1005&lt;&gt;"")*(MOVIMIENTOS!$A$5:$A$1005&lt;=$A847)*MOVIMIENTOS!$E$5:$E$1005))</f>
        <v/>
      </c>
      <c r="G847" s="62" t="str">
        <f t="shared" si="27"/>
        <v/>
      </c>
      <c r="H847" t="str">
        <f>IF($A847="","",SUMPRODUCT((((MOVIMIENTOS!$B$5:$B$1005="SALDO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847)*MOVIMIENTOS!$J$5:$J$1005))</f>
        <v/>
      </c>
      <c r="J847" t="str">
        <f>IF(AND(MOVIMIENTOS!$A852&lt;&gt;"",COUNTIF(MOVIMIENTOS!$A$5:$A851,MOVIMIENTOS!$A852)=0),COUNT(J$4:J846)+1,"")</f>
        <v/>
      </c>
      <c r="K847">
        <f>MOVIMIENTOS!$A852</f>
        <v>0</v>
      </c>
    </row>
    <row r="848" spans="1:11" ht="15" customHeight="1" x14ac:dyDescent="0.2">
      <c r="A848" t="str">
        <f t="shared" si="26"/>
        <v/>
      </c>
      <c r="B848" t="str">
        <f>IF($A848="","",SUMPRODUCT((MOVIMIENTOS!$B$5:$B$1005="SALDO INICIAL")*(MOVIMIENTOS!$C$5:$C$1005="A")*(MOVIMIENTOS!$D$5:$D$1005="jabas")*(MOVIMIENTOS!$A$5:$A$1005&lt;&gt;"")*(MOVIMIENTOS!$A$5:$A$1005&lt;=$A848)*MOVIMIENTOS!$E$5:$E$1005)+SUMPRODUCT((MOVIMIENTOS!$B$5:$B$1005="PROCESO")*(MOVIMIENTOS!$C$5:$C$1005="A")*(MOVIMIENTOS!$D$5:$D$1005="jabas")*(MOVIMIENTOS!$A$5:$A$1005&lt;&gt;"")*(MOVIMIENTOS!$A$5:$A$1005&lt;=$A848)*MOVIMIENTOS!$E$5:$E$1005)-SUMPRODUCT((MOVIMIENTOS!$B$5:$B$1005="ENVÍO A SUPESA")*(MOVIMIENTOS!$C$5:$C$1005="A")*(MOVIMIENTOS!$D$5:$D$1005="jabas")*(MOVIMIENTOS!$A$5:$A$1005&lt;&gt;"")*(MOVIMIENTOS!$A$5:$A$1005&lt;=$A848)*MOVIMIENTOS!$E$5:$E$1005)+SUMPRODUCT((MOVIMIENTOS!$B$5:$B$1005="DEVOLUCIÓN")*(MOVIMIENTOS!$C$5:$C$1005="A")*(MOVIMIENTOS!$D$5:$D$1005="jabas")*(MOVIMIENTOS!$A$5:$A$1005&lt;&gt;"")*(MOVIMIENTOS!$A$5:$A$1005&lt;=$A848)*MOVIMIENTOS!$E$5:$E$1005)-SUMPRODUCT((MOVIMIENTOS!$B$5:$B$1005="TRASIEGO")*(MOVIMIENTOS!$C$5:$C$1005="A")*(MOVIMIENTOS!$D$5:$D$1005="jabas")*(MOVIMIENTOS!$A$5:$A$1005&lt;&gt;"")*(MOVIMIENTOS!$A$5:$A$1005&lt;=$A848)*MOVIMIENTOS!$E$5:$E$1005)-SUMPRODUCT((MOVIMIENTOS!$B$5:$B$1005="REGALO")*(MOVIMIENTOS!$C$5:$C$1005="A")*(MOVIMIENTOS!$D$5:$D$1005="jabas")*(MOVIMIENTOS!$A$5:$A$1005&lt;&gt;"")*(MOVIMIENTOS!$A$5:$A$1005&lt;=$A848)*MOVIMIENTOS!$E$5:$E$1005)-SUMPRODUCT((MOVIMIENTOS!$B$5:$B$1005="VENTA")*(MOVIMIENTOS!$C$5:$C$1005="A")*(MOVIMIENTOS!$D$5:$D$1005="jabas")*(MOVIMIENTOS!$A$5:$A$1005&lt;&gt;"")*(MOVIMIENTOS!$A$5:$A$1005&lt;=$A848)*MOVIMIENTOS!$E$5:$E$1005)+SUMPRODUCT((MOVIMIENTOS!$B$5:$B$1005="AJUSTE")*(MOVIMIENTOS!$C$5:$C$1005="A")*(MOVIMIENTOS!$D$5:$D$1005="jabas")*(MOVIMIENTOS!$A$5:$A$1005&lt;&gt;"")*(MOVIMIENTOS!$A$5:$A$1005&lt;=$A848)*MOVIMIENTOS!$E$5:$E$1005))</f>
        <v/>
      </c>
      <c r="C848" t="str">
        <f>IF($A848="","",SUMPRODUCT((MOVIMIENTOS!$B$5:$B$1005="SALDO INICIAL")*(MOVIMIENTOS!$C$5:$C$1005="P")*(MOVIMIENTOS!$D$5:$D$1005="jabas")*(MOVIMIENTOS!$A$5:$A$1005&lt;&gt;"")*(MOVIMIENTOS!$A$5:$A$1005&lt;=$A848)*MOVIMIENTOS!$E$5:$E$1005)+SUMPRODUCT((MOVIMIENTOS!$B$5:$B$1005="PROCESO")*(MOVIMIENTOS!$C$5:$C$1005="P")*(MOVIMIENTOS!$D$5:$D$1005="jabas")*(MOVIMIENTOS!$A$5:$A$1005&lt;&gt;"")*(MOVIMIENTOS!$A$5:$A$1005&lt;=$A848)*MOVIMIENTOS!$E$5:$E$1005)-SUMPRODUCT((MOVIMIENTOS!$B$5:$B$1005="ENVÍO A SUPESA")*(MOVIMIENTOS!$C$5:$C$1005="P")*(MOVIMIENTOS!$D$5:$D$1005="jabas")*(MOVIMIENTOS!$A$5:$A$1005&lt;&gt;"")*(MOVIMIENTOS!$A$5:$A$1005&lt;=$A848)*MOVIMIENTOS!$E$5:$E$1005)+SUMPRODUCT((MOVIMIENTOS!$B$5:$B$1005="DEVOLUCIÓN")*(MOVIMIENTOS!$C$5:$C$1005="P")*(MOVIMIENTOS!$D$5:$D$1005="jabas")*(MOVIMIENTOS!$A$5:$A$1005&lt;&gt;"")*(MOVIMIENTOS!$A$5:$A$1005&lt;=$A848)*MOVIMIENTOS!$E$5:$E$1005)-SUMPRODUCT((MOVIMIENTOS!$B$5:$B$1005="TRASIEGO")*(MOVIMIENTOS!$C$5:$C$1005="P")*(MOVIMIENTOS!$D$5:$D$1005="jabas")*(MOVIMIENTOS!$A$5:$A$1005&lt;&gt;"")*(MOVIMIENTOS!$A$5:$A$1005&lt;=$A848)*MOVIMIENTOS!$E$5:$E$1005)-SUMPRODUCT((MOVIMIENTOS!$B$5:$B$1005="REGALO")*(MOVIMIENTOS!$C$5:$C$1005="P")*(MOVIMIENTOS!$D$5:$D$1005="jabas")*(MOVIMIENTOS!$A$5:$A$1005&lt;&gt;"")*(MOVIMIENTOS!$A$5:$A$1005&lt;=$A848)*MOVIMIENTOS!$E$5:$E$1005)-SUMPRODUCT((MOVIMIENTOS!$B$5:$B$1005="VENTA")*(MOVIMIENTOS!$C$5:$C$1005="P")*(MOVIMIENTOS!$D$5:$D$1005="jabas")*(MOVIMIENTOS!$A$5:$A$1005&lt;&gt;"")*(MOVIMIENTOS!$A$5:$A$1005&lt;=$A848)*MOVIMIENTOS!$E$5:$E$1005)+SUMPRODUCT((MOVIMIENTOS!$B$5:$B$1005="AJUSTE")*(MOVIMIENTOS!$C$5:$C$1005="P")*(MOVIMIENTOS!$D$5:$D$1005="jabas")*(MOVIMIENTOS!$A$5:$A$1005&lt;&gt;"")*(MOVIMIENTOS!$A$5:$A$1005&lt;=$A848)*MOVIMIENTOS!$E$5:$E$1005))</f>
        <v/>
      </c>
      <c r="D848" t="str">
        <f>IF($A848="","",SUMPRODUCT((MOVIMIENTOS!$B$5:$B$1005="SALDO INICIAL")*(MOVIMIENTOS!$C$5:$C$1005="C")*(MOVIMIENTOS!$D$5:$D$1005="jabas")*(MOVIMIENTOS!$A$5:$A$1005&lt;&gt;"")*(MOVIMIENTOS!$A$5:$A$1005&lt;=$A848)*MOVIMIENTOS!$E$5:$E$1005)+SUMPRODUCT((MOVIMIENTOS!$B$5:$B$1005="PROCESO")*(MOVIMIENTOS!$C$5:$C$1005="C")*(MOVIMIENTOS!$D$5:$D$1005="jabas")*(MOVIMIENTOS!$A$5:$A$1005&lt;&gt;"")*(MOVIMIENTOS!$A$5:$A$1005&lt;=$A848)*MOVIMIENTOS!$E$5:$E$1005)-SUMPRODUCT((MOVIMIENTOS!$B$5:$B$1005="ENVÍO A SUPESA")*(MOVIMIENTOS!$C$5:$C$1005="C")*(MOVIMIENTOS!$D$5:$D$1005="jabas")*(MOVIMIENTOS!$A$5:$A$1005&lt;&gt;"")*(MOVIMIENTOS!$A$5:$A$1005&lt;=$A848)*MOVIMIENTOS!$E$5:$E$1005)+SUMPRODUCT((MOVIMIENTOS!$B$5:$B$1005="DEVOLUCIÓN")*(MOVIMIENTOS!$C$5:$C$1005="C")*(MOVIMIENTOS!$D$5:$D$1005="jabas")*(MOVIMIENTOS!$A$5:$A$1005&lt;&gt;"")*(MOVIMIENTOS!$A$5:$A$1005&lt;=$A848)*MOVIMIENTOS!$E$5:$E$1005)-SUMPRODUCT((MOVIMIENTOS!$B$5:$B$1005="TRASIEGO")*(MOVIMIENTOS!$C$5:$C$1005="C")*(MOVIMIENTOS!$D$5:$D$1005="jabas")*(MOVIMIENTOS!$A$5:$A$1005&lt;&gt;"")*(MOVIMIENTOS!$A$5:$A$1005&lt;=$A848)*MOVIMIENTOS!$E$5:$E$1005)-SUMPRODUCT((MOVIMIENTOS!$B$5:$B$1005="REGALO")*(MOVIMIENTOS!$C$5:$C$1005="C")*(MOVIMIENTOS!$D$5:$D$1005="jabas")*(MOVIMIENTOS!$A$5:$A$1005&lt;&gt;"")*(MOVIMIENTOS!$A$5:$A$1005&lt;=$A848)*MOVIMIENTOS!$E$5:$E$1005)-SUMPRODUCT((MOVIMIENTOS!$B$5:$B$1005="VENTA")*(MOVIMIENTOS!$C$5:$C$1005="C")*(MOVIMIENTOS!$D$5:$D$1005="jabas")*(MOVIMIENTOS!$A$5:$A$1005&lt;&gt;"")*(MOVIMIENTOS!$A$5:$A$1005&lt;=$A848)*MOVIMIENTOS!$E$5:$E$1005)+SUMPRODUCT((MOVIMIENTOS!$B$5:$B$1005="AJUSTE")*(MOVIMIENTOS!$C$5:$C$1005="C")*(MOVIMIENTOS!$D$5:$D$1005="jabas")*(MOVIMIENTOS!$A$5:$A$1005&lt;&gt;"")*(MOVIMIENTOS!$A$5:$A$1005&lt;=$A848)*MOVIMIENTOS!$E$5:$E$1005))</f>
        <v/>
      </c>
      <c r="E848" t="str">
        <f>IF($A848="","",SUMPRODUCT((MOVIMIENTOS!$B$5:$B$1005="SALDO INICIAL")*(MOVIMIENTOS!$C$5:$C$1005="M")*(MOVIMIENTOS!$D$5:$D$1005="jabas")*(MOVIMIENTOS!$A$5:$A$1005&lt;&gt;"")*(MOVIMIENTOS!$A$5:$A$1005&lt;=$A848)*MOVIMIENTOS!$E$5:$E$1005)+SUMPRODUCT((MOVIMIENTOS!$B$5:$B$1005="PROCESO")*(MOVIMIENTOS!$C$5:$C$1005="M")*(MOVIMIENTOS!$D$5:$D$1005="jabas")*(MOVIMIENTOS!$A$5:$A$1005&lt;&gt;"")*(MOVIMIENTOS!$A$5:$A$1005&lt;=$A848)*MOVIMIENTOS!$E$5:$E$1005)-SUMPRODUCT((MOVIMIENTOS!$B$5:$B$1005="ENVÍO A SUPESA")*(MOVIMIENTOS!$C$5:$C$1005="M")*(MOVIMIENTOS!$D$5:$D$1005="jabas")*(MOVIMIENTOS!$A$5:$A$1005&lt;&gt;"")*(MOVIMIENTOS!$A$5:$A$1005&lt;=$A848)*MOVIMIENTOS!$E$5:$E$1005)+SUMPRODUCT((MOVIMIENTOS!$B$5:$B$1005="DEVOLUCIÓN")*(MOVIMIENTOS!$C$5:$C$1005="M")*(MOVIMIENTOS!$D$5:$D$1005="jabas")*(MOVIMIENTOS!$A$5:$A$1005&lt;&gt;"")*(MOVIMIENTOS!$A$5:$A$1005&lt;=$A848)*MOVIMIENTOS!$E$5:$E$1005)-SUMPRODUCT((MOVIMIENTOS!$B$5:$B$1005="TRASIEGO")*(MOVIMIENTOS!$C$5:$C$1005="M")*(MOVIMIENTOS!$D$5:$D$1005="jabas")*(MOVIMIENTOS!$A$5:$A$1005&lt;&gt;"")*(MOVIMIENTOS!$A$5:$A$1005&lt;=$A848)*MOVIMIENTOS!$E$5:$E$1005)-SUMPRODUCT((MOVIMIENTOS!$B$5:$B$1005="REGALO")*(MOVIMIENTOS!$C$5:$C$1005="M")*(MOVIMIENTOS!$D$5:$D$1005="jabas")*(MOVIMIENTOS!$A$5:$A$1005&lt;&gt;"")*(MOVIMIENTOS!$A$5:$A$1005&lt;=$A848)*MOVIMIENTOS!$E$5:$E$1005)-SUMPRODUCT((MOVIMIENTOS!$B$5:$B$1005="VENTA")*(MOVIMIENTOS!$C$5:$C$1005="M")*(MOVIMIENTOS!$D$5:$D$1005="jabas")*(MOVIMIENTOS!$A$5:$A$1005&lt;&gt;"")*(MOVIMIENTOS!$A$5:$A$1005&lt;=$A848)*MOVIMIENTOS!$E$5:$E$1005)+SUMPRODUCT((MOVIMIENTOS!$B$5:$B$1005="AJUSTE")*(MOVIMIENTOS!$C$5:$C$1005="M")*(MOVIMIENTOS!$D$5:$D$1005="jabas")*(MOVIMIENTOS!$A$5:$A$1005&lt;&gt;"")*(MOVIMIENTOS!$A$5:$A$1005&lt;=$A848)*MOVIMIENTOS!$E$5:$E$1005))</f>
        <v/>
      </c>
      <c r="F848" s="62" t="str">
        <f>IF($A848="","",SUMPRODUCT((MOVIMIENTOS!$B$5:$B$1005="SALDO INICIAL")*(MOVIMIENTOS!$C$5:$C$1005="Chancho")*(MOVIMIENTOS!$D$5:$D$1005="sacos")*(MOVIMIENTOS!$A$5:$A$1005&lt;&gt;"")*(MOVIMIENTOS!$A$5:$A$1005&lt;=$A848)*MOVIMIENTOS!$E$5:$E$1005)+SUMPRODUCT((MOVIMIENTOS!$B$5:$B$1005="PROCESO")*(MOVIMIENTOS!$C$5:$C$1005="Chancho")*(MOVIMIENTOS!$D$5:$D$1005="sacos")*(MOVIMIENTOS!$A$5:$A$1005&lt;&gt;"")*(MOVIMIENTOS!$A$5:$A$1005&lt;=$A848)*MOVIMIENTOS!$E$5:$E$1005)-SUMPRODUCT((MOVIMIENTOS!$B$5:$B$1005="VENTA CHANCHO")*(MOVIMIENTOS!$C$5:$C$1005="Chancho")*(MOVIMIENTOS!$D$5:$D$1005="sacos")*(MOVIMIENTOS!$A$5:$A$1005&lt;&gt;"")*(MOVIMIENTOS!$A$5:$A$1005&lt;=$A848)*MOVIMIENTOS!$E$5:$E$1005)-SUMPRODUCT((MOVIMIENTOS!$B$5:$B$1005="REGALO")*(MOVIMIENTOS!$C$5:$C$1005="Chancho")*(MOVIMIENTOS!$D$5:$D$1005="sacos")*(MOVIMIENTOS!$A$5:$A$1005&lt;&gt;"")*(MOVIMIENTOS!$A$5:$A$1005&lt;=$A848)*MOVIMIENTOS!$E$5:$E$1005)-SUMPRODUCT((MOVIMIENTOS!$B$5:$B$1005="VENTA")*(MOVIMIENTOS!$C$5:$C$1005="Chancho")*(MOVIMIENTOS!$D$5:$D$1005="sacos")*(MOVIMIENTOS!$A$5:$A$1005&lt;&gt;"")*(MOVIMIENTOS!$A$5:$A$1005&lt;=$A848)*MOVIMIENTOS!$E$5:$E$1005)+SUMPRODUCT((MOVIMIENTOS!$B$5:$B$1005="AJUSTE")*(MOVIMIENTOS!$C$5:$C$1005="Chancho")*(MOVIMIENTOS!$D$5:$D$1005="sacos")*(MOVIMIENTOS!$A$5:$A$1005&lt;&gt;"")*(MOVIMIENTOS!$A$5:$A$1005&lt;=$A848)*MOVIMIENTOS!$E$5:$E$1005))</f>
        <v/>
      </c>
      <c r="G848" s="62" t="str">
        <f t="shared" si="27"/>
        <v/>
      </c>
      <c r="H848" t="str">
        <f>IF($A848="","",SUMPRODUCT((((MOVIMIENTOS!$B$5:$B$1005="SALDO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848)*MOVIMIENTOS!$J$5:$J$1005))</f>
        <v/>
      </c>
      <c r="J848" t="str">
        <f>IF(AND(MOVIMIENTOS!$A853&lt;&gt;"",COUNTIF(MOVIMIENTOS!$A$5:$A852,MOVIMIENTOS!$A853)=0),COUNT(J$4:J847)+1,"")</f>
        <v/>
      </c>
      <c r="K848">
        <f>MOVIMIENTOS!$A853</f>
        <v>0</v>
      </c>
    </row>
    <row r="849" spans="1:11" ht="15" customHeight="1" x14ac:dyDescent="0.2">
      <c r="A849" t="str">
        <f t="shared" si="26"/>
        <v/>
      </c>
      <c r="B849" t="str">
        <f>IF($A849="","",SUMPRODUCT((MOVIMIENTOS!$B$5:$B$1005="SALDO INICIAL")*(MOVIMIENTOS!$C$5:$C$1005="A")*(MOVIMIENTOS!$D$5:$D$1005="jabas")*(MOVIMIENTOS!$A$5:$A$1005&lt;&gt;"")*(MOVIMIENTOS!$A$5:$A$1005&lt;=$A849)*MOVIMIENTOS!$E$5:$E$1005)+SUMPRODUCT((MOVIMIENTOS!$B$5:$B$1005="PROCESO")*(MOVIMIENTOS!$C$5:$C$1005="A")*(MOVIMIENTOS!$D$5:$D$1005="jabas")*(MOVIMIENTOS!$A$5:$A$1005&lt;&gt;"")*(MOVIMIENTOS!$A$5:$A$1005&lt;=$A849)*MOVIMIENTOS!$E$5:$E$1005)-SUMPRODUCT((MOVIMIENTOS!$B$5:$B$1005="ENVÍO A SUPESA")*(MOVIMIENTOS!$C$5:$C$1005="A")*(MOVIMIENTOS!$D$5:$D$1005="jabas")*(MOVIMIENTOS!$A$5:$A$1005&lt;&gt;"")*(MOVIMIENTOS!$A$5:$A$1005&lt;=$A849)*MOVIMIENTOS!$E$5:$E$1005)+SUMPRODUCT((MOVIMIENTOS!$B$5:$B$1005="DEVOLUCIÓN")*(MOVIMIENTOS!$C$5:$C$1005="A")*(MOVIMIENTOS!$D$5:$D$1005="jabas")*(MOVIMIENTOS!$A$5:$A$1005&lt;&gt;"")*(MOVIMIENTOS!$A$5:$A$1005&lt;=$A849)*MOVIMIENTOS!$E$5:$E$1005)-SUMPRODUCT((MOVIMIENTOS!$B$5:$B$1005="TRASIEGO")*(MOVIMIENTOS!$C$5:$C$1005="A")*(MOVIMIENTOS!$D$5:$D$1005="jabas")*(MOVIMIENTOS!$A$5:$A$1005&lt;&gt;"")*(MOVIMIENTOS!$A$5:$A$1005&lt;=$A849)*MOVIMIENTOS!$E$5:$E$1005)-SUMPRODUCT((MOVIMIENTOS!$B$5:$B$1005="REGALO")*(MOVIMIENTOS!$C$5:$C$1005="A")*(MOVIMIENTOS!$D$5:$D$1005="jabas")*(MOVIMIENTOS!$A$5:$A$1005&lt;&gt;"")*(MOVIMIENTOS!$A$5:$A$1005&lt;=$A849)*MOVIMIENTOS!$E$5:$E$1005)-SUMPRODUCT((MOVIMIENTOS!$B$5:$B$1005="VENTA")*(MOVIMIENTOS!$C$5:$C$1005="A")*(MOVIMIENTOS!$D$5:$D$1005="jabas")*(MOVIMIENTOS!$A$5:$A$1005&lt;&gt;"")*(MOVIMIENTOS!$A$5:$A$1005&lt;=$A849)*MOVIMIENTOS!$E$5:$E$1005)+SUMPRODUCT((MOVIMIENTOS!$B$5:$B$1005="AJUSTE")*(MOVIMIENTOS!$C$5:$C$1005="A")*(MOVIMIENTOS!$D$5:$D$1005="jabas")*(MOVIMIENTOS!$A$5:$A$1005&lt;&gt;"")*(MOVIMIENTOS!$A$5:$A$1005&lt;=$A849)*MOVIMIENTOS!$E$5:$E$1005))</f>
        <v/>
      </c>
      <c r="C849" t="str">
        <f>IF($A849="","",SUMPRODUCT((MOVIMIENTOS!$B$5:$B$1005="SALDO INICIAL")*(MOVIMIENTOS!$C$5:$C$1005="P")*(MOVIMIENTOS!$D$5:$D$1005="jabas")*(MOVIMIENTOS!$A$5:$A$1005&lt;&gt;"")*(MOVIMIENTOS!$A$5:$A$1005&lt;=$A849)*MOVIMIENTOS!$E$5:$E$1005)+SUMPRODUCT((MOVIMIENTOS!$B$5:$B$1005="PROCESO")*(MOVIMIENTOS!$C$5:$C$1005="P")*(MOVIMIENTOS!$D$5:$D$1005="jabas")*(MOVIMIENTOS!$A$5:$A$1005&lt;&gt;"")*(MOVIMIENTOS!$A$5:$A$1005&lt;=$A849)*MOVIMIENTOS!$E$5:$E$1005)-SUMPRODUCT((MOVIMIENTOS!$B$5:$B$1005="ENVÍO A SUPESA")*(MOVIMIENTOS!$C$5:$C$1005="P")*(MOVIMIENTOS!$D$5:$D$1005="jabas")*(MOVIMIENTOS!$A$5:$A$1005&lt;&gt;"")*(MOVIMIENTOS!$A$5:$A$1005&lt;=$A849)*MOVIMIENTOS!$E$5:$E$1005)+SUMPRODUCT((MOVIMIENTOS!$B$5:$B$1005="DEVOLUCIÓN")*(MOVIMIENTOS!$C$5:$C$1005="P")*(MOVIMIENTOS!$D$5:$D$1005="jabas")*(MOVIMIENTOS!$A$5:$A$1005&lt;&gt;"")*(MOVIMIENTOS!$A$5:$A$1005&lt;=$A849)*MOVIMIENTOS!$E$5:$E$1005)-SUMPRODUCT((MOVIMIENTOS!$B$5:$B$1005="TRASIEGO")*(MOVIMIENTOS!$C$5:$C$1005="P")*(MOVIMIENTOS!$D$5:$D$1005="jabas")*(MOVIMIENTOS!$A$5:$A$1005&lt;&gt;"")*(MOVIMIENTOS!$A$5:$A$1005&lt;=$A849)*MOVIMIENTOS!$E$5:$E$1005)-SUMPRODUCT((MOVIMIENTOS!$B$5:$B$1005="REGALO")*(MOVIMIENTOS!$C$5:$C$1005="P")*(MOVIMIENTOS!$D$5:$D$1005="jabas")*(MOVIMIENTOS!$A$5:$A$1005&lt;&gt;"")*(MOVIMIENTOS!$A$5:$A$1005&lt;=$A849)*MOVIMIENTOS!$E$5:$E$1005)-SUMPRODUCT((MOVIMIENTOS!$B$5:$B$1005="VENTA")*(MOVIMIENTOS!$C$5:$C$1005="P")*(MOVIMIENTOS!$D$5:$D$1005="jabas")*(MOVIMIENTOS!$A$5:$A$1005&lt;&gt;"")*(MOVIMIENTOS!$A$5:$A$1005&lt;=$A849)*MOVIMIENTOS!$E$5:$E$1005)+SUMPRODUCT((MOVIMIENTOS!$B$5:$B$1005="AJUSTE")*(MOVIMIENTOS!$C$5:$C$1005="P")*(MOVIMIENTOS!$D$5:$D$1005="jabas")*(MOVIMIENTOS!$A$5:$A$1005&lt;&gt;"")*(MOVIMIENTOS!$A$5:$A$1005&lt;=$A849)*MOVIMIENTOS!$E$5:$E$1005))</f>
        <v/>
      </c>
      <c r="D849" t="str">
        <f>IF($A849="","",SUMPRODUCT((MOVIMIENTOS!$B$5:$B$1005="SALDO INICIAL")*(MOVIMIENTOS!$C$5:$C$1005="C")*(MOVIMIENTOS!$D$5:$D$1005="jabas")*(MOVIMIENTOS!$A$5:$A$1005&lt;&gt;"")*(MOVIMIENTOS!$A$5:$A$1005&lt;=$A849)*MOVIMIENTOS!$E$5:$E$1005)+SUMPRODUCT((MOVIMIENTOS!$B$5:$B$1005="PROCESO")*(MOVIMIENTOS!$C$5:$C$1005="C")*(MOVIMIENTOS!$D$5:$D$1005="jabas")*(MOVIMIENTOS!$A$5:$A$1005&lt;&gt;"")*(MOVIMIENTOS!$A$5:$A$1005&lt;=$A849)*MOVIMIENTOS!$E$5:$E$1005)-SUMPRODUCT((MOVIMIENTOS!$B$5:$B$1005="ENVÍO A SUPESA")*(MOVIMIENTOS!$C$5:$C$1005="C")*(MOVIMIENTOS!$D$5:$D$1005="jabas")*(MOVIMIENTOS!$A$5:$A$1005&lt;&gt;"")*(MOVIMIENTOS!$A$5:$A$1005&lt;=$A849)*MOVIMIENTOS!$E$5:$E$1005)+SUMPRODUCT((MOVIMIENTOS!$B$5:$B$1005="DEVOLUCIÓN")*(MOVIMIENTOS!$C$5:$C$1005="C")*(MOVIMIENTOS!$D$5:$D$1005="jabas")*(MOVIMIENTOS!$A$5:$A$1005&lt;&gt;"")*(MOVIMIENTOS!$A$5:$A$1005&lt;=$A849)*MOVIMIENTOS!$E$5:$E$1005)-SUMPRODUCT((MOVIMIENTOS!$B$5:$B$1005="TRASIEGO")*(MOVIMIENTOS!$C$5:$C$1005="C")*(MOVIMIENTOS!$D$5:$D$1005="jabas")*(MOVIMIENTOS!$A$5:$A$1005&lt;&gt;"")*(MOVIMIENTOS!$A$5:$A$1005&lt;=$A849)*MOVIMIENTOS!$E$5:$E$1005)-SUMPRODUCT((MOVIMIENTOS!$B$5:$B$1005="REGALO")*(MOVIMIENTOS!$C$5:$C$1005="C")*(MOVIMIENTOS!$D$5:$D$1005="jabas")*(MOVIMIENTOS!$A$5:$A$1005&lt;&gt;"")*(MOVIMIENTOS!$A$5:$A$1005&lt;=$A849)*MOVIMIENTOS!$E$5:$E$1005)-SUMPRODUCT((MOVIMIENTOS!$B$5:$B$1005="VENTA")*(MOVIMIENTOS!$C$5:$C$1005="C")*(MOVIMIENTOS!$D$5:$D$1005="jabas")*(MOVIMIENTOS!$A$5:$A$1005&lt;&gt;"")*(MOVIMIENTOS!$A$5:$A$1005&lt;=$A849)*MOVIMIENTOS!$E$5:$E$1005)+SUMPRODUCT((MOVIMIENTOS!$B$5:$B$1005="AJUSTE")*(MOVIMIENTOS!$C$5:$C$1005="C")*(MOVIMIENTOS!$D$5:$D$1005="jabas")*(MOVIMIENTOS!$A$5:$A$1005&lt;&gt;"")*(MOVIMIENTOS!$A$5:$A$1005&lt;=$A849)*MOVIMIENTOS!$E$5:$E$1005))</f>
        <v/>
      </c>
      <c r="E849" t="str">
        <f>IF($A849="","",SUMPRODUCT((MOVIMIENTOS!$B$5:$B$1005="SALDO INICIAL")*(MOVIMIENTOS!$C$5:$C$1005="M")*(MOVIMIENTOS!$D$5:$D$1005="jabas")*(MOVIMIENTOS!$A$5:$A$1005&lt;&gt;"")*(MOVIMIENTOS!$A$5:$A$1005&lt;=$A849)*MOVIMIENTOS!$E$5:$E$1005)+SUMPRODUCT((MOVIMIENTOS!$B$5:$B$1005="PROCESO")*(MOVIMIENTOS!$C$5:$C$1005="M")*(MOVIMIENTOS!$D$5:$D$1005="jabas")*(MOVIMIENTOS!$A$5:$A$1005&lt;&gt;"")*(MOVIMIENTOS!$A$5:$A$1005&lt;=$A849)*MOVIMIENTOS!$E$5:$E$1005)-SUMPRODUCT((MOVIMIENTOS!$B$5:$B$1005="ENVÍO A SUPESA")*(MOVIMIENTOS!$C$5:$C$1005="M")*(MOVIMIENTOS!$D$5:$D$1005="jabas")*(MOVIMIENTOS!$A$5:$A$1005&lt;&gt;"")*(MOVIMIENTOS!$A$5:$A$1005&lt;=$A849)*MOVIMIENTOS!$E$5:$E$1005)+SUMPRODUCT((MOVIMIENTOS!$B$5:$B$1005="DEVOLUCIÓN")*(MOVIMIENTOS!$C$5:$C$1005="M")*(MOVIMIENTOS!$D$5:$D$1005="jabas")*(MOVIMIENTOS!$A$5:$A$1005&lt;&gt;"")*(MOVIMIENTOS!$A$5:$A$1005&lt;=$A849)*MOVIMIENTOS!$E$5:$E$1005)-SUMPRODUCT((MOVIMIENTOS!$B$5:$B$1005="TRASIEGO")*(MOVIMIENTOS!$C$5:$C$1005="M")*(MOVIMIENTOS!$D$5:$D$1005="jabas")*(MOVIMIENTOS!$A$5:$A$1005&lt;&gt;"")*(MOVIMIENTOS!$A$5:$A$1005&lt;=$A849)*MOVIMIENTOS!$E$5:$E$1005)-SUMPRODUCT((MOVIMIENTOS!$B$5:$B$1005="REGALO")*(MOVIMIENTOS!$C$5:$C$1005="M")*(MOVIMIENTOS!$D$5:$D$1005="jabas")*(MOVIMIENTOS!$A$5:$A$1005&lt;&gt;"")*(MOVIMIENTOS!$A$5:$A$1005&lt;=$A849)*MOVIMIENTOS!$E$5:$E$1005)-SUMPRODUCT((MOVIMIENTOS!$B$5:$B$1005="VENTA")*(MOVIMIENTOS!$C$5:$C$1005="M")*(MOVIMIENTOS!$D$5:$D$1005="jabas")*(MOVIMIENTOS!$A$5:$A$1005&lt;&gt;"")*(MOVIMIENTOS!$A$5:$A$1005&lt;=$A849)*MOVIMIENTOS!$E$5:$E$1005)+SUMPRODUCT((MOVIMIENTOS!$B$5:$B$1005="AJUSTE")*(MOVIMIENTOS!$C$5:$C$1005="M")*(MOVIMIENTOS!$D$5:$D$1005="jabas")*(MOVIMIENTOS!$A$5:$A$1005&lt;&gt;"")*(MOVIMIENTOS!$A$5:$A$1005&lt;=$A849)*MOVIMIENTOS!$E$5:$E$1005))</f>
        <v/>
      </c>
      <c r="F849" s="62" t="str">
        <f>IF($A849="","",SUMPRODUCT((MOVIMIENTOS!$B$5:$B$1005="SALDO INICIAL")*(MOVIMIENTOS!$C$5:$C$1005="Chancho")*(MOVIMIENTOS!$D$5:$D$1005="sacos")*(MOVIMIENTOS!$A$5:$A$1005&lt;&gt;"")*(MOVIMIENTOS!$A$5:$A$1005&lt;=$A849)*MOVIMIENTOS!$E$5:$E$1005)+SUMPRODUCT((MOVIMIENTOS!$B$5:$B$1005="PROCESO")*(MOVIMIENTOS!$C$5:$C$1005="Chancho")*(MOVIMIENTOS!$D$5:$D$1005="sacos")*(MOVIMIENTOS!$A$5:$A$1005&lt;&gt;"")*(MOVIMIENTOS!$A$5:$A$1005&lt;=$A849)*MOVIMIENTOS!$E$5:$E$1005)-SUMPRODUCT((MOVIMIENTOS!$B$5:$B$1005="VENTA CHANCHO")*(MOVIMIENTOS!$C$5:$C$1005="Chancho")*(MOVIMIENTOS!$D$5:$D$1005="sacos")*(MOVIMIENTOS!$A$5:$A$1005&lt;&gt;"")*(MOVIMIENTOS!$A$5:$A$1005&lt;=$A849)*MOVIMIENTOS!$E$5:$E$1005)-SUMPRODUCT((MOVIMIENTOS!$B$5:$B$1005="REGALO")*(MOVIMIENTOS!$C$5:$C$1005="Chancho")*(MOVIMIENTOS!$D$5:$D$1005="sacos")*(MOVIMIENTOS!$A$5:$A$1005&lt;&gt;"")*(MOVIMIENTOS!$A$5:$A$1005&lt;=$A849)*MOVIMIENTOS!$E$5:$E$1005)-SUMPRODUCT((MOVIMIENTOS!$B$5:$B$1005="VENTA")*(MOVIMIENTOS!$C$5:$C$1005="Chancho")*(MOVIMIENTOS!$D$5:$D$1005="sacos")*(MOVIMIENTOS!$A$5:$A$1005&lt;&gt;"")*(MOVIMIENTOS!$A$5:$A$1005&lt;=$A849)*MOVIMIENTOS!$E$5:$E$1005)+SUMPRODUCT((MOVIMIENTOS!$B$5:$B$1005="AJUSTE")*(MOVIMIENTOS!$C$5:$C$1005="Chancho")*(MOVIMIENTOS!$D$5:$D$1005="sacos")*(MOVIMIENTOS!$A$5:$A$1005&lt;&gt;"")*(MOVIMIENTOS!$A$5:$A$1005&lt;=$A849)*MOVIMIENTOS!$E$5:$E$1005))</f>
        <v/>
      </c>
      <c r="G849" s="62" t="str">
        <f t="shared" si="27"/>
        <v/>
      </c>
      <c r="H849" t="str">
        <f>IF($A849="","",SUMPRODUCT((((MOVIMIENTOS!$B$5:$B$1005="SALDO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849)*MOVIMIENTOS!$J$5:$J$1005))</f>
        <v/>
      </c>
      <c r="J849" t="str">
        <f>IF(AND(MOVIMIENTOS!$A854&lt;&gt;"",COUNTIF(MOVIMIENTOS!$A$5:$A853,MOVIMIENTOS!$A854)=0),COUNT(J$4:J848)+1,"")</f>
        <v/>
      </c>
      <c r="K849">
        <f>MOVIMIENTOS!$A854</f>
        <v>0</v>
      </c>
    </row>
    <row r="850" spans="1:11" ht="15" customHeight="1" x14ac:dyDescent="0.2">
      <c r="A850" t="str">
        <f t="shared" si="26"/>
        <v/>
      </c>
      <c r="B850" t="str">
        <f>IF($A850="","",SUMPRODUCT((MOVIMIENTOS!$B$5:$B$1005="SALDO INICIAL")*(MOVIMIENTOS!$C$5:$C$1005="A")*(MOVIMIENTOS!$D$5:$D$1005="jabas")*(MOVIMIENTOS!$A$5:$A$1005&lt;&gt;"")*(MOVIMIENTOS!$A$5:$A$1005&lt;=$A850)*MOVIMIENTOS!$E$5:$E$1005)+SUMPRODUCT((MOVIMIENTOS!$B$5:$B$1005="PROCESO")*(MOVIMIENTOS!$C$5:$C$1005="A")*(MOVIMIENTOS!$D$5:$D$1005="jabas")*(MOVIMIENTOS!$A$5:$A$1005&lt;&gt;"")*(MOVIMIENTOS!$A$5:$A$1005&lt;=$A850)*MOVIMIENTOS!$E$5:$E$1005)-SUMPRODUCT((MOVIMIENTOS!$B$5:$B$1005="ENVÍO A SUPESA")*(MOVIMIENTOS!$C$5:$C$1005="A")*(MOVIMIENTOS!$D$5:$D$1005="jabas")*(MOVIMIENTOS!$A$5:$A$1005&lt;&gt;"")*(MOVIMIENTOS!$A$5:$A$1005&lt;=$A850)*MOVIMIENTOS!$E$5:$E$1005)+SUMPRODUCT((MOVIMIENTOS!$B$5:$B$1005="DEVOLUCIÓN")*(MOVIMIENTOS!$C$5:$C$1005="A")*(MOVIMIENTOS!$D$5:$D$1005="jabas")*(MOVIMIENTOS!$A$5:$A$1005&lt;&gt;"")*(MOVIMIENTOS!$A$5:$A$1005&lt;=$A850)*MOVIMIENTOS!$E$5:$E$1005)-SUMPRODUCT((MOVIMIENTOS!$B$5:$B$1005="TRASIEGO")*(MOVIMIENTOS!$C$5:$C$1005="A")*(MOVIMIENTOS!$D$5:$D$1005="jabas")*(MOVIMIENTOS!$A$5:$A$1005&lt;&gt;"")*(MOVIMIENTOS!$A$5:$A$1005&lt;=$A850)*MOVIMIENTOS!$E$5:$E$1005)-SUMPRODUCT((MOVIMIENTOS!$B$5:$B$1005="REGALO")*(MOVIMIENTOS!$C$5:$C$1005="A")*(MOVIMIENTOS!$D$5:$D$1005="jabas")*(MOVIMIENTOS!$A$5:$A$1005&lt;&gt;"")*(MOVIMIENTOS!$A$5:$A$1005&lt;=$A850)*MOVIMIENTOS!$E$5:$E$1005)-SUMPRODUCT((MOVIMIENTOS!$B$5:$B$1005="VENTA")*(MOVIMIENTOS!$C$5:$C$1005="A")*(MOVIMIENTOS!$D$5:$D$1005="jabas")*(MOVIMIENTOS!$A$5:$A$1005&lt;&gt;"")*(MOVIMIENTOS!$A$5:$A$1005&lt;=$A850)*MOVIMIENTOS!$E$5:$E$1005)+SUMPRODUCT((MOVIMIENTOS!$B$5:$B$1005="AJUSTE")*(MOVIMIENTOS!$C$5:$C$1005="A")*(MOVIMIENTOS!$D$5:$D$1005="jabas")*(MOVIMIENTOS!$A$5:$A$1005&lt;&gt;"")*(MOVIMIENTOS!$A$5:$A$1005&lt;=$A850)*MOVIMIENTOS!$E$5:$E$1005))</f>
        <v/>
      </c>
      <c r="C850" t="str">
        <f>IF($A850="","",SUMPRODUCT((MOVIMIENTOS!$B$5:$B$1005="SALDO INICIAL")*(MOVIMIENTOS!$C$5:$C$1005="P")*(MOVIMIENTOS!$D$5:$D$1005="jabas")*(MOVIMIENTOS!$A$5:$A$1005&lt;&gt;"")*(MOVIMIENTOS!$A$5:$A$1005&lt;=$A850)*MOVIMIENTOS!$E$5:$E$1005)+SUMPRODUCT((MOVIMIENTOS!$B$5:$B$1005="PROCESO")*(MOVIMIENTOS!$C$5:$C$1005="P")*(MOVIMIENTOS!$D$5:$D$1005="jabas")*(MOVIMIENTOS!$A$5:$A$1005&lt;&gt;"")*(MOVIMIENTOS!$A$5:$A$1005&lt;=$A850)*MOVIMIENTOS!$E$5:$E$1005)-SUMPRODUCT((MOVIMIENTOS!$B$5:$B$1005="ENVÍO A SUPESA")*(MOVIMIENTOS!$C$5:$C$1005="P")*(MOVIMIENTOS!$D$5:$D$1005="jabas")*(MOVIMIENTOS!$A$5:$A$1005&lt;&gt;"")*(MOVIMIENTOS!$A$5:$A$1005&lt;=$A850)*MOVIMIENTOS!$E$5:$E$1005)+SUMPRODUCT((MOVIMIENTOS!$B$5:$B$1005="DEVOLUCIÓN")*(MOVIMIENTOS!$C$5:$C$1005="P")*(MOVIMIENTOS!$D$5:$D$1005="jabas")*(MOVIMIENTOS!$A$5:$A$1005&lt;&gt;"")*(MOVIMIENTOS!$A$5:$A$1005&lt;=$A850)*MOVIMIENTOS!$E$5:$E$1005)-SUMPRODUCT((MOVIMIENTOS!$B$5:$B$1005="TRASIEGO")*(MOVIMIENTOS!$C$5:$C$1005="P")*(MOVIMIENTOS!$D$5:$D$1005="jabas")*(MOVIMIENTOS!$A$5:$A$1005&lt;&gt;"")*(MOVIMIENTOS!$A$5:$A$1005&lt;=$A850)*MOVIMIENTOS!$E$5:$E$1005)-SUMPRODUCT((MOVIMIENTOS!$B$5:$B$1005="REGALO")*(MOVIMIENTOS!$C$5:$C$1005="P")*(MOVIMIENTOS!$D$5:$D$1005="jabas")*(MOVIMIENTOS!$A$5:$A$1005&lt;&gt;"")*(MOVIMIENTOS!$A$5:$A$1005&lt;=$A850)*MOVIMIENTOS!$E$5:$E$1005)-SUMPRODUCT((MOVIMIENTOS!$B$5:$B$1005="VENTA")*(MOVIMIENTOS!$C$5:$C$1005="P")*(MOVIMIENTOS!$D$5:$D$1005="jabas")*(MOVIMIENTOS!$A$5:$A$1005&lt;&gt;"")*(MOVIMIENTOS!$A$5:$A$1005&lt;=$A850)*MOVIMIENTOS!$E$5:$E$1005)+SUMPRODUCT((MOVIMIENTOS!$B$5:$B$1005="AJUSTE")*(MOVIMIENTOS!$C$5:$C$1005="P")*(MOVIMIENTOS!$D$5:$D$1005="jabas")*(MOVIMIENTOS!$A$5:$A$1005&lt;&gt;"")*(MOVIMIENTOS!$A$5:$A$1005&lt;=$A850)*MOVIMIENTOS!$E$5:$E$1005))</f>
        <v/>
      </c>
      <c r="D850" t="str">
        <f>IF($A850="","",SUMPRODUCT((MOVIMIENTOS!$B$5:$B$1005="SALDO INICIAL")*(MOVIMIENTOS!$C$5:$C$1005="C")*(MOVIMIENTOS!$D$5:$D$1005="jabas")*(MOVIMIENTOS!$A$5:$A$1005&lt;&gt;"")*(MOVIMIENTOS!$A$5:$A$1005&lt;=$A850)*MOVIMIENTOS!$E$5:$E$1005)+SUMPRODUCT((MOVIMIENTOS!$B$5:$B$1005="PROCESO")*(MOVIMIENTOS!$C$5:$C$1005="C")*(MOVIMIENTOS!$D$5:$D$1005="jabas")*(MOVIMIENTOS!$A$5:$A$1005&lt;&gt;"")*(MOVIMIENTOS!$A$5:$A$1005&lt;=$A850)*MOVIMIENTOS!$E$5:$E$1005)-SUMPRODUCT((MOVIMIENTOS!$B$5:$B$1005="ENVÍO A SUPESA")*(MOVIMIENTOS!$C$5:$C$1005="C")*(MOVIMIENTOS!$D$5:$D$1005="jabas")*(MOVIMIENTOS!$A$5:$A$1005&lt;&gt;"")*(MOVIMIENTOS!$A$5:$A$1005&lt;=$A850)*MOVIMIENTOS!$E$5:$E$1005)+SUMPRODUCT((MOVIMIENTOS!$B$5:$B$1005="DEVOLUCIÓN")*(MOVIMIENTOS!$C$5:$C$1005="C")*(MOVIMIENTOS!$D$5:$D$1005="jabas")*(MOVIMIENTOS!$A$5:$A$1005&lt;&gt;"")*(MOVIMIENTOS!$A$5:$A$1005&lt;=$A850)*MOVIMIENTOS!$E$5:$E$1005)-SUMPRODUCT((MOVIMIENTOS!$B$5:$B$1005="TRASIEGO")*(MOVIMIENTOS!$C$5:$C$1005="C")*(MOVIMIENTOS!$D$5:$D$1005="jabas")*(MOVIMIENTOS!$A$5:$A$1005&lt;&gt;"")*(MOVIMIENTOS!$A$5:$A$1005&lt;=$A850)*MOVIMIENTOS!$E$5:$E$1005)-SUMPRODUCT((MOVIMIENTOS!$B$5:$B$1005="REGALO")*(MOVIMIENTOS!$C$5:$C$1005="C")*(MOVIMIENTOS!$D$5:$D$1005="jabas")*(MOVIMIENTOS!$A$5:$A$1005&lt;&gt;"")*(MOVIMIENTOS!$A$5:$A$1005&lt;=$A850)*MOVIMIENTOS!$E$5:$E$1005)-SUMPRODUCT((MOVIMIENTOS!$B$5:$B$1005="VENTA")*(MOVIMIENTOS!$C$5:$C$1005="C")*(MOVIMIENTOS!$D$5:$D$1005="jabas")*(MOVIMIENTOS!$A$5:$A$1005&lt;&gt;"")*(MOVIMIENTOS!$A$5:$A$1005&lt;=$A850)*MOVIMIENTOS!$E$5:$E$1005)+SUMPRODUCT((MOVIMIENTOS!$B$5:$B$1005="AJUSTE")*(MOVIMIENTOS!$C$5:$C$1005="C")*(MOVIMIENTOS!$D$5:$D$1005="jabas")*(MOVIMIENTOS!$A$5:$A$1005&lt;&gt;"")*(MOVIMIENTOS!$A$5:$A$1005&lt;=$A850)*MOVIMIENTOS!$E$5:$E$1005))</f>
        <v/>
      </c>
      <c r="E850" t="str">
        <f>IF($A850="","",SUMPRODUCT((MOVIMIENTOS!$B$5:$B$1005="SALDO INICIAL")*(MOVIMIENTOS!$C$5:$C$1005="M")*(MOVIMIENTOS!$D$5:$D$1005="jabas")*(MOVIMIENTOS!$A$5:$A$1005&lt;&gt;"")*(MOVIMIENTOS!$A$5:$A$1005&lt;=$A850)*MOVIMIENTOS!$E$5:$E$1005)+SUMPRODUCT((MOVIMIENTOS!$B$5:$B$1005="PROCESO")*(MOVIMIENTOS!$C$5:$C$1005="M")*(MOVIMIENTOS!$D$5:$D$1005="jabas")*(MOVIMIENTOS!$A$5:$A$1005&lt;&gt;"")*(MOVIMIENTOS!$A$5:$A$1005&lt;=$A850)*MOVIMIENTOS!$E$5:$E$1005)-SUMPRODUCT((MOVIMIENTOS!$B$5:$B$1005="ENVÍO A SUPESA")*(MOVIMIENTOS!$C$5:$C$1005="M")*(MOVIMIENTOS!$D$5:$D$1005="jabas")*(MOVIMIENTOS!$A$5:$A$1005&lt;&gt;"")*(MOVIMIENTOS!$A$5:$A$1005&lt;=$A850)*MOVIMIENTOS!$E$5:$E$1005)+SUMPRODUCT((MOVIMIENTOS!$B$5:$B$1005="DEVOLUCIÓN")*(MOVIMIENTOS!$C$5:$C$1005="M")*(MOVIMIENTOS!$D$5:$D$1005="jabas")*(MOVIMIENTOS!$A$5:$A$1005&lt;&gt;"")*(MOVIMIENTOS!$A$5:$A$1005&lt;=$A850)*MOVIMIENTOS!$E$5:$E$1005)-SUMPRODUCT((MOVIMIENTOS!$B$5:$B$1005="TRASIEGO")*(MOVIMIENTOS!$C$5:$C$1005="M")*(MOVIMIENTOS!$D$5:$D$1005="jabas")*(MOVIMIENTOS!$A$5:$A$1005&lt;&gt;"")*(MOVIMIENTOS!$A$5:$A$1005&lt;=$A850)*MOVIMIENTOS!$E$5:$E$1005)-SUMPRODUCT((MOVIMIENTOS!$B$5:$B$1005="REGALO")*(MOVIMIENTOS!$C$5:$C$1005="M")*(MOVIMIENTOS!$D$5:$D$1005="jabas")*(MOVIMIENTOS!$A$5:$A$1005&lt;&gt;"")*(MOVIMIENTOS!$A$5:$A$1005&lt;=$A850)*MOVIMIENTOS!$E$5:$E$1005)-SUMPRODUCT((MOVIMIENTOS!$B$5:$B$1005="VENTA")*(MOVIMIENTOS!$C$5:$C$1005="M")*(MOVIMIENTOS!$D$5:$D$1005="jabas")*(MOVIMIENTOS!$A$5:$A$1005&lt;&gt;"")*(MOVIMIENTOS!$A$5:$A$1005&lt;=$A850)*MOVIMIENTOS!$E$5:$E$1005)+SUMPRODUCT((MOVIMIENTOS!$B$5:$B$1005="AJUSTE")*(MOVIMIENTOS!$C$5:$C$1005="M")*(MOVIMIENTOS!$D$5:$D$1005="jabas")*(MOVIMIENTOS!$A$5:$A$1005&lt;&gt;"")*(MOVIMIENTOS!$A$5:$A$1005&lt;=$A850)*MOVIMIENTOS!$E$5:$E$1005))</f>
        <v/>
      </c>
      <c r="F850" s="62" t="str">
        <f>IF($A850="","",SUMPRODUCT((MOVIMIENTOS!$B$5:$B$1005="SALDO INICIAL")*(MOVIMIENTOS!$C$5:$C$1005="Chancho")*(MOVIMIENTOS!$D$5:$D$1005="sacos")*(MOVIMIENTOS!$A$5:$A$1005&lt;&gt;"")*(MOVIMIENTOS!$A$5:$A$1005&lt;=$A850)*MOVIMIENTOS!$E$5:$E$1005)+SUMPRODUCT((MOVIMIENTOS!$B$5:$B$1005="PROCESO")*(MOVIMIENTOS!$C$5:$C$1005="Chancho")*(MOVIMIENTOS!$D$5:$D$1005="sacos")*(MOVIMIENTOS!$A$5:$A$1005&lt;&gt;"")*(MOVIMIENTOS!$A$5:$A$1005&lt;=$A850)*MOVIMIENTOS!$E$5:$E$1005)-SUMPRODUCT((MOVIMIENTOS!$B$5:$B$1005="VENTA CHANCHO")*(MOVIMIENTOS!$C$5:$C$1005="Chancho")*(MOVIMIENTOS!$D$5:$D$1005="sacos")*(MOVIMIENTOS!$A$5:$A$1005&lt;&gt;"")*(MOVIMIENTOS!$A$5:$A$1005&lt;=$A850)*MOVIMIENTOS!$E$5:$E$1005)-SUMPRODUCT((MOVIMIENTOS!$B$5:$B$1005="REGALO")*(MOVIMIENTOS!$C$5:$C$1005="Chancho")*(MOVIMIENTOS!$D$5:$D$1005="sacos")*(MOVIMIENTOS!$A$5:$A$1005&lt;&gt;"")*(MOVIMIENTOS!$A$5:$A$1005&lt;=$A850)*MOVIMIENTOS!$E$5:$E$1005)-SUMPRODUCT((MOVIMIENTOS!$B$5:$B$1005="VENTA")*(MOVIMIENTOS!$C$5:$C$1005="Chancho")*(MOVIMIENTOS!$D$5:$D$1005="sacos")*(MOVIMIENTOS!$A$5:$A$1005&lt;&gt;"")*(MOVIMIENTOS!$A$5:$A$1005&lt;=$A850)*MOVIMIENTOS!$E$5:$E$1005)+SUMPRODUCT((MOVIMIENTOS!$B$5:$B$1005="AJUSTE")*(MOVIMIENTOS!$C$5:$C$1005="Chancho")*(MOVIMIENTOS!$D$5:$D$1005="sacos")*(MOVIMIENTOS!$A$5:$A$1005&lt;&gt;"")*(MOVIMIENTOS!$A$5:$A$1005&lt;=$A850)*MOVIMIENTOS!$E$5:$E$1005))</f>
        <v/>
      </c>
      <c r="G850" s="62" t="str">
        <f t="shared" si="27"/>
        <v/>
      </c>
      <c r="H850" t="str">
        <f>IF($A850="","",SUMPRODUCT((((MOVIMIENTOS!$B$5:$B$1005="SALDO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850)*MOVIMIENTOS!$J$5:$J$1005))</f>
        <v/>
      </c>
      <c r="J850" t="str">
        <f>IF(AND(MOVIMIENTOS!$A855&lt;&gt;"",COUNTIF(MOVIMIENTOS!$A$5:$A854,MOVIMIENTOS!$A855)=0),COUNT(J$4:J849)+1,"")</f>
        <v/>
      </c>
      <c r="K850">
        <f>MOVIMIENTOS!$A855</f>
        <v>0</v>
      </c>
    </row>
    <row r="851" spans="1:11" ht="15" customHeight="1" x14ac:dyDescent="0.2">
      <c r="A851" t="str">
        <f t="shared" si="26"/>
        <v/>
      </c>
      <c r="B851" t="str">
        <f>IF($A851="","",SUMPRODUCT((MOVIMIENTOS!$B$5:$B$1005="SALDO INICIAL")*(MOVIMIENTOS!$C$5:$C$1005="A")*(MOVIMIENTOS!$D$5:$D$1005="jabas")*(MOVIMIENTOS!$A$5:$A$1005&lt;&gt;"")*(MOVIMIENTOS!$A$5:$A$1005&lt;=$A851)*MOVIMIENTOS!$E$5:$E$1005)+SUMPRODUCT((MOVIMIENTOS!$B$5:$B$1005="PROCESO")*(MOVIMIENTOS!$C$5:$C$1005="A")*(MOVIMIENTOS!$D$5:$D$1005="jabas")*(MOVIMIENTOS!$A$5:$A$1005&lt;&gt;"")*(MOVIMIENTOS!$A$5:$A$1005&lt;=$A851)*MOVIMIENTOS!$E$5:$E$1005)-SUMPRODUCT((MOVIMIENTOS!$B$5:$B$1005="ENVÍO A SUPESA")*(MOVIMIENTOS!$C$5:$C$1005="A")*(MOVIMIENTOS!$D$5:$D$1005="jabas")*(MOVIMIENTOS!$A$5:$A$1005&lt;&gt;"")*(MOVIMIENTOS!$A$5:$A$1005&lt;=$A851)*MOVIMIENTOS!$E$5:$E$1005)+SUMPRODUCT((MOVIMIENTOS!$B$5:$B$1005="DEVOLUCIÓN")*(MOVIMIENTOS!$C$5:$C$1005="A")*(MOVIMIENTOS!$D$5:$D$1005="jabas")*(MOVIMIENTOS!$A$5:$A$1005&lt;&gt;"")*(MOVIMIENTOS!$A$5:$A$1005&lt;=$A851)*MOVIMIENTOS!$E$5:$E$1005)-SUMPRODUCT((MOVIMIENTOS!$B$5:$B$1005="TRASIEGO")*(MOVIMIENTOS!$C$5:$C$1005="A")*(MOVIMIENTOS!$D$5:$D$1005="jabas")*(MOVIMIENTOS!$A$5:$A$1005&lt;&gt;"")*(MOVIMIENTOS!$A$5:$A$1005&lt;=$A851)*MOVIMIENTOS!$E$5:$E$1005)-SUMPRODUCT((MOVIMIENTOS!$B$5:$B$1005="REGALO")*(MOVIMIENTOS!$C$5:$C$1005="A")*(MOVIMIENTOS!$D$5:$D$1005="jabas")*(MOVIMIENTOS!$A$5:$A$1005&lt;&gt;"")*(MOVIMIENTOS!$A$5:$A$1005&lt;=$A851)*MOVIMIENTOS!$E$5:$E$1005)-SUMPRODUCT((MOVIMIENTOS!$B$5:$B$1005="VENTA")*(MOVIMIENTOS!$C$5:$C$1005="A")*(MOVIMIENTOS!$D$5:$D$1005="jabas")*(MOVIMIENTOS!$A$5:$A$1005&lt;&gt;"")*(MOVIMIENTOS!$A$5:$A$1005&lt;=$A851)*MOVIMIENTOS!$E$5:$E$1005)+SUMPRODUCT((MOVIMIENTOS!$B$5:$B$1005="AJUSTE")*(MOVIMIENTOS!$C$5:$C$1005="A")*(MOVIMIENTOS!$D$5:$D$1005="jabas")*(MOVIMIENTOS!$A$5:$A$1005&lt;&gt;"")*(MOVIMIENTOS!$A$5:$A$1005&lt;=$A851)*MOVIMIENTOS!$E$5:$E$1005))</f>
        <v/>
      </c>
      <c r="C851" t="str">
        <f>IF($A851="","",SUMPRODUCT((MOVIMIENTOS!$B$5:$B$1005="SALDO INICIAL")*(MOVIMIENTOS!$C$5:$C$1005="P")*(MOVIMIENTOS!$D$5:$D$1005="jabas")*(MOVIMIENTOS!$A$5:$A$1005&lt;&gt;"")*(MOVIMIENTOS!$A$5:$A$1005&lt;=$A851)*MOVIMIENTOS!$E$5:$E$1005)+SUMPRODUCT((MOVIMIENTOS!$B$5:$B$1005="PROCESO")*(MOVIMIENTOS!$C$5:$C$1005="P")*(MOVIMIENTOS!$D$5:$D$1005="jabas")*(MOVIMIENTOS!$A$5:$A$1005&lt;&gt;"")*(MOVIMIENTOS!$A$5:$A$1005&lt;=$A851)*MOVIMIENTOS!$E$5:$E$1005)-SUMPRODUCT((MOVIMIENTOS!$B$5:$B$1005="ENVÍO A SUPESA")*(MOVIMIENTOS!$C$5:$C$1005="P")*(MOVIMIENTOS!$D$5:$D$1005="jabas")*(MOVIMIENTOS!$A$5:$A$1005&lt;&gt;"")*(MOVIMIENTOS!$A$5:$A$1005&lt;=$A851)*MOVIMIENTOS!$E$5:$E$1005)+SUMPRODUCT((MOVIMIENTOS!$B$5:$B$1005="DEVOLUCIÓN")*(MOVIMIENTOS!$C$5:$C$1005="P")*(MOVIMIENTOS!$D$5:$D$1005="jabas")*(MOVIMIENTOS!$A$5:$A$1005&lt;&gt;"")*(MOVIMIENTOS!$A$5:$A$1005&lt;=$A851)*MOVIMIENTOS!$E$5:$E$1005)-SUMPRODUCT((MOVIMIENTOS!$B$5:$B$1005="TRASIEGO")*(MOVIMIENTOS!$C$5:$C$1005="P")*(MOVIMIENTOS!$D$5:$D$1005="jabas")*(MOVIMIENTOS!$A$5:$A$1005&lt;&gt;"")*(MOVIMIENTOS!$A$5:$A$1005&lt;=$A851)*MOVIMIENTOS!$E$5:$E$1005)-SUMPRODUCT((MOVIMIENTOS!$B$5:$B$1005="REGALO")*(MOVIMIENTOS!$C$5:$C$1005="P")*(MOVIMIENTOS!$D$5:$D$1005="jabas")*(MOVIMIENTOS!$A$5:$A$1005&lt;&gt;"")*(MOVIMIENTOS!$A$5:$A$1005&lt;=$A851)*MOVIMIENTOS!$E$5:$E$1005)-SUMPRODUCT((MOVIMIENTOS!$B$5:$B$1005="VENTA")*(MOVIMIENTOS!$C$5:$C$1005="P")*(MOVIMIENTOS!$D$5:$D$1005="jabas")*(MOVIMIENTOS!$A$5:$A$1005&lt;&gt;"")*(MOVIMIENTOS!$A$5:$A$1005&lt;=$A851)*MOVIMIENTOS!$E$5:$E$1005)+SUMPRODUCT((MOVIMIENTOS!$B$5:$B$1005="AJUSTE")*(MOVIMIENTOS!$C$5:$C$1005="P")*(MOVIMIENTOS!$D$5:$D$1005="jabas")*(MOVIMIENTOS!$A$5:$A$1005&lt;&gt;"")*(MOVIMIENTOS!$A$5:$A$1005&lt;=$A851)*MOVIMIENTOS!$E$5:$E$1005))</f>
        <v/>
      </c>
      <c r="D851" t="str">
        <f>IF($A851="","",SUMPRODUCT((MOVIMIENTOS!$B$5:$B$1005="SALDO INICIAL")*(MOVIMIENTOS!$C$5:$C$1005="C")*(MOVIMIENTOS!$D$5:$D$1005="jabas")*(MOVIMIENTOS!$A$5:$A$1005&lt;&gt;"")*(MOVIMIENTOS!$A$5:$A$1005&lt;=$A851)*MOVIMIENTOS!$E$5:$E$1005)+SUMPRODUCT((MOVIMIENTOS!$B$5:$B$1005="PROCESO")*(MOVIMIENTOS!$C$5:$C$1005="C")*(MOVIMIENTOS!$D$5:$D$1005="jabas")*(MOVIMIENTOS!$A$5:$A$1005&lt;&gt;"")*(MOVIMIENTOS!$A$5:$A$1005&lt;=$A851)*MOVIMIENTOS!$E$5:$E$1005)-SUMPRODUCT((MOVIMIENTOS!$B$5:$B$1005="ENVÍO A SUPESA")*(MOVIMIENTOS!$C$5:$C$1005="C")*(MOVIMIENTOS!$D$5:$D$1005="jabas")*(MOVIMIENTOS!$A$5:$A$1005&lt;&gt;"")*(MOVIMIENTOS!$A$5:$A$1005&lt;=$A851)*MOVIMIENTOS!$E$5:$E$1005)+SUMPRODUCT((MOVIMIENTOS!$B$5:$B$1005="DEVOLUCIÓN")*(MOVIMIENTOS!$C$5:$C$1005="C")*(MOVIMIENTOS!$D$5:$D$1005="jabas")*(MOVIMIENTOS!$A$5:$A$1005&lt;&gt;"")*(MOVIMIENTOS!$A$5:$A$1005&lt;=$A851)*MOVIMIENTOS!$E$5:$E$1005)-SUMPRODUCT((MOVIMIENTOS!$B$5:$B$1005="TRASIEGO")*(MOVIMIENTOS!$C$5:$C$1005="C")*(MOVIMIENTOS!$D$5:$D$1005="jabas")*(MOVIMIENTOS!$A$5:$A$1005&lt;&gt;"")*(MOVIMIENTOS!$A$5:$A$1005&lt;=$A851)*MOVIMIENTOS!$E$5:$E$1005)-SUMPRODUCT((MOVIMIENTOS!$B$5:$B$1005="REGALO")*(MOVIMIENTOS!$C$5:$C$1005="C")*(MOVIMIENTOS!$D$5:$D$1005="jabas")*(MOVIMIENTOS!$A$5:$A$1005&lt;&gt;"")*(MOVIMIENTOS!$A$5:$A$1005&lt;=$A851)*MOVIMIENTOS!$E$5:$E$1005)-SUMPRODUCT((MOVIMIENTOS!$B$5:$B$1005="VENTA")*(MOVIMIENTOS!$C$5:$C$1005="C")*(MOVIMIENTOS!$D$5:$D$1005="jabas")*(MOVIMIENTOS!$A$5:$A$1005&lt;&gt;"")*(MOVIMIENTOS!$A$5:$A$1005&lt;=$A851)*MOVIMIENTOS!$E$5:$E$1005)+SUMPRODUCT((MOVIMIENTOS!$B$5:$B$1005="AJUSTE")*(MOVIMIENTOS!$C$5:$C$1005="C")*(MOVIMIENTOS!$D$5:$D$1005="jabas")*(MOVIMIENTOS!$A$5:$A$1005&lt;&gt;"")*(MOVIMIENTOS!$A$5:$A$1005&lt;=$A851)*MOVIMIENTOS!$E$5:$E$1005))</f>
        <v/>
      </c>
      <c r="E851" t="str">
        <f>IF($A851="","",SUMPRODUCT((MOVIMIENTOS!$B$5:$B$1005="SALDO INICIAL")*(MOVIMIENTOS!$C$5:$C$1005="M")*(MOVIMIENTOS!$D$5:$D$1005="jabas")*(MOVIMIENTOS!$A$5:$A$1005&lt;&gt;"")*(MOVIMIENTOS!$A$5:$A$1005&lt;=$A851)*MOVIMIENTOS!$E$5:$E$1005)+SUMPRODUCT((MOVIMIENTOS!$B$5:$B$1005="PROCESO")*(MOVIMIENTOS!$C$5:$C$1005="M")*(MOVIMIENTOS!$D$5:$D$1005="jabas")*(MOVIMIENTOS!$A$5:$A$1005&lt;&gt;"")*(MOVIMIENTOS!$A$5:$A$1005&lt;=$A851)*MOVIMIENTOS!$E$5:$E$1005)-SUMPRODUCT((MOVIMIENTOS!$B$5:$B$1005="ENVÍO A SUPESA")*(MOVIMIENTOS!$C$5:$C$1005="M")*(MOVIMIENTOS!$D$5:$D$1005="jabas")*(MOVIMIENTOS!$A$5:$A$1005&lt;&gt;"")*(MOVIMIENTOS!$A$5:$A$1005&lt;=$A851)*MOVIMIENTOS!$E$5:$E$1005)+SUMPRODUCT((MOVIMIENTOS!$B$5:$B$1005="DEVOLUCIÓN")*(MOVIMIENTOS!$C$5:$C$1005="M")*(MOVIMIENTOS!$D$5:$D$1005="jabas")*(MOVIMIENTOS!$A$5:$A$1005&lt;&gt;"")*(MOVIMIENTOS!$A$5:$A$1005&lt;=$A851)*MOVIMIENTOS!$E$5:$E$1005)-SUMPRODUCT((MOVIMIENTOS!$B$5:$B$1005="TRASIEGO")*(MOVIMIENTOS!$C$5:$C$1005="M")*(MOVIMIENTOS!$D$5:$D$1005="jabas")*(MOVIMIENTOS!$A$5:$A$1005&lt;&gt;"")*(MOVIMIENTOS!$A$5:$A$1005&lt;=$A851)*MOVIMIENTOS!$E$5:$E$1005)-SUMPRODUCT((MOVIMIENTOS!$B$5:$B$1005="REGALO")*(MOVIMIENTOS!$C$5:$C$1005="M")*(MOVIMIENTOS!$D$5:$D$1005="jabas")*(MOVIMIENTOS!$A$5:$A$1005&lt;&gt;"")*(MOVIMIENTOS!$A$5:$A$1005&lt;=$A851)*MOVIMIENTOS!$E$5:$E$1005)-SUMPRODUCT((MOVIMIENTOS!$B$5:$B$1005="VENTA")*(MOVIMIENTOS!$C$5:$C$1005="M")*(MOVIMIENTOS!$D$5:$D$1005="jabas")*(MOVIMIENTOS!$A$5:$A$1005&lt;&gt;"")*(MOVIMIENTOS!$A$5:$A$1005&lt;=$A851)*MOVIMIENTOS!$E$5:$E$1005)+SUMPRODUCT((MOVIMIENTOS!$B$5:$B$1005="AJUSTE")*(MOVIMIENTOS!$C$5:$C$1005="M")*(MOVIMIENTOS!$D$5:$D$1005="jabas")*(MOVIMIENTOS!$A$5:$A$1005&lt;&gt;"")*(MOVIMIENTOS!$A$5:$A$1005&lt;=$A851)*MOVIMIENTOS!$E$5:$E$1005))</f>
        <v/>
      </c>
      <c r="F851" s="62" t="str">
        <f>IF($A851="","",SUMPRODUCT((MOVIMIENTOS!$B$5:$B$1005="SALDO INICIAL")*(MOVIMIENTOS!$C$5:$C$1005="Chancho")*(MOVIMIENTOS!$D$5:$D$1005="sacos")*(MOVIMIENTOS!$A$5:$A$1005&lt;&gt;"")*(MOVIMIENTOS!$A$5:$A$1005&lt;=$A851)*MOVIMIENTOS!$E$5:$E$1005)+SUMPRODUCT((MOVIMIENTOS!$B$5:$B$1005="PROCESO")*(MOVIMIENTOS!$C$5:$C$1005="Chancho")*(MOVIMIENTOS!$D$5:$D$1005="sacos")*(MOVIMIENTOS!$A$5:$A$1005&lt;&gt;"")*(MOVIMIENTOS!$A$5:$A$1005&lt;=$A851)*MOVIMIENTOS!$E$5:$E$1005)-SUMPRODUCT((MOVIMIENTOS!$B$5:$B$1005="VENTA CHANCHO")*(MOVIMIENTOS!$C$5:$C$1005="Chancho")*(MOVIMIENTOS!$D$5:$D$1005="sacos")*(MOVIMIENTOS!$A$5:$A$1005&lt;&gt;"")*(MOVIMIENTOS!$A$5:$A$1005&lt;=$A851)*MOVIMIENTOS!$E$5:$E$1005)-SUMPRODUCT((MOVIMIENTOS!$B$5:$B$1005="REGALO")*(MOVIMIENTOS!$C$5:$C$1005="Chancho")*(MOVIMIENTOS!$D$5:$D$1005="sacos")*(MOVIMIENTOS!$A$5:$A$1005&lt;&gt;"")*(MOVIMIENTOS!$A$5:$A$1005&lt;=$A851)*MOVIMIENTOS!$E$5:$E$1005)-SUMPRODUCT((MOVIMIENTOS!$B$5:$B$1005="VENTA")*(MOVIMIENTOS!$C$5:$C$1005="Chancho")*(MOVIMIENTOS!$D$5:$D$1005="sacos")*(MOVIMIENTOS!$A$5:$A$1005&lt;&gt;"")*(MOVIMIENTOS!$A$5:$A$1005&lt;=$A851)*MOVIMIENTOS!$E$5:$E$1005)+SUMPRODUCT((MOVIMIENTOS!$B$5:$B$1005="AJUSTE")*(MOVIMIENTOS!$C$5:$C$1005="Chancho")*(MOVIMIENTOS!$D$5:$D$1005="sacos")*(MOVIMIENTOS!$A$5:$A$1005&lt;&gt;"")*(MOVIMIENTOS!$A$5:$A$1005&lt;=$A851)*MOVIMIENTOS!$E$5:$E$1005))</f>
        <v/>
      </c>
      <c r="G851" s="62" t="str">
        <f t="shared" si="27"/>
        <v/>
      </c>
      <c r="H851" t="str">
        <f>IF($A851="","",SUMPRODUCT((((MOVIMIENTOS!$B$5:$B$1005="SALDO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851)*MOVIMIENTOS!$J$5:$J$1005))</f>
        <v/>
      </c>
      <c r="J851" t="str">
        <f>IF(AND(MOVIMIENTOS!$A856&lt;&gt;"",COUNTIF(MOVIMIENTOS!$A$5:$A855,MOVIMIENTOS!$A856)=0),COUNT(J$4:J850)+1,"")</f>
        <v/>
      </c>
      <c r="K851">
        <f>MOVIMIENTOS!$A856</f>
        <v>0</v>
      </c>
    </row>
    <row r="852" spans="1:11" ht="15" customHeight="1" x14ac:dyDescent="0.2">
      <c r="A852" t="str">
        <f t="shared" si="26"/>
        <v/>
      </c>
      <c r="B852" t="str">
        <f>IF($A852="","",SUMPRODUCT((MOVIMIENTOS!$B$5:$B$1005="SALDO INICIAL")*(MOVIMIENTOS!$C$5:$C$1005="A")*(MOVIMIENTOS!$D$5:$D$1005="jabas")*(MOVIMIENTOS!$A$5:$A$1005&lt;&gt;"")*(MOVIMIENTOS!$A$5:$A$1005&lt;=$A852)*MOVIMIENTOS!$E$5:$E$1005)+SUMPRODUCT((MOVIMIENTOS!$B$5:$B$1005="PROCESO")*(MOVIMIENTOS!$C$5:$C$1005="A")*(MOVIMIENTOS!$D$5:$D$1005="jabas")*(MOVIMIENTOS!$A$5:$A$1005&lt;&gt;"")*(MOVIMIENTOS!$A$5:$A$1005&lt;=$A852)*MOVIMIENTOS!$E$5:$E$1005)-SUMPRODUCT((MOVIMIENTOS!$B$5:$B$1005="ENVÍO A SUPESA")*(MOVIMIENTOS!$C$5:$C$1005="A")*(MOVIMIENTOS!$D$5:$D$1005="jabas")*(MOVIMIENTOS!$A$5:$A$1005&lt;&gt;"")*(MOVIMIENTOS!$A$5:$A$1005&lt;=$A852)*MOVIMIENTOS!$E$5:$E$1005)+SUMPRODUCT((MOVIMIENTOS!$B$5:$B$1005="DEVOLUCIÓN")*(MOVIMIENTOS!$C$5:$C$1005="A")*(MOVIMIENTOS!$D$5:$D$1005="jabas")*(MOVIMIENTOS!$A$5:$A$1005&lt;&gt;"")*(MOVIMIENTOS!$A$5:$A$1005&lt;=$A852)*MOVIMIENTOS!$E$5:$E$1005)-SUMPRODUCT((MOVIMIENTOS!$B$5:$B$1005="TRASIEGO")*(MOVIMIENTOS!$C$5:$C$1005="A")*(MOVIMIENTOS!$D$5:$D$1005="jabas")*(MOVIMIENTOS!$A$5:$A$1005&lt;&gt;"")*(MOVIMIENTOS!$A$5:$A$1005&lt;=$A852)*MOVIMIENTOS!$E$5:$E$1005)-SUMPRODUCT((MOVIMIENTOS!$B$5:$B$1005="REGALO")*(MOVIMIENTOS!$C$5:$C$1005="A")*(MOVIMIENTOS!$D$5:$D$1005="jabas")*(MOVIMIENTOS!$A$5:$A$1005&lt;&gt;"")*(MOVIMIENTOS!$A$5:$A$1005&lt;=$A852)*MOVIMIENTOS!$E$5:$E$1005)-SUMPRODUCT((MOVIMIENTOS!$B$5:$B$1005="VENTA")*(MOVIMIENTOS!$C$5:$C$1005="A")*(MOVIMIENTOS!$D$5:$D$1005="jabas")*(MOVIMIENTOS!$A$5:$A$1005&lt;&gt;"")*(MOVIMIENTOS!$A$5:$A$1005&lt;=$A852)*MOVIMIENTOS!$E$5:$E$1005)+SUMPRODUCT((MOVIMIENTOS!$B$5:$B$1005="AJUSTE")*(MOVIMIENTOS!$C$5:$C$1005="A")*(MOVIMIENTOS!$D$5:$D$1005="jabas")*(MOVIMIENTOS!$A$5:$A$1005&lt;&gt;"")*(MOVIMIENTOS!$A$5:$A$1005&lt;=$A852)*MOVIMIENTOS!$E$5:$E$1005))</f>
        <v/>
      </c>
      <c r="C852" t="str">
        <f>IF($A852="","",SUMPRODUCT((MOVIMIENTOS!$B$5:$B$1005="SALDO INICIAL")*(MOVIMIENTOS!$C$5:$C$1005="P")*(MOVIMIENTOS!$D$5:$D$1005="jabas")*(MOVIMIENTOS!$A$5:$A$1005&lt;&gt;"")*(MOVIMIENTOS!$A$5:$A$1005&lt;=$A852)*MOVIMIENTOS!$E$5:$E$1005)+SUMPRODUCT((MOVIMIENTOS!$B$5:$B$1005="PROCESO")*(MOVIMIENTOS!$C$5:$C$1005="P")*(MOVIMIENTOS!$D$5:$D$1005="jabas")*(MOVIMIENTOS!$A$5:$A$1005&lt;&gt;"")*(MOVIMIENTOS!$A$5:$A$1005&lt;=$A852)*MOVIMIENTOS!$E$5:$E$1005)-SUMPRODUCT((MOVIMIENTOS!$B$5:$B$1005="ENVÍO A SUPESA")*(MOVIMIENTOS!$C$5:$C$1005="P")*(MOVIMIENTOS!$D$5:$D$1005="jabas")*(MOVIMIENTOS!$A$5:$A$1005&lt;&gt;"")*(MOVIMIENTOS!$A$5:$A$1005&lt;=$A852)*MOVIMIENTOS!$E$5:$E$1005)+SUMPRODUCT((MOVIMIENTOS!$B$5:$B$1005="DEVOLUCIÓN")*(MOVIMIENTOS!$C$5:$C$1005="P")*(MOVIMIENTOS!$D$5:$D$1005="jabas")*(MOVIMIENTOS!$A$5:$A$1005&lt;&gt;"")*(MOVIMIENTOS!$A$5:$A$1005&lt;=$A852)*MOVIMIENTOS!$E$5:$E$1005)-SUMPRODUCT((MOVIMIENTOS!$B$5:$B$1005="TRASIEGO")*(MOVIMIENTOS!$C$5:$C$1005="P")*(MOVIMIENTOS!$D$5:$D$1005="jabas")*(MOVIMIENTOS!$A$5:$A$1005&lt;&gt;"")*(MOVIMIENTOS!$A$5:$A$1005&lt;=$A852)*MOVIMIENTOS!$E$5:$E$1005)-SUMPRODUCT((MOVIMIENTOS!$B$5:$B$1005="REGALO")*(MOVIMIENTOS!$C$5:$C$1005="P")*(MOVIMIENTOS!$D$5:$D$1005="jabas")*(MOVIMIENTOS!$A$5:$A$1005&lt;&gt;"")*(MOVIMIENTOS!$A$5:$A$1005&lt;=$A852)*MOVIMIENTOS!$E$5:$E$1005)-SUMPRODUCT((MOVIMIENTOS!$B$5:$B$1005="VENTA")*(MOVIMIENTOS!$C$5:$C$1005="P")*(MOVIMIENTOS!$D$5:$D$1005="jabas")*(MOVIMIENTOS!$A$5:$A$1005&lt;&gt;"")*(MOVIMIENTOS!$A$5:$A$1005&lt;=$A852)*MOVIMIENTOS!$E$5:$E$1005)+SUMPRODUCT((MOVIMIENTOS!$B$5:$B$1005="AJUSTE")*(MOVIMIENTOS!$C$5:$C$1005="P")*(MOVIMIENTOS!$D$5:$D$1005="jabas")*(MOVIMIENTOS!$A$5:$A$1005&lt;&gt;"")*(MOVIMIENTOS!$A$5:$A$1005&lt;=$A852)*MOVIMIENTOS!$E$5:$E$1005))</f>
        <v/>
      </c>
      <c r="D852" t="str">
        <f>IF($A852="","",SUMPRODUCT((MOVIMIENTOS!$B$5:$B$1005="SALDO INICIAL")*(MOVIMIENTOS!$C$5:$C$1005="C")*(MOVIMIENTOS!$D$5:$D$1005="jabas")*(MOVIMIENTOS!$A$5:$A$1005&lt;&gt;"")*(MOVIMIENTOS!$A$5:$A$1005&lt;=$A852)*MOVIMIENTOS!$E$5:$E$1005)+SUMPRODUCT((MOVIMIENTOS!$B$5:$B$1005="PROCESO")*(MOVIMIENTOS!$C$5:$C$1005="C")*(MOVIMIENTOS!$D$5:$D$1005="jabas")*(MOVIMIENTOS!$A$5:$A$1005&lt;&gt;"")*(MOVIMIENTOS!$A$5:$A$1005&lt;=$A852)*MOVIMIENTOS!$E$5:$E$1005)-SUMPRODUCT((MOVIMIENTOS!$B$5:$B$1005="ENVÍO A SUPESA")*(MOVIMIENTOS!$C$5:$C$1005="C")*(MOVIMIENTOS!$D$5:$D$1005="jabas")*(MOVIMIENTOS!$A$5:$A$1005&lt;&gt;"")*(MOVIMIENTOS!$A$5:$A$1005&lt;=$A852)*MOVIMIENTOS!$E$5:$E$1005)+SUMPRODUCT((MOVIMIENTOS!$B$5:$B$1005="DEVOLUCIÓN")*(MOVIMIENTOS!$C$5:$C$1005="C")*(MOVIMIENTOS!$D$5:$D$1005="jabas")*(MOVIMIENTOS!$A$5:$A$1005&lt;&gt;"")*(MOVIMIENTOS!$A$5:$A$1005&lt;=$A852)*MOVIMIENTOS!$E$5:$E$1005)-SUMPRODUCT((MOVIMIENTOS!$B$5:$B$1005="TRASIEGO")*(MOVIMIENTOS!$C$5:$C$1005="C")*(MOVIMIENTOS!$D$5:$D$1005="jabas")*(MOVIMIENTOS!$A$5:$A$1005&lt;&gt;"")*(MOVIMIENTOS!$A$5:$A$1005&lt;=$A852)*MOVIMIENTOS!$E$5:$E$1005)-SUMPRODUCT((MOVIMIENTOS!$B$5:$B$1005="REGALO")*(MOVIMIENTOS!$C$5:$C$1005="C")*(MOVIMIENTOS!$D$5:$D$1005="jabas")*(MOVIMIENTOS!$A$5:$A$1005&lt;&gt;"")*(MOVIMIENTOS!$A$5:$A$1005&lt;=$A852)*MOVIMIENTOS!$E$5:$E$1005)-SUMPRODUCT((MOVIMIENTOS!$B$5:$B$1005="VENTA")*(MOVIMIENTOS!$C$5:$C$1005="C")*(MOVIMIENTOS!$D$5:$D$1005="jabas")*(MOVIMIENTOS!$A$5:$A$1005&lt;&gt;"")*(MOVIMIENTOS!$A$5:$A$1005&lt;=$A852)*MOVIMIENTOS!$E$5:$E$1005)+SUMPRODUCT((MOVIMIENTOS!$B$5:$B$1005="AJUSTE")*(MOVIMIENTOS!$C$5:$C$1005="C")*(MOVIMIENTOS!$D$5:$D$1005="jabas")*(MOVIMIENTOS!$A$5:$A$1005&lt;&gt;"")*(MOVIMIENTOS!$A$5:$A$1005&lt;=$A852)*MOVIMIENTOS!$E$5:$E$1005))</f>
        <v/>
      </c>
      <c r="E852" t="str">
        <f>IF($A852="","",SUMPRODUCT((MOVIMIENTOS!$B$5:$B$1005="SALDO INICIAL")*(MOVIMIENTOS!$C$5:$C$1005="M")*(MOVIMIENTOS!$D$5:$D$1005="jabas")*(MOVIMIENTOS!$A$5:$A$1005&lt;&gt;"")*(MOVIMIENTOS!$A$5:$A$1005&lt;=$A852)*MOVIMIENTOS!$E$5:$E$1005)+SUMPRODUCT((MOVIMIENTOS!$B$5:$B$1005="PROCESO")*(MOVIMIENTOS!$C$5:$C$1005="M")*(MOVIMIENTOS!$D$5:$D$1005="jabas")*(MOVIMIENTOS!$A$5:$A$1005&lt;&gt;"")*(MOVIMIENTOS!$A$5:$A$1005&lt;=$A852)*MOVIMIENTOS!$E$5:$E$1005)-SUMPRODUCT((MOVIMIENTOS!$B$5:$B$1005="ENVÍO A SUPESA")*(MOVIMIENTOS!$C$5:$C$1005="M")*(MOVIMIENTOS!$D$5:$D$1005="jabas")*(MOVIMIENTOS!$A$5:$A$1005&lt;&gt;"")*(MOVIMIENTOS!$A$5:$A$1005&lt;=$A852)*MOVIMIENTOS!$E$5:$E$1005)+SUMPRODUCT((MOVIMIENTOS!$B$5:$B$1005="DEVOLUCIÓN")*(MOVIMIENTOS!$C$5:$C$1005="M")*(MOVIMIENTOS!$D$5:$D$1005="jabas")*(MOVIMIENTOS!$A$5:$A$1005&lt;&gt;"")*(MOVIMIENTOS!$A$5:$A$1005&lt;=$A852)*MOVIMIENTOS!$E$5:$E$1005)-SUMPRODUCT((MOVIMIENTOS!$B$5:$B$1005="TRASIEGO")*(MOVIMIENTOS!$C$5:$C$1005="M")*(MOVIMIENTOS!$D$5:$D$1005="jabas")*(MOVIMIENTOS!$A$5:$A$1005&lt;&gt;"")*(MOVIMIENTOS!$A$5:$A$1005&lt;=$A852)*MOVIMIENTOS!$E$5:$E$1005)-SUMPRODUCT((MOVIMIENTOS!$B$5:$B$1005="REGALO")*(MOVIMIENTOS!$C$5:$C$1005="M")*(MOVIMIENTOS!$D$5:$D$1005="jabas")*(MOVIMIENTOS!$A$5:$A$1005&lt;&gt;"")*(MOVIMIENTOS!$A$5:$A$1005&lt;=$A852)*MOVIMIENTOS!$E$5:$E$1005)-SUMPRODUCT((MOVIMIENTOS!$B$5:$B$1005="VENTA")*(MOVIMIENTOS!$C$5:$C$1005="M")*(MOVIMIENTOS!$D$5:$D$1005="jabas")*(MOVIMIENTOS!$A$5:$A$1005&lt;&gt;"")*(MOVIMIENTOS!$A$5:$A$1005&lt;=$A852)*MOVIMIENTOS!$E$5:$E$1005)+SUMPRODUCT((MOVIMIENTOS!$B$5:$B$1005="AJUSTE")*(MOVIMIENTOS!$C$5:$C$1005="M")*(MOVIMIENTOS!$D$5:$D$1005="jabas")*(MOVIMIENTOS!$A$5:$A$1005&lt;&gt;"")*(MOVIMIENTOS!$A$5:$A$1005&lt;=$A852)*MOVIMIENTOS!$E$5:$E$1005))</f>
        <v/>
      </c>
      <c r="F852" s="62" t="str">
        <f>IF($A852="","",SUMPRODUCT((MOVIMIENTOS!$B$5:$B$1005="SALDO INICIAL")*(MOVIMIENTOS!$C$5:$C$1005="Chancho")*(MOVIMIENTOS!$D$5:$D$1005="sacos")*(MOVIMIENTOS!$A$5:$A$1005&lt;&gt;"")*(MOVIMIENTOS!$A$5:$A$1005&lt;=$A852)*MOVIMIENTOS!$E$5:$E$1005)+SUMPRODUCT((MOVIMIENTOS!$B$5:$B$1005="PROCESO")*(MOVIMIENTOS!$C$5:$C$1005="Chancho")*(MOVIMIENTOS!$D$5:$D$1005="sacos")*(MOVIMIENTOS!$A$5:$A$1005&lt;&gt;"")*(MOVIMIENTOS!$A$5:$A$1005&lt;=$A852)*MOVIMIENTOS!$E$5:$E$1005)-SUMPRODUCT((MOVIMIENTOS!$B$5:$B$1005="VENTA CHANCHO")*(MOVIMIENTOS!$C$5:$C$1005="Chancho")*(MOVIMIENTOS!$D$5:$D$1005="sacos")*(MOVIMIENTOS!$A$5:$A$1005&lt;&gt;"")*(MOVIMIENTOS!$A$5:$A$1005&lt;=$A852)*MOVIMIENTOS!$E$5:$E$1005)-SUMPRODUCT((MOVIMIENTOS!$B$5:$B$1005="REGALO")*(MOVIMIENTOS!$C$5:$C$1005="Chancho")*(MOVIMIENTOS!$D$5:$D$1005="sacos")*(MOVIMIENTOS!$A$5:$A$1005&lt;&gt;"")*(MOVIMIENTOS!$A$5:$A$1005&lt;=$A852)*MOVIMIENTOS!$E$5:$E$1005)-SUMPRODUCT((MOVIMIENTOS!$B$5:$B$1005="VENTA")*(MOVIMIENTOS!$C$5:$C$1005="Chancho")*(MOVIMIENTOS!$D$5:$D$1005="sacos")*(MOVIMIENTOS!$A$5:$A$1005&lt;&gt;"")*(MOVIMIENTOS!$A$5:$A$1005&lt;=$A852)*MOVIMIENTOS!$E$5:$E$1005)+SUMPRODUCT((MOVIMIENTOS!$B$5:$B$1005="AJUSTE")*(MOVIMIENTOS!$C$5:$C$1005="Chancho")*(MOVIMIENTOS!$D$5:$D$1005="sacos")*(MOVIMIENTOS!$A$5:$A$1005&lt;&gt;"")*(MOVIMIENTOS!$A$5:$A$1005&lt;=$A852)*MOVIMIENTOS!$E$5:$E$1005))</f>
        <v/>
      </c>
      <c r="G852" s="62" t="str">
        <f t="shared" si="27"/>
        <v/>
      </c>
      <c r="H852" t="str">
        <f>IF($A852="","",SUMPRODUCT((((MOVIMIENTOS!$B$5:$B$1005="SALDO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852)*MOVIMIENTOS!$J$5:$J$1005))</f>
        <v/>
      </c>
      <c r="J852" t="str">
        <f>IF(AND(MOVIMIENTOS!$A857&lt;&gt;"",COUNTIF(MOVIMIENTOS!$A$5:$A856,MOVIMIENTOS!$A857)=0),COUNT(J$4:J851)+1,"")</f>
        <v/>
      </c>
      <c r="K852">
        <f>MOVIMIENTOS!$A857</f>
        <v>0</v>
      </c>
    </row>
    <row r="853" spans="1:11" ht="15" customHeight="1" x14ac:dyDescent="0.2">
      <c r="A853" t="str">
        <f t="shared" si="26"/>
        <v/>
      </c>
      <c r="B853" t="str">
        <f>IF($A853="","",SUMPRODUCT((MOVIMIENTOS!$B$5:$B$1005="SALDO INICIAL")*(MOVIMIENTOS!$C$5:$C$1005="A")*(MOVIMIENTOS!$D$5:$D$1005="jabas")*(MOVIMIENTOS!$A$5:$A$1005&lt;&gt;"")*(MOVIMIENTOS!$A$5:$A$1005&lt;=$A853)*MOVIMIENTOS!$E$5:$E$1005)+SUMPRODUCT((MOVIMIENTOS!$B$5:$B$1005="PROCESO")*(MOVIMIENTOS!$C$5:$C$1005="A")*(MOVIMIENTOS!$D$5:$D$1005="jabas")*(MOVIMIENTOS!$A$5:$A$1005&lt;&gt;"")*(MOVIMIENTOS!$A$5:$A$1005&lt;=$A853)*MOVIMIENTOS!$E$5:$E$1005)-SUMPRODUCT((MOVIMIENTOS!$B$5:$B$1005="ENVÍO A SUPESA")*(MOVIMIENTOS!$C$5:$C$1005="A")*(MOVIMIENTOS!$D$5:$D$1005="jabas")*(MOVIMIENTOS!$A$5:$A$1005&lt;&gt;"")*(MOVIMIENTOS!$A$5:$A$1005&lt;=$A853)*MOVIMIENTOS!$E$5:$E$1005)+SUMPRODUCT((MOVIMIENTOS!$B$5:$B$1005="DEVOLUCIÓN")*(MOVIMIENTOS!$C$5:$C$1005="A")*(MOVIMIENTOS!$D$5:$D$1005="jabas")*(MOVIMIENTOS!$A$5:$A$1005&lt;&gt;"")*(MOVIMIENTOS!$A$5:$A$1005&lt;=$A853)*MOVIMIENTOS!$E$5:$E$1005)-SUMPRODUCT((MOVIMIENTOS!$B$5:$B$1005="TRASIEGO")*(MOVIMIENTOS!$C$5:$C$1005="A")*(MOVIMIENTOS!$D$5:$D$1005="jabas")*(MOVIMIENTOS!$A$5:$A$1005&lt;&gt;"")*(MOVIMIENTOS!$A$5:$A$1005&lt;=$A853)*MOVIMIENTOS!$E$5:$E$1005)-SUMPRODUCT((MOVIMIENTOS!$B$5:$B$1005="REGALO")*(MOVIMIENTOS!$C$5:$C$1005="A")*(MOVIMIENTOS!$D$5:$D$1005="jabas")*(MOVIMIENTOS!$A$5:$A$1005&lt;&gt;"")*(MOVIMIENTOS!$A$5:$A$1005&lt;=$A853)*MOVIMIENTOS!$E$5:$E$1005)-SUMPRODUCT((MOVIMIENTOS!$B$5:$B$1005="VENTA")*(MOVIMIENTOS!$C$5:$C$1005="A")*(MOVIMIENTOS!$D$5:$D$1005="jabas")*(MOVIMIENTOS!$A$5:$A$1005&lt;&gt;"")*(MOVIMIENTOS!$A$5:$A$1005&lt;=$A853)*MOVIMIENTOS!$E$5:$E$1005)+SUMPRODUCT((MOVIMIENTOS!$B$5:$B$1005="AJUSTE")*(MOVIMIENTOS!$C$5:$C$1005="A")*(MOVIMIENTOS!$D$5:$D$1005="jabas")*(MOVIMIENTOS!$A$5:$A$1005&lt;&gt;"")*(MOVIMIENTOS!$A$5:$A$1005&lt;=$A853)*MOVIMIENTOS!$E$5:$E$1005))</f>
        <v/>
      </c>
      <c r="C853" t="str">
        <f>IF($A853="","",SUMPRODUCT((MOVIMIENTOS!$B$5:$B$1005="SALDO INICIAL")*(MOVIMIENTOS!$C$5:$C$1005="P")*(MOVIMIENTOS!$D$5:$D$1005="jabas")*(MOVIMIENTOS!$A$5:$A$1005&lt;&gt;"")*(MOVIMIENTOS!$A$5:$A$1005&lt;=$A853)*MOVIMIENTOS!$E$5:$E$1005)+SUMPRODUCT((MOVIMIENTOS!$B$5:$B$1005="PROCESO")*(MOVIMIENTOS!$C$5:$C$1005="P")*(MOVIMIENTOS!$D$5:$D$1005="jabas")*(MOVIMIENTOS!$A$5:$A$1005&lt;&gt;"")*(MOVIMIENTOS!$A$5:$A$1005&lt;=$A853)*MOVIMIENTOS!$E$5:$E$1005)-SUMPRODUCT((MOVIMIENTOS!$B$5:$B$1005="ENVÍO A SUPESA")*(MOVIMIENTOS!$C$5:$C$1005="P")*(MOVIMIENTOS!$D$5:$D$1005="jabas")*(MOVIMIENTOS!$A$5:$A$1005&lt;&gt;"")*(MOVIMIENTOS!$A$5:$A$1005&lt;=$A853)*MOVIMIENTOS!$E$5:$E$1005)+SUMPRODUCT((MOVIMIENTOS!$B$5:$B$1005="DEVOLUCIÓN")*(MOVIMIENTOS!$C$5:$C$1005="P")*(MOVIMIENTOS!$D$5:$D$1005="jabas")*(MOVIMIENTOS!$A$5:$A$1005&lt;&gt;"")*(MOVIMIENTOS!$A$5:$A$1005&lt;=$A853)*MOVIMIENTOS!$E$5:$E$1005)-SUMPRODUCT((MOVIMIENTOS!$B$5:$B$1005="TRASIEGO")*(MOVIMIENTOS!$C$5:$C$1005="P")*(MOVIMIENTOS!$D$5:$D$1005="jabas")*(MOVIMIENTOS!$A$5:$A$1005&lt;&gt;"")*(MOVIMIENTOS!$A$5:$A$1005&lt;=$A853)*MOVIMIENTOS!$E$5:$E$1005)-SUMPRODUCT((MOVIMIENTOS!$B$5:$B$1005="REGALO")*(MOVIMIENTOS!$C$5:$C$1005="P")*(MOVIMIENTOS!$D$5:$D$1005="jabas")*(MOVIMIENTOS!$A$5:$A$1005&lt;&gt;"")*(MOVIMIENTOS!$A$5:$A$1005&lt;=$A853)*MOVIMIENTOS!$E$5:$E$1005)-SUMPRODUCT((MOVIMIENTOS!$B$5:$B$1005="VENTA")*(MOVIMIENTOS!$C$5:$C$1005="P")*(MOVIMIENTOS!$D$5:$D$1005="jabas")*(MOVIMIENTOS!$A$5:$A$1005&lt;&gt;"")*(MOVIMIENTOS!$A$5:$A$1005&lt;=$A853)*MOVIMIENTOS!$E$5:$E$1005)+SUMPRODUCT((MOVIMIENTOS!$B$5:$B$1005="AJUSTE")*(MOVIMIENTOS!$C$5:$C$1005="P")*(MOVIMIENTOS!$D$5:$D$1005="jabas")*(MOVIMIENTOS!$A$5:$A$1005&lt;&gt;"")*(MOVIMIENTOS!$A$5:$A$1005&lt;=$A853)*MOVIMIENTOS!$E$5:$E$1005))</f>
        <v/>
      </c>
      <c r="D853" t="str">
        <f>IF($A853="","",SUMPRODUCT((MOVIMIENTOS!$B$5:$B$1005="SALDO INICIAL")*(MOVIMIENTOS!$C$5:$C$1005="C")*(MOVIMIENTOS!$D$5:$D$1005="jabas")*(MOVIMIENTOS!$A$5:$A$1005&lt;&gt;"")*(MOVIMIENTOS!$A$5:$A$1005&lt;=$A853)*MOVIMIENTOS!$E$5:$E$1005)+SUMPRODUCT((MOVIMIENTOS!$B$5:$B$1005="PROCESO")*(MOVIMIENTOS!$C$5:$C$1005="C")*(MOVIMIENTOS!$D$5:$D$1005="jabas")*(MOVIMIENTOS!$A$5:$A$1005&lt;&gt;"")*(MOVIMIENTOS!$A$5:$A$1005&lt;=$A853)*MOVIMIENTOS!$E$5:$E$1005)-SUMPRODUCT((MOVIMIENTOS!$B$5:$B$1005="ENVÍO A SUPESA")*(MOVIMIENTOS!$C$5:$C$1005="C")*(MOVIMIENTOS!$D$5:$D$1005="jabas")*(MOVIMIENTOS!$A$5:$A$1005&lt;&gt;"")*(MOVIMIENTOS!$A$5:$A$1005&lt;=$A853)*MOVIMIENTOS!$E$5:$E$1005)+SUMPRODUCT((MOVIMIENTOS!$B$5:$B$1005="DEVOLUCIÓN")*(MOVIMIENTOS!$C$5:$C$1005="C")*(MOVIMIENTOS!$D$5:$D$1005="jabas")*(MOVIMIENTOS!$A$5:$A$1005&lt;&gt;"")*(MOVIMIENTOS!$A$5:$A$1005&lt;=$A853)*MOVIMIENTOS!$E$5:$E$1005)-SUMPRODUCT((MOVIMIENTOS!$B$5:$B$1005="TRASIEGO")*(MOVIMIENTOS!$C$5:$C$1005="C")*(MOVIMIENTOS!$D$5:$D$1005="jabas")*(MOVIMIENTOS!$A$5:$A$1005&lt;&gt;"")*(MOVIMIENTOS!$A$5:$A$1005&lt;=$A853)*MOVIMIENTOS!$E$5:$E$1005)-SUMPRODUCT((MOVIMIENTOS!$B$5:$B$1005="REGALO")*(MOVIMIENTOS!$C$5:$C$1005="C")*(MOVIMIENTOS!$D$5:$D$1005="jabas")*(MOVIMIENTOS!$A$5:$A$1005&lt;&gt;"")*(MOVIMIENTOS!$A$5:$A$1005&lt;=$A853)*MOVIMIENTOS!$E$5:$E$1005)-SUMPRODUCT((MOVIMIENTOS!$B$5:$B$1005="VENTA")*(MOVIMIENTOS!$C$5:$C$1005="C")*(MOVIMIENTOS!$D$5:$D$1005="jabas")*(MOVIMIENTOS!$A$5:$A$1005&lt;&gt;"")*(MOVIMIENTOS!$A$5:$A$1005&lt;=$A853)*MOVIMIENTOS!$E$5:$E$1005)+SUMPRODUCT((MOVIMIENTOS!$B$5:$B$1005="AJUSTE")*(MOVIMIENTOS!$C$5:$C$1005="C")*(MOVIMIENTOS!$D$5:$D$1005="jabas")*(MOVIMIENTOS!$A$5:$A$1005&lt;&gt;"")*(MOVIMIENTOS!$A$5:$A$1005&lt;=$A853)*MOVIMIENTOS!$E$5:$E$1005))</f>
        <v/>
      </c>
      <c r="E853" t="str">
        <f>IF($A853="","",SUMPRODUCT((MOVIMIENTOS!$B$5:$B$1005="SALDO INICIAL")*(MOVIMIENTOS!$C$5:$C$1005="M")*(MOVIMIENTOS!$D$5:$D$1005="jabas")*(MOVIMIENTOS!$A$5:$A$1005&lt;&gt;"")*(MOVIMIENTOS!$A$5:$A$1005&lt;=$A853)*MOVIMIENTOS!$E$5:$E$1005)+SUMPRODUCT((MOVIMIENTOS!$B$5:$B$1005="PROCESO")*(MOVIMIENTOS!$C$5:$C$1005="M")*(MOVIMIENTOS!$D$5:$D$1005="jabas")*(MOVIMIENTOS!$A$5:$A$1005&lt;&gt;"")*(MOVIMIENTOS!$A$5:$A$1005&lt;=$A853)*MOVIMIENTOS!$E$5:$E$1005)-SUMPRODUCT((MOVIMIENTOS!$B$5:$B$1005="ENVÍO A SUPESA")*(MOVIMIENTOS!$C$5:$C$1005="M")*(MOVIMIENTOS!$D$5:$D$1005="jabas")*(MOVIMIENTOS!$A$5:$A$1005&lt;&gt;"")*(MOVIMIENTOS!$A$5:$A$1005&lt;=$A853)*MOVIMIENTOS!$E$5:$E$1005)+SUMPRODUCT((MOVIMIENTOS!$B$5:$B$1005="DEVOLUCIÓN")*(MOVIMIENTOS!$C$5:$C$1005="M")*(MOVIMIENTOS!$D$5:$D$1005="jabas")*(MOVIMIENTOS!$A$5:$A$1005&lt;&gt;"")*(MOVIMIENTOS!$A$5:$A$1005&lt;=$A853)*MOVIMIENTOS!$E$5:$E$1005)-SUMPRODUCT((MOVIMIENTOS!$B$5:$B$1005="TRASIEGO")*(MOVIMIENTOS!$C$5:$C$1005="M")*(MOVIMIENTOS!$D$5:$D$1005="jabas")*(MOVIMIENTOS!$A$5:$A$1005&lt;&gt;"")*(MOVIMIENTOS!$A$5:$A$1005&lt;=$A853)*MOVIMIENTOS!$E$5:$E$1005)-SUMPRODUCT((MOVIMIENTOS!$B$5:$B$1005="REGALO")*(MOVIMIENTOS!$C$5:$C$1005="M")*(MOVIMIENTOS!$D$5:$D$1005="jabas")*(MOVIMIENTOS!$A$5:$A$1005&lt;&gt;"")*(MOVIMIENTOS!$A$5:$A$1005&lt;=$A853)*MOVIMIENTOS!$E$5:$E$1005)-SUMPRODUCT((MOVIMIENTOS!$B$5:$B$1005="VENTA")*(MOVIMIENTOS!$C$5:$C$1005="M")*(MOVIMIENTOS!$D$5:$D$1005="jabas")*(MOVIMIENTOS!$A$5:$A$1005&lt;&gt;"")*(MOVIMIENTOS!$A$5:$A$1005&lt;=$A853)*MOVIMIENTOS!$E$5:$E$1005)+SUMPRODUCT((MOVIMIENTOS!$B$5:$B$1005="AJUSTE")*(MOVIMIENTOS!$C$5:$C$1005="M")*(MOVIMIENTOS!$D$5:$D$1005="jabas")*(MOVIMIENTOS!$A$5:$A$1005&lt;&gt;"")*(MOVIMIENTOS!$A$5:$A$1005&lt;=$A853)*MOVIMIENTOS!$E$5:$E$1005))</f>
        <v/>
      </c>
      <c r="F853" s="62" t="str">
        <f>IF($A853="","",SUMPRODUCT((MOVIMIENTOS!$B$5:$B$1005="SALDO INICIAL")*(MOVIMIENTOS!$C$5:$C$1005="Chancho")*(MOVIMIENTOS!$D$5:$D$1005="sacos")*(MOVIMIENTOS!$A$5:$A$1005&lt;&gt;"")*(MOVIMIENTOS!$A$5:$A$1005&lt;=$A853)*MOVIMIENTOS!$E$5:$E$1005)+SUMPRODUCT((MOVIMIENTOS!$B$5:$B$1005="PROCESO")*(MOVIMIENTOS!$C$5:$C$1005="Chancho")*(MOVIMIENTOS!$D$5:$D$1005="sacos")*(MOVIMIENTOS!$A$5:$A$1005&lt;&gt;"")*(MOVIMIENTOS!$A$5:$A$1005&lt;=$A853)*MOVIMIENTOS!$E$5:$E$1005)-SUMPRODUCT((MOVIMIENTOS!$B$5:$B$1005="VENTA CHANCHO")*(MOVIMIENTOS!$C$5:$C$1005="Chancho")*(MOVIMIENTOS!$D$5:$D$1005="sacos")*(MOVIMIENTOS!$A$5:$A$1005&lt;&gt;"")*(MOVIMIENTOS!$A$5:$A$1005&lt;=$A853)*MOVIMIENTOS!$E$5:$E$1005)-SUMPRODUCT((MOVIMIENTOS!$B$5:$B$1005="REGALO")*(MOVIMIENTOS!$C$5:$C$1005="Chancho")*(MOVIMIENTOS!$D$5:$D$1005="sacos")*(MOVIMIENTOS!$A$5:$A$1005&lt;&gt;"")*(MOVIMIENTOS!$A$5:$A$1005&lt;=$A853)*MOVIMIENTOS!$E$5:$E$1005)-SUMPRODUCT((MOVIMIENTOS!$B$5:$B$1005="VENTA")*(MOVIMIENTOS!$C$5:$C$1005="Chancho")*(MOVIMIENTOS!$D$5:$D$1005="sacos")*(MOVIMIENTOS!$A$5:$A$1005&lt;&gt;"")*(MOVIMIENTOS!$A$5:$A$1005&lt;=$A853)*MOVIMIENTOS!$E$5:$E$1005)+SUMPRODUCT((MOVIMIENTOS!$B$5:$B$1005="AJUSTE")*(MOVIMIENTOS!$C$5:$C$1005="Chancho")*(MOVIMIENTOS!$D$5:$D$1005="sacos")*(MOVIMIENTOS!$A$5:$A$1005&lt;&gt;"")*(MOVIMIENTOS!$A$5:$A$1005&lt;=$A853)*MOVIMIENTOS!$E$5:$E$1005))</f>
        <v/>
      </c>
      <c r="G853" s="62" t="str">
        <f t="shared" si="27"/>
        <v/>
      </c>
      <c r="H853" t="str">
        <f>IF($A853="","",SUMPRODUCT((((MOVIMIENTOS!$B$5:$B$1005="SALDO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853)*MOVIMIENTOS!$J$5:$J$1005))</f>
        <v/>
      </c>
      <c r="J853" t="str">
        <f>IF(AND(MOVIMIENTOS!$A858&lt;&gt;"",COUNTIF(MOVIMIENTOS!$A$5:$A857,MOVIMIENTOS!$A858)=0),COUNT(J$4:J852)+1,"")</f>
        <v/>
      </c>
      <c r="K853">
        <f>MOVIMIENTOS!$A858</f>
        <v>0</v>
      </c>
    </row>
    <row r="854" spans="1:11" ht="15" customHeight="1" x14ac:dyDescent="0.2">
      <c r="A854" t="str">
        <f t="shared" si="26"/>
        <v/>
      </c>
      <c r="B854" t="str">
        <f>IF($A854="","",SUMPRODUCT((MOVIMIENTOS!$B$5:$B$1005="SALDO INICIAL")*(MOVIMIENTOS!$C$5:$C$1005="A")*(MOVIMIENTOS!$D$5:$D$1005="jabas")*(MOVIMIENTOS!$A$5:$A$1005&lt;&gt;"")*(MOVIMIENTOS!$A$5:$A$1005&lt;=$A854)*MOVIMIENTOS!$E$5:$E$1005)+SUMPRODUCT((MOVIMIENTOS!$B$5:$B$1005="PROCESO")*(MOVIMIENTOS!$C$5:$C$1005="A")*(MOVIMIENTOS!$D$5:$D$1005="jabas")*(MOVIMIENTOS!$A$5:$A$1005&lt;&gt;"")*(MOVIMIENTOS!$A$5:$A$1005&lt;=$A854)*MOVIMIENTOS!$E$5:$E$1005)-SUMPRODUCT((MOVIMIENTOS!$B$5:$B$1005="ENVÍO A SUPESA")*(MOVIMIENTOS!$C$5:$C$1005="A")*(MOVIMIENTOS!$D$5:$D$1005="jabas")*(MOVIMIENTOS!$A$5:$A$1005&lt;&gt;"")*(MOVIMIENTOS!$A$5:$A$1005&lt;=$A854)*MOVIMIENTOS!$E$5:$E$1005)+SUMPRODUCT((MOVIMIENTOS!$B$5:$B$1005="DEVOLUCIÓN")*(MOVIMIENTOS!$C$5:$C$1005="A")*(MOVIMIENTOS!$D$5:$D$1005="jabas")*(MOVIMIENTOS!$A$5:$A$1005&lt;&gt;"")*(MOVIMIENTOS!$A$5:$A$1005&lt;=$A854)*MOVIMIENTOS!$E$5:$E$1005)-SUMPRODUCT((MOVIMIENTOS!$B$5:$B$1005="TRASIEGO")*(MOVIMIENTOS!$C$5:$C$1005="A")*(MOVIMIENTOS!$D$5:$D$1005="jabas")*(MOVIMIENTOS!$A$5:$A$1005&lt;&gt;"")*(MOVIMIENTOS!$A$5:$A$1005&lt;=$A854)*MOVIMIENTOS!$E$5:$E$1005)-SUMPRODUCT((MOVIMIENTOS!$B$5:$B$1005="REGALO")*(MOVIMIENTOS!$C$5:$C$1005="A")*(MOVIMIENTOS!$D$5:$D$1005="jabas")*(MOVIMIENTOS!$A$5:$A$1005&lt;&gt;"")*(MOVIMIENTOS!$A$5:$A$1005&lt;=$A854)*MOVIMIENTOS!$E$5:$E$1005)-SUMPRODUCT((MOVIMIENTOS!$B$5:$B$1005="VENTA")*(MOVIMIENTOS!$C$5:$C$1005="A")*(MOVIMIENTOS!$D$5:$D$1005="jabas")*(MOVIMIENTOS!$A$5:$A$1005&lt;&gt;"")*(MOVIMIENTOS!$A$5:$A$1005&lt;=$A854)*MOVIMIENTOS!$E$5:$E$1005)+SUMPRODUCT((MOVIMIENTOS!$B$5:$B$1005="AJUSTE")*(MOVIMIENTOS!$C$5:$C$1005="A")*(MOVIMIENTOS!$D$5:$D$1005="jabas")*(MOVIMIENTOS!$A$5:$A$1005&lt;&gt;"")*(MOVIMIENTOS!$A$5:$A$1005&lt;=$A854)*MOVIMIENTOS!$E$5:$E$1005))</f>
        <v/>
      </c>
      <c r="C854" t="str">
        <f>IF($A854="","",SUMPRODUCT((MOVIMIENTOS!$B$5:$B$1005="SALDO INICIAL")*(MOVIMIENTOS!$C$5:$C$1005="P")*(MOVIMIENTOS!$D$5:$D$1005="jabas")*(MOVIMIENTOS!$A$5:$A$1005&lt;&gt;"")*(MOVIMIENTOS!$A$5:$A$1005&lt;=$A854)*MOVIMIENTOS!$E$5:$E$1005)+SUMPRODUCT((MOVIMIENTOS!$B$5:$B$1005="PROCESO")*(MOVIMIENTOS!$C$5:$C$1005="P")*(MOVIMIENTOS!$D$5:$D$1005="jabas")*(MOVIMIENTOS!$A$5:$A$1005&lt;&gt;"")*(MOVIMIENTOS!$A$5:$A$1005&lt;=$A854)*MOVIMIENTOS!$E$5:$E$1005)-SUMPRODUCT((MOVIMIENTOS!$B$5:$B$1005="ENVÍO A SUPESA")*(MOVIMIENTOS!$C$5:$C$1005="P")*(MOVIMIENTOS!$D$5:$D$1005="jabas")*(MOVIMIENTOS!$A$5:$A$1005&lt;&gt;"")*(MOVIMIENTOS!$A$5:$A$1005&lt;=$A854)*MOVIMIENTOS!$E$5:$E$1005)+SUMPRODUCT((MOVIMIENTOS!$B$5:$B$1005="DEVOLUCIÓN")*(MOVIMIENTOS!$C$5:$C$1005="P")*(MOVIMIENTOS!$D$5:$D$1005="jabas")*(MOVIMIENTOS!$A$5:$A$1005&lt;&gt;"")*(MOVIMIENTOS!$A$5:$A$1005&lt;=$A854)*MOVIMIENTOS!$E$5:$E$1005)-SUMPRODUCT((MOVIMIENTOS!$B$5:$B$1005="TRASIEGO")*(MOVIMIENTOS!$C$5:$C$1005="P")*(MOVIMIENTOS!$D$5:$D$1005="jabas")*(MOVIMIENTOS!$A$5:$A$1005&lt;&gt;"")*(MOVIMIENTOS!$A$5:$A$1005&lt;=$A854)*MOVIMIENTOS!$E$5:$E$1005)-SUMPRODUCT((MOVIMIENTOS!$B$5:$B$1005="REGALO")*(MOVIMIENTOS!$C$5:$C$1005="P")*(MOVIMIENTOS!$D$5:$D$1005="jabas")*(MOVIMIENTOS!$A$5:$A$1005&lt;&gt;"")*(MOVIMIENTOS!$A$5:$A$1005&lt;=$A854)*MOVIMIENTOS!$E$5:$E$1005)-SUMPRODUCT((MOVIMIENTOS!$B$5:$B$1005="VENTA")*(MOVIMIENTOS!$C$5:$C$1005="P")*(MOVIMIENTOS!$D$5:$D$1005="jabas")*(MOVIMIENTOS!$A$5:$A$1005&lt;&gt;"")*(MOVIMIENTOS!$A$5:$A$1005&lt;=$A854)*MOVIMIENTOS!$E$5:$E$1005)+SUMPRODUCT((MOVIMIENTOS!$B$5:$B$1005="AJUSTE")*(MOVIMIENTOS!$C$5:$C$1005="P")*(MOVIMIENTOS!$D$5:$D$1005="jabas")*(MOVIMIENTOS!$A$5:$A$1005&lt;&gt;"")*(MOVIMIENTOS!$A$5:$A$1005&lt;=$A854)*MOVIMIENTOS!$E$5:$E$1005))</f>
        <v/>
      </c>
      <c r="D854" t="str">
        <f>IF($A854="","",SUMPRODUCT((MOVIMIENTOS!$B$5:$B$1005="SALDO INICIAL")*(MOVIMIENTOS!$C$5:$C$1005="C")*(MOVIMIENTOS!$D$5:$D$1005="jabas")*(MOVIMIENTOS!$A$5:$A$1005&lt;&gt;"")*(MOVIMIENTOS!$A$5:$A$1005&lt;=$A854)*MOVIMIENTOS!$E$5:$E$1005)+SUMPRODUCT((MOVIMIENTOS!$B$5:$B$1005="PROCESO")*(MOVIMIENTOS!$C$5:$C$1005="C")*(MOVIMIENTOS!$D$5:$D$1005="jabas")*(MOVIMIENTOS!$A$5:$A$1005&lt;&gt;"")*(MOVIMIENTOS!$A$5:$A$1005&lt;=$A854)*MOVIMIENTOS!$E$5:$E$1005)-SUMPRODUCT((MOVIMIENTOS!$B$5:$B$1005="ENVÍO A SUPESA")*(MOVIMIENTOS!$C$5:$C$1005="C")*(MOVIMIENTOS!$D$5:$D$1005="jabas")*(MOVIMIENTOS!$A$5:$A$1005&lt;&gt;"")*(MOVIMIENTOS!$A$5:$A$1005&lt;=$A854)*MOVIMIENTOS!$E$5:$E$1005)+SUMPRODUCT((MOVIMIENTOS!$B$5:$B$1005="DEVOLUCIÓN")*(MOVIMIENTOS!$C$5:$C$1005="C")*(MOVIMIENTOS!$D$5:$D$1005="jabas")*(MOVIMIENTOS!$A$5:$A$1005&lt;&gt;"")*(MOVIMIENTOS!$A$5:$A$1005&lt;=$A854)*MOVIMIENTOS!$E$5:$E$1005)-SUMPRODUCT((MOVIMIENTOS!$B$5:$B$1005="TRASIEGO")*(MOVIMIENTOS!$C$5:$C$1005="C")*(MOVIMIENTOS!$D$5:$D$1005="jabas")*(MOVIMIENTOS!$A$5:$A$1005&lt;&gt;"")*(MOVIMIENTOS!$A$5:$A$1005&lt;=$A854)*MOVIMIENTOS!$E$5:$E$1005)-SUMPRODUCT((MOVIMIENTOS!$B$5:$B$1005="REGALO")*(MOVIMIENTOS!$C$5:$C$1005="C")*(MOVIMIENTOS!$D$5:$D$1005="jabas")*(MOVIMIENTOS!$A$5:$A$1005&lt;&gt;"")*(MOVIMIENTOS!$A$5:$A$1005&lt;=$A854)*MOVIMIENTOS!$E$5:$E$1005)-SUMPRODUCT((MOVIMIENTOS!$B$5:$B$1005="VENTA")*(MOVIMIENTOS!$C$5:$C$1005="C")*(MOVIMIENTOS!$D$5:$D$1005="jabas")*(MOVIMIENTOS!$A$5:$A$1005&lt;&gt;"")*(MOVIMIENTOS!$A$5:$A$1005&lt;=$A854)*MOVIMIENTOS!$E$5:$E$1005)+SUMPRODUCT((MOVIMIENTOS!$B$5:$B$1005="AJUSTE")*(MOVIMIENTOS!$C$5:$C$1005="C")*(MOVIMIENTOS!$D$5:$D$1005="jabas")*(MOVIMIENTOS!$A$5:$A$1005&lt;&gt;"")*(MOVIMIENTOS!$A$5:$A$1005&lt;=$A854)*MOVIMIENTOS!$E$5:$E$1005))</f>
        <v/>
      </c>
      <c r="E854" t="str">
        <f>IF($A854="","",SUMPRODUCT((MOVIMIENTOS!$B$5:$B$1005="SALDO INICIAL")*(MOVIMIENTOS!$C$5:$C$1005="M")*(MOVIMIENTOS!$D$5:$D$1005="jabas")*(MOVIMIENTOS!$A$5:$A$1005&lt;&gt;"")*(MOVIMIENTOS!$A$5:$A$1005&lt;=$A854)*MOVIMIENTOS!$E$5:$E$1005)+SUMPRODUCT((MOVIMIENTOS!$B$5:$B$1005="PROCESO")*(MOVIMIENTOS!$C$5:$C$1005="M")*(MOVIMIENTOS!$D$5:$D$1005="jabas")*(MOVIMIENTOS!$A$5:$A$1005&lt;&gt;"")*(MOVIMIENTOS!$A$5:$A$1005&lt;=$A854)*MOVIMIENTOS!$E$5:$E$1005)-SUMPRODUCT((MOVIMIENTOS!$B$5:$B$1005="ENVÍO A SUPESA")*(MOVIMIENTOS!$C$5:$C$1005="M")*(MOVIMIENTOS!$D$5:$D$1005="jabas")*(MOVIMIENTOS!$A$5:$A$1005&lt;&gt;"")*(MOVIMIENTOS!$A$5:$A$1005&lt;=$A854)*MOVIMIENTOS!$E$5:$E$1005)+SUMPRODUCT((MOVIMIENTOS!$B$5:$B$1005="DEVOLUCIÓN")*(MOVIMIENTOS!$C$5:$C$1005="M")*(MOVIMIENTOS!$D$5:$D$1005="jabas")*(MOVIMIENTOS!$A$5:$A$1005&lt;&gt;"")*(MOVIMIENTOS!$A$5:$A$1005&lt;=$A854)*MOVIMIENTOS!$E$5:$E$1005)-SUMPRODUCT((MOVIMIENTOS!$B$5:$B$1005="TRASIEGO")*(MOVIMIENTOS!$C$5:$C$1005="M")*(MOVIMIENTOS!$D$5:$D$1005="jabas")*(MOVIMIENTOS!$A$5:$A$1005&lt;&gt;"")*(MOVIMIENTOS!$A$5:$A$1005&lt;=$A854)*MOVIMIENTOS!$E$5:$E$1005)-SUMPRODUCT((MOVIMIENTOS!$B$5:$B$1005="REGALO")*(MOVIMIENTOS!$C$5:$C$1005="M")*(MOVIMIENTOS!$D$5:$D$1005="jabas")*(MOVIMIENTOS!$A$5:$A$1005&lt;&gt;"")*(MOVIMIENTOS!$A$5:$A$1005&lt;=$A854)*MOVIMIENTOS!$E$5:$E$1005)-SUMPRODUCT((MOVIMIENTOS!$B$5:$B$1005="VENTA")*(MOVIMIENTOS!$C$5:$C$1005="M")*(MOVIMIENTOS!$D$5:$D$1005="jabas")*(MOVIMIENTOS!$A$5:$A$1005&lt;&gt;"")*(MOVIMIENTOS!$A$5:$A$1005&lt;=$A854)*MOVIMIENTOS!$E$5:$E$1005)+SUMPRODUCT((MOVIMIENTOS!$B$5:$B$1005="AJUSTE")*(MOVIMIENTOS!$C$5:$C$1005="M")*(MOVIMIENTOS!$D$5:$D$1005="jabas")*(MOVIMIENTOS!$A$5:$A$1005&lt;&gt;"")*(MOVIMIENTOS!$A$5:$A$1005&lt;=$A854)*MOVIMIENTOS!$E$5:$E$1005))</f>
        <v/>
      </c>
      <c r="F854" s="62" t="str">
        <f>IF($A854="","",SUMPRODUCT((MOVIMIENTOS!$B$5:$B$1005="SALDO INICIAL")*(MOVIMIENTOS!$C$5:$C$1005="Chancho")*(MOVIMIENTOS!$D$5:$D$1005="sacos")*(MOVIMIENTOS!$A$5:$A$1005&lt;&gt;"")*(MOVIMIENTOS!$A$5:$A$1005&lt;=$A854)*MOVIMIENTOS!$E$5:$E$1005)+SUMPRODUCT((MOVIMIENTOS!$B$5:$B$1005="PROCESO")*(MOVIMIENTOS!$C$5:$C$1005="Chancho")*(MOVIMIENTOS!$D$5:$D$1005="sacos")*(MOVIMIENTOS!$A$5:$A$1005&lt;&gt;"")*(MOVIMIENTOS!$A$5:$A$1005&lt;=$A854)*MOVIMIENTOS!$E$5:$E$1005)-SUMPRODUCT((MOVIMIENTOS!$B$5:$B$1005="VENTA CHANCHO")*(MOVIMIENTOS!$C$5:$C$1005="Chancho")*(MOVIMIENTOS!$D$5:$D$1005="sacos")*(MOVIMIENTOS!$A$5:$A$1005&lt;&gt;"")*(MOVIMIENTOS!$A$5:$A$1005&lt;=$A854)*MOVIMIENTOS!$E$5:$E$1005)-SUMPRODUCT((MOVIMIENTOS!$B$5:$B$1005="REGALO")*(MOVIMIENTOS!$C$5:$C$1005="Chancho")*(MOVIMIENTOS!$D$5:$D$1005="sacos")*(MOVIMIENTOS!$A$5:$A$1005&lt;&gt;"")*(MOVIMIENTOS!$A$5:$A$1005&lt;=$A854)*MOVIMIENTOS!$E$5:$E$1005)-SUMPRODUCT((MOVIMIENTOS!$B$5:$B$1005="VENTA")*(MOVIMIENTOS!$C$5:$C$1005="Chancho")*(MOVIMIENTOS!$D$5:$D$1005="sacos")*(MOVIMIENTOS!$A$5:$A$1005&lt;&gt;"")*(MOVIMIENTOS!$A$5:$A$1005&lt;=$A854)*MOVIMIENTOS!$E$5:$E$1005)+SUMPRODUCT((MOVIMIENTOS!$B$5:$B$1005="AJUSTE")*(MOVIMIENTOS!$C$5:$C$1005="Chancho")*(MOVIMIENTOS!$D$5:$D$1005="sacos")*(MOVIMIENTOS!$A$5:$A$1005&lt;&gt;"")*(MOVIMIENTOS!$A$5:$A$1005&lt;=$A854)*MOVIMIENTOS!$E$5:$E$1005))</f>
        <v/>
      </c>
      <c r="G854" s="62" t="str">
        <f t="shared" si="27"/>
        <v/>
      </c>
      <c r="H854" t="str">
        <f>IF($A854="","",SUMPRODUCT((((MOVIMIENTOS!$B$5:$B$1005="SALDO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854)*MOVIMIENTOS!$J$5:$J$1005))</f>
        <v/>
      </c>
      <c r="J854" t="str">
        <f>IF(AND(MOVIMIENTOS!$A859&lt;&gt;"",COUNTIF(MOVIMIENTOS!$A$5:$A858,MOVIMIENTOS!$A859)=0),COUNT(J$4:J853)+1,"")</f>
        <v/>
      </c>
      <c r="K854">
        <f>MOVIMIENTOS!$A859</f>
        <v>0</v>
      </c>
    </row>
    <row r="855" spans="1:11" ht="15" customHeight="1" x14ac:dyDescent="0.2">
      <c r="A855" t="str">
        <f t="shared" si="26"/>
        <v/>
      </c>
      <c r="B855" t="str">
        <f>IF($A855="","",SUMPRODUCT((MOVIMIENTOS!$B$5:$B$1005="SALDO INICIAL")*(MOVIMIENTOS!$C$5:$C$1005="A")*(MOVIMIENTOS!$D$5:$D$1005="jabas")*(MOVIMIENTOS!$A$5:$A$1005&lt;&gt;"")*(MOVIMIENTOS!$A$5:$A$1005&lt;=$A855)*MOVIMIENTOS!$E$5:$E$1005)+SUMPRODUCT((MOVIMIENTOS!$B$5:$B$1005="PROCESO")*(MOVIMIENTOS!$C$5:$C$1005="A")*(MOVIMIENTOS!$D$5:$D$1005="jabas")*(MOVIMIENTOS!$A$5:$A$1005&lt;&gt;"")*(MOVIMIENTOS!$A$5:$A$1005&lt;=$A855)*MOVIMIENTOS!$E$5:$E$1005)-SUMPRODUCT((MOVIMIENTOS!$B$5:$B$1005="ENVÍO A SUPESA")*(MOVIMIENTOS!$C$5:$C$1005="A")*(MOVIMIENTOS!$D$5:$D$1005="jabas")*(MOVIMIENTOS!$A$5:$A$1005&lt;&gt;"")*(MOVIMIENTOS!$A$5:$A$1005&lt;=$A855)*MOVIMIENTOS!$E$5:$E$1005)+SUMPRODUCT((MOVIMIENTOS!$B$5:$B$1005="DEVOLUCIÓN")*(MOVIMIENTOS!$C$5:$C$1005="A")*(MOVIMIENTOS!$D$5:$D$1005="jabas")*(MOVIMIENTOS!$A$5:$A$1005&lt;&gt;"")*(MOVIMIENTOS!$A$5:$A$1005&lt;=$A855)*MOVIMIENTOS!$E$5:$E$1005)-SUMPRODUCT((MOVIMIENTOS!$B$5:$B$1005="TRASIEGO")*(MOVIMIENTOS!$C$5:$C$1005="A")*(MOVIMIENTOS!$D$5:$D$1005="jabas")*(MOVIMIENTOS!$A$5:$A$1005&lt;&gt;"")*(MOVIMIENTOS!$A$5:$A$1005&lt;=$A855)*MOVIMIENTOS!$E$5:$E$1005)-SUMPRODUCT((MOVIMIENTOS!$B$5:$B$1005="REGALO")*(MOVIMIENTOS!$C$5:$C$1005="A")*(MOVIMIENTOS!$D$5:$D$1005="jabas")*(MOVIMIENTOS!$A$5:$A$1005&lt;&gt;"")*(MOVIMIENTOS!$A$5:$A$1005&lt;=$A855)*MOVIMIENTOS!$E$5:$E$1005)-SUMPRODUCT((MOVIMIENTOS!$B$5:$B$1005="VENTA")*(MOVIMIENTOS!$C$5:$C$1005="A")*(MOVIMIENTOS!$D$5:$D$1005="jabas")*(MOVIMIENTOS!$A$5:$A$1005&lt;&gt;"")*(MOVIMIENTOS!$A$5:$A$1005&lt;=$A855)*MOVIMIENTOS!$E$5:$E$1005)+SUMPRODUCT((MOVIMIENTOS!$B$5:$B$1005="AJUSTE")*(MOVIMIENTOS!$C$5:$C$1005="A")*(MOVIMIENTOS!$D$5:$D$1005="jabas")*(MOVIMIENTOS!$A$5:$A$1005&lt;&gt;"")*(MOVIMIENTOS!$A$5:$A$1005&lt;=$A855)*MOVIMIENTOS!$E$5:$E$1005))</f>
        <v/>
      </c>
      <c r="C855" t="str">
        <f>IF($A855="","",SUMPRODUCT((MOVIMIENTOS!$B$5:$B$1005="SALDO INICIAL")*(MOVIMIENTOS!$C$5:$C$1005="P")*(MOVIMIENTOS!$D$5:$D$1005="jabas")*(MOVIMIENTOS!$A$5:$A$1005&lt;&gt;"")*(MOVIMIENTOS!$A$5:$A$1005&lt;=$A855)*MOVIMIENTOS!$E$5:$E$1005)+SUMPRODUCT((MOVIMIENTOS!$B$5:$B$1005="PROCESO")*(MOVIMIENTOS!$C$5:$C$1005="P")*(MOVIMIENTOS!$D$5:$D$1005="jabas")*(MOVIMIENTOS!$A$5:$A$1005&lt;&gt;"")*(MOVIMIENTOS!$A$5:$A$1005&lt;=$A855)*MOVIMIENTOS!$E$5:$E$1005)-SUMPRODUCT((MOVIMIENTOS!$B$5:$B$1005="ENVÍO A SUPESA")*(MOVIMIENTOS!$C$5:$C$1005="P")*(MOVIMIENTOS!$D$5:$D$1005="jabas")*(MOVIMIENTOS!$A$5:$A$1005&lt;&gt;"")*(MOVIMIENTOS!$A$5:$A$1005&lt;=$A855)*MOVIMIENTOS!$E$5:$E$1005)+SUMPRODUCT((MOVIMIENTOS!$B$5:$B$1005="DEVOLUCIÓN")*(MOVIMIENTOS!$C$5:$C$1005="P")*(MOVIMIENTOS!$D$5:$D$1005="jabas")*(MOVIMIENTOS!$A$5:$A$1005&lt;&gt;"")*(MOVIMIENTOS!$A$5:$A$1005&lt;=$A855)*MOVIMIENTOS!$E$5:$E$1005)-SUMPRODUCT((MOVIMIENTOS!$B$5:$B$1005="TRASIEGO")*(MOVIMIENTOS!$C$5:$C$1005="P")*(MOVIMIENTOS!$D$5:$D$1005="jabas")*(MOVIMIENTOS!$A$5:$A$1005&lt;&gt;"")*(MOVIMIENTOS!$A$5:$A$1005&lt;=$A855)*MOVIMIENTOS!$E$5:$E$1005)-SUMPRODUCT((MOVIMIENTOS!$B$5:$B$1005="REGALO")*(MOVIMIENTOS!$C$5:$C$1005="P")*(MOVIMIENTOS!$D$5:$D$1005="jabas")*(MOVIMIENTOS!$A$5:$A$1005&lt;&gt;"")*(MOVIMIENTOS!$A$5:$A$1005&lt;=$A855)*MOVIMIENTOS!$E$5:$E$1005)-SUMPRODUCT((MOVIMIENTOS!$B$5:$B$1005="VENTA")*(MOVIMIENTOS!$C$5:$C$1005="P")*(MOVIMIENTOS!$D$5:$D$1005="jabas")*(MOVIMIENTOS!$A$5:$A$1005&lt;&gt;"")*(MOVIMIENTOS!$A$5:$A$1005&lt;=$A855)*MOVIMIENTOS!$E$5:$E$1005)+SUMPRODUCT((MOVIMIENTOS!$B$5:$B$1005="AJUSTE")*(MOVIMIENTOS!$C$5:$C$1005="P")*(MOVIMIENTOS!$D$5:$D$1005="jabas")*(MOVIMIENTOS!$A$5:$A$1005&lt;&gt;"")*(MOVIMIENTOS!$A$5:$A$1005&lt;=$A855)*MOVIMIENTOS!$E$5:$E$1005))</f>
        <v/>
      </c>
      <c r="D855" t="str">
        <f>IF($A855="","",SUMPRODUCT((MOVIMIENTOS!$B$5:$B$1005="SALDO INICIAL")*(MOVIMIENTOS!$C$5:$C$1005="C")*(MOVIMIENTOS!$D$5:$D$1005="jabas")*(MOVIMIENTOS!$A$5:$A$1005&lt;&gt;"")*(MOVIMIENTOS!$A$5:$A$1005&lt;=$A855)*MOVIMIENTOS!$E$5:$E$1005)+SUMPRODUCT((MOVIMIENTOS!$B$5:$B$1005="PROCESO")*(MOVIMIENTOS!$C$5:$C$1005="C")*(MOVIMIENTOS!$D$5:$D$1005="jabas")*(MOVIMIENTOS!$A$5:$A$1005&lt;&gt;"")*(MOVIMIENTOS!$A$5:$A$1005&lt;=$A855)*MOVIMIENTOS!$E$5:$E$1005)-SUMPRODUCT((MOVIMIENTOS!$B$5:$B$1005="ENVÍO A SUPESA")*(MOVIMIENTOS!$C$5:$C$1005="C")*(MOVIMIENTOS!$D$5:$D$1005="jabas")*(MOVIMIENTOS!$A$5:$A$1005&lt;&gt;"")*(MOVIMIENTOS!$A$5:$A$1005&lt;=$A855)*MOVIMIENTOS!$E$5:$E$1005)+SUMPRODUCT((MOVIMIENTOS!$B$5:$B$1005="DEVOLUCIÓN")*(MOVIMIENTOS!$C$5:$C$1005="C")*(MOVIMIENTOS!$D$5:$D$1005="jabas")*(MOVIMIENTOS!$A$5:$A$1005&lt;&gt;"")*(MOVIMIENTOS!$A$5:$A$1005&lt;=$A855)*MOVIMIENTOS!$E$5:$E$1005)-SUMPRODUCT((MOVIMIENTOS!$B$5:$B$1005="TRASIEGO")*(MOVIMIENTOS!$C$5:$C$1005="C")*(MOVIMIENTOS!$D$5:$D$1005="jabas")*(MOVIMIENTOS!$A$5:$A$1005&lt;&gt;"")*(MOVIMIENTOS!$A$5:$A$1005&lt;=$A855)*MOVIMIENTOS!$E$5:$E$1005)-SUMPRODUCT((MOVIMIENTOS!$B$5:$B$1005="REGALO")*(MOVIMIENTOS!$C$5:$C$1005="C")*(MOVIMIENTOS!$D$5:$D$1005="jabas")*(MOVIMIENTOS!$A$5:$A$1005&lt;&gt;"")*(MOVIMIENTOS!$A$5:$A$1005&lt;=$A855)*MOVIMIENTOS!$E$5:$E$1005)-SUMPRODUCT((MOVIMIENTOS!$B$5:$B$1005="VENTA")*(MOVIMIENTOS!$C$5:$C$1005="C")*(MOVIMIENTOS!$D$5:$D$1005="jabas")*(MOVIMIENTOS!$A$5:$A$1005&lt;&gt;"")*(MOVIMIENTOS!$A$5:$A$1005&lt;=$A855)*MOVIMIENTOS!$E$5:$E$1005)+SUMPRODUCT((MOVIMIENTOS!$B$5:$B$1005="AJUSTE")*(MOVIMIENTOS!$C$5:$C$1005="C")*(MOVIMIENTOS!$D$5:$D$1005="jabas")*(MOVIMIENTOS!$A$5:$A$1005&lt;&gt;"")*(MOVIMIENTOS!$A$5:$A$1005&lt;=$A855)*MOVIMIENTOS!$E$5:$E$1005))</f>
        <v/>
      </c>
      <c r="E855" t="str">
        <f>IF($A855="","",SUMPRODUCT((MOVIMIENTOS!$B$5:$B$1005="SALDO INICIAL")*(MOVIMIENTOS!$C$5:$C$1005="M")*(MOVIMIENTOS!$D$5:$D$1005="jabas")*(MOVIMIENTOS!$A$5:$A$1005&lt;&gt;"")*(MOVIMIENTOS!$A$5:$A$1005&lt;=$A855)*MOVIMIENTOS!$E$5:$E$1005)+SUMPRODUCT((MOVIMIENTOS!$B$5:$B$1005="PROCESO")*(MOVIMIENTOS!$C$5:$C$1005="M")*(MOVIMIENTOS!$D$5:$D$1005="jabas")*(MOVIMIENTOS!$A$5:$A$1005&lt;&gt;"")*(MOVIMIENTOS!$A$5:$A$1005&lt;=$A855)*MOVIMIENTOS!$E$5:$E$1005)-SUMPRODUCT((MOVIMIENTOS!$B$5:$B$1005="ENVÍO A SUPESA")*(MOVIMIENTOS!$C$5:$C$1005="M")*(MOVIMIENTOS!$D$5:$D$1005="jabas")*(MOVIMIENTOS!$A$5:$A$1005&lt;&gt;"")*(MOVIMIENTOS!$A$5:$A$1005&lt;=$A855)*MOVIMIENTOS!$E$5:$E$1005)+SUMPRODUCT((MOVIMIENTOS!$B$5:$B$1005="DEVOLUCIÓN")*(MOVIMIENTOS!$C$5:$C$1005="M")*(MOVIMIENTOS!$D$5:$D$1005="jabas")*(MOVIMIENTOS!$A$5:$A$1005&lt;&gt;"")*(MOVIMIENTOS!$A$5:$A$1005&lt;=$A855)*MOVIMIENTOS!$E$5:$E$1005)-SUMPRODUCT((MOVIMIENTOS!$B$5:$B$1005="TRASIEGO")*(MOVIMIENTOS!$C$5:$C$1005="M")*(MOVIMIENTOS!$D$5:$D$1005="jabas")*(MOVIMIENTOS!$A$5:$A$1005&lt;&gt;"")*(MOVIMIENTOS!$A$5:$A$1005&lt;=$A855)*MOVIMIENTOS!$E$5:$E$1005)-SUMPRODUCT((MOVIMIENTOS!$B$5:$B$1005="REGALO")*(MOVIMIENTOS!$C$5:$C$1005="M")*(MOVIMIENTOS!$D$5:$D$1005="jabas")*(MOVIMIENTOS!$A$5:$A$1005&lt;&gt;"")*(MOVIMIENTOS!$A$5:$A$1005&lt;=$A855)*MOVIMIENTOS!$E$5:$E$1005)-SUMPRODUCT((MOVIMIENTOS!$B$5:$B$1005="VENTA")*(MOVIMIENTOS!$C$5:$C$1005="M")*(MOVIMIENTOS!$D$5:$D$1005="jabas")*(MOVIMIENTOS!$A$5:$A$1005&lt;&gt;"")*(MOVIMIENTOS!$A$5:$A$1005&lt;=$A855)*MOVIMIENTOS!$E$5:$E$1005)+SUMPRODUCT((MOVIMIENTOS!$B$5:$B$1005="AJUSTE")*(MOVIMIENTOS!$C$5:$C$1005="M")*(MOVIMIENTOS!$D$5:$D$1005="jabas")*(MOVIMIENTOS!$A$5:$A$1005&lt;&gt;"")*(MOVIMIENTOS!$A$5:$A$1005&lt;=$A855)*MOVIMIENTOS!$E$5:$E$1005))</f>
        <v/>
      </c>
      <c r="F855" s="62" t="str">
        <f>IF($A855="","",SUMPRODUCT((MOVIMIENTOS!$B$5:$B$1005="SALDO INICIAL")*(MOVIMIENTOS!$C$5:$C$1005="Chancho")*(MOVIMIENTOS!$D$5:$D$1005="sacos")*(MOVIMIENTOS!$A$5:$A$1005&lt;&gt;"")*(MOVIMIENTOS!$A$5:$A$1005&lt;=$A855)*MOVIMIENTOS!$E$5:$E$1005)+SUMPRODUCT((MOVIMIENTOS!$B$5:$B$1005="PROCESO")*(MOVIMIENTOS!$C$5:$C$1005="Chancho")*(MOVIMIENTOS!$D$5:$D$1005="sacos")*(MOVIMIENTOS!$A$5:$A$1005&lt;&gt;"")*(MOVIMIENTOS!$A$5:$A$1005&lt;=$A855)*MOVIMIENTOS!$E$5:$E$1005)-SUMPRODUCT((MOVIMIENTOS!$B$5:$B$1005="VENTA CHANCHO")*(MOVIMIENTOS!$C$5:$C$1005="Chancho")*(MOVIMIENTOS!$D$5:$D$1005="sacos")*(MOVIMIENTOS!$A$5:$A$1005&lt;&gt;"")*(MOVIMIENTOS!$A$5:$A$1005&lt;=$A855)*MOVIMIENTOS!$E$5:$E$1005)-SUMPRODUCT((MOVIMIENTOS!$B$5:$B$1005="REGALO")*(MOVIMIENTOS!$C$5:$C$1005="Chancho")*(MOVIMIENTOS!$D$5:$D$1005="sacos")*(MOVIMIENTOS!$A$5:$A$1005&lt;&gt;"")*(MOVIMIENTOS!$A$5:$A$1005&lt;=$A855)*MOVIMIENTOS!$E$5:$E$1005)-SUMPRODUCT((MOVIMIENTOS!$B$5:$B$1005="VENTA")*(MOVIMIENTOS!$C$5:$C$1005="Chancho")*(MOVIMIENTOS!$D$5:$D$1005="sacos")*(MOVIMIENTOS!$A$5:$A$1005&lt;&gt;"")*(MOVIMIENTOS!$A$5:$A$1005&lt;=$A855)*MOVIMIENTOS!$E$5:$E$1005)+SUMPRODUCT((MOVIMIENTOS!$B$5:$B$1005="AJUSTE")*(MOVIMIENTOS!$C$5:$C$1005="Chancho")*(MOVIMIENTOS!$D$5:$D$1005="sacos")*(MOVIMIENTOS!$A$5:$A$1005&lt;&gt;"")*(MOVIMIENTOS!$A$5:$A$1005&lt;=$A855)*MOVIMIENTOS!$E$5:$E$1005))</f>
        <v/>
      </c>
      <c r="G855" s="62" t="str">
        <f t="shared" si="27"/>
        <v/>
      </c>
      <c r="H855" t="str">
        <f>IF($A855="","",SUMPRODUCT((((MOVIMIENTOS!$B$5:$B$1005="SALDO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855)*MOVIMIENTOS!$J$5:$J$1005))</f>
        <v/>
      </c>
      <c r="J855" t="str">
        <f>IF(AND(MOVIMIENTOS!$A860&lt;&gt;"",COUNTIF(MOVIMIENTOS!$A$5:$A859,MOVIMIENTOS!$A860)=0),COUNT(J$4:J854)+1,"")</f>
        <v/>
      </c>
      <c r="K855">
        <f>MOVIMIENTOS!$A860</f>
        <v>0</v>
      </c>
    </row>
    <row r="856" spans="1:11" ht="15" customHeight="1" x14ac:dyDescent="0.2">
      <c r="A856" t="str">
        <f t="shared" si="26"/>
        <v/>
      </c>
      <c r="B856" t="str">
        <f>IF($A856="","",SUMPRODUCT((MOVIMIENTOS!$B$5:$B$1005="SALDO INICIAL")*(MOVIMIENTOS!$C$5:$C$1005="A")*(MOVIMIENTOS!$D$5:$D$1005="jabas")*(MOVIMIENTOS!$A$5:$A$1005&lt;&gt;"")*(MOVIMIENTOS!$A$5:$A$1005&lt;=$A856)*MOVIMIENTOS!$E$5:$E$1005)+SUMPRODUCT((MOVIMIENTOS!$B$5:$B$1005="PROCESO")*(MOVIMIENTOS!$C$5:$C$1005="A")*(MOVIMIENTOS!$D$5:$D$1005="jabas")*(MOVIMIENTOS!$A$5:$A$1005&lt;&gt;"")*(MOVIMIENTOS!$A$5:$A$1005&lt;=$A856)*MOVIMIENTOS!$E$5:$E$1005)-SUMPRODUCT((MOVIMIENTOS!$B$5:$B$1005="ENVÍO A SUPESA")*(MOVIMIENTOS!$C$5:$C$1005="A")*(MOVIMIENTOS!$D$5:$D$1005="jabas")*(MOVIMIENTOS!$A$5:$A$1005&lt;&gt;"")*(MOVIMIENTOS!$A$5:$A$1005&lt;=$A856)*MOVIMIENTOS!$E$5:$E$1005)+SUMPRODUCT((MOVIMIENTOS!$B$5:$B$1005="DEVOLUCIÓN")*(MOVIMIENTOS!$C$5:$C$1005="A")*(MOVIMIENTOS!$D$5:$D$1005="jabas")*(MOVIMIENTOS!$A$5:$A$1005&lt;&gt;"")*(MOVIMIENTOS!$A$5:$A$1005&lt;=$A856)*MOVIMIENTOS!$E$5:$E$1005)-SUMPRODUCT((MOVIMIENTOS!$B$5:$B$1005="TRASIEGO")*(MOVIMIENTOS!$C$5:$C$1005="A")*(MOVIMIENTOS!$D$5:$D$1005="jabas")*(MOVIMIENTOS!$A$5:$A$1005&lt;&gt;"")*(MOVIMIENTOS!$A$5:$A$1005&lt;=$A856)*MOVIMIENTOS!$E$5:$E$1005)-SUMPRODUCT((MOVIMIENTOS!$B$5:$B$1005="REGALO")*(MOVIMIENTOS!$C$5:$C$1005="A")*(MOVIMIENTOS!$D$5:$D$1005="jabas")*(MOVIMIENTOS!$A$5:$A$1005&lt;&gt;"")*(MOVIMIENTOS!$A$5:$A$1005&lt;=$A856)*MOVIMIENTOS!$E$5:$E$1005)-SUMPRODUCT((MOVIMIENTOS!$B$5:$B$1005="VENTA")*(MOVIMIENTOS!$C$5:$C$1005="A")*(MOVIMIENTOS!$D$5:$D$1005="jabas")*(MOVIMIENTOS!$A$5:$A$1005&lt;&gt;"")*(MOVIMIENTOS!$A$5:$A$1005&lt;=$A856)*MOVIMIENTOS!$E$5:$E$1005)+SUMPRODUCT((MOVIMIENTOS!$B$5:$B$1005="AJUSTE")*(MOVIMIENTOS!$C$5:$C$1005="A")*(MOVIMIENTOS!$D$5:$D$1005="jabas")*(MOVIMIENTOS!$A$5:$A$1005&lt;&gt;"")*(MOVIMIENTOS!$A$5:$A$1005&lt;=$A856)*MOVIMIENTOS!$E$5:$E$1005))</f>
        <v/>
      </c>
      <c r="C856" t="str">
        <f>IF($A856="","",SUMPRODUCT((MOVIMIENTOS!$B$5:$B$1005="SALDO INICIAL")*(MOVIMIENTOS!$C$5:$C$1005="P")*(MOVIMIENTOS!$D$5:$D$1005="jabas")*(MOVIMIENTOS!$A$5:$A$1005&lt;&gt;"")*(MOVIMIENTOS!$A$5:$A$1005&lt;=$A856)*MOVIMIENTOS!$E$5:$E$1005)+SUMPRODUCT((MOVIMIENTOS!$B$5:$B$1005="PROCESO")*(MOVIMIENTOS!$C$5:$C$1005="P")*(MOVIMIENTOS!$D$5:$D$1005="jabas")*(MOVIMIENTOS!$A$5:$A$1005&lt;&gt;"")*(MOVIMIENTOS!$A$5:$A$1005&lt;=$A856)*MOVIMIENTOS!$E$5:$E$1005)-SUMPRODUCT((MOVIMIENTOS!$B$5:$B$1005="ENVÍO A SUPESA")*(MOVIMIENTOS!$C$5:$C$1005="P")*(MOVIMIENTOS!$D$5:$D$1005="jabas")*(MOVIMIENTOS!$A$5:$A$1005&lt;&gt;"")*(MOVIMIENTOS!$A$5:$A$1005&lt;=$A856)*MOVIMIENTOS!$E$5:$E$1005)+SUMPRODUCT((MOVIMIENTOS!$B$5:$B$1005="DEVOLUCIÓN")*(MOVIMIENTOS!$C$5:$C$1005="P")*(MOVIMIENTOS!$D$5:$D$1005="jabas")*(MOVIMIENTOS!$A$5:$A$1005&lt;&gt;"")*(MOVIMIENTOS!$A$5:$A$1005&lt;=$A856)*MOVIMIENTOS!$E$5:$E$1005)-SUMPRODUCT((MOVIMIENTOS!$B$5:$B$1005="TRASIEGO")*(MOVIMIENTOS!$C$5:$C$1005="P")*(MOVIMIENTOS!$D$5:$D$1005="jabas")*(MOVIMIENTOS!$A$5:$A$1005&lt;&gt;"")*(MOVIMIENTOS!$A$5:$A$1005&lt;=$A856)*MOVIMIENTOS!$E$5:$E$1005)-SUMPRODUCT((MOVIMIENTOS!$B$5:$B$1005="REGALO")*(MOVIMIENTOS!$C$5:$C$1005="P")*(MOVIMIENTOS!$D$5:$D$1005="jabas")*(MOVIMIENTOS!$A$5:$A$1005&lt;&gt;"")*(MOVIMIENTOS!$A$5:$A$1005&lt;=$A856)*MOVIMIENTOS!$E$5:$E$1005)-SUMPRODUCT((MOVIMIENTOS!$B$5:$B$1005="VENTA")*(MOVIMIENTOS!$C$5:$C$1005="P")*(MOVIMIENTOS!$D$5:$D$1005="jabas")*(MOVIMIENTOS!$A$5:$A$1005&lt;&gt;"")*(MOVIMIENTOS!$A$5:$A$1005&lt;=$A856)*MOVIMIENTOS!$E$5:$E$1005)+SUMPRODUCT((MOVIMIENTOS!$B$5:$B$1005="AJUSTE")*(MOVIMIENTOS!$C$5:$C$1005="P")*(MOVIMIENTOS!$D$5:$D$1005="jabas")*(MOVIMIENTOS!$A$5:$A$1005&lt;&gt;"")*(MOVIMIENTOS!$A$5:$A$1005&lt;=$A856)*MOVIMIENTOS!$E$5:$E$1005))</f>
        <v/>
      </c>
      <c r="D856" t="str">
        <f>IF($A856="","",SUMPRODUCT((MOVIMIENTOS!$B$5:$B$1005="SALDO INICIAL")*(MOVIMIENTOS!$C$5:$C$1005="C")*(MOVIMIENTOS!$D$5:$D$1005="jabas")*(MOVIMIENTOS!$A$5:$A$1005&lt;&gt;"")*(MOVIMIENTOS!$A$5:$A$1005&lt;=$A856)*MOVIMIENTOS!$E$5:$E$1005)+SUMPRODUCT((MOVIMIENTOS!$B$5:$B$1005="PROCESO")*(MOVIMIENTOS!$C$5:$C$1005="C")*(MOVIMIENTOS!$D$5:$D$1005="jabas")*(MOVIMIENTOS!$A$5:$A$1005&lt;&gt;"")*(MOVIMIENTOS!$A$5:$A$1005&lt;=$A856)*MOVIMIENTOS!$E$5:$E$1005)-SUMPRODUCT((MOVIMIENTOS!$B$5:$B$1005="ENVÍO A SUPESA")*(MOVIMIENTOS!$C$5:$C$1005="C")*(MOVIMIENTOS!$D$5:$D$1005="jabas")*(MOVIMIENTOS!$A$5:$A$1005&lt;&gt;"")*(MOVIMIENTOS!$A$5:$A$1005&lt;=$A856)*MOVIMIENTOS!$E$5:$E$1005)+SUMPRODUCT((MOVIMIENTOS!$B$5:$B$1005="DEVOLUCIÓN")*(MOVIMIENTOS!$C$5:$C$1005="C")*(MOVIMIENTOS!$D$5:$D$1005="jabas")*(MOVIMIENTOS!$A$5:$A$1005&lt;&gt;"")*(MOVIMIENTOS!$A$5:$A$1005&lt;=$A856)*MOVIMIENTOS!$E$5:$E$1005)-SUMPRODUCT((MOVIMIENTOS!$B$5:$B$1005="TRASIEGO")*(MOVIMIENTOS!$C$5:$C$1005="C")*(MOVIMIENTOS!$D$5:$D$1005="jabas")*(MOVIMIENTOS!$A$5:$A$1005&lt;&gt;"")*(MOVIMIENTOS!$A$5:$A$1005&lt;=$A856)*MOVIMIENTOS!$E$5:$E$1005)-SUMPRODUCT((MOVIMIENTOS!$B$5:$B$1005="REGALO")*(MOVIMIENTOS!$C$5:$C$1005="C")*(MOVIMIENTOS!$D$5:$D$1005="jabas")*(MOVIMIENTOS!$A$5:$A$1005&lt;&gt;"")*(MOVIMIENTOS!$A$5:$A$1005&lt;=$A856)*MOVIMIENTOS!$E$5:$E$1005)-SUMPRODUCT((MOVIMIENTOS!$B$5:$B$1005="VENTA")*(MOVIMIENTOS!$C$5:$C$1005="C")*(MOVIMIENTOS!$D$5:$D$1005="jabas")*(MOVIMIENTOS!$A$5:$A$1005&lt;&gt;"")*(MOVIMIENTOS!$A$5:$A$1005&lt;=$A856)*MOVIMIENTOS!$E$5:$E$1005)+SUMPRODUCT((MOVIMIENTOS!$B$5:$B$1005="AJUSTE")*(MOVIMIENTOS!$C$5:$C$1005="C")*(MOVIMIENTOS!$D$5:$D$1005="jabas")*(MOVIMIENTOS!$A$5:$A$1005&lt;&gt;"")*(MOVIMIENTOS!$A$5:$A$1005&lt;=$A856)*MOVIMIENTOS!$E$5:$E$1005))</f>
        <v/>
      </c>
      <c r="E856" t="str">
        <f>IF($A856="","",SUMPRODUCT((MOVIMIENTOS!$B$5:$B$1005="SALDO INICIAL")*(MOVIMIENTOS!$C$5:$C$1005="M")*(MOVIMIENTOS!$D$5:$D$1005="jabas")*(MOVIMIENTOS!$A$5:$A$1005&lt;&gt;"")*(MOVIMIENTOS!$A$5:$A$1005&lt;=$A856)*MOVIMIENTOS!$E$5:$E$1005)+SUMPRODUCT((MOVIMIENTOS!$B$5:$B$1005="PROCESO")*(MOVIMIENTOS!$C$5:$C$1005="M")*(MOVIMIENTOS!$D$5:$D$1005="jabas")*(MOVIMIENTOS!$A$5:$A$1005&lt;&gt;"")*(MOVIMIENTOS!$A$5:$A$1005&lt;=$A856)*MOVIMIENTOS!$E$5:$E$1005)-SUMPRODUCT((MOVIMIENTOS!$B$5:$B$1005="ENVÍO A SUPESA")*(MOVIMIENTOS!$C$5:$C$1005="M")*(MOVIMIENTOS!$D$5:$D$1005="jabas")*(MOVIMIENTOS!$A$5:$A$1005&lt;&gt;"")*(MOVIMIENTOS!$A$5:$A$1005&lt;=$A856)*MOVIMIENTOS!$E$5:$E$1005)+SUMPRODUCT((MOVIMIENTOS!$B$5:$B$1005="DEVOLUCIÓN")*(MOVIMIENTOS!$C$5:$C$1005="M")*(MOVIMIENTOS!$D$5:$D$1005="jabas")*(MOVIMIENTOS!$A$5:$A$1005&lt;&gt;"")*(MOVIMIENTOS!$A$5:$A$1005&lt;=$A856)*MOVIMIENTOS!$E$5:$E$1005)-SUMPRODUCT((MOVIMIENTOS!$B$5:$B$1005="TRASIEGO")*(MOVIMIENTOS!$C$5:$C$1005="M")*(MOVIMIENTOS!$D$5:$D$1005="jabas")*(MOVIMIENTOS!$A$5:$A$1005&lt;&gt;"")*(MOVIMIENTOS!$A$5:$A$1005&lt;=$A856)*MOVIMIENTOS!$E$5:$E$1005)-SUMPRODUCT((MOVIMIENTOS!$B$5:$B$1005="REGALO")*(MOVIMIENTOS!$C$5:$C$1005="M")*(MOVIMIENTOS!$D$5:$D$1005="jabas")*(MOVIMIENTOS!$A$5:$A$1005&lt;&gt;"")*(MOVIMIENTOS!$A$5:$A$1005&lt;=$A856)*MOVIMIENTOS!$E$5:$E$1005)-SUMPRODUCT((MOVIMIENTOS!$B$5:$B$1005="VENTA")*(MOVIMIENTOS!$C$5:$C$1005="M")*(MOVIMIENTOS!$D$5:$D$1005="jabas")*(MOVIMIENTOS!$A$5:$A$1005&lt;&gt;"")*(MOVIMIENTOS!$A$5:$A$1005&lt;=$A856)*MOVIMIENTOS!$E$5:$E$1005)+SUMPRODUCT((MOVIMIENTOS!$B$5:$B$1005="AJUSTE")*(MOVIMIENTOS!$C$5:$C$1005="M")*(MOVIMIENTOS!$D$5:$D$1005="jabas")*(MOVIMIENTOS!$A$5:$A$1005&lt;&gt;"")*(MOVIMIENTOS!$A$5:$A$1005&lt;=$A856)*MOVIMIENTOS!$E$5:$E$1005))</f>
        <v/>
      </c>
      <c r="F856" s="62" t="str">
        <f>IF($A856="","",SUMPRODUCT((MOVIMIENTOS!$B$5:$B$1005="SALDO INICIAL")*(MOVIMIENTOS!$C$5:$C$1005="Chancho")*(MOVIMIENTOS!$D$5:$D$1005="sacos")*(MOVIMIENTOS!$A$5:$A$1005&lt;&gt;"")*(MOVIMIENTOS!$A$5:$A$1005&lt;=$A856)*MOVIMIENTOS!$E$5:$E$1005)+SUMPRODUCT((MOVIMIENTOS!$B$5:$B$1005="PROCESO")*(MOVIMIENTOS!$C$5:$C$1005="Chancho")*(MOVIMIENTOS!$D$5:$D$1005="sacos")*(MOVIMIENTOS!$A$5:$A$1005&lt;&gt;"")*(MOVIMIENTOS!$A$5:$A$1005&lt;=$A856)*MOVIMIENTOS!$E$5:$E$1005)-SUMPRODUCT((MOVIMIENTOS!$B$5:$B$1005="VENTA CHANCHO")*(MOVIMIENTOS!$C$5:$C$1005="Chancho")*(MOVIMIENTOS!$D$5:$D$1005="sacos")*(MOVIMIENTOS!$A$5:$A$1005&lt;&gt;"")*(MOVIMIENTOS!$A$5:$A$1005&lt;=$A856)*MOVIMIENTOS!$E$5:$E$1005)-SUMPRODUCT((MOVIMIENTOS!$B$5:$B$1005="REGALO")*(MOVIMIENTOS!$C$5:$C$1005="Chancho")*(MOVIMIENTOS!$D$5:$D$1005="sacos")*(MOVIMIENTOS!$A$5:$A$1005&lt;&gt;"")*(MOVIMIENTOS!$A$5:$A$1005&lt;=$A856)*MOVIMIENTOS!$E$5:$E$1005)-SUMPRODUCT((MOVIMIENTOS!$B$5:$B$1005="VENTA")*(MOVIMIENTOS!$C$5:$C$1005="Chancho")*(MOVIMIENTOS!$D$5:$D$1005="sacos")*(MOVIMIENTOS!$A$5:$A$1005&lt;&gt;"")*(MOVIMIENTOS!$A$5:$A$1005&lt;=$A856)*MOVIMIENTOS!$E$5:$E$1005)+SUMPRODUCT((MOVIMIENTOS!$B$5:$B$1005="AJUSTE")*(MOVIMIENTOS!$C$5:$C$1005="Chancho")*(MOVIMIENTOS!$D$5:$D$1005="sacos")*(MOVIMIENTOS!$A$5:$A$1005&lt;&gt;"")*(MOVIMIENTOS!$A$5:$A$1005&lt;=$A856)*MOVIMIENTOS!$E$5:$E$1005))</f>
        <v/>
      </c>
      <c r="G856" s="62" t="str">
        <f t="shared" si="27"/>
        <v/>
      </c>
      <c r="H856" t="str">
        <f>IF($A856="","",SUMPRODUCT((((MOVIMIENTOS!$B$5:$B$1005="SALDO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856)*MOVIMIENTOS!$J$5:$J$1005))</f>
        <v/>
      </c>
      <c r="J856" t="str">
        <f>IF(AND(MOVIMIENTOS!$A861&lt;&gt;"",COUNTIF(MOVIMIENTOS!$A$5:$A860,MOVIMIENTOS!$A861)=0),COUNT(J$4:J855)+1,"")</f>
        <v/>
      </c>
      <c r="K856">
        <f>MOVIMIENTOS!$A861</f>
        <v>0</v>
      </c>
    </row>
    <row r="857" spans="1:11" ht="15" customHeight="1" x14ac:dyDescent="0.2">
      <c r="A857" t="str">
        <f t="shared" si="26"/>
        <v/>
      </c>
      <c r="B857" t="str">
        <f>IF($A857="","",SUMPRODUCT((MOVIMIENTOS!$B$5:$B$1005="SALDO INICIAL")*(MOVIMIENTOS!$C$5:$C$1005="A")*(MOVIMIENTOS!$D$5:$D$1005="jabas")*(MOVIMIENTOS!$A$5:$A$1005&lt;&gt;"")*(MOVIMIENTOS!$A$5:$A$1005&lt;=$A857)*MOVIMIENTOS!$E$5:$E$1005)+SUMPRODUCT((MOVIMIENTOS!$B$5:$B$1005="PROCESO")*(MOVIMIENTOS!$C$5:$C$1005="A")*(MOVIMIENTOS!$D$5:$D$1005="jabas")*(MOVIMIENTOS!$A$5:$A$1005&lt;&gt;"")*(MOVIMIENTOS!$A$5:$A$1005&lt;=$A857)*MOVIMIENTOS!$E$5:$E$1005)-SUMPRODUCT((MOVIMIENTOS!$B$5:$B$1005="ENVÍO A SUPESA")*(MOVIMIENTOS!$C$5:$C$1005="A")*(MOVIMIENTOS!$D$5:$D$1005="jabas")*(MOVIMIENTOS!$A$5:$A$1005&lt;&gt;"")*(MOVIMIENTOS!$A$5:$A$1005&lt;=$A857)*MOVIMIENTOS!$E$5:$E$1005)+SUMPRODUCT((MOVIMIENTOS!$B$5:$B$1005="DEVOLUCIÓN")*(MOVIMIENTOS!$C$5:$C$1005="A")*(MOVIMIENTOS!$D$5:$D$1005="jabas")*(MOVIMIENTOS!$A$5:$A$1005&lt;&gt;"")*(MOVIMIENTOS!$A$5:$A$1005&lt;=$A857)*MOVIMIENTOS!$E$5:$E$1005)-SUMPRODUCT((MOVIMIENTOS!$B$5:$B$1005="TRASIEGO")*(MOVIMIENTOS!$C$5:$C$1005="A")*(MOVIMIENTOS!$D$5:$D$1005="jabas")*(MOVIMIENTOS!$A$5:$A$1005&lt;&gt;"")*(MOVIMIENTOS!$A$5:$A$1005&lt;=$A857)*MOVIMIENTOS!$E$5:$E$1005)-SUMPRODUCT((MOVIMIENTOS!$B$5:$B$1005="REGALO")*(MOVIMIENTOS!$C$5:$C$1005="A")*(MOVIMIENTOS!$D$5:$D$1005="jabas")*(MOVIMIENTOS!$A$5:$A$1005&lt;&gt;"")*(MOVIMIENTOS!$A$5:$A$1005&lt;=$A857)*MOVIMIENTOS!$E$5:$E$1005)-SUMPRODUCT((MOVIMIENTOS!$B$5:$B$1005="VENTA")*(MOVIMIENTOS!$C$5:$C$1005="A")*(MOVIMIENTOS!$D$5:$D$1005="jabas")*(MOVIMIENTOS!$A$5:$A$1005&lt;&gt;"")*(MOVIMIENTOS!$A$5:$A$1005&lt;=$A857)*MOVIMIENTOS!$E$5:$E$1005)+SUMPRODUCT((MOVIMIENTOS!$B$5:$B$1005="AJUSTE")*(MOVIMIENTOS!$C$5:$C$1005="A")*(MOVIMIENTOS!$D$5:$D$1005="jabas")*(MOVIMIENTOS!$A$5:$A$1005&lt;&gt;"")*(MOVIMIENTOS!$A$5:$A$1005&lt;=$A857)*MOVIMIENTOS!$E$5:$E$1005))</f>
        <v/>
      </c>
      <c r="C857" t="str">
        <f>IF($A857="","",SUMPRODUCT((MOVIMIENTOS!$B$5:$B$1005="SALDO INICIAL")*(MOVIMIENTOS!$C$5:$C$1005="P")*(MOVIMIENTOS!$D$5:$D$1005="jabas")*(MOVIMIENTOS!$A$5:$A$1005&lt;&gt;"")*(MOVIMIENTOS!$A$5:$A$1005&lt;=$A857)*MOVIMIENTOS!$E$5:$E$1005)+SUMPRODUCT((MOVIMIENTOS!$B$5:$B$1005="PROCESO")*(MOVIMIENTOS!$C$5:$C$1005="P")*(MOVIMIENTOS!$D$5:$D$1005="jabas")*(MOVIMIENTOS!$A$5:$A$1005&lt;&gt;"")*(MOVIMIENTOS!$A$5:$A$1005&lt;=$A857)*MOVIMIENTOS!$E$5:$E$1005)-SUMPRODUCT((MOVIMIENTOS!$B$5:$B$1005="ENVÍO A SUPESA")*(MOVIMIENTOS!$C$5:$C$1005="P")*(MOVIMIENTOS!$D$5:$D$1005="jabas")*(MOVIMIENTOS!$A$5:$A$1005&lt;&gt;"")*(MOVIMIENTOS!$A$5:$A$1005&lt;=$A857)*MOVIMIENTOS!$E$5:$E$1005)+SUMPRODUCT((MOVIMIENTOS!$B$5:$B$1005="DEVOLUCIÓN")*(MOVIMIENTOS!$C$5:$C$1005="P")*(MOVIMIENTOS!$D$5:$D$1005="jabas")*(MOVIMIENTOS!$A$5:$A$1005&lt;&gt;"")*(MOVIMIENTOS!$A$5:$A$1005&lt;=$A857)*MOVIMIENTOS!$E$5:$E$1005)-SUMPRODUCT((MOVIMIENTOS!$B$5:$B$1005="TRASIEGO")*(MOVIMIENTOS!$C$5:$C$1005="P")*(MOVIMIENTOS!$D$5:$D$1005="jabas")*(MOVIMIENTOS!$A$5:$A$1005&lt;&gt;"")*(MOVIMIENTOS!$A$5:$A$1005&lt;=$A857)*MOVIMIENTOS!$E$5:$E$1005)-SUMPRODUCT((MOVIMIENTOS!$B$5:$B$1005="REGALO")*(MOVIMIENTOS!$C$5:$C$1005="P")*(MOVIMIENTOS!$D$5:$D$1005="jabas")*(MOVIMIENTOS!$A$5:$A$1005&lt;&gt;"")*(MOVIMIENTOS!$A$5:$A$1005&lt;=$A857)*MOVIMIENTOS!$E$5:$E$1005)-SUMPRODUCT((MOVIMIENTOS!$B$5:$B$1005="VENTA")*(MOVIMIENTOS!$C$5:$C$1005="P")*(MOVIMIENTOS!$D$5:$D$1005="jabas")*(MOVIMIENTOS!$A$5:$A$1005&lt;&gt;"")*(MOVIMIENTOS!$A$5:$A$1005&lt;=$A857)*MOVIMIENTOS!$E$5:$E$1005)+SUMPRODUCT((MOVIMIENTOS!$B$5:$B$1005="AJUSTE")*(MOVIMIENTOS!$C$5:$C$1005="P")*(MOVIMIENTOS!$D$5:$D$1005="jabas")*(MOVIMIENTOS!$A$5:$A$1005&lt;&gt;"")*(MOVIMIENTOS!$A$5:$A$1005&lt;=$A857)*MOVIMIENTOS!$E$5:$E$1005))</f>
        <v/>
      </c>
      <c r="D857" t="str">
        <f>IF($A857="","",SUMPRODUCT((MOVIMIENTOS!$B$5:$B$1005="SALDO INICIAL")*(MOVIMIENTOS!$C$5:$C$1005="C")*(MOVIMIENTOS!$D$5:$D$1005="jabas")*(MOVIMIENTOS!$A$5:$A$1005&lt;&gt;"")*(MOVIMIENTOS!$A$5:$A$1005&lt;=$A857)*MOVIMIENTOS!$E$5:$E$1005)+SUMPRODUCT((MOVIMIENTOS!$B$5:$B$1005="PROCESO")*(MOVIMIENTOS!$C$5:$C$1005="C")*(MOVIMIENTOS!$D$5:$D$1005="jabas")*(MOVIMIENTOS!$A$5:$A$1005&lt;&gt;"")*(MOVIMIENTOS!$A$5:$A$1005&lt;=$A857)*MOVIMIENTOS!$E$5:$E$1005)-SUMPRODUCT((MOVIMIENTOS!$B$5:$B$1005="ENVÍO A SUPESA")*(MOVIMIENTOS!$C$5:$C$1005="C")*(MOVIMIENTOS!$D$5:$D$1005="jabas")*(MOVIMIENTOS!$A$5:$A$1005&lt;&gt;"")*(MOVIMIENTOS!$A$5:$A$1005&lt;=$A857)*MOVIMIENTOS!$E$5:$E$1005)+SUMPRODUCT((MOVIMIENTOS!$B$5:$B$1005="DEVOLUCIÓN")*(MOVIMIENTOS!$C$5:$C$1005="C")*(MOVIMIENTOS!$D$5:$D$1005="jabas")*(MOVIMIENTOS!$A$5:$A$1005&lt;&gt;"")*(MOVIMIENTOS!$A$5:$A$1005&lt;=$A857)*MOVIMIENTOS!$E$5:$E$1005)-SUMPRODUCT((MOVIMIENTOS!$B$5:$B$1005="TRASIEGO")*(MOVIMIENTOS!$C$5:$C$1005="C")*(MOVIMIENTOS!$D$5:$D$1005="jabas")*(MOVIMIENTOS!$A$5:$A$1005&lt;&gt;"")*(MOVIMIENTOS!$A$5:$A$1005&lt;=$A857)*MOVIMIENTOS!$E$5:$E$1005)-SUMPRODUCT((MOVIMIENTOS!$B$5:$B$1005="REGALO")*(MOVIMIENTOS!$C$5:$C$1005="C")*(MOVIMIENTOS!$D$5:$D$1005="jabas")*(MOVIMIENTOS!$A$5:$A$1005&lt;&gt;"")*(MOVIMIENTOS!$A$5:$A$1005&lt;=$A857)*MOVIMIENTOS!$E$5:$E$1005)-SUMPRODUCT((MOVIMIENTOS!$B$5:$B$1005="VENTA")*(MOVIMIENTOS!$C$5:$C$1005="C")*(MOVIMIENTOS!$D$5:$D$1005="jabas")*(MOVIMIENTOS!$A$5:$A$1005&lt;&gt;"")*(MOVIMIENTOS!$A$5:$A$1005&lt;=$A857)*MOVIMIENTOS!$E$5:$E$1005)+SUMPRODUCT((MOVIMIENTOS!$B$5:$B$1005="AJUSTE")*(MOVIMIENTOS!$C$5:$C$1005="C")*(MOVIMIENTOS!$D$5:$D$1005="jabas")*(MOVIMIENTOS!$A$5:$A$1005&lt;&gt;"")*(MOVIMIENTOS!$A$5:$A$1005&lt;=$A857)*MOVIMIENTOS!$E$5:$E$1005))</f>
        <v/>
      </c>
      <c r="E857" t="str">
        <f>IF($A857="","",SUMPRODUCT((MOVIMIENTOS!$B$5:$B$1005="SALDO INICIAL")*(MOVIMIENTOS!$C$5:$C$1005="M")*(MOVIMIENTOS!$D$5:$D$1005="jabas")*(MOVIMIENTOS!$A$5:$A$1005&lt;&gt;"")*(MOVIMIENTOS!$A$5:$A$1005&lt;=$A857)*MOVIMIENTOS!$E$5:$E$1005)+SUMPRODUCT((MOVIMIENTOS!$B$5:$B$1005="PROCESO")*(MOVIMIENTOS!$C$5:$C$1005="M")*(MOVIMIENTOS!$D$5:$D$1005="jabas")*(MOVIMIENTOS!$A$5:$A$1005&lt;&gt;"")*(MOVIMIENTOS!$A$5:$A$1005&lt;=$A857)*MOVIMIENTOS!$E$5:$E$1005)-SUMPRODUCT((MOVIMIENTOS!$B$5:$B$1005="ENVÍO A SUPESA")*(MOVIMIENTOS!$C$5:$C$1005="M")*(MOVIMIENTOS!$D$5:$D$1005="jabas")*(MOVIMIENTOS!$A$5:$A$1005&lt;&gt;"")*(MOVIMIENTOS!$A$5:$A$1005&lt;=$A857)*MOVIMIENTOS!$E$5:$E$1005)+SUMPRODUCT((MOVIMIENTOS!$B$5:$B$1005="DEVOLUCIÓN")*(MOVIMIENTOS!$C$5:$C$1005="M")*(MOVIMIENTOS!$D$5:$D$1005="jabas")*(MOVIMIENTOS!$A$5:$A$1005&lt;&gt;"")*(MOVIMIENTOS!$A$5:$A$1005&lt;=$A857)*MOVIMIENTOS!$E$5:$E$1005)-SUMPRODUCT((MOVIMIENTOS!$B$5:$B$1005="TRASIEGO")*(MOVIMIENTOS!$C$5:$C$1005="M")*(MOVIMIENTOS!$D$5:$D$1005="jabas")*(MOVIMIENTOS!$A$5:$A$1005&lt;&gt;"")*(MOVIMIENTOS!$A$5:$A$1005&lt;=$A857)*MOVIMIENTOS!$E$5:$E$1005)-SUMPRODUCT((MOVIMIENTOS!$B$5:$B$1005="REGALO")*(MOVIMIENTOS!$C$5:$C$1005="M")*(MOVIMIENTOS!$D$5:$D$1005="jabas")*(MOVIMIENTOS!$A$5:$A$1005&lt;&gt;"")*(MOVIMIENTOS!$A$5:$A$1005&lt;=$A857)*MOVIMIENTOS!$E$5:$E$1005)-SUMPRODUCT((MOVIMIENTOS!$B$5:$B$1005="VENTA")*(MOVIMIENTOS!$C$5:$C$1005="M")*(MOVIMIENTOS!$D$5:$D$1005="jabas")*(MOVIMIENTOS!$A$5:$A$1005&lt;&gt;"")*(MOVIMIENTOS!$A$5:$A$1005&lt;=$A857)*MOVIMIENTOS!$E$5:$E$1005)+SUMPRODUCT((MOVIMIENTOS!$B$5:$B$1005="AJUSTE")*(MOVIMIENTOS!$C$5:$C$1005="M")*(MOVIMIENTOS!$D$5:$D$1005="jabas")*(MOVIMIENTOS!$A$5:$A$1005&lt;&gt;"")*(MOVIMIENTOS!$A$5:$A$1005&lt;=$A857)*MOVIMIENTOS!$E$5:$E$1005))</f>
        <v/>
      </c>
      <c r="F857" s="62" t="str">
        <f>IF($A857="","",SUMPRODUCT((MOVIMIENTOS!$B$5:$B$1005="SALDO INICIAL")*(MOVIMIENTOS!$C$5:$C$1005="Chancho")*(MOVIMIENTOS!$D$5:$D$1005="sacos")*(MOVIMIENTOS!$A$5:$A$1005&lt;&gt;"")*(MOVIMIENTOS!$A$5:$A$1005&lt;=$A857)*MOVIMIENTOS!$E$5:$E$1005)+SUMPRODUCT((MOVIMIENTOS!$B$5:$B$1005="PROCESO")*(MOVIMIENTOS!$C$5:$C$1005="Chancho")*(MOVIMIENTOS!$D$5:$D$1005="sacos")*(MOVIMIENTOS!$A$5:$A$1005&lt;&gt;"")*(MOVIMIENTOS!$A$5:$A$1005&lt;=$A857)*MOVIMIENTOS!$E$5:$E$1005)-SUMPRODUCT((MOVIMIENTOS!$B$5:$B$1005="VENTA CHANCHO")*(MOVIMIENTOS!$C$5:$C$1005="Chancho")*(MOVIMIENTOS!$D$5:$D$1005="sacos")*(MOVIMIENTOS!$A$5:$A$1005&lt;&gt;"")*(MOVIMIENTOS!$A$5:$A$1005&lt;=$A857)*MOVIMIENTOS!$E$5:$E$1005)-SUMPRODUCT((MOVIMIENTOS!$B$5:$B$1005="REGALO")*(MOVIMIENTOS!$C$5:$C$1005="Chancho")*(MOVIMIENTOS!$D$5:$D$1005="sacos")*(MOVIMIENTOS!$A$5:$A$1005&lt;&gt;"")*(MOVIMIENTOS!$A$5:$A$1005&lt;=$A857)*MOVIMIENTOS!$E$5:$E$1005)-SUMPRODUCT((MOVIMIENTOS!$B$5:$B$1005="VENTA")*(MOVIMIENTOS!$C$5:$C$1005="Chancho")*(MOVIMIENTOS!$D$5:$D$1005="sacos")*(MOVIMIENTOS!$A$5:$A$1005&lt;&gt;"")*(MOVIMIENTOS!$A$5:$A$1005&lt;=$A857)*MOVIMIENTOS!$E$5:$E$1005)+SUMPRODUCT((MOVIMIENTOS!$B$5:$B$1005="AJUSTE")*(MOVIMIENTOS!$C$5:$C$1005="Chancho")*(MOVIMIENTOS!$D$5:$D$1005="sacos")*(MOVIMIENTOS!$A$5:$A$1005&lt;&gt;"")*(MOVIMIENTOS!$A$5:$A$1005&lt;=$A857)*MOVIMIENTOS!$E$5:$E$1005))</f>
        <v/>
      </c>
      <c r="G857" s="62" t="str">
        <f t="shared" si="27"/>
        <v/>
      </c>
      <c r="H857" t="str">
        <f>IF($A857="","",SUMPRODUCT((((MOVIMIENTOS!$B$5:$B$1005="SALDO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857)*MOVIMIENTOS!$J$5:$J$1005))</f>
        <v/>
      </c>
      <c r="J857" t="str">
        <f>IF(AND(MOVIMIENTOS!$A862&lt;&gt;"",COUNTIF(MOVIMIENTOS!$A$5:$A861,MOVIMIENTOS!$A862)=0),COUNT(J$4:J856)+1,"")</f>
        <v/>
      </c>
      <c r="K857">
        <f>MOVIMIENTOS!$A862</f>
        <v>0</v>
      </c>
    </row>
    <row r="858" spans="1:11" ht="15" customHeight="1" x14ac:dyDescent="0.2">
      <c r="A858" t="str">
        <f t="shared" si="26"/>
        <v/>
      </c>
      <c r="B858" t="str">
        <f>IF($A858="","",SUMPRODUCT((MOVIMIENTOS!$B$5:$B$1005="SALDO INICIAL")*(MOVIMIENTOS!$C$5:$C$1005="A")*(MOVIMIENTOS!$D$5:$D$1005="jabas")*(MOVIMIENTOS!$A$5:$A$1005&lt;&gt;"")*(MOVIMIENTOS!$A$5:$A$1005&lt;=$A858)*MOVIMIENTOS!$E$5:$E$1005)+SUMPRODUCT((MOVIMIENTOS!$B$5:$B$1005="PROCESO")*(MOVIMIENTOS!$C$5:$C$1005="A")*(MOVIMIENTOS!$D$5:$D$1005="jabas")*(MOVIMIENTOS!$A$5:$A$1005&lt;&gt;"")*(MOVIMIENTOS!$A$5:$A$1005&lt;=$A858)*MOVIMIENTOS!$E$5:$E$1005)-SUMPRODUCT((MOVIMIENTOS!$B$5:$B$1005="ENVÍO A SUPESA")*(MOVIMIENTOS!$C$5:$C$1005="A")*(MOVIMIENTOS!$D$5:$D$1005="jabas")*(MOVIMIENTOS!$A$5:$A$1005&lt;&gt;"")*(MOVIMIENTOS!$A$5:$A$1005&lt;=$A858)*MOVIMIENTOS!$E$5:$E$1005)+SUMPRODUCT((MOVIMIENTOS!$B$5:$B$1005="DEVOLUCIÓN")*(MOVIMIENTOS!$C$5:$C$1005="A")*(MOVIMIENTOS!$D$5:$D$1005="jabas")*(MOVIMIENTOS!$A$5:$A$1005&lt;&gt;"")*(MOVIMIENTOS!$A$5:$A$1005&lt;=$A858)*MOVIMIENTOS!$E$5:$E$1005)-SUMPRODUCT((MOVIMIENTOS!$B$5:$B$1005="TRASIEGO")*(MOVIMIENTOS!$C$5:$C$1005="A")*(MOVIMIENTOS!$D$5:$D$1005="jabas")*(MOVIMIENTOS!$A$5:$A$1005&lt;&gt;"")*(MOVIMIENTOS!$A$5:$A$1005&lt;=$A858)*MOVIMIENTOS!$E$5:$E$1005)-SUMPRODUCT((MOVIMIENTOS!$B$5:$B$1005="REGALO")*(MOVIMIENTOS!$C$5:$C$1005="A")*(MOVIMIENTOS!$D$5:$D$1005="jabas")*(MOVIMIENTOS!$A$5:$A$1005&lt;&gt;"")*(MOVIMIENTOS!$A$5:$A$1005&lt;=$A858)*MOVIMIENTOS!$E$5:$E$1005)-SUMPRODUCT((MOVIMIENTOS!$B$5:$B$1005="VENTA")*(MOVIMIENTOS!$C$5:$C$1005="A")*(MOVIMIENTOS!$D$5:$D$1005="jabas")*(MOVIMIENTOS!$A$5:$A$1005&lt;&gt;"")*(MOVIMIENTOS!$A$5:$A$1005&lt;=$A858)*MOVIMIENTOS!$E$5:$E$1005)+SUMPRODUCT((MOVIMIENTOS!$B$5:$B$1005="AJUSTE")*(MOVIMIENTOS!$C$5:$C$1005="A")*(MOVIMIENTOS!$D$5:$D$1005="jabas")*(MOVIMIENTOS!$A$5:$A$1005&lt;&gt;"")*(MOVIMIENTOS!$A$5:$A$1005&lt;=$A858)*MOVIMIENTOS!$E$5:$E$1005))</f>
        <v/>
      </c>
      <c r="C858" t="str">
        <f>IF($A858="","",SUMPRODUCT((MOVIMIENTOS!$B$5:$B$1005="SALDO INICIAL")*(MOVIMIENTOS!$C$5:$C$1005="P")*(MOVIMIENTOS!$D$5:$D$1005="jabas")*(MOVIMIENTOS!$A$5:$A$1005&lt;&gt;"")*(MOVIMIENTOS!$A$5:$A$1005&lt;=$A858)*MOVIMIENTOS!$E$5:$E$1005)+SUMPRODUCT((MOVIMIENTOS!$B$5:$B$1005="PROCESO")*(MOVIMIENTOS!$C$5:$C$1005="P")*(MOVIMIENTOS!$D$5:$D$1005="jabas")*(MOVIMIENTOS!$A$5:$A$1005&lt;&gt;"")*(MOVIMIENTOS!$A$5:$A$1005&lt;=$A858)*MOVIMIENTOS!$E$5:$E$1005)-SUMPRODUCT((MOVIMIENTOS!$B$5:$B$1005="ENVÍO A SUPESA")*(MOVIMIENTOS!$C$5:$C$1005="P")*(MOVIMIENTOS!$D$5:$D$1005="jabas")*(MOVIMIENTOS!$A$5:$A$1005&lt;&gt;"")*(MOVIMIENTOS!$A$5:$A$1005&lt;=$A858)*MOVIMIENTOS!$E$5:$E$1005)+SUMPRODUCT((MOVIMIENTOS!$B$5:$B$1005="DEVOLUCIÓN")*(MOVIMIENTOS!$C$5:$C$1005="P")*(MOVIMIENTOS!$D$5:$D$1005="jabas")*(MOVIMIENTOS!$A$5:$A$1005&lt;&gt;"")*(MOVIMIENTOS!$A$5:$A$1005&lt;=$A858)*MOVIMIENTOS!$E$5:$E$1005)-SUMPRODUCT((MOVIMIENTOS!$B$5:$B$1005="TRASIEGO")*(MOVIMIENTOS!$C$5:$C$1005="P")*(MOVIMIENTOS!$D$5:$D$1005="jabas")*(MOVIMIENTOS!$A$5:$A$1005&lt;&gt;"")*(MOVIMIENTOS!$A$5:$A$1005&lt;=$A858)*MOVIMIENTOS!$E$5:$E$1005)-SUMPRODUCT((MOVIMIENTOS!$B$5:$B$1005="REGALO")*(MOVIMIENTOS!$C$5:$C$1005="P")*(MOVIMIENTOS!$D$5:$D$1005="jabas")*(MOVIMIENTOS!$A$5:$A$1005&lt;&gt;"")*(MOVIMIENTOS!$A$5:$A$1005&lt;=$A858)*MOVIMIENTOS!$E$5:$E$1005)-SUMPRODUCT((MOVIMIENTOS!$B$5:$B$1005="VENTA")*(MOVIMIENTOS!$C$5:$C$1005="P")*(MOVIMIENTOS!$D$5:$D$1005="jabas")*(MOVIMIENTOS!$A$5:$A$1005&lt;&gt;"")*(MOVIMIENTOS!$A$5:$A$1005&lt;=$A858)*MOVIMIENTOS!$E$5:$E$1005)+SUMPRODUCT((MOVIMIENTOS!$B$5:$B$1005="AJUSTE")*(MOVIMIENTOS!$C$5:$C$1005="P")*(MOVIMIENTOS!$D$5:$D$1005="jabas")*(MOVIMIENTOS!$A$5:$A$1005&lt;&gt;"")*(MOVIMIENTOS!$A$5:$A$1005&lt;=$A858)*MOVIMIENTOS!$E$5:$E$1005))</f>
        <v/>
      </c>
      <c r="D858" t="str">
        <f>IF($A858="","",SUMPRODUCT((MOVIMIENTOS!$B$5:$B$1005="SALDO INICIAL")*(MOVIMIENTOS!$C$5:$C$1005="C")*(MOVIMIENTOS!$D$5:$D$1005="jabas")*(MOVIMIENTOS!$A$5:$A$1005&lt;&gt;"")*(MOVIMIENTOS!$A$5:$A$1005&lt;=$A858)*MOVIMIENTOS!$E$5:$E$1005)+SUMPRODUCT((MOVIMIENTOS!$B$5:$B$1005="PROCESO")*(MOVIMIENTOS!$C$5:$C$1005="C")*(MOVIMIENTOS!$D$5:$D$1005="jabas")*(MOVIMIENTOS!$A$5:$A$1005&lt;&gt;"")*(MOVIMIENTOS!$A$5:$A$1005&lt;=$A858)*MOVIMIENTOS!$E$5:$E$1005)-SUMPRODUCT((MOVIMIENTOS!$B$5:$B$1005="ENVÍO A SUPESA")*(MOVIMIENTOS!$C$5:$C$1005="C")*(MOVIMIENTOS!$D$5:$D$1005="jabas")*(MOVIMIENTOS!$A$5:$A$1005&lt;&gt;"")*(MOVIMIENTOS!$A$5:$A$1005&lt;=$A858)*MOVIMIENTOS!$E$5:$E$1005)+SUMPRODUCT((MOVIMIENTOS!$B$5:$B$1005="DEVOLUCIÓN")*(MOVIMIENTOS!$C$5:$C$1005="C")*(MOVIMIENTOS!$D$5:$D$1005="jabas")*(MOVIMIENTOS!$A$5:$A$1005&lt;&gt;"")*(MOVIMIENTOS!$A$5:$A$1005&lt;=$A858)*MOVIMIENTOS!$E$5:$E$1005)-SUMPRODUCT((MOVIMIENTOS!$B$5:$B$1005="TRASIEGO")*(MOVIMIENTOS!$C$5:$C$1005="C")*(MOVIMIENTOS!$D$5:$D$1005="jabas")*(MOVIMIENTOS!$A$5:$A$1005&lt;&gt;"")*(MOVIMIENTOS!$A$5:$A$1005&lt;=$A858)*MOVIMIENTOS!$E$5:$E$1005)-SUMPRODUCT((MOVIMIENTOS!$B$5:$B$1005="REGALO")*(MOVIMIENTOS!$C$5:$C$1005="C")*(MOVIMIENTOS!$D$5:$D$1005="jabas")*(MOVIMIENTOS!$A$5:$A$1005&lt;&gt;"")*(MOVIMIENTOS!$A$5:$A$1005&lt;=$A858)*MOVIMIENTOS!$E$5:$E$1005)-SUMPRODUCT((MOVIMIENTOS!$B$5:$B$1005="VENTA")*(MOVIMIENTOS!$C$5:$C$1005="C")*(MOVIMIENTOS!$D$5:$D$1005="jabas")*(MOVIMIENTOS!$A$5:$A$1005&lt;&gt;"")*(MOVIMIENTOS!$A$5:$A$1005&lt;=$A858)*MOVIMIENTOS!$E$5:$E$1005)+SUMPRODUCT((MOVIMIENTOS!$B$5:$B$1005="AJUSTE")*(MOVIMIENTOS!$C$5:$C$1005="C")*(MOVIMIENTOS!$D$5:$D$1005="jabas")*(MOVIMIENTOS!$A$5:$A$1005&lt;&gt;"")*(MOVIMIENTOS!$A$5:$A$1005&lt;=$A858)*MOVIMIENTOS!$E$5:$E$1005))</f>
        <v/>
      </c>
      <c r="E858" t="str">
        <f>IF($A858="","",SUMPRODUCT((MOVIMIENTOS!$B$5:$B$1005="SALDO INICIAL")*(MOVIMIENTOS!$C$5:$C$1005="M")*(MOVIMIENTOS!$D$5:$D$1005="jabas")*(MOVIMIENTOS!$A$5:$A$1005&lt;&gt;"")*(MOVIMIENTOS!$A$5:$A$1005&lt;=$A858)*MOVIMIENTOS!$E$5:$E$1005)+SUMPRODUCT((MOVIMIENTOS!$B$5:$B$1005="PROCESO")*(MOVIMIENTOS!$C$5:$C$1005="M")*(MOVIMIENTOS!$D$5:$D$1005="jabas")*(MOVIMIENTOS!$A$5:$A$1005&lt;&gt;"")*(MOVIMIENTOS!$A$5:$A$1005&lt;=$A858)*MOVIMIENTOS!$E$5:$E$1005)-SUMPRODUCT((MOVIMIENTOS!$B$5:$B$1005="ENVÍO A SUPESA")*(MOVIMIENTOS!$C$5:$C$1005="M")*(MOVIMIENTOS!$D$5:$D$1005="jabas")*(MOVIMIENTOS!$A$5:$A$1005&lt;&gt;"")*(MOVIMIENTOS!$A$5:$A$1005&lt;=$A858)*MOVIMIENTOS!$E$5:$E$1005)+SUMPRODUCT((MOVIMIENTOS!$B$5:$B$1005="DEVOLUCIÓN")*(MOVIMIENTOS!$C$5:$C$1005="M")*(MOVIMIENTOS!$D$5:$D$1005="jabas")*(MOVIMIENTOS!$A$5:$A$1005&lt;&gt;"")*(MOVIMIENTOS!$A$5:$A$1005&lt;=$A858)*MOVIMIENTOS!$E$5:$E$1005)-SUMPRODUCT((MOVIMIENTOS!$B$5:$B$1005="TRASIEGO")*(MOVIMIENTOS!$C$5:$C$1005="M")*(MOVIMIENTOS!$D$5:$D$1005="jabas")*(MOVIMIENTOS!$A$5:$A$1005&lt;&gt;"")*(MOVIMIENTOS!$A$5:$A$1005&lt;=$A858)*MOVIMIENTOS!$E$5:$E$1005)-SUMPRODUCT((MOVIMIENTOS!$B$5:$B$1005="REGALO")*(MOVIMIENTOS!$C$5:$C$1005="M")*(MOVIMIENTOS!$D$5:$D$1005="jabas")*(MOVIMIENTOS!$A$5:$A$1005&lt;&gt;"")*(MOVIMIENTOS!$A$5:$A$1005&lt;=$A858)*MOVIMIENTOS!$E$5:$E$1005)-SUMPRODUCT((MOVIMIENTOS!$B$5:$B$1005="VENTA")*(MOVIMIENTOS!$C$5:$C$1005="M")*(MOVIMIENTOS!$D$5:$D$1005="jabas")*(MOVIMIENTOS!$A$5:$A$1005&lt;&gt;"")*(MOVIMIENTOS!$A$5:$A$1005&lt;=$A858)*MOVIMIENTOS!$E$5:$E$1005)+SUMPRODUCT((MOVIMIENTOS!$B$5:$B$1005="AJUSTE")*(MOVIMIENTOS!$C$5:$C$1005="M")*(MOVIMIENTOS!$D$5:$D$1005="jabas")*(MOVIMIENTOS!$A$5:$A$1005&lt;&gt;"")*(MOVIMIENTOS!$A$5:$A$1005&lt;=$A858)*MOVIMIENTOS!$E$5:$E$1005))</f>
        <v/>
      </c>
      <c r="F858" s="62" t="str">
        <f>IF($A858="","",SUMPRODUCT((MOVIMIENTOS!$B$5:$B$1005="SALDO INICIAL")*(MOVIMIENTOS!$C$5:$C$1005="Chancho")*(MOVIMIENTOS!$D$5:$D$1005="sacos")*(MOVIMIENTOS!$A$5:$A$1005&lt;&gt;"")*(MOVIMIENTOS!$A$5:$A$1005&lt;=$A858)*MOVIMIENTOS!$E$5:$E$1005)+SUMPRODUCT((MOVIMIENTOS!$B$5:$B$1005="PROCESO")*(MOVIMIENTOS!$C$5:$C$1005="Chancho")*(MOVIMIENTOS!$D$5:$D$1005="sacos")*(MOVIMIENTOS!$A$5:$A$1005&lt;&gt;"")*(MOVIMIENTOS!$A$5:$A$1005&lt;=$A858)*MOVIMIENTOS!$E$5:$E$1005)-SUMPRODUCT((MOVIMIENTOS!$B$5:$B$1005="VENTA CHANCHO")*(MOVIMIENTOS!$C$5:$C$1005="Chancho")*(MOVIMIENTOS!$D$5:$D$1005="sacos")*(MOVIMIENTOS!$A$5:$A$1005&lt;&gt;"")*(MOVIMIENTOS!$A$5:$A$1005&lt;=$A858)*MOVIMIENTOS!$E$5:$E$1005)-SUMPRODUCT((MOVIMIENTOS!$B$5:$B$1005="REGALO")*(MOVIMIENTOS!$C$5:$C$1005="Chancho")*(MOVIMIENTOS!$D$5:$D$1005="sacos")*(MOVIMIENTOS!$A$5:$A$1005&lt;&gt;"")*(MOVIMIENTOS!$A$5:$A$1005&lt;=$A858)*MOVIMIENTOS!$E$5:$E$1005)-SUMPRODUCT((MOVIMIENTOS!$B$5:$B$1005="VENTA")*(MOVIMIENTOS!$C$5:$C$1005="Chancho")*(MOVIMIENTOS!$D$5:$D$1005="sacos")*(MOVIMIENTOS!$A$5:$A$1005&lt;&gt;"")*(MOVIMIENTOS!$A$5:$A$1005&lt;=$A858)*MOVIMIENTOS!$E$5:$E$1005)+SUMPRODUCT((MOVIMIENTOS!$B$5:$B$1005="AJUSTE")*(MOVIMIENTOS!$C$5:$C$1005="Chancho")*(MOVIMIENTOS!$D$5:$D$1005="sacos")*(MOVIMIENTOS!$A$5:$A$1005&lt;&gt;"")*(MOVIMIENTOS!$A$5:$A$1005&lt;=$A858)*MOVIMIENTOS!$E$5:$E$1005))</f>
        <v/>
      </c>
      <c r="G858" s="62" t="str">
        <f t="shared" si="27"/>
        <v/>
      </c>
      <c r="H858" t="str">
        <f>IF($A858="","",SUMPRODUCT((((MOVIMIENTOS!$B$5:$B$1005="SALDO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858)*MOVIMIENTOS!$J$5:$J$1005))</f>
        <v/>
      </c>
      <c r="J858" t="str">
        <f>IF(AND(MOVIMIENTOS!$A863&lt;&gt;"",COUNTIF(MOVIMIENTOS!$A$5:$A862,MOVIMIENTOS!$A863)=0),COUNT(J$4:J857)+1,"")</f>
        <v/>
      </c>
      <c r="K858">
        <f>MOVIMIENTOS!$A863</f>
        <v>0</v>
      </c>
    </row>
    <row r="859" spans="1:11" ht="15" customHeight="1" x14ac:dyDescent="0.2">
      <c r="A859" t="str">
        <f t="shared" si="26"/>
        <v/>
      </c>
      <c r="B859" t="str">
        <f>IF($A859="","",SUMPRODUCT((MOVIMIENTOS!$B$5:$B$1005="SALDO INICIAL")*(MOVIMIENTOS!$C$5:$C$1005="A")*(MOVIMIENTOS!$D$5:$D$1005="jabas")*(MOVIMIENTOS!$A$5:$A$1005&lt;&gt;"")*(MOVIMIENTOS!$A$5:$A$1005&lt;=$A859)*MOVIMIENTOS!$E$5:$E$1005)+SUMPRODUCT((MOVIMIENTOS!$B$5:$B$1005="PROCESO")*(MOVIMIENTOS!$C$5:$C$1005="A")*(MOVIMIENTOS!$D$5:$D$1005="jabas")*(MOVIMIENTOS!$A$5:$A$1005&lt;&gt;"")*(MOVIMIENTOS!$A$5:$A$1005&lt;=$A859)*MOVIMIENTOS!$E$5:$E$1005)-SUMPRODUCT((MOVIMIENTOS!$B$5:$B$1005="ENVÍO A SUPESA")*(MOVIMIENTOS!$C$5:$C$1005="A")*(MOVIMIENTOS!$D$5:$D$1005="jabas")*(MOVIMIENTOS!$A$5:$A$1005&lt;&gt;"")*(MOVIMIENTOS!$A$5:$A$1005&lt;=$A859)*MOVIMIENTOS!$E$5:$E$1005)+SUMPRODUCT((MOVIMIENTOS!$B$5:$B$1005="DEVOLUCIÓN")*(MOVIMIENTOS!$C$5:$C$1005="A")*(MOVIMIENTOS!$D$5:$D$1005="jabas")*(MOVIMIENTOS!$A$5:$A$1005&lt;&gt;"")*(MOVIMIENTOS!$A$5:$A$1005&lt;=$A859)*MOVIMIENTOS!$E$5:$E$1005)-SUMPRODUCT((MOVIMIENTOS!$B$5:$B$1005="TRASIEGO")*(MOVIMIENTOS!$C$5:$C$1005="A")*(MOVIMIENTOS!$D$5:$D$1005="jabas")*(MOVIMIENTOS!$A$5:$A$1005&lt;&gt;"")*(MOVIMIENTOS!$A$5:$A$1005&lt;=$A859)*MOVIMIENTOS!$E$5:$E$1005)-SUMPRODUCT((MOVIMIENTOS!$B$5:$B$1005="REGALO")*(MOVIMIENTOS!$C$5:$C$1005="A")*(MOVIMIENTOS!$D$5:$D$1005="jabas")*(MOVIMIENTOS!$A$5:$A$1005&lt;&gt;"")*(MOVIMIENTOS!$A$5:$A$1005&lt;=$A859)*MOVIMIENTOS!$E$5:$E$1005)-SUMPRODUCT((MOVIMIENTOS!$B$5:$B$1005="VENTA")*(MOVIMIENTOS!$C$5:$C$1005="A")*(MOVIMIENTOS!$D$5:$D$1005="jabas")*(MOVIMIENTOS!$A$5:$A$1005&lt;&gt;"")*(MOVIMIENTOS!$A$5:$A$1005&lt;=$A859)*MOVIMIENTOS!$E$5:$E$1005)+SUMPRODUCT((MOVIMIENTOS!$B$5:$B$1005="AJUSTE")*(MOVIMIENTOS!$C$5:$C$1005="A")*(MOVIMIENTOS!$D$5:$D$1005="jabas")*(MOVIMIENTOS!$A$5:$A$1005&lt;&gt;"")*(MOVIMIENTOS!$A$5:$A$1005&lt;=$A859)*MOVIMIENTOS!$E$5:$E$1005))</f>
        <v/>
      </c>
      <c r="C859" t="str">
        <f>IF($A859="","",SUMPRODUCT((MOVIMIENTOS!$B$5:$B$1005="SALDO INICIAL")*(MOVIMIENTOS!$C$5:$C$1005="P")*(MOVIMIENTOS!$D$5:$D$1005="jabas")*(MOVIMIENTOS!$A$5:$A$1005&lt;&gt;"")*(MOVIMIENTOS!$A$5:$A$1005&lt;=$A859)*MOVIMIENTOS!$E$5:$E$1005)+SUMPRODUCT((MOVIMIENTOS!$B$5:$B$1005="PROCESO")*(MOVIMIENTOS!$C$5:$C$1005="P")*(MOVIMIENTOS!$D$5:$D$1005="jabas")*(MOVIMIENTOS!$A$5:$A$1005&lt;&gt;"")*(MOVIMIENTOS!$A$5:$A$1005&lt;=$A859)*MOVIMIENTOS!$E$5:$E$1005)-SUMPRODUCT((MOVIMIENTOS!$B$5:$B$1005="ENVÍO A SUPESA")*(MOVIMIENTOS!$C$5:$C$1005="P")*(MOVIMIENTOS!$D$5:$D$1005="jabas")*(MOVIMIENTOS!$A$5:$A$1005&lt;&gt;"")*(MOVIMIENTOS!$A$5:$A$1005&lt;=$A859)*MOVIMIENTOS!$E$5:$E$1005)+SUMPRODUCT((MOVIMIENTOS!$B$5:$B$1005="DEVOLUCIÓN")*(MOVIMIENTOS!$C$5:$C$1005="P")*(MOVIMIENTOS!$D$5:$D$1005="jabas")*(MOVIMIENTOS!$A$5:$A$1005&lt;&gt;"")*(MOVIMIENTOS!$A$5:$A$1005&lt;=$A859)*MOVIMIENTOS!$E$5:$E$1005)-SUMPRODUCT((MOVIMIENTOS!$B$5:$B$1005="TRASIEGO")*(MOVIMIENTOS!$C$5:$C$1005="P")*(MOVIMIENTOS!$D$5:$D$1005="jabas")*(MOVIMIENTOS!$A$5:$A$1005&lt;&gt;"")*(MOVIMIENTOS!$A$5:$A$1005&lt;=$A859)*MOVIMIENTOS!$E$5:$E$1005)-SUMPRODUCT((MOVIMIENTOS!$B$5:$B$1005="REGALO")*(MOVIMIENTOS!$C$5:$C$1005="P")*(MOVIMIENTOS!$D$5:$D$1005="jabas")*(MOVIMIENTOS!$A$5:$A$1005&lt;&gt;"")*(MOVIMIENTOS!$A$5:$A$1005&lt;=$A859)*MOVIMIENTOS!$E$5:$E$1005)-SUMPRODUCT((MOVIMIENTOS!$B$5:$B$1005="VENTA")*(MOVIMIENTOS!$C$5:$C$1005="P")*(MOVIMIENTOS!$D$5:$D$1005="jabas")*(MOVIMIENTOS!$A$5:$A$1005&lt;&gt;"")*(MOVIMIENTOS!$A$5:$A$1005&lt;=$A859)*MOVIMIENTOS!$E$5:$E$1005)+SUMPRODUCT((MOVIMIENTOS!$B$5:$B$1005="AJUSTE")*(MOVIMIENTOS!$C$5:$C$1005="P")*(MOVIMIENTOS!$D$5:$D$1005="jabas")*(MOVIMIENTOS!$A$5:$A$1005&lt;&gt;"")*(MOVIMIENTOS!$A$5:$A$1005&lt;=$A859)*MOVIMIENTOS!$E$5:$E$1005))</f>
        <v/>
      </c>
      <c r="D859" t="str">
        <f>IF($A859="","",SUMPRODUCT((MOVIMIENTOS!$B$5:$B$1005="SALDO INICIAL")*(MOVIMIENTOS!$C$5:$C$1005="C")*(MOVIMIENTOS!$D$5:$D$1005="jabas")*(MOVIMIENTOS!$A$5:$A$1005&lt;&gt;"")*(MOVIMIENTOS!$A$5:$A$1005&lt;=$A859)*MOVIMIENTOS!$E$5:$E$1005)+SUMPRODUCT((MOVIMIENTOS!$B$5:$B$1005="PROCESO")*(MOVIMIENTOS!$C$5:$C$1005="C")*(MOVIMIENTOS!$D$5:$D$1005="jabas")*(MOVIMIENTOS!$A$5:$A$1005&lt;&gt;"")*(MOVIMIENTOS!$A$5:$A$1005&lt;=$A859)*MOVIMIENTOS!$E$5:$E$1005)-SUMPRODUCT((MOVIMIENTOS!$B$5:$B$1005="ENVÍO A SUPESA")*(MOVIMIENTOS!$C$5:$C$1005="C")*(MOVIMIENTOS!$D$5:$D$1005="jabas")*(MOVIMIENTOS!$A$5:$A$1005&lt;&gt;"")*(MOVIMIENTOS!$A$5:$A$1005&lt;=$A859)*MOVIMIENTOS!$E$5:$E$1005)+SUMPRODUCT((MOVIMIENTOS!$B$5:$B$1005="DEVOLUCIÓN")*(MOVIMIENTOS!$C$5:$C$1005="C")*(MOVIMIENTOS!$D$5:$D$1005="jabas")*(MOVIMIENTOS!$A$5:$A$1005&lt;&gt;"")*(MOVIMIENTOS!$A$5:$A$1005&lt;=$A859)*MOVIMIENTOS!$E$5:$E$1005)-SUMPRODUCT((MOVIMIENTOS!$B$5:$B$1005="TRASIEGO")*(MOVIMIENTOS!$C$5:$C$1005="C")*(MOVIMIENTOS!$D$5:$D$1005="jabas")*(MOVIMIENTOS!$A$5:$A$1005&lt;&gt;"")*(MOVIMIENTOS!$A$5:$A$1005&lt;=$A859)*MOVIMIENTOS!$E$5:$E$1005)-SUMPRODUCT((MOVIMIENTOS!$B$5:$B$1005="REGALO")*(MOVIMIENTOS!$C$5:$C$1005="C")*(MOVIMIENTOS!$D$5:$D$1005="jabas")*(MOVIMIENTOS!$A$5:$A$1005&lt;&gt;"")*(MOVIMIENTOS!$A$5:$A$1005&lt;=$A859)*MOVIMIENTOS!$E$5:$E$1005)-SUMPRODUCT((MOVIMIENTOS!$B$5:$B$1005="VENTA")*(MOVIMIENTOS!$C$5:$C$1005="C")*(MOVIMIENTOS!$D$5:$D$1005="jabas")*(MOVIMIENTOS!$A$5:$A$1005&lt;&gt;"")*(MOVIMIENTOS!$A$5:$A$1005&lt;=$A859)*MOVIMIENTOS!$E$5:$E$1005)+SUMPRODUCT((MOVIMIENTOS!$B$5:$B$1005="AJUSTE")*(MOVIMIENTOS!$C$5:$C$1005="C")*(MOVIMIENTOS!$D$5:$D$1005="jabas")*(MOVIMIENTOS!$A$5:$A$1005&lt;&gt;"")*(MOVIMIENTOS!$A$5:$A$1005&lt;=$A859)*MOVIMIENTOS!$E$5:$E$1005))</f>
        <v/>
      </c>
      <c r="E859" t="str">
        <f>IF($A859="","",SUMPRODUCT((MOVIMIENTOS!$B$5:$B$1005="SALDO INICIAL")*(MOVIMIENTOS!$C$5:$C$1005="M")*(MOVIMIENTOS!$D$5:$D$1005="jabas")*(MOVIMIENTOS!$A$5:$A$1005&lt;&gt;"")*(MOVIMIENTOS!$A$5:$A$1005&lt;=$A859)*MOVIMIENTOS!$E$5:$E$1005)+SUMPRODUCT((MOVIMIENTOS!$B$5:$B$1005="PROCESO")*(MOVIMIENTOS!$C$5:$C$1005="M")*(MOVIMIENTOS!$D$5:$D$1005="jabas")*(MOVIMIENTOS!$A$5:$A$1005&lt;&gt;"")*(MOVIMIENTOS!$A$5:$A$1005&lt;=$A859)*MOVIMIENTOS!$E$5:$E$1005)-SUMPRODUCT((MOVIMIENTOS!$B$5:$B$1005="ENVÍO A SUPESA")*(MOVIMIENTOS!$C$5:$C$1005="M")*(MOVIMIENTOS!$D$5:$D$1005="jabas")*(MOVIMIENTOS!$A$5:$A$1005&lt;&gt;"")*(MOVIMIENTOS!$A$5:$A$1005&lt;=$A859)*MOVIMIENTOS!$E$5:$E$1005)+SUMPRODUCT((MOVIMIENTOS!$B$5:$B$1005="DEVOLUCIÓN")*(MOVIMIENTOS!$C$5:$C$1005="M")*(MOVIMIENTOS!$D$5:$D$1005="jabas")*(MOVIMIENTOS!$A$5:$A$1005&lt;&gt;"")*(MOVIMIENTOS!$A$5:$A$1005&lt;=$A859)*MOVIMIENTOS!$E$5:$E$1005)-SUMPRODUCT((MOVIMIENTOS!$B$5:$B$1005="TRASIEGO")*(MOVIMIENTOS!$C$5:$C$1005="M")*(MOVIMIENTOS!$D$5:$D$1005="jabas")*(MOVIMIENTOS!$A$5:$A$1005&lt;&gt;"")*(MOVIMIENTOS!$A$5:$A$1005&lt;=$A859)*MOVIMIENTOS!$E$5:$E$1005)-SUMPRODUCT((MOVIMIENTOS!$B$5:$B$1005="REGALO")*(MOVIMIENTOS!$C$5:$C$1005="M")*(MOVIMIENTOS!$D$5:$D$1005="jabas")*(MOVIMIENTOS!$A$5:$A$1005&lt;&gt;"")*(MOVIMIENTOS!$A$5:$A$1005&lt;=$A859)*MOVIMIENTOS!$E$5:$E$1005)-SUMPRODUCT((MOVIMIENTOS!$B$5:$B$1005="VENTA")*(MOVIMIENTOS!$C$5:$C$1005="M")*(MOVIMIENTOS!$D$5:$D$1005="jabas")*(MOVIMIENTOS!$A$5:$A$1005&lt;&gt;"")*(MOVIMIENTOS!$A$5:$A$1005&lt;=$A859)*MOVIMIENTOS!$E$5:$E$1005)+SUMPRODUCT((MOVIMIENTOS!$B$5:$B$1005="AJUSTE")*(MOVIMIENTOS!$C$5:$C$1005="M")*(MOVIMIENTOS!$D$5:$D$1005="jabas")*(MOVIMIENTOS!$A$5:$A$1005&lt;&gt;"")*(MOVIMIENTOS!$A$5:$A$1005&lt;=$A859)*MOVIMIENTOS!$E$5:$E$1005))</f>
        <v/>
      </c>
      <c r="F859" s="62" t="str">
        <f>IF($A859="","",SUMPRODUCT((MOVIMIENTOS!$B$5:$B$1005="SALDO INICIAL")*(MOVIMIENTOS!$C$5:$C$1005="Chancho")*(MOVIMIENTOS!$D$5:$D$1005="sacos")*(MOVIMIENTOS!$A$5:$A$1005&lt;&gt;"")*(MOVIMIENTOS!$A$5:$A$1005&lt;=$A859)*MOVIMIENTOS!$E$5:$E$1005)+SUMPRODUCT((MOVIMIENTOS!$B$5:$B$1005="PROCESO")*(MOVIMIENTOS!$C$5:$C$1005="Chancho")*(MOVIMIENTOS!$D$5:$D$1005="sacos")*(MOVIMIENTOS!$A$5:$A$1005&lt;&gt;"")*(MOVIMIENTOS!$A$5:$A$1005&lt;=$A859)*MOVIMIENTOS!$E$5:$E$1005)-SUMPRODUCT((MOVIMIENTOS!$B$5:$B$1005="VENTA CHANCHO")*(MOVIMIENTOS!$C$5:$C$1005="Chancho")*(MOVIMIENTOS!$D$5:$D$1005="sacos")*(MOVIMIENTOS!$A$5:$A$1005&lt;&gt;"")*(MOVIMIENTOS!$A$5:$A$1005&lt;=$A859)*MOVIMIENTOS!$E$5:$E$1005)-SUMPRODUCT((MOVIMIENTOS!$B$5:$B$1005="REGALO")*(MOVIMIENTOS!$C$5:$C$1005="Chancho")*(MOVIMIENTOS!$D$5:$D$1005="sacos")*(MOVIMIENTOS!$A$5:$A$1005&lt;&gt;"")*(MOVIMIENTOS!$A$5:$A$1005&lt;=$A859)*MOVIMIENTOS!$E$5:$E$1005)-SUMPRODUCT((MOVIMIENTOS!$B$5:$B$1005="VENTA")*(MOVIMIENTOS!$C$5:$C$1005="Chancho")*(MOVIMIENTOS!$D$5:$D$1005="sacos")*(MOVIMIENTOS!$A$5:$A$1005&lt;&gt;"")*(MOVIMIENTOS!$A$5:$A$1005&lt;=$A859)*MOVIMIENTOS!$E$5:$E$1005)+SUMPRODUCT((MOVIMIENTOS!$B$5:$B$1005="AJUSTE")*(MOVIMIENTOS!$C$5:$C$1005="Chancho")*(MOVIMIENTOS!$D$5:$D$1005="sacos")*(MOVIMIENTOS!$A$5:$A$1005&lt;&gt;"")*(MOVIMIENTOS!$A$5:$A$1005&lt;=$A859)*MOVIMIENTOS!$E$5:$E$1005))</f>
        <v/>
      </c>
      <c r="G859" s="62" t="str">
        <f t="shared" si="27"/>
        <v/>
      </c>
      <c r="H859" t="str">
        <f>IF($A859="","",SUMPRODUCT((((MOVIMIENTOS!$B$5:$B$1005="SALDO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859)*MOVIMIENTOS!$J$5:$J$1005))</f>
        <v/>
      </c>
      <c r="J859" t="str">
        <f>IF(AND(MOVIMIENTOS!$A864&lt;&gt;"",COUNTIF(MOVIMIENTOS!$A$5:$A863,MOVIMIENTOS!$A864)=0),COUNT(J$4:J858)+1,"")</f>
        <v/>
      </c>
      <c r="K859">
        <f>MOVIMIENTOS!$A864</f>
        <v>0</v>
      </c>
    </row>
    <row r="860" spans="1:11" ht="15" customHeight="1" x14ac:dyDescent="0.2">
      <c r="A860" t="str">
        <f t="shared" si="26"/>
        <v/>
      </c>
      <c r="B860" t="str">
        <f>IF($A860="","",SUMPRODUCT((MOVIMIENTOS!$B$5:$B$1005="SALDO INICIAL")*(MOVIMIENTOS!$C$5:$C$1005="A")*(MOVIMIENTOS!$D$5:$D$1005="jabas")*(MOVIMIENTOS!$A$5:$A$1005&lt;&gt;"")*(MOVIMIENTOS!$A$5:$A$1005&lt;=$A860)*MOVIMIENTOS!$E$5:$E$1005)+SUMPRODUCT((MOVIMIENTOS!$B$5:$B$1005="PROCESO")*(MOVIMIENTOS!$C$5:$C$1005="A")*(MOVIMIENTOS!$D$5:$D$1005="jabas")*(MOVIMIENTOS!$A$5:$A$1005&lt;&gt;"")*(MOVIMIENTOS!$A$5:$A$1005&lt;=$A860)*MOVIMIENTOS!$E$5:$E$1005)-SUMPRODUCT((MOVIMIENTOS!$B$5:$B$1005="ENVÍO A SUPESA")*(MOVIMIENTOS!$C$5:$C$1005="A")*(MOVIMIENTOS!$D$5:$D$1005="jabas")*(MOVIMIENTOS!$A$5:$A$1005&lt;&gt;"")*(MOVIMIENTOS!$A$5:$A$1005&lt;=$A860)*MOVIMIENTOS!$E$5:$E$1005)+SUMPRODUCT((MOVIMIENTOS!$B$5:$B$1005="DEVOLUCIÓN")*(MOVIMIENTOS!$C$5:$C$1005="A")*(MOVIMIENTOS!$D$5:$D$1005="jabas")*(MOVIMIENTOS!$A$5:$A$1005&lt;&gt;"")*(MOVIMIENTOS!$A$5:$A$1005&lt;=$A860)*MOVIMIENTOS!$E$5:$E$1005)-SUMPRODUCT((MOVIMIENTOS!$B$5:$B$1005="TRASIEGO")*(MOVIMIENTOS!$C$5:$C$1005="A")*(MOVIMIENTOS!$D$5:$D$1005="jabas")*(MOVIMIENTOS!$A$5:$A$1005&lt;&gt;"")*(MOVIMIENTOS!$A$5:$A$1005&lt;=$A860)*MOVIMIENTOS!$E$5:$E$1005)-SUMPRODUCT((MOVIMIENTOS!$B$5:$B$1005="REGALO")*(MOVIMIENTOS!$C$5:$C$1005="A")*(MOVIMIENTOS!$D$5:$D$1005="jabas")*(MOVIMIENTOS!$A$5:$A$1005&lt;&gt;"")*(MOVIMIENTOS!$A$5:$A$1005&lt;=$A860)*MOVIMIENTOS!$E$5:$E$1005)-SUMPRODUCT((MOVIMIENTOS!$B$5:$B$1005="VENTA")*(MOVIMIENTOS!$C$5:$C$1005="A")*(MOVIMIENTOS!$D$5:$D$1005="jabas")*(MOVIMIENTOS!$A$5:$A$1005&lt;&gt;"")*(MOVIMIENTOS!$A$5:$A$1005&lt;=$A860)*MOVIMIENTOS!$E$5:$E$1005)+SUMPRODUCT((MOVIMIENTOS!$B$5:$B$1005="AJUSTE")*(MOVIMIENTOS!$C$5:$C$1005="A")*(MOVIMIENTOS!$D$5:$D$1005="jabas")*(MOVIMIENTOS!$A$5:$A$1005&lt;&gt;"")*(MOVIMIENTOS!$A$5:$A$1005&lt;=$A860)*MOVIMIENTOS!$E$5:$E$1005))</f>
        <v/>
      </c>
      <c r="C860" t="str">
        <f>IF($A860="","",SUMPRODUCT((MOVIMIENTOS!$B$5:$B$1005="SALDO INICIAL")*(MOVIMIENTOS!$C$5:$C$1005="P")*(MOVIMIENTOS!$D$5:$D$1005="jabas")*(MOVIMIENTOS!$A$5:$A$1005&lt;&gt;"")*(MOVIMIENTOS!$A$5:$A$1005&lt;=$A860)*MOVIMIENTOS!$E$5:$E$1005)+SUMPRODUCT((MOVIMIENTOS!$B$5:$B$1005="PROCESO")*(MOVIMIENTOS!$C$5:$C$1005="P")*(MOVIMIENTOS!$D$5:$D$1005="jabas")*(MOVIMIENTOS!$A$5:$A$1005&lt;&gt;"")*(MOVIMIENTOS!$A$5:$A$1005&lt;=$A860)*MOVIMIENTOS!$E$5:$E$1005)-SUMPRODUCT((MOVIMIENTOS!$B$5:$B$1005="ENVÍO A SUPESA")*(MOVIMIENTOS!$C$5:$C$1005="P")*(MOVIMIENTOS!$D$5:$D$1005="jabas")*(MOVIMIENTOS!$A$5:$A$1005&lt;&gt;"")*(MOVIMIENTOS!$A$5:$A$1005&lt;=$A860)*MOVIMIENTOS!$E$5:$E$1005)+SUMPRODUCT((MOVIMIENTOS!$B$5:$B$1005="DEVOLUCIÓN")*(MOVIMIENTOS!$C$5:$C$1005="P")*(MOVIMIENTOS!$D$5:$D$1005="jabas")*(MOVIMIENTOS!$A$5:$A$1005&lt;&gt;"")*(MOVIMIENTOS!$A$5:$A$1005&lt;=$A860)*MOVIMIENTOS!$E$5:$E$1005)-SUMPRODUCT((MOVIMIENTOS!$B$5:$B$1005="TRASIEGO")*(MOVIMIENTOS!$C$5:$C$1005="P")*(MOVIMIENTOS!$D$5:$D$1005="jabas")*(MOVIMIENTOS!$A$5:$A$1005&lt;&gt;"")*(MOVIMIENTOS!$A$5:$A$1005&lt;=$A860)*MOVIMIENTOS!$E$5:$E$1005)-SUMPRODUCT((MOVIMIENTOS!$B$5:$B$1005="REGALO")*(MOVIMIENTOS!$C$5:$C$1005="P")*(MOVIMIENTOS!$D$5:$D$1005="jabas")*(MOVIMIENTOS!$A$5:$A$1005&lt;&gt;"")*(MOVIMIENTOS!$A$5:$A$1005&lt;=$A860)*MOVIMIENTOS!$E$5:$E$1005)-SUMPRODUCT((MOVIMIENTOS!$B$5:$B$1005="VENTA")*(MOVIMIENTOS!$C$5:$C$1005="P")*(MOVIMIENTOS!$D$5:$D$1005="jabas")*(MOVIMIENTOS!$A$5:$A$1005&lt;&gt;"")*(MOVIMIENTOS!$A$5:$A$1005&lt;=$A860)*MOVIMIENTOS!$E$5:$E$1005)+SUMPRODUCT((MOVIMIENTOS!$B$5:$B$1005="AJUSTE")*(MOVIMIENTOS!$C$5:$C$1005="P")*(MOVIMIENTOS!$D$5:$D$1005="jabas")*(MOVIMIENTOS!$A$5:$A$1005&lt;&gt;"")*(MOVIMIENTOS!$A$5:$A$1005&lt;=$A860)*MOVIMIENTOS!$E$5:$E$1005))</f>
        <v/>
      </c>
      <c r="D860" t="str">
        <f>IF($A860="","",SUMPRODUCT((MOVIMIENTOS!$B$5:$B$1005="SALDO INICIAL")*(MOVIMIENTOS!$C$5:$C$1005="C")*(MOVIMIENTOS!$D$5:$D$1005="jabas")*(MOVIMIENTOS!$A$5:$A$1005&lt;&gt;"")*(MOVIMIENTOS!$A$5:$A$1005&lt;=$A860)*MOVIMIENTOS!$E$5:$E$1005)+SUMPRODUCT((MOVIMIENTOS!$B$5:$B$1005="PROCESO")*(MOVIMIENTOS!$C$5:$C$1005="C")*(MOVIMIENTOS!$D$5:$D$1005="jabas")*(MOVIMIENTOS!$A$5:$A$1005&lt;&gt;"")*(MOVIMIENTOS!$A$5:$A$1005&lt;=$A860)*MOVIMIENTOS!$E$5:$E$1005)-SUMPRODUCT((MOVIMIENTOS!$B$5:$B$1005="ENVÍO A SUPESA")*(MOVIMIENTOS!$C$5:$C$1005="C")*(MOVIMIENTOS!$D$5:$D$1005="jabas")*(MOVIMIENTOS!$A$5:$A$1005&lt;&gt;"")*(MOVIMIENTOS!$A$5:$A$1005&lt;=$A860)*MOVIMIENTOS!$E$5:$E$1005)+SUMPRODUCT((MOVIMIENTOS!$B$5:$B$1005="DEVOLUCIÓN")*(MOVIMIENTOS!$C$5:$C$1005="C")*(MOVIMIENTOS!$D$5:$D$1005="jabas")*(MOVIMIENTOS!$A$5:$A$1005&lt;&gt;"")*(MOVIMIENTOS!$A$5:$A$1005&lt;=$A860)*MOVIMIENTOS!$E$5:$E$1005)-SUMPRODUCT((MOVIMIENTOS!$B$5:$B$1005="TRASIEGO")*(MOVIMIENTOS!$C$5:$C$1005="C")*(MOVIMIENTOS!$D$5:$D$1005="jabas")*(MOVIMIENTOS!$A$5:$A$1005&lt;&gt;"")*(MOVIMIENTOS!$A$5:$A$1005&lt;=$A860)*MOVIMIENTOS!$E$5:$E$1005)-SUMPRODUCT((MOVIMIENTOS!$B$5:$B$1005="REGALO")*(MOVIMIENTOS!$C$5:$C$1005="C")*(MOVIMIENTOS!$D$5:$D$1005="jabas")*(MOVIMIENTOS!$A$5:$A$1005&lt;&gt;"")*(MOVIMIENTOS!$A$5:$A$1005&lt;=$A860)*MOVIMIENTOS!$E$5:$E$1005)-SUMPRODUCT((MOVIMIENTOS!$B$5:$B$1005="VENTA")*(MOVIMIENTOS!$C$5:$C$1005="C")*(MOVIMIENTOS!$D$5:$D$1005="jabas")*(MOVIMIENTOS!$A$5:$A$1005&lt;&gt;"")*(MOVIMIENTOS!$A$5:$A$1005&lt;=$A860)*MOVIMIENTOS!$E$5:$E$1005)+SUMPRODUCT((MOVIMIENTOS!$B$5:$B$1005="AJUSTE")*(MOVIMIENTOS!$C$5:$C$1005="C")*(MOVIMIENTOS!$D$5:$D$1005="jabas")*(MOVIMIENTOS!$A$5:$A$1005&lt;&gt;"")*(MOVIMIENTOS!$A$5:$A$1005&lt;=$A860)*MOVIMIENTOS!$E$5:$E$1005))</f>
        <v/>
      </c>
      <c r="E860" t="str">
        <f>IF($A860="","",SUMPRODUCT((MOVIMIENTOS!$B$5:$B$1005="SALDO INICIAL")*(MOVIMIENTOS!$C$5:$C$1005="M")*(MOVIMIENTOS!$D$5:$D$1005="jabas")*(MOVIMIENTOS!$A$5:$A$1005&lt;&gt;"")*(MOVIMIENTOS!$A$5:$A$1005&lt;=$A860)*MOVIMIENTOS!$E$5:$E$1005)+SUMPRODUCT((MOVIMIENTOS!$B$5:$B$1005="PROCESO")*(MOVIMIENTOS!$C$5:$C$1005="M")*(MOVIMIENTOS!$D$5:$D$1005="jabas")*(MOVIMIENTOS!$A$5:$A$1005&lt;&gt;"")*(MOVIMIENTOS!$A$5:$A$1005&lt;=$A860)*MOVIMIENTOS!$E$5:$E$1005)-SUMPRODUCT((MOVIMIENTOS!$B$5:$B$1005="ENVÍO A SUPESA")*(MOVIMIENTOS!$C$5:$C$1005="M")*(MOVIMIENTOS!$D$5:$D$1005="jabas")*(MOVIMIENTOS!$A$5:$A$1005&lt;&gt;"")*(MOVIMIENTOS!$A$5:$A$1005&lt;=$A860)*MOVIMIENTOS!$E$5:$E$1005)+SUMPRODUCT((MOVIMIENTOS!$B$5:$B$1005="DEVOLUCIÓN")*(MOVIMIENTOS!$C$5:$C$1005="M")*(MOVIMIENTOS!$D$5:$D$1005="jabas")*(MOVIMIENTOS!$A$5:$A$1005&lt;&gt;"")*(MOVIMIENTOS!$A$5:$A$1005&lt;=$A860)*MOVIMIENTOS!$E$5:$E$1005)-SUMPRODUCT((MOVIMIENTOS!$B$5:$B$1005="TRASIEGO")*(MOVIMIENTOS!$C$5:$C$1005="M")*(MOVIMIENTOS!$D$5:$D$1005="jabas")*(MOVIMIENTOS!$A$5:$A$1005&lt;&gt;"")*(MOVIMIENTOS!$A$5:$A$1005&lt;=$A860)*MOVIMIENTOS!$E$5:$E$1005)-SUMPRODUCT((MOVIMIENTOS!$B$5:$B$1005="REGALO")*(MOVIMIENTOS!$C$5:$C$1005="M")*(MOVIMIENTOS!$D$5:$D$1005="jabas")*(MOVIMIENTOS!$A$5:$A$1005&lt;&gt;"")*(MOVIMIENTOS!$A$5:$A$1005&lt;=$A860)*MOVIMIENTOS!$E$5:$E$1005)-SUMPRODUCT((MOVIMIENTOS!$B$5:$B$1005="VENTA")*(MOVIMIENTOS!$C$5:$C$1005="M")*(MOVIMIENTOS!$D$5:$D$1005="jabas")*(MOVIMIENTOS!$A$5:$A$1005&lt;&gt;"")*(MOVIMIENTOS!$A$5:$A$1005&lt;=$A860)*MOVIMIENTOS!$E$5:$E$1005)+SUMPRODUCT((MOVIMIENTOS!$B$5:$B$1005="AJUSTE")*(MOVIMIENTOS!$C$5:$C$1005="M")*(MOVIMIENTOS!$D$5:$D$1005="jabas")*(MOVIMIENTOS!$A$5:$A$1005&lt;&gt;"")*(MOVIMIENTOS!$A$5:$A$1005&lt;=$A860)*MOVIMIENTOS!$E$5:$E$1005))</f>
        <v/>
      </c>
      <c r="F860" s="62" t="str">
        <f>IF($A860="","",SUMPRODUCT((MOVIMIENTOS!$B$5:$B$1005="SALDO INICIAL")*(MOVIMIENTOS!$C$5:$C$1005="Chancho")*(MOVIMIENTOS!$D$5:$D$1005="sacos")*(MOVIMIENTOS!$A$5:$A$1005&lt;&gt;"")*(MOVIMIENTOS!$A$5:$A$1005&lt;=$A860)*MOVIMIENTOS!$E$5:$E$1005)+SUMPRODUCT((MOVIMIENTOS!$B$5:$B$1005="PROCESO")*(MOVIMIENTOS!$C$5:$C$1005="Chancho")*(MOVIMIENTOS!$D$5:$D$1005="sacos")*(MOVIMIENTOS!$A$5:$A$1005&lt;&gt;"")*(MOVIMIENTOS!$A$5:$A$1005&lt;=$A860)*MOVIMIENTOS!$E$5:$E$1005)-SUMPRODUCT((MOVIMIENTOS!$B$5:$B$1005="VENTA CHANCHO")*(MOVIMIENTOS!$C$5:$C$1005="Chancho")*(MOVIMIENTOS!$D$5:$D$1005="sacos")*(MOVIMIENTOS!$A$5:$A$1005&lt;&gt;"")*(MOVIMIENTOS!$A$5:$A$1005&lt;=$A860)*MOVIMIENTOS!$E$5:$E$1005)-SUMPRODUCT((MOVIMIENTOS!$B$5:$B$1005="REGALO")*(MOVIMIENTOS!$C$5:$C$1005="Chancho")*(MOVIMIENTOS!$D$5:$D$1005="sacos")*(MOVIMIENTOS!$A$5:$A$1005&lt;&gt;"")*(MOVIMIENTOS!$A$5:$A$1005&lt;=$A860)*MOVIMIENTOS!$E$5:$E$1005)-SUMPRODUCT((MOVIMIENTOS!$B$5:$B$1005="VENTA")*(MOVIMIENTOS!$C$5:$C$1005="Chancho")*(MOVIMIENTOS!$D$5:$D$1005="sacos")*(MOVIMIENTOS!$A$5:$A$1005&lt;&gt;"")*(MOVIMIENTOS!$A$5:$A$1005&lt;=$A860)*MOVIMIENTOS!$E$5:$E$1005)+SUMPRODUCT((MOVIMIENTOS!$B$5:$B$1005="AJUSTE")*(MOVIMIENTOS!$C$5:$C$1005="Chancho")*(MOVIMIENTOS!$D$5:$D$1005="sacos")*(MOVIMIENTOS!$A$5:$A$1005&lt;&gt;"")*(MOVIMIENTOS!$A$5:$A$1005&lt;=$A860)*MOVIMIENTOS!$E$5:$E$1005))</f>
        <v/>
      </c>
      <c r="G860" s="62" t="str">
        <f t="shared" si="27"/>
        <v/>
      </c>
      <c r="H860" t="str">
        <f>IF($A860="","",SUMPRODUCT((((MOVIMIENTOS!$B$5:$B$1005="SALDO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860)*MOVIMIENTOS!$J$5:$J$1005))</f>
        <v/>
      </c>
      <c r="J860" t="str">
        <f>IF(AND(MOVIMIENTOS!$A865&lt;&gt;"",COUNTIF(MOVIMIENTOS!$A$5:$A864,MOVIMIENTOS!$A865)=0),COUNT(J$4:J859)+1,"")</f>
        <v/>
      </c>
      <c r="K860">
        <f>MOVIMIENTOS!$A865</f>
        <v>0</v>
      </c>
    </row>
    <row r="861" spans="1:11" ht="15" customHeight="1" x14ac:dyDescent="0.2">
      <c r="A861" t="str">
        <f t="shared" si="26"/>
        <v/>
      </c>
      <c r="B861" t="str">
        <f>IF($A861="","",SUMPRODUCT((MOVIMIENTOS!$B$5:$B$1005="SALDO INICIAL")*(MOVIMIENTOS!$C$5:$C$1005="A")*(MOVIMIENTOS!$D$5:$D$1005="jabas")*(MOVIMIENTOS!$A$5:$A$1005&lt;&gt;"")*(MOVIMIENTOS!$A$5:$A$1005&lt;=$A861)*MOVIMIENTOS!$E$5:$E$1005)+SUMPRODUCT((MOVIMIENTOS!$B$5:$B$1005="PROCESO")*(MOVIMIENTOS!$C$5:$C$1005="A")*(MOVIMIENTOS!$D$5:$D$1005="jabas")*(MOVIMIENTOS!$A$5:$A$1005&lt;&gt;"")*(MOVIMIENTOS!$A$5:$A$1005&lt;=$A861)*MOVIMIENTOS!$E$5:$E$1005)-SUMPRODUCT((MOVIMIENTOS!$B$5:$B$1005="ENVÍO A SUPESA")*(MOVIMIENTOS!$C$5:$C$1005="A")*(MOVIMIENTOS!$D$5:$D$1005="jabas")*(MOVIMIENTOS!$A$5:$A$1005&lt;&gt;"")*(MOVIMIENTOS!$A$5:$A$1005&lt;=$A861)*MOVIMIENTOS!$E$5:$E$1005)+SUMPRODUCT((MOVIMIENTOS!$B$5:$B$1005="DEVOLUCIÓN")*(MOVIMIENTOS!$C$5:$C$1005="A")*(MOVIMIENTOS!$D$5:$D$1005="jabas")*(MOVIMIENTOS!$A$5:$A$1005&lt;&gt;"")*(MOVIMIENTOS!$A$5:$A$1005&lt;=$A861)*MOVIMIENTOS!$E$5:$E$1005)-SUMPRODUCT((MOVIMIENTOS!$B$5:$B$1005="TRASIEGO")*(MOVIMIENTOS!$C$5:$C$1005="A")*(MOVIMIENTOS!$D$5:$D$1005="jabas")*(MOVIMIENTOS!$A$5:$A$1005&lt;&gt;"")*(MOVIMIENTOS!$A$5:$A$1005&lt;=$A861)*MOVIMIENTOS!$E$5:$E$1005)-SUMPRODUCT((MOVIMIENTOS!$B$5:$B$1005="REGALO")*(MOVIMIENTOS!$C$5:$C$1005="A")*(MOVIMIENTOS!$D$5:$D$1005="jabas")*(MOVIMIENTOS!$A$5:$A$1005&lt;&gt;"")*(MOVIMIENTOS!$A$5:$A$1005&lt;=$A861)*MOVIMIENTOS!$E$5:$E$1005)-SUMPRODUCT((MOVIMIENTOS!$B$5:$B$1005="VENTA")*(MOVIMIENTOS!$C$5:$C$1005="A")*(MOVIMIENTOS!$D$5:$D$1005="jabas")*(MOVIMIENTOS!$A$5:$A$1005&lt;&gt;"")*(MOVIMIENTOS!$A$5:$A$1005&lt;=$A861)*MOVIMIENTOS!$E$5:$E$1005)+SUMPRODUCT((MOVIMIENTOS!$B$5:$B$1005="AJUSTE")*(MOVIMIENTOS!$C$5:$C$1005="A")*(MOVIMIENTOS!$D$5:$D$1005="jabas")*(MOVIMIENTOS!$A$5:$A$1005&lt;&gt;"")*(MOVIMIENTOS!$A$5:$A$1005&lt;=$A861)*MOVIMIENTOS!$E$5:$E$1005))</f>
        <v/>
      </c>
      <c r="C861" t="str">
        <f>IF($A861="","",SUMPRODUCT((MOVIMIENTOS!$B$5:$B$1005="SALDO INICIAL")*(MOVIMIENTOS!$C$5:$C$1005="P")*(MOVIMIENTOS!$D$5:$D$1005="jabas")*(MOVIMIENTOS!$A$5:$A$1005&lt;&gt;"")*(MOVIMIENTOS!$A$5:$A$1005&lt;=$A861)*MOVIMIENTOS!$E$5:$E$1005)+SUMPRODUCT((MOVIMIENTOS!$B$5:$B$1005="PROCESO")*(MOVIMIENTOS!$C$5:$C$1005="P")*(MOVIMIENTOS!$D$5:$D$1005="jabas")*(MOVIMIENTOS!$A$5:$A$1005&lt;&gt;"")*(MOVIMIENTOS!$A$5:$A$1005&lt;=$A861)*MOVIMIENTOS!$E$5:$E$1005)-SUMPRODUCT((MOVIMIENTOS!$B$5:$B$1005="ENVÍO A SUPESA")*(MOVIMIENTOS!$C$5:$C$1005="P")*(MOVIMIENTOS!$D$5:$D$1005="jabas")*(MOVIMIENTOS!$A$5:$A$1005&lt;&gt;"")*(MOVIMIENTOS!$A$5:$A$1005&lt;=$A861)*MOVIMIENTOS!$E$5:$E$1005)+SUMPRODUCT((MOVIMIENTOS!$B$5:$B$1005="DEVOLUCIÓN")*(MOVIMIENTOS!$C$5:$C$1005="P")*(MOVIMIENTOS!$D$5:$D$1005="jabas")*(MOVIMIENTOS!$A$5:$A$1005&lt;&gt;"")*(MOVIMIENTOS!$A$5:$A$1005&lt;=$A861)*MOVIMIENTOS!$E$5:$E$1005)-SUMPRODUCT((MOVIMIENTOS!$B$5:$B$1005="TRASIEGO")*(MOVIMIENTOS!$C$5:$C$1005="P")*(MOVIMIENTOS!$D$5:$D$1005="jabas")*(MOVIMIENTOS!$A$5:$A$1005&lt;&gt;"")*(MOVIMIENTOS!$A$5:$A$1005&lt;=$A861)*MOVIMIENTOS!$E$5:$E$1005)-SUMPRODUCT((MOVIMIENTOS!$B$5:$B$1005="REGALO")*(MOVIMIENTOS!$C$5:$C$1005="P")*(MOVIMIENTOS!$D$5:$D$1005="jabas")*(MOVIMIENTOS!$A$5:$A$1005&lt;&gt;"")*(MOVIMIENTOS!$A$5:$A$1005&lt;=$A861)*MOVIMIENTOS!$E$5:$E$1005)-SUMPRODUCT((MOVIMIENTOS!$B$5:$B$1005="VENTA")*(MOVIMIENTOS!$C$5:$C$1005="P")*(MOVIMIENTOS!$D$5:$D$1005="jabas")*(MOVIMIENTOS!$A$5:$A$1005&lt;&gt;"")*(MOVIMIENTOS!$A$5:$A$1005&lt;=$A861)*MOVIMIENTOS!$E$5:$E$1005)+SUMPRODUCT((MOVIMIENTOS!$B$5:$B$1005="AJUSTE")*(MOVIMIENTOS!$C$5:$C$1005="P")*(MOVIMIENTOS!$D$5:$D$1005="jabas")*(MOVIMIENTOS!$A$5:$A$1005&lt;&gt;"")*(MOVIMIENTOS!$A$5:$A$1005&lt;=$A861)*MOVIMIENTOS!$E$5:$E$1005))</f>
        <v/>
      </c>
      <c r="D861" t="str">
        <f>IF($A861="","",SUMPRODUCT((MOVIMIENTOS!$B$5:$B$1005="SALDO INICIAL")*(MOVIMIENTOS!$C$5:$C$1005="C")*(MOVIMIENTOS!$D$5:$D$1005="jabas")*(MOVIMIENTOS!$A$5:$A$1005&lt;&gt;"")*(MOVIMIENTOS!$A$5:$A$1005&lt;=$A861)*MOVIMIENTOS!$E$5:$E$1005)+SUMPRODUCT((MOVIMIENTOS!$B$5:$B$1005="PROCESO")*(MOVIMIENTOS!$C$5:$C$1005="C")*(MOVIMIENTOS!$D$5:$D$1005="jabas")*(MOVIMIENTOS!$A$5:$A$1005&lt;&gt;"")*(MOVIMIENTOS!$A$5:$A$1005&lt;=$A861)*MOVIMIENTOS!$E$5:$E$1005)-SUMPRODUCT((MOVIMIENTOS!$B$5:$B$1005="ENVÍO A SUPESA")*(MOVIMIENTOS!$C$5:$C$1005="C")*(MOVIMIENTOS!$D$5:$D$1005="jabas")*(MOVIMIENTOS!$A$5:$A$1005&lt;&gt;"")*(MOVIMIENTOS!$A$5:$A$1005&lt;=$A861)*MOVIMIENTOS!$E$5:$E$1005)+SUMPRODUCT((MOVIMIENTOS!$B$5:$B$1005="DEVOLUCIÓN")*(MOVIMIENTOS!$C$5:$C$1005="C")*(MOVIMIENTOS!$D$5:$D$1005="jabas")*(MOVIMIENTOS!$A$5:$A$1005&lt;&gt;"")*(MOVIMIENTOS!$A$5:$A$1005&lt;=$A861)*MOVIMIENTOS!$E$5:$E$1005)-SUMPRODUCT((MOVIMIENTOS!$B$5:$B$1005="TRASIEGO")*(MOVIMIENTOS!$C$5:$C$1005="C")*(MOVIMIENTOS!$D$5:$D$1005="jabas")*(MOVIMIENTOS!$A$5:$A$1005&lt;&gt;"")*(MOVIMIENTOS!$A$5:$A$1005&lt;=$A861)*MOVIMIENTOS!$E$5:$E$1005)-SUMPRODUCT((MOVIMIENTOS!$B$5:$B$1005="REGALO")*(MOVIMIENTOS!$C$5:$C$1005="C")*(MOVIMIENTOS!$D$5:$D$1005="jabas")*(MOVIMIENTOS!$A$5:$A$1005&lt;&gt;"")*(MOVIMIENTOS!$A$5:$A$1005&lt;=$A861)*MOVIMIENTOS!$E$5:$E$1005)-SUMPRODUCT((MOVIMIENTOS!$B$5:$B$1005="VENTA")*(MOVIMIENTOS!$C$5:$C$1005="C")*(MOVIMIENTOS!$D$5:$D$1005="jabas")*(MOVIMIENTOS!$A$5:$A$1005&lt;&gt;"")*(MOVIMIENTOS!$A$5:$A$1005&lt;=$A861)*MOVIMIENTOS!$E$5:$E$1005)+SUMPRODUCT((MOVIMIENTOS!$B$5:$B$1005="AJUSTE")*(MOVIMIENTOS!$C$5:$C$1005="C")*(MOVIMIENTOS!$D$5:$D$1005="jabas")*(MOVIMIENTOS!$A$5:$A$1005&lt;&gt;"")*(MOVIMIENTOS!$A$5:$A$1005&lt;=$A861)*MOVIMIENTOS!$E$5:$E$1005))</f>
        <v/>
      </c>
      <c r="E861" t="str">
        <f>IF($A861="","",SUMPRODUCT((MOVIMIENTOS!$B$5:$B$1005="SALDO INICIAL")*(MOVIMIENTOS!$C$5:$C$1005="M")*(MOVIMIENTOS!$D$5:$D$1005="jabas")*(MOVIMIENTOS!$A$5:$A$1005&lt;&gt;"")*(MOVIMIENTOS!$A$5:$A$1005&lt;=$A861)*MOVIMIENTOS!$E$5:$E$1005)+SUMPRODUCT((MOVIMIENTOS!$B$5:$B$1005="PROCESO")*(MOVIMIENTOS!$C$5:$C$1005="M")*(MOVIMIENTOS!$D$5:$D$1005="jabas")*(MOVIMIENTOS!$A$5:$A$1005&lt;&gt;"")*(MOVIMIENTOS!$A$5:$A$1005&lt;=$A861)*MOVIMIENTOS!$E$5:$E$1005)-SUMPRODUCT((MOVIMIENTOS!$B$5:$B$1005="ENVÍO A SUPESA")*(MOVIMIENTOS!$C$5:$C$1005="M")*(MOVIMIENTOS!$D$5:$D$1005="jabas")*(MOVIMIENTOS!$A$5:$A$1005&lt;&gt;"")*(MOVIMIENTOS!$A$5:$A$1005&lt;=$A861)*MOVIMIENTOS!$E$5:$E$1005)+SUMPRODUCT((MOVIMIENTOS!$B$5:$B$1005="DEVOLUCIÓN")*(MOVIMIENTOS!$C$5:$C$1005="M")*(MOVIMIENTOS!$D$5:$D$1005="jabas")*(MOVIMIENTOS!$A$5:$A$1005&lt;&gt;"")*(MOVIMIENTOS!$A$5:$A$1005&lt;=$A861)*MOVIMIENTOS!$E$5:$E$1005)-SUMPRODUCT((MOVIMIENTOS!$B$5:$B$1005="TRASIEGO")*(MOVIMIENTOS!$C$5:$C$1005="M")*(MOVIMIENTOS!$D$5:$D$1005="jabas")*(MOVIMIENTOS!$A$5:$A$1005&lt;&gt;"")*(MOVIMIENTOS!$A$5:$A$1005&lt;=$A861)*MOVIMIENTOS!$E$5:$E$1005)-SUMPRODUCT((MOVIMIENTOS!$B$5:$B$1005="REGALO")*(MOVIMIENTOS!$C$5:$C$1005="M")*(MOVIMIENTOS!$D$5:$D$1005="jabas")*(MOVIMIENTOS!$A$5:$A$1005&lt;&gt;"")*(MOVIMIENTOS!$A$5:$A$1005&lt;=$A861)*MOVIMIENTOS!$E$5:$E$1005)-SUMPRODUCT((MOVIMIENTOS!$B$5:$B$1005="VENTA")*(MOVIMIENTOS!$C$5:$C$1005="M")*(MOVIMIENTOS!$D$5:$D$1005="jabas")*(MOVIMIENTOS!$A$5:$A$1005&lt;&gt;"")*(MOVIMIENTOS!$A$5:$A$1005&lt;=$A861)*MOVIMIENTOS!$E$5:$E$1005)+SUMPRODUCT((MOVIMIENTOS!$B$5:$B$1005="AJUSTE")*(MOVIMIENTOS!$C$5:$C$1005="M")*(MOVIMIENTOS!$D$5:$D$1005="jabas")*(MOVIMIENTOS!$A$5:$A$1005&lt;&gt;"")*(MOVIMIENTOS!$A$5:$A$1005&lt;=$A861)*MOVIMIENTOS!$E$5:$E$1005))</f>
        <v/>
      </c>
      <c r="F861" s="62" t="str">
        <f>IF($A861="","",SUMPRODUCT((MOVIMIENTOS!$B$5:$B$1005="SALDO INICIAL")*(MOVIMIENTOS!$C$5:$C$1005="Chancho")*(MOVIMIENTOS!$D$5:$D$1005="sacos")*(MOVIMIENTOS!$A$5:$A$1005&lt;&gt;"")*(MOVIMIENTOS!$A$5:$A$1005&lt;=$A861)*MOVIMIENTOS!$E$5:$E$1005)+SUMPRODUCT((MOVIMIENTOS!$B$5:$B$1005="PROCESO")*(MOVIMIENTOS!$C$5:$C$1005="Chancho")*(MOVIMIENTOS!$D$5:$D$1005="sacos")*(MOVIMIENTOS!$A$5:$A$1005&lt;&gt;"")*(MOVIMIENTOS!$A$5:$A$1005&lt;=$A861)*MOVIMIENTOS!$E$5:$E$1005)-SUMPRODUCT((MOVIMIENTOS!$B$5:$B$1005="VENTA CHANCHO")*(MOVIMIENTOS!$C$5:$C$1005="Chancho")*(MOVIMIENTOS!$D$5:$D$1005="sacos")*(MOVIMIENTOS!$A$5:$A$1005&lt;&gt;"")*(MOVIMIENTOS!$A$5:$A$1005&lt;=$A861)*MOVIMIENTOS!$E$5:$E$1005)-SUMPRODUCT((MOVIMIENTOS!$B$5:$B$1005="REGALO")*(MOVIMIENTOS!$C$5:$C$1005="Chancho")*(MOVIMIENTOS!$D$5:$D$1005="sacos")*(MOVIMIENTOS!$A$5:$A$1005&lt;&gt;"")*(MOVIMIENTOS!$A$5:$A$1005&lt;=$A861)*MOVIMIENTOS!$E$5:$E$1005)-SUMPRODUCT((MOVIMIENTOS!$B$5:$B$1005="VENTA")*(MOVIMIENTOS!$C$5:$C$1005="Chancho")*(MOVIMIENTOS!$D$5:$D$1005="sacos")*(MOVIMIENTOS!$A$5:$A$1005&lt;&gt;"")*(MOVIMIENTOS!$A$5:$A$1005&lt;=$A861)*MOVIMIENTOS!$E$5:$E$1005)+SUMPRODUCT((MOVIMIENTOS!$B$5:$B$1005="AJUSTE")*(MOVIMIENTOS!$C$5:$C$1005="Chancho")*(MOVIMIENTOS!$D$5:$D$1005="sacos")*(MOVIMIENTOS!$A$5:$A$1005&lt;&gt;"")*(MOVIMIENTOS!$A$5:$A$1005&lt;=$A861)*MOVIMIENTOS!$E$5:$E$1005))</f>
        <v/>
      </c>
      <c r="G861" s="62" t="str">
        <f t="shared" si="27"/>
        <v/>
      </c>
      <c r="H861" t="str">
        <f>IF($A861="","",SUMPRODUCT((((MOVIMIENTOS!$B$5:$B$1005="SALDO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861)*MOVIMIENTOS!$J$5:$J$1005))</f>
        <v/>
      </c>
      <c r="J861" t="str">
        <f>IF(AND(MOVIMIENTOS!$A866&lt;&gt;"",COUNTIF(MOVIMIENTOS!$A$5:$A865,MOVIMIENTOS!$A866)=0),COUNT(J$4:J860)+1,"")</f>
        <v/>
      </c>
      <c r="K861">
        <f>MOVIMIENTOS!$A866</f>
        <v>0</v>
      </c>
    </row>
    <row r="862" spans="1:11" ht="15" customHeight="1" x14ac:dyDescent="0.2">
      <c r="A862" t="str">
        <f t="shared" si="26"/>
        <v/>
      </c>
      <c r="B862" t="str">
        <f>IF($A862="","",SUMPRODUCT((MOVIMIENTOS!$B$5:$B$1005="SALDO INICIAL")*(MOVIMIENTOS!$C$5:$C$1005="A")*(MOVIMIENTOS!$D$5:$D$1005="jabas")*(MOVIMIENTOS!$A$5:$A$1005&lt;&gt;"")*(MOVIMIENTOS!$A$5:$A$1005&lt;=$A862)*MOVIMIENTOS!$E$5:$E$1005)+SUMPRODUCT((MOVIMIENTOS!$B$5:$B$1005="PROCESO")*(MOVIMIENTOS!$C$5:$C$1005="A")*(MOVIMIENTOS!$D$5:$D$1005="jabas")*(MOVIMIENTOS!$A$5:$A$1005&lt;&gt;"")*(MOVIMIENTOS!$A$5:$A$1005&lt;=$A862)*MOVIMIENTOS!$E$5:$E$1005)-SUMPRODUCT((MOVIMIENTOS!$B$5:$B$1005="ENVÍO A SUPESA")*(MOVIMIENTOS!$C$5:$C$1005="A")*(MOVIMIENTOS!$D$5:$D$1005="jabas")*(MOVIMIENTOS!$A$5:$A$1005&lt;&gt;"")*(MOVIMIENTOS!$A$5:$A$1005&lt;=$A862)*MOVIMIENTOS!$E$5:$E$1005)+SUMPRODUCT((MOVIMIENTOS!$B$5:$B$1005="DEVOLUCIÓN")*(MOVIMIENTOS!$C$5:$C$1005="A")*(MOVIMIENTOS!$D$5:$D$1005="jabas")*(MOVIMIENTOS!$A$5:$A$1005&lt;&gt;"")*(MOVIMIENTOS!$A$5:$A$1005&lt;=$A862)*MOVIMIENTOS!$E$5:$E$1005)-SUMPRODUCT((MOVIMIENTOS!$B$5:$B$1005="TRASIEGO")*(MOVIMIENTOS!$C$5:$C$1005="A")*(MOVIMIENTOS!$D$5:$D$1005="jabas")*(MOVIMIENTOS!$A$5:$A$1005&lt;&gt;"")*(MOVIMIENTOS!$A$5:$A$1005&lt;=$A862)*MOVIMIENTOS!$E$5:$E$1005)-SUMPRODUCT((MOVIMIENTOS!$B$5:$B$1005="REGALO")*(MOVIMIENTOS!$C$5:$C$1005="A")*(MOVIMIENTOS!$D$5:$D$1005="jabas")*(MOVIMIENTOS!$A$5:$A$1005&lt;&gt;"")*(MOVIMIENTOS!$A$5:$A$1005&lt;=$A862)*MOVIMIENTOS!$E$5:$E$1005)-SUMPRODUCT((MOVIMIENTOS!$B$5:$B$1005="VENTA")*(MOVIMIENTOS!$C$5:$C$1005="A")*(MOVIMIENTOS!$D$5:$D$1005="jabas")*(MOVIMIENTOS!$A$5:$A$1005&lt;&gt;"")*(MOVIMIENTOS!$A$5:$A$1005&lt;=$A862)*MOVIMIENTOS!$E$5:$E$1005)+SUMPRODUCT((MOVIMIENTOS!$B$5:$B$1005="AJUSTE")*(MOVIMIENTOS!$C$5:$C$1005="A")*(MOVIMIENTOS!$D$5:$D$1005="jabas")*(MOVIMIENTOS!$A$5:$A$1005&lt;&gt;"")*(MOVIMIENTOS!$A$5:$A$1005&lt;=$A862)*MOVIMIENTOS!$E$5:$E$1005))</f>
        <v/>
      </c>
      <c r="C862" t="str">
        <f>IF($A862="","",SUMPRODUCT((MOVIMIENTOS!$B$5:$B$1005="SALDO INICIAL")*(MOVIMIENTOS!$C$5:$C$1005="P")*(MOVIMIENTOS!$D$5:$D$1005="jabas")*(MOVIMIENTOS!$A$5:$A$1005&lt;&gt;"")*(MOVIMIENTOS!$A$5:$A$1005&lt;=$A862)*MOVIMIENTOS!$E$5:$E$1005)+SUMPRODUCT((MOVIMIENTOS!$B$5:$B$1005="PROCESO")*(MOVIMIENTOS!$C$5:$C$1005="P")*(MOVIMIENTOS!$D$5:$D$1005="jabas")*(MOVIMIENTOS!$A$5:$A$1005&lt;&gt;"")*(MOVIMIENTOS!$A$5:$A$1005&lt;=$A862)*MOVIMIENTOS!$E$5:$E$1005)-SUMPRODUCT((MOVIMIENTOS!$B$5:$B$1005="ENVÍO A SUPESA")*(MOVIMIENTOS!$C$5:$C$1005="P")*(MOVIMIENTOS!$D$5:$D$1005="jabas")*(MOVIMIENTOS!$A$5:$A$1005&lt;&gt;"")*(MOVIMIENTOS!$A$5:$A$1005&lt;=$A862)*MOVIMIENTOS!$E$5:$E$1005)+SUMPRODUCT((MOVIMIENTOS!$B$5:$B$1005="DEVOLUCIÓN")*(MOVIMIENTOS!$C$5:$C$1005="P")*(MOVIMIENTOS!$D$5:$D$1005="jabas")*(MOVIMIENTOS!$A$5:$A$1005&lt;&gt;"")*(MOVIMIENTOS!$A$5:$A$1005&lt;=$A862)*MOVIMIENTOS!$E$5:$E$1005)-SUMPRODUCT((MOVIMIENTOS!$B$5:$B$1005="TRASIEGO")*(MOVIMIENTOS!$C$5:$C$1005="P")*(MOVIMIENTOS!$D$5:$D$1005="jabas")*(MOVIMIENTOS!$A$5:$A$1005&lt;&gt;"")*(MOVIMIENTOS!$A$5:$A$1005&lt;=$A862)*MOVIMIENTOS!$E$5:$E$1005)-SUMPRODUCT((MOVIMIENTOS!$B$5:$B$1005="REGALO")*(MOVIMIENTOS!$C$5:$C$1005="P")*(MOVIMIENTOS!$D$5:$D$1005="jabas")*(MOVIMIENTOS!$A$5:$A$1005&lt;&gt;"")*(MOVIMIENTOS!$A$5:$A$1005&lt;=$A862)*MOVIMIENTOS!$E$5:$E$1005)-SUMPRODUCT((MOVIMIENTOS!$B$5:$B$1005="VENTA")*(MOVIMIENTOS!$C$5:$C$1005="P")*(MOVIMIENTOS!$D$5:$D$1005="jabas")*(MOVIMIENTOS!$A$5:$A$1005&lt;&gt;"")*(MOVIMIENTOS!$A$5:$A$1005&lt;=$A862)*MOVIMIENTOS!$E$5:$E$1005)+SUMPRODUCT((MOVIMIENTOS!$B$5:$B$1005="AJUSTE")*(MOVIMIENTOS!$C$5:$C$1005="P")*(MOVIMIENTOS!$D$5:$D$1005="jabas")*(MOVIMIENTOS!$A$5:$A$1005&lt;&gt;"")*(MOVIMIENTOS!$A$5:$A$1005&lt;=$A862)*MOVIMIENTOS!$E$5:$E$1005))</f>
        <v/>
      </c>
      <c r="D862" t="str">
        <f>IF($A862="","",SUMPRODUCT((MOVIMIENTOS!$B$5:$B$1005="SALDO INICIAL")*(MOVIMIENTOS!$C$5:$C$1005="C")*(MOVIMIENTOS!$D$5:$D$1005="jabas")*(MOVIMIENTOS!$A$5:$A$1005&lt;&gt;"")*(MOVIMIENTOS!$A$5:$A$1005&lt;=$A862)*MOVIMIENTOS!$E$5:$E$1005)+SUMPRODUCT((MOVIMIENTOS!$B$5:$B$1005="PROCESO")*(MOVIMIENTOS!$C$5:$C$1005="C")*(MOVIMIENTOS!$D$5:$D$1005="jabas")*(MOVIMIENTOS!$A$5:$A$1005&lt;&gt;"")*(MOVIMIENTOS!$A$5:$A$1005&lt;=$A862)*MOVIMIENTOS!$E$5:$E$1005)-SUMPRODUCT((MOVIMIENTOS!$B$5:$B$1005="ENVÍO A SUPESA")*(MOVIMIENTOS!$C$5:$C$1005="C")*(MOVIMIENTOS!$D$5:$D$1005="jabas")*(MOVIMIENTOS!$A$5:$A$1005&lt;&gt;"")*(MOVIMIENTOS!$A$5:$A$1005&lt;=$A862)*MOVIMIENTOS!$E$5:$E$1005)+SUMPRODUCT((MOVIMIENTOS!$B$5:$B$1005="DEVOLUCIÓN")*(MOVIMIENTOS!$C$5:$C$1005="C")*(MOVIMIENTOS!$D$5:$D$1005="jabas")*(MOVIMIENTOS!$A$5:$A$1005&lt;&gt;"")*(MOVIMIENTOS!$A$5:$A$1005&lt;=$A862)*MOVIMIENTOS!$E$5:$E$1005)-SUMPRODUCT((MOVIMIENTOS!$B$5:$B$1005="TRASIEGO")*(MOVIMIENTOS!$C$5:$C$1005="C")*(MOVIMIENTOS!$D$5:$D$1005="jabas")*(MOVIMIENTOS!$A$5:$A$1005&lt;&gt;"")*(MOVIMIENTOS!$A$5:$A$1005&lt;=$A862)*MOVIMIENTOS!$E$5:$E$1005)-SUMPRODUCT((MOVIMIENTOS!$B$5:$B$1005="REGALO")*(MOVIMIENTOS!$C$5:$C$1005="C")*(MOVIMIENTOS!$D$5:$D$1005="jabas")*(MOVIMIENTOS!$A$5:$A$1005&lt;&gt;"")*(MOVIMIENTOS!$A$5:$A$1005&lt;=$A862)*MOVIMIENTOS!$E$5:$E$1005)-SUMPRODUCT((MOVIMIENTOS!$B$5:$B$1005="VENTA")*(MOVIMIENTOS!$C$5:$C$1005="C")*(MOVIMIENTOS!$D$5:$D$1005="jabas")*(MOVIMIENTOS!$A$5:$A$1005&lt;&gt;"")*(MOVIMIENTOS!$A$5:$A$1005&lt;=$A862)*MOVIMIENTOS!$E$5:$E$1005)+SUMPRODUCT((MOVIMIENTOS!$B$5:$B$1005="AJUSTE")*(MOVIMIENTOS!$C$5:$C$1005="C")*(MOVIMIENTOS!$D$5:$D$1005="jabas")*(MOVIMIENTOS!$A$5:$A$1005&lt;&gt;"")*(MOVIMIENTOS!$A$5:$A$1005&lt;=$A862)*MOVIMIENTOS!$E$5:$E$1005))</f>
        <v/>
      </c>
      <c r="E862" t="str">
        <f>IF($A862="","",SUMPRODUCT((MOVIMIENTOS!$B$5:$B$1005="SALDO INICIAL")*(MOVIMIENTOS!$C$5:$C$1005="M")*(MOVIMIENTOS!$D$5:$D$1005="jabas")*(MOVIMIENTOS!$A$5:$A$1005&lt;&gt;"")*(MOVIMIENTOS!$A$5:$A$1005&lt;=$A862)*MOVIMIENTOS!$E$5:$E$1005)+SUMPRODUCT((MOVIMIENTOS!$B$5:$B$1005="PROCESO")*(MOVIMIENTOS!$C$5:$C$1005="M")*(MOVIMIENTOS!$D$5:$D$1005="jabas")*(MOVIMIENTOS!$A$5:$A$1005&lt;&gt;"")*(MOVIMIENTOS!$A$5:$A$1005&lt;=$A862)*MOVIMIENTOS!$E$5:$E$1005)-SUMPRODUCT((MOVIMIENTOS!$B$5:$B$1005="ENVÍO A SUPESA")*(MOVIMIENTOS!$C$5:$C$1005="M")*(MOVIMIENTOS!$D$5:$D$1005="jabas")*(MOVIMIENTOS!$A$5:$A$1005&lt;&gt;"")*(MOVIMIENTOS!$A$5:$A$1005&lt;=$A862)*MOVIMIENTOS!$E$5:$E$1005)+SUMPRODUCT((MOVIMIENTOS!$B$5:$B$1005="DEVOLUCIÓN")*(MOVIMIENTOS!$C$5:$C$1005="M")*(MOVIMIENTOS!$D$5:$D$1005="jabas")*(MOVIMIENTOS!$A$5:$A$1005&lt;&gt;"")*(MOVIMIENTOS!$A$5:$A$1005&lt;=$A862)*MOVIMIENTOS!$E$5:$E$1005)-SUMPRODUCT((MOVIMIENTOS!$B$5:$B$1005="TRASIEGO")*(MOVIMIENTOS!$C$5:$C$1005="M")*(MOVIMIENTOS!$D$5:$D$1005="jabas")*(MOVIMIENTOS!$A$5:$A$1005&lt;&gt;"")*(MOVIMIENTOS!$A$5:$A$1005&lt;=$A862)*MOVIMIENTOS!$E$5:$E$1005)-SUMPRODUCT((MOVIMIENTOS!$B$5:$B$1005="REGALO")*(MOVIMIENTOS!$C$5:$C$1005="M")*(MOVIMIENTOS!$D$5:$D$1005="jabas")*(MOVIMIENTOS!$A$5:$A$1005&lt;&gt;"")*(MOVIMIENTOS!$A$5:$A$1005&lt;=$A862)*MOVIMIENTOS!$E$5:$E$1005)-SUMPRODUCT((MOVIMIENTOS!$B$5:$B$1005="VENTA")*(MOVIMIENTOS!$C$5:$C$1005="M")*(MOVIMIENTOS!$D$5:$D$1005="jabas")*(MOVIMIENTOS!$A$5:$A$1005&lt;&gt;"")*(MOVIMIENTOS!$A$5:$A$1005&lt;=$A862)*MOVIMIENTOS!$E$5:$E$1005)+SUMPRODUCT((MOVIMIENTOS!$B$5:$B$1005="AJUSTE")*(MOVIMIENTOS!$C$5:$C$1005="M")*(MOVIMIENTOS!$D$5:$D$1005="jabas")*(MOVIMIENTOS!$A$5:$A$1005&lt;&gt;"")*(MOVIMIENTOS!$A$5:$A$1005&lt;=$A862)*MOVIMIENTOS!$E$5:$E$1005))</f>
        <v/>
      </c>
      <c r="F862" s="62" t="str">
        <f>IF($A862="","",SUMPRODUCT((MOVIMIENTOS!$B$5:$B$1005="SALDO INICIAL")*(MOVIMIENTOS!$C$5:$C$1005="Chancho")*(MOVIMIENTOS!$D$5:$D$1005="sacos")*(MOVIMIENTOS!$A$5:$A$1005&lt;&gt;"")*(MOVIMIENTOS!$A$5:$A$1005&lt;=$A862)*MOVIMIENTOS!$E$5:$E$1005)+SUMPRODUCT((MOVIMIENTOS!$B$5:$B$1005="PROCESO")*(MOVIMIENTOS!$C$5:$C$1005="Chancho")*(MOVIMIENTOS!$D$5:$D$1005="sacos")*(MOVIMIENTOS!$A$5:$A$1005&lt;&gt;"")*(MOVIMIENTOS!$A$5:$A$1005&lt;=$A862)*MOVIMIENTOS!$E$5:$E$1005)-SUMPRODUCT((MOVIMIENTOS!$B$5:$B$1005="VENTA CHANCHO")*(MOVIMIENTOS!$C$5:$C$1005="Chancho")*(MOVIMIENTOS!$D$5:$D$1005="sacos")*(MOVIMIENTOS!$A$5:$A$1005&lt;&gt;"")*(MOVIMIENTOS!$A$5:$A$1005&lt;=$A862)*MOVIMIENTOS!$E$5:$E$1005)-SUMPRODUCT((MOVIMIENTOS!$B$5:$B$1005="REGALO")*(MOVIMIENTOS!$C$5:$C$1005="Chancho")*(MOVIMIENTOS!$D$5:$D$1005="sacos")*(MOVIMIENTOS!$A$5:$A$1005&lt;&gt;"")*(MOVIMIENTOS!$A$5:$A$1005&lt;=$A862)*MOVIMIENTOS!$E$5:$E$1005)-SUMPRODUCT((MOVIMIENTOS!$B$5:$B$1005="VENTA")*(MOVIMIENTOS!$C$5:$C$1005="Chancho")*(MOVIMIENTOS!$D$5:$D$1005="sacos")*(MOVIMIENTOS!$A$5:$A$1005&lt;&gt;"")*(MOVIMIENTOS!$A$5:$A$1005&lt;=$A862)*MOVIMIENTOS!$E$5:$E$1005)+SUMPRODUCT((MOVIMIENTOS!$B$5:$B$1005="AJUSTE")*(MOVIMIENTOS!$C$5:$C$1005="Chancho")*(MOVIMIENTOS!$D$5:$D$1005="sacos")*(MOVIMIENTOS!$A$5:$A$1005&lt;&gt;"")*(MOVIMIENTOS!$A$5:$A$1005&lt;=$A862)*MOVIMIENTOS!$E$5:$E$1005))</f>
        <v/>
      </c>
      <c r="G862" s="62" t="str">
        <f t="shared" si="27"/>
        <v/>
      </c>
      <c r="H862" t="str">
        <f>IF($A862="","",SUMPRODUCT((((MOVIMIENTOS!$B$5:$B$1005="SALDO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862)*MOVIMIENTOS!$J$5:$J$1005))</f>
        <v/>
      </c>
      <c r="J862" t="str">
        <f>IF(AND(MOVIMIENTOS!$A867&lt;&gt;"",COUNTIF(MOVIMIENTOS!$A$5:$A866,MOVIMIENTOS!$A867)=0),COUNT(J$4:J861)+1,"")</f>
        <v/>
      </c>
      <c r="K862">
        <f>MOVIMIENTOS!$A867</f>
        <v>0</v>
      </c>
    </row>
    <row r="863" spans="1:11" ht="15" customHeight="1" x14ac:dyDescent="0.2">
      <c r="A863" t="str">
        <f t="shared" si="26"/>
        <v/>
      </c>
      <c r="B863" t="str">
        <f>IF($A863="","",SUMPRODUCT((MOVIMIENTOS!$B$5:$B$1005="SALDO INICIAL")*(MOVIMIENTOS!$C$5:$C$1005="A")*(MOVIMIENTOS!$D$5:$D$1005="jabas")*(MOVIMIENTOS!$A$5:$A$1005&lt;&gt;"")*(MOVIMIENTOS!$A$5:$A$1005&lt;=$A863)*MOVIMIENTOS!$E$5:$E$1005)+SUMPRODUCT((MOVIMIENTOS!$B$5:$B$1005="PROCESO")*(MOVIMIENTOS!$C$5:$C$1005="A")*(MOVIMIENTOS!$D$5:$D$1005="jabas")*(MOVIMIENTOS!$A$5:$A$1005&lt;&gt;"")*(MOVIMIENTOS!$A$5:$A$1005&lt;=$A863)*MOVIMIENTOS!$E$5:$E$1005)-SUMPRODUCT((MOVIMIENTOS!$B$5:$B$1005="ENVÍO A SUPESA")*(MOVIMIENTOS!$C$5:$C$1005="A")*(MOVIMIENTOS!$D$5:$D$1005="jabas")*(MOVIMIENTOS!$A$5:$A$1005&lt;&gt;"")*(MOVIMIENTOS!$A$5:$A$1005&lt;=$A863)*MOVIMIENTOS!$E$5:$E$1005)+SUMPRODUCT((MOVIMIENTOS!$B$5:$B$1005="DEVOLUCIÓN")*(MOVIMIENTOS!$C$5:$C$1005="A")*(MOVIMIENTOS!$D$5:$D$1005="jabas")*(MOVIMIENTOS!$A$5:$A$1005&lt;&gt;"")*(MOVIMIENTOS!$A$5:$A$1005&lt;=$A863)*MOVIMIENTOS!$E$5:$E$1005)-SUMPRODUCT((MOVIMIENTOS!$B$5:$B$1005="TRASIEGO")*(MOVIMIENTOS!$C$5:$C$1005="A")*(MOVIMIENTOS!$D$5:$D$1005="jabas")*(MOVIMIENTOS!$A$5:$A$1005&lt;&gt;"")*(MOVIMIENTOS!$A$5:$A$1005&lt;=$A863)*MOVIMIENTOS!$E$5:$E$1005)-SUMPRODUCT((MOVIMIENTOS!$B$5:$B$1005="REGALO")*(MOVIMIENTOS!$C$5:$C$1005="A")*(MOVIMIENTOS!$D$5:$D$1005="jabas")*(MOVIMIENTOS!$A$5:$A$1005&lt;&gt;"")*(MOVIMIENTOS!$A$5:$A$1005&lt;=$A863)*MOVIMIENTOS!$E$5:$E$1005)-SUMPRODUCT((MOVIMIENTOS!$B$5:$B$1005="VENTA")*(MOVIMIENTOS!$C$5:$C$1005="A")*(MOVIMIENTOS!$D$5:$D$1005="jabas")*(MOVIMIENTOS!$A$5:$A$1005&lt;&gt;"")*(MOVIMIENTOS!$A$5:$A$1005&lt;=$A863)*MOVIMIENTOS!$E$5:$E$1005)+SUMPRODUCT((MOVIMIENTOS!$B$5:$B$1005="AJUSTE")*(MOVIMIENTOS!$C$5:$C$1005="A")*(MOVIMIENTOS!$D$5:$D$1005="jabas")*(MOVIMIENTOS!$A$5:$A$1005&lt;&gt;"")*(MOVIMIENTOS!$A$5:$A$1005&lt;=$A863)*MOVIMIENTOS!$E$5:$E$1005))</f>
        <v/>
      </c>
      <c r="C863" t="str">
        <f>IF($A863="","",SUMPRODUCT((MOVIMIENTOS!$B$5:$B$1005="SALDO INICIAL")*(MOVIMIENTOS!$C$5:$C$1005="P")*(MOVIMIENTOS!$D$5:$D$1005="jabas")*(MOVIMIENTOS!$A$5:$A$1005&lt;&gt;"")*(MOVIMIENTOS!$A$5:$A$1005&lt;=$A863)*MOVIMIENTOS!$E$5:$E$1005)+SUMPRODUCT((MOVIMIENTOS!$B$5:$B$1005="PROCESO")*(MOVIMIENTOS!$C$5:$C$1005="P")*(MOVIMIENTOS!$D$5:$D$1005="jabas")*(MOVIMIENTOS!$A$5:$A$1005&lt;&gt;"")*(MOVIMIENTOS!$A$5:$A$1005&lt;=$A863)*MOVIMIENTOS!$E$5:$E$1005)-SUMPRODUCT((MOVIMIENTOS!$B$5:$B$1005="ENVÍO A SUPESA")*(MOVIMIENTOS!$C$5:$C$1005="P")*(MOVIMIENTOS!$D$5:$D$1005="jabas")*(MOVIMIENTOS!$A$5:$A$1005&lt;&gt;"")*(MOVIMIENTOS!$A$5:$A$1005&lt;=$A863)*MOVIMIENTOS!$E$5:$E$1005)+SUMPRODUCT((MOVIMIENTOS!$B$5:$B$1005="DEVOLUCIÓN")*(MOVIMIENTOS!$C$5:$C$1005="P")*(MOVIMIENTOS!$D$5:$D$1005="jabas")*(MOVIMIENTOS!$A$5:$A$1005&lt;&gt;"")*(MOVIMIENTOS!$A$5:$A$1005&lt;=$A863)*MOVIMIENTOS!$E$5:$E$1005)-SUMPRODUCT((MOVIMIENTOS!$B$5:$B$1005="TRASIEGO")*(MOVIMIENTOS!$C$5:$C$1005="P")*(MOVIMIENTOS!$D$5:$D$1005="jabas")*(MOVIMIENTOS!$A$5:$A$1005&lt;&gt;"")*(MOVIMIENTOS!$A$5:$A$1005&lt;=$A863)*MOVIMIENTOS!$E$5:$E$1005)-SUMPRODUCT((MOVIMIENTOS!$B$5:$B$1005="REGALO")*(MOVIMIENTOS!$C$5:$C$1005="P")*(MOVIMIENTOS!$D$5:$D$1005="jabas")*(MOVIMIENTOS!$A$5:$A$1005&lt;&gt;"")*(MOVIMIENTOS!$A$5:$A$1005&lt;=$A863)*MOVIMIENTOS!$E$5:$E$1005)-SUMPRODUCT((MOVIMIENTOS!$B$5:$B$1005="VENTA")*(MOVIMIENTOS!$C$5:$C$1005="P")*(MOVIMIENTOS!$D$5:$D$1005="jabas")*(MOVIMIENTOS!$A$5:$A$1005&lt;&gt;"")*(MOVIMIENTOS!$A$5:$A$1005&lt;=$A863)*MOVIMIENTOS!$E$5:$E$1005)+SUMPRODUCT((MOVIMIENTOS!$B$5:$B$1005="AJUSTE")*(MOVIMIENTOS!$C$5:$C$1005="P")*(MOVIMIENTOS!$D$5:$D$1005="jabas")*(MOVIMIENTOS!$A$5:$A$1005&lt;&gt;"")*(MOVIMIENTOS!$A$5:$A$1005&lt;=$A863)*MOVIMIENTOS!$E$5:$E$1005))</f>
        <v/>
      </c>
      <c r="D863" t="str">
        <f>IF($A863="","",SUMPRODUCT((MOVIMIENTOS!$B$5:$B$1005="SALDO INICIAL")*(MOVIMIENTOS!$C$5:$C$1005="C")*(MOVIMIENTOS!$D$5:$D$1005="jabas")*(MOVIMIENTOS!$A$5:$A$1005&lt;&gt;"")*(MOVIMIENTOS!$A$5:$A$1005&lt;=$A863)*MOVIMIENTOS!$E$5:$E$1005)+SUMPRODUCT((MOVIMIENTOS!$B$5:$B$1005="PROCESO")*(MOVIMIENTOS!$C$5:$C$1005="C")*(MOVIMIENTOS!$D$5:$D$1005="jabas")*(MOVIMIENTOS!$A$5:$A$1005&lt;&gt;"")*(MOVIMIENTOS!$A$5:$A$1005&lt;=$A863)*MOVIMIENTOS!$E$5:$E$1005)-SUMPRODUCT((MOVIMIENTOS!$B$5:$B$1005="ENVÍO A SUPESA")*(MOVIMIENTOS!$C$5:$C$1005="C")*(MOVIMIENTOS!$D$5:$D$1005="jabas")*(MOVIMIENTOS!$A$5:$A$1005&lt;&gt;"")*(MOVIMIENTOS!$A$5:$A$1005&lt;=$A863)*MOVIMIENTOS!$E$5:$E$1005)+SUMPRODUCT((MOVIMIENTOS!$B$5:$B$1005="DEVOLUCIÓN")*(MOVIMIENTOS!$C$5:$C$1005="C")*(MOVIMIENTOS!$D$5:$D$1005="jabas")*(MOVIMIENTOS!$A$5:$A$1005&lt;&gt;"")*(MOVIMIENTOS!$A$5:$A$1005&lt;=$A863)*MOVIMIENTOS!$E$5:$E$1005)-SUMPRODUCT((MOVIMIENTOS!$B$5:$B$1005="TRASIEGO")*(MOVIMIENTOS!$C$5:$C$1005="C")*(MOVIMIENTOS!$D$5:$D$1005="jabas")*(MOVIMIENTOS!$A$5:$A$1005&lt;&gt;"")*(MOVIMIENTOS!$A$5:$A$1005&lt;=$A863)*MOVIMIENTOS!$E$5:$E$1005)-SUMPRODUCT((MOVIMIENTOS!$B$5:$B$1005="REGALO")*(MOVIMIENTOS!$C$5:$C$1005="C")*(MOVIMIENTOS!$D$5:$D$1005="jabas")*(MOVIMIENTOS!$A$5:$A$1005&lt;&gt;"")*(MOVIMIENTOS!$A$5:$A$1005&lt;=$A863)*MOVIMIENTOS!$E$5:$E$1005)-SUMPRODUCT((MOVIMIENTOS!$B$5:$B$1005="VENTA")*(MOVIMIENTOS!$C$5:$C$1005="C")*(MOVIMIENTOS!$D$5:$D$1005="jabas")*(MOVIMIENTOS!$A$5:$A$1005&lt;&gt;"")*(MOVIMIENTOS!$A$5:$A$1005&lt;=$A863)*MOVIMIENTOS!$E$5:$E$1005)+SUMPRODUCT((MOVIMIENTOS!$B$5:$B$1005="AJUSTE")*(MOVIMIENTOS!$C$5:$C$1005="C")*(MOVIMIENTOS!$D$5:$D$1005="jabas")*(MOVIMIENTOS!$A$5:$A$1005&lt;&gt;"")*(MOVIMIENTOS!$A$5:$A$1005&lt;=$A863)*MOVIMIENTOS!$E$5:$E$1005))</f>
        <v/>
      </c>
      <c r="E863" t="str">
        <f>IF($A863="","",SUMPRODUCT((MOVIMIENTOS!$B$5:$B$1005="SALDO INICIAL")*(MOVIMIENTOS!$C$5:$C$1005="M")*(MOVIMIENTOS!$D$5:$D$1005="jabas")*(MOVIMIENTOS!$A$5:$A$1005&lt;&gt;"")*(MOVIMIENTOS!$A$5:$A$1005&lt;=$A863)*MOVIMIENTOS!$E$5:$E$1005)+SUMPRODUCT((MOVIMIENTOS!$B$5:$B$1005="PROCESO")*(MOVIMIENTOS!$C$5:$C$1005="M")*(MOVIMIENTOS!$D$5:$D$1005="jabas")*(MOVIMIENTOS!$A$5:$A$1005&lt;&gt;"")*(MOVIMIENTOS!$A$5:$A$1005&lt;=$A863)*MOVIMIENTOS!$E$5:$E$1005)-SUMPRODUCT((MOVIMIENTOS!$B$5:$B$1005="ENVÍO A SUPESA")*(MOVIMIENTOS!$C$5:$C$1005="M")*(MOVIMIENTOS!$D$5:$D$1005="jabas")*(MOVIMIENTOS!$A$5:$A$1005&lt;&gt;"")*(MOVIMIENTOS!$A$5:$A$1005&lt;=$A863)*MOVIMIENTOS!$E$5:$E$1005)+SUMPRODUCT((MOVIMIENTOS!$B$5:$B$1005="DEVOLUCIÓN")*(MOVIMIENTOS!$C$5:$C$1005="M")*(MOVIMIENTOS!$D$5:$D$1005="jabas")*(MOVIMIENTOS!$A$5:$A$1005&lt;&gt;"")*(MOVIMIENTOS!$A$5:$A$1005&lt;=$A863)*MOVIMIENTOS!$E$5:$E$1005)-SUMPRODUCT((MOVIMIENTOS!$B$5:$B$1005="TRASIEGO")*(MOVIMIENTOS!$C$5:$C$1005="M")*(MOVIMIENTOS!$D$5:$D$1005="jabas")*(MOVIMIENTOS!$A$5:$A$1005&lt;&gt;"")*(MOVIMIENTOS!$A$5:$A$1005&lt;=$A863)*MOVIMIENTOS!$E$5:$E$1005)-SUMPRODUCT((MOVIMIENTOS!$B$5:$B$1005="REGALO")*(MOVIMIENTOS!$C$5:$C$1005="M")*(MOVIMIENTOS!$D$5:$D$1005="jabas")*(MOVIMIENTOS!$A$5:$A$1005&lt;&gt;"")*(MOVIMIENTOS!$A$5:$A$1005&lt;=$A863)*MOVIMIENTOS!$E$5:$E$1005)-SUMPRODUCT((MOVIMIENTOS!$B$5:$B$1005="VENTA")*(MOVIMIENTOS!$C$5:$C$1005="M")*(MOVIMIENTOS!$D$5:$D$1005="jabas")*(MOVIMIENTOS!$A$5:$A$1005&lt;&gt;"")*(MOVIMIENTOS!$A$5:$A$1005&lt;=$A863)*MOVIMIENTOS!$E$5:$E$1005)+SUMPRODUCT((MOVIMIENTOS!$B$5:$B$1005="AJUSTE")*(MOVIMIENTOS!$C$5:$C$1005="M")*(MOVIMIENTOS!$D$5:$D$1005="jabas")*(MOVIMIENTOS!$A$5:$A$1005&lt;&gt;"")*(MOVIMIENTOS!$A$5:$A$1005&lt;=$A863)*MOVIMIENTOS!$E$5:$E$1005))</f>
        <v/>
      </c>
      <c r="F863" s="62" t="str">
        <f>IF($A863="","",SUMPRODUCT((MOVIMIENTOS!$B$5:$B$1005="SALDO INICIAL")*(MOVIMIENTOS!$C$5:$C$1005="Chancho")*(MOVIMIENTOS!$D$5:$D$1005="sacos")*(MOVIMIENTOS!$A$5:$A$1005&lt;&gt;"")*(MOVIMIENTOS!$A$5:$A$1005&lt;=$A863)*MOVIMIENTOS!$E$5:$E$1005)+SUMPRODUCT((MOVIMIENTOS!$B$5:$B$1005="PROCESO")*(MOVIMIENTOS!$C$5:$C$1005="Chancho")*(MOVIMIENTOS!$D$5:$D$1005="sacos")*(MOVIMIENTOS!$A$5:$A$1005&lt;&gt;"")*(MOVIMIENTOS!$A$5:$A$1005&lt;=$A863)*MOVIMIENTOS!$E$5:$E$1005)-SUMPRODUCT((MOVIMIENTOS!$B$5:$B$1005="VENTA CHANCHO")*(MOVIMIENTOS!$C$5:$C$1005="Chancho")*(MOVIMIENTOS!$D$5:$D$1005="sacos")*(MOVIMIENTOS!$A$5:$A$1005&lt;&gt;"")*(MOVIMIENTOS!$A$5:$A$1005&lt;=$A863)*MOVIMIENTOS!$E$5:$E$1005)-SUMPRODUCT((MOVIMIENTOS!$B$5:$B$1005="REGALO")*(MOVIMIENTOS!$C$5:$C$1005="Chancho")*(MOVIMIENTOS!$D$5:$D$1005="sacos")*(MOVIMIENTOS!$A$5:$A$1005&lt;&gt;"")*(MOVIMIENTOS!$A$5:$A$1005&lt;=$A863)*MOVIMIENTOS!$E$5:$E$1005)-SUMPRODUCT((MOVIMIENTOS!$B$5:$B$1005="VENTA")*(MOVIMIENTOS!$C$5:$C$1005="Chancho")*(MOVIMIENTOS!$D$5:$D$1005="sacos")*(MOVIMIENTOS!$A$5:$A$1005&lt;&gt;"")*(MOVIMIENTOS!$A$5:$A$1005&lt;=$A863)*MOVIMIENTOS!$E$5:$E$1005)+SUMPRODUCT((MOVIMIENTOS!$B$5:$B$1005="AJUSTE")*(MOVIMIENTOS!$C$5:$C$1005="Chancho")*(MOVIMIENTOS!$D$5:$D$1005="sacos")*(MOVIMIENTOS!$A$5:$A$1005&lt;&gt;"")*(MOVIMIENTOS!$A$5:$A$1005&lt;=$A863)*MOVIMIENTOS!$E$5:$E$1005))</f>
        <v/>
      </c>
      <c r="G863" s="62" t="str">
        <f t="shared" si="27"/>
        <v/>
      </c>
      <c r="H863" t="str">
        <f>IF($A863="","",SUMPRODUCT((((MOVIMIENTOS!$B$5:$B$1005="SALDO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863)*MOVIMIENTOS!$J$5:$J$1005))</f>
        <v/>
      </c>
      <c r="J863" t="str">
        <f>IF(AND(MOVIMIENTOS!$A868&lt;&gt;"",COUNTIF(MOVIMIENTOS!$A$5:$A867,MOVIMIENTOS!$A868)=0),COUNT(J$4:J862)+1,"")</f>
        <v/>
      </c>
      <c r="K863">
        <f>MOVIMIENTOS!$A868</f>
        <v>0</v>
      </c>
    </row>
    <row r="864" spans="1:11" ht="15" customHeight="1" x14ac:dyDescent="0.2">
      <c r="A864" t="str">
        <f t="shared" si="26"/>
        <v/>
      </c>
      <c r="B864" t="str">
        <f>IF($A864="","",SUMPRODUCT((MOVIMIENTOS!$B$5:$B$1005="SALDO INICIAL")*(MOVIMIENTOS!$C$5:$C$1005="A")*(MOVIMIENTOS!$D$5:$D$1005="jabas")*(MOVIMIENTOS!$A$5:$A$1005&lt;&gt;"")*(MOVIMIENTOS!$A$5:$A$1005&lt;=$A864)*MOVIMIENTOS!$E$5:$E$1005)+SUMPRODUCT((MOVIMIENTOS!$B$5:$B$1005="PROCESO")*(MOVIMIENTOS!$C$5:$C$1005="A")*(MOVIMIENTOS!$D$5:$D$1005="jabas")*(MOVIMIENTOS!$A$5:$A$1005&lt;&gt;"")*(MOVIMIENTOS!$A$5:$A$1005&lt;=$A864)*MOVIMIENTOS!$E$5:$E$1005)-SUMPRODUCT((MOVIMIENTOS!$B$5:$B$1005="ENVÍO A SUPESA")*(MOVIMIENTOS!$C$5:$C$1005="A")*(MOVIMIENTOS!$D$5:$D$1005="jabas")*(MOVIMIENTOS!$A$5:$A$1005&lt;&gt;"")*(MOVIMIENTOS!$A$5:$A$1005&lt;=$A864)*MOVIMIENTOS!$E$5:$E$1005)+SUMPRODUCT((MOVIMIENTOS!$B$5:$B$1005="DEVOLUCIÓN")*(MOVIMIENTOS!$C$5:$C$1005="A")*(MOVIMIENTOS!$D$5:$D$1005="jabas")*(MOVIMIENTOS!$A$5:$A$1005&lt;&gt;"")*(MOVIMIENTOS!$A$5:$A$1005&lt;=$A864)*MOVIMIENTOS!$E$5:$E$1005)-SUMPRODUCT((MOVIMIENTOS!$B$5:$B$1005="TRASIEGO")*(MOVIMIENTOS!$C$5:$C$1005="A")*(MOVIMIENTOS!$D$5:$D$1005="jabas")*(MOVIMIENTOS!$A$5:$A$1005&lt;&gt;"")*(MOVIMIENTOS!$A$5:$A$1005&lt;=$A864)*MOVIMIENTOS!$E$5:$E$1005)-SUMPRODUCT((MOVIMIENTOS!$B$5:$B$1005="REGALO")*(MOVIMIENTOS!$C$5:$C$1005="A")*(MOVIMIENTOS!$D$5:$D$1005="jabas")*(MOVIMIENTOS!$A$5:$A$1005&lt;&gt;"")*(MOVIMIENTOS!$A$5:$A$1005&lt;=$A864)*MOVIMIENTOS!$E$5:$E$1005)-SUMPRODUCT((MOVIMIENTOS!$B$5:$B$1005="VENTA")*(MOVIMIENTOS!$C$5:$C$1005="A")*(MOVIMIENTOS!$D$5:$D$1005="jabas")*(MOVIMIENTOS!$A$5:$A$1005&lt;&gt;"")*(MOVIMIENTOS!$A$5:$A$1005&lt;=$A864)*MOVIMIENTOS!$E$5:$E$1005)+SUMPRODUCT((MOVIMIENTOS!$B$5:$B$1005="AJUSTE")*(MOVIMIENTOS!$C$5:$C$1005="A")*(MOVIMIENTOS!$D$5:$D$1005="jabas")*(MOVIMIENTOS!$A$5:$A$1005&lt;&gt;"")*(MOVIMIENTOS!$A$5:$A$1005&lt;=$A864)*MOVIMIENTOS!$E$5:$E$1005))</f>
        <v/>
      </c>
      <c r="C864" t="str">
        <f>IF($A864="","",SUMPRODUCT((MOVIMIENTOS!$B$5:$B$1005="SALDO INICIAL")*(MOVIMIENTOS!$C$5:$C$1005="P")*(MOVIMIENTOS!$D$5:$D$1005="jabas")*(MOVIMIENTOS!$A$5:$A$1005&lt;&gt;"")*(MOVIMIENTOS!$A$5:$A$1005&lt;=$A864)*MOVIMIENTOS!$E$5:$E$1005)+SUMPRODUCT((MOVIMIENTOS!$B$5:$B$1005="PROCESO")*(MOVIMIENTOS!$C$5:$C$1005="P")*(MOVIMIENTOS!$D$5:$D$1005="jabas")*(MOVIMIENTOS!$A$5:$A$1005&lt;&gt;"")*(MOVIMIENTOS!$A$5:$A$1005&lt;=$A864)*MOVIMIENTOS!$E$5:$E$1005)-SUMPRODUCT((MOVIMIENTOS!$B$5:$B$1005="ENVÍO A SUPESA")*(MOVIMIENTOS!$C$5:$C$1005="P")*(MOVIMIENTOS!$D$5:$D$1005="jabas")*(MOVIMIENTOS!$A$5:$A$1005&lt;&gt;"")*(MOVIMIENTOS!$A$5:$A$1005&lt;=$A864)*MOVIMIENTOS!$E$5:$E$1005)+SUMPRODUCT((MOVIMIENTOS!$B$5:$B$1005="DEVOLUCIÓN")*(MOVIMIENTOS!$C$5:$C$1005="P")*(MOVIMIENTOS!$D$5:$D$1005="jabas")*(MOVIMIENTOS!$A$5:$A$1005&lt;&gt;"")*(MOVIMIENTOS!$A$5:$A$1005&lt;=$A864)*MOVIMIENTOS!$E$5:$E$1005)-SUMPRODUCT((MOVIMIENTOS!$B$5:$B$1005="TRASIEGO")*(MOVIMIENTOS!$C$5:$C$1005="P")*(MOVIMIENTOS!$D$5:$D$1005="jabas")*(MOVIMIENTOS!$A$5:$A$1005&lt;&gt;"")*(MOVIMIENTOS!$A$5:$A$1005&lt;=$A864)*MOVIMIENTOS!$E$5:$E$1005)-SUMPRODUCT((MOVIMIENTOS!$B$5:$B$1005="REGALO")*(MOVIMIENTOS!$C$5:$C$1005="P")*(MOVIMIENTOS!$D$5:$D$1005="jabas")*(MOVIMIENTOS!$A$5:$A$1005&lt;&gt;"")*(MOVIMIENTOS!$A$5:$A$1005&lt;=$A864)*MOVIMIENTOS!$E$5:$E$1005)-SUMPRODUCT((MOVIMIENTOS!$B$5:$B$1005="VENTA")*(MOVIMIENTOS!$C$5:$C$1005="P")*(MOVIMIENTOS!$D$5:$D$1005="jabas")*(MOVIMIENTOS!$A$5:$A$1005&lt;&gt;"")*(MOVIMIENTOS!$A$5:$A$1005&lt;=$A864)*MOVIMIENTOS!$E$5:$E$1005)+SUMPRODUCT((MOVIMIENTOS!$B$5:$B$1005="AJUSTE")*(MOVIMIENTOS!$C$5:$C$1005="P")*(MOVIMIENTOS!$D$5:$D$1005="jabas")*(MOVIMIENTOS!$A$5:$A$1005&lt;&gt;"")*(MOVIMIENTOS!$A$5:$A$1005&lt;=$A864)*MOVIMIENTOS!$E$5:$E$1005))</f>
        <v/>
      </c>
      <c r="D864" t="str">
        <f>IF($A864="","",SUMPRODUCT((MOVIMIENTOS!$B$5:$B$1005="SALDO INICIAL")*(MOVIMIENTOS!$C$5:$C$1005="C")*(MOVIMIENTOS!$D$5:$D$1005="jabas")*(MOVIMIENTOS!$A$5:$A$1005&lt;&gt;"")*(MOVIMIENTOS!$A$5:$A$1005&lt;=$A864)*MOVIMIENTOS!$E$5:$E$1005)+SUMPRODUCT((MOVIMIENTOS!$B$5:$B$1005="PROCESO")*(MOVIMIENTOS!$C$5:$C$1005="C")*(MOVIMIENTOS!$D$5:$D$1005="jabas")*(MOVIMIENTOS!$A$5:$A$1005&lt;&gt;"")*(MOVIMIENTOS!$A$5:$A$1005&lt;=$A864)*MOVIMIENTOS!$E$5:$E$1005)-SUMPRODUCT((MOVIMIENTOS!$B$5:$B$1005="ENVÍO A SUPESA")*(MOVIMIENTOS!$C$5:$C$1005="C")*(MOVIMIENTOS!$D$5:$D$1005="jabas")*(MOVIMIENTOS!$A$5:$A$1005&lt;&gt;"")*(MOVIMIENTOS!$A$5:$A$1005&lt;=$A864)*MOVIMIENTOS!$E$5:$E$1005)+SUMPRODUCT((MOVIMIENTOS!$B$5:$B$1005="DEVOLUCIÓN")*(MOVIMIENTOS!$C$5:$C$1005="C")*(MOVIMIENTOS!$D$5:$D$1005="jabas")*(MOVIMIENTOS!$A$5:$A$1005&lt;&gt;"")*(MOVIMIENTOS!$A$5:$A$1005&lt;=$A864)*MOVIMIENTOS!$E$5:$E$1005)-SUMPRODUCT((MOVIMIENTOS!$B$5:$B$1005="TRASIEGO")*(MOVIMIENTOS!$C$5:$C$1005="C")*(MOVIMIENTOS!$D$5:$D$1005="jabas")*(MOVIMIENTOS!$A$5:$A$1005&lt;&gt;"")*(MOVIMIENTOS!$A$5:$A$1005&lt;=$A864)*MOVIMIENTOS!$E$5:$E$1005)-SUMPRODUCT((MOVIMIENTOS!$B$5:$B$1005="REGALO")*(MOVIMIENTOS!$C$5:$C$1005="C")*(MOVIMIENTOS!$D$5:$D$1005="jabas")*(MOVIMIENTOS!$A$5:$A$1005&lt;&gt;"")*(MOVIMIENTOS!$A$5:$A$1005&lt;=$A864)*MOVIMIENTOS!$E$5:$E$1005)-SUMPRODUCT((MOVIMIENTOS!$B$5:$B$1005="VENTA")*(MOVIMIENTOS!$C$5:$C$1005="C")*(MOVIMIENTOS!$D$5:$D$1005="jabas")*(MOVIMIENTOS!$A$5:$A$1005&lt;&gt;"")*(MOVIMIENTOS!$A$5:$A$1005&lt;=$A864)*MOVIMIENTOS!$E$5:$E$1005)+SUMPRODUCT((MOVIMIENTOS!$B$5:$B$1005="AJUSTE")*(MOVIMIENTOS!$C$5:$C$1005="C")*(MOVIMIENTOS!$D$5:$D$1005="jabas")*(MOVIMIENTOS!$A$5:$A$1005&lt;&gt;"")*(MOVIMIENTOS!$A$5:$A$1005&lt;=$A864)*MOVIMIENTOS!$E$5:$E$1005))</f>
        <v/>
      </c>
      <c r="E864" t="str">
        <f>IF($A864="","",SUMPRODUCT((MOVIMIENTOS!$B$5:$B$1005="SALDO INICIAL")*(MOVIMIENTOS!$C$5:$C$1005="M")*(MOVIMIENTOS!$D$5:$D$1005="jabas")*(MOVIMIENTOS!$A$5:$A$1005&lt;&gt;"")*(MOVIMIENTOS!$A$5:$A$1005&lt;=$A864)*MOVIMIENTOS!$E$5:$E$1005)+SUMPRODUCT((MOVIMIENTOS!$B$5:$B$1005="PROCESO")*(MOVIMIENTOS!$C$5:$C$1005="M")*(MOVIMIENTOS!$D$5:$D$1005="jabas")*(MOVIMIENTOS!$A$5:$A$1005&lt;&gt;"")*(MOVIMIENTOS!$A$5:$A$1005&lt;=$A864)*MOVIMIENTOS!$E$5:$E$1005)-SUMPRODUCT((MOVIMIENTOS!$B$5:$B$1005="ENVÍO A SUPESA")*(MOVIMIENTOS!$C$5:$C$1005="M")*(MOVIMIENTOS!$D$5:$D$1005="jabas")*(MOVIMIENTOS!$A$5:$A$1005&lt;&gt;"")*(MOVIMIENTOS!$A$5:$A$1005&lt;=$A864)*MOVIMIENTOS!$E$5:$E$1005)+SUMPRODUCT((MOVIMIENTOS!$B$5:$B$1005="DEVOLUCIÓN")*(MOVIMIENTOS!$C$5:$C$1005="M")*(MOVIMIENTOS!$D$5:$D$1005="jabas")*(MOVIMIENTOS!$A$5:$A$1005&lt;&gt;"")*(MOVIMIENTOS!$A$5:$A$1005&lt;=$A864)*MOVIMIENTOS!$E$5:$E$1005)-SUMPRODUCT((MOVIMIENTOS!$B$5:$B$1005="TRASIEGO")*(MOVIMIENTOS!$C$5:$C$1005="M")*(MOVIMIENTOS!$D$5:$D$1005="jabas")*(MOVIMIENTOS!$A$5:$A$1005&lt;&gt;"")*(MOVIMIENTOS!$A$5:$A$1005&lt;=$A864)*MOVIMIENTOS!$E$5:$E$1005)-SUMPRODUCT((MOVIMIENTOS!$B$5:$B$1005="REGALO")*(MOVIMIENTOS!$C$5:$C$1005="M")*(MOVIMIENTOS!$D$5:$D$1005="jabas")*(MOVIMIENTOS!$A$5:$A$1005&lt;&gt;"")*(MOVIMIENTOS!$A$5:$A$1005&lt;=$A864)*MOVIMIENTOS!$E$5:$E$1005)-SUMPRODUCT((MOVIMIENTOS!$B$5:$B$1005="VENTA")*(MOVIMIENTOS!$C$5:$C$1005="M")*(MOVIMIENTOS!$D$5:$D$1005="jabas")*(MOVIMIENTOS!$A$5:$A$1005&lt;&gt;"")*(MOVIMIENTOS!$A$5:$A$1005&lt;=$A864)*MOVIMIENTOS!$E$5:$E$1005)+SUMPRODUCT((MOVIMIENTOS!$B$5:$B$1005="AJUSTE")*(MOVIMIENTOS!$C$5:$C$1005="M")*(MOVIMIENTOS!$D$5:$D$1005="jabas")*(MOVIMIENTOS!$A$5:$A$1005&lt;&gt;"")*(MOVIMIENTOS!$A$5:$A$1005&lt;=$A864)*MOVIMIENTOS!$E$5:$E$1005))</f>
        <v/>
      </c>
      <c r="F864" s="62" t="str">
        <f>IF($A864="","",SUMPRODUCT((MOVIMIENTOS!$B$5:$B$1005="SALDO INICIAL")*(MOVIMIENTOS!$C$5:$C$1005="Chancho")*(MOVIMIENTOS!$D$5:$D$1005="sacos")*(MOVIMIENTOS!$A$5:$A$1005&lt;&gt;"")*(MOVIMIENTOS!$A$5:$A$1005&lt;=$A864)*MOVIMIENTOS!$E$5:$E$1005)+SUMPRODUCT((MOVIMIENTOS!$B$5:$B$1005="PROCESO")*(MOVIMIENTOS!$C$5:$C$1005="Chancho")*(MOVIMIENTOS!$D$5:$D$1005="sacos")*(MOVIMIENTOS!$A$5:$A$1005&lt;&gt;"")*(MOVIMIENTOS!$A$5:$A$1005&lt;=$A864)*MOVIMIENTOS!$E$5:$E$1005)-SUMPRODUCT((MOVIMIENTOS!$B$5:$B$1005="VENTA CHANCHO")*(MOVIMIENTOS!$C$5:$C$1005="Chancho")*(MOVIMIENTOS!$D$5:$D$1005="sacos")*(MOVIMIENTOS!$A$5:$A$1005&lt;&gt;"")*(MOVIMIENTOS!$A$5:$A$1005&lt;=$A864)*MOVIMIENTOS!$E$5:$E$1005)-SUMPRODUCT((MOVIMIENTOS!$B$5:$B$1005="REGALO")*(MOVIMIENTOS!$C$5:$C$1005="Chancho")*(MOVIMIENTOS!$D$5:$D$1005="sacos")*(MOVIMIENTOS!$A$5:$A$1005&lt;&gt;"")*(MOVIMIENTOS!$A$5:$A$1005&lt;=$A864)*MOVIMIENTOS!$E$5:$E$1005)-SUMPRODUCT((MOVIMIENTOS!$B$5:$B$1005="VENTA")*(MOVIMIENTOS!$C$5:$C$1005="Chancho")*(MOVIMIENTOS!$D$5:$D$1005="sacos")*(MOVIMIENTOS!$A$5:$A$1005&lt;&gt;"")*(MOVIMIENTOS!$A$5:$A$1005&lt;=$A864)*MOVIMIENTOS!$E$5:$E$1005)+SUMPRODUCT((MOVIMIENTOS!$B$5:$B$1005="AJUSTE")*(MOVIMIENTOS!$C$5:$C$1005="Chancho")*(MOVIMIENTOS!$D$5:$D$1005="sacos")*(MOVIMIENTOS!$A$5:$A$1005&lt;&gt;"")*(MOVIMIENTOS!$A$5:$A$1005&lt;=$A864)*MOVIMIENTOS!$E$5:$E$1005))</f>
        <v/>
      </c>
      <c r="G864" s="62" t="str">
        <f t="shared" si="27"/>
        <v/>
      </c>
      <c r="H864" t="str">
        <f>IF($A864="","",SUMPRODUCT((((MOVIMIENTOS!$B$5:$B$1005="SALDO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864)*MOVIMIENTOS!$J$5:$J$1005))</f>
        <v/>
      </c>
      <c r="J864" t="str">
        <f>IF(AND(MOVIMIENTOS!$A869&lt;&gt;"",COUNTIF(MOVIMIENTOS!$A$5:$A868,MOVIMIENTOS!$A869)=0),COUNT(J$4:J863)+1,"")</f>
        <v/>
      </c>
      <c r="K864">
        <f>MOVIMIENTOS!$A869</f>
        <v>0</v>
      </c>
    </row>
    <row r="865" spans="1:11" ht="15" customHeight="1" x14ac:dyDescent="0.2">
      <c r="A865" t="str">
        <f t="shared" si="26"/>
        <v/>
      </c>
      <c r="B865" t="str">
        <f>IF($A865="","",SUMPRODUCT((MOVIMIENTOS!$B$5:$B$1005="SALDO INICIAL")*(MOVIMIENTOS!$C$5:$C$1005="A")*(MOVIMIENTOS!$D$5:$D$1005="jabas")*(MOVIMIENTOS!$A$5:$A$1005&lt;&gt;"")*(MOVIMIENTOS!$A$5:$A$1005&lt;=$A865)*MOVIMIENTOS!$E$5:$E$1005)+SUMPRODUCT((MOVIMIENTOS!$B$5:$B$1005="PROCESO")*(MOVIMIENTOS!$C$5:$C$1005="A")*(MOVIMIENTOS!$D$5:$D$1005="jabas")*(MOVIMIENTOS!$A$5:$A$1005&lt;&gt;"")*(MOVIMIENTOS!$A$5:$A$1005&lt;=$A865)*MOVIMIENTOS!$E$5:$E$1005)-SUMPRODUCT((MOVIMIENTOS!$B$5:$B$1005="ENVÍO A SUPESA")*(MOVIMIENTOS!$C$5:$C$1005="A")*(MOVIMIENTOS!$D$5:$D$1005="jabas")*(MOVIMIENTOS!$A$5:$A$1005&lt;&gt;"")*(MOVIMIENTOS!$A$5:$A$1005&lt;=$A865)*MOVIMIENTOS!$E$5:$E$1005)+SUMPRODUCT((MOVIMIENTOS!$B$5:$B$1005="DEVOLUCIÓN")*(MOVIMIENTOS!$C$5:$C$1005="A")*(MOVIMIENTOS!$D$5:$D$1005="jabas")*(MOVIMIENTOS!$A$5:$A$1005&lt;&gt;"")*(MOVIMIENTOS!$A$5:$A$1005&lt;=$A865)*MOVIMIENTOS!$E$5:$E$1005)-SUMPRODUCT((MOVIMIENTOS!$B$5:$B$1005="TRASIEGO")*(MOVIMIENTOS!$C$5:$C$1005="A")*(MOVIMIENTOS!$D$5:$D$1005="jabas")*(MOVIMIENTOS!$A$5:$A$1005&lt;&gt;"")*(MOVIMIENTOS!$A$5:$A$1005&lt;=$A865)*MOVIMIENTOS!$E$5:$E$1005)-SUMPRODUCT((MOVIMIENTOS!$B$5:$B$1005="REGALO")*(MOVIMIENTOS!$C$5:$C$1005="A")*(MOVIMIENTOS!$D$5:$D$1005="jabas")*(MOVIMIENTOS!$A$5:$A$1005&lt;&gt;"")*(MOVIMIENTOS!$A$5:$A$1005&lt;=$A865)*MOVIMIENTOS!$E$5:$E$1005)-SUMPRODUCT((MOVIMIENTOS!$B$5:$B$1005="VENTA")*(MOVIMIENTOS!$C$5:$C$1005="A")*(MOVIMIENTOS!$D$5:$D$1005="jabas")*(MOVIMIENTOS!$A$5:$A$1005&lt;&gt;"")*(MOVIMIENTOS!$A$5:$A$1005&lt;=$A865)*MOVIMIENTOS!$E$5:$E$1005)+SUMPRODUCT((MOVIMIENTOS!$B$5:$B$1005="AJUSTE")*(MOVIMIENTOS!$C$5:$C$1005="A")*(MOVIMIENTOS!$D$5:$D$1005="jabas")*(MOVIMIENTOS!$A$5:$A$1005&lt;&gt;"")*(MOVIMIENTOS!$A$5:$A$1005&lt;=$A865)*MOVIMIENTOS!$E$5:$E$1005))</f>
        <v/>
      </c>
      <c r="C865" t="str">
        <f>IF($A865="","",SUMPRODUCT((MOVIMIENTOS!$B$5:$B$1005="SALDO INICIAL")*(MOVIMIENTOS!$C$5:$C$1005="P")*(MOVIMIENTOS!$D$5:$D$1005="jabas")*(MOVIMIENTOS!$A$5:$A$1005&lt;&gt;"")*(MOVIMIENTOS!$A$5:$A$1005&lt;=$A865)*MOVIMIENTOS!$E$5:$E$1005)+SUMPRODUCT((MOVIMIENTOS!$B$5:$B$1005="PROCESO")*(MOVIMIENTOS!$C$5:$C$1005="P")*(MOVIMIENTOS!$D$5:$D$1005="jabas")*(MOVIMIENTOS!$A$5:$A$1005&lt;&gt;"")*(MOVIMIENTOS!$A$5:$A$1005&lt;=$A865)*MOVIMIENTOS!$E$5:$E$1005)-SUMPRODUCT((MOVIMIENTOS!$B$5:$B$1005="ENVÍO A SUPESA")*(MOVIMIENTOS!$C$5:$C$1005="P")*(MOVIMIENTOS!$D$5:$D$1005="jabas")*(MOVIMIENTOS!$A$5:$A$1005&lt;&gt;"")*(MOVIMIENTOS!$A$5:$A$1005&lt;=$A865)*MOVIMIENTOS!$E$5:$E$1005)+SUMPRODUCT((MOVIMIENTOS!$B$5:$B$1005="DEVOLUCIÓN")*(MOVIMIENTOS!$C$5:$C$1005="P")*(MOVIMIENTOS!$D$5:$D$1005="jabas")*(MOVIMIENTOS!$A$5:$A$1005&lt;&gt;"")*(MOVIMIENTOS!$A$5:$A$1005&lt;=$A865)*MOVIMIENTOS!$E$5:$E$1005)-SUMPRODUCT((MOVIMIENTOS!$B$5:$B$1005="TRASIEGO")*(MOVIMIENTOS!$C$5:$C$1005="P")*(MOVIMIENTOS!$D$5:$D$1005="jabas")*(MOVIMIENTOS!$A$5:$A$1005&lt;&gt;"")*(MOVIMIENTOS!$A$5:$A$1005&lt;=$A865)*MOVIMIENTOS!$E$5:$E$1005)-SUMPRODUCT((MOVIMIENTOS!$B$5:$B$1005="REGALO")*(MOVIMIENTOS!$C$5:$C$1005="P")*(MOVIMIENTOS!$D$5:$D$1005="jabas")*(MOVIMIENTOS!$A$5:$A$1005&lt;&gt;"")*(MOVIMIENTOS!$A$5:$A$1005&lt;=$A865)*MOVIMIENTOS!$E$5:$E$1005)-SUMPRODUCT((MOVIMIENTOS!$B$5:$B$1005="VENTA")*(MOVIMIENTOS!$C$5:$C$1005="P")*(MOVIMIENTOS!$D$5:$D$1005="jabas")*(MOVIMIENTOS!$A$5:$A$1005&lt;&gt;"")*(MOVIMIENTOS!$A$5:$A$1005&lt;=$A865)*MOVIMIENTOS!$E$5:$E$1005)+SUMPRODUCT((MOVIMIENTOS!$B$5:$B$1005="AJUSTE")*(MOVIMIENTOS!$C$5:$C$1005="P")*(MOVIMIENTOS!$D$5:$D$1005="jabas")*(MOVIMIENTOS!$A$5:$A$1005&lt;&gt;"")*(MOVIMIENTOS!$A$5:$A$1005&lt;=$A865)*MOVIMIENTOS!$E$5:$E$1005))</f>
        <v/>
      </c>
      <c r="D865" t="str">
        <f>IF($A865="","",SUMPRODUCT((MOVIMIENTOS!$B$5:$B$1005="SALDO INICIAL")*(MOVIMIENTOS!$C$5:$C$1005="C")*(MOVIMIENTOS!$D$5:$D$1005="jabas")*(MOVIMIENTOS!$A$5:$A$1005&lt;&gt;"")*(MOVIMIENTOS!$A$5:$A$1005&lt;=$A865)*MOVIMIENTOS!$E$5:$E$1005)+SUMPRODUCT((MOVIMIENTOS!$B$5:$B$1005="PROCESO")*(MOVIMIENTOS!$C$5:$C$1005="C")*(MOVIMIENTOS!$D$5:$D$1005="jabas")*(MOVIMIENTOS!$A$5:$A$1005&lt;&gt;"")*(MOVIMIENTOS!$A$5:$A$1005&lt;=$A865)*MOVIMIENTOS!$E$5:$E$1005)-SUMPRODUCT((MOVIMIENTOS!$B$5:$B$1005="ENVÍO A SUPESA")*(MOVIMIENTOS!$C$5:$C$1005="C")*(MOVIMIENTOS!$D$5:$D$1005="jabas")*(MOVIMIENTOS!$A$5:$A$1005&lt;&gt;"")*(MOVIMIENTOS!$A$5:$A$1005&lt;=$A865)*MOVIMIENTOS!$E$5:$E$1005)+SUMPRODUCT((MOVIMIENTOS!$B$5:$B$1005="DEVOLUCIÓN")*(MOVIMIENTOS!$C$5:$C$1005="C")*(MOVIMIENTOS!$D$5:$D$1005="jabas")*(MOVIMIENTOS!$A$5:$A$1005&lt;&gt;"")*(MOVIMIENTOS!$A$5:$A$1005&lt;=$A865)*MOVIMIENTOS!$E$5:$E$1005)-SUMPRODUCT((MOVIMIENTOS!$B$5:$B$1005="TRASIEGO")*(MOVIMIENTOS!$C$5:$C$1005="C")*(MOVIMIENTOS!$D$5:$D$1005="jabas")*(MOVIMIENTOS!$A$5:$A$1005&lt;&gt;"")*(MOVIMIENTOS!$A$5:$A$1005&lt;=$A865)*MOVIMIENTOS!$E$5:$E$1005)-SUMPRODUCT((MOVIMIENTOS!$B$5:$B$1005="REGALO")*(MOVIMIENTOS!$C$5:$C$1005="C")*(MOVIMIENTOS!$D$5:$D$1005="jabas")*(MOVIMIENTOS!$A$5:$A$1005&lt;&gt;"")*(MOVIMIENTOS!$A$5:$A$1005&lt;=$A865)*MOVIMIENTOS!$E$5:$E$1005)-SUMPRODUCT((MOVIMIENTOS!$B$5:$B$1005="VENTA")*(MOVIMIENTOS!$C$5:$C$1005="C")*(MOVIMIENTOS!$D$5:$D$1005="jabas")*(MOVIMIENTOS!$A$5:$A$1005&lt;&gt;"")*(MOVIMIENTOS!$A$5:$A$1005&lt;=$A865)*MOVIMIENTOS!$E$5:$E$1005)+SUMPRODUCT((MOVIMIENTOS!$B$5:$B$1005="AJUSTE")*(MOVIMIENTOS!$C$5:$C$1005="C")*(MOVIMIENTOS!$D$5:$D$1005="jabas")*(MOVIMIENTOS!$A$5:$A$1005&lt;&gt;"")*(MOVIMIENTOS!$A$5:$A$1005&lt;=$A865)*MOVIMIENTOS!$E$5:$E$1005))</f>
        <v/>
      </c>
      <c r="E865" t="str">
        <f>IF($A865="","",SUMPRODUCT((MOVIMIENTOS!$B$5:$B$1005="SALDO INICIAL")*(MOVIMIENTOS!$C$5:$C$1005="M")*(MOVIMIENTOS!$D$5:$D$1005="jabas")*(MOVIMIENTOS!$A$5:$A$1005&lt;&gt;"")*(MOVIMIENTOS!$A$5:$A$1005&lt;=$A865)*MOVIMIENTOS!$E$5:$E$1005)+SUMPRODUCT((MOVIMIENTOS!$B$5:$B$1005="PROCESO")*(MOVIMIENTOS!$C$5:$C$1005="M")*(MOVIMIENTOS!$D$5:$D$1005="jabas")*(MOVIMIENTOS!$A$5:$A$1005&lt;&gt;"")*(MOVIMIENTOS!$A$5:$A$1005&lt;=$A865)*MOVIMIENTOS!$E$5:$E$1005)-SUMPRODUCT((MOVIMIENTOS!$B$5:$B$1005="ENVÍO A SUPESA")*(MOVIMIENTOS!$C$5:$C$1005="M")*(MOVIMIENTOS!$D$5:$D$1005="jabas")*(MOVIMIENTOS!$A$5:$A$1005&lt;&gt;"")*(MOVIMIENTOS!$A$5:$A$1005&lt;=$A865)*MOVIMIENTOS!$E$5:$E$1005)+SUMPRODUCT((MOVIMIENTOS!$B$5:$B$1005="DEVOLUCIÓN")*(MOVIMIENTOS!$C$5:$C$1005="M")*(MOVIMIENTOS!$D$5:$D$1005="jabas")*(MOVIMIENTOS!$A$5:$A$1005&lt;&gt;"")*(MOVIMIENTOS!$A$5:$A$1005&lt;=$A865)*MOVIMIENTOS!$E$5:$E$1005)-SUMPRODUCT((MOVIMIENTOS!$B$5:$B$1005="TRASIEGO")*(MOVIMIENTOS!$C$5:$C$1005="M")*(MOVIMIENTOS!$D$5:$D$1005="jabas")*(MOVIMIENTOS!$A$5:$A$1005&lt;&gt;"")*(MOVIMIENTOS!$A$5:$A$1005&lt;=$A865)*MOVIMIENTOS!$E$5:$E$1005)-SUMPRODUCT((MOVIMIENTOS!$B$5:$B$1005="REGALO")*(MOVIMIENTOS!$C$5:$C$1005="M")*(MOVIMIENTOS!$D$5:$D$1005="jabas")*(MOVIMIENTOS!$A$5:$A$1005&lt;&gt;"")*(MOVIMIENTOS!$A$5:$A$1005&lt;=$A865)*MOVIMIENTOS!$E$5:$E$1005)-SUMPRODUCT((MOVIMIENTOS!$B$5:$B$1005="VENTA")*(MOVIMIENTOS!$C$5:$C$1005="M")*(MOVIMIENTOS!$D$5:$D$1005="jabas")*(MOVIMIENTOS!$A$5:$A$1005&lt;&gt;"")*(MOVIMIENTOS!$A$5:$A$1005&lt;=$A865)*MOVIMIENTOS!$E$5:$E$1005)+SUMPRODUCT((MOVIMIENTOS!$B$5:$B$1005="AJUSTE")*(MOVIMIENTOS!$C$5:$C$1005="M")*(MOVIMIENTOS!$D$5:$D$1005="jabas")*(MOVIMIENTOS!$A$5:$A$1005&lt;&gt;"")*(MOVIMIENTOS!$A$5:$A$1005&lt;=$A865)*MOVIMIENTOS!$E$5:$E$1005))</f>
        <v/>
      </c>
      <c r="F865" s="62" t="str">
        <f>IF($A865="","",SUMPRODUCT((MOVIMIENTOS!$B$5:$B$1005="SALDO INICIAL")*(MOVIMIENTOS!$C$5:$C$1005="Chancho")*(MOVIMIENTOS!$D$5:$D$1005="sacos")*(MOVIMIENTOS!$A$5:$A$1005&lt;&gt;"")*(MOVIMIENTOS!$A$5:$A$1005&lt;=$A865)*MOVIMIENTOS!$E$5:$E$1005)+SUMPRODUCT((MOVIMIENTOS!$B$5:$B$1005="PROCESO")*(MOVIMIENTOS!$C$5:$C$1005="Chancho")*(MOVIMIENTOS!$D$5:$D$1005="sacos")*(MOVIMIENTOS!$A$5:$A$1005&lt;&gt;"")*(MOVIMIENTOS!$A$5:$A$1005&lt;=$A865)*MOVIMIENTOS!$E$5:$E$1005)-SUMPRODUCT((MOVIMIENTOS!$B$5:$B$1005="VENTA CHANCHO")*(MOVIMIENTOS!$C$5:$C$1005="Chancho")*(MOVIMIENTOS!$D$5:$D$1005="sacos")*(MOVIMIENTOS!$A$5:$A$1005&lt;&gt;"")*(MOVIMIENTOS!$A$5:$A$1005&lt;=$A865)*MOVIMIENTOS!$E$5:$E$1005)-SUMPRODUCT((MOVIMIENTOS!$B$5:$B$1005="REGALO")*(MOVIMIENTOS!$C$5:$C$1005="Chancho")*(MOVIMIENTOS!$D$5:$D$1005="sacos")*(MOVIMIENTOS!$A$5:$A$1005&lt;&gt;"")*(MOVIMIENTOS!$A$5:$A$1005&lt;=$A865)*MOVIMIENTOS!$E$5:$E$1005)-SUMPRODUCT((MOVIMIENTOS!$B$5:$B$1005="VENTA")*(MOVIMIENTOS!$C$5:$C$1005="Chancho")*(MOVIMIENTOS!$D$5:$D$1005="sacos")*(MOVIMIENTOS!$A$5:$A$1005&lt;&gt;"")*(MOVIMIENTOS!$A$5:$A$1005&lt;=$A865)*MOVIMIENTOS!$E$5:$E$1005)+SUMPRODUCT((MOVIMIENTOS!$B$5:$B$1005="AJUSTE")*(MOVIMIENTOS!$C$5:$C$1005="Chancho")*(MOVIMIENTOS!$D$5:$D$1005="sacos")*(MOVIMIENTOS!$A$5:$A$1005&lt;&gt;"")*(MOVIMIENTOS!$A$5:$A$1005&lt;=$A865)*MOVIMIENTOS!$E$5:$E$1005))</f>
        <v/>
      </c>
      <c r="G865" s="62" t="str">
        <f t="shared" si="27"/>
        <v/>
      </c>
      <c r="H865" t="str">
        <f>IF($A865="","",SUMPRODUCT((((MOVIMIENTOS!$B$5:$B$1005="SALDO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865)*MOVIMIENTOS!$J$5:$J$1005))</f>
        <v/>
      </c>
      <c r="J865" t="str">
        <f>IF(AND(MOVIMIENTOS!$A870&lt;&gt;"",COUNTIF(MOVIMIENTOS!$A$5:$A869,MOVIMIENTOS!$A870)=0),COUNT(J$4:J864)+1,"")</f>
        <v/>
      </c>
      <c r="K865">
        <f>MOVIMIENTOS!$A870</f>
        <v>0</v>
      </c>
    </row>
    <row r="866" spans="1:11" ht="15" customHeight="1" x14ac:dyDescent="0.2">
      <c r="A866" t="str">
        <f t="shared" si="26"/>
        <v/>
      </c>
      <c r="B866" t="str">
        <f>IF($A866="","",SUMPRODUCT((MOVIMIENTOS!$B$5:$B$1005="SALDO INICIAL")*(MOVIMIENTOS!$C$5:$C$1005="A")*(MOVIMIENTOS!$D$5:$D$1005="jabas")*(MOVIMIENTOS!$A$5:$A$1005&lt;&gt;"")*(MOVIMIENTOS!$A$5:$A$1005&lt;=$A866)*MOVIMIENTOS!$E$5:$E$1005)+SUMPRODUCT((MOVIMIENTOS!$B$5:$B$1005="PROCESO")*(MOVIMIENTOS!$C$5:$C$1005="A")*(MOVIMIENTOS!$D$5:$D$1005="jabas")*(MOVIMIENTOS!$A$5:$A$1005&lt;&gt;"")*(MOVIMIENTOS!$A$5:$A$1005&lt;=$A866)*MOVIMIENTOS!$E$5:$E$1005)-SUMPRODUCT((MOVIMIENTOS!$B$5:$B$1005="ENVÍO A SUPESA")*(MOVIMIENTOS!$C$5:$C$1005="A")*(MOVIMIENTOS!$D$5:$D$1005="jabas")*(MOVIMIENTOS!$A$5:$A$1005&lt;&gt;"")*(MOVIMIENTOS!$A$5:$A$1005&lt;=$A866)*MOVIMIENTOS!$E$5:$E$1005)+SUMPRODUCT((MOVIMIENTOS!$B$5:$B$1005="DEVOLUCIÓN")*(MOVIMIENTOS!$C$5:$C$1005="A")*(MOVIMIENTOS!$D$5:$D$1005="jabas")*(MOVIMIENTOS!$A$5:$A$1005&lt;&gt;"")*(MOVIMIENTOS!$A$5:$A$1005&lt;=$A866)*MOVIMIENTOS!$E$5:$E$1005)-SUMPRODUCT((MOVIMIENTOS!$B$5:$B$1005="TRASIEGO")*(MOVIMIENTOS!$C$5:$C$1005="A")*(MOVIMIENTOS!$D$5:$D$1005="jabas")*(MOVIMIENTOS!$A$5:$A$1005&lt;&gt;"")*(MOVIMIENTOS!$A$5:$A$1005&lt;=$A866)*MOVIMIENTOS!$E$5:$E$1005)-SUMPRODUCT((MOVIMIENTOS!$B$5:$B$1005="REGALO")*(MOVIMIENTOS!$C$5:$C$1005="A")*(MOVIMIENTOS!$D$5:$D$1005="jabas")*(MOVIMIENTOS!$A$5:$A$1005&lt;&gt;"")*(MOVIMIENTOS!$A$5:$A$1005&lt;=$A866)*MOVIMIENTOS!$E$5:$E$1005)-SUMPRODUCT((MOVIMIENTOS!$B$5:$B$1005="VENTA")*(MOVIMIENTOS!$C$5:$C$1005="A")*(MOVIMIENTOS!$D$5:$D$1005="jabas")*(MOVIMIENTOS!$A$5:$A$1005&lt;&gt;"")*(MOVIMIENTOS!$A$5:$A$1005&lt;=$A866)*MOVIMIENTOS!$E$5:$E$1005)+SUMPRODUCT((MOVIMIENTOS!$B$5:$B$1005="AJUSTE")*(MOVIMIENTOS!$C$5:$C$1005="A")*(MOVIMIENTOS!$D$5:$D$1005="jabas")*(MOVIMIENTOS!$A$5:$A$1005&lt;&gt;"")*(MOVIMIENTOS!$A$5:$A$1005&lt;=$A866)*MOVIMIENTOS!$E$5:$E$1005))</f>
        <v/>
      </c>
      <c r="C866" t="str">
        <f>IF($A866="","",SUMPRODUCT((MOVIMIENTOS!$B$5:$B$1005="SALDO INICIAL")*(MOVIMIENTOS!$C$5:$C$1005="P")*(MOVIMIENTOS!$D$5:$D$1005="jabas")*(MOVIMIENTOS!$A$5:$A$1005&lt;&gt;"")*(MOVIMIENTOS!$A$5:$A$1005&lt;=$A866)*MOVIMIENTOS!$E$5:$E$1005)+SUMPRODUCT((MOVIMIENTOS!$B$5:$B$1005="PROCESO")*(MOVIMIENTOS!$C$5:$C$1005="P")*(MOVIMIENTOS!$D$5:$D$1005="jabas")*(MOVIMIENTOS!$A$5:$A$1005&lt;&gt;"")*(MOVIMIENTOS!$A$5:$A$1005&lt;=$A866)*MOVIMIENTOS!$E$5:$E$1005)-SUMPRODUCT((MOVIMIENTOS!$B$5:$B$1005="ENVÍO A SUPESA")*(MOVIMIENTOS!$C$5:$C$1005="P")*(MOVIMIENTOS!$D$5:$D$1005="jabas")*(MOVIMIENTOS!$A$5:$A$1005&lt;&gt;"")*(MOVIMIENTOS!$A$5:$A$1005&lt;=$A866)*MOVIMIENTOS!$E$5:$E$1005)+SUMPRODUCT((MOVIMIENTOS!$B$5:$B$1005="DEVOLUCIÓN")*(MOVIMIENTOS!$C$5:$C$1005="P")*(MOVIMIENTOS!$D$5:$D$1005="jabas")*(MOVIMIENTOS!$A$5:$A$1005&lt;&gt;"")*(MOVIMIENTOS!$A$5:$A$1005&lt;=$A866)*MOVIMIENTOS!$E$5:$E$1005)-SUMPRODUCT((MOVIMIENTOS!$B$5:$B$1005="TRASIEGO")*(MOVIMIENTOS!$C$5:$C$1005="P")*(MOVIMIENTOS!$D$5:$D$1005="jabas")*(MOVIMIENTOS!$A$5:$A$1005&lt;&gt;"")*(MOVIMIENTOS!$A$5:$A$1005&lt;=$A866)*MOVIMIENTOS!$E$5:$E$1005)-SUMPRODUCT((MOVIMIENTOS!$B$5:$B$1005="REGALO")*(MOVIMIENTOS!$C$5:$C$1005="P")*(MOVIMIENTOS!$D$5:$D$1005="jabas")*(MOVIMIENTOS!$A$5:$A$1005&lt;&gt;"")*(MOVIMIENTOS!$A$5:$A$1005&lt;=$A866)*MOVIMIENTOS!$E$5:$E$1005)-SUMPRODUCT((MOVIMIENTOS!$B$5:$B$1005="VENTA")*(MOVIMIENTOS!$C$5:$C$1005="P")*(MOVIMIENTOS!$D$5:$D$1005="jabas")*(MOVIMIENTOS!$A$5:$A$1005&lt;&gt;"")*(MOVIMIENTOS!$A$5:$A$1005&lt;=$A866)*MOVIMIENTOS!$E$5:$E$1005)+SUMPRODUCT((MOVIMIENTOS!$B$5:$B$1005="AJUSTE")*(MOVIMIENTOS!$C$5:$C$1005="P")*(MOVIMIENTOS!$D$5:$D$1005="jabas")*(MOVIMIENTOS!$A$5:$A$1005&lt;&gt;"")*(MOVIMIENTOS!$A$5:$A$1005&lt;=$A866)*MOVIMIENTOS!$E$5:$E$1005))</f>
        <v/>
      </c>
      <c r="D866" t="str">
        <f>IF($A866="","",SUMPRODUCT((MOVIMIENTOS!$B$5:$B$1005="SALDO INICIAL")*(MOVIMIENTOS!$C$5:$C$1005="C")*(MOVIMIENTOS!$D$5:$D$1005="jabas")*(MOVIMIENTOS!$A$5:$A$1005&lt;&gt;"")*(MOVIMIENTOS!$A$5:$A$1005&lt;=$A866)*MOVIMIENTOS!$E$5:$E$1005)+SUMPRODUCT((MOVIMIENTOS!$B$5:$B$1005="PROCESO")*(MOVIMIENTOS!$C$5:$C$1005="C")*(MOVIMIENTOS!$D$5:$D$1005="jabas")*(MOVIMIENTOS!$A$5:$A$1005&lt;&gt;"")*(MOVIMIENTOS!$A$5:$A$1005&lt;=$A866)*MOVIMIENTOS!$E$5:$E$1005)-SUMPRODUCT((MOVIMIENTOS!$B$5:$B$1005="ENVÍO A SUPESA")*(MOVIMIENTOS!$C$5:$C$1005="C")*(MOVIMIENTOS!$D$5:$D$1005="jabas")*(MOVIMIENTOS!$A$5:$A$1005&lt;&gt;"")*(MOVIMIENTOS!$A$5:$A$1005&lt;=$A866)*MOVIMIENTOS!$E$5:$E$1005)+SUMPRODUCT((MOVIMIENTOS!$B$5:$B$1005="DEVOLUCIÓN")*(MOVIMIENTOS!$C$5:$C$1005="C")*(MOVIMIENTOS!$D$5:$D$1005="jabas")*(MOVIMIENTOS!$A$5:$A$1005&lt;&gt;"")*(MOVIMIENTOS!$A$5:$A$1005&lt;=$A866)*MOVIMIENTOS!$E$5:$E$1005)-SUMPRODUCT((MOVIMIENTOS!$B$5:$B$1005="TRASIEGO")*(MOVIMIENTOS!$C$5:$C$1005="C")*(MOVIMIENTOS!$D$5:$D$1005="jabas")*(MOVIMIENTOS!$A$5:$A$1005&lt;&gt;"")*(MOVIMIENTOS!$A$5:$A$1005&lt;=$A866)*MOVIMIENTOS!$E$5:$E$1005)-SUMPRODUCT((MOVIMIENTOS!$B$5:$B$1005="REGALO")*(MOVIMIENTOS!$C$5:$C$1005="C")*(MOVIMIENTOS!$D$5:$D$1005="jabas")*(MOVIMIENTOS!$A$5:$A$1005&lt;&gt;"")*(MOVIMIENTOS!$A$5:$A$1005&lt;=$A866)*MOVIMIENTOS!$E$5:$E$1005)-SUMPRODUCT((MOVIMIENTOS!$B$5:$B$1005="VENTA")*(MOVIMIENTOS!$C$5:$C$1005="C")*(MOVIMIENTOS!$D$5:$D$1005="jabas")*(MOVIMIENTOS!$A$5:$A$1005&lt;&gt;"")*(MOVIMIENTOS!$A$5:$A$1005&lt;=$A866)*MOVIMIENTOS!$E$5:$E$1005)+SUMPRODUCT((MOVIMIENTOS!$B$5:$B$1005="AJUSTE")*(MOVIMIENTOS!$C$5:$C$1005="C")*(MOVIMIENTOS!$D$5:$D$1005="jabas")*(MOVIMIENTOS!$A$5:$A$1005&lt;&gt;"")*(MOVIMIENTOS!$A$5:$A$1005&lt;=$A866)*MOVIMIENTOS!$E$5:$E$1005))</f>
        <v/>
      </c>
      <c r="E866" t="str">
        <f>IF($A866="","",SUMPRODUCT((MOVIMIENTOS!$B$5:$B$1005="SALDO INICIAL")*(MOVIMIENTOS!$C$5:$C$1005="M")*(MOVIMIENTOS!$D$5:$D$1005="jabas")*(MOVIMIENTOS!$A$5:$A$1005&lt;&gt;"")*(MOVIMIENTOS!$A$5:$A$1005&lt;=$A866)*MOVIMIENTOS!$E$5:$E$1005)+SUMPRODUCT((MOVIMIENTOS!$B$5:$B$1005="PROCESO")*(MOVIMIENTOS!$C$5:$C$1005="M")*(MOVIMIENTOS!$D$5:$D$1005="jabas")*(MOVIMIENTOS!$A$5:$A$1005&lt;&gt;"")*(MOVIMIENTOS!$A$5:$A$1005&lt;=$A866)*MOVIMIENTOS!$E$5:$E$1005)-SUMPRODUCT((MOVIMIENTOS!$B$5:$B$1005="ENVÍO A SUPESA")*(MOVIMIENTOS!$C$5:$C$1005="M")*(MOVIMIENTOS!$D$5:$D$1005="jabas")*(MOVIMIENTOS!$A$5:$A$1005&lt;&gt;"")*(MOVIMIENTOS!$A$5:$A$1005&lt;=$A866)*MOVIMIENTOS!$E$5:$E$1005)+SUMPRODUCT((MOVIMIENTOS!$B$5:$B$1005="DEVOLUCIÓN")*(MOVIMIENTOS!$C$5:$C$1005="M")*(MOVIMIENTOS!$D$5:$D$1005="jabas")*(MOVIMIENTOS!$A$5:$A$1005&lt;&gt;"")*(MOVIMIENTOS!$A$5:$A$1005&lt;=$A866)*MOVIMIENTOS!$E$5:$E$1005)-SUMPRODUCT((MOVIMIENTOS!$B$5:$B$1005="TRASIEGO")*(MOVIMIENTOS!$C$5:$C$1005="M")*(MOVIMIENTOS!$D$5:$D$1005="jabas")*(MOVIMIENTOS!$A$5:$A$1005&lt;&gt;"")*(MOVIMIENTOS!$A$5:$A$1005&lt;=$A866)*MOVIMIENTOS!$E$5:$E$1005)-SUMPRODUCT((MOVIMIENTOS!$B$5:$B$1005="REGALO")*(MOVIMIENTOS!$C$5:$C$1005="M")*(MOVIMIENTOS!$D$5:$D$1005="jabas")*(MOVIMIENTOS!$A$5:$A$1005&lt;&gt;"")*(MOVIMIENTOS!$A$5:$A$1005&lt;=$A866)*MOVIMIENTOS!$E$5:$E$1005)-SUMPRODUCT((MOVIMIENTOS!$B$5:$B$1005="VENTA")*(MOVIMIENTOS!$C$5:$C$1005="M")*(MOVIMIENTOS!$D$5:$D$1005="jabas")*(MOVIMIENTOS!$A$5:$A$1005&lt;&gt;"")*(MOVIMIENTOS!$A$5:$A$1005&lt;=$A866)*MOVIMIENTOS!$E$5:$E$1005)+SUMPRODUCT((MOVIMIENTOS!$B$5:$B$1005="AJUSTE")*(MOVIMIENTOS!$C$5:$C$1005="M")*(MOVIMIENTOS!$D$5:$D$1005="jabas")*(MOVIMIENTOS!$A$5:$A$1005&lt;&gt;"")*(MOVIMIENTOS!$A$5:$A$1005&lt;=$A866)*MOVIMIENTOS!$E$5:$E$1005))</f>
        <v/>
      </c>
      <c r="F866" s="62" t="str">
        <f>IF($A866="","",SUMPRODUCT((MOVIMIENTOS!$B$5:$B$1005="SALDO INICIAL")*(MOVIMIENTOS!$C$5:$C$1005="Chancho")*(MOVIMIENTOS!$D$5:$D$1005="sacos")*(MOVIMIENTOS!$A$5:$A$1005&lt;&gt;"")*(MOVIMIENTOS!$A$5:$A$1005&lt;=$A866)*MOVIMIENTOS!$E$5:$E$1005)+SUMPRODUCT((MOVIMIENTOS!$B$5:$B$1005="PROCESO")*(MOVIMIENTOS!$C$5:$C$1005="Chancho")*(MOVIMIENTOS!$D$5:$D$1005="sacos")*(MOVIMIENTOS!$A$5:$A$1005&lt;&gt;"")*(MOVIMIENTOS!$A$5:$A$1005&lt;=$A866)*MOVIMIENTOS!$E$5:$E$1005)-SUMPRODUCT((MOVIMIENTOS!$B$5:$B$1005="VENTA CHANCHO")*(MOVIMIENTOS!$C$5:$C$1005="Chancho")*(MOVIMIENTOS!$D$5:$D$1005="sacos")*(MOVIMIENTOS!$A$5:$A$1005&lt;&gt;"")*(MOVIMIENTOS!$A$5:$A$1005&lt;=$A866)*MOVIMIENTOS!$E$5:$E$1005)-SUMPRODUCT((MOVIMIENTOS!$B$5:$B$1005="REGALO")*(MOVIMIENTOS!$C$5:$C$1005="Chancho")*(MOVIMIENTOS!$D$5:$D$1005="sacos")*(MOVIMIENTOS!$A$5:$A$1005&lt;&gt;"")*(MOVIMIENTOS!$A$5:$A$1005&lt;=$A866)*MOVIMIENTOS!$E$5:$E$1005)-SUMPRODUCT((MOVIMIENTOS!$B$5:$B$1005="VENTA")*(MOVIMIENTOS!$C$5:$C$1005="Chancho")*(MOVIMIENTOS!$D$5:$D$1005="sacos")*(MOVIMIENTOS!$A$5:$A$1005&lt;&gt;"")*(MOVIMIENTOS!$A$5:$A$1005&lt;=$A866)*MOVIMIENTOS!$E$5:$E$1005)+SUMPRODUCT((MOVIMIENTOS!$B$5:$B$1005="AJUSTE")*(MOVIMIENTOS!$C$5:$C$1005="Chancho")*(MOVIMIENTOS!$D$5:$D$1005="sacos")*(MOVIMIENTOS!$A$5:$A$1005&lt;&gt;"")*(MOVIMIENTOS!$A$5:$A$1005&lt;=$A866)*MOVIMIENTOS!$E$5:$E$1005))</f>
        <v/>
      </c>
      <c r="G866" s="62" t="str">
        <f t="shared" si="27"/>
        <v/>
      </c>
      <c r="H866" t="str">
        <f>IF($A866="","",SUMPRODUCT((((MOVIMIENTOS!$B$5:$B$1005="SALDO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866)*MOVIMIENTOS!$J$5:$J$1005))</f>
        <v/>
      </c>
      <c r="J866" t="str">
        <f>IF(AND(MOVIMIENTOS!$A871&lt;&gt;"",COUNTIF(MOVIMIENTOS!$A$5:$A870,MOVIMIENTOS!$A871)=0),COUNT(J$4:J865)+1,"")</f>
        <v/>
      </c>
      <c r="K866">
        <f>MOVIMIENTOS!$A871</f>
        <v>0</v>
      </c>
    </row>
    <row r="867" spans="1:11" ht="15" customHeight="1" x14ac:dyDescent="0.2">
      <c r="A867" t="str">
        <f t="shared" si="26"/>
        <v/>
      </c>
      <c r="B867" t="str">
        <f>IF($A867="","",SUMPRODUCT((MOVIMIENTOS!$B$5:$B$1005="SALDO INICIAL")*(MOVIMIENTOS!$C$5:$C$1005="A")*(MOVIMIENTOS!$D$5:$D$1005="jabas")*(MOVIMIENTOS!$A$5:$A$1005&lt;&gt;"")*(MOVIMIENTOS!$A$5:$A$1005&lt;=$A867)*MOVIMIENTOS!$E$5:$E$1005)+SUMPRODUCT((MOVIMIENTOS!$B$5:$B$1005="PROCESO")*(MOVIMIENTOS!$C$5:$C$1005="A")*(MOVIMIENTOS!$D$5:$D$1005="jabas")*(MOVIMIENTOS!$A$5:$A$1005&lt;&gt;"")*(MOVIMIENTOS!$A$5:$A$1005&lt;=$A867)*MOVIMIENTOS!$E$5:$E$1005)-SUMPRODUCT((MOVIMIENTOS!$B$5:$B$1005="ENVÍO A SUPESA")*(MOVIMIENTOS!$C$5:$C$1005="A")*(MOVIMIENTOS!$D$5:$D$1005="jabas")*(MOVIMIENTOS!$A$5:$A$1005&lt;&gt;"")*(MOVIMIENTOS!$A$5:$A$1005&lt;=$A867)*MOVIMIENTOS!$E$5:$E$1005)+SUMPRODUCT((MOVIMIENTOS!$B$5:$B$1005="DEVOLUCIÓN")*(MOVIMIENTOS!$C$5:$C$1005="A")*(MOVIMIENTOS!$D$5:$D$1005="jabas")*(MOVIMIENTOS!$A$5:$A$1005&lt;&gt;"")*(MOVIMIENTOS!$A$5:$A$1005&lt;=$A867)*MOVIMIENTOS!$E$5:$E$1005)-SUMPRODUCT((MOVIMIENTOS!$B$5:$B$1005="TRASIEGO")*(MOVIMIENTOS!$C$5:$C$1005="A")*(MOVIMIENTOS!$D$5:$D$1005="jabas")*(MOVIMIENTOS!$A$5:$A$1005&lt;&gt;"")*(MOVIMIENTOS!$A$5:$A$1005&lt;=$A867)*MOVIMIENTOS!$E$5:$E$1005)-SUMPRODUCT((MOVIMIENTOS!$B$5:$B$1005="REGALO")*(MOVIMIENTOS!$C$5:$C$1005="A")*(MOVIMIENTOS!$D$5:$D$1005="jabas")*(MOVIMIENTOS!$A$5:$A$1005&lt;&gt;"")*(MOVIMIENTOS!$A$5:$A$1005&lt;=$A867)*MOVIMIENTOS!$E$5:$E$1005)-SUMPRODUCT((MOVIMIENTOS!$B$5:$B$1005="VENTA")*(MOVIMIENTOS!$C$5:$C$1005="A")*(MOVIMIENTOS!$D$5:$D$1005="jabas")*(MOVIMIENTOS!$A$5:$A$1005&lt;&gt;"")*(MOVIMIENTOS!$A$5:$A$1005&lt;=$A867)*MOVIMIENTOS!$E$5:$E$1005)+SUMPRODUCT((MOVIMIENTOS!$B$5:$B$1005="AJUSTE")*(MOVIMIENTOS!$C$5:$C$1005="A")*(MOVIMIENTOS!$D$5:$D$1005="jabas")*(MOVIMIENTOS!$A$5:$A$1005&lt;&gt;"")*(MOVIMIENTOS!$A$5:$A$1005&lt;=$A867)*MOVIMIENTOS!$E$5:$E$1005))</f>
        <v/>
      </c>
      <c r="C867" t="str">
        <f>IF($A867="","",SUMPRODUCT((MOVIMIENTOS!$B$5:$B$1005="SALDO INICIAL")*(MOVIMIENTOS!$C$5:$C$1005="P")*(MOVIMIENTOS!$D$5:$D$1005="jabas")*(MOVIMIENTOS!$A$5:$A$1005&lt;&gt;"")*(MOVIMIENTOS!$A$5:$A$1005&lt;=$A867)*MOVIMIENTOS!$E$5:$E$1005)+SUMPRODUCT((MOVIMIENTOS!$B$5:$B$1005="PROCESO")*(MOVIMIENTOS!$C$5:$C$1005="P")*(MOVIMIENTOS!$D$5:$D$1005="jabas")*(MOVIMIENTOS!$A$5:$A$1005&lt;&gt;"")*(MOVIMIENTOS!$A$5:$A$1005&lt;=$A867)*MOVIMIENTOS!$E$5:$E$1005)-SUMPRODUCT((MOVIMIENTOS!$B$5:$B$1005="ENVÍO A SUPESA")*(MOVIMIENTOS!$C$5:$C$1005="P")*(MOVIMIENTOS!$D$5:$D$1005="jabas")*(MOVIMIENTOS!$A$5:$A$1005&lt;&gt;"")*(MOVIMIENTOS!$A$5:$A$1005&lt;=$A867)*MOVIMIENTOS!$E$5:$E$1005)+SUMPRODUCT((MOVIMIENTOS!$B$5:$B$1005="DEVOLUCIÓN")*(MOVIMIENTOS!$C$5:$C$1005="P")*(MOVIMIENTOS!$D$5:$D$1005="jabas")*(MOVIMIENTOS!$A$5:$A$1005&lt;&gt;"")*(MOVIMIENTOS!$A$5:$A$1005&lt;=$A867)*MOVIMIENTOS!$E$5:$E$1005)-SUMPRODUCT((MOVIMIENTOS!$B$5:$B$1005="TRASIEGO")*(MOVIMIENTOS!$C$5:$C$1005="P")*(MOVIMIENTOS!$D$5:$D$1005="jabas")*(MOVIMIENTOS!$A$5:$A$1005&lt;&gt;"")*(MOVIMIENTOS!$A$5:$A$1005&lt;=$A867)*MOVIMIENTOS!$E$5:$E$1005)-SUMPRODUCT((MOVIMIENTOS!$B$5:$B$1005="REGALO")*(MOVIMIENTOS!$C$5:$C$1005="P")*(MOVIMIENTOS!$D$5:$D$1005="jabas")*(MOVIMIENTOS!$A$5:$A$1005&lt;&gt;"")*(MOVIMIENTOS!$A$5:$A$1005&lt;=$A867)*MOVIMIENTOS!$E$5:$E$1005)-SUMPRODUCT((MOVIMIENTOS!$B$5:$B$1005="VENTA")*(MOVIMIENTOS!$C$5:$C$1005="P")*(MOVIMIENTOS!$D$5:$D$1005="jabas")*(MOVIMIENTOS!$A$5:$A$1005&lt;&gt;"")*(MOVIMIENTOS!$A$5:$A$1005&lt;=$A867)*MOVIMIENTOS!$E$5:$E$1005)+SUMPRODUCT((MOVIMIENTOS!$B$5:$B$1005="AJUSTE")*(MOVIMIENTOS!$C$5:$C$1005="P")*(MOVIMIENTOS!$D$5:$D$1005="jabas")*(MOVIMIENTOS!$A$5:$A$1005&lt;&gt;"")*(MOVIMIENTOS!$A$5:$A$1005&lt;=$A867)*MOVIMIENTOS!$E$5:$E$1005))</f>
        <v/>
      </c>
      <c r="D867" t="str">
        <f>IF($A867="","",SUMPRODUCT((MOVIMIENTOS!$B$5:$B$1005="SALDO INICIAL")*(MOVIMIENTOS!$C$5:$C$1005="C")*(MOVIMIENTOS!$D$5:$D$1005="jabas")*(MOVIMIENTOS!$A$5:$A$1005&lt;&gt;"")*(MOVIMIENTOS!$A$5:$A$1005&lt;=$A867)*MOVIMIENTOS!$E$5:$E$1005)+SUMPRODUCT((MOVIMIENTOS!$B$5:$B$1005="PROCESO")*(MOVIMIENTOS!$C$5:$C$1005="C")*(MOVIMIENTOS!$D$5:$D$1005="jabas")*(MOVIMIENTOS!$A$5:$A$1005&lt;&gt;"")*(MOVIMIENTOS!$A$5:$A$1005&lt;=$A867)*MOVIMIENTOS!$E$5:$E$1005)-SUMPRODUCT((MOVIMIENTOS!$B$5:$B$1005="ENVÍO A SUPESA")*(MOVIMIENTOS!$C$5:$C$1005="C")*(MOVIMIENTOS!$D$5:$D$1005="jabas")*(MOVIMIENTOS!$A$5:$A$1005&lt;&gt;"")*(MOVIMIENTOS!$A$5:$A$1005&lt;=$A867)*MOVIMIENTOS!$E$5:$E$1005)+SUMPRODUCT((MOVIMIENTOS!$B$5:$B$1005="DEVOLUCIÓN")*(MOVIMIENTOS!$C$5:$C$1005="C")*(MOVIMIENTOS!$D$5:$D$1005="jabas")*(MOVIMIENTOS!$A$5:$A$1005&lt;&gt;"")*(MOVIMIENTOS!$A$5:$A$1005&lt;=$A867)*MOVIMIENTOS!$E$5:$E$1005)-SUMPRODUCT((MOVIMIENTOS!$B$5:$B$1005="TRASIEGO")*(MOVIMIENTOS!$C$5:$C$1005="C")*(MOVIMIENTOS!$D$5:$D$1005="jabas")*(MOVIMIENTOS!$A$5:$A$1005&lt;&gt;"")*(MOVIMIENTOS!$A$5:$A$1005&lt;=$A867)*MOVIMIENTOS!$E$5:$E$1005)-SUMPRODUCT((MOVIMIENTOS!$B$5:$B$1005="REGALO")*(MOVIMIENTOS!$C$5:$C$1005="C")*(MOVIMIENTOS!$D$5:$D$1005="jabas")*(MOVIMIENTOS!$A$5:$A$1005&lt;&gt;"")*(MOVIMIENTOS!$A$5:$A$1005&lt;=$A867)*MOVIMIENTOS!$E$5:$E$1005)-SUMPRODUCT((MOVIMIENTOS!$B$5:$B$1005="VENTA")*(MOVIMIENTOS!$C$5:$C$1005="C")*(MOVIMIENTOS!$D$5:$D$1005="jabas")*(MOVIMIENTOS!$A$5:$A$1005&lt;&gt;"")*(MOVIMIENTOS!$A$5:$A$1005&lt;=$A867)*MOVIMIENTOS!$E$5:$E$1005)+SUMPRODUCT((MOVIMIENTOS!$B$5:$B$1005="AJUSTE")*(MOVIMIENTOS!$C$5:$C$1005="C")*(MOVIMIENTOS!$D$5:$D$1005="jabas")*(MOVIMIENTOS!$A$5:$A$1005&lt;&gt;"")*(MOVIMIENTOS!$A$5:$A$1005&lt;=$A867)*MOVIMIENTOS!$E$5:$E$1005))</f>
        <v/>
      </c>
      <c r="E867" t="str">
        <f>IF($A867="","",SUMPRODUCT((MOVIMIENTOS!$B$5:$B$1005="SALDO INICIAL")*(MOVIMIENTOS!$C$5:$C$1005="M")*(MOVIMIENTOS!$D$5:$D$1005="jabas")*(MOVIMIENTOS!$A$5:$A$1005&lt;&gt;"")*(MOVIMIENTOS!$A$5:$A$1005&lt;=$A867)*MOVIMIENTOS!$E$5:$E$1005)+SUMPRODUCT((MOVIMIENTOS!$B$5:$B$1005="PROCESO")*(MOVIMIENTOS!$C$5:$C$1005="M")*(MOVIMIENTOS!$D$5:$D$1005="jabas")*(MOVIMIENTOS!$A$5:$A$1005&lt;&gt;"")*(MOVIMIENTOS!$A$5:$A$1005&lt;=$A867)*MOVIMIENTOS!$E$5:$E$1005)-SUMPRODUCT((MOVIMIENTOS!$B$5:$B$1005="ENVÍO A SUPESA")*(MOVIMIENTOS!$C$5:$C$1005="M")*(MOVIMIENTOS!$D$5:$D$1005="jabas")*(MOVIMIENTOS!$A$5:$A$1005&lt;&gt;"")*(MOVIMIENTOS!$A$5:$A$1005&lt;=$A867)*MOVIMIENTOS!$E$5:$E$1005)+SUMPRODUCT((MOVIMIENTOS!$B$5:$B$1005="DEVOLUCIÓN")*(MOVIMIENTOS!$C$5:$C$1005="M")*(MOVIMIENTOS!$D$5:$D$1005="jabas")*(MOVIMIENTOS!$A$5:$A$1005&lt;&gt;"")*(MOVIMIENTOS!$A$5:$A$1005&lt;=$A867)*MOVIMIENTOS!$E$5:$E$1005)-SUMPRODUCT((MOVIMIENTOS!$B$5:$B$1005="TRASIEGO")*(MOVIMIENTOS!$C$5:$C$1005="M")*(MOVIMIENTOS!$D$5:$D$1005="jabas")*(MOVIMIENTOS!$A$5:$A$1005&lt;&gt;"")*(MOVIMIENTOS!$A$5:$A$1005&lt;=$A867)*MOVIMIENTOS!$E$5:$E$1005)-SUMPRODUCT((MOVIMIENTOS!$B$5:$B$1005="REGALO")*(MOVIMIENTOS!$C$5:$C$1005="M")*(MOVIMIENTOS!$D$5:$D$1005="jabas")*(MOVIMIENTOS!$A$5:$A$1005&lt;&gt;"")*(MOVIMIENTOS!$A$5:$A$1005&lt;=$A867)*MOVIMIENTOS!$E$5:$E$1005)-SUMPRODUCT((MOVIMIENTOS!$B$5:$B$1005="VENTA")*(MOVIMIENTOS!$C$5:$C$1005="M")*(MOVIMIENTOS!$D$5:$D$1005="jabas")*(MOVIMIENTOS!$A$5:$A$1005&lt;&gt;"")*(MOVIMIENTOS!$A$5:$A$1005&lt;=$A867)*MOVIMIENTOS!$E$5:$E$1005)+SUMPRODUCT((MOVIMIENTOS!$B$5:$B$1005="AJUSTE")*(MOVIMIENTOS!$C$5:$C$1005="M")*(MOVIMIENTOS!$D$5:$D$1005="jabas")*(MOVIMIENTOS!$A$5:$A$1005&lt;&gt;"")*(MOVIMIENTOS!$A$5:$A$1005&lt;=$A867)*MOVIMIENTOS!$E$5:$E$1005))</f>
        <v/>
      </c>
      <c r="F867" s="62" t="str">
        <f>IF($A867="","",SUMPRODUCT((MOVIMIENTOS!$B$5:$B$1005="SALDO INICIAL")*(MOVIMIENTOS!$C$5:$C$1005="Chancho")*(MOVIMIENTOS!$D$5:$D$1005="sacos")*(MOVIMIENTOS!$A$5:$A$1005&lt;&gt;"")*(MOVIMIENTOS!$A$5:$A$1005&lt;=$A867)*MOVIMIENTOS!$E$5:$E$1005)+SUMPRODUCT((MOVIMIENTOS!$B$5:$B$1005="PROCESO")*(MOVIMIENTOS!$C$5:$C$1005="Chancho")*(MOVIMIENTOS!$D$5:$D$1005="sacos")*(MOVIMIENTOS!$A$5:$A$1005&lt;&gt;"")*(MOVIMIENTOS!$A$5:$A$1005&lt;=$A867)*MOVIMIENTOS!$E$5:$E$1005)-SUMPRODUCT((MOVIMIENTOS!$B$5:$B$1005="VENTA CHANCHO")*(MOVIMIENTOS!$C$5:$C$1005="Chancho")*(MOVIMIENTOS!$D$5:$D$1005="sacos")*(MOVIMIENTOS!$A$5:$A$1005&lt;&gt;"")*(MOVIMIENTOS!$A$5:$A$1005&lt;=$A867)*MOVIMIENTOS!$E$5:$E$1005)-SUMPRODUCT((MOVIMIENTOS!$B$5:$B$1005="REGALO")*(MOVIMIENTOS!$C$5:$C$1005="Chancho")*(MOVIMIENTOS!$D$5:$D$1005="sacos")*(MOVIMIENTOS!$A$5:$A$1005&lt;&gt;"")*(MOVIMIENTOS!$A$5:$A$1005&lt;=$A867)*MOVIMIENTOS!$E$5:$E$1005)-SUMPRODUCT((MOVIMIENTOS!$B$5:$B$1005="VENTA")*(MOVIMIENTOS!$C$5:$C$1005="Chancho")*(MOVIMIENTOS!$D$5:$D$1005="sacos")*(MOVIMIENTOS!$A$5:$A$1005&lt;&gt;"")*(MOVIMIENTOS!$A$5:$A$1005&lt;=$A867)*MOVIMIENTOS!$E$5:$E$1005)+SUMPRODUCT((MOVIMIENTOS!$B$5:$B$1005="AJUSTE")*(MOVIMIENTOS!$C$5:$C$1005="Chancho")*(MOVIMIENTOS!$D$5:$D$1005="sacos")*(MOVIMIENTOS!$A$5:$A$1005&lt;&gt;"")*(MOVIMIENTOS!$A$5:$A$1005&lt;=$A867)*MOVIMIENTOS!$E$5:$E$1005))</f>
        <v/>
      </c>
      <c r="G867" s="62" t="str">
        <f t="shared" si="27"/>
        <v/>
      </c>
      <c r="H867" t="str">
        <f>IF($A867="","",SUMPRODUCT((((MOVIMIENTOS!$B$5:$B$1005="SALDO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867)*MOVIMIENTOS!$J$5:$J$1005))</f>
        <v/>
      </c>
      <c r="J867" t="str">
        <f>IF(AND(MOVIMIENTOS!$A872&lt;&gt;"",COUNTIF(MOVIMIENTOS!$A$5:$A871,MOVIMIENTOS!$A872)=0),COUNT(J$4:J866)+1,"")</f>
        <v/>
      </c>
      <c r="K867">
        <f>MOVIMIENTOS!$A872</f>
        <v>0</v>
      </c>
    </row>
    <row r="868" spans="1:11" ht="15" customHeight="1" x14ac:dyDescent="0.2">
      <c r="A868" t="str">
        <f t="shared" si="26"/>
        <v/>
      </c>
      <c r="B868" t="str">
        <f>IF($A868="","",SUMPRODUCT((MOVIMIENTOS!$B$5:$B$1005="SALDO INICIAL")*(MOVIMIENTOS!$C$5:$C$1005="A")*(MOVIMIENTOS!$D$5:$D$1005="jabas")*(MOVIMIENTOS!$A$5:$A$1005&lt;&gt;"")*(MOVIMIENTOS!$A$5:$A$1005&lt;=$A868)*MOVIMIENTOS!$E$5:$E$1005)+SUMPRODUCT((MOVIMIENTOS!$B$5:$B$1005="PROCESO")*(MOVIMIENTOS!$C$5:$C$1005="A")*(MOVIMIENTOS!$D$5:$D$1005="jabas")*(MOVIMIENTOS!$A$5:$A$1005&lt;&gt;"")*(MOVIMIENTOS!$A$5:$A$1005&lt;=$A868)*MOVIMIENTOS!$E$5:$E$1005)-SUMPRODUCT((MOVIMIENTOS!$B$5:$B$1005="ENVÍO A SUPESA")*(MOVIMIENTOS!$C$5:$C$1005="A")*(MOVIMIENTOS!$D$5:$D$1005="jabas")*(MOVIMIENTOS!$A$5:$A$1005&lt;&gt;"")*(MOVIMIENTOS!$A$5:$A$1005&lt;=$A868)*MOVIMIENTOS!$E$5:$E$1005)+SUMPRODUCT((MOVIMIENTOS!$B$5:$B$1005="DEVOLUCIÓN")*(MOVIMIENTOS!$C$5:$C$1005="A")*(MOVIMIENTOS!$D$5:$D$1005="jabas")*(MOVIMIENTOS!$A$5:$A$1005&lt;&gt;"")*(MOVIMIENTOS!$A$5:$A$1005&lt;=$A868)*MOVIMIENTOS!$E$5:$E$1005)-SUMPRODUCT((MOVIMIENTOS!$B$5:$B$1005="TRASIEGO")*(MOVIMIENTOS!$C$5:$C$1005="A")*(MOVIMIENTOS!$D$5:$D$1005="jabas")*(MOVIMIENTOS!$A$5:$A$1005&lt;&gt;"")*(MOVIMIENTOS!$A$5:$A$1005&lt;=$A868)*MOVIMIENTOS!$E$5:$E$1005)-SUMPRODUCT((MOVIMIENTOS!$B$5:$B$1005="REGALO")*(MOVIMIENTOS!$C$5:$C$1005="A")*(MOVIMIENTOS!$D$5:$D$1005="jabas")*(MOVIMIENTOS!$A$5:$A$1005&lt;&gt;"")*(MOVIMIENTOS!$A$5:$A$1005&lt;=$A868)*MOVIMIENTOS!$E$5:$E$1005)-SUMPRODUCT((MOVIMIENTOS!$B$5:$B$1005="VENTA")*(MOVIMIENTOS!$C$5:$C$1005="A")*(MOVIMIENTOS!$D$5:$D$1005="jabas")*(MOVIMIENTOS!$A$5:$A$1005&lt;&gt;"")*(MOVIMIENTOS!$A$5:$A$1005&lt;=$A868)*MOVIMIENTOS!$E$5:$E$1005)+SUMPRODUCT((MOVIMIENTOS!$B$5:$B$1005="AJUSTE")*(MOVIMIENTOS!$C$5:$C$1005="A")*(MOVIMIENTOS!$D$5:$D$1005="jabas")*(MOVIMIENTOS!$A$5:$A$1005&lt;&gt;"")*(MOVIMIENTOS!$A$5:$A$1005&lt;=$A868)*MOVIMIENTOS!$E$5:$E$1005))</f>
        <v/>
      </c>
      <c r="C868" t="str">
        <f>IF($A868="","",SUMPRODUCT((MOVIMIENTOS!$B$5:$B$1005="SALDO INICIAL")*(MOVIMIENTOS!$C$5:$C$1005="P")*(MOVIMIENTOS!$D$5:$D$1005="jabas")*(MOVIMIENTOS!$A$5:$A$1005&lt;&gt;"")*(MOVIMIENTOS!$A$5:$A$1005&lt;=$A868)*MOVIMIENTOS!$E$5:$E$1005)+SUMPRODUCT((MOVIMIENTOS!$B$5:$B$1005="PROCESO")*(MOVIMIENTOS!$C$5:$C$1005="P")*(MOVIMIENTOS!$D$5:$D$1005="jabas")*(MOVIMIENTOS!$A$5:$A$1005&lt;&gt;"")*(MOVIMIENTOS!$A$5:$A$1005&lt;=$A868)*MOVIMIENTOS!$E$5:$E$1005)-SUMPRODUCT((MOVIMIENTOS!$B$5:$B$1005="ENVÍO A SUPESA")*(MOVIMIENTOS!$C$5:$C$1005="P")*(MOVIMIENTOS!$D$5:$D$1005="jabas")*(MOVIMIENTOS!$A$5:$A$1005&lt;&gt;"")*(MOVIMIENTOS!$A$5:$A$1005&lt;=$A868)*MOVIMIENTOS!$E$5:$E$1005)+SUMPRODUCT((MOVIMIENTOS!$B$5:$B$1005="DEVOLUCIÓN")*(MOVIMIENTOS!$C$5:$C$1005="P")*(MOVIMIENTOS!$D$5:$D$1005="jabas")*(MOVIMIENTOS!$A$5:$A$1005&lt;&gt;"")*(MOVIMIENTOS!$A$5:$A$1005&lt;=$A868)*MOVIMIENTOS!$E$5:$E$1005)-SUMPRODUCT((MOVIMIENTOS!$B$5:$B$1005="TRASIEGO")*(MOVIMIENTOS!$C$5:$C$1005="P")*(MOVIMIENTOS!$D$5:$D$1005="jabas")*(MOVIMIENTOS!$A$5:$A$1005&lt;&gt;"")*(MOVIMIENTOS!$A$5:$A$1005&lt;=$A868)*MOVIMIENTOS!$E$5:$E$1005)-SUMPRODUCT((MOVIMIENTOS!$B$5:$B$1005="REGALO")*(MOVIMIENTOS!$C$5:$C$1005="P")*(MOVIMIENTOS!$D$5:$D$1005="jabas")*(MOVIMIENTOS!$A$5:$A$1005&lt;&gt;"")*(MOVIMIENTOS!$A$5:$A$1005&lt;=$A868)*MOVIMIENTOS!$E$5:$E$1005)-SUMPRODUCT((MOVIMIENTOS!$B$5:$B$1005="VENTA")*(MOVIMIENTOS!$C$5:$C$1005="P")*(MOVIMIENTOS!$D$5:$D$1005="jabas")*(MOVIMIENTOS!$A$5:$A$1005&lt;&gt;"")*(MOVIMIENTOS!$A$5:$A$1005&lt;=$A868)*MOVIMIENTOS!$E$5:$E$1005)+SUMPRODUCT((MOVIMIENTOS!$B$5:$B$1005="AJUSTE")*(MOVIMIENTOS!$C$5:$C$1005="P")*(MOVIMIENTOS!$D$5:$D$1005="jabas")*(MOVIMIENTOS!$A$5:$A$1005&lt;&gt;"")*(MOVIMIENTOS!$A$5:$A$1005&lt;=$A868)*MOVIMIENTOS!$E$5:$E$1005))</f>
        <v/>
      </c>
      <c r="D868" t="str">
        <f>IF($A868="","",SUMPRODUCT((MOVIMIENTOS!$B$5:$B$1005="SALDO INICIAL")*(MOVIMIENTOS!$C$5:$C$1005="C")*(MOVIMIENTOS!$D$5:$D$1005="jabas")*(MOVIMIENTOS!$A$5:$A$1005&lt;&gt;"")*(MOVIMIENTOS!$A$5:$A$1005&lt;=$A868)*MOVIMIENTOS!$E$5:$E$1005)+SUMPRODUCT((MOVIMIENTOS!$B$5:$B$1005="PROCESO")*(MOVIMIENTOS!$C$5:$C$1005="C")*(MOVIMIENTOS!$D$5:$D$1005="jabas")*(MOVIMIENTOS!$A$5:$A$1005&lt;&gt;"")*(MOVIMIENTOS!$A$5:$A$1005&lt;=$A868)*MOVIMIENTOS!$E$5:$E$1005)-SUMPRODUCT((MOVIMIENTOS!$B$5:$B$1005="ENVÍO A SUPESA")*(MOVIMIENTOS!$C$5:$C$1005="C")*(MOVIMIENTOS!$D$5:$D$1005="jabas")*(MOVIMIENTOS!$A$5:$A$1005&lt;&gt;"")*(MOVIMIENTOS!$A$5:$A$1005&lt;=$A868)*MOVIMIENTOS!$E$5:$E$1005)+SUMPRODUCT((MOVIMIENTOS!$B$5:$B$1005="DEVOLUCIÓN")*(MOVIMIENTOS!$C$5:$C$1005="C")*(MOVIMIENTOS!$D$5:$D$1005="jabas")*(MOVIMIENTOS!$A$5:$A$1005&lt;&gt;"")*(MOVIMIENTOS!$A$5:$A$1005&lt;=$A868)*MOVIMIENTOS!$E$5:$E$1005)-SUMPRODUCT((MOVIMIENTOS!$B$5:$B$1005="TRASIEGO")*(MOVIMIENTOS!$C$5:$C$1005="C")*(MOVIMIENTOS!$D$5:$D$1005="jabas")*(MOVIMIENTOS!$A$5:$A$1005&lt;&gt;"")*(MOVIMIENTOS!$A$5:$A$1005&lt;=$A868)*MOVIMIENTOS!$E$5:$E$1005)-SUMPRODUCT((MOVIMIENTOS!$B$5:$B$1005="REGALO")*(MOVIMIENTOS!$C$5:$C$1005="C")*(MOVIMIENTOS!$D$5:$D$1005="jabas")*(MOVIMIENTOS!$A$5:$A$1005&lt;&gt;"")*(MOVIMIENTOS!$A$5:$A$1005&lt;=$A868)*MOVIMIENTOS!$E$5:$E$1005)-SUMPRODUCT((MOVIMIENTOS!$B$5:$B$1005="VENTA")*(MOVIMIENTOS!$C$5:$C$1005="C")*(MOVIMIENTOS!$D$5:$D$1005="jabas")*(MOVIMIENTOS!$A$5:$A$1005&lt;&gt;"")*(MOVIMIENTOS!$A$5:$A$1005&lt;=$A868)*MOVIMIENTOS!$E$5:$E$1005)+SUMPRODUCT((MOVIMIENTOS!$B$5:$B$1005="AJUSTE")*(MOVIMIENTOS!$C$5:$C$1005="C")*(MOVIMIENTOS!$D$5:$D$1005="jabas")*(MOVIMIENTOS!$A$5:$A$1005&lt;&gt;"")*(MOVIMIENTOS!$A$5:$A$1005&lt;=$A868)*MOVIMIENTOS!$E$5:$E$1005))</f>
        <v/>
      </c>
      <c r="E868" t="str">
        <f>IF($A868="","",SUMPRODUCT((MOVIMIENTOS!$B$5:$B$1005="SALDO INICIAL")*(MOVIMIENTOS!$C$5:$C$1005="M")*(MOVIMIENTOS!$D$5:$D$1005="jabas")*(MOVIMIENTOS!$A$5:$A$1005&lt;&gt;"")*(MOVIMIENTOS!$A$5:$A$1005&lt;=$A868)*MOVIMIENTOS!$E$5:$E$1005)+SUMPRODUCT((MOVIMIENTOS!$B$5:$B$1005="PROCESO")*(MOVIMIENTOS!$C$5:$C$1005="M")*(MOVIMIENTOS!$D$5:$D$1005="jabas")*(MOVIMIENTOS!$A$5:$A$1005&lt;&gt;"")*(MOVIMIENTOS!$A$5:$A$1005&lt;=$A868)*MOVIMIENTOS!$E$5:$E$1005)-SUMPRODUCT((MOVIMIENTOS!$B$5:$B$1005="ENVÍO A SUPESA")*(MOVIMIENTOS!$C$5:$C$1005="M")*(MOVIMIENTOS!$D$5:$D$1005="jabas")*(MOVIMIENTOS!$A$5:$A$1005&lt;&gt;"")*(MOVIMIENTOS!$A$5:$A$1005&lt;=$A868)*MOVIMIENTOS!$E$5:$E$1005)+SUMPRODUCT((MOVIMIENTOS!$B$5:$B$1005="DEVOLUCIÓN")*(MOVIMIENTOS!$C$5:$C$1005="M")*(MOVIMIENTOS!$D$5:$D$1005="jabas")*(MOVIMIENTOS!$A$5:$A$1005&lt;&gt;"")*(MOVIMIENTOS!$A$5:$A$1005&lt;=$A868)*MOVIMIENTOS!$E$5:$E$1005)-SUMPRODUCT((MOVIMIENTOS!$B$5:$B$1005="TRASIEGO")*(MOVIMIENTOS!$C$5:$C$1005="M")*(MOVIMIENTOS!$D$5:$D$1005="jabas")*(MOVIMIENTOS!$A$5:$A$1005&lt;&gt;"")*(MOVIMIENTOS!$A$5:$A$1005&lt;=$A868)*MOVIMIENTOS!$E$5:$E$1005)-SUMPRODUCT((MOVIMIENTOS!$B$5:$B$1005="REGALO")*(MOVIMIENTOS!$C$5:$C$1005="M")*(MOVIMIENTOS!$D$5:$D$1005="jabas")*(MOVIMIENTOS!$A$5:$A$1005&lt;&gt;"")*(MOVIMIENTOS!$A$5:$A$1005&lt;=$A868)*MOVIMIENTOS!$E$5:$E$1005)-SUMPRODUCT((MOVIMIENTOS!$B$5:$B$1005="VENTA")*(MOVIMIENTOS!$C$5:$C$1005="M")*(MOVIMIENTOS!$D$5:$D$1005="jabas")*(MOVIMIENTOS!$A$5:$A$1005&lt;&gt;"")*(MOVIMIENTOS!$A$5:$A$1005&lt;=$A868)*MOVIMIENTOS!$E$5:$E$1005)+SUMPRODUCT((MOVIMIENTOS!$B$5:$B$1005="AJUSTE")*(MOVIMIENTOS!$C$5:$C$1005="M")*(MOVIMIENTOS!$D$5:$D$1005="jabas")*(MOVIMIENTOS!$A$5:$A$1005&lt;&gt;"")*(MOVIMIENTOS!$A$5:$A$1005&lt;=$A868)*MOVIMIENTOS!$E$5:$E$1005))</f>
        <v/>
      </c>
      <c r="F868" s="62" t="str">
        <f>IF($A868="","",SUMPRODUCT((MOVIMIENTOS!$B$5:$B$1005="SALDO INICIAL")*(MOVIMIENTOS!$C$5:$C$1005="Chancho")*(MOVIMIENTOS!$D$5:$D$1005="sacos")*(MOVIMIENTOS!$A$5:$A$1005&lt;&gt;"")*(MOVIMIENTOS!$A$5:$A$1005&lt;=$A868)*MOVIMIENTOS!$E$5:$E$1005)+SUMPRODUCT((MOVIMIENTOS!$B$5:$B$1005="PROCESO")*(MOVIMIENTOS!$C$5:$C$1005="Chancho")*(MOVIMIENTOS!$D$5:$D$1005="sacos")*(MOVIMIENTOS!$A$5:$A$1005&lt;&gt;"")*(MOVIMIENTOS!$A$5:$A$1005&lt;=$A868)*MOVIMIENTOS!$E$5:$E$1005)-SUMPRODUCT((MOVIMIENTOS!$B$5:$B$1005="VENTA CHANCHO")*(MOVIMIENTOS!$C$5:$C$1005="Chancho")*(MOVIMIENTOS!$D$5:$D$1005="sacos")*(MOVIMIENTOS!$A$5:$A$1005&lt;&gt;"")*(MOVIMIENTOS!$A$5:$A$1005&lt;=$A868)*MOVIMIENTOS!$E$5:$E$1005)-SUMPRODUCT((MOVIMIENTOS!$B$5:$B$1005="REGALO")*(MOVIMIENTOS!$C$5:$C$1005="Chancho")*(MOVIMIENTOS!$D$5:$D$1005="sacos")*(MOVIMIENTOS!$A$5:$A$1005&lt;&gt;"")*(MOVIMIENTOS!$A$5:$A$1005&lt;=$A868)*MOVIMIENTOS!$E$5:$E$1005)-SUMPRODUCT((MOVIMIENTOS!$B$5:$B$1005="VENTA")*(MOVIMIENTOS!$C$5:$C$1005="Chancho")*(MOVIMIENTOS!$D$5:$D$1005="sacos")*(MOVIMIENTOS!$A$5:$A$1005&lt;&gt;"")*(MOVIMIENTOS!$A$5:$A$1005&lt;=$A868)*MOVIMIENTOS!$E$5:$E$1005)+SUMPRODUCT((MOVIMIENTOS!$B$5:$B$1005="AJUSTE")*(MOVIMIENTOS!$C$5:$C$1005="Chancho")*(MOVIMIENTOS!$D$5:$D$1005="sacos")*(MOVIMIENTOS!$A$5:$A$1005&lt;&gt;"")*(MOVIMIENTOS!$A$5:$A$1005&lt;=$A868)*MOVIMIENTOS!$E$5:$E$1005))</f>
        <v/>
      </c>
      <c r="G868" s="62" t="str">
        <f t="shared" si="27"/>
        <v/>
      </c>
      <c r="H868" t="str">
        <f>IF($A868="","",SUMPRODUCT((((MOVIMIENTOS!$B$5:$B$1005="SALDO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868)*MOVIMIENTOS!$J$5:$J$1005))</f>
        <v/>
      </c>
      <c r="J868" t="str">
        <f>IF(AND(MOVIMIENTOS!$A873&lt;&gt;"",COUNTIF(MOVIMIENTOS!$A$5:$A872,MOVIMIENTOS!$A873)=0),COUNT(J$4:J867)+1,"")</f>
        <v/>
      </c>
      <c r="K868">
        <f>MOVIMIENTOS!$A873</f>
        <v>0</v>
      </c>
    </row>
    <row r="869" spans="1:11" ht="15" customHeight="1" x14ac:dyDescent="0.2">
      <c r="A869" t="str">
        <f t="shared" si="26"/>
        <v/>
      </c>
      <c r="B869" t="str">
        <f>IF($A869="","",SUMPRODUCT((MOVIMIENTOS!$B$5:$B$1005="SALDO INICIAL")*(MOVIMIENTOS!$C$5:$C$1005="A")*(MOVIMIENTOS!$D$5:$D$1005="jabas")*(MOVIMIENTOS!$A$5:$A$1005&lt;&gt;"")*(MOVIMIENTOS!$A$5:$A$1005&lt;=$A869)*MOVIMIENTOS!$E$5:$E$1005)+SUMPRODUCT((MOVIMIENTOS!$B$5:$B$1005="PROCESO")*(MOVIMIENTOS!$C$5:$C$1005="A")*(MOVIMIENTOS!$D$5:$D$1005="jabas")*(MOVIMIENTOS!$A$5:$A$1005&lt;&gt;"")*(MOVIMIENTOS!$A$5:$A$1005&lt;=$A869)*MOVIMIENTOS!$E$5:$E$1005)-SUMPRODUCT((MOVIMIENTOS!$B$5:$B$1005="ENVÍO A SUPESA")*(MOVIMIENTOS!$C$5:$C$1005="A")*(MOVIMIENTOS!$D$5:$D$1005="jabas")*(MOVIMIENTOS!$A$5:$A$1005&lt;&gt;"")*(MOVIMIENTOS!$A$5:$A$1005&lt;=$A869)*MOVIMIENTOS!$E$5:$E$1005)+SUMPRODUCT((MOVIMIENTOS!$B$5:$B$1005="DEVOLUCIÓN")*(MOVIMIENTOS!$C$5:$C$1005="A")*(MOVIMIENTOS!$D$5:$D$1005="jabas")*(MOVIMIENTOS!$A$5:$A$1005&lt;&gt;"")*(MOVIMIENTOS!$A$5:$A$1005&lt;=$A869)*MOVIMIENTOS!$E$5:$E$1005)-SUMPRODUCT((MOVIMIENTOS!$B$5:$B$1005="TRASIEGO")*(MOVIMIENTOS!$C$5:$C$1005="A")*(MOVIMIENTOS!$D$5:$D$1005="jabas")*(MOVIMIENTOS!$A$5:$A$1005&lt;&gt;"")*(MOVIMIENTOS!$A$5:$A$1005&lt;=$A869)*MOVIMIENTOS!$E$5:$E$1005)-SUMPRODUCT((MOVIMIENTOS!$B$5:$B$1005="REGALO")*(MOVIMIENTOS!$C$5:$C$1005="A")*(MOVIMIENTOS!$D$5:$D$1005="jabas")*(MOVIMIENTOS!$A$5:$A$1005&lt;&gt;"")*(MOVIMIENTOS!$A$5:$A$1005&lt;=$A869)*MOVIMIENTOS!$E$5:$E$1005)-SUMPRODUCT((MOVIMIENTOS!$B$5:$B$1005="VENTA")*(MOVIMIENTOS!$C$5:$C$1005="A")*(MOVIMIENTOS!$D$5:$D$1005="jabas")*(MOVIMIENTOS!$A$5:$A$1005&lt;&gt;"")*(MOVIMIENTOS!$A$5:$A$1005&lt;=$A869)*MOVIMIENTOS!$E$5:$E$1005)+SUMPRODUCT((MOVIMIENTOS!$B$5:$B$1005="AJUSTE")*(MOVIMIENTOS!$C$5:$C$1005="A")*(MOVIMIENTOS!$D$5:$D$1005="jabas")*(MOVIMIENTOS!$A$5:$A$1005&lt;&gt;"")*(MOVIMIENTOS!$A$5:$A$1005&lt;=$A869)*MOVIMIENTOS!$E$5:$E$1005))</f>
        <v/>
      </c>
      <c r="C869" t="str">
        <f>IF($A869="","",SUMPRODUCT((MOVIMIENTOS!$B$5:$B$1005="SALDO INICIAL")*(MOVIMIENTOS!$C$5:$C$1005="P")*(MOVIMIENTOS!$D$5:$D$1005="jabas")*(MOVIMIENTOS!$A$5:$A$1005&lt;&gt;"")*(MOVIMIENTOS!$A$5:$A$1005&lt;=$A869)*MOVIMIENTOS!$E$5:$E$1005)+SUMPRODUCT((MOVIMIENTOS!$B$5:$B$1005="PROCESO")*(MOVIMIENTOS!$C$5:$C$1005="P")*(MOVIMIENTOS!$D$5:$D$1005="jabas")*(MOVIMIENTOS!$A$5:$A$1005&lt;&gt;"")*(MOVIMIENTOS!$A$5:$A$1005&lt;=$A869)*MOVIMIENTOS!$E$5:$E$1005)-SUMPRODUCT((MOVIMIENTOS!$B$5:$B$1005="ENVÍO A SUPESA")*(MOVIMIENTOS!$C$5:$C$1005="P")*(MOVIMIENTOS!$D$5:$D$1005="jabas")*(MOVIMIENTOS!$A$5:$A$1005&lt;&gt;"")*(MOVIMIENTOS!$A$5:$A$1005&lt;=$A869)*MOVIMIENTOS!$E$5:$E$1005)+SUMPRODUCT((MOVIMIENTOS!$B$5:$B$1005="DEVOLUCIÓN")*(MOVIMIENTOS!$C$5:$C$1005="P")*(MOVIMIENTOS!$D$5:$D$1005="jabas")*(MOVIMIENTOS!$A$5:$A$1005&lt;&gt;"")*(MOVIMIENTOS!$A$5:$A$1005&lt;=$A869)*MOVIMIENTOS!$E$5:$E$1005)-SUMPRODUCT((MOVIMIENTOS!$B$5:$B$1005="TRASIEGO")*(MOVIMIENTOS!$C$5:$C$1005="P")*(MOVIMIENTOS!$D$5:$D$1005="jabas")*(MOVIMIENTOS!$A$5:$A$1005&lt;&gt;"")*(MOVIMIENTOS!$A$5:$A$1005&lt;=$A869)*MOVIMIENTOS!$E$5:$E$1005)-SUMPRODUCT((MOVIMIENTOS!$B$5:$B$1005="REGALO")*(MOVIMIENTOS!$C$5:$C$1005="P")*(MOVIMIENTOS!$D$5:$D$1005="jabas")*(MOVIMIENTOS!$A$5:$A$1005&lt;&gt;"")*(MOVIMIENTOS!$A$5:$A$1005&lt;=$A869)*MOVIMIENTOS!$E$5:$E$1005)-SUMPRODUCT((MOVIMIENTOS!$B$5:$B$1005="VENTA")*(MOVIMIENTOS!$C$5:$C$1005="P")*(MOVIMIENTOS!$D$5:$D$1005="jabas")*(MOVIMIENTOS!$A$5:$A$1005&lt;&gt;"")*(MOVIMIENTOS!$A$5:$A$1005&lt;=$A869)*MOVIMIENTOS!$E$5:$E$1005)+SUMPRODUCT((MOVIMIENTOS!$B$5:$B$1005="AJUSTE")*(MOVIMIENTOS!$C$5:$C$1005="P")*(MOVIMIENTOS!$D$5:$D$1005="jabas")*(MOVIMIENTOS!$A$5:$A$1005&lt;&gt;"")*(MOVIMIENTOS!$A$5:$A$1005&lt;=$A869)*MOVIMIENTOS!$E$5:$E$1005))</f>
        <v/>
      </c>
      <c r="D869" t="str">
        <f>IF($A869="","",SUMPRODUCT((MOVIMIENTOS!$B$5:$B$1005="SALDO INICIAL")*(MOVIMIENTOS!$C$5:$C$1005="C")*(MOVIMIENTOS!$D$5:$D$1005="jabas")*(MOVIMIENTOS!$A$5:$A$1005&lt;&gt;"")*(MOVIMIENTOS!$A$5:$A$1005&lt;=$A869)*MOVIMIENTOS!$E$5:$E$1005)+SUMPRODUCT((MOVIMIENTOS!$B$5:$B$1005="PROCESO")*(MOVIMIENTOS!$C$5:$C$1005="C")*(MOVIMIENTOS!$D$5:$D$1005="jabas")*(MOVIMIENTOS!$A$5:$A$1005&lt;&gt;"")*(MOVIMIENTOS!$A$5:$A$1005&lt;=$A869)*MOVIMIENTOS!$E$5:$E$1005)-SUMPRODUCT((MOVIMIENTOS!$B$5:$B$1005="ENVÍO A SUPESA")*(MOVIMIENTOS!$C$5:$C$1005="C")*(MOVIMIENTOS!$D$5:$D$1005="jabas")*(MOVIMIENTOS!$A$5:$A$1005&lt;&gt;"")*(MOVIMIENTOS!$A$5:$A$1005&lt;=$A869)*MOVIMIENTOS!$E$5:$E$1005)+SUMPRODUCT((MOVIMIENTOS!$B$5:$B$1005="DEVOLUCIÓN")*(MOVIMIENTOS!$C$5:$C$1005="C")*(MOVIMIENTOS!$D$5:$D$1005="jabas")*(MOVIMIENTOS!$A$5:$A$1005&lt;&gt;"")*(MOVIMIENTOS!$A$5:$A$1005&lt;=$A869)*MOVIMIENTOS!$E$5:$E$1005)-SUMPRODUCT((MOVIMIENTOS!$B$5:$B$1005="TRASIEGO")*(MOVIMIENTOS!$C$5:$C$1005="C")*(MOVIMIENTOS!$D$5:$D$1005="jabas")*(MOVIMIENTOS!$A$5:$A$1005&lt;&gt;"")*(MOVIMIENTOS!$A$5:$A$1005&lt;=$A869)*MOVIMIENTOS!$E$5:$E$1005)-SUMPRODUCT((MOVIMIENTOS!$B$5:$B$1005="REGALO")*(MOVIMIENTOS!$C$5:$C$1005="C")*(MOVIMIENTOS!$D$5:$D$1005="jabas")*(MOVIMIENTOS!$A$5:$A$1005&lt;&gt;"")*(MOVIMIENTOS!$A$5:$A$1005&lt;=$A869)*MOVIMIENTOS!$E$5:$E$1005)-SUMPRODUCT((MOVIMIENTOS!$B$5:$B$1005="VENTA")*(MOVIMIENTOS!$C$5:$C$1005="C")*(MOVIMIENTOS!$D$5:$D$1005="jabas")*(MOVIMIENTOS!$A$5:$A$1005&lt;&gt;"")*(MOVIMIENTOS!$A$5:$A$1005&lt;=$A869)*MOVIMIENTOS!$E$5:$E$1005)+SUMPRODUCT((MOVIMIENTOS!$B$5:$B$1005="AJUSTE")*(MOVIMIENTOS!$C$5:$C$1005="C")*(MOVIMIENTOS!$D$5:$D$1005="jabas")*(MOVIMIENTOS!$A$5:$A$1005&lt;&gt;"")*(MOVIMIENTOS!$A$5:$A$1005&lt;=$A869)*MOVIMIENTOS!$E$5:$E$1005))</f>
        <v/>
      </c>
      <c r="E869" t="str">
        <f>IF($A869="","",SUMPRODUCT((MOVIMIENTOS!$B$5:$B$1005="SALDO INICIAL")*(MOVIMIENTOS!$C$5:$C$1005="M")*(MOVIMIENTOS!$D$5:$D$1005="jabas")*(MOVIMIENTOS!$A$5:$A$1005&lt;&gt;"")*(MOVIMIENTOS!$A$5:$A$1005&lt;=$A869)*MOVIMIENTOS!$E$5:$E$1005)+SUMPRODUCT((MOVIMIENTOS!$B$5:$B$1005="PROCESO")*(MOVIMIENTOS!$C$5:$C$1005="M")*(MOVIMIENTOS!$D$5:$D$1005="jabas")*(MOVIMIENTOS!$A$5:$A$1005&lt;&gt;"")*(MOVIMIENTOS!$A$5:$A$1005&lt;=$A869)*MOVIMIENTOS!$E$5:$E$1005)-SUMPRODUCT((MOVIMIENTOS!$B$5:$B$1005="ENVÍO A SUPESA")*(MOVIMIENTOS!$C$5:$C$1005="M")*(MOVIMIENTOS!$D$5:$D$1005="jabas")*(MOVIMIENTOS!$A$5:$A$1005&lt;&gt;"")*(MOVIMIENTOS!$A$5:$A$1005&lt;=$A869)*MOVIMIENTOS!$E$5:$E$1005)+SUMPRODUCT((MOVIMIENTOS!$B$5:$B$1005="DEVOLUCIÓN")*(MOVIMIENTOS!$C$5:$C$1005="M")*(MOVIMIENTOS!$D$5:$D$1005="jabas")*(MOVIMIENTOS!$A$5:$A$1005&lt;&gt;"")*(MOVIMIENTOS!$A$5:$A$1005&lt;=$A869)*MOVIMIENTOS!$E$5:$E$1005)-SUMPRODUCT((MOVIMIENTOS!$B$5:$B$1005="TRASIEGO")*(MOVIMIENTOS!$C$5:$C$1005="M")*(MOVIMIENTOS!$D$5:$D$1005="jabas")*(MOVIMIENTOS!$A$5:$A$1005&lt;&gt;"")*(MOVIMIENTOS!$A$5:$A$1005&lt;=$A869)*MOVIMIENTOS!$E$5:$E$1005)-SUMPRODUCT((MOVIMIENTOS!$B$5:$B$1005="REGALO")*(MOVIMIENTOS!$C$5:$C$1005="M")*(MOVIMIENTOS!$D$5:$D$1005="jabas")*(MOVIMIENTOS!$A$5:$A$1005&lt;&gt;"")*(MOVIMIENTOS!$A$5:$A$1005&lt;=$A869)*MOVIMIENTOS!$E$5:$E$1005)-SUMPRODUCT((MOVIMIENTOS!$B$5:$B$1005="VENTA")*(MOVIMIENTOS!$C$5:$C$1005="M")*(MOVIMIENTOS!$D$5:$D$1005="jabas")*(MOVIMIENTOS!$A$5:$A$1005&lt;&gt;"")*(MOVIMIENTOS!$A$5:$A$1005&lt;=$A869)*MOVIMIENTOS!$E$5:$E$1005)+SUMPRODUCT((MOVIMIENTOS!$B$5:$B$1005="AJUSTE")*(MOVIMIENTOS!$C$5:$C$1005="M")*(MOVIMIENTOS!$D$5:$D$1005="jabas")*(MOVIMIENTOS!$A$5:$A$1005&lt;&gt;"")*(MOVIMIENTOS!$A$5:$A$1005&lt;=$A869)*MOVIMIENTOS!$E$5:$E$1005))</f>
        <v/>
      </c>
      <c r="F869" s="62" t="str">
        <f>IF($A869="","",SUMPRODUCT((MOVIMIENTOS!$B$5:$B$1005="SALDO INICIAL")*(MOVIMIENTOS!$C$5:$C$1005="Chancho")*(MOVIMIENTOS!$D$5:$D$1005="sacos")*(MOVIMIENTOS!$A$5:$A$1005&lt;&gt;"")*(MOVIMIENTOS!$A$5:$A$1005&lt;=$A869)*MOVIMIENTOS!$E$5:$E$1005)+SUMPRODUCT((MOVIMIENTOS!$B$5:$B$1005="PROCESO")*(MOVIMIENTOS!$C$5:$C$1005="Chancho")*(MOVIMIENTOS!$D$5:$D$1005="sacos")*(MOVIMIENTOS!$A$5:$A$1005&lt;&gt;"")*(MOVIMIENTOS!$A$5:$A$1005&lt;=$A869)*MOVIMIENTOS!$E$5:$E$1005)-SUMPRODUCT((MOVIMIENTOS!$B$5:$B$1005="VENTA CHANCHO")*(MOVIMIENTOS!$C$5:$C$1005="Chancho")*(MOVIMIENTOS!$D$5:$D$1005="sacos")*(MOVIMIENTOS!$A$5:$A$1005&lt;&gt;"")*(MOVIMIENTOS!$A$5:$A$1005&lt;=$A869)*MOVIMIENTOS!$E$5:$E$1005)-SUMPRODUCT((MOVIMIENTOS!$B$5:$B$1005="REGALO")*(MOVIMIENTOS!$C$5:$C$1005="Chancho")*(MOVIMIENTOS!$D$5:$D$1005="sacos")*(MOVIMIENTOS!$A$5:$A$1005&lt;&gt;"")*(MOVIMIENTOS!$A$5:$A$1005&lt;=$A869)*MOVIMIENTOS!$E$5:$E$1005)-SUMPRODUCT((MOVIMIENTOS!$B$5:$B$1005="VENTA")*(MOVIMIENTOS!$C$5:$C$1005="Chancho")*(MOVIMIENTOS!$D$5:$D$1005="sacos")*(MOVIMIENTOS!$A$5:$A$1005&lt;&gt;"")*(MOVIMIENTOS!$A$5:$A$1005&lt;=$A869)*MOVIMIENTOS!$E$5:$E$1005)+SUMPRODUCT((MOVIMIENTOS!$B$5:$B$1005="AJUSTE")*(MOVIMIENTOS!$C$5:$C$1005="Chancho")*(MOVIMIENTOS!$D$5:$D$1005="sacos")*(MOVIMIENTOS!$A$5:$A$1005&lt;&gt;"")*(MOVIMIENTOS!$A$5:$A$1005&lt;=$A869)*MOVIMIENTOS!$E$5:$E$1005))</f>
        <v/>
      </c>
      <c r="G869" s="62" t="str">
        <f t="shared" si="27"/>
        <v/>
      </c>
      <c r="H869" t="str">
        <f>IF($A869="","",SUMPRODUCT((((MOVIMIENTOS!$B$5:$B$1005="SALDO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869)*MOVIMIENTOS!$J$5:$J$1005))</f>
        <v/>
      </c>
      <c r="J869" t="str">
        <f>IF(AND(MOVIMIENTOS!$A874&lt;&gt;"",COUNTIF(MOVIMIENTOS!$A$5:$A873,MOVIMIENTOS!$A874)=0),COUNT(J$4:J868)+1,"")</f>
        <v/>
      </c>
      <c r="K869">
        <f>MOVIMIENTOS!$A874</f>
        <v>0</v>
      </c>
    </row>
    <row r="870" spans="1:11" ht="15" customHeight="1" x14ac:dyDescent="0.2">
      <c r="A870" t="str">
        <f t="shared" si="26"/>
        <v/>
      </c>
      <c r="B870" t="str">
        <f>IF($A870="","",SUMPRODUCT((MOVIMIENTOS!$B$5:$B$1005="SALDO INICIAL")*(MOVIMIENTOS!$C$5:$C$1005="A")*(MOVIMIENTOS!$D$5:$D$1005="jabas")*(MOVIMIENTOS!$A$5:$A$1005&lt;&gt;"")*(MOVIMIENTOS!$A$5:$A$1005&lt;=$A870)*MOVIMIENTOS!$E$5:$E$1005)+SUMPRODUCT((MOVIMIENTOS!$B$5:$B$1005="PROCESO")*(MOVIMIENTOS!$C$5:$C$1005="A")*(MOVIMIENTOS!$D$5:$D$1005="jabas")*(MOVIMIENTOS!$A$5:$A$1005&lt;&gt;"")*(MOVIMIENTOS!$A$5:$A$1005&lt;=$A870)*MOVIMIENTOS!$E$5:$E$1005)-SUMPRODUCT((MOVIMIENTOS!$B$5:$B$1005="ENVÍO A SUPESA")*(MOVIMIENTOS!$C$5:$C$1005="A")*(MOVIMIENTOS!$D$5:$D$1005="jabas")*(MOVIMIENTOS!$A$5:$A$1005&lt;&gt;"")*(MOVIMIENTOS!$A$5:$A$1005&lt;=$A870)*MOVIMIENTOS!$E$5:$E$1005)+SUMPRODUCT((MOVIMIENTOS!$B$5:$B$1005="DEVOLUCIÓN")*(MOVIMIENTOS!$C$5:$C$1005="A")*(MOVIMIENTOS!$D$5:$D$1005="jabas")*(MOVIMIENTOS!$A$5:$A$1005&lt;&gt;"")*(MOVIMIENTOS!$A$5:$A$1005&lt;=$A870)*MOVIMIENTOS!$E$5:$E$1005)-SUMPRODUCT((MOVIMIENTOS!$B$5:$B$1005="TRASIEGO")*(MOVIMIENTOS!$C$5:$C$1005="A")*(MOVIMIENTOS!$D$5:$D$1005="jabas")*(MOVIMIENTOS!$A$5:$A$1005&lt;&gt;"")*(MOVIMIENTOS!$A$5:$A$1005&lt;=$A870)*MOVIMIENTOS!$E$5:$E$1005)-SUMPRODUCT((MOVIMIENTOS!$B$5:$B$1005="REGALO")*(MOVIMIENTOS!$C$5:$C$1005="A")*(MOVIMIENTOS!$D$5:$D$1005="jabas")*(MOVIMIENTOS!$A$5:$A$1005&lt;&gt;"")*(MOVIMIENTOS!$A$5:$A$1005&lt;=$A870)*MOVIMIENTOS!$E$5:$E$1005)-SUMPRODUCT((MOVIMIENTOS!$B$5:$B$1005="VENTA")*(MOVIMIENTOS!$C$5:$C$1005="A")*(MOVIMIENTOS!$D$5:$D$1005="jabas")*(MOVIMIENTOS!$A$5:$A$1005&lt;&gt;"")*(MOVIMIENTOS!$A$5:$A$1005&lt;=$A870)*MOVIMIENTOS!$E$5:$E$1005)+SUMPRODUCT((MOVIMIENTOS!$B$5:$B$1005="AJUSTE")*(MOVIMIENTOS!$C$5:$C$1005="A")*(MOVIMIENTOS!$D$5:$D$1005="jabas")*(MOVIMIENTOS!$A$5:$A$1005&lt;&gt;"")*(MOVIMIENTOS!$A$5:$A$1005&lt;=$A870)*MOVIMIENTOS!$E$5:$E$1005))</f>
        <v/>
      </c>
      <c r="C870" t="str">
        <f>IF($A870="","",SUMPRODUCT((MOVIMIENTOS!$B$5:$B$1005="SALDO INICIAL")*(MOVIMIENTOS!$C$5:$C$1005="P")*(MOVIMIENTOS!$D$5:$D$1005="jabas")*(MOVIMIENTOS!$A$5:$A$1005&lt;&gt;"")*(MOVIMIENTOS!$A$5:$A$1005&lt;=$A870)*MOVIMIENTOS!$E$5:$E$1005)+SUMPRODUCT((MOVIMIENTOS!$B$5:$B$1005="PROCESO")*(MOVIMIENTOS!$C$5:$C$1005="P")*(MOVIMIENTOS!$D$5:$D$1005="jabas")*(MOVIMIENTOS!$A$5:$A$1005&lt;&gt;"")*(MOVIMIENTOS!$A$5:$A$1005&lt;=$A870)*MOVIMIENTOS!$E$5:$E$1005)-SUMPRODUCT((MOVIMIENTOS!$B$5:$B$1005="ENVÍO A SUPESA")*(MOVIMIENTOS!$C$5:$C$1005="P")*(MOVIMIENTOS!$D$5:$D$1005="jabas")*(MOVIMIENTOS!$A$5:$A$1005&lt;&gt;"")*(MOVIMIENTOS!$A$5:$A$1005&lt;=$A870)*MOVIMIENTOS!$E$5:$E$1005)+SUMPRODUCT((MOVIMIENTOS!$B$5:$B$1005="DEVOLUCIÓN")*(MOVIMIENTOS!$C$5:$C$1005="P")*(MOVIMIENTOS!$D$5:$D$1005="jabas")*(MOVIMIENTOS!$A$5:$A$1005&lt;&gt;"")*(MOVIMIENTOS!$A$5:$A$1005&lt;=$A870)*MOVIMIENTOS!$E$5:$E$1005)-SUMPRODUCT((MOVIMIENTOS!$B$5:$B$1005="TRASIEGO")*(MOVIMIENTOS!$C$5:$C$1005="P")*(MOVIMIENTOS!$D$5:$D$1005="jabas")*(MOVIMIENTOS!$A$5:$A$1005&lt;&gt;"")*(MOVIMIENTOS!$A$5:$A$1005&lt;=$A870)*MOVIMIENTOS!$E$5:$E$1005)-SUMPRODUCT((MOVIMIENTOS!$B$5:$B$1005="REGALO")*(MOVIMIENTOS!$C$5:$C$1005="P")*(MOVIMIENTOS!$D$5:$D$1005="jabas")*(MOVIMIENTOS!$A$5:$A$1005&lt;&gt;"")*(MOVIMIENTOS!$A$5:$A$1005&lt;=$A870)*MOVIMIENTOS!$E$5:$E$1005)-SUMPRODUCT((MOVIMIENTOS!$B$5:$B$1005="VENTA")*(MOVIMIENTOS!$C$5:$C$1005="P")*(MOVIMIENTOS!$D$5:$D$1005="jabas")*(MOVIMIENTOS!$A$5:$A$1005&lt;&gt;"")*(MOVIMIENTOS!$A$5:$A$1005&lt;=$A870)*MOVIMIENTOS!$E$5:$E$1005)+SUMPRODUCT((MOVIMIENTOS!$B$5:$B$1005="AJUSTE")*(MOVIMIENTOS!$C$5:$C$1005="P")*(MOVIMIENTOS!$D$5:$D$1005="jabas")*(MOVIMIENTOS!$A$5:$A$1005&lt;&gt;"")*(MOVIMIENTOS!$A$5:$A$1005&lt;=$A870)*MOVIMIENTOS!$E$5:$E$1005))</f>
        <v/>
      </c>
      <c r="D870" t="str">
        <f>IF($A870="","",SUMPRODUCT((MOVIMIENTOS!$B$5:$B$1005="SALDO INICIAL")*(MOVIMIENTOS!$C$5:$C$1005="C")*(MOVIMIENTOS!$D$5:$D$1005="jabas")*(MOVIMIENTOS!$A$5:$A$1005&lt;&gt;"")*(MOVIMIENTOS!$A$5:$A$1005&lt;=$A870)*MOVIMIENTOS!$E$5:$E$1005)+SUMPRODUCT((MOVIMIENTOS!$B$5:$B$1005="PROCESO")*(MOVIMIENTOS!$C$5:$C$1005="C")*(MOVIMIENTOS!$D$5:$D$1005="jabas")*(MOVIMIENTOS!$A$5:$A$1005&lt;&gt;"")*(MOVIMIENTOS!$A$5:$A$1005&lt;=$A870)*MOVIMIENTOS!$E$5:$E$1005)-SUMPRODUCT((MOVIMIENTOS!$B$5:$B$1005="ENVÍO A SUPESA")*(MOVIMIENTOS!$C$5:$C$1005="C")*(MOVIMIENTOS!$D$5:$D$1005="jabas")*(MOVIMIENTOS!$A$5:$A$1005&lt;&gt;"")*(MOVIMIENTOS!$A$5:$A$1005&lt;=$A870)*MOVIMIENTOS!$E$5:$E$1005)+SUMPRODUCT((MOVIMIENTOS!$B$5:$B$1005="DEVOLUCIÓN")*(MOVIMIENTOS!$C$5:$C$1005="C")*(MOVIMIENTOS!$D$5:$D$1005="jabas")*(MOVIMIENTOS!$A$5:$A$1005&lt;&gt;"")*(MOVIMIENTOS!$A$5:$A$1005&lt;=$A870)*MOVIMIENTOS!$E$5:$E$1005)-SUMPRODUCT((MOVIMIENTOS!$B$5:$B$1005="TRASIEGO")*(MOVIMIENTOS!$C$5:$C$1005="C")*(MOVIMIENTOS!$D$5:$D$1005="jabas")*(MOVIMIENTOS!$A$5:$A$1005&lt;&gt;"")*(MOVIMIENTOS!$A$5:$A$1005&lt;=$A870)*MOVIMIENTOS!$E$5:$E$1005)-SUMPRODUCT((MOVIMIENTOS!$B$5:$B$1005="REGALO")*(MOVIMIENTOS!$C$5:$C$1005="C")*(MOVIMIENTOS!$D$5:$D$1005="jabas")*(MOVIMIENTOS!$A$5:$A$1005&lt;&gt;"")*(MOVIMIENTOS!$A$5:$A$1005&lt;=$A870)*MOVIMIENTOS!$E$5:$E$1005)-SUMPRODUCT((MOVIMIENTOS!$B$5:$B$1005="VENTA")*(MOVIMIENTOS!$C$5:$C$1005="C")*(MOVIMIENTOS!$D$5:$D$1005="jabas")*(MOVIMIENTOS!$A$5:$A$1005&lt;&gt;"")*(MOVIMIENTOS!$A$5:$A$1005&lt;=$A870)*MOVIMIENTOS!$E$5:$E$1005)+SUMPRODUCT((MOVIMIENTOS!$B$5:$B$1005="AJUSTE")*(MOVIMIENTOS!$C$5:$C$1005="C")*(MOVIMIENTOS!$D$5:$D$1005="jabas")*(MOVIMIENTOS!$A$5:$A$1005&lt;&gt;"")*(MOVIMIENTOS!$A$5:$A$1005&lt;=$A870)*MOVIMIENTOS!$E$5:$E$1005))</f>
        <v/>
      </c>
      <c r="E870" t="str">
        <f>IF($A870="","",SUMPRODUCT((MOVIMIENTOS!$B$5:$B$1005="SALDO INICIAL")*(MOVIMIENTOS!$C$5:$C$1005="M")*(MOVIMIENTOS!$D$5:$D$1005="jabas")*(MOVIMIENTOS!$A$5:$A$1005&lt;&gt;"")*(MOVIMIENTOS!$A$5:$A$1005&lt;=$A870)*MOVIMIENTOS!$E$5:$E$1005)+SUMPRODUCT((MOVIMIENTOS!$B$5:$B$1005="PROCESO")*(MOVIMIENTOS!$C$5:$C$1005="M")*(MOVIMIENTOS!$D$5:$D$1005="jabas")*(MOVIMIENTOS!$A$5:$A$1005&lt;&gt;"")*(MOVIMIENTOS!$A$5:$A$1005&lt;=$A870)*MOVIMIENTOS!$E$5:$E$1005)-SUMPRODUCT((MOVIMIENTOS!$B$5:$B$1005="ENVÍO A SUPESA")*(MOVIMIENTOS!$C$5:$C$1005="M")*(MOVIMIENTOS!$D$5:$D$1005="jabas")*(MOVIMIENTOS!$A$5:$A$1005&lt;&gt;"")*(MOVIMIENTOS!$A$5:$A$1005&lt;=$A870)*MOVIMIENTOS!$E$5:$E$1005)+SUMPRODUCT((MOVIMIENTOS!$B$5:$B$1005="DEVOLUCIÓN")*(MOVIMIENTOS!$C$5:$C$1005="M")*(MOVIMIENTOS!$D$5:$D$1005="jabas")*(MOVIMIENTOS!$A$5:$A$1005&lt;&gt;"")*(MOVIMIENTOS!$A$5:$A$1005&lt;=$A870)*MOVIMIENTOS!$E$5:$E$1005)-SUMPRODUCT((MOVIMIENTOS!$B$5:$B$1005="TRASIEGO")*(MOVIMIENTOS!$C$5:$C$1005="M")*(MOVIMIENTOS!$D$5:$D$1005="jabas")*(MOVIMIENTOS!$A$5:$A$1005&lt;&gt;"")*(MOVIMIENTOS!$A$5:$A$1005&lt;=$A870)*MOVIMIENTOS!$E$5:$E$1005)-SUMPRODUCT((MOVIMIENTOS!$B$5:$B$1005="REGALO")*(MOVIMIENTOS!$C$5:$C$1005="M")*(MOVIMIENTOS!$D$5:$D$1005="jabas")*(MOVIMIENTOS!$A$5:$A$1005&lt;&gt;"")*(MOVIMIENTOS!$A$5:$A$1005&lt;=$A870)*MOVIMIENTOS!$E$5:$E$1005)-SUMPRODUCT((MOVIMIENTOS!$B$5:$B$1005="VENTA")*(MOVIMIENTOS!$C$5:$C$1005="M")*(MOVIMIENTOS!$D$5:$D$1005="jabas")*(MOVIMIENTOS!$A$5:$A$1005&lt;&gt;"")*(MOVIMIENTOS!$A$5:$A$1005&lt;=$A870)*MOVIMIENTOS!$E$5:$E$1005)+SUMPRODUCT((MOVIMIENTOS!$B$5:$B$1005="AJUSTE")*(MOVIMIENTOS!$C$5:$C$1005="M")*(MOVIMIENTOS!$D$5:$D$1005="jabas")*(MOVIMIENTOS!$A$5:$A$1005&lt;&gt;"")*(MOVIMIENTOS!$A$5:$A$1005&lt;=$A870)*MOVIMIENTOS!$E$5:$E$1005))</f>
        <v/>
      </c>
      <c r="F870" s="62" t="str">
        <f>IF($A870="","",SUMPRODUCT((MOVIMIENTOS!$B$5:$B$1005="SALDO INICIAL")*(MOVIMIENTOS!$C$5:$C$1005="Chancho")*(MOVIMIENTOS!$D$5:$D$1005="sacos")*(MOVIMIENTOS!$A$5:$A$1005&lt;&gt;"")*(MOVIMIENTOS!$A$5:$A$1005&lt;=$A870)*MOVIMIENTOS!$E$5:$E$1005)+SUMPRODUCT((MOVIMIENTOS!$B$5:$B$1005="PROCESO")*(MOVIMIENTOS!$C$5:$C$1005="Chancho")*(MOVIMIENTOS!$D$5:$D$1005="sacos")*(MOVIMIENTOS!$A$5:$A$1005&lt;&gt;"")*(MOVIMIENTOS!$A$5:$A$1005&lt;=$A870)*MOVIMIENTOS!$E$5:$E$1005)-SUMPRODUCT((MOVIMIENTOS!$B$5:$B$1005="VENTA CHANCHO")*(MOVIMIENTOS!$C$5:$C$1005="Chancho")*(MOVIMIENTOS!$D$5:$D$1005="sacos")*(MOVIMIENTOS!$A$5:$A$1005&lt;&gt;"")*(MOVIMIENTOS!$A$5:$A$1005&lt;=$A870)*MOVIMIENTOS!$E$5:$E$1005)-SUMPRODUCT((MOVIMIENTOS!$B$5:$B$1005="REGALO")*(MOVIMIENTOS!$C$5:$C$1005="Chancho")*(MOVIMIENTOS!$D$5:$D$1005="sacos")*(MOVIMIENTOS!$A$5:$A$1005&lt;&gt;"")*(MOVIMIENTOS!$A$5:$A$1005&lt;=$A870)*MOVIMIENTOS!$E$5:$E$1005)-SUMPRODUCT((MOVIMIENTOS!$B$5:$B$1005="VENTA")*(MOVIMIENTOS!$C$5:$C$1005="Chancho")*(MOVIMIENTOS!$D$5:$D$1005="sacos")*(MOVIMIENTOS!$A$5:$A$1005&lt;&gt;"")*(MOVIMIENTOS!$A$5:$A$1005&lt;=$A870)*MOVIMIENTOS!$E$5:$E$1005)+SUMPRODUCT((MOVIMIENTOS!$B$5:$B$1005="AJUSTE")*(MOVIMIENTOS!$C$5:$C$1005="Chancho")*(MOVIMIENTOS!$D$5:$D$1005="sacos")*(MOVIMIENTOS!$A$5:$A$1005&lt;&gt;"")*(MOVIMIENTOS!$A$5:$A$1005&lt;=$A870)*MOVIMIENTOS!$E$5:$E$1005))</f>
        <v/>
      </c>
      <c r="G870" s="62" t="str">
        <f t="shared" si="27"/>
        <v/>
      </c>
      <c r="H870" t="str">
        <f>IF($A870="","",SUMPRODUCT((((MOVIMIENTOS!$B$5:$B$1005="SALDO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870)*MOVIMIENTOS!$J$5:$J$1005))</f>
        <v/>
      </c>
      <c r="J870" t="str">
        <f>IF(AND(MOVIMIENTOS!$A875&lt;&gt;"",COUNTIF(MOVIMIENTOS!$A$5:$A874,MOVIMIENTOS!$A875)=0),COUNT(J$4:J869)+1,"")</f>
        <v/>
      </c>
      <c r="K870">
        <f>MOVIMIENTOS!$A875</f>
        <v>0</v>
      </c>
    </row>
    <row r="871" spans="1:11" ht="15" customHeight="1" x14ac:dyDescent="0.2">
      <c r="A871" t="str">
        <f t="shared" si="26"/>
        <v/>
      </c>
      <c r="B871" t="str">
        <f>IF($A871="","",SUMPRODUCT((MOVIMIENTOS!$B$5:$B$1005="SALDO INICIAL")*(MOVIMIENTOS!$C$5:$C$1005="A")*(MOVIMIENTOS!$D$5:$D$1005="jabas")*(MOVIMIENTOS!$A$5:$A$1005&lt;&gt;"")*(MOVIMIENTOS!$A$5:$A$1005&lt;=$A871)*MOVIMIENTOS!$E$5:$E$1005)+SUMPRODUCT((MOVIMIENTOS!$B$5:$B$1005="PROCESO")*(MOVIMIENTOS!$C$5:$C$1005="A")*(MOVIMIENTOS!$D$5:$D$1005="jabas")*(MOVIMIENTOS!$A$5:$A$1005&lt;&gt;"")*(MOVIMIENTOS!$A$5:$A$1005&lt;=$A871)*MOVIMIENTOS!$E$5:$E$1005)-SUMPRODUCT((MOVIMIENTOS!$B$5:$B$1005="ENVÍO A SUPESA")*(MOVIMIENTOS!$C$5:$C$1005="A")*(MOVIMIENTOS!$D$5:$D$1005="jabas")*(MOVIMIENTOS!$A$5:$A$1005&lt;&gt;"")*(MOVIMIENTOS!$A$5:$A$1005&lt;=$A871)*MOVIMIENTOS!$E$5:$E$1005)+SUMPRODUCT((MOVIMIENTOS!$B$5:$B$1005="DEVOLUCIÓN")*(MOVIMIENTOS!$C$5:$C$1005="A")*(MOVIMIENTOS!$D$5:$D$1005="jabas")*(MOVIMIENTOS!$A$5:$A$1005&lt;&gt;"")*(MOVIMIENTOS!$A$5:$A$1005&lt;=$A871)*MOVIMIENTOS!$E$5:$E$1005)-SUMPRODUCT((MOVIMIENTOS!$B$5:$B$1005="TRASIEGO")*(MOVIMIENTOS!$C$5:$C$1005="A")*(MOVIMIENTOS!$D$5:$D$1005="jabas")*(MOVIMIENTOS!$A$5:$A$1005&lt;&gt;"")*(MOVIMIENTOS!$A$5:$A$1005&lt;=$A871)*MOVIMIENTOS!$E$5:$E$1005)-SUMPRODUCT((MOVIMIENTOS!$B$5:$B$1005="REGALO")*(MOVIMIENTOS!$C$5:$C$1005="A")*(MOVIMIENTOS!$D$5:$D$1005="jabas")*(MOVIMIENTOS!$A$5:$A$1005&lt;&gt;"")*(MOVIMIENTOS!$A$5:$A$1005&lt;=$A871)*MOVIMIENTOS!$E$5:$E$1005)-SUMPRODUCT((MOVIMIENTOS!$B$5:$B$1005="VENTA")*(MOVIMIENTOS!$C$5:$C$1005="A")*(MOVIMIENTOS!$D$5:$D$1005="jabas")*(MOVIMIENTOS!$A$5:$A$1005&lt;&gt;"")*(MOVIMIENTOS!$A$5:$A$1005&lt;=$A871)*MOVIMIENTOS!$E$5:$E$1005)+SUMPRODUCT((MOVIMIENTOS!$B$5:$B$1005="AJUSTE")*(MOVIMIENTOS!$C$5:$C$1005="A")*(MOVIMIENTOS!$D$5:$D$1005="jabas")*(MOVIMIENTOS!$A$5:$A$1005&lt;&gt;"")*(MOVIMIENTOS!$A$5:$A$1005&lt;=$A871)*MOVIMIENTOS!$E$5:$E$1005))</f>
        <v/>
      </c>
      <c r="C871" t="str">
        <f>IF($A871="","",SUMPRODUCT((MOVIMIENTOS!$B$5:$B$1005="SALDO INICIAL")*(MOVIMIENTOS!$C$5:$C$1005="P")*(MOVIMIENTOS!$D$5:$D$1005="jabas")*(MOVIMIENTOS!$A$5:$A$1005&lt;&gt;"")*(MOVIMIENTOS!$A$5:$A$1005&lt;=$A871)*MOVIMIENTOS!$E$5:$E$1005)+SUMPRODUCT((MOVIMIENTOS!$B$5:$B$1005="PROCESO")*(MOVIMIENTOS!$C$5:$C$1005="P")*(MOVIMIENTOS!$D$5:$D$1005="jabas")*(MOVIMIENTOS!$A$5:$A$1005&lt;&gt;"")*(MOVIMIENTOS!$A$5:$A$1005&lt;=$A871)*MOVIMIENTOS!$E$5:$E$1005)-SUMPRODUCT((MOVIMIENTOS!$B$5:$B$1005="ENVÍO A SUPESA")*(MOVIMIENTOS!$C$5:$C$1005="P")*(MOVIMIENTOS!$D$5:$D$1005="jabas")*(MOVIMIENTOS!$A$5:$A$1005&lt;&gt;"")*(MOVIMIENTOS!$A$5:$A$1005&lt;=$A871)*MOVIMIENTOS!$E$5:$E$1005)+SUMPRODUCT((MOVIMIENTOS!$B$5:$B$1005="DEVOLUCIÓN")*(MOVIMIENTOS!$C$5:$C$1005="P")*(MOVIMIENTOS!$D$5:$D$1005="jabas")*(MOVIMIENTOS!$A$5:$A$1005&lt;&gt;"")*(MOVIMIENTOS!$A$5:$A$1005&lt;=$A871)*MOVIMIENTOS!$E$5:$E$1005)-SUMPRODUCT((MOVIMIENTOS!$B$5:$B$1005="TRASIEGO")*(MOVIMIENTOS!$C$5:$C$1005="P")*(MOVIMIENTOS!$D$5:$D$1005="jabas")*(MOVIMIENTOS!$A$5:$A$1005&lt;&gt;"")*(MOVIMIENTOS!$A$5:$A$1005&lt;=$A871)*MOVIMIENTOS!$E$5:$E$1005)-SUMPRODUCT((MOVIMIENTOS!$B$5:$B$1005="REGALO")*(MOVIMIENTOS!$C$5:$C$1005="P")*(MOVIMIENTOS!$D$5:$D$1005="jabas")*(MOVIMIENTOS!$A$5:$A$1005&lt;&gt;"")*(MOVIMIENTOS!$A$5:$A$1005&lt;=$A871)*MOVIMIENTOS!$E$5:$E$1005)-SUMPRODUCT((MOVIMIENTOS!$B$5:$B$1005="VENTA")*(MOVIMIENTOS!$C$5:$C$1005="P")*(MOVIMIENTOS!$D$5:$D$1005="jabas")*(MOVIMIENTOS!$A$5:$A$1005&lt;&gt;"")*(MOVIMIENTOS!$A$5:$A$1005&lt;=$A871)*MOVIMIENTOS!$E$5:$E$1005)+SUMPRODUCT((MOVIMIENTOS!$B$5:$B$1005="AJUSTE")*(MOVIMIENTOS!$C$5:$C$1005="P")*(MOVIMIENTOS!$D$5:$D$1005="jabas")*(MOVIMIENTOS!$A$5:$A$1005&lt;&gt;"")*(MOVIMIENTOS!$A$5:$A$1005&lt;=$A871)*MOVIMIENTOS!$E$5:$E$1005))</f>
        <v/>
      </c>
      <c r="D871" t="str">
        <f>IF($A871="","",SUMPRODUCT((MOVIMIENTOS!$B$5:$B$1005="SALDO INICIAL")*(MOVIMIENTOS!$C$5:$C$1005="C")*(MOVIMIENTOS!$D$5:$D$1005="jabas")*(MOVIMIENTOS!$A$5:$A$1005&lt;&gt;"")*(MOVIMIENTOS!$A$5:$A$1005&lt;=$A871)*MOVIMIENTOS!$E$5:$E$1005)+SUMPRODUCT((MOVIMIENTOS!$B$5:$B$1005="PROCESO")*(MOVIMIENTOS!$C$5:$C$1005="C")*(MOVIMIENTOS!$D$5:$D$1005="jabas")*(MOVIMIENTOS!$A$5:$A$1005&lt;&gt;"")*(MOVIMIENTOS!$A$5:$A$1005&lt;=$A871)*MOVIMIENTOS!$E$5:$E$1005)-SUMPRODUCT((MOVIMIENTOS!$B$5:$B$1005="ENVÍO A SUPESA")*(MOVIMIENTOS!$C$5:$C$1005="C")*(MOVIMIENTOS!$D$5:$D$1005="jabas")*(MOVIMIENTOS!$A$5:$A$1005&lt;&gt;"")*(MOVIMIENTOS!$A$5:$A$1005&lt;=$A871)*MOVIMIENTOS!$E$5:$E$1005)+SUMPRODUCT((MOVIMIENTOS!$B$5:$B$1005="DEVOLUCIÓN")*(MOVIMIENTOS!$C$5:$C$1005="C")*(MOVIMIENTOS!$D$5:$D$1005="jabas")*(MOVIMIENTOS!$A$5:$A$1005&lt;&gt;"")*(MOVIMIENTOS!$A$5:$A$1005&lt;=$A871)*MOVIMIENTOS!$E$5:$E$1005)-SUMPRODUCT((MOVIMIENTOS!$B$5:$B$1005="TRASIEGO")*(MOVIMIENTOS!$C$5:$C$1005="C")*(MOVIMIENTOS!$D$5:$D$1005="jabas")*(MOVIMIENTOS!$A$5:$A$1005&lt;&gt;"")*(MOVIMIENTOS!$A$5:$A$1005&lt;=$A871)*MOVIMIENTOS!$E$5:$E$1005)-SUMPRODUCT((MOVIMIENTOS!$B$5:$B$1005="REGALO")*(MOVIMIENTOS!$C$5:$C$1005="C")*(MOVIMIENTOS!$D$5:$D$1005="jabas")*(MOVIMIENTOS!$A$5:$A$1005&lt;&gt;"")*(MOVIMIENTOS!$A$5:$A$1005&lt;=$A871)*MOVIMIENTOS!$E$5:$E$1005)-SUMPRODUCT((MOVIMIENTOS!$B$5:$B$1005="VENTA")*(MOVIMIENTOS!$C$5:$C$1005="C")*(MOVIMIENTOS!$D$5:$D$1005="jabas")*(MOVIMIENTOS!$A$5:$A$1005&lt;&gt;"")*(MOVIMIENTOS!$A$5:$A$1005&lt;=$A871)*MOVIMIENTOS!$E$5:$E$1005)+SUMPRODUCT((MOVIMIENTOS!$B$5:$B$1005="AJUSTE")*(MOVIMIENTOS!$C$5:$C$1005="C")*(MOVIMIENTOS!$D$5:$D$1005="jabas")*(MOVIMIENTOS!$A$5:$A$1005&lt;&gt;"")*(MOVIMIENTOS!$A$5:$A$1005&lt;=$A871)*MOVIMIENTOS!$E$5:$E$1005))</f>
        <v/>
      </c>
      <c r="E871" t="str">
        <f>IF($A871="","",SUMPRODUCT((MOVIMIENTOS!$B$5:$B$1005="SALDO INICIAL")*(MOVIMIENTOS!$C$5:$C$1005="M")*(MOVIMIENTOS!$D$5:$D$1005="jabas")*(MOVIMIENTOS!$A$5:$A$1005&lt;&gt;"")*(MOVIMIENTOS!$A$5:$A$1005&lt;=$A871)*MOVIMIENTOS!$E$5:$E$1005)+SUMPRODUCT((MOVIMIENTOS!$B$5:$B$1005="PROCESO")*(MOVIMIENTOS!$C$5:$C$1005="M")*(MOVIMIENTOS!$D$5:$D$1005="jabas")*(MOVIMIENTOS!$A$5:$A$1005&lt;&gt;"")*(MOVIMIENTOS!$A$5:$A$1005&lt;=$A871)*MOVIMIENTOS!$E$5:$E$1005)-SUMPRODUCT((MOVIMIENTOS!$B$5:$B$1005="ENVÍO A SUPESA")*(MOVIMIENTOS!$C$5:$C$1005="M")*(MOVIMIENTOS!$D$5:$D$1005="jabas")*(MOVIMIENTOS!$A$5:$A$1005&lt;&gt;"")*(MOVIMIENTOS!$A$5:$A$1005&lt;=$A871)*MOVIMIENTOS!$E$5:$E$1005)+SUMPRODUCT((MOVIMIENTOS!$B$5:$B$1005="DEVOLUCIÓN")*(MOVIMIENTOS!$C$5:$C$1005="M")*(MOVIMIENTOS!$D$5:$D$1005="jabas")*(MOVIMIENTOS!$A$5:$A$1005&lt;&gt;"")*(MOVIMIENTOS!$A$5:$A$1005&lt;=$A871)*MOVIMIENTOS!$E$5:$E$1005)-SUMPRODUCT((MOVIMIENTOS!$B$5:$B$1005="TRASIEGO")*(MOVIMIENTOS!$C$5:$C$1005="M")*(MOVIMIENTOS!$D$5:$D$1005="jabas")*(MOVIMIENTOS!$A$5:$A$1005&lt;&gt;"")*(MOVIMIENTOS!$A$5:$A$1005&lt;=$A871)*MOVIMIENTOS!$E$5:$E$1005)-SUMPRODUCT((MOVIMIENTOS!$B$5:$B$1005="REGALO")*(MOVIMIENTOS!$C$5:$C$1005="M")*(MOVIMIENTOS!$D$5:$D$1005="jabas")*(MOVIMIENTOS!$A$5:$A$1005&lt;&gt;"")*(MOVIMIENTOS!$A$5:$A$1005&lt;=$A871)*MOVIMIENTOS!$E$5:$E$1005)-SUMPRODUCT((MOVIMIENTOS!$B$5:$B$1005="VENTA")*(MOVIMIENTOS!$C$5:$C$1005="M")*(MOVIMIENTOS!$D$5:$D$1005="jabas")*(MOVIMIENTOS!$A$5:$A$1005&lt;&gt;"")*(MOVIMIENTOS!$A$5:$A$1005&lt;=$A871)*MOVIMIENTOS!$E$5:$E$1005)+SUMPRODUCT((MOVIMIENTOS!$B$5:$B$1005="AJUSTE")*(MOVIMIENTOS!$C$5:$C$1005="M")*(MOVIMIENTOS!$D$5:$D$1005="jabas")*(MOVIMIENTOS!$A$5:$A$1005&lt;&gt;"")*(MOVIMIENTOS!$A$5:$A$1005&lt;=$A871)*MOVIMIENTOS!$E$5:$E$1005))</f>
        <v/>
      </c>
      <c r="F871" s="62" t="str">
        <f>IF($A871="","",SUMPRODUCT((MOVIMIENTOS!$B$5:$B$1005="SALDO INICIAL")*(MOVIMIENTOS!$C$5:$C$1005="Chancho")*(MOVIMIENTOS!$D$5:$D$1005="sacos")*(MOVIMIENTOS!$A$5:$A$1005&lt;&gt;"")*(MOVIMIENTOS!$A$5:$A$1005&lt;=$A871)*MOVIMIENTOS!$E$5:$E$1005)+SUMPRODUCT((MOVIMIENTOS!$B$5:$B$1005="PROCESO")*(MOVIMIENTOS!$C$5:$C$1005="Chancho")*(MOVIMIENTOS!$D$5:$D$1005="sacos")*(MOVIMIENTOS!$A$5:$A$1005&lt;&gt;"")*(MOVIMIENTOS!$A$5:$A$1005&lt;=$A871)*MOVIMIENTOS!$E$5:$E$1005)-SUMPRODUCT((MOVIMIENTOS!$B$5:$B$1005="VENTA CHANCHO")*(MOVIMIENTOS!$C$5:$C$1005="Chancho")*(MOVIMIENTOS!$D$5:$D$1005="sacos")*(MOVIMIENTOS!$A$5:$A$1005&lt;&gt;"")*(MOVIMIENTOS!$A$5:$A$1005&lt;=$A871)*MOVIMIENTOS!$E$5:$E$1005)-SUMPRODUCT((MOVIMIENTOS!$B$5:$B$1005="REGALO")*(MOVIMIENTOS!$C$5:$C$1005="Chancho")*(MOVIMIENTOS!$D$5:$D$1005="sacos")*(MOVIMIENTOS!$A$5:$A$1005&lt;&gt;"")*(MOVIMIENTOS!$A$5:$A$1005&lt;=$A871)*MOVIMIENTOS!$E$5:$E$1005)-SUMPRODUCT((MOVIMIENTOS!$B$5:$B$1005="VENTA")*(MOVIMIENTOS!$C$5:$C$1005="Chancho")*(MOVIMIENTOS!$D$5:$D$1005="sacos")*(MOVIMIENTOS!$A$5:$A$1005&lt;&gt;"")*(MOVIMIENTOS!$A$5:$A$1005&lt;=$A871)*MOVIMIENTOS!$E$5:$E$1005)+SUMPRODUCT((MOVIMIENTOS!$B$5:$B$1005="AJUSTE")*(MOVIMIENTOS!$C$5:$C$1005="Chancho")*(MOVIMIENTOS!$D$5:$D$1005="sacos")*(MOVIMIENTOS!$A$5:$A$1005&lt;&gt;"")*(MOVIMIENTOS!$A$5:$A$1005&lt;=$A871)*MOVIMIENTOS!$E$5:$E$1005))</f>
        <v/>
      </c>
      <c r="G871" s="62" t="str">
        <f t="shared" si="27"/>
        <v/>
      </c>
      <c r="H871" t="str">
        <f>IF($A871="","",SUMPRODUCT((((MOVIMIENTOS!$B$5:$B$1005="SALDO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871)*MOVIMIENTOS!$J$5:$J$1005))</f>
        <v/>
      </c>
      <c r="J871" t="str">
        <f>IF(AND(MOVIMIENTOS!$A876&lt;&gt;"",COUNTIF(MOVIMIENTOS!$A$5:$A875,MOVIMIENTOS!$A876)=0),COUNT(J$4:J870)+1,"")</f>
        <v/>
      </c>
      <c r="K871">
        <f>MOVIMIENTOS!$A876</f>
        <v>0</v>
      </c>
    </row>
    <row r="872" spans="1:11" ht="15" customHeight="1" x14ac:dyDescent="0.2">
      <c r="A872" t="str">
        <f t="shared" si="26"/>
        <v/>
      </c>
      <c r="B872" t="str">
        <f>IF($A872="","",SUMPRODUCT((MOVIMIENTOS!$B$5:$B$1005="SALDO INICIAL")*(MOVIMIENTOS!$C$5:$C$1005="A")*(MOVIMIENTOS!$D$5:$D$1005="jabas")*(MOVIMIENTOS!$A$5:$A$1005&lt;&gt;"")*(MOVIMIENTOS!$A$5:$A$1005&lt;=$A872)*MOVIMIENTOS!$E$5:$E$1005)+SUMPRODUCT((MOVIMIENTOS!$B$5:$B$1005="PROCESO")*(MOVIMIENTOS!$C$5:$C$1005="A")*(MOVIMIENTOS!$D$5:$D$1005="jabas")*(MOVIMIENTOS!$A$5:$A$1005&lt;&gt;"")*(MOVIMIENTOS!$A$5:$A$1005&lt;=$A872)*MOVIMIENTOS!$E$5:$E$1005)-SUMPRODUCT((MOVIMIENTOS!$B$5:$B$1005="ENVÍO A SUPESA")*(MOVIMIENTOS!$C$5:$C$1005="A")*(MOVIMIENTOS!$D$5:$D$1005="jabas")*(MOVIMIENTOS!$A$5:$A$1005&lt;&gt;"")*(MOVIMIENTOS!$A$5:$A$1005&lt;=$A872)*MOVIMIENTOS!$E$5:$E$1005)+SUMPRODUCT((MOVIMIENTOS!$B$5:$B$1005="DEVOLUCIÓN")*(MOVIMIENTOS!$C$5:$C$1005="A")*(MOVIMIENTOS!$D$5:$D$1005="jabas")*(MOVIMIENTOS!$A$5:$A$1005&lt;&gt;"")*(MOVIMIENTOS!$A$5:$A$1005&lt;=$A872)*MOVIMIENTOS!$E$5:$E$1005)-SUMPRODUCT((MOVIMIENTOS!$B$5:$B$1005="TRASIEGO")*(MOVIMIENTOS!$C$5:$C$1005="A")*(MOVIMIENTOS!$D$5:$D$1005="jabas")*(MOVIMIENTOS!$A$5:$A$1005&lt;&gt;"")*(MOVIMIENTOS!$A$5:$A$1005&lt;=$A872)*MOVIMIENTOS!$E$5:$E$1005)-SUMPRODUCT((MOVIMIENTOS!$B$5:$B$1005="REGALO")*(MOVIMIENTOS!$C$5:$C$1005="A")*(MOVIMIENTOS!$D$5:$D$1005="jabas")*(MOVIMIENTOS!$A$5:$A$1005&lt;&gt;"")*(MOVIMIENTOS!$A$5:$A$1005&lt;=$A872)*MOVIMIENTOS!$E$5:$E$1005)-SUMPRODUCT((MOVIMIENTOS!$B$5:$B$1005="VENTA")*(MOVIMIENTOS!$C$5:$C$1005="A")*(MOVIMIENTOS!$D$5:$D$1005="jabas")*(MOVIMIENTOS!$A$5:$A$1005&lt;&gt;"")*(MOVIMIENTOS!$A$5:$A$1005&lt;=$A872)*MOVIMIENTOS!$E$5:$E$1005)+SUMPRODUCT((MOVIMIENTOS!$B$5:$B$1005="AJUSTE")*(MOVIMIENTOS!$C$5:$C$1005="A")*(MOVIMIENTOS!$D$5:$D$1005="jabas")*(MOVIMIENTOS!$A$5:$A$1005&lt;&gt;"")*(MOVIMIENTOS!$A$5:$A$1005&lt;=$A872)*MOVIMIENTOS!$E$5:$E$1005))</f>
        <v/>
      </c>
      <c r="C872" t="str">
        <f>IF($A872="","",SUMPRODUCT((MOVIMIENTOS!$B$5:$B$1005="SALDO INICIAL")*(MOVIMIENTOS!$C$5:$C$1005="P")*(MOVIMIENTOS!$D$5:$D$1005="jabas")*(MOVIMIENTOS!$A$5:$A$1005&lt;&gt;"")*(MOVIMIENTOS!$A$5:$A$1005&lt;=$A872)*MOVIMIENTOS!$E$5:$E$1005)+SUMPRODUCT((MOVIMIENTOS!$B$5:$B$1005="PROCESO")*(MOVIMIENTOS!$C$5:$C$1005="P")*(MOVIMIENTOS!$D$5:$D$1005="jabas")*(MOVIMIENTOS!$A$5:$A$1005&lt;&gt;"")*(MOVIMIENTOS!$A$5:$A$1005&lt;=$A872)*MOVIMIENTOS!$E$5:$E$1005)-SUMPRODUCT((MOVIMIENTOS!$B$5:$B$1005="ENVÍO A SUPESA")*(MOVIMIENTOS!$C$5:$C$1005="P")*(MOVIMIENTOS!$D$5:$D$1005="jabas")*(MOVIMIENTOS!$A$5:$A$1005&lt;&gt;"")*(MOVIMIENTOS!$A$5:$A$1005&lt;=$A872)*MOVIMIENTOS!$E$5:$E$1005)+SUMPRODUCT((MOVIMIENTOS!$B$5:$B$1005="DEVOLUCIÓN")*(MOVIMIENTOS!$C$5:$C$1005="P")*(MOVIMIENTOS!$D$5:$D$1005="jabas")*(MOVIMIENTOS!$A$5:$A$1005&lt;&gt;"")*(MOVIMIENTOS!$A$5:$A$1005&lt;=$A872)*MOVIMIENTOS!$E$5:$E$1005)-SUMPRODUCT((MOVIMIENTOS!$B$5:$B$1005="TRASIEGO")*(MOVIMIENTOS!$C$5:$C$1005="P")*(MOVIMIENTOS!$D$5:$D$1005="jabas")*(MOVIMIENTOS!$A$5:$A$1005&lt;&gt;"")*(MOVIMIENTOS!$A$5:$A$1005&lt;=$A872)*MOVIMIENTOS!$E$5:$E$1005)-SUMPRODUCT((MOVIMIENTOS!$B$5:$B$1005="REGALO")*(MOVIMIENTOS!$C$5:$C$1005="P")*(MOVIMIENTOS!$D$5:$D$1005="jabas")*(MOVIMIENTOS!$A$5:$A$1005&lt;&gt;"")*(MOVIMIENTOS!$A$5:$A$1005&lt;=$A872)*MOVIMIENTOS!$E$5:$E$1005)-SUMPRODUCT((MOVIMIENTOS!$B$5:$B$1005="VENTA")*(MOVIMIENTOS!$C$5:$C$1005="P")*(MOVIMIENTOS!$D$5:$D$1005="jabas")*(MOVIMIENTOS!$A$5:$A$1005&lt;&gt;"")*(MOVIMIENTOS!$A$5:$A$1005&lt;=$A872)*MOVIMIENTOS!$E$5:$E$1005)+SUMPRODUCT((MOVIMIENTOS!$B$5:$B$1005="AJUSTE")*(MOVIMIENTOS!$C$5:$C$1005="P")*(MOVIMIENTOS!$D$5:$D$1005="jabas")*(MOVIMIENTOS!$A$5:$A$1005&lt;&gt;"")*(MOVIMIENTOS!$A$5:$A$1005&lt;=$A872)*MOVIMIENTOS!$E$5:$E$1005))</f>
        <v/>
      </c>
      <c r="D872" t="str">
        <f>IF($A872="","",SUMPRODUCT((MOVIMIENTOS!$B$5:$B$1005="SALDO INICIAL")*(MOVIMIENTOS!$C$5:$C$1005="C")*(MOVIMIENTOS!$D$5:$D$1005="jabas")*(MOVIMIENTOS!$A$5:$A$1005&lt;&gt;"")*(MOVIMIENTOS!$A$5:$A$1005&lt;=$A872)*MOVIMIENTOS!$E$5:$E$1005)+SUMPRODUCT((MOVIMIENTOS!$B$5:$B$1005="PROCESO")*(MOVIMIENTOS!$C$5:$C$1005="C")*(MOVIMIENTOS!$D$5:$D$1005="jabas")*(MOVIMIENTOS!$A$5:$A$1005&lt;&gt;"")*(MOVIMIENTOS!$A$5:$A$1005&lt;=$A872)*MOVIMIENTOS!$E$5:$E$1005)-SUMPRODUCT((MOVIMIENTOS!$B$5:$B$1005="ENVÍO A SUPESA")*(MOVIMIENTOS!$C$5:$C$1005="C")*(MOVIMIENTOS!$D$5:$D$1005="jabas")*(MOVIMIENTOS!$A$5:$A$1005&lt;&gt;"")*(MOVIMIENTOS!$A$5:$A$1005&lt;=$A872)*MOVIMIENTOS!$E$5:$E$1005)+SUMPRODUCT((MOVIMIENTOS!$B$5:$B$1005="DEVOLUCIÓN")*(MOVIMIENTOS!$C$5:$C$1005="C")*(MOVIMIENTOS!$D$5:$D$1005="jabas")*(MOVIMIENTOS!$A$5:$A$1005&lt;&gt;"")*(MOVIMIENTOS!$A$5:$A$1005&lt;=$A872)*MOVIMIENTOS!$E$5:$E$1005)-SUMPRODUCT((MOVIMIENTOS!$B$5:$B$1005="TRASIEGO")*(MOVIMIENTOS!$C$5:$C$1005="C")*(MOVIMIENTOS!$D$5:$D$1005="jabas")*(MOVIMIENTOS!$A$5:$A$1005&lt;&gt;"")*(MOVIMIENTOS!$A$5:$A$1005&lt;=$A872)*MOVIMIENTOS!$E$5:$E$1005)-SUMPRODUCT((MOVIMIENTOS!$B$5:$B$1005="REGALO")*(MOVIMIENTOS!$C$5:$C$1005="C")*(MOVIMIENTOS!$D$5:$D$1005="jabas")*(MOVIMIENTOS!$A$5:$A$1005&lt;&gt;"")*(MOVIMIENTOS!$A$5:$A$1005&lt;=$A872)*MOVIMIENTOS!$E$5:$E$1005)-SUMPRODUCT((MOVIMIENTOS!$B$5:$B$1005="VENTA")*(MOVIMIENTOS!$C$5:$C$1005="C")*(MOVIMIENTOS!$D$5:$D$1005="jabas")*(MOVIMIENTOS!$A$5:$A$1005&lt;&gt;"")*(MOVIMIENTOS!$A$5:$A$1005&lt;=$A872)*MOVIMIENTOS!$E$5:$E$1005)+SUMPRODUCT((MOVIMIENTOS!$B$5:$B$1005="AJUSTE")*(MOVIMIENTOS!$C$5:$C$1005="C")*(MOVIMIENTOS!$D$5:$D$1005="jabas")*(MOVIMIENTOS!$A$5:$A$1005&lt;&gt;"")*(MOVIMIENTOS!$A$5:$A$1005&lt;=$A872)*MOVIMIENTOS!$E$5:$E$1005))</f>
        <v/>
      </c>
      <c r="E872" t="str">
        <f>IF($A872="","",SUMPRODUCT((MOVIMIENTOS!$B$5:$B$1005="SALDO INICIAL")*(MOVIMIENTOS!$C$5:$C$1005="M")*(MOVIMIENTOS!$D$5:$D$1005="jabas")*(MOVIMIENTOS!$A$5:$A$1005&lt;&gt;"")*(MOVIMIENTOS!$A$5:$A$1005&lt;=$A872)*MOVIMIENTOS!$E$5:$E$1005)+SUMPRODUCT((MOVIMIENTOS!$B$5:$B$1005="PROCESO")*(MOVIMIENTOS!$C$5:$C$1005="M")*(MOVIMIENTOS!$D$5:$D$1005="jabas")*(MOVIMIENTOS!$A$5:$A$1005&lt;&gt;"")*(MOVIMIENTOS!$A$5:$A$1005&lt;=$A872)*MOVIMIENTOS!$E$5:$E$1005)-SUMPRODUCT((MOVIMIENTOS!$B$5:$B$1005="ENVÍO A SUPESA")*(MOVIMIENTOS!$C$5:$C$1005="M")*(MOVIMIENTOS!$D$5:$D$1005="jabas")*(MOVIMIENTOS!$A$5:$A$1005&lt;&gt;"")*(MOVIMIENTOS!$A$5:$A$1005&lt;=$A872)*MOVIMIENTOS!$E$5:$E$1005)+SUMPRODUCT((MOVIMIENTOS!$B$5:$B$1005="DEVOLUCIÓN")*(MOVIMIENTOS!$C$5:$C$1005="M")*(MOVIMIENTOS!$D$5:$D$1005="jabas")*(MOVIMIENTOS!$A$5:$A$1005&lt;&gt;"")*(MOVIMIENTOS!$A$5:$A$1005&lt;=$A872)*MOVIMIENTOS!$E$5:$E$1005)-SUMPRODUCT((MOVIMIENTOS!$B$5:$B$1005="TRASIEGO")*(MOVIMIENTOS!$C$5:$C$1005="M")*(MOVIMIENTOS!$D$5:$D$1005="jabas")*(MOVIMIENTOS!$A$5:$A$1005&lt;&gt;"")*(MOVIMIENTOS!$A$5:$A$1005&lt;=$A872)*MOVIMIENTOS!$E$5:$E$1005)-SUMPRODUCT((MOVIMIENTOS!$B$5:$B$1005="REGALO")*(MOVIMIENTOS!$C$5:$C$1005="M")*(MOVIMIENTOS!$D$5:$D$1005="jabas")*(MOVIMIENTOS!$A$5:$A$1005&lt;&gt;"")*(MOVIMIENTOS!$A$5:$A$1005&lt;=$A872)*MOVIMIENTOS!$E$5:$E$1005)-SUMPRODUCT((MOVIMIENTOS!$B$5:$B$1005="VENTA")*(MOVIMIENTOS!$C$5:$C$1005="M")*(MOVIMIENTOS!$D$5:$D$1005="jabas")*(MOVIMIENTOS!$A$5:$A$1005&lt;&gt;"")*(MOVIMIENTOS!$A$5:$A$1005&lt;=$A872)*MOVIMIENTOS!$E$5:$E$1005)+SUMPRODUCT((MOVIMIENTOS!$B$5:$B$1005="AJUSTE")*(MOVIMIENTOS!$C$5:$C$1005="M")*(MOVIMIENTOS!$D$5:$D$1005="jabas")*(MOVIMIENTOS!$A$5:$A$1005&lt;&gt;"")*(MOVIMIENTOS!$A$5:$A$1005&lt;=$A872)*MOVIMIENTOS!$E$5:$E$1005))</f>
        <v/>
      </c>
      <c r="F872" s="62" t="str">
        <f>IF($A872="","",SUMPRODUCT((MOVIMIENTOS!$B$5:$B$1005="SALDO INICIAL")*(MOVIMIENTOS!$C$5:$C$1005="Chancho")*(MOVIMIENTOS!$D$5:$D$1005="sacos")*(MOVIMIENTOS!$A$5:$A$1005&lt;&gt;"")*(MOVIMIENTOS!$A$5:$A$1005&lt;=$A872)*MOVIMIENTOS!$E$5:$E$1005)+SUMPRODUCT((MOVIMIENTOS!$B$5:$B$1005="PROCESO")*(MOVIMIENTOS!$C$5:$C$1005="Chancho")*(MOVIMIENTOS!$D$5:$D$1005="sacos")*(MOVIMIENTOS!$A$5:$A$1005&lt;&gt;"")*(MOVIMIENTOS!$A$5:$A$1005&lt;=$A872)*MOVIMIENTOS!$E$5:$E$1005)-SUMPRODUCT((MOVIMIENTOS!$B$5:$B$1005="VENTA CHANCHO")*(MOVIMIENTOS!$C$5:$C$1005="Chancho")*(MOVIMIENTOS!$D$5:$D$1005="sacos")*(MOVIMIENTOS!$A$5:$A$1005&lt;&gt;"")*(MOVIMIENTOS!$A$5:$A$1005&lt;=$A872)*MOVIMIENTOS!$E$5:$E$1005)-SUMPRODUCT((MOVIMIENTOS!$B$5:$B$1005="REGALO")*(MOVIMIENTOS!$C$5:$C$1005="Chancho")*(MOVIMIENTOS!$D$5:$D$1005="sacos")*(MOVIMIENTOS!$A$5:$A$1005&lt;&gt;"")*(MOVIMIENTOS!$A$5:$A$1005&lt;=$A872)*MOVIMIENTOS!$E$5:$E$1005)-SUMPRODUCT((MOVIMIENTOS!$B$5:$B$1005="VENTA")*(MOVIMIENTOS!$C$5:$C$1005="Chancho")*(MOVIMIENTOS!$D$5:$D$1005="sacos")*(MOVIMIENTOS!$A$5:$A$1005&lt;&gt;"")*(MOVIMIENTOS!$A$5:$A$1005&lt;=$A872)*MOVIMIENTOS!$E$5:$E$1005)+SUMPRODUCT((MOVIMIENTOS!$B$5:$B$1005="AJUSTE")*(MOVIMIENTOS!$C$5:$C$1005="Chancho")*(MOVIMIENTOS!$D$5:$D$1005="sacos")*(MOVIMIENTOS!$A$5:$A$1005&lt;&gt;"")*(MOVIMIENTOS!$A$5:$A$1005&lt;=$A872)*MOVIMIENTOS!$E$5:$E$1005))</f>
        <v/>
      </c>
      <c r="G872" s="62" t="str">
        <f t="shared" si="27"/>
        <v/>
      </c>
      <c r="H872" t="str">
        <f>IF($A872="","",SUMPRODUCT((((MOVIMIENTOS!$B$5:$B$1005="SALDO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872)*MOVIMIENTOS!$J$5:$J$1005))</f>
        <v/>
      </c>
      <c r="J872" t="str">
        <f>IF(AND(MOVIMIENTOS!$A877&lt;&gt;"",COUNTIF(MOVIMIENTOS!$A$5:$A876,MOVIMIENTOS!$A877)=0),COUNT(J$4:J871)+1,"")</f>
        <v/>
      </c>
      <c r="K872">
        <f>MOVIMIENTOS!$A877</f>
        <v>0</v>
      </c>
    </row>
    <row r="873" spans="1:11" ht="15" customHeight="1" x14ac:dyDescent="0.2">
      <c r="A873" t="str">
        <f t="shared" si="26"/>
        <v/>
      </c>
      <c r="B873" t="str">
        <f>IF($A873="","",SUMPRODUCT((MOVIMIENTOS!$B$5:$B$1005="SALDO INICIAL")*(MOVIMIENTOS!$C$5:$C$1005="A")*(MOVIMIENTOS!$D$5:$D$1005="jabas")*(MOVIMIENTOS!$A$5:$A$1005&lt;&gt;"")*(MOVIMIENTOS!$A$5:$A$1005&lt;=$A873)*MOVIMIENTOS!$E$5:$E$1005)+SUMPRODUCT((MOVIMIENTOS!$B$5:$B$1005="PROCESO")*(MOVIMIENTOS!$C$5:$C$1005="A")*(MOVIMIENTOS!$D$5:$D$1005="jabas")*(MOVIMIENTOS!$A$5:$A$1005&lt;&gt;"")*(MOVIMIENTOS!$A$5:$A$1005&lt;=$A873)*MOVIMIENTOS!$E$5:$E$1005)-SUMPRODUCT((MOVIMIENTOS!$B$5:$B$1005="ENVÍO A SUPESA")*(MOVIMIENTOS!$C$5:$C$1005="A")*(MOVIMIENTOS!$D$5:$D$1005="jabas")*(MOVIMIENTOS!$A$5:$A$1005&lt;&gt;"")*(MOVIMIENTOS!$A$5:$A$1005&lt;=$A873)*MOVIMIENTOS!$E$5:$E$1005)+SUMPRODUCT((MOVIMIENTOS!$B$5:$B$1005="DEVOLUCIÓN")*(MOVIMIENTOS!$C$5:$C$1005="A")*(MOVIMIENTOS!$D$5:$D$1005="jabas")*(MOVIMIENTOS!$A$5:$A$1005&lt;&gt;"")*(MOVIMIENTOS!$A$5:$A$1005&lt;=$A873)*MOVIMIENTOS!$E$5:$E$1005)-SUMPRODUCT((MOVIMIENTOS!$B$5:$B$1005="TRASIEGO")*(MOVIMIENTOS!$C$5:$C$1005="A")*(MOVIMIENTOS!$D$5:$D$1005="jabas")*(MOVIMIENTOS!$A$5:$A$1005&lt;&gt;"")*(MOVIMIENTOS!$A$5:$A$1005&lt;=$A873)*MOVIMIENTOS!$E$5:$E$1005)-SUMPRODUCT((MOVIMIENTOS!$B$5:$B$1005="REGALO")*(MOVIMIENTOS!$C$5:$C$1005="A")*(MOVIMIENTOS!$D$5:$D$1005="jabas")*(MOVIMIENTOS!$A$5:$A$1005&lt;&gt;"")*(MOVIMIENTOS!$A$5:$A$1005&lt;=$A873)*MOVIMIENTOS!$E$5:$E$1005)-SUMPRODUCT((MOVIMIENTOS!$B$5:$B$1005="VENTA")*(MOVIMIENTOS!$C$5:$C$1005="A")*(MOVIMIENTOS!$D$5:$D$1005="jabas")*(MOVIMIENTOS!$A$5:$A$1005&lt;&gt;"")*(MOVIMIENTOS!$A$5:$A$1005&lt;=$A873)*MOVIMIENTOS!$E$5:$E$1005)+SUMPRODUCT((MOVIMIENTOS!$B$5:$B$1005="AJUSTE")*(MOVIMIENTOS!$C$5:$C$1005="A")*(MOVIMIENTOS!$D$5:$D$1005="jabas")*(MOVIMIENTOS!$A$5:$A$1005&lt;&gt;"")*(MOVIMIENTOS!$A$5:$A$1005&lt;=$A873)*MOVIMIENTOS!$E$5:$E$1005))</f>
        <v/>
      </c>
      <c r="C873" t="str">
        <f>IF($A873="","",SUMPRODUCT((MOVIMIENTOS!$B$5:$B$1005="SALDO INICIAL")*(MOVIMIENTOS!$C$5:$C$1005="P")*(MOVIMIENTOS!$D$5:$D$1005="jabas")*(MOVIMIENTOS!$A$5:$A$1005&lt;&gt;"")*(MOVIMIENTOS!$A$5:$A$1005&lt;=$A873)*MOVIMIENTOS!$E$5:$E$1005)+SUMPRODUCT((MOVIMIENTOS!$B$5:$B$1005="PROCESO")*(MOVIMIENTOS!$C$5:$C$1005="P")*(MOVIMIENTOS!$D$5:$D$1005="jabas")*(MOVIMIENTOS!$A$5:$A$1005&lt;&gt;"")*(MOVIMIENTOS!$A$5:$A$1005&lt;=$A873)*MOVIMIENTOS!$E$5:$E$1005)-SUMPRODUCT((MOVIMIENTOS!$B$5:$B$1005="ENVÍO A SUPESA")*(MOVIMIENTOS!$C$5:$C$1005="P")*(MOVIMIENTOS!$D$5:$D$1005="jabas")*(MOVIMIENTOS!$A$5:$A$1005&lt;&gt;"")*(MOVIMIENTOS!$A$5:$A$1005&lt;=$A873)*MOVIMIENTOS!$E$5:$E$1005)+SUMPRODUCT((MOVIMIENTOS!$B$5:$B$1005="DEVOLUCIÓN")*(MOVIMIENTOS!$C$5:$C$1005="P")*(MOVIMIENTOS!$D$5:$D$1005="jabas")*(MOVIMIENTOS!$A$5:$A$1005&lt;&gt;"")*(MOVIMIENTOS!$A$5:$A$1005&lt;=$A873)*MOVIMIENTOS!$E$5:$E$1005)-SUMPRODUCT((MOVIMIENTOS!$B$5:$B$1005="TRASIEGO")*(MOVIMIENTOS!$C$5:$C$1005="P")*(MOVIMIENTOS!$D$5:$D$1005="jabas")*(MOVIMIENTOS!$A$5:$A$1005&lt;&gt;"")*(MOVIMIENTOS!$A$5:$A$1005&lt;=$A873)*MOVIMIENTOS!$E$5:$E$1005)-SUMPRODUCT((MOVIMIENTOS!$B$5:$B$1005="REGALO")*(MOVIMIENTOS!$C$5:$C$1005="P")*(MOVIMIENTOS!$D$5:$D$1005="jabas")*(MOVIMIENTOS!$A$5:$A$1005&lt;&gt;"")*(MOVIMIENTOS!$A$5:$A$1005&lt;=$A873)*MOVIMIENTOS!$E$5:$E$1005)-SUMPRODUCT((MOVIMIENTOS!$B$5:$B$1005="VENTA")*(MOVIMIENTOS!$C$5:$C$1005="P")*(MOVIMIENTOS!$D$5:$D$1005="jabas")*(MOVIMIENTOS!$A$5:$A$1005&lt;&gt;"")*(MOVIMIENTOS!$A$5:$A$1005&lt;=$A873)*MOVIMIENTOS!$E$5:$E$1005)+SUMPRODUCT((MOVIMIENTOS!$B$5:$B$1005="AJUSTE")*(MOVIMIENTOS!$C$5:$C$1005="P")*(MOVIMIENTOS!$D$5:$D$1005="jabas")*(MOVIMIENTOS!$A$5:$A$1005&lt;&gt;"")*(MOVIMIENTOS!$A$5:$A$1005&lt;=$A873)*MOVIMIENTOS!$E$5:$E$1005))</f>
        <v/>
      </c>
      <c r="D873" t="str">
        <f>IF($A873="","",SUMPRODUCT((MOVIMIENTOS!$B$5:$B$1005="SALDO INICIAL")*(MOVIMIENTOS!$C$5:$C$1005="C")*(MOVIMIENTOS!$D$5:$D$1005="jabas")*(MOVIMIENTOS!$A$5:$A$1005&lt;&gt;"")*(MOVIMIENTOS!$A$5:$A$1005&lt;=$A873)*MOVIMIENTOS!$E$5:$E$1005)+SUMPRODUCT((MOVIMIENTOS!$B$5:$B$1005="PROCESO")*(MOVIMIENTOS!$C$5:$C$1005="C")*(MOVIMIENTOS!$D$5:$D$1005="jabas")*(MOVIMIENTOS!$A$5:$A$1005&lt;&gt;"")*(MOVIMIENTOS!$A$5:$A$1005&lt;=$A873)*MOVIMIENTOS!$E$5:$E$1005)-SUMPRODUCT((MOVIMIENTOS!$B$5:$B$1005="ENVÍO A SUPESA")*(MOVIMIENTOS!$C$5:$C$1005="C")*(MOVIMIENTOS!$D$5:$D$1005="jabas")*(MOVIMIENTOS!$A$5:$A$1005&lt;&gt;"")*(MOVIMIENTOS!$A$5:$A$1005&lt;=$A873)*MOVIMIENTOS!$E$5:$E$1005)+SUMPRODUCT((MOVIMIENTOS!$B$5:$B$1005="DEVOLUCIÓN")*(MOVIMIENTOS!$C$5:$C$1005="C")*(MOVIMIENTOS!$D$5:$D$1005="jabas")*(MOVIMIENTOS!$A$5:$A$1005&lt;&gt;"")*(MOVIMIENTOS!$A$5:$A$1005&lt;=$A873)*MOVIMIENTOS!$E$5:$E$1005)-SUMPRODUCT((MOVIMIENTOS!$B$5:$B$1005="TRASIEGO")*(MOVIMIENTOS!$C$5:$C$1005="C")*(MOVIMIENTOS!$D$5:$D$1005="jabas")*(MOVIMIENTOS!$A$5:$A$1005&lt;&gt;"")*(MOVIMIENTOS!$A$5:$A$1005&lt;=$A873)*MOVIMIENTOS!$E$5:$E$1005)-SUMPRODUCT((MOVIMIENTOS!$B$5:$B$1005="REGALO")*(MOVIMIENTOS!$C$5:$C$1005="C")*(MOVIMIENTOS!$D$5:$D$1005="jabas")*(MOVIMIENTOS!$A$5:$A$1005&lt;&gt;"")*(MOVIMIENTOS!$A$5:$A$1005&lt;=$A873)*MOVIMIENTOS!$E$5:$E$1005)-SUMPRODUCT((MOVIMIENTOS!$B$5:$B$1005="VENTA")*(MOVIMIENTOS!$C$5:$C$1005="C")*(MOVIMIENTOS!$D$5:$D$1005="jabas")*(MOVIMIENTOS!$A$5:$A$1005&lt;&gt;"")*(MOVIMIENTOS!$A$5:$A$1005&lt;=$A873)*MOVIMIENTOS!$E$5:$E$1005)+SUMPRODUCT((MOVIMIENTOS!$B$5:$B$1005="AJUSTE")*(MOVIMIENTOS!$C$5:$C$1005="C")*(MOVIMIENTOS!$D$5:$D$1005="jabas")*(MOVIMIENTOS!$A$5:$A$1005&lt;&gt;"")*(MOVIMIENTOS!$A$5:$A$1005&lt;=$A873)*MOVIMIENTOS!$E$5:$E$1005))</f>
        <v/>
      </c>
      <c r="E873" t="str">
        <f>IF($A873="","",SUMPRODUCT((MOVIMIENTOS!$B$5:$B$1005="SALDO INICIAL")*(MOVIMIENTOS!$C$5:$C$1005="M")*(MOVIMIENTOS!$D$5:$D$1005="jabas")*(MOVIMIENTOS!$A$5:$A$1005&lt;&gt;"")*(MOVIMIENTOS!$A$5:$A$1005&lt;=$A873)*MOVIMIENTOS!$E$5:$E$1005)+SUMPRODUCT((MOVIMIENTOS!$B$5:$B$1005="PROCESO")*(MOVIMIENTOS!$C$5:$C$1005="M")*(MOVIMIENTOS!$D$5:$D$1005="jabas")*(MOVIMIENTOS!$A$5:$A$1005&lt;&gt;"")*(MOVIMIENTOS!$A$5:$A$1005&lt;=$A873)*MOVIMIENTOS!$E$5:$E$1005)-SUMPRODUCT((MOVIMIENTOS!$B$5:$B$1005="ENVÍO A SUPESA")*(MOVIMIENTOS!$C$5:$C$1005="M")*(MOVIMIENTOS!$D$5:$D$1005="jabas")*(MOVIMIENTOS!$A$5:$A$1005&lt;&gt;"")*(MOVIMIENTOS!$A$5:$A$1005&lt;=$A873)*MOVIMIENTOS!$E$5:$E$1005)+SUMPRODUCT((MOVIMIENTOS!$B$5:$B$1005="DEVOLUCIÓN")*(MOVIMIENTOS!$C$5:$C$1005="M")*(MOVIMIENTOS!$D$5:$D$1005="jabas")*(MOVIMIENTOS!$A$5:$A$1005&lt;&gt;"")*(MOVIMIENTOS!$A$5:$A$1005&lt;=$A873)*MOVIMIENTOS!$E$5:$E$1005)-SUMPRODUCT((MOVIMIENTOS!$B$5:$B$1005="TRASIEGO")*(MOVIMIENTOS!$C$5:$C$1005="M")*(MOVIMIENTOS!$D$5:$D$1005="jabas")*(MOVIMIENTOS!$A$5:$A$1005&lt;&gt;"")*(MOVIMIENTOS!$A$5:$A$1005&lt;=$A873)*MOVIMIENTOS!$E$5:$E$1005)-SUMPRODUCT((MOVIMIENTOS!$B$5:$B$1005="REGALO")*(MOVIMIENTOS!$C$5:$C$1005="M")*(MOVIMIENTOS!$D$5:$D$1005="jabas")*(MOVIMIENTOS!$A$5:$A$1005&lt;&gt;"")*(MOVIMIENTOS!$A$5:$A$1005&lt;=$A873)*MOVIMIENTOS!$E$5:$E$1005)-SUMPRODUCT((MOVIMIENTOS!$B$5:$B$1005="VENTA")*(MOVIMIENTOS!$C$5:$C$1005="M")*(MOVIMIENTOS!$D$5:$D$1005="jabas")*(MOVIMIENTOS!$A$5:$A$1005&lt;&gt;"")*(MOVIMIENTOS!$A$5:$A$1005&lt;=$A873)*MOVIMIENTOS!$E$5:$E$1005)+SUMPRODUCT((MOVIMIENTOS!$B$5:$B$1005="AJUSTE")*(MOVIMIENTOS!$C$5:$C$1005="M")*(MOVIMIENTOS!$D$5:$D$1005="jabas")*(MOVIMIENTOS!$A$5:$A$1005&lt;&gt;"")*(MOVIMIENTOS!$A$5:$A$1005&lt;=$A873)*MOVIMIENTOS!$E$5:$E$1005))</f>
        <v/>
      </c>
      <c r="F873" s="62" t="str">
        <f>IF($A873="","",SUMPRODUCT((MOVIMIENTOS!$B$5:$B$1005="SALDO INICIAL")*(MOVIMIENTOS!$C$5:$C$1005="Chancho")*(MOVIMIENTOS!$D$5:$D$1005="sacos")*(MOVIMIENTOS!$A$5:$A$1005&lt;&gt;"")*(MOVIMIENTOS!$A$5:$A$1005&lt;=$A873)*MOVIMIENTOS!$E$5:$E$1005)+SUMPRODUCT((MOVIMIENTOS!$B$5:$B$1005="PROCESO")*(MOVIMIENTOS!$C$5:$C$1005="Chancho")*(MOVIMIENTOS!$D$5:$D$1005="sacos")*(MOVIMIENTOS!$A$5:$A$1005&lt;&gt;"")*(MOVIMIENTOS!$A$5:$A$1005&lt;=$A873)*MOVIMIENTOS!$E$5:$E$1005)-SUMPRODUCT((MOVIMIENTOS!$B$5:$B$1005="VENTA CHANCHO")*(MOVIMIENTOS!$C$5:$C$1005="Chancho")*(MOVIMIENTOS!$D$5:$D$1005="sacos")*(MOVIMIENTOS!$A$5:$A$1005&lt;&gt;"")*(MOVIMIENTOS!$A$5:$A$1005&lt;=$A873)*MOVIMIENTOS!$E$5:$E$1005)-SUMPRODUCT((MOVIMIENTOS!$B$5:$B$1005="REGALO")*(MOVIMIENTOS!$C$5:$C$1005="Chancho")*(MOVIMIENTOS!$D$5:$D$1005="sacos")*(MOVIMIENTOS!$A$5:$A$1005&lt;&gt;"")*(MOVIMIENTOS!$A$5:$A$1005&lt;=$A873)*MOVIMIENTOS!$E$5:$E$1005)-SUMPRODUCT((MOVIMIENTOS!$B$5:$B$1005="VENTA")*(MOVIMIENTOS!$C$5:$C$1005="Chancho")*(MOVIMIENTOS!$D$5:$D$1005="sacos")*(MOVIMIENTOS!$A$5:$A$1005&lt;&gt;"")*(MOVIMIENTOS!$A$5:$A$1005&lt;=$A873)*MOVIMIENTOS!$E$5:$E$1005)+SUMPRODUCT((MOVIMIENTOS!$B$5:$B$1005="AJUSTE")*(MOVIMIENTOS!$C$5:$C$1005="Chancho")*(MOVIMIENTOS!$D$5:$D$1005="sacos")*(MOVIMIENTOS!$A$5:$A$1005&lt;&gt;"")*(MOVIMIENTOS!$A$5:$A$1005&lt;=$A873)*MOVIMIENTOS!$E$5:$E$1005))</f>
        <v/>
      </c>
      <c r="G873" s="62" t="str">
        <f t="shared" si="27"/>
        <v/>
      </c>
      <c r="H873" t="str">
        <f>IF($A873="","",SUMPRODUCT((((MOVIMIENTOS!$B$5:$B$1005="SALDO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873)*MOVIMIENTOS!$J$5:$J$1005))</f>
        <v/>
      </c>
      <c r="J873" t="str">
        <f>IF(AND(MOVIMIENTOS!$A878&lt;&gt;"",COUNTIF(MOVIMIENTOS!$A$5:$A877,MOVIMIENTOS!$A878)=0),COUNT(J$4:J872)+1,"")</f>
        <v/>
      </c>
      <c r="K873">
        <f>MOVIMIENTOS!$A878</f>
        <v>0</v>
      </c>
    </row>
    <row r="874" spans="1:11" ht="15" customHeight="1" x14ac:dyDescent="0.2">
      <c r="A874" t="str">
        <f t="shared" si="26"/>
        <v/>
      </c>
      <c r="B874" t="str">
        <f>IF($A874="","",SUMPRODUCT((MOVIMIENTOS!$B$5:$B$1005="SALDO INICIAL")*(MOVIMIENTOS!$C$5:$C$1005="A")*(MOVIMIENTOS!$D$5:$D$1005="jabas")*(MOVIMIENTOS!$A$5:$A$1005&lt;&gt;"")*(MOVIMIENTOS!$A$5:$A$1005&lt;=$A874)*MOVIMIENTOS!$E$5:$E$1005)+SUMPRODUCT((MOVIMIENTOS!$B$5:$B$1005="PROCESO")*(MOVIMIENTOS!$C$5:$C$1005="A")*(MOVIMIENTOS!$D$5:$D$1005="jabas")*(MOVIMIENTOS!$A$5:$A$1005&lt;&gt;"")*(MOVIMIENTOS!$A$5:$A$1005&lt;=$A874)*MOVIMIENTOS!$E$5:$E$1005)-SUMPRODUCT((MOVIMIENTOS!$B$5:$B$1005="ENVÍO A SUPESA")*(MOVIMIENTOS!$C$5:$C$1005="A")*(MOVIMIENTOS!$D$5:$D$1005="jabas")*(MOVIMIENTOS!$A$5:$A$1005&lt;&gt;"")*(MOVIMIENTOS!$A$5:$A$1005&lt;=$A874)*MOVIMIENTOS!$E$5:$E$1005)+SUMPRODUCT((MOVIMIENTOS!$B$5:$B$1005="DEVOLUCIÓN")*(MOVIMIENTOS!$C$5:$C$1005="A")*(MOVIMIENTOS!$D$5:$D$1005="jabas")*(MOVIMIENTOS!$A$5:$A$1005&lt;&gt;"")*(MOVIMIENTOS!$A$5:$A$1005&lt;=$A874)*MOVIMIENTOS!$E$5:$E$1005)-SUMPRODUCT((MOVIMIENTOS!$B$5:$B$1005="TRASIEGO")*(MOVIMIENTOS!$C$5:$C$1005="A")*(MOVIMIENTOS!$D$5:$D$1005="jabas")*(MOVIMIENTOS!$A$5:$A$1005&lt;&gt;"")*(MOVIMIENTOS!$A$5:$A$1005&lt;=$A874)*MOVIMIENTOS!$E$5:$E$1005)-SUMPRODUCT((MOVIMIENTOS!$B$5:$B$1005="REGALO")*(MOVIMIENTOS!$C$5:$C$1005="A")*(MOVIMIENTOS!$D$5:$D$1005="jabas")*(MOVIMIENTOS!$A$5:$A$1005&lt;&gt;"")*(MOVIMIENTOS!$A$5:$A$1005&lt;=$A874)*MOVIMIENTOS!$E$5:$E$1005)-SUMPRODUCT((MOVIMIENTOS!$B$5:$B$1005="VENTA")*(MOVIMIENTOS!$C$5:$C$1005="A")*(MOVIMIENTOS!$D$5:$D$1005="jabas")*(MOVIMIENTOS!$A$5:$A$1005&lt;&gt;"")*(MOVIMIENTOS!$A$5:$A$1005&lt;=$A874)*MOVIMIENTOS!$E$5:$E$1005)+SUMPRODUCT((MOVIMIENTOS!$B$5:$B$1005="AJUSTE")*(MOVIMIENTOS!$C$5:$C$1005="A")*(MOVIMIENTOS!$D$5:$D$1005="jabas")*(MOVIMIENTOS!$A$5:$A$1005&lt;&gt;"")*(MOVIMIENTOS!$A$5:$A$1005&lt;=$A874)*MOVIMIENTOS!$E$5:$E$1005))</f>
        <v/>
      </c>
      <c r="C874" t="str">
        <f>IF($A874="","",SUMPRODUCT((MOVIMIENTOS!$B$5:$B$1005="SALDO INICIAL")*(MOVIMIENTOS!$C$5:$C$1005="P")*(MOVIMIENTOS!$D$5:$D$1005="jabas")*(MOVIMIENTOS!$A$5:$A$1005&lt;&gt;"")*(MOVIMIENTOS!$A$5:$A$1005&lt;=$A874)*MOVIMIENTOS!$E$5:$E$1005)+SUMPRODUCT((MOVIMIENTOS!$B$5:$B$1005="PROCESO")*(MOVIMIENTOS!$C$5:$C$1005="P")*(MOVIMIENTOS!$D$5:$D$1005="jabas")*(MOVIMIENTOS!$A$5:$A$1005&lt;&gt;"")*(MOVIMIENTOS!$A$5:$A$1005&lt;=$A874)*MOVIMIENTOS!$E$5:$E$1005)-SUMPRODUCT((MOVIMIENTOS!$B$5:$B$1005="ENVÍO A SUPESA")*(MOVIMIENTOS!$C$5:$C$1005="P")*(MOVIMIENTOS!$D$5:$D$1005="jabas")*(MOVIMIENTOS!$A$5:$A$1005&lt;&gt;"")*(MOVIMIENTOS!$A$5:$A$1005&lt;=$A874)*MOVIMIENTOS!$E$5:$E$1005)+SUMPRODUCT((MOVIMIENTOS!$B$5:$B$1005="DEVOLUCIÓN")*(MOVIMIENTOS!$C$5:$C$1005="P")*(MOVIMIENTOS!$D$5:$D$1005="jabas")*(MOVIMIENTOS!$A$5:$A$1005&lt;&gt;"")*(MOVIMIENTOS!$A$5:$A$1005&lt;=$A874)*MOVIMIENTOS!$E$5:$E$1005)-SUMPRODUCT((MOVIMIENTOS!$B$5:$B$1005="TRASIEGO")*(MOVIMIENTOS!$C$5:$C$1005="P")*(MOVIMIENTOS!$D$5:$D$1005="jabas")*(MOVIMIENTOS!$A$5:$A$1005&lt;&gt;"")*(MOVIMIENTOS!$A$5:$A$1005&lt;=$A874)*MOVIMIENTOS!$E$5:$E$1005)-SUMPRODUCT((MOVIMIENTOS!$B$5:$B$1005="REGALO")*(MOVIMIENTOS!$C$5:$C$1005="P")*(MOVIMIENTOS!$D$5:$D$1005="jabas")*(MOVIMIENTOS!$A$5:$A$1005&lt;&gt;"")*(MOVIMIENTOS!$A$5:$A$1005&lt;=$A874)*MOVIMIENTOS!$E$5:$E$1005)-SUMPRODUCT((MOVIMIENTOS!$B$5:$B$1005="VENTA")*(MOVIMIENTOS!$C$5:$C$1005="P")*(MOVIMIENTOS!$D$5:$D$1005="jabas")*(MOVIMIENTOS!$A$5:$A$1005&lt;&gt;"")*(MOVIMIENTOS!$A$5:$A$1005&lt;=$A874)*MOVIMIENTOS!$E$5:$E$1005)+SUMPRODUCT((MOVIMIENTOS!$B$5:$B$1005="AJUSTE")*(MOVIMIENTOS!$C$5:$C$1005="P")*(MOVIMIENTOS!$D$5:$D$1005="jabas")*(MOVIMIENTOS!$A$5:$A$1005&lt;&gt;"")*(MOVIMIENTOS!$A$5:$A$1005&lt;=$A874)*MOVIMIENTOS!$E$5:$E$1005))</f>
        <v/>
      </c>
      <c r="D874" t="str">
        <f>IF($A874="","",SUMPRODUCT((MOVIMIENTOS!$B$5:$B$1005="SALDO INICIAL")*(MOVIMIENTOS!$C$5:$C$1005="C")*(MOVIMIENTOS!$D$5:$D$1005="jabas")*(MOVIMIENTOS!$A$5:$A$1005&lt;&gt;"")*(MOVIMIENTOS!$A$5:$A$1005&lt;=$A874)*MOVIMIENTOS!$E$5:$E$1005)+SUMPRODUCT((MOVIMIENTOS!$B$5:$B$1005="PROCESO")*(MOVIMIENTOS!$C$5:$C$1005="C")*(MOVIMIENTOS!$D$5:$D$1005="jabas")*(MOVIMIENTOS!$A$5:$A$1005&lt;&gt;"")*(MOVIMIENTOS!$A$5:$A$1005&lt;=$A874)*MOVIMIENTOS!$E$5:$E$1005)-SUMPRODUCT((MOVIMIENTOS!$B$5:$B$1005="ENVÍO A SUPESA")*(MOVIMIENTOS!$C$5:$C$1005="C")*(MOVIMIENTOS!$D$5:$D$1005="jabas")*(MOVIMIENTOS!$A$5:$A$1005&lt;&gt;"")*(MOVIMIENTOS!$A$5:$A$1005&lt;=$A874)*MOVIMIENTOS!$E$5:$E$1005)+SUMPRODUCT((MOVIMIENTOS!$B$5:$B$1005="DEVOLUCIÓN")*(MOVIMIENTOS!$C$5:$C$1005="C")*(MOVIMIENTOS!$D$5:$D$1005="jabas")*(MOVIMIENTOS!$A$5:$A$1005&lt;&gt;"")*(MOVIMIENTOS!$A$5:$A$1005&lt;=$A874)*MOVIMIENTOS!$E$5:$E$1005)-SUMPRODUCT((MOVIMIENTOS!$B$5:$B$1005="TRASIEGO")*(MOVIMIENTOS!$C$5:$C$1005="C")*(MOVIMIENTOS!$D$5:$D$1005="jabas")*(MOVIMIENTOS!$A$5:$A$1005&lt;&gt;"")*(MOVIMIENTOS!$A$5:$A$1005&lt;=$A874)*MOVIMIENTOS!$E$5:$E$1005)-SUMPRODUCT((MOVIMIENTOS!$B$5:$B$1005="REGALO")*(MOVIMIENTOS!$C$5:$C$1005="C")*(MOVIMIENTOS!$D$5:$D$1005="jabas")*(MOVIMIENTOS!$A$5:$A$1005&lt;&gt;"")*(MOVIMIENTOS!$A$5:$A$1005&lt;=$A874)*MOVIMIENTOS!$E$5:$E$1005)-SUMPRODUCT((MOVIMIENTOS!$B$5:$B$1005="VENTA")*(MOVIMIENTOS!$C$5:$C$1005="C")*(MOVIMIENTOS!$D$5:$D$1005="jabas")*(MOVIMIENTOS!$A$5:$A$1005&lt;&gt;"")*(MOVIMIENTOS!$A$5:$A$1005&lt;=$A874)*MOVIMIENTOS!$E$5:$E$1005)+SUMPRODUCT((MOVIMIENTOS!$B$5:$B$1005="AJUSTE")*(MOVIMIENTOS!$C$5:$C$1005="C")*(MOVIMIENTOS!$D$5:$D$1005="jabas")*(MOVIMIENTOS!$A$5:$A$1005&lt;&gt;"")*(MOVIMIENTOS!$A$5:$A$1005&lt;=$A874)*MOVIMIENTOS!$E$5:$E$1005))</f>
        <v/>
      </c>
      <c r="E874" t="str">
        <f>IF($A874="","",SUMPRODUCT((MOVIMIENTOS!$B$5:$B$1005="SALDO INICIAL")*(MOVIMIENTOS!$C$5:$C$1005="M")*(MOVIMIENTOS!$D$5:$D$1005="jabas")*(MOVIMIENTOS!$A$5:$A$1005&lt;&gt;"")*(MOVIMIENTOS!$A$5:$A$1005&lt;=$A874)*MOVIMIENTOS!$E$5:$E$1005)+SUMPRODUCT((MOVIMIENTOS!$B$5:$B$1005="PROCESO")*(MOVIMIENTOS!$C$5:$C$1005="M")*(MOVIMIENTOS!$D$5:$D$1005="jabas")*(MOVIMIENTOS!$A$5:$A$1005&lt;&gt;"")*(MOVIMIENTOS!$A$5:$A$1005&lt;=$A874)*MOVIMIENTOS!$E$5:$E$1005)-SUMPRODUCT((MOVIMIENTOS!$B$5:$B$1005="ENVÍO A SUPESA")*(MOVIMIENTOS!$C$5:$C$1005="M")*(MOVIMIENTOS!$D$5:$D$1005="jabas")*(MOVIMIENTOS!$A$5:$A$1005&lt;&gt;"")*(MOVIMIENTOS!$A$5:$A$1005&lt;=$A874)*MOVIMIENTOS!$E$5:$E$1005)+SUMPRODUCT((MOVIMIENTOS!$B$5:$B$1005="DEVOLUCIÓN")*(MOVIMIENTOS!$C$5:$C$1005="M")*(MOVIMIENTOS!$D$5:$D$1005="jabas")*(MOVIMIENTOS!$A$5:$A$1005&lt;&gt;"")*(MOVIMIENTOS!$A$5:$A$1005&lt;=$A874)*MOVIMIENTOS!$E$5:$E$1005)-SUMPRODUCT((MOVIMIENTOS!$B$5:$B$1005="TRASIEGO")*(MOVIMIENTOS!$C$5:$C$1005="M")*(MOVIMIENTOS!$D$5:$D$1005="jabas")*(MOVIMIENTOS!$A$5:$A$1005&lt;&gt;"")*(MOVIMIENTOS!$A$5:$A$1005&lt;=$A874)*MOVIMIENTOS!$E$5:$E$1005)-SUMPRODUCT((MOVIMIENTOS!$B$5:$B$1005="REGALO")*(MOVIMIENTOS!$C$5:$C$1005="M")*(MOVIMIENTOS!$D$5:$D$1005="jabas")*(MOVIMIENTOS!$A$5:$A$1005&lt;&gt;"")*(MOVIMIENTOS!$A$5:$A$1005&lt;=$A874)*MOVIMIENTOS!$E$5:$E$1005)-SUMPRODUCT((MOVIMIENTOS!$B$5:$B$1005="VENTA")*(MOVIMIENTOS!$C$5:$C$1005="M")*(MOVIMIENTOS!$D$5:$D$1005="jabas")*(MOVIMIENTOS!$A$5:$A$1005&lt;&gt;"")*(MOVIMIENTOS!$A$5:$A$1005&lt;=$A874)*MOVIMIENTOS!$E$5:$E$1005)+SUMPRODUCT((MOVIMIENTOS!$B$5:$B$1005="AJUSTE")*(MOVIMIENTOS!$C$5:$C$1005="M")*(MOVIMIENTOS!$D$5:$D$1005="jabas")*(MOVIMIENTOS!$A$5:$A$1005&lt;&gt;"")*(MOVIMIENTOS!$A$5:$A$1005&lt;=$A874)*MOVIMIENTOS!$E$5:$E$1005))</f>
        <v/>
      </c>
      <c r="F874" s="62" t="str">
        <f>IF($A874="","",SUMPRODUCT((MOVIMIENTOS!$B$5:$B$1005="SALDO INICIAL")*(MOVIMIENTOS!$C$5:$C$1005="Chancho")*(MOVIMIENTOS!$D$5:$D$1005="sacos")*(MOVIMIENTOS!$A$5:$A$1005&lt;&gt;"")*(MOVIMIENTOS!$A$5:$A$1005&lt;=$A874)*MOVIMIENTOS!$E$5:$E$1005)+SUMPRODUCT((MOVIMIENTOS!$B$5:$B$1005="PROCESO")*(MOVIMIENTOS!$C$5:$C$1005="Chancho")*(MOVIMIENTOS!$D$5:$D$1005="sacos")*(MOVIMIENTOS!$A$5:$A$1005&lt;&gt;"")*(MOVIMIENTOS!$A$5:$A$1005&lt;=$A874)*MOVIMIENTOS!$E$5:$E$1005)-SUMPRODUCT((MOVIMIENTOS!$B$5:$B$1005="VENTA CHANCHO")*(MOVIMIENTOS!$C$5:$C$1005="Chancho")*(MOVIMIENTOS!$D$5:$D$1005="sacos")*(MOVIMIENTOS!$A$5:$A$1005&lt;&gt;"")*(MOVIMIENTOS!$A$5:$A$1005&lt;=$A874)*MOVIMIENTOS!$E$5:$E$1005)-SUMPRODUCT((MOVIMIENTOS!$B$5:$B$1005="REGALO")*(MOVIMIENTOS!$C$5:$C$1005="Chancho")*(MOVIMIENTOS!$D$5:$D$1005="sacos")*(MOVIMIENTOS!$A$5:$A$1005&lt;&gt;"")*(MOVIMIENTOS!$A$5:$A$1005&lt;=$A874)*MOVIMIENTOS!$E$5:$E$1005)-SUMPRODUCT((MOVIMIENTOS!$B$5:$B$1005="VENTA")*(MOVIMIENTOS!$C$5:$C$1005="Chancho")*(MOVIMIENTOS!$D$5:$D$1005="sacos")*(MOVIMIENTOS!$A$5:$A$1005&lt;&gt;"")*(MOVIMIENTOS!$A$5:$A$1005&lt;=$A874)*MOVIMIENTOS!$E$5:$E$1005)+SUMPRODUCT((MOVIMIENTOS!$B$5:$B$1005="AJUSTE")*(MOVIMIENTOS!$C$5:$C$1005="Chancho")*(MOVIMIENTOS!$D$5:$D$1005="sacos")*(MOVIMIENTOS!$A$5:$A$1005&lt;&gt;"")*(MOVIMIENTOS!$A$5:$A$1005&lt;=$A874)*MOVIMIENTOS!$E$5:$E$1005))</f>
        <v/>
      </c>
      <c r="G874" s="62" t="str">
        <f t="shared" si="27"/>
        <v/>
      </c>
      <c r="H874" t="str">
        <f>IF($A874="","",SUMPRODUCT((((MOVIMIENTOS!$B$5:$B$1005="SALDO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874)*MOVIMIENTOS!$J$5:$J$1005))</f>
        <v/>
      </c>
      <c r="J874" t="str">
        <f>IF(AND(MOVIMIENTOS!$A879&lt;&gt;"",COUNTIF(MOVIMIENTOS!$A$5:$A878,MOVIMIENTOS!$A879)=0),COUNT(J$4:J873)+1,"")</f>
        <v/>
      </c>
      <c r="K874">
        <f>MOVIMIENTOS!$A879</f>
        <v>0</v>
      </c>
    </row>
    <row r="875" spans="1:11" ht="15" customHeight="1" x14ac:dyDescent="0.2">
      <c r="A875" t="str">
        <f t="shared" si="26"/>
        <v/>
      </c>
      <c r="B875" t="str">
        <f>IF($A875="","",SUMPRODUCT((MOVIMIENTOS!$B$5:$B$1005="SALDO INICIAL")*(MOVIMIENTOS!$C$5:$C$1005="A")*(MOVIMIENTOS!$D$5:$D$1005="jabas")*(MOVIMIENTOS!$A$5:$A$1005&lt;&gt;"")*(MOVIMIENTOS!$A$5:$A$1005&lt;=$A875)*MOVIMIENTOS!$E$5:$E$1005)+SUMPRODUCT((MOVIMIENTOS!$B$5:$B$1005="PROCESO")*(MOVIMIENTOS!$C$5:$C$1005="A")*(MOVIMIENTOS!$D$5:$D$1005="jabas")*(MOVIMIENTOS!$A$5:$A$1005&lt;&gt;"")*(MOVIMIENTOS!$A$5:$A$1005&lt;=$A875)*MOVIMIENTOS!$E$5:$E$1005)-SUMPRODUCT((MOVIMIENTOS!$B$5:$B$1005="ENVÍO A SUPESA")*(MOVIMIENTOS!$C$5:$C$1005="A")*(MOVIMIENTOS!$D$5:$D$1005="jabas")*(MOVIMIENTOS!$A$5:$A$1005&lt;&gt;"")*(MOVIMIENTOS!$A$5:$A$1005&lt;=$A875)*MOVIMIENTOS!$E$5:$E$1005)+SUMPRODUCT((MOVIMIENTOS!$B$5:$B$1005="DEVOLUCIÓN")*(MOVIMIENTOS!$C$5:$C$1005="A")*(MOVIMIENTOS!$D$5:$D$1005="jabas")*(MOVIMIENTOS!$A$5:$A$1005&lt;&gt;"")*(MOVIMIENTOS!$A$5:$A$1005&lt;=$A875)*MOVIMIENTOS!$E$5:$E$1005)-SUMPRODUCT((MOVIMIENTOS!$B$5:$B$1005="TRASIEGO")*(MOVIMIENTOS!$C$5:$C$1005="A")*(MOVIMIENTOS!$D$5:$D$1005="jabas")*(MOVIMIENTOS!$A$5:$A$1005&lt;&gt;"")*(MOVIMIENTOS!$A$5:$A$1005&lt;=$A875)*MOVIMIENTOS!$E$5:$E$1005)-SUMPRODUCT((MOVIMIENTOS!$B$5:$B$1005="REGALO")*(MOVIMIENTOS!$C$5:$C$1005="A")*(MOVIMIENTOS!$D$5:$D$1005="jabas")*(MOVIMIENTOS!$A$5:$A$1005&lt;&gt;"")*(MOVIMIENTOS!$A$5:$A$1005&lt;=$A875)*MOVIMIENTOS!$E$5:$E$1005)-SUMPRODUCT((MOVIMIENTOS!$B$5:$B$1005="VENTA")*(MOVIMIENTOS!$C$5:$C$1005="A")*(MOVIMIENTOS!$D$5:$D$1005="jabas")*(MOVIMIENTOS!$A$5:$A$1005&lt;&gt;"")*(MOVIMIENTOS!$A$5:$A$1005&lt;=$A875)*MOVIMIENTOS!$E$5:$E$1005)+SUMPRODUCT((MOVIMIENTOS!$B$5:$B$1005="AJUSTE")*(MOVIMIENTOS!$C$5:$C$1005="A")*(MOVIMIENTOS!$D$5:$D$1005="jabas")*(MOVIMIENTOS!$A$5:$A$1005&lt;&gt;"")*(MOVIMIENTOS!$A$5:$A$1005&lt;=$A875)*MOVIMIENTOS!$E$5:$E$1005))</f>
        <v/>
      </c>
      <c r="C875" t="str">
        <f>IF($A875="","",SUMPRODUCT((MOVIMIENTOS!$B$5:$B$1005="SALDO INICIAL")*(MOVIMIENTOS!$C$5:$C$1005="P")*(MOVIMIENTOS!$D$5:$D$1005="jabas")*(MOVIMIENTOS!$A$5:$A$1005&lt;&gt;"")*(MOVIMIENTOS!$A$5:$A$1005&lt;=$A875)*MOVIMIENTOS!$E$5:$E$1005)+SUMPRODUCT((MOVIMIENTOS!$B$5:$B$1005="PROCESO")*(MOVIMIENTOS!$C$5:$C$1005="P")*(MOVIMIENTOS!$D$5:$D$1005="jabas")*(MOVIMIENTOS!$A$5:$A$1005&lt;&gt;"")*(MOVIMIENTOS!$A$5:$A$1005&lt;=$A875)*MOVIMIENTOS!$E$5:$E$1005)-SUMPRODUCT((MOVIMIENTOS!$B$5:$B$1005="ENVÍO A SUPESA")*(MOVIMIENTOS!$C$5:$C$1005="P")*(MOVIMIENTOS!$D$5:$D$1005="jabas")*(MOVIMIENTOS!$A$5:$A$1005&lt;&gt;"")*(MOVIMIENTOS!$A$5:$A$1005&lt;=$A875)*MOVIMIENTOS!$E$5:$E$1005)+SUMPRODUCT((MOVIMIENTOS!$B$5:$B$1005="DEVOLUCIÓN")*(MOVIMIENTOS!$C$5:$C$1005="P")*(MOVIMIENTOS!$D$5:$D$1005="jabas")*(MOVIMIENTOS!$A$5:$A$1005&lt;&gt;"")*(MOVIMIENTOS!$A$5:$A$1005&lt;=$A875)*MOVIMIENTOS!$E$5:$E$1005)-SUMPRODUCT((MOVIMIENTOS!$B$5:$B$1005="TRASIEGO")*(MOVIMIENTOS!$C$5:$C$1005="P")*(MOVIMIENTOS!$D$5:$D$1005="jabas")*(MOVIMIENTOS!$A$5:$A$1005&lt;&gt;"")*(MOVIMIENTOS!$A$5:$A$1005&lt;=$A875)*MOVIMIENTOS!$E$5:$E$1005)-SUMPRODUCT((MOVIMIENTOS!$B$5:$B$1005="REGALO")*(MOVIMIENTOS!$C$5:$C$1005="P")*(MOVIMIENTOS!$D$5:$D$1005="jabas")*(MOVIMIENTOS!$A$5:$A$1005&lt;&gt;"")*(MOVIMIENTOS!$A$5:$A$1005&lt;=$A875)*MOVIMIENTOS!$E$5:$E$1005)-SUMPRODUCT((MOVIMIENTOS!$B$5:$B$1005="VENTA")*(MOVIMIENTOS!$C$5:$C$1005="P")*(MOVIMIENTOS!$D$5:$D$1005="jabas")*(MOVIMIENTOS!$A$5:$A$1005&lt;&gt;"")*(MOVIMIENTOS!$A$5:$A$1005&lt;=$A875)*MOVIMIENTOS!$E$5:$E$1005)+SUMPRODUCT((MOVIMIENTOS!$B$5:$B$1005="AJUSTE")*(MOVIMIENTOS!$C$5:$C$1005="P")*(MOVIMIENTOS!$D$5:$D$1005="jabas")*(MOVIMIENTOS!$A$5:$A$1005&lt;&gt;"")*(MOVIMIENTOS!$A$5:$A$1005&lt;=$A875)*MOVIMIENTOS!$E$5:$E$1005))</f>
        <v/>
      </c>
      <c r="D875" t="str">
        <f>IF($A875="","",SUMPRODUCT((MOVIMIENTOS!$B$5:$B$1005="SALDO INICIAL")*(MOVIMIENTOS!$C$5:$C$1005="C")*(MOVIMIENTOS!$D$5:$D$1005="jabas")*(MOVIMIENTOS!$A$5:$A$1005&lt;&gt;"")*(MOVIMIENTOS!$A$5:$A$1005&lt;=$A875)*MOVIMIENTOS!$E$5:$E$1005)+SUMPRODUCT((MOVIMIENTOS!$B$5:$B$1005="PROCESO")*(MOVIMIENTOS!$C$5:$C$1005="C")*(MOVIMIENTOS!$D$5:$D$1005="jabas")*(MOVIMIENTOS!$A$5:$A$1005&lt;&gt;"")*(MOVIMIENTOS!$A$5:$A$1005&lt;=$A875)*MOVIMIENTOS!$E$5:$E$1005)-SUMPRODUCT((MOVIMIENTOS!$B$5:$B$1005="ENVÍO A SUPESA")*(MOVIMIENTOS!$C$5:$C$1005="C")*(MOVIMIENTOS!$D$5:$D$1005="jabas")*(MOVIMIENTOS!$A$5:$A$1005&lt;&gt;"")*(MOVIMIENTOS!$A$5:$A$1005&lt;=$A875)*MOVIMIENTOS!$E$5:$E$1005)+SUMPRODUCT((MOVIMIENTOS!$B$5:$B$1005="DEVOLUCIÓN")*(MOVIMIENTOS!$C$5:$C$1005="C")*(MOVIMIENTOS!$D$5:$D$1005="jabas")*(MOVIMIENTOS!$A$5:$A$1005&lt;&gt;"")*(MOVIMIENTOS!$A$5:$A$1005&lt;=$A875)*MOVIMIENTOS!$E$5:$E$1005)-SUMPRODUCT((MOVIMIENTOS!$B$5:$B$1005="TRASIEGO")*(MOVIMIENTOS!$C$5:$C$1005="C")*(MOVIMIENTOS!$D$5:$D$1005="jabas")*(MOVIMIENTOS!$A$5:$A$1005&lt;&gt;"")*(MOVIMIENTOS!$A$5:$A$1005&lt;=$A875)*MOVIMIENTOS!$E$5:$E$1005)-SUMPRODUCT((MOVIMIENTOS!$B$5:$B$1005="REGALO")*(MOVIMIENTOS!$C$5:$C$1005="C")*(MOVIMIENTOS!$D$5:$D$1005="jabas")*(MOVIMIENTOS!$A$5:$A$1005&lt;&gt;"")*(MOVIMIENTOS!$A$5:$A$1005&lt;=$A875)*MOVIMIENTOS!$E$5:$E$1005)-SUMPRODUCT((MOVIMIENTOS!$B$5:$B$1005="VENTA")*(MOVIMIENTOS!$C$5:$C$1005="C")*(MOVIMIENTOS!$D$5:$D$1005="jabas")*(MOVIMIENTOS!$A$5:$A$1005&lt;&gt;"")*(MOVIMIENTOS!$A$5:$A$1005&lt;=$A875)*MOVIMIENTOS!$E$5:$E$1005)+SUMPRODUCT((MOVIMIENTOS!$B$5:$B$1005="AJUSTE")*(MOVIMIENTOS!$C$5:$C$1005="C")*(MOVIMIENTOS!$D$5:$D$1005="jabas")*(MOVIMIENTOS!$A$5:$A$1005&lt;&gt;"")*(MOVIMIENTOS!$A$5:$A$1005&lt;=$A875)*MOVIMIENTOS!$E$5:$E$1005))</f>
        <v/>
      </c>
      <c r="E875" t="str">
        <f>IF($A875="","",SUMPRODUCT((MOVIMIENTOS!$B$5:$B$1005="SALDO INICIAL")*(MOVIMIENTOS!$C$5:$C$1005="M")*(MOVIMIENTOS!$D$5:$D$1005="jabas")*(MOVIMIENTOS!$A$5:$A$1005&lt;&gt;"")*(MOVIMIENTOS!$A$5:$A$1005&lt;=$A875)*MOVIMIENTOS!$E$5:$E$1005)+SUMPRODUCT((MOVIMIENTOS!$B$5:$B$1005="PROCESO")*(MOVIMIENTOS!$C$5:$C$1005="M")*(MOVIMIENTOS!$D$5:$D$1005="jabas")*(MOVIMIENTOS!$A$5:$A$1005&lt;&gt;"")*(MOVIMIENTOS!$A$5:$A$1005&lt;=$A875)*MOVIMIENTOS!$E$5:$E$1005)-SUMPRODUCT((MOVIMIENTOS!$B$5:$B$1005="ENVÍO A SUPESA")*(MOVIMIENTOS!$C$5:$C$1005="M")*(MOVIMIENTOS!$D$5:$D$1005="jabas")*(MOVIMIENTOS!$A$5:$A$1005&lt;&gt;"")*(MOVIMIENTOS!$A$5:$A$1005&lt;=$A875)*MOVIMIENTOS!$E$5:$E$1005)+SUMPRODUCT((MOVIMIENTOS!$B$5:$B$1005="DEVOLUCIÓN")*(MOVIMIENTOS!$C$5:$C$1005="M")*(MOVIMIENTOS!$D$5:$D$1005="jabas")*(MOVIMIENTOS!$A$5:$A$1005&lt;&gt;"")*(MOVIMIENTOS!$A$5:$A$1005&lt;=$A875)*MOVIMIENTOS!$E$5:$E$1005)-SUMPRODUCT((MOVIMIENTOS!$B$5:$B$1005="TRASIEGO")*(MOVIMIENTOS!$C$5:$C$1005="M")*(MOVIMIENTOS!$D$5:$D$1005="jabas")*(MOVIMIENTOS!$A$5:$A$1005&lt;&gt;"")*(MOVIMIENTOS!$A$5:$A$1005&lt;=$A875)*MOVIMIENTOS!$E$5:$E$1005)-SUMPRODUCT((MOVIMIENTOS!$B$5:$B$1005="REGALO")*(MOVIMIENTOS!$C$5:$C$1005="M")*(MOVIMIENTOS!$D$5:$D$1005="jabas")*(MOVIMIENTOS!$A$5:$A$1005&lt;&gt;"")*(MOVIMIENTOS!$A$5:$A$1005&lt;=$A875)*MOVIMIENTOS!$E$5:$E$1005)-SUMPRODUCT((MOVIMIENTOS!$B$5:$B$1005="VENTA")*(MOVIMIENTOS!$C$5:$C$1005="M")*(MOVIMIENTOS!$D$5:$D$1005="jabas")*(MOVIMIENTOS!$A$5:$A$1005&lt;&gt;"")*(MOVIMIENTOS!$A$5:$A$1005&lt;=$A875)*MOVIMIENTOS!$E$5:$E$1005)+SUMPRODUCT((MOVIMIENTOS!$B$5:$B$1005="AJUSTE")*(MOVIMIENTOS!$C$5:$C$1005="M")*(MOVIMIENTOS!$D$5:$D$1005="jabas")*(MOVIMIENTOS!$A$5:$A$1005&lt;&gt;"")*(MOVIMIENTOS!$A$5:$A$1005&lt;=$A875)*MOVIMIENTOS!$E$5:$E$1005))</f>
        <v/>
      </c>
      <c r="F875" s="62" t="str">
        <f>IF($A875="","",SUMPRODUCT((MOVIMIENTOS!$B$5:$B$1005="SALDO INICIAL")*(MOVIMIENTOS!$C$5:$C$1005="Chancho")*(MOVIMIENTOS!$D$5:$D$1005="sacos")*(MOVIMIENTOS!$A$5:$A$1005&lt;&gt;"")*(MOVIMIENTOS!$A$5:$A$1005&lt;=$A875)*MOVIMIENTOS!$E$5:$E$1005)+SUMPRODUCT((MOVIMIENTOS!$B$5:$B$1005="PROCESO")*(MOVIMIENTOS!$C$5:$C$1005="Chancho")*(MOVIMIENTOS!$D$5:$D$1005="sacos")*(MOVIMIENTOS!$A$5:$A$1005&lt;&gt;"")*(MOVIMIENTOS!$A$5:$A$1005&lt;=$A875)*MOVIMIENTOS!$E$5:$E$1005)-SUMPRODUCT((MOVIMIENTOS!$B$5:$B$1005="VENTA CHANCHO")*(MOVIMIENTOS!$C$5:$C$1005="Chancho")*(MOVIMIENTOS!$D$5:$D$1005="sacos")*(MOVIMIENTOS!$A$5:$A$1005&lt;&gt;"")*(MOVIMIENTOS!$A$5:$A$1005&lt;=$A875)*MOVIMIENTOS!$E$5:$E$1005)-SUMPRODUCT((MOVIMIENTOS!$B$5:$B$1005="REGALO")*(MOVIMIENTOS!$C$5:$C$1005="Chancho")*(MOVIMIENTOS!$D$5:$D$1005="sacos")*(MOVIMIENTOS!$A$5:$A$1005&lt;&gt;"")*(MOVIMIENTOS!$A$5:$A$1005&lt;=$A875)*MOVIMIENTOS!$E$5:$E$1005)-SUMPRODUCT((MOVIMIENTOS!$B$5:$B$1005="VENTA")*(MOVIMIENTOS!$C$5:$C$1005="Chancho")*(MOVIMIENTOS!$D$5:$D$1005="sacos")*(MOVIMIENTOS!$A$5:$A$1005&lt;&gt;"")*(MOVIMIENTOS!$A$5:$A$1005&lt;=$A875)*MOVIMIENTOS!$E$5:$E$1005)+SUMPRODUCT((MOVIMIENTOS!$B$5:$B$1005="AJUSTE")*(MOVIMIENTOS!$C$5:$C$1005="Chancho")*(MOVIMIENTOS!$D$5:$D$1005="sacos")*(MOVIMIENTOS!$A$5:$A$1005&lt;&gt;"")*(MOVIMIENTOS!$A$5:$A$1005&lt;=$A875)*MOVIMIENTOS!$E$5:$E$1005))</f>
        <v/>
      </c>
      <c r="G875" s="62" t="str">
        <f t="shared" si="27"/>
        <v/>
      </c>
      <c r="H875" t="str">
        <f>IF($A875="","",SUMPRODUCT((((MOVIMIENTOS!$B$5:$B$1005="SALDO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875)*MOVIMIENTOS!$J$5:$J$1005))</f>
        <v/>
      </c>
      <c r="J875" t="str">
        <f>IF(AND(MOVIMIENTOS!$A880&lt;&gt;"",COUNTIF(MOVIMIENTOS!$A$5:$A879,MOVIMIENTOS!$A880)=0),COUNT(J$4:J874)+1,"")</f>
        <v/>
      </c>
      <c r="K875">
        <f>MOVIMIENTOS!$A880</f>
        <v>0</v>
      </c>
    </row>
    <row r="876" spans="1:11" ht="15" customHeight="1" x14ac:dyDescent="0.2">
      <c r="A876" t="str">
        <f t="shared" si="26"/>
        <v/>
      </c>
      <c r="B876" t="str">
        <f>IF($A876="","",SUMPRODUCT((MOVIMIENTOS!$B$5:$B$1005="SALDO INICIAL")*(MOVIMIENTOS!$C$5:$C$1005="A")*(MOVIMIENTOS!$D$5:$D$1005="jabas")*(MOVIMIENTOS!$A$5:$A$1005&lt;&gt;"")*(MOVIMIENTOS!$A$5:$A$1005&lt;=$A876)*MOVIMIENTOS!$E$5:$E$1005)+SUMPRODUCT((MOVIMIENTOS!$B$5:$B$1005="PROCESO")*(MOVIMIENTOS!$C$5:$C$1005="A")*(MOVIMIENTOS!$D$5:$D$1005="jabas")*(MOVIMIENTOS!$A$5:$A$1005&lt;&gt;"")*(MOVIMIENTOS!$A$5:$A$1005&lt;=$A876)*MOVIMIENTOS!$E$5:$E$1005)-SUMPRODUCT((MOVIMIENTOS!$B$5:$B$1005="ENVÍO A SUPESA")*(MOVIMIENTOS!$C$5:$C$1005="A")*(MOVIMIENTOS!$D$5:$D$1005="jabas")*(MOVIMIENTOS!$A$5:$A$1005&lt;&gt;"")*(MOVIMIENTOS!$A$5:$A$1005&lt;=$A876)*MOVIMIENTOS!$E$5:$E$1005)+SUMPRODUCT((MOVIMIENTOS!$B$5:$B$1005="DEVOLUCIÓN")*(MOVIMIENTOS!$C$5:$C$1005="A")*(MOVIMIENTOS!$D$5:$D$1005="jabas")*(MOVIMIENTOS!$A$5:$A$1005&lt;&gt;"")*(MOVIMIENTOS!$A$5:$A$1005&lt;=$A876)*MOVIMIENTOS!$E$5:$E$1005)-SUMPRODUCT((MOVIMIENTOS!$B$5:$B$1005="TRASIEGO")*(MOVIMIENTOS!$C$5:$C$1005="A")*(MOVIMIENTOS!$D$5:$D$1005="jabas")*(MOVIMIENTOS!$A$5:$A$1005&lt;&gt;"")*(MOVIMIENTOS!$A$5:$A$1005&lt;=$A876)*MOVIMIENTOS!$E$5:$E$1005)-SUMPRODUCT((MOVIMIENTOS!$B$5:$B$1005="REGALO")*(MOVIMIENTOS!$C$5:$C$1005="A")*(MOVIMIENTOS!$D$5:$D$1005="jabas")*(MOVIMIENTOS!$A$5:$A$1005&lt;&gt;"")*(MOVIMIENTOS!$A$5:$A$1005&lt;=$A876)*MOVIMIENTOS!$E$5:$E$1005)-SUMPRODUCT((MOVIMIENTOS!$B$5:$B$1005="VENTA")*(MOVIMIENTOS!$C$5:$C$1005="A")*(MOVIMIENTOS!$D$5:$D$1005="jabas")*(MOVIMIENTOS!$A$5:$A$1005&lt;&gt;"")*(MOVIMIENTOS!$A$5:$A$1005&lt;=$A876)*MOVIMIENTOS!$E$5:$E$1005)+SUMPRODUCT((MOVIMIENTOS!$B$5:$B$1005="AJUSTE")*(MOVIMIENTOS!$C$5:$C$1005="A")*(MOVIMIENTOS!$D$5:$D$1005="jabas")*(MOVIMIENTOS!$A$5:$A$1005&lt;&gt;"")*(MOVIMIENTOS!$A$5:$A$1005&lt;=$A876)*MOVIMIENTOS!$E$5:$E$1005))</f>
        <v/>
      </c>
      <c r="C876" t="str">
        <f>IF($A876="","",SUMPRODUCT((MOVIMIENTOS!$B$5:$B$1005="SALDO INICIAL")*(MOVIMIENTOS!$C$5:$C$1005="P")*(MOVIMIENTOS!$D$5:$D$1005="jabas")*(MOVIMIENTOS!$A$5:$A$1005&lt;&gt;"")*(MOVIMIENTOS!$A$5:$A$1005&lt;=$A876)*MOVIMIENTOS!$E$5:$E$1005)+SUMPRODUCT((MOVIMIENTOS!$B$5:$B$1005="PROCESO")*(MOVIMIENTOS!$C$5:$C$1005="P")*(MOVIMIENTOS!$D$5:$D$1005="jabas")*(MOVIMIENTOS!$A$5:$A$1005&lt;&gt;"")*(MOVIMIENTOS!$A$5:$A$1005&lt;=$A876)*MOVIMIENTOS!$E$5:$E$1005)-SUMPRODUCT((MOVIMIENTOS!$B$5:$B$1005="ENVÍO A SUPESA")*(MOVIMIENTOS!$C$5:$C$1005="P")*(MOVIMIENTOS!$D$5:$D$1005="jabas")*(MOVIMIENTOS!$A$5:$A$1005&lt;&gt;"")*(MOVIMIENTOS!$A$5:$A$1005&lt;=$A876)*MOVIMIENTOS!$E$5:$E$1005)+SUMPRODUCT((MOVIMIENTOS!$B$5:$B$1005="DEVOLUCIÓN")*(MOVIMIENTOS!$C$5:$C$1005="P")*(MOVIMIENTOS!$D$5:$D$1005="jabas")*(MOVIMIENTOS!$A$5:$A$1005&lt;&gt;"")*(MOVIMIENTOS!$A$5:$A$1005&lt;=$A876)*MOVIMIENTOS!$E$5:$E$1005)-SUMPRODUCT((MOVIMIENTOS!$B$5:$B$1005="TRASIEGO")*(MOVIMIENTOS!$C$5:$C$1005="P")*(MOVIMIENTOS!$D$5:$D$1005="jabas")*(MOVIMIENTOS!$A$5:$A$1005&lt;&gt;"")*(MOVIMIENTOS!$A$5:$A$1005&lt;=$A876)*MOVIMIENTOS!$E$5:$E$1005)-SUMPRODUCT((MOVIMIENTOS!$B$5:$B$1005="REGALO")*(MOVIMIENTOS!$C$5:$C$1005="P")*(MOVIMIENTOS!$D$5:$D$1005="jabas")*(MOVIMIENTOS!$A$5:$A$1005&lt;&gt;"")*(MOVIMIENTOS!$A$5:$A$1005&lt;=$A876)*MOVIMIENTOS!$E$5:$E$1005)-SUMPRODUCT((MOVIMIENTOS!$B$5:$B$1005="VENTA")*(MOVIMIENTOS!$C$5:$C$1005="P")*(MOVIMIENTOS!$D$5:$D$1005="jabas")*(MOVIMIENTOS!$A$5:$A$1005&lt;&gt;"")*(MOVIMIENTOS!$A$5:$A$1005&lt;=$A876)*MOVIMIENTOS!$E$5:$E$1005)+SUMPRODUCT((MOVIMIENTOS!$B$5:$B$1005="AJUSTE")*(MOVIMIENTOS!$C$5:$C$1005="P")*(MOVIMIENTOS!$D$5:$D$1005="jabas")*(MOVIMIENTOS!$A$5:$A$1005&lt;&gt;"")*(MOVIMIENTOS!$A$5:$A$1005&lt;=$A876)*MOVIMIENTOS!$E$5:$E$1005))</f>
        <v/>
      </c>
      <c r="D876" t="str">
        <f>IF($A876="","",SUMPRODUCT((MOVIMIENTOS!$B$5:$B$1005="SALDO INICIAL")*(MOVIMIENTOS!$C$5:$C$1005="C")*(MOVIMIENTOS!$D$5:$D$1005="jabas")*(MOVIMIENTOS!$A$5:$A$1005&lt;&gt;"")*(MOVIMIENTOS!$A$5:$A$1005&lt;=$A876)*MOVIMIENTOS!$E$5:$E$1005)+SUMPRODUCT((MOVIMIENTOS!$B$5:$B$1005="PROCESO")*(MOVIMIENTOS!$C$5:$C$1005="C")*(MOVIMIENTOS!$D$5:$D$1005="jabas")*(MOVIMIENTOS!$A$5:$A$1005&lt;&gt;"")*(MOVIMIENTOS!$A$5:$A$1005&lt;=$A876)*MOVIMIENTOS!$E$5:$E$1005)-SUMPRODUCT((MOVIMIENTOS!$B$5:$B$1005="ENVÍO A SUPESA")*(MOVIMIENTOS!$C$5:$C$1005="C")*(MOVIMIENTOS!$D$5:$D$1005="jabas")*(MOVIMIENTOS!$A$5:$A$1005&lt;&gt;"")*(MOVIMIENTOS!$A$5:$A$1005&lt;=$A876)*MOVIMIENTOS!$E$5:$E$1005)+SUMPRODUCT((MOVIMIENTOS!$B$5:$B$1005="DEVOLUCIÓN")*(MOVIMIENTOS!$C$5:$C$1005="C")*(MOVIMIENTOS!$D$5:$D$1005="jabas")*(MOVIMIENTOS!$A$5:$A$1005&lt;&gt;"")*(MOVIMIENTOS!$A$5:$A$1005&lt;=$A876)*MOVIMIENTOS!$E$5:$E$1005)-SUMPRODUCT((MOVIMIENTOS!$B$5:$B$1005="TRASIEGO")*(MOVIMIENTOS!$C$5:$C$1005="C")*(MOVIMIENTOS!$D$5:$D$1005="jabas")*(MOVIMIENTOS!$A$5:$A$1005&lt;&gt;"")*(MOVIMIENTOS!$A$5:$A$1005&lt;=$A876)*MOVIMIENTOS!$E$5:$E$1005)-SUMPRODUCT((MOVIMIENTOS!$B$5:$B$1005="REGALO")*(MOVIMIENTOS!$C$5:$C$1005="C")*(MOVIMIENTOS!$D$5:$D$1005="jabas")*(MOVIMIENTOS!$A$5:$A$1005&lt;&gt;"")*(MOVIMIENTOS!$A$5:$A$1005&lt;=$A876)*MOVIMIENTOS!$E$5:$E$1005)-SUMPRODUCT((MOVIMIENTOS!$B$5:$B$1005="VENTA")*(MOVIMIENTOS!$C$5:$C$1005="C")*(MOVIMIENTOS!$D$5:$D$1005="jabas")*(MOVIMIENTOS!$A$5:$A$1005&lt;&gt;"")*(MOVIMIENTOS!$A$5:$A$1005&lt;=$A876)*MOVIMIENTOS!$E$5:$E$1005)+SUMPRODUCT((MOVIMIENTOS!$B$5:$B$1005="AJUSTE")*(MOVIMIENTOS!$C$5:$C$1005="C")*(MOVIMIENTOS!$D$5:$D$1005="jabas")*(MOVIMIENTOS!$A$5:$A$1005&lt;&gt;"")*(MOVIMIENTOS!$A$5:$A$1005&lt;=$A876)*MOVIMIENTOS!$E$5:$E$1005))</f>
        <v/>
      </c>
      <c r="E876" t="str">
        <f>IF($A876="","",SUMPRODUCT((MOVIMIENTOS!$B$5:$B$1005="SALDO INICIAL")*(MOVIMIENTOS!$C$5:$C$1005="M")*(MOVIMIENTOS!$D$5:$D$1005="jabas")*(MOVIMIENTOS!$A$5:$A$1005&lt;&gt;"")*(MOVIMIENTOS!$A$5:$A$1005&lt;=$A876)*MOVIMIENTOS!$E$5:$E$1005)+SUMPRODUCT((MOVIMIENTOS!$B$5:$B$1005="PROCESO")*(MOVIMIENTOS!$C$5:$C$1005="M")*(MOVIMIENTOS!$D$5:$D$1005="jabas")*(MOVIMIENTOS!$A$5:$A$1005&lt;&gt;"")*(MOVIMIENTOS!$A$5:$A$1005&lt;=$A876)*MOVIMIENTOS!$E$5:$E$1005)-SUMPRODUCT((MOVIMIENTOS!$B$5:$B$1005="ENVÍO A SUPESA")*(MOVIMIENTOS!$C$5:$C$1005="M")*(MOVIMIENTOS!$D$5:$D$1005="jabas")*(MOVIMIENTOS!$A$5:$A$1005&lt;&gt;"")*(MOVIMIENTOS!$A$5:$A$1005&lt;=$A876)*MOVIMIENTOS!$E$5:$E$1005)+SUMPRODUCT((MOVIMIENTOS!$B$5:$B$1005="DEVOLUCIÓN")*(MOVIMIENTOS!$C$5:$C$1005="M")*(MOVIMIENTOS!$D$5:$D$1005="jabas")*(MOVIMIENTOS!$A$5:$A$1005&lt;&gt;"")*(MOVIMIENTOS!$A$5:$A$1005&lt;=$A876)*MOVIMIENTOS!$E$5:$E$1005)-SUMPRODUCT((MOVIMIENTOS!$B$5:$B$1005="TRASIEGO")*(MOVIMIENTOS!$C$5:$C$1005="M")*(MOVIMIENTOS!$D$5:$D$1005="jabas")*(MOVIMIENTOS!$A$5:$A$1005&lt;&gt;"")*(MOVIMIENTOS!$A$5:$A$1005&lt;=$A876)*MOVIMIENTOS!$E$5:$E$1005)-SUMPRODUCT((MOVIMIENTOS!$B$5:$B$1005="REGALO")*(MOVIMIENTOS!$C$5:$C$1005="M")*(MOVIMIENTOS!$D$5:$D$1005="jabas")*(MOVIMIENTOS!$A$5:$A$1005&lt;&gt;"")*(MOVIMIENTOS!$A$5:$A$1005&lt;=$A876)*MOVIMIENTOS!$E$5:$E$1005)-SUMPRODUCT((MOVIMIENTOS!$B$5:$B$1005="VENTA")*(MOVIMIENTOS!$C$5:$C$1005="M")*(MOVIMIENTOS!$D$5:$D$1005="jabas")*(MOVIMIENTOS!$A$5:$A$1005&lt;&gt;"")*(MOVIMIENTOS!$A$5:$A$1005&lt;=$A876)*MOVIMIENTOS!$E$5:$E$1005)+SUMPRODUCT((MOVIMIENTOS!$B$5:$B$1005="AJUSTE")*(MOVIMIENTOS!$C$5:$C$1005="M")*(MOVIMIENTOS!$D$5:$D$1005="jabas")*(MOVIMIENTOS!$A$5:$A$1005&lt;&gt;"")*(MOVIMIENTOS!$A$5:$A$1005&lt;=$A876)*MOVIMIENTOS!$E$5:$E$1005))</f>
        <v/>
      </c>
      <c r="F876" s="62" t="str">
        <f>IF($A876="","",SUMPRODUCT((MOVIMIENTOS!$B$5:$B$1005="SALDO INICIAL")*(MOVIMIENTOS!$C$5:$C$1005="Chancho")*(MOVIMIENTOS!$D$5:$D$1005="sacos")*(MOVIMIENTOS!$A$5:$A$1005&lt;&gt;"")*(MOVIMIENTOS!$A$5:$A$1005&lt;=$A876)*MOVIMIENTOS!$E$5:$E$1005)+SUMPRODUCT((MOVIMIENTOS!$B$5:$B$1005="PROCESO")*(MOVIMIENTOS!$C$5:$C$1005="Chancho")*(MOVIMIENTOS!$D$5:$D$1005="sacos")*(MOVIMIENTOS!$A$5:$A$1005&lt;&gt;"")*(MOVIMIENTOS!$A$5:$A$1005&lt;=$A876)*MOVIMIENTOS!$E$5:$E$1005)-SUMPRODUCT((MOVIMIENTOS!$B$5:$B$1005="VENTA CHANCHO")*(MOVIMIENTOS!$C$5:$C$1005="Chancho")*(MOVIMIENTOS!$D$5:$D$1005="sacos")*(MOVIMIENTOS!$A$5:$A$1005&lt;&gt;"")*(MOVIMIENTOS!$A$5:$A$1005&lt;=$A876)*MOVIMIENTOS!$E$5:$E$1005)-SUMPRODUCT((MOVIMIENTOS!$B$5:$B$1005="REGALO")*(MOVIMIENTOS!$C$5:$C$1005="Chancho")*(MOVIMIENTOS!$D$5:$D$1005="sacos")*(MOVIMIENTOS!$A$5:$A$1005&lt;&gt;"")*(MOVIMIENTOS!$A$5:$A$1005&lt;=$A876)*MOVIMIENTOS!$E$5:$E$1005)-SUMPRODUCT((MOVIMIENTOS!$B$5:$B$1005="VENTA")*(MOVIMIENTOS!$C$5:$C$1005="Chancho")*(MOVIMIENTOS!$D$5:$D$1005="sacos")*(MOVIMIENTOS!$A$5:$A$1005&lt;&gt;"")*(MOVIMIENTOS!$A$5:$A$1005&lt;=$A876)*MOVIMIENTOS!$E$5:$E$1005)+SUMPRODUCT((MOVIMIENTOS!$B$5:$B$1005="AJUSTE")*(MOVIMIENTOS!$C$5:$C$1005="Chancho")*(MOVIMIENTOS!$D$5:$D$1005="sacos")*(MOVIMIENTOS!$A$5:$A$1005&lt;&gt;"")*(MOVIMIENTOS!$A$5:$A$1005&lt;=$A876)*MOVIMIENTOS!$E$5:$E$1005))</f>
        <v/>
      </c>
      <c r="G876" s="62" t="str">
        <f t="shared" si="27"/>
        <v/>
      </c>
      <c r="H876" t="str">
        <f>IF($A876="","",SUMPRODUCT((((MOVIMIENTOS!$B$5:$B$1005="SALDO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876)*MOVIMIENTOS!$J$5:$J$1005))</f>
        <v/>
      </c>
      <c r="J876" t="str">
        <f>IF(AND(MOVIMIENTOS!$A881&lt;&gt;"",COUNTIF(MOVIMIENTOS!$A$5:$A880,MOVIMIENTOS!$A881)=0),COUNT(J$4:J875)+1,"")</f>
        <v/>
      </c>
      <c r="K876">
        <f>MOVIMIENTOS!$A881</f>
        <v>0</v>
      </c>
    </row>
    <row r="877" spans="1:11" ht="15" customHeight="1" x14ac:dyDescent="0.2">
      <c r="A877" t="str">
        <f t="shared" si="26"/>
        <v/>
      </c>
      <c r="B877" t="str">
        <f>IF($A877="","",SUMPRODUCT((MOVIMIENTOS!$B$5:$B$1005="SALDO INICIAL")*(MOVIMIENTOS!$C$5:$C$1005="A")*(MOVIMIENTOS!$D$5:$D$1005="jabas")*(MOVIMIENTOS!$A$5:$A$1005&lt;&gt;"")*(MOVIMIENTOS!$A$5:$A$1005&lt;=$A877)*MOVIMIENTOS!$E$5:$E$1005)+SUMPRODUCT((MOVIMIENTOS!$B$5:$B$1005="PROCESO")*(MOVIMIENTOS!$C$5:$C$1005="A")*(MOVIMIENTOS!$D$5:$D$1005="jabas")*(MOVIMIENTOS!$A$5:$A$1005&lt;&gt;"")*(MOVIMIENTOS!$A$5:$A$1005&lt;=$A877)*MOVIMIENTOS!$E$5:$E$1005)-SUMPRODUCT((MOVIMIENTOS!$B$5:$B$1005="ENVÍO A SUPESA")*(MOVIMIENTOS!$C$5:$C$1005="A")*(MOVIMIENTOS!$D$5:$D$1005="jabas")*(MOVIMIENTOS!$A$5:$A$1005&lt;&gt;"")*(MOVIMIENTOS!$A$5:$A$1005&lt;=$A877)*MOVIMIENTOS!$E$5:$E$1005)+SUMPRODUCT((MOVIMIENTOS!$B$5:$B$1005="DEVOLUCIÓN")*(MOVIMIENTOS!$C$5:$C$1005="A")*(MOVIMIENTOS!$D$5:$D$1005="jabas")*(MOVIMIENTOS!$A$5:$A$1005&lt;&gt;"")*(MOVIMIENTOS!$A$5:$A$1005&lt;=$A877)*MOVIMIENTOS!$E$5:$E$1005)-SUMPRODUCT((MOVIMIENTOS!$B$5:$B$1005="TRASIEGO")*(MOVIMIENTOS!$C$5:$C$1005="A")*(MOVIMIENTOS!$D$5:$D$1005="jabas")*(MOVIMIENTOS!$A$5:$A$1005&lt;&gt;"")*(MOVIMIENTOS!$A$5:$A$1005&lt;=$A877)*MOVIMIENTOS!$E$5:$E$1005)-SUMPRODUCT((MOVIMIENTOS!$B$5:$B$1005="REGALO")*(MOVIMIENTOS!$C$5:$C$1005="A")*(MOVIMIENTOS!$D$5:$D$1005="jabas")*(MOVIMIENTOS!$A$5:$A$1005&lt;&gt;"")*(MOVIMIENTOS!$A$5:$A$1005&lt;=$A877)*MOVIMIENTOS!$E$5:$E$1005)-SUMPRODUCT((MOVIMIENTOS!$B$5:$B$1005="VENTA")*(MOVIMIENTOS!$C$5:$C$1005="A")*(MOVIMIENTOS!$D$5:$D$1005="jabas")*(MOVIMIENTOS!$A$5:$A$1005&lt;&gt;"")*(MOVIMIENTOS!$A$5:$A$1005&lt;=$A877)*MOVIMIENTOS!$E$5:$E$1005)+SUMPRODUCT((MOVIMIENTOS!$B$5:$B$1005="AJUSTE")*(MOVIMIENTOS!$C$5:$C$1005="A")*(MOVIMIENTOS!$D$5:$D$1005="jabas")*(MOVIMIENTOS!$A$5:$A$1005&lt;&gt;"")*(MOVIMIENTOS!$A$5:$A$1005&lt;=$A877)*MOVIMIENTOS!$E$5:$E$1005))</f>
        <v/>
      </c>
      <c r="C877" t="str">
        <f>IF($A877="","",SUMPRODUCT((MOVIMIENTOS!$B$5:$B$1005="SALDO INICIAL")*(MOVIMIENTOS!$C$5:$C$1005="P")*(MOVIMIENTOS!$D$5:$D$1005="jabas")*(MOVIMIENTOS!$A$5:$A$1005&lt;&gt;"")*(MOVIMIENTOS!$A$5:$A$1005&lt;=$A877)*MOVIMIENTOS!$E$5:$E$1005)+SUMPRODUCT((MOVIMIENTOS!$B$5:$B$1005="PROCESO")*(MOVIMIENTOS!$C$5:$C$1005="P")*(MOVIMIENTOS!$D$5:$D$1005="jabas")*(MOVIMIENTOS!$A$5:$A$1005&lt;&gt;"")*(MOVIMIENTOS!$A$5:$A$1005&lt;=$A877)*MOVIMIENTOS!$E$5:$E$1005)-SUMPRODUCT((MOVIMIENTOS!$B$5:$B$1005="ENVÍO A SUPESA")*(MOVIMIENTOS!$C$5:$C$1005="P")*(MOVIMIENTOS!$D$5:$D$1005="jabas")*(MOVIMIENTOS!$A$5:$A$1005&lt;&gt;"")*(MOVIMIENTOS!$A$5:$A$1005&lt;=$A877)*MOVIMIENTOS!$E$5:$E$1005)+SUMPRODUCT((MOVIMIENTOS!$B$5:$B$1005="DEVOLUCIÓN")*(MOVIMIENTOS!$C$5:$C$1005="P")*(MOVIMIENTOS!$D$5:$D$1005="jabas")*(MOVIMIENTOS!$A$5:$A$1005&lt;&gt;"")*(MOVIMIENTOS!$A$5:$A$1005&lt;=$A877)*MOVIMIENTOS!$E$5:$E$1005)-SUMPRODUCT((MOVIMIENTOS!$B$5:$B$1005="TRASIEGO")*(MOVIMIENTOS!$C$5:$C$1005="P")*(MOVIMIENTOS!$D$5:$D$1005="jabas")*(MOVIMIENTOS!$A$5:$A$1005&lt;&gt;"")*(MOVIMIENTOS!$A$5:$A$1005&lt;=$A877)*MOVIMIENTOS!$E$5:$E$1005)-SUMPRODUCT((MOVIMIENTOS!$B$5:$B$1005="REGALO")*(MOVIMIENTOS!$C$5:$C$1005="P")*(MOVIMIENTOS!$D$5:$D$1005="jabas")*(MOVIMIENTOS!$A$5:$A$1005&lt;&gt;"")*(MOVIMIENTOS!$A$5:$A$1005&lt;=$A877)*MOVIMIENTOS!$E$5:$E$1005)-SUMPRODUCT((MOVIMIENTOS!$B$5:$B$1005="VENTA")*(MOVIMIENTOS!$C$5:$C$1005="P")*(MOVIMIENTOS!$D$5:$D$1005="jabas")*(MOVIMIENTOS!$A$5:$A$1005&lt;&gt;"")*(MOVIMIENTOS!$A$5:$A$1005&lt;=$A877)*MOVIMIENTOS!$E$5:$E$1005)+SUMPRODUCT((MOVIMIENTOS!$B$5:$B$1005="AJUSTE")*(MOVIMIENTOS!$C$5:$C$1005="P")*(MOVIMIENTOS!$D$5:$D$1005="jabas")*(MOVIMIENTOS!$A$5:$A$1005&lt;&gt;"")*(MOVIMIENTOS!$A$5:$A$1005&lt;=$A877)*MOVIMIENTOS!$E$5:$E$1005))</f>
        <v/>
      </c>
      <c r="D877" t="str">
        <f>IF($A877="","",SUMPRODUCT((MOVIMIENTOS!$B$5:$B$1005="SALDO INICIAL")*(MOVIMIENTOS!$C$5:$C$1005="C")*(MOVIMIENTOS!$D$5:$D$1005="jabas")*(MOVIMIENTOS!$A$5:$A$1005&lt;&gt;"")*(MOVIMIENTOS!$A$5:$A$1005&lt;=$A877)*MOVIMIENTOS!$E$5:$E$1005)+SUMPRODUCT((MOVIMIENTOS!$B$5:$B$1005="PROCESO")*(MOVIMIENTOS!$C$5:$C$1005="C")*(MOVIMIENTOS!$D$5:$D$1005="jabas")*(MOVIMIENTOS!$A$5:$A$1005&lt;&gt;"")*(MOVIMIENTOS!$A$5:$A$1005&lt;=$A877)*MOVIMIENTOS!$E$5:$E$1005)-SUMPRODUCT((MOVIMIENTOS!$B$5:$B$1005="ENVÍO A SUPESA")*(MOVIMIENTOS!$C$5:$C$1005="C")*(MOVIMIENTOS!$D$5:$D$1005="jabas")*(MOVIMIENTOS!$A$5:$A$1005&lt;&gt;"")*(MOVIMIENTOS!$A$5:$A$1005&lt;=$A877)*MOVIMIENTOS!$E$5:$E$1005)+SUMPRODUCT((MOVIMIENTOS!$B$5:$B$1005="DEVOLUCIÓN")*(MOVIMIENTOS!$C$5:$C$1005="C")*(MOVIMIENTOS!$D$5:$D$1005="jabas")*(MOVIMIENTOS!$A$5:$A$1005&lt;&gt;"")*(MOVIMIENTOS!$A$5:$A$1005&lt;=$A877)*MOVIMIENTOS!$E$5:$E$1005)-SUMPRODUCT((MOVIMIENTOS!$B$5:$B$1005="TRASIEGO")*(MOVIMIENTOS!$C$5:$C$1005="C")*(MOVIMIENTOS!$D$5:$D$1005="jabas")*(MOVIMIENTOS!$A$5:$A$1005&lt;&gt;"")*(MOVIMIENTOS!$A$5:$A$1005&lt;=$A877)*MOVIMIENTOS!$E$5:$E$1005)-SUMPRODUCT((MOVIMIENTOS!$B$5:$B$1005="REGALO")*(MOVIMIENTOS!$C$5:$C$1005="C")*(MOVIMIENTOS!$D$5:$D$1005="jabas")*(MOVIMIENTOS!$A$5:$A$1005&lt;&gt;"")*(MOVIMIENTOS!$A$5:$A$1005&lt;=$A877)*MOVIMIENTOS!$E$5:$E$1005)-SUMPRODUCT((MOVIMIENTOS!$B$5:$B$1005="VENTA")*(MOVIMIENTOS!$C$5:$C$1005="C")*(MOVIMIENTOS!$D$5:$D$1005="jabas")*(MOVIMIENTOS!$A$5:$A$1005&lt;&gt;"")*(MOVIMIENTOS!$A$5:$A$1005&lt;=$A877)*MOVIMIENTOS!$E$5:$E$1005)+SUMPRODUCT((MOVIMIENTOS!$B$5:$B$1005="AJUSTE")*(MOVIMIENTOS!$C$5:$C$1005="C")*(MOVIMIENTOS!$D$5:$D$1005="jabas")*(MOVIMIENTOS!$A$5:$A$1005&lt;&gt;"")*(MOVIMIENTOS!$A$5:$A$1005&lt;=$A877)*MOVIMIENTOS!$E$5:$E$1005))</f>
        <v/>
      </c>
      <c r="E877" t="str">
        <f>IF($A877="","",SUMPRODUCT((MOVIMIENTOS!$B$5:$B$1005="SALDO INICIAL")*(MOVIMIENTOS!$C$5:$C$1005="M")*(MOVIMIENTOS!$D$5:$D$1005="jabas")*(MOVIMIENTOS!$A$5:$A$1005&lt;&gt;"")*(MOVIMIENTOS!$A$5:$A$1005&lt;=$A877)*MOVIMIENTOS!$E$5:$E$1005)+SUMPRODUCT((MOVIMIENTOS!$B$5:$B$1005="PROCESO")*(MOVIMIENTOS!$C$5:$C$1005="M")*(MOVIMIENTOS!$D$5:$D$1005="jabas")*(MOVIMIENTOS!$A$5:$A$1005&lt;&gt;"")*(MOVIMIENTOS!$A$5:$A$1005&lt;=$A877)*MOVIMIENTOS!$E$5:$E$1005)-SUMPRODUCT((MOVIMIENTOS!$B$5:$B$1005="ENVÍO A SUPESA")*(MOVIMIENTOS!$C$5:$C$1005="M")*(MOVIMIENTOS!$D$5:$D$1005="jabas")*(MOVIMIENTOS!$A$5:$A$1005&lt;&gt;"")*(MOVIMIENTOS!$A$5:$A$1005&lt;=$A877)*MOVIMIENTOS!$E$5:$E$1005)+SUMPRODUCT((MOVIMIENTOS!$B$5:$B$1005="DEVOLUCIÓN")*(MOVIMIENTOS!$C$5:$C$1005="M")*(MOVIMIENTOS!$D$5:$D$1005="jabas")*(MOVIMIENTOS!$A$5:$A$1005&lt;&gt;"")*(MOVIMIENTOS!$A$5:$A$1005&lt;=$A877)*MOVIMIENTOS!$E$5:$E$1005)-SUMPRODUCT((MOVIMIENTOS!$B$5:$B$1005="TRASIEGO")*(MOVIMIENTOS!$C$5:$C$1005="M")*(MOVIMIENTOS!$D$5:$D$1005="jabas")*(MOVIMIENTOS!$A$5:$A$1005&lt;&gt;"")*(MOVIMIENTOS!$A$5:$A$1005&lt;=$A877)*MOVIMIENTOS!$E$5:$E$1005)-SUMPRODUCT((MOVIMIENTOS!$B$5:$B$1005="REGALO")*(MOVIMIENTOS!$C$5:$C$1005="M")*(MOVIMIENTOS!$D$5:$D$1005="jabas")*(MOVIMIENTOS!$A$5:$A$1005&lt;&gt;"")*(MOVIMIENTOS!$A$5:$A$1005&lt;=$A877)*MOVIMIENTOS!$E$5:$E$1005)-SUMPRODUCT((MOVIMIENTOS!$B$5:$B$1005="VENTA")*(MOVIMIENTOS!$C$5:$C$1005="M")*(MOVIMIENTOS!$D$5:$D$1005="jabas")*(MOVIMIENTOS!$A$5:$A$1005&lt;&gt;"")*(MOVIMIENTOS!$A$5:$A$1005&lt;=$A877)*MOVIMIENTOS!$E$5:$E$1005)+SUMPRODUCT((MOVIMIENTOS!$B$5:$B$1005="AJUSTE")*(MOVIMIENTOS!$C$5:$C$1005="M")*(MOVIMIENTOS!$D$5:$D$1005="jabas")*(MOVIMIENTOS!$A$5:$A$1005&lt;&gt;"")*(MOVIMIENTOS!$A$5:$A$1005&lt;=$A877)*MOVIMIENTOS!$E$5:$E$1005))</f>
        <v/>
      </c>
      <c r="F877" s="62" t="str">
        <f>IF($A877="","",SUMPRODUCT((MOVIMIENTOS!$B$5:$B$1005="SALDO INICIAL")*(MOVIMIENTOS!$C$5:$C$1005="Chancho")*(MOVIMIENTOS!$D$5:$D$1005="sacos")*(MOVIMIENTOS!$A$5:$A$1005&lt;&gt;"")*(MOVIMIENTOS!$A$5:$A$1005&lt;=$A877)*MOVIMIENTOS!$E$5:$E$1005)+SUMPRODUCT((MOVIMIENTOS!$B$5:$B$1005="PROCESO")*(MOVIMIENTOS!$C$5:$C$1005="Chancho")*(MOVIMIENTOS!$D$5:$D$1005="sacos")*(MOVIMIENTOS!$A$5:$A$1005&lt;&gt;"")*(MOVIMIENTOS!$A$5:$A$1005&lt;=$A877)*MOVIMIENTOS!$E$5:$E$1005)-SUMPRODUCT((MOVIMIENTOS!$B$5:$B$1005="VENTA CHANCHO")*(MOVIMIENTOS!$C$5:$C$1005="Chancho")*(MOVIMIENTOS!$D$5:$D$1005="sacos")*(MOVIMIENTOS!$A$5:$A$1005&lt;&gt;"")*(MOVIMIENTOS!$A$5:$A$1005&lt;=$A877)*MOVIMIENTOS!$E$5:$E$1005)-SUMPRODUCT((MOVIMIENTOS!$B$5:$B$1005="REGALO")*(MOVIMIENTOS!$C$5:$C$1005="Chancho")*(MOVIMIENTOS!$D$5:$D$1005="sacos")*(MOVIMIENTOS!$A$5:$A$1005&lt;&gt;"")*(MOVIMIENTOS!$A$5:$A$1005&lt;=$A877)*MOVIMIENTOS!$E$5:$E$1005)-SUMPRODUCT((MOVIMIENTOS!$B$5:$B$1005="VENTA")*(MOVIMIENTOS!$C$5:$C$1005="Chancho")*(MOVIMIENTOS!$D$5:$D$1005="sacos")*(MOVIMIENTOS!$A$5:$A$1005&lt;&gt;"")*(MOVIMIENTOS!$A$5:$A$1005&lt;=$A877)*MOVIMIENTOS!$E$5:$E$1005)+SUMPRODUCT((MOVIMIENTOS!$B$5:$B$1005="AJUSTE")*(MOVIMIENTOS!$C$5:$C$1005="Chancho")*(MOVIMIENTOS!$D$5:$D$1005="sacos")*(MOVIMIENTOS!$A$5:$A$1005&lt;&gt;"")*(MOVIMIENTOS!$A$5:$A$1005&lt;=$A877)*MOVIMIENTOS!$E$5:$E$1005))</f>
        <v/>
      </c>
      <c r="G877" s="62" t="str">
        <f t="shared" si="27"/>
        <v/>
      </c>
      <c r="H877" t="str">
        <f>IF($A877="","",SUMPRODUCT((((MOVIMIENTOS!$B$5:$B$1005="SALDO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877)*MOVIMIENTOS!$J$5:$J$1005))</f>
        <v/>
      </c>
      <c r="J877" t="str">
        <f>IF(AND(MOVIMIENTOS!$A882&lt;&gt;"",COUNTIF(MOVIMIENTOS!$A$5:$A881,MOVIMIENTOS!$A882)=0),COUNT(J$4:J876)+1,"")</f>
        <v/>
      </c>
      <c r="K877">
        <f>MOVIMIENTOS!$A882</f>
        <v>0</v>
      </c>
    </row>
    <row r="878" spans="1:11" ht="15" customHeight="1" x14ac:dyDescent="0.2">
      <c r="A878" t="str">
        <f t="shared" si="26"/>
        <v/>
      </c>
      <c r="B878" t="str">
        <f>IF($A878="","",SUMPRODUCT((MOVIMIENTOS!$B$5:$B$1005="SALDO INICIAL")*(MOVIMIENTOS!$C$5:$C$1005="A")*(MOVIMIENTOS!$D$5:$D$1005="jabas")*(MOVIMIENTOS!$A$5:$A$1005&lt;&gt;"")*(MOVIMIENTOS!$A$5:$A$1005&lt;=$A878)*MOVIMIENTOS!$E$5:$E$1005)+SUMPRODUCT((MOVIMIENTOS!$B$5:$B$1005="PROCESO")*(MOVIMIENTOS!$C$5:$C$1005="A")*(MOVIMIENTOS!$D$5:$D$1005="jabas")*(MOVIMIENTOS!$A$5:$A$1005&lt;&gt;"")*(MOVIMIENTOS!$A$5:$A$1005&lt;=$A878)*MOVIMIENTOS!$E$5:$E$1005)-SUMPRODUCT((MOVIMIENTOS!$B$5:$B$1005="ENVÍO A SUPESA")*(MOVIMIENTOS!$C$5:$C$1005="A")*(MOVIMIENTOS!$D$5:$D$1005="jabas")*(MOVIMIENTOS!$A$5:$A$1005&lt;&gt;"")*(MOVIMIENTOS!$A$5:$A$1005&lt;=$A878)*MOVIMIENTOS!$E$5:$E$1005)+SUMPRODUCT((MOVIMIENTOS!$B$5:$B$1005="DEVOLUCIÓN")*(MOVIMIENTOS!$C$5:$C$1005="A")*(MOVIMIENTOS!$D$5:$D$1005="jabas")*(MOVIMIENTOS!$A$5:$A$1005&lt;&gt;"")*(MOVIMIENTOS!$A$5:$A$1005&lt;=$A878)*MOVIMIENTOS!$E$5:$E$1005)-SUMPRODUCT((MOVIMIENTOS!$B$5:$B$1005="TRASIEGO")*(MOVIMIENTOS!$C$5:$C$1005="A")*(MOVIMIENTOS!$D$5:$D$1005="jabas")*(MOVIMIENTOS!$A$5:$A$1005&lt;&gt;"")*(MOVIMIENTOS!$A$5:$A$1005&lt;=$A878)*MOVIMIENTOS!$E$5:$E$1005)-SUMPRODUCT((MOVIMIENTOS!$B$5:$B$1005="REGALO")*(MOVIMIENTOS!$C$5:$C$1005="A")*(MOVIMIENTOS!$D$5:$D$1005="jabas")*(MOVIMIENTOS!$A$5:$A$1005&lt;&gt;"")*(MOVIMIENTOS!$A$5:$A$1005&lt;=$A878)*MOVIMIENTOS!$E$5:$E$1005)-SUMPRODUCT((MOVIMIENTOS!$B$5:$B$1005="VENTA")*(MOVIMIENTOS!$C$5:$C$1005="A")*(MOVIMIENTOS!$D$5:$D$1005="jabas")*(MOVIMIENTOS!$A$5:$A$1005&lt;&gt;"")*(MOVIMIENTOS!$A$5:$A$1005&lt;=$A878)*MOVIMIENTOS!$E$5:$E$1005)+SUMPRODUCT((MOVIMIENTOS!$B$5:$B$1005="AJUSTE")*(MOVIMIENTOS!$C$5:$C$1005="A")*(MOVIMIENTOS!$D$5:$D$1005="jabas")*(MOVIMIENTOS!$A$5:$A$1005&lt;&gt;"")*(MOVIMIENTOS!$A$5:$A$1005&lt;=$A878)*MOVIMIENTOS!$E$5:$E$1005))</f>
        <v/>
      </c>
      <c r="C878" t="str">
        <f>IF($A878="","",SUMPRODUCT((MOVIMIENTOS!$B$5:$B$1005="SALDO INICIAL")*(MOVIMIENTOS!$C$5:$C$1005="P")*(MOVIMIENTOS!$D$5:$D$1005="jabas")*(MOVIMIENTOS!$A$5:$A$1005&lt;&gt;"")*(MOVIMIENTOS!$A$5:$A$1005&lt;=$A878)*MOVIMIENTOS!$E$5:$E$1005)+SUMPRODUCT((MOVIMIENTOS!$B$5:$B$1005="PROCESO")*(MOVIMIENTOS!$C$5:$C$1005="P")*(MOVIMIENTOS!$D$5:$D$1005="jabas")*(MOVIMIENTOS!$A$5:$A$1005&lt;&gt;"")*(MOVIMIENTOS!$A$5:$A$1005&lt;=$A878)*MOVIMIENTOS!$E$5:$E$1005)-SUMPRODUCT((MOVIMIENTOS!$B$5:$B$1005="ENVÍO A SUPESA")*(MOVIMIENTOS!$C$5:$C$1005="P")*(MOVIMIENTOS!$D$5:$D$1005="jabas")*(MOVIMIENTOS!$A$5:$A$1005&lt;&gt;"")*(MOVIMIENTOS!$A$5:$A$1005&lt;=$A878)*MOVIMIENTOS!$E$5:$E$1005)+SUMPRODUCT((MOVIMIENTOS!$B$5:$B$1005="DEVOLUCIÓN")*(MOVIMIENTOS!$C$5:$C$1005="P")*(MOVIMIENTOS!$D$5:$D$1005="jabas")*(MOVIMIENTOS!$A$5:$A$1005&lt;&gt;"")*(MOVIMIENTOS!$A$5:$A$1005&lt;=$A878)*MOVIMIENTOS!$E$5:$E$1005)-SUMPRODUCT((MOVIMIENTOS!$B$5:$B$1005="TRASIEGO")*(MOVIMIENTOS!$C$5:$C$1005="P")*(MOVIMIENTOS!$D$5:$D$1005="jabas")*(MOVIMIENTOS!$A$5:$A$1005&lt;&gt;"")*(MOVIMIENTOS!$A$5:$A$1005&lt;=$A878)*MOVIMIENTOS!$E$5:$E$1005)-SUMPRODUCT((MOVIMIENTOS!$B$5:$B$1005="REGALO")*(MOVIMIENTOS!$C$5:$C$1005="P")*(MOVIMIENTOS!$D$5:$D$1005="jabas")*(MOVIMIENTOS!$A$5:$A$1005&lt;&gt;"")*(MOVIMIENTOS!$A$5:$A$1005&lt;=$A878)*MOVIMIENTOS!$E$5:$E$1005)-SUMPRODUCT((MOVIMIENTOS!$B$5:$B$1005="VENTA")*(MOVIMIENTOS!$C$5:$C$1005="P")*(MOVIMIENTOS!$D$5:$D$1005="jabas")*(MOVIMIENTOS!$A$5:$A$1005&lt;&gt;"")*(MOVIMIENTOS!$A$5:$A$1005&lt;=$A878)*MOVIMIENTOS!$E$5:$E$1005)+SUMPRODUCT((MOVIMIENTOS!$B$5:$B$1005="AJUSTE")*(MOVIMIENTOS!$C$5:$C$1005="P")*(MOVIMIENTOS!$D$5:$D$1005="jabas")*(MOVIMIENTOS!$A$5:$A$1005&lt;&gt;"")*(MOVIMIENTOS!$A$5:$A$1005&lt;=$A878)*MOVIMIENTOS!$E$5:$E$1005))</f>
        <v/>
      </c>
      <c r="D878" t="str">
        <f>IF($A878="","",SUMPRODUCT((MOVIMIENTOS!$B$5:$B$1005="SALDO INICIAL")*(MOVIMIENTOS!$C$5:$C$1005="C")*(MOVIMIENTOS!$D$5:$D$1005="jabas")*(MOVIMIENTOS!$A$5:$A$1005&lt;&gt;"")*(MOVIMIENTOS!$A$5:$A$1005&lt;=$A878)*MOVIMIENTOS!$E$5:$E$1005)+SUMPRODUCT((MOVIMIENTOS!$B$5:$B$1005="PROCESO")*(MOVIMIENTOS!$C$5:$C$1005="C")*(MOVIMIENTOS!$D$5:$D$1005="jabas")*(MOVIMIENTOS!$A$5:$A$1005&lt;&gt;"")*(MOVIMIENTOS!$A$5:$A$1005&lt;=$A878)*MOVIMIENTOS!$E$5:$E$1005)-SUMPRODUCT((MOVIMIENTOS!$B$5:$B$1005="ENVÍO A SUPESA")*(MOVIMIENTOS!$C$5:$C$1005="C")*(MOVIMIENTOS!$D$5:$D$1005="jabas")*(MOVIMIENTOS!$A$5:$A$1005&lt;&gt;"")*(MOVIMIENTOS!$A$5:$A$1005&lt;=$A878)*MOVIMIENTOS!$E$5:$E$1005)+SUMPRODUCT((MOVIMIENTOS!$B$5:$B$1005="DEVOLUCIÓN")*(MOVIMIENTOS!$C$5:$C$1005="C")*(MOVIMIENTOS!$D$5:$D$1005="jabas")*(MOVIMIENTOS!$A$5:$A$1005&lt;&gt;"")*(MOVIMIENTOS!$A$5:$A$1005&lt;=$A878)*MOVIMIENTOS!$E$5:$E$1005)-SUMPRODUCT((MOVIMIENTOS!$B$5:$B$1005="TRASIEGO")*(MOVIMIENTOS!$C$5:$C$1005="C")*(MOVIMIENTOS!$D$5:$D$1005="jabas")*(MOVIMIENTOS!$A$5:$A$1005&lt;&gt;"")*(MOVIMIENTOS!$A$5:$A$1005&lt;=$A878)*MOVIMIENTOS!$E$5:$E$1005)-SUMPRODUCT((MOVIMIENTOS!$B$5:$B$1005="REGALO")*(MOVIMIENTOS!$C$5:$C$1005="C")*(MOVIMIENTOS!$D$5:$D$1005="jabas")*(MOVIMIENTOS!$A$5:$A$1005&lt;&gt;"")*(MOVIMIENTOS!$A$5:$A$1005&lt;=$A878)*MOVIMIENTOS!$E$5:$E$1005)-SUMPRODUCT((MOVIMIENTOS!$B$5:$B$1005="VENTA")*(MOVIMIENTOS!$C$5:$C$1005="C")*(MOVIMIENTOS!$D$5:$D$1005="jabas")*(MOVIMIENTOS!$A$5:$A$1005&lt;&gt;"")*(MOVIMIENTOS!$A$5:$A$1005&lt;=$A878)*MOVIMIENTOS!$E$5:$E$1005)+SUMPRODUCT((MOVIMIENTOS!$B$5:$B$1005="AJUSTE")*(MOVIMIENTOS!$C$5:$C$1005="C")*(MOVIMIENTOS!$D$5:$D$1005="jabas")*(MOVIMIENTOS!$A$5:$A$1005&lt;&gt;"")*(MOVIMIENTOS!$A$5:$A$1005&lt;=$A878)*MOVIMIENTOS!$E$5:$E$1005))</f>
        <v/>
      </c>
      <c r="E878" t="str">
        <f>IF($A878="","",SUMPRODUCT((MOVIMIENTOS!$B$5:$B$1005="SALDO INICIAL")*(MOVIMIENTOS!$C$5:$C$1005="M")*(MOVIMIENTOS!$D$5:$D$1005="jabas")*(MOVIMIENTOS!$A$5:$A$1005&lt;&gt;"")*(MOVIMIENTOS!$A$5:$A$1005&lt;=$A878)*MOVIMIENTOS!$E$5:$E$1005)+SUMPRODUCT((MOVIMIENTOS!$B$5:$B$1005="PROCESO")*(MOVIMIENTOS!$C$5:$C$1005="M")*(MOVIMIENTOS!$D$5:$D$1005="jabas")*(MOVIMIENTOS!$A$5:$A$1005&lt;&gt;"")*(MOVIMIENTOS!$A$5:$A$1005&lt;=$A878)*MOVIMIENTOS!$E$5:$E$1005)-SUMPRODUCT((MOVIMIENTOS!$B$5:$B$1005="ENVÍO A SUPESA")*(MOVIMIENTOS!$C$5:$C$1005="M")*(MOVIMIENTOS!$D$5:$D$1005="jabas")*(MOVIMIENTOS!$A$5:$A$1005&lt;&gt;"")*(MOVIMIENTOS!$A$5:$A$1005&lt;=$A878)*MOVIMIENTOS!$E$5:$E$1005)+SUMPRODUCT((MOVIMIENTOS!$B$5:$B$1005="DEVOLUCIÓN")*(MOVIMIENTOS!$C$5:$C$1005="M")*(MOVIMIENTOS!$D$5:$D$1005="jabas")*(MOVIMIENTOS!$A$5:$A$1005&lt;&gt;"")*(MOVIMIENTOS!$A$5:$A$1005&lt;=$A878)*MOVIMIENTOS!$E$5:$E$1005)-SUMPRODUCT((MOVIMIENTOS!$B$5:$B$1005="TRASIEGO")*(MOVIMIENTOS!$C$5:$C$1005="M")*(MOVIMIENTOS!$D$5:$D$1005="jabas")*(MOVIMIENTOS!$A$5:$A$1005&lt;&gt;"")*(MOVIMIENTOS!$A$5:$A$1005&lt;=$A878)*MOVIMIENTOS!$E$5:$E$1005)-SUMPRODUCT((MOVIMIENTOS!$B$5:$B$1005="REGALO")*(MOVIMIENTOS!$C$5:$C$1005="M")*(MOVIMIENTOS!$D$5:$D$1005="jabas")*(MOVIMIENTOS!$A$5:$A$1005&lt;&gt;"")*(MOVIMIENTOS!$A$5:$A$1005&lt;=$A878)*MOVIMIENTOS!$E$5:$E$1005)-SUMPRODUCT((MOVIMIENTOS!$B$5:$B$1005="VENTA")*(MOVIMIENTOS!$C$5:$C$1005="M")*(MOVIMIENTOS!$D$5:$D$1005="jabas")*(MOVIMIENTOS!$A$5:$A$1005&lt;&gt;"")*(MOVIMIENTOS!$A$5:$A$1005&lt;=$A878)*MOVIMIENTOS!$E$5:$E$1005)+SUMPRODUCT((MOVIMIENTOS!$B$5:$B$1005="AJUSTE")*(MOVIMIENTOS!$C$5:$C$1005="M")*(MOVIMIENTOS!$D$5:$D$1005="jabas")*(MOVIMIENTOS!$A$5:$A$1005&lt;&gt;"")*(MOVIMIENTOS!$A$5:$A$1005&lt;=$A878)*MOVIMIENTOS!$E$5:$E$1005))</f>
        <v/>
      </c>
      <c r="F878" s="62" t="str">
        <f>IF($A878="","",SUMPRODUCT((MOVIMIENTOS!$B$5:$B$1005="SALDO INICIAL")*(MOVIMIENTOS!$C$5:$C$1005="Chancho")*(MOVIMIENTOS!$D$5:$D$1005="sacos")*(MOVIMIENTOS!$A$5:$A$1005&lt;&gt;"")*(MOVIMIENTOS!$A$5:$A$1005&lt;=$A878)*MOVIMIENTOS!$E$5:$E$1005)+SUMPRODUCT((MOVIMIENTOS!$B$5:$B$1005="PROCESO")*(MOVIMIENTOS!$C$5:$C$1005="Chancho")*(MOVIMIENTOS!$D$5:$D$1005="sacos")*(MOVIMIENTOS!$A$5:$A$1005&lt;&gt;"")*(MOVIMIENTOS!$A$5:$A$1005&lt;=$A878)*MOVIMIENTOS!$E$5:$E$1005)-SUMPRODUCT((MOVIMIENTOS!$B$5:$B$1005="VENTA CHANCHO")*(MOVIMIENTOS!$C$5:$C$1005="Chancho")*(MOVIMIENTOS!$D$5:$D$1005="sacos")*(MOVIMIENTOS!$A$5:$A$1005&lt;&gt;"")*(MOVIMIENTOS!$A$5:$A$1005&lt;=$A878)*MOVIMIENTOS!$E$5:$E$1005)-SUMPRODUCT((MOVIMIENTOS!$B$5:$B$1005="REGALO")*(MOVIMIENTOS!$C$5:$C$1005="Chancho")*(MOVIMIENTOS!$D$5:$D$1005="sacos")*(MOVIMIENTOS!$A$5:$A$1005&lt;&gt;"")*(MOVIMIENTOS!$A$5:$A$1005&lt;=$A878)*MOVIMIENTOS!$E$5:$E$1005)-SUMPRODUCT((MOVIMIENTOS!$B$5:$B$1005="VENTA")*(MOVIMIENTOS!$C$5:$C$1005="Chancho")*(MOVIMIENTOS!$D$5:$D$1005="sacos")*(MOVIMIENTOS!$A$5:$A$1005&lt;&gt;"")*(MOVIMIENTOS!$A$5:$A$1005&lt;=$A878)*MOVIMIENTOS!$E$5:$E$1005)+SUMPRODUCT((MOVIMIENTOS!$B$5:$B$1005="AJUSTE")*(MOVIMIENTOS!$C$5:$C$1005="Chancho")*(MOVIMIENTOS!$D$5:$D$1005="sacos")*(MOVIMIENTOS!$A$5:$A$1005&lt;&gt;"")*(MOVIMIENTOS!$A$5:$A$1005&lt;=$A878)*MOVIMIENTOS!$E$5:$E$1005))</f>
        <v/>
      </c>
      <c r="G878" s="62" t="str">
        <f t="shared" si="27"/>
        <v/>
      </c>
      <c r="H878" t="str">
        <f>IF($A878="","",SUMPRODUCT((((MOVIMIENTOS!$B$5:$B$1005="SALDO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878)*MOVIMIENTOS!$J$5:$J$1005))</f>
        <v/>
      </c>
      <c r="J878" t="str">
        <f>IF(AND(MOVIMIENTOS!$A883&lt;&gt;"",COUNTIF(MOVIMIENTOS!$A$5:$A882,MOVIMIENTOS!$A883)=0),COUNT(J$4:J877)+1,"")</f>
        <v/>
      </c>
      <c r="K878">
        <f>MOVIMIENTOS!$A883</f>
        <v>0</v>
      </c>
    </row>
    <row r="879" spans="1:11" ht="15" customHeight="1" x14ac:dyDescent="0.2">
      <c r="A879" t="str">
        <f t="shared" si="26"/>
        <v/>
      </c>
      <c r="B879" t="str">
        <f>IF($A879="","",SUMPRODUCT((MOVIMIENTOS!$B$5:$B$1005="SALDO INICIAL")*(MOVIMIENTOS!$C$5:$C$1005="A")*(MOVIMIENTOS!$D$5:$D$1005="jabas")*(MOVIMIENTOS!$A$5:$A$1005&lt;&gt;"")*(MOVIMIENTOS!$A$5:$A$1005&lt;=$A879)*MOVIMIENTOS!$E$5:$E$1005)+SUMPRODUCT((MOVIMIENTOS!$B$5:$B$1005="PROCESO")*(MOVIMIENTOS!$C$5:$C$1005="A")*(MOVIMIENTOS!$D$5:$D$1005="jabas")*(MOVIMIENTOS!$A$5:$A$1005&lt;&gt;"")*(MOVIMIENTOS!$A$5:$A$1005&lt;=$A879)*MOVIMIENTOS!$E$5:$E$1005)-SUMPRODUCT((MOVIMIENTOS!$B$5:$B$1005="ENVÍO A SUPESA")*(MOVIMIENTOS!$C$5:$C$1005="A")*(MOVIMIENTOS!$D$5:$D$1005="jabas")*(MOVIMIENTOS!$A$5:$A$1005&lt;&gt;"")*(MOVIMIENTOS!$A$5:$A$1005&lt;=$A879)*MOVIMIENTOS!$E$5:$E$1005)+SUMPRODUCT((MOVIMIENTOS!$B$5:$B$1005="DEVOLUCIÓN")*(MOVIMIENTOS!$C$5:$C$1005="A")*(MOVIMIENTOS!$D$5:$D$1005="jabas")*(MOVIMIENTOS!$A$5:$A$1005&lt;&gt;"")*(MOVIMIENTOS!$A$5:$A$1005&lt;=$A879)*MOVIMIENTOS!$E$5:$E$1005)-SUMPRODUCT((MOVIMIENTOS!$B$5:$B$1005="TRASIEGO")*(MOVIMIENTOS!$C$5:$C$1005="A")*(MOVIMIENTOS!$D$5:$D$1005="jabas")*(MOVIMIENTOS!$A$5:$A$1005&lt;&gt;"")*(MOVIMIENTOS!$A$5:$A$1005&lt;=$A879)*MOVIMIENTOS!$E$5:$E$1005)-SUMPRODUCT((MOVIMIENTOS!$B$5:$B$1005="REGALO")*(MOVIMIENTOS!$C$5:$C$1005="A")*(MOVIMIENTOS!$D$5:$D$1005="jabas")*(MOVIMIENTOS!$A$5:$A$1005&lt;&gt;"")*(MOVIMIENTOS!$A$5:$A$1005&lt;=$A879)*MOVIMIENTOS!$E$5:$E$1005)-SUMPRODUCT((MOVIMIENTOS!$B$5:$B$1005="VENTA")*(MOVIMIENTOS!$C$5:$C$1005="A")*(MOVIMIENTOS!$D$5:$D$1005="jabas")*(MOVIMIENTOS!$A$5:$A$1005&lt;&gt;"")*(MOVIMIENTOS!$A$5:$A$1005&lt;=$A879)*MOVIMIENTOS!$E$5:$E$1005)+SUMPRODUCT((MOVIMIENTOS!$B$5:$B$1005="AJUSTE")*(MOVIMIENTOS!$C$5:$C$1005="A")*(MOVIMIENTOS!$D$5:$D$1005="jabas")*(MOVIMIENTOS!$A$5:$A$1005&lt;&gt;"")*(MOVIMIENTOS!$A$5:$A$1005&lt;=$A879)*MOVIMIENTOS!$E$5:$E$1005))</f>
        <v/>
      </c>
      <c r="C879" t="str">
        <f>IF($A879="","",SUMPRODUCT((MOVIMIENTOS!$B$5:$B$1005="SALDO INICIAL")*(MOVIMIENTOS!$C$5:$C$1005="P")*(MOVIMIENTOS!$D$5:$D$1005="jabas")*(MOVIMIENTOS!$A$5:$A$1005&lt;&gt;"")*(MOVIMIENTOS!$A$5:$A$1005&lt;=$A879)*MOVIMIENTOS!$E$5:$E$1005)+SUMPRODUCT((MOVIMIENTOS!$B$5:$B$1005="PROCESO")*(MOVIMIENTOS!$C$5:$C$1005="P")*(MOVIMIENTOS!$D$5:$D$1005="jabas")*(MOVIMIENTOS!$A$5:$A$1005&lt;&gt;"")*(MOVIMIENTOS!$A$5:$A$1005&lt;=$A879)*MOVIMIENTOS!$E$5:$E$1005)-SUMPRODUCT((MOVIMIENTOS!$B$5:$B$1005="ENVÍO A SUPESA")*(MOVIMIENTOS!$C$5:$C$1005="P")*(MOVIMIENTOS!$D$5:$D$1005="jabas")*(MOVIMIENTOS!$A$5:$A$1005&lt;&gt;"")*(MOVIMIENTOS!$A$5:$A$1005&lt;=$A879)*MOVIMIENTOS!$E$5:$E$1005)+SUMPRODUCT((MOVIMIENTOS!$B$5:$B$1005="DEVOLUCIÓN")*(MOVIMIENTOS!$C$5:$C$1005="P")*(MOVIMIENTOS!$D$5:$D$1005="jabas")*(MOVIMIENTOS!$A$5:$A$1005&lt;&gt;"")*(MOVIMIENTOS!$A$5:$A$1005&lt;=$A879)*MOVIMIENTOS!$E$5:$E$1005)-SUMPRODUCT((MOVIMIENTOS!$B$5:$B$1005="TRASIEGO")*(MOVIMIENTOS!$C$5:$C$1005="P")*(MOVIMIENTOS!$D$5:$D$1005="jabas")*(MOVIMIENTOS!$A$5:$A$1005&lt;&gt;"")*(MOVIMIENTOS!$A$5:$A$1005&lt;=$A879)*MOVIMIENTOS!$E$5:$E$1005)-SUMPRODUCT((MOVIMIENTOS!$B$5:$B$1005="REGALO")*(MOVIMIENTOS!$C$5:$C$1005="P")*(MOVIMIENTOS!$D$5:$D$1005="jabas")*(MOVIMIENTOS!$A$5:$A$1005&lt;&gt;"")*(MOVIMIENTOS!$A$5:$A$1005&lt;=$A879)*MOVIMIENTOS!$E$5:$E$1005)-SUMPRODUCT((MOVIMIENTOS!$B$5:$B$1005="VENTA")*(MOVIMIENTOS!$C$5:$C$1005="P")*(MOVIMIENTOS!$D$5:$D$1005="jabas")*(MOVIMIENTOS!$A$5:$A$1005&lt;&gt;"")*(MOVIMIENTOS!$A$5:$A$1005&lt;=$A879)*MOVIMIENTOS!$E$5:$E$1005)+SUMPRODUCT((MOVIMIENTOS!$B$5:$B$1005="AJUSTE")*(MOVIMIENTOS!$C$5:$C$1005="P")*(MOVIMIENTOS!$D$5:$D$1005="jabas")*(MOVIMIENTOS!$A$5:$A$1005&lt;&gt;"")*(MOVIMIENTOS!$A$5:$A$1005&lt;=$A879)*MOVIMIENTOS!$E$5:$E$1005))</f>
        <v/>
      </c>
      <c r="D879" t="str">
        <f>IF($A879="","",SUMPRODUCT((MOVIMIENTOS!$B$5:$B$1005="SALDO INICIAL")*(MOVIMIENTOS!$C$5:$C$1005="C")*(MOVIMIENTOS!$D$5:$D$1005="jabas")*(MOVIMIENTOS!$A$5:$A$1005&lt;&gt;"")*(MOVIMIENTOS!$A$5:$A$1005&lt;=$A879)*MOVIMIENTOS!$E$5:$E$1005)+SUMPRODUCT((MOVIMIENTOS!$B$5:$B$1005="PROCESO")*(MOVIMIENTOS!$C$5:$C$1005="C")*(MOVIMIENTOS!$D$5:$D$1005="jabas")*(MOVIMIENTOS!$A$5:$A$1005&lt;&gt;"")*(MOVIMIENTOS!$A$5:$A$1005&lt;=$A879)*MOVIMIENTOS!$E$5:$E$1005)-SUMPRODUCT((MOVIMIENTOS!$B$5:$B$1005="ENVÍO A SUPESA")*(MOVIMIENTOS!$C$5:$C$1005="C")*(MOVIMIENTOS!$D$5:$D$1005="jabas")*(MOVIMIENTOS!$A$5:$A$1005&lt;&gt;"")*(MOVIMIENTOS!$A$5:$A$1005&lt;=$A879)*MOVIMIENTOS!$E$5:$E$1005)+SUMPRODUCT((MOVIMIENTOS!$B$5:$B$1005="DEVOLUCIÓN")*(MOVIMIENTOS!$C$5:$C$1005="C")*(MOVIMIENTOS!$D$5:$D$1005="jabas")*(MOVIMIENTOS!$A$5:$A$1005&lt;&gt;"")*(MOVIMIENTOS!$A$5:$A$1005&lt;=$A879)*MOVIMIENTOS!$E$5:$E$1005)-SUMPRODUCT((MOVIMIENTOS!$B$5:$B$1005="TRASIEGO")*(MOVIMIENTOS!$C$5:$C$1005="C")*(MOVIMIENTOS!$D$5:$D$1005="jabas")*(MOVIMIENTOS!$A$5:$A$1005&lt;&gt;"")*(MOVIMIENTOS!$A$5:$A$1005&lt;=$A879)*MOVIMIENTOS!$E$5:$E$1005)-SUMPRODUCT((MOVIMIENTOS!$B$5:$B$1005="REGALO")*(MOVIMIENTOS!$C$5:$C$1005="C")*(MOVIMIENTOS!$D$5:$D$1005="jabas")*(MOVIMIENTOS!$A$5:$A$1005&lt;&gt;"")*(MOVIMIENTOS!$A$5:$A$1005&lt;=$A879)*MOVIMIENTOS!$E$5:$E$1005)-SUMPRODUCT((MOVIMIENTOS!$B$5:$B$1005="VENTA")*(MOVIMIENTOS!$C$5:$C$1005="C")*(MOVIMIENTOS!$D$5:$D$1005="jabas")*(MOVIMIENTOS!$A$5:$A$1005&lt;&gt;"")*(MOVIMIENTOS!$A$5:$A$1005&lt;=$A879)*MOVIMIENTOS!$E$5:$E$1005)+SUMPRODUCT((MOVIMIENTOS!$B$5:$B$1005="AJUSTE")*(MOVIMIENTOS!$C$5:$C$1005="C")*(MOVIMIENTOS!$D$5:$D$1005="jabas")*(MOVIMIENTOS!$A$5:$A$1005&lt;&gt;"")*(MOVIMIENTOS!$A$5:$A$1005&lt;=$A879)*MOVIMIENTOS!$E$5:$E$1005))</f>
        <v/>
      </c>
      <c r="E879" t="str">
        <f>IF($A879="","",SUMPRODUCT((MOVIMIENTOS!$B$5:$B$1005="SALDO INICIAL")*(MOVIMIENTOS!$C$5:$C$1005="M")*(MOVIMIENTOS!$D$5:$D$1005="jabas")*(MOVIMIENTOS!$A$5:$A$1005&lt;&gt;"")*(MOVIMIENTOS!$A$5:$A$1005&lt;=$A879)*MOVIMIENTOS!$E$5:$E$1005)+SUMPRODUCT((MOVIMIENTOS!$B$5:$B$1005="PROCESO")*(MOVIMIENTOS!$C$5:$C$1005="M")*(MOVIMIENTOS!$D$5:$D$1005="jabas")*(MOVIMIENTOS!$A$5:$A$1005&lt;&gt;"")*(MOVIMIENTOS!$A$5:$A$1005&lt;=$A879)*MOVIMIENTOS!$E$5:$E$1005)-SUMPRODUCT((MOVIMIENTOS!$B$5:$B$1005="ENVÍO A SUPESA")*(MOVIMIENTOS!$C$5:$C$1005="M")*(MOVIMIENTOS!$D$5:$D$1005="jabas")*(MOVIMIENTOS!$A$5:$A$1005&lt;&gt;"")*(MOVIMIENTOS!$A$5:$A$1005&lt;=$A879)*MOVIMIENTOS!$E$5:$E$1005)+SUMPRODUCT((MOVIMIENTOS!$B$5:$B$1005="DEVOLUCIÓN")*(MOVIMIENTOS!$C$5:$C$1005="M")*(MOVIMIENTOS!$D$5:$D$1005="jabas")*(MOVIMIENTOS!$A$5:$A$1005&lt;&gt;"")*(MOVIMIENTOS!$A$5:$A$1005&lt;=$A879)*MOVIMIENTOS!$E$5:$E$1005)-SUMPRODUCT((MOVIMIENTOS!$B$5:$B$1005="TRASIEGO")*(MOVIMIENTOS!$C$5:$C$1005="M")*(MOVIMIENTOS!$D$5:$D$1005="jabas")*(MOVIMIENTOS!$A$5:$A$1005&lt;&gt;"")*(MOVIMIENTOS!$A$5:$A$1005&lt;=$A879)*MOVIMIENTOS!$E$5:$E$1005)-SUMPRODUCT((MOVIMIENTOS!$B$5:$B$1005="REGALO")*(MOVIMIENTOS!$C$5:$C$1005="M")*(MOVIMIENTOS!$D$5:$D$1005="jabas")*(MOVIMIENTOS!$A$5:$A$1005&lt;&gt;"")*(MOVIMIENTOS!$A$5:$A$1005&lt;=$A879)*MOVIMIENTOS!$E$5:$E$1005)-SUMPRODUCT((MOVIMIENTOS!$B$5:$B$1005="VENTA")*(MOVIMIENTOS!$C$5:$C$1005="M")*(MOVIMIENTOS!$D$5:$D$1005="jabas")*(MOVIMIENTOS!$A$5:$A$1005&lt;&gt;"")*(MOVIMIENTOS!$A$5:$A$1005&lt;=$A879)*MOVIMIENTOS!$E$5:$E$1005)+SUMPRODUCT((MOVIMIENTOS!$B$5:$B$1005="AJUSTE")*(MOVIMIENTOS!$C$5:$C$1005="M")*(MOVIMIENTOS!$D$5:$D$1005="jabas")*(MOVIMIENTOS!$A$5:$A$1005&lt;&gt;"")*(MOVIMIENTOS!$A$5:$A$1005&lt;=$A879)*MOVIMIENTOS!$E$5:$E$1005))</f>
        <v/>
      </c>
      <c r="F879" s="62" t="str">
        <f>IF($A879="","",SUMPRODUCT((MOVIMIENTOS!$B$5:$B$1005="SALDO INICIAL")*(MOVIMIENTOS!$C$5:$C$1005="Chancho")*(MOVIMIENTOS!$D$5:$D$1005="sacos")*(MOVIMIENTOS!$A$5:$A$1005&lt;&gt;"")*(MOVIMIENTOS!$A$5:$A$1005&lt;=$A879)*MOVIMIENTOS!$E$5:$E$1005)+SUMPRODUCT((MOVIMIENTOS!$B$5:$B$1005="PROCESO")*(MOVIMIENTOS!$C$5:$C$1005="Chancho")*(MOVIMIENTOS!$D$5:$D$1005="sacos")*(MOVIMIENTOS!$A$5:$A$1005&lt;&gt;"")*(MOVIMIENTOS!$A$5:$A$1005&lt;=$A879)*MOVIMIENTOS!$E$5:$E$1005)-SUMPRODUCT((MOVIMIENTOS!$B$5:$B$1005="VENTA CHANCHO")*(MOVIMIENTOS!$C$5:$C$1005="Chancho")*(MOVIMIENTOS!$D$5:$D$1005="sacos")*(MOVIMIENTOS!$A$5:$A$1005&lt;&gt;"")*(MOVIMIENTOS!$A$5:$A$1005&lt;=$A879)*MOVIMIENTOS!$E$5:$E$1005)-SUMPRODUCT((MOVIMIENTOS!$B$5:$B$1005="REGALO")*(MOVIMIENTOS!$C$5:$C$1005="Chancho")*(MOVIMIENTOS!$D$5:$D$1005="sacos")*(MOVIMIENTOS!$A$5:$A$1005&lt;&gt;"")*(MOVIMIENTOS!$A$5:$A$1005&lt;=$A879)*MOVIMIENTOS!$E$5:$E$1005)-SUMPRODUCT((MOVIMIENTOS!$B$5:$B$1005="VENTA")*(MOVIMIENTOS!$C$5:$C$1005="Chancho")*(MOVIMIENTOS!$D$5:$D$1005="sacos")*(MOVIMIENTOS!$A$5:$A$1005&lt;&gt;"")*(MOVIMIENTOS!$A$5:$A$1005&lt;=$A879)*MOVIMIENTOS!$E$5:$E$1005)+SUMPRODUCT((MOVIMIENTOS!$B$5:$B$1005="AJUSTE")*(MOVIMIENTOS!$C$5:$C$1005="Chancho")*(MOVIMIENTOS!$D$5:$D$1005="sacos")*(MOVIMIENTOS!$A$5:$A$1005&lt;&gt;"")*(MOVIMIENTOS!$A$5:$A$1005&lt;=$A879)*MOVIMIENTOS!$E$5:$E$1005))</f>
        <v/>
      </c>
      <c r="G879" s="62" t="str">
        <f t="shared" si="27"/>
        <v/>
      </c>
      <c r="H879" t="str">
        <f>IF($A879="","",SUMPRODUCT((((MOVIMIENTOS!$B$5:$B$1005="SALDO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879)*MOVIMIENTOS!$J$5:$J$1005))</f>
        <v/>
      </c>
      <c r="J879" t="str">
        <f>IF(AND(MOVIMIENTOS!$A884&lt;&gt;"",COUNTIF(MOVIMIENTOS!$A$5:$A883,MOVIMIENTOS!$A884)=0),COUNT(J$4:J878)+1,"")</f>
        <v/>
      </c>
      <c r="K879">
        <f>MOVIMIENTOS!$A884</f>
        <v>0</v>
      </c>
    </row>
    <row r="880" spans="1:11" ht="15" customHeight="1" x14ac:dyDescent="0.2">
      <c r="A880" t="str">
        <f t="shared" si="26"/>
        <v/>
      </c>
      <c r="B880" t="str">
        <f>IF($A880="","",SUMPRODUCT((MOVIMIENTOS!$B$5:$B$1005="SALDO INICIAL")*(MOVIMIENTOS!$C$5:$C$1005="A")*(MOVIMIENTOS!$D$5:$D$1005="jabas")*(MOVIMIENTOS!$A$5:$A$1005&lt;&gt;"")*(MOVIMIENTOS!$A$5:$A$1005&lt;=$A880)*MOVIMIENTOS!$E$5:$E$1005)+SUMPRODUCT((MOVIMIENTOS!$B$5:$B$1005="PROCESO")*(MOVIMIENTOS!$C$5:$C$1005="A")*(MOVIMIENTOS!$D$5:$D$1005="jabas")*(MOVIMIENTOS!$A$5:$A$1005&lt;&gt;"")*(MOVIMIENTOS!$A$5:$A$1005&lt;=$A880)*MOVIMIENTOS!$E$5:$E$1005)-SUMPRODUCT((MOVIMIENTOS!$B$5:$B$1005="ENVÍO A SUPESA")*(MOVIMIENTOS!$C$5:$C$1005="A")*(MOVIMIENTOS!$D$5:$D$1005="jabas")*(MOVIMIENTOS!$A$5:$A$1005&lt;&gt;"")*(MOVIMIENTOS!$A$5:$A$1005&lt;=$A880)*MOVIMIENTOS!$E$5:$E$1005)+SUMPRODUCT((MOVIMIENTOS!$B$5:$B$1005="DEVOLUCIÓN")*(MOVIMIENTOS!$C$5:$C$1005="A")*(MOVIMIENTOS!$D$5:$D$1005="jabas")*(MOVIMIENTOS!$A$5:$A$1005&lt;&gt;"")*(MOVIMIENTOS!$A$5:$A$1005&lt;=$A880)*MOVIMIENTOS!$E$5:$E$1005)-SUMPRODUCT((MOVIMIENTOS!$B$5:$B$1005="TRASIEGO")*(MOVIMIENTOS!$C$5:$C$1005="A")*(MOVIMIENTOS!$D$5:$D$1005="jabas")*(MOVIMIENTOS!$A$5:$A$1005&lt;&gt;"")*(MOVIMIENTOS!$A$5:$A$1005&lt;=$A880)*MOVIMIENTOS!$E$5:$E$1005)-SUMPRODUCT((MOVIMIENTOS!$B$5:$B$1005="REGALO")*(MOVIMIENTOS!$C$5:$C$1005="A")*(MOVIMIENTOS!$D$5:$D$1005="jabas")*(MOVIMIENTOS!$A$5:$A$1005&lt;&gt;"")*(MOVIMIENTOS!$A$5:$A$1005&lt;=$A880)*MOVIMIENTOS!$E$5:$E$1005)-SUMPRODUCT((MOVIMIENTOS!$B$5:$B$1005="VENTA")*(MOVIMIENTOS!$C$5:$C$1005="A")*(MOVIMIENTOS!$D$5:$D$1005="jabas")*(MOVIMIENTOS!$A$5:$A$1005&lt;&gt;"")*(MOVIMIENTOS!$A$5:$A$1005&lt;=$A880)*MOVIMIENTOS!$E$5:$E$1005)+SUMPRODUCT((MOVIMIENTOS!$B$5:$B$1005="AJUSTE")*(MOVIMIENTOS!$C$5:$C$1005="A")*(MOVIMIENTOS!$D$5:$D$1005="jabas")*(MOVIMIENTOS!$A$5:$A$1005&lt;&gt;"")*(MOVIMIENTOS!$A$5:$A$1005&lt;=$A880)*MOVIMIENTOS!$E$5:$E$1005))</f>
        <v/>
      </c>
      <c r="C880" t="str">
        <f>IF($A880="","",SUMPRODUCT((MOVIMIENTOS!$B$5:$B$1005="SALDO INICIAL")*(MOVIMIENTOS!$C$5:$C$1005="P")*(MOVIMIENTOS!$D$5:$D$1005="jabas")*(MOVIMIENTOS!$A$5:$A$1005&lt;&gt;"")*(MOVIMIENTOS!$A$5:$A$1005&lt;=$A880)*MOVIMIENTOS!$E$5:$E$1005)+SUMPRODUCT((MOVIMIENTOS!$B$5:$B$1005="PROCESO")*(MOVIMIENTOS!$C$5:$C$1005="P")*(MOVIMIENTOS!$D$5:$D$1005="jabas")*(MOVIMIENTOS!$A$5:$A$1005&lt;&gt;"")*(MOVIMIENTOS!$A$5:$A$1005&lt;=$A880)*MOVIMIENTOS!$E$5:$E$1005)-SUMPRODUCT((MOVIMIENTOS!$B$5:$B$1005="ENVÍO A SUPESA")*(MOVIMIENTOS!$C$5:$C$1005="P")*(MOVIMIENTOS!$D$5:$D$1005="jabas")*(MOVIMIENTOS!$A$5:$A$1005&lt;&gt;"")*(MOVIMIENTOS!$A$5:$A$1005&lt;=$A880)*MOVIMIENTOS!$E$5:$E$1005)+SUMPRODUCT((MOVIMIENTOS!$B$5:$B$1005="DEVOLUCIÓN")*(MOVIMIENTOS!$C$5:$C$1005="P")*(MOVIMIENTOS!$D$5:$D$1005="jabas")*(MOVIMIENTOS!$A$5:$A$1005&lt;&gt;"")*(MOVIMIENTOS!$A$5:$A$1005&lt;=$A880)*MOVIMIENTOS!$E$5:$E$1005)-SUMPRODUCT((MOVIMIENTOS!$B$5:$B$1005="TRASIEGO")*(MOVIMIENTOS!$C$5:$C$1005="P")*(MOVIMIENTOS!$D$5:$D$1005="jabas")*(MOVIMIENTOS!$A$5:$A$1005&lt;&gt;"")*(MOVIMIENTOS!$A$5:$A$1005&lt;=$A880)*MOVIMIENTOS!$E$5:$E$1005)-SUMPRODUCT((MOVIMIENTOS!$B$5:$B$1005="REGALO")*(MOVIMIENTOS!$C$5:$C$1005="P")*(MOVIMIENTOS!$D$5:$D$1005="jabas")*(MOVIMIENTOS!$A$5:$A$1005&lt;&gt;"")*(MOVIMIENTOS!$A$5:$A$1005&lt;=$A880)*MOVIMIENTOS!$E$5:$E$1005)-SUMPRODUCT((MOVIMIENTOS!$B$5:$B$1005="VENTA")*(MOVIMIENTOS!$C$5:$C$1005="P")*(MOVIMIENTOS!$D$5:$D$1005="jabas")*(MOVIMIENTOS!$A$5:$A$1005&lt;&gt;"")*(MOVIMIENTOS!$A$5:$A$1005&lt;=$A880)*MOVIMIENTOS!$E$5:$E$1005)+SUMPRODUCT((MOVIMIENTOS!$B$5:$B$1005="AJUSTE")*(MOVIMIENTOS!$C$5:$C$1005="P")*(MOVIMIENTOS!$D$5:$D$1005="jabas")*(MOVIMIENTOS!$A$5:$A$1005&lt;&gt;"")*(MOVIMIENTOS!$A$5:$A$1005&lt;=$A880)*MOVIMIENTOS!$E$5:$E$1005))</f>
        <v/>
      </c>
      <c r="D880" t="str">
        <f>IF($A880="","",SUMPRODUCT((MOVIMIENTOS!$B$5:$B$1005="SALDO INICIAL")*(MOVIMIENTOS!$C$5:$C$1005="C")*(MOVIMIENTOS!$D$5:$D$1005="jabas")*(MOVIMIENTOS!$A$5:$A$1005&lt;&gt;"")*(MOVIMIENTOS!$A$5:$A$1005&lt;=$A880)*MOVIMIENTOS!$E$5:$E$1005)+SUMPRODUCT((MOVIMIENTOS!$B$5:$B$1005="PROCESO")*(MOVIMIENTOS!$C$5:$C$1005="C")*(MOVIMIENTOS!$D$5:$D$1005="jabas")*(MOVIMIENTOS!$A$5:$A$1005&lt;&gt;"")*(MOVIMIENTOS!$A$5:$A$1005&lt;=$A880)*MOVIMIENTOS!$E$5:$E$1005)-SUMPRODUCT((MOVIMIENTOS!$B$5:$B$1005="ENVÍO A SUPESA")*(MOVIMIENTOS!$C$5:$C$1005="C")*(MOVIMIENTOS!$D$5:$D$1005="jabas")*(MOVIMIENTOS!$A$5:$A$1005&lt;&gt;"")*(MOVIMIENTOS!$A$5:$A$1005&lt;=$A880)*MOVIMIENTOS!$E$5:$E$1005)+SUMPRODUCT((MOVIMIENTOS!$B$5:$B$1005="DEVOLUCIÓN")*(MOVIMIENTOS!$C$5:$C$1005="C")*(MOVIMIENTOS!$D$5:$D$1005="jabas")*(MOVIMIENTOS!$A$5:$A$1005&lt;&gt;"")*(MOVIMIENTOS!$A$5:$A$1005&lt;=$A880)*MOVIMIENTOS!$E$5:$E$1005)-SUMPRODUCT((MOVIMIENTOS!$B$5:$B$1005="TRASIEGO")*(MOVIMIENTOS!$C$5:$C$1005="C")*(MOVIMIENTOS!$D$5:$D$1005="jabas")*(MOVIMIENTOS!$A$5:$A$1005&lt;&gt;"")*(MOVIMIENTOS!$A$5:$A$1005&lt;=$A880)*MOVIMIENTOS!$E$5:$E$1005)-SUMPRODUCT((MOVIMIENTOS!$B$5:$B$1005="REGALO")*(MOVIMIENTOS!$C$5:$C$1005="C")*(MOVIMIENTOS!$D$5:$D$1005="jabas")*(MOVIMIENTOS!$A$5:$A$1005&lt;&gt;"")*(MOVIMIENTOS!$A$5:$A$1005&lt;=$A880)*MOVIMIENTOS!$E$5:$E$1005)-SUMPRODUCT((MOVIMIENTOS!$B$5:$B$1005="VENTA")*(MOVIMIENTOS!$C$5:$C$1005="C")*(MOVIMIENTOS!$D$5:$D$1005="jabas")*(MOVIMIENTOS!$A$5:$A$1005&lt;&gt;"")*(MOVIMIENTOS!$A$5:$A$1005&lt;=$A880)*MOVIMIENTOS!$E$5:$E$1005)+SUMPRODUCT((MOVIMIENTOS!$B$5:$B$1005="AJUSTE")*(MOVIMIENTOS!$C$5:$C$1005="C")*(MOVIMIENTOS!$D$5:$D$1005="jabas")*(MOVIMIENTOS!$A$5:$A$1005&lt;&gt;"")*(MOVIMIENTOS!$A$5:$A$1005&lt;=$A880)*MOVIMIENTOS!$E$5:$E$1005))</f>
        <v/>
      </c>
      <c r="E880" t="str">
        <f>IF($A880="","",SUMPRODUCT((MOVIMIENTOS!$B$5:$B$1005="SALDO INICIAL")*(MOVIMIENTOS!$C$5:$C$1005="M")*(MOVIMIENTOS!$D$5:$D$1005="jabas")*(MOVIMIENTOS!$A$5:$A$1005&lt;&gt;"")*(MOVIMIENTOS!$A$5:$A$1005&lt;=$A880)*MOVIMIENTOS!$E$5:$E$1005)+SUMPRODUCT((MOVIMIENTOS!$B$5:$B$1005="PROCESO")*(MOVIMIENTOS!$C$5:$C$1005="M")*(MOVIMIENTOS!$D$5:$D$1005="jabas")*(MOVIMIENTOS!$A$5:$A$1005&lt;&gt;"")*(MOVIMIENTOS!$A$5:$A$1005&lt;=$A880)*MOVIMIENTOS!$E$5:$E$1005)-SUMPRODUCT((MOVIMIENTOS!$B$5:$B$1005="ENVÍO A SUPESA")*(MOVIMIENTOS!$C$5:$C$1005="M")*(MOVIMIENTOS!$D$5:$D$1005="jabas")*(MOVIMIENTOS!$A$5:$A$1005&lt;&gt;"")*(MOVIMIENTOS!$A$5:$A$1005&lt;=$A880)*MOVIMIENTOS!$E$5:$E$1005)+SUMPRODUCT((MOVIMIENTOS!$B$5:$B$1005="DEVOLUCIÓN")*(MOVIMIENTOS!$C$5:$C$1005="M")*(MOVIMIENTOS!$D$5:$D$1005="jabas")*(MOVIMIENTOS!$A$5:$A$1005&lt;&gt;"")*(MOVIMIENTOS!$A$5:$A$1005&lt;=$A880)*MOVIMIENTOS!$E$5:$E$1005)-SUMPRODUCT((MOVIMIENTOS!$B$5:$B$1005="TRASIEGO")*(MOVIMIENTOS!$C$5:$C$1005="M")*(MOVIMIENTOS!$D$5:$D$1005="jabas")*(MOVIMIENTOS!$A$5:$A$1005&lt;&gt;"")*(MOVIMIENTOS!$A$5:$A$1005&lt;=$A880)*MOVIMIENTOS!$E$5:$E$1005)-SUMPRODUCT((MOVIMIENTOS!$B$5:$B$1005="REGALO")*(MOVIMIENTOS!$C$5:$C$1005="M")*(MOVIMIENTOS!$D$5:$D$1005="jabas")*(MOVIMIENTOS!$A$5:$A$1005&lt;&gt;"")*(MOVIMIENTOS!$A$5:$A$1005&lt;=$A880)*MOVIMIENTOS!$E$5:$E$1005)-SUMPRODUCT((MOVIMIENTOS!$B$5:$B$1005="VENTA")*(MOVIMIENTOS!$C$5:$C$1005="M")*(MOVIMIENTOS!$D$5:$D$1005="jabas")*(MOVIMIENTOS!$A$5:$A$1005&lt;&gt;"")*(MOVIMIENTOS!$A$5:$A$1005&lt;=$A880)*MOVIMIENTOS!$E$5:$E$1005)+SUMPRODUCT((MOVIMIENTOS!$B$5:$B$1005="AJUSTE")*(MOVIMIENTOS!$C$5:$C$1005="M")*(MOVIMIENTOS!$D$5:$D$1005="jabas")*(MOVIMIENTOS!$A$5:$A$1005&lt;&gt;"")*(MOVIMIENTOS!$A$5:$A$1005&lt;=$A880)*MOVIMIENTOS!$E$5:$E$1005))</f>
        <v/>
      </c>
      <c r="F880" s="62" t="str">
        <f>IF($A880="","",SUMPRODUCT((MOVIMIENTOS!$B$5:$B$1005="SALDO INICIAL")*(MOVIMIENTOS!$C$5:$C$1005="Chancho")*(MOVIMIENTOS!$D$5:$D$1005="sacos")*(MOVIMIENTOS!$A$5:$A$1005&lt;&gt;"")*(MOVIMIENTOS!$A$5:$A$1005&lt;=$A880)*MOVIMIENTOS!$E$5:$E$1005)+SUMPRODUCT((MOVIMIENTOS!$B$5:$B$1005="PROCESO")*(MOVIMIENTOS!$C$5:$C$1005="Chancho")*(MOVIMIENTOS!$D$5:$D$1005="sacos")*(MOVIMIENTOS!$A$5:$A$1005&lt;&gt;"")*(MOVIMIENTOS!$A$5:$A$1005&lt;=$A880)*MOVIMIENTOS!$E$5:$E$1005)-SUMPRODUCT((MOVIMIENTOS!$B$5:$B$1005="VENTA CHANCHO")*(MOVIMIENTOS!$C$5:$C$1005="Chancho")*(MOVIMIENTOS!$D$5:$D$1005="sacos")*(MOVIMIENTOS!$A$5:$A$1005&lt;&gt;"")*(MOVIMIENTOS!$A$5:$A$1005&lt;=$A880)*MOVIMIENTOS!$E$5:$E$1005)-SUMPRODUCT((MOVIMIENTOS!$B$5:$B$1005="REGALO")*(MOVIMIENTOS!$C$5:$C$1005="Chancho")*(MOVIMIENTOS!$D$5:$D$1005="sacos")*(MOVIMIENTOS!$A$5:$A$1005&lt;&gt;"")*(MOVIMIENTOS!$A$5:$A$1005&lt;=$A880)*MOVIMIENTOS!$E$5:$E$1005)-SUMPRODUCT((MOVIMIENTOS!$B$5:$B$1005="VENTA")*(MOVIMIENTOS!$C$5:$C$1005="Chancho")*(MOVIMIENTOS!$D$5:$D$1005="sacos")*(MOVIMIENTOS!$A$5:$A$1005&lt;&gt;"")*(MOVIMIENTOS!$A$5:$A$1005&lt;=$A880)*MOVIMIENTOS!$E$5:$E$1005)+SUMPRODUCT((MOVIMIENTOS!$B$5:$B$1005="AJUSTE")*(MOVIMIENTOS!$C$5:$C$1005="Chancho")*(MOVIMIENTOS!$D$5:$D$1005="sacos")*(MOVIMIENTOS!$A$5:$A$1005&lt;&gt;"")*(MOVIMIENTOS!$A$5:$A$1005&lt;=$A880)*MOVIMIENTOS!$E$5:$E$1005))</f>
        <v/>
      </c>
      <c r="G880" s="62" t="str">
        <f t="shared" si="27"/>
        <v/>
      </c>
      <c r="H880" t="str">
        <f>IF($A880="","",SUMPRODUCT((((MOVIMIENTOS!$B$5:$B$1005="SALDO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880)*MOVIMIENTOS!$J$5:$J$1005))</f>
        <v/>
      </c>
      <c r="J880" t="str">
        <f>IF(AND(MOVIMIENTOS!$A885&lt;&gt;"",COUNTIF(MOVIMIENTOS!$A$5:$A884,MOVIMIENTOS!$A885)=0),COUNT(J$4:J879)+1,"")</f>
        <v/>
      </c>
      <c r="K880">
        <f>MOVIMIENTOS!$A885</f>
        <v>0</v>
      </c>
    </row>
    <row r="881" spans="1:11" ht="15" customHeight="1" x14ac:dyDescent="0.2">
      <c r="A881" t="str">
        <f t="shared" si="26"/>
        <v/>
      </c>
      <c r="B881" t="str">
        <f>IF($A881="","",SUMPRODUCT((MOVIMIENTOS!$B$5:$B$1005="SALDO INICIAL")*(MOVIMIENTOS!$C$5:$C$1005="A")*(MOVIMIENTOS!$D$5:$D$1005="jabas")*(MOVIMIENTOS!$A$5:$A$1005&lt;&gt;"")*(MOVIMIENTOS!$A$5:$A$1005&lt;=$A881)*MOVIMIENTOS!$E$5:$E$1005)+SUMPRODUCT((MOVIMIENTOS!$B$5:$B$1005="PROCESO")*(MOVIMIENTOS!$C$5:$C$1005="A")*(MOVIMIENTOS!$D$5:$D$1005="jabas")*(MOVIMIENTOS!$A$5:$A$1005&lt;&gt;"")*(MOVIMIENTOS!$A$5:$A$1005&lt;=$A881)*MOVIMIENTOS!$E$5:$E$1005)-SUMPRODUCT((MOVIMIENTOS!$B$5:$B$1005="ENVÍO A SUPESA")*(MOVIMIENTOS!$C$5:$C$1005="A")*(MOVIMIENTOS!$D$5:$D$1005="jabas")*(MOVIMIENTOS!$A$5:$A$1005&lt;&gt;"")*(MOVIMIENTOS!$A$5:$A$1005&lt;=$A881)*MOVIMIENTOS!$E$5:$E$1005)+SUMPRODUCT((MOVIMIENTOS!$B$5:$B$1005="DEVOLUCIÓN")*(MOVIMIENTOS!$C$5:$C$1005="A")*(MOVIMIENTOS!$D$5:$D$1005="jabas")*(MOVIMIENTOS!$A$5:$A$1005&lt;&gt;"")*(MOVIMIENTOS!$A$5:$A$1005&lt;=$A881)*MOVIMIENTOS!$E$5:$E$1005)-SUMPRODUCT((MOVIMIENTOS!$B$5:$B$1005="TRASIEGO")*(MOVIMIENTOS!$C$5:$C$1005="A")*(MOVIMIENTOS!$D$5:$D$1005="jabas")*(MOVIMIENTOS!$A$5:$A$1005&lt;&gt;"")*(MOVIMIENTOS!$A$5:$A$1005&lt;=$A881)*MOVIMIENTOS!$E$5:$E$1005)-SUMPRODUCT((MOVIMIENTOS!$B$5:$B$1005="REGALO")*(MOVIMIENTOS!$C$5:$C$1005="A")*(MOVIMIENTOS!$D$5:$D$1005="jabas")*(MOVIMIENTOS!$A$5:$A$1005&lt;&gt;"")*(MOVIMIENTOS!$A$5:$A$1005&lt;=$A881)*MOVIMIENTOS!$E$5:$E$1005)-SUMPRODUCT((MOVIMIENTOS!$B$5:$B$1005="VENTA")*(MOVIMIENTOS!$C$5:$C$1005="A")*(MOVIMIENTOS!$D$5:$D$1005="jabas")*(MOVIMIENTOS!$A$5:$A$1005&lt;&gt;"")*(MOVIMIENTOS!$A$5:$A$1005&lt;=$A881)*MOVIMIENTOS!$E$5:$E$1005)+SUMPRODUCT((MOVIMIENTOS!$B$5:$B$1005="AJUSTE")*(MOVIMIENTOS!$C$5:$C$1005="A")*(MOVIMIENTOS!$D$5:$D$1005="jabas")*(MOVIMIENTOS!$A$5:$A$1005&lt;&gt;"")*(MOVIMIENTOS!$A$5:$A$1005&lt;=$A881)*MOVIMIENTOS!$E$5:$E$1005))</f>
        <v/>
      </c>
      <c r="C881" t="str">
        <f>IF($A881="","",SUMPRODUCT((MOVIMIENTOS!$B$5:$B$1005="SALDO INICIAL")*(MOVIMIENTOS!$C$5:$C$1005="P")*(MOVIMIENTOS!$D$5:$D$1005="jabas")*(MOVIMIENTOS!$A$5:$A$1005&lt;&gt;"")*(MOVIMIENTOS!$A$5:$A$1005&lt;=$A881)*MOVIMIENTOS!$E$5:$E$1005)+SUMPRODUCT((MOVIMIENTOS!$B$5:$B$1005="PROCESO")*(MOVIMIENTOS!$C$5:$C$1005="P")*(MOVIMIENTOS!$D$5:$D$1005="jabas")*(MOVIMIENTOS!$A$5:$A$1005&lt;&gt;"")*(MOVIMIENTOS!$A$5:$A$1005&lt;=$A881)*MOVIMIENTOS!$E$5:$E$1005)-SUMPRODUCT((MOVIMIENTOS!$B$5:$B$1005="ENVÍO A SUPESA")*(MOVIMIENTOS!$C$5:$C$1005="P")*(MOVIMIENTOS!$D$5:$D$1005="jabas")*(MOVIMIENTOS!$A$5:$A$1005&lt;&gt;"")*(MOVIMIENTOS!$A$5:$A$1005&lt;=$A881)*MOVIMIENTOS!$E$5:$E$1005)+SUMPRODUCT((MOVIMIENTOS!$B$5:$B$1005="DEVOLUCIÓN")*(MOVIMIENTOS!$C$5:$C$1005="P")*(MOVIMIENTOS!$D$5:$D$1005="jabas")*(MOVIMIENTOS!$A$5:$A$1005&lt;&gt;"")*(MOVIMIENTOS!$A$5:$A$1005&lt;=$A881)*MOVIMIENTOS!$E$5:$E$1005)-SUMPRODUCT((MOVIMIENTOS!$B$5:$B$1005="TRASIEGO")*(MOVIMIENTOS!$C$5:$C$1005="P")*(MOVIMIENTOS!$D$5:$D$1005="jabas")*(MOVIMIENTOS!$A$5:$A$1005&lt;&gt;"")*(MOVIMIENTOS!$A$5:$A$1005&lt;=$A881)*MOVIMIENTOS!$E$5:$E$1005)-SUMPRODUCT((MOVIMIENTOS!$B$5:$B$1005="REGALO")*(MOVIMIENTOS!$C$5:$C$1005="P")*(MOVIMIENTOS!$D$5:$D$1005="jabas")*(MOVIMIENTOS!$A$5:$A$1005&lt;&gt;"")*(MOVIMIENTOS!$A$5:$A$1005&lt;=$A881)*MOVIMIENTOS!$E$5:$E$1005)-SUMPRODUCT((MOVIMIENTOS!$B$5:$B$1005="VENTA")*(MOVIMIENTOS!$C$5:$C$1005="P")*(MOVIMIENTOS!$D$5:$D$1005="jabas")*(MOVIMIENTOS!$A$5:$A$1005&lt;&gt;"")*(MOVIMIENTOS!$A$5:$A$1005&lt;=$A881)*MOVIMIENTOS!$E$5:$E$1005)+SUMPRODUCT((MOVIMIENTOS!$B$5:$B$1005="AJUSTE")*(MOVIMIENTOS!$C$5:$C$1005="P")*(MOVIMIENTOS!$D$5:$D$1005="jabas")*(MOVIMIENTOS!$A$5:$A$1005&lt;&gt;"")*(MOVIMIENTOS!$A$5:$A$1005&lt;=$A881)*MOVIMIENTOS!$E$5:$E$1005))</f>
        <v/>
      </c>
      <c r="D881" t="str">
        <f>IF($A881="","",SUMPRODUCT((MOVIMIENTOS!$B$5:$B$1005="SALDO INICIAL")*(MOVIMIENTOS!$C$5:$C$1005="C")*(MOVIMIENTOS!$D$5:$D$1005="jabas")*(MOVIMIENTOS!$A$5:$A$1005&lt;&gt;"")*(MOVIMIENTOS!$A$5:$A$1005&lt;=$A881)*MOVIMIENTOS!$E$5:$E$1005)+SUMPRODUCT((MOVIMIENTOS!$B$5:$B$1005="PROCESO")*(MOVIMIENTOS!$C$5:$C$1005="C")*(MOVIMIENTOS!$D$5:$D$1005="jabas")*(MOVIMIENTOS!$A$5:$A$1005&lt;&gt;"")*(MOVIMIENTOS!$A$5:$A$1005&lt;=$A881)*MOVIMIENTOS!$E$5:$E$1005)-SUMPRODUCT((MOVIMIENTOS!$B$5:$B$1005="ENVÍO A SUPESA")*(MOVIMIENTOS!$C$5:$C$1005="C")*(MOVIMIENTOS!$D$5:$D$1005="jabas")*(MOVIMIENTOS!$A$5:$A$1005&lt;&gt;"")*(MOVIMIENTOS!$A$5:$A$1005&lt;=$A881)*MOVIMIENTOS!$E$5:$E$1005)+SUMPRODUCT((MOVIMIENTOS!$B$5:$B$1005="DEVOLUCIÓN")*(MOVIMIENTOS!$C$5:$C$1005="C")*(MOVIMIENTOS!$D$5:$D$1005="jabas")*(MOVIMIENTOS!$A$5:$A$1005&lt;&gt;"")*(MOVIMIENTOS!$A$5:$A$1005&lt;=$A881)*MOVIMIENTOS!$E$5:$E$1005)-SUMPRODUCT((MOVIMIENTOS!$B$5:$B$1005="TRASIEGO")*(MOVIMIENTOS!$C$5:$C$1005="C")*(MOVIMIENTOS!$D$5:$D$1005="jabas")*(MOVIMIENTOS!$A$5:$A$1005&lt;&gt;"")*(MOVIMIENTOS!$A$5:$A$1005&lt;=$A881)*MOVIMIENTOS!$E$5:$E$1005)-SUMPRODUCT((MOVIMIENTOS!$B$5:$B$1005="REGALO")*(MOVIMIENTOS!$C$5:$C$1005="C")*(MOVIMIENTOS!$D$5:$D$1005="jabas")*(MOVIMIENTOS!$A$5:$A$1005&lt;&gt;"")*(MOVIMIENTOS!$A$5:$A$1005&lt;=$A881)*MOVIMIENTOS!$E$5:$E$1005)-SUMPRODUCT((MOVIMIENTOS!$B$5:$B$1005="VENTA")*(MOVIMIENTOS!$C$5:$C$1005="C")*(MOVIMIENTOS!$D$5:$D$1005="jabas")*(MOVIMIENTOS!$A$5:$A$1005&lt;&gt;"")*(MOVIMIENTOS!$A$5:$A$1005&lt;=$A881)*MOVIMIENTOS!$E$5:$E$1005)+SUMPRODUCT((MOVIMIENTOS!$B$5:$B$1005="AJUSTE")*(MOVIMIENTOS!$C$5:$C$1005="C")*(MOVIMIENTOS!$D$5:$D$1005="jabas")*(MOVIMIENTOS!$A$5:$A$1005&lt;&gt;"")*(MOVIMIENTOS!$A$5:$A$1005&lt;=$A881)*MOVIMIENTOS!$E$5:$E$1005))</f>
        <v/>
      </c>
      <c r="E881" t="str">
        <f>IF($A881="","",SUMPRODUCT((MOVIMIENTOS!$B$5:$B$1005="SALDO INICIAL")*(MOVIMIENTOS!$C$5:$C$1005="M")*(MOVIMIENTOS!$D$5:$D$1005="jabas")*(MOVIMIENTOS!$A$5:$A$1005&lt;&gt;"")*(MOVIMIENTOS!$A$5:$A$1005&lt;=$A881)*MOVIMIENTOS!$E$5:$E$1005)+SUMPRODUCT((MOVIMIENTOS!$B$5:$B$1005="PROCESO")*(MOVIMIENTOS!$C$5:$C$1005="M")*(MOVIMIENTOS!$D$5:$D$1005="jabas")*(MOVIMIENTOS!$A$5:$A$1005&lt;&gt;"")*(MOVIMIENTOS!$A$5:$A$1005&lt;=$A881)*MOVIMIENTOS!$E$5:$E$1005)-SUMPRODUCT((MOVIMIENTOS!$B$5:$B$1005="ENVÍO A SUPESA")*(MOVIMIENTOS!$C$5:$C$1005="M")*(MOVIMIENTOS!$D$5:$D$1005="jabas")*(MOVIMIENTOS!$A$5:$A$1005&lt;&gt;"")*(MOVIMIENTOS!$A$5:$A$1005&lt;=$A881)*MOVIMIENTOS!$E$5:$E$1005)+SUMPRODUCT((MOVIMIENTOS!$B$5:$B$1005="DEVOLUCIÓN")*(MOVIMIENTOS!$C$5:$C$1005="M")*(MOVIMIENTOS!$D$5:$D$1005="jabas")*(MOVIMIENTOS!$A$5:$A$1005&lt;&gt;"")*(MOVIMIENTOS!$A$5:$A$1005&lt;=$A881)*MOVIMIENTOS!$E$5:$E$1005)-SUMPRODUCT((MOVIMIENTOS!$B$5:$B$1005="TRASIEGO")*(MOVIMIENTOS!$C$5:$C$1005="M")*(MOVIMIENTOS!$D$5:$D$1005="jabas")*(MOVIMIENTOS!$A$5:$A$1005&lt;&gt;"")*(MOVIMIENTOS!$A$5:$A$1005&lt;=$A881)*MOVIMIENTOS!$E$5:$E$1005)-SUMPRODUCT((MOVIMIENTOS!$B$5:$B$1005="REGALO")*(MOVIMIENTOS!$C$5:$C$1005="M")*(MOVIMIENTOS!$D$5:$D$1005="jabas")*(MOVIMIENTOS!$A$5:$A$1005&lt;&gt;"")*(MOVIMIENTOS!$A$5:$A$1005&lt;=$A881)*MOVIMIENTOS!$E$5:$E$1005)-SUMPRODUCT((MOVIMIENTOS!$B$5:$B$1005="VENTA")*(MOVIMIENTOS!$C$5:$C$1005="M")*(MOVIMIENTOS!$D$5:$D$1005="jabas")*(MOVIMIENTOS!$A$5:$A$1005&lt;&gt;"")*(MOVIMIENTOS!$A$5:$A$1005&lt;=$A881)*MOVIMIENTOS!$E$5:$E$1005)+SUMPRODUCT((MOVIMIENTOS!$B$5:$B$1005="AJUSTE")*(MOVIMIENTOS!$C$5:$C$1005="M")*(MOVIMIENTOS!$D$5:$D$1005="jabas")*(MOVIMIENTOS!$A$5:$A$1005&lt;&gt;"")*(MOVIMIENTOS!$A$5:$A$1005&lt;=$A881)*MOVIMIENTOS!$E$5:$E$1005))</f>
        <v/>
      </c>
      <c r="F881" s="62" t="str">
        <f>IF($A881="","",SUMPRODUCT((MOVIMIENTOS!$B$5:$B$1005="SALDO INICIAL")*(MOVIMIENTOS!$C$5:$C$1005="Chancho")*(MOVIMIENTOS!$D$5:$D$1005="sacos")*(MOVIMIENTOS!$A$5:$A$1005&lt;&gt;"")*(MOVIMIENTOS!$A$5:$A$1005&lt;=$A881)*MOVIMIENTOS!$E$5:$E$1005)+SUMPRODUCT((MOVIMIENTOS!$B$5:$B$1005="PROCESO")*(MOVIMIENTOS!$C$5:$C$1005="Chancho")*(MOVIMIENTOS!$D$5:$D$1005="sacos")*(MOVIMIENTOS!$A$5:$A$1005&lt;&gt;"")*(MOVIMIENTOS!$A$5:$A$1005&lt;=$A881)*MOVIMIENTOS!$E$5:$E$1005)-SUMPRODUCT((MOVIMIENTOS!$B$5:$B$1005="VENTA CHANCHO")*(MOVIMIENTOS!$C$5:$C$1005="Chancho")*(MOVIMIENTOS!$D$5:$D$1005="sacos")*(MOVIMIENTOS!$A$5:$A$1005&lt;&gt;"")*(MOVIMIENTOS!$A$5:$A$1005&lt;=$A881)*MOVIMIENTOS!$E$5:$E$1005)-SUMPRODUCT((MOVIMIENTOS!$B$5:$B$1005="REGALO")*(MOVIMIENTOS!$C$5:$C$1005="Chancho")*(MOVIMIENTOS!$D$5:$D$1005="sacos")*(MOVIMIENTOS!$A$5:$A$1005&lt;&gt;"")*(MOVIMIENTOS!$A$5:$A$1005&lt;=$A881)*MOVIMIENTOS!$E$5:$E$1005)-SUMPRODUCT((MOVIMIENTOS!$B$5:$B$1005="VENTA")*(MOVIMIENTOS!$C$5:$C$1005="Chancho")*(MOVIMIENTOS!$D$5:$D$1005="sacos")*(MOVIMIENTOS!$A$5:$A$1005&lt;&gt;"")*(MOVIMIENTOS!$A$5:$A$1005&lt;=$A881)*MOVIMIENTOS!$E$5:$E$1005)+SUMPRODUCT((MOVIMIENTOS!$B$5:$B$1005="AJUSTE")*(MOVIMIENTOS!$C$5:$C$1005="Chancho")*(MOVIMIENTOS!$D$5:$D$1005="sacos")*(MOVIMIENTOS!$A$5:$A$1005&lt;&gt;"")*(MOVIMIENTOS!$A$5:$A$1005&lt;=$A881)*MOVIMIENTOS!$E$5:$E$1005))</f>
        <v/>
      </c>
      <c r="G881" s="62" t="str">
        <f t="shared" si="27"/>
        <v/>
      </c>
      <c r="H881" t="str">
        <f>IF($A881="","",SUMPRODUCT((((MOVIMIENTOS!$B$5:$B$1005="SALDO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881)*MOVIMIENTOS!$J$5:$J$1005))</f>
        <v/>
      </c>
      <c r="J881" t="str">
        <f>IF(AND(MOVIMIENTOS!$A886&lt;&gt;"",COUNTIF(MOVIMIENTOS!$A$5:$A885,MOVIMIENTOS!$A886)=0),COUNT(J$4:J880)+1,"")</f>
        <v/>
      </c>
      <c r="K881">
        <f>MOVIMIENTOS!$A886</f>
        <v>0</v>
      </c>
    </row>
    <row r="882" spans="1:11" ht="15" customHeight="1" x14ac:dyDescent="0.2">
      <c r="A882" t="str">
        <f t="shared" si="26"/>
        <v/>
      </c>
      <c r="B882" t="str">
        <f>IF($A882="","",SUMPRODUCT((MOVIMIENTOS!$B$5:$B$1005="SALDO INICIAL")*(MOVIMIENTOS!$C$5:$C$1005="A")*(MOVIMIENTOS!$D$5:$D$1005="jabas")*(MOVIMIENTOS!$A$5:$A$1005&lt;&gt;"")*(MOVIMIENTOS!$A$5:$A$1005&lt;=$A882)*MOVIMIENTOS!$E$5:$E$1005)+SUMPRODUCT((MOVIMIENTOS!$B$5:$B$1005="PROCESO")*(MOVIMIENTOS!$C$5:$C$1005="A")*(MOVIMIENTOS!$D$5:$D$1005="jabas")*(MOVIMIENTOS!$A$5:$A$1005&lt;&gt;"")*(MOVIMIENTOS!$A$5:$A$1005&lt;=$A882)*MOVIMIENTOS!$E$5:$E$1005)-SUMPRODUCT((MOVIMIENTOS!$B$5:$B$1005="ENVÍO A SUPESA")*(MOVIMIENTOS!$C$5:$C$1005="A")*(MOVIMIENTOS!$D$5:$D$1005="jabas")*(MOVIMIENTOS!$A$5:$A$1005&lt;&gt;"")*(MOVIMIENTOS!$A$5:$A$1005&lt;=$A882)*MOVIMIENTOS!$E$5:$E$1005)+SUMPRODUCT((MOVIMIENTOS!$B$5:$B$1005="DEVOLUCIÓN")*(MOVIMIENTOS!$C$5:$C$1005="A")*(MOVIMIENTOS!$D$5:$D$1005="jabas")*(MOVIMIENTOS!$A$5:$A$1005&lt;&gt;"")*(MOVIMIENTOS!$A$5:$A$1005&lt;=$A882)*MOVIMIENTOS!$E$5:$E$1005)-SUMPRODUCT((MOVIMIENTOS!$B$5:$B$1005="TRASIEGO")*(MOVIMIENTOS!$C$5:$C$1005="A")*(MOVIMIENTOS!$D$5:$D$1005="jabas")*(MOVIMIENTOS!$A$5:$A$1005&lt;&gt;"")*(MOVIMIENTOS!$A$5:$A$1005&lt;=$A882)*MOVIMIENTOS!$E$5:$E$1005)-SUMPRODUCT((MOVIMIENTOS!$B$5:$B$1005="REGALO")*(MOVIMIENTOS!$C$5:$C$1005="A")*(MOVIMIENTOS!$D$5:$D$1005="jabas")*(MOVIMIENTOS!$A$5:$A$1005&lt;&gt;"")*(MOVIMIENTOS!$A$5:$A$1005&lt;=$A882)*MOVIMIENTOS!$E$5:$E$1005)-SUMPRODUCT((MOVIMIENTOS!$B$5:$B$1005="VENTA")*(MOVIMIENTOS!$C$5:$C$1005="A")*(MOVIMIENTOS!$D$5:$D$1005="jabas")*(MOVIMIENTOS!$A$5:$A$1005&lt;&gt;"")*(MOVIMIENTOS!$A$5:$A$1005&lt;=$A882)*MOVIMIENTOS!$E$5:$E$1005)+SUMPRODUCT((MOVIMIENTOS!$B$5:$B$1005="AJUSTE")*(MOVIMIENTOS!$C$5:$C$1005="A")*(MOVIMIENTOS!$D$5:$D$1005="jabas")*(MOVIMIENTOS!$A$5:$A$1005&lt;&gt;"")*(MOVIMIENTOS!$A$5:$A$1005&lt;=$A882)*MOVIMIENTOS!$E$5:$E$1005))</f>
        <v/>
      </c>
      <c r="C882" t="str">
        <f>IF($A882="","",SUMPRODUCT((MOVIMIENTOS!$B$5:$B$1005="SALDO INICIAL")*(MOVIMIENTOS!$C$5:$C$1005="P")*(MOVIMIENTOS!$D$5:$D$1005="jabas")*(MOVIMIENTOS!$A$5:$A$1005&lt;&gt;"")*(MOVIMIENTOS!$A$5:$A$1005&lt;=$A882)*MOVIMIENTOS!$E$5:$E$1005)+SUMPRODUCT((MOVIMIENTOS!$B$5:$B$1005="PROCESO")*(MOVIMIENTOS!$C$5:$C$1005="P")*(MOVIMIENTOS!$D$5:$D$1005="jabas")*(MOVIMIENTOS!$A$5:$A$1005&lt;&gt;"")*(MOVIMIENTOS!$A$5:$A$1005&lt;=$A882)*MOVIMIENTOS!$E$5:$E$1005)-SUMPRODUCT((MOVIMIENTOS!$B$5:$B$1005="ENVÍO A SUPESA")*(MOVIMIENTOS!$C$5:$C$1005="P")*(MOVIMIENTOS!$D$5:$D$1005="jabas")*(MOVIMIENTOS!$A$5:$A$1005&lt;&gt;"")*(MOVIMIENTOS!$A$5:$A$1005&lt;=$A882)*MOVIMIENTOS!$E$5:$E$1005)+SUMPRODUCT((MOVIMIENTOS!$B$5:$B$1005="DEVOLUCIÓN")*(MOVIMIENTOS!$C$5:$C$1005="P")*(MOVIMIENTOS!$D$5:$D$1005="jabas")*(MOVIMIENTOS!$A$5:$A$1005&lt;&gt;"")*(MOVIMIENTOS!$A$5:$A$1005&lt;=$A882)*MOVIMIENTOS!$E$5:$E$1005)-SUMPRODUCT((MOVIMIENTOS!$B$5:$B$1005="TRASIEGO")*(MOVIMIENTOS!$C$5:$C$1005="P")*(MOVIMIENTOS!$D$5:$D$1005="jabas")*(MOVIMIENTOS!$A$5:$A$1005&lt;&gt;"")*(MOVIMIENTOS!$A$5:$A$1005&lt;=$A882)*MOVIMIENTOS!$E$5:$E$1005)-SUMPRODUCT((MOVIMIENTOS!$B$5:$B$1005="REGALO")*(MOVIMIENTOS!$C$5:$C$1005="P")*(MOVIMIENTOS!$D$5:$D$1005="jabas")*(MOVIMIENTOS!$A$5:$A$1005&lt;&gt;"")*(MOVIMIENTOS!$A$5:$A$1005&lt;=$A882)*MOVIMIENTOS!$E$5:$E$1005)-SUMPRODUCT((MOVIMIENTOS!$B$5:$B$1005="VENTA")*(MOVIMIENTOS!$C$5:$C$1005="P")*(MOVIMIENTOS!$D$5:$D$1005="jabas")*(MOVIMIENTOS!$A$5:$A$1005&lt;&gt;"")*(MOVIMIENTOS!$A$5:$A$1005&lt;=$A882)*MOVIMIENTOS!$E$5:$E$1005)+SUMPRODUCT((MOVIMIENTOS!$B$5:$B$1005="AJUSTE")*(MOVIMIENTOS!$C$5:$C$1005="P")*(MOVIMIENTOS!$D$5:$D$1005="jabas")*(MOVIMIENTOS!$A$5:$A$1005&lt;&gt;"")*(MOVIMIENTOS!$A$5:$A$1005&lt;=$A882)*MOVIMIENTOS!$E$5:$E$1005))</f>
        <v/>
      </c>
      <c r="D882" t="str">
        <f>IF($A882="","",SUMPRODUCT((MOVIMIENTOS!$B$5:$B$1005="SALDO INICIAL")*(MOVIMIENTOS!$C$5:$C$1005="C")*(MOVIMIENTOS!$D$5:$D$1005="jabas")*(MOVIMIENTOS!$A$5:$A$1005&lt;&gt;"")*(MOVIMIENTOS!$A$5:$A$1005&lt;=$A882)*MOVIMIENTOS!$E$5:$E$1005)+SUMPRODUCT((MOVIMIENTOS!$B$5:$B$1005="PROCESO")*(MOVIMIENTOS!$C$5:$C$1005="C")*(MOVIMIENTOS!$D$5:$D$1005="jabas")*(MOVIMIENTOS!$A$5:$A$1005&lt;&gt;"")*(MOVIMIENTOS!$A$5:$A$1005&lt;=$A882)*MOVIMIENTOS!$E$5:$E$1005)-SUMPRODUCT((MOVIMIENTOS!$B$5:$B$1005="ENVÍO A SUPESA")*(MOVIMIENTOS!$C$5:$C$1005="C")*(MOVIMIENTOS!$D$5:$D$1005="jabas")*(MOVIMIENTOS!$A$5:$A$1005&lt;&gt;"")*(MOVIMIENTOS!$A$5:$A$1005&lt;=$A882)*MOVIMIENTOS!$E$5:$E$1005)+SUMPRODUCT((MOVIMIENTOS!$B$5:$B$1005="DEVOLUCIÓN")*(MOVIMIENTOS!$C$5:$C$1005="C")*(MOVIMIENTOS!$D$5:$D$1005="jabas")*(MOVIMIENTOS!$A$5:$A$1005&lt;&gt;"")*(MOVIMIENTOS!$A$5:$A$1005&lt;=$A882)*MOVIMIENTOS!$E$5:$E$1005)-SUMPRODUCT((MOVIMIENTOS!$B$5:$B$1005="TRASIEGO")*(MOVIMIENTOS!$C$5:$C$1005="C")*(MOVIMIENTOS!$D$5:$D$1005="jabas")*(MOVIMIENTOS!$A$5:$A$1005&lt;&gt;"")*(MOVIMIENTOS!$A$5:$A$1005&lt;=$A882)*MOVIMIENTOS!$E$5:$E$1005)-SUMPRODUCT((MOVIMIENTOS!$B$5:$B$1005="REGALO")*(MOVIMIENTOS!$C$5:$C$1005="C")*(MOVIMIENTOS!$D$5:$D$1005="jabas")*(MOVIMIENTOS!$A$5:$A$1005&lt;&gt;"")*(MOVIMIENTOS!$A$5:$A$1005&lt;=$A882)*MOVIMIENTOS!$E$5:$E$1005)-SUMPRODUCT((MOVIMIENTOS!$B$5:$B$1005="VENTA")*(MOVIMIENTOS!$C$5:$C$1005="C")*(MOVIMIENTOS!$D$5:$D$1005="jabas")*(MOVIMIENTOS!$A$5:$A$1005&lt;&gt;"")*(MOVIMIENTOS!$A$5:$A$1005&lt;=$A882)*MOVIMIENTOS!$E$5:$E$1005)+SUMPRODUCT((MOVIMIENTOS!$B$5:$B$1005="AJUSTE")*(MOVIMIENTOS!$C$5:$C$1005="C")*(MOVIMIENTOS!$D$5:$D$1005="jabas")*(MOVIMIENTOS!$A$5:$A$1005&lt;&gt;"")*(MOVIMIENTOS!$A$5:$A$1005&lt;=$A882)*MOVIMIENTOS!$E$5:$E$1005))</f>
        <v/>
      </c>
      <c r="E882" t="str">
        <f>IF($A882="","",SUMPRODUCT((MOVIMIENTOS!$B$5:$B$1005="SALDO INICIAL")*(MOVIMIENTOS!$C$5:$C$1005="M")*(MOVIMIENTOS!$D$5:$D$1005="jabas")*(MOVIMIENTOS!$A$5:$A$1005&lt;&gt;"")*(MOVIMIENTOS!$A$5:$A$1005&lt;=$A882)*MOVIMIENTOS!$E$5:$E$1005)+SUMPRODUCT((MOVIMIENTOS!$B$5:$B$1005="PROCESO")*(MOVIMIENTOS!$C$5:$C$1005="M")*(MOVIMIENTOS!$D$5:$D$1005="jabas")*(MOVIMIENTOS!$A$5:$A$1005&lt;&gt;"")*(MOVIMIENTOS!$A$5:$A$1005&lt;=$A882)*MOVIMIENTOS!$E$5:$E$1005)-SUMPRODUCT((MOVIMIENTOS!$B$5:$B$1005="ENVÍO A SUPESA")*(MOVIMIENTOS!$C$5:$C$1005="M")*(MOVIMIENTOS!$D$5:$D$1005="jabas")*(MOVIMIENTOS!$A$5:$A$1005&lt;&gt;"")*(MOVIMIENTOS!$A$5:$A$1005&lt;=$A882)*MOVIMIENTOS!$E$5:$E$1005)+SUMPRODUCT((MOVIMIENTOS!$B$5:$B$1005="DEVOLUCIÓN")*(MOVIMIENTOS!$C$5:$C$1005="M")*(MOVIMIENTOS!$D$5:$D$1005="jabas")*(MOVIMIENTOS!$A$5:$A$1005&lt;&gt;"")*(MOVIMIENTOS!$A$5:$A$1005&lt;=$A882)*MOVIMIENTOS!$E$5:$E$1005)-SUMPRODUCT((MOVIMIENTOS!$B$5:$B$1005="TRASIEGO")*(MOVIMIENTOS!$C$5:$C$1005="M")*(MOVIMIENTOS!$D$5:$D$1005="jabas")*(MOVIMIENTOS!$A$5:$A$1005&lt;&gt;"")*(MOVIMIENTOS!$A$5:$A$1005&lt;=$A882)*MOVIMIENTOS!$E$5:$E$1005)-SUMPRODUCT((MOVIMIENTOS!$B$5:$B$1005="REGALO")*(MOVIMIENTOS!$C$5:$C$1005="M")*(MOVIMIENTOS!$D$5:$D$1005="jabas")*(MOVIMIENTOS!$A$5:$A$1005&lt;&gt;"")*(MOVIMIENTOS!$A$5:$A$1005&lt;=$A882)*MOVIMIENTOS!$E$5:$E$1005)-SUMPRODUCT((MOVIMIENTOS!$B$5:$B$1005="VENTA")*(MOVIMIENTOS!$C$5:$C$1005="M")*(MOVIMIENTOS!$D$5:$D$1005="jabas")*(MOVIMIENTOS!$A$5:$A$1005&lt;&gt;"")*(MOVIMIENTOS!$A$5:$A$1005&lt;=$A882)*MOVIMIENTOS!$E$5:$E$1005)+SUMPRODUCT((MOVIMIENTOS!$B$5:$B$1005="AJUSTE")*(MOVIMIENTOS!$C$5:$C$1005="M")*(MOVIMIENTOS!$D$5:$D$1005="jabas")*(MOVIMIENTOS!$A$5:$A$1005&lt;&gt;"")*(MOVIMIENTOS!$A$5:$A$1005&lt;=$A882)*MOVIMIENTOS!$E$5:$E$1005))</f>
        <v/>
      </c>
      <c r="F882" s="62" t="str">
        <f>IF($A882="","",SUMPRODUCT((MOVIMIENTOS!$B$5:$B$1005="SALDO INICIAL")*(MOVIMIENTOS!$C$5:$C$1005="Chancho")*(MOVIMIENTOS!$D$5:$D$1005="sacos")*(MOVIMIENTOS!$A$5:$A$1005&lt;&gt;"")*(MOVIMIENTOS!$A$5:$A$1005&lt;=$A882)*MOVIMIENTOS!$E$5:$E$1005)+SUMPRODUCT((MOVIMIENTOS!$B$5:$B$1005="PROCESO")*(MOVIMIENTOS!$C$5:$C$1005="Chancho")*(MOVIMIENTOS!$D$5:$D$1005="sacos")*(MOVIMIENTOS!$A$5:$A$1005&lt;&gt;"")*(MOVIMIENTOS!$A$5:$A$1005&lt;=$A882)*MOVIMIENTOS!$E$5:$E$1005)-SUMPRODUCT((MOVIMIENTOS!$B$5:$B$1005="VENTA CHANCHO")*(MOVIMIENTOS!$C$5:$C$1005="Chancho")*(MOVIMIENTOS!$D$5:$D$1005="sacos")*(MOVIMIENTOS!$A$5:$A$1005&lt;&gt;"")*(MOVIMIENTOS!$A$5:$A$1005&lt;=$A882)*MOVIMIENTOS!$E$5:$E$1005)-SUMPRODUCT((MOVIMIENTOS!$B$5:$B$1005="REGALO")*(MOVIMIENTOS!$C$5:$C$1005="Chancho")*(MOVIMIENTOS!$D$5:$D$1005="sacos")*(MOVIMIENTOS!$A$5:$A$1005&lt;&gt;"")*(MOVIMIENTOS!$A$5:$A$1005&lt;=$A882)*MOVIMIENTOS!$E$5:$E$1005)-SUMPRODUCT((MOVIMIENTOS!$B$5:$B$1005="VENTA")*(MOVIMIENTOS!$C$5:$C$1005="Chancho")*(MOVIMIENTOS!$D$5:$D$1005="sacos")*(MOVIMIENTOS!$A$5:$A$1005&lt;&gt;"")*(MOVIMIENTOS!$A$5:$A$1005&lt;=$A882)*MOVIMIENTOS!$E$5:$E$1005)+SUMPRODUCT((MOVIMIENTOS!$B$5:$B$1005="AJUSTE")*(MOVIMIENTOS!$C$5:$C$1005="Chancho")*(MOVIMIENTOS!$D$5:$D$1005="sacos")*(MOVIMIENTOS!$A$5:$A$1005&lt;&gt;"")*(MOVIMIENTOS!$A$5:$A$1005&lt;=$A882)*MOVIMIENTOS!$E$5:$E$1005))</f>
        <v/>
      </c>
      <c r="G882" s="62" t="str">
        <f t="shared" si="27"/>
        <v/>
      </c>
      <c r="H882" t="str">
        <f>IF($A882="","",SUMPRODUCT((((MOVIMIENTOS!$B$5:$B$1005="SALDO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882)*MOVIMIENTOS!$J$5:$J$1005))</f>
        <v/>
      </c>
      <c r="J882" t="str">
        <f>IF(AND(MOVIMIENTOS!$A887&lt;&gt;"",COUNTIF(MOVIMIENTOS!$A$5:$A886,MOVIMIENTOS!$A887)=0),COUNT(J$4:J881)+1,"")</f>
        <v/>
      </c>
      <c r="K882">
        <f>MOVIMIENTOS!$A887</f>
        <v>0</v>
      </c>
    </row>
    <row r="883" spans="1:11" ht="15" customHeight="1" x14ac:dyDescent="0.2">
      <c r="A883" t="str">
        <f t="shared" si="26"/>
        <v/>
      </c>
      <c r="B883" t="str">
        <f>IF($A883="","",SUMPRODUCT((MOVIMIENTOS!$B$5:$B$1005="SALDO INICIAL")*(MOVIMIENTOS!$C$5:$C$1005="A")*(MOVIMIENTOS!$D$5:$D$1005="jabas")*(MOVIMIENTOS!$A$5:$A$1005&lt;&gt;"")*(MOVIMIENTOS!$A$5:$A$1005&lt;=$A883)*MOVIMIENTOS!$E$5:$E$1005)+SUMPRODUCT((MOVIMIENTOS!$B$5:$B$1005="PROCESO")*(MOVIMIENTOS!$C$5:$C$1005="A")*(MOVIMIENTOS!$D$5:$D$1005="jabas")*(MOVIMIENTOS!$A$5:$A$1005&lt;&gt;"")*(MOVIMIENTOS!$A$5:$A$1005&lt;=$A883)*MOVIMIENTOS!$E$5:$E$1005)-SUMPRODUCT((MOVIMIENTOS!$B$5:$B$1005="ENVÍO A SUPESA")*(MOVIMIENTOS!$C$5:$C$1005="A")*(MOVIMIENTOS!$D$5:$D$1005="jabas")*(MOVIMIENTOS!$A$5:$A$1005&lt;&gt;"")*(MOVIMIENTOS!$A$5:$A$1005&lt;=$A883)*MOVIMIENTOS!$E$5:$E$1005)+SUMPRODUCT((MOVIMIENTOS!$B$5:$B$1005="DEVOLUCIÓN")*(MOVIMIENTOS!$C$5:$C$1005="A")*(MOVIMIENTOS!$D$5:$D$1005="jabas")*(MOVIMIENTOS!$A$5:$A$1005&lt;&gt;"")*(MOVIMIENTOS!$A$5:$A$1005&lt;=$A883)*MOVIMIENTOS!$E$5:$E$1005)-SUMPRODUCT((MOVIMIENTOS!$B$5:$B$1005="TRASIEGO")*(MOVIMIENTOS!$C$5:$C$1005="A")*(MOVIMIENTOS!$D$5:$D$1005="jabas")*(MOVIMIENTOS!$A$5:$A$1005&lt;&gt;"")*(MOVIMIENTOS!$A$5:$A$1005&lt;=$A883)*MOVIMIENTOS!$E$5:$E$1005)-SUMPRODUCT((MOVIMIENTOS!$B$5:$B$1005="REGALO")*(MOVIMIENTOS!$C$5:$C$1005="A")*(MOVIMIENTOS!$D$5:$D$1005="jabas")*(MOVIMIENTOS!$A$5:$A$1005&lt;&gt;"")*(MOVIMIENTOS!$A$5:$A$1005&lt;=$A883)*MOVIMIENTOS!$E$5:$E$1005)-SUMPRODUCT((MOVIMIENTOS!$B$5:$B$1005="VENTA")*(MOVIMIENTOS!$C$5:$C$1005="A")*(MOVIMIENTOS!$D$5:$D$1005="jabas")*(MOVIMIENTOS!$A$5:$A$1005&lt;&gt;"")*(MOVIMIENTOS!$A$5:$A$1005&lt;=$A883)*MOVIMIENTOS!$E$5:$E$1005)+SUMPRODUCT((MOVIMIENTOS!$B$5:$B$1005="AJUSTE")*(MOVIMIENTOS!$C$5:$C$1005="A")*(MOVIMIENTOS!$D$5:$D$1005="jabas")*(MOVIMIENTOS!$A$5:$A$1005&lt;&gt;"")*(MOVIMIENTOS!$A$5:$A$1005&lt;=$A883)*MOVIMIENTOS!$E$5:$E$1005))</f>
        <v/>
      </c>
      <c r="C883" t="str">
        <f>IF($A883="","",SUMPRODUCT((MOVIMIENTOS!$B$5:$B$1005="SALDO INICIAL")*(MOVIMIENTOS!$C$5:$C$1005="P")*(MOVIMIENTOS!$D$5:$D$1005="jabas")*(MOVIMIENTOS!$A$5:$A$1005&lt;&gt;"")*(MOVIMIENTOS!$A$5:$A$1005&lt;=$A883)*MOVIMIENTOS!$E$5:$E$1005)+SUMPRODUCT((MOVIMIENTOS!$B$5:$B$1005="PROCESO")*(MOVIMIENTOS!$C$5:$C$1005="P")*(MOVIMIENTOS!$D$5:$D$1005="jabas")*(MOVIMIENTOS!$A$5:$A$1005&lt;&gt;"")*(MOVIMIENTOS!$A$5:$A$1005&lt;=$A883)*MOVIMIENTOS!$E$5:$E$1005)-SUMPRODUCT((MOVIMIENTOS!$B$5:$B$1005="ENVÍO A SUPESA")*(MOVIMIENTOS!$C$5:$C$1005="P")*(MOVIMIENTOS!$D$5:$D$1005="jabas")*(MOVIMIENTOS!$A$5:$A$1005&lt;&gt;"")*(MOVIMIENTOS!$A$5:$A$1005&lt;=$A883)*MOVIMIENTOS!$E$5:$E$1005)+SUMPRODUCT((MOVIMIENTOS!$B$5:$B$1005="DEVOLUCIÓN")*(MOVIMIENTOS!$C$5:$C$1005="P")*(MOVIMIENTOS!$D$5:$D$1005="jabas")*(MOVIMIENTOS!$A$5:$A$1005&lt;&gt;"")*(MOVIMIENTOS!$A$5:$A$1005&lt;=$A883)*MOVIMIENTOS!$E$5:$E$1005)-SUMPRODUCT((MOVIMIENTOS!$B$5:$B$1005="TRASIEGO")*(MOVIMIENTOS!$C$5:$C$1005="P")*(MOVIMIENTOS!$D$5:$D$1005="jabas")*(MOVIMIENTOS!$A$5:$A$1005&lt;&gt;"")*(MOVIMIENTOS!$A$5:$A$1005&lt;=$A883)*MOVIMIENTOS!$E$5:$E$1005)-SUMPRODUCT((MOVIMIENTOS!$B$5:$B$1005="REGALO")*(MOVIMIENTOS!$C$5:$C$1005="P")*(MOVIMIENTOS!$D$5:$D$1005="jabas")*(MOVIMIENTOS!$A$5:$A$1005&lt;&gt;"")*(MOVIMIENTOS!$A$5:$A$1005&lt;=$A883)*MOVIMIENTOS!$E$5:$E$1005)-SUMPRODUCT((MOVIMIENTOS!$B$5:$B$1005="VENTA")*(MOVIMIENTOS!$C$5:$C$1005="P")*(MOVIMIENTOS!$D$5:$D$1005="jabas")*(MOVIMIENTOS!$A$5:$A$1005&lt;&gt;"")*(MOVIMIENTOS!$A$5:$A$1005&lt;=$A883)*MOVIMIENTOS!$E$5:$E$1005)+SUMPRODUCT((MOVIMIENTOS!$B$5:$B$1005="AJUSTE")*(MOVIMIENTOS!$C$5:$C$1005="P")*(MOVIMIENTOS!$D$5:$D$1005="jabas")*(MOVIMIENTOS!$A$5:$A$1005&lt;&gt;"")*(MOVIMIENTOS!$A$5:$A$1005&lt;=$A883)*MOVIMIENTOS!$E$5:$E$1005))</f>
        <v/>
      </c>
      <c r="D883" t="str">
        <f>IF($A883="","",SUMPRODUCT((MOVIMIENTOS!$B$5:$B$1005="SALDO INICIAL")*(MOVIMIENTOS!$C$5:$C$1005="C")*(MOVIMIENTOS!$D$5:$D$1005="jabas")*(MOVIMIENTOS!$A$5:$A$1005&lt;&gt;"")*(MOVIMIENTOS!$A$5:$A$1005&lt;=$A883)*MOVIMIENTOS!$E$5:$E$1005)+SUMPRODUCT((MOVIMIENTOS!$B$5:$B$1005="PROCESO")*(MOVIMIENTOS!$C$5:$C$1005="C")*(MOVIMIENTOS!$D$5:$D$1005="jabas")*(MOVIMIENTOS!$A$5:$A$1005&lt;&gt;"")*(MOVIMIENTOS!$A$5:$A$1005&lt;=$A883)*MOVIMIENTOS!$E$5:$E$1005)-SUMPRODUCT((MOVIMIENTOS!$B$5:$B$1005="ENVÍO A SUPESA")*(MOVIMIENTOS!$C$5:$C$1005="C")*(MOVIMIENTOS!$D$5:$D$1005="jabas")*(MOVIMIENTOS!$A$5:$A$1005&lt;&gt;"")*(MOVIMIENTOS!$A$5:$A$1005&lt;=$A883)*MOVIMIENTOS!$E$5:$E$1005)+SUMPRODUCT((MOVIMIENTOS!$B$5:$B$1005="DEVOLUCIÓN")*(MOVIMIENTOS!$C$5:$C$1005="C")*(MOVIMIENTOS!$D$5:$D$1005="jabas")*(MOVIMIENTOS!$A$5:$A$1005&lt;&gt;"")*(MOVIMIENTOS!$A$5:$A$1005&lt;=$A883)*MOVIMIENTOS!$E$5:$E$1005)-SUMPRODUCT((MOVIMIENTOS!$B$5:$B$1005="TRASIEGO")*(MOVIMIENTOS!$C$5:$C$1005="C")*(MOVIMIENTOS!$D$5:$D$1005="jabas")*(MOVIMIENTOS!$A$5:$A$1005&lt;&gt;"")*(MOVIMIENTOS!$A$5:$A$1005&lt;=$A883)*MOVIMIENTOS!$E$5:$E$1005)-SUMPRODUCT((MOVIMIENTOS!$B$5:$B$1005="REGALO")*(MOVIMIENTOS!$C$5:$C$1005="C")*(MOVIMIENTOS!$D$5:$D$1005="jabas")*(MOVIMIENTOS!$A$5:$A$1005&lt;&gt;"")*(MOVIMIENTOS!$A$5:$A$1005&lt;=$A883)*MOVIMIENTOS!$E$5:$E$1005)-SUMPRODUCT((MOVIMIENTOS!$B$5:$B$1005="VENTA")*(MOVIMIENTOS!$C$5:$C$1005="C")*(MOVIMIENTOS!$D$5:$D$1005="jabas")*(MOVIMIENTOS!$A$5:$A$1005&lt;&gt;"")*(MOVIMIENTOS!$A$5:$A$1005&lt;=$A883)*MOVIMIENTOS!$E$5:$E$1005)+SUMPRODUCT((MOVIMIENTOS!$B$5:$B$1005="AJUSTE")*(MOVIMIENTOS!$C$5:$C$1005="C")*(MOVIMIENTOS!$D$5:$D$1005="jabas")*(MOVIMIENTOS!$A$5:$A$1005&lt;&gt;"")*(MOVIMIENTOS!$A$5:$A$1005&lt;=$A883)*MOVIMIENTOS!$E$5:$E$1005))</f>
        <v/>
      </c>
      <c r="E883" t="str">
        <f>IF($A883="","",SUMPRODUCT((MOVIMIENTOS!$B$5:$B$1005="SALDO INICIAL")*(MOVIMIENTOS!$C$5:$C$1005="M")*(MOVIMIENTOS!$D$5:$D$1005="jabas")*(MOVIMIENTOS!$A$5:$A$1005&lt;&gt;"")*(MOVIMIENTOS!$A$5:$A$1005&lt;=$A883)*MOVIMIENTOS!$E$5:$E$1005)+SUMPRODUCT((MOVIMIENTOS!$B$5:$B$1005="PROCESO")*(MOVIMIENTOS!$C$5:$C$1005="M")*(MOVIMIENTOS!$D$5:$D$1005="jabas")*(MOVIMIENTOS!$A$5:$A$1005&lt;&gt;"")*(MOVIMIENTOS!$A$5:$A$1005&lt;=$A883)*MOVIMIENTOS!$E$5:$E$1005)-SUMPRODUCT((MOVIMIENTOS!$B$5:$B$1005="ENVÍO A SUPESA")*(MOVIMIENTOS!$C$5:$C$1005="M")*(MOVIMIENTOS!$D$5:$D$1005="jabas")*(MOVIMIENTOS!$A$5:$A$1005&lt;&gt;"")*(MOVIMIENTOS!$A$5:$A$1005&lt;=$A883)*MOVIMIENTOS!$E$5:$E$1005)+SUMPRODUCT((MOVIMIENTOS!$B$5:$B$1005="DEVOLUCIÓN")*(MOVIMIENTOS!$C$5:$C$1005="M")*(MOVIMIENTOS!$D$5:$D$1005="jabas")*(MOVIMIENTOS!$A$5:$A$1005&lt;&gt;"")*(MOVIMIENTOS!$A$5:$A$1005&lt;=$A883)*MOVIMIENTOS!$E$5:$E$1005)-SUMPRODUCT((MOVIMIENTOS!$B$5:$B$1005="TRASIEGO")*(MOVIMIENTOS!$C$5:$C$1005="M")*(MOVIMIENTOS!$D$5:$D$1005="jabas")*(MOVIMIENTOS!$A$5:$A$1005&lt;&gt;"")*(MOVIMIENTOS!$A$5:$A$1005&lt;=$A883)*MOVIMIENTOS!$E$5:$E$1005)-SUMPRODUCT((MOVIMIENTOS!$B$5:$B$1005="REGALO")*(MOVIMIENTOS!$C$5:$C$1005="M")*(MOVIMIENTOS!$D$5:$D$1005="jabas")*(MOVIMIENTOS!$A$5:$A$1005&lt;&gt;"")*(MOVIMIENTOS!$A$5:$A$1005&lt;=$A883)*MOVIMIENTOS!$E$5:$E$1005)-SUMPRODUCT((MOVIMIENTOS!$B$5:$B$1005="VENTA")*(MOVIMIENTOS!$C$5:$C$1005="M")*(MOVIMIENTOS!$D$5:$D$1005="jabas")*(MOVIMIENTOS!$A$5:$A$1005&lt;&gt;"")*(MOVIMIENTOS!$A$5:$A$1005&lt;=$A883)*MOVIMIENTOS!$E$5:$E$1005)+SUMPRODUCT((MOVIMIENTOS!$B$5:$B$1005="AJUSTE")*(MOVIMIENTOS!$C$5:$C$1005="M")*(MOVIMIENTOS!$D$5:$D$1005="jabas")*(MOVIMIENTOS!$A$5:$A$1005&lt;&gt;"")*(MOVIMIENTOS!$A$5:$A$1005&lt;=$A883)*MOVIMIENTOS!$E$5:$E$1005))</f>
        <v/>
      </c>
      <c r="F883" s="62" t="str">
        <f>IF($A883="","",SUMPRODUCT((MOVIMIENTOS!$B$5:$B$1005="SALDO INICIAL")*(MOVIMIENTOS!$C$5:$C$1005="Chancho")*(MOVIMIENTOS!$D$5:$D$1005="sacos")*(MOVIMIENTOS!$A$5:$A$1005&lt;&gt;"")*(MOVIMIENTOS!$A$5:$A$1005&lt;=$A883)*MOVIMIENTOS!$E$5:$E$1005)+SUMPRODUCT((MOVIMIENTOS!$B$5:$B$1005="PROCESO")*(MOVIMIENTOS!$C$5:$C$1005="Chancho")*(MOVIMIENTOS!$D$5:$D$1005="sacos")*(MOVIMIENTOS!$A$5:$A$1005&lt;&gt;"")*(MOVIMIENTOS!$A$5:$A$1005&lt;=$A883)*MOVIMIENTOS!$E$5:$E$1005)-SUMPRODUCT((MOVIMIENTOS!$B$5:$B$1005="VENTA CHANCHO")*(MOVIMIENTOS!$C$5:$C$1005="Chancho")*(MOVIMIENTOS!$D$5:$D$1005="sacos")*(MOVIMIENTOS!$A$5:$A$1005&lt;&gt;"")*(MOVIMIENTOS!$A$5:$A$1005&lt;=$A883)*MOVIMIENTOS!$E$5:$E$1005)-SUMPRODUCT((MOVIMIENTOS!$B$5:$B$1005="REGALO")*(MOVIMIENTOS!$C$5:$C$1005="Chancho")*(MOVIMIENTOS!$D$5:$D$1005="sacos")*(MOVIMIENTOS!$A$5:$A$1005&lt;&gt;"")*(MOVIMIENTOS!$A$5:$A$1005&lt;=$A883)*MOVIMIENTOS!$E$5:$E$1005)-SUMPRODUCT((MOVIMIENTOS!$B$5:$B$1005="VENTA")*(MOVIMIENTOS!$C$5:$C$1005="Chancho")*(MOVIMIENTOS!$D$5:$D$1005="sacos")*(MOVIMIENTOS!$A$5:$A$1005&lt;&gt;"")*(MOVIMIENTOS!$A$5:$A$1005&lt;=$A883)*MOVIMIENTOS!$E$5:$E$1005)+SUMPRODUCT((MOVIMIENTOS!$B$5:$B$1005="AJUSTE")*(MOVIMIENTOS!$C$5:$C$1005="Chancho")*(MOVIMIENTOS!$D$5:$D$1005="sacos")*(MOVIMIENTOS!$A$5:$A$1005&lt;&gt;"")*(MOVIMIENTOS!$A$5:$A$1005&lt;=$A883)*MOVIMIENTOS!$E$5:$E$1005))</f>
        <v/>
      </c>
      <c r="G883" s="62" t="str">
        <f t="shared" si="27"/>
        <v/>
      </c>
      <c r="H883" t="str">
        <f>IF($A883="","",SUMPRODUCT((((MOVIMIENTOS!$B$5:$B$1005="SALDO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883)*MOVIMIENTOS!$J$5:$J$1005))</f>
        <v/>
      </c>
      <c r="J883" t="str">
        <f>IF(AND(MOVIMIENTOS!$A888&lt;&gt;"",COUNTIF(MOVIMIENTOS!$A$5:$A887,MOVIMIENTOS!$A888)=0),COUNT(J$4:J882)+1,"")</f>
        <v/>
      </c>
      <c r="K883">
        <f>MOVIMIENTOS!$A888</f>
        <v>0</v>
      </c>
    </row>
    <row r="884" spans="1:11" ht="15" customHeight="1" x14ac:dyDescent="0.2">
      <c r="A884" t="str">
        <f t="shared" si="26"/>
        <v/>
      </c>
      <c r="B884" t="str">
        <f>IF($A884="","",SUMPRODUCT((MOVIMIENTOS!$B$5:$B$1005="SALDO INICIAL")*(MOVIMIENTOS!$C$5:$C$1005="A")*(MOVIMIENTOS!$D$5:$D$1005="jabas")*(MOVIMIENTOS!$A$5:$A$1005&lt;&gt;"")*(MOVIMIENTOS!$A$5:$A$1005&lt;=$A884)*MOVIMIENTOS!$E$5:$E$1005)+SUMPRODUCT((MOVIMIENTOS!$B$5:$B$1005="PROCESO")*(MOVIMIENTOS!$C$5:$C$1005="A")*(MOVIMIENTOS!$D$5:$D$1005="jabas")*(MOVIMIENTOS!$A$5:$A$1005&lt;&gt;"")*(MOVIMIENTOS!$A$5:$A$1005&lt;=$A884)*MOVIMIENTOS!$E$5:$E$1005)-SUMPRODUCT((MOVIMIENTOS!$B$5:$B$1005="ENVÍO A SUPESA")*(MOVIMIENTOS!$C$5:$C$1005="A")*(MOVIMIENTOS!$D$5:$D$1005="jabas")*(MOVIMIENTOS!$A$5:$A$1005&lt;&gt;"")*(MOVIMIENTOS!$A$5:$A$1005&lt;=$A884)*MOVIMIENTOS!$E$5:$E$1005)+SUMPRODUCT((MOVIMIENTOS!$B$5:$B$1005="DEVOLUCIÓN")*(MOVIMIENTOS!$C$5:$C$1005="A")*(MOVIMIENTOS!$D$5:$D$1005="jabas")*(MOVIMIENTOS!$A$5:$A$1005&lt;&gt;"")*(MOVIMIENTOS!$A$5:$A$1005&lt;=$A884)*MOVIMIENTOS!$E$5:$E$1005)-SUMPRODUCT((MOVIMIENTOS!$B$5:$B$1005="TRASIEGO")*(MOVIMIENTOS!$C$5:$C$1005="A")*(MOVIMIENTOS!$D$5:$D$1005="jabas")*(MOVIMIENTOS!$A$5:$A$1005&lt;&gt;"")*(MOVIMIENTOS!$A$5:$A$1005&lt;=$A884)*MOVIMIENTOS!$E$5:$E$1005)-SUMPRODUCT((MOVIMIENTOS!$B$5:$B$1005="REGALO")*(MOVIMIENTOS!$C$5:$C$1005="A")*(MOVIMIENTOS!$D$5:$D$1005="jabas")*(MOVIMIENTOS!$A$5:$A$1005&lt;&gt;"")*(MOVIMIENTOS!$A$5:$A$1005&lt;=$A884)*MOVIMIENTOS!$E$5:$E$1005)-SUMPRODUCT((MOVIMIENTOS!$B$5:$B$1005="VENTA")*(MOVIMIENTOS!$C$5:$C$1005="A")*(MOVIMIENTOS!$D$5:$D$1005="jabas")*(MOVIMIENTOS!$A$5:$A$1005&lt;&gt;"")*(MOVIMIENTOS!$A$5:$A$1005&lt;=$A884)*MOVIMIENTOS!$E$5:$E$1005)+SUMPRODUCT((MOVIMIENTOS!$B$5:$B$1005="AJUSTE")*(MOVIMIENTOS!$C$5:$C$1005="A")*(MOVIMIENTOS!$D$5:$D$1005="jabas")*(MOVIMIENTOS!$A$5:$A$1005&lt;&gt;"")*(MOVIMIENTOS!$A$5:$A$1005&lt;=$A884)*MOVIMIENTOS!$E$5:$E$1005))</f>
        <v/>
      </c>
      <c r="C884" t="str">
        <f>IF($A884="","",SUMPRODUCT((MOVIMIENTOS!$B$5:$B$1005="SALDO INICIAL")*(MOVIMIENTOS!$C$5:$C$1005="P")*(MOVIMIENTOS!$D$5:$D$1005="jabas")*(MOVIMIENTOS!$A$5:$A$1005&lt;&gt;"")*(MOVIMIENTOS!$A$5:$A$1005&lt;=$A884)*MOVIMIENTOS!$E$5:$E$1005)+SUMPRODUCT((MOVIMIENTOS!$B$5:$B$1005="PROCESO")*(MOVIMIENTOS!$C$5:$C$1005="P")*(MOVIMIENTOS!$D$5:$D$1005="jabas")*(MOVIMIENTOS!$A$5:$A$1005&lt;&gt;"")*(MOVIMIENTOS!$A$5:$A$1005&lt;=$A884)*MOVIMIENTOS!$E$5:$E$1005)-SUMPRODUCT((MOVIMIENTOS!$B$5:$B$1005="ENVÍO A SUPESA")*(MOVIMIENTOS!$C$5:$C$1005="P")*(MOVIMIENTOS!$D$5:$D$1005="jabas")*(MOVIMIENTOS!$A$5:$A$1005&lt;&gt;"")*(MOVIMIENTOS!$A$5:$A$1005&lt;=$A884)*MOVIMIENTOS!$E$5:$E$1005)+SUMPRODUCT((MOVIMIENTOS!$B$5:$B$1005="DEVOLUCIÓN")*(MOVIMIENTOS!$C$5:$C$1005="P")*(MOVIMIENTOS!$D$5:$D$1005="jabas")*(MOVIMIENTOS!$A$5:$A$1005&lt;&gt;"")*(MOVIMIENTOS!$A$5:$A$1005&lt;=$A884)*MOVIMIENTOS!$E$5:$E$1005)-SUMPRODUCT((MOVIMIENTOS!$B$5:$B$1005="TRASIEGO")*(MOVIMIENTOS!$C$5:$C$1005="P")*(MOVIMIENTOS!$D$5:$D$1005="jabas")*(MOVIMIENTOS!$A$5:$A$1005&lt;&gt;"")*(MOVIMIENTOS!$A$5:$A$1005&lt;=$A884)*MOVIMIENTOS!$E$5:$E$1005)-SUMPRODUCT((MOVIMIENTOS!$B$5:$B$1005="REGALO")*(MOVIMIENTOS!$C$5:$C$1005="P")*(MOVIMIENTOS!$D$5:$D$1005="jabas")*(MOVIMIENTOS!$A$5:$A$1005&lt;&gt;"")*(MOVIMIENTOS!$A$5:$A$1005&lt;=$A884)*MOVIMIENTOS!$E$5:$E$1005)-SUMPRODUCT((MOVIMIENTOS!$B$5:$B$1005="VENTA")*(MOVIMIENTOS!$C$5:$C$1005="P")*(MOVIMIENTOS!$D$5:$D$1005="jabas")*(MOVIMIENTOS!$A$5:$A$1005&lt;&gt;"")*(MOVIMIENTOS!$A$5:$A$1005&lt;=$A884)*MOVIMIENTOS!$E$5:$E$1005)+SUMPRODUCT((MOVIMIENTOS!$B$5:$B$1005="AJUSTE")*(MOVIMIENTOS!$C$5:$C$1005="P")*(MOVIMIENTOS!$D$5:$D$1005="jabas")*(MOVIMIENTOS!$A$5:$A$1005&lt;&gt;"")*(MOVIMIENTOS!$A$5:$A$1005&lt;=$A884)*MOVIMIENTOS!$E$5:$E$1005))</f>
        <v/>
      </c>
      <c r="D884" t="str">
        <f>IF($A884="","",SUMPRODUCT((MOVIMIENTOS!$B$5:$B$1005="SALDO INICIAL")*(MOVIMIENTOS!$C$5:$C$1005="C")*(MOVIMIENTOS!$D$5:$D$1005="jabas")*(MOVIMIENTOS!$A$5:$A$1005&lt;&gt;"")*(MOVIMIENTOS!$A$5:$A$1005&lt;=$A884)*MOVIMIENTOS!$E$5:$E$1005)+SUMPRODUCT((MOVIMIENTOS!$B$5:$B$1005="PROCESO")*(MOVIMIENTOS!$C$5:$C$1005="C")*(MOVIMIENTOS!$D$5:$D$1005="jabas")*(MOVIMIENTOS!$A$5:$A$1005&lt;&gt;"")*(MOVIMIENTOS!$A$5:$A$1005&lt;=$A884)*MOVIMIENTOS!$E$5:$E$1005)-SUMPRODUCT((MOVIMIENTOS!$B$5:$B$1005="ENVÍO A SUPESA")*(MOVIMIENTOS!$C$5:$C$1005="C")*(MOVIMIENTOS!$D$5:$D$1005="jabas")*(MOVIMIENTOS!$A$5:$A$1005&lt;&gt;"")*(MOVIMIENTOS!$A$5:$A$1005&lt;=$A884)*MOVIMIENTOS!$E$5:$E$1005)+SUMPRODUCT((MOVIMIENTOS!$B$5:$B$1005="DEVOLUCIÓN")*(MOVIMIENTOS!$C$5:$C$1005="C")*(MOVIMIENTOS!$D$5:$D$1005="jabas")*(MOVIMIENTOS!$A$5:$A$1005&lt;&gt;"")*(MOVIMIENTOS!$A$5:$A$1005&lt;=$A884)*MOVIMIENTOS!$E$5:$E$1005)-SUMPRODUCT((MOVIMIENTOS!$B$5:$B$1005="TRASIEGO")*(MOVIMIENTOS!$C$5:$C$1005="C")*(MOVIMIENTOS!$D$5:$D$1005="jabas")*(MOVIMIENTOS!$A$5:$A$1005&lt;&gt;"")*(MOVIMIENTOS!$A$5:$A$1005&lt;=$A884)*MOVIMIENTOS!$E$5:$E$1005)-SUMPRODUCT((MOVIMIENTOS!$B$5:$B$1005="REGALO")*(MOVIMIENTOS!$C$5:$C$1005="C")*(MOVIMIENTOS!$D$5:$D$1005="jabas")*(MOVIMIENTOS!$A$5:$A$1005&lt;&gt;"")*(MOVIMIENTOS!$A$5:$A$1005&lt;=$A884)*MOVIMIENTOS!$E$5:$E$1005)-SUMPRODUCT((MOVIMIENTOS!$B$5:$B$1005="VENTA")*(MOVIMIENTOS!$C$5:$C$1005="C")*(MOVIMIENTOS!$D$5:$D$1005="jabas")*(MOVIMIENTOS!$A$5:$A$1005&lt;&gt;"")*(MOVIMIENTOS!$A$5:$A$1005&lt;=$A884)*MOVIMIENTOS!$E$5:$E$1005)+SUMPRODUCT((MOVIMIENTOS!$B$5:$B$1005="AJUSTE")*(MOVIMIENTOS!$C$5:$C$1005="C")*(MOVIMIENTOS!$D$5:$D$1005="jabas")*(MOVIMIENTOS!$A$5:$A$1005&lt;&gt;"")*(MOVIMIENTOS!$A$5:$A$1005&lt;=$A884)*MOVIMIENTOS!$E$5:$E$1005))</f>
        <v/>
      </c>
      <c r="E884" t="str">
        <f>IF($A884="","",SUMPRODUCT((MOVIMIENTOS!$B$5:$B$1005="SALDO INICIAL")*(MOVIMIENTOS!$C$5:$C$1005="M")*(MOVIMIENTOS!$D$5:$D$1005="jabas")*(MOVIMIENTOS!$A$5:$A$1005&lt;&gt;"")*(MOVIMIENTOS!$A$5:$A$1005&lt;=$A884)*MOVIMIENTOS!$E$5:$E$1005)+SUMPRODUCT((MOVIMIENTOS!$B$5:$B$1005="PROCESO")*(MOVIMIENTOS!$C$5:$C$1005="M")*(MOVIMIENTOS!$D$5:$D$1005="jabas")*(MOVIMIENTOS!$A$5:$A$1005&lt;&gt;"")*(MOVIMIENTOS!$A$5:$A$1005&lt;=$A884)*MOVIMIENTOS!$E$5:$E$1005)-SUMPRODUCT((MOVIMIENTOS!$B$5:$B$1005="ENVÍO A SUPESA")*(MOVIMIENTOS!$C$5:$C$1005="M")*(MOVIMIENTOS!$D$5:$D$1005="jabas")*(MOVIMIENTOS!$A$5:$A$1005&lt;&gt;"")*(MOVIMIENTOS!$A$5:$A$1005&lt;=$A884)*MOVIMIENTOS!$E$5:$E$1005)+SUMPRODUCT((MOVIMIENTOS!$B$5:$B$1005="DEVOLUCIÓN")*(MOVIMIENTOS!$C$5:$C$1005="M")*(MOVIMIENTOS!$D$5:$D$1005="jabas")*(MOVIMIENTOS!$A$5:$A$1005&lt;&gt;"")*(MOVIMIENTOS!$A$5:$A$1005&lt;=$A884)*MOVIMIENTOS!$E$5:$E$1005)-SUMPRODUCT((MOVIMIENTOS!$B$5:$B$1005="TRASIEGO")*(MOVIMIENTOS!$C$5:$C$1005="M")*(MOVIMIENTOS!$D$5:$D$1005="jabas")*(MOVIMIENTOS!$A$5:$A$1005&lt;&gt;"")*(MOVIMIENTOS!$A$5:$A$1005&lt;=$A884)*MOVIMIENTOS!$E$5:$E$1005)-SUMPRODUCT((MOVIMIENTOS!$B$5:$B$1005="REGALO")*(MOVIMIENTOS!$C$5:$C$1005="M")*(MOVIMIENTOS!$D$5:$D$1005="jabas")*(MOVIMIENTOS!$A$5:$A$1005&lt;&gt;"")*(MOVIMIENTOS!$A$5:$A$1005&lt;=$A884)*MOVIMIENTOS!$E$5:$E$1005)-SUMPRODUCT((MOVIMIENTOS!$B$5:$B$1005="VENTA")*(MOVIMIENTOS!$C$5:$C$1005="M")*(MOVIMIENTOS!$D$5:$D$1005="jabas")*(MOVIMIENTOS!$A$5:$A$1005&lt;&gt;"")*(MOVIMIENTOS!$A$5:$A$1005&lt;=$A884)*MOVIMIENTOS!$E$5:$E$1005)+SUMPRODUCT((MOVIMIENTOS!$B$5:$B$1005="AJUSTE")*(MOVIMIENTOS!$C$5:$C$1005="M")*(MOVIMIENTOS!$D$5:$D$1005="jabas")*(MOVIMIENTOS!$A$5:$A$1005&lt;&gt;"")*(MOVIMIENTOS!$A$5:$A$1005&lt;=$A884)*MOVIMIENTOS!$E$5:$E$1005))</f>
        <v/>
      </c>
      <c r="F884" s="62" t="str">
        <f>IF($A884="","",SUMPRODUCT((MOVIMIENTOS!$B$5:$B$1005="SALDO INICIAL")*(MOVIMIENTOS!$C$5:$C$1005="Chancho")*(MOVIMIENTOS!$D$5:$D$1005="sacos")*(MOVIMIENTOS!$A$5:$A$1005&lt;&gt;"")*(MOVIMIENTOS!$A$5:$A$1005&lt;=$A884)*MOVIMIENTOS!$E$5:$E$1005)+SUMPRODUCT((MOVIMIENTOS!$B$5:$B$1005="PROCESO")*(MOVIMIENTOS!$C$5:$C$1005="Chancho")*(MOVIMIENTOS!$D$5:$D$1005="sacos")*(MOVIMIENTOS!$A$5:$A$1005&lt;&gt;"")*(MOVIMIENTOS!$A$5:$A$1005&lt;=$A884)*MOVIMIENTOS!$E$5:$E$1005)-SUMPRODUCT((MOVIMIENTOS!$B$5:$B$1005="VENTA CHANCHO")*(MOVIMIENTOS!$C$5:$C$1005="Chancho")*(MOVIMIENTOS!$D$5:$D$1005="sacos")*(MOVIMIENTOS!$A$5:$A$1005&lt;&gt;"")*(MOVIMIENTOS!$A$5:$A$1005&lt;=$A884)*MOVIMIENTOS!$E$5:$E$1005)-SUMPRODUCT((MOVIMIENTOS!$B$5:$B$1005="REGALO")*(MOVIMIENTOS!$C$5:$C$1005="Chancho")*(MOVIMIENTOS!$D$5:$D$1005="sacos")*(MOVIMIENTOS!$A$5:$A$1005&lt;&gt;"")*(MOVIMIENTOS!$A$5:$A$1005&lt;=$A884)*MOVIMIENTOS!$E$5:$E$1005)-SUMPRODUCT((MOVIMIENTOS!$B$5:$B$1005="VENTA")*(MOVIMIENTOS!$C$5:$C$1005="Chancho")*(MOVIMIENTOS!$D$5:$D$1005="sacos")*(MOVIMIENTOS!$A$5:$A$1005&lt;&gt;"")*(MOVIMIENTOS!$A$5:$A$1005&lt;=$A884)*MOVIMIENTOS!$E$5:$E$1005)+SUMPRODUCT((MOVIMIENTOS!$B$5:$B$1005="AJUSTE")*(MOVIMIENTOS!$C$5:$C$1005="Chancho")*(MOVIMIENTOS!$D$5:$D$1005="sacos")*(MOVIMIENTOS!$A$5:$A$1005&lt;&gt;"")*(MOVIMIENTOS!$A$5:$A$1005&lt;=$A884)*MOVIMIENTOS!$E$5:$E$1005))</f>
        <v/>
      </c>
      <c r="G884" s="62" t="str">
        <f t="shared" si="27"/>
        <v/>
      </c>
      <c r="H884" t="str">
        <f>IF($A884="","",SUMPRODUCT((((MOVIMIENTOS!$B$5:$B$1005="SALDO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884)*MOVIMIENTOS!$J$5:$J$1005))</f>
        <v/>
      </c>
      <c r="J884" t="str">
        <f>IF(AND(MOVIMIENTOS!$A889&lt;&gt;"",COUNTIF(MOVIMIENTOS!$A$5:$A888,MOVIMIENTOS!$A889)=0),COUNT(J$4:J883)+1,"")</f>
        <v/>
      </c>
      <c r="K884">
        <f>MOVIMIENTOS!$A889</f>
        <v>0</v>
      </c>
    </row>
    <row r="885" spans="1:11" ht="15" customHeight="1" x14ac:dyDescent="0.2">
      <c r="A885" t="str">
        <f t="shared" si="26"/>
        <v/>
      </c>
      <c r="B885" t="str">
        <f>IF($A885="","",SUMPRODUCT((MOVIMIENTOS!$B$5:$B$1005="SALDO INICIAL")*(MOVIMIENTOS!$C$5:$C$1005="A")*(MOVIMIENTOS!$D$5:$D$1005="jabas")*(MOVIMIENTOS!$A$5:$A$1005&lt;&gt;"")*(MOVIMIENTOS!$A$5:$A$1005&lt;=$A885)*MOVIMIENTOS!$E$5:$E$1005)+SUMPRODUCT((MOVIMIENTOS!$B$5:$B$1005="PROCESO")*(MOVIMIENTOS!$C$5:$C$1005="A")*(MOVIMIENTOS!$D$5:$D$1005="jabas")*(MOVIMIENTOS!$A$5:$A$1005&lt;&gt;"")*(MOVIMIENTOS!$A$5:$A$1005&lt;=$A885)*MOVIMIENTOS!$E$5:$E$1005)-SUMPRODUCT((MOVIMIENTOS!$B$5:$B$1005="ENVÍO A SUPESA")*(MOVIMIENTOS!$C$5:$C$1005="A")*(MOVIMIENTOS!$D$5:$D$1005="jabas")*(MOVIMIENTOS!$A$5:$A$1005&lt;&gt;"")*(MOVIMIENTOS!$A$5:$A$1005&lt;=$A885)*MOVIMIENTOS!$E$5:$E$1005)+SUMPRODUCT((MOVIMIENTOS!$B$5:$B$1005="DEVOLUCIÓN")*(MOVIMIENTOS!$C$5:$C$1005="A")*(MOVIMIENTOS!$D$5:$D$1005="jabas")*(MOVIMIENTOS!$A$5:$A$1005&lt;&gt;"")*(MOVIMIENTOS!$A$5:$A$1005&lt;=$A885)*MOVIMIENTOS!$E$5:$E$1005)-SUMPRODUCT((MOVIMIENTOS!$B$5:$B$1005="TRASIEGO")*(MOVIMIENTOS!$C$5:$C$1005="A")*(MOVIMIENTOS!$D$5:$D$1005="jabas")*(MOVIMIENTOS!$A$5:$A$1005&lt;&gt;"")*(MOVIMIENTOS!$A$5:$A$1005&lt;=$A885)*MOVIMIENTOS!$E$5:$E$1005)-SUMPRODUCT((MOVIMIENTOS!$B$5:$B$1005="REGALO")*(MOVIMIENTOS!$C$5:$C$1005="A")*(MOVIMIENTOS!$D$5:$D$1005="jabas")*(MOVIMIENTOS!$A$5:$A$1005&lt;&gt;"")*(MOVIMIENTOS!$A$5:$A$1005&lt;=$A885)*MOVIMIENTOS!$E$5:$E$1005)-SUMPRODUCT((MOVIMIENTOS!$B$5:$B$1005="VENTA")*(MOVIMIENTOS!$C$5:$C$1005="A")*(MOVIMIENTOS!$D$5:$D$1005="jabas")*(MOVIMIENTOS!$A$5:$A$1005&lt;&gt;"")*(MOVIMIENTOS!$A$5:$A$1005&lt;=$A885)*MOVIMIENTOS!$E$5:$E$1005)+SUMPRODUCT((MOVIMIENTOS!$B$5:$B$1005="AJUSTE")*(MOVIMIENTOS!$C$5:$C$1005="A")*(MOVIMIENTOS!$D$5:$D$1005="jabas")*(MOVIMIENTOS!$A$5:$A$1005&lt;&gt;"")*(MOVIMIENTOS!$A$5:$A$1005&lt;=$A885)*MOVIMIENTOS!$E$5:$E$1005))</f>
        <v/>
      </c>
      <c r="C885" t="str">
        <f>IF($A885="","",SUMPRODUCT((MOVIMIENTOS!$B$5:$B$1005="SALDO INICIAL")*(MOVIMIENTOS!$C$5:$C$1005="P")*(MOVIMIENTOS!$D$5:$D$1005="jabas")*(MOVIMIENTOS!$A$5:$A$1005&lt;&gt;"")*(MOVIMIENTOS!$A$5:$A$1005&lt;=$A885)*MOVIMIENTOS!$E$5:$E$1005)+SUMPRODUCT((MOVIMIENTOS!$B$5:$B$1005="PROCESO")*(MOVIMIENTOS!$C$5:$C$1005="P")*(MOVIMIENTOS!$D$5:$D$1005="jabas")*(MOVIMIENTOS!$A$5:$A$1005&lt;&gt;"")*(MOVIMIENTOS!$A$5:$A$1005&lt;=$A885)*MOVIMIENTOS!$E$5:$E$1005)-SUMPRODUCT((MOVIMIENTOS!$B$5:$B$1005="ENVÍO A SUPESA")*(MOVIMIENTOS!$C$5:$C$1005="P")*(MOVIMIENTOS!$D$5:$D$1005="jabas")*(MOVIMIENTOS!$A$5:$A$1005&lt;&gt;"")*(MOVIMIENTOS!$A$5:$A$1005&lt;=$A885)*MOVIMIENTOS!$E$5:$E$1005)+SUMPRODUCT((MOVIMIENTOS!$B$5:$B$1005="DEVOLUCIÓN")*(MOVIMIENTOS!$C$5:$C$1005="P")*(MOVIMIENTOS!$D$5:$D$1005="jabas")*(MOVIMIENTOS!$A$5:$A$1005&lt;&gt;"")*(MOVIMIENTOS!$A$5:$A$1005&lt;=$A885)*MOVIMIENTOS!$E$5:$E$1005)-SUMPRODUCT((MOVIMIENTOS!$B$5:$B$1005="TRASIEGO")*(MOVIMIENTOS!$C$5:$C$1005="P")*(MOVIMIENTOS!$D$5:$D$1005="jabas")*(MOVIMIENTOS!$A$5:$A$1005&lt;&gt;"")*(MOVIMIENTOS!$A$5:$A$1005&lt;=$A885)*MOVIMIENTOS!$E$5:$E$1005)-SUMPRODUCT((MOVIMIENTOS!$B$5:$B$1005="REGALO")*(MOVIMIENTOS!$C$5:$C$1005="P")*(MOVIMIENTOS!$D$5:$D$1005="jabas")*(MOVIMIENTOS!$A$5:$A$1005&lt;&gt;"")*(MOVIMIENTOS!$A$5:$A$1005&lt;=$A885)*MOVIMIENTOS!$E$5:$E$1005)-SUMPRODUCT((MOVIMIENTOS!$B$5:$B$1005="VENTA")*(MOVIMIENTOS!$C$5:$C$1005="P")*(MOVIMIENTOS!$D$5:$D$1005="jabas")*(MOVIMIENTOS!$A$5:$A$1005&lt;&gt;"")*(MOVIMIENTOS!$A$5:$A$1005&lt;=$A885)*MOVIMIENTOS!$E$5:$E$1005)+SUMPRODUCT((MOVIMIENTOS!$B$5:$B$1005="AJUSTE")*(MOVIMIENTOS!$C$5:$C$1005="P")*(MOVIMIENTOS!$D$5:$D$1005="jabas")*(MOVIMIENTOS!$A$5:$A$1005&lt;&gt;"")*(MOVIMIENTOS!$A$5:$A$1005&lt;=$A885)*MOVIMIENTOS!$E$5:$E$1005))</f>
        <v/>
      </c>
      <c r="D885" t="str">
        <f>IF($A885="","",SUMPRODUCT((MOVIMIENTOS!$B$5:$B$1005="SALDO INICIAL")*(MOVIMIENTOS!$C$5:$C$1005="C")*(MOVIMIENTOS!$D$5:$D$1005="jabas")*(MOVIMIENTOS!$A$5:$A$1005&lt;&gt;"")*(MOVIMIENTOS!$A$5:$A$1005&lt;=$A885)*MOVIMIENTOS!$E$5:$E$1005)+SUMPRODUCT((MOVIMIENTOS!$B$5:$B$1005="PROCESO")*(MOVIMIENTOS!$C$5:$C$1005="C")*(MOVIMIENTOS!$D$5:$D$1005="jabas")*(MOVIMIENTOS!$A$5:$A$1005&lt;&gt;"")*(MOVIMIENTOS!$A$5:$A$1005&lt;=$A885)*MOVIMIENTOS!$E$5:$E$1005)-SUMPRODUCT((MOVIMIENTOS!$B$5:$B$1005="ENVÍO A SUPESA")*(MOVIMIENTOS!$C$5:$C$1005="C")*(MOVIMIENTOS!$D$5:$D$1005="jabas")*(MOVIMIENTOS!$A$5:$A$1005&lt;&gt;"")*(MOVIMIENTOS!$A$5:$A$1005&lt;=$A885)*MOVIMIENTOS!$E$5:$E$1005)+SUMPRODUCT((MOVIMIENTOS!$B$5:$B$1005="DEVOLUCIÓN")*(MOVIMIENTOS!$C$5:$C$1005="C")*(MOVIMIENTOS!$D$5:$D$1005="jabas")*(MOVIMIENTOS!$A$5:$A$1005&lt;&gt;"")*(MOVIMIENTOS!$A$5:$A$1005&lt;=$A885)*MOVIMIENTOS!$E$5:$E$1005)-SUMPRODUCT((MOVIMIENTOS!$B$5:$B$1005="TRASIEGO")*(MOVIMIENTOS!$C$5:$C$1005="C")*(MOVIMIENTOS!$D$5:$D$1005="jabas")*(MOVIMIENTOS!$A$5:$A$1005&lt;&gt;"")*(MOVIMIENTOS!$A$5:$A$1005&lt;=$A885)*MOVIMIENTOS!$E$5:$E$1005)-SUMPRODUCT((MOVIMIENTOS!$B$5:$B$1005="REGALO")*(MOVIMIENTOS!$C$5:$C$1005="C")*(MOVIMIENTOS!$D$5:$D$1005="jabas")*(MOVIMIENTOS!$A$5:$A$1005&lt;&gt;"")*(MOVIMIENTOS!$A$5:$A$1005&lt;=$A885)*MOVIMIENTOS!$E$5:$E$1005)-SUMPRODUCT((MOVIMIENTOS!$B$5:$B$1005="VENTA")*(MOVIMIENTOS!$C$5:$C$1005="C")*(MOVIMIENTOS!$D$5:$D$1005="jabas")*(MOVIMIENTOS!$A$5:$A$1005&lt;&gt;"")*(MOVIMIENTOS!$A$5:$A$1005&lt;=$A885)*MOVIMIENTOS!$E$5:$E$1005)+SUMPRODUCT((MOVIMIENTOS!$B$5:$B$1005="AJUSTE")*(MOVIMIENTOS!$C$5:$C$1005="C")*(MOVIMIENTOS!$D$5:$D$1005="jabas")*(MOVIMIENTOS!$A$5:$A$1005&lt;&gt;"")*(MOVIMIENTOS!$A$5:$A$1005&lt;=$A885)*MOVIMIENTOS!$E$5:$E$1005))</f>
        <v/>
      </c>
      <c r="E885" t="str">
        <f>IF($A885="","",SUMPRODUCT((MOVIMIENTOS!$B$5:$B$1005="SALDO INICIAL")*(MOVIMIENTOS!$C$5:$C$1005="M")*(MOVIMIENTOS!$D$5:$D$1005="jabas")*(MOVIMIENTOS!$A$5:$A$1005&lt;&gt;"")*(MOVIMIENTOS!$A$5:$A$1005&lt;=$A885)*MOVIMIENTOS!$E$5:$E$1005)+SUMPRODUCT((MOVIMIENTOS!$B$5:$B$1005="PROCESO")*(MOVIMIENTOS!$C$5:$C$1005="M")*(MOVIMIENTOS!$D$5:$D$1005="jabas")*(MOVIMIENTOS!$A$5:$A$1005&lt;&gt;"")*(MOVIMIENTOS!$A$5:$A$1005&lt;=$A885)*MOVIMIENTOS!$E$5:$E$1005)-SUMPRODUCT((MOVIMIENTOS!$B$5:$B$1005="ENVÍO A SUPESA")*(MOVIMIENTOS!$C$5:$C$1005="M")*(MOVIMIENTOS!$D$5:$D$1005="jabas")*(MOVIMIENTOS!$A$5:$A$1005&lt;&gt;"")*(MOVIMIENTOS!$A$5:$A$1005&lt;=$A885)*MOVIMIENTOS!$E$5:$E$1005)+SUMPRODUCT((MOVIMIENTOS!$B$5:$B$1005="DEVOLUCIÓN")*(MOVIMIENTOS!$C$5:$C$1005="M")*(MOVIMIENTOS!$D$5:$D$1005="jabas")*(MOVIMIENTOS!$A$5:$A$1005&lt;&gt;"")*(MOVIMIENTOS!$A$5:$A$1005&lt;=$A885)*MOVIMIENTOS!$E$5:$E$1005)-SUMPRODUCT((MOVIMIENTOS!$B$5:$B$1005="TRASIEGO")*(MOVIMIENTOS!$C$5:$C$1005="M")*(MOVIMIENTOS!$D$5:$D$1005="jabas")*(MOVIMIENTOS!$A$5:$A$1005&lt;&gt;"")*(MOVIMIENTOS!$A$5:$A$1005&lt;=$A885)*MOVIMIENTOS!$E$5:$E$1005)-SUMPRODUCT((MOVIMIENTOS!$B$5:$B$1005="REGALO")*(MOVIMIENTOS!$C$5:$C$1005="M")*(MOVIMIENTOS!$D$5:$D$1005="jabas")*(MOVIMIENTOS!$A$5:$A$1005&lt;&gt;"")*(MOVIMIENTOS!$A$5:$A$1005&lt;=$A885)*MOVIMIENTOS!$E$5:$E$1005)-SUMPRODUCT((MOVIMIENTOS!$B$5:$B$1005="VENTA")*(MOVIMIENTOS!$C$5:$C$1005="M")*(MOVIMIENTOS!$D$5:$D$1005="jabas")*(MOVIMIENTOS!$A$5:$A$1005&lt;&gt;"")*(MOVIMIENTOS!$A$5:$A$1005&lt;=$A885)*MOVIMIENTOS!$E$5:$E$1005)+SUMPRODUCT((MOVIMIENTOS!$B$5:$B$1005="AJUSTE")*(MOVIMIENTOS!$C$5:$C$1005="M")*(MOVIMIENTOS!$D$5:$D$1005="jabas")*(MOVIMIENTOS!$A$5:$A$1005&lt;&gt;"")*(MOVIMIENTOS!$A$5:$A$1005&lt;=$A885)*MOVIMIENTOS!$E$5:$E$1005))</f>
        <v/>
      </c>
      <c r="F885" s="62" t="str">
        <f>IF($A885="","",SUMPRODUCT((MOVIMIENTOS!$B$5:$B$1005="SALDO INICIAL")*(MOVIMIENTOS!$C$5:$C$1005="Chancho")*(MOVIMIENTOS!$D$5:$D$1005="sacos")*(MOVIMIENTOS!$A$5:$A$1005&lt;&gt;"")*(MOVIMIENTOS!$A$5:$A$1005&lt;=$A885)*MOVIMIENTOS!$E$5:$E$1005)+SUMPRODUCT((MOVIMIENTOS!$B$5:$B$1005="PROCESO")*(MOVIMIENTOS!$C$5:$C$1005="Chancho")*(MOVIMIENTOS!$D$5:$D$1005="sacos")*(MOVIMIENTOS!$A$5:$A$1005&lt;&gt;"")*(MOVIMIENTOS!$A$5:$A$1005&lt;=$A885)*MOVIMIENTOS!$E$5:$E$1005)-SUMPRODUCT((MOVIMIENTOS!$B$5:$B$1005="VENTA CHANCHO")*(MOVIMIENTOS!$C$5:$C$1005="Chancho")*(MOVIMIENTOS!$D$5:$D$1005="sacos")*(MOVIMIENTOS!$A$5:$A$1005&lt;&gt;"")*(MOVIMIENTOS!$A$5:$A$1005&lt;=$A885)*MOVIMIENTOS!$E$5:$E$1005)-SUMPRODUCT((MOVIMIENTOS!$B$5:$B$1005="REGALO")*(MOVIMIENTOS!$C$5:$C$1005="Chancho")*(MOVIMIENTOS!$D$5:$D$1005="sacos")*(MOVIMIENTOS!$A$5:$A$1005&lt;&gt;"")*(MOVIMIENTOS!$A$5:$A$1005&lt;=$A885)*MOVIMIENTOS!$E$5:$E$1005)-SUMPRODUCT((MOVIMIENTOS!$B$5:$B$1005="VENTA")*(MOVIMIENTOS!$C$5:$C$1005="Chancho")*(MOVIMIENTOS!$D$5:$D$1005="sacos")*(MOVIMIENTOS!$A$5:$A$1005&lt;&gt;"")*(MOVIMIENTOS!$A$5:$A$1005&lt;=$A885)*MOVIMIENTOS!$E$5:$E$1005)+SUMPRODUCT((MOVIMIENTOS!$B$5:$B$1005="AJUSTE")*(MOVIMIENTOS!$C$5:$C$1005="Chancho")*(MOVIMIENTOS!$D$5:$D$1005="sacos")*(MOVIMIENTOS!$A$5:$A$1005&lt;&gt;"")*(MOVIMIENTOS!$A$5:$A$1005&lt;=$A885)*MOVIMIENTOS!$E$5:$E$1005))</f>
        <v/>
      </c>
      <c r="G885" s="62" t="str">
        <f t="shared" si="27"/>
        <v/>
      </c>
      <c r="H885" t="str">
        <f>IF($A885="","",SUMPRODUCT((((MOVIMIENTOS!$B$5:$B$1005="SALDO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885)*MOVIMIENTOS!$J$5:$J$1005))</f>
        <v/>
      </c>
      <c r="J885" t="str">
        <f>IF(AND(MOVIMIENTOS!$A890&lt;&gt;"",COUNTIF(MOVIMIENTOS!$A$5:$A889,MOVIMIENTOS!$A890)=0),COUNT(J$4:J884)+1,"")</f>
        <v/>
      </c>
      <c r="K885">
        <f>MOVIMIENTOS!$A890</f>
        <v>0</v>
      </c>
    </row>
    <row r="886" spans="1:11" ht="15" customHeight="1" x14ac:dyDescent="0.2">
      <c r="A886" t="str">
        <f t="shared" si="26"/>
        <v/>
      </c>
      <c r="B886" t="str">
        <f>IF($A886="","",SUMPRODUCT((MOVIMIENTOS!$B$5:$B$1005="SALDO INICIAL")*(MOVIMIENTOS!$C$5:$C$1005="A")*(MOVIMIENTOS!$D$5:$D$1005="jabas")*(MOVIMIENTOS!$A$5:$A$1005&lt;&gt;"")*(MOVIMIENTOS!$A$5:$A$1005&lt;=$A886)*MOVIMIENTOS!$E$5:$E$1005)+SUMPRODUCT((MOVIMIENTOS!$B$5:$B$1005="PROCESO")*(MOVIMIENTOS!$C$5:$C$1005="A")*(MOVIMIENTOS!$D$5:$D$1005="jabas")*(MOVIMIENTOS!$A$5:$A$1005&lt;&gt;"")*(MOVIMIENTOS!$A$5:$A$1005&lt;=$A886)*MOVIMIENTOS!$E$5:$E$1005)-SUMPRODUCT((MOVIMIENTOS!$B$5:$B$1005="ENVÍO A SUPESA")*(MOVIMIENTOS!$C$5:$C$1005="A")*(MOVIMIENTOS!$D$5:$D$1005="jabas")*(MOVIMIENTOS!$A$5:$A$1005&lt;&gt;"")*(MOVIMIENTOS!$A$5:$A$1005&lt;=$A886)*MOVIMIENTOS!$E$5:$E$1005)+SUMPRODUCT((MOVIMIENTOS!$B$5:$B$1005="DEVOLUCIÓN")*(MOVIMIENTOS!$C$5:$C$1005="A")*(MOVIMIENTOS!$D$5:$D$1005="jabas")*(MOVIMIENTOS!$A$5:$A$1005&lt;&gt;"")*(MOVIMIENTOS!$A$5:$A$1005&lt;=$A886)*MOVIMIENTOS!$E$5:$E$1005)-SUMPRODUCT((MOVIMIENTOS!$B$5:$B$1005="TRASIEGO")*(MOVIMIENTOS!$C$5:$C$1005="A")*(MOVIMIENTOS!$D$5:$D$1005="jabas")*(MOVIMIENTOS!$A$5:$A$1005&lt;&gt;"")*(MOVIMIENTOS!$A$5:$A$1005&lt;=$A886)*MOVIMIENTOS!$E$5:$E$1005)-SUMPRODUCT((MOVIMIENTOS!$B$5:$B$1005="REGALO")*(MOVIMIENTOS!$C$5:$C$1005="A")*(MOVIMIENTOS!$D$5:$D$1005="jabas")*(MOVIMIENTOS!$A$5:$A$1005&lt;&gt;"")*(MOVIMIENTOS!$A$5:$A$1005&lt;=$A886)*MOVIMIENTOS!$E$5:$E$1005)-SUMPRODUCT((MOVIMIENTOS!$B$5:$B$1005="VENTA")*(MOVIMIENTOS!$C$5:$C$1005="A")*(MOVIMIENTOS!$D$5:$D$1005="jabas")*(MOVIMIENTOS!$A$5:$A$1005&lt;&gt;"")*(MOVIMIENTOS!$A$5:$A$1005&lt;=$A886)*MOVIMIENTOS!$E$5:$E$1005)+SUMPRODUCT((MOVIMIENTOS!$B$5:$B$1005="AJUSTE")*(MOVIMIENTOS!$C$5:$C$1005="A")*(MOVIMIENTOS!$D$5:$D$1005="jabas")*(MOVIMIENTOS!$A$5:$A$1005&lt;&gt;"")*(MOVIMIENTOS!$A$5:$A$1005&lt;=$A886)*MOVIMIENTOS!$E$5:$E$1005))</f>
        <v/>
      </c>
      <c r="C886" t="str">
        <f>IF($A886="","",SUMPRODUCT((MOVIMIENTOS!$B$5:$B$1005="SALDO INICIAL")*(MOVIMIENTOS!$C$5:$C$1005="P")*(MOVIMIENTOS!$D$5:$D$1005="jabas")*(MOVIMIENTOS!$A$5:$A$1005&lt;&gt;"")*(MOVIMIENTOS!$A$5:$A$1005&lt;=$A886)*MOVIMIENTOS!$E$5:$E$1005)+SUMPRODUCT((MOVIMIENTOS!$B$5:$B$1005="PROCESO")*(MOVIMIENTOS!$C$5:$C$1005="P")*(MOVIMIENTOS!$D$5:$D$1005="jabas")*(MOVIMIENTOS!$A$5:$A$1005&lt;&gt;"")*(MOVIMIENTOS!$A$5:$A$1005&lt;=$A886)*MOVIMIENTOS!$E$5:$E$1005)-SUMPRODUCT((MOVIMIENTOS!$B$5:$B$1005="ENVÍO A SUPESA")*(MOVIMIENTOS!$C$5:$C$1005="P")*(MOVIMIENTOS!$D$5:$D$1005="jabas")*(MOVIMIENTOS!$A$5:$A$1005&lt;&gt;"")*(MOVIMIENTOS!$A$5:$A$1005&lt;=$A886)*MOVIMIENTOS!$E$5:$E$1005)+SUMPRODUCT((MOVIMIENTOS!$B$5:$B$1005="DEVOLUCIÓN")*(MOVIMIENTOS!$C$5:$C$1005="P")*(MOVIMIENTOS!$D$5:$D$1005="jabas")*(MOVIMIENTOS!$A$5:$A$1005&lt;&gt;"")*(MOVIMIENTOS!$A$5:$A$1005&lt;=$A886)*MOVIMIENTOS!$E$5:$E$1005)-SUMPRODUCT((MOVIMIENTOS!$B$5:$B$1005="TRASIEGO")*(MOVIMIENTOS!$C$5:$C$1005="P")*(MOVIMIENTOS!$D$5:$D$1005="jabas")*(MOVIMIENTOS!$A$5:$A$1005&lt;&gt;"")*(MOVIMIENTOS!$A$5:$A$1005&lt;=$A886)*MOVIMIENTOS!$E$5:$E$1005)-SUMPRODUCT((MOVIMIENTOS!$B$5:$B$1005="REGALO")*(MOVIMIENTOS!$C$5:$C$1005="P")*(MOVIMIENTOS!$D$5:$D$1005="jabas")*(MOVIMIENTOS!$A$5:$A$1005&lt;&gt;"")*(MOVIMIENTOS!$A$5:$A$1005&lt;=$A886)*MOVIMIENTOS!$E$5:$E$1005)-SUMPRODUCT((MOVIMIENTOS!$B$5:$B$1005="VENTA")*(MOVIMIENTOS!$C$5:$C$1005="P")*(MOVIMIENTOS!$D$5:$D$1005="jabas")*(MOVIMIENTOS!$A$5:$A$1005&lt;&gt;"")*(MOVIMIENTOS!$A$5:$A$1005&lt;=$A886)*MOVIMIENTOS!$E$5:$E$1005)+SUMPRODUCT((MOVIMIENTOS!$B$5:$B$1005="AJUSTE")*(MOVIMIENTOS!$C$5:$C$1005="P")*(MOVIMIENTOS!$D$5:$D$1005="jabas")*(MOVIMIENTOS!$A$5:$A$1005&lt;&gt;"")*(MOVIMIENTOS!$A$5:$A$1005&lt;=$A886)*MOVIMIENTOS!$E$5:$E$1005))</f>
        <v/>
      </c>
      <c r="D886" t="str">
        <f>IF($A886="","",SUMPRODUCT((MOVIMIENTOS!$B$5:$B$1005="SALDO INICIAL")*(MOVIMIENTOS!$C$5:$C$1005="C")*(MOVIMIENTOS!$D$5:$D$1005="jabas")*(MOVIMIENTOS!$A$5:$A$1005&lt;&gt;"")*(MOVIMIENTOS!$A$5:$A$1005&lt;=$A886)*MOVIMIENTOS!$E$5:$E$1005)+SUMPRODUCT((MOVIMIENTOS!$B$5:$B$1005="PROCESO")*(MOVIMIENTOS!$C$5:$C$1005="C")*(MOVIMIENTOS!$D$5:$D$1005="jabas")*(MOVIMIENTOS!$A$5:$A$1005&lt;&gt;"")*(MOVIMIENTOS!$A$5:$A$1005&lt;=$A886)*MOVIMIENTOS!$E$5:$E$1005)-SUMPRODUCT((MOVIMIENTOS!$B$5:$B$1005="ENVÍO A SUPESA")*(MOVIMIENTOS!$C$5:$C$1005="C")*(MOVIMIENTOS!$D$5:$D$1005="jabas")*(MOVIMIENTOS!$A$5:$A$1005&lt;&gt;"")*(MOVIMIENTOS!$A$5:$A$1005&lt;=$A886)*MOVIMIENTOS!$E$5:$E$1005)+SUMPRODUCT((MOVIMIENTOS!$B$5:$B$1005="DEVOLUCIÓN")*(MOVIMIENTOS!$C$5:$C$1005="C")*(MOVIMIENTOS!$D$5:$D$1005="jabas")*(MOVIMIENTOS!$A$5:$A$1005&lt;&gt;"")*(MOVIMIENTOS!$A$5:$A$1005&lt;=$A886)*MOVIMIENTOS!$E$5:$E$1005)-SUMPRODUCT((MOVIMIENTOS!$B$5:$B$1005="TRASIEGO")*(MOVIMIENTOS!$C$5:$C$1005="C")*(MOVIMIENTOS!$D$5:$D$1005="jabas")*(MOVIMIENTOS!$A$5:$A$1005&lt;&gt;"")*(MOVIMIENTOS!$A$5:$A$1005&lt;=$A886)*MOVIMIENTOS!$E$5:$E$1005)-SUMPRODUCT((MOVIMIENTOS!$B$5:$B$1005="REGALO")*(MOVIMIENTOS!$C$5:$C$1005="C")*(MOVIMIENTOS!$D$5:$D$1005="jabas")*(MOVIMIENTOS!$A$5:$A$1005&lt;&gt;"")*(MOVIMIENTOS!$A$5:$A$1005&lt;=$A886)*MOVIMIENTOS!$E$5:$E$1005)-SUMPRODUCT((MOVIMIENTOS!$B$5:$B$1005="VENTA")*(MOVIMIENTOS!$C$5:$C$1005="C")*(MOVIMIENTOS!$D$5:$D$1005="jabas")*(MOVIMIENTOS!$A$5:$A$1005&lt;&gt;"")*(MOVIMIENTOS!$A$5:$A$1005&lt;=$A886)*MOVIMIENTOS!$E$5:$E$1005)+SUMPRODUCT((MOVIMIENTOS!$B$5:$B$1005="AJUSTE")*(MOVIMIENTOS!$C$5:$C$1005="C")*(MOVIMIENTOS!$D$5:$D$1005="jabas")*(MOVIMIENTOS!$A$5:$A$1005&lt;&gt;"")*(MOVIMIENTOS!$A$5:$A$1005&lt;=$A886)*MOVIMIENTOS!$E$5:$E$1005))</f>
        <v/>
      </c>
      <c r="E886" t="str">
        <f>IF($A886="","",SUMPRODUCT((MOVIMIENTOS!$B$5:$B$1005="SALDO INICIAL")*(MOVIMIENTOS!$C$5:$C$1005="M")*(MOVIMIENTOS!$D$5:$D$1005="jabas")*(MOVIMIENTOS!$A$5:$A$1005&lt;&gt;"")*(MOVIMIENTOS!$A$5:$A$1005&lt;=$A886)*MOVIMIENTOS!$E$5:$E$1005)+SUMPRODUCT((MOVIMIENTOS!$B$5:$B$1005="PROCESO")*(MOVIMIENTOS!$C$5:$C$1005="M")*(MOVIMIENTOS!$D$5:$D$1005="jabas")*(MOVIMIENTOS!$A$5:$A$1005&lt;&gt;"")*(MOVIMIENTOS!$A$5:$A$1005&lt;=$A886)*MOVIMIENTOS!$E$5:$E$1005)-SUMPRODUCT((MOVIMIENTOS!$B$5:$B$1005="ENVÍO A SUPESA")*(MOVIMIENTOS!$C$5:$C$1005="M")*(MOVIMIENTOS!$D$5:$D$1005="jabas")*(MOVIMIENTOS!$A$5:$A$1005&lt;&gt;"")*(MOVIMIENTOS!$A$5:$A$1005&lt;=$A886)*MOVIMIENTOS!$E$5:$E$1005)+SUMPRODUCT((MOVIMIENTOS!$B$5:$B$1005="DEVOLUCIÓN")*(MOVIMIENTOS!$C$5:$C$1005="M")*(MOVIMIENTOS!$D$5:$D$1005="jabas")*(MOVIMIENTOS!$A$5:$A$1005&lt;&gt;"")*(MOVIMIENTOS!$A$5:$A$1005&lt;=$A886)*MOVIMIENTOS!$E$5:$E$1005)-SUMPRODUCT((MOVIMIENTOS!$B$5:$B$1005="TRASIEGO")*(MOVIMIENTOS!$C$5:$C$1005="M")*(MOVIMIENTOS!$D$5:$D$1005="jabas")*(MOVIMIENTOS!$A$5:$A$1005&lt;&gt;"")*(MOVIMIENTOS!$A$5:$A$1005&lt;=$A886)*MOVIMIENTOS!$E$5:$E$1005)-SUMPRODUCT((MOVIMIENTOS!$B$5:$B$1005="REGALO")*(MOVIMIENTOS!$C$5:$C$1005="M")*(MOVIMIENTOS!$D$5:$D$1005="jabas")*(MOVIMIENTOS!$A$5:$A$1005&lt;&gt;"")*(MOVIMIENTOS!$A$5:$A$1005&lt;=$A886)*MOVIMIENTOS!$E$5:$E$1005)-SUMPRODUCT((MOVIMIENTOS!$B$5:$B$1005="VENTA")*(MOVIMIENTOS!$C$5:$C$1005="M")*(MOVIMIENTOS!$D$5:$D$1005="jabas")*(MOVIMIENTOS!$A$5:$A$1005&lt;&gt;"")*(MOVIMIENTOS!$A$5:$A$1005&lt;=$A886)*MOVIMIENTOS!$E$5:$E$1005)+SUMPRODUCT((MOVIMIENTOS!$B$5:$B$1005="AJUSTE")*(MOVIMIENTOS!$C$5:$C$1005="M")*(MOVIMIENTOS!$D$5:$D$1005="jabas")*(MOVIMIENTOS!$A$5:$A$1005&lt;&gt;"")*(MOVIMIENTOS!$A$5:$A$1005&lt;=$A886)*MOVIMIENTOS!$E$5:$E$1005))</f>
        <v/>
      </c>
      <c r="F886" s="62" t="str">
        <f>IF($A886="","",SUMPRODUCT((MOVIMIENTOS!$B$5:$B$1005="SALDO INICIAL")*(MOVIMIENTOS!$C$5:$C$1005="Chancho")*(MOVIMIENTOS!$D$5:$D$1005="sacos")*(MOVIMIENTOS!$A$5:$A$1005&lt;&gt;"")*(MOVIMIENTOS!$A$5:$A$1005&lt;=$A886)*MOVIMIENTOS!$E$5:$E$1005)+SUMPRODUCT((MOVIMIENTOS!$B$5:$B$1005="PROCESO")*(MOVIMIENTOS!$C$5:$C$1005="Chancho")*(MOVIMIENTOS!$D$5:$D$1005="sacos")*(MOVIMIENTOS!$A$5:$A$1005&lt;&gt;"")*(MOVIMIENTOS!$A$5:$A$1005&lt;=$A886)*MOVIMIENTOS!$E$5:$E$1005)-SUMPRODUCT((MOVIMIENTOS!$B$5:$B$1005="VENTA CHANCHO")*(MOVIMIENTOS!$C$5:$C$1005="Chancho")*(MOVIMIENTOS!$D$5:$D$1005="sacos")*(MOVIMIENTOS!$A$5:$A$1005&lt;&gt;"")*(MOVIMIENTOS!$A$5:$A$1005&lt;=$A886)*MOVIMIENTOS!$E$5:$E$1005)-SUMPRODUCT((MOVIMIENTOS!$B$5:$B$1005="REGALO")*(MOVIMIENTOS!$C$5:$C$1005="Chancho")*(MOVIMIENTOS!$D$5:$D$1005="sacos")*(MOVIMIENTOS!$A$5:$A$1005&lt;&gt;"")*(MOVIMIENTOS!$A$5:$A$1005&lt;=$A886)*MOVIMIENTOS!$E$5:$E$1005)-SUMPRODUCT((MOVIMIENTOS!$B$5:$B$1005="VENTA")*(MOVIMIENTOS!$C$5:$C$1005="Chancho")*(MOVIMIENTOS!$D$5:$D$1005="sacos")*(MOVIMIENTOS!$A$5:$A$1005&lt;&gt;"")*(MOVIMIENTOS!$A$5:$A$1005&lt;=$A886)*MOVIMIENTOS!$E$5:$E$1005)+SUMPRODUCT((MOVIMIENTOS!$B$5:$B$1005="AJUSTE")*(MOVIMIENTOS!$C$5:$C$1005="Chancho")*(MOVIMIENTOS!$D$5:$D$1005="sacos")*(MOVIMIENTOS!$A$5:$A$1005&lt;&gt;"")*(MOVIMIENTOS!$A$5:$A$1005&lt;=$A886)*MOVIMIENTOS!$E$5:$E$1005))</f>
        <v/>
      </c>
      <c r="G886" s="62" t="str">
        <f t="shared" si="27"/>
        <v/>
      </c>
      <c r="H886" t="str">
        <f>IF($A886="","",SUMPRODUCT((((MOVIMIENTOS!$B$5:$B$1005="SALDO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886)*MOVIMIENTOS!$J$5:$J$1005))</f>
        <v/>
      </c>
      <c r="J886" t="str">
        <f>IF(AND(MOVIMIENTOS!$A891&lt;&gt;"",COUNTIF(MOVIMIENTOS!$A$5:$A890,MOVIMIENTOS!$A891)=0),COUNT(J$4:J885)+1,"")</f>
        <v/>
      </c>
      <c r="K886">
        <f>MOVIMIENTOS!$A891</f>
        <v>0</v>
      </c>
    </row>
    <row r="887" spans="1:11" ht="15" customHeight="1" x14ac:dyDescent="0.2">
      <c r="A887" t="str">
        <f t="shared" si="26"/>
        <v/>
      </c>
      <c r="B887" t="str">
        <f>IF($A887="","",SUMPRODUCT((MOVIMIENTOS!$B$5:$B$1005="SALDO INICIAL")*(MOVIMIENTOS!$C$5:$C$1005="A")*(MOVIMIENTOS!$D$5:$D$1005="jabas")*(MOVIMIENTOS!$A$5:$A$1005&lt;&gt;"")*(MOVIMIENTOS!$A$5:$A$1005&lt;=$A887)*MOVIMIENTOS!$E$5:$E$1005)+SUMPRODUCT((MOVIMIENTOS!$B$5:$B$1005="PROCESO")*(MOVIMIENTOS!$C$5:$C$1005="A")*(MOVIMIENTOS!$D$5:$D$1005="jabas")*(MOVIMIENTOS!$A$5:$A$1005&lt;&gt;"")*(MOVIMIENTOS!$A$5:$A$1005&lt;=$A887)*MOVIMIENTOS!$E$5:$E$1005)-SUMPRODUCT((MOVIMIENTOS!$B$5:$B$1005="ENVÍO A SUPESA")*(MOVIMIENTOS!$C$5:$C$1005="A")*(MOVIMIENTOS!$D$5:$D$1005="jabas")*(MOVIMIENTOS!$A$5:$A$1005&lt;&gt;"")*(MOVIMIENTOS!$A$5:$A$1005&lt;=$A887)*MOVIMIENTOS!$E$5:$E$1005)+SUMPRODUCT((MOVIMIENTOS!$B$5:$B$1005="DEVOLUCIÓN")*(MOVIMIENTOS!$C$5:$C$1005="A")*(MOVIMIENTOS!$D$5:$D$1005="jabas")*(MOVIMIENTOS!$A$5:$A$1005&lt;&gt;"")*(MOVIMIENTOS!$A$5:$A$1005&lt;=$A887)*MOVIMIENTOS!$E$5:$E$1005)-SUMPRODUCT((MOVIMIENTOS!$B$5:$B$1005="TRASIEGO")*(MOVIMIENTOS!$C$5:$C$1005="A")*(MOVIMIENTOS!$D$5:$D$1005="jabas")*(MOVIMIENTOS!$A$5:$A$1005&lt;&gt;"")*(MOVIMIENTOS!$A$5:$A$1005&lt;=$A887)*MOVIMIENTOS!$E$5:$E$1005)-SUMPRODUCT((MOVIMIENTOS!$B$5:$B$1005="REGALO")*(MOVIMIENTOS!$C$5:$C$1005="A")*(MOVIMIENTOS!$D$5:$D$1005="jabas")*(MOVIMIENTOS!$A$5:$A$1005&lt;&gt;"")*(MOVIMIENTOS!$A$5:$A$1005&lt;=$A887)*MOVIMIENTOS!$E$5:$E$1005)-SUMPRODUCT((MOVIMIENTOS!$B$5:$B$1005="VENTA")*(MOVIMIENTOS!$C$5:$C$1005="A")*(MOVIMIENTOS!$D$5:$D$1005="jabas")*(MOVIMIENTOS!$A$5:$A$1005&lt;&gt;"")*(MOVIMIENTOS!$A$5:$A$1005&lt;=$A887)*MOVIMIENTOS!$E$5:$E$1005)+SUMPRODUCT((MOVIMIENTOS!$B$5:$B$1005="AJUSTE")*(MOVIMIENTOS!$C$5:$C$1005="A")*(MOVIMIENTOS!$D$5:$D$1005="jabas")*(MOVIMIENTOS!$A$5:$A$1005&lt;&gt;"")*(MOVIMIENTOS!$A$5:$A$1005&lt;=$A887)*MOVIMIENTOS!$E$5:$E$1005))</f>
        <v/>
      </c>
      <c r="C887" t="str">
        <f>IF($A887="","",SUMPRODUCT((MOVIMIENTOS!$B$5:$B$1005="SALDO INICIAL")*(MOVIMIENTOS!$C$5:$C$1005="P")*(MOVIMIENTOS!$D$5:$D$1005="jabas")*(MOVIMIENTOS!$A$5:$A$1005&lt;&gt;"")*(MOVIMIENTOS!$A$5:$A$1005&lt;=$A887)*MOVIMIENTOS!$E$5:$E$1005)+SUMPRODUCT((MOVIMIENTOS!$B$5:$B$1005="PROCESO")*(MOVIMIENTOS!$C$5:$C$1005="P")*(MOVIMIENTOS!$D$5:$D$1005="jabas")*(MOVIMIENTOS!$A$5:$A$1005&lt;&gt;"")*(MOVIMIENTOS!$A$5:$A$1005&lt;=$A887)*MOVIMIENTOS!$E$5:$E$1005)-SUMPRODUCT((MOVIMIENTOS!$B$5:$B$1005="ENVÍO A SUPESA")*(MOVIMIENTOS!$C$5:$C$1005="P")*(MOVIMIENTOS!$D$5:$D$1005="jabas")*(MOVIMIENTOS!$A$5:$A$1005&lt;&gt;"")*(MOVIMIENTOS!$A$5:$A$1005&lt;=$A887)*MOVIMIENTOS!$E$5:$E$1005)+SUMPRODUCT((MOVIMIENTOS!$B$5:$B$1005="DEVOLUCIÓN")*(MOVIMIENTOS!$C$5:$C$1005="P")*(MOVIMIENTOS!$D$5:$D$1005="jabas")*(MOVIMIENTOS!$A$5:$A$1005&lt;&gt;"")*(MOVIMIENTOS!$A$5:$A$1005&lt;=$A887)*MOVIMIENTOS!$E$5:$E$1005)-SUMPRODUCT((MOVIMIENTOS!$B$5:$B$1005="TRASIEGO")*(MOVIMIENTOS!$C$5:$C$1005="P")*(MOVIMIENTOS!$D$5:$D$1005="jabas")*(MOVIMIENTOS!$A$5:$A$1005&lt;&gt;"")*(MOVIMIENTOS!$A$5:$A$1005&lt;=$A887)*MOVIMIENTOS!$E$5:$E$1005)-SUMPRODUCT((MOVIMIENTOS!$B$5:$B$1005="REGALO")*(MOVIMIENTOS!$C$5:$C$1005="P")*(MOVIMIENTOS!$D$5:$D$1005="jabas")*(MOVIMIENTOS!$A$5:$A$1005&lt;&gt;"")*(MOVIMIENTOS!$A$5:$A$1005&lt;=$A887)*MOVIMIENTOS!$E$5:$E$1005)-SUMPRODUCT((MOVIMIENTOS!$B$5:$B$1005="VENTA")*(MOVIMIENTOS!$C$5:$C$1005="P")*(MOVIMIENTOS!$D$5:$D$1005="jabas")*(MOVIMIENTOS!$A$5:$A$1005&lt;&gt;"")*(MOVIMIENTOS!$A$5:$A$1005&lt;=$A887)*MOVIMIENTOS!$E$5:$E$1005)+SUMPRODUCT((MOVIMIENTOS!$B$5:$B$1005="AJUSTE")*(MOVIMIENTOS!$C$5:$C$1005="P")*(MOVIMIENTOS!$D$5:$D$1005="jabas")*(MOVIMIENTOS!$A$5:$A$1005&lt;&gt;"")*(MOVIMIENTOS!$A$5:$A$1005&lt;=$A887)*MOVIMIENTOS!$E$5:$E$1005))</f>
        <v/>
      </c>
      <c r="D887" t="str">
        <f>IF($A887="","",SUMPRODUCT((MOVIMIENTOS!$B$5:$B$1005="SALDO INICIAL")*(MOVIMIENTOS!$C$5:$C$1005="C")*(MOVIMIENTOS!$D$5:$D$1005="jabas")*(MOVIMIENTOS!$A$5:$A$1005&lt;&gt;"")*(MOVIMIENTOS!$A$5:$A$1005&lt;=$A887)*MOVIMIENTOS!$E$5:$E$1005)+SUMPRODUCT((MOVIMIENTOS!$B$5:$B$1005="PROCESO")*(MOVIMIENTOS!$C$5:$C$1005="C")*(MOVIMIENTOS!$D$5:$D$1005="jabas")*(MOVIMIENTOS!$A$5:$A$1005&lt;&gt;"")*(MOVIMIENTOS!$A$5:$A$1005&lt;=$A887)*MOVIMIENTOS!$E$5:$E$1005)-SUMPRODUCT((MOVIMIENTOS!$B$5:$B$1005="ENVÍO A SUPESA")*(MOVIMIENTOS!$C$5:$C$1005="C")*(MOVIMIENTOS!$D$5:$D$1005="jabas")*(MOVIMIENTOS!$A$5:$A$1005&lt;&gt;"")*(MOVIMIENTOS!$A$5:$A$1005&lt;=$A887)*MOVIMIENTOS!$E$5:$E$1005)+SUMPRODUCT((MOVIMIENTOS!$B$5:$B$1005="DEVOLUCIÓN")*(MOVIMIENTOS!$C$5:$C$1005="C")*(MOVIMIENTOS!$D$5:$D$1005="jabas")*(MOVIMIENTOS!$A$5:$A$1005&lt;&gt;"")*(MOVIMIENTOS!$A$5:$A$1005&lt;=$A887)*MOVIMIENTOS!$E$5:$E$1005)-SUMPRODUCT((MOVIMIENTOS!$B$5:$B$1005="TRASIEGO")*(MOVIMIENTOS!$C$5:$C$1005="C")*(MOVIMIENTOS!$D$5:$D$1005="jabas")*(MOVIMIENTOS!$A$5:$A$1005&lt;&gt;"")*(MOVIMIENTOS!$A$5:$A$1005&lt;=$A887)*MOVIMIENTOS!$E$5:$E$1005)-SUMPRODUCT((MOVIMIENTOS!$B$5:$B$1005="REGALO")*(MOVIMIENTOS!$C$5:$C$1005="C")*(MOVIMIENTOS!$D$5:$D$1005="jabas")*(MOVIMIENTOS!$A$5:$A$1005&lt;&gt;"")*(MOVIMIENTOS!$A$5:$A$1005&lt;=$A887)*MOVIMIENTOS!$E$5:$E$1005)-SUMPRODUCT((MOVIMIENTOS!$B$5:$B$1005="VENTA")*(MOVIMIENTOS!$C$5:$C$1005="C")*(MOVIMIENTOS!$D$5:$D$1005="jabas")*(MOVIMIENTOS!$A$5:$A$1005&lt;&gt;"")*(MOVIMIENTOS!$A$5:$A$1005&lt;=$A887)*MOVIMIENTOS!$E$5:$E$1005)+SUMPRODUCT((MOVIMIENTOS!$B$5:$B$1005="AJUSTE")*(MOVIMIENTOS!$C$5:$C$1005="C")*(MOVIMIENTOS!$D$5:$D$1005="jabas")*(MOVIMIENTOS!$A$5:$A$1005&lt;&gt;"")*(MOVIMIENTOS!$A$5:$A$1005&lt;=$A887)*MOVIMIENTOS!$E$5:$E$1005))</f>
        <v/>
      </c>
      <c r="E887" t="str">
        <f>IF($A887="","",SUMPRODUCT((MOVIMIENTOS!$B$5:$B$1005="SALDO INICIAL")*(MOVIMIENTOS!$C$5:$C$1005="M")*(MOVIMIENTOS!$D$5:$D$1005="jabas")*(MOVIMIENTOS!$A$5:$A$1005&lt;&gt;"")*(MOVIMIENTOS!$A$5:$A$1005&lt;=$A887)*MOVIMIENTOS!$E$5:$E$1005)+SUMPRODUCT((MOVIMIENTOS!$B$5:$B$1005="PROCESO")*(MOVIMIENTOS!$C$5:$C$1005="M")*(MOVIMIENTOS!$D$5:$D$1005="jabas")*(MOVIMIENTOS!$A$5:$A$1005&lt;&gt;"")*(MOVIMIENTOS!$A$5:$A$1005&lt;=$A887)*MOVIMIENTOS!$E$5:$E$1005)-SUMPRODUCT((MOVIMIENTOS!$B$5:$B$1005="ENVÍO A SUPESA")*(MOVIMIENTOS!$C$5:$C$1005="M")*(MOVIMIENTOS!$D$5:$D$1005="jabas")*(MOVIMIENTOS!$A$5:$A$1005&lt;&gt;"")*(MOVIMIENTOS!$A$5:$A$1005&lt;=$A887)*MOVIMIENTOS!$E$5:$E$1005)+SUMPRODUCT((MOVIMIENTOS!$B$5:$B$1005="DEVOLUCIÓN")*(MOVIMIENTOS!$C$5:$C$1005="M")*(MOVIMIENTOS!$D$5:$D$1005="jabas")*(MOVIMIENTOS!$A$5:$A$1005&lt;&gt;"")*(MOVIMIENTOS!$A$5:$A$1005&lt;=$A887)*MOVIMIENTOS!$E$5:$E$1005)-SUMPRODUCT((MOVIMIENTOS!$B$5:$B$1005="TRASIEGO")*(MOVIMIENTOS!$C$5:$C$1005="M")*(MOVIMIENTOS!$D$5:$D$1005="jabas")*(MOVIMIENTOS!$A$5:$A$1005&lt;&gt;"")*(MOVIMIENTOS!$A$5:$A$1005&lt;=$A887)*MOVIMIENTOS!$E$5:$E$1005)-SUMPRODUCT((MOVIMIENTOS!$B$5:$B$1005="REGALO")*(MOVIMIENTOS!$C$5:$C$1005="M")*(MOVIMIENTOS!$D$5:$D$1005="jabas")*(MOVIMIENTOS!$A$5:$A$1005&lt;&gt;"")*(MOVIMIENTOS!$A$5:$A$1005&lt;=$A887)*MOVIMIENTOS!$E$5:$E$1005)-SUMPRODUCT((MOVIMIENTOS!$B$5:$B$1005="VENTA")*(MOVIMIENTOS!$C$5:$C$1005="M")*(MOVIMIENTOS!$D$5:$D$1005="jabas")*(MOVIMIENTOS!$A$5:$A$1005&lt;&gt;"")*(MOVIMIENTOS!$A$5:$A$1005&lt;=$A887)*MOVIMIENTOS!$E$5:$E$1005)+SUMPRODUCT((MOVIMIENTOS!$B$5:$B$1005="AJUSTE")*(MOVIMIENTOS!$C$5:$C$1005="M")*(MOVIMIENTOS!$D$5:$D$1005="jabas")*(MOVIMIENTOS!$A$5:$A$1005&lt;&gt;"")*(MOVIMIENTOS!$A$5:$A$1005&lt;=$A887)*MOVIMIENTOS!$E$5:$E$1005))</f>
        <v/>
      </c>
      <c r="F887" s="62" t="str">
        <f>IF($A887="","",SUMPRODUCT((MOVIMIENTOS!$B$5:$B$1005="SALDO INICIAL")*(MOVIMIENTOS!$C$5:$C$1005="Chancho")*(MOVIMIENTOS!$D$5:$D$1005="sacos")*(MOVIMIENTOS!$A$5:$A$1005&lt;&gt;"")*(MOVIMIENTOS!$A$5:$A$1005&lt;=$A887)*MOVIMIENTOS!$E$5:$E$1005)+SUMPRODUCT((MOVIMIENTOS!$B$5:$B$1005="PROCESO")*(MOVIMIENTOS!$C$5:$C$1005="Chancho")*(MOVIMIENTOS!$D$5:$D$1005="sacos")*(MOVIMIENTOS!$A$5:$A$1005&lt;&gt;"")*(MOVIMIENTOS!$A$5:$A$1005&lt;=$A887)*MOVIMIENTOS!$E$5:$E$1005)-SUMPRODUCT((MOVIMIENTOS!$B$5:$B$1005="VENTA CHANCHO")*(MOVIMIENTOS!$C$5:$C$1005="Chancho")*(MOVIMIENTOS!$D$5:$D$1005="sacos")*(MOVIMIENTOS!$A$5:$A$1005&lt;&gt;"")*(MOVIMIENTOS!$A$5:$A$1005&lt;=$A887)*MOVIMIENTOS!$E$5:$E$1005)-SUMPRODUCT((MOVIMIENTOS!$B$5:$B$1005="REGALO")*(MOVIMIENTOS!$C$5:$C$1005="Chancho")*(MOVIMIENTOS!$D$5:$D$1005="sacos")*(MOVIMIENTOS!$A$5:$A$1005&lt;&gt;"")*(MOVIMIENTOS!$A$5:$A$1005&lt;=$A887)*MOVIMIENTOS!$E$5:$E$1005)-SUMPRODUCT((MOVIMIENTOS!$B$5:$B$1005="VENTA")*(MOVIMIENTOS!$C$5:$C$1005="Chancho")*(MOVIMIENTOS!$D$5:$D$1005="sacos")*(MOVIMIENTOS!$A$5:$A$1005&lt;&gt;"")*(MOVIMIENTOS!$A$5:$A$1005&lt;=$A887)*MOVIMIENTOS!$E$5:$E$1005)+SUMPRODUCT((MOVIMIENTOS!$B$5:$B$1005="AJUSTE")*(MOVIMIENTOS!$C$5:$C$1005="Chancho")*(MOVIMIENTOS!$D$5:$D$1005="sacos")*(MOVIMIENTOS!$A$5:$A$1005&lt;&gt;"")*(MOVIMIENTOS!$A$5:$A$1005&lt;=$A887)*MOVIMIENTOS!$E$5:$E$1005))</f>
        <v/>
      </c>
      <c r="G887" s="62" t="str">
        <f t="shared" si="27"/>
        <v/>
      </c>
      <c r="H887" t="str">
        <f>IF($A887="","",SUMPRODUCT((((MOVIMIENTOS!$B$5:$B$1005="SALDO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887)*MOVIMIENTOS!$J$5:$J$1005))</f>
        <v/>
      </c>
      <c r="J887" t="str">
        <f>IF(AND(MOVIMIENTOS!$A892&lt;&gt;"",COUNTIF(MOVIMIENTOS!$A$5:$A891,MOVIMIENTOS!$A892)=0),COUNT(J$4:J886)+1,"")</f>
        <v/>
      </c>
      <c r="K887">
        <f>MOVIMIENTOS!$A892</f>
        <v>0</v>
      </c>
    </row>
    <row r="888" spans="1:11" ht="15" customHeight="1" x14ac:dyDescent="0.2">
      <c r="A888" t="str">
        <f t="shared" si="26"/>
        <v/>
      </c>
      <c r="B888" t="str">
        <f>IF($A888="","",SUMPRODUCT((MOVIMIENTOS!$B$5:$B$1005="SALDO INICIAL")*(MOVIMIENTOS!$C$5:$C$1005="A")*(MOVIMIENTOS!$D$5:$D$1005="jabas")*(MOVIMIENTOS!$A$5:$A$1005&lt;&gt;"")*(MOVIMIENTOS!$A$5:$A$1005&lt;=$A888)*MOVIMIENTOS!$E$5:$E$1005)+SUMPRODUCT((MOVIMIENTOS!$B$5:$B$1005="PROCESO")*(MOVIMIENTOS!$C$5:$C$1005="A")*(MOVIMIENTOS!$D$5:$D$1005="jabas")*(MOVIMIENTOS!$A$5:$A$1005&lt;&gt;"")*(MOVIMIENTOS!$A$5:$A$1005&lt;=$A888)*MOVIMIENTOS!$E$5:$E$1005)-SUMPRODUCT((MOVIMIENTOS!$B$5:$B$1005="ENVÍO A SUPESA")*(MOVIMIENTOS!$C$5:$C$1005="A")*(MOVIMIENTOS!$D$5:$D$1005="jabas")*(MOVIMIENTOS!$A$5:$A$1005&lt;&gt;"")*(MOVIMIENTOS!$A$5:$A$1005&lt;=$A888)*MOVIMIENTOS!$E$5:$E$1005)+SUMPRODUCT((MOVIMIENTOS!$B$5:$B$1005="DEVOLUCIÓN")*(MOVIMIENTOS!$C$5:$C$1005="A")*(MOVIMIENTOS!$D$5:$D$1005="jabas")*(MOVIMIENTOS!$A$5:$A$1005&lt;&gt;"")*(MOVIMIENTOS!$A$5:$A$1005&lt;=$A888)*MOVIMIENTOS!$E$5:$E$1005)-SUMPRODUCT((MOVIMIENTOS!$B$5:$B$1005="TRASIEGO")*(MOVIMIENTOS!$C$5:$C$1005="A")*(MOVIMIENTOS!$D$5:$D$1005="jabas")*(MOVIMIENTOS!$A$5:$A$1005&lt;&gt;"")*(MOVIMIENTOS!$A$5:$A$1005&lt;=$A888)*MOVIMIENTOS!$E$5:$E$1005)-SUMPRODUCT((MOVIMIENTOS!$B$5:$B$1005="REGALO")*(MOVIMIENTOS!$C$5:$C$1005="A")*(MOVIMIENTOS!$D$5:$D$1005="jabas")*(MOVIMIENTOS!$A$5:$A$1005&lt;&gt;"")*(MOVIMIENTOS!$A$5:$A$1005&lt;=$A888)*MOVIMIENTOS!$E$5:$E$1005)-SUMPRODUCT((MOVIMIENTOS!$B$5:$B$1005="VENTA")*(MOVIMIENTOS!$C$5:$C$1005="A")*(MOVIMIENTOS!$D$5:$D$1005="jabas")*(MOVIMIENTOS!$A$5:$A$1005&lt;&gt;"")*(MOVIMIENTOS!$A$5:$A$1005&lt;=$A888)*MOVIMIENTOS!$E$5:$E$1005)+SUMPRODUCT((MOVIMIENTOS!$B$5:$B$1005="AJUSTE")*(MOVIMIENTOS!$C$5:$C$1005="A")*(MOVIMIENTOS!$D$5:$D$1005="jabas")*(MOVIMIENTOS!$A$5:$A$1005&lt;&gt;"")*(MOVIMIENTOS!$A$5:$A$1005&lt;=$A888)*MOVIMIENTOS!$E$5:$E$1005))</f>
        <v/>
      </c>
      <c r="C888" t="str">
        <f>IF($A888="","",SUMPRODUCT((MOVIMIENTOS!$B$5:$B$1005="SALDO INICIAL")*(MOVIMIENTOS!$C$5:$C$1005="P")*(MOVIMIENTOS!$D$5:$D$1005="jabas")*(MOVIMIENTOS!$A$5:$A$1005&lt;&gt;"")*(MOVIMIENTOS!$A$5:$A$1005&lt;=$A888)*MOVIMIENTOS!$E$5:$E$1005)+SUMPRODUCT((MOVIMIENTOS!$B$5:$B$1005="PROCESO")*(MOVIMIENTOS!$C$5:$C$1005="P")*(MOVIMIENTOS!$D$5:$D$1005="jabas")*(MOVIMIENTOS!$A$5:$A$1005&lt;&gt;"")*(MOVIMIENTOS!$A$5:$A$1005&lt;=$A888)*MOVIMIENTOS!$E$5:$E$1005)-SUMPRODUCT((MOVIMIENTOS!$B$5:$B$1005="ENVÍO A SUPESA")*(MOVIMIENTOS!$C$5:$C$1005="P")*(MOVIMIENTOS!$D$5:$D$1005="jabas")*(MOVIMIENTOS!$A$5:$A$1005&lt;&gt;"")*(MOVIMIENTOS!$A$5:$A$1005&lt;=$A888)*MOVIMIENTOS!$E$5:$E$1005)+SUMPRODUCT((MOVIMIENTOS!$B$5:$B$1005="DEVOLUCIÓN")*(MOVIMIENTOS!$C$5:$C$1005="P")*(MOVIMIENTOS!$D$5:$D$1005="jabas")*(MOVIMIENTOS!$A$5:$A$1005&lt;&gt;"")*(MOVIMIENTOS!$A$5:$A$1005&lt;=$A888)*MOVIMIENTOS!$E$5:$E$1005)-SUMPRODUCT((MOVIMIENTOS!$B$5:$B$1005="TRASIEGO")*(MOVIMIENTOS!$C$5:$C$1005="P")*(MOVIMIENTOS!$D$5:$D$1005="jabas")*(MOVIMIENTOS!$A$5:$A$1005&lt;&gt;"")*(MOVIMIENTOS!$A$5:$A$1005&lt;=$A888)*MOVIMIENTOS!$E$5:$E$1005)-SUMPRODUCT((MOVIMIENTOS!$B$5:$B$1005="REGALO")*(MOVIMIENTOS!$C$5:$C$1005="P")*(MOVIMIENTOS!$D$5:$D$1005="jabas")*(MOVIMIENTOS!$A$5:$A$1005&lt;&gt;"")*(MOVIMIENTOS!$A$5:$A$1005&lt;=$A888)*MOVIMIENTOS!$E$5:$E$1005)-SUMPRODUCT((MOVIMIENTOS!$B$5:$B$1005="VENTA")*(MOVIMIENTOS!$C$5:$C$1005="P")*(MOVIMIENTOS!$D$5:$D$1005="jabas")*(MOVIMIENTOS!$A$5:$A$1005&lt;&gt;"")*(MOVIMIENTOS!$A$5:$A$1005&lt;=$A888)*MOVIMIENTOS!$E$5:$E$1005)+SUMPRODUCT((MOVIMIENTOS!$B$5:$B$1005="AJUSTE")*(MOVIMIENTOS!$C$5:$C$1005="P")*(MOVIMIENTOS!$D$5:$D$1005="jabas")*(MOVIMIENTOS!$A$5:$A$1005&lt;&gt;"")*(MOVIMIENTOS!$A$5:$A$1005&lt;=$A888)*MOVIMIENTOS!$E$5:$E$1005))</f>
        <v/>
      </c>
      <c r="D888" t="str">
        <f>IF($A888="","",SUMPRODUCT((MOVIMIENTOS!$B$5:$B$1005="SALDO INICIAL")*(MOVIMIENTOS!$C$5:$C$1005="C")*(MOVIMIENTOS!$D$5:$D$1005="jabas")*(MOVIMIENTOS!$A$5:$A$1005&lt;&gt;"")*(MOVIMIENTOS!$A$5:$A$1005&lt;=$A888)*MOVIMIENTOS!$E$5:$E$1005)+SUMPRODUCT((MOVIMIENTOS!$B$5:$B$1005="PROCESO")*(MOVIMIENTOS!$C$5:$C$1005="C")*(MOVIMIENTOS!$D$5:$D$1005="jabas")*(MOVIMIENTOS!$A$5:$A$1005&lt;&gt;"")*(MOVIMIENTOS!$A$5:$A$1005&lt;=$A888)*MOVIMIENTOS!$E$5:$E$1005)-SUMPRODUCT((MOVIMIENTOS!$B$5:$B$1005="ENVÍO A SUPESA")*(MOVIMIENTOS!$C$5:$C$1005="C")*(MOVIMIENTOS!$D$5:$D$1005="jabas")*(MOVIMIENTOS!$A$5:$A$1005&lt;&gt;"")*(MOVIMIENTOS!$A$5:$A$1005&lt;=$A888)*MOVIMIENTOS!$E$5:$E$1005)+SUMPRODUCT((MOVIMIENTOS!$B$5:$B$1005="DEVOLUCIÓN")*(MOVIMIENTOS!$C$5:$C$1005="C")*(MOVIMIENTOS!$D$5:$D$1005="jabas")*(MOVIMIENTOS!$A$5:$A$1005&lt;&gt;"")*(MOVIMIENTOS!$A$5:$A$1005&lt;=$A888)*MOVIMIENTOS!$E$5:$E$1005)-SUMPRODUCT((MOVIMIENTOS!$B$5:$B$1005="TRASIEGO")*(MOVIMIENTOS!$C$5:$C$1005="C")*(MOVIMIENTOS!$D$5:$D$1005="jabas")*(MOVIMIENTOS!$A$5:$A$1005&lt;&gt;"")*(MOVIMIENTOS!$A$5:$A$1005&lt;=$A888)*MOVIMIENTOS!$E$5:$E$1005)-SUMPRODUCT((MOVIMIENTOS!$B$5:$B$1005="REGALO")*(MOVIMIENTOS!$C$5:$C$1005="C")*(MOVIMIENTOS!$D$5:$D$1005="jabas")*(MOVIMIENTOS!$A$5:$A$1005&lt;&gt;"")*(MOVIMIENTOS!$A$5:$A$1005&lt;=$A888)*MOVIMIENTOS!$E$5:$E$1005)-SUMPRODUCT((MOVIMIENTOS!$B$5:$B$1005="VENTA")*(MOVIMIENTOS!$C$5:$C$1005="C")*(MOVIMIENTOS!$D$5:$D$1005="jabas")*(MOVIMIENTOS!$A$5:$A$1005&lt;&gt;"")*(MOVIMIENTOS!$A$5:$A$1005&lt;=$A888)*MOVIMIENTOS!$E$5:$E$1005)+SUMPRODUCT((MOVIMIENTOS!$B$5:$B$1005="AJUSTE")*(MOVIMIENTOS!$C$5:$C$1005="C")*(MOVIMIENTOS!$D$5:$D$1005="jabas")*(MOVIMIENTOS!$A$5:$A$1005&lt;&gt;"")*(MOVIMIENTOS!$A$5:$A$1005&lt;=$A888)*MOVIMIENTOS!$E$5:$E$1005))</f>
        <v/>
      </c>
      <c r="E888" t="str">
        <f>IF($A888="","",SUMPRODUCT((MOVIMIENTOS!$B$5:$B$1005="SALDO INICIAL")*(MOVIMIENTOS!$C$5:$C$1005="M")*(MOVIMIENTOS!$D$5:$D$1005="jabas")*(MOVIMIENTOS!$A$5:$A$1005&lt;&gt;"")*(MOVIMIENTOS!$A$5:$A$1005&lt;=$A888)*MOVIMIENTOS!$E$5:$E$1005)+SUMPRODUCT((MOVIMIENTOS!$B$5:$B$1005="PROCESO")*(MOVIMIENTOS!$C$5:$C$1005="M")*(MOVIMIENTOS!$D$5:$D$1005="jabas")*(MOVIMIENTOS!$A$5:$A$1005&lt;&gt;"")*(MOVIMIENTOS!$A$5:$A$1005&lt;=$A888)*MOVIMIENTOS!$E$5:$E$1005)-SUMPRODUCT((MOVIMIENTOS!$B$5:$B$1005="ENVÍO A SUPESA")*(MOVIMIENTOS!$C$5:$C$1005="M")*(MOVIMIENTOS!$D$5:$D$1005="jabas")*(MOVIMIENTOS!$A$5:$A$1005&lt;&gt;"")*(MOVIMIENTOS!$A$5:$A$1005&lt;=$A888)*MOVIMIENTOS!$E$5:$E$1005)+SUMPRODUCT((MOVIMIENTOS!$B$5:$B$1005="DEVOLUCIÓN")*(MOVIMIENTOS!$C$5:$C$1005="M")*(MOVIMIENTOS!$D$5:$D$1005="jabas")*(MOVIMIENTOS!$A$5:$A$1005&lt;&gt;"")*(MOVIMIENTOS!$A$5:$A$1005&lt;=$A888)*MOVIMIENTOS!$E$5:$E$1005)-SUMPRODUCT((MOVIMIENTOS!$B$5:$B$1005="TRASIEGO")*(MOVIMIENTOS!$C$5:$C$1005="M")*(MOVIMIENTOS!$D$5:$D$1005="jabas")*(MOVIMIENTOS!$A$5:$A$1005&lt;&gt;"")*(MOVIMIENTOS!$A$5:$A$1005&lt;=$A888)*MOVIMIENTOS!$E$5:$E$1005)-SUMPRODUCT((MOVIMIENTOS!$B$5:$B$1005="REGALO")*(MOVIMIENTOS!$C$5:$C$1005="M")*(MOVIMIENTOS!$D$5:$D$1005="jabas")*(MOVIMIENTOS!$A$5:$A$1005&lt;&gt;"")*(MOVIMIENTOS!$A$5:$A$1005&lt;=$A888)*MOVIMIENTOS!$E$5:$E$1005)-SUMPRODUCT((MOVIMIENTOS!$B$5:$B$1005="VENTA")*(MOVIMIENTOS!$C$5:$C$1005="M")*(MOVIMIENTOS!$D$5:$D$1005="jabas")*(MOVIMIENTOS!$A$5:$A$1005&lt;&gt;"")*(MOVIMIENTOS!$A$5:$A$1005&lt;=$A888)*MOVIMIENTOS!$E$5:$E$1005)+SUMPRODUCT((MOVIMIENTOS!$B$5:$B$1005="AJUSTE")*(MOVIMIENTOS!$C$5:$C$1005="M")*(MOVIMIENTOS!$D$5:$D$1005="jabas")*(MOVIMIENTOS!$A$5:$A$1005&lt;&gt;"")*(MOVIMIENTOS!$A$5:$A$1005&lt;=$A888)*MOVIMIENTOS!$E$5:$E$1005))</f>
        <v/>
      </c>
      <c r="F888" s="62" t="str">
        <f>IF($A888="","",SUMPRODUCT((MOVIMIENTOS!$B$5:$B$1005="SALDO INICIAL")*(MOVIMIENTOS!$C$5:$C$1005="Chancho")*(MOVIMIENTOS!$D$5:$D$1005="sacos")*(MOVIMIENTOS!$A$5:$A$1005&lt;&gt;"")*(MOVIMIENTOS!$A$5:$A$1005&lt;=$A888)*MOVIMIENTOS!$E$5:$E$1005)+SUMPRODUCT((MOVIMIENTOS!$B$5:$B$1005="PROCESO")*(MOVIMIENTOS!$C$5:$C$1005="Chancho")*(MOVIMIENTOS!$D$5:$D$1005="sacos")*(MOVIMIENTOS!$A$5:$A$1005&lt;&gt;"")*(MOVIMIENTOS!$A$5:$A$1005&lt;=$A888)*MOVIMIENTOS!$E$5:$E$1005)-SUMPRODUCT((MOVIMIENTOS!$B$5:$B$1005="VENTA CHANCHO")*(MOVIMIENTOS!$C$5:$C$1005="Chancho")*(MOVIMIENTOS!$D$5:$D$1005="sacos")*(MOVIMIENTOS!$A$5:$A$1005&lt;&gt;"")*(MOVIMIENTOS!$A$5:$A$1005&lt;=$A888)*MOVIMIENTOS!$E$5:$E$1005)-SUMPRODUCT((MOVIMIENTOS!$B$5:$B$1005="REGALO")*(MOVIMIENTOS!$C$5:$C$1005="Chancho")*(MOVIMIENTOS!$D$5:$D$1005="sacos")*(MOVIMIENTOS!$A$5:$A$1005&lt;&gt;"")*(MOVIMIENTOS!$A$5:$A$1005&lt;=$A888)*MOVIMIENTOS!$E$5:$E$1005)-SUMPRODUCT((MOVIMIENTOS!$B$5:$B$1005="VENTA")*(MOVIMIENTOS!$C$5:$C$1005="Chancho")*(MOVIMIENTOS!$D$5:$D$1005="sacos")*(MOVIMIENTOS!$A$5:$A$1005&lt;&gt;"")*(MOVIMIENTOS!$A$5:$A$1005&lt;=$A888)*MOVIMIENTOS!$E$5:$E$1005)+SUMPRODUCT((MOVIMIENTOS!$B$5:$B$1005="AJUSTE")*(MOVIMIENTOS!$C$5:$C$1005="Chancho")*(MOVIMIENTOS!$D$5:$D$1005="sacos")*(MOVIMIENTOS!$A$5:$A$1005&lt;&gt;"")*(MOVIMIENTOS!$A$5:$A$1005&lt;=$A888)*MOVIMIENTOS!$E$5:$E$1005))</f>
        <v/>
      </c>
      <c r="G888" s="62" t="str">
        <f t="shared" si="27"/>
        <v/>
      </c>
      <c r="H888" t="str">
        <f>IF($A888="","",SUMPRODUCT((((MOVIMIENTOS!$B$5:$B$1005="SALDO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888)*MOVIMIENTOS!$J$5:$J$1005))</f>
        <v/>
      </c>
      <c r="J888" t="str">
        <f>IF(AND(MOVIMIENTOS!$A893&lt;&gt;"",COUNTIF(MOVIMIENTOS!$A$5:$A892,MOVIMIENTOS!$A893)=0),COUNT(J$4:J887)+1,"")</f>
        <v/>
      </c>
      <c r="K888">
        <f>MOVIMIENTOS!$A893</f>
        <v>0</v>
      </c>
    </row>
    <row r="889" spans="1:11" ht="15" customHeight="1" x14ac:dyDescent="0.2">
      <c r="A889" t="str">
        <f t="shared" si="26"/>
        <v/>
      </c>
      <c r="B889" t="str">
        <f>IF($A889="","",SUMPRODUCT((MOVIMIENTOS!$B$5:$B$1005="SALDO INICIAL")*(MOVIMIENTOS!$C$5:$C$1005="A")*(MOVIMIENTOS!$D$5:$D$1005="jabas")*(MOVIMIENTOS!$A$5:$A$1005&lt;&gt;"")*(MOVIMIENTOS!$A$5:$A$1005&lt;=$A889)*MOVIMIENTOS!$E$5:$E$1005)+SUMPRODUCT((MOVIMIENTOS!$B$5:$B$1005="PROCESO")*(MOVIMIENTOS!$C$5:$C$1005="A")*(MOVIMIENTOS!$D$5:$D$1005="jabas")*(MOVIMIENTOS!$A$5:$A$1005&lt;&gt;"")*(MOVIMIENTOS!$A$5:$A$1005&lt;=$A889)*MOVIMIENTOS!$E$5:$E$1005)-SUMPRODUCT((MOVIMIENTOS!$B$5:$B$1005="ENVÍO A SUPESA")*(MOVIMIENTOS!$C$5:$C$1005="A")*(MOVIMIENTOS!$D$5:$D$1005="jabas")*(MOVIMIENTOS!$A$5:$A$1005&lt;&gt;"")*(MOVIMIENTOS!$A$5:$A$1005&lt;=$A889)*MOVIMIENTOS!$E$5:$E$1005)+SUMPRODUCT((MOVIMIENTOS!$B$5:$B$1005="DEVOLUCIÓN")*(MOVIMIENTOS!$C$5:$C$1005="A")*(MOVIMIENTOS!$D$5:$D$1005="jabas")*(MOVIMIENTOS!$A$5:$A$1005&lt;&gt;"")*(MOVIMIENTOS!$A$5:$A$1005&lt;=$A889)*MOVIMIENTOS!$E$5:$E$1005)-SUMPRODUCT((MOVIMIENTOS!$B$5:$B$1005="TRASIEGO")*(MOVIMIENTOS!$C$5:$C$1005="A")*(MOVIMIENTOS!$D$5:$D$1005="jabas")*(MOVIMIENTOS!$A$5:$A$1005&lt;&gt;"")*(MOVIMIENTOS!$A$5:$A$1005&lt;=$A889)*MOVIMIENTOS!$E$5:$E$1005)-SUMPRODUCT((MOVIMIENTOS!$B$5:$B$1005="REGALO")*(MOVIMIENTOS!$C$5:$C$1005="A")*(MOVIMIENTOS!$D$5:$D$1005="jabas")*(MOVIMIENTOS!$A$5:$A$1005&lt;&gt;"")*(MOVIMIENTOS!$A$5:$A$1005&lt;=$A889)*MOVIMIENTOS!$E$5:$E$1005)-SUMPRODUCT((MOVIMIENTOS!$B$5:$B$1005="VENTA")*(MOVIMIENTOS!$C$5:$C$1005="A")*(MOVIMIENTOS!$D$5:$D$1005="jabas")*(MOVIMIENTOS!$A$5:$A$1005&lt;&gt;"")*(MOVIMIENTOS!$A$5:$A$1005&lt;=$A889)*MOVIMIENTOS!$E$5:$E$1005)+SUMPRODUCT((MOVIMIENTOS!$B$5:$B$1005="AJUSTE")*(MOVIMIENTOS!$C$5:$C$1005="A")*(MOVIMIENTOS!$D$5:$D$1005="jabas")*(MOVIMIENTOS!$A$5:$A$1005&lt;&gt;"")*(MOVIMIENTOS!$A$5:$A$1005&lt;=$A889)*MOVIMIENTOS!$E$5:$E$1005))</f>
        <v/>
      </c>
      <c r="C889" t="str">
        <f>IF($A889="","",SUMPRODUCT((MOVIMIENTOS!$B$5:$B$1005="SALDO INICIAL")*(MOVIMIENTOS!$C$5:$C$1005="P")*(MOVIMIENTOS!$D$5:$D$1005="jabas")*(MOVIMIENTOS!$A$5:$A$1005&lt;&gt;"")*(MOVIMIENTOS!$A$5:$A$1005&lt;=$A889)*MOVIMIENTOS!$E$5:$E$1005)+SUMPRODUCT((MOVIMIENTOS!$B$5:$B$1005="PROCESO")*(MOVIMIENTOS!$C$5:$C$1005="P")*(MOVIMIENTOS!$D$5:$D$1005="jabas")*(MOVIMIENTOS!$A$5:$A$1005&lt;&gt;"")*(MOVIMIENTOS!$A$5:$A$1005&lt;=$A889)*MOVIMIENTOS!$E$5:$E$1005)-SUMPRODUCT((MOVIMIENTOS!$B$5:$B$1005="ENVÍO A SUPESA")*(MOVIMIENTOS!$C$5:$C$1005="P")*(MOVIMIENTOS!$D$5:$D$1005="jabas")*(MOVIMIENTOS!$A$5:$A$1005&lt;&gt;"")*(MOVIMIENTOS!$A$5:$A$1005&lt;=$A889)*MOVIMIENTOS!$E$5:$E$1005)+SUMPRODUCT((MOVIMIENTOS!$B$5:$B$1005="DEVOLUCIÓN")*(MOVIMIENTOS!$C$5:$C$1005="P")*(MOVIMIENTOS!$D$5:$D$1005="jabas")*(MOVIMIENTOS!$A$5:$A$1005&lt;&gt;"")*(MOVIMIENTOS!$A$5:$A$1005&lt;=$A889)*MOVIMIENTOS!$E$5:$E$1005)-SUMPRODUCT((MOVIMIENTOS!$B$5:$B$1005="TRASIEGO")*(MOVIMIENTOS!$C$5:$C$1005="P")*(MOVIMIENTOS!$D$5:$D$1005="jabas")*(MOVIMIENTOS!$A$5:$A$1005&lt;&gt;"")*(MOVIMIENTOS!$A$5:$A$1005&lt;=$A889)*MOVIMIENTOS!$E$5:$E$1005)-SUMPRODUCT((MOVIMIENTOS!$B$5:$B$1005="REGALO")*(MOVIMIENTOS!$C$5:$C$1005="P")*(MOVIMIENTOS!$D$5:$D$1005="jabas")*(MOVIMIENTOS!$A$5:$A$1005&lt;&gt;"")*(MOVIMIENTOS!$A$5:$A$1005&lt;=$A889)*MOVIMIENTOS!$E$5:$E$1005)-SUMPRODUCT((MOVIMIENTOS!$B$5:$B$1005="VENTA")*(MOVIMIENTOS!$C$5:$C$1005="P")*(MOVIMIENTOS!$D$5:$D$1005="jabas")*(MOVIMIENTOS!$A$5:$A$1005&lt;&gt;"")*(MOVIMIENTOS!$A$5:$A$1005&lt;=$A889)*MOVIMIENTOS!$E$5:$E$1005)+SUMPRODUCT((MOVIMIENTOS!$B$5:$B$1005="AJUSTE")*(MOVIMIENTOS!$C$5:$C$1005="P")*(MOVIMIENTOS!$D$5:$D$1005="jabas")*(MOVIMIENTOS!$A$5:$A$1005&lt;&gt;"")*(MOVIMIENTOS!$A$5:$A$1005&lt;=$A889)*MOVIMIENTOS!$E$5:$E$1005))</f>
        <v/>
      </c>
      <c r="D889" t="str">
        <f>IF($A889="","",SUMPRODUCT((MOVIMIENTOS!$B$5:$B$1005="SALDO INICIAL")*(MOVIMIENTOS!$C$5:$C$1005="C")*(MOVIMIENTOS!$D$5:$D$1005="jabas")*(MOVIMIENTOS!$A$5:$A$1005&lt;&gt;"")*(MOVIMIENTOS!$A$5:$A$1005&lt;=$A889)*MOVIMIENTOS!$E$5:$E$1005)+SUMPRODUCT((MOVIMIENTOS!$B$5:$B$1005="PROCESO")*(MOVIMIENTOS!$C$5:$C$1005="C")*(MOVIMIENTOS!$D$5:$D$1005="jabas")*(MOVIMIENTOS!$A$5:$A$1005&lt;&gt;"")*(MOVIMIENTOS!$A$5:$A$1005&lt;=$A889)*MOVIMIENTOS!$E$5:$E$1005)-SUMPRODUCT((MOVIMIENTOS!$B$5:$B$1005="ENVÍO A SUPESA")*(MOVIMIENTOS!$C$5:$C$1005="C")*(MOVIMIENTOS!$D$5:$D$1005="jabas")*(MOVIMIENTOS!$A$5:$A$1005&lt;&gt;"")*(MOVIMIENTOS!$A$5:$A$1005&lt;=$A889)*MOVIMIENTOS!$E$5:$E$1005)+SUMPRODUCT((MOVIMIENTOS!$B$5:$B$1005="DEVOLUCIÓN")*(MOVIMIENTOS!$C$5:$C$1005="C")*(MOVIMIENTOS!$D$5:$D$1005="jabas")*(MOVIMIENTOS!$A$5:$A$1005&lt;&gt;"")*(MOVIMIENTOS!$A$5:$A$1005&lt;=$A889)*MOVIMIENTOS!$E$5:$E$1005)-SUMPRODUCT((MOVIMIENTOS!$B$5:$B$1005="TRASIEGO")*(MOVIMIENTOS!$C$5:$C$1005="C")*(MOVIMIENTOS!$D$5:$D$1005="jabas")*(MOVIMIENTOS!$A$5:$A$1005&lt;&gt;"")*(MOVIMIENTOS!$A$5:$A$1005&lt;=$A889)*MOVIMIENTOS!$E$5:$E$1005)-SUMPRODUCT((MOVIMIENTOS!$B$5:$B$1005="REGALO")*(MOVIMIENTOS!$C$5:$C$1005="C")*(MOVIMIENTOS!$D$5:$D$1005="jabas")*(MOVIMIENTOS!$A$5:$A$1005&lt;&gt;"")*(MOVIMIENTOS!$A$5:$A$1005&lt;=$A889)*MOVIMIENTOS!$E$5:$E$1005)-SUMPRODUCT((MOVIMIENTOS!$B$5:$B$1005="VENTA")*(MOVIMIENTOS!$C$5:$C$1005="C")*(MOVIMIENTOS!$D$5:$D$1005="jabas")*(MOVIMIENTOS!$A$5:$A$1005&lt;&gt;"")*(MOVIMIENTOS!$A$5:$A$1005&lt;=$A889)*MOVIMIENTOS!$E$5:$E$1005)+SUMPRODUCT((MOVIMIENTOS!$B$5:$B$1005="AJUSTE")*(MOVIMIENTOS!$C$5:$C$1005="C")*(MOVIMIENTOS!$D$5:$D$1005="jabas")*(MOVIMIENTOS!$A$5:$A$1005&lt;&gt;"")*(MOVIMIENTOS!$A$5:$A$1005&lt;=$A889)*MOVIMIENTOS!$E$5:$E$1005))</f>
        <v/>
      </c>
      <c r="E889" t="str">
        <f>IF($A889="","",SUMPRODUCT((MOVIMIENTOS!$B$5:$B$1005="SALDO INICIAL")*(MOVIMIENTOS!$C$5:$C$1005="M")*(MOVIMIENTOS!$D$5:$D$1005="jabas")*(MOVIMIENTOS!$A$5:$A$1005&lt;&gt;"")*(MOVIMIENTOS!$A$5:$A$1005&lt;=$A889)*MOVIMIENTOS!$E$5:$E$1005)+SUMPRODUCT((MOVIMIENTOS!$B$5:$B$1005="PROCESO")*(MOVIMIENTOS!$C$5:$C$1005="M")*(MOVIMIENTOS!$D$5:$D$1005="jabas")*(MOVIMIENTOS!$A$5:$A$1005&lt;&gt;"")*(MOVIMIENTOS!$A$5:$A$1005&lt;=$A889)*MOVIMIENTOS!$E$5:$E$1005)-SUMPRODUCT((MOVIMIENTOS!$B$5:$B$1005="ENVÍO A SUPESA")*(MOVIMIENTOS!$C$5:$C$1005="M")*(MOVIMIENTOS!$D$5:$D$1005="jabas")*(MOVIMIENTOS!$A$5:$A$1005&lt;&gt;"")*(MOVIMIENTOS!$A$5:$A$1005&lt;=$A889)*MOVIMIENTOS!$E$5:$E$1005)+SUMPRODUCT((MOVIMIENTOS!$B$5:$B$1005="DEVOLUCIÓN")*(MOVIMIENTOS!$C$5:$C$1005="M")*(MOVIMIENTOS!$D$5:$D$1005="jabas")*(MOVIMIENTOS!$A$5:$A$1005&lt;&gt;"")*(MOVIMIENTOS!$A$5:$A$1005&lt;=$A889)*MOVIMIENTOS!$E$5:$E$1005)-SUMPRODUCT((MOVIMIENTOS!$B$5:$B$1005="TRASIEGO")*(MOVIMIENTOS!$C$5:$C$1005="M")*(MOVIMIENTOS!$D$5:$D$1005="jabas")*(MOVIMIENTOS!$A$5:$A$1005&lt;&gt;"")*(MOVIMIENTOS!$A$5:$A$1005&lt;=$A889)*MOVIMIENTOS!$E$5:$E$1005)-SUMPRODUCT((MOVIMIENTOS!$B$5:$B$1005="REGALO")*(MOVIMIENTOS!$C$5:$C$1005="M")*(MOVIMIENTOS!$D$5:$D$1005="jabas")*(MOVIMIENTOS!$A$5:$A$1005&lt;&gt;"")*(MOVIMIENTOS!$A$5:$A$1005&lt;=$A889)*MOVIMIENTOS!$E$5:$E$1005)-SUMPRODUCT((MOVIMIENTOS!$B$5:$B$1005="VENTA")*(MOVIMIENTOS!$C$5:$C$1005="M")*(MOVIMIENTOS!$D$5:$D$1005="jabas")*(MOVIMIENTOS!$A$5:$A$1005&lt;&gt;"")*(MOVIMIENTOS!$A$5:$A$1005&lt;=$A889)*MOVIMIENTOS!$E$5:$E$1005)+SUMPRODUCT((MOVIMIENTOS!$B$5:$B$1005="AJUSTE")*(MOVIMIENTOS!$C$5:$C$1005="M")*(MOVIMIENTOS!$D$5:$D$1005="jabas")*(MOVIMIENTOS!$A$5:$A$1005&lt;&gt;"")*(MOVIMIENTOS!$A$5:$A$1005&lt;=$A889)*MOVIMIENTOS!$E$5:$E$1005))</f>
        <v/>
      </c>
      <c r="F889" s="62" t="str">
        <f>IF($A889="","",SUMPRODUCT((MOVIMIENTOS!$B$5:$B$1005="SALDO INICIAL")*(MOVIMIENTOS!$C$5:$C$1005="Chancho")*(MOVIMIENTOS!$D$5:$D$1005="sacos")*(MOVIMIENTOS!$A$5:$A$1005&lt;&gt;"")*(MOVIMIENTOS!$A$5:$A$1005&lt;=$A889)*MOVIMIENTOS!$E$5:$E$1005)+SUMPRODUCT((MOVIMIENTOS!$B$5:$B$1005="PROCESO")*(MOVIMIENTOS!$C$5:$C$1005="Chancho")*(MOVIMIENTOS!$D$5:$D$1005="sacos")*(MOVIMIENTOS!$A$5:$A$1005&lt;&gt;"")*(MOVIMIENTOS!$A$5:$A$1005&lt;=$A889)*MOVIMIENTOS!$E$5:$E$1005)-SUMPRODUCT((MOVIMIENTOS!$B$5:$B$1005="VENTA CHANCHO")*(MOVIMIENTOS!$C$5:$C$1005="Chancho")*(MOVIMIENTOS!$D$5:$D$1005="sacos")*(MOVIMIENTOS!$A$5:$A$1005&lt;&gt;"")*(MOVIMIENTOS!$A$5:$A$1005&lt;=$A889)*MOVIMIENTOS!$E$5:$E$1005)-SUMPRODUCT((MOVIMIENTOS!$B$5:$B$1005="REGALO")*(MOVIMIENTOS!$C$5:$C$1005="Chancho")*(MOVIMIENTOS!$D$5:$D$1005="sacos")*(MOVIMIENTOS!$A$5:$A$1005&lt;&gt;"")*(MOVIMIENTOS!$A$5:$A$1005&lt;=$A889)*MOVIMIENTOS!$E$5:$E$1005)-SUMPRODUCT((MOVIMIENTOS!$B$5:$B$1005="VENTA")*(MOVIMIENTOS!$C$5:$C$1005="Chancho")*(MOVIMIENTOS!$D$5:$D$1005="sacos")*(MOVIMIENTOS!$A$5:$A$1005&lt;&gt;"")*(MOVIMIENTOS!$A$5:$A$1005&lt;=$A889)*MOVIMIENTOS!$E$5:$E$1005)+SUMPRODUCT((MOVIMIENTOS!$B$5:$B$1005="AJUSTE")*(MOVIMIENTOS!$C$5:$C$1005="Chancho")*(MOVIMIENTOS!$D$5:$D$1005="sacos")*(MOVIMIENTOS!$A$5:$A$1005&lt;&gt;"")*(MOVIMIENTOS!$A$5:$A$1005&lt;=$A889)*MOVIMIENTOS!$E$5:$E$1005))</f>
        <v/>
      </c>
      <c r="G889" s="62" t="str">
        <f t="shared" si="27"/>
        <v/>
      </c>
      <c r="H889" t="str">
        <f>IF($A889="","",SUMPRODUCT((((MOVIMIENTOS!$B$5:$B$1005="SALDO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889)*MOVIMIENTOS!$J$5:$J$1005))</f>
        <v/>
      </c>
      <c r="J889" t="str">
        <f>IF(AND(MOVIMIENTOS!$A894&lt;&gt;"",COUNTIF(MOVIMIENTOS!$A$5:$A893,MOVIMIENTOS!$A894)=0),COUNT(J$4:J888)+1,"")</f>
        <v/>
      </c>
      <c r="K889">
        <f>MOVIMIENTOS!$A894</f>
        <v>0</v>
      </c>
    </row>
    <row r="890" spans="1:11" ht="15" customHeight="1" x14ac:dyDescent="0.2">
      <c r="A890" t="str">
        <f t="shared" si="26"/>
        <v/>
      </c>
      <c r="B890" t="str">
        <f>IF($A890="","",SUMPRODUCT((MOVIMIENTOS!$B$5:$B$1005="SALDO INICIAL")*(MOVIMIENTOS!$C$5:$C$1005="A")*(MOVIMIENTOS!$D$5:$D$1005="jabas")*(MOVIMIENTOS!$A$5:$A$1005&lt;&gt;"")*(MOVIMIENTOS!$A$5:$A$1005&lt;=$A890)*MOVIMIENTOS!$E$5:$E$1005)+SUMPRODUCT((MOVIMIENTOS!$B$5:$B$1005="PROCESO")*(MOVIMIENTOS!$C$5:$C$1005="A")*(MOVIMIENTOS!$D$5:$D$1005="jabas")*(MOVIMIENTOS!$A$5:$A$1005&lt;&gt;"")*(MOVIMIENTOS!$A$5:$A$1005&lt;=$A890)*MOVIMIENTOS!$E$5:$E$1005)-SUMPRODUCT((MOVIMIENTOS!$B$5:$B$1005="ENVÍO A SUPESA")*(MOVIMIENTOS!$C$5:$C$1005="A")*(MOVIMIENTOS!$D$5:$D$1005="jabas")*(MOVIMIENTOS!$A$5:$A$1005&lt;&gt;"")*(MOVIMIENTOS!$A$5:$A$1005&lt;=$A890)*MOVIMIENTOS!$E$5:$E$1005)+SUMPRODUCT((MOVIMIENTOS!$B$5:$B$1005="DEVOLUCIÓN")*(MOVIMIENTOS!$C$5:$C$1005="A")*(MOVIMIENTOS!$D$5:$D$1005="jabas")*(MOVIMIENTOS!$A$5:$A$1005&lt;&gt;"")*(MOVIMIENTOS!$A$5:$A$1005&lt;=$A890)*MOVIMIENTOS!$E$5:$E$1005)-SUMPRODUCT((MOVIMIENTOS!$B$5:$B$1005="TRASIEGO")*(MOVIMIENTOS!$C$5:$C$1005="A")*(MOVIMIENTOS!$D$5:$D$1005="jabas")*(MOVIMIENTOS!$A$5:$A$1005&lt;&gt;"")*(MOVIMIENTOS!$A$5:$A$1005&lt;=$A890)*MOVIMIENTOS!$E$5:$E$1005)-SUMPRODUCT((MOVIMIENTOS!$B$5:$B$1005="REGALO")*(MOVIMIENTOS!$C$5:$C$1005="A")*(MOVIMIENTOS!$D$5:$D$1005="jabas")*(MOVIMIENTOS!$A$5:$A$1005&lt;&gt;"")*(MOVIMIENTOS!$A$5:$A$1005&lt;=$A890)*MOVIMIENTOS!$E$5:$E$1005)-SUMPRODUCT((MOVIMIENTOS!$B$5:$B$1005="VENTA")*(MOVIMIENTOS!$C$5:$C$1005="A")*(MOVIMIENTOS!$D$5:$D$1005="jabas")*(MOVIMIENTOS!$A$5:$A$1005&lt;&gt;"")*(MOVIMIENTOS!$A$5:$A$1005&lt;=$A890)*MOVIMIENTOS!$E$5:$E$1005)+SUMPRODUCT((MOVIMIENTOS!$B$5:$B$1005="AJUSTE")*(MOVIMIENTOS!$C$5:$C$1005="A")*(MOVIMIENTOS!$D$5:$D$1005="jabas")*(MOVIMIENTOS!$A$5:$A$1005&lt;&gt;"")*(MOVIMIENTOS!$A$5:$A$1005&lt;=$A890)*MOVIMIENTOS!$E$5:$E$1005))</f>
        <v/>
      </c>
      <c r="C890" t="str">
        <f>IF($A890="","",SUMPRODUCT((MOVIMIENTOS!$B$5:$B$1005="SALDO INICIAL")*(MOVIMIENTOS!$C$5:$C$1005="P")*(MOVIMIENTOS!$D$5:$D$1005="jabas")*(MOVIMIENTOS!$A$5:$A$1005&lt;&gt;"")*(MOVIMIENTOS!$A$5:$A$1005&lt;=$A890)*MOVIMIENTOS!$E$5:$E$1005)+SUMPRODUCT((MOVIMIENTOS!$B$5:$B$1005="PROCESO")*(MOVIMIENTOS!$C$5:$C$1005="P")*(MOVIMIENTOS!$D$5:$D$1005="jabas")*(MOVIMIENTOS!$A$5:$A$1005&lt;&gt;"")*(MOVIMIENTOS!$A$5:$A$1005&lt;=$A890)*MOVIMIENTOS!$E$5:$E$1005)-SUMPRODUCT((MOVIMIENTOS!$B$5:$B$1005="ENVÍO A SUPESA")*(MOVIMIENTOS!$C$5:$C$1005="P")*(MOVIMIENTOS!$D$5:$D$1005="jabas")*(MOVIMIENTOS!$A$5:$A$1005&lt;&gt;"")*(MOVIMIENTOS!$A$5:$A$1005&lt;=$A890)*MOVIMIENTOS!$E$5:$E$1005)+SUMPRODUCT((MOVIMIENTOS!$B$5:$B$1005="DEVOLUCIÓN")*(MOVIMIENTOS!$C$5:$C$1005="P")*(MOVIMIENTOS!$D$5:$D$1005="jabas")*(MOVIMIENTOS!$A$5:$A$1005&lt;&gt;"")*(MOVIMIENTOS!$A$5:$A$1005&lt;=$A890)*MOVIMIENTOS!$E$5:$E$1005)-SUMPRODUCT((MOVIMIENTOS!$B$5:$B$1005="TRASIEGO")*(MOVIMIENTOS!$C$5:$C$1005="P")*(MOVIMIENTOS!$D$5:$D$1005="jabas")*(MOVIMIENTOS!$A$5:$A$1005&lt;&gt;"")*(MOVIMIENTOS!$A$5:$A$1005&lt;=$A890)*MOVIMIENTOS!$E$5:$E$1005)-SUMPRODUCT((MOVIMIENTOS!$B$5:$B$1005="REGALO")*(MOVIMIENTOS!$C$5:$C$1005="P")*(MOVIMIENTOS!$D$5:$D$1005="jabas")*(MOVIMIENTOS!$A$5:$A$1005&lt;&gt;"")*(MOVIMIENTOS!$A$5:$A$1005&lt;=$A890)*MOVIMIENTOS!$E$5:$E$1005)-SUMPRODUCT((MOVIMIENTOS!$B$5:$B$1005="VENTA")*(MOVIMIENTOS!$C$5:$C$1005="P")*(MOVIMIENTOS!$D$5:$D$1005="jabas")*(MOVIMIENTOS!$A$5:$A$1005&lt;&gt;"")*(MOVIMIENTOS!$A$5:$A$1005&lt;=$A890)*MOVIMIENTOS!$E$5:$E$1005)+SUMPRODUCT((MOVIMIENTOS!$B$5:$B$1005="AJUSTE")*(MOVIMIENTOS!$C$5:$C$1005="P")*(MOVIMIENTOS!$D$5:$D$1005="jabas")*(MOVIMIENTOS!$A$5:$A$1005&lt;&gt;"")*(MOVIMIENTOS!$A$5:$A$1005&lt;=$A890)*MOVIMIENTOS!$E$5:$E$1005))</f>
        <v/>
      </c>
      <c r="D890" t="str">
        <f>IF($A890="","",SUMPRODUCT((MOVIMIENTOS!$B$5:$B$1005="SALDO INICIAL")*(MOVIMIENTOS!$C$5:$C$1005="C")*(MOVIMIENTOS!$D$5:$D$1005="jabas")*(MOVIMIENTOS!$A$5:$A$1005&lt;&gt;"")*(MOVIMIENTOS!$A$5:$A$1005&lt;=$A890)*MOVIMIENTOS!$E$5:$E$1005)+SUMPRODUCT((MOVIMIENTOS!$B$5:$B$1005="PROCESO")*(MOVIMIENTOS!$C$5:$C$1005="C")*(MOVIMIENTOS!$D$5:$D$1005="jabas")*(MOVIMIENTOS!$A$5:$A$1005&lt;&gt;"")*(MOVIMIENTOS!$A$5:$A$1005&lt;=$A890)*MOVIMIENTOS!$E$5:$E$1005)-SUMPRODUCT((MOVIMIENTOS!$B$5:$B$1005="ENVÍO A SUPESA")*(MOVIMIENTOS!$C$5:$C$1005="C")*(MOVIMIENTOS!$D$5:$D$1005="jabas")*(MOVIMIENTOS!$A$5:$A$1005&lt;&gt;"")*(MOVIMIENTOS!$A$5:$A$1005&lt;=$A890)*MOVIMIENTOS!$E$5:$E$1005)+SUMPRODUCT((MOVIMIENTOS!$B$5:$B$1005="DEVOLUCIÓN")*(MOVIMIENTOS!$C$5:$C$1005="C")*(MOVIMIENTOS!$D$5:$D$1005="jabas")*(MOVIMIENTOS!$A$5:$A$1005&lt;&gt;"")*(MOVIMIENTOS!$A$5:$A$1005&lt;=$A890)*MOVIMIENTOS!$E$5:$E$1005)-SUMPRODUCT((MOVIMIENTOS!$B$5:$B$1005="TRASIEGO")*(MOVIMIENTOS!$C$5:$C$1005="C")*(MOVIMIENTOS!$D$5:$D$1005="jabas")*(MOVIMIENTOS!$A$5:$A$1005&lt;&gt;"")*(MOVIMIENTOS!$A$5:$A$1005&lt;=$A890)*MOVIMIENTOS!$E$5:$E$1005)-SUMPRODUCT((MOVIMIENTOS!$B$5:$B$1005="REGALO")*(MOVIMIENTOS!$C$5:$C$1005="C")*(MOVIMIENTOS!$D$5:$D$1005="jabas")*(MOVIMIENTOS!$A$5:$A$1005&lt;&gt;"")*(MOVIMIENTOS!$A$5:$A$1005&lt;=$A890)*MOVIMIENTOS!$E$5:$E$1005)-SUMPRODUCT((MOVIMIENTOS!$B$5:$B$1005="VENTA")*(MOVIMIENTOS!$C$5:$C$1005="C")*(MOVIMIENTOS!$D$5:$D$1005="jabas")*(MOVIMIENTOS!$A$5:$A$1005&lt;&gt;"")*(MOVIMIENTOS!$A$5:$A$1005&lt;=$A890)*MOVIMIENTOS!$E$5:$E$1005)+SUMPRODUCT((MOVIMIENTOS!$B$5:$B$1005="AJUSTE")*(MOVIMIENTOS!$C$5:$C$1005="C")*(MOVIMIENTOS!$D$5:$D$1005="jabas")*(MOVIMIENTOS!$A$5:$A$1005&lt;&gt;"")*(MOVIMIENTOS!$A$5:$A$1005&lt;=$A890)*MOVIMIENTOS!$E$5:$E$1005))</f>
        <v/>
      </c>
      <c r="E890" t="str">
        <f>IF($A890="","",SUMPRODUCT((MOVIMIENTOS!$B$5:$B$1005="SALDO INICIAL")*(MOVIMIENTOS!$C$5:$C$1005="M")*(MOVIMIENTOS!$D$5:$D$1005="jabas")*(MOVIMIENTOS!$A$5:$A$1005&lt;&gt;"")*(MOVIMIENTOS!$A$5:$A$1005&lt;=$A890)*MOVIMIENTOS!$E$5:$E$1005)+SUMPRODUCT((MOVIMIENTOS!$B$5:$B$1005="PROCESO")*(MOVIMIENTOS!$C$5:$C$1005="M")*(MOVIMIENTOS!$D$5:$D$1005="jabas")*(MOVIMIENTOS!$A$5:$A$1005&lt;&gt;"")*(MOVIMIENTOS!$A$5:$A$1005&lt;=$A890)*MOVIMIENTOS!$E$5:$E$1005)-SUMPRODUCT((MOVIMIENTOS!$B$5:$B$1005="ENVÍO A SUPESA")*(MOVIMIENTOS!$C$5:$C$1005="M")*(MOVIMIENTOS!$D$5:$D$1005="jabas")*(MOVIMIENTOS!$A$5:$A$1005&lt;&gt;"")*(MOVIMIENTOS!$A$5:$A$1005&lt;=$A890)*MOVIMIENTOS!$E$5:$E$1005)+SUMPRODUCT((MOVIMIENTOS!$B$5:$B$1005="DEVOLUCIÓN")*(MOVIMIENTOS!$C$5:$C$1005="M")*(MOVIMIENTOS!$D$5:$D$1005="jabas")*(MOVIMIENTOS!$A$5:$A$1005&lt;&gt;"")*(MOVIMIENTOS!$A$5:$A$1005&lt;=$A890)*MOVIMIENTOS!$E$5:$E$1005)-SUMPRODUCT((MOVIMIENTOS!$B$5:$B$1005="TRASIEGO")*(MOVIMIENTOS!$C$5:$C$1005="M")*(MOVIMIENTOS!$D$5:$D$1005="jabas")*(MOVIMIENTOS!$A$5:$A$1005&lt;&gt;"")*(MOVIMIENTOS!$A$5:$A$1005&lt;=$A890)*MOVIMIENTOS!$E$5:$E$1005)-SUMPRODUCT((MOVIMIENTOS!$B$5:$B$1005="REGALO")*(MOVIMIENTOS!$C$5:$C$1005="M")*(MOVIMIENTOS!$D$5:$D$1005="jabas")*(MOVIMIENTOS!$A$5:$A$1005&lt;&gt;"")*(MOVIMIENTOS!$A$5:$A$1005&lt;=$A890)*MOVIMIENTOS!$E$5:$E$1005)-SUMPRODUCT((MOVIMIENTOS!$B$5:$B$1005="VENTA")*(MOVIMIENTOS!$C$5:$C$1005="M")*(MOVIMIENTOS!$D$5:$D$1005="jabas")*(MOVIMIENTOS!$A$5:$A$1005&lt;&gt;"")*(MOVIMIENTOS!$A$5:$A$1005&lt;=$A890)*MOVIMIENTOS!$E$5:$E$1005)+SUMPRODUCT((MOVIMIENTOS!$B$5:$B$1005="AJUSTE")*(MOVIMIENTOS!$C$5:$C$1005="M")*(MOVIMIENTOS!$D$5:$D$1005="jabas")*(MOVIMIENTOS!$A$5:$A$1005&lt;&gt;"")*(MOVIMIENTOS!$A$5:$A$1005&lt;=$A890)*MOVIMIENTOS!$E$5:$E$1005))</f>
        <v/>
      </c>
      <c r="F890" s="62" t="str">
        <f>IF($A890="","",SUMPRODUCT((MOVIMIENTOS!$B$5:$B$1005="SALDO INICIAL")*(MOVIMIENTOS!$C$5:$C$1005="Chancho")*(MOVIMIENTOS!$D$5:$D$1005="sacos")*(MOVIMIENTOS!$A$5:$A$1005&lt;&gt;"")*(MOVIMIENTOS!$A$5:$A$1005&lt;=$A890)*MOVIMIENTOS!$E$5:$E$1005)+SUMPRODUCT((MOVIMIENTOS!$B$5:$B$1005="PROCESO")*(MOVIMIENTOS!$C$5:$C$1005="Chancho")*(MOVIMIENTOS!$D$5:$D$1005="sacos")*(MOVIMIENTOS!$A$5:$A$1005&lt;&gt;"")*(MOVIMIENTOS!$A$5:$A$1005&lt;=$A890)*MOVIMIENTOS!$E$5:$E$1005)-SUMPRODUCT((MOVIMIENTOS!$B$5:$B$1005="VENTA CHANCHO")*(MOVIMIENTOS!$C$5:$C$1005="Chancho")*(MOVIMIENTOS!$D$5:$D$1005="sacos")*(MOVIMIENTOS!$A$5:$A$1005&lt;&gt;"")*(MOVIMIENTOS!$A$5:$A$1005&lt;=$A890)*MOVIMIENTOS!$E$5:$E$1005)-SUMPRODUCT((MOVIMIENTOS!$B$5:$B$1005="REGALO")*(MOVIMIENTOS!$C$5:$C$1005="Chancho")*(MOVIMIENTOS!$D$5:$D$1005="sacos")*(MOVIMIENTOS!$A$5:$A$1005&lt;&gt;"")*(MOVIMIENTOS!$A$5:$A$1005&lt;=$A890)*MOVIMIENTOS!$E$5:$E$1005)-SUMPRODUCT((MOVIMIENTOS!$B$5:$B$1005="VENTA")*(MOVIMIENTOS!$C$5:$C$1005="Chancho")*(MOVIMIENTOS!$D$5:$D$1005="sacos")*(MOVIMIENTOS!$A$5:$A$1005&lt;&gt;"")*(MOVIMIENTOS!$A$5:$A$1005&lt;=$A890)*MOVIMIENTOS!$E$5:$E$1005)+SUMPRODUCT((MOVIMIENTOS!$B$5:$B$1005="AJUSTE")*(MOVIMIENTOS!$C$5:$C$1005="Chancho")*(MOVIMIENTOS!$D$5:$D$1005="sacos")*(MOVIMIENTOS!$A$5:$A$1005&lt;&gt;"")*(MOVIMIENTOS!$A$5:$A$1005&lt;=$A890)*MOVIMIENTOS!$E$5:$E$1005))</f>
        <v/>
      </c>
      <c r="G890" s="62" t="str">
        <f t="shared" si="27"/>
        <v/>
      </c>
      <c r="H890" t="str">
        <f>IF($A890="","",SUMPRODUCT((((MOVIMIENTOS!$B$5:$B$1005="SALDO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890)*MOVIMIENTOS!$J$5:$J$1005))</f>
        <v/>
      </c>
      <c r="J890" t="str">
        <f>IF(AND(MOVIMIENTOS!$A895&lt;&gt;"",COUNTIF(MOVIMIENTOS!$A$5:$A894,MOVIMIENTOS!$A895)=0),COUNT(J$4:J889)+1,"")</f>
        <v/>
      </c>
      <c r="K890">
        <f>MOVIMIENTOS!$A895</f>
        <v>0</v>
      </c>
    </row>
    <row r="891" spans="1:11" ht="15" customHeight="1" x14ac:dyDescent="0.2">
      <c r="A891" t="str">
        <f t="shared" si="26"/>
        <v/>
      </c>
      <c r="B891" t="str">
        <f>IF($A891="","",SUMPRODUCT((MOVIMIENTOS!$B$5:$B$1005="SALDO INICIAL")*(MOVIMIENTOS!$C$5:$C$1005="A")*(MOVIMIENTOS!$D$5:$D$1005="jabas")*(MOVIMIENTOS!$A$5:$A$1005&lt;&gt;"")*(MOVIMIENTOS!$A$5:$A$1005&lt;=$A891)*MOVIMIENTOS!$E$5:$E$1005)+SUMPRODUCT((MOVIMIENTOS!$B$5:$B$1005="PROCESO")*(MOVIMIENTOS!$C$5:$C$1005="A")*(MOVIMIENTOS!$D$5:$D$1005="jabas")*(MOVIMIENTOS!$A$5:$A$1005&lt;&gt;"")*(MOVIMIENTOS!$A$5:$A$1005&lt;=$A891)*MOVIMIENTOS!$E$5:$E$1005)-SUMPRODUCT((MOVIMIENTOS!$B$5:$B$1005="ENVÍO A SUPESA")*(MOVIMIENTOS!$C$5:$C$1005="A")*(MOVIMIENTOS!$D$5:$D$1005="jabas")*(MOVIMIENTOS!$A$5:$A$1005&lt;&gt;"")*(MOVIMIENTOS!$A$5:$A$1005&lt;=$A891)*MOVIMIENTOS!$E$5:$E$1005)+SUMPRODUCT((MOVIMIENTOS!$B$5:$B$1005="DEVOLUCIÓN")*(MOVIMIENTOS!$C$5:$C$1005="A")*(MOVIMIENTOS!$D$5:$D$1005="jabas")*(MOVIMIENTOS!$A$5:$A$1005&lt;&gt;"")*(MOVIMIENTOS!$A$5:$A$1005&lt;=$A891)*MOVIMIENTOS!$E$5:$E$1005)-SUMPRODUCT((MOVIMIENTOS!$B$5:$B$1005="TRASIEGO")*(MOVIMIENTOS!$C$5:$C$1005="A")*(MOVIMIENTOS!$D$5:$D$1005="jabas")*(MOVIMIENTOS!$A$5:$A$1005&lt;&gt;"")*(MOVIMIENTOS!$A$5:$A$1005&lt;=$A891)*MOVIMIENTOS!$E$5:$E$1005)-SUMPRODUCT((MOVIMIENTOS!$B$5:$B$1005="REGALO")*(MOVIMIENTOS!$C$5:$C$1005="A")*(MOVIMIENTOS!$D$5:$D$1005="jabas")*(MOVIMIENTOS!$A$5:$A$1005&lt;&gt;"")*(MOVIMIENTOS!$A$5:$A$1005&lt;=$A891)*MOVIMIENTOS!$E$5:$E$1005)-SUMPRODUCT((MOVIMIENTOS!$B$5:$B$1005="VENTA")*(MOVIMIENTOS!$C$5:$C$1005="A")*(MOVIMIENTOS!$D$5:$D$1005="jabas")*(MOVIMIENTOS!$A$5:$A$1005&lt;&gt;"")*(MOVIMIENTOS!$A$5:$A$1005&lt;=$A891)*MOVIMIENTOS!$E$5:$E$1005)+SUMPRODUCT((MOVIMIENTOS!$B$5:$B$1005="AJUSTE")*(MOVIMIENTOS!$C$5:$C$1005="A")*(MOVIMIENTOS!$D$5:$D$1005="jabas")*(MOVIMIENTOS!$A$5:$A$1005&lt;&gt;"")*(MOVIMIENTOS!$A$5:$A$1005&lt;=$A891)*MOVIMIENTOS!$E$5:$E$1005))</f>
        <v/>
      </c>
      <c r="C891" t="str">
        <f>IF($A891="","",SUMPRODUCT((MOVIMIENTOS!$B$5:$B$1005="SALDO INICIAL")*(MOVIMIENTOS!$C$5:$C$1005="P")*(MOVIMIENTOS!$D$5:$D$1005="jabas")*(MOVIMIENTOS!$A$5:$A$1005&lt;&gt;"")*(MOVIMIENTOS!$A$5:$A$1005&lt;=$A891)*MOVIMIENTOS!$E$5:$E$1005)+SUMPRODUCT((MOVIMIENTOS!$B$5:$B$1005="PROCESO")*(MOVIMIENTOS!$C$5:$C$1005="P")*(MOVIMIENTOS!$D$5:$D$1005="jabas")*(MOVIMIENTOS!$A$5:$A$1005&lt;&gt;"")*(MOVIMIENTOS!$A$5:$A$1005&lt;=$A891)*MOVIMIENTOS!$E$5:$E$1005)-SUMPRODUCT((MOVIMIENTOS!$B$5:$B$1005="ENVÍO A SUPESA")*(MOVIMIENTOS!$C$5:$C$1005="P")*(MOVIMIENTOS!$D$5:$D$1005="jabas")*(MOVIMIENTOS!$A$5:$A$1005&lt;&gt;"")*(MOVIMIENTOS!$A$5:$A$1005&lt;=$A891)*MOVIMIENTOS!$E$5:$E$1005)+SUMPRODUCT((MOVIMIENTOS!$B$5:$B$1005="DEVOLUCIÓN")*(MOVIMIENTOS!$C$5:$C$1005="P")*(MOVIMIENTOS!$D$5:$D$1005="jabas")*(MOVIMIENTOS!$A$5:$A$1005&lt;&gt;"")*(MOVIMIENTOS!$A$5:$A$1005&lt;=$A891)*MOVIMIENTOS!$E$5:$E$1005)-SUMPRODUCT((MOVIMIENTOS!$B$5:$B$1005="TRASIEGO")*(MOVIMIENTOS!$C$5:$C$1005="P")*(MOVIMIENTOS!$D$5:$D$1005="jabas")*(MOVIMIENTOS!$A$5:$A$1005&lt;&gt;"")*(MOVIMIENTOS!$A$5:$A$1005&lt;=$A891)*MOVIMIENTOS!$E$5:$E$1005)-SUMPRODUCT((MOVIMIENTOS!$B$5:$B$1005="REGALO")*(MOVIMIENTOS!$C$5:$C$1005="P")*(MOVIMIENTOS!$D$5:$D$1005="jabas")*(MOVIMIENTOS!$A$5:$A$1005&lt;&gt;"")*(MOVIMIENTOS!$A$5:$A$1005&lt;=$A891)*MOVIMIENTOS!$E$5:$E$1005)-SUMPRODUCT((MOVIMIENTOS!$B$5:$B$1005="VENTA")*(MOVIMIENTOS!$C$5:$C$1005="P")*(MOVIMIENTOS!$D$5:$D$1005="jabas")*(MOVIMIENTOS!$A$5:$A$1005&lt;&gt;"")*(MOVIMIENTOS!$A$5:$A$1005&lt;=$A891)*MOVIMIENTOS!$E$5:$E$1005)+SUMPRODUCT((MOVIMIENTOS!$B$5:$B$1005="AJUSTE")*(MOVIMIENTOS!$C$5:$C$1005="P")*(MOVIMIENTOS!$D$5:$D$1005="jabas")*(MOVIMIENTOS!$A$5:$A$1005&lt;&gt;"")*(MOVIMIENTOS!$A$5:$A$1005&lt;=$A891)*MOVIMIENTOS!$E$5:$E$1005))</f>
        <v/>
      </c>
      <c r="D891" t="str">
        <f>IF($A891="","",SUMPRODUCT((MOVIMIENTOS!$B$5:$B$1005="SALDO INICIAL")*(MOVIMIENTOS!$C$5:$C$1005="C")*(MOVIMIENTOS!$D$5:$D$1005="jabas")*(MOVIMIENTOS!$A$5:$A$1005&lt;&gt;"")*(MOVIMIENTOS!$A$5:$A$1005&lt;=$A891)*MOVIMIENTOS!$E$5:$E$1005)+SUMPRODUCT((MOVIMIENTOS!$B$5:$B$1005="PROCESO")*(MOVIMIENTOS!$C$5:$C$1005="C")*(MOVIMIENTOS!$D$5:$D$1005="jabas")*(MOVIMIENTOS!$A$5:$A$1005&lt;&gt;"")*(MOVIMIENTOS!$A$5:$A$1005&lt;=$A891)*MOVIMIENTOS!$E$5:$E$1005)-SUMPRODUCT((MOVIMIENTOS!$B$5:$B$1005="ENVÍO A SUPESA")*(MOVIMIENTOS!$C$5:$C$1005="C")*(MOVIMIENTOS!$D$5:$D$1005="jabas")*(MOVIMIENTOS!$A$5:$A$1005&lt;&gt;"")*(MOVIMIENTOS!$A$5:$A$1005&lt;=$A891)*MOVIMIENTOS!$E$5:$E$1005)+SUMPRODUCT((MOVIMIENTOS!$B$5:$B$1005="DEVOLUCIÓN")*(MOVIMIENTOS!$C$5:$C$1005="C")*(MOVIMIENTOS!$D$5:$D$1005="jabas")*(MOVIMIENTOS!$A$5:$A$1005&lt;&gt;"")*(MOVIMIENTOS!$A$5:$A$1005&lt;=$A891)*MOVIMIENTOS!$E$5:$E$1005)-SUMPRODUCT((MOVIMIENTOS!$B$5:$B$1005="TRASIEGO")*(MOVIMIENTOS!$C$5:$C$1005="C")*(MOVIMIENTOS!$D$5:$D$1005="jabas")*(MOVIMIENTOS!$A$5:$A$1005&lt;&gt;"")*(MOVIMIENTOS!$A$5:$A$1005&lt;=$A891)*MOVIMIENTOS!$E$5:$E$1005)-SUMPRODUCT((MOVIMIENTOS!$B$5:$B$1005="REGALO")*(MOVIMIENTOS!$C$5:$C$1005="C")*(MOVIMIENTOS!$D$5:$D$1005="jabas")*(MOVIMIENTOS!$A$5:$A$1005&lt;&gt;"")*(MOVIMIENTOS!$A$5:$A$1005&lt;=$A891)*MOVIMIENTOS!$E$5:$E$1005)-SUMPRODUCT((MOVIMIENTOS!$B$5:$B$1005="VENTA")*(MOVIMIENTOS!$C$5:$C$1005="C")*(MOVIMIENTOS!$D$5:$D$1005="jabas")*(MOVIMIENTOS!$A$5:$A$1005&lt;&gt;"")*(MOVIMIENTOS!$A$5:$A$1005&lt;=$A891)*MOVIMIENTOS!$E$5:$E$1005)+SUMPRODUCT((MOVIMIENTOS!$B$5:$B$1005="AJUSTE")*(MOVIMIENTOS!$C$5:$C$1005="C")*(MOVIMIENTOS!$D$5:$D$1005="jabas")*(MOVIMIENTOS!$A$5:$A$1005&lt;&gt;"")*(MOVIMIENTOS!$A$5:$A$1005&lt;=$A891)*MOVIMIENTOS!$E$5:$E$1005))</f>
        <v/>
      </c>
      <c r="E891" t="str">
        <f>IF($A891="","",SUMPRODUCT((MOVIMIENTOS!$B$5:$B$1005="SALDO INICIAL")*(MOVIMIENTOS!$C$5:$C$1005="M")*(MOVIMIENTOS!$D$5:$D$1005="jabas")*(MOVIMIENTOS!$A$5:$A$1005&lt;&gt;"")*(MOVIMIENTOS!$A$5:$A$1005&lt;=$A891)*MOVIMIENTOS!$E$5:$E$1005)+SUMPRODUCT((MOVIMIENTOS!$B$5:$B$1005="PROCESO")*(MOVIMIENTOS!$C$5:$C$1005="M")*(MOVIMIENTOS!$D$5:$D$1005="jabas")*(MOVIMIENTOS!$A$5:$A$1005&lt;&gt;"")*(MOVIMIENTOS!$A$5:$A$1005&lt;=$A891)*MOVIMIENTOS!$E$5:$E$1005)-SUMPRODUCT((MOVIMIENTOS!$B$5:$B$1005="ENVÍO A SUPESA")*(MOVIMIENTOS!$C$5:$C$1005="M")*(MOVIMIENTOS!$D$5:$D$1005="jabas")*(MOVIMIENTOS!$A$5:$A$1005&lt;&gt;"")*(MOVIMIENTOS!$A$5:$A$1005&lt;=$A891)*MOVIMIENTOS!$E$5:$E$1005)+SUMPRODUCT((MOVIMIENTOS!$B$5:$B$1005="DEVOLUCIÓN")*(MOVIMIENTOS!$C$5:$C$1005="M")*(MOVIMIENTOS!$D$5:$D$1005="jabas")*(MOVIMIENTOS!$A$5:$A$1005&lt;&gt;"")*(MOVIMIENTOS!$A$5:$A$1005&lt;=$A891)*MOVIMIENTOS!$E$5:$E$1005)-SUMPRODUCT((MOVIMIENTOS!$B$5:$B$1005="TRASIEGO")*(MOVIMIENTOS!$C$5:$C$1005="M")*(MOVIMIENTOS!$D$5:$D$1005="jabas")*(MOVIMIENTOS!$A$5:$A$1005&lt;&gt;"")*(MOVIMIENTOS!$A$5:$A$1005&lt;=$A891)*MOVIMIENTOS!$E$5:$E$1005)-SUMPRODUCT((MOVIMIENTOS!$B$5:$B$1005="REGALO")*(MOVIMIENTOS!$C$5:$C$1005="M")*(MOVIMIENTOS!$D$5:$D$1005="jabas")*(MOVIMIENTOS!$A$5:$A$1005&lt;&gt;"")*(MOVIMIENTOS!$A$5:$A$1005&lt;=$A891)*MOVIMIENTOS!$E$5:$E$1005)-SUMPRODUCT((MOVIMIENTOS!$B$5:$B$1005="VENTA")*(MOVIMIENTOS!$C$5:$C$1005="M")*(MOVIMIENTOS!$D$5:$D$1005="jabas")*(MOVIMIENTOS!$A$5:$A$1005&lt;&gt;"")*(MOVIMIENTOS!$A$5:$A$1005&lt;=$A891)*MOVIMIENTOS!$E$5:$E$1005)+SUMPRODUCT((MOVIMIENTOS!$B$5:$B$1005="AJUSTE")*(MOVIMIENTOS!$C$5:$C$1005="M")*(MOVIMIENTOS!$D$5:$D$1005="jabas")*(MOVIMIENTOS!$A$5:$A$1005&lt;&gt;"")*(MOVIMIENTOS!$A$5:$A$1005&lt;=$A891)*MOVIMIENTOS!$E$5:$E$1005))</f>
        <v/>
      </c>
      <c r="F891" s="62" t="str">
        <f>IF($A891="","",SUMPRODUCT((MOVIMIENTOS!$B$5:$B$1005="SALDO INICIAL")*(MOVIMIENTOS!$C$5:$C$1005="Chancho")*(MOVIMIENTOS!$D$5:$D$1005="sacos")*(MOVIMIENTOS!$A$5:$A$1005&lt;&gt;"")*(MOVIMIENTOS!$A$5:$A$1005&lt;=$A891)*MOVIMIENTOS!$E$5:$E$1005)+SUMPRODUCT((MOVIMIENTOS!$B$5:$B$1005="PROCESO")*(MOVIMIENTOS!$C$5:$C$1005="Chancho")*(MOVIMIENTOS!$D$5:$D$1005="sacos")*(MOVIMIENTOS!$A$5:$A$1005&lt;&gt;"")*(MOVIMIENTOS!$A$5:$A$1005&lt;=$A891)*MOVIMIENTOS!$E$5:$E$1005)-SUMPRODUCT((MOVIMIENTOS!$B$5:$B$1005="VENTA CHANCHO")*(MOVIMIENTOS!$C$5:$C$1005="Chancho")*(MOVIMIENTOS!$D$5:$D$1005="sacos")*(MOVIMIENTOS!$A$5:$A$1005&lt;&gt;"")*(MOVIMIENTOS!$A$5:$A$1005&lt;=$A891)*MOVIMIENTOS!$E$5:$E$1005)-SUMPRODUCT((MOVIMIENTOS!$B$5:$B$1005="REGALO")*(MOVIMIENTOS!$C$5:$C$1005="Chancho")*(MOVIMIENTOS!$D$5:$D$1005="sacos")*(MOVIMIENTOS!$A$5:$A$1005&lt;&gt;"")*(MOVIMIENTOS!$A$5:$A$1005&lt;=$A891)*MOVIMIENTOS!$E$5:$E$1005)-SUMPRODUCT((MOVIMIENTOS!$B$5:$B$1005="VENTA")*(MOVIMIENTOS!$C$5:$C$1005="Chancho")*(MOVIMIENTOS!$D$5:$D$1005="sacos")*(MOVIMIENTOS!$A$5:$A$1005&lt;&gt;"")*(MOVIMIENTOS!$A$5:$A$1005&lt;=$A891)*MOVIMIENTOS!$E$5:$E$1005)+SUMPRODUCT((MOVIMIENTOS!$B$5:$B$1005="AJUSTE")*(MOVIMIENTOS!$C$5:$C$1005="Chancho")*(MOVIMIENTOS!$D$5:$D$1005="sacos")*(MOVIMIENTOS!$A$5:$A$1005&lt;&gt;"")*(MOVIMIENTOS!$A$5:$A$1005&lt;=$A891)*MOVIMIENTOS!$E$5:$E$1005))</f>
        <v/>
      </c>
      <c r="G891" s="62" t="str">
        <f t="shared" si="27"/>
        <v/>
      </c>
      <c r="H891" t="str">
        <f>IF($A891="","",SUMPRODUCT((((MOVIMIENTOS!$B$5:$B$1005="SALDO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891)*MOVIMIENTOS!$J$5:$J$1005))</f>
        <v/>
      </c>
      <c r="J891" t="str">
        <f>IF(AND(MOVIMIENTOS!$A896&lt;&gt;"",COUNTIF(MOVIMIENTOS!$A$5:$A895,MOVIMIENTOS!$A896)=0),COUNT(J$4:J890)+1,"")</f>
        <v/>
      </c>
      <c r="K891">
        <f>MOVIMIENTOS!$A896</f>
        <v>0</v>
      </c>
    </row>
    <row r="892" spans="1:11" ht="15" customHeight="1" x14ac:dyDescent="0.2">
      <c r="A892" t="str">
        <f t="shared" si="26"/>
        <v/>
      </c>
      <c r="B892" t="str">
        <f>IF($A892="","",SUMPRODUCT((MOVIMIENTOS!$B$5:$B$1005="SALDO INICIAL")*(MOVIMIENTOS!$C$5:$C$1005="A")*(MOVIMIENTOS!$D$5:$D$1005="jabas")*(MOVIMIENTOS!$A$5:$A$1005&lt;&gt;"")*(MOVIMIENTOS!$A$5:$A$1005&lt;=$A892)*MOVIMIENTOS!$E$5:$E$1005)+SUMPRODUCT((MOVIMIENTOS!$B$5:$B$1005="PROCESO")*(MOVIMIENTOS!$C$5:$C$1005="A")*(MOVIMIENTOS!$D$5:$D$1005="jabas")*(MOVIMIENTOS!$A$5:$A$1005&lt;&gt;"")*(MOVIMIENTOS!$A$5:$A$1005&lt;=$A892)*MOVIMIENTOS!$E$5:$E$1005)-SUMPRODUCT((MOVIMIENTOS!$B$5:$B$1005="ENVÍO A SUPESA")*(MOVIMIENTOS!$C$5:$C$1005="A")*(MOVIMIENTOS!$D$5:$D$1005="jabas")*(MOVIMIENTOS!$A$5:$A$1005&lt;&gt;"")*(MOVIMIENTOS!$A$5:$A$1005&lt;=$A892)*MOVIMIENTOS!$E$5:$E$1005)+SUMPRODUCT((MOVIMIENTOS!$B$5:$B$1005="DEVOLUCIÓN")*(MOVIMIENTOS!$C$5:$C$1005="A")*(MOVIMIENTOS!$D$5:$D$1005="jabas")*(MOVIMIENTOS!$A$5:$A$1005&lt;&gt;"")*(MOVIMIENTOS!$A$5:$A$1005&lt;=$A892)*MOVIMIENTOS!$E$5:$E$1005)-SUMPRODUCT((MOVIMIENTOS!$B$5:$B$1005="TRASIEGO")*(MOVIMIENTOS!$C$5:$C$1005="A")*(MOVIMIENTOS!$D$5:$D$1005="jabas")*(MOVIMIENTOS!$A$5:$A$1005&lt;&gt;"")*(MOVIMIENTOS!$A$5:$A$1005&lt;=$A892)*MOVIMIENTOS!$E$5:$E$1005)-SUMPRODUCT((MOVIMIENTOS!$B$5:$B$1005="REGALO")*(MOVIMIENTOS!$C$5:$C$1005="A")*(MOVIMIENTOS!$D$5:$D$1005="jabas")*(MOVIMIENTOS!$A$5:$A$1005&lt;&gt;"")*(MOVIMIENTOS!$A$5:$A$1005&lt;=$A892)*MOVIMIENTOS!$E$5:$E$1005)-SUMPRODUCT((MOVIMIENTOS!$B$5:$B$1005="VENTA")*(MOVIMIENTOS!$C$5:$C$1005="A")*(MOVIMIENTOS!$D$5:$D$1005="jabas")*(MOVIMIENTOS!$A$5:$A$1005&lt;&gt;"")*(MOVIMIENTOS!$A$5:$A$1005&lt;=$A892)*MOVIMIENTOS!$E$5:$E$1005)+SUMPRODUCT((MOVIMIENTOS!$B$5:$B$1005="AJUSTE")*(MOVIMIENTOS!$C$5:$C$1005="A")*(MOVIMIENTOS!$D$5:$D$1005="jabas")*(MOVIMIENTOS!$A$5:$A$1005&lt;&gt;"")*(MOVIMIENTOS!$A$5:$A$1005&lt;=$A892)*MOVIMIENTOS!$E$5:$E$1005))</f>
        <v/>
      </c>
      <c r="C892" t="str">
        <f>IF($A892="","",SUMPRODUCT((MOVIMIENTOS!$B$5:$B$1005="SALDO INICIAL")*(MOVIMIENTOS!$C$5:$C$1005="P")*(MOVIMIENTOS!$D$5:$D$1005="jabas")*(MOVIMIENTOS!$A$5:$A$1005&lt;&gt;"")*(MOVIMIENTOS!$A$5:$A$1005&lt;=$A892)*MOVIMIENTOS!$E$5:$E$1005)+SUMPRODUCT((MOVIMIENTOS!$B$5:$B$1005="PROCESO")*(MOVIMIENTOS!$C$5:$C$1005="P")*(MOVIMIENTOS!$D$5:$D$1005="jabas")*(MOVIMIENTOS!$A$5:$A$1005&lt;&gt;"")*(MOVIMIENTOS!$A$5:$A$1005&lt;=$A892)*MOVIMIENTOS!$E$5:$E$1005)-SUMPRODUCT((MOVIMIENTOS!$B$5:$B$1005="ENVÍO A SUPESA")*(MOVIMIENTOS!$C$5:$C$1005="P")*(MOVIMIENTOS!$D$5:$D$1005="jabas")*(MOVIMIENTOS!$A$5:$A$1005&lt;&gt;"")*(MOVIMIENTOS!$A$5:$A$1005&lt;=$A892)*MOVIMIENTOS!$E$5:$E$1005)+SUMPRODUCT((MOVIMIENTOS!$B$5:$B$1005="DEVOLUCIÓN")*(MOVIMIENTOS!$C$5:$C$1005="P")*(MOVIMIENTOS!$D$5:$D$1005="jabas")*(MOVIMIENTOS!$A$5:$A$1005&lt;&gt;"")*(MOVIMIENTOS!$A$5:$A$1005&lt;=$A892)*MOVIMIENTOS!$E$5:$E$1005)-SUMPRODUCT((MOVIMIENTOS!$B$5:$B$1005="TRASIEGO")*(MOVIMIENTOS!$C$5:$C$1005="P")*(MOVIMIENTOS!$D$5:$D$1005="jabas")*(MOVIMIENTOS!$A$5:$A$1005&lt;&gt;"")*(MOVIMIENTOS!$A$5:$A$1005&lt;=$A892)*MOVIMIENTOS!$E$5:$E$1005)-SUMPRODUCT((MOVIMIENTOS!$B$5:$B$1005="REGALO")*(MOVIMIENTOS!$C$5:$C$1005="P")*(MOVIMIENTOS!$D$5:$D$1005="jabas")*(MOVIMIENTOS!$A$5:$A$1005&lt;&gt;"")*(MOVIMIENTOS!$A$5:$A$1005&lt;=$A892)*MOVIMIENTOS!$E$5:$E$1005)-SUMPRODUCT((MOVIMIENTOS!$B$5:$B$1005="VENTA")*(MOVIMIENTOS!$C$5:$C$1005="P")*(MOVIMIENTOS!$D$5:$D$1005="jabas")*(MOVIMIENTOS!$A$5:$A$1005&lt;&gt;"")*(MOVIMIENTOS!$A$5:$A$1005&lt;=$A892)*MOVIMIENTOS!$E$5:$E$1005)+SUMPRODUCT((MOVIMIENTOS!$B$5:$B$1005="AJUSTE")*(MOVIMIENTOS!$C$5:$C$1005="P")*(MOVIMIENTOS!$D$5:$D$1005="jabas")*(MOVIMIENTOS!$A$5:$A$1005&lt;&gt;"")*(MOVIMIENTOS!$A$5:$A$1005&lt;=$A892)*MOVIMIENTOS!$E$5:$E$1005))</f>
        <v/>
      </c>
      <c r="D892" t="str">
        <f>IF($A892="","",SUMPRODUCT((MOVIMIENTOS!$B$5:$B$1005="SALDO INICIAL")*(MOVIMIENTOS!$C$5:$C$1005="C")*(MOVIMIENTOS!$D$5:$D$1005="jabas")*(MOVIMIENTOS!$A$5:$A$1005&lt;&gt;"")*(MOVIMIENTOS!$A$5:$A$1005&lt;=$A892)*MOVIMIENTOS!$E$5:$E$1005)+SUMPRODUCT((MOVIMIENTOS!$B$5:$B$1005="PROCESO")*(MOVIMIENTOS!$C$5:$C$1005="C")*(MOVIMIENTOS!$D$5:$D$1005="jabas")*(MOVIMIENTOS!$A$5:$A$1005&lt;&gt;"")*(MOVIMIENTOS!$A$5:$A$1005&lt;=$A892)*MOVIMIENTOS!$E$5:$E$1005)-SUMPRODUCT((MOVIMIENTOS!$B$5:$B$1005="ENVÍO A SUPESA")*(MOVIMIENTOS!$C$5:$C$1005="C")*(MOVIMIENTOS!$D$5:$D$1005="jabas")*(MOVIMIENTOS!$A$5:$A$1005&lt;&gt;"")*(MOVIMIENTOS!$A$5:$A$1005&lt;=$A892)*MOVIMIENTOS!$E$5:$E$1005)+SUMPRODUCT((MOVIMIENTOS!$B$5:$B$1005="DEVOLUCIÓN")*(MOVIMIENTOS!$C$5:$C$1005="C")*(MOVIMIENTOS!$D$5:$D$1005="jabas")*(MOVIMIENTOS!$A$5:$A$1005&lt;&gt;"")*(MOVIMIENTOS!$A$5:$A$1005&lt;=$A892)*MOVIMIENTOS!$E$5:$E$1005)-SUMPRODUCT((MOVIMIENTOS!$B$5:$B$1005="TRASIEGO")*(MOVIMIENTOS!$C$5:$C$1005="C")*(MOVIMIENTOS!$D$5:$D$1005="jabas")*(MOVIMIENTOS!$A$5:$A$1005&lt;&gt;"")*(MOVIMIENTOS!$A$5:$A$1005&lt;=$A892)*MOVIMIENTOS!$E$5:$E$1005)-SUMPRODUCT((MOVIMIENTOS!$B$5:$B$1005="REGALO")*(MOVIMIENTOS!$C$5:$C$1005="C")*(MOVIMIENTOS!$D$5:$D$1005="jabas")*(MOVIMIENTOS!$A$5:$A$1005&lt;&gt;"")*(MOVIMIENTOS!$A$5:$A$1005&lt;=$A892)*MOVIMIENTOS!$E$5:$E$1005)-SUMPRODUCT((MOVIMIENTOS!$B$5:$B$1005="VENTA")*(MOVIMIENTOS!$C$5:$C$1005="C")*(MOVIMIENTOS!$D$5:$D$1005="jabas")*(MOVIMIENTOS!$A$5:$A$1005&lt;&gt;"")*(MOVIMIENTOS!$A$5:$A$1005&lt;=$A892)*MOVIMIENTOS!$E$5:$E$1005)+SUMPRODUCT((MOVIMIENTOS!$B$5:$B$1005="AJUSTE")*(MOVIMIENTOS!$C$5:$C$1005="C")*(MOVIMIENTOS!$D$5:$D$1005="jabas")*(MOVIMIENTOS!$A$5:$A$1005&lt;&gt;"")*(MOVIMIENTOS!$A$5:$A$1005&lt;=$A892)*MOVIMIENTOS!$E$5:$E$1005))</f>
        <v/>
      </c>
      <c r="E892" t="str">
        <f>IF($A892="","",SUMPRODUCT((MOVIMIENTOS!$B$5:$B$1005="SALDO INICIAL")*(MOVIMIENTOS!$C$5:$C$1005="M")*(MOVIMIENTOS!$D$5:$D$1005="jabas")*(MOVIMIENTOS!$A$5:$A$1005&lt;&gt;"")*(MOVIMIENTOS!$A$5:$A$1005&lt;=$A892)*MOVIMIENTOS!$E$5:$E$1005)+SUMPRODUCT((MOVIMIENTOS!$B$5:$B$1005="PROCESO")*(MOVIMIENTOS!$C$5:$C$1005="M")*(MOVIMIENTOS!$D$5:$D$1005="jabas")*(MOVIMIENTOS!$A$5:$A$1005&lt;&gt;"")*(MOVIMIENTOS!$A$5:$A$1005&lt;=$A892)*MOVIMIENTOS!$E$5:$E$1005)-SUMPRODUCT((MOVIMIENTOS!$B$5:$B$1005="ENVÍO A SUPESA")*(MOVIMIENTOS!$C$5:$C$1005="M")*(MOVIMIENTOS!$D$5:$D$1005="jabas")*(MOVIMIENTOS!$A$5:$A$1005&lt;&gt;"")*(MOVIMIENTOS!$A$5:$A$1005&lt;=$A892)*MOVIMIENTOS!$E$5:$E$1005)+SUMPRODUCT((MOVIMIENTOS!$B$5:$B$1005="DEVOLUCIÓN")*(MOVIMIENTOS!$C$5:$C$1005="M")*(MOVIMIENTOS!$D$5:$D$1005="jabas")*(MOVIMIENTOS!$A$5:$A$1005&lt;&gt;"")*(MOVIMIENTOS!$A$5:$A$1005&lt;=$A892)*MOVIMIENTOS!$E$5:$E$1005)-SUMPRODUCT((MOVIMIENTOS!$B$5:$B$1005="TRASIEGO")*(MOVIMIENTOS!$C$5:$C$1005="M")*(MOVIMIENTOS!$D$5:$D$1005="jabas")*(MOVIMIENTOS!$A$5:$A$1005&lt;&gt;"")*(MOVIMIENTOS!$A$5:$A$1005&lt;=$A892)*MOVIMIENTOS!$E$5:$E$1005)-SUMPRODUCT((MOVIMIENTOS!$B$5:$B$1005="REGALO")*(MOVIMIENTOS!$C$5:$C$1005="M")*(MOVIMIENTOS!$D$5:$D$1005="jabas")*(MOVIMIENTOS!$A$5:$A$1005&lt;&gt;"")*(MOVIMIENTOS!$A$5:$A$1005&lt;=$A892)*MOVIMIENTOS!$E$5:$E$1005)-SUMPRODUCT((MOVIMIENTOS!$B$5:$B$1005="VENTA")*(MOVIMIENTOS!$C$5:$C$1005="M")*(MOVIMIENTOS!$D$5:$D$1005="jabas")*(MOVIMIENTOS!$A$5:$A$1005&lt;&gt;"")*(MOVIMIENTOS!$A$5:$A$1005&lt;=$A892)*MOVIMIENTOS!$E$5:$E$1005)+SUMPRODUCT((MOVIMIENTOS!$B$5:$B$1005="AJUSTE")*(MOVIMIENTOS!$C$5:$C$1005="M")*(MOVIMIENTOS!$D$5:$D$1005="jabas")*(MOVIMIENTOS!$A$5:$A$1005&lt;&gt;"")*(MOVIMIENTOS!$A$5:$A$1005&lt;=$A892)*MOVIMIENTOS!$E$5:$E$1005))</f>
        <v/>
      </c>
      <c r="F892" s="62" t="str">
        <f>IF($A892="","",SUMPRODUCT((MOVIMIENTOS!$B$5:$B$1005="SALDO INICIAL")*(MOVIMIENTOS!$C$5:$C$1005="Chancho")*(MOVIMIENTOS!$D$5:$D$1005="sacos")*(MOVIMIENTOS!$A$5:$A$1005&lt;&gt;"")*(MOVIMIENTOS!$A$5:$A$1005&lt;=$A892)*MOVIMIENTOS!$E$5:$E$1005)+SUMPRODUCT((MOVIMIENTOS!$B$5:$B$1005="PROCESO")*(MOVIMIENTOS!$C$5:$C$1005="Chancho")*(MOVIMIENTOS!$D$5:$D$1005="sacos")*(MOVIMIENTOS!$A$5:$A$1005&lt;&gt;"")*(MOVIMIENTOS!$A$5:$A$1005&lt;=$A892)*MOVIMIENTOS!$E$5:$E$1005)-SUMPRODUCT((MOVIMIENTOS!$B$5:$B$1005="VENTA CHANCHO")*(MOVIMIENTOS!$C$5:$C$1005="Chancho")*(MOVIMIENTOS!$D$5:$D$1005="sacos")*(MOVIMIENTOS!$A$5:$A$1005&lt;&gt;"")*(MOVIMIENTOS!$A$5:$A$1005&lt;=$A892)*MOVIMIENTOS!$E$5:$E$1005)-SUMPRODUCT((MOVIMIENTOS!$B$5:$B$1005="REGALO")*(MOVIMIENTOS!$C$5:$C$1005="Chancho")*(MOVIMIENTOS!$D$5:$D$1005="sacos")*(MOVIMIENTOS!$A$5:$A$1005&lt;&gt;"")*(MOVIMIENTOS!$A$5:$A$1005&lt;=$A892)*MOVIMIENTOS!$E$5:$E$1005)-SUMPRODUCT((MOVIMIENTOS!$B$5:$B$1005="VENTA")*(MOVIMIENTOS!$C$5:$C$1005="Chancho")*(MOVIMIENTOS!$D$5:$D$1005="sacos")*(MOVIMIENTOS!$A$5:$A$1005&lt;&gt;"")*(MOVIMIENTOS!$A$5:$A$1005&lt;=$A892)*MOVIMIENTOS!$E$5:$E$1005)+SUMPRODUCT((MOVIMIENTOS!$B$5:$B$1005="AJUSTE")*(MOVIMIENTOS!$C$5:$C$1005="Chancho")*(MOVIMIENTOS!$D$5:$D$1005="sacos")*(MOVIMIENTOS!$A$5:$A$1005&lt;&gt;"")*(MOVIMIENTOS!$A$5:$A$1005&lt;=$A892)*MOVIMIENTOS!$E$5:$E$1005))</f>
        <v/>
      </c>
      <c r="G892" s="62" t="str">
        <f t="shared" si="27"/>
        <v/>
      </c>
      <c r="H892" t="str">
        <f>IF($A892="","",SUMPRODUCT((((MOVIMIENTOS!$B$5:$B$1005="SALDO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892)*MOVIMIENTOS!$J$5:$J$1005))</f>
        <v/>
      </c>
      <c r="J892" t="str">
        <f>IF(AND(MOVIMIENTOS!$A897&lt;&gt;"",COUNTIF(MOVIMIENTOS!$A$5:$A896,MOVIMIENTOS!$A897)=0),COUNT(J$4:J891)+1,"")</f>
        <v/>
      </c>
      <c r="K892">
        <f>MOVIMIENTOS!$A897</f>
        <v>0</v>
      </c>
    </row>
    <row r="893" spans="1:11" ht="15" customHeight="1" x14ac:dyDescent="0.2">
      <c r="A893" t="str">
        <f t="shared" si="26"/>
        <v/>
      </c>
      <c r="B893" t="str">
        <f>IF($A893="","",SUMPRODUCT((MOVIMIENTOS!$B$5:$B$1005="SALDO INICIAL")*(MOVIMIENTOS!$C$5:$C$1005="A")*(MOVIMIENTOS!$D$5:$D$1005="jabas")*(MOVIMIENTOS!$A$5:$A$1005&lt;&gt;"")*(MOVIMIENTOS!$A$5:$A$1005&lt;=$A893)*MOVIMIENTOS!$E$5:$E$1005)+SUMPRODUCT((MOVIMIENTOS!$B$5:$B$1005="PROCESO")*(MOVIMIENTOS!$C$5:$C$1005="A")*(MOVIMIENTOS!$D$5:$D$1005="jabas")*(MOVIMIENTOS!$A$5:$A$1005&lt;&gt;"")*(MOVIMIENTOS!$A$5:$A$1005&lt;=$A893)*MOVIMIENTOS!$E$5:$E$1005)-SUMPRODUCT((MOVIMIENTOS!$B$5:$B$1005="ENVÍO A SUPESA")*(MOVIMIENTOS!$C$5:$C$1005="A")*(MOVIMIENTOS!$D$5:$D$1005="jabas")*(MOVIMIENTOS!$A$5:$A$1005&lt;&gt;"")*(MOVIMIENTOS!$A$5:$A$1005&lt;=$A893)*MOVIMIENTOS!$E$5:$E$1005)+SUMPRODUCT((MOVIMIENTOS!$B$5:$B$1005="DEVOLUCIÓN")*(MOVIMIENTOS!$C$5:$C$1005="A")*(MOVIMIENTOS!$D$5:$D$1005="jabas")*(MOVIMIENTOS!$A$5:$A$1005&lt;&gt;"")*(MOVIMIENTOS!$A$5:$A$1005&lt;=$A893)*MOVIMIENTOS!$E$5:$E$1005)-SUMPRODUCT((MOVIMIENTOS!$B$5:$B$1005="TRASIEGO")*(MOVIMIENTOS!$C$5:$C$1005="A")*(MOVIMIENTOS!$D$5:$D$1005="jabas")*(MOVIMIENTOS!$A$5:$A$1005&lt;&gt;"")*(MOVIMIENTOS!$A$5:$A$1005&lt;=$A893)*MOVIMIENTOS!$E$5:$E$1005)-SUMPRODUCT((MOVIMIENTOS!$B$5:$B$1005="REGALO")*(MOVIMIENTOS!$C$5:$C$1005="A")*(MOVIMIENTOS!$D$5:$D$1005="jabas")*(MOVIMIENTOS!$A$5:$A$1005&lt;&gt;"")*(MOVIMIENTOS!$A$5:$A$1005&lt;=$A893)*MOVIMIENTOS!$E$5:$E$1005)-SUMPRODUCT((MOVIMIENTOS!$B$5:$B$1005="VENTA")*(MOVIMIENTOS!$C$5:$C$1005="A")*(MOVIMIENTOS!$D$5:$D$1005="jabas")*(MOVIMIENTOS!$A$5:$A$1005&lt;&gt;"")*(MOVIMIENTOS!$A$5:$A$1005&lt;=$A893)*MOVIMIENTOS!$E$5:$E$1005)+SUMPRODUCT((MOVIMIENTOS!$B$5:$B$1005="AJUSTE")*(MOVIMIENTOS!$C$5:$C$1005="A")*(MOVIMIENTOS!$D$5:$D$1005="jabas")*(MOVIMIENTOS!$A$5:$A$1005&lt;&gt;"")*(MOVIMIENTOS!$A$5:$A$1005&lt;=$A893)*MOVIMIENTOS!$E$5:$E$1005))</f>
        <v/>
      </c>
      <c r="C893" t="str">
        <f>IF($A893="","",SUMPRODUCT((MOVIMIENTOS!$B$5:$B$1005="SALDO INICIAL")*(MOVIMIENTOS!$C$5:$C$1005="P")*(MOVIMIENTOS!$D$5:$D$1005="jabas")*(MOVIMIENTOS!$A$5:$A$1005&lt;&gt;"")*(MOVIMIENTOS!$A$5:$A$1005&lt;=$A893)*MOVIMIENTOS!$E$5:$E$1005)+SUMPRODUCT((MOVIMIENTOS!$B$5:$B$1005="PROCESO")*(MOVIMIENTOS!$C$5:$C$1005="P")*(MOVIMIENTOS!$D$5:$D$1005="jabas")*(MOVIMIENTOS!$A$5:$A$1005&lt;&gt;"")*(MOVIMIENTOS!$A$5:$A$1005&lt;=$A893)*MOVIMIENTOS!$E$5:$E$1005)-SUMPRODUCT((MOVIMIENTOS!$B$5:$B$1005="ENVÍO A SUPESA")*(MOVIMIENTOS!$C$5:$C$1005="P")*(MOVIMIENTOS!$D$5:$D$1005="jabas")*(MOVIMIENTOS!$A$5:$A$1005&lt;&gt;"")*(MOVIMIENTOS!$A$5:$A$1005&lt;=$A893)*MOVIMIENTOS!$E$5:$E$1005)+SUMPRODUCT((MOVIMIENTOS!$B$5:$B$1005="DEVOLUCIÓN")*(MOVIMIENTOS!$C$5:$C$1005="P")*(MOVIMIENTOS!$D$5:$D$1005="jabas")*(MOVIMIENTOS!$A$5:$A$1005&lt;&gt;"")*(MOVIMIENTOS!$A$5:$A$1005&lt;=$A893)*MOVIMIENTOS!$E$5:$E$1005)-SUMPRODUCT((MOVIMIENTOS!$B$5:$B$1005="TRASIEGO")*(MOVIMIENTOS!$C$5:$C$1005="P")*(MOVIMIENTOS!$D$5:$D$1005="jabas")*(MOVIMIENTOS!$A$5:$A$1005&lt;&gt;"")*(MOVIMIENTOS!$A$5:$A$1005&lt;=$A893)*MOVIMIENTOS!$E$5:$E$1005)-SUMPRODUCT((MOVIMIENTOS!$B$5:$B$1005="REGALO")*(MOVIMIENTOS!$C$5:$C$1005="P")*(MOVIMIENTOS!$D$5:$D$1005="jabas")*(MOVIMIENTOS!$A$5:$A$1005&lt;&gt;"")*(MOVIMIENTOS!$A$5:$A$1005&lt;=$A893)*MOVIMIENTOS!$E$5:$E$1005)-SUMPRODUCT((MOVIMIENTOS!$B$5:$B$1005="VENTA")*(MOVIMIENTOS!$C$5:$C$1005="P")*(MOVIMIENTOS!$D$5:$D$1005="jabas")*(MOVIMIENTOS!$A$5:$A$1005&lt;&gt;"")*(MOVIMIENTOS!$A$5:$A$1005&lt;=$A893)*MOVIMIENTOS!$E$5:$E$1005)+SUMPRODUCT((MOVIMIENTOS!$B$5:$B$1005="AJUSTE")*(MOVIMIENTOS!$C$5:$C$1005="P")*(MOVIMIENTOS!$D$5:$D$1005="jabas")*(MOVIMIENTOS!$A$5:$A$1005&lt;&gt;"")*(MOVIMIENTOS!$A$5:$A$1005&lt;=$A893)*MOVIMIENTOS!$E$5:$E$1005))</f>
        <v/>
      </c>
      <c r="D893" t="str">
        <f>IF($A893="","",SUMPRODUCT((MOVIMIENTOS!$B$5:$B$1005="SALDO INICIAL")*(MOVIMIENTOS!$C$5:$C$1005="C")*(MOVIMIENTOS!$D$5:$D$1005="jabas")*(MOVIMIENTOS!$A$5:$A$1005&lt;&gt;"")*(MOVIMIENTOS!$A$5:$A$1005&lt;=$A893)*MOVIMIENTOS!$E$5:$E$1005)+SUMPRODUCT((MOVIMIENTOS!$B$5:$B$1005="PROCESO")*(MOVIMIENTOS!$C$5:$C$1005="C")*(MOVIMIENTOS!$D$5:$D$1005="jabas")*(MOVIMIENTOS!$A$5:$A$1005&lt;&gt;"")*(MOVIMIENTOS!$A$5:$A$1005&lt;=$A893)*MOVIMIENTOS!$E$5:$E$1005)-SUMPRODUCT((MOVIMIENTOS!$B$5:$B$1005="ENVÍO A SUPESA")*(MOVIMIENTOS!$C$5:$C$1005="C")*(MOVIMIENTOS!$D$5:$D$1005="jabas")*(MOVIMIENTOS!$A$5:$A$1005&lt;&gt;"")*(MOVIMIENTOS!$A$5:$A$1005&lt;=$A893)*MOVIMIENTOS!$E$5:$E$1005)+SUMPRODUCT((MOVIMIENTOS!$B$5:$B$1005="DEVOLUCIÓN")*(MOVIMIENTOS!$C$5:$C$1005="C")*(MOVIMIENTOS!$D$5:$D$1005="jabas")*(MOVIMIENTOS!$A$5:$A$1005&lt;&gt;"")*(MOVIMIENTOS!$A$5:$A$1005&lt;=$A893)*MOVIMIENTOS!$E$5:$E$1005)-SUMPRODUCT((MOVIMIENTOS!$B$5:$B$1005="TRASIEGO")*(MOVIMIENTOS!$C$5:$C$1005="C")*(MOVIMIENTOS!$D$5:$D$1005="jabas")*(MOVIMIENTOS!$A$5:$A$1005&lt;&gt;"")*(MOVIMIENTOS!$A$5:$A$1005&lt;=$A893)*MOVIMIENTOS!$E$5:$E$1005)-SUMPRODUCT((MOVIMIENTOS!$B$5:$B$1005="REGALO")*(MOVIMIENTOS!$C$5:$C$1005="C")*(MOVIMIENTOS!$D$5:$D$1005="jabas")*(MOVIMIENTOS!$A$5:$A$1005&lt;&gt;"")*(MOVIMIENTOS!$A$5:$A$1005&lt;=$A893)*MOVIMIENTOS!$E$5:$E$1005)-SUMPRODUCT((MOVIMIENTOS!$B$5:$B$1005="VENTA")*(MOVIMIENTOS!$C$5:$C$1005="C")*(MOVIMIENTOS!$D$5:$D$1005="jabas")*(MOVIMIENTOS!$A$5:$A$1005&lt;&gt;"")*(MOVIMIENTOS!$A$5:$A$1005&lt;=$A893)*MOVIMIENTOS!$E$5:$E$1005)+SUMPRODUCT((MOVIMIENTOS!$B$5:$B$1005="AJUSTE")*(MOVIMIENTOS!$C$5:$C$1005="C")*(MOVIMIENTOS!$D$5:$D$1005="jabas")*(MOVIMIENTOS!$A$5:$A$1005&lt;&gt;"")*(MOVIMIENTOS!$A$5:$A$1005&lt;=$A893)*MOVIMIENTOS!$E$5:$E$1005))</f>
        <v/>
      </c>
      <c r="E893" t="str">
        <f>IF($A893="","",SUMPRODUCT((MOVIMIENTOS!$B$5:$B$1005="SALDO INICIAL")*(MOVIMIENTOS!$C$5:$C$1005="M")*(MOVIMIENTOS!$D$5:$D$1005="jabas")*(MOVIMIENTOS!$A$5:$A$1005&lt;&gt;"")*(MOVIMIENTOS!$A$5:$A$1005&lt;=$A893)*MOVIMIENTOS!$E$5:$E$1005)+SUMPRODUCT((MOVIMIENTOS!$B$5:$B$1005="PROCESO")*(MOVIMIENTOS!$C$5:$C$1005="M")*(MOVIMIENTOS!$D$5:$D$1005="jabas")*(MOVIMIENTOS!$A$5:$A$1005&lt;&gt;"")*(MOVIMIENTOS!$A$5:$A$1005&lt;=$A893)*MOVIMIENTOS!$E$5:$E$1005)-SUMPRODUCT((MOVIMIENTOS!$B$5:$B$1005="ENVÍO A SUPESA")*(MOVIMIENTOS!$C$5:$C$1005="M")*(MOVIMIENTOS!$D$5:$D$1005="jabas")*(MOVIMIENTOS!$A$5:$A$1005&lt;&gt;"")*(MOVIMIENTOS!$A$5:$A$1005&lt;=$A893)*MOVIMIENTOS!$E$5:$E$1005)+SUMPRODUCT((MOVIMIENTOS!$B$5:$B$1005="DEVOLUCIÓN")*(MOVIMIENTOS!$C$5:$C$1005="M")*(MOVIMIENTOS!$D$5:$D$1005="jabas")*(MOVIMIENTOS!$A$5:$A$1005&lt;&gt;"")*(MOVIMIENTOS!$A$5:$A$1005&lt;=$A893)*MOVIMIENTOS!$E$5:$E$1005)-SUMPRODUCT((MOVIMIENTOS!$B$5:$B$1005="TRASIEGO")*(MOVIMIENTOS!$C$5:$C$1005="M")*(MOVIMIENTOS!$D$5:$D$1005="jabas")*(MOVIMIENTOS!$A$5:$A$1005&lt;&gt;"")*(MOVIMIENTOS!$A$5:$A$1005&lt;=$A893)*MOVIMIENTOS!$E$5:$E$1005)-SUMPRODUCT((MOVIMIENTOS!$B$5:$B$1005="REGALO")*(MOVIMIENTOS!$C$5:$C$1005="M")*(MOVIMIENTOS!$D$5:$D$1005="jabas")*(MOVIMIENTOS!$A$5:$A$1005&lt;&gt;"")*(MOVIMIENTOS!$A$5:$A$1005&lt;=$A893)*MOVIMIENTOS!$E$5:$E$1005)-SUMPRODUCT((MOVIMIENTOS!$B$5:$B$1005="VENTA")*(MOVIMIENTOS!$C$5:$C$1005="M")*(MOVIMIENTOS!$D$5:$D$1005="jabas")*(MOVIMIENTOS!$A$5:$A$1005&lt;&gt;"")*(MOVIMIENTOS!$A$5:$A$1005&lt;=$A893)*MOVIMIENTOS!$E$5:$E$1005)+SUMPRODUCT((MOVIMIENTOS!$B$5:$B$1005="AJUSTE")*(MOVIMIENTOS!$C$5:$C$1005="M")*(MOVIMIENTOS!$D$5:$D$1005="jabas")*(MOVIMIENTOS!$A$5:$A$1005&lt;&gt;"")*(MOVIMIENTOS!$A$5:$A$1005&lt;=$A893)*MOVIMIENTOS!$E$5:$E$1005))</f>
        <v/>
      </c>
      <c r="F893" s="62" t="str">
        <f>IF($A893="","",SUMPRODUCT((MOVIMIENTOS!$B$5:$B$1005="SALDO INICIAL")*(MOVIMIENTOS!$C$5:$C$1005="Chancho")*(MOVIMIENTOS!$D$5:$D$1005="sacos")*(MOVIMIENTOS!$A$5:$A$1005&lt;&gt;"")*(MOVIMIENTOS!$A$5:$A$1005&lt;=$A893)*MOVIMIENTOS!$E$5:$E$1005)+SUMPRODUCT((MOVIMIENTOS!$B$5:$B$1005="PROCESO")*(MOVIMIENTOS!$C$5:$C$1005="Chancho")*(MOVIMIENTOS!$D$5:$D$1005="sacos")*(MOVIMIENTOS!$A$5:$A$1005&lt;&gt;"")*(MOVIMIENTOS!$A$5:$A$1005&lt;=$A893)*MOVIMIENTOS!$E$5:$E$1005)-SUMPRODUCT((MOVIMIENTOS!$B$5:$B$1005="VENTA CHANCHO")*(MOVIMIENTOS!$C$5:$C$1005="Chancho")*(MOVIMIENTOS!$D$5:$D$1005="sacos")*(MOVIMIENTOS!$A$5:$A$1005&lt;&gt;"")*(MOVIMIENTOS!$A$5:$A$1005&lt;=$A893)*MOVIMIENTOS!$E$5:$E$1005)-SUMPRODUCT((MOVIMIENTOS!$B$5:$B$1005="REGALO")*(MOVIMIENTOS!$C$5:$C$1005="Chancho")*(MOVIMIENTOS!$D$5:$D$1005="sacos")*(MOVIMIENTOS!$A$5:$A$1005&lt;&gt;"")*(MOVIMIENTOS!$A$5:$A$1005&lt;=$A893)*MOVIMIENTOS!$E$5:$E$1005)-SUMPRODUCT((MOVIMIENTOS!$B$5:$B$1005="VENTA")*(MOVIMIENTOS!$C$5:$C$1005="Chancho")*(MOVIMIENTOS!$D$5:$D$1005="sacos")*(MOVIMIENTOS!$A$5:$A$1005&lt;&gt;"")*(MOVIMIENTOS!$A$5:$A$1005&lt;=$A893)*MOVIMIENTOS!$E$5:$E$1005)+SUMPRODUCT((MOVIMIENTOS!$B$5:$B$1005="AJUSTE")*(MOVIMIENTOS!$C$5:$C$1005="Chancho")*(MOVIMIENTOS!$D$5:$D$1005="sacos")*(MOVIMIENTOS!$A$5:$A$1005&lt;&gt;"")*(MOVIMIENTOS!$A$5:$A$1005&lt;=$A893)*MOVIMIENTOS!$E$5:$E$1005))</f>
        <v/>
      </c>
      <c r="G893" s="62" t="str">
        <f t="shared" si="27"/>
        <v/>
      </c>
      <c r="H893" t="str">
        <f>IF($A893="","",SUMPRODUCT((((MOVIMIENTOS!$B$5:$B$1005="SALDO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893)*MOVIMIENTOS!$J$5:$J$1005))</f>
        <v/>
      </c>
      <c r="J893" t="str">
        <f>IF(AND(MOVIMIENTOS!$A898&lt;&gt;"",COUNTIF(MOVIMIENTOS!$A$5:$A897,MOVIMIENTOS!$A898)=0),COUNT(J$4:J892)+1,"")</f>
        <v/>
      </c>
      <c r="K893">
        <f>MOVIMIENTOS!$A898</f>
        <v>0</v>
      </c>
    </row>
    <row r="894" spans="1:11" ht="15" customHeight="1" x14ac:dyDescent="0.2">
      <c r="A894" t="str">
        <f t="shared" si="26"/>
        <v/>
      </c>
      <c r="B894" t="str">
        <f>IF($A894="","",SUMPRODUCT((MOVIMIENTOS!$B$5:$B$1005="SALDO INICIAL")*(MOVIMIENTOS!$C$5:$C$1005="A")*(MOVIMIENTOS!$D$5:$D$1005="jabas")*(MOVIMIENTOS!$A$5:$A$1005&lt;&gt;"")*(MOVIMIENTOS!$A$5:$A$1005&lt;=$A894)*MOVIMIENTOS!$E$5:$E$1005)+SUMPRODUCT((MOVIMIENTOS!$B$5:$B$1005="PROCESO")*(MOVIMIENTOS!$C$5:$C$1005="A")*(MOVIMIENTOS!$D$5:$D$1005="jabas")*(MOVIMIENTOS!$A$5:$A$1005&lt;&gt;"")*(MOVIMIENTOS!$A$5:$A$1005&lt;=$A894)*MOVIMIENTOS!$E$5:$E$1005)-SUMPRODUCT((MOVIMIENTOS!$B$5:$B$1005="ENVÍO A SUPESA")*(MOVIMIENTOS!$C$5:$C$1005="A")*(MOVIMIENTOS!$D$5:$D$1005="jabas")*(MOVIMIENTOS!$A$5:$A$1005&lt;&gt;"")*(MOVIMIENTOS!$A$5:$A$1005&lt;=$A894)*MOVIMIENTOS!$E$5:$E$1005)+SUMPRODUCT((MOVIMIENTOS!$B$5:$B$1005="DEVOLUCIÓN")*(MOVIMIENTOS!$C$5:$C$1005="A")*(MOVIMIENTOS!$D$5:$D$1005="jabas")*(MOVIMIENTOS!$A$5:$A$1005&lt;&gt;"")*(MOVIMIENTOS!$A$5:$A$1005&lt;=$A894)*MOVIMIENTOS!$E$5:$E$1005)-SUMPRODUCT((MOVIMIENTOS!$B$5:$B$1005="TRASIEGO")*(MOVIMIENTOS!$C$5:$C$1005="A")*(MOVIMIENTOS!$D$5:$D$1005="jabas")*(MOVIMIENTOS!$A$5:$A$1005&lt;&gt;"")*(MOVIMIENTOS!$A$5:$A$1005&lt;=$A894)*MOVIMIENTOS!$E$5:$E$1005)-SUMPRODUCT((MOVIMIENTOS!$B$5:$B$1005="REGALO")*(MOVIMIENTOS!$C$5:$C$1005="A")*(MOVIMIENTOS!$D$5:$D$1005="jabas")*(MOVIMIENTOS!$A$5:$A$1005&lt;&gt;"")*(MOVIMIENTOS!$A$5:$A$1005&lt;=$A894)*MOVIMIENTOS!$E$5:$E$1005)-SUMPRODUCT((MOVIMIENTOS!$B$5:$B$1005="VENTA")*(MOVIMIENTOS!$C$5:$C$1005="A")*(MOVIMIENTOS!$D$5:$D$1005="jabas")*(MOVIMIENTOS!$A$5:$A$1005&lt;&gt;"")*(MOVIMIENTOS!$A$5:$A$1005&lt;=$A894)*MOVIMIENTOS!$E$5:$E$1005)+SUMPRODUCT((MOVIMIENTOS!$B$5:$B$1005="AJUSTE")*(MOVIMIENTOS!$C$5:$C$1005="A")*(MOVIMIENTOS!$D$5:$D$1005="jabas")*(MOVIMIENTOS!$A$5:$A$1005&lt;&gt;"")*(MOVIMIENTOS!$A$5:$A$1005&lt;=$A894)*MOVIMIENTOS!$E$5:$E$1005))</f>
        <v/>
      </c>
      <c r="C894" t="str">
        <f>IF($A894="","",SUMPRODUCT((MOVIMIENTOS!$B$5:$B$1005="SALDO INICIAL")*(MOVIMIENTOS!$C$5:$C$1005="P")*(MOVIMIENTOS!$D$5:$D$1005="jabas")*(MOVIMIENTOS!$A$5:$A$1005&lt;&gt;"")*(MOVIMIENTOS!$A$5:$A$1005&lt;=$A894)*MOVIMIENTOS!$E$5:$E$1005)+SUMPRODUCT((MOVIMIENTOS!$B$5:$B$1005="PROCESO")*(MOVIMIENTOS!$C$5:$C$1005="P")*(MOVIMIENTOS!$D$5:$D$1005="jabas")*(MOVIMIENTOS!$A$5:$A$1005&lt;&gt;"")*(MOVIMIENTOS!$A$5:$A$1005&lt;=$A894)*MOVIMIENTOS!$E$5:$E$1005)-SUMPRODUCT((MOVIMIENTOS!$B$5:$B$1005="ENVÍO A SUPESA")*(MOVIMIENTOS!$C$5:$C$1005="P")*(MOVIMIENTOS!$D$5:$D$1005="jabas")*(MOVIMIENTOS!$A$5:$A$1005&lt;&gt;"")*(MOVIMIENTOS!$A$5:$A$1005&lt;=$A894)*MOVIMIENTOS!$E$5:$E$1005)+SUMPRODUCT((MOVIMIENTOS!$B$5:$B$1005="DEVOLUCIÓN")*(MOVIMIENTOS!$C$5:$C$1005="P")*(MOVIMIENTOS!$D$5:$D$1005="jabas")*(MOVIMIENTOS!$A$5:$A$1005&lt;&gt;"")*(MOVIMIENTOS!$A$5:$A$1005&lt;=$A894)*MOVIMIENTOS!$E$5:$E$1005)-SUMPRODUCT((MOVIMIENTOS!$B$5:$B$1005="TRASIEGO")*(MOVIMIENTOS!$C$5:$C$1005="P")*(MOVIMIENTOS!$D$5:$D$1005="jabas")*(MOVIMIENTOS!$A$5:$A$1005&lt;&gt;"")*(MOVIMIENTOS!$A$5:$A$1005&lt;=$A894)*MOVIMIENTOS!$E$5:$E$1005)-SUMPRODUCT((MOVIMIENTOS!$B$5:$B$1005="REGALO")*(MOVIMIENTOS!$C$5:$C$1005="P")*(MOVIMIENTOS!$D$5:$D$1005="jabas")*(MOVIMIENTOS!$A$5:$A$1005&lt;&gt;"")*(MOVIMIENTOS!$A$5:$A$1005&lt;=$A894)*MOVIMIENTOS!$E$5:$E$1005)-SUMPRODUCT((MOVIMIENTOS!$B$5:$B$1005="VENTA")*(MOVIMIENTOS!$C$5:$C$1005="P")*(MOVIMIENTOS!$D$5:$D$1005="jabas")*(MOVIMIENTOS!$A$5:$A$1005&lt;&gt;"")*(MOVIMIENTOS!$A$5:$A$1005&lt;=$A894)*MOVIMIENTOS!$E$5:$E$1005)+SUMPRODUCT((MOVIMIENTOS!$B$5:$B$1005="AJUSTE")*(MOVIMIENTOS!$C$5:$C$1005="P")*(MOVIMIENTOS!$D$5:$D$1005="jabas")*(MOVIMIENTOS!$A$5:$A$1005&lt;&gt;"")*(MOVIMIENTOS!$A$5:$A$1005&lt;=$A894)*MOVIMIENTOS!$E$5:$E$1005))</f>
        <v/>
      </c>
      <c r="D894" t="str">
        <f>IF($A894="","",SUMPRODUCT((MOVIMIENTOS!$B$5:$B$1005="SALDO INICIAL")*(MOVIMIENTOS!$C$5:$C$1005="C")*(MOVIMIENTOS!$D$5:$D$1005="jabas")*(MOVIMIENTOS!$A$5:$A$1005&lt;&gt;"")*(MOVIMIENTOS!$A$5:$A$1005&lt;=$A894)*MOVIMIENTOS!$E$5:$E$1005)+SUMPRODUCT((MOVIMIENTOS!$B$5:$B$1005="PROCESO")*(MOVIMIENTOS!$C$5:$C$1005="C")*(MOVIMIENTOS!$D$5:$D$1005="jabas")*(MOVIMIENTOS!$A$5:$A$1005&lt;&gt;"")*(MOVIMIENTOS!$A$5:$A$1005&lt;=$A894)*MOVIMIENTOS!$E$5:$E$1005)-SUMPRODUCT((MOVIMIENTOS!$B$5:$B$1005="ENVÍO A SUPESA")*(MOVIMIENTOS!$C$5:$C$1005="C")*(MOVIMIENTOS!$D$5:$D$1005="jabas")*(MOVIMIENTOS!$A$5:$A$1005&lt;&gt;"")*(MOVIMIENTOS!$A$5:$A$1005&lt;=$A894)*MOVIMIENTOS!$E$5:$E$1005)+SUMPRODUCT((MOVIMIENTOS!$B$5:$B$1005="DEVOLUCIÓN")*(MOVIMIENTOS!$C$5:$C$1005="C")*(MOVIMIENTOS!$D$5:$D$1005="jabas")*(MOVIMIENTOS!$A$5:$A$1005&lt;&gt;"")*(MOVIMIENTOS!$A$5:$A$1005&lt;=$A894)*MOVIMIENTOS!$E$5:$E$1005)-SUMPRODUCT((MOVIMIENTOS!$B$5:$B$1005="TRASIEGO")*(MOVIMIENTOS!$C$5:$C$1005="C")*(MOVIMIENTOS!$D$5:$D$1005="jabas")*(MOVIMIENTOS!$A$5:$A$1005&lt;&gt;"")*(MOVIMIENTOS!$A$5:$A$1005&lt;=$A894)*MOVIMIENTOS!$E$5:$E$1005)-SUMPRODUCT((MOVIMIENTOS!$B$5:$B$1005="REGALO")*(MOVIMIENTOS!$C$5:$C$1005="C")*(MOVIMIENTOS!$D$5:$D$1005="jabas")*(MOVIMIENTOS!$A$5:$A$1005&lt;&gt;"")*(MOVIMIENTOS!$A$5:$A$1005&lt;=$A894)*MOVIMIENTOS!$E$5:$E$1005)-SUMPRODUCT((MOVIMIENTOS!$B$5:$B$1005="VENTA")*(MOVIMIENTOS!$C$5:$C$1005="C")*(MOVIMIENTOS!$D$5:$D$1005="jabas")*(MOVIMIENTOS!$A$5:$A$1005&lt;&gt;"")*(MOVIMIENTOS!$A$5:$A$1005&lt;=$A894)*MOVIMIENTOS!$E$5:$E$1005)+SUMPRODUCT((MOVIMIENTOS!$B$5:$B$1005="AJUSTE")*(MOVIMIENTOS!$C$5:$C$1005="C")*(MOVIMIENTOS!$D$5:$D$1005="jabas")*(MOVIMIENTOS!$A$5:$A$1005&lt;&gt;"")*(MOVIMIENTOS!$A$5:$A$1005&lt;=$A894)*MOVIMIENTOS!$E$5:$E$1005))</f>
        <v/>
      </c>
      <c r="E894" t="str">
        <f>IF($A894="","",SUMPRODUCT((MOVIMIENTOS!$B$5:$B$1005="SALDO INICIAL")*(MOVIMIENTOS!$C$5:$C$1005="M")*(MOVIMIENTOS!$D$5:$D$1005="jabas")*(MOVIMIENTOS!$A$5:$A$1005&lt;&gt;"")*(MOVIMIENTOS!$A$5:$A$1005&lt;=$A894)*MOVIMIENTOS!$E$5:$E$1005)+SUMPRODUCT((MOVIMIENTOS!$B$5:$B$1005="PROCESO")*(MOVIMIENTOS!$C$5:$C$1005="M")*(MOVIMIENTOS!$D$5:$D$1005="jabas")*(MOVIMIENTOS!$A$5:$A$1005&lt;&gt;"")*(MOVIMIENTOS!$A$5:$A$1005&lt;=$A894)*MOVIMIENTOS!$E$5:$E$1005)-SUMPRODUCT((MOVIMIENTOS!$B$5:$B$1005="ENVÍO A SUPESA")*(MOVIMIENTOS!$C$5:$C$1005="M")*(MOVIMIENTOS!$D$5:$D$1005="jabas")*(MOVIMIENTOS!$A$5:$A$1005&lt;&gt;"")*(MOVIMIENTOS!$A$5:$A$1005&lt;=$A894)*MOVIMIENTOS!$E$5:$E$1005)+SUMPRODUCT((MOVIMIENTOS!$B$5:$B$1005="DEVOLUCIÓN")*(MOVIMIENTOS!$C$5:$C$1005="M")*(MOVIMIENTOS!$D$5:$D$1005="jabas")*(MOVIMIENTOS!$A$5:$A$1005&lt;&gt;"")*(MOVIMIENTOS!$A$5:$A$1005&lt;=$A894)*MOVIMIENTOS!$E$5:$E$1005)-SUMPRODUCT((MOVIMIENTOS!$B$5:$B$1005="TRASIEGO")*(MOVIMIENTOS!$C$5:$C$1005="M")*(MOVIMIENTOS!$D$5:$D$1005="jabas")*(MOVIMIENTOS!$A$5:$A$1005&lt;&gt;"")*(MOVIMIENTOS!$A$5:$A$1005&lt;=$A894)*MOVIMIENTOS!$E$5:$E$1005)-SUMPRODUCT((MOVIMIENTOS!$B$5:$B$1005="REGALO")*(MOVIMIENTOS!$C$5:$C$1005="M")*(MOVIMIENTOS!$D$5:$D$1005="jabas")*(MOVIMIENTOS!$A$5:$A$1005&lt;&gt;"")*(MOVIMIENTOS!$A$5:$A$1005&lt;=$A894)*MOVIMIENTOS!$E$5:$E$1005)-SUMPRODUCT((MOVIMIENTOS!$B$5:$B$1005="VENTA")*(MOVIMIENTOS!$C$5:$C$1005="M")*(MOVIMIENTOS!$D$5:$D$1005="jabas")*(MOVIMIENTOS!$A$5:$A$1005&lt;&gt;"")*(MOVIMIENTOS!$A$5:$A$1005&lt;=$A894)*MOVIMIENTOS!$E$5:$E$1005)+SUMPRODUCT((MOVIMIENTOS!$B$5:$B$1005="AJUSTE")*(MOVIMIENTOS!$C$5:$C$1005="M")*(MOVIMIENTOS!$D$5:$D$1005="jabas")*(MOVIMIENTOS!$A$5:$A$1005&lt;&gt;"")*(MOVIMIENTOS!$A$5:$A$1005&lt;=$A894)*MOVIMIENTOS!$E$5:$E$1005))</f>
        <v/>
      </c>
      <c r="F894" s="62" t="str">
        <f>IF($A894="","",SUMPRODUCT((MOVIMIENTOS!$B$5:$B$1005="SALDO INICIAL")*(MOVIMIENTOS!$C$5:$C$1005="Chancho")*(MOVIMIENTOS!$D$5:$D$1005="sacos")*(MOVIMIENTOS!$A$5:$A$1005&lt;&gt;"")*(MOVIMIENTOS!$A$5:$A$1005&lt;=$A894)*MOVIMIENTOS!$E$5:$E$1005)+SUMPRODUCT((MOVIMIENTOS!$B$5:$B$1005="PROCESO")*(MOVIMIENTOS!$C$5:$C$1005="Chancho")*(MOVIMIENTOS!$D$5:$D$1005="sacos")*(MOVIMIENTOS!$A$5:$A$1005&lt;&gt;"")*(MOVIMIENTOS!$A$5:$A$1005&lt;=$A894)*MOVIMIENTOS!$E$5:$E$1005)-SUMPRODUCT((MOVIMIENTOS!$B$5:$B$1005="VENTA CHANCHO")*(MOVIMIENTOS!$C$5:$C$1005="Chancho")*(MOVIMIENTOS!$D$5:$D$1005="sacos")*(MOVIMIENTOS!$A$5:$A$1005&lt;&gt;"")*(MOVIMIENTOS!$A$5:$A$1005&lt;=$A894)*MOVIMIENTOS!$E$5:$E$1005)-SUMPRODUCT((MOVIMIENTOS!$B$5:$B$1005="REGALO")*(MOVIMIENTOS!$C$5:$C$1005="Chancho")*(MOVIMIENTOS!$D$5:$D$1005="sacos")*(MOVIMIENTOS!$A$5:$A$1005&lt;&gt;"")*(MOVIMIENTOS!$A$5:$A$1005&lt;=$A894)*MOVIMIENTOS!$E$5:$E$1005)-SUMPRODUCT((MOVIMIENTOS!$B$5:$B$1005="VENTA")*(MOVIMIENTOS!$C$5:$C$1005="Chancho")*(MOVIMIENTOS!$D$5:$D$1005="sacos")*(MOVIMIENTOS!$A$5:$A$1005&lt;&gt;"")*(MOVIMIENTOS!$A$5:$A$1005&lt;=$A894)*MOVIMIENTOS!$E$5:$E$1005)+SUMPRODUCT((MOVIMIENTOS!$B$5:$B$1005="AJUSTE")*(MOVIMIENTOS!$C$5:$C$1005="Chancho")*(MOVIMIENTOS!$D$5:$D$1005="sacos")*(MOVIMIENTOS!$A$5:$A$1005&lt;&gt;"")*(MOVIMIENTOS!$A$5:$A$1005&lt;=$A894)*MOVIMIENTOS!$E$5:$E$1005))</f>
        <v/>
      </c>
      <c r="G894" s="62" t="str">
        <f t="shared" si="27"/>
        <v/>
      </c>
      <c r="H894" t="str">
        <f>IF($A894="","",SUMPRODUCT((((MOVIMIENTOS!$B$5:$B$1005="SALDO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894)*MOVIMIENTOS!$J$5:$J$1005))</f>
        <v/>
      </c>
      <c r="J894" t="str">
        <f>IF(AND(MOVIMIENTOS!$A899&lt;&gt;"",COUNTIF(MOVIMIENTOS!$A$5:$A898,MOVIMIENTOS!$A899)=0),COUNT(J$4:J893)+1,"")</f>
        <v/>
      </c>
      <c r="K894">
        <f>MOVIMIENTOS!$A899</f>
        <v>0</v>
      </c>
    </row>
    <row r="895" spans="1:11" ht="15" customHeight="1" x14ac:dyDescent="0.2">
      <c r="A895" t="str">
        <f t="shared" si="26"/>
        <v/>
      </c>
      <c r="B895" t="str">
        <f>IF($A895="","",SUMPRODUCT((MOVIMIENTOS!$B$5:$B$1005="SALDO INICIAL")*(MOVIMIENTOS!$C$5:$C$1005="A")*(MOVIMIENTOS!$D$5:$D$1005="jabas")*(MOVIMIENTOS!$A$5:$A$1005&lt;&gt;"")*(MOVIMIENTOS!$A$5:$A$1005&lt;=$A895)*MOVIMIENTOS!$E$5:$E$1005)+SUMPRODUCT((MOVIMIENTOS!$B$5:$B$1005="PROCESO")*(MOVIMIENTOS!$C$5:$C$1005="A")*(MOVIMIENTOS!$D$5:$D$1005="jabas")*(MOVIMIENTOS!$A$5:$A$1005&lt;&gt;"")*(MOVIMIENTOS!$A$5:$A$1005&lt;=$A895)*MOVIMIENTOS!$E$5:$E$1005)-SUMPRODUCT((MOVIMIENTOS!$B$5:$B$1005="ENVÍO A SUPESA")*(MOVIMIENTOS!$C$5:$C$1005="A")*(MOVIMIENTOS!$D$5:$D$1005="jabas")*(MOVIMIENTOS!$A$5:$A$1005&lt;&gt;"")*(MOVIMIENTOS!$A$5:$A$1005&lt;=$A895)*MOVIMIENTOS!$E$5:$E$1005)+SUMPRODUCT((MOVIMIENTOS!$B$5:$B$1005="DEVOLUCIÓN")*(MOVIMIENTOS!$C$5:$C$1005="A")*(MOVIMIENTOS!$D$5:$D$1005="jabas")*(MOVIMIENTOS!$A$5:$A$1005&lt;&gt;"")*(MOVIMIENTOS!$A$5:$A$1005&lt;=$A895)*MOVIMIENTOS!$E$5:$E$1005)-SUMPRODUCT((MOVIMIENTOS!$B$5:$B$1005="TRASIEGO")*(MOVIMIENTOS!$C$5:$C$1005="A")*(MOVIMIENTOS!$D$5:$D$1005="jabas")*(MOVIMIENTOS!$A$5:$A$1005&lt;&gt;"")*(MOVIMIENTOS!$A$5:$A$1005&lt;=$A895)*MOVIMIENTOS!$E$5:$E$1005)-SUMPRODUCT((MOVIMIENTOS!$B$5:$B$1005="REGALO")*(MOVIMIENTOS!$C$5:$C$1005="A")*(MOVIMIENTOS!$D$5:$D$1005="jabas")*(MOVIMIENTOS!$A$5:$A$1005&lt;&gt;"")*(MOVIMIENTOS!$A$5:$A$1005&lt;=$A895)*MOVIMIENTOS!$E$5:$E$1005)-SUMPRODUCT((MOVIMIENTOS!$B$5:$B$1005="VENTA")*(MOVIMIENTOS!$C$5:$C$1005="A")*(MOVIMIENTOS!$D$5:$D$1005="jabas")*(MOVIMIENTOS!$A$5:$A$1005&lt;&gt;"")*(MOVIMIENTOS!$A$5:$A$1005&lt;=$A895)*MOVIMIENTOS!$E$5:$E$1005)+SUMPRODUCT((MOVIMIENTOS!$B$5:$B$1005="AJUSTE")*(MOVIMIENTOS!$C$5:$C$1005="A")*(MOVIMIENTOS!$D$5:$D$1005="jabas")*(MOVIMIENTOS!$A$5:$A$1005&lt;&gt;"")*(MOVIMIENTOS!$A$5:$A$1005&lt;=$A895)*MOVIMIENTOS!$E$5:$E$1005))</f>
        <v/>
      </c>
      <c r="C895" t="str">
        <f>IF($A895="","",SUMPRODUCT((MOVIMIENTOS!$B$5:$B$1005="SALDO INICIAL")*(MOVIMIENTOS!$C$5:$C$1005="P")*(MOVIMIENTOS!$D$5:$D$1005="jabas")*(MOVIMIENTOS!$A$5:$A$1005&lt;&gt;"")*(MOVIMIENTOS!$A$5:$A$1005&lt;=$A895)*MOVIMIENTOS!$E$5:$E$1005)+SUMPRODUCT((MOVIMIENTOS!$B$5:$B$1005="PROCESO")*(MOVIMIENTOS!$C$5:$C$1005="P")*(MOVIMIENTOS!$D$5:$D$1005="jabas")*(MOVIMIENTOS!$A$5:$A$1005&lt;&gt;"")*(MOVIMIENTOS!$A$5:$A$1005&lt;=$A895)*MOVIMIENTOS!$E$5:$E$1005)-SUMPRODUCT((MOVIMIENTOS!$B$5:$B$1005="ENVÍO A SUPESA")*(MOVIMIENTOS!$C$5:$C$1005="P")*(MOVIMIENTOS!$D$5:$D$1005="jabas")*(MOVIMIENTOS!$A$5:$A$1005&lt;&gt;"")*(MOVIMIENTOS!$A$5:$A$1005&lt;=$A895)*MOVIMIENTOS!$E$5:$E$1005)+SUMPRODUCT((MOVIMIENTOS!$B$5:$B$1005="DEVOLUCIÓN")*(MOVIMIENTOS!$C$5:$C$1005="P")*(MOVIMIENTOS!$D$5:$D$1005="jabas")*(MOVIMIENTOS!$A$5:$A$1005&lt;&gt;"")*(MOVIMIENTOS!$A$5:$A$1005&lt;=$A895)*MOVIMIENTOS!$E$5:$E$1005)-SUMPRODUCT((MOVIMIENTOS!$B$5:$B$1005="TRASIEGO")*(MOVIMIENTOS!$C$5:$C$1005="P")*(MOVIMIENTOS!$D$5:$D$1005="jabas")*(MOVIMIENTOS!$A$5:$A$1005&lt;&gt;"")*(MOVIMIENTOS!$A$5:$A$1005&lt;=$A895)*MOVIMIENTOS!$E$5:$E$1005)-SUMPRODUCT((MOVIMIENTOS!$B$5:$B$1005="REGALO")*(MOVIMIENTOS!$C$5:$C$1005="P")*(MOVIMIENTOS!$D$5:$D$1005="jabas")*(MOVIMIENTOS!$A$5:$A$1005&lt;&gt;"")*(MOVIMIENTOS!$A$5:$A$1005&lt;=$A895)*MOVIMIENTOS!$E$5:$E$1005)-SUMPRODUCT((MOVIMIENTOS!$B$5:$B$1005="VENTA")*(MOVIMIENTOS!$C$5:$C$1005="P")*(MOVIMIENTOS!$D$5:$D$1005="jabas")*(MOVIMIENTOS!$A$5:$A$1005&lt;&gt;"")*(MOVIMIENTOS!$A$5:$A$1005&lt;=$A895)*MOVIMIENTOS!$E$5:$E$1005)+SUMPRODUCT((MOVIMIENTOS!$B$5:$B$1005="AJUSTE")*(MOVIMIENTOS!$C$5:$C$1005="P")*(MOVIMIENTOS!$D$5:$D$1005="jabas")*(MOVIMIENTOS!$A$5:$A$1005&lt;&gt;"")*(MOVIMIENTOS!$A$5:$A$1005&lt;=$A895)*MOVIMIENTOS!$E$5:$E$1005))</f>
        <v/>
      </c>
      <c r="D895" t="str">
        <f>IF($A895="","",SUMPRODUCT((MOVIMIENTOS!$B$5:$B$1005="SALDO INICIAL")*(MOVIMIENTOS!$C$5:$C$1005="C")*(MOVIMIENTOS!$D$5:$D$1005="jabas")*(MOVIMIENTOS!$A$5:$A$1005&lt;&gt;"")*(MOVIMIENTOS!$A$5:$A$1005&lt;=$A895)*MOVIMIENTOS!$E$5:$E$1005)+SUMPRODUCT((MOVIMIENTOS!$B$5:$B$1005="PROCESO")*(MOVIMIENTOS!$C$5:$C$1005="C")*(MOVIMIENTOS!$D$5:$D$1005="jabas")*(MOVIMIENTOS!$A$5:$A$1005&lt;&gt;"")*(MOVIMIENTOS!$A$5:$A$1005&lt;=$A895)*MOVIMIENTOS!$E$5:$E$1005)-SUMPRODUCT((MOVIMIENTOS!$B$5:$B$1005="ENVÍO A SUPESA")*(MOVIMIENTOS!$C$5:$C$1005="C")*(MOVIMIENTOS!$D$5:$D$1005="jabas")*(MOVIMIENTOS!$A$5:$A$1005&lt;&gt;"")*(MOVIMIENTOS!$A$5:$A$1005&lt;=$A895)*MOVIMIENTOS!$E$5:$E$1005)+SUMPRODUCT((MOVIMIENTOS!$B$5:$B$1005="DEVOLUCIÓN")*(MOVIMIENTOS!$C$5:$C$1005="C")*(MOVIMIENTOS!$D$5:$D$1005="jabas")*(MOVIMIENTOS!$A$5:$A$1005&lt;&gt;"")*(MOVIMIENTOS!$A$5:$A$1005&lt;=$A895)*MOVIMIENTOS!$E$5:$E$1005)-SUMPRODUCT((MOVIMIENTOS!$B$5:$B$1005="TRASIEGO")*(MOVIMIENTOS!$C$5:$C$1005="C")*(MOVIMIENTOS!$D$5:$D$1005="jabas")*(MOVIMIENTOS!$A$5:$A$1005&lt;&gt;"")*(MOVIMIENTOS!$A$5:$A$1005&lt;=$A895)*MOVIMIENTOS!$E$5:$E$1005)-SUMPRODUCT((MOVIMIENTOS!$B$5:$B$1005="REGALO")*(MOVIMIENTOS!$C$5:$C$1005="C")*(MOVIMIENTOS!$D$5:$D$1005="jabas")*(MOVIMIENTOS!$A$5:$A$1005&lt;&gt;"")*(MOVIMIENTOS!$A$5:$A$1005&lt;=$A895)*MOVIMIENTOS!$E$5:$E$1005)-SUMPRODUCT((MOVIMIENTOS!$B$5:$B$1005="VENTA")*(MOVIMIENTOS!$C$5:$C$1005="C")*(MOVIMIENTOS!$D$5:$D$1005="jabas")*(MOVIMIENTOS!$A$5:$A$1005&lt;&gt;"")*(MOVIMIENTOS!$A$5:$A$1005&lt;=$A895)*MOVIMIENTOS!$E$5:$E$1005)+SUMPRODUCT((MOVIMIENTOS!$B$5:$B$1005="AJUSTE")*(MOVIMIENTOS!$C$5:$C$1005="C")*(MOVIMIENTOS!$D$5:$D$1005="jabas")*(MOVIMIENTOS!$A$5:$A$1005&lt;&gt;"")*(MOVIMIENTOS!$A$5:$A$1005&lt;=$A895)*MOVIMIENTOS!$E$5:$E$1005))</f>
        <v/>
      </c>
      <c r="E895" t="str">
        <f>IF($A895="","",SUMPRODUCT((MOVIMIENTOS!$B$5:$B$1005="SALDO INICIAL")*(MOVIMIENTOS!$C$5:$C$1005="M")*(MOVIMIENTOS!$D$5:$D$1005="jabas")*(MOVIMIENTOS!$A$5:$A$1005&lt;&gt;"")*(MOVIMIENTOS!$A$5:$A$1005&lt;=$A895)*MOVIMIENTOS!$E$5:$E$1005)+SUMPRODUCT((MOVIMIENTOS!$B$5:$B$1005="PROCESO")*(MOVIMIENTOS!$C$5:$C$1005="M")*(MOVIMIENTOS!$D$5:$D$1005="jabas")*(MOVIMIENTOS!$A$5:$A$1005&lt;&gt;"")*(MOVIMIENTOS!$A$5:$A$1005&lt;=$A895)*MOVIMIENTOS!$E$5:$E$1005)-SUMPRODUCT((MOVIMIENTOS!$B$5:$B$1005="ENVÍO A SUPESA")*(MOVIMIENTOS!$C$5:$C$1005="M")*(MOVIMIENTOS!$D$5:$D$1005="jabas")*(MOVIMIENTOS!$A$5:$A$1005&lt;&gt;"")*(MOVIMIENTOS!$A$5:$A$1005&lt;=$A895)*MOVIMIENTOS!$E$5:$E$1005)+SUMPRODUCT((MOVIMIENTOS!$B$5:$B$1005="DEVOLUCIÓN")*(MOVIMIENTOS!$C$5:$C$1005="M")*(MOVIMIENTOS!$D$5:$D$1005="jabas")*(MOVIMIENTOS!$A$5:$A$1005&lt;&gt;"")*(MOVIMIENTOS!$A$5:$A$1005&lt;=$A895)*MOVIMIENTOS!$E$5:$E$1005)-SUMPRODUCT((MOVIMIENTOS!$B$5:$B$1005="TRASIEGO")*(MOVIMIENTOS!$C$5:$C$1005="M")*(MOVIMIENTOS!$D$5:$D$1005="jabas")*(MOVIMIENTOS!$A$5:$A$1005&lt;&gt;"")*(MOVIMIENTOS!$A$5:$A$1005&lt;=$A895)*MOVIMIENTOS!$E$5:$E$1005)-SUMPRODUCT((MOVIMIENTOS!$B$5:$B$1005="REGALO")*(MOVIMIENTOS!$C$5:$C$1005="M")*(MOVIMIENTOS!$D$5:$D$1005="jabas")*(MOVIMIENTOS!$A$5:$A$1005&lt;&gt;"")*(MOVIMIENTOS!$A$5:$A$1005&lt;=$A895)*MOVIMIENTOS!$E$5:$E$1005)-SUMPRODUCT((MOVIMIENTOS!$B$5:$B$1005="VENTA")*(MOVIMIENTOS!$C$5:$C$1005="M")*(MOVIMIENTOS!$D$5:$D$1005="jabas")*(MOVIMIENTOS!$A$5:$A$1005&lt;&gt;"")*(MOVIMIENTOS!$A$5:$A$1005&lt;=$A895)*MOVIMIENTOS!$E$5:$E$1005)+SUMPRODUCT((MOVIMIENTOS!$B$5:$B$1005="AJUSTE")*(MOVIMIENTOS!$C$5:$C$1005="M")*(MOVIMIENTOS!$D$5:$D$1005="jabas")*(MOVIMIENTOS!$A$5:$A$1005&lt;&gt;"")*(MOVIMIENTOS!$A$5:$A$1005&lt;=$A895)*MOVIMIENTOS!$E$5:$E$1005))</f>
        <v/>
      </c>
      <c r="F895" s="62" t="str">
        <f>IF($A895="","",SUMPRODUCT((MOVIMIENTOS!$B$5:$B$1005="SALDO INICIAL")*(MOVIMIENTOS!$C$5:$C$1005="Chancho")*(MOVIMIENTOS!$D$5:$D$1005="sacos")*(MOVIMIENTOS!$A$5:$A$1005&lt;&gt;"")*(MOVIMIENTOS!$A$5:$A$1005&lt;=$A895)*MOVIMIENTOS!$E$5:$E$1005)+SUMPRODUCT((MOVIMIENTOS!$B$5:$B$1005="PROCESO")*(MOVIMIENTOS!$C$5:$C$1005="Chancho")*(MOVIMIENTOS!$D$5:$D$1005="sacos")*(MOVIMIENTOS!$A$5:$A$1005&lt;&gt;"")*(MOVIMIENTOS!$A$5:$A$1005&lt;=$A895)*MOVIMIENTOS!$E$5:$E$1005)-SUMPRODUCT((MOVIMIENTOS!$B$5:$B$1005="VENTA CHANCHO")*(MOVIMIENTOS!$C$5:$C$1005="Chancho")*(MOVIMIENTOS!$D$5:$D$1005="sacos")*(MOVIMIENTOS!$A$5:$A$1005&lt;&gt;"")*(MOVIMIENTOS!$A$5:$A$1005&lt;=$A895)*MOVIMIENTOS!$E$5:$E$1005)-SUMPRODUCT((MOVIMIENTOS!$B$5:$B$1005="REGALO")*(MOVIMIENTOS!$C$5:$C$1005="Chancho")*(MOVIMIENTOS!$D$5:$D$1005="sacos")*(MOVIMIENTOS!$A$5:$A$1005&lt;&gt;"")*(MOVIMIENTOS!$A$5:$A$1005&lt;=$A895)*MOVIMIENTOS!$E$5:$E$1005)-SUMPRODUCT((MOVIMIENTOS!$B$5:$B$1005="VENTA")*(MOVIMIENTOS!$C$5:$C$1005="Chancho")*(MOVIMIENTOS!$D$5:$D$1005="sacos")*(MOVIMIENTOS!$A$5:$A$1005&lt;&gt;"")*(MOVIMIENTOS!$A$5:$A$1005&lt;=$A895)*MOVIMIENTOS!$E$5:$E$1005)+SUMPRODUCT((MOVIMIENTOS!$B$5:$B$1005="AJUSTE")*(MOVIMIENTOS!$C$5:$C$1005="Chancho")*(MOVIMIENTOS!$D$5:$D$1005="sacos")*(MOVIMIENTOS!$A$5:$A$1005&lt;&gt;"")*(MOVIMIENTOS!$A$5:$A$1005&lt;=$A895)*MOVIMIENTOS!$E$5:$E$1005))</f>
        <v/>
      </c>
      <c r="G895" s="62" t="str">
        <f t="shared" si="27"/>
        <v/>
      </c>
      <c r="H895" t="str">
        <f>IF($A895="","",SUMPRODUCT((((MOVIMIENTOS!$B$5:$B$1005="SALDO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895)*MOVIMIENTOS!$J$5:$J$1005))</f>
        <v/>
      </c>
      <c r="J895" t="str">
        <f>IF(AND(MOVIMIENTOS!$A900&lt;&gt;"",COUNTIF(MOVIMIENTOS!$A$5:$A899,MOVIMIENTOS!$A900)=0),COUNT(J$4:J894)+1,"")</f>
        <v/>
      </c>
      <c r="K895">
        <f>MOVIMIENTOS!$A900</f>
        <v>0</v>
      </c>
    </row>
    <row r="896" spans="1:11" ht="15" customHeight="1" x14ac:dyDescent="0.2">
      <c r="A896" t="str">
        <f t="shared" si="26"/>
        <v/>
      </c>
      <c r="B896" t="str">
        <f>IF($A896="","",SUMPRODUCT((MOVIMIENTOS!$B$5:$B$1005="SALDO INICIAL")*(MOVIMIENTOS!$C$5:$C$1005="A")*(MOVIMIENTOS!$D$5:$D$1005="jabas")*(MOVIMIENTOS!$A$5:$A$1005&lt;&gt;"")*(MOVIMIENTOS!$A$5:$A$1005&lt;=$A896)*MOVIMIENTOS!$E$5:$E$1005)+SUMPRODUCT((MOVIMIENTOS!$B$5:$B$1005="PROCESO")*(MOVIMIENTOS!$C$5:$C$1005="A")*(MOVIMIENTOS!$D$5:$D$1005="jabas")*(MOVIMIENTOS!$A$5:$A$1005&lt;&gt;"")*(MOVIMIENTOS!$A$5:$A$1005&lt;=$A896)*MOVIMIENTOS!$E$5:$E$1005)-SUMPRODUCT((MOVIMIENTOS!$B$5:$B$1005="ENVÍO A SUPESA")*(MOVIMIENTOS!$C$5:$C$1005="A")*(MOVIMIENTOS!$D$5:$D$1005="jabas")*(MOVIMIENTOS!$A$5:$A$1005&lt;&gt;"")*(MOVIMIENTOS!$A$5:$A$1005&lt;=$A896)*MOVIMIENTOS!$E$5:$E$1005)+SUMPRODUCT((MOVIMIENTOS!$B$5:$B$1005="DEVOLUCIÓN")*(MOVIMIENTOS!$C$5:$C$1005="A")*(MOVIMIENTOS!$D$5:$D$1005="jabas")*(MOVIMIENTOS!$A$5:$A$1005&lt;&gt;"")*(MOVIMIENTOS!$A$5:$A$1005&lt;=$A896)*MOVIMIENTOS!$E$5:$E$1005)-SUMPRODUCT((MOVIMIENTOS!$B$5:$B$1005="TRASIEGO")*(MOVIMIENTOS!$C$5:$C$1005="A")*(MOVIMIENTOS!$D$5:$D$1005="jabas")*(MOVIMIENTOS!$A$5:$A$1005&lt;&gt;"")*(MOVIMIENTOS!$A$5:$A$1005&lt;=$A896)*MOVIMIENTOS!$E$5:$E$1005)-SUMPRODUCT((MOVIMIENTOS!$B$5:$B$1005="REGALO")*(MOVIMIENTOS!$C$5:$C$1005="A")*(MOVIMIENTOS!$D$5:$D$1005="jabas")*(MOVIMIENTOS!$A$5:$A$1005&lt;&gt;"")*(MOVIMIENTOS!$A$5:$A$1005&lt;=$A896)*MOVIMIENTOS!$E$5:$E$1005)-SUMPRODUCT((MOVIMIENTOS!$B$5:$B$1005="VENTA")*(MOVIMIENTOS!$C$5:$C$1005="A")*(MOVIMIENTOS!$D$5:$D$1005="jabas")*(MOVIMIENTOS!$A$5:$A$1005&lt;&gt;"")*(MOVIMIENTOS!$A$5:$A$1005&lt;=$A896)*MOVIMIENTOS!$E$5:$E$1005)+SUMPRODUCT((MOVIMIENTOS!$B$5:$B$1005="AJUSTE")*(MOVIMIENTOS!$C$5:$C$1005="A")*(MOVIMIENTOS!$D$5:$D$1005="jabas")*(MOVIMIENTOS!$A$5:$A$1005&lt;&gt;"")*(MOVIMIENTOS!$A$5:$A$1005&lt;=$A896)*MOVIMIENTOS!$E$5:$E$1005))</f>
        <v/>
      </c>
      <c r="C896" t="str">
        <f>IF($A896="","",SUMPRODUCT((MOVIMIENTOS!$B$5:$B$1005="SALDO INICIAL")*(MOVIMIENTOS!$C$5:$C$1005="P")*(MOVIMIENTOS!$D$5:$D$1005="jabas")*(MOVIMIENTOS!$A$5:$A$1005&lt;&gt;"")*(MOVIMIENTOS!$A$5:$A$1005&lt;=$A896)*MOVIMIENTOS!$E$5:$E$1005)+SUMPRODUCT((MOVIMIENTOS!$B$5:$B$1005="PROCESO")*(MOVIMIENTOS!$C$5:$C$1005="P")*(MOVIMIENTOS!$D$5:$D$1005="jabas")*(MOVIMIENTOS!$A$5:$A$1005&lt;&gt;"")*(MOVIMIENTOS!$A$5:$A$1005&lt;=$A896)*MOVIMIENTOS!$E$5:$E$1005)-SUMPRODUCT((MOVIMIENTOS!$B$5:$B$1005="ENVÍO A SUPESA")*(MOVIMIENTOS!$C$5:$C$1005="P")*(MOVIMIENTOS!$D$5:$D$1005="jabas")*(MOVIMIENTOS!$A$5:$A$1005&lt;&gt;"")*(MOVIMIENTOS!$A$5:$A$1005&lt;=$A896)*MOVIMIENTOS!$E$5:$E$1005)+SUMPRODUCT((MOVIMIENTOS!$B$5:$B$1005="DEVOLUCIÓN")*(MOVIMIENTOS!$C$5:$C$1005="P")*(MOVIMIENTOS!$D$5:$D$1005="jabas")*(MOVIMIENTOS!$A$5:$A$1005&lt;&gt;"")*(MOVIMIENTOS!$A$5:$A$1005&lt;=$A896)*MOVIMIENTOS!$E$5:$E$1005)-SUMPRODUCT((MOVIMIENTOS!$B$5:$B$1005="TRASIEGO")*(MOVIMIENTOS!$C$5:$C$1005="P")*(MOVIMIENTOS!$D$5:$D$1005="jabas")*(MOVIMIENTOS!$A$5:$A$1005&lt;&gt;"")*(MOVIMIENTOS!$A$5:$A$1005&lt;=$A896)*MOVIMIENTOS!$E$5:$E$1005)-SUMPRODUCT((MOVIMIENTOS!$B$5:$B$1005="REGALO")*(MOVIMIENTOS!$C$5:$C$1005="P")*(MOVIMIENTOS!$D$5:$D$1005="jabas")*(MOVIMIENTOS!$A$5:$A$1005&lt;&gt;"")*(MOVIMIENTOS!$A$5:$A$1005&lt;=$A896)*MOVIMIENTOS!$E$5:$E$1005)-SUMPRODUCT((MOVIMIENTOS!$B$5:$B$1005="VENTA")*(MOVIMIENTOS!$C$5:$C$1005="P")*(MOVIMIENTOS!$D$5:$D$1005="jabas")*(MOVIMIENTOS!$A$5:$A$1005&lt;&gt;"")*(MOVIMIENTOS!$A$5:$A$1005&lt;=$A896)*MOVIMIENTOS!$E$5:$E$1005)+SUMPRODUCT((MOVIMIENTOS!$B$5:$B$1005="AJUSTE")*(MOVIMIENTOS!$C$5:$C$1005="P")*(MOVIMIENTOS!$D$5:$D$1005="jabas")*(MOVIMIENTOS!$A$5:$A$1005&lt;&gt;"")*(MOVIMIENTOS!$A$5:$A$1005&lt;=$A896)*MOVIMIENTOS!$E$5:$E$1005))</f>
        <v/>
      </c>
      <c r="D896" t="str">
        <f>IF($A896="","",SUMPRODUCT((MOVIMIENTOS!$B$5:$B$1005="SALDO INICIAL")*(MOVIMIENTOS!$C$5:$C$1005="C")*(MOVIMIENTOS!$D$5:$D$1005="jabas")*(MOVIMIENTOS!$A$5:$A$1005&lt;&gt;"")*(MOVIMIENTOS!$A$5:$A$1005&lt;=$A896)*MOVIMIENTOS!$E$5:$E$1005)+SUMPRODUCT((MOVIMIENTOS!$B$5:$B$1005="PROCESO")*(MOVIMIENTOS!$C$5:$C$1005="C")*(MOVIMIENTOS!$D$5:$D$1005="jabas")*(MOVIMIENTOS!$A$5:$A$1005&lt;&gt;"")*(MOVIMIENTOS!$A$5:$A$1005&lt;=$A896)*MOVIMIENTOS!$E$5:$E$1005)-SUMPRODUCT((MOVIMIENTOS!$B$5:$B$1005="ENVÍO A SUPESA")*(MOVIMIENTOS!$C$5:$C$1005="C")*(MOVIMIENTOS!$D$5:$D$1005="jabas")*(MOVIMIENTOS!$A$5:$A$1005&lt;&gt;"")*(MOVIMIENTOS!$A$5:$A$1005&lt;=$A896)*MOVIMIENTOS!$E$5:$E$1005)+SUMPRODUCT((MOVIMIENTOS!$B$5:$B$1005="DEVOLUCIÓN")*(MOVIMIENTOS!$C$5:$C$1005="C")*(MOVIMIENTOS!$D$5:$D$1005="jabas")*(MOVIMIENTOS!$A$5:$A$1005&lt;&gt;"")*(MOVIMIENTOS!$A$5:$A$1005&lt;=$A896)*MOVIMIENTOS!$E$5:$E$1005)-SUMPRODUCT((MOVIMIENTOS!$B$5:$B$1005="TRASIEGO")*(MOVIMIENTOS!$C$5:$C$1005="C")*(MOVIMIENTOS!$D$5:$D$1005="jabas")*(MOVIMIENTOS!$A$5:$A$1005&lt;&gt;"")*(MOVIMIENTOS!$A$5:$A$1005&lt;=$A896)*MOVIMIENTOS!$E$5:$E$1005)-SUMPRODUCT((MOVIMIENTOS!$B$5:$B$1005="REGALO")*(MOVIMIENTOS!$C$5:$C$1005="C")*(MOVIMIENTOS!$D$5:$D$1005="jabas")*(MOVIMIENTOS!$A$5:$A$1005&lt;&gt;"")*(MOVIMIENTOS!$A$5:$A$1005&lt;=$A896)*MOVIMIENTOS!$E$5:$E$1005)-SUMPRODUCT((MOVIMIENTOS!$B$5:$B$1005="VENTA")*(MOVIMIENTOS!$C$5:$C$1005="C")*(MOVIMIENTOS!$D$5:$D$1005="jabas")*(MOVIMIENTOS!$A$5:$A$1005&lt;&gt;"")*(MOVIMIENTOS!$A$5:$A$1005&lt;=$A896)*MOVIMIENTOS!$E$5:$E$1005)+SUMPRODUCT((MOVIMIENTOS!$B$5:$B$1005="AJUSTE")*(MOVIMIENTOS!$C$5:$C$1005="C")*(MOVIMIENTOS!$D$5:$D$1005="jabas")*(MOVIMIENTOS!$A$5:$A$1005&lt;&gt;"")*(MOVIMIENTOS!$A$5:$A$1005&lt;=$A896)*MOVIMIENTOS!$E$5:$E$1005))</f>
        <v/>
      </c>
      <c r="E896" t="str">
        <f>IF($A896="","",SUMPRODUCT((MOVIMIENTOS!$B$5:$B$1005="SALDO INICIAL")*(MOVIMIENTOS!$C$5:$C$1005="M")*(MOVIMIENTOS!$D$5:$D$1005="jabas")*(MOVIMIENTOS!$A$5:$A$1005&lt;&gt;"")*(MOVIMIENTOS!$A$5:$A$1005&lt;=$A896)*MOVIMIENTOS!$E$5:$E$1005)+SUMPRODUCT((MOVIMIENTOS!$B$5:$B$1005="PROCESO")*(MOVIMIENTOS!$C$5:$C$1005="M")*(MOVIMIENTOS!$D$5:$D$1005="jabas")*(MOVIMIENTOS!$A$5:$A$1005&lt;&gt;"")*(MOVIMIENTOS!$A$5:$A$1005&lt;=$A896)*MOVIMIENTOS!$E$5:$E$1005)-SUMPRODUCT((MOVIMIENTOS!$B$5:$B$1005="ENVÍO A SUPESA")*(MOVIMIENTOS!$C$5:$C$1005="M")*(MOVIMIENTOS!$D$5:$D$1005="jabas")*(MOVIMIENTOS!$A$5:$A$1005&lt;&gt;"")*(MOVIMIENTOS!$A$5:$A$1005&lt;=$A896)*MOVIMIENTOS!$E$5:$E$1005)+SUMPRODUCT((MOVIMIENTOS!$B$5:$B$1005="DEVOLUCIÓN")*(MOVIMIENTOS!$C$5:$C$1005="M")*(MOVIMIENTOS!$D$5:$D$1005="jabas")*(MOVIMIENTOS!$A$5:$A$1005&lt;&gt;"")*(MOVIMIENTOS!$A$5:$A$1005&lt;=$A896)*MOVIMIENTOS!$E$5:$E$1005)-SUMPRODUCT((MOVIMIENTOS!$B$5:$B$1005="TRASIEGO")*(MOVIMIENTOS!$C$5:$C$1005="M")*(MOVIMIENTOS!$D$5:$D$1005="jabas")*(MOVIMIENTOS!$A$5:$A$1005&lt;&gt;"")*(MOVIMIENTOS!$A$5:$A$1005&lt;=$A896)*MOVIMIENTOS!$E$5:$E$1005)-SUMPRODUCT((MOVIMIENTOS!$B$5:$B$1005="REGALO")*(MOVIMIENTOS!$C$5:$C$1005="M")*(MOVIMIENTOS!$D$5:$D$1005="jabas")*(MOVIMIENTOS!$A$5:$A$1005&lt;&gt;"")*(MOVIMIENTOS!$A$5:$A$1005&lt;=$A896)*MOVIMIENTOS!$E$5:$E$1005)-SUMPRODUCT((MOVIMIENTOS!$B$5:$B$1005="VENTA")*(MOVIMIENTOS!$C$5:$C$1005="M")*(MOVIMIENTOS!$D$5:$D$1005="jabas")*(MOVIMIENTOS!$A$5:$A$1005&lt;&gt;"")*(MOVIMIENTOS!$A$5:$A$1005&lt;=$A896)*MOVIMIENTOS!$E$5:$E$1005)+SUMPRODUCT((MOVIMIENTOS!$B$5:$B$1005="AJUSTE")*(MOVIMIENTOS!$C$5:$C$1005="M")*(MOVIMIENTOS!$D$5:$D$1005="jabas")*(MOVIMIENTOS!$A$5:$A$1005&lt;&gt;"")*(MOVIMIENTOS!$A$5:$A$1005&lt;=$A896)*MOVIMIENTOS!$E$5:$E$1005))</f>
        <v/>
      </c>
      <c r="F896" s="62" t="str">
        <f>IF($A896="","",SUMPRODUCT((MOVIMIENTOS!$B$5:$B$1005="SALDO INICIAL")*(MOVIMIENTOS!$C$5:$C$1005="Chancho")*(MOVIMIENTOS!$D$5:$D$1005="sacos")*(MOVIMIENTOS!$A$5:$A$1005&lt;&gt;"")*(MOVIMIENTOS!$A$5:$A$1005&lt;=$A896)*MOVIMIENTOS!$E$5:$E$1005)+SUMPRODUCT((MOVIMIENTOS!$B$5:$B$1005="PROCESO")*(MOVIMIENTOS!$C$5:$C$1005="Chancho")*(MOVIMIENTOS!$D$5:$D$1005="sacos")*(MOVIMIENTOS!$A$5:$A$1005&lt;&gt;"")*(MOVIMIENTOS!$A$5:$A$1005&lt;=$A896)*MOVIMIENTOS!$E$5:$E$1005)-SUMPRODUCT((MOVIMIENTOS!$B$5:$B$1005="VENTA CHANCHO")*(MOVIMIENTOS!$C$5:$C$1005="Chancho")*(MOVIMIENTOS!$D$5:$D$1005="sacos")*(MOVIMIENTOS!$A$5:$A$1005&lt;&gt;"")*(MOVIMIENTOS!$A$5:$A$1005&lt;=$A896)*MOVIMIENTOS!$E$5:$E$1005)-SUMPRODUCT((MOVIMIENTOS!$B$5:$B$1005="REGALO")*(MOVIMIENTOS!$C$5:$C$1005="Chancho")*(MOVIMIENTOS!$D$5:$D$1005="sacos")*(MOVIMIENTOS!$A$5:$A$1005&lt;&gt;"")*(MOVIMIENTOS!$A$5:$A$1005&lt;=$A896)*MOVIMIENTOS!$E$5:$E$1005)-SUMPRODUCT((MOVIMIENTOS!$B$5:$B$1005="VENTA")*(MOVIMIENTOS!$C$5:$C$1005="Chancho")*(MOVIMIENTOS!$D$5:$D$1005="sacos")*(MOVIMIENTOS!$A$5:$A$1005&lt;&gt;"")*(MOVIMIENTOS!$A$5:$A$1005&lt;=$A896)*MOVIMIENTOS!$E$5:$E$1005)+SUMPRODUCT((MOVIMIENTOS!$B$5:$B$1005="AJUSTE")*(MOVIMIENTOS!$C$5:$C$1005="Chancho")*(MOVIMIENTOS!$D$5:$D$1005="sacos")*(MOVIMIENTOS!$A$5:$A$1005&lt;&gt;"")*(MOVIMIENTOS!$A$5:$A$1005&lt;=$A896)*MOVIMIENTOS!$E$5:$E$1005))</f>
        <v/>
      </c>
      <c r="G896" s="62" t="str">
        <f t="shared" si="27"/>
        <v/>
      </c>
      <c r="H896" t="str">
        <f>IF($A896="","",SUMPRODUCT((((MOVIMIENTOS!$B$5:$B$1005="SALDO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896)*MOVIMIENTOS!$J$5:$J$1005))</f>
        <v/>
      </c>
      <c r="J896" t="str">
        <f>IF(AND(MOVIMIENTOS!$A901&lt;&gt;"",COUNTIF(MOVIMIENTOS!$A$5:$A900,MOVIMIENTOS!$A901)=0),COUNT(J$4:J895)+1,"")</f>
        <v/>
      </c>
      <c r="K896">
        <f>MOVIMIENTOS!$A901</f>
        <v>0</v>
      </c>
    </row>
    <row r="897" spans="1:11" ht="15" customHeight="1" x14ac:dyDescent="0.2">
      <c r="A897" t="str">
        <f t="shared" si="26"/>
        <v/>
      </c>
      <c r="B897" t="str">
        <f>IF($A897="","",SUMPRODUCT((MOVIMIENTOS!$B$5:$B$1005="SALDO INICIAL")*(MOVIMIENTOS!$C$5:$C$1005="A")*(MOVIMIENTOS!$D$5:$D$1005="jabas")*(MOVIMIENTOS!$A$5:$A$1005&lt;&gt;"")*(MOVIMIENTOS!$A$5:$A$1005&lt;=$A897)*MOVIMIENTOS!$E$5:$E$1005)+SUMPRODUCT((MOVIMIENTOS!$B$5:$B$1005="PROCESO")*(MOVIMIENTOS!$C$5:$C$1005="A")*(MOVIMIENTOS!$D$5:$D$1005="jabas")*(MOVIMIENTOS!$A$5:$A$1005&lt;&gt;"")*(MOVIMIENTOS!$A$5:$A$1005&lt;=$A897)*MOVIMIENTOS!$E$5:$E$1005)-SUMPRODUCT((MOVIMIENTOS!$B$5:$B$1005="ENVÍO A SUPESA")*(MOVIMIENTOS!$C$5:$C$1005="A")*(MOVIMIENTOS!$D$5:$D$1005="jabas")*(MOVIMIENTOS!$A$5:$A$1005&lt;&gt;"")*(MOVIMIENTOS!$A$5:$A$1005&lt;=$A897)*MOVIMIENTOS!$E$5:$E$1005)+SUMPRODUCT((MOVIMIENTOS!$B$5:$B$1005="DEVOLUCIÓN")*(MOVIMIENTOS!$C$5:$C$1005="A")*(MOVIMIENTOS!$D$5:$D$1005="jabas")*(MOVIMIENTOS!$A$5:$A$1005&lt;&gt;"")*(MOVIMIENTOS!$A$5:$A$1005&lt;=$A897)*MOVIMIENTOS!$E$5:$E$1005)-SUMPRODUCT((MOVIMIENTOS!$B$5:$B$1005="TRASIEGO")*(MOVIMIENTOS!$C$5:$C$1005="A")*(MOVIMIENTOS!$D$5:$D$1005="jabas")*(MOVIMIENTOS!$A$5:$A$1005&lt;&gt;"")*(MOVIMIENTOS!$A$5:$A$1005&lt;=$A897)*MOVIMIENTOS!$E$5:$E$1005)-SUMPRODUCT((MOVIMIENTOS!$B$5:$B$1005="REGALO")*(MOVIMIENTOS!$C$5:$C$1005="A")*(MOVIMIENTOS!$D$5:$D$1005="jabas")*(MOVIMIENTOS!$A$5:$A$1005&lt;&gt;"")*(MOVIMIENTOS!$A$5:$A$1005&lt;=$A897)*MOVIMIENTOS!$E$5:$E$1005)-SUMPRODUCT((MOVIMIENTOS!$B$5:$B$1005="VENTA")*(MOVIMIENTOS!$C$5:$C$1005="A")*(MOVIMIENTOS!$D$5:$D$1005="jabas")*(MOVIMIENTOS!$A$5:$A$1005&lt;&gt;"")*(MOVIMIENTOS!$A$5:$A$1005&lt;=$A897)*MOVIMIENTOS!$E$5:$E$1005)+SUMPRODUCT((MOVIMIENTOS!$B$5:$B$1005="AJUSTE")*(MOVIMIENTOS!$C$5:$C$1005="A")*(MOVIMIENTOS!$D$5:$D$1005="jabas")*(MOVIMIENTOS!$A$5:$A$1005&lt;&gt;"")*(MOVIMIENTOS!$A$5:$A$1005&lt;=$A897)*MOVIMIENTOS!$E$5:$E$1005))</f>
        <v/>
      </c>
      <c r="C897" t="str">
        <f>IF($A897="","",SUMPRODUCT((MOVIMIENTOS!$B$5:$B$1005="SALDO INICIAL")*(MOVIMIENTOS!$C$5:$C$1005="P")*(MOVIMIENTOS!$D$5:$D$1005="jabas")*(MOVIMIENTOS!$A$5:$A$1005&lt;&gt;"")*(MOVIMIENTOS!$A$5:$A$1005&lt;=$A897)*MOVIMIENTOS!$E$5:$E$1005)+SUMPRODUCT((MOVIMIENTOS!$B$5:$B$1005="PROCESO")*(MOVIMIENTOS!$C$5:$C$1005="P")*(MOVIMIENTOS!$D$5:$D$1005="jabas")*(MOVIMIENTOS!$A$5:$A$1005&lt;&gt;"")*(MOVIMIENTOS!$A$5:$A$1005&lt;=$A897)*MOVIMIENTOS!$E$5:$E$1005)-SUMPRODUCT((MOVIMIENTOS!$B$5:$B$1005="ENVÍO A SUPESA")*(MOVIMIENTOS!$C$5:$C$1005="P")*(MOVIMIENTOS!$D$5:$D$1005="jabas")*(MOVIMIENTOS!$A$5:$A$1005&lt;&gt;"")*(MOVIMIENTOS!$A$5:$A$1005&lt;=$A897)*MOVIMIENTOS!$E$5:$E$1005)+SUMPRODUCT((MOVIMIENTOS!$B$5:$B$1005="DEVOLUCIÓN")*(MOVIMIENTOS!$C$5:$C$1005="P")*(MOVIMIENTOS!$D$5:$D$1005="jabas")*(MOVIMIENTOS!$A$5:$A$1005&lt;&gt;"")*(MOVIMIENTOS!$A$5:$A$1005&lt;=$A897)*MOVIMIENTOS!$E$5:$E$1005)-SUMPRODUCT((MOVIMIENTOS!$B$5:$B$1005="TRASIEGO")*(MOVIMIENTOS!$C$5:$C$1005="P")*(MOVIMIENTOS!$D$5:$D$1005="jabas")*(MOVIMIENTOS!$A$5:$A$1005&lt;&gt;"")*(MOVIMIENTOS!$A$5:$A$1005&lt;=$A897)*MOVIMIENTOS!$E$5:$E$1005)-SUMPRODUCT((MOVIMIENTOS!$B$5:$B$1005="REGALO")*(MOVIMIENTOS!$C$5:$C$1005="P")*(MOVIMIENTOS!$D$5:$D$1005="jabas")*(MOVIMIENTOS!$A$5:$A$1005&lt;&gt;"")*(MOVIMIENTOS!$A$5:$A$1005&lt;=$A897)*MOVIMIENTOS!$E$5:$E$1005)-SUMPRODUCT((MOVIMIENTOS!$B$5:$B$1005="VENTA")*(MOVIMIENTOS!$C$5:$C$1005="P")*(MOVIMIENTOS!$D$5:$D$1005="jabas")*(MOVIMIENTOS!$A$5:$A$1005&lt;&gt;"")*(MOVIMIENTOS!$A$5:$A$1005&lt;=$A897)*MOVIMIENTOS!$E$5:$E$1005)+SUMPRODUCT((MOVIMIENTOS!$B$5:$B$1005="AJUSTE")*(MOVIMIENTOS!$C$5:$C$1005="P")*(MOVIMIENTOS!$D$5:$D$1005="jabas")*(MOVIMIENTOS!$A$5:$A$1005&lt;&gt;"")*(MOVIMIENTOS!$A$5:$A$1005&lt;=$A897)*MOVIMIENTOS!$E$5:$E$1005))</f>
        <v/>
      </c>
      <c r="D897" t="str">
        <f>IF($A897="","",SUMPRODUCT((MOVIMIENTOS!$B$5:$B$1005="SALDO INICIAL")*(MOVIMIENTOS!$C$5:$C$1005="C")*(MOVIMIENTOS!$D$5:$D$1005="jabas")*(MOVIMIENTOS!$A$5:$A$1005&lt;&gt;"")*(MOVIMIENTOS!$A$5:$A$1005&lt;=$A897)*MOVIMIENTOS!$E$5:$E$1005)+SUMPRODUCT((MOVIMIENTOS!$B$5:$B$1005="PROCESO")*(MOVIMIENTOS!$C$5:$C$1005="C")*(MOVIMIENTOS!$D$5:$D$1005="jabas")*(MOVIMIENTOS!$A$5:$A$1005&lt;&gt;"")*(MOVIMIENTOS!$A$5:$A$1005&lt;=$A897)*MOVIMIENTOS!$E$5:$E$1005)-SUMPRODUCT((MOVIMIENTOS!$B$5:$B$1005="ENVÍO A SUPESA")*(MOVIMIENTOS!$C$5:$C$1005="C")*(MOVIMIENTOS!$D$5:$D$1005="jabas")*(MOVIMIENTOS!$A$5:$A$1005&lt;&gt;"")*(MOVIMIENTOS!$A$5:$A$1005&lt;=$A897)*MOVIMIENTOS!$E$5:$E$1005)+SUMPRODUCT((MOVIMIENTOS!$B$5:$B$1005="DEVOLUCIÓN")*(MOVIMIENTOS!$C$5:$C$1005="C")*(MOVIMIENTOS!$D$5:$D$1005="jabas")*(MOVIMIENTOS!$A$5:$A$1005&lt;&gt;"")*(MOVIMIENTOS!$A$5:$A$1005&lt;=$A897)*MOVIMIENTOS!$E$5:$E$1005)-SUMPRODUCT((MOVIMIENTOS!$B$5:$B$1005="TRASIEGO")*(MOVIMIENTOS!$C$5:$C$1005="C")*(MOVIMIENTOS!$D$5:$D$1005="jabas")*(MOVIMIENTOS!$A$5:$A$1005&lt;&gt;"")*(MOVIMIENTOS!$A$5:$A$1005&lt;=$A897)*MOVIMIENTOS!$E$5:$E$1005)-SUMPRODUCT((MOVIMIENTOS!$B$5:$B$1005="REGALO")*(MOVIMIENTOS!$C$5:$C$1005="C")*(MOVIMIENTOS!$D$5:$D$1005="jabas")*(MOVIMIENTOS!$A$5:$A$1005&lt;&gt;"")*(MOVIMIENTOS!$A$5:$A$1005&lt;=$A897)*MOVIMIENTOS!$E$5:$E$1005)-SUMPRODUCT((MOVIMIENTOS!$B$5:$B$1005="VENTA")*(MOVIMIENTOS!$C$5:$C$1005="C")*(MOVIMIENTOS!$D$5:$D$1005="jabas")*(MOVIMIENTOS!$A$5:$A$1005&lt;&gt;"")*(MOVIMIENTOS!$A$5:$A$1005&lt;=$A897)*MOVIMIENTOS!$E$5:$E$1005)+SUMPRODUCT((MOVIMIENTOS!$B$5:$B$1005="AJUSTE")*(MOVIMIENTOS!$C$5:$C$1005="C")*(MOVIMIENTOS!$D$5:$D$1005="jabas")*(MOVIMIENTOS!$A$5:$A$1005&lt;&gt;"")*(MOVIMIENTOS!$A$5:$A$1005&lt;=$A897)*MOVIMIENTOS!$E$5:$E$1005))</f>
        <v/>
      </c>
      <c r="E897" t="str">
        <f>IF($A897="","",SUMPRODUCT((MOVIMIENTOS!$B$5:$B$1005="SALDO INICIAL")*(MOVIMIENTOS!$C$5:$C$1005="M")*(MOVIMIENTOS!$D$5:$D$1005="jabas")*(MOVIMIENTOS!$A$5:$A$1005&lt;&gt;"")*(MOVIMIENTOS!$A$5:$A$1005&lt;=$A897)*MOVIMIENTOS!$E$5:$E$1005)+SUMPRODUCT((MOVIMIENTOS!$B$5:$B$1005="PROCESO")*(MOVIMIENTOS!$C$5:$C$1005="M")*(MOVIMIENTOS!$D$5:$D$1005="jabas")*(MOVIMIENTOS!$A$5:$A$1005&lt;&gt;"")*(MOVIMIENTOS!$A$5:$A$1005&lt;=$A897)*MOVIMIENTOS!$E$5:$E$1005)-SUMPRODUCT((MOVIMIENTOS!$B$5:$B$1005="ENVÍO A SUPESA")*(MOVIMIENTOS!$C$5:$C$1005="M")*(MOVIMIENTOS!$D$5:$D$1005="jabas")*(MOVIMIENTOS!$A$5:$A$1005&lt;&gt;"")*(MOVIMIENTOS!$A$5:$A$1005&lt;=$A897)*MOVIMIENTOS!$E$5:$E$1005)+SUMPRODUCT((MOVIMIENTOS!$B$5:$B$1005="DEVOLUCIÓN")*(MOVIMIENTOS!$C$5:$C$1005="M")*(MOVIMIENTOS!$D$5:$D$1005="jabas")*(MOVIMIENTOS!$A$5:$A$1005&lt;&gt;"")*(MOVIMIENTOS!$A$5:$A$1005&lt;=$A897)*MOVIMIENTOS!$E$5:$E$1005)-SUMPRODUCT((MOVIMIENTOS!$B$5:$B$1005="TRASIEGO")*(MOVIMIENTOS!$C$5:$C$1005="M")*(MOVIMIENTOS!$D$5:$D$1005="jabas")*(MOVIMIENTOS!$A$5:$A$1005&lt;&gt;"")*(MOVIMIENTOS!$A$5:$A$1005&lt;=$A897)*MOVIMIENTOS!$E$5:$E$1005)-SUMPRODUCT((MOVIMIENTOS!$B$5:$B$1005="REGALO")*(MOVIMIENTOS!$C$5:$C$1005="M")*(MOVIMIENTOS!$D$5:$D$1005="jabas")*(MOVIMIENTOS!$A$5:$A$1005&lt;&gt;"")*(MOVIMIENTOS!$A$5:$A$1005&lt;=$A897)*MOVIMIENTOS!$E$5:$E$1005)-SUMPRODUCT((MOVIMIENTOS!$B$5:$B$1005="VENTA")*(MOVIMIENTOS!$C$5:$C$1005="M")*(MOVIMIENTOS!$D$5:$D$1005="jabas")*(MOVIMIENTOS!$A$5:$A$1005&lt;&gt;"")*(MOVIMIENTOS!$A$5:$A$1005&lt;=$A897)*MOVIMIENTOS!$E$5:$E$1005)+SUMPRODUCT((MOVIMIENTOS!$B$5:$B$1005="AJUSTE")*(MOVIMIENTOS!$C$5:$C$1005="M")*(MOVIMIENTOS!$D$5:$D$1005="jabas")*(MOVIMIENTOS!$A$5:$A$1005&lt;&gt;"")*(MOVIMIENTOS!$A$5:$A$1005&lt;=$A897)*MOVIMIENTOS!$E$5:$E$1005))</f>
        <v/>
      </c>
      <c r="F897" s="62" t="str">
        <f>IF($A897="","",SUMPRODUCT((MOVIMIENTOS!$B$5:$B$1005="SALDO INICIAL")*(MOVIMIENTOS!$C$5:$C$1005="Chancho")*(MOVIMIENTOS!$D$5:$D$1005="sacos")*(MOVIMIENTOS!$A$5:$A$1005&lt;&gt;"")*(MOVIMIENTOS!$A$5:$A$1005&lt;=$A897)*MOVIMIENTOS!$E$5:$E$1005)+SUMPRODUCT((MOVIMIENTOS!$B$5:$B$1005="PROCESO")*(MOVIMIENTOS!$C$5:$C$1005="Chancho")*(MOVIMIENTOS!$D$5:$D$1005="sacos")*(MOVIMIENTOS!$A$5:$A$1005&lt;&gt;"")*(MOVIMIENTOS!$A$5:$A$1005&lt;=$A897)*MOVIMIENTOS!$E$5:$E$1005)-SUMPRODUCT((MOVIMIENTOS!$B$5:$B$1005="VENTA CHANCHO")*(MOVIMIENTOS!$C$5:$C$1005="Chancho")*(MOVIMIENTOS!$D$5:$D$1005="sacos")*(MOVIMIENTOS!$A$5:$A$1005&lt;&gt;"")*(MOVIMIENTOS!$A$5:$A$1005&lt;=$A897)*MOVIMIENTOS!$E$5:$E$1005)-SUMPRODUCT((MOVIMIENTOS!$B$5:$B$1005="REGALO")*(MOVIMIENTOS!$C$5:$C$1005="Chancho")*(MOVIMIENTOS!$D$5:$D$1005="sacos")*(MOVIMIENTOS!$A$5:$A$1005&lt;&gt;"")*(MOVIMIENTOS!$A$5:$A$1005&lt;=$A897)*MOVIMIENTOS!$E$5:$E$1005)-SUMPRODUCT((MOVIMIENTOS!$B$5:$B$1005="VENTA")*(MOVIMIENTOS!$C$5:$C$1005="Chancho")*(MOVIMIENTOS!$D$5:$D$1005="sacos")*(MOVIMIENTOS!$A$5:$A$1005&lt;&gt;"")*(MOVIMIENTOS!$A$5:$A$1005&lt;=$A897)*MOVIMIENTOS!$E$5:$E$1005)+SUMPRODUCT((MOVIMIENTOS!$B$5:$B$1005="AJUSTE")*(MOVIMIENTOS!$C$5:$C$1005="Chancho")*(MOVIMIENTOS!$D$5:$D$1005="sacos")*(MOVIMIENTOS!$A$5:$A$1005&lt;&gt;"")*(MOVIMIENTOS!$A$5:$A$1005&lt;=$A897)*MOVIMIENTOS!$E$5:$E$1005))</f>
        <v/>
      </c>
      <c r="G897" s="62" t="str">
        <f t="shared" si="27"/>
        <v/>
      </c>
      <c r="H897" t="str">
        <f>IF($A897="","",SUMPRODUCT((((MOVIMIENTOS!$B$5:$B$1005="SALDO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897)*MOVIMIENTOS!$J$5:$J$1005))</f>
        <v/>
      </c>
      <c r="J897" t="str">
        <f>IF(AND(MOVIMIENTOS!$A902&lt;&gt;"",COUNTIF(MOVIMIENTOS!$A$5:$A901,MOVIMIENTOS!$A902)=0),COUNT(J$4:J896)+1,"")</f>
        <v/>
      </c>
      <c r="K897">
        <f>MOVIMIENTOS!$A902</f>
        <v>0</v>
      </c>
    </row>
    <row r="898" spans="1:11" ht="15" customHeight="1" x14ac:dyDescent="0.2">
      <c r="A898" t="str">
        <f t="shared" si="26"/>
        <v/>
      </c>
      <c r="B898" t="str">
        <f>IF($A898="","",SUMPRODUCT((MOVIMIENTOS!$B$5:$B$1005="SALDO INICIAL")*(MOVIMIENTOS!$C$5:$C$1005="A")*(MOVIMIENTOS!$D$5:$D$1005="jabas")*(MOVIMIENTOS!$A$5:$A$1005&lt;&gt;"")*(MOVIMIENTOS!$A$5:$A$1005&lt;=$A898)*MOVIMIENTOS!$E$5:$E$1005)+SUMPRODUCT((MOVIMIENTOS!$B$5:$B$1005="PROCESO")*(MOVIMIENTOS!$C$5:$C$1005="A")*(MOVIMIENTOS!$D$5:$D$1005="jabas")*(MOVIMIENTOS!$A$5:$A$1005&lt;&gt;"")*(MOVIMIENTOS!$A$5:$A$1005&lt;=$A898)*MOVIMIENTOS!$E$5:$E$1005)-SUMPRODUCT((MOVIMIENTOS!$B$5:$B$1005="ENVÍO A SUPESA")*(MOVIMIENTOS!$C$5:$C$1005="A")*(MOVIMIENTOS!$D$5:$D$1005="jabas")*(MOVIMIENTOS!$A$5:$A$1005&lt;&gt;"")*(MOVIMIENTOS!$A$5:$A$1005&lt;=$A898)*MOVIMIENTOS!$E$5:$E$1005)+SUMPRODUCT((MOVIMIENTOS!$B$5:$B$1005="DEVOLUCIÓN")*(MOVIMIENTOS!$C$5:$C$1005="A")*(MOVIMIENTOS!$D$5:$D$1005="jabas")*(MOVIMIENTOS!$A$5:$A$1005&lt;&gt;"")*(MOVIMIENTOS!$A$5:$A$1005&lt;=$A898)*MOVIMIENTOS!$E$5:$E$1005)-SUMPRODUCT((MOVIMIENTOS!$B$5:$B$1005="TRASIEGO")*(MOVIMIENTOS!$C$5:$C$1005="A")*(MOVIMIENTOS!$D$5:$D$1005="jabas")*(MOVIMIENTOS!$A$5:$A$1005&lt;&gt;"")*(MOVIMIENTOS!$A$5:$A$1005&lt;=$A898)*MOVIMIENTOS!$E$5:$E$1005)-SUMPRODUCT((MOVIMIENTOS!$B$5:$B$1005="REGALO")*(MOVIMIENTOS!$C$5:$C$1005="A")*(MOVIMIENTOS!$D$5:$D$1005="jabas")*(MOVIMIENTOS!$A$5:$A$1005&lt;&gt;"")*(MOVIMIENTOS!$A$5:$A$1005&lt;=$A898)*MOVIMIENTOS!$E$5:$E$1005)-SUMPRODUCT((MOVIMIENTOS!$B$5:$B$1005="VENTA")*(MOVIMIENTOS!$C$5:$C$1005="A")*(MOVIMIENTOS!$D$5:$D$1005="jabas")*(MOVIMIENTOS!$A$5:$A$1005&lt;&gt;"")*(MOVIMIENTOS!$A$5:$A$1005&lt;=$A898)*MOVIMIENTOS!$E$5:$E$1005)+SUMPRODUCT((MOVIMIENTOS!$B$5:$B$1005="AJUSTE")*(MOVIMIENTOS!$C$5:$C$1005="A")*(MOVIMIENTOS!$D$5:$D$1005="jabas")*(MOVIMIENTOS!$A$5:$A$1005&lt;&gt;"")*(MOVIMIENTOS!$A$5:$A$1005&lt;=$A898)*MOVIMIENTOS!$E$5:$E$1005))</f>
        <v/>
      </c>
      <c r="C898" t="str">
        <f>IF($A898="","",SUMPRODUCT((MOVIMIENTOS!$B$5:$B$1005="SALDO INICIAL")*(MOVIMIENTOS!$C$5:$C$1005="P")*(MOVIMIENTOS!$D$5:$D$1005="jabas")*(MOVIMIENTOS!$A$5:$A$1005&lt;&gt;"")*(MOVIMIENTOS!$A$5:$A$1005&lt;=$A898)*MOVIMIENTOS!$E$5:$E$1005)+SUMPRODUCT((MOVIMIENTOS!$B$5:$B$1005="PROCESO")*(MOVIMIENTOS!$C$5:$C$1005="P")*(MOVIMIENTOS!$D$5:$D$1005="jabas")*(MOVIMIENTOS!$A$5:$A$1005&lt;&gt;"")*(MOVIMIENTOS!$A$5:$A$1005&lt;=$A898)*MOVIMIENTOS!$E$5:$E$1005)-SUMPRODUCT((MOVIMIENTOS!$B$5:$B$1005="ENVÍO A SUPESA")*(MOVIMIENTOS!$C$5:$C$1005="P")*(MOVIMIENTOS!$D$5:$D$1005="jabas")*(MOVIMIENTOS!$A$5:$A$1005&lt;&gt;"")*(MOVIMIENTOS!$A$5:$A$1005&lt;=$A898)*MOVIMIENTOS!$E$5:$E$1005)+SUMPRODUCT((MOVIMIENTOS!$B$5:$B$1005="DEVOLUCIÓN")*(MOVIMIENTOS!$C$5:$C$1005="P")*(MOVIMIENTOS!$D$5:$D$1005="jabas")*(MOVIMIENTOS!$A$5:$A$1005&lt;&gt;"")*(MOVIMIENTOS!$A$5:$A$1005&lt;=$A898)*MOVIMIENTOS!$E$5:$E$1005)-SUMPRODUCT((MOVIMIENTOS!$B$5:$B$1005="TRASIEGO")*(MOVIMIENTOS!$C$5:$C$1005="P")*(MOVIMIENTOS!$D$5:$D$1005="jabas")*(MOVIMIENTOS!$A$5:$A$1005&lt;&gt;"")*(MOVIMIENTOS!$A$5:$A$1005&lt;=$A898)*MOVIMIENTOS!$E$5:$E$1005)-SUMPRODUCT((MOVIMIENTOS!$B$5:$B$1005="REGALO")*(MOVIMIENTOS!$C$5:$C$1005="P")*(MOVIMIENTOS!$D$5:$D$1005="jabas")*(MOVIMIENTOS!$A$5:$A$1005&lt;&gt;"")*(MOVIMIENTOS!$A$5:$A$1005&lt;=$A898)*MOVIMIENTOS!$E$5:$E$1005)-SUMPRODUCT((MOVIMIENTOS!$B$5:$B$1005="VENTA")*(MOVIMIENTOS!$C$5:$C$1005="P")*(MOVIMIENTOS!$D$5:$D$1005="jabas")*(MOVIMIENTOS!$A$5:$A$1005&lt;&gt;"")*(MOVIMIENTOS!$A$5:$A$1005&lt;=$A898)*MOVIMIENTOS!$E$5:$E$1005)+SUMPRODUCT((MOVIMIENTOS!$B$5:$B$1005="AJUSTE")*(MOVIMIENTOS!$C$5:$C$1005="P")*(MOVIMIENTOS!$D$5:$D$1005="jabas")*(MOVIMIENTOS!$A$5:$A$1005&lt;&gt;"")*(MOVIMIENTOS!$A$5:$A$1005&lt;=$A898)*MOVIMIENTOS!$E$5:$E$1005))</f>
        <v/>
      </c>
      <c r="D898" t="str">
        <f>IF($A898="","",SUMPRODUCT((MOVIMIENTOS!$B$5:$B$1005="SALDO INICIAL")*(MOVIMIENTOS!$C$5:$C$1005="C")*(MOVIMIENTOS!$D$5:$D$1005="jabas")*(MOVIMIENTOS!$A$5:$A$1005&lt;&gt;"")*(MOVIMIENTOS!$A$5:$A$1005&lt;=$A898)*MOVIMIENTOS!$E$5:$E$1005)+SUMPRODUCT((MOVIMIENTOS!$B$5:$B$1005="PROCESO")*(MOVIMIENTOS!$C$5:$C$1005="C")*(MOVIMIENTOS!$D$5:$D$1005="jabas")*(MOVIMIENTOS!$A$5:$A$1005&lt;&gt;"")*(MOVIMIENTOS!$A$5:$A$1005&lt;=$A898)*MOVIMIENTOS!$E$5:$E$1005)-SUMPRODUCT((MOVIMIENTOS!$B$5:$B$1005="ENVÍO A SUPESA")*(MOVIMIENTOS!$C$5:$C$1005="C")*(MOVIMIENTOS!$D$5:$D$1005="jabas")*(MOVIMIENTOS!$A$5:$A$1005&lt;&gt;"")*(MOVIMIENTOS!$A$5:$A$1005&lt;=$A898)*MOVIMIENTOS!$E$5:$E$1005)+SUMPRODUCT((MOVIMIENTOS!$B$5:$B$1005="DEVOLUCIÓN")*(MOVIMIENTOS!$C$5:$C$1005="C")*(MOVIMIENTOS!$D$5:$D$1005="jabas")*(MOVIMIENTOS!$A$5:$A$1005&lt;&gt;"")*(MOVIMIENTOS!$A$5:$A$1005&lt;=$A898)*MOVIMIENTOS!$E$5:$E$1005)-SUMPRODUCT((MOVIMIENTOS!$B$5:$B$1005="TRASIEGO")*(MOVIMIENTOS!$C$5:$C$1005="C")*(MOVIMIENTOS!$D$5:$D$1005="jabas")*(MOVIMIENTOS!$A$5:$A$1005&lt;&gt;"")*(MOVIMIENTOS!$A$5:$A$1005&lt;=$A898)*MOVIMIENTOS!$E$5:$E$1005)-SUMPRODUCT((MOVIMIENTOS!$B$5:$B$1005="REGALO")*(MOVIMIENTOS!$C$5:$C$1005="C")*(MOVIMIENTOS!$D$5:$D$1005="jabas")*(MOVIMIENTOS!$A$5:$A$1005&lt;&gt;"")*(MOVIMIENTOS!$A$5:$A$1005&lt;=$A898)*MOVIMIENTOS!$E$5:$E$1005)-SUMPRODUCT((MOVIMIENTOS!$B$5:$B$1005="VENTA")*(MOVIMIENTOS!$C$5:$C$1005="C")*(MOVIMIENTOS!$D$5:$D$1005="jabas")*(MOVIMIENTOS!$A$5:$A$1005&lt;&gt;"")*(MOVIMIENTOS!$A$5:$A$1005&lt;=$A898)*MOVIMIENTOS!$E$5:$E$1005)+SUMPRODUCT((MOVIMIENTOS!$B$5:$B$1005="AJUSTE")*(MOVIMIENTOS!$C$5:$C$1005="C")*(MOVIMIENTOS!$D$5:$D$1005="jabas")*(MOVIMIENTOS!$A$5:$A$1005&lt;&gt;"")*(MOVIMIENTOS!$A$5:$A$1005&lt;=$A898)*MOVIMIENTOS!$E$5:$E$1005))</f>
        <v/>
      </c>
      <c r="E898" t="str">
        <f>IF($A898="","",SUMPRODUCT((MOVIMIENTOS!$B$5:$B$1005="SALDO INICIAL")*(MOVIMIENTOS!$C$5:$C$1005="M")*(MOVIMIENTOS!$D$5:$D$1005="jabas")*(MOVIMIENTOS!$A$5:$A$1005&lt;&gt;"")*(MOVIMIENTOS!$A$5:$A$1005&lt;=$A898)*MOVIMIENTOS!$E$5:$E$1005)+SUMPRODUCT((MOVIMIENTOS!$B$5:$B$1005="PROCESO")*(MOVIMIENTOS!$C$5:$C$1005="M")*(MOVIMIENTOS!$D$5:$D$1005="jabas")*(MOVIMIENTOS!$A$5:$A$1005&lt;&gt;"")*(MOVIMIENTOS!$A$5:$A$1005&lt;=$A898)*MOVIMIENTOS!$E$5:$E$1005)-SUMPRODUCT((MOVIMIENTOS!$B$5:$B$1005="ENVÍO A SUPESA")*(MOVIMIENTOS!$C$5:$C$1005="M")*(MOVIMIENTOS!$D$5:$D$1005="jabas")*(MOVIMIENTOS!$A$5:$A$1005&lt;&gt;"")*(MOVIMIENTOS!$A$5:$A$1005&lt;=$A898)*MOVIMIENTOS!$E$5:$E$1005)+SUMPRODUCT((MOVIMIENTOS!$B$5:$B$1005="DEVOLUCIÓN")*(MOVIMIENTOS!$C$5:$C$1005="M")*(MOVIMIENTOS!$D$5:$D$1005="jabas")*(MOVIMIENTOS!$A$5:$A$1005&lt;&gt;"")*(MOVIMIENTOS!$A$5:$A$1005&lt;=$A898)*MOVIMIENTOS!$E$5:$E$1005)-SUMPRODUCT((MOVIMIENTOS!$B$5:$B$1005="TRASIEGO")*(MOVIMIENTOS!$C$5:$C$1005="M")*(MOVIMIENTOS!$D$5:$D$1005="jabas")*(MOVIMIENTOS!$A$5:$A$1005&lt;&gt;"")*(MOVIMIENTOS!$A$5:$A$1005&lt;=$A898)*MOVIMIENTOS!$E$5:$E$1005)-SUMPRODUCT((MOVIMIENTOS!$B$5:$B$1005="REGALO")*(MOVIMIENTOS!$C$5:$C$1005="M")*(MOVIMIENTOS!$D$5:$D$1005="jabas")*(MOVIMIENTOS!$A$5:$A$1005&lt;&gt;"")*(MOVIMIENTOS!$A$5:$A$1005&lt;=$A898)*MOVIMIENTOS!$E$5:$E$1005)-SUMPRODUCT((MOVIMIENTOS!$B$5:$B$1005="VENTA")*(MOVIMIENTOS!$C$5:$C$1005="M")*(MOVIMIENTOS!$D$5:$D$1005="jabas")*(MOVIMIENTOS!$A$5:$A$1005&lt;&gt;"")*(MOVIMIENTOS!$A$5:$A$1005&lt;=$A898)*MOVIMIENTOS!$E$5:$E$1005)+SUMPRODUCT((MOVIMIENTOS!$B$5:$B$1005="AJUSTE")*(MOVIMIENTOS!$C$5:$C$1005="M")*(MOVIMIENTOS!$D$5:$D$1005="jabas")*(MOVIMIENTOS!$A$5:$A$1005&lt;&gt;"")*(MOVIMIENTOS!$A$5:$A$1005&lt;=$A898)*MOVIMIENTOS!$E$5:$E$1005))</f>
        <v/>
      </c>
      <c r="F898" s="62" t="str">
        <f>IF($A898="","",SUMPRODUCT((MOVIMIENTOS!$B$5:$B$1005="SALDO INICIAL")*(MOVIMIENTOS!$C$5:$C$1005="Chancho")*(MOVIMIENTOS!$D$5:$D$1005="sacos")*(MOVIMIENTOS!$A$5:$A$1005&lt;&gt;"")*(MOVIMIENTOS!$A$5:$A$1005&lt;=$A898)*MOVIMIENTOS!$E$5:$E$1005)+SUMPRODUCT((MOVIMIENTOS!$B$5:$B$1005="PROCESO")*(MOVIMIENTOS!$C$5:$C$1005="Chancho")*(MOVIMIENTOS!$D$5:$D$1005="sacos")*(MOVIMIENTOS!$A$5:$A$1005&lt;&gt;"")*(MOVIMIENTOS!$A$5:$A$1005&lt;=$A898)*MOVIMIENTOS!$E$5:$E$1005)-SUMPRODUCT((MOVIMIENTOS!$B$5:$B$1005="VENTA CHANCHO")*(MOVIMIENTOS!$C$5:$C$1005="Chancho")*(MOVIMIENTOS!$D$5:$D$1005="sacos")*(MOVIMIENTOS!$A$5:$A$1005&lt;&gt;"")*(MOVIMIENTOS!$A$5:$A$1005&lt;=$A898)*MOVIMIENTOS!$E$5:$E$1005)-SUMPRODUCT((MOVIMIENTOS!$B$5:$B$1005="REGALO")*(MOVIMIENTOS!$C$5:$C$1005="Chancho")*(MOVIMIENTOS!$D$5:$D$1005="sacos")*(MOVIMIENTOS!$A$5:$A$1005&lt;&gt;"")*(MOVIMIENTOS!$A$5:$A$1005&lt;=$A898)*MOVIMIENTOS!$E$5:$E$1005)-SUMPRODUCT((MOVIMIENTOS!$B$5:$B$1005="VENTA")*(MOVIMIENTOS!$C$5:$C$1005="Chancho")*(MOVIMIENTOS!$D$5:$D$1005="sacos")*(MOVIMIENTOS!$A$5:$A$1005&lt;&gt;"")*(MOVIMIENTOS!$A$5:$A$1005&lt;=$A898)*MOVIMIENTOS!$E$5:$E$1005)+SUMPRODUCT((MOVIMIENTOS!$B$5:$B$1005="AJUSTE")*(MOVIMIENTOS!$C$5:$C$1005="Chancho")*(MOVIMIENTOS!$D$5:$D$1005="sacos")*(MOVIMIENTOS!$A$5:$A$1005&lt;&gt;"")*(MOVIMIENTOS!$A$5:$A$1005&lt;=$A898)*MOVIMIENTOS!$E$5:$E$1005))</f>
        <v/>
      </c>
      <c r="G898" s="62" t="str">
        <f t="shared" si="27"/>
        <v/>
      </c>
      <c r="H898" t="str">
        <f>IF($A898="","",SUMPRODUCT((((MOVIMIENTOS!$B$5:$B$1005="SALDO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898)*MOVIMIENTOS!$J$5:$J$1005))</f>
        <v/>
      </c>
      <c r="J898" t="str">
        <f>IF(AND(MOVIMIENTOS!$A903&lt;&gt;"",COUNTIF(MOVIMIENTOS!$A$5:$A902,MOVIMIENTOS!$A903)=0),COUNT(J$4:J897)+1,"")</f>
        <v/>
      </c>
      <c r="K898">
        <f>MOVIMIENTOS!$A903</f>
        <v>0</v>
      </c>
    </row>
    <row r="899" spans="1:11" ht="15" customHeight="1" x14ac:dyDescent="0.2">
      <c r="A899" t="str">
        <f t="shared" si="26"/>
        <v/>
      </c>
      <c r="B899" t="str">
        <f>IF($A899="","",SUMPRODUCT((MOVIMIENTOS!$B$5:$B$1005="SALDO INICIAL")*(MOVIMIENTOS!$C$5:$C$1005="A")*(MOVIMIENTOS!$D$5:$D$1005="jabas")*(MOVIMIENTOS!$A$5:$A$1005&lt;&gt;"")*(MOVIMIENTOS!$A$5:$A$1005&lt;=$A899)*MOVIMIENTOS!$E$5:$E$1005)+SUMPRODUCT((MOVIMIENTOS!$B$5:$B$1005="PROCESO")*(MOVIMIENTOS!$C$5:$C$1005="A")*(MOVIMIENTOS!$D$5:$D$1005="jabas")*(MOVIMIENTOS!$A$5:$A$1005&lt;&gt;"")*(MOVIMIENTOS!$A$5:$A$1005&lt;=$A899)*MOVIMIENTOS!$E$5:$E$1005)-SUMPRODUCT((MOVIMIENTOS!$B$5:$B$1005="ENVÍO A SUPESA")*(MOVIMIENTOS!$C$5:$C$1005="A")*(MOVIMIENTOS!$D$5:$D$1005="jabas")*(MOVIMIENTOS!$A$5:$A$1005&lt;&gt;"")*(MOVIMIENTOS!$A$5:$A$1005&lt;=$A899)*MOVIMIENTOS!$E$5:$E$1005)+SUMPRODUCT((MOVIMIENTOS!$B$5:$B$1005="DEVOLUCIÓN")*(MOVIMIENTOS!$C$5:$C$1005="A")*(MOVIMIENTOS!$D$5:$D$1005="jabas")*(MOVIMIENTOS!$A$5:$A$1005&lt;&gt;"")*(MOVIMIENTOS!$A$5:$A$1005&lt;=$A899)*MOVIMIENTOS!$E$5:$E$1005)-SUMPRODUCT((MOVIMIENTOS!$B$5:$B$1005="TRASIEGO")*(MOVIMIENTOS!$C$5:$C$1005="A")*(MOVIMIENTOS!$D$5:$D$1005="jabas")*(MOVIMIENTOS!$A$5:$A$1005&lt;&gt;"")*(MOVIMIENTOS!$A$5:$A$1005&lt;=$A899)*MOVIMIENTOS!$E$5:$E$1005)-SUMPRODUCT((MOVIMIENTOS!$B$5:$B$1005="REGALO")*(MOVIMIENTOS!$C$5:$C$1005="A")*(MOVIMIENTOS!$D$5:$D$1005="jabas")*(MOVIMIENTOS!$A$5:$A$1005&lt;&gt;"")*(MOVIMIENTOS!$A$5:$A$1005&lt;=$A899)*MOVIMIENTOS!$E$5:$E$1005)-SUMPRODUCT((MOVIMIENTOS!$B$5:$B$1005="VENTA")*(MOVIMIENTOS!$C$5:$C$1005="A")*(MOVIMIENTOS!$D$5:$D$1005="jabas")*(MOVIMIENTOS!$A$5:$A$1005&lt;&gt;"")*(MOVIMIENTOS!$A$5:$A$1005&lt;=$A899)*MOVIMIENTOS!$E$5:$E$1005)+SUMPRODUCT((MOVIMIENTOS!$B$5:$B$1005="AJUSTE")*(MOVIMIENTOS!$C$5:$C$1005="A")*(MOVIMIENTOS!$D$5:$D$1005="jabas")*(MOVIMIENTOS!$A$5:$A$1005&lt;&gt;"")*(MOVIMIENTOS!$A$5:$A$1005&lt;=$A899)*MOVIMIENTOS!$E$5:$E$1005))</f>
        <v/>
      </c>
      <c r="C899" t="str">
        <f>IF($A899="","",SUMPRODUCT((MOVIMIENTOS!$B$5:$B$1005="SALDO INICIAL")*(MOVIMIENTOS!$C$5:$C$1005="P")*(MOVIMIENTOS!$D$5:$D$1005="jabas")*(MOVIMIENTOS!$A$5:$A$1005&lt;&gt;"")*(MOVIMIENTOS!$A$5:$A$1005&lt;=$A899)*MOVIMIENTOS!$E$5:$E$1005)+SUMPRODUCT((MOVIMIENTOS!$B$5:$B$1005="PROCESO")*(MOVIMIENTOS!$C$5:$C$1005="P")*(MOVIMIENTOS!$D$5:$D$1005="jabas")*(MOVIMIENTOS!$A$5:$A$1005&lt;&gt;"")*(MOVIMIENTOS!$A$5:$A$1005&lt;=$A899)*MOVIMIENTOS!$E$5:$E$1005)-SUMPRODUCT((MOVIMIENTOS!$B$5:$B$1005="ENVÍO A SUPESA")*(MOVIMIENTOS!$C$5:$C$1005="P")*(MOVIMIENTOS!$D$5:$D$1005="jabas")*(MOVIMIENTOS!$A$5:$A$1005&lt;&gt;"")*(MOVIMIENTOS!$A$5:$A$1005&lt;=$A899)*MOVIMIENTOS!$E$5:$E$1005)+SUMPRODUCT((MOVIMIENTOS!$B$5:$B$1005="DEVOLUCIÓN")*(MOVIMIENTOS!$C$5:$C$1005="P")*(MOVIMIENTOS!$D$5:$D$1005="jabas")*(MOVIMIENTOS!$A$5:$A$1005&lt;&gt;"")*(MOVIMIENTOS!$A$5:$A$1005&lt;=$A899)*MOVIMIENTOS!$E$5:$E$1005)-SUMPRODUCT((MOVIMIENTOS!$B$5:$B$1005="TRASIEGO")*(MOVIMIENTOS!$C$5:$C$1005="P")*(MOVIMIENTOS!$D$5:$D$1005="jabas")*(MOVIMIENTOS!$A$5:$A$1005&lt;&gt;"")*(MOVIMIENTOS!$A$5:$A$1005&lt;=$A899)*MOVIMIENTOS!$E$5:$E$1005)-SUMPRODUCT((MOVIMIENTOS!$B$5:$B$1005="REGALO")*(MOVIMIENTOS!$C$5:$C$1005="P")*(MOVIMIENTOS!$D$5:$D$1005="jabas")*(MOVIMIENTOS!$A$5:$A$1005&lt;&gt;"")*(MOVIMIENTOS!$A$5:$A$1005&lt;=$A899)*MOVIMIENTOS!$E$5:$E$1005)-SUMPRODUCT((MOVIMIENTOS!$B$5:$B$1005="VENTA")*(MOVIMIENTOS!$C$5:$C$1005="P")*(MOVIMIENTOS!$D$5:$D$1005="jabas")*(MOVIMIENTOS!$A$5:$A$1005&lt;&gt;"")*(MOVIMIENTOS!$A$5:$A$1005&lt;=$A899)*MOVIMIENTOS!$E$5:$E$1005)+SUMPRODUCT((MOVIMIENTOS!$B$5:$B$1005="AJUSTE")*(MOVIMIENTOS!$C$5:$C$1005="P")*(MOVIMIENTOS!$D$5:$D$1005="jabas")*(MOVIMIENTOS!$A$5:$A$1005&lt;&gt;"")*(MOVIMIENTOS!$A$5:$A$1005&lt;=$A899)*MOVIMIENTOS!$E$5:$E$1005))</f>
        <v/>
      </c>
      <c r="D899" t="str">
        <f>IF($A899="","",SUMPRODUCT((MOVIMIENTOS!$B$5:$B$1005="SALDO INICIAL")*(MOVIMIENTOS!$C$5:$C$1005="C")*(MOVIMIENTOS!$D$5:$D$1005="jabas")*(MOVIMIENTOS!$A$5:$A$1005&lt;&gt;"")*(MOVIMIENTOS!$A$5:$A$1005&lt;=$A899)*MOVIMIENTOS!$E$5:$E$1005)+SUMPRODUCT((MOVIMIENTOS!$B$5:$B$1005="PROCESO")*(MOVIMIENTOS!$C$5:$C$1005="C")*(MOVIMIENTOS!$D$5:$D$1005="jabas")*(MOVIMIENTOS!$A$5:$A$1005&lt;&gt;"")*(MOVIMIENTOS!$A$5:$A$1005&lt;=$A899)*MOVIMIENTOS!$E$5:$E$1005)-SUMPRODUCT((MOVIMIENTOS!$B$5:$B$1005="ENVÍO A SUPESA")*(MOVIMIENTOS!$C$5:$C$1005="C")*(MOVIMIENTOS!$D$5:$D$1005="jabas")*(MOVIMIENTOS!$A$5:$A$1005&lt;&gt;"")*(MOVIMIENTOS!$A$5:$A$1005&lt;=$A899)*MOVIMIENTOS!$E$5:$E$1005)+SUMPRODUCT((MOVIMIENTOS!$B$5:$B$1005="DEVOLUCIÓN")*(MOVIMIENTOS!$C$5:$C$1005="C")*(MOVIMIENTOS!$D$5:$D$1005="jabas")*(MOVIMIENTOS!$A$5:$A$1005&lt;&gt;"")*(MOVIMIENTOS!$A$5:$A$1005&lt;=$A899)*MOVIMIENTOS!$E$5:$E$1005)-SUMPRODUCT((MOVIMIENTOS!$B$5:$B$1005="TRASIEGO")*(MOVIMIENTOS!$C$5:$C$1005="C")*(MOVIMIENTOS!$D$5:$D$1005="jabas")*(MOVIMIENTOS!$A$5:$A$1005&lt;&gt;"")*(MOVIMIENTOS!$A$5:$A$1005&lt;=$A899)*MOVIMIENTOS!$E$5:$E$1005)-SUMPRODUCT((MOVIMIENTOS!$B$5:$B$1005="REGALO")*(MOVIMIENTOS!$C$5:$C$1005="C")*(MOVIMIENTOS!$D$5:$D$1005="jabas")*(MOVIMIENTOS!$A$5:$A$1005&lt;&gt;"")*(MOVIMIENTOS!$A$5:$A$1005&lt;=$A899)*MOVIMIENTOS!$E$5:$E$1005)-SUMPRODUCT((MOVIMIENTOS!$B$5:$B$1005="VENTA")*(MOVIMIENTOS!$C$5:$C$1005="C")*(MOVIMIENTOS!$D$5:$D$1005="jabas")*(MOVIMIENTOS!$A$5:$A$1005&lt;&gt;"")*(MOVIMIENTOS!$A$5:$A$1005&lt;=$A899)*MOVIMIENTOS!$E$5:$E$1005)+SUMPRODUCT((MOVIMIENTOS!$B$5:$B$1005="AJUSTE")*(MOVIMIENTOS!$C$5:$C$1005="C")*(MOVIMIENTOS!$D$5:$D$1005="jabas")*(MOVIMIENTOS!$A$5:$A$1005&lt;&gt;"")*(MOVIMIENTOS!$A$5:$A$1005&lt;=$A899)*MOVIMIENTOS!$E$5:$E$1005))</f>
        <v/>
      </c>
      <c r="E899" t="str">
        <f>IF($A899="","",SUMPRODUCT((MOVIMIENTOS!$B$5:$B$1005="SALDO INICIAL")*(MOVIMIENTOS!$C$5:$C$1005="M")*(MOVIMIENTOS!$D$5:$D$1005="jabas")*(MOVIMIENTOS!$A$5:$A$1005&lt;&gt;"")*(MOVIMIENTOS!$A$5:$A$1005&lt;=$A899)*MOVIMIENTOS!$E$5:$E$1005)+SUMPRODUCT((MOVIMIENTOS!$B$5:$B$1005="PROCESO")*(MOVIMIENTOS!$C$5:$C$1005="M")*(MOVIMIENTOS!$D$5:$D$1005="jabas")*(MOVIMIENTOS!$A$5:$A$1005&lt;&gt;"")*(MOVIMIENTOS!$A$5:$A$1005&lt;=$A899)*MOVIMIENTOS!$E$5:$E$1005)-SUMPRODUCT((MOVIMIENTOS!$B$5:$B$1005="ENVÍO A SUPESA")*(MOVIMIENTOS!$C$5:$C$1005="M")*(MOVIMIENTOS!$D$5:$D$1005="jabas")*(MOVIMIENTOS!$A$5:$A$1005&lt;&gt;"")*(MOVIMIENTOS!$A$5:$A$1005&lt;=$A899)*MOVIMIENTOS!$E$5:$E$1005)+SUMPRODUCT((MOVIMIENTOS!$B$5:$B$1005="DEVOLUCIÓN")*(MOVIMIENTOS!$C$5:$C$1005="M")*(MOVIMIENTOS!$D$5:$D$1005="jabas")*(MOVIMIENTOS!$A$5:$A$1005&lt;&gt;"")*(MOVIMIENTOS!$A$5:$A$1005&lt;=$A899)*MOVIMIENTOS!$E$5:$E$1005)-SUMPRODUCT((MOVIMIENTOS!$B$5:$B$1005="TRASIEGO")*(MOVIMIENTOS!$C$5:$C$1005="M")*(MOVIMIENTOS!$D$5:$D$1005="jabas")*(MOVIMIENTOS!$A$5:$A$1005&lt;&gt;"")*(MOVIMIENTOS!$A$5:$A$1005&lt;=$A899)*MOVIMIENTOS!$E$5:$E$1005)-SUMPRODUCT((MOVIMIENTOS!$B$5:$B$1005="REGALO")*(MOVIMIENTOS!$C$5:$C$1005="M")*(MOVIMIENTOS!$D$5:$D$1005="jabas")*(MOVIMIENTOS!$A$5:$A$1005&lt;&gt;"")*(MOVIMIENTOS!$A$5:$A$1005&lt;=$A899)*MOVIMIENTOS!$E$5:$E$1005)-SUMPRODUCT((MOVIMIENTOS!$B$5:$B$1005="VENTA")*(MOVIMIENTOS!$C$5:$C$1005="M")*(MOVIMIENTOS!$D$5:$D$1005="jabas")*(MOVIMIENTOS!$A$5:$A$1005&lt;&gt;"")*(MOVIMIENTOS!$A$5:$A$1005&lt;=$A899)*MOVIMIENTOS!$E$5:$E$1005)+SUMPRODUCT((MOVIMIENTOS!$B$5:$B$1005="AJUSTE")*(MOVIMIENTOS!$C$5:$C$1005="M")*(MOVIMIENTOS!$D$5:$D$1005="jabas")*(MOVIMIENTOS!$A$5:$A$1005&lt;&gt;"")*(MOVIMIENTOS!$A$5:$A$1005&lt;=$A899)*MOVIMIENTOS!$E$5:$E$1005))</f>
        <v/>
      </c>
      <c r="F899" s="62" t="str">
        <f>IF($A899="","",SUMPRODUCT((MOVIMIENTOS!$B$5:$B$1005="SALDO INICIAL")*(MOVIMIENTOS!$C$5:$C$1005="Chancho")*(MOVIMIENTOS!$D$5:$D$1005="sacos")*(MOVIMIENTOS!$A$5:$A$1005&lt;&gt;"")*(MOVIMIENTOS!$A$5:$A$1005&lt;=$A899)*MOVIMIENTOS!$E$5:$E$1005)+SUMPRODUCT((MOVIMIENTOS!$B$5:$B$1005="PROCESO")*(MOVIMIENTOS!$C$5:$C$1005="Chancho")*(MOVIMIENTOS!$D$5:$D$1005="sacos")*(MOVIMIENTOS!$A$5:$A$1005&lt;&gt;"")*(MOVIMIENTOS!$A$5:$A$1005&lt;=$A899)*MOVIMIENTOS!$E$5:$E$1005)-SUMPRODUCT((MOVIMIENTOS!$B$5:$B$1005="VENTA CHANCHO")*(MOVIMIENTOS!$C$5:$C$1005="Chancho")*(MOVIMIENTOS!$D$5:$D$1005="sacos")*(MOVIMIENTOS!$A$5:$A$1005&lt;&gt;"")*(MOVIMIENTOS!$A$5:$A$1005&lt;=$A899)*MOVIMIENTOS!$E$5:$E$1005)-SUMPRODUCT((MOVIMIENTOS!$B$5:$B$1005="REGALO")*(MOVIMIENTOS!$C$5:$C$1005="Chancho")*(MOVIMIENTOS!$D$5:$D$1005="sacos")*(MOVIMIENTOS!$A$5:$A$1005&lt;&gt;"")*(MOVIMIENTOS!$A$5:$A$1005&lt;=$A899)*MOVIMIENTOS!$E$5:$E$1005)-SUMPRODUCT((MOVIMIENTOS!$B$5:$B$1005="VENTA")*(MOVIMIENTOS!$C$5:$C$1005="Chancho")*(MOVIMIENTOS!$D$5:$D$1005="sacos")*(MOVIMIENTOS!$A$5:$A$1005&lt;&gt;"")*(MOVIMIENTOS!$A$5:$A$1005&lt;=$A899)*MOVIMIENTOS!$E$5:$E$1005)+SUMPRODUCT((MOVIMIENTOS!$B$5:$B$1005="AJUSTE")*(MOVIMIENTOS!$C$5:$C$1005="Chancho")*(MOVIMIENTOS!$D$5:$D$1005="sacos")*(MOVIMIENTOS!$A$5:$A$1005&lt;&gt;"")*(MOVIMIENTOS!$A$5:$A$1005&lt;=$A899)*MOVIMIENTOS!$E$5:$E$1005))</f>
        <v/>
      </c>
      <c r="G899" s="62" t="str">
        <f t="shared" si="27"/>
        <v/>
      </c>
      <c r="H899" t="str">
        <f>IF($A899="","",SUMPRODUCT((((MOVIMIENTOS!$B$5:$B$1005="SALDO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899)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899)*MOVIMIENTOS!$J$5:$J$1005))</f>
        <v/>
      </c>
      <c r="J899" t="str">
        <f>IF(AND(MOVIMIENTOS!$A904&lt;&gt;"",COUNTIF(MOVIMIENTOS!$A$5:$A903,MOVIMIENTOS!$A904)=0),COUNT(J$4:J898)+1,"")</f>
        <v/>
      </c>
      <c r="K899">
        <f>MOVIMIENTOS!$A904</f>
        <v>0</v>
      </c>
    </row>
    <row r="900" spans="1:11" ht="15" customHeight="1" x14ac:dyDescent="0.2">
      <c r="A900" t="str">
        <f t="shared" si="26"/>
        <v/>
      </c>
      <c r="B900" t="str">
        <f>IF($A900="","",SUMPRODUCT((MOVIMIENTOS!$B$5:$B$1005="SALDO INICIAL")*(MOVIMIENTOS!$C$5:$C$1005="A")*(MOVIMIENTOS!$D$5:$D$1005="jabas")*(MOVIMIENTOS!$A$5:$A$1005&lt;&gt;"")*(MOVIMIENTOS!$A$5:$A$1005&lt;=$A900)*MOVIMIENTOS!$E$5:$E$1005)+SUMPRODUCT((MOVIMIENTOS!$B$5:$B$1005="PROCESO")*(MOVIMIENTOS!$C$5:$C$1005="A")*(MOVIMIENTOS!$D$5:$D$1005="jabas")*(MOVIMIENTOS!$A$5:$A$1005&lt;&gt;"")*(MOVIMIENTOS!$A$5:$A$1005&lt;=$A900)*MOVIMIENTOS!$E$5:$E$1005)-SUMPRODUCT((MOVIMIENTOS!$B$5:$B$1005="ENVÍO A SUPESA")*(MOVIMIENTOS!$C$5:$C$1005="A")*(MOVIMIENTOS!$D$5:$D$1005="jabas")*(MOVIMIENTOS!$A$5:$A$1005&lt;&gt;"")*(MOVIMIENTOS!$A$5:$A$1005&lt;=$A900)*MOVIMIENTOS!$E$5:$E$1005)+SUMPRODUCT((MOVIMIENTOS!$B$5:$B$1005="DEVOLUCIÓN")*(MOVIMIENTOS!$C$5:$C$1005="A")*(MOVIMIENTOS!$D$5:$D$1005="jabas")*(MOVIMIENTOS!$A$5:$A$1005&lt;&gt;"")*(MOVIMIENTOS!$A$5:$A$1005&lt;=$A900)*MOVIMIENTOS!$E$5:$E$1005)-SUMPRODUCT((MOVIMIENTOS!$B$5:$B$1005="TRASIEGO")*(MOVIMIENTOS!$C$5:$C$1005="A")*(MOVIMIENTOS!$D$5:$D$1005="jabas")*(MOVIMIENTOS!$A$5:$A$1005&lt;&gt;"")*(MOVIMIENTOS!$A$5:$A$1005&lt;=$A900)*MOVIMIENTOS!$E$5:$E$1005)-SUMPRODUCT((MOVIMIENTOS!$B$5:$B$1005="REGALO")*(MOVIMIENTOS!$C$5:$C$1005="A")*(MOVIMIENTOS!$D$5:$D$1005="jabas")*(MOVIMIENTOS!$A$5:$A$1005&lt;&gt;"")*(MOVIMIENTOS!$A$5:$A$1005&lt;=$A900)*MOVIMIENTOS!$E$5:$E$1005)-SUMPRODUCT((MOVIMIENTOS!$B$5:$B$1005="VENTA")*(MOVIMIENTOS!$C$5:$C$1005="A")*(MOVIMIENTOS!$D$5:$D$1005="jabas")*(MOVIMIENTOS!$A$5:$A$1005&lt;&gt;"")*(MOVIMIENTOS!$A$5:$A$1005&lt;=$A900)*MOVIMIENTOS!$E$5:$E$1005)+SUMPRODUCT((MOVIMIENTOS!$B$5:$B$1005="AJUSTE")*(MOVIMIENTOS!$C$5:$C$1005="A")*(MOVIMIENTOS!$D$5:$D$1005="jabas")*(MOVIMIENTOS!$A$5:$A$1005&lt;&gt;"")*(MOVIMIENTOS!$A$5:$A$1005&lt;=$A900)*MOVIMIENTOS!$E$5:$E$1005))</f>
        <v/>
      </c>
      <c r="C900" t="str">
        <f>IF($A900="","",SUMPRODUCT((MOVIMIENTOS!$B$5:$B$1005="SALDO INICIAL")*(MOVIMIENTOS!$C$5:$C$1005="P")*(MOVIMIENTOS!$D$5:$D$1005="jabas")*(MOVIMIENTOS!$A$5:$A$1005&lt;&gt;"")*(MOVIMIENTOS!$A$5:$A$1005&lt;=$A900)*MOVIMIENTOS!$E$5:$E$1005)+SUMPRODUCT((MOVIMIENTOS!$B$5:$B$1005="PROCESO")*(MOVIMIENTOS!$C$5:$C$1005="P")*(MOVIMIENTOS!$D$5:$D$1005="jabas")*(MOVIMIENTOS!$A$5:$A$1005&lt;&gt;"")*(MOVIMIENTOS!$A$5:$A$1005&lt;=$A900)*MOVIMIENTOS!$E$5:$E$1005)-SUMPRODUCT((MOVIMIENTOS!$B$5:$B$1005="ENVÍO A SUPESA")*(MOVIMIENTOS!$C$5:$C$1005="P")*(MOVIMIENTOS!$D$5:$D$1005="jabas")*(MOVIMIENTOS!$A$5:$A$1005&lt;&gt;"")*(MOVIMIENTOS!$A$5:$A$1005&lt;=$A900)*MOVIMIENTOS!$E$5:$E$1005)+SUMPRODUCT((MOVIMIENTOS!$B$5:$B$1005="DEVOLUCIÓN")*(MOVIMIENTOS!$C$5:$C$1005="P")*(MOVIMIENTOS!$D$5:$D$1005="jabas")*(MOVIMIENTOS!$A$5:$A$1005&lt;&gt;"")*(MOVIMIENTOS!$A$5:$A$1005&lt;=$A900)*MOVIMIENTOS!$E$5:$E$1005)-SUMPRODUCT((MOVIMIENTOS!$B$5:$B$1005="TRASIEGO")*(MOVIMIENTOS!$C$5:$C$1005="P")*(MOVIMIENTOS!$D$5:$D$1005="jabas")*(MOVIMIENTOS!$A$5:$A$1005&lt;&gt;"")*(MOVIMIENTOS!$A$5:$A$1005&lt;=$A900)*MOVIMIENTOS!$E$5:$E$1005)-SUMPRODUCT((MOVIMIENTOS!$B$5:$B$1005="REGALO")*(MOVIMIENTOS!$C$5:$C$1005="P")*(MOVIMIENTOS!$D$5:$D$1005="jabas")*(MOVIMIENTOS!$A$5:$A$1005&lt;&gt;"")*(MOVIMIENTOS!$A$5:$A$1005&lt;=$A900)*MOVIMIENTOS!$E$5:$E$1005)-SUMPRODUCT((MOVIMIENTOS!$B$5:$B$1005="VENTA")*(MOVIMIENTOS!$C$5:$C$1005="P")*(MOVIMIENTOS!$D$5:$D$1005="jabas")*(MOVIMIENTOS!$A$5:$A$1005&lt;&gt;"")*(MOVIMIENTOS!$A$5:$A$1005&lt;=$A900)*MOVIMIENTOS!$E$5:$E$1005)+SUMPRODUCT((MOVIMIENTOS!$B$5:$B$1005="AJUSTE")*(MOVIMIENTOS!$C$5:$C$1005="P")*(MOVIMIENTOS!$D$5:$D$1005="jabas")*(MOVIMIENTOS!$A$5:$A$1005&lt;&gt;"")*(MOVIMIENTOS!$A$5:$A$1005&lt;=$A900)*MOVIMIENTOS!$E$5:$E$1005))</f>
        <v/>
      </c>
      <c r="D900" t="str">
        <f>IF($A900="","",SUMPRODUCT((MOVIMIENTOS!$B$5:$B$1005="SALDO INICIAL")*(MOVIMIENTOS!$C$5:$C$1005="C")*(MOVIMIENTOS!$D$5:$D$1005="jabas")*(MOVIMIENTOS!$A$5:$A$1005&lt;&gt;"")*(MOVIMIENTOS!$A$5:$A$1005&lt;=$A900)*MOVIMIENTOS!$E$5:$E$1005)+SUMPRODUCT((MOVIMIENTOS!$B$5:$B$1005="PROCESO")*(MOVIMIENTOS!$C$5:$C$1005="C")*(MOVIMIENTOS!$D$5:$D$1005="jabas")*(MOVIMIENTOS!$A$5:$A$1005&lt;&gt;"")*(MOVIMIENTOS!$A$5:$A$1005&lt;=$A900)*MOVIMIENTOS!$E$5:$E$1005)-SUMPRODUCT((MOVIMIENTOS!$B$5:$B$1005="ENVÍO A SUPESA")*(MOVIMIENTOS!$C$5:$C$1005="C")*(MOVIMIENTOS!$D$5:$D$1005="jabas")*(MOVIMIENTOS!$A$5:$A$1005&lt;&gt;"")*(MOVIMIENTOS!$A$5:$A$1005&lt;=$A900)*MOVIMIENTOS!$E$5:$E$1005)+SUMPRODUCT((MOVIMIENTOS!$B$5:$B$1005="DEVOLUCIÓN")*(MOVIMIENTOS!$C$5:$C$1005="C")*(MOVIMIENTOS!$D$5:$D$1005="jabas")*(MOVIMIENTOS!$A$5:$A$1005&lt;&gt;"")*(MOVIMIENTOS!$A$5:$A$1005&lt;=$A900)*MOVIMIENTOS!$E$5:$E$1005)-SUMPRODUCT((MOVIMIENTOS!$B$5:$B$1005="TRASIEGO")*(MOVIMIENTOS!$C$5:$C$1005="C")*(MOVIMIENTOS!$D$5:$D$1005="jabas")*(MOVIMIENTOS!$A$5:$A$1005&lt;&gt;"")*(MOVIMIENTOS!$A$5:$A$1005&lt;=$A900)*MOVIMIENTOS!$E$5:$E$1005)-SUMPRODUCT((MOVIMIENTOS!$B$5:$B$1005="REGALO")*(MOVIMIENTOS!$C$5:$C$1005="C")*(MOVIMIENTOS!$D$5:$D$1005="jabas")*(MOVIMIENTOS!$A$5:$A$1005&lt;&gt;"")*(MOVIMIENTOS!$A$5:$A$1005&lt;=$A900)*MOVIMIENTOS!$E$5:$E$1005)-SUMPRODUCT((MOVIMIENTOS!$B$5:$B$1005="VENTA")*(MOVIMIENTOS!$C$5:$C$1005="C")*(MOVIMIENTOS!$D$5:$D$1005="jabas")*(MOVIMIENTOS!$A$5:$A$1005&lt;&gt;"")*(MOVIMIENTOS!$A$5:$A$1005&lt;=$A900)*MOVIMIENTOS!$E$5:$E$1005)+SUMPRODUCT((MOVIMIENTOS!$B$5:$B$1005="AJUSTE")*(MOVIMIENTOS!$C$5:$C$1005="C")*(MOVIMIENTOS!$D$5:$D$1005="jabas")*(MOVIMIENTOS!$A$5:$A$1005&lt;&gt;"")*(MOVIMIENTOS!$A$5:$A$1005&lt;=$A900)*MOVIMIENTOS!$E$5:$E$1005))</f>
        <v/>
      </c>
      <c r="E900" t="str">
        <f>IF($A900="","",SUMPRODUCT((MOVIMIENTOS!$B$5:$B$1005="SALDO INICIAL")*(MOVIMIENTOS!$C$5:$C$1005="M")*(MOVIMIENTOS!$D$5:$D$1005="jabas")*(MOVIMIENTOS!$A$5:$A$1005&lt;&gt;"")*(MOVIMIENTOS!$A$5:$A$1005&lt;=$A900)*MOVIMIENTOS!$E$5:$E$1005)+SUMPRODUCT((MOVIMIENTOS!$B$5:$B$1005="PROCESO")*(MOVIMIENTOS!$C$5:$C$1005="M")*(MOVIMIENTOS!$D$5:$D$1005="jabas")*(MOVIMIENTOS!$A$5:$A$1005&lt;&gt;"")*(MOVIMIENTOS!$A$5:$A$1005&lt;=$A900)*MOVIMIENTOS!$E$5:$E$1005)-SUMPRODUCT((MOVIMIENTOS!$B$5:$B$1005="ENVÍO A SUPESA")*(MOVIMIENTOS!$C$5:$C$1005="M")*(MOVIMIENTOS!$D$5:$D$1005="jabas")*(MOVIMIENTOS!$A$5:$A$1005&lt;&gt;"")*(MOVIMIENTOS!$A$5:$A$1005&lt;=$A900)*MOVIMIENTOS!$E$5:$E$1005)+SUMPRODUCT((MOVIMIENTOS!$B$5:$B$1005="DEVOLUCIÓN")*(MOVIMIENTOS!$C$5:$C$1005="M")*(MOVIMIENTOS!$D$5:$D$1005="jabas")*(MOVIMIENTOS!$A$5:$A$1005&lt;&gt;"")*(MOVIMIENTOS!$A$5:$A$1005&lt;=$A900)*MOVIMIENTOS!$E$5:$E$1005)-SUMPRODUCT((MOVIMIENTOS!$B$5:$B$1005="TRASIEGO")*(MOVIMIENTOS!$C$5:$C$1005="M")*(MOVIMIENTOS!$D$5:$D$1005="jabas")*(MOVIMIENTOS!$A$5:$A$1005&lt;&gt;"")*(MOVIMIENTOS!$A$5:$A$1005&lt;=$A900)*MOVIMIENTOS!$E$5:$E$1005)-SUMPRODUCT((MOVIMIENTOS!$B$5:$B$1005="REGALO")*(MOVIMIENTOS!$C$5:$C$1005="M")*(MOVIMIENTOS!$D$5:$D$1005="jabas")*(MOVIMIENTOS!$A$5:$A$1005&lt;&gt;"")*(MOVIMIENTOS!$A$5:$A$1005&lt;=$A900)*MOVIMIENTOS!$E$5:$E$1005)-SUMPRODUCT((MOVIMIENTOS!$B$5:$B$1005="VENTA")*(MOVIMIENTOS!$C$5:$C$1005="M")*(MOVIMIENTOS!$D$5:$D$1005="jabas")*(MOVIMIENTOS!$A$5:$A$1005&lt;&gt;"")*(MOVIMIENTOS!$A$5:$A$1005&lt;=$A900)*MOVIMIENTOS!$E$5:$E$1005)+SUMPRODUCT((MOVIMIENTOS!$B$5:$B$1005="AJUSTE")*(MOVIMIENTOS!$C$5:$C$1005="M")*(MOVIMIENTOS!$D$5:$D$1005="jabas")*(MOVIMIENTOS!$A$5:$A$1005&lt;&gt;"")*(MOVIMIENTOS!$A$5:$A$1005&lt;=$A900)*MOVIMIENTOS!$E$5:$E$1005))</f>
        <v/>
      </c>
      <c r="F900" s="62" t="str">
        <f>IF($A900="","",SUMPRODUCT((MOVIMIENTOS!$B$5:$B$1005="SALDO INICIAL")*(MOVIMIENTOS!$C$5:$C$1005="Chancho")*(MOVIMIENTOS!$D$5:$D$1005="sacos")*(MOVIMIENTOS!$A$5:$A$1005&lt;&gt;"")*(MOVIMIENTOS!$A$5:$A$1005&lt;=$A900)*MOVIMIENTOS!$E$5:$E$1005)+SUMPRODUCT((MOVIMIENTOS!$B$5:$B$1005="PROCESO")*(MOVIMIENTOS!$C$5:$C$1005="Chancho")*(MOVIMIENTOS!$D$5:$D$1005="sacos")*(MOVIMIENTOS!$A$5:$A$1005&lt;&gt;"")*(MOVIMIENTOS!$A$5:$A$1005&lt;=$A900)*MOVIMIENTOS!$E$5:$E$1005)-SUMPRODUCT((MOVIMIENTOS!$B$5:$B$1005="VENTA CHANCHO")*(MOVIMIENTOS!$C$5:$C$1005="Chancho")*(MOVIMIENTOS!$D$5:$D$1005="sacos")*(MOVIMIENTOS!$A$5:$A$1005&lt;&gt;"")*(MOVIMIENTOS!$A$5:$A$1005&lt;=$A900)*MOVIMIENTOS!$E$5:$E$1005)-SUMPRODUCT((MOVIMIENTOS!$B$5:$B$1005="REGALO")*(MOVIMIENTOS!$C$5:$C$1005="Chancho")*(MOVIMIENTOS!$D$5:$D$1005="sacos")*(MOVIMIENTOS!$A$5:$A$1005&lt;&gt;"")*(MOVIMIENTOS!$A$5:$A$1005&lt;=$A900)*MOVIMIENTOS!$E$5:$E$1005)-SUMPRODUCT((MOVIMIENTOS!$B$5:$B$1005="VENTA")*(MOVIMIENTOS!$C$5:$C$1005="Chancho")*(MOVIMIENTOS!$D$5:$D$1005="sacos")*(MOVIMIENTOS!$A$5:$A$1005&lt;&gt;"")*(MOVIMIENTOS!$A$5:$A$1005&lt;=$A900)*MOVIMIENTOS!$E$5:$E$1005)+SUMPRODUCT((MOVIMIENTOS!$B$5:$B$1005="AJUSTE")*(MOVIMIENTOS!$C$5:$C$1005="Chancho")*(MOVIMIENTOS!$D$5:$D$1005="sacos")*(MOVIMIENTOS!$A$5:$A$1005&lt;&gt;"")*(MOVIMIENTOS!$A$5:$A$1005&lt;=$A900)*MOVIMIENTOS!$E$5:$E$1005))</f>
        <v/>
      </c>
      <c r="G900" s="62" t="str">
        <f t="shared" si="27"/>
        <v/>
      </c>
      <c r="H900" t="str">
        <f>IF($A900="","",SUMPRODUCT((((MOVIMIENTOS!$B$5:$B$1005="SALDO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900)*MOVIMIENTOS!$J$5:$J$1005))</f>
        <v/>
      </c>
      <c r="J900" t="str">
        <f>IF(AND(MOVIMIENTOS!$A905&lt;&gt;"",COUNTIF(MOVIMIENTOS!$A$5:$A904,MOVIMIENTOS!$A905)=0),COUNT(J$4:J899)+1,"")</f>
        <v/>
      </c>
      <c r="K900">
        <f>MOVIMIENTOS!$A905</f>
        <v>0</v>
      </c>
    </row>
    <row r="901" spans="1:11" ht="15" customHeight="1" x14ac:dyDescent="0.2">
      <c r="A901" t="str">
        <f t="shared" ref="A901:A964" si="28">IFERROR(INDEX(K$5:K$1000,MATCH(ROW()-4,J$5:J$1000,0)),"")</f>
        <v/>
      </c>
      <c r="B901" t="str">
        <f>IF($A901="","",SUMPRODUCT((MOVIMIENTOS!$B$5:$B$1005="SALDO INICIAL")*(MOVIMIENTOS!$C$5:$C$1005="A")*(MOVIMIENTOS!$D$5:$D$1005="jabas")*(MOVIMIENTOS!$A$5:$A$1005&lt;&gt;"")*(MOVIMIENTOS!$A$5:$A$1005&lt;=$A901)*MOVIMIENTOS!$E$5:$E$1005)+SUMPRODUCT((MOVIMIENTOS!$B$5:$B$1005="PROCESO")*(MOVIMIENTOS!$C$5:$C$1005="A")*(MOVIMIENTOS!$D$5:$D$1005="jabas")*(MOVIMIENTOS!$A$5:$A$1005&lt;&gt;"")*(MOVIMIENTOS!$A$5:$A$1005&lt;=$A901)*MOVIMIENTOS!$E$5:$E$1005)-SUMPRODUCT((MOVIMIENTOS!$B$5:$B$1005="ENVÍO A SUPESA")*(MOVIMIENTOS!$C$5:$C$1005="A")*(MOVIMIENTOS!$D$5:$D$1005="jabas")*(MOVIMIENTOS!$A$5:$A$1005&lt;&gt;"")*(MOVIMIENTOS!$A$5:$A$1005&lt;=$A901)*MOVIMIENTOS!$E$5:$E$1005)+SUMPRODUCT((MOVIMIENTOS!$B$5:$B$1005="DEVOLUCIÓN")*(MOVIMIENTOS!$C$5:$C$1005="A")*(MOVIMIENTOS!$D$5:$D$1005="jabas")*(MOVIMIENTOS!$A$5:$A$1005&lt;&gt;"")*(MOVIMIENTOS!$A$5:$A$1005&lt;=$A901)*MOVIMIENTOS!$E$5:$E$1005)-SUMPRODUCT((MOVIMIENTOS!$B$5:$B$1005="TRASIEGO")*(MOVIMIENTOS!$C$5:$C$1005="A")*(MOVIMIENTOS!$D$5:$D$1005="jabas")*(MOVIMIENTOS!$A$5:$A$1005&lt;&gt;"")*(MOVIMIENTOS!$A$5:$A$1005&lt;=$A901)*MOVIMIENTOS!$E$5:$E$1005)-SUMPRODUCT((MOVIMIENTOS!$B$5:$B$1005="REGALO")*(MOVIMIENTOS!$C$5:$C$1005="A")*(MOVIMIENTOS!$D$5:$D$1005="jabas")*(MOVIMIENTOS!$A$5:$A$1005&lt;&gt;"")*(MOVIMIENTOS!$A$5:$A$1005&lt;=$A901)*MOVIMIENTOS!$E$5:$E$1005)-SUMPRODUCT((MOVIMIENTOS!$B$5:$B$1005="VENTA")*(MOVIMIENTOS!$C$5:$C$1005="A")*(MOVIMIENTOS!$D$5:$D$1005="jabas")*(MOVIMIENTOS!$A$5:$A$1005&lt;&gt;"")*(MOVIMIENTOS!$A$5:$A$1005&lt;=$A901)*MOVIMIENTOS!$E$5:$E$1005)+SUMPRODUCT((MOVIMIENTOS!$B$5:$B$1005="AJUSTE")*(MOVIMIENTOS!$C$5:$C$1005="A")*(MOVIMIENTOS!$D$5:$D$1005="jabas")*(MOVIMIENTOS!$A$5:$A$1005&lt;&gt;"")*(MOVIMIENTOS!$A$5:$A$1005&lt;=$A901)*MOVIMIENTOS!$E$5:$E$1005))</f>
        <v/>
      </c>
      <c r="C901" t="str">
        <f>IF($A901="","",SUMPRODUCT((MOVIMIENTOS!$B$5:$B$1005="SALDO INICIAL")*(MOVIMIENTOS!$C$5:$C$1005="P")*(MOVIMIENTOS!$D$5:$D$1005="jabas")*(MOVIMIENTOS!$A$5:$A$1005&lt;&gt;"")*(MOVIMIENTOS!$A$5:$A$1005&lt;=$A901)*MOVIMIENTOS!$E$5:$E$1005)+SUMPRODUCT((MOVIMIENTOS!$B$5:$B$1005="PROCESO")*(MOVIMIENTOS!$C$5:$C$1005="P")*(MOVIMIENTOS!$D$5:$D$1005="jabas")*(MOVIMIENTOS!$A$5:$A$1005&lt;&gt;"")*(MOVIMIENTOS!$A$5:$A$1005&lt;=$A901)*MOVIMIENTOS!$E$5:$E$1005)-SUMPRODUCT((MOVIMIENTOS!$B$5:$B$1005="ENVÍO A SUPESA")*(MOVIMIENTOS!$C$5:$C$1005="P")*(MOVIMIENTOS!$D$5:$D$1005="jabas")*(MOVIMIENTOS!$A$5:$A$1005&lt;&gt;"")*(MOVIMIENTOS!$A$5:$A$1005&lt;=$A901)*MOVIMIENTOS!$E$5:$E$1005)+SUMPRODUCT((MOVIMIENTOS!$B$5:$B$1005="DEVOLUCIÓN")*(MOVIMIENTOS!$C$5:$C$1005="P")*(MOVIMIENTOS!$D$5:$D$1005="jabas")*(MOVIMIENTOS!$A$5:$A$1005&lt;&gt;"")*(MOVIMIENTOS!$A$5:$A$1005&lt;=$A901)*MOVIMIENTOS!$E$5:$E$1005)-SUMPRODUCT((MOVIMIENTOS!$B$5:$B$1005="TRASIEGO")*(MOVIMIENTOS!$C$5:$C$1005="P")*(MOVIMIENTOS!$D$5:$D$1005="jabas")*(MOVIMIENTOS!$A$5:$A$1005&lt;&gt;"")*(MOVIMIENTOS!$A$5:$A$1005&lt;=$A901)*MOVIMIENTOS!$E$5:$E$1005)-SUMPRODUCT((MOVIMIENTOS!$B$5:$B$1005="REGALO")*(MOVIMIENTOS!$C$5:$C$1005="P")*(MOVIMIENTOS!$D$5:$D$1005="jabas")*(MOVIMIENTOS!$A$5:$A$1005&lt;&gt;"")*(MOVIMIENTOS!$A$5:$A$1005&lt;=$A901)*MOVIMIENTOS!$E$5:$E$1005)-SUMPRODUCT((MOVIMIENTOS!$B$5:$B$1005="VENTA")*(MOVIMIENTOS!$C$5:$C$1005="P")*(MOVIMIENTOS!$D$5:$D$1005="jabas")*(MOVIMIENTOS!$A$5:$A$1005&lt;&gt;"")*(MOVIMIENTOS!$A$5:$A$1005&lt;=$A901)*MOVIMIENTOS!$E$5:$E$1005)+SUMPRODUCT((MOVIMIENTOS!$B$5:$B$1005="AJUSTE")*(MOVIMIENTOS!$C$5:$C$1005="P")*(MOVIMIENTOS!$D$5:$D$1005="jabas")*(MOVIMIENTOS!$A$5:$A$1005&lt;&gt;"")*(MOVIMIENTOS!$A$5:$A$1005&lt;=$A901)*MOVIMIENTOS!$E$5:$E$1005))</f>
        <v/>
      </c>
      <c r="D901" t="str">
        <f>IF($A901="","",SUMPRODUCT((MOVIMIENTOS!$B$5:$B$1005="SALDO INICIAL")*(MOVIMIENTOS!$C$5:$C$1005="C")*(MOVIMIENTOS!$D$5:$D$1005="jabas")*(MOVIMIENTOS!$A$5:$A$1005&lt;&gt;"")*(MOVIMIENTOS!$A$5:$A$1005&lt;=$A901)*MOVIMIENTOS!$E$5:$E$1005)+SUMPRODUCT((MOVIMIENTOS!$B$5:$B$1005="PROCESO")*(MOVIMIENTOS!$C$5:$C$1005="C")*(MOVIMIENTOS!$D$5:$D$1005="jabas")*(MOVIMIENTOS!$A$5:$A$1005&lt;&gt;"")*(MOVIMIENTOS!$A$5:$A$1005&lt;=$A901)*MOVIMIENTOS!$E$5:$E$1005)-SUMPRODUCT((MOVIMIENTOS!$B$5:$B$1005="ENVÍO A SUPESA")*(MOVIMIENTOS!$C$5:$C$1005="C")*(MOVIMIENTOS!$D$5:$D$1005="jabas")*(MOVIMIENTOS!$A$5:$A$1005&lt;&gt;"")*(MOVIMIENTOS!$A$5:$A$1005&lt;=$A901)*MOVIMIENTOS!$E$5:$E$1005)+SUMPRODUCT((MOVIMIENTOS!$B$5:$B$1005="DEVOLUCIÓN")*(MOVIMIENTOS!$C$5:$C$1005="C")*(MOVIMIENTOS!$D$5:$D$1005="jabas")*(MOVIMIENTOS!$A$5:$A$1005&lt;&gt;"")*(MOVIMIENTOS!$A$5:$A$1005&lt;=$A901)*MOVIMIENTOS!$E$5:$E$1005)-SUMPRODUCT((MOVIMIENTOS!$B$5:$B$1005="TRASIEGO")*(MOVIMIENTOS!$C$5:$C$1005="C")*(MOVIMIENTOS!$D$5:$D$1005="jabas")*(MOVIMIENTOS!$A$5:$A$1005&lt;&gt;"")*(MOVIMIENTOS!$A$5:$A$1005&lt;=$A901)*MOVIMIENTOS!$E$5:$E$1005)-SUMPRODUCT((MOVIMIENTOS!$B$5:$B$1005="REGALO")*(MOVIMIENTOS!$C$5:$C$1005="C")*(MOVIMIENTOS!$D$5:$D$1005="jabas")*(MOVIMIENTOS!$A$5:$A$1005&lt;&gt;"")*(MOVIMIENTOS!$A$5:$A$1005&lt;=$A901)*MOVIMIENTOS!$E$5:$E$1005)-SUMPRODUCT((MOVIMIENTOS!$B$5:$B$1005="VENTA")*(MOVIMIENTOS!$C$5:$C$1005="C")*(MOVIMIENTOS!$D$5:$D$1005="jabas")*(MOVIMIENTOS!$A$5:$A$1005&lt;&gt;"")*(MOVIMIENTOS!$A$5:$A$1005&lt;=$A901)*MOVIMIENTOS!$E$5:$E$1005)+SUMPRODUCT((MOVIMIENTOS!$B$5:$B$1005="AJUSTE")*(MOVIMIENTOS!$C$5:$C$1005="C")*(MOVIMIENTOS!$D$5:$D$1005="jabas")*(MOVIMIENTOS!$A$5:$A$1005&lt;&gt;"")*(MOVIMIENTOS!$A$5:$A$1005&lt;=$A901)*MOVIMIENTOS!$E$5:$E$1005))</f>
        <v/>
      </c>
      <c r="E901" t="str">
        <f>IF($A901="","",SUMPRODUCT((MOVIMIENTOS!$B$5:$B$1005="SALDO INICIAL")*(MOVIMIENTOS!$C$5:$C$1005="M")*(MOVIMIENTOS!$D$5:$D$1005="jabas")*(MOVIMIENTOS!$A$5:$A$1005&lt;&gt;"")*(MOVIMIENTOS!$A$5:$A$1005&lt;=$A901)*MOVIMIENTOS!$E$5:$E$1005)+SUMPRODUCT((MOVIMIENTOS!$B$5:$B$1005="PROCESO")*(MOVIMIENTOS!$C$5:$C$1005="M")*(MOVIMIENTOS!$D$5:$D$1005="jabas")*(MOVIMIENTOS!$A$5:$A$1005&lt;&gt;"")*(MOVIMIENTOS!$A$5:$A$1005&lt;=$A901)*MOVIMIENTOS!$E$5:$E$1005)-SUMPRODUCT((MOVIMIENTOS!$B$5:$B$1005="ENVÍO A SUPESA")*(MOVIMIENTOS!$C$5:$C$1005="M")*(MOVIMIENTOS!$D$5:$D$1005="jabas")*(MOVIMIENTOS!$A$5:$A$1005&lt;&gt;"")*(MOVIMIENTOS!$A$5:$A$1005&lt;=$A901)*MOVIMIENTOS!$E$5:$E$1005)+SUMPRODUCT((MOVIMIENTOS!$B$5:$B$1005="DEVOLUCIÓN")*(MOVIMIENTOS!$C$5:$C$1005="M")*(MOVIMIENTOS!$D$5:$D$1005="jabas")*(MOVIMIENTOS!$A$5:$A$1005&lt;&gt;"")*(MOVIMIENTOS!$A$5:$A$1005&lt;=$A901)*MOVIMIENTOS!$E$5:$E$1005)-SUMPRODUCT((MOVIMIENTOS!$B$5:$B$1005="TRASIEGO")*(MOVIMIENTOS!$C$5:$C$1005="M")*(MOVIMIENTOS!$D$5:$D$1005="jabas")*(MOVIMIENTOS!$A$5:$A$1005&lt;&gt;"")*(MOVIMIENTOS!$A$5:$A$1005&lt;=$A901)*MOVIMIENTOS!$E$5:$E$1005)-SUMPRODUCT((MOVIMIENTOS!$B$5:$B$1005="REGALO")*(MOVIMIENTOS!$C$5:$C$1005="M")*(MOVIMIENTOS!$D$5:$D$1005="jabas")*(MOVIMIENTOS!$A$5:$A$1005&lt;&gt;"")*(MOVIMIENTOS!$A$5:$A$1005&lt;=$A901)*MOVIMIENTOS!$E$5:$E$1005)-SUMPRODUCT((MOVIMIENTOS!$B$5:$B$1005="VENTA")*(MOVIMIENTOS!$C$5:$C$1005="M")*(MOVIMIENTOS!$D$5:$D$1005="jabas")*(MOVIMIENTOS!$A$5:$A$1005&lt;&gt;"")*(MOVIMIENTOS!$A$5:$A$1005&lt;=$A901)*MOVIMIENTOS!$E$5:$E$1005)+SUMPRODUCT((MOVIMIENTOS!$B$5:$B$1005="AJUSTE")*(MOVIMIENTOS!$C$5:$C$1005="M")*(MOVIMIENTOS!$D$5:$D$1005="jabas")*(MOVIMIENTOS!$A$5:$A$1005&lt;&gt;"")*(MOVIMIENTOS!$A$5:$A$1005&lt;=$A901)*MOVIMIENTOS!$E$5:$E$1005))</f>
        <v/>
      </c>
      <c r="F901" s="62" t="str">
        <f>IF($A901="","",SUMPRODUCT((MOVIMIENTOS!$B$5:$B$1005="SALDO INICIAL")*(MOVIMIENTOS!$C$5:$C$1005="Chancho")*(MOVIMIENTOS!$D$5:$D$1005="sacos")*(MOVIMIENTOS!$A$5:$A$1005&lt;&gt;"")*(MOVIMIENTOS!$A$5:$A$1005&lt;=$A901)*MOVIMIENTOS!$E$5:$E$1005)+SUMPRODUCT((MOVIMIENTOS!$B$5:$B$1005="PROCESO")*(MOVIMIENTOS!$C$5:$C$1005="Chancho")*(MOVIMIENTOS!$D$5:$D$1005="sacos")*(MOVIMIENTOS!$A$5:$A$1005&lt;&gt;"")*(MOVIMIENTOS!$A$5:$A$1005&lt;=$A901)*MOVIMIENTOS!$E$5:$E$1005)-SUMPRODUCT((MOVIMIENTOS!$B$5:$B$1005="VENTA CHANCHO")*(MOVIMIENTOS!$C$5:$C$1005="Chancho")*(MOVIMIENTOS!$D$5:$D$1005="sacos")*(MOVIMIENTOS!$A$5:$A$1005&lt;&gt;"")*(MOVIMIENTOS!$A$5:$A$1005&lt;=$A901)*MOVIMIENTOS!$E$5:$E$1005)-SUMPRODUCT((MOVIMIENTOS!$B$5:$B$1005="REGALO")*(MOVIMIENTOS!$C$5:$C$1005="Chancho")*(MOVIMIENTOS!$D$5:$D$1005="sacos")*(MOVIMIENTOS!$A$5:$A$1005&lt;&gt;"")*(MOVIMIENTOS!$A$5:$A$1005&lt;=$A901)*MOVIMIENTOS!$E$5:$E$1005)-SUMPRODUCT((MOVIMIENTOS!$B$5:$B$1005="VENTA")*(MOVIMIENTOS!$C$5:$C$1005="Chancho")*(MOVIMIENTOS!$D$5:$D$1005="sacos")*(MOVIMIENTOS!$A$5:$A$1005&lt;&gt;"")*(MOVIMIENTOS!$A$5:$A$1005&lt;=$A901)*MOVIMIENTOS!$E$5:$E$1005)+SUMPRODUCT((MOVIMIENTOS!$B$5:$B$1005="AJUSTE")*(MOVIMIENTOS!$C$5:$C$1005="Chancho")*(MOVIMIENTOS!$D$5:$D$1005="sacos")*(MOVIMIENTOS!$A$5:$A$1005&lt;&gt;"")*(MOVIMIENTOS!$A$5:$A$1005&lt;=$A901)*MOVIMIENTOS!$E$5:$E$1005))</f>
        <v/>
      </c>
      <c r="G901" s="62" t="str">
        <f t="shared" ref="G901:G964" si="29">IF($A901="","",SUM(B901:E901))</f>
        <v/>
      </c>
      <c r="H901" t="str">
        <f>IF($A901="","",SUMPRODUCT((((MOVIMIENTOS!$B$5:$B$1005="SALDO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901)*MOVIMIENTOS!$J$5:$J$1005))</f>
        <v/>
      </c>
      <c r="J901" t="str">
        <f>IF(AND(MOVIMIENTOS!$A906&lt;&gt;"",COUNTIF(MOVIMIENTOS!$A$5:$A905,MOVIMIENTOS!$A906)=0),COUNT(J$4:J900)+1,"")</f>
        <v/>
      </c>
      <c r="K901">
        <f>MOVIMIENTOS!$A906</f>
        <v>0</v>
      </c>
    </row>
    <row r="902" spans="1:11" ht="15" customHeight="1" x14ac:dyDescent="0.2">
      <c r="A902" t="str">
        <f t="shared" si="28"/>
        <v/>
      </c>
      <c r="B902" t="str">
        <f>IF($A902="","",SUMPRODUCT((MOVIMIENTOS!$B$5:$B$1005="SALDO INICIAL")*(MOVIMIENTOS!$C$5:$C$1005="A")*(MOVIMIENTOS!$D$5:$D$1005="jabas")*(MOVIMIENTOS!$A$5:$A$1005&lt;&gt;"")*(MOVIMIENTOS!$A$5:$A$1005&lt;=$A902)*MOVIMIENTOS!$E$5:$E$1005)+SUMPRODUCT((MOVIMIENTOS!$B$5:$B$1005="PROCESO")*(MOVIMIENTOS!$C$5:$C$1005="A")*(MOVIMIENTOS!$D$5:$D$1005="jabas")*(MOVIMIENTOS!$A$5:$A$1005&lt;&gt;"")*(MOVIMIENTOS!$A$5:$A$1005&lt;=$A902)*MOVIMIENTOS!$E$5:$E$1005)-SUMPRODUCT((MOVIMIENTOS!$B$5:$B$1005="ENVÍO A SUPESA")*(MOVIMIENTOS!$C$5:$C$1005="A")*(MOVIMIENTOS!$D$5:$D$1005="jabas")*(MOVIMIENTOS!$A$5:$A$1005&lt;&gt;"")*(MOVIMIENTOS!$A$5:$A$1005&lt;=$A902)*MOVIMIENTOS!$E$5:$E$1005)+SUMPRODUCT((MOVIMIENTOS!$B$5:$B$1005="DEVOLUCIÓN")*(MOVIMIENTOS!$C$5:$C$1005="A")*(MOVIMIENTOS!$D$5:$D$1005="jabas")*(MOVIMIENTOS!$A$5:$A$1005&lt;&gt;"")*(MOVIMIENTOS!$A$5:$A$1005&lt;=$A902)*MOVIMIENTOS!$E$5:$E$1005)-SUMPRODUCT((MOVIMIENTOS!$B$5:$B$1005="TRASIEGO")*(MOVIMIENTOS!$C$5:$C$1005="A")*(MOVIMIENTOS!$D$5:$D$1005="jabas")*(MOVIMIENTOS!$A$5:$A$1005&lt;&gt;"")*(MOVIMIENTOS!$A$5:$A$1005&lt;=$A902)*MOVIMIENTOS!$E$5:$E$1005)-SUMPRODUCT((MOVIMIENTOS!$B$5:$B$1005="REGALO")*(MOVIMIENTOS!$C$5:$C$1005="A")*(MOVIMIENTOS!$D$5:$D$1005="jabas")*(MOVIMIENTOS!$A$5:$A$1005&lt;&gt;"")*(MOVIMIENTOS!$A$5:$A$1005&lt;=$A902)*MOVIMIENTOS!$E$5:$E$1005)-SUMPRODUCT((MOVIMIENTOS!$B$5:$B$1005="VENTA")*(MOVIMIENTOS!$C$5:$C$1005="A")*(MOVIMIENTOS!$D$5:$D$1005="jabas")*(MOVIMIENTOS!$A$5:$A$1005&lt;&gt;"")*(MOVIMIENTOS!$A$5:$A$1005&lt;=$A902)*MOVIMIENTOS!$E$5:$E$1005)+SUMPRODUCT((MOVIMIENTOS!$B$5:$B$1005="AJUSTE")*(MOVIMIENTOS!$C$5:$C$1005="A")*(MOVIMIENTOS!$D$5:$D$1005="jabas")*(MOVIMIENTOS!$A$5:$A$1005&lt;&gt;"")*(MOVIMIENTOS!$A$5:$A$1005&lt;=$A902)*MOVIMIENTOS!$E$5:$E$1005))</f>
        <v/>
      </c>
      <c r="C902" t="str">
        <f>IF($A902="","",SUMPRODUCT((MOVIMIENTOS!$B$5:$B$1005="SALDO INICIAL")*(MOVIMIENTOS!$C$5:$C$1005="P")*(MOVIMIENTOS!$D$5:$D$1005="jabas")*(MOVIMIENTOS!$A$5:$A$1005&lt;&gt;"")*(MOVIMIENTOS!$A$5:$A$1005&lt;=$A902)*MOVIMIENTOS!$E$5:$E$1005)+SUMPRODUCT((MOVIMIENTOS!$B$5:$B$1005="PROCESO")*(MOVIMIENTOS!$C$5:$C$1005="P")*(MOVIMIENTOS!$D$5:$D$1005="jabas")*(MOVIMIENTOS!$A$5:$A$1005&lt;&gt;"")*(MOVIMIENTOS!$A$5:$A$1005&lt;=$A902)*MOVIMIENTOS!$E$5:$E$1005)-SUMPRODUCT((MOVIMIENTOS!$B$5:$B$1005="ENVÍO A SUPESA")*(MOVIMIENTOS!$C$5:$C$1005="P")*(MOVIMIENTOS!$D$5:$D$1005="jabas")*(MOVIMIENTOS!$A$5:$A$1005&lt;&gt;"")*(MOVIMIENTOS!$A$5:$A$1005&lt;=$A902)*MOVIMIENTOS!$E$5:$E$1005)+SUMPRODUCT((MOVIMIENTOS!$B$5:$B$1005="DEVOLUCIÓN")*(MOVIMIENTOS!$C$5:$C$1005="P")*(MOVIMIENTOS!$D$5:$D$1005="jabas")*(MOVIMIENTOS!$A$5:$A$1005&lt;&gt;"")*(MOVIMIENTOS!$A$5:$A$1005&lt;=$A902)*MOVIMIENTOS!$E$5:$E$1005)-SUMPRODUCT((MOVIMIENTOS!$B$5:$B$1005="TRASIEGO")*(MOVIMIENTOS!$C$5:$C$1005="P")*(MOVIMIENTOS!$D$5:$D$1005="jabas")*(MOVIMIENTOS!$A$5:$A$1005&lt;&gt;"")*(MOVIMIENTOS!$A$5:$A$1005&lt;=$A902)*MOVIMIENTOS!$E$5:$E$1005)-SUMPRODUCT((MOVIMIENTOS!$B$5:$B$1005="REGALO")*(MOVIMIENTOS!$C$5:$C$1005="P")*(MOVIMIENTOS!$D$5:$D$1005="jabas")*(MOVIMIENTOS!$A$5:$A$1005&lt;&gt;"")*(MOVIMIENTOS!$A$5:$A$1005&lt;=$A902)*MOVIMIENTOS!$E$5:$E$1005)-SUMPRODUCT((MOVIMIENTOS!$B$5:$B$1005="VENTA")*(MOVIMIENTOS!$C$5:$C$1005="P")*(MOVIMIENTOS!$D$5:$D$1005="jabas")*(MOVIMIENTOS!$A$5:$A$1005&lt;&gt;"")*(MOVIMIENTOS!$A$5:$A$1005&lt;=$A902)*MOVIMIENTOS!$E$5:$E$1005)+SUMPRODUCT((MOVIMIENTOS!$B$5:$B$1005="AJUSTE")*(MOVIMIENTOS!$C$5:$C$1005="P")*(MOVIMIENTOS!$D$5:$D$1005="jabas")*(MOVIMIENTOS!$A$5:$A$1005&lt;&gt;"")*(MOVIMIENTOS!$A$5:$A$1005&lt;=$A902)*MOVIMIENTOS!$E$5:$E$1005))</f>
        <v/>
      </c>
      <c r="D902" t="str">
        <f>IF($A902="","",SUMPRODUCT((MOVIMIENTOS!$B$5:$B$1005="SALDO INICIAL")*(MOVIMIENTOS!$C$5:$C$1005="C")*(MOVIMIENTOS!$D$5:$D$1005="jabas")*(MOVIMIENTOS!$A$5:$A$1005&lt;&gt;"")*(MOVIMIENTOS!$A$5:$A$1005&lt;=$A902)*MOVIMIENTOS!$E$5:$E$1005)+SUMPRODUCT((MOVIMIENTOS!$B$5:$B$1005="PROCESO")*(MOVIMIENTOS!$C$5:$C$1005="C")*(MOVIMIENTOS!$D$5:$D$1005="jabas")*(MOVIMIENTOS!$A$5:$A$1005&lt;&gt;"")*(MOVIMIENTOS!$A$5:$A$1005&lt;=$A902)*MOVIMIENTOS!$E$5:$E$1005)-SUMPRODUCT((MOVIMIENTOS!$B$5:$B$1005="ENVÍO A SUPESA")*(MOVIMIENTOS!$C$5:$C$1005="C")*(MOVIMIENTOS!$D$5:$D$1005="jabas")*(MOVIMIENTOS!$A$5:$A$1005&lt;&gt;"")*(MOVIMIENTOS!$A$5:$A$1005&lt;=$A902)*MOVIMIENTOS!$E$5:$E$1005)+SUMPRODUCT((MOVIMIENTOS!$B$5:$B$1005="DEVOLUCIÓN")*(MOVIMIENTOS!$C$5:$C$1005="C")*(MOVIMIENTOS!$D$5:$D$1005="jabas")*(MOVIMIENTOS!$A$5:$A$1005&lt;&gt;"")*(MOVIMIENTOS!$A$5:$A$1005&lt;=$A902)*MOVIMIENTOS!$E$5:$E$1005)-SUMPRODUCT((MOVIMIENTOS!$B$5:$B$1005="TRASIEGO")*(MOVIMIENTOS!$C$5:$C$1005="C")*(MOVIMIENTOS!$D$5:$D$1005="jabas")*(MOVIMIENTOS!$A$5:$A$1005&lt;&gt;"")*(MOVIMIENTOS!$A$5:$A$1005&lt;=$A902)*MOVIMIENTOS!$E$5:$E$1005)-SUMPRODUCT((MOVIMIENTOS!$B$5:$B$1005="REGALO")*(MOVIMIENTOS!$C$5:$C$1005="C")*(MOVIMIENTOS!$D$5:$D$1005="jabas")*(MOVIMIENTOS!$A$5:$A$1005&lt;&gt;"")*(MOVIMIENTOS!$A$5:$A$1005&lt;=$A902)*MOVIMIENTOS!$E$5:$E$1005)-SUMPRODUCT((MOVIMIENTOS!$B$5:$B$1005="VENTA")*(MOVIMIENTOS!$C$5:$C$1005="C")*(MOVIMIENTOS!$D$5:$D$1005="jabas")*(MOVIMIENTOS!$A$5:$A$1005&lt;&gt;"")*(MOVIMIENTOS!$A$5:$A$1005&lt;=$A902)*MOVIMIENTOS!$E$5:$E$1005)+SUMPRODUCT((MOVIMIENTOS!$B$5:$B$1005="AJUSTE")*(MOVIMIENTOS!$C$5:$C$1005="C")*(MOVIMIENTOS!$D$5:$D$1005="jabas")*(MOVIMIENTOS!$A$5:$A$1005&lt;&gt;"")*(MOVIMIENTOS!$A$5:$A$1005&lt;=$A902)*MOVIMIENTOS!$E$5:$E$1005))</f>
        <v/>
      </c>
      <c r="E902" t="str">
        <f>IF($A902="","",SUMPRODUCT((MOVIMIENTOS!$B$5:$B$1005="SALDO INICIAL")*(MOVIMIENTOS!$C$5:$C$1005="M")*(MOVIMIENTOS!$D$5:$D$1005="jabas")*(MOVIMIENTOS!$A$5:$A$1005&lt;&gt;"")*(MOVIMIENTOS!$A$5:$A$1005&lt;=$A902)*MOVIMIENTOS!$E$5:$E$1005)+SUMPRODUCT((MOVIMIENTOS!$B$5:$B$1005="PROCESO")*(MOVIMIENTOS!$C$5:$C$1005="M")*(MOVIMIENTOS!$D$5:$D$1005="jabas")*(MOVIMIENTOS!$A$5:$A$1005&lt;&gt;"")*(MOVIMIENTOS!$A$5:$A$1005&lt;=$A902)*MOVIMIENTOS!$E$5:$E$1005)-SUMPRODUCT((MOVIMIENTOS!$B$5:$B$1005="ENVÍO A SUPESA")*(MOVIMIENTOS!$C$5:$C$1005="M")*(MOVIMIENTOS!$D$5:$D$1005="jabas")*(MOVIMIENTOS!$A$5:$A$1005&lt;&gt;"")*(MOVIMIENTOS!$A$5:$A$1005&lt;=$A902)*MOVIMIENTOS!$E$5:$E$1005)+SUMPRODUCT((MOVIMIENTOS!$B$5:$B$1005="DEVOLUCIÓN")*(MOVIMIENTOS!$C$5:$C$1005="M")*(MOVIMIENTOS!$D$5:$D$1005="jabas")*(MOVIMIENTOS!$A$5:$A$1005&lt;&gt;"")*(MOVIMIENTOS!$A$5:$A$1005&lt;=$A902)*MOVIMIENTOS!$E$5:$E$1005)-SUMPRODUCT((MOVIMIENTOS!$B$5:$B$1005="TRASIEGO")*(MOVIMIENTOS!$C$5:$C$1005="M")*(MOVIMIENTOS!$D$5:$D$1005="jabas")*(MOVIMIENTOS!$A$5:$A$1005&lt;&gt;"")*(MOVIMIENTOS!$A$5:$A$1005&lt;=$A902)*MOVIMIENTOS!$E$5:$E$1005)-SUMPRODUCT((MOVIMIENTOS!$B$5:$B$1005="REGALO")*(MOVIMIENTOS!$C$5:$C$1005="M")*(MOVIMIENTOS!$D$5:$D$1005="jabas")*(MOVIMIENTOS!$A$5:$A$1005&lt;&gt;"")*(MOVIMIENTOS!$A$5:$A$1005&lt;=$A902)*MOVIMIENTOS!$E$5:$E$1005)-SUMPRODUCT((MOVIMIENTOS!$B$5:$B$1005="VENTA")*(MOVIMIENTOS!$C$5:$C$1005="M")*(MOVIMIENTOS!$D$5:$D$1005="jabas")*(MOVIMIENTOS!$A$5:$A$1005&lt;&gt;"")*(MOVIMIENTOS!$A$5:$A$1005&lt;=$A902)*MOVIMIENTOS!$E$5:$E$1005)+SUMPRODUCT((MOVIMIENTOS!$B$5:$B$1005="AJUSTE")*(MOVIMIENTOS!$C$5:$C$1005="M")*(MOVIMIENTOS!$D$5:$D$1005="jabas")*(MOVIMIENTOS!$A$5:$A$1005&lt;&gt;"")*(MOVIMIENTOS!$A$5:$A$1005&lt;=$A902)*MOVIMIENTOS!$E$5:$E$1005))</f>
        <v/>
      </c>
      <c r="F902" s="62" t="str">
        <f>IF($A902="","",SUMPRODUCT((MOVIMIENTOS!$B$5:$B$1005="SALDO INICIAL")*(MOVIMIENTOS!$C$5:$C$1005="Chancho")*(MOVIMIENTOS!$D$5:$D$1005="sacos")*(MOVIMIENTOS!$A$5:$A$1005&lt;&gt;"")*(MOVIMIENTOS!$A$5:$A$1005&lt;=$A902)*MOVIMIENTOS!$E$5:$E$1005)+SUMPRODUCT((MOVIMIENTOS!$B$5:$B$1005="PROCESO")*(MOVIMIENTOS!$C$5:$C$1005="Chancho")*(MOVIMIENTOS!$D$5:$D$1005="sacos")*(MOVIMIENTOS!$A$5:$A$1005&lt;&gt;"")*(MOVIMIENTOS!$A$5:$A$1005&lt;=$A902)*MOVIMIENTOS!$E$5:$E$1005)-SUMPRODUCT((MOVIMIENTOS!$B$5:$B$1005="VENTA CHANCHO")*(MOVIMIENTOS!$C$5:$C$1005="Chancho")*(MOVIMIENTOS!$D$5:$D$1005="sacos")*(MOVIMIENTOS!$A$5:$A$1005&lt;&gt;"")*(MOVIMIENTOS!$A$5:$A$1005&lt;=$A902)*MOVIMIENTOS!$E$5:$E$1005)-SUMPRODUCT((MOVIMIENTOS!$B$5:$B$1005="REGALO")*(MOVIMIENTOS!$C$5:$C$1005="Chancho")*(MOVIMIENTOS!$D$5:$D$1005="sacos")*(MOVIMIENTOS!$A$5:$A$1005&lt;&gt;"")*(MOVIMIENTOS!$A$5:$A$1005&lt;=$A902)*MOVIMIENTOS!$E$5:$E$1005)-SUMPRODUCT((MOVIMIENTOS!$B$5:$B$1005="VENTA")*(MOVIMIENTOS!$C$5:$C$1005="Chancho")*(MOVIMIENTOS!$D$5:$D$1005="sacos")*(MOVIMIENTOS!$A$5:$A$1005&lt;&gt;"")*(MOVIMIENTOS!$A$5:$A$1005&lt;=$A902)*MOVIMIENTOS!$E$5:$E$1005)+SUMPRODUCT((MOVIMIENTOS!$B$5:$B$1005="AJUSTE")*(MOVIMIENTOS!$C$5:$C$1005="Chancho")*(MOVIMIENTOS!$D$5:$D$1005="sacos")*(MOVIMIENTOS!$A$5:$A$1005&lt;&gt;"")*(MOVIMIENTOS!$A$5:$A$1005&lt;=$A902)*MOVIMIENTOS!$E$5:$E$1005))</f>
        <v/>
      </c>
      <c r="G902" s="62" t="str">
        <f t="shared" si="29"/>
        <v/>
      </c>
      <c r="H902" t="str">
        <f>IF($A902="","",SUMPRODUCT((((MOVIMIENTOS!$B$5:$B$1005="SALDO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902)*MOVIMIENTOS!$J$5:$J$1005))</f>
        <v/>
      </c>
      <c r="J902" t="str">
        <f>IF(AND(MOVIMIENTOS!$A907&lt;&gt;"",COUNTIF(MOVIMIENTOS!$A$5:$A906,MOVIMIENTOS!$A907)=0),COUNT(J$4:J901)+1,"")</f>
        <v/>
      </c>
      <c r="K902">
        <f>MOVIMIENTOS!$A907</f>
        <v>0</v>
      </c>
    </row>
    <row r="903" spans="1:11" ht="15" customHeight="1" x14ac:dyDescent="0.2">
      <c r="A903" t="str">
        <f t="shared" si="28"/>
        <v/>
      </c>
      <c r="B903" t="str">
        <f>IF($A903="","",SUMPRODUCT((MOVIMIENTOS!$B$5:$B$1005="SALDO INICIAL")*(MOVIMIENTOS!$C$5:$C$1005="A")*(MOVIMIENTOS!$D$5:$D$1005="jabas")*(MOVIMIENTOS!$A$5:$A$1005&lt;&gt;"")*(MOVIMIENTOS!$A$5:$A$1005&lt;=$A903)*MOVIMIENTOS!$E$5:$E$1005)+SUMPRODUCT((MOVIMIENTOS!$B$5:$B$1005="PROCESO")*(MOVIMIENTOS!$C$5:$C$1005="A")*(MOVIMIENTOS!$D$5:$D$1005="jabas")*(MOVIMIENTOS!$A$5:$A$1005&lt;&gt;"")*(MOVIMIENTOS!$A$5:$A$1005&lt;=$A903)*MOVIMIENTOS!$E$5:$E$1005)-SUMPRODUCT((MOVIMIENTOS!$B$5:$B$1005="ENVÍO A SUPESA")*(MOVIMIENTOS!$C$5:$C$1005="A")*(MOVIMIENTOS!$D$5:$D$1005="jabas")*(MOVIMIENTOS!$A$5:$A$1005&lt;&gt;"")*(MOVIMIENTOS!$A$5:$A$1005&lt;=$A903)*MOVIMIENTOS!$E$5:$E$1005)+SUMPRODUCT((MOVIMIENTOS!$B$5:$B$1005="DEVOLUCIÓN")*(MOVIMIENTOS!$C$5:$C$1005="A")*(MOVIMIENTOS!$D$5:$D$1005="jabas")*(MOVIMIENTOS!$A$5:$A$1005&lt;&gt;"")*(MOVIMIENTOS!$A$5:$A$1005&lt;=$A903)*MOVIMIENTOS!$E$5:$E$1005)-SUMPRODUCT((MOVIMIENTOS!$B$5:$B$1005="TRASIEGO")*(MOVIMIENTOS!$C$5:$C$1005="A")*(MOVIMIENTOS!$D$5:$D$1005="jabas")*(MOVIMIENTOS!$A$5:$A$1005&lt;&gt;"")*(MOVIMIENTOS!$A$5:$A$1005&lt;=$A903)*MOVIMIENTOS!$E$5:$E$1005)-SUMPRODUCT((MOVIMIENTOS!$B$5:$B$1005="REGALO")*(MOVIMIENTOS!$C$5:$C$1005="A")*(MOVIMIENTOS!$D$5:$D$1005="jabas")*(MOVIMIENTOS!$A$5:$A$1005&lt;&gt;"")*(MOVIMIENTOS!$A$5:$A$1005&lt;=$A903)*MOVIMIENTOS!$E$5:$E$1005)-SUMPRODUCT((MOVIMIENTOS!$B$5:$B$1005="VENTA")*(MOVIMIENTOS!$C$5:$C$1005="A")*(MOVIMIENTOS!$D$5:$D$1005="jabas")*(MOVIMIENTOS!$A$5:$A$1005&lt;&gt;"")*(MOVIMIENTOS!$A$5:$A$1005&lt;=$A903)*MOVIMIENTOS!$E$5:$E$1005)+SUMPRODUCT((MOVIMIENTOS!$B$5:$B$1005="AJUSTE")*(MOVIMIENTOS!$C$5:$C$1005="A")*(MOVIMIENTOS!$D$5:$D$1005="jabas")*(MOVIMIENTOS!$A$5:$A$1005&lt;&gt;"")*(MOVIMIENTOS!$A$5:$A$1005&lt;=$A903)*MOVIMIENTOS!$E$5:$E$1005))</f>
        <v/>
      </c>
      <c r="C903" t="str">
        <f>IF($A903="","",SUMPRODUCT((MOVIMIENTOS!$B$5:$B$1005="SALDO INICIAL")*(MOVIMIENTOS!$C$5:$C$1005="P")*(MOVIMIENTOS!$D$5:$D$1005="jabas")*(MOVIMIENTOS!$A$5:$A$1005&lt;&gt;"")*(MOVIMIENTOS!$A$5:$A$1005&lt;=$A903)*MOVIMIENTOS!$E$5:$E$1005)+SUMPRODUCT((MOVIMIENTOS!$B$5:$B$1005="PROCESO")*(MOVIMIENTOS!$C$5:$C$1005="P")*(MOVIMIENTOS!$D$5:$D$1005="jabas")*(MOVIMIENTOS!$A$5:$A$1005&lt;&gt;"")*(MOVIMIENTOS!$A$5:$A$1005&lt;=$A903)*MOVIMIENTOS!$E$5:$E$1005)-SUMPRODUCT((MOVIMIENTOS!$B$5:$B$1005="ENVÍO A SUPESA")*(MOVIMIENTOS!$C$5:$C$1005="P")*(MOVIMIENTOS!$D$5:$D$1005="jabas")*(MOVIMIENTOS!$A$5:$A$1005&lt;&gt;"")*(MOVIMIENTOS!$A$5:$A$1005&lt;=$A903)*MOVIMIENTOS!$E$5:$E$1005)+SUMPRODUCT((MOVIMIENTOS!$B$5:$B$1005="DEVOLUCIÓN")*(MOVIMIENTOS!$C$5:$C$1005="P")*(MOVIMIENTOS!$D$5:$D$1005="jabas")*(MOVIMIENTOS!$A$5:$A$1005&lt;&gt;"")*(MOVIMIENTOS!$A$5:$A$1005&lt;=$A903)*MOVIMIENTOS!$E$5:$E$1005)-SUMPRODUCT((MOVIMIENTOS!$B$5:$B$1005="TRASIEGO")*(MOVIMIENTOS!$C$5:$C$1005="P")*(MOVIMIENTOS!$D$5:$D$1005="jabas")*(MOVIMIENTOS!$A$5:$A$1005&lt;&gt;"")*(MOVIMIENTOS!$A$5:$A$1005&lt;=$A903)*MOVIMIENTOS!$E$5:$E$1005)-SUMPRODUCT((MOVIMIENTOS!$B$5:$B$1005="REGALO")*(MOVIMIENTOS!$C$5:$C$1005="P")*(MOVIMIENTOS!$D$5:$D$1005="jabas")*(MOVIMIENTOS!$A$5:$A$1005&lt;&gt;"")*(MOVIMIENTOS!$A$5:$A$1005&lt;=$A903)*MOVIMIENTOS!$E$5:$E$1005)-SUMPRODUCT((MOVIMIENTOS!$B$5:$B$1005="VENTA")*(MOVIMIENTOS!$C$5:$C$1005="P")*(MOVIMIENTOS!$D$5:$D$1005="jabas")*(MOVIMIENTOS!$A$5:$A$1005&lt;&gt;"")*(MOVIMIENTOS!$A$5:$A$1005&lt;=$A903)*MOVIMIENTOS!$E$5:$E$1005)+SUMPRODUCT((MOVIMIENTOS!$B$5:$B$1005="AJUSTE")*(MOVIMIENTOS!$C$5:$C$1005="P")*(MOVIMIENTOS!$D$5:$D$1005="jabas")*(MOVIMIENTOS!$A$5:$A$1005&lt;&gt;"")*(MOVIMIENTOS!$A$5:$A$1005&lt;=$A903)*MOVIMIENTOS!$E$5:$E$1005))</f>
        <v/>
      </c>
      <c r="D903" t="str">
        <f>IF($A903="","",SUMPRODUCT((MOVIMIENTOS!$B$5:$B$1005="SALDO INICIAL")*(MOVIMIENTOS!$C$5:$C$1005="C")*(MOVIMIENTOS!$D$5:$D$1005="jabas")*(MOVIMIENTOS!$A$5:$A$1005&lt;&gt;"")*(MOVIMIENTOS!$A$5:$A$1005&lt;=$A903)*MOVIMIENTOS!$E$5:$E$1005)+SUMPRODUCT((MOVIMIENTOS!$B$5:$B$1005="PROCESO")*(MOVIMIENTOS!$C$5:$C$1005="C")*(MOVIMIENTOS!$D$5:$D$1005="jabas")*(MOVIMIENTOS!$A$5:$A$1005&lt;&gt;"")*(MOVIMIENTOS!$A$5:$A$1005&lt;=$A903)*MOVIMIENTOS!$E$5:$E$1005)-SUMPRODUCT((MOVIMIENTOS!$B$5:$B$1005="ENVÍO A SUPESA")*(MOVIMIENTOS!$C$5:$C$1005="C")*(MOVIMIENTOS!$D$5:$D$1005="jabas")*(MOVIMIENTOS!$A$5:$A$1005&lt;&gt;"")*(MOVIMIENTOS!$A$5:$A$1005&lt;=$A903)*MOVIMIENTOS!$E$5:$E$1005)+SUMPRODUCT((MOVIMIENTOS!$B$5:$B$1005="DEVOLUCIÓN")*(MOVIMIENTOS!$C$5:$C$1005="C")*(MOVIMIENTOS!$D$5:$D$1005="jabas")*(MOVIMIENTOS!$A$5:$A$1005&lt;&gt;"")*(MOVIMIENTOS!$A$5:$A$1005&lt;=$A903)*MOVIMIENTOS!$E$5:$E$1005)-SUMPRODUCT((MOVIMIENTOS!$B$5:$B$1005="TRASIEGO")*(MOVIMIENTOS!$C$5:$C$1005="C")*(MOVIMIENTOS!$D$5:$D$1005="jabas")*(MOVIMIENTOS!$A$5:$A$1005&lt;&gt;"")*(MOVIMIENTOS!$A$5:$A$1005&lt;=$A903)*MOVIMIENTOS!$E$5:$E$1005)-SUMPRODUCT((MOVIMIENTOS!$B$5:$B$1005="REGALO")*(MOVIMIENTOS!$C$5:$C$1005="C")*(MOVIMIENTOS!$D$5:$D$1005="jabas")*(MOVIMIENTOS!$A$5:$A$1005&lt;&gt;"")*(MOVIMIENTOS!$A$5:$A$1005&lt;=$A903)*MOVIMIENTOS!$E$5:$E$1005)-SUMPRODUCT((MOVIMIENTOS!$B$5:$B$1005="VENTA")*(MOVIMIENTOS!$C$5:$C$1005="C")*(MOVIMIENTOS!$D$5:$D$1005="jabas")*(MOVIMIENTOS!$A$5:$A$1005&lt;&gt;"")*(MOVIMIENTOS!$A$5:$A$1005&lt;=$A903)*MOVIMIENTOS!$E$5:$E$1005)+SUMPRODUCT((MOVIMIENTOS!$B$5:$B$1005="AJUSTE")*(MOVIMIENTOS!$C$5:$C$1005="C")*(MOVIMIENTOS!$D$5:$D$1005="jabas")*(MOVIMIENTOS!$A$5:$A$1005&lt;&gt;"")*(MOVIMIENTOS!$A$5:$A$1005&lt;=$A903)*MOVIMIENTOS!$E$5:$E$1005))</f>
        <v/>
      </c>
      <c r="E903" t="str">
        <f>IF($A903="","",SUMPRODUCT((MOVIMIENTOS!$B$5:$B$1005="SALDO INICIAL")*(MOVIMIENTOS!$C$5:$C$1005="M")*(MOVIMIENTOS!$D$5:$D$1005="jabas")*(MOVIMIENTOS!$A$5:$A$1005&lt;&gt;"")*(MOVIMIENTOS!$A$5:$A$1005&lt;=$A903)*MOVIMIENTOS!$E$5:$E$1005)+SUMPRODUCT((MOVIMIENTOS!$B$5:$B$1005="PROCESO")*(MOVIMIENTOS!$C$5:$C$1005="M")*(MOVIMIENTOS!$D$5:$D$1005="jabas")*(MOVIMIENTOS!$A$5:$A$1005&lt;&gt;"")*(MOVIMIENTOS!$A$5:$A$1005&lt;=$A903)*MOVIMIENTOS!$E$5:$E$1005)-SUMPRODUCT((MOVIMIENTOS!$B$5:$B$1005="ENVÍO A SUPESA")*(MOVIMIENTOS!$C$5:$C$1005="M")*(MOVIMIENTOS!$D$5:$D$1005="jabas")*(MOVIMIENTOS!$A$5:$A$1005&lt;&gt;"")*(MOVIMIENTOS!$A$5:$A$1005&lt;=$A903)*MOVIMIENTOS!$E$5:$E$1005)+SUMPRODUCT((MOVIMIENTOS!$B$5:$B$1005="DEVOLUCIÓN")*(MOVIMIENTOS!$C$5:$C$1005="M")*(MOVIMIENTOS!$D$5:$D$1005="jabas")*(MOVIMIENTOS!$A$5:$A$1005&lt;&gt;"")*(MOVIMIENTOS!$A$5:$A$1005&lt;=$A903)*MOVIMIENTOS!$E$5:$E$1005)-SUMPRODUCT((MOVIMIENTOS!$B$5:$B$1005="TRASIEGO")*(MOVIMIENTOS!$C$5:$C$1005="M")*(MOVIMIENTOS!$D$5:$D$1005="jabas")*(MOVIMIENTOS!$A$5:$A$1005&lt;&gt;"")*(MOVIMIENTOS!$A$5:$A$1005&lt;=$A903)*MOVIMIENTOS!$E$5:$E$1005)-SUMPRODUCT((MOVIMIENTOS!$B$5:$B$1005="REGALO")*(MOVIMIENTOS!$C$5:$C$1005="M")*(MOVIMIENTOS!$D$5:$D$1005="jabas")*(MOVIMIENTOS!$A$5:$A$1005&lt;&gt;"")*(MOVIMIENTOS!$A$5:$A$1005&lt;=$A903)*MOVIMIENTOS!$E$5:$E$1005)-SUMPRODUCT((MOVIMIENTOS!$B$5:$B$1005="VENTA")*(MOVIMIENTOS!$C$5:$C$1005="M")*(MOVIMIENTOS!$D$5:$D$1005="jabas")*(MOVIMIENTOS!$A$5:$A$1005&lt;&gt;"")*(MOVIMIENTOS!$A$5:$A$1005&lt;=$A903)*MOVIMIENTOS!$E$5:$E$1005)+SUMPRODUCT((MOVIMIENTOS!$B$5:$B$1005="AJUSTE")*(MOVIMIENTOS!$C$5:$C$1005="M")*(MOVIMIENTOS!$D$5:$D$1005="jabas")*(MOVIMIENTOS!$A$5:$A$1005&lt;&gt;"")*(MOVIMIENTOS!$A$5:$A$1005&lt;=$A903)*MOVIMIENTOS!$E$5:$E$1005))</f>
        <v/>
      </c>
      <c r="F903" s="62" t="str">
        <f>IF($A903="","",SUMPRODUCT((MOVIMIENTOS!$B$5:$B$1005="SALDO INICIAL")*(MOVIMIENTOS!$C$5:$C$1005="Chancho")*(MOVIMIENTOS!$D$5:$D$1005="sacos")*(MOVIMIENTOS!$A$5:$A$1005&lt;&gt;"")*(MOVIMIENTOS!$A$5:$A$1005&lt;=$A903)*MOVIMIENTOS!$E$5:$E$1005)+SUMPRODUCT((MOVIMIENTOS!$B$5:$B$1005="PROCESO")*(MOVIMIENTOS!$C$5:$C$1005="Chancho")*(MOVIMIENTOS!$D$5:$D$1005="sacos")*(MOVIMIENTOS!$A$5:$A$1005&lt;&gt;"")*(MOVIMIENTOS!$A$5:$A$1005&lt;=$A903)*MOVIMIENTOS!$E$5:$E$1005)-SUMPRODUCT((MOVIMIENTOS!$B$5:$B$1005="VENTA CHANCHO")*(MOVIMIENTOS!$C$5:$C$1005="Chancho")*(MOVIMIENTOS!$D$5:$D$1005="sacos")*(MOVIMIENTOS!$A$5:$A$1005&lt;&gt;"")*(MOVIMIENTOS!$A$5:$A$1005&lt;=$A903)*MOVIMIENTOS!$E$5:$E$1005)-SUMPRODUCT((MOVIMIENTOS!$B$5:$B$1005="REGALO")*(MOVIMIENTOS!$C$5:$C$1005="Chancho")*(MOVIMIENTOS!$D$5:$D$1005="sacos")*(MOVIMIENTOS!$A$5:$A$1005&lt;&gt;"")*(MOVIMIENTOS!$A$5:$A$1005&lt;=$A903)*MOVIMIENTOS!$E$5:$E$1005)-SUMPRODUCT((MOVIMIENTOS!$B$5:$B$1005="VENTA")*(MOVIMIENTOS!$C$5:$C$1005="Chancho")*(MOVIMIENTOS!$D$5:$D$1005="sacos")*(MOVIMIENTOS!$A$5:$A$1005&lt;&gt;"")*(MOVIMIENTOS!$A$5:$A$1005&lt;=$A903)*MOVIMIENTOS!$E$5:$E$1005)+SUMPRODUCT((MOVIMIENTOS!$B$5:$B$1005="AJUSTE")*(MOVIMIENTOS!$C$5:$C$1005="Chancho")*(MOVIMIENTOS!$D$5:$D$1005="sacos")*(MOVIMIENTOS!$A$5:$A$1005&lt;&gt;"")*(MOVIMIENTOS!$A$5:$A$1005&lt;=$A903)*MOVIMIENTOS!$E$5:$E$1005))</f>
        <v/>
      </c>
      <c r="G903" s="62" t="str">
        <f t="shared" si="29"/>
        <v/>
      </c>
      <c r="H903" t="str">
        <f>IF($A903="","",SUMPRODUCT((((MOVIMIENTOS!$B$5:$B$1005="SALDO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903)*MOVIMIENTOS!$J$5:$J$1005))</f>
        <v/>
      </c>
      <c r="J903" t="str">
        <f>IF(AND(MOVIMIENTOS!$A908&lt;&gt;"",COUNTIF(MOVIMIENTOS!$A$5:$A907,MOVIMIENTOS!$A908)=0),COUNT(J$4:J902)+1,"")</f>
        <v/>
      </c>
      <c r="K903">
        <f>MOVIMIENTOS!$A908</f>
        <v>0</v>
      </c>
    </row>
    <row r="904" spans="1:11" ht="15" customHeight="1" x14ac:dyDescent="0.2">
      <c r="A904" t="str">
        <f t="shared" si="28"/>
        <v/>
      </c>
      <c r="B904" t="str">
        <f>IF($A904="","",SUMPRODUCT((MOVIMIENTOS!$B$5:$B$1005="SALDO INICIAL")*(MOVIMIENTOS!$C$5:$C$1005="A")*(MOVIMIENTOS!$D$5:$D$1005="jabas")*(MOVIMIENTOS!$A$5:$A$1005&lt;&gt;"")*(MOVIMIENTOS!$A$5:$A$1005&lt;=$A904)*MOVIMIENTOS!$E$5:$E$1005)+SUMPRODUCT((MOVIMIENTOS!$B$5:$B$1005="PROCESO")*(MOVIMIENTOS!$C$5:$C$1005="A")*(MOVIMIENTOS!$D$5:$D$1005="jabas")*(MOVIMIENTOS!$A$5:$A$1005&lt;&gt;"")*(MOVIMIENTOS!$A$5:$A$1005&lt;=$A904)*MOVIMIENTOS!$E$5:$E$1005)-SUMPRODUCT((MOVIMIENTOS!$B$5:$B$1005="ENVÍO A SUPESA")*(MOVIMIENTOS!$C$5:$C$1005="A")*(MOVIMIENTOS!$D$5:$D$1005="jabas")*(MOVIMIENTOS!$A$5:$A$1005&lt;&gt;"")*(MOVIMIENTOS!$A$5:$A$1005&lt;=$A904)*MOVIMIENTOS!$E$5:$E$1005)+SUMPRODUCT((MOVIMIENTOS!$B$5:$B$1005="DEVOLUCIÓN")*(MOVIMIENTOS!$C$5:$C$1005="A")*(MOVIMIENTOS!$D$5:$D$1005="jabas")*(MOVIMIENTOS!$A$5:$A$1005&lt;&gt;"")*(MOVIMIENTOS!$A$5:$A$1005&lt;=$A904)*MOVIMIENTOS!$E$5:$E$1005)-SUMPRODUCT((MOVIMIENTOS!$B$5:$B$1005="TRASIEGO")*(MOVIMIENTOS!$C$5:$C$1005="A")*(MOVIMIENTOS!$D$5:$D$1005="jabas")*(MOVIMIENTOS!$A$5:$A$1005&lt;&gt;"")*(MOVIMIENTOS!$A$5:$A$1005&lt;=$A904)*MOVIMIENTOS!$E$5:$E$1005)-SUMPRODUCT((MOVIMIENTOS!$B$5:$B$1005="REGALO")*(MOVIMIENTOS!$C$5:$C$1005="A")*(MOVIMIENTOS!$D$5:$D$1005="jabas")*(MOVIMIENTOS!$A$5:$A$1005&lt;&gt;"")*(MOVIMIENTOS!$A$5:$A$1005&lt;=$A904)*MOVIMIENTOS!$E$5:$E$1005)-SUMPRODUCT((MOVIMIENTOS!$B$5:$B$1005="VENTA")*(MOVIMIENTOS!$C$5:$C$1005="A")*(MOVIMIENTOS!$D$5:$D$1005="jabas")*(MOVIMIENTOS!$A$5:$A$1005&lt;&gt;"")*(MOVIMIENTOS!$A$5:$A$1005&lt;=$A904)*MOVIMIENTOS!$E$5:$E$1005)+SUMPRODUCT((MOVIMIENTOS!$B$5:$B$1005="AJUSTE")*(MOVIMIENTOS!$C$5:$C$1005="A")*(MOVIMIENTOS!$D$5:$D$1005="jabas")*(MOVIMIENTOS!$A$5:$A$1005&lt;&gt;"")*(MOVIMIENTOS!$A$5:$A$1005&lt;=$A904)*MOVIMIENTOS!$E$5:$E$1005))</f>
        <v/>
      </c>
      <c r="C904" t="str">
        <f>IF($A904="","",SUMPRODUCT((MOVIMIENTOS!$B$5:$B$1005="SALDO INICIAL")*(MOVIMIENTOS!$C$5:$C$1005="P")*(MOVIMIENTOS!$D$5:$D$1005="jabas")*(MOVIMIENTOS!$A$5:$A$1005&lt;&gt;"")*(MOVIMIENTOS!$A$5:$A$1005&lt;=$A904)*MOVIMIENTOS!$E$5:$E$1005)+SUMPRODUCT((MOVIMIENTOS!$B$5:$B$1005="PROCESO")*(MOVIMIENTOS!$C$5:$C$1005="P")*(MOVIMIENTOS!$D$5:$D$1005="jabas")*(MOVIMIENTOS!$A$5:$A$1005&lt;&gt;"")*(MOVIMIENTOS!$A$5:$A$1005&lt;=$A904)*MOVIMIENTOS!$E$5:$E$1005)-SUMPRODUCT((MOVIMIENTOS!$B$5:$B$1005="ENVÍO A SUPESA")*(MOVIMIENTOS!$C$5:$C$1005="P")*(MOVIMIENTOS!$D$5:$D$1005="jabas")*(MOVIMIENTOS!$A$5:$A$1005&lt;&gt;"")*(MOVIMIENTOS!$A$5:$A$1005&lt;=$A904)*MOVIMIENTOS!$E$5:$E$1005)+SUMPRODUCT((MOVIMIENTOS!$B$5:$B$1005="DEVOLUCIÓN")*(MOVIMIENTOS!$C$5:$C$1005="P")*(MOVIMIENTOS!$D$5:$D$1005="jabas")*(MOVIMIENTOS!$A$5:$A$1005&lt;&gt;"")*(MOVIMIENTOS!$A$5:$A$1005&lt;=$A904)*MOVIMIENTOS!$E$5:$E$1005)-SUMPRODUCT((MOVIMIENTOS!$B$5:$B$1005="TRASIEGO")*(MOVIMIENTOS!$C$5:$C$1005="P")*(MOVIMIENTOS!$D$5:$D$1005="jabas")*(MOVIMIENTOS!$A$5:$A$1005&lt;&gt;"")*(MOVIMIENTOS!$A$5:$A$1005&lt;=$A904)*MOVIMIENTOS!$E$5:$E$1005)-SUMPRODUCT((MOVIMIENTOS!$B$5:$B$1005="REGALO")*(MOVIMIENTOS!$C$5:$C$1005="P")*(MOVIMIENTOS!$D$5:$D$1005="jabas")*(MOVIMIENTOS!$A$5:$A$1005&lt;&gt;"")*(MOVIMIENTOS!$A$5:$A$1005&lt;=$A904)*MOVIMIENTOS!$E$5:$E$1005)-SUMPRODUCT((MOVIMIENTOS!$B$5:$B$1005="VENTA")*(MOVIMIENTOS!$C$5:$C$1005="P")*(MOVIMIENTOS!$D$5:$D$1005="jabas")*(MOVIMIENTOS!$A$5:$A$1005&lt;&gt;"")*(MOVIMIENTOS!$A$5:$A$1005&lt;=$A904)*MOVIMIENTOS!$E$5:$E$1005)+SUMPRODUCT((MOVIMIENTOS!$B$5:$B$1005="AJUSTE")*(MOVIMIENTOS!$C$5:$C$1005="P")*(MOVIMIENTOS!$D$5:$D$1005="jabas")*(MOVIMIENTOS!$A$5:$A$1005&lt;&gt;"")*(MOVIMIENTOS!$A$5:$A$1005&lt;=$A904)*MOVIMIENTOS!$E$5:$E$1005))</f>
        <v/>
      </c>
      <c r="D904" t="str">
        <f>IF($A904="","",SUMPRODUCT((MOVIMIENTOS!$B$5:$B$1005="SALDO INICIAL")*(MOVIMIENTOS!$C$5:$C$1005="C")*(MOVIMIENTOS!$D$5:$D$1005="jabas")*(MOVIMIENTOS!$A$5:$A$1005&lt;&gt;"")*(MOVIMIENTOS!$A$5:$A$1005&lt;=$A904)*MOVIMIENTOS!$E$5:$E$1005)+SUMPRODUCT((MOVIMIENTOS!$B$5:$B$1005="PROCESO")*(MOVIMIENTOS!$C$5:$C$1005="C")*(MOVIMIENTOS!$D$5:$D$1005="jabas")*(MOVIMIENTOS!$A$5:$A$1005&lt;&gt;"")*(MOVIMIENTOS!$A$5:$A$1005&lt;=$A904)*MOVIMIENTOS!$E$5:$E$1005)-SUMPRODUCT((MOVIMIENTOS!$B$5:$B$1005="ENVÍO A SUPESA")*(MOVIMIENTOS!$C$5:$C$1005="C")*(MOVIMIENTOS!$D$5:$D$1005="jabas")*(MOVIMIENTOS!$A$5:$A$1005&lt;&gt;"")*(MOVIMIENTOS!$A$5:$A$1005&lt;=$A904)*MOVIMIENTOS!$E$5:$E$1005)+SUMPRODUCT((MOVIMIENTOS!$B$5:$B$1005="DEVOLUCIÓN")*(MOVIMIENTOS!$C$5:$C$1005="C")*(MOVIMIENTOS!$D$5:$D$1005="jabas")*(MOVIMIENTOS!$A$5:$A$1005&lt;&gt;"")*(MOVIMIENTOS!$A$5:$A$1005&lt;=$A904)*MOVIMIENTOS!$E$5:$E$1005)-SUMPRODUCT((MOVIMIENTOS!$B$5:$B$1005="TRASIEGO")*(MOVIMIENTOS!$C$5:$C$1005="C")*(MOVIMIENTOS!$D$5:$D$1005="jabas")*(MOVIMIENTOS!$A$5:$A$1005&lt;&gt;"")*(MOVIMIENTOS!$A$5:$A$1005&lt;=$A904)*MOVIMIENTOS!$E$5:$E$1005)-SUMPRODUCT((MOVIMIENTOS!$B$5:$B$1005="REGALO")*(MOVIMIENTOS!$C$5:$C$1005="C")*(MOVIMIENTOS!$D$5:$D$1005="jabas")*(MOVIMIENTOS!$A$5:$A$1005&lt;&gt;"")*(MOVIMIENTOS!$A$5:$A$1005&lt;=$A904)*MOVIMIENTOS!$E$5:$E$1005)-SUMPRODUCT((MOVIMIENTOS!$B$5:$B$1005="VENTA")*(MOVIMIENTOS!$C$5:$C$1005="C")*(MOVIMIENTOS!$D$5:$D$1005="jabas")*(MOVIMIENTOS!$A$5:$A$1005&lt;&gt;"")*(MOVIMIENTOS!$A$5:$A$1005&lt;=$A904)*MOVIMIENTOS!$E$5:$E$1005)+SUMPRODUCT((MOVIMIENTOS!$B$5:$B$1005="AJUSTE")*(MOVIMIENTOS!$C$5:$C$1005="C")*(MOVIMIENTOS!$D$5:$D$1005="jabas")*(MOVIMIENTOS!$A$5:$A$1005&lt;&gt;"")*(MOVIMIENTOS!$A$5:$A$1005&lt;=$A904)*MOVIMIENTOS!$E$5:$E$1005))</f>
        <v/>
      </c>
      <c r="E904" t="str">
        <f>IF($A904="","",SUMPRODUCT((MOVIMIENTOS!$B$5:$B$1005="SALDO INICIAL")*(MOVIMIENTOS!$C$5:$C$1005="M")*(MOVIMIENTOS!$D$5:$D$1005="jabas")*(MOVIMIENTOS!$A$5:$A$1005&lt;&gt;"")*(MOVIMIENTOS!$A$5:$A$1005&lt;=$A904)*MOVIMIENTOS!$E$5:$E$1005)+SUMPRODUCT((MOVIMIENTOS!$B$5:$B$1005="PROCESO")*(MOVIMIENTOS!$C$5:$C$1005="M")*(MOVIMIENTOS!$D$5:$D$1005="jabas")*(MOVIMIENTOS!$A$5:$A$1005&lt;&gt;"")*(MOVIMIENTOS!$A$5:$A$1005&lt;=$A904)*MOVIMIENTOS!$E$5:$E$1005)-SUMPRODUCT((MOVIMIENTOS!$B$5:$B$1005="ENVÍO A SUPESA")*(MOVIMIENTOS!$C$5:$C$1005="M")*(MOVIMIENTOS!$D$5:$D$1005="jabas")*(MOVIMIENTOS!$A$5:$A$1005&lt;&gt;"")*(MOVIMIENTOS!$A$5:$A$1005&lt;=$A904)*MOVIMIENTOS!$E$5:$E$1005)+SUMPRODUCT((MOVIMIENTOS!$B$5:$B$1005="DEVOLUCIÓN")*(MOVIMIENTOS!$C$5:$C$1005="M")*(MOVIMIENTOS!$D$5:$D$1005="jabas")*(MOVIMIENTOS!$A$5:$A$1005&lt;&gt;"")*(MOVIMIENTOS!$A$5:$A$1005&lt;=$A904)*MOVIMIENTOS!$E$5:$E$1005)-SUMPRODUCT((MOVIMIENTOS!$B$5:$B$1005="TRASIEGO")*(MOVIMIENTOS!$C$5:$C$1005="M")*(MOVIMIENTOS!$D$5:$D$1005="jabas")*(MOVIMIENTOS!$A$5:$A$1005&lt;&gt;"")*(MOVIMIENTOS!$A$5:$A$1005&lt;=$A904)*MOVIMIENTOS!$E$5:$E$1005)-SUMPRODUCT((MOVIMIENTOS!$B$5:$B$1005="REGALO")*(MOVIMIENTOS!$C$5:$C$1005="M")*(MOVIMIENTOS!$D$5:$D$1005="jabas")*(MOVIMIENTOS!$A$5:$A$1005&lt;&gt;"")*(MOVIMIENTOS!$A$5:$A$1005&lt;=$A904)*MOVIMIENTOS!$E$5:$E$1005)-SUMPRODUCT((MOVIMIENTOS!$B$5:$B$1005="VENTA")*(MOVIMIENTOS!$C$5:$C$1005="M")*(MOVIMIENTOS!$D$5:$D$1005="jabas")*(MOVIMIENTOS!$A$5:$A$1005&lt;&gt;"")*(MOVIMIENTOS!$A$5:$A$1005&lt;=$A904)*MOVIMIENTOS!$E$5:$E$1005)+SUMPRODUCT((MOVIMIENTOS!$B$5:$B$1005="AJUSTE")*(MOVIMIENTOS!$C$5:$C$1005="M")*(MOVIMIENTOS!$D$5:$D$1005="jabas")*(MOVIMIENTOS!$A$5:$A$1005&lt;&gt;"")*(MOVIMIENTOS!$A$5:$A$1005&lt;=$A904)*MOVIMIENTOS!$E$5:$E$1005))</f>
        <v/>
      </c>
      <c r="F904" s="62" t="str">
        <f>IF($A904="","",SUMPRODUCT((MOVIMIENTOS!$B$5:$B$1005="SALDO INICIAL")*(MOVIMIENTOS!$C$5:$C$1005="Chancho")*(MOVIMIENTOS!$D$5:$D$1005="sacos")*(MOVIMIENTOS!$A$5:$A$1005&lt;&gt;"")*(MOVIMIENTOS!$A$5:$A$1005&lt;=$A904)*MOVIMIENTOS!$E$5:$E$1005)+SUMPRODUCT((MOVIMIENTOS!$B$5:$B$1005="PROCESO")*(MOVIMIENTOS!$C$5:$C$1005="Chancho")*(MOVIMIENTOS!$D$5:$D$1005="sacos")*(MOVIMIENTOS!$A$5:$A$1005&lt;&gt;"")*(MOVIMIENTOS!$A$5:$A$1005&lt;=$A904)*MOVIMIENTOS!$E$5:$E$1005)-SUMPRODUCT((MOVIMIENTOS!$B$5:$B$1005="VENTA CHANCHO")*(MOVIMIENTOS!$C$5:$C$1005="Chancho")*(MOVIMIENTOS!$D$5:$D$1005="sacos")*(MOVIMIENTOS!$A$5:$A$1005&lt;&gt;"")*(MOVIMIENTOS!$A$5:$A$1005&lt;=$A904)*MOVIMIENTOS!$E$5:$E$1005)-SUMPRODUCT((MOVIMIENTOS!$B$5:$B$1005="REGALO")*(MOVIMIENTOS!$C$5:$C$1005="Chancho")*(MOVIMIENTOS!$D$5:$D$1005="sacos")*(MOVIMIENTOS!$A$5:$A$1005&lt;&gt;"")*(MOVIMIENTOS!$A$5:$A$1005&lt;=$A904)*MOVIMIENTOS!$E$5:$E$1005)-SUMPRODUCT((MOVIMIENTOS!$B$5:$B$1005="VENTA")*(MOVIMIENTOS!$C$5:$C$1005="Chancho")*(MOVIMIENTOS!$D$5:$D$1005="sacos")*(MOVIMIENTOS!$A$5:$A$1005&lt;&gt;"")*(MOVIMIENTOS!$A$5:$A$1005&lt;=$A904)*MOVIMIENTOS!$E$5:$E$1005)+SUMPRODUCT((MOVIMIENTOS!$B$5:$B$1005="AJUSTE")*(MOVIMIENTOS!$C$5:$C$1005="Chancho")*(MOVIMIENTOS!$D$5:$D$1005="sacos")*(MOVIMIENTOS!$A$5:$A$1005&lt;&gt;"")*(MOVIMIENTOS!$A$5:$A$1005&lt;=$A904)*MOVIMIENTOS!$E$5:$E$1005))</f>
        <v/>
      </c>
      <c r="G904" s="62" t="str">
        <f t="shared" si="29"/>
        <v/>
      </c>
      <c r="H904" t="str">
        <f>IF($A904="","",SUMPRODUCT((((MOVIMIENTOS!$B$5:$B$1005="SALDO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904)*MOVIMIENTOS!$J$5:$J$1005))</f>
        <v/>
      </c>
      <c r="J904" t="str">
        <f>IF(AND(MOVIMIENTOS!$A909&lt;&gt;"",COUNTIF(MOVIMIENTOS!$A$5:$A908,MOVIMIENTOS!$A909)=0),COUNT(J$4:J903)+1,"")</f>
        <v/>
      </c>
      <c r="K904">
        <f>MOVIMIENTOS!$A909</f>
        <v>0</v>
      </c>
    </row>
    <row r="905" spans="1:11" ht="15" customHeight="1" x14ac:dyDescent="0.2">
      <c r="A905" t="str">
        <f t="shared" si="28"/>
        <v/>
      </c>
      <c r="B905" t="str">
        <f>IF($A905="","",SUMPRODUCT((MOVIMIENTOS!$B$5:$B$1005="SALDO INICIAL")*(MOVIMIENTOS!$C$5:$C$1005="A")*(MOVIMIENTOS!$D$5:$D$1005="jabas")*(MOVIMIENTOS!$A$5:$A$1005&lt;&gt;"")*(MOVIMIENTOS!$A$5:$A$1005&lt;=$A905)*MOVIMIENTOS!$E$5:$E$1005)+SUMPRODUCT((MOVIMIENTOS!$B$5:$B$1005="PROCESO")*(MOVIMIENTOS!$C$5:$C$1005="A")*(MOVIMIENTOS!$D$5:$D$1005="jabas")*(MOVIMIENTOS!$A$5:$A$1005&lt;&gt;"")*(MOVIMIENTOS!$A$5:$A$1005&lt;=$A905)*MOVIMIENTOS!$E$5:$E$1005)-SUMPRODUCT((MOVIMIENTOS!$B$5:$B$1005="ENVÍO A SUPESA")*(MOVIMIENTOS!$C$5:$C$1005="A")*(MOVIMIENTOS!$D$5:$D$1005="jabas")*(MOVIMIENTOS!$A$5:$A$1005&lt;&gt;"")*(MOVIMIENTOS!$A$5:$A$1005&lt;=$A905)*MOVIMIENTOS!$E$5:$E$1005)+SUMPRODUCT((MOVIMIENTOS!$B$5:$B$1005="DEVOLUCIÓN")*(MOVIMIENTOS!$C$5:$C$1005="A")*(MOVIMIENTOS!$D$5:$D$1005="jabas")*(MOVIMIENTOS!$A$5:$A$1005&lt;&gt;"")*(MOVIMIENTOS!$A$5:$A$1005&lt;=$A905)*MOVIMIENTOS!$E$5:$E$1005)-SUMPRODUCT((MOVIMIENTOS!$B$5:$B$1005="TRASIEGO")*(MOVIMIENTOS!$C$5:$C$1005="A")*(MOVIMIENTOS!$D$5:$D$1005="jabas")*(MOVIMIENTOS!$A$5:$A$1005&lt;&gt;"")*(MOVIMIENTOS!$A$5:$A$1005&lt;=$A905)*MOVIMIENTOS!$E$5:$E$1005)-SUMPRODUCT((MOVIMIENTOS!$B$5:$B$1005="REGALO")*(MOVIMIENTOS!$C$5:$C$1005="A")*(MOVIMIENTOS!$D$5:$D$1005="jabas")*(MOVIMIENTOS!$A$5:$A$1005&lt;&gt;"")*(MOVIMIENTOS!$A$5:$A$1005&lt;=$A905)*MOVIMIENTOS!$E$5:$E$1005)-SUMPRODUCT((MOVIMIENTOS!$B$5:$B$1005="VENTA")*(MOVIMIENTOS!$C$5:$C$1005="A")*(MOVIMIENTOS!$D$5:$D$1005="jabas")*(MOVIMIENTOS!$A$5:$A$1005&lt;&gt;"")*(MOVIMIENTOS!$A$5:$A$1005&lt;=$A905)*MOVIMIENTOS!$E$5:$E$1005)+SUMPRODUCT((MOVIMIENTOS!$B$5:$B$1005="AJUSTE")*(MOVIMIENTOS!$C$5:$C$1005="A")*(MOVIMIENTOS!$D$5:$D$1005="jabas")*(MOVIMIENTOS!$A$5:$A$1005&lt;&gt;"")*(MOVIMIENTOS!$A$5:$A$1005&lt;=$A905)*MOVIMIENTOS!$E$5:$E$1005))</f>
        <v/>
      </c>
      <c r="C905" t="str">
        <f>IF($A905="","",SUMPRODUCT((MOVIMIENTOS!$B$5:$B$1005="SALDO INICIAL")*(MOVIMIENTOS!$C$5:$C$1005="P")*(MOVIMIENTOS!$D$5:$D$1005="jabas")*(MOVIMIENTOS!$A$5:$A$1005&lt;&gt;"")*(MOVIMIENTOS!$A$5:$A$1005&lt;=$A905)*MOVIMIENTOS!$E$5:$E$1005)+SUMPRODUCT((MOVIMIENTOS!$B$5:$B$1005="PROCESO")*(MOVIMIENTOS!$C$5:$C$1005="P")*(MOVIMIENTOS!$D$5:$D$1005="jabas")*(MOVIMIENTOS!$A$5:$A$1005&lt;&gt;"")*(MOVIMIENTOS!$A$5:$A$1005&lt;=$A905)*MOVIMIENTOS!$E$5:$E$1005)-SUMPRODUCT((MOVIMIENTOS!$B$5:$B$1005="ENVÍO A SUPESA")*(MOVIMIENTOS!$C$5:$C$1005="P")*(MOVIMIENTOS!$D$5:$D$1005="jabas")*(MOVIMIENTOS!$A$5:$A$1005&lt;&gt;"")*(MOVIMIENTOS!$A$5:$A$1005&lt;=$A905)*MOVIMIENTOS!$E$5:$E$1005)+SUMPRODUCT((MOVIMIENTOS!$B$5:$B$1005="DEVOLUCIÓN")*(MOVIMIENTOS!$C$5:$C$1005="P")*(MOVIMIENTOS!$D$5:$D$1005="jabas")*(MOVIMIENTOS!$A$5:$A$1005&lt;&gt;"")*(MOVIMIENTOS!$A$5:$A$1005&lt;=$A905)*MOVIMIENTOS!$E$5:$E$1005)-SUMPRODUCT((MOVIMIENTOS!$B$5:$B$1005="TRASIEGO")*(MOVIMIENTOS!$C$5:$C$1005="P")*(MOVIMIENTOS!$D$5:$D$1005="jabas")*(MOVIMIENTOS!$A$5:$A$1005&lt;&gt;"")*(MOVIMIENTOS!$A$5:$A$1005&lt;=$A905)*MOVIMIENTOS!$E$5:$E$1005)-SUMPRODUCT((MOVIMIENTOS!$B$5:$B$1005="REGALO")*(MOVIMIENTOS!$C$5:$C$1005="P")*(MOVIMIENTOS!$D$5:$D$1005="jabas")*(MOVIMIENTOS!$A$5:$A$1005&lt;&gt;"")*(MOVIMIENTOS!$A$5:$A$1005&lt;=$A905)*MOVIMIENTOS!$E$5:$E$1005)-SUMPRODUCT((MOVIMIENTOS!$B$5:$B$1005="VENTA")*(MOVIMIENTOS!$C$5:$C$1005="P")*(MOVIMIENTOS!$D$5:$D$1005="jabas")*(MOVIMIENTOS!$A$5:$A$1005&lt;&gt;"")*(MOVIMIENTOS!$A$5:$A$1005&lt;=$A905)*MOVIMIENTOS!$E$5:$E$1005)+SUMPRODUCT((MOVIMIENTOS!$B$5:$B$1005="AJUSTE")*(MOVIMIENTOS!$C$5:$C$1005="P")*(MOVIMIENTOS!$D$5:$D$1005="jabas")*(MOVIMIENTOS!$A$5:$A$1005&lt;&gt;"")*(MOVIMIENTOS!$A$5:$A$1005&lt;=$A905)*MOVIMIENTOS!$E$5:$E$1005))</f>
        <v/>
      </c>
      <c r="D905" t="str">
        <f>IF($A905="","",SUMPRODUCT((MOVIMIENTOS!$B$5:$B$1005="SALDO INICIAL")*(MOVIMIENTOS!$C$5:$C$1005="C")*(MOVIMIENTOS!$D$5:$D$1005="jabas")*(MOVIMIENTOS!$A$5:$A$1005&lt;&gt;"")*(MOVIMIENTOS!$A$5:$A$1005&lt;=$A905)*MOVIMIENTOS!$E$5:$E$1005)+SUMPRODUCT((MOVIMIENTOS!$B$5:$B$1005="PROCESO")*(MOVIMIENTOS!$C$5:$C$1005="C")*(MOVIMIENTOS!$D$5:$D$1005="jabas")*(MOVIMIENTOS!$A$5:$A$1005&lt;&gt;"")*(MOVIMIENTOS!$A$5:$A$1005&lt;=$A905)*MOVIMIENTOS!$E$5:$E$1005)-SUMPRODUCT((MOVIMIENTOS!$B$5:$B$1005="ENVÍO A SUPESA")*(MOVIMIENTOS!$C$5:$C$1005="C")*(MOVIMIENTOS!$D$5:$D$1005="jabas")*(MOVIMIENTOS!$A$5:$A$1005&lt;&gt;"")*(MOVIMIENTOS!$A$5:$A$1005&lt;=$A905)*MOVIMIENTOS!$E$5:$E$1005)+SUMPRODUCT((MOVIMIENTOS!$B$5:$B$1005="DEVOLUCIÓN")*(MOVIMIENTOS!$C$5:$C$1005="C")*(MOVIMIENTOS!$D$5:$D$1005="jabas")*(MOVIMIENTOS!$A$5:$A$1005&lt;&gt;"")*(MOVIMIENTOS!$A$5:$A$1005&lt;=$A905)*MOVIMIENTOS!$E$5:$E$1005)-SUMPRODUCT((MOVIMIENTOS!$B$5:$B$1005="TRASIEGO")*(MOVIMIENTOS!$C$5:$C$1005="C")*(MOVIMIENTOS!$D$5:$D$1005="jabas")*(MOVIMIENTOS!$A$5:$A$1005&lt;&gt;"")*(MOVIMIENTOS!$A$5:$A$1005&lt;=$A905)*MOVIMIENTOS!$E$5:$E$1005)-SUMPRODUCT((MOVIMIENTOS!$B$5:$B$1005="REGALO")*(MOVIMIENTOS!$C$5:$C$1005="C")*(MOVIMIENTOS!$D$5:$D$1005="jabas")*(MOVIMIENTOS!$A$5:$A$1005&lt;&gt;"")*(MOVIMIENTOS!$A$5:$A$1005&lt;=$A905)*MOVIMIENTOS!$E$5:$E$1005)-SUMPRODUCT((MOVIMIENTOS!$B$5:$B$1005="VENTA")*(MOVIMIENTOS!$C$5:$C$1005="C")*(MOVIMIENTOS!$D$5:$D$1005="jabas")*(MOVIMIENTOS!$A$5:$A$1005&lt;&gt;"")*(MOVIMIENTOS!$A$5:$A$1005&lt;=$A905)*MOVIMIENTOS!$E$5:$E$1005)+SUMPRODUCT((MOVIMIENTOS!$B$5:$B$1005="AJUSTE")*(MOVIMIENTOS!$C$5:$C$1005="C")*(MOVIMIENTOS!$D$5:$D$1005="jabas")*(MOVIMIENTOS!$A$5:$A$1005&lt;&gt;"")*(MOVIMIENTOS!$A$5:$A$1005&lt;=$A905)*MOVIMIENTOS!$E$5:$E$1005))</f>
        <v/>
      </c>
      <c r="E905" t="str">
        <f>IF($A905="","",SUMPRODUCT((MOVIMIENTOS!$B$5:$B$1005="SALDO INICIAL")*(MOVIMIENTOS!$C$5:$C$1005="M")*(MOVIMIENTOS!$D$5:$D$1005="jabas")*(MOVIMIENTOS!$A$5:$A$1005&lt;&gt;"")*(MOVIMIENTOS!$A$5:$A$1005&lt;=$A905)*MOVIMIENTOS!$E$5:$E$1005)+SUMPRODUCT((MOVIMIENTOS!$B$5:$B$1005="PROCESO")*(MOVIMIENTOS!$C$5:$C$1005="M")*(MOVIMIENTOS!$D$5:$D$1005="jabas")*(MOVIMIENTOS!$A$5:$A$1005&lt;&gt;"")*(MOVIMIENTOS!$A$5:$A$1005&lt;=$A905)*MOVIMIENTOS!$E$5:$E$1005)-SUMPRODUCT((MOVIMIENTOS!$B$5:$B$1005="ENVÍO A SUPESA")*(MOVIMIENTOS!$C$5:$C$1005="M")*(MOVIMIENTOS!$D$5:$D$1005="jabas")*(MOVIMIENTOS!$A$5:$A$1005&lt;&gt;"")*(MOVIMIENTOS!$A$5:$A$1005&lt;=$A905)*MOVIMIENTOS!$E$5:$E$1005)+SUMPRODUCT((MOVIMIENTOS!$B$5:$B$1005="DEVOLUCIÓN")*(MOVIMIENTOS!$C$5:$C$1005="M")*(MOVIMIENTOS!$D$5:$D$1005="jabas")*(MOVIMIENTOS!$A$5:$A$1005&lt;&gt;"")*(MOVIMIENTOS!$A$5:$A$1005&lt;=$A905)*MOVIMIENTOS!$E$5:$E$1005)-SUMPRODUCT((MOVIMIENTOS!$B$5:$B$1005="TRASIEGO")*(MOVIMIENTOS!$C$5:$C$1005="M")*(MOVIMIENTOS!$D$5:$D$1005="jabas")*(MOVIMIENTOS!$A$5:$A$1005&lt;&gt;"")*(MOVIMIENTOS!$A$5:$A$1005&lt;=$A905)*MOVIMIENTOS!$E$5:$E$1005)-SUMPRODUCT((MOVIMIENTOS!$B$5:$B$1005="REGALO")*(MOVIMIENTOS!$C$5:$C$1005="M")*(MOVIMIENTOS!$D$5:$D$1005="jabas")*(MOVIMIENTOS!$A$5:$A$1005&lt;&gt;"")*(MOVIMIENTOS!$A$5:$A$1005&lt;=$A905)*MOVIMIENTOS!$E$5:$E$1005)-SUMPRODUCT((MOVIMIENTOS!$B$5:$B$1005="VENTA")*(MOVIMIENTOS!$C$5:$C$1005="M")*(MOVIMIENTOS!$D$5:$D$1005="jabas")*(MOVIMIENTOS!$A$5:$A$1005&lt;&gt;"")*(MOVIMIENTOS!$A$5:$A$1005&lt;=$A905)*MOVIMIENTOS!$E$5:$E$1005)+SUMPRODUCT((MOVIMIENTOS!$B$5:$B$1005="AJUSTE")*(MOVIMIENTOS!$C$5:$C$1005="M")*(MOVIMIENTOS!$D$5:$D$1005="jabas")*(MOVIMIENTOS!$A$5:$A$1005&lt;&gt;"")*(MOVIMIENTOS!$A$5:$A$1005&lt;=$A905)*MOVIMIENTOS!$E$5:$E$1005))</f>
        <v/>
      </c>
      <c r="F905" s="62" t="str">
        <f>IF($A905="","",SUMPRODUCT((MOVIMIENTOS!$B$5:$B$1005="SALDO INICIAL")*(MOVIMIENTOS!$C$5:$C$1005="Chancho")*(MOVIMIENTOS!$D$5:$D$1005="sacos")*(MOVIMIENTOS!$A$5:$A$1005&lt;&gt;"")*(MOVIMIENTOS!$A$5:$A$1005&lt;=$A905)*MOVIMIENTOS!$E$5:$E$1005)+SUMPRODUCT((MOVIMIENTOS!$B$5:$B$1005="PROCESO")*(MOVIMIENTOS!$C$5:$C$1005="Chancho")*(MOVIMIENTOS!$D$5:$D$1005="sacos")*(MOVIMIENTOS!$A$5:$A$1005&lt;&gt;"")*(MOVIMIENTOS!$A$5:$A$1005&lt;=$A905)*MOVIMIENTOS!$E$5:$E$1005)-SUMPRODUCT((MOVIMIENTOS!$B$5:$B$1005="VENTA CHANCHO")*(MOVIMIENTOS!$C$5:$C$1005="Chancho")*(MOVIMIENTOS!$D$5:$D$1005="sacos")*(MOVIMIENTOS!$A$5:$A$1005&lt;&gt;"")*(MOVIMIENTOS!$A$5:$A$1005&lt;=$A905)*MOVIMIENTOS!$E$5:$E$1005)-SUMPRODUCT((MOVIMIENTOS!$B$5:$B$1005="REGALO")*(MOVIMIENTOS!$C$5:$C$1005="Chancho")*(MOVIMIENTOS!$D$5:$D$1005="sacos")*(MOVIMIENTOS!$A$5:$A$1005&lt;&gt;"")*(MOVIMIENTOS!$A$5:$A$1005&lt;=$A905)*MOVIMIENTOS!$E$5:$E$1005)-SUMPRODUCT((MOVIMIENTOS!$B$5:$B$1005="VENTA")*(MOVIMIENTOS!$C$5:$C$1005="Chancho")*(MOVIMIENTOS!$D$5:$D$1005="sacos")*(MOVIMIENTOS!$A$5:$A$1005&lt;&gt;"")*(MOVIMIENTOS!$A$5:$A$1005&lt;=$A905)*MOVIMIENTOS!$E$5:$E$1005)+SUMPRODUCT((MOVIMIENTOS!$B$5:$B$1005="AJUSTE")*(MOVIMIENTOS!$C$5:$C$1005="Chancho")*(MOVIMIENTOS!$D$5:$D$1005="sacos")*(MOVIMIENTOS!$A$5:$A$1005&lt;&gt;"")*(MOVIMIENTOS!$A$5:$A$1005&lt;=$A905)*MOVIMIENTOS!$E$5:$E$1005))</f>
        <v/>
      </c>
      <c r="G905" s="62" t="str">
        <f t="shared" si="29"/>
        <v/>
      </c>
      <c r="H905" t="str">
        <f>IF($A905="","",SUMPRODUCT((((MOVIMIENTOS!$B$5:$B$1005="SALDO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905)*MOVIMIENTOS!$J$5:$J$1005))</f>
        <v/>
      </c>
      <c r="J905" t="str">
        <f>IF(AND(MOVIMIENTOS!$A910&lt;&gt;"",COUNTIF(MOVIMIENTOS!$A$5:$A909,MOVIMIENTOS!$A910)=0),COUNT(J$4:J904)+1,"")</f>
        <v/>
      </c>
      <c r="K905">
        <f>MOVIMIENTOS!$A910</f>
        <v>0</v>
      </c>
    </row>
    <row r="906" spans="1:11" ht="15" customHeight="1" x14ac:dyDescent="0.2">
      <c r="A906" t="str">
        <f t="shared" si="28"/>
        <v/>
      </c>
      <c r="B906" t="str">
        <f>IF($A906="","",SUMPRODUCT((MOVIMIENTOS!$B$5:$B$1005="SALDO INICIAL")*(MOVIMIENTOS!$C$5:$C$1005="A")*(MOVIMIENTOS!$D$5:$D$1005="jabas")*(MOVIMIENTOS!$A$5:$A$1005&lt;&gt;"")*(MOVIMIENTOS!$A$5:$A$1005&lt;=$A906)*MOVIMIENTOS!$E$5:$E$1005)+SUMPRODUCT((MOVIMIENTOS!$B$5:$B$1005="PROCESO")*(MOVIMIENTOS!$C$5:$C$1005="A")*(MOVIMIENTOS!$D$5:$D$1005="jabas")*(MOVIMIENTOS!$A$5:$A$1005&lt;&gt;"")*(MOVIMIENTOS!$A$5:$A$1005&lt;=$A906)*MOVIMIENTOS!$E$5:$E$1005)-SUMPRODUCT((MOVIMIENTOS!$B$5:$B$1005="ENVÍO A SUPESA")*(MOVIMIENTOS!$C$5:$C$1005="A")*(MOVIMIENTOS!$D$5:$D$1005="jabas")*(MOVIMIENTOS!$A$5:$A$1005&lt;&gt;"")*(MOVIMIENTOS!$A$5:$A$1005&lt;=$A906)*MOVIMIENTOS!$E$5:$E$1005)+SUMPRODUCT((MOVIMIENTOS!$B$5:$B$1005="DEVOLUCIÓN")*(MOVIMIENTOS!$C$5:$C$1005="A")*(MOVIMIENTOS!$D$5:$D$1005="jabas")*(MOVIMIENTOS!$A$5:$A$1005&lt;&gt;"")*(MOVIMIENTOS!$A$5:$A$1005&lt;=$A906)*MOVIMIENTOS!$E$5:$E$1005)-SUMPRODUCT((MOVIMIENTOS!$B$5:$B$1005="TRASIEGO")*(MOVIMIENTOS!$C$5:$C$1005="A")*(MOVIMIENTOS!$D$5:$D$1005="jabas")*(MOVIMIENTOS!$A$5:$A$1005&lt;&gt;"")*(MOVIMIENTOS!$A$5:$A$1005&lt;=$A906)*MOVIMIENTOS!$E$5:$E$1005)-SUMPRODUCT((MOVIMIENTOS!$B$5:$B$1005="REGALO")*(MOVIMIENTOS!$C$5:$C$1005="A")*(MOVIMIENTOS!$D$5:$D$1005="jabas")*(MOVIMIENTOS!$A$5:$A$1005&lt;&gt;"")*(MOVIMIENTOS!$A$5:$A$1005&lt;=$A906)*MOVIMIENTOS!$E$5:$E$1005)-SUMPRODUCT((MOVIMIENTOS!$B$5:$B$1005="VENTA")*(MOVIMIENTOS!$C$5:$C$1005="A")*(MOVIMIENTOS!$D$5:$D$1005="jabas")*(MOVIMIENTOS!$A$5:$A$1005&lt;&gt;"")*(MOVIMIENTOS!$A$5:$A$1005&lt;=$A906)*MOVIMIENTOS!$E$5:$E$1005)+SUMPRODUCT((MOVIMIENTOS!$B$5:$B$1005="AJUSTE")*(MOVIMIENTOS!$C$5:$C$1005="A")*(MOVIMIENTOS!$D$5:$D$1005="jabas")*(MOVIMIENTOS!$A$5:$A$1005&lt;&gt;"")*(MOVIMIENTOS!$A$5:$A$1005&lt;=$A906)*MOVIMIENTOS!$E$5:$E$1005))</f>
        <v/>
      </c>
      <c r="C906" t="str">
        <f>IF($A906="","",SUMPRODUCT((MOVIMIENTOS!$B$5:$B$1005="SALDO INICIAL")*(MOVIMIENTOS!$C$5:$C$1005="P")*(MOVIMIENTOS!$D$5:$D$1005="jabas")*(MOVIMIENTOS!$A$5:$A$1005&lt;&gt;"")*(MOVIMIENTOS!$A$5:$A$1005&lt;=$A906)*MOVIMIENTOS!$E$5:$E$1005)+SUMPRODUCT((MOVIMIENTOS!$B$5:$B$1005="PROCESO")*(MOVIMIENTOS!$C$5:$C$1005="P")*(MOVIMIENTOS!$D$5:$D$1005="jabas")*(MOVIMIENTOS!$A$5:$A$1005&lt;&gt;"")*(MOVIMIENTOS!$A$5:$A$1005&lt;=$A906)*MOVIMIENTOS!$E$5:$E$1005)-SUMPRODUCT((MOVIMIENTOS!$B$5:$B$1005="ENVÍO A SUPESA")*(MOVIMIENTOS!$C$5:$C$1005="P")*(MOVIMIENTOS!$D$5:$D$1005="jabas")*(MOVIMIENTOS!$A$5:$A$1005&lt;&gt;"")*(MOVIMIENTOS!$A$5:$A$1005&lt;=$A906)*MOVIMIENTOS!$E$5:$E$1005)+SUMPRODUCT((MOVIMIENTOS!$B$5:$B$1005="DEVOLUCIÓN")*(MOVIMIENTOS!$C$5:$C$1005="P")*(MOVIMIENTOS!$D$5:$D$1005="jabas")*(MOVIMIENTOS!$A$5:$A$1005&lt;&gt;"")*(MOVIMIENTOS!$A$5:$A$1005&lt;=$A906)*MOVIMIENTOS!$E$5:$E$1005)-SUMPRODUCT((MOVIMIENTOS!$B$5:$B$1005="TRASIEGO")*(MOVIMIENTOS!$C$5:$C$1005="P")*(MOVIMIENTOS!$D$5:$D$1005="jabas")*(MOVIMIENTOS!$A$5:$A$1005&lt;&gt;"")*(MOVIMIENTOS!$A$5:$A$1005&lt;=$A906)*MOVIMIENTOS!$E$5:$E$1005)-SUMPRODUCT((MOVIMIENTOS!$B$5:$B$1005="REGALO")*(MOVIMIENTOS!$C$5:$C$1005="P")*(MOVIMIENTOS!$D$5:$D$1005="jabas")*(MOVIMIENTOS!$A$5:$A$1005&lt;&gt;"")*(MOVIMIENTOS!$A$5:$A$1005&lt;=$A906)*MOVIMIENTOS!$E$5:$E$1005)-SUMPRODUCT((MOVIMIENTOS!$B$5:$B$1005="VENTA")*(MOVIMIENTOS!$C$5:$C$1005="P")*(MOVIMIENTOS!$D$5:$D$1005="jabas")*(MOVIMIENTOS!$A$5:$A$1005&lt;&gt;"")*(MOVIMIENTOS!$A$5:$A$1005&lt;=$A906)*MOVIMIENTOS!$E$5:$E$1005)+SUMPRODUCT((MOVIMIENTOS!$B$5:$B$1005="AJUSTE")*(MOVIMIENTOS!$C$5:$C$1005="P")*(MOVIMIENTOS!$D$5:$D$1005="jabas")*(MOVIMIENTOS!$A$5:$A$1005&lt;&gt;"")*(MOVIMIENTOS!$A$5:$A$1005&lt;=$A906)*MOVIMIENTOS!$E$5:$E$1005))</f>
        <v/>
      </c>
      <c r="D906" t="str">
        <f>IF($A906="","",SUMPRODUCT((MOVIMIENTOS!$B$5:$B$1005="SALDO INICIAL")*(MOVIMIENTOS!$C$5:$C$1005="C")*(MOVIMIENTOS!$D$5:$D$1005="jabas")*(MOVIMIENTOS!$A$5:$A$1005&lt;&gt;"")*(MOVIMIENTOS!$A$5:$A$1005&lt;=$A906)*MOVIMIENTOS!$E$5:$E$1005)+SUMPRODUCT((MOVIMIENTOS!$B$5:$B$1005="PROCESO")*(MOVIMIENTOS!$C$5:$C$1005="C")*(MOVIMIENTOS!$D$5:$D$1005="jabas")*(MOVIMIENTOS!$A$5:$A$1005&lt;&gt;"")*(MOVIMIENTOS!$A$5:$A$1005&lt;=$A906)*MOVIMIENTOS!$E$5:$E$1005)-SUMPRODUCT((MOVIMIENTOS!$B$5:$B$1005="ENVÍO A SUPESA")*(MOVIMIENTOS!$C$5:$C$1005="C")*(MOVIMIENTOS!$D$5:$D$1005="jabas")*(MOVIMIENTOS!$A$5:$A$1005&lt;&gt;"")*(MOVIMIENTOS!$A$5:$A$1005&lt;=$A906)*MOVIMIENTOS!$E$5:$E$1005)+SUMPRODUCT((MOVIMIENTOS!$B$5:$B$1005="DEVOLUCIÓN")*(MOVIMIENTOS!$C$5:$C$1005="C")*(MOVIMIENTOS!$D$5:$D$1005="jabas")*(MOVIMIENTOS!$A$5:$A$1005&lt;&gt;"")*(MOVIMIENTOS!$A$5:$A$1005&lt;=$A906)*MOVIMIENTOS!$E$5:$E$1005)-SUMPRODUCT((MOVIMIENTOS!$B$5:$B$1005="TRASIEGO")*(MOVIMIENTOS!$C$5:$C$1005="C")*(MOVIMIENTOS!$D$5:$D$1005="jabas")*(MOVIMIENTOS!$A$5:$A$1005&lt;&gt;"")*(MOVIMIENTOS!$A$5:$A$1005&lt;=$A906)*MOVIMIENTOS!$E$5:$E$1005)-SUMPRODUCT((MOVIMIENTOS!$B$5:$B$1005="REGALO")*(MOVIMIENTOS!$C$5:$C$1005="C")*(MOVIMIENTOS!$D$5:$D$1005="jabas")*(MOVIMIENTOS!$A$5:$A$1005&lt;&gt;"")*(MOVIMIENTOS!$A$5:$A$1005&lt;=$A906)*MOVIMIENTOS!$E$5:$E$1005)-SUMPRODUCT((MOVIMIENTOS!$B$5:$B$1005="VENTA")*(MOVIMIENTOS!$C$5:$C$1005="C")*(MOVIMIENTOS!$D$5:$D$1005="jabas")*(MOVIMIENTOS!$A$5:$A$1005&lt;&gt;"")*(MOVIMIENTOS!$A$5:$A$1005&lt;=$A906)*MOVIMIENTOS!$E$5:$E$1005)+SUMPRODUCT((MOVIMIENTOS!$B$5:$B$1005="AJUSTE")*(MOVIMIENTOS!$C$5:$C$1005="C")*(MOVIMIENTOS!$D$5:$D$1005="jabas")*(MOVIMIENTOS!$A$5:$A$1005&lt;&gt;"")*(MOVIMIENTOS!$A$5:$A$1005&lt;=$A906)*MOVIMIENTOS!$E$5:$E$1005))</f>
        <v/>
      </c>
      <c r="E906" t="str">
        <f>IF($A906="","",SUMPRODUCT((MOVIMIENTOS!$B$5:$B$1005="SALDO INICIAL")*(MOVIMIENTOS!$C$5:$C$1005="M")*(MOVIMIENTOS!$D$5:$D$1005="jabas")*(MOVIMIENTOS!$A$5:$A$1005&lt;&gt;"")*(MOVIMIENTOS!$A$5:$A$1005&lt;=$A906)*MOVIMIENTOS!$E$5:$E$1005)+SUMPRODUCT((MOVIMIENTOS!$B$5:$B$1005="PROCESO")*(MOVIMIENTOS!$C$5:$C$1005="M")*(MOVIMIENTOS!$D$5:$D$1005="jabas")*(MOVIMIENTOS!$A$5:$A$1005&lt;&gt;"")*(MOVIMIENTOS!$A$5:$A$1005&lt;=$A906)*MOVIMIENTOS!$E$5:$E$1005)-SUMPRODUCT((MOVIMIENTOS!$B$5:$B$1005="ENVÍO A SUPESA")*(MOVIMIENTOS!$C$5:$C$1005="M")*(MOVIMIENTOS!$D$5:$D$1005="jabas")*(MOVIMIENTOS!$A$5:$A$1005&lt;&gt;"")*(MOVIMIENTOS!$A$5:$A$1005&lt;=$A906)*MOVIMIENTOS!$E$5:$E$1005)+SUMPRODUCT((MOVIMIENTOS!$B$5:$B$1005="DEVOLUCIÓN")*(MOVIMIENTOS!$C$5:$C$1005="M")*(MOVIMIENTOS!$D$5:$D$1005="jabas")*(MOVIMIENTOS!$A$5:$A$1005&lt;&gt;"")*(MOVIMIENTOS!$A$5:$A$1005&lt;=$A906)*MOVIMIENTOS!$E$5:$E$1005)-SUMPRODUCT((MOVIMIENTOS!$B$5:$B$1005="TRASIEGO")*(MOVIMIENTOS!$C$5:$C$1005="M")*(MOVIMIENTOS!$D$5:$D$1005="jabas")*(MOVIMIENTOS!$A$5:$A$1005&lt;&gt;"")*(MOVIMIENTOS!$A$5:$A$1005&lt;=$A906)*MOVIMIENTOS!$E$5:$E$1005)-SUMPRODUCT((MOVIMIENTOS!$B$5:$B$1005="REGALO")*(MOVIMIENTOS!$C$5:$C$1005="M")*(MOVIMIENTOS!$D$5:$D$1005="jabas")*(MOVIMIENTOS!$A$5:$A$1005&lt;&gt;"")*(MOVIMIENTOS!$A$5:$A$1005&lt;=$A906)*MOVIMIENTOS!$E$5:$E$1005)-SUMPRODUCT((MOVIMIENTOS!$B$5:$B$1005="VENTA")*(MOVIMIENTOS!$C$5:$C$1005="M")*(MOVIMIENTOS!$D$5:$D$1005="jabas")*(MOVIMIENTOS!$A$5:$A$1005&lt;&gt;"")*(MOVIMIENTOS!$A$5:$A$1005&lt;=$A906)*MOVIMIENTOS!$E$5:$E$1005)+SUMPRODUCT((MOVIMIENTOS!$B$5:$B$1005="AJUSTE")*(MOVIMIENTOS!$C$5:$C$1005="M")*(MOVIMIENTOS!$D$5:$D$1005="jabas")*(MOVIMIENTOS!$A$5:$A$1005&lt;&gt;"")*(MOVIMIENTOS!$A$5:$A$1005&lt;=$A906)*MOVIMIENTOS!$E$5:$E$1005))</f>
        <v/>
      </c>
      <c r="F906" s="62" t="str">
        <f>IF($A906="","",SUMPRODUCT((MOVIMIENTOS!$B$5:$B$1005="SALDO INICIAL")*(MOVIMIENTOS!$C$5:$C$1005="Chancho")*(MOVIMIENTOS!$D$5:$D$1005="sacos")*(MOVIMIENTOS!$A$5:$A$1005&lt;&gt;"")*(MOVIMIENTOS!$A$5:$A$1005&lt;=$A906)*MOVIMIENTOS!$E$5:$E$1005)+SUMPRODUCT((MOVIMIENTOS!$B$5:$B$1005="PROCESO")*(MOVIMIENTOS!$C$5:$C$1005="Chancho")*(MOVIMIENTOS!$D$5:$D$1005="sacos")*(MOVIMIENTOS!$A$5:$A$1005&lt;&gt;"")*(MOVIMIENTOS!$A$5:$A$1005&lt;=$A906)*MOVIMIENTOS!$E$5:$E$1005)-SUMPRODUCT((MOVIMIENTOS!$B$5:$B$1005="VENTA CHANCHO")*(MOVIMIENTOS!$C$5:$C$1005="Chancho")*(MOVIMIENTOS!$D$5:$D$1005="sacos")*(MOVIMIENTOS!$A$5:$A$1005&lt;&gt;"")*(MOVIMIENTOS!$A$5:$A$1005&lt;=$A906)*MOVIMIENTOS!$E$5:$E$1005)-SUMPRODUCT((MOVIMIENTOS!$B$5:$B$1005="REGALO")*(MOVIMIENTOS!$C$5:$C$1005="Chancho")*(MOVIMIENTOS!$D$5:$D$1005="sacos")*(MOVIMIENTOS!$A$5:$A$1005&lt;&gt;"")*(MOVIMIENTOS!$A$5:$A$1005&lt;=$A906)*MOVIMIENTOS!$E$5:$E$1005)-SUMPRODUCT((MOVIMIENTOS!$B$5:$B$1005="VENTA")*(MOVIMIENTOS!$C$5:$C$1005="Chancho")*(MOVIMIENTOS!$D$5:$D$1005="sacos")*(MOVIMIENTOS!$A$5:$A$1005&lt;&gt;"")*(MOVIMIENTOS!$A$5:$A$1005&lt;=$A906)*MOVIMIENTOS!$E$5:$E$1005)+SUMPRODUCT((MOVIMIENTOS!$B$5:$B$1005="AJUSTE")*(MOVIMIENTOS!$C$5:$C$1005="Chancho")*(MOVIMIENTOS!$D$5:$D$1005="sacos")*(MOVIMIENTOS!$A$5:$A$1005&lt;&gt;"")*(MOVIMIENTOS!$A$5:$A$1005&lt;=$A906)*MOVIMIENTOS!$E$5:$E$1005))</f>
        <v/>
      </c>
      <c r="G906" s="62" t="str">
        <f t="shared" si="29"/>
        <v/>
      </c>
      <c r="H906" t="str">
        <f>IF($A906="","",SUMPRODUCT((((MOVIMIENTOS!$B$5:$B$1005="SALDO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906)*MOVIMIENTOS!$J$5:$J$1005))</f>
        <v/>
      </c>
      <c r="J906" t="str">
        <f>IF(AND(MOVIMIENTOS!$A911&lt;&gt;"",COUNTIF(MOVIMIENTOS!$A$5:$A910,MOVIMIENTOS!$A911)=0),COUNT(J$4:J905)+1,"")</f>
        <v/>
      </c>
      <c r="K906">
        <f>MOVIMIENTOS!$A911</f>
        <v>0</v>
      </c>
    </row>
    <row r="907" spans="1:11" ht="15" customHeight="1" x14ac:dyDescent="0.2">
      <c r="A907" t="str">
        <f t="shared" si="28"/>
        <v/>
      </c>
      <c r="B907" t="str">
        <f>IF($A907="","",SUMPRODUCT((MOVIMIENTOS!$B$5:$B$1005="SALDO INICIAL")*(MOVIMIENTOS!$C$5:$C$1005="A")*(MOVIMIENTOS!$D$5:$D$1005="jabas")*(MOVIMIENTOS!$A$5:$A$1005&lt;&gt;"")*(MOVIMIENTOS!$A$5:$A$1005&lt;=$A907)*MOVIMIENTOS!$E$5:$E$1005)+SUMPRODUCT((MOVIMIENTOS!$B$5:$B$1005="PROCESO")*(MOVIMIENTOS!$C$5:$C$1005="A")*(MOVIMIENTOS!$D$5:$D$1005="jabas")*(MOVIMIENTOS!$A$5:$A$1005&lt;&gt;"")*(MOVIMIENTOS!$A$5:$A$1005&lt;=$A907)*MOVIMIENTOS!$E$5:$E$1005)-SUMPRODUCT((MOVIMIENTOS!$B$5:$B$1005="ENVÍO A SUPESA")*(MOVIMIENTOS!$C$5:$C$1005="A")*(MOVIMIENTOS!$D$5:$D$1005="jabas")*(MOVIMIENTOS!$A$5:$A$1005&lt;&gt;"")*(MOVIMIENTOS!$A$5:$A$1005&lt;=$A907)*MOVIMIENTOS!$E$5:$E$1005)+SUMPRODUCT((MOVIMIENTOS!$B$5:$B$1005="DEVOLUCIÓN")*(MOVIMIENTOS!$C$5:$C$1005="A")*(MOVIMIENTOS!$D$5:$D$1005="jabas")*(MOVIMIENTOS!$A$5:$A$1005&lt;&gt;"")*(MOVIMIENTOS!$A$5:$A$1005&lt;=$A907)*MOVIMIENTOS!$E$5:$E$1005)-SUMPRODUCT((MOVIMIENTOS!$B$5:$B$1005="TRASIEGO")*(MOVIMIENTOS!$C$5:$C$1005="A")*(MOVIMIENTOS!$D$5:$D$1005="jabas")*(MOVIMIENTOS!$A$5:$A$1005&lt;&gt;"")*(MOVIMIENTOS!$A$5:$A$1005&lt;=$A907)*MOVIMIENTOS!$E$5:$E$1005)-SUMPRODUCT((MOVIMIENTOS!$B$5:$B$1005="REGALO")*(MOVIMIENTOS!$C$5:$C$1005="A")*(MOVIMIENTOS!$D$5:$D$1005="jabas")*(MOVIMIENTOS!$A$5:$A$1005&lt;&gt;"")*(MOVIMIENTOS!$A$5:$A$1005&lt;=$A907)*MOVIMIENTOS!$E$5:$E$1005)-SUMPRODUCT((MOVIMIENTOS!$B$5:$B$1005="VENTA")*(MOVIMIENTOS!$C$5:$C$1005="A")*(MOVIMIENTOS!$D$5:$D$1005="jabas")*(MOVIMIENTOS!$A$5:$A$1005&lt;&gt;"")*(MOVIMIENTOS!$A$5:$A$1005&lt;=$A907)*MOVIMIENTOS!$E$5:$E$1005)+SUMPRODUCT((MOVIMIENTOS!$B$5:$B$1005="AJUSTE")*(MOVIMIENTOS!$C$5:$C$1005="A")*(MOVIMIENTOS!$D$5:$D$1005="jabas")*(MOVIMIENTOS!$A$5:$A$1005&lt;&gt;"")*(MOVIMIENTOS!$A$5:$A$1005&lt;=$A907)*MOVIMIENTOS!$E$5:$E$1005))</f>
        <v/>
      </c>
      <c r="C907" t="str">
        <f>IF($A907="","",SUMPRODUCT((MOVIMIENTOS!$B$5:$B$1005="SALDO INICIAL")*(MOVIMIENTOS!$C$5:$C$1005="P")*(MOVIMIENTOS!$D$5:$D$1005="jabas")*(MOVIMIENTOS!$A$5:$A$1005&lt;&gt;"")*(MOVIMIENTOS!$A$5:$A$1005&lt;=$A907)*MOVIMIENTOS!$E$5:$E$1005)+SUMPRODUCT((MOVIMIENTOS!$B$5:$B$1005="PROCESO")*(MOVIMIENTOS!$C$5:$C$1005="P")*(MOVIMIENTOS!$D$5:$D$1005="jabas")*(MOVIMIENTOS!$A$5:$A$1005&lt;&gt;"")*(MOVIMIENTOS!$A$5:$A$1005&lt;=$A907)*MOVIMIENTOS!$E$5:$E$1005)-SUMPRODUCT((MOVIMIENTOS!$B$5:$B$1005="ENVÍO A SUPESA")*(MOVIMIENTOS!$C$5:$C$1005="P")*(MOVIMIENTOS!$D$5:$D$1005="jabas")*(MOVIMIENTOS!$A$5:$A$1005&lt;&gt;"")*(MOVIMIENTOS!$A$5:$A$1005&lt;=$A907)*MOVIMIENTOS!$E$5:$E$1005)+SUMPRODUCT((MOVIMIENTOS!$B$5:$B$1005="DEVOLUCIÓN")*(MOVIMIENTOS!$C$5:$C$1005="P")*(MOVIMIENTOS!$D$5:$D$1005="jabas")*(MOVIMIENTOS!$A$5:$A$1005&lt;&gt;"")*(MOVIMIENTOS!$A$5:$A$1005&lt;=$A907)*MOVIMIENTOS!$E$5:$E$1005)-SUMPRODUCT((MOVIMIENTOS!$B$5:$B$1005="TRASIEGO")*(MOVIMIENTOS!$C$5:$C$1005="P")*(MOVIMIENTOS!$D$5:$D$1005="jabas")*(MOVIMIENTOS!$A$5:$A$1005&lt;&gt;"")*(MOVIMIENTOS!$A$5:$A$1005&lt;=$A907)*MOVIMIENTOS!$E$5:$E$1005)-SUMPRODUCT((MOVIMIENTOS!$B$5:$B$1005="REGALO")*(MOVIMIENTOS!$C$5:$C$1005="P")*(MOVIMIENTOS!$D$5:$D$1005="jabas")*(MOVIMIENTOS!$A$5:$A$1005&lt;&gt;"")*(MOVIMIENTOS!$A$5:$A$1005&lt;=$A907)*MOVIMIENTOS!$E$5:$E$1005)-SUMPRODUCT((MOVIMIENTOS!$B$5:$B$1005="VENTA")*(MOVIMIENTOS!$C$5:$C$1005="P")*(MOVIMIENTOS!$D$5:$D$1005="jabas")*(MOVIMIENTOS!$A$5:$A$1005&lt;&gt;"")*(MOVIMIENTOS!$A$5:$A$1005&lt;=$A907)*MOVIMIENTOS!$E$5:$E$1005)+SUMPRODUCT((MOVIMIENTOS!$B$5:$B$1005="AJUSTE")*(MOVIMIENTOS!$C$5:$C$1005="P")*(MOVIMIENTOS!$D$5:$D$1005="jabas")*(MOVIMIENTOS!$A$5:$A$1005&lt;&gt;"")*(MOVIMIENTOS!$A$5:$A$1005&lt;=$A907)*MOVIMIENTOS!$E$5:$E$1005))</f>
        <v/>
      </c>
      <c r="D907" t="str">
        <f>IF($A907="","",SUMPRODUCT((MOVIMIENTOS!$B$5:$B$1005="SALDO INICIAL")*(MOVIMIENTOS!$C$5:$C$1005="C")*(MOVIMIENTOS!$D$5:$D$1005="jabas")*(MOVIMIENTOS!$A$5:$A$1005&lt;&gt;"")*(MOVIMIENTOS!$A$5:$A$1005&lt;=$A907)*MOVIMIENTOS!$E$5:$E$1005)+SUMPRODUCT((MOVIMIENTOS!$B$5:$B$1005="PROCESO")*(MOVIMIENTOS!$C$5:$C$1005="C")*(MOVIMIENTOS!$D$5:$D$1005="jabas")*(MOVIMIENTOS!$A$5:$A$1005&lt;&gt;"")*(MOVIMIENTOS!$A$5:$A$1005&lt;=$A907)*MOVIMIENTOS!$E$5:$E$1005)-SUMPRODUCT((MOVIMIENTOS!$B$5:$B$1005="ENVÍO A SUPESA")*(MOVIMIENTOS!$C$5:$C$1005="C")*(MOVIMIENTOS!$D$5:$D$1005="jabas")*(MOVIMIENTOS!$A$5:$A$1005&lt;&gt;"")*(MOVIMIENTOS!$A$5:$A$1005&lt;=$A907)*MOVIMIENTOS!$E$5:$E$1005)+SUMPRODUCT((MOVIMIENTOS!$B$5:$B$1005="DEVOLUCIÓN")*(MOVIMIENTOS!$C$5:$C$1005="C")*(MOVIMIENTOS!$D$5:$D$1005="jabas")*(MOVIMIENTOS!$A$5:$A$1005&lt;&gt;"")*(MOVIMIENTOS!$A$5:$A$1005&lt;=$A907)*MOVIMIENTOS!$E$5:$E$1005)-SUMPRODUCT((MOVIMIENTOS!$B$5:$B$1005="TRASIEGO")*(MOVIMIENTOS!$C$5:$C$1005="C")*(MOVIMIENTOS!$D$5:$D$1005="jabas")*(MOVIMIENTOS!$A$5:$A$1005&lt;&gt;"")*(MOVIMIENTOS!$A$5:$A$1005&lt;=$A907)*MOVIMIENTOS!$E$5:$E$1005)-SUMPRODUCT((MOVIMIENTOS!$B$5:$B$1005="REGALO")*(MOVIMIENTOS!$C$5:$C$1005="C")*(MOVIMIENTOS!$D$5:$D$1005="jabas")*(MOVIMIENTOS!$A$5:$A$1005&lt;&gt;"")*(MOVIMIENTOS!$A$5:$A$1005&lt;=$A907)*MOVIMIENTOS!$E$5:$E$1005)-SUMPRODUCT((MOVIMIENTOS!$B$5:$B$1005="VENTA")*(MOVIMIENTOS!$C$5:$C$1005="C")*(MOVIMIENTOS!$D$5:$D$1005="jabas")*(MOVIMIENTOS!$A$5:$A$1005&lt;&gt;"")*(MOVIMIENTOS!$A$5:$A$1005&lt;=$A907)*MOVIMIENTOS!$E$5:$E$1005)+SUMPRODUCT((MOVIMIENTOS!$B$5:$B$1005="AJUSTE")*(MOVIMIENTOS!$C$5:$C$1005="C")*(MOVIMIENTOS!$D$5:$D$1005="jabas")*(MOVIMIENTOS!$A$5:$A$1005&lt;&gt;"")*(MOVIMIENTOS!$A$5:$A$1005&lt;=$A907)*MOVIMIENTOS!$E$5:$E$1005))</f>
        <v/>
      </c>
      <c r="E907" t="str">
        <f>IF($A907="","",SUMPRODUCT((MOVIMIENTOS!$B$5:$B$1005="SALDO INICIAL")*(MOVIMIENTOS!$C$5:$C$1005="M")*(MOVIMIENTOS!$D$5:$D$1005="jabas")*(MOVIMIENTOS!$A$5:$A$1005&lt;&gt;"")*(MOVIMIENTOS!$A$5:$A$1005&lt;=$A907)*MOVIMIENTOS!$E$5:$E$1005)+SUMPRODUCT((MOVIMIENTOS!$B$5:$B$1005="PROCESO")*(MOVIMIENTOS!$C$5:$C$1005="M")*(MOVIMIENTOS!$D$5:$D$1005="jabas")*(MOVIMIENTOS!$A$5:$A$1005&lt;&gt;"")*(MOVIMIENTOS!$A$5:$A$1005&lt;=$A907)*MOVIMIENTOS!$E$5:$E$1005)-SUMPRODUCT((MOVIMIENTOS!$B$5:$B$1005="ENVÍO A SUPESA")*(MOVIMIENTOS!$C$5:$C$1005="M")*(MOVIMIENTOS!$D$5:$D$1005="jabas")*(MOVIMIENTOS!$A$5:$A$1005&lt;&gt;"")*(MOVIMIENTOS!$A$5:$A$1005&lt;=$A907)*MOVIMIENTOS!$E$5:$E$1005)+SUMPRODUCT((MOVIMIENTOS!$B$5:$B$1005="DEVOLUCIÓN")*(MOVIMIENTOS!$C$5:$C$1005="M")*(MOVIMIENTOS!$D$5:$D$1005="jabas")*(MOVIMIENTOS!$A$5:$A$1005&lt;&gt;"")*(MOVIMIENTOS!$A$5:$A$1005&lt;=$A907)*MOVIMIENTOS!$E$5:$E$1005)-SUMPRODUCT((MOVIMIENTOS!$B$5:$B$1005="TRASIEGO")*(MOVIMIENTOS!$C$5:$C$1005="M")*(MOVIMIENTOS!$D$5:$D$1005="jabas")*(MOVIMIENTOS!$A$5:$A$1005&lt;&gt;"")*(MOVIMIENTOS!$A$5:$A$1005&lt;=$A907)*MOVIMIENTOS!$E$5:$E$1005)-SUMPRODUCT((MOVIMIENTOS!$B$5:$B$1005="REGALO")*(MOVIMIENTOS!$C$5:$C$1005="M")*(MOVIMIENTOS!$D$5:$D$1005="jabas")*(MOVIMIENTOS!$A$5:$A$1005&lt;&gt;"")*(MOVIMIENTOS!$A$5:$A$1005&lt;=$A907)*MOVIMIENTOS!$E$5:$E$1005)-SUMPRODUCT((MOVIMIENTOS!$B$5:$B$1005="VENTA")*(MOVIMIENTOS!$C$5:$C$1005="M")*(MOVIMIENTOS!$D$5:$D$1005="jabas")*(MOVIMIENTOS!$A$5:$A$1005&lt;&gt;"")*(MOVIMIENTOS!$A$5:$A$1005&lt;=$A907)*MOVIMIENTOS!$E$5:$E$1005)+SUMPRODUCT((MOVIMIENTOS!$B$5:$B$1005="AJUSTE")*(MOVIMIENTOS!$C$5:$C$1005="M")*(MOVIMIENTOS!$D$5:$D$1005="jabas")*(MOVIMIENTOS!$A$5:$A$1005&lt;&gt;"")*(MOVIMIENTOS!$A$5:$A$1005&lt;=$A907)*MOVIMIENTOS!$E$5:$E$1005))</f>
        <v/>
      </c>
      <c r="F907" s="62" t="str">
        <f>IF($A907="","",SUMPRODUCT((MOVIMIENTOS!$B$5:$B$1005="SALDO INICIAL")*(MOVIMIENTOS!$C$5:$C$1005="Chancho")*(MOVIMIENTOS!$D$5:$D$1005="sacos")*(MOVIMIENTOS!$A$5:$A$1005&lt;&gt;"")*(MOVIMIENTOS!$A$5:$A$1005&lt;=$A907)*MOVIMIENTOS!$E$5:$E$1005)+SUMPRODUCT((MOVIMIENTOS!$B$5:$B$1005="PROCESO")*(MOVIMIENTOS!$C$5:$C$1005="Chancho")*(MOVIMIENTOS!$D$5:$D$1005="sacos")*(MOVIMIENTOS!$A$5:$A$1005&lt;&gt;"")*(MOVIMIENTOS!$A$5:$A$1005&lt;=$A907)*MOVIMIENTOS!$E$5:$E$1005)-SUMPRODUCT((MOVIMIENTOS!$B$5:$B$1005="VENTA CHANCHO")*(MOVIMIENTOS!$C$5:$C$1005="Chancho")*(MOVIMIENTOS!$D$5:$D$1005="sacos")*(MOVIMIENTOS!$A$5:$A$1005&lt;&gt;"")*(MOVIMIENTOS!$A$5:$A$1005&lt;=$A907)*MOVIMIENTOS!$E$5:$E$1005)-SUMPRODUCT((MOVIMIENTOS!$B$5:$B$1005="REGALO")*(MOVIMIENTOS!$C$5:$C$1005="Chancho")*(MOVIMIENTOS!$D$5:$D$1005="sacos")*(MOVIMIENTOS!$A$5:$A$1005&lt;&gt;"")*(MOVIMIENTOS!$A$5:$A$1005&lt;=$A907)*MOVIMIENTOS!$E$5:$E$1005)-SUMPRODUCT((MOVIMIENTOS!$B$5:$B$1005="VENTA")*(MOVIMIENTOS!$C$5:$C$1005="Chancho")*(MOVIMIENTOS!$D$5:$D$1005="sacos")*(MOVIMIENTOS!$A$5:$A$1005&lt;&gt;"")*(MOVIMIENTOS!$A$5:$A$1005&lt;=$A907)*MOVIMIENTOS!$E$5:$E$1005)+SUMPRODUCT((MOVIMIENTOS!$B$5:$B$1005="AJUSTE")*(MOVIMIENTOS!$C$5:$C$1005="Chancho")*(MOVIMIENTOS!$D$5:$D$1005="sacos")*(MOVIMIENTOS!$A$5:$A$1005&lt;&gt;"")*(MOVIMIENTOS!$A$5:$A$1005&lt;=$A907)*MOVIMIENTOS!$E$5:$E$1005))</f>
        <v/>
      </c>
      <c r="G907" s="62" t="str">
        <f t="shared" si="29"/>
        <v/>
      </c>
      <c r="H907" t="str">
        <f>IF($A907="","",SUMPRODUCT((((MOVIMIENTOS!$B$5:$B$1005="SALDO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907)*MOVIMIENTOS!$J$5:$J$1005))</f>
        <v/>
      </c>
      <c r="J907" t="str">
        <f>IF(AND(MOVIMIENTOS!$A912&lt;&gt;"",COUNTIF(MOVIMIENTOS!$A$5:$A911,MOVIMIENTOS!$A912)=0),COUNT(J$4:J906)+1,"")</f>
        <v/>
      </c>
      <c r="K907">
        <f>MOVIMIENTOS!$A912</f>
        <v>0</v>
      </c>
    </row>
    <row r="908" spans="1:11" ht="15" customHeight="1" x14ac:dyDescent="0.2">
      <c r="A908" t="str">
        <f t="shared" si="28"/>
        <v/>
      </c>
      <c r="B908" t="str">
        <f>IF($A908="","",SUMPRODUCT((MOVIMIENTOS!$B$5:$B$1005="SALDO INICIAL")*(MOVIMIENTOS!$C$5:$C$1005="A")*(MOVIMIENTOS!$D$5:$D$1005="jabas")*(MOVIMIENTOS!$A$5:$A$1005&lt;&gt;"")*(MOVIMIENTOS!$A$5:$A$1005&lt;=$A908)*MOVIMIENTOS!$E$5:$E$1005)+SUMPRODUCT((MOVIMIENTOS!$B$5:$B$1005="PROCESO")*(MOVIMIENTOS!$C$5:$C$1005="A")*(MOVIMIENTOS!$D$5:$D$1005="jabas")*(MOVIMIENTOS!$A$5:$A$1005&lt;&gt;"")*(MOVIMIENTOS!$A$5:$A$1005&lt;=$A908)*MOVIMIENTOS!$E$5:$E$1005)-SUMPRODUCT((MOVIMIENTOS!$B$5:$B$1005="ENVÍO A SUPESA")*(MOVIMIENTOS!$C$5:$C$1005="A")*(MOVIMIENTOS!$D$5:$D$1005="jabas")*(MOVIMIENTOS!$A$5:$A$1005&lt;&gt;"")*(MOVIMIENTOS!$A$5:$A$1005&lt;=$A908)*MOVIMIENTOS!$E$5:$E$1005)+SUMPRODUCT((MOVIMIENTOS!$B$5:$B$1005="DEVOLUCIÓN")*(MOVIMIENTOS!$C$5:$C$1005="A")*(MOVIMIENTOS!$D$5:$D$1005="jabas")*(MOVIMIENTOS!$A$5:$A$1005&lt;&gt;"")*(MOVIMIENTOS!$A$5:$A$1005&lt;=$A908)*MOVIMIENTOS!$E$5:$E$1005)-SUMPRODUCT((MOVIMIENTOS!$B$5:$B$1005="TRASIEGO")*(MOVIMIENTOS!$C$5:$C$1005="A")*(MOVIMIENTOS!$D$5:$D$1005="jabas")*(MOVIMIENTOS!$A$5:$A$1005&lt;&gt;"")*(MOVIMIENTOS!$A$5:$A$1005&lt;=$A908)*MOVIMIENTOS!$E$5:$E$1005)-SUMPRODUCT((MOVIMIENTOS!$B$5:$B$1005="REGALO")*(MOVIMIENTOS!$C$5:$C$1005="A")*(MOVIMIENTOS!$D$5:$D$1005="jabas")*(MOVIMIENTOS!$A$5:$A$1005&lt;&gt;"")*(MOVIMIENTOS!$A$5:$A$1005&lt;=$A908)*MOVIMIENTOS!$E$5:$E$1005)-SUMPRODUCT((MOVIMIENTOS!$B$5:$B$1005="VENTA")*(MOVIMIENTOS!$C$5:$C$1005="A")*(MOVIMIENTOS!$D$5:$D$1005="jabas")*(MOVIMIENTOS!$A$5:$A$1005&lt;&gt;"")*(MOVIMIENTOS!$A$5:$A$1005&lt;=$A908)*MOVIMIENTOS!$E$5:$E$1005)+SUMPRODUCT((MOVIMIENTOS!$B$5:$B$1005="AJUSTE")*(MOVIMIENTOS!$C$5:$C$1005="A")*(MOVIMIENTOS!$D$5:$D$1005="jabas")*(MOVIMIENTOS!$A$5:$A$1005&lt;&gt;"")*(MOVIMIENTOS!$A$5:$A$1005&lt;=$A908)*MOVIMIENTOS!$E$5:$E$1005))</f>
        <v/>
      </c>
      <c r="C908" t="str">
        <f>IF($A908="","",SUMPRODUCT((MOVIMIENTOS!$B$5:$B$1005="SALDO INICIAL")*(MOVIMIENTOS!$C$5:$C$1005="P")*(MOVIMIENTOS!$D$5:$D$1005="jabas")*(MOVIMIENTOS!$A$5:$A$1005&lt;&gt;"")*(MOVIMIENTOS!$A$5:$A$1005&lt;=$A908)*MOVIMIENTOS!$E$5:$E$1005)+SUMPRODUCT((MOVIMIENTOS!$B$5:$B$1005="PROCESO")*(MOVIMIENTOS!$C$5:$C$1005="P")*(MOVIMIENTOS!$D$5:$D$1005="jabas")*(MOVIMIENTOS!$A$5:$A$1005&lt;&gt;"")*(MOVIMIENTOS!$A$5:$A$1005&lt;=$A908)*MOVIMIENTOS!$E$5:$E$1005)-SUMPRODUCT((MOVIMIENTOS!$B$5:$B$1005="ENVÍO A SUPESA")*(MOVIMIENTOS!$C$5:$C$1005="P")*(MOVIMIENTOS!$D$5:$D$1005="jabas")*(MOVIMIENTOS!$A$5:$A$1005&lt;&gt;"")*(MOVIMIENTOS!$A$5:$A$1005&lt;=$A908)*MOVIMIENTOS!$E$5:$E$1005)+SUMPRODUCT((MOVIMIENTOS!$B$5:$B$1005="DEVOLUCIÓN")*(MOVIMIENTOS!$C$5:$C$1005="P")*(MOVIMIENTOS!$D$5:$D$1005="jabas")*(MOVIMIENTOS!$A$5:$A$1005&lt;&gt;"")*(MOVIMIENTOS!$A$5:$A$1005&lt;=$A908)*MOVIMIENTOS!$E$5:$E$1005)-SUMPRODUCT((MOVIMIENTOS!$B$5:$B$1005="TRASIEGO")*(MOVIMIENTOS!$C$5:$C$1005="P")*(MOVIMIENTOS!$D$5:$D$1005="jabas")*(MOVIMIENTOS!$A$5:$A$1005&lt;&gt;"")*(MOVIMIENTOS!$A$5:$A$1005&lt;=$A908)*MOVIMIENTOS!$E$5:$E$1005)-SUMPRODUCT((MOVIMIENTOS!$B$5:$B$1005="REGALO")*(MOVIMIENTOS!$C$5:$C$1005="P")*(MOVIMIENTOS!$D$5:$D$1005="jabas")*(MOVIMIENTOS!$A$5:$A$1005&lt;&gt;"")*(MOVIMIENTOS!$A$5:$A$1005&lt;=$A908)*MOVIMIENTOS!$E$5:$E$1005)-SUMPRODUCT((MOVIMIENTOS!$B$5:$B$1005="VENTA")*(MOVIMIENTOS!$C$5:$C$1005="P")*(MOVIMIENTOS!$D$5:$D$1005="jabas")*(MOVIMIENTOS!$A$5:$A$1005&lt;&gt;"")*(MOVIMIENTOS!$A$5:$A$1005&lt;=$A908)*MOVIMIENTOS!$E$5:$E$1005)+SUMPRODUCT((MOVIMIENTOS!$B$5:$B$1005="AJUSTE")*(MOVIMIENTOS!$C$5:$C$1005="P")*(MOVIMIENTOS!$D$5:$D$1005="jabas")*(MOVIMIENTOS!$A$5:$A$1005&lt;&gt;"")*(MOVIMIENTOS!$A$5:$A$1005&lt;=$A908)*MOVIMIENTOS!$E$5:$E$1005))</f>
        <v/>
      </c>
      <c r="D908" t="str">
        <f>IF($A908="","",SUMPRODUCT((MOVIMIENTOS!$B$5:$B$1005="SALDO INICIAL")*(MOVIMIENTOS!$C$5:$C$1005="C")*(MOVIMIENTOS!$D$5:$D$1005="jabas")*(MOVIMIENTOS!$A$5:$A$1005&lt;&gt;"")*(MOVIMIENTOS!$A$5:$A$1005&lt;=$A908)*MOVIMIENTOS!$E$5:$E$1005)+SUMPRODUCT((MOVIMIENTOS!$B$5:$B$1005="PROCESO")*(MOVIMIENTOS!$C$5:$C$1005="C")*(MOVIMIENTOS!$D$5:$D$1005="jabas")*(MOVIMIENTOS!$A$5:$A$1005&lt;&gt;"")*(MOVIMIENTOS!$A$5:$A$1005&lt;=$A908)*MOVIMIENTOS!$E$5:$E$1005)-SUMPRODUCT((MOVIMIENTOS!$B$5:$B$1005="ENVÍO A SUPESA")*(MOVIMIENTOS!$C$5:$C$1005="C")*(MOVIMIENTOS!$D$5:$D$1005="jabas")*(MOVIMIENTOS!$A$5:$A$1005&lt;&gt;"")*(MOVIMIENTOS!$A$5:$A$1005&lt;=$A908)*MOVIMIENTOS!$E$5:$E$1005)+SUMPRODUCT((MOVIMIENTOS!$B$5:$B$1005="DEVOLUCIÓN")*(MOVIMIENTOS!$C$5:$C$1005="C")*(MOVIMIENTOS!$D$5:$D$1005="jabas")*(MOVIMIENTOS!$A$5:$A$1005&lt;&gt;"")*(MOVIMIENTOS!$A$5:$A$1005&lt;=$A908)*MOVIMIENTOS!$E$5:$E$1005)-SUMPRODUCT((MOVIMIENTOS!$B$5:$B$1005="TRASIEGO")*(MOVIMIENTOS!$C$5:$C$1005="C")*(MOVIMIENTOS!$D$5:$D$1005="jabas")*(MOVIMIENTOS!$A$5:$A$1005&lt;&gt;"")*(MOVIMIENTOS!$A$5:$A$1005&lt;=$A908)*MOVIMIENTOS!$E$5:$E$1005)-SUMPRODUCT((MOVIMIENTOS!$B$5:$B$1005="REGALO")*(MOVIMIENTOS!$C$5:$C$1005="C")*(MOVIMIENTOS!$D$5:$D$1005="jabas")*(MOVIMIENTOS!$A$5:$A$1005&lt;&gt;"")*(MOVIMIENTOS!$A$5:$A$1005&lt;=$A908)*MOVIMIENTOS!$E$5:$E$1005)-SUMPRODUCT((MOVIMIENTOS!$B$5:$B$1005="VENTA")*(MOVIMIENTOS!$C$5:$C$1005="C")*(MOVIMIENTOS!$D$5:$D$1005="jabas")*(MOVIMIENTOS!$A$5:$A$1005&lt;&gt;"")*(MOVIMIENTOS!$A$5:$A$1005&lt;=$A908)*MOVIMIENTOS!$E$5:$E$1005)+SUMPRODUCT((MOVIMIENTOS!$B$5:$B$1005="AJUSTE")*(MOVIMIENTOS!$C$5:$C$1005="C")*(MOVIMIENTOS!$D$5:$D$1005="jabas")*(MOVIMIENTOS!$A$5:$A$1005&lt;&gt;"")*(MOVIMIENTOS!$A$5:$A$1005&lt;=$A908)*MOVIMIENTOS!$E$5:$E$1005))</f>
        <v/>
      </c>
      <c r="E908" t="str">
        <f>IF($A908="","",SUMPRODUCT((MOVIMIENTOS!$B$5:$B$1005="SALDO INICIAL")*(MOVIMIENTOS!$C$5:$C$1005="M")*(MOVIMIENTOS!$D$5:$D$1005="jabas")*(MOVIMIENTOS!$A$5:$A$1005&lt;&gt;"")*(MOVIMIENTOS!$A$5:$A$1005&lt;=$A908)*MOVIMIENTOS!$E$5:$E$1005)+SUMPRODUCT((MOVIMIENTOS!$B$5:$B$1005="PROCESO")*(MOVIMIENTOS!$C$5:$C$1005="M")*(MOVIMIENTOS!$D$5:$D$1005="jabas")*(MOVIMIENTOS!$A$5:$A$1005&lt;&gt;"")*(MOVIMIENTOS!$A$5:$A$1005&lt;=$A908)*MOVIMIENTOS!$E$5:$E$1005)-SUMPRODUCT((MOVIMIENTOS!$B$5:$B$1005="ENVÍO A SUPESA")*(MOVIMIENTOS!$C$5:$C$1005="M")*(MOVIMIENTOS!$D$5:$D$1005="jabas")*(MOVIMIENTOS!$A$5:$A$1005&lt;&gt;"")*(MOVIMIENTOS!$A$5:$A$1005&lt;=$A908)*MOVIMIENTOS!$E$5:$E$1005)+SUMPRODUCT((MOVIMIENTOS!$B$5:$B$1005="DEVOLUCIÓN")*(MOVIMIENTOS!$C$5:$C$1005="M")*(MOVIMIENTOS!$D$5:$D$1005="jabas")*(MOVIMIENTOS!$A$5:$A$1005&lt;&gt;"")*(MOVIMIENTOS!$A$5:$A$1005&lt;=$A908)*MOVIMIENTOS!$E$5:$E$1005)-SUMPRODUCT((MOVIMIENTOS!$B$5:$B$1005="TRASIEGO")*(MOVIMIENTOS!$C$5:$C$1005="M")*(MOVIMIENTOS!$D$5:$D$1005="jabas")*(MOVIMIENTOS!$A$5:$A$1005&lt;&gt;"")*(MOVIMIENTOS!$A$5:$A$1005&lt;=$A908)*MOVIMIENTOS!$E$5:$E$1005)-SUMPRODUCT((MOVIMIENTOS!$B$5:$B$1005="REGALO")*(MOVIMIENTOS!$C$5:$C$1005="M")*(MOVIMIENTOS!$D$5:$D$1005="jabas")*(MOVIMIENTOS!$A$5:$A$1005&lt;&gt;"")*(MOVIMIENTOS!$A$5:$A$1005&lt;=$A908)*MOVIMIENTOS!$E$5:$E$1005)-SUMPRODUCT((MOVIMIENTOS!$B$5:$B$1005="VENTA")*(MOVIMIENTOS!$C$5:$C$1005="M")*(MOVIMIENTOS!$D$5:$D$1005="jabas")*(MOVIMIENTOS!$A$5:$A$1005&lt;&gt;"")*(MOVIMIENTOS!$A$5:$A$1005&lt;=$A908)*MOVIMIENTOS!$E$5:$E$1005)+SUMPRODUCT((MOVIMIENTOS!$B$5:$B$1005="AJUSTE")*(MOVIMIENTOS!$C$5:$C$1005="M")*(MOVIMIENTOS!$D$5:$D$1005="jabas")*(MOVIMIENTOS!$A$5:$A$1005&lt;&gt;"")*(MOVIMIENTOS!$A$5:$A$1005&lt;=$A908)*MOVIMIENTOS!$E$5:$E$1005))</f>
        <v/>
      </c>
      <c r="F908" s="62" t="str">
        <f>IF($A908="","",SUMPRODUCT((MOVIMIENTOS!$B$5:$B$1005="SALDO INICIAL")*(MOVIMIENTOS!$C$5:$C$1005="Chancho")*(MOVIMIENTOS!$D$5:$D$1005="sacos")*(MOVIMIENTOS!$A$5:$A$1005&lt;&gt;"")*(MOVIMIENTOS!$A$5:$A$1005&lt;=$A908)*MOVIMIENTOS!$E$5:$E$1005)+SUMPRODUCT((MOVIMIENTOS!$B$5:$B$1005="PROCESO")*(MOVIMIENTOS!$C$5:$C$1005="Chancho")*(MOVIMIENTOS!$D$5:$D$1005="sacos")*(MOVIMIENTOS!$A$5:$A$1005&lt;&gt;"")*(MOVIMIENTOS!$A$5:$A$1005&lt;=$A908)*MOVIMIENTOS!$E$5:$E$1005)-SUMPRODUCT((MOVIMIENTOS!$B$5:$B$1005="VENTA CHANCHO")*(MOVIMIENTOS!$C$5:$C$1005="Chancho")*(MOVIMIENTOS!$D$5:$D$1005="sacos")*(MOVIMIENTOS!$A$5:$A$1005&lt;&gt;"")*(MOVIMIENTOS!$A$5:$A$1005&lt;=$A908)*MOVIMIENTOS!$E$5:$E$1005)-SUMPRODUCT((MOVIMIENTOS!$B$5:$B$1005="REGALO")*(MOVIMIENTOS!$C$5:$C$1005="Chancho")*(MOVIMIENTOS!$D$5:$D$1005="sacos")*(MOVIMIENTOS!$A$5:$A$1005&lt;&gt;"")*(MOVIMIENTOS!$A$5:$A$1005&lt;=$A908)*MOVIMIENTOS!$E$5:$E$1005)-SUMPRODUCT((MOVIMIENTOS!$B$5:$B$1005="VENTA")*(MOVIMIENTOS!$C$5:$C$1005="Chancho")*(MOVIMIENTOS!$D$5:$D$1005="sacos")*(MOVIMIENTOS!$A$5:$A$1005&lt;&gt;"")*(MOVIMIENTOS!$A$5:$A$1005&lt;=$A908)*MOVIMIENTOS!$E$5:$E$1005)+SUMPRODUCT((MOVIMIENTOS!$B$5:$B$1005="AJUSTE")*(MOVIMIENTOS!$C$5:$C$1005="Chancho")*(MOVIMIENTOS!$D$5:$D$1005="sacos")*(MOVIMIENTOS!$A$5:$A$1005&lt;&gt;"")*(MOVIMIENTOS!$A$5:$A$1005&lt;=$A908)*MOVIMIENTOS!$E$5:$E$1005))</f>
        <v/>
      </c>
      <c r="G908" s="62" t="str">
        <f t="shared" si="29"/>
        <v/>
      </c>
      <c r="H908" t="str">
        <f>IF($A908="","",SUMPRODUCT((((MOVIMIENTOS!$B$5:$B$1005="SALDO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908)*MOVIMIENTOS!$J$5:$J$1005))</f>
        <v/>
      </c>
      <c r="J908" t="str">
        <f>IF(AND(MOVIMIENTOS!$A913&lt;&gt;"",COUNTIF(MOVIMIENTOS!$A$5:$A912,MOVIMIENTOS!$A913)=0),COUNT(J$4:J907)+1,"")</f>
        <v/>
      </c>
      <c r="K908">
        <f>MOVIMIENTOS!$A913</f>
        <v>0</v>
      </c>
    </row>
    <row r="909" spans="1:11" ht="15" customHeight="1" x14ac:dyDescent="0.2">
      <c r="A909" t="str">
        <f t="shared" si="28"/>
        <v/>
      </c>
      <c r="B909" t="str">
        <f>IF($A909="","",SUMPRODUCT((MOVIMIENTOS!$B$5:$B$1005="SALDO INICIAL")*(MOVIMIENTOS!$C$5:$C$1005="A")*(MOVIMIENTOS!$D$5:$D$1005="jabas")*(MOVIMIENTOS!$A$5:$A$1005&lt;&gt;"")*(MOVIMIENTOS!$A$5:$A$1005&lt;=$A909)*MOVIMIENTOS!$E$5:$E$1005)+SUMPRODUCT((MOVIMIENTOS!$B$5:$B$1005="PROCESO")*(MOVIMIENTOS!$C$5:$C$1005="A")*(MOVIMIENTOS!$D$5:$D$1005="jabas")*(MOVIMIENTOS!$A$5:$A$1005&lt;&gt;"")*(MOVIMIENTOS!$A$5:$A$1005&lt;=$A909)*MOVIMIENTOS!$E$5:$E$1005)-SUMPRODUCT((MOVIMIENTOS!$B$5:$B$1005="ENVÍO A SUPESA")*(MOVIMIENTOS!$C$5:$C$1005="A")*(MOVIMIENTOS!$D$5:$D$1005="jabas")*(MOVIMIENTOS!$A$5:$A$1005&lt;&gt;"")*(MOVIMIENTOS!$A$5:$A$1005&lt;=$A909)*MOVIMIENTOS!$E$5:$E$1005)+SUMPRODUCT((MOVIMIENTOS!$B$5:$B$1005="DEVOLUCIÓN")*(MOVIMIENTOS!$C$5:$C$1005="A")*(MOVIMIENTOS!$D$5:$D$1005="jabas")*(MOVIMIENTOS!$A$5:$A$1005&lt;&gt;"")*(MOVIMIENTOS!$A$5:$A$1005&lt;=$A909)*MOVIMIENTOS!$E$5:$E$1005)-SUMPRODUCT((MOVIMIENTOS!$B$5:$B$1005="TRASIEGO")*(MOVIMIENTOS!$C$5:$C$1005="A")*(MOVIMIENTOS!$D$5:$D$1005="jabas")*(MOVIMIENTOS!$A$5:$A$1005&lt;&gt;"")*(MOVIMIENTOS!$A$5:$A$1005&lt;=$A909)*MOVIMIENTOS!$E$5:$E$1005)-SUMPRODUCT((MOVIMIENTOS!$B$5:$B$1005="REGALO")*(MOVIMIENTOS!$C$5:$C$1005="A")*(MOVIMIENTOS!$D$5:$D$1005="jabas")*(MOVIMIENTOS!$A$5:$A$1005&lt;&gt;"")*(MOVIMIENTOS!$A$5:$A$1005&lt;=$A909)*MOVIMIENTOS!$E$5:$E$1005)-SUMPRODUCT((MOVIMIENTOS!$B$5:$B$1005="VENTA")*(MOVIMIENTOS!$C$5:$C$1005="A")*(MOVIMIENTOS!$D$5:$D$1005="jabas")*(MOVIMIENTOS!$A$5:$A$1005&lt;&gt;"")*(MOVIMIENTOS!$A$5:$A$1005&lt;=$A909)*MOVIMIENTOS!$E$5:$E$1005)+SUMPRODUCT((MOVIMIENTOS!$B$5:$B$1005="AJUSTE")*(MOVIMIENTOS!$C$5:$C$1005="A")*(MOVIMIENTOS!$D$5:$D$1005="jabas")*(MOVIMIENTOS!$A$5:$A$1005&lt;&gt;"")*(MOVIMIENTOS!$A$5:$A$1005&lt;=$A909)*MOVIMIENTOS!$E$5:$E$1005))</f>
        <v/>
      </c>
      <c r="C909" t="str">
        <f>IF($A909="","",SUMPRODUCT((MOVIMIENTOS!$B$5:$B$1005="SALDO INICIAL")*(MOVIMIENTOS!$C$5:$C$1005="P")*(MOVIMIENTOS!$D$5:$D$1005="jabas")*(MOVIMIENTOS!$A$5:$A$1005&lt;&gt;"")*(MOVIMIENTOS!$A$5:$A$1005&lt;=$A909)*MOVIMIENTOS!$E$5:$E$1005)+SUMPRODUCT((MOVIMIENTOS!$B$5:$B$1005="PROCESO")*(MOVIMIENTOS!$C$5:$C$1005="P")*(MOVIMIENTOS!$D$5:$D$1005="jabas")*(MOVIMIENTOS!$A$5:$A$1005&lt;&gt;"")*(MOVIMIENTOS!$A$5:$A$1005&lt;=$A909)*MOVIMIENTOS!$E$5:$E$1005)-SUMPRODUCT((MOVIMIENTOS!$B$5:$B$1005="ENVÍO A SUPESA")*(MOVIMIENTOS!$C$5:$C$1005="P")*(MOVIMIENTOS!$D$5:$D$1005="jabas")*(MOVIMIENTOS!$A$5:$A$1005&lt;&gt;"")*(MOVIMIENTOS!$A$5:$A$1005&lt;=$A909)*MOVIMIENTOS!$E$5:$E$1005)+SUMPRODUCT((MOVIMIENTOS!$B$5:$B$1005="DEVOLUCIÓN")*(MOVIMIENTOS!$C$5:$C$1005="P")*(MOVIMIENTOS!$D$5:$D$1005="jabas")*(MOVIMIENTOS!$A$5:$A$1005&lt;&gt;"")*(MOVIMIENTOS!$A$5:$A$1005&lt;=$A909)*MOVIMIENTOS!$E$5:$E$1005)-SUMPRODUCT((MOVIMIENTOS!$B$5:$B$1005="TRASIEGO")*(MOVIMIENTOS!$C$5:$C$1005="P")*(MOVIMIENTOS!$D$5:$D$1005="jabas")*(MOVIMIENTOS!$A$5:$A$1005&lt;&gt;"")*(MOVIMIENTOS!$A$5:$A$1005&lt;=$A909)*MOVIMIENTOS!$E$5:$E$1005)-SUMPRODUCT((MOVIMIENTOS!$B$5:$B$1005="REGALO")*(MOVIMIENTOS!$C$5:$C$1005="P")*(MOVIMIENTOS!$D$5:$D$1005="jabas")*(MOVIMIENTOS!$A$5:$A$1005&lt;&gt;"")*(MOVIMIENTOS!$A$5:$A$1005&lt;=$A909)*MOVIMIENTOS!$E$5:$E$1005)-SUMPRODUCT((MOVIMIENTOS!$B$5:$B$1005="VENTA")*(MOVIMIENTOS!$C$5:$C$1005="P")*(MOVIMIENTOS!$D$5:$D$1005="jabas")*(MOVIMIENTOS!$A$5:$A$1005&lt;&gt;"")*(MOVIMIENTOS!$A$5:$A$1005&lt;=$A909)*MOVIMIENTOS!$E$5:$E$1005)+SUMPRODUCT((MOVIMIENTOS!$B$5:$B$1005="AJUSTE")*(MOVIMIENTOS!$C$5:$C$1005="P")*(MOVIMIENTOS!$D$5:$D$1005="jabas")*(MOVIMIENTOS!$A$5:$A$1005&lt;&gt;"")*(MOVIMIENTOS!$A$5:$A$1005&lt;=$A909)*MOVIMIENTOS!$E$5:$E$1005))</f>
        <v/>
      </c>
      <c r="D909" t="str">
        <f>IF($A909="","",SUMPRODUCT((MOVIMIENTOS!$B$5:$B$1005="SALDO INICIAL")*(MOVIMIENTOS!$C$5:$C$1005="C")*(MOVIMIENTOS!$D$5:$D$1005="jabas")*(MOVIMIENTOS!$A$5:$A$1005&lt;&gt;"")*(MOVIMIENTOS!$A$5:$A$1005&lt;=$A909)*MOVIMIENTOS!$E$5:$E$1005)+SUMPRODUCT((MOVIMIENTOS!$B$5:$B$1005="PROCESO")*(MOVIMIENTOS!$C$5:$C$1005="C")*(MOVIMIENTOS!$D$5:$D$1005="jabas")*(MOVIMIENTOS!$A$5:$A$1005&lt;&gt;"")*(MOVIMIENTOS!$A$5:$A$1005&lt;=$A909)*MOVIMIENTOS!$E$5:$E$1005)-SUMPRODUCT((MOVIMIENTOS!$B$5:$B$1005="ENVÍO A SUPESA")*(MOVIMIENTOS!$C$5:$C$1005="C")*(MOVIMIENTOS!$D$5:$D$1005="jabas")*(MOVIMIENTOS!$A$5:$A$1005&lt;&gt;"")*(MOVIMIENTOS!$A$5:$A$1005&lt;=$A909)*MOVIMIENTOS!$E$5:$E$1005)+SUMPRODUCT((MOVIMIENTOS!$B$5:$B$1005="DEVOLUCIÓN")*(MOVIMIENTOS!$C$5:$C$1005="C")*(MOVIMIENTOS!$D$5:$D$1005="jabas")*(MOVIMIENTOS!$A$5:$A$1005&lt;&gt;"")*(MOVIMIENTOS!$A$5:$A$1005&lt;=$A909)*MOVIMIENTOS!$E$5:$E$1005)-SUMPRODUCT((MOVIMIENTOS!$B$5:$B$1005="TRASIEGO")*(MOVIMIENTOS!$C$5:$C$1005="C")*(MOVIMIENTOS!$D$5:$D$1005="jabas")*(MOVIMIENTOS!$A$5:$A$1005&lt;&gt;"")*(MOVIMIENTOS!$A$5:$A$1005&lt;=$A909)*MOVIMIENTOS!$E$5:$E$1005)-SUMPRODUCT((MOVIMIENTOS!$B$5:$B$1005="REGALO")*(MOVIMIENTOS!$C$5:$C$1005="C")*(MOVIMIENTOS!$D$5:$D$1005="jabas")*(MOVIMIENTOS!$A$5:$A$1005&lt;&gt;"")*(MOVIMIENTOS!$A$5:$A$1005&lt;=$A909)*MOVIMIENTOS!$E$5:$E$1005)-SUMPRODUCT((MOVIMIENTOS!$B$5:$B$1005="VENTA")*(MOVIMIENTOS!$C$5:$C$1005="C")*(MOVIMIENTOS!$D$5:$D$1005="jabas")*(MOVIMIENTOS!$A$5:$A$1005&lt;&gt;"")*(MOVIMIENTOS!$A$5:$A$1005&lt;=$A909)*MOVIMIENTOS!$E$5:$E$1005)+SUMPRODUCT((MOVIMIENTOS!$B$5:$B$1005="AJUSTE")*(MOVIMIENTOS!$C$5:$C$1005="C")*(MOVIMIENTOS!$D$5:$D$1005="jabas")*(MOVIMIENTOS!$A$5:$A$1005&lt;&gt;"")*(MOVIMIENTOS!$A$5:$A$1005&lt;=$A909)*MOVIMIENTOS!$E$5:$E$1005))</f>
        <v/>
      </c>
      <c r="E909" t="str">
        <f>IF($A909="","",SUMPRODUCT((MOVIMIENTOS!$B$5:$B$1005="SALDO INICIAL")*(MOVIMIENTOS!$C$5:$C$1005="M")*(MOVIMIENTOS!$D$5:$D$1005="jabas")*(MOVIMIENTOS!$A$5:$A$1005&lt;&gt;"")*(MOVIMIENTOS!$A$5:$A$1005&lt;=$A909)*MOVIMIENTOS!$E$5:$E$1005)+SUMPRODUCT((MOVIMIENTOS!$B$5:$B$1005="PROCESO")*(MOVIMIENTOS!$C$5:$C$1005="M")*(MOVIMIENTOS!$D$5:$D$1005="jabas")*(MOVIMIENTOS!$A$5:$A$1005&lt;&gt;"")*(MOVIMIENTOS!$A$5:$A$1005&lt;=$A909)*MOVIMIENTOS!$E$5:$E$1005)-SUMPRODUCT((MOVIMIENTOS!$B$5:$B$1005="ENVÍO A SUPESA")*(MOVIMIENTOS!$C$5:$C$1005="M")*(MOVIMIENTOS!$D$5:$D$1005="jabas")*(MOVIMIENTOS!$A$5:$A$1005&lt;&gt;"")*(MOVIMIENTOS!$A$5:$A$1005&lt;=$A909)*MOVIMIENTOS!$E$5:$E$1005)+SUMPRODUCT((MOVIMIENTOS!$B$5:$B$1005="DEVOLUCIÓN")*(MOVIMIENTOS!$C$5:$C$1005="M")*(MOVIMIENTOS!$D$5:$D$1005="jabas")*(MOVIMIENTOS!$A$5:$A$1005&lt;&gt;"")*(MOVIMIENTOS!$A$5:$A$1005&lt;=$A909)*MOVIMIENTOS!$E$5:$E$1005)-SUMPRODUCT((MOVIMIENTOS!$B$5:$B$1005="TRASIEGO")*(MOVIMIENTOS!$C$5:$C$1005="M")*(MOVIMIENTOS!$D$5:$D$1005="jabas")*(MOVIMIENTOS!$A$5:$A$1005&lt;&gt;"")*(MOVIMIENTOS!$A$5:$A$1005&lt;=$A909)*MOVIMIENTOS!$E$5:$E$1005)-SUMPRODUCT((MOVIMIENTOS!$B$5:$B$1005="REGALO")*(MOVIMIENTOS!$C$5:$C$1005="M")*(MOVIMIENTOS!$D$5:$D$1005="jabas")*(MOVIMIENTOS!$A$5:$A$1005&lt;&gt;"")*(MOVIMIENTOS!$A$5:$A$1005&lt;=$A909)*MOVIMIENTOS!$E$5:$E$1005)-SUMPRODUCT((MOVIMIENTOS!$B$5:$B$1005="VENTA")*(MOVIMIENTOS!$C$5:$C$1005="M")*(MOVIMIENTOS!$D$5:$D$1005="jabas")*(MOVIMIENTOS!$A$5:$A$1005&lt;&gt;"")*(MOVIMIENTOS!$A$5:$A$1005&lt;=$A909)*MOVIMIENTOS!$E$5:$E$1005)+SUMPRODUCT((MOVIMIENTOS!$B$5:$B$1005="AJUSTE")*(MOVIMIENTOS!$C$5:$C$1005="M")*(MOVIMIENTOS!$D$5:$D$1005="jabas")*(MOVIMIENTOS!$A$5:$A$1005&lt;&gt;"")*(MOVIMIENTOS!$A$5:$A$1005&lt;=$A909)*MOVIMIENTOS!$E$5:$E$1005))</f>
        <v/>
      </c>
      <c r="F909" s="62" t="str">
        <f>IF($A909="","",SUMPRODUCT((MOVIMIENTOS!$B$5:$B$1005="SALDO INICIAL")*(MOVIMIENTOS!$C$5:$C$1005="Chancho")*(MOVIMIENTOS!$D$5:$D$1005="sacos")*(MOVIMIENTOS!$A$5:$A$1005&lt;&gt;"")*(MOVIMIENTOS!$A$5:$A$1005&lt;=$A909)*MOVIMIENTOS!$E$5:$E$1005)+SUMPRODUCT((MOVIMIENTOS!$B$5:$B$1005="PROCESO")*(MOVIMIENTOS!$C$5:$C$1005="Chancho")*(MOVIMIENTOS!$D$5:$D$1005="sacos")*(MOVIMIENTOS!$A$5:$A$1005&lt;&gt;"")*(MOVIMIENTOS!$A$5:$A$1005&lt;=$A909)*MOVIMIENTOS!$E$5:$E$1005)-SUMPRODUCT((MOVIMIENTOS!$B$5:$B$1005="VENTA CHANCHO")*(MOVIMIENTOS!$C$5:$C$1005="Chancho")*(MOVIMIENTOS!$D$5:$D$1005="sacos")*(MOVIMIENTOS!$A$5:$A$1005&lt;&gt;"")*(MOVIMIENTOS!$A$5:$A$1005&lt;=$A909)*MOVIMIENTOS!$E$5:$E$1005)-SUMPRODUCT((MOVIMIENTOS!$B$5:$B$1005="REGALO")*(MOVIMIENTOS!$C$5:$C$1005="Chancho")*(MOVIMIENTOS!$D$5:$D$1005="sacos")*(MOVIMIENTOS!$A$5:$A$1005&lt;&gt;"")*(MOVIMIENTOS!$A$5:$A$1005&lt;=$A909)*MOVIMIENTOS!$E$5:$E$1005)-SUMPRODUCT((MOVIMIENTOS!$B$5:$B$1005="VENTA")*(MOVIMIENTOS!$C$5:$C$1005="Chancho")*(MOVIMIENTOS!$D$5:$D$1005="sacos")*(MOVIMIENTOS!$A$5:$A$1005&lt;&gt;"")*(MOVIMIENTOS!$A$5:$A$1005&lt;=$A909)*MOVIMIENTOS!$E$5:$E$1005)+SUMPRODUCT((MOVIMIENTOS!$B$5:$B$1005="AJUSTE")*(MOVIMIENTOS!$C$5:$C$1005="Chancho")*(MOVIMIENTOS!$D$5:$D$1005="sacos")*(MOVIMIENTOS!$A$5:$A$1005&lt;&gt;"")*(MOVIMIENTOS!$A$5:$A$1005&lt;=$A909)*MOVIMIENTOS!$E$5:$E$1005))</f>
        <v/>
      </c>
      <c r="G909" s="62" t="str">
        <f t="shared" si="29"/>
        <v/>
      </c>
      <c r="H909" t="str">
        <f>IF($A909="","",SUMPRODUCT((((MOVIMIENTOS!$B$5:$B$1005="SALDO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909)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909)*MOVIMIENTOS!$J$5:$J$1005))</f>
        <v/>
      </c>
      <c r="J909" t="str">
        <f>IF(AND(MOVIMIENTOS!$A914&lt;&gt;"",COUNTIF(MOVIMIENTOS!$A$5:$A913,MOVIMIENTOS!$A914)=0),COUNT(J$4:J908)+1,"")</f>
        <v/>
      </c>
      <c r="K909">
        <f>MOVIMIENTOS!$A914</f>
        <v>0</v>
      </c>
    </row>
    <row r="910" spans="1:11" ht="15" customHeight="1" x14ac:dyDescent="0.2">
      <c r="A910" t="str">
        <f t="shared" si="28"/>
        <v/>
      </c>
      <c r="B910" t="str">
        <f>IF($A910="","",SUMPRODUCT((MOVIMIENTOS!$B$5:$B$1005="SALDO INICIAL")*(MOVIMIENTOS!$C$5:$C$1005="A")*(MOVIMIENTOS!$D$5:$D$1005="jabas")*(MOVIMIENTOS!$A$5:$A$1005&lt;&gt;"")*(MOVIMIENTOS!$A$5:$A$1005&lt;=$A910)*MOVIMIENTOS!$E$5:$E$1005)+SUMPRODUCT((MOVIMIENTOS!$B$5:$B$1005="PROCESO")*(MOVIMIENTOS!$C$5:$C$1005="A")*(MOVIMIENTOS!$D$5:$D$1005="jabas")*(MOVIMIENTOS!$A$5:$A$1005&lt;&gt;"")*(MOVIMIENTOS!$A$5:$A$1005&lt;=$A910)*MOVIMIENTOS!$E$5:$E$1005)-SUMPRODUCT((MOVIMIENTOS!$B$5:$B$1005="ENVÍO A SUPESA")*(MOVIMIENTOS!$C$5:$C$1005="A")*(MOVIMIENTOS!$D$5:$D$1005="jabas")*(MOVIMIENTOS!$A$5:$A$1005&lt;&gt;"")*(MOVIMIENTOS!$A$5:$A$1005&lt;=$A910)*MOVIMIENTOS!$E$5:$E$1005)+SUMPRODUCT((MOVIMIENTOS!$B$5:$B$1005="DEVOLUCIÓN")*(MOVIMIENTOS!$C$5:$C$1005="A")*(MOVIMIENTOS!$D$5:$D$1005="jabas")*(MOVIMIENTOS!$A$5:$A$1005&lt;&gt;"")*(MOVIMIENTOS!$A$5:$A$1005&lt;=$A910)*MOVIMIENTOS!$E$5:$E$1005)-SUMPRODUCT((MOVIMIENTOS!$B$5:$B$1005="TRASIEGO")*(MOVIMIENTOS!$C$5:$C$1005="A")*(MOVIMIENTOS!$D$5:$D$1005="jabas")*(MOVIMIENTOS!$A$5:$A$1005&lt;&gt;"")*(MOVIMIENTOS!$A$5:$A$1005&lt;=$A910)*MOVIMIENTOS!$E$5:$E$1005)-SUMPRODUCT((MOVIMIENTOS!$B$5:$B$1005="REGALO")*(MOVIMIENTOS!$C$5:$C$1005="A")*(MOVIMIENTOS!$D$5:$D$1005="jabas")*(MOVIMIENTOS!$A$5:$A$1005&lt;&gt;"")*(MOVIMIENTOS!$A$5:$A$1005&lt;=$A910)*MOVIMIENTOS!$E$5:$E$1005)-SUMPRODUCT((MOVIMIENTOS!$B$5:$B$1005="VENTA")*(MOVIMIENTOS!$C$5:$C$1005="A")*(MOVIMIENTOS!$D$5:$D$1005="jabas")*(MOVIMIENTOS!$A$5:$A$1005&lt;&gt;"")*(MOVIMIENTOS!$A$5:$A$1005&lt;=$A910)*MOVIMIENTOS!$E$5:$E$1005)+SUMPRODUCT((MOVIMIENTOS!$B$5:$B$1005="AJUSTE")*(MOVIMIENTOS!$C$5:$C$1005="A")*(MOVIMIENTOS!$D$5:$D$1005="jabas")*(MOVIMIENTOS!$A$5:$A$1005&lt;&gt;"")*(MOVIMIENTOS!$A$5:$A$1005&lt;=$A910)*MOVIMIENTOS!$E$5:$E$1005))</f>
        <v/>
      </c>
      <c r="C910" t="str">
        <f>IF($A910="","",SUMPRODUCT((MOVIMIENTOS!$B$5:$B$1005="SALDO INICIAL")*(MOVIMIENTOS!$C$5:$C$1005="P")*(MOVIMIENTOS!$D$5:$D$1005="jabas")*(MOVIMIENTOS!$A$5:$A$1005&lt;&gt;"")*(MOVIMIENTOS!$A$5:$A$1005&lt;=$A910)*MOVIMIENTOS!$E$5:$E$1005)+SUMPRODUCT((MOVIMIENTOS!$B$5:$B$1005="PROCESO")*(MOVIMIENTOS!$C$5:$C$1005="P")*(MOVIMIENTOS!$D$5:$D$1005="jabas")*(MOVIMIENTOS!$A$5:$A$1005&lt;&gt;"")*(MOVIMIENTOS!$A$5:$A$1005&lt;=$A910)*MOVIMIENTOS!$E$5:$E$1005)-SUMPRODUCT((MOVIMIENTOS!$B$5:$B$1005="ENVÍO A SUPESA")*(MOVIMIENTOS!$C$5:$C$1005="P")*(MOVIMIENTOS!$D$5:$D$1005="jabas")*(MOVIMIENTOS!$A$5:$A$1005&lt;&gt;"")*(MOVIMIENTOS!$A$5:$A$1005&lt;=$A910)*MOVIMIENTOS!$E$5:$E$1005)+SUMPRODUCT((MOVIMIENTOS!$B$5:$B$1005="DEVOLUCIÓN")*(MOVIMIENTOS!$C$5:$C$1005="P")*(MOVIMIENTOS!$D$5:$D$1005="jabas")*(MOVIMIENTOS!$A$5:$A$1005&lt;&gt;"")*(MOVIMIENTOS!$A$5:$A$1005&lt;=$A910)*MOVIMIENTOS!$E$5:$E$1005)-SUMPRODUCT((MOVIMIENTOS!$B$5:$B$1005="TRASIEGO")*(MOVIMIENTOS!$C$5:$C$1005="P")*(MOVIMIENTOS!$D$5:$D$1005="jabas")*(MOVIMIENTOS!$A$5:$A$1005&lt;&gt;"")*(MOVIMIENTOS!$A$5:$A$1005&lt;=$A910)*MOVIMIENTOS!$E$5:$E$1005)-SUMPRODUCT((MOVIMIENTOS!$B$5:$B$1005="REGALO")*(MOVIMIENTOS!$C$5:$C$1005="P")*(MOVIMIENTOS!$D$5:$D$1005="jabas")*(MOVIMIENTOS!$A$5:$A$1005&lt;&gt;"")*(MOVIMIENTOS!$A$5:$A$1005&lt;=$A910)*MOVIMIENTOS!$E$5:$E$1005)-SUMPRODUCT((MOVIMIENTOS!$B$5:$B$1005="VENTA")*(MOVIMIENTOS!$C$5:$C$1005="P")*(MOVIMIENTOS!$D$5:$D$1005="jabas")*(MOVIMIENTOS!$A$5:$A$1005&lt;&gt;"")*(MOVIMIENTOS!$A$5:$A$1005&lt;=$A910)*MOVIMIENTOS!$E$5:$E$1005)+SUMPRODUCT((MOVIMIENTOS!$B$5:$B$1005="AJUSTE")*(MOVIMIENTOS!$C$5:$C$1005="P")*(MOVIMIENTOS!$D$5:$D$1005="jabas")*(MOVIMIENTOS!$A$5:$A$1005&lt;&gt;"")*(MOVIMIENTOS!$A$5:$A$1005&lt;=$A910)*MOVIMIENTOS!$E$5:$E$1005))</f>
        <v/>
      </c>
      <c r="D910" t="str">
        <f>IF($A910="","",SUMPRODUCT((MOVIMIENTOS!$B$5:$B$1005="SALDO INICIAL")*(MOVIMIENTOS!$C$5:$C$1005="C")*(MOVIMIENTOS!$D$5:$D$1005="jabas")*(MOVIMIENTOS!$A$5:$A$1005&lt;&gt;"")*(MOVIMIENTOS!$A$5:$A$1005&lt;=$A910)*MOVIMIENTOS!$E$5:$E$1005)+SUMPRODUCT((MOVIMIENTOS!$B$5:$B$1005="PROCESO")*(MOVIMIENTOS!$C$5:$C$1005="C")*(MOVIMIENTOS!$D$5:$D$1005="jabas")*(MOVIMIENTOS!$A$5:$A$1005&lt;&gt;"")*(MOVIMIENTOS!$A$5:$A$1005&lt;=$A910)*MOVIMIENTOS!$E$5:$E$1005)-SUMPRODUCT((MOVIMIENTOS!$B$5:$B$1005="ENVÍO A SUPESA")*(MOVIMIENTOS!$C$5:$C$1005="C")*(MOVIMIENTOS!$D$5:$D$1005="jabas")*(MOVIMIENTOS!$A$5:$A$1005&lt;&gt;"")*(MOVIMIENTOS!$A$5:$A$1005&lt;=$A910)*MOVIMIENTOS!$E$5:$E$1005)+SUMPRODUCT((MOVIMIENTOS!$B$5:$B$1005="DEVOLUCIÓN")*(MOVIMIENTOS!$C$5:$C$1005="C")*(MOVIMIENTOS!$D$5:$D$1005="jabas")*(MOVIMIENTOS!$A$5:$A$1005&lt;&gt;"")*(MOVIMIENTOS!$A$5:$A$1005&lt;=$A910)*MOVIMIENTOS!$E$5:$E$1005)-SUMPRODUCT((MOVIMIENTOS!$B$5:$B$1005="TRASIEGO")*(MOVIMIENTOS!$C$5:$C$1005="C")*(MOVIMIENTOS!$D$5:$D$1005="jabas")*(MOVIMIENTOS!$A$5:$A$1005&lt;&gt;"")*(MOVIMIENTOS!$A$5:$A$1005&lt;=$A910)*MOVIMIENTOS!$E$5:$E$1005)-SUMPRODUCT((MOVIMIENTOS!$B$5:$B$1005="REGALO")*(MOVIMIENTOS!$C$5:$C$1005="C")*(MOVIMIENTOS!$D$5:$D$1005="jabas")*(MOVIMIENTOS!$A$5:$A$1005&lt;&gt;"")*(MOVIMIENTOS!$A$5:$A$1005&lt;=$A910)*MOVIMIENTOS!$E$5:$E$1005)-SUMPRODUCT((MOVIMIENTOS!$B$5:$B$1005="VENTA")*(MOVIMIENTOS!$C$5:$C$1005="C")*(MOVIMIENTOS!$D$5:$D$1005="jabas")*(MOVIMIENTOS!$A$5:$A$1005&lt;&gt;"")*(MOVIMIENTOS!$A$5:$A$1005&lt;=$A910)*MOVIMIENTOS!$E$5:$E$1005)+SUMPRODUCT((MOVIMIENTOS!$B$5:$B$1005="AJUSTE")*(MOVIMIENTOS!$C$5:$C$1005="C")*(MOVIMIENTOS!$D$5:$D$1005="jabas")*(MOVIMIENTOS!$A$5:$A$1005&lt;&gt;"")*(MOVIMIENTOS!$A$5:$A$1005&lt;=$A910)*MOVIMIENTOS!$E$5:$E$1005))</f>
        <v/>
      </c>
      <c r="E910" t="str">
        <f>IF($A910="","",SUMPRODUCT((MOVIMIENTOS!$B$5:$B$1005="SALDO INICIAL")*(MOVIMIENTOS!$C$5:$C$1005="M")*(MOVIMIENTOS!$D$5:$D$1005="jabas")*(MOVIMIENTOS!$A$5:$A$1005&lt;&gt;"")*(MOVIMIENTOS!$A$5:$A$1005&lt;=$A910)*MOVIMIENTOS!$E$5:$E$1005)+SUMPRODUCT((MOVIMIENTOS!$B$5:$B$1005="PROCESO")*(MOVIMIENTOS!$C$5:$C$1005="M")*(MOVIMIENTOS!$D$5:$D$1005="jabas")*(MOVIMIENTOS!$A$5:$A$1005&lt;&gt;"")*(MOVIMIENTOS!$A$5:$A$1005&lt;=$A910)*MOVIMIENTOS!$E$5:$E$1005)-SUMPRODUCT((MOVIMIENTOS!$B$5:$B$1005="ENVÍO A SUPESA")*(MOVIMIENTOS!$C$5:$C$1005="M")*(MOVIMIENTOS!$D$5:$D$1005="jabas")*(MOVIMIENTOS!$A$5:$A$1005&lt;&gt;"")*(MOVIMIENTOS!$A$5:$A$1005&lt;=$A910)*MOVIMIENTOS!$E$5:$E$1005)+SUMPRODUCT((MOVIMIENTOS!$B$5:$B$1005="DEVOLUCIÓN")*(MOVIMIENTOS!$C$5:$C$1005="M")*(MOVIMIENTOS!$D$5:$D$1005="jabas")*(MOVIMIENTOS!$A$5:$A$1005&lt;&gt;"")*(MOVIMIENTOS!$A$5:$A$1005&lt;=$A910)*MOVIMIENTOS!$E$5:$E$1005)-SUMPRODUCT((MOVIMIENTOS!$B$5:$B$1005="TRASIEGO")*(MOVIMIENTOS!$C$5:$C$1005="M")*(MOVIMIENTOS!$D$5:$D$1005="jabas")*(MOVIMIENTOS!$A$5:$A$1005&lt;&gt;"")*(MOVIMIENTOS!$A$5:$A$1005&lt;=$A910)*MOVIMIENTOS!$E$5:$E$1005)-SUMPRODUCT((MOVIMIENTOS!$B$5:$B$1005="REGALO")*(MOVIMIENTOS!$C$5:$C$1005="M")*(MOVIMIENTOS!$D$5:$D$1005="jabas")*(MOVIMIENTOS!$A$5:$A$1005&lt;&gt;"")*(MOVIMIENTOS!$A$5:$A$1005&lt;=$A910)*MOVIMIENTOS!$E$5:$E$1005)-SUMPRODUCT((MOVIMIENTOS!$B$5:$B$1005="VENTA")*(MOVIMIENTOS!$C$5:$C$1005="M")*(MOVIMIENTOS!$D$5:$D$1005="jabas")*(MOVIMIENTOS!$A$5:$A$1005&lt;&gt;"")*(MOVIMIENTOS!$A$5:$A$1005&lt;=$A910)*MOVIMIENTOS!$E$5:$E$1005)+SUMPRODUCT((MOVIMIENTOS!$B$5:$B$1005="AJUSTE")*(MOVIMIENTOS!$C$5:$C$1005="M")*(MOVIMIENTOS!$D$5:$D$1005="jabas")*(MOVIMIENTOS!$A$5:$A$1005&lt;&gt;"")*(MOVIMIENTOS!$A$5:$A$1005&lt;=$A910)*MOVIMIENTOS!$E$5:$E$1005))</f>
        <v/>
      </c>
      <c r="F910" s="62" t="str">
        <f>IF($A910="","",SUMPRODUCT((MOVIMIENTOS!$B$5:$B$1005="SALDO INICIAL")*(MOVIMIENTOS!$C$5:$C$1005="Chancho")*(MOVIMIENTOS!$D$5:$D$1005="sacos")*(MOVIMIENTOS!$A$5:$A$1005&lt;&gt;"")*(MOVIMIENTOS!$A$5:$A$1005&lt;=$A910)*MOVIMIENTOS!$E$5:$E$1005)+SUMPRODUCT((MOVIMIENTOS!$B$5:$B$1005="PROCESO")*(MOVIMIENTOS!$C$5:$C$1005="Chancho")*(MOVIMIENTOS!$D$5:$D$1005="sacos")*(MOVIMIENTOS!$A$5:$A$1005&lt;&gt;"")*(MOVIMIENTOS!$A$5:$A$1005&lt;=$A910)*MOVIMIENTOS!$E$5:$E$1005)-SUMPRODUCT((MOVIMIENTOS!$B$5:$B$1005="VENTA CHANCHO")*(MOVIMIENTOS!$C$5:$C$1005="Chancho")*(MOVIMIENTOS!$D$5:$D$1005="sacos")*(MOVIMIENTOS!$A$5:$A$1005&lt;&gt;"")*(MOVIMIENTOS!$A$5:$A$1005&lt;=$A910)*MOVIMIENTOS!$E$5:$E$1005)-SUMPRODUCT((MOVIMIENTOS!$B$5:$B$1005="REGALO")*(MOVIMIENTOS!$C$5:$C$1005="Chancho")*(MOVIMIENTOS!$D$5:$D$1005="sacos")*(MOVIMIENTOS!$A$5:$A$1005&lt;&gt;"")*(MOVIMIENTOS!$A$5:$A$1005&lt;=$A910)*MOVIMIENTOS!$E$5:$E$1005)-SUMPRODUCT((MOVIMIENTOS!$B$5:$B$1005="VENTA")*(MOVIMIENTOS!$C$5:$C$1005="Chancho")*(MOVIMIENTOS!$D$5:$D$1005="sacos")*(MOVIMIENTOS!$A$5:$A$1005&lt;&gt;"")*(MOVIMIENTOS!$A$5:$A$1005&lt;=$A910)*MOVIMIENTOS!$E$5:$E$1005)+SUMPRODUCT((MOVIMIENTOS!$B$5:$B$1005="AJUSTE")*(MOVIMIENTOS!$C$5:$C$1005="Chancho")*(MOVIMIENTOS!$D$5:$D$1005="sacos")*(MOVIMIENTOS!$A$5:$A$1005&lt;&gt;"")*(MOVIMIENTOS!$A$5:$A$1005&lt;=$A910)*MOVIMIENTOS!$E$5:$E$1005))</f>
        <v/>
      </c>
      <c r="G910" s="62" t="str">
        <f t="shared" si="29"/>
        <v/>
      </c>
      <c r="H910" t="str">
        <f>IF($A910="","",SUMPRODUCT((((MOVIMIENTOS!$B$5:$B$1005="SALDO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910)*MOVIMIENTOS!$J$5:$J$1005))</f>
        <v/>
      </c>
      <c r="J910" t="str">
        <f>IF(AND(MOVIMIENTOS!$A915&lt;&gt;"",COUNTIF(MOVIMIENTOS!$A$5:$A914,MOVIMIENTOS!$A915)=0),COUNT(J$4:J909)+1,"")</f>
        <v/>
      </c>
      <c r="K910">
        <f>MOVIMIENTOS!$A915</f>
        <v>0</v>
      </c>
    </row>
    <row r="911" spans="1:11" ht="15" customHeight="1" x14ac:dyDescent="0.2">
      <c r="A911" t="str">
        <f t="shared" si="28"/>
        <v/>
      </c>
      <c r="B911" t="str">
        <f>IF($A911="","",SUMPRODUCT((MOVIMIENTOS!$B$5:$B$1005="SALDO INICIAL")*(MOVIMIENTOS!$C$5:$C$1005="A")*(MOVIMIENTOS!$D$5:$D$1005="jabas")*(MOVIMIENTOS!$A$5:$A$1005&lt;&gt;"")*(MOVIMIENTOS!$A$5:$A$1005&lt;=$A911)*MOVIMIENTOS!$E$5:$E$1005)+SUMPRODUCT((MOVIMIENTOS!$B$5:$B$1005="PROCESO")*(MOVIMIENTOS!$C$5:$C$1005="A")*(MOVIMIENTOS!$D$5:$D$1005="jabas")*(MOVIMIENTOS!$A$5:$A$1005&lt;&gt;"")*(MOVIMIENTOS!$A$5:$A$1005&lt;=$A911)*MOVIMIENTOS!$E$5:$E$1005)-SUMPRODUCT((MOVIMIENTOS!$B$5:$B$1005="ENVÍO A SUPESA")*(MOVIMIENTOS!$C$5:$C$1005="A")*(MOVIMIENTOS!$D$5:$D$1005="jabas")*(MOVIMIENTOS!$A$5:$A$1005&lt;&gt;"")*(MOVIMIENTOS!$A$5:$A$1005&lt;=$A911)*MOVIMIENTOS!$E$5:$E$1005)+SUMPRODUCT((MOVIMIENTOS!$B$5:$B$1005="DEVOLUCIÓN")*(MOVIMIENTOS!$C$5:$C$1005="A")*(MOVIMIENTOS!$D$5:$D$1005="jabas")*(MOVIMIENTOS!$A$5:$A$1005&lt;&gt;"")*(MOVIMIENTOS!$A$5:$A$1005&lt;=$A911)*MOVIMIENTOS!$E$5:$E$1005)-SUMPRODUCT((MOVIMIENTOS!$B$5:$B$1005="TRASIEGO")*(MOVIMIENTOS!$C$5:$C$1005="A")*(MOVIMIENTOS!$D$5:$D$1005="jabas")*(MOVIMIENTOS!$A$5:$A$1005&lt;&gt;"")*(MOVIMIENTOS!$A$5:$A$1005&lt;=$A911)*MOVIMIENTOS!$E$5:$E$1005)-SUMPRODUCT((MOVIMIENTOS!$B$5:$B$1005="REGALO")*(MOVIMIENTOS!$C$5:$C$1005="A")*(MOVIMIENTOS!$D$5:$D$1005="jabas")*(MOVIMIENTOS!$A$5:$A$1005&lt;&gt;"")*(MOVIMIENTOS!$A$5:$A$1005&lt;=$A911)*MOVIMIENTOS!$E$5:$E$1005)-SUMPRODUCT((MOVIMIENTOS!$B$5:$B$1005="VENTA")*(MOVIMIENTOS!$C$5:$C$1005="A")*(MOVIMIENTOS!$D$5:$D$1005="jabas")*(MOVIMIENTOS!$A$5:$A$1005&lt;&gt;"")*(MOVIMIENTOS!$A$5:$A$1005&lt;=$A911)*MOVIMIENTOS!$E$5:$E$1005)+SUMPRODUCT((MOVIMIENTOS!$B$5:$B$1005="AJUSTE")*(MOVIMIENTOS!$C$5:$C$1005="A")*(MOVIMIENTOS!$D$5:$D$1005="jabas")*(MOVIMIENTOS!$A$5:$A$1005&lt;&gt;"")*(MOVIMIENTOS!$A$5:$A$1005&lt;=$A911)*MOVIMIENTOS!$E$5:$E$1005))</f>
        <v/>
      </c>
      <c r="C911" t="str">
        <f>IF($A911="","",SUMPRODUCT((MOVIMIENTOS!$B$5:$B$1005="SALDO INICIAL")*(MOVIMIENTOS!$C$5:$C$1005="P")*(MOVIMIENTOS!$D$5:$D$1005="jabas")*(MOVIMIENTOS!$A$5:$A$1005&lt;&gt;"")*(MOVIMIENTOS!$A$5:$A$1005&lt;=$A911)*MOVIMIENTOS!$E$5:$E$1005)+SUMPRODUCT((MOVIMIENTOS!$B$5:$B$1005="PROCESO")*(MOVIMIENTOS!$C$5:$C$1005="P")*(MOVIMIENTOS!$D$5:$D$1005="jabas")*(MOVIMIENTOS!$A$5:$A$1005&lt;&gt;"")*(MOVIMIENTOS!$A$5:$A$1005&lt;=$A911)*MOVIMIENTOS!$E$5:$E$1005)-SUMPRODUCT((MOVIMIENTOS!$B$5:$B$1005="ENVÍO A SUPESA")*(MOVIMIENTOS!$C$5:$C$1005="P")*(MOVIMIENTOS!$D$5:$D$1005="jabas")*(MOVIMIENTOS!$A$5:$A$1005&lt;&gt;"")*(MOVIMIENTOS!$A$5:$A$1005&lt;=$A911)*MOVIMIENTOS!$E$5:$E$1005)+SUMPRODUCT((MOVIMIENTOS!$B$5:$B$1005="DEVOLUCIÓN")*(MOVIMIENTOS!$C$5:$C$1005="P")*(MOVIMIENTOS!$D$5:$D$1005="jabas")*(MOVIMIENTOS!$A$5:$A$1005&lt;&gt;"")*(MOVIMIENTOS!$A$5:$A$1005&lt;=$A911)*MOVIMIENTOS!$E$5:$E$1005)-SUMPRODUCT((MOVIMIENTOS!$B$5:$B$1005="TRASIEGO")*(MOVIMIENTOS!$C$5:$C$1005="P")*(MOVIMIENTOS!$D$5:$D$1005="jabas")*(MOVIMIENTOS!$A$5:$A$1005&lt;&gt;"")*(MOVIMIENTOS!$A$5:$A$1005&lt;=$A911)*MOVIMIENTOS!$E$5:$E$1005)-SUMPRODUCT((MOVIMIENTOS!$B$5:$B$1005="REGALO")*(MOVIMIENTOS!$C$5:$C$1005="P")*(MOVIMIENTOS!$D$5:$D$1005="jabas")*(MOVIMIENTOS!$A$5:$A$1005&lt;&gt;"")*(MOVIMIENTOS!$A$5:$A$1005&lt;=$A911)*MOVIMIENTOS!$E$5:$E$1005)-SUMPRODUCT((MOVIMIENTOS!$B$5:$B$1005="VENTA")*(MOVIMIENTOS!$C$5:$C$1005="P")*(MOVIMIENTOS!$D$5:$D$1005="jabas")*(MOVIMIENTOS!$A$5:$A$1005&lt;&gt;"")*(MOVIMIENTOS!$A$5:$A$1005&lt;=$A911)*MOVIMIENTOS!$E$5:$E$1005)+SUMPRODUCT((MOVIMIENTOS!$B$5:$B$1005="AJUSTE")*(MOVIMIENTOS!$C$5:$C$1005="P")*(MOVIMIENTOS!$D$5:$D$1005="jabas")*(MOVIMIENTOS!$A$5:$A$1005&lt;&gt;"")*(MOVIMIENTOS!$A$5:$A$1005&lt;=$A911)*MOVIMIENTOS!$E$5:$E$1005))</f>
        <v/>
      </c>
      <c r="D911" t="str">
        <f>IF($A911="","",SUMPRODUCT((MOVIMIENTOS!$B$5:$B$1005="SALDO INICIAL")*(MOVIMIENTOS!$C$5:$C$1005="C")*(MOVIMIENTOS!$D$5:$D$1005="jabas")*(MOVIMIENTOS!$A$5:$A$1005&lt;&gt;"")*(MOVIMIENTOS!$A$5:$A$1005&lt;=$A911)*MOVIMIENTOS!$E$5:$E$1005)+SUMPRODUCT((MOVIMIENTOS!$B$5:$B$1005="PROCESO")*(MOVIMIENTOS!$C$5:$C$1005="C")*(MOVIMIENTOS!$D$5:$D$1005="jabas")*(MOVIMIENTOS!$A$5:$A$1005&lt;&gt;"")*(MOVIMIENTOS!$A$5:$A$1005&lt;=$A911)*MOVIMIENTOS!$E$5:$E$1005)-SUMPRODUCT((MOVIMIENTOS!$B$5:$B$1005="ENVÍO A SUPESA")*(MOVIMIENTOS!$C$5:$C$1005="C")*(MOVIMIENTOS!$D$5:$D$1005="jabas")*(MOVIMIENTOS!$A$5:$A$1005&lt;&gt;"")*(MOVIMIENTOS!$A$5:$A$1005&lt;=$A911)*MOVIMIENTOS!$E$5:$E$1005)+SUMPRODUCT((MOVIMIENTOS!$B$5:$B$1005="DEVOLUCIÓN")*(MOVIMIENTOS!$C$5:$C$1005="C")*(MOVIMIENTOS!$D$5:$D$1005="jabas")*(MOVIMIENTOS!$A$5:$A$1005&lt;&gt;"")*(MOVIMIENTOS!$A$5:$A$1005&lt;=$A911)*MOVIMIENTOS!$E$5:$E$1005)-SUMPRODUCT((MOVIMIENTOS!$B$5:$B$1005="TRASIEGO")*(MOVIMIENTOS!$C$5:$C$1005="C")*(MOVIMIENTOS!$D$5:$D$1005="jabas")*(MOVIMIENTOS!$A$5:$A$1005&lt;&gt;"")*(MOVIMIENTOS!$A$5:$A$1005&lt;=$A911)*MOVIMIENTOS!$E$5:$E$1005)-SUMPRODUCT((MOVIMIENTOS!$B$5:$B$1005="REGALO")*(MOVIMIENTOS!$C$5:$C$1005="C")*(MOVIMIENTOS!$D$5:$D$1005="jabas")*(MOVIMIENTOS!$A$5:$A$1005&lt;&gt;"")*(MOVIMIENTOS!$A$5:$A$1005&lt;=$A911)*MOVIMIENTOS!$E$5:$E$1005)-SUMPRODUCT((MOVIMIENTOS!$B$5:$B$1005="VENTA")*(MOVIMIENTOS!$C$5:$C$1005="C")*(MOVIMIENTOS!$D$5:$D$1005="jabas")*(MOVIMIENTOS!$A$5:$A$1005&lt;&gt;"")*(MOVIMIENTOS!$A$5:$A$1005&lt;=$A911)*MOVIMIENTOS!$E$5:$E$1005)+SUMPRODUCT((MOVIMIENTOS!$B$5:$B$1005="AJUSTE")*(MOVIMIENTOS!$C$5:$C$1005="C")*(MOVIMIENTOS!$D$5:$D$1005="jabas")*(MOVIMIENTOS!$A$5:$A$1005&lt;&gt;"")*(MOVIMIENTOS!$A$5:$A$1005&lt;=$A911)*MOVIMIENTOS!$E$5:$E$1005))</f>
        <v/>
      </c>
      <c r="E911" t="str">
        <f>IF($A911="","",SUMPRODUCT((MOVIMIENTOS!$B$5:$B$1005="SALDO INICIAL")*(MOVIMIENTOS!$C$5:$C$1005="M")*(MOVIMIENTOS!$D$5:$D$1005="jabas")*(MOVIMIENTOS!$A$5:$A$1005&lt;&gt;"")*(MOVIMIENTOS!$A$5:$A$1005&lt;=$A911)*MOVIMIENTOS!$E$5:$E$1005)+SUMPRODUCT((MOVIMIENTOS!$B$5:$B$1005="PROCESO")*(MOVIMIENTOS!$C$5:$C$1005="M")*(MOVIMIENTOS!$D$5:$D$1005="jabas")*(MOVIMIENTOS!$A$5:$A$1005&lt;&gt;"")*(MOVIMIENTOS!$A$5:$A$1005&lt;=$A911)*MOVIMIENTOS!$E$5:$E$1005)-SUMPRODUCT((MOVIMIENTOS!$B$5:$B$1005="ENVÍO A SUPESA")*(MOVIMIENTOS!$C$5:$C$1005="M")*(MOVIMIENTOS!$D$5:$D$1005="jabas")*(MOVIMIENTOS!$A$5:$A$1005&lt;&gt;"")*(MOVIMIENTOS!$A$5:$A$1005&lt;=$A911)*MOVIMIENTOS!$E$5:$E$1005)+SUMPRODUCT((MOVIMIENTOS!$B$5:$B$1005="DEVOLUCIÓN")*(MOVIMIENTOS!$C$5:$C$1005="M")*(MOVIMIENTOS!$D$5:$D$1005="jabas")*(MOVIMIENTOS!$A$5:$A$1005&lt;&gt;"")*(MOVIMIENTOS!$A$5:$A$1005&lt;=$A911)*MOVIMIENTOS!$E$5:$E$1005)-SUMPRODUCT((MOVIMIENTOS!$B$5:$B$1005="TRASIEGO")*(MOVIMIENTOS!$C$5:$C$1005="M")*(MOVIMIENTOS!$D$5:$D$1005="jabas")*(MOVIMIENTOS!$A$5:$A$1005&lt;&gt;"")*(MOVIMIENTOS!$A$5:$A$1005&lt;=$A911)*MOVIMIENTOS!$E$5:$E$1005)-SUMPRODUCT((MOVIMIENTOS!$B$5:$B$1005="REGALO")*(MOVIMIENTOS!$C$5:$C$1005="M")*(MOVIMIENTOS!$D$5:$D$1005="jabas")*(MOVIMIENTOS!$A$5:$A$1005&lt;&gt;"")*(MOVIMIENTOS!$A$5:$A$1005&lt;=$A911)*MOVIMIENTOS!$E$5:$E$1005)-SUMPRODUCT((MOVIMIENTOS!$B$5:$B$1005="VENTA")*(MOVIMIENTOS!$C$5:$C$1005="M")*(MOVIMIENTOS!$D$5:$D$1005="jabas")*(MOVIMIENTOS!$A$5:$A$1005&lt;&gt;"")*(MOVIMIENTOS!$A$5:$A$1005&lt;=$A911)*MOVIMIENTOS!$E$5:$E$1005)+SUMPRODUCT((MOVIMIENTOS!$B$5:$B$1005="AJUSTE")*(MOVIMIENTOS!$C$5:$C$1005="M")*(MOVIMIENTOS!$D$5:$D$1005="jabas")*(MOVIMIENTOS!$A$5:$A$1005&lt;&gt;"")*(MOVIMIENTOS!$A$5:$A$1005&lt;=$A911)*MOVIMIENTOS!$E$5:$E$1005))</f>
        <v/>
      </c>
      <c r="F911" s="62" t="str">
        <f>IF($A911="","",SUMPRODUCT((MOVIMIENTOS!$B$5:$B$1005="SALDO INICIAL")*(MOVIMIENTOS!$C$5:$C$1005="Chancho")*(MOVIMIENTOS!$D$5:$D$1005="sacos")*(MOVIMIENTOS!$A$5:$A$1005&lt;&gt;"")*(MOVIMIENTOS!$A$5:$A$1005&lt;=$A911)*MOVIMIENTOS!$E$5:$E$1005)+SUMPRODUCT((MOVIMIENTOS!$B$5:$B$1005="PROCESO")*(MOVIMIENTOS!$C$5:$C$1005="Chancho")*(MOVIMIENTOS!$D$5:$D$1005="sacos")*(MOVIMIENTOS!$A$5:$A$1005&lt;&gt;"")*(MOVIMIENTOS!$A$5:$A$1005&lt;=$A911)*MOVIMIENTOS!$E$5:$E$1005)-SUMPRODUCT((MOVIMIENTOS!$B$5:$B$1005="VENTA CHANCHO")*(MOVIMIENTOS!$C$5:$C$1005="Chancho")*(MOVIMIENTOS!$D$5:$D$1005="sacos")*(MOVIMIENTOS!$A$5:$A$1005&lt;&gt;"")*(MOVIMIENTOS!$A$5:$A$1005&lt;=$A911)*MOVIMIENTOS!$E$5:$E$1005)-SUMPRODUCT((MOVIMIENTOS!$B$5:$B$1005="REGALO")*(MOVIMIENTOS!$C$5:$C$1005="Chancho")*(MOVIMIENTOS!$D$5:$D$1005="sacos")*(MOVIMIENTOS!$A$5:$A$1005&lt;&gt;"")*(MOVIMIENTOS!$A$5:$A$1005&lt;=$A911)*MOVIMIENTOS!$E$5:$E$1005)-SUMPRODUCT((MOVIMIENTOS!$B$5:$B$1005="VENTA")*(MOVIMIENTOS!$C$5:$C$1005="Chancho")*(MOVIMIENTOS!$D$5:$D$1005="sacos")*(MOVIMIENTOS!$A$5:$A$1005&lt;&gt;"")*(MOVIMIENTOS!$A$5:$A$1005&lt;=$A911)*MOVIMIENTOS!$E$5:$E$1005)+SUMPRODUCT((MOVIMIENTOS!$B$5:$B$1005="AJUSTE")*(MOVIMIENTOS!$C$5:$C$1005="Chancho")*(MOVIMIENTOS!$D$5:$D$1005="sacos")*(MOVIMIENTOS!$A$5:$A$1005&lt;&gt;"")*(MOVIMIENTOS!$A$5:$A$1005&lt;=$A911)*MOVIMIENTOS!$E$5:$E$1005))</f>
        <v/>
      </c>
      <c r="G911" s="62" t="str">
        <f t="shared" si="29"/>
        <v/>
      </c>
      <c r="H911" t="str">
        <f>IF($A911="","",SUMPRODUCT((((MOVIMIENTOS!$B$5:$B$1005="SALDO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911)*MOVIMIENTOS!$J$5:$J$1005))</f>
        <v/>
      </c>
      <c r="J911" t="str">
        <f>IF(AND(MOVIMIENTOS!$A916&lt;&gt;"",COUNTIF(MOVIMIENTOS!$A$5:$A915,MOVIMIENTOS!$A916)=0),COUNT(J$4:J910)+1,"")</f>
        <v/>
      </c>
      <c r="K911">
        <f>MOVIMIENTOS!$A916</f>
        <v>0</v>
      </c>
    </row>
    <row r="912" spans="1:11" ht="15" customHeight="1" x14ac:dyDescent="0.2">
      <c r="A912" t="str">
        <f t="shared" si="28"/>
        <v/>
      </c>
      <c r="B912" t="str">
        <f>IF($A912="","",SUMPRODUCT((MOVIMIENTOS!$B$5:$B$1005="SALDO INICIAL")*(MOVIMIENTOS!$C$5:$C$1005="A")*(MOVIMIENTOS!$D$5:$D$1005="jabas")*(MOVIMIENTOS!$A$5:$A$1005&lt;&gt;"")*(MOVIMIENTOS!$A$5:$A$1005&lt;=$A912)*MOVIMIENTOS!$E$5:$E$1005)+SUMPRODUCT((MOVIMIENTOS!$B$5:$B$1005="PROCESO")*(MOVIMIENTOS!$C$5:$C$1005="A")*(MOVIMIENTOS!$D$5:$D$1005="jabas")*(MOVIMIENTOS!$A$5:$A$1005&lt;&gt;"")*(MOVIMIENTOS!$A$5:$A$1005&lt;=$A912)*MOVIMIENTOS!$E$5:$E$1005)-SUMPRODUCT((MOVIMIENTOS!$B$5:$B$1005="ENVÍO A SUPESA")*(MOVIMIENTOS!$C$5:$C$1005="A")*(MOVIMIENTOS!$D$5:$D$1005="jabas")*(MOVIMIENTOS!$A$5:$A$1005&lt;&gt;"")*(MOVIMIENTOS!$A$5:$A$1005&lt;=$A912)*MOVIMIENTOS!$E$5:$E$1005)+SUMPRODUCT((MOVIMIENTOS!$B$5:$B$1005="DEVOLUCIÓN")*(MOVIMIENTOS!$C$5:$C$1005="A")*(MOVIMIENTOS!$D$5:$D$1005="jabas")*(MOVIMIENTOS!$A$5:$A$1005&lt;&gt;"")*(MOVIMIENTOS!$A$5:$A$1005&lt;=$A912)*MOVIMIENTOS!$E$5:$E$1005)-SUMPRODUCT((MOVIMIENTOS!$B$5:$B$1005="TRASIEGO")*(MOVIMIENTOS!$C$5:$C$1005="A")*(MOVIMIENTOS!$D$5:$D$1005="jabas")*(MOVIMIENTOS!$A$5:$A$1005&lt;&gt;"")*(MOVIMIENTOS!$A$5:$A$1005&lt;=$A912)*MOVIMIENTOS!$E$5:$E$1005)-SUMPRODUCT((MOVIMIENTOS!$B$5:$B$1005="REGALO")*(MOVIMIENTOS!$C$5:$C$1005="A")*(MOVIMIENTOS!$D$5:$D$1005="jabas")*(MOVIMIENTOS!$A$5:$A$1005&lt;&gt;"")*(MOVIMIENTOS!$A$5:$A$1005&lt;=$A912)*MOVIMIENTOS!$E$5:$E$1005)-SUMPRODUCT((MOVIMIENTOS!$B$5:$B$1005="VENTA")*(MOVIMIENTOS!$C$5:$C$1005="A")*(MOVIMIENTOS!$D$5:$D$1005="jabas")*(MOVIMIENTOS!$A$5:$A$1005&lt;&gt;"")*(MOVIMIENTOS!$A$5:$A$1005&lt;=$A912)*MOVIMIENTOS!$E$5:$E$1005)+SUMPRODUCT((MOVIMIENTOS!$B$5:$B$1005="AJUSTE")*(MOVIMIENTOS!$C$5:$C$1005="A")*(MOVIMIENTOS!$D$5:$D$1005="jabas")*(MOVIMIENTOS!$A$5:$A$1005&lt;&gt;"")*(MOVIMIENTOS!$A$5:$A$1005&lt;=$A912)*MOVIMIENTOS!$E$5:$E$1005))</f>
        <v/>
      </c>
      <c r="C912" t="str">
        <f>IF($A912="","",SUMPRODUCT((MOVIMIENTOS!$B$5:$B$1005="SALDO INICIAL")*(MOVIMIENTOS!$C$5:$C$1005="P")*(MOVIMIENTOS!$D$5:$D$1005="jabas")*(MOVIMIENTOS!$A$5:$A$1005&lt;&gt;"")*(MOVIMIENTOS!$A$5:$A$1005&lt;=$A912)*MOVIMIENTOS!$E$5:$E$1005)+SUMPRODUCT((MOVIMIENTOS!$B$5:$B$1005="PROCESO")*(MOVIMIENTOS!$C$5:$C$1005="P")*(MOVIMIENTOS!$D$5:$D$1005="jabas")*(MOVIMIENTOS!$A$5:$A$1005&lt;&gt;"")*(MOVIMIENTOS!$A$5:$A$1005&lt;=$A912)*MOVIMIENTOS!$E$5:$E$1005)-SUMPRODUCT((MOVIMIENTOS!$B$5:$B$1005="ENVÍO A SUPESA")*(MOVIMIENTOS!$C$5:$C$1005="P")*(MOVIMIENTOS!$D$5:$D$1005="jabas")*(MOVIMIENTOS!$A$5:$A$1005&lt;&gt;"")*(MOVIMIENTOS!$A$5:$A$1005&lt;=$A912)*MOVIMIENTOS!$E$5:$E$1005)+SUMPRODUCT((MOVIMIENTOS!$B$5:$B$1005="DEVOLUCIÓN")*(MOVIMIENTOS!$C$5:$C$1005="P")*(MOVIMIENTOS!$D$5:$D$1005="jabas")*(MOVIMIENTOS!$A$5:$A$1005&lt;&gt;"")*(MOVIMIENTOS!$A$5:$A$1005&lt;=$A912)*MOVIMIENTOS!$E$5:$E$1005)-SUMPRODUCT((MOVIMIENTOS!$B$5:$B$1005="TRASIEGO")*(MOVIMIENTOS!$C$5:$C$1005="P")*(MOVIMIENTOS!$D$5:$D$1005="jabas")*(MOVIMIENTOS!$A$5:$A$1005&lt;&gt;"")*(MOVIMIENTOS!$A$5:$A$1005&lt;=$A912)*MOVIMIENTOS!$E$5:$E$1005)-SUMPRODUCT((MOVIMIENTOS!$B$5:$B$1005="REGALO")*(MOVIMIENTOS!$C$5:$C$1005="P")*(MOVIMIENTOS!$D$5:$D$1005="jabas")*(MOVIMIENTOS!$A$5:$A$1005&lt;&gt;"")*(MOVIMIENTOS!$A$5:$A$1005&lt;=$A912)*MOVIMIENTOS!$E$5:$E$1005)-SUMPRODUCT((MOVIMIENTOS!$B$5:$B$1005="VENTA")*(MOVIMIENTOS!$C$5:$C$1005="P")*(MOVIMIENTOS!$D$5:$D$1005="jabas")*(MOVIMIENTOS!$A$5:$A$1005&lt;&gt;"")*(MOVIMIENTOS!$A$5:$A$1005&lt;=$A912)*MOVIMIENTOS!$E$5:$E$1005)+SUMPRODUCT((MOVIMIENTOS!$B$5:$B$1005="AJUSTE")*(MOVIMIENTOS!$C$5:$C$1005="P")*(MOVIMIENTOS!$D$5:$D$1005="jabas")*(MOVIMIENTOS!$A$5:$A$1005&lt;&gt;"")*(MOVIMIENTOS!$A$5:$A$1005&lt;=$A912)*MOVIMIENTOS!$E$5:$E$1005))</f>
        <v/>
      </c>
      <c r="D912" t="str">
        <f>IF($A912="","",SUMPRODUCT((MOVIMIENTOS!$B$5:$B$1005="SALDO INICIAL")*(MOVIMIENTOS!$C$5:$C$1005="C")*(MOVIMIENTOS!$D$5:$D$1005="jabas")*(MOVIMIENTOS!$A$5:$A$1005&lt;&gt;"")*(MOVIMIENTOS!$A$5:$A$1005&lt;=$A912)*MOVIMIENTOS!$E$5:$E$1005)+SUMPRODUCT((MOVIMIENTOS!$B$5:$B$1005="PROCESO")*(MOVIMIENTOS!$C$5:$C$1005="C")*(MOVIMIENTOS!$D$5:$D$1005="jabas")*(MOVIMIENTOS!$A$5:$A$1005&lt;&gt;"")*(MOVIMIENTOS!$A$5:$A$1005&lt;=$A912)*MOVIMIENTOS!$E$5:$E$1005)-SUMPRODUCT((MOVIMIENTOS!$B$5:$B$1005="ENVÍO A SUPESA")*(MOVIMIENTOS!$C$5:$C$1005="C")*(MOVIMIENTOS!$D$5:$D$1005="jabas")*(MOVIMIENTOS!$A$5:$A$1005&lt;&gt;"")*(MOVIMIENTOS!$A$5:$A$1005&lt;=$A912)*MOVIMIENTOS!$E$5:$E$1005)+SUMPRODUCT((MOVIMIENTOS!$B$5:$B$1005="DEVOLUCIÓN")*(MOVIMIENTOS!$C$5:$C$1005="C")*(MOVIMIENTOS!$D$5:$D$1005="jabas")*(MOVIMIENTOS!$A$5:$A$1005&lt;&gt;"")*(MOVIMIENTOS!$A$5:$A$1005&lt;=$A912)*MOVIMIENTOS!$E$5:$E$1005)-SUMPRODUCT((MOVIMIENTOS!$B$5:$B$1005="TRASIEGO")*(MOVIMIENTOS!$C$5:$C$1005="C")*(MOVIMIENTOS!$D$5:$D$1005="jabas")*(MOVIMIENTOS!$A$5:$A$1005&lt;&gt;"")*(MOVIMIENTOS!$A$5:$A$1005&lt;=$A912)*MOVIMIENTOS!$E$5:$E$1005)-SUMPRODUCT((MOVIMIENTOS!$B$5:$B$1005="REGALO")*(MOVIMIENTOS!$C$5:$C$1005="C")*(MOVIMIENTOS!$D$5:$D$1005="jabas")*(MOVIMIENTOS!$A$5:$A$1005&lt;&gt;"")*(MOVIMIENTOS!$A$5:$A$1005&lt;=$A912)*MOVIMIENTOS!$E$5:$E$1005)-SUMPRODUCT((MOVIMIENTOS!$B$5:$B$1005="VENTA")*(MOVIMIENTOS!$C$5:$C$1005="C")*(MOVIMIENTOS!$D$5:$D$1005="jabas")*(MOVIMIENTOS!$A$5:$A$1005&lt;&gt;"")*(MOVIMIENTOS!$A$5:$A$1005&lt;=$A912)*MOVIMIENTOS!$E$5:$E$1005)+SUMPRODUCT((MOVIMIENTOS!$B$5:$B$1005="AJUSTE")*(MOVIMIENTOS!$C$5:$C$1005="C")*(MOVIMIENTOS!$D$5:$D$1005="jabas")*(MOVIMIENTOS!$A$5:$A$1005&lt;&gt;"")*(MOVIMIENTOS!$A$5:$A$1005&lt;=$A912)*MOVIMIENTOS!$E$5:$E$1005))</f>
        <v/>
      </c>
      <c r="E912" t="str">
        <f>IF($A912="","",SUMPRODUCT((MOVIMIENTOS!$B$5:$B$1005="SALDO INICIAL")*(MOVIMIENTOS!$C$5:$C$1005="M")*(MOVIMIENTOS!$D$5:$D$1005="jabas")*(MOVIMIENTOS!$A$5:$A$1005&lt;&gt;"")*(MOVIMIENTOS!$A$5:$A$1005&lt;=$A912)*MOVIMIENTOS!$E$5:$E$1005)+SUMPRODUCT((MOVIMIENTOS!$B$5:$B$1005="PROCESO")*(MOVIMIENTOS!$C$5:$C$1005="M")*(MOVIMIENTOS!$D$5:$D$1005="jabas")*(MOVIMIENTOS!$A$5:$A$1005&lt;&gt;"")*(MOVIMIENTOS!$A$5:$A$1005&lt;=$A912)*MOVIMIENTOS!$E$5:$E$1005)-SUMPRODUCT((MOVIMIENTOS!$B$5:$B$1005="ENVÍO A SUPESA")*(MOVIMIENTOS!$C$5:$C$1005="M")*(MOVIMIENTOS!$D$5:$D$1005="jabas")*(MOVIMIENTOS!$A$5:$A$1005&lt;&gt;"")*(MOVIMIENTOS!$A$5:$A$1005&lt;=$A912)*MOVIMIENTOS!$E$5:$E$1005)+SUMPRODUCT((MOVIMIENTOS!$B$5:$B$1005="DEVOLUCIÓN")*(MOVIMIENTOS!$C$5:$C$1005="M")*(MOVIMIENTOS!$D$5:$D$1005="jabas")*(MOVIMIENTOS!$A$5:$A$1005&lt;&gt;"")*(MOVIMIENTOS!$A$5:$A$1005&lt;=$A912)*MOVIMIENTOS!$E$5:$E$1005)-SUMPRODUCT((MOVIMIENTOS!$B$5:$B$1005="TRASIEGO")*(MOVIMIENTOS!$C$5:$C$1005="M")*(MOVIMIENTOS!$D$5:$D$1005="jabas")*(MOVIMIENTOS!$A$5:$A$1005&lt;&gt;"")*(MOVIMIENTOS!$A$5:$A$1005&lt;=$A912)*MOVIMIENTOS!$E$5:$E$1005)-SUMPRODUCT((MOVIMIENTOS!$B$5:$B$1005="REGALO")*(MOVIMIENTOS!$C$5:$C$1005="M")*(MOVIMIENTOS!$D$5:$D$1005="jabas")*(MOVIMIENTOS!$A$5:$A$1005&lt;&gt;"")*(MOVIMIENTOS!$A$5:$A$1005&lt;=$A912)*MOVIMIENTOS!$E$5:$E$1005)-SUMPRODUCT((MOVIMIENTOS!$B$5:$B$1005="VENTA")*(MOVIMIENTOS!$C$5:$C$1005="M")*(MOVIMIENTOS!$D$5:$D$1005="jabas")*(MOVIMIENTOS!$A$5:$A$1005&lt;&gt;"")*(MOVIMIENTOS!$A$5:$A$1005&lt;=$A912)*MOVIMIENTOS!$E$5:$E$1005)+SUMPRODUCT((MOVIMIENTOS!$B$5:$B$1005="AJUSTE")*(MOVIMIENTOS!$C$5:$C$1005="M")*(MOVIMIENTOS!$D$5:$D$1005="jabas")*(MOVIMIENTOS!$A$5:$A$1005&lt;&gt;"")*(MOVIMIENTOS!$A$5:$A$1005&lt;=$A912)*MOVIMIENTOS!$E$5:$E$1005))</f>
        <v/>
      </c>
      <c r="F912" s="62" t="str">
        <f>IF($A912="","",SUMPRODUCT((MOVIMIENTOS!$B$5:$B$1005="SALDO INICIAL")*(MOVIMIENTOS!$C$5:$C$1005="Chancho")*(MOVIMIENTOS!$D$5:$D$1005="sacos")*(MOVIMIENTOS!$A$5:$A$1005&lt;&gt;"")*(MOVIMIENTOS!$A$5:$A$1005&lt;=$A912)*MOVIMIENTOS!$E$5:$E$1005)+SUMPRODUCT((MOVIMIENTOS!$B$5:$B$1005="PROCESO")*(MOVIMIENTOS!$C$5:$C$1005="Chancho")*(MOVIMIENTOS!$D$5:$D$1005="sacos")*(MOVIMIENTOS!$A$5:$A$1005&lt;&gt;"")*(MOVIMIENTOS!$A$5:$A$1005&lt;=$A912)*MOVIMIENTOS!$E$5:$E$1005)-SUMPRODUCT((MOVIMIENTOS!$B$5:$B$1005="VENTA CHANCHO")*(MOVIMIENTOS!$C$5:$C$1005="Chancho")*(MOVIMIENTOS!$D$5:$D$1005="sacos")*(MOVIMIENTOS!$A$5:$A$1005&lt;&gt;"")*(MOVIMIENTOS!$A$5:$A$1005&lt;=$A912)*MOVIMIENTOS!$E$5:$E$1005)-SUMPRODUCT((MOVIMIENTOS!$B$5:$B$1005="REGALO")*(MOVIMIENTOS!$C$5:$C$1005="Chancho")*(MOVIMIENTOS!$D$5:$D$1005="sacos")*(MOVIMIENTOS!$A$5:$A$1005&lt;&gt;"")*(MOVIMIENTOS!$A$5:$A$1005&lt;=$A912)*MOVIMIENTOS!$E$5:$E$1005)-SUMPRODUCT((MOVIMIENTOS!$B$5:$B$1005="VENTA")*(MOVIMIENTOS!$C$5:$C$1005="Chancho")*(MOVIMIENTOS!$D$5:$D$1005="sacos")*(MOVIMIENTOS!$A$5:$A$1005&lt;&gt;"")*(MOVIMIENTOS!$A$5:$A$1005&lt;=$A912)*MOVIMIENTOS!$E$5:$E$1005)+SUMPRODUCT((MOVIMIENTOS!$B$5:$B$1005="AJUSTE")*(MOVIMIENTOS!$C$5:$C$1005="Chancho")*(MOVIMIENTOS!$D$5:$D$1005="sacos")*(MOVIMIENTOS!$A$5:$A$1005&lt;&gt;"")*(MOVIMIENTOS!$A$5:$A$1005&lt;=$A912)*MOVIMIENTOS!$E$5:$E$1005))</f>
        <v/>
      </c>
      <c r="G912" s="62" t="str">
        <f t="shared" si="29"/>
        <v/>
      </c>
      <c r="H912" t="str">
        <f>IF($A912="","",SUMPRODUCT((((MOVIMIENTOS!$B$5:$B$1005="SALDO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912)*MOVIMIENTOS!$J$5:$J$1005))</f>
        <v/>
      </c>
      <c r="J912" t="str">
        <f>IF(AND(MOVIMIENTOS!$A917&lt;&gt;"",COUNTIF(MOVIMIENTOS!$A$5:$A916,MOVIMIENTOS!$A917)=0),COUNT(J$4:J911)+1,"")</f>
        <v/>
      </c>
      <c r="K912">
        <f>MOVIMIENTOS!$A917</f>
        <v>0</v>
      </c>
    </row>
    <row r="913" spans="1:11" ht="15" customHeight="1" x14ac:dyDescent="0.2">
      <c r="A913" t="str">
        <f t="shared" si="28"/>
        <v/>
      </c>
      <c r="B913" t="str">
        <f>IF($A913="","",SUMPRODUCT((MOVIMIENTOS!$B$5:$B$1005="SALDO INICIAL")*(MOVIMIENTOS!$C$5:$C$1005="A")*(MOVIMIENTOS!$D$5:$D$1005="jabas")*(MOVIMIENTOS!$A$5:$A$1005&lt;&gt;"")*(MOVIMIENTOS!$A$5:$A$1005&lt;=$A913)*MOVIMIENTOS!$E$5:$E$1005)+SUMPRODUCT((MOVIMIENTOS!$B$5:$B$1005="PROCESO")*(MOVIMIENTOS!$C$5:$C$1005="A")*(MOVIMIENTOS!$D$5:$D$1005="jabas")*(MOVIMIENTOS!$A$5:$A$1005&lt;&gt;"")*(MOVIMIENTOS!$A$5:$A$1005&lt;=$A913)*MOVIMIENTOS!$E$5:$E$1005)-SUMPRODUCT((MOVIMIENTOS!$B$5:$B$1005="ENVÍO A SUPESA")*(MOVIMIENTOS!$C$5:$C$1005="A")*(MOVIMIENTOS!$D$5:$D$1005="jabas")*(MOVIMIENTOS!$A$5:$A$1005&lt;&gt;"")*(MOVIMIENTOS!$A$5:$A$1005&lt;=$A913)*MOVIMIENTOS!$E$5:$E$1005)+SUMPRODUCT((MOVIMIENTOS!$B$5:$B$1005="DEVOLUCIÓN")*(MOVIMIENTOS!$C$5:$C$1005="A")*(MOVIMIENTOS!$D$5:$D$1005="jabas")*(MOVIMIENTOS!$A$5:$A$1005&lt;&gt;"")*(MOVIMIENTOS!$A$5:$A$1005&lt;=$A913)*MOVIMIENTOS!$E$5:$E$1005)-SUMPRODUCT((MOVIMIENTOS!$B$5:$B$1005="TRASIEGO")*(MOVIMIENTOS!$C$5:$C$1005="A")*(MOVIMIENTOS!$D$5:$D$1005="jabas")*(MOVIMIENTOS!$A$5:$A$1005&lt;&gt;"")*(MOVIMIENTOS!$A$5:$A$1005&lt;=$A913)*MOVIMIENTOS!$E$5:$E$1005)-SUMPRODUCT((MOVIMIENTOS!$B$5:$B$1005="REGALO")*(MOVIMIENTOS!$C$5:$C$1005="A")*(MOVIMIENTOS!$D$5:$D$1005="jabas")*(MOVIMIENTOS!$A$5:$A$1005&lt;&gt;"")*(MOVIMIENTOS!$A$5:$A$1005&lt;=$A913)*MOVIMIENTOS!$E$5:$E$1005)-SUMPRODUCT((MOVIMIENTOS!$B$5:$B$1005="VENTA")*(MOVIMIENTOS!$C$5:$C$1005="A")*(MOVIMIENTOS!$D$5:$D$1005="jabas")*(MOVIMIENTOS!$A$5:$A$1005&lt;&gt;"")*(MOVIMIENTOS!$A$5:$A$1005&lt;=$A913)*MOVIMIENTOS!$E$5:$E$1005)+SUMPRODUCT((MOVIMIENTOS!$B$5:$B$1005="AJUSTE")*(MOVIMIENTOS!$C$5:$C$1005="A")*(MOVIMIENTOS!$D$5:$D$1005="jabas")*(MOVIMIENTOS!$A$5:$A$1005&lt;&gt;"")*(MOVIMIENTOS!$A$5:$A$1005&lt;=$A913)*MOVIMIENTOS!$E$5:$E$1005))</f>
        <v/>
      </c>
      <c r="C913" t="str">
        <f>IF($A913="","",SUMPRODUCT((MOVIMIENTOS!$B$5:$B$1005="SALDO INICIAL")*(MOVIMIENTOS!$C$5:$C$1005="P")*(MOVIMIENTOS!$D$5:$D$1005="jabas")*(MOVIMIENTOS!$A$5:$A$1005&lt;&gt;"")*(MOVIMIENTOS!$A$5:$A$1005&lt;=$A913)*MOVIMIENTOS!$E$5:$E$1005)+SUMPRODUCT((MOVIMIENTOS!$B$5:$B$1005="PROCESO")*(MOVIMIENTOS!$C$5:$C$1005="P")*(MOVIMIENTOS!$D$5:$D$1005="jabas")*(MOVIMIENTOS!$A$5:$A$1005&lt;&gt;"")*(MOVIMIENTOS!$A$5:$A$1005&lt;=$A913)*MOVIMIENTOS!$E$5:$E$1005)-SUMPRODUCT((MOVIMIENTOS!$B$5:$B$1005="ENVÍO A SUPESA")*(MOVIMIENTOS!$C$5:$C$1005="P")*(MOVIMIENTOS!$D$5:$D$1005="jabas")*(MOVIMIENTOS!$A$5:$A$1005&lt;&gt;"")*(MOVIMIENTOS!$A$5:$A$1005&lt;=$A913)*MOVIMIENTOS!$E$5:$E$1005)+SUMPRODUCT((MOVIMIENTOS!$B$5:$B$1005="DEVOLUCIÓN")*(MOVIMIENTOS!$C$5:$C$1005="P")*(MOVIMIENTOS!$D$5:$D$1005="jabas")*(MOVIMIENTOS!$A$5:$A$1005&lt;&gt;"")*(MOVIMIENTOS!$A$5:$A$1005&lt;=$A913)*MOVIMIENTOS!$E$5:$E$1005)-SUMPRODUCT((MOVIMIENTOS!$B$5:$B$1005="TRASIEGO")*(MOVIMIENTOS!$C$5:$C$1005="P")*(MOVIMIENTOS!$D$5:$D$1005="jabas")*(MOVIMIENTOS!$A$5:$A$1005&lt;&gt;"")*(MOVIMIENTOS!$A$5:$A$1005&lt;=$A913)*MOVIMIENTOS!$E$5:$E$1005)-SUMPRODUCT((MOVIMIENTOS!$B$5:$B$1005="REGALO")*(MOVIMIENTOS!$C$5:$C$1005="P")*(MOVIMIENTOS!$D$5:$D$1005="jabas")*(MOVIMIENTOS!$A$5:$A$1005&lt;&gt;"")*(MOVIMIENTOS!$A$5:$A$1005&lt;=$A913)*MOVIMIENTOS!$E$5:$E$1005)-SUMPRODUCT((MOVIMIENTOS!$B$5:$B$1005="VENTA")*(MOVIMIENTOS!$C$5:$C$1005="P")*(MOVIMIENTOS!$D$5:$D$1005="jabas")*(MOVIMIENTOS!$A$5:$A$1005&lt;&gt;"")*(MOVIMIENTOS!$A$5:$A$1005&lt;=$A913)*MOVIMIENTOS!$E$5:$E$1005)+SUMPRODUCT((MOVIMIENTOS!$B$5:$B$1005="AJUSTE")*(MOVIMIENTOS!$C$5:$C$1005="P")*(MOVIMIENTOS!$D$5:$D$1005="jabas")*(MOVIMIENTOS!$A$5:$A$1005&lt;&gt;"")*(MOVIMIENTOS!$A$5:$A$1005&lt;=$A913)*MOVIMIENTOS!$E$5:$E$1005))</f>
        <v/>
      </c>
      <c r="D913" t="str">
        <f>IF($A913="","",SUMPRODUCT((MOVIMIENTOS!$B$5:$B$1005="SALDO INICIAL")*(MOVIMIENTOS!$C$5:$C$1005="C")*(MOVIMIENTOS!$D$5:$D$1005="jabas")*(MOVIMIENTOS!$A$5:$A$1005&lt;&gt;"")*(MOVIMIENTOS!$A$5:$A$1005&lt;=$A913)*MOVIMIENTOS!$E$5:$E$1005)+SUMPRODUCT((MOVIMIENTOS!$B$5:$B$1005="PROCESO")*(MOVIMIENTOS!$C$5:$C$1005="C")*(MOVIMIENTOS!$D$5:$D$1005="jabas")*(MOVIMIENTOS!$A$5:$A$1005&lt;&gt;"")*(MOVIMIENTOS!$A$5:$A$1005&lt;=$A913)*MOVIMIENTOS!$E$5:$E$1005)-SUMPRODUCT((MOVIMIENTOS!$B$5:$B$1005="ENVÍO A SUPESA")*(MOVIMIENTOS!$C$5:$C$1005="C")*(MOVIMIENTOS!$D$5:$D$1005="jabas")*(MOVIMIENTOS!$A$5:$A$1005&lt;&gt;"")*(MOVIMIENTOS!$A$5:$A$1005&lt;=$A913)*MOVIMIENTOS!$E$5:$E$1005)+SUMPRODUCT((MOVIMIENTOS!$B$5:$B$1005="DEVOLUCIÓN")*(MOVIMIENTOS!$C$5:$C$1005="C")*(MOVIMIENTOS!$D$5:$D$1005="jabas")*(MOVIMIENTOS!$A$5:$A$1005&lt;&gt;"")*(MOVIMIENTOS!$A$5:$A$1005&lt;=$A913)*MOVIMIENTOS!$E$5:$E$1005)-SUMPRODUCT((MOVIMIENTOS!$B$5:$B$1005="TRASIEGO")*(MOVIMIENTOS!$C$5:$C$1005="C")*(MOVIMIENTOS!$D$5:$D$1005="jabas")*(MOVIMIENTOS!$A$5:$A$1005&lt;&gt;"")*(MOVIMIENTOS!$A$5:$A$1005&lt;=$A913)*MOVIMIENTOS!$E$5:$E$1005)-SUMPRODUCT((MOVIMIENTOS!$B$5:$B$1005="REGALO")*(MOVIMIENTOS!$C$5:$C$1005="C")*(MOVIMIENTOS!$D$5:$D$1005="jabas")*(MOVIMIENTOS!$A$5:$A$1005&lt;&gt;"")*(MOVIMIENTOS!$A$5:$A$1005&lt;=$A913)*MOVIMIENTOS!$E$5:$E$1005)-SUMPRODUCT((MOVIMIENTOS!$B$5:$B$1005="VENTA")*(MOVIMIENTOS!$C$5:$C$1005="C")*(MOVIMIENTOS!$D$5:$D$1005="jabas")*(MOVIMIENTOS!$A$5:$A$1005&lt;&gt;"")*(MOVIMIENTOS!$A$5:$A$1005&lt;=$A913)*MOVIMIENTOS!$E$5:$E$1005)+SUMPRODUCT((MOVIMIENTOS!$B$5:$B$1005="AJUSTE")*(MOVIMIENTOS!$C$5:$C$1005="C")*(MOVIMIENTOS!$D$5:$D$1005="jabas")*(MOVIMIENTOS!$A$5:$A$1005&lt;&gt;"")*(MOVIMIENTOS!$A$5:$A$1005&lt;=$A913)*MOVIMIENTOS!$E$5:$E$1005))</f>
        <v/>
      </c>
      <c r="E913" t="str">
        <f>IF($A913="","",SUMPRODUCT((MOVIMIENTOS!$B$5:$B$1005="SALDO INICIAL")*(MOVIMIENTOS!$C$5:$C$1005="M")*(MOVIMIENTOS!$D$5:$D$1005="jabas")*(MOVIMIENTOS!$A$5:$A$1005&lt;&gt;"")*(MOVIMIENTOS!$A$5:$A$1005&lt;=$A913)*MOVIMIENTOS!$E$5:$E$1005)+SUMPRODUCT((MOVIMIENTOS!$B$5:$B$1005="PROCESO")*(MOVIMIENTOS!$C$5:$C$1005="M")*(MOVIMIENTOS!$D$5:$D$1005="jabas")*(MOVIMIENTOS!$A$5:$A$1005&lt;&gt;"")*(MOVIMIENTOS!$A$5:$A$1005&lt;=$A913)*MOVIMIENTOS!$E$5:$E$1005)-SUMPRODUCT((MOVIMIENTOS!$B$5:$B$1005="ENVÍO A SUPESA")*(MOVIMIENTOS!$C$5:$C$1005="M")*(MOVIMIENTOS!$D$5:$D$1005="jabas")*(MOVIMIENTOS!$A$5:$A$1005&lt;&gt;"")*(MOVIMIENTOS!$A$5:$A$1005&lt;=$A913)*MOVIMIENTOS!$E$5:$E$1005)+SUMPRODUCT((MOVIMIENTOS!$B$5:$B$1005="DEVOLUCIÓN")*(MOVIMIENTOS!$C$5:$C$1005="M")*(MOVIMIENTOS!$D$5:$D$1005="jabas")*(MOVIMIENTOS!$A$5:$A$1005&lt;&gt;"")*(MOVIMIENTOS!$A$5:$A$1005&lt;=$A913)*MOVIMIENTOS!$E$5:$E$1005)-SUMPRODUCT((MOVIMIENTOS!$B$5:$B$1005="TRASIEGO")*(MOVIMIENTOS!$C$5:$C$1005="M")*(MOVIMIENTOS!$D$5:$D$1005="jabas")*(MOVIMIENTOS!$A$5:$A$1005&lt;&gt;"")*(MOVIMIENTOS!$A$5:$A$1005&lt;=$A913)*MOVIMIENTOS!$E$5:$E$1005)-SUMPRODUCT((MOVIMIENTOS!$B$5:$B$1005="REGALO")*(MOVIMIENTOS!$C$5:$C$1005="M")*(MOVIMIENTOS!$D$5:$D$1005="jabas")*(MOVIMIENTOS!$A$5:$A$1005&lt;&gt;"")*(MOVIMIENTOS!$A$5:$A$1005&lt;=$A913)*MOVIMIENTOS!$E$5:$E$1005)-SUMPRODUCT((MOVIMIENTOS!$B$5:$B$1005="VENTA")*(MOVIMIENTOS!$C$5:$C$1005="M")*(MOVIMIENTOS!$D$5:$D$1005="jabas")*(MOVIMIENTOS!$A$5:$A$1005&lt;&gt;"")*(MOVIMIENTOS!$A$5:$A$1005&lt;=$A913)*MOVIMIENTOS!$E$5:$E$1005)+SUMPRODUCT((MOVIMIENTOS!$B$5:$B$1005="AJUSTE")*(MOVIMIENTOS!$C$5:$C$1005="M")*(MOVIMIENTOS!$D$5:$D$1005="jabas")*(MOVIMIENTOS!$A$5:$A$1005&lt;&gt;"")*(MOVIMIENTOS!$A$5:$A$1005&lt;=$A913)*MOVIMIENTOS!$E$5:$E$1005))</f>
        <v/>
      </c>
      <c r="F913" s="62" t="str">
        <f>IF($A913="","",SUMPRODUCT((MOVIMIENTOS!$B$5:$B$1005="SALDO INICIAL")*(MOVIMIENTOS!$C$5:$C$1005="Chancho")*(MOVIMIENTOS!$D$5:$D$1005="sacos")*(MOVIMIENTOS!$A$5:$A$1005&lt;&gt;"")*(MOVIMIENTOS!$A$5:$A$1005&lt;=$A913)*MOVIMIENTOS!$E$5:$E$1005)+SUMPRODUCT((MOVIMIENTOS!$B$5:$B$1005="PROCESO")*(MOVIMIENTOS!$C$5:$C$1005="Chancho")*(MOVIMIENTOS!$D$5:$D$1005="sacos")*(MOVIMIENTOS!$A$5:$A$1005&lt;&gt;"")*(MOVIMIENTOS!$A$5:$A$1005&lt;=$A913)*MOVIMIENTOS!$E$5:$E$1005)-SUMPRODUCT((MOVIMIENTOS!$B$5:$B$1005="VENTA CHANCHO")*(MOVIMIENTOS!$C$5:$C$1005="Chancho")*(MOVIMIENTOS!$D$5:$D$1005="sacos")*(MOVIMIENTOS!$A$5:$A$1005&lt;&gt;"")*(MOVIMIENTOS!$A$5:$A$1005&lt;=$A913)*MOVIMIENTOS!$E$5:$E$1005)-SUMPRODUCT((MOVIMIENTOS!$B$5:$B$1005="REGALO")*(MOVIMIENTOS!$C$5:$C$1005="Chancho")*(MOVIMIENTOS!$D$5:$D$1005="sacos")*(MOVIMIENTOS!$A$5:$A$1005&lt;&gt;"")*(MOVIMIENTOS!$A$5:$A$1005&lt;=$A913)*MOVIMIENTOS!$E$5:$E$1005)-SUMPRODUCT((MOVIMIENTOS!$B$5:$B$1005="VENTA")*(MOVIMIENTOS!$C$5:$C$1005="Chancho")*(MOVIMIENTOS!$D$5:$D$1005="sacos")*(MOVIMIENTOS!$A$5:$A$1005&lt;&gt;"")*(MOVIMIENTOS!$A$5:$A$1005&lt;=$A913)*MOVIMIENTOS!$E$5:$E$1005)+SUMPRODUCT((MOVIMIENTOS!$B$5:$B$1005="AJUSTE")*(MOVIMIENTOS!$C$5:$C$1005="Chancho")*(MOVIMIENTOS!$D$5:$D$1005="sacos")*(MOVIMIENTOS!$A$5:$A$1005&lt;&gt;"")*(MOVIMIENTOS!$A$5:$A$1005&lt;=$A913)*MOVIMIENTOS!$E$5:$E$1005))</f>
        <v/>
      </c>
      <c r="G913" s="62" t="str">
        <f t="shared" si="29"/>
        <v/>
      </c>
      <c r="H913" t="str">
        <f>IF($A913="","",SUMPRODUCT((((MOVIMIENTOS!$B$5:$B$1005="SALDO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913)*MOVIMIENTOS!$J$5:$J$1005))</f>
        <v/>
      </c>
      <c r="J913" t="str">
        <f>IF(AND(MOVIMIENTOS!$A918&lt;&gt;"",COUNTIF(MOVIMIENTOS!$A$5:$A917,MOVIMIENTOS!$A918)=0),COUNT(J$4:J912)+1,"")</f>
        <v/>
      </c>
      <c r="K913">
        <f>MOVIMIENTOS!$A918</f>
        <v>0</v>
      </c>
    </row>
    <row r="914" spans="1:11" ht="15" customHeight="1" x14ac:dyDescent="0.2">
      <c r="A914" t="str">
        <f t="shared" si="28"/>
        <v/>
      </c>
      <c r="B914" t="str">
        <f>IF($A914="","",SUMPRODUCT((MOVIMIENTOS!$B$5:$B$1005="SALDO INICIAL")*(MOVIMIENTOS!$C$5:$C$1005="A")*(MOVIMIENTOS!$D$5:$D$1005="jabas")*(MOVIMIENTOS!$A$5:$A$1005&lt;&gt;"")*(MOVIMIENTOS!$A$5:$A$1005&lt;=$A914)*MOVIMIENTOS!$E$5:$E$1005)+SUMPRODUCT((MOVIMIENTOS!$B$5:$B$1005="PROCESO")*(MOVIMIENTOS!$C$5:$C$1005="A")*(MOVIMIENTOS!$D$5:$D$1005="jabas")*(MOVIMIENTOS!$A$5:$A$1005&lt;&gt;"")*(MOVIMIENTOS!$A$5:$A$1005&lt;=$A914)*MOVIMIENTOS!$E$5:$E$1005)-SUMPRODUCT((MOVIMIENTOS!$B$5:$B$1005="ENVÍO A SUPESA")*(MOVIMIENTOS!$C$5:$C$1005="A")*(MOVIMIENTOS!$D$5:$D$1005="jabas")*(MOVIMIENTOS!$A$5:$A$1005&lt;&gt;"")*(MOVIMIENTOS!$A$5:$A$1005&lt;=$A914)*MOVIMIENTOS!$E$5:$E$1005)+SUMPRODUCT((MOVIMIENTOS!$B$5:$B$1005="DEVOLUCIÓN")*(MOVIMIENTOS!$C$5:$C$1005="A")*(MOVIMIENTOS!$D$5:$D$1005="jabas")*(MOVIMIENTOS!$A$5:$A$1005&lt;&gt;"")*(MOVIMIENTOS!$A$5:$A$1005&lt;=$A914)*MOVIMIENTOS!$E$5:$E$1005)-SUMPRODUCT((MOVIMIENTOS!$B$5:$B$1005="TRASIEGO")*(MOVIMIENTOS!$C$5:$C$1005="A")*(MOVIMIENTOS!$D$5:$D$1005="jabas")*(MOVIMIENTOS!$A$5:$A$1005&lt;&gt;"")*(MOVIMIENTOS!$A$5:$A$1005&lt;=$A914)*MOVIMIENTOS!$E$5:$E$1005)-SUMPRODUCT((MOVIMIENTOS!$B$5:$B$1005="REGALO")*(MOVIMIENTOS!$C$5:$C$1005="A")*(MOVIMIENTOS!$D$5:$D$1005="jabas")*(MOVIMIENTOS!$A$5:$A$1005&lt;&gt;"")*(MOVIMIENTOS!$A$5:$A$1005&lt;=$A914)*MOVIMIENTOS!$E$5:$E$1005)-SUMPRODUCT((MOVIMIENTOS!$B$5:$B$1005="VENTA")*(MOVIMIENTOS!$C$5:$C$1005="A")*(MOVIMIENTOS!$D$5:$D$1005="jabas")*(MOVIMIENTOS!$A$5:$A$1005&lt;&gt;"")*(MOVIMIENTOS!$A$5:$A$1005&lt;=$A914)*MOVIMIENTOS!$E$5:$E$1005)+SUMPRODUCT((MOVIMIENTOS!$B$5:$B$1005="AJUSTE")*(MOVIMIENTOS!$C$5:$C$1005="A")*(MOVIMIENTOS!$D$5:$D$1005="jabas")*(MOVIMIENTOS!$A$5:$A$1005&lt;&gt;"")*(MOVIMIENTOS!$A$5:$A$1005&lt;=$A914)*MOVIMIENTOS!$E$5:$E$1005))</f>
        <v/>
      </c>
      <c r="C914" t="str">
        <f>IF($A914="","",SUMPRODUCT((MOVIMIENTOS!$B$5:$B$1005="SALDO INICIAL")*(MOVIMIENTOS!$C$5:$C$1005="P")*(MOVIMIENTOS!$D$5:$D$1005="jabas")*(MOVIMIENTOS!$A$5:$A$1005&lt;&gt;"")*(MOVIMIENTOS!$A$5:$A$1005&lt;=$A914)*MOVIMIENTOS!$E$5:$E$1005)+SUMPRODUCT((MOVIMIENTOS!$B$5:$B$1005="PROCESO")*(MOVIMIENTOS!$C$5:$C$1005="P")*(MOVIMIENTOS!$D$5:$D$1005="jabas")*(MOVIMIENTOS!$A$5:$A$1005&lt;&gt;"")*(MOVIMIENTOS!$A$5:$A$1005&lt;=$A914)*MOVIMIENTOS!$E$5:$E$1005)-SUMPRODUCT((MOVIMIENTOS!$B$5:$B$1005="ENVÍO A SUPESA")*(MOVIMIENTOS!$C$5:$C$1005="P")*(MOVIMIENTOS!$D$5:$D$1005="jabas")*(MOVIMIENTOS!$A$5:$A$1005&lt;&gt;"")*(MOVIMIENTOS!$A$5:$A$1005&lt;=$A914)*MOVIMIENTOS!$E$5:$E$1005)+SUMPRODUCT((MOVIMIENTOS!$B$5:$B$1005="DEVOLUCIÓN")*(MOVIMIENTOS!$C$5:$C$1005="P")*(MOVIMIENTOS!$D$5:$D$1005="jabas")*(MOVIMIENTOS!$A$5:$A$1005&lt;&gt;"")*(MOVIMIENTOS!$A$5:$A$1005&lt;=$A914)*MOVIMIENTOS!$E$5:$E$1005)-SUMPRODUCT((MOVIMIENTOS!$B$5:$B$1005="TRASIEGO")*(MOVIMIENTOS!$C$5:$C$1005="P")*(MOVIMIENTOS!$D$5:$D$1005="jabas")*(MOVIMIENTOS!$A$5:$A$1005&lt;&gt;"")*(MOVIMIENTOS!$A$5:$A$1005&lt;=$A914)*MOVIMIENTOS!$E$5:$E$1005)-SUMPRODUCT((MOVIMIENTOS!$B$5:$B$1005="REGALO")*(MOVIMIENTOS!$C$5:$C$1005="P")*(MOVIMIENTOS!$D$5:$D$1005="jabas")*(MOVIMIENTOS!$A$5:$A$1005&lt;&gt;"")*(MOVIMIENTOS!$A$5:$A$1005&lt;=$A914)*MOVIMIENTOS!$E$5:$E$1005)-SUMPRODUCT((MOVIMIENTOS!$B$5:$B$1005="VENTA")*(MOVIMIENTOS!$C$5:$C$1005="P")*(MOVIMIENTOS!$D$5:$D$1005="jabas")*(MOVIMIENTOS!$A$5:$A$1005&lt;&gt;"")*(MOVIMIENTOS!$A$5:$A$1005&lt;=$A914)*MOVIMIENTOS!$E$5:$E$1005)+SUMPRODUCT((MOVIMIENTOS!$B$5:$B$1005="AJUSTE")*(MOVIMIENTOS!$C$5:$C$1005="P")*(MOVIMIENTOS!$D$5:$D$1005="jabas")*(MOVIMIENTOS!$A$5:$A$1005&lt;&gt;"")*(MOVIMIENTOS!$A$5:$A$1005&lt;=$A914)*MOVIMIENTOS!$E$5:$E$1005))</f>
        <v/>
      </c>
      <c r="D914" t="str">
        <f>IF($A914="","",SUMPRODUCT((MOVIMIENTOS!$B$5:$B$1005="SALDO INICIAL")*(MOVIMIENTOS!$C$5:$C$1005="C")*(MOVIMIENTOS!$D$5:$D$1005="jabas")*(MOVIMIENTOS!$A$5:$A$1005&lt;&gt;"")*(MOVIMIENTOS!$A$5:$A$1005&lt;=$A914)*MOVIMIENTOS!$E$5:$E$1005)+SUMPRODUCT((MOVIMIENTOS!$B$5:$B$1005="PROCESO")*(MOVIMIENTOS!$C$5:$C$1005="C")*(MOVIMIENTOS!$D$5:$D$1005="jabas")*(MOVIMIENTOS!$A$5:$A$1005&lt;&gt;"")*(MOVIMIENTOS!$A$5:$A$1005&lt;=$A914)*MOVIMIENTOS!$E$5:$E$1005)-SUMPRODUCT((MOVIMIENTOS!$B$5:$B$1005="ENVÍO A SUPESA")*(MOVIMIENTOS!$C$5:$C$1005="C")*(MOVIMIENTOS!$D$5:$D$1005="jabas")*(MOVIMIENTOS!$A$5:$A$1005&lt;&gt;"")*(MOVIMIENTOS!$A$5:$A$1005&lt;=$A914)*MOVIMIENTOS!$E$5:$E$1005)+SUMPRODUCT((MOVIMIENTOS!$B$5:$B$1005="DEVOLUCIÓN")*(MOVIMIENTOS!$C$5:$C$1005="C")*(MOVIMIENTOS!$D$5:$D$1005="jabas")*(MOVIMIENTOS!$A$5:$A$1005&lt;&gt;"")*(MOVIMIENTOS!$A$5:$A$1005&lt;=$A914)*MOVIMIENTOS!$E$5:$E$1005)-SUMPRODUCT((MOVIMIENTOS!$B$5:$B$1005="TRASIEGO")*(MOVIMIENTOS!$C$5:$C$1005="C")*(MOVIMIENTOS!$D$5:$D$1005="jabas")*(MOVIMIENTOS!$A$5:$A$1005&lt;&gt;"")*(MOVIMIENTOS!$A$5:$A$1005&lt;=$A914)*MOVIMIENTOS!$E$5:$E$1005)-SUMPRODUCT((MOVIMIENTOS!$B$5:$B$1005="REGALO")*(MOVIMIENTOS!$C$5:$C$1005="C")*(MOVIMIENTOS!$D$5:$D$1005="jabas")*(MOVIMIENTOS!$A$5:$A$1005&lt;&gt;"")*(MOVIMIENTOS!$A$5:$A$1005&lt;=$A914)*MOVIMIENTOS!$E$5:$E$1005)-SUMPRODUCT((MOVIMIENTOS!$B$5:$B$1005="VENTA")*(MOVIMIENTOS!$C$5:$C$1005="C")*(MOVIMIENTOS!$D$5:$D$1005="jabas")*(MOVIMIENTOS!$A$5:$A$1005&lt;&gt;"")*(MOVIMIENTOS!$A$5:$A$1005&lt;=$A914)*MOVIMIENTOS!$E$5:$E$1005)+SUMPRODUCT((MOVIMIENTOS!$B$5:$B$1005="AJUSTE")*(MOVIMIENTOS!$C$5:$C$1005="C")*(MOVIMIENTOS!$D$5:$D$1005="jabas")*(MOVIMIENTOS!$A$5:$A$1005&lt;&gt;"")*(MOVIMIENTOS!$A$5:$A$1005&lt;=$A914)*MOVIMIENTOS!$E$5:$E$1005))</f>
        <v/>
      </c>
      <c r="E914" t="str">
        <f>IF($A914="","",SUMPRODUCT((MOVIMIENTOS!$B$5:$B$1005="SALDO INICIAL")*(MOVIMIENTOS!$C$5:$C$1005="M")*(MOVIMIENTOS!$D$5:$D$1005="jabas")*(MOVIMIENTOS!$A$5:$A$1005&lt;&gt;"")*(MOVIMIENTOS!$A$5:$A$1005&lt;=$A914)*MOVIMIENTOS!$E$5:$E$1005)+SUMPRODUCT((MOVIMIENTOS!$B$5:$B$1005="PROCESO")*(MOVIMIENTOS!$C$5:$C$1005="M")*(MOVIMIENTOS!$D$5:$D$1005="jabas")*(MOVIMIENTOS!$A$5:$A$1005&lt;&gt;"")*(MOVIMIENTOS!$A$5:$A$1005&lt;=$A914)*MOVIMIENTOS!$E$5:$E$1005)-SUMPRODUCT((MOVIMIENTOS!$B$5:$B$1005="ENVÍO A SUPESA")*(MOVIMIENTOS!$C$5:$C$1005="M")*(MOVIMIENTOS!$D$5:$D$1005="jabas")*(MOVIMIENTOS!$A$5:$A$1005&lt;&gt;"")*(MOVIMIENTOS!$A$5:$A$1005&lt;=$A914)*MOVIMIENTOS!$E$5:$E$1005)+SUMPRODUCT((MOVIMIENTOS!$B$5:$B$1005="DEVOLUCIÓN")*(MOVIMIENTOS!$C$5:$C$1005="M")*(MOVIMIENTOS!$D$5:$D$1005="jabas")*(MOVIMIENTOS!$A$5:$A$1005&lt;&gt;"")*(MOVIMIENTOS!$A$5:$A$1005&lt;=$A914)*MOVIMIENTOS!$E$5:$E$1005)-SUMPRODUCT((MOVIMIENTOS!$B$5:$B$1005="TRASIEGO")*(MOVIMIENTOS!$C$5:$C$1005="M")*(MOVIMIENTOS!$D$5:$D$1005="jabas")*(MOVIMIENTOS!$A$5:$A$1005&lt;&gt;"")*(MOVIMIENTOS!$A$5:$A$1005&lt;=$A914)*MOVIMIENTOS!$E$5:$E$1005)-SUMPRODUCT((MOVIMIENTOS!$B$5:$B$1005="REGALO")*(MOVIMIENTOS!$C$5:$C$1005="M")*(MOVIMIENTOS!$D$5:$D$1005="jabas")*(MOVIMIENTOS!$A$5:$A$1005&lt;&gt;"")*(MOVIMIENTOS!$A$5:$A$1005&lt;=$A914)*MOVIMIENTOS!$E$5:$E$1005)-SUMPRODUCT((MOVIMIENTOS!$B$5:$B$1005="VENTA")*(MOVIMIENTOS!$C$5:$C$1005="M")*(MOVIMIENTOS!$D$5:$D$1005="jabas")*(MOVIMIENTOS!$A$5:$A$1005&lt;&gt;"")*(MOVIMIENTOS!$A$5:$A$1005&lt;=$A914)*MOVIMIENTOS!$E$5:$E$1005)+SUMPRODUCT((MOVIMIENTOS!$B$5:$B$1005="AJUSTE")*(MOVIMIENTOS!$C$5:$C$1005="M")*(MOVIMIENTOS!$D$5:$D$1005="jabas")*(MOVIMIENTOS!$A$5:$A$1005&lt;&gt;"")*(MOVIMIENTOS!$A$5:$A$1005&lt;=$A914)*MOVIMIENTOS!$E$5:$E$1005))</f>
        <v/>
      </c>
      <c r="F914" s="62" t="str">
        <f>IF($A914="","",SUMPRODUCT((MOVIMIENTOS!$B$5:$B$1005="SALDO INICIAL")*(MOVIMIENTOS!$C$5:$C$1005="Chancho")*(MOVIMIENTOS!$D$5:$D$1005="sacos")*(MOVIMIENTOS!$A$5:$A$1005&lt;&gt;"")*(MOVIMIENTOS!$A$5:$A$1005&lt;=$A914)*MOVIMIENTOS!$E$5:$E$1005)+SUMPRODUCT((MOVIMIENTOS!$B$5:$B$1005="PROCESO")*(MOVIMIENTOS!$C$5:$C$1005="Chancho")*(MOVIMIENTOS!$D$5:$D$1005="sacos")*(MOVIMIENTOS!$A$5:$A$1005&lt;&gt;"")*(MOVIMIENTOS!$A$5:$A$1005&lt;=$A914)*MOVIMIENTOS!$E$5:$E$1005)-SUMPRODUCT((MOVIMIENTOS!$B$5:$B$1005="VENTA CHANCHO")*(MOVIMIENTOS!$C$5:$C$1005="Chancho")*(MOVIMIENTOS!$D$5:$D$1005="sacos")*(MOVIMIENTOS!$A$5:$A$1005&lt;&gt;"")*(MOVIMIENTOS!$A$5:$A$1005&lt;=$A914)*MOVIMIENTOS!$E$5:$E$1005)-SUMPRODUCT((MOVIMIENTOS!$B$5:$B$1005="REGALO")*(MOVIMIENTOS!$C$5:$C$1005="Chancho")*(MOVIMIENTOS!$D$5:$D$1005="sacos")*(MOVIMIENTOS!$A$5:$A$1005&lt;&gt;"")*(MOVIMIENTOS!$A$5:$A$1005&lt;=$A914)*MOVIMIENTOS!$E$5:$E$1005)-SUMPRODUCT((MOVIMIENTOS!$B$5:$B$1005="VENTA")*(MOVIMIENTOS!$C$5:$C$1005="Chancho")*(MOVIMIENTOS!$D$5:$D$1005="sacos")*(MOVIMIENTOS!$A$5:$A$1005&lt;&gt;"")*(MOVIMIENTOS!$A$5:$A$1005&lt;=$A914)*MOVIMIENTOS!$E$5:$E$1005)+SUMPRODUCT((MOVIMIENTOS!$B$5:$B$1005="AJUSTE")*(MOVIMIENTOS!$C$5:$C$1005="Chancho")*(MOVIMIENTOS!$D$5:$D$1005="sacos")*(MOVIMIENTOS!$A$5:$A$1005&lt;&gt;"")*(MOVIMIENTOS!$A$5:$A$1005&lt;=$A914)*MOVIMIENTOS!$E$5:$E$1005))</f>
        <v/>
      </c>
      <c r="G914" s="62" t="str">
        <f t="shared" si="29"/>
        <v/>
      </c>
      <c r="H914" t="str">
        <f>IF($A914="","",SUMPRODUCT((((MOVIMIENTOS!$B$5:$B$1005="SALDO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914)*MOVIMIENTOS!$J$5:$J$1005))</f>
        <v/>
      </c>
      <c r="J914" t="str">
        <f>IF(AND(MOVIMIENTOS!$A919&lt;&gt;"",COUNTIF(MOVIMIENTOS!$A$5:$A918,MOVIMIENTOS!$A919)=0),COUNT(J$4:J913)+1,"")</f>
        <v/>
      </c>
      <c r="K914">
        <f>MOVIMIENTOS!$A919</f>
        <v>0</v>
      </c>
    </row>
    <row r="915" spans="1:11" ht="15" customHeight="1" x14ac:dyDescent="0.2">
      <c r="A915" t="str">
        <f t="shared" si="28"/>
        <v/>
      </c>
      <c r="B915" t="str">
        <f>IF($A915="","",SUMPRODUCT((MOVIMIENTOS!$B$5:$B$1005="SALDO INICIAL")*(MOVIMIENTOS!$C$5:$C$1005="A")*(MOVIMIENTOS!$D$5:$D$1005="jabas")*(MOVIMIENTOS!$A$5:$A$1005&lt;&gt;"")*(MOVIMIENTOS!$A$5:$A$1005&lt;=$A915)*MOVIMIENTOS!$E$5:$E$1005)+SUMPRODUCT((MOVIMIENTOS!$B$5:$B$1005="PROCESO")*(MOVIMIENTOS!$C$5:$C$1005="A")*(MOVIMIENTOS!$D$5:$D$1005="jabas")*(MOVIMIENTOS!$A$5:$A$1005&lt;&gt;"")*(MOVIMIENTOS!$A$5:$A$1005&lt;=$A915)*MOVIMIENTOS!$E$5:$E$1005)-SUMPRODUCT((MOVIMIENTOS!$B$5:$B$1005="ENVÍO A SUPESA")*(MOVIMIENTOS!$C$5:$C$1005="A")*(MOVIMIENTOS!$D$5:$D$1005="jabas")*(MOVIMIENTOS!$A$5:$A$1005&lt;&gt;"")*(MOVIMIENTOS!$A$5:$A$1005&lt;=$A915)*MOVIMIENTOS!$E$5:$E$1005)+SUMPRODUCT((MOVIMIENTOS!$B$5:$B$1005="DEVOLUCIÓN")*(MOVIMIENTOS!$C$5:$C$1005="A")*(MOVIMIENTOS!$D$5:$D$1005="jabas")*(MOVIMIENTOS!$A$5:$A$1005&lt;&gt;"")*(MOVIMIENTOS!$A$5:$A$1005&lt;=$A915)*MOVIMIENTOS!$E$5:$E$1005)-SUMPRODUCT((MOVIMIENTOS!$B$5:$B$1005="TRASIEGO")*(MOVIMIENTOS!$C$5:$C$1005="A")*(MOVIMIENTOS!$D$5:$D$1005="jabas")*(MOVIMIENTOS!$A$5:$A$1005&lt;&gt;"")*(MOVIMIENTOS!$A$5:$A$1005&lt;=$A915)*MOVIMIENTOS!$E$5:$E$1005)-SUMPRODUCT((MOVIMIENTOS!$B$5:$B$1005="REGALO")*(MOVIMIENTOS!$C$5:$C$1005="A")*(MOVIMIENTOS!$D$5:$D$1005="jabas")*(MOVIMIENTOS!$A$5:$A$1005&lt;&gt;"")*(MOVIMIENTOS!$A$5:$A$1005&lt;=$A915)*MOVIMIENTOS!$E$5:$E$1005)-SUMPRODUCT((MOVIMIENTOS!$B$5:$B$1005="VENTA")*(MOVIMIENTOS!$C$5:$C$1005="A")*(MOVIMIENTOS!$D$5:$D$1005="jabas")*(MOVIMIENTOS!$A$5:$A$1005&lt;&gt;"")*(MOVIMIENTOS!$A$5:$A$1005&lt;=$A915)*MOVIMIENTOS!$E$5:$E$1005)+SUMPRODUCT((MOVIMIENTOS!$B$5:$B$1005="AJUSTE")*(MOVIMIENTOS!$C$5:$C$1005="A")*(MOVIMIENTOS!$D$5:$D$1005="jabas")*(MOVIMIENTOS!$A$5:$A$1005&lt;&gt;"")*(MOVIMIENTOS!$A$5:$A$1005&lt;=$A915)*MOVIMIENTOS!$E$5:$E$1005))</f>
        <v/>
      </c>
      <c r="C915" t="str">
        <f>IF($A915="","",SUMPRODUCT((MOVIMIENTOS!$B$5:$B$1005="SALDO INICIAL")*(MOVIMIENTOS!$C$5:$C$1005="P")*(MOVIMIENTOS!$D$5:$D$1005="jabas")*(MOVIMIENTOS!$A$5:$A$1005&lt;&gt;"")*(MOVIMIENTOS!$A$5:$A$1005&lt;=$A915)*MOVIMIENTOS!$E$5:$E$1005)+SUMPRODUCT((MOVIMIENTOS!$B$5:$B$1005="PROCESO")*(MOVIMIENTOS!$C$5:$C$1005="P")*(MOVIMIENTOS!$D$5:$D$1005="jabas")*(MOVIMIENTOS!$A$5:$A$1005&lt;&gt;"")*(MOVIMIENTOS!$A$5:$A$1005&lt;=$A915)*MOVIMIENTOS!$E$5:$E$1005)-SUMPRODUCT((MOVIMIENTOS!$B$5:$B$1005="ENVÍO A SUPESA")*(MOVIMIENTOS!$C$5:$C$1005="P")*(MOVIMIENTOS!$D$5:$D$1005="jabas")*(MOVIMIENTOS!$A$5:$A$1005&lt;&gt;"")*(MOVIMIENTOS!$A$5:$A$1005&lt;=$A915)*MOVIMIENTOS!$E$5:$E$1005)+SUMPRODUCT((MOVIMIENTOS!$B$5:$B$1005="DEVOLUCIÓN")*(MOVIMIENTOS!$C$5:$C$1005="P")*(MOVIMIENTOS!$D$5:$D$1005="jabas")*(MOVIMIENTOS!$A$5:$A$1005&lt;&gt;"")*(MOVIMIENTOS!$A$5:$A$1005&lt;=$A915)*MOVIMIENTOS!$E$5:$E$1005)-SUMPRODUCT((MOVIMIENTOS!$B$5:$B$1005="TRASIEGO")*(MOVIMIENTOS!$C$5:$C$1005="P")*(MOVIMIENTOS!$D$5:$D$1005="jabas")*(MOVIMIENTOS!$A$5:$A$1005&lt;&gt;"")*(MOVIMIENTOS!$A$5:$A$1005&lt;=$A915)*MOVIMIENTOS!$E$5:$E$1005)-SUMPRODUCT((MOVIMIENTOS!$B$5:$B$1005="REGALO")*(MOVIMIENTOS!$C$5:$C$1005="P")*(MOVIMIENTOS!$D$5:$D$1005="jabas")*(MOVIMIENTOS!$A$5:$A$1005&lt;&gt;"")*(MOVIMIENTOS!$A$5:$A$1005&lt;=$A915)*MOVIMIENTOS!$E$5:$E$1005)-SUMPRODUCT((MOVIMIENTOS!$B$5:$B$1005="VENTA")*(MOVIMIENTOS!$C$5:$C$1005="P")*(MOVIMIENTOS!$D$5:$D$1005="jabas")*(MOVIMIENTOS!$A$5:$A$1005&lt;&gt;"")*(MOVIMIENTOS!$A$5:$A$1005&lt;=$A915)*MOVIMIENTOS!$E$5:$E$1005)+SUMPRODUCT((MOVIMIENTOS!$B$5:$B$1005="AJUSTE")*(MOVIMIENTOS!$C$5:$C$1005="P")*(MOVIMIENTOS!$D$5:$D$1005="jabas")*(MOVIMIENTOS!$A$5:$A$1005&lt;&gt;"")*(MOVIMIENTOS!$A$5:$A$1005&lt;=$A915)*MOVIMIENTOS!$E$5:$E$1005))</f>
        <v/>
      </c>
      <c r="D915" t="str">
        <f>IF($A915="","",SUMPRODUCT((MOVIMIENTOS!$B$5:$B$1005="SALDO INICIAL")*(MOVIMIENTOS!$C$5:$C$1005="C")*(MOVIMIENTOS!$D$5:$D$1005="jabas")*(MOVIMIENTOS!$A$5:$A$1005&lt;&gt;"")*(MOVIMIENTOS!$A$5:$A$1005&lt;=$A915)*MOVIMIENTOS!$E$5:$E$1005)+SUMPRODUCT((MOVIMIENTOS!$B$5:$B$1005="PROCESO")*(MOVIMIENTOS!$C$5:$C$1005="C")*(MOVIMIENTOS!$D$5:$D$1005="jabas")*(MOVIMIENTOS!$A$5:$A$1005&lt;&gt;"")*(MOVIMIENTOS!$A$5:$A$1005&lt;=$A915)*MOVIMIENTOS!$E$5:$E$1005)-SUMPRODUCT((MOVIMIENTOS!$B$5:$B$1005="ENVÍO A SUPESA")*(MOVIMIENTOS!$C$5:$C$1005="C")*(MOVIMIENTOS!$D$5:$D$1005="jabas")*(MOVIMIENTOS!$A$5:$A$1005&lt;&gt;"")*(MOVIMIENTOS!$A$5:$A$1005&lt;=$A915)*MOVIMIENTOS!$E$5:$E$1005)+SUMPRODUCT((MOVIMIENTOS!$B$5:$B$1005="DEVOLUCIÓN")*(MOVIMIENTOS!$C$5:$C$1005="C")*(MOVIMIENTOS!$D$5:$D$1005="jabas")*(MOVIMIENTOS!$A$5:$A$1005&lt;&gt;"")*(MOVIMIENTOS!$A$5:$A$1005&lt;=$A915)*MOVIMIENTOS!$E$5:$E$1005)-SUMPRODUCT((MOVIMIENTOS!$B$5:$B$1005="TRASIEGO")*(MOVIMIENTOS!$C$5:$C$1005="C")*(MOVIMIENTOS!$D$5:$D$1005="jabas")*(MOVIMIENTOS!$A$5:$A$1005&lt;&gt;"")*(MOVIMIENTOS!$A$5:$A$1005&lt;=$A915)*MOVIMIENTOS!$E$5:$E$1005)-SUMPRODUCT((MOVIMIENTOS!$B$5:$B$1005="REGALO")*(MOVIMIENTOS!$C$5:$C$1005="C")*(MOVIMIENTOS!$D$5:$D$1005="jabas")*(MOVIMIENTOS!$A$5:$A$1005&lt;&gt;"")*(MOVIMIENTOS!$A$5:$A$1005&lt;=$A915)*MOVIMIENTOS!$E$5:$E$1005)-SUMPRODUCT((MOVIMIENTOS!$B$5:$B$1005="VENTA")*(MOVIMIENTOS!$C$5:$C$1005="C")*(MOVIMIENTOS!$D$5:$D$1005="jabas")*(MOVIMIENTOS!$A$5:$A$1005&lt;&gt;"")*(MOVIMIENTOS!$A$5:$A$1005&lt;=$A915)*MOVIMIENTOS!$E$5:$E$1005)+SUMPRODUCT((MOVIMIENTOS!$B$5:$B$1005="AJUSTE")*(MOVIMIENTOS!$C$5:$C$1005="C")*(MOVIMIENTOS!$D$5:$D$1005="jabas")*(MOVIMIENTOS!$A$5:$A$1005&lt;&gt;"")*(MOVIMIENTOS!$A$5:$A$1005&lt;=$A915)*MOVIMIENTOS!$E$5:$E$1005))</f>
        <v/>
      </c>
      <c r="E915" t="str">
        <f>IF($A915="","",SUMPRODUCT((MOVIMIENTOS!$B$5:$B$1005="SALDO INICIAL")*(MOVIMIENTOS!$C$5:$C$1005="M")*(MOVIMIENTOS!$D$5:$D$1005="jabas")*(MOVIMIENTOS!$A$5:$A$1005&lt;&gt;"")*(MOVIMIENTOS!$A$5:$A$1005&lt;=$A915)*MOVIMIENTOS!$E$5:$E$1005)+SUMPRODUCT((MOVIMIENTOS!$B$5:$B$1005="PROCESO")*(MOVIMIENTOS!$C$5:$C$1005="M")*(MOVIMIENTOS!$D$5:$D$1005="jabas")*(MOVIMIENTOS!$A$5:$A$1005&lt;&gt;"")*(MOVIMIENTOS!$A$5:$A$1005&lt;=$A915)*MOVIMIENTOS!$E$5:$E$1005)-SUMPRODUCT((MOVIMIENTOS!$B$5:$B$1005="ENVÍO A SUPESA")*(MOVIMIENTOS!$C$5:$C$1005="M")*(MOVIMIENTOS!$D$5:$D$1005="jabas")*(MOVIMIENTOS!$A$5:$A$1005&lt;&gt;"")*(MOVIMIENTOS!$A$5:$A$1005&lt;=$A915)*MOVIMIENTOS!$E$5:$E$1005)+SUMPRODUCT((MOVIMIENTOS!$B$5:$B$1005="DEVOLUCIÓN")*(MOVIMIENTOS!$C$5:$C$1005="M")*(MOVIMIENTOS!$D$5:$D$1005="jabas")*(MOVIMIENTOS!$A$5:$A$1005&lt;&gt;"")*(MOVIMIENTOS!$A$5:$A$1005&lt;=$A915)*MOVIMIENTOS!$E$5:$E$1005)-SUMPRODUCT((MOVIMIENTOS!$B$5:$B$1005="TRASIEGO")*(MOVIMIENTOS!$C$5:$C$1005="M")*(MOVIMIENTOS!$D$5:$D$1005="jabas")*(MOVIMIENTOS!$A$5:$A$1005&lt;&gt;"")*(MOVIMIENTOS!$A$5:$A$1005&lt;=$A915)*MOVIMIENTOS!$E$5:$E$1005)-SUMPRODUCT((MOVIMIENTOS!$B$5:$B$1005="REGALO")*(MOVIMIENTOS!$C$5:$C$1005="M")*(MOVIMIENTOS!$D$5:$D$1005="jabas")*(MOVIMIENTOS!$A$5:$A$1005&lt;&gt;"")*(MOVIMIENTOS!$A$5:$A$1005&lt;=$A915)*MOVIMIENTOS!$E$5:$E$1005)-SUMPRODUCT((MOVIMIENTOS!$B$5:$B$1005="VENTA")*(MOVIMIENTOS!$C$5:$C$1005="M")*(MOVIMIENTOS!$D$5:$D$1005="jabas")*(MOVIMIENTOS!$A$5:$A$1005&lt;&gt;"")*(MOVIMIENTOS!$A$5:$A$1005&lt;=$A915)*MOVIMIENTOS!$E$5:$E$1005)+SUMPRODUCT((MOVIMIENTOS!$B$5:$B$1005="AJUSTE")*(MOVIMIENTOS!$C$5:$C$1005="M")*(MOVIMIENTOS!$D$5:$D$1005="jabas")*(MOVIMIENTOS!$A$5:$A$1005&lt;&gt;"")*(MOVIMIENTOS!$A$5:$A$1005&lt;=$A915)*MOVIMIENTOS!$E$5:$E$1005))</f>
        <v/>
      </c>
      <c r="F915" s="62" t="str">
        <f>IF($A915="","",SUMPRODUCT((MOVIMIENTOS!$B$5:$B$1005="SALDO INICIAL")*(MOVIMIENTOS!$C$5:$C$1005="Chancho")*(MOVIMIENTOS!$D$5:$D$1005="sacos")*(MOVIMIENTOS!$A$5:$A$1005&lt;&gt;"")*(MOVIMIENTOS!$A$5:$A$1005&lt;=$A915)*MOVIMIENTOS!$E$5:$E$1005)+SUMPRODUCT((MOVIMIENTOS!$B$5:$B$1005="PROCESO")*(MOVIMIENTOS!$C$5:$C$1005="Chancho")*(MOVIMIENTOS!$D$5:$D$1005="sacos")*(MOVIMIENTOS!$A$5:$A$1005&lt;&gt;"")*(MOVIMIENTOS!$A$5:$A$1005&lt;=$A915)*MOVIMIENTOS!$E$5:$E$1005)-SUMPRODUCT((MOVIMIENTOS!$B$5:$B$1005="VENTA CHANCHO")*(MOVIMIENTOS!$C$5:$C$1005="Chancho")*(MOVIMIENTOS!$D$5:$D$1005="sacos")*(MOVIMIENTOS!$A$5:$A$1005&lt;&gt;"")*(MOVIMIENTOS!$A$5:$A$1005&lt;=$A915)*MOVIMIENTOS!$E$5:$E$1005)-SUMPRODUCT((MOVIMIENTOS!$B$5:$B$1005="REGALO")*(MOVIMIENTOS!$C$5:$C$1005="Chancho")*(MOVIMIENTOS!$D$5:$D$1005="sacos")*(MOVIMIENTOS!$A$5:$A$1005&lt;&gt;"")*(MOVIMIENTOS!$A$5:$A$1005&lt;=$A915)*MOVIMIENTOS!$E$5:$E$1005)-SUMPRODUCT((MOVIMIENTOS!$B$5:$B$1005="VENTA")*(MOVIMIENTOS!$C$5:$C$1005="Chancho")*(MOVIMIENTOS!$D$5:$D$1005="sacos")*(MOVIMIENTOS!$A$5:$A$1005&lt;&gt;"")*(MOVIMIENTOS!$A$5:$A$1005&lt;=$A915)*MOVIMIENTOS!$E$5:$E$1005)+SUMPRODUCT((MOVIMIENTOS!$B$5:$B$1005="AJUSTE")*(MOVIMIENTOS!$C$5:$C$1005="Chancho")*(MOVIMIENTOS!$D$5:$D$1005="sacos")*(MOVIMIENTOS!$A$5:$A$1005&lt;&gt;"")*(MOVIMIENTOS!$A$5:$A$1005&lt;=$A915)*MOVIMIENTOS!$E$5:$E$1005))</f>
        <v/>
      </c>
      <c r="G915" s="62" t="str">
        <f t="shared" si="29"/>
        <v/>
      </c>
      <c r="H915" t="str">
        <f>IF($A915="","",SUMPRODUCT((((MOVIMIENTOS!$B$5:$B$1005="SALDO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915)*MOVIMIENTOS!$J$5:$J$1005))</f>
        <v/>
      </c>
      <c r="J915" t="str">
        <f>IF(AND(MOVIMIENTOS!$A920&lt;&gt;"",COUNTIF(MOVIMIENTOS!$A$5:$A919,MOVIMIENTOS!$A920)=0),COUNT(J$4:J914)+1,"")</f>
        <v/>
      </c>
      <c r="K915">
        <f>MOVIMIENTOS!$A920</f>
        <v>0</v>
      </c>
    </row>
    <row r="916" spans="1:11" ht="15" customHeight="1" x14ac:dyDescent="0.2">
      <c r="A916" t="str">
        <f t="shared" si="28"/>
        <v/>
      </c>
      <c r="B916" t="str">
        <f>IF($A916="","",SUMPRODUCT((MOVIMIENTOS!$B$5:$B$1005="SALDO INICIAL")*(MOVIMIENTOS!$C$5:$C$1005="A")*(MOVIMIENTOS!$D$5:$D$1005="jabas")*(MOVIMIENTOS!$A$5:$A$1005&lt;&gt;"")*(MOVIMIENTOS!$A$5:$A$1005&lt;=$A916)*MOVIMIENTOS!$E$5:$E$1005)+SUMPRODUCT((MOVIMIENTOS!$B$5:$B$1005="PROCESO")*(MOVIMIENTOS!$C$5:$C$1005="A")*(MOVIMIENTOS!$D$5:$D$1005="jabas")*(MOVIMIENTOS!$A$5:$A$1005&lt;&gt;"")*(MOVIMIENTOS!$A$5:$A$1005&lt;=$A916)*MOVIMIENTOS!$E$5:$E$1005)-SUMPRODUCT((MOVIMIENTOS!$B$5:$B$1005="ENVÍO A SUPESA")*(MOVIMIENTOS!$C$5:$C$1005="A")*(MOVIMIENTOS!$D$5:$D$1005="jabas")*(MOVIMIENTOS!$A$5:$A$1005&lt;&gt;"")*(MOVIMIENTOS!$A$5:$A$1005&lt;=$A916)*MOVIMIENTOS!$E$5:$E$1005)+SUMPRODUCT((MOVIMIENTOS!$B$5:$B$1005="DEVOLUCIÓN")*(MOVIMIENTOS!$C$5:$C$1005="A")*(MOVIMIENTOS!$D$5:$D$1005="jabas")*(MOVIMIENTOS!$A$5:$A$1005&lt;&gt;"")*(MOVIMIENTOS!$A$5:$A$1005&lt;=$A916)*MOVIMIENTOS!$E$5:$E$1005)-SUMPRODUCT((MOVIMIENTOS!$B$5:$B$1005="TRASIEGO")*(MOVIMIENTOS!$C$5:$C$1005="A")*(MOVIMIENTOS!$D$5:$D$1005="jabas")*(MOVIMIENTOS!$A$5:$A$1005&lt;&gt;"")*(MOVIMIENTOS!$A$5:$A$1005&lt;=$A916)*MOVIMIENTOS!$E$5:$E$1005)-SUMPRODUCT((MOVIMIENTOS!$B$5:$B$1005="REGALO")*(MOVIMIENTOS!$C$5:$C$1005="A")*(MOVIMIENTOS!$D$5:$D$1005="jabas")*(MOVIMIENTOS!$A$5:$A$1005&lt;&gt;"")*(MOVIMIENTOS!$A$5:$A$1005&lt;=$A916)*MOVIMIENTOS!$E$5:$E$1005)-SUMPRODUCT((MOVIMIENTOS!$B$5:$B$1005="VENTA")*(MOVIMIENTOS!$C$5:$C$1005="A")*(MOVIMIENTOS!$D$5:$D$1005="jabas")*(MOVIMIENTOS!$A$5:$A$1005&lt;&gt;"")*(MOVIMIENTOS!$A$5:$A$1005&lt;=$A916)*MOVIMIENTOS!$E$5:$E$1005)+SUMPRODUCT((MOVIMIENTOS!$B$5:$B$1005="AJUSTE")*(MOVIMIENTOS!$C$5:$C$1005="A")*(MOVIMIENTOS!$D$5:$D$1005="jabas")*(MOVIMIENTOS!$A$5:$A$1005&lt;&gt;"")*(MOVIMIENTOS!$A$5:$A$1005&lt;=$A916)*MOVIMIENTOS!$E$5:$E$1005))</f>
        <v/>
      </c>
      <c r="C916" t="str">
        <f>IF($A916="","",SUMPRODUCT((MOVIMIENTOS!$B$5:$B$1005="SALDO INICIAL")*(MOVIMIENTOS!$C$5:$C$1005="P")*(MOVIMIENTOS!$D$5:$D$1005="jabas")*(MOVIMIENTOS!$A$5:$A$1005&lt;&gt;"")*(MOVIMIENTOS!$A$5:$A$1005&lt;=$A916)*MOVIMIENTOS!$E$5:$E$1005)+SUMPRODUCT((MOVIMIENTOS!$B$5:$B$1005="PROCESO")*(MOVIMIENTOS!$C$5:$C$1005="P")*(MOVIMIENTOS!$D$5:$D$1005="jabas")*(MOVIMIENTOS!$A$5:$A$1005&lt;&gt;"")*(MOVIMIENTOS!$A$5:$A$1005&lt;=$A916)*MOVIMIENTOS!$E$5:$E$1005)-SUMPRODUCT((MOVIMIENTOS!$B$5:$B$1005="ENVÍO A SUPESA")*(MOVIMIENTOS!$C$5:$C$1005="P")*(MOVIMIENTOS!$D$5:$D$1005="jabas")*(MOVIMIENTOS!$A$5:$A$1005&lt;&gt;"")*(MOVIMIENTOS!$A$5:$A$1005&lt;=$A916)*MOVIMIENTOS!$E$5:$E$1005)+SUMPRODUCT((MOVIMIENTOS!$B$5:$B$1005="DEVOLUCIÓN")*(MOVIMIENTOS!$C$5:$C$1005="P")*(MOVIMIENTOS!$D$5:$D$1005="jabas")*(MOVIMIENTOS!$A$5:$A$1005&lt;&gt;"")*(MOVIMIENTOS!$A$5:$A$1005&lt;=$A916)*MOVIMIENTOS!$E$5:$E$1005)-SUMPRODUCT((MOVIMIENTOS!$B$5:$B$1005="TRASIEGO")*(MOVIMIENTOS!$C$5:$C$1005="P")*(MOVIMIENTOS!$D$5:$D$1005="jabas")*(MOVIMIENTOS!$A$5:$A$1005&lt;&gt;"")*(MOVIMIENTOS!$A$5:$A$1005&lt;=$A916)*MOVIMIENTOS!$E$5:$E$1005)-SUMPRODUCT((MOVIMIENTOS!$B$5:$B$1005="REGALO")*(MOVIMIENTOS!$C$5:$C$1005="P")*(MOVIMIENTOS!$D$5:$D$1005="jabas")*(MOVIMIENTOS!$A$5:$A$1005&lt;&gt;"")*(MOVIMIENTOS!$A$5:$A$1005&lt;=$A916)*MOVIMIENTOS!$E$5:$E$1005)-SUMPRODUCT((MOVIMIENTOS!$B$5:$B$1005="VENTA")*(MOVIMIENTOS!$C$5:$C$1005="P")*(MOVIMIENTOS!$D$5:$D$1005="jabas")*(MOVIMIENTOS!$A$5:$A$1005&lt;&gt;"")*(MOVIMIENTOS!$A$5:$A$1005&lt;=$A916)*MOVIMIENTOS!$E$5:$E$1005)+SUMPRODUCT((MOVIMIENTOS!$B$5:$B$1005="AJUSTE")*(MOVIMIENTOS!$C$5:$C$1005="P")*(MOVIMIENTOS!$D$5:$D$1005="jabas")*(MOVIMIENTOS!$A$5:$A$1005&lt;&gt;"")*(MOVIMIENTOS!$A$5:$A$1005&lt;=$A916)*MOVIMIENTOS!$E$5:$E$1005))</f>
        <v/>
      </c>
      <c r="D916" t="str">
        <f>IF($A916="","",SUMPRODUCT((MOVIMIENTOS!$B$5:$B$1005="SALDO INICIAL")*(MOVIMIENTOS!$C$5:$C$1005="C")*(MOVIMIENTOS!$D$5:$D$1005="jabas")*(MOVIMIENTOS!$A$5:$A$1005&lt;&gt;"")*(MOVIMIENTOS!$A$5:$A$1005&lt;=$A916)*MOVIMIENTOS!$E$5:$E$1005)+SUMPRODUCT((MOVIMIENTOS!$B$5:$B$1005="PROCESO")*(MOVIMIENTOS!$C$5:$C$1005="C")*(MOVIMIENTOS!$D$5:$D$1005="jabas")*(MOVIMIENTOS!$A$5:$A$1005&lt;&gt;"")*(MOVIMIENTOS!$A$5:$A$1005&lt;=$A916)*MOVIMIENTOS!$E$5:$E$1005)-SUMPRODUCT((MOVIMIENTOS!$B$5:$B$1005="ENVÍO A SUPESA")*(MOVIMIENTOS!$C$5:$C$1005="C")*(MOVIMIENTOS!$D$5:$D$1005="jabas")*(MOVIMIENTOS!$A$5:$A$1005&lt;&gt;"")*(MOVIMIENTOS!$A$5:$A$1005&lt;=$A916)*MOVIMIENTOS!$E$5:$E$1005)+SUMPRODUCT((MOVIMIENTOS!$B$5:$B$1005="DEVOLUCIÓN")*(MOVIMIENTOS!$C$5:$C$1005="C")*(MOVIMIENTOS!$D$5:$D$1005="jabas")*(MOVIMIENTOS!$A$5:$A$1005&lt;&gt;"")*(MOVIMIENTOS!$A$5:$A$1005&lt;=$A916)*MOVIMIENTOS!$E$5:$E$1005)-SUMPRODUCT((MOVIMIENTOS!$B$5:$B$1005="TRASIEGO")*(MOVIMIENTOS!$C$5:$C$1005="C")*(MOVIMIENTOS!$D$5:$D$1005="jabas")*(MOVIMIENTOS!$A$5:$A$1005&lt;&gt;"")*(MOVIMIENTOS!$A$5:$A$1005&lt;=$A916)*MOVIMIENTOS!$E$5:$E$1005)-SUMPRODUCT((MOVIMIENTOS!$B$5:$B$1005="REGALO")*(MOVIMIENTOS!$C$5:$C$1005="C")*(MOVIMIENTOS!$D$5:$D$1005="jabas")*(MOVIMIENTOS!$A$5:$A$1005&lt;&gt;"")*(MOVIMIENTOS!$A$5:$A$1005&lt;=$A916)*MOVIMIENTOS!$E$5:$E$1005)-SUMPRODUCT((MOVIMIENTOS!$B$5:$B$1005="VENTA")*(MOVIMIENTOS!$C$5:$C$1005="C")*(MOVIMIENTOS!$D$5:$D$1005="jabas")*(MOVIMIENTOS!$A$5:$A$1005&lt;&gt;"")*(MOVIMIENTOS!$A$5:$A$1005&lt;=$A916)*MOVIMIENTOS!$E$5:$E$1005)+SUMPRODUCT((MOVIMIENTOS!$B$5:$B$1005="AJUSTE")*(MOVIMIENTOS!$C$5:$C$1005="C")*(MOVIMIENTOS!$D$5:$D$1005="jabas")*(MOVIMIENTOS!$A$5:$A$1005&lt;&gt;"")*(MOVIMIENTOS!$A$5:$A$1005&lt;=$A916)*MOVIMIENTOS!$E$5:$E$1005))</f>
        <v/>
      </c>
      <c r="E916" t="str">
        <f>IF($A916="","",SUMPRODUCT((MOVIMIENTOS!$B$5:$B$1005="SALDO INICIAL")*(MOVIMIENTOS!$C$5:$C$1005="M")*(MOVIMIENTOS!$D$5:$D$1005="jabas")*(MOVIMIENTOS!$A$5:$A$1005&lt;&gt;"")*(MOVIMIENTOS!$A$5:$A$1005&lt;=$A916)*MOVIMIENTOS!$E$5:$E$1005)+SUMPRODUCT((MOVIMIENTOS!$B$5:$B$1005="PROCESO")*(MOVIMIENTOS!$C$5:$C$1005="M")*(MOVIMIENTOS!$D$5:$D$1005="jabas")*(MOVIMIENTOS!$A$5:$A$1005&lt;&gt;"")*(MOVIMIENTOS!$A$5:$A$1005&lt;=$A916)*MOVIMIENTOS!$E$5:$E$1005)-SUMPRODUCT((MOVIMIENTOS!$B$5:$B$1005="ENVÍO A SUPESA")*(MOVIMIENTOS!$C$5:$C$1005="M")*(MOVIMIENTOS!$D$5:$D$1005="jabas")*(MOVIMIENTOS!$A$5:$A$1005&lt;&gt;"")*(MOVIMIENTOS!$A$5:$A$1005&lt;=$A916)*MOVIMIENTOS!$E$5:$E$1005)+SUMPRODUCT((MOVIMIENTOS!$B$5:$B$1005="DEVOLUCIÓN")*(MOVIMIENTOS!$C$5:$C$1005="M")*(MOVIMIENTOS!$D$5:$D$1005="jabas")*(MOVIMIENTOS!$A$5:$A$1005&lt;&gt;"")*(MOVIMIENTOS!$A$5:$A$1005&lt;=$A916)*MOVIMIENTOS!$E$5:$E$1005)-SUMPRODUCT((MOVIMIENTOS!$B$5:$B$1005="TRASIEGO")*(MOVIMIENTOS!$C$5:$C$1005="M")*(MOVIMIENTOS!$D$5:$D$1005="jabas")*(MOVIMIENTOS!$A$5:$A$1005&lt;&gt;"")*(MOVIMIENTOS!$A$5:$A$1005&lt;=$A916)*MOVIMIENTOS!$E$5:$E$1005)-SUMPRODUCT((MOVIMIENTOS!$B$5:$B$1005="REGALO")*(MOVIMIENTOS!$C$5:$C$1005="M")*(MOVIMIENTOS!$D$5:$D$1005="jabas")*(MOVIMIENTOS!$A$5:$A$1005&lt;&gt;"")*(MOVIMIENTOS!$A$5:$A$1005&lt;=$A916)*MOVIMIENTOS!$E$5:$E$1005)-SUMPRODUCT((MOVIMIENTOS!$B$5:$B$1005="VENTA")*(MOVIMIENTOS!$C$5:$C$1005="M")*(MOVIMIENTOS!$D$5:$D$1005="jabas")*(MOVIMIENTOS!$A$5:$A$1005&lt;&gt;"")*(MOVIMIENTOS!$A$5:$A$1005&lt;=$A916)*MOVIMIENTOS!$E$5:$E$1005)+SUMPRODUCT((MOVIMIENTOS!$B$5:$B$1005="AJUSTE")*(MOVIMIENTOS!$C$5:$C$1005="M")*(MOVIMIENTOS!$D$5:$D$1005="jabas")*(MOVIMIENTOS!$A$5:$A$1005&lt;&gt;"")*(MOVIMIENTOS!$A$5:$A$1005&lt;=$A916)*MOVIMIENTOS!$E$5:$E$1005))</f>
        <v/>
      </c>
      <c r="F916" s="62" t="str">
        <f>IF($A916="","",SUMPRODUCT((MOVIMIENTOS!$B$5:$B$1005="SALDO INICIAL")*(MOVIMIENTOS!$C$5:$C$1005="Chancho")*(MOVIMIENTOS!$D$5:$D$1005="sacos")*(MOVIMIENTOS!$A$5:$A$1005&lt;&gt;"")*(MOVIMIENTOS!$A$5:$A$1005&lt;=$A916)*MOVIMIENTOS!$E$5:$E$1005)+SUMPRODUCT((MOVIMIENTOS!$B$5:$B$1005="PROCESO")*(MOVIMIENTOS!$C$5:$C$1005="Chancho")*(MOVIMIENTOS!$D$5:$D$1005="sacos")*(MOVIMIENTOS!$A$5:$A$1005&lt;&gt;"")*(MOVIMIENTOS!$A$5:$A$1005&lt;=$A916)*MOVIMIENTOS!$E$5:$E$1005)-SUMPRODUCT((MOVIMIENTOS!$B$5:$B$1005="VENTA CHANCHO")*(MOVIMIENTOS!$C$5:$C$1005="Chancho")*(MOVIMIENTOS!$D$5:$D$1005="sacos")*(MOVIMIENTOS!$A$5:$A$1005&lt;&gt;"")*(MOVIMIENTOS!$A$5:$A$1005&lt;=$A916)*MOVIMIENTOS!$E$5:$E$1005)-SUMPRODUCT((MOVIMIENTOS!$B$5:$B$1005="REGALO")*(MOVIMIENTOS!$C$5:$C$1005="Chancho")*(MOVIMIENTOS!$D$5:$D$1005="sacos")*(MOVIMIENTOS!$A$5:$A$1005&lt;&gt;"")*(MOVIMIENTOS!$A$5:$A$1005&lt;=$A916)*MOVIMIENTOS!$E$5:$E$1005)-SUMPRODUCT((MOVIMIENTOS!$B$5:$B$1005="VENTA")*(MOVIMIENTOS!$C$5:$C$1005="Chancho")*(MOVIMIENTOS!$D$5:$D$1005="sacos")*(MOVIMIENTOS!$A$5:$A$1005&lt;&gt;"")*(MOVIMIENTOS!$A$5:$A$1005&lt;=$A916)*MOVIMIENTOS!$E$5:$E$1005)+SUMPRODUCT((MOVIMIENTOS!$B$5:$B$1005="AJUSTE")*(MOVIMIENTOS!$C$5:$C$1005="Chancho")*(MOVIMIENTOS!$D$5:$D$1005="sacos")*(MOVIMIENTOS!$A$5:$A$1005&lt;&gt;"")*(MOVIMIENTOS!$A$5:$A$1005&lt;=$A916)*MOVIMIENTOS!$E$5:$E$1005))</f>
        <v/>
      </c>
      <c r="G916" s="62" t="str">
        <f t="shared" si="29"/>
        <v/>
      </c>
      <c r="H916" t="str">
        <f>IF($A916="","",SUMPRODUCT((((MOVIMIENTOS!$B$5:$B$1005="SALDO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916)*MOVIMIENTOS!$J$5:$J$1005))</f>
        <v/>
      </c>
      <c r="J916" t="str">
        <f>IF(AND(MOVIMIENTOS!$A921&lt;&gt;"",COUNTIF(MOVIMIENTOS!$A$5:$A920,MOVIMIENTOS!$A921)=0),COUNT(J$4:J915)+1,"")</f>
        <v/>
      </c>
      <c r="K916">
        <f>MOVIMIENTOS!$A921</f>
        <v>0</v>
      </c>
    </row>
    <row r="917" spans="1:11" ht="15" customHeight="1" x14ac:dyDescent="0.2">
      <c r="A917" t="str">
        <f t="shared" si="28"/>
        <v/>
      </c>
      <c r="B917" t="str">
        <f>IF($A917="","",SUMPRODUCT((MOVIMIENTOS!$B$5:$B$1005="SALDO INICIAL")*(MOVIMIENTOS!$C$5:$C$1005="A")*(MOVIMIENTOS!$D$5:$D$1005="jabas")*(MOVIMIENTOS!$A$5:$A$1005&lt;&gt;"")*(MOVIMIENTOS!$A$5:$A$1005&lt;=$A917)*MOVIMIENTOS!$E$5:$E$1005)+SUMPRODUCT((MOVIMIENTOS!$B$5:$B$1005="PROCESO")*(MOVIMIENTOS!$C$5:$C$1005="A")*(MOVIMIENTOS!$D$5:$D$1005="jabas")*(MOVIMIENTOS!$A$5:$A$1005&lt;&gt;"")*(MOVIMIENTOS!$A$5:$A$1005&lt;=$A917)*MOVIMIENTOS!$E$5:$E$1005)-SUMPRODUCT((MOVIMIENTOS!$B$5:$B$1005="ENVÍO A SUPESA")*(MOVIMIENTOS!$C$5:$C$1005="A")*(MOVIMIENTOS!$D$5:$D$1005="jabas")*(MOVIMIENTOS!$A$5:$A$1005&lt;&gt;"")*(MOVIMIENTOS!$A$5:$A$1005&lt;=$A917)*MOVIMIENTOS!$E$5:$E$1005)+SUMPRODUCT((MOVIMIENTOS!$B$5:$B$1005="DEVOLUCIÓN")*(MOVIMIENTOS!$C$5:$C$1005="A")*(MOVIMIENTOS!$D$5:$D$1005="jabas")*(MOVIMIENTOS!$A$5:$A$1005&lt;&gt;"")*(MOVIMIENTOS!$A$5:$A$1005&lt;=$A917)*MOVIMIENTOS!$E$5:$E$1005)-SUMPRODUCT((MOVIMIENTOS!$B$5:$B$1005="TRASIEGO")*(MOVIMIENTOS!$C$5:$C$1005="A")*(MOVIMIENTOS!$D$5:$D$1005="jabas")*(MOVIMIENTOS!$A$5:$A$1005&lt;&gt;"")*(MOVIMIENTOS!$A$5:$A$1005&lt;=$A917)*MOVIMIENTOS!$E$5:$E$1005)-SUMPRODUCT((MOVIMIENTOS!$B$5:$B$1005="REGALO")*(MOVIMIENTOS!$C$5:$C$1005="A")*(MOVIMIENTOS!$D$5:$D$1005="jabas")*(MOVIMIENTOS!$A$5:$A$1005&lt;&gt;"")*(MOVIMIENTOS!$A$5:$A$1005&lt;=$A917)*MOVIMIENTOS!$E$5:$E$1005)-SUMPRODUCT((MOVIMIENTOS!$B$5:$B$1005="VENTA")*(MOVIMIENTOS!$C$5:$C$1005="A")*(MOVIMIENTOS!$D$5:$D$1005="jabas")*(MOVIMIENTOS!$A$5:$A$1005&lt;&gt;"")*(MOVIMIENTOS!$A$5:$A$1005&lt;=$A917)*MOVIMIENTOS!$E$5:$E$1005)+SUMPRODUCT((MOVIMIENTOS!$B$5:$B$1005="AJUSTE")*(MOVIMIENTOS!$C$5:$C$1005="A")*(MOVIMIENTOS!$D$5:$D$1005="jabas")*(MOVIMIENTOS!$A$5:$A$1005&lt;&gt;"")*(MOVIMIENTOS!$A$5:$A$1005&lt;=$A917)*MOVIMIENTOS!$E$5:$E$1005))</f>
        <v/>
      </c>
      <c r="C917" t="str">
        <f>IF($A917="","",SUMPRODUCT((MOVIMIENTOS!$B$5:$B$1005="SALDO INICIAL")*(MOVIMIENTOS!$C$5:$C$1005="P")*(MOVIMIENTOS!$D$5:$D$1005="jabas")*(MOVIMIENTOS!$A$5:$A$1005&lt;&gt;"")*(MOVIMIENTOS!$A$5:$A$1005&lt;=$A917)*MOVIMIENTOS!$E$5:$E$1005)+SUMPRODUCT((MOVIMIENTOS!$B$5:$B$1005="PROCESO")*(MOVIMIENTOS!$C$5:$C$1005="P")*(MOVIMIENTOS!$D$5:$D$1005="jabas")*(MOVIMIENTOS!$A$5:$A$1005&lt;&gt;"")*(MOVIMIENTOS!$A$5:$A$1005&lt;=$A917)*MOVIMIENTOS!$E$5:$E$1005)-SUMPRODUCT((MOVIMIENTOS!$B$5:$B$1005="ENVÍO A SUPESA")*(MOVIMIENTOS!$C$5:$C$1005="P")*(MOVIMIENTOS!$D$5:$D$1005="jabas")*(MOVIMIENTOS!$A$5:$A$1005&lt;&gt;"")*(MOVIMIENTOS!$A$5:$A$1005&lt;=$A917)*MOVIMIENTOS!$E$5:$E$1005)+SUMPRODUCT((MOVIMIENTOS!$B$5:$B$1005="DEVOLUCIÓN")*(MOVIMIENTOS!$C$5:$C$1005="P")*(MOVIMIENTOS!$D$5:$D$1005="jabas")*(MOVIMIENTOS!$A$5:$A$1005&lt;&gt;"")*(MOVIMIENTOS!$A$5:$A$1005&lt;=$A917)*MOVIMIENTOS!$E$5:$E$1005)-SUMPRODUCT((MOVIMIENTOS!$B$5:$B$1005="TRASIEGO")*(MOVIMIENTOS!$C$5:$C$1005="P")*(MOVIMIENTOS!$D$5:$D$1005="jabas")*(MOVIMIENTOS!$A$5:$A$1005&lt;&gt;"")*(MOVIMIENTOS!$A$5:$A$1005&lt;=$A917)*MOVIMIENTOS!$E$5:$E$1005)-SUMPRODUCT((MOVIMIENTOS!$B$5:$B$1005="REGALO")*(MOVIMIENTOS!$C$5:$C$1005="P")*(MOVIMIENTOS!$D$5:$D$1005="jabas")*(MOVIMIENTOS!$A$5:$A$1005&lt;&gt;"")*(MOVIMIENTOS!$A$5:$A$1005&lt;=$A917)*MOVIMIENTOS!$E$5:$E$1005)-SUMPRODUCT((MOVIMIENTOS!$B$5:$B$1005="VENTA")*(MOVIMIENTOS!$C$5:$C$1005="P")*(MOVIMIENTOS!$D$5:$D$1005="jabas")*(MOVIMIENTOS!$A$5:$A$1005&lt;&gt;"")*(MOVIMIENTOS!$A$5:$A$1005&lt;=$A917)*MOVIMIENTOS!$E$5:$E$1005)+SUMPRODUCT((MOVIMIENTOS!$B$5:$B$1005="AJUSTE")*(MOVIMIENTOS!$C$5:$C$1005="P")*(MOVIMIENTOS!$D$5:$D$1005="jabas")*(MOVIMIENTOS!$A$5:$A$1005&lt;&gt;"")*(MOVIMIENTOS!$A$5:$A$1005&lt;=$A917)*MOVIMIENTOS!$E$5:$E$1005))</f>
        <v/>
      </c>
      <c r="D917" t="str">
        <f>IF($A917="","",SUMPRODUCT((MOVIMIENTOS!$B$5:$B$1005="SALDO INICIAL")*(MOVIMIENTOS!$C$5:$C$1005="C")*(MOVIMIENTOS!$D$5:$D$1005="jabas")*(MOVIMIENTOS!$A$5:$A$1005&lt;&gt;"")*(MOVIMIENTOS!$A$5:$A$1005&lt;=$A917)*MOVIMIENTOS!$E$5:$E$1005)+SUMPRODUCT((MOVIMIENTOS!$B$5:$B$1005="PROCESO")*(MOVIMIENTOS!$C$5:$C$1005="C")*(MOVIMIENTOS!$D$5:$D$1005="jabas")*(MOVIMIENTOS!$A$5:$A$1005&lt;&gt;"")*(MOVIMIENTOS!$A$5:$A$1005&lt;=$A917)*MOVIMIENTOS!$E$5:$E$1005)-SUMPRODUCT((MOVIMIENTOS!$B$5:$B$1005="ENVÍO A SUPESA")*(MOVIMIENTOS!$C$5:$C$1005="C")*(MOVIMIENTOS!$D$5:$D$1005="jabas")*(MOVIMIENTOS!$A$5:$A$1005&lt;&gt;"")*(MOVIMIENTOS!$A$5:$A$1005&lt;=$A917)*MOVIMIENTOS!$E$5:$E$1005)+SUMPRODUCT((MOVIMIENTOS!$B$5:$B$1005="DEVOLUCIÓN")*(MOVIMIENTOS!$C$5:$C$1005="C")*(MOVIMIENTOS!$D$5:$D$1005="jabas")*(MOVIMIENTOS!$A$5:$A$1005&lt;&gt;"")*(MOVIMIENTOS!$A$5:$A$1005&lt;=$A917)*MOVIMIENTOS!$E$5:$E$1005)-SUMPRODUCT((MOVIMIENTOS!$B$5:$B$1005="TRASIEGO")*(MOVIMIENTOS!$C$5:$C$1005="C")*(MOVIMIENTOS!$D$5:$D$1005="jabas")*(MOVIMIENTOS!$A$5:$A$1005&lt;&gt;"")*(MOVIMIENTOS!$A$5:$A$1005&lt;=$A917)*MOVIMIENTOS!$E$5:$E$1005)-SUMPRODUCT((MOVIMIENTOS!$B$5:$B$1005="REGALO")*(MOVIMIENTOS!$C$5:$C$1005="C")*(MOVIMIENTOS!$D$5:$D$1005="jabas")*(MOVIMIENTOS!$A$5:$A$1005&lt;&gt;"")*(MOVIMIENTOS!$A$5:$A$1005&lt;=$A917)*MOVIMIENTOS!$E$5:$E$1005)-SUMPRODUCT((MOVIMIENTOS!$B$5:$B$1005="VENTA")*(MOVIMIENTOS!$C$5:$C$1005="C")*(MOVIMIENTOS!$D$5:$D$1005="jabas")*(MOVIMIENTOS!$A$5:$A$1005&lt;&gt;"")*(MOVIMIENTOS!$A$5:$A$1005&lt;=$A917)*MOVIMIENTOS!$E$5:$E$1005)+SUMPRODUCT((MOVIMIENTOS!$B$5:$B$1005="AJUSTE")*(MOVIMIENTOS!$C$5:$C$1005="C")*(MOVIMIENTOS!$D$5:$D$1005="jabas")*(MOVIMIENTOS!$A$5:$A$1005&lt;&gt;"")*(MOVIMIENTOS!$A$5:$A$1005&lt;=$A917)*MOVIMIENTOS!$E$5:$E$1005))</f>
        <v/>
      </c>
      <c r="E917" t="str">
        <f>IF($A917="","",SUMPRODUCT((MOVIMIENTOS!$B$5:$B$1005="SALDO INICIAL")*(MOVIMIENTOS!$C$5:$C$1005="M")*(MOVIMIENTOS!$D$5:$D$1005="jabas")*(MOVIMIENTOS!$A$5:$A$1005&lt;&gt;"")*(MOVIMIENTOS!$A$5:$A$1005&lt;=$A917)*MOVIMIENTOS!$E$5:$E$1005)+SUMPRODUCT((MOVIMIENTOS!$B$5:$B$1005="PROCESO")*(MOVIMIENTOS!$C$5:$C$1005="M")*(MOVIMIENTOS!$D$5:$D$1005="jabas")*(MOVIMIENTOS!$A$5:$A$1005&lt;&gt;"")*(MOVIMIENTOS!$A$5:$A$1005&lt;=$A917)*MOVIMIENTOS!$E$5:$E$1005)-SUMPRODUCT((MOVIMIENTOS!$B$5:$B$1005="ENVÍO A SUPESA")*(MOVIMIENTOS!$C$5:$C$1005="M")*(MOVIMIENTOS!$D$5:$D$1005="jabas")*(MOVIMIENTOS!$A$5:$A$1005&lt;&gt;"")*(MOVIMIENTOS!$A$5:$A$1005&lt;=$A917)*MOVIMIENTOS!$E$5:$E$1005)+SUMPRODUCT((MOVIMIENTOS!$B$5:$B$1005="DEVOLUCIÓN")*(MOVIMIENTOS!$C$5:$C$1005="M")*(MOVIMIENTOS!$D$5:$D$1005="jabas")*(MOVIMIENTOS!$A$5:$A$1005&lt;&gt;"")*(MOVIMIENTOS!$A$5:$A$1005&lt;=$A917)*MOVIMIENTOS!$E$5:$E$1005)-SUMPRODUCT((MOVIMIENTOS!$B$5:$B$1005="TRASIEGO")*(MOVIMIENTOS!$C$5:$C$1005="M")*(MOVIMIENTOS!$D$5:$D$1005="jabas")*(MOVIMIENTOS!$A$5:$A$1005&lt;&gt;"")*(MOVIMIENTOS!$A$5:$A$1005&lt;=$A917)*MOVIMIENTOS!$E$5:$E$1005)-SUMPRODUCT((MOVIMIENTOS!$B$5:$B$1005="REGALO")*(MOVIMIENTOS!$C$5:$C$1005="M")*(MOVIMIENTOS!$D$5:$D$1005="jabas")*(MOVIMIENTOS!$A$5:$A$1005&lt;&gt;"")*(MOVIMIENTOS!$A$5:$A$1005&lt;=$A917)*MOVIMIENTOS!$E$5:$E$1005)-SUMPRODUCT((MOVIMIENTOS!$B$5:$B$1005="VENTA")*(MOVIMIENTOS!$C$5:$C$1005="M")*(MOVIMIENTOS!$D$5:$D$1005="jabas")*(MOVIMIENTOS!$A$5:$A$1005&lt;&gt;"")*(MOVIMIENTOS!$A$5:$A$1005&lt;=$A917)*MOVIMIENTOS!$E$5:$E$1005)+SUMPRODUCT((MOVIMIENTOS!$B$5:$B$1005="AJUSTE")*(MOVIMIENTOS!$C$5:$C$1005="M")*(MOVIMIENTOS!$D$5:$D$1005="jabas")*(MOVIMIENTOS!$A$5:$A$1005&lt;&gt;"")*(MOVIMIENTOS!$A$5:$A$1005&lt;=$A917)*MOVIMIENTOS!$E$5:$E$1005))</f>
        <v/>
      </c>
      <c r="F917" s="62" t="str">
        <f>IF($A917="","",SUMPRODUCT((MOVIMIENTOS!$B$5:$B$1005="SALDO INICIAL")*(MOVIMIENTOS!$C$5:$C$1005="Chancho")*(MOVIMIENTOS!$D$5:$D$1005="sacos")*(MOVIMIENTOS!$A$5:$A$1005&lt;&gt;"")*(MOVIMIENTOS!$A$5:$A$1005&lt;=$A917)*MOVIMIENTOS!$E$5:$E$1005)+SUMPRODUCT((MOVIMIENTOS!$B$5:$B$1005="PROCESO")*(MOVIMIENTOS!$C$5:$C$1005="Chancho")*(MOVIMIENTOS!$D$5:$D$1005="sacos")*(MOVIMIENTOS!$A$5:$A$1005&lt;&gt;"")*(MOVIMIENTOS!$A$5:$A$1005&lt;=$A917)*MOVIMIENTOS!$E$5:$E$1005)-SUMPRODUCT((MOVIMIENTOS!$B$5:$B$1005="VENTA CHANCHO")*(MOVIMIENTOS!$C$5:$C$1005="Chancho")*(MOVIMIENTOS!$D$5:$D$1005="sacos")*(MOVIMIENTOS!$A$5:$A$1005&lt;&gt;"")*(MOVIMIENTOS!$A$5:$A$1005&lt;=$A917)*MOVIMIENTOS!$E$5:$E$1005)-SUMPRODUCT((MOVIMIENTOS!$B$5:$B$1005="REGALO")*(MOVIMIENTOS!$C$5:$C$1005="Chancho")*(MOVIMIENTOS!$D$5:$D$1005="sacos")*(MOVIMIENTOS!$A$5:$A$1005&lt;&gt;"")*(MOVIMIENTOS!$A$5:$A$1005&lt;=$A917)*MOVIMIENTOS!$E$5:$E$1005)-SUMPRODUCT((MOVIMIENTOS!$B$5:$B$1005="VENTA")*(MOVIMIENTOS!$C$5:$C$1005="Chancho")*(MOVIMIENTOS!$D$5:$D$1005="sacos")*(MOVIMIENTOS!$A$5:$A$1005&lt;&gt;"")*(MOVIMIENTOS!$A$5:$A$1005&lt;=$A917)*MOVIMIENTOS!$E$5:$E$1005)+SUMPRODUCT((MOVIMIENTOS!$B$5:$B$1005="AJUSTE")*(MOVIMIENTOS!$C$5:$C$1005="Chancho")*(MOVIMIENTOS!$D$5:$D$1005="sacos")*(MOVIMIENTOS!$A$5:$A$1005&lt;&gt;"")*(MOVIMIENTOS!$A$5:$A$1005&lt;=$A917)*MOVIMIENTOS!$E$5:$E$1005))</f>
        <v/>
      </c>
      <c r="G917" s="62" t="str">
        <f t="shared" si="29"/>
        <v/>
      </c>
      <c r="H917" t="str">
        <f>IF($A917="","",SUMPRODUCT((((MOVIMIENTOS!$B$5:$B$1005="SALDO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917)*MOVIMIENTOS!$J$5:$J$1005))</f>
        <v/>
      </c>
      <c r="J917" t="str">
        <f>IF(AND(MOVIMIENTOS!$A922&lt;&gt;"",COUNTIF(MOVIMIENTOS!$A$5:$A921,MOVIMIENTOS!$A922)=0),COUNT(J$4:J916)+1,"")</f>
        <v/>
      </c>
      <c r="K917">
        <f>MOVIMIENTOS!$A922</f>
        <v>0</v>
      </c>
    </row>
    <row r="918" spans="1:11" ht="15" customHeight="1" x14ac:dyDescent="0.2">
      <c r="A918" t="str">
        <f t="shared" si="28"/>
        <v/>
      </c>
      <c r="B918" t="str">
        <f>IF($A918="","",SUMPRODUCT((MOVIMIENTOS!$B$5:$B$1005="SALDO INICIAL")*(MOVIMIENTOS!$C$5:$C$1005="A")*(MOVIMIENTOS!$D$5:$D$1005="jabas")*(MOVIMIENTOS!$A$5:$A$1005&lt;&gt;"")*(MOVIMIENTOS!$A$5:$A$1005&lt;=$A918)*MOVIMIENTOS!$E$5:$E$1005)+SUMPRODUCT((MOVIMIENTOS!$B$5:$B$1005="PROCESO")*(MOVIMIENTOS!$C$5:$C$1005="A")*(MOVIMIENTOS!$D$5:$D$1005="jabas")*(MOVIMIENTOS!$A$5:$A$1005&lt;&gt;"")*(MOVIMIENTOS!$A$5:$A$1005&lt;=$A918)*MOVIMIENTOS!$E$5:$E$1005)-SUMPRODUCT((MOVIMIENTOS!$B$5:$B$1005="ENVÍO A SUPESA")*(MOVIMIENTOS!$C$5:$C$1005="A")*(MOVIMIENTOS!$D$5:$D$1005="jabas")*(MOVIMIENTOS!$A$5:$A$1005&lt;&gt;"")*(MOVIMIENTOS!$A$5:$A$1005&lt;=$A918)*MOVIMIENTOS!$E$5:$E$1005)+SUMPRODUCT((MOVIMIENTOS!$B$5:$B$1005="DEVOLUCIÓN")*(MOVIMIENTOS!$C$5:$C$1005="A")*(MOVIMIENTOS!$D$5:$D$1005="jabas")*(MOVIMIENTOS!$A$5:$A$1005&lt;&gt;"")*(MOVIMIENTOS!$A$5:$A$1005&lt;=$A918)*MOVIMIENTOS!$E$5:$E$1005)-SUMPRODUCT((MOVIMIENTOS!$B$5:$B$1005="TRASIEGO")*(MOVIMIENTOS!$C$5:$C$1005="A")*(MOVIMIENTOS!$D$5:$D$1005="jabas")*(MOVIMIENTOS!$A$5:$A$1005&lt;&gt;"")*(MOVIMIENTOS!$A$5:$A$1005&lt;=$A918)*MOVIMIENTOS!$E$5:$E$1005)-SUMPRODUCT((MOVIMIENTOS!$B$5:$B$1005="REGALO")*(MOVIMIENTOS!$C$5:$C$1005="A")*(MOVIMIENTOS!$D$5:$D$1005="jabas")*(MOVIMIENTOS!$A$5:$A$1005&lt;&gt;"")*(MOVIMIENTOS!$A$5:$A$1005&lt;=$A918)*MOVIMIENTOS!$E$5:$E$1005)-SUMPRODUCT((MOVIMIENTOS!$B$5:$B$1005="VENTA")*(MOVIMIENTOS!$C$5:$C$1005="A")*(MOVIMIENTOS!$D$5:$D$1005="jabas")*(MOVIMIENTOS!$A$5:$A$1005&lt;&gt;"")*(MOVIMIENTOS!$A$5:$A$1005&lt;=$A918)*MOVIMIENTOS!$E$5:$E$1005)+SUMPRODUCT((MOVIMIENTOS!$B$5:$B$1005="AJUSTE")*(MOVIMIENTOS!$C$5:$C$1005="A")*(MOVIMIENTOS!$D$5:$D$1005="jabas")*(MOVIMIENTOS!$A$5:$A$1005&lt;&gt;"")*(MOVIMIENTOS!$A$5:$A$1005&lt;=$A918)*MOVIMIENTOS!$E$5:$E$1005))</f>
        <v/>
      </c>
      <c r="C918" t="str">
        <f>IF($A918="","",SUMPRODUCT((MOVIMIENTOS!$B$5:$B$1005="SALDO INICIAL")*(MOVIMIENTOS!$C$5:$C$1005="P")*(MOVIMIENTOS!$D$5:$D$1005="jabas")*(MOVIMIENTOS!$A$5:$A$1005&lt;&gt;"")*(MOVIMIENTOS!$A$5:$A$1005&lt;=$A918)*MOVIMIENTOS!$E$5:$E$1005)+SUMPRODUCT((MOVIMIENTOS!$B$5:$B$1005="PROCESO")*(MOVIMIENTOS!$C$5:$C$1005="P")*(MOVIMIENTOS!$D$5:$D$1005="jabas")*(MOVIMIENTOS!$A$5:$A$1005&lt;&gt;"")*(MOVIMIENTOS!$A$5:$A$1005&lt;=$A918)*MOVIMIENTOS!$E$5:$E$1005)-SUMPRODUCT((MOVIMIENTOS!$B$5:$B$1005="ENVÍO A SUPESA")*(MOVIMIENTOS!$C$5:$C$1005="P")*(MOVIMIENTOS!$D$5:$D$1005="jabas")*(MOVIMIENTOS!$A$5:$A$1005&lt;&gt;"")*(MOVIMIENTOS!$A$5:$A$1005&lt;=$A918)*MOVIMIENTOS!$E$5:$E$1005)+SUMPRODUCT((MOVIMIENTOS!$B$5:$B$1005="DEVOLUCIÓN")*(MOVIMIENTOS!$C$5:$C$1005="P")*(MOVIMIENTOS!$D$5:$D$1005="jabas")*(MOVIMIENTOS!$A$5:$A$1005&lt;&gt;"")*(MOVIMIENTOS!$A$5:$A$1005&lt;=$A918)*MOVIMIENTOS!$E$5:$E$1005)-SUMPRODUCT((MOVIMIENTOS!$B$5:$B$1005="TRASIEGO")*(MOVIMIENTOS!$C$5:$C$1005="P")*(MOVIMIENTOS!$D$5:$D$1005="jabas")*(MOVIMIENTOS!$A$5:$A$1005&lt;&gt;"")*(MOVIMIENTOS!$A$5:$A$1005&lt;=$A918)*MOVIMIENTOS!$E$5:$E$1005)-SUMPRODUCT((MOVIMIENTOS!$B$5:$B$1005="REGALO")*(MOVIMIENTOS!$C$5:$C$1005="P")*(MOVIMIENTOS!$D$5:$D$1005="jabas")*(MOVIMIENTOS!$A$5:$A$1005&lt;&gt;"")*(MOVIMIENTOS!$A$5:$A$1005&lt;=$A918)*MOVIMIENTOS!$E$5:$E$1005)-SUMPRODUCT((MOVIMIENTOS!$B$5:$B$1005="VENTA")*(MOVIMIENTOS!$C$5:$C$1005="P")*(MOVIMIENTOS!$D$5:$D$1005="jabas")*(MOVIMIENTOS!$A$5:$A$1005&lt;&gt;"")*(MOVIMIENTOS!$A$5:$A$1005&lt;=$A918)*MOVIMIENTOS!$E$5:$E$1005)+SUMPRODUCT((MOVIMIENTOS!$B$5:$B$1005="AJUSTE")*(MOVIMIENTOS!$C$5:$C$1005="P")*(MOVIMIENTOS!$D$5:$D$1005="jabas")*(MOVIMIENTOS!$A$5:$A$1005&lt;&gt;"")*(MOVIMIENTOS!$A$5:$A$1005&lt;=$A918)*MOVIMIENTOS!$E$5:$E$1005))</f>
        <v/>
      </c>
      <c r="D918" t="str">
        <f>IF($A918="","",SUMPRODUCT((MOVIMIENTOS!$B$5:$B$1005="SALDO INICIAL")*(MOVIMIENTOS!$C$5:$C$1005="C")*(MOVIMIENTOS!$D$5:$D$1005="jabas")*(MOVIMIENTOS!$A$5:$A$1005&lt;&gt;"")*(MOVIMIENTOS!$A$5:$A$1005&lt;=$A918)*MOVIMIENTOS!$E$5:$E$1005)+SUMPRODUCT((MOVIMIENTOS!$B$5:$B$1005="PROCESO")*(MOVIMIENTOS!$C$5:$C$1005="C")*(MOVIMIENTOS!$D$5:$D$1005="jabas")*(MOVIMIENTOS!$A$5:$A$1005&lt;&gt;"")*(MOVIMIENTOS!$A$5:$A$1005&lt;=$A918)*MOVIMIENTOS!$E$5:$E$1005)-SUMPRODUCT((MOVIMIENTOS!$B$5:$B$1005="ENVÍO A SUPESA")*(MOVIMIENTOS!$C$5:$C$1005="C")*(MOVIMIENTOS!$D$5:$D$1005="jabas")*(MOVIMIENTOS!$A$5:$A$1005&lt;&gt;"")*(MOVIMIENTOS!$A$5:$A$1005&lt;=$A918)*MOVIMIENTOS!$E$5:$E$1005)+SUMPRODUCT((MOVIMIENTOS!$B$5:$B$1005="DEVOLUCIÓN")*(MOVIMIENTOS!$C$5:$C$1005="C")*(MOVIMIENTOS!$D$5:$D$1005="jabas")*(MOVIMIENTOS!$A$5:$A$1005&lt;&gt;"")*(MOVIMIENTOS!$A$5:$A$1005&lt;=$A918)*MOVIMIENTOS!$E$5:$E$1005)-SUMPRODUCT((MOVIMIENTOS!$B$5:$B$1005="TRASIEGO")*(MOVIMIENTOS!$C$5:$C$1005="C")*(MOVIMIENTOS!$D$5:$D$1005="jabas")*(MOVIMIENTOS!$A$5:$A$1005&lt;&gt;"")*(MOVIMIENTOS!$A$5:$A$1005&lt;=$A918)*MOVIMIENTOS!$E$5:$E$1005)-SUMPRODUCT((MOVIMIENTOS!$B$5:$B$1005="REGALO")*(MOVIMIENTOS!$C$5:$C$1005="C")*(MOVIMIENTOS!$D$5:$D$1005="jabas")*(MOVIMIENTOS!$A$5:$A$1005&lt;&gt;"")*(MOVIMIENTOS!$A$5:$A$1005&lt;=$A918)*MOVIMIENTOS!$E$5:$E$1005)-SUMPRODUCT((MOVIMIENTOS!$B$5:$B$1005="VENTA")*(MOVIMIENTOS!$C$5:$C$1005="C")*(MOVIMIENTOS!$D$5:$D$1005="jabas")*(MOVIMIENTOS!$A$5:$A$1005&lt;&gt;"")*(MOVIMIENTOS!$A$5:$A$1005&lt;=$A918)*MOVIMIENTOS!$E$5:$E$1005)+SUMPRODUCT((MOVIMIENTOS!$B$5:$B$1005="AJUSTE")*(MOVIMIENTOS!$C$5:$C$1005="C")*(MOVIMIENTOS!$D$5:$D$1005="jabas")*(MOVIMIENTOS!$A$5:$A$1005&lt;&gt;"")*(MOVIMIENTOS!$A$5:$A$1005&lt;=$A918)*MOVIMIENTOS!$E$5:$E$1005))</f>
        <v/>
      </c>
      <c r="E918" t="str">
        <f>IF($A918="","",SUMPRODUCT((MOVIMIENTOS!$B$5:$B$1005="SALDO INICIAL")*(MOVIMIENTOS!$C$5:$C$1005="M")*(MOVIMIENTOS!$D$5:$D$1005="jabas")*(MOVIMIENTOS!$A$5:$A$1005&lt;&gt;"")*(MOVIMIENTOS!$A$5:$A$1005&lt;=$A918)*MOVIMIENTOS!$E$5:$E$1005)+SUMPRODUCT((MOVIMIENTOS!$B$5:$B$1005="PROCESO")*(MOVIMIENTOS!$C$5:$C$1005="M")*(MOVIMIENTOS!$D$5:$D$1005="jabas")*(MOVIMIENTOS!$A$5:$A$1005&lt;&gt;"")*(MOVIMIENTOS!$A$5:$A$1005&lt;=$A918)*MOVIMIENTOS!$E$5:$E$1005)-SUMPRODUCT((MOVIMIENTOS!$B$5:$B$1005="ENVÍO A SUPESA")*(MOVIMIENTOS!$C$5:$C$1005="M")*(MOVIMIENTOS!$D$5:$D$1005="jabas")*(MOVIMIENTOS!$A$5:$A$1005&lt;&gt;"")*(MOVIMIENTOS!$A$5:$A$1005&lt;=$A918)*MOVIMIENTOS!$E$5:$E$1005)+SUMPRODUCT((MOVIMIENTOS!$B$5:$B$1005="DEVOLUCIÓN")*(MOVIMIENTOS!$C$5:$C$1005="M")*(MOVIMIENTOS!$D$5:$D$1005="jabas")*(MOVIMIENTOS!$A$5:$A$1005&lt;&gt;"")*(MOVIMIENTOS!$A$5:$A$1005&lt;=$A918)*MOVIMIENTOS!$E$5:$E$1005)-SUMPRODUCT((MOVIMIENTOS!$B$5:$B$1005="TRASIEGO")*(MOVIMIENTOS!$C$5:$C$1005="M")*(MOVIMIENTOS!$D$5:$D$1005="jabas")*(MOVIMIENTOS!$A$5:$A$1005&lt;&gt;"")*(MOVIMIENTOS!$A$5:$A$1005&lt;=$A918)*MOVIMIENTOS!$E$5:$E$1005)-SUMPRODUCT((MOVIMIENTOS!$B$5:$B$1005="REGALO")*(MOVIMIENTOS!$C$5:$C$1005="M")*(MOVIMIENTOS!$D$5:$D$1005="jabas")*(MOVIMIENTOS!$A$5:$A$1005&lt;&gt;"")*(MOVIMIENTOS!$A$5:$A$1005&lt;=$A918)*MOVIMIENTOS!$E$5:$E$1005)-SUMPRODUCT((MOVIMIENTOS!$B$5:$B$1005="VENTA")*(MOVIMIENTOS!$C$5:$C$1005="M")*(MOVIMIENTOS!$D$5:$D$1005="jabas")*(MOVIMIENTOS!$A$5:$A$1005&lt;&gt;"")*(MOVIMIENTOS!$A$5:$A$1005&lt;=$A918)*MOVIMIENTOS!$E$5:$E$1005)+SUMPRODUCT((MOVIMIENTOS!$B$5:$B$1005="AJUSTE")*(MOVIMIENTOS!$C$5:$C$1005="M")*(MOVIMIENTOS!$D$5:$D$1005="jabas")*(MOVIMIENTOS!$A$5:$A$1005&lt;&gt;"")*(MOVIMIENTOS!$A$5:$A$1005&lt;=$A918)*MOVIMIENTOS!$E$5:$E$1005))</f>
        <v/>
      </c>
      <c r="F918" s="62" t="str">
        <f>IF($A918="","",SUMPRODUCT((MOVIMIENTOS!$B$5:$B$1005="SALDO INICIAL")*(MOVIMIENTOS!$C$5:$C$1005="Chancho")*(MOVIMIENTOS!$D$5:$D$1005="sacos")*(MOVIMIENTOS!$A$5:$A$1005&lt;&gt;"")*(MOVIMIENTOS!$A$5:$A$1005&lt;=$A918)*MOVIMIENTOS!$E$5:$E$1005)+SUMPRODUCT((MOVIMIENTOS!$B$5:$B$1005="PROCESO")*(MOVIMIENTOS!$C$5:$C$1005="Chancho")*(MOVIMIENTOS!$D$5:$D$1005="sacos")*(MOVIMIENTOS!$A$5:$A$1005&lt;&gt;"")*(MOVIMIENTOS!$A$5:$A$1005&lt;=$A918)*MOVIMIENTOS!$E$5:$E$1005)-SUMPRODUCT((MOVIMIENTOS!$B$5:$B$1005="VENTA CHANCHO")*(MOVIMIENTOS!$C$5:$C$1005="Chancho")*(MOVIMIENTOS!$D$5:$D$1005="sacos")*(MOVIMIENTOS!$A$5:$A$1005&lt;&gt;"")*(MOVIMIENTOS!$A$5:$A$1005&lt;=$A918)*MOVIMIENTOS!$E$5:$E$1005)-SUMPRODUCT((MOVIMIENTOS!$B$5:$B$1005="REGALO")*(MOVIMIENTOS!$C$5:$C$1005="Chancho")*(MOVIMIENTOS!$D$5:$D$1005="sacos")*(MOVIMIENTOS!$A$5:$A$1005&lt;&gt;"")*(MOVIMIENTOS!$A$5:$A$1005&lt;=$A918)*MOVIMIENTOS!$E$5:$E$1005)-SUMPRODUCT((MOVIMIENTOS!$B$5:$B$1005="VENTA")*(MOVIMIENTOS!$C$5:$C$1005="Chancho")*(MOVIMIENTOS!$D$5:$D$1005="sacos")*(MOVIMIENTOS!$A$5:$A$1005&lt;&gt;"")*(MOVIMIENTOS!$A$5:$A$1005&lt;=$A918)*MOVIMIENTOS!$E$5:$E$1005)+SUMPRODUCT((MOVIMIENTOS!$B$5:$B$1005="AJUSTE")*(MOVIMIENTOS!$C$5:$C$1005="Chancho")*(MOVIMIENTOS!$D$5:$D$1005="sacos")*(MOVIMIENTOS!$A$5:$A$1005&lt;&gt;"")*(MOVIMIENTOS!$A$5:$A$1005&lt;=$A918)*MOVIMIENTOS!$E$5:$E$1005))</f>
        <v/>
      </c>
      <c r="G918" s="62" t="str">
        <f t="shared" si="29"/>
        <v/>
      </c>
      <c r="H918" t="str">
        <f>IF($A918="","",SUMPRODUCT((((MOVIMIENTOS!$B$5:$B$1005="SALDO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918)*MOVIMIENTOS!$J$5:$J$1005))</f>
        <v/>
      </c>
      <c r="J918" t="str">
        <f>IF(AND(MOVIMIENTOS!$A923&lt;&gt;"",COUNTIF(MOVIMIENTOS!$A$5:$A922,MOVIMIENTOS!$A923)=0),COUNT(J$4:J917)+1,"")</f>
        <v/>
      </c>
      <c r="K918">
        <f>MOVIMIENTOS!$A923</f>
        <v>0</v>
      </c>
    </row>
    <row r="919" spans="1:11" ht="15" customHeight="1" x14ac:dyDescent="0.2">
      <c r="A919" t="str">
        <f t="shared" si="28"/>
        <v/>
      </c>
      <c r="B919" t="str">
        <f>IF($A919="","",SUMPRODUCT((MOVIMIENTOS!$B$5:$B$1005="SALDO INICIAL")*(MOVIMIENTOS!$C$5:$C$1005="A")*(MOVIMIENTOS!$D$5:$D$1005="jabas")*(MOVIMIENTOS!$A$5:$A$1005&lt;&gt;"")*(MOVIMIENTOS!$A$5:$A$1005&lt;=$A919)*MOVIMIENTOS!$E$5:$E$1005)+SUMPRODUCT((MOVIMIENTOS!$B$5:$B$1005="PROCESO")*(MOVIMIENTOS!$C$5:$C$1005="A")*(MOVIMIENTOS!$D$5:$D$1005="jabas")*(MOVIMIENTOS!$A$5:$A$1005&lt;&gt;"")*(MOVIMIENTOS!$A$5:$A$1005&lt;=$A919)*MOVIMIENTOS!$E$5:$E$1005)-SUMPRODUCT((MOVIMIENTOS!$B$5:$B$1005="ENVÍO A SUPESA")*(MOVIMIENTOS!$C$5:$C$1005="A")*(MOVIMIENTOS!$D$5:$D$1005="jabas")*(MOVIMIENTOS!$A$5:$A$1005&lt;&gt;"")*(MOVIMIENTOS!$A$5:$A$1005&lt;=$A919)*MOVIMIENTOS!$E$5:$E$1005)+SUMPRODUCT((MOVIMIENTOS!$B$5:$B$1005="DEVOLUCIÓN")*(MOVIMIENTOS!$C$5:$C$1005="A")*(MOVIMIENTOS!$D$5:$D$1005="jabas")*(MOVIMIENTOS!$A$5:$A$1005&lt;&gt;"")*(MOVIMIENTOS!$A$5:$A$1005&lt;=$A919)*MOVIMIENTOS!$E$5:$E$1005)-SUMPRODUCT((MOVIMIENTOS!$B$5:$B$1005="TRASIEGO")*(MOVIMIENTOS!$C$5:$C$1005="A")*(MOVIMIENTOS!$D$5:$D$1005="jabas")*(MOVIMIENTOS!$A$5:$A$1005&lt;&gt;"")*(MOVIMIENTOS!$A$5:$A$1005&lt;=$A919)*MOVIMIENTOS!$E$5:$E$1005)-SUMPRODUCT((MOVIMIENTOS!$B$5:$B$1005="REGALO")*(MOVIMIENTOS!$C$5:$C$1005="A")*(MOVIMIENTOS!$D$5:$D$1005="jabas")*(MOVIMIENTOS!$A$5:$A$1005&lt;&gt;"")*(MOVIMIENTOS!$A$5:$A$1005&lt;=$A919)*MOVIMIENTOS!$E$5:$E$1005)-SUMPRODUCT((MOVIMIENTOS!$B$5:$B$1005="VENTA")*(MOVIMIENTOS!$C$5:$C$1005="A")*(MOVIMIENTOS!$D$5:$D$1005="jabas")*(MOVIMIENTOS!$A$5:$A$1005&lt;&gt;"")*(MOVIMIENTOS!$A$5:$A$1005&lt;=$A919)*MOVIMIENTOS!$E$5:$E$1005)+SUMPRODUCT((MOVIMIENTOS!$B$5:$B$1005="AJUSTE")*(MOVIMIENTOS!$C$5:$C$1005="A")*(MOVIMIENTOS!$D$5:$D$1005="jabas")*(MOVIMIENTOS!$A$5:$A$1005&lt;&gt;"")*(MOVIMIENTOS!$A$5:$A$1005&lt;=$A919)*MOVIMIENTOS!$E$5:$E$1005))</f>
        <v/>
      </c>
      <c r="C919" t="str">
        <f>IF($A919="","",SUMPRODUCT((MOVIMIENTOS!$B$5:$B$1005="SALDO INICIAL")*(MOVIMIENTOS!$C$5:$C$1005="P")*(MOVIMIENTOS!$D$5:$D$1005="jabas")*(MOVIMIENTOS!$A$5:$A$1005&lt;&gt;"")*(MOVIMIENTOS!$A$5:$A$1005&lt;=$A919)*MOVIMIENTOS!$E$5:$E$1005)+SUMPRODUCT((MOVIMIENTOS!$B$5:$B$1005="PROCESO")*(MOVIMIENTOS!$C$5:$C$1005="P")*(MOVIMIENTOS!$D$5:$D$1005="jabas")*(MOVIMIENTOS!$A$5:$A$1005&lt;&gt;"")*(MOVIMIENTOS!$A$5:$A$1005&lt;=$A919)*MOVIMIENTOS!$E$5:$E$1005)-SUMPRODUCT((MOVIMIENTOS!$B$5:$B$1005="ENVÍO A SUPESA")*(MOVIMIENTOS!$C$5:$C$1005="P")*(MOVIMIENTOS!$D$5:$D$1005="jabas")*(MOVIMIENTOS!$A$5:$A$1005&lt;&gt;"")*(MOVIMIENTOS!$A$5:$A$1005&lt;=$A919)*MOVIMIENTOS!$E$5:$E$1005)+SUMPRODUCT((MOVIMIENTOS!$B$5:$B$1005="DEVOLUCIÓN")*(MOVIMIENTOS!$C$5:$C$1005="P")*(MOVIMIENTOS!$D$5:$D$1005="jabas")*(MOVIMIENTOS!$A$5:$A$1005&lt;&gt;"")*(MOVIMIENTOS!$A$5:$A$1005&lt;=$A919)*MOVIMIENTOS!$E$5:$E$1005)-SUMPRODUCT((MOVIMIENTOS!$B$5:$B$1005="TRASIEGO")*(MOVIMIENTOS!$C$5:$C$1005="P")*(MOVIMIENTOS!$D$5:$D$1005="jabas")*(MOVIMIENTOS!$A$5:$A$1005&lt;&gt;"")*(MOVIMIENTOS!$A$5:$A$1005&lt;=$A919)*MOVIMIENTOS!$E$5:$E$1005)-SUMPRODUCT((MOVIMIENTOS!$B$5:$B$1005="REGALO")*(MOVIMIENTOS!$C$5:$C$1005="P")*(MOVIMIENTOS!$D$5:$D$1005="jabas")*(MOVIMIENTOS!$A$5:$A$1005&lt;&gt;"")*(MOVIMIENTOS!$A$5:$A$1005&lt;=$A919)*MOVIMIENTOS!$E$5:$E$1005)-SUMPRODUCT((MOVIMIENTOS!$B$5:$B$1005="VENTA")*(MOVIMIENTOS!$C$5:$C$1005="P")*(MOVIMIENTOS!$D$5:$D$1005="jabas")*(MOVIMIENTOS!$A$5:$A$1005&lt;&gt;"")*(MOVIMIENTOS!$A$5:$A$1005&lt;=$A919)*MOVIMIENTOS!$E$5:$E$1005)+SUMPRODUCT((MOVIMIENTOS!$B$5:$B$1005="AJUSTE")*(MOVIMIENTOS!$C$5:$C$1005="P")*(MOVIMIENTOS!$D$5:$D$1005="jabas")*(MOVIMIENTOS!$A$5:$A$1005&lt;&gt;"")*(MOVIMIENTOS!$A$5:$A$1005&lt;=$A919)*MOVIMIENTOS!$E$5:$E$1005))</f>
        <v/>
      </c>
      <c r="D919" t="str">
        <f>IF($A919="","",SUMPRODUCT((MOVIMIENTOS!$B$5:$B$1005="SALDO INICIAL")*(MOVIMIENTOS!$C$5:$C$1005="C")*(MOVIMIENTOS!$D$5:$D$1005="jabas")*(MOVIMIENTOS!$A$5:$A$1005&lt;&gt;"")*(MOVIMIENTOS!$A$5:$A$1005&lt;=$A919)*MOVIMIENTOS!$E$5:$E$1005)+SUMPRODUCT((MOVIMIENTOS!$B$5:$B$1005="PROCESO")*(MOVIMIENTOS!$C$5:$C$1005="C")*(MOVIMIENTOS!$D$5:$D$1005="jabas")*(MOVIMIENTOS!$A$5:$A$1005&lt;&gt;"")*(MOVIMIENTOS!$A$5:$A$1005&lt;=$A919)*MOVIMIENTOS!$E$5:$E$1005)-SUMPRODUCT((MOVIMIENTOS!$B$5:$B$1005="ENVÍO A SUPESA")*(MOVIMIENTOS!$C$5:$C$1005="C")*(MOVIMIENTOS!$D$5:$D$1005="jabas")*(MOVIMIENTOS!$A$5:$A$1005&lt;&gt;"")*(MOVIMIENTOS!$A$5:$A$1005&lt;=$A919)*MOVIMIENTOS!$E$5:$E$1005)+SUMPRODUCT((MOVIMIENTOS!$B$5:$B$1005="DEVOLUCIÓN")*(MOVIMIENTOS!$C$5:$C$1005="C")*(MOVIMIENTOS!$D$5:$D$1005="jabas")*(MOVIMIENTOS!$A$5:$A$1005&lt;&gt;"")*(MOVIMIENTOS!$A$5:$A$1005&lt;=$A919)*MOVIMIENTOS!$E$5:$E$1005)-SUMPRODUCT((MOVIMIENTOS!$B$5:$B$1005="TRASIEGO")*(MOVIMIENTOS!$C$5:$C$1005="C")*(MOVIMIENTOS!$D$5:$D$1005="jabas")*(MOVIMIENTOS!$A$5:$A$1005&lt;&gt;"")*(MOVIMIENTOS!$A$5:$A$1005&lt;=$A919)*MOVIMIENTOS!$E$5:$E$1005)-SUMPRODUCT((MOVIMIENTOS!$B$5:$B$1005="REGALO")*(MOVIMIENTOS!$C$5:$C$1005="C")*(MOVIMIENTOS!$D$5:$D$1005="jabas")*(MOVIMIENTOS!$A$5:$A$1005&lt;&gt;"")*(MOVIMIENTOS!$A$5:$A$1005&lt;=$A919)*MOVIMIENTOS!$E$5:$E$1005)-SUMPRODUCT((MOVIMIENTOS!$B$5:$B$1005="VENTA")*(MOVIMIENTOS!$C$5:$C$1005="C")*(MOVIMIENTOS!$D$5:$D$1005="jabas")*(MOVIMIENTOS!$A$5:$A$1005&lt;&gt;"")*(MOVIMIENTOS!$A$5:$A$1005&lt;=$A919)*MOVIMIENTOS!$E$5:$E$1005)+SUMPRODUCT((MOVIMIENTOS!$B$5:$B$1005="AJUSTE")*(MOVIMIENTOS!$C$5:$C$1005="C")*(MOVIMIENTOS!$D$5:$D$1005="jabas")*(MOVIMIENTOS!$A$5:$A$1005&lt;&gt;"")*(MOVIMIENTOS!$A$5:$A$1005&lt;=$A919)*MOVIMIENTOS!$E$5:$E$1005))</f>
        <v/>
      </c>
      <c r="E919" t="str">
        <f>IF($A919="","",SUMPRODUCT((MOVIMIENTOS!$B$5:$B$1005="SALDO INICIAL")*(MOVIMIENTOS!$C$5:$C$1005="M")*(MOVIMIENTOS!$D$5:$D$1005="jabas")*(MOVIMIENTOS!$A$5:$A$1005&lt;&gt;"")*(MOVIMIENTOS!$A$5:$A$1005&lt;=$A919)*MOVIMIENTOS!$E$5:$E$1005)+SUMPRODUCT((MOVIMIENTOS!$B$5:$B$1005="PROCESO")*(MOVIMIENTOS!$C$5:$C$1005="M")*(MOVIMIENTOS!$D$5:$D$1005="jabas")*(MOVIMIENTOS!$A$5:$A$1005&lt;&gt;"")*(MOVIMIENTOS!$A$5:$A$1005&lt;=$A919)*MOVIMIENTOS!$E$5:$E$1005)-SUMPRODUCT((MOVIMIENTOS!$B$5:$B$1005="ENVÍO A SUPESA")*(MOVIMIENTOS!$C$5:$C$1005="M")*(MOVIMIENTOS!$D$5:$D$1005="jabas")*(MOVIMIENTOS!$A$5:$A$1005&lt;&gt;"")*(MOVIMIENTOS!$A$5:$A$1005&lt;=$A919)*MOVIMIENTOS!$E$5:$E$1005)+SUMPRODUCT((MOVIMIENTOS!$B$5:$B$1005="DEVOLUCIÓN")*(MOVIMIENTOS!$C$5:$C$1005="M")*(MOVIMIENTOS!$D$5:$D$1005="jabas")*(MOVIMIENTOS!$A$5:$A$1005&lt;&gt;"")*(MOVIMIENTOS!$A$5:$A$1005&lt;=$A919)*MOVIMIENTOS!$E$5:$E$1005)-SUMPRODUCT((MOVIMIENTOS!$B$5:$B$1005="TRASIEGO")*(MOVIMIENTOS!$C$5:$C$1005="M")*(MOVIMIENTOS!$D$5:$D$1005="jabas")*(MOVIMIENTOS!$A$5:$A$1005&lt;&gt;"")*(MOVIMIENTOS!$A$5:$A$1005&lt;=$A919)*MOVIMIENTOS!$E$5:$E$1005)-SUMPRODUCT((MOVIMIENTOS!$B$5:$B$1005="REGALO")*(MOVIMIENTOS!$C$5:$C$1005="M")*(MOVIMIENTOS!$D$5:$D$1005="jabas")*(MOVIMIENTOS!$A$5:$A$1005&lt;&gt;"")*(MOVIMIENTOS!$A$5:$A$1005&lt;=$A919)*MOVIMIENTOS!$E$5:$E$1005)-SUMPRODUCT((MOVIMIENTOS!$B$5:$B$1005="VENTA")*(MOVIMIENTOS!$C$5:$C$1005="M")*(MOVIMIENTOS!$D$5:$D$1005="jabas")*(MOVIMIENTOS!$A$5:$A$1005&lt;&gt;"")*(MOVIMIENTOS!$A$5:$A$1005&lt;=$A919)*MOVIMIENTOS!$E$5:$E$1005)+SUMPRODUCT((MOVIMIENTOS!$B$5:$B$1005="AJUSTE")*(MOVIMIENTOS!$C$5:$C$1005="M")*(MOVIMIENTOS!$D$5:$D$1005="jabas")*(MOVIMIENTOS!$A$5:$A$1005&lt;&gt;"")*(MOVIMIENTOS!$A$5:$A$1005&lt;=$A919)*MOVIMIENTOS!$E$5:$E$1005))</f>
        <v/>
      </c>
      <c r="F919" s="62" t="str">
        <f>IF($A919="","",SUMPRODUCT((MOVIMIENTOS!$B$5:$B$1005="SALDO INICIAL")*(MOVIMIENTOS!$C$5:$C$1005="Chancho")*(MOVIMIENTOS!$D$5:$D$1005="sacos")*(MOVIMIENTOS!$A$5:$A$1005&lt;&gt;"")*(MOVIMIENTOS!$A$5:$A$1005&lt;=$A919)*MOVIMIENTOS!$E$5:$E$1005)+SUMPRODUCT((MOVIMIENTOS!$B$5:$B$1005="PROCESO")*(MOVIMIENTOS!$C$5:$C$1005="Chancho")*(MOVIMIENTOS!$D$5:$D$1005="sacos")*(MOVIMIENTOS!$A$5:$A$1005&lt;&gt;"")*(MOVIMIENTOS!$A$5:$A$1005&lt;=$A919)*MOVIMIENTOS!$E$5:$E$1005)-SUMPRODUCT((MOVIMIENTOS!$B$5:$B$1005="VENTA CHANCHO")*(MOVIMIENTOS!$C$5:$C$1005="Chancho")*(MOVIMIENTOS!$D$5:$D$1005="sacos")*(MOVIMIENTOS!$A$5:$A$1005&lt;&gt;"")*(MOVIMIENTOS!$A$5:$A$1005&lt;=$A919)*MOVIMIENTOS!$E$5:$E$1005)-SUMPRODUCT((MOVIMIENTOS!$B$5:$B$1005="REGALO")*(MOVIMIENTOS!$C$5:$C$1005="Chancho")*(MOVIMIENTOS!$D$5:$D$1005="sacos")*(MOVIMIENTOS!$A$5:$A$1005&lt;&gt;"")*(MOVIMIENTOS!$A$5:$A$1005&lt;=$A919)*MOVIMIENTOS!$E$5:$E$1005)-SUMPRODUCT((MOVIMIENTOS!$B$5:$B$1005="VENTA")*(MOVIMIENTOS!$C$5:$C$1005="Chancho")*(MOVIMIENTOS!$D$5:$D$1005="sacos")*(MOVIMIENTOS!$A$5:$A$1005&lt;&gt;"")*(MOVIMIENTOS!$A$5:$A$1005&lt;=$A919)*MOVIMIENTOS!$E$5:$E$1005)+SUMPRODUCT((MOVIMIENTOS!$B$5:$B$1005="AJUSTE")*(MOVIMIENTOS!$C$5:$C$1005="Chancho")*(MOVIMIENTOS!$D$5:$D$1005="sacos")*(MOVIMIENTOS!$A$5:$A$1005&lt;&gt;"")*(MOVIMIENTOS!$A$5:$A$1005&lt;=$A919)*MOVIMIENTOS!$E$5:$E$1005))</f>
        <v/>
      </c>
      <c r="G919" s="62" t="str">
        <f t="shared" si="29"/>
        <v/>
      </c>
      <c r="H919" t="str">
        <f>IF($A919="","",SUMPRODUCT((((MOVIMIENTOS!$B$5:$B$1005="SALDO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919)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919)*MOVIMIENTOS!$J$5:$J$1005))</f>
        <v/>
      </c>
      <c r="J919" t="str">
        <f>IF(AND(MOVIMIENTOS!$A924&lt;&gt;"",COUNTIF(MOVIMIENTOS!$A$5:$A923,MOVIMIENTOS!$A924)=0),COUNT(J$4:J918)+1,"")</f>
        <v/>
      </c>
      <c r="K919">
        <f>MOVIMIENTOS!$A924</f>
        <v>0</v>
      </c>
    </row>
    <row r="920" spans="1:11" ht="15" customHeight="1" x14ac:dyDescent="0.2">
      <c r="A920" t="str">
        <f t="shared" si="28"/>
        <v/>
      </c>
      <c r="B920" t="str">
        <f>IF($A920="","",SUMPRODUCT((MOVIMIENTOS!$B$5:$B$1005="SALDO INICIAL")*(MOVIMIENTOS!$C$5:$C$1005="A")*(MOVIMIENTOS!$D$5:$D$1005="jabas")*(MOVIMIENTOS!$A$5:$A$1005&lt;&gt;"")*(MOVIMIENTOS!$A$5:$A$1005&lt;=$A920)*MOVIMIENTOS!$E$5:$E$1005)+SUMPRODUCT((MOVIMIENTOS!$B$5:$B$1005="PROCESO")*(MOVIMIENTOS!$C$5:$C$1005="A")*(MOVIMIENTOS!$D$5:$D$1005="jabas")*(MOVIMIENTOS!$A$5:$A$1005&lt;&gt;"")*(MOVIMIENTOS!$A$5:$A$1005&lt;=$A920)*MOVIMIENTOS!$E$5:$E$1005)-SUMPRODUCT((MOVIMIENTOS!$B$5:$B$1005="ENVÍO A SUPESA")*(MOVIMIENTOS!$C$5:$C$1005="A")*(MOVIMIENTOS!$D$5:$D$1005="jabas")*(MOVIMIENTOS!$A$5:$A$1005&lt;&gt;"")*(MOVIMIENTOS!$A$5:$A$1005&lt;=$A920)*MOVIMIENTOS!$E$5:$E$1005)+SUMPRODUCT((MOVIMIENTOS!$B$5:$B$1005="DEVOLUCIÓN")*(MOVIMIENTOS!$C$5:$C$1005="A")*(MOVIMIENTOS!$D$5:$D$1005="jabas")*(MOVIMIENTOS!$A$5:$A$1005&lt;&gt;"")*(MOVIMIENTOS!$A$5:$A$1005&lt;=$A920)*MOVIMIENTOS!$E$5:$E$1005)-SUMPRODUCT((MOVIMIENTOS!$B$5:$B$1005="TRASIEGO")*(MOVIMIENTOS!$C$5:$C$1005="A")*(MOVIMIENTOS!$D$5:$D$1005="jabas")*(MOVIMIENTOS!$A$5:$A$1005&lt;&gt;"")*(MOVIMIENTOS!$A$5:$A$1005&lt;=$A920)*MOVIMIENTOS!$E$5:$E$1005)-SUMPRODUCT((MOVIMIENTOS!$B$5:$B$1005="REGALO")*(MOVIMIENTOS!$C$5:$C$1005="A")*(MOVIMIENTOS!$D$5:$D$1005="jabas")*(MOVIMIENTOS!$A$5:$A$1005&lt;&gt;"")*(MOVIMIENTOS!$A$5:$A$1005&lt;=$A920)*MOVIMIENTOS!$E$5:$E$1005)-SUMPRODUCT((MOVIMIENTOS!$B$5:$B$1005="VENTA")*(MOVIMIENTOS!$C$5:$C$1005="A")*(MOVIMIENTOS!$D$5:$D$1005="jabas")*(MOVIMIENTOS!$A$5:$A$1005&lt;&gt;"")*(MOVIMIENTOS!$A$5:$A$1005&lt;=$A920)*MOVIMIENTOS!$E$5:$E$1005)+SUMPRODUCT((MOVIMIENTOS!$B$5:$B$1005="AJUSTE")*(MOVIMIENTOS!$C$5:$C$1005="A")*(MOVIMIENTOS!$D$5:$D$1005="jabas")*(MOVIMIENTOS!$A$5:$A$1005&lt;&gt;"")*(MOVIMIENTOS!$A$5:$A$1005&lt;=$A920)*MOVIMIENTOS!$E$5:$E$1005))</f>
        <v/>
      </c>
      <c r="C920" t="str">
        <f>IF($A920="","",SUMPRODUCT((MOVIMIENTOS!$B$5:$B$1005="SALDO INICIAL")*(MOVIMIENTOS!$C$5:$C$1005="P")*(MOVIMIENTOS!$D$5:$D$1005="jabas")*(MOVIMIENTOS!$A$5:$A$1005&lt;&gt;"")*(MOVIMIENTOS!$A$5:$A$1005&lt;=$A920)*MOVIMIENTOS!$E$5:$E$1005)+SUMPRODUCT((MOVIMIENTOS!$B$5:$B$1005="PROCESO")*(MOVIMIENTOS!$C$5:$C$1005="P")*(MOVIMIENTOS!$D$5:$D$1005="jabas")*(MOVIMIENTOS!$A$5:$A$1005&lt;&gt;"")*(MOVIMIENTOS!$A$5:$A$1005&lt;=$A920)*MOVIMIENTOS!$E$5:$E$1005)-SUMPRODUCT((MOVIMIENTOS!$B$5:$B$1005="ENVÍO A SUPESA")*(MOVIMIENTOS!$C$5:$C$1005="P")*(MOVIMIENTOS!$D$5:$D$1005="jabas")*(MOVIMIENTOS!$A$5:$A$1005&lt;&gt;"")*(MOVIMIENTOS!$A$5:$A$1005&lt;=$A920)*MOVIMIENTOS!$E$5:$E$1005)+SUMPRODUCT((MOVIMIENTOS!$B$5:$B$1005="DEVOLUCIÓN")*(MOVIMIENTOS!$C$5:$C$1005="P")*(MOVIMIENTOS!$D$5:$D$1005="jabas")*(MOVIMIENTOS!$A$5:$A$1005&lt;&gt;"")*(MOVIMIENTOS!$A$5:$A$1005&lt;=$A920)*MOVIMIENTOS!$E$5:$E$1005)-SUMPRODUCT((MOVIMIENTOS!$B$5:$B$1005="TRASIEGO")*(MOVIMIENTOS!$C$5:$C$1005="P")*(MOVIMIENTOS!$D$5:$D$1005="jabas")*(MOVIMIENTOS!$A$5:$A$1005&lt;&gt;"")*(MOVIMIENTOS!$A$5:$A$1005&lt;=$A920)*MOVIMIENTOS!$E$5:$E$1005)-SUMPRODUCT((MOVIMIENTOS!$B$5:$B$1005="REGALO")*(MOVIMIENTOS!$C$5:$C$1005="P")*(MOVIMIENTOS!$D$5:$D$1005="jabas")*(MOVIMIENTOS!$A$5:$A$1005&lt;&gt;"")*(MOVIMIENTOS!$A$5:$A$1005&lt;=$A920)*MOVIMIENTOS!$E$5:$E$1005)-SUMPRODUCT((MOVIMIENTOS!$B$5:$B$1005="VENTA")*(MOVIMIENTOS!$C$5:$C$1005="P")*(MOVIMIENTOS!$D$5:$D$1005="jabas")*(MOVIMIENTOS!$A$5:$A$1005&lt;&gt;"")*(MOVIMIENTOS!$A$5:$A$1005&lt;=$A920)*MOVIMIENTOS!$E$5:$E$1005)+SUMPRODUCT((MOVIMIENTOS!$B$5:$B$1005="AJUSTE")*(MOVIMIENTOS!$C$5:$C$1005="P")*(MOVIMIENTOS!$D$5:$D$1005="jabas")*(MOVIMIENTOS!$A$5:$A$1005&lt;&gt;"")*(MOVIMIENTOS!$A$5:$A$1005&lt;=$A920)*MOVIMIENTOS!$E$5:$E$1005))</f>
        <v/>
      </c>
      <c r="D920" t="str">
        <f>IF($A920="","",SUMPRODUCT((MOVIMIENTOS!$B$5:$B$1005="SALDO INICIAL")*(MOVIMIENTOS!$C$5:$C$1005="C")*(MOVIMIENTOS!$D$5:$D$1005="jabas")*(MOVIMIENTOS!$A$5:$A$1005&lt;&gt;"")*(MOVIMIENTOS!$A$5:$A$1005&lt;=$A920)*MOVIMIENTOS!$E$5:$E$1005)+SUMPRODUCT((MOVIMIENTOS!$B$5:$B$1005="PROCESO")*(MOVIMIENTOS!$C$5:$C$1005="C")*(MOVIMIENTOS!$D$5:$D$1005="jabas")*(MOVIMIENTOS!$A$5:$A$1005&lt;&gt;"")*(MOVIMIENTOS!$A$5:$A$1005&lt;=$A920)*MOVIMIENTOS!$E$5:$E$1005)-SUMPRODUCT((MOVIMIENTOS!$B$5:$B$1005="ENVÍO A SUPESA")*(MOVIMIENTOS!$C$5:$C$1005="C")*(MOVIMIENTOS!$D$5:$D$1005="jabas")*(MOVIMIENTOS!$A$5:$A$1005&lt;&gt;"")*(MOVIMIENTOS!$A$5:$A$1005&lt;=$A920)*MOVIMIENTOS!$E$5:$E$1005)+SUMPRODUCT((MOVIMIENTOS!$B$5:$B$1005="DEVOLUCIÓN")*(MOVIMIENTOS!$C$5:$C$1005="C")*(MOVIMIENTOS!$D$5:$D$1005="jabas")*(MOVIMIENTOS!$A$5:$A$1005&lt;&gt;"")*(MOVIMIENTOS!$A$5:$A$1005&lt;=$A920)*MOVIMIENTOS!$E$5:$E$1005)-SUMPRODUCT((MOVIMIENTOS!$B$5:$B$1005="TRASIEGO")*(MOVIMIENTOS!$C$5:$C$1005="C")*(MOVIMIENTOS!$D$5:$D$1005="jabas")*(MOVIMIENTOS!$A$5:$A$1005&lt;&gt;"")*(MOVIMIENTOS!$A$5:$A$1005&lt;=$A920)*MOVIMIENTOS!$E$5:$E$1005)-SUMPRODUCT((MOVIMIENTOS!$B$5:$B$1005="REGALO")*(MOVIMIENTOS!$C$5:$C$1005="C")*(MOVIMIENTOS!$D$5:$D$1005="jabas")*(MOVIMIENTOS!$A$5:$A$1005&lt;&gt;"")*(MOVIMIENTOS!$A$5:$A$1005&lt;=$A920)*MOVIMIENTOS!$E$5:$E$1005)-SUMPRODUCT((MOVIMIENTOS!$B$5:$B$1005="VENTA")*(MOVIMIENTOS!$C$5:$C$1005="C")*(MOVIMIENTOS!$D$5:$D$1005="jabas")*(MOVIMIENTOS!$A$5:$A$1005&lt;&gt;"")*(MOVIMIENTOS!$A$5:$A$1005&lt;=$A920)*MOVIMIENTOS!$E$5:$E$1005)+SUMPRODUCT((MOVIMIENTOS!$B$5:$B$1005="AJUSTE")*(MOVIMIENTOS!$C$5:$C$1005="C")*(MOVIMIENTOS!$D$5:$D$1005="jabas")*(MOVIMIENTOS!$A$5:$A$1005&lt;&gt;"")*(MOVIMIENTOS!$A$5:$A$1005&lt;=$A920)*MOVIMIENTOS!$E$5:$E$1005))</f>
        <v/>
      </c>
      <c r="E920" t="str">
        <f>IF($A920="","",SUMPRODUCT((MOVIMIENTOS!$B$5:$B$1005="SALDO INICIAL")*(MOVIMIENTOS!$C$5:$C$1005="M")*(MOVIMIENTOS!$D$5:$D$1005="jabas")*(MOVIMIENTOS!$A$5:$A$1005&lt;&gt;"")*(MOVIMIENTOS!$A$5:$A$1005&lt;=$A920)*MOVIMIENTOS!$E$5:$E$1005)+SUMPRODUCT((MOVIMIENTOS!$B$5:$B$1005="PROCESO")*(MOVIMIENTOS!$C$5:$C$1005="M")*(MOVIMIENTOS!$D$5:$D$1005="jabas")*(MOVIMIENTOS!$A$5:$A$1005&lt;&gt;"")*(MOVIMIENTOS!$A$5:$A$1005&lt;=$A920)*MOVIMIENTOS!$E$5:$E$1005)-SUMPRODUCT((MOVIMIENTOS!$B$5:$B$1005="ENVÍO A SUPESA")*(MOVIMIENTOS!$C$5:$C$1005="M")*(MOVIMIENTOS!$D$5:$D$1005="jabas")*(MOVIMIENTOS!$A$5:$A$1005&lt;&gt;"")*(MOVIMIENTOS!$A$5:$A$1005&lt;=$A920)*MOVIMIENTOS!$E$5:$E$1005)+SUMPRODUCT((MOVIMIENTOS!$B$5:$B$1005="DEVOLUCIÓN")*(MOVIMIENTOS!$C$5:$C$1005="M")*(MOVIMIENTOS!$D$5:$D$1005="jabas")*(MOVIMIENTOS!$A$5:$A$1005&lt;&gt;"")*(MOVIMIENTOS!$A$5:$A$1005&lt;=$A920)*MOVIMIENTOS!$E$5:$E$1005)-SUMPRODUCT((MOVIMIENTOS!$B$5:$B$1005="TRASIEGO")*(MOVIMIENTOS!$C$5:$C$1005="M")*(MOVIMIENTOS!$D$5:$D$1005="jabas")*(MOVIMIENTOS!$A$5:$A$1005&lt;&gt;"")*(MOVIMIENTOS!$A$5:$A$1005&lt;=$A920)*MOVIMIENTOS!$E$5:$E$1005)-SUMPRODUCT((MOVIMIENTOS!$B$5:$B$1005="REGALO")*(MOVIMIENTOS!$C$5:$C$1005="M")*(MOVIMIENTOS!$D$5:$D$1005="jabas")*(MOVIMIENTOS!$A$5:$A$1005&lt;&gt;"")*(MOVIMIENTOS!$A$5:$A$1005&lt;=$A920)*MOVIMIENTOS!$E$5:$E$1005)-SUMPRODUCT((MOVIMIENTOS!$B$5:$B$1005="VENTA")*(MOVIMIENTOS!$C$5:$C$1005="M")*(MOVIMIENTOS!$D$5:$D$1005="jabas")*(MOVIMIENTOS!$A$5:$A$1005&lt;&gt;"")*(MOVIMIENTOS!$A$5:$A$1005&lt;=$A920)*MOVIMIENTOS!$E$5:$E$1005)+SUMPRODUCT((MOVIMIENTOS!$B$5:$B$1005="AJUSTE")*(MOVIMIENTOS!$C$5:$C$1005="M")*(MOVIMIENTOS!$D$5:$D$1005="jabas")*(MOVIMIENTOS!$A$5:$A$1005&lt;&gt;"")*(MOVIMIENTOS!$A$5:$A$1005&lt;=$A920)*MOVIMIENTOS!$E$5:$E$1005))</f>
        <v/>
      </c>
      <c r="F920" s="62" t="str">
        <f>IF($A920="","",SUMPRODUCT((MOVIMIENTOS!$B$5:$B$1005="SALDO INICIAL")*(MOVIMIENTOS!$C$5:$C$1005="Chancho")*(MOVIMIENTOS!$D$5:$D$1005="sacos")*(MOVIMIENTOS!$A$5:$A$1005&lt;&gt;"")*(MOVIMIENTOS!$A$5:$A$1005&lt;=$A920)*MOVIMIENTOS!$E$5:$E$1005)+SUMPRODUCT((MOVIMIENTOS!$B$5:$B$1005="PROCESO")*(MOVIMIENTOS!$C$5:$C$1005="Chancho")*(MOVIMIENTOS!$D$5:$D$1005="sacos")*(MOVIMIENTOS!$A$5:$A$1005&lt;&gt;"")*(MOVIMIENTOS!$A$5:$A$1005&lt;=$A920)*MOVIMIENTOS!$E$5:$E$1005)-SUMPRODUCT((MOVIMIENTOS!$B$5:$B$1005="VENTA CHANCHO")*(MOVIMIENTOS!$C$5:$C$1005="Chancho")*(MOVIMIENTOS!$D$5:$D$1005="sacos")*(MOVIMIENTOS!$A$5:$A$1005&lt;&gt;"")*(MOVIMIENTOS!$A$5:$A$1005&lt;=$A920)*MOVIMIENTOS!$E$5:$E$1005)-SUMPRODUCT((MOVIMIENTOS!$B$5:$B$1005="REGALO")*(MOVIMIENTOS!$C$5:$C$1005="Chancho")*(MOVIMIENTOS!$D$5:$D$1005="sacos")*(MOVIMIENTOS!$A$5:$A$1005&lt;&gt;"")*(MOVIMIENTOS!$A$5:$A$1005&lt;=$A920)*MOVIMIENTOS!$E$5:$E$1005)-SUMPRODUCT((MOVIMIENTOS!$B$5:$B$1005="VENTA")*(MOVIMIENTOS!$C$5:$C$1005="Chancho")*(MOVIMIENTOS!$D$5:$D$1005="sacos")*(MOVIMIENTOS!$A$5:$A$1005&lt;&gt;"")*(MOVIMIENTOS!$A$5:$A$1005&lt;=$A920)*MOVIMIENTOS!$E$5:$E$1005)+SUMPRODUCT((MOVIMIENTOS!$B$5:$B$1005="AJUSTE")*(MOVIMIENTOS!$C$5:$C$1005="Chancho")*(MOVIMIENTOS!$D$5:$D$1005="sacos")*(MOVIMIENTOS!$A$5:$A$1005&lt;&gt;"")*(MOVIMIENTOS!$A$5:$A$1005&lt;=$A920)*MOVIMIENTOS!$E$5:$E$1005))</f>
        <v/>
      </c>
      <c r="G920" s="62" t="str">
        <f t="shared" si="29"/>
        <v/>
      </c>
      <c r="H920" t="str">
        <f>IF($A920="","",SUMPRODUCT((((MOVIMIENTOS!$B$5:$B$1005="SALDO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920)*MOVIMIENTOS!$J$5:$J$1005))</f>
        <v/>
      </c>
      <c r="J920" t="str">
        <f>IF(AND(MOVIMIENTOS!$A925&lt;&gt;"",COUNTIF(MOVIMIENTOS!$A$5:$A924,MOVIMIENTOS!$A925)=0),COUNT(J$4:J919)+1,"")</f>
        <v/>
      </c>
      <c r="K920">
        <f>MOVIMIENTOS!$A925</f>
        <v>0</v>
      </c>
    </row>
    <row r="921" spans="1:11" ht="15" customHeight="1" x14ac:dyDescent="0.2">
      <c r="A921" t="str">
        <f t="shared" si="28"/>
        <v/>
      </c>
      <c r="B921" t="str">
        <f>IF($A921="","",SUMPRODUCT((MOVIMIENTOS!$B$5:$B$1005="SALDO INICIAL")*(MOVIMIENTOS!$C$5:$C$1005="A")*(MOVIMIENTOS!$D$5:$D$1005="jabas")*(MOVIMIENTOS!$A$5:$A$1005&lt;&gt;"")*(MOVIMIENTOS!$A$5:$A$1005&lt;=$A921)*MOVIMIENTOS!$E$5:$E$1005)+SUMPRODUCT((MOVIMIENTOS!$B$5:$B$1005="PROCESO")*(MOVIMIENTOS!$C$5:$C$1005="A")*(MOVIMIENTOS!$D$5:$D$1005="jabas")*(MOVIMIENTOS!$A$5:$A$1005&lt;&gt;"")*(MOVIMIENTOS!$A$5:$A$1005&lt;=$A921)*MOVIMIENTOS!$E$5:$E$1005)-SUMPRODUCT((MOVIMIENTOS!$B$5:$B$1005="ENVÍO A SUPESA")*(MOVIMIENTOS!$C$5:$C$1005="A")*(MOVIMIENTOS!$D$5:$D$1005="jabas")*(MOVIMIENTOS!$A$5:$A$1005&lt;&gt;"")*(MOVIMIENTOS!$A$5:$A$1005&lt;=$A921)*MOVIMIENTOS!$E$5:$E$1005)+SUMPRODUCT((MOVIMIENTOS!$B$5:$B$1005="DEVOLUCIÓN")*(MOVIMIENTOS!$C$5:$C$1005="A")*(MOVIMIENTOS!$D$5:$D$1005="jabas")*(MOVIMIENTOS!$A$5:$A$1005&lt;&gt;"")*(MOVIMIENTOS!$A$5:$A$1005&lt;=$A921)*MOVIMIENTOS!$E$5:$E$1005)-SUMPRODUCT((MOVIMIENTOS!$B$5:$B$1005="TRASIEGO")*(MOVIMIENTOS!$C$5:$C$1005="A")*(MOVIMIENTOS!$D$5:$D$1005="jabas")*(MOVIMIENTOS!$A$5:$A$1005&lt;&gt;"")*(MOVIMIENTOS!$A$5:$A$1005&lt;=$A921)*MOVIMIENTOS!$E$5:$E$1005)-SUMPRODUCT((MOVIMIENTOS!$B$5:$B$1005="REGALO")*(MOVIMIENTOS!$C$5:$C$1005="A")*(MOVIMIENTOS!$D$5:$D$1005="jabas")*(MOVIMIENTOS!$A$5:$A$1005&lt;&gt;"")*(MOVIMIENTOS!$A$5:$A$1005&lt;=$A921)*MOVIMIENTOS!$E$5:$E$1005)-SUMPRODUCT((MOVIMIENTOS!$B$5:$B$1005="VENTA")*(MOVIMIENTOS!$C$5:$C$1005="A")*(MOVIMIENTOS!$D$5:$D$1005="jabas")*(MOVIMIENTOS!$A$5:$A$1005&lt;&gt;"")*(MOVIMIENTOS!$A$5:$A$1005&lt;=$A921)*MOVIMIENTOS!$E$5:$E$1005)+SUMPRODUCT((MOVIMIENTOS!$B$5:$B$1005="AJUSTE")*(MOVIMIENTOS!$C$5:$C$1005="A")*(MOVIMIENTOS!$D$5:$D$1005="jabas")*(MOVIMIENTOS!$A$5:$A$1005&lt;&gt;"")*(MOVIMIENTOS!$A$5:$A$1005&lt;=$A921)*MOVIMIENTOS!$E$5:$E$1005))</f>
        <v/>
      </c>
      <c r="C921" t="str">
        <f>IF($A921="","",SUMPRODUCT((MOVIMIENTOS!$B$5:$B$1005="SALDO INICIAL")*(MOVIMIENTOS!$C$5:$C$1005="P")*(MOVIMIENTOS!$D$5:$D$1005="jabas")*(MOVIMIENTOS!$A$5:$A$1005&lt;&gt;"")*(MOVIMIENTOS!$A$5:$A$1005&lt;=$A921)*MOVIMIENTOS!$E$5:$E$1005)+SUMPRODUCT((MOVIMIENTOS!$B$5:$B$1005="PROCESO")*(MOVIMIENTOS!$C$5:$C$1005="P")*(MOVIMIENTOS!$D$5:$D$1005="jabas")*(MOVIMIENTOS!$A$5:$A$1005&lt;&gt;"")*(MOVIMIENTOS!$A$5:$A$1005&lt;=$A921)*MOVIMIENTOS!$E$5:$E$1005)-SUMPRODUCT((MOVIMIENTOS!$B$5:$B$1005="ENVÍO A SUPESA")*(MOVIMIENTOS!$C$5:$C$1005="P")*(MOVIMIENTOS!$D$5:$D$1005="jabas")*(MOVIMIENTOS!$A$5:$A$1005&lt;&gt;"")*(MOVIMIENTOS!$A$5:$A$1005&lt;=$A921)*MOVIMIENTOS!$E$5:$E$1005)+SUMPRODUCT((MOVIMIENTOS!$B$5:$B$1005="DEVOLUCIÓN")*(MOVIMIENTOS!$C$5:$C$1005="P")*(MOVIMIENTOS!$D$5:$D$1005="jabas")*(MOVIMIENTOS!$A$5:$A$1005&lt;&gt;"")*(MOVIMIENTOS!$A$5:$A$1005&lt;=$A921)*MOVIMIENTOS!$E$5:$E$1005)-SUMPRODUCT((MOVIMIENTOS!$B$5:$B$1005="TRASIEGO")*(MOVIMIENTOS!$C$5:$C$1005="P")*(MOVIMIENTOS!$D$5:$D$1005="jabas")*(MOVIMIENTOS!$A$5:$A$1005&lt;&gt;"")*(MOVIMIENTOS!$A$5:$A$1005&lt;=$A921)*MOVIMIENTOS!$E$5:$E$1005)-SUMPRODUCT((MOVIMIENTOS!$B$5:$B$1005="REGALO")*(MOVIMIENTOS!$C$5:$C$1005="P")*(MOVIMIENTOS!$D$5:$D$1005="jabas")*(MOVIMIENTOS!$A$5:$A$1005&lt;&gt;"")*(MOVIMIENTOS!$A$5:$A$1005&lt;=$A921)*MOVIMIENTOS!$E$5:$E$1005)-SUMPRODUCT((MOVIMIENTOS!$B$5:$B$1005="VENTA")*(MOVIMIENTOS!$C$5:$C$1005="P")*(MOVIMIENTOS!$D$5:$D$1005="jabas")*(MOVIMIENTOS!$A$5:$A$1005&lt;&gt;"")*(MOVIMIENTOS!$A$5:$A$1005&lt;=$A921)*MOVIMIENTOS!$E$5:$E$1005)+SUMPRODUCT((MOVIMIENTOS!$B$5:$B$1005="AJUSTE")*(MOVIMIENTOS!$C$5:$C$1005="P")*(MOVIMIENTOS!$D$5:$D$1005="jabas")*(MOVIMIENTOS!$A$5:$A$1005&lt;&gt;"")*(MOVIMIENTOS!$A$5:$A$1005&lt;=$A921)*MOVIMIENTOS!$E$5:$E$1005))</f>
        <v/>
      </c>
      <c r="D921" t="str">
        <f>IF($A921="","",SUMPRODUCT((MOVIMIENTOS!$B$5:$B$1005="SALDO INICIAL")*(MOVIMIENTOS!$C$5:$C$1005="C")*(MOVIMIENTOS!$D$5:$D$1005="jabas")*(MOVIMIENTOS!$A$5:$A$1005&lt;&gt;"")*(MOVIMIENTOS!$A$5:$A$1005&lt;=$A921)*MOVIMIENTOS!$E$5:$E$1005)+SUMPRODUCT((MOVIMIENTOS!$B$5:$B$1005="PROCESO")*(MOVIMIENTOS!$C$5:$C$1005="C")*(MOVIMIENTOS!$D$5:$D$1005="jabas")*(MOVIMIENTOS!$A$5:$A$1005&lt;&gt;"")*(MOVIMIENTOS!$A$5:$A$1005&lt;=$A921)*MOVIMIENTOS!$E$5:$E$1005)-SUMPRODUCT((MOVIMIENTOS!$B$5:$B$1005="ENVÍO A SUPESA")*(MOVIMIENTOS!$C$5:$C$1005="C")*(MOVIMIENTOS!$D$5:$D$1005="jabas")*(MOVIMIENTOS!$A$5:$A$1005&lt;&gt;"")*(MOVIMIENTOS!$A$5:$A$1005&lt;=$A921)*MOVIMIENTOS!$E$5:$E$1005)+SUMPRODUCT((MOVIMIENTOS!$B$5:$B$1005="DEVOLUCIÓN")*(MOVIMIENTOS!$C$5:$C$1005="C")*(MOVIMIENTOS!$D$5:$D$1005="jabas")*(MOVIMIENTOS!$A$5:$A$1005&lt;&gt;"")*(MOVIMIENTOS!$A$5:$A$1005&lt;=$A921)*MOVIMIENTOS!$E$5:$E$1005)-SUMPRODUCT((MOVIMIENTOS!$B$5:$B$1005="TRASIEGO")*(MOVIMIENTOS!$C$5:$C$1005="C")*(MOVIMIENTOS!$D$5:$D$1005="jabas")*(MOVIMIENTOS!$A$5:$A$1005&lt;&gt;"")*(MOVIMIENTOS!$A$5:$A$1005&lt;=$A921)*MOVIMIENTOS!$E$5:$E$1005)-SUMPRODUCT((MOVIMIENTOS!$B$5:$B$1005="REGALO")*(MOVIMIENTOS!$C$5:$C$1005="C")*(MOVIMIENTOS!$D$5:$D$1005="jabas")*(MOVIMIENTOS!$A$5:$A$1005&lt;&gt;"")*(MOVIMIENTOS!$A$5:$A$1005&lt;=$A921)*MOVIMIENTOS!$E$5:$E$1005)-SUMPRODUCT((MOVIMIENTOS!$B$5:$B$1005="VENTA")*(MOVIMIENTOS!$C$5:$C$1005="C")*(MOVIMIENTOS!$D$5:$D$1005="jabas")*(MOVIMIENTOS!$A$5:$A$1005&lt;&gt;"")*(MOVIMIENTOS!$A$5:$A$1005&lt;=$A921)*MOVIMIENTOS!$E$5:$E$1005)+SUMPRODUCT((MOVIMIENTOS!$B$5:$B$1005="AJUSTE")*(MOVIMIENTOS!$C$5:$C$1005="C")*(MOVIMIENTOS!$D$5:$D$1005="jabas")*(MOVIMIENTOS!$A$5:$A$1005&lt;&gt;"")*(MOVIMIENTOS!$A$5:$A$1005&lt;=$A921)*MOVIMIENTOS!$E$5:$E$1005))</f>
        <v/>
      </c>
      <c r="E921" t="str">
        <f>IF($A921="","",SUMPRODUCT((MOVIMIENTOS!$B$5:$B$1005="SALDO INICIAL")*(MOVIMIENTOS!$C$5:$C$1005="M")*(MOVIMIENTOS!$D$5:$D$1005="jabas")*(MOVIMIENTOS!$A$5:$A$1005&lt;&gt;"")*(MOVIMIENTOS!$A$5:$A$1005&lt;=$A921)*MOVIMIENTOS!$E$5:$E$1005)+SUMPRODUCT((MOVIMIENTOS!$B$5:$B$1005="PROCESO")*(MOVIMIENTOS!$C$5:$C$1005="M")*(MOVIMIENTOS!$D$5:$D$1005="jabas")*(MOVIMIENTOS!$A$5:$A$1005&lt;&gt;"")*(MOVIMIENTOS!$A$5:$A$1005&lt;=$A921)*MOVIMIENTOS!$E$5:$E$1005)-SUMPRODUCT((MOVIMIENTOS!$B$5:$B$1005="ENVÍO A SUPESA")*(MOVIMIENTOS!$C$5:$C$1005="M")*(MOVIMIENTOS!$D$5:$D$1005="jabas")*(MOVIMIENTOS!$A$5:$A$1005&lt;&gt;"")*(MOVIMIENTOS!$A$5:$A$1005&lt;=$A921)*MOVIMIENTOS!$E$5:$E$1005)+SUMPRODUCT((MOVIMIENTOS!$B$5:$B$1005="DEVOLUCIÓN")*(MOVIMIENTOS!$C$5:$C$1005="M")*(MOVIMIENTOS!$D$5:$D$1005="jabas")*(MOVIMIENTOS!$A$5:$A$1005&lt;&gt;"")*(MOVIMIENTOS!$A$5:$A$1005&lt;=$A921)*MOVIMIENTOS!$E$5:$E$1005)-SUMPRODUCT((MOVIMIENTOS!$B$5:$B$1005="TRASIEGO")*(MOVIMIENTOS!$C$5:$C$1005="M")*(MOVIMIENTOS!$D$5:$D$1005="jabas")*(MOVIMIENTOS!$A$5:$A$1005&lt;&gt;"")*(MOVIMIENTOS!$A$5:$A$1005&lt;=$A921)*MOVIMIENTOS!$E$5:$E$1005)-SUMPRODUCT((MOVIMIENTOS!$B$5:$B$1005="REGALO")*(MOVIMIENTOS!$C$5:$C$1005="M")*(MOVIMIENTOS!$D$5:$D$1005="jabas")*(MOVIMIENTOS!$A$5:$A$1005&lt;&gt;"")*(MOVIMIENTOS!$A$5:$A$1005&lt;=$A921)*MOVIMIENTOS!$E$5:$E$1005)-SUMPRODUCT((MOVIMIENTOS!$B$5:$B$1005="VENTA")*(MOVIMIENTOS!$C$5:$C$1005="M")*(MOVIMIENTOS!$D$5:$D$1005="jabas")*(MOVIMIENTOS!$A$5:$A$1005&lt;&gt;"")*(MOVIMIENTOS!$A$5:$A$1005&lt;=$A921)*MOVIMIENTOS!$E$5:$E$1005)+SUMPRODUCT((MOVIMIENTOS!$B$5:$B$1005="AJUSTE")*(MOVIMIENTOS!$C$5:$C$1005="M")*(MOVIMIENTOS!$D$5:$D$1005="jabas")*(MOVIMIENTOS!$A$5:$A$1005&lt;&gt;"")*(MOVIMIENTOS!$A$5:$A$1005&lt;=$A921)*MOVIMIENTOS!$E$5:$E$1005))</f>
        <v/>
      </c>
      <c r="F921" s="62" t="str">
        <f>IF($A921="","",SUMPRODUCT((MOVIMIENTOS!$B$5:$B$1005="SALDO INICIAL")*(MOVIMIENTOS!$C$5:$C$1005="Chancho")*(MOVIMIENTOS!$D$5:$D$1005="sacos")*(MOVIMIENTOS!$A$5:$A$1005&lt;&gt;"")*(MOVIMIENTOS!$A$5:$A$1005&lt;=$A921)*MOVIMIENTOS!$E$5:$E$1005)+SUMPRODUCT((MOVIMIENTOS!$B$5:$B$1005="PROCESO")*(MOVIMIENTOS!$C$5:$C$1005="Chancho")*(MOVIMIENTOS!$D$5:$D$1005="sacos")*(MOVIMIENTOS!$A$5:$A$1005&lt;&gt;"")*(MOVIMIENTOS!$A$5:$A$1005&lt;=$A921)*MOVIMIENTOS!$E$5:$E$1005)-SUMPRODUCT((MOVIMIENTOS!$B$5:$B$1005="VENTA CHANCHO")*(MOVIMIENTOS!$C$5:$C$1005="Chancho")*(MOVIMIENTOS!$D$5:$D$1005="sacos")*(MOVIMIENTOS!$A$5:$A$1005&lt;&gt;"")*(MOVIMIENTOS!$A$5:$A$1005&lt;=$A921)*MOVIMIENTOS!$E$5:$E$1005)-SUMPRODUCT((MOVIMIENTOS!$B$5:$B$1005="REGALO")*(MOVIMIENTOS!$C$5:$C$1005="Chancho")*(MOVIMIENTOS!$D$5:$D$1005="sacos")*(MOVIMIENTOS!$A$5:$A$1005&lt;&gt;"")*(MOVIMIENTOS!$A$5:$A$1005&lt;=$A921)*MOVIMIENTOS!$E$5:$E$1005)-SUMPRODUCT((MOVIMIENTOS!$B$5:$B$1005="VENTA")*(MOVIMIENTOS!$C$5:$C$1005="Chancho")*(MOVIMIENTOS!$D$5:$D$1005="sacos")*(MOVIMIENTOS!$A$5:$A$1005&lt;&gt;"")*(MOVIMIENTOS!$A$5:$A$1005&lt;=$A921)*MOVIMIENTOS!$E$5:$E$1005)+SUMPRODUCT((MOVIMIENTOS!$B$5:$B$1005="AJUSTE")*(MOVIMIENTOS!$C$5:$C$1005="Chancho")*(MOVIMIENTOS!$D$5:$D$1005="sacos")*(MOVIMIENTOS!$A$5:$A$1005&lt;&gt;"")*(MOVIMIENTOS!$A$5:$A$1005&lt;=$A921)*MOVIMIENTOS!$E$5:$E$1005))</f>
        <v/>
      </c>
      <c r="G921" s="62" t="str">
        <f t="shared" si="29"/>
        <v/>
      </c>
      <c r="H921" t="str">
        <f>IF($A921="","",SUMPRODUCT((((MOVIMIENTOS!$B$5:$B$1005="SALDO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921)*MOVIMIENTOS!$J$5:$J$1005))</f>
        <v/>
      </c>
      <c r="J921" t="str">
        <f>IF(AND(MOVIMIENTOS!$A926&lt;&gt;"",COUNTIF(MOVIMIENTOS!$A$5:$A925,MOVIMIENTOS!$A926)=0),COUNT(J$4:J920)+1,"")</f>
        <v/>
      </c>
      <c r="K921">
        <f>MOVIMIENTOS!$A926</f>
        <v>0</v>
      </c>
    </row>
    <row r="922" spans="1:11" ht="15" customHeight="1" x14ac:dyDescent="0.2">
      <c r="A922" t="str">
        <f t="shared" si="28"/>
        <v/>
      </c>
      <c r="B922" t="str">
        <f>IF($A922="","",SUMPRODUCT((MOVIMIENTOS!$B$5:$B$1005="SALDO INICIAL")*(MOVIMIENTOS!$C$5:$C$1005="A")*(MOVIMIENTOS!$D$5:$D$1005="jabas")*(MOVIMIENTOS!$A$5:$A$1005&lt;&gt;"")*(MOVIMIENTOS!$A$5:$A$1005&lt;=$A922)*MOVIMIENTOS!$E$5:$E$1005)+SUMPRODUCT((MOVIMIENTOS!$B$5:$B$1005="PROCESO")*(MOVIMIENTOS!$C$5:$C$1005="A")*(MOVIMIENTOS!$D$5:$D$1005="jabas")*(MOVIMIENTOS!$A$5:$A$1005&lt;&gt;"")*(MOVIMIENTOS!$A$5:$A$1005&lt;=$A922)*MOVIMIENTOS!$E$5:$E$1005)-SUMPRODUCT((MOVIMIENTOS!$B$5:$B$1005="ENVÍO A SUPESA")*(MOVIMIENTOS!$C$5:$C$1005="A")*(MOVIMIENTOS!$D$5:$D$1005="jabas")*(MOVIMIENTOS!$A$5:$A$1005&lt;&gt;"")*(MOVIMIENTOS!$A$5:$A$1005&lt;=$A922)*MOVIMIENTOS!$E$5:$E$1005)+SUMPRODUCT((MOVIMIENTOS!$B$5:$B$1005="DEVOLUCIÓN")*(MOVIMIENTOS!$C$5:$C$1005="A")*(MOVIMIENTOS!$D$5:$D$1005="jabas")*(MOVIMIENTOS!$A$5:$A$1005&lt;&gt;"")*(MOVIMIENTOS!$A$5:$A$1005&lt;=$A922)*MOVIMIENTOS!$E$5:$E$1005)-SUMPRODUCT((MOVIMIENTOS!$B$5:$B$1005="TRASIEGO")*(MOVIMIENTOS!$C$5:$C$1005="A")*(MOVIMIENTOS!$D$5:$D$1005="jabas")*(MOVIMIENTOS!$A$5:$A$1005&lt;&gt;"")*(MOVIMIENTOS!$A$5:$A$1005&lt;=$A922)*MOVIMIENTOS!$E$5:$E$1005)-SUMPRODUCT((MOVIMIENTOS!$B$5:$B$1005="REGALO")*(MOVIMIENTOS!$C$5:$C$1005="A")*(MOVIMIENTOS!$D$5:$D$1005="jabas")*(MOVIMIENTOS!$A$5:$A$1005&lt;&gt;"")*(MOVIMIENTOS!$A$5:$A$1005&lt;=$A922)*MOVIMIENTOS!$E$5:$E$1005)-SUMPRODUCT((MOVIMIENTOS!$B$5:$B$1005="VENTA")*(MOVIMIENTOS!$C$5:$C$1005="A")*(MOVIMIENTOS!$D$5:$D$1005="jabas")*(MOVIMIENTOS!$A$5:$A$1005&lt;&gt;"")*(MOVIMIENTOS!$A$5:$A$1005&lt;=$A922)*MOVIMIENTOS!$E$5:$E$1005)+SUMPRODUCT((MOVIMIENTOS!$B$5:$B$1005="AJUSTE")*(MOVIMIENTOS!$C$5:$C$1005="A")*(MOVIMIENTOS!$D$5:$D$1005="jabas")*(MOVIMIENTOS!$A$5:$A$1005&lt;&gt;"")*(MOVIMIENTOS!$A$5:$A$1005&lt;=$A922)*MOVIMIENTOS!$E$5:$E$1005))</f>
        <v/>
      </c>
      <c r="C922" t="str">
        <f>IF($A922="","",SUMPRODUCT((MOVIMIENTOS!$B$5:$B$1005="SALDO INICIAL")*(MOVIMIENTOS!$C$5:$C$1005="P")*(MOVIMIENTOS!$D$5:$D$1005="jabas")*(MOVIMIENTOS!$A$5:$A$1005&lt;&gt;"")*(MOVIMIENTOS!$A$5:$A$1005&lt;=$A922)*MOVIMIENTOS!$E$5:$E$1005)+SUMPRODUCT((MOVIMIENTOS!$B$5:$B$1005="PROCESO")*(MOVIMIENTOS!$C$5:$C$1005="P")*(MOVIMIENTOS!$D$5:$D$1005="jabas")*(MOVIMIENTOS!$A$5:$A$1005&lt;&gt;"")*(MOVIMIENTOS!$A$5:$A$1005&lt;=$A922)*MOVIMIENTOS!$E$5:$E$1005)-SUMPRODUCT((MOVIMIENTOS!$B$5:$B$1005="ENVÍO A SUPESA")*(MOVIMIENTOS!$C$5:$C$1005="P")*(MOVIMIENTOS!$D$5:$D$1005="jabas")*(MOVIMIENTOS!$A$5:$A$1005&lt;&gt;"")*(MOVIMIENTOS!$A$5:$A$1005&lt;=$A922)*MOVIMIENTOS!$E$5:$E$1005)+SUMPRODUCT((MOVIMIENTOS!$B$5:$B$1005="DEVOLUCIÓN")*(MOVIMIENTOS!$C$5:$C$1005="P")*(MOVIMIENTOS!$D$5:$D$1005="jabas")*(MOVIMIENTOS!$A$5:$A$1005&lt;&gt;"")*(MOVIMIENTOS!$A$5:$A$1005&lt;=$A922)*MOVIMIENTOS!$E$5:$E$1005)-SUMPRODUCT((MOVIMIENTOS!$B$5:$B$1005="TRASIEGO")*(MOVIMIENTOS!$C$5:$C$1005="P")*(MOVIMIENTOS!$D$5:$D$1005="jabas")*(MOVIMIENTOS!$A$5:$A$1005&lt;&gt;"")*(MOVIMIENTOS!$A$5:$A$1005&lt;=$A922)*MOVIMIENTOS!$E$5:$E$1005)-SUMPRODUCT((MOVIMIENTOS!$B$5:$B$1005="REGALO")*(MOVIMIENTOS!$C$5:$C$1005="P")*(MOVIMIENTOS!$D$5:$D$1005="jabas")*(MOVIMIENTOS!$A$5:$A$1005&lt;&gt;"")*(MOVIMIENTOS!$A$5:$A$1005&lt;=$A922)*MOVIMIENTOS!$E$5:$E$1005)-SUMPRODUCT((MOVIMIENTOS!$B$5:$B$1005="VENTA")*(MOVIMIENTOS!$C$5:$C$1005="P")*(MOVIMIENTOS!$D$5:$D$1005="jabas")*(MOVIMIENTOS!$A$5:$A$1005&lt;&gt;"")*(MOVIMIENTOS!$A$5:$A$1005&lt;=$A922)*MOVIMIENTOS!$E$5:$E$1005)+SUMPRODUCT((MOVIMIENTOS!$B$5:$B$1005="AJUSTE")*(MOVIMIENTOS!$C$5:$C$1005="P")*(MOVIMIENTOS!$D$5:$D$1005="jabas")*(MOVIMIENTOS!$A$5:$A$1005&lt;&gt;"")*(MOVIMIENTOS!$A$5:$A$1005&lt;=$A922)*MOVIMIENTOS!$E$5:$E$1005))</f>
        <v/>
      </c>
      <c r="D922" t="str">
        <f>IF($A922="","",SUMPRODUCT((MOVIMIENTOS!$B$5:$B$1005="SALDO INICIAL")*(MOVIMIENTOS!$C$5:$C$1005="C")*(MOVIMIENTOS!$D$5:$D$1005="jabas")*(MOVIMIENTOS!$A$5:$A$1005&lt;&gt;"")*(MOVIMIENTOS!$A$5:$A$1005&lt;=$A922)*MOVIMIENTOS!$E$5:$E$1005)+SUMPRODUCT((MOVIMIENTOS!$B$5:$B$1005="PROCESO")*(MOVIMIENTOS!$C$5:$C$1005="C")*(MOVIMIENTOS!$D$5:$D$1005="jabas")*(MOVIMIENTOS!$A$5:$A$1005&lt;&gt;"")*(MOVIMIENTOS!$A$5:$A$1005&lt;=$A922)*MOVIMIENTOS!$E$5:$E$1005)-SUMPRODUCT((MOVIMIENTOS!$B$5:$B$1005="ENVÍO A SUPESA")*(MOVIMIENTOS!$C$5:$C$1005="C")*(MOVIMIENTOS!$D$5:$D$1005="jabas")*(MOVIMIENTOS!$A$5:$A$1005&lt;&gt;"")*(MOVIMIENTOS!$A$5:$A$1005&lt;=$A922)*MOVIMIENTOS!$E$5:$E$1005)+SUMPRODUCT((MOVIMIENTOS!$B$5:$B$1005="DEVOLUCIÓN")*(MOVIMIENTOS!$C$5:$C$1005="C")*(MOVIMIENTOS!$D$5:$D$1005="jabas")*(MOVIMIENTOS!$A$5:$A$1005&lt;&gt;"")*(MOVIMIENTOS!$A$5:$A$1005&lt;=$A922)*MOVIMIENTOS!$E$5:$E$1005)-SUMPRODUCT((MOVIMIENTOS!$B$5:$B$1005="TRASIEGO")*(MOVIMIENTOS!$C$5:$C$1005="C")*(MOVIMIENTOS!$D$5:$D$1005="jabas")*(MOVIMIENTOS!$A$5:$A$1005&lt;&gt;"")*(MOVIMIENTOS!$A$5:$A$1005&lt;=$A922)*MOVIMIENTOS!$E$5:$E$1005)-SUMPRODUCT((MOVIMIENTOS!$B$5:$B$1005="REGALO")*(MOVIMIENTOS!$C$5:$C$1005="C")*(MOVIMIENTOS!$D$5:$D$1005="jabas")*(MOVIMIENTOS!$A$5:$A$1005&lt;&gt;"")*(MOVIMIENTOS!$A$5:$A$1005&lt;=$A922)*MOVIMIENTOS!$E$5:$E$1005)-SUMPRODUCT((MOVIMIENTOS!$B$5:$B$1005="VENTA")*(MOVIMIENTOS!$C$5:$C$1005="C")*(MOVIMIENTOS!$D$5:$D$1005="jabas")*(MOVIMIENTOS!$A$5:$A$1005&lt;&gt;"")*(MOVIMIENTOS!$A$5:$A$1005&lt;=$A922)*MOVIMIENTOS!$E$5:$E$1005)+SUMPRODUCT((MOVIMIENTOS!$B$5:$B$1005="AJUSTE")*(MOVIMIENTOS!$C$5:$C$1005="C")*(MOVIMIENTOS!$D$5:$D$1005="jabas")*(MOVIMIENTOS!$A$5:$A$1005&lt;&gt;"")*(MOVIMIENTOS!$A$5:$A$1005&lt;=$A922)*MOVIMIENTOS!$E$5:$E$1005))</f>
        <v/>
      </c>
      <c r="E922" t="str">
        <f>IF($A922="","",SUMPRODUCT((MOVIMIENTOS!$B$5:$B$1005="SALDO INICIAL")*(MOVIMIENTOS!$C$5:$C$1005="M")*(MOVIMIENTOS!$D$5:$D$1005="jabas")*(MOVIMIENTOS!$A$5:$A$1005&lt;&gt;"")*(MOVIMIENTOS!$A$5:$A$1005&lt;=$A922)*MOVIMIENTOS!$E$5:$E$1005)+SUMPRODUCT((MOVIMIENTOS!$B$5:$B$1005="PROCESO")*(MOVIMIENTOS!$C$5:$C$1005="M")*(MOVIMIENTOS!$D$5:$D$1005="jabas")*(MOVIMIENTOS!$A$5:$A$1005&lt;&gt;"")*(MOVIMIENTOS!$A$5:$A$1005&lt;=$A922)*MOVIMIENTOS!$E$5:$E$1005)-SUMPRODUCT((MOVIMIENTOS!$B$5:$B$1005="ENVÍO A SUPESA")*(MOVIMIENTOS!$C$5:$C$1005="M")*(MOVIMIENTOS!$D$5:$D$1005="jabas")*(MOVIMIENTOS!$A$5:$A$1005&lt;&gt;"")*(MOVIMIENTOS!$A$5:$A$1005&lt;=$A922)*MOVIMIENTOS!$E$5:$E$1005)+SUMPRODUCT((MOVIMIENTOS!$B$5:$B$1005="DEVOLUCIÓN")*(MOVIMIENTOS!$C$5:$C$1005="M")*(MOVIMIENTOS!$D$5:$D$1005="jabas")*(MOVIMIENTOS!$A$5:$A$1005&lt;&gt;"")*(MOVIMIENTOS!$A$5:$A$1005&lt;=$A922)*MOVIMIENTOS!$E$5:$E$1005)-SUMPRODUCT((MOVIMIENTOS!$B$5:$B$1005="TRASIEGO")*(MOVIMIENTOS!$C$5:$C$1005="M")*(MOVIMIENTOS!$D$5:$D$1005="jabas")*(MOVIMIENTOS!$A$5:$A$1005&lt;&gt;"")*(MOVIMIENTOS!$A$5:$A$1005&lt;=$A922)*MOVIMIENTOS!$E$5:$E$1005)-SUMPRODUCT((MOVIMIENTOS!$B$5:$B$1005="REGALO")*(MOVIMIENTOS!$C$5:$C$1005="M")*(MOVIMIENTOS!$D$5:$D$1005="jabas")*(MOVIMIENTOS!$A$5:$A$1005&lt;&gt;"")*(MOVIMIENTOS!$A$5:$A$1005&lt;=$A922)*MOVIMIENTOS!$E$5:$E$1005)-SUMPRODUCT((MOVIMIENTOS!$B$5:$B$1005="VENTA")*(MOVIMIENTOS!$C$5:$C$1005="M")*(MOVIMIENTOS!$D$5:$D$1005="jabas")*(MOVIMIENTOS!$A$5:$A$1005&lt;&gt;"")*(MOVIMIENTOS!$A$5:$A$1005&lt;=$A922)*MOVIMIENTOS!$E$5:$E$1005)+SUMPRODUCT((MOVIMIENTOS!$B$5:$B$1005="AJUSTE")*(MOVIMIENTOS!$C$5:$C$1005="M")*(MOVIMIENTOS!$D$5:$D$1005="jabas")*(MOVIMIENTOS!$A$5:$A$1005&lt;&gt;"")*(MOVIMIENTOS!$A$5:$A$1005&lt;=$A922)*MOVIMIENTOS!$E$5:$E$1005))</f>
        <v/>
      </c>
      <c r="F922" s="62" t="str">
        <f>IF($A922="","",SUMPRODUCT((MOVIMIENTOS!$B$5:$B$1005="SALDO INICIAL")*(MOVIMIENTOS!$C$5:$C$1005="Chancho")*(MOVIMIENTOS!$D$5:$D$1005="sacos")*(MOVIMIENTOS!$A$5:$A$1005&lt;&gt;"")*(MOVIMIENTOS!$A$5:$A$1005&lt;=$A922)*MOVIMIENTOS!$E$5:$E$1005)+SUMPRODUCT((MOVIMIENTOS!$B$5:$B$1005="PROCESO")*(MOVIMIENTOS!$C$5:$C$1005="Chancho")*(MOVIMIENTOS!$D$5:$D$1005="sacos")*(MOVIMIENTOS!$A$5:$A$1005&lt;&gt;"")*(MOVIMIENTOS!$A$5:$A$1005&lt;=$A922)*MOVIMIENTOS!$E$5:$E$1005)-SUMPRODUCT((MOVIMIENTOS!$B$5:$B$1005="VENTA CHANCHO")*(MOVIMIENTOS!$C$5:$C$1005="Chancho")*(MOVIMIENTOS!$D$5:$D$1005="sacos")*(MOVIMIENTOS!$A$5:$A$1005&lt;&gt;"")*(MOVIMIENTOS!$A$5:$A$1005&lt;=$A922)*MOVIMIENTOS!$E$5:$E$1005)-SUMPRODUCT((MOVIMIENTOS!$B$5:$B$1005="REGALO")*(MOVIMIENTOS!$C$5:$C$1005="Chancho")*(MOVIMIENTOS!$D$5:$D$1005="sacos")*(MOVIMIENTOS!$A$5:$A$1005&lt;&gt;"")*(MOVIMIENTOS!$A$5:$A$1005&lt;=$A922)*MOVIMIENTOS!$E$5:$E$1005)-SUMPRODUCT((MOVIMIENTOS!$B$5:$B$1005="VENTA")*(MOVIMIENTOS!$C$5:$C$1005="Chancho")*(MOVIMIENTOS!$D$5:$D$1005="sacos")*(MOVIMIENTOS!$A$5:$A$1005&lt;&gt;"")*(MOVIMIENTOS!$A$5:$A$1005&lt;=$A922)*MOVIMIENTOS!$E$5:$E$1005)+SUMPRODUCT((MOVIMIENTOS!$B$5:$B$1005="AJUSTE")*(MOVIMIENTOS!$C$5:$C$1005="Chancho")*(MOVIMIENTOS!$D$5:$D$1005="sacos")*(MOVIMIENTOS!$A$5:$A$1005&lt;&gt;"")*(MOVIMIENTOS!$A$5:$A$1005&lt;=$A922)*MOVIMIENTOS!$E$5:$E$1005))</f>
        <v/>
      </c>
      <c r="G922" s="62" t="str">
        <f t="shared" si="29"/>
        <v/>
      </c>
      <c r="H922" t="str">
        <f>IF($A922="","",SUMPRODUCT((((MOVIMIENTOS!$B$5:$B$1005="SALDO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922)*MOVIMIENTOS!$J$5:$J$1005))</f>
        <v/>
      </c>
      <c r="J922" t="str">
        <f>IF(AND(MOVIMIENTOS!$A927&lt;&gt;"",COUNTIF(MOVIMIENTOS!$A$5:$A926,MOVIMIENTOS!$A927)=0),COUNT(J$4:J921)+1,"")</f>
        <v/>
      </c>
      <c r="K922">
        <f>MOVIMIENTOS!$A927</f>
        <v>0</v>
      </c>
    </row>
    <row r="923" spans="1:11" ht="15" customHeight="1" x14ac:dyDescent="0.2">
      <c r="A923" t="str">
        <f t="shared" si="28"/>
        <v/>
      </c>
      <c r="B923" t="str">
        <f>IF($A923="","",SUMPRODUCT((MOVIMIENTOS!$B$5:$B$1005="SALDO INICIAL")*(MOVIMIENTOS!$C$5:$C$1005="A")*(MOVIMIENTOS!$D$5:$D$1005="jabas")*(MOVIMIENTOS!$A$5:$A$1005&lt;&gt;"")*(MOVIMIENTOS!$A$5:$A$1005&lt;=$A923)*MOVIMIENTOS!$E$5:$E$1005)+SUMPRODUCT((MOVIMIENTOS!$B$5:$B$1005="PROCESO")*(MOVIMIENTOS!$C$5:$C$1005="A")*(MOVIMIENTOS!$D$5:$D$1005="jabas")*(MOVIMIENTOS!$A$5:$A$1005&lt;&gt;"")*(MOVIMIENTOS!$A$5:$A$1005&lt;=$A923)*MOVIMIENTOS!$E$5:$E$1005)-SUMPRODUCT((MOVIMIENTOS!$B$5:$B$1005="ENVÍO A SUPESA")*(MOVIMIENTOS!$C$5:$C$1005="A")*(MOVIMIENTOS!$D$5:$D$1005="jabas")*(MOVIMIENTOS!$A$5:$A$1005&lt;&gt;"")*(MOVIMIENTOS!$A$5:$A$1005&lt;=$A923)*MOVIMIENTOS!$E$5:$E$1005)+SUMPRODUCT((MOVIMIENTOS!$B$5:$B$1005="DEVOLUCIÓN")*(MOVIMIENTOS!$C$5:$C$1005="A")*(MOVIMIENTOS!$D$5:$D$1005="jabas")*(MOVIMIENTOS!$A$5:$A$1005&lt;&gt;"")*(MOVIMIENTOS!$A$5:$A$1005&lt;=$A923)*MOVIMIENTOS!$E$5:$E$1005)-SUMPRODUCT((MOVIMIENTOS!$B$5:$B$1005="TRASIEGO")*(MOVIMIENTOS!$C$5:$C$1005="A")*(MOVIMIENTOS!$D$5:$D$1005="jabas")*(MOVIMIENTOS!$A$5:$A$1005&lt;&gt;"")*(MOVIMIENTOS!$A$5:$A$1005&lt;=$A923)*MOVIMIENTOS!$E$5:$E$1005)-SUMPRODUCT((MOVIMIENTOS!$B$5:$B$1005="REGALO")*(MOVIMIENTOS!$C$5:$C$1005="A")*(MOVIMIENTOS!$D$5:$D$1005="jabas")*(MOVIMIENTOS!$A$5:$A$1005&lt;&gt;"")*(MOVIMIENTOS!$A$5:$A$1005&lt;=$A923)*MOVIMIENTOS!$E$5:$E$1005)-SUMPRODUCT((MOVIMIENTOS!$B$5:$B$1005="VENTA")*(MOVIMIENTOS!$C$5:$C$1005="A")*(MOVIMIENTOS!$D$5:$D$1005="jabas")*(MOVIMIENTOS!$A$5:$A$1005&lt;&gt;"")*(MOVIMIENTOS!$A$5:$A$1005&lt;=$A923)*MOVIMIENTOS!$E$5:$E$1005)+SUMPRODUCT((MOVIMIENTOS!$B$5:$B$1005="AJUSTE")*(MOVIMIENTOS!$C$5:$C$1005="A")*(MOVIMIENTOS!$D$5:$D$1005="jabas")*(MOVIMIENTOS!$A$5:$A$1005&lt;&gt;"")*(MOVIMIENTOS!$A$5:$A$1005&lt;=$A923)*MOVIMIENTOS!$E$5:$E$1005))</f>
        <v/>
      </c>
      <c r="C923" t="str">
        <f>IF($A923="","",SUMPRODUCT((MOVIMIENTOS!$B$5:$B$1005="SALDO INICIAL")*(MOVIMIENTOS!$C$5:$C$1005="P")*(MOVIMIENTOS!$D$5:$D$1005="jabas")*(MOVIMIENTOS!$A$5:$A$1005&lt;&gt;"")*(MOVIMIENTOS!$A$5:$A$1005&lt;=$A923)*MOVIMIENTOS!$E$5:$E$1005)+SUMPRODUCT((MOVIMIENTOS!$B$5:$B$1005="PROCESO")*(MOVIMIENTOS!$C$5:$C$1005="P")*(MOVIMIENTOS!$D$5:$D$1005="jabas")*(MOVIMIENTOS!$A$5:$A$1005&lt;&gt;"")*(MOVIMIENTOS!$A$5:$A$1005&lt;=$A923)*MOVIMIENTOS!$E$5:$E$1005)-SUMPRODUCT((MOVIMIENTOS!$B$5:$B$1005="ENVÍO A SUPESA")*(MOVIMIENTOS!$C$5:$C$1005="P")*(MOVIMIENTOS!$D$5:$D$1005="jabas")*(MOVIMIENTOS!$A$5:$A$1005&lt;&gt;"")*(MOVIMIENTOS!$A$5:$A$1005&lt;=$A923)*MOVIMIENTOS!$E$5:$E$1005)+SUMPRODUCT((MOVIMIENTOS!$B$5:$B$1005="DEVOLUCIÓN")*(MOVIMIENTOS!$C$5:$C$1005="P")*(MOVIMIENTOS!$D$5:$D$1005="jabas")*(MOVIMIENTOS!$A$5:$A$1005&lt;&gt;"")*(MOVIMIENTOS!$A$5:$A$1005&lt;=$A923)*MOVIMIENTOS!$E$5:$E$1005)-SUMPRODUCT((MOVIMIENTOS!$B$5:$B$1005="TRASIEGO")*(MOVIMIENTOS!$C$5:$C$1005="P")*(MOVIMIENTOS!$D$5:$D$1005="jabas")*(MOVIMIENTOS!$A$5:$A$1005&lt;&gt;"")*(MOVIMIENTOS!$A$5:$A$1005&lt;=$A923)*MOVIMIENTOS!$E$5:$E$1005)-SUMPRODUCT((MOVIMIENTOS!$B$5:$B$1005="REGALO")*(MOVIMIENTOS!$C$5:$C$1005="P")*(MOVIMIENTOS!$D$5:$D$1005="jabas")*(MOVIMIENTOS!$A$5:$A$1005&lt;&gt;"")*(MOVIMIENTOS!$A$5:$A$1005&lt;=$A923)*MOVIMIENTOS!$E$5:$E$1005)-SUMPRODUCT((MOVIMIENTOS!$B$5:$B$1005="VENTA")*(MOVIMIENTOS!$C$5:$C$1005="P")*(MOVIMIENTOS!$D$5:$D$1005="jabas")*(MOVIMIENTOS!$A$5:$A$1005&lt;&gt;"")*(MOVIMIENTOS!$A$5:$A$1005&lt;=$A923)*MOVIMIENTOS!$E$5:$E$1005)+SUMPRODUCT((MOVIMIENTOS!$B$5:$B$1005="AJUSTE")*(MOVIMIENTOS!$C$5:$C$1005="P")*(MOVIMIENTOS!$D$5:$D$1005="jabas")*(MOVIMIENTOS!$A$5:$A$1005&lt;&gt;"")*(MOVIMIENTOS!$A$5:$A$1005&lt;=$A923)*MOVIMIENTOS!$E$5:$E$1005))</f>
        <v/>
      </c>
      <c r="D923" t="str">
        <f>IF($A923="","",SUMPRODUCT((MOVIMIENTOS!$B$5:$B$1005="SALDO INICIAL")*(MOVIMIENTOS!$C$5:$C$1005="C")*(MOVIMIENTOS!$D$5:$D$1005="jabas")*(MOVIMIENTOS!$A$5:$A$1005&lt;&gt;"")*(MOVIMIENTOS!$A$5:$A$1005&lt;=$A923)*MOVIMIENTOS!$E$5:$E$1005)+SUMPRODUCT((MOVIMIENTOS!$B$5:$B$1005="PROCESO")*(MOVIMIENTOS!$C$5:$C$1005="C")*(MOVIMIENTOS!$D$5:$D$1005="jabas")*(MOVIMIENTOS!$A$5:$A$1005&lt;&gt;"")*(MOVIMIENTOS!$A$5:$A$1005&lt;=$A923)*MOVIMIENTOS!$E$5:$E$1005)-SUMPRODUCT((MOVIMIENTOS!$B$5:$B$1005="ENVÍO A SUPESA")*(MOVIMIENTOS!$C$5:$C$1005="C")*(MOVIMIENTOS!$D$5:$D$1005="jabas")*(MOVIMIENTOS!$A$5:$A$1005&lt;&gt;"")*(MOVIMIENTOS!$A$5:$A$1005&lt;=$A923)*MOVIMIENTOS!$E$5:$E$1005)+SUMPRODUCT((MOVIMIENTOS!$B$5:$B$1005="DEVOLUCIÓN")*(MOVIMIENTOS!$C$5:$C$1005="C")*(MOVIMIENTOS!$D$5:$D$1005="jabas")*(MOVIMIENTOS!$A$5:$A$1005&lt;&gt;"")*(MOVIMIENTOS!$A$5:$A$1005&lt;=$A923)*MOVIMIENTOS!$E$5:$E$1005)-SUMPRODUCT((MOVIMIENTOS!$B$5:$B$1005="TRASIEGO")*(MOVIMIENTOS!$C$5:$C$1005="C")*(MOVIMIENTOS!$D$5:$D$1005="jabas")*(MOVIMIENTOS!$A$5:$A$1005&lt;&gt;"")*(MOVIMIENTOS!$A$5:$A$1005&lt;=$A923)*MOVIMIENTOS!$E$5:$E$1005)-SUMPRODUCT((MOVIMIENTOS!$B$5:$B$1005="REGALO")*(MOVIMIENTOS!$C$5:$C$1005="C")*(MOVIMIENTOS!$D$5:$D$1005="jabas")*(MOVIMIENTOS!$A$5:$A$1005&lt;&gt;"")*(MOVIMIENTOS!$A$5:$A$1005&lt;=$A923)*MOVIMIENTOS!$E$5:$E$1005)-SUMPRODUCT((MOVIMIENTOS!$B$5:$B$1005="VENTA")*(MOVIMIENTOS!$C$5:$C$1005="C")*(MOVIMIENTOS!$D$5:$D$1005="jabas")*(MOVIMIENTOS!$A$5:$A$1005&lt;&gt;"")*(MOVIMIENTOS!$A$5:$A$1005&lt;=$A923)*MOVIMIENTOS!$E$5:$E$1005)+SUMPRODUCT((MOVIMIENTOS!$B$5:$B$1005="AJUSTE")*(MOVIMIENTOS!$C$5:$C$1005="C")*(MOVIMIENTOS!$D$5:$D$1005="jabas")*(MOVIMIENTOS!$A$5:$A$1005&lt;&gt;"")*(MOVIMIENTOS!$A$5:$A$1005&lt;=$A923)*MOVIMIENTOS!$E$5:$E$1005))</f>
        <v/>
      </c>
      <c r="E923" t="str">
        <f>IF($A923="","",SUMPRODUCT((MOVIMIENTOS!$B$5:$B$1005="SALDO INICIAL")*(MOVIMIENTOS!$C$5:$C$1005="M")*(MOVIMIENTOS!$D$5:$D$1005="jabas")*(MOVIMIENTOS!$A$5:$A$1005&lt;&gt;"")*(MOVIMIENTOS!$A$5:$A$1005&lt;=$A923)*MOVIMIENTOS!$E$5:$E$1005)+SUMPRODUCT((MOVIMIENTOS!$B$5:$B$1005="PROCESO")*(MOVIMIENTOS!$C$5:$C$1005="M")*(MOVIMIENTOS!$D$5:$D$1005="jabas")*(MOVIMIENTOS!$A$5:$A$1005&lt;&gt;"")*(MOVIMIENTOS!$A$5:$A$1005&lt;=$A923)*MOVIMIENTOS!$E$5:$E$1005)-SUMPRODUCT((MOVIMIENTOS!$B$5:$B$1005="ENVÍO A SUPESA")*(MOVIMIENTOS!$C$5:$C$1005="M")*(MOVIMIENTOS!$D$5:$D$1005="jabas")*(MOVIMIENTOS!$A$5:$A$1005&lt;&gt;"")*(MOVIMIENTOS!$A$5:$A$1005&lt;=$A923)*MOVIMIENTOS!$E$5:$E$1005)+SUMPRODUCT((MOVIMIENTOS!$B$5:$B$1005="DEVOLUCIÓN")*(MOVIMIENTOS!$C$5:$C$1005="M")*(MOVIMIENTOS!$D$5:$D$1005="jabas")*(MOVIMIENTOS!$A$5:$A$1005&lt;&gt;"")*(MOVIMIENTOS!$A$5:$A$1005&lt;=$A923)*MOVIMIENTOS!$E$5:$E$1005)-SUMPRODUCT((MOVIMIENTOS!$B$5:$B$1005="TRASIEGO")*(MOVIMIENTOS!$C$5:$C$1005="M")*(MOVIMIENTOS!$D$5:$D$1005="jabas")*(MOVIMIENTOS!$A$5:$A$1005&lt;&gt;"")*(MOVIMIENTOS!$A$5:$A$1005&lt;=$A923)*MOVIMIENTOS!$E$5:$E$1005)-SUMPRODUCT((MOVIMIENTOS!$B$5:$B$1005="REGALO")*(MOVIMIENTOS!$C$5:$C$1005="M")*(MOVIMIENTOS!$D$5:$D$1005="jabas")*(MOVIMIENTOS!$A$5:$A$1005&lt;&gt;"")*(MOVIMIENTOS!$A$5:$A$1005&lt;=$A923)*MOVIMIENTOS!$E$5:$E$1005)-SUMPRODUCT((MOVIMIENTOS!$B$5:$B$1005="VENTA")*(MOVIMIENTOS!$C$5:$C$1005="M")*(MOVIMIENTOS!$D$5:$D$1005="jabas")*(MOVIMIENTOS!$A$5:$A$1005&lt;&gt;"")*(MOVIMIENTOS!$A$5:$A$1005&lt;=$A923)*MOVIMIENTOS!$E$5:$E$1005)+SUMPRODUCT((MOVIMIENTOS!$B$5:$B$1005="AJUSTE")*(MOVIMIENTOS!$C$5:$C$1005="M")*(MOVIMIENTOS!$D$5:$D$1005="jabas")*(MOVIMIENTOS!$A$5:$A$1005&lt;&gt;"")*(MOVIMIENTOS!$A$5:$A$1005&lt;=$A923)*MOVIMIENTOS!$E$5:$E$1005))</f>
        <v/>
      </c>
      <c r="F923" s="62" t="str">
        <f>IF($A923="","",SUMPRODUCT((MOVIMIENTOS!$B$5:$B$1005="SALDO INICIAL")*(MOVIMIENTOS!$C$5:$C$1005="Chancho")*(MOVIMIENTOS!$D$5:$D$1005="sacos")*(MOVIMIENTOS!$A$5:$A$1005&lt;&gt;"")*(MOVIMIENTOS!$A$5:$A$1005&lt;=$A923)*MOVIMIENTOS!$E$5:$E$1005)+SUMPRODUCT((MOVIMIENTOS!$B$5:$B$1005="PROCESO")*(MOVIMIENTOS!$C$5:$C$1005="Chancho")*(MOVIMIENTOS!$D$5:$D$1005="sacos")*(MOVIMIENTOS!$A$5:$A$1005&lt;&gt;"")*(MOVIMIENTOS!$A$5:$A$1005&lt;=$A923)*MOVIMIENTOS!$E$5:$E$1005)-SUMPRODUCT((MOVIMIENTOS!$B$5:$B$1005="VENTA CHANCHO")*(MOVIMIENTOS!$C$5:$C$1005="Chancho")*(MOVIMIENTOS!$D$5:$D$1005="sacos")*(MOVIMIENTOS!$A$5:$A$1005&lt;&gt;"")*(MOVIMIENTOS!$A$5:$A$1005&lt;=$A923)*MOVIMIENTOS!$E$5:$E$1005)-SUMPRODUCT((MOVIMIENTOS!$B$5:$B$1005="REGALO")*(MOVIMIENTOS!$C$5:$C$1005="Chancho")*(MOVIMIENTOS!$D$5:$D$1005="sacos")*(MOVIMIENTOS!$A$5:$A$1005&lt;&gt;"")*(MOVIMIENTOS!$A$5:$A$1005&lt;=$A923)*MOVIMIENTOS!$E$5:$E$1005)-SUMPRODUCT((MOVIMIENTOS!$B$5:$B$1005="VENTA")*(MOVIMIENTOS!$C$5:$C$1005="Chancho")*(MOVIMIENTOS!$D$5:$D$1005="sacos")*(MOVIMIENTOS!$A$5:$A$1005&lt;&gt;"")*(MOVIMIENTOS!$A$5:$A$1005&lt;=$A923)*MOVIMIENTOS!$E$5:$E$1005)+SUMPRODUCT((MOVIMIENTOS!$B$5:$B$1005="AJUSTE")*(MOVIMIENTOS!$C$5:$C$1005="Chancho")*(MOVIMIENTOS!$D$5:$D$1005="sacos")*(MOVIMIENTOS!$A$5:$A$1005&lt;&gt;"")*(MOVIMIENTOS!$A$5:$A$1005&lt;=$A923)*MOVIMIENTOS!$E$5:$E$1005))</f>
        <v/>
      </c>
      <c r="G923" s="62" t="str">
        <f t="shared" si="29"/>
        <v/>
      </c>
      <c r="H923" t="str">
        <f>IF($A923="","",SUMPRODUCT((((MOVIMIENTOS!$B$5:$B$1005="SALDO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923)*MOVIMIENTOS!$J$5:$J$1005))</f>
        <v/>
      </c>
      <c r="J923" t="str">
        <f>IF(AND(MOVIMIENTOS!$A928&lt;&gt;"",COUNTIF(MOVIMIENTOS!$A$5:$A927,MOVIMIENTOS!$A928)=0),COUNT(J$4:J922)+1,"")</f>
        <v/>
      </c>
      <c r="K923">
        <f>MOVIMIENTOS!$A928</f>
        <v>0</v>
      </c>
    </row>
    <row r="924" spans="1:11" ht="15" customHeight="1" x14ac:dyDescent="0.2">
      <c r="A924" t="str">
        <f t="shared" si="28"/>
        <v/>
      </c>
      <c r="B924" t="str">
        <f>IF($A924="","",SUMPRODUCT((MOVIMIENTOS!$B$5:$B$1005="SALDO INICIAL")*(MOVIMIENTOS!$C$5:$C$1005="A")*(MOVIMIENTOS!$D$5:$D$1005="jabas")*(MOVIMIENTOS!$A$5:$A$1005&lt;&gt;"")*(MOVIMIENTOS!$A$5:$A$1005&lt;=$A924)*MOVIMIENTOS!$E$5:$E$1005)+SUMPRODUCT((MOVIMIENTOS!$B$5:$B$1005="PROCESO")*(MOVIMIENTOS!$C$5:$C$1005="A")*(MOVIMIENTOS!$D$5:$D$1005="jabas")*(MOVIMIENTOS!$A$5:$A$1005&lt;&gt;"")*(MOVIMIENTOS!$A$5:$A$1005&lt;=$A924)*MOVIMIENTOS!$E$5:$E$1005)-SUMPRODUCT((MOVIMIENTOS!$B$5:$B$1005="ENVÍO A SUPESA")*(MOVIMIENTOS!$C$5:$C$1005="A")*(MOVIMIENTOS!$D$5:$D$1005="jabas")*(MOVIMIENTOS!$A$5:$A$1005&lt;&gt;"")*(MOVIMIENTOS!$A$5:$A$1005&lt;=$A924)*MOVIMIENTOS!$E$5:$E$1005)+SUMPRODUCT((MOVIMIENTOS!$B$5:$B$1005="DEVOLUCIÓN")*(MOVIMIENTOS!$C$5:$C$1005="A")*(MOVIMIENTOS!$D$5:$D$1005="jabas")*(MOVIMIENTOS!$A$5:$A$1005&lt;&gt;"")*(MOVIMIENTOS!$A$5:$A$1005&lt;=$A924)*MOVIMIENTOS!$E$5:$E$1005)-SUMPRODUCT((MOVIMIENTOS!$B$5:$B$1005="TRASIEGO")*(MOVIMIENTOS!$C$5:$C$1005="A")*(MOVIMIENTOS!$D$5:$D$1005="jabas")*(MOVIMIENTOS!$A$5:$A$1005&lt;&gt;"")*(MOVIMIENTOS!$A$5:$A$1005&lt;=$A924)*MOVIMIENTOS!$E$5:$E$1005)-SUMPRODUCT((MOVIMIENTOS!$B$5:$B$1005="REGALO")*(MOVIMIENTOS!$C$5:$C$1005="A")*(MOVIMIENTOS!$D$5:$D$1005="jabas")*(MOVIMIENTOS!$A$5:$A$1005&lt;&gt;"")*(MOVIMIENTOS!$A$5:$A$1005&lt;=$A924)*MOVIMIENTOS!$E$5:$E$1005)-SUMPRODUCT((MOVIMIENTOS!$B$5:$B$1005="VENTA")*(MOVIMIENTOS!$C$5:$C$1005="A")*(MOVIMIENTOS!$D$5:$D$1005="jabas")*(MOVIMIENTOS!$A$5:$A$1005&lt;&gt;"")*(MOVIMIENTOS!$A$5:$A$1005&lt;=$A924)*MOVIMIENTOS!$E$5:$E$1005)+SUMPRODUCT((MOVIMIENTOS!$B$5:$B$1005="AJUSTE")*(MOVIMIENTOS!$C$5:$C$1005="A")*(MOVIMIENTOS!$D$5:$D$1005="jabas")*(MOVIMIENTOS!$A$5:$A$1005&lt;&gt;"")*(MOVIMIENTOS!$A$5:$A$1005&lt;=$A924)*MOVIMIENTOS!$E$5:$E$1005))</f>
        <v/>
      </c>
      <c r="C924" t="str">
        <f>IF($A924="","",SUMPRODUCT((MOVIMIENTOS!$B$5:$B$1005="SALDO INICIAL")*(MOVIMIENTOS!$C$5:$C$1005="P")*(MOVIMIENTOS!$D$5:$D$1005="jabas")*(MOVIMIENTOS!$A$5:$A$1005&lt;&gt;"")*(MOVIMIENTOS!$A$5:$A$1005&lt;=$A924)*MOVIMIENTOS!$E$5:$E$1005)+SUMPRODUCT((MOVIMIENTOS!$B$5:$B$1005="PROCESO")*(MOVIMIENTOS!$C$5:$C$1005="P")*(MOVIMIENTOS!$D$5:$D$1005="jabas")*(MOVIMIENTOS!$A$5:$A$1005&lt;&gt;"")*(MOVIMIENTOS!$A$5:$A$1005&lt;=$A924)*MOVIMIENTOS!$E$5:$E$1005)-SUMPRODUCT((MOVIMIENTOS!$B$5:$B$1005="ENVÍO A SUPESA")*(MOVIMIENTOS!$C$5:$C$1005="P")*(MOVIMIENTOS!$D$5:$D$1005="jabas")*(MOVIMIENTOS!$A$5:$A$1005&lt;&gt;"")*(MOVIMIENTOS!$A$5:$A$1005&lt;=$A924)*MOVIMIENTOS!$E$5:$E$1005)+SUMPRODUCT((MOVIMIENTOS!$B$5:$B$1005="DEVOLUCIÓN")*(MOVIMIENTOS!$C$5:$C$1005="P")*(MOVIMIENTOS!$D$5:$D$1005="jabas")*(MOVIMIENTOS!$A$5:$A$1005&lt;&gt;"")*(MOVIMIENTOS!$A$5:$A$1005&lt;=$A924)*MOVIMIENTOS!$E$5:$E$1005)-SUMPRODUCT((MOVIMIENTOS!$B$5:$B$1005="TRASIEGO")*(MOVIMIENTOS!$C$5:$C$1005="P")*(MOVIMIENTOS!$D$5:$D$1005="jabas")*(MOVIMIENTOS!$A$5:$A$1005&lt;&gt;"")*(MOVIMIENTOS!$A$5:$A$1005&lt;=$A924)*MOVIMIENTOS!$E$5:$E$1005)-SUMPRODUCT((MOVIMIENTOS!$B$5:$B$1005="REGALO")*(MOVIMIENTOS!$C$5:$C$1005="P")*(MOVIMIENTOS!$D$5:$D$1005="jabas")*(MOVIMIENTOS!$A$5:$A$1005&lt;&gt;"")*(MOVIMIENTOS!$A$5:$A$1005&lt;=$A924)*MOVIMIENTOS!$E$5:$E$1005)-SUMPRODUCT((MOVIMIENTOS!$B$5:$B$1005="VENTA")*(MOVIMIENTOS!$C$5:$C$1005="P")*(MOVIMIENTOS!$D$5:$D$1005="jabas")*(MOVIMIENTOS!$A$5:$A$1005&lt;&gt;"")*(MOVIMIENTOS!$A$5:$A$1005&lt;=$A924)*MOVIMIENTOS!$E$5:$E$1005)+SUMPRODUCT((MOVIMIENTOS!$B$5:$B$1005="AJUSTE")*(MOVIMIENTOS!$C$5:$C$1005="P")*(MOVIMIENTOS!$D$5:$D$1005="jabas")*(MOVIMIENTOS!$A$5:$A$1005&lt;&gt;"")*(MOVIMIENTOS!$A$5:$A$1005&lt;=$A924)*MOVIMIENTOS!$E$5:$E$1005))</f>
        <v/>
      </c>
      <c r="D924" t="str">
        <f>IF($A924="","",SUMPRODUCT((MOVIMIENTOS!$B$5:$B$1005="SALDO INICIAL")*(MOVIMIENTOS!$C$5:$C$1005="C")*(MOVIMIENTOS!$D$5:$D$1005="jabas")*(MOVIMIENTOS!$A$5:$A$1005&lt;&gt;"")*(MOVIMIENTOS!$A$5:$A$1005&lt;=$A924)*MOVIMIENTOS!$E$5:$E$1005)+SUMPRODUCT((MOVIMIENTOS!$B$5:$B$1005="PROCESO")*(MOVIMIENTOS!$C$5:$C$1005="C")*(MOVIMIENTOS!$D$5:$D$1005="jabas")*(MOVIMIENTOS!$A$5:$A$1005&lt;&gt;"")*(MOVIMIENTOS!$A$5:$A$1005&lt;=$A924)*MOVIMIENTOS!$E$5:$E$1005)-SUMPRODUCT((MOVIMIENTOS!$B$5:$B$1005="ENVÍO A SUPESA")*(MOVIMIENTOS!$C$5:$C$1005="C")*(MOVIMIENTOS!$D$5:$D$1005="jabas")*(MOVIMIENTOS!$A$5:$A$1005&lt;&gt;"")*(MOVIMIENTOS!$A$5:$A$1005&lt;=$A924)*MOVIMIENTOS!$E$5:$E$1005)+SUMPRODUCT((MOVIMIENTOS!$B$5:$B$1005="DEVOLUCIÓN")*(MOVIMIENTOS!$C$5:$C$1005="C")*(MOVIMIENTOS!$D$5:$D$1005="jabas")*(MOVIMIENTOS!$A$5:$A$1005&lt;&gt;"")*(MOVIMIENTOS!$A$5:$A$1005&lt;=$A924)*MOVIMIENTOS!$E$5:$E$1005)-SUMPRODUCT((MOVIMIENTOS!$B$5:$B$1005="TRASIEGO")*(MOVIMIENTOS!$C$5:$C$1005="C")*(MOVIMIENTOS!$D$5:$D$1005="jabas")*(MOVIMIENTOS!$A$5:$A$1005&lt;&gt;"")*(MOVIMIENTOS!$A$5:$A$1005&lt;=$A924)*MOVIMIENTOS!$E$5:$E$1005)-SUMPRODUCT((MOVIMIENTOS!$B$5:$B$1005="REGALO")*(MOVIMIENTOS!$C$5:$C$1005="C")*(MOVIMIENTOS!$D$5:$D$1005="jabas")*(MOVIMIENTOS!$A$5:$A$1005&lt;&gt;"")*(MOVIMIENTOS!$A$5:$A$1005&lt;=$A924)*MOVIMIENTOS!$E$5:$E$1005)-SUMPRODUCT((MOVIMIENTOS!$B$5:$B$1005="VENTA")*(MOVIMIENTOS!$C$5:$C$1005="C")*(MOVIMIENTOS!$D$5:$D$1005="jabas")*(MOVIMIENTOS!$A$5:$A$1005&lt;&gt;"")*(MOVIMIENTOS!$A$5:$A$1005&lt;=$A924)*MOVIMIENTOS!$E$5:$E$1005)+SUMPRODUCT((MOVIMIENTOS!$B$5:$B$1005="AJUSTE")*(MOVIMIENTOS!$C$5:$C$1005="C")*(MOVIMIENTOS!$D$5:$D$1005="jabas")*(MOVIMIENTOS!$A$5:$A$1005&lt;&gt;"")*(MOVIMIENTOS!$A$5:$A$1005&lt;=$A924)*MOVIMIENTOS!$E$5:$E$1005))</f>
        <v/>
      </c>
      <c r="E924" t="str">
        <f>IF($A924="","",SUMPRODUCT((MOVIMIENTOS!$B$5:$B$1005="SALDO INICIAL")*(MOVIMIENTOS!$C$5:$C$1005="M")*(MOVIMIENTOS!$D$5:$D$1005="jabas")*(MOVIMIENTOS!$A$5:$A$1005&lt;&gt;"")*(MOVIMIENTOS!$A$5:$A$1005&lt;=$A924)*MOVIMIENTOS!$E$5:$E$1005)+SUMPRODUCT((MOVIMIENTOS!$B$5:$B$1005="PROCESO")*(MOVIMIENTOS!$C$5:$C$1005="M")*(MOVIMIENTOS!$D$5:$D$1005="jabas")*(MOVIMIENTOS!$A$5:$A$1005&lt;&gt;"")*(MOVIMIENTOS!$A$5:$A$1005&lt;=$A924)*MOVIMIENTOS!$E$5:$E$1005)-SUMPRODUCT((MOVIMIENTOS!$B$5:$B$1005="ENVÍO A SUPESA")*(MOVIMIENTOS!$C$5:$C$1005="M")*(MOVIMIENTOS!$D$5:$D$1005="jabas")*(MOVIMIENTOS!$A$5:$A$1005&lt;&gt;"")*(MOVIMIENTOS!$A$5:$A$1005&lt;=$A924)*MOVIMIENTOS!$E$5:$E$1005)+SUMPRODUCT((MOVIMIENTOS!$B$5:$B$1005="DEVOLUCIÓN")*(MOVIMIENTOS!$C$5:$C$1005="M")*(MOVIMIENTOS!$D$5:$D$1005="jabas")*(MOVIMIENTOS!$A$5:$A$1005&lt;&gt;"")*(MOVIMIENTOS!$A$5:$A$1005&lt;=$A924)*MOVIMIENTOS!$E$5:$E$1005)-SUMPRODUCT((MOVIMIENTOS!$B$5:$B$1005="TRASIEGO")*(MOVIMIENTOS!$C$5:$C$1005="M")*(MOVIMIENTOS!$D$5:$D$1005="jabas")*(MOVIMIENTOS!$A$5:$A$1005&lt;&gt;"")*(MOVIMIENTOS!$A$5:$A$1005&lt;=$A924)*MOVIMIENTOS!$E$5:$E$1005)-SUMPRODUCT((MOVIMIENTOS!$B$5:$B$1005="REGALO")*(MOVIMIENTOS!$C$5:$C$1005="M")*(MOVIMIENTOS!$D$5:$D$1005="jabas")*(MOVIMIENTOS!$A$5:$A$1005&lt;&gt;"")*(MOVIMIENTOS!$A$5:$A$1005&lt;=$A924)*MOVIMIENTOS!$E$5:$E$1005)-SUMPRODUCT((MOVIMIENTOS!$B$5:$B$1005="VENTA")*(MOVIMIENTOS!$C$5:$C$1005="M")*(MOVIMIENTOS!$D$5:$D$1005="jabas")*(MOVIMIENTOS!$A$5:$A$1005&lt;&gt;"")*(MOVIMIENTOS!$A$5:$A$1005&lt;=$A924)*MOVIMIENTOS!$E$5:$E$1005)+SUMPRODUCT((MOVIMIENTOS!$B$5:$B$1005="AJUSTE")*(MOVIMIENTOS!$C$5:$C$1005="M")*(MOVIMIENTOS!$D$5:$D$1005="jabas")*(MOVIMIENTOS!$A$5:$A$1005&lt;&gt;"")*(MOVIMIENTOS!$A$5:$A$1005&lt;=$A924)*MOVIMIENTOS!$E$5:$E$1005))</f>
        <v/>
      </c>
      <c r="F924" s="62" t="str">
        <f>IF($A924="","",SUMPRODUCT((MOVIMIENTOS!$B$5:$B$1005="SALDO INICIAL")*(MOVIMIENTOS!$C$5:$C$1005="Chancho")*(MOVIMIENTOS!$D$5:$D$1005="sacos")*(MOVIMIENTOS!$A$5:$A$1005&lt;&gt;"")*(MOVIMIENTOS!$A$5:$A$1005&lt;=$A924)*MOVIMIENTOS!$E$5:$E$1005)+SUMPRODUCT((MOVIMIENTOS!$B$5:$B$1005="PROCESO")*(MOVIMIENTOS!$C$5:$C$1005="Chancho")*(MOVIMIENTOS!$D$5:$D$1005="sacos")*(MOVIMIENTOS!$A$5:$A$1005&lt;&gt;"")*(MOVIMIENTOS!$A$5:$A$1005&lt;=$A924)*MOVIMIENTOS!$E$5:$E$1005)-SUMPRODUCT((MOVIMIENTOS!$B$5:$B$1005="VENTA CHANCHO")*(MOVIMIENTOS!$C$5:$C$1005="Chancho")*(MOVIMIENTOS!$D$5:$D$1005="sacos")*(MOVIMIENTOS!$A$5:$A$1005&lt;&gt;"")*(MOVIMIENTOS!$A$5:$A$1005&lt;=$A924)*MOVIMIENTOS!$E$5:$E$1005)-SUMPRODUCT((MOVIMIENTOS!$B$5:$B$1005="REGALO")*(MOVIMIENTOS!$C$5:$C$1005="Chancho")*(MOVIMIENTOS!$D$5:$D$1005="sacos")*(MOVIMIENTOS!$A$5:$A$1005&lt;&gt;"")*(MOVIMIENTOS!$A$5:$A$1005&lt;=$A924)*MOVIMIENTOS!$E$5:$E$1005)-SUMPRODUCT((MOVIMIENTOS!$B$5:$B$1005="VENTA")*(MOVIMIENTOS!$C$5:$C$1005="Chancho")*(MOVIMIENTOS!$D$5:$D$1005="sacos")*(MOVIMIENTOS!$A$5:$A$1005&lt;&gt;"")*(MOVIMIENTOS!$A$5:$A$1005&lt;=$A924)*MOVIMIENTOS!$E$5:$E$1005)+SUMPRODUCT((MOVIMIENTOS!$B$5:$B$1005="AJUSTE")*(MOVIMIENTOS!$C$5:$C$1005="Chancho")*(MOVIMIENTOS!$D$5:$D$1005="sacos")*(MOVIMIENTOS!$A$5:$A$1005&lt;&gt;"")*(MOVIMIENTOS!$A$5:$A$1005&lt;=$A924)*MOVIMIENTOS!$E$5:$E$1005))</f>
        <v/>
      </c>
      <c r="G924" s="62" t="str">
        <f t="shared" si="29"/>
        <v/>
      </c>
      <c r="H924" t="str">
        <f>IF($A924="","",SUMPRODUCT((((MOVIMIENTOS!$B$5:$B$1005="SALDO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924)*MOVIMIENTOS!$J$5:$J$1005))</f>
        <v/>
      </c>
      <c r="J924" t="str">
        <f>IF(AND(MOVIMIENTOS!$A929&lt;&gt;"",COUNTIF(MOVIMIENTOS!$A$5:$A928,MOVIMIENTOS!$A929)=0),COUNT(J$4:J923)+1,"")</f>
        <v/>
      </c>
      <c r="K924">
        <f>MOVIMIENTOS!$A929</f>
        <v>0</v>
      </c>
    </row>
    <row r="925" spans="1:11" ht="15" customHeight="1" x14ac:dyDescent="0.2">
      <c r="A925" t="str">
        <f t="shared" si="28"/>
        <v/>
      </c>
      <c r="B925" t="str">
        <f>IF($A925="","",SUMPRODUCT((MOVIMIENTOS!$B$5:$B$1005="SALDO INICIAL")*(MOVIMIENTOS!$C$5:$C$1005="A")*(MOVIMIENTOS!$D$5:$D$1005="jabas")*(MOVIMIENTOS!$A$5:$A$1005&lt;&gt;"")*(MOVIMIENTOS!$A$5:$A$1005&lt;=$A925)*MOVIMIENTOS!$E$5:$E$1005)+SUMPRODUCT((MOVIMIENTOS!$B$5:$B$1005="PROCESO")*(MOVIMIENTOS!$C$5:$C$1005="A")*(MOVIMIENTOS!$D$5:$D$1005="jabas")*(MOVIMIENTOS!$A$5:$A$1005&lt;&gt;"")*(MOVIMIENTOS!$A$5:$A$1005&lt;=$A925)*MOVIMIENTOS!$E$5:$E$1005)-SUMPRODUCT((MOVIMIENTOS!$B$5:$B$1005="ENVÍO A SUPESA")*(MOVIMIENTOS!$C$5:$C$1005="A")*(MOVIMIENTOS!$D$5:$D$1005="jabas")*(MOVIMIENTOS!$A$5:$A$1005&lt;&gt;"")*(MOVIMIENTOS!$A$5:$A$1005&lt;=$A925)*MOVIMIENTOS!$E$5:$E$1005)+SUMPRODUCT((MOVIMIENTOS!$B$5:$B$1005="DEVOLUCIÓN")*(MOVIMIENTOS!$C$5:$C$1005="A")*(MOVIMIENTOS!$D$5:$D$1005="jabas")*(MOVIMIENTOS!$A$5:$A$1005&lt;&gt;"")*(MOVIMIENTOS!$A$5:$A$1005&lt;=$A925)*MOVIMIENTOS!$E$5:$E$1005)-SUMPRODUCT((MOVIMIENTOS!$B$5:$B$1005="TRASIEGO")*(MOVIMIENTOS!$C$5:$C$1005="A")*(MOVIMIENTOS!$D$5:$D$1005="jabas")*(MOVIMIENTOS!$A$5:$A$1005&lt;&gt;"")*(MOVIMIENTOS!$A$5:$A$1005&lt;=$A925)*MOVIMIENTOS!$E$5:$E$1005)-SUMPRODUCT((MOVIMIENTOS!$B$5:$B$1005="REGALO")*(MOVIMIENTOS!$C$5:$C$1005="A")*(MOVIMIENTOS!$D$5:$D$1005="jabas")*(MOVIMIENTOS!$A$5:$A$1005&lt;&gt;"")*(MOVIMIENTOS!$A$5:$A$1005&lt;=$A925)*MOVIMIENTOS!$E$5:$E$1005)-SUMPRODUCT((MOVIMIENTOS!$B$5:$B$1005="VENTA")*(MOVIMIENTOS!$C$5:$C$1005="A")*(MOVIMIENTOS!$D$5:$D$1005="jabas")*(MOVIMIENTOS!$A$5:$A$1005&lt;&gt;"")*(MOVIMIENTOS!$A$5:$A$1005&lt;=$A925)*MOVIMIENTOS!$E$5:$E$1005)+SUMPRODUCT((MOVIMIENTOS!$B$5:$B$1005="AJUSTE")*(MOVIMIENTOS!$C$5:$C$1005="A")*(MOVIMIENTOS!$D$5:$D$1005="jabas")*(MOVIMIENTOS!$A$5:$A$1005&lt;&gt;"")*(MOVIMIENTOS!$A$5:$A$1005&lt;=$A925)*MOVIMIENTOS!$E$5:$E$1005))</f>
        <v/>
      </c>
      <c r="C925" t="str">
        <f>IF($A925="","",SUMPRODUCT((MOVIMIENTOS!$B$5:$B$1005="SALDO INICIAL")*(MOVIMIENTOS!$C$5:$C$1005="P")*(MOVIMIENTOS!$D$5:$D$1005="jabas")*(MOVIMIENTOS!$A$5:$A$1005&lt;&gt;"")*(MOVIMIENTOS!$A$5:$A$1005&lt;=$A925)*MOVIMIENTOS!$E$5:$E$1005)+SUMPRODUCT((MOVIMIENTOS!$B$5:$B$1005="PROCESO")*(MOVIMIENTOS!$C$5:$C$1005="P")*(MOVIMIENTOS!$D$5:$D$1005="jabas")*(MOVIMIENTOS!$A$5:$A$1005&lt;&gt;"")*(MOVIMIENTOS!$A$5:$A$1005&lt;=$A925)*MOVIMIENTOS!$E$5:$E$1005)-SUMPRODUCT((MOVIMIENTOS!$B$5:$B$1005="ENVÍO A SUPESA")*(MOVIMIENTOS!$C$5:$C$1005="P")*(MOVIMIENTOS!$D$5:$D$1005="jabas")*(MOVIMIENTOS!$A$5:$A$1005&lt;&gt;"")*(MOVIMIENTOS!$A$5:$A$1005&lt;=$A925)*MOVIMIENTOS!$E$5:$E$1005)+SUMPRODUCT((MOVIMIENTOS!$B$5:$B$1005="DEVOLUCIÓN")*(MOVIMIENTOS!$C$5:$C$1005="P")*(MOVIMIENTOS!$D$5:$D$1005="jabas")*(MOVIMIENTOS!$A$5:$A$1005&lt;&gt;"")*(MOVIMIENTOS!$A$5:$A$1005&lt;=$A925)*MOVIMIENTOS!$E$5:$E$1005)-SUMPRODUCT((MOVIMIENTOS!$B$5:$B$1005="TRASIEGO")*(MOVIMIENTOS!$C$5:$C$1005="P")*(MOVIMIENTOS!$D$5:$D$1005="jabas")*(MOVIMIENTOS!$A$5:$A$1005&lt;&gt;"")*(MOVIMIENTOS!$A$5:$A$1005&lt;=$A925)*MOVIMIENTOS!$E$5:$E$1005)-SUMPRODUCT((MOVIMIENTOS!$B$5:$B$1005="REGALO")*(MOVIMIENTOS!$C$5:$C$1005="P")*(MOVIMIENTOS!$D$5:$D$1005="jabas")*(MOVIMIENTOS!$A$5:$A$1005&lt;&gt;"")*(MOVIMIENTOS!$A$5:$A$1005&lt;=$A925)*MOVIMIENTOS!$E$5:$E$1005)-SUMPRODUCT((MOVIMIENTOS!$B$5:$B$1005="VENTA")*(MOVIMIENTOS!$C$5:$C$1005="P")*(MOVIMIENTOS!$D$5:$D$1005="jabas")*(MOVIMIENTOS!$A$5:$A$1005&lt;&gt;"")*(MOVIMIENTOS!$A$5:$A$1005&lt;=$A925)*MOVIMIENTOS!$E$5:$E$1005)+SUMPRODUCT((MOVIMIENTOS!$B$5:$B$1005="AJUSTE")*(MOVIMIENTOS!$C$5:$C$1005="P")*(MOVIMIENTOS!$D$5:$D$1005="jabas")*(MOVIMIENTOS!$A$5:$A$1005&lt;&gt;"")*(MOVIMIENTOS!$A$5:$A$1005&lt;=$A925)*MOVIMIENTOS!$E$5:$E$1005))</f>
        <v/>
      </c>
      <c r="D925" t="str">
        <f>IF($A925="","",SUMPRODUCT((MOVIMIENTOS!$B$5:$B$1005="SALDO INICIAL")*(MOVIMIENTOS!$C$5:$C$1005="C")*(MOVIMIENTOS!$D$5:$D$1005="jabas")*(MOVIMIENTOS!$A$5:$A$1005&lt;&gt;"")*(MOVIMIENTOS!$A$5:$A$1005&lt;=$A925)*MOVIMIENTOS!$E$5:$E$1005)+SUMPRODUCT((MOVIMIENTOS!$B$5:$B$1005="PROCESO")*(MOVIMIENTOS!$C$5:$C$1005="C")*(MOVIMIENTOS!$D$5:$D$1005="jabas")*(MOVIMIENTOS!$A$5:$A$1005&lt;&gt;"")*(MOVIMIENTOS!$A$5:$A$1005&lt;=$A925)*MOVIMIENTOS!$E$5:$E$1005)-SUMPRODUCT((MOVIMIENTOS!$B$5:$B$1005="ENVÍO A SUPESA")*(MOVIMIENTOS!$C$5:$C$1005="C")*(MOVIMIENTOS!$D$5:$D$1005="jabas")*(MOVIMIENTOS!$A$5:$A$1005&lt;&gt;"")*(MOVIMIENTOS!$A$5:$A$1005&lt;=$A925)*MOVIMIENTOS!$E$5:$E$1005)+SUMPRODUCT((MOVIMIENTOS!$B$5:$B$1005="DEVOLUCIÓN")*(MOVIMIENTOS!$C$5:$C$1005="C")*(MOVIMIENTOS!$D$5:$D$1005="jabas")*(MOVIMIENTOS!$A$5:$A$1005&lt;&gt;"")*(MOVIMIENTOS!$A$5:$A$1005&lt;=$A925)*MOVIMIENTOS!$E$5:$E$1005)-SUMPRODUCT((MOVIMIENTOS!$B$5:$B$1005="TRASIEGO")*(MOVIMIENTOS!$C$5:$C$1005="C")*(MOVIMIENTOS!$D$5:$D$1005="jabas")*(MOVIMIENTOS!$A$5:$A$1005&lt;&gt;"")*(MOVIMIENTOS!$A$5:$A$1005&lt;=$A925)*MOVIMIENTOS!$E$5:$E$1005)-SUMPRODUCT((MOVIMIENTOS!$B$5:$B$1005="REGALO")*(MOVIMIENTOS!$C$5:$C$1005="C")*(MOVIMIENTOS!$D$5:$D$1005="jabas")*(MOVIMIENTOS!$A$5:$A$1005&lt;&gt;"")*(MOVIMIENTOS!$A$5:$A$1005&lt;=$A925)*MOVIMIENTOS!$E$5:$E$1005)-SUMPRODUCT((MOVIMIENTOS!$B$5:$B$1005="VENTA")*(MOVIMIENTOS!$C$5:$C$1005="C")*(MOVIMIENTOS!$D$5:$D$1005="jabas")*(MOVIMIENTOS!$A$5:$A$1005&lt;&gt;"")*(MOVIMIENTOS!$A$5:$A$1005&lt;=$A925)*MOVIMIENTOS!$E$5:$E$1005)+SUMPRODUCT((MOVIMIENTOS!$B$5:$B$1005="AJUSTE")*(MOVIMIENTOS!$C$5:$C$1005="C")*(MOVIMIENTOS!$D$5:$D$1005="jabas")*(MOVIMIENTOS!$A$5:$A$1005&lt;&gt;"")*(MOVIMIENTOS!$A$5:$A$1005&lt;=$A925)*MOVIMIENTOS!$E$5:$E$1005))</f>
        <v/>
      </c>
      <c r="E925" t="str">
        <f>IF($A925="","",SUMPRODUCT((MOVIMIENTOS!$B$5:$B$1005="SALDO INICIAL")*(MOVIMIENTOS!$C$5:$C$1005="M")*(MOVIMIENTOS!$D$5:$D$1005="jabas")*(MOVIMIENTOS!$A$5:$A$1005&lt;&gt;"")*(MOVIMIENTOS!$A$5:$A$1005&lt;=$A925)*MOVIMIENTOS!$E$5:$E$1005)+SUMPRODUCT((MOVIMIENTOS!$B$5:$B$1005="PROCESO")*(MOVIMIENTOS!$C$5:$C$1005="M")*(MOVIMIENTOS!$D$5:$D$1005="jabas")*(MOVIMIENTOS!$A$5:$A$1005&lt;&gt;"")*(MOVIMIENTOS!$A$5:$A$1005&lt;=$A925)*MOVIMIENTOS!$E$5:$E$1005)-SUMPRODUCT((MOVIMIENTOS!$B$5:$B$1005="ENVÍO A SUPESA")*(MOVIMIENTOS!$C$5:$C$1005="M")*(MOVIMIENTOS!$D$5:$D$1005="jabas")*(MOVIMIENTOS!$A$5:$A$1005&lt;&gt;"")*(MOVIMIENTOS!$A$5:$A$1005&lt;=$A925)*MOVIMIENTOS!$E$5:$E$1005)+SUMPRODUCT((MOVIMIENTOS!$B$5:$B$1005="DEVOLUCIÓN")*(MOVIMIENTOS!$C$5:$C$1005="M")*(MOVIMIENTOS!$D$5:$D$1005="jabas")*(MOVIMIENTOS!$A$5:$A$1005&lt;&gt;"")*(MOVIMIENTOS!$A$5:$A$1005&lt;=$A925)*MOVIMIENTOS!$E$5:$E$1005)-SUMPRODUCT((MOVIMIENTOS!$B$5:$B$1005="TRASIEGO")*(MOVIMIENTOS!$C$5:$C$1005="M")*(MOVIMIENTOS!$D$5:$D$1005="jabas")*(MOVIMIENTOS!$A$5:$A$1005&lt;&gt;"")*(MOVIMIENTOS!$A$5:$A$1005&lt;=$A925)*MOVIMIENTOS!$E$5:$E$1005)-SUMPRODUCT((MOVIMIENTOS!$B$5:$B$1005="REGALO")*(MOVIMIENTOS!$C$5:$C$1005="M")*(MOVIMIENTOS!$D$5:$D$1005="jabas")*(MOVIMIENTOS!$A$5:$A$1005&lt;&gt;"")*(MOVIMIENTOS!$A$5:$A$1005&lt;=$A925)*MOVIMIENTOS!$E$5:$E$1005)-SUMPRODUCT((MOVIMIENTOS!$B$5:$B$1005="VENTA")*(MOVIMIENTOS!$C$5:$C$1005="M")*(MOVIMIENTOS!$D$5:$D$1005="jabas")*(MOVIMIENTOS!$A$5:$A$1005&lt;&gt;"")*(MOVIMIENTOS!$A$5:$A$1005&lt;=$A925)*MOVIMIENTOS!$E$5:$E$1005)+SUMPRODUCT((MOVIMIENTOS!$B$5:$B$1005="AJUSTE")*(MOVIMIENTOS!$C$5:$C$1005="M")*(MOVIMIENTOS!$D$5:$D$1005="jabas")*(MOVIMIENTOS!$A$5:$A$1005&lt;&gt;"")*(MOVIMIENTOS!$A$5:$A$1005&lt;=$A925)*MOVIMIENTOS!$E$5:$E$1005))</f>
        <v/>
      </c>
      <c r="F925" s="62" t="str">
        <f>IF($A925="","",SUMPRODUCT((MOVIMIENTOS!$B$5:$B$1005="SALDO INICIAL")*(MOVIMIENTOS!$C$5:$C$1005="Chancho")*(MOVIMIENTOS!$D$5:$D$1005="sacos")*(MOVIMIENTOS!$A$5:$A$1005&lt;&gt;"")*(MOVIMIENTOS!$A$5:$A$1005&lt;=$A925)*MOVIMIENTOS!$E$5:$E$1005)+SUMPRODUCT((MOVIMIENTOS!$B$5:$B$1005="PROCESO")*(MOVIMIENTOS!$C$5:$C$1005="Chancho")*(MOVIMIENTOS!$D$5:$D$1005="sacos")*(MOVIMIENTOS!$A$5:$A$1005&lt;&gt;"")*(MOVIMIENTOS!$A$5:$A$1005&lt;=$A925)*MOVIMIENTOS!$E$5:$E$1005)-SUMPRODUCT((MOVIMIENTOS!$B$5:$B$1005="VENTA CHANCHO")*(MOVIMIENTOS!$C$5:$C$1005="Chancho")*(MOVIMIENTOS!$D$5:$D$1005="sacos")*(MOVIMIENTOS!$A$5:$A$1005&lt;&gt;"")*(MOVIMIENTOS!$A$5:$A$1005&lt;=$A925)*MOVIMIENTOS!$E$5:$E$1005)-SUMPRODUCT((MOVIMIENTOS!$B$5:$B$1005="REGALO")*(MOVIMIENTOS!$C$5:$C$1005="Chancho")*(MOVIMIENTOS!$D$5:$D$1005="sacos")*(MOVIMIENTOS!$A$5:$A$1005&lt;&gt;"")*(MOVIMIENTOS!$A$5:$A$1005&lt;=$A925)*MOVIMIENTOS!$E$5:$E$1005)-SUMPRODUCT((MOVIMIENTOS!$B$5:$B$1005="VENTA")*(MOVIMIENTOS!$C$5:$C$1005="Chancho")*(MOVIMIENTOS!$D$5:$D$1005="sacos")*(MOVIMIENTOS!$A$5:$A$1005&lt;&gt;"")*(MOVIMIENTOS!$A$5:$A$1005&lt;=$A925)*MOVIMIENTOS!$E$5:$E$1005)+SUMPRODUCT((MOVIMIENTOS!$B$5:$B$1005="AJUSTE")*(MOVIMIENTOS!$C$5:$C$1005="Chancho")*(MOVIMIENTOS!$D$5:$D$1005="sacos")*(MOVIMIENTOS!$A$5:$A$1005&lt;&gt;"")*(MOVIMIENTOS!$A$5:$A$1005&lt;=$A925)*MOVIMIENTOS!$E$5:$E$1005))</f>
        <v/>
      </c>
      <c r="G925" s="62" t="str">
        <f t="shared" si="29"/>
        <v/>
      </c>
      <c r="H925" t="str">
        <f>IF($A925="","",SUMPRODUCT((((MOVIMIENTOS!$B$5:$B$1005="SALDO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925)*MOVIMIENTOS!$J$5:$J$1005))</f>
        <v/>
      </c>
      <c r="J925" t="str">
        <f>IF(AND(MOVIMIENTOS!$A930&lt;&gt;"",COUNTIF(MOVIMIENTOS!$A$5:$A929,MOVIMIENTOS!$A930)=0),COUNT(J$4:J924)+1,"")</f>
        <v/>
      </c>
      <c r="K925">
        <f>MOVIMIENTOS!$A930</f>
        <v>0</v>
      </c>
    </row>
    <row r="926" spans="1:11" ht="15" customHeight="1" x14ac:dyDescent="0.2">
      <c r="A926" t="str">
        <f t="shared" si="28"/>
        <v/>
      </c>
      <c r="B926" t="str">
        <f>IF($A926="","",SUMPRODUCT((MOVIMIENTOS!$B$5:$B$1005="SALDO INICIAL")*(MOVIMIENTOS!$C$5:$C$1005="A")*(MOVIMIENTOS!$D$5:$D$1005="jabas")*(MOVIMIENTOS!$A$5:$A$1005&lt;&gt;"")*(MOVIMIENTOS!$A$5:$A$1005&lt;=$A926)*MOVIMIENTOS!$E$5:$E$1005)+SUMPRODUCT((MOVIMIENTOS!$B$5:$B$1005="PROCESO")*(MOVIMIENTOS!$C$5:$C$1005="A")*(MOVIMIENTOS!$D$5:$D$1005="jabas")*(MOVIMIENTOS!$A$5:$A$1005&lt;&gt;"")*(MOVIMIENTOS!$A$5:$A$1005&lt;=$A926)*MOVIMIENTOS!$E$5:$E$1005)-SUMPRODUCT((MOVIMIENTOS!$B$5:$B$1005="ENVÍO A SUPESA")*(MOVIMIENTOS!$C$5:$C$1005="A")*(MOVIMIENTOS!$D$5:$D$1005="jabas")*(MOVIMIENTOS!$A$5:$A$1005&lt;&gt;"")*(MOVIMIENTOS!$A$5:$A$1005&lt;=$A926)*MOVIMIENTOS!$E$5:$E$1005)+SUMPRODUCT((MOVIMIENTOS!$B$5:$B$1005="DEVOLUCIÓN")*(MOVIMIENTOS!$C$5:$C$1005="A")*(MOVIMIENTOS!$D$5:$D$1005="jabas")*(MOVIMIENTOS!$A$5:$A$1005&lt;&gt;"")*(MOVIMIENTOS!$A$5:$A$1005&lt;=$A926)*MOVIMIENTOS!$E$5:$E$1005)-SUMPRODUCT((MOVIMIENTOS!$B$5:$B$1005="TRASIEGO")*(MOVIMIENTOS!$C$5:$C$1005="A")*(MOVIMIENTOS!$D$5:$D$1005="jabas")*(MOVIMIENTOS!$A$5:$A$1005&lt;&gt;"")*(MOVIMIENTOS!$A$5:$A$1005&lt;=$A926)*MOVIMIENTOS!$E$5:$E$1005)-SUMPRODUCT((MOVIMIENTOS!$B$5:$B$1005="REGALO")*(MOVIMIENTOS!$C$5:$C$1005="A")*(MOVIMIENTOS!$D$5:$D$1005="jabas")*(MOVIMIENTOS!$A$5:$A$1005&lt;&gt;"")*(MOVIMIENTOS!$A$5:$A$1005&lt;=$A926)*MOVIMIENTOS!$E$5:$E$1005)-SUMPRODUCT((MOVIMIENTOS!$B$5:$B$1005="VENTA")*(MOVIMIENTOS!$C$5:$C$1005="A")*(MOVIMIENTOS!$D$5:$D$1005="jabas")*(MOVIMIENTOS!$A$5:$A$1005&lt;&gt;"")*(MOVIMIENTOS!$A$5:$A$1005&lt;=$A926)*MOVIMIENTOS!$E$5:$E$1005)+SUMPRODUCT((MOVIMIENTOS!$B$5:$B$1005="AJUSTE")*(MOVIMIENTOS!$C$5:$C$1005="A")*(MOVIMIENTOS!$D$5:$D$1005="jabas")*(MOVIMIENTOS!$A$5:$A$1005&lt;&gt;"")*(MOVIMIENTOS!$A$5:$A$1005&lt;=$A926)*MOVIMIENTOS!$E$5:$E$1005))</f>
        <v/>
      </c>
      <c r="C926" t="str">
        <f>IF($A926="","",SUMPRODUCT((MOVIMIENTOS!$B$5:$B$1005="SALDO INICIAL")*(MOVIMIENTOS!$C$5:$C$1005="P")*(MOVIMIENTOS!$D$5:$D$1005="jabas")*(MOVIMIENTOS!$A$5:$A$1005&lt;&gt;"")*(MOVIMIENTOS!$A$5:$A$1005&lt;=$A926)*MOVIMIENTOS!$E$5:$E$1005)+SUMPRODUCT((MOVIMIENTOS!$B$5:$B$1005="PROCESO")*(MOVIMIENTOS!$C$5:$C$1005="P")*(MOVIMIENTOS!$D$5:$D$1005="jabas")*(MOVIMIENTOS!$A$5:$A$1005&lt;&gt;"")*(MOVIMIENTOS!$A$5:$A$1005&lt;=$A926)*MOVIMIENTOS!$E$5:$E$1005)-SUMPRODUCT((MOVIMIENTOS!$B$5:$B$1005="ENVÍO A SUPESA")*(MOVIMIENTOS!$C$5:$C$1005="P")*(MOVIMIENTOS!$D$5:$D$1005="jabas")*(MOVIMIENTOS!$A$5:$A$1005&lt;&gt;"")*(MOVIMIENTOS!$A$5:$A$1005&lt;=$A926)*MOVIMIENTOS!$E$5:$E$1005)+SUMPRODUCT((MOVIMIENTOS!$B$5:$B$1005="DEVOLUCIÓN")*(MOVIMIENTOS!$C$5:$C$1005="P")*(MOVIMIENTOS!$D$5:$D$1005="jabas")*(MOVIMIENTOS!$A$5:$A$1005&lt;&gt;"")*(MOVIMIENTOS!$A$5:$A$1005&lt;=$A926)*MOVIMIENTOS!$E$5:$E$1005)-SUMPRODUCT((MOVIMIENTOS!$B$5:$B$1005="TRASIEGO")*(MOVIMIENTOS!$C$5:$C$1005="P")*(MOVIMIENTOS!$D$5:$D$1005="jabas")*(MOVIMIENTOS!$A$5:$A$1005&lt;&gt;"")*(MOVIMIENTOS!$A$5:$A$1005&lt;=$A926)*MOVIMIENTOS!$E$5:$E$1005)-SUMPRODUCT((MOVIMIENTOS!$B$5:$B$1005="REGALO")*(MOVIMIENTOS!$C$5:$C$1005="P")*(MOVIMIENTOS!$D$5:$D$1005="jabas")*(MOVIMIENTOS!$A$5:$A$1005&lt;&gt;"")*(MOVIMIENTOS!$A$5:$A$1005&lt;=$A926)*MOVIMIENTOS!$E$5:$E$1005)-SUMPRODUCT((MOVIMIENTOS!$B$5:$B$1005="VENTA")*(MOVIMIENTOS!$C$5:$C$1005="P")*(MOVIMIENTOS!$D$5:$D$1005="jabas")*(MOVIMIENTOS!$A$5:$A$1005&lt;&gt;"")*(MOVIMIENTOS!$A$5:$A$1005&lt;=$A926)*MOVIMIENTOS!$E$5:$E$1005)+SUMPRODUCT((MOVIMIENTOS!$B$5:$B$1005="AJUSTE")*(MOVIMIENTOS!$C$5:$C$1005="P")*(MOVIMIENTOS!$D$5:$D$1005="jabas")*(MOVIMIENTOS!$A$5:$A$1005&lt;&gt;"")*(MOVIMIENTOS!$A$5:$A$1005&lt;=$A926)*MOVIMIENTOS!$E$5:$E$1005))</f>
        <v/>
      </c>
      <c r="D926" t="str">
        <f>IF($A926="","",SUMPRODUCT((MOVIMIENTOS!$B$5:$B$1005="SALDO INICIAL")*(MOVIMIENTOS!$C$5:$C$1005="C")*(MOVIMIENTOS!$D$5:$D$1005="jabas")*(MOVIMIENTOS!$A$5:$A$1005&lt;&gt;"")*(MOVIMIENTOS!$A$5:$A$1005&lt;=$A926)*MOVIMIENTOS!$E$5:$E$1005)+SUMPRODUCT((MOVIMIENTOS!$B$5:$B$1005="PROCESO")*(MOVIMIENTOS!$C$5:$C$1005="C")*(MOVIMIENTOS!$D$5:$D$1005="jabas")*(MOVIMIENTOS!$A$5:$A$1005&lt;&gt;"")*(MOVIMIENTOS!$A$5:$A$1005&lt;=$A926)*MOVIMIENTOS!$E$5:$E$1005)-SUMPRODUCT((MOVIMIENTOS!$B$5:$B$1005="ENVÍO A SUPESA")*(MOVIMIENTOS!$C$5:$C$1005="C")*(MOVIMIENTOS!$D$5:$D$1005="jabas")*(MOVIMIENTOS!$A$5:$A$1005&lt;&gt;"")*(MOVIMIENTOS!$A$5:$A$1005&lt;=$A926)*MOVIMIENTOS!$E$5:$E$1005)+SUMPRODUCT((MOVIMIENTOS!$B$5:$B$1005="DEVOLUCIÓN")*(MOVIMIENTOS!$C$5:$C$1005="C")*(MOVIMIENTOS!$D$5:$D$1005="jabas")*(MOVIMIENTOS!$A$5:$A$1005&lt;&gt;"")*(MOVIMIENTOS!$A$5:$A$1005&lt;=$A926)*MOVIMIENTOS!$E$5:$E$1005)-SUMPRODUCT((MOVIMIENTOS!$B$5:$B$1005="TRASIEGO")*(MOVIMIENTOS!$C$5:$C$1005="C")*(MOVIMIENTOS!$D$5:$D$1005="jabas")*(MOVIMIENTOS!$A$5:$A$1005&lt;&gt;"")*(MOVIMIENTOS!$A$5:$A$1005&lt;=$A926)*MOVIMIENTOS!$E$5:$E$1005)-SUMPRODUCT((MOVIMIENTOS!$B$5:$B$1005="REGALO")*(MOVIMIENTOS!$C$5:$C$1005="C")*(MOVIMIENTOS!$D$5:$D$1005="jabas")*(MOVIMIENTOS!$A$5:$A$1005&lt;&gt;"")*(MOVIMIENTOS!$A$5:$A$1005&lt;=$A926)*MOVIMIENTOS!$E$5:$E$1005)-SUMPRODUCT((MOVIMIENTOS!$B$5:$B$1005="VENTA")*(MOVIMIENTOS!$C$5:$C$1005="C")*(MOVIMIENTOS!$D$5:$D$1005="jabas")*(MOVIMIENTOS!$A$5:$A$1005&lt;&gt;"")*(MOVIMIENTOS!$A$5:$A$1005&lt;=$A926)*MOVIMIENTOS!$E$5:$E$1005)+SUMPRODUCT((MOVIMIENTOS!$B$5:$B$1005="AJUSTE")*(MOVIMIENTOS!$C$5:$C$1005="C")*(MOVIMIENTOS!$D$5:$D$1005="jabas")*(MOVIMIENTOS!$A$5:$A$1005&lt;&gt;"")*(MOVIMIENTOS!$A$5:$A$1005&lt;=$A926)*MOVIMIENTOS!$E$5:$E$1005))</f>
        <v/>
      </c>
      <c r="E926" t="str">
        <f>IF($A926="","",SUMPRODUCT((MOVIMIENTOS!$B$5:$B$1005="SALDO INICIAL")*(MOVIMIENTOS!$C$5:$C$1005="M")*(MOVIMIENTOS!$D$5:$D$1005="jabas")*(MOVIMIENTOS!$A$5:$A$1005&lt;&gt;"")*(MOVIMIENTOS!$A$5:$A$1005&lt;=$A926)*MOVIMIENTOS!$E$5:$E$1005)+SUMPRODUCT((MOVIMIENTOS!$B$5:$B$1005="PROCESO")*(MOVIMIENTOS!$C$5:$C$1005="M")*(MOVIMIENTOS!$D$5:$D$1005="jabas")*(MOVIMIENTOS!$A$5:$A$1005&lt;&gt;"")*(MOVIMIENTOS!$A$5:$A$1005&lt;=$A926)*MOVIMIENTOS!$E$5:$E$1005)-SUMPRODUCT((MOVIMIENTOS!$B$5:$B$1005="ENVÍO A SUPESA")*(MOVIMIENTOS!$C$5:$C$1005="M")*(MOVIMIENTOS!$D$5:$D$1005="jabas")*(MOVIMIENTOS!$A$5:$A$1005&lt;&gt;"")*(MOVIMIENTOS!$A$5:$A$1005&lt;=$A926)*MOVIMIENTOS!$E$5:$E$1005)+SUMPRODUCT((MOVIMIENTOS!$B$5:$B$1005="DEVOLUCIÓN")*(MOVIMIENTOS!$C$5:$C$1005="M")*(MOVIMIENTOS!$D$5:$D$1005="jabas")*(MOVIMIENTOS!$A$5:$A$1005&lt;&gt;"")*(MOVIMIENTOS!$A$5:$A$1005&lt;=$A926)*MOVIMIENTOS!$E$5:$E$1005)-SUMPRODUCT((MOVIMIENTOS!$B$5:$B$1005="TRASIEGO")*(MOVIMIENTOS!$C$5:$C$1005="M")*(MOVIMIENTOS!$D$5:$D$1005="jabas")*(MOVIMIENTOS!$A$5:$A$1005&lt;&gt;"")*(MOVIMIENTOS!$A$5:$A$1005&lt;=$A926)*MOVIMIENTOS!$E$5:$E$1005)-SUMPRODUCT((MOVIMIENTOS!$B$5:$B$1005="REGALO")*(MOVIMIENTOS!$C$5:$C$1005="M")*(MOVIMIENTOS!$D$5:$D$1005="jabas")*(MOVIMIENTOS!$A$5:$A$1005&lt;&gt;"")*(MOVIMIENTOS!$A$5:$A$1005&lt;=$A926)*MOVIMIENTOS!$E$5:$E$1005)-SUMPRODUCT((MOVIMIENTOS!$B$5:$B$1005="VENTA")*(MOVIMIENTOS!$C$5:$C$1005="M")*(MOVIMIENTOS!$D$5:$D$1005="jabas")*(MOVIMIENTOS!$A$5:$A$1005&lt;&gt;"")*(MOVIMIENTOS!$A$5:$A$1005&lt;=$A926)*MOVIMIENTOS!$E$5:$E$1005)+SUMPRODUCT((MOVIMIENTOS!$B$5:$B$1005="AJUSTE")*(MOVIMIENTOS!$C$5:$C$1005="M")*(MOVIMIENTOS!$D$5:$D$1005="jabas")*(MOVIMIENTOS!$A$5:$A$1005&lt;&gt;"")*(MOVIMIENTOS!$A$5:$A$1005&lt;=$A926)*MOVIMIENTOS!$E$5:$E$1005))</f>
        <v/>
      </c>
      <c r="F926" s="62" t="str">
        <f>IF($A926="","",SUMPRODUCT((MOVIMIENTOS!$B$5:$B$1005="SALDO INICIAL")*(MOVIMIENTOS!$C$5:$C$1005="Chancho")*(MOVIMIENTOS!$D$5:$D$1005="sacos")*(MOVIMIENTOS!$A$5:$A$1005&lt;&gt;"")*(MOVIMIENTOS!$A$5:$A$1005&lt;=$A926)*MOVIMIENTOS!$E$5:$E$1005)+SUMPRODUCT((MOVIMIENTOS!$B$5:$B$1005="PROCESO")*(MOVIMIENTOS!$C$5:$C$1005="Chancho")*(MOVIMIENTOS!$D$5:$D$1005="sacos")*(MOVIMIENTOS!$A$5:$A$1005&lt;&gt;"")*(MOVIMIENTOS!$A$5:$A$1005&lt;=$A926)*MOVIMIENTOS!$E$5:$E$1005)-SUMPRODUCT((MOVIMIENTOS!$B$5:$B$1005="VENTA CHANCHO")*(MOVIMIENTOS!$C$5:$C$1005="Chancho")*(MOVIMIENTOS!$D$5:$D$1005="sacos")*(MOVIMIENTOS!$A$5:$A$1005&lt;&gt;"")*(MOVIMIENTOS!$A$5:$A$1005&lt;=$A926)*MOVIMIENTOS!$E$5:$E$1005)-SUMPRODUCT((MOVIMIENTOS!$B$5:$B$1005="REGALO")*(MOVIMIENTOS!$C$5:$C$1005="Chancho")*(MOVIMIENTOS!$D$5:$D$1005="sacos")*(MOVIMIENTOS!$A$5:$A$1005&lt;&gt;"")*(MOVIMIENTOS!$A$5:$A$1005&lt;=$A926)*MOVIMIENTOS!$E$5:$E$1005)-SUMPRODUCT((MOVIMIENTOS!$B$5:$B$1005="VENTA")*(MOVIMIENTOS!$C$5:$C$1005="Chancho")*(MOVIMIENTOS!$D$5:$D$1005="sacos")*(MOVIMIENTOS!$A$5:$A$1005&lt;&gt;"")*(MOVIMIENTOS!$A$5:$A$1005&lt;=$A926)*MOVIMIENTOS!$E$5:$E$1005)+SUMPRODUCT((MOVIMIENTOS!$B$5:$B$1005="AJUSTE")*(MOVIMIENTOS!$C$5:$C$1005="Chancho")*(MOVIMIENTOS!$D$5:$D$1005="sacos")*(MOVIMIENTOS!$A$5:$A$1005&lt;&gt;"")*(MOVIMIENTOS!$A$5:$A$1005&lt;=$A926)*MOVIMIENTOS!$E$5:$E$1005))</f>
        <v/>
      </c>
      <c r="G926" s="62" t="str">
        <f t="shared" si="29"/>
        <v/>
      </c>
      <c r="H926" t="str">
        <f>IF($A926="","",SUMPRODUCT((((MOVIMIENTOS!$B$5:$B$1005="SALDO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926)*MOVIMIENTOS!$J$5:$J$1005))</f>
        <v/>
      </c>
      <c r="J926" t="str">
        <f>IF(AND(MOVIMIENTOS!$A931&lt;&gt;"",COUNTIF(MOVIMIENTOS!$A$5:$A930,MOVIMIENTOS!$A931)=0),COUNT(J$4:J925)+1,"")</f>
        <v/>
      </c>
      <c r="K926">
        <f>MOVIMIENTOS!$A931</f>
        <v>0</v>
      </c>
    </row>
    <row r="927" spans="1:11" ht="15" customHeight="1" x14ac:dyDescent="0.2">
      <c r="A927" t="str">
        <f t="shared" si="28"/>
        <v/>
      </c>
      <c r="B927" t="str">
        <f>IF($A927="","",SUMPRODUCT((MOVIMIENTOS!$B$5:$B$1005="SALDO INICIAL")*(MOVIMIENTOS!$C$5:$C$1005="A")*(MOVIMIENTOS!$D$5:$D$1005="jabas")*(MOVIMIENTOS!$A$5:$A$1005&lt;&gt;"")*(MOVIMIENTOS!$A$5:$A$1005&lt;=$A927)*MOVIMIENTOS!$E$5:$E$1005)+SUMPRODUCT((MOVIMIENTOS!$B$5:$B$1005="PROCESO")*(MOVIMIENTOS!$C$5:$C$1005="A")*(MOVIMIENTOS!$D$5:$D$1005="jabas")*(MOVIMIENTOS!$A$5:$A$1005&lt;&gt;"")*(MOVIMIENTOS!$A$5:$A$1005&lt;=$A927)*MOVIMIENTOS!$E$5:$E$1005)-SUMPRODUCT((MOVIMIENTOS!$B$5:$B$1005="ENVÍO A SUPESA")*(MOVIMIENTOS!$C$5:$C$1005="A")*(MOVIMIENTOS!$D$5:$D$1005="jabas")*(MOVIMIENTOS!$A$5:$A$1005&lt;&gt;"")*(MOVIMIENTOS!$A$5:$A$1005&lt;=$A927)*MOVIMIENTOS!$E$5:$E$1005)+SUMPRODUCT((MOVIMIENTOS!$B$5:$B$1005="DEVOLUCIÓN")*(MOVIMIENTOS!$C$5:$C$1005="A")*(MOVIMIENTOS!$D$5:$D$1005="jabas")*(MOVIMIENTOS!$A$5:$A$1005&lt;&gt;"")*(MOVIMIENTOS!$A$5:$A$1005&lt;=$A927)*MOVIMIENTOS!$E$5:$E$1005)-SUMPRODUCT((MOVIMIENTOS!$B$5:$B$1005="TRASIEGO")*(MOVIMIENTOS!$C$5:$C$1005="A")*(MOVIMIENTOS!$D$5:$D$1005="jabas")*(MOVIMIENTOS!$A$5:$A$1005&lt;&gt;"")*(MOVIMIENTOS!$A$5:$A$1005&lt;=$A927)*MOVIMIENTOS!$E$5:$E$1005)-SUMPRODUCT((MOVIMIENTOS!$B$5:$B$1005="REGALO")*(MOVIMIENTOS!$C$5:$C$1005="A")*(MOVIMIENTOS!$D$5:$D$1005="jabas")*(MOVIMIENTOS!$A$5:$A$1005&lt;&gt;"")*(MOVIMIENTOS!$A$5:$A$1005&lt;=$A927)*MOVIMIENTOS!$E$5:$E$1005)-SUMPRODUCT((MOVIMIENTOS!$B$5:$B$1005="VENTA")*(MOVIMIENTOS!$C$5:$C$1005="A")*(MOVIMIENTOS!$D$5:$D$1005="jabas")*(MOVIMIENTOS!$A$5:$A$1005&lt;&gt;"")*(MOVIMIENTOS!$A$5:$A$1005&lt;=$A927)*MOVIMIENTOS!$E$5:$E$1005)+SUMPRODUCT((MOVIMIENTOS!$B$5:$B$1005="AJUSTE")*(MOVIMIENTOS!$C$5:$C$1005="A")*(MOVIMIENTOS!$D$5:$D$1005="jabas")*(MOVIMIENTOS!$A$5:$A$1005&lt;&gt;"")*(MOVIMIENTOS!$A$5:$A$1005&lt;=$A927)*MOVIMIENTOS!$E$5:$E$1005))</f>
        <v/>
      </c>
      <c r="C927" t="str">
        <f>IF($A927="","",SUMPRODUCT((MOVIMIENTOS!$B$5:$B$1005="SALDO INICIAL")*(MOVIMIENTOS!$C$5:$C$1005="P")*(MOVIMIENTOS!$D$5:$D$1005="jabas")*(MOVIMIENTOS!$A$5:$A$1005&lt;&gt;"")*(MOVIMIENTOS!$A$5:$A$1005&lt;=$A927)*MOVIMIENTOS!$E$5:$E$1005)+SUMPRODUCT((MOVIMIENTOS!$B$5:$B$1005="PROCESO")*(MOVIMIENTOS!$C$5:$C$1005="P")*(MOVIMIENTOS!$D$5:$D$1005="jabas")*(MOVIMIENTOS!$A$5:$A$1005&lt;&gt;"")*(MOVIMIENTOS!$A$5:$A$1005&lt;=$A927)*MOVIMIENTOS!$E$5:$E$1005)-SUMPRODUCT((MOVIMIENTOS!$B$5:$B$1005="ENVÍO A SUPESA")*(MOVIMIENTOS!$C$5:$C$1005="P")*(MOVIMIENTOS!$D$5:$D$1005="jabas")*(MOVIMIENTOS!$A$5:$A$1005&lt;&gt;"")*(MOVIMIENTOS!$A$5:$A$1005&lt;=$A927)*MOVIMIENTOS!$E$5:$E$1005)+SUMPRODUCT((MOVIMIENTOS!$B$5:$B$1005="DEVOLUCIÓN")*(MOVIMIENTOS!$C$5:$C$1005="P")*(MOVIMIENTOS!$D$5:$D$1005="jabas")*(MOVIMIENTOS!$A$5:$A$1005&lt;&gt;"")*(MOVIMIENTOS!$A$5:$A$1005&lt;=$A927)*MOVIMIENTOS!$E$5:$E$1005)-SUMPRODUCT((MOVIMIENTOS!$B$5:$B$1005="TRASIEGO")*(MOVIMIENTOS!$C$5:$C$1005="P")*(MOVIMIENTOS!$D$5:$D$1005="jabas")*(MOVIMIENTOS!$A$5:$A$1005&lt;&gt;"")*(MOVIMIENTOS!$A$5:$A$1005&lt;=$A927)*MOVIMIENTOS!$E$5:$E$1005)-SUMPRODUCT((MOVIMIENTOS!$B$5:$B$1005="REGALO")*(MOVIMIENTOS!$C$5:$C$1005="P")*(MOVIMIENTOS!$D$5:$D$1005="jabas")*(MOVIMIENTOS!$A$5:$A$1005&lt;&gt;"")*(MOVIMIENTOS!$A$5:$A$1005&lt;=$A927)*MOVIMIENTOS!$E$5:$E$1005)-SUMPRODUCT((MOVIMIENTOS!$B$5:$B$1005="VENTA")*(MOVIMIENTOS!$C$5:$C$1005="P")*(MOVIMIENTOS!$D$5:$D$1005="jabas")*(MOVIMIENTOS!$A$5:$A$1005&lt;&gt;"")*(MOVIMIENTOS!$A$5:$A$1005&lt;=$A927)*MOVIMIENTOS!$E$5:$E$1005)+SUMPRODUCT((MOVIMIENTOS!$B$5:$B$1005="AJUSTE")*(MOVIMIENTOS!$C$5:$C$1005="P")*(MOVIMIENTOS!$D$5:$D$1005="jabas")*(MOVIMIENTOS!$A$5:$A$1005&lt;&gt;"")*(MOVIMIENTOS!$A$5:$A$1005&lt;=$A927)*MOVIMIENTOS!$E$5:$E$1005))</f>
        <v/>
      </c>
      <c r="D927" t="str">
        <f>IF($A927="","",SUMPRODUCT((MOVIMIENTOS!$B$5:$B$1005="SALDO INICIAL")*(MOVIMIENTOS!$C$5:$C$1005="C")*(MOVIMIENTOS!$D$5:$D$1005="jabas")*(MOVIMIENTOS!$A$5:$A$1005&lt;&gt;"")*(MOVIMIENTOS!$A$5:$A$1005&lt;=$A927)*MOVIMIENTOS!$E$5:$E$1005)+SUMPRODUCT((MOVIMIENTOS!$B$5:$B$1005="PROCESO")*(MOVIMIENTOS!$C$5:$C$1005="C")*(MOVIMIENTOS!$D$5:$D$1005="jabas")*(MOVIMIENTOS!$A$5:$A$1005&lt;&gt;"")*(MOVIMIENTOS!$A$5:$A$1005&lt;=$A927)*MOVIMIENTOS!$E$5:$E$1005)-SUMPRODUCT((MOVIMIENTOS!$B$5:$B$1005="ENVÍO A SUPESA")*(MOVIMIENTOS!$C$5:$C$1005="C")*(MOVIMIENTOS!$D$5:$D$1005="jabas")*(MOVIMIENTOS!$A$5:$A$1005&lt;&gt;"")*(MOVIMIENTOS!$A$5:$A$1005&lt;=$A927)*MOVIMIENTOS!$E$5:$E$1005)+SUMPRODUCT((MOVIMIENTOS!$B$5:$B$1005="DEVOLUCIÓN")*(MOVIMIENTOS!$C$5:$C$1005="C")*(MOVIMIENTOS!$D$5:$D$1005="jabas")*(MOVIMIENTOS!$A$5:$A$1005&lt;&gt;"")*(MOVIMIENTOS!$A$5:$A$1005&lt;=$A927)*MOVIMIENTOS!$E$5:$E$1005)-SUMPRODUCT((MOVIMIENTOS!$B$5:$B$1005="TRASIEGO")*(MOVIMIENTOS!$C$5:$C$1005="C")*(MOVIMIENTOS!$D$5:$D$1005="jabas")*(MOVIMIENTOS!$A$5:$A$1005&lt;&gt;"")*(MOVIMIENTOS!$A$5:$A$1005&lt;=$A927)*MOVIMIENTOS!$E$5:$E$1005)-SUMPRODUCT((MOVIMIENTOS!$B$5:$B$1005="REGALO")*(MOVIMIENTOS!$C$5:$C$1005="C")*(MOVIMIENTOS!$D$5:$D$1005="jabas")*(MOVIMIENTOS!$A$5:$A$1005&lt;&gt;"")*(MOVIMIENTOS!$A$5:$A$1005&lt;=$A927)*MOVIMIENTOS!$E$5:$E$1005)-SUMPRODUCT((MOVIMIENTOS!$B$5:$B$1005="VENTA")*(MOVIMIENTOS!$C$5:$C$1005="C")*(MOVIMIENTOS!$D$5:$D$1005="jabas")*(MOVIMIENTOS!$A$5:$A$1005&lt;&gt;"")*(MOVIMIENTOS!$A$5:$A$1005&lt;=$A927)*MOVIMIENTOS!$E$5:$E$1005)+SUMPRODUCT((MOVIMIENTOS!$B$5:$B$1005="AJUSTE")*(MOVIMIENTOS!$C$5:$C$1005="C")*(MOVIMIENTOS!$D$5:$D$1005="jabas")*(MOVIMIENTOS!$A$5:$A$1005&lt;&gt;"")*(MOVIMIENTOS!$A$5:$A$1005&lt;=$A927)*MOVIMIENTOS!$E$5:$E$1005))</f>
        <v/>
      </c>
      <c r="E927" t="str">
        <f>IF($A927="","",SUMPRODUCT((MOVIMIENTOS!$B$5:$B$1005="SALDO INICIAL")*(MOVIMIENTOS!$C$5:$C$1005="M")*(MOVIMIENTOS!$D$5:$D$1005="jabas")*(MOVIMIENTOS!$A$5:$A$1005&lt;&gt;"")*(MOVIMIENTOS!$A$5:$A$1005&lt;=$A927)*MOVIMIENTOS!$E$5:$E$1005)+SUMPRODUCT((MOVIMIENTOS!$B$5:$B$1005="PROCESO")*(MOVIMIENTOS!$C$5:$C$1005="M")*(MOVIMIENTOS!$D$5:$D$1005="jabas")*(MOVIMIENTOS!$A$5:$A$1005&lt;&gt;"")*(MOVIMIENTOS!$A$5:$A$1005&lt;=$A927)*MOVIMIENTOS!$E$5:$E$1005)-SUMPRODUCT((MOVIMIENTOS!$B$5:$B$1005="ENVÍO A SUPESA")*(MOVIMIENTOS!$C$5:$C$1005="M")*(MOVIMIENTOS!$D$5:$D$1005="jabas")*(MOVIMIENTOS!$A$5:$A$1005&lt;&gt;"")*(MOVIMIENTOS!$A$5:$A$1005&lt;=$A927)*MOVIMIENTOS!$E$5:$E$1005)+SUMPRODUCT((MOVIMIENTOS!$B$5:$B$1005="DEVOLUCIÓN")*(MOVIMIENTOS!$C$5:$C$1005="M")*(MOVIMIENTOS!$D$5:$D$1005="jabas")*(MOVIMIENTOS!$A$5:$A$1005&lt;&gt;"")*(MOVIMIENTOS!$A$5:$A$1005&lt;=$A927)*MOVIMIENTOS!$E$5:$E$1005)-SUMPRODUCT((MOVIMIENTOS!$B$5:$B$1005="TRASIEGO")*(MOVIMIENTOS!$C$5:$C$1005="M")*(MOVIMIENTOS!$D$5:$D$1005="jabas")*(MOVIMIENTOS!$A$5:$A$1005&lt;&gt;"")*(MOVIMIENTOS!$A$5:$A$1005&lt;=$A927)*MOVIMIENTOS!$E$5:$E$1005)-SUMPRODUCT((MOVIMIENTOS!$B$5:$B$1005="REGALO")*(MOVIMIENTOS!$C$5:$C$1005="M")*(MOVIMIENTOS!$D$5:$D$1005="jabas")*(MOVIMIENTOS!$A$5:$A$1005&lt;&gt;"")*(MOVIMIENTOS!$A$5:$A$1005&lt;=$A927)*MOVIMIENTOS!$E$5:$E$1005)-SUMPRODUCT((MOVIMIENTOS!$B$5:$B$1005="VENTA")*(MOVIMIENTOS!$C$5:$C$1005="M")*(MOVIMIENTOS!$D$5:$D$1005="jabas")*(MOVIMIENTOS!$A$5:$A$1005&lt;&gt;"")*(MOVIMIENTOS!$A$5:$A$1005&lt;=$A927)*MOVIMIENTOS!$E$5:$E$1005)+SUMPRODUCT((MOVIMIENTOS!$B$5:$B$1005="AJUSTE")*(MOVIMIENTOS!$C$5:$C$1005="M")*(MOVIMIENTOS!$D$5:$D$1005="jabas")*(MOVIMIENTOS!$A$5:$A$1005&lt;&gt;"")*(MOVIMIENTOS!$A$5:$A$1005&lt;=$A927)*MOVIMIENTOS!$E$5:$E$1005))</f>
        <v/>
      </c>
      <c r="F927" s="62" t="str">
        <f>IF($A927="","",SUMPRODUCT((MOVIMIENTOS!$B$5:$B$1005="SALDO INICIAL")*(MOVIMIENTOS!$C$5:$C$1005="Chancho")*(MOVIMIENTOS!$D$5:$D$1005="sacos")*(MOVIMIENTOS!$A$5:$A$1005&lt;&gt;"")*(MOVIMIENTOS!$A$5:$A$1005&lt;=$A927)*MOVIMIENTOS!$E$5:$E$1005)+SUMPRODUCT((MOVIMIENTOS!$B$5:$B$1005="PROCESO")*(MOVIMIENTOS!$C$5:$C$1005="Chancho")*(MOVIMIENTOS!$D$5:$D$1005="sacos")*(MOVIMIENTOS!$A$5:$A$1005&lt;&gt;"")*(MOVIMIENTOS!$A$5:$A$1005&lt;=$A927)*MOVIMIENTOS!$E$5:$E$1005)-SUMPRODUCT((MOVIMIENTOS!$B$5:$B$1005="VENTA CHANCHO")*(MOVIMIENTOS!$C$5:$C$1005="Chancho")*(MOVIMIENTOS!$D$5:$D$1005="sacos")*(MOVIMIENTOS!$A$5:$A$1005&lt;&gt;"")*(MOVIMIENTOS!$A$5:$A$1005&lt;=$A927)*MOVIMIENTOS!$E$5:$E$1005)-SUMPRODUCT((MOVIMIENTOS!$B$5:$B$1005="REGALO")*(MOVIMIENTOS!$C$5:$C$1005="Chancho")*(MOVIMIENTOS!$D$5:$D$1005="sacos")*(MOVIMIENTOS!$A$5:$A$1005&lt;&gt;"")*(MOVIMIENTOS!$A$5:$A$1005&lt;=$A927)*MOVIMIENTOS!$E$5:$E$1005)-SUMPRODUCT((MOVIMIENTOS!$B$5:$B$1005="VENTA")*(MOVIMIENTOS!$C$5:$C$1005="Chancho")*(MOVIMIENTOS!$D$5:$D$1005="sacos")*(MOVIMIENTOS!$A$5:$A$1005&lt;&gt;"")*(MOVIMIENTOS!$A$5:$A$1005&lt;=$A927)*MOVIMIENTOS!$E$5:$E$1005)+SUMPRODUCT((MOVIMIENTOS!$B$5:$B$1005="AJUSTE")*(MOVIMIENTOS!$C$5:$C$1005="Chancho")*(MOVIMIENTOS!$D$5:$D$1005="sacos")*(MOVIMIENTOS!$A$5:$A$1005&lt;&gt;"")*(MOVIMIENTOS!$A$5:$A$1005&lt;=$A927)*MOVIMIENTOS!$E$5:$E$1005))</f>
        <v/>
      </c>
      <c r="G927" s="62" t="str">
        <f t="shared" si="29"/>
        <v/>
      </c>
      <c r="H927" t="str">
        <f>IF($A927="","",SUMPRODUCT((((MOVIMIENTOS!$B$5:$B$1005="SALDO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927)*MOVIMIENTOS!$J$5:$J$1005))</f>
        <v/>
      </c>
      <c r="J927" t="str">
        <f>IF(AND(MOVIMIENTOS!$A932&lt;&gt;"",COUNTIF(MOVIMIENTOS!$A$5:$A931,MOVIMIENTOS!$A932)=0),COUNT(J$4:J926)+1,"")</f>
        <v/>
      </c>
      <c r="K927">
        <f>MOVIMIENTOS!$A932</f>
        <v>0</v>
      </c>
    </row>
    <row r="928" spans="1:11" ht="15" customHeight="1" x14ac:dyDescent="0.2">
      <c r="A928" t="str">
        <f t="shared" si="28"/>
        <v/>
      </c>
      <c r="B928" t="str">
        <f>IF($A928="","",SUMPRODUCT((MOVIMIENTOS!$B$5:$B$1005="SALDO INICIAL")*(MOVIMIENTOS!$C$5:$C$1005="A")*(MOVIMIENTOS!$D$5:$D$1005="jabas")*(MOVIMIENTOS!$A$5:$A$1005&lt;&gt;"")*(MOVIMIENTOS!$A$5:$A$1005&lt;=$A928)*MOVIMIENTOS!$E$5:$E$1005)+SUMPRODUCT((MOVIMIENTOS!$B$5:$B$1005="PROCESO")*(MOVIMIENTOS!$C$5:$C$1005="A")*(MOVIMIENTOS!$D$5:$D$1005="jabas")*(MOVIMIENTOS!$A$5:$A$1005&lt;&gt;"")*(MOVIMIENTOS!$A$5:$A$1005&lt;=$A928)*MOVIMIENTOS!$E$5:$E$1005)-SUMPRODUCT((MOVIMIENTOS!$B$5:$B$1005="ENVÍO A SUPESA")*(MOVIMIENTOS!$C$5:$C$1005="A")*(MOVIMIENTOS!$D$5:$D$1005="jabas")*(MOVIMIENTOS!$A$5:$A$1005&lt;&gt;"")*(MOVIMIENTOS!$A$5:$A$1005&lt;=$A928)*MOVIMIENTOS!$E$5:$E$1005)+SUMPRODUCT((MOVIMIENTOS!$B$5:$B$1005="DEVOLUCIÓN")*(MOVIMIENTOS!$C$5:$C$1005="A")*(MOVIMIENTOS!$D$5:$D$1005="jabas")*(MOVIMIENTOS!$A$5:$A$1005&lt;&gt;"")*(MOVIMIENTOS!$A$5:$A$1005&lt;=$A928)*MOVIMIENTOS!$E$5:$E$1005)-SUMPRODUCT((MOVIMIENTOS!$B$5:$B$1005="TRASIEGO")*(MOVIMIENTOS!$C$5:$C$1005="A")*(MOVIMIENTOS!$D$5:$D$1005="jabas")*(MOVIMIENTOS!$A$5:$A$1005&lt;&gt;"")*(MOVIMIENTOS!$A$5:$A$1005&lt;=$A928)*MOVIMIENTOS!$E$5:$E$1005)-SUMPRODUCT((MOVIMIENTOS!$B$5:$B$1005="REGALO")*(MOVIMIENTOS!$C$5:$C$1005="A")*(MOVIMIENTOS!$D$5:$D$1005="jabas")*(MOVIMIENTOS!$A$5:$A$1005&lt;&gt;"")*(MOVIMIENTOS!$A$5:$A$1005&lt;=$A928)*MOVIMIENTOS!$E$5:$E$1005)-SUMPRODUCT((MOVIMIENTOS!$B$5:$B$1005="VENTA")*(MOVIMIENTOS!$C$5:$C$1005="A")*(MOVIMIENTOS!$D$5:$D$1005="jabas")*(MOVIMIENTOS!$A$5:$A$1005&lt;&gt;"")*(MOVIMIENTOS!$A$5:$A$1005&lt;=$A928)*MOVIMIENTOS!$E$5:$E$1005)+SUMPRODUCT((MOVIMIENTOS!$B$5:$B$1005="AJUSTE")*(MOVIMIENTOS!$C$5:$C$1005="A")*(MOVIMIENTOS!$D$5:$D$1005="jabas")*(MOVIMIENTOS!$A$5:$A$1005&lt;&gt;"")*(MOVIMIENTOS!$A$5:$A$1005&lt;=$A928)*MOVIMIENTOS!$E$5:$E$1005))</f>
        <v/>
      </c>
      <c r="C928" t="str">
        <f>IF($A928="","",SUMPRODUCT((MOVIMIENTOS!$B$5:$B$1005="SALDO INICIAL")*(MOVIMIENTOS!$C$5:$C$1005="P")*(MOVIMIENTOS!$D$5:$D$1005="jabas")*(MOVIMIENTOS!$A$5:$A$1005&lt;&gt;"")*(MOVIMIENTOS!$A$5:$A$1005&lt;=$A928)*MOVIMIENTOS!$E$5:$E$1005)+SUMPRODUCT((MOVIMIENTOS!$B$5:$B$1005="PROCESO")*(MOVIMIENTOS!$C$5:$C$1005="P")*(MOVIMIENTOS!$D$5:$D$1005="jabas")*(MOVIMIENTOS!$A$5:$A$1005&lt;&gt;"")*(MOVIMIENTOS!$A$5:$A$1005&lt;=$A928)*MOVIMIENTOS!$E$5:$E$1005)-SUMPRODUCT((MOVIMIENTOS!$B$5:$B$1005="ENVÍO A SUPESA")*(MOVIMIENTOS!$C$5:$C$1005="P")*(MOVIMIENTOS!$D$5:$D$1005="jabas")*(MOVIMIENTOS!$A$5:$A$1005&lt;&gt;"")*(MOVIMIENTOS!$A$5:$A$1005&lt;=$A928)*MOVIMIENTOS!$E$5:$E$1005)+SUMPRODUCT((MOVIMIENTOS!$B$5:$B$1005="DEVOLUCIÓN")*(MOVIMIENTOS!$C$5:$C$1005="P")*(MOVIMIENTOS!$D$5:$D$1005="jabas")*(MOVIMIENTOS!$A$5:$A$1005&lt;&gt;"")*(MOVIMIENTOS!$A$5:$A$1005&lt;=$A928)*MOVIMIENTOS!$E$5:$E$1005)-SUMPRODUCT((MOVIMIENTOS!$B$5:$B$1005="TRASIEGO")*(MOVIMIENTOS!$C$5:$C$1005="P")*(MOVIMIENTOS!$D$5:$D$1005="jabas")*(MOVIMIENTOS!$A$5:$A$1005&lt;&gt;"")*(MOVIMIENTOS!$A$5:$A$1005&lt;=$A928)*MOVIMIENTOS!$E$5:$E$1005)-SUMPRODUCT((MOVIMIENTOS!$B$5:$B$1005="REGALO")*(MOVIMIENTOS!$C$5:$C$1005="P")*(MOVIMIENTOS!$D$5:$D$1005="jabas")*(MOVIMIENTOS!$A$5:$A$1005&lt;&gt;"")*(MOVIMIENTOS!$A$5:$A$1005&lt;=$A928)*MOVIMIENTOS!$E$5:$E$1005)-SUMPRODUCT((MOVIMIENTOS!$B$5:$B$1005="VENTA")*(MOVIMIENTOS!$C$5:$C$1005="P")*(MOVIMIENTOS!$D$5:$D$1005="jabas")*(MOVIMIENTOS!$A$5:$A$1005&lt;&gt;"")*(MOVIMIENTOS!$A$5:$A$1005&lt;=$A928)*MOVIMIENTOS!$E$5:$E$1005)+SUMPRODUCT((MOVIMIENTOS!$B$5:$B$1005="AJUSTE")*(MOVIMIENTOS!$C$5:$C$1005="P")*(MOVIMIENTOS!$D$5:$D$1005="jabas")*(MOVIMIENTOS!$A$5:$A$1005&lt;&gt;"")*(MOVIMIENTOS!$A$5:$A$1005&lt;=$A928)*MOVIMIENTOS!$E$5:$E$1005))</f>
        <v/>
      </c>
      <c r="D928" t="str">
        <f>IF($A928="","",SUMPRODUCT((MOVIMIENTOS!$B$5:$B$1005="SALDO INICIAL")*(MOVIMIENTOS!$C$5:$C$1005="C")*(MOVIMIENTOS!$D$5:$D$1005="jabas")*(MOVIMIENTOS!$A$5:$A$1005&lt;&gt;"")*(MOVIMIENTOS!$A$5:$A$1005&lt;=$A928)*MOVIMIENTOS!$E$5:$E$1005)+SUMPRODUCT((MOVIMIENTOS!$B$5:$B$1005="PROCESO")*(MOVIMIENTOS!$C$5:$C$1005="C")*(MOVIMIENTOS!$D$5:$D$1005="jabas")*(MOVIMIENTOS!$A$5:$A$1005&lt;&gt;"")*(MOVIMIENTOS!$A$5:$A$1005&lt;=$A928)*MOVIMIENTOS!$E$5:$E$1005)-SUMPRODUCT((MOVIMIENTOS!$B$5:$B$1005="ENVÍO A SUPESA")*(MOVIMIENTOS!$C$5:$C$1005="C")*(MOVIMIENTOS!$D$5:$D$1005="jabas")*(MOVIMIENTOS!$A$5:$A$1005&lt;&gt;"")*(MOVIMIENTOS!$A$5:$A$1005&lt;=$A928)*MOVIMIENTOS!$E$5:$E$1005)+SUMPRODUCT((MOVIMIENTOS!$B$5:$B$1005="DEVOLUCIÓN")*(MOVIMIENTOS!$C$5:$C$1005="C")*(MOVIMIENTOS!$D$5:$D$1005="jabas")*(MOVIMIENTOS!$A$5:$A$1005&lt;&gt;"")*(MOVIMIENTOS!$A$5:$A$1005&lt;=$A928)*MOVIMIENTOS!$E$5:$E$1005)-SUMPRODUCT((MOVIMIENTOS!$B$5:$B$1005="TRASIEGO")*(MOVIMIENTOS!$C$5:$C$1005="C")*(MOVIMIENTOS!$D$5:$D$1005="jabas")*(MOVIMIENTOS!$A$5:$A$1005&lt;&gt;"")*(MOVIMIENTOS!$A$5:$A$1005&lt;=$A928)*MOVIMIENTOS!$E$5:$E$1005)-SUMPRODUCT((MOVIMIENTOS!$B$5:$B$1005="REGALO")*(MOVIMIENTOS!$C$5:$C$1005="C")*(MOVIMIENTOS!$D$5:$D$1005="jabas")*(MOVIMIENTOS!$A$5:$A$1005&lt;&gt;"")*(MOVIMIENTOS!$A$5:$A$1005&lt;=$A928)*MOVIMIENTOS!$E$5:$E$1005)-SUMPRODUCT((MOVIMIENTOS!$B$5:$B$1005="VENTA")*(MOVIMIENTOS!$C$5:$C$1005="C")*(MOVIMIENTOS!$D$5:$D$1005="jabas")*(MOVIMIENTOS!$A$5:$A$1005&lt;&gt;"")*(MOVIMIENTOS!$A$5:$A$1005&lt;=$A928)*MOVIMIENTOS!$E$5:$E$1005)+SUMPRODUCT((MOVIMIENTOS!$B$5:$B$1005="AJUSTE")*(MOVIMIENTOS!$C$5:$C$1005="C")*(MOVIMIENTOS!$D$5:$D$1005="jabas")*(MOVIMIENTOS!$A$5:$A$1005&lt;&gt;"")*(MOVIMIENTOS!$A$5:$A$1005&lt;=$A928)*MOVIMIENTOS!$E$5:$E$1005))</f>
        <v/>
      </c>
      <c r="E928" t="str">
        <f>IF($A928="","",SUMPRODUCT((MOVIMIENTOS!$B$5:$B$1005="SALDO INICIAL")*(MOVIMIENTOS!$C$5:$C$1005="M")*(MOVIMIENTOS!$D$5:$D$1005="jabas")*(MOVIMIENTOS!$A$5:$A$1005&lt;&gt;"")*(MOVIMIENTOS!$A$5:$A$1005&lt;=$A928)*MOVIMIENTOS!$E$5:$E$1005)+SUMPRODUCT((MOVIMIENTOS!$B$5:$B$1005="PROCESO")*(MOVIMIENTOS!$C$5:$C$1005="M")*(MOVIMIENTOS!$D$5:$D$1005="jabas")*(MOVIMIENTOS!$A$5:$A$1005&lt;&gt;"")*(MOVIMIENTOS!$A$5:$A$1005&lt;=$A928)*MOVIMIENTOS!$E$5:$E$1005)-SUMPRODUCT((MOVIMIENTOS!$B$5:$B$1005="ENVÍO A SUPESA")*(MOVIMIENTOS!$C$5:$C$1005="M")*(MOVIMIENTOS!$D$5:$D$1005="jabas")*(MOVIMIENTOS!$A$5:$A$1005&lt;&gt;"")*(MOVIMIENTOS!$A$5:$A$1005&lt;=$A928)*MOVIMIENTOS!$E$5:$E$1005)+SUMPRODUCT((MOVIMIENTOS!$B$5:$B$1005="DEVOLUCIÓN")*(MOVIMIENTOS!$C$5:$C$1005="M")*(MOVIMIENTOS!$D$5:$D$1005="jabas")*(MOVIMIENTOS!$A$5:$A$1005&lt;&gt;"")*(MOVIMIENTOS!$A$5:$A$1005&lt;=$A928)*MOVIMIENTOS!$E$5:$E$1005)-SUMPRODUCT((MOVIMIENTOS!$B$5:$B$1005="TRASIEGO")*(MOVIMIENTOS!$C$5:$C$1005="M")*(MOVIMIENTOS!$D$5:$D$1005="jabas")*(MOVIMIENTOS!$A$5:$A$1005&lt;&gt;"")*(MOVIMIENTOS!$A$5:$A$1005&lt;=$A928)*MOVIMIENTOS!$E$5:$E$1005)-SUMPRODUCT((MOVIMIENTOS!$B$5:$B$1005="REGALO")*(MOVIMIENTOS!$C$5:$C$1005="M")*(MOVIMIENTOS!$D$5:$D$1005="jabas")*(MOVIMIENTOS!$A$5:$A$1005&lt;&gt;"")*(MOVIMIENTOS!$A$5:$A$1005&lt;=$A928)*MOVIMIENTOS!$E$5:$E$1005)-SUMPRODUCT((MOVIMIENTOS!$B$5:$B$1005="VENTA")*(MOVIMIENTOS!$C$5:$C$1005="M")*(MOVIMIENTOS!$D$5:$D$1005="jabas")*(MOVIMIENTOS!$A$5:$A$1005&lt;&gt;"")*(MOVIMIENTOS!$A$5:$A$1005&lt;=$A928)*MOVIMIENTOS!$E$5:$E$1005)+SUMPRODUCT((MOVIMIENTOS!$B$5:$B$1005="AJUSTE")*(MOVIMIENTOS!$C$5:$C$1005="M")*(MOVIMIENTOS!$D$5:$D$1005="jabas")*(MOVIMIENTOS!$A$5:$A$1005&lt;&gt;"")*(MOVIMIENTOS!$A$5:$A$1005&lt;=$A928)*MOVIMIENTOS!$E$5:$E$1005))</f>
        <v/>
      </c>
      <c r="F928" s="62" t="str">
        <f>IF($A928="","",SUMPRODUCT((MOVIMIENTOS!$B$5:$B$1005="SALDO INICIAL")*(MOVIMIENTOS!$C$5:$C$1005="Chancho")*(MOVIMIENTOS!$D$5:$D$1005="sacos")*(MOVIMIENTOS!$A$5:$A$1005&lt;&gt;"")*(MOVIMIENTOS!$A$5:$A$1005&lt;=$A928)*MOVIMIENTOS!$E$5:$E$1005)+SUMPRODUCT((MOVIMIENTOS!$B$5:$B$1005="PROCESO")*(MOVIMIENTOS!$C$5:$C$1005="Chancho")*(MOVIMIENTOS!$D$5:$D$1005="sacos")*(MOVIMIENTOS!$A$5:$A$1005&lt;&gt;"")*(MOVIMIENTOS!$A$5:$A$1005&lt;=$A928)*MOVIMIENTOS!$E$5:$E$1005)-SUMPRODUCT((MOVIMIENTOS!$B$5:$B$1005="VENTA CHANCHO")*(MOVIMIENTOS!$C$5:$C$1005="Chancho")*(MOVIMIENTOS!$D$5:$D$1005="sacos")*(MOVIMIENTOS!$A$5:$A$1005&lt;&gt;"")*(MOVIMIENTOS!$A$5:$A$1005&lt;=$A928)*MOVIMIENTOS!$E$5:$E$1005)-SUMPRODUCT((MOVIMIENTOS!$B$5:$B$1005="REGALO")*(MOVIMIENTOS!$C$5:$C$1005="Chancho")*(MOVIMIENTOS!$D$5:$D$1005="sacos")*(MOVIMIENTOS!$A$5:$A$1005&lt;&gt;"")*(MOVIMIENTOS!$A$5:$A$1005&lt;=$A928)*MOVIMIENTOS!$E$5:$E$1005)-SUMPRODUCT((MOVIMIENTOS!$B$5:$B$1005="VENTA")*(MOVIMIENTOS!$C$5:$C$1005="Chancho")*(MOVIMIENTOS!$D$5:$D$1005="sacos")*(MOVIMIENTOS!$A$5:$A$1005&lt;&gt;"")*(MOVIMIENTOS!$A$5:$A$1005&lt;=$A928)*MOVIMIENTOS!$E$5:$E$1005)+SUMPRODUCT((MOVIMIENTOS!$B$5:$B$1005="AJUSTE")*(MOVIMIENTOS!$C$5:$C$1005="Chancho")*(MOVIMIENTOS!$D$5:$D$1005="sacos")*(MOVIMIENTOS!$A$5:$A$1005&lt;&gt;"")*(MOVIMIENTOS!$A$5:$A$1005&lt;=$A928)*MOVIMIENTOS!$E$5:$E$1005))</f>
        <v/>
      </c>
      <c r="G928" s="62" t="str">
        <f t="shared" si="29"/>
        <v/>
      </c>
      <c r="H928" t="str">
        <f>IF($A928="","",SUMPRODUCT((((MOVIMIENTOS!$B$5:$B$1005="SALDO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928)*MOVIMIENTOS!$J$5:$J$1005))</f>
        <v/>
      </c>
      <c r="J928" t="str">
        <f>IF(AND(MOVIMIENTOS!$A933&lt;&gt;"",COUNTIF(MOVIMIENTOS!$A$5:$A932,MOVIMIENTOS!$A933)=0),COUNT(J$4:J927)+1,"")</f>
        <v/>
      </c>
      <c r="K928">
        <f>MOVIMIENTOS!$A933</f>
        <v>0</v>
      </c>
    </row>
    <row r="929" spans="1:11" ht="15" customHeight="1" x14ac:dyDescent="0.2">
      <c r="A929" t="str">
        <f t="shared" si="28"/>
        <v/>
      </c>
      <c r="B929" t="str">
        <f>IF($A929="","",SUMPRODUCT((MOVIMIENTOS!$B$5:$B$1005="SALDO INICIAL")*(MOVIMIENTOS!$C$5:$C$1005="A")*(MOVIMIENTOS!$D$5:$D$1005="jabas")*(MOVIMIENTOS!$A$5:$A$1005&lt;&gt;"")*(MOVIMIENTOS!$A$5:$A$1005&lt;=$A929)*MOVIMIENTOS!$E$5:$E$1005)+SUMPRODUCT((MOVIMIENTOS!$B$5:$B$1005="PROCESO")*(MOVIMIENTOS!$C$5:$C$1005="A")*(MOVIMIENTOS!$D$5:$D$1005="jabas")*(MOVIMIENTOS!$A$5:$A$1005&lt;&gt;"")*(MOVIMIENTOS!$A$5:$A$1005&lt;=$A929)*MOVIMIENTOS!$E$5:$E$1005)-SUMPRODUCT((MOVIMIENTOS!$B$5:$B$1005="ENVÍO A SUPESA")*(MOVIMIENTOS!$C$5:$C$1005="A")*(MOVIMIENTOS!$D$5:$D$1005="jabas")*(MOVIMIENTOS!$A$5:$A$1005&lt;&gt;"")*(MOVIMIENTOS!$A$5:$A$1005&lt;=$A929)*MOVIMIENTOS!$E$5:$E$1005)+SUMPRODUCT((MOVIMIENTOS!$B$5:$B$1005="DEVOLUCIÓN")*(MOVIMIENTOS!$C$5:$C$1005="A")*(MOVIMIENTOS!$D$5:$D$1005="jabas")*(MOVIMIENTOS!$A$5:$A$1005&lt;&gt;"")*(MOVIMIENTOS!$A$5:$A$1005&lt;=$A929)*MOVIMIENTOS!$E$5:$E$1005)-SUMPRODUCT((MOVIMIENTOS!$B$5:$B$1005="TRASIEGO")*(MOVIMIENTOS!$C$5:$C$1005="A")*(MOVIMIENTOS!$D$5:$D$1005="jabas")*(MOVIMIENTOS!$A$5:$A$1005&lt;&gt;"")*(MOVIMIENTOS!$A$5:$A$1005&lt;=$A929)*MOVIMIENTOS!$E$5:$E$1005)-SUMPRODUCT((MOVIMIENTOS!$B$5:$B$1005="REGALO")*(MOVIMIENTOS!$C$5:$C$1005="A")*(MOVIMIENTOS!$D$5:$D$1005="jabas")*(MOVIMIENTOS!$A$5:$A$1005&lt;&gt;"")*(MOVIMIENTOS!$A$5:$A$1005&lt;=$A929)*MOVIMIENTOS!$E$5:$E$1005)-SUMPRODUCT((MOVIMIENTOS!$B$5:$B$1005="VENTA")*(MOVIMIENTOS!$C$5:$C$1005="A")*(MOVIMIENTOS!$D$5:$D$1005="jabas")*(MOVIMIENTOS!$A$5:$A$1005&lt;&gt;"")*(MOVIMIENTOS!$A$5:$A$1005&lt;=$A929)*MOVIMIENTOS!$E$5:$E$1005)+SUMPRODUCT((MOVIMIENTOS!$B$5:$B$1005="AJUSTE")*(MOVIMIENTOS!$C$5:$C$1005="A")*(MOVIMIENTOS!$D$5:$D$1005="jabas")*(MOVIMIENTOS!$A$5:$A$1005&lt;&gt;"")*(MOVIMIENTOS!$A$5:$A$1005&lt;=$A929)*MOVIMIENTOS!$E$5:$E$1005))</f>
        <v/>
      </c>
      <c r="C929" t="str">
        <f>IF($A929="","",SUMPRODUCT((MOVIMIENTOS!$B$5:$B$1005="SALDO INICIAL")*(MOVIMIENTOS!$C$5:$C$1005="P")*(MOVIMIENTOS!$D$5:$D$1005="jabas")*(MOVIMIENTOS!$A$5:$A$1005&lt;&gt;"")*(MOVIMIENTOS!$A$5:$A$1005&lt;=$A929)*MOVIMIENTOS!$E$5:$E$1005)+SUMPRODUCT((MOVIMIENTOS!$B$5:$B$1005="PROCESO")*(MOVIMIENTOS!$C$5:$C$1005="P")*(MOVIMIENTOS!$D$5:$D$1005="jabas")*(MOVIMIENTOS!$A$5:$A$1005&lt;&gt;"")*(MOVIMIENTOS!$A$5:$A$1005&lt;=$A929)*MOVIMIENTOS!$E$5:$E$1005)-SUMPRODUCT((MOVIMIENTOS!$B$5:$B$1005="ENVÍO A SUPESA")*(MOVIMIENTOS!$C$5:$C$1005="P")*(MOVIMIENTOS!$D$5:$D$1005="jabas")*(MOVIMIENTOS!$A$5:$A$1005&lt;&gt;"")*(MOVIMIENTOS!$A$5:$A$1005&lt;=$A929)*MOVIMIENTOS!$E$5:$E$1005)+SUMPRODUCT((MOVIMIENTOS!$B$5:$B$1005="DEVOLUCIÓN")*(MOVIMIENTOS!$C$5:$C$1005="P")*(MOVIMIENTOS!$D$5:$D$1005="jabas")*(MOVIMIENTOS!$A$5:$A$1005&lt;&gt;"")*(MOVIMIENTOS!$A$5:$A$1005&lt;=$A929)*MOVIMIENTOS!$E$5:$E$1005)-SUMPRODUCT((MOVIMIENTOS!$B$5:$B$1005="TRASIEGO")*(MOVIMIENTOS!$C$5:$C$1005="P")*(MOVIMIENTOS!$D$5:$D$1005="jabas")*(MOVIMIENTOS!$A$5:$A$1005&lt;&gt;"")*(MOVIMIENTOS!$A$5:$A$1005&lt;=$A929)*MOVIMIENTOS!$E$5:$E$1005)-SUMPRODUCT((MOVIMIENTOS!$B$5:$B$1005="REGALO")*(MOVIMIENTOS!$C$5:$C$1005="P")*(MOVIMIENTOS!$D$5:$D$1005="jabas")*(MOVIMIENTOS!$A$5:$A$1005&lt;&gt;"")*(MOVIMIENTOS!$A$5:$A$1005&lt;=$A929)*MOVIMIENTOS!$E$5:$E$1005)-SUMPRODUCT((MOVIMIENTOS!$B$5:$B$1005="VENTA")*(MOVIMIENTOS!$C$5:$C$1005="P")*(MOVIMIENTOS!$D$5:$D$1005="jabas")*(MOVIMIENTOS!$A$5:$A$1005&lt;&gt;"")*(MOVIMIENTOS!$A$5:$A$1005&lt;=$A929)*MOVIMIENTOS!$E$5:$E$1005)+SUMPRODUCT((MOVIMIENTOS!$B$5:$B$1005="AJUSTE")*(MOVIMIENTOS!$C$5:$C$1005="P")*(MOVIMIENTOS!$D$5:$D$1005="jabas")*(MOVIMIENTOS!$A$5:$A$1005&lt;&gt;"")*(MOVIMIENTOS!$A$5:$A$1005&lt;=$A929)*MOVIMIENTOS!$E$5:$E$1005))</f>
        <v/>
      </c>
      <c r="D929" t="str">
        <f>IF($A929="","",SUMPRODUCT((MOVIMIENTOS!$B$5:$B$1005="SALDO INICIAL")*(MOVIMIENTOS!$C$5:$C$1005="C")*(MOVIMIENTOS!$D$5:$D$1005="jabas")*(MOVIMIENTOS!$A$5:$A$1005&lt;&gt;"")*(MOVIMIENTOS!$A$5:$A$1005&lt;=$A929)*MOVIMIENTOS!$E$5:$E$1005)+SUMPRODUCT((MOVIMIENTOS!$B$5:$B$1005="PROCESO")*(MOVIMIENTOS!$C$5:$C$1005="C")*(MOVIMIENTOS!$D$5:$D$1005="jabas")*(MOVIMIENTOS!$A$5:$A$1005&lt;&gt;"")*(MOVIMIENTOS!$A$5:$A$1005&lt;=$A929)*MOVIMIENTOS!$E$5:$E$1005)-SUMPRODUCT((MOVIMIENTOS!$B$5:$B$1005="ENVÍO A SUPESA")*(MOVIMIENTOS!$C$5:$C$1005="C")*(MOVIMIENTOS!$D$5:$D$1005="jabas")*(MOVIMIENTOS!$A$5:$A$1005&lt;&gt;"")*(MOVIMIENTOS!$A$5:$A$1005&lt;=$A929)*MOVIMIENTOS!$E$5:$E$1005)+SUMPRODUCT((MOVIMIENTOS!$B$5:$B$1005="DEVOLUCIÓN")*(MOVIMIENTOS!$C$5:$C$1005="C")*(MOVIMIENTOS!$D$5:$D$1005="jabas")*(MOVIMIENTOS!$A$5:$A$1005&lt;&gt;"")*(MOVIMIENTOS!$A$5:$A$1005&lt;=$A929)*MOVIMIENTOS!$E$5:$E$1005)-SUMPRODUCT((MOVIMIENTOS!$B$5:$B$1005="TRASIEGO")*(MOVIMIENTOS!$C$5:$C$1005="C")*(MOVIMIENTOS!$D$5:$D$1005="jabas")*(MOVIMIENTOS!$A$5:$A$1005&lt;&gt;"")*(MOVIMIENTOS!$A$5:$A$1005&lt;=$A929)*MOVIMIENTOS!$E$5:$E$1005)-SUMPRODUCT((MOVIMIENTOS!$B$5:$B$1005="REGALO")*(MOVIMIENTOS!$C$5:$C$1005="C")*(MOVIMIENTOS!$D$5:$D$1005="jabas")*(MOVIMIENTOS!$A$5:$A$1005&lt;&gt;"")*(MOVIMIENTOS!$A$5:$A$1005&lt;=$A929)*MOVIMIENTOS!$E$5:$E$1005)-SUMPRODUCT((MOVIMIENTOS!$B$5:$B$1005="VENTA")*(MOVIMIENTOS!$C$5:$C$1005="C")*(MOVIMIENTOS!$D$5:$D$1005="jabas")*(MOVIMIENTOS!$A$5:$A$1005&lt;&gt;"")*(MOVIMIENTOS!$A$5:$A$1005&lt;=$A929)*MOVIMIENTOS!$E$5:$E$1005)+SUMPRODUCT((MOVIMIENTOS!$B$5:$B$1005="AJUSTE")*(MOVIMIENTOS!$C$5:$C$1005="C")*(MOVIMIENTOS!$D$5:$D$1005="jabas")*(MOVIMIENTOS!$A$5:$A$1005&lt;&gt;"")*(MOVIMIENTOS!$A$5:$A$1005&lt;=$A929)*MOVIMIENTOS!$E$5:$E$1005))</f>
        <v/>
      </c>
      <c r="E929" t="str">
        <f>IF($A929="","",SUMPRODUCT((MOVIMIENTOS!$B$5:$B$1005="SALDO INICIAL")*(MOVIMIENTOS!$C$5:$C$1005="M")*(MOVIMIENTOS!$D$5:$D$1005="jabas")*(MOVIMIENTOS!$A$5:$A$1005&lt;&gt;"")*(MOVIMIENTOS!$A$5:$A$1005&lt;=$A929)*MOVIMIENTOS!$E$5:$E$1005)+SUMPRODUCT((MOVIMIENTOS!$B$5:$B$1005="PROCESO")*(MOVIMIENTOS!$C$5:$C$1005="M")*(MOVIMIENTOS!$D$5:$D$1005="jabas")*(MOVIMIENTOS!$A$5:$A$1005&lt;&gt;"")*(MOVIMIENTOS!$A$5:$A$1005&lt;=$A929)*MOVIMIENTOS!$E$5:$E$1005)-SUMPRODUCT((MOVIMIENTOS!$B$5:$B$1005="ENVÍO A SUPESA")*(MOVIMIENTOS!$C$5:$C$1005="M")*(MOVIMIENTOS!$D$5:$D$1005="jabas")*(MOVIMIENTOS!$A$5:$A$1005&lt;&gt;"")*(MOVIMIENTOS!$A$5:$A$1005&lt;=$A929)*MOVIMIENTOS!$E$5:$E$1005)+SUMPRODUCT((MOVIMIENTOS!$B$5:$B$1005="DEVOLUCIÓN")*(MOVIMIENTOS!$C$5:$C$1005="M")*(MOVIMIENTOS!$D$5:$D$1005="jabas")*(MOVIMIENTOS!$A$5:$A$1005&lt;&gt;"")*(MOVIMIENTOS!$A$5:$A$1005&lt;=$A929)*MOVIMIENTOS!$E$5:$E$1005)-SUMPRODUCT((MOVIMIENTOS!$B$5:$B$1005="TRASIEGO")*(MOVIMIENTOS!$C$5:$C$1005="M")*(MOVIMIENTOS!$D$5:$D$1005="jabas")*(MOVIMIENTOS!$A$5:$A$1005&lt;&gt;"")*(MOVIMIENTOS!$A$5:$A$1005&lt;=$A929)*MOVIMIENTOS!$E$5:$E$1005)-SUMPRODUCT((MOVIMIENTOS!$B$5:$B$1005="REGALO")*(MOVIMIENTOS!$C$5:$C$1005="M")*(MOVIMIENTOS!$D$5:$D$1005="jabas")*(MOVIMIENTOS!$A$5:$A$1005&lt;&gt;"")*(MOVIMIENTOS!$A$5:$A$1005&lt;=$A929)*MOVIMIENTOS!$E$5:$E$1005)-SUMPRODUCT((MOVIMIENTOS!$B$5:$B$1005="VENTA")*(MOVIMIENTOS!$C$5:$C$1005="M")*(MOVIMIENTOS!$D$5:$D$1005="jabas")*(MOVIMIENTOS!$A$5:$A$1005&lt;&gt;"")*(MOVIMIENTOS!$A$5:$A$1005&lt;=$A929)*MOVIMIENTOS!$E$5:$E$1005)+SUMPRODUCT((MOVIMIENTOS!$B$5:$B$1005="AJUSTE")*(MOVIMIENTOS!$C$5:$C$1005="M")*(MOVIMIENTOS!$D$5:$D$1005="jabas")*(MOVIMIENTOS!$A$5:$A$1005&lt;&gt;"")*(MOVIMIENTOS!$A$5:$A$1005&lt;=$A929)*MOVIMIENTOS!$E$5:$E$1005))</f>
        <v/>
      </c>
      <c r="F929" s="62" t="str">
        <f>IF($A929="","",SUMPRODUCT((MOVIMIENTOS!$B$5:$B$1005="SALDO INICIAL")*(MOVIMIENTOS!$C$5:$C$1005="Chancho")*(MOVIMIENTOS!$D$5:$D$1005="sacos")*(MOVIMIENTOS!$A$5:$A$1005&lt;&gt;"")*(MOVIMIENTOS!$A$5:$A$1005&lt;=$A929)*MOVIMIENTOS!$E$5:$E$1005)+SUMPRODUCT((MOVIMIENTOS!$B$5:$B$1005="PROCESO")*(MOVIMIENTOS!$C$5:$C$1005="Chancho")*(MOVIMIENTOS!$D$5:$D$1005="sacos")*(MOVIMIENTOS!$A$5:$A$1005&lt;&gt;"")*(MOVIMIENTOS!$A$5:$A$1005&lt;=$A929)*MOVIMIENTOS!$E$5:$E$1005)-SUMPRODUCT((MOVIMIENTOS!$B$5:$B$1005="VENTA CHANCHO")*(MOVIMIENTOS!$C$5:$C$1005="Chancho")*(MOVIMIENTOS!$D$5:$D$1005="sacos")*(MOVIMIENTOS!$A$5:$A$1005&lt;&gt;"")*(MOVIMIENTOS!$A$5:$A$1005&lt;=$A929)*MOVIMIENTOS!$E$5:$E$1005)-SUMPRODUCT((MOVIMIENTOS!$B$5:$B$1005="REGALO")*(MOVIMIENTOS!$C$5:$C$1005="Chancho")*(MOVIMIENTOS!$D$5:$D$1005="sacos")*(MOVIMIENTOS!$A$5:$A$1005&lt;&gt;"")*(MOVIMIENTOS!$A$5:$A$1005&lt;=$A929)*MOVIMIENTOS!$E$5:$E$1005)-SUMPRODUCT((MOVIMIENTOS!$B$5:$B$1005="VENTA")*(MOVIMIENTOS!$C$5:$C$1005="Chancho")*(MOVIMIENTOS!$D$5:$D$1005="sacos")*(MOVIMIENTOS!$A$5:$A$1005&lt;&gt;"")*(MOVIMIENTOS!$A$5:$A$1005&lt;=$A929)*MOVIMIENTOS!$E$5:$E$1005)+SUMPRODUCT((MOVIMIENTOS!$B$5:$B$1005="AJUSTE")*(MOVIMIENTOS!$C$5:$C$1005="Chancho")*(MOVIMIENTOS!$D$5:$D$1005="sacos")*(MOVIMIENTOS!$A$5:$A$1005&lt;&gt;"")*(MOVIMIENTOS!$A$5:$A$1005&lt;=$A929)*MOVIMIENTOS!$E$5:$E$1005))</f>
        <v/>
      </c>
      <c r="G929" s="62" t="str">
        <f t="shared" si="29"/>
        <v/>
      </c>
      <c r="H929" t="str">
        <f>IF($A929="","",SUMPRODUCT((((MOVIMIENTOS!$B$5:$B$1005="SALDO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929)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929)*MOVIMIENTOS!$J$5:$J$1005))</f>
        <v/>
      </c>
      <c r="J929" t="str">
        <f>IF(AND(MOVIMIENTOS!$A934&lt;&gt;"",COUNTIF(MOVIMIENTOS!$A$5:$A933,MOVIMIENTOS!$A934)=0),COUNT(J$4:J928)+1,"")</f>
        <v/>
      </c>
      <c r="K929">
        <f>MOVIMIENTOS!$A934</f>
        <v>0</v>
      </c>
    </row>
    <row r="930" spans="1:11" ht="15" customHeight="1" x14ac:dyDescent="0.2">
      <c r="A930" t="str">
        <f t="shared" si="28"/>
        <v/>
      </c>
      <c r="B930" t="str">
        <f>IF($A930="","",SUMPRODUCT((MOVIMIENTOS!$B$5:$B$1005="SALDO INICIAL")*(MOVIMIENTOS!$C$5:$C$1005="A")*(MOVIMIENTOS!$D$5:$D$1005="jabas")*(MOVIMIENTOS!$A$5:$A$1005&lt;&gt;"")*(MOVIMIENTOS!$A$5:$A$1005&lt;=$A930)*MOVIMIENTOS!$E$5:$E$1005)+SUMPRODUCT((MOVIMIENTOS!$B$5:$B$1005="PROCESO")*(MOVIMIENTOS!$C$5:$C$1005="A")*(MOVIMIENTOS!$D$5:$D$1005="jabas")*(MOVIMIENTOS!$A$5:$A$1005&lt;&gt;"")*(MOVIMIENTOS!$A$5:$A$1005&lt;=$A930)*MOVIMIENTOS!$E$5:$E$1005)-SUMPRODUCT((MOVIMIENTOS!$B$5:$B$1005="ENVÍO A SUPESA")*(MOVIMIENTOS!$C$5:$C$1005="A")*(MOVIMIENTOS!$D$5:$D$1005="jabas")*(MOVIMIENTOS!$A$5:$A$1005&lt;&gt;"")*(MOVIMIENTOS!$A$5:$A$1005&lt;=$A930)*MOVIMIENTOS!$E$5:$E$1005)+SUMPRODUCT((MOVIMIENTOS!$B$5:$B$1005="DEVOLUCIÓN")*(MOVIMIENTOS!$C$5:$C$1005="A")*(MOVIMIENTOS!$D$5:$D$1005="jabas")*(MOVIMIENTOS!$A$5:$A$1005&lt;&gt;"")*(MOVIMIENTOS!$A$5:$A$1005&lt;=$A930)*MOVIMIENTOS!$E$5:$E$1005)-SUMPRODUCT((MOVIMIENTOS!$B$5:$B$1005="TRASIEGO")*(MOVIMIENTOS!$C$5:$C$1005="A")*(MOVIMIENTOS!$D$5:$D$1005="jabas")*(MOVIMIENTOS!$A$5:$A$1005&lt;&gt;"")*(MOVIMIENTOS!$A$5:$A$1005&lt;=$A930)*MOVIMIENTOS!$E$5:$E$1005)-SUMPRODUCT((MOVIMIENTOS!$B$5:$B$1005="REGALO")*(MOVIMIENTOS!$C$5:$C$1005="A")*(MOVIMIENTOS!$D$5:$D$1005="jabas")*(MOVIMIENTOS!$A$5:$A$1005&lt;&gt;"")*(MOVIMIENTOS!$A$5:$A$1005&lt;=$A930)*MOVIMIENTOS!$E$5:$E$1005)-SUMPRODUCT((MOVIMIENTOS!$B$5:$B$1005="VENTA")*(MOVIMIENTOS!$C$5:$C$1005="A")*(MOVIMIENTOS!$D$5:$D$1005="jabas")*(MOVIMIENTOS!$A$5:$A$1005&lt;&gt;"")*(MOVIMIENTOS!$A$5:$A$1005&lt;=$A930)*MOVIMIENTOS!$E$5:$E$1005)+SUMPRODUCT((MOVIMIENTOS!$B$5:$B$1005="AJUSTE")*(MOVIMIENTOS!$C$5:$C$1005="A")*(MOVIMIENTOS!$D$5:$D$1005="jabas")*(MOVIMIENTOS!$A$5:$A$1005&lt;&gt;"")*(MOVIMIENTOS!$A$5:$A$1005&lt;=$A930)*MOVIMIENTOS!$E$5:$E$1005))</f>
        <v/>
      </c>
      <c r="C930" t="str">
        <f>IF($A930="","",SUMPRODUCT((MOVIMIENTOS!$B$5:$B$1005="SALDO INICIAL")*(MOVIMIENTOS!$C$5:$C$1005="P")*(MOVIMIENTOS!$D$5:$D$1005="jabas")*(MOVIMIENTOS!$A$5:$A$1005&lt;&gt;"")*(MOVIMIENTOS!$A$5:$A$1005&lt;=$A930)*MOVIMIENTOS!$E$5:$E$1005)+SUMPRODUCT((MOVIMIENTOS!$B$5:$B$1005="PROCESO")*(MOVIMIENTOS!$C$5:$C$1005="P")*(MOVIMIENTOS!$D$5:$D$1005="jabas")*(MOVIMIENTOS!$A$5:$A$1005&lt;&gt;"")*(MOVIMIENTOS!$A$5:$A$1005&lt;=$A930)*MOVIMIENTOS!$E$5:$E$1005)-SUMPRODUCT((MOVIMIENTOS!$B$5:$B$1005="ENVÍO A SUPESA")*(MOVIMIENTOS!$C$5:$C$1005="P")*(MOVIMIENTOS!$D$5:$D$1005="jabas")*(MOVIMIENTOS!$A$5:$A$1005&lt;&gt;"")*(MOVIMIENTOS!$A$5:$A$1005&lt;=$A930)*MOVIMIENTOS!$E$5:$E$1005)+SUMPRODUCT((MOVIMIENTOS!$B$5:$B$1005="DEVOLUCIÓN")*(MOVIMIENTOS!$C$5:$C$1005="P")*(MOVIMIENTOS!$D$5:$D$1005="jabas")*(MOVIMIENTOS!$A$5:$A$1005&lt;&gt;"")*(MOVIMIENTOS!$A$5:$A$1005&lt;=$A930)*MOVIMIENTOS!$E$5:$E$1005)-SUMPRODUCT((MOVIMIENTOS!$B$5:$B$1005="TRASIEGO")*(MOVIMIENTOS!$C$5:$C$1005="P")*(MOVIMIENTOS!$D$5:$D$1005="jabas")*(MOVIMIENTOS!$A$5:$A$1005&lt;&gt;"")*(MOVIMIENTOS!$A$5:$A$1005&lt;=$A930)*MOVIMIENTOS!$E$5:$E$1005)-SUMPRODUCT((MOVIMIENTOS!$B$5:$B$1005="REGALO")*(MOVIMIENTOS!$C$5:$C$1005="P")*(MOVIMIENTOS!$D$5:$D$1005="jabas")*(MOVIMIENTOS!$A$5:$A$1005&lt;&gt;"")*(MOVIMIENTOS!$A$5:$A$1005&lt;=$A930)*MOVIMIENTOS!$E$5:$E$1005)-SUMPRODUCT((MOVIMIENTOS!$B$5:$B$1005="VENTA")*(MOVIMIENTOS!$C$5:$C$1005="P")*(MOVIMIENTOS!$D$5:$D$1005="jabas")*(MOVIMIENTOS!$A$5:$A$1005&lt;&gt;"")*(MOVIMIENTOS!$A$5:$A$1005&lt;=$A930)*MOVIMIENTOS!$E$5:$E$1005)+SUMPRODUCT((MOVIMIENTOS!$B$5:$B$1005="AJUSTE")*(MOVIMIENTOS!$C$5:$C$1005="P")*(MOVIMIENTOS!$D$5:$D$1005="jabas")*(MOVIMIENTOS!$A$5:$A$1005&lt;&gt;"")*(MOVIMIENTOS!$A$5:$A$1005&lt;=$A930)*MOVIMIENTOS!$E$5:$E$1005))</f>
        <v/>
      </c>
      <c r="D930" t="str">
        <f>IF($A930="","",SUMPRODUCT((MOVIMIENTOS!$B$5:$B$1005="SALDO INICIAL")*(MOVIMIENTOS!$C$5:$C$1005="C")*(MOVIMIENTOS!$D$5:$D$1005="jabas")*(MOVIMIENTOS!$A$5:$A$1005&lt;&gt;"")*(MOVIMIENTOS!$A$5:$A$1005&lt;=$A930)*MOVIMIENTOS!$E$5:$E$1005)+SUMPRODUCT((MOVIMIENTOS!$B$5:$B$1005="PROCESO")*(MOVIMIENTOS!$C$5:$C$1005="C")*(MOVIMIENTOS!$D$5:$D$1005="jabas")*(MOVIMIENTOS!$A$5:$A$1005&lt;&gt;"")*(MOVIMIENTOS!$A$5:$A$1005&lt;=$A930)*MOVIMIENTOS!$E$5:$E$1005)-SUMPRODUCT((MOVIMIENTOS!$B$5:$B$1005="ENVÍO A SUPESA")*(MOVIMIENTOS!$C$5:$C$1005="C")*(MOVIMIENTOS!$D$5:$D$1005="jabas")*(MOVIMIENTOS!$A$5:$A$1005&lt;&gt;"")*(MOVIMIENTOS!$A$5:$A$1005&lt;=$A930)*MOVIMIENTOS!$E$5:$E$1005)+SUMPRODUCT((MOVIMIENTOS!$B$5:$B$1005="DEVOLUCIÓN")*(MOVIMIENTOS!$C$5:$C$1005="C")*(MOVIMIENTOS!$D$5:$D$1005="jabas")*(MOVIMIENTOS!$A$5:$A$1005&lt;&gt;"")*(MOVIMIENTOS!$A$5:$A$1005&lt;=$A930)*MOVIMIENTOS!$E$5:$E$1005)-SUMPRODUCT((MOVIMIENTOS!$B$5:$B$1005="TRASIEGO")*(MOVIMIENTOS!$C$5:$C$1005="C")*(MOVIMIENTOS!$D$5:$D$1005="jabas")*(MOVIMIENTOS!$A$5:$A$1005&lt;&gt;"")*(MOVIMIENTOS!$A$5:$A$1005&lt;=$A930)*MOVIMIENTOS!$E$5:$E$1005)-SUMPRODUCT((MOVIMIENTOS!$B$5:$B$1005="REGALO")*(MOVIMIENTOS!$C$5:$C$1005="C")*(MOVIMIENTOS!$D$5:$D$1005="jabas")*(MOVIMIENTOS!$A$5:$A$1005&lt;&gt;"")*(MOVIMIENTOS!$A$5:$A$1005&lt;=$A930)*MOVIMIENTOS!$E$5:$E$1005)-SUMPRODUCT((MOVIMIENTOS!$B$5:$B$1005="VENTA")*(MOVIMIENTOS!$C$5:$C$1005="C")*(MOVIMIENTOS!$D$5:$D$1005="jabas")*(MOVIMIENTOS!$A$5:$A$1005&lt;&gt;"")*(MOVIMIENTOS!$A$5:$A$1005&lt;=$A930)*MOVIMIENTOS!$E$5:$E$1005)+SUMPRODUCT((MOVIMIENTOS!$B$5:$B$1005="AJUSTE")*(MOVIMIENTOS!$C$5:$C$1005="C")*(MOVIMIENTOS!$D$5:$D$1005="jabas")*(MOVIMIENTOS!$A$5:$A$1005&lt;&gt;"")*(MOVIMIENTOS!$A$5:$A$1005&lt;=$A930)*MOVIMIENTOS!$E$5:$E$1005))</f>
        <v/>
      </c>
      <c r="E930" t="str">
        <f>IF($A930="","",SUMPRODUCT((MOVIMIENTOS!$B$5:$B$1005="SALDO INICIAL")*(MOVIMIENTOS!$C$5:$C$1005="M")*(MOVIMIENTOS!$D$5:$D$1005="jabas")*(MOVIMIENTOS!$A$5:$A$1005&lt;&gt;"")*(MOVIMIENTOS!$A$5:$A$1005&lt;=$A930)*MOVIMIENTOS!$E$5:$E$1005)+SUMPRODUCT((MOVIMIENTOS!$B$5:$B$1005="PROCESO")*(MOVIMIENTOS!$C$5:$C$1005="M")*(MOVIMIENTOS!$D$5:$D$1005="jabas")*(MOVIMIENTOS!$A$5:$A$1005&lt;&gt;"")*(MOVIMIENTOS!$A$5:$A$1005&lt;=$A930)*MOVIMIENTOS!$E$5:$E$1005)-SUMPRODUCT((MOVIMIENTOS!$B$5:$B$1005="ENVÍO A SUPESA")*(MOVIMIENTOS!$C$5:$C$1005="M")*(MOVIMIENTOS!$D$5:$D$1005="jabas")*(MOVIMIENTOS!$A$5:$A$1005&lt;&gt;"")*(MOVIMIENTOS!$A$5:$A$1005&lt;=$A930)*MOVIMIENTOS!$E$5:$E$1005)+SUMPRODUCT((MOVIMIENTOS!$B$5:$B$1005="DEVOLUCIÓN")*(MOVIMIENTOS!$C$5:$C$1005="M")*(MOVIMIENTOS!$D$5:$D$1005="jabas")*(MOVIMIENTOS!$A$5:$A$1005&lt;&gt;"")*(MOVIMIENTOS!$A$5:$A$1005&lt;=$A930)*MOVIMIENTOS!$E$5:$E$1005)-SUMPRODUCT((MOVIMIENTOS!$B$5:$B$1005="TRASIEGO")*(MOVIMIENTOS!$C$5:$C$1005="M")*(MOVIMIENTOS!$D$5:$D$1005="jabas")*(MOVIMIENTOS!$A$5:$A$1005&lt;&gt;"")*(MOVIMIENTOS!$A$5:$A$1005&lt;=$A930)*MOVIMIENTOS!$E$5:$E$1005)-SUMPRODUCT((MOVIMIENTOS!$B$5:$B$1005="REGALO")*(MOVIMIENTOS!$C$5:$C$1005="M")*(MOVIMIENTOS!$D$5:$D$1005="jabas")*(MOVIMIENTOS!$A$5:$A$1005&lt;&gt;"")*(MOVIMIENTOS!$A$5:$A$1005&lt;=$A930)*MOVIMIENTOS!$E$5:$E$1005)-SUMPRODUCT((MOVIMIENTOS!$B$5:$B$1005="VENTA")*(MOVIMIENTOS!$C$5:$C$1005="M")*(MOVIMIENTOS!$D$5:$D$1005="jabas")*(MOVIMIENTOS!$A$5:$A$1005&lt;&gt;"")*(MOVIMIENTOS!$A$5:$A$1005&lt;=$A930)*MOVIMIENTOS!$E$5:$E$1005)+SUMPRODUCT((MOVIMIENTOS!$B$5:$B$1005="AJUSTE")*(MOVIMIENTOS!$C$5:$C$1005="M")*(MOVIMIENTOS!$D$5:$D$1005="jabas")*(MOVIMIENTOS!$A$5:$A$1005&lt;&gt;"")*(MOVIMIENTOS!$A$5:$A$1005&lt;=$A930)*MOVIMIENTOS!$E$5:$E$1005))</f>
        <v/>
      </c>
      <c r="F930" s="62" t="str">
        <f>IF($A930="","",SUMPRODUCT((MOVIMIENTOS!$B$5:$B$1005="SALDO INICIAL")*(MOVIMIENTOS!$C$5:$C$1005="Chancho")*(MOVIMIENTOS!$D$5:$D$1005="sacos")*(MOVIMIENTOS!$A$5:$A$1005&lt;&gt;"")*(MOVIMIENTOS!$A$5:$A$1005&lt;=$A930)*MOVIMIENTOS!$E$5:$E$1005)+SUMPRODUCT((MOVIMIENTOS!$B$5:$B$1005="PROCESO")*(MOVIMIENTOS!$C$5:$C$1005="Chancho")*(MOVIMIENTOS!$D$5:$D$1005="sacos")*(MOVIMIENTOS!$A$5:$A$1005&lt;&gt;"")*(MOVIMIENTOS!$A$5:$A$1005&lt;=$A930)*MOVIMIENTOS!$E$5:$E$1005)-SUMPRODUCT((MOVIMIENTOS!$B$5:$B$1005="VENTA CHANCHO")*(MOVIMIENTOS!$C$5:$C$1005="Chancho")*(MOVIMIENTOS!$D$5:$D$1005="sacos")*(MOVIMIENTOS!$A$5:$A$1005&lt;&gt;"")*(MOVIMIENTOS!$A$5:$A$1005&lt;=$A930)*MOVIMIENTOS!$E$5:$E$1005)-SUMPRODUCT((MOVIMIENTOS!$B$5:$B$1005="REGALO")*(MOVIMIENTOS!$C$5:$C$1005="Chancho")*(MOVIMIENTOS!$D$5:$D$1005="sacos")*(MOVIMIENTOS!$A$5:$A$1005&lt;&gt;"")*(MOVIMIENTOS!$A$5:$A$1005&lt;=$A930)*MOVIMIENTOS!$E$5:$E$1005)-SUMPRODUCT((MOVIMIENTOS!$B$5:$B$1005="VENTA")*(MOVIMIENTOS!$C$5:$C$1005="Chancho")*(MOVIMIENTOS!$D$5:$D$1005="sacos")*(MOVIMIENTOS!$A$5:$A$1005&lt;&gt;"")*(MOVIMIENTOS!$A$5:$A$1005&lt;=$A930)*MOVIMIENTOS!$E$5:$E$1005)+SUMPRODUCT((MOVIMIENTOS!$B$5:$B$1005="AJUSTE")*(MOVIMIENTOS!$C$5:$C$1005="Chancho")*(MOVIMIENTOS!$D$5:$D$1005="sacos")*(MOVIMIENTOS!$A$5:$A$1005&lt;&gt;"")*(MOVIMIENTOS!$A$5:$A$1005&lt;=$A930)*MOVIMIENTOS!$E$5:$E$1005))</f>
        <v/>
      </c>
      <c r="G930" s="62" t="str">
        <f t="shared" si="29"/>
        <v/>
      </c>
      <c r="H930" t="str">
        <f>IF($A930="","",SUMPRODUCT((((MOVIMIENTOS!$B$5:$B$1005="SALDO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930)*MOVIMIENTOS!$J$5:$J$1005))</f>
        <v/>
      </c>
      <c r="J930" t="str">
        <f>IF(AND(MOVIMIENTOS!$A935&lt;&gt;"",COUNTIF(MOVIMIENTOS!$A$5:$A934,MOVIMIENTOS!$A935)=0),COUNT(J$4:J929)+1,"")</f>
        <v/>
      </c>
      <c r="K930">
        <f>MOVIMIENTOS!$A935</f>
        <v>0</v>
      </c>
    </row>
    <row r="931" spans="1:11" ht="15" customHeight="1" x14ac:dyDescent="0.2">
      <c r="A931" t="str">
        <f t="shared" si="28"/>
        <v/>
      </c>
      <c r="B931" t="str">
        <f>IF($A931="","",SUMPRODUCT((MOVIMIENTOS!$B$5:$B$1005="SALDO INICIAL")*(MOVIMIENTOS!$C$5:$C$1005="A")*(MOVIMIENTOS!$D$5:$D$1005="jabas")*(MOVIMIENTOS!$A$5:$A$1005&lt;&gt;"")*(MOVIMIENTOS!$A$5:$A$1005&lt;=$A931)*MOVIMIENTOS!$E$5:$E$1005)+SUMPRODUCT((MOVIMIENTOS!$B$5:$B$1005="PROCESO")*(MOVIMIENTOS!$C$5:$C$1005="A")*(MOVIMIENTOS!$D$5:$D$1005="jabas")*(MOVIMIENTOS!$A$5:$A$1005&lt;&gt;"")*(MOVIMIENTOS!$A$5:$A$1005&lt;=$A931)*MOVIMIENTOS!$E$5:$E$1005)-SUMPRODUCT((MOVIMIENTOS!$B$5:$B$1005="ENVÍO A SUPESA")*(MOVIMIENTOS!$C$5:$C$1005="A")*(MOVIMIENTOS!$D$5:$D$1005="jabas")*(MOVIMIENTOS!$A$5:$A$1005&lt;&gt;"")*(MOVIMIENTOS!$A$5:$A$1005&lt;=$A931)*MOVIMIENTOS!$E$5:$E$1005)+SUMPRODUCT((MOVIMIENTOS!$B$5:$B$1005="DEVOLUCIÓN")*(MOVIMIENTOS!$C$5:$C$1005="A")*(MOVIMIENTOS!$D$5:$D$1005="jabas")*(MOVIMIENTOS!$A$5:$A$1005&lt;&gt;"")*(MOVIMIENTOS!$A$5:$A$1005&lt;=$A931)*MOVIMIENTOS!$E$5:$E$1005)-SUMPRODUCT((MOVIMIENTOS!$B$5:$B$1005="TRASIEGO")*(MOVIMIENTOS!$C$5:$C$1005="A")*(MOVIMIENTOS!$D$5:$D$1005="jabas")*(MOVIMIENTOS!$A$5:$A$1005&lt;&gt;"")*(MOVIMIENTOS!$A$5:$A$1005&lt;=$A931)*MOVIMIENTOS!$E$5:$E$1005)-SUMPRODUCT((MOVIMIENTOS!$B$5:$B$1005="REGALO")*(MOVIMIENTOS!$C$5:$C$1005="A")*(MOVIMIENTOS!$D$5:$D$1005="jabas")*(MOVIMIENTOS!$A$5:$A$1005&lt;&gt;"")*(MOVIMIENTOS!$A$5:$A$1005&lt;=$A931)*MOVIMIENTOS!$E$5:$E$1005)-SUMPRODUCT((MOVIMIENTOS!$B$5:$B$1005="VENTA")*(MOVIMIENTOS!$C$5:$C$1005="A")*(MOVIMIENTOS!$D$5:$D$1005="jabas")*(MOVIMIENTOS!$A$5:$A$1005&lt;&gt;"")*(MOVIMIENTOS!$A$5:$A$1005&lt;=$A931)*MOVIMIENTOS!$E$5:$E$1005)+SUMPRODUCT((MOVIMIENTOS!$B$5:$B$1005="AJUSTE")*(MOVIMIENTOS!$C$5:$C$1005="A")*(MOVIMIENTOS!$D$5:$D$1005="jabas")*(MOVIMIENTOS!$A$5:$A$1005&lt;&gt;"")*(MOVIMIENTOS!$A$5:$A$1005&lt;=$A931)*MOVIMIENTOS!$E$5:$E$1005))</f>
        <v/>
      </c>
      <c r="C931" t="str">
        <f>IF($A931="","",SUMPRODUCT((MOVIMIENTOS!$B$5:$B$1005="SALDO INICIAL")*(MOVIMIENTOS!$C$5:$C$1005="P")*(MOVIMIENTOS!$D$5:$D$1005="jabas")*(MOVIMIENTOS!$A$5:$A$1005&lt;&gt;"")*(MOVIMIENTOS!$A$5:$A$1005&lt;=$A931)*MOVIMIENTOS!$E$5:$E$1005)+SUMPRODUCT((MOVIMIENTOS!$B$5:$B$1005="PROCESO")*(MOVIMIENTOS!$C$5:$C$1005="P")*(MOVIMIENTOS!$D$5:$D$1005="jabas")*(MOVIMIENTOS!$A$5:$A$1005&lt;&gt;"")*(MOVIMIENTOS!$A$5:$A$1005&lt;=$A931)*MOVIMIENTOS!$E$5:$E$1005)-SUMPRODUCT((MOVIMIENTOS!$B$5:$B$1005="ENVÍO A SUPESA")*(MOVIMIENTOS!$C$5:$C$1005="P")*(MOVIMIENTOS!$D$5:$D$1005="jabas")*(MOVIMIENTOS!$A$5:$A$1005&lt;&gt;"")*(MOVIMIENTOS!$A$5:$A$1005&lt;=$A931)*MOVIMIENTOS!$E$5:$E$1005)+SUMPRODUCT((MOVIMIENTOS!$B$5:$B$1005="DEVOLUCIÓN")*(MOVIMIENTOS!$C$5:$C$1005="P")*(MOVIMIENTOS!$D$5:$D$1005="jabas")*(MOVIMIENTOS!$A$5:$A$1005&lt;&gt;"")*(MOVIMIENTOS!$A$5:$A$1005&lt;=$A931)*MOVIMIENTOS!$E$5:$E$1005)-SUMPRODUCT((MOVIMIENTOS!$B$5:$B$1005="TRASIEGO")*(MOVIMIENTOS!$C$5:$C$1005="P")*(MOVIMIENTOS!$D$5:$D$1005="jabas")*(MOVIMIENTOS!$A$5:$A$1005&lt;&gt;"")*(MOVIMIENTOS!$A$5:$A$1005&lt;=$A931)*MOVIMIENTOS!$E$5:$E$1005)-SUMPRODUCT((MOVIMIENTOS!$B$5:$B$1005="REGALO")*(MOVIMIENTOS!$C$5:$C$1005="P")*(MOVIMIENTOS!$D$5:$D$1005="jabas")*(MOVIMIENTOS!$A$5:$A$1005&lt;&gt;"")*(MOVIMIENTOS!$A$5:$A$1005&lt;=$A931)*MOVIMIENTOS!$E$5:$E$1005)-SUMPRODUCT((MOVIMIENTOS!$B$5:$B$1005="VENTA")*(MOVIMIENTOS!$C$5:$C$1005="P")*(MOVIMIENTOS!$D$5:$D$1005="jabas")*(MOVIMIENTOS!$A$5:$A$1005&lt;&gt;"")*(MOVIMIENTOS!$A$5:$A$1005&lt;=$A931)*MOVIMIENTOS!$E$5:$E$1005)+SUMPRODUCT((MOVIMIENTOS!$B$5:$B$1005="AJUSTE")*(MOVIMIENTOS!$C$5:$C$1005="P")*(MOVIMIENTOS!$D$5:$D$1005="jabas")*(MOVIMIENTOS!$A$5:$A$1005&lt;&gt;"")*(MOVIMIENTOS!$A$5:$A$1005&lt;=$A931)*MOVIMIENTOS!$E$5:$E$1005))</f>
        <v/>
      </c>
      <c r="D931" t="str">
        <f>IF($A931="","",SUMPRODUCT((MOVIMIENTOS!$B$5:$B$1005="SALDO INICIAL")*(MOVIMIENTOS!$C$5:$C$1005="C")*(MOVIMIENTOS!$D$5:$D$1005="jabas")*(MOVIMIENTOS!$A$5:$A$1005&lt;&gt;"")*(MOVIMIENTOS!$A$5:$A$1005&lt;=$A931)*MOVIMIENTOS!$E$5:$E$1005)+SUMPRODUCT((MOVIMIENTOS!$B$5:$B$1005="PROCESO")*(MOVIMIENTOS!$C$5:$C$1005="C")*(MOVIMIENTOS!$D$5:$D$1005="jabas")*(MOVIMIENTOS!$A$5:$A$1005&lt;&gt;"")*(MOVIMIENTOS!$A$5:$A$1005&lt;=$A931)*MOVIMIENTOS!$E$5:$E$1005)-SUMPRODUCT((MOVIMIENTOS!$B$5:$B$1005="ENVÍO A SUPESA")*(MOVIMIENTOS!$C$5:$C$1005="C")*(MOVIMIENTOS!$D$5:$D$1005="jabas")*(MOVIMIENTOS!$A$5:$A$1005&lt;&gt;"")*(MOVIMIENTOS!$A$5:$A$1005&lt;=$A931)*MOVIMIENTOS!$E$5:$E$1005)+SUMPRODUCT((MOVIMIENTOS!$B$5:$B$1005="DEVOLUCIÓN")*(MOVIMIENTOS!$C$5:$C$1005="C")*(MOVIMIENTOS!$D$5:$D$1005="jabas")*(MOVIMIENTOS!$A$5:$A$1005&lt;&gt;"")*(MOVIMIENTOS!$A$5:$A$1005&lt;=$A931)*MOVIMIENTOS!$E$5:$E$1005)-SUMPRODUCT((MOVIMIENTOS!$B$5:$B$1005="TRASIEGO")*(MOVIMIENTOS!$C$5:$C$1005="C")*(MOVIMIENTOS!$D$5:$D$1005="jabas")*(MOVIMIENTOS!$A$5:$A$1005&lt;&gt;"")*(MOVIMIENTOS!$A$5:$A$1005&lt;=$A931)*MOVIMIENTOS!$E$5:$E$1005)-SUMPRODUCT((MOVIMIENTOS!$B$5:$B$1005="REGALO")*(MOVIMIENTOS!$C$5:$C$1005="C")*(MOVIMIENTOS!$D$5:$D$1005="jabas")*(MOVIMIENTOS!$A$5:$A$1005&lt;&gt;"")*(MOVIMIENTOS!$A$5:$A$1005&lt;=$A931)*MOVIMIENTOS!$E$5:$E$1005)-SUMPRODUCT((MOVIMIENTOS!$B$5:$B$1005="VENTA")*(MOVIMIENTOS!$C$5:$C$1005="C")*(MOVIMIENTOS!$D$5:$D$1005="jabas")*(MOVIMIENTOS!$A$5:$A$1005&lt;&gt;"")*(MOVIMIENTOS!$A$5:$A$1005&lt;=$A931)*MOVIMIENTOS!$E$5:$E$1005)+SUMPRODUCT((MOVIMIENTOS!$B$5:$B$1005="AJUSTE")*(MOVIMIENTOS!$C$5:$C$1005="C")*(MOVIMIENTOS!$D$5:$D$1005="jabas")*(MOVIMIENTOS!$A$5:$A$1005&lt;&gt;"")*(MOVIMIENTOS!$A$5:$A$1005&lt;=$A931)*MOVIMIENTOS!$E$5:$E$1005))</f>
        <v/>
      </c>
      <c r="E931" t="str">
        <f>IF($A931="","",SUMPRODUCT((MOVIMIENTOS!$B$5:$B$1005="SALDO INICIAL")*(MOVIMIENTOS!$C$5:$C$1005="M")*(MOVIMIENTOS!$D$5:$D$1005="jabas")*(MOVIMIENTOS!$A$5:$A$1005&lt;&gt;"")*(MOVIMIENTOS!$A$5:$A$1005&lt;=$A931)*MOVIMIENTOS!$E$5:$E$1005)+SUMPRODUCT((MOVIMIENTOS!$B$5:$B$1005="PROCESO")*(MOVIMIENTOS!$C$5:$C$1005="M")*(MOVIMIENTOS!$D$5:$D$1005="jabas")*(MOVIMIENTOS!$A$5:$A$1005&lt;&gt;"")*(MOVIMIENTOS!$A$5:$A$1005&lt;=$A931)*MOVIMIENTOS!$E$5:$E$1005)-SUMPRODUCT((MOVIMIENTOS!$B$5:$B$1005="ENVÍO A SUPESA")*(MOVIMIENTOS!$C$5:$C$1005="M")*(MOVIMIENTOS!$D$5:$D$1005="jabas")*(MOVIMIENTOS!$A$5:$A$1005&lt;&gt;"")*(MOVIMIENTOS!$A$5:$A$1005&lt;=$A931)*MOVIMIENTOS!$E$5:$E$1005)+SUMPRODUCT((MOVIMIENTOS!$B$5:$B$1005="DEVOLUCIÓN")*(MOVIMIENTOS!$C$5:$C$1005="M")*(MOVIMIENTOS!$D$5:$D$1005="jabas")*(MOVIMIENTOS!$A$5:$A$1005&lt;&gt;"")*(MOVIMIENTOS!$A$5:$A$1005&lt;=$A931)*MOVIMIENTOS!$E$5:$E$1005)-SUMPRODUCT((MOVIMIENTOS!$B$5:$B$1005="TRASIEGO")*(MOVIMIENTOS!$C$5:$C$1005="M")*(MOVIMIENTOS!$D$5:$D$1005="jabas")*(MOVIMIENTOS!$A$5:$A$1005&lt;&gt;"")*(MOVIMIENTOS!$A$5:$A$1005&lt;=$A931)*MOVIMIENTOS!$E$5:$E$1005)-SUMPRODUCT((MOVIMIENTOS!$B$5:$B$1005="REGALO")*(MOVIMIENTOS!$C$5:$C$1005="M")*(MOVIMIENTOS!$D$5:$D$1005="jabas")*(MOVIMIENTOS!$A$5:$A$1005&lt;&gt;"")*(MOVIMIENTOS!$A$5:$A$1005&lt;=$A931)*MOVIMIENTOS!$E$5:$E$1005)-SUMPRODUCT((MOVIMIENTOS!$B$5:$B$1005="VENTA")*(MOVIMIENTOS!$C$5:$C$1005="M")*(MOVIMIENTOS!$D$5:$D$1005="jabas")*(MOVIMIENTOS!$A$5:$A$1005&lt;&gt;"")*(MOVIMIENTOS!$A$5:$A$1005&lt;=$A931)*MOVIMIENTOS!$E$5:$E$1005)+SUMPRODUCT((MOVIMIENTOS!$B$5:$B$1005="AJUSTE")*(MOVIMIENTOS!$C$5:$C$1005="M")*(MOVIMIENTOS!$D$5:$D$1005="jabas")*(MOVIMIENTOS!$A$5:$A$1005&lt;&gt;"")*(MOVIMIENTOS!$A$5:$A$1005&lt;=$A931)*MOVIMIENTOS!$E$5:$E$1005))</f>
        <v/>
      </c>
      <c r="F931" s="62" t="str">
        <f>IF($A931="","",SUMPRODUCT((MOVIMIENTOS!$B$5:$B$1005="SALDO INICIAL")*(MOVIMIENTOS!$C$5:$C$1005="Chancho")*(MOVIMIENTOS!$D$5:$D$1005="sacos")*(MOVIMIENTOS!$A$5:$A$1005&lt;&gt;"")*(MOVIMIENTOS!$A$5:$A$1005&lt;=$A931)*MOVIMIENTOS!$E$5:$E$1005)+SUMPRODUCT((MOVIMIENTOS!$B$5:$B$1005="PROCESO")*(MOVIMIENTOS!$C$5:$C$1005="Chancho")*(MOVIMIENTOS!$D$5:$D$1005="sacos")*(MOVIMIENTOS!$A$5:$A$1005&lt;&gt;"")*(MOVIMIENTOS!$A$5:$A$1005&lt;=$A931)*MOVIMIENTOS!$E$5:$E$1005)-SUMPRODUCT((MOVIMIENTOS!$B$5:$B$1005="VENTA CHANCHO")*(MOVIMIENTOS!$C$5:$C$1005="Chancho")*(MOVIMIENTOS!$D$5:$D$1005="sacos")*(MOVIMIENTOS!$A$5:$A$1005&lt;&gt;"")*(MOVIMIENTOS!$A$5:$A$1005&lt;=$A931)*MOVIMIENTOS!$E$5:$E$1005)-SUMPRODUCT((MOVIMIENTOS!$B$5:$B$1005="REGALO")*(MOVIMIENTOS!$C$5:$C$1005="Chancho")*(MOVIMIENTOS!$D$5:$D$1005="sacos")*(MOVIMIENTOS!$A$5:$A$1005&lt;&gt;"")*(MOVIMIENTOS!$A$5:$A$1005&lt;=$A931)*MOVIMIENTOS!$E$5:$E$1005)-SUMPRODUCT((MOVIMIENTOS!$B$5:$B$1005="VENTA")*(MOVIMIENTOS!$C$5:$C$1005="Chancho")*(MOVIMIENTOS!$D$5:$D$1005="sacos")*(MOVIMIENTOS!$A$5:$A$1005&lt;&gt;"")*(MOVIMIENTOS!$A$5:$A$1005&lt;=$A931)*MOVIMIENTOS!$E$5:$E$1005)+SUMPRODUCT((MOVIMIENTOS!$B$5:$B$1005="AJUSTE")*(MOVIMIENTOS!$C$5:$C$1005="Chancho")*(MOVIMIENTOS!$D$5:$D$1005="sacos")*(MOVIMIENTOS!$A$5:$A$1005&lt;&gt;"")*(MOVIMIENTOS!$A$5:$A$1005&lt;=$A931)*MOVIMIENTOS!$E$5:$E$1005))</f>
        <v/>
      </c>
      <c r="G931" s="62" t="str">
        <f t="shared" si="29"/>
        <v/>
      </c>
      <c r="H931" t="str">
        <f>IF($A931="","",SUMPRODUCT((((MOVIMIENTOS!$B$5:$B$1005="SALDO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931)*MOVIMIENTOS!$J$5:$J$1005))</f>
        <v/>
      </c>
      <c r="J931" t="str">
        <f>IF(AND(MOVIMIENTOS!$A936&lt;&gt;"",COUNTIF(MOVIMIENTOS!$A$5:$A935,MOVIMIENTOS!$A936)=0),COUNT(J$4:J930)+1,"")</f>
        <v/>
      </c>
      <c r="K931">
        <f>MOVIMIENTOS!$A936</f>
        <v>0</v>
      </c>
    </row>
    <row r="932" spans="1:11" ht="15" customHeight="1" x14ac:dyDescent="0.2">
      <c r="A932" t="str">
        <f t="shared" si="28"/>
        <v/>
      </c>
      <c r="B932" t="str">
        <f>IF($A932="","",SUMPRODUCT((MOVIMIENTOS!$B$5:$B$1005="SALDO INICIAL")*(MOVIMIENTOS!$C$5:$C$1005="A")*(MOVIMIENTOS!$D$5:$D$1005="jabas")*(MOVIMIENTOS!$A$5:$A$1005&lt;&gt;"")*(MOVIMIENTOS!$A$5:$A$1005&lt;=$A932)*MOVIMIENTOS!$E$5:$E$1005)+SUMPRODUCT((MOVIMIENTOS!$B$5:$B$1005="PROCESO")*(MOVIMIENTOS!$C$5:$C$1005="A")*(MOVIMIENTOS!$D$5:$D$1005="jabas")*(MOVIMIENTOS!$A$5:$A$1005&lt;&gt;"")*(MOVIMIENTOS!$A$5:$A$1005&lt;=$A932)*MOVIMIENTOS!$E$5:$E$1005)-SUMPRODUCT((MOVIMIENTOS!$B$5:$B$1005="ENVÍO A SUPESA")*(MOVIMIENTOS!$C$5:$C$1005="A")*(MOVIMIENTOS!$D$5:$D$1005="jabas")*(MOVIMIENTOS!$A$5:$A$1005&lt;&gt;"")*(MOVIMIENTOS!$A$5:$A$1005&lt;=$A932)*MOVIMIENTOS!$E$5:$E$1005)+SUMPRODUCT((MOVIMIENTOS!$B$5:$B$1005="DEVOLUCIÓN")*(MOVIMIENTOS!$C$5:$C$1005="A")*(MOVIMIENTOS!$D$5:$D$1005="jabas")*(MOVIMIENTOS!$A$5:$A$1005&lt;&gt;"")*(MOVIMIENTOS!$A$5:$A$1005&lt;=$A932)*MOVIMIENTOS!$E$5:$E$1005)-SUMPRODUCT((MOVIMIENTOS!$B$5:$B$1005="TRASIEGO")*(MOVIMIENTOS!$C$5:$C$1005="A")*(MOVIMIENTOS!$D$5:$D$1005="jabas")*(MOVIMIENTOS!$A$5:$A$1005&lt;&gt;"")*(MOVIMIENTOS!$A$5:$A$1005&lt;=$A932)*MOVIMIENTOS!$E$5:$E$1005)-SUMPRODUCT((MOVIMIENTOS!$B$5:$B$1005="REGALO")*(MOVIMIENTOS!$C$5:$C$1005="A")*(MOVIMIENTOS!$D$5:$D$1005="jabas")*(MOVIMIENTOS!$A$5:$A$1005&lt;&gt;"")*(MOVIMIENTOS!$A$5:$A$1005&lt;=$A932)*MOVIMIENTOS!$E$5:$E$1005)-SUMPRODUCT((MOVIMIENTOS!$B$5:$B$1005="VENTA")*(MOVIMIENTOS!$C$5:$C$1005="A")*(MOVIMIENTOS!$D$5:$D$1005="jabas")*(MOVIMIENTOS!$A$5:$A$1005&lt;&gt;"")*(MOVIMIENTOS!$A$5:$A$1005&lt;=$A932)*MOVIMIENTOS!$E$5:$E$1005)+SUMPRODUCT((MOVIMIENTOS!$B$5:$B$1005="AJUSTE")*(MOVIMIENTOS!$C$5:$C$1005="A")*(MOVIMIENTOS!$D$5:$D$1005="jabas")*(MOVIMIENTOS!$A$5:$A$1005&lt;&gt;"")*(MOVIMIENTOS!$A$5:$A$1005&lt;=$A932)*MOVIMIENTOS!$E$5:$E$1005))</f>
        <v/>
      </c>
      <c r="C932" t="str">
        <f>IF($A932="","",SUMPRODUCT((MOVIMIENTOS!$B$5:$B$1005="SALDO INICIAL")*(MOVIMIENTOS!$C$5:$C$1005="P")*(MOVIMIENTOS!$D$5:$D$1005="jabas")*(MOVIMIENTOS!$A$5:$A$1005&lt;&gt;"")*(MOVIMIENTOS!$A$5:$A$1005&lt;=$A932)*MOVIMIENTOS!$E$5:$E$1005)+SUMPRODUCT((MOVIMIENTOS!$B$5:$B$1005="PROCESO")*(MOVIMIENTOS!$C$5:$C$1005="P")*(MOVIMIENTOS!$D$5:$D$1005="jabas")*(MOVIMIENTOS!$A$5:$A$1005&lt;&gt;"")*(MOVIMIENTOS!$A$5:$A$1005&lt;=$A932)*MOVIMIENTOS!$E$5:$E$1005)-SUMPRODUCT((MOVIMIENTOS!$B$5:$B$1005="ENVÍO A SUPESA")*(MOVIMIENTOS!$C$5:$C$1005="P")*(MOVIMIENTOS!$D$5:$D$1005="jabas")*(MOVIMIENTOS!$A$5:$A$1005&lt;&gt;"")*(MOVIMIENTOS!$A$5:$A$1005&lt;=$A932)*MOVIMIENTOS!$E$5:$E$1005)+SUMPRODUCT((MOVIMIENTOS!$B$5:$B$1005="DEVOLUCIÓN")*(MOVIMIENTOS!$C$5:$C$1005="P")*(MOVIMIENTOS!$D$5:$D$1005="jabas")*(MOVIMIENTOS!$A$5:$A$1005&lt;&gt;"")*(MOVIMIENTOS!$A$5:$A$1005&lt;=$A932)*MOVIMIENTOS!$E$5:$E$1005)-SUMPRODUCT((MOVIMIENTOS!$B$5:$B$1005="TRASIEGO")*(MOVIMIENTOS!$C$5:$C$1005="P")*(MOVIMIENTOS!$D$5:$D$1005="jabas")*(MOVIMIENTOS!$A$5:$A$1005&lt;&gt;"")*(MOVIMIENTOS!$A$5:$A$1005&lt;=$A932)*MOVIMIENTOS!$E$5:$E$1005)-SUMPRODUCT((MOVIMIENTOS!$B$5:$B$1005="REGALO")*(MOVIMIENTOS!$C$5:$C$1005="P")*(MOVIMIENTOS!$D$5:$D$1005="jabas")*(MOVIMIENTOS!$A$5:$A$1005&lt;&gt;"")*(MOVIMIENTOS!$A$5:$A$1005&lt;=$A932)*MOVIMIENTOS!$E$5:$E$1005)-SUMPRODUCT((MOVIMIENTOS!$B$5:$B$1005="VENTA")*(MOVIMIENTOS!$C$5:$C$1005="P")*(MOVIMIENTOS!$D$5:$D$1005="jabas")*(MOVIMIENTOS!$A$5:$A$1005&lt;&gt;"")*(MOVIMIENTOS!$A$5:$A$1005&lt;=$A932)*MOVIMIENTOS!$E$5:$E$1005)+SUMPRODUCT((MOVIMIENTOS!$B$5:$B$1005="AJUSTE")*(MOVIMIENTOS!$C$5:$C$1005="P")*(MOVIMIENTOS!$D$5:$D$1005="jabas")*(MOVIMIENTOS!$A$5:$A$1005&lt;&gt;"")*(MOVIMIENTOS!$A$5:$A$1005&lt;=$A932)*MOVIMIENTOS!$E$5:$E$1005))</f>
        <v/>
      </c>
      <c r="D932" t="str">
        <f>IF($A932="","",SUMPRODUCT((MOVIMIENTOS!$B$5:$B$1005="SALDO INICIAL")*(MOVIMIENTOS!$C$5:$C$1005="C")*(MOVIMIENTOS!$D$5:$D$1005="jabas")*(MOVIMIENTOS!$A$5:$A$1005&lt;&gt;"")*(MOVIMIENTOS!$A$5:$A$1005&lt;=$A932)*MOVIMIENTOS!$E$5:$E$1005)+SUMPRODUCT((MOVIMIENTOS!$B$5:$B$1005="PROCESO")*(MOVIMIENTOS!$C$5:$C$1005="C")*(MOVIMIENTOS!$D$5:$D$1005="jabas")*(MOVIMIENTOS!$A$5:$A$1005&lt;&gt;"")*(MOVIMIENTOS!$A$5:$A$1005&lt;=$A932)*MOVIMIENTOS!$E$5:$E$1005)-SUMPRODUCT((MOVIMIENTOS!$B$5:$B$1005="ENVÍO A SUPESA")*(MOVIMIENTOS!$C$5:$C$1005="C")*(MOVIMIENTOS!$D$5:$D$1005="jabas")*(MOVIMIENTOS!$A$5:$A$1005&lt;&gt;"")*(MOVIMIENTOS!$A$5:$A$1005&lt;=$A932)*MOVIMIENTOS!$E$5:$E$1005)+SUMPRODUCT((MOVIMIENTOS!$B$5:$B$1005="DEVOLUCIÓN")*(MOVIMIENTOS!$C$5:$C$1005="C")*(MOVIMIENTOS!$D$5:$D$1005="jabas")*(MOVIMIENTOS!$A$5:$A$1005&lt;&gt;"")*(MOVIMIENTOS!$A$5:$A$1005&lt;=$A932)*MOVIMIENTOS!$E$5:$E$1005)-SUMPRODUCT((MOVIMIENTOS!$B$5:$B$1005="TRASIEGO")*(MOVIMIENTOS!$C$5:$C$1005="C")*(MOVIMIENTOS!$D$5:$D$1005="jabas")*(MOVIMIENTOS!$A$5:$A$1005&lt;&gt;"")*(MOVIMIENTOS!$A$5:$A$1005&lt;=$A932)*MOVIMIENTOS!$E$5:$E$1005)-SUMPRODUCT((MOVIMIENTOS!$B$5:$B$1005="REGALO")*(MOVIMIENTOS!$C$5:$C$1005="C")*(MOVIMIENTOS!$D$5:$D$1005="jabas")*(MOVIMIENTOS!$A$5:$A$1005&lt;&gt;"")*(MOVIMIENTOS!$A$5:$A$1005&lt;=$A932)*MOVIMIENTOS!$E$5:$E$1005)-SUMPRODUCT((MOVIMIENTOS!$B$5:$B$1005="VENTA")*(MOVIMIENTOS!$C$5:$C$1005="C")*(MOVIMIENTOS!$D$5:$D$1005="jabas")*(MOVIMIENTOS!$A$5:$A$1005&lt;&gt;"")*(MOVIMIENTOS!$A$5:$A$1005&lt;=$A932)*MOVIMIENTOS!$E$5:$E$1005)+SUMPRODUCT((MOVIMIENTOS!$B$5:$B$1005="AJUSTE")*(MOVIMIENTOS!$C$5:$C$1005="C")*(MOVIMIENTOS!$D$5:$D$1005="jabas")*(MOVIMIENTOS!$A$5:$A$1005&lt;&gt;"")*(MOVIMIENTOS!$A$5:$A$1005&lt;=$A932)*MOVIMIENTOS!$E$5:$E$1005))</f>
        <v/>
      </c>
      <c r="E932" t="str">
        <f>IF($A932="","",SUMPRODUCT((MOVIMIENTOS!$B$5:$B$1005="SALDO INICIAL")*(MOVIMIENTOS!$C$5:$C$1005="M")*(MOVIMIENTOS!$D$5:$D$1005="jabas")*(MOVIMIENTOS!$A$5:$A$1005&lt;&gt;"")*(MOVIMIENTOS!$A$5:$A$1005&lt;=$A932)*MOVIMIENTOS!$E$5:$E$1005)+SUMPRODUCT((MOVIMIENTOS!$B$5:$B$1005="PROCESO")*(MOVIMIENTOS!$C$5:$C$1005="M")*(MOVIMIENTOS!$D$5:$D$1005="jabas")*(MOVIMIENTOS!$A$5:$A$1005&lt;&gt;"")*(MOVIMIENTOS!$A$5:$A$1005&lt;=$A932)*MOVIMIENTOS!$E$5:$E$1005)-SUMPRODUCT((MOVIMIENTOS!$B$5:$B$1005="ENVÍO A SUPESA")*(MOVIMIENTOS!$C$5:$C$1005="M")*(MOVIMIENTOS!$D$5:$D$1005="jabas")*(MOVIMIENTOS!$A$5:$A$1005&lt;&gt;"")*(MOVIMIENTOS!$A$5:$A$1005&lt;=$A932)*MOVIMIENTOS!$E$5:$E$1005)+SUMPRODUCT((MOVIMIENTOS!$B$5:$B$1005="DEVOLUCIÓN")*(MOVIMIENTOS!$C$5:$C$1005="M")*(MOVIMIENTOS!$D$5:$D$1005="jabas")*(MOVIMIENTOS!$A$5:$A$1005&lt;&gt;"")*(MOVIMIENTOS!$A$5:$A$1005&lt;=$A932)*MOVIMIENTOS!$E$5:$E$1005)-SUMPRODUCT((MOVIMIENTOS!$B$5:$B$1005="TRASIEGO")*(MOVIMIENTOS!$C$5:$C$1005="M")*(MOVIMIENTOS!$D$5:$D$1005="jabas")*(MOVIMIENTOS!$A$5:$A$1005&lt;&gt;"")*(MOVIMIENTOS!$A$5:$A$1005&lt;=$A932)*MOVIMIENTOS!$E$5:$E$1005)-SUMPRODUCT((MOVIMIENTOS!$B$5:$B$1005="REGALO")*(MOVIMIENTOS!$C$5:$C$1005="M")*(MOVIMIENTOS!$D$5:$D$1005="jabas")*(MOVIMIENTOS!$A$5:$A$1005&lt;&gt;"")*(MOVIMIENTOS!$A$5:$A$1005&lt;=$A932)*MOVIMIENTOS!$E$5:$E$1005)-SUMPRODUCT((MOVIMIENTOS!$B$5:$B$1005="VENTA")*(MOVIMIENTOS!$C$5:$C$1005="M")*(MOVIMIENTOS!$D$5:$D$1005="jabas")*(MOVIMIENTOS!$A$5:$A$1005&lt;&gt;"")*(MOVIMIENTOS!$A$5:$A$1005&lt;=$A932)*MOVIMIENTOS!$E$5:$E$1005)+SUMPRODUCT((MOVIMIENTOS!$B$5:$B$1005="AJUSTE")*(MOVIMIENTOS!$C$5:$C$1005="M")*(MOVIMIENTOS!$D$5:$D$1005="jabas")*(MOVIMIENTOS!$A$5:$A$1005&lt;&gt;"")*(MOVIMIENTOS!$A$5:$A$1005&lt;=$A932)*MOVIMIENTOS!$E$5:$E$1005))</f>
        <v/>
      </c>
      <c r="F932" s="62" t="str">
        <f>IF($A932="","",SUMPRODUCT((MOVIMIENTOS!$B$5:$B$1005="SALDO INICIAL")*(MOVIMIENTOS!$C$5:$C$1005="Chancho")*(MOVIMIENTOS!$D$5:$D$1005="sacos")*(MOVIMIENTOS!$A$5:$A$1005&lt;&gt;"")*(MOVIMIENTOS!$A$5:$A$1005&lt;=$A932)*MOVIMIENTOS!$E$5:$E$1005)+SUMPRODUCT((MOVIMIENTOS!$B$5:$B$1005="PROCESO")*(MOVIMIENTOS!$C$5:$C$1005="Chancho")*(MOVIMIENTOS!$D$5:$D$1005="sacos")*(MOVIMIENTOS!$A$5:$A$1005&lt;&gt;"")*(MOVIMIENTOS!$A$5:$A$1005&lt;=$A932)*MOVIMIENTOS!$E$5:$E$1005)-SUMPRODUCT((MOVIMIENTOS!$B$5:$B$1005="VENTA CHANCHO")*(MOVIMIENTOS!$C$5:$C$1005="Chancho")*(MOVIMIENTOS!$D$5:$D$1005="sacos")*(MOVIMIENTOS!$A$5:$A$1005&lt;&gt;"")*(MOVIMIENTOS!$A$5:$A$1005&lt;=$A932)*MOVIMIENTOS!$E$5:$E$1005)-SUMPRODUCT((MOVIMIENTOS!$B$5:$B$1005="REGALO")*(MOVIMIENTOS!$C$5:$C$1005="Chancho")*(MOVIMIENTOS!$D$5:$D$1005="sacos")*(MOVIMIENTOS!$A$5:$A$1005&lt;&gt;"")*(MOVIMIENTOS!$A$5:$A$1005&lt;=$A932)*MOVIMIENTOS!$E$5:$E$1005)-SUMPRODUCT((MOVIMIENTOS!$B$5:$B$1005="VENTA")*(MOVIMIENTOS!$C$5:$C$1005="Chancho")*(MOVIMIENTOS!$D$5:$D$1005="sacos")*(MOVIMIENTOS!$A$5:$A$1005&lt;&gt;"")*(MOVIMIENTOS!$A$5:$A$1005&lt;=$A932)*MOVIMIENTOS!$E$5:$E$1005)+SUMPRODUCT((MOVIMIENTOS!$B$5:$B$1005="AJUSTE")*(MOVIMIENTOS!$C$5:$C$1005="Chancho")*(MOVIMIENTOS!$D$5:$D$1005="sacos")*(MOVIMIENTOS!$A$5:$A$1005&lt;&gt;"")*(MOVIMIENTOS!$A$5:$A$1005&lt;=$A932)*MOVIMIENTOS!$E$5:$E$1005))</f>
        <v/>
      </c>
      <c r="G932" s="62" t="str">
        <f t="shared" si="29"/>
        <v/>
      </c>
      <c r="H932" t="str">
        <f>IF($A932="","",SUMPRODUCT((((MOVIMIENTOS!$B$5:$B$1005="SALDO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932)*MOVIMIENTOS!$J$5:$J$1005))</f>
        <v/>
      </c>
      <c r="J932" t="str">
        <f>IF(AND(MOVIMIENTOS!$A937&lt;&gt;"",COUNTIF(MOVIMIENTOS!$A$5:$A936,MOVIMIENTOS!$A937)=0),COUNT(J$4:J931)+1,"")</f>
        <v/>
      </c>
      <c r="K932">
        <f>MOVIMIENTOS!$A937</f>
        <v>0</v>
      </c>
    </row>
    <row r="933" spans="1:11" ht="15" customHeight="1" x14ac:dyDescent="0.2">
      <c r="A933" t="str">
        <f t="shared" si="28"/>
        <v/>
      </c>
      <c r="B933" t="str">
        <f>IF($A933="","",SUMPRODUCT((MOVIMIENTOS!$B$5:$B$1005="SALDO INICIAL")*(MOVIMIENTOS!$C$5:$C$1005="A")*(MOVIMIENTOS!$D$5:$D$1005="jabas")*(MOVIMIENTOS!$A$5:$A$1005&lt;&gt;"")*(MOVIMIENTOS!$A$5:$A$1005&lt;=$A933)*MOVIMIENTOS!$E$5:$E$1005)+SUMPRODUCT((MOVIMIENTOS!$B$5:$B$1005="PROCESO")*(MOVIMIENTOS!$C$5:$C$1005="A")*(MOVIMIENTOS!$D$5:$D$1005="jabas")*(MOVIMIENTOS!$A$5:$A$1005&lt;&gt;"")*(MOVIMIENTOS!$A$5:$A$1005&lt;=$A933)*MOVIMIENTOS!$E$5:$E$1005)-SUMPRODUCT((MOVIMIENTOS!$B$5:$B$1005="ENVÍO A SUPESA")*(MOVIMIENTOS!$C$5:$C$1005="A")*(MOVIMIENTOS!$D$5:$D$1005="jabas")*(MOVIMIENTOS!$A$5:$A$1005&lt;&gt;"")*(MOVIMIENTOS!$A$5:$A$1005&lt;=$A933)*MOVIMIENTOS!$E$5:$E$1005)+SUMPRODUCT((MOVIMIENTOS!$B$5:$B$1005="DEVOLUCIÓN")*(MOVIMIENTOS!$C$5:$C$1005="A")*(MOVIMIENTOS!$D$5:$D$1005="jabas")*(MOVIMIENTOS!$A$5:$A$1005&lt;&gt;"")*(MOVIMIENTOS!$A$5:$A$1005&lt;=$A933)*MOVIMIENTOS!$E$5:$E$1005)-SUMPRODUCT((MOVIMIENTOS!$B$5:$B$1005="TRASIEGO")*(MOVIMIENTOS!$C$5:$C$1005="A")*(MOVIMIENTOS!$D$5:$D$1005="jabas")*(MOVIMIENTOS!$A$5:$A$1005&lt;&gt;"")*(MOVIMIENTOS!$A$5:$A$1005&lt;=$A933)*MOVIMIENTOS!$E$5:$E$1005)-SUMPRODUCT((MOVIMIENTOS!$B$5:$B$1005="REGALO")*(MOVIMIENTOS!$C$5:$C$1005="A")*(MOVIMIENTOS!$D$5:$D$1005="jabas")*(MOVIMIENTOS!$A$5:$A$1005&lt;&gt;"")*(MOVIMIENTOS!$A$5:$A$1005&lt;=$A933)*MOVIMIENTOS!$E$5:$E$1005)-SUMPRODUCT((MOVIMIENTOS!$B$5:$B$1005="VENTA")*(MOVIMIENTOS!$C$5:$C$1005="A")*(MOVIMIENTOS!$D$5:$D$1005="jabas")*(MOVIMIENTOS!$A$5:$A$1005&lt;&gt;"")*(MOVIMIENTOS!$A$5:$A$1005&lt;=$A933)*MOVIMIENTOS!$E$5:$E$1005)+SUMPRODUCT((MOVIMIENTOS!$B$5:$B$1005="AJUSTE")*(MOVIMIENTOS!$C$5:$C$1005="A")*(MOVIMIENTOS!$D$5:$D$1005="jabas")*(MOVIMIENTOS!$A$5:$A$1005&lt;&gt;"")*(MOVIMIENTOS!$A$5:$A$1005&lt;=$A933)*MOVIMIENTOS!$E$5:$E$1005))</f>
        <v/>
      </c>
      <c r="C933" t="str">
        <f>IF($A933="","",SUMPRODUCT((MOVIMIENTOS!$B$5:$B$1005="SALDO INICIAL")*(MOVIMIENTOS!$C$5:$C$1005="P")*(MOVIMIENTOS!$D$5:$D$1005="jabas")*(MOVIMIENTOS!$A$5:$A$1005&lt;&gt;"")*(MOVIMIENTOS!$A$5:$A$1005&lt;=$A933)*MOVIMIENTOS!$E$5:$E$1005)+SUMPRODUCT((MOVIMIENTOS!$B$5:$B$1005="PROCESO")*(MOVIMIENTOS!$C$5:$C$1005="P")*(MOVIMIENTOS!$D$5:$D$1005="jabas")*(MOVIMIENTOS!$A$5:$A$1005&lt;&gt;"")*(MOVIMIENTOS!$A$5:$A$1005&lt;=$A933)*MOVIMIENTOS!$E$5:$E$1005)-SUMPRODUCT((MOVIMIENTOS!$B$5:$B$1005="ENVÍO A SUPESA")*(MOVIMIENTOS!$C$5:$C$1005="P")*(MOVIMIENTOS!$D$5:$D$1005="jabas")*(MOVIMIENTOS!$A$5:$A$1005&lt;&gt;"")*(MOVIMIENTOS!$A$5:$A$1005&lt;=$A933)*MOVIMIENTOS!$E$5:$E$1005)+SUMPRODUCT((MOVIMIENTOS!$B$5:$B$1005="DEVOLUCIÓN")*(MOVIMIENTOS!$C$5:$C$1005="P")*(MOVIMIENTOS!$D$5:$D$1005="jabas")*(MOVIMIENTOS!$A$5:$A$1005&lt;&gt;"")*(MOVIMIENTOS!$A$5:$A$1005&lt;=$A933)*MOVIMIENTOS!$E$5:$E$1005)-SUMPRODUCT((MOVIMIENTOS!$B$5:$B$1005="TRASIEGO")*(MOVIMIENTOS!$C$5:$C$1005="P")*(MOVIMIENTOS!$D$5:$D$1005="jabas")*(MOVIMIENTOS!$A$5:$A$1005&lt;&gt;"")*(MOVIMIENTOS!$A$5:$A$1005&lt;=$A933)*MOVIMIENTOS!$E$5:$E$1005)-SUMPRODUCT((MOVIMIENTOS!$B$5:$B$1005="REGALO")*(MOVIMIENTOS!$C$5:$C$1005="P")*(MOVIMIENTOS!$D$5:$D$1005="jabas")*(MOVIMIENTOS!$A$5:$A$1005&lt;&gt;"")*(MOVIMIENTOS!$A$5:$A$1005&lt;=$A933)*MOVIMIENTOS!$E$5:$E$1005)-SUMPRODUCT((MOVIMIENTOS!$B$5:$B$1005="VENTA")*(MOVIMIENTOS!$C$5:$C$1005="P")*(MOVIMIENTOS!$D$5:$D$1005="jabas")*(MOVIMIENTOS!$A$5:$A$1005&lt;&gt;"")*(MOVIMIENTOS!$A$5:$A$1005&lt;=$A933)*MOVIMIENTOS!$E$5:$E$1005)+SUMPRODUCT((MOVIMIENTOS!$B$5:$B$1005="AJUSTE")*(MOVIMIENTOS!$C$5:$C$1005="P")*(MOVIMIENTOS!$D$5:$D$1005="jabas")*(MOVIMIENTOS!$A$5:$A$1005&lt;&gt;"")*(MOVIMIENTOS!$A$5:$A$1005&lt;=$A933)*MOVIMIENTOS!$E$5:$E$1005))</f>
        <v/>
      </c>
      <c r="D933" t="str">
        <f>IF($A933="","",SUMPRODUCT((MOVIMIENTOS!$B$5:$B$1005="SALDO INICIAL")*(MOVIMIENTOS!$C$5:$C$1005="C")*(MOVIMIENTOS!$D$5:$D$1005="jabas")*(MOVIMIENTOS!$A$5:$A$1005&lt;&gt;"")*(MOVIMIENTOS!$A$5:$A$1005&lt;=$A933)*MOVIMIENTOS!$E$5:$E$1005)+SUMPRODUCT((MOVIMIENTOS!$B$5:$B$1005="PROCESO")*(MOVIMIENTOS!$C$5:$C$1005="C")*(MOVIMIENTOS!$D$5:$D$1005="jabas")*(MOVIMIENTOS!$A$5:$A$1005&lt;&gt;"")*(MOVIMIENTOS!$A$5:$A$1005&lt;=$A933)*MOVIMIENTOS!$E$5:$E$1005)-SUMPRODUCT((MOVIMIENTOS!$B$5:$B$1005="ENVÍO A SUPESA")*(MOVIMIENTOS!$C$5:$C$1005="C")*(MOVIMIENTOS!$D$5:$D$1005="jabas")*(MOVIMIENTOS!$A$5:$A$1005&lt;&gt;"")*(MOVIMIENTOS!$A$5:$A$1005&lt;=$A933)*MOVIMIENTOS!$E$5:$E$1005)+SUMPRODUCT((MOVIMIENTOS!$B$5:$B$1005="DEVOLUCIÓN")*(MOVIMIENTOS!$C$5:$C$1005="C")*(MOVIMIENTOS!$D$5:$D$1005="jabas")*(MOVIMIENTOS!$A$5:$A$1005&lt;&gt;"")*(MOVIMIENTOS!$A$5:$A$1005&lt;=$A933)*MOVIMIENTOS!$E$5:$E$1005)-SUMPRODUCT((MOVIMIENTOS!$B$5:$B$1005="TRASIEGO")*(MOVIMIENTOS!$C$5:$C$1005="C")*(MOVIMIENTOS!$D$5:$D$1005="jabas")*(MOVIMIENTOS!$A$5:$A$1005&lt;&gt;"")*(MOVIMIENTOS!$A$5:$A$1005&lt;=$A933)*MOVIMIENTOS!$E$5:$E$1005)-SUMPRODUCT((MOVIMIENTOS!$B$5:$B$1005="REGALO")*(MOVIMIENTOS!$C$5:$C$1005="C")*(MOVIMIENTOS!$D$5:$D$1005="jabas")*(MOVIMIENTOS!$A$5:$A$1005&lt;&gt;"")*(MOVIMIENTOS!$A$5:$A$1005&lt;=$A933)*MOVIMIENTOS!$E$5:$E$1005)-SUMPRODUCT((MOVIMIENTOS!$B$5:$B$1005="VENTA")*(MOVIMIENTOS!$C$5:$C$1005="C")*(MOVIMIENTOS!$D$5:$D$1005="jabas")*(MOVIMIENTOS!$A$5:$A$1005&lt;&gt;"")*(MOVIMIENTOS!$A$5:$A$1005&lt;=$A933)*MOVIMIENTOS!$E$5:$E$1005)+SUMPRODUCT((MOVIMIENTOS!$B$5:$B$1005="AJUSTE")*(MOVIMIENTOS!$C$5:$C$1005="C")*(MOVIMIENTOS!$D$5:$D$1005="jabas")*(MOVIMIENTOS!$A$5:$A$1005&lt;&gt;"")*(MOVIMIENTOS!$A$5:$A$1005&lt;=$A933)*MOVIMIENTOS!$E$5:$E$1005))</f>
        <v/>
      </c>
      <c r="E933" t="str">
        <f>IF($A933="","",SUMPRODUCT((MOVIMIENTOS!$B$5:$B$1005="SALDO INICIAL")*(MOVIMIENTOS!$C$5:$C$1005="M")*(MOVIMIENTOS!$D$5:$D$1005="jabas")*(MOVIMIENTOS!$A$5:$A$1005&lt;&gt;"")*(MOVIMIENTOS!$A$5:$A$1005&lt;=$A933)*MOVIMIENTOS!$E$5:$E$1005)+SUMPRODUCT((MOVIMIENTOS!$B$5:$B$1005="PROCESO")*(MOVIMIENTOS!$C$5:$C$1005="M")*(MOVIMIENTOS!$D$5:$D$1005="jabas")*(MOVIMIENTOS!$A$5:$A$1005&lt;&gt;"")*(MOVIMIENTOS!$A$5:$A$1005&lt;=$A933)*MOVIMIENTOS!$E$5:$E$1005)-SUMPRODUCT((MOVIMIENTOS!$B$5:$B$1005="ENVÍO A SUPESA")*(MOVIMIENTOS!$C$5:$C$1005="M")*(MOVIMIENTOS!$D$5:$D$1005="jabas")*(MOVIMIENTOS!$A$5:$A$1005&lt;&gt;"")*(MOVIMIENTOS!$A$5:$A$1005&lt;=$A933)*MOVIMIENTOS!$E$5:$E$1005)+SUMPRODUCT((MOVIMIENTOS!$B$5:$B$1005="DEVOLUCIÓN")*(MOVIMIENTOS!$C$5:$C$1005="M")*(MOVIMIENTOS!$D$5:$D$1005="jabas")*(MOVIMIENTOS!$A$5:$A$1005&lt;&gt;"")*(MOVIMIENTOS!$A$5:$A$1005&lt;=$A933)*MOVIMIENTOS!$E$5:$E$1005)-SUMPRODUCT((MOVIMIENTOS!$B$5:$B$1005="TRASIEGO")*(MOVIMIENTOS!$C$5:$C$1005="M")*(MOVIMIENTOS!$D$5:$D$1005="jabas")*(MOVIMIENTOS!$A$5:$A$1005&lt;&gt;"")*(MOVIMIENTOS!$A$5:$A$1005&lt;=$A933)*MOVIMIENTOS!$E$5:$E$1005)-SUMPRODUCT((MOVIMIENTOS!$B$5:$B$1005="REGALO")*(MOVIMIENTOS!$C$5:$C$1005="M")*(MOVIMIENTOS!$D$5:$D$1005="jabas")*(MOVIMIENTOS!$A$5:$A$1005&lt;&gt;"")*(MOVIMIENTOS!$A$5:$A$1005&lt;=$A933)*MOVIMIENTOS!$E$5:$E$1005)-SUMPRODUCT((MOVIMIENTOS!$B$5:$B$1005="VENTA")*(MOVIMIENTOS!$C$5:$C$1005="M")*(MOVIMIENTOS!$D$5:$D$1005="jabas")*(MOVIMIENTOS!$A$5:$A$1005&lt;&gt;"")*(MOVIMIENTOS!$A$5:$A$1005&lt;=$A933)*MOVIMIENTOS!$E$5:$E$1005)+SUMPRODUCT((MOVIMIENTOS!$B$5:$B$1005="AJUSTE")*(MOVIMIENTOS!$C$5:$C$1005="M")*(MOVIMIENTOS!$D$5:$D$1005="jabas")*(MOVIMIENTOS!$A$5:$A$1005&lt;&gt;"")*(MOVIMIENTOS!$A$5:$A$1005&lt;=$A933)*MOVIMIENTOS!$E$5:$E$1005))</f>
        <v/>
      </c>
      <c r="F933" s="62" t="str">
        <f>IF($A933="","",SUMPRODUCT((MOVIMIENTOS!$B$5:$B$1005="SALDO INICIAL")*(MOVIMIENTOS!$C$5:$C$1005="Chancho")*(MOVIMIENTOS!$D$5:$D$1005="sacos")*(MOVIMIENTOS!$A$5:$A$1005&lt;&gt;"")*(MOVIMIENTOS!$A$5:$A$1005&lt;=$A933)*MOVIMIENTOS!$E$5:$E$1005)+SUMPRODUCT((MOVIMIENTOS!$B$5:$B$1005="PROCESO")*(MOVIMIENTOS!$C$5:$C$1005="Chancho")*(MOVIMIENTOS!$D$5:$D$1005="sacos")*(MOVIMIENTOS!$A$5:$A$1005&lt;&gt;"")*(MOVIMIENTOS!$A$5:$A$1005&lt;=$A933)*MOVIMIENTOS!$E$5:$E$1005)-SUMPRODUCT((MOVIMIENTOS!$B$5:$B$1005="VENTA CHANCHO")*(MOVIMIENTOS!$C$5:$C$1005="Chancho")*(MOVIMIENTOS!$D$5:$D$1005="sacos")*(MOVIMIENTOS!$A$5:$A$1005&lt;&gt;"")*(MOVIMIENTOS!$A$5:$A$1005&lt;=$A933)*MOVIMIENTOS!$E$5:$E$1005)-SUMPRODUCT((MOVIMIENTOS!$B$5:$B$1005="REGALO")*(MOVIMIENTOS!$C$5:$C$1005="Chancho")*(MOVIMIENTOS!$D$5:$D$1005="sacos")*(MOVIMIENTOS!$A$5:$A$1005&lt;&gt;"")*(MOVIMIENTOS!$A$5:$A$1005&lt;=$A933)*MOVIMIENTOS!$E$5:$E$1005)-SUMPRODUCT((MOVIMIENTOS!$B$5:$B$1005="VENTA")*(MOVIMIENTOS!$C$5:$C$1005="Chancho")*(MOVIMIENTOS!$D$5:$D$1005="sacos")*(MOVIMIENTOS!$A$5:$A$1005&lt;&gt;"")*(MOVIMIENTOS!$A$5:$A$1005&lt;=$A933)*MOVIMIENTOS!$E$5:$E$1005)+SUMPRODUCT((MOVIMIENTOS!$B$5:$B$1005="AJUSTE")*(MOVIMIENTOS!$C$5:$C$1005="Chancho")*(MOVIMIENTOS!$D$5:$D$1005="sacos")*(MOVIMIENTOS!$A$5:$A$1005&lt;&gt;"")*(MOVIMIENTOS!$A$5:$A$1005&lt;=$A933)*MOVIMIENTOS!$E$5:$E$1005))</f>
        <v/>
      </c>
      <c r="G933" s="62" t="str">
        <f t="shared" si="29"/>
        <v/>
      </c>
      <c r="H933" t="str">
        <f>IF($A933="","",SUMPRODUCT((((MOVIMIENTOS!$B$5:$B$1005="SALDO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933)*MOVIMIENTOS!$J$5:$J$1005))</f>
        <v/>
      </c>
      <c r="J933" t="str">
        <f>IF(AND(MOVIMIENTOS!$A938&lt;&gt;"",COUNTIF(MOVIMIENTOS!$A$5:$A937,MOVIMIENTOS!$A938)=0),COUNT(J$4:J932)+1,"")</f>
        <v/>
      </c>
      <c r="K933">
        <f>MOVIMIENTOS!$A938</f>
        <v>0</v>
      </c>
    </row>
    <row r="934" spans="1:11" ht="15" customHeight="1" x14ac:dyDescent="0.2">
      <c r="A934" t="str">
        <f t="shared" si="28"/>
        <v/>
      </c>
      <c r="B934" t="str">
        <f>IF($A934="","",SUMPRODUCT((MOVIMIENTOS!$B$5:$B$1005="SALDO INICIAL")*(MOVIMIENTOS!$C$5:$C$1005="A")*(MOVIMIENTOS!$D$5:$D$1005="jabas")*(MOVIMIENTOS!$A$5:$A$1005&lt;&gt;"")*(MOVIMIENTOS!$A$5:$A$1005&lt;=$A934)*MOVIMIENTOS!$E$5:$E$1005)+SUMPRODUCT((MOVIMIENTOS!$B$5:$B$1005="PROCESO")*(MOVIMIENTOS!$C$5:$C$1005="A")*(MOVIMIENTOS!$D$5:$D$1005="jabas")*(MOVIMIENTOS!$A$5:$A$1005&lt;&gt;"")*(MOVIMIENTOS!$A$5:$A$1005&lt;=$A934)*MOVIMIENTOS!$E$5:$E$1005)-SUMPRODUCT((MOVIMIENTOS!$B$5:$B$1005="ENVÍO A SUPESA")*(MOVIMIENTOS!$C$5:$C$1005="A")*(MOVIMIENTOS!$D$5:$D$1005="jabas")*(MOVIMIENTOS!$A$5:$A$1005&lt;&gt;"")*(MOVIMIENTOS!$A$5:$A$1005&lt;=$A934)*MOVIMIENTOS!$E$5:$E$1005)+SUMPRODUCT((MOVIMIENTOS!$B$5:$B$1005="DEVOLUCIÓN")*(MOVIMIENTOS!$C$5:$C$1005="A")*(MOVIMIENTOS!$D$5:$D$1005="jabas")*(MOVIMIENTOS!$A$5:$A$1005&lt;&gt;"")*(MOVIMIENTOS!$A$5:$A$1005&lt;=$A934)*MOVIMIENTOS!$E$5:$E$1005)-SUMPRODUCT((MOVIMIENTOS!$B$5:$B$1005="TRASIEGO")*(MOVIMIENTOS!$C$5:$C$1005="A")*(MOVIMIENTOS!$D$5:$D$1005="jabas")*(MOVIMIENTOS!$A$5:$A$1005&lt;&gt;"")*(MOVIMIENTOS!$A$5:$A$1005&lt;=$A934)*MOVIMIENTOS!$E$5:$E$1005)-SUMPRODUCT((MOVIMIENTOS!$B$5:$B$1005="REGALO")*(MOVIMIENTOS!$C$5:$C$1005="A")*(MOVIMIENTOS!$D$5:$D$1005="jabas")*(MOVIMIENTOS!$A$5:$A$1005&lt;&gt;"")*(MOVIMIENTOS!$A$5:$A$1005&lt;=$A934)*MOVIMIENTOS!$E$5:$E$1005)-SUMPRODUCT((MOVIMIENTOS!$B$5:$B$1005="VENTA")*(MOVIMIENTOS!$C$5:$C$1005="A")*(MOVIMIENTOS!$D$5:$D$1005="jabas")*(MOVIMIENTOS!$A$5:$A$1005&lt;&gt;"")*(MOVIMIENTOS!$A$5:$A$1005&lt;=$A934)*MOVIMIENTOS!$E$5:$E$1005)+SUMPRODUCT((MOVIMIENTOS!$B$5:$B$1005="AJUSTE")*(MOVIMIENTOS!$C$5:$C$1005="A")*(MOVIMIENTOS!$D$5:$D$1005="jabas")*(MOVIMIENTOS!$A$5:$A$1005&lt;&gt;"")*(MOVIMIENTOS!$A$5:$A$1005&lt;=$A934)*MOVIMIENTOS!$E$5:$E$1005))</f>
        <v/>
      </c>
      <c r="C934" t="str">
        <f>IF($A934="","",SUMPRODUCT((MOVIMIENTOS!$B$5:$B$1005="SALDO INICIAL")*(MOVIMIENTOS!$C$5:$C$1005="P")*(MOVIMIENTOS!$D$5:$D$1005="jabas")*(MOVIMIENTOS!$A$5:$A$1005&lt;&gt;"")*(MOVIMIENTOS!$A$5:$A$1005&lt;=$A934)*MOVIMIENTOS!$E$5:$E$1005)+SUMPRODUCT((MOVIMIENTOS!$B$5:$B$1005="PROCESO")*(MOVIMIENTOS!$C$5:$C$1005="P")*(MOVIMIENTOS!$D$5:$D$1005="jabas")*(MOVIMIENTOS!$A$5:$A$1005&lt;&gt;"")*(MOVIMIENTOS!$A$5:$A$1005&lt;=$A934)*MOVIMIENTOS!$E$5:$E$1005)-SUMPRODUCT((MOVIMIENTOS!$B$5:$B$1005="ENVÍO A SUPESA")*(MOVIMIENTOS!$C$5:$C$1005="P")*(MOVIMIENTOS!$D$5:$D$1005="jabas")*(MOVIMIENTOS!$A$5:$A$1005&lt;&gt;"")*(MOVIMIENTOS!$A$5:$A$1005&lt;=$A934)*MOVIMIENTOS!$E$5:$E$1005)+SUMPRODUCT((MOVIMIENTOS!$B$5:$B$1005="DEVOLUCIÓN")*(MOVIMIENTOS!$C$5:$C$1005="P")*(MOVIMIENTOS!$D$5:$D$1005="jabas")*(MOVIMIENTOS!$A$5:$A$1005&lt;&gt;"")*(MOVIMIENTOS!$A$5:$A$1005&lt;=$A934)*MOVIMIENTOS!$E$5:$E$1005)-SUMPRODUCT((MOVIMIENTOS!$B$5:$B$1005="TRASIEGO")*(MOVIMIENTOS!$C$5:$C$1005="P")*(MOVIMIENTOS!$D$5:$D$1005="jabas")*(MOVIMIENTOS!$A$5:$A$1005&lt;&gt;"")*(MOVIMIENTOS!$A$5:$A$1005&lt;=$A934)*MOVIMIENTOS!$E$5:$E$1005)-SUMPRODUCT((MOVIMIENTOS!$B$5:$B$1005="REGALO")*(MOVIMIENTOS!$C$5:$C$1005="P")*(MOVIMIENTOS!$D$5:$D$1005="jabas")*(MOVIMIENTOS!$A$5:$A$1005&lt;&gt;"")*(MOVIMIENTOS!$A$5:$A$1005&lt;=$A934)*MOVIMIENTOS!$E$5:$E$1005)-SUMPRODUCT((MOVIMIENTOS!$B$5:$B$1005="VENTA")*(MOVIMIENTOS!$C$5:$C$1005="P")*(MOVIMIENTOS!$D$5:$D$1005="jabas")*(MOVIMIENTOS!$A$5:$A$1005&lt;&gt;"")*(MOVIMIENTOS!$A$5:$A$1005&lt;=$A934)*MOVIMIENTOS!$E$5:$E$1005)+SUMPRODUCT((MOVIMIENTOS!$B$5:$B$1005="AJUSTE")*(MOVIMIENTOS!$C$5:$C$1005="P")*(MOVIMIENTOS!$D$5:$D$1005="jabas")*(MOVIMIENTOS!$A$5:$A$1005&lt;&gt;"")*(MOVIMIENTOS!$A$5:$A$1005&lt;=$A934)*MOVIMIENTOS!$E$5:$E$1005))</f>
        <v/>
      </c>
      <c r="D934" t="str">
        <f>IF($A934="","",SUMPRODUCT((MOVIMIENTOS!$B$5:$B$1005="SALDO INICIAL")*(MOVIMIENTOS!$C$5:$C$1005="C")*(MOVIMIENTOS!$D$5:$D$1005="jabas")*(MOVIMIENTOS!$A$5:$A$1005&lt;&gt;"")*(MOVIMIENTOS!$A$5:$A$1005&lt;=$A934)*MOVIMIENTOS!$E$5:$E$1005)+SUMPRODUCT((MOVIMIENTOS!$B$5:$B$1005="PROCESO")*(MOVIMIENTOS!$C$5:$C$1005="C")*(MOVIMIENTOS!$D$5:$D$1005="jabas")*(MOVIMIENTOS!$A$5:$A$1005&lt;&gt;"")*(MOVIMIENTOS!$A$5:$A$1005&lt;=$A934)*MOVIMIENTOS!$E$5:$E$1005)-SUMPRODUCT((MOVIMIENTOS!$B$5:$B$1005="ENVÍO A SUPESA")*(MOVIMIENTOS!$C$5:$C$1005="C")*(MOVIMIENTOS!$D$5:$D$1005="jabas")*(MOVIMIENTOS!$A$5:$A$1005&lt;&gt;"")*(MOVIMIENTOS!$A$5:$A$1005&lt;=$A934)*MOVIMIENTOS!$E$5:$E$1005)+SUMPRODUCT((MOVIMIENTOS!$B$5:$B$1005="DEVOLUCIÓN")*(MOVIMIENTOS!$C$5:$C$1005="C")*(MOVIMIENTOS!$D$5:$D$1005="jabas")*(MOVIMIENTOS!$A$5:$A$1005&lt;&gt;"")*(MOVIMIENTOS!$A$5:$A$1005&lt;=$A934)*MOVIMIENTOS!$E$5:$E$1005)-SUMPRODUCT((MOVIMIENTOS!$B$5:$B$1005="TRASIEGO")*(MOVIMIENTOS!$C$5:$C$1005="C")*(MOVIMIENTOS!$D$5:$D$1005="jabas")*(MOVIMIENTOS!$A$5:$A$1005&lt;&gt;"")*(MOVIMIENTOS!$A$5:$A$1005&lt;=$A934)*MOVIMIENTOS!$E$5:$E$1005)-SUMPRODUCT((MOVIMIENTOS!$B$5:$B$1005="REGALO")*(MOVIMIENTOS!$C$5:$C$1005="C")*(MOVIMIENTOS!$D$5:$D$1005="jabas")*(MOVIMIENTOS!$A$5:$A$1005&lt;&gt;"")*(MOVIMIENTOS!$A$5:$A$1005&lt;=$A934)*MOVIMIENTOS!$E$5:$E$1005)-SUMPRODUCT((MOVIMIENTOS!$B$5:$B$1005="VENTA")*(MOVIMIENTOS!$C$5:$C$1005="C")*(MOVIMIENTOS!$D$5:$D$1005="jabas")*(MOVIMIENTOS!$A$5:$A$1005&lt;&gt;"")*(MOVIMIENTOS!$A$5:$A$1005&lt;=$A934)*MOVIMIENTOS!$E$5:$E$1005)+SUMPRODUCT((MOVIMIENTOS!$B$5:$B$1005="AJUSTE")*(MOVIMIENTOS!$C$5:$C$1005="C")*(MOVIMIENTOS!$D$5:$D$1005="jabas")*(MOVIMIENTOS!$A$5:$A$1005&lt;&gt;"")*(MOVIMIENTOS!$A$5:$A$1005&lt;=$A934)*MOVIMIENTOS!$E$5:$E$1005))</f>
        <v/>
      </c>
      <c r="E934" t="str">
        <f>IF($A934="","",SUMPRODUCT((MOVIMIENTOS!$B$5:$B$1005="SALDO INICIAL")*(MOVIMIENTOS!$C$5:$C$1005="M")*(MOVIMIENTOS!$D$5:$D$1005="jabas")*(MOVIMIENTOS!$A$5:$A$1005&lt;&gt;"")*(MOVIMIENTOS!$A$5:$A$1005&lt;=$A934)*MOVIMIENTOS!$E$5:$E$1005)+SUMPRODUCT((MOVIMIENTOS!$B$5:$B$1005="PROCESO")*(MOVIMIENTOS!$C$5:$C$1005="M")*(MOVIMIENTOS!$D$5:$D$1005="jabas")*(MOVIMIENTOS!$A$5:$A$1005&lt;&gt;"")*(MOVIMIENTOS!$A$5:$A$1005&lt;=$A934)*MOVIMIENTOS!$E$5:$E$1005)-SUMPRODUCT((MOVIMIENTOS!$B$5:$B$1005="ENVÍO A SUPESA")*(MOVIMIENTOS!$C$5:$C$1005="M")*(MOVIMIENTOS!$D$5:$D$1005="jabas")*(MOVIMIENTOS!$A$5:$A$1005&lt;&gt;"")*(MOVIMIENTOS!$A$5:$A$1005&lt;=$A934)*MOVIMIENTOS!$E$5:$E$1005)+SUMPRODUCT((MOVIMIENTOS!$B$5:$B$1005="DEVOLUCIÓN")*(MOVIMIENTOS!$C$5:$C$1005="M")*(MOVIMIENTOS!$D$5:$D$1005="jabas")*(MOVIMIENTOS!$A$5:$A$1005&lt;&gt;"")*(MOVIMIENTOS!$A$5:$A$1005&lt;=$A934)*MOVIMIENTOS!$E$5:$E$1005)-SUMPRODUCT((MOVIMIENTOS!$B$5:$B$1005="TRASIEGO")*(MOVIMIENTOS!$C$5:$C$1005="M")*(MOVIMIENTOS!$D$5:$D$1005="jabas")*(MOVIMIENTOS!$A$5:$A$1005&lt;&gt;"")*(MOVIMIENTOS!$A$5:$A$1005&lt;=$A934)*MOVIMIENTOS!$E$5:$E$1005)-SUMPRODUCT((MOVIMIENTOS!$B$5:$B$1005="REGALO")*(MOVIMIENTOS!$C$5:$C$1005="M")*(MOVIMIENTOS!$D$5:$D$1005="jabas")*(MOVIMIENTOS!$A$5:$A$1005&lt;&gt;"")*(MOVIMIENTOS!$A$5:$A$1005&lt;=$A934)*MOVIMIENTOS!$E$5:$E$1005)-SUMPRODUCT((MOVIMIENTOS!$B$5:$B$1005="VENTA")*(MOVIMIENTOS!$C$5:$C$1005="M")*(MOVIMIENTOS!$D$5:$D$1005="jabas")*(MOVIMIENTOS!$A$5:$A$1005&lt;&gt;"")*(MOVIMIENTOS!$A$5:$A$1005&lt;=$A934)*MOVIMIENTOS!$E$5:$E$1005)+SUMPRODUCT((MOVIMIENTOS!$B$5:$B$1005="AJUSTE")*(MOVIMIENTOS!$C$5:$C$1005="M")*(MOVIMIENTOS!$D$5:$D$1005="jabas")*(MOVIMIENTOS!$A$5:$A$1005&lt;&gt;"")*(MOVIMIENTOS!$A$5:$A$1005&lt;=$A934)*MOVIMIENTOS!$E$5:$E$1005))</f>
        <v/>
      </c>
      <c r="F934" s="62" t="str">
        <f>IF($A934="","",SUMPRODUCT((MOVIMIENTOS!$B$5:$B$1005="SALDO INICIAL")*(MOVIMIENTOS!$C$5:$C$1005="Chancho")*(MOVIMIENTOS!$D$5:$D$1005="sacos")*(MOVIMIENTOS!$A$5:$A$1005&lt;&gt;"")*(MOVIMIENTOS!$A$5:$A$1005&lt;=$A934)*MOVIMIENTOS!$E$5:$E$1005)+SUMPRODUCT((MOVIMIENTOS!$B$5:$B$1005="PROCESO")*(MOVIMIENTOS!$C$5:$C$1005="Chancho")*(MOVIMIENTOS!$D$5:$D$1005="sacos")*(MOVIMIENTOS!$A$5:$A$1005&lt;&gt;"")*(MOVIMIENTOS!$A$5:$A$1005&lt;=$A934)*MOVIMIENTOS!$E$5:$E$1005)-SUMPRODUCT((MOVIMIENTOS!$B$5:$B$1005="VENTA CHANCHO")*(MOVIMIENTOS!$C$5:$C$1005="Chancho")*(MOVIMIENTOS!$D$5:$D$1005="sacos")*(MOVIMIENTOS!$A$5:$A$1005&lt;&gt;"")*(MOVIMIENTOS!$A$5:$A$1005&lt;=$A934)*MOVIMIENTOS!$E$5:$E$1005)-SUMPRODUCT((MOVIMIENTOS!$B$5:$B$1005="REGALO")*(MOVIMIENTOS!$C$5:$C$1005="Chancho")*(MOVIMIENTOS!$D$5:$D$1005="sacos")*(MOVIMIENTOS!$A$5:$A$1005&lt;&gt;"")*(MOVIMIENTOS!$A$5:$A$1005&lt;=$A934)*MOVIMIENTOS!$E$5:$E$1005)-SUMPRODUCT((MOVIMIENTOS!$B$5:$B$1005="VENTA")*(MOVIMIENTOS!$C$5:$C$1005="Chancho")*(MOVIMIENTOS!$D$5:$D$1005="sacos")*(MOVIMIENTOS!$A$5:$A$1005&lt;&gt;"")*(MOVIMIENTOS!$A$5:$A$1005&lt;=$A934)*MOVIMIENTOS!$E$5:$E$1005)+SUMPRODUCT((MOVIMIENTOS!$B$5:$B$1005="AJUSTE")*(MOVIMIENTOS!$C$5:$C$1005="Chancho")*(MOVIMIENTOS!$D$5:$D$1005="sacos")*(MOVIMIENTOS!$A$5:$A$1005&lt;&gt;"")*(MOVIMIENTOS!$A$5:$A$1005&lt;=$A934)*MOVIMIENTOS!$E$5:$E$1005))</f>
        <v/>
      </c>
      <c r="G934" s="62" t="str">
        <f t="shared" si="29"/>
        <v/>
      </c>
      <c r="H934" t="str">
        <f>IF($A934="","",SUMPRODUCT((((MOVIMIENTOS!$B$5:$B$1005="SALDO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934)*MOVIMIENTOS!$J$5:$J$1005))</f>
        <v/>
      </c>
      <c r="J934" t="str">
        <f>IF(AND(MOVIMIENTOS!$A939&lt;&gt;"",COUNTIF(MOVIMIENTOS!$A$5:$A938,MOVIMIENTOS!$A939)=0),COUNT(J$4:J933)+1,"")</f>
        <v/>
      </c>
      <c r="K934">
        <f>MOVIMIENTOS!$A939</f>
        <v>0</v>
      </c>
    </row>
    <row r="935" spans="1:11" ht="15" customHeight="1" x14ac:dyDescent="0.2">
      <c r="A935" t="str">
        <f t="shared" si="28"/>
        <v/>
      </c>
      <c r="B935" t="str">
        <f>IF($A935="","",SUMPRODUCT((MOVIMIENTOS!$B$5:$B$1005="SALDO INICIAL")*(MOVIMIENTOS!$C$5:$C$1005="A")*(MOVIMIENTOS!$D$5:$D$1005="jabas")*(MOVIMIENTOS!$A$5:$A$1005&lt;&gt;"")*(MOVIMIENTOS!$A$5:$A$1005&lt;=$A935)*MOVIMIENTOS!$E$5:$E$1005)+SUMPRODUCT((MOVIMIENTOS!$B$5:$B$1005="PROCESO")*(MOVIMIENTOS!$C$5:$C$1005="A")*(MOVIMIENTOS!$D$5:$D$1005="jabas")*(MOVIMIENTOS!$A$5:$A$1005&lt;&gt;"")*(MOVIMIENTOS!$A$5:$A$1005&lt;=$A935)*MOVIMIENTOS!$E$5:$E$1005)-SUMPRODUCT((MOVIMIENTOS!$B$5:$B$1005="ENVÍO A SUPESA")*(MOVIMIENTOS!$C$5:$C$1005="A")*(MOVIMIENTOS!$D$5:$D$1005="jabas")*(MOVIMIENTOS!$A$5:$A$1005&lt;&gt;"")*(MOVIMIENTOS!$A$5:$A$1005&lt;=$A935)*MOVIMIENTOS!$E$5:$E$1005)+SUMPRODUCT((MOVIMIENTOS!$B$5:$B$1005="DEVOLUCIÓN")*(MOVIMIENTOS!$C$5:$C$1005="A")*(MOVIMIENTOS!$D$5:$D$1005="jabas")*(MOVIMIENTOS!$A$5:$A$1005&lt;&gt;"")*(MOVIMIENTOS!$A$5:$A$1005&lt;=$A935)*MOVIMIENTOS!$E$5:$E$1005)-SUMPRODUCT((MOVIMIENTOS!$B$5:$B$1005="TRASIEGO")*(MOVIMIENTOS!$C$5:$C$1005="A")*(MOVIMIENTOS!$D$5:$D$1005="jabas")*(MOVIMIENTOS!$A$5:$A$1005&lt;&gt;"")*(MOVIMIENTOS!$A$5:$A$1005&lt;=$A935)*MOVIMIENTOS!$E$5:$E$1005)-SUMPRODUCT((MOVIMIENTOS!$B$5:$B$1005="REGALO")*(MOVIMIENTOS!$C$5:$C$1005="A")*(MOVIMIENTOS!$D$5:$D$1005="jabas")*(MOVIMIENTOS!$A$5:$A$1005&lt;&gt;"")*(MOVIMIENTOS!$A$5:$A$1005&lt;=$A935)*MOVIMIENTOS!$E$5:$E$1005)-SUMPRODUCT((MOVIMIENTOS!$B$5:$B$1005="VENTA")*(MOVIMIENTOS!$C$5:$C$1005="A")*(MOVIMIENTOS!$D$5:$D$1005="jabas")*(MOVIMIENTOS!$A$5:$A$1005&lt;&gt;"")*(MOVIMIENTOS!$A$5:$A$1005&lt;=$A935)*MOVIMIENTOS!$E$5:$E$1005)+SUMPRODUCT((MOVIMIENTOS!$B$5:$B$1005="AJUSTE")*(MOVIMIENTOS!$C$5:$C$1005="A")*(MOVIMIENTOS!$D$5:$D$1005="jabas")*(MOVIMIENTOS!$A$5:$A$1005&lt;&gt;"")*(MOVIMIENTOS!$A$5:$A$1005&lt;=$A935)*MOVIMIENTOS!$E$5:$E$1005))</f>
        <v/>
      </c>
      <c r="C935" t="str">
        <f>IF($A935="","",SUMPRODUCT((MOVIMIENTOS!$B$5:$B$1005="SALDO INICIAL")*(MOVIMIENTOS!$C$5:$C$1005="P")*(MOVIMIENTOS!$D$5:$D$1005="jabas")*(MOVIMIENTOS!$A$5:$A$1005&lt;&gt;"")*(MOVIMIENTOS!$A$5:$A$1005&lt;=$A935)*MOVIMIENTOS!$E$5:$E$1005)+SUMPRODUCT((MOVIMIENTOS!$B$5:$B$1005="PROCESO")*(MOVIMIENTOS!$C$5:$C$1005="P")*(MOVIMIENTOS!$D$5:$D$1005="jabas")*(MOVIMIENTOS!$A$5:$A$1005&lt;&gt;"")*(MOVIMIENTOS!$A$5:$A$1005&lt;=$A935)*MOVIMIENTOS!$E$5:$E$1005)-SUMPRODUCT((MOVIMIENTOS!$B$5:$B$1005="ENVÍO A SUPESA")*(MOVIMIENTOS!$C$5:$C$1005="P")*(MOVIMIENTOS!$D$5:$D$1005="jabas")*(MOVIMIENTOS!$A$5:$A$1005&lt;&gt;"")*(MOVIMIENTOS!$A$5:$A$1005&lt;=$A935)*MOVIMIENTOS!$E$5:$E$1005)+SUMPRODUCT((MOVIMIENTOS!$B$5:$B$1005="DEVOLUCIÓN")*(MOVIMIENTOS!$C$5:$C$1005="P")*(MOVIMIENTOS!$D$5:$D$1005="jabas")*(MOVIMIENTOS!$A$5:$A$1005&lt;&gt;"")*(MOVIMIENTOS!$A$5:$A$1005&lt;=$A935)*MOVIMIENTOS!$E$5:$E$1005)-SUMPRODUCT((MOVIMIENTOS!$B$5:$B$1005="TRASIEGO")*(MOVIMIENTOS!$C$5:$C$1005="P")*(MOVIMIENTOS!$D$5:$D$1005="jabas")*(MOVIMIENTOS!$A$5:$A$1005&lt;&gt;"")*(MOVIMIENTOS!$A$5:$A$1005&lt;=$A935)*MOVIMIENTOS!$E$5:$E$1005)-SUMPRODUCT((MOVIMIENTOS!$B$5:$B$1005="REGALO")*(MOVIMIENTOS!$C$5:$C$1005="P")*(MOVIMIENTOS!$D$5:$D$1005="jabas")*(MOVIMIENTOS!$A$5:$A$1005&lt;&gt;"")*(MOVIMIENTOS!$A$5:$A$1005&lt;=$A935)*MOVIMIENTOS!$E$5:$E$1005)-SUMPRODUCT((MOVIMIENTOS!$B$5:$B$1005="VENTA")*(MOVIMIENTOS!$C$5:$C$1005="P")*(MOVIMIENTOS!$D$5:$D$1005="jabas")*(MOVIMIENTOS!$A$5:$A$1005&lt;&gt;"")*(MOVIMIENTOS!$A$5:$A$1005&lt;=$A935)*MOVIMIENTOS!$E$5:$E$1005)+SUMPRODUCT((MOVIMIENTOS!$B$5:$B$1005="AJUSTE")*(MOVIMIENTOS!$C$5:$C$1005="P")*(MOVIMIENTOS!$D$5:$D$1005="jabas")*(MOVIMIENTOS!$A$5:$A$1005&lt;&gt;"")*(MOVIMIENTOS!$A$5:$A$1005&lt;=$A935)*MOVIMIENTOS!$E$5:$E$1005))</f>
        <v/>
      </c>
      <c r="D935" t="str">
        <f>IF($A935="","",SUMPRODUCT((MOVIMIENTOS!$B$5:$B$1005="SALDO INICIAL")*(MOVIMIENTOS!$C$5:$C$1005="C")*(MOVIMIENTOS!$D$5:$D$1005="jabas")*(MOVIMIENTOS!$A$5:$A$1005&lt;&gt;"")*(MOVIMIENTOS!$A$5:$A$1005&lt;=$A935)*MOVIMIENTOS!$E$5:$E$1005)+SUMPRODUCT((MOVIMIENTOS!$B$5:$B$1005="PROCESO")*(MOVIMIENTOS!$C$5:$C$1005="C")*(MOVIMIENTOS!$D$5:$D$1005="jabas")*(MOVIMIENTOS!$A$5:$A$1005&lt;&gt;"")*(MOVIMIENTOS!$A$5:$A$1005&lt;=$A935)*MOVIMIENTOS!$E$5:$E$1005)-SUMPRODUCT((MOVIMIENTOS!$B$5:$B$1005="ENVÍO A SUPESA")*(MOVIMIENTOS!$C$5:$C$1005="C")*(MOVIMIENTOS!$D$5:$D$1005="jabas")*(MOVIMIENTOS!$A$5:$A$1005&lt;&gt;"")*(MOVIMIENTOS!$A$5:$A$1005&lt;=$A935)*MOVIMIENTOS!$E$5:$E$1005)+SUMPRODUCT((MOVIMIENTOS!$B$5:$B$1005="DEVOLUCIÓN")*(MOVIMIENTOS!$C$5:$C$1005="C")*(MOVIMIENTOS!$D$5:$D$1005="jabas")*(MOVIMIENTOS!$A$5:$A$1005&lt;&gt;"")*(MOVIMIENTOS!$A$5:$A$1005&lt;=$A935)*MOVIMIENTOS!$E$5:$E$1005)-SUMPRODUCT((MOVIMIENTOS!$B$5:$B$1005="TRASIEGO")*(MOVIMIENTOS!$C$5:$C$1005="C")*(MOVIMIENTOS!$D$5:$D$1005="jabas")*(MOVIMIENTOS!$A$5:$A$1005&lt;&gt;"")*(MOVIMIENTOS!$A$5:$A$1005&lt;=$A935)*MOVIMIENTOS!$E$5:$E$1005)-SUMPRODUCT((MOVIMIENTOS!$B$5:$B$1005="REGALO")*(MOVIMIENTOS!$C$5:$C$1005="C")*(MOVIMIENTOS!$D$5:$D$1005="jabas")*(MOVIMIENTOS!$A$5:$A$1005&lt;&gt;"")*(MOVIMIENTOS!$A$5:$A$1005&lt;=$A935)*MOVIMIENTOS!$E$5:$E$1005)-SUMPRODUCT((MOVIMIENTOS!$B$5:$B$1005="VENTA")*(MOVIMIENTOS!$C$5:$C$1005="C")*(MOVIMIENTOS!$D$5:$D$1005="jabas")*(MOVIMIENTOS!$A$5:$A$1005&lt;&gt;"")*(MOVIMIENTOS!$A$5:$A$1005&lt;=$A935)*MOVIMIENTOS!$E$5:$E$1005)+SUMPRODUCT((MOVIMIENTOS!$B$5:$B$1005="AJUSTE")*(MOVIMIENTOS!$C$5:$C$1005="C")*(MOVIMIENTOS!$D$5:$D$1005="jabas")*(MOVIMIENTOS!$A$5:$A$1005&lt;&gt;"")*(MOVIMIENTOS!$A$5:$A$1005&lt;=$A935)*MOVIMIENTOS!$E$5:$E$1005))</f>
        <v/>
      </c>
      <c r="E935" t="str">
        <f>IF($A935="","",SUMPRODUCT((MOVIMIENTOS!$B$5:$B$1005="SALDO INICIAL")*(MOVIMIENTOS!$C$5:$C$1005="M")*(MOVIMIENTOS!$D$5:$D$1005="jabas")*(MOVIMIENTOS!$A$5:$A$1005&lt;&gt;"")*(MOVIMIENTOS!$A$5:$A$1005&lt;=$A935)*MOVIMIENTOS!$E$5:$E$1005)+SUMPRODUCT((MOVIMIENTOS!$B$5:$B$1005="PROCESO")*(MOVIMIENTOS!$C$5:$C$1005="M")*(MOVIMIENTOS!$D$5:$D$1005="jabas")*(MOVIMIENTOS!$A$5:$A$1005&lt;&gt;"")*(MOVIMIENTOS!$A$5:$A$1005&lt;=$A935)*MOVIMIENTOS!$E$5:$E$1005)-SUMPRODUCT((MOVIMIENTOS!$B$5:$B$1005="ENVÍO A SUPESA")*(MOVIMIENTOS!$C$5:$C$1005="M")*(MOVIMIENTOS!$D$5:$D$1005="jabas")*(MOVIMIENTOS!$A$5:$A$1005&lt;&gt;"")*(MOVIMIENTOS!$A$5:$A$1005&lt;=$A935)*MOVIMIENTOS!$E$5:$E$1005)+SUMPRODUCT((MOVIMIENTOS!$B$5:$B$1005="DEVOLUCIÓN")*(MOVIMIENTOS!$C$5:$C$1005="M")*(MOVIMIENTOS!$D$5:$D$1005="jabas")*(MOVIMIENTOS!$A$5:$A$1005&lt;&gt;"")*(MOVIMIENTOS!$A$5:$A$1005&lt;=$A935)*MOVIMIENTOS!$E$5:$E$1005)-SUMPRODUCT((MOVIMIENTOS!$B$5:$B$1005="TRASIEGO")*(MOVIMIENTOS!$C$5:$C$1005="M")*(MOVIMIENTOS!$D$5:$D$1005="jabas")*(MOVIMIENTOS!$A$5:$A$1005&lt;&gt;"")*(MOVIMIENTOS!$A$5:$A$1005&lt;=$A935)*MOVIMIENTOS!$E$5:$E$1005)-SUMPRODUCT((MOVIMIENTOS!$B$5:$B$1005="REGALO")*(MOVIMIENTOS!$C$5:$C$1005="M")*(MOVIMIENTOS!$D$5:$D$1005="jabas")*(MOVIMIENTOS!$A$5:$A$1005&lt;&gt;"")*(MOVIMIENTOS!$A$5:$A$1005&lt;=$A935)*MOVIMIENTOS!$E$5:$E$1005)-SUMPRODUCT((MOVIMIENTOS!$B$5:$B$1005="VENTA")*(MOVIMIENTOS!$C$5:$C$1005="M")*(MOVIMIENTOS!$D$5:$D$1005="jabas")*(MOVIMIENTOS!$A$5:$A$1005&lt;&gt;"")*(MOVIMIENTOS!$A$5:$A$1005&lt;=$A935)*MOVIMIENTOS!$E$5:$E$1005)+SUMPRODUCT((MOVIMIENTOS!$B$5:$B$1005="AJUSTE")*(MOVIMIENTOS!$C$5:$C$1005="M")*(MOVIMIENTOS!$D$5:$D$1005="jabas")*(MOVIMIENTOS!$A$5:$A$1005&lt;&gt;"")*(MOVIMIENTOS!$A$5:$A$1005&lt;=$A935)*MOVIMIENTOS!$E$5:$E$1005))</f>
        <v/>
      </c>
      <c r="F935" s="62" t="str">
        <f>IF($A935="","",SUMPRODUCT((MOVIMIENTOS!$B$5:$B$1005="SALDO INICIAL")*(MOVIMIENTOS!$C$5:$C$1005="Chancho")*(MOVIMIENTOS!$D$5:$D$1005="sacos")*(MOVIMIENTOS!$A$5:$A$1005&lt;&gt;"")*(MOVIMIENTOS!$A$5:$A$1005&lt;=$A935)*MOVIMIENTOS!$E$5:$E$1005)+SUMPRODUCT((MOVIMIENTOS!$B$5:$B$1005="PROCESO")*(MOVIMIENTOS!$C$5:$C$1005="Chancho")*(MOVIMIENTOS!$D$5:$D$1005="sacos")*(MOVIMIENTOS!$A$5:$A$1005&lt;&gt;"")*(MOVIMIENTOS!$A$5:$A$1005&lt;=$A935)*MOVIMIENTOS!$E$5:$E$1005)-SUMPRODUCT((MOVIMIENTOS!$B$5:$B$1005="VENTA CHANCHO")*(MOVIMIENTOS!$C$5:$C$1005="Chancho")*(MOVIMIENTOS!$D$5:$D$1005="sacos")*(MOVIMIENTOS!$A$5:$A$1005&lt;&gt;"")*(MOVIMIENTOS!$A$5:$A$1005&lt;=$A935)*MOVIMIENTOS!$E$5:$E$1005)-SUMPRODUCT((MOVIMIENTOS!$B$5:$B$1005="REGALO")*(MOVIMIENTOS!$C$5:$C$1005="Chancho")*(MOVIMIENTOS!$D$5:$D$1005="sacos")*(MOVIMIENTOS!$A$5:$A$1005&lt;&gt;"")*(MOVIMIENTOS!$A$5:$A$1005&lt;=$A935)*MOVIMIENTOS!$E$5:$E$1005)-SUMPRODUCT((MOVIMIENTOS!$B$5:$B$1005="VENTA")*(MOVIMIENTOS!$C$5:$C$1005="Chancho")*(MOVIMIENTOS!$D$5:$D$1005="sacos")*(MOVIMIENTOS!$A$5:$A$1005&lt;&gt;"")*(MOVIMIENTOS!$A$5:$A$1005&lt;=$A935)*MOVIMIENTOS!$E$5:$E$1005)+SUMPRODUCT((MOVIMIENTOS!$B$5:$B$1005="AJUSTE")*(MOVIMIENTOS!$C$5:$C$1005="Chancho")*(MOVIMIENTOS!$D$5:$D$1005="sacos")*(MOVIMIENTOS!$A$5:$A$1005&lt;&gt;"")*(MOVIMIENTOS!$A$5:$A$1005&lt;=$A935)*MOVIMIENTOS!$E$5:$E$1005))</f>
        <v/>
      </c>
      <c r="G935" s="62" t="str">
        <f t="shared" si="29"/>
        <v/>
      </c>
      <c r="H935" t="str">
        <f>IF($A935="","",SUMPRODUCT((((MOVIMIENTOS!$B$5:$B$1005="SALDO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935)*MOVIMIENTOS!$J$5:$J$1005))</f>
        <v/>
      </c>
      <c r="J935" t="str">
        <f>IF(AND(MOVIMIENTOS!$A940&lt;&gt;"",COUNTIF(MOVIMIENTOS!$A$5:$A939,MOVIMIENTOS!$A940)=0),COUNT(J$4:J934)+1,"")</f>
        <v/>
      </c>
      <c r="K935">
        <f>MOVIMIENTOS!$A940</f>
        <v>0</v>
      </c>
    </row>
    <row r="936" spans="1:11" ht="15" customHeight="1" x14ac:dyDescent="0.2">
      <c r="A936" t="str">
        <f t="shared" si="28"/>
        <v/>
      </c>
      <c r="B936" t="str">
        <f>IF($A936="","",SUMPRODUCT((MOVIMIENTOS!$B$5:$B$1005="SALDO INICIAL")*(MOVIMIENTOS!$C$5:$C$1005="A")*(MOVIMIENTOS!$D$5:$D$1005="jabas")*(MOVIMIENTOS!$A$5:$A$1005&lt;&gt;"")*(MOVIMIENTOS!$A$5:$A$1005&lt;=$A936)*MOVIMIENTOS!$E$5:$E$1005)+SUMPRODUCT((MOVIMIENTOS!$B$5:$B$1005="PROCESO")*(MOVIMIENTOS!$C$5:$C$1005="A")*(MOVIMIENTOS!$D$5:$D$1005="jabas")*(MOVIMIENTOS!$A$5:$A$1005&lt;&gt;"")*(MOVIMIENTOS!$A$5:$A$1005&lt;=$A936)*MOVIMIENTOS!$E$5:$E$1005)-SUMPRODUCT((MOVIMIENTOS!$B$5:$B$1005="ENVÍO A SUPESA")*(MOVIMIENTOS!$C$5:$C$1005="A")*(MOVIMIENTOS!$D$5:$D$1005="jabas")*(MOVIMIENTOS!$A$5:$A$1005&lt;&gt;"")*(MOVIMIENTOS!$A$5:$A$1005&lt;=$A936)*MOVIMIENTOS!$E$5:$E$1005)+SUMPRODUCT((MOVIMIENTOS!$B$5:$B$1005="DEVOLUCIÓN")*(MOVIMIENTOS!$C$5:$C$1005="A")*(MOVIMIENTOS!$D$5:$D$1005="jabas")*(MOVIMIENTOS!$A$5:$A$1005&lt;&gt;"")*(MOVIMIENTOS!$A$5:$A$1005&lt;=$A936)*MOVIMIENTOS!$E$5:$E$1005)-SUMPRODUCT((MOVIMIENTOS!$B$5:$B$1005="TRASIEGO")*(MOVIMIENTOS!$C$5:$C$1005="A")*(MOVIMIENTOS!$D$5:$D$1005="jabas")*(MOVIMIENTOS!$A$5:$A$1005&lt;&gt;"")*(MOVIMIENTOS!$A$5:$A$1005&lt;=$A936)*MOVIMIENTOS!$E$5:$E$1005)-SUMPRODUCT((MOVIMIENTOS!$B$5:$B$1005="REGALO")*(MOVIMIENTOS!$C$5:$C$1005="A")*(MOVIMIENTOS!$D$5:$D$1005="jabas")*(MOVIMIENTOS!$A$5:$A$1005&lt;&gt;"")*(MOVIMIENTOS!$A$5:$A$1005&lt;=$A936)*MOVIMIENTOS!$E$5:$E$1005)-SUMPRODUCT((MOVIMIENTOS!$B$5:$B$1005="VENTA")*(MOVIMIENTOS!$C$5:$C$1005="A")*(MOVIMIENTOS!$D$5:$D$1005="jabas")*(MOVIMIENTOS!$A$5:$A$1005&lt;&gt;"")*(MOVIMIENTOS!$A$5:$A$1005&lt;=$A936)*MOVIMIENTOS!$E$5:$E$1005)+SUMPRODUCT((MOVIMIENTOS!$B$5:$B$1005="AJUSTE")*(MOVIMIENTOS!$C$5:$C$1005="A")*(MOVIMIENTOS!$D$5:$D$1005="jabas")*(MOVIMIENTOS!$A$5:$A$1005&lt;&gt;"")*(MOVIMIENTOS!$A$5:$A$1005&lt;=$A936)*MOVIMIENTOS!$E$5:$E$1005))</f>
        <v/>
      </c>
      <c r="C936" t="str">
        <f>IF($A936="","",SUMPRODUCT((MOVIMIENTOS!$B$5:$B$1005="SALDO INICIAL")*(MOVIMIENTOS!$C$5:$C$1005="P")*(MOVIMIENTOS!$D$5:$D$1005="jabas")*(MOVIMIENTOS!$A$5:$A$1005&lt;&gt;"")*(MOVIMIENTOS!$A$5:$A$1005&lt;=$A936)*MOVIMIENTOS!$E$5:$E$1005)+SUMPRODUCT((MOVIMIENTOS!$B$5:$B$1005="PROCESO")*(MOVIMIENTOS!$C$5:$C$1005="P")*(MOVIMIENTOS!$D$5:$D$1005="jabas")*(MOVIMIENTOS!$A$5:$A$1005&lt;&gt;"")*(MOVIMIENTOS!$A$5:$A$1005&lt;=$A936)*MOVIMIENTOS!$E$5:$E$1005)-SUMPRODUCT((MOVIMIENTOS!$B$5:$B$1005="ENVÍO A SUPESA")*(MOVIMIENTOS!$C$5:$C$1005="P")*(MOVIMIENTOS!$D$5:$D$1005="jabas")*(MOVIMIENTOS!$A$5:$A$1005&lt;&gt;"")*(MOVIMIENTOS!$A$5:$A$1005&lt;=$A936)*MOVIMIENTOS!$E$5:$E$1005)+SUMPRODUCT((MOVIMIENTOS!$B$5:$B$1005="DEVOLUCIÓN")*(MOVIMIENTOS!$C$5:$C$1005="P")*(MOVIMIENTOS!$D$5:$D$1005="jabas")*(MOVIMIENTOS!$A$5:$A$1005&lt;&gt;"")*(MOVIMIENTOS!$A$5:$A$1005&lt;=$A936)*MOVIMIENTOS!$E$5:$E$1005)-SUMPRODUCT((MOVIMIENTOS!$B$5:$B$1005="TRASIEGO")*(MOVIMIENTOS!$C$5:$C$1005="P")*(MOVIMIENTOS!$D$5:$D$1005="jabas")*(MOVIMIENTOS!$A$5:$A$1005&lt;&gt;"")*(MOVIMIENTOS!$A$5:$A$1005&lt;=$A936)*MOVIMIENTOS!$E$5:$E$1005)-SUMPRODUCT((MOVIMIENTOS!$B$5:$B$1005="REGALO")*(MOVIMIENTOS!$C$5:$C$1005="P")*(MOVIMIENTOS!$D$5:$D$1005="jabas")*(MOVIMIENTOS!$A$5:$A$1005&lt;&gt;"")*(MOVIMIENTOS!$A$5:$A$1005&lt;=$A936)*MOVIMIENTOS!$E$5:$E$1005)-SUMPRODUCT((MOVIMIENTOS!$B$5:$B$1005="VENTA")*(MOVIMIENTOS!$C$5:$C$1005="P")*(MOVIMIENTOS!$D$5:$D$1005="jabas")*(MOVIMIENTOS!$A$5:$A$1005&lt;&gt;"")*(MOVIMIENTOS!$A$5:$A$1005&lt;=$A936)*MOVIMIENTOS!$E$5:$E$1005)+SUMPRODUCT((MOVIMIENTOS!$B$5:$B$1005="AJUSTE")*(MOVIMIENTOS!$C$5:$C$1005="P")*(MOVIMIENTOS!$D$5:$D$1005="jabas")*(MOVIMIENTOS!$A$5:$A$1005&lt;&gt;"")*(MOVIMIENTOS!$A$5:$A$1005&lt;=$A936)*MOVIMIENTOS!$E$5:$E$1005))</f>
        <v/>
      </c>
      <c r="D936" t="str">
        <f>IF($A936="","",SUMPRODUCT((MOVIMIENTOS!$B$5:$B$1005="SALDO INICIAL")*(MOVIMIENTOS!$C$5:$C$1005="C")*(MOVIMIENTOS!$D$5:$D$1005="jabas")*(MOVIMIENTOS!$A$5:$A$1005&lt;&gt;"")*(MOVIMIENTOS!$A$5:$A$1005&lt;=$A936)*MOVIMIENTOS!$E$5:$E$1005)+SUMPRODUCT((MOVIMIENTOS!$B$5:$B$1005="PROCESO")*(MOVIMIENTOS!$C$5:$C$1005="C")*(MOVIMIENTOS!$D$5:$D$1005="jabas")*(MOVIMIENTOS!$A$5:$A$1005&lt;&gt;"")*(MOVIMIENTOS!$A$5:$A$1005&lt;=$A936)*MOVIMIENTOS!$E$5:$E$1005)-SUMPRODUCT((MOVIMIENTOS!$B$5:$B$1005="ENVÍO A SUPESA")*(MOVIMIENTOS!$C$5:$C$1005="C")*(MOVIMIENTOS!$D$5:$D$1005="jabas")*(MOVIMIENTOS!$A$5:$A$1005&lt;&gt;"")*(MOVIMIENTOS!$A$5:$A$1005&lt;=$A936)*MOVIMIENTOS!$E$5:$E$1005)+SUMPRODUCT((MOVIMIENTOS!$B$5:$B$1005="DEVOLUCIÓN")*(MOVIMIENTOS!$C$5:$C$1005="C")*(MOVIMIENTOS!$D$5:$D$1005="jabas")*(MOVIMIENTOS!$A$5:$A$1005&lt;&gt;"")*(MOVIMIENTOS!$A$5:$A$1005&lt;=$A936)*MOVIMIENTOS!$E$5:$E$1005)-SUMPRODUCT((MOVIMIENTOS!$B$5:$B$1005="TRASIEGO")*(MOVIMIENTOS!$C$5:$C$1005="C")*(MOVIMIENTOS!$D$5:$D$1005="jabas")*(MOVIMIENTOS!$A$5:$A$1005&lt;&gt;"")*(MOVIMIENTOS!$A$5:$A$1005&lt;=$A936)*MOVIMIENTOS!$E$5:$E$1005)-SUMPRODUCT((MOVIMIENTOS!$B$5:$B$1005="REGALO")*(MOVIMIENTOS!$C$5:$C$1005="C")*(MOVIMIENTOS!$D$5:$D$1005="jabas")*(MOVIMIENTOS!$A$5:$A$1005&lt;&gt;"")*(MOVIMIENTOS!$A$5:$A$1005&lt;=$A936)*MOVIMIENTOS!$E$5:$E$1005)-SUMPRODUCT((MOVIMIENTOS!$B$5:$B$1005="VENTA")*(MOVIMIENTOS!$C$5:$C$1005="C")*(MOVIMIENTOS!$D$5:$D$1005="jabas")*(MOVIMIENTOS!$A$5:$A$1005&lt;&gt;"")*(MOVIMIENTOS!$A$5:$A$1005&lt;=$A936)*MOVIMIENTOS!$E$5:$E$1005)+SUMPRODUCT((MOVIMIENTOS!$B$5:$B$1005="AJUSTE")*(MOVIMIENTOS!$C$5:$C$1005="C")*(MOVIMIENTOS!$D$5:$D$1005="jabas")*(MOVIMIENTOS!$A$5:$A$1005&lt;&gt;"")*(MOVIMIENTOS!$A$5:$A$1005&lt;=$A936)*MOVIMIENTOS!$E$5:$E$1005))</f>
        <v/>
      </c>
      <c r="E936" t="str">
        <f>IF($A936="","",SUMPRODUCT((MOVIMIENTOS!$B$5:$B$1005="SALDO INICIAL")*(MOVIMIENTOS!$C$5:$C$1005="M")*(MOVIMIENTOS!$D$5:$D$1005="jabas")*(MOVIMIENTOS!$A$5:$A$1005&lt;&gt;"")*(MOVIMIENTOS!$A$5:$A$1005&lt;=$A936)*MOVIMIENTOS!$E$5:$E$1005)+SUMPRODUCT((MOVIMIENTOS!$B$5:$B$1005="PROCESO")*(MOVIMIENTOS!$C$5:$C$1005="M")*(MOVIMIENTOS!$D$5:$D$1005="jabas")*(MOVIMIENTOS!$A$5:$A$1005&lt;&gt;"")*(MOVIMIENTOS!$A$5:$A$1005&lt;=$A936)*MOVIMIENTOS!$E$5:$E$1005)-SUMPRODUCT((MOVIMIENTOS!$B$5:$B$1005="ENVÍO A SUPESA")*(MOVIMIENTOS!$C$5:$C$1005="M")*(MOVIMIENTOS!$D$5:$D$1005="jabas")*(MOVIMIENTOS!$A$5:$A$1005&lt;&gt;"")*(MOVIMIENTOS!$A$5:$A$1005&lt;=$A936)*MOVIMIENTOS!$E$5:$E$1005)+SUMPRODUCT((MOVIMIENTOS!$B$5:$B$1005="DEVOLUCIÓN")*(MOVIMIENTOS!$C$5:$C$1005="M")*(MOVIMIENTOS!$D$5:$D$1005="jabas")*(MOVIMIENTOS!$A$5:$A$1005&lt;&gt;"")*(MOVIMIENTOS!$A$5:$A$1005&lt;=$A936)*MOVIMIENTOS!$E$5:$E$1005)-SUMPRODUCT((MOVIMIENTOS!$B$5:$B$1005="TRASIEGO")*(MOVIMIENTOS!$C$5:$C$1005="M")*(MOVIMIENTOS!$D$5:$D$1005="jabas")*(MOVIMIENTOS!$A$5:$A$1005&lt;&gt;"")*(MOVIMIENTOS!$A$5:$A$1005&lt;=$A936)*MOVIMIENTOS!$E$5:$E$1005)-SUMPRODUCT((MOVIMIENTOS!$B$5:$B$1005="REGALO")*(MOVIMIENTOS!$C$5:$C$1005="M")*(MOVIMIENTOS!$D$5:$D$1005="jabas")*(MOVIMIENTOS!$A$5:$A$1005&lt;&gt;"")*(MOVIMIENTOS!$A$5:$A$1005&lt;=$A936)*MOVIMIENTOS!$E$5:$E$1005)-SUMPRODUCT((MOVIMIENTOS!$B$5:$B$1005="VENTA")*(MOVIMIENTOS!$C$5:$C$1005="M")*(MOVIMIENTOS!$D$5:$D$1005="jabas")*(MOVIMIENTOS!$A$5:$A$1005&lt;&gt;"")*(MOVIMIENTOS!$A$5:$A$1005&lt;=$A936)*MOVIMIENTOS!$E$5:$E$1005)+SUMPRODUCT((MOVIMIENTOS!$B$5:$B$1005="AJUSTE")*(MOVIMIENTOS!$C$5:$C$1005="M")*(MOVIMIENTOS!$D$5:$D$1005="jabas")*(MOVIMIENTOS!$A$5:$A$1005&lt;&gt;"")*(MOVIMIENTOS!$A$5:$A$1005&lt;=$A936)*MOVIMIENTOS!$E$5:$E$1005))</f>
        <v/>
      </c>
      <c r="F936" s="62" t="str">
        <f>IF($A936="","",SUMPRODUCT((MOVIMIENTOS!$B$5:$B$1005="SALDO INICIAL")*(MOVIMIENTOS!$C$5:$C$1005="Chancho")*(MOVIMIENTOS!$D$5:$D$1005="sacos")*(MOVIMIENTOS!$A$5:$A$1005&lt;&gt;"")*(MOVIMIENTOS!$A$5:$A$1005&lt;=$A936)*MOVIMIENTOS!$E$5:$E$1005)+SUMPRODUCT((MOVIMIENTOS!$B$5:$B$1005="PROCESO")*(MOVIMIENTOS!$C$5:$C$1005="Chancho")*(MOVIMIENTOS!$D$5:$D$1005="sacos")*(MOVIMIENTOS!$A$5:$A$1005&lt;&gt;"")*(MOVIMIENTOS!$A$5:$A$1005&lt;=$A936)*MOVIMIENTOS!$E$5:$E$1005)-SUMPRODUCT((MOVIMIENTOS!$B$5:$B$1005="VENTA CHANCHO")*(MOVIMIENTOS!$C$5:$C$1005="Chancho")*(MOVIMIENTOS!$D$5:$D$1005="sacos")*(MOVIMIENTOS!$A$5:$A$1005&lt;&gt;"")*(MOVIMIENTOS!$A$5:$A$1005&lt;=$A936)*MOVIMIENTOS!$E$5:$E$1005)-SUMPRODUCT((MOVIMIENTOS!$B$5:$B$1005="REGALO")*(MOVIMIENTOS!$C$5:$C$1005="Chancho")*(MOVIMIENTOS!$D$5:$D$1005="sacos")*(MOVIMIENTOS!$A$5:$A$1005&lt;&gt;"")*(MOVIMIENTOS!$A$5:$A$1005&lt;=$A936)*MOVIMIENTOS!$E$5:$E$1005)-SUMPRODUCT((MOVIMIENTOS!$B$5:$B$1005="VENTA")*(MOVIMIENTOS!$C$5:$C$1005="Chancho")*(MOVIMIENTOS!$D$5:$D$1005="sacos")*(MOVIMIENTOS!$A$5:$A$1005&lt;&gt;"")*(MOVIMIENTOS!$A$5:$A$1005&lt;=$A936)*MOVIMIENTOS!$E$5:$E$1005)+SUMPRODUCT((MOVIMIENTOS!$B$5:$B$1005="AJUSTE")*(MOVIMIENTOS!$C$5:$C$1005="Chancho")*(MOVIMIENTOS!$D$5:$D$1005="sacos")*(MOVIMIENTOS!$A$5:$A$1005&lt;&gt;"")*(MOVIMIENTOS!$A$5:$A$1005&lt;=$A936)*MOVIMIENTOS!$E$5:$E$1005))</f>
        <v/>
      </c>
      <c r="G936" s="62" t="str">
        <f t="shared" si="29"/>
        <v/>
      </c>
      <c r="H936" t="str">
        <f>IF($A936="","",SUMPRODUCT((((MOVIMIENTOS!$B$5:$B$1005="SALDO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936)*MOVIMIENTOS!$J$5:$J$1005))</f>
        <v/>
      </c>
      <c r="J936" t="str">
        <f>IF(AND(MOVIMIENTOS!$A941&lt;&gt;"",COUNTIF(MOVIMIENTOS!$A$5:$A940,MOVIMIENTOS!$A941)=0),COUNT(J$4:J935)+1,"")</f>
        <v/>
      </c>
      <c r="K936">
        <f>MOVIMIENTOS!$A941</f>
        <v>0</v>
      </c>
    </row>
    <row r="937" spans="1:11" ht="15" customHeight="1" x14ac:dyDescent="0.2">
      <c r="A937" t="str">
        <f t="shared" si="28"/>
        <v/>
      </c>
      <c r="B937" t="str">
        <f>IF($A937="","",SUMPRODUCT((MOVIMIENTOS!$B$5:$B$1005="SALDO INICIAL")*(MOVIMIENTOS!$C$5:$C$1005="A")*(MOVIMIENTOS!$D$5:$D$1005="jabas")*(MOVIMIENTOS!$A$5:$A$1005&lt;&gt;"")*(MOVIMIENTOS!$A$5:$A$1005&lt;=$A937)*MOVIMIENTOS!$E$5:$E$1005)+SUMPRODUCT((MOVIMIENTOS!$B$5:$B$1005="PROCESO")*(MOVIMIENTOS!$C$5:$C$1005="A")*(MOVIMIENTOS!$D$5:$D$1005="jabas")*(MOVIMIENTOS!$A$5:$A$1005&lt;&gt;"")*(MOVIMIENTOS!$A$5:$A$1005&lt;=$A937)*MOVIMIENTOS!$E$5:$E$1005)-SUMPRODUCT((MOVIMIENTOS!$B$5:$B$1005="ENVÍO A SUPESA")*(MOVIMIENTOS!$C$5:$C$1005="A")*(MOVIMIENTOS!$D$5:$D$1005="jabas")*(MOVIMIENTOS!$A$5:$A$1005&lt;&gt;"")*(MOVIMIENTOS!$A$5:$A$1005&lt;=$A937)*MOVIMIENTOS!$E$5:$E$1005)+SUMPRODUCT((MOVIMIENTOS!$B$5:$B$1005="DEVOLUCIÓN")*(MOVIMIENTOS!$C$5:$C$1005="A")*(MOVIMIENTOS!$D$5:$D$1005="jabas")*(MOVIMIENTOS!$A$5:$A$1005&lt;&gt;"")*(MOVIMIENTOS!$A$5:$A$1005&lt;=$A937)*MOVIMIENTOS!$E$5:$E$1005)-SUMPRODUCT((MOVIMIENTOS!$B$5:$B$1005="TRASIEGO")*(MOVIMIENTOS!$C$5:$C$1005="A")*(MOVIMIENTOS!$D$5:$D$1005="jabas")*(MOVIMIENTOS!$A$5:$A$1005&lt;&gt;"")*(MOVIMIENTOS!$A$5:$A$1005&lt;=$A937)*MOVIMIENTOS!$E$5:$E$1005)-SUMPRODUCT((MOVIMIENTOS!$B$5:$B$1005="REGALO")*(MOVIMIENTOS!$C$5:$C$1005="A")*(MOVIMIENTOS!$D$5:$D$1005="jabas")*(MOVIMIENTOS!$A$5:$A$1005&lt;&gt;"")*(MOVIMIENTOS!$A$5:$A$1005&lt;=$A937)*MOVIMIENTOS!$E$5:$E$1005)-SUMPRODUCT((MOVIMIENTOS!$B$5:$B$1005="VENTA")*(MOVIMIENTOS!$C$5:$C$1005="A")*(MOVIMIENTOS!$D$5:$D$1005="jabas")*(MOVIMIENTOS!$A$5:$A$1005&lt;&gt;"")*(MOVIMIENTOS!$A$5:$A$1005&lt;=$A937)*MOVIMIENTOS!$E$5:$E$1005)+SUMPRODUCT((MOVIMIENTOS!$B$5:$B$1005="AJUSTE")*(MOVIMIENTOS!$C$5:$C$1005="A")*(MOVIMIENTOS!$D$5:$D$1005="jabas")*(MOVIMIENTOS!$A$5:$A$1005&lt;&gt;"")*(MOVIMIENTOS!$A$5:$A$1005&lt;=$A937)*MOVIMIENTOS!$E$5:$E$1005))</f>
        <v/>
      </c>
      <c r="C937" t="str">
        <f>IF($A937="","",SUMPRODUCT((MOVIMIENTOS!$B$5:$B$1005="SALDO INICIAL")*(MOVIMIENTOS!$C$5:$C$1005="P")*(MOVIMIENTOS!$D$5:$D$1005="jabas")*(MOVIMIENTOS!$A$5:$A$1005&lt;&gt;"")*(MOVIMIENTOS!$A$5:$A$1005&lt;=$A937)*MOVIMIENTOS!$E$5:$E$1005)+SUMPRODUCT((MOVIMIENTOS!$B$5:$B$1005="PROCESO")*(MOVIMIENTOS!$C$5:$C$1005="P")*(MOVIMIENTOS!$D$5:$D$1005="jabas")*(MOVIMIENTOS!$A$5:$A$1005&lt;&gt;"")*(MOVIMIENTOS!$A$5:$A$1005&lt;=$A937)*MOVIMIENTOS!$E$5:$E$1005)-SUMPRODUCT((MOVIMIENTOS!$B$5:$B$1005="ENVÍO A SUPESA")*(MOVIMIENTOS!$C$5:$C$1005="P")*(MOVIMIENTOS!$D$5:$D$1005="jabas")*(MOVIMIENTOS!$A$5:$A$1005&lt;&gt;"")*(MOVIMIENTOS!$A$5:$A$1005&lt;=$A937)*MOVIMIENTOS!$E$5:$E$1005)+SUMPRODUCT((MOVIMIENTOS!$B$5:$B$1005="DEVOLUCIÓN")*(MOVIMIENTOS!$C$5:$C$1005="P")*(MOVIMIENTOS!$D$5:$D$1005="jabas")*(MOVIMIENTOS!$A$5:$A$1005&lt;&gt;"")*(MOVIMIENTOS!$A$5:$A$1005&lt;=$A937)*MOVIMIENTOS!$E$5:$E$1005)-SUMPRODUCT((MOVIMIENTOS!$B$5:$B$1005="TRASIEGO")*(MOVIMIENTOS!$C$5:$C$1005="P")*(MOVIMIENTOS!$D$5:$D$1005="jabas")*(MOVIMIENTOS!$A$5:$A$1005&lt;&gt;"")*(MOVIMIENTOS!$A$5:$A$1005&lt;=$A937)*MOVIMIENTOS!$E$5:$E$1005)-SUMPRODUCT((MOVIMIENTOS!$B$5:$B$1005="REGALO")*(MOVIMIENTOS!$C$5:$C$1005="P")*(MOVIMIENTOS!$D$5:$D$1005="jabas")*(MOVIMIENTOS!$A$5:$A$1005&lt;&gt;"")*(MOVIMIENTOS!$A$5:$A$1005&lt;=$A937)*MOVIMIENTOS!$E$5:$E$1005)-SUMPRODUCT((MOVIMIENTOS!$B$5:$B$1005="VENTA")*(MOVIMIENTOS!$C$5:$C$1005="P")*(MOVIMIENTOS!$D$5:$D$1005="jabas")*(MOVIMIENTOS!$A$5:$A$1005&lt;&gt;"")*(MOVIMIENTOS!$A$5:$A$1005&lt;=$A937)*MOVIMIENTOS!$E$5:$E$1005)+SUMPRODUCT((MOVIMIENTOS!$B$5:$B$1005="AJUSTE")*(MOVIMIENTOS!$C$5:$C$1005="P")*(MOVIMIENTOS!$D$5:$D$1005="jabas")*(MOVIMIENTOS!$A$5:$A$1005&lt;&gt;"")*(MOVIMIENTOS!$A$5:$A$1005&lt;=$A937)*MOVIMIENTOS!$E$5:$E$1005))</f>
        <v/>
      </c>
      <c r="D937" t="str">
        <f>IF($A937="","",SUMPRODUCT((MOVIMIENTOS!$B$5:$B$1005="SALDO INICIAL")*(MOVIMIENTOS!$C$5:$C$1005="C")*(MOVIMIENTOS!$D$5:$D$1005="jabas")*(MOVIMIENTOS!$A$5:$A$1005&lt;&gt;"")*(MOVIMIENTOS!$A$5:$A$1005&lt;=$A937)*MOVIMIENTOS!$E$5:$E$1005)+SUMPRODUCT((MOVIMIENTOS!$B$5:$B$1005="PROCESO")*(MOVIMIENTOS!$C$5:$C$1005="C")*(MOVIMIENTOS!$D$5:$D$1005="jabas")*(MOVIMIENTOS!$A$5:$A$1005&lt;&gt;"")*(MOVIMIENTOS!$A$5:$A$1005&lt;=$A937)*MOVIMIENTOS!$E$5:$E$1005)-SUMPRODUCT((MOVIMIENTOS!$B$5:$B$1005="ENVÍO A SUPESA")*(MOVIMIENTOS!$C$5:$C$1005="C")*(MOVIMIENTOS!$D$5:$D$1005="jabas")*(MOVIMIENTOS!$A$5:$A$1005&lt;&gt;"")*(MOVIMIENTOS!$A$5:$A$1005&lt;=$A937)*MOVIMIENTOS!$E$5:$E$1005)+SUMPRODUCT((MOVIMIENTOS!$B$5:$B$1005="DEVOLUCIÓN")*(MOVIMIENTOS!$C$5:$C$1005="C")*(MOVIMIENTOS!$D$5:$D$1005="jabas")*(MOVIMIENTOS!$A$5:$A$1005&lt;&gt;"")*(MOVIMIENTOS!$A$5:$A$1005&lt;=$A937)*MOVIMIENTOS!$E$5:$E$1005)-SUMPRODUCT((MOVIMIENTOS!$B$5:$B$1005="TRASIEGO")*(MOVIMIENTOS!$C$5:$C$1005="C")*(MOVIMIENTOS!$D$5:$D$1005="jabas")*(MOVIMIENTOS!$A$5:$A$1005&lt;&gt;"")*(MOVIMIENTOS!$A$5:$A$1005&lt;=$A937)*MOVIMIENTOS!$E$5:$E$1005)-SUMPRODUCT((MOVIMIENTOS!$B$5:$B$1005="REGALO")*(MOVIMIENTOS!$C$5:$C$1005="C")*(MOVIMIENTOS!$D$5:$D$1005="jabas")*(MOVIMIENTOS!$A$5:$A$1005&lt;&gt;"")*(MOVIMIENTOS!$A$5:$A$1005&lt;=$A937)*MOVIMIENTOS!$E$5:$E$1005)-SUMPRODUCT((MOVIMIENTOS!$B$5:$B$1005="VENTA")*(MOVIMIENTOS!$C$5:$C$1005="C")*(MOVIMIENTOS!$D$5:$D$1005="jabas")*(MOVIMIENTOS!$A$5:$A$1005&lt;&gt;"")*(MOVIMIENTOS!$A$5:$A$1005&lt;=$A937)*MOVIMIENTOS!$E$5:$E$1005)+SUMPRODUCT((MOVIMIENTOS!$B$5:$B$1005="AJUSTE")*(MOVIMIENTOS!$C$5:$C$1005="C")*(MOVIMIENTOS!$D$5:$D$1005="jabas")*(MOVIMIENTOS!$A$5:$A$1005&lt;&gt;"")*(MOVIMIENTOS!$A$5:$A$1005&lt;=$A937)*MOVIMIENTOS!$E$5:$E$1005))</f>
        <v/>
      </c>
      <c r="E937" t="str">
        <f>IF($A937="","",SUMPRODUCT((MOVIMIENTOS!$B$5:$B$1005="SALDO INICIAL")*(MOVIMIENTOS!$C$5:$C$1005="M")*(MOVIMIENTOS!$D$5:$D$1005="jabas")*(MOVIMIENTOS!$A$5:$A$1005&lt;&gt;"")*(MOVIMIENTOS!$A$5:$A$1005&lt;=$A937)*MOVIMIENTOS!$E$5:$E$1005)+SUMPRODUCT((MOVIMIENTOS!$B$5:$B$1005="PROCESO")*(MOVIMIENTOS!$C$5:$C$1005="M")*(MOVIMIENTOS!$D$5:$D$1005="jabas")*(MOVIMIENTOS!$A$5:$A$1005&lt;&gt;"")*(MOVIMIENTOS!$A$5:$A$1005&lt;=$A937)*MOVIMIENTOS!$E$5:$E$1005)-SUMPRODUCT((MOVIMIENTOS!$B$5:$B$1005="ENVÍO A SUPESA")*(MOVIMIENTOS!$C$5:$C$1005="M")*(MOVIMIENTOS!$D$5:$D$1005="jabas")*(MOVIMIENTOS!$A$5:$A$1005&lt;&gt;"")*(MOVIMIENTOS!$A$5:$A$1005&lt;=$A937)*MOVIMIENTOS!$E$5:$E$1005)+SUMPRODUCT((MOVIMIENTOS!$B$5:$B$1005="DEVOLUCIÓN")*(MOVIMIENTOS!$C$5:$C$1005="M")*(MOVIMIENTOS!$D$5:$D$1005="jabas")*(MOVIMIENTOS!$A$5:$A$1005&lt;&gt;"")*(MOVIMIENTOS!$A$5:$A$1005&lt;=$A937)*MOVIMIENTOS!$E$5:$E$1005)-SUMPRODUCT((MOVIMIENTOS!$B$5:$B$1005="TRASIEGO")*(MOVIMIENTOS!$C$5:$C$1005="M")*(MOVIMIENTOS!$D$5:$D$1005="jabas")*(MOVIMIENTOS!$A$5:$A$1005&lt;&gt;"")*(MOVIMIENTOS!$A$5:$A$1005&lt;=$A937)*MOVIMIENTOS!$E$5:$E$1005)-SUMPRODUCT((MOVIMIENTOS!$B$5:$B$1005="REGALO")*(MOVIMIENTOS!$C$5:$C$1005="M")*(MOVIMIENTOS!$D$5:$D$1005="jabas")*(MOVIMIENTOS!$A$5:$A$1005&lt;&gt;"")*(MOVIMIENTOS!$A$5:$A$1005&lt;=$A937)*MOVIMIENTOS!$E$5:$E$1005)-SUMPRODUCT((MOVIMIENTOS!$B$5:$B$1005="VENTA")*(MOVIMIENTOS!$C$5:$C$1005="M")*(MOVIMIENTOS!$D$5:$D$1005="jabas")*(MOVIMIENTOS!$A$5:$A$1005&lt;&gt;"")*(MOVIMIENTOS!$A$5:$A$1005&lt;=$A937)*MOVIMIENTOS!$E$5:$E$1005)+SUMPRODUCT((MOVIMIENTOS!$B$5:$B$1005="AJUSTE")*(MOVIMIENTOS!$C$5:$C$1005="M")*(MOVIMIENTOS!$D$5:$D$1005="jabas")*(MOVIMIENTOS!$A$5:$A$1005&lt;&gt;"")*(MOVIMIENTOS!$A$5:$A$1005&lt;=$A937)*MOVIMIENTOS!$E$5:$E$1005))</f>
        <v/>
      </c>
      <c r="F937" s="62" t="str">
        <f>IF($A937="","",SUMPRODUCT((MOVIMIENTOS!$B$5:$B$1005="SALDO INICIAL")*(MOVIMIENTOS!$C$5:$C$1005="Chancho")*(MOVIMIENTOS!$D$5:$D$1005="sacos")*(MOVIMIENTOS!$A$5:$A$1005&lt;&gt;"")*(MOVIMIENTOS!$A$5:$A$1005&lt;=$A937)*MOVIMIENTOS!$E$5:$E$1005)+SUMPRODUCT((MOVIMIENTOS!$B$5:$B$1005="PROCESO")*(MOVIMIENTOS!$C$5:$C$1005="Chancho")*(MOVIMIENTOS!$D$5:$D$1005="sacos")*(MOVIMIENTOS!$A$5:$A$1005&lt;&gt;"")*(MOVIMIENTOS!$A$5:$A$1005&lt;=$A937)*MOVIMIENTOS!$E$5:$E$1005)-SUMPRODUCT((MOVIMIENTOS!$B$5:$B$1005="VENTA CHANCHO")*(MOVIMIENTOS!$C$5:$C$1005="Chancho")*(MOVIMIENTOS!$D$5:$D$1005="sacos")*(MOVIMIENTOS!$A$5:$A$1005&lt;&gt;"")*(MOVIMIENTOS!$A$5:$A$1005&lt;=$A937)*MOVIMIENTOS!$E$5:$E$1005)-SUMPRODUCT((MOVIMIENTOS!$B$5:$B$1005="REGALO")*(MOVIMIENTOS!$C$5:$C$1005="Chancho")*(MOVIMIENTOS!$D$5:$D$1005="sacos")*(MOVIMIENTOS!$A$5:$A$1005&lt;&gt;"")*(MOVIMIENTOS!$A$5:$A$1005&lt;=$A937)*MOVIMIENTOS!$E$5:$E$1005)-SUMPRODUCT((MOVIMIENTOS!$B$5:$B$1005="VENTA")*(MOVIMIENTOS!$C$5:$C$1005="Chancho")*(MOVIMIENTOS!$D$5:$D$1005="sacos")*(MOVIMIENTOS!$A$5:$A$1005&lt;&gt;"")*(MOVIMIENTOS!$A$5:$A$1005&lt;=$A937)*MOVIMIENTOS!$E$5:$E$1005)+SUMPRODUCT((MOVIMIENTOS!$B$5:$B$1005="AJUSTE")*(MOVIMIENTOS!$C$5:$C$1005="Chancho")*(MOVIMIENTOS!$D$5:$D$1005="sacos")*(MOVIMIENTOS!$A$5:$A$1005&lt;&gt;"")*(MOVIMIENTOS!$A$5:$A$1005&lt;=$A937)*MOVIMIENTOS!$E$5:$E$1005))</f>
        <v/>
      </c>
      <c r="G937" s="62" t="str">
        <f t="shared" si="29"/>
        <v/>
      </c>
      <c r="H937" t="str">
        <f>IF($A937="","",SUMPRODUCT((((MOVIMIENTOS!$B$5:$B$1005="SALDO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937)*MOVIMIENTOS!$J$5:$J$1005))</f>
        <v/>
      </c>
      <c r="J937" t="str">
        <f>IF(AND(MOVIMIENTOS!$A942&lt;&gt;"",COUNTIF(MOVIMIENTOS!$A$5:$A941,MOVIMIENTOS!$A942)=0),COUNT(J$4:J936)+1,"")</f>
        <v/>
      </c>
      <c r="K937">
        <f>MOVIMIENTOS!$A942</f>
        <v>0</v>
      </c>
    </row>
    <row r="938" spans="1:11" ht="15" customHeight="1" x14ac:dyDescent="0.2">
      <c r="A938" t="str">
        <f t="shared" si="28"/>
        <v/>
      </c>
      <c r="B938" t="str">
        <f>IF($A938="","",SUMPRODUCT((MOVIMIENTOS!$B$5:$B$1005="SALDO INICIAL")*(MOVIMIENTOS!$C$5:$C$1005="A")*(MOVIMIENTOS!$D$5:$D$1005="jabas")*(MOVIMIENTOS!$A$5:$A$1005&lt;&gt;"")*(MOVIMIENTOS!$A$5:$A$1005&lt;=$A938)*MOVIMIENTOS!$E$5:$E$1005)+SUMPRODUCT((MOVIMIENTOS!$B$5:$B$1005="PROCESO")*(MOVIMIENTOS!$C$5:$C$1005="A")*(MOVIMIENTOS!$D$5:$D$1005="jabas")*(MOVIMIENTOS!$A$5:$A$1005&lt;&gt;"")*(MOVIMIENTOS!$A$5:$A$1005&lt;=$A938)*MOVIMIENTOS!$E$5:$E$1005)-SUMPRODUCT((MOVIMIENTOS!$B$5:$B$1005="ENVÍO A SUPESA")*(MOVIMIENTOS!$C$5:$C$1005="A")*(MOVIMIENTOS!$D$5:$D$1005="jabas")*(MOVIMIENTOS!$A$5:$A$1005&lt;&gt;"")*(MOVIMIENTOS!$A$5:$A$1005&lt;=$A938)*MOVIMIENTOS!$E$5:$E$1005)+SUMPRODUCT((MOVIMIENTOS!$B$5:$B$1005="DEVOLUCIÓN")*(MOVIMIENTOS!$C$5:$C$1005="A")*(MOVIMIENTOS!$D$5:$D$1005="jabas")*(MOVIMIENTOS!$A$5:$A$1005&lt;&gt;"")*(MOVIMIENTOS!$A$5:$A$1005&lt;=$A938)*MOVIMIENTOS!$E$5:$E$1005)-SUMPRODUCT((MOVIMIENTOS!$B$5:$B$1005="TRASIEGO")*(MOVIMIENTOS!$C$5:$C$1005="A")*(MOVIMIENTOS!$D$5:$D$1005="jabas")*(MOVIMIENTOS!$A$5:$A$1005&lt;&gt;"")*(MOVIMIENTOS!$A$5:$A$1005&lt;=$A938)*MOVIMIENTOS!$E$5:$E$1005)-SUMPRODUCT((MOVIMIENTOS!$B$5:$B$1005="REGALO")*(MOVIMIENTOS!$C$5:$C$1005="A")*(MOVIMIENTOS!$D$5:$D$1005="jabas")*(MOVIMIENTOS!$A$5:$A$1005&lt;&gt;"")*(MOVIMIENTOS!$A$5:$A$1005&lt;=$A938)*MOVIMIENTOS!$E$5:$E$1005)-SUMPRODUCT((MOVIMIENTOS!$B$5:$B$1005="VENTA")*(MOVIMIENTOS!$C$5:$C$1005="A")*(MOVIMIENTOS!$D$5:$D$1005="jabas")*(MOVIMIENTOS!$A$5:$A$1005&lt;&gt;"")*(MOVIMIENTOS!$A$5:$A$1005&lt;=$A938)*MOVIMIENTOS!$E$5:$E$1005)+SUMPRODUCT((MOVIMIENTOS!$B$5:$B$1005="AJUSTE")*(MOVIMIENTOS!$C$5:$C$1005="A")*(MOVIMIENTOS!$D$5:$D$1005="jabas")*(MOVIMIENTOS!$A$5:$A$1005&lt;&gt;"")*(MOVIMIENTOS!$A$5:$A$1005&lt;=$A938)*MOVIMIENTOS!$E$5:$E$1005))</f>
        <v/>
      </c>
      <c r="C938" t="str">
        <f>IF($A938="","",SUMPRODUCT((MOVIMIENTOS!$B$5:$B$1005="SALDO INICIAL")*(MOVIMIENTOS!$C$5:$C$1005="P")*(MOVIMIENTOS!$D$5:$D$1005="jabas")*(MOVIMIENTOS!$A$5:$A$1005&lt;&gt;"")*(MOVIMIENTOS!$A$5:$A$1005&lt;=$A938)*MOVIMIENTOS!$E$5:$E$1005)+SUMPRODUCT((MOVIMIENTOS!$B$5:$B$1005="PROCESO")*(MOVIMIENTOS!$C$5:$C$1005="P")*(MOVIMIENTOS!$D$5:$D$1005="jabas")*(MOVIMIENTOS!$A$5:$A$1005&lt;&gt;"")*(MOVIMIENTOS!$A$5:$A$1005&lt;=$A938)*MOVIMIENTOS!$E$5:$E$1005)-SUMPRODUCT((MOVIMIENTOS!$B$5:$B$1005="ENVÍO A SUPESA")*(MOVIMIENTOS!$C$5:$C$1005="P")*(MOVIMIENTOS!$D$5:$D$1005="jabas")*(MOVIMIENTOS!$A$5:$A$1005&lt;&gt;"")*(MOVIMIENTOS!$A$5:$A$1005&lt;=$A938)*MOVIMIENTOS!$E$5:$E$1005)+SUMPRODUCT((MOVIMIENTOS!$B$5:$B$1005="DEVOLUCIÓN")*(MOVIMIENTOS!$C$5:$C$1005="P")*(MOVIMIENTOS!$D$5:$D$1005="jabas")*(MOVIMIENTOS!$A$5:$A$1005&lt;&gt;"")*(MOVIMIENTOS!$A$5:$A$1005&lt;=$A938)*MOVIMIENTOS!$E$5:$E$1005)-SUMPRODUCT((MOVIMIENTOS!$B$5:$B$1005="TRASIEGO")*(MOVIMIENTOS!$C$5:$C$1005="P")*(MOVIMIENTOS!$D$5:$D$1005="jabas")*(MOVIMIENTOS!$A$5:$A$1005&lt;&gt;"")*(MOVIMIENTOS!$A$5:$A$1005&lt;=$A938)*MOVIMIENTOS!$E$5:$E$1005)-SUMPRODUCT((MOVIMIENTOS!$B$5:$B$1005="REGALO")*(MOVIMIENTOS!$C$5:$C$1005="P")*(MOVIMIENTOS!$D$5:$D$1005="jabas")*(MOVIMIENTOS!$A$5:$A$1005&lt;&gt;"")*(MOVIMIENTOS!$A$5:$A$1005&lt;=$A938)*MOVIMIENTOS!$E$5:$E$1005)-SUMPRODUCT((MOVIMIENTOS!$B$5:$B$1005="VENTA")*(MOVIMIENTOS!$C$5:$C$1005="P")*(MOVIMIENTOS!$D$5:$D$1005="jabas")*(MOVIMIENTOS!$A$5:$A$1005&lt;&gt;"")*(MOVIMIENTOS!$A$5:$A$1005&lt;=$A938)*MOVIMIENTOS!$E$5:$E$1005)+SUMPRODUCT((MOVIMIENTOS!$B$5:$B$1005="AJUSTE")*(MOVIMIENTOS!$C$5:$C$1005="P")*(MOVIMIENTOS!$D$5:$D$1005="jabas")*(MOVIMIENTOS!$A$5:$A$1005&lt;&gt;"")*(MOVIMIENTOS!$A$5:$A$1005&lt;=$A938)*MOVIMIENTOS!$E$5:$E$1005))</f>
        <v/>
      </c>
      <c r="D938" t="str">
        <f>IF($A938="","",SUMPRODUCT((MOVIMIENTOS!$B$5:$B$1005="SALDO INICIAL")*(MOVIMIENTOS!$C$5:$C$1005="C")*(MOVIMIENTOS!$D$5:$D$1005="jabas")*(MOVIMIENTOS!$A$5:$A$1005&lt;&gt;"")*(MOVIMIENTOS!$A$5:$A$1005&lt;=$A938)*MOVIMIENTOS!$E$5:$E$1005)+SUMPRODUCT((MOVIMIENTOS!$B$5:$B$1005="PROCESO")*(MOVIMIENTOS!$C$5:$C$1005="C")*(MOVIMIENTOS!$D$5:$D$1005="jabas")*(MOVIMIENTOS!$A$5:$A$1005&lt;&gt;"")*(MOVIMIENTOS!$A$5:$A$1005&lt;=$A938)*MOVIMIENTOS!$E$5:$E$1005)-SUMPRODUCT((MOVIMIENTOS!$B$5:$B$1005="ENVÍO A SUPESA")*(MOVIMIENTOS!$C$5:$C$1005="C")*(MOVIMIENTOS!$D$5:$D$1005="jabas")*(MOVIMIENTOS!$A$5:$A$1005&lt;&gt;"")*(MOVIMIENTOS!$A$5:$A$1005&lt;=$A938)*MOVIMIENTOS!$E$5:$E$1005)+SUMPRODUCT((MOVIMIENTOS!$B$5:$B$1005="DEVOLUCIÓN")*(MOVIMIENTOS!$C$5:$C$1005="C")*(MOVIMIENTOS!$D$5:$D$1005="jabas")*(MOVIMIENTOS!$A$5:$A$1005&lt;&gt;"")*(MOVIMIENTOS!$A$5:$A$1005&lt;=$A938)*MOVIMIENTOS!$E$5:$E$1005)-SUMPRODUCT((MOVIMIENTOS!$B$5:$B$1005="TRASIEGO")*(MOVIMIENTOS!$C$5:$C$1005="C")*(MOVIMIENTOS!$D$5:$D$1005="jabas")*(MOVIMIENTOS!$A$5:$A$1005&lt;&gt;"")*(MOVIMIENTOS!$A$5:$A$1005&lt;=$A938)*MOVIMIENTOS!$E$5:$E$1005)-SUMPRODUCT((MOVIMIENTOS!$B$5:$B$1005="REGALO")*(MOVIMIENTOS!$C$5:$C$1005="C")*(MOVIMIENTOS!$D$5:$D$1005="jabas")*(MOVIMIENTOS!$A$5:$A$1005&lt;&gt;"")*(MOVIMIENTOS!$A$5:$A$1005&lt;=$A938)*MOVIMIENTOS!$E$5:$E$1005)-SUMPRODUCT((MOVIMIENTOS!$B$5:$B$1005="VENTA")*(MOVIMIENTOS!$C$5:$C$1005="C")*(MOVIMIENTOS!$D$5:$D$1005="jabas")*(MOVIMIENTOS!$A$5:$A$1005&lt;&gt;"")*(MOVIMIENTOS!$A$5:$A$1005&lt;=$A938)*MOVIMIENTOS!$E$5:$E$1005)+SUMPRODUCT((MOVIMIENTOS!$B$5:$B$1005="AJUSTE")*(MOVIMIENTOS!$C$5:$C$1005="C")*(MOVIMIENTOS!$D$5:$D$1005="jabas")*(MOVIMIENTOS!$A$5:$A$1005&lt;&gt;"")*(MOVIMIENTOS!$A$5:$A$1005&lt;=$A938)*MOVIMIENTOS!$E$5:$E$1005))</f>
        <v/>
      </c>
      <c r="E938" t="str">
        <f>IF($A938="","",SUMPRODUCT((MOVIMIENTOS!$B$5:$B$1005="SALDO INICIAL")*(MOVIMIENTOS!$C$5:$C$1005="M")*(MOVIMIENTOS!$D$5:$D$1005="jabas")*(MOVIMIENTOS!$A$5:$A$1005&lt;&gt;"")*(MOVIMIENTOS!$A$5:$A$1005&lt;=$A938)*MOVIMIENTOS!$E$5:$E$1005)+SUMPRODUCT((MOVIMIENTOS!$B$5:$B$1005="PROCESO")*(MOVIMIENTOS!$C$5:$C$1005="M")*(MOVIMIENTOS!$D$5:$D$1005="jabas")*(MOVIMIENTOS!$A$5:$A$1005&lt;&gt;"")*(MOVIMIENTOS!$A$5:$A$1005&lt;=$A938)*MOVIMIENTOS!$E$5:$E$1005)-SUMPRODUCT((MOVIMIENTOS!$B$5:$B$1005="ENVÍO A SUPESA")*(MOVIMIENTOS!$C$5:$C$1005="M")*(MOVIMIENTOS!$D$5:$D$1005="jabas")*(MOVIMIENTOS!$A$5:$A$1005&lt;&gt;"")*(MOVIMIENTOS!$A$5:$A$1005&lt;=$A938)*MOVIMIENTOS!$E$5:$E$1005)+SUMPRODUCT((MOVIMIENTOS!$B$5:$B$1005="DEVOLUCIÓN")*(MOVIMIENTOS!$C$5:$C$1005="M")*(MOVIMIENTOS!$D$5:$D$1005="jabas")*(MOVIMIENTOS!$A$5:$A$1005&lt;&gt;"")*(MOVIMIENTOS!$A$5:$A$1005&lt;=$A938)*MOVIMIENTOS!$E$5:$E$1005)-SUMPRODUCT((MOVIMIENTOS!$B$5:$B$1005="TRASIEGO")*(MOVIMIENTOS!$C$5:$C$1005="M")*(MOVIMIENTOS!$D$5:$D$1005="jabas")*(MOVIMIENTOS!$A$5:$A$1005&lt;&gt;"")*(MOVIMIENTOS!$A$5:$A$1005&lt;=$A938)*MOVIMIENTOS!$E$5:$E$1005)-SUMPRODUCT((MOVIMIENTOS!$B$5:$B$1005="REGALO")*(MOVIMIENTOS!$C$5:$C$1005="M")*(MOVIMIENTOS!$D$5:$D$1005="jabas")*(MOVIMIENTOS!$A$5:$A$1005&lt;&gt;"")*(MOVIMIENTOS!$A$5:$A$1005&lt;=$A938)*MOVIMIENTOS!$E$5:$E$1005)-SUMPRODUCT((MOVIMIENTOS!$B$5:$B$1005="VENTA")*(MOVIMIENTOS!$C$5:$C$1005="M")*(MOVIMIENTOS!$D$5:$D$1005="jabas")*(MOVIMIENTOS!$A$5:$A$1005&lt;&gt;"")*(MOVIMIENTOS!$A$5:$A$1005&lt;=$A938)*MOVIMIENTOS!$E$5:$E$1005)+SUMPRODUCT((MOVIMIENTOS!$B$5:$B$1005="AJUSTE")*(MOVIMIENTOS!$C$5:$C$1005="M")*(MOVIMIENTOS!$D$5:$D$1005="jabas")*(MOVIMIENTOS!$A$5:$A$1005&lt;&gt;"")*(MOVIMIENTOS!$A$5:$A$1005&lt;=$A938)*MOVIMIENTOS!$E$5:$E$1005))</f>
        <v/>
      </c>
      <c r="F938" s="62" t="str">
        <f>IF($A938="","",SUMPRODUCT((MOVIMIENTOS!$B$5:$B$1005="SALDO INICIAL")*(MOVIMIENTOS!$C$5:$C$1005="Chancho")*(MOVIMIENTOS!$D$5:$D$1005="sacos")*(MOVIMIENTOS!$A$5:$A$1005&lt;&gt;"")*(MOVIMIENTOS!$A$5:$A$1005&lt;=$A938)*MOVIMIENTOS!$E$5:$E$1005)+SUMPRODUCT((MOVIMIENTOS!$B$5:$B$1005="PROCESO")*(MOVIMIENTOS!$C$5:$C$1005="Chancho")*(MOVIMIENTOS!$D$5:$D$1005="sacos")*(MOVIMIENTOS!$A$5:$A$1005&lt;&gt;"")*(MOVIMIENTOS!$A$5:$A$1005&lt;=$A938)*MOVIMIENTOS!$E$5:$E$1005)-SUMPRODUCT((MOVIMIENTOS!$B$5:$B$1005="VENTA CHANCHO")*(MOVIMIENTOS!$C$5:$C$1005="Chancho")*(MOVIMIENTOS!$D$5:$D$1005="sacos")*(MOVIMIENTOS!$A$5:$A$1005&lt;&gt;"")*(MOVIMIENTOS!$A$5:$A$1005&lt;=$A938)*MOVIMIENTOS!$E$5:$E$1005)-SUMPRODUCT((MOVIMIENTOS!$B$5:$B$1005="REGALO")*(MOVIMIENTOS!$C$5:$C$1005="Chancho")*(MOVIMIENTOS!$D$5:$D$1005="sacos")*(MOVIMIENTOS!$A$5:$A$1005&lt;&gt;"")*(MOVIMIENTOS!$A$5:$A$1005&lt;=$A938)*MOVIMIENTOS!$E$5:$E$1005)-SUMPRODUCT((MOVIMIENTOS!$B$5:$B$1005="VENTA")*(MOVIMIENTOS!$C$5:$C$1005="Chancho")*(MOVIMIENTOS!$D$5:$D$1005="sacos")*(MOVIMIENTOS!$A$5:$A$1005&lt;&gt;"")*(MOVIMIENTOS!$A$5:$A$1005&lt;=$A938)*MOVIMIENTOS!$E$5:$E$1005)+SUMPRODUCT((MOVIMIENTOS!$B$5:$B$1005="AJUSTE")*(MOVIMIENTOS!$C$5:$C$1005="Chancho")*(MOVIMIENTOS!$D$5:$D$1005="sacos")*(MOVIMIENTOS!$A$5:$A$1005&lt;&gt;"")*(MOVIMIENTOS!$A$5:$A$1005&lt;=$A938)*MOVIMIENTOS!$E$5:$E$1005))</f>
        <v/>
      </c>
      <c r="G938" s="62" t="str">
        <f t="shared" si="29"/>
        <v/>
      </c>
      <c r="H938" t="str">
        <f>IF($A938="","",SUMPRODUCT((((MOVIMIENTOS!$B$5:$B$1005="SALDO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938)*MOVIMIENTOS!$J$5:$J$1005))</f>
        <v/>
      </c>
      <c r="J938" t="str">
        <f>IF(AND(MOVIMIENTOS!$A943&lt;&gt;"",COUNTIF(MOVIMIENTOS!$A$5:$A942,MOVIMIENTOS!$A943)=0),COUNT(J$4:J937)+1,"")</f>
        <v/>
      </c>
      <c r="K938">
        <f>MOVIMIENTOS!$A943</f>
        <v>0</v>
      </c>
    </row>
    <row r="939" spans="1:11" ht="15" customHeight="1" x14ac:dyDescent="0.2">
      <c r="A939" t="str">
        <f t="shared" si="28"/>
        <v/>
      </c>
      <c r="B939" t="str">
        <f>IF($A939="","",SUMPRODUCT((MOVIMIENTOS!$B$5:$B$1005="SALDO INICIAL")*(MOVIMIENTOS!$C$5:$C$1005="A")*(MOVIMIENTOS!$D$5:$D$1005="jabas")*(MOVIMIENTOS!$A$5:$A$1005&lt;&gt;"")*(MOVIMIENTOS!$A$5:$A$1005&lt;=$A939)*MOVIMIENTOS!$E$5:$E$1005)+SUMPRODUCT((MOVIMIENTOS!$B$5:$B$1005="PROCESO")*(MOVIMIENTOS!$C$5:$C$1005="A")*(MOVIMIENTOS!$D$5:$D$1005="jabas")*(MOVIMIENTOS!$A$5:$A$1005&lt;&gt;"")*(MOVIMIENTOS!$A$5:$A$1005&lt;=$A939)*MOVIMIENTOS!$E$5:$E$1005)-SUMPRODUCT((MOVIMIENTOS!$B$5:$B$1005="ENVÍO A SUPESA")*(MOVIMIENTOS!$C$5:$C$1005="A")*(MOVIMIENTOS!$D$5:$D$1005="jabas")*(MOVIMIENTOS!$A$5:$A$1005&lt;&gt;"")*(MOVIMIENTOS!$A$5:$A$1005&lt;=$A939)*MOVIMIENTOS!$E$5:$E$1005)+SUMPRODUCT((MOVIMIENTOS!$B$5:$B$1005="DEVOLUCIÓN")*(MOVIMIENTOS!$C$5:$C$1005="A")*(MOVIMIENTOS!$D$5:$D$1005="jabas")*(MOVIMIENTOS!$A$5:$A$1005&lt;&gt;"")*(MOVIMIENTOS!$A$5:$A$1005&lt;=$A939)*MOVIMIENTOS!$E$5:$E$1005)-SUMPRODUCT((MOVIMIENTOS!$B$5:$B$1005="TRASIEGO")*(MOVIMIENTOS!$C$5:$C$1005="A")*(MOVIMIENTOS!$D$5:$D$1005="jabas")*(MOVIMIENTOS!$A$5:$A$1005&lt;&gt;"")*(MOVIMIENTOS!$A$5:$A$1005&lt;=$A939)*MOVIMIENTOS!$E$5:$E$1005)-SUMPRODUCT((MOVIMIENTOS!$B$5:$B$1005="REGALO")*(MOVIMIENTOS!$C$5:$C$1005="A")*(MOVIMIENTOS!$D$5:$D$1005="jabas")*(MOVIMIENTOS!$A$5:$A$1005&lt;&gt;"")*(MOVIMIENTOS!$A$5:$A$1005&lt;=$A939)*MOVIMIENTOS!$E$5:$E$1005)-SUMPRODUCT((MOVIMIENTOS!$B$5:$B$1005="VENTA")*(MOVIMIENTOS!$C$5:$C$1005="A")*(MOVIMIENTOS!$D$5:$D$1005="jabas")*(MOVIMIENTOS!$A$5:$A$1005&lt;&gt;"")*(MOVIMIENTOS!$A$5:$A$1005&lt;=$A939)*MOVIMIENTOS!$E$5:$E$1005)+SUMPRODUCT((MOVIMIENTOS!$B$5:$B$1005="AJUSTE")*(MOVIMIENTOS!$C$5:$C$1005="A")*(MOVIMIENTOS!$D$5:$D$1005="jabas")*(MOVIMIENTOS!$A$5:$A$1005&lt;&gt;"")*(MOVIMIENTOS!$A$5:$A$1005&lt;=$A939)*MOVIMIENTOS!$E$5:$E$1005))</f>
        <v/>
      </c>
      <c r="C939" t="str">
        <f>IF($A939="","",SUMPRODUCT((MOVIMIENTOS!$B$5:$B$1005="SALDO INICIAL")*(MOVIMIENTOS!$C$5:$C$1005="P")*(MOVIMIENTOS!$D$5:$D$1005="jabas")*(MOVIMIENTOS!$A$5:$A$1005&lt;&gt;"")*(MOVIMIENTOS!$A$5:$A$1005&lt;=$A939)*MOVIMIENTOS!$E$5:$E$1005)+SUMPRODUCT((MOVIMIENTOS!$B$5:$B$1005="PROCESO")*(MOVIMIENTOS!$C$5:$C$1005="P")*(MOVIMIENTOS!$D$5:$D$1005="jabas")*(MOVIMIENTOS!$A$5:$A$1005&lt;&gt;"")*(MOVIMIENTOS!$A$5:$A$1005&lt;=$A939)*MOVIMIENTOS!$E$5:$E$1005)-SUMPRODUCT((MOVIMIENTOS!$B$5:$B$1005="ENVÍO A SUPESA")*(MOVIMIENTOS!$C$5:$C$1005="P")*(MOVIMIENTOS!$D$5:$D$1005="jabas")*(MOVIMIENTOS!$A$5:$A$1005&lt;&gt;"")*(MOVIMIENTOS!$A$5:$A$1005&lt;=$A939)*MOVIMIENTOS!$E$5:$E$1005)+SUMPRODUCT((MOVIMIENTOS!$B$5:$B$1005="DEVOLUCIÓN")*(MOVIMIENTOS!$C$5:$C$1005="P")*(MOVIMIENTOS!$D$5:$D$1005="jabas")*(MOVIMIENTOS!$A$5:$A$1005&lt;&gt;"")*(MOVIMIENTOS!$A$5:$A$1005&lt;=$A939)*MOVIMIENTOS!$E$5:$E$1005)-SUMPRODUCT((MOVIMIENTOS!$B$5:$B$1005="TRASIEGO")*(MOVIMIENTOS!$C$5:$C$1005="P")*(MOVIMIENTOS!$D$5:$D$1005="jabas")*(MOVIMIENTOS!$A$5:$A$1005&lt;&gt;"")*(MOVIMIENTOS!$A$5:$A$1005&lt;=$A939)*MOVIMIENTOS!$E$5:$E$1005)-SUMPRODUCT((MOVIMIENTOS!$B$5:$B$1005="REGALO")*(MOVIMIENTOS!$C$5:$C$1005="P")*(MOVIMIENTOS!$D$5:$D$1005="jabas")*(MOVIMIENTOS!$A$5:$A$1005&lt;&gt;"")*(MOVIMIENTOS!$A$5:$A$1005&lt;=$A939)*MOVIMIENTOS!$E$5:$E$1005)-SUMPRODUCT((MOVIMIENTOS!$B$5:$B$1005="VENTA")*(MOVIMIENTOS!$C$5:$C$1005="P")*(MOVIMIENTOS!$D$5:$D$1005="jabas")*(MOVIMIENTOS!$A$5:$A$1005&lt;&gt;"")*(MOVIMIENTOS!$A$5:$A$1005&lt;=$A939)*MOVIMIENTOS!$E$5:$E$1005)+SUMPRODUCT((MOVIMIENTOS!$B$5:$B$1005="AJUSTE")*(MOVIMIENTOS!$C$5:$C$1005="P")*(MOVIMIENTOS!$D$5:$D$1005="jabas")*(MOVIMIENTOS!$A$5:$A$1005&lt;&gt;"")*(MOVIMIENTOS!$A$5:$A$1005&lt;=$A939)*MOVIMIENTOS!$E$5:$E$1005))</f>
        <v/>
      </c>
      <c r="D939" t="str">
        <f>IF($A939="","",SUMPRODUCT((MOVIMIENTOS!$B$5:$B$1005="SALDO INICIAL")*(MOVIMIENTOS!$C$5:$C$1005="C")*(MOVIMIENTOS!$D$5:$D$1005="jabas")*(MOVIMIENTOS!$A$5:$A$1005&lt;&gt;"")*(MOVIMIENTOS!$A$5:$A$1005&lt;=$A939)*MOVIMIENTOS!$E$5:$E$1005)+SUMPRODUCT((MOVIMIENTOS!$B$5:$B$1005="PROCESO")*(MOVIMIENTOS!$C$5:$C$1005="C")*(MOVIMIENTOS!$D$5:$D$1005="jabas")*(MOVIMIENTOS!$A$5:$A$1005&lt;&gt;"")*(MOVIMIENTOS!$A$5:$A$1005&lt;=$A939)*MOVIMIENTOS!$E$5:$E$1005)-SUMPRODUCT((MOVIMIENTOS!$B$5:$B$1005="ENVÍO A SUPESA")*(MOVIMIENTOS!$C$5:$C$1005="C")*(MOVIMIENTOS!$D$5:$D$1005="jabas")*(MOVIMIENTOS!$A$5:$A$1005&lt;&gt;"")*(MOVIMIENTOS!$A$5:$A$1005&lt;=$A939)*MOVIMIENTOS!$E$5:$E$1005)+SUMPRODUCT((MOVIMIENTOS!$B$5:$B$1005="DEVOLUCIÓN")*(MOVIMIENTOS!$C$5:$C$1005="C")*(MOVIMIENTOS!$D$5:$D$1005="jabas")*(MOVIMIENTOS!$A$5:$A$1005&lt;&gt;"")*(MOVIMIENTOS!$A$5:$A$1005&lt;=$A939)*MOVIMIENTOS!$E$5:$E$1005)-SUMPRODUCT((MOVIMIENTOS!$B$5:$B$1005="TRASIEGO")*(MOVIMIENTOS!$C$5:$C$1005="C")*(MOVIMIENTOS!$D$5:$D$1005="jabas")*(MOVIMIENTOS!$A$5:$A$1005&lt;&gt;"")*(MOVIMIENTOS!$A$5:$A$1005&lt;=$A939)*MOVIMIENTOS!$E$5:$E$1005)-SUMPRODUCT((MOVIMIENTOS!$B$5:$B$1005="REGALO")*(MOVIMIENTOS!$C$5:$C$1005="C")*(MOVIMIENTOS!$D$5:$D$1005="jabas")*(MOVIMIENTOS!$A$5:$A$1005&lt;&gt;"")*(MOVIMIENTOS!$A$5:$A$1005&lt;=$A939)*MOVIMIENTOS!$E$5:$E$1005)-SUMPRODUCT((MOVIMIENTOS!$B$5:$B$1005="VENTA")*(MOVIMIENTOS!$C$5:$C$1005="C")*(MOVIMIENTOS!$D$5:$D$1005="jabas")*(MOVIMIENTOS!$A$5:$A$1005&lt;&gt;"")*(MOVIMIENTOS!$A$5:$A$1005&lt;=$A939)*MOVIMIENTOS!$E$5:$E$1005)+SUMPRODUCT((MOVIMIENTOS!$B$5:$B$1005="AJUSTE")*(MOVIMIENTOS!$C$5:$C$1005="C")*(MOVIMIENTOS!$D$5:$D$1005="jabas")*(MOVIMIENTOS!$A$5:$A$1005&lt;&gt;"")*(MOVIMIENTOS!$A$5:$A$1005&lt;=$A939)*MOVIMIENTOS!$E$5:$E$1005))</f>
        <v/>
      </c>
      <c r="E939" t="str">
        <f>IF($A939="","",SUMPRODUCT((MOVIMIENTOS!$B$5:$B$1005="SALDO INICIAL")*(MOVIMIENTOS!$C$5:$C$1005="M")*(MOVIMIENTOS!$D$5:$D$1005="jabas")*(MOVIMIENTOS!$A$5:$A$1005&lt;&gt;"")*(MOVIMIENTOS!$A$5:$A$1005&lt;=$A939)*MOVIMIENTOS!$E$5:$E$1005)+SUMPRODUCT((MOVIMIENTOS!$B$5:$B$1005="PROCESO")*(MOVIMIENTOS!$C$5:$C$1005="M")*(MOVIMIENTOS!$D$5:$D$1005="jabas")*(MOVIMIENTOS!$A$5:$A$1005&lt;&gt;"")*(MOVIMIENTOS!$A$5:$A$1005&lt;=$A939)*MOVIMIENTOS!$E$5:$E$1005)-SUMPRODUCT((MOVIMIENTOS!$B$5:$B$1005="ENVÍO A SUPESA")*(MOVIMIENTOS!$C$5:$C$1005="M")*(MOVIMIENTOS!$D$5:$D$1005="jabas")*(MOVIMIENTOS!$A$5:$A$1005&lt;&gt;"")*(MOVIMIENTOS!$A$5:$A$1005&lt;=$A939)*MOVIMIENTOS!$E$5:$E$1005)+SUMPRODUCT((MOVIMIENTOS!$B$5:$B$1005="DEVOLUCIÓN")*(MOVIMIENTOS!$C$5:$C$1005="M")*(MOVIMIENTOS!$D$5:$D$1005="jabas")*(MOVIMIENTOS!$A$5:$A$1005&lt;&gt;"")*(MOVIMIENTOS!$A$5:$A$1005&lt;=$A939)*MOVIMIENTOS!$E$5:$E$1005)-SUMPRODUCT((MOVIMIENTOS!$B$5:$B$1005="TRASIEGO")*(MOVIMIENTOS!$C$5:$C$1005="M")*(MOVIMIENTOS!$D$5:$D$1005="jabas")*(MOVIMIENTOS!$A$5:$A$1005&lt;&gt;"")*(MOVIMIENTOS!$A$5:$A$1005&lt;=$A939)*MOVIMIENTOS!$E$5:$E$1005)-SUMPRODUCT((MOVIMIENTOS!$B$5:$B$1005="REGALO")*(MOVIMIENTOS!$C$5:$C$1005="M")*(MOVIMIENTOS!$D$5:$D$1005="jabas")*(MOVIMIENTOS!$A$5:$A$1005&lt;&gt;"")*(MOVIMIENTOS!$A$5:$A$1005&lt;=$A939)*MOVIMIENTOS!$E$5:$E$1005)-SUMPRODUCT((MOVIMIENTOS!$B$5:$B$1005="VENTA")*(MOVIMIENTOS!$C$5:$C$1005="M")*(MOVIMIENTOS!$D$5:$D$1005="jabas")*(MOVIMIENTOS!$A$5:$A$1005&lt;&gt;"")*(MOVIMIENTOS!$A$5:$A$1005&lt;=$A939)*MOVIMIENTOS!$E$5:$E$1005)+SUMPRODUCT((MOVIMIENTOS!$B$5:$B$1005="AJUSTE")*(MOVIMIENTOS!$C$5:$C$1005="M")*(MOVIMIENTOS!$D$5:$D$1005="jabas")*(MOVIMIENTOS!$A$5:$A$1005&lt;&gt;"")*(MOVIMIENTOS!$A$5:$A$1005&lt;=$A939)*MOVIMIENTOS!$E$5:$E$1005))</f>
        <v/>
      </c>
      <c r="F939" s="62" t="str">
        <f>IF($A939="","",SUMPRODUCT((MOVIMIENTOS!$B$5:$B$1005="SALDO INICIAL")*(MOVIMIENTOS!$C$5:$C$1005="Chancho")*(MOVIMIENTOS!$D$5:$D$1005="sacos")*(MOVIMIENTOS!$A$5:$A$1005&lt;&gt;"")*(MOVIMIENTOS!$A$5:$A$1005&lt;=$A939)*MOVIMIENTOS!$E$5:$E$1005)+SUMPRODUCT((MOVIMIENTOS!$B$5:$B$1005="PROCESO")*(MOVIMIENTOS!$C$5:$C$1005="Chancho")*(MOVIMIENTOS!$D$5:$D$1005="sacos")*(MOVIMIENTOS!$A$5:$A$1005&lt;&gt;"")*(MOVIMIENTOS!$A$5:$A$1005&lt;=$A939)*MOVIMIENTOS!$E$5:$E$1005)-SUMPRODUCT((MOVIMIENTOS!$B$5:$B$1005="VENTA CHANCHO")*(MOVIMIENTOS!$C$5:$C$1005="Chancho")*(MOVIMIENTOS!$D$5:$D$1005="sacos")*(MOVIMIENTOS!$A$5:$A$1005&lt;&gt;"")*(MOVIMIENTOS!$A$5:$A$1005&lt;=$A939)*MOVIMIENTOS!$E$5:$E$1005)-SUMPRODUCT((MOVIMIENTOS!$B$5:$B$1005="REGALO")*(MOVIMIENTOS!$C$5:$C$1005="Chancho")*(MOVIMIENTOS!$D$5:$D$1005="sacos")*(MOVIMIENTOS!$A$5:$A$1005&lt;&gt;"")*(MOVIMIENTOS!$A$5:$A$1005&lt;=$A939)*MOVIMIENTOS!$E$5:$E$1005)-SUMPRODUCT((MOVIMIENTOS!$B$5:$B$1005="VENTA")*(MOVIMIENTOS!$C$5:$C$1005="Chancho")*(MOVIMIENTOS!$D$5:$D$1005="sacos")*(MOVIMIENTOS!$A$5:$A$1005&lt;&gt;"")*(MOVIMIENTOS!$A$5:$A$1005&lt;=$A939)*MOVIMIENTOS!$E$5:$E$1005)+SUMPRODUCT((MOVIMIENTOS!$B$5:$B$1005="AJUSTE")*(MOVIMIENTOS!$C$5:$C$1005="Chancho")*(MOVIMIENTOS!$D$5:$D$1005="sacos")*(MOVIMIENTOS!$A$5:$A$1005&lt;&gt;"")*(MOVIMIENTOS!$A$5:$A$1005&lt;=$A939)*MOVIMIENTOS!$E$5:$E$1005))</f>
        <v/>
      </c>
      <c r="G939" s="62" t="str">
        <f t="shared" si="29"/>
        <v/>
      </c>
      <c r="H939" t="str">
        <f>IF($A939="","",SUMPRODUCT((((MOVIMIENTOS!$B$5:$B$1005="SALDO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939)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939)*MOVIMIENTOS!$J$5:$J$1005))</f>
        <v/>
      </c>
      <c r="J939" t="str">
        <f>IF(AND(MOVIMIENTOS!$A944&lt;&gt;"",COUNTIF(MOVIMIENTOS!$A$5:$A943,MOVIMIENTOS!$A944)=0),COUNT(J$4:J938)+1,"")</f>
        <v/>
      </c>
      <c r="K939">
        <f>MOVIMIENTOS!$A944</f>
        <v>0</v>
      </c>
    </row>
    <row r="940" spans="1:11" ht="15" customHeight="1" x14ac:dyDescent="0.2">
      <c r="A940" t="str">
        <f t="shared" si="28"/>
        <v/>
      </c>
      <c r="B940" t="str">
        <f>IF($A940="","",SUMPRODUCT((MOVIMIENTOS!$B$5:$B$1005="SALDO INICIAL")*(MOVIMIENTOS!$C$5:$C$1005="A")*(MOVIMIENTOS!$D$5:$D$1005="jabas")*(MOVIMIENTOS!$A$5:$A$1005&lt;&gt;"")*(MOVIMIENTOS!$A$5:$A$1005&lt;=$A940)*MOVIMIENTOS!$E$5:$E$1005)+SUMPRODUCT((MOVIMIENTOS!$B$5:$B$1005="PROCESO")*(MOVIMIENTOS!$C$5:$C$1005="A")*(MOVIMIENTOS!$D$5:$D$1005="jabas")*(MOVIMIENTOS!$A$5:$A$1005&lt;&gt;"")*(MOVIMIENTOS!$A$5:$A$1005&lt;=$A940)*MOVIMIENTOS!$E$5:$E$1005)-SUMPRODUCT((MOVIMIENTOS!$B$5:$B$1005="ENVÍO A SUPESA")*(MOVIMIENTOS!$C$5:$C$1005="A")*(MOVIMIENTOS!$D$5:$D$1005="jabas")*(MOVIMIENTOS!$A$5:$A$1005&lt;&gt;"")*(MOVIMIENTOS!$A$5:$A$1005&lt;=$A940)*MOVIMIENTOS!$E$5:$E$1005)+SUMPRODUCT((MOVIMIENTOS!$B$5:$B$1005="DEVOLUCIÓN")*(MOVIMIENTOS!$C$5:$C$1005="A")*(MOVIMIENTOS!$D$5:$D$1005="jabas")*(MOVIMIENTOS!$A$5:$A$1005&lt;&gt;"")*(MOVIMIENTOS!$A$5:$A$1005&lt;=$A940)*MOVIMIENTOS!$E$5:$E$1005)-SUMPRODUCT((MOVIMIENTOS!$B$5:$B$1005="TRASIEGO")*(MOVIMIENTOS!$C$5:$C$1005="A")*(MOVIMIENTOS!$D$5:$D$1005="jabas")*(MOVIMIENTOS!$A$5:$A$1005&lt;&gt;"")*(MOVIMIENTOS!$A$5:$A$1005&lt;=$A940)*MOVIMIENTOS!$E$5:$E$1005)-SUMPRODUCT((MOVIMIENTOS!$B$5:$B$1005="REGALO")*(MOVIMIENTOS!$C$5:$C$1005="A")*(MOVIMIENTOS!$D$5:$D$1005="jabas")*(MOVIMIENTOS!$A$5:$A$1005&lt;&gt;"")*(MOVIMIENTOS!$A$5:$A$1005&lt;=$A940)*MOVIMIENTOS!$E$5:$E$1005)-SUMPRODUCT((MOVIMIENTOS!$B$5:$B$1005="VENTA")*(MOVIMIENTOS!$C$5:$C$1005="A")*(MOVIMIENTOS!$D$5:$D$1005="jabas")*(MOVIMIENTOS!$A$5:$A$1005&lt;&gt;"")*(MOVIMIENTOS!$A$5:$A$1005&lt;=$A940)*MOVIMIENTOS!$E$5:$E$1005)+SUMPRODUCT((MOVIMIENTOS!$B$5:$B$1005="AJUSTE")*(MOVIMIENTOS!$C$5:$C$1005="A")*(MOVIMIENTOS!$D$5:$D$1005="jabas")*(MOVIMIENTOS!$A$5:$A$1005&lt;&gt;"")*(MOVIMIENTOS!$A$5:$A$1005&lt;=$A940)*MOVIMIENTOS!$E$5:$E$1005))</f>
        <v/>
      </c>
      <c r="C940" t="str">
        <f>IF($A940="","",SUMPRODUCT((MOVIMIENTOS!$B$5:$B$1005="SALDO INICIAL")*(MOVIMIENTOS!$C$5:$C$1005="P")*(MOVIMIENTOS!$D$5:$D$1005="jabas")*(MOVIMIENTOS!$A$5:$A$1005&lt;&gt;"")*(MOVIMIENTOS!$A$5:$A$1005&lt;=$A940)*MOVIMIENTOS!$E$5:$E$1005)+SUMPRODUCT((MOVIMIENTOS!$B$5:$B$1005="PROCESO")*(MOVIMIENTOS!$C$5:$C$1005="P")*(MOVIMIENTOS!$D$5:$D$1005="jabas")*(MOVIMIENTOS!$A$5:$A$1005&lt;&gt;"")*(MOVIMIENTOS!$A$5:$A$1005&lt;=$A940)*MOVIMIENTOS!$E$5:$E$1005)-SUMPRODUCT((MOVIMIENTOS!$B$5:$B$1005="ENVÍO A SUPESA")*(MOVIMIENTOS!$C$5:$C$1005="P")*(MOVIMIENTOS!$D$5:$D$1005="jabas")*(MOVIMIENTOS!$A$5:$A$1005&lt;&gt;"")*(MOVIMIENTOS!$A$5:$A$1005&lt;=$A940)*MOVIMIENTOS!$E$5:$E$1005)+SUMPRODUCT((MOVIMIENTOS!$B$5:$B$1005="DEVOLUCIÓN")*(MOVIMIENTOS!$C$5:$C$1005="P")*(MOVIMIENTOS!$D$5:$D$1005="jabas")*(MOVIMIENTOS!$A$5:$A$1005&lt;&gt;"")*(MOVIMIENTOS!$A$5:$A$1005&lt;=$A940)*MOVIMIENTOS!$E$5:$E$1005)-SUMPRODUCT((MOVIMIENTOS!$B$5:$B$1005="TRASIEGO")*(MOVIMIENTOS!$C$5:$C$1005="P")*(MOVIMIENTOS!$D$5:$D$1005="jabas")*(MOVIMIENTOS!$A$5:$A$1005&lt;&gt;"")*(MOVIMIENTOS!$A$5:$A$1005&lt;=$A940)*MOVIMIENTOS!$E$5:$E$1005)-SUMPRODUCT((MOVIMIENTOS!$B$5:$B$1005="REGALO")*(MOVIMIENTOS!$C$5:$C$1005="P")*(MOVIMIENTOS!$D$5:$D$1005="jabas")*(MOVIMIENTOS!$A$5:$A$1005&lt;&gt;"")*(MOVIMIENTOS!$A$5:$A$1005&lt;=$A940)*MOVIMIENTOS!$E$5:$E$1005)-SUMPRODUCT((MOVIMIENTOS!$B$5:$B$1005="VENTA")*(MOVIMIENTOS!$C$5:$C$1005="P")*(MOVIMIENTOS!$D$5:$D$1005="jabas")*(MOVIMIENTOS!$A$5:$A$1005&lt;&gt;"")*(MOVIMIENTOS!$A$5:$A$1005&lt;=$A940)*MOVIMIENTOS!$E$5:$E$1005)+SUMPRODUCT((MOVIMIENTOS!$B$5:$B$1005="AJUSTE")*(MOVIMIENTOS!$C$5:$C$1005="P")*(MOVIMIENTOS!$D$5:$D$1005="jabas")*(MOVIMIENTOS!$A$5:$A$1005&lt;&gt;"")*(MOVIMIENTOS!$A$5:$A$1005&lt;=$A940)*MOVIMIENTOS!$E$5:$E$1005))</f>
        <v/>
      </c>
      <c r="D940" t="str">
        <f>IF($A940="","",SUMPRODUCT((MOVIMIENTOS!$B$5:$B$1005="SALDO INICIAL")*(MOVIMIENTOS!$C$5:$C$1005="C")*(MOVIMIENTOS!$D$5:$D$1005="jabas")*(MOVIMIENTOS!$A$5:$A$1005&lt;&gt;"")*(MOVIMIENTOS!$A$5:$A$1005&lt;=$A940)*MOVIMIENTOS!$E$5:$E$1005)+SUMPRODUCT((MOVIMIENTOS!$B$5:$B$1005="PROCESO")*(MOVIMIENTOS!$C$5:$C$1005="C")*(MOVIMIENTOS!$D$5:$D$1005="jabas")*(MOVIMIENTOS!$A$5:$A$1005&lt;&gt;"")*(MOVIMIENTOS!$A$5:$A$1005&lt;=$A940)*MOVIMIENTOS!$E$5:$E$1005)-SUMPRODUCT((MOVIMIENTOS!$B$5:$B$1005="ENVÍO A SUPESA")*(MOVIMIENTOS!$C$5:$C$1005="C")*(MOVIMIENTOS!$D$5:$D$1005="jabas")*(MOVIMIENTOS!$A$5:$A$1005&lt;&gt;"")*(MOVIMIENTOS!$A$5:$A$1005&lt;=$A940)*MOVIMIENTOS!$E$5:$E$1005)+SUMPRODUCT((MOVIMIENTOS!$B$5:$B$1005="DEVOLUCIÓN")*(MOVIMIENTOS!$C$5:$C$1005="C")*(MOVIMIENTOS!$D$5:$D$1005="jabas")*(MOVIMIENTOS!$A$5:$A$1005&lt;&gt;"")*(MOVIMIENTOS!$A$5:$A$1005&lt;=$A940)*MOVIMIENTOS!$E$5:$E$1005)-SUMPRODUCT((MOVIMIENTOS!$B$5:$B$1005="TRASIEGO")*(MOVIMIENTOS!$C$5:$C$1005="C")*(MOVIMIENTOS!$D$5:$D$1005="jabas")*(MOVIMIENTOS!$A$5:$A$1005&lt;&gt;"")*(MOVIMIENTOS!$A$5:$A$1005&lt;=$A940)*MOVIMIENTOS!$E$5:$E$1005)-SUMPRODUCT((MOVIMIENTOS!$B$5:$B$1005="REGALO")*(MOVIMIENTOS!$C$5:$C$1005="C")*(MOVIMIENTOS!$D$5:$D$1005="jabas")*(MOVIMIENTOS!$A$5:$A$1005&lt;&gt;"")*(MOVIMIENTOS!$A$5:$A$1005&lt;=$A940)*MOVIMIENTOS!$E$5:$E$1005)-SUMPRODUCT((MOVIMIENTOS!$B$5:$B$1005="VENTA")*(MOVIMIENTOS!$C$5:$C$1005="C")*(MOVIMIENTOS!$D$5:$D$1005="jabas")*(MOVIMIENTOS!$A$5:$A$1005&lt;&gt;"")*(MOVIMIENTOS!$A$5:$A$1005&lt;=$A940)*MOVIMIENTOS!$E$5:$E$1005)+SUMPRODUCT((MOVIMIENTOS!$B$5:$B$1005="AJUSTE")*(MOVIMIENTOS!$C$5:$C$1005="C")*(MOVIMIENTOS!$D$5:$D$1005="jabas")*(MOVIMIENTOS!$A$5:$A$1005&lt;&gt;"")*(MOVIMIENTOS!$A$5:$A$1005&lt;=$A940)*MOVIMIENTOS!$E$5:$E$1005))</f>
        <v/>
      </c>
      <c r="E940" t="str">
        <f>IF($A940="","",SUMPRODUCT((MOVIMIENTOS!$B$5:$B$1005="SALDO INICIAL")*(MOVIMIENTOS!$C$5:$C$1005="M")*(MOVIMIENTOS!$D$5:$D$1005="jabas")*(MOVIMIENTOS!$A$5:$A$1005&lt;&gt;"")*(MOVIMIENTOS!$A$5:$A$1005&lt;=$A940)*MOVIMIENTOS!$E$5:$E$1005)+SUMPRODUCT((MOVIMIENTOS!$B$5:$B$1005="PROCESO")*(MOVIMIENTOS!$C$5:$C$1005="M")*(MOVIMIENTOS!$D$5:$D$1005="jabas")*(MOVIMIENTOS!$A$5:$A$1005&lt;&gt;"")*(MOVIMIENTOS!$A$5:$A$1005&lt;=$A940)*MOVIMIENTOS!$E$5:$E$1005)-SUMPRODUCT((MOVIMIENTOS!$B$5:$B$1005="ENVÍO A SUPESA")*(MOVIMIENTOS!$C$5:$C$1005="M")*(MOVIMIENTOS!$D$5:$D$1005="jabas")*(MOVIMIENTOS!$A$5:$A$1005&lt;&gt;"")*(MOVIMIENTOS!$A$5:$A$1005&lt;=$A940)*MOVIMIENTOS!$E$5:$E$1005)+SUMPRODUCT((MOVIMIENTOS!$B$5:$B$1005="DEVOLUCIÓN")*(MOVIMIENTOS!$C$5:$C$1005="M")*(MOVIMIENTOS!$D$5:$D$1005="jabas")*(MOVIMIENTOS!$A$5:$A$1005&lt;&gt;"")*(MOVIMIENTOS!$A$5:$A$1005&lt;=$A940)*MOVIMIENTOS!$E$5:$E$1005)-SUMPRODUCT((MOVIMIENTOS!$B$5:$B$1005="TRASIEGO")*(MOVIMIENTOS!$C$5:$C$1005="M")*(MOVIMIENTOS!$D$5:$D$1005="jabas")*(MOVIMIENTOS!$A$5:$A$1005&lt;&gt;"")*(MOVIMIENTOS!$A$5:$A$1005&lt;=$A940)*MOVIMIENTOS!$E$5:$E$1005)-SUMPRODUCT((MOVIMIENTOS!$B$5:$B$1005="REGALO")*(MOVIMIENTOS!$C$5:$C$1005="M")*(MOVIMIENTOS!$D$5:$D$1005="jabas")*(MOVIMIENTOS!$A$5:$A$1005&lt;&gt;"")*(MOVIMIENTOS!$A$5:$A$1005&lt;=$A940)*MOVIMIENTOS!$E$5:$E$1005)-SUMPRODUCT((MOVIMIENTOS!$B$5:$B$1005="VENTA")*(MOVIMIENTOS!$C$5:$C$1005="M")*(MOVIMIENTOS!$D$5:$D$1005="jabas")*(MOVIMIENTOS!$A$5:$A$1005&lt;&gt;"")*(MOVIMIENTOS!$A$5:$A$1005&lt;=$A940)*MOVIMIENTOS!$E$5:$E$1005)+SUMPRODUCT((MOVIMIENTOS!$B$5:$B$1005="AJUSTE")*(MOVIMIENTOS!$C$5:$C$1005="M")*(MOVIMIENTOS!$D$5:$D$1005="jabas")*(MOVIMIENTOS!$A$5:$A$1005&lt;&gt;"")*(MOVIMIENTOS!$A$5:$A$1005&lt;=$A940)*MOVIMIENTOS!$E$5:$E$1005))</f>
        <v/>
      </c>
      <c r="F940" s="62" t="str">
        <f>IF($A940="","",SUMPRODUCT((MOVIMIENTOS!$B$5:$B$1005="SALDO INICIAL")*(MOVIMIENTOS!$C$5:$C$1005="Chancho")*(MOVIMIENTOS!$D$5:$D$1005="sacos")*(MOVIMIENTOS!$A$5:$A$1005&lt;&gt;"")*(MOVIMIENTOS!$A$5:$A$1005&lt;=$A940)*MOVIMIENTOS!$E$5:$E$1005)+SUMPRODUCT((MOVIMIENTOS!$B$5:$B$1005="PROCESO")*(MOVIMIENTOS!$C$5:$C$1005="Chancho")*(MOVIMIENTOS!$D$5:$D$1005="sacos")*(MOVIMIENTOS!$A$5:$A$1005&lt;&gt;"")*(MOVIMIENTOS!$A$5:$A$1005&lt;=$A940)*MOVIMIENTOS!$E$5:$E$1005)-SUMPRODUCT((MOVIMIENTOS!$B$5:$B$1005="VENTA CHANCHO")*(MOVIMIENTOS!$C$5:$C$1005="Chancho")*(MOVIMIENTOS!$D$5:$D$1005="sacos")*(MOVIMIENTOS!$A$5:$A$1005&lt;&gt;"")*(MOVIMIENTOS!$A$5:$A$1005&lt;=$A940)*MOVIMIENTOS!$E$5:$E$1005)-SUMPRODUCT((MOVIMIENTOS!$B$5:$B$1005="REGALO")*(MOVIMIENTOS!$C$5:$C$1005="Chancho")*(MOVIMIENTOS!$D$5:$D$1005="sacos")*(MOVIMIENTOS!$A$5:$A$1005&lt;&gt;"")*(MOVIMIENTOS!$A$5:$A$1005&lt;=$A940)*MOVIMIENTOS!$E$5:$E$1005)-SUMPRODUCT((MOVIMIENTOS!$B$5:$B$1005="VENTA")*(MOVIMIENTOS!$C$5:$C$1005="Chancho")*(MOVIMIENTOS!$D$5:$D$1005="sacos")*(MOVIMIENTOS!$A$5:$A$1005&lt;&gt;"")*(MOVIMIENTOS!$A$5:$A$1005&lt;=$A940)*MOVIMIENTOS!$E$5:$E$1005)+SUMPRODUCT((MOVIMIENTOS!$B$5:$B$1005="AJUSTE")*(MOVIMIENTOS!$C$5:$C$1005="Chancho")*(MOVIMIENTOS!$D$5:$D$1005="sacos")*(MOVIMIENTOS!$A$5:$A$1005&lt;&gt;"")*(MOVIMIENTOS!$A$5:$A$1005&lt;=$A940)*MOVIMIENTOS!$E$5:$E$1005))</f>
        <v/>
      </c>
      <c r="G940" s="62" t="str">
        <f t="shared" si="29"/>
        <v/>
      </c>
      <c r="H940" t="str">
        <f>IF($A940="","",SUMPRODUCT((((MOVIMIENTOS!$B$5:$B$1005="SALDO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940)*MOVIMIENTOS!$J$5:$J$1005))</f>
        <v/>
      </c>
      <c r="J940" t="str">
        <f>IF(AND(MOVIMIENTOS!$A945&lt;&gt;"",COUNTIF(MOVIMIENTOS!$A$5:$A944,MOVIMIENTOS!$A945)=0),COUNT(J$4:J939)+1,"")</f>
        <v/>
      </c>
      <c r="K940">
        <f>MOVIMIENTOS!$A945</f>
        <v>0</v>
      </c>
    </row>
    <row r="941" spans="1:11" ht="15" customHeight="1" x14ac:dyDescent="0.2">
      <c r="A941" t="str">
        <f t="shared" si="28"/>
        <v/>
      </c>
      <c r="B941" t="str">
        <f>IF($A941="","",SUMPRODUCT((MOVIMIENTOS!$B$5:$B$1005="SALDO INICIAL")*(MOVIMIENTOS!$C$5:$C$1005="A")*(MOVIMIENTOS!$D$5:$D$1005="jabas")*(MOVIMIENTOS!$A$5:$A$1005&lt;&gt;"")*(MOVIMIENTOS!$A$5:$A$1005&lt;=$A941)*MOVIMIENTOS!$E$5:$E$1005)+SUMPRODUCT((MOVIMIENTOS!$B$5:$B$1005="PROCESO")*(MOVIMIENTOS!$C$5:$C$1005="A")*(MOVIMIENTOS!$D$5:$D$1005="jabas")*(MOVIMIENTOS!$A$5:$A$1005&lt;&gt;"")*(MOVIMIENTOS!$A$5:$A$1005&lt;=$A941)*MOVIMIENTOS!$E$5:$E$1005)-SUMPRODUCT((MOVIMIENTOS!$B$5:$B$1005="ENVÍO A SUPESA")*(MOVIMIENTOS!$C$5:$C$1005="A")*(MOVIMIENTOS!$D$5:$D$1005="jabas")*(MOVIMIENTOS!$A$5:$A$1005&lt;&gt;"")*(MOVIMIENTOS!$A$5:$A$1005&lt;=$A941)*MOVIMIENTOS!$E$5:$E$1005)+SUMPRODUCT((MOVIMIENTOS!$B$5:$B$1005="DEVOLUCIÓN")*(MOVIMIENTOS!$C$5:$C$1005="A")*(MOVIMIENTOS!$D$5:$D$1005="jabas")*(MOVIMIENTOS!$A$5:$A$1005&lt;&gt;"")*(MOVIMIENTOS!$A$5:$A$1005&lt;=$A941)*MOVIMIENTOS!$E$5:$E$1005)-SUMPRODUCT((MOVIMIENTOS!$B$5:$B$1005="TRASIEGO")*(MOVIMIENTOS!$C$5:$C$1005="A")*(MOVIMIENTOS!$D$5:$D$1005="jabas")*(MOVIMIENTOS!$A$5:$A$1005&lt;&gt;"")*(MOVIMIENTOS!$A$5:$A$1005&lt;=$A941)*MOVIMIENTOS!$E$5:$E$1005)-SUMPRODUCT((MOVIMIENTOS!$B$5:$B$1005="REGALO")*(MOVIMIENTOS!$C$5:$C$1005="A")*(MOVIMIENTOS!$D$5:$D$1005="jabas")*(MOVIMIENTOS!$A$5:$A$1005&lt;&gt;"")*(MOVIMIENTOS!$A$5:$A$1005&lt;=$A941)*MOVIMIENTOS!$E$5:$E$1005)-SUMPRODUCT((MOVIMIENTOS!$B$5:$B$1005="VENTA")*(MOVIMIENTOS!$C$5:$C$1005="A")*(MOVIMIENTOS!$D$5:$D$1005="jabas")*(MOVIMIENTOS!$A$5:$A$1005&lt;&gt;"")*(MOVIMIENTOS!$A$5:$A$1005&lt;=$A941)*MOVIMIENTOS!$E$5:$E$1005)+SUMPRODUCT((MOVIMIENTOS!$B$5:$B$1005="AJUSTE")*(MOVIMIENTOS!$C$5:$C$1005="A")*(MOVIMIENTOS!$D$5:$D$1005="jabas")*(MOVIMIENTOS!$A$5:$A$1005&lt;&gt;"")*(MOVIMIENTOS!$A$5:$A$1005&lt;=$A941)*MOVIMIENTOS!$E$5:$E$1005))</f>
        <v/>
      </c>
      <c r="C941" t="str">
        <f>IF($A941="","",SUMPRODUCT((MOVIMIENTOS!$B$5:$B$1005="SALDO INICIAL")*(MOVIMIENTOS!$C$5:$C$1005="P")*(MOVIMIENTOS!$D$5:$D$1005="jabas")*(MOVIMIENTOS!$A$5:$A$1005&lt;&gt;"")*(MOVIMIENTOS!$A$5:$A$1005&lt;=$A941)*MOVIMIENTOS!$E$5:$E$1005)+SUMPRODUCT((MOVIMIENTOS!$B$5:$B$1005="PROCESO")*(MOVIMIENTOS!$C$5:$C$1005="P")*(MOVIMIENTOS!$D$5:$D$1005="jabas")*(MOVIMIENTOS!$A$5:$A$1005&lt;&gt;"")*(MOVIMIENTOS!$A$5:$A$1005&lt;=$A941)*MOVIMIENTOS!$E$5:$E$1005)-SUMPRODUCT((MOVIMIENTOS!$B$5:$B$1005="ENVÍO A SUPESA")*(MOVIMIENTOS!$C$5:$C$1005="P")*(MOVIMIENTOS!$D$5:$D$1005="jabas")*(MOVIMIENTOS!$A$5:$A$1005&lt;&gt;"")*(MOVIMIENTOS!$A$5:$A$1005&lt;=$A941)*MOVIMIENTOS!$E$5:$E$1005)+SUMPRODUCT((MOVIMIENTOS!$B$5:$B$1005="DEVOLUCIÓN")*(MOVIMIENTOS!$C$5:$C$1005="P")*(MOVIMIENTOS!$D$5:$D$1005="jabas")*(MOVIMIENTOS!$A$5:$A$1005&lt;&gt;"")*(MOVIMIENTOS!$A$5:$A$1005&lt;=$A941)*MOVIMIENTOS!$E$5:$E$1005)-SUMPRODUCT((MOVIMIENTOS!$B$5:$B$1005="TRASIEGO")*(MOVIMIENTOS!$C$5:$C$1005="P")*(MOVIMIENTOS!$D$5:$D$1005="jabas")*(MOVIMIENTOS!$A$5:$A$1005&lt;&gt;"")*(MOVIMIENTOS!$A$5:$A$1005&lt;=$A941)*MOVIMIENTOS!$E$5:$E$1005)-SUMPRODUCT((MOVIMIENTOS!$B$5:$B$1005="REGALO")*(MOVIMIENTOS!$C$5:$C$1005="P")*(MOVIMIENTOS!$D$5:$D$1005="jabas")*(MOVIMIENTOS!$A$5:$A$1005&lt;&gt;"")*(MOVIMIENTOS!$A$5:$A$1005&lt;=$A941)*MOVIMIENTOS!$E$5:$E$1005)-SUMPRODUCT((MOVIMIENTOS!$B$5:$B$1005="VENTA")*(MOVIMIENTOS!$C$5:$C$1005="P")*(MOVIMIENTOS!$D$5:$D$1005="jabas")*(MOVIMIENTOS!$A$5:$A$1005&lt;&gt;"")*(MOVIMIENTOS!$A$5:$A$1005&lt;=$A941)*MOVIMIENTOS!$E$5:$E$1005)+SUMPRODUCT((MOVIMIENTOS!$B$5:$B$1005="AJUSTE")*(MOVIMIENTOS!$C$5:$C$1005="P")*(MOVIMIENTOS!$D$5:$D$1005="jabas")*(MOVIMIENTOS!$A$5:$A$1005&lt;&gt;"")*(MOVIMIENTOS!$A$5:$A$1005&lt;=$A941)*MOVIMIENTOS!$E$5:$E$1005))</f>
        <v/>
      </c>
      <c r="D941" t="str">
        <f>IF($A941="","",SUMPRODUCT((MOVIMIENTOS!$B$5:$B$1005="SALDO INICIAL")*(MOVIMIENTOS!$C$5:$C$1005="C")*(MOVIMIENTOS!$D$5:$D$1005="jabas")*(MOVIMIENTOS!$A$5:$A$1005&lt;&gt;"")*(MOVIMIENTOS!$A$5:$A$1005&lt;=$A941)*MOVIMIENTOS!$E$5:$E$1005)+SUMPRODUCT((MOVIMIENTOS!$B$5:$B$1005="PROCESO")*(MOVIMIENTOS!$C$5:$C$1005="C")*(MOVIMIENTOS!$D$5:$D$1005="jabas")*(MOVIMIENTOS!$A$5:$A$1005&lt;&gt;"")*(MOVIMIENTOS!$A$5:$A$1005&lt;=$A941)*MOVIMIENTOS!$E$5:$E$1005)-SUMPRODUCT((MOVIMIENTOS!$B$5:$B$1005="ENVÍO A SUPESA")*(MOVIMIENTOS!$C$5:$C$1005="C")*(MOVIMIENTOS!$D$5:$D$1005="jabas")*(MOVIMIENTOS!$A$5:$A$1005&lt;&gt;"")*(MOVIMIENTOS!$A$5:$A$1005&lt;=$A941)*MOVIMIENTOS!$E$5:$E$1005)+SUMPRODUCT((MOVIMIENTOS!$B$5:$B$1005="DEVOLUCIÓN")*(MOVIMIENTOS!$C$5:$C$1005="C")*(MOVIMIENTOS!$D$5:$D$1005="jabas")*(MOVIMIENTOS!$A$5:$A$1005&lt;&gt;"")*(MOVIMIENTOS!$A$5:$A$1005&lt;=$A941)*MOVIMIENTOS!$E$5:$E$1005)-SUMPRODUCT((MOVIMIENTOS!$B$5:$B$1005="TRASIEGO")*(MOVIMIENTOS!$C$5:$C$1005="C")*(MOVIMIENTOS!$D$5:$D$1005="jabas")*(MOVIMIENTOS!$A$5:$A$1005&lt;&gt;"")*(MOVIMIENTOS!$A$5:$A$1005&lt;=$A941)*MOVIMIENTOS!$E$5:$E$1005)-SUMPRODUCT((MOVIMIENTOS!$B$5:$B$1005="REGALO")*(MOVIMIENTOS!$C$5:$C$1005="C")*(MOVIMIENTOS!$D$5:$D$1005="jabas")*(MOVIMIENTOS!$A$5:$A$1005&lt;&gt;"")*(MOVIMIENTOS!$A$5:$A$1005&lt;=$A941)*MOVIMIENTOS!$E$5:$E$1005)-SUMPRODUCT((MOVIMIENTOS!$B$5:$B$1005="VENTA")*(MOVIMIENTOS!$C$5:$C$1005="C")*(MOVIMIENTOS!$D$5:$D$1005="jabas")*(MOVIMIENTOS!$A$5:$A$1005&lt;&gt;"")*(MOVIMIENTOS!$A$5:$A$1005&lt;=$A941)*MOVIMIENTOS!$E$5:$E$1005)+SUMPRODUCT((MOVIMIENTOS!$B$5:$B$1005="AJUSTE")*(MOVIMIENTOS!$C$5:$C$1005="C")*(MOVIMIENTOS!$D$5:$D$1005="jabas")*(MOVIMIENTOS!$A$5:$A$1005&lt;&gt;"")*(MOVIMIENTOS!$A$5:$A$1005&lt;=$A941)*MOVIMIENTOS!$E$5:$E$1005))</f>
        <v/>
      </c>
      <c r="E941" t="str">
        <f>IF($A941="","",SUMPRODUCT((MOVIMIENTOS!$B$5:$B$1005="SALDO INICIAL")*(MOVIMIENTOS!$C$5:$C$1005="M")*(MOVIMIENTOS!$D$5:$D$1005="jabas")*(MOVIMIENTOS!$A$5:$A$1005&lt;&gt;"")*(MOVIMIENTOS!$A$5:$A$1005&lt;=$A941)*MOVIMIENTOS!$E$5:$E$1005)+SUMPRODUCT((MOVIMIENTOS!$B$5:$B$1005="PROCESO")*(MOVIMIENTOS!$C$5:$C$1005="M")*(MOVIMIENTOS!$D$5:$D$1005="jabas")*(MOVIMIENTOS!$A$5:$A$1005&lt;&gt;"")*(MOVIMIENTOS!$A$5:$A$1005&lt;=$A941)*MOVIMIENTOS!$E$5:$E$1005)-SUMPRODUCT((MOVIMIENTOS!$B$5:$B$1005="ENVÍO A SUPESA")*(MOVIMIENTOS!$C$5:$C$1005="M")*(MOVIMIENTOS!$D$5:$D$1005="jabas")*(MOVIMIENTOS!$A$5:$A$1005&lt;&gt;"")*(MOVIMIENTOS!$A$5:$A$1005&lt;=$A941)*MOVIMIENTOS!$E$5:$E$1005)+SUMPRODUCT((MOVIMIENTOS!$B$5:$B$1005="DEVOLUCIÓN")*(MOVIMIENTOS!$C$5:$C$1005="M")*(MOVIMIENTOS!$D$5:$D$1005="jabas")*(MOVIMIENTOS!$A$5:$A$1005&lt;&gt;"")*(MOVIMIENTOS!$A$5:$A$1005&lt;=$A941)*MOVIMIENTOS!$E$5:$E$1005)-SUMPRODUCT((MOVIMIENTOS!$B$5:$B$1005="TRASIEGO")*(MOVIMIENTOS!$C$5:$C$1005="M")*(MOVIMIENTOS!$D$5:$D$1005="jabas")*(MOVIMIENTOS!$A$5:$A$1005&lt;&gt;"")*(MOVIMIENTOS!$A$5:$A$1005&lt;=$A941)*MOVIMIENTOS!$E$5:$E$1005)-SUMPRODUCT((MOVIMIENTOS!$B$5:$B$1005="REGALO")*(MOVIMIENTOS!$C$5:$C$1005="M")*(MOVIMIENTOS!$D$5:$D$1005="jabas")*(MOVIMIENTOS!$A$5:$A$1005&lt;&gt;"")*(MOVIMIENTOS!$A$5:$A$1005&lt;=$A941)*MOVIMIENTOS!$E$5:$E$1005)-SUMPRODUCT((MOVIMIENTOS!$B$5:$B$1005="VENTA")*(MOVIMIENTOS!$C$5:$C$1005="M")*(MOVIMIENTOS!$D$5:$D$1005="jabas")*(MOVIMIENTOS!$A$5:$A$1005&lt;&gt;"")*(MOVIMIENTOS!$A$5:$A$1005&lt;=$A941)*MOVIMIENTOS!$E$5:$E$1005)+SUMPRODUCT((MOVIMIENTOS!$B$5:$B$1005="AJUSTE")*(MOVIMIENTOS!$C$5:$C$1005="M")*(MOVIMIENTOS!$D$5:$D$1005="jabas")*(MOVIMIENTOS!$A$5:$A$1005&lt;&gt;"")*(MOVIMIENTOS!$A$5:$A$1005&lt;=$A941)*MOVIMIENTOS!$E$5:$E$1005))</f>
        <v/>
      </c>
      <c r="F941" s="62" t="str">
        <f>IF($A941="","",SUMPRODUCT((MOVIMIENTOS!$B$5:$B$1005="SALDO INICIAL")*(MOVIMIENTOS!$C$5:$C$1005="Chancho")*(MOVIMIENTOS!$D$5:$D$1005="sacos")*(MOVIMIENTOS!$A$5:$A$1005&lt;&gt;"")*(MOVIMIENTOS!$A$5:$A$1005&lt;=$A941)*MOVIMIENTOS!$E$5:$E$1005)+SUMPRODUCT((MOVIMIENTOS!$B$5:$B$1005="PROCESO")*(MOVIMIENTOS!$C$5:$C$1005="Chancho")*(MOVIMIENTOS!$D$5:$D$1005="sacos")*(MOVIMIENTOS!$A$5:$A$1005&lt;&gt;"")*(MOVIMIENTOS!$A$5:$A$1005&lt;=$A941)*MOVIMIENTOS!$E$5:$E$1005)-SUMPRODUCT((MOVIMIENTOS!$B$5:$B$1005="VENTA CHANCHO")*(MOVIMIENTOS!$C$5:$C$1005="Chancho")*(MOVIMIENTOS!$D$5:$D$1005="sacos")*(MOVIMIENTOS!$A$5:$A$1005&lt;&gt;"")*(MOVIMIENTOS!$A$5:$A$1005&lt;=$A941)*MOVIMIENTOS!$E$5:$E$1005)-SUMPRODUCT((MOVIMIENTOS!$B$5:$B$1005="REGALO")*(MOVIMIENTOS!$C$5:$C$1005="Chancho")*(MOVIMIENTOS!$D$5:$D$1005="sacos")*(MOVIMIENTOS!$A$5:$A$1005&lt;&gt;"")*(MOVIMIENTOS!$A$5:$A$1005&lt;=$A941)*MOVIMIENTOS!$E$5:$E$1005)-SUMPRODUCT((MOVIMIENTOS!$B$5:$B$1005="VENTA")*(MOVIMIENTOS!$C$5:$C$1005="Chancho")*(MOVIMIENTOS!$D$5:$D$1005="sacos")*(MOVIMIENTOS!$A$5:$A$1005&lt;&gt;"")*(MOVIMIENTOS!$A$5:$A$1005&lt;=$A941)*MOVIMIENTOS!$E$5:$E$1005)+SUMPRODUCT((MOVIMIENTOS!$B$5:$B$1005="AJUSTE")*(MOVIMIENTOS!$C$5:$C$1005="Chancho")*(MOVIMIENTOS!$D$5:$D$1005="sacos")*(MOVIMIENTOS!$A$5:$A$1005&lt;&gt;"")*(MOVIMIENTOS!$A$5:$A$1005&lt;=$A941)*MOVIMIENTOS!$E$5:$E$1005))</f>
        <v/>
      </c>
      <c r="G941" s="62" t="str">
        <f t="shared" si="29"/>
        <v/>
      </c>
      <c r="H941" t="str">
        <f>IF($A941="","",SUMPRODUCT((((MOVIMIENTOS!$B$5:$B$1005="SALDO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941)*MOVIMIENTOS!$J$5:$J$1005))</f>
        <v/>
      </c>
      <c r="J941" t="str">
        <f>IF(AND(MOVIMIENTOS!$A946&lt;&gt;"",COUNTIF(MOVIMIENTOS!$A$5:$A945,MOVIMIENTOS!$A946)=0),COUNT(J$4:J940)+1,"")</f>
        <v/>
      </c>
      <c r="K941">
        <f>MOVIMIENTOS!$A946</f>
        <v>0</v>
      </c>
    </row>
    <row r="942" spans="1:11" ht="15" customHeight="1" x14ac:dyDescent="0.2">
      <c r="A942" t="str">
        <f t="shared" si="28"/>
        <v/>
      </c>
      <c r="B942" t="str">
        <f>IF($A942="","",SUMPRODUCT((MOVIMIENTOS!$B$5:$B$1005="SALDO INICIAL")*(MOVIMIENTOS!$C$5:$C$1005="A")*(MOVIMIENTOS!$D$5:$D$1005="jabas")*(MOVIMIENTOS!$A$5:$A$1005&lt;&gt;"")*(MOVIMIENTOS!$A$5:$A$1005&lt;=$A942)*MOVIMIENTOS!$E$5:$E$1005)+SUMPRODUCT((MOVIMIENTOS!$B$5:$B$1005="PROCESO")*(MOVIMIENTOS!$C$5:$C$1005="A")*(MOVIMIENTOS!$D$5:$D$1005="jabas")*(MOVIMIENTOS!$A$5:$A$1005&lt;&gt;"")*(MOVIMIENTOS!$A$5:$A$1005&lt;=$A942)*MOVIMIENTOS!$E$5:$E$1005)-SUMPRODUCT((MOVIMIENTOS!$B$5:$B$1005="ENVÍO A SUPESA")*(MOVIMIENTOS!$C$5:$C$1005="A")*(MOVIMIENTOS!$D$5:$D$1005="jabas")*(MOVIMIENTOS!$A$5:$A$1005&lt;&gt;"")*(MOVIMIENTOS!$A$5:$A$1005&lt;=$A942)*MOVIMIENTOS!$E$5:$E$1005)+SUMPRODUCT((MOVIMIENTOS!$B$5:$B$1005="DEVOLUCIÓN")*(MOVIMIENTOS!$C$5:$C$1005="A")*(MOVIMIENTOS!$D$5:$D$1005="jabas")*(MOVIMIENTOS!$A$5:$A$1005&lt;&gt;"")*(MOVIMIENTOS!$A$5:$A$1005&lt;=$A942)*MOVIMIENTOS!$E$5:$E$1005)-SUMPRODUCT((MOVIMIENTOS!$B$5:$B$1005="TRASIEGO")*(MOVIMIENTOS!$C$5:$C$1005="A")*(MOVIMIENTOS!$D$5:$D$1005="jabas")*(MOVIMIENTOS!$A$5:$A$1005&lt;&gt;"")*(MOVIMIENTOS!$A$5:$A$1005&lt;=$A942)*MOVIMIENTOS!$E$5:$E$1005)-SUMPRODUCT((MOVIMIENTOS!$B$5:$B$1005="REGALO")*(MOVIMIENTOS!$C$5:$C$1005="A")*(MOVIMIENTOS!$D$5:$D$1005="jabas")*(MOVIMIENTOS!$A$5:$A$1005&lt;&gt;"")*(MOVIMIENTOS!$A$5:$A$1005&lt;=$A942)*MOVIMIENTOS!$E$5:$E$1005)-SUMPRODUCT((MOVIMIENTOS!$B$5:$B$1005="VENTA")*(MOVIMIENTOS!$C$5:$C$1005="A")*(MOVIMIENTOS!$D$5:$D$1005="jabas")*(MOVIMIENTOS!$A$5:$A$1005&lt;&gt;"")*(MOVIMIENTOS!$A$5:$A$1005&lt;=$A942)*MOVIMIENTOS!$E$5:$E$1005)+SUMPRODUCT((MOVIMIENTOS!$B$5:$B$1005="AJUSTE")*(MOVIMIENTOS!$C$5:$C$1005="A")*(MOVIMIENTOS!$D$5:$D$1005="jabas")*(MOVIMIENTOS!$A$5:$A$1005&lt;&gt;"")*(MOVIMIENTOS!$A$5:$A$1005&lt;=$A942)*MOVIMIENTOS!$E$5:$E$1005))</f>
        <v/>
      </c>
      <c r="C942" t="str">
        <f>IF($A942="","",SUMPRODUCT((MOVIMIENTOS!$B$5:$B$1005="SALDO INICIAL")*(MOVIMIENTOS!$C$5:$C$1005="P")*(MOVIMIENTOS!$D$5:$D$1005="jabas")*(MOVIMIENTOS!$A$5:$A$1005&lt;&gt;"")*(MOVIMIENTOS!$A$5:$A$1005&lt;=$A942)*MOVIMIENTOS!$E$5:$E$1005)+SUMPRODUCT((MOVIMIENTOS!$B$5:$B$1005="PROCESO")*(MOVIMIENTOS!$C$5:$C$1005="P")*(MOVIMIENTOS!$D$5:$D$1005="jabas")*(MOVIMIENTOS!$A$5:$A$1005&lt;&gt;"")*(MOVIMIENTOS!$A$5:$A$1005&lt;=$A942)*MOVIMIENTOS!$E$5:$E$1005)-SUMPRODUCT((MOVIMIENTOS!$B$5:$B$1005="ENVÍO A SUPESA")*(MOVIMIENTOS!$C$5:$C$1005="P")*(MOVIMIENTOS!$D$5:$D$1005="jabas")*(MOVIMIENTOS!$A$5:$A$1005&lt;&gt;"")*(MOVIMIENTOS!$A$5:$A$1005&lt;=$A942)*MOVIMIENTOS!$E$5:$E$1005)+SUMPRODUCT((MOVIMIENTOS!$B$5:$B$1005="DEVOLUCIÓN")*(MOVIMIENTOS!$C$5:$C$1005="P")*(MOVIMIENTOS!$D$5:$D$1005="jabas")*(MOVIMIENTOS!$A$5:$A$1005&lt;&gt;"")*(MOVIMIENTOS!$A$5:$A$1005&lt;=$A942)*MOVIMIENTOS!$E$5:$E$1005)-SUMPRODUCT((MOVIMIENTOS!$B$5:$B$1005="TRASIEGO")*(MOVIMIENTOS!$C$5:$C$1005="P")*(MOVIMIENTOS!$D$5:$D$1005="jabas")*(MOVIMIENTOS!$A$5:$A$1005&lt;&gt;"")*(MOVIMIENTOS!$A$5:$A$1005&lt;=$A942)*MOVIMIENTOS!$E$5:$E$1005)-SUMPRODUCT((MOVIMIENTOS!$B$5:$B$1005="REGALO")*(MOVIMIENTOS!$C$5:$C$1005="P")*(MOVIMIENTOS!$D$5:$D$1005="jabas")*(MOVIMIENTOS!$A$5:$A$1005&lt;&gt;"")*(MOVIMIENTOS!$A$5:$A$1005&lt;=$A942)*MOVIMIENTOS!$E$5:$E$1005)-SUMPRODUCT((MOVIMIENTOS!$B$5:$B$1005="VENTA")*(MOVIMIENTOS!$C$5:$C$1005="P")*(MOVIMIENTOS!$D$5:$D$1005="jabas")*(MOVIMIENTOS!$A$5:$A$1005&lt;&gt;"")*(MOVIMIENTOS!$A$5:$A$1005&lt;=$A942)*MOVIMIENTOS!$E$5:$E$1005)+SUMPRODUCT((MOVIMIENTOS!$B$5:$B$1005="AJUSTE")*(MOVIMIENTOS!$C$5:$C$1005="P")*(MOVIMIENTOS!$D$5:$D$1005="jabas")*(MOVIMIENTOS!$A$5:$A$1005&lt;&gt;"")*(MOVIMIENTOS!$A$5:$A$1005&lt;=$A942)*MOVIMIENTOS!$E$5:$E$1005))</f>
        <v/>
      </c>
      <c r="D942" t="str">
        <f>IF($A942="","",SUMPRODUCT((MOVIMIENTOS!$B$5:$B$1005="SALDO INICIAL")*(MOVIMIENTOS!$C$5:$C$1005="C")*(MOVIMIENTOS!$D$5:$D$1005="jabas")*(MOVIMIENTOS!$A$5:$A$1005&lt;&gt;"")*(MOVIMIENTOS!$A$5:$A$1005&lt;=$A942)*MOVIMIENTOS!$E$5:$E$1005)+SUMPRODUCT((MOVIMIENTOS!$B$5:$B$1005="PROCESO")*(MOVIMIENTOS!$C$5:$C$1005="C")*(MOVIMIENTOS!$D$5:$D$1005="jabas")*(MOVIMIENTOS!$A$5:$A$1005&lt;&gt;"")*(MOVIMIENTOS!$A$5:$A$1005&lt;=$A942)*MOVIMIENTOS!$E$5:$E$1005)-SUMPRODUCT((MOVIMIENTOS!$B$5:$B$1005="ENVÍO A SUPESA")*(MOVIMIENTOS!$C$5:$C$1005="C")*(MOVIMIENTOS!$D$5:$D$1005="jabas")*(MOVIMIENTOS!$A$5:$A$1005&lt;&gt;"")*(MOVIMIENTOS!$A$5:$A$1005&lt;=$A942)*MOVIMIENTOS!$E$5:$E$1005)+SUMPRODUCT((MOVIMIENTOS!$B$5:$B$1005="DEVOLUCIÓN")*(MOVIMIENTOS!$C$5:$C$1005="C")*(MOVIMIENTOS!$D$5:$D$1005="jabas")*(MOVIMIENTOS!$A$5:$A$1005&lt;&gt;"")*(MOVIMIENTOS!$A$5:$A$1005&lt;=$A942)*MOVIMIENTOS!$E$5:$E$1005)-SUMPRODUCT((MOVIMIENTOS!$B$5:$B$1005="TRASIEGO")*(MOVIMIENTOS!$C$5:$C$1005="C")*(MOVIMIENTOS!$D$5:$D$1005="jabas")*(MOVIMIENTOS!$A$5:$A$1005&lt;&gt;"")*(MOVIMIENTOS!$A$5:$A$1005&lt;=$A942)*MOVIMIENTOS!$E$5:$E$1005)-SUMPRODUCT((MOVIMIENTOS!$B$5:$B$1005="REGALO")*(MOVIMIENTOS!$C$5:$C$1005="C")*(MOVIMIENTOS!$D$5:$D$1005="jabas")*(MOVIMIENTOS!$A$5:$A$1005&lt;&gt;"")*(MOVIMIENTOS!$A$5:$A$1005&lt;=$A942)*MOVIMIENTOS!$E$5:$E$1005)-SUMPRODUCT((MOVIMIENTOS!$B$5:$B$1005="VENTA")*(MOVIMIENTOS!$C$5:$C$1005="C")*(MOVIMIENTOS!$D$5:$D$1005="jabas")*(MOVIMIENTOS!$A$5:$A$1005&lt;&gt;"")*(MOVIMIENTOS!$A$5:$A$1005&lt;=$A942)*MOVIMIENTOS!$E$5:$E$1005)+SUMPRODUCT((MOVIMIENTOS!$B$5:$B$1005="AJUSTE")*(MOVIMIENTOS!$C$5:$C$1005="C")*(MOVIMIENTOS!$D$5:$D$1005="jabas")*(MOVIMIENTOS!$A$5:$A$1005&lt;&gt;"")*(MOVIMIENTOS!$A$5:$A$1005&lt;=$A942)*MOVIMIENTOS!$E$5:$E$1005))</f>
        <v/>
      </c>
      <c r="E942" t="str">
        <f>IF($A942="","",SUMPRODUCT((MOVIMIENTOS!$B$5:$B$1005="SALDO INICIAL")*(MOVIMIENTOS!$C$5:$C$1005="M")*(MOVIMIENTOS!$D$5:$D$1005="jabas")*(MOVIMIENTOS!$A$5:$A$1005&lt;&gt;"")*(MOVIMIENTOS!$A$5:$A$1005&lt;=$A942)*MOVIMIENTOS!$E$5:$E$1005)+SUMPRODUCT((MOVIMIENTOS!$B$5:$B$1005="PROCESO")*(MOVIMIENTOS!$C$5:$C$1005="M")*(MOVIMIENTOS!$D$5:$D$1005="jabas")*(MOVIMIENTOS!$A$5:$A$1005&lt;&gt;"")*(MOVIMIENTOS!$A$5:$A$1005&lt;=$A942)*MOVIMIENTOS!$E$5:$E$1005)-SUMPRODUCT((MOVIMIENTOS!$B$5:$B$1005="ENVÍO A SUPESA")*(MOVIMIENTOS!$C$5:$C$1005="M")*(MOVIMIENTOS!$D$5:$D$1005="jabas")*(MOVIMIENTOS!$A$5:$A$1005&lt;&gt;"")*(MOVIMIENTOS!$A$5:$A$1005&lt;=$A942)*MOVIMIENTOS!$E$5:$E$1005)+SUMPRODUCT((MOVIMIENTOS!$B$5:$B$1005="DEVOLUCIÓN")*(MOVIMIENTOS!$C$5:$C$1005="M")*(MOVIMIENTOS!$D$5:$D$1005="jabas")*(MOVIMIENTOS!$A$5:$A$1005&lt;&gt;"")*(MOVIMIENTOS!$A$5:$A$1005&lt;=$A942)*MOVIMIENTOS!$E$5:$E$1005)-SUMPRODUCT((MOVIMIENTOS!$B$5:$B$1005="TRASIEGO")*(MOVIMIENTOS!$C$5:$C$1005="M")*(MOVIMIENTOS!$D$5:$D$1005="jabas")*(MOVIMIENTOS!$A$5:$A$1005&lt;&gt;"")*(MOVIMIENTOS!$A$5:$A$1005&lt;=$A942)*MOVIMIENTOS!$E$5:$E$1005)-SUMPRODUCT((MOVIMIENTOS!$B$5:$B$1005="REGALO")*(MOVIMIENTOS!$C$5:$C$1005="M")*(MOVIMIENTOS!$D$5:$D$1005="jabas")*(MOVIMIENTOS!$A$5:$A$1005&lt;&gt;"")*(MOVIMIENTOS!$A$5:$A$1005&lt;=$A942)*MOVIMIENTOS!$E$5:$E$1005)-SUMPRODUCT((MOVIMIENTOS!$B$5:$B$1005="VENTA")*(MOVIMIENTOS!$C$5:$C$1005="M")*(MOVIMIENTOS!$D$5:$D$1005="jabas")*(MOVIMIENTOS!$A$5:$A$1005&lt;&gt;"")*(MOVIMIENTOS!$A$5:$A$1005&lt;=$A942)*MOVIMIENTOS!$E$5:$E$1005)+SUMPRODUCT((MOVIMIENTOS!$B$5:$B$1005="AJUSTE")*(MOVIMIENTOS!$C$5:$C$1005="M")*(MOVIMIENTOS!$D$5:$D$1005="jabas")*(MOVIMIENTOS!$A$5:$A$1005&lt;&gt;"")*(MOVIMIENTOS!$A$5:$A$1005&lt;=$A942)*MOVIMIENTOS!$E$5:$E$1005))</f>
        <v/>
      </c>
      <c r="F942" s="62" t="str">
        <f>IF($A942="","",SUMPRODUCT((MOVIMIENTOS!$B$5:$B$1005="SALDO INICIAL")*(MOVIMIENTOS!$C$5:$C$1005="Chancho")*(MOVIMIENTOS!$D$5:$D$1005="sacos")*(MOVIMIENTOS!$A$5:$A$1005&lt;&gt;"")*(MOVIMIENTOS!$A$5:$A$1005&lt;=$A942)*MOVIMIENTOS!$E$5:$E$1005)+SUMPRODUCT((MOVIMIENTOS!$B$5:$B$1005="PROCESO")*(MOVIMIENTOS!$C$5:$C$1005="Chancho")*(MOVIMIENTOS!$D$5:$D$1005="sacos")*(MOVIMIENTOS!$A$5:$A$1005&lt;&gt;"")*(MOVIMIENTOS!$A$5:$A$1005&lt;=$A942)*MOVIMIENTOS!$E$5:$E$1005)-SUMPRODUCT((MOVIMIENTOS!$B$5:$B$1005="VENTA CHANCHO")*(MOVIMIENTOS!$C$5:$C$1005="Chancho")*(MOVIMIENTOS!$D$5:$D$1005="sacos")*(MOVIMIENTOS!$A$5:$A$1005&lt;&gt;"")*(MOVIMIENTOS!$A$5:$A$1005&lt;=$A942)*MOVIMIENTOS!$E$5:$E$1005)-SUMPRODUCT((MOVIMIENTOS!$B$5:$B$1005="REGALO")*(MOVIMIENTOS!$C$5:$C$1005="Chancho")*(MOVIMIENTOS!$D$5:$D$1005="sacos")*(MOVIMIENTOS!$A$5:$A$1005&lt;&gt;"")*(MOVIMIENTOS!$A$5:$A$1005&lt;=$A942)*MOVIMIENTOS!$E$5:$E$1005)-SUMPRODUCT((MOVIMIENTOS!$B$5:$B$1005="VENTA")*(MOVIMIENTOS!$C$5:$C$1005="Chancho")*(MOVIMIENTOS!$D$5:$D$1005="sacos")*(MOVIMIENTOS!$A$5:$A$1005&lt;&gt;"")*(MOVIMIENTOS!$A$5:$A$1005&lt;=$A942)*MOVIMIENTOS!$E$5:$E$1005)+SUMPRODUCT((MOVIMIENTOS!$B$5:$B$1005="AJUSTE")*(MOVIMIENTOS!$C$5:$C$1005="Chancho")*(MOVIMIENTOS!$D$5:$D$1005="sacos")*(MOVIMIENTOS!$A$5:$A$1005&lt;&gt;"")*(MOVIMIENTOS!$A$5:$A$1005&lt;=$A942)*MOVIMIENTOS!$E$5:$E$1005))</f>
        <v/>
      </c>
      <c r="G942" s="62" t="str">
        <f t="shared" si="29"/>
        <v/>
      </c>
      <c r="H942" t="str">
        <f>IF($A942="","",SUMPRODUCT((((MOVIMIENTOS!$B$5:$B$1005="SALDO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942)*MOVIMIENTOS!$J$5:$J$1005))</f>
        <v/>
      </c>
      <c r="J942" t="str">
        <f>IF(AND(MOVIMIENTOS!$A947&lt;&gt;"",COUNTIF(MOVIMIENTOS!$A$5:$A946,MOVIMIENTOS!$A947)=0),COUNT(J$4:J941)+1,"")</f>
        <v/>
      </c>
      <c r="K942">
        <f>MOVIMIENTOS!$A947</f>
        <v>0</v>
      </c>
    </row>
    <row r="943" spans="1:11" ht="15" customHeight="1" x14ac:dyDescent="0.2">
      <c r="A943" t="str">
        <f t="shared" si="28"/>
        <v/>
      </c>
      <c r="B943" t="str">
        <f>IF($A943="","",SUMPRODUCT((MOVIMIENTOS!$B$5:$B$1005="SALDO INICIAL")*(MOVIMIENTOS!$C$5:$C$1005="A")*(MOVIMIENTOS!$D$5:$D$1005="jabas")*(MOVIMIENTOS!$A$5:$A$1005&lt;&gt;"")*(MOVIMIENTOS!$A$5:$A$1005&lt;=$A943)*MOVIMIENTOS!$E$5:$E$1005)+SUMPRODUCT((MOVIMIENTOS!$B$5:$B$1005="PROCESO")*(MOVIMIENTOS!$C$5:$C$1005="A")*(MOVIMIENTOS!$D$5:$D$1005="jabas")*(MOVIMIENTOS!$A$5:$A$1005&lt;&gt;"")*(MOVIMIENTOS!$A$5:$A$1005&lt;=$A943)*MOVIMIENTOS!$E$5:$E$1005)-SUMPRODUCT((MOVIMIENTOS!$B$5:$B$1005="ENVÍO A SUPESA")*(MOVIMIENTOS!$C$5:$C$1005="A")*(MOVIMIENTOS!$D$5:$D$1005="jabas")*(MOVIMIENTOS!$A$5:$A$1005&lt;&gt;"")*(MOVIMIENTOS!$A$5:$A$1005&lt;=$A943)*MOVIMIENTOS!$E$5:$E$1005)+SUMPRODUCT((MOVIMIENTOS!$B$5:$B$1005="DEVOLUCIÓN")*(MOVIMIENTOS!$C$5:$C$1005="A")*(MOVIMIENTOS!$D$5:$D$1005="jabas")*(MOVIMIENTOS!$A$5:$A$1005&lt;&gt;"")*(MOVIMIENTOS!$A$5:$A$1005&lt;=$A943)*MOVIMIENTOS!$E$5:$E$1005)-SUMPRODUCT((MOVIMIENTOS!$B$5:$B$1005="TRASIEGO")*(MOVIMIENTOS!$C$5:$C$1005="A")*(MOVIMIENTOS!$D$5:$D$1005="jabas")*(MOVIMIENTOS!$A$5:$A$1005&lt;&gt;"")*(MOVIMIENTOS!$A$5:$A$1005&lt;=$A943)*MOVIMIENTOS!$E$5:$E$1005)-SUMPRODUCT((MOVIMIENTOS!$B$5:$B$1005="REGALO")*(MOVIMIENTOS!$C$5:$C$1005="A")*(MOVIMIENTOS!$D$5:$D$1005="jabas")*(MOVIMIENTOS!$A$5:$A$1005&lt;&gt;"")*(MOVIMIENTOS!$A$5:$A$1005&lt;=$A943)*MOVIMIENTOS!$E$5:$E$1005)-SUMPRODUCT((MOVIMIENTOS!$B$5:$B$1005="VENTA")*(MOVIMIENTOS!$C$5:$C$1005="A")*(MOVIMIENTOS!$D$5:$D$1005="jabas")*(MOVIMIENTOS!$A$5:$A$1005&lt;&gt;"")*(MOVIMIENTOS!$A$5:$A$1005&lt;=$A943)*MOVIMIENTOS!$E$5:$E$1005)+SUMPRODUCT((MOVIMIENTOS!$B$5:$B$1005="AJUSTE")*(MOVIMIENTOS!$C$5:$C$1005="A")*(MOVIMIENTOS!$D$5:$D$1005="jabas")*(MOVIMIENTOS!$A$5:$A$1005&lt;&gt;"")*(MOVIMIENTOS!$A$5:$A$1005&lt;=$A943)*MOVIMIENTOS!$E$5:$E$1005))</f>
        <v/>
      </c>
      <c r="C943" t="str">
        <f>IF($A943="","",SUMPRODUCT((MOVIMIENTOS!$B$5:$B$1005="SALDO INICIAL")*(MOVIMIENTOS!$C$5:$C$1005="P")*(MOVIMIENTOS!$D$5:$D$1005="jabas")*(MOVIMIENTOS!$A$5:$A$1005&lt;&gt;"")*(MOVIMIENTOS!$A$5:$A$1005&lt;=$A943)*MOVIMIENTOS!$E$5:$E$1005)+SUMPRODUCT((MOVIMIENTOS!$B$5:$B$1005="PROCESO")*(MOVIMIENTOS!$C$5:$C$1005="P")*(MOVIMIENTOS!$D$5:$D$1005="jabas")*(MOVIMIENTOS!$A$5:$A$1005&lt;&gt;"")*(MOVIMIENTOS!$A$5:$A$1005&lt;=$A943)*MOVIMIENTOS!$E$5:$E$1005)-SUMPRODUCT((MOVIMIENTOS!$B$5:$B$1005="ENVÍO A SUPESA")*(MOVIMIENTOS!$C$5:$C$1005="P")*(MOVIMIENTOS!$D$5:$D$1005="jabas")*(MOVIMIENTOS!$A$5:$A$1005&lt;&gt;"")*(MOVIMIENTOS!$A$5:$A$1005&lt;=$A943)*MOVIMIENTOS!$E$5:$E$1005)+SUMPRODUCT((MOVIMIENTOS!$B$5:$B$1005="DEVOLUCIÓN")*(MOVIMIENTOS!$C$5:$C$1005="P")*(MOVIMIENTOS!$D$5:$D$1005="jabas")*(MOVIMIENTOS!$A$5:$A$1005&lt;&gt;"")*(MOVIMIENTOS!$A$5:$A$1005&lt;=$A943)*MOVIMIENTOS!$E$5:$E$1005)-SUMPRODUCT((MOVIMIENTOS!$B$5:$B$1005="TRASIEGO")*(MOVIMIENTOS!$C$5:$C$1005="P")*(MOVIMIENTOS!$D$5:$D$1005="jabas")*(MOVIMIENTOS!$A$5:$A$1005&lt;&gt;"")*(MOVIMIENTOS!$A$5:$A$1005&lt;=$A943)*MOVIMIENTOS!$E$5:$E$1005)-SUMPRODUCT((MOVIMIENTOS!$B$5:$B$1005="REGALO")*(MOVIMIENTOS!$C$5:$C$1005="P")*(MOVIMIENTOS!$D$5:$D$1005="jabas")*(MOVIMIENTOS!$A$5:$A$1005&lt;&gt;"")*(MOVIMIENTOS!$A$5:$A$1005&lt;=$A943)*MOVIMIENTOS!$E$5:$E$1005)-SUMPRODUCT((MOVIMIENTOS!$B$5:$B$1005="VENTA")*(MOVIMIENTOS!$C$5:$C$1005="P")*(MOVIMIENTOS!$D$5:$D$1005="jabas")*(MOVIMIENTOS!$A$5:$A$1005&lt;&gt;"")*(MOVIMIENTOS!$A$5:$A$1005&lt;=$A943)*MOVIMIENTOS!$E$5:$E$1005)+SUMPRODUCT((MOVIMIENTOS!$B$5:$B$1005="AJUSTE")*(MOVIMIENTOS!$C$5:$C$1005="P")*(MOVIMIENTOS!$D$5:$D$1005="jabas")*(MOVIMIENTOS!$A$5:$A$1005&lt;&gt;"")*(MOVIMIENTOS!$A$5:$A$1005&lt;=$A943)*MOVIMIENTOS!$E$5:$E$1005))</f>
        <v/>
      </c>
      <c r="D943" t="str">
        <f>IF($A943="","",SUMPRODUCT((MOVIMIENTOS!$B$5:$B$1005="SALDO INICIAL")*(MOVIMIENTOS!$C$5:$C$1005="C")*(MOVIMIENTOS!$D$5:$D$1005="jabas")*(MOVIMIENTOS!$A$5:$A$1005&lt;&gt;"")*(MOVIMIENTOS!$A$5:$A$1005&lt;=$A943)*MOVIMIENTOS!$E$5:$E$1005)+SUMPRODUCT((MOVIMIENTOS!$B$5:$B$1005="PROCESO")*(MOVIMIENTOS!$C$5:$C$1005="C")*(MOVIMIENTOS!$D$5:$D$1005="jabas")*(MOVIMIENTOS!$A$5:$A$1005&lt;&gt;"")*(MOVIMIENTOS!$A$5:$A$1005&lt;=$A943)*MOVIMIENTOS!$E$5:$E$1005)-SUMPRODUCT((MOVIMIENTOS!$B$5:$B$1005="ENVÍO A SUPESA")*(MOVIMIENTOS!$C$5:$C$1005="C")*(MOVIMIENTOS!$D$5:$D$1005="jabas")*(MOVIMIENTOS!$A$5:$A$1005&lt;&gt;"")*(MOVIMIENTOS!$A$5:$A$1005&lt;=$A943)*MOVIMIENTOS!$E$5:$E$1005)+SUMPRODUCT((MOVIMIENTOS!$B$5:$B$1005="DEVOLUCIÓN")*(MOVIMIENTOS!$C$5:$C$1005="C")*(MOVIMIENTOS!$D$5:$D$1005="jabas")*(MOVIMIENTOS!$A$5:$A$1005&lt;&gt;"")*(MOVIMIENTOS!$A$5:$A$1005&lt;=$A943)*MOVIMIENTOS!$E$5:$E$1005)-SUMPRODUCT((MOVIMIENTOS!$B$5:$B$1005="TRASIEGO")*(MOVIMIENTOS!$C$5:$C$1005="C")*(MOVIMIENTOS!$D$5:$D$1005="jabas")*(MOVIMIENTOS!$A$5:$A$1005&lt;&gt;"")*(MOVIMIENTOS!$A$5:$A$1005&lt;=$A943)*MOVIMIENTOS!$E$5:$E$1005)-SUMPRODUCT((MOVIMIENTOS!$B$5:$B$1005="REGALO")*(MOVIMIENTOS!$C$5:$C$1005="C")*(MOVIMIENTOS!$D$5:$D$1005="jabas")*(MOVIMIENTOS!$A$5:$A$1005&lt;&gt;"")*(MOVIMIENTOS!$A$5:$A$1005&lt;=$A943)*MOVIMIENTOS!$E$5:$E$1005)-SUMPRODUCT((MOVIMIENTOS!$B$5:$B$1005="VENTA")*(MOVIMIENTOS!$C$5:$C$1005="C")*(MOVIMIENTOS!$D$5:$D$1005="jabas")*(MOVIMIENTOS!$A$5:$A$1005&lt;&gt;"")*(MOVIMIENTOS!$A$5:$A$1005&lt;=$A943)*MOVIMIENTOS!$E$5:$E$1005)+SUMPRODUCT((MOVIMIENTOS!$B$5:$B$1005="AJUSTE")*(MOVIMIENTOS!$C$5:$C$1005="C")*(MOVIMIENTOS!$D$5:$D$1005="jabas")*(MOVIMIENTOS!$A$5:$A$1005&lt;&gt;"")*(MOVIMIENTOS!$A$5:$A$1005&lt;=$A943)*MOVIMIENTOS!$E$5:$E$1005))</f>
        <v/>
      </c>
      <c r="E943" t="str">
        <f>IF($A943="","",SUMPRODUCT((MOVIMIENTOS!$B$5:$B$1005="SALDO INICIAL")*(MOVIMIENTOS!$C$5:$C$1005="M")*(MOVIMIENTOS!$D$5:$D$1005="jabas")*(MOVIMIENTOS!$A$5:$A$1005&lt;&gt;"")*(MOVIMIENTOS!$A$5:$A$1005&lt;=$A943)*MOVIMIENTOS!$E$5:$E$1005)+SUMPRODUCT((MOVIMIENTOS!$B$5:$B$1005="PROCESO")*(MOVIMIENTOS!$C$5:$C$1005="M")*(MOVIMIENTOS!$D$5:$D$1005="jabas")*(MOVIMIENTOS!$A$5:$A$1005&lt;&gt;"")*(MOVIMIENTOS!$A$5:$A$1005&lt;=$A943)*MOVIMIENTOS!$E$5:$E$1005)-SUMPRODUCT((MOVIMIENTOS!$B$5:$B$1005="ENVÍO A SUPESA")*(MOVIMIENTOS!$C$5:$C$1005="M")*(MOVIMIENTOS!$D$5:$D$1005="jabas")*(MOVIMIENTOS!$A$5:$A$1005&lt;&gt;"")*(MOVIMIENTOS!$A$5:$A$1005&lt;=$A943)*MOVIMIENTOS!$E$5:$E$1005)+SUMPRODUCT((MOVIMIENTOS!$B$5:$B$1005="DEVOLUCIÓN")*(MOVIMIENTOS!$C$5:$C$1005="M")*(MOVIMIENTOS!$D$5:$D$1005="jabas")*(MOVIMIENTOS!$A$5:$A$1005&lt;&gt;"")*(MOVIMIENTOS!$A$5:$A$1005&lt;=$A943)*MOVIMIENTOS!$E$5:$E$1005)-SUMPRODUCT((MOVIMIENTOS!$B$5:$B$1005="TRASIEGO")*(MOVIMIENTOS!$C$5:$C$1005="M")*(MOVIMIENTOS!$D$5:$D$1005="jabas")*(MOVIMIENTOS!$A$5:$A$1005&lt;&gt;"")*(MOVIMIENTOS!$A$5:$A$1005&lt;=$A943)*MOVIMIENTOS!$E$5:$E$1005)-SUMPRODUCT((MOVIMIENTOS!$B$5:$B$1005="REGALO")*(MOVIMIENTOS!$C$5:$C$1005="M")*(MOVIMIENTOS!$D$5:$D$1005="jabas")*(MOVIMIENTOS!$A$5:$A$1005&lt;&gt;"")*(MOVIMIENTOS!$A$5:$A$1005&lt;=$A943)*MOVIMIENTOS!$E$5:$E$1005)-SUMPRODUCT((MOVIMIENTOS!$B$5:$B$1005="VENTA")*(MOVIMIENTOS!$C$5:$C$1005="M")*(MOVIMIENTOS!$D$5:$D$1005="jabas")*(MOVIMIENTOS!$A$5:$A$1005&lt;&gt;"")*(MOVIMIENTOS!$A$5:$A$1005&lt;=$A943)*MOVIMIENTOS!$E$5:$E$1005)+SUMPRODUCT((MOVIMIENTOS!$B$5:$B$1005="AJUSTE")*(MOVIMIENTOS!$C$5:$C$1005="M")*(MOVIMIENTOS!$D$5:$D$1005="jabas")*(MOVIMIENTOS!$A$5:$A$1005&lt;&gt;"")*(MOVIMIENTOS!$A$5:$A$1005&lt;=$A943)*MOVIMIENTOS!$E$5:$E$1005))</f>
        <v/>
      </c>
      <c r="F943" s="62" t="str">
        <f>IF($A943="","",SUMPRODUCT((MOVIMIENTOS!$B$5:$B$1005="SALDO INICIAL")*(MOVIMIENTOS!$C$5:$C$1005="Chancho")*(MOVIMIENTOS!$D$5:$D$1005="sacos")*(MOVIMIENTOS!$A$5:$A$1005&lt;&gt;"")*(MOVIMIENTOS!$A$5:$A$1005&lt;=$A943)*MOVIMIENTOS!$E$5:$E$1005)+SUMPRODUCT((MOVIMIENTOS!$B$5:$B$1005="PROCESO")*(MOVIMIENTOS!$C$5:$C$1005="Chancho")*(MOVIMIENTOS!$D$5:$D$1005="sacos")*(MOVIMIENTOS!$A$5:$A$1005&lt;&gt;"")*(MOVIMIENTOS!$A$5:$A$1005&lt;=$A943)*MOVIMIENTOS!$E$5:$E$1005)-SUMPRODUCT((MOVIMIENTOS!$B$5:$B$1005="VENTA CHANCHO")*(MOVIMIENTOS!$C$5:$C$1005="Chancho")*(MOVIMIENTOS!$D$5:$D$1005="sacos")*(MOVIMIENTOS!$A$5:$A$1005&lt;&gt;"")*(MOVIMIENTOS!$A$5:$A$1005&lt;=$A943)*MOVIMIENTOS!$E$5:$E$1005)-SUMPRODUCT((MOVIMIENTOS!$B$5:$B$1005="REGALO")*(MOVIMIENTOS!$C$5:$C$1005="Chancho")*(MOVIMIENTOS!$D$5:$D$1005="sacos")*(MOVIMIENTOS!$A$5:$A$1005&lt;&gt;"")*(MOVIMIENTOS!$A$5:$A$1005&lt;=$A943)*MOVIMIENTOS!$E$5:$E$1005)-SUMPRODUCT((MOVIMIENTOS!$B$5:$B$1005="VENTA")*(MOVIMIENTOS!$C$5:$C$1005="Chancho")*(MOVIMIENTOS!$D$5:$D$1005="sacos")*(MOVIMIENTOS!$A$5:$A$1005&lt;&gt;"")*(MOVIMIENTOS!$A$5:$A$1005&lt;=$A943)*MOVIMIENTOS!$E$5:$E$1005)+SUMPRODUCT((MOVIMIENTOS!$B$5:$B$1005="AJUSTE")*(MOVIMIENTOS!$C$5:$C$1005="Chancho")*(MOVIMIENTOS!$D$5:$D$1005="sacos")*(MOVIMIENTOS!$A$5:$A$1005&lt;&gt;"")*(MOVIMIENTOS!$A$5:$A$1005&lt;=$A943)*MOVIMIENTOS!$E$5:$E$1005))</f>
        <v/>
      </c>
      <c r="G943" s="62" t="str">
        <f t="shared" si="29"/>
        <v/>
      </c>
      <c r="H943" t="str">
        <f>IF($A943="","",SUMPRODUCT((((MOVIMIENTOS!$B$5:$B$1005="SALDO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943)*MOVIMIENTOS!$J$5:$J$1005))</f>
        <v/>
      </c>
      <c r="J943" t="str">
        <f>IF(AND(MOVIMIENTOS!$A948&lt;&gt;"",COUNTIF(MOVIMIENTOS!$A$5:$A947,MOVIMIENTOS!$A948)=0),COUNT(J$4:J942)+1,"")</f>
        <v/>
      </c>
      <c r="K943">
        <f>MOVIMIENTOS!$A948</f>
        <v>0</v>
      </c>
    </row>
    <row r="944" spans="1:11" ht="15" customHeight="1" x14ac:dyDescent="0.2">
      <c r="A944" t="str">
        <f t="shared" si="28"/>
        <v/>
      </c>
      <c r="B944" t="str">
        <f>IF($A944="","",SUMPRODUCT((MOVIMIENTOS!$B$5:$B$1005="SALDO INICIAL")*(MOVIMIENTOS!$C$5:$C$1005="A")*(MOVIMIENTOS!$D$5:$D$1005="jabas")*(MOVIMIENTOS!$A$5:$A$1005&lt;&gt;"")*(MOVIMIENTOS!$A$5:$A$1005&lt;=$A944)*MOVIMIENTOS!$E$5:$E$1005)+SUMPRODUCT((MOVIMIENTOS!$B$5:$B$1005="PROCESO")*(MOVIMIENTOS!$C$5:$C$1005="A")*(MOVIMIENTOS!$D$5:$D$1005="jabas")*(MOVIMIENTOS!$A$5:$A$1005&lt;&gt;"")*(MOVIMIENTOS!$A$5:$A$1005&lt;=$A944)*MOVIMIENTOS!$E$5:$E$1005)-SUMPRODUCT((MOVIMIENTOS!$B$5:$B$1005="ENVÍO A SUPESA")*(MOVIMIENTOS!$C$5:$C$1005="A")*(MOVIMIENTOS!$D$5:$D$1005="jabas")*(MOVIMIENTOS!$A$5:$A$1005&lt;&gt;"")*(MOVIMIENTOS!$A$5:$A$1005&lt;=$A944)*MOVIMIENTOS!$E$5:$E$1005)+SUMPRODUCT((MOVIMIENTOS!$B$5:$B$1005="DEVOLUCIÓN")*(MOVIMIENTOS!$C$5:$C$1005="A")*(MOVIMIENTOS!$D$5:$D$1005="jabas")*(MOVIMIENTOS!$A$5:$A$1005&lt;&gt;"")*(MOVIMIENTOS!$A$5:$A$1005&lt;=$A944)*MOVIMIENTOS!$E$5:$E$1005)-SUMPRODUCT((MOVIMIENTOS!$B$5:$B$1005="TRASIEGO")*(MOVIMIENTOS!$C$5:$C$1005="A")*(MOVIMIENTOS!$D$5:$D$1005="jabas")*(MOVIMIENTOS!$A$5:$A$1005&lt;&gt;"")*(MOVIMIENTOS!$A$5:$A$1005&lt;=$A944)*MOVIMIENTOS!$E$5:$E$1005)-SUMPRODUCT((MOVIMIENTOS!$B$5:$B$1005="REGALO")*(MOVIMIENTOS!$C$5:$C$1005="A")*(MOVIMIENTOS!$D$5:$D$1005="jabas")*(MOVIMIENTOS!$A$5:$A$1005&lt;&gt;"")*(MOVIMIENTOS!$A$5:$A$1005&lt;=$A944)*MOVIMIENTOS!$E$5:$E$1005)-SUMPRODUCT((MOVIMIENTOS!$B$5:$B$1005="VENTA")*(MOVIMIENTOS!$C$5:$C$1005="A")*(MOVIMIENTOS!$D$5:$D$1005="jabas")*(MOVIMIENTOS!$A$5:$A$1005&lt;&gt;"")*(MOVIMIENTOS!$A$5:$A$1005&lt;=$A944)*MOVIMIENTOS!$E$5:$E$1005)+SUMPRODUCT((MOVIMIENTOS!$B$5:$B$1005="AJUSTE")*(MOVIMIENTOS!$C$5:$C$1005="A")*(MOVIMIENTOS!$D$5:$D$1005="jabas")*(MOVIMIENTOS!$A$5:$A$1005&lt;&gt;"")*(MOVIMIENTOS!$A$5:$A$1005&lt;=$A944)*MOVIMIENTOS!$E$5:$E$1005))</f>
        <v/>
      </c>
      <c r="C944" t="str">
        <f>IF($A944="","",SUMPRODUCT((MOVIMIENTOS!$B$5:$B$1005="SALDO INICIAL")*(MOVIMIENTOS!$C$5:$C$1005="P")*(MOVIMIENTOS!$D$5:$D$1005="jabas")*(MOVIMIENTOS!$A$5:$A$1005&lt;&gt;"")*(MOVIMIENTOS!$A$5:$A$1005&lt;=$A944)*MOVIMIENTOS!$E$5:$E$1005)+SUMPRODUCT((MOVIMIENTOS!$B$5:$B$1005="PROCESO")*(MOVIMIENTOS!$C$5:$C$1005="P")*(MOVIMIENTOS!$D$5:$D$1005="jabas")*(MOVIMIENTOS!$A$5:$A$1005&lt;&gt;"")*(MOVIMIENTOS!$A$5:$A$1005&lt;=$A944)*MOVIMIENTOS!$E$5:$E$1005)-SUMPRODUCT((MOVIMIENTOS!$B$5:$B$1005="ENVÍO A SUPESA")*(MOVIMIENTOS!$C$5:$C$1005="P")*(MOVIMIENTOS!$D$5:$D$1005="jabas")*(MOVIMIENTOS!$A$5:$A$1005&lt;&gt;"")*(MOVIMIENTOS!$A$5:$A$1005&lt;=$A944)*MOVIMIENTOS!$E$5:$E$1005)+SUMPRODUCT((MOVIMIENTOS!$B$5:$B$1005="DEVOLUCIÓN")*(MOVIMIENTOS!$C$5:$C$1005="P")*(MOVIMIENTOS!$D$5:$D$1005="jabas")*(MOVIMIENTOS!$A$5:$A$1005&lt;&gt;"")*(MOVIMIENTOS!$A$5:$A$1005&lt;=$A944)*MOVIMIENTOS!$E$5:$E$1005)-SUMPRODUCT((MOVIMIENTOS!$B$5:$B$1005="TRASIEGO")*(MOVIMIENTOS!$C$5:$C$1005="P")*(MOVIMIENTOS!$D$5:$D$1005="jabas")*(MOVIMIENTOS!$A$5:$A$1005&lt;&gt;"")*(MOVIMIENTOS!$A$5:$A$1005&lt;=$A944)*MOVIMIENTOS!$E$5:$E$1005)-SUMPRODUCT((MOVIMIENTOS!$B$5:$B$1005="REGALO")*(MOVIMIENTOS!$C$5:$C$1005="P")*(MOVIMIENTOS!$D$5:$D$1005="jabas")*(MOVIMIENTOS!$A$5:$A$1005&lt;&gt;"")*(MOVIMIENTOS!$A$5:$A$1005&lt;=$A944)*MOVIMIENTOS!$E$5:$E$1005)-SUMPRODUCT((MOVIMIENTOS!$B$5:$B$1005="VENTA")*(MOVIMIENTOS!$C$5:$C$1005="P")*(MOVIMIENTOS!$D$5:$D$1005="jabas")*(MOVIMIENTOS!$A$5:$A$1005&lt;&gt;"")*(MOVIMIENTOS!$A$5:$A$1005&lt;=$A944)*MOVIMIENTOS!$E$5:$E$1005)+SUMPRODUCT((MOVIMIENTOS!$B$5:$B$1005="AJUSTE")*(MOVIMIENTOS!$C$5:$C$1005="P")*(MOVIMIENTOS!$D$5:$D$1005="jabas")*(MOVIMIENTOS!$A$5:$A$1005&lt;&gt;"")*(MOVIMIENTOS!$A$5:$A$1005&lt;=$A944)*MOVIMIENTOS!$E$5:$E$1005))</f>
        <v/>
      </c>
      <c r="D944" t="str">
        <f>IF($A944="","",SUMPRODUCT((MOVIMIENTOS!$B$5:$B$1005="SALDO INICIAL")*(MOVIMIENTOS!$C$5:$C$1005="C")*(MOVIMIENTOS!$D$5:$D$1005="jabas")*(MOVIMIENTOS!$A$5:$A$1005&lt;&gt;"")*(MOVIMIENTOS!$A$5:$A$1005&lt;=$A944)*MOVIMIENTOS!$E$5:$E$1005)+SUMPRODUCT((MOVIMIENTOS!$B$5:$B$1005="PROCESO")*(MOVIMIENTOS!$C$5:$C$1005="C")*(MOVIMIENTOS!$D$5:$D$1005="jabas")*(MOVIMIENTOS!$A$5:$A$1005&lt;&gt;"")*(MOVIMIENTOS!$A$5:$A$1005&lt;=$A944)*MOVIMIENTOS!$E$5:$E$1005)-SUMPRODUCT((MOVIMIENTOS!$B$5:$B$1005="ENVÍO A SUPESA")*(MOVIMIENTOS!$C$5:$C$1005="C")*(MOVIMIENTOS!$D$5:$D$1005="jabas")*(MOVIMIENTOS!$A$5:$A$1005&lt;&gt;"")*(MOVIMIENTOS!$A$5:$A$1005&lt;=$A944)*MOVIMIENTOS!$E$5:$E$1005)+SUMPRODUCT((MOVIMIENTOS!$B$5:$B$1005="DEVOLUCIÓN")*(MOVIMIENTOS!$C$5:$C$1005="C")*(MOVIMIENTOS!$D$5:$D$1005="jabas")*(MOVIMIENTOS!$A$5:$A$1005&lt;&gt;"")*(MOVIMIENTOS!$A$5:$A$1005&lt;=$A944)*MOVIMIENTOS!$E$5:$E$1005)-SUMPRODUCT((MOVIMIENTOS!$B$5:$B$1005="TRASIEGO")*(MOVIMIENTOS!$C$5:$C$1005="C")*(MOVIMIENTOS!$D$5:$D$1005="jabas")*(MOVIMIENTOS!$A$5:$A$1005&lt;&gt;"")*(MOVIMIENTOS!$A$5:$A$1005&lt;=$A944)*MOVIMIENTOS!$E$5:$E$1005)-SUMPRODUCT((MOVIMIENTOS!$B$5:$B$1005="REGALO")*(MOVIMIENTOS!$C$5:$C$1005="C")*(MOVIMIENTOS!$D$5:$D$1005="jabas")*(MOVIMIENTOS!$A$5:$A$1005&lt;&gt;"")*(MOVIMIENTOS!$A$5:$A$1005&lt;=$A944)*MOVIMIENTOS!$E$5:$E$1005)-SUMPRODUCT((MOVIMIENTOS!$B$5:$B$1005="VENTA")*(MOVIMIENTOS!$C$5:$C$1005="C")*(MOVIMIENTOS!$D$5:$D$1005="jabas")*(MOVIMIENTOS!$A$5:$A$1005&lt;&gt;"")*(MOVIMIENTOS!$A$5:$A$1005&lt;=$A944)*MOVIMIENTOS!$E$5:$E$1005)+SUMPRODUCT((MOVIMIENTOS!$B$5:$B$1005="AJUSTE")*(MOVIMIENTOS!$C$5:$C$1005="C")*(MOVIMIENTOS!$D$5:$D$1005="jabas")*(MOVIMIENTOS!$A$5:$A$1005&lt;&gt;"")*(MOVIMIENTOS!$A$5:$A$1005&lt;=$A944)*MOVIMIENTOS!$E$5:$E$1005))</f>
        <v/>
      </c>
      <c r="E944" t="str">
        <f>IF($A944="","",SUMPRODUCT((MOVIMIENTOS!$B$5:$B$1005="SALDO INICIAL")*(MOVIMIENTOS!$C$5:$C$1005="M")*(MOVIMIENTOS!$D$5:$D$1005="jabas")*(MOVIMIENTOS!$A$5:$A$1005&lt;&gt;"")*(MOVIMIENTOS!$A$5:$A$1005&lt;=$A944)*MOVIMIENTOS!$E$5:$E$1005)+SUMPRODUCT((MOVIMIENTOS!$B$5:$B$1005="PROCESO")*(MOVIMIENTOS!$C$5:$C$1005="M")*(MOVIMIENTOS!$D$5:$D$1005="jabas")*(MOVIMIENTOS!$A$5:$A$1005&lt;&gt;"")*(MOVIMIENTOS!$A$5:$A$1005&lt;=$A944)*MOVIMIENTOS!$E$5:$E$1005)-SUMPRODUCT((MOVIMIENTOS!$B$5:$B$1005="ENVÍO A SUPESA")*(MOVIMIENTOS!$C$5:$C$1005="M")*(MOVIMIENTOS!$D$5:$D$1005="jabas")*(MOVIMIENTOS!$A$5:$A$1005&lt;&gt;"")*(MOVIMIENTOS!$A$5:$A$1005&lt;=$A944)*MOVIMIENTOS!$E$5:$E$1005)+SUMPRODUCT((MOVIMIENTOS!$B$5:$B$1005="DEVOLUCIÓN")*(MOVIMIENTOS!$C$5:$C$1005="M")*(MOVIMIENTOS!$D$5:$D$1005="jabas")*(MOVIMIENTOS!$A$5:$A$1005&lt;&gt;"")*(MOVIMIENTOS!$A$5:$A$1005&lt;=$A944)*MOVIMIENTOS!$E$5:$E$1005)-SUMPRODUCT((MOVIMIENTOS!$B$5:$B$1005="TRASIEGO")*(MOVIMIENTOS!$C$5:$C$1005="M")*(MOVIMIENTOS!$D$5:$D$1005="jabas")*(MOVIMIENTOS!$A$5:$A$1005&lt;&gt;"")*(MOVIMIENTOS!$A$5:$A$1005&lt;=$A944)*MOVIMIENTOS!$E$5:$E$1005)-SUMPRODUCT((MOVIMIENTOS!$B$5:$B$1005="REGALO")*(MOVIMIENTOS!$C$5:$C$1005="M")*(MOVIMIENTOS!$D$5:$D$1005="jabas")*(MOVIMIENTOS!$A$5:$A$1005&lt;&gt;"")*(MOVIMIENTOS!$A$5:$A$1005&lt;=$A944)*MOVIMIENTOS!$E$5:$E$1005)-SUMPRODUCT((MOVIMIENTOS!$B$5:$B$1005="VENTA")*(MOVIMIENTOS!$C$5:$C$1005="M")*(MOVIMIENTOS!$D$5:$D$1005="jabas")*(MOVIMIENTOS!$A$5:$A$1005&lt;&gt;"")*(MOVIMIENTOS!$A$5:$A$1005&lt;=$A944)*MOVIMIENTOS!$E$5:$E$1005)+SUMPRODUCT((MOVIMIENTOS!$B$5:$B$1005="AJUSTE")*(MOVIMIENTOS!$C$5:$C$1005="M")*(MOVIMIENTOS!$D$5:$D$1005="jabas")*(MOVIMIENTOS!$A$5:$A$1005&lt;&gt;"")*(MOVIMIENTOS!$A$5:$A$1005&lt;=$A944)*MOVIMIENTOS!$E$5:$E$1005))</f>
        <v/>
      </c>
      <c r="F944" s="62" t="str">
        <f>IF($A944="","",SUMPRODUCT((MOVIMIENTOS!$B$5:$B$1005="SALDO INICIAL")*(MOVIMIENTOS!$C$5:$C$1005="Chancho")*(MOVIMIENTOS!$D$5:$D$1005="sacos")*(MOVIMIENTOS!$A$5:$A$1005&lt;&gt;"")*(MOVIMIENTOS!$A$5:$A$1005&lt;=$A944)*MOVIMIENTOS!$E$5:$E$1005)+SUMPRODUCT((MOVIMIENTOS!$B$5:$B$1005="PROCESO")*(MOVIMIENTOS!$C$5:$C$1005="Chancho")*(MOVIMIENTOS!$D$5:$D$1005="sacos")*(MOVIMIENTOS!$A$5:$A$1005&lt;&gt;"")*(MOVIMIENTOS!$A$5:$A$1005&lt;=$A944)*MOVIMIENTOS!$E$5:$E$1005)-SUMPRODUCT((MOVIMIENTOS!$B$5:$B$1005="VENTA CHANCHO")*(MOVIMIENTOS!$C$5:$C$1005="Chancho")*(MOVIMIENTOS!$D$5:$D$1005="sacos")*(MOVIMIENTOS!$A$5:$A$1005&lt;&gt;"")*(MOVIMIENTOS!$A$5:$A$1005&lt;=$A944)*MOVIMIENTOS!$E$5:$E$1005)-SUMPRODUCT((MOVIMIENTOS!$B$5:$B$1005="REGALO")*(MOVIMIENTOS!$C$5:$C$1005="Chancho")*(MOVIMIENTOS!$D$5:$D$1005="sacos")*(MOVIMIENTOS!$A$5:$A$1005&lt;&gt;"")*(MOVIMIENTOS!$A$5:$A$1005&lt;=$A944)*MOVIMIENTOS!$E$5:$E$1005)-SUMPRODUCT((MOVIMIENTOS!$B$5:$B$1005="VENTA")*(MOVIMIENTOS!$C$5:$C$1005="Chancho")*(MOVIMIENTOS!$D$5:$D$1005="sacos")*(MOVIMIENTOS!$A$5:$A$1005&lt;&gt;"")*(MOVIMIENTOS!$A$5:$A$1005&lt;=$A944)*MOVIMIENTOS!$E$5:$E$1005)+SUMPRODUCT((MOVIMIENTOS!$B$5:$B$1005="AJUSTE")*(MOVIMIENTOS!$C$5:$C$1005="Chancho")*(MOVIMIENTOS!$D$5:$D$1005="sacos")*(MOVIMIENTOS!$A$5:$A$1005&lt;&gt;"")*(MOVIMIENTOS!$A$5:$A$1005&lt;=$A944)*MOVIMIENTOS!$E$5:$E$1005))</f>
        <v/>
      </c>
      <c r="G944" s="62" t="str">
        <f t="shared" si="29"/>
        <v/>
      </c>
      <c r="H944" t="str">
        <f>IF($A944="","",SUMPRODUCT((((MOVIMIENTOS!$B$5:$B$1005="SALDO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944)*MOVIMIENTOS!$J$5:$J$1005))</f>
        <v/>
      </c>
      <c r="J944" t="str">
        <f>IF(AND(MOVIMIENTOS!$A949&lt;&gt;"",COUNTIF(MOVIMIENTOS!$A$5:$A948,MOVIMIENTOS!$A949)=0),COUNT(J$4:J943)+1,"")</f>
        <v/>
      </c>
      <c r="K944">
        <f>MOVIMIENTOS!$A949</f>
        <v>0</v>
      </c>
    </row>
    <row r="945" spans="1:11" ht="15" customHeight="1" x14ac:dyDescent="0.2">
      <c r="A945" t="str">
        <f t="shared" si="28"/>
        <v/>
      </c>
      <c r="B945" t="str">
        <f>IF($A945="","",SUMPRODUCT((MOVIMIENTOS!$B$5:$B$1005="SALDO INICIAL")*(MOVIMIENTOS!$C$5:$C$1005="A")*(MOVIMIENTOS!$D$5:$D$1005="jabas")*(MOVIMIENTOS!$A$5:$A$1005&lt;&gt;"")*(MOVIMIENTOS!$A$5:$A$1005&lt;=$A945)*MOVIMIENTOS!$E$5:$E$1005)+SUMPRODUCT((MOVIMIENTOS!$B$5:$B$1005="PROCESO")*(MOVIMIENTOS!$C$5:$C$1005="A")*(MOVIMIENTOS!$D$5:$D$1005="jabas")*(MOVIMIENTOS!$A$5:$A$1005&lt;&gt;"")*(MOVIMIENTOS!$A$5:$A$1005&lt;=$A945)*MOVIMIENTOS!$E$5:$E$1005)-SUMPRODUCT((MOVIMIENTOS!$B$5:$B$1005="ENVÍO A SUPESA")*(MOVIMIENTOS!$C$5:$C$1005="A")*(MOVIMIENTOS!$D$5:$D$1005="jabas")*(MOVIMIENTOS!$A$5:$A$1005&lt;&gt;"")*(MOVIMIENTOS!$A$5:$A$1005&lt;=$A945)*MOVIMIENTOS!$E$5:$E$1005)+SUMPRODUCT((MOVIMIENTOS!$B$5:$B$1005="DEVOLUCIÓN")*(MOVIMIENTOS!$C$5:$C$1005="A")*(MOVIMIENTOS!$D$5:$D$1005="jabas")*(MOVIMIENTOS!$A$5:$A$1005&lt;&gt;"")*(MOVIMIENTOS!$A$5:$A$1005&lt;=$A945)*MOVIMIENTOS!$E$5:$E$1005)-SUMPRODUCT((MOVIMIENTOS!$B$5:$B$1005="TRASIEGO")*(MOVIMIENTOS!$C$5:$C$1005="A")*(MOVIMIENTOS!$D$5:$D$1005="jabas")*(MOVIMIENTOS!$A$5:$A$1005&lt;&gt;"")*(MOVIMIENTOS!$A$5:$A$1005&lt;=$A945)*MOVIMIENTOS!$E$5:$E$1005)-SUMPRODUCT((MOVIMIENTOS!$B$5:$B$1005="REGALO")*(MOVIMIENTOS!$C$5:$C$1005="A")*(MOVIMIENTOS!$D$5:$D$1005="jabas")*(MOVIMIENTOS!$A$5:$A$1005&lt;&gt;"")*(MOVIMIENTOS!$A$5:$A$1005&lt;=$A945)*MOVIMIENTOS!$E$5:$E$1005)-SUMPRODUCT((MOVIMIENTOS!$B$5:$B$1005="VENTA")*(MOVIMIENTOS!$C$5:$C$1005="A")*(MOVIMIENTOS!$D$5:$D$1005="jabas")*(MOVIMIENTOS!$A$5:$A$1005&lt;&gt;"")*(MOVIMIENTOS!$A$5:$A$1005&lt;=$A945)*MOVIMIENTOS!$E$5:$E$1005)+SUMPRODUCT((MOVIMIENTOS!$B$5:$B$1005="AJUSTE")*(MOVIMIENTOS!$C$5:$C$1005="A")*(MOVIMIENTOS!$D$5:$D$1005="jabas")*(MOVIMIENTOS!$A$5:$A$1005&lt;&gt;"")*(MOVIMIENTOS!$A$5:$A$1005&lt;=$A945)*MOVIMIENTOS!$E$5:$E$1005))</f>
        <v/>
      </c>
      <c r="C945" t="str">
        <f>IF($A945="","",SUMPRODUCT((MOVIMIENTOS!$B$5:$B$1005="SALDO INICIAL")*(MOVIMIENTOS!$C$5:$C$1005="P")*(MOVIMIENTOS!$D$5:$D$1005="jabas")*(MOVIMIENTOS!$A$5:$A$1005&lt;&gt;"")*(MOVIMIENTOS!$A$5:$A$1005&lt;=$A945)*MOVIMIENTOS!$E$5:$E$1005)+SUMPRODUCT((MOVIMIENTOS!$B$5:$B$1005="PROCESO")*(MOVIMIENTOS!$C$5:$C$1005="P")*(MOVIMIENTOS!$D$5:$D$1005="jabas")*(MOVIMIENTOS!$A$5:$A$1005&lt;&gt;"")*(MOVIMIENTOS!$A$5:$A$1005&lt;=$A945)*MOVIMIENTOS!$E$5:$E$1005)-SUMPRODUCT((MOVIMIENTOS!$B$5:$B$1005="ENVÍO A SUPESA")*(MOVIMIENTOS!$C$5:$C$1005="P")*(MOVIMIENTOS!$D$5:$D$1005="jabas")*(MOVIMIENTOS!$A$5:$A$1005&lt;&gt;"")*(MOVIMIENTOS!$A$5:$A$1005&lt;=$A945)*MOVIMIENTOS!$E$5:$E$1005)+SUMPRODUCT((MOVIMIENTOS!$B$5:$B$1005="DEVOLUCIÓN")*(MOVIMIENTOS!$C$5:$C$1005="P")*(MOVIMIENTOS!$D$5:$D$1005="jabas")*(MOVIMIENTOS!$A$5:$A$1005&lt;&gt;"")*(MOVIMIENTOS!$A$5:$A$1005&lt;=$A945)*MOVIMIENTOS!$E$5:$E$1005)-SUMPRODUCT((MOVIMIENTOS!$B$5:$B$1005="TRASIEGO")*(MOVIMIENTOS!$C$5:$C$1005="P")*(MOVIMIENTOS!$D$5:$D$1005="jabas")*(MOVIMIENTOS!$A$5:$A$1005&lt;&gt;"")*(MOVIMIENTOS!$A$5:$A$1005&lt;=$A945)*MOVIMIENTOS!$E$5:$E$1005)-SUMPRODUCT((MOVIMIENTOS!$B$5:$B$1005="REGALO")*(MOVIMIENTOS!$C$5:$C$1005="P")*(MOVIMIENTOS!$D$5:$D$1005="jabas")*(MOVIMIENTOS!$A$5:$A$1005&lt;&gt;"")*(MOVIMIENTOS!$A$5:$A$1005&lt;=$A945)*MOVIMIENTOS!$E$5:$E$1005)-SUMPRODUCT((MOVIMIENTOS!$B$5:$B$1005="VENTA")*(MOVIMIENTOS!$C$5:$C$1005="P")*(MOVIMIENTOS!$D$5:$D$1005="jabas")*(MOVIMIENTOS!$A$5:$A$1005&lt;&gt;"")*(MOVIMIENTOS!$A$5:$A$1005&lt;=$A945)*MOVIMIENTOS!$E$5:$E$1005)+SUMPRODUCT((MOVIMIENTOS!$B$5:$B$1005="AJUSTE")*(MOVIMIENTOS!$C$5:$C$1005="P")*(MOVIMIENTOS!$D$5:$D$1005="jabas")*(MOVIMIENTOS!$A$5:$A$1005&lt;&gt;"")*(MOVIMIENTOS!$A$5:$A$1005&lt;=$A945)*MOVIMIENTOS!$E$5:$E$1005))</f>
        <v/>
      </c>
      <c r="D945" t="str">
        <f>IF($A945="","",SUMPRODUCT((MOVIMIENTOS!$B$5:$B$1005="SALDO INICIAL")*(MOVIMIENTOS!$C$5:$C$1005="C")*(MOVIMIENTOS!$D$5:$D$1005="jabas")*(MOVIMIENTOS!$A$5:$A$1005&lt;&gt;"")*(MOVIMIENTOS!$A$5:$A$1005&lt;=$A945)*MOVIMIENTOS!$E$5:$E$1005)+SUMPRODUCT((MOVIMIENTOS!$B$5:$B$1005="PROCESO")*(MOVIMIENTOS!$C$5:$C$1005="C")*(MOVIMIENTOS!$D$5:$D$1005="jabas")*(MOVIMIENTOS!$A$5:$A$1005&lt;&gt;"")*(MOVIMIENTOS!$A$5:$A$1005&lt;=$A945)*MOVIMIENTOS!$E$5:$E$1005)-SUMPRODUCT((MOVIMIENTOS!$B$5:$B$1005="ENVÍO A SUPESA")*(MOVIMIENTOS!$C$5:$C$1005="C")*(MOVIMIENTOS!$D$5:$D$1005="jabas")*(MOVIMIENTOS!$A$5:$A$1005&lt;&gt;"")*(MOVIMIENTOS!$A$5:$A$1005&lt;=$A945)*MOVIMIENTOS!$E$5:$E$1005)+SUMPRODUCT((MOVIMIENTOS!$B$5:$B$1005="DEVOLUCIÓN")*(MOVIMIENTOS!$C$5:$C$1005="C")*(MOVIMIENTOS!$D$5:$D$1005="jabas")*(MOVIMIENTOS!$A$5:$A$1005&lt;&gt;"")*(MOVIMIENTOS!$A$5:$A$1005&lt;=$A945)*MOVIMIENTOS!$E$5:$E$1005)-SUMPRODUCT((MOVIMIENTOS!$B$5:$B$1005="TRASIEGO")*(MOVIMIENTOS!$C$5:$C$1005="C")*(MOVIMIENTOS!$D$5:$D$1005="jabas")*(MOVIMIENTOS!$A$5:$A$1005&lt;&gt;"")*(MOVIMIENTOS!$A$5:$A$1005&lt;=$A945)*MOVIMIENTOS!$E$5:$E$1005)-SUMPRODUCT((MOVIMIENTOS!$B$5:$B$1005="REGALO")*(MOVIMIENTOS!$C$5:$C$1005="C")*(MOVIMIENTOS!$D$5:$D$1005="jabas")*(MOVIMIENTOS!$A$5:$A$1005&lt;&gt;"")*(MOVIMIENTOS!$A$5:$A$1005&lt;=$A945)*MOVIMIENTOS!$E$5:$E$1005)-SUMPRODUCT((MOVIMIENTOS!$B$5:$B$1005="VENTA")*(MOVIMIENTOS!$C$5:$C$1005="C")*(MOVIMIENTOS!$D$5:$D$1005="jabas")*(MOVIMIENTOS!$A$5:$A$1005&lt;&gt;"")*(MOVIMIENTOS!$A$5:$A$1005&lt;=$A945)*MOVIMIENTOS!$E$5:$E$1005)+SUMPRODUCT((MOVIMIENTOS!$B$5:$B$1005="AJUSTE")*(MOVIMIENTOS!$C$5:$C$1005="C")*(MOVIMIENTOS!$D$5:$D$1005="jabas")*(MOVIMIENTOS!$A$5:$A$1005&lt;&gt;"")*(MOVIMIENTOS!$A$5:$A$1005&lt;=$A945)*MOVIMIENTOS!$E$5:$E$1005))</f>
        <v/>
      </c>
      <c r="E945" t="str">
        <f>IF($A945="","",SUMPRODUCT((MOVIMIENTOS!$B$5:$B$1005="SALDO INICIAL")*(MOVIMIENTOS!$C$5:$C$1005="M")*(MOVIMIENTOS!$D$5:$D$1005="jabas")*(MOVIMIENTOS!$A$5:$A$1005&lt;&gt;"")*(MOVIMIENTOS!$A$5:$A$1005&lt;=$A945)*MOVIMIENTOS!$E$5:$E$1005)+SUMPRODUCT((MOVIMIENTOS!$B$5:$B$1005="PROCESO")*(MOVIMIENTOS!$C$5:$C$1005="M")*(MOVIMIENTOS!$D$5:$D$1005="jabas")*(MOVIMIENTOS!$A$5:$A$1005&lt;&gt;"")*(MOVIMIENTOS!$A$5:$A$1005&lt;=$A945)*MOVIMIENTOS!$E$5:$E$1005)-SUMPRODUCT((MOVIMIENTOS!$B$5:$B$1005="ENVÍO A SUPESA")*(MOVIMIENTOS!$C$5:$C$1005="M")*(MOVIMIENTOS!$D$5:$D$1005="jabas")*(MOVIMIENTOS!$A$5:$A$1005&lt;&gt;"")*(MOVIMIENTOS!$A$5:$A$1005&lt;=$A945)*MOVIMIENTOS!$E$5:$E$1005)+SUMPRODUCT((MOVIMIENTOS!$B$5:$B$1005="DEVOLUCIÓN")*(MOVIMIENTOS!$C$5:$C$1005="M")*(MOVIMIENTOS!$D$5:$D$1005="jabas")*(MOVIMIENTOS!$A$5:$A$1005&lt;&gt;"")*(MOVIMIENTOS!$A$5:$A$1005&lt;=$A945)*MOVIMIENTOS!$E$5:$E$1005)-SUMPRODUCT((MOVIMIENTOS!$B$5:$B$1005="TRASIEGO")*(MOVIMIENTOS!$C$5:$C$1005="M")*(MOVIMIENTOS!$D$5:$D$1005="jabas")*(MOVIMIENTOS!$A$5:$A$1005&lt;&gt;"")*(MOVIMIENTOS!$A$5:$A$1005&lt;=$A945)*MOVIMIENTOS!$E$5:$E$1005)-SUMPRODUCT((MOVIMIENTOS!$B$5:$B$1005="REGALO")*(MOVIMIENTOS!$C$5:$C$1005="M")*(MOVIMIENTOS!$D$5:$D$1005="jabas")*(MOVIMIENTOS!$A$5:$A$1005&lt;&gt;"")*(MOVIMIENTOS!$A$5:$A$1005&lt;=$A945)*MOVIMIENTOS!$E$5:$E$1005)-SUMPRODUCT((MOVIMIENTOS!$B$5:$B$1005="VENTA")*(MOVIMIENTOS!$C$5:$C$1005="M")*(MOVIMIENTOS!$D$5:$D$1005="jabas")*(MOVIMIENTOS!$A$5:$A$1005&lt;&gt;"")*(MOVIMIENTOS!$A$5:$A$1005&lt;=$A945)*MOVIMIENTOS!$E$5:$E$1005)+SUMPRODUCT((MOVIMIENTOS!$B$5:$B$1005="AJUSTE")*(MOVIMIENTOS!$C$5:$C$1005="M")*(MOVIMIENTOS!$D$5:$D$1005="jabas")*(MOVIMIENTOS!$A$5:$A$1005&lt;&gt;"")*(MOVIMIENTOS!$A$5:$A$1005&lt;=$A945)*MOVIMIENTOS!$E$5:$E$1005))</f>
        <v/>
      </c>
      <c r="F945" s="62" t="str">
        <f>IF($A945="","",SUMPRODUCT((MOVIMIENTOS!$B$5:$B$1005="SALDO INICIAL")*(MOVIMIENTOS!$C$5:$C$1005="Chancho")*(MOVIMIENTOS!$D$5:$D$1005="sacos")*(MOVIMIENTOS!$A$5:$A$1005&lt;&gt;"")*(MOVIMIENTOS!$A$5:$A$1005&lt;=$A945)*MOVIMIENTOS!$E$5:$E$1005)+SUMPRODUCT((MOVIMIENTOS!$B$5:$B$1005="PROCESO")*(MOVIMIENTOS!$C$5:$C$1005="Chancho")*(MOVIMIENTOS!$D$5:$D$1005="sacos")*(MOVIMIENTOS!$A$5:$A$1005&lt;&gt;"")*(MOVIMIENTOS!$A$5:$A$1005&lt;=$A945)*MOVIMIENTOS!$E$5:$E$1005)-SUMPRODUCT((MOVIMIENTOS!$B$5:$B$1005="VENTA CHANCHO")*(MOVIMIENTOS!$C$5:$C$1005="Chancho")*(MOVIMIENTOS!$D$5:$D$1005="sacos")*(MOVIMIENTOS!$A$5:$A$1005&lt;&gt;"")*(MOVIMIENTOS!$A$5:$A$1005&lt;=$A945)*MOVIMIENTOS!$E$5:$E$1005)-SUMPRODUCT((MOVIMIENTOS!$B$5:$B$1005="REGALO")*(MOVIMIENTOS!$C$5:$C$1005="Chancho")*(MOVIMIENTOS!$D$5:$D$1005="sacos")*(MOVIMIENTOS!$A$5:$A$1005&lt;&gt;"")*(MOVIMIENTOS!$A$5:$A$1005&lt;=$A945)*MOVIMIENTOS!$E$5:$E$1005)-SUMPRODUCT((MOVIMIENTOS!$B$5:$B$1005="VENTA")*(MOVIMIENTOS!$C$5:$C$1005="Chancho")*(MOVIMIENTOS!$D$5:$D$1005="sacos")*(MOVIMIENTOS!$A$5:$A$1005&lt;&gt;"")*(MOVIMIENTOS!$A$5:$A$1005&lt;=$A945)*MOVIMIENTOS!$E$5:$E$1005)+SUMPRODUCT((MOVIMIENTOS!$B$5:$B$1005="AJUSTE")*(MOVIMIENTOS!$C$5:$C$1005="Chancho")*(MOVIMIENTOS!$D$5:$D$1005="sacos")*(MOVIMIENTOS!$A$5:$A$1005&lt;&gt;"")*(MOVIMIENTOS!$A$5:$A$1005&lt;=$A945)*MOVIMIENTOS!$E$5:$E$1005))</f>
        <v/>
      </c>
      <c r="G945" s="62" t="str">
        <f t="shared" si="29"/>
        <v/>
      </c>
      <c r="H945" t="str">
        <f>IF($A945="","",SUMPRODUCT((((MOVIMIENTOS!$B$5:$B$1005="SALDO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945)*MOVIMIENTOS!$J$5:$J$1005))</f>
        <v/>
      </c>
      <c r="J945" t="str">
        <f>IF(AND(MOVIMIENTOS!$A950&lt;&gt;"",COUNTIF(MOVIMIENTOS!$A$5:$A949,MOVIMIENTOS!$A950)=0),COUNT(J$4:J944)+1,"")</f>
        <v/>
      </c>
      <c r="K945">
        <f>MOVIMIENTOS!$A950</f>
        <v>0</v>
      </c>
    </row>
    <row r="946" spans="1:11" ht="15" customHeight="1" x14ac:dyDescent="0.2">
      <c r="A946" t="str">
        <f t="shared" si="28"/>
        <v/>
      </c>
      <c r="B946" t="str">
        <f>IF($A946="","",SUMPRODUCT((MOVIMIENTOS!$B$5:$B$1005="SALDO INICIAL")*(MOVIMIENTOS!$C$5:$C$1005="A")*(MOVIMIENTOS!$D$5:$D$1005="jabas")*(MOVIMIENTOS!$A$5:$A$1005&lt;&gt;"")*(MOVIMIENTOS!$A$5:$A$1005&lt;=$A946)*MOVIMIENTOS!$E$5:$E$1005)+SUMPRODUCT((MOVIMIENTOS!$B$5:$B$1005="PROCESO")*(MOVIMIENTOS!$C$5:$C$1005="A")*(MOVIMIENTOS!$D$5:$D$1005="jabas")*(MOVIMIENTOS!$A$5:$A$1005&lt;&gt;"")*(MOVIMIENTOS!$A$5:$A$1005&lt;=$A946)*MOVIMIENTOS!$E$5:$E$1005)-SUMPRODUCT((MOVIMIENTOS!$B$5:$B$1005="ENVÍO A SUPESA")*(MOVIMIENTOS!$C$5:$C$1005="A")*(MOVIMIENTOS!$D$5:$D$1005="jabas")*(MOVIMIENTOS!$A$5:$A$1005&lt;&gt;"")*(MOVIMIENTOS!$A$5:$A$1005&lt;=$A946)*MOVIMIENTOS!$E$5:$E$1005)+SUMPRODUCT((MOVIMIENTOS!$B$5:$B$1005="DEVOLUCIÓN")*(MOVIMIENTOS!$C$5:$C$1005="A")*(MOVIMIENTOS!$D$5:$D$1005="jabas")*(MOVIMIENTOS!$A$5:$A$1005&lt;&gt;"")*(MOVIMIENTOS!$A$5:$A$1005&lt;=$A946)*MOVIMIENTOS!$E$5:$E$1005)-SUMPRODUCT((MOVIMIENTOS!$B$5:$B$1005="TRASIEGO")*(MOVIMIENTOS!$C$5:$C$1005="A")*(MOVIMIENTOS!$D$5:$D$1005="jabas")*(MOVIMIENTOS!$A$5:$A$1005&lt;&gt;"")*(MOVIMIENTOS!$A$5:$A$1005&lt;=$A946)*MOVIMIENTOS!$E$5:$E$1005)-SUMPRODUCT((MOVIMIENTOS!$B$5:$B$1005="REGALO")*(MOVIMIENTOS!$C$5:$C$1005="A")*(MOVIMIENTOS!$D$5:$D$1005="jabas")*(MOVIMIENTOS!$A$5:$A$1005&lt;&gt;"")*(MOVIMIENTOS!$A$5:$A$1005&lt;=$A946)*MOVIMIENTOS!$E$5:$E$1005)-SUMPRODUCT((MOVIMIENTOS!$B$5:$B$1005="VENTA")*(MOVIMIENTOS!$C$5:$C$1005="A")*(MOVIMIENTOS!$D$5:$D$1005="jabas")*(MOVIMIENTOS!$A$5:$A$1005&lt;&gt;"")*(MOVIMIENTOS!$A$5:$A$1005&lt;=$A946)*MOVIMIENTOS!$E$5:$E$1005)+SUMPRODUCT((MOVIMIENTOS!$B$5:$B$1005="AJUSTE")*(MOVIMIENTOS!$C$5:$C$1005="A")*(MOVIMIENTOS!$D$5:$D$1005="jabas")*(MOVIMIENTOS!$A$5:$A$1005&lt;&gt;"")*(MOVIMIENTOS!$A$5:$A$1005&lt;=$A946)*MOVIMIENTOS!$E$5:$E$1005))</f>
        <v/>
      </c>
      <c r="C946" t="str">
        <f>IF($A946="","",SUMPRODUCT((MOVIMIENTOS!$B$5:$B$1005="SALDO INICIAL")*(MOVIMIENTOS!$C$5:$C$1005="P")*(MOVIMIENTOS!$D$5:$D$1005="jabas")*(MOVIMIENTOS!$A$5:$A$1005&lt;&gt;"")*(MOVIMIENTOS!$A$5:$A$1005&lt;=$A946)*MOVIMIENTOS!$E$5:$E$1005)+SUMPRODUCT((MOVIMIENTOS!$B$5:$B$1005="PROCESO")*(MOVIMIENTOS!$C$5:$C$1005="P")*(MOVIMIENTOS!$D$5:$D$1005="jabas")*(MOVIMIENTOS!$A$5:$A$1005&lt;&gt;"")*(MOVIMIENTOS!$A$5:$A$1005&lt;=$A946)*MOVIMIENTOS!$E$5:$E$1005)-SUMPRODUCT((MOVIMIENTOS!$B$5:$B$1005="ENVÍO A SUPESA")*(MOVIMIENTOS!$C$5:$C$1005="P")*(MOVIMIENTOS!$D$5:$D$1005="jabas")*(MOVIMIENTOS!$A$5:$A$1005&lt;&gt;"")*(MOVIMIENTOS!$A$5:$A$1005&lt;=$A946)*MOVIMIENTOS!$E$5:$E$1005)+SUMPRODUCT((MOVIMIENTOS!$B$5:$B$1005="DEVOLUCIÓN")*(MOVIMIENTOS!$C$5:$C$1005="P")*(MOVIMIENTOS!$D$5:$D$1005="jabas")*(MOVIMIENTOS!$A$5:$A$1005&lt;&gt;"")*(MOVIMIENTOS!$A$5:$A$1005&lt;=$A946)*MOVIMIENTOS!$E$5:$E$1005)-SUMPRODUCT((MOVIMIENTOS!$B$5:$B$1005="TRASIEGO")*(MOVIMIENTOS!$C$5:$C$1005="P")*(MOVIMIENTOS!$D$5:$D$1005="jabas")*(MOVIMIENTOS!$A$5:$A$1005&lt;&gt;"")*(MOVIMIENTOS!$A$5:$A$1005&lt;=$A946)*MOVIMIENTOS!$E$5:$E$1005)-SUMPRODUCT((MOVIMIENTOS!$B$5:$B$1005="REGALO")*(MOVIMIENTOS!$C$5:$C$1005="P")*(MOVIMIENTOS!$D$5:$D$1005="jabas")*(MOVIMIENTOS!$A$5:$A$1005&lt;&gt;"")*(MOVIMIENTOS!$A$5:$A$1005&lt;=$A946)*MOVIMIENTOS!$E$5:$E$1005)-SUMPRODUCT((MOVIMIENTOS!$B$5:$B$1005="VENTA")*(MOVIMIENTOS!$C$5:$C$1005="P")*(MOVIMIENTOS!$D$5:$D$1005="jabas")*(MOVIMIENTOS!$A$5:$A$1005&lt;&gt;"")*(MOVIMIENTOS!$A$5:$A$1005&lt;=$A946)*MOVIMIENTOS!$E$5:$E$1005)+SUMPRODUCT((MOVIMIENTOS!$B$5:$B$1005="AJUSTE")*(MOVIMIENTOS!$C$5:$C$1005="P")*(MOVIMIENTOS!$D$5:$D$1005="jabas")*(MOVIMIENTOS!$A$5:$A$1005&lt;&gt;"")*(MOVIMIENTOS!$A$5:$A$1005&lt;=$A946)*MOVIMIENTOS!$E$5:$E$1005))</f>
        <v/>
      </c>
      <c r="D946" t="str">
        <f>IF($A946="","",SUMPRODUCT((MOVIMIENTOS!$B$5:$B$1005="SALDO INICIAL")*(MOVIMIENTOS!$C$5:$C$1005="C")*(MOVIMIENTOS!$D$5:$D$1005="jabas")*(MOVIMIENTOS!$A$5:$A$1005&lt;&gt;"")*(MOVIMIENTOS!$A$5:$A$1005&lt;=$A946)*MOVIMIENTOS!$E$5:$E$1005)+SUMPRODUCT((MOVIMIENTOS!$B$5:$B$1005="PROCESO")*(MOVIMIENTOS!$C$5:$C$1005="C")*(MOVIMIENTOS!$D$5:$D$1005="jabas")*(MOVIMIENTOS!$A$5:$A$1005&lt;&gt;"")*(MOVIMIENTOS!$A$5:$A$1005&lt;=$A946)*MOVIMIENTOS!$E$5:$E$1005)-SUMPRODUCT((MOVIMIENTOS!$B$5:$B$1005="ENVÍO A SUPESA")*(MOVIMIENTOS!$C$5:$C$1005="C")*(MOVIMIENTOS!$D$5:$D$1005="jabas")*(MOVIMIENTOS!$A$5:$A$1005&lt;&gt;"")*(MOVIMIENTOS!$A$5:$A$1005&lt;=$A946)*MOVIMIENTOS!$E$5:$E$1005)+SUMPRODUCT((MOVIMIENTOS!$B$5:$B$1005="DEVOLUCIÓN")*(MOVIMIENTOS!$C$5:$C$1005="C")*(MOVIMIENTOS!$D$5:$D$1005="jabas")*(MOVIMIENTOS!$A$5:$A$1005&lt;&gt;"")*(MOVIMIENTOS!$A$5:$A$1005&lt;=$A946)*MOVIMIENTOS!$E$5:$E$1005)-SUMPRODUCT((MOVIMIENTOS!$B$5:$B$1005="TRASIEGO")*(MOVIMIENTOS!$C$5:$C$1005="C")*(MOVIMIENTOS!$D$5:$D$1005="jabas")*(MOVIMIENTOS!$A$5:$A$1005&lt;&gt;"")*(MOVIMIENTOS!$A$5:$A$1005&lt;=$A946)*MOVIMIENTOS!$E$5:$E$1005)-SUMPRODUCT((MOVIMIENTOS!$B$5:$B$1005="REGALO")*(MOVIMIENTOS!$C$5:$C$1005="C")*(MOVIMIENTOS!$D$5:$D$1005="jabas")*(MOVIMIENTOS!$A$5:$A$1005&lt;&gt;"")*(MOVIMIENTOS!$A$5:$A$1005&lt;=$A946)*MOVIMIENTOS!$E$5:$E$1005)-SUMPRODUCT((MOVIMIENTOS!$B$5:$B$1005="VENTA")*(MOVIMIENTOS!$C$5:$C$1005="C")*(MOVIMIENTOS!$D$5:$D$1005="jabas")*(MOVIMIENTOS!$A$5:$A$1005&lt;&gt;"")*(MOVIMIENTOS!$A$5:$A$1005&lt;=$A946)*MOVIMIENTOS!$E$5:$E$1005)+SUMPRODUCT((MOVIMIENTOS!$B$5:$B$1005="AJUSTE")*(MOVIMIENTOS!$C$5:$C$1005="C")*(MOVIMIENTOS!$D$5:$D$1005="jabas")*(MOVIMIENTOS!$A$5:$A$1005&lt;&gt;"")*(MOVIMIENTOS!$A$5:$A$1005&lt;=$A946)*MOVIMIENTOS!$E$5:$E$1005))</f>
        <v/>
      </c>
      <c r="E946" t="str">
        <f>IF($A946="","",SUMPRODUCT((MOVIMIENTOS!$B$5:$B$1005="SALDO INICIAL")*(MOVIMIENTOS!$C$5:$C$1005="M")*(MOVIMIENTOS!$D$5:$D$1005="jabas")*(MOVIMIENTOS!$A$5:$A$1005&lt;&gt;"")*(MOVIMIENTOS!$A$5:$A$1005&lt;=$A946)*MOVIMIENTOS!$E$5:$E$1005)+SUMPRODUCT((MOVIMIENTOS!$B$5:$B$1005="PROCESO")*(MOVIMIENTOS!$C$5:$C$1005="M")*(MOVIMIENTOS!$D$5:$D$1005="jabas")*(MOVIMIENTOS!$A$5:$A$1005&lt;&gt;"")*(MOVIMIENTOS!$A$5:$A$1005&lt;=$A946)*MOVIMIENTOS!$E$5:$E$1005)-SUMPRODUCT((MOVIMIENTOS!$B$5:$B$1005="ENVÍO A SUPESA")*(MOVIMIENTOS!$C$5:$C$1005="M")*(MOVIMIENTOS!$D$5:$D$1005="jabas")*(MOVIMIENTOS!$A$5:$A$1005&lt;&gt;"")*(MOVIMIENTOS!$A$5:$A$1005&lt;=$A946)*MOVIMIENTOS!$E$5:$E$1005)+SUMPRODUCT((MOVIMIENTOS!$B$5:$B$1005="DEVOLUCIÓN")*(MOVIMIENTOS!$C$5:$C$1005="M")*(MOVIMIENTOS!$D$5:$D$1005="jabas")*(MOVIMIENTOS!$A$5:$A$1005&lt;&gt;"")*(MOVIMIENTOS!$A$5:$A$1005&lt;=$A946)*MOVIMIENTOS!$E$5:$E$1005)-SUMPRODUCT((MOVIMIENTOS!$B$5:$B$1005="TRASIEGO")*(MOVIMIENTOS!$C$5:$C$1005="M")*(MOVIMIENTOS!$D$5:$D$1005="jabas")*(MOVIMIENTOS!$A$5:$A$1005&lt;&gt;"")*(MOVIMIENTOS!$A$5:$A$1005&lt;=$A946)*MOVIMIENTOS!$E$5:$E$1005)-SUMPRODUCT((MOVIMIENTOS!$B$5:$B$1005="REGALO")*(MOVIMIENTOS!$C$5:$C$1005="M")*(MOVIMIENTOS!$D$5:$D$1005="jabas")*(MOVIMIENTOS!$A$5:$A$1005&lt;&gt;"")*(MOVIMIENTOS!$A$5:$A$1005&lt;=$A946)*MOVIMIENTOS!$E$5:$E$1005)-SUMPRODUCT((MOVIMIENTOS!$B$5:$B$1005="VENTA")*(MOVIMIENTOS!$C$5:$C$1005="M")*(MOVIMIENTOS!$D$5:$D$1005="jabas")*(MOVIMIENTOS!$A$5:$A$1005&lt;&gt;"")*(MOVIMIENTOS!$A$5:$A$1005&lt;=$A946)*MOVIMIENTOS!$E$5:$E$1005)+SUMPRODUCT((MOVIMIENTOS!$B$5:$B$1005="AJUSTE")*(MOVIMIENTOS!$C$5:$C$1005="M")*(MOVIMIENTOS!$D$5:$D$1005="jabas")*(MOVIMIENTOS!$A$5:$A$1005&lt;&gt;"")*(MOVIMIENTOS!$A$5:$A$1005&lt;=$A946)*MOVIMIENTOS!$E$5:$E$1005))</f>
        <v/>
      </c>
      <c r="F946" s="62" t="str">
        <f>IF($A946="","",SUMPRODUCT((MOVIMIENTOS!$B$5:$B$1005="SALDO INICIAL")*(MOVIMIENTOS!$C$5:$C$1005="Chancho")*(MOVIMIENTOS!$D$5:$D$1005="sacos")*(MOVIMIENTOS!$A$5:$A$1005&lt;&gt;"")*(MOVIMIENTOS!$A$5:$A$1005&lt;=$A946)*MOVIMIENTOS!$E$5:$E$1005)+SUMPRODUCT((MOVIMIENTOS!$B$5:$B$1005="PROCESO")*(MOVIMIENTOS!$C$5:$C$1005="Chancho")*(MOVIMIENTOS!$D$5:$D$1005="sacos")*(MOVIMIENTOS!$A$5:$A$1005&lt;&gt;"")*(MOVIMIENTOS!$A$5:$A$1005&lt;=$A946)*MOVIMIENTOS!$E$5:$E$1005)-SUMPRODUCT((MOVIMIENTOS!$B$5:$B$1005="VENTA CHANCHO")*(MOVIMIENTOS!$C$5:$C$1005="Chancho")*(MOVIMIENTOS!$D$5:$D$1005="sacos")*(MOVIMIENTOS!$A$5:$A$1005&lt;&gt;"")*(MOVIMIENTOS!$A$5:$A$1005&lt;=$A946)*MOVIMIENTOS!$E$5:$E$1005)-SUMPRODUCT((MOVIMIENTOS!$B$5:$B$1005="REGALO")*(MOVIMIENTOS!$C$5:$C$1005="Chancho")*(MOVIMIENTOS!$D$5:$D$1005="sacos")*(MOVIMIENTOS!$A$5:$A$1005&lt;&gt;"")*(MOVIMIENTOS!$A$5:$A$1005&lt;=$A946)*MOVIMIENTOS!$E$5:$E$1005)-SUMPRODUCT((MOVIMIENTOS!$B$5:$B$1005="VENTA")*(MOVIMIENTOS!$C$5:$C$1005="Chancho")*(MOVIMIENTOS!$D$5:$D$1005="sacos")*(MOVIMIENTOS!$A$5:$A$1005&lt;&gt;"")*(MOVIMIENTOS!$A$5:$A$1005&lt;=$A946)*MOVIMIENTOS!$E$5:$E$1005)+SUMPRODUCT((MOVIMIENTOS!$B$5:$B$1005="AJUSTE")*(MOVIMIENTOS!$C$5:$C$1005="Chancho")*(MOVIMIENTOS!$D$5:$D$1005="sacos")*(MOVIMIENTOS!$A$5:$A$1005&lt;&gt;"")*(MOVIMIENTOS!$A$5:$A$1005&lt;=$A946)*MOVIMIENTOS!$E$5:$E$1005))</f>
        <v/>
      </c>
      <c r="G946" s="62" t="str">
        <f t="shared" si="29"/>
        <v/>
      </c>
      <c r="H946" t="str">
        <f>IF($A946="","",SUMPRODUCT((((MOVIMIENTOS!$B$5:$B$1005="SALDO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946)*MOVIMIENTOS!$J$5:$J$1005))</f>
        <v/>
      </c>
      <c r="J946" t="str">
        <f>IF(AND(MOVIMIENTOS!$A951&lt;&gt;"",COUNTIF(MOVIMIENTOS!$A$5:$A950,MOVIMIENTOS!$A951)=0),COUNT(J$4:J945)+1,"")</f>
        <v/>
      </c>
      <c r="K946">
        <f>MOVIMIENTOS!$A951</f>
        <v>0</v>
      </c>
    </row>
    <row r="947" spans="1:11" ht="15" customHeight="1" x14ac:dyDescent="0.2">
      <c r="A947" t="str">
        <f t="shared" si="28"/>
        <v/>
      </c>
      <c r="B947" t="str">
        <f>IF($A947="","",SUMPRODUCT((MOVIMIENTOS!$B$5:$B$1005="SALDO INICIAL")*(MOVIMIENTOS!$C$5:$C$1005="A")*(MOVIMIENTOS!$D$5:$D$1005="jabas")*(MOVIMIENTOS!$A$5:$A$1005&lt;&gt;"")*(MOVIMIENTOS!$A$5:$A$1005&lt;=$A947)*MOVIMIENTOS!$E$5:$E$1005)+SUMPRODUCT((MOVIMIENTOS!$B$5:$B$1005="PROCESO")*(MOVIMIENTOS!$C$5:$C$1005="A")*(MOVIMIENTOS!$D$5:$D$1005="jabas")*(MOVIMIENTOS!$A$5:$A$1005&lt;&gt;"")*(MOVIMIENTOS!$A$5:$A$1005&lt;=$A947)*MOVIMIENTOS!$E$5:$E$1005)-SUMPRODUCT((MOVIMIENTOS!$B$5:$B$1005="ENVÍO A SUPESA")*(MOVIMIENTOS!$C$5:$C$1005="A")*(MOVIMIENTOS!$D$5:$D$1005="jabas")*(MOVIMIENTOS!$A$5:$A$1005&lt;&gt;"")*(MOVIMIENTOS!$A$5:$A$1005&lt;=$A947)*MOVIMIENTOS!$E$5:$E$1005)+SUMPRODUCT((MOVIMIENTOS!$B$5:$B$1005="DEVOLUCIÓN")*(MOVIMIENTOS!$C$5:$C$1005="A")*(MOVIMIENTOS!$D$5:$D$1005="jabas")*(MOVIMIENTOS!$A$5:$A$1005&lt;&gt;"")*(MOVIMIENTOS!$A$5:$A$1005&lt;=$A947)*MOVIMIENTOS!$E$5:$E$1005)-SUMPRODUCT((MOVIMIENTOS!$B$5:$B$1005="TRASIEGO")*(MOVIMIENTOS!$C$5:$C$1005="A")*(MOVIMIENTOS!$D$5:$D$1005="jabas")*(MOVIMIENTOS!$A$5:$A$1005&lt;&gt;"")*(MOVIMIENTOS!$A$5:$A$1005&lt;=$A947)*MOVIMIENTOS!$E$5:$E$1005)-SUMPRODUCT((MOVIMIENTOS!$B$5:$B$1005="REGALO")*(MOVIMIENTOS!$C$5:$C$1005="A")*(MOVIMIENTOS!$D$5:$D$1005="jabas")*(MOVIMIENTOS!$A$5:$A$1005&lt;&gt;"")*(MOVIMIENTOS!$A$5:$A$1005&lt;=$A947)*MOVIMIENTOS!$E$5:$E$1005)-SUMPRODUCT((MOVIMIENTOS!$B$5:$B$1005="VENTA")*(MOVIMIENTOS!$C$5:$C$1005="A")*(MOVIMIENTOS!$D$5:$D$1005="jabas")*(MOVIMIENTOS!$A$5:$A$1005&lt;&gt;"")*(MOVIMIENTOS!$A$5:$A$1005&lt;=$A947)*MOVIMIENTOS!$E$5:$E$1005)+SUMPRODUCT((MOVIMIENTOS!$B$5:$B$1005="AJUSTE")*(MOVIMIENTOS!$C$5:$C$1005="A")*(MOVIMIENTOS!$D$5:$D$1005="jabas")*(MOVIMIENTOS!$A$5:$A$1005&lt;&gt;"")*(MOVIMIENTOS!$A$5:$A$1005&lt;=$A947)*MOVIMIENTOS!$E$5:$E$1005))</f>
        <v/>
      </c>
      <c r="C947" t="str">
        <f>IF($A947="","",SUMPRODUCT((MOVIMIENTOS!$B$5:$B$1005="SALDO INICIAL")*(MOVIMIENTOS!$C$5:$C$1005="P")*(MOVIMIENTOS!$D$5:$D$1005="jabas")*(MOVIMIENTOS!$A$5:$A$1005&lt;&gt;"")*(MOVIMIENTOS!$A$5:$A$1005&lt;=$A947)*MOVIMIENTOS!$E$5:$E$1005)+SUMPRODUCT((MOVIMIENTOS!$B$5:$B$1005="PROCESO")*(MOVIMIENTOS!$C$5:$C$1005="P")*(MOVIMIENTOS!$D$5:$D$1005="jabas")*(MOVIMIENTOS!$A$5:$A$1005&lt;&gt;"")*(MOVIMIENTOS!$A$5:$A$1005&lt;=$A947)*MOVIMIENTOS!$E$5:$E$1005)-SUMPRODUCT((MOVIMIENTOS!$B$5:$B$1005="ENVÍO A SUPESA")*(MOVIMIENTOS!$C$5:$C$1005="P")*(MOVIMIENTOS!$D$5:$D$1005="jabas")*(MOVIMIENTOS!$A$5:$A$1005&lt;&gt;"")*(MOVIMIENTOS!$A$5:$A$1005&lt;=$A947)*MOVIMIENTOS!$E$5:$E$1005)+SUMPRODUCT((MOVIMIENTOS!$B$5:$B$1005="DEVOLUCIÓN")*(MOVIMIENTOS!$C$5:$C$1005="P")*(MOVIMIENTOS!$D$5:$D$1005="jabas")*(MOVIMIENTOS!$A$5:$A$1005&lt;&gt;"")*(MOVIMIENTOS!$A$5:$A$1005&lt;=$A947)*MOVIMIENTOS!$E$5:$E$1005)-SUMPRODUCT((MOVIMIENTOS!$B$5:$B$1005="TRASIEGO")*(MOVIMIENTOS!$C$5:$C$1005="P")*(MOVIMIENTOS!$D$5:$D$1005="jabas")*(MOVIMIENTOS!$A$5:$A$1005&lt;&gt;"")*(MOVIMIENTOS!$A$5:$A$1005&lt;=$A947)*MOVIMIENTOS!$E$5:$E$1005)-SUMPRODUCT((MOVIMIENTOS!$B$5:$B$1005="REGALO")*(MOVIMIENTOS!$C$5:$C$1005="P")*(MOVIMIENTOS!$D$5:$D$1005="jabas")*(MOVIMIENTOS!$A$5:$A$1005&lt;&gt;"")*(MOVIMIENTOS!$A$5:$A$1005&lt;=$A947)*MOVIMIENTOS!$E$5:$E$1005)-SUMPRODUCT((MOVIMIENTOS!$B$5:$B$1005="VENTA")*(MOVIMIENTOS!$C$5:$C$1005="P")*(MOVIMIENTOS!$D$5:$D$1005="jabas")*(MOVIMIENTOS!$A$5:$A$1005&lt;&gt;"")*(MOVIMIENTOS!$A$5:$A$1005&lt;=$A947)*MOVIMIENTOS!$E$5:$E$1005)+SUMPRODUCT((MOVIMIENTOS!$B$5:$B$1005="AJUSTE")*(MOVIMIENTOS!$C$5:$C$1005="P")*(MOVIMIENTOS!$D$5:$D$1005="jabas")*(MOVIMIENTOS!$A$5:$A$1005&lt;&gt;"")*(MOVIMIENTOS!$A$5:$A$1005&lt;=$A947)*MOVIMIENTOS!$E$5:$E$1005))</f>
        <v/>
      </c>
      <c r="D947" t="str">
        <f>IF($A947="","",SUMPRODUCT((MOVIMIENTOS!$B$5:$B$1005="SALDO INICIAL")*(MOVIMIENTOS!$C$5:$C$1005="C")*(MOVIMIENTOS!$D$5:$D$1005="jabas")*(MOVIMIENTOS!$A$5:$A$1005&lt;&gt;"")*(MOVIMIENTOS!$A$5:$A$1005&lt;=$A947)*MOVIMIENTOS!$E$5:$E$1005)+SUMPRODUCT((MOVIMIENTOS!$B$5:$B$1005="PROCESO")*(MOVIMIENTOS!$C$5:$C$1005="C")*(MOVIMIENTOS!$D$5:$D$1005="jabas")*(MOVIMIENTOS!$A$5:$A$1005&lt;&gt;"")*(MOVIMIENTOS!$A$5:$A$1005&lt;=$A947)*MOVIMIENTOS!$E$5:$E$1005)-SUMPRODUCT((MOVIMIENTOS!$B$5:$B$1005="ENVÍO A SUPESA")*(MOVIMIENTOS!$C$5:$C$1005="C")*(MOVIMIENTOS!$D$5:$D$1005="jabas")*(MOVIMIENTOS!$A$5:$A$1005&lt;&gt;"")*(MOVIMIENTOS!$A$5:$A$1005&lt;=$A947)*MOVIMIENTOS!$E$5:$E$1005)+SUMPRODUCT((MOVIMIENTOS!$B$5:$B$1005="DEVOLUCIÓN")*(MOVIMIENTOS!$C$5:$C$1005="C")*(MOVIMIENTOS!$D$5:$D$1005="jabas")*(MOVIMIENTOS!$A$5:$A$1005&lt;&gt;"")*(MOVIMIENTOS!$A$5:$A$1005&lt;=$A947)*MOVIMIENTOS!$E$5:$E$1005)-SUMPRODUCT((MOVIMIENTOS!$B$5:$B$1005="TRASIEGO")*(MOVIMIENTOS!$C$5:$C$1005="C")*(MOVIMIENTOS!$D$5:$D$1005="jabas")*(MOVIMIENTOS!$A$5:$A$1005&lt;&gt;"")*(MOVIMIENTOS!$A$5:$A$1005&lt;=$A947)*MOVIMIENTOS!$E$5:$E$1005)-SUMPRODUCT((MOVIMIENTOS!$B$5:$B$1005="REGALO")*(MOVIMIENTOS!$C$5:$C$1005="C")*(MOVIMIENTOS!$D$5:$D$1005="jabas")*(MOVIMIENTOS!$A$5:$A$1005&lt;&gt;"")*(MOVIMIENTOS!$A$5:$A$1005&lt;=$A947)*MOVIMIENTOS!$E$5:$E$1005)-SUMPRODUCT((MOVIMIENTOS!$B$5:$B$1005="VENTA")*(MOVIMIENTOS!$C$5:$C$1005="C")*(MOVIMIENTOS!$D$5:$D$1005="jabas")*(MOVIMIENTOS!$A$5:$A$1005&lt;&gt;"")*(MOVIMIENTOS!$A$5:$A$1005&lt;=$A947)*MOVIMIENTOS!$E$5:$E$1005)+SUMPRODUCT((MOVIMIENTOS!$B$5:$B$1005="AJUSTE")*(MOVIMIENTOS!$C$5:$C$1005="C")*(MOVIMIENTOS!$D$5:$D$1005="jabas")*(MOVIMIENTOS!$A$5:$A$1005&lt;&gt;"")*(MOVIMIENTOS!$A$5:$A$1005&lt;=$A947)*MOVIMIENTOS!$E$5:$E$1005))</f>
        <v/>
      </c>
      <c r="E947" t="str">
        <f>IF($A947="","",SUMPRODUCT((MOVIMIENTOS!$B$5:$B$1005="SALDO INICIAL")*(MOVIMIENTOS!$C$5:$C$1005="M")*(MOVIMIENTOS!$D$5:$D$1005="jabas")*(MOVIMIENTOS!$A$5:$A$1005&lt;&gt;"")*(MOVIMIENTOS!$A$5:$A$1005&lt;=$A947)*MOVIMIENTOS!$E$5:$E$1005)+SUMPRODUCT((MOVIMIENTOS!$B$5:$B$1005="PROCESO")*(MOVIMIENTOS!$C$5:$C$1005="M")*(MOVIMIENTOS!$D$5:$D$1005="jabas")*(MOVIMIENTOS!$A$5:$A$1005&lt;&gt;"")*(MOVIMIENTOS!$A$5:$A$1005&lt;=$A947)*MOVIMIENTOS!$E$5:$E$1005)-SUMPRODUCT((MOVIMIENTOS!$B$5:$B$1005="ENVÍO A SUPESA")*(MOVIMIENTOS!$C$5:$C$1005="M")*(MOVIMIENTOS!$D$5:$D$1005="jabas")*(MOVIMIENTOS!$A$5:$A$1005&lt;&gt;"")*(MOVIMIENTOS!$A$5:$A$1005&lt;=$A947)*MOVIMIENTOS!$E$5:$E$1005)+SUMPRODUCT((MOVIMIENTOS!$B$5:$B$1005="DEVOLUCIÓN")*(MOVIMIENTOS!$C$5:$C$1005="M")*(MOVIMIENTOS!$D$5:$D$1005="jabas")*(MOVIMIENTOS!$A$5:$A$1005&lt;&gt;"")*(MOVIMIENTOS!$A$5:$A$1005&lt;=$A947)*MOVIMIENTOS!$E$5:$E$1005)-SUMPRODUCT((MOVIMIENTOS!$B$5:$B$1005="TRASIEGO")*(MOVIMIENTOS!$C$5:$C$1005="M")*(MOVIMIENTOS!$D$5:$D$1005="jabas")*(MOVIMIENTOS!$A$5:$A$1005&lt;&gt;"")*(MOVIMIENTOS!$A$5:$A$1005&lt;=$A947)*MOVIMIENTOS!$E$5:$E$1005)-SUMPRODUCT((MOVIMIENTOS!$B$5:$B$1005="REGALO")*(MOVIMIENTOS!$C$5:$C$1005="M")*(MOVIMIENTOS!$D$5:$D$1005="jabas")*(MOVIMIENTOS!$A$5:$A$1005&lt;&gt;"")*(MOVIMIENTOS!$A$5:$A$1005&lt;=$A947)*MOVIMIENTOS!$E$5:$E$1005)-SUMPRODUCT((MOVIMIENTOS!$B$5:$B$1005="VENTA")*(MOVIMIENTOS!$C$5:$C$1005="M")*(MOVIMIENTOS!$D$5:$D$1005="jabas")*(MOVIMIENTOS!$A$5:$A$1005&lt;&gt;"")*(MOVIMIENTOS!$A$5:$A$1005&lt;=$A947)*MOVIMIENTOS!$E$5:$E$1005)+SUMPRODUCT((MOVIMIENTOS!$B$5:$B$1005="AJUSTE")*(MOVIMIENTOS!$C$5:$C$1005="M")*(MOVIMIENTOS!$D$5:$D$1005="jabas")*(MOVIMIENTOS!$A$5:$A$1005&lt;&gt;"")*(MOVIMIENTOS!$A$5:$A$1005&lt;=$A947)*MOVIMIENTOS!$E$5:$E$1005))</f>
        <v/>
      </c>
      <c r="F947" s="62" t="str">
        <f>IF($A947="","",SUMPRODUCT((MOVIMIENTOS!$B$5:$B$1005="SALDO INICIAL")*(MOVIMIENTOS!$C$5:$C$1005="Chancho")*(MOVIMIENTOS!$D$5:$D$1005="sacos")*(MOVIMIENTOS!$A$5:$A$1005&lt;&gt;"")*(MOVIMIENTOS!$A$5:$A$1005&lt;=$A947)*MOVIMIENTOS!$E$5:$E$1005)+SUMPRODUCT((MOVIMIENTOS!$B$5:$B$1005="PROCESO")*(MOVIMIENTOS!$C$5:$C$1005="Chancho")*(MOVIMIENTOS!$D$5:$D$1005="sacos")*(MOVIMIENTOS!$A$5:$A$1005&lt;&gt;"")*(MOVIMIENTOS!$A$5:$A$1005&lt;=$A947)*MOVIMIENTOS!$E$5:$E$1005)-SUMPRODUCT((MOVIMIENTOS!$B$5:$B$1005="VENTA CHANCHO")*(MOVIMIENTOS!$C$5:$C$1005="Chancho")*(MOVIMIENTOS!$D$5:$D$1005="sacos")*(MOVIMIENTOS!$A$5:$A$1005&lt;&gt;"")*(MOVIMIENTOS!$A$5:$A$1005&lt;=$A947)*MOVIMIENTOS!$E$5:$E$1005)-SUMPRODUCT((MOVIMIENTOS!$B$5:$B$1005="REGALO")*(MOVIMIENTOS!$C$5:$C$1005="Chancho")*(MOVIMIENTOS!$D$5:$D$1005="sacos")*(MOVIMIENTOS!$A$5:$A$1005&lt;&gt;"")*(MOVIMIENTOS!$A$5:$A$1005&lt;=$A947)*MOVIMIENTOS!$E$5:$E$1005)-SUMPRODUCT((MOVIMIENTOS!$B$5:$B$1005="VENTA")*(MOVIMIENTOS!$C$5:$C$1005="Chancho")*(MOVIMIENTOS!$D$5:$D$1005="sacos")*(MOVIMIENTOS!$A$5:$A$1005&lt;&gt;"")*(MOVIMIENTOS!$A$5:$A$1005&lt;=$A947)*MOVIMIENTOS!$E$5:$E$1005)+SUMPRODUCT((MOVIMIENTOS!$B$5:$B$1005="AJUSTE")*(MOVIMIENTOS!$C$5:$C$1005="Chancho")*(MOVIMIENTOS!$D$5:$D$1005="sacos")*(MOVIMIENTOS!$A$5:$A$1005&lt;&gt;"")*(MOVIMIENTOS!$A$5:$A$1005&lt;=$A947)*MOVIMIENTOS!$E$5:$E$1005))</f>
        <v/>
      </c>
      <c r="G947" s="62" t="str">
        <f t="shared" si="29"/>
        <v/>
      </c>
      <c r="H947" t="str">
        <f>IF($A947="","",SUMPRODUCT((((MOVIMIENTOS!$B$5:$B$1005="SALDO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947)*MOVIMIENTOS!$J$5:$J$1005))</f>
        <v/>
      </c>
      <c r="J947" t="str">
        <f>IF(AND(MOVIMIENTOS!$A952&lt;&gt;"",COUNTIF(MOVIMIENTOS!$A$5:$A951,MOVIMIENTOS!$A952)=0),COUNT(J$4:J946)+1,"")</f>
        <v/>
      </c>
      <c r="K947">
        <f>MOVIMIENTOS!$A952</f>
        <v>0</v>
      </c>
    </row>
    <row r="948" spans="1:11" ht="15" customHeight="1" x14ac:dyDescent="0.2">
      <c r="A948" t="str">
        <f t="shared" si="28"/>
        <v/>
      </c>
      <c r="B948" t="str">
        <f>IF($A948="","",SUMPRODUCT((MOVIMIENTOS!$B$5:$B$1005="SALDO INICIAL")*(MOVIMIENTOS!$C$5:$C$1005="A")*(MOVIMIENTOS!$D$5:$D$1005="jabas")*(MOVIMIENTOS!$A$5:$A$1005&lt;&gt;"")*(MOVIMIENTOS!$A$5:$A$1005&lt;=$A948)*MOVIMIENTOS!$E$5:$E$1005)+SUMPRODUCT((MOVIMIENTOS!$B$5:$B$1005="PROCESO")*(MOVIMIENTOS!$C$5:$C$1005="A")*(MOVIMIENTOS!$D$5:$D$1005="jabas")*(MOVIMIENTOS!$A$5:$A$1005&lt;&gt;"")*(MOVIMIENTOS!$A$5:$A$1005&lt;=$A948)*MOVIMIENTOS!$E$5:$E$1005)-SUMPRODUCT((MOVIMIENTOS!$B$5:$B$1005="ENVÍO A SUPESA")*(MOVIMIENTOS!$C$5:$C$1005="A")*(MOVIMIENTOS!$D$5:$D$1005="jabas")*(MOVIMIENTOS!$A$5:$A$1005&lt;&gt;"")*(MOVIMIENTOS!$A$5:$A$1005&lt;=$A948)*MOVIMIENTOS!$E$5:$E$1005)+SUMPRODUCT((MOVIMIENTOS!$B$5:$B$1005="DEVOLUCIÓN")*(MOVIMIENTOS!$C$5:$C$1005="A")*(MOVIMIENTOS!$D$5:$D$1005="jabas")*(MOVIMIENTOS!$A$5:$A$1005&lt;&gt;"")*(MOVIMIENTOS!$A$5:$A$1005&lt;=$A948)*MOVIMIENTOS!$E$5:$E$1005)-SUMPRODUCT((MOVIMIENTOS!$B$5:$B$1005="TRASIEGO")*(MOVIMIENTOS!$C$5:$C$1005="A")*(MOVIMIENTOS!$D$5:$D$1005="jabas")*(MOVIMIENTOS!$A$5:$A$1005&lt;&gt;"")*(MOVIMIENTOS!$A$5:$A$1005&lt;=$A948)*MOVIMIENTOS!$E$5:$E$1005)-SUMPRODUCT((MOVIMIENTOS!$B$5:$B$1005="REGALO")*(MOVIMIENTOS!$C$5:$C$1005="A")*(MOVIMIENTOS!$D$5:$D$1005="jabas")*(MOVIMIENTOS!$A$5:$A$1005&lt;&gt;"")*(MOVIMIENTOS!$A$5:$A$1005&lt;=$A948)*MOVIMIENTOS!$E$5:$E$1005)-SUMPRODUCT((MOVIMIENTOS!$B$5:$B$1005="VENTA")*(MOVIMIENTOS!$C$5:$C$1005="A")*(MOVIMIENTOS!$D$5:$D$1005="jabas")*(MOVIMIENTOS!$A$5:$A$1005&lt;&gt;"")*(MOVIMIENTOS!$A$5:$A$1005&lt;=$A948)*MOVIMIENTOS!$E$5:$E$1005)+SUMPRODUCT((MOVIMIENTOS!$B$5:$B$1005="AJUSTE")*(MOVIMIENTOS!$C$5:$C$1005="A")*(MOVIMIENTOS!$D$5:$D$1005="jabas")*(MOVIMIENTOS!$A$5:$A$1005&lt;&gt;"")*(MOVIMIENTOS!$A$5:$A$1005&lt;=$A948)*MOVIMIENTOS!$E$5:$E$1005))</f>
        <v/>
      </c>
      <c r="C948" t="str">
        <f>IF($A948="","",SUMPRODUCT((MOVIMIENTOS!$B$5:$B$1005="SALDO INICIAL")*(MOVIMIENTOS!$C$5:$C$1005="P")*(MOVIMIENTOS!$D$5:$D$1005="jabas")*(MOVIMIENTOS!$A$5:$A$1005&lt;&gt;"")*(MOVIMIENTOS!$A$5:$A$1005&lt;=$A948)*MOVIMIENTOS!$E$5:$E$1005)+SUMPRODUCT((MOVIMIENTOS!$B$5:$B$1005="PROCESO")*(MOVIMIENTOS!$C$5:$C$1005="P")*(MOVIMIENTOS!$D$5:$D$1005="jabas")*(MOVIMIENTOS!$A$5:$A$1005&lt;&gt;"")*(MOVIMIENTOS!$A$5:$A$1005&lt;=$A948)*MOVIMIENTOS!$E$5:$E$1005)-SUMPRODUCT((MOVIMIENTOS!$B$5:$B$1005="ENVÍO A SUPESA")*(MOVIMIENTOS!$C$5:$C$1005="P")*(MOVIMIENTOS!$D$5:$D$1005="jabas")*(MOVIMIENTOS!$A$5:$A$1005&lt;&gt;"")*(MOVIMIENTOS!$A$5:$A$1005&lt;=$A948)*MOVIMIENTOS!$E$5:$E$1005)+SUMPRODUCT((MOVIMIENTOS!$B$5:$B$1005="DEVOLUCIÓN")*(MOVIMIENTOS!$C$5:$C$1005="P")*(MOVIMIENTOS!$D$5:$D$1005="jabas")*(MOVIMIENTOS!$A$5:$A$1005&lt;&gt;"")*(MOVIMIENTOS!$A$5:$A$1005&lt;=$A948)*MOVIMIENTOS!$E$5:$E$1005)-SUMPRODUCT((MOVIMIENTOS!$B$5:$B$1005="TRASIEGO")*(MOVIMIENTOS!$C$5:$C$1005="P")*(MOVIMIENTOS!$D$5:$D$1005="jabas")*(MOVIMIENTOS!$A$5:$A$1005&lt;&gt;"")*(MOVIMIENTOS!$A$5:$A$1005&lt;=$A948)*MOVIMIENTOS!$E$5:$E$1005)-SUMPRODUCT((MOVIMIENTOS!$B$5:$B$1005="REGALO")*(MOVIMIENTOS!$C$5:$C$1005="P")*(MOVIMIENTOS!$D$5:$D$1005="jabas")*(MOVIMIENTOS!$A$5:$A$1005&lt;&gt;"")*(MOVIMIENTOS!$A$5:$A$1005&lt;=$A948)*MOVIMIENTOS!$E$5:$E$1005)-SUMPRODUCT((MOVIMIENTOS!$B$5:$B$1005="VENTA")*(MOVIMIENTOS!$C$5:$C$1005="P")*(MOVIMIENTOS!$D$5:$D$1005="jabas")*(MOVIMIENTOS!$A$5:$A$1005&lt;&gt;"")*(MOVIMIENTOS!$A$5:$A$1005&lt;=$A948)*MOVIMIENTOS!$E$5:$E$1005)+SUMPRODUCT((MOVIMIENTOS!$B$5:$B$1005="AJUSTE")*(MOVIMIENTOS!$C$5:$C$1005="P")*(MOVIMIENTOS!$D$5:$D$1005="jabas")*(MOVIMIENTOS!$A$5:$A$1005&lt;&gt;"")*(MOVIMIENTOS!$A$5:$A$1005&lt;=$A948)*MOVIMIENTOS!$E$5:$E$1005))</f>
        <v/>
      </c>
      <c r="D948" t="str">
        <f>IF($A948="","",SUMPRODUCT((MOVIMIENTOS!$B$5:$B$1005="SALDO INICIAL")*(MOVIMIENTOS!$C$5:$C$1005="C")*(MOVIMIENTOS!$D$5:$D$1005="jabas")*(MOVIMIENTOS!$A$5:$A$1005&lt;&gt;"")*(MOVIMIENTOS!$A$5:$A$1005&lt;=$A948)*MOVIMIENTOS!$E$5:$E$1005)+SUMPRODUCT((MOVIMIENTOS!$B$5:$B$1005="PROCESO")*(MOVIMIENTOS!$C$5:$C$1005="C")*(MOVIMIENTOS!$D$5:$D$1005="jabas")*(MOVIMIENTOS!$A$5:$A$1005&lt;&gt;"")*(MOVIMIENTOS!$A$5:$A$1005&lt;=$A948)*MOVIMIENTOS!$E$5:$E$1005)-SUMPRODUCT((MOVIMIENTOS!$B$5:$B$1005="ENVÍO A SUPESA")*(MOVIMIENTOS!$C$5:$C$1005="C")*(MOVIMIENTOS!$D$5:$D$1005="jabas")*(MOVIMIENTOS!$A$5:$A$1005&lt;&gt;"")*(MOVIMIENTOS!$A$5:$A$1005&lt;=$A948)*MOVIMIENTOS!$E$5:$E$1005)+SUMPRODUCT((MOVIMIENTOS!$B$5:$B$1005="DEVOLUCIÓN")*(MOVIMIENTOS!$C$5:$C$1005="C")*(MOVIMIENTOS!$D$5:$D$1005="jabas")*(MOVIMIENTOS!$A$5:$A$1005&lt;&gt;"")*(MOVIMIENTOS!$A$5:$A$1005&lt;=$A948)*MOVIMIENTOS!$E$5:$E$1005)-SUMPRODUCT((MOVIMIENTOS!$B$5:$B$1005="TRASIEGO")*(MOVIMIENTOS!$C$5:$C$1005="C")*(MOVIMIENTOS!$D$5:$D$1005="jabas")*(MOVIMIENTOS!$A$5:$A$1005&lt;&gt;"")*(MOVIMIENTOS!$A$5:$A$1005&lt;=$A948)*MOVIMIENTOS!$E$5:$E$1005)-SUMPRODUCT((MOVIMIENTOS!$B$5:$B$1005="REGALO")*(MOVIMIENTOS!$C$5:$C$1005="C")*(MOVIMIENTOS!$D$5:$D$1005="jabas")*(MOVIMIENTOS!$A$5:$A$1005&lt;&gt;"")*(MOVIMIENTOS!$A$5:$A$1005&lt;=$A948)*MOVIMIENTOS!$E$5:$E$1005)-SUMPRODUCT((MOVIMIENTOS!$B$5:$B$1005="VENTA")*(MOVIMIENTOS!$C$5:$C$1005="C")*(MOVIMIENTOS!$D$5:$D$1005="jabas")*(MOVIMIENTOS!$A$5:$A$1005&lt;&gt;"")*(MOVIMIENTOS!$A$5:$A$1005&lt;=$A948)*MOVIMIENTOS!$E$5:$E$1005)+SUMPRODUCT((MOVIMIENTOS!$B$5:$B$1005="AJUSTE")*(MOVIMIENTOS!$C$5:$C$1005="C")*(MOVIMIENTOS!$D$5:$D$1005="jabas")*(MOVIMIENTOS!$A$5:$A$1005&lt;&gt;"")*(MOVIMIENTOS!$A$5:$A$1005&lt;=$A948)*MOVIMIENTOS!$E$5:$E$1005))</f>
        <v/>
      </c>
      <c r="E948" t="str">
        <f>IF($A948="","",SUMPRODUCT((MOVIMIENTOS!$B$5:$B$1005="SALDO INICIAL")*(MOVIMIENTOS!$C$5:$C$1005="M")*(MOVIMIENTOS!$D$5:$D$1005="jabas")*(MOVIMIENTOS!$A$5:$A$1005&lt;&gt;"")*(MOVIMIENTOS!$A$5:$A$1005&lt;=$A948)*MOVIMIENTOS!$E$5:$E$1005)+SUMPRODUCT((MOVIMIENTOS!$B$5:$B$1005="PROCESO")*(MOVIMIENTOS!$C$5:$C$1005="M")*(MOVIMIENTOS!$D$5:$D$1005="jabas")*(MOVIMIENTOS!$A$5:$A$1005&lt;&gt;"")*(MOVIMIENTOS!$A$5:$A$1005&lt;=$A948)*MOVIMIENTOS!$E$5:$E$1005)-SUMPRODUCT((MOVIMIENTOS!$B$5:$B$1005="ENVÍO A SUPESA")*(MOVIMIENTOS!$C$5:$C$1005="M")*(MOVIMIENTOS!$D$5:$D$1005="jabas")*(MOVIMIENTOS!$A$5:$A$1005&lt;&gt;"")*(MOVIMIENTOS!$A$5:$A$1005&lt;=$A948)*MOVIMIENTOS!$E$5:$E$1005)+SUMPRODUCT((MOVIMIENTOS!$B$5:$B$1005="DEVOLUCIÓN")*(MOVIMIENTOS!$C$5:$C$1005="M")*(MOVIMIENTOS!$D$5:$D$1005="jabas")*(MOVIMIENTOS!$A$5:$A$1005&lt;&gt;"")*(MOVIMIENTOS!$A$5:$A$1005&lt;=$A948)*MOVIMIENTOS!$E$5:$E$1005)-SUMPRODUCT((MOVIMIENTOS!$B$5:$B$1005="TRASIEGO")*(MOVIMIENTOS!$C$5:$C$1005="M")*(MOVIMIENTOS!$D$5:$D$1005="jabas")*(MOVIMIENTOS!$A$5:$A$1005&lt;&gt;"")*(MOVIMIENTOS!$A$5:$A$1005&lt;=$A948)*MOVIMIENTOS!$E$5:$E$1005)-SUMPRODUCT((MOVIMIENTOS!$B$5:$B$1005="REGALO")*(MOVIMIENTOS!$C$5:$C$1005="M")*(MOVIMIENTOS!$D$5:$D$1005="jabas")*(MOVIMIENTOS!$A$5:$A$1005&lt;&gt;"")*(MOVIMIENTOS!$A$5:$A$1005&lt;=$A948)*MOVIMIENTOS!$E$5:$E$1005)-SUMPRODUCT((MOVIMIENTOS!$B$5:$B$1005="VENTA")*(MOVIMIENTOS!$C$5:$C$1005="M")*(MOVIMIENTOS!$D$5:$D$1005="jabas")*(MOVIMIENTOS!$A$5:$A$1005&lt;&gt;"")*(MOVIMIENTOS!$A$5:$A$1005&lt;=$A948)*MOVIMIENTOS!$E$5:$E$1005)+SUMPRODUCT((MOVIMIENTOS!$B$5:$B$1005="AJUSTE")*(MOVIMIENTOS!$C$5:$C$1005="M")*(MOVIMIENTOS!$D$5:$D$1005="jabas")*(MOVIMIENTOS!$A$5:$A$1005&lt;&gt;"")*(MOVIMIENTOS!$A$5:$A$1005&lt;=$A948)*MOVIMIENTOS!$E$5:$E$1005))</f>
        <v/>
      </c>
      <c r="F948" s="62" t="str">
        <f>IF($A948="","",SUMPRODUCT((MOVIMIENTOS!$B$5:$B$1005="SALDO INICIAL")*(MOVIMIENTOS!$C$5:$C$1005="Chancho")*(MOVIMIENTOS!$D$5:$D$1005="sacos")*(MOVIMIENTOS!$A$5:$A$1005&lt;&gt;"")*(MOVIMIENTOS!$A$5:$A$1005&lt;=$A948)*MOVIMIENTOS!$E$5:$E$1005)+SUMPRODUCT((MOVIMIENTOS!$B$5:$B$1005="PROCESO")*(MOVIMIENTOS!$C$5:$C$1005="Chancho")*(MOVIMIENTOS!$D$5:$D$1005="sacos")*(MOVIMIENTOS!$A$5:$A$1005&lt;&gt;"")*(MOVIMIENTOS!$A$5:$A$1005&lt;=$A948)*MOVIMIENTOS!$E$5:$E$1005)-SUMPRODUCT((MOVIMIENTOS!$B$5:$B$1005="VENTA CHANCHO")*(MOVIMIENTOS!$C$5:$C$1005="Chancho")*(MOVIMIENTOS!$D$5:$D$1005="sacos")*(MOVIMIENTOS!$A$5:$A$1005&lt;&gt;"")*(MOVIMIENTOS!$A$5:$A$1005&lt;=$A948)*MOVIMIENTOS!$E$5:$E$1005)-SUMPRODUCT((MOVIMIENTOS!$B$5:$B$1005="REGALO")*(MOVIMIENTOS!$C$5:$C$1005="Chancho")*(MOVIMIENTOS!$D$5:$D$1005="sacos")*(MOVIMIENTOS!$A$5:$A$1005&lt;&gt;"")*(MOVIMIENTOS!$A$5:$A$1005&lt;=$A948)*MOVIMIENTOS!$E$5:$E$1005)-SUMPRODUCT((MOVIMIENTOS!$B$5:$B$1005="VENTA")*(MOVIMIENTOS!$C$5:$C$1005="Chancho")*(MOVIMIENTOS!$D$5:$D$1005="sacos")*(MOVIMIENTOS!$A$5:$A$1005&lt;&gt;"")*(MOVIMIENTOS!$A$5:$A$1005&lt;=$A948)*MOVIMIENTOS!$E$5:$E$1005)+SUMPRODUCT((MOVIMIENTOS!$B$5:$B$1005="AJUSTE")*(MOVIMIENTOS!$C$5:$C$1005="Chancho")*(MOVIMIENTOS!$D$5:$D$1005="sacos")*(MOVIMIENTOS!$A$5:$A$1005&lt;&gt;"")*(MOVIMIENTOS!$A$5:$A$1005&lt;=$A948)*MOVIMIENTOS!$E$5:$E$1005))</f>
        <v/>
      </c>
      <c r="G948" s="62" t="str">
        <f t="shared" si="29"/>
        <v/>
      </c>
      <c r="H948" t="str">
        <f>IF($A948="","",SUMPRODUCT((((MOVIMIENTOS!$B$5:$B$1005="SALDO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948)*MOVIMIENTOS!$J$5:$J$1005))</f>
        <v/>
      </c>
      <c r="J948" t="str">
        <f>IF(AND(MOVIMIENTOS!$A953&lt;&gt;"",COUNTIF(MOVIMIENTOS!$A$5:$A952,MOVIMIENTOS!$A953)=0),COUNT(J$4:J947)+1,"")</f>
        <v/>
      </c>
      <c r="K948">
        <f>MOVIMIENTOS!$A953</f>
        <v>0</v>
      </c>
    </row>
    <row r="949" spans="1:11" ht="15" customHeight="1" x14ac:dyDescent="0.2">
      <c r="A949" t="str">
        <f t="shared" si="28"/>
        <v/>
      </c>
      <c r="B949" t="str">
        <f>IF($A949="","",SUMPRODUCT((MOVIMIENTOS!$B$5:$B$1005="SALDO INICIAL")*(MOVIMIENTOS!$C$5:$C$1005="A")*(MOVIMIENTOS!$D$5:$D$1005="jabas")*(MOVIMIENTOS!$A$5:$A$1005&lt;&gt;"")*(MOVIMIENTOS!$A$5:$A$1005&lt;=$A949)*MOVIMIENTOS!$E$5:$E$1005)+SUMPRODUCT((MOVIMIENTOS!$B$5:$B$1005="PROCESO")*(MOVIMIENTOS!$C$5:$C$1005="A")*(MOVIMIENTOS!$D$5:$D$1005="jabas")*(MOVIMIENTOS!$A$5:$A$1005&lt;&gt;"")*(MOVIMIENTOS!$A$5:$A$1005&lt;=$A949)*MOVIMIENTOS!$E$5:$E$1005)-SUMPRODUCT((MOVIMIENTOS!$B$5:$B$1005="ENVÍO A SUPESA")*(MOVIMIENTOS!$C$5:$C$1005="A")*(MOVIMIENTOS!$D$5:$D$1005="jabas")*(MOVIMIENTOS!$A$5:$A$1005&lt;&gt;"")*(MOVIMIENTOS!$A$5:$A$1005&lt;=$A949)*MOVIMIENTOS!$E$5:$E$1005)+SUMPRODUCT((MOVIMIENTOS!$B$5:$B$1005="DEVOLUCIÓN")*(MOVIMIENTOS!$C$5:$C$1005="A")*(MOVIMIENTOS!$D$5:$D$1005="jabas")*(MOVIMIENTOS!$A$5:$A$1005&lt;&gt;"")*(MOVIMIENTOS!$A$5:$A$1005&lt;=$A949)*MOVIMIENTOS!$E$5:$E$1005)-SUMPRODUCT((MOVIMIENTOS!$B$5:$B$1005="TRASIEGO")*(MOVIMIENTOS!$C$5:$C$1005="A")*(MOVIMIENTOS!$D$5:$D$1005="jabas")*(MOVIMIENTOS!$A$5:$A$1005&lt;&gt;"")*(MOVIMIENTOS!$A$5:$A$1005&lt;=$A949)*MOVIMIENTOS!$E$5:$E$1005)-SUMPRODUCT((MOVIMIENTOS!$B$5:$B$1005="REGALO")*(MOVIMIENTOS!$C$5:$C$1005="A")*(MOVIMIENTOS!$D$5:$D$1005="jabas")*(MOVIMIENTOS!$A$5:$A$1005&lt;&gt;"")*(MOVIMIENTOS!$A$5:$A$1005&lt;=$A949)*MOVIMIENTOS!$E$5:$E$1005)-SUMPRODUCT((MOVIMIENTOS!$B$5:$B$1005="VENTA")*(MOVIMIENTOS!$C$5:$C$1005="A")*(MOVIMIENTOS!$D$5:$D$1005="jabas")*(MOVIMIENTOS!$A$5:$A$1005&lt;&gt;"")*(MOVIMIENTOS!$A$5:$A$1005&lt;=$A949)*MOVIMIENTOS!$E$5:$E$1005)+SUMPRODUCT((MOVIMIENTOS!$B$5:$B$1005="AJUSTE")*(MOVIMIENTOS!$C$5:$C$1005="A")*(MOVIMIENTOS!$D$5:$D$1005="jabas")*(MOVIMIENTOS!$A$5:$A$1005&lt;&gt;"")*(MOVIMIENTOS!$A$5:$A$1005&lt;=$A949)*MOVIMIENTOS!$E$5:$E$1005))</f>
        <v/>
      </c>
      <c r="C949" t="str">
        <f>IF($A949="","",SUMPRODUCT((MOVIMIENTOS!$B$5:$B$1005="SALDO INICIAL")*(MOVIMIENTOS!$C$5:$C$1005="P")*(MOVIMIENTOS!$D$5:$D$1005="jabas")*(MOVIMIENTOS!$A$5:$A$1005&lt;&gt;"")*(MOVIMIENTOS!$A$5:$A$1005&lt;=$A949)*MOVIMIENTOS!$E$5:$E$1005)+SUMPRODUCT((MOVIMIENTOS!$B$5:$B$1005="PROCESO")*(MOVIMIENTOS!$C$5:$C$1005="P")*(MOVIMIENTOS!$D$5:$D$1005="jabas")*(MOVIMIENTOS!$A$5:$A$1005&lt;&gt;"")*(MOVIMIENTOS!$A$5:$A$1005&lt;=$A949)*MOVIMIENTOS!$E$5:$E$1005)-SUMPRODUCT((MOVIMIENTOS!$B$5:$B$1005="ENVÍO A SUPESA")*(MOVIMIENTOS!$C$5:$C$1005="P")*(MOVIMIENTOS!$D$5:$D$1005="jabas")*(MOVIMIENTOS!$A$5:$A$1005&lt;&gt;"")*(MOVIMIENTOS!$A$5:$A$1005&lt;=$A949)*MOVIMIENTOS!$E$5:$E$1005)+SUMPRODUCT((MOVIMIENTOS!$B$5:$B$1005="DEVOLUCIÓN")*(MOVIMIENTOS!$C$5:$C$1005="P")*(MOVIMIENTOS!$D$5:$D$1005="jabas")*(MOVIMIENTOS!$A$5:$A$1005&lt;&gt;"")*(MOVIMIENTOS!$A$5:$A$1005&lt;=$A949)*MOVIMIENTOS!$E$5:$E$1005)-SUMPRODUCT((MOVIMIENTOS!$B$5:$B$1005="TRASIEGO")*(MOVIMIENTOS!$C$5:$C$1005="P")*(MOVIMIENTOS!$D$5:$D$1005="jabas")*(MOVIMIENTOS!$A$5:$A$1005&lt;&gt;"")*(MOVIMIENTOS!$A$5:$A$1005&lt;=$A949)*MOVIMIENTOS!$E$5:$E$1005)-SUMPRODUCT((MOVIMIENTOS!$B$5:$B$1005="REGALO")*(MOVIMIENTOS!$C$5:$C$1005="P")*(MOVIMIENTOS!$D$5:$D$1005="jabas")*(MOVIMIENTOS!$A$5:$A$1005&lt;&gt;"")*(MOVIMIENTOS!$A$5:$A$1005&lt;=$A949)*MOVIMIENTOS!$E$5:$E$1005)-SUMPRODUCT((MOVIMIENTOS!$B$5:$B$1005="VENTA")*(MOVIMIENTOS!$C$5:$C$1005="P")*(MOVIMIENTOS!$D$5:$D$1005="jabas")*(MOVIMIENTOS!$A$5:$A$1005&lt;&gt;"")*(MOVIMIENTOS!$A$5:$A$1005&lt;=$A949)*MOVIMIENTOS!$E$5:$E$1005)+SUMPRODUCT((MOVIMIENTOS!$B$5:$B$1005="AJUSTE")*(MOVIMIENTOS!$C$5:$C$1005="P")*(MOVIMIENTOS!$D$5:$D$1005="jabas")*(MOVIMIENTOS!$A$5:$A$1005&lt;&gt;"")*(MOVIMIENTOS!$A$5:$A$1005&lt;=$A949)*MOVIMIENTOS!$E$5:$E$1005))</f>
        <v/>
      </c>
      <c r="D949" t="str">
        <f>IF($A949="","",SUMPRODUCT((MOVIMIENTOS!$B$5:$B$1005="SALDO INICIAL")*(MOVIMIENTOS!$C$5:$C$1005="C")*(MOVIMIENTOS!$D$5:$D$1005="jabas")*(MOVIMIENTOS!$A$5:$A$1005&lt;&gt;"")*(MOVIMIENTOS!$A$5:$A$1005&lt;=$A949)*MOVIMIENTOS!$E$5:$E$1005)+SUMPRODUCT((MOVIMIENTOS!$B$5:$B$1005="PROCESO")*(MOVIMIENTOS!$C$5:$C$1005="C")*(MOVIMIENTOS!$D$5:$D$1005="jabas")*(MOVIMIENTOS!$A$5:$A$1005&lt;&gt;"")*(MOVIMIENTOS!$A$5:$A$1005&lt;=$A949)*MOVIMIENTOS!$E$5:$E$1005)-SUMPRODUCT((MOVIMIENTOS!$B$5:$B$1005="ENVÍO A SUPESA")*(MOVIMIENTOS!$C$5:$C$1005="C")*(MOVIMIENTOS!$D$5:$D$1005="jabas")*(MOVIMIENTOS!$A$5:$A$1005&lt;&gt;"")*(MOVIMIENTOS!$A$5:$A$1005&lt;=$A949)*MOVIMIENTOS!$E$5:$E$1005)+SUMPRODUCT((MOVIMIENTOS!$B$5:$B$1005="DEVOLUCIÓN")*(MOVIMIENTOS!$C$5:$C$1005="C")*(MOVIMIENTOS!$D$5:$D$1005="jabas")*(MOVIMIENTOS!$A$5:$A$1005&lt;&gt;"")*(MOVIMIENTOS!$A$5:$A$1005&lt;=$A949)*MOVIMIENTOS!$E$5:$E$1005)-SUMPRODUCT((MOVIMIENTOS!$B$5:$B$1005="TRASIEGO")*(MOVIMIENTOS!$C$5:$C$1005="C")*(MOVIMIENTOS!$D$5:$D$1005="jabas")*(MOVIMIENTOS!$A$5:$A$1005&lt;&gt;"")*(MOVIMIENTOS!$A$5:$A$1005&lt;=$A949)*MOVIMIENTOS!$E$5:$E$1005)-SUMPRODUCT((MOVIMIENTOS!$B$5:$B$1005="REGALO")*(MOVIMIENTOS!$C$5:$C$1005="C")*(MOVIMIENTOS!$D$5:$D$1005="jabas")*(MOVIMIENTOS!$A$5:$A$1005&lt;&gt;"")*(MOVIMIENTOS!$A$5:$A$1005&lt;=$A949)*MOVIMIENTOS!$E$5:$E$1005)-SUMPRODUCT((MOVIMIENTOS!$B$5:$B$1005="VENTA")*(MOVIMIENTOS!$C$5:$C$1005="C")*(MOVIMIENTOS!$D$5:$D$1005="jabas")*(MOVIMIENTOS!$A$5:$A$1005&lt;&gt;"")*(MOVIMIENTOS!$A$5:$A$1005&lt;=$A949)*MOVIMIENTOS!$E$5:$E$1005)+SUMPRODUCT((MOVIMIENTOS!$B$5:$B$1005="AJUSTE")*(MOVIMIENTOS!$C$5:$C$1005="C")*(MOVIMIENTOS!$D$5:$D$1005="jabas")*(MOVIMIENTOS!$A$5:$A$1005&lt;&gt;"")*(MOVIMIENTOS!$A$5:$A$1005&lt;=$A949)*MOVIMIENTOS!$E$5:$E$1005))</f>
        <v/>
      </c>
      <c r="E949" t="str">
        <f>IF($A949="","",SUMPRODUCT((MOVIMIENTOS!$B$5:$B$1005="SALDO INICIAL")*(MOVIMIENTOS!$C$5:$C$1005="M")*(MOVIMIENTOS!$D$5:$D$1005="jabas")*(MOVIMIENTOS!$A$5:$A$1005&lt;&gt;"")*(MOVIMIENTOS!$A$5:$A$1005&lt;=$A949)*MOVIMIENTOS!$E$5:$E$1005)+SUMPRODUCT((MOVIMIENTOS!$B$5:$B$1005="PROCESO")*(MOVIMIENTOS!$C$5:$C$1005="M")*(MOVIMIENTOS!$D$5:$D$1005="jabas")*(MOVIMIENTOS!$A$5:$A$1005&lt;&gt;"")*(MOVIMIENTOS!$A$5:$A$1005&lt;=$A949)*MOVIMIENTOS!$E$5:$E$1005)-SUMPRODUCT((MOVIMIENTOS!$B$5:$B$1005="ENVÍO A SUPESA")*(MOVIMIENTOS!$C$5:$C$1005="M")*(MOVIMIENTOS!$D$5:$D$1005="jabas")*(MOVIMIENTOS!$A$5:$A$1005&lt;&gt;"")*(MOVIMIENTOS!$A$5:$A$1005&lt;=$A949)*MOVIMIENTOS!$E$5:$E$1005)+SUMPRODUCT((MOVIMIENTOS!$B$5:$B$1005="DEVOLUCIÓN")*(MOVIMIENTOS!$C$5:$C$1005="M")*(MOVIMIENTOS!$D$5:$D$1005="jabas")*(MOVIMIENTOS!$A$5:$A$1005&lt;&gt;"")*(MOVIMIENTOS!$A$5:$A$1005&lt;=$A949)*MOVIMIENTOS!$E$5:$E$1005)-SUMPRODUCT((MOVIMIENTOS!$B$5:$B$1005="TRASIEGO")*(MOVIMIENTOS!$C$5:$C$1005="M")*(MOVIMIENTOS!$D$5:$D$1005="jabas")*(MOVIMIENTOS!$A$5:$A$1005&lt;&gt;"")*(MOVIMIENTOS!$A$5:$A$1005&lt;=$A949)*MOVIMIENTOS!$E$5:$E$1005)-SUMPRODUCT((MOVIMIENTOS!$B$5:$B$1005="REGALO")*(MOVIMIENTOS!$C$5:$C$1005="M")*(MOVIMIENTOS!$D$5:$D$1005="jabas")*(MOVIMIENTOS!$A$5:$A$1005&lt;&gt;"")*(MOVIMIENTOS!$A$5:$A$1005&lt;=$A949)*MOVIMIENTOS!$E$5:$E$1005)-SUMPRODUCT((MOVIMIENTOS!$B$5:$B$1005="VENTA")*(MOVIMIENTOS!$C$5:$C$1005="M")*(MOVIMIENTOS!$D$5:$D$1005="jabas")*(MOVIMIENTOS!$A$5:$A$1005&lt;&gt;"")*(MOVIMIENTOS!$A$5:$A$1005&lt;=$A949)*MOVIMIENTOS!$E$5:$E$1005)+SUMPRODUCT((MOVIMIENTOS!$B$5:$B$1005="AJUSTE")*(MOVIMIENTOS!$C$5:$C$1005="M")*(MOVIMIENTOS!$D$5:$D$1005="jabas")*(MOVIMIENTOS!$A$5:$A$1005&lt;&gt;"")*(MOVIMIENTOS!$A$5:$A$1005&lt;=$A949)*MOVIMIENTOS!$E$5:$E$1005))</f>
        <v/>
      </c>
      <c r="F949" s="62" t="str">
        <f>IF($A949="","",SUMPRODUCT((MOVIMIENTOS!$B$5:$B$1005="SALDO INICIAL")*(MOVIMIENTOS!$C$5:$C$1005="Chancho")*(MOVIMIENTOS!$D$5:$D$1005="sacos")*(MOVIMIENTOS!$A$5:$A$1005&lt;&gt;"")*(MOVIMIENTOS!$A$5:$A$1005&lt;=$A949)*MOVIMIENTOS!$E$5:$E$1005)+SUMPRODUCT((MOVIMIENTOS!$B$5:$B$1005="PROCESO")*(MOVIMIENTOS!$C$5:$C$1005="Chancho")*(MOVIMIENTOS!$D$5:$D$1005="sacos")*(MOVIMIENTOS!$A$5:$A$1005&lt;&gt;"")*(MOVIMIENTOS!$A$5:$A$1005&lt;=$A949)*MOVIMIENTOS!$E$5:$E$1005)-SUMPRODUCT((MOVIMIENTOS!$B$5:$B$1005="VENTA CHANCHO")*(MOVIMIENTOS!$C$5:$C$1005="Chancho")*(MOVIMIENTOS!$D$5:$D$1005="sacos")*(MOVIMIENTOS!$A$5:$A$1005&lt;&gt;"")*(MOVIMIENTOS!$A$5:$A$1005&lt;=$A949)*MOVIMIENTOS!$E$5:$E$1005)-SUMPRODUCT((MOVIMIENTOS!$B$5:$B$1005="REGALO")*(MOVIMIENTOS!$C$5:$C$1005="Chancho")*(MOVIMIENTOS!$D$5:$D$1005="sacos")*(MOVIMIENTOS!$A$5:$A$1005&lt;&gt;"")*(MOVIMIENTOS!$A$5:$A$1005&lt;=$A949)*MOVIMIENTOS!$E$5:$E$1005)-SUMPRODUCT((MOVIMIENTOS!$B$5:$B$1005="VENTA")*(MOVIMIENTOS!$C$5:$C$1005="Chancho")*(MOVIMIENTOS!$D$5:$D$1005="sacos")*(MOVIMIENTOS!$A$5:$A$1005&lt;&gt;"")*(MOVIMIENTOS!$A$5:$A$1005&lt;=$A949)*MOVIMIENTOS!$E$5:$E$1005)+SUMPRODUCT((MOVIMIENTOS!$B$5:$B$1005="AJUSTE")*(MOVIMIENTOS!$C$5:$C$1005="Chancho")*(MOVIMIENTOS!$D$5:$D$1005="sacos")*(MOVIMIENTOS!$A$5:$A$1005&lt;&gt;"")*(MOVIMIENTOS!$A$5:$A$1005&lt;=$A949)*MOVIMIENTOS!$E$5:$E$1005))</f>
        <v/>
      </c>
      <c r="G949" s="62" t="str">
        <f t="shared" si="29"/>
        <v/>
      </c>
      <c r="H949" t="str">
        <f>IF($A949="","",SUMPRODUCT((((MOVIMIENTOS!$B$5:$B$1005="SALDO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949)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949)*MOVIMIENTOS!$J$5:$J$1005))</f>
        <v/>
      </c>
      <c r="J949" t="str">
        <f>IF(AND(MOVIMIENTOS!$A954&lt;&gt;"",COUNTIF(MOVIMIENTOS!$A$5:$A953,MOVIMIENTOS!$A954)=0),COUNT(J$4:J948)+1,"")</f>
        <v/>
      </c>
      <c r="K949">
        <f>MOVIMIENTOS!$A954</f>
        <v>0</v>
      </c>
    </row>
    <row r="950" spans="1:11" ht="15" customHeight="1" x14ac:dyDescent="0.2">
      <c r="A950" t="str">
        <f t="shared" si="28"/>
        <v/>
      </c>
      <c r="B950" t="str">
        <f>IF($A950="","",SUMPRODUCT((MOVIMIENTOS!$B$5:$B$1005="SALDO INICIAL")*(MOVIMIENTOS!$C$5:$C$1005="A")*(MOVIMIENTOS!$D$5:$D$1005="jabas")*(MOVIMIENTOS!$A$5:$A$1005&lt;&gt;"")*(MOVIMIENTOS!$A$5:$A$1005&lt;=$A950)*MOVIMIENTOS!$E$5:$E$1005)+SUMPRODUCT((MOVIMIENTOS!$B$5:$B$1005="PROCESO")*(MOVIMIENTOS!$C$5:$C$1005="A")*(MOVIMIENTOS!$D$5:$D$1005="jabas")*(MOVIMIENTOS!$A$5:$A$1005&lt;&gt;"")*(MOVIMIENTOS!$A$5:$A$1005&lt;=$A950)*MOVIMIENTOS!$E$5:$E$1005)-SUMPRODUCT((MOVIMIENTOS!$B$5:$B$1005="ENVÍO A SUPESA")*(MOVIMIENTOS!$C$5:$C$1005="A")*(MOVIMIENTOS!$D$5:$D$1005="jabas")*(MOVIMIENTOS!$A$5:$A$1005&lt;&gt;"")*(MOVIMIENTOS!$A$5:$A$1005&lt;=$A950)*MOVIMIENTOS!$E$5:$E$1005)+SUMPRODUCT((MOVIMIENTOS!$B$5:$B$1005="DEVOLUCIÓN")*(MOVIMIENTOS!$C$5:$C$1005="A")*(MOVIMIENTOS!$D$5:$D$1005="jabas")*(MOVIMIENTOS!$A$5:$A$1005&lt;&gt;"")*(MOVIMIENTOS!$A$5:$A$1005&lt;=$A950)*MOVIMIENTOS!$E$5:$E$1005)-SUMPRODUCT((MOVIMIENTOS!$B$5:$B$1005="TRASIEGO")*(MOVIMIENTOS!$C$5:$C$1005="A")*(MOVIMIENTOS!$D$5:$D$1005="jabas")*(MOVIMIENTOS!$A$5:$A$1005&lt;&gt;"")*(MOVIMIENTOS!$A$5:$A$1005&lt;=$A950)*MOVIMIENTOS!$E$5:$E$1005)-SUMPRODUCT((MOVIMIENTOS!$B$5:$B$1005="REGALO")*(MOVIMIENTOS!$C$5:$C$1005="A")*(MOVIMIENTOS!$D$5:$D$1005="jabas")*(MOVIMIENTOS!$A$5:$A$1005&lt;&gt;"")*(MOVIMIENTOS!$A$5:$A$1005&lt;=$A950)*MOVIMIENTOS!$E$5:$E$1005)-SUMPRODUCT((MOVIMIENTOS!$B$5:$B$1005="VENTA")*(MOVIMIENTOS!$C$5:$C$1005="A")*(MOVIMIENTOS!$D$5:$D$1005="jabas")*(MOVIMIENTOS!$A$5:$A$1005&lt;&gt;"")*(MOVIMIENTOS!$A$5:$A$1005&lt;=$A950)*MOVIMIENTOS!$E$5:$E$1005)+SUMPRODUCT((MOVIMIENTOS!$B$5:$B$1005="AJUSTE")*(MOVIMIENTOS!$C$5:$C$1005="A")*(MOVIMIENTOS!$D$5:$D$1005="jabas")*(MOVIMIENTOS!$A$5:$A$1005&lt;&gt;"")*(MOVIMIENTOS!$A$5:$A$1005&lt;=$A950)*MOVIMIENTOS!$E$5:$E$1005))</f>
        <v/>
      </c>
      <c r="C950" t="str">
        <f>IF($A950="","",SUMPRODUCT((MOVIMIENTOS!$B$5:$B$1005="SALDO INICIAL")*(MOVIMIENTOS!$C$5:$C$1005="P")*(MOVIMIENTOS!$D$5:$D$1005="jabas")*(MOVIMIENTOS!$A$5:$A$1005&lt;&gt;"")*(MOVIMIENTOS!$A$5:$A$1005&lt;=$A950)*MOVIMIENTOS!$E$5:$E$1005)+SUMPRODUCT((MOVIMIENTOS!$B$5:$B$1005="PROCESO")*(MOVIMIENTOS!$C$5:$C$1005="P")*(MOVIMIENTOS!$D$5:$D$1005="jabas")*(MOVIMIENTOS!$A$5:$A$1005&lt;&gt;"")*(MOVIMIENTOS!$A$5:$A$1005&lt;=$A950)*MOVIMIENTOS!$E$5:$E$1005)-SUMPRODUCT((MOVIMIENTOS!$B$5:$B$1005="ENVÍO A SUPESA")*(MOVIMIENTOS!$C$5:$C$1005="P")*(MOVIMIENTOS!$D$5:$D$1005="jabas")*(MOVIMIENTOS!$A$5:$A$1005&lt;&gt;"")*(MOVIMIENTOS!$A$5:$A$1005&lt;=$A950)*MOVIMIENTOS!$E$5:$E$1005)+SUMPRODUCT((MOVIMIENTOS!$B$5:$B$1005="DEVOLUCIÓN")*(MOVIMIENTOS!$C$5:$C$1005="P")*(MOVIMIENTOS!$D$5:$D$1005="jabas")*(MOVIMIENTOS!$A$5:$A$1005&lt;&gt;"")*(MOVIMIENTOS!$A$5:$A$1005&lt;=$A950)*MOVIMIENTOS!$E$5:$E$1005)-SUMPRODUCT((MOVIMIENTOS!$B$5:$B$1005="TRASIEGO")*(MOVIMIENTOS!$C$5:$C$1005="P")*(MOVIMIENTOS!$D$5:$D$1005="jabas")*(MOVIMIENTOS!$A$5:$A$1005&lt;&gt;"")*(MOVIMIENTOS!$A$5:$A$1005&lt;=$A950)*MOVIMIENTOS!$E$5:$E$1005)-SUMPRODUCT((MOVIMIENTOS!$B$5:$B$1005="REGALO")*(MOVIMIENTOS!$C$5:$C$1005="P")*(MOVIMIENTOS!$D$5:$D$1005="jabas")*(MOVIMIENTOS!$A$5:$A$1005&lt;&gt;"")*(MOVIMIENTOS!$A$5:$A$1005&lt;=$A950)*MOVIMIENTOS!$E$5:$E$1005)-SUMPRODUCT((MOVIMIENTOS!$B$5:$B$1005="VENTA")*(MOVIMIENTOS!$C$5:$C$1005="P")*(MOVIMIENTOS!$D$5:$D$1005="jabas")*(MOVIMIENTOS!$A$5:$A$1005&lt;&gt;"")*(MOVIMIENTOS!$A$5:$A$1005&lt;=$A950)*MOVIMIENTOS!$E$5:$E$1005)+SUMPRODUCT((MOVIMIENTOS!$B$5:$B$1005="AJUSTE")*(MOVIMIENTOS!$C$5:$C$1005="P")*(MOVIMIENTOS!$D$5:$D$1005="jabas")*(MOVIMIENTOS!$A$5:$A$1005&lt;&gt;"")*(MOVIMIENTOS!$A$5:$A$1005&lt;=$A950)*MOVIMIENTOS!$E$5:$E$1005))</f>
        <v/>
      </c>
      <c r="D950" t="str">
        <f>IF($A950="","",SUMPRODUCT((MOVIMIENTOS!$B$5:$B$1005="SALDO INICIAL")*(MOVIMIENTOS!$C$5:$C$1005="C")*(MOVIMIENTOS!$D$5:$D$1005="jabas")*(MOVIMIENTOS!$A$5:$A$1005&lt;&gt;"")*(MOVIMIENTOS!$A$5:$A$1005&lt;=$A950)*MOVIMIENTOS!$E$5:$E$1005)+SUMPRODUCT((MOVIMIENTOS!$B$5:$B$1005="PROCESO")*(MOVIMIENTOS!$C$5:$C$1005="C")*(MOVIMIENTOS!$D$5:$D$1005="jabas")*(MOVIMIENTOS!$A$5:$A$1005&lt;&gt;"")*(MOVIMIENTOS!$A$5:$A$1005&lt;=$A950)*MOVIMIENTOS!$E$5:$E$1005)-SUMPRODUCT((MOVIMIENTOS!$B$5:$B$1005="ENVÍO A SUPESA")*(MOVIMIENTOS!$C$5:$C$1005="C")*(MOVIMIENTOS!$D$5:$D$1005="jabas")*(MOVIMIENTOS!$A$5:$A$1005&lt;&gt;"")*(MOVIMIENTOS!$A$5:$A$1005&lt;=$A950)*MOVIMIENTOS!$E$5:$E$1005)+SUMPRODUCT((MOVIMIENTOS!$B$5:$B$1005="DEVOLUCIÓN")*(MOVIMIENTOS!$C$5:$C$1005="C")*(MOVIMIENTOS!$D$5:$D$1005="jabas")*(MOVIMIENTOS!$A$5:$A$1005&lt;&gt;"")*(MOVIMIENTOS!$A$5:$A$1005&lt;=$A950)*MOVIMIENTOS!$E$5:$E$1005)-SUMPRODUCT((MOVIMIENTOS!$B$5:$B$1005="TRASIEGO")*(MOVIMIENTOS!$C$5:$C$1005="C")*(MOVIMIENTOS!$D$5:$D$1005="jabas")*(MOVIMIENTOS!$A$5:$A$1005&lt;&gt;"")*(MOVIMIENTOS!$A$5:$A$1005&lt;=$A950)*MOVIMIENTOS!$E$5:$E$1005)-SUMPRODUCT((MOVIMIENTOS!$B$5:$B$1005="REGALO")*(MOVIMIENTOS!$C$5:$C$1005="C")*(MOVIMIENTOS!$D$5:$D$1005="jabas")*(MOVIMIENTOS!$A$5:$A$1005&lt;&gt;"")*(MOVIMIENTOS!$A$5:$A$1005&lt;=$A950)*MOVIMIENTOS!$E$5:$E$1005)-SUMPRODUCT((MOVIMIENTOS!$B$5:$B$1005="VENTA")*(MOVIMIENTOS!$C$5:$C$1005="C")*(MOVIMIENTOS!$D$5:$D$1005="jabas")*(MOVIMIENTOS!$A$5:$A$1005&lt;&gt;"")*(MOVIMIENTOS!$A$5:$A$1005&lt;=$A950)*MOVIMIENTOS!$E$5:$E$1005)+SUMPRODUCT((MOVIMIENTOS!$B$5:$B$1005="AJUSTE")*(MOVIMIENTOS!$C$5:$C$1005="C")*(MOVIMIENTOS!$D$5:$D$1005="jabas")*(MOVIMIENTOS!$A$5:$A$1005&lt;&gt;"")*(MOVIMIENTOS!$A$5:$A$1005&lt;=$A950)*MOVIMIENTOS!$E$5:$E$1005))</f>
        <v/>
      </c>
      <c r="E950" t="str">
        <f>IF($A950="","",SUMPRODUCT((MOVIMIENTOS!$B$5:$B$1005="SALDO INICIAL")*(MOVIMIENTOS!$C$5:$C$1005="M")*(MOVIMIENTOS!$D$5:$D$1005="jabas")*(MOVIMIENTOS!$A$5:$A$1005&lt;&gt;"")*(MOVIMIENTOS!$A$5:$A$1005&lt;=$A950)*MOVIMIENTOS!$E$5:$E$1005)+SUMPRODUCT((MOVIMIENTOS!$B$5:$B$1005="PROCESO")*(MOVIMIENTOS!$C$5:$C$1005="M")*(MOVIMIENTOS!$D$5:$D$1005="jabas")*(MOVIMIENTOS!$A$5:$A$1005&lt;&gt;"")*(MOVIMIENTOS!$A$5:$A$1005&lt;=$A950)*MOVIMIENTOS!$E$5:$E$1005)-SUMPRODUCT((MOVIMIENTOS!$B$5:$B$1005="ENVÍO A SUPESA")*(MOVIMIENTOS!$C$5:$C$1005="M")*(MOVIMIENTOS!$D$5:$D$1005="jabas")*(MOVIMIENTOS!$A$5:$A$1005&lt;&gt;"")*(MOVIMIENTOS!$A$5:$A$1005&lt;=$A950)*MOVIMIENTOS!$E$5:$E$1005)+SUMPRODUCT((MOVIMIENTOS!$B$5:$B$1005="DEVOLUCIÓN")*(MOVIMIENTOS!$C$5:$C$1005="M")*(MOVIMIENTOS!$D$5:$D$1005="jabas")*(MOVIMIENTOS!$A$5:$A$1005&lt;&gt;"")*(MOVIMIENTOS!$A$5:$A$1005&lt;=$A950)*MOVIMIENTOS!$E$5:$E$1005)-SUMPRODUCT((MOVIMIENTOS!$B$5:$B$1005="TRASIEGO")*(MOVIMIENTOS!$C$5:$C$1005="M")*(MOVIMIENTOS!$D$5:$D$1005="jabas")*(MOVIMIENTOS!$A$5:$A$1005&lt;&gt;"")*(MOVIMIENTOS!$A$5:$A$1005&lt;=$A950)*MOVIMIENTOS!$E$5:$E$1005)-SUMPRODUCT((MOVIMIENTOS!$B$5:$B$1005="REGALO")*(MOVIMIENTOS!$C$5:$C$1005="M")*(MOVIMIENTOS!$D$5:$D$1005="jabas")*(MOVIMIENTOS!$A$5:$A$1005&lt;&gt;"")*(MOVIMIENTOS!$A$5:$A$1005&lt;=$A950)*MOVIMIENTOS!$E$5:$E$1005)-SUMPRODUCT((MOVIMIENTOS!$B$5:$B$1005="VENTA")*(MOVIMIENTOS!$C$5:$C$1005="M")*(MOVIMIENTOS!$D$5:$D$1005="jabas")*(MOVIMIENTOS!$A$5:$A$1005&lt;&gt;"")*(MOVIMIENTOS!$A$5:$A$1005&lt;=$A950)*MOVIMIENTOS!$E$5:$E$1005)+SUMPRODUCT((MOVIMIENTOS!$B$5:$B$1005="AJUSTE")*(MOVIMIENTOS!$C$5:$C$1005="M")*(MOVIMIENTOS!$D$5:$D$1005="jabas")*(MOVIMIENTOS!$A$5:$A$1005&lt;&gt;"")*(MOVIMIENTOS!$A$5:$A$1005&lt;=$A950)*MOVIMIENTOS!$E$5:$E$1005))</f>
        <v/>
      </c>
      <c r="F950" s="62" t="str">
        <f>IF($A950="","",SUMPRODUCT((MOVIMIENTOS!$B$5:$B$1005="SALDO INICIAL")*(MOVIMIENTOS!$C$5:$C$1005="Chancho")*(MOVIMIENTOS!$D$5:$D$1005="sacos")*(MOVIMIENTOS!$A$5:$A$1005&lt;&gt;"")*(MOVIMIENTOS!$A$5:$A$1005&lt;=$A950)*MOVIMIENTOS!$E$5:$E$1005)+SUMPRODUCT((MOVIMIENTOS!$B$5:$B$1005="PROCESO")*(MOVIMIENTOS!$C$5:$C$1005="Chancho")*(MOVIMIENTOS!$D$5:$D$1005="sacos")*(MOVIMIENTOS!$A$5:$A$1005&lt;&gt;"")*(MOVIMIENTOS!$A$5:$A$1005&lt;=$A950)*MOVIMIENTOS!$E$5:$E$1005)-SUMPRODUCT((MOVIMIENTOS!$B$5:$B$1005="VENTA CHANCHO")*(MOVIMIENTOS!$C$5:$C$1005="Chancho")*(MOVIMIENTOS!$D$5:$D$1005="sacos")*(MOVIMIENTOS!$A$5:$A$1005&lt;&gt;"")*(MOVIMIENTOS!$A$5:$A$1005&lt;=$A950)*MOVIMIENTOS!$E$5:$E$1005)-SUMPRODUCT((MOVIMIENTOS!$B$5:$B$1005="REGALO")*(MOVIMIENTOS!$C$5:$C$1005="Chancho")*(MOVIMIENTOS!$D$5:$D$1005="sacos")*(MOVIMIENTOS!$A$5:$A$1005&lt;&gt;"")*(MOVIMIENTOS!$A$5:$A$1005&lt;=$A950)*MOVIMIENTOS!$E$5:$E$1005)-SUMPRODUCT((MOVIMIENTOS!$B$5:$B$1005="VENTA")*(MOVIMIENTOS!$C$5:$C$1005="Chancho")*(MOVIMIENTOS!$D$5:$D$1005="sacos")*(MOVIMIENTOS!$A$5:$A$1005&lt;&gt;"")*(MOVIMIENTOS!$A$5:$A$1005&lt;=$A950)*MOVIMIENTOS!$E$5:$E$1005)+SUMPRODUCT((MOVIMIENTOS!$B$5:$B$1005="AJUSTE")*(MOVIMIENTOS!$C$5:$C$1005="Chancho")*(MOVIMIENTOS!$D$5:$D$1005="sacos")*(MOVIMIENTOS!$A$5:$A$1005&lt;&gt;"")*(MOVIMIENTOS!$A$5:$A$1005&lt;=$A950)*MOVIMIENTOS!$E$5:$E$1005))</f>
        <v/>
      </c>
      <c r="G950" s="62" t="str">
        <f t="shared" si="29"/>
        <v/>
      </c>
      <c r="H950" t="str">
        <f>IF($A950="","",SUMPRODUCT((((MOVIMIENTOS!$B$5:$B$1005="SALDO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950)*MOVIMIENTOS!$J$5:$J$1005))</f>
        <v/>
      </c>
      <c r="J950" t="str">
        <f>IF(AND(MOVIMIENTOS!$A955&lt;&gt;"",COUNTIF(MOVIMIENTOS!$A$5:$A954,MOVIMIENTOS!$A955)=0),COUNT(J$4:J949)+1,"")</f>
        <v/>
      </c>
      <c r="K950">
        <f>MOVIMIENTOS!$A955</f>
        <v>0</v>
      </c>
    </row>
    <row r="951" spans="1:11" ht="15" customHeight="1" x14ac:dyDescent="0.2">
      <c r="A951" t="str">
        <f t="shared" si="28"/>
        <v/>
      </c>
      <c r="B951" t="str">
        <f>IF($A951="","",SUMPRODUCT((MOVIMIENTOS!$B$5:$B$1005="SALDO INICIAL")*(MOVIMIENTOS!$C$5:$C$1005="A")*(MOVIMIENTOS!$D$5:$D$1005="jabas")*(MOVIMIENTOS!$A$5:$A$1005&lt;&gt;"")*(MOVIMIENTOS!$A$5:$A$1005&lt;=$A951)*MOVIMIENTOS!$E$5:$E$1005)+SUMPRODUCT((MOVIMIENTOS!$B$5:$B$1005="PROCESO")*(MOVIMIENTOS!$C$5:$C$1005="A")*(MOVIMIENTOS!$D$5:$D$1005="jabas")*(MOVIMIENTOS!$A$5:$A$1005&lt;&gt;"")*(MOVIMIENTOS!$A$5:$A$1005&lt;=$A951)*MOVIMIENTOS!$E$5:$E$1005)-SUMPRODUCT((MOVIMIENTOS!$B$5:$B$1005="ENVÍO A SUPESA")*(MOVIMIENTOS!$C$5:$C$1005="A")*(MOVIMIENTOS!$D$5:$D$1005="jabas")*(MOVIMIENTOS!$A$5:$A$1005&lt;&gt;"")*(MOVIMIENTOS!$A$5:$A$1005&lt;=$A951)*MOVIMIENTOS!$E$5:$E$1005)+SUMPRODUCT((MOVIMIENTOS!$B$5:$B$1005="DEVOLUCIÓN")*(MOVIMIENTOS!$C$5:$C$1005="A")*(MOVIMIENTOS!$D$5:$D$1005="jabas")*(MOVIMIENTOS!$A$5:$A$1005&lt;&gt;"")*(MOVIMIENTOS!$A$5:$A$1005&lt;=$A951)*MOVIMIENTOS!$E$5:$E$1005)-SUMPRODUCT((MOVIMIENTOS!$B$5:$B$1005="TRASIEGO")*(MOVIMIENTOS!$C$5:$C$1005="A")*(MOVIMIENTOS!$D$5:$D$1005="jabas")*(MOVIMIENTOS!$A$5:$A$1005&lt;&gt;"")*(MOVIMIENTOS!$A$5:$A$1005&lt;=$A951)*MOVIMIENTOS!$E$5:$E$1005)-SUMPRODUCT((MOVIMIENTOS!$B$5:$B$1005="REGALO")*(MOVIMIENTOS!$C$5:$C$1005="A")*(MOVIMIENTOS!$D$5:$D$1005="jabas")*(MOVIMIENTOS!$A$5:$A$1005&lt;&gt;"")*(MOVIMIENTOS!$A$5:$A$1005&lt;=$A951)*MOVIMIENTOS!$E$5:$E$1005)-SUMPRODUCT((MOVIMIENTOS!$B$5:$B$1005="VENTA")*(MOVIMIENTOS!$C$5:$C$1005="A")*(MOVIMIENTOS!$D$5:$D$1005="jabas")*(MOVIMIENTOS!$A$5:$A$1005&lt;&gt;"")*(MOVIMIENTOS!$A$5:$A$1005&lt;=$A951)*MOVIMIENTOS!$E$5:$E$1005)+SUMPRODUCT((MOVIMIENTOS!$B$5:$B$1005="AJUSTE")*(MOVIMIENTOS!$C$5:$C$1005="A")*(MOVIMIENTOS!$D$5:$D$1005="jabas")*(MOVIMIENTOS!$A$5:$A$1005&lt;&gt;"")*(MOVIMIENTOS!$A$5:$A$1005&lt;=$A951)*MOVIMIENTOS!$E$5:$E$1005))</f>
        <v/>
      </c>
      <c r="C951" t="str">
        <f>IF($A951="","",SUMPRODUCT((MOVIMIENTOS!$B$5:$B$1005="SALDO INICIAL")*(MOVIMIENTOS!$C$5:$C$1005="P")*(MOVIMIENTOS!$D$5:$D$1005="jabas")*(MOVIMIENTOS!$A$5:$A$1005&lt;&gt;"")*(MOVIMIENTOS!$A$5:$A$1005&lt;=$A951)*MOVIMIENTOS!$E$5:$E$1005)+SUMPRODUCT((MOVIMIENTOS!$B$5:$B$1005="PROCESO")*(MOVIMIENTOS!$C$5:$C$1005="P")*(MOVIMIENTOS!$D$5:$D$1005="jabas")*(MOVIMIENTOS!$A$5:$A$1005&lt;&gt;"")*(MOVIMIENTOS!$A$5:$A$1005&lt;=$A951)*MOVIMIENTOS!$E$5:$E$1005)-SUMPRODUCT((MOVIMIENTOS!$B$5:$B$1005="ENVÍO A SUPESA")*(MOVIMIENTOS!$C$5:$C$1005="P")*(MOVIMIENTOS!$D$5:$D$1005="jabas")*(MOVIMIENTOS!$A$5:$A$1005&lt;&gt;"")*(MOVIMIENTOS!$A$5:$A$1005&lt;=$A951)*MOVIMIENTOS!$E$5:$E$1005)+SUMPRODUCT((MOVIMIENTOS!$B$5:$B$1005="DEVOLUCIÓN")*(MOVIMIENTOS!$C$5:$C$1005="P")*(MOVIMIENTOS!$D$5:$D$1005="jabas")*(MOVIMIENTOS!$A$5:$A$1005&lt;&gt;"")*(MOVIMIENTOS!$A$5:$A$1005&lt;=$A951)*MOVIMIENTOS!$E$5:$E$1005)-SUMPRODUCT((MOVIMIENTOS!$B$5:$B$1005="TRASIEGO")*(MOVIMIENTOS!$C$5:$C$1005="P")*(MOVIMIENTOS!$D$5:$D$1005="jabas")*(MOVIMIENTOS!$A$5:$A$1005&lt;&gt;"")*(MOVIMIENTOS!$A$5:$A$1005&lt;=$A951)*MOVIMIENTOS!$E$5:$E$1005)-SUMPRODUCT((MOVIMIENTOS!$B$5:$B$1005="REGALO")*(MOVIMIENTOS!$C$5:$C$1005="P")*(MOVIMIENTOS!$D$5:$D$1005="jabas")*(MOVIMIENTOS!$A$5:$A$1005&lt;&gt;"")*(MOVIMIENTOS!$A$5:$A$1005&lt;=$A951)*MOVIMIENTOS!$E$5:$E$1005)-SUMPRODUCT((MOVIMIENTOS!$B$5:$B$1005="VENTA")*(MOVIMIENTOS!$C$5:$C$1005="P")*(MOVIMIENTOS!$D$5:$D$1005="jabas")*(MOVIMIENTOS!$A$5:$A$1005&lt;&gt;"")*(MOVIMIENTOS!$A$5:$A$1005&lt;=$A951)*MOVIMIENTOS!$E$5:$E$1005)+SUMPRODUCT((MOVIMIENTOS!$B$5:$B$1005="AJUSTE")*(MOVIMIENTOS!$C$5:$C$1005="P")*(MOVIMIENTOS!$D$5:$D$1005="jabas")*(MOVIMIENTOS!$A$5:$A$1005&lt;&gt;"")*(MOVIMIENTOS!$A$5:$A$1005&lt;=$A951)*MOVIMIENTOS!$E$5:$E$1005))</f>
        <v/>
      </c>
      <c r="D951" t="str">
        <f>IF($A951="","",SUMPRODUCT((MOVIMIENTOS!$B$5:$B$1005="SALDO INICIAL")*(MOVIMIENTOS!$C$5:$C$1005="C")*(MOVIMIENTOS!$D$5:$D$1005="jabas")*(MOVIMIENTOS!$A$5:$A$1005&lt;&gt;"")*(MOVIMIENTOS!$A$5:$A$1005&lt;=$A951)*MOVIMIENTOS!$E$5:$E$1005)+SUMPRODUCT((MOVIMIENTOS!$B$5:$B$1005="PROCESO")*(MOVIMIENTOS!$C$5:$C$1005="C")*(MOVIMIENTOS!$D$5:$D$1005="jabas")*(MOVIMIENTOS!$A$5:$A$1005&lt;&gt;"")*(MOVIMIENTOS!$A$5:$A$1005&lt;=$A951)*MOVIMIENTOS!$E$5:$E$1005)-SUMPRODUCT((MOVIMIENTOS!$B$5:$B$1005="ENVÍO A SUPESA")*(MOVIMIENTOS!$C$5:$C$1005="C")*(MOVIMIENTOS!$D$5:$D$1005="jabas")*(MOVIMIENTOS!$A$5:$A$1005&lt;&gt;"")*(MOVIMIENTOS!$A$5:$A$1005&lt;=$A951)*MOVIMIENTOS!$E$5:$E$1005)+SUMPRODUCT((MOVIMIENTOS!$B$5:$B$1005="DEVOLUCIÓN")*(MOVIMIENTOS!$C$5:$C$1005="C")*(MOVIMIENTOS!$D$5:$D$1005="jabas")*(MOVIMIENTOS!$A$5:$A$1005&lt;&gt;"")*(MOVIMIENTOS!$A$5:$A$1005&lt;=$A951)*MOVIMIENTOS!$E$5:$E$1005)-SUMPRODUCT((MOVIMIENTOS!$B$5:$B$1005="TRASIEGO")*(MOVIMIENTOS!$C$5:$C$1005="C")*(MOVIMIENTOS!$D$5:$D$1005="jabas")*(MOVIMIENTOS!$A$5:$A$1005&lt;&gt;"")*(MOVIMIENTOS!$A$5:$A$1005&lt;=$A951)*MOVIMIENTOS!$E$5:$E$1005)-SUMPRODUCT((MOVIMIENTOS!$B$5:$B$1005="REGALO")*(MOVIMIENTOS!$C$5:$C$1005="C")*(MOVIMIENTOS!$D$5:$D$1005="jabas")*(MOVIMIENTOS!$A$5:$A$1005&lt;&gt;"")*(MOVIMIENTOS!$A$5:$A$1005&lt;=$A951)*MOVIMIENTOS!$E$5:$E$1005)-SUMPRODUCT((MOVIMIENTOS!$B$5:$B$1005="VENTA")*(MOVIMIENTOS!$C$5:$C$1005="C")*(MOVIMIENTOS!$D$5:$D$1005="jabas")*(MOVIMIENTOS!$A$5:$A$1005&lt;&gt;"")*(MOVIMIENTOS!$A$5:$A$1005&lt;=$A951)*MOVIMIENTOS!$E$5:$E$1005)+SUMPRODUCT((MOVIMIENTOS!$B$5:$B$1005="AJUSTE")*(MOVIMIENTOS!$C$5:$C$1005="C")*(MOVIMIENTOS!$D$5:$D$1005="jabas")*(MOVIMIENTOS!$A$5:$A$1005&lt;&gt;"")*(MOVIMIENTOS!$A$5:$A$1005&lt;=$A951)*MOVIMIENTOS!$E$5:$E$1005))</f>
        <v/>
      </c>
      <c r="E951" t="str">
        <f>IF($A951="","",SUMPRODUCT((MOVIMIENTOS!$B$5:$B$1005="SALDO INICIAL")*(MOVIMIENTOS!$C$5:$C$1005="M")*(MOVIMIENTOS!$D$5:$D$1005="jabas")*(MOVIMIENTOS!$A$5:$A$1005&lt;&gt;"")*(MOVIMIENTOS!$A$5:$A$1005&lt;=$A951)*MOVIMIENTOS!$E$5:$E$1005)+SUMPRODUCT((MOVIMIENTOS!$B$5:$B$1005="PROCESO")*(MOVIMIENTOS!$C$5:$C$1005="M")*(MOVIMIENTOS!$D$5:$D$1005="jabas")*(MOVIMIENTOS!$A$5:$A$1005&lt;&gt;"")*(MOVIMIENTOS!$A$5:$A$1005&lt;=$A951)*MOVIMIENTOS!$E$5:$E$1005)-SUMPRODUCT((MOVIMIENTOS!$B$5:$B$1005="ENVÍO A SUPESA")*(MOVIMIENTOS!$C$5:$C$1005="M")*(MOVIMIENTOS!$D$5:$D$1005="jabas")*(MOVIMIENTOS!$A$5:$A$1005&lt;&gt;"")*(MOVIMIENTOS!$A$5:$A$1005&lt;=$A951)*MOVIMIENTOS!$E$5:$E$1005)+SUMPRODUCT((MOVIMIENTOS!$B$5:$B$1005="DEVOLUCIÓN")*(MOVIMIENTOS!$C$5:$C$1005="M")*(MOVIMIENTOS!$D$5:$D$1005="jabas")*(MOVIMIENTOS!$A$5:$A$1005&lt;&gt;"")*(MOVIMIENTOS!$A$5:$A$1005&lt;=$A951)*MOVIMIENTOS!$E$5:$E$1005)-SUMPRODUCT((MOVIMIENTOS!$B$5:$B$1005="TRASIEGO")*(MOVIMIENTOS!$C$5:$C$1005="M")*(MOVIMIENTOS!$D$5:$D$1005="jabas")*(MOVIMIENTOS!$A$5:$A$1005&lt;&gt;"")*(MOVIMIENTOS!$A$5:$A$1005&lt;=$A951)*MOVIMIENTOS!$E$5:$E$1005)-SUMPRODUCT((MOVIMIENTOS!$B$5:$B$1005="REGALO")*(MOVIMIENTOS!$C$5:$C$1005="M")*(MOVIMIENTOS!$D$5:$D$1005="jabas")*(MOVIMIENTOS!$A$5:$A$1005&lt;&gt;"")*(MOVIMIENTOS!$A$5:$A$1005&lt;=$A951)*MOVIMIENTOS!$E$5:$E$1005)-SUMPRODUCT((MOVIMIENTOS!$B$5:$B$1005="VENTA")*(MOVIMIENTOS!$C$5:$C$1005="M")*(MOVIMIENTOS!$D$5:$D$1005="jabas")*(MOVIMIENTOS!$A$5:$A$1005&lt;&gt;"")*(MOVIMIENTOS!$A$5:$A$1005&lt;=$A951)*MOVIMIENTOS!$E$5:$E$1005)+SUMPRODUCT((MOVIMIENTOS!$B$5:$B$1005="AJUSTE")*(MOVIMIENTOS!$C$5:$C$1005="M")*(MOVIMIENTOS!$D$5:$D$1005="jabas")*(MOVIMIENTOS!$A$5:$A$1005&lt;&gt;"")*(MOVIMIENTOS!$A$5:$A$1005&lt;=$A951)*MOVIMIENTOS!$E$5:$E$1005))</f>
        <v/>
      </c>
      <c r="F951" s="62" t="str">
        <f>IF($A951="","",SUMPRODUCT((MOVIMIENTOS!$B$5:$B$1005="SALDO INICIAL")*(MOVIMIENTOS!$C$5:$C$1005="Chancho")*(MOVIMIENTOS!$D$5:$D$1005="sacos")*(MOVIMIENTOS!$A$5:$A$1005&lt;&gt;"")*(MOVIMIENTOS!$A$5:$A$1005&lt;=$A951)*MOVIMIENTOS!$E$5:$E$1005)+SUMPRODUCT((MOVIMIENTOS!$B$5:$B$1005="PROCESO")*(MOVIMIENTOS!$C$5:$C$1005="Chancho")*(MOVIMIENTOS!$D$5:$D$1005="sacos")*(MOVIMIENTOS!$A$5:$A$1005&lt;&gt;"")*(MOVIMIENTOS!$A$5:$A$1005&lt;=$A951)*MOVIMIENTOS!$E$5:$E$1005)-SUMPRODUCT((MOVIMIENTOS!$B$5:$B$1005="VENTA CHANCHO")*(MOVIMIENTOS!$C$5:$C$1005="Chancho")*(MOVIMIENTOS!$D$5:$D$1005="sacos")*(MOVIMIENTOS!$A$5:$A$1005&lt;&gt;"")*(MOVIMIENTOS!$A$5:$A$1005&lt;=$A951)*MOVIMIENTOS!$E$5:$E$1005)-SUMPRODUCT((MOVIMIENTOS!$B$5:$B$1005="REGALO")*(MOVIMIENTOS!$C$5:$C$1005="Chancho")*(MOVIMIENTOS!$D$5:$D$1005="sacos")*(MOVIMIENTOS!$A$5:$A$1005&lt;&gt;"")*(MOVIMIENTOS!$A$5:$A$1005&lt;=$A951)*MOVIMIENTOS!$E$5:$E$1005)-SUMPRODUCT((MOVIMIENTOS!$B$5:$B$1005="VENTA")*(MOVIMIENTOS!$C$5:$C$1005="Chancho")*(MOVIMIENTOS!$D$5:$D$1005="sacos")*(MOVIMIENTOS!$A$5:$A$1005&lt;&gt;"")*(MOVIMIENTOS!$A$5:$A$1005&lt;=$A951)*MOVIMIENTOS!$E$5:$E$1005)+SUMPRODUCT((MOVIMIENTOS!$B$5:$B$1005="AJUSTE")*(MOVIMIENTOS!$C$5:$C$1005="Chancho")*(MOVIMIENTOS!$D$5:$D$1005="sacos")*(MOVIMIENTOS!$A$5:$A$1005&lt;&gt;"")*(MOVIMIENTOS!$A$5:$A$1005&lt;=$A951)*MOVIMIENTOS!$E$5:$E$1005))</f>
        <v/>
      </c>
      <c r="G951" s="62" t="str">
        <f t="shared" si="29"/>
        <v/>
      </c>
      <c r="H951" t="str">
        <f>IF($A951="","",SUMPRODUCT((((MOVIMIENTOS!$B$5:$B$1005="SALDO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951)*MOVIMIENTOS!$J$5:$J$1005))</f>
        <v/>
      </c>
      <c r="J951" t="str">
        <f>IF(AND(MOVIMIENTOS!$A956&lt;&gt;"",COUNTIF(MOVIMIENTOS!$A$5:$A955,MOVIMIENTOS!$A956)=0),COUNT(J$4:J950)+1,"")</f>
        <v/>
      </c>
      <c r="K951">
        <f>MOVIMIENTOS!$A956</f>
        <v>0</v>
      </c>
    </row>
    <row r="952" spans="1:11" ht="15" customHeight="1" x14ac:dyDescent="0.2">
      <c r="A952" t="str">
        <f t="shared" si="28"/>
        <v/>
      </c>
      <c r="B952" t="str">
        <f>IF($A952="","",SUMPRODUCT((MOVIMIENTOS!$B$5:$B$1005="SALDO INICIAL")*(MOVIMIENTOS!$C$5:$C$1005="A")*(MOVIMIENTOS!$D$5:$D$1005="jabas")*(MOVIMIENTOS!$A$5:$A$1005&lt;&gt;"")*(MOVIMIENTOS!$A$5:$A$1005&lt;=$A952)*MOVIMIENTOS!$E$5:$E$1005)+SUMPRODUCT((MOVIMIENTOS!$B$5:$B$1005="PROCESO")*(MOVIMIENTOS!$C$5:$C$1005="A")*(MOVIMIENTOS!$D$5:$D$1005="jabas")*(MOVIMIENTOS!$A$5:$A$1005&lt;&gt;"")*(MOVIMIENTOS!$A$5:$A$1005&lt;=$A952)*MOVIMIENTOS!$E$5:$E$1005)-SUMPRODUCT((MOVIMIENTOS!$B$5:$B$1005="ENVÍO A SUPESA")*(MOVIMIENTOS!$C$5:$C$1005="A")*(MOVIMIENTOS!$D$5:$D$1005="jabas")*(MOVIMIENTOS!$A$5:$A$1005&lt;&gt;"")*(MOVIMIENTOS!$A$5:$A$1005&lt;=$A952)*MOVIMIENTOS!$E$5:$E$1005)+SUMPRODUCT((MOVIMIENTOS!$B$5:$B$1005="DEVOLUCIÓN")*(MOVIMIENTOS!$C$5:$C$1005="A")*(MOVIMIENTOS!$D$5:$D$1005="jabas")*(MOVIMIENTOS!$A$5:$A$1005&lt;&gt;"")*(MOVIMIENTOS!$A$5:$A$1005&lt;=$A952)*MOVIMIENTOS!$E$5:$E$1005)-SUMPRODUCT((MOVIMIENTOS!$B$5:$B$1005="TRASIEGO")*(MOVIMIENTOS!$C$5:$C$1005="A")*(MOVIMIENTOS!$D$5:$D$1005="jabas")*(MOVIMIENTOS!$A$5:$A$1005&lt;&gt;"")*(MOVIMIENTOS!$A$5:$A$1005&lt;=$A952)*MOVIMIENTOS!$E$5:$E$1005)-SUMPRODUCT((MOVIMIENTOS!$B$5:$B$1005="REGALO")*(MOVIMIENTOS!$C$5:$C$1005="A")*(MOVIMIENTOS!$D$5:$D$1005="jabas")*(MOVIMIENTOS!$A$5:$A$1005&lt;&gt;"")*(MOVIMIENTOS!$A$5:$A$1005&lt;=$A952)*MOVIMIENTOS!$E$5:$E$1005)-SUMPRODUCT((MOVIMIENTOS!$B$5:$B$1005="VENTA")*(MOVIMIENTOS!$C$5:$C$1005="A")*(MOVIMIENTOS!$D$5:$D$1005="jabas")*(MOVIMIENTOS!$A$5:$A$1005&lt;&gt;"")*(MOVIMIENTOS!$A$5:$A$1005&lt;=$A952)*MOVIMIENTOS!$E$5:$E$1005)+SUMPRODUCT((MOVIMIENTOS!$B$5:$B$1005="AJUSTE")*(MOVIMIENTOS!$C$5:$C$1005="A")*(MOVIMIENTOS!$D$5:$D$1005="jabas")*(MOVIMIENTOS!$A$5:$A$1005&lt;&gt;"")*(MOVIMIENTOS!$A$5:$A$1005&lt;=$A952)*MOVIMIENTOS!$E$5:$E$1005))</f>
        <v/>
      </c>
      <c r="C952" t="str">
        <f>IF($A952="","",SUMPRODUCT((MOVIMIENTOS!$B$5:$B$1005="SALDO INICIAL")*(MOVIMIENTOS!$C$5:$C$1005="P")*(MOVIMIENTOS!$D$5:$D$1005="jabas")*(MOVIMIENTOS!$A$5:$A$1005&lt;&gt;"")*(MOVIMIENTOS!$A$5:$A$1005&lt;=$A952)*MOVIMIENTOS!$E$5:$E$1005)+SUMPRODUCT((MOVIMIENTOS!$B$5:$B$1005="PROCESO")*(MOVIMIENTOS!$C$5:$C$1005="P")*(MOVIMIENTOS!$D$5:$D$1005="jabas")*(MOVIMIENTOS!$A$5:$A$1005&lt;&gt;"")*(MOVIMIENTOS!$A$5:$A$1005&lt;=$A952)*MOVIMIENTOS!$E$5:$E$1005)-SUMPRODUCT((MOVIMIENTOS!$B$5:$B$1005="ENVÍO A SUPESA")*(MOVIMIENTOS!$C$5:$C$1005="P")*(MOVIMIENTOS!$D$5:$D$1005="jabas")*(MOVIMIENTOS!$A$5:$A$1005&lt;&gt;"")*(MOVIMIENTOS!$A$5:$A$1005&lt;=$A952)*MOVIMIENTOS!$E$5:$E$1005)+SUMPRODUCT((MOVIMIENTOS!$B$5:$B$1005="DEVOLUCIÓN")*(MOVIMIENTOS!$C$5:$C$1005="P")*(MOVIMIENTOS!$D$5:$D$1005="jabas")*(MOVIMIENTOS!$A$5:$A$1005&lt;&gt;"")*(MOVIMIENTOS!$A$5:$A$1005&lt;=$A952)*MOVIMIENTOS!$E$5:$E$1005)-SUMPRODUCT((MOVIMIENTOS!$B$5:$B$1005="TRASIEGO")*(MOVIMIENTOS!$C$5:$C$1005="P")*(MOVIMIENTOS!$D$5:$D$1005="jabas")*(MOVIMIENTOS!$A$5:$A$1005&lt;&gt;"")*(MOVIMIENTOS!$A$5:$A$1005&lt;=$A952)*MOVIMIENTOS!$E$5:$E$1005)-SUMPRODUCT((MOVIMIENTOS!$B$5:$B$1005="REGALO")*(MOVIMIENTOS!$C$5:$C$1005="P")*(MOVIMIENTOS!$D$5:$D$1005="jabas")*(MOVIMIENTOS!$A$5:$A$1005&lt;&gt;"")*(MOVIMIENTOS!$A$5:$A$1005&lt;=$A952)*MOVIMIENTOS!$E$5:$E$1005)-SUMPRODUCT((MOVIMIENTOS!$B$5:$B$1005="VENTA")*(MOVIMIENTOS!$C$5:$C$1005="P")*(MOVIMIENTOS!$D$5:$D$1005="jabas")*(MOVIMIENTOS!$A$5:$A$1005&lt;&gt;"")*(MOVIMIENTOS!$A$5:$A$1005&lt;=$A952)*MOVIMIENTOS!$E$5:$E$1005)+SUMPRODUCT((MOVIMIENTOS!$B$5:$B$1005="AJUSTE")*(MOVIMIENTOS!$C$5:$C$1005="P")*(MOVIMIENTOS!$D$5:$D$1005="jabas")*(MOVIMIENTOS!$A$5:$A$1005&lt;&gt;"")*(MOVIMIENTOS!$A$5:$A$1005&lt;=$A952)*MOVIMIENTOS!$E$5:$E$1005))</f>
        <v/>
      </c>
      <c r="D952" t="str">
        <f>IF($A952="","",SUMPRODUCT((MOVIMIENTOS!$B$5:$B$1005="SALDO INICIAL")*(MOVIMIENTOS!$C$5:$C$1005="C")*(MOVIMIENTOS!$D$5:$D$1005="jabas")*(MOVIMIENTOS!$A$5:$A$1005&lt;&gt;"")*(MOVIMIENTOS!$A$5:$A$1005&lt;=$A952)*MOVIMIENTOS!$E$5:$E$1005)+SUMPRODUCT((MOVIMIENTOS!$B$5:$B$1005="PROCESO")*(MOVIMIENTOS!$C$5:$C$1005="C")*(MOVIMIENTOS!$D$5:$D$1005="jabas")*(MOVIMIENTOS!$A$5:$A$1005&lt;&gt;"")*(MOVIMIENTOS!$A$5:$A$1005&lt;=$A952)*MOVIMIENTOS!$E$5:$E$1005)-SUMPRODUCT((MOVIMIENTOS!$B$5:$B$1005="ENVÍO A SUPESA")*(MOVIMIENTOS!$C$5:$C$1005="C")*(MOVIMIENTOS!$D$5:$D$1005="jabas")*(MOVIMIENTOS!$A$5:$A$1005&lt;&gt;"")*(MOVIMIENTOS!$A$5:$A$1005&lt;=$A952)*MOVIMIENTOS!$E$5:$E$1005)+SUMPRODUCT((MOVIMIENTOS!$B$5:$B$1005="DEVOLUCIÓN")*(MOVIMIENTOS!$C$5:$C$1005="C")*(MOVIMIENTOS!$D$5:$D$1005="jabas")*(MOVIMIENTOS!$A$5:$A$1005&lt;&gt;"")*(MOVIMIENTOS!$A$5:$A$1005&lt;=$A952)*MOVIMIENTOS!$E$5:$E$1005)-SUMPRODUCT((MOVIMIENTOS!$B$5:$B$1005="TRASIEGO")*(MOVIMIENTOS!$C$5:$C$1005="C")*(MOVIMIENTOS!$D$5:$D$1005="jabas")*(MOVIMIENTOS!$A$5:$A$1005&lt;&gt;"")*(MOVIMIENTOS!$A$5:$A$1005&lt;=$A952)*MOVIMIENTOS!$E$5:$E$1005)-SUMPRODUCT((MOVIMIENTOS!$B$5:$B$1005="REGALO")*(MOVIMIENTOS!$C$5:$C$1005="C")*(MOVIMIENTOS!$D$5:$D$1005="jabas")*(MOVIMIENTOS!$A$5:$A$1005&lt;&gt;"")*(MOVIMIENTOS!$A$5:$A$1005&lt;=$A952)*MOVIMIENTOS!$E$5:$E$1005)-SUMPRODUCT((MOVIMIENTOS!$B$5:$B$1005="VENTA")*(MOVIMIENTOS!$C$5:$C$1005="C")*(MOVIMIENTOS!$D$5:$D$1005="jabas")*(MOVIMIENTOS!$A$5:$A$1005&lt;&gt;"")*(MOVIMIENTOS!$A$5:$A$1005&lt;=$A952)*MOVIMIENTOS!$E$5:$E$1005)+SUMPRODUCT((MOVIMIENTOS!$B$5:$B$1005="AJUSTE")*(MOVIMIENTOS!$C$5:$C$1005="C")*(MOVIMIENTOS!$D$5:$D$1005="jabas")*(MOVIMIENTOS!$A$5:$A$1005&lt;&gt;"")*(MOVIMIENTOS!$A$5:$A$1005&lt;=$A952)*MOVIMIENTOS!$E$5:$E$1005))</f>
        <v/>
      </c>
      <c r="E952" t="str">
        <f>IF($A952="","",SUMPRODUCT((MOVIMIENTOS!$B$5:$B$1005="SALDO INICIAL")*(MOVIMIENTOS!$C$5:$C$1005="M")*(MOVIMIENTOS!$D$5:$D$1005="jabas")*(MOVIMIENTOS!$A$5:$A$1005&lt;&gt;"")*(MOVIMIENTOS!$A$5:$A$1005&lt;=$A952)*MOVIMIENTOS!$E$5:$E$1005)+SUMPRODUCT((MOVIMIENTOS!$B$5:$B$1005="PROCESO")*(MOVIMIENTOS!$C$5:$C$1005="M")*(MOVIMIENTOS!$D$5:$D$1005="jabas")*(MOVIMIENTOS!$A$5:$A$1005&lt;&gt;"")*(MOVIMIENTOS!$A$5:$A$1005&lt;=$A952)*MOVIMIENTOS!$E$5:$E$1005)-SUMPRODUCT((MOVIMIENTOS!$B$5:$B$1005="ENVÍO A SUPESA")*(MOVIMIENTOS!$C$5:$C$1005="M")*(MOVIMIENTOS!$D$5:$D$1005="jabas")*(MOVIMIENTOS!$A$5:$A$1005&lt;&gt;"")*(MOVIMIENTOS!$A$5:$A$1005&lt;=$A952)*MOVIMIENTOS!$E$5:$E$1005)+SUMPRODUCT((MOVIMIENTOS!$B$5:$B$1005="DEVOLUCIÓN")*(MOVIMIENTOS!$C$5:$C$1005="M")*(MOVIMIENTOS!$D$5:$D$1005="jabas")*(MOVIMIENTOS!$A$5:$A$1005&lt;&gt;"")*(MOVIMIENTOS!$A$5:$A$1005&lt;=$A952)*MOVIMIENTOS!$E$5:$E$1005)-SUMPRODUCT((MOVIMIENTOS!$B$5:$B$1005="TRASIEGO")*(MOVIMIENTOS!$C$5:$C$1005="M")*(MOVIMIENTOS!$D$5:$D$1005="jabas")*(MOVIMIENTOS!$A$5:$A$1005&lt;&gt;"")*(MOVIMIENTOS!$A$5:$A$1005&lt;=$A952)*MOVIMIENTOS!$E$5:$E$1005)-SUMPRODUCT((MOVIMIENTOS!$B$5:$B$1005="REGALO")*(MOVIMIENTOS!$C$5:$C$1005="M")*(MOVIMIENTOS!$D$5:$D$1005="jabas")*(MOVIMIENTOS!$A$5:$A$1005&lt;&gt;"")*(MOVIMIENTOS!$A$5:$A$1005&lt;=$A952)*MOVIMIENTOS!$E$5:$E$1005)-SUMPRODUCT((MOVIMIENTOS!$B$5:$B$1005="VENTA")*(MOVIMIENTOS!$C$5:$C$1005="M")*(MOVIMIENTOS!$D$5:$D$1005="jabas")*(MOVIMIENTOS!$A$5:$A$1005&lt;&gt;"")*(MOVIMIENTOS!$A$5:$A$1005&lt;=$A952)*MOVIMIENTOS!$E$5:$E$1005)+SUMPRODUCT((MOVIMIENTOS!$B$5:$B$1005="AJUSTE")*(MOVIMIENTOS!$C$5:$C$1005="M")*(MOVIMIENTOS!$D$5:$D$1005="jabas")*(MOVIMIENTOS!$A$5:$A$1005&lt;&gt;"")*(MOVIMIENTOS!$A$5:$A$1005&lt;=$A952)*MOVIMIENTOS!$E$5:$E$1005))</f>
        <v/>
      </c>
      <c r="F952" s="62" t="str">
        <f>IF($A952="","",SUMPRODUCT((MOVIMIENTOS!$B$5:$B$1005="SALDO INICIAL")*(MOVIMIENTOS!$C$5:$C$1005="Chancho")*(MOVIMIENTOS!$D$5:$D$1005="sacos")*(MOVIMIENTOS!$A$5:$A$1005&lt;&gt;"")*(MOVIMIENTOS!$A$5:$A$1005&lt;=$A952)*MOVIMIENTOS!$E$5:$E$1005)+SUMPRODUCT((MOVIMIENTOS!$B$5:$B$1005="PROCESO")*(MOVIMIENTOS!$C$5:$C$1005="Chancho")*(MOVIMIENTOS!$D$5:$D$1005="sacos")*(MOVIMIENTOS!$A$5:$A$1005&lt;&gt;"")*(MOVIMIENTOS!$A$5:$A$1005&lt;=$A952)*MOVIMIENTOS!$E$5:$E$1005)-SUMPRODUCT((MOVIMIENTOS!$B$5:$B$1005="VENTA CHANCHO")*(MOVIMIENTOS!$C$5:$C$1005="Chancho")*(MOVIMIENTOS!$D$5:$D$1005="sacos")*(MOVIMIENTOS!$A$5:$A$1005&lt;&gt;"")*(MOVIMIENTOS!$A$5:$A$1005&lt;=$A952)*MOVIMIENTOS!$E$5:$E$1005)-SUMPRODUCT((MOVIMIENTOS!$B$5:$B$1005="REGALO")*(MOVIMIENTOS!$C$5:$C$1005="Chancho")*(MOVIMIENTOS!$D$5:$D$1005="sacos")*(MOVIMIENTOS!$A$5:$A$1005&lt;&gt;"")*(MOVIMIENTOS!$A$5:$A$1005&lt;=$A952)*MOVIMIENTOS!$E$5:$E$1005)-SUMPRODUCT((MOVIMIENTOS!$B$5:$B$1005="VENTA")*(MOVIMIENTOS!$C$5:$C$1005="Chancho")*(MOVIMIENTOS!$D$5:$D$1005="sacos")*(MOVIMIENTOS!$A$5:$A$1005&lt;&gt;"")*(MOVIMIENTOS!$A$5:$A$1005&lt;=$A952)*MOVIMIENTOS!$E$5:$E$1005)+SUMPRODUCT((MOVIMIENTOS!$B$5:$B$1005="AJUSTE")*(MOVIMIENTOS!$C$5:$C$1005="Chancho")*(MOVIMIENTOS!$D$5:$D$1005="sacos")*(MOVIMIENTOS!$A$5:$A$1005&lt;&gt;"")*(MOVIMIENTOS!$A$5:$A$1005&lt;=$A952)*MOVIMIENTOS!$E$5:$E$1005))</f>
        <v/>
      </c>
      <c r="G952" s="62" t="str">
        <f t="shared" si="29"/>
        <v/>
      </c>
      <c r="H952" t="str">
        <f>IF($A952="","",SUMPRODUCT((((MOVIMIENTOS!$B$5:$B$1005="SALDO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952)*MOVIMIENTOS!$J$5:$J$1005))</f>
        <v/>
      </c>
      <c r="J952" t="str">
        <f>IF(AND(MOVIMIENTOS!$A957&lt;&gt;"",COUNTIF(MOVIMIENTOS!$A$5:$A956,MOVIMIENTOS!$A957)=0),COUNT(J$4:J951)+1,"")</f>
        <v/>
      </c>
      <c r="K952">
        <f>MOVIMIENTOS!$A957</f>
        <v>0</v>
      </c>
    </row>
    <row r="953" spans="1:11" ht="15" customHeight="1" x14ac:dyDescent="0.2">
      <c r="A953" t="str">
        <f t="shared" si="28"/>
        <v/>
      </c>
      <c r="B953" t="str">
        <f>IF($A953="","",SUMPRODUCT((MOVIMIENTOS!$B$5:$B$1005="SALDO INICIAL")*(MOVIMIENTOS!$C$5:$C$1005="A")*(MOVIMIENTOS!$D$5:$D$1005="jabas")*(MOVIMIENTOS!$A$5:$A$1005&lt;&gt;"")*(MOVIMIENTOS!$A$5:$A$1005&lt;=$A953)*MOVIMIENTOS!$E$5:$E$1005)+SUMPRODUCT((MOVIMIENTOS!$B$5:$B$1005="PROCESO")*(MOVIMIENTOS!$C$5:$C$1005="A")*(MOVIMIENTOS!$D$5:$D$1005="jabas")*(MOVIMIENTOS!$A$5:$A$1005&lt;&gt;"")*(MOVIMIENTOS!$A$5:$A$1005&lt;=$A953)*MOVIMIENTOS!$E$5:$E$1005)-SUMPRODUCT((MOVIMIENTOS!$B$5:$B$1005="ENVÍO A SUPESA")*(MOVIMIENTOS!$C$5:$C$1005="A")*(MOVIMIENTOS!$D$5:$D$1005="jabas")*(MOVIMIENTOS!$A$5:$A$1005&lt;&gt;"")*(MOVIMIENTOS!$A$5:$A$1005&lt;=$A953)*MOVIMIENTOS!$E$5:$E$1005)+SUMPRODUCT((MOVIMIENTOS!$B$5:$B$1005="DEVOLUCIÓN")*(MOVIMIENTOS!$C$5:$C$1005="A")*(MOVIMIENTOS!$D$5:$D$1005="jabas")*(MOVIMIENTOS!$A$5:$A$1005&lt;&gt;"")*(MOVIMIENTOS!$A$5:$A$1005&lt;=$A953)*MOVIMIENTOS!$E$5:$E$1005)-SUMPRODUCT((MOVIMIENTOS!$B$5:$B$1005="TRASIEGO")*(MOVIMIENTOS!$C$5:$C$1005="A")*(MOVIMIENTOS!$D$5:$D$1005="jabas")*(MOVIMIENTOS!$A$5:$A$1005&lt;&gt;"")*(MOVIMIENTOS!$A$5:$A$1005&lt;=$A953)*MOVIMIENTOS!$E$5:$E$1005)-SUMPRODUCT((MOVIMIENTOS!$B$5:$B$1005="REGALO")*(MOVIMIENTOS!$C$5:$C$1005="A")*(MOVIMIENTOS!$D$5:$D$1005="jabas")*(MOVIMIENTOS!$A$5:$A$1005&lt;&gt;"")*(MOVIMIENTOS!$A$5:$A$1005&lt;=$A953)*MOVIMIENTOS!$E$5:$E$1005)-SUMPRODUCT((MOVIMIENTOS!$B$5:$B$1005="VENTA")*(MOVIMIENTOS!$C$5:$C$1005="A")*(MOVIMIENTOS!$D$5:$D$1005="jabas")*(MOVIMIENTOS!$A$5:$A$1005&lt;&gt;"")*(MOVIMIENTOS!$A$5:$A$1005&lt;=$A953)*MOVIMIENTOS!$E$5:$E$1005)+SUMPRODUCT((MOVIMIENTOS!$B$5:$B$1005="AJUSTE")*(MOVIMIENTOS!$C$5:$C$1005="A")*(MOVIMIENTOS!$D$5:$D$1005="jabas")*(MOVIMIENTOS!$A$5:$A$1005&lt;&gt;"")*(MOVIMIENTOS!$A$5:$A$1005&lt;=$A953)*MOVIMIENTOS!$E$5:$E$1005))</f>
        <v/>
      </c>
      <c r="C953" t="str">
        <f>IF($A953="","",SUMPRODUCT((MOVIMIENTOS!$B$5:$B$1005="SALDO INICIAL")*(MOVIMIENTOS!$C$5:$C$1005="P")*(MOVIMIENTOS!$D$5:$D$1005="jabas")*(MOVIMIENTOS!$A$5:$A$1005&lt;&gt;"")*(MOVIMIENTOS!$A$5:$A$1005&lt;=$A953)*MOVIMIENTOS!$E$5:$E$1005)+SUMPRODUCT((MOVIMIENTOS!$B$5:$B$1005="PROCESO")*(MOVIMIENTOS!$C$5:$C$1005="P")*(MOVIMIENTOS!$D$5:$D$1005="jabas")*(MOVIMIENTOS!$A$5:$A$1005&lt;&gt;"")*(MOVIMIENTOS!$A$5:$A$1005&lt;=$A953)*MOVIMIENTOS!$E$5:$E$1005)-SUMPRODUCT((MOVIMIENTOS!$B$5:$B$1005="ENVÍO A SUPESA")*(MOVIMIENTOS!$C$5:$C$1005="P")*(MOVIMIENTOS!$D$5:$D$1005="jabas")*(MOVIMIENTOS!$A$5:$A$1005&lt;&gt;"")*(MOVIMIENTOS!$A$5:$A$1005&lt;=$A953)*MOVIMIENTOS!$E$5:$E$1005)+SUMPRODUCT((MOVIMIENTOS!$B$5:$B$1005="DEVOLUCIÓN")*(MOVIMIENTOS!$C$5:$C$1005="P")*(MOVIMIENTOS!$D$5:$D$1005="jabas")*(MOVIMIENTOS!$A$5:$A$1005&lt;&gt;"")*(MOVIMIENTOS!$A$5:$A$1005&lt;=$A953)*MOVIMIENTOS!$E$5:$E$1005)-SUMPRODUCT((MOVIMIENTOS!$B$5:$B$1005="TRASIEGO")*(MOVIMIENTOS!$C$5:$C$1005="P")*(MOVIMIENTOS!$D$5:$D$1005="jabas")*(MOVIMIENTOS!$A$5:$A$1005&lt;&gt;"")*(MOVIMIENTOS!$A$5:$A$1005&lt;=$A953)*MOVIMIENTOS!$E$5:$E$1005)-SUMPRODUCT((MOVIMIENTOS!$B$5:$B$1005="REGALO")*(MOVIMIENTOS!$C$5:$C$1005="P")*(MOVIMIENTOS!$D$5:$D$1005="jabas")*(MOVIMIENTOS!$A$5:$A$1005&lt;&gt;"")*(MOVIMIENTOS!$A$5:$A$1005&lt;=$A953)*MOVIMIENTOS!$E$5:$E$1005)-SUMPRODUCT((MOVIMIENTOS!$B$5:$B$1005="VENTA")*(MOVIMIENTOS!$C$5:$C$1005="P")*(MOVIMIENTOS!$D$5:$D$1005="jabas")*(MOVIMIENTOS!$A$5:$A$1005&lt;&gt;"")*(MOVIMIENTOS!$A$5:$A$1005&lt;=$A953)*MOVIMIENTOS!$E$5:$E$1005)+SUMPRODUCT((MOVIMIENTOS!$B$5:$B$1005="AJUSTE")*(MOVIMIENTOS!$C$5:$C$1005="P")*(MOVIMIENTOS!$D$5:$D$1005="jabas")*(MOVIMIENTOS!$A$5:$A$1005&lt;&gt;"")*(MOVIMIENTOS!$A$5:$A$1005&lt;=$A953)*MOVIMIENTOS!$E$5:$E$1005))</f>
        <v/>
      </c>
      <c r="D953" t="str">
        <f>IF($A953="","",SUMPRODUCT((MOVIMIENTOS!$B$5:$B$1005="SALDO INICIAL")*(MOVIMIENTOS!$C$5:$C$1005="C")*(MOVIMIENTOS!$D$5:$D$1005="jabas")*(MOVIMIENTOS!$A$5:$A$1005&lt;&gt;"")*(MOVIMIENTOS!$A$5:$A$1005&lt;=$A953)*MOVIMIENTOS!$E$5:$E$1005)+SUMPRODUCT((MOVIMIENTOS!$B$5:$B$1005="PROCESO")*(MOVIMIENTOS!$C$5:$C$1005="C")*(MOVIMIENTOS!$D$5:$D$1005="jabas")*(MOVIMIENTOS!$A$5:$A$1005&lt;&gt;"")*(MOVIMIENTOS!$A$5:$A$1005&lt;=$A953)*MOVIMIENTOS!$E$5:$E$1005)-SUMPRODUCT((MOVIMIENTOS!$B$5:$B$1005="ENVÍO A SUPESA")*(MOVIMIENTOS!$C$5:$C$1005="C")*(MOVIMIENTOS!$D$5:$D$1005="jabas")*(MOVIMIENTOS!$A$5:$A$1005&lt;&gt;"")*(MOVIMIENTOS!$A$5:$A$1005&lt;=$A953)*MOVIMIENTOS!$E$5:$E$1005)+SUMPRODUCT((MOVIMIENTOS!$B$5:$B$1005="DEVOLUCIÓN")*(MOVIMIENTOS!$C$5:$C$1005="C")*(MOVIMIENTOS!$D$5:$D$1005="jabas")*(MOVIMIENTOS!$A$5:$A$1005&lt;&gt;"")*(MOVIMIENTOS!$A$5:$A$1005&lt;=$A953)*MOVIMIENTOS!$E$5:$E$1005)-SUMPRODUCT((MOVIMIENTOS!$B$5:$B$1005="TRASIEGO")*(MOVIMIENTOS!$C$5:$C$1005="C")*(MOVIMIENTOS!$D$5:$D$1005="jabas")*(MOVIMIENTOS!$A$5:$A$1005&lt;&gt;"")*(MOVIMIENTOS!$A$5:$A$1005&lt;=$A953)*MOVIMIENTOS!$E$5:$E$1005)-SUMPRODUCT((MOVIMIENTOS!$B$5:$B$1005="REGALO")*(MOVIMIENTOS!$C$5:$C$1005="C")*(MOVIMIENTOS!$D$5:$D$1005="jabas")*(MOVIMIENTOS!$A$5:$A$1005&lt;&gt;"")*(MOVIMIENTOS!$A$5:$A$1005&lt;=$A953)*MOVIMIENTOS!$E$5:$E$1005)-SUMPRODUCT((MOVIMIENTOS!$B$5:$B$1005="VENTA")*(MOVIMIENTOS!$C$5:$C$1005="C")*(MOVIMIENTOS!$D$5:$D$1005="jabas")*(MOVIMIENTOS!$A$5:$A$1005&lt;&gt;"")*(MOVIMIENTOS!$A$5:$A$1005&lt;=$A953)*MOVIMIENTOS!$E$5:$E$1005)+SUMPRODUCT((MOVIMIENTOS!$B$5:$B$1005="AJUSTE")*(MOVIMIENTOS!$C$5:$C$1005="C")*(MOVIMIENTOS!$D$5:$D$1005="jabas")*(MOVIMIENTOS!$A$5:$A$1005&lt;&gt;"")*(MOVIMIENTOS!$A$5:$A$1005&lt;=$A953)*MOVIMIENTOS!$E$5:$E$1005))</f>
        <v/>
      </c>
      <c r="E953" t="str">
        <f>IF($A953="","",SUMPRODUCT((MOVIMIENTOS!$B$5:$B$1005="SALDO INICIAL")*(MOVIMIENTOS!$C$5:$C$1005="M")*(MOVIMIENTOS!$D$5:$D$1005="jabas")*(MOVIMIENTOS!$A$5:$A$1005&lt;&gt;"")*(MOVIMIENTOS!$A$5:$A$1005&lt;=$A953)*MOVIMIENTOS!$E$5:$E$1005)+SUMPRODUCT((MOVIMIENTOS!$B$5:$B$1005="PROCESO")*(MOVIMIENTOS!$C$5:$C$1005="M")*(MOVIMIENTOS!$D$5:$D$1005="jabas")*(MOVIMIENTOS!$A$5:$A$1005&lt;&gt;"")*(MOVIMIENTOS!$A$5:$A$1005&lt;=$A953)*MOVIMIENTOS!$E$5:$E$1005)-SUMPRODUCT((MOVIMIENTOS!$B$5:$B$1005="ENVÍO A SUPESA")*(MOVIMIENTOS!$C$5:$C$1005="M")*(MOVIMIENTOS!$D$5:$D$1005="jabas")*(MOVIMIENTOS!$A$5:$A$1005&lt;&gt;"")*(MOVIMIENTOS!$A$5:$A$1005&lt;=$A953)*MOVIMIENTOS!$E$5:$E$1005)+SUMPRODUCT((MOVIMIENTOS!$B$5:$B$1005="DEVOLUCIÓN")*(MOVIMIENTOS!$C$5:$C$1005="M")*(MOVIMIENTOS!$D$5:$D$1005="jabas")*(MOVIMIENTOS!$A$5:$A$1005&lt;&gt;"")*(MOVIMIENTOS!$A$5:$A$1005&lt;=$A953)*MOVIMIENTOS!$E$5:$E$1005)-SUMPRODUCT((MOVIMIENTOS!$B$5:$B$1005="TRASIEGO")*(MOVIMIENTOS!$C$5:$C$1005="M")*(MOVIMIENTOS!$D$5:$D$1005="jabas")*(MOVIMIENTOS!$A$5:$A$1005&lt;&gt;"")*(MOVIMIENTOS!$A$5:$A$1005&lt;=$A953)*MOVIMIENTOS!$E$5:$E$1005)-SUMPRODUCT((MOVIMIENTOS!$B$5:$B$1005="REGALO")*(MOVIMIENTOS!$C$5:$C$1005="M")*(MOVIMIENTOS!$D$5:$D$1005="jabas")*(MOVIMIENTOS!$A$5:$A$1005&lt;&gt;"")*(MOVIMIENTOS!$A$5:$A$1005&lt;=$A953)*MOVIMIENTOS!$E$5:$E$1005)-SUMPRODUCT((MOVIMIENTOS!$B$5:$B$1005="VENTA")*(MOVIMIENTOS!$C$5:$C$1005="M")*(MOVIMIENTOS!$D$5:$D$1005="jabas")*(MOVIMIENTOS!$A$5:$A$1005&lt;&gt;"")*(MOVIMIENTOS!$A$5:$A$1005&lt;=$A953)*MOVIMIENTOS!$E$5:$E$1005)+SUMPRODUCT((MOVIMIENTOS!$B$5:$B$1005="AJUSTE")*(MOVIMIENTOS!$C$5:$C$1005="M")*(MOVIMIENTOS!$D$5:$D$1005="jabas")*(MOVIMIENTOS!$A$5:$A$1005&lt;&gt;"")*(MOVIMIENTOS!$A$5:$A$1005&lt;=$A953)*MOVIMIENTOS!$E$5:$E$1005))</f>
        <v/>
      </c>
      <c r="F953" s="62" t="str">
        <f>IF($A953="","",SUMPRODUCT((MOVIMIENTOS!$B$5:$B$1005="SALDO INICIAL")*(MOVIMIENTOS!$C$5:$C$1005="Chancho")*(MOVIMIENTOS!$D$5:$D$1005="sacos")*(MOVIMIENTOS!$A$5:$A$1005&lt;&gt;"")*(MOVIMIENTOS!$A$5:$A$1005&lt;=$A953)*MOVIMIENTOS!$E$5:$E$1005)+SUMPRODUCT((MOVIMIENTOS!$B$5:$B$1005="PROCESO")*(MOVIMIENTOS!$C$5:$C$1005="Chancho")*(MOVIMIENTOS!$D$5:$D$1005="sacos")*(MOVIMIENTOS!$A$5:$A$1005&lt;&gt;"")*(MOVIMIENTOS!$A$5:$A$1005&lt;=$A953)*MOVIMIENTOS!$E$5:$E$1005)-SUMPRODUCT((MOVIMIENTOS!$B$5:$B$1005="VENTA CHANCHO")*(MOVIMIENTOS!$C$5:$C$1005="Chancho")*(MOVIMIENTOS!$D$5:$D$1005="sacos")*(MOVIMIENTOS!$A$5:$A$1005&lt;&gt;"")*(MOVIMIENTOS!$A$5:$A$1005&lt;=$A953)*MOVIMIENTOS!$E$5:$E$1005)-SUMPRODUCT((MOVIMIENTOS!$B$5:$B$1005="REGALO")*(MOVIMIENTOS!$C$5:$C$1005="Chancho")*(MOVIMIENTOS!$D$5:$D$1005="sacos")*(MOVIMIENTOS!$A$5:$A$1005&lt;&gt;"")*(MOVIMIENTOS!$A$5:$A$1005&lt;=$A953)*MOVIMIENTOS!$E$5:$E$1005)-SUMPRODUCT((MOVIMIENTOS!$B$5:$B$1005="VENTA")*(MOVIMIENTOS!$C$5:$C$1005="Chancho")*(MOVIMIENTOS!$D$5:$D$1005="sacos")*(MOVIMIENTOS!$A$5:$A$1005&lt;&gt;"")*(MOVIMIENTOS!$A$5:$A$1005&lt;=$A953)*MOVIMIENTOS!$E$5:$E$1005)+SUMPRODUCT((MOVIMIENTOS!$B$5:$B$1005="AJUSTE")*(MOVIMIENTOS!$C$5:$C$1005="Chancho")*(MOVIMIENTOS!$D$5:$D$1005="sacos")*(MOVIMIENTOS!$A$5:$A$1005&lt;&gt;"")*(MOVIMIENTOS!$A$5:$A$1005&lt;=$A953)*MOVIMIENTOS!$E$5:$E$1005))</f>
        <v/>
      </c>
      <c r="G953" s="62" t="str">
        <f t="shared" si="29"/>
        <v/>
      </c>
      <c r="H953" t="str">
        <f>IF($A953="","",SUMPRODUCT((((MOVIMIENTOS!$B$5:$B$1005="SALDO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953)*MOVIMIENTOS!$J$5:$J$1005))</f>
        <v/>
      </c>
      <c r="J953" t="str">
        <f>IF(AND(MOVIMIENTOS!$A958&lt;&gt;"",COUNTIF(MOVIMIENTOS!$A$5:$A957,MOVIMIENTOS!$A958)=0),COUNT(J$4:J952)+1,"")</f>
        <v/>
      </c>
      <c r="K953">
        <f>MOVIMIENTOS!$A958</f>
        <v>0</v>
      </c>
    </row>
    <row r="954" spans="1:11" ht="15" customHeight="1" x14ac:dyDescent="0.2">
      <c r="A954" t="str">
        <f t="shared" si="28"/>
        <v/>
      </c>
      <c r="B954" t="str">
        <f>IF($A954="","",SUMPRODUCT((MOVIMIENTOS!$B$5:$B$1005="SALDO INICIAL")*(MOVIMIENTOS!$C$5:$C$1005="A")*(MOVIMIENTOS!$D$5:$D$1005="jabas")*(MOVIMIENTOS!$A$5:$A$1005&lt;&gt;"")*(MOVIMIENTOS!$A$5:$A$1005&lt;=$A954)*MOVIMIENTOS!$E$5:$E$1005)+SUMPRODUCT((MOVIMIENTOS!$B$5:$B$1005="PROCESO")*(MOVIMIENTOS!$C$5:$C$1005="A")*(MOVIMIENTOS!$D$5:$D$1005="jabas")*(MOVIMIENTOS!$A$5:$A$1005&lt;&gt;"")*(MOVIMIENTOS!$A$5:$A$1005&lt;=$A954)*MOVIMIENTOS!$E$5:$E$1005)-SUMPRODUCT((MOVIMIENTOS!$B$5:$B$1005="ENVÍO A SUPESA")*(MOVIMIENTOS!$C$5:$C$1005="A")*(MOVIMIENTOS!$D$5:$D$1005="jabas")*(MOVIMIENTOS!$A$5:$A$1005&lt;&gt;"")*(MOVIMIENTOS!$A$5:$A$1005&lt;=$A954)*MOVIMIENTOS!$E$5:$E$1005)+SUMPRODUCT((MOVIMIENTOS!$B$5:$B$1005="DEVOLUCIÓN")*(MOVIMIENTOS!$C$5:$C$1005="A")*(MOVIMIENTOS!$D$5:$D$1005="jabas")*(MOVIMIENTOS!$A$5:$A$1005&lt;&gt;"")*(MOVIMIENTOS!$A$5:$A$1005&lt;=$A954)*MOVIMIENTOS!$E$5:$E$1005)-SUMPRODUCT((MOVIMIENTOS!$B$5:$B$1005="TRASIEGO")*(MOVIMIENTOS!$C$5:$C$1005="A")*(MOVIMIENTOS!$D$5:$D$1005="jabas")*(MOVIMIENTOS!$A$5:$A$1005&lt;&gt;"")*(MOVIMIENTOS!$A$5:$A$1005&lt;=$A954)*MOVIMIENTOS!$E$5:$E$1005)-SUMPRODUCT((MOVIMIENTOS!$B$5:$B$1005="REGALO")*(MOVIMIENTOS!$C$5:$C$1005="A")*(MOVIMIENTOS!$D$5:$D$1005="jabas")*(MOVIMIENTOS!$A$5:$A$1005&lt;&gt;"")*(MOVIMIENTOS!$A$5:$A$1005&lt;=$A954)*MOVIMIENTOS!$E$5:$E$1005)-SUMPRODUCT((MOVIMIENTOS!$B$5:$B$1005="VENTA")*(MOVIMIENTOS!$C$5:$C$1005="A")*(MOVIMIENTOS!$D$5:$D$1005="jabas")*(MOVIMIENTOS!$A$5:$A$1005&lt;&gt;"")*(MOVIMIENTOS!$A$5:$A$1005&lt;=$A954)*MOVIMIENTOS!$E$5:$E$1005)+SUMPRODUCT((MOVIMIENTOS!$B$5:$B$1005="AJUSTE")*(MOVIMIENTOS!$C$5:$C$1005="A")*(MOVIMIENTOS!$D$5:$D$1005="jabas")*(MOVIMIENTOS!$A$5:$A$1005&lt;&gt;"")*(MOVIMIENTOS!$A$5:$A$1005&lt;=$A954)*MOVIMIENTOS!$E$5:$E$1005))</f>
        <v/>
      </c>
      <c r="C954" t="str">
        <f>IF($A954="","",SUMPRODUCT((MOVIMIENTOS!$B$5:$B$1005="SALDO INICIAL")*(MOVIMIENTOS!$C$5:$C$1005="P")*(MOVIMIENTOS!$D$5:$D$1005="jabas")*(MOVIMIENTOS!$A$5:$A$1005&lt;&gt;"")*(MOVIMIENTOS!$A$5:$A$1005&lt;=$A954)*MOVIMIENTOS!$E$5:$E$1005)+SUMPRODUCT((MOVIMIENTOS!$B$5:$B$1005="PROCESO")*(MOVIMIENTOS!$C$5:$C$1005="P")*(MOVIMIENTOS!$D$5:$D$1005="jabas")*(MOVIMIENTOS!$A$5:$A$1005&lt;&gt;"")*(MOVIMIENTOS!$A$5:$A$1005&lt;=$A954)*MOVIMIENTOS!$E$5:$E$1005)-SUMPRODUCT((MOVIMIENTOS!$B$5:$B$1005="ENVÍO A SUPESA")*(MOVIMIENTOS!$C$5:$C$1005="P")*(MOVIMIENTOS!$D$5:$D$1005="jabas")*(MOVIMIENTOS!$A$5:$A$1005&lt;&gt;"")*(MOVIMIENTOS!$A$5:$A$1005&lt;=$A954)*MOVIMIENTOS!$E$5:$E$1005)+SUMPRODUCT((MOVIMIENTOS!$B$5:$B$1005="DEVOLUCIÓN")*(MOVIMIENTOS!$C$5:$C$1005="P")*(MOVIMIENTOS!$D$5:$D$1005="jabas")*(MOVIMIENTOS!$A$5:$A$1005&lt;&gt;"")*(MOVIMIENTOS!$A$5:$A$1005&lt;=$A954)*MOVIMIENTOS!$E$5:$E$1005)-SUMPRODUCT((MOVIMIENTOS!$B$5:$B$1005="TRASIEGO")*(MOVIMIENTOS!$C$5:$C$1005="P")*(MOVIMIENTOS!$D$5:$D$1005="jabas")*(MOVIMIENTOS!$A$5:$A$1005&lt;&gt;"")*(MOVIMIENTOS!$A$5:$A$1005&lt;=$A954)*MOVIMIENTOS!$E$5:$E$1005)-SUMPRODUCT((MOVIMIENTOS!$B$5:$B$1005="REGALO")*(MOVIMIENTOS!$C$5:$C$1005="P")*(MOVIMIENTOS!$D$5:$D$1005="jabas")*(MOVIMIENTOS!$A$5:$A$1005&lt;&gt;"")*(MOVIMIENTOS!$A$5:$A$1005&lt;=$A954)*MOVIMIENTOS!$E$5:$E$1005)-SUMPRODUCT((MOVIMIENTOS!$B$5:$B$1005="VENTA")*(MOVIMIENTOS!$C$5:$C$1005="P")*(MOVIMIENTOS!$D$5:$D$1005="jabas")*(MOVIMIENTOS!$A$5:$A$1005&lt;&gt;"")*(MOVIMIENTOS!$A$5:$A$1005&lt;=$A954)*MOVIMIENTOS!$E$5:$E$1005)+SUMPRODUCT((MOVIMIENTOS!$B$5:$B$1005="AJUSTE")*(MOVIMIENTOS!$C$5:$C$1005="P")*(MOVIMIENTOS!$D$5:$D$1005="jabas")*(MOVIMIENTOS!$A$5:$A$1005&lt;&gt;"")*(MOVIMIENTOS!$A$5:$A$1005&lt;=$A954)*MOVIMIENTOS!$E$5:$E$1005))</f>
        <v/>
      </c>
      <c r="D954" t="str">
        <f>IF($A954="","",SUMPRODUCT((MOVIMIENTOS!$B$5:$B$1005="SALDO INICIAL")*(MOVIMIENTOS!$C$5:$C$1005="C")*(MOVIMIENTOS!$D$5:$D$1005="jabas")*(MOVIMIENTOS!$A$5:$A$1005&lt;&gt;"")*(MOVIMIENTOS!$A$5:$A$1005&lt;=$A954)*MOVIMIENTOS!$E$5:$E$1005)+SUMPRODUCT((MOVIMIENTOS!$B$5:$B$1005="PROCESO")*(MOVIMIENTOS!$C$5:$C$1005="C")*(MOVIMIENTOS!$D$5:$D$1005="jabas")*(MOVIMIENTOS!$A$5:$A$1005&lt;&gt;"")*(MOVIMIENTOS!$A$5:$A$1005&lt;=$A954)*MOVIMIENTOS!$E$5:$E$1005)-SUMPRODUCT((MOVIMIENTOS!$B$5:$B$1005="ENVÍO A SUPESA")*(MOVIMIENTOS!$C$5:$C$1005="C")*(MOVIMIENTOS!$D$5:$D$1005="jabas")*(MOVIMIENTOS!$A$5:$A$1005&lt;&gt;"")*(MOVIMIENTOS!$A$5:$A$1005&lt;=$A954)*MOVIMIENTOS!$E$5:$E$1005)+SUMPRODUCT((MOVIMIENTOS!$B$5:$B$1005="DEVOLUCIÓN")*(MOVIMIENTOS!$C$5:$C$1005="C")*(MOVIMIENTOS!$D$5:$D$1005="jabas")*(MOVIMIENTOS!$A$5:$A$1005&lt;&gt;"")*(MOVIMIENTOS!$A$5:$A$1005&lt;=$A954)*MOVIMIENTOS!$E$5:$E$1005)-SUMPRODUCT((MOVIMIENTOS!$B$5:$B$1005="TRASIEGO")*(MOVIMIENTOS!$C$5:$C$1005="C")*(MOVIMIENTOS!$D$5:$D$1005="jabas")*(MOVIMIENTOS!$A$5:$A$1005&lt;&gt;"")*(MOVIMIENTOS!$A$5:$A$1005&lt;=$A954)*MOVIMIENTOS!$E$5:$E$1005)-SUMPRODUCT((MOVIMIENTOS!$B$5:$B$1005="REGALO")*(MOVIMIENTOS!$C$5:$C$1005="C")*(MOVIMIENTOS!$D$5:$D$1005="jabas")*(MOVIMIENTOS!$A$5:$A$1005&lt;&gt;"")*(MOVIMIENTOS!$A$5:$A$1005&lt;=$A954)*MOVIMIENTOS!$E$5:$E$1005)-SUMPRODUCT((MOVIMIENTOS!$B$5:$B$1005="VENTA")*(MOVIMIENTOS!$C$5:$C$1005="C")*(MOVIMIENTOS!$D$5:$D$1005="jabas")*(MOVIMIENTOS!$A$5:$A$1005&lt;&gt;"")*(MOVIMIENTOS!$A$5:$A$1005&lt;=$A954)*MOVIMIENTOS!$E$5:$E$1005)+SUMPRODUCT((MOVIMIENTOS!$B$5:$B$1005="AJUSTE")*(MOVIMIENTOS!$C$5:$C$1005="C")*(MOVIMIENTOS!$D$5:$D$1005="jabas")*(MOVIMIENTOS!$A$5:$A$1005&lt;&gt;"")*(MOVIMIENTOS!$A$5:$A$1005&lt;=$A954)*MOVIMIENTOS!$E$5:$E$1005))</f>
        <v/>
      </c>
      <c r="E954" t="str">
        <f>IF($A954="","",SUMPRODUCT((MOVIMIENTOS!$B$5:$B$1005="SALDO INICIAL")*(MOVIMIENTOS!$C$5:$C$1005="M")*(MOVIMIENTOS!$D$5:$D$1005="jabas")*(MOVIMIENTOS!$A$5:$A$1005&lt;&gt;"")*(MOVIMIENTOS!$A$5:$A$1005&lt;=$A954)*MOVIMIENTOS!$E$5:$E$1005)+SUMPRODUCT((MOVIMIENTOS!$B$5:$B$1005="PROCESO")*(MOVIMIENTOS!$C$5:$C$1005="M")*(MOVIMIENTOS!$D$5:$D$1005="jabas")*(MOVIMIENTOS!$A$5:$A$1005&lt;&gt;"")*(MOVIMIENTOS!$A$5:$A$1005&lt;=$A954)*MOVIMIENTOS!$E$5:$E$1005)-SUMPRODUCT((MOVIMIENTOS!$B$5:$B$1005="ENVÍO A SUPESA")*(MOVIMIENTOS!$C$5:$C$1005="M")*(MOVIMIENTOS!$D$5:$D$1005="jabas")*(MOVIMIENTOS!$A$5:$A$1005&lt;&gt;"")*(MOVIMIENTOS!$A$5:$A$1005&lt;=$A954)*MOVIMIENTOS!$E$5:$E$1005)+SUMPRODUCT((MOVIMIENTOS!$B$5:$B$1005="DEVOLUCIÓN")*(MOVIMIENTOS!$C$5:$C$1005="M")*(MOVIMIENTOS!$D$5:$D$1005="jabas")*(MOVIMIENTOS!$A$5:$A$1005&lt;&gt;"")*(MOVIMIENTOS!$A$5:$A$1005&lt;=$A954)*MOVIMIENTOS!$E$5:$E$1005)-SUMPRODUCT((MOVIMIENTOS!$B$5:$B$1005="TRASIEGO")*(MOVIMIENTOS!$C$5:$C$1005="M")*(MOVIMIENTOS!$D$5:$D$1005="jabas")*(MOVIMIENTOS!$A$5:$A$1005&lt;&gt;"")*(MOVIMIENTOS!$A$5:$A$1005&lt;=$A954)*MOVIMIENTOS!$E$5:$E$1005)-SUMPRODUCT((MOVIMIENTOS!$B$5:$B$1005="REGALO")*(MOVIMIENTOS!$C$5:$C$1005="M")*(MOVIMIENTOS!$D$5:$D$1005="jabas")*(MOVIMIENTOS!$A$5:$A$1005&lt;&gt;"")*(MOVIMIENTOS!$A$5:$A$1005&lt;=$A954)*MOVIMIENTOS!$E$5:$E$1005)-SUMPRODUCT((MOVIMIENTOS!$B$5:$B$1005="VENTA")*(MOVIMIENTOS!$C$5:$C$1005="M")*(MOVIMIENTOS!$D$5:$D$1005="jabas")*(MOVIMIENTOS!$A$5:$A$1005&lt;&gt;"")*(MOVIMIENTOS!$A$5:$A$1005&lt;=$A954)*MOVIMIENTOS!$E$5:$E$1005)+SUMPRODUCT((MOVIMIENTOS!$B$5:$B$1005="AJUSTE")*(MOVIMIENTOS!$C$5:$C$1005="M")*(MOVIMIENTOS!$D$5:$D$1005="jabas")*(MOVIMIENTOS!$A$5:$A$1005&lt;&gt;"")*(MOVIMIENTOS!$A$5:$A$1005&lt;=$A954)*MOVIMIENTOS!$E$5:$E$1005))</f>
        <v/>
      </c>
      <c r="F954" s="62" t="str">
        <f>IF($A954="","",SUMPRODUCT((MOVIMIENTOS!$B$5:$B$1005="SALDO INICIAL")*(MOVIMIENTOS!$C$5:$C$1005="Chancho")*(MOVIMIENTOS!$D$5:$D$1005="sacos")*(MOVIMIENTOS!$A$5:$A$1005&lt;&gt;"")*(MOVIMIENTOS!$A$5:$A$1005&lt;=$A954)*MOVIMIENTOS!$E$5:$E$1005)+SUMPRODUCT((MOVIMIENTOS!$B$5:$B$1005="PROCESO")*(MOVIMIENTOS!$C$5:$C$1005="Chancho")*(MOVIMIENTOS!$D$5:$D$1005="sacos")*(MOVIMIENTOS!$A$5:$A$1005&lt;&gt;"")*(MOVIMIENTOS!$A$5:$A$1005&lt;=$A954)*MOVIMIENTOS!$E$5:$E$1005)-SUMPRODUCT((MOVIMIENTOS!$B$5:$B$1005="VENTA CHANCHO")*(MOVIMIENTOS!$C$5:$C$1005="Chancho")*(MOVIMIENTOS!$D$5:$D$1005="sacos")*(MOVIMIENTOS!$A$5:$A$1005&lt;&gt;"")*(MOVIMIENTOS!$A$5:$A$1005&lt;=$A954)*MOVIMIENTOS!$E$5:$E$1005)-SUMPRODUCT((MOVIMIENTOS!$B$5:$B$1005="REGALO")*(MOVIMIENTOS!$C$5:$C$1005="Chancho")*(MOVIMIENTOS!$D$5:$D$1005="sacos")*(MOVIMIENTOS!$A$5:$A$1005&lt;&gt;"")*(MOVIMIENTOS!$A$5:$A$1005&lt;=$A954)*MOVIMIENTOS!$E$5:$E$1005)-SUMPRODUCT((MOVIMIENTOS!$B$5:$B$1005="VENTA")*(MOVIMIENTOS!$C$5:$C$1005="Chancho")*(MOVIMIENTOS!$D$5:$D$1005="sacos")*(MOVIMIENTOS!$A$5:$A$1005&lt;&gt;"")*(MOVIMIENTOS!$A$5:$A$1005&lt;=$A954)*MOVIMIENTOS!$E$5:$E$1005)+SUMPRODUCT((MOVIMIENTOS!$B$5:$B$1005="AJUSTE")*(MOVIMIENTOS!$C$5:$C$1005="Chancho")*(MOVIMIENTOS!$D$5:$D$1005="sacos")*(MOVIMIENTOS!$A$5:$A$1005&lt;&gt;"")*(MOVIMIENTOS!$A$5:$A$1005&lt;=$A954)*MOVIMIENTOS!$E$5:$E$1005))</f>
        <v/>
      </c>
      <c r="G954" s="62" t="str">
        <f t="shared" si="29"/>
        <v/>
      </c>
      <c r="H954" t="str">
        <f>IF($A954="","",SUMPRODUCT((((MOVIMIENTOS!$B$5:$B$1005="SALDO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954)*MOVIMIENTOS!$J$5:$J$1005))</f>
        <v/>
      </c>
      <c r="J954" t="str">
        <f>IF(AND(MOVIMIENTOS!$A959&lt;&gt;"",COUNTIF(MOVIMIENTOS!$A$5:$A958,MOVIMIENTOS!$A959)=0),COUNT(J$4:J953)+1,"")</f>
        <v/>
      </c>
      <c r="K954">
        <f>MOVIMIENTOS!$A959</f>
        <v>0</v>
      </c>
    </row>
    <row r="955" spans="1:11" ht="15" customHeight="1" x14ac:dyDescent="0.2">
      <c r="A955" t="str">
        <f t="shared" si="28"/>
        <v/>
      </c>
      <c r="B955" t="str">
        <f>IF($A955="","",SUMPRODUCT((MOVIMIENTOS!$B$5:$B$1005="SALDO INICIAL")*(MOVIMIENTOS!$C$5:$C$1005="A")*(MOVIMIENTOS!$D$5:$D$1005="jabas")*(MOVIMIENTOS!$A$5:$A$1005&lt;&gt;"")*(MOVIMIENTOS!$A$5:$A$1005&lt;=$A955)*MOVIMIENTOS!$E$5:$E$1005)+SUMPRODUCT((MOVIMIENTOS!$B$5:$B$1005="PROCESO")*(MOVIMIENTOS!$C$5:$C$1005="A")*(MOVIMIENTOS!$D$5:$D$1005="jabas")*(MOVIMIENTOS!$A$5:$A$1005&lt;&gt;"")*(MOVIMIENTOS!$A$5:$A$1005&lt;=$A955)*MOVIMIENTOS!$E$5:$E$1005)-SUMPRODUCT((MOVIMIENTOS!$B$5:$B$1005="ENVÍO A SUPESA")*(MOVIMIENTOS!$C$5:$C$1005="A")*(MOVIMIENTOS!$D$5:$D$1005="jabas")*(MOVIMIENTOS!$A$5:$A$1005&lt;&gt;"")*(MOVIMIENTOS!$A$5:$A$1005&lt;=$A955)*MOVIMIENTOS!$E$5:$E$1005)+SUMPRODUCT((MOVIMIENTOS!$B$5:$B$1005="DEVOLUCIÓN")*(MOVIMIENTOS!$C$5:$C$1005="A")*(MOVIMIENTOS!$D$5:$D$1005="jabas")*(MOVIMIENTOS!$A$5:$A$1005&lt;&gt;"")*(MOVIMIENTOS!$A$5:$A$1005&lt;=$A955)*MOVIMIENTOS!$E$5:$E$1005)-SUMPRODUCT((MOVIMIENTOS!$B$5:$B$1005="TRASIEGO")*(MOVIMIENTOS!$C$5:$C$1005="A")*(MOVIMIENTOS!$D$5:$D$1005="jabas")*(MOVIMIENTOS!$A$5:$A$1005&lt;&gt;"")*(MOVIMIENTOS!$A$5:$A$1005&lt;=$A955)*MOVIMIENTOS!$E$5:$E$1005)-SUMPRODUCT((MOVIMIENTOS!$B$5:$B$1005="REGALO")*(MOVIMIENTOS!$C$5:$C$1005="A")*(MOVIMIENTOS!$D$5:$D$1005="jabas")*(MOVIMIENTOS!$A$5:$A$1005&lt;&gt;"")*(MOVIMIENTOS!$A$5:$A$1005&lt;=$A955)*MOVIMIENTOS!$E$5:$E$1005)-SUMPRODUCT((MOVIMIENTOS!$B$5:$B$1005="VENTA")*(MOVIMIENTOS!$C$5:$C$1005="A")*(MOVIMIENTOS!$D$5:$D$1005="jabas")*(MOVIMIENTOS!$A$5:$A$1005&lt;&gt;"")*(MOVIMIENTOS!$A$5:$A$1005&lt;=$A955)*MOVIMIENTOS!$E$5:$E$1005)+SUMPRODUCT((MOVIMIENTOS!$B$5:$B$1005="AJUSTE")*(MOVIMIENTOS!$C$5:$C$1005="A")*(MOVIMIENTOS!$D$5:$D$1005="jabas")*(MOVIMIENTOS!$A$5:$A$1005&lt;&gt;"")*(MOVIMIENTOS!$A$5:$A$1005&lt;=$A955)*MOVIMIENTOS!$E$5:$E$1005))</f>
        <v/>
      </c>
      <c r="C955" t="str">
        <f>IF($A955="","",SUMPRODUCT((MOVIMIENTOS!$B$5:$B$1005="SALDO INICIAL")*(MOVIMIENTOS!$C$5:$C$1005="P")*(MOVIMIENTOS!$D$5:$D$1005="jabas")*(MOVIMIENTOS!$A$5:$A$1005&lt;&gt;"")*(MOVIMIENTOS!$A$5:$A$1005&lt;=$A955)*MOVIMIENTOS!$E$5:$E$1005)+SUMPRODUCT((MOVIMIENTOS!$B$5:$B$1005="PROCESO")*(MOVIMIENTOS!$C$5:$C$1005="P")*(MOVIMIENTOS!$D$5:$D$1005="jabas")*(MOVIMIENTOS!$A$5:$A$1005&lt;&gt;"")*(MOVIMIENTOS!$A$5:$A$1005&lt;=$A955)*MOVIMIENTOS!$E$5:$E$1005)-SUMPRODUCT((MOVIMIENTOS!$B$5:$B$1005="ENVÍO A SUPESA")*(MOVIMIENTOS!$C$5:$C$1005="P")*(MOVIMIENTOS!$D$5:$D$1005="jabas")*(MOVIMIENTOS!$A$5:$A$1005&lt;&gt;"")*(MOVIMIENTOS!$A$5:$A$1005&lt;=$A955)*MOVIMIENTOS!$E$5:$E$1005)+SUMPRODUCT((MOVIMIENTOS!$B$5:$B$1005="DEVOLUCIÓN")*(MOVIMIENTOS!$C$5:$C$1005="P")*(MOVIMIENTOS!$D$5:$D$1005="jabas")*(MOVIMIENTOS!$A$5:$A$1005&lt;&gt;"")*(MOVIMIENTOS!$A$5:$A$1005&lt;=$A955)*MOVIMIENTOS!$E$5:$E$1005)-SUMPRODUCT((MOVIMIENTOS!$B$5:$B$1005="TRASIEGO")*(MOVIMIENTOS!$C$5:$C$1005="P")*(MOVIMIENTOS!$D$5:$D$1005="jabas")*(MOVIMIENTOS!$A$5:$A$1005&lt;&gt;"")*(MOVIMIENTOS!$A$5:$A$1005&lt;=$A955)*MOVIMIENTOS!$E$5:$E$1005)-SUMPRODUCT((MOVIMIENTOS!$B$5:$B$1005="REGALO")*(MOVIMIENTOS!$C$5:$C$1005="P")*(MOVIMIENTOS!$D$5:$D$1005="jabas")*(MOVIMIENTOS!$A$5:$A$1005&lt;&gt;"")*(MOVIMIENTOS!$A$5:$A$1005&lt;=$A955)*MOVIMIENTOS!$E$5:$E$1005)-SUMPRODUCT((MOVIMIENTOS!$B$5:$B$1005="VENTA")*(MOVIMIENTOS!$C$5:$C$1005="P")*(MOVIMIENTOS!$D$5:$D$1005="jabas")*(MOVIMIENTOS!$A$5:$A$1005&lt;&gt;"")*(MOVIMIENTOS!$A$5:$A$1005&lt;=$A955)*MOVIMIENTOS!$E$5:$E$1005)+SUMPRODUCT((MOVIMIENTOS!$B$5:$B$1005="AJUSTE")*(MOVIMIENTOS!$C$5:$C$1005="P")*(MOVIMIENTOS!$D$5:$D$1005="jabas")*(MOVIMIENTOS!$A$5:$A$1005&lt;&gt;"")*(MOVIMIENTOS!$A$5:$A$1005&lt;=$A955)*MOVIMIENTOS!$E$5:$E$1005))</f>
        <v/>
      </c>
      <c r="D955" t="str">
        <f>IF($A955="","",SUMPRODUCT((MOVIMIENTOS!$B$5:$B$1005="SALDO INICIAL")*(MOVIMIENTOS!$C$5:$C$1005="C")*(MOVIMIENTOS!$D$5:$D$1005="jabas")*(MOVIMIENTOS!$A$5:$A$1005&lt;&gt;"")*(MOVIMIENTOS!$A$5:$A$1005&lt;=$A955)*MOVIMIENTOS!$E$5:$E$1005)+SUMPRODUCT((MOVIMIENTOS!$B$5:$B$1005="PROCESO")*(MOVIMIENTOS!$C$5:$C$1005="C")*(MOVIMIENTOS!$D$5:$D$1005="jabas")*(MOVIMIENTOS!$A$5:$A$1005&lt;&gt;"")*(MOVIMIENTOS!$A$5:$A$1005&lt;=$A955)*MOVIMIENTOS!$E$5:$E$1005)-SUMPRODUCT((MOVIMIENTOS!$B$5:$B$1005="ENVÍO A SUPESA")*(MOVIMIENTOS!$C$5:$C$1005="C")*(MOVIMIENTOS!$D$5:$D$1005="jabas")*(MOVIMIENTOS!$A$5:$A$1005&lt;&gt;"")*(MOVIMIENTOS!$A$5:$A$1005&lt;=$A955)*MOVIMIENTOS!$E$5:$E$1005)+SUMPRODUCT((MOVIMIENTOS!$B$5:$B$1005="DEVOLUCIÓN")*(MOVIMIENTOS!$C$5:$C$1005="C")*(MOVIMIENTOS!$D$5:$D$1005="jabas")*(MOVIMIENTOS!$A$5:$A$1005&lt;&gt;"")*(MOVIMIENTOS!$A$5:$A$1005&lt;=$A955)*MOVIMIENTOS!$E$5:$E$1005)-SUMPRODUCT((MOVIMIENTOS!$B$5:$B$1005="TRASIEGO")*(MOVIMIENTOS!$C$5:$C$1005="C")*(MOVIMIENTOS!$D$5:$D$1005="jabas")*(MOVIMIENTOS!$A$5:$A$1005&lt;&gt;"")*(MOVIMIENTOS!$A$5:$A$1005&lt;=$A955)*MOVIMIENTOS!$E$5:$E$1005)-SUMPRODUCT((MOVIMIENTOS!$B$5:$B$1005="REGALO")*(MOVIMIENTOS!$C$5:$C$1005="C")*(MOVIMIENTOS!$D$5:$D$1005="jabas")*(MOVIMIENTOS!$A$5:$A$1005&lt;&gt;"")*(MOVIMIENTOS!$A$5:$A$1005&lt;=$A955)*MOVIMIENTOS!$E$5:$E$1005)-SUMPRODUCT((MOVIMIENTOS!$B$5:$B$1005="VENTA")*(MOVIMIENTOS!$C$5:$C$1005="C")*(MOVIMIENTOS!$D$5:$D$1005="jabas")*(MOVIMIENTOS!$A$5:$A$1005&lt;&gt;"")*(MOVIMIENTOS!$A$5:$A$1005&lt;=$A955)*MOVIMIENTOS!$E$5:$E$1005)+SUMPRODUCT((MOVIMIENTOS!$B$5:$B$1005="AJUSTE")*(MOVIMIENTOS!$C$5:$C$1005="C")*(MOVIMIENTOS!$D$5:$D$1005="jabas")*(MOVIMIENTOS!$A$5:$A$1005&lt;&gt;"")*(MOVIMIENTOS!$A$5:$A$1005&lt;=$A955)*MOVIMIENTOS!$E$5:$E$1005))</f>
        <v/>
      </c>
      <c r="E955" t="str">
        <f>IF($A955="","",SUMPRODUCT((MOVIMIENTOS!$B$5:$B$1005="SALDO INICIAL")*(MOVIMIENTOS!$C$5:$C$1005="M")*(MOVIMIENTOS!$D$5:$D$1005="jabas")*(MOVIMIENTOS!$A$5:$A$1005&lt;&gt;"")*(MOVIMIENTOS!$A$5:$A$1005&lt;=$A955)*MOVIMIENTOS!$E$5:$E$1005)+SUMPRODUCT((MOVIMIENTOS!$B$5:$B$1005="PROCESO")*(MOVIMIENTOS!$C$5:$C$1005="M")*(MOVIMIENTOS!$D$5:$D$1005="jabas")*(MOVIMIENTOS!$A$5:$A$1005&lt;&gt;"")*(MOVIMIENTOS!$A$5:$A$1005&lt;=$A955)*MOVIMIENTOS!$E$5:$E$1005)-SUMPRODUCT((MOVIMIENTOS!$B$5:$B$1005="ENVÍO A SUPESA")*(MOVIMIENTOS!$C$5:$C$1005="M")*(MOVIMIENTOS!$D$5:$D$1005="jabas")*(MOVIMIENTOS!$A$5:$A$1005&lt;&gt;"")*(MOVIMIENTOS!$A$5:$A$1005&lt;=$A955)*MOVIMIENTOS!$E$5:$E$1005)+SUMPRODUCT((MOVIMIENTOS!$B$5:$B$1005="DEVOLUCIÓN")*(MOVIMIENTOS!$C$5:$C$1005="M")*(MOVIMIENTOS!$D$5:$D$1005="jabas")*(MOVIMIENTOS!$A$5:$A$1005&lt;&gt;"")*(MOVIMIENTOS!$A$5:$A$1005&lt;=$A955)*MOVIMIENTOS!$E$5:$E$1005)-SUMPRODUCT((MOVIMIENTOS!$B$5:$B$1005="TRASIEGO")*(MOVIMIENTOS!$C$5:$C$1005="M")*(MOVIMIENTOS!$D$5:$D$1005="jabas")*(MOVIMIENTOS!$A$5:$A$1005&lt;&gt;"")*(MOVIMIENTOS!$A$5:$A$1005&lt;=$A955)*MOVIMIENTOS!$E$5:$E$1005)-SUMPRODUCT((MOVIMIENTOS!$B$5:$B$1005="REGALO")*(MOVIMIENTOS!$C$5:$C$1005="M")*(MOVIMIENTOS!$D$5:$D$1005="jabas")*(MOVIMIENTOS!$A$5:$A$1005&lt;&gt;"")*(MOVIMIENTOS!$A$5:$A$1005&lt;=$A955)*MOVIMIENTOS!$E$5:$E$1005)-SUMPRODUCT((MOVIMIENTOS!$B$5:$B$1005="VENTA")*(MOVIMIENTOS!$C$5:$C$1005="M")*(MOVIMIENTOS!$D$5:$D$1005="jabas")*(MOVIMIENTOS!$A$5:$A$1005&lt;&gt;"")*(MOVIMIENTOS!$A$5:$A$1005&lt;=$A955)*MOVIMIENTOS!$E$5:$E$1005)+SUMPRODUCT((MOVIMIENTOS!$B$5:$B$1005="AJUSTE")*(MOVIMIENTOS!$C$5:$C$1005="M")*(MOVIMIENTOS!$D$5:$D$1005="jabas")*(MOVIMIENTOS!$A$5:$A$1005&lt;&gt;"")*(MOVIMIENTOS!$A$5:$A$1005&lt;=$A955)*MOVIMIENTOS!$E$5:$E$1005))</f>
        <v/>
      </c>
      <c r="F955" s="62" t="str">
        <f>IF($A955="","",SUMPRODUCT((MOVIMIENTOS!$B$5:$B$1005="SALDO INICIAL")*(MOVIMIENTOS!$C$5:$C$1005="Chancho")*(MOVIMIENTOS!$D$5:$D$1005="sacos")*(MOVIMIENTOS!$A$5:$A$1005&lt;&gt;"")*(MOVIMIENTOS!$A$5:$A$1005&lt;=$A955)*MOVIMIENTOS!$E$5:$E$1005)+SUMPRODUCT((MOVIMIENTOS!$B$5:$B$1005="PROCESO")*(MOVIMIENTOS!$C$5:$C$1005="Chancho")*(MOVIMIENTOS!$D$5:$D$1005="sacos")*(MOVIMIENTOS!$A$5:$A$1005&lt;&gt;"")*(MOVIMIENTOS!$A$5:$A$1005&lt;=$A955)*MOVIMIENTOS!$E$5:$E$1005)-SUMPRODUCT((MOVIMIENTOS!$B$5:$B$1005="VENTA CHANCHO")*(MOVIMIENTOS!$C$5:$C$1005="Chancho")*(MOVIMIENTOS!$D$5:$D$1005="sacos")*(MOVIMIENTOS!$A$5:$A$1005&lt;&gt;"")*(MOVIMIENTOS!$A$5:$A$1005&lt;=$A955)*MOVIMIENTOS!$E$5:$E$1005)-SUMPRODUCT((MOVIMIENTOS!$B$5:$B$1005="REGALO")*(MOVIMIENTOS!$C$5:$C$1005="Chancho")*(MOVIMIENTOS!$D$5:$D$1005="sacos")*(MOVIMIENTOS!$A$5:$A$1005&lt;&gt;"")*(MOVIMIENTOS!$A$5:$A$1005&lt;=$A955)*MOVIMIENTOS!$E$5:$E$1005)-SUMPRODUCT((MOVIMIENTOS!$B$5:$B$1005="VENTA")*(MOVIMIENTOS!$C$5:$C$1005="Chancho")*(MOVIMIENTOS!$D$5:$D$1005="sacos")*(MOVIMIENTOS!$A$5:$A$1005&lt;&gt;"")*(MOVIMIENTOS!$A$5:$A$1005&lt;=$A955)*MOVIMIENTOS!$E$5:$E$1005)+SUMPRODUCT((MOVIMIENTOS!$B$5:$B$1005="AJUSTE")*(MOVIMIENTOS!$C$5:$C$1005="Chancho")*(MOVIMIENTOS!$D$5:$D$1005="sacos")*(MOVIMIENTOS!$A$5:$A$1005&lt;&gt;"")*(MOVIMIENTOS!$A$5:$A$1005&lt;=$A955)*MOVIMIENTOS!$E$5:$E$1005))</f>
        <v/>
      </c>
      <c r="G955" s="62" t="str">
        <f t="shared" si="29"/>
        <v/>
      </c>
      <c r="H955" t="str">
        <f>IF($A955="","",SUMPRODUCT((((MOVIMIENTOS!$B$5:$B$1005="SALDO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955)*MOVIMIENTOS!$J$5:$J$1005))</f>
        <v/>
      </c>
      <c r="J955" t="str">
        <f>IF(AND(MOVIMIENTOS!$A960&lt;&gt;"",COUNTIF(MOVIMIENTOS!$A$5:$A959,MOVIMIENTOS!$A960)=0),COUNT(J$4:J954)+1,"")</f>
        <v/>
      </c>
      <c r="K955">
        <f>MOVIMIENTOS!$A960</f>
        <v>0</v>
      </c>
    </row>
    <row r="956" spans="1:11" ht="15" customHeight="1" x14ac:dyDescent="0.2">
      <c r="A956" t="str">
        <f t="shared" si="28"/>
        <v/>
      </c>
      <c r="B956" t="str">
        <f>IF($A956="","",SUMPRODUCT((MOVIMIENTOS!$B$5:$B$1005="SALDO INICIAL")*(MOVIMIENTOS!$C$5:$C$1005="A")*(MOVIMIENTOS!$D$5:$D$1005="jabas")*(MOVIMIENTOS!$A$5:$A$1005&lt;&gt;"")*(MOVIMIENTOS!$A$5:$A$1005&lt;=$A956)*MOVIMIENTOS!$E$5:$E$1005)+SUMPRODUCT((MOVIMIENTOS!$B$5:$B$1005="PROCESO")*(MOVIMIENTOS!$C$5:$C$1005="A")*(MOVIMIENTOS!$D$5:$D$1005="jabas")*(MOVIMIENTOS!$A$5:$A$1005&lt;&gt;"")*(MOVIMIENTOS!$A$5:$A$1005&lt;=$A956)*MOVIMIENTOS!$E$5:$E$1005)-SUMPRODUCT((MOVIMIENTOS!$B$5:$B$1005="ENVÍO A SUPESA")*(MOVIMIENTOS!$C$5:$C$1005="A")*(MOVIMIENTOS!$D$5:$D$1005="jabas")*(MOVIMIENTOS!$A$5:$A$1005&lt;&gt;"")*(MOVIMIENTOS!$A$5:$A$1005&lt;=$A956)*MOVIMIENTOS!$E$5:$E$1005)+SUMPRODUCT((MOVIMIENTOS!$B$5:$B$1005="DEVOLUCIÓN")*(MOVIMIENTOS!$C$5:$C$1005="A")*(MOVIMIENTOS!$D$5:$D$1005="jabas")*(MOVIMIENTOS!$A$5:$A$1005&lt;&gt;"")*(MOVIMIENTOS!$A$5:$A$1005&lt;=$A956)*MOVIMIENTOS!$E$5:$E$1005)-SUMPRODUCT((MOVIMIENTOS!$B$5:$B$1005="TRASIEGO")*(MOVIMIENTOS!$C$5:$C$1005="A")*(MOVIMIENTOS!$D$5:$D$1005="jabas")*(MOVIMIENTOS!$A$5:$A$1005&lt;&gt;"")*(MOVIMIENTOS!$A$5:$A$1005&lt;=$A956)*MOVIMIENTOS!$E$5:$E$1005)-SUMPRODUCT((MOVIMIENTOS!$B$5:$B$1005="REGALO")*(MOVIMIENTOS!$C$5:$C$1005="A")*(MOVIMIENTOS!$D$5:$D$1005="jabas")*(MOVIMIENTOS!$A$5:$A$1005&lt;&gt;"")*(MOVIMIENTOS!$A$5:$A$1005&lt;=$A956)*MOVIMIENTOS!$E$5:$E$1005)-SUMPRODUCT((MOVIMIENTOS!$B$5:$B$1005="VENTA")*(MOVIMIENTOS!$C$5:$C$1005="A")*(MOVIMIENTOS!$D$5:$D$1005="jabas")*(MOVIMIENTOS!$A$5:$A$1005&lt;&gt;"")*(MOVIMIENTOS!$A$5:$A$1005&lt;=$A956)*MOVIMIENTOS!$E$5:$E$1005)+SUMPRODUCT((MOVIMIENTOS!$B$5:$B$1005="AJUSTE")*(MOVIMIENTOS!$C$5:$C$1005="A")*(MOVIMIENTOS!$D$5:$D$1005="jabas")*(MOVIMIENTOS!$A$5:$A$1005&lt;&gt;"")*(MOVIMIENTOS!$A$5:$A$1005&lt;=$A956)*MOVIMIENTOS!$E$5:$E$1005))</f>
        <v/>
      </c>
      <c r="C956" t="str">
        <f>IF($A956="","",SUMPRODUCT((MOVIMIENTOS!$B$5:$B$1005="SALDO INICIAL")*(MOVIMIENTOS!$C$5:$C$1005="P")*(MOVIMIENTOS!$D$5:$D$1005="jabas")*(MOVIMIENTOS!$A$5:$A$1005&lt;&gt;"")*(MOVIMIENTOS!$A$5:$A$1005&lt;=$A956)*MOVIMIENTOS!$E$5:$E$1005)+SUMPRODUCT((MOVIMIENTOS!$B$5:$B$1005="PROCESO")*(MOVIMIENTOS!$C$5:$C$1005="P")*(MOVIMIENTOS!$D$5:$D$1005="jabas")*(MOVIMIENTOS!$A$5:$A$1005&lt;&gt;"")*(MOVIMIENTOS!$A$5:$A$1005&lt;=$A956)*MOVIMIENTOS!$E$5:$E$1005)-SUMPRODUCT((MOVIMIENTOS!$B$5:$B$1005="ENVÍO A SUPESA")*(MOVIMIENTOS!$C$5:$C$1005="P")*(MOVIMIENTOS!$D$5:$D$1005="jabas")*(MOVIMIENTOS!$A$5:$A$1005&lt;&gt;"")*(MOVIMIENTOS!$A$5:$A$1005&lt;=$A956)*MOVIMIENTOS!$E$5:$E$1005)+SUMPRODUCT((MOVIMIENTOS!$B$5:$B$1005="DEVOLUCIÓN")*(MOVIMIENTOS!$C$5:$C$1005="P")*(MOVIMIENTOS!$D$5:$D$1005="jabas")*(MOVIMIENTOS!$A$5:$A$1005&lt;&gt;"")*(MOVIMIENTOS!$A$5:$A$1005&lt;=$A956)*MOVIMIENTOS!$E$5:$E$1005)-SUMPRODUCT((MOVIMIENTOS!$B$5:$B$1005="TRASIEGO")*(MOVIMIENTOS!$C$5:$C$1005="P")*(MOVIMIENTOS!$D$5:$D$1005="jabas")*(MOVIMIENTOS!$A$5:$A$1005&lt;&gt;"")*(MOVIMIENTOS!$A$5:$A$1005&lt;=$A956)*MOVIMIENTOS!$E$5:$E$1005)-SUMPRODUCT((MOVIMIENTOS!$B$5:$B$1005="REGALO")*(MOVIMIENTOS!$C$5:$C$1005="P")*(MOVIMIENTOS!$D$5:$D$1005="jabas")*(MOVIMIENTOS!$A$5:$A$1005&lt;&gt;"")*(MOVIMIENTOS!$A$5:$A$1005&lt;=$A956)*MOVIMIENTOS!$E$5:$E$1005)-SUMPRODUCT((MOVIMIENTOS!$B$5:$B$1005="VENTA")*(MOVIMIENTOS!$C$5:$C$1005="P")*(MOVIMIENTOS!$D$5:$D$1005="jabas")*(MOVIMIENTOS!$A$5:$A$1005&lt;&gt;"")*(MOVIMIENTOS!$A$5:$A$1005&lt;=$A956)*MOVIMIENTOS!$E$5:$E$1005)+SUMPRODUCT((MOVIMIENTOS!$B$5:$B$1005="AJUSTE")*(MOVIMIENTOS!$C$5:$C$1005="P")*(MOVIMIENTOS!$D$5:$D$1005="jabas")*(MOVIMIENTOS!$A$5:$A$1005&lt;&gt;"")*(MOVIMIENTOS!$A$5:$A$1005&lt;=$A956)*MOVIMIENTOS!$E$5:$E$1005))</f>
        <v/>
      </c>
      <c r="D956" t="str">
        <f>IF($A956="","",SUMPRODUCT((MOVIMIENTOS!$B$5:$B$1005="SALDO INICIAL")*(MOVIMIENTOS!$C$5:$C$1005="C")*(MOVIMIENTOS!$D$5:$D$1005="jabas")*(MOVIMIENTOS!$A$5:$A$1005&lt;&gt;"")*(MOVIMIENTOS!$A$5:$A$1005&lt;=$A956)*MOVIMIENTOS!$E$5:$E$1005)+SUMPRODUCT((MOVIMIENTOS!$B$5:$B$1005="PROCESO")*(MOVIMIENTOS!$C$5:$C$1005="C")*(MOVIMIENTOS!$D$5:$D$1005="jabas")*(MOVIMIENTOS!$A$5:$A$1005&lt;&gt;"")*(MOVIMIENTOS!$A$5:$A$1005&lt;=$A956)*MOVIMIENTOS!$E$5:$E$1005)-SUMPRODUCT((MOVIMIENTOS!$B$5:$B$1005="ENVÍO A SUPESA")*(MOVIMIENTOS!$C$5:$C$1005="C")*(MOVIMIENTOS!$D$5:$D$1005="jabas")*(MOVIMIENTOS!$A$5:$A$1005&lt;&gt;"")*(MOVIMIENTOS!$A$5:$A$1005&lt;=$A956)*MOVIMIENTOS!$E$5:$E$1005)+SUMPRODUCT((MOVIMIENTOS!$B$5:$B$1005="DEVOLUCIÓN")*(MOVIMIENTOS!$C$5:$C$1005="C")*(MOVIMIENTOS!$D$5:$D$1005="jabas")*(MOVIMIENTOS!$A$5:$A$1005&lt;&gt;"")*(MOVIMIENTOS!$A$5:$A$1005&lt;=$A956)*MOVIMIENTOS!$E$5:$E$1005)-SUMPRODUCT((MOVIMIENTOS!$B$5:$B$1005="TRASIEGO")*(MOVIMIENTOS!$C$5:$C$1005="C")*(MOVIMIENTOS!$D$5:$D$1005="jabas")*(MOVIMIENTOS!$A$5:$A$1005&lt;&gt;"")*(MOVIMIENTOS!$A$5:$A$1005&lt;=$A956)*MOVIMIENTOS!$E$5:$E$1005)-SUMPRODUCT((MOVIMIENTOS!$B$5:$B$1005="REGALO")*(MOVIMIENTOS!$C$5:$C$1005="C")*(MOVIMIENTOS!$D$5:$D$1005="jabas")*(MOVIMIENTOS!$A$5:$A$1005&lt;&gt;"")*(MOVIMIENTOS!$A$5:$A$1005&lt;=$A956)*MOVIMIENTOS!$E$5:$E$1005)-SUMPRODUCT((MOVIMIENTOS!$B$5:$B$1005="VENTA")*(MOVIMIENTOS!$C$5:$C$1005="C")*(MOVIMIENTOS!$D$5:$D$1005="jabas")*(MOVIMIENTOS!$A$5:$A$1005&lt;&gt;"")*(MOVIMIENTOS!$A$5:$A$1005&lt;=$A956)*MOVIMIENTOS!$E$5:$E$1005)+SUMPRODUCT((MOVIMIENTOS!$B$5:$B$1005="AJUSTE")*(MOVIMIENTOS!$C$5:$C$1005="C")*(MOVIMIENTOS!$D$5:$D$1005="jabas")*(MOVIMIENTOS!$A$5:$A$1005&lt;&gt;"")*(MOVIMIENTOS!$A$5:$A$1005&lt;=$A956)*MOVIMIENTOS!$E$5:$E$1005))</f>
        <v/>
      </c>
      <c r="E956" t="str">
        <f>IF($A956="","",SUMPRODUCT((MOVIMIENTOS!$B$5:$B$1005="SALDO INICIAL")*(MOVIMIENTOS!$C$5:$C$1005="M")*(MOVIMIENTOS!$D$5:$D$1005="jabas")*(MOVIMIENTOS!$A$5:$A$1005&lt;&gt;"")*(MOVIMIENTOS!$A$5:$A$1005&lt;=$A956)*MOVIMIENTOS!$E$5:$E$1005)+SUMPRODUCT((MOVIMIENTOS!$B$5:$B$1005="PROCESO")*(MOVIMIENTOS!$C$5:$C$1005="M")*(MOVIMIENTOS!$D$5:$D$1005="jabas")*(MOVIMIENTOS!$A$5:$A$1005&lt;&gt;"")*(MOVIMIENTOS!$A$5:$A$1005&lt;=$A956)*MOVIMIENTOS!$E$5:$E$1005)-SUMPRODUCT((MOVIMIENTOS!$B$5:$B$1005="ENVÍO A SUPESA")*(MOVIMIENTOS!$C$5:$C$1005="M")*(MOVIMIENTOS!$D$5:$D$1005="jabas")*(MOVIMIENTOS!$A$5:$A$1005&lt;&gt;"")*(MOVIMIENTOS!$A$5:$A$1005&lt;=$A956)*MOVIMIENTOS!$E$5:$E$1005)+SUMPRODUCT((MOVIMIENTOS!$B$5:$B$1005="DEVOLUCIÓN")*(MOVIMIENTOS!$C$5:$C$1005="M")*(MOVIMIENTOS!$D$5:$D$1005="jabas")*(MOVIMIENTOS!$A$5:$A$1005&lt;&gt;"")*(MOVIMIENTOS!$A$5:$A$1005&lt;=$A956)*MOVIMIENTOS!$E$5:$E$1005)-SUMPRODUCT((MOVIMIENTOS!$B$5:$B$1005="TRASIEGO")*(MOVIMIENTOS!$C$5:$C$1005="M")*(MOVIMIENTOS!$D$5:$D$1005="jabas")*(MOVIMIENTOS!$A$5:$A$1005&lt;&gt;"")*(MOVIMIENTOS!$A$5:$A$1005&lt;=$A956)*MOVIMIENTOS!$E$5:$E$1005)-SUMPRODUCT((MOVIMIENTOS!$B$5:$B$1005="REGALO")*(MOVIMIENTOS!$C$5:$C$1005="M")*(MOVIMIENTOS!$D$5:$D$1005="jabas")*(MOVIMIENTOS!$A$5:$A$1005&lt;&gt;"")*(MOVIMIENTOS!$A$5:$A$1005&lt;=$A956)*MOVIMIENTOS!$E$5:$E$1005)-SUMPRODUCT((MOVIMIENTOS!$B$5:$B$1005="VENTA")*(MOVIMIENTOS!$C$5:$C$1005="M")*(MOVIMIENTOS!$D$5:$D$1005="jabas")*(MOVIMIENTOS!$A$5:$A$1005&lt;&gt;"")*(MOVIMIENTOS!$A$5:$A$1005&lt;=$A956)*MOVIMIENTOS!$E$5:$E$1005)+SUMPRODUCT((MOVIMIENTOS!$B$5:$B$1005="AJUSTE")*(MOVIMIENTOS!$C$5:$C$1005="M")*(MOVIMIENTOS!$D$5:$D$1005="jabas")*(MOVIMIENTOS!$A$5:$A$1005&lt;&gt;"")*(MOVIMIENTOS!$A$5:$A$1005&lt;=$A956)*MOVIMIENTOS!$E$5:$E$1005))</f>
        <v/>
      </c>
      <c r="F956" s="62" t="str">
        <f>IF($A956="","",SUMPRODUCT((MOVIMIENTOS!$B$5:$B$1005="SALDO INICIAL")*(MOVIMIENTOS!$C$5:$C$1005="Chancho")*(MOVIMIENTOS!$D$5:$D$1005="sacos")*(MOVIMIENTOS!$A$5:$A$1005&lt;&gt;"")*(MOVIMIENTOS!$A$5:$A$1005&lt;=$A956)*MOVIMIENTOS!$E$5:$E$1005)+SUMPRODUCT((MOVIMIENTOS!$B$5:$B$1005="PROCESO")*(MOVIMIENTOS!$C$5:$C$1005="Chancho")*(MOVIMIENTOS!$D$5:$D$1005="sacos")*(MOVIMIENTOS!$A$5:$A$1005&lt;&gt;"")*(MOVIMIENTOS!$A$5:$A$1005&lt;=$A956)*MOVIMIENTOS!$E$5:$E$1005)-SUMPRODUCT((MOVIMIENTOS!$B$5:$B$1005="VENTA CHANCHO")*(MOVIMIENTOS!$C$5:$C$1005="Chancho")*(MOVIMIENTOS!$D$5:$D$1005="sacos")*(MOVIMIENTOS!$A$5:$A$1005&lt;&gt;"")*(MOVIMIENTOS!$A$5:$A$1005&lt;=$A956)*MOVIMIENTOS!$E$5:$E$1005)-SUMPRODUCT((MOVIMIENTOS!$B$5:$B$1005="REGALO")*(MOVIMIENTOS!$C$5:$C$1005="Chancho")*(MOVIMIENTOS!$D$5:$D$1005="sacos")*(MOVIMIENTOS!$A$5:$A$1005&lt;&gt;"")*(MOVIMIENTOS!$A$5:$A$1005&lt;=$A956)*MOVIMIENTOS!$E$5:$E$1005)-SUMPRODUCT((MOVIMIENTOS!$B$5:$B$1005="VENTA")*(MOVIMIENTOS!$C$5:$C$1005="Chancho")*(MOVIMIENTOS!$D$5:$D$1005="sacos")*(MOVIMIENTOS!$A$5:$A$1005&lt;&gt;"")*(MOVIMIENTOS!$A$5:$A$1005&lt;=$A956)*MOVIMIENTOS!$E$5:$E$1005)+SUMPRODUCT((MOVIMIENTOS!$B$5:$B$1005="AJUSTE")*(MOVIMIENTOS!$C$5:$C$1005="Chancho")*(MOVIMIENTOS!$D$5:$D$1005="sacos")*(MOVIMIENTOS!$A$5:$A$1005&lt;&gt;"")*(MOVIMIENTOS!$A$5:$A$1005&lt;=$A956)*MOVIMIENTOS!$E$5:$E$1005))</f>
        <v/>
      </c>
      <c r="G956" s="62" t="str">
        <f t="shared" si="29"/>
        <v/>
      </c>
      <c r="H956" t="str">
        <f>IF($A956="","",SUMPRODUCT((((MOVIMIENTOS!$B$5:$B$1005="SALDO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956)*MOVIMIENTOS!$J$5:$J$1005))</f>
        <v/>
      </c>
      <c r="J956" t="str">
        <f>IF(AND(MOVIMIENTOS!$A961&lt;&gt;"",COUNTIF(MOVIMIENTOS!$A$5:$A960,MOVIMIENTOS!$A961)=0),COUNT(J$4:J955)+1,"")</f>
        <v/>
      </c>
      <c r="K956">
        <f>MOVIMIENTOS!$A961</f>
        <v>0</v>
      </c>
    </row>
    <row r="957" spans="1:11" ht="15" customHeight="1" x14ac:dyDescent="0.2">
      <c r="A957" t="str">
        <f t="shared" si="28"/>
        <v/>
      </c>
      <c r="B957" t="str">
        <f>IF($A957="","",SUMPRODUCT((MOVIMIENTOS!$B$5:$B$1005="SALDO INICIAL")*(MOVIMIENTOS!$C$5:$C$1005="A")*(MOVIMIENTOS!$D$5:$D$1005="jabas")*(MOVIMIENTOS!$A$5:$A$1005&lt;&gt;"")*(MOVIMIENTOS!$A$5:$A$1005&lt;=$A957)*MOVIMIENTOS!$E$5:$E$1005)+SUMPRODUCT((MOVIMIENTOS!$B$5:$B$1005="PROCESO")*(MOVIMIENTOS!$C$5:$C$1005="A")*(MOVIMIENTOS!$D$5:$D$1005="jabas")*(MOVIMIENTOS!$A$5:$A$1005&lt;&gt;"")*(MOVIMIENTOS!$A$5:$A$1005&lt;=$A957)*MOVIMIENTOS!$E$5:$E$1005)-SUMPRODUCT((MOVIMIENTOS!$B$5:$B$1005="ENVÍO A SUPESA")*(MOVIMIENTOS!$C$5:$C$1005="A")*(MOVIMIENTOS!$D$5:$D$1005="jabas")*(MOVIMIENTOS!$A$5:$A$1005&lt;&gt;"")*(MOVIMIENTOS!$A$5:$A$1005&lt;=$A957)*MOVIMIENTOS!$E$5:$E$1005)+SUMPRODUCT((MOVIMIENTOS!$B$5:$B$1005="DEVOLUCIÓN")*(MOVIMIENTOS!$C$5:$C$1005="A")*(MOVIMIENTOS!$D$5:$D$1005="jabas")*(MOVIMIENTOS!$A$5:$A$1005&lt;&gt;"")*(MOVIMIENTOS!$A$5:$A$1005&lt;=$A957)*MOVIMIENTOS!$E$5:$E$1005)-SUMPRODUCT((MOVIMIENTOS!$B$5:$B$1005="TRASIEGO")*(MOVIMIENTOS!$C$5:$C$1005="A")*(MOVIMIENTOS!$D$5:$D$1005="jabas")*(MOVIMIENTOS!$A$5:$A$1005&lt;&gt;"")*(MOVIMIENTOS!$A$5:$A$1005&lt;=$A957)*MOVIMIENTOS!$E$5:$E$1005)-SUMPRODUCT((MOVIMIENTOS!$B$5:$B$1005="REGALO")*(MOVIMIENTOS!$C$5:$C$1005="A")*(MOVIMIENTOS!$D$5:$D$1005="jabas")*(MOVIMIENTOS!$A$5:$A$1005&lt;&gt;"")*(MOVIMIENTOS!$A$5:$A$1005&lt;=$A957)*MOVIMIENTOS!$E$5:$E$1005)-SUMPRODUCT((MOVIMIENTOS!$B$5:$B$1005="VENTA")*(MOVIMIENTOS!$C$5:$C$1005="A")*(MOVIMIENTOS!$D$5:$D$1005="jabas")*(MOVIMIENTOS!$A$5:$A$1005&lt;&gt;"")*(MOVIMIENTOS!$A$5:$A$1005&lt;=$A957)*MOVIMIENTOS!$E$5:$E$1005)+SUMPRODUCT((MOVIMIENTOS!$B$5:$B$1005="AJUSTE")*(MOVIMIENTOS!$C$5:$C$1005="A")*(MOVIMIENTOS!$D$5:$D$1005="jabas")*(MOVIMIENTOS!$A$5:$A$1005&lt;&gt;"")*(MOVIMIENTOS!$A$5:$A$1005&lt;=$A957)*MOVIMIENTOS!$E$5:$E$1005))</f>
        <v/>
      </c>
      <c r="C957" t="str">
        <f>IF($A957="","",SUMPRODUCT((MOVIMIENTOS!$B$5:$B$1005="SALDO INICIAL")*(MOVIMIENTOS!$C$5:$C$1005="P")*(MOVIMIENTOS!$D$5:$D$1005="jabas")*(MOVIMIENTOS!$A$5:$A$1005&lt;&gt;"")*(MOVIMIENTOS!$A$5:$A$1005&lt;=$A957)*MOVIMIENTOS!$E$5:$E$1005)+SUMPRODUCT((MOVIMIENTOS!$B$5:$B$1005="PROCESO")*(MOVIMIENTOS!$C$5:$C$1005="P")*(MOVIMIENTOS!$D$5:$D$1005="jabas")*(MOVIMIENTOS!$A$5:$A$1005&lt;&gt;"")*(MOVIMIENTOS!$A$5:$A$1005&lt;=$A957)*MOVIMIENTOS!$E$5:$E$1005)-SUMPRODUCT((MOVIMIENTOS!$B$5:$B$1005="ENVÍO A SUPESA")*(MOVIMIENTOS!$C$5:$C$1005="P")*(MOVIMIENTOS!$D$5:$D$1005="jabas")*(MOVIMIENTOS!$A$5:$A$1005&lt;&gt;"")*(MOVIMIENTOS!$A$5:$A$1005&lt;=$A957)*MOVIMIENTOS!$E$5:$E$1005)+SUMPRODUCT((MOVIMIENTOS!$B$5:$B$1005="DEVOLUCIÓN")*(MOVIMIENTOS!$C$5:$C$1005="P")*(MOVIMIENTOS!$D$5:$D$1005="jabas")*(MOVIMIENTOS!$A$5:$A$1005&lt;&gt;"")*(MOVIMIENTOS!$A$5:$A$1005&lt;=$A957)*MOVIMIENTOS!$E$5:$E$1005)-SUMPRODUCT((MOVIMIENTOS!$B$5:$B$1005="TRASIEGO")*(MOVIMIENTOS!$C$5:$C$1005="P")*(MOVIMIENTOS!$D$5:$D$1005="jabas")*(MOVIMIENTOS!$A$5:$A$1005&lt;&gt;"")*(MOVIMIENTOS!$A$5:$A$1005&lt;=$A957)*MOVIMIENTOS!$E$5:$E$1005)-SUMPRODUCT((MOVIMIENTOS!$B$5:$B$1005="REGALO")*(MOVIMIENTOS!$C$5:$C$1005="P")*(MOVIMIENTOS!$D$5:$D$1005="jabas")*(MOVIMIENTOS!$A$5:$A$1005&lt;&gt;"")*(MOVIMIENTOS!$A$5:$A$1005&lt;=$A957)*MOVIMIENTOS!$E$5:$E$1005)-SUMPRODUCT((MOVIMIENTOS!$B$5:$B$1005="VENTA")*(MOVIMIENTOS!$C$5:$C$1005="P")*(MOVIMIENTOS!$D$5:$D$1005="jabas")*(MOVIMIENTOS!$A$5:$A$1005&lt;&gt;"")*(MOVIMIENTOS!$A$5:$A$1005&lt;=$A957)*MOVIMIENTOS!$E$5:$E$1005)+SUMPRODUCT((MOVIMIENTOS!$B$5:$B$1005="AJUSTE")*(MOVIMIENTOS!$C$5:$C$1005="P")*(MOVIMIENTOS!$D$5:$D$1005="jabas")*(MOVIMIENTOS!$A$5:$A$1005&lt;&gt;"")*(MOVIMIENTOS!$A$5:$A$1005&lt;=$A957)*MOVIMIENTOS!$E$5:$E$1005))</f>
        <v/>
      </c>
      <c r="D957" t="str">
        <f>IF($A957="","",SUMPRODUCT((MOVIMIENTOS!$B$5:$B$1005="SALDO INICIAL")*(MOVIMIENTOS!$C$5:$C$1005="C")*(MOVIMIENTOS!$D$5:$D$1005="jabas")*(MOVIMIENTOS!$A$5:$A$1005&lt;&gt;"")*(MOVIMIENTOS!$A$5:$A$1005&lt;=$A957)*MOVIMIENTOS!$E$5:$E$1005)+SUMPRODUCT((MOVIMIENTOS!$B$5:$B$1005="PROCESO")*(MOVIMIENTOS!$C$5:$C$1005="C")*(MOVIMIENTOS!$D$5:$D$1005="jabas")*(MOVIMIENTOS!$A$5:$A$1005&lt;&gt;"")*(MOVIMIENTOS!$A$5:$A$1005&lt;=$A957)*MOVIMIENTOS!$E$5:$E$1005)-SUMPRODUCT((MOVIMIENTOS!$B$5:$B$1005="ENVÍO A SUPESA")*(MOVIMIENTOS!$C$5:$C$1005="C")*(MOVIMIENTOS!$D$5:$D$1005="jabas")*(MOVIMIENTOS!$A$5:$A$1005&lt;&gt;"")*(MOVIMIENTOS!$A$5:$A$1005&lt;=$A957)*MOVIMIENTOS!$E$5:$E$1005)+SUMPRODUCT((MOVIMIENTOS!$B$5:$B$1005="DEVOLUCIÓN")*(MOVIMIENTOS!$C$5:$C$1005="C")*(MOVIMIENTOS!$D$5:$D$1005="jabas")*(MOVIMIENTOS!$A$5:$A$1005&lt;&gt;"")*(MOVIMIENTOS!$A$5:$A$1005&lt;=$A957)*MOVIMIENTOS!$E$5:$E$1005)-SUMPRODUCT((MOVIMIENTOS!$B$5:$B$1005="TRASIEGO")*(MOVIMIENTOS!$C$5:$C$1005="C")*(MOVIMIENTOS!$D$5:$D$1005="jabas")*(MOVIMIENTOS!$A$5:$A$1005&lt;&gt;"")*(MOVIMIENTOS!$A$5:$A$1005&lt;=$A957)*MOVIMIENTOS!$E$5:$E$1005)-SUMPRODUCT((MOVIMIENTOS!$B$5:$B$1005="REGALO")*(MOVIMIENTOS!$C$5:$C$1005="C")*(MOVIMIENTOS!$D$5:$D$1005="jabas")*(MOVIMIENTOS!$A$5:$A$1005&lt;&gt;"")*(MOVIMIENTOS!$A$5:$A$1005&lt;=$A957)*MOVIMIENTOS!$E$5:$E$1005)-SUMPRODUCT((MOVIMIENTOS!$B$5:$B$1005="VENTA")*(MOVIMIENTOS!$C$5:$C$1005="C")*(MOVIMIENTOS!$D$5:$D$1005="jabas")*(MOVIMIENTOS!$A$5:$A$1005&lt;&gt;"")*(MOVIMIENTOS!$A$5:$A$1005&lt;=$A957)*MOVIMIENTOS!$E$5:$E$1005)+SUMPRODUCT((MOVIMIENTOS!$B$5:$B$1005="AJUSTE")*(MOVIMIENTOS!$C$5:$C$1005="C")*(MOVIMIENTOS!$D$5:$D$1005="jabas")*(MOVIMIENTOS!$A$5:$A$1005&lt;&gt;"")*(MOVIMIENTOS!$A$5:$A$1005&lt;=$A957)*MOVIMIENTOS!$E$5:$E$1005))</f>
        <v/>
      </c>
      <c r="E957" t="str">
        <f>IF($A957="","",SUMPRODUCT((MOVIMIENTOS!$B$5:$B$1005="SALDO INICIAL")*(MOVIMIENTOS!$C$5:$C$1005="M")*(MOVIMIENTOS!$D$5:$D$1005="jabas")*(MOVIMIENTOS!$A$5:$A$1005&lt;&gt;"")*(MOVIMIENTOS!$A$5:$A$1005&lt;=$A957)*MOVIMIENTOS!$E$5:$E$1005)+SUMPRODUCT((MOVIMIENTOS!$B$5:$B$1005="PROCESO")*(MOVIMIENTOS!$C$5:$C$1005="M")*(MOVIMIENTOS!$D$5:$D$1005="jabas")*(MOVIMIENTOS!$A$5:$A$1005&lt;&gt;"")*(MOVIMIENTOS!$A$5:$A$1005&lt;=$A957)*MOVIMIENTOS!$E$5:$E$1005)-SUMPRODUCT((MOVIMIENTOS!$B$5:$B$1005="ENVÍO A SUPESA")*(MOVIMIENTOS!$C$5:$C$1005="M")*(MOVIMIENTOS!$D$5:$D$1005="jabas")*(MOVIMIENTOS!$A$5:$A$1005&lt;&gt;"")*(MOVIMIENTOS!$A$5:$A$1005&lt;=$A957)*MOVIMIENTOS!$E$5:$E$1005)+SUMPRODUCT((MOVIMIENTOS!$B$5:$B$1005="DEVOLUCIÓN")*(MOVIMIENTOS!$C$5:$C$1005="M")*(MOVIMIENTOS!$D$5:$D$1005="jabas")*(MOVIMIENTOS!$A$5:$A$1005&lt;&gt;"")*(MOVIMIENTOS!$A$5:$A$1005&lt;=$A957)*MOVIMIENTOS!$E$5:$E$1005)-SUMPRODUCT((MOVIMIENTOS!$B$5:$B$1005="TRASIEGO")*(MOVIMIENTOS!$C$5:$C$1005="M")*(MOVIMIENTOS!$D$5:$D$1005="jabas")*(MOVIMIENTOS!$A$5:$A$1005&lt;&gt;"")*(MOVIMIENTOS!$A$5:$A$1005&lt;=$A957)*MOVIMIENTOS!$E$5:$E$1005)-SUMPRODUCT((MOVIMIENTOS!$B$5:$B$1005="REGALO")*(MOVIMIENTOS!$C$5:$C$1005="M")*(MOVIMIENTOS!$D$5:$D$1005="jabas")*(MOVIMIENTOS!$A$5:$A$1005&lt;&gt;"")*(MOVIMIENTOS!$A$5:$A$1005&lt;=$A957)*MOVIMIENTOS!$E$5:$E$1005)-SUMPRODUCT((MOVIMIENTOS!$B$5:$B$1005="VENTA")*(MOVIMIENTOS!$C$5:$C$1005="M")*(MOVIMIENTOS!$D$5:$D$1005="jabas")*(MOVIMIENTOS!$A$5:$A$1005&lt;&gt;"")*(MOVIMIENTOS!$A$5:$A$1005&lt;=$A957)*MOVIMIENTOS!$E$5:$E$1005)+SUMPRODUCT((MOVIMIENTOS!$B$5:$B$1005="AJUSTE")*(MOVIMIENTOS!$C$5:$C$1005="M")*(MOVIMIENTOS!$D$5:$D$1005="jabas")*(MOVIMIENTOS!$A$5:$A$1005&lt;&gt;"")*(MOVIMIENTOS!$A$5:$A$1005&lt;=$A957)*MOVIMIENTOS!$E$5:$E$1005))</f>
        <v/>
      </c>
      <c r="F957" s="62" t="str">
        <f>IF($A957="","",SUMPRODUCT((MOVIMIENTOS!$B$5:$B$1005="SALDO INICIAL")*(MOVIMIENTOS!$C$5:$C$1005="Chancho")*(MOVIMIENTOS!$D$5:$D$1005="sacos")*(MOVIMIENTOS!$A$5:$A$1005&lt;&gt;"")*(MOVIMIENTOS!$A$5:$A$1005&lt;=$A957)*MOVIMIENTOS!$E$5:$E$1005)+SUMPRODUCT((MOVIMIENTOS!$B$5:$B$1005="PROCESO")*(MOVIMIENTOS!$C$5:$C$1005="Chancho")*(MOVIMIENTOS!$D$5:$D$1005="sacos")*(MOVIMIENTOS!$A$5:$A$1005&lt;&gt;"")*(MOVIMIENTOS!$A$5:$A$1005&lt;=$A957)*MOVIMIENTOS!$E$5:$E$1005)-SUMPRODUCT((MOVIMIENTOS!$B$5:$B$1005="VENTA CHANCHO")*(MOVIMIENTOS!$C$5:$C$1005="Chancho")*(MOVIMIENTOS!$D$5:$D$1005="sacos")*(MOVIMIENTOS!$A$5:$A$1005&lt;&gt;"")*(MOVIMIENTOS!$A$5:$A$1005&lt;=$A957)*MOVIMIENTOS!$E$5:$E$1005)-SUMPRODUCT((MOVIMIENTOS!$B$5:$B$1005="REGALO")*(MOVIMIENTOS!$C$5:$C$1005="Chancho")*(MOVIMIENTOS!$D$5:$D$1005="sacos")*(MOVIMIENTOS!$A$5:$A$1005&lt;&gt;"")*(MOVIMIENTOS!$A$5:$A$1005&lt;=$A957)*MOVIMIENTOS!$E$5:$E$1005)-SUMPRODUCT((MOVIMIENTOS!$B$5:$B$1005="VENTA")*(MOVIMIENTOS!$C$5:$C$1005="Chancho")*(MOVIMIENTOS!$D$5:$D$1005="sacos")*(MOVIMIENTOS!$A$5:$A$1005&lt;&gt;"")*(MOVIMIENTOS!$A$5:$A$1005&lt;=$A957)*MOVIMIENTOS!$E$5:$E$1005)+SUMPRODUCT((MOVIMIENTOS!$B$5:$B$1005="AJUSTE")*(MOVIMIENTOS!$C$5:$C$1005="Chancho")*(MOVIMIENTOS!$D$5:$D$1005="sacos")*(MOVIMIENTOS!$A$5:$A$1005&lt;&gt;"")*(MOVIMIENTOS!$A$5:$A$1005&lt;=$A957)*MOVIMIENTOS!$E$5:$E$1005))</f>
        <v/>
      </c>
      <c r="G957" s="62" t="str">
        <f t="shared" si="29"/>
        <v/>
      </c>
      <c r="H957" t="str">
        <f>IF($A957="","",SUMPRODUCT((((MOVIMIENTOS!$B$5:$B$1005="SALDO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957)*MOVIMIENTOS!$J$5:$J$1005))</f>
        <v/>
      </c>
      <c r="J957" t="str">
        <f>IF(AND(MOVIMIENTOS!$A962&lt;&gt;"",COUNTIF(MOVIMIENTOS!$A$5:$A961,MOVIMIENTOS!$A962)=0),COUNT(J$4:J956)+1,"")</f>
        <v/>
      </c>
      <c r="K957">
        <f>MOVIMIENTOS!$A962</f>
        <v>0</v>
      </c>
    </row>
    <row r="958" spans="1:11" ht="15" customHeight="1" x14ac:dyDescent="0.2">
      <c r="A958" t="str">
        <f t="shared" si="28"/>
        <v/>
      </c>
      <c r="B958" t="str">
        <f>IF($A958="","",SUMPRODUCT((MOVIMIENTOS!$B$5:$B$1005="SALDO INICIAL")*(MOVIMIENTOS!$C$5:$C$1005="A")*(MOVIMIENTOS!$D$5:$D$1005="jabas")*(MOVIMIENTOS!$A$5:$A$1005&lt;&gt;"")*(MOVIMIENTOS!$A$5:$A$1005&lt;=$A958)*MOVIMIENTOS!$E$5:$E$1005)+SUMPRODUCT((MOVIMIENTOS!$B$5:$B$1005="PROCESO")*(MOVIMIENTOS!$C$5:$C$1005="A")*(MOVIMIENTOS!$D$5:$D$1005="jabas")*(MOVIMIENTOS!$A$5:$A$1005&lt;&gt;"")*(MOVIMIENTOS!$A$5:$A$1005&lt;=$A958)*MOVIMIENTOS!$E$5:$E$1005)-SUMPRODUCT((MOVIMIENTOS!$B$5:$B$1005="ENVÍO A SUPESA")*(MOVIMIENTOS!$C$5:$C$1005="A")*(MOVIMIENTOS!$D$5:$D$1005="jabas")*(MOVIMIENTOS!$A$5:$A$1005&lt;&gt;"")*(MOVIMIENTOS!$A$5:$A$1005&lt;=$A958)*MOVIMIENTOS!$E$5:$E$1005)+SUMPRODUCT((MOVIMIENTOS!$B$5:$B$1005="DEVOLUCIÓN")*(MOVIMIENTOS!$C$5:$C$1005="A")*(MOVIMIENTOS!$D$5:$D$1005="jabas")*(MOVIMIENTOS!$A$5:$A$1005&lt;&gt;"")*(MOVIMIENTOS!$A$5:$A$1005&lt;=$A958)*MOVIMIENTOS!$E$5:$E$1005)-SUMPRODUCT((MOVIMIENTOS!$B$5:$B$1005="TRASIEGO")*(MOVIMIENTOS!$C$5:$C$1005="A")*(MOVIMIENTOS!$D$5:$D$1005="jabas")*(MOVIMIENTOS!$A$5:$A$1005&lt;&gt;"")*(MOVIMIENTOS!$A$5:$A$1005&lt;=$A958)*MOVIMIENTOS!$E$5:$E$1005)-SUMPRODUCT((MOVIMIENTOS!$B$5:$B$1005="REGALO")*(MOVIMIENTOS!$C$5:$C$1005="A")*(MOVIMIENTOS!$D$5:$D$1005="jabas")*(MOVIMIENTOS!$A$5:$A$1005&lt;&gt;"")*(MOVIMIENTOS!$A$5:$A$1005&lt;=$A958)*MOVIMIENTOS!$E$5:$E$1005)-SUMPRODUCT((MOVIMIENTOS!$B$5:$B$1005="VENTA")*(MOVIMIENTOS!$C$5:$C$1005="A")*(MOVIMIENTOS!$D$5:$D$1005="jabas")*(MOVIMIENTOS!$A$5:$A$1005&lt;&gt;"")*(MOVIMIENTOS!$A$5:$A$1005&lt;=$A958)*MOVIMIENTOS!$E$5:$E$1005)+SUMPRODUCT((MOVIMIENTOS!$B$5:$B$1005="AJUSTE")*(MOVIMIENTOS!$C$5:$C$1005="A")*(MOVIMIENTOS!$D$5:$D$1005="jabas")*(MOVIMIENTOS!$A$5:$A$1005&lt;&gt;"")*(MOVIMIENTOS!$A$5:$A$1005&lt;=$A958)*MOVIMIENTOS!$E$5:$E$1005))</f>
        <v/>
      </c>
      <c r="C958" t="str">
        <f>IF($A958="","",SUMPRODUCT((MOVIMIENTOS!$B$5:$B$1005="SALDO INICIAL")*(MOVIMIENTOS!$C$5:$C$1005="P")*(MOVIMIENTOS!$D$5:$D$1005="jabas")*(MOVIMIENTOS!$A$5:$A$1005&lt;&gt;"")*(MOVIMIENTOS!$A$5:$A$1005&lt;=$A958)*MOVIMIENTOS!$E$5:$E$1005)+SUMPRODUCT((MOVIMIENTOS!$B$5:$B$1005="PROCESO")*(MOVIMIENTOS!$C$5:$C$1005="P")*(MOVIMIENTOS!$D$5:$D$1005="jabas")*(MOVIMIENTOS!$A$5:$A$1005&lt;&gt;"")*(MOVIMIENTOS!$A$5:$A$1005&lt;=$A958)*MOVIMIENTOS!$E$5:$E$1005)-SUMPRODUCT((MOVIMIENTOS!$B$5:$B$1005="ENVÍO A SUPESA")*(MOVIMIENTOS!$C$5:$C$1005="P")*(MOVIMIENTOS!$D$5:$D$1005="jabas")*(MOVIMIENTOS!$A$5:$A$1005&lt;&gt;"")*(MOVIMIENTOS!$A$5:$A$1005&lt;=$A958)*MOVIMIENTOS!$E$5:$E$1005)+SUMPRODUCT((MOVIMIENTOS!$B$5:$B$1005="DEVOLUCIÓN")*(MOVIMIENTOS!$C$5:$C$1005="P")*(MOVIMIENTOS!$D$5:$D$1005="jabas")*(MOVIMIENTOS!$A$5:$A$1005&lt;&gt;"")*(MOVIMIENTOS!$A$5:$A$1005&lt;=$A958)*MOVIMIENTOS!$E$5:$E$1005)-SUMPRODUCT((MOVIMIENTOS!$B$5:$B$1005="TRASIEGO")*(MOVIMIENTOS!$C$5:$C$1005="P")*(MOVIMIENTOS!$D$5:$D$1005="jabas")*(MOVIMIENTOS!$A$5:$A$1005&lt;&gt;"")*(MOVIMIENTOS!$A$5:$A$1005&lt;=$A958)*MOVIMIENTOS!$E$5:$E$1005)-SUMPRODUCT((MOVIMIENTOS!$B$5:$B$1005="REGALO")*(MOVIMIENTOS!$C$5:$C$1005="P")*(MOVIMIENTOS!$D$5:$D$1005="jabas")*(MOVIMIENTOS!$A$5:$A$1005&lt;&gt;"")*(MOVIMIENTOS!$A$5:$A$1005&lt;=$A958)*MOVIMIENTOS!$E$5:$E$1005)-SUMPRODUCT((MOVIMIENTOS!$B$5:$B$1005="VENTA")*(MOVIMIENTOS!$C$5:$C$1005="P")*(MOVIMIENTOS!$D$5:$D$1005="jabas")*(MOVIMIENTOS!$A$5:$A$1005&lt;&gt;"")*(MOVIMIENTOS!$A$5:$A$1005&lt;=$A958)*MOVIMIENTOS!$E$5:$E$1005)+SUMPRODUCT((MOVIMIENTOS!$B$5:$B$1005="AJUSTE")*(MOVIMIENTOS!$C$5:$C$1005="P")*(MOVIMIENTOS!$D$5:$D$1005="jabas")*(MOVIMIENTOS!$A$5:$A$1005&lt;&gt;"")*(MOVIMIENTOS!$A$5:$A$1005&lt;=$A958)*MOVIMIENTOS!$E$5:$E$1005))</f>
        <v/>
      </c>
      <c r="D958" t="str">
        <f>IF($A958="","",SUMPRODUCT((MOVIMIENTOS!$B$5:$B$1005="SALDO INICIAL")*(MOVIMIENTOS!$C$5:$C$1005="C")*(MOVIMIENTOS!$D$5:$D$1005="jabas")*(MOVIMIENTOS!$A$5:$A$1005&lt;&gt;"")*(MOVIMIENTOS!$A$5:$A$1005&lt;=$A958)*MOVIMIENTOS!$E$5:$E$1005)+SUMPRODUCT((MOVIMIENTOS!$B$5:$B$1005="PROCESO")*(MOVIMIENTOS!$C$5:$C$1005="C")*(MOVIMIENTOS!$D$5:$D$1005="jabas")*(MOVIMIENTOS!$A$5:$A$1005&lt;&gt;"")*(MOVIMIENTOS!$A$5:$A$1005&lt;=$A958)*MOVIMIENTOS!$E$5:$E$1005)-SUMPRODUCT((MOVIMIENTOS!$B$5:$B$1005="ENVÍO A SUPESA")*(MOVIMIENTOS!$C$5:$C$1005="C")*(MOVIMIENTOS!$D$5:$D$1005="jabas")*(MOVIMIENTOS!$A$5:$A$1005&lt;&gt;"")*(MOVIMIENTOS!$A$5:$A$1005&lt;=$A958)*MOVIMIENTOS!$E$5:$E$1005)+SUMPRODUCT((MOVIMIENTOS!$B$5:$B$1005="DEVOLUCIÓN")*(MOVIMIENTOS!$C$5:$C$1005="C")*(MOVIMIENTOS!$D$5:$D$1005="jabas")*(MOVIMIENTOS!$A$5:$A$1005&lt;&gt;"")*(MOVIMIENTOS!$A$5:$A$1005&lt;=$A958)*MOVIMIENTOS!$E$5:$E$1005)-SUMPRODUCT((MOVIMIENTOS!$B$5:$B$1005="TRASIEGO")*(MOVIMIENTOS!$C$5:$C$1005="C")*(MOVIMIENTOS!$D$5:$D$1005="jabas")*(MOVIMIENTOS!$A$5:$A$1005&lt;&gt;"")*(MOVIMIENTOS!$A$5:$A$1005&lt;=$A958)*MOVIMIENTOS!$E$5:$E$1005)-SUMPRODUCT((MOVIMIENTOS!$B$5:$B$1005="REGALO")*(MOVIMIENTOS!$C$5:$C$1005="C")*(MOVIMIENTOS!$D$5:$D$1005="jabas")*(MOVIMIENTOS!$A$5:$A$1005&lt;&gt;"")*(MOVIMIENTOS!$A$5:$A$1005&lt;=$A958)*MOVIMIENTOS!$E$5:$E$1005)-SUMPRODUCT((MOVIMIENTOS!$B$5:$B$1005="VENTA")*(MOVIMIENTOS!$C$5:$C$1005="C")*(MOVIMIENTOS!$D$5:$D$1005="jabas")*(MOVIMIENTOS!$A$5:$A$1005&lt;&gt;"")*(MOVIMIENTOS!$A$5:$A$1005&lt;=$A958)*MOVIMIENTOS!$E$5:$E$1005)+SUMPRODUCT((MOVIMIENTOS!$B$5:$B$1005="AJUSTE")*(MOVIMIENTOS!$C$5:$C$1005="C")*(MOVIMIENTOS!$D$5:$D$1005="jabas")*(MOVIMIENTOS!$A$5:$A$1005&lt;&gt;"")*(MOVIMIENTOS!$A$5:$A$1005&lt;=$A958)*MOVIMIENTOS!$E$5:$E$1005))</f>
        <v/>
      </c>
      <c r="E958" t="str">
        <f>IF($A958="","",SUMPRODUCT((MOVIMIENTOS!$B$5:$B$1005="SALDO INICIAL")*(MOVIMIENTOS!$C$5:$C$1005="M")*(MOVIMIENTOS!$D$5:$D$1005="jabas")*(MOVIMIENTOS!$A$5:$A$1005&lt;&gt;"")*(MOVIMIENTOS!$A$5:$A$1005&lt;=$A958)*MOVIMIENTOS!$E$5:$E$1005)+SUMPRODUCT((MOVIMIENTOS!$B$5:$B$1005="PROCESO")*(MOVIMIENTOS!$C$5:$C$1005="M")*(MOVIMIENTOS!$D$5:$D$1005="jabas")*(MOVIMIENTOS!$A$5:$A$1005&lt;&gt;"")*(MOVIMIENTOS!$A$5:$A$1005&lt;=$A958)*MOVIMIENTOS!$E$5:$E$1005)-SUMPRODUCT((MOVIMIENTOS!$B$5:$B$1005="ENVÍO A SUPESA")*(MOVIMIENTOS!$C$5:$C$1005="M")*(MOVIMIENTOS!$D$5:$D$1005="jabas")*(MOVIMIENTOS!$A$5:$A$1005&lt;&gt;"")*(MOVIMIENTOS!$A$5:$A$1005&lt;=$A958)*MOVIMIENTOS!$E$5:$E$1005)+SUMPRODUCT((MOVIMIENTOS!$B$5:$B$1005="DEVOLUCIÓN")*(MOVIMIENTOS!$C$5:$C$1005="M")*(MOVIMIENTOS!$D$5:$D$1005="jabas")*(MOVIMIENTOS!$A$5:$A$1005&lt;&gt;"")*(MOVIMIENTOS!$A$5:$A$1005&lt;=$A958)*MOVIMIENTOS!$E$5:$E$1005)-SUMPRODUCT((MOVIMIENTOS!$B$5:$B$1005="TRASIEGO")*(MOVIMIENTOS!$C$5:$C$1005="M")*(MOVIMIENTOS!$D$5:$D$1005="jabas")*(MOVIMIENTOS!$A$5:$A$1005&lt;&gt;"")*(MOVIMIENTOS!$A$5:$A$1005&lt;=$A958)*MOVIMIENTOS!$E$5:$E$1005)-SUMPRODUCT((MOVIMIENTOS!$B$5:$B$1005="REGALO")*(MOVIMIENTOS!$C$5:$C$1005="M")*(MOVIMIENTOS!$D$5:$D$1005="jabas")*(MOVIMIENTOS!$A$5:$A$1005&lt;&gt;"")*(MOVIMIENTOS!$A$5:$A$1005&lt;=$A958)*MOVIMIENTOS!$E$5:$E$1005)-SUMPRODUCT((MOVIMIENTOS!$B$5:$B$1005="VENTA")*(MOVIMIENTOS!$C$5:$C$1005="M")*(MOVIMIENTOS!$D$5:$D$1005="jabas")*(MOVIMIENTOS!$A$5:$A$1005&lt;&gt;"")*(MOVIMIENTOS!$A$5:$A$1005&lt;=$A958)*MOVIMIENTOS!$E$5:$E$1005)+SUMPRODUCT((MOVIMIENTOS!$B$5:$B$1005="AJUSTE")*(MOVIMIENTOS!$C$5:$C$1005="M")*(MOVIMIENTOS!$D$5:$D$1005="jabas")*(MOVIMIENTOS!$A$5:$A$1005&lt;&gt;"")*(MOVIMIENTOS!$A$5:$A$1005&lt;=$A958)*MOVIMIENTOS!$E$5:$E$1005))</f>
        <v/>
      </c>
      <c r="F958" s="62" t="str">
        <f>IF($A958="","",SUMPRODUCT((MOVIMIENTOS!$B$5:$B$1005="SALDO INICIAL")*(MOVIMIENTOS!$C$5:$C$1005="Chancho")*(MOVIMIENTOS!$D$5:$D$1005="sacos")*(MOVIMIENTOS!$A$5:$A$1005&lt;&gt;"")*(MOVIMIENTOS!$A$5:$A$1005&lt;=$A958)*MOVIMIENTOS!$E$5:$E$1005)+SUMPRODUCT((MOVIMIENTOS!$B$5:$B$1005="PROCESO")*(MOVIMIENTOS!$C$5:$C$1005="Chancho")*(MOVIMIENTOS!$D$5:$D$1005="sacos")*(MOVIMIENTOS!$A$5:$A$1005&lt;&gt;"")*(MOVIMIENTOS!$A$5:$A$1005&lt;=$A958)*MOVIMIENTOS!$E$5:$E$1005)-SUMPRODUCT((MOVIMIENTOS!$B$5:$B$1005="VENTA CHANCHO")*(MOVIMIENTOS!$C$5:$C$1005="Chancho")*(MOVIMIENTOS!$D$5:$D$1005="sacos")*(MOVIMIENTOS!$A$5:$A$1005&lt;&gt;"")*(MOVIMIENTOS!$A$5:$A$1005&lt;=$A958)*MOVIMIENTOS!$E$5:$E$1005)-SUMPRODUCT((MOVIMIENTOS!$B$5:$B$1005="REGALO")*(MOVIMIENTOS!$C$5:$C$1005="Chancho")*(MOVIMIENTOS!$D$5:$D$1005="sacos")*(MOVIMIENTOS!$A$5:$A$1005&lt;&gt;"")*(MOVIMIENTOS!$A$5:$A$1005&lt;=$A958)*MOVIMIENTOS!$E$5:$E$1005)-SUMPRODUCT((MOVIMIENTOS!$B$5:$B$1005="VENTA")*(MOVIMIENTOS!$C$5:$C$1005="Chancho")*(MOVIMIENTOS!$D$5:$D$1005="sacos")*(MOVIMIENTOS!$A$5:$A$1005&lt;&gt;"")*(MOVIMIENTOS!$A$5:$A$1005&lt;=$A958)*MOVIMIENTOS!$E$5:$E$1005)+SUMPRODUCT((MOVIMIENTOS!$B$5:$B$1005="AJUSTE")*(MOVIMIENTOS!$C$5:$C$1005="Chancho")*(MOVIMIENTOS!$D$5:$D$1005="sacos")*(MOVIMIENTOS!$A$5:$A$1005&lt;&gt;"")*(MOVIMIENTOS!$A$5:$A$1005&lt;=$A958)*MOVIMIENTOS!$E$5:$E$1005))</f>
        <v/>
      </c>
      <c r="G958" s="62" t="str">
        <f t="shared" si="29"/>
        <v/>
      </c>
      <c r="H958" t="str">
        <f>IF($A958="","",SUMPRODUCT((((MOVIMIENTOS!$B$5:$B$1005="SALDO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958)*MOVIMIENTOS!$J$5:$J$1005))</f>
        <v/>
      </c>
      <c r="J958" t="str">
        <f>IF(AND(MOVIMIENTOS!$A963&lt;&gt;"",COUNTIF(MOVIMIENTOS!$A$5:$A962,MOVIMIENTOS!$A963)=0),COUNT(J$4:J957)+1,"")</f>
        <v/>
      </c>
      <c r="K958">
        <f>MOVIMIENTOS!$A963</f>
        <v>0</v>
      </c>
    </row>
    <row r="959" spans="1:11" ht="15" customHeight="1" x14ac:dyDescent="0.2">
      <c r="A959" t="str">
        <f t="shared" si="28"/>
        <v/>
      </c>
      <c r="B959" t="str">
        <f>IF($A959="","",SUMPRODUCT((MOVIMIENTOS!$B$5:$B$1005="SALDO INICIAL")*(MOVIMIENTOS!$C$5:$C$1005="A")*(MOVIMIENTOS!$D$5:$D$1005="jabas")*(MOVIMIENTOS!$A$5:$A$1005&lt;&gt;"")*(MOVIMIENTOS!$A$5:$A$1005&lt;=$A959)*MOVIMIENTOS!$E$5:$E$1005)+SUMPRODUCT((MOVIMIENTOS!$B$5:$B$1005="PROCESO")*(MOVIMIENTOS!$C$5:$C$1005="A")*(MOVIMIENTOS!$D$5:$D$1005="jabas")*(MOVIMIENTOS!$A$5:$A$1005&lt;&gt;"")*(MOVIMIENTOS!$A$5:$A$1005&lt;=$A959)*MOVIMIENTOS!$E$5:$E$1005)-SUMPRODUCT((MOVIMIENTOS!$B$5:$B$1005="ENVÍO A SUPESA")*(MOVIMIENTOS!$C$5:$C$1005="A")*(MOVIMIENTOS!$D$5:$D$1005="jabas")*(MOVIMIENTOS!$A$5:$A$1005&lt;&gt;"")*(MOVIMIENTOS!$A$5:$A$1005&lt;=$A959)*MOVIMIENTOS!$E$5:$E$1005)+SUMPRODUCT((MOVIMIENTOS!$B$5:$B$1005="DEVOLUCIÓN")*(MOVIMIENTOS!$C$5:$C$1005="A")*(MOVIMIENTOS!$D$5:$D$1005="jabas")*(MOVIMIENTOS!$A$5:$A$1005&lt;&gt;"")*(MOVIMIENTOS!$A$5:$A$1005&lt;=$A959)*MOVIMIENTOS!$E$5:$E$1005)-SUMPRODUCT((MOVIMIENTOS!$B$5:$B$1005="TRASIEGO")*(MOVIMIENTOS!$C$5:$C$1005="A")*(MOVIMIENTOS!$D$5:$D$1005="jabas")*(MOVIMIENTOS!$A$5:$A$1005&lt;&gt;"")*(MOVIMIENTOS!$A$5:$A$1005&lt;=$A959)*MOVIMIENTOS!$E$5:$E$1005)-SUMPRODUCT((MOVIMIENTOS!$B$5:$B$1005="REGALO")*(MOVIMIENTOS!$C$5:$C$1005="A")*(MOVIMIENTOS!$D$5:$D$1005="jabas")*(MOVIMIENTOS!$A$5:$A$1005&lt;&gt;"")*(MOVIMIENTOS!$A$5:$A$1005&lt;=$A959)*MOVIMIENTOS!$E$5:$E$1005)-SUMPRODUCT((MOVIMIENTOS!$B$5:$B$1005="VENTA")*(MOVIMIENTOS!$C$5:$C$1005="A")*(MOVIMIENTOS!$D$5:$D$1005="jabas")*(MOVIMIENTOS!$A$5:$A$1005&lt;&gt;"")*(MOVIMIENTOS!$A$5:$A$1005&lt;=$A959)*MOVIMIENTOS!$E$5:$E$1005)+SUMPRODUCT((MOVIMIENTOS!$B$5:$B$1005="AJUSTE")*(MOVIMIENTOS!$C$5:$C$1005="A")*(MOVIMIENTOS!$D$5:$D$1005="jabas")*(MOVIMIENTOS!$A$5:$A$1005&lt;&gt;"")*(MOVIMIENTOS!$A$5:$A$1005&lt;=$A959)*MOVIMIENTOS!$E$5:$E$1005))</f>
        <v/>
      </c>
      <c r="C959" t="str">
        <f>IF($A959="","",SUMPRODUCT((MOVIMIENTOS!$B$5:$B$1005="SALDO INICIAL")*(MOVIMIENTOS!$C$5:$C$1005="P")*(MOVIMIENTOS!$D$5:$D$1005="jabas")*(MOVIMIENTOS!$A$5:$A$1005&lt;&gt;"")*(MOVIMIENTOS!$A$5:$A$1005&lt;=$A959)*MOVIMIENTOS!$E$5:$E$1005)+SUMPRODUCT((MOVIMIENTOS!$B$5:$B$1005="PROCESO")*(MOVIMIENTOS!$C$5:$C$1005="P")*(MOVIMIENTOS!$D$5:$D$1005="jabas")*(MOVIMIENTOS!$A$5:$A$1005&lt;&gt;"")*(MOVIMIENTOS!$A$5:$A$1005&lt;=$A959)*MOVIMIENTOS!$E$5:$E$1005)-SUMPRODUCT((MOVIMIENTOS!$B$5:$B$1005="ENVÍO A SUPESA")*(MOVIMIENTOS!$C$5:$C$1005="P")*(MOVIMIENTOS!$D$5:$D$1005="jabas")*(MOVIMIENTOS!$A$5:$A$1005&lt;&gt;"")*(MOVIMIENTOS!$A$5:$A$1005&lt;=$A959)*MOVIMIENTOS!$E$5:$E$1005)+SUMPRODUCT((MOVIMIENTOS!$B$5:$B$1005="DEVOLUCIÓN")*(MOVIMIENTOS!$C$5:$C$1005="P")*(MOVIMIENTOS!$D$5:$D$1005="jabas")*(MOVIMIENTOS!$A$5:$A$1005&lt;&gt;"")*(MOVIMIENTOS!$A$5:$A$1005&lt;=$A959)*MOVIMIENTOS!$E$5:$E$1005)-SUMPRODUCT((MOVIMIENTOS!$B$5:$B$1005="TRASIEGO")*(MOVIMIENTOS!$C$5:$C$1005="P")*(MOVIMIENTOS!$D$5:$D$1005="jabas")*(MOVIMIENTOS!$A$5:$A$1005&lt;&gt;"")*(MOVIMIENTOS!$A$5:$A$1005&lt;=$A959)*MOVIMIENTOS!$E$5:$E$1005)-SUMPRODUCT((MOVIMIENTOS!$B$5:$B$1005="REGALO")*(MOVIMIENTOS!$C$5:$C$1005="P")*(MOVIMIENTOS!$D$5:$D$1005="jabas")*(MOVIMIENTOS!$A$5:$A$1005&lt;&gt;"")*(MOVIMIENTOS!$A$5:$A$1005&lt;=$A959)*MOVIMIENTOS!$E$5:$E$1005)-SUMPRODUCT((MOVIMIENTOS!$B$5:$B$1005="VENTA")*(MOVIMIENTOS!$C$5:$C$1005="P")*(MOVIMIENTOS!$D$5:$D$1005="jabas")*(MOVIMIENTOS!$A$5:$A$1005&lt;&gt;"")*(MOVIMIENTOS!$A$5:$A$1005&lt;=$A959)*MOVIMIENTOS!$E$5:$E$1005)+SUMPRODUCT((MOVIMIENTOS!$B$5:$B$1005="AJUSTE")*(MOVIMIENTOS!$C$5:$C$1005="P")*(MOVIMIENTOS!$D$5:$D$1005="jabas")*(MOVIMIENTOS!$A$5:$A$1005&lt;&gt;"")*(MOVIMIENTOS!$A$5:$A$1005&lt;=$A959)*MOVIMIENTOS!$E$5:$E$1005))</f>
        <v/>
      </c>
      <c r="D959" t="str">
        <f>IF($A959="","",SUMPRODUCT((MOVIMIENTOS!$B$5:$B$1005="SALDO INICIAL")*(MOVIMIENTOS!$C$5:$C$1005="C")*(MOVIMIENTOS!$D$5:$D$1005="jabas")*(MOVIMIENTOS!$A$5:$A$1005&lt;&gt;"")*(MOVIMIENTOS!$A$5:$A$1005&lt;=$A959)*MOVIMIENTOS!$E$5:$E$1005)+SUMPRODUCT((MOVIMIENTOS!$B$5:$B$1005="PROCESO")*(MOVIMIENTOS!$C$5:$C$1005="C")*(MOVIMIENTOS!$D$5:$D$1005="jabas")*(MOVIMIENTOS!$A$5:$A$1005&lt;&gt;"")*(MOVIMIENTOS!$A$5:$A$1005&lt;=$A959)*MOVIMIENTOS!$E$5:$E$1005)-SUMPRODUCT((MOVIMIENTOS!$B$5:$B$1005="ENVÍO A SUPESA")*(MOVIMIENTOS!$C$5:$C$1005="C")*(MOVIMIENTOS!$D$5:$D$1005="jabas")*(MOVIMIENTOS!$A$5:$A$1005&lt;&gt;"")*(MOVIMIENTOS!$A$5:$A$1005&lt;=$A959)*MOVIMIENTOS!$E$5:$E$1005)+SUMPRODUCT((MOVIMIENTOS!$B$5:$B$1005="DEVOLUCIÓN")*(MOVIMIENTOS!$C$5:$C$1005="C")*(MOVIMIENTOS!$D$5:$D$1005="jabas")*(MOVIMIENTOS!$A$5:$A$1005&lt;&gt;"")*(MOVIMIENTOS!$A$5:$A$1005&lt;=$A959)*MOVIMIENTOS!$E$5:$E$1005)-SUMPRODUCT((MOVIMIENTOS!$B$5:$B$1005="TRASIEGO")*(MOVIMIENTOS!$C$5:$C$1005="C")*(MOVIMIENTOS!$D$5:$D$1005="jabas")*(MOVIMIENTOS!$A$5:$A$1005&lt;&gt;"")*(MOVIMIENTOS!$A$5:$A$1005&lt;=$A959)*MOVIMIENTOS!$E$5:$E$1005)-SUMPRODUCT((MOVIMIENTOS!$B$5:$B$1005="REGALO")*(MOVIMIENTOS!$C$5:$C$1005="C")*(MOVIMIENTOS!$D$5:$D$1005="jabas")*(MOVIMIENTOS!$A$5:$A$1005&lt;&gt;"")*(MOVIMIENTOS!$A$5:$A$1005&lt;=$A959)*MOVIMIENTOS!$E$5:$E$1005)-SUMPRODUCT((MOVIMIENTOS!$B$5:$B$1005="VENTA")*(MOVIMIENTOS!$C$5:$C$1005="C")*(MOVIMIENTOS!$D$5:$D$1005="jabas")*(MOVIMIENTOS!$A$5:$A$1005&lt;&gt;"")*(MOVIMIENTOS!$A$5:$A$1005&lt;=$A959)*MOVIMIENTOS!$E$5:$E$1005)+SUMPRODUCT((MOVIMIENTOS!$B$5:$B$1005="AJUSTE")*(MOVIMIENTOS!$C$5:$C$1005="C")*(MOVIMIENTOS!$D$5:$D$1005="jabas")*(MOVIMIENTOS!$A$5:$A$1005&lt;&gt;"")*(MOVIMIENTOS!$A$5:$A$1005&lt;=$A959)*MOVIMIENTOS!$E$5:$E$1005))</f>
        <v/>
      </c>
      <c r="E959" t="str">
        <f>IF($A959="","",SUMPRODUCT((MOVIMIENTOS!$B$5:$B$1005="SALDO INICIAL")*(MOVIMIENTOS!$C$5:$C$1005="M")*(MOVIMIENTOS!$D$5:$D$1005="jabas")*(MOVIMIENTOS!$A$5:$A$1005&lt;&gt;"")*(MOVIMIENTOS!$A$5:$A$1005&lt;=$A959)*MOVIMIENTOS!$E$5:$E$1005)+SUMPRODUCT((MOVIMIENTOS!$B$5:$B$1005="PROCESO")*(MOVIMIENTOS!$C$5:$C$1005="M")*(MOVIMIENTOS!$D$5:$D$1005="jabas")*(MOVIMIENTOS!$A$5:$A$1005&lt;&gt;"")*(MOVIMIENTOS!$A$5:$A$1005&lt;=$A959)*MOVIMIENTOS!$E$5:$E$1005)-SUMPRODUCT((MOVIMIENTOS!$B$5:$B$1005="ENVÍO A SUPESA")*(MOVIMIENTOS!$C$5:$C$1005="M")*(MOVIMIENTOS!$D$5:$D$1005="jabas")*(MOVIMIENTOS!$A$5:$A$1005&lt;&gt;"")*(MOVIMIENTOS!$A$5:$A$1005&lt;=$A959)*MOVIMIENTOS!$E$5:$E$1005)+SUMPRODUCT((MOVIMIENTOS!$B$5:$B$1005="DEVOLUCIÓN")*(MOVIMIENTOS!$C$5:$C$1005="M")*(MOVIMIENTOS!$D$5:$D$1005="jabas")*(MOVIMIENTOS!$A$5:$A$1005&lt;&gt;"")*(MOVIMIENTOS!$A$5:$A$1005&lt;=$A959)*MOVIMIENTOS!$E$5:$E$1005)-SUMPRODUCT((MOVIMIENTOS!$B$5:$B$1005="TRASIEGO")*(MOVIMIENTOS!$C$5:$C$1005="M")*(MOVIMIENTOS!$D$5:$D$1005="jabas")*(MOVIMIENTOS!$A$5:$A$1005&lt;&gt;"")*(MOVIMIENTOS!$A$5:$A$1005&lt;=$A959)*MOVIMIENTOS!$E$5:$E$1005)-SUMPRODUCT((MOVIMIENTOS!$B$5:$B$1005="REGALO")*(MOVIMIENTOS!$C$5:$C$1005="M")*(MOVIMIENTOS!$D$5:$D$1005="jabas")*(MOVIMIENTOS!$A$5:$A$1005&lt;&gt;"")*(MOVIMIENTOS!$A$5:$A$1005&lt;=$A959)*MOVIMIENTOS!$E$5:$E$1005)-SUMPRODUCT((MOVIMIENTOS!$B$5:$B$1005="VENTA")*(MOVIMIENTOS!$C$5:$C$1005="M")*(MOVIMIENTOS!$D$5:$D$1005="jabas")*(MOVIMIENTOS!$A$5:$A$1005&lt;&gt;"")*(MOVIMIENTOS!$A$5:$A$1005&lt;=$A959)*MOVIMIENTOS!$E$5:$E$1005)+SUMPRODUCT((MOVIMIENTOS!$B$5:$B$1005="AJUSTE")*(MOVIMIENTOS!$C$5:$C$1005="M")*(MOVIMIENTOS!$D$5:$D$1005="jabas")*(MOVIMIENTOS!$A$5:$A$1005&lt;&gt;"")*(MOVIMIENTOS!$A$5:$A$1005&lt;=$A959)*MOVIMIENTOS!$E$5:$E$1005))</f>
        <v/>
      </c>
      <c r="F959" s="62" t="str">
        <f>IF($A959="","",SUMPRODUCT((MOVIMIENTOS!$B$5:$B$1005="SALDO INICIAL")*(MOVIMIENTOS!$C$5:$C$1005="Chancho")*(MOVIMIENTOS!$D$5:$D$1005="sacos")*(MOVIMIENTOS!$A$5:$A$1005&lt;&gt;"")*(MOVIMIENTOS!$A$5:$A$1005&lt;=$A959)*MOVIMIENTOS!$E$5:$E$1005)+SUMPRODUCT((MOVIMIENTOS!$B$5:$B$1005="PROCESO")*(MOVIMIENTOS!$C$5:$C$1005="Chancho")*(MOVIMIENTOS!$D$5:$D$1005="sacos")*(MOVIMIENTOS!$A$5:$A$1005&lt;&gt;"")*(MOVIMIENTOS!$A$5:$A$1005&lt;=$A959)*MOVIMIENTOS!$E$5:$E$1005)-SUMPRODUCT((MOVIMIENTOS!$B$5:$B$1005="VENTA CHANCHO")*(MOVIMIENTOS!$C$5:$C$1005="Chancho")*(MOVIMIENTOS!$D$5:$D$1005="sacos")*(MOVIMIENTOS!$A$5:$A$1005&lt;&gt;"")*(MOVIMIENTOS!$A$5:$A$1005&lt;=$A959)*MOVIMIENTOS!$E$5:$E$1005)-SUMPRODUCT((MOVIMIENTOS!$B$5:$B$1005="REGALO")*(MOVIMIENTOS!$C$5:$C$1005="Chancho")*(MOVIMIENTOS!$D$5:$D$1005="sacos")*(MOVIMIENTOS!$A$5:$A$1005&lt;&gt;"")*(MOVIMIENTOS!$A$5:$A$1005&lt;=$A959)*MOVIMIENTOS!$E$5:$E$1005)-SUMPRODUCT((MOVIMIENTOS!$B$5:$B$1005="VENTA")*(MOVIMIENTOS!$C$5:$C$1005="Chancho")*(MOVIMIENTOS!$D$5:$D$1005="sacos")*(MOVIMIENTOS!$A$5:$A$1005&lt;&gt;"")*(MOVIMIENTOS!$A$5:$A$1005&lt;=$A959)*MOVIMIENTOS!$E$5:$E$1005)+SUMPRODUCT((MOVIMIENTOS!$B$5:$B$1005="AJUSTE")*(MOVIMIENTOS!$C$5:$C$1005="Chancho")*(MOVIMIENTOS!$D$5:$D$1005="sacos")*(MOVIMIENTOS!$A$5:$A$1005&lt;&gt;"")*(MOVIMIENTOS!$A$5:$A$1005&lt;=$A959)*MOVIMIENTOS!$E$5:$E$1005))</f>
        <v/>
      </c>
      <c r="G959" s="62" t="str">
        <f t="shared" si="29"/>
        <v/>
      </c>
      <c r="H959" t="str">
        <f>IF($A959="","",SUMPRODUCT((((MOVIMIENTOS!$B$5:$B$1005="SALDO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959)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959)*MOVIMIENTOS!$J$5:$J$1005))</f>
        <v/>
      </c>
      <c r="J959" t="str">
        <f>IF(AND(MOVIMIENTOS!$A964&lt;&gt;"",COUNTIF(MOVIMIENTOS!$A$5:$A963,MOVIMIENTOS!$A964)=0),COUNT(J$4:J958)+1,"")</f>
        <v/>
      </c>
      <c r="K959">
        <f>MOVIMIENTOS!$A964</f>
        <v>0</v>
      </c>
    </row>
    <row r="960" spans="1:11" ht="15" customHeight="1" x14ac:dyDescent="0.2">
      <c r="A960" t="str">
        <f t="shared" si="28"/>
        <v/>
      </c>
      <c r="B960" t="str">
        <f>IF($A960="","",SUMPRODUCT((MOVIMIENTOS!$B$5:$B$1005="SALDO INICIAL")*(MOVIMIENTOS!$C$5:$C$1005="A")*(MOVIMIENTOS!$D$5:$D$1005="jabas")*(MOVIMIENTOS!$A$5:$A$1005&lt;&gt;"")*(MOVIMIENTOS!$A$5:$A$1005&lt;=$A960)*MOVIMIENTOS!$E$5:$E$1005)+SUMPRODUCT((MOVIMIENTOS!$B$5:$B$1005="PROCESO")*(MOVIMIENTOS!$C$5:$C$1005="A")*(MOVIMIENTOS!$D$5:$D$1005="jabas")*(MOVIMIENTOS!$A$5:$A$1005&lt;&gt;"")*(MOVIMIENTOS!$A$5:$A$1005&lt;=$A960)*MOVIMIENTOS!$E$5:$E$1005)-SUMPRODUCT((MOVIMIENTOS!$B$5:$B$1005="ENVÍO A SUPESA")*(MOVIMIENTOS!$C$5:$C$1005="A")*(MOVIMIENTOS!$D$5:$D$1005="jabas")*(MOVIMIENTOS!$A$5:$A$1005&lt;&gt;"")*(MOVIMIENTOS!$A$5:$A$1005&lt;=$A960)*MOVIMIENTOS!$E$5:$E$1005)+SUMPRODUCT((MOVIMIENTOS!$B$5:$B$1005="DEVOLUCIÓN")*(MOVIMIENTOS!$C$5:$C$1005="A")*(MOVIMIENTOS!$D$5:$D$1005="jabas")*(MOVIMIENTOS!$A$5:$A$1005&lt;&gt;"")*(MOVIMIENTOS!$A$5:$A$1005&lt;=$A960)*MOVIMIENTOS!$E$5:$E$1005)-SUMPRODUCT((MOVIMIENTOS!$B$5:$B$1005="TRASIEGO")*(MOVIMIENTOS!$C$5:$C$1005="A")*(MOVIMIENTOS!$D$5:$D$1005="jabas")*(MOVIMIENTOS!$A$5:$A$1005&lt;&gt;"")*(MOVIMIENTOS!$A$5:$A$1005&lt;=$A960)*MOVIMIENTOS!$E$5:$E$1005)-SUMPRODUCT((MOVIMIENTOS!$B$5:$B$1005="REGALO")*(MOVIMIENTOS!$C$5:$C$1005="A")*(MOVIMIENTOS!$D$5:$D$1005="jabas")*(MOVIMIENTOS!$A$5:$A$1005&lt;&gt;"")*(MOVIMIENTOS!$A$5:$A$1005&lt;=$A960)*MOVIMIENTOS!$E$5:$E$1005)-SUMPRODUCT((MOVIMIENTOS!$B$5:$B$1005="VENTA")*(MOVIMIENTOS!$C$5:$C$1005="A")*(MOVIMIENTOS!$D$5:$D$1005="jabas")*(MOVIMIENTOS!$A$5:$A$1005&lt;&gt;"")*(MOVIMIENTOS!$A$5:$A$1005&lt;=$A960)*MOVIMIENTOS!$E$5:$E$1005)+SUMPRODUCT((MOVIMIENTOS!$B$5:$B$1005="AJUSTE")*(MOVIMIENTOS!$C$5:$C$1005="A")*(MOVIMIENTOS!$D$5:$D$1005="jabas")*(MOVIMIENTOS!$A$5:$A$1005&lt;&gt;"")*(MOVIMIENTOS!$A$5:$A$1005&lt;=$A960)*MOVIMIENTOS!$E$5:$E$1005))</f>
        <v/>
      </c>
      <c r="C960" t="str">
        <f>IF($A960="","",SUMPRODUCT((MOVIMIENTOS!$B$5:$B$1005="SALDO INICIAL")*(MOVIMIENTOS!$C$5:$C$1005="P")*(MOVIMIENTOS!$D$5:$D$1005="jabas")*(MOVIMIENTOS!$A$5:$A$1005&lt;&gt;"")*(MOVIMIENTOS!$A$5:$A$1005&lt;=$A960)*MOVIMIENTOS!$E$5:$E$1005)+SUMPRODUCT((MOVIMIENTOS!$B$5:$B$1005="PROCESO")*(MOVIMIENTOS!$C$5:$C$1005="P")*(MOVIMIENTOS!$D$5:$D$1005="jabas")*(MOVIMIENTOS!$A$5:$A$1005&lt;&gt;"")*(MOVIMIENTOS!$A$5:$A$1005&lt;=$A960)*MOVIMIENTOS!$E$5:$E$1005)-SUMPRODUCT((MOVIMIENTOS!$B$5:$B$1005="ENVÍO A SUPESA")*(MOVIMIENTOS!$C$5:$C$1005="P")*(MOVIMIENTOS!$D$5:$D$1005="jabas")*(MOVIMIENTOS!$A$5:$A$1005&lt;&gt;"")*(MOVIMIENTOS!$A$5:$A$1005&lt;=$A960)*MOVIMIENTOS!$E$5:$E$1005)+SUMPRODUCT((MOVIMIENTOS!$B$5:$B$1005="DEVOLUCIÓN")*(MOVIMIENTOS!$C$5:$C$1005="P")*(MOVIMIENTOS!$D$5:$D$1005="jabas")*(MOVIMIENTOS!$A$5:$A$1005&lt;&gt;"")*(MOVIMIENTOS!$A$5:$A$1005&lt;=$A960)*MOVIMIENTOS!$E$5:$E$1005)-SUMPRODUCT((MOVIMIENTOS!$B$5:$B$1005="TRASIEGO")*(MOVIMIENTOS!$C$5:$C$1005="P")*(MOVIMIENTOS!$D$5:$D$1005="jabas")*(MOVIMIENTOS!$A$5:$A$1005&lt;&gt;"")*(MOVIMIENTOS!$A$5:$A$1005&lt;=$A960)*MOVIMIENTOS!$E$5:$E$1005)-SUMPRODUCT((MOVIMIENTOS!$B$5:$B$1005="REGALO")*(MOVIMIENTOS!$C$5:$C$1005="P")*(MOVIMIENTOS!$D$5:$D$1005="jabas")*(MOVIMIENTOS!$A$5:$A$1005&lt;&gt;"")*(MOVIMIENTOS!$A$5:$A$1005&lt;=$A960)*MOVIMIENTOS!$E$5:$E$1005)-SUMPRODUCT((MOVIMIENTOS!$B$5:$B$1005="VENTA")*(MOVIMIENTOS!$C$5:$C$1005="P")*(MOVIMIENTOS!$D$5:$D$1005="jabas")*(MOVIMIENTOS!$A$5:$A$1005&lt;&gt;"")*(MOVIMIENTOS!$A$5:$A$1005&lt;=$A960)*MOVIMIENTOS!$E$5:$E$1005)+SUMPRODUCT((MOVIMIENTOS!$B$5:$B$1005="AJUSTE")*(MOVIMIENTOS!$C$5:$C$1005="P")*(MOVIMIENTOS!$D$5:$D$1005="jabas")*(MOVIMIENTOS!$A$5:$A$1005&lt;&gt;"")*(MOVIMIENTOS!$A$5:$A$1005&lt;=$A960)*MOVIMIENTOS!$E$5:$E$1005))</f>
        <v/>
      </c>
      <c r="D960" t="str">
        <f>IF($A960="","",SUMPRODUCT((MOVIMIENTOS!$B$5:$B$1005="SALDO INICIAL")*(MOVIMIENTOS!$C$5:$C$1005="C")*(MOVIMIENTOS!$D$5:$D$1005="jabas")*(MOVIMIENTOS!$A$5:$A$1005&lt;&gt;"")*(MOVIMIENTOS!$A$5:$A$1005&lt;=$A960)*MOVIMIENTOS!$E$5:$E$1005)+SUMPRODUCT((MOVIMIENTOS!$B$5:$B$1005="PROCESO")*(MOVIMIENTOS!$C$5:$C$1005="C")*(MOVIMIENTOS!$D$5:$D$1005="jabas")*(MOVIMIENTOS!$A$5:$A$1005&lt;&gt;"")*(MOVIMIENTOS!$A$5:$A$1005&lt;=$A960)*MOVIMIENTOS!$E$5:$E$1005)-SUMPRODUCT((MOVIMIENTOS!$B$5:$B$1005="ENVÍO A SUPESA")*(MOVIMIENTOS!$C$5:$C$1005="C")*(MOVIMIENTOS!$D$5:$D$1005="jabas")*(MOVIMIENTOS!$A$5:$A$1005&lt;&gt;"")*(MOVIMIENTOS!$A$5:$A$1005&lt;=$A960)*MOVIMIENTOS!$E$5:$E$1005)+SUMPRODUCT((MOVIMIENTOS!$B$5:$B$1005="DEVOLUCIÓN")*(MOVIMIENTOS!$C$5:$C$1005="C")*(MOVIMIENTOS!$D$5:$D$1005="jabas")*(MOVIMIENTOS!$A$5:$A$1005&lt;&gt;"")*(MOVIMIENTOS!$A$5:$A$1005&lt;=$A960)*MOVIMIENTOS!$E$5:$E$1005)-SUMPRODUCT((MOVIMIENTOS!$B$5:$B$1005="TRASIEGO")*(MOVIMIENTOS!$C$5:$C$1005="C")*(MOVIMIENTOS!$D$5:$D$1005="jabas")*(MOVIMIENTOS!$A$5:$A$1005&lt;&gt;"")*(MOVIMIENTOS!$A$5:$A$1005&lt;=$A960)*MOVIMIENTOS!$E$5:$E$1005)-SUMPRODUCT((MOVIMIENTOS!$B$5:$B$1005="REGALO")*(MOVIMIENTOS!$C$5:$C$1005="C")*(MOVIMIENTOS!$D$5:$D$1005="jabas")*(MOVIMIENTOS!$A$5:$A$1005&lt;&gt;"")*(MOVIMIENTOS!$A$5:$A$1005&lt;=$A960)*MOVIMIENTOS!$E$5:$E$1005)-SUMPRODUCT((MOVIMIENTOS!$B$5:$B$1005="VENTA")*(MOVIMIENTOS!$C$5:$C$1005="C")*(MOVIMIENTOS!$D$5:$D$1005="jabas")*(MOVIMIENTOS!$A$5:$A$1005&lt;&gt;"")*(MOVIMIENTOS!$A$5:$A$1005&lt;=$A960)*MOVIMIENTOS!$E$5:$E$1005)+SUMPRODUCT((MOVIMIENTOS!$B$5:$B$1005="AJUSTE")*(MOVIMIENTOS!$C$5:$C$1005="C")*(MOVIMIENTOS!$D$5:$D$1005="jabas")*(MOVIMIENTOS!$A$5:$A$1005&lt;&gt;"")*(MOVIMIENTOS!$A$5:$A$1005&lt;=$A960)*MOVIMIENTOS!$E$5:$E$1005))</f>
        <v/>
      </c>
      <c r="E960" t="str">
        <f>IF($A960="","",SUMPRODUCT((MOVIMIENTOS!$B$5:$B$1005="SALDO INICIAL")*(MOVIMIENTOS!$C$5:$C$1005="M")*(MOVIMIENTOS!$D$5:$D$1005="jabas")*(MOVIMIENTOS!$A$5:$A$1005&lt;&gt;"")*(MOVIMIENTOS!$A$5:$A$1005&lt;=$A960)*MOVIMIENTOS!$E$5:$E$1005)+SUMPRODUCT((MOVIMIENTOS!$B$5:$B$1005="PROCESO")*(MOVIMIENTOS!$C$5:$C$1005="M")*(MOVIMIENTOS!$D$5:$D$1005="jabas")*(MOVIMIENTOS!$A$5:$A$1005&lt;&gt;"")*(MOVIMIENTOS!$A$5:$A$1005&lt;=$A960)*MOVIMIENTOS!$E$5:$E$1005)-SUMPRODUCT((MOVIMIENTOS!$B$5:$B$1005="ENVÍO A SUPESA")*(MOVIMIENTOS!$C$5:$C$1005="M")*(MOVIMIENTOS!$D$5:$D$1005="jabas")*(MOVIMIENTOS!$A$5:$A$1005&lt;&gt;"")*(MOVIMIENTOS!$A$5:$A$1005&lt;=$A960)*MOVIMIENTOS!$E$5:$E$1005)+SUMPRODUCT((MOVIMIENTOS!$B$5:$B$1005="DEVOLUCIÓN")*(MOVIMIENTOS!$C$5:$C$1005="M")*(MOVIMIENTOS!$D$5:$D$1005="jabas")*(MOVIMIENTOS!$A$5:$A$1005&lt;&gt;"")*(MOVIMIENTOS!$A$5:$A$1005&lt;=$A960)*MOVIMIENTOS!$E$5:$E$1005)-SUMPRODUCT((MOVIMIENTOS!$B$5:$B$1005="TRASIEGO")*(MOVIMIENTOS!$C$5:$C$1005="M")*(MOVIMIENTOS!$D$5:$D$1005="jabas")*(MOVIMIENTOS!$A$5:$A$1005&lt;&gt;"")*(MOVIMIENTOS!$A$5:$A$1005&lt;=$A960)*MOVIMIENTOS!$E$5:$E$1005)-SUMPRODUCT((MOVIMIENTOS!$B$5:$B$1005="REGALO")*(MOVIMIENTOS!$C$5:$C$1005="M")*(MOVIMIENTOS!$D$5:$D$1005="jabas")*(MOVIMIENTOS!$A$5:$A$1005&lt;&gt;"")*(MOVIMIENTOS!$A$5:$A$1005&lt;=$A960)*MOVIMIENTOS!$E$5:$E$1005)-SUMPRODUCT((MOVIMIENTOS!$B$5:$B$1005="VENTA")*(MOVIMIENTOS!$C$5:$C$1005="M")*(MOVIMIENTOS!$D$5:$D$1005="jabas")*(MOVIMIENTOS!$A$5:$A$1005&lt;&gt;"")*(MOVIMIENTOS!$A$5:$A$1005&lt;=$A960)*MOVIMIENTOS!$E$5:$E$1005)+SUMPRODUCT((MOVIMIENTOS!$B$5:$B$1005="AJUSTE")*(MOVIMIENTOS!$C$5:$C$1005="M")*(MOVIMIENTOS!$D$5:$D$1005="jabas")*(MOVIMIENTOS!$A$5:$A$1005&lt;&gt;"")*(MOVIMIENTOS!$A$5:$A$1005&lt;=$A960)*MOVIMIENTOS!$E$5:$E$1005))</f>
        <v/>
      </c>
      <c r="F960" s="62" t="str">
        <f>IF($A960="","",SUMPRODUCT((MOVIMIENTOS!$B$5:$B$1005="SALDO INICIAL")*(MOVIMIENTOS!$C$5:$C$1005="Chancho")*(MOVIMIENTOS!$D$5:$D$1005="sacos")*(MOVIMIENTOS!$A$5:$A$1005&lt;&gt;"")*(MOVIMIENTOS!$A$5:$A$1005&lt;=$A960)*MOVIMIENTOS!$E$5:$E$1005)+SUMPRODUCT((MOVIMIENTOS!$B$5:$B$1005="PROCESO")*(MOVIMIENTOS!$C$5:$C$1005="Chancho")*(MOVIMIENTOS!$D$5:$D$1005="sacos")*(MOVIMIENTOS!$A$5:$A$1005&lt;&gt;"")*(MOVIMIENTOS!$A$5:$A$1005&lt;=$A960)*MOVIMIENTOS!$E$5:$E$1005)-SUMPRODUCT((MOVIMIENTOS!$B$5:$B$1005="VENTA CHANCHO")*(MOVIMIENTOS!$C$5:$C$1005="Chancho")*(MOVIMIENTOS!$D$5:$D$1005="sacos")*(MOVIMIENTOS!$A$5:$A$1005&lt;&gt;"")*(MOVIMIENTOS!$A$5:$A$1005&lt;=$A960)*MOVIMIENTOS!$E$5:$E$1005)-SUMPRODUCT((MOVIMIENTOS!$B$5:$B$1005="REGALO")*(MOVIMIENTOS!$C$5:$C$1005="Chancho")*(MOVIMIENTOS!$D$5:$D$1005="sacos")*(MOVIMIENTOS!$A$5:$A$1005&lt;&gt;"")*(MOVIMIENTOS!$A$5:$A$1005&lt;=$A960)*MOVIMIENTOS!$E$5:$E$1005)-SUMPRODUCT((MOVIMIENTOS!$B$5:$B$1005="VENTA")*(MOVIMIENTOS!$C$5:$C$1005="Chancho")*(MOVIMIENTOS!$D$5:$D$1005="sacos")*(MOVIMIENTOS!$A$5:$A$1005&lt;&gt;"")*(MOVIMIENTOS!$A$5:$A$1005&lt;=$A960)*MOVIMIENTOS!$E$5:$E$1005)+SUMPRODUCT((MOVIMIENTOS!$B$5:$B$1005="AJUSTE")*(MOVIMIENTOS!$C$5:$C$1005="Chancho")*(MOVIMIENTOS!$D$5:$D$1005="sacos")*(MOVIMIENTOS!$A$5:$A$1005&lt;&gt;"")*(MOVIMIENTOS!$A$5:$A$1005&lt;=$A960)*MOVIMIENTOS!$E$5:$E$1005))</f>
        <v/>
      </c>
      <c r="G960" s="62" t="str">
        <f t="shared" si="29"/>
        <v/>
      </c>
      <c r="H960" t="str">
        <f>IF($A960="","",SUMPRODUCT((((MOVIMIENTOS!$B$5:$B$1005="SALDO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960)*MOVIMIENTOS!$J$5:$J$1005))</f>
        <v/>
      </c>
      <c r="J960" t="str">
        <f>IF(AND(MOVIMIENTOS!$A965&lt;&gt;"",COUNTIF(MOVIMIENTOS!$A$5:$A964,MOVIMIENTOS!$A965)=0),COUNT(J$4:J959)+1,"")</f>
        <v/>
      </c>
      <c r="K960">
        <f>MOVIMIENTOS!$A965</f>
        <v>0</v>
      </c>
    </row>
    <row r="961" spans="1:11" ht="15" customHeight="1" x14ac:dyDescent="0.2">
      <c r="A961" t="str">
        <f t="shared" si="28"/>
        <v/>
      </c>
      <c r="B961" t="str">
        <f>IF($A961="","",SUMPRODUCT((MOVIMIENTOS!$B$5:$B$1005="SALDO INICIAL")*(MOVIMIENTOS!$C$5:$C$1005="A")*(MOVIMIENTOS!$D$5:$D$1005="jabas")*(MOVIMIENTOS!$A$5:$A$1005&lt;&gt;"")*(MOVIMIENTOS!$A$5:$A$1005&lt;=$A961)*MOVIMIENTOS!$E$5:$E$1005)+SUMPRODUCT((MOVIMIENTOS!$B$5:$B$1005="PROCESO")*(MOVIMIENTOS!$C$5:$C$1005="A")*(MOVIMIENTOS!$D$5:$D$1005="jabas")*(MOVIMIENTOS!$A$5:$A$1005&lt;&gt;"")*(MOVIMIENTOS!$A$5:$A$1005&lt;=$A961)*MOVIMIENTOS!$E$5:$E$1005)-SUMPRODUCT((MOVIMIENTOS!$B$5:$B$1005="ENVÍO A SUPESA")*(MOVIMIENTOS!$C$5:$C$1005="A")*(MOVIMIENTOS!$D$5:$D$1005="jabas")*(MOVIMIENTOS!$A$5:$A$1005&lt;&gt;"")*(MOVIMIENTOS!$A$5:$A$1005&lt;=$A961)*MOVIMIENTOS!$E$5:$E$1005)+SUMPRODUCT((MOVIMIENTOS!$B$5:$B$1005="DEVOLUCIÓN")*(MOVIMIENTOS!$C$5:$C$1005="A")*(MOVIMIENTOS!$D$5:$D$1005="jabas")*(MOVIMIENTOS!$A$5:$A$1005&lt;&gt;"")*(MOVIMIENTOS!$A$5:$A$1005&lt;=$A961)*MOVIMIENTOS!$E$5:$E$1005)-SUMPRODUCT((MOVIMIENTOS!$B$5:$B$1005="TRASIEGO")*(MOVIMIENTOS!$C$5:$C$1005="A")*(MOVIMIENTOS!$D$5:$D$1005="jabas")*(MOVIMIENTOS!$A$5:$A$1005&lt;&gt;"")*(MOVIMIENTOS!$A$5:$A$1005&lt;=$A961)*MOVIMIENTOS!$E$5:$E$1005)-SUMPRODUCT((MOVIMIENTOS!$B$5:$B$1005="REGALO")*(MOVIMIENTOS!$C$5:$C$1005="A")*(MOVIMIENTOS!$D$5:$D$1005="jabas")*(MOVIMIENTOS!$A$5:$A$1005&lt;&gt;"")*(MOVIMIENTOS!$A$5:$A$1005&lt;=$A961)*MOVIMIENTOS!$E$5:$E$1005)-SUMPRODUCT((MOVIMIENTOS!$B$5:$B$1005="VENTA")*(MOVIMIENTOS!$C$5:$C$1005="A")*(MOVIMIENTOS!$D$5:$D$1005="jabas")*(MOVIMIENTOS!$A$5:$A$1005&lt;&gt;"")*(MOVIMIENTOS!$A$5:$A$1005&lt;=$A961)*MOVIMIENTOS!$E$5:$E$1005)+SUMPRODUCT((MOVIMIENTOS!$B$5:$B$1005="AJUSTE")*(MOVIMIENTOS!$C$5:$C$1005="A")*(MOVIMIENTOS!$D$5:$D$1005="jabas")*(MOVIMIENTOS!$A$5:$A$1005&lt;&gt;"")*(MOVIMIENTOS!$A$5:$A$1005&lt;=$A961)*MOVIMIENTOS!$E$5:$E$1005))</f>
        <v/>
      </c>
      <c r="C961" t="str">
        <f>IF($A961="","",SUMPRODUCT((MOVIMIENTOS!$B$5:$B$1005="SALDO INICIAL")*(MOVIMIENTOS!$C$5:$C$1005="P")*(MOVIMIENTOS!$D$5:$D$1005="jabas")*(MOVIMIENTOS!$A$5:$A$1005&lt;&gt;"")*(MOVIMIENTOS!$A$5:$A$1005&lt;=$A961)*MOVIMIENTOS!$E$5:$E$1005)+SUMPRODUCT((MOVIMIENTOS!$B$5:$B$1005="PROCESO")*(MOVIMIENTOS!$C$5:$C$1005="P")*(MOVIMIENTOS!$D$5:$D$1005="jabas")*(MOVIMIENTOS!$A$5:$A$1005&lt;&gt;"")*(MOVIMIENTOS!$A$5:$A$1005&lt;=$A961)*MOVIMIENTOS!$E$5:$E$1005)-SUMPRODUCT((MOVIMIENTOS!$B$5:$B$1005="ENVÍO A SUPESA")*(MOVIMIENTOS!$C$5:$C$1005="P")*(MOVIMIENTOS!$D$5:$D$1005="jabas")*(MOVIMIENTOS!$A$5:$A$1005&lt;&gt;"")*(MOVIMIENTOS!$A$5:$A$1005&lt;=$A961)*MOVIMIENTOS!$E$5:$E$1005)+SUMPRODUCT((MOVIMIENTOS!$B$5:$B$1005="DEVOLUCIÓN")*(MOVIMIENTOS!$C$5:$C$1005="P")*(MOVIMIENTOS!$D$5:$D$1005="jabas")*(MOVIMIENTOS!$A$5:$A$1005&lt;&gt;"")*(MOVIMIENTOS!$A$5:$A$1005&lt;=$A961)*MOVIMIENTOS!$E$5:$E$1005)-SUMPRODUCT((MOVIMIENTOS!$B$5:$B$1005="TRASIEGO")*(MOVIMIENTOS!$C$5:$C$1005="P")*(MOVIMIENTOS!$D$5:$D$1005="jabas")*(MOVIMIENTOS!$A$5:$A$1005&lt;&gt;"")*(MOVIMIENTOS!$A$5:$A$1005&lt;=$A961)*MOVIMIENTOS!$E$5:$E$1005)-SUMPRODUCT((MOVIMIENTOS!$B$5:$B$1005="REGALO")*(MOVIMIENTOS!$C$5:$C$1005="P")*(MOVIMIENTOS!$D$5:$D$1005="jabas")*(MOVIMIENTOS!$A$5:$A$1005&lt;&gt;"")*(MOVIMIENTOS!$A$5:$A$1005&lt;=$A961)*MOVIMIENTOS!$E$5:$E$1005)-SUMPRODUCT((MOVIMIENTOS!$B$5:$B$1005="VENTA")*(MOVIMIENTOS!$C$5:$C$1005="P")*(MOVIMIENTOS!$D$5:$D$1005="jabas")*(MOVIMIENTOS!$A$5:$A$1005&lt;&gt;"")*(MOVIMIENTOS!$A$5:$A$1005&lt;=$A961)*MOVIMIENTOS!$E$5:$E$1005)+SUMPRODUCT((MOVIMIENTOS!$B$5:$B$1005="AJUSTE")*(MOVIMIENTOS!$C$5:$C$1005="P")*(MOVIMIENTOS!$D$5:$D$1005="jabas")*(MOVIMIENTOS!$A$5:$A$1005&lt;&gt;"")*(MOVIMIENTOS!$A$5:$A$1005&lt;=$A961)*MOVIMIENTOS!$E$5:$E$1005))</f>
        <v/>
      </c>
      <c r="D961" t="str">
        <f>IF($A961="","",SUMPRODUCT((MOVIMIENTOS!$B$5:$B$1005="SALDO INICIAL")*(MOVIMIENTOS!$C$5:$C$1005="C")*(MOVIMIENTOS!$D$5:$D$1005="jabas")*(MOVIMIENTOS!$A$5:$A$1005&lt;&gt;"")*(MOVIMIENTOS!$A$5:$A$1005&lt;=$A961)*MOVIMIENTOS!$E$5:$E$1005)+SUMPRODUCT((MOVIMIENTOS!$B$5:$B$1005="PROCESO")*(MOVIMIENTOS!$C$5:$C$1005="C")*(MOVIMIENTOS!$D$5:$D$1005="jabas")*(MOVIMIENTOS!$A$5:$A$1005&lt;&gt;"")*(MOVIMIENTOS!$A$5:$A$1005&lt;=$A961)*MOVIMIENTOS!$E$5:$E$1005)-SUMPRODUCT((MOVIMIENTOS!$B$5:$B$1005="ENVÍO A SUPESA")*(MOVIMIENTOS!$C$5:$C$1005="C")*(MOVIMIENTOS!$D$5:$D$1005="jabas")*(MOVIMIENTOS!$A$5:$A$1005&lt;&gt;"")*(MOVIMIENTOS!$A$5:$A$1005&lt;=$A961)*MOVIMIENTOS!$E$5:$E$1005)+SUMPRODUCT((MOVIMIENTOS!$B$5:$B$1005="DEVOLUCIÓN")*(MOVIMIENTOS!$C$5:$C$1005="C")*(MOVIMIENTOS!$D$5:$D$1005="jabas")*(MOVIMIENTOS!$A$5:$A$1005&lt;&gt;"")*(MOVIMIENTOS!$A$5:$A$1005&lt;=$A961)*MOVIMIENTOS!$E$5:$E$1005)-SUMPRODUCT((MOVIMIENTOS!$B$5:$B$1005="TRASIEGO")*(MOVIMIENTOS!$C$5:$C$1005="C")*(MOVIMIENTOS!$D$5:$D$1005="jabas")*(MOVIMIENTOS!$A$5:$A$1005&lt;&gt;"")*(MOVIMIENTOS!$A$5:$A$1005&lt;=$A961)*MOVIMIENTOS!$E$5:$E$1005)-SUMPRODUCT((MOVIMIENTOS!$B$5:$B$1005="REGALO")*(MOVIMIENTOS!$C$5:$C$1005="C")*(MOVIMIENTOS!$D$5:$D$1005="jabas")*(MOVIMIENTOS!$A$5:$A$1005&lt;&gt;"")*(MOVIMIENTOS!$A$5:$A$1005&lt;=$A961)*MOVIMIENTOS!$E$5:$E$1005)-SUMPRODUCT((MOVIMIENTOS!$B$5:$B$1005="VENTA")*(MOVIMIENTOS!$C$5:$C$1005="C")*(MOVIMIENTOS!$D$5:$D$1005="jabas")*(MOVIMIENTOS!$A$5:$A$1005&lt;&gt;"")*(MOVIMIENTOS!$A$5:$A$1005&lt;=$A961)*MOVIMIENTOS!$E$5:$E$1005)+SUMPRODUCT((MOVIMIENTOS!$B$5:$B$1005="AJUSTE")*(MOVIMIENTOS!$C$5:$C$1005="C")*(MOVIMIENTOS!$D$5:$D$1005="jabas")*(MOVIMIENTOS!$A$5:$A$1005&lt;&gt;"")*(MOVIMIENTOS!$A$5:$A$1005&lt;=$A961)*MOVIMIENTOS!$E$5:$E$1005))</f>
        <v/>
      </c>
      <c r="E961" t="str">
        <f>IF($A961="","",SUMPRODUCT((MOVIMIENTOS!$B$5:$B$1005="SALDO INICIAL")*(MOVIMIENTOS!$C$5:$C$1005="M")*(MOVIMIENTOS!$D$5:$D$1005="jabas")*(MOVIMIENTOS!$A$5:$A$1005&lt;&gt;"")*(MOVIMIENTOS!$A$5:$A$1005&lt;=$A961)*MOVIMIENTOS!$E$5:$E$1005)+SUMPRODUCT((MOVIMIENTOS!$B$5:$B$1005="PROCESO")*(MOVIMIENTOS!$C$5:$C$1005="M")*(MOVIMIENTOS!$D$5:$D$1005="jabas")*(MOVIMIENTOS!$A$5:$A$1005&lt;&gt;"")*(MOVIMIENTOS!$A$5:$A$1005&lt;=$A961)*MOVIMIENTOS!$E$5:$E$1005)-SUMPRODUCT((MOVIMIENTOS!$B$5:$B$1005="ENVÍO A SUPESA")*(MOVIMIENTOS!$C$5:$C$1005="M")*(MOVIMIENTOS!$D$5:$D$1005="jabas")*(MOVIMIENTOS!$A$5:$A$1005&lt;&gt;"")*(MOVIMIENTOS!$A$5:$A$1005&lt;=$A961)*MOVIMIENTOS!$E$5:$E$1005)+SUMPRODUCT((MOVIMIENTOS!$B$5:$B$1005="DEVOLUCIÓN")*(MOVIMIENTOS!$C$5:$C$1005="M")*(MOVIMIENTOS!$D$5:$D$1005="jabas")*(MOVIMIENTOS!$A$5:$A$1005&lt;&gt;"")*(MOVIMIENTOS!$A$5:$A$1005&lt;=$A961)*MOVIMIENTOS!$E$5:$E$1005)-SUMPRODUCT((MOVIMIENTOS!$B$5:$B$1005="TRASIEGO")*(MOVIMIENTOS!$C$5:$C$1005="M")*(MOVIMIENTOS!$D$5:$D$1005="jabas")*(MOVIMIENTOS!$A$5:$A$1005&lt;&gt;"")*(MOVIMIENTOS!$A$5:$A$1005&lt;=$A961)*MOVIMIENTOS!$E$5:$E$1005)-SUMPRODUCT((MOVIMIENTOS!$B$5:$B$1005="REGALO")*(MOVIMIENTOS!$C$5:$C$1005="M")*(MOVIMIENTOS!$D$5:$D$1005="jabas")*(MOVIMIENTOS!$A$5:$A$1005&lt;&gt;"")*(MOVIMIENTOS!$A$5:$A$1005&lt;=$A961)*MOVIMIENTOS!$E$5:$E$1005)-SUMPRODUCT((MOVIMIENTOS!$B$5:$B$1005="VENTA")*(MOVIMIENTOS!$C$5:$C$1005="M")*(MOVIMIENTOS!$D$5:$D$1005="jabas")*(MOVIMIENTOS!$A$5:$A$1005&lt;&gt;"")*(MOVIMIENTOS!$A$5:$A$1005&lt;=$A961)*MOVIMIENTOS!$E$5:$E$1005)+SUMPRODUCT((MOVIMIENTOS!$B$5:$B$1005="AJUSTE")*(MOVIMIENTOS!$C$5:$C$1005="M")*(MOVIMIENTOS!$D$5:$D$1005="jabas")*(MOVIMIENTOS!$A$5:$A$1005&lt;&gt;"")*(MOVIMIENTOS!$A$5:$A$1005&lt;=$A961)*MOVIMIENTOS!$E$5:$E$1005))</f>
        <v/>
      </c>
      <c r="F961" s="62" t="str">
        <f>IF($A961="","",SUMPRODUCT((MOVIMIENTOS!$B$5:$B$1005="SALDO INICIAL")*(MOVIMIENTOS!$C$5:$C$1005="Chancho")*(MOVIMIENTOS!$D$5:$D$1005="sacos")*(MOVIMIENTOS!$A$5:$A$1005&lt;&gt;"")*(MOVIMIENTOS!$A$5:$A$1005&lt;=$A961)*MOVIMIENTOS!$E$5:$E$1005)+SUMPRODUCT((MOVIMIENTOS!$B$5:$B$1005="PROCESO")*(MOVIMIENTOS!$C$5:$C$1005="Chancho")*(MOVIMIENTOS!$D$5:$D$1005="sacos")*(MOVIMIENTOS!$A$5:$A$1005&lt;&gt;"")*(MOVIMIENTOS!$A$5:$A$1005&lt;=$A961)*MOVIMIENTOS!$E$5:$E$1005)-SUMPRODUCT((MOVIMIENTOS!$B$5:$B$1005="VENTA CHANCHO")*(MOVIMIENTOS!$C$5:$C$1005="Chancho")*(MOVIMIENTOS!$D$5:$D$1005="sacos")*(MOVIMIENTOS!$A$5:$A$1005&lt;&gt;"")*(MOVIMIENTOS!$A$5:$A$1005&lt;=$A961)*MOVIMIENTOS!$E$5:$E$1005)-SUMPRODUCT((MOVIMIENTOS!$B$5:$B$1005="REGALO")*(MOVIMIENTOS!$C$5:$C$1005="Chancho")*(MOVIMIENTOS!$D$5:$D$1005="sacos")*(MOVIMIENTOS!$A$5:$A$1005&lt;&gt;"")*(MOVIMIENTOS!$A$5:$A$1005&lt;=$A961)*MOVIMIENTOS!$E$5:$E$1005)-SUMPRODUCT((MOVIMIENTOS!$B$5:$B$1005="VENTA")*(MOVIMIENTOS!$C$5:$C$1005="Chancho")*(MOVIMIENTOS!$D$5:$D$1005="sacos")*(MOVIMIENTOS!$A$5:$A$1005&lt;&gt;"")*(MOVIMIENTOS!$A$5:$A$1005&lt;=$A961)*MOVIMIENTOS!$E$5:$E$1005)+SUMPRODUCT((MOVIMIENTOS!$B$5:$B$1005="AJUSTE")*(MOVIMIENTOS!$C$5:$C$1005="Chancho")*(MOVIMIENTOS!$D$5:$D$1005="sacos")*(MOVIMIENTOS!$A$5:$A$1005&lt;&gt;"")*(MOVIMIENTOS!$A$5:$A$1005&lt;=$A961)*MOVIMIENTOS!$E$5:$E$1005))</f>
        <v/>
      </c>
      <c r="G961" s="62" t="str">
        <f t="shared" si="29"/>
        <v/>
      </c>
      <c r="H961" t="str">
        <f>IF($A961="","",SUMPRODUCT((((MOVIMIENTOS!$B$5:$B$1005="SALDO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961)*MOVIMIENTOS!$J$5:$J$1005))</f>
        <v/>
      </c>
      <c r="J961" t="str">
        <f>IF(AND(MOVIMIENTOS!$A966&lt;&gt;"",COUNTIF(MOVIMIENTOS!$A$5:$A965,MOVIMIENTOS!$A966)=0),COUNT(J$4:J960)+1,"")</f>
        <v/>
      </c>
      <c r="K961">
        <f>MOVIMIENTOS!$A966</f>
        <v>0</v>
      </c>
    </row>
    <row r="962" spans="1:11" ht="15" customHeight="1" x14ac:dyDescent="0.2">
      <c r="A962" t="str">
        <f t="shared" si="28"/>
        <v/>
      </c>
      <c r="B962" t="str">
        <f>IF($A962="","",SUMPRODUCT((MOVIMIENTOS!$B$5:$B$1005="SALDO INICIAL")*(MOVIMIENTOS!$C$5:$C$1005="A")*(MOVIMIENTOS!$D$5:$D$1005="jabas")*(MOVIMIENTOS!$A$5:$A$1005&lt;&gt;"")*(MOVIMIENTOS!$A$5:$A$1005&lt;=$A962)*MOVIMIENTOS!$E$5:$E$1005)+SUMPRODUCT((MOVIMIENTOS!$B$5:$B$1005="PROCESO")*(MOVIMIENTOS!$C$5:$C$1005="A")*(MOVIMIENTOS!$D$5:$D$1005="jabas")*(MOVIMIENTOS!$A$5:$A$1005&lt;&gt;"")*(MOVIMIENTOS!$A$5:$A$1005&lt;=$A962)*MOVIMIENTOS!$E$5:$E$1005)-SUMPRODUCT((MOVIMIENTOS!$B$5:$B$1005="ENVÍO A SUPESA")*(MOVIMIENTOS!$C$5:$C$1005="A")*(MOVIMIENTOS!$D$5:$D$1005="jabas")*(MOVIMIENTOS!$A$5:$A$1005&lt;&gt;"")*(MOVIMIENTOS!$A$5:$A$1005&lt;=$A962)*MOVIMIENTOS!$E$5:$E$1005)+SUMPRODUCT((MOVIMIENTOS!$B$5:$B$1005="DEVOLUCIÓN")*(MOVIMIENTOS!$C$5:$C$1005="A")*(MOVIMIENTOS!$D$5:$D$1005="jabas")*(MOVIMIENTOS!$A$5:$A$1005&lt;&gt;"")*(MOVIMIENTOS!$A$5:$A$1005&lt;=$A962)*MOVIMIENTOS!$E$5:$E$1005)-SUMPRODUCT((MOVIMIENTOS!$B$5:$B$1005="TRASIEGO")*(MOVIMIENTOS!$C$5:$C$1005="A")*(MOVIMIENTOS!$D$5:$D$1005="jabas")*(MOVIMIENTOS!$A$5:$A$1005&lt;&gt;"")*(MOVIMIENTOS!$A$5:$A$1005&lt;=$A962)*MOVIMIENTOS!$E$5:$E$1005)-SUMPRODUCT((MOVIMIENTOS!$B$5:$B$1005="REGALO")*(MOVIMIENTOS!$C$5:$C$1005="A")*(MOVIMIENTOS!$D$5:$D$1005="jabas")*(MOVIMIENTOS!$A$5:$A$1005&lt;&gt;"")*(MOVIMIENTOS!$A$5:$A$1005&lt;=$A962)*MOVIMIENTOS!$E$5:$E$1005)-SUMPRODUCT((MOVIMIENTOS!$B$5:$B$1005="VENTA")*(MOVIMIENTOS!$C$5:$C$1005="A")*(MOVIMIENTOS!$D$5:$D$1005="jabas")*(MOVIMIENTOS!$A$5:$A$1005&lt;&gt;"")*(MOVIMIENTOS!$A$5:$A$1005&lt;=$A962)*MOVIMIENTOS!$E$5:$E$1005)+SUMPRODUCT((MOVIMIENTOS!$B$5:$B$1005="AJUSTE")*(MOVIMIENTOS!$C$5:$C$1005="A")*(MOVIMIENTOS!$D$5:$D$1005="jabas")*(MOVIMIENTOS!$A$5:$A$1005&lt;&gt;"")*(MOVIMIENTOS!$A$5:$A$1005&lt;=$A962)*MOVIMIENTOS!$E$5:$E$1005))</f>
        <v/>
      </c>
      <c r="C962" t="str">
        <f>IF($A962="","",SUMPRODUCT((MOVIMIENTOS!$B$5:$B$1005="SALDO INICIAL")*(MOVIMIENTOS!$C$5:$C$1005="P")*(MOVIMIENTOS!$D$5:$D$1005="jabas")*(MOVIMIENTOS!$A$5:$A$1005&lt;&gt;"")*(MOVIMIENTOS!$A$5:$A$1005&lt;=$A962)*MOVIMIENTOS!$E$5:$E$1005)+SUMPRODUCT((MOVIMIENTOS!$B$5:$B$1005="PROCESO")*(MOVIMIENTOS!$C$5:$C$1005="P")*(MOVIMIENTOS!$D$5:$D$1005="jabas")*(MOVIMIENTOS!$A$5:$A$1005&lt;&gt;"")*(MOVIMIENTOS!$A$5:$A$1005&lt;=$A962)*MOVIMIENTOS!$E$5:$E$1005)-SUMPRODUCT((MOVIMIENTOS!$B$5:$B$1005="ENVÍO A SUPESA")*(MOVIMIENTOS!$C$5:$C$1005="P")*(MOVIMIENTOS!$D$5:$D$1005="jabas")*(MOVIMIENTOS!$A$5:$A$1005&lt;&gt;"")*(MOVIMIENTOS!$A$5:$A$1005&lt;=$A962)*MOVIMIENTOS!$E$5:$E$1005)+SUMPRODUCT((MOVIMIENTOS!$B$5:$B$1005="DEVOLUCIÓN")*(MOVIMIENTOS!$C$5:$C$1005="P")*(MOVIMIENTOS!$D$5:$D$1005="jabas")*(MOVIMIENTOS!$A$5:$A$1005&lt;&gt;"")*(MOVIMIENTOS!$A$5:$A$1005&lt;=$A962)*MOVIMIENTOS!$E$5:$E$1005)-SUMPRODUCT((MOVIMIENTOS!$B$5:$B$1005="TRASIEGO")*(MOVIMIENTOS!$C$5:$C$1005="P")*(MOVIMIENTOS!$D$5:$D$1005="jabas")*(MOVIMIENTOS!$A$5:$A$1005&lt;&gt;"")*(MOVIMIENTOS!$A$5:$A$1005&lt;=$A962)*MOVIMIENTOS!$E$5:$E$1005)-SUMPRODUCT((MOVIMIENTOS!$B$5:$B$1005="REGALO")*(MOVIMIENTOS!$C$5:$C$1005="P")*(MOVIMIENTOS!$D$5:$D$1005="jabas")*(MOVIMIENTOS!$A$5:$A$1005&lt;&gt;"")*(MOVIMIENTOS!$A$5:$A$1005&lt;=$A962)*MOVIMIENTOS!$E$5:$E$1005)-SUMPRODUCT((MOVIMIENTOS!$B$5:$B$1005="VENTA")*(MOVIMIENTOS!$C$5:$C$1005="P")*(MOVIMIENTOS!$D$5:$D$1005="jabas")*(MOVIMIENTOS!$A$5:$A$1005&lt;&gt;"")*(MOVIMIENTOS!$A$5:$A$1005&lt;=$A962)*MOVIMIENTOS!$E$5:$E$1005)+SUMPRODUCT((MOVIMIENTOS!$B$5:$B$1005="AJUSTE")*(MOVIMIENTOS!$C$5:$C$1005="P")*(MOVIMIENTOS!$D$5:$D$1005="jabas")*(MOVIMIENTOS!$A$5:$A$1005&lt;&gt;"")*(MOVIMIENTOS!$A$5:$A$1005&lt;=$A962)*MOVIMIENTOS!$E$5:$E$1005))</f>
        <v/>
      </c>
      <c r="D962" t="str">
        <f>IF($A962="","",SUMPRODUCT((MOVIMIENTOS!$B$5:$B$1005="SALDO INICIAL")*(MOVIMIENTOS!$C$5:$C$1005="C")*(MOVIMIENTOS!$D$5:$D$1005="jabas")*(MOVIMIENTOS!$A$5:$A$1005&lt;&gt;"")*(MOVIMIENTOS!$A$5:$A$1005&lt;=$A962)*MOVIMIENTOS!$E$5:$E$1005)+SUMPRODUCT((MOVIMIENTOS!$B$5:$B$1005="PROCESO")*(MOVIMIENTOS!$C$5:$C$1005="C")*(MOVIMIENTOS!$D$5:$D$1005="jabas")*(MOVIMIENTOS!$A$5:$A$1005&lt;&gt;"")*(MOVIMIENTOS!$A$5:$A$1005&lt;=$A962)*MOVIMIENTOS!$E$5:$E$1005)-SUMPRODUCT((MOVIMIENTOS!$B$5:$B$1005="ENVÍO A SUPESA")*(MOVIMIENTOS!$C$5:$C$1005="C")*(MOVIMIENTOS!$D$5:$D$1005="jabas")*(MOVIMIENTOS!$A$5:$A$1005&lt;&gt;"")*(MOVIMIENTOS!$A$5:$A$1005&lt;=$A962)*MOVIMIENTOS!$E$5:$E$1005)+SUMPRODUCT((MOVIMIENTOS!$B$5:$B$1005="DEVOLUCIÓN")*(MOVIMIENTOS!$C$5:$C$1005="C")*(MOVIMIENTOS!$D$5:$D$1005="jabas")*(MOVIMIENTOS!$A$5:$A$1005&lt;&gt;"")*(MOVIMIENTOS!$A$5:$A$1005&lt;=$A962)*MOVIMIENTOS!$E$5:$E$1005)-SUMPRODUCT((MOVIMIENTOS!$B$5:$B$1005="TRASIEGO")*(MOVIMIENTOS!$C$5:$C$1005="C")*(MOVIMIENTOS!$D$5:$D$1005="jabas")*(MOVIMIENTOS!$A$5:$A$1005&lt;&gt;"")*(MOVIMIENTOS!$A$5:$A$1005&lt;=$A962)*MOVIMIENTOS!$E$5:$E$1005)-SUMPRODUCT((MOVIMIENTOS!$B$5:$B$1005="REGALO")*(MOVIMIENTOS!$C$5:$C$1005="C")*(MOVIMIENTOS!$D$5:$D$1005="jabas")*(MOVIMIENTOS!$A$5:$A$1005&lt;&gt;"")*(MOVIMIENTOS!$A$5:$A$1005&lt;=$A962)*MOVIMIENTOS!$E$5:$E$1005)-SUMPRODUCT((MOVIMIENTOS!$B$5:$B$1005="VENTA")*(MOVIMIENTOS!$C$5:$C$1005="C")*(MOVIMIENTOS!$D$5:$D$1005="jabas")*(MOVIMIENTOS!$A$5:$A$1005&lt;&gt;"")*(MOVIMIENTOS!$A$5:$A$1005&lt;=$A962)*MOVIMIENTOS!$E$5:$E$1005)+SUMPRODUCT((MOVIMIENTOS!$B$5:$B$1005="AJUSTE")*(MOVIMIENTOS!$C$5:$C$1005="C")*(MOVIMIENTOS!$D$5:$D$1005="jabas")*(MOVIMIENTOS!$A$5:$A$1005&lt;&gt;"")*(MOVIMIENTOS!$A$5:$A$1005&lt;=$A962)*MOVIMIENTOS!$E$5:$E$1005))</f>
        <v/>
      </c>
      <c r="E962" t="str">
        <f>IF($A962="","",SUMPRODUCT((MOVIMIENTOS!$B$5:$B$1005="SALDO INICIAL")*(MOVIMIENTOS!$C$5:$C$1005="M")*(MOVIMIENTOS!$D$5:$D$1005="jabas")*(MOVIMIENTOS!$A$5:$A$1005&lt;&gt;"")*(MOVIMIENTOS!$A$5:$A$1005&lt;=$A962)*MOVIMIENTOS!$E$5:$E$1005)+SUMPRODUCT((MOVIMIENTOS!$B$5:$B$1005="PROCESO")*(MOVIMIENTOS!$C$5:$C$1005="M")*(MOVIMIENTOS!$D$5:$D$1005="jabas")*(MOVIMIENTOS!$A$5:$A$1005&lt;&gt;"")*(MOVIMIENTOS!$A$5:$A$1005&lt;=$A962)*MOVIMIENTOS!$E$5:$E$1005)-SUMPRODUCT((MOVIMIENTOS!$B$5:$B$1005="ENVÍO A SUPESA")*(MOVIMIENTOS!$C$5:$C$1005="M")*(MOVIMIENTOS!$D$5:$D$1005="jabas")*(MOVIMIENTOS!$A$5:$A$1005&lt;&gt;"")*(MOVIMIENTOS!$A$5:$A$1005&lt;=$A962)*MOVIMIENTOS!$E$5:$E$1005)+SUMPRODUCT((MOVIMIENTOS!$B$5:$B$1005="DEVOLUCIÓN")*(MOVIMIENTOS!$C$5:$C$1005="M")*(MOVIMIENTOS!$D$5:$D$1005="jabas")*(MOVIMIENTOS!$A$5:$A$1005&lt;&gt;"")*(MOVIMIENTOS!$A$5:$A$1005&lt;=$A962)*MOVIMIENTOS!$E$5:$E$1005)-SUMPRODUCT((MOVIMIENTOS!$B$5:$B$1005="TRASIEGO")*(MOVIMIENTOS!$C$5:$C$1005="M")*(MOVIMIENTOS!$D$5:$D$1005="jabas")*(MOVIMIENTOS!$A$5:$A$1005&lt;&gt;"")*(MOVIMIENTOS!$A$5:$A$1005&lt;=$A962)*MOVIMIENTOS!$E$5:$E$1005)-SUMPRODUCT((MOVIMIENTOS!$B$5:$B$1005="REGALO")*(MOVIMIENTOS!$C$5:$C$1005="M")*(MOVIMIENTOS!$D$5:$D$1005="jabas")*(MOVIMIENTOS!$A$5:$A$1005&lt;&gt;"")*(MOVIMIENTOS!$A$5:$A$1005&lt;=$A962)*MOVIMIENTOS!$E$5:$E$1005)-SUMPRODUCT((MOVIMIENTOS!$B$5:$B$1005="VENTA")*(MOVIMIENTOS!$C$5:$C$1005="M")*(MOVIMIENTOS!$D$5:$D$1005="jabas")*(MOVIMIENTOS!$A$5:$A$1005&lt;&gt;"")*(MOVIMIENTOS!$A$5:$A$1005&lt;=$A962)*MOVIMIENTOS!$E$5:$E$1005)+SUMPRODUCT((MOVIMIENTOS!$B$5:$B$1005="AJUSTE")*(MOVIMIENTOS!$C$5:$C$1005="M")*(MOVIMIENTOS!$D$5:$D$1005="jabas")*(MOVIMIENTOS!$A$5:$A$1005&lt;&gt;"")*(MOVIMIENTOS!$A$5:$A$1005&lt;=$A962)*MOVIMIENTOS!$E$5:$E$1005))</f>
        <v/>
      </c>
      <c r="F962" s="62" t="str">
        <f>IF($A962="","",SUMPRODUCT((MOVIMIENTOS!$B$5:$B$1005="SALDO INICIAL")*(MOVIMIENTOS!$C$5:$C$1005="Chancho")*(MOVIMIENTOS!$D$5:$D$1005="sacos")*(MOVIMIENTOS!$A$5:$A$1005&lt;&gt;"")*(MOVIMIENTOS!$A$5:$A$1005&lt;=$A962)*MOVIMIENTOS!$E$5:$E$1005)+SUMPRODUCT((MOVIMIENTOS!$B$5:$B$1005="PROCESO")*(MOVIMIENTOS!$C$5:$C$1005="Chancho")*(MOVIMIENTOS!$D$5:$D$1005="sacos")*(MOVIMIENTOS!$A$5:$A$1005&lt;&gt;"")*(MOVIMIENTOS!$A$5:$A$1005&lt;=$A962)*MOVIMIENTOS!$E$5:$E$1005)-SUMPRODUCT((MOVIMIENTOS!$B$5:$B$1005="VENTA CHANCHO")*(MOVIMIENTOS!$C$5:$C$1005="Chancho")*(MOVIMIENTOS!$D$5:$D$1005="sacos")*(MOVIMIENTOS!$A$5:$A$1005&lt;&gt;"")*(MOVIMIENTOS!$A$5:$A$1005&lt;=$A962)*MOVIMIENTOS!$E$5:$E$1005)-SUMPRODUCT((MOVIMIENTOS!$B$5:$B$1005="REGALO")*(MOVIMIENTOS!$C$5:$C$1005="Chancho")*(MOVIMIENTOS!$D$5:$D$1005="sacos")*(MOVIMIENTOS!$A$5:$A$1005&lt;&gt;"")*(MOVIMIENTOS!$A$5:$A$1005&lt;=$A962)*MOVIMIENTOS!$E$5:$E$1005)-SUMPRODUCT((MOVIMIENTOS!$B$5:$B$1005="VENTA")*(MOVIMIENTOS!$C$5:$C$1005="Chancho")*(MOVIMIENTOS!$D$5:$D$1005="sacos")*(MOVIMIENTOS!$A$5:$A$1005&lt;&gt;"")*(MOVIMIENTOS!$A$5:$A$1005&lt;=$A962)*MOVIMIENTOS!$E$5:$E$1005)+SUMPRODUCT((MOVIMIENTOS!$B$5:$B$1005="AJUSTE")*(MOVIMIENTOS!$C$5:$C$1005="Chancho")*(MOVIMIENTOS!$D$5:$D$1005="sacos")*(MOVIMIENTOS!$A$5:$A$1005&lt;&gt;"")*(MOVIMIENTOS!$A$5:$A$1005&lt;=$A962)*MOVIMIENTOS!$E$5:$E$1005))</f>
        <v/>
      </c>
      <c r="G962" s="62" t="str">
        <f t="shared" si="29"/>
        <v/>
      </c>
      <c r="H962" t="str">
        <f>IF($A962="","",SUMPRODUCT((((MOVIMIENTOS!$B$5:$B$1005="SALDO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962)*MOVIMIENTOS!$J$5:$J$1005))</f>
        <v/>
      </c>
      <c r="J962" t="str">
        <f>IF(AND(MOVIMIENTOS!$A967&lt;&gt;"",COUNTIF(MOVIMIENTOS!$A$5:$A966,MOVIMIENTOS!$A967)=0),COUNT(J$4:J961)+1,"")</f>
        <v/>
      </c>
      <c r="K962">
        <f>MOVIMIENTOS!$A967</f>
        <v>0</v>
      </c>
    </row>
    <row r="963" spans="1:11" ht="15" customHeight="1" x14ac:dyDescent="0.2">
      <c r="A963" t="str">
        <f t="shared" si="28"/>
        <v/>
      </c>
      <c r="B963" t="str">
        <f>IF($A963="","",SUMPRODUCT((MOVIMIENTOS!$B$5:$B$1005="SALDO INICIAL")*(MOVIMIENTOS!$C$5:$C$1005="A")*(MOVIMIENTOS!$D$5:$D$1005="jabas")*(MOVIMIENTOS!$A$5:$A$1005&lt;&gt;"")*(MOVIMIENTOS!$A$5:$A$1005&lt;=$A963)*MOVIMIENTOS!$E$5:$E$1005)+SUMPRODUCT((MOVIMIENTOS!$B$5:$B$1005="PROCESO")*(MOVIMIENTOS!$C$5:$C$1005="A")*(MOVIMIENTOS!$D$5:$D$1005="jabas")*(MOVIMIENTOS!$A$5:$A$1005&lt;&gt;"")*(MOVIMIENTOS!$A$5:$A$1005&lt;=$A963)*MOVIMIENTOS!$E$5:$E$1005)-SUMPRODUCT((MOVIMIENTOS!$B$5:$B$1005="ENVÍO A SUPESA")*(MOVIMIENTOS!$C$5:$C$1005="A")*(MOVIMIENTOS!$D$5:$D$1005="jabas")*(MOVIMIENTOS!$A$5:$A$1005&lt;&gt;"")*(MOVIMIENTOS!$A$5:$A$1005&lt;=$A963)*MOVIMIENTOS!$E$5:$E$1005)+SUMPRODUCT((MOVIMIENTOS!$B$5:$B$1005="DEVOLUCIÓN")*(MOVIMIENTOS!$C$5:$C$1005="A")*(MOVIMIENTOS!$D$5:$D$1005="jabas")*(MOVIMIENTOS!$A$5:$A$1005&lt;&gt;"")*(MOVIMIENTOS!$A$5:$A$1005&lt;=$A963)*MOVIMIENTOS!$E$5:$E$1005)-SUMPRODUCT((MOVIMIENTOS!$B$5:$B$1005="TRASIEGO")*(MOVIMIENTOS!$C$5:$C$1005="A")*(MOVIMIENTOS!$D$5:$D$1005="jabas")*(MOVIMIENTOS!$A$5:$A$1005&lt;&gt;"")*(MOVIMIENTOS!$A$5:$A$1005&lt;=$A963)*MOVIMIENTOS!$E$5:$E$1005)-SUMPRODUCT((MOVIMIENTOS!$B$5:$B$1005="REGALO")*(MOVIMIENTOS!$C$5:$C$1005="A")*(MOVIMIENTOS!$D$5:$D$1005="jabas")*(MOVIMIENTOS!$A$5:$A$1005&lt;&gt;"")*(MOVIMIENTOS!$A$5:$A$1005&lt;=$A963)*MOVIMIENTOS!$E$5:$E$1005)-SUMPRODUCT((MOVIMIENTOS!$B$5:$B$1005="VENTA")*(MOVIMIENTOS!$C$5:$C$1005="A")*(MOVIMIENTOS!$D$5:$D$1005="jabas")*(MOVIMIENTOS!$A$5:$A$1005&lt;&gt;"")*(MOVIMIENTOS!$A$5:$A$1005&lt;=$A963)*MOVIMIENTOS!$E$5:$E$1005)+SUMPRODUCT((MOVIMIENTOS!$B$5:$B$1005="AJUSTE")*(MOVIMIENTOS!$C$5:$C$1005="A")*(MOVIMIENTOS!$D$5:$D$1005="jabas")*(MOVIMIENTOS!$A$5:$A$1005&lt;&gt;"")*(MOVIMIENTOS!$A$5:$A$1005&lt;=$A963)*MOVIMIENTOS!$E$5:$E$1005))</f>
        <v/>
      </c>
      <c r="C963" t="str">
        <f>IF($A963="","",SUMPRODUCT((MOVIMIENTOS!$B$5:$B$1005="SALDO INICIAL")*(MOVIMIENTOS!$C$5:$C$1005="P")*(MOVIMIENTOS!$D$5:$D$1005="jabas")*(MOVIMIENTOS!$A$5:$A$1005&lt;&gt;"")*(MOVIMIENTOS!$A$5:$A$1005&lt;=$A963)*MOVIMIENTOS!$E$5:$E$1005)+SUMPRODUCT((MOVIMIENTOS!$B$5:$B$1005="PROCESO")*(MOVIMIENTOS!$C$5:$C$1005="P")*(MOVIMIENTOS!$D$5:$D$1005="jabas")*(MOVIMIENTOS!$A$5:$A$1005&lt;&gt;"")*(MOVIMIENTOS!$A$5:$A$1005&lt;=$A963)*MOVIMIENTOS!$E$5:$E$1005)-SUMPRODUCT((MOVIMIENTOS!$B$5:$B$1005="ENVÍO A SUPESA")*(MOVIMIENTOS!$C$5:$C$1005="P")*(MOVIMIENTOS!$D$5:$D$1005="jabas")*(MOVIMIENTOS!$A$5:$A$1005&lt;&gt;"")*(MOVIMIENTOS!$A$5:$A$1005&lt;=$A963)*MOVIMIENTOS!$E$5:$E$1005)+SUMPRODUCT((MOVIMIENTOS!$B$5:$B$1005="DEVOLUCIÓN")*(MOVIMIENTOS!$C$5:$C$1005="P")*(MOVIMIENTOS!$D$5:$D$1005="jabas")*(MOVIMIENTOS!$A$5:$A$1005&lt;&gt;"")*(MOVIMIENTOS!$A$5:$A$1005&lt;=$A963)*MOVIMIENTOS!$E$5:$E$1005)-SUMPRODUCT((MOVIMIENTOS!$B$5:$B$1005="TRASIEGO")*(MOVIMIENTOS!$C$5:$C$1005="P")*(MOVIMIENTOS!$D$5:$D$1005="jabas")*(MOVIMIENTOS!$A$5:$A$1005&lt;&gt;"")*(MOVIMIENTOS!$A$5:$A$1005&lt;=$A963)*MOVIMIENTOS!$E$5:$E$1005)-SUMPRODUCT((MOVIMIENTOS!$B$5:$B$1005="REGALO")*(MOVIMIENTOS!$C$5:$C$1005="P")*(MOVIMIENTOS!$D$5:$D$1005="jabas")*(MOVIMIENTOS!$A$5:$A$1005&lt;&gt;"")*(MOVIMIENTOS!$A$5:$A$1005&lt;=$A963)*MOVIMIENTOS!$E$5:$E$1005)-SUMPRODUCT((MOVIMIENTOS!$B$5:$B$1005="VENTA")*(MOVIMIENTOS!$C$5:$C$1005="P")*(MOVIMIENTOS!$D$5:$D$1005="jabas")*(MOVIMIENTOS!$A$5:$A$1005&lt;&gt;"")*(MOVIMIENTOS!$A$5:$A$1005&lt;=$A963)*MOVIMIENTOS!$E$5:$E$1005)+SUMPRODUCT((MOVIMIENTOS!$B$5:$B$1005="AJUSTE")*(MOVIMIENTOS!$C$5:$C$1005="P")*(MOVIMIENTOS!$D$5:$D$1005="jabas")*(MOVIMIENTOS!$A$5:$A$1005&lt;&gt;"")*(MOVIMIENTOS!$A$5:$A$1005&lt;=$A963)*MOVIMIENTOS!$E$5:$E$1005))</f>
        <v/>
      </c>
      <c r="D963" t="str">
        <f>IF($A963="","",SUMPRODUCT((MOVIMIENTOS!$B$5:$B$1005="SALDO INICIAL")*(MOVIMIENTOS!$C$5:$C$1005="C")*(MOVIMIENTOS!$D$5:$D$1005="jabas")*(MOVIMIENTOS!$A$5:$A$1005&lt;&gt;"")*(MOVIMIENTOS!$A$5:$A$1005&lt;=$A963)*MOVIMIENTOS!$E$5:$E$1005)+SUMPRODUCT((MOVIMIENTOS!$B$5:$B$1005="PROCESO")*(MOVIMIENTOS!$C$5:$C$1005="C")*(MOVIMIENTOS!$D$5:$D$1005="jabas")*(MOVIMIENTOS!$A$5:$A$1005&lt;&gt;"")*(MOVIMIENTOS!$A$5:$A$1005&lt;=$A963)*MOVIMIENTOS!$E$5:$E$1005)-SUMPRODUCT((MOVIMIENTOS!$B$5:$B$1005="ENVÍO A SUPESA")*(MOVIMIENTOS!$C$5:$C$1005="C")*(MOVIMIENTOS!$D$5:$D$1005="jabas")*(MOVIMIENTOS!$A$5:$A$1005&lt;&gt;"")*(MOVIMIENTOS!$A$5:$A$1005&lt;=$A963)*MOVIMIENTOS!$E$5:$E$1005)+SUMPRODUCT((MOVIMIENTOS!$B$5:$B$1005="DEVOLUCIÓN")*(MOVIMIENTOS!$C$5:$C$1005="C")*(MOVIMIENTOS!$D$5:$D$1005="jabas")*(MOVIMIENTOS!$A$5:$A$1005&lt;&gt;"")*(MOVIMIENTOS!$A$5:$A$1005&lt;=$A963)*MOVIMIENTOS!$E$5:$E$1005)-SUMPRODUCT((MOVIMIENTOS!$B$5:$B$1005="TRASIEGO")*(MOVIMIENTOS!$C$5:$C$1005="C")*(MOVIMIENTOS!$D$5:$D$1005="jabas")*(MOVIMIENTOS!$A$5:$A$1005&lt;&gt;"")*(MOVIMIENTOS!$A$5:$A$1005&lt;=$A963)*MOVIMIENTOS!$E$5:$E$1005)-SUMPRODUCT((MOVIMIENTOS!$B$5:$B$1005="REGALO")*(MOVIMIENTOS!$C$5:$C$1005="C")*(MOVIMIENTOS!$D$5:$D$1005="jabas")*(MOVIMIENTOS!$A$5:$A$1005&lt;&gt;"")*(MOVIMIENTOS!$A$5:$A$1005&lt;=$A963)*MOVIMIENTOS!$E$5:$E$1005)-SUMPRODUCT((MOVIMIENTOS!$B$5:$B$1005="VENTA")*(MOVIMIENTOS!$C$5:$C$1005="C")*(MOVIMIENTOS!$D$5:$D$1005="jabas")*(MOVIMIENTOS!$A$5:$A$1005&lt;&gt;"")*(MOVIMIENTOS!$A$5:$A$1005&lt;=$A963)*MOVIMIENTOS!$E$5:$E$1005)+SUMPRODUCT((MOVIMIENTOS!$B$5:$B$1005="AJUSTE")*(MOVIMIENTOS!$C$5:$C$1005="C")*(MOVIMIENTOS!$D$5:$D$1005="jabas")*(MOVIMIENTOS!$A$5:$A$1005&lt;&gt;"")*(MOVIMIENTOS!$A$5:$A$1005&lt;=$A963)*MOVIMIENTOS!$E$5:$E$1005))</f>
        <v/>
      </c>
      <c r="E963" t="str">
        <f>IF($A963="","",SUMPRODUCT((MOVIMIENTOS!$B$5:$B$1005="SALDO INICIAL")*(MOVIMIENTOS!$C$5:$C$1005="M")*(MOVIMIENTOS!$D$5:$D$1005="jabas")*(MOVIMIENTOS!$A$5:$A$1005&lt;&gt;"")*(MOVIMIENTOS!$A$5:$A$1005&lt;=$A963)*MOVIMIENTOS!$E$5:$E$1005)+SUMPRODUCT((MOVIMIENTOS!$B$5:$B$1005="PROCESO")*(MOVIMIENTOS!$C$5:$C$1005="M")*(MOVIMIENTOS!$D$5:$D$1005="jabas")*(MOVIMIENTOS!$A$5:$A$1005&lt;&gt;"")*(MOVIMIENTOS!$A$5:$A$1005&lt;=$A963)*MOVIMIENTOS!$E$5:$E$1005)-SUMPRODUCT((MOVIMIENTOS!$B$5:$B$1005="ENVÍO A SUPESA")*(MOVIMIENTOS!$C$5:$C$1005="M")*(MOVIMIENTOS!$D$5:$D$1005="jabas")*(MOVIMIENTOS!$A$5:$A$1005&lt;&gt;"")*(MOVIMIENTOS!$A$5:$A$1005&lt;=$A963)*MOVIMIENTOS!$E$5:$E$1005)+SUMPRODUCT((MOVIMIENTOS!$B$5:$B$1005="DEVOLUCIÓN")*(MOVIMIENTOS!$C$5:$C$1005="M")*(MOVIMIENTOS!$D$5:$D$1005="jabas")*(MOVIMIENTOS!$A$5:$A$1005&lt;&gt;"")*(MOVIMIENTOS!$A$5:$A$1005&lt;=$A963)*MOVIMIENTOS!$E$5:$E$1005)-SUMPRODUCT((MOVIMIENTOS!$B$5:$B$1005="TRASIEGO")*(MOVIMIENTOS!$C$5:$C$1005="M")*(MOVIMIENTOS!$D$5:$D$1005="jabas")*(MOVIMIENTOS!$A$5:$A$1005&lt;&gt;"")*(MOVIMIENTOS!$A$5:$A$1005&lt;=$A963)*MOVIMIENTOS!$E$5:$E$1005)-SUMPRODUCT((MOVIMIENTOS!$B$5:$B$1005="REGALO")*(MOVIMIENTOS!$C$5:$C$1005="M")*(MOVIMIENTOS!$D$5:$D$1005="jabas")*(MOVIMIENTOS!$A$5:$A$1005&lt;&gt;"")*(MOVIMIENTOS!$A$5:$A$1005&lt;=$A963)*MOVIMIENTOS!$E$5:$E$1005)-SUMPRODUCT((MOVIMIENTOS!$B$5:$B$1005="VENTA")*(MOVIMIENTOS!$C$5:$C$1005="M")*(MOVIMIENTOS!$D$5:$D$1005="jabas")*(MOVIMIENTOS!$A$5:$A$1005&lt;&gt;"")*(MOVIMIENTOS!$A$5:$A$1005&lt;=$A963)*MOVIMIENTOS!$E$5:$E$1005)+SUMPRODUCT((MOVIMIENTOS!$B$5:$B$1005="AJUSTE")*(MOVIMIENTOS!$C$5:$C$1005="M")*(MOVIMIENTOS!$D$5:$D$1005="jabas")*(MOVIMIENTOS!$A$5:$A$1005&lt;&gt;"")*(MOVIMIENTOS!$A$5:$A$1005&lt;=$A963)*MOVIMIENTOS!$E$5:$E$1005))</f>
        <v/>
      </c>
      <c r="F963" s="62" t="str">
        <f>IF($A963="","",SUMPRODUCT((MOVIMIENTOS!$B$5:$B$1005="SALDO INICIAL")*(MOVIMIENTOS!$C$5:$C$1005="Chancho")*(MOVIMIENTOS!$D$5:$D$1005="sacos")*(MOVIMIENTOS!$A$5:$A$1005&lt;&gt;"")*(MOVIMIENTOS!$A$5:$A$1005&lt;=$A963)*MOVIMIENTOS!$E$5:$E$1005)+SUMPRODUCT((MOVIMIENTOS!$B$5:$B$1005="PROCESO")*(MOVIMIENTOS!$C$5:$C$1005="Chancho")*(MOVIMIENTOS!$D$5:$D$1005="sacos")*(MOVIMIENTOS!$A$5:$A$1005&lt;&gt;"")*(MOVIMIENTOS!$A$5:$A$1005&lt;=$A963)*MOVIMIENTOS!$E$5:$E$1005)-SUMPRODUCT((MOVIMIENTOS!$B$5:$B$1005="VENTA CHANCHO")*(MOVIMIENTOS!$C$5:$C$1005="Chancho")*(MOVIMIENTOS!$D$5:$D$1005="sacos")*(MOVIMIENTOS!$A$5:$A$1005&lt;&gt;"")*(MOVIMIENTOS!$A$5:$A$1005&lt;=$A963)*MOVIMIENTOS!$E$5:$E$1005)-SUMPRODUCT((MOVIMIENTOS!$B$5:$B$1005="REGALO")*(MOVIMIENTOS!$C$5:$C$1005="Chancho")*(MOVIMIENTOS!$D$5:$D$1005="sacos")*(MOVIMIENTOS!$A$5:$A$1005&lt;&gt;"")*(MOVIMIENTOS!$A$5:$A$1005&lt;=$A963)*MOVIMIENTOS!$E$5:$E$1005)-SUMPRODUCT((MOVIMIENTOS!$B$5:$B$1005="VENTA")*(MOVIMIENTOS!$C$5:$C$1005="Chancho")*(MOVIMIENTOS!$D$5:$D$1005="sacos")*(MOVIMIENTOS!$A$5:$A$1005&lt;&gt;"")*(MOVIMIENTOS!$A$5:$A$1005&lt;=$A963)*MOVIMIENTOS!$E$5:$E$1005)+SUMPRODUCT((MOVIMIENTOS!$B$5:$B$1005="AJUSTE")*(MOVIMIENTOS!$C$5:$C$1005="Chancho")*(MOVIMIENTOS!$D$5:$D$1005="sacos")*(MOVIMIENTOS!$A$5:$A$1005&lt;&gt;"")*(MOVIMIENTOS!$A$5:$A$1005&lt;=$A963)*MOVIMIENTOS!$E$5:$E$1005))</f>
        <v/>
      </c>
      <c r="G963" s="62" t="str">
        <f t="shared" si="29"/>
        <v/>
      </c>
      <c r="H963" t="str">
        <f>IF($A963="","",SUMPRODUCT((((MOVIMIENTOS!$B$5:$B$1005="SALDO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963)*MOVIMIENTOS!$J$5:$J$1005))</f>
        <v/>
      </c>
      <c r="J963" t="str">
        <f>IF(AND(MOVIMIENTOS!$A968&lt;&gt;"",COUNTIF(MOVIMIENTOS!$A$5:$A967,MOVIMIENTOS!$A968)=0),COUNT(J$4:J962)+1,"")</f>
        <v/>
      </c>
      <c r="K963">
        <f>MOVIMIENTOS!$A968</f>
        <v>0</v>
      </c>
    </row>
    <row r="964" spans="1:11" ht="15" customHeight="1" x14ac:dyDescent="0.2">
      <c r="A964" t="str">
        <f t="shared" si="28"/>
        <v/>
      </c>
      <c r="B964" t="str">
        <f>IF($A964="","",SUMPRODUCT((MOVIMIENTOS!$B$5:$B$1005="SALDO INICIAL")*(MOVIMIENTOS!$C$5:$C$1005="A")*(MOVIMIENTOS!$D$5:$D$1005="jabas")*(MOVIMIENTOS!$A$5:$A$1005&lt;&gt;"")*(MOVIMIENTOS!$A$5:$A$1005&lt;=$A964)*MOVIMIENTOS!$E$5:$E$1005)+SUMPRODUCT((MOVIMIENTOS!$B$5:$B$1005="PROCESO")*(MOVIMIENTOS!$C$5:$C$1005="A")*(MOVIMIENTOS!$D$5:$D$1005="jabas")*(MOVIMIENTOS!$A$5:$A$1005&lt;&gt;"")*(MOVIMIENTOS!$A$5:$A$1005&lt;=$A964)*MOVIMIENTOS!$E$5:$E$1005)-SUMPRODUCT((MOVIMIENTOS!$B$5:$B$1005="ENVÍO A SUPESA")*(MOVIMIENTOS!$C$5:$C$1005="A")*(MOVIMIENTOS!$D$5:$D$1005="jabas")*(MOVIMIENTOS!$A$5:$A$1005&lt;&gt;"")*(MOVIMIENTOS!$A$5:$A$1005&lt;=$A964)*MOVIMIENTOS!$E$5:$E$1005)+SUMPRODUCT((MOVIMIENTOS!$B$5:$B$1005="DEVOLUCIÓN")*(MOVIMIENTOS!$C$5:$C$1005="A")*(MOVIMIENTOS!$D$5:$D$1005="jabas")*(MOVIMIENTOS!$A$5:$A$1005&lt;&gt;"")*(MOVIMIENTOS!$A$5:$A$1005&lt;=$A964)*MOVIMIENTOS!$E$5:$E$1005)-SUMPRODUCT((MOVIMIENTOS!$B$5:$B$1005="TRASIEGO")*(MOVIMIENTOS!$C$5:$C$1005="A")*(MOVIMIENTOS!$D$5:$D$1005="jabas")*(MOVIMIENTOS!$A$5:$A$1005&lt;&gt;"")*(MOVIMIENTOS!$A$5:$A$1005&lt;=$A964)*MOVIMIENTOS!$E$5:$E$1005)-SUMPRODUCT((MOVIMIENTOS!$B$5:$B$1005="REGALO")*(MOVIMIENTOS!$C$5:$C$1005="A")*(MOVIMIENTOS!$D$5:$D$1005="jabas")*(MOVIMIENTOS!$A$5:$A$1005&lt;&gt;"")*(MOVIMIENTOS!$A$5:$A$1005&lt;=$A964)*MOVIMIENTOS!$E$5:$E$1005)-SUMPRODUCT((MOVIMIENTOS!$B$5:$B$1005="VENTA")*(MOVIMIENTOS!$C$5:$C$1005="A")*(MOVIMIENTOS!$D$5:$D$1005="jabas")*(MOVIMIENTOS!$A$5:$A$1005&lt;&gt;"")*(MOVIMIENTOS!$A$5:$A$1005&lt;=$A964)*MOVIMIENTOS!$E$5:$E$1005)+SUMPRODUCT((MOVIMIENTOS!$B$5:$B$1005="AJUSTE")*(MOVIMIENTOS!$C$5:$C$1005="A")*(MOVIMIENTOS!$D$5:$D$1005="jabas")*(MOVIMIENTOS!$A$5:$A$1005&lt;&gt;"")*(MOVIMIENTOS!$A$5:$A$1005&lt;=$A964)*MOVIMIENTOS!$E$5:$E$1005))</f>
        <v/>
      </c>
      <c r="C964" t="str">
        <f>IF($A964="","",SUMPRODUCT((MOVIMIENTOS!$B$5:$B$1005="SALDO INICIAL")*(MOVIMIENTOS!$C$5:$C$1005="P")*(MOVIMIENTOS!$D$5:$D$1005="jabas")*(MOVIMIENTOS!$A$5:$A$1005&lt;&gt;"")*(MOVIMIENTOS!$A$5:$A$1005&lt;=$A964)*MOVIMIENTOS!$E$5:$E$1005)+SUMPRODUCT((MOVIMIENTOS!$B$5:$B$1005="PROCESO")*(MOVIMIENTOS!$C$5:$C$1005="P")*(MOVIMIENTOS!$D$5:$D$1005="jabas")*(MOVIMIENTOS!$A$5:$A$1005&lt;&gt;"")*(MOVIMIENTOS!$A$5:$A$1005&lt;=$A964)*MOVIMIENTOS!$E$5:$E$1005)-SUMPRODUCT((MOVIMIENTOS!$B$5:$B$1005="ENVÍO A SUPESA")*(MOVIMIENTOS!$C$5:$C$1005="P")*(MOVIMIENTOS!$D$5:$D$1005="jabas")*(MOVIMIENTOS!$A$5:$A$1005&lt;&gt;"")*(MOVIMIENTOS!$A$5:$A$1005&lt;=$A964)*MOVIMIENTOS!$E$5:$E$1005)+SUMPRODUCT((MOVIMIENTOS!$B$5:$B$1005="DEVOLUCIÓN")*(MOVIMIENTOS!$C$5:$C$1005="P")*(MOVIMIENTOS!$D$5:$D$1005="jabas")*(MOVIMIENTOS!$A$5:$A$1005&lt;&gt;"")*(MOVIMIENTOS!$A$5:$A$1005&lt;=$A964)*MOVIMIENTOS!$E$5:$E$1005)-SUMPRODUCT((MOVIMIENTOS!$B$5:$B$1005="TRASIEGO")*(MOVIMIENTOS!$C$5:$C$1005="P")*(MOVIMIENTOS!$D$5:$D$1005="jabas")*(MOVIMIENTOS!$A$5:$A$1005&lt;&gt;"")*(MOVIMIENTOS!$A$5:$A$1005&lt;=$A964)*MOVIMIENTOS!$E$5:$E$1005)-SUMPRODUCT((MOVIMIENTOS!$B$5:$B$1005="REGALO")*(MOVIMIENTOS!$C$5:$C$1005="P")*(MOVIMIENTOS!$D$5:$D$1005="jabas")*(MOVIMIENTOS!$A$5:$A$1005&lt;&gt;"")*(MOVIMIENTOS!$A$5:$A$1005&lt;=$A964)*MOVIMIENTOS!$E$5:$E$1005)-SUMPRODUCT((MOVIMIENTOS!$B$5:$B$1005="VENTA")*(MOVIMIENTOS!$C$5:$C$1005="P")*(MOVIMIENTOS!$D$5:$D$1005="jabas")*(MOVIMIENTOS!$A$5:$A$1005&lt;&gt;"")*(MOVIMIENTOS!$A$5:$A$1005&lt;=$A964)*MOVIMIENTOS!$E$5:$E$1005)+SUMPRODUCT((MOVIMIENTOS!$B$5:$B$1005="AJUSTE")*(MOVIMIENTOS!$C$5:$C$1005="P")*(MOVIMIENTOS!$D$5:$D$1005="jabas")*(MOVIMIENTOS!$A$5:$A$1005&lt;&gt;"")*(MOVIMIENTOS!$A$5:$A$1005&lt;=$A964)*MOVIMIENTOS!$E$5:$E$1005))</f>
        <v/>
      </c>
      <c r="D964" t="str">
        <f>IF($A964="","",SUMPRODUCT((MOVIMIENTOS!$B$5:$B$1005="SALDO INICIAL")*(MOVIMIENTOS!$C$5:$C$1005="C")*(MOVIMIENTOS!$D$5:$D$1005="jabas")*(MOVIMIENTOS!$A$5:$A$1005&lt;&gt;"")*(MOVIMIENTOS!$A$5:$A$1005&lt;=$A964)*MOVIMIENTOS!$E$5:$E$1005)+SUMPRODUCT((MOVIMIENTOS!$B$5:$B$1005="PROCESO")*(MOVIMIENTOS!$C$5:$C$1005="C")*(MOVIMIENTOS!$D$5:$D$1005="jabas")*(MOVIMIENTOS!$A$5:$A$1005&lt;&gt;"")*(MOVIMIENTOS!$A$5:$A$1005&lt;=$A964)*MOVIMIENTOS!$E$5:$E$1005)-SUMPRODUCT((MOVIMIENTOS!$B$5:$B$1005="ENVÍO A SUPESA")*(MOVIMIENTOS!$C$5:$C$1005="C")*(MOVIMIENTOS!$D$5:$D$1005="jabas")*(MOVIMIENTOS!$A$5:$A$1005&lt;&gt;"")*(MOVIMIENTOS!$A$5:$A$1005&lt;=$A964)*MOVIMIENTOS!$E$5:$E$1005)+SUMPRODUCT((MOVIMIENTOS!$B$5:$B$1005="DEVOLUCIÓN")*(MOVIMIENTOS!$C$5:$C$1005="C")*(MOVIMIENTOS!$D$5:$D$1005="jabas")*(MOVIMIENTOS!$A$5:$A$1005&lt;&gt;"")*(MOVIMIENTOS!$A$5:$A$1005&lt;=$A964)*MOVIMIENTOS!$E$5:$E$1005)-SUMPRODUCT((MOVIMIENTOS!$B$5:$B$1005="TRASIEGO")*(MOVIMIENTOS!$C$5:$C$1005="C")*(MOVIMIENTOS!$D$5:$D$1005="jabas")*(MOVIMIENTOS!$A$5:$A$1005&lt;&gt;"")*(MOVIMIENTOS!$A$5:$A$1005&lt;=$A964)*MOVIMIENTOS!$E$5:$E$1005)-SUMPRODUCT((MOVIMIENTOS!$B$5:$B$1005="REGALO")*(MOVIMIENTOS!$C$5:$C$1005="C")*(MOVIMIENTOS!$D$5:$D$1005="jabas")*(MOVIMIENTOS!$A$5:$A$1005&lt;&gt;"")*(MOVIMIENTOS!$A$5:$A$1005&lt;=$A964)*MOVIMIENTOS!$E$5:$E$1005)-SUMPRODUCT((MOVIMIENTOS!$B$5:$B$1005="VENTA")*(MOVIMIENTOS!$C$5:$C$1005="C")*(MOVIMIENTOS!$D$5:$D$1005="jabas")*(MOVIMIENTOS!$A$5:$A$1005&lt;&gt;"")*(MOVIMIENTOS!$A$5:$A$1005&lt;=$A964)*MOVIMIENTOS!$E$5:$E$1005)+SUMPRODUCT((MOVIMIENTOS!$B$5:$B$1005="AJUSTE")*(MOVIMIENTOS!$C$5:$C$1005="C")*(MOVIMIENTOS!$D$5:$D$1005="jabas")*(MOVIMIENTOS!$A$5:$A$1005&lt;&gt;"")*(MOVIMIENTOS!$A$5:$A$1005&lt;=$A964)*MOVIMIENTOS!$E$5:$E$1005))</f>
        <v/>
      </c>
      <c r="E964" t="str">
        <f>IF($A964="","",SUMPRODUCT((MOVIMIENTOS!$B$5:$B$1005="SALDO INICIAL")*(MOVIMIENTOS!$C$5:$C$1005="M")*(MOVIMIENTOS!$D$5:$D$1005="jabas")*(MOVIMIENTOS!$A$5:$A$1005&lt;&gt;"")*(MOVIMIENTOS!$A$5:$A$1005&lt;=$A964)*MOVIMIENTOS!$E$5:$E$1005)+SUMPRODUCT((MOVIMIENTOS!$B$5:$B$1005="PROCESO")*(MOVIMIENTOS!$C$5:$C$1005="M")*(MOVIMIENTOS!$D$5:$D$1005="jabas")*(MOVIMIENTOS!$A$5:$A$1005&lt;&gt;"")*(MOVIMIENTOS!$A$5:$A$1005&lt;=$A964)*MOVIMIENTOS!$E$5:$E$1005)-SUMPRODUCT((MOVIMIENTOS!$B$5:$B$1005="ENVÍO A SUPESA")*(MOVIMIENTOS!$C$5:$C$1005="M")*(MOVIMIENTOS!$D$5:$D$1005="jabas")*(MOVIMIENTOS!$A$5:$A$1005&lt;&gt;"")*(MOVIMIENTOS!$A$5:$A$1005&lt;=$A964)*MOVIMIENTOS!$E$5:$E$1005)+SUMPRODUCT((MOVIMIENTOS!$B$5:$B$1005="DEVOLUCIÓN")*(MOVIMIENTOS!$C$5:$C$1005="M")*(MOVIMIENTOS!$D$5:$D$1005="jabas")*(MOVIMIENTOS!$A$5:$A$1005&lt;&gt;"")*(MOVIMIENTOS!$A$5:$A$1005&lt;=$A964)*MOVIMIENTOS!$E$5:$E$1005)-SUMPRODUCT((MOVIMIENTOS!$B$5:$B$1005="TRASIEGO")*(MOVIMIENTOS!$C$5:$C$1005="M")*(MOVIMIENTOS!$D$5:$D$1005="jabas")*(MOVIMIENTOS!$A$5:$A$1005&lt;&gt;"")*(MOVIMIENTOS!$A$5:$A$1005&lt;=$A964)*MOVIMIENTOS!$E$5:$E$1005)-SUMPRODUCT((MOVIMIENTOS!$B$5:$B$1005="REGALO")*(MOVIMIENTOS!$C$5:$C$1005="M")*(MOVIMIENTOS!$D$5:$D$1005="jabas")*(MOVIMIENTOS!$A$5:$A$1005&lt;&gt;"")*(MOVIMIENTOS!$A$5:$A$1005&lt;=$A964)*MOVIMIENTOS!$E$5:$E$1005)-SUMPRODUCT((MOVIMIENTOS!$B$5:$B$1005="VENTA")*(MOVIMIENTOS!$C$5:$C$1005="M")*(MOVIMIENTOS!$D$5:$D$1005="jabas")*(MOVIMIENTOS!$A$5:$A$1005&lt;&gt;"")*(MOVIMIENTOS!$A$5:$A$1005&lt;=$A964)*MOVIMIENTOS!$E$5:$E$1005)+SUMPRODUCT((MOVIMIENTOS!$B$5:$B$1005="AJUSTE")*(MOVIMIENTOS!$C$5:$C$1005="M")*(MOVIMIENTOS!$D$5:$D$1005="jabas")*(MOVIMIENTOS!$A$5:$A$1005&lt;&gt;"")*(MOVIMIENTOS!$A$5:$A$1005&lt;=$A964)*MOVIMIENTOS!$E$5:$E$1005))</f>
        <v/>
      </c>
      <c r="F964" s="62" t="str">
        <f>IF($A964="","",SUMPRODUCT((MOVIMIENTOS!$B$5:$B$1005="SALDO INICIAL")*(MOVIMIENTOS!$C$5:$C$1005="Chancho")*(MOVIMIENTOS!$D$5:$D$1005="sacos")*(MOVIMIENTOS!$A$5:$A$1005&lt;&gt;"")*(MOVIMIENTOS!$A$5:$A$1005&lt;=$A964)*MOVIMIENTOS!$E$5:$E$1005)+SUMPRODUCT((MOVIMIENTOS!$B$5:$B$1005="PROCESO")*(MOVIMIENTOS!$C$5:$C$1005="Chancho")*(MOVIMIENTOS!$D$5:$D$1005="sacos")*(MOVIMIENTOS!$A$5:$A$1005&lt;&gt;"")*(MOVIMIENTOS!$A$5:$A$1005&lt;=$A964)*MOVIMIENTOS!$E$5:$E$1005)-SUMPRODUCT((MOVIMIENTOS!$B$5:$B$1005="VENTA CHANCHO")*(MOVIMIENTOS!$C$5:$C$1005="Chancho")*(MOVIMIENTOS!$D$5:$D$1005="sacos")*(MOVIMIENTOS!$A$5:$A$1005&lt;&gt;"")*(MOVIMIENTOS!$A$5:$A$1005&lt;=$A964)*MOVIMIENTOS!$E$5:$E$1005)-SUMPRODUCT((MOVIMIENTOS!$B$5:$B$1005="REGALO")*(MOVIMIENTOS!$C$5:$C$1005="Chancho")*(MOVIMIENTOS!$D$5:$D$1005="sacos")*(MOVIMIENTOS!$A$5:$A$1005&lt;&gt;"")*(MOVIMIENTOS!$A$5:$A$1005&lt;=$A964)*MOVIMIENTOS!$E$5:$E$1005)-SUMPRODUCT((MOVIMIENTOS!$B$5:$B$1005="VENTA")*(MOVIMIENTOS!$C$5:$C$1005="Chancho")*(MOVIMIENTOS!$D$5:$D$1005="sacos")*(MOVIMIENTOS!$A$5:$A$1005&lt;&gt;"")*(MOVIMIENTOS!$A$5:$A$1005&lt;=$A964)*MOVIMIENTOS!$E$5:$E$1005)+SUMPRODUCT((MOVIMIENTOS!$B$5:$B$1005="AJUSTE")*(MOVIMIENTOS!$C$5:$C$1005="Chancho")*(MOVIMIENTOS!$D$5:$D$1005="sacos")*(MOVIMIENTOS!$A$5:$A$1005&lt;&gt;"")*(MOVIMIENTOS!$A$5:$A$1005&lt;=$A964)*MOVIMIENTOS!$E$5:$E$1005))</f>
        <v/>
      </c>
      <c r="G964" s="62" t="str">
        <f t="shared" si="29"/>
        <v/>
      </c>
      <c r="H964" t="str">
        <f>IF($A964="","",SUMPRODUCT((((MOVIMIENTOS!$B$5:$B$1005="SALDO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964)*MOVIMIENTOS!$J$5:$J$1005))</f>
        <v/>
      </c>
      <c r="J964" t="str">
        <f>IF(AND(MOVIMIENTOS!$A969&lt;&gt;"",COUNTIF(MOVIMIENTOS!$A$5:$A968,MOVIMIENTOS!$A969)=0),COUNT(J$4:J963)+1,"")</f>
        <v/>
      </c>
      <c r="K964">
        <f>MOVIMIENTOS!$A969</f>
        <v>0</v>
      </c>
    </row>
    <row r="965" spans="1:11" ht="15" customHeight="1" x14ac:dyDescent="0.2">
      <c r="A965" t="str">
        <f t="shared" ref="A965:A1000" si="30">IFERROR(INDEX(K$5:K$1000,MATCH(ROW()-4,J$5:J$1000,0)),"")</f>
        <v/>
      </c>
      <c r="B965" t="str">
        <f>IF($A965="","",SUMPRODUCT((MOVIMIENTOS!$B$5:$B$1005="SALDO INICIAL")*(MOVIMIENTOS!$C$5:$C$1005="A")*(MOVIMIENTOS!$D$5:$D$1005="jabas")*(MOVIMIENTOS!$A$5:$A$1005&lt;&gt;"")*(MOVIMIENTOS!$A$5:$A$1005&lt;=$A965)*MOVIMIENTOS!$E$5:$E$1005)+SUMPRODUCT((MOVIMIENTOS!$B$5:$B$1005="PROCESO")*(MOVIMIENTOS!$C$5:$C$1005="A")*(MOVIMIENTOS!$D$5:$D$1005="jabas")*(MOVIMIENTOS!$A$5:$A$1005&lt;&gt;"")*(MOVIMIENTOS!$A$5:$A$1005&lt;=$A965)*MOVIMIENTOS!$E$5:$E$1005)-SUMPRODUCT((MOVIMIENTOS!$B$5:$B$1005="ENVÍO A SUPESA")*(MOVIMIENTOS!$C$5:$C$1005="A")*(MOVIMIENTOS!$D$5:$D$1005="jabas")*(MOVIMIENTOS!$A$5:$A$1005&lt;&gt;"")*(MOVIMIENTOS!$A$5:$A$1005&lt;=$A965)*MOVIMIENTOS!$E$5:$E$1005)+SUMPRODUCT((MOVIMIENTOS!$B$5:$B$1005="DEVOLUCIÓN")*(MOVIMIENTOS!$C$5:$C$1005="A")*(MOVIMIENTOS!$D$5:$D$1005="jabas")*(MOVIMIENTOS!$A$5:$A$1005&lt;&gt;"")*(MOVIMIENTOS!$A$5:$A$1005&lt;=$A965)*MOVIMIENTOS!$E$5:$E$1005)-SUMPRODUCT((MOVIMIENTOS!$B$5:$B$1005="TRASIEGO")*(MOVIMIENTOS!$C$5:$C$1005="A")*(MOVIMIENTOS!$D$5:$D$1005="jabas")*(MOVIMIENTOS!$A$5:$A$1005&lt;&gt;"")*(MOVIMIENTOS!$A$5:$A$1005&lt;=$A965)*MOVIMIENTOS!$E$5:$E$1005)-SUMPRODUCT((MOVIMIENTOS!$B$5:$B$1005="REGALO")*(MOVIMIENTOS!$C$5:$C$1005="A")*(MOVIMIENTOS!$D$5:$D$1005="jabas")*(MOVIMIENTOS!$A$5:$A$1005&lt;&gt;"")*(MOVIMIENTOS!$A$5:$A$1005&lt;=$A965)*MOVIMIENTOS!$E$5:$E$1005)-SUMPRODUCT((MOVIMIENTOS!$B$5:$B$1005="VENTA")*(MOVIMIENTOS!$C$5:$C$1005="A")*(MOVIMIENTOS!$D$5:$D$1005="jabas")*(MOVIMIENTOS!$A$5:$A$1005&lt;&gt;"")*(MOVIMIENTOS!$A$5:$A$1005&lt;=$A965)*MOVIMIENTOS!$E$5:$E$1005)+SUMPRODUCT((MOVIMIENTOS!$B$5:$B$1005="AJUSTE")*(MOVIMIENTOS!$C$5:$C$1005="A")*(MOVIMIENTOS!$D$5:$D$1005="jabas")*(MOVIMIENTOS!$A$5:$A$1005&lt;&gt;"")*(MOVIMIENTOS!$A$5:$A$1005&lt;=$A965)*MOVIMIENTOS!$E$5:$E$1005))</f>
        <v/>
      </c>
      <c r="C965" t="str">
        <f>IF($A965="","",SUMPRODUCT((MOVIMIENTOS!$B$5:$B$1005="SALDO INICIAL")*(MOVIMIENTOS!$C$5:$C$1005="P")*(MOVIMIENTOS!$D$5:$D$1005="jabas")*(MOVIMIENTOS!$A$5:$A$1005&lt;&gt;"")*(MOVIMIENTOS!$A$5:$A$1005&lt;=$A965)*MOVIMIENTOS!$E$5:$E$1005)+SUMPRODUCT((MOVIMIENTOS!$B$5:$B$1005="PROCESO")*(MOVIMIENTOS!$C$5:$C$1005="P")*(MOVIMIENTOS!$D$5:$D$1005="jabas")*(MOVIMIENTOS!$A$5:$A$1005&lt;&gt;"")*(MOVIMIENTOS!$A$5:$A$1005&lt;=$A965)*MOVIMIENTOS!$E$5:$E$1005)-SUMPRODUCT((MOVIMIENTOS!$B$5:$B$1005="ENVÍO A SUPESA")*(MOVIMIENTOS!$C$5:$C$1005="P")*(MOVIMIENTOS!$D$5:$D$1005="jabas")*(MOVIMIENTOS!$A$5:$A$1005&lt;&gt;"")*(MOVIMIENTOS!$A$5:$A$1005&lt;=$A965)*MOVIMIENTOS!$E$5:$E$1005)+SUMPRODUCT((MOVIMIENTOS!$B$5:$B$1005="DEVOLUCIÓN")*(MOVIMIENTOS!$C$5:$C$1005="P")*(MOVIMIENTOS!$D$5:$D$1005="jabas")*(MOVIMIENTOS!$A$5:$A$1005&lt;&gt;"")*(MOVIMIENTOS!$A$5:$A$1005&lt;=$A965)*MOVIMIENTOS!$E$5:$E$1005)-SUMPRODUCT((MOVIMIENTOS!$B$5:$B$1005="TRASIEGO")*(MOVIMIENTOS!$C$5:$C$1005="P")*(MOVIMIENTOS!$D$5:$D$1005="jabas")*(MOVIMIENTOS!$A$5:$A$1005&lt;&gt;"")*(MOVIMIENTOS!$A$5:$A$1005&lt;=$A965)*MOVIMIENTOS!$E$5:$E$1005)-SUMPRODUCT((MOVIMIENTOS!$B$5:$B$1005="REGALO")*(MOVIMIENTOS!$C$5:$C$1005="P")*(MOVIMIENTOS!$D$5:$D$1005="jabas")*(MOVIMIENTOS!$A$5:$A$1005&lt;&gt;"")*(MOVIMIENTOS!$A$5:$A$1005&lt;=$A965)*MOVIMIENTOS!$E$5:$E$1005)-SUMPRODUCT((MOVIMIENTOS!$B$5:$B$1005="VENTA")*(MOVIMIENTOS!$C$5:$C$1005="P")*(MOVIMIENTOS!$D$5:$D$1005="jabas")*(MOVIMIENTOS!$A$5:$A$1005&lt;&gt;"")*(MOVIMIENTOS!$A$5:$A$1005&lt;=$A965)*MOVIMIENTOS!$E$5:$E$1005)+SUMPRODUCT((MOVIMIENTOS!$B$5:$B$1005="AJUSTE")*(MOVIMIENTOS!$C$5:$C$1005="P")*(MOVIMIENTOS!$D$5:$D$1005="jabas")*(MOVIMIENTOS!$A$5:$A$1005&lt;&gt;"")*(MOVIMIENTOS!$A$5:$A$1005&lt;=$A965)*MOVIMIENTOS!$E$5:$E$1005))</f>
        <v/>
      </c>
      <c r="D965" t="str">
        <f>IF($A965="","",SUMPRODUCT((MOVIMIENTOS!$B$5:$B$1005="SALDO INICIAL")*(MOVIMIENTOS!$C$5:$C$1005="C")*(MOVIMIENTOS!$D$5:$D$1005="jabas")*(MOVIMIENTOS!$A$5:$A$1005&lt;&gt;"")*(MOVIMIENTOS!$A$5:$A$1005&lt;=$A965)*MOVIMIENTOS!$E$5:$E$1005)+SUMPRODUCT((MOVIMIENTOS!$B$5:$B$1005="PROCESO")*(MOVIMIENTOS!$C$5:$C$1005="C")*(MOVIMIENTOS!$D$5:$D$1005="jabas")*(MOVIMIENTOS!$A$5:$A$1005&lt;&gt;"")*(MOVIMIENTOS!$A$5:$A$1005&lt;=$A965)*MOVIMIENTOS!$E$5:$E$1005)-SUMPRODUCT((MOVIMIENTOS!$B$5:$B$1005="ENVÍO A SUPESA")*(MOVIMIENTOS!$C$5:$C$1005="C")*(MOVIMIENTOS!$D$5:$D$1005="jabas")*(MOVIMIENTOS!$A$5:$A$1005&lt;&gt;"")*(MOVIMIENTOS!$A$5:$A$1005&lt;=$A965)*MOVIMIENTOS!$E$5:$E$1005)+SUMPRODUCT((MOVIMIENTOS!$B$5:$B$1005="DEVOLUCIÓN")*(MOVIMIENTOS!$C$5:$C$1005="C")*(MOVIMIENTOS!$D$5:$D$1005="jabas")*(MOVIMIENTOS!$A$5:$A$1005&lt;&gt;"")*(MOVIMIENTOS!$A$5:$A$1005&lt;=$A965)*MOVIMIENTOS!$E$5:$E$1005)-SUMPRODUCT((MOVIMIENTOS!$B$5:$B$1005="TRASIEGO")*(MOVIMIENTOS!$C$5:$C$1005="C")*(MOVIMIENTOS!$D$5:$D$1005="jabas")*(MOVIMIENTOS!$A$5:$A$1005&lt;&gt;"")*(MOVIMIENTOS!$A$5:$A$1005&lt;=$A965)*MOVIMIENTOS!$E$5:$E$1005)-SUMPRODUCT((MOVIMIENTOS!$B$5:$B$1005="REGALO")*(MOVIMIENTOS!$C$5:$C$1005="C")*(MOVIMIENTOS!$D$5:$D$1005="jabas")*(MOVIMIENTOS!$A$5:$A$1005&lt;&gt;"")*(MOVIMIENTOS!$A$5:$A$1005&lt;=$A965)*MOVIMIENTOS!$E$5:$E$1005)-SUMPRODUCT((MOVIMIENTOS!$B$5:$B$1005="VENTA")*(MOVIMIENTOS!$C$5:$C$1005="C")*(MOVIMIENTOS!$D$5:$D$1005="jabas")*(MOVIMIENTOS!$A$5:$A$1005&lt;&gt;"")*(MOVIMIENTOS!$A$5:$A$1005&lt;=$A965)*MOVIMIENTOS!$E$5:$E$1005)+SUMPRODUCT((MOVIMIENTOS!$B$5:$B$1005="AJUSTE")*(MOVIMIENTOS!$C$5:$C$1005="C")*(MOVIMIENTOS!$D$5:$D$1005="jabas")*(MOVIMIENTOS!$A$5:$A$1005&lt;&gt;"")*(MOVIMIENTOS!$A$5:$A$1005&lt;=$A965)*MOVIMIENTOS!$E$5:$E$1005))</f>
        <v/>
      </c>
      <c r="E965" t="str">
        <f>IF($A965="","",SUMPRODUCT((MOVIMIENTOS!$B$5:$B$1005="SALDO INICIAL")*(MOVIMIENTOS!$C$5:$C$1005="M")*(MOVIMIENTOS!$D$5:$D$1005="jabas")*(MOVIMIENTOS!$A$5:$A$1005&lt;&gt;"")*(MOVIMIENTOS!$A$5:$A$1005&lt;=$A965)*MOVIMIENTOS!$E$5:$E$1005)+SUMPRODUCT((MOVIMIENTOS!$B$5:$B$1005="PROCESO")*(MOVIMIENTOS!$C$5:$C$1005="M")*(MOVIMIENTOS!$D$5:$D$1005="jabas")*(MOVIMIENTOS!$A$5:$A$1005&lt;&gt;"")*(MOVIMIENTOS!$A$5:$A$1005&lt;=$A965)*MOVIMIENTOS!$E$5:$E$1005)-SUMPRODUCT((MOVIMIENTOS!$B$5:$B$1005="ENVÍO A SUPESA")*(MOVIMIENTOS!$C$5:$C$1005="M")*(MOVIMIENTOS!$D$5:$D$1005="jabas")*(MOVIMIENTOS!$A$5:$A$1005&lt;&gt;"")*(MOVIMIENTOS!$A$5:$A$1005&lt;=$A965)*MOVIMIENTOS!$E$5:$E$1005)+SUMPRODUCT((MOVIMIENTOS!$B$5:$B$1005="DEVOLUCIÓN")*(MOVIMIENTOS!$C$5:$C$1005="M")*(MOVIMIENTOS!$D$5:$D$1005="jabas")*(MOVIMIENTOS!$A$5:$A$1005&lt;&gt;"")*(MOVIMIENTOS!$A$5:$A$1005&lt;=$A965)*MOVIMIENTOS!$E$5:$E$1005)-SUMPRODUCT((MOVIMIENTOS!$B$5:$B$1005="TRASIEGO")*(MOVIMIENTOS!$C$5:$C$1005="M")*(MOVIMIENTOS!$D$5:$D$1005="jabas")*(MOVIMIENTOS!$A$5:$A$1005&lt;&gt;"")*(MOVIMIENTOS!$A$5:$A$1005&lt;=$A965)*MOVIMIENTOS!$E$5:$E$1005)-SUMPRODUCT((MOVIMIENTOS!$B$5:$B$1005="REGALO")*(MOVIMIENTOS!$C$5:$C$1005="M")*(MOVIMIENTOS!$D$5:$D$1005="jabas")*(MOVIMIENTOS!$A$5:$A$1005&lt;&gt;"")*(MOVIMIENTOS!$A$5:$A$1005&lt;=$A965)*MOVIMIENTOS!$E$5:$E$1005)-SUMPRODUCT((MOVIMIENTOS!$B$5:$B$1005="VENTA")*(MOVIMIENTOS!$C$5:$C$1005="M")*(MOVIMIENTOS!$D$5:$D$1005="jabas")*(MOVIMIENTOS!$A$5:$A$1005&lt;&gt;"")*(MOVIMIENTOS!$A$5:$A$1005&lt;=$A965)*MOVIMIENTOS!$E$5:$E$1005)+SUMPRODUCT((MOVIMIENTOS!$B$5:$B$1005="AJUSTE")*(MOVIMIENTOS!$C$5:$C$1005="M")*(MOVIMIENTOS!$D$5:$D$1005="jabas")*(MOVIMIENTOS!$A$5:$A$1005&lt;&gt;"")*(MOVIMIENTOS!$A$5:$A$1005&lt;=$A965)*MOVIMIENTOS!$E$5:$E$1005))</f>
        <v/>
      </c>
      <c r="F965" s="62" t="str">
        <f>IF($A965="","",SUMPRODUCT((MOVIMIENTOS!$B$5:$B$1005="SALDO INICIAL")*(MOVIMIENTOS!$C$5:$C$1005="Chancho")*(MOVIMIENTOS!$D$5:$D$1005="sacos")*(MOVIMIENTOS!$A$5:$A$1005&lt;&gt;"")*(MOVIMIENTOS!$A$5:$A$1005&lt;=$A965)*MOVIMIENTOS!$E$5:$E$1005)+SUMPRODUCT((MOVIMIENTOS!$B$5:$B$1005="PROCESO")*(MOVIMIENTOS!$C$5:$C$1005="Chancho")*(MOVIMIENTOS!$D$5:$D$1005="sacos")*(MOVIMIENTOS!$A$5:$A$1005&lt;&gt;"")*(MOVIMIENTOS!$A$5:$A$1005&lt;=$A965)*MOVIMIENTOS!$E$5:$E$1005)-SUMPRODUCT((MOVIMIENTOS!$B$5:$B$1005="VENTA CHANCHO")*(MOVIMIENTOS!$C$5:$C$1005="Chancho")*(MOVIMIENTOS!$D$5:$D$1005="sacos")*(MOVIMIENTOS!$A$5:$A$1005&lt;&gt;"")*(MOVIMIENTOS!$A$5:$A$1005&lt;=$A965)*MOVIMIENTOS!$E$5:$E$1005)-SUMPRODUCT((MOVIMIENTOS!$B$5:$B$1005="REGALO")*(MOVIMIENTOS!$C$5:$C$1005="Chancho")*(MOVIMIENTOS!$D$5:$D$1005="sacos")*(MOVIMIENTOS!$A$5:$A$1005&lt;&gt;"")*(MOVIMIENTOS!$A$5:$A$1005&lt;=$A965)*MOVIMIENTOS!$E$5:$E$1005)-SUMPRODUCT((MOVIMIENTOS!$B$5:$B$1005="VENTA")*(MOVIMIENTOS!$C$5:$C$1005="Chancho")*(MOVIMIENTOS!$D$5:$D$1005="sacos")*(MOVIMIENTOS!$A$5:$A$1005&lt;&gt;"")*(MOVIMIENTOS!$A$5:$A$1005&lt;=$A965)*MOVIMIENTOS!$E$5:$E$1005)+SUMPRODUCT((MOVIMIENTOS!$B$5:$B$1005="AJUSTE")*(MOVIMIENTOS!$C$5:$C$1005="Chancho")*(MOVIMIENTOS!$D$5:$D$1005="sacos")*(MOVIMIENTOS!$A$5:$A$1005&lt;&gt;"")*(MOVIMIENTOS!$A$5:$A$1005&lt;=$A965)*MOVIMIENTOS!$E$5:$E$1005))</f>
        <v/>
      </c>
      <c r="G965" s="62" t="str">
        <f t="shared" ref="G965:G1000" si="31">IF($A965="","",SUM(B965:E965))</f>
        <v/>
      </c>
      <c r="H965" t="str">
        <f>IF($A965="","",SUMPRODUCT((((MOVIMIENTOS!$B$5:$B$1005="SALDO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965)*MOVIMIENTOS!$J$5:$J$1005))</f>
        <v/>
      </c>
      <c r="J965" t="str">
        <f>IF(AND(MOVIMIENTOS!$A970&lt;&gt;"",COUNTIF(MOVIMIENTOS!$A$5:$A969,MOVIMIENTOS!$A970)=0),COUNT(J$4:J964)+1,"")</f>
        <v/>
      </c>
      <c r="K965">
        <f>MOVIMIENTOS!$A970</f>
        <v>0</v>
      </c>
    </row>
    <row r="966" spans="1:11" ht="15" customHeight="1" x14ac:dyDescent="0.2">
      <c r="A966" t="str">
        <f t="shared" si="30"/>
        <v/>
      </c>
      <c r="B966" t="str">
        <f>IF($A966="","",SUMPRODUCT((MOVIMIENTOS!$B$5:$B$1005="SALDO INICIAL")*(MOVIMIENTOS!$C$5:$C$1005="A")*(MOVIMIENTOS!$D$5:$D$1005="jabas")*(MOVIMIENTOS!$A$5:$A$1005&lt;&gt;"")*(MOVIMIENTOS!$A$5:$A$1005&lt;=$A966)*MOVIMIENTOS!$E$5:$E$1005)+SUMPRODUCT((MOVIMIENTOS!$B$5:$B$1005="PROCESO")*(MOVIMIENTOS!$C$5:$C$1005="A")*(MOVIMIENTOS!$D$5:$D$1005="jabas")*(MOVIMIENTOS!$A$5:$A$1005&lt;&gt;"")*(MOVIMIENTOS!$A$5:$A$1005&lt;=$A966)*MOVIMIENTOS!$E$5:$E$1005)-SUMPRODUCT((MOVIMIENTOS!$B$5:$B$1005="ENVÍO A SUPESA")*(MOVIMIENTOS!$C$5:$C$1005="A")*(MOVIMIENTOS!$D$5:$D$1005="jabas")*(MOVIMIENTOS!$A$5:$A$1005&lt;&gt;"")*(MOVIMIENTOS!$A$5:$A$1005&lt;=$A966)*MOVIMIENTOS!$E$5:$E$1005)+SUMPRODUCT((MOVIMIENTOS!$B$5:$B$1005="DEVOLUCIÓN")*(MOVIMIENTOS!$C$5:$C$1005="A")*(MOVIMIENTOS!$D$5:$D$1005="jabas")*(MOVIMIENTOS!$A$5:$A$1005&lt;&gt;"")*(MOVIMIENTOS!$A$5:$A$1005&lt;=$A966)*MOVIMIENTOS!$E$5:$E$1005)-SUMPRODUCT((MOVIMIENTOS!$B$5:$B$1005="TRASIEGO")*(MOVIMIENTOS!$C$5:$C$1005="A")*(MOVIMIENTOS!$D$5:$D$1005="jabas")*(MOVIMIENTOS!$A$5:$A$1005&lt;&gt;"")*(MOVIMIENTOS!$A$5:$A$1005&lt;=$A966)*MOVIMIENTOS!$E$5:$E$1005)-SUMPRODUCT((MOVIMIENTOS!$B$5:$B$1005="REGALO")*(MOVIMIENTOS!$C$5:$C$1005="A")*(MOVIMIENTOS!$D$5:$D$1005="jabas")*(MOVIMIENTOS!$A$5:$A$1005&lt;&gt;"")*(MOVIMIENTOS!$A$5:$A$1005&lt;=$A966)*MOVIMIENTOS!$E$5:$E$1005)-SUMPRODUCT((MOVIMIENTOS!$B$5:$B$1005="VENTA")*(MOVIMIENTOS!$C$5:$C$1005="A")*(MOVIMIENTOS!$D$5:$D$1005="jabas")*(MOVIMIENTOS!$A$5:$A$1005&lt;&gt;"")*(MOVIMIENTOS!$A$5:$A$1005&lt;=$A966)*MOVIMIENTOS!$E$5:$E$1005)+SUMPRODUCT((MOVIMIENTOS!$B$5:$B$1005="AJUSTE")*(MOVIMIENTOS!$C$5:$C$1005="A")*(MOVIMIENTOS!$D$5:$D$1005="jabas")*(MOVIMIENTOS!$A$5:$A$1005&lt;&gt;"")*(MOVIMIENTOS!$A$5:$A$1005&lt;=$A966)*MOVIMIENTOS!$E$5:$E$1005))</f>
        <v/>
      </c>
      <c r="C966" t="str">
        <f>IF($A966="","",SUMPRODUCT((MOVIMIENTOS!$B$5:$B$1005="SALDO INICIAL")*(MOVIMIENTOS!$C$5:$C$1005="P")*(MOVIMIENTOS!$D$5:$D$1005="jabas")*(MOVIMIENTOS!$A$5:$A$1005&lt;&gt;"")*(MOVIMIENTOS!$A$5:$A$1005&lt;=$A966)*MOVIMIENTOS!$E$5:$E$1005)+SUMPRODUCT((MOVIMIENTOS!$B$5:$B$1005="PROCESO")*(MOVIMIENTOS!$C$5:$C$1005="P")*(MOVIMIENTOS!$D$5:$D$1005="jabas")*(MOVIMIENTOS!$A$5:$A$1005&lt;&gt;"")*(MOVIMIENTOS!$A$5:$A$1005&lt;=$A966)*MOVIMIENTOS!$E$5:$E$1005)-SUMPRODUCT((MOVIMIENTOS!$B$5:$B$1005="ENVÍO A SUPESA")*(MOVIMIENTOS!$C$5:$C$1005="P")*(MOVIMIENTOS!$D$5:$D$1005="jabas")*(MOVIMIENTOS!$A$5:$A$1005&lt;&gt;"")*(MOVIMIENTOS!$A$5:$A$1005&lt;=$A966)*MOVIMIENTOS!$E$5:$E$1005)+SUMPRODUCT((MOVIMIENTOS!$B$5:$B$1005="DEVOLUCIÓN")*(MOVIMIENTOS!$C$5:$C$1005="P")*(MOVIMIENTOS!$D$5:$D$1005="jabas")*(MOVIMIENTOS!$A$5:$A$1005&lt;&gt;"")*(MOVIMIENTOS!$A$5:$A$1005&lt;=$A966)*MOVIMIENTOS!$E$5:$E$1005)-SUMPRODUCT((MOVIMIENTOS!$B$5:$B$1005="TRASIEGO")*(MOVIMIENTOS!$C$5:$C$1005="P")*(MOVIMIENTOS!$D$5:$D$1005="jabas")*(MOVIMIENTOS!$A$5:$A$1005&lt;&gt;"")*(MOVIMIENTOS!$A$5:$A$1005&lt;=$A966)*MOVIMIENTOS!$E$5:$E$1005)-SUMPRODUCT((MOVIMIENTOS!$B$5:$B$1005="REGALO")*(MOVIMIENTOS!$C$5:$C$1005="P")*(MOVIMIENTOS!$D$5:$D$1005="jabas")*(MOVIMIENTOS!$A$5:$A$1005&lt;&gt;"")*(MOVIMIENTOS!$A$5:$A$1005&lt;=$A966)*MOVIMIENTOS!$E$5:$E$1005)-SUMPRODUCT((MOVIMIENTOS!$B$5:$B$1005="VENTA")*(MOVIMIENTOS!$C$5:$C$1005="P")*(MOVIMIENTOS!$D$5:$D$1005="jabas")*(MOVIMIENTOS!$A$5:$A$1005&lt;&gt;"")*(MOVIMIENTOS!$A$5:$A$1005&lt;=$A966)*MOVIMIENTOS!$E$5:$E$1005)+SUMPRODUCT((MOVIMIENTOS!$B$5:$B$1005="AJUSTE")*(MOVIMIENTOS!$C$5:$C$1005="P")*(MOVIMIENTOS!$D$5:$D$1005="jabas")*(MOVIMIENTOS!$A$5:$A$1005&lt;&gt;"")*(MOVIMIENTOS!$A$5:$A$1005&lt;=$A966)*MOVIMIENTOS!$E$5:$E$1005))</f>
        <v/>
      </c>
      <c r="D966" t="str">
        <f>IF($A966="","",SUMPRODUCT((MOVIMIENTOS!$B$5:$B$1005="SALDO INICIAL")*(MOVIMIENTOS!$C$5:$C$1005="C")*(MOVIMIENTOS!$D$5:$D$1005="jabas")*(MOVIMIENTOS!$A$5:$A$1005&lt;&gt;"")*(MOVIMIENTOS!$A$5:$A$1005&lt;=$A966)*MOVIMIENTOS!$E$5:$E$1005)+SUMPRODUCT((MOVIMIENTOS!$B$5:$B$1005="PROCESO")*(MOVIMIENTOS!$C$5:$C$1005="C")*(MOVIMIENTOS!$D$5:$D$1005="jabas")*(MOVIMIENTOS!$A$5:$A$1005&lt;&gt;"")*(MOVIMIENTOS!$A$5:$A$1005&lt;=$A966)*MOVIMIENTOS!$E$5:$E$1005)-SUMPRODUCT((MOVIMIENTOS!$B$5:$B$1005="ENVÍO A SUPESA")*(MOVIMIENTOS!$C$5:$C$1005="C")*(MOVIMIENTOS!$D$5:$D$1005="jabas")*(MOVIMIENTOS!$A$5:$A$1005&lt;&gt;"")*(MOVIMIENTOS!$A$5:$A$1005&lt;=$A966)*MOVIMIENTOS!$E$5:$E$1005)+SUMPRODUCT((MOVIMIENTOS!$B$5:$B$1005="DEVOLUCIÓN")*(MOVIMIENTOS!$C$5:$C$1005="C")*(MOVIMIENTOS!$D$5:$D$1005="jabas")*(MOVIMIENTOS!$A$5:$A$1005&lt;&gt;"")*(MOVIMIENTOS!$A$5:$A$1005&lt;=$A966)*MOVIMIENTOS!$E$5:$E$1005)-SUMPRODUCT((MOVIMIENTOS!$B$5:$B$1005="TRASIEGO")*(MOVIMIENTOS!$C$5:$C$1005="C")*(MOVIMIENTOS!$D$5:$D$1005="jabas")*(MOVIMIENTOS!$A$5:$A$1005&lt;&gt;"")*(MOVIMIENTOS!$A$5:$A$1005&lt;=$A966)*MOVIMIENTOS!$E$5:$E$1005)-SUMPRODUCT((MOVIMIENTOS!$B$5:$B$1005="REGALO")*(MOVIMIENTOS!$C$5:$C$1005="C")*(MOVIMIENTOS!$D$5:$D$1005="jabas")*(MOVIMIENTOS!$A$5:$A$1005&lt;&gt;"")*(MOVIMIENTOS!$A$5:$A$1005&lt;=$A966)*MOVIMIENTOS!$E$5:$E$1005)-SUMPRODUCT((MOVIMIENTOS!$B$5:$B$1005="VENTA")*(MOVIMIENTOS!$C$5:$C$1005="C")*(MOVIMIENTOS!$D$5:$D$1005="jabas")*(MOVIMIENTOS!$A$5:$A$1005&lt;&gt;"")*(MOVIMIENTOS!$A$5:$A$1005&lt;=$A966)*MOVIMIENTOS!$E$5:$E$1005)+SUMPRODUCT((MOVIMIENTOS!$B$5:$B$1005="AJUSTE")*(MOVIMIENTOS!$C$5:$C$1005="C")*(MOVIMIENTOS!$D$5:$D$1005="jabas")*(MOVIMIENTOS!$A$5:$A$1005&lt;&gt;"")*(MOVIMIENTOS!$A$5:$A$1005&lt;=$A966)*MOVIMIENTOS!$E$5:$E$1005))</f>
        <v/>
      </c>
      <c r="E966" t="str">
        <f>IF($A966="","",SUMPRODUCT((MOVIMIENTOS!$B$5:$B$1005="SALDO INICIAL")*(MOVIMIENTOS!$C$5:$C$1005="M")*(MOVIMIENTOS!$D$5:$D$1005="jabas")*(MOVIMIENTOS!$A$5:$A$1005&lt;&gt;"")*(MOVIMIENTOS!$A$5:$A$1005&lt;=$A966)*MOVIMIENTOS!$E$5:$E$1005)+SUMPRODUCT((MOVIMIENTOS!$B$5:$B$1005="PROCESO")*(MOVIMIENTOS!$C$5:$C$1005="M")*(MOVIMIENTOS!$D$5:$D$1005="jabas")*(MOVIMIENTOS!$A$5:$A$1005&lt;&gt;"")*(MOVIMIENTOS!$A$5:$A$1005&lt;=$A966)*MOVIMIENTOS!$E$5:$E$1005)-SUMPRODUCT((MOVIMIENTOS!$B$5:$B$1005="ENVÍO A SUPESA")*(MOVIMIENTOS!$C$5:$C$1005="M")*(MOVIMIENTOS!$D$5:$D$1005="jabas")*(MOVIMIENTOS!$A$5:$A$1005&lt;&gt;"")*(MOVIMIENTOS!$A$5:$A$1005&lt;=$A966)*MOVIMIENTOS!$E$5:$E$1005)+SUMPRODUCT((MOVIMIENTOS!$B$5:$B$1005="DEVOLUCIÓN")*(MOVIMIENTOS!$C$5:$C$1005="M")*(MOVIMIENTOS!$D$5:$D$1005="jabas")*(MOVIMIENTOS!$A$5:$A$1005&lt;&gt;"")*(MOVIMIENTOS!$A$5:$A$1005&lt;=$A966)*MOVIMIENTOS!$E$5:$E$1005)-SUMPRODUCT((MOVIMIENTOS!$B$5:$B$1005="TRASIEGO")*(MOVIMIENTOS!$C$5:$C$1005="M")*(MOVIMIENTOS!$D$5:$D$1005="jabas")*(MOVIMIENTOS!$A$5:$A$1005&lt;&gt;"")*(MOVIMIENTOS!$A$5:$A$1005&lt;=$A966)*MOVIMIENTOS!$E$5:$E$1005)-SUMPRODUCT((MOVIMIENTOS!$B$5:$B$1005="REGALO")*(MOVIMIENTOS!$C$5:$C$1005="M")*(MOVIMIENTOS!$D$5:$D$1005="jabas")*(MOVIMIENTOS!$A$5:$A$1005&lt;&gt;"")*(MOVIMIENTOS!$A$5:$A$1005&lt;=$A966)*MOVIMIENTOS!$E$5:$E$1005)-SUMPRODUCT((MOVIMIENTOS!$B$5:$B$1005="VENTA")*(MOVIMIENTOS!$C$5:$C$1005="M")*(MOVIMIENTOS!$D$5:$D$1005="jabas")*(MOVIMIENTOS!$A$5:$A$1005&lt;&gt;"")*(MOVIMIENTOS!$A$5:$A$1005&lt;=$A966)*MOVIMIENTOS!$E$5:$E$1005)+SUMPRODUCT((MOVIMIENTOS!$B$5:$B$1005="AJUSTE")*(MOVIMIENTOS!$C$5:$C$1005="M")*(MOVIMIENTOS!$D$5:$D$1005="jabas")*(MOVIMIENTOS!$A$5:$A$1005&lt;&gt;"")*(MOVIMIENTOS!$A$5:$A$1005&lt;=$A966)*MOVIMIENTOS!$E$5:$E$1005))</f>
        <v/>
      </c>
      <c r="F966" s="62" t="str">
        <f>IF($A966="","",SUMPRODUCT((MOVIMIENTOS!$B$5:$B$1005="SALDO INICIAL")*(MOVIMIENTOS!$C$5:$C$1005="Chancho")*(MOVIMIENTOS!$D$5:$D$1005="sacos")*(MOVIMIENTOS!$A$5:$A$1005&lt;&gt;"")*(MOVIMIENTOS!$A$5:$A$1005&lt;=$A966)*MOVIMIENTOS!$E$5:$E$1005)+SUMPRODUCT((MOVIMIENTOS!$B$5:$B$1005="PROCESO")*(MOVIMIENTOS!$C$5:$C$1005="Chancho")*(MOVIMIENTOS!$D$5:$D$1005="sacos")*(MOVIMIENTOS!$A$5:$A$1005&lt;&gt;"")*(MOVIMIENTOS!$A$5:$A$1005&lt;=$A966)*MOVIMIENTOS!$E$5:$E$1005)-SUMPRODUCT((MOVIMIENTOS!$B$5:$B$1005="VENTA CHANCHO")*(MOVIMIENTOS!$C$5:$C$1005="Chancho")*(MOVIMIENTOS!$D$5:$D$1005="sacos")*(MOVIMIENTOS!$A$5:$A$1005&lt;&gt;"")*(MOVIMIENTOS!$A$5:$A$1005&lt;=$A966)*MOVIMIENTOS!$E$5:$E$1005)-SUMPRODUCT((MOVIMIENTOS!$B$5:$B$1005="REGALO")*(MOVIMIENTOS!$C$5:$C$1005="Chancho")*(MOVIMIENTOS!$D$5:$D$1005="sacos")*(MOVIMIENTOS!$A$5:$A$1005&lt;&gt;"")*(MOVIMIENTOS!$A$5:$A$1005&lt;=$A966)*MOVIMIENTOS!$E$5:$E$1005)-SUMPRODUCT((MOVIMIENTOS!$B$5:$B$1005="VENTA")*(MOVIMIENTOS!$C$5:$C$1005="Chancho")*(MOVIMIENTOS!$D$5:$D$1005="sacos")*(MOVIMIENTOS!$A$5:$A$1005&lt;&gt;"")*(MOVIMIENTOS!$A$5:$A$1005&lt;=$A966)*MOVIMIENTOS!$E$5:$E$1005)+SUMPRODUCT((MOVIMIENTOS!$B$5:$B$1005="AJUSTE")*(MOVIMIENTOS!$C$5:$C$1005="Chancho")*(MOVIMIENTOS!$D$5:$D$1005="sacos")*(MOVIMIENTOS!$A$5:$A$1005&lt;&gt;"")*(MOVIMIENTOS!$A$5:$A$1005&lt;=$A966)*MOVIMIENTOS!$E$5:$E$1005))</f>
        <v/>
      </c>
      <c r="G966" s="62" t="str">
        <f t="shared" si="31"/>
        <v/>
      </c>
      <c r="H966" t="str">
        <f>IF($A966="","",SUMPRODUCT((((MOVIMIENTOS!$B$5:$B$1005="SALDO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966)*MOVIMIENTOS!$J$5:$J$1005))</f>
        <v/>
      </c>
      <c r="J966" t="str">
        <f>IF(AND(MOVIMIENTOS!$A971&lt;&gt;"",COUNTIF(MOVIMIENTOS!$A$5:$A970,MOVIMIENTOS!$A971)=0),COUNT(J$4:J965)+1,"")</f>
        <v/>
      </c>
      <c r="K966">
        <f>MOVIMIENTOS!$A971</f>
        <v>0</v>
      </c>
    </row>
    <row r="967" spans="1:11" ht="15" customHeight="1" x14ac:dyDescent="0.2">
      <c r="A967" t="str">
        <f t="shared" si="30"/>
        <v/>
      </c>
      <c r="B967" t="str">
        <f>IF($A967="","",SUMPRODUCT((MOVIMIENTOS!$B$5:$B$1005="SALDO INICIAL")*(MOVIMIENTOS!$C$5:$C$1005="A")*(MOVIMIENTOS!$D$5:$D$1005="jabas")*(MOVIMIENTOS!$A$5:$A$1005&lt;&gt;"")*(MOVIMIENTOS!$A$5:$A$1005&lt;=$A967)*MOVIMIENTOS!$E$5:$E$1005)+SUMPRODUCT((MOVIMIENTOS!$B$5:$B$1005="PROCESO")*(MOVIMIENTOS!$C$5:$C$1005="A")*(MOVIMIENTOS!$D$5:$D$1005="jabas")*(MOVIMIENTOS!$A$5:$A$1005&lt;&gt;"")*(MOVIMIENTOS!$A$5:$A$1005&lt;=$A967)*MOVIMIENTOS!$E$5:$E$1005)-SUMPRODUCT((MOVIMIENTOS!$B$5:$B$1005="ENVÍO A SUPESA")*(MOVIMIENTOS!$C$5:$C$1005="A")*(MOVIMIENTOS!$D$5:$D$1005="jabas")*(MOVIMIENTOS!$A$5:$A$1005&lt;&gt;"")*(MOVIMIENTOS!$A$5:$A$1005&lt;=$A967)*MOVIMIENTOS!$E$5:$E$1005)+SUMPRODUCT((MOVIMIENTOS!$B$5:$B$1005="DEVOLUCIÓN")*(MOVIMIENTOS!$C$5:$C$1005="A")*(MOVIMIENTOS!$D$5:$D$1005="jabas")*(MOVIMIENTOS!$A$5:$A$1005&lt;&gt;"")*(MOVIMIENTOS!$A$5:$A$1005&lt;=$A967)*MOVIMIENTOS!$E$5:$E$1005)-SUMPRODUCT((MOVIMIENTOS!$B$5:$B$1005="TRASIEGO")*(MOVIMIENTOS!$C$5:$C$1005="A")*(MOVIMIENTOS!$D$5:$D$1005="jabas")*(MOVIMIENTOS!$A$5:$A$1005&lt;&gt;"")*(MOVIMIENTOS!$A$5:$A$1005&lt;=$A967)*MOVIMIENTOS!$E$5:$E$1005)-SUMPRODUCT((MOVIMIENTOS!$B$5:$B$1005="REGALO")*(MOVIMIENTOS!$C$5:$C$1005="A")*(MOVIMIENTOS!$D$5:$D$1005="jabas")*(MOVIMIENTOS!$A$5:$A$1005&lt;&gt;"")*(MOVIMIENTOS!$A$5:$A$1005&lt;=$A967)*MOVIMIENTOS!$E$5:$E$1005)-SUMPRODUCT((MOVIMIENTOS!$B$5:$B$1005="VENTA")*(MOVIMIENTOS!$C$5:$C$1005="A")*(MOVIMIENTOS!$D$5:$D$1005="jabas")*(MOVIMIENTOS!$A$5:$A$1005&lt;&gt;"")*(MOVIMIENTOS!$A$5:$A$1005&lt;=$A967)*MOVIMIENTOS!$E$5:$E$1005)+SUMPRODUCT((MOVIMIENTOS!$B$5:$B$1005="AJUSTE")*(MOVIMIENTOS!$C$5:$C$1005="A")*(MOVIMIENTOS!$D$5:$D$1005="jabas")*(MOVIMIENTOS!$A$5:$A$1005&lt;&gt;"")*(MOVIMIENTOS!$A$5:$A$1005&lt;=$A967)*MOVIMIENTOS!$E$5:$E$1005))</f>
        <v/>
      </c>
      <c r="C967" t="str">
        <f>IF($A967="","",SUMPRODUCT((MOVIMIENTOS!$B$5:$B$1005="SALDO INICIAL")*(MOVIMIENTOS!$C$5:$C$1005="P")*(MOVIMIENTOS!$D$5:$D$1005="jabas")*(MOVIMIENTOS!$A$5:$A$1005&lt;&gt;"")*(MOVIMIENTOS!$A$5:$A$1005&lt;=$A967)*MOVIMIENTOS!$E$5:$E$1005)+SUMPRODUCT((MOVIMIENTOS!$B$5:$B$1005="PROCESO")*(MOVIMIENTOS!$C$5:$C$1005="P")*(MOVIMIENTOS!$D$5:$D$1005="jabas")*(MOVIMIENTOS!$A$5:$A$1005&lt;&gt;"")*(MOVIMIENTOS!$A$5:$A$1005&lt;=$A967)*MOVIMIENTOS!$E$5:$E$1005)-SUMPRODUCT((MOVIMIENTOS!$B$5:$B$1005="ENVÍO A SUPESA")*(MOVIMIENTOS!$C$5:$C$1005="P")*(MOVIMIENTOS!$D$5:$D$1005="jabas")*(MOVIMIENTOS!$A$5:$A$1005&lt;&gt;"")*(MOVIMIENTOS!$A$5:$A$1005&lt;=$A967)*MOVIMIENTOS!$E$5:$E$1005)+SUMPRODUCT((MOVIMIENTOS!$B$5:$B$1005="DEVOLUCIÓN")*(MOVIMIENTOS!$C$5:$C$1005="P")*(MOVIMIENTOS!$D$5:$D$1005="jabas")*(MOVIMIENTOS!$A$5:$A$1005&lt;&gt;"")*(MOVIMIENTOS!$A$5:$A$1005&lt;=$A967)*MOVIMIENTOS!$E$5:$E$1005)-SUMPRODUCT((MOVIMIENTOS!$B$5:$B$1005="TRASIEGO")*(MOVIMIENTOS!$C$5:$C$1005="P")*(MOVIMIENTOS!$D$5:$D$1005="jabas")*(MOVIMIENTOS!$A$5:$A$1005&lt;&gt;"")*(MOVIMIENTOS!$A$5:$A$1005&lt;=$A967)*MOVIMIENTOS!$E$5:$E$1005)-SUMPRODUCT((MOVIMIENTOS!$B$5:$B$1005="REGALO")*(MOVIMIENTOS!$C$5:$C$1005="P")*(MOVIMIENTOS!$D$5:$D$1005="jabas")*(MOVIMIENTOS!$A$5:$A$1005&lt;&gt;"")*(MOVIMIENTOS!$A$5:$A$1005&lt;=$A967)*MOVIMIENTOS!$E$5:$E$1005)-SUMPRODUCT((MOVIMIENTOS!$B$5:$B$1005="VENTA")*(MOVIMIENTOS!$C$5:$C$1005="P")*(MOVIMIENTOS!$D$5:$D$1005="jabas")*(MOVIMIENTOS!$A$5:$A$1005&lt;&gt;"")*(MOVIMIENTOS!$A$5:$A$1005&lt;=$A967)*MOVIMIENTOS!$E$5:$E$1005)+SUMPRODUCT((MOVIMIENTOS!$B$5:$B$1005="AJUSTE")*(MOVIMIENTOS!$C$5:$C$1005="P")*(MOVIMIENTOS!$D$5:$D$1005="jabas")*(MOVIMIENTOS!$A$5:$A$1005&lt;&gt;"")*(MOVIMIENTOS!$A$5:$A$1005&lt;=$A967)*MOVIMIENTOS!$E$5:$E$1005))</f>
        <v/>
      </c>
      <c r="D967" t="str">
        <f>IF($A967="","",SUMPRODUCT((MOVIMIENTOS!$B$5:$B$1005="SALDO INICIAL")*(MOVIMIENTOS!$C$5:$C$1005="C")*(MOVIMIENTOS!$D$5:$D$1005="jabas")*(MOVIMIENTOS!$A$5:$A$1005&lt;&gt;"")*(MOVIMIENTOS!$A$5:$A$1005&lt;=$A967)*MOVIMIENTOS!$E$5:$E$1005)+SUMPRODUCT((MOVIMIENTOS!$B$5:$B$1005="PROCESO")*(MOVIMIENTOS!$C$5:$C$1005="C")*(MOVIMIENTOS!$D$5:$D$1005="jabas")*(MOVIMIENTOS!$A$5:$A$1005&lt;&gt;"")*(MOVIMIENTOS!$A$5:$A$1005&lt;=$A967)*MOVIMIENTOS!$E$5:$E$1005)-SUMPRODUCT((MOVIMIENTOS!$B$5:$B$1005="ENVÍO A SUPESA")*(MOVIMIENTOS!$C$5:$C$1005="C")*(MOVIMIENTOS!$D$5:$D$1005="jabas")*(MOVIMIENTOS!$A$5:$A$1005&lt;&gt;"")*(MOVIMIENTOS!$A$5:$A$1005&lt;=$A967)*MOVIMIENTOS!$E$5:$E$1005)+SUMPRODUCT((MOVIMIENTOS!$B$5:$B$1005="DEVOLUCIÓN")*(MOVIMIENTOS!$C$5:$C$1005="C")*(MOVIMIENTOS!$D$5:$D$1005="jabas")*(MOVIMIENTOS!$A$5:$A$1005&lt;&gt;"")*(MOVIMIENTOS!$A$5:$A$1005&lt;=$A967)*MOVIMIENTOS!$E$5:$E$1005)-SUMPRODUCT((MOVIMIENTOS!$B$5:$B$1005="TRASIEGO")*(MOVIMIENTOS!$C$5:$C$1005="C")*(MOVIMIENTOS!$D$5:$D$1005="jabas")*(MOVIMIENTOS!$A$5:$A$1005&lt;&gt;"")*(MOVIMIENTOS!$A$5:$A$1005&lt;=$A967)*MOVIMIENTOS!$E$5:$E$1005)-SUMPRODUCT((MOVIMIENTOS!$B$5:$B$1005="REGALO")*(MOVIMIENTOS!$C$5:$C$1005="C")*(MOVIMIENTOS!$D$5:$D$1005="jabas")*(MOVIMIENTOS!$A$5:$A$1005&lt;&gt;"")*(MOVIMIENTOS!$A$5:$A$1005&lt;=$A967)*MOVIMIENTOS!$E$5:$E$1005)-SUMPRODUCT((MOVIMIENTOS!$B$5:$B$1005="VENTA")*(MOVIMIENTOS!$C$5:$C$1005="C")*(MOVIMIENTOS!$D$5:$D$1005="jabas")*(MOVIMIENTOS!$A$5:$A$1005&lt;&gt;"")*(MOVIMIENTOS!$A$5:$A$1005&lt;=$A967)*MOVIMIENTOS!$E$5:$E$1005)+SUMPRODUCT((MOVIMIENTOS!$B$5:$B$1005="AJUSTE")*(MOVIMIENTOS!$C$5:$C$1005="C")*(MOVIMIENTOS!$D$5:$D$1005="jabas")*(MOVIMIENTOS!$A$5:$A$1005&lt;&gt;"")*(MOVIMIENTOS!$A$5:$A$1005&lt;=$A967)*MOVIMIENTOS!$E$5:$E$1005))</f>
        <v/>
      </c>
      <c r="E967" t="str">
        <f>IF($A967="","",SUMPRODUCT((MOVIMIENTOS!$B$5:$B$1005="SALDO INICIAL")*(MOVIMIENTOS!$C$5:$C$1005="M")*(MOVIMIENTOS!$D$5:$D$1005="jabas")*(MOVIMIENTOS!$A$5:$A$1005&lt;&gt;"")*(MOVIMIENTOS!$A$5:$A$1005&lt;=$A967)*MOVIMIENTOS!$E$5:$E$1005)+SUMPRODUCT((MOVIMIENTOS!$B$5:$B$1005="PROCESO")*(MOVIMIENTOS!$C$5:$C$1005="M")*(MOVIMIENTOS!$D$5:$D$1005="jabas")*(MOVIMIENTOS!$A$5:$A$1005&lt;&gt;"")*(MOVIMIENTOS!$A$5:$A$1005&lt;=$A967)*MOVIMIENTOS!$E$5:$E$1005)-SUMPRODUCT((MOVIMIENTOS!$B$5:$B$1005="ENVÍO A SUPESA")*(MOVIMIENTOS!$C$5:$C$1005="M")*(MOVIMIENTOS!$D$5:$D$1005="jabas")*(MOVIMIENTOS!$A$5:$A$1005&lt;&gt;"")*(MOVIMIENTOS!$A$5:$A$1005&lt;=$A967)*MOVIMIENTOS!$E$5:$E$1005)+SUMPRODUCT((MOVIMIENTOS!$B$5:$B$1005="DEVOLUCIÓN")*(MOVIMIENTOS!$C$5:$C$1005="M")*(MOVIMIENTOS!$D$5:$D$1005="jabas")*(MOVIMIENTOS!$A$5:$A$1005&lt;&gt;"")*(MOVIMIENTOS!$A$5:$A$1005&lt;=$A967)*MOVIMIENTOS!$E$5:$E$1005)-SUMPRODUCT((MOVIMIENTOS!$B$5:$B$1005="TRASIEGO")*(MOVIMIENTOS!$C$5:$C$1005="M")*(MOVIMIENTOS!$D$5:$D$1005="jabas")*(MOVIMIENTOS!$A$5:$A$1005&lt;&gt;"")*(MOVIMIENTOS!$A$5:$A$1005&lt;=$A967)*MOVIMIENTOS!$E$5:$E$1005)-SUMPRODUCT((MOVIMIENTOS!$B$5:$B$1005="REGALO")*(MOVIMIENTOS!$C$5:$C$1005="M")*(MOVIMIENTOS!$D$5:$D$1005="jabas")*(MOVIMIENTOS!$A$5:$A$1005&lt;&gt;"")*(MOVIMIENTOS!$A$5:$A$1005&lt;=$A967)*MOVIMIENTOS!$E$5:$E$1005)-SUMPRODUCT((MOVIMIENTOS!$B$5:$B$1005="VENTA")*(MOVIMIENTOS!$C$5:$C$1005="M")*(MOVIMIENTOS!$D$5:$D$1005="jabas")*(MOVIMIENTOS!$A$5:$A$1005&lt;&gt;"")*(MOVIMIENTOS!$A$5:$A$1005&lt;=$A967)*MOVIMIENTOS!$E$5:$E$1005)+SUMPRODUCT((MOVIMIENTOS!$B$5:$B$1005="AJUSTE")*(MOVIMIENTOS!$C$5:$C$1005="M")*(MOVIMIENTOS!$D$5:$D$1005="jabas")*(MOVIMIENTOS!$A$5:$A$1005&lt;&gt;"")*(MOVIMIENTOS!$A$5:$A$1005&lt;=$A967)*MOVIMIENTOS!$E$5:$E$1005))</f>
        <v/>
      </c>
      <c r="F967" s="62" t="str">
        <f>IF($A967="","",SUMPRODUCT((MOVIMIENTOS!$B$5:$B$1005="SALDO INICIAL")*(MOVIMIENTOS!$C$5:$C$1005="Chancho")*(MOVIMIENTOS!$D$5:$D$1005="sacos")*(MOVIMIENTOS!$A$5:$A$1005&lt;&gt;"")*(MOVIMIENTOS!$A$5:$A$1005&lt;=$A967)*MOVIMIENTOS!$E$5:$E$1005)+SUMPRODUCT((MOVIMIENTOS!$B$5:$B$1005="PROCESO")*(MOVIMIENTOS!$C$5:$C$1005="Chancho")*(MOVIMIENTOS!$D$5:$D$1005="sacos")*(MOVIMIENTOS!$A$5:$A$1005&lt;&gt;"")*(MOVIMIENTOS!$A$5:$A$1005&lt;=$A967)*MOVIMIENTOS!$E$5:$E$1005)-SUMPRODUCT((MOVIMIENTOS!$B$5:$B$1005="VENTA CHANCHO")*(MOVIMIENTOS!$C$5:$C$1005="Chancho")*(MOVIMIENTOS!$D$5:$D$1005="sacos")*(MOVIMIENTOS!$A$5:$A$1005&lt;&gt;"")*(MOVIMIENTOS!$A$5:$A$1005&lt;=$A967)*MOVIMIENTOS!$E$5:$E$1005)-SUMPRODUCT((MOVIMIENTOS!$B$5:$B$1005="REGALO")*(MOVIMIENTOS!$C$5:$C$1005="Chancho")*(MOVIMIENTOS!$D$5:$D$1005="sacos")*(MOVIMIENTOS!$A$5:$A$1005&lt;&gt;"")*(MOVIMIENTOS!$A$5:$A$1005&lt;=$A967)*MOVIMIENTOS!$E$5:$E$1005)-SUMPRODUCT((MOVIMIENTOS!$B$5:$B$1005="VENTA")*(MOVIMIENTOS!$C$5:$C$1005="Chancho")*(MOVIMIENTOS!$D$5:$D$1005="sacos")*(MOVIMIENTOS!$A$5:$A$1005&lt;&gt;"")*(MOVIMIENTOS!$A$5:$A$1005&lt;=$A967)*MOVIMIENTOS!$E$5:$E$1005)+SUMPRODUCT((MOVIMIENTOS!$B$5:$B$1005="AJUSTE")*(MOVIMIENTOS!$C$5:$C$1005="Chancho")*(MOVIMIENTOS!$D$5:$D$1005="sacos")*(MOVIMIENTOS!$A$5:$A$1005&lt;&gt;"")*(MOVIMIENTOS!$A$5:$A$1005&lt;=$A967)*MOVIMIENTOS!$E$5:$E$1005))</f>
        <v/>
      </c>
      <c r="G967" s="62" t="str">
        <f t="shared" si="31"/>
        <v/>
      </c>
      <c r="H967" t="str">
        <f>IF($A967="","",SUMPRODUCT((((MOVIMIENTOS!$B$5:$B$1005="SALDO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967)*MOVIMIENTOS!$J$5:$J$1005))</f>
        <v/>
      </c>
      <c r="J967" t="str">
        <f>IF(AND(MOVIMIENTOS!$A972&lt;&gt;"",COUNTIF(MOVIMIENTOS!$A$5:$A971,MOVIMIENTOS!$A972)=0),COUNT(J$4:J966)+1,"")</f>
        <v/>
      </c>
      <c r="K967">
        <f>MOVIMIENTOS!$A972</f>
        <v>0</v>
      </c>
    </row>
    <row r="968" spans="1:11" ht="15" customHeight="1" x14ac:dyDescent="0.2">
      <c r="A968" t="str">
        <f t="shared" si="30"/>
        <v/>
      </c>
      <c r="B968" t="str">
        <f>IF($A968="","",SUMPRODUCT((MOVIMIENTOS!$B$5:$B$1005="SALDO INICIAL")*(MOVIMIENTOS!$C$5:$C$1005="A")*(MOVIMIENTOS!$D$5:$D$1005="jabas")*(MOVIMIENTOS!$A$5:$A$1005&lt;&gt;"")*(MOVIMIENTOS!$A$5:$A$1005&lt;=$A968)*MOVIMIENTOS!$E$5:$E$1005)+SUMPRODUCT((MOVIMIENTOS!$B$5:$B$1005="PROCESO")*(MOVIMIENTOS!$C$5:$C$1005="A")*(MOVIMIENTOS!$D$5:$D$1005="jabas")*(MOVIMIENTOS!$A$5:$A$1005&lt;&gt;"")*(MOVIMIENTOS!$A$5:$A$1005&lt;=$A968)*MOVIMIENTOS!$E$5:$E$1005)-SUMPRODUCT((MOVIMIENTOS!$B$5:$B$1005="ENVÍO A SUPESA")*(MOVIMIENTOS!$C$5:$C$1005="A")*(MOVIMIENTOS!$D$5:$D$1005="jabas")*(MOVIMIENTOS!$A$5:$A$1005&lt;&gt;"")*(MOVIMIENTOS!$A$5:$A$1005&lt;=$A968)*MOVIMIENTOS!$E$5:$E$1005)+SUMPRODUCT((MOVIMIENTOS!$B$5:$B$1005="DEVOLUCIÓN")*(MOVIMIENTOS!$C$5:$C$1005="A")*(MOVIMIENTOS!$D$5:$D$1005="jabas")*(MOVIMIENTOS!$A$5:$A$1005&lt;&gt;"")*(MOVIMIENTOS!$A$5:$A$1005&lt;=$A968)*MOVIMIENTOS!$E$5:$E$1005)-SUMPRODUCT((MOVIMIENTOS!$B$5:$B$1005="TRASIEGO")*(MOVIMIENTOS!$C$5:$C$1005="A")*(MOVIMIENTOS!$D$5:$D$1005="jabas")*(MOVIMIENTOS!$A$5:$A$1005&lt;&gt;"")*(MOVIMIENTOS!$A$5:$A$1005&lt;=$A968)*MOVIMIENTOS!$E$5:$E$1005)-SUMPRODUCT((MOVIMIENTOS!$B$5:$B$1005="REGALO")*(MOVIMIENTOS!$C$5:$C$1005="A")*(MOVIMIENTOS!$D$5:$D$1005="jabas")*(MOVIMIENTOS!$A$5:$A$1005&lt;&gt;"")*(MOVIMIENTOS!$A$5:$A$1005&lt;=$A968)*MOVIMIENTOS!$E$5:$E$1005)-SUMPRODUCT((MOVIMIENTOS!$B$5:$B$1005="VENTA")*(MOVIMIENTOS!$C$5:$C$1005="A")*(MOVIMIENTOS!$D$5:$D$1005="jabas")*(MOVIMIENTOS!$A$5:$A$1005&lt;&gt;"")*(MOVIMIENTOS!$A$5:$A$1005&lt;=$A968)*MOVIMIENTOS!$E$5:$E$1005)+SUMPRODUCT((MOVIMIENTOS!$B$5:$B$1005="AJUSTE")*(MOVIMIENTOS!$C$5:$C$1005="A")*(MOVIMIENTOS!$D$5:$D$1005="jabas")*(MOVIMIENTOS!$A$5:$A$1005&lt;&gt;"")*(MOVIMIENTOS!$A$5:$A$1005&lt;=$A968)*MOVIMIENTOS!$E$5:$E$1005))</f>
        <v/>
      </c>
      <c r="C968" t="str">
        <f>IF($A968="","",SUMPRODUCT((MOVIMIENTOS!$B$5:$B$1005="SALDO INICIAL")*(MOVIMIENTOS!$C$5:$C$1005="P")*(MOVIMIENTOS!$D$5:$D$1005="jabas")*(MOVIMIENTOS!$A$5:$A$1005&lt;&gt;"")*(MOVIMIENTOS!$A$5:$A$1005&lt;=$A968)*MOVIMIENTOS!$E$5:$E$1005)+SUMPRODUCT((MOVIMIENTOS!$B$5:$B$1005="PROCESO")*(MOVIMIENTOS!$C$5:$C$1005="P")*(MOVIMIENTOS!$D$5:$D$1005="jabas")*(MOVIMIENTOS!$A$5:$A$1005&lt;&gt;"")*(MOVIMIENTOS!$A$5:$A$1005&lt;=$A968)*MOVIMIENTOS!$E$5:$E$1005)-SUMPRODUCT((MOVIMIENTOS!$B$5:$B$1005="ENVÍO A SUPESA")*(MOVIMIENTOS!$C$5:$C$1005="P")*(MOVIMIENTOS!$D$5:$D$1005="jabas")*(MOVIMIENTOS!$A$5:$A$1005&lt;&gt;"")*(MOVIMIENTOS!$A$5:$A$1005&lt;=$A968)*MOVIMIENTOS!$E$5:$E$1005)+SUMPRODUCT((MOVIMIENTOS!$B$5:$B$1005="DEVOLUCIÓN")*(MOVIMIENTOS!$C$5:$C$1005="P")*(MOVIMIENTOS!$D$5:$D$1005="jabas")*(MOVIMIENTOS!$A$5:$A$1005&lt;&gt;"")*(MOVIMIENTOS!$A$5:$A$1005&lt;=$A968)*MOVIMIENTOS!$E$5:$E$1005)-SUMPRODUCT((MOVIMIENTOS!$B$5:$B$1005="TRASIEGO")*(MOVIMIENTOS!$C$5:$C$1005="P")*(MOVIMIENTOS!$D$5:$D$1005="jabas")*(MOVIMIENTOS!$A$5:$A$1005&lt;&gt;"")*(MOVIMIENTOS!$A$5:$A$1005&lt;=$A968)*MOVIMIENTOS!$E$5:$E$1005)-SUMPRODUCT((MOVIMIENTOS!$B$5:$B$1005="REGALO")*(MOVIMIENTOS!$C$5:$C$1005="P")*(MOVIMIENTOS!$D$5:$D$1005="jabas")*(MOVIMIENTOS!$A$5:$A$1005&lt;&gt;"")*(MOVIMIENTOS!$A$5:$A$1005&lt;=$A968)*MOVIMIENTOS!$E$5:$E$1005)-SUMPRODUCT((MOVIMIENTOS!$B$5:$B$1005="VENTA")*(MOVIMIENTOS!$C$5:$C$1005="P")*(MOVIMIENTOS!$D$5:$D$1005="jabas")*(MOVIMIENTOS!$A$5:$A$1005&lt;&gt;"")*(MOVIMIENTOS!$A$5:$A$1005&lt;=$A968)*MOVIMIENTOS!$E$5:$E$1005)+SUMPRODUCT((MOVIMIENTOS!$B$5:$B$1005="AJUSTE")*(MOVIMIENTOS!$C$5:$C$1005="P")*(MOVIMIENTOS!$D$5:$D$1005="jabas")*(MOVIMIENTOS!$A$5:$A$1005&lt;&gt;"")*(MOVIMIENTOS!$A$5:$A$1005&lt;=$A968)*MOVIMIENTOS!$E$5:$E$1005))</f>
        <v/>
      </c>
      <c r="D968" t="str">
        <f>IF($A968="","",SUMPRODUCT((MOVIMIENTOS!$B$5:$B$1005="SALDO INICIAL")*(MOVIMIENTOS!$C$5:$C$1005="C")*(MOVIMIENTOS!$D$5:$D$1005="jabas")*(MOVIMIENTOS!$A$5:$A$1005&lt;&gt;"")*(MOVIMIENTOS!$A$5:$A$1005&lt;=$A968)*MOVIMIENTOS!$E$5:$E$1005)+SUMPRODUCT((MOVIMIENTOS!$B$5:$B$1005="PROCESO")*(MOVIMIENTOS!$C$5:$C$1005="C")*(MOVIMIENTOS!$D$5:$D$1005="jabas")*(MOVIMIENTOS!$A$5:$A$1005&lt;&gt;"")*(MOVIMIENTOS!$A$5:$A$1005&lt;=$A968)*MOVIMIENTOS!$E$5:$E$1005)-SUMPRODUCT((MOVIMIENTOS!$B$5:$B$1005="ENVÍO A SUPESA")*(MOVIMIENTOS!$C$5:$C$1005="C")*(MOVIMIENTOS!$D$5:$D$1005="jabas")*(MOVIMIENTOS!$A$5:$A$1005&lt;&gt;"")*(MOVIMIENTOS!$A$5:$A$1005&lt;=$A968)*MOVIMIENTOS!$E$5:$E$1005)+SUMPRODUCT((MOVIMIENTOS!$B$5:$B$1005="DEVOLUCIÓN")*(MOVIMIENTOS!$C$5:$C$1005="C")*(MOVIMIENTOS!$D$5:$D$1005="jabas")*(MOVIMIENTOS!$A$5:$A$1005&lt;&gt;"")*(MOVIMIENTOS!$A$5:$A$1005&lt;=$A968)*MOVIMIENTOS!$E$5:$E$1005)-SUMPRODUCT((MOVIMIENTOS!$B$5:$B$1005="TRASIEGO")*(MOVIMIENTOS!$C$5:$C$1005="C")*(MOVIMIENTOS!$D$5:$D$1005="jabas")*(MOVIMIENTOS!$A$5:$A$1005&lt;&gt;"")*(MOVIMIENTOS!$A$5:$A$1005&lt;=$A968)*MOVIMIENTOS!$E$5:$E$1005)-SUMPRODUCT((MOVIMIENTOS!$B$5:$B$1005="REGALO")*(MOVIMIENTOS!$C$5:$C$1005="C")*(MOVIMIENTOS!$D$5:$D$1005="jabas")*(MOVIMIENTOS!$A$5:$A$1005&lt;&gt;"")*(MOVIMIENTOS!$A$5:$A$1005&lt;=$A968)*MOVIMIENTOS!$E$5:$E$1005)-SUMPRODUCT((MOVIMIENTOS!$B$5:$B$1005="VENTA")*(MOVIMIENTOS!$C$5:$C$1005="C")*(MOVIMIENTOS!$D$5:$D$1005="jabas")*(MOVIMIENTOS!$A$5:$A$1005&lt;&gt;"")*(MOVIMIENTOS!$A$5:$A$1005&lt;=$A968)*MOVIMIENTOS!$E$5:$E$1005)+SUMPRODUCT((MOVIMIENTOS!$B$5:$B$1005="AJUSTE")*(MOVIMIENTOS!$C$5:$C$1005="C")*(MOVIMIENTOS!$D$5:$D$1005="jabas")*(MOVIMIENTOS!$A$5:$A$1005&lt;&gt;"")*(MOVIMIENTOS!$A$5:$A$1005&lt;=$A968)*MOVIMIENTOS!$E$5:$E$1005))</f>
        <v/>
      </c>
      <c r="E968" t="str">
        <f>IF($A968="","",SUMPRODUCT((MOVIMIENTOS!$B$5:$B$1005="SALDO INICIAL")*(MOVIMIENTOS!$C$5:$C$1005="M")*(MOVIMIENTOS!$D$5:$D$1005="jabas")*(MOVIMIENTOS!$A$5:$A$1005&lt;&gt;"")*(MOVIMIENTOS!$A$5:$A$1005&lt;=$A968)*MOVIMIENTOS!$E$5:$E$1005)+SUMPRODUCT((MOVIMIENTOS!$B$5:$B$1005="PROCESO")*(MOVIMIENTOS!$C$5:$C$1005="M")*(MOVIMIENTOS!$D$5:$D$1005="jabas")*(MOVIMIENTOS!$A$5:$A$1005&lt;&gt;"")*(MOVIMIENTOS!$A$5:$A$1005&lt;=$A968)*MOVIMIENTOS!$E$5:$E$1005)-SUMPRODUCT((MOVIMIENTOS!$B$5:$B$1005="ENVÍO A SUPESA")*(MOVIMIENTOS!$C$5:$C$1005="M")*(MOVIMIENTOS!$D$5:$D$1005="jabas")*(MOVIMIENTOS!$A$5:$A$1005&lt;&gt;"")*(MOVIMIENTOS!$A$5:$A$1005&lt;=$A968)*MOVIMIENTOS!$E$5:$E$1005)+SUMPRODUCT((MOVIMIENTOS!$B$5:$B$1005="DEVOLUCIÓN")*(MOVIMIENTOS!$C$5:$C$1005="M")*(MOVIMIENTOS!$D$5:$D$1005="jabas")*(MOVIMIENTOS!$A$5:$A$1005&lt;&gt;"")*(MOVIMIENTOS!$A$5:$A$1005&lt;=$A968)*MOVIMIENTOS!$E$5:$E$1005)-SUMPRODUCT((MOVIMIENTOS!$B$5:$B$1005="TRASIEGO")*(MOVIMIENTOS!$C$5:$C$1005="M")*(MOVIMIENTOS!$D$5:$D$1005="jabas")*(MOVIMIENTOS!$A$5:$A$1005&lt;&gt;"")*(MOVIMIENTOS!$A$5:$A$1005&lt;=$A968)*MOVIMIENTOS!$E$5:$E$1005)-SUMPRODUCT((MOVIMIENTOS!$B$5:$B$1005="REGALO")*(MOVIMIENTOS!$C$5:$C$1005="M")*(MOVIMIENTOS!$D$5:$D$1005="jabas")*(MOVIMIENTOS!$A$5:$A$1005&lt;&gt;"")*(MOVIMIENTOS!$A$5:$A$1005&lt;=$A968)*MOVIMIENTOS!$E$5:$E$1005)-SUMPRODUCT((MOVIMIENTOS!$B$5:$B$1005="VENTA")*(MOVIMIENTOS!$C$5:$C$1005="M")*(MOVIMIENTOS!$D$5:$D$1005="jabas")*(MOVIMIENTOS!$A$5:$A$1005&lt;&gt;"")*(MOVIMIENTOS!$A$5:$A$1005&lt;=$A968)*MOVIMIENTOS!$E$5:$E$1005)+SUMPRODUCT((MOVIMIENTOS!$B$5:$B$1005="AJUSTE")*(MOVIMIENTOS!$C$5:$C$1005="M")*(MOVIMIENTOS!$D$5:$D$1005="jabas")*(MOVIMIENTOS!$A$5:$A$1005&lt;&gt;"")*(MOVIMIENTOS!$A$5:$A$1005&lt;=$A968)*MOVIMIENTOS!$E$5:$E$1005))</f>
        <v/>
      </c>
      <c r="F968" s="62" t="str">
        <f>IF($A968="","",SUMPRODUCT((MOVIMIENTOS!$B$5:$B$1005="SALDO INICIAL")*(MOVIMIENTOS!$C$5:$C$1005="Chancho")*(MOVIMIENTOS!$D$5:$D$1005="sacos")*(MOVIMIENTOS!$A$5:$A$1005&lt;&gt;"")*(MOVIMIENTOS!$A$5:$A$1005&lt;=$A968)*MOVIMIENTOS!$E$5:$E$1005)+SUMPRODUCT((MOVIMIENTOS!$B$5:$B$1005="PROCESO")*(MOVIMIENTOS!$C$5:$C$1005="Chancho")*(MOVIMIENTOS!$D$5:$D$1005="sacos")*(MOVIMIENTOS!$A$5:$A$1005&lt;&gt;"")*(MOVIMIENTOS!$A$5:$A$1005&lt;=$A968)*MOVIMIENTOS!$E$5:$E$1005)-SUMPRODUCT((MOVIMIENTOS!$B$5:$B$1005="VENTA CHANCHO")*(MOVIMIENTOS!$C$5:$C$1005="Chancho")*(MOVIMIENTOS!$D$5:$D$1005="sacos")*(MOVIMIENTOS!$A$5:$A$1005&lt;&gt;"")*(MOVIMIENTOS!$A$5:$A$1005&lt;=$A968)*MOVIMIENTOS!$E$5:$E$1005)-SUMPRODUCT((MOVIMIENTOS!$B$5:$B$1005="REGALO")*(MOVIMIENTOS!$C$5:$C$1005="Chancho")*(MOVIMIENTOS!$D$5:$D$1005="sacos")*(MOVIMIENTOS!$A$5:$A$1005&lt;&gt;"")*(MOVIMIENTOS!$A$5:$A$1005&lt;=$A968)*MOVIMIENTOS!$E$5:$E$1005)-SUMPRODUCT((MOVIMIENTOS!$B$5:$B$1005="VENTA")*(MOVIMIENTOS!$C$5:$C$1005="Chancho")*(MOVIMIENTOS!$D$5:$D$1005="sacos")*(MOVIMIENTOS!$A$5:$A$1005&lt;&gt;"")*(MOVIMIENTOS!$A$5:$A$1005&lt;=$A968)*MOVIMIENTOS!$E$5:$E$1005)+SUMPRODUCT((MOVIMIENTOS!$B$5:$B$1005="AJUSTE")*(MOVIMIENTOS!$C$5:$C$1005="Chancho")*(MOVIMIENTOS!$D$5:$D$1005="sacos")*(MOVIMIENTOS!$A$5:$A$1005&lt;&gt;"")*(MOVIMIENTOS!$A$5:$A$1005&lt;=$A968)*MOVIMIENTOS!$E$5:$E$1005))</f>
        <v/>
      </c>
      <c r="G968" s="62" t="str">
        <f t="shared" si="31"/>
        <v/>
      </c>
      <c r="H968" t="str">
        <f>IF($A968="","",SUMPRODUCT((((MOVIMIENTOS!$B$5:$B$1005="SALDO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968)*MOVIMIENTOS!$J$5:$J$1005))</f>
        <v/>
      </c>
      <c r="J968" t="str">
        <f>IF(AND(MOVIMIENTOS!$A973&lt;&gt;"",COUNTIF(MOVIMIENTOS!$A$5:$A972,MOVIMIENTOS!$A973)=0),COUNT(J$4:J967)+1,"")</f>
        <v/>
      </c>
      <c r="K968">
        <f>MOVIMIENTOS!$A973</f>
        <v>0</v>
      </c>
    </row>
    <row r="969" spans="1:11" ht="15" customHeight="1" x14ac:dyDescent="0.2">
      <c r="A969" t="str">
        <f t="shared" si="30"/>
        <v/>
      </c>
      <c r="B969" t="str">
        <f>IF($A969="","",SUMPRODUCT((MOVIMIENTOS!$B$5:$B$1005="SALDO INICIAL")*(MOVIMIENTOS!$C$5:$C$1005="A")*(MOVIMIENTOS!$D$5:$D$1005="jabas")*(MOVIMIENTOS!$A$5:$A$1005&lt;&gt;"")*(MOVIMIENTOS!$A$5:$A$1005&lt;=$A969)*MOVIMIENTOS!$E$5:$E$1005)+SUMPRODUCT((MOVIMIENTOS!$B$5:$B$1005="PROCESO")*(MOVIMIENTOS!$C$5:$C$1005="A")*(MOVIMIENTOS!$D$5:$D$1005="jabas")*(MOVIMIENTOS!$A$5:$A$1005&lt;&gt;"")*(MOVIMIENTOS!$A$5:$A$1005&lt;=$A969)*MOVIMIENTOS!$E$5:$E$1005)-SUMPRODUCT((MOVIMIENTOS!$B$5:$B$1005="ENVÍO A SUPESA")*(MOVIMIENTOS!$C$5:$C$1005="A")*(MOVIMIENTOS!$D$5:$D$1005="jabas")*(MOVIMIENTOS!$A$5:$A$1005&lt;&gt;"")*(MOVIMIENTOS!$A$5:$A$1005&lt;=$A969)*MOVIMIENTOS!$E$5:$E$1005)+SUMPRODUCT((MOVIMIENTOS!$B$5:$B$1005="DEVOLUCIÓN")*(MOVIMIENTOS!$C$5:$C$1005="A")*(MOVIMIENTOS!$D$5:$D$1005="jabas")*(MOVIMIENTOS!$A$5:$A$1005&lt;&gt;"")*(MOVIMIENTOS!$A$5:$A$1005&lt;=$A969)*MOVIMIENTOS!$E$5:$E$1005)-SUMPRODUCT((MOVIMIENTOS!$B$5:$B$1005="TRASIEGO")*(MOVIMIENTOS!$C$5:$C$1005="A")*(MOVIMIENTOS!$D$5:$D$1005="jabas")*(MOVIMIENTOS!$A$5:$A$1005&lt;&gt;"")*(MOVIMIENTOS!$A$5:$A$1005&lt;=$A969)*MOVIMIENTOS!$E$5:$E$1005)-SUMPRODUCT((MOVIMIENTOS!$B$5:$B$1005="REGALO")*(MOVIMIENTOS!$C$5:$C$1005="A")*(MOVIMIENTOS!$D$5:$D$1005="jabas")*(MOVIMIENTOS!$A$5:$A$1005&lt;&gt;"")*(MOVIMIENTOS!$A$5:$A$1005&lt;=$A969)*MOVIMIENTOS!$E$5:$E$1005)-SUMPRODUCT((MOVIMIENTOS!$B$5:$B$1005="VENTA")*(MOVIMIENTOS!$C$5:$C$1005="A")*(MOVIMIENTOS!$D$5:$D$1005="jabas")*(MOVIMIENTOS!$A$5:$A$1005&lt;&gt;"")*(MOVIMIENTOS!$A$5:$A$1005&lt;=$A969)*MOVIMIENTOS!$E$5:$E$1005)+SUMPRODUCT((MOVIMIENTOS!$B$5:$B$1005="AJUSTE")*(MOVIMIENTOS!$C$5:$C$1005="A")*(MOVIMIENTOS!$D$5:$D$1005="jabas")*(MOVIMIENTOS!$A$5:$A$1005&lt;&gt;"")*(MOVIMIENTOS!$A$5:$A$1005&lt;=$A969)*MOVIMIENTOS!$E$5:$E$1005))</f>
        <v/>
      </c>
      <c r="C969" t="str">
        <f>IF($A969="","",SUMPRODUCT((MOVIMIENTOS!$B$5:$B$1005="SALDO INICIAL")*(MOVIMIENTOS!$C$5:$C$1005="P")*(MOVIMIENTOS!$D$5:$D$1005="jabas")*(MOVIMIENTOS!$A$5:$A$1005&lt;&gt;"")*(MOVIMIENTOS!$A$5:$A$1005&lt;=$A969)*MOVIMIENTOS!$E$5:$E$1005)+SUMPRODUCT((MOVIMIENTOS!$B$5:$B$1005="PROCESO")*(MOVIMIENTOS!$C$5:$C$1005="P")*(MOVIMIENTOS!$D$5:$D$1005="jabas")*(MOVIMIENTOS!$A$5:$A$1005&lt;&gt;"")*(MOVIMIENTOS!$A$5:$A$1005&lt;=$A969)*MOVIMIENTOS!$E$5:$E$1005)-SUMPRODUCT((MOVIMIENTOS!$B$5:$B$1005="ENVÍO A SUPESA")*(MOVIMIENTOS!$C$5:$C$1005="P")*(MOVIMIENTOS!$D$5:$D$1005="jabas")*(MOVIMIENTOS!$A$5:$A$1005&lt;&gt;"")*(MOVIMIENTOS!$A$5:$A$1005&lt;=$A969)*MOVIMIENTOS!$E$5:$E$1005)+SUMPRODUCT((MOVIMIENTOS!$B$5:$B$1005="DEVOLUCIÓN")*(MOVIMIENTOS!$C$5:$C$1005="P")*(MOVIMIENTOS!$D$5:$D$1005="jabas")*(MOVIMIENTOS!$A$5:$A$1005&lt;&gt;"")*(MOVIMIENTOS!$A$5:$A$1005&lt;=$A969)*MOVIMIENTOS!$E$5:$E$1005)-SUMPRODUCT((MOVIMIENTOS!$B$5:$B$1005="TRASIEGO")*(MOVIMIENTOS!$C$5:$C$1005="P")*(MOVIMIENTOS!$D$5:$D$1005="jabas")*(MOVIMIENTOS!$A$5:$A$1005&lt;&gt;"")*(MOVIMIENTOS!$A$5:$A$1005&lt;=$A969)*MOVIMIENTOS!$E$5:$E$1005)-SUMPRODUCT((MOVIMIENTOS!$B$5:$B$1005="REGALO")*(MOVIMIENTOS!$C$5:$C$1005="P")*(MOVIMIENTOS!$D$5:$D$1005="jabas")*(MOVIMIENTOS!$A$5:$A$1005&lt;&gt;"")*(MOVIMIENTOS!$A$5:$A$1005&lt;=$A969)*MOVIMIENTOS!$E$5:$E$1005)-SUMPRODUCT((MOVIMIENTOS!$B$5:$B$1005="VENTA")*(MOVIMIENTOS!$C$5:$C$1005="P")*(MOVIMIENTOS!$D$5:$D$1005="jabas")*(MOVIMIENTOS!$A$5:$A$1005&lt;&gt;"")*(MOVIMIENTOS!$A$5:$A$1005&lt;=$A969)*MOVIMIENTOS!$E$5:$E$1005)+SUMPRODUCT((MOVIMIENTOS!$B$5:$B$1005="AJUSTE")*(MOVIMIENTOS!$C$5:$C$1005="P")*(MOVIMIENTOS!$D$5:$D$1005="jabas")*(MOVIMIENTOS!$A$5:$A$1005&lt;&gt;"")*(MOVIMIENTOS!$A$5:$A$1005&lt;=$A969)*MOVIMIENTOS!$E$5:$E$1005))</f>
        <v/>
      </c>
      <c r="D969" t="str">
        <f>IF($A969="","",SUMPRODUCT((MOVIMIENTOS!$B$5:$B$1005="SALDO INICIAL")*(MOVIMIENTOS!$C$5:$C$1005="C")*(MOVIMIENTOS!$D$5:$D$1005="jabas")*(MOVIMIENTOS!$A$5:$A$1005&lt;&gt;"")*(MOVIMIENTOS!$A$5:$A$1005&lt;=$A969)*MOVIMIENTOS!$E$5:$E$1005)+SUMPRODUCT((MOVIMIENTOS!$B$5:$B$1005="PROCESO")*(MOVIMIENTOS!$C$5:$C$1005="C")*(MOVIMIENTOS!$D$5:$D$1005="jabas")*(MOVIMIENTOS!$A$5:$A$1005&lt;&gt;"")*(MOVIMIENTOS!$A$5:$A$1005&lt;=$A969)*MOVIMIENTOS!$E$5:$E$1005)-SUMPRODUCT((MOVIMIENTOS!$B$5:$B$1005="ENVÍO A SUPESA")*(MOVIMIENTOS!$C$5:$C$1005="C")*(MOVIMIENTOS!$D$5:$D$1005="jabas")*(MOVIMIENTOS!$A$5:$A$1005&lt;&gt;"")*(MOVIMIENTOS!$A$5:$A$1005&lt;=$A969)*MOVIMIENTOS!$E$5:$E$1005)+SUMPRODUCT((MOVIMIENTOS!$B$5:$B$1005="DEVOLUCIÓN")*(MOVIMIENTOS!$C$5:$C$1005="C")*(MOVIMIENTOS!$D$5:$D$1005="jabas")*(MOVIMIENTOS!$A$5:$A$1005&lt;&gt;"")*(MOVIMIENTOS!$A$5:$A$1005&lt;=$A969)*MOVIMIENTOS!$E$5:$E$1005)-SUMPRODUCT((MOVIMIENTOS!$B$5:$B$1005="TRASIEGO")*(MOVIMIENTOS!$C$5:$C$1005="C")*(MOVIMIENTOS!$D$5:$D$1005="jabas")*(MOVIMIENTOS!$A$5:$A$1005&lt;&gt;"")*(MOVIMIENTOS!$A$5:$A$1005&lt;=$A969)*MOVIMIENTOS!$E$5:$E$1005)-SUMPRODUCT((MOVIMIENTOS!$B$5:$B$1005="REGALO")*(MOVIMIENTOS!$C$5:$C$1005="C")*(MOVIMIENTOS!$D$5:$D$1005="jabas")*(MOVIMIENTOS!$A$5:$A$1005&lt;&gt;"")*(MOVIMIENTOS!$A$5:$A$1005&lt;=$A969)*MOVIMIENTOS!$E$5:$E$1005)-SUMPRODUCT((MOVIMIENTOS!$B$5:$B$1005="VENTA")*(MOVIMIENTOS!$C$5:$C$1005="C")*(MOVIMIENTOS!$D$5:$D$1005="jabas")*(MOVIMIENTOS!$A$5:$A$1005&lt;&gt;"")*(MOVIMIENTOS!$A$5:$A$1005&lt;=$A969)*MOVIMIENTOS!$E$5:$E$1005)+SUMPRODUCT((MOVIMIENTOS!$B$5:$B$1005="AJUSTE")*(MOVIMIENTOS!$C$5:$C$1005="C")*(MOVIMIENTOS!$D$5:$D$1005="jabas")*(MOVIMIENTOS!$A$5:$A$1005&lt;&gt;"")*(MOVIMIENTOS!$A$5:$A$1005&lt;=$A969)*MOVIMIENTOS!$E$5:$E$1005))</f>
        <v/>
      </c>
      <c r="E969" t="str">
        <f>IF($A969="","",SUMPRODUCT((MOVIMIENTOS!$B$5:$B$1005="SALDO INICIAL")*(MOVIMIENTOS!$C$5:$C$1005="M")*(MOVIMIENTOS!$D$5:$D$1005="jabas")*(MOVIMIENTOS!$A$5:$A$1005&lt;&gt;"")*(MOVIMIENTOS!$A$5:$A$1005&lt;=$A969)*MOVIMIENTOS!$E$5:$E$1005)+SUMPRODUCT((MOVIMIENTOS!$B$5:$B$1005="PROCESO")*(MOVIMIENTOS!$C$5:$C$1005="M")*(MOVIMIENTOS!$D$5:$D$1005="jabas")*(MOVIMIENTOS!$A$5:$A$1005&lt;&gt;"")*(MOVIMIENTOS!$A$5:$A$1005&lt;=$A969)*MOVIMIENTOS!$E$5:$E$1005)-SUMPRODUCT((MOVIMIENTOS!$B$5:$B$1005="ENVÍO A SUPESA")*(MOVIMIENTOS!$C$5:$C$1005="M")*(MOVIMIENTOS!$D$5:$D$1005="jabas")*(MOVIMIENTOS!$A$5:$A$1005&lt;&gt;"")*(MOVIMIENTOS!$A$5:$A$1005&lt;=$A969)*MOVIMIENTOS!$E$5:$E$1005)+SUMPRODUCT((MOVIMIENTOS!$B$5:$B$1005="DEVOLUCIÓN")*(MOVIMIENTOS!$C$5:$C$1005="M")*(MOVIMIENTOS!$D$5:$D$1005="jabas")*(MOVIMIENTOS!$A$5:$A$1005&lt;&gt;"")*(MOVIMIENTOS!$A$5:$A$1005&lt;=$A969)*MOVIMIENTOS!$E$5:$E$1005)-SUMPRODUCT((MOVIMIENTOS!$B$5:$B$1005="TRASIEGO")*(MOVIMIENTOS!$C$5:$C$1005="M")*(MOVIMIENTOS!$D$5:$D$1005="jabas")*(MOVIMIENTOS!$A$5:$A$1005&lt;&gt;"")*(MOVIMIENTOS!$A$5:$A$1005&lt;=$A969)*MOVIMIENTOS!$E$5:$E$1005)-SUMPRODUCT((MOVIMIENTOS!$B$5:$B$1005="REGALO")*(MOVIMIENTOS!$C$5:$C$1005="M")*(MOVIMIENTOS!$D$5:$D$1005="jabas")*(MOVIMIENTOS!$A$5:$A$1005&lt;&gt;"")*(MOVIMIENTOS!$A$5:$A$1005&lt;=$A969)*MOVIMIENTOS!$E$5:$E$1005)-SUMPRODUCT((MOVIMIENTOS!$B$5:$B$1005="VENTA")*(MOVIMIENTOS!$C$5:$C$1005="M")*(MOVIMIENTOS!$D$5:$D$1005="jabas")*(MOVIMIENTOS!$A$5:$A$1005&lt;&gt;"")*(MOVIMIENTOS!$A$5:$A$1005&lt;=$A969)*MOVIMIENTOS!$E$5:$E$1005)+SUMPRODUCT((MOVIMIENTOS!$B$5:$B$1005="AJUSTE")*(MOVIMIENTOS!$C$5:$C$1005="M")*(MOVIMIENTOS!$D$5:$D$1005="jabas")*(MOVIMIENTOS!$A$5:$A$1005&lt;&gt;"")*(MOVIMIENTOS!$A$5:$A$1005&lt;=$A969)*MOVIMIENTOS!$E$5:$E$1005))</f>
        <v/>
      </c>
      <c r="F969" s="62" t="str">
        <f>IF($A969="","",SUMPRODUCT((MOVIMIENTOS!$B$5:$B$1005="SALDO INICIAL")*(MOVIMIENTOS!$C$5:$C$1005="Chancho")*(MOVIMIENTOS!$D$5:$D$1005="sacos")*(MOVIMIENTOS!$A$5:$A$1005&lt;&gt;"")*(MOVIMIENTOS!$A$5:$A$1005&lt;=$A969)*MOVIMIENTOS!$E$5:$E$1005)+SUMPRODUCT((MOVIMIENTOS!$B$5:$B$1005="PROCESO")*(MOVIMIENTOS!$C$5:$C$1005="Chancho")*(MOVIMIENTOS!$D$5:$D$1005="sacos")*(MOVIMIENTOS!$A$5:$A$1005&lt;&gt;"")*(MOVIMIENTOS!$A$5:$A$1005&lt;=$A969)*MOVIMIENTOS!$E$5:$E$1005)-SUMPRODUCT((MOVIMIENTOS!$B$5:$B$1005="VENTA CHANCHO")*(MOVIMIENTOS!$C$5:$C$1005="Chancho")*(MOVIMIENTOS!$D$5:$D$1005="sacos")*(MOVIMIENTOS!$A$5:$A$1005&lt;&gt;"")*(MOVIMIENTOS!$A$5:$A$1005&lt;=$A969)*MOVIMIENTOS!$E$5:$E$1005)-SUMPRODUCT((MOVIMIENTOS!$B$5:$B$1005="REGALO")*(MOVIMIENTOS!$C$5:$C$1005="Chancho")*(MOVIMIENTOS!$D$5:$D$1005="sacos")*(MOVIMIENTOS!$A$5:$A$1005&lt;&gt;"")*(MOVIMIENTOS!$A$5:$A$1005&lt;=$A969)*MOVIMIENTOS!$E$5:$E$1005)-SUMPRODUCT((MOVIMIENTOS!$B$5:$B$1005="VENTA")*(MOVIMIENTOS!$C$5:$C$1005="Chancho")*(MOVIMIENTOS!$D$5:$D$1005="sacos")*(MOVIMIENTOS!$A$5:$A$1005&lt;&gt;"")*(MOVIMIENTOS!$A$5:$A$1005&lt;=$A969)*MOVIMIENTOS!$E$5:$E$1005)+SUMPRODUCT((MOVIMIENTOS!$B$5:$B$1005="AJUSTE")*(MOVIMIENTOS!$C$5:$C$1005="Chancho")*(MOVIMIENTOS!$D$5:$D$1005="sacos")*(MOVIMIENTOS!$A$5:$A$1005&lt;&gt;"")*(MOVIMIENTOS!$A$5:$A$1005&lt;=$A969)*MOVIMIENTOS!$E$5:$E$1005))</f>
        <v/>
      </c>
      <c r="G969" s="62" t="str">
        <f t="shared" si="31"/>
        <v/>
      </c>
      <c r="H969" t="str">
        <f>IF($A969="","",SUMPRODUCT((((MOVIMIENTOS!$B$5:$B$1005="SALDO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969)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969)*MOVIMIENTOS!$J$5:$J$1005))</f>
        <v/>
      </c>
      <c r="J969" t="str">
        <f>IF(AND(MOVIMIENTOS!$A974&lt;&gt;"",COUNTIF(MOVIMIENTOS!$A$5:$A973,MOVIMIENTOS!$A974)=0),COUNT(J$4:J968)+1,"")</f>
        <v/>
      </c>
      <c r="K969">
        <f>MOVIMIENTOS!$A974</f>
        <v>0</v>
      </c>
    </row>
    <row r="970" spans="1:11" ht="15" customHeight="1" x14ac:dyDescent="0.2">
      <c r="A970" t="str">
        <f t="shared" si="30"/>
        <v/>
      </c>
      <c r="B970" t="str">
        <f>IF($A970="","",SUMPRODUCT((MOVIMIENTOS!$B$5:$B$1005="SALDO INICIAL")*(MOVIMIENTOS!$C$5:$C$1005="A")*(MOVIMIENTOS!$D$5:$D$1005="jabas")*(MOVIMIENTOS!$A$5:$A$1005&lt;&gt;"")*(MOVIMIENTOS!$A$5:$A$1005&lt;=$A970)*MOVIMIENTOS!$E$5:$E$1005)+SUMPRODUCT((MOVIMIENTOS!$B$5:$B$1005="PROCESO")*(MOVIMIENTOS!$C$5:$C$1005="A")*(MOVIMIENTOS!$D$5:$D$1005="jabas")*(MOVIMIENTOS!$A$5:$A$1005&lt;&gt;"")*(MOVIMIENTOS!$A$5:$A$1005&lt;=$A970)*MOVIMIENTOS!$E$5:$E$1005)-SUMPRODUCT((MOVIMIENTOS!$B$5:$B$1005="ENVÍO A SUPESA")*(MOVIMIENTOS!$C$5:$C$1005="A")*(MOVIMIENTOS!$D$5:$D$1005="jabas")*(MOVIMIENTOS!$A$5:$A$1005&lt;&gt;"")*(MOVIMIENTOS!$A$5:$A$1005&lt;=$A970)*MOVIMIENTOS!$E$5:$E$1005)+SUMPRODUCT((MOVIMIENTOS!$B$5:$B$1005="DEVOLUCIÓN")*(MOVIMIENTOS!$C$5:$C$1005="A")*(MOVIMIENTOS!$D$5:$D$1005="jabas")*(MOVIMIENTOS!$A$5:$A$1005&lt;&gt;"")*(MOVIMIENTOS!$A$5:$A$1005&lt;=$A970)*MOVIMIENTOS!$E$5:$E$1005)-SUMPRODUCT((MOVIMIENTOS!$B$5:$B$1005="TRASIEGO")*(MOVIMIENTOS!$C$5:$C$1005="A")*(MOVIMIENTOS!$D$5:$D$1005="jabas")*(MOVIMIENTOS!$A$5:$A$1005&lt;&gt;"")*(MOVIMIENTOS!$A$5:$A$1005&lt;=$A970)*MOVIMIENTOS!$E$5:$E$1005)-SUMPRODUCT((MOVIMIENTOS!$B$5:$B$1005="REGALO")*(MOVIMIENTOS!$C$5:$C$1005="A")*(MOVIMIENTOS!$D$5:$D$1005="jabas")*(MOVIMIENTOS!$A$5:$A$1005&lt;&gt;"")*(MOVIMIENTOS!$A$5:$A$1005&lt;=$A970)*MOVIMIENTOS!$E$5:$E$1005)-SUMPRODUCT((MOVIMIENTOS!$B$5:$B$1005="VENTA")*(MOVIMIENTOS!$C$5:$C$1005="A")*(MOVIMIENTOS!$D$5:$D$1005="jabas")*(MOVIMIENTOS!$A$5:$A$1005&lt;&gt;"")*(MOVIMIENTOS!$A$5:$A$1005&lt;=$A970)*MOVIMIENTOS!$E$5:$E$1005)+SUMPRODUCT((MOVIMIENTOS!$B$5:$B$1005="AJUSTE")*(MOVIMIENTOS!$C$5:$C$1005="A")*(MOVIMIENTOS!$D$5:$D$1005="jabas")*(MOVIMIENTOS!$A$5:$A$1005&lt;&gt;"")*(MOVIMIENTOS!$A$5:$A$1005&lt;=$A970)*MOVIMIENTOS!$E$5:$E$1005))</f>
        <v/>
      </c>
      <c r="C970" t="str">
        <f>IF($A970="","",SUMPRODUCT((MOVIMIENTOS!$B$5:$B$1005="SALDO INICIAL")*(MOVIMIENTOS!$C$5:$C$1005="P")*(MOVIMIENTOS!$D$5:$D$1005="jabas")*(MOVIMIENTOS!$A$5:$A$1005&lt;&gt;"")*(MOVIMIENTOS!$A$5:$A$1005&lt;=$A970)*MOVIMIENTOS!$E$5:$E$1005)+SUMPRODUCT((MOVIMIENTOS!$B$5:$B$1005="PROCESO")*(MOVIMIENTOS!$C$5:$C$1005="P")*(MOVIMIENTOS!$D$5:$D$1005="jabas")*(MOVIMIENTOS!$A$5:$A$1005&lt;&gt;"")*(MOVIMIENTOS!$A$5:$A$1005&lt;=$A970)*MOVIMIENTOS!$E$5:$E$1005)-SUMPRODUCT((MOVIMIENTOS!$B$5:$B$1005="ENVÍO A SUPESA")*(MOVIMIENTOS!$C$5:$C$1005="P")*(MOVIMIENTOS!$D$5:$D$1005="jabas")*(MOVIMIENTOS!$A$5:$A$1005&lt;&gt;"")*(MOVIMIENTOS!$A$5:$A$1005&lt;=$A970)*MOVIMIENTOS!$E$5:$E$1005)+SUMPRODUCT((MOVIMIENTOS!$B$5:$B$1005="DEVOLUCIÓN")*(MOVIMIENTOS!$C$5:$C$1005="P")*(MOVIMIENTOS!$D$5:$D$1005="jabas")*(MOVIMIENTOS!$A$5:$A$1005&lt;&gt;"")*(MOVIMIENTOS!$A$5:$A$1005&lt;=$A970)*MOVIMIENTOS!$E$5:$E$1005)-SUMPRODUCT((MOVIMIENTOS!$B$5:$B$1005="TRASIEGO")*(MOVIMIENTOS!$C$5:$C$1005="P")*(MOVIMIENTOS!$D$5:$D$1005="jabas")*(MOVIMIENTOS!$A$5:$A$1005&lt;&gt;"")*(MOVIMIENTOS!$A$5:$A$1005&lt;=$A970)*MOVIMIENTOS!$E$5:$E$1005)-SUMPRODUCT((MOVIMIENTOS!$B$5:$B$1005="REGALO")*(MOVIMIENTOS!$C$5:$C$1005="P")*(MOVIMIENTOS!$D$5:$D$1005="jabas")*(MOVIMIENTOS!$A$5:$A$1005&lt;&gt;"")*(MOVIMIENTOS!$A$5:$A$1005&lt;=$A970)*MOVIMIENTOS!$E$5:$E$1005)-SUMPRODUCT((MOVIMIENTOS!$B$5:$B$1005="VENTA")*(MOVIMIENTOS!$C$5:$C$1005="P")*(MOVIMIENTOS!$D$5:$D$1005="jabas")*(MOVIMIENTOS!$A$5:$A$1005&lt;&gt;"")*(MOVIMIENTOS!$A$5:$A$1005&lt;=$A970)*MOVIMIENTOS!$E$5:$E$1005)+SUMPRODUCT((MOVIMIENTOS!$B$5:$B$1005="AJUSTE")*(MOVIMIENTOS!$C$5:$C$1005="P")*(MOVIMIENTOS!$D$5:$D$1005="jabas")*(MOVIMIENTOS!$A$5:$A$1005&lt;&gt;"")*(MOVIMIENTOS!$A$5:$A$1005&lt;=$A970)*MOVIMIENTOS!$E$5:$E$1005))</f>
        <v/>
      </c>
      <c r="D970" t="str">
        <f>IF($A970="","",SUMPRODUCT((MOVIMIENTOS!$B$5:$B$1005="SALDO INICIAL")*(MOVIMIENTOS!$C$5:$C$1005="C")*(MOVIMIENTOS!$D$5:$D$1005="jabas")*(MOVIMIENTOS!$A$5:$A$1005&lt;&gt;"")*(MOVIMIENTOS!$A$5:$A$1005&lt;=$A970)*MOVIMIENTOS!$E$5:$E$1005)+SUMPRODUCT((MOVIMIENTOS!$B$5:$B$1005="PROCESO")*(MOVIMIENTOS!$C$5:$C$1005="C")*(MOVIMIENTOS!$D$5:$D$1005="jabas")*(MOVIMIENTOS!$A$5:$A$1005&lt;&gt;"")*(MOVIMIENTOS!$A$5:$A$1005&lt;=$A970)*MOVIMIENTOS!$E$5:$E$1005)-SUMPRODUCT((MOVIMIENTOS!$B$5:$B$1005="ENVÍO A SUPESA")*(MOVIMIENTOS!$C$5:$C$1005="C")*(MOVIMIENTOS!$D$5:$D$1005="jabas")*(MOVIMIENTOS!$A$5:$A$1005&lt;&gt;"")*(MOVIMIENTOS!$A$5:$A$1005&lt;=$A970)*MOVIMIENTOS!$E$5:$E$1005)+SUMPRODUCT((MOVIMIENTOS!$B$5:$B$1005="DEVOLUCIÓN")*(MOVIMIENTOS!$C$5:$C$1005="C")*(MOVIMIENTOS!$D$5:$D$1005="jabas")*(MOVIMIENTOS!$A$5:$A$1005&lt;&gt;"")*(MOVIMIENTOS!$A$5:$A$1005&lt;=$A970)*MOVIMIENTOS!$E$5:$E$1005)-SUMPRODUCT((MOVIMIENTOS!$B$5:$B$1005="TRASIEGO")*(MOVIMIENTOS!$C$5:$C$1005="C")*(MOVIMIENTOS!$D$5:$D$1005="jabas")*(MOVIMIENTOS!$A$5:$A$1005&lt;&gt;"")*(MOVIMIENTOS!$A$5:$A$1005&lt;=$A970)*MOVIMIENTOS!$E$5:$E$1005)-SUMPRODUCT((MOVIMIENTOS!$B$5:$B$1005="REGALO")*(MOVIMIENTOS!$C$5:$C$1005="C")*(MOVIMIENTOS!$D$5:$D$1005="jabas")*(MOVIMIENTOS!$A$5:$A$1005&lt;&gt;"")*(MOVIMIENTOS!$A$5:$A$1005&lt;=$A970)*MOVIMIENTOS!$E$5:$E$1005)-SUMPRODUCT((MOVIMIENTOS!$B$5:$B$1005="VENTA")*(MOVIMIENTOS!$C$5:$C$1005="C")*(MOVIMIENTOS!$D$5:$D$1005="jabas")*(MOVIMIENTOS!$A$5:$A$1005&lt;&gt;"")*(MOVIMIENTOS!$A$5:$A$1005&lt;=$A970)*MOVIMIENTOS!$E$5:$E$1005)+SUMPRODUCT((MOVIMIENTOS!$B$5:$B$1005="AJUSTE")*(MOVIMIENTOS!$C$5:$C$1005="C")*(MOVIMIENTOS!$D$5:$D$1005="jabas")*(MOVIMIENTOS!$A$5:$A$1005&lt;&gt;"")*(MOVIMIENTOS!$A$5:$A$1005&lt;=$A970)*MOVIMIENTOS!$E$5:$E$1005))</f>
        <v/>
      </c>
      <c r="E970" t="str">
        <f>IF($A970="","",SUMPRODUCT((MOVIMIENTOS!$B$5:$B$1005="SALDO INICIAL")*(MOVIMIENTOS!$C$5:$C$1005="M")*(MOVIMIENTOS!$D$5:$D$1005="jabas")*(MOVIMIENTOS!$A$5:$A$1005&lt;&gt;"")*(MOVIMIENTOS!$A$5:$A$1005&lt;=$A970)*MOVIMIENTOS!$E$5:$E$1005)+SUMPRODUCT((MOVIMIENTOS!$B$5:$B$1005="PROCESO")*(MOVIMIENTOS!$C$5:$C$1005="M")*(MOVIMIENTOS!$D$5:$D$1005="jabas")*(MOVIMIENTOS!$A$5:$A$1005&lt;&gt;"")*(MOVIMIENTOS!$A$5:$A$1005&lt;=$A970)*MOVIMIENTOS!$E$5:$E$1005)-SUMPRODUCT((MOVIMIENTOS!$B$5:$B$1005="ENVÍO A SUPESA")*(MOVIMIENTOS!$C$5:$C$1005="M")*(MOVIMIENTOS!$D$5:$D$1005="jabas")*(MOVIMIENTOS!$A$5:$A$1005&lt;&gt;"")*(MOVIMIENTOS!$A$5:$A$1005&lt;=$A970)*MOVIMIENTOS!$E$5:$E$1005)+SUMPRODUCT((MOVIMIENTOS!$B$5:$B$1005="DEVOLUCIÓN")*(MOVIMIENTOS!$C$5:$C$1005="M")*(MOVIMIENTOS!$D$5:$D$1005="jabas")*(MOVIMIENTOS!$A$5:$A$1005&lt;&gt;"")*(MOVIMIENTOS!$A$5:$A$1005&lt;=$A970)*MOVIMIENTOS!$E$5:$E$1005)-SUMPRODUCT((MOVIMIENTOS!$B$5:$B$1005="TRASIEGO")*(MOVIMIENTOS!$C$5:$C$1005="M")*(MOVIMIENTOS!$D$5:$D$1005="jabas")*(MOVIMIENTOS!$A$5:$A$1005&lt;&gt;"")*(MOVIMIENTOS!$A$5:$A$1005&lt;=$A970)*MOVIMIENTOS!$E$5:$E$1005)-SUMPRODUCT((MOVIMIENTOS!$B$5:$B$1005="REGALO")*(MOVIMIENTOS!$C$5:$C$1005="M")*(MOVIMIENTOS!$D$5:$D$1005="jabas")*(MOVIMIENTOS!$A$5:$A$1005&lt;&gt;"")*(MOVIMIENTOS!$A$5:$A$1005&lt;=$A970)*MOVIMIENTOS!$E$5:$E$1005)-SUMPRODUCT((MOVIMIENTOS!$B$5:$B$1005="VENTA")*(MOVIMIENTOS!$C$5:$C$1005="M")*(MOVIMIENTOS!$D$5:$D$1005="jabas")*(MOVIMIENTOS!$A$5:$A$1005&lt;&gt;"")*(MOVIMIENTOS!$A$5:$A$1005&lt;=$A970)*MOVIMIENTOS!$E$5:$E$1005)+SUMPRODUCT((MOVIMIENTOS!$B$5:$B$1005="AJUSTE")*(MOVIMIENTOS!$C$5:$C$1005="M")*(MOVIMIENTOS!$D$5:$D$1005="jabas")*(MOVIMIENTOS!$A$5:$A$1005&lt;&gt;"")*(MOVIMIENTOS!$A$5:$A$1005&lt;=$A970)*MOVIMIENTOS!$E$5:$E$1005))</f>
        <v/>
      </c>
      <c r="F970" s="62" t="str">
        <f>IF($A970="","",SUMPRODUCT((MOVIMIENTOS!$B$5:$B$1005="SALDO INICIAL")*(MOVIMIENTOS!$C$5:$C$1005="Chancho")*(MOVIMIENTOS!$D$5:$D$1005="sacos")*(MOVIMIENTOS!$A$5:$A$1005&lt;&gt;"")*(MOVIMIENTOS!$A$5:$A$1005&lt;=$A970)*MOVIMIENTOS!$E$5:$E$1005)+SUMPRODUCT((MOVIMIENTOS!$B$5:$B$1005="PROCESO")*(MOVIMIENTOS!$C$5:$C$1005="Chancho")*(MOVIMIENTOS!$D$5:$D$1005="sacos")*(MOVIMIENTOS!$A$5:$A$1005&lt;&gt;"")*(MOVIMIENTOS!$A$5:$A$1005&lt;=$A970)*MOVIMIENTOS!$E$5:$E$1005)-SUMPRODUCT((MOVIMIENTOS!$B$5:$B$1005="VENTA CHANCHO")*(MOVIMIENTOS!$C$5:$C$1005="Chancho")*(MOVIMIENTOS!$D$5:$D$1005="sacos")*(MOVIMIENTOS!$A$5:$A$1005&lt;&gt;"")*(MOVIMIENTOS!$A$5:$A$1005&lt;=$A970)*MOVIMIENTOS!$E$5:$E$1005)-SUMPRODUCT((MOVIMIENTOS!$B$5:$B$1005="REGALO")*(MOVIMIENTOS!$C$5:$C$1005="Chancho")*(MOVIMIENTOS!$D$5:$D$1005="sacos")*(MOVIMIENTOS!$A$5:$A$1005&lt;&gt;"")*(MOVIMIENTOS!$A$5:$A$1005&lt;=$A970)*MOVIMIENTOS!$E$5:$E$1005)-SUMPRODUCT((MOVIMIENTOS!$B$5:$B$1005="VENTA")*(MOVIMIENTOS!$C$5:$C$1005="Chancho")*(MOVIMIENTOS!$D$5:$D$1005="sacos")*(MOVIMIENTOS!$A$5:$A$1005&lt;&gt;"")*(MOVIMIENTOS!$A$5:$A$1005&lt;=$A970)*MOVIMIENTOS!$E$5:$E$1005)+SUMPRODUCT((MOVIMIENTOS!$B$5:$B$1005="AJUSTE")*(MOVIMIENTOS!$C$5:$C$1005="Chancho")*(MOVIMIENTOS!$D$5:$D$1005="sacos")*(MOVIMIENTOS!$A$5:$A$1005&lt;&gt;"")*(MOVIMIENTOS!$A$5:$A$1005&lt;=$A970)*MOVIMIENTOS!$E$5:$E$1005))</f>
        <v/>
      </c>
      <c r="G970" s="62" t="str">
        <f t="shared" si="31"/>
        <v/>
      </c>
      <c r="H970" t="str">
        <f>IF($A970="","",SUMPRODUCT((((MOVIMIENTOS!$B$5:$B$1005="SALDO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970)*MOVIMIENTOS!$J$5:$J$1005))</f>
        <v/>
      </c>
      <c r="J970" t="str">
        <f>IF(AND(MOVIMIENTOS!$A975&lt;&gt;"",COUNTIF(MOVIMIENTOS!$A$5:$A974,MOVIMIENTOS!$A975)=0),COUNT(J$4:J969)+1,"")</f>
        <v/>
      </c>
      <c r="K970">
        <f>MOVIMIENTOS!$A975</f>
        <v>0</v>
      </c>
    </row>
    <row r="971" spans="1:11" ht="15" customHeight="1" x14ac:dyDescent="0.2">
      <c r="A971" t="str">
        <f t="shared" si="30"/>
        <v/>
      </c>
      <c r="B971" t="str">
        <f>IF($A971="","",SUMPRODUCT((MOVIMIENTOS!$B$5:$B$1005="SALDO INICIAL")*(MOVIMIENTOS!$C$5:$C$1005="A")*(MOVIMIENTOS!$D$5:$D$1005="jabas")*(MOVIMIENTOS!$A$5:$A$1005&lt;&gt;"")*(MOVIMIENTOS!$A$5:$A$1005&lt;=$A971)*MOVIMIENTOS!$E$5:$E$1005)+SUMPRODUCT((MOVIMIENTOS!$B$5:$B$1005="PROCESO")*(MOVIMIENTOS!$C$5:$C$1005="A")*(MOVIMIENTOS!$D$5:$D$1005="jabas")*(MOVIMIENTOS!$A$5:$A$1005&lt;&gt;"")*(MOVIMIENTOS!$A$5:$A$1005&lt;=$A971)*MOVIMIENTOS!$E$5:$E$1005)-SUMPRODUCT((MOVIMIENTOS!$B$5:$B$1005="ENVÍO A SUPESA")*(MOVIMIENTOS!$C$5:$C$1005="A")*(MOVIMIENTOS!$D$5:$D$1005="jabas")*(MOVIMIENTOS!$A$5:$A$1005&lt;&gt;"")*(MOVIMIENTOS!$A$5:$A$1005&lt;=$A971)*MOVIMIENTOS!$E$5:$E$1005)+SUMPRODUCT((MOVIMIENTOS!$B$5:$B$1005="DEVOLUCIÓN")*(MOVIMIENTOS!$C$5:$C$1005="A")*(MOVIMIENTOS!$D$5:$D$1005="jabas")*(MOVIMIENTOS!$A$5:$A$1005&lt;&gt;"")*(MOVIMIENTOS!$A$5:$A$1005&lt;=$A971)*MOVIMIENTOS!$E$5:$E$1005)-SUMPRODUCT((MOVIMIENTOS!$B$5:$B$1005="TRASIEGO")*(MOVIMIENTOS!$C$5:$C$1005="A")*(MOVIMIENTOS!$D$5:$D$1005="jabas")*(MOVIMIENTOS!$A$5:$A$1005&lt;&gt;"")*(MOVIMIENTOS!$A$5:$A$1005&lt;=$A971)*MOVIMIENTOS!$E$5:$E$1005)-SUMPRODUCT((MOVIMIENTOS!$B$5:$B$1005="REGALO")*(MOVIMIENTOS!$C$5:$C$1005="A")*(MOVIMIENTOS!$D$5:$D$1005="jabas")*(MOVIMIENTOS!$A$5:$A$1005&lt;&gt;"")*(MOVIMIENTOS!$A$5:$A$1005&lt;=$A971)*MOVIMIENTOS!$E$5:$E$1005)-SUMPRODUCT((MOVIMIENTOS!$B$5:$B$1005="VENTA")*(MOVIMIENTOS!$C$5:$C$1005="A")*(MOVIMIENTOS!$D$5:$D$1005="jabas")*(MOVIMIENTOS!$A$5:$A$1005&lt;&gt;"")*(MOVIMIENTOS!$A$5:$A$1005&lt;=$A971)*MOVIMIENTOS!$E$5:$E$1005)+SUMPRODUCT((MOVIMIENTOS!$B$5:$B$1005="AJUSTE")*(MOVIMIENTOS!$C$5:$C$1005="A")*(MOVIMIENTOS!$D$5:$D$1005="jabas")*(MOVIMIENTOS!$A$5:$A$1005&lt;&gt;"")*(MOVIMIENTOS!$A$5:$A$1005&lt;=$A971)*MOVIMIENTOS!$E$5:$E$1005))</f>
        <v/>
      </c>
      <c r="C971" t="str">
        <f>IF($A971="","",SUMPRODUCT((MOVIMIENTOS!$B$5:$B$1005="SALDO INICIAL")*(MOVIMIENTOS!$C$5:$C$1005="P")*(MOVIMIENTOS!$D$5:$D$1005="jabas")*(MOVIMIENTOS!$A$5:$A$1005&lt;&gt;"")*(MOVIMIENTOS!$A$5:$A$1005&lt;=$A971)*MOVIMIENTOS!$E$5:$E$1005)+SUMPRODUCT((MOVIMIENTOS!$B$5:$B$1005="PROCESO")*(MOVIMIENTOS!$C$5:$C$1005="P")*(MOVIMIENTOS!$D$5:$D$1005="jabas")*(MOVIMIENTOS!$A$5:$A$1005&lt;&gt;"")*(MOVIMIENTOS!$A$5:$A$1005&lt;=$A971)*MOVIMIENTOS!$E$5:$E$1005)-SUMPRODUCT((MOVIMIENTOS!$B$5:$B$1005="ENVÍO A SUPESA")*(MOVIMIENTOS!$C$5:$C$1005="P")*(MOVIMIENTOS!$D$5:$D$1005="jabas")*(MOVIMIENTOS!$A$5:$A$1005&lt;&gt;"")*(MOVIMIENTOS!$A$5:$A$1005&lt;=$A971)*MOVIMIENTOS!$E$5:$E$1005)+SUMPRODUCT((MOVIMIENTOS!$B$5:$B$1005="DEVOLUCIÓN")*(MOVIMIENTOS!$C$5:$C$1005="P")*(MOVIMIENTOS!$D$5:$D$1005="jabas")*(MOVIMIENTOS!$A$5:$A$1005&lt;&gt;"")*(MOVIMIENTOS!$A$5:$A$1005&lt;=$A971)*MOVIMIENTOS!$E$5:$E$1005)-SUMPRODUCT((MOVIMIENTOS!$B$5:$B$1005="TRASIEGO")*(MOVIMIENTOS!$C$5:$C$1005="P")*(MOVIMIENTOS!$D$5:$D$1005="jabas")*(MOVIMIENTOS!$A$5:$A$1005&lt;&gt;"")*(MOVIMIENTOS!$A$5:$A$1005&lt;=$A971)*MOVIMIENTOS!$E$5:$E$1005)-SUMPRODUCT((MOVIMIENTOS!$B$5:$B$1005="REGALO")*(MOVIMIENTOS!$C$5:$C$1005="P")*(MOVIMIENTOS!$D$5:$D$1005="jabas")*(MOVIMIENTOS!$A$5:$A$1005&lt;&gt;"")*(MOVIMIENTOS!$A$5:$A$1005&lt;=$A971)*MOVIMIENTOS!$E$5:$E$1005)-SUMPRODUCT((MOVIMIENTOS!$B$5:$B$1005="VENTA")*(MOVIMIENTOS!$C$5:$C$1005="P")*(MOVIMIENTOS!$D$5:$D$1005="jabas")*(MOVIMIENTOS!$A$5:$A$1005&lt;&gt;"")*(MOVIMIENTOS!$A$5:$A$1005&lt;=$A971)*MOVIMIENTOS!$E$5:$E$1005)+SUMPRODUCT((MOVIMIENTOS!$B$5:$B$1005="AJUSTE")*(MOVIMIENTOS!$C$5:$C$1005="P")*(MOVIMIENTOS!$D$5:$D$1005="jabas")*(MOVIMIENTOS!$A$5:$A$1005&lt;&gt;"")*(MOVIMIENTOS!$A$5:$A$1005&lt;=$A971)*MOVIMIENTOS!$E$5:$E$1005))</f>
        <v/>
      </c>
      <c r="D971" t="str">
        <f>IF($A971="","",SUMPRODUCT((MOVIMIENTOS!$B$5:$B$1005="SALDO INICIAL")*(MOVIMIENTOS!$C$5:$C$1005="C")*(MOVIMIENTOS!$D$5:$D$1005="jabas")*(MOVIMIENTOS!$A$5:$A$1005&lt;&gt;"")*(MOVIMIENTOS!$A$5:$A$1005&lt;=$A971)*MOVIMIENTOS!$E$5:$E$1005)+SUMPRODUCT((MOVIMIENTOS!$B$5:$B$1005="PROCESO")*(MOVIMIENTOS!$C$5:$C$1005="C")*(MOVIMIENTOS!$D$5:$D$1005="jabas")*(MOVIMIENTOS!$A$5:$A$1005&lt;&gt;"")*(MOVIMIENTOS!$A$5:$A$1005&lt;=$A971)*MOVIMIENTOS!$E$5:$E$1005)-SUMPRODUCT((MOVIMIENTOS!$B$5:$B$1005="ENVÍO A SUPESA")*(MOVIMIENTOS!$C$5:$C$1005="C")*(MOVIMIENTOS!$D$5:$D$1005="jabas")*(MOVIMIENTOS!$A$5:$A$1005&lt;&gt;"")*(MOVIMIENTOS!$A$5:$A$1005&lt;=$A971)*MOVIMIENTOS!$E$5:$E$1005)+SUMPRODUCT((MOVIMIENTOS!$B$5:$B$1005="DEVOLUCIÓN")*(MOVIMIENTOS!$C$5:$C$1005="C")*(MOVIMIENTOS!$D$5:$D$1005="jabas")*(MOVIMIENTOS!$A$5:$A$1005&lt;&gt;"")*(MOVIMIENTOS!$A$5:$A$1005&lt;=$A971)*MOVIMIENTOS!$E$5:$E$1005)-SUMPRODUCT((MOVIMIENTOS!$B$5:$B$1005="TRASIEGO")*(MOVIMIENTOS!$C$5:$C$1005="C")*(MOVIMIENTOS!$D$5:$D$1005="jabas")*(MOVIMIENTOS!$A$5:$A$1005&lt;&gt;"")*(MOVIMIENTOS!$A$5:$A$1005&lt;=$A971)*MOVIMIENTOS!$E$5:$E$1005)-SUMPRODUCT((MOVIMIENTOS!$B$5:$B$1005="REGALO")*(MOVIMIENTOS!$C$5:$C$1005="C")*(MOVIMIENTOS!$D$5:$D$1005="jabas")*(MOVIMIENTOS!$A$5:$A$1005&lt;&gt;"")*(MOVIMIENTOS!$A$5:$A$1005&lt;=$A971)*MOVIMIENTOS!$E$5:$E$1005)-SUMPRODUCT((MOVIMIENTOS!$B$5:$B$1005="VENTA")*(MOVIMIENTOS!$C$5:$C$1005="C")*(MOVIMIENTOS!$D$5:$D$1005="jabas")*(MOVIMIENTOS!$A$5:$A$1005&lt;&gt;"")*(MOVIMIENTOS!$A$5:$A$1005&lt;=$A971)*MOVIMIENTOS!$E$5:$E$1005)+SUMPRODUCT((MOVIMIENTOS!$B$5:$B$1005="AJUSTE")*(MOVIMIENTOS!$C$5:$C$1005="C")*(MOVIMIENTOS!$D$5:$D$1005="jabas")*(MOVIMIENTOS!$A$5:$A$1005&lt;&gt;"")*(MOVIMIENTOS!$A$5:$A$1005&lt;=$A971)*MOVIMIENTOS!$E$5:$E$1005))</f>
        <v/>
      </c>
      <c r="E971" t="str">
        <f>IF($A971="","",SUMPRODUCT((MOVIMIENTOS!$B$5:$B$1005="SALDO INICIAL")*(MOVIMIENTOS!$C$5:$C$1005="M")*(MOVIMIENTOS!$D$5:$D$1005="jabas")*(MOVIMIENTOS!$A$5:$A$1005&lt;&gt;"")*(MOVIMIENTOS!$A$5:$A$1005&lt;=$A971)*MOVIMIENTOS!$E$5:$E$1005)+SUMPRODUCT((MOVIMIENTOS!$B$5:$B$1005="PROCESO")*(MOVIMIENTOS!$C$5:$C$1005="M")*(MOVIMIENTOS!$D$5:$D$1005="jabas")*(MOVIMIENTOS!$A$5:$A$1005&lt;&gt;"")*(MOVIMIENTOS!$A$5:$A$1005&lt;=$A971)*MOVIMIENTOS!$E$5:$E$1005)-SUMPRODUCT((MOVIMIENTOS!$B$5:$B$1005="ENVÍO A SUPESA")*(MOVIMIENTOS!$C$5:$C$1005="M")*(MOVIMIENTOS!$D$5:$D$1005="jabas")*(MOVIMIENTOS!$A$5:$A$1005&lt;&gt;"")*(MOVIMIENTOS!$A$5:$A$1005&lt;=$A971)*MOVIMIENTOS!$E$5:$E$1005)+SUMPRODUCT((MOVIMIENTOS!$B$5:$B$1005="DEVOLUCIÓN")*(MOVIMIENTOS!$C$5:$C$1005="M")*(MOVIMIENTOS!$D$5:$D$1005="jabas")*(MOVIMIENTOS!$A$5:$A$1005&lt;&gt;"")*(MOVIMIENTOS!$A$5:$A$1005&lt;=$A971)*MOVIMIENTOS!$E$5:$E$1005)-SUMPRODUCT((MOVIMIENTOS!$B$5:$B$1005="TRASIEGO")*(MOVIMIENTOS!$C$5:$C$1005="M")*(MOVIMIENTOS!$D$5:$D$1005="jabas")*(MOVIMIENTOS!$A$5:$A$1005&lt;&gt;"")*(MOVIMIENTOS!$A$5:$A$1005&lt;=$A971)*MOVIMIENTOS!$E$5:$E$1005)-SUMPRODUCT((MOVIMIENTOS!$B$5:$B$1005="REGALO")*(MOVIMIENTOS!$C$5:$C$1005="M")*(MOVIMIENTOS!$D$5:$D$1005="jabas")*(MOVIMIENTOS!$A$5:$A$1005&lt;&gt;"")*(MOVIMIENTOS!$A$5:$A$1005&lt;=$A971)*MOVIMIENTOS!$E$5:$E$1005)-SUMPRODUCT((MOVIMIENTOS!$B$5:$B$1005="VENTA")*(MOVIMIENTOS!$C$5:$C$1005="M")*(MOVIMIENTOS!$D$5:$D$1005="jabas")*(MOVIMIENTOS!$A$5:$A$1005&lt;&gt;"")*(MOVIMIENTOS!$A$5:$A$1005&lt;=$A971)*MOVIMIENTOS!$E$5:$E$1005)+SUMPRODUCT((MOVIMIENTOS!$B$5:$B$1005="AJUSTE")*(MOVIMIENTOS!$C$5:$C$1005="M")*(MOVIMIENTOS!$D$5:$D$1005="jabas")*(MOVIMIENTOS!$A$5:$A$1005&lt;&gt;"")*(MOVIMIENTOS!$A$5:$A$1005&lt;=$A971)*MOVIMIENTOS!$E$5:$E$1005))</f>
        <v/>
      </c>
      <c r="F971" s="62" t="str">
        <f>IF($A971="","",SUMPRODUCT((MOVIMIENTOS!$B$5:$B$1005="SALDO INICIAL")*(MOVIMIENTOS!$C$5:$C$1005="Chancho")*(MOVIMIENTOS!$D$5:$D$1005="sacos")*(MOVIMIENTOS!$A$5:$A$1005&lt;&gt;"")*(MOVIMIENTOS!$A$5:$A$1005&lt;=$A971)*MOVIMIENTOS!$E$5:$E$1005)+SUMPRODUCT((MOVIMIENTOS!$B$5:$B$1005="PROCESO")*(MOVIMIENTOS!$C$5:$C$1005="Chancho")*(MOVIMIENTOS!$D$5:$D$1005="sacos")*(MOVIMIENTOS!$A$5:$A$1005&lt;&gt;"")*(MOVIMIENTOS!$A$5:$A$1005&lt;=$A971)*MOVIMIENTOS!$E$5:$E$1005)-SUMPRODUCT((MOVIMIENTOS!$B$5:$B$1005="VENTA CHANCHO")*(MOVIMIENTOS!$C$5:$C$1005="Chancho")*(MOVIMIENTOS!$D$5:$D$1005="sacos")*(MOVIMIENTOS!$A$5:$A$1005&lt;&gt;"")*(MOVIMIENTOS!$A$5:$A$1005&lt;=$A971)*MOVIMIENTOS!$E$5:$E$1005)-SUMPRODUCT((MOVIMIENTOS!$B$5:$B$1005="REGALO")*(MOVIMIENTOS!$C$5:$C$1005="Chancho")*(MOVIMIENTOS!$D$5:$D$1005="sacos")*(MOVIMIENTOS!$A$5:$A$1005&lt;&gt;"")*(MOVIMIENTOS!$A$5:$A$1005&lt;=$A971)*MOVIMIENTOS!$E$5:$E$1005)-SUMPRODUCT((MOVIMIENTOS!$B$5:$B$1005="VENTA")*(MOVIMIENTOS!$C$5:$C$1005="Chancho")*(MOVIMIENTOS!$D$5:$D$1005="sacos")*(MOVIMIENTOS!$A$5:$A$1005&lt;&gt;"")*(MOVIMIENTOS!$A$5:$A$1005&lt;=$A971)*MOVIMIENTOS!$E$5:$E$1005)+SUMPRODUCT((MOVIMIENTOS!$B$5:$B$1005="AJUSTE")*(MOVIMIENTOS!$C$5:$C$1005="Chancho")*(MOVIMIENTOS!$D$5:$D$1005="sacos")*(MOVIMIENTOS!$A$5:$A$1005&lt;&gt;"")*(MOVIMIENTOS!$A$5:$A$1005&lt;=$A971)*MOVIMIENTOS!$E$5:$E$1005))</f>
        <v/>
      </c>
      <c r="G971" s="62" t="str">
        <f t="shared" si="31"/>
        <v/>
      </c>
      <c r="H971" t="str">
        <f>IF($A971="","",SUMPRODUCT((((MOVIMIENTOS!$B$5:$B$1005="SALDO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971)*MOVIMIENTOS!$J$5:$J$1005))</f>
        <v/>
      </c>
      <c r="J971" t="str">
        <f>IF(AND(MOVIMIENTOS!$A976&lt;&gt;"",COUNTIF(MOVIMIENTOS!$A$5:$A975,MOVIMIENTOS!$A976)=0),COUNT(J$4:J970)+1,"")</f>
        <v/>
      </c>
      <c r="K971">
        <f>MOVIMIENTOS!$A976</f>
        <v>0</v>
      </c>
    </row>
    <row r="972" spans="1:11" ht="15" customHeight="1" x14ac:dyDescent="0.2">
      <c r="A972" t="str">
        <f t="shared" si="30"/>
        <v/>
      </c>
      <c r="B972" t="str">
        <f>IF($A972="","",SUMPRODUCT((MOVIMIENTOS!$B$5:$B$1005="SALDO INICIAL")*(MOVIMIENTOS!$C$5:$C$1005="A")*(MOVIMIENTOS!$D$5:$D$1005="jabas")*(MOVIMIENTOS!$A$5:$A$1005&lt;&gt;"")*(MOVIMIENTOS!$A$5:$A$1005&lt;=$A972)*MOVIMIENTOS!$E$5:$E$1005)+SUMPRODUCT((MOVIMIENTOS!$B$5:$B$1005="PROCESO")*(MOVIMIENTOS!$C$5:$C$1005="A")*(MOVIMIENTOS!$D$5:$D$1005="jabas")*(MOVIMIENTOS!$A$5:$A$1005&lt;&gt;"")*(MOVIMIENTOS!$A$5:$A$1005&lt;=$A972)*MOVIMIENTOS!$E$5:$E$1005)-SUMPRODUCT((MOVIMIENTOS!$B$5:$B$1005="ENVÍO A SUPESA")*(MOVIMIENTOS!$C$5:$C$1005="A")*(MOVIMIENTOS!$D$5:$D$1005="jabas")*(MOVIMIENTOS!$A$5:$A$1005&lt;&gt;"")*(MOVIMIENTOS!$A$5:$A$1005&lt;=$A972)*MOVIMIENTOS!$E$5:$E$1005)+SUMPRODUCT((MOVIMIENTOS!$B$5:$B$1005="DEVOLUCIÓN")*(MOVIMIENTOS!$C$5:$C$1005="A")*(MOVIMIENTOS!$D$5:$D$1005="jabas")*(MOVIMIENTOS!$A$5:$A$1005&lt;&gt;"")*(MOVIMIENTOS!$A$5:$A$1005&lt;=$A972)*MOVIMIENTOS!$E$5:$E$1005)-SUMPRODUCT((MOVIMIENTOS!$B$5:$B$1005="TRASIEGO")*(MOVIMIENTOS!$C$5:$C$1005="A")*(MOVIMIENTOS!$D$5:$D$1005="jabas")*(MOVIMIENTOS!$A$5:$A$1005&lt;&gt;"")*(MOVIMIENTOS!$A$5:$A$1005&lt;=$A972)*MOVIMIENTOS!$E$5:$E$1005)-SUMPRODUCT((MOVIMIENTOS!$B$5:$B$1005="REGALO")*(MOVIMIENTOS!$C$5:$C$1005="A")*(MOVIMIENTOS!$D$5:$D$1005="jabas")*(MOVIMIENTOS!$A$5:$A$1005&lt;&gt;"")*(MOVIMIENTOS!$A$5:$A$1005&lt;=$A972)*MOVIMIENTOS!$E$5:$E$1005)-SUMPRODUCT((MOVIMIENTOS!$B$5:$B$1005="VENTA")*(MOVIMIENTOS!$C$5:$C$1005="A")*(MOVIMIENTOS!$D$5:$D$1005="jabas")*(MOVIMIENTOS!$A$5:$A$1005&lt;&gt;"")*(MOVIMIENTOS!$A$5:$A$1005&lt;=$A972)*MOVIMIENTOS!$E$5:$E$1005)+SUMPRODUCT((MOVIMIENTOS!$B$5:$B$1005="AJUSTE")*(MOVIMIENTOS!$C$5:$C$1005="A")*(MOVIMIENTOS!$D$5:$D$1005="jabas")*(MOVIMIENTOS!$A$5:$A$1005&lt;&gt;"")*(MOVIMIENTOS!$A$5:$A$1005&lt;=$A972)*MOVIMIENTOS!$E$5:$E$1005))</f>
        <v/>
      </c>
      <c r="C972" t="str">
        <f>IF($A972="","",SUMPRODUCT((MOVIMIENTOS!$B$5:$B$1005="SALDO INICIAL")*(MOVIMIENTOS!$C$5:$C$1005="P")*(MOVIMIENTOS!$D$5:$D$1005="jabas")*(MOVIMIENTOS!$A$5:$A$1005&lt;&gt;"")*(MOVIMIENTOS!$A$5:$A$1005&lt;=$A972)*MOVIMIENTOS!$E$5:$E$1005)+SUMPRODUCT((MOVIMIENTOS!$B$5:$B$1005="PROCESO")*(MOVIMIENTOS!$C$5:$C$1005="P")*(MOVIMIENTOS!$D$5:$D$1005="jabas")*(MOVIMIENTOS!$A$5:$A$1005&lt;&gt;"")*(MOVIMIENTOS!$A$5:$A$1005&lt;=$A972)*MOVIMIENTOS!$E$5:$E$1005)-SUMPRODUCT((MOVIMIENTOS!$B$5:$B$1005="ENVÍO A SUPESA")*(MOVIMIENTOS!$C$5:$C$1005="P")*(MOVIMIENTOS!$D$5:$D$1005="jabas")*(MOVIMIENTOS!$A$5:$A$1005&lt;&gt;"")*(MOVIMIENTOS!$A$5:$A$1005&lt;=$A972)*MOVIMIENTOS!$E$5:$E$1005)+SUMPRODUCT((MOVIMIENTOS!$B$5:$B$1005="DEVOLUCIÓN")*(MOVIMIENTOS!$C$5:$C$1005="P")*(MOVIMIENTOS!$D$5:$D$1005="jabas")*(MOVIMIENTOS!$A$5:$A$1005&lt;&gt;"")*(MOVIMIENTOS!$A$5:$A$1005&lt;=$A972)*MOVIMIENTOS!$E$5:$E$1005)-SUMPRODUCT((MOVIMIENTOS!$B$5:$B$1005="TRASIEGO")*(MOVIMIENTOS!$C$5:$C$1005="P")*(MOVIMIENTOS!$D$5:$D$1005="jabas")*(MOVIMIENTOS!$A$5:$A$1005&lt;&gt;"")*(MOVIMIENTOS!$A$5:$A$1005&lt;=$A972)*MOVIMIENTOS!$E$5:$E$1005)-SUMPRODUCT((MOVIMIENTOS!$B$5:$B$1005="REGALO")*(MOVIMIENTOS!$C$5:$C$1005="P")*(MOVIMIENTOS!$D$5:$D$1005="jabas")*(MOVIMIENTOS!$A$5:$A$1005&lt;&gt;"")*(MOVIMIENTOS!$A$5:$A$1005&lt;=$A972)*MOVIMIENTOS!$E$5:$E$1005)-SUMPRODUCT((MOVIMIENTOS!$B$5:$B$1005="VENTA")*(MOVIMIENTOS!$C$5:$C$1005="P")*(MOVIMIENTOS!$D$5:$D$1005="jabas")*(MOVIMIENTOS!$A$5:$A$1005&lt;&gt;"")*(MOVIMIENTOS!$A$5:$A$1005&lt;=$A972)*MOVIMIENTOS!$E$5:$E$1005)+SUMPRODUCT((MOVIMIENTOS!$B$5:$B$1005="AJUSTE")*(MOVIMIENTOS!$C$5:$C$1005="P")*(MOVIMIENTOS!$D$5:$D$1005="jabas")*(MOVIMIENTOS!$A$5:$A$1005&lt;&gt;"")*(MOVIMIENTOS!$A$5:$A$1005&lt;=$A972)*MOVIMIENTOS!$E$5:$E$1005))</f>
        <v/>
      </c>
      <c r="D972" t="str">
        <f>IF($A972="","",SUMPRODUCT((MOVIMIENTOS!$B$5:$B$1005="SALDO INICIAL")*(MOVIMIENTOS!$C$5:$C$1005="C")*(MOVIMIENTOS!$D$5:$D$1005="jabas")*(MOVIMIENTOS!$A$5:$A$1005&lt;&gt;"")*(MOVIMIENTOS!$A$5:$A$1005&lt;=$A972)*MOVIMIENTOS!$E$5:$E$1005)+SUMPRODUCT((MOVIMIENTOS!$B$5:$B$1005="PROCESO")*(MOVIMIENTOS!$C$5:$C$1005="C")*(MOVIMIENTOS!$D$5:$D$1005="jabas")*(MOVIMIENTOS!$A$5:$A$1005&lt;&gt;"")*(MOVIMIENTOS!$A$5:$A$1005&lt;=$A972)*MOVIMIENTOS!$E$5:$E$1005)-SUMPRODUCT((MOVIMIENTOS!$B$5:$B$1005="ENVÍO A SUPESA")*(MOVIMIENTOS!$C$5:$C$1005="C")*(MOVIMIENTOS!$D$5:$D$1005="jabas")*(MOVIMIENTOS!$A$5:$A$1005&lt;&gt;"")*(MOVIMIENTOS!$A$5:$A$1005&lt;=$A972)*MOVIMIENTOS!$E$5:$E$1005)+SUMPRODUCT((MOVIMIENTOS!$B$5:$B$1005="DEVOLUCIÓN")*(MOVIMIENTOS!$C$5:$C$1005="C")*(MOVIMIENTOS!$D$5:$D$1005="jabas")*(MOVIMIENTOS!$A$5:$A$1005&lt;&gt;"")*(MOVIMIENTOS!$A$5:$A$1005&lt;=$A972)*MOVIMIENTOS!$E$5:$E$1005)-SUMPRODUCT((MOVIMIENTOS!$B$5:$B$1005="TRASIEGO")*(MOVIMIENTOS!$C$5:$C$1005="C")*(MOVIMIENTOS!$D$5:$D$1005="jabas")*(MOVIMIENTOS!$A$5:$A$1005&lt;&gt;"")*(MOVIMIENTOS!$A$5:$A$1005&lt;=$A972)*MOVIMIENTOS!$E$5:$E$1005)-SUMPRODUCT((MOVIMIENTOS!$B$5:$B$1005="REGALO")*(MOVIMIENTOS!$C$5:$C$1005="C")*(MOVIMIENTOS!$D$5:$D$1005="jabas")*(MOVIMIENTOS!$A$5:$A$1005&lt;&gt;"")*(MOVIMIENTOS!$A$5:$A$1005&lt;=$A972)*MOVIMIENTOS!$E$5:$E$1005)-SUMPRODUCT((MOVIMIENTOS!$B$5:$B$1005="VENTA")*(MOVIMIENTOS!$C$5:$C$1005="C")*(MOVIMIENTOS!$D$5:$D$1005="jabas")*(MOVIMIENTOS!$A$5:$A$1005&lt;&gt;"")*(MOVIMIENTOS!$A$5:$A$1005&lt;=$A972)*MOVIMIENTOS!$E$5:$E$1005)+SUMPRODUCT((MOVIMIENTOS!$B$5:$B$1005="AJUSTE")*(MOVIMIENTOS!$C$5:$C$1005="C")*(MOVIMIENTOS!$D$5:$D$1005="jabas")*(MOVIMIENTOS!$A$5:$A$1005&lt;&gt;"")*(MOVIMIENTOS!$A$5:$A$1005&lt;=$A972)*MOVIMIENTOS!$E$5:$E$1005))</f>
        <v/>
      </c>
      <c r="E972" t="str">
        <f>IF($A972="","",SUMPRODUCT((MOVIMIENTOS!$B$5:$B$1005="SALDO INICIAL")*(MOVIMIENTOS!$C$5:$C$1005="M")*(MOVIMIENTOS!$D$5:$D$1005="jabas")*(MOVIMIENTOS!$A$5:$A$1005&lt;&gt;"")*(MOVIMIENTOS!$A$5:$A$1005&lt;=$A972)*MOVIMIENTOS!$E$5:$E$1005)+SUMPRODUCT((MOVIMIENTOS!$B$5:$B$1005="PROCESO")*(MOVIMIENTOS!$C$5:$C$1005="M")*(MOVIMIENTOS!$D$5:$D$1005="jabas")*(MOVIMIENTOS!$A$5:$A$1005&lt;&gt;"")*(MOVIMIENTOS!$A$5:$A$1005&lt;=$A972)*MOVIMIENTOS!$E$5:$E$1005)-SUMPRODUCT((MOVIMIENTOS!$B$5:$B$1005="ENVÍO A SUPESA")*(MOVIMIENTOS!$C$5:$C$1005="M")*(MOVIMIENTOS!$D$5:$D$1005="jabas")*(MOVIMIENTOS!$A$5:$A$1005&lt;&gt;"")*(MOVIMIENTOS!$A$5:$A$1005&lt;=$A972)*MOVIMIENTOS!$E$5:$E$1005)+SUMPRODUCT((MOVIMIENTOS!$B$5:$B$1005="DEVOLUCIÓN")*(MOVIMIENTOS!$C$5:$C$1005="M")*(MOVIMIENTOS!$D$5:$D$1005="jabas")*(MOVIMIENTOS!$A$5:$A$1005&lt;&gt;"")*(MOVIMIENTOS!$A$5:$A$1005&lt;=$A972)*MOVIMIENTOS!$E$5:$E$1005)-SUMPRODUCT((MOVIMIENTOS!$B$5:$B$1005="TRASIEGO")*(MOVIMIENTOS!$C$5:$C$1005="M")*(MOVIMIENTOS!$D$5:$D$1005="jabas")*(MOVIMIENTOS!$A$5:$A$1005&lt;&gt;"")*(MOVIMIENTOS!$A$5:$A$1005&lt;=$A972)*MOVIMIENTOS!$E$5:$E$1005)-SUMPRODUCT((MOVIMIENTOS!$B$5:$B$1005="REGALO")*(MOVIMIENTOS!$C$5:$C$1005="M")*(MOVIMIENTOS!$D$5:$D$1005="jabas")*(MOVIMIENTOS!$A$5:$A$1005&lt;&gt;"")*(MOVIMIENTOS!$A$5:$A$1005&lt;=$A972)*MOVIMIENTOS!$E$5:$E$1005)-SUMPRODUCT((MOVIMIENTOS!$B$5:$B$1005="VENTA")*(MOVIMIENTOS!$C$5:$C$1005="M")*(MOVIMIENTOS!$D$5:$D$1005="jabas")*(MOVIMIENTOS!$A$5:$A$1005&lt;&gt;"")*(MOVIMIENTOS!$A$5:$A$1005&lt;=$A972)*MOVIMIENTOS!$E$5:$E$1005)+SUMPRODUCT((MOVIMIENTOS!$B$5:$B$1005="AJUSTE")*(MOVIMIENTOS!$C$5:$C$1005="M")*(MOVIMIENTOS!$D$5:$D$1005="jabas")*(MOVIMIENTOS!$A$5:$A$1005&lt;&gt;"")*(MOVIMIENTOS!$A$5:$A$1005&lt;=$A972)*MOVIMIENTOS!$E$5:$E$1005))</f>
        <v/>
      </c>
      <c r="F972" s="62" t="str">
        <f>IF($A972="","",SUMPRODUCT((MOVIMIENTOS!$B$5:$B$1005="SALDO INICIAL")*(MOVIMIENTOS!$C$5:$C$1005="Chancho")*(MOVIMIENTOS!$D$5:$D$1005="sacos")*(MOVIMIENTOS!$A$5:$A$1005&lt;&gt;"")*(MOVIMIENTOS!$A$5:$A$1005&lt;=$A972)*MOVIMIENTOS!$E$5:$E$1005)+SUMPRODUCT((MOVIMIENTOS!$B$5:$B$1005="PROCESO")*(MOVIMIENTOS!$C$5:$C$1005="Chancho")*(MOVIMIENTOS!$D$5:$D$1005="sacos")*(MOVIMIENTOS!$A$5:$A$1005&lt;&gt;"")*(MOVIMIENTOS!$A$5:$A$1005&lt;=$A972)*MOVIMIENTOS!$E$5:$E$1005)-SUMPRODUCT((MOVIMIENTOS!$B$5:$B$1005="VENTA CHANCHO")*(MOVIMIENTOS!$C$5:$C$1005="Chancho")*(MOVIMIENTOS!$D$5:$D$1005="sacos")*(MOVIMIENTOS!$A$5:$A$1005&lt;&gt;"")*(MOVIMIENTOS!$A$5:$A$1005&lt;=$A972)*MOVIMIENTOS!$E$5:$E$1005)-SUMPRODUCT((MOVIMIENTOS!$B$5:$B$1005="REGALO")*(MOVIMIENTOS!$C$5:$C$1005="Chancho")*(MOVIMIENTOS!$D$5:$D$1005="sacos")*(MOVIMIENTOS!$A$5:$A$1005&lt;&gt;"")*(MOVIMIENTOS!$A$5:$A$1005&lt;=$A972)*MOVIMIENTOS!$E$5:$E$1005)-SUMPRODUCT((MOVIMIENTOS!$B$5:$B$1005="VENTA")*(MOVIMIENTOS!$C$5:$C$1005="Chancho")*(MOVIMIENTOS!$D$5:$D$1005="sacos")*(MOVIMIENTOS!$A$5:$A$1005&lt;&gt;"")*(MOVIMIENTOS!$A$5:$A$1005&lt;=$A972)*MOVIMIENTOS!$E$5:$E$1005)+SUMPRODUCT((MOVIMIENTOS!$B$5:$B$1005="AJUSTE")*(MOVIMIENTOS!$C$5:$C$1005="Chancho")*(MOVIMIENTOS!$D$5:$D$1005="sacos")*(MOVIMIENTOS!$A$5:$A$1005&lt;&gt;"")*(MOVIMIENTOS!$A$5:$A$1005&lt;=$A972)*MOVIMIENTOS!$E$5:$E$1005))</f>
        <v/>
      </c>
      <c r="G972" s="62" t="str">
        <f t="shared" si="31"/>
        <v/>
      </c>
      <c r="H972" t="str">
        <f>IF($A972="","",SUMPRODUCT((((MOVIMIENTOS!$B$5:$B$1005="SALDO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972)*MOVIMIENTOS!$J$5:$J$1005))</f>
        <v/>
      </c>
      <c r="J972" t="str">
        <f>IF(AND(MOVIMIENTOS!$A977&lt;&gt;"",COUNTIF(MOVIMIENTOS!$A$5:$A976,MOVIMIENTOS!$A977)=0),COUNT(J$4:J971)+1,"")</f>
        <v/>
      </c>
      <c r="K972">
        <f>MOVIMIENTOS!$A977</f>
        <v>0</v>
      </c>
    </row>
    <row r="973" spans="1:11" ht="15" customHeight="1" x14ac:dyDescent="0.2">
      <c r="A973" t="str">
        <f t="shared" si="30"/>
        <v/>
      </c>
      <c r="B973" t="str">
        <f>IF($A973="","",SUMPRODUCT((MOVIMIENTOS!$B$5:$B$1005="SALDO INICIAL")*(MOVIMIENTOS!$C$5:$C$1005="A")*(MOVIMIENTOS!$D$5:$D$1005="jabas")*(MOVIMIENTOS!$A$5:$A$1005&lt;&gt;"")*(MOVIMIENTOS!$A$5:$A$1005&lt;=$A973)*MOVIMIENTOS!$E$5:$E$1005)+SUMPRODUCT((MOVIMIENTOS!$B$5:$B$1005="PROCESO")*(MOVIMIENTOS!$C$5:$C$1005="A")*(MOVIMIENTOS!$D$5:$D$1005="jabas")*(MOVIMIENTOS!$A$5:$A$1005&lt;&gt;"")*(MOVIMIENTOS!$A$5:$A$1005&lt;=$A973)*MOVIMIENTOS!$E$5:$E$1005)-SUMPRODUCT((MOVIMIENTOS!$B$5:$B$1005="ENVÍO A SUPESA")*(MOVIMIENTOS!$C$5:$C$1005="A")*(MOVIMIENTOS!$D$5:$D$1005="jabas")*(MOVIMIENTOS!$A$5:$A$1005&lt;&gt;"")*(MOVIMIENTOS!$A$5:$A$1005&lt;=$A973)*MOVIMIENTOS!$E$5:$E$1005)+SUMPRODUCT((MOVIMIENTOS!$B$5:$B$1005="DEVOLUCIÓN")*(MOVIMIENTOS!$C$5:$C$1005="A")*(MOVIMIENTOS!$D$5:$D$1005="jabas")*(MOVIMIENTOS!$A$5:$A$1005&lt;&gt;"")*(MOVIMIENTOS!$A$5:$A$1005&lt;=$A973)*MOVIMIENTOS!$E$5:$E$1005)-SUMPRODUCT((MOVIMIENTOS!$B$5:$B$1005="TRASIEGO")*(MOVIMIENTOS!$C$5:$C$1005="A")*(MOVIMIENTOS!$D$5:$D$1005="jabas")*(MOVIMIENTOS!$A$5:$A$1005&lt;&gt;"")*(MOVIMIENTOS!$A$5:$A$1005&lt;=$A973)*MOVIMIENTOS!$E$5:$E$1005)-SUMPRODUCT((MOVIMIENTOS!$B$5:$B$1005="REGALO")*(MOVIMIENTOS!$C$5:$C$1005="A")*(MOVIMIENTOS!$D$5:$D$1005="jabas")*(MOVIMIENTOS!$A$5:$A$1005&lt;&gt;"")*(MOVIMIENTOS!$A$5:$A$1005&lt;=$A973)*MOVIMIENTOS!$E$5:$E$1005)-SUMPRODUCT((MOVIMIENTOS!$B$5:$B$1005="VENTA")*(MOVIMIENTOS!$C$5:$C$1005="A")*(MOVIMIENTOS!$D$5:$D$1005="jabas")*(MOVIMIENTOS!$A$5:$A$1005&lt;&gt;"")*(MOVIMIENTOS!$A$5:$A$1005&lt;=$A973)*MOVIMIENTOS!$E$5:$E$1005)+SUMPRODUCT((MOVIMIENTOS!$B$5:$B$1005="AJUSTE")*(MOVIMIENTOS!$C$5:$C$1005="A")*(MOVIMIENTOS!$D$5:$D$1005="jabas")*(MOVIMIENTOS!$A$5:$A$1005&lt;&gt;"")*(MOVIMIENTOS!$A$5:$A$1005&lt;=$A973)*MOVIMIENTOS!$E$5:$E$1005))</f>
        <v/>
      </c>
      <c r="C973" t="str">
        <f>IF($A973="","",SUMPRODUCT((MOVIMIENTOS!$B$5:$B$1005="SALDO INICIAL")*(MOVIMIENTOS!$C$5:$C$1005="P")*(MOVIMIENTOS!$D$5:$D$1005="jabas")*(MOVIMIENTOS!$A$5:$A$1005&lt;&gt;"")*(MOVIMIENTOS!$A$5:$A$1005&lt;=$A973)*MOVIMIENTOS!$E$5:$E$1005)+SUMPRODUCT((MOVIMIENTOS!$B$5:$B$1005="PROCESO")*(MOVIMIENTOS!$C$5:$C$1005="P")*(MOVIMIENTOS!$D$5:$D$1005="jabas")*(MOVIMIENTOS!$A$5:$A$1005&lt;&gt;"")*(MOVIMIENTOS!$A$5:$A$1005&lt;=$A973)*MOVIMIENTOS!$E$5:$E$1005)-SUMPRODUCT((MOVIMIENTOS!$B$5:$B$1005="ENVÍO A SUPESA")*(MOVIMIENTOS!$C$5:$C$1005="P")*(MOVIMIENTOS!$D$5:$D$1005="jabas")*(MOVIMIENTOS!$A$5:$A$1005&lt;&gt;"")*(MOVIMIENTOS!$A$5:$A$1005&lt;=$A973)*MOVIMIENTOS!$E$5:$E$1005)+SUMPRODUCT((MOVIMIENTOS!$B$5:$B$1005="DEVOLUCIÓN")*(MOVIMIENTOS!$C$5:$C$1005="P")*(MOVIMIENTOS!$D$5:$D$1005="jabas")*(MOVIMIENTOS!$A$5:$A$1005&lt;&gt;"")*(MOVIMIENTOS!$A$5:$A$1005&lt;=$A973)*MOVIMIENTOS!$E$5:$E$1005)-SUMPRODUCT((MOVIMIENTOS!$B$5:$B$1005="TRASIEGO")*(MOVIMIENTOS!$C$5:$C$1005="P")*(MOVIMIENTOS!$D$5:$D$1005="jabas")*(MOVIMIENTOS!$A$5:$A$1005&lt;&gt;"")*(MOVIMIENTOS!$A$5:$A$1005&lt;=$A973)*MOVIMIENTOS!$E$5:$E$1005)-SUMPRODUCT((MOVIMIENTOS!$B$5:$B$1005="REGALO")*(MOVIMIENTOS!$C$5:$C$1005="P")*(MOVIMIENTOS!$D$5:$D$1005="jabas")*(MOVIMIENTOS!$A$5:$A$1005&lt;&gt;"")*(MOVIMIENTOS!$A$5:$A$1005&lt;=$A973)*MOVIMIENTOS!$E$5:$E$1005)-SUMPRODUCT((MOVIMIENTOS!$B$5:$B$1005="VENTA")*(MOVIMIENTOS!$C$5:$C$1005="P")*(MOVIMIENTOS!$D$5:$D$1005="jabas")*(MOVIMIENTOS!$A$5:$A$1005&lt;&gt;"")*(MOVIMIENTOS!$A$5:$A$1005&lt;=$A973)*MOVIMIENTOS!$E$5:$E$1005)+SUMPRODUCT((MOVIMIENTOS!$B$5:$B$1005="AJUSTE")*(MOVIMIENTOS!$C$5:$C$1005="P")*(MOVIMIENTOS!$D$5:$D$1005="jabas")*(MOVIMIENTOS!$A$5:$A$1005&lt;&gt;"")*(MOVIMIENTOS!$A$5:$A$1005&lt;=$A973)*MOVIMIENTOS!$E$5:$E$1005))</f>
        <v/>
      </c>
      <c r="D973" t="str">
        <f>IF($A973="","",SUMPRODUCT((MOVIMIENTOS!$B$5:$B$1005="SALDO INICIAL")*(MOVIMIENTOS!$C$5:$C$1005="C")*(MOVIMIENTOS!$D$5:$D$1005="jabas")*(MOVIMIENTOS!$A$5:$A$1005&lt;&gt;"")*(MOVIMIENTOS!$A$5:$A$1005&lt;=$A973)*MOVIMIENTOS!$E$5:$E$1005)+SUMPRODUCT((MOVIMIENTOS!$B$5:$B$1005="PROCESO")*(MOVIMIENTOS!$C$5:$C$1005="C")*(MOVIMIENTOS!$D$5:$D$1005="jabas")*(MOVIMIENTOS!$A$5:$A$1005&lt;&gt;"")*(MOVIMIENTOS!$A$5:$A$1005&lt;=$A973)*MOVIMIENTOS!$E$5:$E$1005)-SUMPRODUCT((MOVIMIENTOS!$B$5:$B$1005="ENVÍO A SUPESA")*(MOVIMIENTOS!$C$5:$C$1005="C")*(MOVIMIENTOS!$D$5:$D$1005="jabas")*(MOVIMIENTOS!$A$5:$A$1005&lt;&gt;"")*(MOVIMIENTOS!$A$5:$A$1005&lt;=$A973)*MOVIMIENTOS!$E$5:$E$1005)+SUMPRODUCT((MOVIMIENTOS!$B$5:$B$1005="DEVOLUCIÓN")*(MOVIMIENTOS!$C$5:$C$1005="C")*(MOVIMIENTOS!$D$5:$D$1005="jabas")*(MOVIMIENTOS!$A$5:$A$1005&lt;&gt;"")*(MOVIMIENTOS!$A$5:$A$1005&lt;=$A973)*MOVIMIENTOS!$E$5:$E$1005)-SUMPRODUCT((MOVIMIENTOS!$B$5:$B$1005="TRASIEGO")*(MOVIMIENTOS!$C$5:$C$1005="C")*(MOVIMIENTOS!$D$5:$D$1005="jabas")*(MOVIMIENTOS!$A$5:$A$1005&lt;&gt;"")*(MOVIMIENTOS!$A$5:$A$1005&lt;=$A973)*MOVIMIENTOS!$E$5:$E$1005)-SUMPRODUCT((MOVIMIENTOS!$B$5:$B$1005="REGALO")*(MOVIMIENTOS!$C$5:$C$1005="C")*(MOVIMIENTOS!$D$5:$D$1005="jabas")*(MOVIMIENTOS!$A$5:$A$1005&lt;&gt;"")*(MOVIMIENTOS!$A$5:$A$1005&lt;=$A973)*MOVIMIENTOS!$E$5:$E$1005)-SUMPRODUCT((MOVIMIENTOS!$B$5:$B$1005="VENTA")*(MOVIMIENTOS!$C$5:$C$1005="C")*(MOVIMIENTOS!$D$5:$D$1005="jabas")*(MOVIMIENTOS!$A$5:$A$1005&lt;&gt;"")*(MOVIMIENTOS!$A$5:$A$1005&lt;=$A973)*MOVIMIENTOS!$E$5:$E$1005)+SUMPRODUCT((MOVIMIENTOS!$B$5:$B$1005="AJUSTE")*(MOVIMIENTOS!$C$5:$C$1005="C")*(MOVIMIENTOS!$D$5:$D$1005="jabas")*(MOVIMIENTOS!$A$5:$A$1005&lt;&gt;"")*(MOVIMIENTOS!$A$5:$A$1005&lt;=$A973)*MOVIMIENTOS!$E$5:$E$1005))</f>
        <v/>
      </c>
      <c r="E973" t="str">
        <f>IF($A973="","",SUMPRODUCT((MOVIMIENTOS!$B$5:$B$1005="SALDO INICIAL")*(MOVIMIENTOS!$C$5:$C$1005="M")*(MOVIMIENTOS!$D$5:$D$1005="jabas")*(MOVIMIENTOS!$A$5:$A$1005&lt;&gt;"")*(MOVIMIENTOS!$A$5:$A$1005&lt;=$A973)*MOVIMIENTOS!$E$5:$E$1005)+SUMPRODUCT((MOVIMIENTOS!$B$5:$B$1005="PROCESO")*(MOVIMIENTOS!$C$5:$C$1005="M")*(MOVIMIENTOS!$D$5:$D$1005="jabas")*(MOVIMIENTOS!$A$5:$A$1005&lt;&gt;"")*(MOVIMIENTOS!$A$5:$A$1005&lt;=$A973)*MOVIMIENTOS!$E$5:$E$1005)-SUMPRODUCT((MOVIMIENTOS!$B$5:$B$1005="ENVÍO A SUPESA")*(MOVIMIENTOS!$C$5:$C$1005="M")*(MOVIMIENTOS!$D$5:$D$1005="jabas")*(MOVIMIENTOS!$A$5:$A$1005&lt;&gt;"")*(MOVIMIENTOS!$A$5:$A$1005&lt;=$A973)*MOVIMIENTOS!$E$5:$E$1005)+SUMPRODUCT((MOVIMIENTOS!$B$5:$B$1005="DEVOLUCIÓN")*(MOVIMIENTOS!$C$5:$C$1005="M")*(MOVIMIENTOS!$D$5:$D$1005="jabas")*(MOVIMIENTOS!$A$5:$A$1005&lt;&gt;"")*(MOVIMIENTOS!$A$5:$A$1005&lt;=$A973)*MOVIMIENTOS!$E$5:$E$1005)-SUMPRODUCT((MOVIMIENTOS!$B$5:$B$1005="TRASIEGO")*(MOVIMIENTOS!$C$5:$C$1005="M")*(MOVIMIENTOS!$D$5:$D$1005="jabas")*(MOVIMIENTOS!$A$5:$A$1005&lt;&gt;"")*(MOVIMIENTOS!$A$5:$A$1005&lt;=$A973)*MOVIMIENTOS!$E$5:$E$1005)-SUMPRODUCT((MOVIMIENTOS!$B$5:$B$1005="REGALO")*(MOVIMIENTOS!$C$5:$C$1005="M")*(MOVIMIENTOS!$D$5:$D$1005="jabas")*(MOVIMIENTOS!$A$5:$A$1005&lt;&gt;"")*(MOVIMIENTOS!$A$5:$A$1005&lt;=$A973)*MOVIMIENTOS!$E$5:$E$1005)-SUMPRODUCT((MOVIMIENTOS!$B$5:$B$1005="VENTA")*(MOVIMIENTOS!$C$5:$C$1005="M")*(MOVIMIENTOS!$D$5:$D$1005="jabas")*(MOVIMIENTOS!$A$5:$A$1005&lt;&gt;"")*(MOVIMIENTOS!$A$5:$A$1005&lt;=$A973)*MOVIMIENTOS!$E$5:$E$1005)+SUMPRODUCT((MOVIMIENTOS!$B$5:$B$1005="AJUSTE")*(MOVIMIENTOS!$C$5:$C$1005="M")*(MOVIMIENTOS!$D$5:$D$1005="jabas")*(MOVIMIENTOS!$A$5:$A$1005&lt;&gt;"")*(MOVIMIENTOS!$A$5:$A$1005&lt;=$A973)*MOVIMIENTOS!$E$5:$E$1005))</f>
        <v/>
      </c>
      <c r="F973" s="62" t="str">
        <f>IF($A973="","",SUMPRODUCT((MOVIMIENTOS!$B$5:$B$1005="SALDO INICIAL")*(MOVIMIENTOS!$C$5:$C$1005="Chancho")*(MOVIMIENTOS!$D$5:$D$1005="sacos")*(MOVIMIENTOS!$A$5:$A$1005&lt;&gt;"")*(MOVIMIENTOS!$A$5:$A$1005&lt;=$A973)*MOVIMIENTOS!$E$5:$E$1005)+SUMPRODUCT((MOVIMIENTOS!$B$5:$B$1005="PROCESO")*(MOVIMIENTOS!$C$5:$C$1005="Chancho")*(MOVIMIENTOS!$D$5:$D$1005="sacos")*(MOVIMIENTOS!$A$5:$A$1005&lt;&gt;"")*(MOVIMIENTOS!$A$5:$A$1005&lt;=$A973)*MOVIMIENTOS!$E$5:$E$1005)-SUMPRODUCT((MOVIMIENTOS!$B$5:$B$1005="VENTA CHANCHO")*(MOVIMIENTOS!$C$5:$C$1005="Chancho")*(MOVIMIENTOS!$D$5:$D$1005="sacos")*(MOVIMIENTOS!$A$5:$A$1005&lt;&gt;"")*(MOVIMIENTOS!$A$5:$A$1005&lt;=$A973)*MOVIMIENTOS!$E$5:$E$1005)-SUMPRODUCT((MOVIMIENTOS!$B$5:$B$1005="REGALO")*(MOVIMIENTOS!$C$5:$C$1005="Chancho")*(MOVIMIENTOS!$D$5:$D$1005="sacos")*(MOVIMIENTOS!$A$5:$A$1005&lt;&gt;"")*(MOVIMIENTOS!$A$5:$A$1005&lt;=$A973)*MOVIMIENTOS!$E$5:$E$1005)-SUMPRODUCT((MOVIMIENTOS!$B$5:$B$1005="VENTA")*(MOVIMIENTOS!$C$5:$C$1005="Chancho")*(MOVIMIENTOS!$D$5:$D$1005="sacos")*(MOVIMIENTOS!$A$5:$A$1005&lt;&gt;"")*(MOVIMIENTOS!$A$5:$A$1005&lt;=$A973)*MOVIMIENTOS!$E$5:$E$1005)+SUMPRODUCT((MOVIMIENTOS!$B$5:$B$1005="AJUSTE")*(MOVIMIENTOS!$C$5:$C$1005="Chancho")*(MOVIMIENTOS!$D$5:$D$1005="sacos")*(MOVIMIENTOS!$A$5:$A$1005&lt;&gt;"")*(MOVIMIENTOS!$A$5:$A$1005&lt;=$A973)*MOVIMIENTOS!$E$5:$E$1005))</f>
        <v/>
      </c>
      <c r="G973" s="62" t="str">
        <f t="shared" si="31"/>
        <v/>
      </c>
      <c r="H973" t="str">
        <f>IF($A973="","",SUMPRODUCT((((MOVIMIENTOS!$B$5:$B$1005="SALDO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973)*MOVIMIENTOS!$J$5:$J$1005))</f>
        <v/>
      </c>
      <c r="J973" t="str">
        <f>IF(AND(MOVIMIENTOS!$A978&lt;&gt;"",COUNTIF(MOVIMIENTOS!$A$5:$A977,MOVIMIENTOS!$A978)=0),COUNT(J$4:J972)+1,"")</f>
        <v/>
      </c>
      <c r="K973">
        <f>MOVIMIENTOS!$A978</f>
        <v>0</v>
      </c>
    </row>
    <row r="974" spans="1:11" ht="15" customHeight="1" x14ac:dyDescent="0.2">
      <c r="A974" t="str">
        <f t="shared" si="30"/>
        <v/>
      </c>
      <c r="B974" t="str">
        <f>IF($A974="","",SUMPRODUCT((MOVIMIENTOS!$B$5:$B$1005="SALDO INICIAL")*(MOVIMIENTOS!$C$5:$C$1005="A")*(MOVIMIENTOS!$D$5:$D$1005="jabas")*(MOVIMIENTOS!$A$5:$A$1005&lt;&gt;"")*(MOVIMIENTOS!$A$5:$A$1005&lt;=$A974)*MOVIMIENTOS!$E$5:$E$1005)+SUMPRODUCT((MOVIMIENTOS!$B$5:$B$1005="PROCESO")*(MOVIMIENTOS!$C$5:$C$1005="A")*(MOVIMIENTOS!$D$5:$D$1005="jabas")*(MOVIMIENTOS!$A$5:$A$1005&lt;&gt;"")*(MOVIMIENTOS!$A$5:$A$1005&lt;=$A974)*MOVIMIENTOS!$E$5:$E$1005)-SUMPRODUCT((MOVIMIENTOS!$B$5:$B$1005="ENVÍO A SUPESA")*(MOVIMIENTOS!$C$5:$C$1005="A")*(MOVIMIENTOS!$D$5:$D$1005="jabas")*(MOVIMIENTOS!$A$5:$A$1005&lt;&gt;"")*(MOVIMIENTOS!$A$5:$A$1005&lt;=$A974)*MOVIMIENTOS!$E$5:$E$1005)+SUMPRODUCT((MOVIMIENTOS!$B$5:$B$1005="DEVOLUCIÓN")*(MOVIMIENTOS!$C$5:$C$1005="A")*(MOVIMIENTOS!$D$5:$D$1005="jabas")*(MOVIMIENTOS!$A$5:$A$1005&lt;&gt;"")*(MOVIMIENTOS!$A$5:$A$1005&lt;=$A974)*MOVIMIENTOS!$E$5:$E$1005)-SUMPRODUCT((MOVIMIENTOS!$B$5:$B$1005="TRASIEGO")*(MOVIMIENTOS!$C$5:$C$1005="A")*(MOVIMIENTOS!$D$5:$D$1005="jabas")*(MOVIMIENTOS!$A$5:$A$1005&lt;&gt;"")*(MOVIMIENTOS!$A$5:$A$1005&lt;=$A974)*MOVIMIENTOS!$E$5:$E$1005)-SUMPRODUCT((MOVIMIENTOS!$B$5:$B$1005="REGALO")*(MOVIMIENTOS!$C$5:$C$1005="A")*(MOVIMIENTOS!$D$5:$D$1005="jabas")*(MOVIMIENTOS!$A$5:$A$1005&lt;&gt;"")*(MOVIMIENTOS!$A$5:$A$1005&lt;=$A974)*MOVIMIENTOS!$E$5:$E$1005)-SUMPRODUCT((MOVIMIENTOS!$B$5:$B$1005="VENTA")*(MOVIMIENTOS!$C$5:$C$1005="A")*(MOVIMIENTOS!$D$5:$D$1005="jabas")*(MOVIMIENTOS!$A$5:$A$1005&lt;&gt;"")*(MOVIMIENTOS!$A$5:$A$1005&lt;=$A974)*MOVIMIENTOS!$E$5:$E$1005)+SUMPRODUCT((MOVIMIENTOS!$B$5:$B$1005="AJUSTE")*(MOVIMIENTOS!$C$5:$C$1005="A")*(MOVIMIENTOS!$D$5:$D$1005="jabas")*(MOVIMIENTOS!$A$5:$A$1005&lt;&gt;"")*(MOVIMIENTOS!$A$5:$A$1005&lt;=$A974)*MOVIMIENTOS!$E$5:$E$1005))</f>
        <v/>
      </c>
      <c r="C974" t="str">
        <f>IF($A974="","",SUMPRODUCT((MOVIMIENTOS!$B$5:$B$1005="SALDO INICIAL")*(MOVIMIENTOS!$C$5:$C$1005="P")*(MOVIMIENTOS!$D$5:$D$1005="jabas")*(MOVIMIENTOS!$A$5:$A$1005&lt;&gt;"")*(MOVIMIENTOS!$A$5:$A$1005&lt;=$A974)*MOVIMIENTOS!$E$5:$E$1005)+SUMPRODUCT((MOVIMIENTOS!$B$5:$B$1005="PROCESO")*(MOVIMIENTOS!$C$5:$C$1005="P")*(MOVIMIENTOS!$D$5:$D$1005="jabas")*(MOVIMIENTOS!$A$5:$A$1005&lt;&gt;"")*(MOVIMIENTOS!$A$5:$A$1005&lt;=$A974)*MOVIMIENTOS!$E$5:$E$1005)-SUMPRODUCT((MOVIMIENTOS!$B$5:$B$1005="ENVÍO A SUPESA")*(MOVIMIENTOS!$C$5:$C$1005="P")*(MOVIMIENTOS!$D$5:$D$1005="jabas")*(MOVIMIENTOS!$A$5:$A$1005&lt;&gt;"")*(MOVIMIENTOS!$A$5:$A$1005&lt;=$A974)*MOVIMIENTOS!$E$5:$E$1005)+SUMPRODUCT((MOVIMIENTOS!$B$5:$B$1005="DEVOLUCIÓN")*(MOVIMIENTOS!$C$5:$C$1005="P")*(MOVIMIENTOS!$D$5:$D$1005="jabas")*(MOVIMIENTOS!$A$5:$A$1005&lt;&gt;"")*(MOVIMIENTOS!$A$5:$A$1005&lt;=$A974)*MOVIMIENTOS!$E$5:$E$1005)-SUMPRODUCT((MOVIMIENTOS!$B$5:$B$1005="TRASIEGO")*(MOVIMIENTOS!$C$5:$C$1005="P")*(MOVIMIENTOS!$D$5:$D$1005="jabas")*(MOVIMIENTOS!$A$5:$A$1005&lt;&gt;"")*(MOVIMIENTOS!$A$5:$A$1005&lt;=$A974)*MOVIMIENTOS!$E$5:$E$1005)-SUMPRODUCT((MOVIMIENTOS!$B$5:$B$1005="REGALO")*(MOVIMIENTOS!$C$5:$C$1005="P")*(MOVIMIENTOS!$D$5:$D$1005="jabas")*(MOVIMIENTOS!$A$5:$A$1005&lt;&gt;"")*(MOVIMIENTOS!$A$5:$A$1005&lt;=$A974)*MOVIMIENTOS!$E$5:$E$1005)-SUMPRODUCT((MOVIMIENTOS!$B$5:$B$1005="VENTA")*(MOVIMIENTOS!$C$5:$C$1005="P")*(MOVIMIENTOS!$D$5:$D$1005="jabas")*(MOVIMIENTOS!$A$5:$A$1005&lt;&gt;"")*(MOVIMIENTOS!$A$5:$A$1005&lt;=$A974)*MOVIMIENTOS!$E$5:$E$1005)+SUMPRODUCT((MOVIMIENTOS!$B$5:$B$1005="AJUSTE")*(MOVIMIENTOS!$C$5:$C$1005="P")*(MOVIMIENTOS!$D$5:$D$1005="jabas")*(MOVIMIENTOS!$A$5:$A$1005&lt;&gt;"")*(MOVIMIENTOS!$A$5:$A$1005&lt;=$A974)*MOVIMIENTOS!$E$5:$E$1005))</f>
        <v/>
      </c>
      <c r="D974" t="str">
        <f>IF($A974="","",SUMPRODUCT((MOVIMIENTOS!$B$5:$B$1005="SALDO INICIAL")*(MOVIMIENTOS!$C$5:$C$1005="C")*(MOVIMIENTOS!$D$5:$D$1005="jabas")*(MOVIMIENTOS!$A$5:$A$1005&lt;&gt;"")*(MOVIMIENTOS!$A$5:$A$1005&lt;=$A974)*MOVIMIENTOS!$E$5:$E$1005)+SUMPRODUCT((MOVIMIENTOS!$B$5:$B$1005="PROCESO")*(MOVIMIENTOS!$C$5:$C$1005="C")*(MOVIMIENTOS!$D$5:$D$1005="jabas")*(MOVIMIENTOS!$A$5:$A$1005&lt;&gt;"")*(MOVIMIENTOS!$A$5:$A$1005&lt;=$A974)*MOVIMIENTOS!$E$5:$E$1005)-SUMPRODUCT((MOVIMIENTOS!$B$5:$B$1005="ENVÍO A SUPESA")*(MOVIMIENTOS!$C$5:$C$1005="C")*(MOVIMIENTOS!$D$5:$D$1005="jabas")*(MOVIMIENTOS!$A$5:$A$1005&lt;&gt;"")*(MOVIMIENTOS!$A$5:$A$1005&lt;=$A974)*MOVIMIENTOS!$E$5:$E$1005)+SUMPRODUCT((MOVIMIENTOS!$B$5:$B$1005="DEVOLUCIÓN")*(MOVIMIENTOS!$C$5:$C$1005="C")*(MOVIMIENTOS!$D$5:$D$1005="jabas")*(MOVIMIENTOS!$A$5:$A$1005&lt;&gt;"")*(MOVIMIENTOS!$A$5:$A$1005&lt;=$A974)*MOVIMIENTOS!$E$5:$E$1005)-SUMPRODUCT((MOVIMIENTOS!$B$5:$B$1005="TRASIEGO")*(MOVIMIENTOS!$C$5:$C$1005="C")*(MOVIMIENTOS!$D$5:$D$1005="jabas")*(MOVIMIENTOS!$A$5:$A$1005&lt;&gt;"")*(MOVIMIENTOS!$A$5:$A$1005&lt;=$A974)*MOVIMIENTOS!$E$5:$E$1005)-SUMPRODUCT((MOVIMIENTOS!$B$5:$B$1005="REGALO")*(MOVIMIENTOS!$C$5:$C$1005="C")*(MOVIMIENTOS!$D$5:$D$1005="jabas")*(MOVIMIENTOS!$A$5:$A$1005&lt;&gt;"")*(MOVIMIENTOS!$A$5:$A$1005&lt;=$A974)*MOVIMIENTOS!$E$5:$E$1005)-SUMPRODUCT((MOVIMIENTOS!$B$5:$B$1005="VENTA")*(MOVIMIENTOS!$C$5:$C$1005="C")*(MOVIMIENTOS!$D$5:$D$1005="jabas")*(MOVIMIENTOS!$A$5:$A$1005&lt;&gt;"")*(MOVIMIENTOS!$A$5:$A$1005&lt;=$A974)*MOVIMIENTOS!$E$5:$E$1005)+SUMPRODUCT((MOVIMIENTOS!$B$5:$B$1005="AJUSTE")*(MOVIMIENTOS!$C$5:$C$1005="C")*(MOVIMIENTOS!$D$5:$D$1005="jabas")*(MOVIMIENTOS!$A$5:$A$1005&lt;&gt;"")*(MOVIMIENTOS!$A$5:$A$1005&lt;=$A974)*MOVIMIENTOS!$E$5:$E$1005))</f>
        <v/>
      </c>
      <c r="E974" t="str">
        <f>IF($A974="","",SUMPRODUCT((MOVIMIENTOS!$B$5:$B$1005="SALDO INICIAL")*(MOVIMIENTOS!$C$5:$C$1005="M")*(MOVIMIENTOS!$D$5:$D$1005="jabas")*(MOVIMIENTOS!$A$5:$A$1005&lt;&gt;"")*(MOVIMIENTOS!$A$5:$A$1005&lt;=$A974)*MOVIMIENTOS!$E$5:$E$1005)+SUMPRODUCT((MOVIMIENTOS!$B$5:$B$1005="PROCESO")*(MOVIMIENTOS!$C$5:$C$1005="M")*(MOVIMIENTOS!$D$5:$D$1005="jabas")*(MOVIMIENTOS!$A$5:$A$1005&lt;&gt;"")*(MOVIMIENTOS!$A$5:$A$1005&lt;=$A974)*MOVIMIENTOS!$E$5:$E$1005)-SUMPRODUCT((MOVIMIENTOS!$B$5:$B$1005="ENVÍO A SUPESA")*(MOVIMIENTOS!$C$5:$C$1005="M")*(MOVIMIENTOS!$D$5:$D$1005="jabas")*(MOVIMIENTOS!$A$5:$A$1005&lt;&gt;"")*(MOVIMIENTOS!$A$5:$A$1005&lt;=$A974)*MOVIMIENTOS!$E$5:$E$1005)+SUMPRODUCT((MOVIMIENTOS!$B$5:$B$1005="DEVOLUCIÓN")*(MOVIMIENTOS!$C$5:$C$1005="M")*(MOVIMIENTOS!$D$5:$D$1005="jabas")*(MOVIMIENTOS!$A$5:$A$1005&lt;&gt;"")*(MOVIMIENTOS!$A$5:$A$1005&lt;=$A974)*MOVIMIENTOS!$E$5:$E$1005)-SUMPRODUCT((MOVIMIENTOS!$B$5:$B$1005="TRASIEGO")*(MOVIMIENTOS!$C$5:$C$1005="M")*(MOVIMIENTOS!$D$5:$D$1005="jabas")*(MOVIMIENTOS!$A$5:$A$1005&lt;&gt;"")*(MOVIMIENTOS!$A$5:$A$1005&lt;=$A974)*MOVIMIENTOS!$E$5:$E$1005)-SUMPRODUCT((MOVIMIENTOS!$B$5:$B$1005="REGALO")*(MOVIMIENTOS!$C$5:$C$1005="M")*(MOVIMIENTOS!$D$5:$D$1005="jabas")*(MOVIMIENTOS!$A$5:$A$1005&lt;&gt;"")*(MOVIMIENTOS!$A$5:$A$1005&lt;=$A974)*MOVIMIENTOS!$E$5:$E$1005)-SUMPRODUCT((MOVIMIENTOS!$B$5:$B$1005="VENTA")*(MOVIMIENTOS!$C$5:$C$1005="M")*(MOVIMIENTOS!$D$5:$D$1005="jabas")*(MOVIMIENTOS!$A$5:$A$1005&lt;&gt;"")*(MOVIMIENTOS!$A$5:$A$1005&lt;=$A974)*MOVIMIENTOS!$E$5:$E$1005)+SUMPRODUCT((MOVIMIENTOS!$B$5:$B$1005="AJUSTE")*(MOVIMIENTOS!$C$5:$C$1005="M")*(MOVIMIENTOS!$D$5:$D$1005="jabas")*(MOVIMIENTOS!$A$5:$A$1005&lt;&gt;"")*(MOVIMIENTOS!$A$5:$A$1005&lt;=$A974)*MOVIMIENTOS!$E$5:$E$1005))</f>
        <v/>
      </c>
      <c r="F974" s="62" t="str">
        <f>IF($A974="","",SUMPRODUCT((MOVIMIENTOS!$B$5:$B$1005="SALDO INICIAL")*(MOVIMIENTOS!$C$5:$C$1005="Chancho")*(MOVIMIENTOS!$D$5:$D$1005="sacos")*(MOVIMIENTOS!$A$5:$A$1005&lt;&gt;"")*(MOVIMIENTOS!$A$5:$A$1005&lt;=$A974)*MOVIMIENTOS!$E$5:$E$1005)+SUMPRODUCT((MOVIMIENTOS!$B$5:$B$1005="PROCESO")*(MOVIMIENTOS!$C$5:$C$1005="Chancho")*(MOVIMIENTOS!$D$5:$D$1005="sacos")*(MOVIMIENTOS!$A$5:$A$1005&lt;&gt;"")*(MOVIMIENTOS!$A$5:$A$1005&lt;=$A974)*MOVIMIENTOS!$E$5:$E$1005)-SUMPRODUCT((MOVIMIENTOS!$B$5:$B$1005="VENTA CHANCHO")*(MOVIMIENTOS!$C$5:$C$1005="Chancho")*(MOVIMIENTOS!$D$5:$D$1005="sacos")*(MOVIMIENTOS!$A$5:$A$1005&lt;&gt;"")*(MOVIMIENTOS!$A$5:$A$1005&lt;=$A974)*MOVIMIENTOS!$E$5:$E$1005)-SUMPRODUCT((MOVIMIENTOS!$B$5:$B$1005="REGALO")*(MOVIMIENTOS!$C$5:$C$1005="Chancho")*(MOVIMIENTOS!$D$5:$D$1005="sacos")*(MOVIMIENTOS!$A$5:$A$1005&lt;&gt;"")*(MOVIMIENTOS!$A$5:$A$1005&lt;=$A974)*MOVIMIENTOS!$E$5:$E$1005)-SUMPRODUCT((MOVIMIENTOS!$B$5:$B$1005="VENTA")*(MOVIMIENTOS!$C$5:$C$1005="Chancho")*(MOVIMIENTOS!$D$5:$D$1005="sacos")*(MOVIMIENTOS!$A$5:$A$1005&lt;&gt;"")*(MOVIMIENTOS!$A$5:$A$1005&lt;=$A974)*MOVIMIENTOS!$E$5:$E$1005)+SUMPRODUCT((MOVIMIENTOS!$B$5:$B$1005="AJUSTE")*(MOVIMIENTOS!$C$5:$C$1005="Chancho")*(MOVIMIENTOS!$D$5:$D$1005="sacos")*(MOVIMIENTOS!$A$5:$A$1005&lt;&gt;"")*(MOVIMIENTOS!$A$5:$A$1005&lt;=$A974)*MOVIMIENTOS!$E$5:$E$1005))</f>
        <v/>
      </c>
      <c r="G974" s="62" t="str">
        <f t="shared" si="31"/>
        <v/>
      </c>
      <c r="H974" t="str">
        <f>IF($A974="","",SUMPRODUCT((((MOVIMIENTOS!$B$5:$B$1005="SALDO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974)*MOVIMIENTOS!$J$5:$J$1005))</f>
        <v/>
      </c>
      <c r="J974" t="str">
        <f>IF(AND(MOVIMIENTOS!$A979&lt;&gt;"",COUNTIF(MOVIMIENTOS!$A$5:$A978,MOVIMIENTOS!$A979)=0),COUNT(J$4:J973)+1,"")</f>
        <v/>
      </c>
      <c r="K974">
        <f>MOVIMIENTOS!$A979</f>
        <v>0</v>
      </c>
    </row>
    <row r="975" spans="1:11" ht="15" customHeight="1" x14ac:dyDescent="0.2">
      <c r="A975" t="str">
        <f t="shared" si="30"/>
        <v/>
      </c>
      <c r="B975" t="str">
        <f>IF($A975="","",SUMPRODUCT((MOVIMIENTOS!$B$5:$B$1005="SALDO INICIAL")*(MOVIMIENTOS!$C$5:$C$1005="A")*(MOVIMIENTOS!$D$5:$D$1005="jabas")*(MOVIMIENTOS!$A$5:$A$1005&lt;&gt;"")*(MOVIMIENTOS!$A$5:$A$1005&lt;=$A975)*MOVIMIENTOS!$E$5:$E$1005)+SUMPRODUCT((MOVIMIENTOS!$B$5:$B$1005="PROCESO")*(MOVIMIENTOS!$C$5:$C$1005="A")*(MOVIMIENTOS!$D$5:$D$1005="jabas")*(MOVIMIENTOS!$A$5:$A$1005&lt;&gt;"")*(MOVIMIENTOS!$A$5:$A$1005&lt;=$A975)*MOVIMIENTOS!$E$5:$E$1005)-SUMPRODUCT((MOVIMIENTOS!$B$5:$B$1005="ENVÍO A SUPESA")*(MOVIMIENTOS!$C$5:$C$1005="A")*(MOVIMIENTOS!$D$5:$D$1005="jabas")*(MOVIMIENTOS!$A$5:$A$1005&lt;&gt;"")*(MOVIMIENTOS!$A$5:$A$1005&lt;=$A975)*MOVIMIENTOS!$E$5:$E$1005)+SUMPRODUCT((MOVIMIENTOS!$B$5:$B$1005="DEVOLUCIÓN")*(MOVIMIENTOS!$C$5:$C$1005="A")*(MOVIMIENTOS!$D$5:$D$1005="jabas")*(MOVIMIENTOS!$A$5:$A$1005&lt;&gt;"")*(MOVIMIENTOS!$A$5:$A$1005&lt;=$A975)*MOVIMIENTOS!$E$5:$E$1005)-SUMPRODUCT((MOVIMIENTOS!$B$5:$B$1005="TRASIEGO")*(MOVIMIENTOS!$C$5:$C$1005="A")*(MOVIMIENTOS!$D$5:$D$1005="jabas")*(MOVIMIENTOS!$A$5:$A$1005&lt;&gt;"")*(MOVIMIENTOS!$A$5:$A$1005&lt;=$A975)*MOVIMIENTOS!$E$5:$E$1005)-SUMPRODUCT((MOVIMIENTOS!$B$5:$B$1005="REGALO")*(MOVIMIENTOS!$C$5:$C$1005="A")*(MOVIMIENTOS!$D$5:$D$1005="jabas")*(MOVIMIENTOS!$A$5:$A$1005&lt;&gt;"")*(MOVIMIENTOS!$A$5:$A$1005&lt;=$A975)*MOVIMIENTOS!$E$5:$E$1005)-SUMPRODUCT((MOVIMIENTOS!$B$5:$B$1005="VENTA")*(MOVIMIENTOS!$C$5:$C$1005="A")*(MOVIMIENTOS!$D$5:$D$1005="jabas")*(MOVIMIENTOS!$A$5:$A$1005&lt;&gt;"")*(MOVIMIENTOS!$A$5:$A$1005&lt;=$A975)*MOVIMIENTOS!$E$5:$E$1005)+SUMPRODUCT((MOVIMIENTOS!$B$5:$B$1005="AJUSTE")*(MOVIMIENTOS!$C$5:$C$1005="A")*(MOVIMIENTOS!$D$5:$D$1005="jabas")*(MOVIMIENTOS!$A$5:$A$1005&lt;&gt;"")*(MOVIMIENTOS!$A$5:$A$1005&lt;=$A975)*MOVIMIENTOS!$E$5:$E$1005))</f>
        <v/>
      </c>
      <c r="C975" t="str">
        <f>IF($A975="","",SUMPRODUCT((MOVIMIENTOS!$B$5:$B$1005="SALDO INICIAL")*(MOVIMIENTOS!$C$5:$C$1005="P")*(MOVIMIENTOS!$D$5:$D$1005="jabas")*(MOVIMIENTOS!$A$5:$A$1005&lt;&gt;"")*(MOVIMIENTOS!$A$5:$A$1005&lt;=$A975)*MOVIMIENTOS!$E$5:$E$1005)+SUMPRODUCT((MOVIMIENTOS!$B$5:$B$1005="PROCESO")*(MOVIMIENTOS!$C$5:$C$1005="P")*(MOVIMIENTOS!$D$5:$D$1005="jabas")*(MOVIMIENTOS!$A$5:$A$1005&lt;&gt;"")*(MOVIMIENTOS!$A$5:$A$1005&lt;=$A975)*MOVIMIENTOS!$E$5:$E$1005)-SUMPRODUCT((MOVIMIENTOS!$B$5:$B$1005="ENVÍO A SUPESA")*(MOVIMIENTOS!$C$5:$C$1005="P")*(MOVIMIENTOS!$D$5:$D$1005="jabas")*(MOVIMIENTOS!$A$5:$A$1005&lt;&gt;"")*(MOVIMIENTOS!$A$5:$A$1005&lt;=$A975)*MOVIMIENTOS!$E$5:$E$1005)+SUMPRODUCT((MOVIMIENTOS!$B$5:$B$1005="DEVOLUCIÓN")*(MOVIMIENTOS!$C$5:$C$1005="P")*(MOVIMIENTOS!$D$5:$D$1005="jabas")*(MOVIMIENTOS!$A$5:$A$1005&lt;&gt;"")*(MOVIMIENTOS!$A$5:$A$1005&lt;=$A975)*MOVIMIENTOS!$E$5:$E$1005)-SUMPRODUCT((MOVIMIENTOS!$B$5:$B$1005="TRASIEGO")*(MOVIMIENTOS!$C$5:$C$1005="P")*(MOVIMIENTOS!$D$5:$D$1005="jabas")*(MOVIMIENTOS!$A$5:$A$1005&lt;&gt;"")*(MOVIMIENTOS!$A$5:$A$1005&lt;=$A975)*MOVIMIENTOS!$E$5:$E$1005)-SUMPRODUCT((MOVIMIENTOS!$B$5:$B$1005="REGALO")*(MOVIMIENTOS!$C$5:$C$1005="P")*(MOVIMIENTOS!$D$5:$D$1005="jabas")*(MOVIMIENTOS!$A$5:$A$1005&lt;&gt;"")*(MOVIMIENTOS!$A$5:$A$1005&lt;=$A975)*MOVIMIENTOS!$E$5:$E$1005)-SUMPRODUCT((MOVIMIENTOS!$B$5:$B$1005="VENTA")*(MOVIMIENTOS!$C$5:$C$1005="P")*(MOVIMIENTOS!$D$5:$D$1005="jabas")*(MOVIMIENTOS!$A$5:$A$1005&lt;&gt;"")*(MOVIMIENTOS!$A$5:$A$1005&lt;=$A975)*MOVIMIENTOS!$E$5:$E$1005)+SUMPRODUCT((MOVIMIENTOS!$B$5:$B$1005="AJUSTE")*(MOVIMIENTOS!$C$5:$C$1005="P")*(MOVIMIENTOS!$D$5:$D$1005="jabas")*(MOVIMIENTOS!$A$5:$A$1005&lt;&gt;"")*(MOVIMIENTOS!$A$5:$A$1005&lt;=$A975)*MOVIMIENTOS!$E$5:$E$1005))</f>
        <v/>
      </c>
      <c r="D975" t="str">
        <f>IF($A975="","",SUMPRODUCT((MOVIMIENTOS!$B$5:$B$1005="SALDO INICIAL")*(MOVIMIENTOS!$C$5:$C$1005="C")*(MOVIMIENTOS!$D$5:$D$1005="jabas")*(MOVIMIENTOS!$A$5:$A$1005&lt;&gt;"")*(MOVIMIENTOS!$A$5:$A$1005&lt;=$A975)*MOVIMIENTOS!$E$5:$E$1005)+SUMPRODUCT((MOVIMIENTOS!$B$5:$B$1005="PROCESO")*(MOVIMIENTOS!$C$5:$C$1005="C")*(MOVIMIENTOS!$D$5:$D$1005="jabas")*(MOVIMIENTOS!$A$5:$A$1005&lt;&gt;"")*(MOVIMIENTOS!$A$5:$A$1005&lt;=$A975)*MOVIMIENTOS!$E$5:$E$1005)-SUMPRODUCT((MOVIMIENTOS!$B$5:$B$1005="ENVÍO A SUPESA")*(MOVIMIENTOS!$C$5:$C$1005="C")*(MOVIMIENTOS!$D$5:$D$1005="jabas")*(MOVIMIENTOS!$A$5:$A$1005&lt;&gt;"")*(MOVIMIENTOS!$A$5:$A$1005&lt;=$A975)*MOVIMIENTOS!$E$5:$E$1005)+SUMPRODUCT((MOVIMIENTOS!$B$5:$B$1005="DEVOLUCIÓN")*(MOVIMIENTOS!$C$5:$C$1005="C")*(MOVIMIENTOS!$D$5:$D$1005="jabas")*(MOVIMIENTOS!$A$5:$A$1005&lt;&gt;"")*(MOVIMIENTOS!$A$5:$A$1005&lt;=$A975)*MOVIMIENTOS!$E$5:$E$1005)-SUMPRODUCT((MOVIMIENTOS!$B$5:$B$1005="TRASIEGO")*(MOVIMIENTOS!$C$5:$C$1005="C")*(MOVIMIENTOS!$D$5:$D$1005="jabas")*(MOVIMIENTOS!$A$5:$A$1005&lt;&gt;"")*(MOVIMIENTOS!$A$5:$A$1005&lt;=$A975)*MOVIMIENTOS!$E$5:$E$1005)-SUMPRODUCT((MOVIMIENTOS!$B$5:$B$1005="REGALO")*(MOVIMIENTOS!$C$5:$C$1005="C")*(MOVIMIENTOS!$D$5:$D$1005="jabas")*(MOVIMIENTOS!$A$5:$A$1005&lt;&gt;"")*(MOVIMIENTOS!$A$5:$A$1005&lt;=$A975)*MOVIMIENTOS!$E$5:$E$1005)-SUMPRODUCT((MOVIMIENTOS!$B$5:$B$1005="VENTA")*(MOVIMIENTOS!$C$5:$C$1005="C")*(MOVIMIENTOS!$D$5:$D$1005="jabas")*(MOVIMIENTOS!$A$5:$A$1005&lt;&gt;"")*(MOVIMIENTOS!$A$5:$A$1005&lt;=$A975)*MOVIMIENTOS!$E$5:$E$1005)+SUMPRODUCT((MOVIMIENTOS!$B$5:$B$1005="AJUSTE")*(MOVIMIENTOS!$C$5:$C$1005="C")*(MOVIMIENTOS!$D$5:$D$1005="jabas")*(MOVIMIENTOS!$A$5:$A$1005&lt;&gt;"")*(MOVIMIENTOS!$A$5:$A$1005&lt;=$A975)*MOVIMIENTOS!$E$5:$E$1005))</f>
        <v/>
      </c>
      <c r="E975" t="str">
        <f>IF($A975="","",SUMPRODUCT((MOVIMIENTOS!$B$5:$B$1005="SALDO INICIAL")*(MOVIMIENTOS!$C$5:$C$1005="M")*(MOVIMIENTOS!$D$5:$D$1005="jabas")*(MOVIMIENTOS!$A$5:$A$1005&lt;&gt;"")*(MOVIMIENTOS!$A$5:$A$1005&lt;=$A975)*MOVIMIENTOS!$E$5:$E$1005)+SUMPRODUCT((MOVIMIENTOS!$B$5:$B$1005="PROCESO")*(MOVIMIENTOS!$C$5:$C$1005="M")*(MOVIMIENTOS!$D$5:$D$1005="jabas")*(MOVIMIENTOS!$A$5:$A$1005&lt;&gt;"")*(MOVIMIENTOS!$A$5:$A$1005&lt;=$A975)*MOVIMIENTOS!$E$5:$E$1005)-SUMPRODUCT((MOVIMIENTOS!$B$5:$B$1005="ENVÍO A SUPESA")*(MOVIMIENTOS!$C$5:$C$1005="M")*(MOVIMIENTOS!$D$5:$D$1005="jabas")*(MOVIMIENTOS!$A$5:$A$1005&lt;&gt;"")*(MOVIMIENTOS!$A$5:$A$1005&lt;=$A975)*MOVIMIENTOS!$E$5:$E$1005)+SUMPRODUCT((MOVIMIENTOS!$B$5:$B$1005="DEVOLUCIÓN")*(MOVIMIENTOS!$C$5:$C$1005="M")*(MOVIMIENTOS!$D$5:$D$1005="jabas")*(MOVIMIENTOS!$A$5:$A$1005&lt;&gt;"")*(MOVIMIENTOS!$A$5:$A$1005&lt;=$A975)*MOVIMIENTOS!$E$5:$E$1005)-SUMPRODUCT((MOVIMIENTOS!$B$5:$B$1005="TRASIEGO")*(MOVIMIENTOS!$C$5:$C$1005="M")*(MOVIMIENTOS!$D$5:$D$1005="jabas")*(MOVIMIENTOS!$A$5:$A$1005&lt;&gt;"")*(MOVIMIENTOS!$A$5:$A$1005&lt;=$A975)*MOVIMIENTOS!$E$5:$E$1005)-SUMPRODUCT((MOVIMIENTOS!$B$5:$B$1005="REGALO")*(MOVIMIENTOS!$C$5:$C$1005="M")*(MOVIMIENTOS!$D$5:$D$1005="jabas")*(MOVIMIENTOS!$A$5:$A$1005&lt;&gt;"")*(MOVIMIENTOS!$A$5:$A$1005&lt;=$A975)*MOVIMIENTOS!$E$5:$E$1005)-SUMPRODUCT((MOVIMIENTOS!$B$5:$B$1005="VENTA")*(MOVIMIENTOS!$C$5:$C$1005="M")*(MOVIMIENTOS!$D$5:$D$1005="jabas")*(MOVIMIENTOS!$A$5:$A$1005&lt;&gt;"")*(MOVIMIENTOS!$A$5:$A$1005&lt;=$A975)*MOVIMIENTOS!$E$5:$E$1005)+SUMPRODUCT((MOVIMIENTOS!$B$5:$B$1005="AJUSTE")*(MOVIMIENTOS!$C$5:$C$1005="M")*(MOVIMIENTOS!$D$5:$D$1005="jabas")*(MOVIMIENTOS!$A$5:$A$1005&lt;&gt;"")*(MOVIMIENTOS!$A$5:$A$1005&lt;=$A975)*MOVIMIENTOS!$E$5:$E$1005))</f>
        <v/>
      </c>
      <c r="F975" s="62" t="str">
        <f>IF($A975="","",SUMPRODUCT((MOVIMIENTOS!$B$5:$B$1005="SALDO INICIAL")*(MOVIMIENTOS!$C$5:$C$1005="Chancho")*(MOVIMIENTOS!$D$5:$D$1005="sacos")*(MOVIMIENTOS!$A$5:$A$1005&lt;&gt;"")*(MOVIMIENTOS!$A$5:$A$1005&lt;=$A975)*MOVIMIENTOS!$E$5:$E$1005)+SUMPRODUCT((MOVIMIENTOS!$B$5:$B$1005="PROCESO")*(MOVIMIENTOS!$C$5:$C$1005="Chancho")*(MOVIMIENTOS!$D$5:$D$1005="sacos")*(MOVIMIENTOS!$A$5:$A$1005&lt;&gt;"")*(MOVIMIENTOS!$A$5:$A$1005&lt;=$A975)*MOVIMIENTOS!$E$5:$E$1005)-SUMPRODUCT((MOVIMIENTOS!$B$5:$B$1005="VENTA CHANCHO")*(MOVIMIENTOS!$C$5:$C$1005="Chancho")*(MOVIMIENTOS!$D$5:$D$1005="sacos")*(MOVIMIENTOS!$A$5:$A$1005&lt;&gt;"")*(MOVIMIENTOS!$A$5:$A$1005&lt;=$A975)*MOVIMIENTOS!$E$5:$E$1005)-SUMPRODUCT((MOVIMIENTOS!$B$5:$B$1005="REGALO")*(MOVIMIENTOS!$C$5:$C$1005="Chancho")*(MOVIMIENTOS!$D$5:$D$1005="sacos")*(MOVIMIENTOS!$A$5:$A$1005&lt;&gt;"")*(MOVIMIENTOS!$A$5:$A$1005&lt;=$A975)*MOVIMIENTOS!$E$5:$E$1005)-SUMPRODUCT((MOVIMIENTOS!$B$5:$B$1005="VENTA")*(MOVIMIENTOS!$C$5:$C$1005="Chancho")*(MOVIMIENTOS!$D$5:$D$1005="sacos")*(MOVIMIENTOS!$A$5:$A$1005&lt;&gt;"")*(MOVIMIENTOS!$A$5:$A$1005&lt;=$A975)*MOVIMIENTOS!$E$5:$E$1005)+SUMPRODUCT((MOVIMIENTOS!$B$5:$B$1005="AJUSTE")*(MOVIMIENTOS!$C$5:$C$1005="Chancho")*(MOVIMIENTOS!$D$5:$D$1005="sacos")*(MOVIMIENTOS!$A$5:$A$1005&lt;&gt;"")*(MOVIMIENTOS!$A$5:$A$1005&lt;=$A975)*MOVIMIENTOS!$E$5:$E$1005))</f>
        <v/>
      </c>
      <c r="G975" s="62" t="str">
        <f t="shared" si="31"/>
        <v/>
      </c>
      <c r="H975" t="str">
        <f>IF($A975="","",SUMPRODUCT((((MOVIMIENTOS!$B$5:$B$1005="SALDO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975)*MOVIMIENTOS!$J$5:$J$1005))</f>
        <v/>
      </c>
      <c r="J975" t="str">
        <f>IF(AND(MOVIMIENTOS!$A980&lt;&gt;"",COUNTIF(MOVIMIENTOS!$A$5:$A979,MOVIMIENTOS!$A980)=0),COUNT(J$4:J974)+1,"")</f>
        <v/>
      </c>
      <c r="K975">
        <f>MOVIMIENTOS!$A980</f>
        <v>0</v>
      </c>
    </row>
    <row r="976" spans="1:11" ht="15" customHeight="1" x14ac:dyDescent="0.2">
      <c r="A976" t="str">
        <f t="shared" si="30"/>
        <v/>
      </c>
      <c r="B976" t="str">
        <f>IF($A976="","",SUMPRODUCT((MOVIMIENTOS!$B$5:$B$1005="SALDO INICIAL")*(MOVIMIENTOS!$C$5:$C$1005="A")*(MOVIMIENTOS!$D$5:$D$1005="jabas")*(MOVIMIENTOS!$A$5:$A$1005&lt;&gt;"")*(MOVIMIENTOS!$A$5:$A$1005&lt;=$A976)*MOVIMIENTOS!$E$5:$E$1005)+SUMPRODUCT((MOVIMIENTOS!$B$5:$B$1005="PROCESO")*(MOVIMIENTOS!$C$5:$C$1005="A")*(MOVIMIENTOS!$D$5:$D$1005="jabas")*(MOVIMIENTOS!$A$5:$A$1005&lt;&gt;"")*(MOVIMIENTOS!$A$5:$A$1005&lt;=$A976)*MOVIMIENTOS!$E$5:$E$1005)-SUMPRODUCT((MOVIMIENTOS!$B$5:$B$1005="ENVÍO A SUPESA")*(MOVIMIENTOS!$C$5:$C$1005="A")*(MOVIMIENTOS!$D$5:$D$1005="jabas")*(MOVIMIENTOS!$A$5:$A$1005&lt;&gt;"")*(MOVIMIENTOS!$A$5:$A$1005&lt;=$A976)*MOVIMIENTOS!$E$5:$E$1005)+SUMPRODUCT((MOVIMIENTOS!$B$5:$B$1005="DEVOLUCIÓN")*(MOVIMIENTOS!$C$5:$C$1005="A")*(MOVIMIENTOS!$D$5:$D$1005="jabas")*(MOVIMIENTOS!$A$5:$A$1005&lt;&gt;"")*(MOVIMIENTOS!$A$5:$A$1005&lt;=$A976)*MOVIMIENTOS!$E$5:$E$1005)-SUMPRODUCT((MOVIMIENTOS!$B$5:$B$1005="TRASIEGO")*(MOVIMIENTOS!$C$5:$C$1005="A")*(MOVIMIENTOS!$D$5:$D$1005="jabas")*(MOVIMIENTOS!$A$5:$A$1005&lt;&gt;"")*(MOVIMIENTOS!$A$5:$A$1005&lt;=$A976)*MOVIMIENTOS!$E$5:$E$1005)-SUMPRODUCT((MOVIMIENTOS!$B$5:$B$1005="REGALO")*(MOVIMIENTOS!$C$5:$C$1005="A")*(MOVIMIENTOS!$D$5:$D$1005="jabas")*(MOVIMIENTOS!$A$5:$A$1005&lt;&gt;"")*(MOVIMIENTOS!$A$5:$A$1005&lt;=$A976)*MOVIMIENTOS!$E$5:$E$1005)-SUMPRODUCT((MOVIMIENTOS!$B$5:$B$1005="VENTA")*(MOVIMIENTOS!$C$5:$C$1005="A")*(MOVIMIENTOS!$D$5:$D$1005="jabas")*(MOVIMIENTOS!$A$5:$A$1005&lt;&gt;"")*(MOVIMIENTOS!$A$5:$A$1005&lt;=$A976)*MOVIMIENTOS!$E$5:$E$1005)+SUMPRODUCT((MOVIMIENTOS!$B$5:$B$1005="AJUSTE")*(MOVIMIENTOS!$C$5:$C$1005="A")*(MOVIMIENTOS!$D$5:$D$1005="jabas")*(MOVIMIENTOS!$A$5:$A$1005&lt;&gt;"")*(MOVIMIENTOS!$A$5:$A$1005&lt;=$A976)*MOVIMIENTOS!$E$5:$E$1005))</f>
        <v/>
      </c>
      <c r="C976" t="str">
        <f>IF($A976="","",SUMPRODUCT((MOVIMIENTOS!$B$5:$B$1005="SALDO INICIAL")*(MOVIMIENTOS!$C$5:$C$1005="P")*(MOVIMIENTOS!$D$5:$D$1005="jabas")*(MOVIMIENTOS!$A$5:$A$1005&lt;&gt;"")*(MOVIMIENTOS!$A$5:$A$1005&lt;=$A976)*MOVIMIENTOS!$E$5:$E$1005)+SUMPRODUCT((MOVIMIENTOS!$B$5:$B$1005="PROCESO")*(MOVIMIENTOS!$C$5:$C$1005="P")*(MOVIMIENTOS!$D$5:$D$1005="jabas")*(MOVIMIENTOS!$A$5:$A$1005&lt;&gt;"")*(MOVIMIENTOS!$A$5:$A$1005&lt;=$A976)*MOVIMIENTOS!$E$5:$E$1005)-SUMPRODUCT((MOVIMIENTOS!$B$5:$B$1005="ENVÍO A SUPESA")*(MOVIMIENTOS!$C$5:$C$1005="P")*(MOVIMIENTOS!$D$5:$D$1005="jabas")*(MOVIMIENTOS!$A$5:$A$1005&lt;&gt;"")*(MOVIMIENTOS!$A$5:$A$1005&lt;=$A976)*MOVIMIENTOS!$E$5:$E$1005)+SUMPRODUCT((MOVIMIENTOS!$B$5:$B$1005="DEVOLUCIÓN")*(MOVIMIENTOS!$C$5:$C$1005="P")*(MOVIMIENTOS!$D$5:$D$1005="jabas")*(MOVIMIENTOS!$A$5:$A$1005&lt;&gt;"")*(MOVIMIENTOS!$A$5:$A$1005&lt;=$A976)*MOVIMIENTOS!$E$5:$E$1005)-SUMPRODUCT((MOVIMIENTOS!$B$5:$B$1005="TRASIEGO")*(MOVIMIENTOS!$C$5:$C$1005="P")*(MOVIMIENTOS!$D$5:$D$1005="jabas")*(MOVIMIENTOS!$A$5:$A$1005&lt;&gt;"")*(MOVIMIENTOS!$A$5:$A$1005&lt;=$A976)*MOVIMIENTOS!$E$5:$E$1005)-SUMPRODUCT((MOVIMIENTOS!$B$5:$B$1005="REGALO")*(MOVIMIENTOS!$C$5:$C$1005="P")*(MOVIMIENTOS!$D$5:$D$1005="jabas")*(MOVIMIENTOS!$A$5:$A$1005&lt;&gt;"")*(MOVIMIENTOS!$A$5:$A$1005&lt;=$A976)*MOVIMIENTOS!$E$5:$E$1005)-SUMPRODUCT((MOVIMIENTOS!$B$5:$B$1005="VENTA")*(MOVIMIENTOS!$C$5:$C$1005="P")*(MOVIMIENTOS!$D$5:$D$1005="jabas")*(MOVIMIENTOS!$A$5:$A$1005&lt;&gt;"")*(MOVIMIENTOS!$A$5:$A$1005&lt;=$A976)*MOVIMIENTOS!$E$5:$E$1005)+SUMPRODUCT((MOVIMIENTOS!$B$5:$B$1005="AJUSTE")*(MOVIMIENTOS!$C$5:$C$1005="P")*(MOVIMIENTOS!$D$5:$D$1005="jabas")*(MOVIMIENTOS!$A$5:$A$1005&lt;&gt;"")*(MOVIMIENTOS!$A$5:$A$1005&lt;=$A976)*MOVIMIENTOS!$E$5:$E$1005))</f>
        <v/>
      </c>
      <c r="D976" t="str">
        <f>IF($A976="","",SUMPRODUCT((MOVIMIENTOS!$B$5:$B$1005="SALDO INICIAL")*(MOVIMIENTOS!$C$5:$C$1005="C")*(MOVIMIENTOS!$D$5:$D$1005="jabas")*(MOVIMIENTOS!$A$5:$A$1005&lt;&gt;"")*(MOVIMIENTOS!$A$5:$A$1005&lt;=$A976)*MOVIMIENTOS!$E$5:$E$1005)+SUMPRODUCT((MOVIMIENTOS!$B$5:$B$1005="PROCESO")*(MOVIMIENTOS!$C$5:$C$1005="C")*(MOVIMIENTOS!$D$5:$D$1005="jabas")*(MOVIMIENTOS!$A$5:$A$1005&lt;&gt;"")*(MOVIMIENTOS!$A$5:$A$1005&lt;=$A976)*MOVIMIENTOS!$E$5:$E$1005)-SUMPRODUCT((MOVIMIENTOS!$B$5:$B$1005="ENVÍO A SUPESA")*(MOVIMIENTOS!$C$5:$C$1005="C")*(MOVIMIENTOS!$D$5:$D$1005="jabas")*(MOVIMIENTOS!$A$5:$A$1005&lt;&gt;"")*(MOVIMIENTOS!$A$5:$A$1005&lt;=$A976)*MOVIMIENTOS!$E$5:$E$1005)+SUMPRODUCT((MOVIMIENTOS!$B$5:$B$1005="DEVOLUCIÓN")*(MOVIMIENTOS!$C$5:$C$1005="C")*(MOVIMIENTOS!$D$5:$D$1005="jabas")*(MOVIMIENTOS!$A$5:$A$1005&lt;&gt;"")*(MOVIMIENTOS!$A$5:$A$1005&lt;=$A976)*MOVIMIENTOS!$E$5:$E$1005)-SUMPRODUCT((MOVIMIENTOS!$B$5:$B$1005="TRASIEGO")*(MOVIMIENTOS!$C$5:$C$1005="C")*(MOVIMIENTOS!$D$5:$D$1005="jabas")*(MOVIMIENTOS!$A$5:$A$1005&lt;&gt;"")*(MOVIMIENTOS!$A$5:$A$1005&lt;=$A976)*MOVIMIENTOS!$E$5:$E$1005)-SUMPRODUCT((MOVIMIENTOS!$B$5:$B$1005="REGALO")*(MOVIMIENTOS!$C$5:$C$1005="C")*(MOVIMIENTOS!$D$5:$D$1005="jabas")*(MOVIMIENTOS!$A$5:$A$1005&lt;&gt;"")*(MOVIMIENTOS!$A$5:$A$1005&lt;=$A976)*MOVIMIENTOS!$E$5:$E$1005)-SUMPRODUCT((MOVIMIENTOS!$B$5:$B$1005="VENTA")*(MOVIMIENTOS!$C$5:$C$1005="C")*(MOVIMIENTOS!$D$5:$D$1005="jabas")*(MOVIMIENTOS!$A$5:$A$1005&lt;&gt;"")*(MOVIMIENTOS!$A$5:$A$1005&lt;=$A976)*MOVIMIENTOS!$E$5:$E$1005)+SUMPRODUCT((MOVIMIENTOS!$B$5:$B$1005="AJUSTE")*(MOVIMIENTOS!$C$5:$C$1005="C")*(MOVIMIENTOS!$D$5:$D$1005="jabas")*(MOVIMIENTOS!$A$5:$A$1005&lt;&gt;"")*(MOVIMIENTOS!$A$5:$A$1005&lt;=$A976)*MOVIMIENTOS!$E$5:$E$1005))</f>
        <v/>
      </c>
      <c r="E976" t="str">
        <f>IF($A976="","",SUMPRODUCT((MOVIMIENTOS!$B$5:$B$1005="SALDO INICIAL")*(MOVIMIENTOS!$C$5:$C$1005="M")*(MOVIMIENTOS!$D$5:$D$1005="jabas")*(MOVIMIENTOS!$A$5:$A$1005&lt;&gt;"")*(MOVIMIENTOS!$A$5:$A$1005&lt;=$A976)*MOVIMIENTOS!$E$5:$E$1005)+SUMPRODUCT((MOVIMIENTOS!$B$5:$B$1005="PROCESO")*(MOVIMIENTOS!$C$5:$C$1005="M")*(MOVIMIENTOS!$D$5:$D$1005="jabas")*(MOVIMIENTOS!$A$5:$A$1005&lt;&gt;"")*(MOVIMIENTOS!$A$5:$A$1005&lt;=$A976)*MOVIMIENTOS!$E$5:$E$1005)-SUMPRODUCT((MOVIMIENTOS!$B$5:$B$1005="ENVÍO A SUPESA")*(MOVIMIENTOS!$C$5:$C$1005="M")*(MOVIMIENTOS!$D$5:$D$1005="jabas")*(MOVIMIENTOS!$A$5:$A$1005&lt;&gt;"")*(MOVIMIENTOS!$A$5:$A$1005&lt;=$A976)*MOVIMIENTOS!$E$5:$E$1005)+SUMPRODUCT((MOVIMIENTOS!$B$5:$B$1005="DEVOLUCIÓN")*(MOVIMIENTOS!$C$5:$C$1005="M")*(MOVIMIENTOS!$D$5:$D$1005="jabas")*(MOVIMIENTOS!$A$5:$A$1005&lt;&gt;"")*(MOVIMIENTOS!$A$5:$A$1005&lt;=$A976)*MOVIMIENTOS!$E$5:$E$1005)-SUMPRODUCT((MOVIMIENTOS!$B$5:$B$1005="TRASIEGO")*(MOVIMIENTOS!$C$5:$C$1005="M")*(MOVIMIENTOS!$D$5:$D$1005="jabas")*(MOVIMIENTOS!$A$5:$A$1005&lt;&gt;"")*(MOVIMIENTOS!$A$5:$A$1005&lt;=$A976)*MOVIMIENTOS!$E$5:$E$1005)-SUMPRODUCT((MOVIMIENTOS!$B$5:$B$1005="REGALO")*(MOVIMIENTOS!$C$5:$C$1005="M")*(MOVIMIENTOS!$D$5:$D$1005="jabas")*(MOVIMIENTOS!$A$5:$A$1005&lt;&gt;"")*(MOVIMIENTOS!$A$5:$A$1005&lt;=$A976)*MOVIMIENTOS!$E$5:$E$1005)-SUMPRODUCT((MOVIMIENTOS!$B$5:$B$1005="VENTA")*(MOVIMIENTOS!$C$5:$C$1005="M")*(MOVIMIENTOS!$D$5:$D$1005="jabas")*(MOVIMIENTOS!$A$5:$A$1005&lt;&gt;"")*(MOVIMIENTOS!$A$5:$A$1005&lt;=$A976)*MOVIMIENTOS!$E$5:$E$1005)+SUMPRODUCT((MOVIMIENTOS!$B$5:$B$1005="AJUSTE")*(MOVIMIENTOS!$C$5:$C$1005="M")*(MOVIMIENTOS!$D$5:$D$1005="jabas")*(MOVIMIENTOS!$A$5:$A$1005&lt;&gt;"")*(MOVIMIENTOS!$A$5:$A$1005&lt;=$A976)*MOVIMIENTOS!$E$5:$E$1005))</f>
        <v/>
      </c>
      <c r="F976" s="62" t="str">
        <f>IF($A976="","",SUMPRODUCT((MOVIMIENTOS!$B$5:$B$1005="SALDO INICIAL")*(MOVIMIENTOS!$C$5:$C$1005="Chancho")*(MOVIMIENTOS!$D$5:$D$1005="sacos")*(MOVIMIENTOS!$A$5:$A$1005&lt;&gt;"")*(MOVIMIENTOS!$A$5:$A$1005&lt;=$A976)*MOVIMIENTOS!$E$5:$E$1005)+SUMPRODUCT((MOVIMIENTOS!$B$5:$B$1005="PROCESO")*(MOVIMIENTOS!$C$5:$C$1005="Chancho")*(MOVIMIENTOS!$D$5:$D$1005="sacos")*(MOVIMIENTOS!$A$5:$A$1005&lt;&gt;"")*(MOVIMIENTOS!$A$5:$A$1005&lt;=$A976)*MOVIMIENTOS!$E$5:$E$1005)-SUMPRODUCT((MOVIMIENTOS!$B$5:$B$1005="VENTA CHANCHO")*(MOVIMIENTOS!$C$5:$C$1005="Chancho")*(MOVIMIENTOS!$D$5:$D$1005="sacos")*(MOVIMIENTOS!$A$5:$A$1005&lt;&gt;"")*(MOVIMIENTOS!$A$5:$A$1005&lt;=$A976)*MOVIMIENTOS!$E$5:$E$1005)-SUMPRODUCT((MOVIMIENTOS!$B$5:$B$1005="REGALO")*(MOVIMIENTOS!$C$5:$C$1005="Chancho")*(MOVIMIENTOS!$D$5:$D$1005="sacos")*(MOVIMIENTOS!$A$5:$A$1005&lt;&gt;"")*(MOVIMIENTOS!$A$5:$A$1005&lt;=$A976)*MOVIMIENTOS!$E$5:$E$1005)-SUMPRODUCT((MOVIMIENTOS!$B$5:$B$1005="VENTA")*(MOVIMIENTOS!$C$5:$C$1005="Chancho")*(MOVIMIENTOS!$D$5:$D$1005="sacos")*(MOVIMIENTOS!$A$5:$A$1005&lt;&gt;"")*(MOVIMIENTOS!$A$5:$A$1005&lt;=$A976)*MOVIMIENTOS!$E$5:$E$1005)+SUMPRODUCT((MOVIMIENTOS!$B$5:$B$1005="AJUSTE")*(MOVIMIENTOS!$C$5:$C$1005="Chancho")*(MOVIMIENTOS!$D$5:$D$1005="sacos")*(MOVIMIENTOS!$A$5:$A$1005&lt;&gt;"")*(MOVIMIENTOS!$A$5:$A$1005&lt;=$A976)*MOVIMIENTOS!$E$5:$E$1005))</f>
        <v/>
      </c>
      <c r="G976" s="62" t="str">
        <f t="shared" si="31"/>
        <v/>
      </c>
      <c r="H976" t="str">
        <f>IF($A976="","",SUMPRODUCT((((MOVIMIENTOS!$B$5:$B$1005="SALDO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976)*MOVIMIENTOS!$J$5:$J$1005))</f>
        <v/>
      </c>
      <c r="J976" t="str">
        <f>IF(AND(MOVIMIENTOS!$A981&lt;&gt;"",COUNTIF(MOVIMIENTOS!$A$5:$A980,MOVIMIENTOS!$A981)=0),COUNT(J$4:J975)+1,"")</f>
        <v/>
      </c>
      <c r="K976">
        <f>MOVIMIENTOS!$A981</f>
        <v>0</v>
      </c>
    </row>
    <row r="977" spans="1:11" ht="15" customHeight="1" x14ac:dyDescent="0.2">
      <c r="A977" t="str">
        <f t="shared" si="30"/>
        <v/>
      </c>
      <c r="B977" t="str">
        <f>IF($A977="","",SUMPRODUCT((MOVIMIENTOS!$B$5:$B$1005="SALDO INICIAL")*(MOVIMIENTOS!$C$5:$C$1005="A")*(MOVIMIENTOS!$D$5:$D$1005="jabas")*(MOVIMIENTOS!$A$5:$A$1005&lt;&gt;"")*(MOVIMIENTOS!$A$5:$A$1005&lt;=$A977)*MOVIMIENTOS!$E$5:$E$1005)+SUMPRODUCT((MOVIMIENTOS!$B$5:$B$1005="PROCESO")*(MOVIMIENTOS!$C$5:$C$1005="A")*(MOVIMIENTOS!$D$5:$D$1005="jabas")*(MOVIMIENTOS!$A$5:$A$1005&lt;&gt;"")*(MOVIMIENTOS!$A$5:$A$1005&lt;=$A977)*MOVIMIENTOS!$E$5:$E$1005)-SUMPRODUCT((MOVIMIENTOS!$B$5:$B$1005="ENVÍO A SUPESA")*(MOVIMIENTOS!$C$5:$C$1005="A")*(MOVIMIENTOS!$D$5:$D$1005="jabas")*(MOVIMIENTOS!$A$5:$A$1005&lt;&gt;"")*(MOVIMIENTOS!$A$5:$A$1005&lt;=$A977)*MOVIMIENTOS!$E$5:$E$1005)+SUMPRODUCT((MOVIMIENTOS!$B$5:$B$1005="DEVOLUCIÓN")*(MOVIMIENTOS!$C$5:$C$1005="A")*(MOVIMIENTOS!$D$5:$D$1005="jabas")*(MOVIMIENTOS!$A$5:$A$1005&lt;&gt;"")*(MOVIMIENTOS!$A$5:$A$1005&lt;=$A977)*MOVIMIENTOS!$E$5:$E$1005)-SUMPRODUCT((MOVIMIENTOS!$B$5:$B$1005="TRASIEGO")*(MOVIMIENTOS!$C$5:$C$1005="A")*(MOVIMIENTOS!$D$5:$D$1005="jabas")*(MOVIMIENTOS!$A$5:$A$1005&lt;&gt;"")*(MOVIMIENTOS!$A$5:$A$1005&lt;=$A977)*MOVIMIENTOS!$E$5:$E$1005)-SUMPRODUCT((MOVIMIENTOS!$B$5:$B$1005="REGALO")*(MOVIMIENTOS!$C$5:$C$1005="A")*(MOVIMIENTOS!$D$5:$D$1005="jabas")*(MOVIMIENTOS!$A$5:$A$1005&lt;&gt;"")*(MOVIMIENTOS!$A$5:$A$1005&lt;=$A977)*MOVIMIENTOS!$E$5:$E$1005)-SUMPRODUCT((MOVIMIENTOS!$B$5:$B$1005="VENTA")*(MOVIMIENTOS!$C$5:$C$1005="A")*(MOVIMIENTOS!$D$5:$D$1005="jabas")*(MOVIMIENTOS!$A$5:$A$1005&lt;&gt;"")*(MOVIMIENTOS!$A$5:$A$1005&lt;=$A977)*MOVIMIENTOS!$E$5:$E$1005)+SUMPRODUCT((MOVIMIENTOS!$B$5:$B$1005="AJUSTE")*(MOVIMIENTOS!$C$5:$C$1005="A")*(MOVIMIENTOS!$D$5:$D$1005="jabas")*(MOVIMIENTOS!$A$5:$A$1005&lt;&gt;"")*(MOVIMIENTOS!$A$5:$A$1005&lt;=$A977)*MOVIMIENTOS!$E$5:$E$1005))</f>
        <v/>
      </c>
      <c r="C977" t="str">
        <f>IF($A977="","",SUMPRODUCT((MOVIMIENTOS!$B$5:$B$1005="SALDO INICIAL")*(MOVIMIENTOS!$C$5:$C$1005="P")*(MOVIMIENTOS!$D$5:$D$1005="jabas")*(MOVIMIENTOS!$A$5:$A$1005&lt;&gt;"")*(MOVIMIENTOS!$A$5:$A$1005&lt;=$A977)*MOVIMIENTOS!$E$5:$E$1005)+SUMPRODUCT((MOVIMIENTOS!$B$5:$B$1005="PROCESO")*(MOVIMIENTOS!$C$5:$C$1005="P")*(MOVIMIENTOS!$D$5:$D$1005="jabas")*(MOVIMIENTOS!$A$5:$A$1005&lt;&gt;"")*(MOVIMIENTOS!$A$5:$A$1005&lt;=$A977)*MOVIMIENTOS!$E$5:$E$1005)-SUMPRODUCT((MOVIMIENTOS!$B$5:$B$1005="ENVÍO A SUPESA")*(MOVIMIENTOS!$C$5:$C$1005="P")*(MOVIMIENTOS!$D$5:$D$1005="jabas")*(MOVIMIENTOS!$A$5:$A$1005&lt;&gt;"")*(MOVIMIENTOS!$A$5:$A$1005&lt;=$A977)*MOVIMIENTOS!$E$5:$E$1005)+SUMPRODUCT((MOVIMIENTOS!$B$5:$B$1005="DEVOLUCIÓN")*(MOVIMIENTOS!$C$5:$C$1005="P")*(MOVIMIENTOS!$D$5:$D$1005="jabas")*(MOVIMIENTOS!$A$5:$A$1005&lt;&gt;"")*(MOVIMIENTOS!$A$5:$A$1005&lt;=$A977)*MOVIMIENTOS!$E$5:$E$1005)-SUMPRODUCT((MOVIMIENTOS!$B$5:$B$1005="TRASIEGO")*(MOVIMIENTOS!$C$5:$C$1005="P")*(MOVIMIENTOS!$D$5:$D$1005="jabas")*(MOVIMIENTOS!$A$5:$A$1005&lt;&gt;"")*(MOVIMIENTOS!$A$5:$A$1005&lt;=$A977)*MOVIMIENTOS!$E$5:$E$1005)-SUMPRODUCT((MOVIMIENTOS!$B$5:$B$1005="REGALO")*(MOVIMIENTOS!$C$5:$C$1005="P")*(MOVIMIENTOS!$D$5:$D$1005="jabas")*(MOVIMIENTOS!$A$5:$A$1005&lt;&gt;"")*(MOVIMIENTOS!$A$5:$A$1005&lt;=$A977)*MOVIMIENTOS!$E$5:$E$1005)-SUMPRODUCT((MOVIMIENTOS!$B$5:$B$1005="VENTA")*(MOVIMIENTOS!$C$5:$C$1005="P")*(MOVIMIENTOS!$D$5:$D$1005="jabas")*(MOVIMIENTOS!$A$5:$A$1005&lt;&gt;"")*(MOVIMIENTOS!$A$5:$A$1005&lt;=$A977)*MOVIMIENTOS!$E$5:$E$1005)+SUMPRODUCT((MOVIMIENTOS!$B$5:$B$1005="AJUSTE")*(MOVIMIENTOS!$C$5:$C$1005="P")*(MOVIMIENTOS!$D$5:$D$1005="jabas")*(MOVIMIENTOS!$A$5:$A$1005&lt;&gt;"")*(MOVIMIENTOS!$A$5:$A$1005&lt;=$A977)*MOVIMIENTOS!$E$5:$E$1005))</f>
        <v/>
      </c>
      <c r="D977" t="str">
        <f>IF($A977="","",SUMPRODUCT((MOVIMIENTOS!$B$5:$B$1005="SALDO INICIAL")*(MOVIMIENTOS!$C$5:$C$1005="C")*(MOVIMIENTOS!$D$5:$D$1005="jabas")*(MOVIMIENTOS!$A$5:$A$1005&lt;&gt;"")*(MOVIMIENTOS!$A$5:$A$1005&lt;=$A977)*MOVIMIENTOS!$E$5:$E$1005)+SUMPRODUCT((MOVIMIENTOS!$B$5:$B$1005="PROCESO")*(MOVIMIENTOS!$C$5:$C$1005="C")*(MOVIMIENTOS!$D$5:$D$1005="jabas")*(MOVIMIENTOS!$A$5:$A$1005&lt;&gt;"")*(MOVIMIENTOS!$A$5:$A$1005&lt;=$A977)*MOVIMIENTOS!$E$5:$E$1005)-SUMPRODUCT((MOVIMIENTOS!$B$5:$B$1005="ENVÍO A SUPESA")*(MOVIMIENTOS!$C$5:$C$1005="C")*(MOVIMIENTOS!$D$5:$D$1005="jabas")*(MOVIMIENTOS!$A$5:$A$1005&lt;&gt;"")*(MOVIMIENTOS!$A$5:$A$1005&lt;=$A977)*MOVIMIENTOS!$E$5:$E$1005)+SUMPRODUCT((MOVIMIENTOS!$B$5:$B$1005="DEVOLUCIÓN")*(MOVIMIENTOS!$C$5:$C$1005="C")*(MOVIMIENTOS!$D$5:$D$1005="jabas")*(MOVIMIENTOS!$A$5:$A$1005&lt;&gt;"")*(MOVIMIENTOS!$A$5:$A$1005&lt;=$A977)*MOVIMIENTOS!$E$5:$E$1005)-SUMPRODUCT((MOVIMIENTOS!$B$5:$B$1005="TRASIEGO")*(MOVIMIENTOS!$C$5:$C$1005="C")*(MOVIMIENTOS!$D$5:$D$1005="jabas")*(MOVIMIENTOS!$A$5:$A$1005&lt;&gt;"")*(MOVIMIENTOS!$A$5:$A$1005&lt;=$A977)*MOVIMIENTOS!$E$5:$E$1005)-SUMPRODUCT((MOVIMIENTOS!$B$5:$B$1005="REGALO")*(MOVIMIENTOS!$C$5:$C$1005="C")*(MOVIMIENTOS!$D$5:$D$1005="jabas")*(MOVIMIENTOS!$A$5:$A$1005&lt;&gt;"")*(MOVIMIENTOS!$A$5:$A$1005&lt;=$A977)*MOVIMIENTOS!$E$5:$E$1005)-SUMPRODUCT((MOVIMIENTOS!$B$5:$B$1005="VENTA")*(MOVIMIENTOS!$C$5:$C$1005="C")*(MOVIMIENTOS!$D$5:$D$1005="jabas")*(MOVIMIENTOS!$A$5:$A$1005&lt;&gt;"")*(MOVIMIENTOS!$A$5:$A$1005&lt;=$A977)*MOVIMIENTOS!$E$5:$E$1005)+SUMPRODUCT((MOVIMIENTOS!$B$5:$B$1005="AJUSTE")*(MOVIMIENTOS!$C$5:$C$1005="C")*(MOVIMIENTOS!$D$5:$D$1005="jabas")*(MOVIMIENTOS!$A$5:$A$1005&lt;&gt;"")*(MOVIMIENTOS!$A$5:$A$1005&lt;=$A977)*MOVIMIENTOS!$E$5:$E$1005))</f>
        <v/>
      </c>
      <c r="E977" t="str">
        <f>IF($A977="","",SUMPRODUCT((MOVIMIENTOS!$B$5:$B$1005="SALDO INICIAL")*(MOVIMIENTOS!$C$5:$C$1005="M")*(MOVIMIENTOS!$D$5:$D$1005="jabas")*(MOVIMIENTOS!$A$5:$A$1005&lt;&gt;"")*(MOVIMIENTOS!$A$5:$A$1005&lt;=$A977)*MOVIMIENTOS!$E$5:$E$1005)+SUMPRODUCT((MOVIMIENTOS!$B$5:$B$1005="PROCESO")*(MOVIMIENTOS!$C$5:$C$1005="M")*(MOVIMIENTOS!$D$5:$D$1005="jabas")*(MOVIMIENTOS!$A$5:$A$1005&lt;&gt;"")*(MOVIMIENTOS!$A$5:$A$1005&lt;=$A977)*MOVIMIENTOS!$E$5:$E$1005)-SUMPRODUCT((MOVIMIENTOS!$B$5:$B$1005="ENVÍO A SUPESA")*(MOVIMIENTOS!$C$5:$C$1005="M")*(MOVIMIENTOS!$D$5:$D$1005="jabas")*(MOVIMIENTOS!$A$5:$A$1005&lt;&gt;"")*(MOVIMIENTOS!$A$5:$A$1005&lt;=$A977)*MOVIMIENTOS!$E$5:$E$1005)+SUMPRODUCT((MOVIMIENTOS!$B$5:$B$1005="DEVOLUCIÓN")*(MOVIMIENTOS!$C$5:$C$1005="M")*(MOVIMIENTOS!$D$5:$D$1005="jabas")*(MOVIMIENTOS!$A$5:$A$1005&lt;&gt;"")*(MOVIMIENTOS!$A$5:$A$1005&lt;=$A977)*MOVIMIENTOS!$E$5:$E$1005)-SUMPRODUCT((MOVIMIENTOS!$B$5:$B$1005="TRASIEGO")*(MOVIMIENTOS!$C$5:$C$1005="M")*(MOVIMIENTOS!$D$5:$D$1005="jabas")*(MOVIMIENTOS!$A$5:$A$1005&lt;&gt;"")*(MOVIMIENTOS!$A$5:$A$1005&lt;=$A977)*MOVIMIENTOS!$E$5:$E$1005)-SUMPRODUCT((MOVIMIENTOS!$B$5:$B$1005="REGALO")*(MOVIMIENTOS!$C$5:$C$1005="M")*(MOVIMIENTOS!$D$5:$D$1005="jabas")*(MOVIMIENTOS!$A$5:$A$1005&lt;&gt;"")*(MOVIMIENTOS!$A$5:$A$1005&lt;=$A977)*MOVIMIENTOS!$E$5:$E$1005)-SUMPRODUCT((MOVIMIENTOS!$B$5:$B$1005="VENTA")*(MOVIMIENTOS!$C$5:$C$1005="M")*(MOVIMIENTOS!$D$5:$D$1005="jabas")*(MOVIMIENTOS!$A$5:$A$1005&lt;&gt;"")*(MOVIMIENTOS!$A$5:$A$1005&lt;=$A977)*MOVIMIENTOS!$E$5:$E$1005)+SUMPRODUCT((MOVIMIENTOS!$B$5:$B$1005="AJUSTE")*(MOVIMIENTOS!$C$5:$C$1005="M")*(MOVIMIENTOS!$D$5:$D$1005="jabas")*(MOVIMIENTOS!$A$5:$A$1005&lt;&gt;"")*(MOVIMIENTOS!$A$5:$A$1005&lt;=$A977)*MOVIMIENTOS!$E$5:$E$1005))</f>
        <v/>
      </c>
      <c r="F977" s="62" t="str">
        <f>IF($A977="","",SUMPRODUCT((MOVIMIENTOS!$B$5:$B$1005="SALDO INICIAL")*(MOVIMIENTOS!$C$5:$C$1005="Chancho")*(MOVIMIENTOS!$D$5:$D$1005="sacos")*(MOVIMIENTOS!$A$5:$A$1005&lt;&gt;"")*(MOVIMIENTOS!$A$5:$A$1005&lt;=$A977)*MOVIMIENTOS!$E$5:$E$1005)+SUMPRODUCT((MOVIMIENTOS!$B$5:$B$1005="PROCESO")*(MOVIMIENTOS!$C$5:$C$1005="Chancho")*(MOVIMIENTOS!$D$5:$D$1005="sacos")*(MOVIMIENTOS!$A$5:$A$1005&lt;&gt;"")*(MOVIMIENTOS!$A$5:$A$1005&lt;=$A977)*MOVIMIENTOS!$E$5:$E$1005)-SUMPRODUCT((MOVIMIENTOS!$B$5:$B$1005="VENTA CHANCHO")*(MOVIMIENTOS!$C$5:$C$1005="Chancho")*(MOVIMIENTOS!$D$5:$D$1005="sacos")*(MOVIMIENTOS!$A$5:$A$1005&lt;&gt;"")*(MOVIMIENTOS!$A$5:$A$1005&lt;=$A977)*MOVIMIENTOS!$E$5:$E$1005)-SUMPRODUCT((MOVIMIENTOS!$B$5:$B$1005="REGALO")*(MOVIMIENTOS!$C$5:$C$1005="Chancho")*(MOVIMIENTOS!$D$5:$D$1005="sacos")*(MOVIMIENTOS!$A$5:$A$1005&lt;&gt;"")*(MOVIMIENTOS!$A$5:$A$1005&lt;=$A977)*MOVIMIENTOS!$E$5:$E$1005)-SUMPRODUCT((MOVIMIENTOS!$B$5:$B$1005="VENTA")*(MOVIMIENTOS!$C$5:$C$1005="Chancho")*(MOVIMIENTOS!$D$5:$D$1005="sacos")*(MOVIMIENTOS!$A$5:$A$1005&lt;&gt;"")*(MOVIMIENTOS!$A$5:$A$1005&lt;=$A977)*MOVIMIENTOS!$E$5:$E$1005)+SUMPRODUCT((MOVIMIENTOS!$B$5:$B$1005="AJUSTE")*(MOVIMIENTOS!$C$5:$C$1005="Chancho")*(MOVIMIENTOS!$D$5:$D$1005="sacos")*(MOVIMIENTOS!$A$5:$A$1005&lt;&gt;"")*(MOVIMIENTOS!$A$5:$A$1005&lt;=$A977)*MOVIMIENTOS!$E$5:$E$1005))</f>
        <v/>
      </c>
      <c r="G977" s="62" t="str">
        <f t="shared" si="31"/>
        <v/>
      </c>
      <c r="H977" t="str">
        <f>IF($A977="","",SUMPRODUCT((((MOVIMIENTOS!$B$5:$B$1005="SALDO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977)*MOVIMIENTOS!$J$5:$J$1005))</f>
        <v/>
      </c>
      <c r="J977" t="str">
        <f>IF(AND(MOVIMIENTOS!$A982&lt;&gt;"",COUNTIF(MOVIMIENTOS!$A$5:$A981,MOVIMIENTOS!$A982)=0),COUNT(J$4:J976)+1,"")</f>
        <v/>
      </c>
      <c r="K977">
        <f>MOVIMIENTOS!$A982</f>
        <v>0</v>
      </c>
    </row>
    <row r="978" spans="1:11" ht="15" customHeight="1" x14ac:dyDescent="0.2">
      <c r="A978" t="str">
        <f t="shared" si="30"/>
        <v/>
      </c>
      <c r="B978" t="str">
        <f>IF($A978="","",SUMPRODUCT((MOVIMIENTOS!$B$5:$B$1005="SALDO INICIAL")*(MOVIMIENTOS!$C$5:$C$1005="A")*(MOVIMIENTOS!$D$5:$D$1005="jabas")*(MOVIMIENTOS!$A$5:$A$1005&lt;&gt;"")*(MOVIMIENTOS!$A$5:$A$1005&lt;=$A978)*MOVIMIENTOS!$E$5:$E$1005)+SUMPRODUCT((MOVIMIENTOS!$B$5:$B$1005="PROCESO")*(MOVIMIENTOS!$C$5:$C$1005="A")*(MOVIMIENTOS!$D$5:$D$1005="jabas")*(MOVIMIENTOS!$A$5:$A$1005&lt;&gt;"")*(MOVIMIENTOS!$A$5:$A$1005&lt;=$A978)*MOVIMIENTOS!$E$5:$E$1005)-SUMPRODUCT((MOVIMIENTOS!$B$5:$B$1005="ENVÍO A SUPESA")*(MOVIMIENTOS!$C$5:$C$1005="A")*(MOVIMIENTOS!$D$5:$D$1005="jabas")*(MOVIMIENTOS!$A$5:$A$1005&lt;&gt;"")*(MOVIMIENTOS!$A$5:$A$1005&lt;=$A978)*MOVIMIENTOS!$E$5:$E$1005)+SUMPRODUCT((MOVIMIENTOS!$B$5:$B$1005="DEVOLUCIÓN")*(MOVIMIENTOS!$C$5:$C$1005="A")*(MOVIMIENTOS!$D$5:$D$1005="jabas")*(MOVIMIENTOS!$A$5:$A$1005&lt;&gt;"")*(MOVIMIENTOS!$A$5:$A$1005&lt;=$A978)*MOVIMIENTOS!$E$5:$E$1005)-SUMPRODUCT((MOVIMIENTOS!$B$5:$B$1005="TRASIEGO")*(MOVIMIENTOS!$C$5:$C$1005="A")*(MOVIMIENTOS!$D$5:$D$1005="jabas")*(MOVIMIENTOS!$A$5:$A$1005&lt;&gt;"")*(MOVIMIENTOS!$A$5:$A$1005&lt;=$A978)*MOVIMIENTOS!$E$5:$E$1005)-SUMPRODUCT((MOVIMIENTOS!$B$5:$B$1005="REGALO")*(MOVIMIENTOS!$C$5:$C$1005="A")*(MOVIMIENTOS!$D$5:$D$1005="jabas")*(MOVIMIENTOS!$A$5:$A$1005&lt;&gt;"")*(MOVIMIENTOS!$A$5:$A$1005&lt;=$A978)*MOVIMIENTOS!$E$5:$E$1005)-SUMPRODUCT((MOVIMIENTOS!$B$5:$B$1005="VENTA")*(MOVIMIENTOS!$C$5:$C$1005="A")*(MOVIMIENTOS!$D$5:$D$1005="jabas")*(MOVIMIENTOS!$A$5:$A$1005&lt;&gt;"")*(MOVIMIENTOS!$A$5:$A$1005&lt;=$A978)*MOVIMIENTOS!$E$5:$E$1005)+SUMPRODUCT((MOVIMIENTOS!$B$5:$B$1005="AJUSTE")*(MOVIMIENTOS!$C$5:$C$1005="A")*(MOVIMIENTOS!$D$5:$D$1005="jabas")*(MOVIMIENTOS!$A$5:$A$1005&lt;&gt;"")*(MOVIMIENTOS!$A$5:$A$1005&lt;=$A978)*MOVIMIENTOS!$E$5:$E$1005))</f>
        <v/>
      </c>
      <c r="C978" t="str">
        <f>IF($A978="","",SUMPRODUCT((MOVIMIENTOS!$B$5:$B$1005="SALDO INICIAL")*(MOVIMIENTOS!$C$5:$C$1005="P")*(MOVIMIENTOS!$D$5:$D$1005="jabas")*(MOVIMIENTOS!$A$5:$A$1005&lt;&gt;"")*(MOVIMIENTOS!$A$5:$A$1005&lt;=$A978)*MOVIMIENTOS!$E$5:$E$1005)+SUMPRODUCT((MOVIMIENTOS!$B$5:$B$1005="PROCESO")*(MOVIMIENTOS!$C$5:$C$1005="P")*(MOVIMIENTOS!$D$5:$D$1005="jabas")*(MOVIMIENTOS!$A$5:$A$1005&lt;&gt;"")*(MOVIMIENTOS!$A$5:$A$1005&lt;=$A978)*MOVIMIENTOS!$E$5:$E$1005)-SUMPRODUCT((MOVIMIENTOS!$B$5:$B$1005="ENVÍO A SUPESA")*(MOVIMIENTOS!$C$5:$C$1005="P")*(MOVIMIENTOS!$D$5:$D$1005="jabas")*(MOVIMIENTOS!$A$5:$A$1005&lt;&gt;"")*(MOVIMIENTOS!$A$5:$A$1005&lt;=$A978)*MOVIMIENTOS!$E$5:$E$1005)+SUMPRODUCT((MOVIMIENTOS!$B$5:$B$1005="DEVOLUCIÓN")*(MOVIMIENTOS!$C$5:$C$1005="P")*(MOVIMIENTOS!$D$5:$D$1005="jabas")*(MOVIMIENTOS!$A$5:$A$1005&lt;&gt;"")*(MOVIMIENTOS!$A$5:$A$1005&lt;=$A978)*MOVIMIENTOS!$E$5:$E$1005)-SUMPRODUCT((MOVIMIENTOS!$B$5:$B$1005="TRASIEGO")*(MOVIMIENTOS!$C$5:$C$1005="P")*(MOVIMIENTOS!$D$5:$D$1005="jabas")*(MOVIMIENTOS!$A$5:$A$1005&lt;&gt;"")*(MOVIMIENTOS!$A$5:$A$1005&lt;=$A978)*MOVIMIENTOS!$E$5:$E$1005)-SUMPRODUCT((MOVIMIENTOS!$B$5:$B$1005="REGALO")*(MOVIMIENTOS!$C$5:$C$1005="P")*(MOVIMIENTOS!$D$5:$D$1005="jabas")*(MOVIMIENTOS!$A$5:$A$1005&lt;&gt;"")*(MOVIMIENTOS!$A$5:$A$1005&lt;=$A978)*MOVIMIENTOS!$E$5:$E$1005)-SUMPRODUCT((MOVIMIENTOS!$B$5:$B$1005="VENTA")*(MOVIMIENTOS!$C$5:$C$1005="P")*(MOVIMIENTOS!$D$5:$D$1005="jabas")*(MOVIMIENTOS!$A$5:$A$1005&lt;&gt;"")*(MOVIMIENTOS!$A$5:$A$1005&lt;=$A978)*MOVIMIENTOS!$E$5:$E$1005)+SUMPRODUCT((MOVIMIENTOS!$B$5:$B$1005="AJUSTE")*(MOVIMIENTOS!$C$5:$C$1005="P")*(MOVIMIENTOS!$D$5:$D$1005="jabas")*(MOVIMIENTOS!$A$5:$A$1005&lt;&gt;"")*(MOVIMIENTOS!$A$5:$A$1005&lt;=$A978)*MOVIMIENTOS!$E$5:$E$1005))</f>
        <v/>
      </c>
      <c r="D978" t="str">
        <f>IF($A978="","",SUMPRODUCT((MOVIMIENTOS!$B$5:$B$1005="SALDO INICIAL")*(MOVIMIENTOS!$C$5:$C$1005="C")*(MOVIMIENTOS!$D$5:$D$1005="jabas")*(MOVIMIENTOS!$A$5:$A$1005&lt;&gt;"")*(MOVIMIENTOS!$A$5:$A$1005&lt;=$A978)*MOVIMIENTOS!$E$5:$E$1005)+SUMPRODUCT((MOVIMIENTOS!$B$5:$B$1005="PROCESO")*(MOVIMIENTOS!$C$5:$C$1005="C")*(MOVIMIENTOS!$D$5:$D$1005="jabas")*(MOVIMIENTOS!$A$5:$A$1005&lt;&gt;"")*(MOVIMIENTOS!$A$5:$A$1005&lt;=$A978)*MOVIMIENTOS!$E$5:$E$1005)-SUMPRODUCT((MOVIMIENTOS!$B$5:$B$1005="ENVÍO A SUPESA")*(MOVIMIENTOS!$C$5:$C$1005="C")*(MOVIMIENTOS!$D$5:$D$1005="jabas")*(MOVIMIENTOS!$A$5:$A$1005&lt;&gt;"")*(MOVIMIENTOS!$A$5:$A$1005&lt;=$A978)*MOVIMIENTOS!$E$5:$E$1005)+SUMPRODUCT((MOVIMIENTOS!$B$5:$B$1005="DEVOLUCIÓN")*(MOVIMIENTOS!$C$5:$C$1005="C")*(MOVIMIENTOS!$D$5:$D$1005="jabas")*(MOVIMIENTOS!$A$5:$A$1005&lt;&gt;"")*(MOVIMIENTOS!$A$5:$A$1005&lt;=$A978)*MOVIMIENTOS!$E$5:$E$1005)-SUMPRODUCT((MOVIMIENTOS!$B$5:$B$1005="TRASIEGO")*(MOVIMIENTOS!$C$5:$C$1005="C")*(MOVIMIENTOS!$D$5:$D$1005="jabas")*(MOVIMIENTOS!$A$5:$A$1005&lt;&gt;"")*(MOVIMIENTOS!$A$5:$A$1005&lt;=$A978)*MOVIMIENTOS!$E$5:$E$1005)-SUMPRODUCT((MOVIMIENTOS!$B$5:$B$1005="REGALO")*(MOVIMIENTOS!$C$5:$C$1005="C")*(MOVIMIENTOS!$D$5:$D$1005="jabas")*(MOVIMIENTOS!$A$5:$A$1005&lt;&gt;"")*(MOVIMIENTOS!$A$5:$A$1005&lt;=$A978)*MOVIMIENTOS!$E$5:$E$1005)-SUMPRODUCT((MOVIMIENTOS!$B$5:$B$1005="VENTA")*(MOVIMIENTOS!$C$5:$C$1005="C")*(MOVIMIENTOS!$D$5:$D$1005="jabas")*(MOVIMIENTOS!$A$5:$A$1005&lt;&gt;"")*(MOVIMIENTOS!$A$5:$A$1005&lt;=$A978)*MOVIMIENTOS!$E$5:$E$1005)+SUMPRODUCT((MOVIMIENTOS!$B$5:$B$1005="AJUSTE")*(MOVIMIENTOS!$C$5:$C$1005="C")*(MOVIMIENTOS!$D$5:$D$1005="jabas")*(MOVIMIENTOS!$A$5:$A$1005&lt;&gt;"")*(MOVIMIENTOS!$A$5:$A$1005&lt;=$A978)*MOVIMIENTOS!$E$5:$E$1005))</f>
        <v/>
      </c>
      <c r="E978" t="str">
        <f>IF($A978="","",SUMPRODUCT((MOVIMIENTOS!$B$5:$B$1005="SALDO INICIAL")*(MOVIMIENTOS!$C$5:$C$1005="M")*(MOVIMIENTOS!$D$5:$D$1005="jabas")*(MOVIMIENTOS!$A$5:$A$1005&lt;&gt;"")*(MOVIMIENTOS!$A$5:$A$1005&lt;=$A978)*MOVIMIENTOS!$E$5:$E$1005)+SUMPRODUCT((MOVIMIENTOS!$B$5:$B$1005="PROCESO")*(MOVIMIENTOS!$C$5:$C$1005="M")*(MOVIMIENTOS!$D$5:$D$1005="jabas")*(MOVIMIENTOS!$A$5:$A$1005&lt;&gt;"")*(MOVIMIENTOS!$A$5:$A$1005&lt;=$A978)*MOVIMIENTOS!$E$5:$E$1005)-SUMPRODUCT((MOVIMIENTOS!$B$5:$B$1005="ENVÍO A SUPESA")*(MOVIMIENTOS!$C$5:$C$1005="M")*(MOVIMIENTOS!$D$5:$D$1005="jabas")*(MOVIMIENTOS!$A$5:$A$1005&lt;&gt;"")*(MOVIMIENTOS!$A$5:$A$1005&lt;=$A978)*MOVIMIENTOS!$E$5:$E$1005)+SUMPRODUCT((MOVIMIENTOS!$B$5:$B$1005="DEVOLUCIÓN")*(MOVIMIENTOS!$C$5:$C$1005="M")*(MOVIMIENTOS!$D$5:$D$1005="jabas")*(MOVIMIENTOS!$A$5:$A$1005&lt;&gt;"")*(MOVIMIENTOS!$A$5:$A$1005&lt;=$A978)*MOVIMIENTOS!$E$5:$E$1005)-SUMPRODUCT((MOVIMIENTOS!$B$5:$B$1005="TRASIEGO")*(MOVIMIENTOS!$C$5:$C$1005="M")*(MOVIMIENTOS!$D$5:$D$1005="jabas")*(MOVIMIENTOS!$A$5:$A$1005&lt;&gt;"")*(MOVIMIENTOS!$A$5:$A$1005&lt;=$A978)*MOVIMIENTOS!$E$5:$E$1005)-SUMPRODUCT((MOVIMIENTOS!$B$5:$B$1005="REGALO")*(MOVIMIENTOS!$C$5:$C$1005="M")*(MOVIMIENTOS!$D$5:$D$1005="jabas")*(MOVIMIENTOS!$A$5:$A$1005&lt;&gt;"")*(MOVIMIENTOS!$A$5:$A$1005&lt;=$A978)*MOVIMIENTOS!$E$5:$E$1005)-SUMPRODUCT((MOVIMIENTOS!$B$5:$B$1005="VENTA")*(MOVIMIENTOS!$C$5:$C$1005="M")*(MOVIMIENTOS!$D$5:$D$1005="jabas")*(MOVIMIENTOS!$A$5:$A$1005&lt;&gt;"")*(MOVIMIENTOS!$A$5:$A$1005&lt;=$A978)*MOVIMIENTOS!$E$5:$E$1005)+SUMPRODUCT((MOVIMIENTOS!$B$5:$B$1005="AJUSTE")*(MOVIMIENTOS!$C$5:$C$1005="M")*(MOVIMIENTOS!$D$5:$D$1005="jabas")*(MOVIMIENTOS!$A$5:$A$1005&lt;&gt;"")*(MOVIMIENTOS!$A$5:$A$1005&lt;=$A978)*MOVIMIENTOS!$E$5:$E$1005))</f>
        <v/>
      </c>
      <c r="F978" s="62" t="str">
        <f>IF($A978="","",SUMPRODUCT((MOVIMIENTOS!$B$5:$B$1005="SALDO INICIAL")*(MOVIMIENTOS!$C$5:$C$1005="Chancho")*(MOVIMIENTOS!$D$5:$D$1005="sacos")*(MOVIMIENTOS!$A$5:$A$1005&lt;&gt;"")*(MOVIMIENTOS!$A$5:$A$1005&lt;=$A978)*MOVIMIENTOS!$E$5:$E$1005)+SUMPRODUCT((MOVIMIENTOS!$B$5:$B$1005="PROCESO")*(MOVIMIENTOS!$C$5:$C$1005="Chancho")*(MOVIMIENTOS!$D$5:$D$1005="sacos")*(MOVIMIENTOS!$A$5:$A$1005&lt;&gt;"")*(MOVIMIENTOS!$A$5:$A$1005&lt;=$A978)*MOVIMIENTOS!$E$5:$E$1005)-SUMPRODUCT((MOVIMIENTOS!$B$5:$B$1005="VENTA CHANCHO")*(MOVIMIENTOS!$C$5:$C$1005="Chancho")*(MOVIMIENTOS!$D$5:$D$1005="sacos")*(MOVIMIENTOS!$A$5:$A$1005&lt;&gt;"")*(MOVIMIENTOS!$A$5:$A$1005&lt;=$A978)*MOVIMIENTOS!$E$5:$E$1005)-SUMPRODUCT((MOVIMIENTOS!$B$5:$B$1005="REGALO")*(MOVIMIENTOS!$C$5:$C$1005="Chancho")*(MOVIMIENTOS!$D$5:$D$1005="sacos")*(MOVIMIENTOS!$A$5:$A$1005&lt;&gt;"")*(MOVIMIENTOS!$A$5:$A$1005&lt;=$A978)*MOVIMIENTOS!$E$5:$E$1005)-SUMPRODUCT((MOVIMIENTOS!$B$5:$B$1005="VENTA")*(MOVIMIENTOS!$C$5:$C$1005="Chancho")*(MOVIMIENTOS!$D$5:$D$1005="sacos")*(MOVIMIENTOS!$A$5:$A$1005&lt;&gt;"")*(MOVIMIENTOS!$A$5:$A$1005&lt;=$A978)*MOVIMIENTOS!$E$5:$E$1005)+SUMPRODUCT((MOVIMIENTOS!$B$5:$B$1005="AJUSTE")*(MOVIMIENTOS!$C$5:$C$1005="Chancho")*(MOVIMIENTOS!$D$5:$D$1005="sacos")*(MOVIMIENTOS!$A$5:$A$1005&lt;&gt;"")*(MOVIMIENTOS!$A$5:$A$1005&lt;=$A978)*MOVIMIENTOS!$E$5:$E$1005))</f>
        <v/>
      </c>
      <c r="G978" s="62" t="str">
        <f t="shared" si="31"/>
        <v/>
      </c>
      <c r="H978" t="str">
        <f>IF($A978="","",SUMPRODUCT((((MOVIMIENTOS!$B$5:$B$1005="SALDO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978)*MOVIMIENTOS!$J$5:$J$1005))</f>
        <v/>
      </c>
      <c r="J978" t="str">
        <f>IF(AND(MOVIMIENTOS!$A983&lt;&gt;"",COUNTIF(MOVIMIENTOS!$A$5:$A982,MOVIMIENTOS!$A983)=0),COUNT(J$4:J977)+1,"")</f>
        <v/>
      </c>
      <c r="K978">
        <f>MOVIMIENTOS!$A983</f>
        <v>0</v>
      </c>
    </row>
    <row r="979" spans="1:11" ht="15" customHeight="1" x14ac:dyDescent="0.2">
      <c r="A979" t="str">
        <f t="shared" si="30"/>
        <v/>
      </c>
      <c r="B979" t="str">
        <f>IF($A979="","",SUMPRODUCT((MOVIMIENTOS!$B$5:$B$1005="SALDO INICIAL")*(MOVIMIENTOS!$C$5:$C$1005="A")*(MOVIMIENTOS!$D$5:$D$1005="jabas")*(MOVIMIENTOS!$A$5:$A$1005&lt;&gt;"")*(MOVIMIENTOS!$A$5:$A$1005&lt;=$A979)*MOVIMIENTOS!$E$5:$E$1005)+SUMPRODUCT((MOVIMIENTOS!$B$5:$B$1005="PROCESO")*(MOVIMIENTOS!$C$5:$C$1005="A")*(MOVIMIENTOS!$D$5:$D$1005="jabas")*(MOVIMIENTOS!$A$5:$A$1005&lt;&gt;"")*(MOVIMIENTOS!$A$5:$A$1005&lt;=$A979)*MOVIMIENTOS!$E$5:$E$1005)-SUMPRODUCT((MOVIMIENTOS!$B$5:$B$1005="ENVÍO A SUPESA")*(MOVIMIENTOS!$C$5:$C$1005="A")*(MOVIMIENTOS!$D$5:$D$1005="jabas")*(MOVIMIENTOS!$A$5:$A$1005&lt;&gt;"")*(MOVIMIENTOS!$A$5:$A$1005&lt;=$A979)*MOVIMIENTOS!$E$5:$E$1005)+SUMPRODUCT((MOVIMIENTOS!$B$5:$B$1005="DEVOLUCIÓN")*(MOVIMIENTOS!$C$5:$C$1005="A")*(MOVIMIENTOS!$D$5:$D$1005="jabas")*(MOVIMIENTOS!$A$5:$A$1005&lt;&gt;"")*(MOVIMIENTOS!$A$5:$A$1005&lt;=$A979)*MOVIMIENTOS!$E$5:$E$1005)-SUMPRODUCT((MOVIMIENTOS!$B$5:$B$1005="TRASIEGO")*(MOVIMIENTOS!$C$5:$C$1005="A")*(MOVIMIENTOS!$D$5:$D$1005="jabas")*(MOVIMIENTOS!$A$5:$A$1005&lt;&gt;"")*(MOVIMIENTOS!$A$5:$A$1005&lt;=$A979)*MOVIMIENTOS!$E$5:$E$1005)-SUMPRODUCT((MOVIMIENTOS!$B$5:$B$1005="REGALO")*(MOVIMIENTOS!$C$5:$C$1005="A")*(MOVIMIENTOS!$D$5:$D$1005="jabas")*(MOVIMIENTOS!$A$5:$A$1005&lt;&gt;"")*(MOVIMIENTOS!$A$5:$A$1005&lt;=$A979)*MOVIMIENTOS!$E$5:$E$1005)-SUMPRODUCT((MOVIMIENTOS!$B$5:$B$1005="VENTA")*(MOVIMIENTOS!$C$5:$C$1005="A")*(MOVIMIENTOS!$D$5:$D$1005="jabas")*(MOVIMIENTOS!$A$5:$A$1005&lt;&gt;"")*(MOVIMIENTOS!$A$5:$A$1005&lt;=$A979)*MOVIMIENTOS!$E$5:$E$1005)+SUMPRODUCT((MOVIMIENTOS!$B$5:$B$1005="AJUSTE")*(MOVIMIENTOS!$C$5:$C$1005="A")*(MOVIMIENTOS!$D$5:$D$1005="jabas")*(MOVIMIENTOS!$A$5:$A$1005&lt;&gt;"")*(MOVIMIENTOS!$A$5:$A$1005&lt;=$A979)*MOVIMIENTOS!$E$5:$E$1005))</f>
        <v/>
      </c>
      <c r="C979" t="str">
        <f>IF($A979="","",SUMPRODUCT((MOVIMIENTOS!$B$5:$B$1005="SALDO INICIAL")*(MOVIMIENTOS!$C$5:$C$1005="P")*(MOVIMIENTOS!$D$5:$D$1005="jabas")*(MOVIMIENTOS!$A$5:$A$1005&lt;&gt;"")*(MOVIMIENTOS!$A$5:$A$1005&lt;=$A979)*MOVIMIENTOS!$E$5:$E$1005)+SUMPRODUCT((MOVIMIENTOS!$B$5:$B$1005="PROCESO")*(MOVIMIENTOS!$C$5:$C$1005="P")*(MOVIMIENTOS!$D$5:$D$1005="jabas")*(MOVIMIENTOS!$A$5:$A$1005&lt;&gt;"")*(MOVIMIENTOS!$A$5:$A$1005&lt;=$A979)*MOVIMIENTOS!$E$5:$E$1005)-SUMPRODUCT((MOVIMIENTOS!$B$5:$B$1005="ENVÍO A SUPESA")*(MOVIMIENTOS!$C$5:$C$1005="P")*(MOVIMIENTOS!$D$5:$D$1005="jabas")*(MOVIMIENTOS!$A$5:$A$1005&lt;&gt;"")*(MOVIMIENTOS!$A$5:$A$1005&lt;=$A979)*MOVIMIENTOS!$E$5:$E$1005)+SUMPRODUCT((MOVIMIENTOS!$B$5:$B$1005="DEVOLUCIÓN")*(MOVIMIENTOS!$C$5:$C$1005="P")*(MOVIMIENTOS!$D$5:$D$1005="jabas")*(MOVIMIENTOS!$A$5:$A$1005&lt;&gt;"")*(MOVIMIENTOS!$A$5:$A$1005&lt;=$A979)*MOVIMIENTOS!$E$5:$E$1005)-SUMPRODUCT((MOVIMIENTOS!$B$5:$B$1005="TRASIEGO")*(MOVIMIENTOS!$C$5:$C$1005="P")*(MOVIMIENTOS!$D$5:$D$1005="jabas")*(MOVIMIENTOS!$A$5:$A$1005&lt;&gt;"")*(MOVIMIENTOS!$A$5:$A$1005&lt;=$A979)*MOVIMIENTOS!$E$5:$E$1005)-SUMPRODUCT((MOVIMIENTOS!$B$5:$B$1005="REGALO")*(MOVIMIENTOS!$C$5:$C$1005="P")*(MOVIMIENTOS!$D$5:$D$1005="jabas")*(MOVIMIENTOS!$A$5:$A$1005&lt;&gt;"")*(MOVIMIENTOS!$A$5:$A$1005&lt;=$A979)*MOVIMIENTOS!$E$5:$E$1005)-SUMPRODUCT((MOVIMIENTOS!$B$5:$B$1005="VENTA")*(MOVIMIENTOS!$C$5:$C$1005="P")*(MOVIMIENTOS!$D$5:$D$1005="jabas")*(MOVIMIENTOS!$A$5:$A$1005&lt;&gt;"")*(MOVIMIENTOS!$A$5:$A$1005&lt;=$A979)*MOVIMIENTOS!$E$5:$E$1005)+SUMPRODUCT((MOVIMIENTOS!$B$5:$B$1005="AJUSTE")*(MOVIMIENTOS!$C$5:$C$1005="P")*(MOVIMIENTOS!$D$5:$D$1005="jabas")*(MOVIMIENTOS!$A$5:$A$1005&lt;&gt;"")*(MOVIMIENTOS!$A$5:$A$1005&lt;=$A979)*MOVIMIENTOS!$E$5:$E$1005))</f>
        <v/>
      </c>
      <c r="D979" t="str">
        <f>IF($A979="","",SUMPRODUCT((MOVIMIENTOS!$B$5:$B$1005="SALDO INICIAL")*(MOVIMIENTOS!$C$5:$C$1005="C")*(MOVIMIENTOS!$D$5:$D$1005="jabas")*(MOVIMIENTOS!$A$5:$A$1005&lt;&gt;"")*(MOVIMIENTOS!$A$5:$A$1005&lt;=$A979)*MOVIMIENTOS!$E$5:$E$1005)+SUMPRODUCT((MOVIMIENTOS!$B$5:$B$1005="PROCESO")*(MOVIMIENTOS!$C$5:$C$1005="C")*(MOVIMIENTOS!$D$5:$D$1005="jabas")*(MOVIMIENTOS!$A$5:$A$1005&lt;&gt;"")*(MOVIMIENTOS!$A$5:$A$1005&lt;=$A979)*MOVIMIENTOS!$E$5:$E$1005)-SUMPRODUCT((MOVIMIENTOS!$B$5:$B$1005="ENVÍO A SUPESA")*(MOVIMIENTOS!$C$5:$C$1005="C")*(MOVIMIENTOS!$D$5:$D$1005="jabas")*(MOVIMIENTOS!$A$5:$A$1005&lt;&gt;"")*(MOVIMIENTOS!$A$5:$A$1005&lt;=$A979)*MOVIMIENTOS!$E$5:$E$1005)+SUMPRODUCT((MOVIMIENTOS!$B$5:$B$1005="DEVOLUCIÓN")*(MOVIMIENTOS!$C$5:$C$1005="C")*(MOVIMIENTOS!$D$5:$D$1005="jabas")*(MOVIMIENTOS!$A$5:$A$1005&lt;&gt;"")*(MOVIMIENTOS!$A$5:$A$1005&lt;=$A979)*MOVIMIENTOS!$E$5:$E$1005)-SUMPRODUCT((MOVIMIENTOS!$B$5:$B$1005="TRASIEGO")*(MOVIMIENTOS!$C$5:$C$1005="C")*(MOVIMIENTOS!$D$5:$D$1005="jabas")*(MOVIMIENTOS!$A$5:$A$1005&lt;&gt;"")*(MOVIMIENTOS!$A$5:$A$1005&lt;=$A979)*MOVIMIENTOS!$E$5:$E$1005)-SUMPRODUCT((MOVIMIENTOS!$B$5:$B$1005="REGALO")*(MOVIMIENTOS!$C$5:$C$1005="C")*(MOVIMIENTOS!$D$5:$D$1005="jabas")*(MOVIMIENTOS!$A$5:$A$1005&lt;&gt;"")*(MOVIMIENTOS!$A$5:$A$1005&lt;=$A979)*MOVIMIENTOS!$E$5:$E$1005)-SUMPRODUCT((MOVIMIENTOS!$B$5:$B$1005="VENTA")*(MOVIMIENTOS!$C$5:$C$1005="C")*(MOVIMIENTOS!$D$5:$D$1005="jabas")*(MOVIMIENTOS!$A$5:$A$1005&lt;&gt;"")*(MOVIMIENTOS!$A$5:$A$1005&lt;=$A979)*MOVIMIENTOS!$E$5:$E$1005)+SUMPRODUCT((MOVIMIENTOS!$B$5:$B$1005="AJUSTE")*(MOVIMIENTOS!$C$5:$C$1005="C")*(MOVIMIENTOS!$D$5:$D$1005="jabas")*(MOVIMIENTOS!$A$5:$A$1005&lt;&gt;"")*(MOVIMIENTOS!$A$5:$A$1005&lt;=$A979)*MOVIMIENTOS!$E$5:$E$1005))</f>
        <v/>
      </c>
      <c r="E979" t="str">
        <f>IF($A979="","",SUMPRODUCT((MOVIMIENTOS!$B$5:$B$1005="SALDO INICIAL")*(MOVIMIENTOS!$C$5:$C$1005="M")*(MOVIMIENTOS!$D$5:$D$1005="jabas")*(MOVIMIENTOS!$A$5:$A$1005&lt;&gt;"")*(MOVIMIENTOS!$A$5:$A$1005&lt;=$A979)*MOVIMIENTOS!$E$5:$E$1005)+SUMPRODUCT((MOVIMIENTOS!$B$5:$B$1005="PROCESO")*(MOVIMIENTOS!$C$5:$C$1005="M")*(MOVIMIENTOS!$D$5:$D$1005="jabas")*(MOVIMIENTOS!$A$5:$A$1005&lt;&gt;"")*(MOVIMIENTOS!$A$5:$A$1005&lt;=$A979)*MOVIMIENTOS!$E$5:$E$1005)-SUMPRODUCT((MOVIMIENTOS!$B$5:$B$1005="ENVÍO A SUPESA")*(MOVIMIENTOS!$C$5:$C$1005="M")*(MOVIMIENTOS!$D$5:$D$1005="jabas")*(MOVIMIENTOS!$A$5:$A$1005&lt;&gt;"")*(MOVIMIENTOS!$A$5:$A$1005&lt;=$A979)*MOVIMIENTOS!$E$5:$E$1005)+SUMPRODUCT((MOVIMIENTOS!$B$5:$B$1005="DEVOLUCIÓN")*(MOVIMIENTOS!$C$5:$C$1005="M")*(MOVIMIENTOS!$D$5:$D$1005="jabas")*(MOVIMIENTOS!$A$5:$A$1005&lt;&gt;"")*(MOVIMIENTOS!$A$5:$A$1005&lt;=$A979)*MOVIMIENTOS!$E$5:$E$1005)-SUMPRODUCT((MOVIMIENTOS!$B$5:$B$1005="TRASIEGO")*(MOVIMIENTOS!$C$5:$C$1005="M")*(MOVIMIENTOS!$D$5:$D$1005="jabas")*(MOVIMIENTOS!$A$5:$A$1005&lt;&gt;"")*(MOVIMIENTOS!$A$5:$A$1005&lt;=$A979)*MOVIMIENTOS!$E$5:$E$1005)-SUMPRODUCT((MOVIMIENTOS!$B$5:$B$1005="REGALO")*(MOVIMIENTOS!$C$5:$C$1005="M")*(MOVIMIENTOS!$D$5:$D$1005="jabas")*(MOVIMIENTOS!$A$5:$A$1005&lt;&gt;"")*(MOVIMIENTOS!$A$5:$A$1005&lt;=$A979)*MOVIMIENTOS!$E$5:$E$1005)-SUMPRODUCT((MOVIMIENTOS!$B$5:$B$1005="VENTA")*(MOVIMIENTOS!$C$5:$C$1005="M")*(MOVIMIENTOS!$D$5:$D$1005="jabas")*(MOVIMIENTOS!$A$5:$A$1005&lt;&gt;"")*(MOVIMIENTOS!$A$5:$A$1005&lt;=$A979)*MOVIMIENTOS!$E$5:$E$1005)+SUMPRODUCT((MOVIMIENTOS!$B$5:$B$1005="AJUSTE")*(MOVIMIENTOS!$C$5:$C$1005="M")*(MOVIMIENTOS!$D$5:$D$1005="jabas")*(MOVIMIENTOS!$A$5:$A$1005&lt;&gt;"")*(MOVIMIENTOS!$A$5:$A$1005&lt;=$A979)*MOVIMIENTOS!$E$5:$E$1005))</f>
        <v/>
      </c>
      <c r="F979" s="62" t="str">
        <f>IF($A979="","",SUMPRODUCT((MOVIMIENTOS!$B$5:$B$1005="SALDO INICIAL")*(MOVIMIENTOS!$C$5:$C$1005="Chancho")*(MOVIMIENTOS!$D$5:$D$1005="sacos")*(MOVIMIENTOS!$A$5:$A$1005&lt;&gt;"")*(MOVIMIENTOS!$A$5:$A$1005&lt;=$A979)*MOVIMIENTOS!$E$5:$E$1005)+SUMPRODUCT((MOVIMIENTOS!$B$5:$B$1005="PROCESO")*(MOVIMIENTOS!$C$5:$C$1005="Chancho")*(MOVIMIENTOS!$D$5:$D$1005="sacos")*(MOVIMIENTOS!$A$5:$A$1005&lt;&gt;"")*(MOVIMIENTOS!$A$5:$A$1005&lt;=$A979)*MOVIMIENTOS!$E$5:$E$1005)-SUMPRODUCT((MOVIMIENTOS!$B$5:$B$1005="VENTA CHANCHO")*(MOVIMIENTOS!$C$5:$C$1005="Chancho")*(MOVIMIENTOS!$D$5:$D$1005="sacos")*(MOVIMIENTOS!$A$5:$A$1005&lt;&gt;"")*(MOVIMIENTOS!$A$5:$A$1005&lt;=$A979)*MOVIMIENTOS!$E$5:$E$1005)-SUMPRODUCT((MOVIMIENTOS!$B$5:$B$1005="REGALO")*(MOVIMIENTOS!$C$5:$C$1005="Chancho")*(MOVIMIENTOS!$D$5:$D$1005="sacos")*(MOVIMIENTOS!$A$5:$A$1005&lt;&gt;"")*(MOVIMIENTOS!$A$5:$A$1005&lt;=$A979)*MOVIMIENTOS!$E$5:$E$1005)-SUMPRODUCT((MOVIMIENTOS!$B$5:$B$1005="VENTA")*(MOVIMIENTOS!$C$5:$C$1005="Chancho")*(MOVIMIENTOS!$D$5:$D$1005="sacos")*(MOVIMIENTOS!$A$5:$A$1005&lt;&gt;"")*(MOVIMIENTOS!$A$5:$A$1005&lt;=$A979)*MOVIMIENTOS!$E$5:$E$1005)+SUMPRODUCT((MOVIMIENTOS!$B$5:$B$1005="AJUSTE")*(MOVIMIENTOS!$C$5:$C$1005="Chancho")*(MOVIMIENTOS!$D$5:$D$1005="sacos")*(MOVIMIENTOS!$A$5:$A$1005&lt;&gt;"")*(MOVIMIENTOS!$A$5:$A$1005&lt;=$A979)*MOVIMIENTOS!$E$5:$E$1005))</f>
        <v/>
      </c>
      <c r="G979" s="62" t="str">
        <f t="shared" si="31"/>
        <v/>
      </c>
      <c r="H979" t="str">
        <f>IF($A979="","",SUMPRODUCT((((MOVIMIENTOS!$B$5:$B$1005="SALDO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979)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979)*MOVIMIENTOS!$J$5:$J$1005))</f>
        <v/>
      </c>
      <c r="J979" t="str">
        <f>IF(AND(MOVIMIENTOS!$A984&lt;&gt;"",COUNTIF(MOVIMIENTOS!$A$5:$A983,MOVIMIENTOS!$A984)=0),COUNT(J$4:J978)+1,"")</f>
        <v/>
      </c>
      <c r="K979">
        <f>MOVIMIENTOS!$A984</f>
        <v>0</v>
      </c>
    </row>
    <row r="980" spans="1:11" ht="15" customHeight="1" x14ac:dyDescent="0.2">
      <c r="A980" t="str">
        <f t="shared" si="30"/>
        <v/>
      </c>
      <c r="B980" t="str">
        <f>IF($A980="","",SUMPRODUCT((MOVIMIENTOS!$B$5:$B$1005="SALDO INICIAL")*(MOVIMIENTOS!$C$5:$C$1005="A")*(MOVIMIENTOS!$D$5:$D$1005="jabas")*(MOVIMIENTOS!$A$5:$A$1005&lt;&gt;"")*(MOVIMIENTOS!$A$5:$A$1005&lt;=$A980)*MOVIMIENTOS!$E$5:$E$1005)+SUMPRODUCT((MOVIMIENTOS!$B$5:$B$1005="PROCESO")*(MOVIMIENTOS!$C$5:$C$1005="A")*(MOVIMIENTOS!$D$5:$D$1005="jabas")*(MOVIMIENTOS!$A$5:$A$1005&lt;&gt;"")*(MOVIMIENTOS!$A$5:$A$1005&lt;=$A980)*MOVIMIENTOS!$E$5:$E$1005)-SUMPRODUCT((MOVIMIENTOS!$B$5:$B$1005="ENVÍO A SUPESA")*(MOVIMIENTOS!$C$5:$C$1005="A")*(MOVIMIENTOS!$D$5:$D$1005="jabas")*(MOVIMIENTOS!$A$5:$A$1005&lt;&gt;"")*(MOVIMIENTOS!$A$5:$A$1005&lt;=$A980)*MOVIMIENTOS!$E$5:$E$1005)+SUMPRODUCT((MOVIMIENTOS!$B$5:$B$1005="DEVOLUCIÓN")*(MOVIMIENTOS!$C$5:$C$1005="A")*(MOVIMIENTOS!$D$5:$D$1005="jabas")*(MOVIMIENTOS!$A$5:$A$1005&lt;&gt;"")*(MOVIMIENTOS!$A$5:$A$1005&lt;=$A980)*MOVIMIENTOS!$E$5:$E$1005)-SUMPRODUCT((MOVIMIENTOS!$B$5:$B$1005="TRASIEGO")*(MOVIMIENTOS!$C$5:$C$1005="A")*(MOVIMIENTOS!$D$5:$D$1005="jabas")*(MOVIMIENTOS!$A$5:$A$1005&lt;&gt;"")*(MOVIMIENTOS!$A$5:$A$1005&lt;=$A980)*MOVIMIENTOS!$E$5:$E$1005)-SUMPRODUCT((MOVIMIENTOS!$B$5:$B$1005="REGALO")*(MOVIMIENTOS!$C$5:$C$1005="A")*(MOVIMIENTOS!$D$5:$D$1005="jabas")*(MOVIMIENTOS!$A$5:$A$1005&lt;&gt;"")*(MOVIMIENTOS!$A$5:$A$1005&lt;=$A980)*MOVIMIENTOS!$E$5:$E$1005)-SUMPRODUCT((MOVIMIENTOS!$B$5:$B$1005="VENTA")*(MOVIMIENTOS!$C$5:$C$1005="A")*(MOVIMIENTOS!$D$5:$D$1005="jabas")*(MOVIMIENTOS!$A$5:$A$1005&lt;&gt;"")*(MOVIMIENTOS!$A$5:$A$1005&lt;=$A980)*MOVIMIENTOS!$E$5:$E$1005)+SUMPRODUCT((MOVIMIENTOS!$B$5:$B$1005="AJUSTE")*(MOVIMIENTOS!$C$5:$C$1005="A")*(MOVIMIENTOS!$D$5:$D$1005="jabas")*(MOVIMIENTOS!$A$5:$A$1005&lt;&gt;"")*(MOVIMIENTOS!$A$5:$A$1005&lt;=$A980)*MOVIMIENTOS!$E$5:$E$1005))</f>
        <v/>
      </c>
      <c r="C980" t="str">
        <f>IF($A980="","",SUMPRODUCT((MOVIMIENTOS!$B$5:$B$1005="SALDO INICIAL")*(MOVIMIENTOS!$C$5:$C$1005="P")*(MOVIMIENTOS!$D$5:$D$1005="jabas")*(MOVIMIENTOS!$A$5:$A$1005&lt;&gt;"")*(MOVIMIENTOS!$A$5:$A$1005&lt;=$A980)*MOVIMIENTOS!$E$5:$E$1005)+SUMPRODUCT((MOVIMIENTOS!$B$5:$B$1005="PROCESO")*(MOVIMIENTOS!$C$5:$C$1005="P")*(MOVIMIENTOS!$D$5:$D$1005="jabas")*(MOVIMIENTOS!$A$5:$A$1005&lt;&gt;"")*(MOVIMIENTOS!$A$5:$A$1005&lt;=$A980)*MOVIMIENTOS!$E$5:$E$1005)-SUMPRODUCT((MOVIMIENTOS!$B$5:$B$1005="ENVÍO A SUPESA")*(MOVIMIENTOS!$C$5:$C$1005="P")*(MOVIMIENTOS!$D$5:$D$1005="jabas")*(MOVIMIENTOS!$A$5:$A$1005&lt;&gt;"")*(MOVIMIENTOS!$A$5:$A$1005&lt;=$A980)*MOVIMIENTOS!$E$5:$E$1005)+SUMPRODUCT((MOVIMIENTOS!$B$5:$B$1005="DEVOLUCIÓN")*(MOVIMIENTOS!$C$5:$C$1005="P")*(MOVIMIENTOS!$D$5:$D$1005="jabas")*(MOVIMIENTOS!$A$5:$A$1005&lt;&gt;"")*(MOVIMIENTOS!$A$5:$A$1005&lt;=$A980)*MOVIMIENTOS!$E$5:$E$1005)-SUMPRODUCT((MOVIMIENTOS!$B$5:$B$1005="TRASIEGO")*(MOVIMIENTOS!$C$5:$C$1005="P")*(MOVIMIENTOS!$D$5:$D$1005="jabas")*(MOVIMIENTOS!$A$5:$A$1005&lt;&gt;"")*(MOVIMIENTOS!$A$5:$A$1005&lt;=$A980)*MOVIMIENTOS!$E$5:$E$1005)-SUMPRODUCT((MOVIMIENTOS!$B$5:$B$1005="REGALO")*(MOVIMIENTOS!$C$5:$C$1005="P")*(MOVIMIENTOS!$D$5:$D$1005="jabas")*(MOVIMIENTOS!$A$5:$A$1005&lt;&gt;"")*(MOVIMIENTOS!$A$5:$A$1005&lt;=$A980)*MOVIMIENTOS!$E$5:$E$1005)-SUMPRODUCT((MOVIMIENTOS!$B$5:$B$1005="VENTA")*(MOVIMIENTOS!$C$5:$C$1005="P")*(MOVIMIENTOS!$D$5:$D$1005="jabas")*(MOVIMIENTOS!$A$5:$A$1005&lt;&gt;"")*(MOVIMIENTOS!$A$5:$A$1005&lt;=$A980)*MOVIMIENTOS!$E$5:$E$1005)+SUMPRODUCT((MOVIMIENTOS!$B$5:$B$1005="AJUSTE")*(MOVIMIENTOS!$C$5:$C$1005="P")*(MOVIMIENTOS!$D$5:$D$1005="jabas")*(MOVIMIENTOS!$A$5:$A$1005&lt;&gt;"")*(MOVIMIENTOS!$A$5:$A$1005&lt;=$A980)*MOVIMIENTOS!$E$5:$E$1005))</f>
        <v/>
      </c>
      <c r="D980" t="str">
        <f>IF($A980="","",SUMPRODUCT((MOVIMIENTOS!$B$5:$B$1005="SALDO INICIAL")*(MOVIMIENTOS!$C$5:$C$1005="C")*(MOVIMIENTOS!$D$5:$D$1005="jabas")*(MOVIMIENTOS!$A$5:$A$1005&lt;&gt;"")*(MOVIMIENTOS!$A$5:$A$1005&lt;=$A980)*MOVIMIENTOS!$E$5:$E$1005)+SUMPRODUCT((MOVIMIENTOS!$B$5:$B$1005="PROCESO")*(MOVIMIENTOS!$C$5:$C$1005="C")*(MOVIMIENTOS!$D$5:$D$1005="jabas")*(MOVIMIENTOS!$A$5:$A$1005&lt;&gt;"")*(MOVIMIENTOS!$A$5:$A$1005&lt;=$A980)*MOVIMIENTOS!$E$5:$E$1005)-SUMPRODUCT((MOVIMIENTOS!$B$5:$B$1005="ENVÍO A SUPESA")*(MOVIMIENTOS!$C$5:$C$1005="C")*(MOVIMIENTOS!$D$5:$D$1005="jabas")*(MOVIMIENTOS!$A$5:$A$1005&lt;&gt;"")*(MOVIMIENTOS!$A$5:$A$1005&lt;=$A980)*MOVIMIENTOS!$E$5:$E$1005)+SUMPRODUCT((MOVIMIENTOS!$B$5:$B$1005="DEVOLUCIÓN")*(MOVIMIENTOS!$C$5:$C$1005="C")*(MOVIMIENTOS!$D$5:$D$1005="jabas")*(MOVIMIENTOS!$A$5:$A$1005&lt;&gt;"")*(MOVIMIENTOS!$A$5:$A$1005&lt;=$A980)*MOVIMIENTOS!$E$5:$E$1005)-SUMPRODUCT((MOVIMIENTOS!$B$5:$B$1005="TRASIEGO")*(MOVIMIENTOS!$C$5:$C$1005="C")*(MOVIMIENTOS!$D$5:$D$1005="jabas")*(MOVIMIENTOS!$A$5:$A$1005&lt;&gt;"")*(MOVIMIENTOS!$A$5:$A$1005&lt;=$A980)*MOVIMIENTOS!$E$5:$E$1005)-SUMPRODUCT((MOVIMIENTOS!$B$5:$B$1005="REGALO")*(MOVIMIENTOS!$C$5:$C$1005="C")*(MOVIMIENTOS!$D$5:$D$1005="jabas")*(MOVIMIENTOS!$A$5:$A$1005&lt;&gt;"")*(MOVIMIENTOS!$A$5:$A$1005&lt;=$A980)*MOVIMIENTOS!$E$5:$E$1005)-SUMPRODUCT((MOVIMIENTOS!$B$5:$B$1005="VENTA")*(MOVIMIENTOS!$C$5:$C$1005="C")*(MOVIMIENTOS!$D$5:$D$1005="jabas")*(MOVIMIENTOS!$A$5:$A$1005&lt;&gt;"")*(MOVIMIENTOS!$A$5:$A$1005&lt;=$A980)*MOVIMIENTOS!$E$5:$E$1005)+SUMPRODUCT((MOVIMIENTOS!$B$5:$B$1005="AJUSTE")*(MOVIMIENTOS!$C$5:$C$1005="C")*(MOVIMIENTOS!$D$5:$D$1005="jabas")*(MOVIMIENTOS!$A$5:$A$1005&lt;&gt;"")*(MOVIMIENTOS!$A$5:$A$1005&lt;=$A980)*MOVIMIENTOS!$E$5:$E$1005))</f>
        <v/>
      </c>
      <c r="E980" t="str">
        <f>IF($A980="","",SUMPRODUCT((MOVIMIENTOS!$B$5:$B$1005="SALDO INICIAL")*(MOVIMIENTOS!$C$5:$C$1005="M")*(MOVIMIENTOS!$D$5:$D$1005="jabas")*(MOVIMIENTOS!$A$5:$A$1005&lt;&gt;"")*(MOVIMIENTOS!$A$5:$A$1005&lt;=$A980)*MOVIMIENTOS!$E$5:$E$1005)+SUMPRODUCT((MOVIMIENTOS!$B$5:$B$1005="PROCESO")*(MOVIMIENTOS!$C$5:$C$1005="M")*(MOVIMIENTOS!$D$5:$D$1005="jabas")*(MOVIMIENTOS!$A$5:$A$1005&lt;&gt;"")*(MOVIMIENTOS!$A$5:$A$1005&lt;=$A980)*MOVIMIENTOS!$E$5:$E$1005)-SUMPRODUCT((MOVIMIENTOS!$B$5:$B$1005="ENVÍO A SUPESA")*(MOVIMIENTOS!$C$5:$C$1005="M")*(MOVIMIENTOS!$D$5:$D$1005="jabas")*(MOVIMIENTOS!$A$5:$A$1005&lt;&gt;"")*(MOVIMIENTOS!$A$5:$A$1005&lt;=$A980)*MOVIMIENTOS!$E$5:$E$1005)+SUMPRODUCT((MOVIMIENTOS!$B$5:$B$1005="DEVOLUCIÓN")*(MOVIMIENTOS!$C$5:$C$1005="M")*(MOVIMIENTOS!$D$5:$D$1005="jabas")*(MOVIMIENTOS!$A$5:$A$1005&lt;&gt;"")*(MOVIMIENTOS!$A$5:$A$1005&lt;=$A980)*MOVIMIENTOS!$E$5:$E$1005)-SUMPRODUCT((MOVIMIENTOS!$B$5:$B$1005="TRASIEGO")*(MOVIMIENTOS!$C$5:$C$1005="M")*(MOVIMIENTOS!$D$5:$D$1005="jabas")*(MOVIMIENTOS!$A$5:$A$1005&lt;&gt;"")*(MOVIMIENTOS!$A$5:$A$1005&lt;=$A980)*MOVIMIENTOS!$E$5:$E$1005)-SUMPRODUCT((MOVIMIENTOS!$B$5:$B$1005="REGALO")*(MOVIMIENTOS!$C$5:$C$1005="M")*(MOVIMIENTOS!$D$5:$D$1005="jabas")*(MOVIMIENTOS!$A$5:$A$1005&lt;&gt;"")*(MOVIMIENTOS!$A$5:$A$1005&lt;=$A980)*MOVIMIENTOS!$E$5:$E$1005)-SUMPRODUCT((MOVIMIENTOS!$B$5:$B$1005="VENTA")*(MOVIMIENTOS!$C$5:$C$1005="M")*(MOVIMIENTOS!$D$5:$D$1005="jabas")*(MOVIMIENTOS!$A$5:$A$1005&lt;&gt;"")*(MOVIMIENTOS!$A$5:$A$1005&lt;=$A980)*MOVIMIENTOS!$E$5:$E$1005)+SUMPRODUCT((MOVIMIENTOS!$B$5:$B$1005="AJUSTE")*(MOVIMIENTOS!$C$5:$C$1005="M")*(MOVIMIENTOS!$D$5:$D$1005="jabas")*(MOVIMIENTOS!$A$5:$A$1005&lt;&gt;"")*(MOVIMIENTOS!$A$5:$A$1005&lt;=$A980)*MOVIMIENTOS!$E$5:$E$1005))</f>
        <v/>
      </c>
      <c r="F980" s="62" t="str">
        <f>IF($A980="","",SUMPRODUCT((MOVIMIENTOS!$B$5:$B$1005="SALDO INICIAL")*(MOVIMIENTOS!$C$5:$C$1005="Chancho")*(MOVIMIENTOS!$D$5:$D$1005="sacos")*(MOVIMIENTOS!$A$5:$A$1005&lt;&gt;"")*(MOVIMIENTOS!$A$5:$A$1005&lt;=$A980)*MOVIMIENTOS!$E$5:$E$1005)+SUMPRODUCT((MOVIMIENTOS!$B$5:$B$1005="PROCESO")*(MOVIMIENTOS!$C$5:$C$1005="Chancho")*(MOVIMIENTOS!$D$5:$D$1005="sacos")*(MOVIMIENTOS!$A$5:$A$1005&lt;&gt;"")*(MOVIMIENTOS!$A$5:$A$1005&lt;=$A980)*MOVIMIENTOS!$E$5:$E$1005)-SUMPRODUCT((MOVIMIENTOS!$B$5:$B$1005="VENTA CHANCHO")*(MOVIMIENTOS!$C$5:$C$1005="Chancho")*(MOVIMIENTOS!$D$5:$D$1005="sacos")*(MOVIMIENTOS!$A$5:$A$1005&lt;&gt;"")*(MOVIMIENTOS!$A$5:$A$1005&lt;=$A980)*MOVIMIENTOS!$E$5:$E$1005)-SUMPRODUCT((MOVIMIENTOS!$B$5:$B$1005="REGALO")*(MOVIMIENTOS!$C$5:$C$1005="Chancho")*(MOVIMIENTOS!$D$5:$D$1005="sacos")*(MOVIMIENTOS!$A$5:$A$1005&lt;&gt;"")*(MOVIMIENTOS!$A$5:$A$1005&lt;=$A980)*MOVIMIENTOS!$E$5:$E$1005)-SUMPRODUCT((MOVIMIENTOS!$B$5:$B$1005="VENTA")*(MOVIMIENTOS!$C$5:$C$1005="Chancho")*(MOVIMIENTOS!$D$5:$D$1005="sacos")*(MOVIMIENTOS!$A$5:$A$1005&lt;&gt;"")*(MOVIMIENTOS!$A$5:$A$1005&lt;=$A980)*MOVIMIENTOS!$E$5:$E$1005)+SUMPRODUCT((MOVIMIENTOS!$B$5:$B$1005="AJUSTE")*(MOVIMIENTOS!$C$5:$C$1005="Chancho")*(MOVIMIENTOS!$D$5:$D$1005="sacos")*(MOVIMIENTOS!$A$5:$A$1005&lt;&gt;"")*(MOVIMIENTOS!$A$5:$A$1005&lt;=$A980)*MOVIMIENTOS!$E$5:$E$1005))</f>
        <v/>
      </c>
      <c r="G980" s="62" t="str">
        <f t="shared" si="31"/>
        <v/>
      </c>
      <c r="H980" t="str">
        <f>IF($A980="","",SUMPRODUCT((((MOVIMIENTOS!$B$5:$B$1005="SALDO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980)*MOVIMIENTOS!$J$5:$J$1005))</f>
        <v/>
      </c>
      <c r="J980" t="str">
        <f>IF(AND(MOVIMIENTOS!$A985&lt;&gt;"",COUNTIF(MOVIMIENTOS!$A$5:$A984,MOVIMIENTOS!$A985)=0),COUNT(J$4:J979)+1,"")</f>
        <v/>
      </c>
      <c r="K980">
        <f>MOVIMIENTOS!$A985</f>
        <v>0</v>
      </c>
    </row>
    <row r="981" spans="1:11" ht="15" customHeight="1" x14ac:dyDescent="0.2">
      <c r="A981" t="str">
        <f t="shared" si="30"/>
        <v/>
      </c>
      <c r="B981" t="str">
        <f>IF($A981="","",SUMPRODUCT((MOVIMIENTOS!$B$5:$B$1005="SALDO INICIAL")*(MOVIMIENTOS!$C$5:$C$1005="A")*(MOVIMIENTOS!$D$5:$D$1005="jabas")*(MOVIMIENTOS!$A$5:$A$1005&lt;&gt;"")*(MOVIMIENTOS!$A$5:$A$1005&lt;=$A981)*MOVIMIENTOS!$E$5:$E$1005)+SUMPRODUCT((MOVIMIENTOS!$B$5:$B$1005="PROCESO")*(MOVIMIENTOS!$C$5:$C$1005="A")*(MOVIMIENTOS!$D$5:$D$1005="jabas")*(MOVIMIENTOS!$A$5:$A$1005&lt;&gt;"")*(MOVIMIENTOS!$A$5:$A$1005&lt;=$A981)*MOVIMIENTOS!$E$5:$E$1005)-SUMPRODUCT((MOVIMIENTOS!$B$5:$B$1005="ENVÍO A SUPESA")*(MOVIMIENTOS!$C$5:$C$1005="A")*(MOVIMIENTOS!$D$5:$D$1005="jabas")*(MOVIMIENTOS!$A$5:$A$1005&lt;&gt;"")*(MOVIMIENTOS!$A$5:$A$1005&lt;=$A981)*MOVIMIENTOS!$E$5:$E$1005)+SUMPRODUCT((MOVIMIENTOS!$B$5:$B$1005="DEVOLUCIÓN")*(MOVIMIENTOS!$C$5:$C$1005="A")*(MOVIMIENTOS!$D$5:$D$1005="jabas")*(MOVIMIENTOS!$A$5:$A$1005&lt;&gt;"")*(MOVIMIENTOS!$A$5:$A$1005&lt;=$A981)*MOVIMIENTOS!$E$5:$E$1005)-SUMPRODUCT((MOVIMIENTOS!$B$5:$B$1005="TRASIEGO")*(MOVIMIENTOS!$C$5:$C$1005="A")*(MOVIMIENTOS!$D$5:$D$1005="jabas")*(MOVIMIENTOS!$A$5:$A$1005&lt;&gt;"")*(MOVIMIENTOS!$A$5:$A$1005&lt;=$A981)*MOVIMIENTOS!$E$5:$E$1005)-SUMPRODUCT((MOVIMIENTOS!$B$5:$B$1005="REGALO")*(MOVIMIENTOS!$C$5:$C$1005="A")*(MOVIMIENTOS!$D$5:$D$1005="jabas")*(MOVIMIENTOS!$A$5:$A$1005&lt;&gt;"")*(MOVIMIENTOS!$A$5:$A$1005&lt;=$A981)*MOVIMIENTOS!$E$5:$E$1005)-SUMPRODUCT((MOVIMIENTOS!$B$5:$B$1005="VENTA")*(MOVIMIENTOS!$C$5:$C$1005="A")*(MOVIMIENTOS!$D$5:$D$1005="jabas")*(MOVIMIENTOS!$A$5:$A$1005&lt;&gt;"")*(MOVIMIENTOS!$A$5:$A$1005&lt;=$A981)*MOVIMIENTOS!$E$5:$E$1005)+SUMPRODUCT((MOVIMIENTOS!$B$5:$B$1005="AJUSTE")*(MOVIMIENTOS!$C$5:$C$1005="A")*(MOVIMIENTOS!$D$5:$D$1005="jabas")*(MOVIMIENTOS!$A$5:$A$1005&lt;&gt;"")*(MOVIMIENTOS!$A$5:$A$1005&lt;=$A981)*MOVIMIENTOS!$E$5:$E$1005))</f>
        <v/>
      </c>
      <c r="C981" t="str">
        <f>IF($A981="","",SUMPRODUCT((MOVIMIENTOS!$B$5:$B$1005="SALDO INICIAL")*(MOVIMIENTOS!$C$5:$C$1005="P")*(MOVIMIENTOS!$D$5:$D$1005="jabas")*(MOVIMIENTOS!$A$5:$A$1005&lt;&gt;"")*(MOVIMIENTOS!$A$5:$A$1005&lt;=$A981)*MOVIMIENTOS!$E$5:$E$1005)+SUMPRODUCT((MOVIMIENTOS!$B$5:$B$1005="PROCESO")*(MOVIMIENTOS!$C$5:$C$1005="P")*(MOVIMIENTOS!$D$5:$D$1005="jabas")*(MOVIMIENTOS!$A$5:$A$1005&lt;&gt;"")*(MOVIMIENTOS!$A$5:$A$1005&lt;=$A981)*MOVIMIENTOS!$E$5:$E$1005)-SUMPRODUCT((MOVIMIENTOS!$B$5:$B$1005="ENVÍO A SUPESA")*(MOVIMIENTOS!$C$5:$C$1005="P")*(MOVIMIENTOS!$D$5:$D$1005="jabas")*(MOVIMIENTOS!$A$5:$A$1005&lt;&gt;"")*(MOVIMIENTOS!$A$5:$A$1005&lt;=$A981)*MOVIMIENTOS!$E$5:$E$1005)+SUMPRODUCT((MOVIMIENTOS!$B$5:$B$1005="DEVOLUCIÓN")*(MOVIMIENTOS!$C$5:$C$1005="P")*(MOVIMIENTOS!$D$5:$D$1005="jabas")*(MOVIMIENTOS!$A$5:$A$1005&lt;&gt;"")*(MOVIMIENTOS!$A$5:$A$1005&lt;=$A981)*MOVIMIENTOS!$E$5:$E$1005)-SUMPRODUCT((MOVIMIENTOS!$B$5:$B$1005="TRASIEGO")*(MOVIMIENTOS!$C$5:$C$1005="P")*(MOVIMIENTOS!$D$5:$D$1005="jabas")*(MOVIMIENTOS!$A$5:$A$1005&lt;&gt;"")*(MOVIMIENTOS!$A$5:$A$1005&lt;=$A981)*MOVIMIENTOS!$E$5:$E$1005)-SUMPRODUCT((MOVIMIENTOS!$B$5:$B$1005="REGALO")*(MOVIMIENTOS!$C$5:$C$1005="P")*(MOVIMIENTOS!$D$5:$D$1005="jabas")*(MOVIMIENTOS!$A$5:$A$1005&lt;&gt;"")*(MOVIMIENTOS!$A$5:$A$1005&lt;=$A981)*MOVIMIENTOS!$E$5:$E$1005)-SUMPRODUCT((MOVIMIENTOS!$B$5:$B$1005="VENTA")*(MOVIMIENTOS!$C$5:$C$1005="P")*(MOVIMIENTOS!$D$5:$D$1005="jabas")*(MOVIMIENTOS!$A$5:$A$1005&lt;&gt;"")*(MOVIMIENTOS!$A$5:$A$1005&lt;=$A981)*MOVIMIENTOS!$E$5:$E$1005)+SUMPRODUCT((MOVIMIENTOS!$B$5:$B$1005="AJUSTE")*(MOVIMIENTOS!$C$5:$C$1005="P")*(MOVIMIENTOS!$D$5:$D$1005="jabas")*(MOVIMIENTOS!$A$5:$A$1005&lt;&gt;"")*(MOVIMIENTOS!$A$5:$A$1005&lt;=$A981)*MOVIMIENTOS!$E$5:$E$1005))</f>
        <v/>
      </c>
      <c r="D981" t="str">
        <f>IF($A981="","",SUMPRODUCT((MOVIMIENTOS!$B$5:$B$1005="SALDO INICIAL")*(MOVIMIENTOS!$C$5:$C$1005="C")*(MOVIMIENTOS!$D$5:$D$1005="jabas")*(MOVIMIENTOS!$A$5:$A$1005&lt;&gt;"")*(MOVIMIENTOS!$A$5:$A$1005&lt;=$A981)*MOVIMIENTOS!$E$5:$E$1005)+SUMPRODUCT((MOVIMIENTOS!$B$5:$B$1005="PROCESO")*(MOVIMIENTOS!$C$5:$C$1005="C")*(MOVIMIENTOS!$D$5:$D$1005="jabas")*(MOVIMIENTOS!$A$5:$A$1005&lt;&gt;"")*(MOVIMIENTOS!$A$5:$A$1005&lt;=$A981)*MOVIMIENTOS!$E$5:$E$1005)-SUMPRODUCT((MOVIMIENTOS!$B$5:$B$1005="ENVÍO A SUPESA")*(MOVIMIENTOS!$C$5:$C$1005="C")*(MOVIMIENTOS!$D$5:$D$1005="jabas")*(MOVIMIENTOS!$A$5:$A$1005&lt;&gt;"")*(MOVIMIENTOS!$A$5:$A$1005&lt;=$A981)*MOVIMIENTOS!$E$5:$E$1005)+SUMPRODUCT((MOVIMIENTOS!$B$5:$B$1005="DEVOLUCIÓN")*(MOVIMIENTOS!$C$5:$C$1005="C")*(MOVIMIENTOS!$D$5:$D$1005="jabas")*(MOVIMIENTOS!$A$5:$A$1005&lt;&gt;"")*(MOVIMIENTOS!$A$5:$A$1005&lt;=$A981)*MOVIMIENTOS!$E$5:$E$1005)-SUMPRODUCT((MOVIMIENTOS!$B$5:$B$1005="TRASIEGO")*(MOVIMIENTOS!$C$5:$C$1005="C")*(MOVIMIENTOS!$D$5:$D$1005="jabas")*(MOVIMIENTOS!$A$5:$A$1005&lt;&gt;"")*(MOVIMIENTOS!$A$5:$A$1005&lt;=$A981)*MOVIMIENTOS!$E$5:$E$1005)-SUMPRODUCT((MOVIMIENTOS!$B$5:$B$1005="REGALO")*(MOVIMIENTOS!$C$5:$C$1005="C")*(MOVIMIENTOS!$D$5:$D$1005="jabas")*(MOVIMIENTOS!$A$5:$A$1005&lt;&gt;"")*(MOVIMIENTOS!$A$5:$A$1005&lt;=$A981)*MOVIMIENTOS!$E$5:$E$1005)-SUMPRODUCT((MOVIMIENTOS!$B$5:$B$1005="VENTA")*(MOVIMIENTOS!$C$5:$C$1005="C")*(MOVIMIENTOS!$D$5:$D$1005="jabas")*(MOVIMIENTOS!$A$5:$A$1005&lt;&gt;"")*(MOVIMIENTOS!$A$5:$A$1005&lt;=$A981)*MOVIMIENTOS!$E$5:$E$1005)+SUMPRODUCT((MOVIMIENTOS!$B$5:$B$1005="AJUSTE")*(MOVIMIENTOS!$C$5:$C$1005="C")*(MOVIMIENTOS!$D$5:$D$1005="jabas")*(MOVIMIENTOS!$A$5:$A$1005&lt;&gt;"")*(MOVIMIENTOS!$A$5:$A$1005&lt;=$A981)*MOVIMIENTOS!$E$5:$E$1005))</f>
        <v/>
      </c>
      <c r="E981" t="str">
        <f>IF($A981="","",SUMPRODUCT((MOVIMIENTOS!$B$5:$B$1005="SALDO INICIAL")*(MOVIMIENTOS!$C$5:$C$1005="M")*(MOVIMIENTOS!$D$5:$D$1005="jabas")*(MOVIMIENTOS!$A$5:$A$1005&lt;&gt;"")*(MOVIMIENTOS!$A$5:$A$1005&lt;=$A981)*MOVIMIENTOS!$E$5:$E$1005)+SUMPRODUCT((MOVIMIENTOS!$B$5:$B$1005="PROCESO")*(MOVIMIENTOS!$C$5:$C$1005="M")*(MOVIMIENTOS!$D$5:$D$1005="jabas")*(MOVIMIENTOS!$A$5:$A$1005&lt;&gt;"")*(MOVIMIENTOS!$A$5:$A$1005&lt;=$A981)*MOVIMIENTOS!$E$5:$E$1005)-SUMPRODUCT((MOVIMIENTOS!$B$5:$B$1005="ENVÍO A SUPESA")*(MOVIMIENTOS!$C$5:$C$1005="M")*(MOVIMIENTOS!$D$5:$D$1005="jabas")*(MOVIMIENTOS!$A$5:$A$1005&lt;&gt;"")*(MOVIMIENTOS!$A$5:$A$1005&lt;=$A981)*MOVIMIENTOS!$E$5:$E$1005)+SUMPRODUCT((MOVIMIENTOS!$B$5:$B$1005="DEVOLUCIÓN")*(MOVIMIENTOS!$C$5:$C$1005="M")*(MOVIMIENTOS!$D$5:$D$1005="jabas")*(MOVIMIENTOS!$A$5:$A$1005&lt;&gt;"")*(MOVIMIENTOS!$A$5:$A$1005&lt;=$A981)*MOVIMIENTOS!$E$5:$E$1005)-SUMPRODUCT((MOVIMIENTOS!$B$5:$B$1005="TRASIEGO")*(MOVIMIENTOS!$C$5:$C$1005="M")*(MOVIMIENTOS!$D$5:$D$1005="jabas")*(MOVIMIENTOS!$A$5:$A$1005&lt;&gt;"")*(MOVIMIENTOS!$A$5:$A$1005&lt;=$A981)*MOVIMIENTOS!$E$5:$E$1005)-SUMPRODUCT((MOVIMIENTOS!$B$5:$B$1005="REGALO")*(MOVIMIENTOS!$C$5:$C$1005="M")*(MOVIMIENTOS!$D$5:$D$1005="jabas")*(MOVIMIENTOS!$A$5:$A$1005&lt;&gt;"")*(MOVIMIENTOS!$A$5:$A$1005&lt;=$A981)*MOVIMIENTOS!$E$5:$E$1005)-SUMPRODUCT((MOVIMIENTOS!$B$5:$B$1005="VENTA")*(MOVIMIENTOS!$C$5:$C$1005="M")*(MOVIMIENTOS!$D$5:$D$1005="jabas")*(MOVIMIENTOS!$A$5:$A$1005&lt;&gt;"")*(MOVIMIENTOS!$A$5:$A$1005&lt;=$A981)*MOVIMIENTOS!$E$5:$E$1005)+SUMPRODUCT((MOVIMIENTOS!$B$5:$B$1005="AJUSTE")*(MOVIMIENTOS!$C$5:$C$1005="M")*(MOVIMIENTOS!$D$5:$D$1005="jabas")*(MOVIMIENTOS!$A$5:$A$1005&lt;&gt;"")*(MOVIMIENTOS!$A$5:$A$1005&lt;=$A981)*MOVIMIENTOS!$E$5:$E$1005))</f>
        <v/>
      </c>
      <c r="F981" s="62" t="str">
        <f>IF($A981="","",SUMPRODUCT((MOVIMIENTOS!$B$5:$B$1005="SALDO INICIAL")*(MOVIMIENTOS!$C$5:$C$1005="Chancho")*(MOVIMIENTOS!$D$5:$D$1005="sacos")*(MOVIMIENTOS!$A$5:$A$1005&lt;&gt;"")*(MOVIMIENTOS!$A$5:$A$1005&lt;=$A981)*MOVIMIENTOS!$E$5:$E$1005)+SUMPRODUCT((MOVIMIENTOS!$B$5:$B$1005="PROCESO")*(MOVIMIENTOS!$C$5:$C$1005="Chancho")*(MOVIMIENTOS!$D$5:$D$1005="sacos")*(MOVIMIENTOS!$A$5:$A$1005&lt;&gt;"")*(MOVIMIENTOS!$A$5:$A$1005&lt;=$A981)*MOVIMIENTOS!$E$5:$E$1005)-SUMPRODUCT((MOVIMIENTOS!$B$5:$B$1005="VENTA CHANCHO")*(MOVIMIENTOS!$C$5:$C$1005="Chancho")*(MOVIMIENTOS!$D$5:$D$1005="sacos")*(MOVIMIENTOS!$A$5:$A$1005&lt;&gt;"")*(MOVIMIENTOS!$A$5:$A$1005&lt;=$A981)*MOVIMIENTOS!$E$5:$E$1005)-SUMPRODUCT((MOVIMIENTOS!$B$5:$B$1005="REGALO")*(MOVIMIENTOS!$C$5:$C$1005="Chancho")*(MOVIMIENTOS!$D$5:$D$1005="sacos")*(MOVIMIENTOS!$A$5:$A$1005&lt;&gt;"")*(MOVIMIENTOS!$A$5:$A$1005&lt;=$A981)*MOVIMIENTOS!$E$5:$E$1005)-SUMPRODUCT((MOVIMIENTOS!$B$5:$B$1005="VENTA")*(MOVIMIENTOS!$C$5:$C$1005="Chancho")*(MOVIMIENTOS!$D$5:$D$1005="sacos")*(MOVIMIENTOS!$A$5:$A$1005&lt;&gt;"")*(MOVIMIENTOS!$A$5:$A$1005&lt;=$A981)*MOVIMIENTOS!$E$5:$E$1005)+SUMPRODUCT((MOVIMIENTOS!$B$5:$B$1005="AJUSTE")*(MOVIMIENTOS!$C$5:$C$1005="Chancho")*(MOVIMIENTOS!$D$5:$D$1005="sacos")*(MOVIMIENTOS!$A$5:$A$1005&lt;&gt;"")*(MOVIMIENTOS!$A$5:$A$1005&lt;=$A981)*MOVIMIENTOS!$E$5:$E$1005))</f>
        <v/>
      </c>
      <c r="G981" s="62" t="str">
        <f t="shared" si="31"/>
        <v/>
      </c>
      <c r="H981" t="str">
        <f>IF($A981="","",SUMPRODUCT((((MOVIMIENTOS!$B$5:$B$1005="SALDO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981)*MOVIMIENTOS!$J$5:$J$1005))</f>
        <v/>
      </c>
      <c r="J981" t="str">
        <f>IF(AND(MOVIMIENTOS!$A986&lt;&gt;"",COUNTIF(MOVIMIENTOS!$A$5:$A985,MOVIMIENTOS!$A986)=0),COUNT(J$4:J980)+1,"")</f>
        <v/>
      </c>
      <c r="K981">
        <f>MOVIMIENTOS!$A986</f>
        <v>0</v>
      </c>
    </row>
    <row r="982" spans="1:11" ht="15" customHeight="1" x14ac:dyDescent="0.2">
      <c r="A982" t="str">
        <f t="shared" si="30"/>
        <v/>
      </c>
      <c r="B982" t="str">
        <f>IF($A982="","",SUMPRODUCT((MOVIMIENTOS!$B$5:$B$1005="SALDO INICIAL")*(MOVIMIENTOS!$C$5:$C$1005="A")*(MOVIMIENTOS!$D$5:$D$1005="jabas")*(MOVIMIENTOS!$A$5:$A$1005&lt;&gt;"")*(MOVIMIENTOS!$A$5:$A$1005&lt;=$A982)*MOVIMIENTOS!$E$5:$E$1005)+SUMPRODUCT((MOVIMIENTOS!$B$5:$B$1005="PROCESO")*(MOVIMIENTOS!$C$5:$C$1005="A")*(MOVIMIENTOS!$D$5:$D$1005="jabas")*(MOVIMIENTOS!$A$5:$A$1005&lt;&gt;"")*(MOVIMIENTOS!$A$5:$A$1005&lt;=$A982)*MOVIMIENTOS!$E$5:$E$1005)-SUMPRODUCT((MOVIMIENTOS!$B$5:$B$1005="ENVÍO A SUPESA")*(MOVIMIENTOS!$C$5:$C$1005="A")*(MOVIMIENTOS!$D$5:$D$1005="jabas")*(MOVIMIENTOS!$A$5:$A$1005&lt;&gt;"")*(MOVIMIENTOS!$A$5:$A$1005&lt;=$A982)*MOVIMIENTOS!$E$5:$E$1005)+SUMPRODUCT((MOVIMIENTOS!$B$5:$B$1005="DEVOLUCIÓN")*(MOVIMIENTOS!$C$5:$C$1005="A")*(MOVIMIENTOS!$D$5:$D$1005="jabas")*(MOVIMIENTOS!$A$5:$A$1005&lt;&gt;"")*(MOVIMIENTOS!$A$5:$A$1005&lt;=$A982)*MOVIMIENTOS!$E$5:$E$1005)-SUMPRODUCT((MOVIMIENTOS!$B$5:$B$1005="TRASIEGO")*(MOVIMIENTOS!$C$5:$C$1005="A")*(MOVIMIENTOS!$D$5:$D$1005="jabas")*(MOVIMIENTOS!$A$5:$A$1005&lt;&gt;"")*(MOVIMIENTOS!$A$5:$A$1005&lt;=$A982)*MOVIMIENTOS!$E$5:$E$1005)-SUMPRODUCT((MOVIMIENTOS!$B$5:$B$1005="REGALO")*(MOVIMIENTOS!$C$5:$C$1005="A")*(MOVIMIENTOS!$D$5:$D$1005="jabas")*(MOVIMIENTOS!$A$5:$A$1005&lt;&gt;"")*(MOVIMIENTOS!$A$5:$A$1005&lt;=$A982)*MOVIMIENTOS!$E$5:$E$1005)-SUMPRODUCT((MOVIMIENTOS!$B$5:$B$1005="VENTA")*(MOVIMIENTOS!$C$5:$C$1005="A")*(MOVIMIENTOS!$D$5:$D$1005="jabas")*(MOVIMIENTOS!$A$5:$A$1005&lt;&gt;"")*(MOVIMIENTOS!$A$5:$A$1005&lt;=$A982)*MOVIMIENTOS!$E$5:$E$1005)+SUMPRODUCT((MOVIMIENTOS!$B$5:$B$1005="AJUSTE")*(MOVIMIENTOS!$C$5:$C$1005="A")*(MOVIMIENTOS!$D$5:$D$1005="jabas")*(MOVIMIENTOS!$A$5:$A$1005&lt;&gt;"")*(MOVIMIENTOS!$A$5:$A$1005&lt;=$A982)*MOVIMIENTOS!$E$5:$E$1005))</f>
        <v/>
      </c>
      <c r="C982" t="str">
        <f>IF($A982="","",SUMPRODUCT((MOVIMIENTOS!$B$5:$B$1005="SALDO INICIAL")*(MOVIMIENTOS!$C$5:$C$1005="P")*(MOVIMIENTOS!$D$5:$D$1005="jabas")*(MOVIMIENTOS!$A$5:$A$1005&lt;&gt;"")*(MOVIMIENTOS!$A$5:$A$1005&lt;=$A982)*MOVIMIENTOS!$E$5:$E$1005)+SUMPRODUCT((MOVIMIENTOS!$B$5:$B$1005="PROCESO")*(MOVIMIENTOS!$C$5:$C$1005="P")*(MOVIMIENTOS!$D$5:$D$1005="jabas")*(MOVIMIENTOS!$A$5:$A$1005&lt;&gt;"")*(MOVIMIENTOS!$A$5:$A$1005&lt;=$A982)*MOVIMIENTOS!$E$5:$E$1005)-SUMPRODUCT((MOVIMIENTOS!$B$5:$B$1005="ENVÍO A SUPESA")*(MOVIMIENTOS!$C$5:$C$1005="P")*(MOVIMIENTOS!$D$5:$D$1005="jabas")*(MOVIMIENTOS!$A$5:$A$1005&lt;&gt;"")*(MOVIMIENTOS!$A$5:$A$1005&lt;=$A982)*MOVIMIENTOS!$E$5:$E$1005)+SUMPRODUCT((MOVIMIENTOS!$B$5:$B$1005="DEVOLUCIÓN")*(MOVIMIENTOS!$C$5:$C$1005="P")*(MOVIMIENTOS!$D$5:$D$1005="jabas")*(MOVIMIENTOS!$A$5:$A$1005&lt;&gt;"")*(MOVIMIENTOS!$A$5:$A$1005&lt;=$A982)*MOVIMIENTOS!$E$5:$E$1005)-SUMPRODUCT((MOVIMIENTOS!$B$5:$B$1005="TRASIEGO")*(MOVIMIENTOS!$C$5:$C$1005="P")*(MOVIMIENTOS!$D$5:$D$1005="jabas")*(MOVIMIENTOS!$A$5:$A$1005&lt;&gt;"")*(MOVIMIENTOS!$A$5:$A$1005&lt;=$A982)*MOVIMIENTOS!$E$5:$E$1005)-SUMPRODUCT((MOVIMIENTOS!$B$5:$B$1005="REGALO")*(MOVIMIENTOS!$C$5:$C$1005="P")*(MOVIMIENTOS!$D$5:$D$1005="jabas")*(MOVIMIENTOS!$A$5:$A$1005&lt;&gt;"")*(MOVIMIENTOS!$A$5:$A$1005&lt;=$A982)*MOVIMIENTOS!$E$5:$E$1005)-SUMPRODUCT((MOVIMIENTOS!$B$5:$B$1005="VENTA")*(MOVIMIENTOS!$C$5:$C$1005="P")*(MOVIMIENTOS!$D$5:$D$1005="jabas")*(MOVIMIENTOS!$A$5:$A$1005&lt;&gt;"")*(MOVIMIENTOS!$A$5:$A$1005&lt;=$A982)*MOVIMIENTOS!$E$5:$E$1005)+SUMPRODUCT((MOVIMIENTOS!$B$5:$B$1005="AJUSTE")*(MOVIMIENTOS!$C$5:$C$1005="P")*(MOVIMIENTOS!$D$5:$D$1005="jabas")*(MOVIMIENTOS!$A$5:$A$1005&lt;&gt;"")*(MOVIMIENTOS!$A$5:$A$1005&lt;=$A982)*MOVIMIENTOS!$E$5:$E$1005))</f>
        <v/>
      </c>
      <c r="D982" t="str">
        <f>IF($A982="","",SUMPRODUCT((MOVIMIENTOS!$B$5:$B$1005="SALDO INICIAL")*(MOVIMIENTOS!$C$5:$C$1005="C")*(MOVIMIENTOS!$D$5:$D$1005="jabas")*(MOVIMIENTOS!$A$5:$A$1005&lt;&gt;"")*(MOVIMIENTOS!$A$5:$A$1005&lt;=$A982)*MOVIMIENTOS!$E$5:$E$1005)+SUMPRODUCT((MOVIMIENTOS!$B$5:$B$1005="PROCESO")*(MOVIMIENTOS!$C$5:$C$1005="C")*(MOVIMIENTOS!$D$5:$D$1005="jabas")*(MOVIMIENTOS!$A$5:$A$1005&lt;&gt;"")*(MOVIMIENTOS!$A$5:$A$1005&lt;=$A982)*MOVIMIENTOS!$E$5:$E$1005)-SUMPRODUCT((MOVIMIENTOS!$B$5:$B$1005="ENVÍO A SUPESA")*(MOVIMIENTOS!$C$5:$C$1005="C")*(MOVIMIENTOS!$D$5:$D$1005="jabas")*(MOVIMIENTOS!$A$5:$A$1005&lt;&gt;"")*(MOVIMIENTOS!$A$5:$A$1005&lt;=$A982)*MOVIMIENTOS!$E$5:$E$1005)+SUMPRODUCT((MOVIMIENTOS!$B$5:$B$1005="DEVOLUCIÓN")*(MOVIMIENTOS!$C$5:$C$1005="C")*(MOVIMIENTOS!$D$5:$D$1005="jabas")*(MOVIMIENTOS!$A$5:$A$1005&lt;&gt;"")*(MOVIMIENTOS!$A$5:$A$1005&lt;=$A982)*MOVIMIENTOS!$E$5:$E$1005)-SUMPRODUCT((MOVIMIENTOS!$B$5:$B$1005="TRASIEGO")*(MOVIMIENTOS!$C$5:$C$1005="C")*(MOVIMIENTOS!$D$5:$D$1005="jabas")*(MOVIMIENTOS!$A$5:$A$1005&lt;&gt;"")*(MOVIMIENTOS!$A$5:$A$1005&lt;=$A982)*MOVIMIENTOS!$E$5:$E$1005)-SUMPRODUCT((MOVIMIENTOS!$B$5:$B$1005="REGALO")*(MOVIMIENTOS!$C$5:$C$1005="C")*(MOVIMIENTOS!$D$5:$D$1005="jabas")*(MOVIMIENTOS!$A$5:$A$1005&lt;&gt;"")*(MOVIMIENTOS!$A$5:$A$1005&lt;=$A982)*MOVIMIENTOS!$E$5:$E$1005)-SUMPRODUCT((MOVIMIENTOS!$B$5:$B$1005="VENTA")*(MOVIMIENTOS!$C$5:$C$1005="C")*(MOVIMIENTOS!$D$5:$D$1005="jabas")*(MOVIMIENTOS!$A$5:$A$1005&lt;&gt;"")*(MOVIMIENTOS!$A$5:$A$1005&lt;=$A982)*MOVIMIENTOS!$E$5:$E$1005)+SUMPRODUCT((MOVIMIENTOS!$B$5:$B$1005="AJUSTE")*(MOVIMIENTOS!$C$5:$C$1005="C")*(MOVIMIENTOS!$D$5:$D$1005="jabas")*(MOVIMIENTOS!$A$5:$A$1005&lt;&gt;"")*(MOVIMIENTOS!$A$5:$A$1005&lt;=$A982)*MOVIMIENTOS!$E$5:$E$1005))</f>
        <v/>
      </c>
      <c r="E982" t="str">
        <f>IF($A982="","",SUMPRODUCT((MOVIMIENTOS!$B$5:$B$1005="SALDO INICIAL")*(MOVIMIENTOS!$C$5:$C$1005="M")*(MOVIMIENTOS!$D$5:$D$1005="jabas")*(MOVIMIENTOS!$A$5:$A$1005&lt;&gt;"")*(MOVIMIENTOS!$A$5:$A$1005&lt;=$A982)*MOVIMIENTOS!$E$5:$E$1005)+SUMPRODUCT((MOVIMIENTOS!$B$5:$B$1005="PROCESO")*(MOVIMIENTOS!$C$5:$C$1005="M")*(MOVIMIENTOS!$D$5:$D$1005="jabas")*(MOVIMIENTOS!$A$5:$A$1005&lt;&gt;"")*(MOVIMIENTOS!$A$5:$A$1005&lt;=$A982)*MOVIMIENTOS!$E$5:$E$1005)-SUMPRODUCT((MOVIMIENTOS!$B$5:$B$1005="ENVÍO A SUPESA")*(MOVIMIENTOS!$C$5:$C$1005="M")*(MOVIMIENTOS!$D$5:$D$1005="jabas")*(MOVIMIENTOS!$A$5:$A$1005&lt;&gt;"")*(MOVIMIENTOS!$A$5:$A$1005&lt;=$A982)*MOVIMIENTOS!$E$5:$E$1005)+SUMPRODUCT((MOVIMIENTOS!$B$5:$B$1005="DEVOLUCIÓN")*(MOVIMIENTOS!$C$5:$C$1005="M")*(MOVIMIENTOS!$D$5:$D$1005="jabas")*(MOVIMIENTOS!$A$5:$A$1005&lt;&gt;"")*(MOVIMIENTOS!$A$5:$A$1005&lt;=$A982)*MOVIMIENTOS!$E$5:$E$1005)-SUMPRODUCT((MOVIMIENTOS!$B$5:$B$1005="TRASIEGO")*(MOVIMIENTOS!$C$5:$C$1005="M")*(MOVIMIENTOS!$D$5:$D$1005="jabas")*(MOVIMIENTOS!$A$5:$A$1005&lt;&gt;"")*(MOVIMIENTOS!$A$5:$A$1005&lt;=$A982)*MOVIMIENTOS!$E$5:$E$1005)-SUMPRODUCT((MOVIMIENTOS!$B$5:$B$1005="REGALO")*(MOVIMIENTOS!$C$5:$C$1005="M")*(MOVIMIENTOS!$D$5:$D$1005="jabas")*(MOVIMIENTOS!$A$5:$A$1005&lt;&gt;"")*(MOVIMIENTOS!$A$5:$A$1005&lt;=$A982)*MOVIMIENTOS!$E$5:$E$1005)-SUMPRODUCT((MOVIMIENTOS!$B$5:$B$1005="VENTA")*(MOVIMIENTOS!$C$5:$C$1005="M")*(MOVIMIENTOS!$D$5:$D$1005="jabas")*(MOVIMIENTOS!$A$5:$A$1005&lt;&gt;"")*(MOVIMIENTOS!$A$5:$A$1005&lt;=$A982)*MOVIMIENTOS!$E$5:$E$1005)+SUMPRODUCT((MOVIMIENTOS!$B$5:$B$1005="AJUSTE")*(MOVIMIENTOS!$C$5:$C$1005="M")*(MOVIMIENTOS!$D$5:$D$1005="jabas")*(MOVIMIENTOS!$A$5:$A$1005&lt;&gt;"")*(MOVIMIENTOS!$A$5:$A$1005&lt;=$A982)*MOVIMIENTOS!$E$5:$E$1005))</f>
        <v/>
      </c>
      <c r="F982" s="62" t="str">
        <f>IF($A982="","",SUMPRODUCT((MOVIMIENTOS!$B$5:$B$1005="SALDO INICIAL")*(MOVIMIENTOS!$C$5:$C$1005="Chancho")*(MOVIMIENTOS!$D$5:$D$1005="sacos")*(MOVIMIENTOS!$A$5:$A$1005&lt;&gt;"")*(MOVIMIENTOS!$A$5:$A$1005&lt;=$A982)*MOVIMIENTOS!$E$5:$E$1005)+SUMPRODUCT((MOVIMIENTOS!$B$5:$B$1005="PROCESO")*(MOVIMIENTOS!$C$5:$C$1005="Chancho")*(MOVIMIENTOS!$D$5:$D$1005="sacos")*(MOVIMIENTOS!$A$5:$A$1005&lt;&gt;"")*(MOVIMIENTOS!$A$5:$A$1005&lt;=$A982)*MOVIMIENTOS!$E$5:$E$1005)-SUMPRODUCT((MOVIMIENTOS!$B$5:$B$1005="VENTA CHANCHO")*(MOVIMIENTOS!$C$5:$C$1005="Chancho")*(MOVIMIENTOS!$D$5:$D$1005="sacos")*(MOVIMIENTOS!$A$5:$A$1005&lt;&gt;"")*(MOVIMIENTOS!$A$5:$A$1005&lt;=$A982)*MOVIMIENTOS!$E$5:$E$1005)-SUMPRODUCT((MOVIMIENTOS!$B$5:$B$1005="REGALO")*(MOVIMIENTOS!$C$5:$C$1005="Chancho")*(MOVIMIENTOS!$D$5:$D$1005="sacos")*(MOVIMIENTOS!$A$5:$A$1005&lt;&gt;"")*(MOVIMIENTOS!$A$5:$A$1005&lt;=$A982)*MOVIMIENTOS!$E$5:$E$1005)-SUMPRODUCT((MOVIMIENTOS!$B$5:$B$1005="VENTA")*(MOVIMIENTOS!$C$5:$C$1005="Chancho")*(MOVIMIENTOS!$D$5:$D$1005="sacos")*(MOVIMIENTOS!$A$5:$A$1005&lt;&gt;"")*(MOVIMIENTOS!$A$5:$A$1005&lt;=$A982)*MOVIMIENTOS!$E$5:$E$1005)+SUMPRODUCT((MOVIMIENTOS!$B$5:$B$1005="AJUSTE")*(MOVIMIENTOS!$C$5:$C$1005="Chancho")*(MOVIMIENTOS!$D$5:$D$1005="sacos")*(MOVIMIENTOS!$A$5:$A$1005&lt;&gt;"")*(MOVIMIENTOS!$A$5:$A$1005&lt;=$A982)*MOVIMIENTOS!$E$5:$E$1005))</f>
        <v/>
      </c>
      <c r="G982" s="62" t="str">
        <f t="shared" si="31"/>
        <v/>
      </c>
      <c r="H982" t="str">
        <f>IF($A982="","",SUMPRODUCT((((MOVIMIENTOS!$B$5:$B$1005="SALDO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982)*MOVIMIENTOS!$J$5:$J$1005))</f>
        <v/>
      </c>
      <c r="J982" t="str">
        <f>IF(AND(MOVIMIENTOS!$A987&lt;&gt;"",COUNTIF(MOVIMIENTOS!$A$5:$A986,MOVIMIENTOS!$A987)=0),COUNT(J$4:J981)+1,"")</f>
        <v/>
      </c>
      <c r="K982">
        <f>MOVIMIENTOS!$A987</f>
        <v>0</v>
      </c>
    </row>
    <row r="983" spans="1:11" ht="15" customHeight="1" x14ac:dyDescent="0.2">
      <c r="A983" t="str">
        <f t="shared" si="30"/>
        <v/>
      </c>
      <c r="B983" t="str">
        <f>IF($A983="","",SUMPRODUCT((MOVIMIENTOS!$B$5:$B$1005="SALDO INICIAL")*(MOVIMIENTOS!$C$5:$C$1005="A")*(MOVIMIENTOS!$D$5:$D$1005="jabas")*(MOVIMIENTOS!$A$5:$A$1005&lt;&gt;"")*(MOVIMIENTOS!$A$5:$A$1005&lt;=$A983)*MOVIMIENTOS!$E$5:$E$1005)+SUMPRODUCT((MOVIMIENTOS!$B$5:$B$1005="PROCESO")*(MOVIMIENTOS!$C$5:$C$1005="A")*(MOVIMIENTOS!$D$5:$D$1005="jabas")*(MOVIMIENTOS!$A$5:$A$1005&lt;&gt;"")*(MOVIMIENTOS!$A$5:$A$1005&lt;=$A983)*MOVIMIENTOS!$E$5:$E$1005)-SUMPRODUCT((MOVIMIENTOS!$B$5:$B$1005="ENVÍO A SUPESA")*(MOVIMIENTOS!$C$5:$C$1005="A")*(MOVIMIENTOS!$D$5:$D$1005="jabas")*(MOVIMIENTOS!$A$5:$A$1005&lt;&gt;"")*(MOVIMIENTOS!$A$5:$A$1005&lt;=$A983)*MOVIMIENTOS!$E$5:$E$1005)+SUMPRODUCT((MOVIMIENTOS!$B$5:$B$1005="DEVOLUCIÓN")*(MOVIMIENTOS!$C$5:$C$1005="A")*(MOVIMIENTOS!$D$5:$D$1005="jabas")*(MOVIMIENTOS!$A$5:$A$1005&lt;&gt;"")*(MOVIMIENTOS!$A$5:$A$1005&lt;=$A983)*MOVIMIENTOS!$E$5:$E$1005)-SUMPRODUCT((MOVIMIENTOS!$B$5:$B$1005="TRASIEGO")*(MOVIMIENTOS!$C$5:$C$1005="A")*(MOVIMIENTOS!$D$5:$D$1005="jabas")*(MOVIMIENTOS!$A$5:$A$1005&lt;&gt;"")*(MOVIMIENTOS!$A$5:$A$1005&lt;=$A983)*MOVIMIENTOS!$E$5:$E$1005)-SUMPRODUCT((MOVIMIENTOS!$B$5:$B$1005="REGALO")*(MOVIMIENTOS!$C$5:$C$1005="A")*(MOVIMIENTOS!$D$5:$D$1005="jabas")*(MOVIMIENTOS!$A$5:$A$1005&lt;&gt;"")*(MOVIMIENTOS!$A$5:$A$1005&lt;=$A983)*MOVIMIENTOS!$E$5:$E$1005)-SUMPRODUCT((MOVIMIENTOS!$B$5:$B$1005="VENTA")*(MOVIMIENTOS!$C$5:$C$1005="A")*(MOVIMIENTOS!$D$5:$D$1005="jabas")*(MOVIMIENTOS!$A$5:$A$1005&lt;&gt;"")*(MOVIMIENTOS!$A$5:$A$1005&lt;=$A983)*MOVIMIENTOS!$E$5:$E$1005)+SUMPRODUCT((MOVIMIENTOS!$B$5:$B$1005="AJUSTE")*(MOVIMIENTOS!$C$5:$C$1005="A")*(MOVIMIENTOS!$D$5:$D$1005="jabas")*(MOVIMIENTOS!$A$5:$A$1005&lt;&gt;"")*(MOVIMIENTOS!$A$5:$A$1005&lt;=$A983)*MOVIMIENTOS!$E$5:$E$1005))</f>
        <v/>
      </c>
      <c r="C983" t="str">
        <f>IF($A983="","",SUMPRODUCT((MOVIMIENTOS!$B$5:$B$1005="SALDO INICIAL")*(MOVIMIENTOS!$C$5:$C$1005="P")*(MOVIMIENTOS!$D$5:$D$1005="jabas")*(MOVIMIENTOS!$A$5:$A$1005&lt;&gt;"")*(MOVIMIENTOS!$A$5:$A$1005&lt;=$A983)*MOVIMIENTOS!$E$5:$E$1005)+SUMPRODUCT((MOVIMIENTOS!$B$5:$B$1005="PROCESO")*(MOVIMIENTOS!$C$5:$C$1005="P")*(MOVIMIENTOS!$D$5:$D$1005="jabas")*(MOVIMIENTOS!$A$5:$A$1005&lt;&gt;"")*(MOVIMIENTOS!$A$5:$A$1005&lt;=$A983)*MOVIMIENTOS!$E$5:$E$1005)-SUMPRODUCT((MOVIMIENTOS!$B$5:$B$1005="ENVÍO A SUPESA")*(MOVIMIENTOS!$C$5:$C$1005="P")*(MOVIMIENTOS!$D$5:$D$1005="jabas")*(MOVIMIENTOS!$A$5:$A$1005&lt;&gt;"")*(MOVIMIENTOS!$A$5:$A$1005&lt;=$A983)*MOVIMIENTOS!$E$5:$E$1005)+SUMPRODUCT((MOVIMIENTOS!$B$5:$B$1005="DEVOLUCIÓN")*(MOVIMIENTOS!$C$5:$C$1005="P")*(MOVIMIENTOS!$D$5:$D$1005="jabas")*(MOVIMIENTOS!$A$5:$A$1005&lt;&gt;"")*(MOVIMIENTOS!$A$5:$A$1005&lt;=$A983)*MOVIMIENTOS!$E$5:$E$1005)-SUMPRODUCT((MOVIMIENTOS!$B$5:$B$1005="TRASIEGO")*(MOVIMIENTOS!$C$5:$C$1005="P")*(MOVIMIENTOS!$D$5:$D$1005="jabas")*(MOVIMIENTOS!$A$5:$A$1005&lt;&gt;"")*(MOVIMIENTOS!$A$5:$A$1005&lt;=$A983)*MOVIMIENTOS!$E$5:$E$1005)-SUMPRODUCT((MOVIMIENTOS!$B$5:$B$1005="REGALO")*(MOVIMIENTOS!$C$5:$C$1005="P")*(MOVIMIENTOS!$D$5:$D$1005="jabas")*(MOVIMIENTOS!$A$5:$A$1005&lt;&gt;"")*(MOVIMIENTOS!$A$5:$A$1005&lt;=$A983)*MOVIMIENTOS!$E$5:$E$1005)-SUMPRODUCT((MOVIMIENTOS!$B$5:$B$1005="VENTA")*(MOVIMIENTOS!$C$5:$C$1005="P")*(MOVIMIENTOS!$D$5:$D$1005="jabas")*(MOVIMIENTOS!$A$5:$A$1005&lt;&gt;"")*(MOVIMIENTOS!$A$5:$A$1005&lt;=$A983)*MOVIMIENTOS!$E$5:$E$1005)+SUMPRODUCT((MOVIMIENTOS!$B$5:$B$1005="AJUSTE")*(MOVIMIENTOS!$C$5:$C$1005="P")*(MOVIMIENTOS!$D$5:$D$1005="jabas")*(MOVIMIENTOS!$A$5:$A$1005&lt;&gt;"")*(MOVIMIENTOS!$A$5:$A$1005&lt;=$A983)*MOVIMIENTOS!$E$5:$E$1005))</f>
        <v/>
      </c>
      <c r="D983" t="str">
        <f>IF($A983="","",SUMPRODUCT((MOVIMIENTOS!$B$5:$B$1005="SALDO INICIAL")*(MOVIMIENTOS!$C$5:$C$1005="C")*(MOVIMIENTOS!$D$5:$D$1005="jabas")*(MOVIMIENTOS!$A$5:$A$1005&lt;&gt;"")*(MOVIMIENTOS!$A$5:$A$1005&lt;=$A983)*MOVIMIENTOS!$E$5:$E$1005)+SUMPRODUCT((MOVIMIENTOS!$B$5:$B$1005="PROCESO")*(MOVIMIENTOS!$C$5:$C$1005="C")*(MOVIMIENTOS!$D$5:$D$1005="jabas")*(MOVIMIENTOS!$A$5:$A$1005&lt;&gt;"")*(MOVIMIENTOS!$A$5:$A$1005&lt;=$A983)*MOVIMIENTOS!$E$5:$E$1005)-SUMPRODUCT((MOVIMIENTOS!$B$5:$B$1005="ENVÍO A SUPESA")*(MOVIMIENTOS!$C$5:$C$1005="C")*(MOVIMIENTOS!$D$5:$D$1005="jabas")*(MOVIMIENTOS!$A$5:$A$1005&lt;&gt;"")*(MOVIMIENTOS!$A$5:$A$1005&lt;=$A983)*MOVIMIENTOS!$E$5:$E$1005)+SUMPRODUCT((MOVIMIENTOS!$B$5:$B$1005="DEVOLUCIÓN")*(MOVIMIENTOS!$C$5:$C$1005="C")*(MOVIMIENTOS!$D$5:$D$1005="jabas")*(MOVIMIENTOS!$A$5:$A$1005&lt;&gt;"")*(MOVIMIENTOS!$A$5:$A$1005&lt;=$A983)*MOVIMIENTOS!$E$5:$E$1005)-SUMPRODUCT((MOVIMIENTOS!$B$5:$B$1005="TRASIEGO")*(MOVIMIENTOS!$C$5:$C$1005="C")*(MOVIMIENTOS!$D$5:$D$1005="jabas")*(MOVIMIENTOS!$A$5:$A$1005&lt;&gt;"")*(MOVIMIENTOS!$A$5:$A$1005&lt;=$A983)*MOVIMIENTOS!$E$5:$E$1005)-SUMPRODUCT((MOVIMIENTOS!$B$5:$B$1005="REGALO")*(MOVIMIENTOS!$C$5:$C$1005="C")*(MOVIMIENTOS!$D$5:$D$1005="jabas")*(MOVIMIENTOS!$A$5:$A$1005&lt;&gt;"")*(MOVIMIENTOS!$A$5:$A$1005&lt;=$A983)*MOVIMIENTOS!$E$5:$E$1005)-SUMPRODUCT((MOVIMIENTOS!$B$5:$B$1005="VENTA")*(MOVIMIENTOS!$C$5:$C$1005="C")*(MOVIMIENTOS!$D$5:$D$1005="jabas")*(MOVIMIENTOS!$A$5:$A$1005&lt;&gt;"")*(MOVIMIENTOS!$A$5:$A$1005&lt;=$A983)*MOVIMIENTOS!$E$5:$E$1005)+SUMPRODUCT((MOVIMIENTOS!$B$5:$B$1005="AJUSTE")*(MOVIMIENTOS!$C$5:$C$1005="C")*(MOVIMIENTOS!$D$5:$D$1005="jabas")*(MOVIMIENTOS!$A$5:$A$1005&lt;&gt;"")*(MOVIMIENTOS!$A$5:$A$1005&lt;=$A983)*MOVIMIENTOS!$E$5:$E$1005))</f>
        <v/>
      </c>
      <c r="E983" t="str">
        <f>IF($A983="","",SUMPRODUCT((MOVIMIENTOS!$B$5:$B$1005="SALDO INICIAL")*(MOVIMIENTOS!$C$5:$C$1005="M")*(MOVIMIENTOS!$D$5:$D$1005="jabas")*(MOVIMIENTOS!$A$5:$A$1005&lt;&gt;"")*(MOVIMIENTOS!$A$5:$A$1005&lt;=$A983)*MOVIMIENTOS!$E$5:$E$1005)+SUMPRODUCT((MOVIMIENTOS!$B$5:$B$1005="PROCESO")*(MOVIMIENTOS!$C$5:$C$1005="M")*(MOVIMIENTOS!$D$5:$D$1005="jabas")*(MOVIMIENTOS!$A$5:$A$1005&lt;&gt;"")*(MOVIMIENTOS!$A$5:$A$1005&lt;=$A983)*MOVIMIENTOS!$E$5:$E$1005)-SUMPRODUCT((MOVIMIENTOS!$B$5:$B$1005="ENVÍO A SUPESA")*(MOVIMIENTOS!$C$5:$C$1005="M")*(MOVIMIENTOS!$D$5:$D$1005="jabas")*(MOVIMIENTOS!$A$5:$A$1005&lt;&gt;"")*(MOVIMIENTOS!$A$5:$A$1005&lt;=$A983)*MOVIMIENTOS!$E$5:$E$1005)+SUMPRODUCT((MOVIMIENTOS!$B$5:$B$1005="DEVOLUCIÓN")*(MOVIMIENTOS!$C$5:$C$1005="M")*(MOVIMIENTOS!$D$5:$D$1005="jabas")*(MOVIMIENTOS!$A$5:$A$1005&lt;&gt;"")*(MOVIMIENTOS!$A$5:$A$1005&lt;=$A983)*MOVIMIENTOS!$E$5:$E$1005)-SUMPRODUCT((MOVIMIENTOS!$B$5:$B$1005="TRASIEGO")*(MOVIMIENTOS!$C$5:$C$1005="M")*(MOVIMIENTOS!$D$5:$D$1005="jabas")*(MOVIMIENTOS!$A$5:$A$1005&lt;&gt;"")*(MOVIMIENTOS!$A$5:$A$1005&lt;=$A983)*MOVIMIENTOS!$E$5:$E$1005)-SUMPRODUCT((MOVIMIENTOS!$B$5:$B$1005="REGALO")*(MOVIMIENTOS!$C$5:$C$1005="M")*(MOVIMIENTOS!$D$5:$D$1005="jabas")*(MOVIMIENTOS!$A$5:$A$1005&lt;&gt;"")*(MOVIMIENTOS!$A$5:$A$1005&lt;=$A983)*MOVIMIENTOS!$E$5:$E$1005)-SUMPRODUCT((MOVIMIENTOS!$B$5:$B$1005="VENTA")*(MOVIMIENTOS!$C$5:$C$1005="M")*(MOVIMIENTOS!$D$5:$D$1005="jabas")*(MOVIMIENTOS!$A$5:$A$1005&lt;&gt;"")*(MOVIMIENTOS!$A$5:$A$1005&lt;=$A983)*MOVIMIENTOS!$E$5:$E$1005)+SUMPRODUCT((MOVIMIENTOS!$B$5:$B$1005="AJUSTE")*(MOVIMIENTOS!$C$5:$C$1005="M")*(MOVIMIENTOS!$D$5:$D$1005="jabas")*(MOVIMIENTOS!$A$5:$A$1005&lt;&gt;"")*(MOVIMIENTOS!$A$5:$A$1005&lt;=$A983)*MOVIMIENTOS!$E$5:$E$1005))</f>
        <v/>
      </c>
      <c r="F983" s="62" t="str">
        <f>IF($A983="","",SUMPRODUCT((MOVIMIENTOS!$B$5:$B$1005="SALDO INICIAL")*(MOVIMIENTOS!$C$5:$C$1005="Chancho")*(MOVIMIENTOS!$D$5:$D$1005="sacos")*(MOVIMIENTOS!$A$5:$A$1005&lt;&gt;"")*(MOVIMIENTOS!$A$5:$A$1005&lt;=$A983)*MOVIMIENTOS!$E$5:$E$1005)+SUMPRODUCT((MOVIMIENTOS!$B$5:$B$1005="PROCESO")*(MOVIMIENTOS!$C$5:$C$1005="Chancho")*(MOVIMIENTOS!$D$5:$D$1005="sacos")*(MOVIMIENTOS!$A$5:$A$1005&lt;&gt;"")*(MOVIMIENTOS!$A$5:$A$1005&lt;=$A983)*MOVIMIENTOS!$E$5:$E$1005)-SUMPRODUCT((MOVIMIENTOS!$B$5:$B$1005="VENTA CHANCHO")*(MOVIMIENTOS!$C$5:$C$1005="Chancho")*(MOVIMIENTOS!$D$5:$D$1005="sacos")*(MOVIMIENTOS!$A$5:$A$1005&lt;&gt;"")*(MOVIMIENTOS!$A$5:$A$1005&lt;=$A983)*MOVIMIENTOS!$E$5:$E$1005)-SUMPRODUCT((MOVIMIENTOS!$B$5:$B$1005="REGALO")*(MOVIMIENTOS!$C$5:$C$1005="Chancho")*(MOVIMIENTOS!$D$5:$D$1005="sacos")*(MOVIMIENTOS!$A$5:$A$1005&lt;&gt;"")*(MOVIMIENTOS!$A$5:$A$1005&lt;=$A983)*MOVIMIENTOS!$E$5:$E$1005)-SUMPRODUCT((MOVIMIENTOS!$B$5:$B$1005="VENTA")*(MOVIMIENTOS!$C$5:$C$1005="Chancho")*(MOVIMIENTOS!$D$5:$D$1005="sacos")*(MOVIMIENTOS!$A$5:$A$1005&lt;&gt;"")*(MOVIMIENTOS!$A$5:$A$1005&lt;=$A983)*MOVIMIENTOS!$E$5:$E$1005)+SUMPRODUCT((MOVIMIENTOS!$B$5:$B$1005="AJUSTE")*(MOVIMIENTOS!$C$5:$C$1005="Chancho")*(MOVIMIENTOS!$D$5:$D$1005="sacos")*(MOVIMIENTOS!$A$5:$A$1005&lt;&gt;"")*(MOVIMIENTOS!$A$5:$A$1005&lt;=$A983)*MOVIMIENTOS!$E$5:$E$1005))</f>
        <v/>
      </c>
      <c r="G983" s="62" t="str">
        <f t="shared" si="31"/>
        <v/>
      </c>
      <c r="H983" t="str">
        <f>IF($A983="","",SUMPRODUCT((((MOVIMIENTOS!$B$5:$B$1005="SALDO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983)*MOVIMIENTOS!$J$5:$J$1005))</f>
        <v/>
      </c>
      <c r="J983" t="str">
        <f>IF(AND(MOVIMIENTOS!$A988&lt;&gt;"",COUNTIF(MOVIMIENTOS!$A$5:$A987,MOVIMIENTOS!$A988)=0),COUNT(J$4:J982)+1,"")</f>
        <v/>
      </c>
      <c r="K983">
        <f>MOVIMIENTOS!$A988</f>
        <v>0</v>
      </c>
    </row>
    <row r="984" spans="1:11" ht="15" customHeight="1" x14ac:dyDescent="0.2">
      <c r="A984" t="str">
        <f t="shared" si="30"/>
        <v/>
      </c>
      <c r="B984" t="str">
        <f>IF($A984="","",SUMPRODUCT((MOVIMIENTOS!$B$5:$B$1005="SALDO INICIAL")*(MOVIMIENTOS!$C$5:$C$1005="A")*(MOVIMIENTOS!$D$5:$D$1005="jabas")*(MOVIMIENTOS!$A$5:$A$1005&lt;&gt;"")*(MOVIMIENTOS!$A$5:$A$1005&lt;=$A984)*MOVIMIENTOS!$E$5:$E$1005)+SUMPRODUCT((MOVIMIENTOS!$B$5:$B$1005="PROCESO")*(MOVIMIENTOS!$C$5:$C$1005="A")*(MOVIMIENTOS!$D$5:$D$1005="jabas")*(MOVIMIENTOS!$A$5:$A$1005&lt;&gt;"")*(MOVIMIENTOS!$A$5:$A$1005&lt;=$A984)*MOVIMIENTOS!$E$5:$E$1005)-SUMPRODUCT((MOVIMIENTOS!$B$5:$B$1005="ENVÍO A SUPESA")*(MOVIMIENTOS!$C$5:$C$1005="A")*(MOVIMIENTOS!$D$5:$D$1005="jabas")*(MOVIMIENTOS!$A$5:$A$1005&lt;&gt;"")*(MOVIMIENTOS!$A$5:$A$1005&lt;=$A984)*MOVIMIENTOS!$E$5:$E$1005)+SUMPRODUCT((MOVIMIENTOS!$B$5:$B$1005="DEVOLUCIÓN")*(MOVIMIENTOS!$C$5:$C$1005="A")*(MOVIMIENTOS!$D$5:$D$1005="jabas")*(MOVIMIENTOS!$A$5:$A$1005&lt;&gt;"")*(MOVIMIENTOS!$A$5:$A$1005&lt;=$A984)*MOVIMIENTOS!$E$5:$E$1005)-SUMPRODUCT((MOVIMIENTOS!$B$5:$B$1005="TRASIEGO")*(MOVIMIENTOS!$C$5:$C$1005="A")*(MOVIMIENTOS!$D$5:$D$1005="jabas")*(MOVIMIENTOS!$A$5:$A$1005&lt;&gt;"")*(MOVIMIENTOS!$A$5:$A$1005&lt;=$A984)*MOVIMIENTOS!$E$5:$E$1005)-SUMPRODUCT((MOVIMIENTOS!$B$5:$B$1005="REGALO")*(MOVIMIENTOS!$C$5:$C$1005="A")*(MOVIMIENTOS!$D$5:$D$1005="jabas")*(MOVIMIENTOS!$A$5:$A$1005&lt;&gt;"")*(MOVIMIENTOS!$A$5:$A$1005&lt;=$A984)*MOVIMIENTOS!$E$5:$E$1005)-SUMPRODUCT((MOVIMIENTOS!$B$5:$B$1005="VENTA")*(MOVIMIENTOS!$C$5:$C$1005="A")*(MOVIMIENTOS!$D$5:$D$1005="jabas")*(MOVIMIENTOS!$A$5:$A$1005&lt;&gt;"")*(MOVIMIENTOS!$A$5:$A$1005&lt;=$A984)*MOVIMIENTOS!$E$5:$E$1005)+SUMPRODUCT((MOVIMIENTOS!$B$5:$B$1005="AJUSTE")*(MOVIMIENTOS!$C$5:$C$1005="A")*(MOVIMIENTOS!$D$5:$D$1005="jabas")*(MOVIMIENTOS!$A$5:$A$1005&lt;&gt;"")*(MOVIMIENTOS!$A$5:$A$1005&lt;=$A984)*MOVIMIENTOS!$E$5:$E$1005))</f>
        <v/>
      </c>
      <c r="C984" t="str">
        <f>IF($A984="","",SUMPRODUCT((MOVIMIENTOS!$B$5:$B$1005="SALDO INICIAL")*(MOVIMIENTOS!$C$5:$C$1005="P")*(MOVIMIENTOS!$D$5:$D$1005="jabas")*(MOVIMIENTOS!$A$5:$A$1005&lt;&gt;"")*(MOVIMIENTOS!$A$5:$A$1005&lt;=$A984)*MOVIMIENTOS!$E$5:$E$1005)+SUMPRODUCT((MOVIMIENTOS!$B$5:$B$1005="PROCESO")*(MOVIMIENTOS!$C$5:$C$1005="P")*(MOVIMIENTOS!$D$5:$D$1005="jabas")*(MOVIMIENTOS!$A$5:$A$1005&lt;&gt;"")*(MOVIMIENTOS!$A$5:$A$1005&lt;=$A984)*MOVIMIENTOS!$E$5:$E$1005)-SUMPRODUCT((MOVIMIENTOS!$B$5:$B$1005="ENVÍO A SUPESA")*(MOVIMIENTOS!$C$5:$C$1005="P")*(MOVIMIENTOS!$D$5:$D$1005="jabas")*(MOVIMIENTOS!$A$5:$A$1005&lt;&gt;"")*(MOVIMIENTOS!$A$5:$A$1005&lt;=$A984)*MOVIMIENTOS!$E$5:$E$1005)+SUMPRODUCT((MOVIMIENTOS!$B$5:$B$1005="DEVOLUCIÓN")*(MOVIMIENTOS!$C$5:$C$1005="P")*(MOVIMIENTOS!$D$5:$D$1005="jabas")*(MOVIMIENTOS!$A$5:$A$1005&lt;&gt;"")*(MOVIMIENTOS!$A$5:$A$1005&lt;=$A984)*MOVIMIENTOS!$E$5:$E$1005)-SUMPRODUCT((MOVIMIENTOS!$B$5:$B$1005="TRASIEGO")*(MOVIMIENTOS!$C$5:$C$1005="P")*(MOVIMIENTOS!$D$5:$D$1005="jabas")*(MOVIMIENTOS!$A$5:$A$1005&lt;&gt;"")*(MOVIMIENTOS!$A$5:$A$1005&lt;=$A984)*MOVIMIENTOS!$E$5:$E$1005)-SUMPRODUCT((MOVIMIENTOS!$B$5:$B$1005="REGALO")*(MOVIMIENTOS!$C$5:$C$1005="P")*(MOVIMIENTOS!$D$5:$D$1005="jabas")*(MOVIMIENTOS!$A$5:$A$1005&lt;&gt;"")*(MOVIMIENTOS!$A$5:$A$1005&lt;=$A984)*MOVIMIENTOS!$E$5:$E$1005)-SUMPRODUCT((MOVIMIENTOS!$B$5:$B$1005="VENTA")*(MOVIMIENTOS!$C$5:$C$1005="P")*(MOVIMIENTOS!$D$5:$D$1005="jabas")*(MOVIMIENTOS!$A$5:$A$1005&lt;&gt;"")*(MOVIMIENTOS!$A$5:$A$1005&lt;=$A984)*MOVIMIENTOS!$E$5:$E$1005)+SUMPRODUCT((MOVIMIENTOS!$B$5:$B$1005="AJUSTE")*(MOVIMIENTOS!$C$5:$C$1005="P")*(MOVIMIENTOS!$D$5:$D$1005="jabas")*(MOVIMIENTOS!$A$5:$A$1005&lt;&gt;"")*(MOVIMIENTOS!$A$5:$A$1005&lt;=$A984)*MOVIMIENTOS!$E$5:$E$1005))</f>
        <v/>
      </c>
      <c r="D984" t="str">
        <f>IF($A984="","",SUMPRODUCT((MOVIMIENTOS!$B$5:$B$1005="SALDO INICIAL")*(MOVIMIENTOS!$C$5:$C$1005="C")*(MOVIMIENTOS!$D$5:$D$1005="jabas")*(MOVIMIENTOS!$A$5:$A$1005&lt;&gt;"")*(MOVIMIENTOS!$A$5:$A$1005&lt;=$A984)*MOVIMIENTOS!$E$5:$E$1005)+SUMPRODUCT((MOVIMIENTOS!$B$5:$B$1005="PROCESO")*(MOVIMIENTOS!$C$5:$C$1005="C")*(MOVIMIENTOS!$D$5:$D$1005="jabas")*(MOVIMIENTOS!$A$5:$A$1005&lt;&gt;"")*(MOVIMIENTOS!$A$5:$A$1005&lt;=$A984)*MOVIMIENTOS!$E$5:$E$1005)-SUMPRODUCT((MOVIMIENTOS!$B$5:$B$1005="ENVÍO A SUPESA")*(MOVIMIENTOS!$C$5:$C$1005="C")*(MOVIMIENTOS!$D$5:$D$1005="jabas")*(MOVIMIENTOS!$A$5:$A$1005&lt;&gt;"")*(MOVIMIENTOS!$A$5:$A$1005&lt;=$A984)*MOVIMIENTOS!$E$5:$E$1005)+SUMPRODUCT((MOVIMIENTOS!$B$5:$B$1005="DEVOLUCIÓN")*(MOVIMIENTOS!$C$5:$C$1005="C")*(MOVIMIENTOS!$D$5:$D$1005="jabas")*(MOVIMIENTOS!$A$5:$A$1005&lt;&gt;"")*(MOVIMIENTOS!$A$5:$A$1005&lt;=$A984)*MOVIMIENTOS!$E$5:$E$1005)-SUMPRODUCT((MOVIMIENTOS!$B$5:$B$1005="TRASIEGO")*(MOVIMIENTOS!$C$5:$C$1005="C")*(MOVIMIENTOS!$D$5:$D$1005="jabas")*(MOVIMIENTOS!$A$5:$A$1005&lt;&gt;"")*(MOVIMIENTOS!$A$5:$A$1005&lt;=$A984)*MOVIMIENTOS!$E$5:$E$1005)-SUMPRODUCT((MOVIMIENTOS!$B$5:$B$1005="REGALO")*(MOVIMIENTOS!$C$5:$C$1005="C")*(MOVIMIENTOS!$D$5:$D$1005="jabas")*(MOVIMIENTOS!$A$5:$A$1005&lt;&gt;"")*(MOVIMIENTOS!$A$5:$A$1005&lt;=$A984)*MOVIMIENTOS!$E$5:$E$1005)-SUMPRODUCT((MOVIMIENTOS!$B$5:$B$1005="VENTA")*(MOVIMIENTOS!$C$5:$C$1005="C")*(MOVIMIENTOS!$D$5:$D$1005="jabas")*(MOVIMIENTOS!$A$5:$A$1005&lt;&gt;"")*(MOVIMIENTOS!$A$5:$A$1005&lt;=$A984)*MOVIMIENTOS!$E$5:$E$1005)+SUMPRODUCT((MOVIMIENTOS!$B$5:$B$1005="AJUSTE")*(MOVIMIENTOS!$C$5:$C$1005="C")*(MOVIMIENTOS!$D$5:$D$1005="jabas")*(MOVIMIENTOS!$A$5:$A$1005&lt;&gt;"")*(MOVIMIENTOS!$A$5:$A$1005&lt;=$A984)*MOVIMIENTOS!$E$5:$E$1005))</f>
        <v/>
      </c>
      <c r="E984" t="str">
        <f>IF($A984="","",SUMPRODUCT((MOVIMIENTOS!$B$5:$B$1005="SALDO INICIAL")*(MOVIMIENTOS!$C$5:$C$1005="M")*(MOVIMIENTOS!$D$5:$D$1005="jabas")*(MOVIMIENTOS!$A$5:$A$1005&lt;&gt;"")*(MOVIMIENTOS!$A$5:$A$1005&lt;=$A984)*MOVIMIENTOS!$E$5:$E$1005)+SUMPRODUCT((MOVIMIENTOS!$B$5:$B$1005="PROCESO")*(MOVIMIENTOS!$C$5:$C$1005="M")*(MOVIMIENTOS!$D$5:$D$1005="jabas")*(MOVIMIENTOS!$A$5:$A$1005&lt;&gt;"")*(MOVIMIENTOS!$A$5:$A$1005&lt;=$A984)*MOVIMIENTOS!$E$5:$E$1005)-SUMPRODUCT((MOVIMIENTOS!$B$5:$B$1005="ENVÍO A SUPESA")*(MOVIMIENTOS!$C$5:$C$1005="M")*(MOVIMIENTOS!$D$5:$D$1005="jabas")*(MOVIMIENTOS!$A$5:$A$1005&lt;&gt;"")*(MOVIMIENTOS!$A$5:$A$1005&lt;=$A984)*MOVIMIENTOS!$E$5:$E$1005)+SUMPRODUCT((MOVIMIENTOS!$B$5:$B$1005="DEVOLUCIÓN")*(MOVIMIENTOS!$C$5:$C$1005="M")*(MOVIMIENTOS!$D$5:$D$1005="jabas")*(MOVIMIENTOS!$A$5:$A$1005&lt;&gt;"")*(MOVIMIENTOS!$A$5:$A$1005&lt;=$A984)*MOVIMIENTOS!$E$5:$E$1005)-SUMPRODUCT((MOVIMIENTOS!$B$5:$B$1005="TRASIEGO")*(MOVIMIENTOS!$C$5:$C$1005="M")*(MOVIMIENTOS!$D$5:$D$1005="jabas")*(MOVIMIENTOS!$A$5:$A$1005&lt;&gt;"")*(MOVIMIENTOS!$A$5:$A$1005&lt;=$A984)*MOVIMIENTOS!$E$5:$E$1005)-SUMPRODUCT((MOVIMIENTOS!$B$5:$B$1005="REGALO")*(MOVIMIENTOS!$C$5:$C$1005="M")*(MOVIMIENTOS!$D$5:$D$1005="jabas")*(MOVIMIENTOS!$A$5:$A$1005&lt;&gt;"")*(MOVIMIENTOS!$A$5:$A$1005&lt;=$A984)*MOVIMIENTOS!$E$5:$E$1005)-SUMPRODUCT((MOVIMIENTOS!$B$5:$B$1005="VENTA")*(MOVIMIENTOS!$C$5:$C$1005="M")*(MOVIMIENTOS!$D$5:$D$1005="jabas")*(MOVIMIENTOS!$A$5:$A$1005&lt;&gt;"")*(MOVIMIENTOS!$A$5:$A$1005&lt;=$A984)*MOVIMIENTOS!$E$5:$E$1005)+SUMPRODUCT((MOVIMIENTOS!$B$5:$B$1005="AJUSTE")*(MOVIMIENTOS!$C$5:$C$1005="M")*(MOVIMIENTOS!$D$5:$D$1005="jabas")*(MOVIMIENTOS!$A$5:$A$1005&lt;&gt;"")*(MOVIMIENTOS!$A$5:$A$1005&lt;=$A984)*MOVIMIENTOS!$E$5:$E$1005))</f>
        <v/>
      </c>
      <c r="F984" s="62" t="str">
        <f>IF($A984="","",SUMPRODUCT((MOVIMIENTOS!$B$5:$B$1005="SALDO INICIAL")*(MOVIMIENTOS!$C$5:$C$1005="Chancho")*(MOVIMIENTOS!$D$5:$D$1005="sacos")*(MOVIMIENTOS!$A$5:$A$1005&lt;&gt;"")*(MOVIMIENTOS!$A$5:$A$1005&lt;=$A984)*MOVIMIENTOS!$E$5:$E$1005)+SUMPRODUCT((MOVIMIENTOS!$B$5:$B$1005="PROCESO")*(MOVIMIENTOS!$C$5:$C$1005="Chancho")*(MOVIMIENTOS!$D$5:$D$1005="sacos")*(MOVIMIENTOS!$A$5:$A$1005&lt;&gt;"")*(MOVIMIENTOS!$A$5:$A$1005&lt;=$A984)*MOVIMIENTOS!$E$5:$E$1005)-SUMPRODUCT((MOVIMIENTOS!$B$5:$B$1005="VENTA CHANCHO")*(MOVIMIENTOS!$C$5:$C$1005="Chancho")*(MOVIMIENTOS!$D$5:$D$1005="sacos")*(MOVIMIENTOS!$A$5:$A$1005&lt;&gt;"")*(MOVIMIENTOS!$A$5:$A$1005&lt;=$A984)*MOVIMIENTOS!$E$5:$E$1005)-SUMPRODUCT((MOVIMIENTOS!$B$5:$B$1005="REGALO")*(MOVIMIENTOS!$C$5:$C$1005="Chancho")*(MOVIMIENTOS!$D$5:$D$1005="sacos")*(MOVIMIENTOS!$A$5:$A$1005&lt;&gt;"")*(MOVIMIENTOS!$A$5:$A$1005&lt;=$A984)*MOVIMIENTOS!$E$5:$E$1005)-SUMPRODUCT((MOVIMIENTOS!$B$5:$B$1005="VENTA")*(MOVIMIENTOS!$C$5:$C$1005="Chancho")*(MOVIMIENTOS!$D$5:$D$1005="sacos")*(MOVIMIENTOS!$A$5:$A$1005&lt;&gt;"")*(MOVIMIENTOS!$A$5:$A$1005&lt;=$A984)*MOVIMIENTOS!$E$5:$E$1005)+SUMPRODUCT((MOVIMIENTOS!$B$5:$B$1005="AJUSTE")*(MOVIMIENTOS!$C$5:$C$1005="Chancho")*(MOVIMIENTOS!$D$5:$D$1005="sacos")*(MOVIMIENTOS!$A$5:$A$1005&lt;&gt;"")*(MOVIMIENTOS!$A$5:$A$1005&lt;=$A984)*MOVIMIENTOS!$E$5:$E$1005))</f>
        <v/>
      </c>
      <c r="G984" s="62" t="str">
        <f t="shared" si="31"/>
        <v/>
      </c>
      <c r="H984" t="str">
        <f>IF($A984="","",SUMPRODUCT((((MOVIMIENTOS!$B$5:$B$1005="SALDO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984)*MOVIMIENTOS!$J$5:$J$1005))</f>
        <v/>
      </c>
      <c r="J984" t="str">
        <f>IF(AND(MOVIMIENTOS!$A989&lt;&gt;"",COUNTIF(MOVIMIENTOS!$A$5:$A988,MOVIMIENTOS!$A989)=0),COUNT(J$4:J983)+1,"")</f>
        <v/>
      </c>
      <c r="K984">
        <f>MOVIMIENTOS!$A989</f>
        <v>0</v>
      </c>
    </row>
    <row r="985" spans="1:11" ht="15" customHeight="1" x14ac:dyDescent="0.2">
      <c r="A985" t="str">
        <f t="shared" si="30"/>
        <v/>
      </c>
      <c r="B985" t="str">
        <f>IF($A985="","",SUMPRODUCT((MOVIMIENTOS!$B$5:$B$1005="SALDO INICIAL")*(MOVIMIENTOS!$C$5:$C$1005="A")*(MOVIMIENTOS!$D$5:$D$1005="jabas")*(MOVIMIENTOS!$A$5:$A$1005&lt;&gt;"")*(MOVIMIENTOS!$A$5:$A$1005&lt;=$A985)*MOVIMIENTOS!$E$5:$E$1005)+SUMPRODUCT((MOVIMIENTOS!$B$5:$B$1005="PROCESO")*(MOVIMIENTOS!$C$5:$C$1005="A")*(MOVIMIENTOS!$D$5:$D$1005="jabas")*(MOVIMIENTOS!$A$5:$A$1005&lt;&gt;"")*(MOVIMIENTOS!$A$5:$A$1005&lt;=$A985)*MOVIMIENTOS!$E$5:$E$1005)-SUMPRODUCT((MOVIMIENTOS!$B$5:$B$1005="ENVÍO A SUPESA")*(MOVIMIENTOS!$C$5:$C$1005="A")*(MOVIMIENTOS!$D$5:$D$1005="jabas")*(MOVIMIENTOS!$A$5:$A$1005&lt;&gt;"")*(MOVIMIENTOS!$A$5:$A$1005&lt;=$A985)*MOVIMIENTOS!$E$5:$E$1005)+SUMPRODUCT((MOVIMIENTOS!$B$5:$B$1005="DEVOLUCIÓN")*(MOVIMIENTOS!$C$5:$C$1005="A")*(MOVIMIENTOS!$D$5:$D$1005="jabas")*(MOVIMIENTOS!$A$5:$A$1005&lt;&gt;"")*(MOVIMIENTOS!$A$5:$A$1005&lt;=$A985)*MOVIMIENTOS!$E$5:$E$1005)-SUMPRODUCT((MOVIMIENTOS!$B$5:$B$1005="TRASIEGO")*(MOVIMIENTOS!$C$5:$C$1005="A")*(MOVIMIENTOS!$D$5:$D$1005="jabas")*(MOVIMIENTOS!$A$5:$A$1005&lt;&gt;"")*(MOVIMIENTOS!$A$5:$A$1005&lt;=$A985)*MOVIMIENTOS!$E$5:$E$1005)-SUMPRODUCT((MOVIMIENTOS!$B$5:$B$1005="REGALO")*(MOVIMIENTOS!$C$5:$C$1005="A")*(MOVIMIENTOS!$D$5:$D$1005="jabas")*(MOVIMIENTOS!$A$5:$A$1005&lt;&gt;"")*(MOVIMIENTOS!$A$5:$A$1005&lt;=$A985)*MOVIMIENTOS!$E$5:$E$1005)-SUMPRODUCT((MOVIMIENTOS!$B$5:$B$1005="VENTA")*(MOVIMIENTOS!$C$5:$C$1005="A")*(MOVIMIENTOS!$D$5:$D$1005="jabas")*(MOVIMIENTOS!$A$5:$A$1005&lt;&gt;"")*(MOVIMIENTOS!$A$5:$A$1005&lt;=$A985)*MOVIMIENTOS!$E$5:$E$1005)+SUMPRODUCT((MOVIMIENTOS!$B$5:$B$1005="AJUSTE")*(MOVIMIENTOS!$C$5:$C$1005="A")*(MOVIMIENTOS!$D$5:$D$1005="jabas")*(MOVIMIENTOS!$A$5:$A$1005&lt;&gt;"")*(MOVIMIENTOS!$A$5:$A$1005&lt;=$A985)*MOVIMIENTOS!$E$5:$E$1005))</f>
        <v/>
      </c>
      <c r="C985" t="str">
        <f>IF($A985="","",SUMPRODUCT((MOVIMIENTOS!$B$5:$B$1005="SALDO INICIAL")*(MOVIMIENTOS!$C$5:$C$1005="P")*(MOVIMIENTOS!$D$5:$D$1005="jabas")*(MOVIMIENTOS!$A$5:$A$1005&lt;&gt;"")*(MOVIMIENTOS!$A$5:$A$1005&lt;=$A985)*MOVIMIENTOS!$E$5:$E$1005)+SUMPRODUCT((MOVIMIENTOS!$B$5:$B$1005="PROCESO")*(MOVIMIENTOS!$C$5:$C$1005="P")*(MOVIMIENTOS!$D$5:$D$1005="jabas")*(MOVIMIENTOS!$A$5:$A$1005&lt;&gt;"")*(MOVIMIENTOS!$A$5:$A$1005&lt;=$A985)*MOVIMIENTOS!$E$5:$E$1005)-SUMPRODUCT((MOVIMIENTOS!$B$5:$B$1005="ENVÍO A SUPESA")*(MOVIMIENTOS!$C$5:$C$1005="P")*(MOVIMIENTOS!$D$5:$D$1005="jabas")*(MOVIMIENTOS!$A$5:$A$1005&lt;&gt;"")*(MOVIMIENTOS!$A$5:$A$1005&lt;=$A985)*MOVIMIENTOS!$E$5:$E$1005)+SUMPRODUCT((MOVIMIENTOS!$B$5:$B$1005="DEVOLUCIÓN")*(MOVIMIENTOS!$C$5:$C$1005="P")*(MOVIMIENTOS!$D$5:$D$1005="jabas")*(MOVIMIENTOS!$A$5:$A$1005&lt;&gt;"")*(MOVIMIENTOS!$A$5:$A$1005&lt;=$A985)*MOVIMIENTOS!$E$5:$E$1005)-SUMPRODUCT((MOVIMIENTOS!$B$5:$B$1005="TRASIEGO")*(MOVIMIENTOS!$C$5:$C$1005="P")*(MOVIMIENTOS!$D$5:$D$1005="jabas")*(MOVIMIENTOS!$A$5:$A$1005&lt;&gt;"")*(MOVIMIENTOS!$A$5:$A$1005&lt;=$A985)*MOVIMIENTOS!$E$5:$E$1005)-SUMPRODUCT((MOVIMIENTOS!$B$5:$B$1005="REGALO")*(MOVIMIENTOS!$C$5:$C$1005="P")*(MOVIMIENTOS!$D$5:$D$1005="jabas")*(MOVIMIENTOS!$A$5:$A$1005&lt;&gt;"")*(MOVIMIENTOS!$A$5:$A$1005&lt;=$A985)*MOVIMIENTOS!$E$5:$E$1005)-SUMPRODUCT((MOVIMIENTOS!$B$5:$B$1005="VENTA")*(MOVIMIENTOS!$C$5:$C$1005="P")*(MOVIMIENTOS!$D$5:$D$1005="jabas")*(MOVIMIENTOS!$A$5:$A$1005&lt;&gt;"")*(MOVIMIENTOS!$A$5:$A$1005&lt;=$A985)*MOVIMIENTOS!$E$5:$E$1005)+SUMPRODUCT((MOVIMIENTOS!$B$5:$B$1005="AJUSTE")*(MOVIMIENTOS!$C$5:$C$1005="P")*(MOVIMIENTOS!$D$5:$D$1005="jabas")*(MOVIMIENTOS!$A$5:$A$1005&lt;&gt;"")*(MOVIMIENTOS!$A$5:$A$1005&lt;=$A985)*MOVIMIENTOS!$E$5:$E$1005))</f>
        <v/>
      </c>
      <c r="D985" t="str">
        <f>IF($A985="","",SUMPRODUCT((MOVIMIENTOS!$B$5:$B$1005="SALDO INICIAL")*(MOVIMIENTOS!$C$5:$C$1005="C")*(MOVIMIENTOS!$D$5:$D$1005="jabas")*(MOVIMIENTOS!$A$5:$A$1005&lt;&gt;"")*(MOVIMIENTOS!$A$5:$A$1005&lt;=$A985)*MOVIMIENTOS!$E$5:$E$1005)+SUMPRODUCT((MOVIMIENTOS!$B$5:$B$1005="PROCESO")*(MOVIMIENTOS!$C$5:$C$1005="C")*(MOVIMIENTOS!$D$5:$D$1005="jabas")*(MOVIMIENTOS!$A$5:$A$1005&lt;&gt;"")*(MOVIMIENTOS!$A$5:$A$1005&lt;=$A985)*MOVIMIENTOS!$E$5:$E$1005)-SUMPRODUCT((MOVIMIENTOS!$B$5:$B$1005="ENVÍO A SUPESA")*(MOVIMIENTOS!$C$5:$C$1005="C")*(MOVIMIENTOS!$D$5:$D$1005="jabas")*(MOVIMIENTOS!$A$5:$A$1005&lt;&gt;"")*(MOVIMIENTOS!$A$5:$A$1005&lt;=$A985)*MOVIMIENTOS!$E$5:$E$1005)+SUMPRODUCT((MOVIMIENTOS!$B$5:$B$1005="DEVOLUCIÓN")*(MOVIMIENTOS!$C$5:$C$1005="C")*(MOVIMIENTOS!$D$5:$D$1005="jabas")*(MOVIMIENTOS!$A$5:$A$1005&lt;&gt;"")*(MOVIMIENTOS!$A$5:$A$1005&lt;=$A985)*MOVIMIENTOS!$E$5:$E$1005)-SUMPRODUCT((MOVIMIENTOS!$B$5:$B$1005="TRASIEGO")*(MOVIMIENTOS!$C$5:$C$1005="C")*(MOVIMIENTOS!$D$5:$D$1005="jabas")*(MOVIMIENTOS!$A$5:$A$1005&lt;&gt;"")*(MOVIMIENTOS!$A$5:$A$1005&lt;=$A985)*MOVIMIENTOS!$E$5:$E$1005)-SUMPRODUCT((MOVIMIENTOS!$B$5:$B$1005="REGALO")*(MOVIMIENTOS!$C$5:$C$1005="C")*(MOVIMIENTOS!$D$5:$D$1005="jabas")*(MOVIMIENTOS!$A$5:$A$1005&lt;&gt;"")*(MOVIMIENTOS!$A$5:$A$1005&lt;=$A985)*MOVIMIENTOS!$E$5:$E$1005)-SUMPRODUCT((MOVIMIENTOS!$B$5:$B$1005="VENTA")*(MOVIMIENTOS!$C$5:$C$1005="C")*(MOVIMIENTOS!$D$5:$D$1005="jabas")*(MOVIMIENTOS!$A$5:$A$1005&lt;&gt;"")*(MOVIMIENTOS!$A$5:$A$1005&lt;=$A985)*MOVIMIENTOS!$E$5:$E$1005)+SUMPRODUCT((MOVIMIENTOS!$B$5:$B$1005="AJUSTE")*(MOVIMIENTOS!$C$5:$C$1005="C")*(MOVIMIENTOS!$D$5:$D$1005="jabas")*(MOVIMIENTOS!$A$5:$A$1005&lt;&gt;"")*(MOVIMIENTOS!$A$5:$A$1005&lt;=$A985)*MOVIMIENTOS!$E$5:$E$1005))</f>
        <v/>
      </c>
      <c r="E985" t="str">
        <f>IF($A985="","",SUMPRODUCT((MOVIMIENTOS!$B$5:$B$1005="SALDO INICIAL")*(MOVIMIENTOS!$C$5:$C$1005="M")*(MOVIMIENTOS!$D$5:$D$1005="jabas")*(MOVIMIENTOS!$A$5:$A$1005&lt;&gt;"")*(MOVIMIENTOS!$A$5:$A$1005&lt;=$A985)*MOVIMIENTOS!$E$5:$E$1005)+SUMPRODUCT((MOVIMIENTOS!$B$5:$B$1005="PROCESO")*(MOVIMIENTOS!$C$5:$C$1005="M")*(MOVIMIENTOS!$D$5:$D$1005="jabas")*(MOVIMIENTOS!$A$5:$A$1005&lt;&gt;"")*(MOVIMIENTOS!$A$5:$A$1005&lt;=$A985)*MOVIMIENTOS!$E$5:$E$1005)-SUMPRODUCT((MOVIMIENTOS!$B$5:$B$1005="ENVÍO A SUPESA")*(MOVIMIENTOS!$C$5:$C$1005="M")*(MOVIMIENTOS!$D$5:$D$1005="jabas")*(MOVIMIENTOS!$A$5:$A$1005&lt;&gt;"")*(MOVIMIENTOS!$A$5:$A$1005&lt;=$A985)*MOVIMIENTOS!$E$5:$E$1005)+SUMPRODUCT((MOVIMIENTOS!$B$5:$B$1005="DEVOLUCIÓN")*(MOVIMIENTOS!$C$5:$C$1005="M")*(MOVIMIENTOS!$D$5:$D$1005="jabas")*(MOVIMIENTOS!$A$5:$A$1005&lt;&gt;"")*(MOVIMIENTOS!$A$5:$A$1005&lt;=$A985)*MOVIMIENTOS!$E$5:$E$1005)-SUMPRODUCT((MOVIMIENTOS!$B$5:$B$1005="TRASIEGO")*(MOVIMIENTOS!$C$5:$C$1005="M")*(MOVIMIENTOS!$D$5:$D$1005="jabas")*(MOVIMIENTOS!$A$5:$A$1005&lt;&gt;"")*(MOVIMIENTOS!$A$5:$A$1005&lt;=$A985)*MOVIMIENTOS!$E$5:$E$1005)-SUMPRODUCT((MOVIMIENTOS!$B$5:$B$1005="REGALO")*(MOVIMIENTOS!$C$5:$C$1005="M")*(MOVIMIENTOS!$D$5:$D$1005="jabas")*(MOVIMIENTOS!$A$5:$A$1005&lt;&gt;"")*(MOVIMIENTOS!$A$5:$A$1005&lt;=$A985)*MOVIMIENTOS!$E$5:$E$1005)-SUMPRODUCT((MOVIMIENTOS!$B$5:$B$1005="VENTA")*(MOVIMIENTOS!$C$5:$C$1005="M")*(MOVIMIENTOS!$D$5:$D$1005="jabas")*(MOVIMIENTOS!$A$5:$A$1005&lt;&gt;"")*(MOVIMIENTOS!$A$5:$A$1005&lt;=$A985)*MOVIMIENTOS!$E$5:$E$1005)+SUMPRODUCT((MOVIMIENTOS!$B$5:$B$1005="AJUSTE")*(MOVIMIENTOS!$C$5:$C$1005="M")*(MOVIMIENTOS!$D$5:$D$1005="jabas")*(MOVIMIENTOS!$A$5:$A$1005&lt;&gt;"")*(MOVIMIENTOS!$A$5:$A$1005&lt;=$A985)*MOVIMIENTOS!$E$5:$E$1005))</f>
        <v/>
      </c>
      <c r="F985" s="62" t="str">
        <f>IF($A985="","",SUMPRODUCT((MOVIMIENTOS!$B$5:$B$1005="SALDO INICIAL")*(MOVIMIENTOS!$C$5:$C$1005="Chancho")*(MOVIMIENTOS!$D$5:$D$1005="sacos")*(MOVIMIENTOS!$A$5:$A$1005&lt;&gt;"")*(MOVIMIENTOS!$A$5:$A$1005&lt;=$A985)*MOVIMIENTOS!$E$5:$E$1005)+SUMPRODUCT((MOVIMIENTOS!$B$5:$B$1005="PROCESO")*(MOVIMIENTOS!$C$5:$C$1005="Chancho")*(MOVIMIENTOS!$D$5:$D$1005="sacos")*(MOVIMIENTOS!$A$5:$A$1005&lt;&gt;"")*(MOVIMIENTOS!$A$5:$A$1005&lt;=$A985)*MOVIMIENTOS!$E$5:$E$1005)-SUMPRODUCT((MOVIMIENTOS!$B$5:$B$1005="VENTA CHANCHO")*(MOVIMIENTOS!$C$5:$C$1005="Chancho")*(MOVIMIENTOS!$D$5:$D$1005="sacos")*(MOVIMIENTOS!$A$5:$A$1005&lt;&gt;"")*(MOVIMIENTOS!$A$5:$A$1005&lt;=$A985)*MOVIMIENTOS!$E$5:$E$1005)-SUMPRODUCT((MOVIMIENTOS!$B$5:$B$1005="REGALO")*(MOVIMIENTOS!$C$5:$C$1005="Chancho")*(MOVIMIENTOS!$D$5:$D$1005="sacos")*(MOVIMIENTOS!$A$5:$A$1005&lt;&gt;"")*(MOVIMIENTOS!$A$5:$A$1005&lt;=$A985)*MOVIMIENTOS!$E$5:$E$1005)-SUMPRODUCT((MOVIMIENTOS!$B$5:$B$1005="VENTA")*(MOVIMIENTOS!$C$5:$C$1005="Chancho")*(MOVIMIENTOS!$D$5:$D$1005="sacos")*(MOVIMIENTOS!$A$5:$A$1005&lt;&gt;"")*(MOVIMIENTOS!$A$5:$A$1005&lt;=$A985)*MOVIMIENTOS!$E$5:$E$1005)+SUMPRODUCT((MOVIMIENTOS!$B$5:$B$1005="AJUSTE")*(MOVIMIENTOS!$C$5:$C$1005="Chancho")*(MOVIMIENTOS!$D$5:$D$1005="sacos")*(MOVIMIENTOS!$A$5:$A$1005&lt;&gt;"")*(MOVIMIENTOS!$A$5:$A$1005&lt;=$A985)*MOVIMIENTOS!$E$5:$E$1005))</f>
        <v/>
      </c>
      <c r="G985" s="62" t="str">
        <f t="shared" si="31"/>
        <v/>
      </c>
      <c r="H985" t="str">
        <f>IF($A985="","",SUMPRODUCT((((MOVIMIENTOS!$B$5:$B$1005="SALDO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985)*MOVIMIENTOS!$J$5:$J$1005))</f>
        <v/>
      </c>
      <c r="J985" t="str">
        <f>IF(AND(MOVIMIENTOS!$A990&lt;&gt;"",COUNTIF(MOVIMIENTOS!$A$5:$A989,MOVIMIENTOS!$A990)=0),COUNT(J$4:J984)+1,"")</f>
        <v/>
      </c>
      <c r="K985">
        <f>MOVIMIENTOS!$A990</f>
        <v>0</v>
      </c>
    </row>
    <row r="986" spans="1:11" ht="15" customHeight="1" x14ac:dyDescent="0.2">
      <c r="A986" t="str">
        <f t="shared" si="30"/>
        <v/>
      </c>
      <c r="B986" t="str">
        <f>IF($A986="","",SUMPRODUCT((MOVIMIENTOS!$B$5:$B$1005="SALDO INICIAL")*(MOVIMIENTOS!$C$5:$C$1005="A")*(MOVIMIENTOS!$D$5:$D$1005="jabas")*(MOVIMIENTOS!$A$5:$A$1005&lt;&gt;"")*(MOVIMIENTOS!$A$5:$A$1005&lt;=$A986)*MOVIMIENTOS!$E$5:$E$1005)+SUMPRODUCT((MOVIMIENTOS!$B$5:$B$1005="PROCESO")*(MOVIMIENTOS!$C$5:$C$1005="A")*(MOVIMIENTOS!$D$5:$D$1005="jabas")*(MOVIMIENTOS!$A$5:$A$1005&lt;&gt;"")*(MOVIMIENTOS!$A$5:$A$1005&lt;=$A986)*MOVIMIENTOS!$E$5:$E$1005)-SUMPRODUCT((MOVIMIENTOS!$B$5:$B$1005="ENVÍO A SUPESA")*(MOVIMIENTOS!$C$5:$C$1005="A")*(MOVIMIENTOS!$D$5:$D$1005="jabas")*(MOVIMIENTOS!$A$5:$A$1005&lt;&gt;"")*(MOVIMIENTOS!$A$5:$A$1005&lt;=$A986)*MOVIMIENTOS!$E$5:$E$1005)+SUMPRODUCT((MOVIMIENTOS!$B$5:$B$1005="DEVOLUCIÓN")*(MOVIMIENTOS!$C$5:$C$1005="A")*(MOVIMIENTOS!$D$5:$D$1005="jabas")*(MOVIMIENTOS!$A$5:$A$1005&lt;&gt;"")*(MOVIMIENTOS!$A$5:$A$1005&lt;=$A986)*MOVIMIENTOS!$E$5:$E$1005)-SUMPRODUCT((MOVIMIENTOS!$B$5:$B$1005="TRASIEGO")*(MOVIMIENTOS!$C$5:$C$1005="A")*(MOVIMIENTOS!$D$5:$D$1005="jabas")*(MOVIMIENTOS!$A$5:$A$1005&lt;&gt;"")*(MOVIMIENTOS!$A$5:$A$1005&lt;=$A986)*MOVIMIENTOS!$E$5:$E$1005)-SUMPRODUCT((MOVIMIENTOS!$B$5:$B$1005="REGALO")*(MOVIMIENTOS!$C$5:$C$1005="A")*(MOVIMIENTOS!$D$5:$D$1005="jabas")*(MOVIMIENTOS!$A$5:$A$1005&lt;&gt;"")*(MOVIMIENTOS!$A$5:$A$1005&lt;=$A986)*MOVIMIENTOS!$E$5:$E$1005)-SUMPRODUCT((MOVIMIENTOS!$B$5:$B$1005="VENTA")*(MOVIMIENTOS!$C$5:$C$1005="A")*(MOVIMIENTOS!$D$5:$D$1005="jabas")*(MOVIMIENTOS!$A$5:$A$1005&lt;&gt;"")*(MOVIMIENTOS!$A$5:$A$1005&lt;=$A986)*MOVIMIENTOS!$E$5:$E$1005)+SUMPRODUCT((MOVIMIENTOS!$B$5:$B$1005="AJUSTE")*(MOVIMIENTOS!$C$5:$C$1005="A")*(MOVIMIENTOS!$D$5:$D$1005="jabas")*(MOVIMIENTOS!$A$5:$A$1005&lt;&gt;"")*(MOVIMIENTOS!$A$5:$A$1005&lt;=$A986)*MOVIMIENTOS!$E$5:$E$1005))</f>
        <v/>
      </c>
      <c r="C986" t="str">
        <f>IF($A986="","",SUMPRODUCT((MOVIMIENTOS!$B$5:$B$1005="SALDO INICIAL")*(MOVIMIENTOS!$C$5:$C$1005="P")*(MOVIMIENTOS!$D$5:$D$1005="jabas")*(MOVIMIENTOS!$A$5:$A$1005&lt;&gt;"")*(MOVIMIENTOS!$A$5:$A$1005&lt;=$A986)*MOVIMIENTOS!$E$5:$E$1005)+SUMPRODUCT((MOVIMIENTOS!$B$5:$B$1005="PROCESO")*(MOVIMIENTOS!$C$5:$C$1005="P")*(MOVIMIENTOS!$D$5:$D$1005="jabas")*(MOVIMIENTOS!$A$5:$A$1005&lt;&gt;"")*(MOVIMIENTOS!$A$5:$A$1005&lt;=$A986)*MOVIMIENTOS!$E$5:$E$1005)-SUMPRODUCT((MOVIMIENTOS!$B$5:$B$1005="ENVÍO A SUPESA")*(MOVIMIENTOS!$C$5:$C$1005="P")*(MOVIMIENTOS!$D$5:$D$1005="jabas")*(MOVIMIENTOS!$A$5:$A$1005&lt;&gt;"")*(MOVIMIENTOS!$A$5:$A$1005&lt;=$A986)*MOVIMIENTOS!$E$5:$E$1005)+SUMPRODUCT((MOVIMIENTOS!$B$5:$B$1005="DEVOLUCIÓN")*(MOVIMIENTOS!$C$5:$C$1005="P")*(MOVIMIENTOS!$D$5:$D$1005="jabas")*(MOVIMIENTOS!$A$5:$A$1005&lt;&gt;"")*(MOVIMIENTOS!$A$5:$A$1005&lt;=$A986)*MOVIMIENTOS!$E$5:$E$1005)-SUMPRODUCT((MOVIMIENTOS!$B$5:$B$1005="TRASIEGO")*(MOVIMIENTOS!$C$5:$C$1005="P")*(MOVIMIENTOS!$D$5:$D$1005="jabas")*(MOVIMIENTOS!$A$5:$A$1005&lt;&gt;"")*(MOVIMIENTOS!$A$5:$A$1005&lt;=$A986)*MOVIMIENTOS!$E$5:$E$1005)-SUMPRODUCT((MOVIMIENTOS!$B$5:$B$1005="REGALO")*(MOVIMIENTOS!$C$5:$C$1005="P")*(MOVIMIENTOS!$D$5:$D$1005="jabas")*(MOVIMIENTOS!$A$5:$A$1005&lt;&gt;"")*(MOVIMIENTOS!$A$5:$A$1005&lt;=$A986)*MOVIMIENTOS!$E$5:$E$1005)-SUMPRODUCT((MOVIMIENTOS!$B$5:$B$1005="VENTA")*(MOVIMIENTOS!$C$5:$C$1005="P")*(MOVIMIENTOS!$D$5:$D$1005="jabas")*(MOVIMIENTOS!$A$5:$A$1005&lt;&gt;"")*(MOVIMIENTOS!$A$5:$A$1005&lt;=$A986)*MOVIMIENTOS!$E$5:$E$1005)+SUMPRODUCT((MOVIMIENTOS!$B$5:$B$1005="AJUSTE")*(MOVIMIENTOS!$C$5:$C$1005="P")*(MOVIMIENTOS!$D$5:$D$1005="jabas")*(MOVIMIENTOS!$A$5:$A$1005&lt;&gt;"")*(MOVIMIENTOS!$A$5:$A$1005&lt;=$A986)*MOVIMIENTOS!$E$5:$E$1005))</f>
        <v/>
      </c>
      <c r="D986" t="str">
        <f>IF($A986="","",SUMPRODUCT((MOVIMIENTOS!$B$5:$B$1005="SALDO INICIAL")*(MOVIMIENTOS!$C$5:$C$1005="C")*(MOVIMIENTOS!$D$5:$D$1005="jabas")*(MOVIMIENTOS!$A$5:$A$1005&lt;&gt;"")*(MOVIMIENTOS!$A$5:$A$1005&lt;=$A986)*MOVIMIENTOS!$E$5:$E$1005)+SUMPRODUCT((MOVIMIENTOS!$B$5:$B$1005="PROCESO")*(MOVIMIENTOS!$C$5:$C$1005="C")*(MOVIMIENTOS!$D$5:$D$1005="jabas")*(MOVIMIENTOS!$A$5:$A$1005&lt;&gt;"")*(MOVIMIENTOS!$A$5:$A$1005&lt;=$A986)*MOVIMIENTOS!$E$5:$E$1005)-SUMPRODUCT((MOVIMIENTOS!$B$5:$B$1005="ENVÍO A SUPESA")*(MOVIMIENTOS!$C$5:$C$1005="C")*(MOVIMIENTOS!$D$5:$D$1005="jabas")*(MOVIMIENTOS!$A$5:$A$1005&lt;&gt;"")*(MOVIMIENTOS!$A$5:$A$1005&lt;=$A986)*MOVIMIENTOS!$E$5:$E$1005)+SUMPRODUCT((MOVIMIENTOS!$B$5:$B$1005="DEVOLUCIÓN")*(MOVIMIENTOS!$C$5:$C$1005="C")*(MOVIMIENTOS!$D$5:$D$1005="jabas")*(MOVIMIENTOS!$A$5:$A$1005&lt;&gt;"")*(MOVIMIENTOS!$A$5:$A$1005&lt;=$A986)*MOVIMIENTOS!$E$5:$E$1005)-SUMPRODUCT((MOVIMIENTOS!$B$5:$B$1005="TRASIEGO")*(MOVIMIENTOS!$C$5:$C$1005="C")*(MOVIMIENTOS!$D$5:$D$1005="jabas")*(MOVIMIENTOS!$A$5:$A$1005&lt;&gt;"")*(MOVIMIENTOS!$A$5:$A$1005&lt;=$A986)*MOVIMIENTOS!$E$5:$E$1005)-SUMPRODUCT((MOVIMIENTOS!$B$5:$B$1005="REGALO")*(MOVIMIENTOS!$C$5:$C$1005="C")*(MOVIMIENTOS!$D$5:$D$1005="jabas")*(MOVIMIENTOS!$A$5:$A$1005&lt;&gt;"")*(MOVIMIENTOS!$A$5:$A$1005&lt;=$A986)*MOVIMIENTOS!$E$5:$E$1005)-SUMPRODUCT((MOVIMIENTOS!$B$5:$B$1005="VENTA")*(MOVIMIENTOS!$C$5:$C$1005="C")*(MOVIMIENTOS!$D$5:$D$1005="jabas")*(MOVIMIENTOS!$A$5:$A$1005&lt;&gt;"")*(MOVIMIENTOS!$A$5:$A$1005&lt;=$A986)*MOVIMIENTOS!$E$5:$E$1005)+SUMPRODUCT((MOVIMIENTOS!$B$5:$B$1005="AJUSTE")*(MOVIMIENTOS!$C$5:$C$1005="C")*(MOVIMIENTOS!$D$5:$D$1005="jabas")*(MOVIMIENTOS!$A$5:$A$1005&lt;&gt;"")*(MOVIMIENTOS!$A$5:$A$1005&lt;=$A986)*MOVIMIENTOS!$E$5:$E$1005))</f>
        <v/>
      </c>
      <c r="E986" t="str">
        <f>IF($A986="","",SUMPRODUCT((MOVIMIENTOS!$B$5:$B$1005="SALDO INICIAL")*(MOVIMIENTOS!$C$5:$C$1005="M")*(MOVIMIENTOS!$D$5:$D$1005="jabas")*(MOVIMIENTOS!$A$5:$A$1005&lt;&gt;"")*(MOVIMIENTOS!$A$5:$A$1005&lt;=$A986)*MOVIMIENTOS!$E$5:$E$1005)+SUMPRODUCT((MOVIMIENTOS!$B$5:$B$1005="PROCESO")*(MOVIMIENTOS!$C$5:$C$1005="M")*(MOVIMIENTOS!$D$5:$D$1005="jabas")*(MOVIMIENTOS!$A$5:$A$1005&lt;&gt;"")*(MOVIMIENTOS!$A$5:$A$1005&lt;=$A986)*MOVIMIENTOS!$E$5:$E$1005)-SUMPRODUCT((MOVIMIENTOS!$B$5:$B$1005="ENVÍO A SUPESA")*(MOVIMIENTOS!$C$5:$C$1005="M")*(MOVIMIENTOS!$D$5:$D$1005="jabas")*(MOVIMIENTOS!$A$5:$A$1005&lt;&gt;"")*(MOVIMIENTOS!$A$5:$A$1005&lt;=$A986)*MOVIMIENTOS!$E$5:$E$1005)+SUMPRODUCT((MOVIMIENTOS!$B$5:$B$1005="DEVOLUCIÓN")*(MOVIMIENTOS!$C$5:$C$1005="M")*(MOVIMIENTOS!$D$5:$D$1005="jabas")*(MOVIMIENTOS!$A$5:$A$1005&lt;&gt;"")*(MOVIMIENTOS!$A$5:$A$1005&lt;=$A986)*MOVIMIENTOS!$E$5:$E$1005)-SUMPRODUCT((MOVIMIENTOS!$B$5:$B$1005="TRASIEGO")*(MOVIMIENTOS!$C$5:$C$1005="M")*(MOVIMIENTOS!$D$5:$D$1005="jabas")*(MOVIMIENTOS!$A$5:$A$1005&lt;&gt;"")*(MOVIMIENTOS!$A$5:$A$1005&lt;=$A986)*MOVIMIENTOS!$E$5:$E$1005)-SUMPRODUCT((MOVIMIENTOS!$B$5:$B$1005="REGALO")*(MOVIMIENTOS!$C$5:$C$1005="M")*(MOVIMIENTOS!$D$5:$D$1005="jabas")*(MOVIMIENTOS!$A$5:$A$1005&lt;&gt;"")*(MOVIMIENTOS!$A$5:$A$1005&lt;=$A986)*MOVIMIENTOS!$E$5:$E$1005)-SUMPRODUCT((MOVIMIENTOS!$B$5:$B$1005="VENTA")*(MOVIMIENTOS!$C$5:$C$1005="M")*(MOVIMIENTOS!$D$5:$D$1005="jabas")*(MOVIMIENTOS!$A$5:$A$1005&lt;&gt;"")*(MOVIMIENTOS!$A$5:$A$1005&lt;=$A986)*MOVIMIENTOS!$E$5:$E$1005)+SUMPRODUCT((MOVIMIENTOS!$B$5:$B$1005="AJUSTE")*(MOVIMIENTOS!$C$5:$C$1005="M")*(MOVIMIENTOS!$D$5:$D$1005="jabas")*(MOVIMIENTOS!$A$5:$A$1005&lt;&gt;"")*(MOVIMIENTOS!$A$5:$A$1005&lt;=$A986)*MOVIMIENTOS!$E$5:$E$1005))</f>
        <v/>
      </c>
      <c r="F986" s="62" t="str">
        <f>IF($A986="","",SUMPRODUCT((MOVIMIENTOS!$B$5:$B$1005="SALDO INICIAL")*(MOVIMIENTOS!$C$5:$C$1005="Chancho")*(MOVIMIENTOS!$D$5:$D$1005="sacos")*(MOVIMIENTOS!$A$5:$A$1005&lt;&gt;"")*(MOVIMIENTOS!$A$5:$A$1005&lt;=$A986)*MOVIMIENTOS!$E$5:$E$1005)+SUMPRODUCT((MOVIMIENTOS!$B$5:$B$1005="PROCESO")*(MOVIMIENTOS!$C$5:$C$1005="Chancho")*(MOVIMIENTOS!$D$5:$D$1005="sacos")*(MOVIMIENTOS!$A$5:$A$1005&lt;&gt;"")*(MOVIMIENTOS!$A$5:$A$1005&lt;=$A986)*MOVIMIENTOS!$E$5:$E$1005)-SUMPRODUCT((MOVIMIENTOS!$B$5:$B$1005="VENTA CHANCHO")*(MOVIMIENTOS!$C$5:$C$1005="Chancho")*(MOVIMIENTOS!$D$5:$D$1005="sacos")*(MOVIMIENTOS!$A$5:$A$1005&lt;&gt;"")*(MOVIMIENTOS!$A$5:$A$1005&lt;=$A986)*MOVIMIENTOS!$E$5:$E$1005)-SUMPRODUCT((MOVIMIENTOS!$B$5:$B$1005="REGALO")*(MOVIMIENTOS!$C$5:$C$1005="Chancho")*(MOVIMIENTOS!$D$5:$D$1005="sacos")*(MOVIMIENTOS!$A$5:$A$1005&lt;&gt;"")*(MOVIMIENTOS!$A$5:$A$1005&lt;=$A986)*MOVIMIENTOS!$E$5:$E$1005)-SUMPRODUCT((MOVIMIENTOS!$B$5:$B$1005="VENTA")*(MOVIMIENTOS!$C$5:$C$1005="Chancho")*(MOVIMIENTOS!$D$5:$D$1005="sacos")*(MOVIMIENTOS!$A$5:$A$1005&lt;&gt;"")*(MOVIMIENTOS!$A$5:$A$1005&lt;=$A986)*MOVIMIENTOS!$E$5:$E$1005)+SUMPRODUCT((MOVIMIENTOS!$B$5:$B$1005="AJUSTE")*(MOVIMIENTOS!$C$5:$C$1005="Chancho")*(MOVIMIENTOS!$D$5:$D$1005="sacos")*(MOVIMIENTOS!$A$5:$A$1005&lt;&gt;"")*(MOVIMIENTOS!$A$5:$A$1005&lt;=$A986)*MOVIMIENTOS!$E$5:$E$1005))</f>
        <v/>
      </c>
      <c r="G986" s="62" t="str">
        <f t="shared" si="31"/>
        <v/>
      </c>
      <c r="H986" t="str">
        <f>IF($A986="","",SUMPRODUCT((((MOVIMIENTOS!$B$5:$B$1005="SALDO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986)*MOVIMIENTOS!$J$5:$J$1005))</f>
        <v/>
      </c>
      <c r="J986" t="str">
        <f>IF(AND(MOVIMIENTOS!$A991&lt;&gt;"",COUNTIF(MOVIMIENTOS!$A$5:$A990,MOVIMIENTOS!$A991)=0),COUNT(J$4:J985)+1,"")</f>
        <v/>
      </c>
      <c r="K986">
        <f>MOVIMIENTOS!$A991</f>
        <v>0</v>
      </c>
    </row>
    <row r="987" spans="1:11" ht="15" customHeight="1" x14ac:dyDescent="0.2">
      <c r="A987" t="str">
        <f t="shared" si="30"/>
        <v/>
      </c>
      <c r="B987" t="str">
        <f>IF($A987="","",SUMPRODUCT((MOVIMIENTOS!$B$5:$B$1005="SALDO INICIAL")*(MOVIMIENTOS!$C$5:$C$1005="A")*(MOVIMIENTOS!$D$5:$D$1005="jabas")*(MOVIMIENTOS!$A$5:$A$1005&lt;&gt;"")*(MOVIMIENTOS!$A$5:$A$1005&lt;=$A987)*MOVIMIENTOS!$E$5:$E$1005)+SUMPRODUCT((MOVIMIENTOS!$B$5:$B$1005="PROCESO")*(MOVIMIENTOS!$C$5:$C$1005="A")*(MOVIMIENTOS!$D$5:$D$1005="jabas")*(MOVIMIENTOS!$A$5:$A$1005&lt;&gt;"")*(MOVIMIENTOS!$A$5:$A$1005&lt;=$A987)*MOVIMIENTOS!$E$5:$E$1005)-SUMPRODUCT((MOVIMIENTOS!$B$5:$B$1005="ENVÍO A SUPESA")*(MOVIMIENTOS!$C$5:$C$1005="A")*(MOVIMIENTOS!$D$5:$D$1005="jabas")*(MOVIMIENTOS!$A$5:$A$1005&lt;&gt;"")*(MOVIMIENTOS!$A$5:$A$1005&lt;=$A987)*MOVIMIENTOS!$E$5:$E$1005)+SUMPRODUCT((MOVIMIENTOS!$B$5:$B$1005="DEVOLUCIÓN")*(MOVIMIENTOS!$C$5:$C$1005="A")*(MOVIMIENTOS!$D$5:$D$1005="jabas")*(MOVIMIENTOS!$A$5:$A$1005&lt;&gt;"")*(MOVIMIENTOS!$A$5:$A$1005&lt;=$A987)*MOVIMIENTOS!$E$5:$E$1005)-SUMPRODUCT((MOVIMIENTOS!$B$5:$B$1005="TRASIEGO")*(MOVIMIENTOS!$C$5:$C$1005="A")*(MOVIMIENTOS!$D$5:$D$1005="jabas")*(MOVIMIENTOS!$A$5:$A$1005&lt;&gt;"")*(MOVIMIENTOS!$A$5:$A$1005&lt;=$A987)*MOVIMIENTOS!$E$5:$E$1005)-SUMPRODUCT((MOVIMIENTOS!$B$5:$B$1005="REGALO")*(MOVIMIENTOS!$C$5:$C$1005="A")*(MOVIMIENTOS!$D$5:$D$1005="jabas")*(MOVIMIENTOS!$A$5:$A$1005&lt;&gt;"")*(MOVIMIENTOS!$A$5:$A$1005&lt;=$A987)*MOVIMIENTOS!$E$5:$E$1005)-SUMPRODUCT((MOVIMIENTOS!$B$5:$B$1005="VENTA")*(MOVIMIENTOS!$C$5:$C$1005="A")*(MOVIMIENTOS!$D$5:$D$1005="jabas")*(MOVIMIENTOS!$A$5:$A$1005&lt;&gt;"")*(MOVIMIENTOS!$A$5:$A$1005&lt;=$A987)*MOVIMIENTOS!$E$5:$E$1005)+SUMPRODUCT((MOVIMIENTOS!$B$5:$B$1005="AJUSTE")*(MOVIMIENTOS!$C$5:$C$1005="A")*(MOVIMIENTOS!$D$5:$D$1005="jabas")*(MOVIMIENTOS!$A$5:$A$1005&lt;&gt;"")*(MOVIMIENTOS!$A$5:$A$1005&lt;=$A987)*MOVIMIENTOS!$E$5:$E$1005))</f>
        <v/>
      </c>
      <c r="C987" t="str">
        <f>IF($A987="","",SUMPRODUCT((MOVIMIENTOS!$B$5:$B$1005="SALDO INICIAL")*(MOVIMIENTOS!$C$5:$C$1005="P")*(MOVIMIENTOS!$D$5:$D$1005="jabas")*(MOVIMIENTOS!$A$5:$A$1005&lt;&gt;"")*(MOVIMIENTOS!$A$5:$A$1005&lt;=$A987)*MOVIMIENTOS!$E$5:$E$1005)+SUMPRODUCT((MOVIMIENTOS!$B$5:$B$1005="PROCESO")*(MOVIMIENTOS!$C$5:$C$1005="P")*(MOVIMIENTOS!$D$5:$D$1005="jabas")*(MOVIMIENTOS!$A$5:$A$1005&lt;&gt;"")*(MOVIMIENTOS!$A$5:$A$1005&lt;=$A987)*MOVIMIENTOS!$E$5:$E$1005)-SUMPRODUCT((MOVIMIENTOS!$B$5:$B$1005="ENVÍO A SUPESA")*(MOVIMIENTOS!$C$5:$C$1005="P")*(MOVIMIENTOS!$D$5:$D$1005="jabas")*(MOVIMIENTOS!$A$5:$A$1005&lt;&gt;"")*(MOVIMIENTOS!$A$5:$A$1005&lt;=$A987)*MOVIMIENTOS!$E$5:$E$1005)+SUMPRODUCT((MOVIMIENTOS!$B$5:$B$1005="DEVOLUCIÓN")*(MOVIMIENTOS!$C$5:$C$1005="P")*(MOVIMIENTOS!$D$5:$D$1005="jabas")*(MOVIMIENTOS!$A$5:$A$1005&lt;&gt;"")*(MOVIMIENTOS!$A$5:$A$1005&lt;=$A987)*MOVIMIENTOS!$E$5:$E$1005)-SUMPRODUCT((MOVIMIENTOS!$B$5:$B$1005="TRASIEGO")*(MOVIMIENTOS!$C$5:$C$1005="P")*(MOVIMIENTOS!$D$5:$D$1005="jabas")*(MOVIMIENTOS!$A$5:$A$1005&lt;&gt;"")*(MOVIMIENTOS!$A$5:$A$1005&lt;=$A987)*MOVIMIENTOS!$E$5:$E$1005)-SUMPRODUCT((MOVIMIENTOS!$B$5:$B$1005="REGALO")*(MOVIMIENTOS!$C$5:$C$1005="P")*(MOVIMIENTOS!$D$5:$D$1005="jabas")*(MOVIMIENTOS!$A$5:$A$1005&lt;&gt;"")*(MOVIMIENTOS!$A$5:$A$1005&lt;=$A987)*MOVIMIENTOS!$E$5:$E$1005)-SUMPRODUCT((MOVIMIENTOS!$B$5:$B$1005="VENTA")*(MOVIMIENTOS!$C$5:$C$1005="P")*(MOVIMIENTOS!$D$5:$D$1005="jabas")*(MOVIMIENTOS!$A$5:$A$1005&lt;&gt;"")*(MOVIMIENTOS!$A$5:$A$1005&lt;=$A987)*MOVIMIENTOS!$E$5:$E$1005)+SUMPRODUCT((MOVIMIENTOS!$B$5:$B$1005="AJUSTE")*(MOVIMIENTOS!$C$5:$C$1005="P")*(MOVIMIENTOS!$D$5:$D$1005="jabas")*(MOVIMIENTOS!$A$5:$A$1005&lt;&gt;"")*(MOVIMIENTOS!$A$5:$A$1005&lt;=$A987)*MOVIMIENTOS!$E$5:$E$1005))</f>
        <v/>
      </c>
      <c r="D987" t="str">
        <f>IF($A987="","",SUMPRODUCT((MOVIMIENTOS!$B$5:$B$1005="SALDO INICIAL")*(MOVIMIENTOS!$C$5:$C$1005="C")*(MOVIMIENTOS!$D$5:$D$1005="jabas")*(MOVIMIENTOS!$A$5:$A$1005&lt;&gt;"")*(MOVIMIENTOS!$A$5:$A$1005&lt;=$A987)*MOVIMIENTOS!$E$5:$E$1005)+SUMPRODUCT((MOVIMIENTOS!$B$5:$B$1005="PROCESO")*(MOVIMIENTOS!$C$5:$C$1005="C")*(MOVIMIENTOS!$D$5:$D$1005="jabas")*(MOVIMIENTOS!$A$5:$A$1005&lt;&gt;"")*(MOVIMIENTOS!$A$5:$A$1005&lt;=$A987)*MOVIMIENTOS!$E$5:$E$1005)-SUMPRODUCT((MOVIMIENTOS!$B$5:$B$1005="ENVÍO A SUPESA")*(MOVIMIENTOS!$C$5:$C$1005="C")*(MOVIMIENTOS!$D$5:$D$1005="jabas")*(MOVIMIENTOS!$A$5:$A$1005&lt;&gt;"")*(MOVIMIENTOS!$A$5:$A$1005&lt;=$A987)*MOVIMIENTOS!$E$5:$E$1005)+SUMPRODUCT((MOVIMIENTOS!$B$5:$B$1005="DEVOLUCIÓN")*(MOVIMIENTOS!$C$5:$C$1005="C")*(MOVIMIENTOS!$D$5:$D$1005="jabas")*(MOVIMIENTOS!$A$5:$A$1005&lt;&gt;"")*(MOVIMIENTOS!$A$5:$A$1005&lt;=$A987)*MOVIMIENTOS!$E$5:$E$1005)-SUMPRODUCT((MOVIMIENTOS!$B$5:$B$1005="TRASIEGO")*(MOVIMIENTOS!$C$5:$C$1005="C")*(MOVIMIENTOS!$D$5:$D$1005="jabas")*(MOVIMIENTOS!$A$5:$A$1005&lt;&gt;"")*(MOVIMIENTOS!$A$5:$A$1005&lt;=$A987)*MOVIMIENTOS!$E$5:$E$1005)-SUMPRODUCT((MOVIMIENTOS!$B$5:$B$1005="REGALO")*(MOVIMIENTOS!$C$5:$C$1005="C")*(MOVIMIENTOS!$D$5:$D$1005="jabas")*(MOVIMIENTOS!$A$5:$A$1005&lt;&gt;"")*(MOVIMIENTOS!$A$5:$A$1005&lt;=$A987)*MOVIMIENTOS!$E$5:$E$1005)-SUMPRODUCT((MOVIMIENTOS!$B$5:$B$1005="VENTA")*(MOVIMIENTOS!$C$5:$C$1005="C")*(MOVIMIENTOS!$D$5:$D$1005="jabas")*(MOVIMIENTOS!$A$5:$A$1005&lt;&gt;"")*(MOVIMIENTOS!$A$5:$A$1005&lt;=$A987)*MOVIMIENTOS!$E$5:$E$1005)+SUMPRODUCT((MOVIMIENTOS!$B$5:$B$1005="AJUSTE")*(MOVIMIENTOS!$C$5:$C$1005="C")*(MOVIMIENTOS!$D$5:$D$1005="jabas")*(MOVIMIENTOS!$A$5:$A$1005&lt;&gt;"")*(MOVIMIENTOS!$A$5:$A$1005&lt;=$A987)*MOVIMIENTOS!$E$5:$E$1005))</f>
        <v/>
      </c>
      <c r="E987" t="str">
        <f>IF($A987="","",SUMPRODUCT((MOVIMIENTOS!$B$5:$B$1005="SALDO INICIAL")*(MOVIMIENTOS!$C$5:$C$1005="M")*(MOVIMIENTOS!$D$5:$D$1005="jabas")*(MOVIMIENTOS!$A$5:$A$1005&lt;&gt;"")*(MOVIMIENTOS!$A$5:$A$1005&lt;=$A987)*MOVIMIENTOS!$E$5:$E$1005)+SUMPRODUCT((MOVIMIENTOS!$B$5:$B$1005="PROCESO")*(MOVIMIENTOS!$C$5:$C$1005="M")*(MOVIMIENTOS!$D$5:$D$1005="jabas")*(MOVIMIENTOS!$A$5:$A$1005&lt;&gt;"")*(MOVIMIENTOS!$A$5:$A$1005&lt;=$A987)*MOVIMIENTOS!$E$5:$E$1005)-SUMPRODUCT((MOVIMIENTOS!$B$5:$B$1005="ENVÍO A SUPESA")*(MOVIMIENTOS!$C$5:$C$1005="M")*(MOVIMIENTOS!$D$5:$D$1005="jabas")*(MOVIMIENTOS!$A$5:$A$1005&lt;&gt;"")*(MOVIMIENTOS!$A$5:$A$1005&lt;=$A987)*MOVIMIENTOS!$E$5:$E$1005)+SUMPRODUCT((MOVIMIENTOS!$B$5:$B$1005="DEVOLUCIÓN")*(MOVIMIENTOS!$C$5:$C$1005="M")*(MOVIMIENTOS!$D$5:$D$1005="jabas")*(MOVIMIENTOS!$A$5:$A$1005&lt;&gt;"")*(MOVIMIENTOS!$A$5:$A$1005&lt;=$A987)*MOVIMIENTOS!$E$5:$E$1005)-SUMPRODUCT((MOVIMIENTOS!$B$5:$B$1005="TRASIEGO")*(MOVIMIENTOS!$C$5:$C$1005="M")*(MOVIMIENTOS!$D$5:$D$1005="jabas")*(MOVIMIENTOS!$A$5:$A$1005&lt;&gt;"")*(MOVIMIENTOS!$A$5:$A$1005&lt;=$A987)*MOVIMIENTOS!$E$5:$E$1005)-SUMPRODUCT((MOVIMIENTOS!$B$5:$B$1005="REGALO")*(MOVIMIENTOS!$C$5:$C$1005="M")*(MOVIMIENTOS!$D$5:$D$1005="jabas")*(MOVIMIENTOS!$A$5:$A$1005&lt;&gt;"")*(MOVIMIENTOS!$A$5:$A$1005&lt;=$A987)*MOVIMIENTOS!$E$5:$E$1005)-SUMPRODUCT((MOVIMIENTOS!$B$5:$B$1005="VENTA")*(MOVIMIENTOS!$C$5:$C$1005="M")*(MOVIMIENTOS!$D$5:$D$1005="jabas")*(MOVIMIENTOS!$A$5:$A$1005&lt;&gt;"")*(MOVIMIENTOS!$A$5:$A$1005&lt;=$A987)*MOVIMIENTOS!$E$5:$E$1005)+SUMPRODUCT((MOVIMIENTOS!$B$5:$B$1005="AJUSTE")*(MOVIMIENTOS!$C$5:$C$1005="M")*(MOVIMIENTOS!$D$5:$D$1005="jabas")*(MOVIMIENTOS!$A$5:$A$1005&lt;&gt;"")*(MOVIMIENTOS!$A$5:$A$1005&lt;=$A987)*MOVIMIENTOS!$E$5:$E$1005))</f>
        <v/>
      </c>
      <c r="F987" s="62" t="str">
        <f>IF($A987="","",SUMPRODUCT((MOVIMIENTOS!$B$5:$B$1005="SALDO INICIAL")*(MOVIMIENTOS!$C$5:$C$1005="Chancho")*(MOVIMIENTOS!$D$5:$D$1005="sacos")*(MOVIMIENTOS!$A$5:$A$1005&lt;&gt;"")*(MOVIMIENTOS!$A$5:$A$1005&lt;=$A987)*MOVIMIENTOS!$E$5:$E$1005)+SUMPRODUCT((MOVIMIENTOS!$B$5:$B$1005="PROCESO")*(MOVIMIENTOS!$C$5:$C$1005="Chancho")*(MOVIMIENTOS!$D$5:$D$1005="sacos")*(MOVIMIENTOS!$A$5:$A$1005&lt;&gt;"")*(MOVIMIENTOS!$A$5:$A$1005&lt;=$A987)*MOVIMIENTOS!$E$5:$E$1005)-SUMPRODUCT((MOVIMIENTOS!$B$5:$B$1005="VENTA CHANCHO")*(MOVIMIENTOS!$C$5:$C$1005="Chancho")*(MOVIMIENTOS!$D$5:$D$1005="sacos")*(MOVIMIENTOS!$A$5:$A$1005&lt;&gt;"")*(MOVIMIENTOS!$A$5:$A$1005&lt;=$A987)*MOVIMIENTOS!$E$5:$E$1005)-SUMPRODUCT((MOVIMIENTOS!$B$5:$B$1005="REGALO")*(MOVIMIENTOS!$C$5:$C$1005="Chancho")*(MOVIMIENTOS!$D$5:$D$1005="sacos")*(MOVIMIENTOS!$A$5:$A$1005&lt;&gt;"")*(MOVIMIENTOS!$A$5:$A$1005&lt;=$A987)*MOVIMIENTOS!$E$5:$E$1005)-SUMPRODUCT((MOVIMIENTOS!$B$5:$B$1005="VENTA")*(MOVIMIENTOS!$C$5:$C$1005="Chancho")*(MOVIMIENTOS!$D$5:$D$1005="sacos")*(MOVIMIENTOS!$A$5:$A$1005&lt;&gt;"")*(MOVIMIENTOS!$A$5:$A$1005&lt;=$A987)*MOVIMIENTOS!$E$5:$E$1005)+SUMPRODUCT((MOVIMIENTOS!$B$5:$B$1005="AJUSTE")*(MOVIMIENTOS!$C$5:$C$1005="Chancho")*(MOVIMIENTOS!$D$5:$D$1005="sacos")*(MOVIMIENTOS!$A$5:$A$1005&lt;&gt;"")*(MOVIMIENTOS!$A$5:$A$1005&lt;=$A987)*MOVIMIENTOS!$E$5:$E$1005))</f>
        <v/>
      </c>
      <c r="G987" s="62" t="str">
        <f t="shared" si="31"/>
        <v/>
      </c>
      <c r="H987" t="str">
        <f>IF($A987="","",SUMPRODUCT((((MOVIMIENTOS!$B$5:$B$1005="SALDO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987)*MOVIMIENTOS!$J$5:$J$1005))</f>
        <v/>
      </c>
      <c r="J987" t="str">
        <f>IF(AND(MOVIMIENTOS!$A992&lt;&gt;"",COUNTIF(MOVIMIENTOS!$A$5:$A991,MOVIMIENTOS!$A992)=0),COUNT(J$4:J986)+1,"")</f>
        <v/>
      </c>
      <c r="K987">
        <f>MOVIMIENTOS!$A992</f>
        <v>0</v>
      </c>
    </row>
    <row r="988" spans="1:11" ht="15" customHeight="1" x14ac:dyDescent="0.2">
      <c r="A988" t="str">
        <f t="shared" si="30"/>
        <v/>
      </c>
      <c r="B988" t="str">
        <f>IF($A988="","",SUMPRODUCT((MOVIMIENTOS!$B$5:$B$1005="SALDO INICIAL")*(MOVIMIENTOS!$C$5:$C$1005="A")*(MOVIMIENTOS!$D$5:$D$1005="jabas")*(MOVIMIENTOS!$A$5:$A$1005&lt;&gt;"")*(MOVIMIENTOS!$A$5:$A$1005&lt;=$A988)*MOVIMIENTOS!$E$5:$E$1005)+SUMPRODUCT((MOVIMIENTOS!$B$5:$B$1005="PROCESO")*(MOVIMIENTOS!$C$5:$C$1005="A")*(MOVIMIENTOS!$D$5:$D$1005="jabas")*(MOVIMIENTOS!$A$5:$A$1005&lt;&gt;"")*(MOVIMIENTOS!$A$5:$A$1005&lt;=$A988)*MOVIMIENTOS!$E$5:$E$1005)-SUMPRODUCT((MOVIMIENTOS!$B$5:$B$1005="ENVÍO A SUPESA")*(MOVIMIENTOS!$C$5:$C$1005="A")*(MOVIMIENTOS!$D$5:$D$1005="jabas")*(MOVIMIENTOS!$A$5:$A$1005&lt;&gt;"")*(MOVIMIENTOS!$A$5:$A$1005&lt;=$A988)*MOVIMIENTOS!$E$5:$E$1005)+SUMPRODUCT((MOVIMIENTOS!$B$5:$B$1005="DEVOLUCIÓN")*(MOVIMIENTOS!$C$5:$C$1005="A")*(MOVIMIENTOS!$D$5:$D$1005="jabas")*(MOVIMIENTOS!$A$5:$A$1005&lt;&gt;"")*(MOVIMIENTOS!$A$5:$A$1005&lt;=$A988)*MOVIMIENTOS!$E$5:$E$1005)-SUMPRODUCT((MOVIMIENTOS!$B$5:$B$1005="TRASIEGO")*(MOVIMIENTOS!$C$5:$C$1005="A")*(MOVIMIENTOS!$D$5:$D$1005="jabas")*(MOVIMIENTOS!$A$5:$A$1005&lt;&gt;"")*(MOVIMIENTOS!$A$5:$A$1005&lt;=$A988)*MOVIMIENTOS!$E$5:$E$1005)-SUMPRODUCT((MOVIMIENTOS!$B$5:$B$1005="REGALO")*(MOVIMIENTOS!$C$5:$C$1005="A")*(MOVIMIENTOS!$D$5:$D$1005="jabas")*(MOVIMIENTOS!$A$5:$A$1005&lt;&gt;"")*(MOVIMIENTOS!$A$5:$A$1005&lt;=$A988)*MOVIMIENTOS!$E$5:$E$1005)-SUMPRODUCT((MOVIMIENTOS!$B$5:$B$1005="VENTA")*(MOVIMIENTOS!$C$5:$C$1005="A")*(MOVIMIENTOS!$D$5:$D$1005="jabas")*(MOVIMIENTOS!$A$5:$A$1005&lt;&gt;"")*(MOVIMIENTOS!$A$5:$A$1005&lt;=$A988)*MOVIMIENTOS!$E$5:$E$1005)+SUMPRODUCT((MOVIMIENTOS!$B$5:$B$1005="AJUSTE")*(MOVIMIENTOS!$C$5:$C$1005="A")*(MOVIMIENTOS!$D$5:$D$1005="jabas")*(MOVIMIENTOS!$A$5:$A$1005&lt;&gt;"")*(MOVIMIENTOS!$A$5:$A$1005&lt;=$A988)*MOVIMIENTOS!$E$5:$E$1005))</f>
        <v/>
      </c>
      <c r="C988" t="str">
        <f>IF($A988="","",SUMPRODUCT((MOVIMIENTOS!$B$5:$B$1005="SALDO INICIAL")*(MOVIMIENTOS!$C$5:$C$1005="P")*(MOVIMIENTOS!$D$5:$D$1005="jabas")*(MOVIMIENTOS!$A$5:$A$1005&lt;&gt;"")*(MOVIMIENTOS!$A$5:$A$1005&lt;=$A988)*MOVIMIENTOS!$E$5:$E$1005)+SUMPRODUCT((MOVIMIENTOS!$B$5:$B$1005="PROCESO")*(MOVIMIENTOS!$C$5:$C$1005="P")*(MOVIMIENTOS!$D$5:$D$1005="jabas")*(MOVIMIENTOS!$A$5:$A$1005&lt;&gt;"")*(MOVIMIENTOS!$A$5:$A$1005&lt;=$A988)*MOVIMIENTOS!$E$5:$E$1005)-SUMPRODUCT((MOVIMIENTOS!$B$5:$B$1005="ENVÍO A SUPESA")*(MOVIMIENTOS!$C$5:$C$1005="P")*(MOVIMIENTOS!$D$5:$D$1005="jabas")*(MOVIMIENTOS!$A$5:$A$1005&lt;&gt;"")*(MOVIMIENTOS!$A$5:$A$1005&lt;=$A988)*MOVIMIENTOS!$E$5:$E$1005)+SUMPRODUCT((MOVIMIENTOS!$B$5:$B$1005="DEVOLUCIÓN")*(MOVIMIENTOS!$C$5:$C$1005="P")*(MOVIMIENTOS!$D$5:$D$1005="jabas")*(MOVIMIENTOS!$A$5:$A$1005&lt;&gt;"")*(MOVIMIENTOS!$A$5:$A$1005&lt;=$A988)*MOVIMIENTOS!$E$5:$E$1005)-SUMPRODUCT((MOVIMIENTOS!$B$5:$B$1005="TRASIEGO")*(MOVIMIENTOS!$C$5:$C$1005="P")*(MOVIMIENTOS!$D$5:$D$1005="jabas")*(MOVIMIENTOS!$A$5:$A$1005&lt;&gt;"")*(MOVIMIENTOS!$A$5:$A$1005&lt;=$A988)*MOVIMIENTOS!$E$5:$E$1005)-SUMPRODUCT((MOVIMIENTOS!$B$5:$B$1005="REGALO")*(MOVIMIENTOS!$C$5:$C$1005="P")*(MOVIMIENTOS!$D$5:$D$1005="jabas")*(MOVIMIENTOS!$A$5:$A$1005&lt;&gt;"")*(MOVIMIENTOS!$A$5:$A$1005&lt;=$A988)*MOVIMIENTOS!$E$5:$E$1005)-SUMPRODUCT((MOVIMIENTOS!$B$5:$B$1005="VENTA")*(MOVIMIENTOS!$C$5:$C$1005="P")*(MOVIMIENTOS!$D$5:$D$1005="jabas")*(MOVIMIENTOS!$A$5:$A$1005&lt;&gt;"")*(MOVIMIENTOS!$A$5:$A$1005&lt;=$A988)*MOVIMIENTOS!$E$5:$E$1005)+SUMPRODUCT((MOVIMIENTOS!$B$5:$B$1005="AJUSTE")*(MOVIMIENTOS!$C$5:$C$1005="P")*(MOVIMIENTOS!$D$5:$D$1005="jabas")*(MOVIMIENTOS!$A$5:$A$1005&lt;&gt;"")*(MOVIMIENTOS!$A$5:$A$1005&lt;=$A988)*MOVIMIENTOS!$E$5:$E$1005))</f>
        <v/>
      </c>
      <c r="D988" t="str">
        <f>IF($A988="","",SUMPRODUCT((MOVIMIENTOS!$B$5:$B$1005="SALDO INICIAL")*(MOVIMIENTOS!$C$5:$C$1005="C")*(MOVIMIENTOS!$D$5:$D$1005="jabas")*(MOVIMIENTOS!$A$5:$A$1005&lt;&gt;"")*(MOVIMIENTOS!$A$5:$A$1005&lt;=$A988)*MOVIMIENTOS!$E$5:$E$1005)+SUMPRODUCT((MOVIMIENTOS!$B$5:$B$1005="PROCESO")*(MOVIMIENTOS!$C$5:$C$1005="C")*(MOVIMIENTOS!$D$5:$D$1005="jabas")*(MOVIMIENTOS!$A$5:$A$1005&lt;&gt;"")*(MOVIMIENTOS!$A$5:$A$1005&lt;=$A988)*MOVIMIENTOS!$E$5:$E$1005)-SUMPRODUCT((MOVIMIENTOS!$B$5:$B$1005="ENVÍO A SUPESA")*(MOVIMIENTOS!$C$5:$C$1005="C")*(MOVIMIENTOS!$D$5:$D$1005="jabas")*(MOVIMIENTOS!$A$5:$A$1005&lt;&gt;"")*(MOVIMIENTOS!$A$5:$A$1005&lt;=$A988)*MOVIMIENTOS!$E$5:$E$1005)+SUMPRODUCT((MOVIMIENTOS!$B$5:$B$1005="DEVOLUCIÓN")*(MOVIMIENTOS!$C$5:$C$1005="C")*(MOVIMIENTOS!$D$5:$D$1005="jabas")*(MOVIMIENTOS!$A$5:$A$1005&lt;&gt;"")*(MOVIMIENTOS!$A$5:$A$1005&lt;=$A988)*MOVIMIENTOS!$E$5:$E$1005)-SUMPRODUCT((MOVIMIENTOS!$B$5:$B$1005="TRASIEGO")*(MOVIMIENTOS!$C$5:$C$1005="C")*(MOVIMIENTOS!$D$5:$D$1005="jabas")*(MOVIMIENTOS!$A$5:$A$1005&lt;&gt;"")*(MOVIMIENTOS!$A$5:$A$1005&lt;=$A988)*MOVIMIENTOS!$E$5:$E$1005)-SUMPRODUCT((MOVIMIENTOS!$B$5:$B$1005="REGALO")*(MOVIMIENTOS!$C$5:$C$1005="C")*(MOVIMIENTOS!$D$5:$D$1005="jabas")*(MOVIMIENTOS!$A$5:$A$1005&lt;&gt;"")*(MOVIMIENTOS!$A$5:$A$1005&lt;=$A988)*MOVIMIENTOS!$E$5:$E$1005)-SUMPRODUCT((MOVIMIENTOS!$B$5:$B$1005="VENTA")*(MOVIMIENTOS!$C$5:$C$1005="C")*(MOVIMIENTOS!$D$5:$D$1005="jabas")*(MOVIMIENTOS!$A$5:$A$1005&lt;&gt;"")*(MOVIMIENTOS!$A$5:$A$1005&lt;=$A988)*MOVIMIENTOS!$E$5:$E$1005)+SUMPRODUCT((MOVIMIENTOS!$B$5:$B$1005="AJUSTE")*(MOVIMIENTOS!$C$5:$C$1005="C")*(MOVIMIENTOS!$D$5:$D$1005="jabas")*(MOVIMIENTOS!$A$5:$A$1005&lt;&gt;"")*(MOVIMIENTOS!$A$5:$A$1005&lt;=$A988)*MOVIMIENTOS!$E$5:$E$1005))</f>
        <v/>
      </c>
      <c r="E988" t="str">
        <f>IF($A988="","",SUMPRODUCT((MOVIMIENTOS!$B$5:$B$1005="SALDO INICIAL")*(MOVIMIENTOS!$C$5:$C$1005="M")*(MOVIMIENTOS!$D$5:$D$1005="jabas")*(MOVIMIENTOS!$A$5:$A$1005&lt;&gt;"")*(MOVIMIENTOS!$A$5:$A$1005&lt;=$A988)*MOVIMIENTOS!$E$5:$E$1005)+SUMPRODUCT((MOVIMIENTOS!$B$5:$B$1005="PROCESO")*(MOVIMIENTOS!$C$5:$C$1005="M")*(MOVIMIENTOS!$D$5:$D$1005="jabas")*(MOVIMIENTOS!$A$5:$A$1005&lt;&gt;"")*(MOVIMIENTOS!$A$5:$A$1005&lt;=$A988)*MOVIMIENTOS!$E$5:$E$1005)-SUMPRODUCT((MOVIMIENTOS!$B$5:$B$1005="ENVÍO A SUPESA")*(MOVIMIENTOS!$C$5:$C$1005="M")*(MOVIMIENTOS!$D$5:$D$1005="jabas")*(MOVIMIENTOS!$A$5:$A$1005&lt;&gt;"")*(MOVIMIENTOS!$A$5:$A$1005&lt;=$A988)*MOVIMIENTOS!$E$5:$E$1005)+SUMPRODUCT((MOVIMIENTOS!$B$5:$B$1005="DEVOLUCIÓN")*(MOVIMIENTOS!$C$5:$C$1005="M")*(MOVIMIENTOS!$D$5:$D$1005="jabas")*(MOVIMIENTOS!$A$5:$A$1005&lt;&gt;"")*(MOVIMIENTOS!$A$5:$A$1005&lt;=$A988)*MOVIMIENTOS!$E$5:$E$1005)-SUMPRODUCT((MOVIMIENTOS!$B$5:$B$1005="TRASIEGO")*(MOVIMIENTOS!$C$5:$C$1005="M")*(MOVIMIENTOS!$D$5:$D$1005="jabas")*(MOVIMIENTOS!$A$5:$A$1005&lt;&gt;"")*(MOVIMIENTOS!$A$5:$A$1005&lt;=$A988)*MOVIMIENTOS!$E$5:$E$1005)-SUMPRODUCT((MOVIMIENTOS!$B$5:$B$1005="REGALO")*(MOVIMIENTOS!$C$5:$C$1005="M")*(MOVIMIENTOS!$D$5:$D$1005="jabas")*(MOVIMIENTOS!$A$5:$A$1005&lt;&gt;"")*(MOVIMIENTOS!$A$5:$A$1005&lt;=$A988)*MOVIMIENTOS!$E$5:$E$1005)-SUMPRODUCT((MOVIMIENTOS!$B$5:$B$1005="VENTA")*(MOVIMIENTOS!$C$5:$C$1005="M")*(MOVIMIENTOS!$D$5:$D$1005="jabas")*(MOVIMIENTOS!$A$5:$A$1005&lt;&gt;"")*(MOVIMIENTOS!$A$5:$A$1005&lt;=$A988)*MOVIMIENTOS!$E$5:$E$1005)+SUMPRODUCT((MOVIMIENTOS!$B$5:$B$1005="AJUSTE")*(MOVIMIENTOS!$C$5:$C$1005="M")*(MOVIMIENTOS!$D$5:$D$1005="jabas")*(MOVIMIENTOS!$A$5:$A$1005&lt;&gt;"")*(MOVIMIENTOS!$A$5:$A$1005&lt;=$A988)*MOVIMIENTOS!$E$5:$E$1005))</f>
        <v/>
      </c>
      <c r="F988" s="62" t="str">
        <f>IF($A988="","",SUMPRODUCT((MOVIMIENTOS!$B$5:$B$1005="SALDO INICIAL")*(MOVIMIENTOS!$C$5:$C$1005="Chancho")*(MOVIMIENTOS!$D$5:$D$1005="sacos")*(MOVIMIENTOS!$A$5:$A$1005&lt;&gt;"")*(MOVIMIENTOS!$A$5:$A$1005&lt;=$A988)*MOVIMIENTOS!$E$5:$E$1005)+SUMPRODUCT((MOVIMIENTOS!$B$5:$B$1005="PROCESO")*(MOVIMIENTOS!$C$5:$C$1005="Chancho")*(MOVIMIENTOS!$D$5:$D$1005="sacos")*(MOVIMIENTOS!$A$5:$A$1005&lt;&gt;"")*(MOVIMIENTOS!$A$5:$A$1005&lt;=$A988)*MOVIMIENTOS!$E$5:$E$1005)-SUMPRODUCT((MOVIMIENTOS!$B$5:$B$1005="VENTA CHANCHO")*(MOVIMIENTOS!$C$5:$C$1005="Chancho")*(MOVIMIENTOS!$D$5:$D$1005="sacos")*(MOVIMIENTOS!$A$5:$A$1005&lt;&gt;"")*(MOVIMIENTOS!$A$5:$A$1005&lt;=$A988)*MOVIMIENTOS!$E$5:$E$1005)-SUMPRODUCT((MOVIMIENTOS!$B$5:$B$1005="REGALO")*(MOVIMIENTOS!$C$5:$C$1005="Chancho")*(MOVIMIENTOS!$D$5:$D$1005="sacos")*(MOVIMIENTOS!$A$5:$A$1005&lt;&gt;"")*(MOVIMIENTOS!$A$5:$A$1005&lt;=$A988)*MOVIMIENTOS!$E$5:$E$1005)-SUMPRODUCT((MOVIMIENTOS!$B$5:$B$1005="VENTA")*(MOVIMIENTOS!$C$5:$C$1005="Chancho")*(MOVIMIENTOS!$D$5:$D$1005="sacos")*(MOVIMIENTOS!$A$5:$A$1005&lt;&gt;"")*(MOVIMIENTOS!$A$5:$A$1005&lt;=$A988)*MOVIMIENTOS!$E$5:$E$1005)+SUMPRODUCT((MOVIMIENTOS!$B$5:$B$1005="AJUSTE")*(MOVIMIENTOS!$C$5:$C$1005="Chancho")*(MOVIMIENTOS!$D$5:$D$1005="sacos")*(MOVIMIENTOS!$A$5:$A$1005&lt;&gt;"")*(MOVIMIENTOS!$A$5:$A$1005&lt;=$A988)*MOVIMIENTOS!$E$5:$E$1005))</f>
        <v/>
      </c>
      <c r="G988" s="62" t="str">
        <f t="shared" si="31"/>
        <v/>
      </c>
      <c r="H988" t="str">
        <f>IF($A988="","",SUMPRODUCT((((MOVIMIENTOS!$B$5:$B$1005="SALDO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988)*MOVIMIENTOS!$J$5:$J$1005))</f>
        <v/>
      </c>
      <c r="J988" t="str">
        <f>IF(AND(MOVIMIENTOS!$A993&lt;&gt;"",COUNTIF(MOVIMIENTOS!$A$5:$A992,MOVIMIENTOS!$A993)=0),COUNT(J$4:J987)+1,"")</f>
        <v/>
      </c>
      <c r="K988">
        <f>MOVIMIENTOS!$A993</f>
        <v>0</v>
      </c>
    </row>
    <row r="989" spans="1:11" ht="15" customHeight="1" x14ac:dyDescent="0.2">
      <c r="A989" t="str">
        <f t="shared" si="30"/>
        <v/>
      </c>
      <c r="B989" t="str">
        <f>IF($A989="","",SUMPRODUCT((MOVIMIENTOS!$B$5:$B$1005="SALDO INICIAL")*(MOVIMIENTOS!$C$5:$C$1005="A")*(MOVIMIENTOS!$D$5:$D$1005="jabas")*(MOVIMIENTOS!$A$5:$A$1005&lt;&gt;"")*(MOVIMIENTOS!$A$5:$A$1005&lt;=$A989)*MOVIMIENTOS!$E$5:$E$1005)+SUMPRODUCT((MOVIMIENTOS!$B$5:$B$1005="PROCESO")*(MOVIMIENTOS!$C$5:$C$1005="A")*(MOVIMIENTOS!$D$5:$D$1005="jabas")*(MOVIMIENTOS!$A$5:$A$1005&lt;&gt;"")*(MOVIMIENTOS!$A$5:$A$1005&lt;=$A989)*MOVIMIENTOS!$E$5:$E$1005)-SUMPRODUCT((MOVIMIENTOS!$B$5:$B$1005="ENVÍO A SUPESA")*(MOVIMIENTOS!$C$5:$C$1005="A")*(MOVIMIENTOS!$D$5:$D$1005="jabas")*(MOVIMIENTOS!$A$5:$A$1005&lt;&gt;"")*(MOVIMIENTOS!$A$5:$A$1005&lt;=$A989)*MOVIMIENTOS!$E$5:$E$1005)+SUMPRODUCT((MOVIMIENTOS!$B$5:$B$1005="DEVOLUCIÓN")*(MOVIMIENTOS!$C$5:$C$1005="A")*(MOVIMIENTOS!$D$5:$D$1005="jabas")*(MOVIMIENTOS!$A$5:$A$1005&lt;&gt;"")*(MOVIMIENTOS!$A$5:$A$1005&lt;=$A989)*MOVIMIENTOS!$E$5:$E$1005)-SUMPRODUCT((MOVIMIENTOS!$B$5:$B$1005="TRASIEGO")*(MOVIMIENTOS!$C$5:$C$1005="A")*(MOVIMIENTOS!$D$5:$D$1005="jabas")*(MOVIMIENTOS!$A$5:$A$1005&lt;&gt;"")*(MOVIMIENTOS!$A$5:$A$1005&lt;=$A989)*MOVIMIENTOS!$E$5:$E$1005)-SUMPRODUCT((MOVIMIENTOS!$B$5:$B$1005="REGALO")*(MOVIMIENTOS!$C$5:$C$1005="A")*(MOVIMIENTOS!$D$5:$D$1005="jabas")*(MOVIMIENTOS!$A$5:$A$1005&lt;&gt;"")*(MOVIMIENTOS!$A$5:$A$1005&lt;=$A989)*MOVIMIENTOS!$E$5:$E$1005)-SUMPRODUCT((MOVIMIENTOS!$B$5:$B$1005="VENTA")*(MOVIMIENTOS!$C$5:$C$1005="A")*(MOVIMIENTOS!$D$5:$D$1005="jabas")*(MOVIMIENTOS!$A$5:$A$1005&lt;&gt;"")*(MOVIMIENTOS!$A$5:$A$1005&lt;=$A989)*MOVIMIENTOS!$E$5:$E$1005)+SUMPRODUCT((MOVIMIENTOS!$B$5:$B$1005="AJUSTE")*(MOVIMIENTOS!$C$5:$C$1005="A")*(MOVIMIENTOS!$D$5:$D$1005="jabas")*(MOVIMIENTOS!$A$5:$A$1005&lt;&gt;"")*(MOVIMIENTOS!$A$5:$A$1005&lt;=$A989)*MOVIMIENTOS!$E$5:$E$1005))</f>
        <v/>
      </c>
      <c r="C989" t="str">
        <f>IF($A989="","",SUMPRODUCT((MOVIMIENTOS!$B$5:$B$1005="SALDO INICIAL")*(MOVIMIENTOS!$C$5:$C$1005="P")*(MOVIMIENTOS!$D$5:$D$1005="jabas")*(MOVIMIENTOS!$A$5:$A$1005&lt;&gt;"")*(MOVIMIENTOS!$A$5:$A$1005&lt;=$A989)*MOVIMIENTOS!$E$5:$E$1005)+SUMPRODUCT((MOVIMIENTOS!$B$5:$B$1005="PROCESO")*(MOVIMIENTOS!$C$5:$C$1005="P")*(MOVIMIENTOS!$D$5:$D$1005="jabas")*(MOVIMIENTOS!$A$5:$A$1005&lt;&gt;"")*(MOVIMIENTOS!$A$5:$A$1005&lt;=$A989)*MOVIMIENTOS!$E$5:$E$1005)-SUMPRODUCT((MOVIMIENTOS!$B$5:$B$1005="ENVÍO A SUPESA")*(MOVIMIENTOS!$C$5:$C$1005="P")*(MOVIMIENTOS!$D$5:$D$1005="jabas")*(MOVIMIENTOS!$A$5:$A$1005&lt;&gt;"")*(MOVIMIENTOS!$A$5:$A$1005&lt;=$A989)*MOVIMIENTOS!$E$5:$E$1005)+SUMPRODUCT((MOVIMIENTOS!$B$5:$B$1005="DEVOLUCIÓN")*(MOVIMIENTOS!$C$5:$C$1005="P")*(MOVIMIENTOS!$D$5:$D$1005="jabas")*(MOVIMIENTOS!$A$5:$A$1005&lt;&gt;"")*(MOVIMIENTOS!$A$5:$A$1005&lt;=$A989)*MOVIMIENTOS!$E$5:$E$1005)-SUMPRODUCT((MOVIMIENTOS!$B$5:$B$1005="TRASIEGO")*(MOVIMIENTOS!$C$5:$C$1005="P")*(MOVIMIENTOS!$D$5:$D$1005="jabas")*(MOVIMIENTOS!$A$5:$A$1005&lt;&gt;"")*(MOVIMIENTOS!$A$5:$A$1005&lt;=$A989)*MOVIMIENTOS!$E$5:$E$1005)-SUMPRODUCT((MOVIMIENTOS!$B$5:$B$1005="REGALO")*(MOVIMIENTOS!$C$5:$C$1005="P")*(MOVIMIENTOS!$D$5:$D$1005="jabas")*(MOVIMIENTOS!$A$5:$A$1005&lt;&gt;"")*(MOVIMIENTOS!$A$5:$A$1005&lt;=$A989)*MOVIMIENTOS!$E$5:$E$1005)-SUMPRODUCT((MOVIMIENTOS!$B$5:$B$1005="VENTA")*(MOVIMIENTOS!$C$5:$C$1005="P")*(MOVIMIENTOS!$D$5:$D$1005="jabas")*(MOVIMIENTOS!$A$5:$A$1005&lt;&gt;"")*(MOVIMIENTOS!$A$5:$A$1005&lt;=$A989)*MOVIMIENTOS!$E$5:$E$1005)+SUMPRODUCT((MOVIMIENTOS!$B$5:$B$1005="AJUSTE")*(MOVIMIENTOS!$C$5:$C$1005="P")*(MOVIMIENTOS!$D$5:$D$1005="jabas")*(MOVIMIENTOS!$A$5:$A$1005&lt;&gt;"")*(MOVIMIENTOS!$A$5:$A$1005&lt;=$A989)*MOVIMIENTOS!$E$5:$E$1005))</f>
        <v/>
      </c>
      <c r="D989" t="str">
        <f>IF($A989="","",SUMPRODUCT((MOVIMIENTOS!$B$5:$B$1005="SALDO INICIAL")*(MOVIMIENTOS!$C$5:$C$1005="C")*(MOVIMIENTOS!$D$5:$D$1005="jabas")*(MOVIMIENTOS!$A$5:$A$1005&lt;&gt;"")*(MOVIMIENTOS!$A$5:$A$1005&lt;=$A989)*MOVIMIENTOS!$E$5:$E$1005)+SUMPRODUCT((MOVIMIENTOS!$B$5:$B$1005="PROCESO")*(MOVIMIENTOS!$C$5:$C$1005="C")*(MOVIMIENTOS!$D$5:$D$1005="jabas")*(MOVIMIENTOS!$A$5:$A$1005&lt;&gt;"")*(MOVIMIENTOS!$A$5:$A$1005&lt;=$A989)*MOVIMIENTOS!$E$5:$E$1005)-SUMPRODUCT((MOVIMIENTOS!$B$5:$B$1005="ENVÍO A SUPESA")*(MOVIMIENTOS!$C$5:$C$1005="C")*(MOVIMIENTOS!$D$5:$D$1005="jabas")*(MOVIMIENTOS!$A$5:$A$1005&lt;&gt;"")*(MOVIMIENTOS!$A$5:$A$1005&lt;=$A989)*MOVIMIENTOS!$E$5:$E$1005)+SUMPRODUCT((MOVIMIENTOS!$B$5:$B$1005="DEVOLUCIÓN")*(MOVIMIENTOS!$C$5:$C$1005="C")*(MOVIMIENTOS!$D$5:$D$1005="jabas")*(MOVIMIENTOS!$A$5:$A$1005&lt;&gt;"")*(MOVIMIENTOS!$A$5:$A$1005&lt;=$A989)*MOVIMIENTOS!$E$5:$E$1005)-SUMPRODUCT((MOVIMIENTOS!$B$5:$B$1005="TRASIEGO")*(MOVIMIENTOS!$C$5:$C$1005="C")*(MOVIMIENTOS!$D$5:$D$1005="jabas")*(MOVIMIENTOS!$A$5:$A$1005&lt;&gt;"")*(MOVIMIENTOS!$A$5:$A$1005&lt;=$A989)*MOVIMIENTOS!$E$5:$E$1005)-SUMPRODUCT((MOVIMIENTOS!$B$5:$B$1005="REGALO")*(MOVIMIENTOS!$C$5:$C$1005="C")*(MOVIMIENTOS!$D$5:$D$1005="jabas")*(MOVIMIENTOS!$A$5:$A$1005&lt;&gt;"")*(MOVIMIENTOS!$A$5:$A$1005&lt;=$A989)*MOVIMIENTOS!$E$5:$E$1005)-SUMPRODUCT((MOVIMIENTOS!$B$5:$B$1005="VENTA")*(MOVIMIENTOS!$C$5:$C$1005="C")*(MOVIMIENTOS!$D$5:$D$1005="jabas")*(MOVIMIENTOS!$A$5:$A$1005&lt;&gt;"")*(MOVIMIENTOS!$A$5:$A$1005&lt;=$A989)*MOVIMIENTOS!$E$5:$E$1005)+SUMPRODUCT((MOVIMIENTOS!$B$5:$B$1005="AJUSTE")*(MOVIMIENTOS!$C$5:$C$1005="C")*(MOVIMIENTOS!$D$5:$D$1005="jabas")*(MOVIMIENTOS!$A$5:$A$1005&lt;&gt;"")*(MOVIMIENTOS!$A$5:$A$1005&lt;=$A989)*MOVIMIENTOS!$E$5:$E$1005))</f>
        <v/>
      </c>
      <c r="E989" t="str">
        <f>IF($A989="","",SUMPRODUCT((MOVIMIENTOS!$B$5:$B$1005="SALDO INICIAL")*(MOVIMIENTOS!$C$5:$C$1005="M")*(MOVIMIENTOS!$D$5:$D$1005="jabas")*(MOVIMIENTOS!$A$5:$A$1005&lt;&gt;"")*(MOVIMIENTOS!$A$5:$A$1005&lt;=$A989)*MOVIMIENTOS!$E$5:$E$1005)+SUMPRODUCT((MOVIMIENTOS!$B$5:$B$1005="PROCESO")*(MOVIMIENTOS!$C$5:$C$1005="M")*(MOVIMIENTOS!$D$5:$D$1005="jabas")*(MOVIMIENTOS!$A$5:$A$1005&lt;&gt;"")*(MOVIMIENTOS!$A$5:$A$1005&lt;=$A989)*MOVIMIENTOS!$E$5:$E$1005)-SUMPRODUCT((MOVIMIENTOS!$B$5:$B$1005="ENVÍO A SUPESA")*(MOVIMIENTOS!$C$5:$C$1005="M")*(MOVIMIENTOS!$D$5:$D$1005="jabas")*(MOVIMIENTOS!$A$5:$A$1005&lt;&gt;"")*(MOVIMIENTOS!$A$5:$A$1005&lt;=$A989)*MOVIMIENTOS!$E$5:$E$1005)+SUMPRODUCT((MOVIMIENTOS!$B$5:$B$1005="DEVOLUCIÓN")*(MOVIMIENTOS!$C$5:$C$1005="M")*(MOVIMIENTOS!$D$5:$D$1005="jabas")*(MOVIMIENTOS!$A$5:$A$1005&lt;&gt;"")*(MOVIMIENTOS!$A$5:$A$1005&lt;=$A989)*MOVIMIENTOS!$E$5:$E$1005)-SUMPRODUCT((MOVIMIENTOS!$B$5:$B$1005="TRASIEGO")*(MOVIMIENTOS!$C$5:$C$1005="M")*(MOVIMIENTOS!$D$5:$D$1005="jabas")*(MOVIMIENTOS!$A$5:$A$1005&lt;&gt;"")*(MOVIMIENTOS!$A$5:$A$1005&lt;=$A989)*MOVIMIENTOS!$E$5:$E$1005)-SUMPRODUCT((MOVIMIENTOS!$B$5:$B$1005="REGALO")*(MOVIMIENTOS!$C$5:$C$1005="M")*(MOVIMIENTOS!$D$5:$D$1005="jabas")*(MOVIMIENTOS!$A$5:$A$1005&lt;&gt;"")*(MOVIMIENTOS!$A$5:$A$1005&lt;=$A989)*MOVIMIENTOS!$E$5:$E$1005)-SUMPRODUCT((MOVIMIENTOS!$B$5:$B$1005="VENTA")*(MOVIMIENTOS!$C$5:$C$1005="M")*(MOVIMIENTOS!$D$5:$D$1005="jabas")*(MOVIMIENTOS!$A$5:$A$1005&lt;&gt;"")*(MOVIMIENTOS!$A$5:$A$1005&lt;=$A989)*MOVIMIENTOS!$E$5:$E$1005)+SUMPRODUCT((MOVIMIENTOS!$B$5:$B$1005="AJUSTE")*(MOVIMIENTOS!$C$5:$C$1005="M")*(MOVIMIENTOS!$D$5:$D$1005="jabas")*(MOVIMIENTOS!$A$5:$A$1005&lt;&gt;"")*(MOVIMIENTOS!$A$5:$A$1005&lt;=$A989)*MOVIMIENTOS!$E$5:$E$1005))</f>
        <v/>
      </c>
      <c r="F989" s="62" t="str">
        <f>IF($A989="","",SUMPRODUCT((MOVIMIENTOS!$B$5:$B$1005="SALDO INICIAL")*(MOVIMIENTOS!$C$5:$C$1005="Chancho")*(MOVIMIENTOS!$D$5:$D$1005="sacos")*(MOVIMIENTOS!$A$5:$A$1005&lt;&gt;"")*(MOVIMIENTOS!$A$5:$A$1005&lt;=$A989)*MOVIMIENTOS!$E$5:$E$1005)+SUMPRODUCT((MOVIMIENTOS!$B$5:$B$1005="PROCESO")*(MOVIMIENTOS!$C$5:$C$1005="Chancho")*(MOVIMIENTOS!$D$5:$D$1005="sacos")*(MOVIMIENTOS!$A$5:$A$1005&lt;&gt;"")*(MOVIMIENTOS!$A$5:$A$1005&lt;=$A989)*MOVIMIENTOS!$E$5:$E$1005)-SUMPRODUCT((MOVIMIENTOS!$B$5:$B$1005="VENTA CHANCHO")*(MOVIMIENTOS!$C$5:$C$1005="Chancho")*(MOVIMIENTOS!$D$5:$D$1005="sacos")*(MOVIMIENTOS!$A$5:$A$1005&lt;&gt;"")*(MOVIMIENTOS!$A$5:$A$1005&lt;=$A989)*MOVIMIENTOS!$E$5:$E$1005)-SUMPRODUCT((MOVIMIENTOS!$B$5:$B$1005="REGALO")*(MOVIMIENTOS!$C$5:$C$1005="Chancho")*(MOVIMIENTOS!$D$5:$D$1005="sacos")*(MOVIMIENTOS!$A$5:$A$1005&lt;&gt;"")*(MOVIMIENTOS!$A$5:$A$1005&lt;=$A989)*MOVIMIENTOS!$E$5:$E$1005)-SUMPRODUCT((MOVIMIENTOS!$B$5:$B$1005="VENTA")*(MOVIMIENTOS!$C$5:$C$1005="Chancho")*(MOVIMIENTOS!$D$5:$D$1005="sacos")*(MOVIMIENTOS!$A$5:$A$1005&lt;&gt;"")*(MOVIMIENTOS!$A$5:$A$1005&lt;=$A989)*MOVIMIENTOS!$E$5:$E$1005)+SUMPRODUCT((MOVIMIENTOS!$B$5:$B$1005="AJUSTE")*(MOVIMIENTOS!$C$5:$C$1005="Chancho")*(MOVIMIENTOS!$D$5:$D$1005="sacos")*(MOVIMIENTOS!$A$5:$A$1005&lt;&gt;"")*(MOVIMIENTOS!$A$5:$A$1005&lt;=$A989)*MOVIMIENTOS!$E$5:$E$1005))</f>
        <v/>
      </c>
      <c r="G989" s="62" t="str">
        <f t="shared" si="31"/>
        <v/>
      </c>
      <c r="H989" t="str">
        <f>IF($A989="","",SUMPRODUCT((((MOVIMIENTOS!$B$5:$B$1005="SALDO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989)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989)*MOVIMIENTOS!$J$5:$J$1005))</f>
        <v/>
      </c>
      <c r="J989" t="str">
        <f>IF(AND(MOVIMIENTOS!$A994&lt;&gt;"",COUNTIF(MOVIMIENTOS!$A$5:$A993,MOVIMIENTOS!$A994)=0),COUNT(J$4:J988)+1,"")</f>
        <v/>
      </c>
      <c r="K989">
        <f>MOVIMIENTOS!$A994</f>
        <v>0</v>
      </c>
    </row>
    <row r="990" spans="1:11" ht="15" customHeight="1" x14ac:dyDescent="0.2">
      <c r="A990" t="str">
        <f t="shared" si="30"/>
        <v/>
      </c>
      <c r="B990" t="str">
        <f>IF($A990="","",SUMPRODUCT((MOVIMIENTOS!$B$5:$B$1005="SALDO INICIAL")*(MOVIMIENTOS!$C$5:$C$1005="A")*(MOVIMIENTOS!$D$5:$D$1005="jabas")*(MOVIMIENTOS!$A$5:$A$1005&lt;&gt;"")*(MOVIMIENTOS!$A$5:$A$1005&lt;=$A990)*MOVIMIENTOS!$E$5:$E$1005)+SUMPRODUCT((MOVIMIENTOS!$B$5:$B$1005="PROCESO")*(MOVIMIENTOS!$C$5:$C$1005="A")*(MOVIMIENTOS!$D$5:$D$1005="jabas")*(MOVIMIENTOS!$A$5:$A$1005&lt;&gt;"")*(MOVIMIENTOS!$A$5:$A$1005&lt;=$A990)*MOVIMIENTOS!$E$5:$E$1005)-SUMPRODUCT((MOVIMIENTOS!$B$5:$B$1005="ENVÍO A SUPESA")*(MOVIMIENTOS!$C$5:$C$1005="A")*(MOVIMIENTOS!$D$5:$D$1005="jabas")*(MOVIMIENTOS!$A$5:$A$1005&lt;&gt;"")*(MOVIMIENTOS!$A$5:$A$1005&lt;=$A990)*MOVIMIENTOS!$E$5:$E$1005)+SUMPRODUCT((MOVIMIENTOS!$B$5:$B$1005="DEVOLUCIÓN")*(MOVIMIENTOS!$C$5:$C$1005="A")*(MOVIMIENTOS!$D$5:$D$1005="jabas")*(MOVIMIENTOS!$A$5:$A$1005&lt;&gt;"")*(MOVIMIENTOS!$A$5:$A$1005&lt;=$A990)*MOVIMIENTOS!$E$5:$E$1005)-SUMPRODUCT((MOVIMIENTOS!$B$5:$B$1005="TRASIEGO")*(MOVIMIENTOS!$C$5:$C$1005="A")*(MOVIMIENTOS!$D$5:$D$1005="jabas")*(MOVIMIENTOS!$A$5:$A$1005&lt;&gt;"")*(MOVIMIENTOS!$A$5:$A$1005&lt;=$A990)*MOVIMIENTOS!$E$5:$E$1005)-SUMPRODUCT((MOVIMIENTOS!$B$5:$B$1005="REGALO")*(MOVIMIENTOS!$C$5:$C$1005="A")*(MOVIMIENTOS!$D$5:$D$1005="jabas")*(MOVIMIENTOS!$A$5:$A$1005&lt;&gt;"")*(MOVIMIENTOS!$A$5:$A$1005&lt;=$A990)*MOVIMIENTOS!$E$5:$E$1005)-SUMPRODUCT((MOVIMIENTOS!$B$5:$B$1005="VENTA")*(MOVIMIENTOS!$C$5:$C$1005="A")*(MOVIMIENTOS!$D$5:$D$1005="jabas")*(MOVIMIENTOS!$A$5:$A$1005&lt;&gt;"")*(MOVIMIENTOS!$A$5:$A$1005&lt;=$A990)*MOVIMIENTOS!$E$5:$E$1005)+SUMPRODUCT((MOVIMIENTOS!$B$5:$B$1005="AJUSTE")*(MOVIMIENTOS!$C$5:$C$1005="A")*(MOVIMIENTOS!$D$5:$D$1005="jabas")*(MOVIMIENTOS!$A$5:$A$1005&lt;&gt;"")*(MOVIMIENTOS!$A$5:$A$1005&lt;=$A990)*MOVIMIENTOS!$E$5:$E$1005))</f>
        <v/>
      </c>
      <c r="C990" t="str">
        <f>IF($A990="","",SUMPRODUCT((MOVIMIENTOS!$B$5:$B$1005="SALDO INICIAL")*(MOVIMIENTOS!$C$5:$C$1005="P")*(MOVIMIENTOS!$D$5:$D$1005="jabas")*(MOVIMIENTOS!$A$5:$A$1005&lt;&gt;"")*(MOVIMIENTOS!$A$5:$A$1005&lt;=$A990)*MOVIMIENTOS!$E$5:$E$1005)+SUMPRODUCT((MOVIMIENTOS!$B$5:$B$1005="PROCESO")*(MOVIMIENTOS!$C$5:$C$1005="P")*(MOVIMIENTOS!$D$5:$D$1005="jabas")*(MOVIMIENTOS!$A$5:$A$1005&lt;&gt;"")*(MOVIMIENTOS!$A$5:$A$1005&lt;=$A990)*MOVIMIENTOS!$E$5:$E$1005)-SUMPRODUCT((MOVIMIENTOS!$B$5:$B$1005="ENVÍO A SUPESA")*(MOVIMIENTOS!$C$5:$C$1005="P")*(MOVIMIENTOS!$D$5:$D$1005="jabas")*(MOVIMIENTOS!$A$5:$A$1005&lt;&gt;"")*(MOVIMIENTOS!$A$5:$A$1005&lt;=$A990)*MOVIMIENTOS!$E$5:$E$1005)+SUMPRODUCT((MOVIMIENTOS!$B$5:$B$1005="DEVOLUCIÓN")*(MOVIMIENTOS!$C$5:$C$1005="P")*(MOVIMIENTOS!$D$5:$D$1005="jabas")*(MOVIMIENTOS!$A$5:$A$1005&lt;&gt;"")*(MOVIMIENTOS!$A$5:$A$1005&lt;=$A990)*MOVIMIENTOS!$E$5:$E$1005)-SUMPRODUCT((MOVIMIENTOS!$B$5:$B$1005="TRASIEGO")*(MOVIMIENTOS!$C$5:$C$1005="P")*(MOVIMIENTOS!$D$5:$D$1005="jabas")*(MOVIMIENTOS!$A$5:$A$1005&lt;&gt;"")*(MOVIMIENTOS!$A$5:$A$1005&lt;=$A990)*MOVIMIENTOS!$E$5:$E$1005)-SUMPRODUCT((MOVIMIENTOS!$B$5:$B$1005="REGALO")*(MOVIMIENTOS!$C$5:$C$1005="P")*(MOVIMIENTOS!$D$5:$D$1005="jabas")*(MOVIMIENTOS!$A$5:$A$1005&lt;&gt;"")*(MOVIMIENTOS!$A$5:$A$1005&lt;=$A990)*MOVIMIENTOS!$E$5:$E$1005)-SUMPRODUCT((MOVIMIENTOS!$B$5:$B$1005="VENTA")*(MOVIMIENTOS!$C$5:$C$1005="P")*(MOVIMIENTOS!$D$5:$D$1005="jabas")*(MOVIMIENTOS!$A$5:$A$1005&lt;&gt;"")*(MOVIMIENTOS!$A$5:$A$1005&lt;=$A990)*MOVIMIENTOS!$E$5:$E$1005)+SUMPRODUCT((MOVIMIENTOS!$B$5:$B$1005="AJUSTE")*(MOVIMIENTOS!$C$5:$C$1005="P")*(MOVIMIENTOS!$D$5:$D$1005="jabas")*(MOVIMIENTOS!$A$5:$A$1005&lt;&gt;"")*(MOVIMIENTOS!$A$5:$A$1005&lt;=$A990)*MOVIMIENTOS!$E$5:$E$1005))</f>
        <v/>
      </c>
      <c r="D990" t="str">
        <f>IF($A990="","",SUMPRODUCT((MOVIMIENTOS!$B$5:$B$1005="SALDO INICIAL")*(MOVIMIENTOS!$C$5:$C$1005="C")*(MOVIMIENTOS!$D$5:$D$1005="jabas")*(MOVIMIENTOS!$A$5:$A$1005&lt;&gt;"")*(MOVIMIENTOS!$A$5:$A$1005&lt;=$A990)*MOVIMIENTOS!$E$5:$E$1005)+SUMPRODUCT((MOVIMIENTOS!$B$5:$B$1005="PROCESO")*(MOVIMIENTOS!$C$5:$C$1005="C")*(MOVIMIENTOS!$D$5:$D$1005="jabas")*(MOVIMIENTOS!$A$5:$A$1005&lt;&gt;"")*(MOVIMIENTOS!$A$5:$A$1005&lt;=$A990)*MOVIMIENTOS!$E$5:$E$1005)-SUMPRODUCT((MOVIMIENTOS!$B$5:$B$1005="ENVÍO A SUPESA")*(MOVIMIENTOS!$C$5:$C$1005="C")*(MOVIMIENTOS!$D$5:$D$1005="jabas")*(MOVIMIENTOS!$A$5:$A$1005&lt;&gt;"")*(MOVIMIENTOS!$A$5:$A$1005&lt;=$A990)*MOVIMIENTOS!$E$5:$E$1005)+SUMPRODUCT((MOVIMIENTOS!$B$5:$B$1005="DEVOLUCIÓN")*(MOVIMIENTOS!$C$5:$C$1005="C")*(MOVIMIENTOS!$D$5:$D$1005="jabas")*(MOVIMIENTOS!$A$5:$A$1005&lt;&gt;"")*(MOVIMIENTOS!$A$5:$A$1005&lt;=$A990)*MOVIMIENTOS!$E$5:$E$1005)-SUMPRODUCT((MOVIMIENTOS!$B$5:$B$1005="TRASIEGO")*(MOVIMIENTOS!$C$5:$C$1005="C")*(MOVIMIENTOS!$D$5:$D$1005="jabas")*(MOVIMIENTOS!$A$5:$A$1005&lt;&gt;"")*(MOVIMIENTOS!$A$5:$A$1005&lt;=$A990)*MOVIMIENTOS!$E$5:$E$1005)-SUMPRODUCT((MOVIMIENTOS!$B$5:$B$1005="REGALO")*(MOVIMIENTOS!$C$5:$C$1005="C")*(MOVIMIENTOS!$D$5:$D$1005="jabas")*(MOVIMIENTOS!$A$5:$A$1005&lt;&gt;"")*(MOVIMIENTOS!$A$5:$A$1005&lt;=$A990)*MOVIMIENTOS!$E$5:$E$1005)-SUMPRODUCT((MOVIMIENTOS!$B$5:$B$1005="VENTA")*(MOVIMIENTOS!$C$5:$C$1005="C")*(MOVIMIENTOS!$D$5:$D$1005="jabas")*(MOVIMIENTOS!$A$5:$A$1005&lt;&gt;"")*(MOVIMIENTOS!$A$5:$A$1005&lt;=$A990)*MOVIMIENTOS!$E$5:$E$1005)+SUMPRODUCT((MOVIMIENTOS!$B$5:$B$1005="AJUSTE")*(MOVIMIENTOS!$C$5:$C$1005="C")*(MOVIMIENTOS!$D$5:$D$1005="jabas")*(MOVIMIENTOS!$A$5:$A$1005&lt;&gt;"")*(MOVIMIENTOS!$A$5:$A$1005&lt;=$A990)*MOVIMIENTOS!$E$5:$E$1005))</f>
        <v/>
      </c>
      <c r="E990" t="str">
        <f>IF($A990="","",SUMPRODUCT((MOVIMIENTOS!$B$5:$B$1005="SALDO INICIAL")*(MOVIMIENTOS!$C$5:$C$1005="M")*(MOVIMIENTOS!$D$5:$D$1005="jabas")*(MOVIMIENTOS!$A$5:$A$1005&lt;&gt;"")*(MOVIMIENTOS!$A$5:$A$1005&lt;=$A990)*MOVIMIENTOS!$E$5:$E$1005)+SUMPRODUCT((MOVIMIENTOS!$B$5:$B$1005="PROCESO")*(MOVIMIENTOS!$C$5:$C$1005="M")*(MOVIMIENTOS!$D$5:$D$1005="jabas")*(MOVIMIENTOS!$A$5:$A$1005&lt;&gt;"")*(MOVIMIENTOS!$A$5:$A$1005&lt;=$A990)*MOVIMIENTOS!$E$5:$E$1005)-SUMPRODUCT((MOVIMIENTOS!$B$5:$B$1005="ENVÍO A SUPESA")*(MOVIMIENTOS!$C$5:$C$1005="M")*(MOVIMIENTOS!$D$5:$D$1005="jabas")*(MOVIMIENTOS!$A$5:$A$1005&lt;&gt;"")*(MOVIMIENTOS!$A$5:$A$1005&lt;=$A990)*MOVIMIENTOS!$E$5:$E$1005)+SUMPRODUCT((MOVIMIENTOS!$B$5:$B$1005="DEVOLUCIÓN")*(MOVIMIENTOS!$C$5:$C$1005="M")*(MOVIMIENTOS!$D$5:$D$1005="jabas")*(MOVIMIENTOS!$A$5:$A$1005&lt;&gt;"")*(MOVIMIENTOS!$A$5:$A$1005&lt;=$A990)*MOVIMIENTOS!$E$5:$E$1005)-SUMPRODUCT((MOVIMIENTOS!$B$5:$B$1005="TRASIEGO")*(MOVIMIENTOS!$C$5:$C$1005="M")*(MOVIMIENTOS!$D$5:$D$1005="jabas")*(MOVIMIENTOS!$A$5:$A$1005&lt;&gt;"")*(MOVIMIENTOS!$A$5:$A$1005&lt;=$A990)*MOVIMIENTOS!$E$5:$E$1005)-SUMPRODUCT((MOVIMIENTOS!$B$5:$B$1005="REGALO")*(MOVIMIENTOS!$C$5:$C$1005="M")*(MOVIMIENTOS!$D$5:$D$1005="jabas")*(MOVIMIENTOS!$A$5:$A$1005&lt;&gt;"")*(MOVIMIENTOS!$A$5:$A$1005&lt;=$A990)*MOVIMIENTOS!$E$5:$E$1005)-SUMPRODUCT((MOVIMIENTOS!$B$5:$B$1005="VENTA")*(MOVIMIENTOS!$C$5:$C$1005="M")*(MOVIMIENTOS!$D$5:$D$1005="jabas")*(MOVIMIENTOS!$A$5:$A$1005&lt;&gt;"")*(MOVIMIENTOS!$A$5:$A$1005&lt;=$A990)*MOVIMIENTOS!$E$5:$E$1005)+SUMPRODUCT((MOVIMIENTOS!$B$5:$B$1005="AJUSTE")*(MOVIMIENTOS!$C$5:$C$1005="M")*(MOVIMIENTOS!$D$5:$D$1005="jabas")*(MOVIMIENTOS!$A$5:$A$1005&lt;&gt;"")*(MOVIMIENTOS!$A$5:$A$1005&lt;=$A990)*MOVIMIENTOS!$E$5:$E$1005))</f>
        <v/>
      </c>
      <c r="F990" s="62" t="str">
        <f>IF($A990="","",SUMPRODUCT((MOVIMIENTOS!$B$5:$B$1005="SALDO INICIAL")*(MOVIMIENTOS!$C$5:$C$1005="Chancho")*(MOVIMIENTOS!$D$5:$D$1005="sacos")*(MOVIMIENTOS!$A$5:$A$1005&lt;&gt;"")*(MOVIMIENTOS!$A$5:$A$1005&lt;=$A990)*MOVIMIENTOS!$E$5:$E$1005)+SUMPRODUCT((MOVIMIENTOS!$B$5:$B$1005="PROCESO")*(MOVIMIENTOS!$C$5:$C$1005="Chancho")*(MOVIMIENTOS!$D$5:$D$1005="sacos")*(MOVIMIENTOS!$A$5:$A$1005&lt;&gt;"")*(MOVIMIENTOS!$A$5:$A$1005&lt;=$A990)*MOVIMIENTOS!$E$5:$E$1005)-SUMPRODUCT((MOVIMIENTOS!$B$5:$B$1005="VENTA CHANCHO")*(MOVIMIENTOS!$C$5:$C$1005="Chancho")*(MOVIMIENTOS!$D$5:$D$1005="sacos")*(MOVIMIENTOS!$A$5:$A$1005&lt;&gt;"")*(MOVIMIENTOS!$A$5:$A$1005&lt;=$A990)*MOVIMIENTOS!$E$5:$E$1005)-SUMPRODUCT((MOVIMIENTOS!$B$5:$B$1005="REGALO")*(MOVIMIENTOS!$C$5:$C$1005="Chancho")*(MOVIMIENTOS!$D$5:$D$1005="sacos")*(MOVIMIENTOS!$A$5:$A$1005&lt;&gt;"")*(MOVIMIENTOS!$A$5:$A$1005&lt;=$A990)*MOVIMIENTOS!$E$5:$E$1005)-SUMPRODUCT((MOVIMIENTOS!$B$5:$B$1005="VENTA")*(MOVIMIENTOS!$C$5:$C$1005="Chancho")*(MOVIMIENTOS!$D$5:$D$1005="sacos")*(MOVIMIENTOS!$A$5:$A$1005&lt;&gt;"")*(MOVIMIENTOS!$A$5:$A$1005&lt;=$A990)*MOVIMIENTOS!$E$5:$E$1005)+SUMPRODUCT((MOVIMIENTOS!$B$5:$B$1005="AJUSTE")*(MOVIMIENTOS!$C$5:$C$1005="Chancho")*(MOVIMIENTOS!$D$5:$D$1005="sacos")*(MOVIMIENTOS!$A$5:$A$1005&lt;&gt;"")*(MOVIMIENTOS!$A$5:$A$1005&lt;=$A990)*MOVIMIENTOS!$E$5:$E$1005))</f>
        <v/>
      </c>
      <c r="G990" s="62" t="str">
        <f t="shared" si="31"/>
        <v/>
      </c>
      <c r="H990" t="str">
        <f>IF($A990="","",SUMPRODUCT((((MOVIMIENTOS!$B$5:$B$1005="SALDO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990)*MOVIMIENTOS!$J$5:$J$1005))</f>
        <v/>
      </c>
      <c r="J990" t="str">
        <f>IF(AND(MOVIMIENTOS!$A995&lt;&gt;"",COUNTIF(MOVIMIENTOS!$A$5:$A994,MOVIMIENTOS!$A995)=0),COUNT(J$4:J989)+1,"")</f>
        <v/>
      </c>
      <c r="K990">
        <f>MOVIMIENTOS!$A995</f>
        <v>0</v>
      </c>
    </row>
    <row r="991" spans="1:11" ht="15" customHeight="1" x14ac:dyDescent="0.2">
      <c r="A991" t="str">
        <f t="shared" si="30"/>
        <v/>
      </c>
      <c r="B991" t="str">
        <f>IF($A991="","",SUMPRODUCT((MOVIMIENTOS!$B$5:$B$1005="SALDO INICIAL")*(MOVIMIENTOS!$C$5:$C$1005="A")*(MOVIMIENTOS!$D$5:$D$1005="jabas")*(MOVIMIENTOS!$A$5:$A$1005&lt;&gt;"")*(MOVIMIENTOS!$A$5:$A$1005&lt;=$A991)*MOVIMIENTOS!$E$5:$E$1005)+SUMPRODUCT((MOVIMIENTOS!$B$5:$B$1005="PROCESO")*(MOVIMIENTOS!$C$5:$C$1005="A")*(MOVIMIENTOS!$D$5:$D$1005="jabas")*(MOVIMIENTOS!$A$5:$A$1005&lt;&gt;"")*(MOVIMIENTOS!$A$5:$A$1005&lt;=$A991)*MOVIMIENTOS!$E$5:$E$1005)-SUMPRODUCT((MOVIMIENTOS!$B$5:$B$1005="ENVÍO A SUPESA")*(MOVIMIENTOS!$C$5:$C$1005="A")*(MOVIMIENTOS!$D$5:$D$1005="jabas")*(MOVIMIENTOS!$A$5:$A$1005&lt;&gt;"")*(MOVIMIENTOS!$A$5:$A$1005&lt;=$A991)*MOVIMIENTOS!$E$5:$E$1005)+SUMPRODUCT((MOVIMIENTOS!$B$5:$B$1005="DEVOLUCIÓN")*(MOVIMIENTOS!$C$5:$C$1005="A")*(MOVIMIENTOS!$D$5:$D$1005="jabas")*(MOVIMIENTOS!$A$5:$A$1005&lt;&gt;"")*(MOVIMIENTOS!$A$5:$A$1005&lt;=$A991)*MOVIMIENTOS!$E$5:$E$1005)-SUMPRODUCT((MOVIMIENTOS!$B$5:$B$1005="TRASIEGO")*(MOVIMIENTOS!$C$5:$C$1005="A")*(MOVIMIENTOS!$D$5:$D$1005="jabas")*(MOVIMIENTOS!$A$5:$A$1005&lt;&gt;"")*(MOVIMIENTOS!$A$5:$A$1005&lt;=$A991)*MOVIMIENTOS!$E$5:$E$1005)-SUMPRODUCT((MOVIMIENTOS!$B$5:$B$1005="REGALO")*(MOVIMIENTOS!$C$5:$C$1005="A")*(MOVIMIENTOS!$D$5:$D$1005="jabas")*(MOVIMIENTOS!$A$5:$A$1005&lt;&gt;"")*(MOVIMIENTOS!$A$5:$A$1005&lt;=$A991)*MOVIMIENTOS!$E$5:$E$1005)-SUMPRODUCT((MOVIMIENTOS!$B$5:$B$1005="VENTA")*(MOVIMIENTOS!$C$5:$C$1005="A")*(MOVIMIENTOS!$D$5:$D$1005="jabas")*(MOVIMIENTOS!$A$5:$A$1005&lt;&gt;"")*(MOVIMIENTOS!$A$5:$A$1005&lt;=$A991)*MOVIMIENTOS!$E$5:$E$1005)+SUMPRODUCT((MOVIMIENTOS!$B$5:$B$1005="AJUSTE")*(MOVIMIENTOS!$C$5:$C$1005="A")*(MOVIMIENTOS!$D$5:$D$1005="jabas")*(MOVIMIENTOS!$A$5:$A$1005&lt;&gt;"")*(MOVIMIENTOS!$A$5:$A$1005&lt;=$A991)*MOVIMIENTOS!$E$5:$E$1005))</f>
        <v/>
      </c>
      <c r="C991" t="str">
        <f>IF($A991="","",SUMPRODUCT((MOVIMIENTOS!$B$5:$B$1005="SALDO INICIAL")*(MOVIMIENTOS!$C$5:$C$1005="P")*(MOVIMIENTOS!$D$5:$D$1005="jabas")*(MOVIMIENTOS!$A$5:$A$1005&lt;&gt;"")*(MOVIMIENTOS!$A$5:$A$1005&lt;=$A991)*MOVIMIENTOS!$E$5:$E$1005)+SUMPRODUCT((MOVIMIENTOS!$B$5:$B$1005="PROCESO")*(MOVIMIENTOS!$C$5:$C$1005="P")*(MOVIMIENTOS!$D$5:$D$1005="jabas")*(MOVIMIENTOS!$A$5:$A$1005&lt;&gt;"")*(MOVIMIENTOS!$A$5:$A$1005&lt;=$A991)*MOVIMIENTOS!$E$5:$E$1005)-SUMPRODUCT((MOVIMIENTOS!$B$5:$B$1005="ENVÍO A SUPESA")*(MOVIMIENTOS!$C$5:$C$1005="P")*(MOVIMIENTOS!$D$5:$D$1005="jabas")*(MOVIMIENTOS!$A$5:$A$1005&lt;&gt;"")*(MOVIMIENTOS!$A$5:$A$1005&lt;=$A991)*MOVIMIENTOS!$E$5:$E$1005)+SUMPRODUCT((MOVIMIENTOS!$B$5:$B$1005="DEVOLUCIÓN")*(MOVIMIENTOS!$C$5:$C$1005="P")*(MOVIMIENTOS!$D$5:$D$1005="jabas")*(MOVIMIENTOS!$A$5:$A$1005&lt;&gt;"")*(MOVIMIENTOS!$A$5:$A$1005&lt;=$A991)*MOVIMIENTOS!$E$5:$E$1005)-SUMPRODUCT((MOVIMIENTOS!$B$5:$B$1005="TRASIEGO")*(MOVIMIENTOS!$C$5:$C$1005="P")*(MOVIMIENTOS!$D$5:$D$1005="jabas")*(MOVIMIENTOS!$A$5:$A$1005&lt;&gt;"")*(MOVIMIENTOS!$A$5:$A$1005&lt;=$A991)*MOVIMIENTOS!$E$5:$E$1005)-SUMPRODUCT((MOVIMIENTOS!$B$5:$B$1005="REGALO")*(MOVIMIENTOS!$C$5:$C$1005="P")*(MOVIMIENTOS!$D$5:$D$1005="jabas")*(MOVIMIENTOS!$A$5:$A$1005&lt;&gt;"")*(MOVIMIENTOS!$A$5:$A$1005&lt;=$A991)*MOVIMIENTOS!$E$5:$E$1005)-SUMPRODUCT((MOVIMIENTOS!$B$5:$B$1005="VENTA")*(MOVIMIENTOS!$C$5:$C$1005="P")*(MOVIMIENTOS!$D$5:$D$1005="jabas")*(MOVIMIENTOS!$A$5:$A$1005&lt;&gt;"")*(MOVIMIENTOS!$A$5:$A$1005&lt;=$A991)*MOVIMIENTOS!$E$5:$E$1005)+SUMPRODUCT((MOVIMIENTOS!$B$5:$B$1005="AJUSTE")*(MOVIMIENTOS!$C$5:$C$1005="P")*(MOVIMIENTOS!$D$5:$D$1005="jabas")*(MOVIMIENTOS!$A$5:$A$1005&lt;&gt;"")*(MOVIMIENTOS!$A$5:$A$1005&lt;=$A991)*MOVIMIENTOS!$E$5:$E$1005))</f>
        <v/>
      </c>
      <c r="D991" t="str">
        <f>IF($A991="","",SUMPRODUCT((MOVIMIENTOS!$B$5:$B$1005="SALDO INICIAL")*(MOVIMIENTOS!$C$5:$C$1005="C")*(MOVIMIENTOS!$D$5:$D$1005="jabas")*(MOVIMIENTOS!$A$5:$A$1005&lt;&gt;"")*(MOVIMIENTOS!$A$5:$A$1005&lt;=$A991)*MOVIMIENTOS!$E$5:$E$1005)+SUMPRODUCT((MOVIMIENTOS!$B$5:$B$1005="PROCESO")*(MOVIMIENTOS!$C$5:$C$1005="C")*(MOVIMIENTOS!$D$5:$D$1005="jabas")*(MOVIMIENTOS!$A$5:$A$1005&lt;&gt;"")*(MOVIMIENTOS!$A$5:$A$1005&lt;=$A991)*MOVIMIENTOS!$E$5:$E$1005)-SUMPRODUCT((MOVIMIENTOS!$B$5:$B$1005="ENVÍO A SUPESA")*(MOVIMIENTOS!$C$5:$C$1005="C")*(MOVIMIENTOS!$D$5:$D$1005="jabas")*(MOVIMIENTOS!$A$5:$A$1005&lt;&gt;"")*(MOVIMIENTOS!$A$5:$A$1005&lt;=$A991)*MOVIMIENTOS!$E$5:$E$1005)+SUMPRODUCT((MOVIMIENTOS!$B$5:$B$1005="DEVOLUCIÓN")*(MOVIMIENTOS!$C$5:$C$1005="C")*(MOVIMIENTOS!$D$5:$D$1005="jabas")*(MOVIMIENTOS!$A$5:$A$1005&lt;&gt;"")*(MOVIMIENTOS!$A$5:$A$1005&lt;=$A991)*MOVIMIENTOS!$E$5:$E$1005)-SUMPRODUCT((MOVIMIENTOS!$B$5:$B$1005="TRASIEGO")*(MOVIMIENTOS!$C$5:$C$1005="C")*(MOVIMIENTOS!$D$5:$D$1005="jabas")*(MOVIMIENTOS!$A$5:$A$1005&lt;&gt;"")*(MOVIMIENTOS!$A$5:$A$1005&lt;=$A991)*MOVIMIENTOS!$E$5:$E$1005)-SUMPRODUCT((MOVIMIENTOS!$B$5:$B$1005="REGALO")*(MOVIMIENTOS!$C$5:$C$1005="C")*(MOVIMIENTOS!$D$5:$D$1005="jabas")*(MOVIMIENTOS!$A$5:$A$1005&lt;&gt;"")*(MOVIMIENTOS!$A$5:$A$1005&lt;=$A991)*MOVIMIENTOS!$E$5:$E$1005)-SUMPRODUCT((MOVIMIENTOS!$B$5:$B$1005="VENTA")*(MOVIMIENTOS!$C$5:$C$1005="C")*(MOVIMIENTOS!$D$5:$D$1005="jabas")*(MOVIMIENTOS!$A$5:$A$1005&lt;&gt;"")*(MOVIMIENTOS!$A$5:$A$1005&lt;=$A991)*MOVIMIENTOS!$E$5:$E$1005)+SUMPRODUCT((MOVIMIENTOS!$B$5:$B$1005="AJUSTE")*(MOVIMIENTOS!$C$5:$C$1005="C")*(MOVIMIENTOS!$D$5:$D$1005="jabas")*(MOVIMIENTOS!$A$5:$A$1005&lt;&gt;"")*(MOVIMIENTOS!$A$5:$A$1005&lt;=$A991)*MOVIMIENTOS!$E$5:$E$1005))</f>
        <v/>
      </c>
      <c r="E991" t="str">
        <f>IF($A991="","",SUMPRODUCT((MOVIMIENTOS!$B$5:$B$1005="SALDO INICIAL")*(MOVIMIENTOS!$C$5:$C$1005="M")*(MOVIMIENTOS!$D$5:$D$1005="jabas")*(MOVIMIENTOS!$A$5:$A$1005&lt;&gt;"")*(MOVIMIENTOS!$A$5:$A$1005&lt;=$A991)*MOVIMIENTOS!$E$5:$E$1005)+SUMPRODUCT((MOVIMIENTOS!$B$5:$B$1005="PROCESO")*(MOVIMIENTOS!$C$5:$C$1005="M")*(MOVIMIENTOS!$D$5:$D$1005="jabas")*(MOVIMIENTOS!$A$5:$A$1005&lt;&gt;"")*(MOVIMIENTOS!$A$5:$A$1005&lt;=$A991)*MOVIMIENTOS!$E$5:$E$1005)-SUMPRODUCT((MOVIMIENTOS!$B$5:$B$1005="ENVÍO A SUPESA")*(MOVIMIENTOS!$C$5:$C$1005="M")*(MOVIMIENTOS!$D$5:$D$1005="jabas")*(MOVIMIENTOS!$A$5:$A$1005&lt;&gt;"")*(MOVIMIENTOS!$A$5:$A$1005&lt;=$A991)*MOVIMIENTOS!$E$5:$E$1005)+SUMPRODUCT((MOVIMIENTOS!$B$5:$B$1005="DEVOLUCIÓN")*(MOVIMIENTOS!$C$5:$C$1005="M")*(MOVIMIENTOS!$D$5:$D$1005="jabas")*(MOVIMIENTOS!$A$5:$A$1005&lt;&gt;"")*(MOVIMIENTOS!$A$5:$A$1005&lt;=$A991)*MOVIMIENTOS!$E$5:$E$1005)-SUMPRODUCT((MOVIMIENTOS!$B$5:$B$1005="TRASIEGO")*(MOVIMIENTOS!$C$5:$C$1005="M")*(MOVIMIENTOS!$D$5:$D$1005="jabas")*(MOVIMIENTOS!$A$5:$A$1005&lt;&gt;"")*(MOVIMIENTOS!$A$5:$A$1005&lt;=$A991)*MOVIMIENTOS!$E$5:$E$1005)-SUMPRODUCT((MOVIMIENTOS!$B$5:$B$1005="REGALO")*(MOVIMIENTOS!$C$5:$C$1005="M")*(MOVIMIENTOS!$D$5:$D$1005="jabas")*(MOVIMIENTOS!$A$5:$A$1005&lt;&gt;"")*(MOVIMIENTOS!$A$5:$A$1005&lt;=$A991)*MOVIMIENTOS!$E$5:$E$1005)-SUMPRODUCT((MOVIMIENTOS!$B$5:$B$1005="VENTA")*(MOVIMIENTOS!$C$5:$C$1005="M")*(MOVIMIENTOS!$D$5:$D$1005="jabas")*(MOVIMIENTOS!$A$5:$A$1005&lt;&gt;"")*(MOVIMIENTOS!$A$5:$A$1005&lt;=$A991)*MOVIMIENTOS!$E$5:$E$1005)+SUMPRODUCT((MOVIMIENTOS!$B$5:$B$1005="AJUSTE")*(MOVIMIENTOS!$C$5:$C$1005="M")*(MOVIMIENTOS!$D$5:$D$1005="jabas")*(MOVIMIENTOS!$A$5:$A$1005&lt;&gt;"")*(MOVIMIENTOS!$A$5:$A$1005&lt;=$A991)*MOVIMIENTOS!$E$5:$E$1005))</f>
        <v/>
      </c>
      <c r="F991" s="62" t="str">
        <f>IF($A991="","",SUMPRODUCT((MOVIMIENTOS!$B$5:$B$1005="SALDO INICIAL")*(MOVIMIENTOS!$C$5:$C$1005="Chancho")*(MOVIMIENTOS!$D$5:$D$1005="sacos")*(MOVIMIENTOS!$A$5:$A$1005&lt;&gt;"")*(MOVIMIENTOS!$A$5:$A$1005&lt;=$A991)*MOVIMIENTOS!$E$5:$E$1005)+SUMPRODUCT((MOVIMIENTOS!$B$5:$B$1005="PROCESO")*(MOVIMIENTOS!$C$5:$C$1005="Chancho")*(MOVIMIENTOS!$D$5:$D$1005="sacos")*(MOVIMIENTOS!$A$5:$A$1005&lt;&gt;"")*(MOVIMIENTOS!$A$5:$A$1005&lt;=$A991)*MOVIMIENTOS!$E$5:$E$1005)-SUMPRODUCT((MOVIMIENTOS!$B$5:$B$1005="VENTA CHANCHO")*(MOVIMIENTOS!$C$5:$C$1005="Chancho")*(MOVIMIENTOS!$D$5:$D$1005="sacos")*(MOVIMIENTOS!$A$5:$A$1005&lt;&gt;"")*(MOVIMIENTOS!$A$5:$A$1005&lt;=$A991)*MOVIMIENTOS!$E$5:$E$1005)-SUMPRODUCT((MOVIMIENTOS!$B$5:$B$1005="REGALO")*(MOVIMIENTOS!$C$5:$C$1005="Chancho")*(MOVIMIENTOS!$D$5:$D$1005="sacos")*(MOVIMIENTOS!$A$5:$A$1005&lt;&gt;"")*(MOVIMIENTOS!$A$5:$A$1005&lt;=$A991)*MOVIMIENTOS!$E$5:$E$1005)-SUMPRODUCT((MOVIMIENTOS!$B$5:$B$1005="VENTA")*(MOVIMIENTOS!$C$5:$C$1005="Chancho")*(MOVIMIENTOS!$D$5:$D$1005="sacos")*(MOVIMIENTOS!$A$5:$A$1005&lt;&gt;"")*(MOVIMIENTOS!$A$5:$A$1005&lt;=$A991)*MOVIMIENTOS!$E$5:$E$1005)+SUMPRODUCT((MOVIMIENTOS!$B$5:$B$1005="AJUSTE")*(MOVIMIENTOS!$C$5:$C$1005="Chancho")*(MOVIMIENTOS!$D$5:$D$1005="sacos")*(MOVIMIENTOS!$A$5:$A$1005&lt;&gt;"")*(MOVIMIENTOS!$A$5:$A$1005&lt;=$A991)*MOVIMIENTOS!$E$5:$E$1005))</f>
        <v/>
      </c>
      <c r="G991" s="62" t="str">
        <f t="shared" si="31"/>
        <v/>
      </c>
      <c r="H991" t="str">
        <f>IF($A991="","",SUMPRODUCT((((MOVIMIENTOS!$B$5:$B$1005="SALDO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991)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991)*MOVIMIENTOS!$J$5:$J$1005))</f>
        <v/>
      </c>
      <c r="J991" t="str">
        <f>IF(AND(MOVIMIENTOS!$A996&lt;&gt;"",COUNTIF(MOVIMIENTOS!$A$5:$A995,MOVIMIENTOS!$A996)=0),COUNT(J$4:J990)+1,"")</f>
        <v/>
      </c>
      <c r="K991">
        <f>MOVIMIENTOS!$A996</f>
        <v>0</v>
      </c>
    </row>
    <row r="992" spans="1:11" ht="15" customHeight="1" x14ac:dyDescent="0.2">
      <c r="A992" t="str">
        <f t="shared" si="30"/>
        <v/>
      </c>
      <c r="B992" t="str">
        <f>IF($A992="","",SUMPRODUCT((MOVIMIENTOS!$B$5:$B$1005="SALDO INICIAL")*(MOVIMIENTOS!$C$5:$C$1005="A")*(MOVIMIENTOS!$D$5:$D$1005="jabas")*(MOVIMIENTOS!$A$5:$A$1005&lt;&gt;"")*(MOVIMIENTOS!$A$5:$A$1005&lt;=$A992)*MOVIMIENTOS!$E$5:$E$1005)+SUMPRODUCT((MOVIMIENTOS!$B$5:$B$1005="PROCESO")*(MOVIMIENTOS!$C$5:$C$1005="A")*(MOVIMIENTOS!$D$5:$D$1005="jabas")*(MOVIMIENTOS!$A$5:$A$1005&lt;&gt;"")*(MOVIMIENTOS!$A$5:$A$1005&lt;=$A992)*MOVIMIENTOS!$E$5:$E$1005)-SUMPRODUCT((MOVIMIENTOS!$B$5:$B$1005="ENVÍO A SUPESA")*(MOVIMIENTOS!$C$5:$C$1005="A")*(MOVIMIENTOS!$D$5:$D$1005="jabas")*(MOVIMIENTOS!$A$5:$A$1005&lt;&gt;"")*(MOVIMIENTOS!$A$5:$A$1005&lt;=$A992)*MOVIMIENTOS!$E$5:$E$1005)+SUMPRODUCT((MOVIMIENTOS!$B$5:$B$1005="DEVOLUCIÓN")*(MOVIMIENTOS!$C$5:$C$1005="A")*(MOVIMIENTOS!$D$5:$D$1005="jabas")*(MOVIMIENTOS!$A$5:$A$1005&lt;&gt;"")*(MOVIMIENTOS!$A$5:$A$1005&lt;=$A992)*MOVIMIENTOS!$E$5:$E$1005)-SUMPRODUCT((MOVIMIENTOS!$B$5:$B$1005="TRASIEGO")*(MOVIMIENTOS!$C$5:$C$1005="A")*(MOVIMIENTOS!$D$5:$D$1005="jabas")*(MOVIMIENTOS!$A$5:$A$1005&lt;&gt;"")*(MOVIMIENTOS!$A$5:$A$1005&lt;=$A992)*MOVIMIENTOS!$E$5:$E$1005)-SUMPRODUCT((MOVIMIENTOS!$B$5:$B$1005="REGALO")*(MOVIMIENTOS!$C$5:$C$1005="A")*(MOVIMIENTOS!$D$5:$D$1005="jabas")*(MOVIMIENTOS!$A$5:$A$1005&lt;&gt;"")*(MOVIMIENTOS!$A$5:$A$1005&lt;=$A992)*MOVIMIENTOS!$E$5:$E$1005)-SUMPRODUCT((MOVIMIENTOS!$B$5:$B$1005="VENTA")*(MOVIMIENTOS!$C$5:$C$1005="A")*(MOVIMIENTOS!$D$5:$D$1005="jabas")*(MOVIMIENTOS!$A$5:$A$1005&lt;&gt;"")*(MOVIMIENTOS!$A$5:$A$1005&lt;=$A992)*MOVIMIENTOS!$E$5:$E$1005)+SUMPRODUCT((MOVIMIENTOS!$B$5:$B$1005="AJUSTE")*(MOVIMIENTOS!$C$5:$C$1005="A")*(MOVIMIENTOS!$D$5:$D$1005="jabas")*(MOVIMIENTOS!$A$5:$A$1005&lt;&gt;"")*(MOVIMIENTOS!$A$5:$A$1005&lt;=$A992)*MOVIMIENTOS!$E$5:$E$1005))</f>
        <v/>
      </c>
      <c r="C992" t="str">
        <f>IF($A992="","",SUMPRODUCT((MOVIMIENTOS!$B$5:$B$1005="SALDO INICIAL")*(MOVIMIENTOS!$C$5:$C$1005="P")*(MOVIMIENTOS!$D$5:$D$1005="jabas")*(MOVIMIENTOS!$A$5:$A$1005&lt;&gt;"")*(MOVIMIENTOS!$A$5:$A$1005&lt;=$A992)*MOVIMIENTOS!$E$5:$E$1005)+SUMPRODUCT((MOVIMIENTOS!$B$5:$B$1005="PROCESO")*(MOVIMIENTOS!$C$5:$C$1005="P")*(MOVIMIENTOS!$D$5:$D$1005="jabas")*(MOVIMIENTOS!$A$5:$A$1005&lt;&gt;"")*(MOVIMIENTOS!$A$5:$A$1005&lt;=$A992)*MOVIMIENTOS!$E$5:$E$1005)-SUMPRODUCT((MOVIMIENTOS!$B$5:$B$1005="ENVÍO A SUPESA")*(MOVIMIENTOS!$C$5:$C$1005="P")*(MOVIMIENTOS!$D$5:$D$1005="jabas")*(MOVIMIENTOS!$A$5:$A$1005&lt;&gt;"")*(MOVIMIENTOS!$A$5:$A$1005&lt;=$A992)*MOVIMIENTOS!$E$5:$E$1005)+SUMPRODUCT((MOVIMIENTOS!$B$5:$B$1005="DEVOLUCIÓN")*(MOVIMIENTOS!$C$5:$C$1005="P")*(MOVIMIENTOS!$D$5:$D$1005="jabas")*(MOVIMIENTOS!$A$5:$A$1005&lt;&gt;"")*(MOVIMIENTOS!$A$5:$A$1005&lt;=$A992)*MOVIMIENTOS!$E$5:$E$1005)-SUMPRODUCT((MOVIMIENTOS!$B$5:$B$1005="TRASIEGO")*(MOVIMIENTOS!$C$5:$C$1005="P")*(MOVIMIENTOS!$D$5:$D$1005="jabas")*(MOVIMIENTOS!$A$5:$A$1005&lt;&gt;"")*(MOVIMIENTOS!$A$5:$A$1005&lt;=$A992)*MOVIMIENTOS!$E$5:$E$1005)-SUMPRODUCT((MOVIMIENTOS!$B$5:$B$1005="REGALO")*(MOVIMIENTOS!$C$5:$C$1005="P")*(MOVIMIENTOS!$D$5:$D$1005="jabas")*(MOVIMIENTOS!$A$5:$A$1005&lt;&gt;"")*(MOVIMIENTOS!$A$5:$A$1005&lt;=$A992)*MOVIMIENTOS!$E$5:$E$1005)-SUMPRODUCT((MOVIMIENTOS!$B$5:$B$1005="VENTA")*(MOVIMIENTOS!$C$5:$C$1005="P")*(MOVIMIENTOS!$D$5:$D$1005="jabas")*(MOVIMIENTOS!$A$5:$A$1005&lt;&gt;"")*(MOVIMIENTOS!$A$5:$A$1005&lt;=$A992)*MOVIMIENTOS!$E$5:$E$1005)+SUMPRODUCT((MOVIMIENTOS!$B$5:$B$1005="AJUSTE")*(MOVIMIENTOS!$C$5:$C$1005="P")*(MOVIMIENTOS!$D$5:$D$1005="jabas")*(MOVIMIENTOS!$A$5:$A$1005&lt;&gt;"")*(MOVIMIENTOS!$A$5:$A$1005&lt;=$A992)*MOVIMIENTOS!$E$5:$E$1005))</f>
        <v/>
      </c>
      <c r="D992" t="str">
        <f>IF($A992="","",SUMPRODUCT((MOVIMIENTOS!$B$5:$B$1005="SALDO INICIAL")*(MOVIMIENTOS!$C$5:$C$1005="C")*(MOVIMIENTOS!$D$5:$D$1005="jabas")*(MOVIMIENTOS!$A$5:$A$1005&lt;&gt;"")*(MOVIMIENTOS!$A$5:$A$1005&lt;=$A992)*MOVIMIENTOS!$E$5:$E$1005)+SUMPRODUCT((MOVIMIENTOS!$B$5:$B$1005="PROCESO")*(MOVIMIENTOS!$C$5:$C$1005="C")*(MOVIMIENTOS!$D$5:$D$1005="jabas")*(MOVIMIENTOS!$A$5:$A$1005&lt;&gt;"")*(MOVIMIENTOS!$A$5:$A$1005&lt;=$A992)*MOVIMIENTOS!$E$5:$E$1005)-SUMPRODUCT((MOVIMIENTOS!$B$5:$B$1005="ENVÍO A SUPESA")*(MOVIMIENTOS!$C$5:$C$1005="C")*(MOVIMIENTOS!$D$5:$D$1005="jabas")*(MOVIMIENTOS!$A$5:$A$1005&lt;&gt;"")*(MOVIMIENTOS!$A$5:$A$1005&lt;=$A992)*MOVIMIENTOS!$E$5:$E$1005)+SUMPRODUCT((MOVIMIENTOS!$B$5:$B$1005="DEVOLUCIÓN")*(MOVIMIENTOS!$C$5:$C$1005="C")*(MOVIMIENTOS!$D$5:$D$1005="jabas")*(MOVIMIENTOS!$A$5:$A$1005&lt;&gt;"")*(MOVIMIENTOS!$A$5:$A$1005&lt;=$A992)*MOVIMIENTOS!$E$5:$E$1005)-SUMPRODUCT((MOVIMIENTOS!$B$5:$B$1005="TRASIEGO")*(MOVIMIENTOS!$C$5:$C$1005="C")*(MOVIMIENTOS!$D$5:$D$1005="jabas")*(MOVIMIENTOS!$A$5:$A$1005&lt;&gt;"")*(MOVIMIENTOS!$A$5:$A$1005&lt;=$A992)*MOVIMIENTOS!$E$5:$E$1005)-SUMPRODUCT((MOVIMIENTOS!$B$5:$B$1005="REGALO")*(MOVIMIENTOS!$C$5:$C$1005="C")*(MOVIMIENTOS!$D$5:$D$1005="jabas")*(MOVIMIENTOS!$A$5:$A$1005&lt;&gt;"")*(MOVIMIENTOS!$A$5:$A$1005&lt;=$A992)*MOVIMIENTOS!$E$5:$E$1005)-SUMPRODUCT((MOVIMIENTOS!$B$5:$B$1005="VENTA")*(MOVIMIENTOS!$C$5:$C$1005="C")*(MOVIMIENTOS!$D$5:$D$1005="jabas")*(MOVIMIENTOS!$A$5:$A$1005&lt;&gt;"")*(MOVIMIENTOS!$A$5:$A$1005&lt;=$A992)*MOVIMIENTOS!$E$5:$E$1005)+SUMPRODUCT((MOVIMIENTOS!$B$5:$B$1005="AJUSTE")*(MOVIMIENTOS!$C$5:$C$1005="C")*(MOVIMIENTOS!$D$5:$D$1005="jabas")*(MOVIMIENTOS!$A$5:$A$1005&lt;&gt;"")*(MOVIMIENTOS!$A$5:$A$1005&lt;=$A992)*MOVIMIENTOS!$E$5:$E$1005))</f>
        <v/>
      </c>
      <c r="E992" t="str">
        <f>IF($A992="","",SUMPRODUCT((MOVIMIENTOS!$B$5:$B$1005="SALDO INICIAL")*(MOVIMIENTOS!$C$5:$C$1005="M")*(MOVIMIENTOS!$D$5:$D$1005="jabas")*(MOVIMIENTOS!$A$5:$A$1005&lt;&gt;"")*(MOVIMIENTOS!$A$5:$A$1005&lt;=$A992)*MOVIMIENTOS!$E$5:$E$1005)+SUMPRODUCT((MOVIMIENTOS!$B$5:$B$1005="PROCESO")*(MOVIMIENTOS!$C$5:$C$1005="M")*(MOVIMIENTOS!$D$5:$D$1005="jabas")*(MOVIMIENTOS!$A$5:$A$1005&lt;&gt;"")*(MOVIMIENTOS!$A$5:$A$1005&lt;=$A992)*MOVIMIENTOS!$E$5:$E$1005)-SUMPRODUCT((MOVIMIENTOS!$B$5:$B$1005="ENVÍO A SUPESA")*(MOVIMIENTOS!$C$5:$C$1005="M")*(MOVIMIENTOS!$D$5:$D$1005="jabas")*(MOVIMIENTOS!$A$5:$A$1005&lt;&gt;"")*(MOVIMIENTOS!$A$5:$A$1005&lt;=$A992)*MOVIMIENTOS!$E$5:$E$1005)+SUMPRODUCT((MOVIMIENTOS!$B$5:$B$1005="DEVOLUCIÓN")*(MOVIMIENTOS!$C$5:$C$1005="M")*(MOVIMIENTOS!$D$5:$D$1005="jabas")*(MOVIMIENTOS!$A$5:$A$1005&lt;&gt;"")*(MOVIMIENTOS!$A$5:$A$1005&lt;=$A992)*MOVIMIENTOS!$E$5:$E$1005)-SUMPRODUCT((MOVIMIENTOS!$B$5:$B$1005="TRASIEGO")*(MOVIMIENTOS!$C$5:$C$1005="M")*(MOVIMIENTOS!$D$5:$D$1005="jabas")*(MOVIMIENTOS!$A$5:$A$1005&lt;&gt;"")*(MOVIMIENTOS!$A$5:$A$1005&lt;=$A992)*MOVIMIENTOS!$E$5:$E$1005)-SUMPRODUCT((MOVIMIENTOS!$B$5:$B$1005="REGALO")*(MOVIMIENTOS!$C$5:$C$1005="M")*(MOVIMIENTOS!$D$5:$D$1005="jabas")*(MOVIMIENTOS!$A$5:$A$1005&lt;&gt;"")*(MOVIMIENTOS!$A$5:$A$1005&lt;=$A992)*MOVIMIENTOS!$E$5:$E$1005)-SUMPRODUCT((MOVIMIENTOS!$B$5:$B$1005="VENTA")*(MOVIMIENTOS!$C$5:$C$1005="M")*(MOVIMIENTOS!$D$5:$D$1005="jabas")*(MOVIMIENTOS!$A$5:$A$1005&lt;&gt;"")*(MOVIMIENTOS!$A$5:$A$1005&lt;=$A992)*MOVIMIENTOS!$E$5:$E$1005)+SUMPRODUCT((MOVIMIENTOS!$B$5:$B$1005="AJUSTE")*(MOVIMIENTOS!$C$5:$C$1005="M")*(MOVIMIENTOS!$D$5:$D$1005="jabas")*(MOVIMIENTOS!$A$5:$A$1005&lt;&gt;"")*(MOVIMIENTOS!$A$5:$A$1005&lt;=$A992)*MOVIMIENTOS!$E$5:$E$1005))</f>
        <v/>
      </c>
      <c r="F992" s="62" t="str">
        <f>IF($A992="","",SUMPRODUCT((MOVIMIENTOS!$B$5:$B$1005="SALDO INICIAL")*(MOVIMIENTOS!$C$5:$C$1005="Chancho")*(MOVIMIENTOS!$D$5:$D$1005="sacos")*(MOVIMIENTOS!$A$5:$A$1005&lt;&gt;"")*(MOVIMIENTOS!$A$5:$A$1005&lt;=$A992)*MOVIMIENTOS!$E$5:$E$1005)+SUMPRODUCT((MOVIMIENTOS!$B$5:$B$1005="PROCESO")*(MOVIMIENTOS!$C$5:$C$1005="Chancho")*(MOVIMIENTOS!$D$5:$D$1005="sacos")*(MOVIMIENTOS!$A$5:$A$1005&lt;&gt;"")*(MOVIMIENTOS!$A$5:$A$1005&lt;=$A992)*MOVIMIENTOS!$E$5:$E$1005)-SUMPRODUCT((MOVIMIENTOS!$B$5:$B$1005="VENTA CHANCHO")*(MOVIMIENTOS!$C$5:$C$1005="Chancho")*(MOVIMIENTOS!$D$5:$D$1005="sacos")*(MOVIMIENTOS!$A$5:$A$1005&lt;&gt;"")*(MOVIMIENTOS!$A$5:$A$1005&lt;=$A992)*MOVIMIENTOS!$E$5:$E$1005)-SUMPRODUCT((MOVIMIENTOS!$B$5:$B$1005="REGALO")*(MOVIMIENTOS!$C$5:$C$1005="Chancho")*(MOVIMIENTOS!$D$5:$D$1005="sacos")*(MOVIMIENTOS!$A$5:$A$1005&lt;&gt;"")*(MOVIMIENTOS!$A$5:$A$1005&lt;=$A992)*MOVIMIENTOS!$E$5:$E$1005)-SUMPRODUCT((MOVIMIENTOS!$B$5:$B$1005="VENTA")*(MOVIMIENTOS!$C$5:$C$1005="Chancho")*(MOVIMIENTOS!$D$5:$D$1005="sacos")*(MOVIMIENTOS!$A$5:$A$1005&lt;&gt;"")*(MOVIMIENTOS!$A$5:$A$1005&lt;=$A992)*MOVIMIENTOS!$E$5:$E$1005)+SUMPRODUCT((MOVIMIENTOS!$B$5:$B$1005="AJUSTE")*(MOVIMIENTOS!$C$5:$C$1005="Chancho")*(MOVIMIENTOS!$D$5:$D$1005="sacos")*(MOVIMIENTOS!$A$5:$A$1005&lt;&gt;"")*(MOVIMIENTOS!$A$5:$A$1005&lt;=$A992)*MOVIMIENTOS!$E$5:$E$1005))</f>
        <v/>
      </c>
      <c r="G992" s="62" t="str">
        <f t="shared" si="31"/>
        <v/>
      </c>
      <c r="H992" t="str">
        <f>IF($A992="","",SUMPRODUCT((((MOVIMIENTOS!$B$5:$B$1005="SALDO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992)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992)*MOVIMIENTOS!$J$5:$J$1005))</f>
        <v/>
      </c>
      <c r="J992" t="str">
        <f>IF(AND(MOVIMIENTOS!$A997&lt;&gt;"",COUNTIF(MOVIMIENTOS!$A$5:$A996,MOVIMIENTOS!$A997)=0),COUNT(J$4:J991)+1,"")</f>
        <v/>
      </c>
      <c r="K992">
        <f>MOVIMIENTOS!$A997</f>
        <v>0</v>
      </c>
    </row>
    <row r="993" spans="1:11" ht="15" customHeight="1" x14ac:dyDescent="0.2">
      <c r="A993" t="str">
        <f t="shared" si="30"/>
        <v/>
      </c>
      <c r="B993" t="str">
        <f>IF($A993="","",SUMPRODUCT((MOVIMIENTOS!$B$5:$B$1005="SALDO INICIAL")*(MOVIMIENTOS!$C$5:$C$1005="A")*(MOVIMIENTOS!$D$5:$D$1005="jabas")*(MOVIMIENTOS!$A$5:$A$1005&lt;&gt;"")*(MOVIMIENTOS!$A$5:$A$1005&lt;=$A993)*MOVIMIENTOS!$E$5:$E$1005)+SUMPRODUCT((MOVIMIENTOS!$B$5:$B$1005="PROCESO")*(MOVIMIENTOS!$C$5:$C$1005="A")*(MOVIMIENTOS!$D$5:$D$1005="jabas")*(MOVIMIENTOS!$A$5:$A$1005&lt;&gt;"")*(MOVIMIENTOS!$A$5:$A$1005&lt;=$A993)*MOVIMIENTOS!$E$5:$E$1005)-SUMPRODUCT((MOVIMIENTOS!$B$5:$B$1005="ENVÍO A SUPESA")*(MOVIMIENTOS!$C$5:$C$1005="A")*(MOVIMIENTOS!$D$5:$D$1005="jabas")*(MOVIMIENTOS!$A$5:$A$1005&lt;&gt;"")*(MOVIMIENTOS!$A$5:$A$1005&lt;=$A993)*MOVIMIENTOS!$E$5:$E$1005)+SUMPRODUCT((MOVIMIENTOS!$B$5:$B$1005="DEVOLUCIÓN")*(MOVIMIENTOS!$C$5:$C$1005="A")*(MOVIMIENTOS!$D$5:$D$1005="jabas")*(MOVIMIENTOS!$A$5:$A$1005&lt;&gt;"")*(MOVIMIENTOS!$A$5:$A$1005&lt;=$A993)*MOVIMIENTOS!$E$5:$E$1005)-SUMPRODUCT((MOVIMIENTOS!$B$5:$B$1005="TRASIEGO")*(MOVIMIENTOS!$C$5:$C$1005="A")*(MOVIMIENTOS!$D$5:$D$1005="jabas")*(MOVIMIENTOS!$A$5:$A$1005&lt;&gt;"")*(MOVIMIENTOS!$A$5:$A$1005&lt;=$A993)*MOVIMIENTOS!$E$5:$E$1005)-SUMPRODUCT((MOVIMIENTOS!$B$5:$B$1005="REGALO")*(MOVIMIENTOS!$C$5:$C$1005="A")*(MOVIMIENTOS!$D$5:$D$1005="jabas")*(MOVIMIENTOS!$A$5:$A$1005&lt;&gt;"")*(MOVIMIENTOS!$A$5:$A$1005&lt;=$A993)*MOVIMIENTOS!$E$5:$E$1005)-SUMPRODUCT((MOVIMIENTOS!$B$5:$B$1005="VENTA")*(MOVIMIENTOS!$C$5:$C$1005="A")*(MOVIMIENTOS!$D$5:$D$1005="jabas")*(MOVIMIENTOS!$A$5:$A$1005&lt;&gt;"")*(MOVIMIENTOS!$A$5:$A$1005&lt;=$A993)*MOVIMIENTOS!$E$5:$E$1005)+SUMPRODUCT((MOVIMIENTOS!$B$5:$B$1005="AJUSTE")*(MOVIMIENTOS!$C$5:$C$1005="A")*(MOVIMIENTOS!$D$5:$D$1005="jabas")*(MOVIMIENTOS!$A$5:$A$1005&lt;&gt;"")*(MOVIMIENTOS!$A$5:$A$1005&lt;=$A993)*MOVIMIENTOS!$E$5:$E$1005))</f>
        <v/>
      </c>
      <c r="C993" t="str">
        <f>IF($A993="","",SUMPRODUCT((MOVIMIENTOS!$B$5:$B$1005="SALDO INICIAL")*(MOVIMIENTOS!$C$5:$C$1005="P")*(MOVIMIENTOS!$D$5:$D$1005="jabas")*(MOVIMIENTOS!$A$5:$A$1005&lt;&gt;"")*(MOVIMIENTOS!$A$5:$A$1005&lt;=$A993)*MOVIMIENTOS!$E$5:$E$1005)+SUMPRODUCT((MOVIMIENTOS!$B$5:$B$1005="PROCESO")*(MOVIMIENTOS!$C$5:$C$1005="P")*(MOVIMIENTOS!$D$5:$D$1005="jabas")*(MOVIMIENTOS!$A$5:$A$1005&lt;&gt;"")*(MOVIMIENTOS!$A$5:$A$1005&lt;=$A993)*MOVIMIENTOS!$E$5:$E$1005)-SUMPRODUCT((MOVIMIENTOS!$B$5:$B$1005="ENVÍO A SUPESA")*(MOVIMIENTOS!$C$5:$C$1005="P")*(MOVIMIENTOS!$D$5:$D$1005="jabas")*(MOVIMIENTOS!$A$5:$A$1005&lt;&gt;"")*(MOVIMIENTOS!$A$5:$A$1005&lt;=$A993)*MOVIMIENTOS!$E$5:$E$1005)+SUMPRODUCT((MOVIMIENTOS!$B$5:$B$1005="DEVOLUCIÓN")*(MOVIMIENTOS!$C$5:$C$1005="P")*(MOVIMIENTOS!$D$5:$D$1005="jabas")*(MOVIMIENTOS!$A$5:$A$1005&lt;&gt;"")*(MOVIMIENTOS!$A$5:$A$1005&lt;=$A993)*MOVIMIENTOS!$E$5:$E$1005)-SUMPRODUCT((MOVIMIENTOS!$B$5:$B$1005="TRASIEGO")*(MOVIMIENTOS!$C$5:$C$1005="P")*(MOVIMIENTOS!$D$5:$D$1005="jabas")*(MOVIMIENTOS!$A$5:$A$1005&lt;&gt;"")*(MOVIMIENTOS!$A$5:$A$1005&lt;=$A993)*MOVIMIENTOS!$E$5:$E$1005)-SUMPRODUCT((MOVIMIENTOS!$B$5:$B$1005="REGALO")*(MOVIMIENTOS!$C$5:$C$1005="P")*(MOVIMIENTOS!$D$5:$D$1005="jabas")*(MOVIMIENTOS!$A$5:$A$1005&lt;&gt;"")*(MOVIMIENTOS!$A$5:$A$1005&lt;=$A993)*MOVIMIENTOS!$E$5:$E$1005)-SUMPRODUCT((MOVIMIENTOS!$B$5:$B$1005="VENTA")*(MOVIMIENTOS!$C$5:$C$1005="P")*(MOVIMIENTOS!$D$5:$D$1005="jabas")*(MOVIMIENTOS!$A$5:$A$1005&lt;&gt;"")*(MOVIMIENTOS!$A$5:$A$1005&lt;=$A993)*MOVIMIENTOS!$E$5:$E$1005)+SUMPRODUCT((MOVIMIENTOS!$B$5:$B$1005="AJUSTE")*(MOVIMIENTOS!$C$5:$C$1005="P")*(MOVIMIENTOS!$D$5:$D$1005="jabas")*(MOVIMIENTOS!$A$5:$A$1005&lt;&gt;"")*(MOVIMIENTOS!$A$5:$A$1005&lt;=$A993)*MOVIMIENTOS!$E$5:$E$1005))</f>
        <v/>
      </c>
      <c r="D993" t="str">
        <f>IF($A993="","",SUMPRODUCT((MOVIMIENTOS!$B$5:$B$1005="SALDO INICIAL")*(MOVIMIENTOS!$C$5:$C$1005="C")*(MOVIMIENTOS!$D$5:$D$1005="jabas")*(MOVIMIENTOS!$A$5:$A$1005&lt;&gt;"")*(MOVIMIENTOS!$A$5:$A$1005&lt;=$A993)*MOVIMIENTOS!$E$5:$E$1005)+SUMPRODUCT((MOVIMIENTOS!$B$5:$B$1005="PROCESO")*(MOVIMIENTOS!$C$5:$C$1005="C")*(MOVIMIENTOS!$D$5:$D$1005="jabas")*(MOVIMIENTOS!$A$5:$A$1005&lt;&gt;"")*(MOVIMIENTOS!$A$5:$A$1005&lt;=$A993)*MOVIMIENTOS!$E$5:$E$1005)-SUMPRODUCT((MOVIMIENTOS!$B$5:$B$1005="ENVÍO A SUPESA")*(MOVIMIENTOS!$C$5:$C$1005="C")*(MOVIMIENTOS!$D$5:$D$1005="jabas")*(MOVIMIENTOS!$A$5:$A$1005&lt;&gt;"")*(MOVIMIENTOS!$A$5:$A$1005&lt;=$A993)*MOVIMIENTOS!$E$5:$E$1005)+SUMPRODUCT((MOVIMIENTOS!$B$5:$B$1005="DEVOLUCIÓN")*(MOVIMIENTOS!$C$5:$C$1005="C")*(MOVIMIENTOS!$D$5:$D$1005="jabas")*(MOVIMIENTOS!$A$5:$A$1005&lt;&gt;"")*(MOVIMIENTOS!$A$5:$A$1005&lt;=$A993)*MOVIMIENTOS!$E$5:$E$1005)-SUMPRODUCT((MOVIMIENTOS!$B$5:$B$1005="TRASIEGO")*(MOVIMIENTOS!$C$5:$C$1005="C")*(MOVIMIENTOS!$D$5:$D$1005="jabas")*(MOVIMIENTOS!$A$5:$A$1005&lt;&gt;"")*(MOVIMIENTOS!$A$5:$A$1005&lt;=$A993)*MOVIMIENTOS!$E$5:$E$1005)-SUMPRODUCT((MOVIMIENTOS!$B$5:$B$1005="REGALO")*(MOVIMIENTOS!$C$5:$C$1005="C")*(MOVIMIENTOS!$D$5:$D$1005="jabas")*(MOVIMIENTOS!$A$5:$A$1005&lt;&gt;"")*(MOVIMIENTOS!$A$5:$A$1005&lt;=$A993)*MOVIMIENTOS!$E$5:$E$1005)-SUMPRODUCT((MOVIMIENTOS!$B$5:$B$1005="VENTA")*(MOVIMIENTOS!$C$5:$C$1005="C")*(MOVIMIENTOS!$D$5:$D$1005="jabas")*(MOVIMIENTOS!$A$5:$A$1005&lt;&gt;"")*(MOVIMIENTOS!$A$5:$A$1005&lt;=$A993)*MOVIMIENTOS!$E$5:$E$1005)+SUMPRODUCT((MOVIMIENTOS!$B$5:$B$1005="AJUSTE")*(MOVIMIENTOS!$C$5:$C$1005="C")*(MOVIMIENTOS!$D$5:$D$1005="jabas")*(MOVIMIENTOS!$A$5:$A$1005&lt;&gt;"")*(MOVIMIENTOS!$A$5:$A$1005&lt;=$A993)*MOVIMIENTOS!$E$5:$E$1005))</f>
        <v/>
      </c>
      <c r="E993" t="str">
        <f>IF($A993="","",SUMPRODUCT((MOVIMIENTOS!$B$5:$B$1005="SALDO INICIAL")*(MOVIMIENTOS!$C$5:$C$1005="M")*(MOVIMIENTOS!$D$5:$D$1005="jabas")*(MOVIMIENTOS!$A$5:$A$1005&lt;&gt;"")*(MOVIMIENTOS!$A$5:$A$1005&lt;=$A993)*MOVIMIENTOS!$E$5:$E$1005)+SUMPRODUCT((MOVIMIENTOS!$B$5:$B$1005="PROCESO")*(MOVIMIENTOS!$C$5:$C$1005="M")*(MOVIMIENTOS!$D$5:$D$1005="jabas")*(MOVIMIENTOS!$A$5:$A$1005&lt;&gt;"")*(MOVIMIENTOS!$A$5:$A$1005&lt;=$A993)*MOVIMIENTOS!$E$5:$E$1005)-SUMPRODUCT((MOVIMIENTOS!$B$5:$B$1005="ENVÍO A SUPESA")*(MOVIMIENTOS!$C$5:$C$1005="M")*(MOVIMIENTOS!$D$5:$D$1005="jabas")*(MOVIMIENTOS!$A$5:$A$1005&lt;&gt;"")*(MOVIMIENTOS!$A$5:$A$1005&lt;=$A993)*MOVIMIENTOS!$E$5:$E$1005)+SUMPRODUCT((MOVIMIENTOS!$B$5:$B$1005="DEVOLUCIÓN")*(MOVIMIENTOS!$C$5:$C$1005="M")*(MOVIMIENTOS!$D$5:$D$1005="jabas")*(MOVIMIENTOS!$A$5:$A$1005&lt;&gt;"")*(MOVIMIENTOS!$A$5:$A$1005&lt;=$A993)*MOVIMIENTOS!$E$5:$E$1005)-SUMPRODUCT((MOVIMIENTOS!$B$5:$B$1005="TRASIEGO")*(MOVIMIENTOS!$C$5:$C$1005="M")*(MOVIMIENTOS!$D$5:$D$1005="jabas")*(MOVIMIENTOS!$A$5:$A$1005&lt;&gt;"")*(MOVIMIENTOS!$A$5:$A$1005&lt;=$A993)*MOVIMIENTOS!$E$5:$E$1005)-SUMPRODUCT((MOVIMIENTOS!$B$5:$B$1005="REGALO")*(MOVIMIENTOS!$C$5:$C$1005="M")*(MOVIMIENTOS!$D$5:$D$1005="jabas")*(MOVIMIENTOS!$A$5:$A$1005&lt;&gt;"")*(MOVIMIENTOS!$A$5:$A$1005&lt;=$A993)*MOVIMIENTOS!$E$5:$E$1005)-SUMPRODUCT((MOVIMIENTOS!$B$5:$B$1005="VENTA")*(MOVIMIENTOS!$C$5:$C$1005="M")*(MOVIMIENTOS!$D$5:$D$1005="jabas")*(MOVIMIENTOS!$A$5:$A$1005&lt;&gt;"")*(MOVIMIENTOS!$A$5:$A$1005&lt;=$A993)*MOVIMIENTOS!$E$5:$E$1005)+SUMPRODUCT((MOVIMIENTOS!$B$5:$B$1005="AJUSTE")*(MOVIMIENTOS!$C$5:$C$1005="M")*(MOVIMIENTOS!$D$5:$D$1005="jabas")*(MOVIMIENTOS!$A$5:$A$1005&lt;&gt;"")*(MOVIMIENTOS!$A$5:$A$1005&lt;=$A993)*MOVIMIENTOS!$E$5:$E$1005))</f>
        <v/>
      </c>
      <c r="F993" s="62" t="str">
        <f>IF($A993="","",SUMPRODUCT((MOVIMIENTOS!$B$5:$B$1005="SALDO INICIAL")*(MOVIMIENTOS!$C$5:$C$1005="Chancho")*(MOVIMIENTOS!$D$5:$D$1005="sacos")*(MOVIMIENTOS!$A$5:$A$1005&lt;&gt;"")*(MOVIMIENTOS!$A$5:$A$1005&lt;=$A993)*MOVIMIENTOS!$E$5:$E$1005)+SUMPRODUCT((MOVIMIENTOS!$B$5:$B$1005="PROCESO")*(MOVIMIENTOS!$C$5:$C$1005="Chancho")*(MOVIMIENTOS!$D$5:$D$1005="sacos")*(MOVIMIENTOS!$A$5:$A$1005&lt;&gt;"")*(MOVIMIENTOS!$A$5:$A$1005&lt;=$A993)*MOVIMIENTOS!$E$5:$E$1005)-SUMPRODUCT((MOVIMIENTOS!$B$5:$B$1005="VENTA CHANCHO")*(MOVIMIENTOS!$C$5:$C$1005="Chancho")*(MOVIMIENTOS!$D$5:$D$1005="sacos")*(MOVIMIENTOS!$A$5:$A$1005&lt;&gt;"")*(MOVIMIENTOS!$A$5:$A$1005&lt;=$A993)*MOVIMIENTOS!$E$5:$E$1005)-SUMPRODUCT((MOVIMIENTOS!$B$5:$B$1005="REGALO")*(MOVIMIENTOS!$C$5:$C$1005="Chancho")*(MOVIMIENTOS!$D$5:$D$1005="sacos")*(MOVIMIENTOS!$A$5:$A$1005&lt;&gt;"")*(MOVIMIENTOS!$A$5:$A$1005&lt;=$A993)*MOVIMIENTOS!$E$5:$E$1005)-SUMPRODUCT((MOVIMIENTOS!$B$5:$B$1005="VENTA")*(MOVIMIENTOS!$C$5:$C$1005="Chancho")*(MOVIMIENTOS!$D$5:$D$1005="sacos")*(MOVIMIENTOS!$A$5:$A$1005&lt;&gt;"")*(MOVIMIENTOS!$A$5:$A$1005&lt;=$A993)*MOVIMIENTOS!$E$5:$E$1005)+SUMPRODUCT((MOVIMIENTOS!$B$5:$B$1005="AJUSTE")*(MOVIMIENTOS!$C$5:$C$1005="Chancho")*(MOVIMIENTOS!$D$5:$D$1005="sacos")*(MOVIMIENTOS!$A$5:$A$1005&lt;&gt;"")*(MOVIMIENTOS!$A$5:$A$1005&lt;=$A993)*MOVIMIENTOS!$E$5:$E$1005))</f>
        <v/>
      </c>
      <c r="G993" s="62" t="str">
        <f t="shared" si="31"/>
        <v/>
      </c>
      <c r="H993" t="str">
        <f>IF($A993="","",SUMPRODUCT((((MOVIMIENTOS!$B$5:$B$1005="SALDO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993)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993)*MOVIMIENTOS!$J$5:$J$1005))</f>
        <v/>
      </c>
      <c r="J993" t="str">
        <f>IF(AND(MOVIMIENTOS!$A998&lt;&gt;"",COUNTIF(MOVIMIENTOS!$A$5:$A997,MOVIMIENTOS!$A998)=0),COUNT(J$4:J992)+1,"")</f>
        <v/>
      </c>
      <c r="K993">
        <f>MOVIMIENTOS!$A998</f>
        <v>0</v>
      </c>
    </row>
    <row r="994" spans="1:11" ht="15" customHeight="1" x14ac:dyDescent="0.2">
      <c r="A994" t="str">
        <f t="shared" si="30"/>
        <v/>
      </c>
      <c r="B994" t="str">
        <f>IF($A994="","",SUMPRODUCT((MOVIMIENTOS!$B$5:$B$1005="SALDO INICIAL")*(MOVIMIENTOS!$C$5:$C$1005="A")*(MOVIMIENTOS!$D$5:$D$1005="jabas")*(MOVIMIENTOS!$A$5:$A$1005&lt;&gt;"")*(MOVIMIENTOS!$A$5:$A$1005&lt;=$A994)*MOVIMIENTOS!$E$5:$E$1005)+SUMPRODUCT((MOVIMIENTOS!$B$5:$B$1005="PROCESO")*(MOVIMIENTOS!$C$5:$C$1005="A")*(MOVIMIENTOS!$D$5:$D$1005="jabas")*(MOVIMIENTOS!$A$5:$A$1005&lt;&gt;"")*(MOVIMIENTOS!$A$5:$A$1005&lt;=$A994)*MOVIMIENTOS!$E$5:$E$1005)-SUMPRODUCT((MOVIMIENTOS!$B$5:$B$1005="ENVÍO A SUPESA")*(MOVIMIENTOS!$C$5:$C$1005="A")*(MOVIMIENTOS!$D$5:$D$1005="jabas")*(MOVIMIENTOS!$A$5:$A$1005&lt;&gt;"")*(MOVIMIENTOS!$A$5:$A$1005&lt;=$A994)*MOVIMIENTOS!$E$5:$E$1005)+SUMPRODUCT((MOVIMIENTOS!$B$5:$B$1005="DEVOLUCIÓN")*(MOVIMIENTOS!$C$5:$C$1005="A")*(MOVIMIENTOS!$D$5:$D$1005="jabas")*(MOVIMIENTOS!$A$5:$A$1005&lt;&gt;"")*(MOVIMIENTOS!$A$5:$A$1005&lt;=$A994)*MOVIMIENTOS!$E$5:$E$1005)-SUMPRODUCT((MOVIMIENTOS!$B$5:$B$1005="TRASIEGO")*(MOVIMIENTOS!$C$5:$C$1005="A")*(MOVIMIENTOS!$D$5:$D$1005="jabas")*(MOVIMIENTOS!$A$5:$A$1005&lt;&gt;"")*(MOVIMIENTOS!$A$5:$A$1005&lt;=$A994)*MOVIMIENTOS!$E$5:$E$1005)-SUMPRODUCT((MOVIMIENTOS!$B$5:$B$1005="REGALO")*(MOVIMIENTOS!$C$5:$C$1005="A")*(MOVIMIENTOS!$D$5:$D$1005="jabas")*(MOVIMIENTOS!$A$5:$A$1005&lt;&gt;"")*(MOVIMIENTOS!$A$5:$A$1005&lt;=$A994)*MOVIMIENTOS!$E$5:$E$1005)-SUMPRODUCT((MOVIMIENTOS!$B$5:$B$1005="VENTA")*(MOVIMIENTOS!$C$5:$C$1005="A")*(MOVIMIENTOS!$D$5:$D$1005="jabas")*(MOVIMIENTOS!$A$5:$A$1005&lt;&gt;"")*(MOVIMIENTOS!$A$5:$A$1005&lt;=$A994)*MOVIMIENTOS!$E$5:$E$1005)+SUMPRODUCT((MOVIMIENTOS!$B$5:$B$1005="AJUSTE")*(MOVIMIENTOS!$C$5:$C$1005="A")*(MOVIMIENTOS!$D$5:$D$1005="jabas")*(MOVIMIENTOS!$A$5:$A$1005&lt;&gt;"")*(MOVIMIENTOS!$A$5:$A$1005&lt;=$A994)*MOVIMIENTOS!$E$5:$E$1005))</f>
        <v/>
      </c>
      <c r="C994" t="str">
        <f>IF($A994="","",SUMPRODUCT((MOVIMIENTOS!$B$5:$B$1005="SALDO INICIAL")*(MOVIMIENTOS!$C$5:$C$1005="P")*(MOVIMIENTOS!$D$5:$D$1005="jabas")*(MOVIMIENTOS!$A$5:$A$1005&lt;&gt;"")*(MOVIMIENTOS!$A$5:$A$1005&lt;=$A994)*MOVIMIENTOS!$E$5:$E$1005)+SUMPRODUCT((MOVIMIENTOS!$B$5:$B$1005="PROCESO")*(MOVIMIENTOS!$C$5:$C$1005="P")*(MOVIMIENTOS!$D$5:$D$1005="jabas")*(MOVIMIENTOS!$A$5:$A$1005&lt;&gt;"")*(MOVIMIENTOS!$A$5:$A$1005&lt;=$A994)*MOVIMIENTOS!$E$5:$E$1005)-SUMPRODUCT((MOVIMIENTOS!$B$5:$B$1005="ENVÍO A SUPESA")*(MOVIMIENTOS!$C$5:$C$1005="P")*(MOVIMIENTOS!$D$5:$D$1005="jabas")*(MOVIMIENTOS!$A$5:$A$1005&lt;&gt;"")*(MOVIMIENTOS!$A$5:$A$1005&lt;=$A994)*MOVIMIENTOS!$E$5:$E$1005)+SUMPRODUCT((MOVIMIENTOS!$B$5:$B$1005="DEVOLUCIÓN")*(MOVIMIENTOS!$C$5:$C$1005="P")*(MOVIMIENTOS!$D$5:$D$1005="jabas")*(MOVIMIENTOS!$A$5:$A$1005&lt;&gt;"")*(MOVIMIENTOS!$A$5:$A$1005&lt;=$A994)*MOVIMIENTOS!$E$5:$E$1005)-SUMPRODUCT((MOVIMIENTOS!$B$5:$B$1005="TRASIEGO")*(MOVIMIENTOS!$C$5:$C$1005="P")*(MOVIMIENTOS!$D$5:$D$1005="jabas")*(MOVIMIENTOS!$A$5:$A$1005&lt;&gt;"")*(MOVIMIENTOS!$A$5:$A$1005&lt;=$A994)*MOVIMIENTOS!$E$5:$E$1005)-SUMPRODUCT((MOVIMIENTOS!$B$5:$B$1005="REGALO")*(MOVIMIENTOS!$C$5:$C$1005="P")*(MOVIMIENTOS!$D$5:$D$1005="jabas")*(MOVIMIENTOS!$A$5:$A$1005&lt;&gt;"")*(MOVIMIENTOS!$A$5:$A$1005&lt;=$A994)*MOVIMIENTOS!$E$5:$E$1005)-SUMPRODUCT((MOVIMIENTOS!$B$5:$B$1005="VENTA")*(MOVIMIENTOS!$C$5:$C$1005="P")*(MOVIMIENTOS!$D$5:$D$1005="jabas")*(MOVIMIENTOS!$A$5:$A$1005&lt;&gt;"")*(MOVIMIENTOS!$A$5:$A$1005&lt;=$A994)*MOVIMIENTOS!$E$5:$E$1005)+SUMPRODUCT((MOVIMIENTOS!$B$5:$B$1005="AJUSTE")*(MOVIMIENTOS!$C$5:$C$1005="P")*(MOVIMIENTOS!$D$5:$D$1005="jabas")*(MOVIMIENTOS!$A$5:$A$1005&lt;&gt;"")*(MOVIMIENTOS!$A$5:$A$1005&lt;=$A994)*MOVIMIENTOS!$E$5:$E$1005))</f>
        <v/>
      </c>
      <c r="D994" t="str">
        <f>IF($A994="","",SUMPRODUCT((MOVIMIENTOS!$B$5:$B$1005="SALDO INICIAL")*(MOVIMIENTOS!$C$5:$C$1005="C")*(MOVIMIENTOS!$D$5:$D$1005="jabas")*(MOVIMIENTOS!$A$5:$A$1005&lt;&gt;"")*(MOVIMIENTOS!$A$5:$A$1005&lt;=$A994)*MOVIMIENTOS!$E$5:$E$1005)+SUMPRODUCT((MOVIMIENTOS!$B$5:$B$1005="PROCESO")*(MOVIMIENTOS!$C$5:$C$1005="C")*(MOVIMIENTOS!$D$5:$D$1005="jabas")*(MOVIMIENTOS!$A$5:$A$1005&lt;&gt;"")*(MOVIMIENTOS!$A$5:$A$1005&lt;=$A994)*MOVIMIENTOS!$E$5:$E$1005)-SUMPRODUCT((MOVIMIENTOS!$B$5:$B$1005="ENVÍO A SUPESA")*(MOVIMIENTOS!$C$5:$C$1005="C")*(MOVIMIENTOS!$D$5:$D$1005="jabas")*(MOVIMIENTOS!$A$5:$A$1005&lt;&gt;"")*(MOVIMIENTOS!$A$5:$A$1005&lt;=$A994)*MOVIMIENTOS!$E$5:$E$1005)+SUMPRODUCT((MOVIMIENTOS!$B$5:$B$1005="DEVOLUCIÓN")*(MOVIMIENTOS!$C$5:$C$1005="C")*(MOVIMIENTOS!$D$5:$D$1005="jabas")*(MOVIMIENTOS!$A$5:$A$1005&lt;&gt;"")*(MOVIMIENTOS!$A$5:$A$1005&lt;=$A994)*MOVIMIENTOS!$E$5:$E$1005)-SUMPRODUCT((MOVIMIENTOS!$B$5:$B$1005="TRASIEGO")*(MOVIMIENTOS!$C$5:$C$1005="C")*(MOVIMIENTOS!$D$5:$D$1005="jabas")*(MOVIMIENTOS!$A$5:$A$1005&lt;&gt;"")*(MOVIMIENTOS!$A$5:$A$1005&lt;=$A994)*MOVIMIENTOS!$E$5:$E$1005)-SUMPRODUCT((MOVIMIENTOS!$B$5:$B$1005="REGALO")*(MOVIMIENTOS!$C$5:$C$1005="C")*(MOVIMIENTOS!$D$5:$D$1005="jabas")*(MOVIMIENTOS!$A$5:$A$1005&lt;&gt;"")*(MOVIMIENTOS!$A$5:$A$1005&lt;=$A994)*MOVIMIENTOS!$E$5:$E$1005)-SUMPRODUCT((MOVIMIENTOS!$B$5:$B$1005="VENTA")*(MOVIMIENTOS!$C$5:$C$1005="C")*(MOVIMIENTOS!$D$5:$D$1005="jabas")*(MOVIMIENTOS!$A$5:$A$1005&lt;&gt;"")*(MOVIMIENTOS!$A$5:$A$1005&lt;=$A994)*MOVIMIENTOS!$E$5:$E$1005)+SUMPRODUCT((MOVIMIENTOS!$B$5:$B$1005="AJUSTE")*(MOVIMIENTOS!$C$5:$C$1005="C")*(MOVIMIENTOS!$D$5:$D$1005="jabas")*(MOVIMIENTOS!$A$5:$A$1005&lt;&gt;"")*(MOVIMIENTOS!$A$5:$A$1005&lt;=$A994)*MOVIMIENTOS!$E$5:$E$1005))</f>
        <v/>
      </c>
      <c r="E994" t="str">
        <f>IF($A994="","",SUMPRODUCT((MOVIMIENTOS!$B$5:$B$1005="SALDO INICIAL")*(MOVIMIENTOS!$C$5:$C$1005="M")*(MOVIMIENTOS!$D$5:$D$1005="jabas")*(MOVIMIENTOS!$A$5:$A$1005&lt;&gt;"")*(MOVIMIENTOS!$A$5:$A$1005&lt;=$A994)*MOVIMIENTOS!$E$5:$E$1005)+SUMPRODUCT((MOVIMIENTOS!$B$5:$B$1005="PROCESO")*(MOVIMIENTOS!$C$5:$C$1005="M")*(MOVIMIENTOS!$D$5:$D$1005="jabas")*(MOVIMIENTOS!$A$5:$A$1005&lt;&gt;"")*(MOVIMIENTOS!$A$5:$A$1005&lt;=$A994)*MOVIMIENTOS!$E$5:$E$1005)-SUMPRODUCT((MOVIMIENTOS!$B$5:$B$1005="ENVÍO A SUPESA")*(MOVIMIENTOS!$C$5:$C$1005="M")*(MOVIMIENTOS!$D$5:$D$1005="jabas")*(MOVIMIENTOS!$A$5:$A$1005&lt;&gt;"")*(MOVIMIENTOS!$A$5:$A$1005&lt;=$A994)*MOVIMIENTOS!$E$5:$E$1005)+SUMPRODUCT((MOVIMIENTOS!$B$5:$B$1005="DEVOLUCIÓN")*(MOVIMIENTOS!$C$5:$C$1005="M")*(MOVIMIENTOS!$D$5:$D$1005="jabas")*(MOVIMIENTOS!$A$5:$A$1005&lt;&gt;"")*(MOVIMIENTOS!$A$5:$A$1005&lt;=$A994)*MOVIMIENTOS!$E$5:$E$1005)-SUMPRODUCT((MOVIMIENTOS!$B$5:$B$1005="TRASIEGO")*(MOVIMIENTOS!$C$5:$C$1005="M")*(MOVIMIENTOS!$D$5:$D$1005="jabas")*(MOVIMIENTOS!$A$5:$A$1005&lt;&gt;"")*(MOVIMIENTOS!$A$5:$A$1005&lt;=$A994)*MOVIMIENTOS!$E$5:$E$1005)-SUMPRODUCT((MOVIMIENTOS!$B$5:$B$1005="REGALO")*(MOVIMIENTOS!$C$5:$C$1005="M")*(MOVIMIENTOS!$D$5:$D$1005="jabas")*(MOVIMIENTOS!$A$5:$A$1005&lt;&gt;"")*(MOVIMIENTOS!$A$5:$A$1005&lt;=$A994)*MOVIMIENTOS!$E$5:$E$1005)-SUMPRODUCT((MOVIMIENTOS!$B$5:$B$1005="VENTA")*(MOVIMIENTOS!$C$5:$C$1005="M")*(MOVIMIENTOS!$D$5:$D$1005="jabas")*(MOVIMIENTOS!$A$5:$A$1005&lt;&gt;"")*(MOVIMIENTOS!$A$5:$A$1005&lt;=$A994)*MOVIMIENTOS!$E$5:$E$1005)+SUMPRODUCT((MOVIMIENTOS!$B$5:$B$1005="AJUSTE")*(MOVIMIENTOS!$C$5:$C$1005="M")*(MOVIMIENTOS!$D$5:$D$1005="jabas")*(MOVIMIENTOS!$A$5:$A$1005&lt;&gt;"")*(MOVIMIENTOS!$A$5:$A$1005&lt;=$A994)*MOVIMIENTOS!$E$5:$E$1005))</f>
        <v/>
      </c>
      <c r="F994" s="62" t="str">
        <f>IF($A994="","",SUMPRODUCT((MOVIMIENTOS!$B$5:$B$1005="SALDO INICIAL")*(MOVIMIENTOS!$C$5:$C$1005="Chancho")*(MOVIMIENTOS!$D$5:$D$1005="sacos")*(MOVIMIENTOS!$A$5:$A$1005&lt;&gt;"")*(MOVIMIENTOS!$A$5:$A$1005&lt;=$A994)*MOVIMIENTOS!$E$5:$E$1005)+SUMPRODUCT((MOVIMIENTOS!$B$5:$B$1005="PROCESO")*(MOVIMIENTOS!$C$5:$C$1005="Chancho")*(MOVIMIENTOS!$D$5:$D$1005="sacos")*(MOVIMIENTOS!$A$5:$A$1005&lt;&gt;"")*(MOVIMIENTOS!$A$5:$A$1005&lt;=$A994)*MOVIMIENTOS!$E$5:$E$1005)-SUMPRODUCT((MOVIMIENTOS!$B$5:$B$1005="VENTA CHANCHO")*(MOVIMIENTOS!$C$5:$C$1005="Chancho")*(MOVIMIENTOS!$D$5:$D$1005="sacos")*(MOVIMIENTOS!$A$5:$A$1005&lt;&gt;"")*(MOVIMIENTOS!$A$5:$A$1005&lt;=$A994)*MOVIMIENTOS!$E$5:$E$1005)-SUMPRODUCT((MOVIMIENTOS!$B$5:$B$1005="REGALO")*(MOVIMIENTOS!$C$5:$C$1005="Chancho")*(MOVIMIENTOS!$D$5:$D$1005="sacos")*(MOVIMIENTOS!$A$5:$A$1005&lt;&gt;"")*(MOVIMIENTOS!$A$5:$A$1005&lt;=$A994)*MOVIMIENTOS!$E$5:$E$1005)-SUMPRODUCT((MOVIMIENTOS!$B$5:$B$1005="VENTA")*(MOVIMIENTOS!$C$5:$C$1005="Chancho")*(MOVIMIENTOS!$D$5:$D$1005="sacos")*(MOVIMIENTOS!$A$5:$A$1005&lt;&gt;"")*(MOVIMIENTOS!$A$5:$A$1005&lt;=$A994)*MOVIMIENTOS!$E$5:$E$1005)+SUMPRODUCT((MOVIMIENTOS!$B$5:$B$1005="AJUSTE")*(MOVIMIENTOS!$C$5:$C$1005="Chancho")*(MOVIMIENTOS!$D$5:$D$1005="sacos")*(MOVIMIENTOS!$A$5:$A$1005&lt;&gt;"")*(MOVIMIENTOS!$A$5:$A$1005&lt;=$A994)*MOVIMIENTOS!$E$5:$E$1005))</f>
        <v/>
      </c>
      <c r="G994" s="62" t="str">
        <f t="shared" si="31"/>
        <v/>
      </c>
      <c r="H994" t="str">
        <f>IF($A994="","",SUMPRODUCT((((MOVIMIENTOS!$B$5:$B$1005="SALDO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994)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994)*MOVIMIENTOS!$J$5:$J$1005))</f>
        <v/>
      </c>
      <c r="J994" t="str">
        <f>IF(AND(MOVIMIENTOS!$A999&lt;&gt;"",COUNTIF(MOVIMIENTOS!$A$5:$A998,MOVIMIENTOS!$A999)=0),COUNT(J$4:J993)+1,"")</f>
        <v/>
      </c>
      <c r="K994">
        <f>MOVIMIENTOS!$A999</f>
        <v>0</v>
      </c>
    </row>
    <row r="995" spans="1:11" ht="15" customHeight="1" x14ac:dyDescent="0.2">
      <c r="A995" t="str">
        <f t="shared" si="30"/>
        <v/>
      </c>
      <c r="B995" t="str">
        <f>IF($A995="","",SUMPRODUCT((MOVIMIENTOS!$B$5:$B$1005="SALDO INICIAL")*(MOVIMIENTOS!$C$5:$C$1005="A")*(MOVIMIENTOS!$D$5:$D$1005="jabas")*(MOVIMIENTOS!$A$5:$A$1005&lt;&gt;"")*(MOVIMIENTOS!$A$5:$A$1005&lt;=$A995)*MOVIMIENTOS!$E$5:$E$1005)+SUMPRODUCT((MOVIMIENTOS!$B$5:$B$1005="PROCESO")*(MOVIMIENTOS!$C$5:$C$1005="A")*(MOVIMIENTOS!$D$5:$D$1005="jabas")*(MOVIMIENTOS!$A$5:$A$1005&lt;&gt;"")*(MOVIMIENTOS!$A$5:$A$1005&lt;=$A995)*MOVIMIENTOS!$E$5:$E$1005)-SUMPRODUCT((MOVIMIENTOS!$B$5:$B$1005="ENVÍO A SUPESA")*(MOVIMIENTOS!$C$5:$C$1005="A")*(MOVIMIENTOS!$D$5:$D$1005="jabas")*(MOVIMIENTOS!$A$5:$A$1005&lt;&gt;"")*(MOVIMIENTOS!$A$5:$A$1005&lt;=$A995)*MOVIMIENTOS!$E$5:$E$1005)+SUMPRODUCT((MOVIMIENTOS!$B$5:$B$1005="DEVOLUCIÓN")*(MOVIMIENTOS!$C$5:$C$1005="A")*(MOVIMIENTOS!$D$5:$D$1005="jabas")*(MOVIMIENTOS!$A$5:$A$1005&lt;&gt;"")*(MOVIMIENTOS!$A$5:$A$1005&lt;=$A995)*MOVIMIENTOS!$E$5:$E$1005)-SUMPRODUCT((MOVIMIENTOS!$B$5:$B$1005="TRASIEGO")*(MOVIMIENTOS!$C$5:$C$1005="A")*(MOVIMIENTOS!$D$5:$D$1005="jabas")*(MOVIMIENTOS!$A$5:$A$1005&lt;&gt;"")*(MOVIMIENTOS!$A$5:$A$1005&lt;=$A995)*MOVIMIENTOS!$E$5:$E$1005)-SUMPRODUCT((MOVIMIENTOS!$B$5:$B$1005="REGALO")*(MOVIMIENTOS!$C$5:$C$1005="A")*(MOVIMIENTOS!$D$5:$D$1005="jabas")*(MOVIMIENTOS!$A$5:$A$1005&lt;&gt;"")*(MOVIMIENTOS!$A$5:$A$1005&lt;=$A995)*MOVIMIENTOS!$E$5:$E$1005)-SUMPRODUCT((MOVIMIENTOS!$B$5:$B$1005="VENTA")*(MOVIMIENTOS!$C$5:$C$1005="A")*(MOVIMIENTOS!$D$5:$D$1005="jabas")*(MOVIMIENTOS!$A$5:$A$1005&lt;&gt;"")*(MOVIMIENTOS!$A$5:$A$1005&lt;=$A995)*MOVIMIENTOS!$E$5:$E$1005)+SUMPRODUCT((MOVIMIENTOS!$B$5:$B$1005="AJUSTE")*(MOVIMIENTOS!$C$5:$C$1005="A")*(MOVIMIENTOS!$D$5:$D$1005="jabas")*(MOVIMIENTOS!$A$5:$A$1005&lt;&gt;"")*(MOVIMIENTOS!$A$5:$A$1005&lt;=$A995)*MOVIMIENTOS!$E$5:$E$1005))</f>
        <v/>
      </c>
      <c r="C995" t="str">
        <f>IF($A995="","",SUMPRODUCT((MOVIMIENTOS!$B$5:$B$1005="SALDO INICIAL")*(MOVIMIENTOS!$C$5:$C$1005="P")*(MOVIMIENTOS!$D$5:$D$1005="jabas")*(MOVIMIENTOS!$A$5:$A$1005&lt;&gt;"")*(MOVIMIENTOS!$A$5:$A$1005&lt;=$A995)*MOVIMIENTOS!$E$5:$E$1005)+SUMPRODUCT((MOVIMIENTOS!$B$5:$B$1005="PROCESO")*(MOVIMIENTOS!$C$5:$C$1005="P")*(MOVIMIENTOS!$D$5:$D$1005="jabas")*(MOVIMIENTOS!$A$5:$A$1005&lt;&gt;"")*(MOVIMIENTOS!$A$5:$A$1005&lt;=$A995)*MOVIMIENTOS!$E$5:$E$1005)-SUMPRODUCT((MOVIMIENTOS!$B$5:$B$1005="ENVÍO A SUPESA")*(MOVIMIENTOS!$C$5:$C$1005="P")*(MOVIMIENTOS!$D$5:$D$1005="jabas")*(MOVIMIENTOS!$A$5:$A$1005&lt;&gt;"")*(MOVIMIENTOS!$A$5:$A$1005&lt;=$A995)*MOVIMIENTOS!$E$5:$E$1005)+SUMPRODUCT((MOVIMIENTOS!$B$5:$B$1005="DEVOLUCIÓN")*(MOVIMIENTOS!$C$5:$C$1005="P")*(MOVIMIENTOS!$D$5:$D$1005="jabas")*(MOVIMIENTOS!$A$5:$A$1005&lt;&gt;"")*(MOVIMIENTOS!$A$5:$A$1005&lt;=$A995)*MOVIMIENTOS!$E$5:$E$1005)-SUMPRODUCT((MOVIMIENTOS!$B$5:$B$1005="TRASIEGO")*(MOVIMIENTOS!$C$5:$C$1005="P")*(MOVIMIENTOS!$D$5:$D$1005="jabas")*(MOVIMIENTOS!$A$5:$A$1005&lt;&gt;"")*(MOVIMIENTOS!$A$5:$A$1005&lt;=$A995)*MOVIMIENTOS!$E$5:$E$1005)-SUMPRODUCT((MOVIMIENTOS!$B$5:$B$1005="REGALO")*(MOVIMIENTOS!$C$5:$C$1005="P")*(MOVIMIENTOS!$D$5:$D$1005="jabas")*(MOVIMIENTOS!$A$5:$A$1005&lt;&gt;"")*(MOVIMIENTOS!$A$5:$A$1005&lt;=$A995)*MOVIMIENTOS!$E$5:$E$1005)-SUMPRODUCT((MOVIMIENTOS!$B$5:$B$1005="VENTA")*(MOVIMIENTOS!$C$5:$C$1005="P")*(MOVIMIENTOS!$D$5:$D$1005="jabas")*(MOVIMIENTOS!$A$5:$A$1005&lt;&gt;"")*(MOVIMIENTOS!$A$5:$A$1005&lt;=$A995)*MOVIMIENTOS!$E$5:$E$1005)+SUMPRODUCT((MOVIMIENTOS!$B$5:$B$1005="AJUSTE")*(MOVIMIENTOS!$C$5:$C$1005="P")*(MOVIMIENTOS!$D$5:$D$1005="jabas")*(MOVIMIENTOS!$A$5:$A$1005&lt;&gt;"")*(MOVIMIENTOS!$A$5:$A$1005&lt;=$A995)*MOVIMIENTOS!$E$5:$E$1005))</f>
        <v/>
      </c>
      <c r="D995" t="str">
        <f>IF($A995="","",SUMPRODUCT((MOVIMIENTOS!$B$5:$B$1005="SALDO INICIAL")*(MOVIMIENTOS!$C$5:$C$1005="C")*(MOVIMIENTOS!$D$5:$D$1005="jabas")*(MOVIMIENTOS!$A$5:$A$1005&lt;&gt;"")*(MOVIMIENTOS!$A$5:$A$1005&lt;=$A995)*MOVIMIENTOS!$E$5:$E$1005)+SUMPRODUCT((MOVIMIENTOS!$B$5:$B$1005="PROCESO")*(MOVIMIENTOS!$C$5:$C$1005="C")*(MOVIMIENTOS!$D$5:$D$1005="jabas")*(MOVIMIENTOS!$A$5:$A$1005&lt;&gt;"")*(MOVIMIENTOS!$A$5:$A$1005&lt;=$A995)*MOVIMIENTOS!$E$5:$E$1005)-SUMPRODUCT((MOVIMIENTOS!$B$5:$B$1005="ENVÍO A SUPESA")*(MOVIMIENTOS!$C$5:$C$1005="C")*(MOVIMIENTOS!$D$5:$D$1005="jabas")*(MOVIMIENTOS!$A$5:$A$1005&lt;&gt;"")*(MOVIMIENTOS!$A$5:$A$1005&lt;=$A995)*MOVIMIENTOS!$E$5:$E$1005)+SUMPRODUCT((MOVIMIENTOS!$B$5:$B$1005="DEVOLUCIÓN")*(MOVIMIENTOS!$C$5:$C$1005="C")*(MOVIMIENTOS!$D$5:$D$1005="jabas")*(MOVIMIENTOS!$A$5:$A$1005&lt;&gt;"")*(MOVIMIENTOS!$A$5:$A$1005&lt;=$A995)*MOVIMIENTOS!$E$5:$E$1005)-SUMPRODUCT((MOVIMIENTOS!$B$5:$B$1005="TRASIEGO")*(MOVIMIENTOS!$C$5:$C$1005="C")*(MOVIMIENTOS!$D$5:$D$1005="jabas")*(MOVIMIENTOS!$A$5:$A$1005&lt;&gt;"")*(MOVIMIENTOS!$A$5:$A$1005&lt;=$A995)*MOVIMIENTOS!$E$5:$E$1005)-SUMPRODUCT((MOVIMIENTOS!$B$5:$B$1005="REGALO")*(MOVIMIENTOS!$C$5:$C$1005="C")*(MOVIMIENTOS!$D$5:$D$1005="jabas")*(MOVIMIENTOS!$A$5:$A$1005&lt;&gt;"")*(MOVIMIENTOS!$A$5:$A$1005&lt;=$A995)*MOVIMIENTOS!$E$5:$E$1005)-SUMPRODUCT((MOVIMIENTOS!$B$5:$B$1005="VENTA")*(MOVIMIENTOS!$C$5:$C$1005="C")*(MOVIMIENTOS!$D$5:$D$1005="jabas")*(MOVIMIENTOS!$A$5:$A$1005&lt;&gt;"")*(MOVIMIENTOS!$A$5:$A$1005&lt;=$A995)*MOVIMIENTOS!$E$5:$E$1005)+SUMPRODUCT((MOVIMIENTOS!$B$5:$B$1005="AJUSTE")*(MOVIMIENTOS!$C$5:$C$1005="C")*(MOVIMIENTOS!$D$5:$D$1005="jabas")*(MOVIMIENTOS!$A$5:$A$1005&lt;&gt;"")*(MOVIMIENTOS!$A$5:$A$1005&lt;=$A995)*MOVIMIENTOS!$E$5:$E$1005))</f>
        <v/>
      </c>
      <c r="E995" t="str">
        <f>IF($A995="","",SUMPRODUCT((MOVIMIENTOS!$B$5:$B$1005="SALDO INICIAL")*(MOVIMIENTOS!$C$5:$C$1005="M")*(MOVIMIENTOS!$D$5:$D$1005="jabas")*(MOVIMIENTOS!$A$5:$A$1005&lt;&gt;"")*(MOVIMIENTOS!$A$5:$A$1005&lt;=$A995)*MOVIMIENTOS!$E$5:$E$1005)+SUMPRODUCT((MOVIMIENTOS!$B$5:$B$1005="PROCESO")*(MOVIMIENTOS!$C$5:$C$1005="M")*(MOVIMIENTOS!$D$5:$D$1005="jabas")*(MOVIMIENTOS!$A$5:$A$1005&lt;&gt;"")*(MOVIMIENTOS!$A$5:$A$1005&lt;=$A995)*MOVIMIENTOS!$E$5:$E$1005)-SUMPRODUCT((MOVIMIENTOS!$B$5:$B$1005="ENVÍO A SUPESA")*(MOVIMIENTOS!$C$5:$C$1005="M")*(MOVIMIENTOS!$D$5:$D$1005="jabas")*(MOVIMIENTOS!$A$5:$A$1005&lt;&gt;"")*(MOVIMIENTOS!$A$5:$A$1005&lt;=$A995)*MOVIMIENTOS!$E$5:$E$1005)+SUMPRODUCT((MOVIMIENTOS!$B$5:$B$1005="DEVOLUCIÓN")*(MOVIMIENTOS!$C$5:$C$1005="M")*(MOVIMIENTOS!$D$5:$D$1005="jabas")*(MOVIMIENTOS!$A$5:$A$1005&lt;&gt;"")*(MOVIMIENTOS!$A$5:$A$1005&lt;=$A995)*MOVIMIENTOS!$E$5:$E$1005)-SUMPRODUCT((MOVIMIENTOS!$B$5:$B$1005="TRASIEGO")*(MOVIMIENTOS!$C$5:$C$1005="M")*(MOVIMIENTOS!$D$5:$D$1005="jabas")*(MOVIMIENTOS!$A$5:$A$1005&lt;&gt;"")*(MOVIMIENTOS!$A$5:$A$1005&lt;=$A995)*MOVIMIENTOS!$E$5:$E$1005)-SUMPRODUCT((MOVIMIENTOS!$B$5:$B$1005="REGALO")*(MOVIMIENTOS!$C$5:$C$1005="M")*(MOVIMIENTOS!$D$5:$D$1005="jabas")*(MOVIMIENTOS!$A$5:$A$1005&lt;&gt;"")*(MOVIMIENTOS!$A$5:$A$1005&lt;=$A995)*MOVIMIENTOS!$E$5:$E$1005)-SUMPRODUCT((MOVIMIENTOS!$B$5:$B$1005="VENTA")*(MOVIMIENTOS!$C$5:$C$1005="M")*(MOVIMIENTOS!$D$5:$D$1005="jabas")*(MOVIMIENTOS!$A$5:$A$1005&lt;&gt;"")*(MOVIMIENTOS!$A$5:$A$1005&lt;=$A995)*MOVIMIENTOS!$E$5:$E$1005)+SUMPRODUCT((MOVIMIENTOS!$B$5:$B$1005="AJUSTE")*(MOVIMIENTOS!$C$5:$C$1005="M")*(MOVIMIENTOS!$D$5:$D$1005="jabas")*(MOVIMIENTOS!$A$5:$A$1005&lt;&gt;"")*(MOVIMIENTOS!$A$5:$A$1005&lt;=$A995)*MOVIMIENTOS!$E$5:$E$1005))</f>
        <v/>
      </c>
      <c r="F995" s="62" t="str">
        <f>IF($A995="","",SUMPRODUCT((MOVIMIENTOS!$B$5:$B$1005="SALDO INICIAL")*(MOVIMIENTOS!$C$5:$C$1005="Chancho")*(MOVIMIENTOS!$D$5:$D$1005="sacos")*(MOVIMIENTOS!$A$5:$A$1005&lt;&gt;"")*(MOVIMIENTOS!$A$5:$A$1005&lt;=$A995)*MOVIMIENTOS!$E$5:$E$1005)+SUMPRODUCT((MOVIMIENTOS!$B$5:$B$1005="PROCESO")*(MOVIMIENTOS!$C$5:$C$1005="Chancho")*(MOVIMIENTOS!$D$5:$D$1005="sacos")*(MOVIMIENTOS!$A$5:$A$1005&lt;&gt;"")*(MOVIMIENTOS!$A$5:$A$1005&lt;=$A995)*MOVIMIENTOS!$E$5:$E$1005)-SUMPRODUCT((MOVIMIENTOS!$B$5:$B$1005="VENTA CHANCHO")*(MOVIMIENTOS!$C$5:$C$1005="Chancho")*(MOVIMIENTOS!$D$5:$D$1005="sacos")*(MOVIMIENTOS!$A$5:$A$1005&lt;&gt;"")*(MOVIMIENTOS!$A$5:$A$1005&lt;=$A995)*MOVIMIENTOS!$E$5:$E$1005)-SUMPRODUCT((MOVIMIENTOS!$B$5:$B$1005="REGALO")*(MOVIMIENTOS!$C$5:$C$1005="Chancho")*(MOVIMIENTOS!$D$5:$D$1005="sacos")*(MOVIMIENTOS!$A$5:$A$1005&lt;&gt;"")*(MOVIMIENTOS!$A$5:$A$1005&lt;=$A995)*MOVIMIENTOS!$E$5:$E$1005)-SUMPRODUCT((MOVIMIENTOS!$B$5:$B$1005="VENTA")*(MOVIMIENTOS!$C$5:$C$1005="Chancho")*(MOVIMIENTOS!$D$5:$D$1005="sacos")*(MOVIMIENTOS!$A$5:$A$1005&lt;&gt;"")*(MOVIMIENTOS!$A$5:$A$1005&lt;=$A995)*MOVIMIENTOS!$E$5:$E$1005)+SUMPRODUCT((MOVIMIENTOS!$B$5:$B$1005="AJUSTE")*(MOVIMIENTOS!$C$5:$C$1005="Chancho")*(MOVIMIENTOS!$D$5:$D$1005="sacos")*(MOVIMIENTOS!$A$5:$A$1005&lt;&gt;"")*(MOVIMIENTOS!$A$5:$A$1005&lt;=$A995)*MOVIMIENTOS!$E$5:$E$1005))</f>
        <v/>
      </c>
      <c r="G995" s="62" t="str">
        <f t="shared" si="31"/>
        <v/>
      </c>
      <c r="H995" t="str">
        <f>IF($A995="","",SUMPRODUCT((((MOVIMIENTOS!$B$5:$B$1005="SALDO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995)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995)*MOVIMIENTOS!$J$5:$J$1005))</f>
        <v/>
      </c>
      <c r="J995" t="str">
        <f>IF(AND(MOVIMIENTOS!$A1000&lt;&gt;"",COUNTIF(MOVIMIENTOS!$A$5:$A999,MOVIMIENTOS!$A1000)=0),COUNT(J$4:J994)+1,"")</f>
        <v/>
      </c>
      <c r="K995">
        <f>MOVIMIENTOS!$A1000</f>
        <v>0</v>
      </c>
    </row>
    <row r="996" spans="1:11" ht="15" customHeight="1" x14ac:dyDescent="0.2">
      <c r="A996" t="str">
        <f t="shared" si="30"/>
        <v/>
      </c>
      <c r="B996" t="str">
        <f>IF($A996="","",SUMPRODUCT((MOVIMIENTOS!$B$5:$B$1005="SALDO INICIAL")*(MOVIMIENTOS!$C$5:$C$1005="A")*(MOVIMIENTOS!$D$5:$D$1005="jabas")*(MOVIMIENTOS!$A$5:$A$1005&lt;&gt;"")*(MOVIMIENTOS!$A$5:$A$1005&lt;=$A996)*MOVIMIENTOS!$E$5:$E$1005)+SUMPRODUCT((MOVIMIENTOS!$B$5:$B$1005="PROCESO")*(MOVIMIENTOS!$C$5:$C$1005="A")*(MOVIMIENTOS!$D$5:$D$1005="jabas")*(MOVIMIENTOS!$A$5:$A$1005&lt;&gt;"")*(MOVIMIENTOS!$A$5:$A$1005&lt;=$A996)*MOVIMIENTOS!$E$5:$E$1005)-SUMPRODUCT((MOVIMIENTOS!$B$5:$B$1005="ENVÍO A SUPESA")*(MOVIMIENTOS!$C$5:$C$1005="A")*(MOVIMIENTOS!$D$5:$D$1005="jabas")*(MOVIMIENTOS!$A$5:$A$1005&lt;&gt;"")*(MOVIMIENTOS!$A$5:$A$1005&lt;=$A996)*MOVIMIENTOS!$E$5:$E$1005)+SUMPRODUCT((MOVIMIENTOS!$B$5:$B$1005="DEVOLUCIÓN")*(MOVIMIENTOS!$C$5:$C$1005="A")*(MOVIMIENTOS!$D$5:$D$1005="jabas")*(MOVIMIENTOS!$A$5:$A$1005&lt;&gt;"")*(MOVIMIENTOS!$A$5:$A$1005&lt;=$A996)*MOVIMIENTOS!$E$5:$E$1005)-SUMPRODUCT((MOVIMIENTOS!$B$5:$B$1005="TRASIEGO")*(MOVIMIENTOS!$C$5:$C$1005="A")*(MOVIMIENTOS!$D$5:$D$1005="jabas")*(MOVIMIENTOS!$A$5:$A$1005&lt;&gt;"")*(MOVIMIENTOS!$A$5:$A$1005&lt;=$A996)*MOVIMIENTOS!$E$5:$E$1005)-SUMPRODUCT((MOVIMIENTOS!$B$5:$B$1005="REGALO")*(MOVIMIENTOS!$C$5:$C$1005="A")*(MOVIMIENTOS!$D$5:$D$1005="jabas")*(MOVIMIENTOS!$A$5:$A$1005&lt;&gt;"")*(MOVIMIENTOS!$A$5:$A$1005&lt;=$A996)*MOVIMIENTOS!$E$5:$E$1005)-SUMPRODUCT((MOVIMIENTOS!$B$5:$B$1005="VENTA")*(MOVIMIENTOS!$C$5:$C$1005="A")*(MOVIMIENTOS!$D$5:$D$1005="jabas")*(MOVIMIENTOS!$A$5:$A$1005&lt;&gt;"")*(MOVIMIENTOS!$A$5:$A$1005&lt;=$A996)*MOVIMIENTOS!$E$5:$E$1005)+SUMPRODUCT((MOVIMIENTOS!$B$5:$B$1005="AJUSTE")*(MOVIMIENTOS!$C$5:$C$1005="A")*(MOVIMIENTOS!$D$5:$D$1005="jabas")*(MOVIMIENTOS!$A$5:$A$1005&lt;&gt;"")*(MOVIMIENTOS!$A$5:$A$1005&lt;=$A996)*MOVIMIENTOS!$E$5:$E$1005))</f>
        <v/>
      </c>
      <c r="C996" t="str">
        <f>IF($A996="","",SUMPRODUCT((MOVIMIENTOS!$B$5:$B$1005="SALDO INICIAL")*(MOVIMIENTOS!$C$5:$C$1005="P")*(MOVIMIENTOS!$D$5:$D$1005="jabas")*(MOVIMIENTOS!$A$5:$A$1005&lt;&gt;"")*(MOVIMIENTOS!$A$5:$A$1005&lt;=$A996)*MOVIMIENTOS!$E$5:$E$1005)+SUMPRODUCT((MOVIMIENTOS!$B$5:$B$1005="PROCESO")*(MOVIMIENTOS!$C$5:$C$1005="P")*(MOVIMIENTOS!$D$5:$D$1005="jabas")*(MOVIMIENTOS!$A$5:$A$1005&lt;&gt;"")*(MOVIMIENTOS!$A$5:$A$1005&lt;=$A996)*MOVIMIENTOS!$E$5:$E$1005)-SUMPRODUCT((MOVIMIENTOS!$B$5:$B$1005="ENVÍO A SUPESA")*(MOVIMIENTOS!$C$5:$C$1005="P")*(MOVIMIENTOS!$D$5:$D$1005="jabas")*(MOVIMIENTOS!$A$5:$A$1005&lt;&gt;"")*(MOVIMIENTOS!$A$5:$A$1005&lt;=$A996)*MOVIMIENTOS!$E$5:$E$1005)+SUMPRODUCT((MOVIMIENTOS!$B$5:$B$1005="DEVOLUCIÓN")*(MOVIMIENTOS!$C$5:$C$1005="P")*(MOVIMIENTOS!$D$5:$D$1005="jabas")*(MOVIMIENTOS!$A$5:$A$1005&lt;&gt;"")*(MOVIMIENTOS!$A$5:$A$1005&lt;=$A996)*MOVIMIENTOS!$E$5:$E$1005)-SUMPRODUCT((MOVIMIENTOS!$B$5:$B$1005="TRASIEGO")*(MOVIMIENTOS!$C$5:$C$1005="P")*(MOVIMIENTOS!$D$5:$D$1005="jabas")*(MOVIMIENTOS!$A$5:$A$1005&lt;&gt;"")*(MOVIMIENTOS!$A$5:$A$1005&lt;=$A996)*MOVIMIENTOS!$E$5:$E$1005)-SUMPRODUCT((MOVIMIENTOS!$B$5:$B$1005="REGALO")*(MOVIMIENTOS!$C$5:$C$1005="P")*(MOVIMIENTOS!$D$5:$D$1005="jabas")*(MOVIMIENTOS!$A$5:$A$1005&lt;&gt;"")*(MOVIMIENTOS!$A$5:$A$1005&lt;=$A996)*MOVIMIENTOS!$E$5:$E$1005)-SUMPRODUCT((MOVIMIENTOS!$B$5:$B$1005="VENTA")*(MOVIMIENTOS!$C$5:$C$1005="P")*(MOVIMIENTOS!$D$5:$D$1005="jabas")*(MOVIMIENTOS!$A$5:$A$1005&lt;&gt;"")*(MOVIMIENTOS!$A$5:$A$1005&lt;=$A996)*MOVIMIENTOS!$E$5:$E$1005)+SUMPRODUCT((MOVIMIENTOS!$B$5:$B$1005="AJUSTE")*(MOVIMIENTOS!$C$5:$C$1005="P")*(MOVIMIENTOS!$D$5:$D$1005="jabas")*(MOVIMIENTOS!$A$5:$A$1005&lt;&gt;"")*(MOVIMIENTOS!$A$5:$A$1005&lt;=$A996)*MOVIMIENTOS!$E$5:$E$1005))</f>
        <v/>
      </c>
      <c r="D996" t="str">
        <f>IF($A996="","",SUMPRODUCT((MOVIMIENTOS!$B$5:$B$1005="SALDO INICIAL")*(MOVIMIENTOS!$C$5:$C$1005="C")*(MOVIMIENTOS!$D$5:$D$1005="jabas")*(MOVIMIENTOS!$A$5:$A$1005&lt;&gt;"")*(MOVIMIENTOS!$A$5:$A$1005&lt;=$A996)*MOVIMIENTOS!$E$5:$E$1005)+SUMPRODUCT((MOVIMIENTOS!$B$5:$B$1005="PROCESO")*(MOVIMIENTOS!$C$5:$C$1005="C")*(MOVIMIENTOS!$D$5:$D$1005="jabas")*(MOVIMIENTOS!$A$5:$A$1005&lt;&gt;"")*(MOVIMIENTOS!$A$5:$A$1005&lt;=$A996)*MOVIMIENTOS!$E$5:$E$1005)-SUMPRODUCT((MOVIMIENTOS!$B$5:$B$1005="ENVÍO A SUPESA")*(MOVIMIENTOS!$C$5:$C$1005="C")*(MOVIMIENTOS!$D$5:$D$1005="jabas")*(MOVIMIENTOS!$A$5:$A$1005&lt;&gt;"")*(MOVIMIENTOS!$A$5:$A$1005&lt;=$A996)*MOVIMIENTOS!$E$5:$E$1005)+SUMPRODUCT((MOVIMIENTOS!$B$5:$B$1005="DEVOLUCIÓN")*(MOVIMIENTOS!$C$5:$C$1005="C")*(MOVIMIENTOS!$D$5:$D$1005="jabas")*(MOVIMIENTOS!$A$5:$A$1005&lt;&gt;"")*(MOVIMIENTOS!$A$5:$A$1005&lt;=$A996)*MOVIMIENTOS!$E$5:$E$1005)-SUMPRODUCT((MOVIMIENTOS!$B$5:$B$1005="TRASIEGO")*(MOVIMIENTOS!$C$5:$C$1005="C")*(MOVIMIENTOS!$D$5:$D$1005="jabas")*(MOVIMIENTOS!$A$5:$A$1005&lt;&gt;"")*(MOVIMIENTOS!$A$5:$A$1005&lt;=$A996)*MOVIMIENTOS!$E$5:$E$1005)-SUMPRODUCT((MOVIMIENTOS!$B$5:$B$1005="REGALO")*(MOVIMIENTOS!$C$5:$C$1005="C")*(MOVIMIENTOS!$D$5:$D$1005="jabas")*(MOVIMIENTOS!$A$5:$A$1005&lt;&gt;"")*(MOVIMIENTOS!$A$5:$A$1005&lt;=$A996)*MOVIMIENTOS!$E$5:$E$1005)-SUMPRODUCT((MOVIMIENTOS!$B$5:$B$1005="VENTA")*(MOVIMIENTOS!$C$5:$C$1005="C")*(MOVIMIENTOS!$D$5:$D$1005="jabas")*(MOVIMIENTOS!$A$5:$A$1005&lt;&gt;"")*(MOVIMIENTOS!$A$5:$A$1005&lt;=$A996)*MOVIMIENTOS!$E$5:$E$1005)+SUMPRODUCT((MOVIMIENTOS!$B$5:$B$1005="AJUSTE")*(MOVIMIENTOS!$C$5:$C$1005="C")*(MOVIMIENTOS!$D$5:$D$1005="jabas")*(MOVIMIENTOS!$A$5:$A$1005&lt;&gt;"")*(MOVIMIENTOS!$A$5:$A$1005&lt;=$A996)*MOVIMIENTOS!$E$5:$E$1005))</f>
        <v/>
      </c>
      <c r="E996" t="str">
        <f>IF($A996="","",SUMPRODUCT((MOVIMIENTOS!$B$5:$B$1005="SALDO INICIAL")*(MOVIMIENTOS!$C$5:$C$1005="M")*(MOVIMIENTOS!$D$5:$D$1005="jabas")*(MOVIMIENTOS!$A$5:$A$1005&lt;&gt;"")*(MOVIMIENTOS!$A$5:$A$1005&lt;=$A996)*MOVIMIENTOS!$E$5:$E$1005)+SUMPRODUCT((MOVIMIENTOS!$B$5:$B$1005="PROCESO")*(MOVIMIENTOS!$C$5:$C$1005="M")*(MOVIMIENTOS!$D$5:$D$1005="jabas")*(MOVIMIENTOS!$A$5:$A$1005&lt;&gt;"")*(MOVIMIENTOS!$A$5:$A$1005&lt;=$A996)*MOVIMIENTOS!$E$5:$E$1005)-SUMPRODUCT((MOVIMIENTOS!$B$5:$B$1005="ENVÍO A SUPESA")*(MOVIMIENTOS!$C$5:$C$1005="M")*(MOVIMIENTOS!$D$5:$D$1005="jabas")*(MOVIMIENTOS!$A$5:$A$1005&lt;&gt;"")*(MOVIMIENTOS!$A$5:$A$1005&lt;=$A996)*MOVIMIENTOS!$E$5:$E$1005)+SUMPRODUCT((MOVIMIENTOS!$B$5:$B$1005="DEVOLUCIÓN")*(MOVIMIENTOS!$C$5:$C$1005="M")*(MOVIMIENTOS!$D$5:$D$1005="jabas")*(MOVIMIENTOS!$A$5:$A$1005&lt;&gt;"")*(MOVIMIENTOS!$A$5:$A$1005&lt;=$A996)*MOVIMIENTOS!$E$5:$E$1005)-SUMPRODUCT((MOVIMIENTOS!$B$5:$B$1005="TRASIEGO")*(MOVIMIENTOS!$C$5:$C$1005="M")*(MOVIMIENTOS!$D$5:$D$1005="jabas")*(MOVIMIENTOS!$A$5:$A$1005&lt;&gt;"")*(MOVIMIENTOS!$A$5:$A$1005&lt;=$A996)*MOVIMIENTOS!$E$5:$E$1005)-SUMPRODUCT((MOVIMIENTOS!$B$5:$B$1005="REGALO")*(MOVIMIENTOS!$C$5:$C$1005="M")*(MOVIMIENTOS!$D$5:$D$1005="jabas")*(MOVIMIENTOS!$A$5:$A$1005&lt;&gt;"")*(MOVIMIENTOS!$A$5:$A$1005&lt;=$A996)*MOVIMIENTOS!$E$5:$E$1005)-SUMPRODUCT((MOVIMIENTOS!$B$5:$B$1005="VENTA")*(MOVIMIENTOS!$C$5:$C$1005="M")*(MOVIMIENTOS!$D$5:$D$1005="jabas")*(MOVIMIENTOS!$A$5:$A$1005&lt;&gt;"")*(MOVIMIENTOS!$A$5:$A$1005&lt;=$A996)*MOVIMIENTOS!$E$5:$E$1005)+SUMPRODUCT((MOVIMIENTOS!$B$5:$B$1005="AJUSTE")*(MOVIMIENTOS!$C$5:$C$1005="M")*(MOVIMIENTOS!$D$5:$D$1005="jabas")*(MOVIMIENTOS!$A$5:$A$1005&lt;&gt;"")*(MOVIMIENTOS!$A$5:$A$1005&lt;=$A996)*MOVIMIENTOS!$E$5:$E$1005))</f>
        <v/>
      </c>
      <c r="F996" s="62" t="str">
        <f>IF($A996="","",SUMPRODUCT((MOVIMIENTOS!$B$5:$B$1005="SALDO INICIAL")*(MOVIMIENTOS!$C$5:$C$1005="Chancho")*(MOVIMIENTOS!$D$5:$D$1005="sacos")*(MOVIMIENTOS!$A$5:$A$1005&lt;&gt;"")*(MOVIMIENTOS!$A$5:$A$1005&lt;=$A996)*MOVIMIENTOS!$E$5:$E$1005)+SUMPRODUCT((MOVIMIENTOS!$B$5:$B$1005="PROCESO")*(MOVIMIENTOS!$C$5:$C$1005="Chancho")*(MOVIMIENTOS!$D$5:$D$1005="sacos")*(MOVIMIENTOS!$A$5:$A$1005&lt;&gt;"")*(MOVIMIENTOS!$A$5:$A$1005&lt;=$A996)*MOVIMIENTOS!$E$5:$E$1005)-SUMPRODUCT((MOVIMIENTOS!$B$5:$B$1005="VENTA CHANCHO")*(MOVIMIENTOS!$C$5:$C$1005="Chancho")*(MOVIMIENTOS!$D$5:$D$1005="sacos")*(MOVIMIENTOS!$A$5:$A$1005&lt;&gt;"")*(MOVIMIENTOS!$A$5:$A$1005&lt;=$A996)*MOVIMIENTOS!$E$5:$E$1005)-SUMPRODUCT((MOVIMIENTOS!$B$5:$B$1005="REGALO")*(MOVIMIENTOS!$C$5:$C$1005="Chancho")*(MOVIMIENTOS!$D$5:$D$1005="sacos")*(MOVIMIENTOS!$A$5:$A$1005&lt;&gt;"")*(MOVIMIENTOS!$A$5:$A$1005&lt;=$A996)*MOVIMIENTOS!$E$5:$E$1005)-SUMPRODUCT((MOVIMIENTOS!$B$5:$B$1005="VENTA")*(MOVIMIENTOS!$C$5:$C$1005="Chancho")*(MOVIMIENTOS!$D$5:$D$1005="sacos")*(MOVIMIENTOS!$A$5:$A$1005&lt;&gt;"")*(MOVIMIENTOS!$A$5:$A$1005&lt;=$A996)*MOVIMIENTOS!$E$5:$E$1005)+SUMPRODUCT((MOVIMIENTOS!$B$5:$B$1005="AJUSTE")*(MOVIMIENTOS!$C$5:$C$1005="Chancho")*(MOVIMIENTOS!$D$5:$D$1005="sacos")*(MOVIMIENTOS!$A$5:$A$1005&lt;&gt;"")*(MOVIMIENTOS!$A$5:$A$1005&lt;=$A996)*MOVIMIENTOS!$E$5:$E$1005))</f>
        <v/>
      </c>
      <c r="G996" s="62" t="str">
        <f t="shared" si="31"/>
        <v/>
      </c>
      <c r="H996" t="str">
        <f>IF($A996="","",SUMPRODUCT((((MOVIMIENTOS!$B$5:$B$1005="SALDO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996)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996)*MOVIMIENTOS!$J$5:$J$1005))</f>
        <v/>
      </c>
      <c r="J996" t="str">
        <f>IF(AND(MOVIMIENTOS!$A1001&lt;&gt;"",COUNTIF(MOVIMIENTOS!$A$5:$A1000,MOVIMIENTOS!$A1001)=0),COUNT(J$4:J995)+1,"")</f>
        <v/>
      </c>
      <c r="K996">
        <f>MOVIMIENTOS!$A1001</f>
        <v>0</v>
      </c>
    </row>
    <row r="997" spans="1:11" ht="15" customHeight="1" x14ac:dyDescent="0.2">
      <c r="A997" t="str">
        <f t="shared" si="30"/>
        <v/>
      </c>
      <c r="B997" t="str">
        <f>IF($A997="","",SUMPRODUCT((MOVIMIENTOS!$B$5:$B$1005="SALDO INICIAL")*(MOVIMIENTOS!$C$5:$C$1005="A")*(MOVIMIENTOS!$D$5:$D$1005="jabas")*(MOVIMIENTOS!$A$5:$A$1005&lt;&gt;"")*(MOVIMIENTOS!$A$5:$A$1005&lt;=$A997)*MOVIMIENTOS!$E$5:$E$1005)+SUMPRODUCT((MOVIMIENTOS!$B$5:$B$1005="PROCESO")*(MOVIMIENTOS!$C$5:$C$1005="A")*(MOVIMIENTOS!$D$5:$D$1005="jabas")*(MOVIMIENTOS!$A$5:$A$1005&lt;&gt;"")*(MOVIMIENTOS!$A$5:$A$1005&lt;=$A997)*MOVIMIENTOS!$E$5:$E$1005)-SUMPRODUCT((MOVIMIENTOS!$B$5:$B$1005="ENVÍO A SUPESA")*(MOVIMIENTOS!$C$5:$C$1005="A")*(MOVIMIENTOS!$D$5:$D$1005="jabas")*(MOVIMIENTOS!$A$5:$A$1005&lt;&gt;"")*(MOVIMIENTOS!$A$5:$A$1005&lt;=$A997)*MOVIMIENTOS!$E$5:$E$1005)+SUMPRODUCT((MOVIMIENTOS!$B$5:$B$1005="DEVOLUCIÓN")*(MOVIMIENTOS!$C$5:$C$1005="A")*(MOVIMIENTOS!$D$5:$D$1005="jabas")*(MOVIMIENTOS!$A$5:$A$1005&lt;&gt;"")*(MOVIMIENTOS!$A$5:$A$1005&lt;=$A997)*MOVIMIENTOS!$E$5:$E$1005)-SUMPRODUCT((MOVIMIENTOS!$B$5:$B$1005="TRASIEGO")*(MOVIMIENTOS!$C$5:$C$1005="A")*(MOVIMIENTOS!$D$5:$D$1005="jabas")*(MOVIMIENTOS!$A$5:$A$1005&lt;&gt;"")*(MOVIMIENTOS!$A$5:$A$1005&lt;=$A997)*MOVIMIENTOS!$E$5:$E$1005)-SUMPRODUCT((MOVIMIENTOS!$B$5:$B$1005="REGALO")*(MOVIMIENTOS!$C$5:$C$1005="A")*(MOVIMIENTOS!$D$5:$D$1005="jabas")*(MOVIMIENTOS!$A$5:$A$1005&lt;&gt;"")*(MOVIMIENTOS!$A$5:$A$1005&lt;=$A997)*MOVIMIENTOS!$E$5:$E$1005)-SUMPRODUCT((MOVIMIENTOS!$B$5:$B$1005="VENTA")*(MOVIMIENTOS!$C$5:$C$1005="A")*(MOVIMIENTOS!$D$5:$D$1005="jabas")*(MOVIMIENTOS!$A$5:$A$1005&lt;&gt;"")*(MOVIMIENTOS!$A$5:$A$1005&lt;=$A997)*MOVIMIENTOS!$E$5:$E$1005)+SUMPRODUCT((MOVIMIENTOS!$B$5:$B$1005="AJUSTE")*(MOVIMIENTOS!$C$5:$C$1005="A")*(MOVIMIENTOS!$D$5:$D$1005="jabas")*(MOVIMIENTOS!$A$5:$A$1005&lt;&gt;"")*(MOVIMIENTOS!$A$5:$A$1005&lt;=$A997)*MOVIMIENTOS!$E$5:$E$1005))</f>
        <v/>
      </c>
      <c r="C997" t="str">
        <f>IF($A997="","",SUMPRODUCT((MOVIMIENTOS!$B$5:$B$1005="SALDO INICIAL")*(MOVIMIENTOS!$C$5:$C$1005="P")*(MOVIMIENTOS!$D$5:$D$1005="jabas")*(MOVIMIENTOS!$A$5:$A$1005&lt;&gt;"")*(MOVIMIENTOS!$A$5:$A$1005&lt;=$A997)*MOVIMIENTOS!$E$5:$E$1005)+SUMPRODUCT((MOVIMIENTOS!$B$5:$B$1005="PROCESO")*(MOVIMIENTOS!$C$5:$C$1005="P")*(MOVIMIENTOS!$D$5:$D$1005="jabas")*(MOVIMIENTOS!$A$5:$A$1005&lt;&gt;"")*(MOVIMIENTOS!$A$5:$A$1005&lt;=$A997)*MOVIMIENTOS!$E$5:$E$1005)-SUMPRODUCT((MOVIMIENTOS!$B$5:$B$1005="ENVÍO A SUPESA")*(MOVIMIENTOS!$C$5:$C$1005="P")*(MOVIMIENTOS!$D$5:$D$1005="jabas")*(MOVIMIENTOS!$A$5:$A$1005&lt;&gt;"")*(MOVIMIENTOS!$A$5:$A$1005&lt;=$A997)*MOVIMIENTOS!$E$5:$E$1005)+SUMPRODUCT((MOVIMIENTOS!$B$5:$B$1005="DEVOLUCIÓN")*(MOVIMIENTOS!$C$5:$C$1005="P")*(MOVIMIENTOS!$D$5:$D$1005="jabas")*(MOVIMIENTOS!$A$5:$A$1005&lt;&gt;"")*(MOVIMIENTOS!$A$5:$A$1005&lt;=$A997)*MOVIMIENTOS!$E$5:$E$1005)-SUMPRODUCT((MOVIMIENTOS!$B$5:$B$1005="TRASIEGO")*(MOVIMIENTOS!$C$5:$C$1005="P")*(MOVIMIENTOS!$D$5:$D$1005="jabas")*(MOVIMIENTOS!$A$5:$A$1005&lt;&gt;"")*(MOVIMIENTOS!$A$5:$A$1005&lt;=$A997)*MOVIMIENTOS!$E$5:$E$1005)-SUMPRODUCT((MOVIMIENTOS!$B$5:$B$1005="REGALO")*(MOVIMIENTOS!$C$5:$C$1005="P")*(MOVIMIENTOS!$D$5:$D$1005="jabas")*(MOVIMIENTOS!$A$5:$A$1005&lt;&gt;"")*(MOVIMIENTOS!$A$5:$A$1005&lt;=$A997)*MOVIMIENTOS!$E$5:$E$1005)-SUMPRODUCT((MOVIMIENTOS!$B$5:$B$1005="VENTA")*(MOVIMIENTOS!$C$5:$C$1005="P")*(MOVIMIENTOS!$D$5:$D$1005="jabas")*(MOVIMIENTOS!$A$5:$A$1005&lt;&gt;"")*(MOVIMIENTOS!$A$5:$A$1005&lt;=$A997)*MOVIMIENTOS!$E$5:$E$1005)+SUMPRODUCT((MOVIMIENTOS!$B$5:$B$1005="AJUSTE")*(MOVIMIENTOS!$C$5:$C$1005="P")*(MOVIMIENTOS!$D$5:$D$1005="jabas")*(MOVIMIENTOS!$A$5:$A$1005&lt;&gt;"")*(MOVIMIENTOS!$A$5:$A$1005&lt;=$A997)*MOVIMIENTOS!$E$5:$E$1005))</f>
        <v/>
      </c>
      <c r="D997" t="str">
        <f>IF($A997="","",SUMPRODUCT((MOVIMIENTOS!$B$5:$B$1005="SALDO INICIAL")*(MOVIMIENTOS!$C$5:$C$1005="C")*(MOVIMIENTOS!$D$5:$D$1005="jabas")*(MOVIMIENTOS!$A$5:$A$1005&lt;&gt;"")*(MOVIMIENTOS!$A$5:$A$1005&lt;=$A997)*MOVIMIENTOS!$E$5:$E$1005)+SUMPRODUCT((MOVIMIENTOS!$B$5:$B$1005="PROCESO")*(MOVIMIENTOS!$C$5:$C$1005="C")*(MOVIMIENTOS!$D$5:$D$1005="jabas")*(MOVIMIENTOS!$A$5:$A$1005&lt;&gt;"")*(MOVIMIENTOS!$A$5:$A$1005&lt;=$A997)*MOVIMIENTOS!$E$5:$E$1005)-SUMPRODUCT((MOVIMIENTOS!$B$5:$B$1005="ENVÍO A SUPESA")*(MOVIMIENTOS!$C$5:$C$1005="C")*(MOVIMIENTOS!$D$5:$D$1005="jabas")*(MOVIMIENTOS!$A$5:$A$1005&lt;&gt;"")*(MOVIMIENTOS!$A$5:$A$1005&lt;=$A997)*MOVIMIENTOS!$E$5:$E$1005)+SUMPRODUCT((MOVIMIENTOS!$B$5:$B$1005="DEVOLUCIÓN")*(MOVIMIENTOS!$C$5:$C$1005="C")*(MOVIMIENTOS!$D$5:$D$1005="jabas")*(MOVIMIENTOS!$A$5:$A$1005&lt;&gt;"")*(MOVIMIENTOS!$A$5:$A$1005&lt;=$A997)*MOVIMIENTOS!$E$5:$E$1005)-SUMPRODUCT((MOVIMIENTOS!$B$5:$B$1005="TRASIEGO")*(MOVIMIENTOS!$C$5:$C$1005="C")*(MOVIMIENTOS!$D$5:$D$1005="jabas")*(MOVIMIENTOS!$A$5:$A$1005&lt;&gt;"")*(MOVIMIENTOS!$A$5:$A$1005&lt;=$A997)*MOVIMIENTOS!$E$5:$E$1005)-SUMPRODUCT((MOVIMIENTOS!$B$5:$B$1005="REGALO")*(MOVIMIENTOS!$C$5:$C$1005="C")*(MOVIMIENTOS!$D$5:$D$1005="jabas")*(MOVIMIENTOS!$A$5:$A$1005&lt;&gt;"")*(MOVIMIENTOS!$A$5:$A$1005&lt;=$A997)*MOVIMIENTOS!$E$5:$E$1005)-SUMPRODUCT((MOVIMIENTOS!$B$5:$B$1005="VENTA")*(MOVIMIENTOS!$C$5:$C$1005="C")*(MOVIMIENTOS!$D$5:$D$1005="jabas")*(MOVIMIENTOS!$A$5:$A$1005&lt;&gt;"")*(MOVIMIENTOS!$A$5:$A$1005&lt;=$A997)*MOVIMIENTOS!$E$5:$E$1005)+SUMPRODUCT((MOVIMIENTOS!$B$5:$B$1005="AJUSTE")*(MOVIMIENTOS!$C$5:$C$1005="C")*(MOVIMIENTOS!$D$5:$D$1005="jabas")*(MOVIMIENTOS!$A$5:$A$1005&lt;&gt;"")*(MOVIMIENTOS!$A$5:$A$1005&lt;=$A997)*MOVIMIENTOS!$E$5:$E$1005))</f>
        <v/>
      </c>
      <c r="E997" t="str">
        <f>IF($A997="","",SUMPRODUCT((MOVIMIENTOS!$B$5:$B$1005="SALDO INICIAL")*(MOVIMIENTOS!$C$5:$C$1005="M")*(MOVIMIENTOS!$D$5:$D$1005="jabas")*(MOVIMIENTOS!$A$5:$A$1005&lt;&gt;"")*(MOVIMIENTOS!$A$5:$A$1005&lt;=$A997)*MOVIMIENTOS!$E$5:$E$1005)+SUMPRODUCT((MOVIMIENTOS!$B$5:$B$1005="PROCESO")*(MOVIMIENTOS!$C$5:$C$1005="M")*(MOVIMIENTOS!$D$5:$D$1005="jabas")*(MOVIMIENTOS!$A$5:$A$1005&lt;&gt;"")*(MOVIMIENTOS!$A$5:$A$1005&lt;=$A997)*MOVIMIENTOS!$E$5:$E$1005)-SUMPRODUCT((MOVIMIENTOS!$B$5:$B$1005="ENVÍO A SUPESA")*(MOVIMIENTOS!$C$5:$C$1005="M")*(MOVIMIENTOS!$D$5:$D$1005="jabas")*(MOVIMIENTOS!$A$5:$A$1005&lt;&gt;"")*(MOVIMIENTOS!$A$5:$A$1005&lt;=$A997)*MOVIMIENTOS!$E$5:$E$1005)+SUMPRODUCT((MOVIMIENTOS!$B$5:$B$1005="DEVOLUCIÓN")*(MOVIMIENTOS!$C$5:$C$1005="M")*(MOVIMIENTOS!$D$5:$D$1005="jabas")*(MOVIMIENTOS!$A$5:$A$1005&lt;&gt;"")*(MOVIMIENTOS!$A$5:$A$1005&lt;=$A997)*MOVIMIENTOS!$E$5:$E$1005)-SUMPRODUCT((MOVIMIENTOS!$B$5:$B$1005="TRASIEGO")*(MOVIMIENTOS!$C$5:$C$1005="M")*(MOVIMIENTOS!$D$5:$D$1005="jabas")*(MOVIMIENTOS!$A$5:$A$1005&lt;&gt;"")*(MOVIMIENTOS!$A$5:$A$1005&lt;=$A997)*MOVIMIENTOS!$E$5:$E$1005)-SUMPRODUCT((MOVIMIENTOS!$B$5:$B$1005="REGALO")*(MOVIMIENTOS!$C$5:$C$1005="M")*(MOVIMIENTOS!$D$5:$D$1005="jabas")*(MOVIMIENTOS!$A$5:$A$1005&lt;&gt;"")*(MOVIMIENTOS!$A$5:$A$1005&lt;=$A997)*MOVIMIENTOS!$E$5:$E$1005)-SUMPRODUCT((MOVIMIENTOS!$B$5:$B$1005="VENTA")*(MOVIMIENTOS!$C$5:$C$1005="M")*(MOVIMIENTOS!$D$5:$D$1005="jabas")*(MOVIMIENTOS!$A$5:$A$1005&lt;&gt;"")*(MOVIMIENTOS!$A$5:$A$1005&lt;=$A997)*MOVIMIENTOS!$E$5:$E$1005)+SUMPRODUCT((MOVIMIENTOS!$B$5:$B$1005="AJUSTE")*(MOVIMIENTOS!$C$5:$C$1005="M")*(MOVIMIENTOS!$D$5:$D$1005="jabas")*(MOVIMIENTOS!$A$5:$A$1005&lt;&gt;"")*(MOVIMIENTOS!$A$5:$A$1005&lt;=$A997)*MOVIMIENTOS!$E$5:$E$1005))</f>
        <v/>
      </c>
      <c r="F997" s="62" t="str">
        <f>IF($A997="","",SUMPRODUCT((MOVIMIENTOS!$B$5:$B$1005="SALDO INICIAL")*(MOVIMIENTOS!$C$5:$C$1005="Chancho")*(MOVIMIENTOS!$D$5:$D$1005="sacos")*(MOVIMIENTOS!$A$5:$A$1005&lt;&gt;"")*(MOVIMIENTOS!$A$5:$A$1005&lt;=$A997)*MOVIMIENTOS!$E$5:$E$1005)+SUMPRODUCT((MOVIMIENTOS!$B$5:$B$1005="PROCESO")*(MOVIMIENTOS!$C$5:$C$1005="Chancho")*(MOVIMIENTOS!$D$5:$D$1005="sacos")*(MOVIMIENTOS!$A$5:$A$1005&lt;&gt;"")*(MOVIMIENTOS!$A$5:$A$1005&lt;=$A997)*MOVIMIENTOS!$E$5:$E$1005)-SUMPRODUCT((MOVIMIENTOS!$B$5:$B$1005="VENTA CHANCHO")*(MOVIMIENTOS!$C$5:$C$1005="Chancho")*(MOVIMIENTOS!$D$5:$D$1005="sacos")*(MOVIMIENTOS!$A$5:$A$1005&lt;&gt;"")*(MOVIMIENTOS!$A$5:$A$1005&lt;=$A997)*MOVIMIENTOS!$E$5:$E$1005)-SUMPRODUCT((MOVIMIENTOS!$B$5:$B$1005="REGALO")*(MOVIMIENTOS!$C$5:$C$1005="Chancho")*(MOVIMIENTOS!$D$5:$D$1005="sacos")*(MOVIMIENTOS!$A$5:$A$1005&lt;&gt;"")*(MOVIMIENTOS!$A$5:$A$1005&lt;=$A997)*MOVIMIENTOS!$E$5:$E$1005)-SUMPRODUCT((MOVIMIENTOS!$B$5:$B$1005="VENTA")*(MOVIMIENTOS!$C$5:$C$1005="Chancho")*(MOVIMIENTOS!$D$5:$D$1005="sacos")*(MOVIMIENTOS!$A$5:$A$1005&lt;&gt;"")*(MOVIMIENTOS!$A$5:$A$1005&lt;=$A997)*MOVIMIENTOS!$E$5:$E$1005)+SUMPRODUCT((MOVIMIENTOS!$B$5:$B$1005="AJUSTE")*(MOVIMIENTOS!$C$5:$C$1005="Chancho")*(MOVIMIENTOS!$D$5:$D$1005="sacos")*(MOVIMIENTOS!$A$5:$A$1005&lt;&gt;"")*(MOVIMIENTOS!$A$5:$A$1005&lt;=$A997)*MOVIMIENTOS!$E$5:$E$1005))</f>
        <v/>
      </c>
      <c r="G997" s="62" t="str">
        <f t="shared" si="31"/>
        <v/>
      </c>
      <c r="H997" t="str">
        <f>IF($A997="","",SUMPRODUCT((((MOVIMIENTOS!$B$5:$B$1005="SALDO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997)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997)*MOVIMIENTOS!$J$5:$J$1005))</f>
        <v/>
      </c>
      <c r="J997" t="str">
        <f>IF(AND(MOVIMIENTOS!$A1002&lt;&gt;"",COUNTIF(MOVIMIENTOS!$A$5:$A1001,MOVIMIENTOS!$A1002)=0),COUNT(J$4:J996)+1,"")</f>
        <v/>
      </c>
      <c r="K997">
        <f>MOVIMIENTOS!$A1002</f>
        <v>0</v>
      </c>
    </row>
    <row r="998" spans="1:11" ht="15" customHeight="1" x14ac:dyDescent="0.2">
      <c r="A998" t="str">
        <f t="shared" si="30"/>
        <v/>
      </c>
      <c r="B998" t="str">
        <f>IF($A998="","",SUMPRODUCT((MOVIMIENTOS!$B$5:$B$1005="SALDO INICIAL")*(MOVIMIENTOS!$C$5:$C$1005="A")*(MOVIMIENTOS!$D$5:$D$1005="jabas")*(MOVIMIENTOS!$A$5:$A$1005&lt;&gt;"")*(MOVIMIENTOS!$A$5:$A$1005&lt;=$A998)*MOVIMIENTOS!$E$5:$E$1005)+SUMPRODUCT((MOVIMIENTOS!$B$5:$B$1005="PROCESO")*(MOVIMIENTOS!$C$5:$C$1005="A")*(MOVIMIENTOS!$D$5:$D$1005="jabas")*(MOVIMIENTOS!$A$5:$A$1005&lt;&gt;"")*(MOVIMIENTOS!$A$5:$A$1005&lt;=$A998)*MOVIMIENTOS!$E$5:$E$1005)-SUMPRODUCT((MOVIMIENTOS!$B$5:$B$1005="ENVÍO A SUPESA")*(MOVIMIENTOS!$C$5:$C$1005="A")*(MOVIMIENTOS!$D$5:$D$1005="jabas")*(MOVIMIENTOS!$A$5:$A$1005&lt;&gt;"")*(MOVIMIENTOS!$A$5:$A$1005&lt;=$A998)*MOVIMIENTOS!$E$5:$E$1005)+SUMPRODUCT((MOVIMIENTOS!$B$5:$B$1005="DEVOLUCIÓN")*(MOVIMIENTOS!$C$5:$C$1005="A")*(MOVIMIENTOS!$D$5:$D$1005="jabas")*(MOVIMIENTOS!$A$5:$A$1005&lt;&gt;"")*(MOVIMIENTOS!$A$5:$A$1005&lt;=$A998)*MOVIMIENTOS!$E$5:$E$1005)-SUMPRODUCT((MOVIMIENTOS!$B$5:$B$1005="TRASIEGO")*(MOVIMIENTOS!$C$5:$C$1005="A")*(MOVIMIENTOS!$D$5:$D$1005="jabas")*(MOVIMIENTOS!$A$5:$A$1005&lt;&gt;"")*(MOVIMIENTOS!$A$5:$A$1005&lt;=$A998)*MOVIMIENTOS!$E$5:$E$1005)-SUMPRODUCT((MOVIMIENTOS!$B$5:$B$1005="REGALO")*(MOVIMIENTOS!$C$5:$C$1005="A")*(MOVIMIENTOS!$D$5:$D$1005="jabas")*(MOVIMIENTOS!$A$5:$A$1005&lt;&gt;"")*(MOVIMIENTOS!$A$5:$A$1005&lt;=$A998)*MOVIMIENTOS!$E$5:$E$1005)-SUMPRODUCT((MOVIMIENTOS!$B$5:$B$1005="VENTA")*(MOVIMIENTOS!$C$5:$C$1005="A")*(MOVIMIENTOS!$D$5:$D$1005="jabas")*(MOVIMIENTOS!$A$5:$A$1005&lt;&gt;"")*(MOVIMIENTOS!$A$5:$A$1005&lt;=$A998)*MOVIMIENTOS!$E$5:$E$1005)+SUMPRODUCT((MOVIMIENTOS!$B$5:$B$1005="AJUSTE")*(MOVIMIENTOS!$C$5:$C$1005="A")*(MOVIMIENTOS!$D$5:$D$1005="jabas")*(MOVIMIENTOS!$A$5:$A$1005&lt;&gt;"")*(MOVIMIENTOS!$A$5:$A$1005&lt;=$A998)*MOVIMIENTOS!$E$5:$E$1005))</f>
        <v/>
      </c>
      <c r="C998" t="str">
        <f>IF($A998="","",SUMPRODUCT((MOVIMIENTOS!$B$5:$B$1005="SALDO INICIAL")*(MOVIMIENTOS!$C$5:$C$1005="P")*(MOVIMIENTOS!$D$5:$D$1005="jabas")*(MOVIMIENTOS!$A$5:$A$1005&lt;&gt;"")*(MOVIMIENTOS!$A$5:$A$1005&lt;=$A998)*MOVIMIENTOS!$E$5:$E$1005)+SUMPRODUCT((MOVIMIENTOS!$B$5:$B$1005="PROCESO")*(MOVIMIENTOS!$C$5:$C$1005="P")*(MOVIMIENTOS!$D$5:$D$1005="jabas")*(MOVIMIENTOS!$A$5:$A$1005&lt;&gt;"")*(MOVIMIENTOS!$A$5:$A$1005&lt;=$A998)*MOVIMIENTOS!$E$5:$E$1005)-SUMPRODUCT((MOVIMIENTOS!$B$5:$B$1005="ENVÍO A SUPESA")*(MOVIMIENTOS!$C$5:$C$1005="P")*(MOVIMIENTOS!$D$5:$D$1005="jabas")*(MOVIMIENTOS!$A$5:$A$1005&lt;&gt;"")*(MOVIMIENTOS!$A$5:$A$1005&lt;=$A998)*MOVIMIENTOS!$E$5:$E$1005)+SUMPRODUCT((MOVIMIENTOS!$B$5:$B$1005="DEVOLUCIÓN")*(MOVIMIENTOS!$C$5:$C$1005="P")*(MOVIMIENTOS!$D$5:$D$1005="jabas")*(MOVIMIENTOS!$A$5:$A$1005&lt;&gt;"")*(MOVIMIENTOS!$A$5:$A$1005&lt;=$A998)*MOVIMIENTOS!$E$5:$E$1005)-SUMPRODUCT((MOVIMIENTOS!$B$5:$B$1005="TRASIEGO")*(MOVIMIENTOS!$C$5:$C$1005="P")*(MOVIMIENTOS!$D$5:$D$1005="jabas")*(MOVIMIENTOS!$A$5:$A$1005&lt;&gt;"")*(MOVIMIENTOS!$A$5:$A$1005&lt;=$A998)*MOVIMIENTOS!$E$5:$E$1005)-SUMPRODUCT((MOVIMIENTOS!$B$5:$B$1005="REGALO")*(MOVIMIENTOS!$C$5:$C$1005="P")*(MOVIMIENTOS!$D$5:$D$1005="jabas")*(MOVIMIENTOS!$A$5:$A$1005&lt;&gt;"")*(MOVIMIENTOS!$A$5:$A$1005&lt;=$A998)*MOVIMIENTOS!$E$5:$E$1005)-SUMPRODUCT((MOVIMIENTOS!$B$5:$B$1005="VENTA")*(MOVIMIENTOS!$C$5:$C$1005="P")*(MOVIMIENTOS!$D$5:$D$1005="jabas")*(MOVIMIENTOS!$A$5:$A$1005&lt;&gt;"")*(MOVIMIENTOS!$A$5:$A$1005&lt;=$A998)*MOVIMIENTOS!$E$5:$E$1005)+SUMPRODUCT((MOVIMIENTOS!$B$5:$B$1005="AJUSTE")*(MOVIMIENTOS!$C$5:$C$1005="P")*(MOVIMIENTOS!$D$5:$D$1005="jabas")*(MOVIMIENTOS!$A$5:$A$1005&lt;&gt;"")*(MOVIMIENTOS!$A$5:$A$1005&lt;=$A998)*MOVIMIENTOS!$E$5:$E$1005))</f>
        <v/>
      </c>
      <c r="D998" t="str">
        <f>IF($A998="","",SUMPRODUCT((MOVIMIENTOS!$B$5:$B$1005="SALDO INICIAL")*(MOVIMIENTOS!$C$5:$C$1005="C")*(MOVIMIENTOS!$D$5:$D$1005="jabas")*(MOVIMIENTOS!$A$5:$A$1005&lt;&gt;"")*(MOVIMIENTOS!$A$5:$A$1005&lt;=$A998)*MOVIMIENTOS!$E$5:$E$1005)+SUMPRODUCT((MOVIMIENTOS!$B$5:$B$1005="PROCESO")*(MOVIMIENTOS!$C$5:$C$1005="C")*(MOVIMIENTOS!$D$5:$D$1005="jabas")*(MOVIMIENTOS!$A$5:$A$1005&lt;&gt;"")*(MOVIMIENTOS!$A$5:$A$1005&lt;=$A998)*MOVIMIENTOS!$E$5:$E$1005)-SUMPRODUCT((MOVIMIENTOS!$B$5:$B$1005="ENVÍO A SUPESA")*(MOVIMIENTOS!$C$5:$C$1005="C")*(MOVIMIENTOS!$D$5:$D$1005="jabas")*(MOVIMIENTOS!$A$5:$A$1005&lt;&gt;"")*(MOVIMIENTOS!$A$5:$A$1005&lt;=$A998)*MOVIMIENTOS!$E$5:$E$1005)+SUMPRODUCT((MOVIMIENTOS!$B$5:$B$1005="DEVOLUCIÓN")*(MOVIMIENTOS!$C$5:$C$1005="C")*(MOVIMIENTOS!$D$5:$D$1005="jabas")*(MOVIMIENTOS!$A$5:$A$1005&lt;&gt;"")*(MOVIMIENTOS!$A$5:$A$1005&lt;=$A998)*MOVIMIENTOS!$E$5:$E$1005)-SUMPRODUCT((MOVIMIENTOS!$B$5:$B$1005="TRASIEGO")*(MOVIMIENTOS!$C$5:$C$1005="C")*(MOVIMIENTOS!$D$5:$D$1005="jabas")*(MOVIMIENTOS!$A$5:$A$1005&lt;&gt;"")*(MOVIMIENTOS!$A$5:$A$1005&lt;=$A998)*MOVIMIENTOS!$E$5:$E$1005)-SUMPRODUCT((MOVIMIENTOS!$B$5:$B$1005="REGALO")*(MOVIMIENTOS!$C$5:$C$1005="C")*(MOVIMIENTOS!$D$5:$D$1005="jabas")*(MOVIMIENTOS!$A$5:$A$1005&lt;&gt;"")*(MOVIMIENTOS!$A$5:$A$1005&lt;=$A998)*MOVIMIENTOS!$E$5:$E$1005)-SUMPRODUCT((MOVIMIENTOS!$B$5:$B$1005="VENTA")*(MOVIMIENTOS!$C$5:$C$1005="C")*(MOVIMIENTOS!$D$5:$D$1005="jabas")*(MOVIMIENTOS!$A$5:$A$1005&lt;&gt;"")*(MOVIMIENTOS!$A$5:$A$1005&lt;=$A998)*MOVIMIENTOS!$E$5:$E$1005)+SUMPRODUCT((MOVIMIENTOS!$B$5:$B$1005="AJUSTE")*(MOVIMIENTOS!$C$5:$C$1005="C")*(MOVIMIENTOS!$D$5:$D$1005="jabas")*(MOVIMIENTOS!$A$5:$A$1005&lt;&gt;"")*(MOVIMIENTOS!$A$5:$A$1005&lt;=$A998)*MOVIMIENTOS!$E$5:$E$1005))</f>
        <v/>
      </c>
      <c r="E998" t="str">
        <f>IF($A998="","",SUMPRODUCT((MOVIMIENTOS!$B$5:$B$1005="SALDO INICIAL")*(MOVIMIENTOS!$C$5:$C$1005="M")*(MOVIMIENTOS!$D$5:$D$1005="jabas")*(MOVIMIENTOS!$A$5:$A$1005&lt;&gt;"")*(MOVIMIENTOS!$A$5:$A$1005&lt;=$A998)*MOVIMIENTOS!$E$5:$E$1005)+SUMPRODUCT((MOVIMIENTOS!$B$5:$B$1005="PROCESO")*(MOVIMIENTOS!$C$5:$C$1005="M")*(MOVIMIENTOS!$D$5:$D$1005="jabas")*(MOVIMIENTOS!$A$5:$A$1005&lt;&gt;"")*(MOVIMIENTOS!$A$5:$A$1005&lt;=$A998)*MOVIMIENTOS!$E$5:$E$1005)-SUMPRODUCT((MOVIMIENTOS!$B$5:$B$1005="ENVÍO A SUPESA")*(MOVIMIENTOS!$C$5:$C$1005="M")*(MOVIMIENTOS!$D$5:$D$1005="jabas")*(MOVIMIENTOS!$A$5:$A$1005&lt;&gt;"")*(MOVIMIENTOS!$A$5:$A$1005&lt;=$A998)*MOVIMIENTOS!$E$5:$E$1005)+SUMPRODUCT((MOVIMIENTOS!$B$5:$B$1005="DEVOLUCIÓN")*(MOVIMIENTOS!$C$5:$C$1005="M")*(MOVIMIENTOS!$D$5:$D$1005="jabas")*(MOVIMIENTOS!$A$5:$A$1005&lt;&gt;"")*(MOVIMIENTOS!$A$5:$A$1005&lt;=$A998)*MOVIMIENTOS!$E$5:$E$1005)-SUMPRODUCT((MOVIMIENTOS!$B$5:$B$1005="TRASIEGO")*(MOVIMIENTOS!$C$5:$C$1005="M")*(MOVIMIENTOS!$D$5:$D$1005="jabas")*(MOVIMIENTOS!$A$5:$A$1005&lt;&gt;"")*(MOVIMIENTOS!$A$5:$A$1005&lt;=$A998)*MOVIMIENTOS!$E$5:$E$1005)-SUMPRODUCT((MOVIMIENTOS!$B$5:$B$1005="REGALO")*(MOVIMIENTOS!$C$5:$C$1005="M")*(MOVIMIENTOS!$D$5:$D$1005="jabas")*(MOVIMIENTOS!$A$5:$A$1005&lt;&gt;"")*(MOVIMIENTOS!$A$5:$A$1005&lt;=$A998)*MOVIMIENTOS!$E$5:$E$1005)-SUMPRODUCT((MOVIMIENTOS!$B$5:$B$1005="VENTA")*(MOVIMIENTOS!$C$5:$C$1005="M")*(MOVIMIENTOS!$D$5:$D$1005="jabas")*(MOVIMIENTOS!$A$5:$A$1005&lt;&gt;"")*(MOVIMIENTOS!$A$5:$A$1005&lt;=$A998)*MOVIMIENTOS!$E$5:$E$1005)+SUMPRODUCT((MOVIMIENTOS!$B$5:$B$1005="AJUSTE")*(MOVIMIENTOS!$C$5:$C$1005="M")*(MOVIMIENTOS!$D$5:$D$1005="jabas")*(MOVIMIENTOS!$A$5:$A$1005&lt;&gt;"")*(MOVIMIENTOS!$A$5:$A$1005&lt;=$A998)*MOVIMIENTOS!$E$5:$E$1005))</f>
        <v/>
      </c>
      <c r="F998" s="62" t="str">
        <f>IF($A998="","",SUMPRODUCT((MOVIMIENTOS!$B$5:$B$1005="SALDO INICIAL")*(MOVIMIENTOS!$C$5:$C$1005="Chancho")*(MOVIMIENTOS!$D$5:$D$1005="sacos")*(MOVIMIENTOS!$A$5:$A$1005&lt;&gt;"")*(MOVIMIENTOS!$A$5:$A$1005&lt;=$A998)*MOVIMIENTOS!$E$5:$E$1005)+SUMPRODUCT((MOVIMIENTOS!$B$5:$B$1005="PROCESO")*(MOVIMIENTOS!$C$5:$C$1005="Chancho")*(MOVIMIENTOS!$D$5:$D$1005="sacos")*(MOVIMIENTOS!$A$5:$A$1005&lt;&gt;"")*(MOVIMIENTOS!$A$5:$A$1005&lt;=$A998)*MOVIMIENTOS!$E$5:$E$1005)-SUMPRODUCT((MOVIMIENTOS!$B$5:$B$1005="VENTA CHANCHO")*(MOVIMIENTOS!$C$5:$C$1005="Chancho")*(MOVIMIENTOS!$D$5:$D$1005="sacos")*(MOVIMIENTOS!$A$5:$A$1005&lt;&gt;"")*(MOVIMIENTOS!$A$5:$A$1005&lt;=$A998)*MOVIMIENTOS!$E$5:$E$1005)-SUMPRODUCT((MOVIMIENTOS!$B$5:$B$1005="REGALO")*(MOVIMIENTOS!$C$5:$C$1005="Chancho")*(MOVIMIENTOS!$D$5:$D$1005="sacos")*(MOVIMIENTOS!$A$5:$A$1005&lt;&gt;"")*(MOVIMIENTOS!$A$5:$A$1005&lt;=$A998)*MOVIMIENTOS!$E$5:$E$1005)-SUMPRODUCT((MOVIMIENTOS!$B$5:$B$1005="VENTA")*(MOVIMIENTOS!$C$5:$C$1005="Chancho")*(MOVIMIENTOS!$D$5:$D$1005="sacos")*(MOVIMIENTOS!$A$5:$A$1005&lt;&gt;"")*(MOVIMIENTOS!$A$5:$A$1005&lt;=$A998)*MOVIMIENTOS!$E$5:$E$1005)+SUMPRODUCT((MOVIMIENTOS!$B$5:$B$1005="AJUSTE")*(MOVIMIENTOS!$C$5:$C$1005="Chancho")*(MOVIMIENTOS!$D$5:$D$1005="sacos")*(MOVIMIENTOS!$A$5:$A$1005&lt;&gt;"")*(MOVIMIENTOS!$A$5:$A$1005&lt;=$A998)*MOVIMIENTOS!$E$5:$E$1005))</f>
        <v/>
      </c>
      <c r="G998" s="62" t="str">
        <f t="shared" si="31"/>
        <v/>
      </c>
      <c r="H998" t="str">
        <f>IF($A998="","",SUMPRODUCT((((MOVIMIENTOS!$B$5:$B$1005="SALDO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998)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998)*MOVIMIENTOS!$J$5:$J$1005))</f>
        <v/>
      </c>
      <c r="J998" t="str">
        <f>IF(AND(MOVIMIENTOS!$A1003&lt;&gt;"",COUNTIF(MOVIMIENTOS!$A$5:$A1002,MOVIMIENTOS!$A1003)=0),COUNT(J$4:J997)+1,"")</f>
        <v/>
      </c>
      <c r="K998">
        <f>MOVIMIENTOS!$A1003</f>
        <v>0</v>
      </c>
    </row>
    <row r="999" spans="1:11" ht="15" customHeight="1" x14ac:dyDescent="0.2">
      <c r="A999" t="str">
        <f t="shared" si="30"/>
        <v/>
      </c>
      <c r="B999" t="str">
        <f>IF($A999="","",SUMPRODUCT((MOVIMIENTOS!$B$5:$B$1005="SALDO INICIAL")*(MOVIMIENTOS!$C$5:$C$1005="A")*(MOVIMIENTOS!$D$5:$D$1005="jabas")*(MOVIMIENTOS!$A$5:$A$1005&lt;&gt;"")*(MOVIMIENTOS!$A$5:$A$1005&lt;=$A999)*MOVIMIENTOS!$E$5:$E$1005)+SUMPRODUCT((MOVIMIENTOS!$B$5:$B$1005="PROCESO")*(MOVIMIENTOS!$C$5:$C$1005="A")*(MOVIMIENTOS!$D$5:$D$1005="jabas")*(MOVIMIENTOS!$A$5:$A$1005&lt;&gt;"")*(MOVIMIENTOS!$A$5:$A$1005&lt;=$A999)*MOVIMIENTOS!$E$5:$E$1005)-SUMPRODUCT((MOVIMIENTOS!$B$5:$B$1005="ENVÍO A SUPESA")*(MOVIMIENTOS!$C$5:$C$1005="A")*(MOVIMIENTOS!$D$5:$D$1005="jabas")*(MOVIMIENTOS!$A$5:$A$1005&lt;&gt;"")*(MOVIMIENTOS!$A$5:$A$1005&lt;=$A999)*MOVIMIENTOS!$E$5:$E$1005)+SUMPRODUCT((MOVIMIENTOS!$B$5:$B$1005="DEVOLUCIÓN")*(MOVIMIENTOS!$C$5:$C$1005="A")*(MOVIMIENTOS!$D$5:$D$1005="jabas")*(MOVIMIENTOS!$A$5:$A$1005&lt;&gt;"")*(MOVIMIENTOS!$A$5:$A$1005&lt;=$A999)*MOVIMIENTOS!$E$5:$E$1005)-SUMPRODUCT((MOVIMIENTOS!$B$5:$B$1005="TRASIEGO")*(MOVIMIENTOS!$C$5:$C$1005="A")*(MOVIMIENTOS!$D$5:$D$1005="jabas")*(MOVIMIENTOS!$A$5:$A$1005&lt;&gt;"")*(MOVIMIENTOS!$A$5:$A$1005&lt;=$A999)*MOVIMIENTOS!$E$5:$E$1005)-SUMPRODUCT((MOVIMIENTOS!$B$5:$B$1005="REGALO")*(MOVIMIENTOS!$C$5:$C$1005="A")*(MOVIMIENTOS!$D$5:$D$1005="jabas")*(MOVIMIENTOS!$A$5:$A$1005&lt;&gt;"")*(MOVIMIENTOS!$A$5:$A$1005&lt;=$A999)*MOVIMIENTOS!$E$5:$E$1005)-SUMPRODUCT((MOVIMIENTOS!$B$5:$B$1005="VENTA")*(MOVIMIENTOS!$C$5:$C$1005="A")*(MOVIMIENTOS!$D$5:$D$1005="jabas")*(MOVIMIENTOS!$A$5:$A$1005&lt;&gt;"")*(MOVIMIENTOS!$A$5:$A$1005&lt;=$A999)*MOVIMIENTOS!$E$5:$E$1005)+SUMPRODUCT((MOVIMIENTOS!$B$5:$B$1005="AJUSTE")*(MOVIMIENTOS!$C$5:$C$1005="A")*(MOVIMIENTOS!$D$5:$D$1005="jabas")*(MOVIMIENTOS!$A$5:$A$1005&lt;&gt;"")*(MOVIMIENTOS!$A$5:$A$1005&lt;=$A999)*MOVIMIENTOS!$E$5:$E$1005))</f>
        <v/>
      </c>
      <c r="C999" t="str">
        <f>IF($A999="","",SUMPRODUCT((MOVIMIENTOS!$B$5:$B$1005="SALDO INICIAL")*(MOVIMIENTOS!$C$5:$C$1005="P")*(MOVIMIENTOS!$D$5:$D$1005="jabas")*(MOVIMIENTOS!$A$5:$A$1005&lt;&gt;"")*(MOVIMIENTOS!$A$5:$A$1005&lt;=$A999)*MOVIMIENTOS!$E$5:$E$1005)+SUMPRODUCT((MOVIMIENTOS!$B$5:$B$1005="PROCESO")*(MOVIMIENTOS!$C$5:$C$1005="P")*(MOVIMIENTOS!$D$5:$D$1005="jabas")*(MOVIMIENTOS!$A$5:$A$1005&lt;&gt;"")*(MOVIMIENTOS!$A$5:$A$1005&lt;=$A999)*MOVIMIENTOS!$E$5:$E$1005)-SUMPRODUCT((MOVIMIENTOS!$B$5:$B$1005="ENVÍO A SUPESA")*(MOVIMIENTOS!$C$5:$C$1005="P")*(MOVIMIENTOS!$D$5:$D$1005="jabas")*(MOVIMIENTOS!$A$5:$A$1005&lt;&gt;"")*(MOVIMIENTOS!$A$5:$A$1005&lt;=$A999)*MOVIMIENTOS!$E$5:$E$1005)+SUMPRODUCT((MOVIMIENTOS!$B$5:$B$1005="DEVOLUCIÓN")*(MOVIMIENTOS!$C$5:$C$1005="P")*(MOVIMIENTOS!$D$5:$D$1005="jabas")*(MOVIMIENTOS!$A$5:$A$1005&lt;&gt;"")*(MOVIMIENTOS!$A$5:$A$1005&lt;=$A999)*MOVIMIENTOS!$E$5:$E$1005)-SUMPRODUCT((MOVIMIENTOS!$B$5:$B$1005="TRASIEGO")*(MOVIMIENTOS!$C$5:$C$1005="P")*(MOVIMIENTOS!$D$5:$D$1005="jabas")*(MOVIMIENTOS!$A$5:$A$1005&lt;&gt;"")*(MOVIMIENTOS!$A$5:$A$1005&lt;=$A999)*MOVIMIENTOS!$E$5:$E$1005)-SUMPRODUCT((MOVIMIENTOS!$B$5:$B$1005="REGALO")*(MOVIMIENTOS!$C$5:$C$1005="P")*(MOVIMIENTOS!$D$5:$D$1005="jabas")*(MOVIMIENTOS!$A$5:$A$1005&lt;&gt;"")*(MOVIMIENTOS!$A$5:$A$1005&lt;=$A999)*MOVIMIENTOS!$E$5:$E$1005)-SUMPRODUCT((MOVIMIENTOS!$B$5:$B$1005="VENTA")*(MOVIMIENTOS!$C$5:$C$1005="P")*(MOVIMIENTOS!$D$5:$D$1005="jabas")*(MOVIMIENTOS!$A$5:$A$1005&lt;&gt;"")*(MOVIMIENTOS!$A$5:$A$1005&lt;=$A999)*MOVIMIENTOS!$E$5:$E$1005)+SUMPRODUCT((MOVIMIENTOS!$B$5:$B$1005="AJUSTE")*(MOVIMIENTOS!$C$5:$C$1005="P")*(MOVIMIENTOS!$D$5:$D$1005="jabas")*(MOVIMIENTOS!$A$5:$A$1005&lt;&gt;"")*(MOVIMIENTOS!$A$5:$A$1005&lt;=$A999)*MOVIMIENTOS!$E$5:$E$1005))</f>
        <v/>
      </c>
      <c r="D999" t="str">
        <f>IF($A999="","",SUMPRODUCT((MOVIMIENTOS!$B$5:$B$1005="SALDO INICIAL")*(MOVIMIENTOS!$C$5:$C$1005="C")*(MOVIMIENTOS!$D$5:$D$1005="jabas")*(MOVIMIENTOS!$A$5:$A$1005&lt;&gt;"")*(MOVIMIENTOS!$A$5:$A$1005&lt;=$A999)*MOVIMIENTOS!$E$5:$E$1005)+SUMPRODUCT((MOVIMIENTOS!$B$5:$B$1005="PROCESO")*(MOVIMIENTOS!$C$5:$C$1005="C")*(MOVIMIENTOS!$D$5:$D$1005="jabas")*(MOVIMIENTOS!$A$5:$A$1005&lt;&gt;"")*(MOVIMIENTOS!$A$5:$A$1005&lt;=$A999)*MOVIMIENTOS!$E$5:$E$1005)-SUMPRODUCT((MOVIMIENTOS!$B$5:$B$1005="ENVÍO A SUPESA")*(MOVIMIENTOS!$C$5:$C$1005="C")*(MOVIMIENTOS!$D$5:$D$1005="jabas")*(MOVIMIENTOS!$A$5:$A$1005&lt;&gt;"")*(MOVIMIENTOS!$A$5:$A$1005&lt;=$A999)*MOVIMIENTOS!$E$5:$E$1005)+SUMPRODUCT((MOVIMIENTOS!$B$5:$B$1005="DEVOLUCIÓN")*(MOVIMIENTOS!$C$5:$C$1005="C")*(MOVIMIENTOS!$D$5:$D$1005="jabas")*(MOVIMIENTOS!$A$5:$A$1005&lt;&gt;"")*(MOVIMIENTOS!$A$5:$A$1005&lt;=$A999)*MOVIMIENTOS!$E$5:$E$1005)-SUMPRODUCT((MOVIMIENTOS!$B$5:$B$1005="TRASIEGO")*(MOVIMIENTOS!$C$5:$C$1005="C")*(MOVIMIENTOS!$D$5:$D$1005="jabas")*(MOVIMIENTOS!$A$5:$A$1005&lt;&gt;"")*(MOVIMIENTOS!$A$5:$A$1005&lt;=$A999)*MOVIMIENTOS!$E$5:$E$1005)-SUMPRODUCT((MOVIMIENTOS!$B$5:$B$1005="REGALO")*(MOVIMIENTOS!$C$5:$C$1005="C")*(MOVIMIENTOS!$D$5:$D$1005="jabas")*(MOVIMIENTOS!$A$5:$A$1005&lt;&gt;"")*(MOVIMIENTOS!$A$5:$A$1005&lt;=$A999)*MOVIMIENTOS!$E$5:$E$1005)-SUMPRODUCT((MOVIMIENTOS!$B$5:$B$1005="VENTA")*(MOVIMIENTOS!$C$5:$C$1005="C")*(MOVIMIENTOS!$D$5:$D$1005="jabas")*(MOVIMIENTOS!$A$5:$A$1005&lt;&gt;"")*(MOVIMIENTOS!$A$5:$A$1005&lt;=$A999)*MOVIMIENTOS!$E$5:$E$1005)+SUMPRODUCT((MOVIMIENTOS!$B$5:$B$1005="AJUSTE")*(MOVIMIENTOS!$C$5:$C$1005="C")*(MOVIMIENTOS!$D$5:$D$1005="jabas")*(MOVIMIENTOS!$A$5:$A$1005&lt;&gt;"")*(MOVIMIENTOS!$A$5:$A$1005&lt;=$A999)*MOVIMIENTOS!$E$5:$E$1005))</f>
        <v/>
      </c>
      <c r="E999" t="str">
        <f>IF($A999="","",SUMPRODUCT((MOVIMIENTOS!$B$5:$B$1005="SALDO INICIAL")*(MOVIMIENTOS!$C$5:$C$1005="M")*(MOVIMIENTOS!$D$5:$D$1005="jabas")*(MOVIMIENTOS!$A$5:$A$1005&lt;&gt;"")*(MOVIMIENTOS!$A$5:$A$1005&lt;=$A999)*MOVIMIENTOS!$E$5:$E$1005)+SUMPRODUCT((MOVIMIENTOS!$B$5:$B$1005="PROCESO")*(MOVIMIENTOS!$C$5:$C$1005="M")*(MOVIMIENTOS!$D$5:$D$1005="jabas")*(MOVIMIENTOS!$A$5:$A$1005&lt;&gt;"")*(MOVIMIENTOS!$A$5:$A$1005&lt;=$A999)*MOVIMIENTOS!$E$5:$E$1005)-SUMPRODUCT((MOVIMIENTOS!$B$5:$B$1005="ENVÍO A SUPESA")*(MOVIMIENTOS!$C$5:$C$1005="M")*(MOVIMIENTOS!$D$5:$D$1005="jabas")*(MOVIMIENTOS!$A$5:$A$1005&lt;&gt;"")*(MOVIMIENTOS!$A$5:$A$1005&lt;=$A999)*MOVIMIENTOS!$E$5:$E$1005)+SUMPRODUCT((MOVIMIENTOS!$B$5:$B$1005="DEVOLUCIÓN")*(MOVIMIENTOS!$C$5:$C$1005="M")*(MOVIMIENTOS!$D$5:$D$1005="jabas")*(MOVIMIENTOS!$A$5:$A$1005&lt;&gt;"")*(MOVIMIENTOS!$A$5:$A$1005&lt;=$A999)*MOVIMIENTOS!$E$5:$E$1005)-SUMPRODUCT((MOVIMIENTOS!$B$5:$B$1005="TRASIEGO")*(MOVIMIENTOS!$C$5:$C$1005="M")*(MOVIMIENTOS!$D$5:$D$1005="jabas")*(MOVIMIENTOS!$A$5:$A$1005&lt;&gt;"")*(MOVIMIENTOS!$A$5:$A$1005&lt;=$A999)*MOVIMIENTOS!$E$5:$E$1005)-SUMPRODUCT((MOVIMIENTOS!$B$5:$B$1005="REGALO")*(MOVIMIENTOS!$C$5:$C$1005="M")*(MOVIMIENTOS!$D$5:$D$1005="jabas")*(MOVIMIENTOS!$A$5:$A$1005&lt;&gt;"")*(MOVIMIENTOS!$A$5:$A$1005&lt;=$A999)*MOVIMIENTOS!$E$5:$E$1005)-SUMPRODUCT((MOVIMIENTOS!$B$5:$B$1005="VENTA")*(MOVIMIENTOS!$C$5:$C$1005="M")*(MOVIMIENTOS!$D$5:$D$1005="jabas")*(MOVIMIENTOS!$A$5:$A$1005&lt;&gt;"")*(MOVIMIENTOS!$A$5:$A$1005&lt;=$A999)*MOVIMIENTOS!$E$5:$E$1005)+SUMPRODUCT((MOVIMIENTOS!$B$5:$B$1005="AJUSTE")*(MOVIMIENTOS!$C$5:$C$1005="M")*(MOVIMIENTOS!$D$5:$D$1005="jabas")*(MOVIMIENTOS!$A$5:$A$1005&lt;&gt;"")*(MOVIMIENTOS!$A$5:$A$1005&lt;=$A999)*MOVIMIENTOS!$E$5:$E$1005))</f>
        <v/>
      </c>
      <c r="F999" s="62" t="str">
        <f>IF($A999="","",SUMPRODUCT((MOVIMIENTOS!$B$5:$B$1005="SALDO INICIAL")*(MOVIMIENTOS!$C$5:$C$1005="Chancho")*(MOVIMIENTOS!$D$5:$D$1005="sacos")*(MOVIMIENTOS!$A$5:$A$1005&lt;&gt;"")*(MOVIMIENTOS!$A$5:$A$1005&lt;=$A999)*MOVIMIENTOS!$E$5:$E$1005)+SUMPRODUCT((MOVIMIENTOS!$B$5:$B$1005="PROCESO")*(MOVIMIENTOS!$C$5:$C$1005="Chancho")*(MOVIMIENTOS!$D$5:$D$1005="sacos")*(MOVIMIENTOS!$A$5:$A$1005&lt;&gt;"")*(MOVIMIENTOS!$A$5:$A$1005&lt;=$A999)*MOVIMIENTOS!$E$5:$E$1005)-SUMPRODUCT((MOVIMIENTOS!$B$5:$B$1005="VENTA CHANCHO")*(MOVIMIENTOS!$C$5:$C$1005="Chancho")*(MOVIMIENTOS!$D$5:$D$1005="sacos")*(MOVIMIENTOS!$A$5:$A$1005&lt;&gt;"")*(MOVIMIENTOS!$A$5:$A$1005&lt;=$A999)*MOVIMIENTOS!$E$5:$E$1005)-SUMPRODUCT((MOVIMIENTOS!$B$5:$B$1005="REGALO")*(MOVIMIENTOS!$C$5:$C$1005="Chancho")*(MOVIMIENTOS!$D$5:$D$1005="sacos")*(MOVIMIENTOS!$A$5:$A$1005&lt;&gt;"")*(MOVIMIENTOS!$A$5:$A$1005&lt;=$A999)*MOVIMIENTOS!$E$5:$E$1005)-SUMPRODUCT((MOVIMIENTOS!$B$5:$B$1005="VENTA")*(MOVIMIENTOS!$C$5:$C$1005="Chancho")*(MOVIMIENTOS!$D$5:$D$1005="sacos")*(MOVIMIENTOS!$A$5:$A$1005&lt;&gt;"")*(MOVIMIENTOS!$A$5:$A$1005&lt;=$A999)*MOVIMIENTOS!$E$5:$E$1005)+SUMPRODUCT((MOVIMIENTOS!$B$5:$B$1005="AJUSTE")*(MOVIMIENTOS!$C$5:$C$1005="Chancho")*(MOVIMIENTOS!$D$5:$D$1005="sacos")*(MOVIMIENTOS!$A$5:$A$1005&lt;&gt;"")*(MOVIMIENTOS!$A$5:$A$1005&lt;=$A999)*MOVIMIENTOS!$E$5:$E$1005))</f>
        <v/>
      </c>
      <c r="G999" s="62" t="str">
        <f t="shared" si="31"/>
        <v/>
      </c>
      <c r="H999" t="str">
        <f>IF($A999="","",SUMPRODUCT((((MOVIMIENTOS!$B$5:$B$1005="SALDO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999)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999)*MOVIMIENTOS!$J$5:$J$1005))</f>
        <v/>
      </c>
      <c r="J999" t="str">
        <f>IF(AND(MOVIMIENTOS!$A1004&lt;&gt;"",COUNTIF(MOVIMIENTOS!$A$5:$A1003,MOVIMIENTOS!$A1004)=0),COUNT(J$4:J998)+1,"")</f>
        <v/>
      </c>
      <c r="K999">
        <f>MOVIMIENTOS!$A1004</f>
        <v>0</v>
      </c>
    </row>
    <row r="1000" spans="1:11" ht="15" customHeight="1" x14ac:dyDescent="0.2">
      <c r="A1000" t="str">
        <f t="shared" si="30"/>
        <v/>
      </c>
      <c r="B1000" t="str">
        <f>IF($A1000="","",SUMPRODUCT((MOVIMIENTOS!$B$5:$B$1005="SALDO INICIAL")*(MOVIMIENTOS!$C$5:$C$1005="A")*(MOVIMIENTOS!$D$5:$D$1005="jabas")*(MOVIMIENTOS!$A$5:$A$1005&lt;&gt;"")*(MOVIMIENTOS!$A$5:$A$1005&lt;=$A1000)*MOVIMIENTOS!$E$5:$E$1005)+SUMPRODUCT((MOVIMIENTOS!$B$5:$B$1005="PROCESO")*(MOVIMIENTOS!$C$5:$C$1005="A")*(MOVIMIENTOS!$D$5:$D$1005="jabas")*(MOVIMIENTOS!$A$5:$A$1005&lt;&gt;"")*(MOVIMIENTOS!$A$5:$A$1005&lt;=$A1000)*MOVIMIENTOS!$E$5:$E$1005)-SUMPRODUCT((MOVIMIENTOS!$B$5:$B$1005="ENVÍO A SUPESA")*(MOVIMIENTOS!$C$5:$C$1005="A")*(MOVIMIENTOS!$D$5:$D$1005="jabas")*(MOVIMIENTOS!$A$5:$A$1005&lt;&gt;"")*(MOVIMIENTOS!$A$5:$A$1005&lt;=$A1000)*MOVIMIENTOS!$E$5:$E$1005)+SUMPRODUCT((MOVIMIENTOS!$B$5:$B$1005="DEVOLUCIÓN")*(MOVIMIENTOS!$C$5:$C$1005="A")*(MOVIMIENTOS!$D$5:$D$1005="jabas")*(MOVIMIENTOS!$A$5:$A$1005&lt;&gt;"")*(MOVIMIENTOS!$A$5:$A$1005&lt;=$A1000)*MOVIMIENTOS!$E$5:$E$1005)-SUMPRODUCT((MOVIMIENTOS!$B$5:$B$1005="TRASIEGO")*(MOVIMIENTOS!$C$5:$C$1005="A")*(MOVIMIENTOS!$D$5:$D$1005="jabas")*(MOVIMIENTOS!$A$5:$A$1005&lt;&gt;"")*(MOVIMIENTOS!$A$5:$A$1005&lt;=$A1000)*MOVIMIENTOS!$E$5:$E$1005)-SUMPRODUCT((MOVIMIENTOS!$B$5:$B$1005="REGALO")*(MOVIMIENTOS!$C$5:$C$1005="A")*(MOVIMIENTOS!$D$5:$D$1005="jabas")*(MOVIMIENTOS!$A$5:$A$1005&lt;&gt;"")*(MOVIMIENTOS!$A$5:$A$1005&lt;=$A1000)*MOVIMIENTOS!$E$5:$E$1005)-SUMPRODUCT((MOVIMIENTOS!$B$5:$B$1005="VENTA")*(MOVIMIENTOS!$C$5:$C$1005="A")*(MOVIMIENTOS!$D$5:$D$1005="jabas")*(MOVIMIENTOS!$A$5:$A$1005&lt;&gt;"")*(MOVIMIENTOS!$A$5:$A$1005&lt;=$A1000)*MOVIMIENTOS!$E$5:$E$1005)+SUMPRODUCT((MOVIMIENTOS!$B$5:$B$1005="AJUSTE")*(MOVIMIENTOS!$C$5:$C$1005="A")*(MOVIMIENTOS!$D$5:$D$1005="jabas")*(MOVIMIENTOS!$A$5:$A$1005&lt;&gt;"")*(MOVIMIENTOS!$A$5:$A$1005&lt;=$A1000)*MOVIMIENTOS!$E$5:$E$1005))</f>
        <v/>
      </c>
      <c r="C1000" t="str">
        <f>IF($A1000="","",SUMPRODUCT((MOVIMIENTOS!$B$5:$B$1005="SALDO INICIAL")*(MOVIMIENTOS!$C$5:$C$1005="P")*(MOVIMIENTOS!$D$5:$D$1005="jabas")*(MOVIMIENTOS!$A$5:$A$1005&lt;&gt;"")*(MOVIMIENTOS!$A$5:$A$1005&lt;=$A1000)*MOVIMIENTOS!$E$5:$E$1005)+SUMPRODUCT((MOVIMIENTOS!$B$5:$B$1005="PROCESO")*(MOVIMIENTOS!$C$5:$C$1005="P")*(MOVIMIENTOS!$D$5:$D$1005="jabas")*(MOVIMIENTOS!$A$5:$A$1005&lt;&gt;"")*(MOVIMIENTOS!$A$5:$A$1005&lt;=$A1000)*MOVIMIENTOS!$E$5:$E$1005)-SUMPRODUCT((MOVIMIENTOS!$B$5:$B$1005="ENVÍO A SUPESA")*(MOVIMIENTOS!$C$5:$C$1005="P")*(MOVIMIENTOS!$D$5:$D$1005="jabas")*(MOVIMIENTOS!$A$5:$A$1005&lt;&gt;"")*(MOVIMIENTOS!$A$5:$A$1005&lt;=$A1000)*MOVIMIENTOS!$E$5:$E$1005)+SUMPRODUCT((MOVIMIENTOS!$B$5:$B$1005="DEVOLUCIÓN")*(MOVIMIENTOS!$C$5:$C$1005="P")*(MOVIMIENTOS!$D$5:$D$1005="jabas")*(MOVIMIENTOS!$A$5:$A$1005&lt;&gt;"")*(MOVIMIENTOS!$A$5:$A$1005&lt;=$A1000)*MOVIMIENTOS!$E$5:$E$1005)-SUMPRODUCT((MOVIMIENTOS!$B$5:$B$1005="TRASIEGO")*(MOVIMIENTOS!$C$5:$C$1005="P")*(MOVIMIENTOS!$D$5:$D$1005="jabas")*(MOVIMIENTOS!$A$5:$A$1005&lt;&gt;"")*(MOVIMIENTOS!$A$5:$A$1005&lt;=$A1000)*MOVIMIENTOS!$E$5:$E$1005)-SUMPRODUCT((MOVIMIENTOS!$B$5:$B$1005="REGALO")*(MOVIMIENTOS!$C$5:$C$1005="P")*(MOVIMIENTOS!$D$5:$D$1005="jabas")*(MOVIMIENTOS!$A$5:$A$1005&lt;&gt;"")*(MOVIMIENTOS!$A$5:$A$1005&lt;=$A1000)*MOVIMIENTOS!$E$5:$E$1005)-SUMPRODUCT((MOVIMIENTOS!$B$5:$B$1005="VENTA")*(MOVIMIENTOS!$C$5:$C$1005="P")*(MOVIMIENTOS!$D$5:$D$1005="jabas")*(MOVIMIENTOS!$A$5:$A$1005&lt;&gt;"")*(MOVIMIENTOS!$A$5:$A$1005&lt;=$A1000)*MOVIMIENTOS!$E$5:$E$1005)+SUMPRODUCT((MOVIMIENTOS!$B$5:$B$1005="AJUSTE")*(MOVIMIENTOS!$C$5:$C$1005="P")*(MOVIMIENTOS!$D$5:$D$1005="jabas")*(MOVIMIENTOS!$A$5:$A$1005&lt;&gt;"")*(MOVIMIENTOS!$A$5:$A$1005&lt;=$A1000)*MOVIMIENTOS!$E$5:$E$1005))</f>
        <v/>
      </c>
      <c r="D1000" t="str">
        <f>IF($A1000="","",SUMPRODUCT((MOVIMIENTOS!$B$5:$B$1005="SALDO INICIAL")*(MOVIMIENTOS!$C$5:$C$1005="C")*(MOVIMIENTOS!$D$5:$D$1005="jabas")*(MOVIMIENTOS!$A$5:$A$1005&lt;&gt;"")*(MOVIMIENTOS!$A$5:$A$1005&lt;=$A1000)*MOVIMIENTOS!$E$5:$E$1005)+SUMPRODUCT((MOVIMIENTOS!$B$5:$B$1005="PROCESO")*(MOVIMIENTOS!$C$5:$C$1005="C")*(MOVIMIENTOS!$D$5:$D$1005="jabas")*(MOVIMIENTOS!$A$5:$A$1005&lt;&gt;"")*(MOVIMIENTOS!$A$5:$A$1005&lt;=$A1000)*MOVIMIENTOS!$E$5:$E$1005)-SUMPRODUCT((MOVIMIENTOS!$B$5:$B$1005="ENVÍO A SUPESA")*(MOVIMIENTOS!$C$5:$C$1005="C")*(MOVIMIENTOS!$D$5:$D$1005="jabas")*(MOVIMIENTOS!$A$5:$A$1005&lt;&gt;"")*(MOVIMIENTOS!$A$5:$A$1005&lt;=$A1000)*MOVIMIENTOS!$E$5:$E$1005)+SUMPRODUCT((MOVIMIENTOS!$B$5:$B$1005="DEVOLUCIÓN")*(MOVIMIENTOS!$C$5:$C$1005="C")*(MOVIMIENTOS!$D$5:$D$1005="jabas")*(MOVIMIENTOS!$A$5:$A$1005&lt;&gt;"")*(MOVIMIENTOS!$A$5:$A$1005&lt;=$A1000)*MOVIMIENTOS!$E$5:$E$1005)-SUMPRODUCT((MOVIMIENTOS!$B$5:$B$1005="TRASIEGO")*(MOVIMIENTOS!$C$5:$C$1005="C")*(MOVIMIENTOS!$D$5:$D$1005="jabas")*(MOVIMIENTOS!$A$5:$A$1005&lt;&gt;"")*(MOVIMIENTOS!$A$5:$A$1005&lt;=$A1000)*MOVIMIENTOS!$E$5:$E$1005)-SUMPRODUCT((MOVIMIENTOS!$B$5:$B$1005="REGALO")*(MOVIMIENTOS!$C$5:$C$1005="C")*(MOVIMIENTOS!$D$5:$D$1005="jabas")*(MOVIMIENTOS!$A$5:$A$1005&lt;&gt;"")*(MOVIMIENTOS!$A$5:$A$1005&lt;=$A1000)*MOVIMIENTOS!$E$5:$E$1005)-SUMPRODUCT((MOVIMIENTOS!$B$5:$B$1005="VENTA")*(MOVIMIENTOS!$C$5:$C$1005="C")*(MOVIMIENTOS!$D$5:$D$1005="jabas")*(MOVIMIENTOS!$A$5:$A$1005&lt;&gt;"")*(MOVIMIENTOS!$A$5:$A$1005&lt;=$A1000)*MOVIMIENTOS!$E$5:$E$1005)+SUMPRODUCT((MOVIMIENTOS!$B$5:$B$1005="AJUSTE")*(MOVIMIENTOS!$C$5:$C$1005="C")*(MOVIMIENTOS!$D$5:$D$1005="jabas")*(MOVIMIENTOS!$A$5:$A$1005&lt;&gt;"")*(MOVIMIENTOS!$A$5:$A$1005&lt;=$A1000)*MOVIMIENTOS!$E$5:$E$1005))</f>
        <v/>
      </c>
      <c r="E1000" t="str">
        <f>IF($A1000="","",SUMPRODUCT((MOVIMIENTOS!$B$5:$B$1005="SALDO INICIAL")*(MOVIMIENTOS!$C$5:$C$1005="M")*(MOVIMIENTOS!$D$5:$D$1005="jabas")*(MOVIMIENTOS!$A$5:$A$1005&lt;&gt;"")*(MOVIMIENTOS!$A$5:$A$1005&lt;=$A1000)*MOVIMIENTOS!$E$5:$E$1005)+SUMPRODUCT((MOVIMIENTOS!$B$5:$B$1005="PROCESO")*(MOVIMIENTOS!$C$5:$C$1005="M")*(MOVIMIENTOS!$D$5:$D$1005="jabas")*(MOVIMIENTOS!$A$5:$A$1005&lt;&gt;"")*(MOVIMIENTOS!$A$5:$A$1005&lt;=$A1000)*MOVIMIENTOS!$E$5:$E$1005)-SUMPRODUCT((MOVIMIENTOS!$B$5:$B$1005="ENVÍO A SUPESA")*(MOVIMIENTOS!$C$5:$C$1005="M")*(MOVIMIENTOS!$D$5:$D$1005="jabas")*(MOVIMIENTOS!$A$5:$A$1005&lt;&gt;"")*(MOVIMIENTOS!$A$5:$A$1005&lt;=$A1000)*MOVIMIENTOS!$E$5:$E$1005)+SUMPRODUCT((MOVIMIENTOS!$B$5:$B$1005="DEVOLUCIÓN")*(MOVIMIENTOS!$C$5:$C$1005="M")*(MOVIMIENTOS!$D$5:$D$1005="jabas")*(MOVIMIENTOS!$A$5:$A$1005&lt;&gt;"")*(MOVIMIENTOS!$A$5:$A$1005&lt;=$A1000)*MOVIMIENTOS!$E$5:$E$1005)-SUMPRODUCT((MOVIMIENTOS!$B$5:$B$1005="TRASIEGO")*(MOVIMIENTOS!$C$5:$C$1005="M")*(MOVIMIENTOS!$D$5:$D$1005="jabas")*(MOVIMIENTOS!$A$5:$A$1005&lt;&gt;"")*(MOVIMIENTOS!$A$5:$A$1005&lt;=$A1000)*MOVIMIENTOS!$E$5:$E$1005)-SUMPRODUCT((MOVIMIENTOS!$B$5:$B$1005="REGALO")*(MOVIMIENTOS!$C$5:$C$1005="M")*(MOVIMIENTOS!$D$5:$D$1005="jabas")*(MOVIMIENTOS!$A$5:$A$1005&lt;&gt;"")*(MOVIMIENTOS!$A$5:$A$1005&lt;=$A1000)*MOVIMIENTOS!$E$5:$E$1005)-SUMPRODUCT((MOVIMIENTOS!$B$5:$B$1005="VENTA")*(MOVIMIENTOS!$C$5:$C$1005="M")*(MOVIMIENTOS!$D$5:$D$1005="jabas")*(MOVIMIENTOS!$A$5:$A$1005&lt;&gt;"")*(MOVIMIENTOS!$A$5:$A$1005&lt;=$A1000)*MOVIMIENTOS!$E$5:$E$1005)+SUMPRODUCT((MOVIMIENTOS!$B$5:$B$1005="AJUSTE")*(MOVIMIENTOS!$C$5:$C$1005="M")*(MOVIMIENTOS!$D$5:$D$1005="jabas")*(MOVIMIENTOS!$A$5:$A$1005&lt;&gt;"")*(MOVIMIENTOS!$A$5:$A$1005&lt;=$A1000)*MOVIMIENTOS!$E$5:$E$1005))</f>
        <v/>
      </c>
      <c r="F1000" s="62" t="str">
        <f>IF($A1000="","",SUMPRODUCT((MOVIMIENTOS!$B$5:$B$1005="SALDO INICIAL")*(MOVIMIENTOS!$C$5:$C$1005="Chancho")*(MOVIMIENTOS!$D$5:$D$1005="sacos")*(MOVIMIENTOS!$A$5:$A$1005&lt;&gt;"")*(MOVIMIENTOS!$A$5:$A$1005&lt;=$A1000)*MOVIMIENTOS!$E$5:$E$1005)+SUMPRODUCT((MOVIMIENTOS!$B$5:$B$1005="PROCESO")*(MOVIMIENTOS!$C$5:$C$1005="Chancho")*(MOVIMIENTOS!$D$5:$D$1005="sacos")*(MOVIMIENTOS!$A$5:$A$1005&lt;&gt;"")*(MOVIMIENTOS!$A$5:$A$1005&lt;=$A1000)*MOVIMIENTOS!$E$5:$E$1005)-SUMPRODUCT((MOVIMIENTOS!$B$5:$B$1005="VENTA CHANCHO")*(MOVIMIENTOS!$C$5:$C$1005="Chancho")*(MOVIMIENTOS!$D$5:$D$1005="sacos")*(MOVIMIENTOS!$A$5:$A$1005&lt;&gt;"")*(MOVIMIENTOS!$A$5:$A$1005&lt;=$A1000)*MOVIMIENTOS!$E$5:$E$1005)-SUMPRODUCT((MOVIMIENTOS!$B$5:$B$1005="REGALO")*(MOVIMIENTOS!$C$5:$C$1005="Chancho")*(MOVIMIENTOS!$D$5:$D$1005="sacos")*(MOVIMIENTOS!$A$5:$A$1005&lt;&gt;"")*(MOVIMIENTOS!$A$5:$A$1005&lt;=$A1000)*MOVIMIENTOS!$E$5:$E$1005)-SUMPRODUCT((MOVIMIENTOS!$B$5:$B$1005="VENTA")*(MOVIMIENTOS!$C$5:$C$1005="Chancho")*(MOVIMIENTOS!$D$5:$D$1005="sacos")*(MOVIMIENTOS!$A$5:$A$1005&lt;&gt;"")*(MOVIMIENTOS!$A$5:$A$1005&lt;=$A1000)*MOVIMIENTOS!$E$5:$E$1005)+SUMPRODUCT((MOVIMIENTOS!$B$5:$B$1005="AJUSTE")*(MOVIMIENTOS!$C$5:$C$1005="Chancho")*(MOVIMIENTOS!$D$5:$D$1005="sacos")*(MOVIMIENTOS!$A$5:$A$1005&lt;&gt;"")*(MOVIMIENTOS!$A$5:$A$1005&lt;=$A1000)*MOVIMIENTOS!$E$5:$E$1005))</f>
        <v/>
      </c>
      <c r="G1000" s="62" t="str">
        <f t="shared" si="31"/>
        <v/>
      </c>
      <c r="H1000" t="str">
        <f>IF($A1000="","",SUMPRODUCT((((MOVIMIENTOS!$B$5:$B$1005="SALDO INICIAL")*(MOVIMIENTOS!$C$5:$C$1005&lt;&gt;"Chancho"))+(MOVIMIENTOS!$B$5:$B$1005="COMPRA")+(MOVIMIENTOS!$B$5:$B$1005="REPROCESO")+(MOVIMIENTOS!$B$5:$B$1005="DEVOLUCIÓN")+((MOVIMIENTOS!$B$5:$B$1005="AJUSTE")*(MOVIMIENTOS!$C$5:$C$1005&lt;&gt;"Chancho")))*(MOVIMIENTOS!$A$5:$A$1005&lt;&gt;"")*(MOVIMIENTOS!$A$5:$A$1005&lt;=$A1000)*MOVIMIENTOS!$J$5:$J$1005)-SUMPRODUCT(((MOVIMIENTOS!$B$5:$B$1005="ENVÍO A SUPESA")+(MOVIMIENTOS!$B$5:$B$1005="ENVÍO A TOTTUS")+(MOVIMIENTOS!$B$5:$B$1005="ENVIO A TOTTUS")+(MOVIMIENTOS!$B$5:$B$1005="MALOGRADO")+(MOVIMIENTOS!$B$5:$B$1005="OTRA SALIDA")+((MOVIMIENTOS!$B$5:$B$1005="PROCESO")*(MOVIMIENTOS!$C$5:$C$1005="Chancho"))+((MOVIMIENTOS!$B$5:$B$1005="REGALO")*(MOVIMIENTOS!$C$5:$C$1005&lt;&gt;"Chancho"))+((MOVIMIENTOS!$B$5:$B$1005="VENTA")*(MOVIMIENTOS!$C$5:$C$1005&lt;&gt;"Chancho")))*(MOVIMIENTOS!$A$5:$A$1005&lt;&gt;"")*(MOVIMIENTOS!$A$5:$A$1005&lt;=$A1000)*MOVIMIENTOS!$J$5:$J$1005))</f>
        <v/>
      </c>
      <c r="J1000" t="str">
        <f>IF(AND(MOVIMIENTOS!$A1005&lt;&gt;"",COUNTIF(MOVIMIENTOS!$A$5:$A1004,MOVIMIENTOS!$A1005)=0),COUNT(J$4:J999)+1,"")</f>
        <v/>
      </c>
      <c r="K1000">
        <f>MOVIMIENTOS!$A1005</f>
        <v>0</v>
      </c>
    </row>
  </sheetData>
  <mergeCells count="2">
    <mergeCell ref="A1:H1"/>
    <mergeCell ref="A2:H2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53" activePane="bottomLeft" state="frozen"/>
      <selection pane="bottomLeft" activeCell="F225" sqref="F225"/>
    </sheetView>
  </sheetViews>
  <sheetFormatPr baseColWidth="10" defaultColWidth="8.6640625" defaultRowHeight="15" x14ac:dyDescent="0.2"/>
  <cols>
    <col min="1" max="1" width="17.1640625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96" t="s">
        <v>129</v>
      </c>
      <c r="B1" s="96"/>
      <c r="C1" s="96"/>
      <c r="D1" s="96"/>
      <c r="E1" s="96"/>
      <c r="F1" s="96"/>
      <c r="G1" s="96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</row>
    <row r="2" spans="1:20" ht="15" customHeight="1" x14ac:dyDescent="0.2">
      <c r="A2" s="97" t="s">
        <v>130</v>
      </c>
      <c r="B2" s="97"/>
      <c r="C2" s="97"/>
      <c r="D2" s="97"/>
      <c r="E2" s="97"/>
      <c r="F2" s="97"/>
      <c r="G2" s="97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15" customHeight="1" x14ac:dyDescent="0.2">
      <c r="A3" s="63"/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</row>
    <row r="4" spans="1:20" ht="15" customHeight="1" x14ac:dyDescent="0.2">
      <c r="A4" s="63"/>
      <c r="B4" s="63"/>
      <c r="C4" s="68" t="s">
        <v>131</v>
      </c>
      <c r="D4" s="69" t="s">
        <v>132</v>
      </c>
      <c r="E4" s="70" t="s">
        <v>133</v>
      </c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</row>
    <row r="5" spans="1:20" ht="30" customHeight="1" x14ac:dyDescent="0.2">
      <c r="A5" s="2" t="s">
        <v>2</v>
      </c>
      <c r="B5" s="2" t="s">
        <v>134</v>
      </c>
      <c r="C5" s="2" t="s">
        <v>135</v>
      </c>
      <c r="D5" s="2" t="s">
        <v>136</v>
      </c>
      <c r="E5" s="2" t="s">
        <v>137</v>
      </c>
      <c r="F5" s="2" t="s">
        <v>138</v>
      </c>
      <c r="G5" s="2" t="s">
        <v>139</v>
      </c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</row>
    <row r="6" spans="1:20" ht="33.75" customHeight="1" x14ac:dyDescent="0.2">
      <c r="A6" s="71">
        <v>46214</v>
      </c>
      <c r="B6" s="72" t="s">
        <v>140</v>
      </c>
      <c r="C6" s="73">
        <f>SUMPRODUCT((MOVIMIENTOS!$A$5:$A$428=DATE(2026,7,11))*(MOVIMIENTOS!$B$5:$B$428="COMPRA")*MOVIMIENTOS!$J$5:$J$428)</f>
        <v>0</v>
      </c>
      <c r="D6" s="73">
        <f>SUMPRODUCT((MOVIMIENTOS!$A$5:$A$428=DATE(2026,7,11))*(MOVIMIENTOS!$B$5:$B$428="PROCESO")*MOVIMIENTOS!$J$5:$J$428)</f>
        <v>0</v>
      </c>
      <c r="E6" s="73">
        <f>SUMPRODUCT((MOVIMIENTOS!$A$5:$A$428=DATE(2026,7,11))*((MOVIMIENTOS!$B$5:$B$428="ENVÍO A SUPESA")+(MOVIMIENTOS!$B$5:$B$428="ENVÍO A TOTTUS")+(MOVIMIENTOS!$B$5:$B$428="ENVIO A TOTTUS"))*MOVIMIENTOS!$J$5:$J$428)</f>
        <v>0</v>
      </c>
      <c r="F6" s="72" t="str">
        <f>"Selección: "&amp;TEXT(SUMPRODUCT((MOVIMIENTOS!$A$5:$A$428=DATE(2026,7,11))*(MOVIMIENTOS!$B$5:$B$428="PROCESO")*(MOVIMIENTOS!$C$5:$C$428&lt;&gt;"Chancho")*MOVIMIENTOS!$J$5:$J$428),"#,##0")&amp;" kg  ·  Chancho: "&amp;TEXT(SUMPRODUCT((MOVIMIENTOS!$A$5:$A$428=DATE(2026,7,11))*(MOVIMIENTOS!$B$5:$B$428="PROCESO")*(MOVIMIENTOS!$C$5:$C$428="Chancho")*MOVIMIENTOS!$J$5:$J$428),"#,##0")&amp;" kg"&amp;IF(C6&gt;0,"  ·  "&amp;TEXT(D6/C6,"0%")&amp;" del ingreso","")</f>
        <v>Selección: 0 kg  ·  Chancho: 0 kg</v>
      </c>
      <c r="G6" s="73">
        <f>N(G8)</f>
        <v>136</v>
      </c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</row>
    <row r="7" spans="1:20" ht="15" customHeight="1" x14ac:dyDescent="0.2">
      <c r="A7" s="64">
        <v>46214</v>
      </c>
      <c r="B7" s="74" t="s">
        <v>118</v>
      </c>
      <c r="C7" s="65">
        <f>N(MOVIMIENTOS!$J5)+N(MOVIMIENTOS!$J6)</f>
        <v>17</v>
      </c>
      <c r="D7" s="65"/>
      <c r="E7" s="65"/>
      <c r="F7" s="74" t="s">
        <v>141</v>
      </c>
      <c r="G7" s="65">
        <f>N(0)+N(C7)-N(E7)</f>
        <v>17</v>
      </c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</row>
    <row r="8" spans="1:20" ht="15" customHeight="1" x14ac:dyDescent="0.2">
      <c r="A8" s="64">
        <v>46214</v>
      </c>
      <c r="B8" s="74" t="s">
        <v>142</v>
      </c>
      <c r="C8" s="65">
        <f>N(MOVIMIENTOS!$J7)</f>
        <v>119</v>
      </c>
      <c r="D8" s="65"/>
      <c r="E8" s="65"/>
      <c r="F8" s="74" t="str">
        <f>TRIM(IF(MOVIMIENTOS!$G7&lt;&gt;"",MOVIMIENTOS!$G7&amp;"  ","")&amp;IF(N(MOVIMIENTOS!$E7)&gt;0,MOVIMIENTOS!$E7&amp;" "&amp;MOVIMIENTOS!$D7&amp;"  ","")&amp;IF(MOVIMIENTOS!$I7&lt;&gt;"",MOVIMIENTOS!$I7,""))</f>
        <v>7 jabas</v>
      </c>
      <c r="G8" s="65">
        <f>N(G7)+N(C8)-N(E8)</f>
        <v>136</v>
      </c>
      <c r="H8" s="63"/>
      <c r="I8" s="63"/>
      <c r="J8" s="63"/>
      <c r="K8" s="63"/>
      <c r="L8" s="63"/>
      <c r="M8" s="63"/>
      <c r="N8" s="63"/>
      <c r="O8" s="63"/>
      <c r="P8" s="63"/>
      <c r="Q8" s="63"/>
      <c r="R8" s="63"/>
      <c r="S8" s="63"/>
      <c r="T8" s="63"/>
    </row>
    <row r="9" spans="1:20" ht="33.75" customHeight="1" x14ac:dyDescent="0.2">
      <c r="A9" s="71">
        <v>46215</v>
      </c>
      <c r="B9" s="72" t="s">
        <v>140</v>
      </c>
      <c r="C9" s="73">
        <f>SUMPRODUCT((MOVIMIENTOS!$A$5:$A$428=DATE(2026,7,12))*(MOVIMIENTOS!$B$5:$B$428="COMPRA")*MOVIMIENTOS!$J$5:$J$428)</f>
        <v>2910</v>
      </c>
      <c r="D9" s="73">
        <f>SUMPRODUCT((MOVIMIENTOS!$A$5:$A$428=DATE(2026,7,12))*(MOVIMIENTOS!$B$5:$B$428="PROCESO")*MOVIMIENTOS!$J$5:$J$428)</f>
        <v>2957</v>
      </c>
      <c r="E9" s="73">
        <f>SUMPRODUCT((MOVIMIENTOS!$A$5:$A$428=DATE(2026,7,12))*((MOVIMIENTOS!$B$5:$B$428="ENVÍO A SUPESA")+(MOVIMIENTOS!$B$5:$B$428="ENVÍO A TOTTUS")+(MOVIMIENTOS!$B$5:$B$428="ENVIO A TOTTUS"))*MOVIMIENTOS!$J$5:$J$428)</f>
        <v>2121</v>
      </c>
      <c r="F9" s="72" t="str">
        <f>"Selección: "&amp;TEXT(SUMPRODUCT((MOVIMIENTOS!$A$5:$A$428=DATE(2026,7,12))*(MOVIMIENTOS!$B$5:$B$428="PROCESO")*(MOVIMIENTOS!$C$5:$C$428&lt;&gt;"Chancho")*MOVIMIENTOS!$J$5:$J$428),"#,##0")&amp;" kg  ·  Chancho: "&amp;TEXT(SUMPRODUCT((MOVIMIENTOS!$A$5:$A$428=DATE(2026,7,12))*(MOVIMIENTOS!$B$5:$B$428="PROCESO")*(MOVIMIENTOS!$C$5:$C$428="Chancho")*MOVIMIENTOS!$J$5:$J$428),"#,##0")&amp;" kg"&amp;IF(C9&gt;0,"  ·  "&amp;TEXT(D9/C9,"0%")&amp;" del ingreso","")</f>
        <v>Selección: 2,375 kg  ·  Chancho: 582 kg  ·  102% del ingreso</v>
      </c>
      <c r="G9" s="73">
        <f>N(G13)</f>
        <v>343</v>
      </c>
      <c r="H9" s="63"/>
      <c r="I9" s="63"/>
      <c r="J9" s="63"/>
      <c r="K9" s="63"/>
      <c r="L9" s="63"/>
      <c r="M9" s="63"/>
      <c r="N9" s="63"/>
      <c r="O9" s="63"/>
      <c r="P9" s="63"/>
      <c r="Q9" s="63"/>
      <c r="R9" s="63"/>
      <c r="S9" s="63"/>
      <c r="T9" s="63"/>
    </row>
    <row r="10" spans="1:20" ht="33.75" customHeight="1" x14ac:dyDescent="0.2">
      <c r="A10" s="75">
        <v>46215</v>
      </c>
      <c r="B10" s="76" t="s">
        <v>143</v>
      </c>
      <c r="C10" s="77">
        <f>N(MOVIMIENTOS!$J9)</f>
        <v>2910</v>
      </c>
      <c r="D10" s="77"/>
      <c r="E10" s="77"/>
      <c r="F10" s="76" t="str">
        <f>TRIM(IF(MOVIMIENTOS!$G9&lt;&gt;"",MOVIMIENTOS!$G9&amp;"  ","")&amp;IF(N(MOVIMIENTOS!$E9)&gt;0,MOVIMIENTOS!$E9&amp;" "&amp;MOVIMIENTOS!$D9&amp;"  ","")&amp;IF(MOVIMIENTOS!$I9&lt;&gt;"",MOVIMIENTOS!$I9,""))</f>
        <v>30 sacos peso aprox 95 kg/saco</v>
      </c>
      <c r="G10" s="77">
        <f>N(G8)+N(C10)-N(E10)</f>
        <v>3046</v>
      </c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</row>
    <row r="11" spans="1:20" ht="15" customHeight="1" x14ac:dyDescent="0.2">
      <c r="A11" s="78">
        <v>46215</v>
      </c>
      <c r="B11" s="79" t="s">
        <v>144</v>
      </c>
      <c r="C11" s="80"/>
      <c r="D11" s="80">
        <f>SUMPRODUCT((MOVIMIENTOS!$A$5:$A$428=DATE(2026,7,12))*(MOVIMIENTOS!$B$5:$B$428="PROCESO")*(MOVIMIENTOS!$C$5:$C$428&lt;&gt;"Chancho")*MOVIMIENTOS!$J$5:$J$428)</f>
        <v>2375</v>
      </c>
      <c r="E11" s="80"/>
      <c r="F11" s="79" t="s">
        <v>145</v>
      </c>
      <c r="G11" s="80">
        <f>N(G10)</f>
        <v>3046</v>
      </c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</row>
    <row r="12" spans="1:20" ht="15" customHeight="1" x14ac:dyDescent="0.2">
      <c r="A12" s="64">
        <v>46215</v>
      </c>
      <c r="B12" s="74" t="s">
        <v>146</v>
      </c>
      <c r="C12" s="65"/>
      <c r="D12" s="65">
        <f>N(MOVIMIENTOS!$J14)</f>
        <v>582</v>
      </c>
      <c r="E12" s="65">
        <f>N(MOVIMIENTOS!$J14)</f>
        <v>582</v>
      </c>
      <c r="F12" s="74" t="str">
        <f>TRIM(IF(MOVIMIENTOS!$G14&lt;&gt;"",MOVIMIENTOS!$G14&amp;"  ","")&amp;IF(N(MOVIMIENTOS!$E14)&gt;0,MOVIMIENTOS!$E14&amp;" "&amp;MOVIMIENTOS!$D14&amp;"  ","")&amp;IF(MOVIMIENTOS!$I14&lt;&gt;"",MOVIMIENTOS!$I14,""))</f>
        <v>6 sacos</v>
      </c>
      <c r="G12" s="65">
        <f>N(G11)+N(C12)-N(E12)</f>
        <v>2464</v>
      </c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</row>
    <row r="13" spans="1:20" ht="15" customHeight="1" x14ac:dyDescent="0.2">
      <c r="A13" s="64">
        <v>46215</v>
      </c>
      <c r="B13" s="74" t="s">
        <v>24</v>
      </c>
      <c r="C13" s="65"/>
      <c r="D13" s="65"/>
      <c r="E13" s="65">
        <f>N(MOVIMIENTOS!$J15)+N(MOVIMIENTOS!$J16)+N(MOVIMIENTOS!$J17)+N(MOVIMIENTOS!$J18)</f>
        <v>2121</v>
      </c>
      <c r="F13" s="74" t="s">
        <v>147</v>
      </c>
      <c r="G13" s="65">
        <f>N(G12)+N(C13)-N(E13)</f>
        <v>343</v>
      </c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</row>
    <row r="14" spans="1:20" ht="33.75" customHeight="1" x14ac:dyDescent="0.2">
      <c r="A14" s="71">
        <v>46216</v>
      </c>
      <c r="B14" s="72" t="s">
        <v>140</v>
      </c>
      <c r="C14" s="73">
        <f>SUMPRODUCT((MOVIMIENTOS!$A$5:$A$428=DATE(2026,7,13))*(MOVIMIENTOS!$B$5:$B$428="COMPRA")*MOVIMIENTOS!$J$5:$J$428)</f>
        <v>3880</v>
      </c>
      <c r="D14" s="73">
        <f>SUMPRODUCT((MOVIMIENTOS!$A$5:$A$428=DATE(2026,7,13))*(MOVIMIENTOS!$B$5:$B$428="PROCESO")*MOVIMIENTOS!$J$5:$J$428)</f>
        <v>4071</v>
      </c>
      <c r="E14" s="73">
        <f>SUMPRODUCT((MOVIMIENTOS!$A$5:$A$428=DATE(2026,7,13))*((MOVIMIENTOS!$B$5:$B$428="ENVÍO A SUPESA")+(MOVIMIENTOS!$B$5:$B$428="ENVÍO A TOTTUS")+(MOVIMIENTOS!$B$5:$B$428="ENVIO A TOTTUS"))*MOVIMIENTOS!$J$5:$J$428)</f>
        <v>3056</v>
      </c>
      <c r="F14" s="72" t="str">
        <f>"Selección: "&amp;TEXT(SUMPRODUCT((MOVIMIENTOS!$A$5:$A$428=DATE(2026,7,13))*(MOVIMIENTOS!$B$5:$B$428="PROCESO")*(MOVIMIENTOS!$C$5:$C$428&lt;&gt;"Chancho")*MOVIMIENTOS!$J$5:$J$428),"#,##0")&amp;" kg  ·  Chancho: "&amp;TEXT(SUMPRODUCT((MOVIMIENTOS!$A$5:$A$428=DATE(2026,7,13))*(MOVIMIENTOS!$B$5:$B$428="PROCESO")*(MOVIMIENTOS!$C$5:$C$428="Chancho")*MOVIMIENTOS!$J$5:$J$428),"#,##0")&amp;" kg"&amp;IF(C14&gt;0,"  ·  "&amp;TEXT(D14/C14,"0%")&amp;" del ingreso","")</f>
        <v>Selección: 3,877 kg  ·  Chancho: 194 kg  ·  105% del ingreso</v>
      </c>
      <c r="G14" s="73">
        <f>N(G18)</f>
        <v>973</v>
      </c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</row>
    <row r="15" spans="1:20" ht="15" customHeight="1" x14ac:dyDescent="0.2">
      <c r="A15" s="75">
        <v>46216</v>
      </c>
      <c r="B15" s="76" t="s">
        <v>143</v>
      </c>
      <c r="C15" s="77">
        <f>N(MOVIMIENTOS!$J19)</f>
        <v>3880</v>
      </c>
      <c r="D15" s="77"/>
      <c r="E15" s="77"/>
      <c r="F15" s="76" t="str">
        <f>TRIM(IF(MOVIMIENTOS!$G19&lt;&gt;"",MOVIMIENTOS!$G19&amp;"  ","")&amp;IF(N(MOVIMIENTOS!$E19)&gt;0,MOVIMIENTOS!$E19&amp;" "&amp;MOVIMIENTOS!$D19&amp;"  ","")&amp;IF(MOVIMIENTOS!$I19&lt;&gt;"",MOVIMIENTOS!$I19,""))</f>
        <v>40 sacos peso aprox 95 kg/saco</v>
      </c>
      <c r="G15" s="77">
        <f>N(G13)+N(C15)-N(E15)</f>
        <v>4223</v>
      </c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</row>
    <row r="16" spans="1:20" ht="15" customHeight="1" x14ac:dyDescent="0.2">
      <c r="A16" s="78">
        <v>46216</v>
      </c>
      <c r="B16" s="79" t="s">
        <v>144</v>
      </c>
      <c r="C16" s="80"/>
      <c r="D16" s="80">
        <f>SUMPRODUCT((MOVIMIENTOS!$A$5:$A$428=DATE(2026,7,13))*(MOVIMIENTOS!$B$5:$B$428="PROCESO")*(MOVIMIENTOS!$C$5:$C$428&lt;&gt;"Chancho")*MOVIMIENTOS!$J$5:$J$428)</f>
        <v>3877</v>
      </c>
      <c r="E16" s="80"/>
      <c r="F16" s="79" t="s">
        <v>148</v>
      </c>
      <c r="G16" s="80">
        <f>N(G15)</f>
        <v>4223</v>
      </c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</row>
    <row r="17" spans="1:20" ht="15" customHeight="1" x14ac:dyDescent="0.2">
      <c r="A17" s="64">
        <v>46216</v>
      </c>
      <c r="B17" s="74" t="s">
        <v>146</v>
      </c>
      <c r="C17" s="65"/>
      <c r="D17" s="65">
        <f>N(MOVIMIENTOS!$J24)</f>
        <v>194</v>
      </c>
      <c r="E17" s="65">
        <f>N(MOVIMIENTOS!$J24)</f>
        <v>194</v>
      </c>
      <c r="F17" s="74" t="str">
        <f>TRIM(IF(MOVIMIENTOS!$G24&lt;&gt;"",MOVIMIENTOS!$G24&amp;"  ","")&amp;IF(N(MOVIMIENTOS!$E24)&gt;0,MOVIMIENTOS!$E24&amp;" "&amp;MOVIMIENTOS!$D24&amp;"  ","")&amp;IF(MOVIMIENTOS!$I24&lt;&gt;"",MOVIMIENTOS!$I24,""))</f>
        <v>2 sacos</v>
      </c>
      <c r="G17" s="65">
        <f>N(G16)+N(C17)-N(E17)</f>
        <v>4029</v>
      </c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</row>
    <row r="18" spans="1:20" ht="33.75" customHeight="1" x14ac:dyDescent="0.2">
      <c r="A18" s="64">
        <v>46216</v>
      </c>
      <c r="B18" s="74" t="s">
        <v>24</v>
      </c>
      <c r="C18" s="65"/>
      <c r="D18" s="65"/>
      <c r="E18" s="65">
        <f>N(MOVIMIENTOS!$J25)+N(MOVIMIENTOS!$J26)+N(MOVIMIENTOS!$J27)+N(MOVIMIENTOS!$J28)</f>
        <v>3056</v>
      </c>
      <c r="F18" s="74" t="s">
        <v>149</v>
      </c>
      <c r="G18" s="65">
        <f>N(G17)+N(C18)-N(E18)</f>
        <v>973</v>
      </c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</row>
    <row r="19" spans="1:20" ht="33.75" customHeight="1" x14ac:dyDescent="0.2">
      <c r="A19" s="71">
        <v>46217</v>
      </c>
      <c r="B19" s="72" t="s">
        <v>140</v>
      </c>
      <c r="C19" s="73">
        <f>SUMPRODUCT((MOVIMIENTOS!$A$5:$A$428=DATE(2026,7,14))*(MOVIMIENTOS!$B$5:$B$428="COMPRA")*MOVIMIENTOS!$J$5:$J$428)</f>
        <v>3880</v>
      </c>
      <c r="D19" s="73">
        <f>SUMPRODUCT((MOVIMIENTOS!$A$5:$A$428=DATE(2026,7,14))*(MOVIMIENTOS!$B$5:$B$428="PROCESO")*MOVIMIENTOS!$J$5:$J$428)</f>
        <v>3813</v>
      </c>
      <c r="E19" s="73">
        <f>SUMPRODUCT((MOVIMIENTOS!$A$5:$A$428=DATE(2026,7,14))*((MOVIMIENTOS!$B$5:$B$428="ENVÍO A SUPESA")+(MOVIMIENTOS!$B$5:$B$428="ENVÍO A TOTTUS")+(MOVIMIENTOS!$B$5:$B$428="ENVIO A TOTTUS"))*MOVIMIENTOS!$J$5:$J$428)</f>
        <v>3379</v>
      </c>
      <c r="F19" s="72" t="str">
        <f>"Selección: "&amp;TEXT(SUMPRODUCT((MOVIMIENTOS!$A$5:$A$428=DATE(2026,7,14))*(MOVIMIENTOS!$B$5:$B$428="PROCESO")*(MOVIMIENTOS!$C$5:$C$428&lt;&gt;"Chancho")*MOVIMIENTOS!$J$5:$J$428),"#,##0")&amp;" kg  ·  Chancho: "&amp;TEXT(SUMPRODUCT((MOVIMIENTOS!$A$5:$A$428=DATE(2026,7,14))*(MOVIMIENTOS!$B$5:$B$428="PROCESO")*(MOVIMIENTOS!$C$5:$C$428="Chancho")*MOVIMIENTOS!$J$5:$J$428),"#,##0")&amp;" kg"&amp;IF(C19&gt;0,"  ·  "&amp;TEXT(D19/C19,"0%")&amp;" del ingreso","")</f>
        <v>Selección: 3,134 kg  ·  Chancho: 679 kg  ·  98% del ingreso</v>
      </c>
      <c r="G19" s="73">
        <f>N(G23)</f>
        <v>795</v>
      </c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</row>
    <row r="20" spans="1:20" ht="15" customHeight="1" x14ac:dyDescent="0.2">
      <c r="A20" s="75">
        <v>46217</v>
      </c>
      <c r="B20" s="76" t="s">
        <v>143</v>
      </c>
      <c r="C20" s="77">
        <f>N(MOVIMIENTOS!$J29)</f>
        <v>3880</v>
      </c>
      <c r="D20" s="77"/>
      <c r="E20" s="77"/>
      <c r="F20" s="76" t="str">
        <f>TRIM(IF(MOVIMIENTOS!$G29&lt;&gt;"",MOVIMIENTOS!$G29&amp;"  ","")&amp;IF(N(MOVIMIENTOS!$E29)&gt;0,MOVIMIENTOS!$E29&amp;" "&amp;MOVIMIENTOS!$D29&amp;"  ","")&amp;IF(MOVIMIENTOS!$I29&lt;&gt;"",MOVIMIENTOS!$I29,""))</f>
        <v>40 sacos peso aprox 95 kg/saco</v>
      </c>
      <c r="G20" s="77">
        <f>N(G18)+N(C20)-N(E20)</f>
        <v>4853</v>
      </c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</row>
    <row r="21" spans="1:20" ht="15" customHeight="1" x14ac:dyDescent="0.2">
      <c r="A21" s="78">
        <v>46217</v>
      </c>
      <c r="B21" s="79" t="s">
        <v>144</v>
      </c>
      <c r="C21" s="80"/>
      <c r="D21" s="80">
        <f>SUMPRODUCT((MOVIMIENTOS!$A$5:$A$428=DATE(2026,7,14))*(MOVIMIENTOS!$B$5:$B$428="PROCESO")*(MOVIMIENTOS!$C$5:$C$428&lt;&gt;"Chancho")*MOVIMIENTOS!$J$5:$J$428)</f>
        <v>3134</v>
      </c>
      <c r="E21" s="80"/>
      <c r="F21" s="79" t="s">
        <v>150</v>
      </c>
      <c r="G21" s="80">
        <f>N(G20)</f>
        <v>4853</v>
      </c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</row>
    <row r="22" spans="1:20" ht="15" customHeight="1" x14ac:dyDescent="0.2">
      <c r="A22" s="64">
        <v>46217</v>
      </c>
      <c r="B22" s="74" t="s">
        <v>146</v>
      </c>
      <c r="C22" s="65"/>
      <c r="D22" s="65">
        <f>N(MOVIMIENTOS!$J34)</f>
        <v>679</v>
      </c>
      <c r="E22" s="65">
        <f>N(MOVIMIENTOS!$J34)</f>
        <v>679</v>
      </c>
      <c r="F22" s="74" t="str">
        <f>TRIM(IF(MOVIMIENTOS!$G34&lt;&gt;"",MOVIMIENTOS!$G34&amp;"  ","")&amp;IF(N(MOVIMIENTOS!$E34)&gt;0,MOVIMIENTOS!$E34&amp;" "&amp;MOVIMIENTOS!$D34&amp;"  ","")&amp;IF(MOVIMIENTOS!$I34&lt;&gt;"",MOVIMIENTOS!$I34,""))</f>
        <v>7 sacos</v>
      </c>
      <c r="G22" s="65">
        <f>N(G21)+N(C22)-N(E22)</f>
        <v>4174</v>
      </c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</row>
    <row r="23" spans="1:20" ht="15" customHeight="1" x14ac:dyDescent="0.2">
      <c r="A23" s="64">
        <v>46217</v>
      </c>
      <c r="B23" s="74" t="s">
        <v>24</v>
      </c>
      <c r="C23" s="65"/>
      <c r="D23" s="65"/>
      <c r="E23" s="65">
        <f>N(MOVIMIENTOS!$J35)+N(MOVIMIENTOS!$J36)+N(MOVIMIENTOS!$J37)+N(MOVIMIENTOS!$J38)</f>
        <v>3379</v>
      </c>
      <c r="F23" s="74" t="s">
        <v>151</v>
      </c>
      <c r="G23" s="65">
        <f>N(G22)+N(C23)-N(E23)</f>
        <v>795</v>
      </c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</row>
    <row r="24" spans="1:20" ht="33.75" customHeight="1" x14ac:dyDescent="0.2">
      <c r="A24" s="71">
        <v>46218</v>
      </c>
      <c r="B24" s="72" t="s">
        <v>140</v>
      </c>
      <c r="C24" s="73">
        <f>SUMPRODUCT((MOVIMIENTOS!$A$5:$A$428=DATE(2026,7,15))*(MOVIMIENTOS!$B$5:$B$428="COMPRA")*MOVIMIENTOS!$J$5:$J$428)</f>
        <v>3880</v>
      </c>
      <c r="D24" s="73">
        <f>SUMPRODUCT((MOVIMIENTOS!$A$5:$A$428=DATE(2026,7,15))*(MOVIMIENTOS!$B$5:$B$428="PROCESO")*MOVIMIENTOS!$J$5:$J$428)</f>
        <v>3834</v>
      </c>
      <c r="E24" s="73">
        <f>SUMPRODUCT((MOVIMIENTOS!$A$5:$A$428=DATE(2026,7,15))*((MOVIMIENTOS!$B$5:$B$428="ENVÍO A SUPESA")+(MOVIMIENTOS!$B$5:$B$428="ENVÍO A TOTTUS")+(MOVIMIENTOS!$B$5:$B$428="ENVIO A TOTTUS"))*MOVIMIENTOS!$J$5:$J$428)</f>
        <v>2971</v>
      </c>
      <c r="F24" s="72" t="str">
        <f>"Selección: "&amp;TEXT(SUMPRODUCT((MOVIMIENTOS!$A$5:$A$428=DATE(2026,7,15))*(MOVIMIENTOS!$B$5:$B$428="PROCESO")*(MOVIMIENTOS!$C$5:$C$428&lt;&gt;"Chancho")*MOVIMIENTOS!$J$5:$J$428),"#,##0")&amp;" kg  ·  Chancho: "&amp;TEXT(SUMPRODUCT((MOVIMIENTOS!$A$5:$A$428=DATE(2026,7,15))*(MOVIMIENTOS!$B$5:$B$428="PROCESO")*(MOVIMIENTOS!$C$5:$C$428="Chancho")*MOVIMIENTOS!$J$5:$J$428),"#,##0")&amp;" kg"&amp;IF(C24&gt;0,"  ·  "&amp;TEXT(D24/C24,"0%")&amp;" del ingreso","")</f>
        <v>Selección: 3,349 kg  ·  Chancho: 485 kg  ·  99% del ingreso</v>
      </c>
      <c r="G24" s="73">
        <f>N(G29)</f>
        <v>1219</v>
      </c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</row>
    <row r="25" spans="1:20" ht="15" customHeight="1" x14ac:dyDescent="0.2">
      <c r="A25" s="75">
        <v>46218</v>
      </c>
      <c r="B25" s="76" t="s">
        <v>143</v>
      </c>
      <c r="C25" s="77">
        <f>N(MOVIMIENTOS!$J39)</f>
        <v>3880</v>
      </c>
      <c r="D25" s="77"/>
      <c r="E25" s="77"/>
      <c r="F25" s="76" t="str">
        <f>TRIM(IF(MOVIMIENTOS!$G39&lt;&gt;"",MOVIMIENTOS!$G39&amp;"  ","")&amp;IF(N(MOVIMIENTOS!$E39)&gt;0,MOVIMIENTOS!$E39&amp;" "&amp;MOVIMIENTOS!$D39&amp;"  ","")&amp;IF(MOVIMIENTOS!$I39&lt;&gt;"",MOVIMIENTOS!$I39,""))</f>
        <v>40 sacos peso aprox 95 kg/saco</v>
      </c>
      <c r="G25" s="77">
        <f>N(G23)+N(C25)-N(E25)</f>
        <v>4675</v>
      </c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</row>
    <row r="26" spans="1:20" ht="33.75" customHeight="1" x14ac:dyDescent="0.2">
      <c r="A26" s="78">
        <v>46218</v>
      </c>
      <c r="B26" s="79" t="s">
        <v>144</v>
      </c>
      <c r="C26" s="80"/>
      <c r="D26" s="80">
        <f>SUMPRODUCT((MOVIMIENTOS!$A$5:$A$428=DATE(2026,7,15))*(MOVIMIENTOS!$B$5:$B$428="PROCESO")*(MOVIMIENTOS!$C$5:$C$428&lt;&gt;"Chancho")*MOVIMIENTOS!$J$5:$J$428)</f>
        <v>3349</v>
      </c>
      <c r="E26" s="80"/>
      <c r="F26" s="79" t="s">
        <v>152</v>
      </c>
      <c r="G26" s="80">
        <f>N(G25)</f>
        <v>4675</v>
      </c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</row>
    <row r="27" spans="1:20" ht="15" customHeight="1" x14ac:dyDescent="0.2">
      <c r="A27" s="64">
        <v>46218</v>
      </c>
      <c r="B27" s="74" t="s">
        <v>146</v>
      </c>
      <c r="C27" s="65"/>
      <c r="D27" s="65">
        <f>N(MOVIMIENTOS!$J44)</f>
        <v>485</v>
      </c>
      <c r="E27" s="65">
        <f>N(MOVIMIENTOS!$J44)</f>
        <v>485</v>
      </c>
      <c r="F27" s="74" t="str">
        <f>TRIM(IF(MOVIMIENTOS!$G44&lt;&gt;"",MOVIMIENTOS!$G44&amp;"  ","")&amp;IF(N(MOVIMIENTOS!$E44)&gt;0,MOVIMIENTOS!$E44&amp;" "&amp;MOVIMIENTOS!$D44&amp;"  ","")&amp;IF(MOVIMIENTOS!$I44&lt;&gt;"",MOVIMIENTOS!$I44,""))</f>
        <v>5 sacos</v>
      </c>
      <c r="G27" s="65">
        <f>N(G26)+N(C27)-N(E27)</f>
        <v>4190</v>
      </c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</row>
    <row r="28" spans="1:20" ht="15" customHeight="1" x14ac:dyDescent="0.2">
      <c r="A28" s="64">
        <v>46218</v>
      </c>
      <c r="B28" s="74" t="s">
        <v>24</v>
      </c>
      <c r="C28" s="65"/>
      <c r="D28" s="65"/>
      <c r="E28" s="65">
        <f>N(MOVIMIENTOS!$J45)+N(MOVIMIENTOS!$J46)+N(MOVIMIENTOS!$J47)+N(MOVIMIENTOS!$J48)</f>
        <v>2971</v>
      </c>
      <c r="F28" s="74" t="s">
        <v>153</v>
      </c>
      <c r="G28" s="65">
        <f>N(G27)+N(C28)-N(E28)</f>
        <v>1219</v>
      </c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</row>
    <row r="29" spans="1:20" ht="15" customHeight="1" x14ac:dyDescent="0.2">
      <c r="A29" s="64">
        <v>46218</v>
      </c>
      <c r="B29" s="74" t="s">
        <v>29</v>
      </c>
      <c r="C29" s="65"/>
      <c r="D29" s="65"/>
      <c r="E29" s="65"/>
      <c r="F29" s="74" t="str">
        <f>TRIM(IF(MOVIMIENTOS!$G49&lt;&gt;"",MOVIMIENTOS!$G49&amp;"  ","")&amp;IF(N(MOVIMIENTOS!$E49)&gt;0,MOVIMIENTOS!$E49&amp;" "&amp;MOVIMIENTOS!$D49&amp;"  ","")&amp;IF(MOVIMIENTOS!$I49&lt;&gt;"",MOVIMIENTOS!$I49,""))</f>
        <v>TCK002-724 35 sacos</v>
      </c>
      <c r="G29" s="65">
        <f>N(G28)+N(C29)-N(E29)</f>
        <v>1219</v>
      </c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</row>
    <row r="30" spans="1:20" ht="33.75" customHeight="1" x14ac:dyDescent="0.2">
      <c r="A30" s="71">
        <v>46219</v>
      </c>
      <c r="B30" s="72" t="s">
        <v>140</v>
      </c>
      <c r="C30" s="73">
        <f>SUMPRODUCT((MOVIMIENTOS!$A$5:$A$428=DATE(2026,7,16))*(MOVIMIENTOS!$B$5:$B$428="COMPRA")*MOVIMIENTOS!$J$5:$J$428)</f>
        <v>3880</v>
      </c>
      <c r="D30" s="73">
        <f>SUMPRODUCT((MOVIMIENTOS!$A$5:$A$428=DATE(2026,7,16))*(MOVIMIENTOS!$B$5:$B$428="PROCESO")*MOVIMIENTOS!$J$5:$J$428)</f>
        <v>3782</v>
      </c>
      <c r="E30" s="73">
        <f>SUMPRODUCT((MOVIMIENTOS!$A$5:$A$428=DATE(2026,7,16))*((MOVIMIENTOS!$B$5:$B$428="ENVÍO A SUPESA")+(MOVIMIENTOS!$B$5:$B$428="ENVÍO A TOTTUS")+(MOVIMIENTOS!$B$5:$B$428="ENVIO A TOTTUS"))*MOVIMIENTOS!$J$5:$J$428)</f>
        <v>3302</v>
      </c>
      <c r="F30" s="72" t="str">
        <f>"Selección: "&amp;TEXT(SUMPRODUCT((MOVIMIENTOS!$A$5:$A$428=DATE(2026,7,16))*(MOVIMIENTOS!$B$5:$B$428="PROCESO")*(MOVIMIENTOS!$C$5:$C$428&lt;&gt;"Chancho")*MOVIMIENTOS!$J$5:$J$428),"#,##0")&amp;" kg  ·  Chancho: "&amp;TEXT(SUMPRODUCT((MOVIMIENTOS!$A$5:$A$428=DATE(2026,7,16))*(MOVIMIENTOS!$B$5:$B$428="PROCESO")*(MOVIMIENTOS!$C$5:$C$428="Chancho")*MOVIMIENTOS!$J$5:$J$428),"#,##0")&amp;" kg"&amp;IF(C30&gt;0,"  ·  "&amp;TEXT(D30/C30,"0%")&amp;" del ingreso","")</f>
        <v>Selección: 3,394 kg  ·  Chancho: 388 kg  ·  97% del ingreso</v>
      </c>
      <c r="G30" s="73">
        <f>N(G34)</f>
        <v>1409</v>
      </c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</row>
    <row r="31" spans="1:20" ht="15" customHeight="1" x14ac:dyDescent="0.2">
      <c r="A31" s="75">
        <v>46219</v>
      </c>
      <c r="B31" s="76" t="s">
        <v>143</v>
      </c>
      <c r="C31" s="77">
        <f>N(MOVIMIENTOS!$J50)</f>
        <v>3880</v>
      </c>
      <c r="D31" s="77"/>
      <c r="E31" s="77"/>
      <c r="F31" s="76" t="str">
        <f>TRIM(IF(MOVIMIENTOS!$G50&lt;&gt;"",MOVIMIENTOS!$G50&amp;"  ","")&amp;IF(N(MOVIMIENTOS!$E50)&gt;0,MOVIMIENTOS!$E50&amp;" "&amp;MOVIMIENTOS!$D50&amp;"  ","")&amp;IF(MOVIMIENTOS!$I50&lt;&gt;"",MOVIMIENTOS!$I50,""))</f>
        <v>40 sacos peso aprox 95 kg/saco</v>
      </c>
      <c r="G31" s="77">
        <f>N(G29)+N(C31)-N(E31)</f>
        <v>5099</v>
      </c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</row>
    <row r="32" spans="1:20" ht="15" customHeight="1" x14ac:dyDescent="0.2">
      <c r="A32" s="78">
        <v>46219</v>
      </c>
      <c r="B32" s="79" t="s">
        <v>144</v>
      </c>
      <c r="C32" s="80"/>
      <c r="D32" s="80">
        <f>SUMPRODUCT((MOVIMIENTOS!$A$5:$A$428=DATE(2026,7,16))*(MOVIMIENTOS!$B$5:$B$428="PROCESO")*(MOVIMIENTOS!$C$5:$C$428&lt;&gt;"Chancho")*MOVIMIENTOS!$J$5:$J$428)</f>
        <v>3394</v>
      </c>
      <c r="E32" s="80"/>
      <c r="F32" s="79" t="s">
        <v>154</v>
      </c>
      <c r="G32" s="80">
        <f>N(G31)</f>
        <v>5099</v>
      </c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</row>
    <row r="33" spans="1:20" ht="15" customHeight="1" x14ac:dyDescent="0.2">
      <c r="A33" s="64">
        <v>46219</v>
      </c>
      <c r="B33" s="74" t="s">
        <v>146</v>
      </c>
      <c r="C33" s="65"/>
      <c r="D33" s="65">
        <f>N(MOVIMIENTOS!$J55)</f>
        <v>388</v>
      </c>
      <c r="E33" s="65">
        <f>N(MOVIMIENTOS!$J55)</f>
        <v>388</v>
      </c>
      <c r="F33" s="74" t="str">
        <f>TRIM(IF(MOVIMIENTOS!$G55&lt;&gt;"",MOVIMIENTOS!$G55&amp;"  ","")&amp;IF(N(MOVIMIENTOS!$E55)&gt;0,MOVIMIENTOS!$E55&amp;" "&amp;MOVIMIENTOS!$D55&amp;"  ","")&amp;IF(MOVIMIENTOS!$I55&lt;&gt;"",MOVIMIENTOS!$I55,""))</f>
        <v>4 sacos</v>
      </c>
      <c r="G33" s="65">
        <f>N(G32)+N(C33)-N(E33)</f>
        <v>4711</v>
      </c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</row>
    <row r="34" spans="1:20" ht="33.75" customHeight="1" x14ac:dyDescent="0.2">
      <c r="A34" s="64">
        <v>46219</v>
      </c>
      <c r="B34" s="74" t="s">
        <v>24</v>
      </c>
      <c r="C34" s="65"/>
      <c r="D34" s="65"/>
      <c r="E34" s="65">
        <f>N(MOVIMIENTOS!$J56)+N(MOVIMIENTOS!$J57)+N(MOVIMIENTOS!$J58)+N(MOVIMIENTOS!$J59)</f>
        <v>3302</v>
      </c>
      <c r="F34" s="74" t="s">
        <v>155</v>
      </c>
      <c r="G34" s="65">
        <f>N(G33)+N(C34)-N(E34)</f>
        <v>1409</v>
      </c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</row>
    <row r="35" spans="1:20" ht="33.75" customHeight="1" x14ac:dyDescent="0.2">
      <c r="A35" s="71">
        <v>46220</v>
      </c>
      <c r="B35" s="72" t="s">
        <v>140</v>
      </c>
      <c r="C35" s="73">
        <f>SUMPRODUCT((MOVIMIENTOS!$A$5:$A$428=DATE(2026,7,17))*(MOVIMIENTOS!$B$5:$B$428="COMPRA")*MOVIMIENTOS!$J$5:$J$428)</f>
        <v>6305</v>
      </c>
      <c r="D35" s="73">
        <f>SUMPRODUCT((MOVIMIENTOS!$A$5:$A$428=DATE(2026,7,17))*(MOVIMIENTOS!$B$5:$B$428="PROCESO")*MOVIMIENTOS!$J$5:$J$428)</f>
        <v>6169</v>
      </c>
      <c r="E35" s="73">
        <f>SUMPRODUCT((MOVIMIENTOS!$A$5:$A$428=DATE(2026,7,17))*((MOVIMIENTOS!$B$5:$B$428="ENVÍO A SUPESA")+(MOVIMIENTOS!$B$5:$B$428="ENVÍO A TOTTUS")+(MOVIMIENTOS!$B$5:$B$428="ENVIO A TOTTUS"))*MOVIMIENTOS!$J$5:$J$428)</f>
        <v>3413</v>
      </c>
      <c r="F35" s="72" t="str">
        <f>"Selección: "&amp;TEXT(SUMPRODUCT((MOVIMIENTOS!$A$5:$A$428=DATE(2026,7,17))*(MOVIMIENTOS!$B$5:$B$428="PROCESO")*(MOVIMIENTOS!$C$5:$C$428&lt;&gt;"Chancho")*MOVIMIENTOS!$J$5:$J$428),"#,##0")&amp;" kg  ·  Chancho: "&amp;TEXT(SUMPRODUCT((MOVIMIENTOS!$A$5:$A$428=DATE(2026,7,17))*(MOVIMIENTOS!$B$5:$B$428="PROCESO")*(MOVIMIENTOS!$C$5:$C$428="Chancho")*MOVIMIENTOS!$J$5:$J$428),"#,##0")&amp;" kg"&amp;IF(C35&gt;0,"  ·  "&amp;TEXT(D35/C35,"0%")&amp;" del ingreso","")</f>
        <v>Selección: 5,102 kg  ·  Chancho: 1,067 kg  ·  98% del ingreso</v>
      </c>
      <c r="G35" s="73">
        <f>N(G42)</f>
        <v>3234</v>
      </c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</row>
    <row r="36" spans="1:20" ht="15" customHeight="1" x14ac:dyDescent="0.2">
      <c r="A36" s="75">
        <v>46220</v>
      </c>
      <c r="B36" s="76" t="s">
        <v>143</v>
      </c>
      <c r="C36" s="77">
        <f>N(MOVIMIENTOS!$J60)</f>
        <v>5820</v>
      </c>
      <c r="D36" s="77"/>
      <c r="E36" s="77"/>
      <c r="F36" s="76" t="str">
        <f>TRIM(IF(MOVIMIENTOS!$G60&lt;&gt;"",MOVIMIENTOS!$G60&amp;"  ","")&amp;IF(N(MOVIMIENTOS!$E60)&gt;0,MOVIMIENTOS!$E60&amp;" "&amp;MOVIMIENTOS!$D60&amp;"  ","")&amp;IF(MOVIMIENTOS!$I60&lt;&gt;"",MOVIMIENTOS!$I60,""))</f>
        <v>60 sacos peso aprox 95 kg/saco</v>
      </c>
      <c r="G36" s="77">
        <f>N(G34)+N(C36)-N(E36)</f>
        <v>7229</v>
      </c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</row>
    <row r="37" spans="1:20" ht="15" customHeight="1" x14ac:dyDescent="0.2">
      <c r="A37" s="78">
        <v>46220</v>
      </c>
      <c r="B37" s="79" t="s">
        <v>144</v>
      </c>
      <c r="C37" s="80"/>
      <c r="D37" s="80">
        <f>SUMPRODUCT((MOVIMIENTOS!$A$5:$A$428=DATE(2026,7,17))*(MOVIMIENTOS!$B$5:$B$428="PROCESO")*(MOVIMIENTOS!$C$5:$C$428&lt;&gt;"Chancho")*MOVIMIENTOS!$J$5:$J$428)</f>
        <v>5102</v>
      </c>
      <c r="E37" s="80"/>
      <c r="F37" s="79" t="s">
        <v>156</v>
      </c>
      <c r="G37" s="80">
        <f>N(G36)</f>
        <v>7229</v>
      </c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</row>
    <row r="38" spans="1:20" ht="15" customHeight="1" x14ac:dyDescent="0.2">
      <c r="A38" s="64">
        <v>46220</v>
      </c>
      <c r="B38" s="74" t="s">
        <v>146</v>
      </c>
      <c r="C38" s="65"/>
      <c r="D38" s="65">
        <f>N(MOVIMIENTOS!$J65)</f>
        <v>970</v>
      </c>
      <c r="E38" s="65">
        <f>N(MOVIMIENTOS!$J65)</f>
        <v>970</v>
      </c>
      <c r="F38" s="74" t="str">
        <f>TRIM(IF(MOVIMIENTOS!$G65&lt;&gt;"",MOVIMIENTOS!$G65&amp;"  ","")&amp;IF(N(MOVIMIENTOS!$E65)&gt;0,MOVIMIENTOS!$E65&amp;" "&amp;MOVIMIENTOS!$D65&amp;"  ","")&amp;IF(MOVIMIENTOS!$I65&lt;&gt;"",MOVIMIENTOS!$I65,""))</f>
        <v>10 sacos</v>
      </c>
      <c r="G38" s="65">
        <f>N(G37)+N(C38)-N(E38)</f>
        <v>6259</v>
      </c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</row>
    <row r="39" spans="1:20" ht="15" customHeight="1" x14ac:dyDescent="0.2">
      <c r="A39" s="64">
        <v>46220</v>
      </c>
      <c r="B39" s="74" t="s">
        <v>24</v>
      </c>
      <c r="C39" s="65"/>
      <c r="D39" s="65"/>
      <c r="E39" s="65">
        <f>N(MOVIMIENTOS!$J66)+N(MOVIMIENTOS!$J67)+N(MOVIMIENTOS!$J68)+N(MOVIMIENTOS!$J69)</f>
        <v>3413</v>
      </c>
      <c r="F39" s="74" t="s">
        <v>157</v>
      </c>
      <c r="G39" s="65">
        <f>N(G38)+N(C39)-N(E39)</f>
        <v>2846</v>
      </c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</row>
    <row r="40" spans="1:20" ht="15" customHeight="1" x14ac:dyDescent="0.2">
      <c r="A40" s="64">
        <v>46220</v>
      </c>
      <c r="B40" s="74" t="s">
        <v>29</v>
      </c>
      <c r="C40" s="65"/>
      <c r="D40" s="65"/>
      <c r="E40" s="65"/>
      <c r="F40" s="74" t="str">
        <f>TRIM(IF(MOVIMIENTOS!$G70&lt;&gt;"",MOVIMIENTOS!$G70&amp;"  ","")&amp;IF(N(MOVIMIENTOS!$E70)&gt;0,MOVIMIENTOS!$E70&amp;" "&amp;MOVIMIENTOS!$D70&amp;"  ","")&amp;IF(MOVIMIENTOS!$I70&lt;&gt;"",MOVIMIENTOS!$I70,""))</f>
        <v>TCK002-725 15 sacos</v>
      </c>
      <c r="G40" s="65">
        <f>N(G39)+N(C40)-N(E40)</f>
        <v>2846</v>
      </c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</row>
    <row r="41" spans="1:20" ht="15" customHeight="1" x14ac:dyDescent="0.2">
      <c r="A41" s="75">
        <v>46220</v>
      </c>
      <c r="B41" s="76" t="s">
        <v>143</v>
      </c>
      <c r="C41" s="77">
        <f>N(MOVIMIENTOS!$J71)</f>
        <v>485</v>
      </c>
      <c r="D41" s="77"/>
      <c r="E41" s="77"/>
      <c r="F41" s="76" t="str">
        <f>TRIM(IF(MOVIMIENTOS!$G71&lt;&gt;"",MOVIMIENTOS!$G71&amp;"  ","")&amp;IF(N(MOVIMIENTOS!$E71)&gt;0,MOVIMIENTOS!$E71&amp;" "&amp;MOVIMIENTOS!$D71&amp;"  ","")&amp;IF(MOVIMIENTOS!$I71&lt;&gt;"",MOVIMIENTOS!$I71,""))</f>
        <v>5 sacos peso aprox 95 kg/saco</v>
      </c>
      <c r="G41" s="77">
        <f>N(G40)+N(C41)-N(E41)</f>
        <v>3331</v>
      </c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</row>
    <row r="42" spans="1:20" ht="15" customHeight="1" x14ac:dyDescent="0.2">
      <c r="A42" s="64">
        <v>46220</v>
      </c>
      <c r="B42" s="74" t="s">
        <v>146</v>
      </c>
      <c r="C42" s="65"/>
      <c r="D42" s="65">
        <f>N(MOVIMIENTOS!$J74)</f>
        <v>97</v>
      </c>
      <c r="E42" s="65">
        <f>N(MOVIMIENTOS!$J74)</f>
        <v>97</v>
      </c>
      <c r="F42" s="74" t="str">
        <f>TRIM(IF(MOVIMIENTOS!$G74&lt;&gt;"",MOVIMIENTOS!$G74&amp;"  ","")&amp;IF(N(MOVIMIENTOS!$E74)&gt;0,MOVIMIENTOS!$E74&amp;" "&amp;MOVIMIENTOS!$D74&amp;"  ","")&amp;IF(MOVIMIENTOS!$I74&lt;&gt;"",MOVIMIENTOS!$I74,""))</f>
        <v>1 sacos</v>
      </c>
      <c r="G42" s="65">
        <f>N(G41)+N(C42)-N(E42)</f>
        <v>3234</v>
      </c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</row>
    <row r="43" spans="1:20" ht="33.75" customHeight="1" x14ac:dyDescent="0.2">
      <c r="A43" s="71">
        <v>46221</v>
      </c>
      <c r="B43" s="72" t="s">
        <v>140</v>
      </c>
      <c r="C43" s="73">
        <f>SUMPRODUCT((MOVIMIENTOS!$A$5:$A$428=DATE(2026,7,18))*(MOVIMIENTOS!$B$5:$B$428="COMPRA")*MOVIMIENTOS!$J$5:$J$428)</f>
        <v>3201</v>
      </c>
      <c r="D43" s="73">
        <f>SUMPRODUCT((MOVIMIENTOS!$A$5:$A$428=DATE(2026,7,18))*(MOVIMIENTOS!$B$5:$B$428="PROCESO")*MOVIMIENTOS!$J$5:$J$428)</f>
        <v>3295</v>
      </c>
      <c r="E43" s="73">
        <f>SUMPRODUCT((MOVIMIENTOS!$A$5:$A$428=DATE(2026,7,18))*((MOVIMIENTOS!$B$5:$B$428="ENVÍO A SUPESA")+(MOVIMIENTOS!$B$5:$B$428="ENVÍO A TOTTUS")+(MOVIMIENTOS!$B$5:$B$428="ENVIO A TOTTUS"))*MOVIMIENTOS!$J$5:$J$428)</f>
        <v>3168</v>
      </c>
      <c r="F43" s="72" t="str">
        <f>"Selección: "&amp;TEXT(SUMPRODUCT((MOVIMIENTOS!$A$5:$A$428=DATE(2026,7,18))*(MOVIMIENTOS!$B$5:$B$428="PROCESO")*(MOVIMIENTOS!$C$5:$C$428&lt;&gt;"Chancho")*MOVIMIENTOS!$J$5:$J$428),"#,##0")&amp;" kg  ·  Chancho: "&amp;TEXT(SUMPRODUCT((MOVIMIENTOS!$A$5:$A$428=DATE(2026,7,18))*(MOVIMIENTOS!$B$5:$B$428="PROCESO")*(MOVIMIENTOS!$C$5:$C$428="Chancho")*MOVIMIENTOS!$J$5:$J$428),"#,##0")&amp;" kg"&amp;IF(C43&gt;0,"  ·  "&amp;TEXT(D43/C43,"0%")&amp;" del ingreso","")</f>
        <v>Selección: 2,325 kg  ·  Chancho: 970 kg  ·  103% del ingreso</v>
      </c>
      <c r="G43" s="73">
        <f>N(G48)</f>
        <v>2297</v>
      </c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</row>
    <row r="44" spans="1:20" ht="15" customHeight="1" x14ac:dyDescent="0.2">
      <c r="A44" s="64">
        <v>46221</v>
      </c>
      <c r="B44" s="74" t="s">
        <v>24</v>
      </c>
      <c r="C44" s="65"/>
      <c r="D44" s="65"/>
      <c r="E44" s="65">
        <f>N(MOVIMIENTOS!$J75)+N(MOVIMIENTOS!$J76)+N(MOVIMIENTOS!$J77)+N(MOVIMIENTOS!$J78)</f>
        <v>3168</v>
      </c>
      <c r="F44" s="74" t="s">
        <v>158</v>
      </c>
      <c r="G44" s="65">
        <f>N(G42)+N(C44)-N(E44)</f>
        <v>66</v>
      </c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</row>
    <row r="45" spans="1:20" ht="15" customHeight="1" x14ac:dyDescent="0.2">
      <c r="A45" s="78">
        <v>46221</v>
      </c>
      <c r="B45" s="79" t="s">
        <v>144</v>
      </c>
      <c r="C45" s="80"/>
      <c r="D45" s="80">
        <f>SUMPRODUCT((MOVIMIENTOS!$A$5:$A$428=DATE(2026,7,18))*(MOVIMIENTOS!$B$5:$B$428="PROCESO")*(MOVIMIENTOS!$C$5:$C$428&lt;&gt;"Chancho")*MOVIMIENTOS!$J$5:$J$428)</f>
        <v>2325</v>
      </c>
      <c r="E45" s="80"/>
      <c r="F45" s="79" t="s">
        <v>159</v>
      </c>
      <c r="G45" s="80">
        <f>N(G44)</f>
        <v>66</v>
      </c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</row>
    <row r="46" spans="1:20" ht="15" customHeight="1" x14ac:dyDescent="0.2">
      <c r="A46" s="64">
        <v>46221</v>
      </c>
      <c r="B46" s="74" t="s">
        <v>146</v>
      </c>
      <c r="C46" s="65"/>
      <c r="D46" s="65">
        <f>N(MOVIMIENTOS!$J83)</f>
        <v>970</v>
      </c>
      <c r="E46" s="65">
        <f>N(MOVIMIENTOS!$J83)</f>
        <v>970</v>
      </c>
      <c r="F46" s="74" t="str">
        <f>TRIM(IF(MOVIMIENTOS!$G83&lt;&gt;"",MOVIMIENTOS!$G83&amp;"  ","")&amp;IF(N(MOVIMIENTOS!$E83)&gt;0,MOVIMIENTOS!$E83&amp;" "&amp;MOVIMIENTOS!$D83&amp;"  ","")&amp;IF(MOVIMIENTOS!$I83&lt;&gt;"",MOVIMIENTOS!$I83,""))</f>
        <v>10 sacos</v>
      </c>
      <c r="G46" s="65">
        <f>N(G45)+N(C46)-N(E46)</f>
        <v>-904</v>
      </c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</row>
    <row r="47" spans="1:20" ht="15" customHeight="1" x14ac:dyDescent="0.2">
      <c r="A47" s="64">
        <v>46221</v>
      </c>
      <c r="B47" s="74" t="s">
        <v>160</v>
      </c>
      <c r="C47" s="65"/>
      <c r="D47" s="65"/>
      <c r="E47" s="65"/>
      <c r="F47" s="74" t="str">
        <f>MOVIMIENTOS!$E84&amp;" jaba(s) movida(s) para completar otras · no resta del Stock Kg"</f>
        <v>1 jaba(s) movida(s) para completar otras · no resta del Stock Kg</v>
      </c>
      <c r="G47" s="65">
        <f>N(G46)+N(C47)-N(E47)</f>
        <v>-904</v>
      </c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</row>
    <row r="48" spans="1:20" ht="15" customHeight="1" x14ac:dyDescent="0.2">
      <c r="A48" s="75">
        <v>46221</v>
      </c>
      <c r="B48" s="76" t="s">
        <v>143</v>
      </c>
      <c r="C48" s="77">
        <f>N(MOVIMIENTOS!$J85)</f>
        <v>3201</v>
      </c>
      <c r="D48" s="77"/>
      <c r="E48" s="77"/>
      <c r="F48" s="76" t="str">
        <f>TRIM(IF(MOVIMIENTOS!$G85&lt;&gt;"",MOVIMIENTOS!$G85&amp;"  ","")&amp;IF(N(MOVIMIENTOS!$E85)&gt;0,MOVIMIENTOS!$E85&amp;" "&amp;MOVIMIENTOS!$D85&amp;"  ","")&amp;IF(MOVIMIENTOS!$I85&lt;&gt;"",MOVIMIENTOS!$I85,""))</f>
        <v>33 sacos Compra del sabado 18/07 (33 sacos)</v>
      </c>
      <c r="G48" s="77">
        <f>N(G47)+N(C48)-N(E48)</f>
        <v>2297</v>
      </c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</row>
    <row r="49" spans="1:20" ht="33.75" customHeight="1" x14ac:dyDescent="0.2">
      <c r="A49" s="71">
        <v>46222</v>
      </c>
      <c r="B49" s="72" t="s">
        <v>140</v>
      </c>
      <c r="C49" s="73">
        <f>SUMPRODUCT((MOVIMIENTOS!$A$5:$A$428=DATE(2026,7,19))*(MOVIMIENTOS!$B$5:$B$428="COMPRA")*MOVIMIENTOS!$J$5:$J$428)</f>
        <v>1649</v>
      </c>
      <c r="D49" s="73">
        <f>SUMPRODUCT((MOVIMIENTOS!$A$5:$A$428=DATE(2026,7,19))*(MOVIMIENTOS!$B$5:$B$428="PROCESO")*MOVIMIENTOS!$J$5:$J$428)</f>
        <v>1469</v>
      </c>
      <c r="E49" s="73">
        <f>SUMPRODUCT((MOVIMIENTOS!$A$5:$A$428=DATE(2026,7,19))*((MOVIMIENTOS!$B$5:$B$428="ENVÍO A SUPESA")+(MOVIMIENTOS!$B$5:$B$428="ENVÍO A TOTTUS")+(MOVIMIENTOS!$B$5:$B$428="ENVIO A TOTTUS"))*MOVIMIENTOS!$J$5:$J$428)</f>
        <v>1883</v>
      </c>
      <c r="F49" s="72" t="str">
        <f>"Selección: "&amp;TEXT(SUMPRODUCT((MOVIMIENTOS!$A$5:$A$428=DATE(2026,7,19))*(MOVIMIENTOS!$B$5:$B$428="PROCESO")*(MOVIMIENTOS!$C$5:$C$428&lt;&gt;"Chancho")*MOVIMIENTOS!$J$5:$J$428),"#,##0")&amp;" kg  ·  Chancho: "&amp;TEXT(SUMPRODUCT((MOVIMIENTOS!$A$5:$A$428=DATE(2026,7,19))*(MOVIMIENTOS!$B$5:$B$428="PROCESO")*(MOVIMIENTOS!$C$5:$C$428="Chancho")*MOVIMIENTOS!$J$5:$J$428),"#,##0")&amp;" kg"&amp;IF(C49&gt;0,"  ·  "&amp;TEXT(D49/C49,"0%")&amp;" del ingreso","")</f>
        <v>Selección: 1,178 kg  ·  Chancho: 291 kg  ·  89% del ingreso</v>
      </c>
      <c r="G49" s="73">
        <f>N(G53)</f>
        <v>1772</v>
      </c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</row>
    <row r="50" spans="1:20" ht="15" customHeight="1" x14ac:dyDescent="0.2">
      <c r="A50" s="78">
        <v>46222</v>
      </c>
      <c r="B50" s="79" t="s">
        <v>144</v>
      </c>
      <c r="C50" s="80"/>
      <c r="D50" s="80">
        <f>SUMPRODUCT((MOVIMIENTOS!$A$5:$A$428=DATE(2026,7,19))*(MOVIMIENTOS!$B$5:$B$428="PROCESO")*(MOVIMIENTOS!$C$5:$C$428&lt;&gt;"Chancho")*MOVIMIENTOS!$J$5:$J$428)</f>
        <v>1178</v>
      </c>
      <c r="E50" s="80"/>
      <c r="F50" s="79" t="s">
        <v>161</v>
      </c>
      <c r="G50" s="80">
        <f>N(G48)</f>
        <v>2297</v>
      </c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</row>
    <row r="51" spans="1:20" ht="33.75" customHeight="1" x14ac:dyDescent="0.2">
      <c r="A51" s="64">
        <v>46222</v>
      </c>
      <c r="B51" s="74" t="s">
        <v>146</v>
      </c>
      <c r="C51" s="65"/>
      <c r="D51" s="65">
        <f>N(MOVIMIENTOS!$J90)</f>
        <v>291</v>
      </c>
      <c r="E51" s="65">
        <f>N(MOVIMIENTOS!$J90)</f>
        <v>291</v>
      </c>
      <c r="F51" s="74" t="str">
        <f>TRIM(IF(MOVIMIENTOS!$G90&lt;&gt;"",MOVIMIENTOS!$G90&amp;"  ","")&amp;IF(N(MOVIMIENTOS!$E90)&gt;0,MOVIMIENTOS!$E90&amp;" "&amp;MOVIMIENTOS!$D90&amp;"  ","")&amp;IF(MOVIMIENTOS!$I90&lt;&gt;"",MOVIMIENTOS!$I90,""))</f>
        <v>3 sacos</v>
      </c>
      <c r="G51" s="65">
        <f>N(G50)+N(C51)-N(E51)</f>
        <v>2006</v>
      </c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</row>
    <row r="52" spans="1:20" ht="15" customHeight="1" x14ac:dyDescent="0.2">
      <c r="A52" s="64">
        <v>46222</v>
      </c>
      <c r="B52" s="74" t="s">
        <v>24</v>
      </c>
      <c r="C52" s="65"/>
      <c r="D52" s="65"/>
      <c r="E52" s="65">
        <f>N(MOVIMIENTOS!$J91)+N(MOVIMIENTOS!$J92)+N(MOVIMIENTOS!$J93)+N(MOVIMIENTOS!$J94)</f>
        <v>1883</v>
      </c>
      <c r="F52" s="74" t="s">
        <v>162</v>
      </c>
      <c r="G52" s="65">
        <f>N(G51)+N(C52)-N(E52)</f>
        <v>123</v>
      </c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</row>
    <row r="53" spans="1:20" ht="15" customHeight="1" x14ac:dyDescent="0.2">
      <c r="A53" s="75">
        <v>46222</v>
      </c>
      <c r="B53" s="76" t="s">
        <v>143</v>
      </c>
      <c r="C53" s="77">
        <f>N(MOVIMIENTOS!$J95)</f>
        <v>1649</v>
      </c>
      <c r="D53" s="77"/>
      <c r="E53" s="77"/>
      <c r="F53" s="76" t="str">
        <f>TRIM(IF(MOVIMIENTOS!$G95&lt;&gt;"",MOVIMIENTOS!$G95&amp;"  ","")&amp;IF(N(MOVIMIENTOS!$E95)&gt;0,MOVIMIENTOS!$E95&amp;" "&amp;MOVIMIENTOS!$D95&amp;"  ","")&amp;IF(MOVIMIENTOS!$I95&lt;&gt;"",MOVIMIENTOS!$I95,""))</f>
        <v>17 sacos Compra del domingo 19/07 (17 sacos)</v>
      </c>
      <c r="G53" s="77">
        <f>N(G52)+N(C53)-N(E53)</f>
        <v>1772</v>
      </c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</row>
    <row r="54" spans="1:20" ht="33.75" customHeight="1" x14ac:dyDescent="0.2">
      <c r="A54" s="71">
        <v>46223</v>
      </c>
      <c r="B54" s="72" t="s">
        <v>140</v>
      </c>
      <c r="C54" s="73">
        <f>SUMPRODUCT((MOVIMIENTOS!$A$5:$A$428=DATE(2026,7,20))*(MOVIMIENTOS!$B$5:$B$428="COMPRA")*MOVIMIENTOS!$J$5:$J$428)</f>
        <v>4656</v>
      </c>
      <c r="D54" s="73">
        <f>SUMPRODUCT((MOVIMIENTOS!$A$5:$A$428=DATE(2026,7,20))*(MOVIMIENTOS!$B$5:$B$428="PROCESO")*MOVIMIENTOS!$J$5:$J$428)</f>
        <v>4648.5</v>
      </c>
      <c r="E54" s="73">
        <f>SUMPRODUCT((MOVIMIENTOS!$A$5:$A$428=DATE(2026,7,20))*((MOVIMIENTOS!$B$5:$B$428="ENVÍO A SUPESA")+(MOVIMIENTOS!$B$5:$B$428="ENVÍO A TOTTUS")+(MOVIMIENTOS!$B$5:$B$428="ENVIO A TOTTUS"))*MOVIMIENTOS!$J$5:$J$428)</f>
        <v>3294</v>
      </c>
      <c r="F54" s="72" t="str">
        <f>"Selección: "&amp;TEXT(SUMPRODUCT((MOVIMIENTOS!$A$5:$A$428=DATE(2026,7,20))*(MOVIMIENTOS!$B$5:$B$428="PROCESO")*(MOVIMIENTOS!$C$5:$C$428&lt;&gt;"Chancho")*MOVIMIENTOS!$J$5:$J$428),"#,##0")&amp;" kg  ·  Chancho: "&amp;TEXT(SUMPRODUCT((MOVIMIENTOS!$A$5:$A$428=DATE(2026,7,20))*(MOVIMIENTOS!$B$5:$B$428="PROCESO")*(MOVIMIENTOS!$C$5:$C$428="Chancho")*MOVIMIENTOS!$J$5:$J$428),"#,##0")&amp;" kg"&amp;IF(C54&gt;0,"  ·  "&amp;TEXT(D54/C54,"0%")&amp;" del ingreso","")</f>
        <v>Selección: 4,018 kg  ·  Chancho: 631 kg  ·  100% del ingreso</v>
      </c>
      <c r="G54" s="73">
        <f>N(G61)</f>
        <v>2503.5</v>
      </c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</row>
    <row r="55" spans="1:20" ht="15" customHeight="1" x14ac:dyDescent="0.2">
      <c r="A55" s="75">
        <v>46223</v>
      </c>
      <c r="B55" s="76" t="s">
        <v>143</v>
      </c>
      <c r="C55" s="77">
        <f>N(MOVIMIENTOS!$J96)</f>
        <v>4656</v>
      </c>
      <c r="D55" s="77"/>
      <c r="E55" s="77"/>
      <c r="F55" s="76" t="str">
        <f>TRIM(IF(MOVIMIENTOS!$G96&lt;&gt;"",MOVIMIENTOS!$G96&amp;"  ","")&amp;IF(N(MOVIMIENTOS!$E96)&gt;0,MOVIMIENTOS!$E96&amp;" "&amp;MOVIMIENTOS!$D96&amp;"  ","")&amp;IF(MOVIMIENTOS!$I96&lt;&gt;"",MOVIMIENTOS!$I96,""))</f>
        <v>48 sacos TOTAL 70 SACOS, LUNES PROCESO 48</v>
      </c>
      <c r="G55" s="77">
        <f>N(G53)+N(C55)-N(E55)</f>
        <v>6428</v>
      </c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</row>
    <row r="56" spans="1:20" ht="15" customHeight="1" x14ac:dyDescent="0.2">
      <c r="A56" s="78">
        <v>46223</v>
      </c>
      <c r="B56" s="79" t="s">
        <v>144</v>
      </c>
      <c r="C56" s="80"/>
      <c r="D56" s="80">
        <f>SUMPRODUCT((MOVIMIENTOS!$A$5:$A$428=DATE(2026,7,20))*(MOVIMIENTOS!$B$5:$B$428="PROCESO")*(MOVIMIENTOS!$C$5:$C$428&lt;&gt;"Chancho")*MOVIMIENTOS!$J$5:$J$428)</f>
        <v>4018</v>
      </c>
      <c r="E56" s="80"/>
      <c r="F56" s="79" t="s">
        <v>163</v>
      </c>
      <c r="G56" s="80">
        <f>N(G55)</f>
        <v>6428</v>
      </c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</row>
    <row r="57" spans="1:20" ht="15" customHeight="1" x14ac:dyDescent="0.2">
      <c r="A57" s="64">
        <v>46223</v>
      </c>
      <c r="B57" s="74" t="s">
        <v>146</v>
      </c>
      <c r="C57" s="65"/>
      <c r="D57" s="65">
        <f>N(MOVIMIENTOS!$J101)</f>
        <v>630.5</v>
      </c>
      <c r="E57" s="65">
        <f>N(MOVIMIENTOS!$J101)</f>
        <v>630.5</v>
      </c>
      <c r="F57" s="74" t="str">
        <f>TRIM(IF(MOVIMIENTOS!$G101&lt;&gt;"",MOVIMIENTOS!$G101&amp;"  ","")&amp;IF(N(MOVIMIENTOS!$E101)&gt;0,MOVIMIENTOS!$E101&amp;" "&amp;MOVIMIENTOS!$D101&amp;"  ","")&amp;IF(MOVIMIENTOS!$I101&lt;&gt;"",MOVIMIENTOS!$I101,""))</f>
        <v>6.5 sacos</v>
      </c>
      <c r="G57" s="65">
        <f>N(G56)+N(C57)-N(E57)</f>
        <v>5797.5</v>
      </c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</row>
    <row r="58" spans="1:20" ht="15" customHeight="1" x14ac:dyDescent="0.2">
      <c r="A58" s="64">
        <v>46223</v>
      </c>
      <c r="B58" s="74" t="s">
        <v>24</v>
      </c>
      <c r="C58" s="65"/>
      <c r="D58" s="65"/>
      <c r="E58" s="65">
        <f>N(MOVIMIENTOS!$J102)+N(MOVIMIENTOS!$J103)+N(MOVIMIENTOS!$J104)+N(MOVIMIENTOS!$J105)</f>
        <v>3294</v>
      </c>
      <c r="F58" s="74" t="s">
        <v>164</v>
      </c>
      <c r="G58" s="65">
        <f>N(G57)+N(C58)-N(E58)</f>
        <v>2503.5</v>
      </c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</row>
    <row r="59" spans="1:20" ht="15" customHeight="1" x14ac:dyDescent="0.2">
      <c r="A59" s="64">
        <v>46223</v>
      </c>
      <c r="B59" s="74" t="s">
        <v>29</v>
      </c>
      <c r="C59" s="65"/>
      <c r="D59" s="65"/>
      <c r="E59" s="65"/>
      <c r="F59" s="74" t="str">
        <f>TRIM(IF(MOVIMIENTOS!$G106&lt;&gt;"",MOVIMIENTOS!$G106&amp;"  ","")&amp;IF(N(MOVIMIENTOS!$E106)&gt;0,MOVIMIENTOS!$E106&amp;" "&amp;MOVIMIENTOS!$D106&amp;"  ","")&amp;IF(MOVIMIENTOS!$I106&lt;&gt;"",MOVIMIENTOS!$I106,""))</f>
        <v>TCK002-726 18 sacos</v>
      </c>
      <c r="G59" s="65">
        <f>N(G58)+N(C59)-N(E59)</f>
        <v>2503.5</v>
      </c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</row>
    <row r="60" spans="1:20" ht="15" customHeight="1" x14ac:dyDescent="0.2">
      <c r="A60" s="64">
        <v>46223</v>
      </c>
      <c r="B60" s="74" t="s">
        <v>165</v>
      </c>
      <c r="C60" s="65"/>
      <c r="D60" s="65"/>
      <c r="E60" s="65"/>
      <c r="F60" s="74" t="str">
        <f>MOVIMIENTOS!$E107&amp;" jaba(s) movida(s) para completar otras · no resta del Stock Kg"</f>
        <v>1 jaba(s) movida(s) para completar otras · no resta del Stock Kg</v>
      </c>
      <c r="G60" s="65">
        <f>N(G59)+N(C60)-N(E60)</f>
        <v>2503.5</v>
      </c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</row>
    <row r="61" spans="1:20" ht="15" customHeight="1" x14ac:dyDescent="0.2">
      <c r="A61" s="64">
        <v>46223</v>
      </c>
      <c r="B61" s="74" t="s">
        <v>166</v>
      </c>
      <c r="C61" s="65"/>
      <c r="D61" s="65"/>
      <c r="E61" s="65"/>
      <c r="F61" s="74" t="str">
        <f>MOVIMIENTOS!$E108&amp;" jaba(s) movida(s) para completar otras · no resta del Stock Kg"</f>
        <v>1 jaba(s) movida(s) para completar otras · no resta del Stock Kg</v>
      </c>
      <c r="G61" s="65">
        <f>N(G60)+N(C61)-N(E61)</f>
        <v>2503.5</v>
      </c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</row>
    <row r="62" spans="1:20" ht="33.75" customHeight="1" x14ac:dyDescent="0.2">
      <c r="A62" s="71">
        <v>46224</v>
      </c>
      <c r="B62" s="72" t="s">
        <v>140</v>
      </c>
      <c r="C62" s="73">
        <f>SUMPRODUCT((MOVIMIENTOS!$A$5:$A$428=DATE(2026,7,21))*(MOVIMIENTOS!$B$5:$B$428="COMPRA")*MOVIMIENTOS!$J$5:$J$428)</f>
        <v>2134</v>
      </c>
      <c r="D62" s="73">
        <f>SUMPRODUCT((MOVIMIENTOS!$A$5:$A$428=DATE(2026,7,21))*(MOVIMIENTOS!$B$5:$B$428="PROCESO")*MOVIMIENTOS!$J$5:$J$428)</f>
        <v>4879</v>
      </c>
      <c r="E62" s="73">
        <f>SUMPRODUCT((MOVIMIENTOS!$A$5:$A$428=DATE(2026,7,21))*((MOVIMIENTOS!$B$5:$B$428="ENVÍO A SUPESA")+(MOVIMIENTOS!$B$5:$B$428="ENVÍO A TOTTUS")+(MOVIMIENTOS!$B$5:$B$428="ENVIO A TOTTUS"))*MOVIMIENTOS!$J$5:$J$428)</f>
        <v>3260</v>
      </c>
      <c r="F62" s="72" t="str">
        <f>"Selección: "&amp;TEXT(SUMPRODUCT((MOVIMIENTOS!$A$5:$A$428=DATE(2026,7,21))*(MOVIMIENTOS!$B$5:$B$428="PROCESO")*(MOVIMIENTOS!$C$5:$C$428&lt;&gt;"Chancho")*MOVIMIENTOS!$J$5:$J$428),"#,##0")&amp;" kg  ·  Chancho: "&amp;TEXT(SUMPRODUCT((MOVIMIENTOS!$A$5:$A$428=DATE(2026,7,21))*(MOVIMIENTOS!$B$5:$B$428="PROCESO")*(MOVIMIENTOS!$C$5:$C$428="Chancho")*MOVIMIENTOS!$J$5:$J$428),"#,##0")&amp;" kg"&amp;IF(C62&gt;0,"  ·  "&amp;TEXT(D62/C62,"0%")&amp;" del ingreso","")</f>
        <v>Selección: 4,200 kg  ·  Chancho: 679 kg  ·  229% del ingreso</v>
      </c>
      <c r="G62" s="73">
        <f>N(G72)</f>
        <v>715.5</v>
      </c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</row>
    <row r="63" spans="1:20" ht="33.75" customHeight="1" x14ac:dyDescent="0.2">
      <c r="A63" s="75">
        <v>46224</v>
      </c>
      <c r="B63" s="76" t="s">
        <v>143</v>
      </c>
      <c r="C63" s="77">
        <f>N(MOVIMIENTOS!$J109)</f>
        <v>2134</v>
      </c>
      <c r="D63" s="77"/>
      <c r="E63" s="77"/>
      <c r="F63" s="76" t="str">
        <f>TRIM(IF(MOVIMIENTOS!$G109&lt;&gt;"",MOVIMIENTOS!$G109&amp;"  ","")&amp;IF(N(MOVIMIENTOS!$E109)&gt;0,MOVIMIENTOS!$E109&amp;" "&amp;MOVIMIENTOS!$D109&amp;"  ","")&amp;IF(MOVIMIENTOS!$I109&lt;&gt;"",MOVIMIENTOS!$I109,""))</f>
        <v>22 sacos peso aprox 95 kg/saco</v>
      </c>
      <c r="G63" s="77">
        <f>N(G61)+N(C63)-N(E63)</f>
        <v>4637.5</v>
      </c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</row>
    <row r="64" spans="1:20" ht="15" customHeight="1" x14ac:dyDescent="0.2">
      <c r="A64" s="78">
        <v>46224</v>
      </c>
      <c r="B64" s="79" t="s">
        <v>144</v>
      </c>
      <c r="C64" s="80"/>
      <c r="D64" s="80">
        <f>SUMPRODUCT((MOVIMIENTOS!$A$5:$A$428=DATE(2026,7,21))*(MOVIMIENTOS!$B$5:$B$428="PROCESO")*(MOVIMIENTOS!$C$5:$C$428&lt;&gt;"Chancho")*MOVIMIENTOS!$J$5:$J$428)</f>
        <v>4200</v>
      </c>
      <c r="E64" s="80"/>
      <c r="F64" s="79" t="s">
        <v>167</v>
      </c>
      <c r="G64" s="80">
        <f>N(G63)</f>
        <v>4637.5</v>
      </c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</row>
    <row r="65" spans="1:20" ht="15" customHeight="1" x14ac:dyDescent="0.2">
      <c r="A65" s="64">
        <v>46224</v>
      </c>
      <c r="B65" s="74" t="s">
        <v>146</v>
      </c>
      <c r="C65" s="65"/>
      <c r="D65" s="65">
        <f>N(MOVIMIENTOS!$J112)</f>
        <v>291</v>
      </c>
      <c r="E65" s="65">
        <f>N(MOVIMIENTOS!$J112)</f>
        <v>291</v>
      </c>
      <c r="F65" s="74" t="str">
        <f>TRIM(IF(MOVIMIENTOS!$G112&lt;&gt;"",MOVIMIENTOS!$G112&amp;"  ","")&amp;IF(N(MOVIMIENTOS!$E112)&gt;0,MOVIMIENTOS!$E112&amp;" "&amp;MOVIMIENTOS!$D112&amp;"  ","")&amp;IF(MOVIMIENTOS!$I112&lt;&gt;"",MOVIMIENTOS!$I112,""))</f>
        <v>3 sacos</v>
      </c>
      <c r="G65" s="65">
        <f t="shared" ref="G65:G72" si="0">N(G64)+N(C65)-N(E65)</f>
        <v>4346.5</v>
      </c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</row>
    <row r="66" spans="1:20" ht="15" customHeight="1" x14ac:dyDescent="0.2">
      <c r="A66" s="64">
        <v>46224</v>
      </c>
      <c r="B66" s="74" t="s">
        <v>146</v>
      </c>
      <c r="C66" s="65"/>
      <c r="D66" s="65">
        <f>N(MOVIMIENTOS!$J117)</f>
        <v>388</v>
      </c>
      <c r="E66" s="65">
        <f>N(MOVIMIENTOS!$J117)</f>
        <v>388</v>
      </c>
      <c r="F66" s="74" t="str">
        <f>TRIM(IF(MOVIMIENTOS!$G117&lt;&gt;"",MOVIMIENTOS!$G117&amp;"  ","")&amp;IF(N(MOVIMIENTOS!$E117)&gt;0,MOVIMIENTOS!$E117&amp;" "&amp;MOVIMIENTOS!$D117&amp;"  ","")&amp;IF(MOVIMIENTOS!$I117&lt;&gt;"",MOVIMIENTOS!$I117,""))</f>
        <v>4 sacos</v>
      </c>
      <c r="G66" s="65">
        <f t="shared" si="0"/>
        <v>3958.5</v>
      </c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</row>
    <row r="67" spans="1:20" ht="15" customHeight="1" x14ac:dyDescent="0.2">
      <c r="A67" s="64">
        <v>46224</v>
      </c>
      <c r="B67" s="74" t="s">
        <v>24</v>
      </c>
      <c r="C67" s="65"/>
      <c r="D67" s="65"/>
      <c r="E67" s="65">
        <f>N(MOVIMIENTOS!$J118)+N(MOVIMIENTOS!$J119)+N(MOVIMIENTOS!$J120)+N(MOVIMIENTOS!$J121)</f>
        <v>3260</v>
      </c>
      <c r="F67" s="74" t="s">
        <v>168</v>
      </c>
      <c r="G67" s="65">
        <f t="shared" si="0"/>
        <v>698.5</v>
      </c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</row>
    <row r="68" spans="1:20" ht="15" customHeight="1" x14ac:dyDescent="0.2">
      <c r="A68" s="64">
        <v>46224</v>
      </c>
      <c r="B68" s="74" t="s">
        <v>169</v>
      </c>
      <c r="C68" s="65"/>
      <c r="D68" s="65"/>
      <c r="E68" s="65"/>
      <c r="F68" s="74" t="str">
        <f>MOVIMIENTOS!$E122&amp;" jabas rechazadas · van a reproceso (merma del día: "&amp;TEXT(SUMPRODUCT((MOVIMIENTOS!$A$5:$A$428=MOVIMIENTOS!$A122)*(MOVIMIENTOS!$B$5:$B$428="RECHAZO")*(MOVIMIENTOS!$D$5:$D$428="jabas")*MOVIMIENTOS!$E$5:$E$428*IFERROR(_xlfn.SWITCH(MOVIMIENTOS!$C$5:$C$428,"A",15,"P",18,"C",17,"M",17,0),0))-SUMPRODUCT((MOVIMIENTOS!$A$5:$A$428=MOVIMIENTOS!$A122)*(MOVIMIENTOS!$B$5:$B$428="REPROCESO")*MOVIMIENTOS!$J$5:$J$428),"+#,##0;-#,##0;0")&amp;" kg)"</f>
        <v>1 jabas rechazadas · van a reproceso (merma del día: +17 kg)</v>
      </c>
      <c r="G68" s="65">
        <f t="shared" si="0"/>
        <v>698.5</v>
      </c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</row>
    <row r="69" spans="1:20" ht="15" customHeight="1" x14ac:dyDescent="0.2">
      <c r="A69" s="64">
        <v>46224</v>
      </c>
      <c r="B69" s="74" t="s">
        <v>170</v>
      </c>
      <c r="C69" s="65"/>
      <c r="D69" s="65"/>
      <c r="E69" s="65"/>
      <c r="F69" s="74" t="str">
        <f>MOVIMIENTOS!$E123&amp;" jabas rechazadas · van a reproceso (merma del día: "&amp;TEXT(SUMPRODUCT((MOVIMIENTOS!$A$5:$A$428=MOVIMIENTOS!$A123)*(MOVIMIENTOS!$B$5:$B$428="RECHAZO")*(MOVIMIENTOS!$D$5:$D$428="jabas")*MOVIMIENTOS!$E$5:$E$428*IFERROR(_xlfn.SWITCH(MOVIMIENTOS!$C$5:$C$428,"A",15,"P",18,"C",17,"M",17,0),0))-SUMPRODUCT((MOVIMIENTOS!$A$5:$A$428=MOVIMIENTOS!$A123)*(MOVIMIENTOS!$B$5:$B$428="REPROCESO")*MOVIMIENTOS!$J$5:$J$428),"+#,##0;-#,##0;0")&amp;" kg)"</f>
        <v>1 jabas rechazadas · van a reproceso (merma del día: +17 kg)</v>
      </c>
      <c r="G69" s="65">
        <f t="shared" si="0"/>
        <v>698.5</v>
      </c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</row>
    <row r="70" spans="1:20" ht="15" customHeight="1" x14ac:dyDescent="0.2">
      <c r="A70" s="64">
        <v>46224</v>
      </c>
      <c r="B70" s="74" t="s">
        <v>160</v>
      </c>
      <c r="C70" s="65"/>
      <c r="D70" s="65"/>
      <c r="E70" s="65"/>
      <c r="F70" s="74" t="str">
        <f>MOVIMIENTOS!$E124&amp;" jaba(s) movida(s) para completar otras · no resta del Stock Kg"</f>
        <v>1 jaba(s) movida(s) para completar otras · no resta del Stock Kg</v>
      </c>
      <c r="G70" s="65">
        <f t="shared" si="0"/>
        <v>698.5</v>
      </c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</row>
    <row r="71" spans="1:20" ht="33.75" customHeight="1" x14ac:dyDescent="0.2">
      <c r="A71" s="64">
        <v>46224</v>
      </c>
      <c r="B71" s="74" t="s">
        <v>171</v>
      </c>
      <c r="C71" s="65"/>
      <c r="D71" s="65"/>
      <c r="E71" s="65"/>
      <c r="F71" s="74" t="str">
        <f>MOVIMIENTOS!$E125&amp;" jaba(s) movida(s) para completar otras · no resta del Stock Kg"</f>
        <v>1 jaba(s) movida(s) para completar otras · no resta del Stock Kg</v>
      </c>
      <c r="G71" s="65">
        <f t="shared" si="0"/>
        <v>698.5</v>
      </c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</row>
    <row r="72" spans="1:20" ht="33.75" customHeight="1" x14ac:dyDescent="0.2">
      <c r="A72" s="64">
        <v>46224</v>
      </c>
      <c r="B72" s="74" t="s">
        <v>44</v>
      </c>
      <c r="C72" s="65">
        <f>N(MOVIMIENTOS!$J126)</f>
        <v>17</v>
      </c>
      <c r="D72" s="65"/>
      <c r="E72" s="65"/>
      <c r="F72" s="74" t="str">
        <f>MOVIMIENTOS!$E126&amp;" kg recuperados (merma del día: "&amp;TEXT(SUMPRODUCT((MOVIMIENTOS!$A$5:$A$428=MOVIMIENTOS!$A126)*(MOVIMIENTOS!$B$5:$B$428="RECHAZO")*(MOVIMIENTOS!$D$5:$D$428="jabas")*MOVIMIENTOS!$E$5:$E$428*IFERROR(_xlfn.SWITCH(MOVIMIENTOS!$C$5:$C$428,"A",15,"P",18,"C",17,"M",17,0),0))-SUMPRODUCT((MOVIMIENTOS!$A$5:$A$428=MOVIMIENTOS!$A126)*(MOVIMIENTOS!$B$5:$B$428="REPROCESO")*MOVIMIENTOS!$J$5:$J$428),"+#,##0;-#,##0;0")&amp;" kg)"</f>
        <v>17 kg recuperados (merma del día: +13 kg)</v>
      </c>
      <c r="G72" s="65">
        <f t="shared" si="0"/>
        <v>715.5</v>
      </c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</row>
    <row r="73" spans="1:20" ht="33.75" customHeight="1" x14ac:dyDescent="0.2">
      <c r="A73" s="71">
        <v>46225</v>
      </c>
      <c r="B73" s="72" t="s">
        <v>140</v>
      </c>
      <c r="C73" s="73">
        <f>SUMPRODUCT((MOVIMIENTOS!$A$5:$A$428=DATE(2026,7,22))*(MOVIMIENTOS!$B$5:$B$428="COMPRA")*MOVIMIENTOS!$J$5:$J$428)</f>
        <v>6790</v>
      </c>
      <c r="D73" s="73">
        <f>SUMPRODUCT((MOVIMIENTOS!$A$5:$A$428=DATE(2026,7,22))*(MOVIMIENTOS!$B$5:$B$428="PROCESO")*MOVIMIENTOS!$J$5:$J$428)</f>
        <v>4025</v>
      </c>
      <c r="E73" s="73">
        <f>SUMPRODUCT((MOVIMIENTOS!$A$5:$A$428=DATE(2026,7,22))*((MOVIMIENTOS!$B$5:$B$428="ENVÍO A SUPESA")+(MOVIMIENTOS!$B$5:$B$428="ENVÍO A TOTTUS")+(MOVIMIENTOS!$B$5:$B$428="ENVIO A TOTTUS"))*MOVIMIENTOS!$J$5:$J$428)</f>
        <v>3294</v>
      </c>
      <c r="F73" s="72" t="str">
        <f>"Selección: "&amp;TEXT(SUMPRODUCT((MOVIMIENTOS!$A$5:$A$428=DATE(2026,7,22))*(MOVIMIENTOS!$B$5:$B$428="PROCESO")*(MOVIMIENTOS!$C$5:$C$428&lt;&gt;"Chancho")*MOVIMIENTOS!$J$5:$J$428),"#,##0")&amp;" kg  ·  Chancho: "&amp;TEXT(SUMPRODUCT((MOVIMIENTOS!$A$5:$A$428=DATE(2026,7,22))*(MOVIMIENTOS!$B$5:$B$428="PROCESO")*(MOVIMIENTOS!$C$5:$C$428="Chancho")*MOVIMIENTOS!$J$5:$J$428),"#,##0")&amp;" kg"&amp;IF(C73&gt;0,"  ·  "&amp;TEXT(D73/C73,"0%")&amp;" del ingreso","")</f>
        <v>Selección: 3,249 kg  ·  Chancho: 776 kg  ·  59% del ingreso</v>
      </c>
      <c r="G73" s="73">
        <f>N(G83)</f>
        <v>3547.5</v>
      </c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</row>
    <row r="74" spans="1:20" ht="33.75" customHeight="1" x14ac:dyDescent="0.2">
      <c r="A74" s="75">
        <v>46225</v>
      </c>
      <c r="B74" s="76" t="s">
        <v>143</v>
      </c>
      <c r="C74" s="77">
        <f>N(MOVIMIENTOS!$J127)</f>
        <v>6790</v>
      </c>
      <c r="D74" s="77"/>
      <c r="E74" s="77"/>
      <c r="F74" s="76" t="str">
        <f>TRIM(IF(MOVIMIENTOS!$G127&lt;&gt;"",MOVIMIENTOS!$G127&amp;"  ","")&amp;IF(N(MOVIMIENTOS!$E127)&gt;0,MOVIMIENTOS!$E127&amp;" "&amp;MOVIMIENTOS!$D127&amp;"  ","")&amp;IF(MOVIMIENTOS!$I127&lt;&gt;"",MOVIMIENTOS!$I127,""))</f>
        <v>70 sacos peso aprox 95 kg/saco</v>
      </c>
      <c r="G74" s="77">
        <f>N(G72)+N(C74)-N(E74)</f>
        <v>7505.5</v>
      </c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</row>
    <row r="75" spans="1:20" ht="15" customHeight="1" x14ac:dyDescent="0.2">
      <c r="A75" s="78">
        <v>46225</v>
      </c>
      <c r="B75" s="79" t="s">
        <v>144</v>
      </c>
      <c r="C75" s="80"/>
      <c r="D75" s="80">
        <f>SUMPRODUCT((MOVIMIENTOS!$A$5:$A$428=DATE(2026,7,22))*(MOVIMIENTOS!$B$5:$B$428="PROCESO")*(MOVIMIENTOS!$C$5:$C$428&lt;&gt;"Chancho")*MOVIMIENTOS!$J$5:$J$428)</f>
        <v>3249</v>
      </c>
      <c r="E75" s="80"/>
      <c r="F75" s="79" t="s">
        <v>172</v>
      </c>
      <c r="G75" s="80">
        <f>N(G74)</f>
        <v>7505.5</v>
      </c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</row>
    <row r="76" spans="1:20" ht="15" customHeight="1" x14ac:dyDescent="0.2">
      <c r="A76" s="64">
        <v>46225</v>
      </c>
      <c r="B76" s="74" t="s">
        <v>146</v>
      </c>
      <c r="C76" s="65"/>
      <c r="D76" s="65">
        <f>N(MOVIMIENTOS!$J132)</f>
        <v>776</v>
      </c>
      <c r="E76" s="65">
        <f>N(MOVIMIENTOS!$J132)</f>
        <v>776</v>
      </c>
      <c r="F76" s="74" t="str">
        <f>TRIM(IF(MOVIMIENTOS!$G132&lt;&gt;"",MOVIMIENTOS!$G132&amp;"  ","")&amp;IF(N(MOVIMIENTOS!$E132)&gt;0,MOVIMIENTOS!$E132&amp;" "&amp;MOVIMIENTOS!$D132&amp;"  ","")&amp;IF(MOVIMIENTOS!$I132&lt;&gt;"",MOVIMIENTOS!$I132,""))</f>
        <v>8 sacos</v>
      </c>
      <c r="G76" s="65">
        <f t="shared" ref="G76:G83" si="1">N(G75)+N(C76)-N(E76)</f>
        <v>6729.5</v>
      </c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</row>
    <row r="77" spans="1:20" ht="15" customHeight="1" x14ac:dyDescent="0.2">
      <c r="A77" s="64">
        <v>46225</v>
      </c>
      <c r="B77" s="74" t="s">
        <v>47</v>
      </c>
      <c r="C77" s="65"/>
      <c r="D77" s="65"/>
      <c r="E77" s="65">
        <f>N(MOVIMIENTOS!$J133)</f>
        <v>50</v>
      </c>
      <c r="F77" s="74" t="str">
        <f>TRIM(IF(MOVIMIENTOS!$G133&lt;&gt;"",MOVIMIENTOS!$G133&amp;"  ","")&amp;IF(N(MOVIMIENTOS!$E133)&gt;0,MOVIMIENTOS!$E133&amp;" "&amp;MOVIMIENTOS!$D133&amp;"  ","")&amp;IF(MOVIMIENTOS!$I133&lt;&gt;"",MOVIMIENTOS!$I133,""))</f>
        <v>50 kg</v>
      </c>
      <c r="G77" s="65">
        <f t="shared" si="1"/>
        <v>6679.5</v>
      </c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</row>
    <row r="78" spans="1:20" ht="15" customHeight="1" x14ac:dyDescent="0.2">
      <c r="A78" s="64">
        <v>46225</v>
      </c>
      <c r="B78" s="74" t="s">
        <v>24</v>
      </c>
      <c r="C78" s="65"/>
      <c r="D78" s="65"/>
      <c r="E78" s="65">
        <f>N(MOVIMIENTOS!$J134)+N(MOVIMIENTOS!$J135)+N(MOVIMIENTOS!$J136)+N(MOVIMIENTOS!$J137)</f>
        <v>3294</v>
      </c>
      <c r="F78" s="74" t="s">
        <v>173</v>
      </c>
      <c r="G78" s="65">
        <f t="shared" si="1"/>
        <v>3385.5</v>
      </c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</row>
    <row r="79" spans="1:20" ht="33.75" customHeight="1" x14ac:dyDescent="0.2">
      <c r="A79" s="64">
        <v>46225</v>
      </c>
      <c r="B79" s="74" t="s">
        <v>29</v>
      </c>
      <c r="C79" s="65"/>
      <c r="D79" s="65"/>
      <c r="E79" s="65"/>
      <c r="F79" s="74" t="str">
        <f>TRIM(IF(MOVIMIENTOS!$G138&lt;&gt;"",MOVIMIENTOS!$G138&amp;"  ","")&amp;IF(N(MOVIMIENTOS!$E138)&gt;0,MOVIMIENTOS!$E138&amp;" "&amp;MOVIMIENTOS!$D138&amp;"  ","")&amp;IF(MOVIMIENTOS!$I138&lt;&gt;"",MOVIMIENTOS!$I138,""))</f>
        <v>FALTA 10 sacos FALTA</v>
      </c>
      <c r="G79" s="65">
        <f t="shared" si="1"/>
        <v>3385.5</v>
      </c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</row>
    <row r="80" spans="1:20" ht="15" customHeight="1" x14ac:dyDescent="0.2">
      <c r="A80" s="64">
        <v>46225</v>
      </c>
      <c r="B80" s="74" t="s">
        <v>169</v>
      </c>
      <c r="C80" s="65"/>
      <c r="D80" s="65"/>
      <c r="E80" s="65"/>
      <c r="F80" s="74" t="str">
        <f>MOVIMIENTOS!$E139&amp;" jabas rechazadas · van a reproceso (merma del día: "&amp;TEXT(SUMPRODUCT((MOVIMIENTOS!$A$5:$A$428=MOVIMIENTOS!$A139)*(MOVIMIENTOS!$B$5:$B$428="RECHAZO")*(MOVIMIENTOS!$D$5:$D$428="jabas")*MOVIMIENTOS!$E$5:$E$428*IFERROR(_xlfn.SWITCH(MOVIMIENTOS!$C$5:$C$428,"A",15,"P",18,"C",17,"M",17,0),0))-SUMPRODUCT((MOVIMIENTOS!$A$5:$A$428=MOVIMIENTOS!$A139)*(MOVIMIENTOS!$B$5:$B$428="REPROCESO")*MOVIMIENTOS!$J$5:$J$428),"+#,##0;-#,##0;0")&amp;" kg)"</f>
        <v>1 jabas rechazadas · van a reproceso (merma del día: +9 kg)</v>
      </c>
      <c r="G80" s="65">
        <f t="shared" si="1"/>
        <v>3385.5</v>
      </c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</row>
    <row r="81" spans="1:20" ht="15" customHeight="1" x14ac:dyDescent="0.2">
      <c r="A81" s="64">
        <v>46225</v>
      </c>
      <c r="B81" s="74" t="s">
        <v>174</v>
      </c>
      <c r="C81" s="65">
        <f>N(MOVIMIENTOS!$J140)</f>
        <v>153</v>
      </c>
      <c r="D81" s="65"/>
      <c r="E81" s="65"/>
      <c r="F81" s="74"/>
      <c r="G81" s="65">
        <f t="shared" si="1"/>
        <v>3538.5</v>
      </c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</row>
    <row r="82" spans="1:20" ht="15" customHeight="1" x14ac:dyDescent="0.2">
      <c r="A82" s="64">
        <v>46225</v>
      </c>
      <c r="B82" s="74" t="s">
        <v>160</v>
      </c>
      <c r="C82" s="65"/>
      <c r="D82" s="65"/>
      <c r="E82" s="65"/>
      <c r="F82" s="74" t="str">
        <f>MOVIMIENTOS!$E141&amp;" jaba(s) movida(s) para completar otras · no resta del Stock Kg"</f>
        <v>1 jaba(s) movida(s) para completar otras · no resta del Stock Kg</v>
      </c>
      <c r="G82" s="65">
        <f t="shared" si="1"/>
        <v>3538.5</v>
      </c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</row>
    <row r="83" spans="1:20" ht="33.75" customHeight="1" x14ac:dyDescent="0.2">
      <c r="A83" s="64">
        <v>46225</v>
      </c>
      <c r="B83" s="74" t="s">
        <v>44</v>
      </c>
      <c r="C83" s="65">
        <f>N(MOVIMIENTOS!$J142)</f>
        <v>9</v>
      </c>
      <c r="D83" s="65"/>
      <c r="E83" s="65"/>
      <c r="F83" s="74" t="str">
        <f>MOVIMIENTOS!$E142&amp;" kg recuperados (merma del día: "&amp;TEXT(SUMPRODUCT((MOVIMIENTOS!$A$5:$A$428=MOVIMIENTOS!$A142)*(MOVIMIENTOS!$B$5:$B$428="RECHAZO")*(MOVIMIENTOS!$D$5:$D$428="jabas")*MOVIMIENTOS!$E$5:$E$428*IFERROR(_xlfn.SWITCH(MOVIMIENTOS!$C$5:$C$428,"A",15,"P",18,"C",17,"M",17,0),0))-SUMPRODUCT((MOVIMIENTOS!$A$5:$A$428=MOVIMIENTOS!$A142)*(MOVIMIENTOS!$B$5:$B$428="REPROCESO")*MOVIMIENTOS!$J$5:$J$428),"+#,##0;-#,##0;0")&amp;" kg)"</f>
        <v>9 kg recuperados (merma del día: -9 kg)</v>
      </c>
      <c r="G83" s="65">
        <f t="shared" si="1"/>
        <v>3547.5</v>
      </c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</row>
    <row r="84" spans="1:20" ht="33.75" customHeight="1" x14ac:dyDescent="0.2">
      <c r="A84" s="71">
        <v>46226</v>
      </c>
      <c r="B84" s="72" t="s">
        <v>140</v>
      </c>
      <c r="C84" s="73">
        <f>SUMPRODUCT((MOVIMIENTOS!$A$5:$A$428=DATE(2026,7,23))*(MOVIMIENTOS!$B$5:$B$428="COMPRA")*MOVIMIENTOS!$J$5:$J$428)</f>
        <v>3880</v>
      </c>
      <c r="D84" s="73">
        <f>SUMPRODUCT((MOVIMIENTOS!$A$5:$A$428=DATE(2026,7,23))*(MOVIMIENTOS!$B$5:$B$428="PROCESO")*MOVIMIENTOS!$J$5:$J$428)</f>
        <v>3800.5</v>
      </c>
      <c r="E84" s="73">
        <f>SUMPRODUCT((MOVIMIENTOS!$A$5:$A$428=DATE(2026,7,23))*((MOVIMIENTOS!$B$5:$B$428="ENVÍO A SUPESA")+(MOVIMIENTOS!$B$5:$B$428="ENVÍO A TOTTUS")+(MOVIMIENTOS!$B$5:$B$428="ENVIO A TOTTUS"))*MOVIMIENTOS!$J$5:$J$428)</f>
        <v>3413</v>
      </c>
      <c r="F84" s="72" t="str">
        <f>"Selección: "&amp;TEXT(SUMPRODUCT((MOVIMIENTOS!$A$5:$A$428=DATE(2026,7,23))*(MOVIMIENTOS!$B$5:$B$428="PROCESO")*(MOVIMIENTOS!$C$5:$C$428&lt;&gt;"Chancho")*MOVIMIENTOS!$J$5:$J$428),"#,##0")&amp;" kg  ·  Chancho: "&amp;TEXT(SUMPRODUCT((MOVIMIENTOS!$A$5:$A$428=DATE(2026,7,23))*(MOVIMIENTOS!$B$5:$B$428="PROCESO")*(MOVIMIENTOS!$C$5:$C$428="Chancho")*MOVIMIENTOS!$J$5:$J$428),"#,##0")&amp;" kg"&amp;IF(C84&gt;0,"  ·  "&amp;TEXT(D84/C84,"0%")&amp;" del ingreso","")</f>
        <v>Selección: 3,170 kg  ·  Chancho: 631 kg  ·  98% del ingreso</v>
      </c>
      <c r="G84" s="73">
        <f>N(G88)</f>
        <v>3384</v>
      </c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</row>
    <row r="85" spans="1:20" ht="33.75" customHeight="1" x14ac:dyDescent="0.2">
      <c r="A85" s="75">
        <v>46226</v>
      </c>
      <c r="B85" s="76" t="s">
        <v>143</v>
      </c>
      <c r="C85" s="77">
        <f>N(MOVIMIENTOS!$J143)</f>
        <v>3880</v>
      </c>
      <c r="D85" s="77"/>
      <c r="E85" s="77"/>
      <c r="F85" s="76" t="str">
        <f>TRIM(IF(MOVIMIENTOS!$G143&lt;&gt;"",MOVIMIENTOS!$G143&amp;"  ","")&amp;IF(N(MOVIMIENTOS!$E143)&gt;0,MOVIMIENTOS!$E143&amp;" "&amp;MOVIMIENTOS!$D143&amp;"  ","")&amp;IF(MOVIMIENTOS!$I143&lt;&gt;"",MOVIMIENTOS!$I143,""))</f>
        <v>40 sacos peso aprox 95 kg/saco</v>
      </c>
      <c r="G85" s="77">
        <f>N(G83)+N(C85)-N(E85)</f>
        <v>7427.5</v>
      </c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</row>
    <row r="86" spans="1:20" ht="15" customHeight="1" x14ac:dyDescent="0.2">
      <c r="A86" s="78">
        <v>46226</v>
      </c>
      <c r="B86" s="79" t="s">
        <v>144</v>
      </c>
      <c r="C86" s="80"/>
      <c r="D86" s="80">
        <f>SUMPRODUCT((MOVIMIENTOS!$A$5:$A$428=DATE(2026,7,23))*(MOVIMIENTOS!$B$5:$B$428="PROCESO")*(MOVIMIENTOS!$C$5:$C$428&lt;&gt;"Chancho")*MOVIMIENTOS!$J$5:$J$428)</f>
        <v>3170</v>
      </c>
      <c r="E86" s="80"/>
      <c r="F86" s="79" t="s">
        <v>175</v>
      </c>
      <c r="G86" s="80">
        <f>N(G85)</f>
        <v>7427.5</v>
      </c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</row>
    <row r="87" spans="1:20" ht="15" customHeight="1" x14ac:dyDescent="0.2">
      <c r="A87" s="64">
        <v>46226</v>
      </c>
      <c r="B87" s="74" t="s">
        <v>146</v>
      </c>
      <c r="C87" s="65"/>
      <c r="D87" s="65">
        <f>N(MOVIMIENTOS!$J148)</f>
        <v>630.5</v>
      </c>
      <c r="E87" s="65">
        <f>N(MOVIMIENTOS!$J148)</f>
        <v>630.5</v>
      </c>
      <c r="F87" s="74" t="str">
        <f>TRIM(IF(MOVIMIENTOS!$G148&lt;&gt;"",MOVIMIENTOS!$G148&amp;"  ","")&amp;IF(N(MOVIMIENTOS!$E148)&gt;0,MOVIMIENTOS!$E148&amp;" "&amp;MOVIMIENTOS!$D148&amp;"  ","")&amp;IF(MOVIMIENTOS!$I148&lt;&gt;"",MOVIMIENTOS!$I148,""))</f>
        <v>6.5 sacos</v>
      </c>
      <c r="G87" s="65">
        <f>N(G86)+N(C87)-N(E87)</f>
        <v>6797</v>
      </c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</row>
    <row r="88" spans="1:20" ht="15" customHeight="1" x14ac:dyDescent="0.2">
      <c r="A88" s="64">
        <v>46226</v>
      </c>
      <c r="B88" s="74" t="s">
        <v>24</v>
      </c>
      <c r="C88" s="65"/>
      <c r="D88" s="65"/>
      <c r="E88" s="65">
        <f>N(MOVIMIENTOS!$J149)+N(MOVIMIENTOS!$J150)+N(MOVIMIENTOS!$J151)+N(MOVIMIENTOS!$J152)</f>
        <v>3413</v>
      </c>
      <c r="F88" s="74" t="s">
        <v>176</v>
      </c>
      <c r="G88" s="65">
        <f>N(G87)+N(C88)-N(E88)</f>
        <v>3384</v>
      </c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</row>
    <row r="89" spans="1:20" ht="33.75" customHeight="1" x14ac:dyDescent="0.2">
      <c r="A89" s="71">
        <v>46227</v>
      </c>
      <c r="B89" s="72" t="s">
        <v>140</v>
      </c>
      <c r="C89" s="73">
        <f>SUMPRODUCT((MOVIMIENTOS!$A$5:$A$428=DATE(2026,7,24))*(MOVIMIENTOS!$B$5:$B$428="COMPRA")*MOVIMIENTOS!$J$5:$J$428)</f>
        <v>4171</v>
      </c>
      <c r="D89" s="73">
        <f>SUMPRODUCT((MOVIMIENTOS!$A$5:$A$428=DATE(2026,7,24))*(MOVIMIENTOS!$B$5:$B$428="PROCESO")*MOVIMIENTOS!$J$5:$J$428)</f>
        <v>3056</v>
      </c>
      <c r="E89" s="73">
        <f>SUMPRODUCT((MOVIMIENTOS!$A$5:$A$428=DATE(2026,7,24))*((MOVIMIENTOS!$B$5:$B$428="ENVÍO A SUPESA")+(MOVIMIENTOS!$B$5:$B$428="ENVÍO A TOTTUS")+(MOVIMIENTOS!$B$5:$B$428="ENVIO A TOTTUS"))*MOVIMIENTOS!$J$5:$J$428)</f>
        <v>3461</v>
      </c>
      <c r="F89" s="72" t="str">
        <f>"Selección: "&amp;TEXT(SUMPRODUCT((MOVIMIENTOS!$A$5:$A$428=DATE(2026,7,24))*(MOVIMIENTOS!$B$5:$B$428="PROCESO")*(MOVIMIENTOS!$C$5:$C$428&lt;&gt;"Chancho")*MOVIMIENTOS!$J$5:$J$428),"#,##0")&amp;" kg  ·  Chancho: "&amp;TEXT(SUMPRODUCT((MOVIMIENTOS!$A$5:$A$428=DATE(2026,7,24))*(MOVIMIENTOS!$B$5:$B$428="PROCESO")*(MOVIMIENTOS!$C$5:$C$428="Chancho")*MOVIMIENTOS!$J$5:$J$428),"#,##0")&amp;" kg"&amp;IF(C89&gt;0,"  ·  "&amp;TEXT(D89/C89,"0%")&amp;" del ingreso","")</f>
        <v>Selección: 2,474 kg  ·  Chancho: 582 kg  ·  73% del ingreso</v>
      </c>
      <c r="G89" s="73">
        <f>N(G100)</f>
        <v>3533</v>
      </c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</row>
    <row r="90" spans="1:20" ht="33.75" customHeight="1" x14ac:dyDescent="0.2">
      <c r="A90" s="75">
        <v>46227</v>
      </c>
      <c r="B90" s="76" t="s">
        <v>143</v>
      </c>
      <c r="C90" s="77">
        <f>N(MOVIMIENTOS!$J153)</f>
        <v>4171</v>
      </c>
      <c r="D90" s="77"/>
      <c r="E90" s="77"/>
      <c r="F90" s="76" t="str">
        <f>TRIM(IF(MOVIMIENTOS!$G153&lt;&gt;"",MOVIMIENTOS!$G153&amp;"  ","")&amp;IF(N(MOVIMIENTOS!$E153)&gt;0,MOVIMIENTOS!$E153&amp;" "&amp;MOVIMIENTOS!$D153&amp;"  ","")&amp;IF(MOVIMIENTOS!$I153&lt;&gt;"",MOVIMIENTOS!$I153,""))</f>
        <v>43 sacos EN TOTAL SE COMPRARON 80 SACOS, 43 PROCESARON 24-07 Y 37 PROCESARAN SABADO 25</v>
      </c>
      <c r="G90" s="77">
        <f>N(G88)+N(C90)-N(E90)</f>
        <v>7555</v>
      </c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</row>
    <row r="91" spans="1:20" ht="33.75" customHeight="1" x14ac:dyDescent="0.2">
      <c r="A91" s="78">
        <v>46227</v>
      </c>
      <c r="B91" s="79" t="s">
        <v>144</v>
      </c>
      <c r="C91" s="80"/>
      <c r="D91" s="80">
        <f>SUMPRODUCT((MOVIMIENTOS!$A$5:$A$428=DATE(2026,7,24))*(MOVIMIENTOS!$B$5:$B$428="PROCESO")*(MOVIMIENTOS!$C$5:$C$428&lt;&gt;"Chancho")*MOVIMIENTOS!$J$5:$J$428)</f>
        <v>2474</v>
      </c>
      <c r="E91" s="80"/>
      <c r="F91" s="79" t="s">
        <v>177</v>
      </c>
      <c r="G91" s="80">
        <f>N(G90)</f>
        <v>7555</v>
      </c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</row>
    <row r="92" spans="1:20" ht="33.75" customHeight="1" x14ac:dyDescent="0.2">
      <c r="A92" s="64">
        <v>46227</v>
      </c>
      <c r="B92" s="74" t="s">
        <v>146</v>
      </c>
      <c r="C92" s="65"/>
      <c r="D92" s="65">
        <f>N(MOVIMIENTOS!$J158)</f>
        <v>582</v>
      </c>
      <c r="E92" s="65">
        <f>N(MOVIMIENTOS!$J158)</f>
        <v>582</v>
      </c>
      <c r="F92" s="74" t="str">
        <f>TRIM(IF(MOVIMIENTOS!$G158&lt;&gt;"",MOVIMIENTOS!$G158&amp;"  ","")&amp;IF(N(MOVIMIENTOS!$E158)&gt;0,MOVIMIENTOS!$E158&amp;" "&amp;MOVIMIENTOS!$D158&amp;"  ","")&amp;IF(MOVIMIENTOS!$I158&lt;&gt;"",MOVIMIENTOS!$I158,""))</f>
        <v>6 sacos</v>
      </c>
      <c r="G92" s="65">
        <f t="shared" ref="G92:G100" si="2">N(G91)+N(C92)-N(E92)</f>
        <v>6973</v>
      </c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</row>
    <row r="93" spans="1:20" ht="15" customHeight="1" x14ac:dyDescent="0.2">
      <c r="A93" s="64">
        <v>46227</v>
      </c>
      <c r="B93" s="74" t="s">
        <v>24</v>
      </c>
      <c r="C93" s="65"/>
      <c r="D93" s="65"/>
      <c r="E93" s="65">
        <f>N(MOVIMIENTOS!$J159)+N(MOVIMIENTOS!$J160)+N(MOVIMIENTOS!$J161)+N(MOVIMIENTOS!$J162)</f>
        <v>3413</v>
      </c>
      <c r="F93" s="74" t="s">
        <v>178</v>
      </c>
      <c r="G93" s="65">
        <f t="shared" si="2"/>
        <v>3560</v>
      </c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</row>
    <row r="94" spans="1:20" ht="15" customHeight="1" x14ac:dyDescent="0.2">
      <c r="A94" s="64">
        <v>46227</v>
      </c>
      <c r="B94" s="74" t="s">
        <v>169</v>
      </c>
      <c r="C94" s="65"/>
      <c r="D94" s="65"/>
      <c r="E94" s="65"/>
      <c r="F94" s="74" t="str">
        <f>MOVIMIENTOS!$E163&amp;" jabas rechazadas · van a reproceso (merma del día: "&amp;TEXT(SUMPRODUCT((MOVIMIENTOS!$A$5:$A$428=MOVIMIENTOS!$A163)*(MOVIMIENTOS!$B$5:$B$428="RECHAZO")*(MOVIMIENTOS!$D$5:$D$428="jabas")*MOVIMIENTOS!$E$5:$E$428*IFERROR(_xlfn.SWITCH(MOVIMIENTOS!$C$5:$C$428,"A",15,"P",18,"C",17,"M",17,0),0))-SUMPRODUCT((MOVIMIENTOS!$A$5:$A$428=MOVIMIENTOS!$A163)*(MOVIMIENTOS!$B$5:$B$428="REPROCESO")*MOVIMIENTOS!$J$5:$J$428),"+#,##0;-#,##0;0")&amp;" kg)"</f>
        <v>1 jabas rechazadas · van a reproceso (merma del día: +13 kg)</v>
      </c>
      <c r="G94" s="65">
        <f t="shared" si="2"/>
        <v>3560</v>
      </c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</row>
    <row r="95" spans="1:20" ht="15" customHeight="1" x14ac:dyDescent="0.2">
      <c r="A95" s="64">
        <v>46227</v>
      </c>
      <c r="B95" s="74" t="s">
        <v>44</v>
      </c>
      <c r="C95" s="65">
        <f>N(MOVIMIENTOS!$J164)</f>
        <v>11</v>
      </c>
      <c r="D95" s="65"/>
      <c r="E95" s="65"/>
      <c r="F95" s="74" t="str">
        <f>MOVIMIENTOS!$E164&amp;" kg recuperados (merma del día: "&amp;TEXT(SUMPRODUCT((MOVIMIENTOS!$A$5:$A$428=MOVIMIENTOS!$A164)*(MOVIMIENTOS!$B$5:$B$428="RECHAZO")*(MOVIMIENTOS!$D$5:$D$428="jabas")*MOVIMIENTOS!$E$5:$E$428*IFERROR(_xlfn.SWITCH(MOVIMIENTOS!$C$5:$C$428,"A",15,"P",18,"C",17,"M",17,0),0))-SUMPRODUCT((MOVIMIENTOS!$A$5:$A$428=MOVIMIENTOS!$A164)*(MOVIMIENTOS!$B$5:$B$428="REPROCESO")*MOVIMIENTOS!$J$5:$J$428),"+#,##0;-#,##0;0")&amp;" kg)"</f>
        <v>11 kg recuperados (merma del día: -21 kg)</v>
      </c>
      <c r="G95" s="65">
        <f t="shared" si="2"/>
        <v>3571</v>
      </c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</row>
    <row r="96" spans="1:20" ht="15" customHeight="1" x14ac:dyDescent="0.2">
      <c r="A96" s="64">
        <v>46227</v>
      </c>
      <c r="B96" s="74" t="s">
        <v>170</v>
      </c>
      <c r="C96" s="65"/>
      <c r="D96" s="65"/>
      <c r="E96" s="65"/>
      <c r="F96" s="74" t="str">
        <f>MOVIMIENTOS!$E165&amp;" jabas rechazadas · van a reproceso (merma del día: "&amp;TEXT(SUMPRODUCT((MOVIMIENTOS!$A$5:$A$428=MOVIMIENTOS!$A165)*(MOVIMIENTOS!$B$5:$B$428="RECHAZO")*(MOVIMIENTOS!$D$5:$D$428="jabas")*MOVIMIENTOS!$E$5:$E$428*IFERROR(_xlfn.SWITCH(MOVIMIENTOS!$C$5:$C$428,"A",15,"P",18,"C",17,"M",17,0),0))-SUMPRODUCT((MOVIMIENTOS!$A$5:$A$428=MOVIMIENTOS!$A165)*(MOVIMIENTOS!$B$5:$B$428="REPROCESO")*MOVIMIENTOS!$J$5:$J$428),"+#,##0;-#,##0;0")&amp;" kg)"</f>
        <v>1 jabas rechazadas · van a reproceso (merma del día: -21 kg)</v>
      </c>
      <c r="G96" s="65">
        <f t="shared" si="2"/>
        <v>3571</v>
      </c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</row>
    <row r="97" spans="1:20" ht="15" customHeight="1" x14ac:dyDescent="0.2">
      <c r="A97" s="64">
        <v>46227</v>
      </c>
      <c r="B97" s="74" t="s">
        <v>44</v>
      </c>
      <c r="C97" s="65">
        <f>N(MOVIMIENTOS!$J166)</f>
        <v>10</v>
      </c>
      <c r="D97" s="65"/>
      <c r="E97" s="65"/>
      <c r="F97" s="74" t="str">
        <f>MOVIMIENTOS!$E166&amp;" kg recuperados (merma del día: "&amp;TEXT(SUMPRODUCT((MOVIMIENTOS!$A$5:$A$428=MOVIMIENTOS!$A166)*(MOVIMIENTOS!$B$5:$B$428="RECHAZO")*(MOVIMIENTOS!$D$5:$D$428="jabas")*MOVIMIENTOS!$E$5:$E$428*IFERROR(_xlfn.SWITCH(MOVIMIENTOS!$C$5:$C$428,"A",15,"P",18,"C",17,"M",17,0),0))-SUMPRODUCT((MOVIMIENTOS!$A$5:$A$428=MOVIMIENTOS!$A166)*(MOVIMIENTOS!$B$5:$B$428="REPROCESO")*MOVIMIENTOS!$J$5:$J$428),"+#,##0;-#,##0;0")&amp;" kg)"</f>
        <v>10 kg recuperados (merma del día: +9 kg)</v>
      </c>
      <c r="G97" s="65">
        <f t="shared" si="2"/>
        <v>3581</v>
      </c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</row>
    <row r="98" spans="1:20" ht="15" customHeight="1" x14ac:dyDescent="0.2">
      <c r="A98" s="64">
        <v>46227</v>
      </c>
      <c r="B98" s="74" t="s">
        <v>29</v>
      </c>
      <c r="C98" s="65"/>
      <c r="D98" s="65"/>
      <c r="E98" s="65"/>
      <c r="F98" s="74" t="str">
        <f>TRIM(IF(MOVIMIENTOS!$G167&lt;&gt;"",MOVIMIENTOS!$G167&amp;"  ","")&amp;IF(N(MOVIMIENTOS!$E167)&gt;0,MOVIMIENTOS!$E167&amp;" "&amp;MOVIMIENTOS!$D167&amp;"  ","")&amp;IF(MOVIMIENTOS!$I167&lt;&gt;"",MOVIMIENTOS!$I167,""))</f>
        <v>TCK002-729 9 sacos</v>
      </c>
      <c r="G98" s="65">
        <f t="shared" si="2"/>
        <v>3581</v>
      </c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</row>
    <row r="99" spans="1:20" ht="15" customHeight="1" x14ac:dyDescent="0.2">
      <c r="A99" s="64">
        <v>46227</v>
      </c>
      <c r="B99" s="74" t="s">
        <v>29</v>
      </c>
      <c r="C99" s="65"/>
      <c r="D99" s="65"/>
      <c r="E99" s="65"/>
      <c r="F99" s="74" t="str">
        <f>TRIM(IF(MOVIMIENTOS!$G168&lt;&gt;"",MOVIMIENTOS!$G168&amp;"  ","")&amp;IF(N(MOVIMIENTOS!$E168)&gt;0,MOVIMIENTOS!$E168&amp;" "&amp;MOVIMIENTOS!$D168&amp;"  ","")&amp;IF(MOVIMIENTOS!$I168&lt;&gt;"",MOVIMIENTOS!$I168,""))</f>
        <v>TCK002-734 1 sacos</v>
      </c>
      <c r="G99" s="65">
        <f t="shared" si="2"/>
        <v>3581</v>
      </c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</row>
    <row r="100" spans="1:20" ht="15" customHeight="1" x14ac:dyDescent="0.2">
      <c r="A100" s="64">
        <v>46227</v>
      </c>
      <c r="B100" s="74" t="s">
        <v>179</v>
      </c>
      <c r="C100" s="65"/>
      <c r="D100" s="65"/>
      <c r="E100" s="65">
        <f>N(MOVIMIENTOS!$J169)</f>
        <v>48</v>
      </c>
      <c r="F100" s="74"/>
      <c r="G100" s="65">
        <f t="shared" si="2"/>
        <v>3533</v>
      </c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</row>
    <row r="101" spans="1:20" ht="33.75" customHeight="1" x14ac:dyDescent="0.2">
      <c r="A101" s="71">
        <v>46228</v>
      </c>
      <c r="B101" s="72" t="s">
        <v>140</v>
      </c>
      <c r="C101" s="73">
        <f>SUMPRODUCT((MOVIMIENTOS!$A$5:$A$428=DATE(2026,7,25))*(MOVIMIENTOS!$B$5:$B$428="COMPRA")*MOVIMIENTOS!$J$5:$J$428)</f>
        <v>3589</v>
      </c>
      <c r="D101" s="73">
        <f>SUMPRODUCT((MOVIMIENTOS!$A$5:$A$428=DATE(2026,7,25))*(MOVIMIENTOS!$B$5:$B$428="PROCESO")*MOVIMIENTOS!$J$5:$J$428)</f>
        <v>4813.5</v>
      </c>
      <c r="E101" s="73">
        <f>SUMPRODUCT((MOVIMIENTOS!$A$5:$A$428=DATE(2026,7,25))*((MOVIMIENTOS!$B$5:$B$428="ENVÍO A SUPESA")+(MOVIMIENTOS!$B$5:$B$428="ENVÍO A TOTTUS")+(MOVIMIENTOS!$B$5:$B$428="ENVIO A TOTTUS"))*MOVIMIENTOS!$J$5:$J$428)</f>
        <v>3168</v>
      </c>
      <c r="F101" s="72" t="str">
        <f>"Selección: "&amp;TEXT(SUMPRODUCT((MOVIMIENTOS!$A$5:$A$428=DATE(2026,7,25))*(MOVIMIENTOS!$B$5:$B$428="PROCESO")*(MOVIMIENTOS!$C$5:$C$428&lt;&gt;"Chancho")*MOVIMIENTOS!$J$5:$J$428),"#,##0")&amp;" kg  ·  Chancho: "&amp;TEXT(SUMPRODUCT((MOVIMIENTOS!$A$5:$A$428=DATE(2026,7,25))*(MOVIMIENTOS!$B$5:$B$428="PROCESO")*(MOVIMIENTOS!$C$5:$C$428="Chancho")*MOVIMIENTOS!$J$5:$J$428),"#,##0")&amp;" kg"&amp;IF(C101&gt;0,"  ·  "&amp;TEXT(D101/C101,"0%")&amp;" del ingreso","")</f>
        <v>Selección: 3,892 kg  ·  Chancho: 922 kg  ·  134% del ingreso</v>
      </c>
      <c r="G101" s="73">
        <f>N(G105)</f>
        <v>3032.5</v>
      </c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</row>
    <row r="102" spans="1:20" ht="33.75" customHeight="1" x14ac:dyDescent="0.2">
      <c r="A102" s="75">
        <v>46228</v>
      </c>
      <c r="B102" s="76" t="s">
        <v>143</v>
      </c>
      <c r="C102" s="77">
        <f>N(MOVIMIENTOS!$J170)</f>
        <v>3589</v>
      </c>
      <c r="D102" s="77"/>
      <c r="E102" s="77"/>
      <c r="F102" s="76" t="str">
        <f>TRIM(IF(MOVIMIENTOS!$G170&lt;&gt;"",MOVIMIENTOS!$G170&amp;"  ","")&amp;IF(N(MOVIMIENTOS!$E170)&gt;0,MOVIMIENTOS!$E170&amp;" "&amp;MOVIMIENTOS!$D170&amp;"  ","")&amp;IF(MOVIMIENTOS!$I170&lt;&gt;"",MOVIMIENTOS!$I170,""))</f>
        <v>37 sacos peso aprox 95 kg/saco</v>
      </c>
      <c r="G102" s="77">
        <f>N(G100)+N(C102)-N(E102)</f>
        <v>7122</v>
      </c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</row>
    <row r="103" spans="1:20" ht="33.75" customHeight="1" x14ac:dyDescent="0.2">
      <c r="A103" s="64">
        <v>46228</v>
      </c>
      <c r="B103" s="74" t="s">
        <v>24</v>
      </c>
      <c r="C103" s="65"/>
      <c r="D103" s="65"/>
      <c r="E103" s="65">
        <f>N(MOVIMIENTOS!$J171)+N(MOVIMIENTOS!$J172)+N(MOVIMIENTOS!$J173)+N(MOVIMIENTOS!$J174)</f>
        <v>3168</v>
      </c>
      <c r="F103" s="74" t="s">
        <v>180</v>
      </c>
      <c r="G103" s="65">
        <f>N(G102)+N(C103)-N(E103)</f>
        <v>3954</v>
      </c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</row>
    <row r="104" spans="1:20" ht="15" customHeight="1" x14ac:dyDescent="0.2">
      <c r="A104" s="78">
        <v>46228</v>
      </c>
      <c r="B104" s="79" t="s">
        <v>144</v>
      </c>
      <c r="C104" s="80"/>
      <c r="D104" s="80">
        <f>SUMPRODUCT((MOVIMIENTOS!$A$5:$A$428=DATE(2026,7,25))*(MOVIMIENTOS!$B$5:$B$428="PROCESO")*(MOVIMIENTOS!$C$5:$C$428&lt;&gt;"Chancho")*MOVIMIENTOS!$J$5:$J$428)</f>
        <v>3892</v>
      </c>
      <c r="E104" s="80"/>
      <c r="F104" s="79" t="s">
        <v>181</v>
      </c>
      <c r="G104" s="80">
        <f>N(G103)</f>
        <v>3954</v>
      </c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</row>
    <row r="105" spans="1:20" ht="33.75" customHeight="1" x14ac:dyDescent="0.2">
      <c r="A105" s="64">
        <v>46228</v>
      </c>
      <c r="B105" s="74" t="s">
        <v>146</v>
      </c>
      <c r="C105" s="65"/>
      <c r="D105" s="65">
        <f>N(MOVIMIENTOS!$J179)</f>
        <v>921.5</v>
      </c>
      <c r="E105" s="65">
        <f>N(MOVIMIENTOS!$J179)</f>
        <v>921.5</v>
      </c>
      <c r="F105" s="74" t="str">
        <f>TRIM(IF(MOVIMIENTOS!$G179&lt;&gt;"",MOVIMIENTOS!$G179&amp;"  ","")&amp;IF(N(MOVIMIENTOS!$E179)&gt;0,MOVIMIENTOS!$E179&amp;" "&amp;MOVIMIENTOS!$D179&amp;"  ","")&amp;IF(MOVIMIENTOS!$I179&lt;&gt;"",MOVIMIENTOS!$I179,""))</f>
        <v>9.5 sacos</v>
      </c>
      <c r="G105" s="65">
        <f>N(G104)+N(C105)-N(E105)</f>
        <v>3032.5</v>
      </c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</row>
    <row r="106" spans="1:20" ht="33.75" customHeight="1" x14ac:dyDescent="0.2">
      <c r="A106" s="71">
        <v>46229</v>
      </c>
      <c r="B106" s="72" t="s">
        <v>140</v>
      </c>
      <c r="C106" s="73">
        <f>SUMPRODUCT((MOVIMIENTOS!$A$5:$A$428=DATE(2026,7,26))*(MOVIMIENTOS!$B$5:$B$428="COMPRA")*MOVIMIENTOS!$J$5:$J$428)</f>
        <v>0</v>
      </c>
      <c r="D106" s="73">
        <f>SUMPRODUCT((MOVIMIENTOS!$A$5:$A$428=DATE(2026,7,26))*(MOVIMIENTOS!$B$5:$B$428="PROCESO")*MOVIMIENTOS!$J$5:$J$428)</f>
        <v>0</v>
      </c>
      <c r="E106" s="73">
        <f>SUMPRODUCT((MOVIMIENTOS!$A$5:$A$428=DATE(2026,7,26))*((MOVIMIENTOS!$B$5:$B$428="ENVÍO A SUPESA")+(MOVIMIENTOS!$B$5:$B$428="ENVÍO A TOTTUS")+(MOVIMIENTOS!$B$5:$B$428="ENVIO A TOTTUS"))*MOVIMIENTOS!$J$5:$J$428)</f>
        <v>1407</v>
      </c>
      <c r="F106" s="72" t="str">
        <f>"Selección: "&amp;TEXT(SUMPRODUCT((MOVIMIENTOS!$A$5:$A$428=DATE(2026,7,26))*(MOVIMIENTOS!$B$5:$B$428="PROCESO")*(MOVIMIENTOS!$C$5:$C$428&lt;&gt;"Chancho")*MOVIMIENTOS!$J$5:$J$428),"#,##0")&amp;" kg  ·  Chancho: "&amp;TEXT(SUMPRODUCT((MOVIMIENTOS!$A$5:$A$428=DATE(2026,7,26))*(MOVIMIENTOS!$B$5:$B$428="PROCESO")*(MOVIMIENTOS!$C$5:$C$428="Chancho")*MOVIMIENTOS!$J$5:$J$428),"#,##0")&amp;" kg"&amp;IF(C106&gt;0,"  ·  "&amp;TEXT(D106/C106,"0%")&amp;" del ingreso","")</f>
        <v>Selección: 0 kg  ·  Chancho: 0 kg</v>
      </c>
      <c r="G106" s="73">
        <f>N(G107)</f>
        <v>1625.5</v>
      </c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</row>
    <row r="107" spans="1:20" ht="33.75" customHeight="1" x14ac:dyDescent="0.2">
      <c r="A107" s="64">
        <v>46229</v>
      </c>
      <c r="B107" s="74" t="s">
        <v>24</v>
      </c>
      <c r="C107" s="65"/>
      <c r="D107" s="65"/>
      <c r="E107" s="65">
        <f>N(MOVIMIENTOS!$J180)+N(MOVIMIENTOS!$J181)+N(MOVIMIENTOS!$J182)</f>
        <v>1407</v>
      </c>
      <c r="F107" s="74" t="s">
        <v>182</v>
      </c>
      <c r="G107" s="65">
        <f>N(G105)+N(C107)-N(E107)</f>
        <v>1625.5</v>
      </c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</row>
    <row r="108" spans="1:20" ht="33.75" customHeight="1" x14ac:dyDescent="0.2">
      <c r="A108" s="71">
        <v>46230</v>
      </c>
      <c r="B108" s="72" t="s">
        <v>140</v>
      </c>
      <c r="C108" s="73">
        <f>SUMPRODUCT((MOVIMIENTOS!$A$5:$A$428=DATE(2026,7,27))*(MOVIMIENTOS!$B$5:$B$428="COMPRA")*MOVIMIENTOS!$J$5:$J$428)</f>
        <v>4459</v>
      </c>
      <c r="D108" s="73">
        <f>SUMPRODUCT((MOVIMIENTOS!$A$5:$A$428=DATE(2026,7,27))*(MOVIMIENTOS!$B$5:$B$428="PROCESO")*MOVIMIENTOS!$J$5:$J$428)</f>
        <v>4128.5</v>
      </c>
      <c r="E108" s="73">
        <f>SUMPRODUCT((MOVIMIENTOS!$A$5:$A$428=DATE(2026,7,27))*((MOVIMIENTOS!$B$5:$B$428="ENVÍO A SUPESA")+(MOVIMIENTOS!$B$5:$B$428="ENVÍO A TOTTUS")+(MOVIMIENTOS!$B$5:$B$428="ENVIO A TOTTUS"))*MOVIMIENTOS!$J$5:$J$428)</f>
        <v>1339</v>
      </c>
      <c r="F108" s="72" t="str">
        <f>"Selección: "&amp;TEXT(SUMPRODUCT((MOVIMIENTOS!$A$5:$A$428=DATE(2026,7,27))*(MOVIMIENTOS!$B$5:$B$428="PROCESO")*(MOVIMIENTOS!$C$5:$C$428&lt;&gt;"Chancho")*MOVIMIENTOS!$J$5:$J$428),"#,##0")&amp;" kg  ·  Chancho: "&amp;TEXT(SUMPRODUCT((MOVIMIENTOS!$A$5:$A$428=DATE(2026,7,27))*(MOVIMIENTOS!$B$5:$B$428="PROCESO")*(MOVIMIENTOS!$C$5:$C$428="Chancho")*MOVIMIENTOS!$J$5:$J$428),"#,##0")&amp;" kg"&amp;IF(C108&gt;0,"  ·  "&amp;TEXT(D108/C108,"0%")&amp;" del ingreso","")</f>
        <v>Selección: 3,304 kg  ·  Chancho: 825 kg  ·  93% del ingreso</v>
      </c>
      <c r="G108" s="73">
        <f>N(G117)</f>
        <v>3928</v>
      </c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</row>
    <row r="109" spans="1:20" ht="33.75" customHeight="1" x14ac:dyDescent="0.2">
      <c r="A109" s="75">
        <v>46230</v>
      </c>
      <c r="B109" s="76" t="s">
        <v>143</v>
      </c>
      <c r="C109" s="77">
        <f>N(MOVIMIENTOS!$J183)</f>
        <v>4459</v>
      </c>
      <c r="D109" s="77"/>
      <c r="E109" s="77"/>
      <c r="F109" s="76" t="str">
        <f>TRIM(IF(MOVIMIENTOS!$G183&lt;&gt;"",MOVIMIENTOS!$G183&amp;"  ","")&amp;IF(N(MOVIMIENTOS!$E183)&gt;0,MOVIMIENTOS!$E183&amp;" "&amp;MOVIMIENTOS!$D183&amp;"  ","")&amp;IF(MOVIMIENTOS!$I183&lt;&gt;"",MOVIMIENTOS!$I183,""))</f>
        <v>45 sacos Se compraron 100 sacos , solo se procesó 45</v>
      </c>
      <c r="G109" s="77">
        <f>N(G107)+N(C109)-N(E109)</f>
        <v>6084.5</v>
      </c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</row>
    <row r="110" spans="1:20" ht="15" customHeight="1" x14ac:dyDescent="0.2">
      <c r="A110" s="78">
        <v>46230</v>
      </c>
      <c r="B110" s="79" t="s">
        <v>144</v>
      </c>
      <c r="C110" s="80"/>
      <c r="D110" s="80">
        <f>SUMPRODUCT((MOVIMIENTOS!$A$5:$A$428=DATE(2026,7,27))*(MOVIMIENTOS!$B$5:$B$428="PROCESO")*(MOVIMIENTOS!$C$5:$C$428&lt;&gt;"Chancho")*MOVIMIENTOS!$J$5:$J$428)</f>
        <v>3304</v>
      </c>
      <c r="E110" s="80"/>
      <c r="F110" s="79" t="s">
        <v>183</v>
      </c>
      <c r="G110" s="80">
        <f>N(G109)</f>
        <v>6084.5</v>
      </c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</row>
    <row r="111" spans="1:20" ht="15" customHeight="1" x14ac:dyDescent="0.2">
      <c r="A111" s="64">
        <v>46230</v>
      </c>
      <c r="B111" s="74" t="s">
        <v>146</v>
      </c>
      <c r="C111" s="65"/>
      <c r="D111" s="65">
        <f>N(MOVIMIENTOS!$J188)</f>
        <v>824.5</v>
      </c>
      <c r="E111" s="65">
        <f>N(MOVIMIENTOS!$J188)</f>
        <v>824.5</v>
      </c>
      <c r="F111" s="74" t="str">
        <f>TRIM(IF(MOVIMIENTOS!$G188&lt;&gt;"",MOVIMIENTOS!$G188&amp;"  ","")&amp;IF(N(MOVIMIENTOS!$E188)&gt;0,MOVIMIENTOS!$E188&amp;" "&amp;MOVIMIENTOS!$D188&amp;"  ","")&amp;IF(MOVIMIENTOS!$I188&lt;&gt;"",MOVIMIENTOS!$I188,""))</f>
        <v>8.5 sacos</v>
      </c>
      <c r="G111" s="65">
        <f t="shared" ref="G111:G117" si="3">N(G110)+N(C111)-N(E111)</f>
        <v>5260</v>
      </c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</row>
    <row r="112" spans="1:20" ht="15" customHeight="1" x14ac:dyDescent="0.2">
      <c r="A112" s="64">
        <v>46230</v>
      </c>
      <c r="B112" s="74" t="s">
        <v>24</v>
      </c>
      <c r="C112" s="65"/>
      <c r="D112" s="65"/>
      <c r="E112" s="65">
        <f>N(MOVIMIENTOS!$J189)+N(MOVIMIENTOS!$J190)+N(MOVIMIENTOS!$J191)</f>
        <v>1339</v>
      </c>
      <c r="F112" s="74" t="s">
        <v>184</v>
      </c>
      <c r="G112" s="65">
        <f t="shared" si="3"/>
        <v>3921</v>
      </c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</row>
    <row r="113" spans="1:20" ht="15" customHeight="1" x14ac:dyDescent="0.2">
      <c r="A113" s="64">
        <v>46230</v>
      </c>
      <c r="B113" s="74" t="s">
        <v>29</v>
      </c>
      <c r="C113" s="65"/>
      <c r="D113" s="65"/>
      <c r="E113" s="65"/>
      <c r="F113" s="74" t="str">
        <f>TRIM(IF(MOVIMIENTOS!$G192&lt;&gt;"",MOVIMIENTOS!$G192&amp;"  ","")&amp;IF(N(MOVIMIENTOS!$E192)&gt;0,MOVIMIENTOS!$E192&amp;" "&amp;MOVIMIENTOS!$D192&amp;"  ","")&amp;IF(MOVIMIENTOS!$I192&lt;&gt;"",MOVIMIENTOS!$I192,""))</f>
        <v>TCK002-732 16 sacos</v>
      </c>
      <c r="G113" s="65">
        <f t="shared" si="3"/>
        <v>3921</v>
      </c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</row>
    <row r="114" spans="1:20" ht="27.75" customHeight="1" x14ac:dyDescent="0.2">
      <c r="A114" s="64">
        <v>46230</v>
      </c>
      <c r="B114" s="74" t="s">
        <v>29</v>
      </c>
      <c r="C114" s="65"/>
      <c r="D114" s="65"/>
      <c r="E114" s="65"/>
      <c r="F114" s="74" t="str">
        <f>TRIM(IF(MOVIMIENTOS!$G193&lt;&gt;"",MOVIMIENTOS!$G193&amp;"  ","")&amp;IF(N(MOVIMIENTOS!$E193)&gt;0,MOVIMIENTOS!$E193&amp;" "&amp;MOVIMIENTOS!$D193&amp;"  ","")&amp;IF(MOVIMIENTOS!$I193&lt;&gt;"",MOVIMIENTOS!$I193,""))</f>
        <v>TCK002-731 7 sacos</v>
      </c>
      <c r="G114" s="65">
        <f t="shared" si="3"/>
        <v>3921</v>
      </c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</row>
    <row r="115" spans="1:20" ht="27.75" customHeight="1" x14ac:dyDescent="0.2">
      <c r="A115" s="64">
        <v>46230</v>
      </c>
      <c r="B115" s="74" t="s">
        <v>29</v>
      </c>
      <c r="C115" s="65"/>
      <c r="D115" s="65"/>
      <c r="E115" s="65"/>
      <c r="F115" s="74" t="str">
        <f>TRIM(IF(MOVIMIENTOS!$G194&lt;&gt;"",MOVIMIENTOS!$G194&amp;"  ","")&amp;IF(N(MOVIMIENTOS!$E194)&gt;0,MOVIMIENTOS!$E194&amp;" "&amp;MOVIMIENTOS!$D194&amp;"  ","")&amp;IF(MOVIMIENTOS!$I194&lt;&gt;"",MOVIMIENTOS!$I194,""))</f>
        <v>FALTA 2 sacos FALTA</v>
      </c>
      <c r="G115" s="65">
        <f t="shared" si="3"/>
        <v>3921</v>
      </c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</row>
    <row r="116" spans="1:20" ht="33.75" customHeight="1" x14ac:dyDescent="0.2">
      <c r="A116" s="64">
        <v>46230</v>
      </c>
      <c r="B116" s="74" t="s">
        <v>169</v>
      </c>
      <c r="C116" s="65"/>
      <c r="D116" s="65"/>
      <c r="E116" s="65"/>
      <c r="F116" s="74" t="str">
        <f>MOVIMIENTOS!$E195&amp;" jabas rechazadas · van a reproceso (merma del día: "&amp;TEXT(SUMPRODUCT((MOVIMIENTOS!$A$5:$A$428=MOVIMIENTOS!$A195)*(MOVIMIENTOS!$B$5:$B$428="RECHAZO")*(MOVIMIENTOS!$D$5:$D$428="jabas")*MOVIMIENTOS!$E$5:$E$428*IFERROR(_xlfn.SWITCH(MOVIMIENTOS!$C$5:$C$428,"A",15,"P",18,"C",17,"M",17,0),0))-SUMPRODUCT((MOVIMIENTOS!$A$5:$A$428=MOVIMIENTOS!$A195)*(MOVIMIENTOS!$B$5:$B$428="REPROCESO")*MOVIMIENTOS!$J$5:$J$428),"+#,##0;-#,##0;0")&amp;" kg)"</f>
        <v>1 jabas rechazadas · van a reproceso (merma del día: +10 kg)</v>
      </c>
      <c r="G116" s="65">
        <f t="shared" si="3"/>
        <v>3921</v>
      </c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</row>
    <row r="117" spans="1:20" ht="33.75" customHeight="1" x14ac:dyDescent="0.2">
      <c r="A117" s="64">
        <v>46230</v>
      </c>
      <c r="B117" s="74" t="s">
        <v>44</v>
      </c>
      <c r="C117" s="65">
        <f>N(MOVIMIENTOS!$J196)</f>
        <v>7</v>
      </c>
      <c r="D117" s="65"/>
      <c r="E117" s="65"/>
      <c r="F117" s="74" t="str">
        <f>MOVIMIENTOS!$E196&amp;" kg recuperados (merma del día: "&amp;TEXT(SUMPRODUCT((MOVIMIENTOS!$A$5:$A$428=MOVIMIENTOS!$A196)*(MOVIMIENTOS!$B$5:$B$428="RECHAZO")*(MOVIMIENTOS!$D$5:$D$428="jabas")*MOVIMIENTOS!$E$5:$E$428*IFERROR(_xlfn.SWITCH(MOVIMIENTOS!$C$5:$C$428,"A",15,"P",18,"C",17,"M",17,0),0))-SUMPRODUCT((MOVIMIENTOS!$A$5:$A$428=MOVIMIENTOS!$A196)*(MOVIMIENTOS!$B$5:$B$428="REPROCESO")*MOVIMIENTOS!$J$5:$J$428),"+#,##0;-#,##0;0")&amp;" kg)"</f>
        <v>7 kg recuperados (merma del día: -7 kg)</v>
      </c>
      <c r="G117" s="65">
        <f t="shared" si="3"/>
        <v>3928</v>
      </c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</row>
    <row r="118" spans="1:20" ht="33.75" customHeight="1" x14ac:dyDescent="0.2">
      <c r="A118" s="71">
        <v>46231</v>
      </c>
      <c r="B118" s="72" t="s">
        <v>140</v>
      </c>
      <c r="C118" s="73">
        <f>SUMPRODUCT((MOVIMIENTOS!$A$5:$A$428=DATE(2026,7,28))*(MOVIMIENTOS!$B$5:$B$428="COMPRA")*MOVIMIENTOS!$J$5:$J$428)</f>
        <v>5451</v>
      </c>
      <c r="D118" s="73">
        <f>SUMPRODUCT((MOVIMIENTOS!$A$5:$A$428=DATE(2026,7,28))*(MOVIMIENTOS!$B$5:$B$428="PROCESO")*MOVIMIENTOS!$J$5:$J$428)</f>
        <v>5275.5</v>
      </c>
      <c r="E118" s="73">
        <f>SUMPRODUCT((MOVIMIENTOS!$A$5:$A$428=DATE(2026,7,28))*((MOVIMIENTOS!$B$5:$B$428="ENVÍO A SUPESA")+(MOVIMIENTOS!$B$5:$B$428="ENVÍO A TOTTUS")+(MOVIMIENTOS!$B$5:$B$428="ENVIO A TOTTUS"))*MOVIMIENTOS!$J$5:$J$428)</f>
        <v>3379</v>
      </c>
      <c r="F118" s="72" t="str">
        <f>"Selección: "&amp;TEXT(SUMPRODUCT((MOVIMIENTOS!$A$5:$A$428=DATE(2026,7,28))*(MOVIMIENTOS!$B$5:$B$428="PROCESO")*(MOVIMIENTOS!$C$5:$C$428&lt;&gt;"Chancho")*MOVIMIENTOS!$J$5:$J$428),"#,##0")&amp;" kg  ·  Chancho: "&amp;TEXT(SUMPRODUCT((MOVIMIENTOS!$A$5:$A$428=DATE(2026,7,28))*(MOVIMIENTOS!$B$5:$B$428="PROCESO")*(MOVIMIENTOS!$C$5:$C$428="Chancho")*MOVIMIENTOS!$J$5:$J$428),"#,##0")&amp;" kg"&amp;IF(C118&gt;0,"  ·  "&amp;TEXT(D118/C118,"0%")&amp;" del ingreso","")</f>
        <v>Selección: 3,869 kg  ·  Chancho: 1,407 kg  ·  97% del ingreso</v>
      </c>
      <c r="G118" s="73">
        <f>N(G122)</f>
        <v>4593.5</v>
      </c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</row>
    <row r="119" spans="1:20" ht="33.75" customHeight="1" x14ac:dyDescent="0.2">
      <c r="A119" s="75">
        <v>46231</v>
      </c>
      <c r="B119" s="76" t="s">
        <v>143</v>
      </c>
      <c r="C119" s="77">
        <f>N(MOVIMIENTOS!$J197)</f>
        <v>5451</v>
      </c>
      <c r="D119" s="77"/>
      <c r="E119" s="77"/>
      <c r="F119" s="76" t="str">
        <f>TRIM(IF(MOVIMIENTOS!$G197&lt;&gt;"",MOVIMIENTOS!$G197&amp;"  ","")&amp;IF(N(MOVIMIENTOS!$E197)&gt;0,MOVIMIENTOS!$E197&amp;" "&amp;MOVIMIENTOS!$D197&amp;"  ","")&amp;IF(MOVIMIENTOS!$I197&lt;&gt;"",MOVIMIENTOS!$I197,""))</f>
        <v>55 sacos</v>
      </c>
      <c r="G119" s="77">
        <f>N(G117)+N(C119)-N(E119)</f>
        <v>9379</v>
      </c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</row>
    <row r="120" spans="1:20" ht="15" customHeight="1" x14ac:dyDescent="0.2">
      <c r="A120" s="78">
        <v>46231</v>
      </c>
      <c r="B120" s="79" t="s">
        <v>144</v>
      </c>
      <c r="C120" s="80"/>
      <c r="D120" s="80">
        <f>SUMPRODUCT((MOVIMIENTOS!$A$5:$A$428=DATE(2026,7,28))*(MOVIMIENTOS!$B$5:$B$428="PROCESO")*(MOVIMIENTOS!$C$5:$C$428&lt;&gt;"Chancho")*MOVIMIENTOS!$J$5:$J$428)</f>
        <v>3869</v>
      </c>
      <c r="E120" s="80"/>
      <c r="F120" s="79" t="s">
        <v>185</v>
      </c>
      <c r="G120" s="80">
        <f>N(G119)</f>
        <v>9379</v>
      </c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</row>
    <row r="121" spans="1:20" ht="33.75" customHeight="1" x14ac:dyDescent="0.2">
      <c r="A121" s="64">
        <v>46231</v>
      </c>
      <c r="B121" s="74" t="s">
        <v>146</v>
      </c>
      <c r="C121" s="65"/>
      <c r="D121" s="65">
        <f>N(MOVIMIENTOS!$J202)</f>
        <v>1406.5</v>
      </c>
      <c r="E121" s="65">
        <f>N(MOVIMIENTOS!$J202)</f>
        <v>1406.5</v>
      </c>
      <c r="F121" s="74" t="str">
        <f>TRIM(IF(MOVIMIENTOS!$G202&lt;&gt;"",MOVIMIENTOS!$G202&amp;"  ","")&amp;IF(N(MOVIMIENTOS!$E202)&gt;0,MOVIMIENTOS!$E202&amp;" "&amp;MOVIMIENTOS!$D202&amp;"  ","")&amp;IF(MOVIMIENTOS!$I202&lt;&gt;"",MOVIMIENTOS!$I202,""))</f>
        <v>14.5 sacos</v>
      </c>
      <c r="G121" s="65">
        <f>N(G120)+N(C121)-N(E121)</f>
        <v>7972.5</v>
      </c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</row>
    <row r="122" spans="1:20" ht="33.75" customHeight="1" x14ac:dyDescent="0.2">
      <c r="A122" s="64">
        <v>46231</v>
      </c>
      <c r="B122" s="74" t="s">
        <v>24</v>
      </c>
      <c r="C122" s="65"/>
      <c r="D122" s="65"/>
      <c r="E122" s="65">
        <f>N(MOVIMIENTOS!$J203)+N(MOVIMIENTOS!$J204)+N(MOVIMIENTOS!$J205)+N(MOVIMIENTOS!$J206)</f>
        <v>3379</v>
      </c>
      <c r="F122" s="74" t="s">
        <v>186</v>
      </c>
      <c r="G122" s="65">
        <f>N(G121)+N(C122)-N(E122)</f>
        <v>4593.5</v>
      </c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</row>
    <row r="123" spans="1:20" ht="33.75" customHeight="1" x14ac:dyDescent="0.2">
      <c r="A123" s="71">
        <v>46232</v>
      </c>
      <c r="B123" s="72" t="s">
        <v>140</v>
      </c>
      <c r="C123" s="73">
        <f>SUMPRODUCT((MOVIMIENTOS!$A$5:$A$428=DATE(2026,7,29))*(MOVIMIENTOS!$B$5:$B$428="COMPRA")*MOVIMIENTOS!$J$5:$J$428)</f>
        <v>0</v>
      </c>
      <c r="D123" s="73">
        <f>SUMPRODUCT((MOVIMIENTOS!$A$5:$A$428=DATE(2026,7,29))*(MOVIMIENTOS!$B$5:$B$428="PROCESO")*MOVIMIENTOS!$J$5:$J$428)</f>
        <v>0</v>
      </c>
      <c r="E123" s="73">
        <f>SUMPRODUCT((MOVIMIENTOS!$A$5:$A$428=DATE(2026,7,29))*((MOVIMIENTOS!$B$5:$B$428="ENVÍO A SUPESA")+(MOVIMIENTOS!$B$5:$B$428="ENVÍO A TOTTUS")+(MOVIMIENTOS!$B$5:$B$428="ENVIO A TOTTUS"))*MOVIMIENTOS!$J$5:$J$428)</f>
        <v>2794</v>
      </c>
      <c r="F123" s="72" t="str">
        <f>"Selección: "&amp;TEXT(SUMPRODUCT((MOVIMIENTOS!$A$5:$A$428=DATE(2026,7,29))*(MOVIMIENTOS!$B$5:$B$428="PROCESO")*(MOVIMIENTOS!$C$5:$C$428&lt;&gt;"Chancho")*MOVIMIENTOS!$J$5:$J$428),"#,##0")&amp;" kg  ·  Chancho: "&amp;TEXT(SUMPRODUCT((MOVIMIENTOS!$A$5:$A$428=DATE(2026,7,29))*(MOVIMIENTOS!$B$5:$B$428="PROCESO")*(MOVIMIENTOS!$C$5:$C$428="Chancho")*MOVIMIENTOS!$J$5:$J$428),"#,##0")&amp;" kg"&amp;IF(C123&gt;0,"  ·  "&amp;TEXT(D123/C123,"0%")&amp;" del ingreso","")</f>
        <v>Selección: 0 kg  ·  Chancho: 0 kg</v>
      </c>
      <c r="G123" s="73">
        <f>N(G125)</f>
        <v>1799.5</v>
      </c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</row>
    <row r="124" spans="1:20" ht="15" customHeight="1" x14ac:dyDescent="0.2">
      <c r="A124" s="64">
        <v>46232</v>
      </c>
      <c r="B124" s="74" t="s">
        <v>24</v>
      </c>
      <c r="C124" s="65"/>
      <c r="D124" s="65"/>
      <c r="E124" s="65">
        <f>N(MOVIMIENTOS!$J207)+N(MOVIMIENTOS!$J208)+N(MOVIMIENTOS!$J209)+N(MOVIMIENTOS!$J210)</f>
        <v>2794</v>
      </c>
      <c r="F124" s="74" t="s">
        <v>187</v>
      </c>
      <c r="G124" s="65">
        <f>N(G122)+N(C124)-N(E124)</f>
        <v>1799.5</v>
      </c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</row>
    <row r="125" spans="1:20" ht="33.75" customHeight="1" x14ac:dyDescent="0.2">
      <c r="A125" s="64">
        <v>46232</v>
      </c>
      <c r="B125" s="74" t="s">
        <v>29</v>
      </c>
      <c r="C125" s="65"/>
      <c r="D125" s="65"/>
      <c r="E125" s="65"/>
      <c r="F125" s="74" t="str">
        <f>TRIM(IF(MOVIMIENTOS!$G211&lt;&gt;"",MOVIMIENTOS!$G211&amp;"  ","")&amp;IF(N(MOVIMIENTOS!$E211)&gt;0,MOVIMIENTOS!$E211&amp;" "&amp;MOVIMIENTOS!$D211&amp;"  ","")&amp;IF(MOVIMIENTOS!$I211&lt;&gt;"",MOVIMIENTOS!$I211,""))</f>
        <v>TCK002-730 10 sacos</v>
      </c>
      <c r="G125" s="65">
        <f>N(G124)+N(C125)-N(E125)</f>
        <v>1799.5</v>
      </c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</row>
    <row r="126" spans="1:20" ht="33.75" customHeight="1" x14ac:dyDescent="0.2">
      <c r="A126" s="71">
        <v>46233</v>
      </c>
      <c r="B126" s="72" t="s">
        <v>140</v>
      </c>
      <c r="C126" s="73">
        <f>SUMPRODUCT((MOVIMIENTOS!$A$5:$A$428=DATE(2026,7,30))*(MOVIMIENTOS!$B$5:$B$428="COMPRA")*MOVIMIENTOS!$J$5:$J$428)</f>
        <v>2910</v>
      </c>
      <c r="D126" s="73">
        <f>SUMPRODUCT((MOVIMIENTOS!$A$5:$A$428=DATE(2026,7,30))*(MOVIMIENTOS!$B$5:$B$428="PROCESO")*MOVIMIENTOS!$J$5:$J$428)</f>
        <v>2988</v>
      </c>
      <c r="E126" s="73">
        <f>SUMPRODUCT((MOVIMIENTOS!$A$5:$A$428=DATE(2026,7,30))*((MOVIMIENTOS!$B$5:$B$428="ENVÍO A SUPESA")+(MOVIMIENTOS!$B$5:$B$428="ENVÍO A TOTTUS")+(MOVIMIENTOS!$B$5:$B$428="ENVIO A TOTTUS"))*MOVIMIENTOS!$J$5:$J$428)</f>
        <v>3294</v>
      </c>
      <c r="F126" s="72" t="str">
        <f>"Selección: "&amp;TEXT(SUMPRODUCT((MOVIMIENTOS!$A$5:$A$428=DATE(2026,7,30))*(MOVIMIENTOS!$B$5:$B$428="PROCESO")*(MOVIMIENTOS!$C$5:$C$428&lt;&gt;"Chancho")*MOVIMIENTOS!$J$5:$J$428),"#,##0")&amp;" kg  ·  Chancho: "&amp;TEXT(SUMPRODUCT((MOVIMIENTOS!$A$5:$A$428=DATE(2026,7,30))*(MOVIMIENTOS!$B$5:$B$428="PROCESO")*(MOVIMIENTOS!$C$5:$C$428="Chancho")*MOVIMIENTOS!$J$5:$J$428),"#,##0")&amp;" kg"&amp;IF(C126&gt;0,"  ·  "&amp;TEXT(D126/C126,"0%")&amp;" del ingreso","")</f>
        <v>Selección: 2,503 kg  ·  Chancho: 485 kg  ·  103% del ingreso</v>
      </c>
      <c r="G126" s="73">
        <f>N(G131)</f>
        <v>930.5</v>
      </c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</row>
    <row r="127" spans="1:20" ht="15" customHeight="1" x14ac:dyDescent="0.2">
      <c r="A127" s="75">
        <v>46233</v>
      </c>
      <c r="B127" s="76" t="s">
        <v>143</v>
      </c>
      <c r="C127" s="77">
        <f>N(MOVIMIENTOS!$J212)</f>
        <v>2910</v>
      </c>
      <c r="D127" s="77"/>
      <c r="E127" s="77"/>
      <c r="F127" s="76" t="str">
        <f>TRIM(IF(MOVIMIENTOS!$G212&lt;&gt;"",MOVIMIENTOS!$G212&amp;"  ","")&amp;IF(N(MOVIMIENTOS!$E212)&gt;0,MOVIMIENTOS!$E212&amp;" "&amp;MOVIMIENTOS!$D212&amp;"  ","")&amp;IF(MOVIMIENTOS!$I212&lt;&gt;"",MOVIMIENTOS!$I212,""))</f>
        <v>30 sacos se compró 100 sacos solo se procesó 30</v>
      </c>
      <c r="G127" s="77">
        <f>N(G125)+N(C127)-N(E127)</f>
        <v>4709.5</v>
      </c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</row>
    <row r="128" spans="1:20" ht="15" customHeight="1" x14ac:dyDescent="0.2">
      <c r="A128" s="78">
        <v>46233</v>
      </c>
      <c r="B128" s="79" t="s">
        <v>144</v>
      </c>
      <c r="C128" s="80"/>
      <c r="D128" s="80">
        <f>SUMPRODUCT((MOVIMIENTOS!$A$5:$A$428=DATE(2026,7,30))*(MOVIMIENTOS!$B$5:$B$428="PROCESO")*(MOVIMIENTOS!$C$5:$C$428&lt;&gt;"Chancho")*MOVIMIENTOS!$J$5:$J$428)</f>
        <v>2503</v>
      </c>
      <c r="E128" s="80"/>
      <c r="F128" s="79" t="s">
        <v>188</v>
      </c>
      <c r="G128" s="80">
        <f>N(G127)</f>
        <v>4709.5</v>
      </c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</row>
    <row r="129" spans="1:20" ht="33.75" customHeight="1" x14ac:dyDescent="0.2">
      <c r="A129" s="64">
        <v>46233</v>
      </c>
      <c r="B129" s="74" t="s">
        <v>146</v>
      </c>
      <c r="C129" s="65"/>
      <c r="D129" s="65">
        <f>N(MOVIMIENTOS!$J217)</f>
        <v>485</v>
      </c>
      <c r="E129" s="65">
        <f>N(MOVIMIENTOS!$J217)</f>
        <v>485</v>
      </c>
      <c r="F129" s="74" t="str">
        <f>TRIM(IF(MOVIMIENTOS!$G217&lt;&gt;"",MOVIMIENTOS!$G217&amp;"  ","")&amp;IF(N(MOVIMIENTOS!$E217)&gt;0,MOVIMIENTOS!$E217&amp;" "&amp;MOVIMIENTOS!$D217&amp;"  ","")&amp;IF(MOVIMIENTOS!$I217&lt;&gt;"",MOVIMIENTOS!$I217,""))</f>
        <v>5 sacos</v>
      </c>
      <c r="G129" s="65">
        <f>N(G128)+N(C129)-N(E129)</f>
        <v>4224.5</v>
      </c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</row>
    <row r="130" spans="1:20" ht="15" customHeight="1" x14ac:dyDescent="0.2">
      <c r="A130" s="64">
        <v>46233</v>
      </c>
      <c r="B130" s="74" t="s">
        <v>171</v>
      </c>
      <c r="C130" s="65"/>
      <c r="D130" s="65"/>
      <c r="E130" s="65"/>
      <c r="F130" s="74" t="str">
        <f>MOVIMIENTOS!$E218&amp;" jaba(s) movida(s) para completar otras · no resta del Stock Kg"</f>
        <v>1 jaba(s) movida(s) para completar otras · no resta del Stock Kg</v>
      </c>
      <c r="G130" s="65">
        <f>N(G129)+N(C130)-N(E130)</f>
        <v>4224.5</v>
      </c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</row>
    <row r="131" spans="1:20" ht="33.75" customHeight="1" x14ac:dyDescent="0.2">
      <c r="A131" s="64">
        <v>46233</v>
      </c>
      <c r="B131" s="74" t="s">
        <v>24</v>
      </c>
      <c r="C131" s="65"/>
      <c r="D131" s="65"/>
      <c r="E131" s="65">
        <f>N(MOVIMIENTOS!$J219)+N(MOVIMIENTOS!$J220)+N(MOVIMIENTOS!$J221)+N(MOVIMIENTOS!$J222)</f>
        <v>3294</v>
      </c>
      <c r="F131" s="74" t="s">
        <v>189</v>
      </c>
      <c r="G131" s="65">
        <f>N(G130)+N(C131)-N(E131)</f>
        <v>930.5</v>
      </c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</row>
    <row r="132" spans="1:20" ht="33.75" customHeight="1" x14ac:dyDescent="0.2">
      <c r="A132" s="71">
        <v>46234</v>
      </c>
      <c r="B132" s="72" t="s">
        <v>140</v>
      </c>
      <c r="C132" s="73">
        <f>SUMPRODUCT((MOVIMIENTOS!$A$5:$A$428=DATE(2026,7,31))*(MOVIMIENTOS!$B$5:$B$428="COMPRA")*MOVIMIENTOS!$J$5:$J$428)</f>
        <v>6790</v>
      </c>
      <c r="D132" s="73">
        <f>SUMPRODUCT((MOVIMIENTOS!$A$5:$A$428=DATE(2026,7,31))*(MOVIMIENTOS!$B$5:$B$428="PROCESO")*MOVIMIENTOS!$J$5:$J$428)</f>
        <v>6957.5</v>
      </c>
      <c r="E132" s="73">
        <f>SUMPRODUCT((MOVIMIENTOS!$A$5:$A$428=DATE(2026,7,31))*((MOVIMIENTOS!$B$5:$B$428="ENVÍO A SUPESA")+(MOVIMIENTOS!$B$5:$B$428="ENVÍO A TOTTUS")+(MOVIMIENTOS!$B$5:$B$428="ENVIO A TOTTUS"))*MOVIMIENTOS!$J$5:$J$428)</f>
        <v>3413</v>
      </c>
      <c r="F132" s="72" t="str">
        <f>"Selección: "&amp;TEXT(SUMPRODUCT((MOVIMIENTOS!$A$5:$A$428=DATE(2026,7,31))*(MOVIMIENTOS!$B$5:$B$428="PROCESO")*(MOVIMIENTOS!$C$5:$C$428&lt;&gt;"Chancho")*MOVIMIENTOS!$J$5:$J$428),"#,##0")&amp;" kg  ·  Chancho: "&amp;TEXT(SUMPRODUCT((MOVIMIENTOS!$A$5:$A$428=DATE(2026,7,31))*(MOVIMIENTOS!$B$5:$B$428="PROCESO")*(MOVIMIENTOS!$C$5:$C$428="Chancho")*MOVIMIENTOS!$J$5:$J$428),"#,##0")&amp;" kg"&amp;IF(C132&gt;0,"  ·  "&amp;TEXT(D132/C132,"0%")&amp;" del ingreso","")</f>
        <v>Selección: 5,551 kg  ·  Chancho: 1,407 kg  ·  102% del ingreso</v>
      </c>
      <c r="G132" s="73">
        <f>N(G137)</f>
        <v>2901</v>
      </c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</row>
    <row r="133" spans="1:20" ht="15" customHeight="1" x14ac:dyDescent="0.2">
      <c r="A133" s="75">
        <v>46234</v>
      </c>
      <c r="B133" s="76" t="s">
        <v>143</v>
      </c>
      <c r="C133" s="77">
        <f>N(MOVIMIENTOS!$J223)</f>
        <v>6790</v>
      </c>
      <c r="D133" s="77"/>
      <c r="E133" s="77"/>
      <c r="F133" s="76" t="str">
        <f>TRIM(IF(MOVIMIENTOS!$G223&lt;&gt;"",MOVIMIENTOS!$G223&amp;"  ","")&amp;IF(N(MOVIMIENTOS!$E223)&gt;0,MOVIMIENTOS!$E223&amp;" "&amp;MOVIMIENTOS!$D223&amp;"  ","")&amp;IF(MOVIMIENTOS!$I223&lt;&gt;"",MOVIMIENTOS!$I223,""))</f>
        <v>70 sacos Se compró el jue pero se va procesar vie</v>
      </c>
      <c r="G133" s="77">
        <f>N(G131)+N(C133)-N(E133)</f>
        <v>7720.5</v>
      </c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</row>
    <row r="134" spans="1:20" ht="15" customHeight="1" x14ac:dyDescent="0.2">
      <c r="A134" s="78">
        <v>46234</v>
      </c>
      <c r="B134" s="79" t="s">
        <v>144</v>
      </c>
      <c r="C134" s="80"/>
      <c r="D134" s="80">
        <f>SUMPRODUCT((MOVIMIENTOS!$A$5:$A$428=DATE(2026,7,31))*(MOVIMIENTOS!$B$5:$B$428="PROCESO")*(MOVIMIENTOS!$C$5:$C$428&lt;&gt;"Chancho")*MOVIMIENTOS!$J$5:$J$428)</f>
        <v>5551</v>
      </c>
      <c r="E134" s="80"/>
      <c r="F134" s="79" t="s">
        <v>190</v>
      </c>
      <c r="G134" s="80">
        <f>N(G133)</f>
        <v>7720.5</v>
      </c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</row>
    <row r="135" spans="1:20" ht="15" customHeight="1" x14ac:dyDescent="0.2">
      <c r="A135" s="64">
        <v>46234</v>
      </c>
      <c r="B135" s="74" t="s">
        <v>146</v>
      </c>
      <c r="C135" s="65"/>
      <c r="D135" s="65">
        <f>N(MOVIMIENTOS!$J228)</f>
        <v>1406.5</v>
      </c>
      <c r="E135" s="65">
        <f>N(MOVIMIENTOS!$J228)</f>
        <v>1406.5</v>
      </c>
      <c r="F135" s="74" t="str">
        <f>TRIM(IF(MOVIMIENTOS!$G228&lt;&gt;"",MOVIMIENTOS!$G228&amp;"  ","")&amp;IF(N(MOVIMIENTOS!$E228)&gt;0,MOVIMIENTOS!$E228&amp;" "&amp;MOVIMIENTOS!$D228&amp;"  ","")&amp;IF(MOVIMIENTOS!$I228&lt;&gt;"",MOVIMIENTOS!$I228,""))</f>
        <v>14.5 sacos</v>
      </c>
      <c r="G135" s="65">
        <f>N(G134)+N(C135)-N(E135)</f>
        <v>6314</v>
      </c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</row>
    <row r="136" spans="1:20" ht="15" customHeight="1" x14ac:dyDescent="0.2">
      <c r="A136" s="64">
        <v>46234</v>
      </c>
      <c r="B136" s="74" t="s">
        <v>24</v>
      </c>
      <c r="C136" s="65"/>
      <c r="D136" s="65"/>
      <c r="E136" s="65">
        <f>N(MOVIMIENTOS!$J229)+N(MOVIMIENTOS!$J230)+N(MOVIMIENTOS!$J231)+N(MOVIMIENTOS!$J232)</f>
        <v>3413</v>
      </c>
      <c r="F136" s="74" t="s">
        <v>189</v>
      </c>
      <c r="G136" s="65">
        <f>N(G135)+N(C136)-N(E136)</f>
        <v>2901</v>
      </c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</row>
    <row r="137" spans="1:20" ht="15" customHeight="1" x14ac:dyDescent="0.2">
      <c r="A137" s="64">
        <v>46234</v>
      </c>
      <c r="B137" s="74" t="s">
        <v>29</v>
      </c>
      <c r="C137" s="65"/>
      <c r="D137" s="65"/>
      <c r="E137" s="65"/>
      <c r="F137" s="74" t="str">
        <f>TRIM(IF(MOVIMIENTOS!$G233&lt;&gt;"",MOVIMIENTOS!$G233&amp;"  ","")&amp;IF(N(MOVIMIENTOS!$E233)&gt;0,MOVIMIENTOS!$E233&amp;" "&amp;MOVIMIENTOS!$D233&amp;"  ","")&amp;IF(MOVIMIENTOS!$I233&lt;&gt;"",MOVIMIENTOS!$I233,""))</f>
        <v>TCK002-733 8 sacos</v>
      </c>
      <c r="G137" s="65">
        <f>N(G136)+N(C137)-N(E137)</f>
        <v>2901</v>
      </c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</row>
    <row r="138" spans="1:20" ht="15" customHeight="1" x14ac:dyDescent="0.2">
      <c r="A138" s="64">
        <v>46235</v>
      </c>
      <c r="B138" s="74" t="s">
        <v>140</v>
      </c>
      <c r="C138" s="65">
        <f>SUMPRODUCT((MOVIMIENTOS!$A$5:$A$428=DATE(2026,8,1))*(MOVIMIENTOS!$B$5:$B$428="COMPRA")*MOVIMIENTOS!$J$5:$J$428)</f>
        <v>3850</v>
      </c>
      <c r="D138" s="65">
        <f>SUMPRODUCT((MOVIMIENTOS!$A$5:$A$428=DATE(2026,8,1))*(MOVIMIENTOS!$B$5:$B$428="PROCESO")*MOVIMIENTOS!$J$5:$J$428)</f>
        <v>3724</v>
      </c>
      <c r="E138" s="65">
        <f>SUMPRODUCT((MOVIMIENTOS!$A$5:$A$428=DATE(2026,8,1))*((MOVIMIENTOS!$B$5:$B$428="ENVÍO A SUPESA")+(MOVIMIENTOS!$B$5:$B$428="ENVÍO A TOTTUS")+(MOVIMIENTOS!$B$5:$B$428="ENVIO A TOTTUS"))*MOVIMIENTOS!$J$5:$J$428)</f>
        <v>3289</v>
      </c>
      <c r="F138" s="74" t="str">
        <f>"Selección: "&amp;TEXT(SUMPRODUCT((MOVIMIENTOS!$A$5:$A$428=DATE(2026,8,1))*(MOVIMIENTOS!$B$5:$B$428="PROCESO")*(MOVIMIENTOS!$C$5:$C$428&lt;&gt;"Chancho")*MOVIMIENTOS!$J$5:$J$428),"#,##0")&amp;" kg  ·  Chancho: "&amp;TEXT(SUMPRODUCT((MOVIMIENTOS!$A$5:$A$428=DATE(2026,8,1))*(MOVIMIENTOS!$B$5:$B$428="PROCESO")*(MOVIMIENTOS!$C$5:$C$428="Chancho")*MOVIMIENTOS!$J$5:$J$428),"#,##0")&amp;" kg"&amp;IF(C138&gt;0,"  ·  "&amp;TEXT(D138/C138,"0%")&amp;" del ingreso","")</f>
        <v>Selección: 2,948 kg  ·  Chancho: 776 kg  ·  97% del ingreso</v>
      </c>
      <c r="G138" s="65">
        <f>N(G143)</f>
        <v>2686</v>
      </c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</row>
    <row r="139" spans="1:20" ht="15" customHeight="1" x14ac:dyDescent="0.2">
      <c r="A139" s="64">
        <v>46235</v>
      </c>
      <c r="B139" s="74" t="s">
        <v>143</v>
      </c>
      <c r="C139" s="65">
        <f>N(MOVIMIENTOS!$J236)</f>
        <v>3850</v>
      </c>
      <c r="D139" s="65"/>
      <c r="E139" s="65"/>
      <c r="F139" s="74" t="str">
        <f>TRIM(IF(MOVIMIENTOS!$G236&lt;&gt;"",MOVIMIENTOS!$G236&amp;"  ","")&amp;IF(N(MOVIMIENTOS!$E236)&gt;0,MOVIMIENTOS!$E236&amp;" "&amp;MOVIMIENTOS!$D236&amp;"  ","")&amp;IF(MOVIMIENTOS!$I236&lt;&gt;"",MOVIMIENTOS!$I236,""))</f>
        <v>38 sacos Se compró 97 sacos, se procesó 37 y 60 domingo</v>
      </c>
      <c r="G139" s="65">
        <f>N(G137)+N(C139)-N(E139)</f>
        <v>6751</v>
      </c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</row>
    <row r="140" spans="1:20" ht="15" customHeight="1" x14ac:dyDescent="0.2">
      <c r="A140" s="64">
        <v>46235</v>
      </c>
      <c r="B140" s="74" t="s">
        <v>144</v>
      </c>
      <c r="C140" s="65"/>
      <c r="D140" s="65">
        <f>SUMPRODUCT((MOVIMIENTOS!$A$5:$A$428=DATE(2026,8,1))*(MOVIMIENTOS!$B$5:$B$428="PROCESO")*(MOVIMIENTOS!$C$5:$C$428&lt;&gt;"Chancho")*MOVIMIENTOS!$J$5:$J$428)</f>
        <v>2948</v>
      </c>
      <c r="E140" s="65"/>
      <c r="F140" s="74" t="s">
        <v>191</v>
      </c>
      <c r="G140" s="65">
        <f>N(G139)+N(C140)-N(E140)</f>
        <v>6751</v>
      </c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</row>
    <row r="141" spans="1:20" ht="15" customHeight="1" x14ac:dyDescent="0.2">
      <c r="A141" s="64">
        <v>46235</v>
      </c>
      <c r="B141" s="74" t="s">
        <v>146</v>
      </c>
      <c r="C141" s="65"/>
      <c r="D141" s="65">
        <f>N(MOVIMIENTOS!$J241)</f>
        <v>776</v>
      </c>
      <c r="E141" s="65">
        <f>N(MOVIMIENTOS!$J241)</f>
        <v>776</v>
      </c>
      <c r="F141" s="74" t="str">
        <f>TRIM(IF(MOVIMIENTOS!$G241&lt;&gt;"",MOVIMIENTOS!$G241&amp;"  ","")&amp;IF(N(MOVIMIENTOS!$E241)&gt;0,MOVIMIENTOS!$E241&amp;" "&amp;MOVIMIENTOS!$D241&amp;"  ","")&amp;IF(MOVIMIENTOS!$I241&lt;&gt;"",MOVIMIENTOS!$I241,""))</f>
        <v>8 sacos</v>
      </c>
      <c r="G141" s="65">
        <f>N(G140)+N(C141)-N(E141)</f>
        <v>5975</v>
      </c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</row>
    <row r="142" spans="1:20" ht="15" customHeight="1" x14ac:dyDescent="0.2">
      <c r="A142" s="64">
        <v>46235</v>
      </c>
      <c r="B142" s="74" t="s">
        <v>24</v>
      </c>
      <c r="C142" s="65"/>
      <c r="D142" s="65"/>
      <c r="E142" s="65">
        <f>N(MOVIMIENTOS!$J242)+N(MOVIMIENTOS!$J243)+N(MOVIMIENTOS!$J244)+N(MOVIMIENTOS!$J245)</f>
        <v>3289</v>
      </c>
      <c r="F142" s="74" t="s">
        <v>189</v>
      </c>
      <c r="G142" s="65">
        <f>N(G141)+N(C142)-N(E142)</f>
        <v>2686</v>
      </c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</row>
    <row r="143" spans="1:20" ht="33.75" customHeight="1" x14ac:dyDescent="0.2">
      <c r="A143" s="64">
        <v>46235</v>
      </c>
      <c r="B143" s="74" t="s">
        <v>29</v>
      </c>
      <c r="C143" s="65"/>
      <c r="D143" s="65"/>
      <c r="E143" s="65"/>
      <c r="F143" s="74" t="str">
        <f>TRIM(IF(MOVIMIENTOS!$G248&lt;&gt;"",MOVIMIENTOS!$G248&amp;"  ","")&amp;IF(N(MOVIMIENTOS!$E248)&gt;0,MOVIMIENTOS!$E248&amp;" "&amp;MOVIMIENTOS!$D248&amp;"  ","")&amp;IF(MOVIMIENTOS!$I248&lt;&gt;"",MOVIMIENTOS!$I248,""))</f>
        <v>TCK002-735 5 sacos -</v>
      </c>
      <c r="G143" s="65">
        <f>N(G142)+N(C143)-N(E143)</f>
        <v>2686</v>
      </c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</row>
    <row r="144" spans="1:20" ht="15" customHeight="1" x14ac:dyDescent="0.2">
      <c r="A144" s="64">
        <v>46236</v>
      </c>
      <c r="B144" s="74" t="s">
        <v>140</v>
      </c>
      <c r="C144" s="65">
        <f>SUMPRODUCT((MOVIMIENTOS!$A$5:$A$428=DATE(2026,8,2))*(MOVIMIENTOS!$B$5:$B$428="COMPRA")*MOVIMIENTOS!$J$5:$J$428)</f>
        <v>5965.82</v>
      </c>
      <c r="D144" s="65">
        <f>SUMPRODUCT((MOVIMIENTOS!$A$5:$A$428=DATE(2026,8,2))*(MOVIMIENTOS!$B$5:$B$428="PROCESO")*MOVIMIENTOS!$J$5:$J$428)</f>
        <v>5715.5</v>
      </c>
      <c r="E144" s="65">
        <f>SUMPRODUCT((MOVIMIENTOS!$A$5:$A$428=DATE(2026,8,2))*((MOVIMIENTOS!$B$5:$B$428="ENVÍO A SUPESA")+(MOVIMIENTOS!$B$5:$B$428="ENVÍO A TOTTUS")+(MOVIMIENTOS!$B$5:$B$428="ENVIO A TOTTUS"))*MOVIMIENTOS!$J$5:$J$428)</f>
        <v>1951</v>
      </c>
      <c r="F144" s="74" t="str">
        <f>"Selección: "&amp;TEXT(SUMPRODUCT((MOVIMIENTOS!$A$5:$A$428=DATE(2026,8,2))*(MOVIMIENTOS!$B$5:$B$428="PROCESO")*(MOVIMIENTOS!$C$5:$C$428&lt;&gt;"Chancho")*MOVIMIENTOS!$J$5:$J$428),"#,##0")&amp;" kg  ·  Chancho: "&amp;TEXT(SUMPRODUCT((MOVIMIENTOS!$A$5:$A$428=DATE(2026,8,2))*(MOVIMIENTOS!$B$5:$B$428="PROCESO")*(MOVIMIENTOS!$C$5:$C$428="Chancho")*MOVIMIENTOS!$J$5:$J$428),"#,##0")&amp;" kg"&amp;IF(C144&gt;0,"  ·  "&amp;TEXT(D144/C144,"0%")&amp;" del ingreso","")</f>
        <v>Selección: 4,697 kg  ·  Chancho: 1,019 kg  ·  96% del ingreso</v>
      </c>
      <c r="G144" s="65">
        <f>N(G150)</f>
        <v>5682.32</v>
      </c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</row>
    <row r="145" spans="1:20" ht="15" customHeight="1" x14ac:dyDescent="0.2">
      <c r="A145" s="64">
        <v>46236</v>
      </c>
      <c r="B145" s="74" t="s">
        <v>29</v>
      </c>
      <c r="C145" s="65"/>
      <c r="D145" s="65"/>
      <c r="E145" s="65"/>
      <c r="F145" s="74" t="str">
        <f>TRIM(IF(MOVIMIENTOS!$G249&lt;&gt;"",MOVIMIENTOS!$G249&amp;"  ","")&amp;IF(N(MOVIMIENTOS!$E249)&gt;0,MOVIMIENTOS!$E249&amp;" "&amp;MOVIMIENTOS!$D249&amp;"  ","")&amp;IF(MOVIMIENTOS!$I249&lt;&gt;"",MOVIMIENTOS!$I249,""))</f>
        <v>TCK002-736 5 sacos</v>
      </c>
      <c r="G145" s="65">
        <f>N(G143)+N(C145)-N(E145)</f>
        <v>2686</v>
      </c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</row>
    <row r="146" spans="1:20" ht="15" customHeight="1" x14ac:dyDescent="0.2">
      <c r="A146" s="64">
        <v>46236</v>
      </c>
      <c r="B146" s="74" t="s">
        <v>143</v>
      </c>
      <c r="C146" s="65">
        <f>N(MOVIMIENTOS!$J250)</f>
        <v>5965.82</v>
      </c>
      <c r="D146" s="65"/>
      <c r="E146" s="65"/>
      <c r="F146" s="74" t="str">
        <f>TRIM(IF(MOVIMIENTOS!$G250&lt;&gt;"",MOVIMIENTOS!$G250&amp;"  ","")&amp;IF(N(MOVIMIENTOS!$E250)&gt;0,MOVIMIENTOS!$E250&amp;" "&amp;MOVIMIENTOS!$D250&amp;"  ","")&amp;IF(MOVIMIENTOS!$I250&lt;&gt;"",MOVIMIENTOS!$I250,""))</f>
        <v>59 sacos PROCESO DE 60 SACOS, SALDO DE LOS 97</v>
      </c>
      <c r="G146" s="65">
        <f>N(G145)+N(C146)-N(E146)</f>
        <v>8651.82</v>
      </c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</row>
    <row r="147" spans="1:20" ht="15" customHeight="1" x14ac:dyDescent="0.2">
      <c r="A147" s="64">
        <v>46236</v>
      </c>
      <c r="B147" s="74" t="s">
        <v>144</v>
      </c>
      <c r="C147" s="65"/>
      <c r="D147" s="65">
        <f>SUMPRODUCT((MOVIMIENTOS!$A$5:$A$428=DATE(2026,8,2))*(MOVIMIENTOS!$B$5:$B$428="PROCESO")*(MOVIMIENTOS!$C$5:$C$428&lt;&gt;"Chancho")*MOVIMIENTOS!$J$5:$J$428)</f>
        <v>4697</v>
      </c>
      <c r="E147" s="65"/>
      <c r="F147" s="74" t="s">
        <v>192</v>
      </c>
      <c r="G147" s="65">
        <f>N(G146)+N(C147)-N(E147)</f>
        <v>8651.82</v>
      </c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</row>
    <row r="148" spans="1:20" ht="15" customHeight="1" x14ac:dyDescent="0.2">
      <c r="A148" s="64">
        <v>46236</v>
      </c>
      <c r="B148" s="74" t="s">
        <v>146</v>
      </c>
      <c r="C148" s="65"/>
      <c r="D148" s="65">
        <f>N(MOVIMIENTOS!$J255)</f>
        <v>1018.5</v>
      </c>
      <c r="E148" s="65">
        <f>N(MOVIMIENTOS!$J255)</f>
        <v>1018.5</v>
      </c>
      <c r="F148" s="74" t="str">
        <f>TRIM(IF(MOVIMIENTOS!$G255&lt;&gt;"",MOVIMIENTOS!$G255&amp;"  ","")&amp;IF(N(MOVIMIENTOS!$E255)&gt;0,MOVIMIENTOS!$E255&amp;" "&amp;MOVIMIENTOS!$D255&amp;"  ","")&amp;IF(MOVIMIENTOS!$I255&lt;&gt;"",MOVIMIENTOS!$I255,""))</f>
        <v>10.5 sacos</v>
      </c>
      <c r="G148" s="65">
        <f>N(G147)+N(C148)-N(E148)</f>
        <v>7633.32</v>
      </c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</row>
    <row r="149" spans="1:20" ht="15" customHeight="1" x14ac:dyDescent="0.2">
      <c r="A149" s="64">
        <v>46236</v>
      </c>
      <c r="B149" s="74" t="s">
        <v>24</v>
      </c>
      <c r="C149" s="65"/>
      <c r="D149" s="65"/>
      <c r="E149" s="65">
        <f>N(MOVIMIENTOS!$J256)+N(MOVIMIENTOS!$J257)+N(MOVIMIENTOS!$J258)+N(MOVIMIENTOS!$J259)</f>
        <v>1951</v>
      </c>
      <c r="F149" s="74" t="s">
        <v>189</v>
      </c>
      <c r="G149" s="65">
        <f>N(G148)+N(C149)-N(E149)</f>
        <v>5682.32</v>
      </c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</row>
    <row r="150" spans="1:20" ht="33.75" customHeight="1" x14ac:dyDescent="0.2">
      <c r="A150" s="64">
        <v>46236</v>
      </c>
      <c r="B150" s="74" t="s">
        <v>29</v>
      </c>
      <c r="C150" s="65"/>
      <c r="D150" s="65"/>
      <c r="E150" s="65"/>
      <c r="F150" s="74" t="str">
        <f>TRIM(IF(MOVIMIENTOS!$G262&lt;&gt;"",MOVIMIENTOS!$G262&amp;"  ","")&amp;IF(N(MOVIMIENTOS!$E262)&gt;0,MOVIMIENTOS!$E262&amp;" "&amp;MOVIMIENTOS!$D262&amp;"  ","")&amp;IF(MOVIMIENTOS!$I262&lt;&gt;"",MOVIMIENTOS!$I262,""))</f>
        <v>TCK002-737 12 sacos cancelado S/.180 recibió anthony en efectivo</v>
      </c>
      <c r="G150" s="65">
        <f>N(G149)+N(C150)-N(E150)</f>
        <v>5682.32</v>
      </c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</row>
    <row r="151" spans="1:20" ht="15" customHeight="1" x14ac:dyDescent="0.2">
      <c r="A151" s="64">
        <v>46237</v>
      </c>
      <c r="B151" s="74" t="s">
        <v>140</v>
      </c>
      <c r="C151" s="65">
        <f>SUMPRODUCT((MOVIMIENTOS!$A$5:$A$428=DATE(2026,8,3))*(MOVIMIENTOS!$B$5:$B$428="COMPRA")*MOVIMIENTOS!$J$5:$J$428)</f>
        <v>0</v>
      </c>
      <c r="D151" s="65">
        <f>SUMPRODUCT((MOVIMIENTOS!$A$5:$A$428=DATE(2026,8,3))*(MOVIMIENTOS!$B$5:$B$428="PROCESO")*MOVIMIENTOS!$J$5:$J$428)</f>
        <v>17</v>
      </c>
      <c r="E151" s="65">
        <f>SUMPRODUCT((MOVIMIENTOS!$A$5:$A$428=DATE(2026,8,3))*((MOVIMIENTOS!$B$5:$B$428="ENVÍO A SUPESA")+(MOVIMIENTOS!$B$5:$B$428="ENVÍO A TOTTUS")+(MOVIMIENTOS!$B$5:$B$428="ENVIO A TOTTUS"))*MOVIMIENTOS!$J$5:$J$428)</f>
        <v>3413</v>
      </c>
      <c r="F151" s="74" t="str">
        <f>"Selección: "&amp;TEXT(SUMPRODUCT((MOVIMIENTOS!$A$5:$A$428=DATE(2026,8,3))*(MOVIMIENTOS!$B$5:$B$428="PROCESO")*(MOVIMIENTOS!$C$5:$C$428&lt;&gt;"Chancho")*MOVIMIENTOS!$J$5:$J$428),"#,##0")&amp;" kg  ·  Chancho: "&amp;TEXT(SUMPRODUCT((MOVIMIENTOS!$A$5:$A$428=DATE(2026,8,3))*(MOVIMIENTOS!$B$5:$B$428="PROCESO")*(MOVIMIENTOS!$C$5:$C$428="Chancho")*MOVIMIENTOS!$J$5:$J$428),"#,##0")&amp;" kg"&amp;IF(C151&gt;0,"  ·  "&amp;TEXT(D151/C151,"0%")&amp;" del ingreso","")</f>
        <v>Selección: 17 kg  ·  Chancho: 0 kg</v>
      </c>
      <c r="G151" s="65">
        <f>N(G154)</f>
        <v>2569.3199999999997</v>
      </c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</row>
    <row r="152" spans="1:20" ht="15" customHeight="1" x14ac:dyDescent="0.2">
      <c r="A152" s="64">
        <v>46237</v>
      </c>
      <c r="B152" s="74" t="s">
        <v>193</v>
      </c>
      <c r="C152" s="65"/>
      <c r="D152" s="65"/>
      <c r="E152" s="65"/>
      <c r="F152" s="74" t="e">
        <f>MOVIMIENTOS!#REF!&amp;" jaba(s) de C recuperada(s) por reproceso · del rechazo de M y P (2 jabas) del 02/08 · no afecta Stock Kg"</f>
        <v>#REF!</v>
      </c>
      <c r="G152" s="65">
        <f>N(G150)+N(C152)-N(E152)</f>
        <v>5682.32</v>
      </c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</row>
    <row r="153" spans="1:20" ht="15" customHeight="1" x14ac:dyDescent="0.2">
      <c r="A153" s="64">
        <v>46237</v>
      </c>
      <c r="B153" s="74" t="s">
        <v>194</v>
      </c>
      <c r="C153" s="65">
        <f>N(MOVIMIENTOS!$J267)</f>
        <v>300</v>
      </c>
      <c r="D153" s="65"/>
      <c r="E153" s="65"/>
      <c r="F153" s="74" t="str">
        <f>MOVIMIENTOS!$E267&amp;"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65">
        <f>N(G152)+N(C153)-N(E153)</f>
        <v>5982.32</v>
      </c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</row>
    <row r="154" spans="1:20" ht="33.75" customHeight="1" x14ac:dyDescent="0.2">
      <c r="A154" s="64">
        <v>46237</v>
      </c>
      <c r="B154" s="74" t="s">
        <v>24</v>
      </c>
      <c r="C154" s="65"/>
      <c r="D154" s="65"/>
      <c r="E154" s="65">
        <f>N(MOVIMIENTOS!$J263)+N(MOVIMIENTOS!$J264)+N(MOVIMIENTOS!$J265)+N(MOVIMIENTOS!$J266)</f>
        <v>3413</v>
      </c>
      <c r="F154" s="74" t="s">
        <v>189</v>
      </c>
      <c r="G154" s="65">
        <f>N(G153)+N(C154)-N(E154)</f>
        <v>2569.3199999999997</v>
      </c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</row>
    <row r="155" spans="1:20" ht="15" customHeight="1" x14ac:dyDescent="0.2">
      <c r="A155" s="64">
        <v>46238</v>
      </c>
      <c r="B155" s="74" t="s">
        <v>140</v>
      </c>
      <c r="C155" s="65">
        <f>SUMPRODUCT((MOVIMIENTOS!$A$5:$A$428=DATE(2026,8,4))*(MOVIMIENTOS!$B$5:$B$428="COMPRA")*MOVIMIENTOS!$J$5:$J$428)</f>
        <v>3450</v>
      </c>
      <c r="D155" s="65">
        <f>SUMPRODUCT((MOVIMIENTOS!$A$5:$A$428=DATE(2026,8,4))*(MOVIMIENTOS!$B$5:$B$428="PROCESO")*MOVIMIENTOS!$J$5:$J$428)</f>
        <v>3447</v>
      </c>
      <c r="E155" s="65">
        <f>SUMPRODUCT((MOVIMIENTOS!$A$5:$A$428=DATE(2026,8,4))*((MOVIMIENTOS!$B$5:$B$428="ENVÍO A SUPESA")+(MOVIMIENTOS!$B$5:$B$428="ENVÍO A TOTTUS")+(MOVIMIENTOS!$B$5:$B$428="ENVIO A TOTTUS"))*MOVIMIENTOS!$J$5:$J$428)</f>
        <v>3413</v>
      </c>
      <c r="F155" s="74" t="str">
        <f>"Selección: "&amp;TEXT(SUMPRODUCT((MOVIMIENTOS!$A$5:$A$428=DATE(2026,8,4))*(MOVIMIENTOS!$B$5:$B$428="PROCESO")*(MOVIMIENTOS!$C$5:$C$428&lt;&gt;"Chancho")*MOVIMIENTOS!$J$5:$J$428),"#,##0")&amp;" kg  ·  Chancho: "&amp;TEXT(SUMPRODUCT((MOVIMIENTOS!$A$5:$A$428=DATE(2026,8,4))*(MOVIMIENTOS!$B$5:$B$428="PROCESO")*(MOVIMIENTOS!$C$5:$C$428="Chancho")*MOVIMIENTOS!$J$5:$J$428),"#,##0")&amp;" kg"&amp;IF(C155&gt;0,"  ·  "&amp;TEXT(D155/C155,"0%")&amp;" del ingreso","")</f>
        <v>Selección: 2,283 kg  ·  Chancho: 1,164 kg  ·  100% del ingreso</v>
      </c>
      <c r="G155" s="65">
        <f>N(G159)</f>
        <v>1442.3199999999997</v>
      </c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</row>
    <row r="156" spans="1:20" ht="15" customHeight="1" x14ac:dyDescent="0.2">
      <c r="A156" s="64">
        <v>46238</v>
      </c>
      <c r="B156" s="74" t="s">
        <v>143</v>
      </c>
      <c r="C156" s="65">
        <f>N(MOVIMIENTOS!$J268)</f>
        <v>3450</v>
      </c>
      <c r="D156" s="65"/>
      <c r="E156" s="65"/>
      <c r="F156" s="74" t="str">
        <f>TRIM(IF(MOVIMIENTOS!$G268&lt;&gt;"",MOVIMIENTOS!$G268&amp;"  ","")&amp;IF(N(MOVIMIENTOS!$E268)&gt;0,MOVIMIENTOS!$E268&amp;" "&amp;MOVIMIENTOS!$D268&amp;"  ","")&amp;IF(MOVIMIENTOS!$I268&lt;&gt;"",MOVIMIENTOS!$I268,""))</f>
        <v>34 sacos compra Florentino Castillón</v>
      </c>
      <c r="G156" s="65">
        <f>N(G154)+N(C156)-N(E156)</f>
        <v>6019.32</v>
      </c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</row>
    <row r="157" spans="1:20" ht="15" customHeight="1" x14ac:dyDescent="0.2">
      <c r="A157" s="64">
        <v>46238</v>
      </c>
      <c r="B157" s="74" t="s">
        <v>144</v>
      </c>
      <c r="C157" s="65"/>
      <c r="D157" s="65">
        <f>SUMPRODUCT((MOVIMIENTOS!$A$5:$A$428=DATE(2026,8,4))*(MOVIMIENTOS!$B$5:$B$428="PROCESO")*(MOVIMIENTOS!$C$5:$C$428&lt;&gt;"Chancho")*MOVIMIENTOS!$J$5:$J$428)</f>
        <v>2283</v>
      </c>
      <c r="E157" s="65"/>
      <c r="F157" s="74" t="s">
        <v>195</v>
      </c>
      <c r="G157" s="65">
        <f>N(G156)+N(C157)-N(E157)</f>
        <v>6019.32</v>
      </c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</row>
    <row r="158" spans="1:20" ht="15" customHeight="1" x14ac:dyDescent="0.2">
      <c r="A158" s="64">
        <v>46238</v>
      </c>
      <c r="B158" s="74" t="s">
        <v>146</v>
      </c>
      <c r="C158" s="65"/>
      <c r="D158" s="65">
        <f>N(MOVIMIENTOS!$J273)</f>
        <v>1164</v>
      </c>
      <c r="E158" s="65">
        <f>N(MOVIMIENTOS!$J273)</f>
        <v>1164</v>
      </c>
      <c r="F158" s="74" t="str">
        <f>TRIM(IF(MOVIMIENTOS!$G273&lt;&gt;"",MOVIMIENTOS!$G273&amp;"  ","")&amp;IF(N(MOVIMIENTOS!$E273)&gt;0,MOVIMIENTOS!$E273&amp;" "&amp;MOVIMIENTOS!$D273&amp;"  ","")&amp;IF(MOVIMIENTOS!$I273&lt;&gt;"",MOVIMIENTOS!$I273,""))</f>
        <v>12 sacos</v>
      </c>
      <c r="G158" s="65">
        <f>N(G157)+N(C158)-N(E158)</f>
        <v>4855.32</v>
      </c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</row>
    <row r="159" spans="1:20" ht="15" customHeight="1" x14ac:dyDescent="0.2">
      <c r="A159" s="64">
        <v>46238</v>
      </c>
      <c r="B159" s="74" t="s">
        <v>24</v>
      </c>
      <c r="C159" s="65"/>
      <c r="D159" s="65"/>
      <c r="E159" s="65">
        <f>N(MOVIMIENTOS!$J274)+N(MOVIMIENTOS!$J275)+N(MOVIMIENTOS!$J276)+N(MOVIMIENTOS!$J277)</f>
        <v>3413</v>
      </c>
      <c r="F159" s="74" t="s">
        <v>189</v>
      </c>
      <c r="G159" s="65">
        <f>N(G158)+N(C159)-N(E159)</f>
        <v>1442.3199999999997</v>
      </c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</row>
    <row r="160" spans="1:20" ht="15" customHeight="1" x14ac:dyDescent="0.2">
      <c r="A160" s="64">
        <v>46239</v>
      </c>
      <c r="B160" s="74" t="s">
        <v>140</v>
      </c>
      <c r="C160" s="65">
        <f>SUMPRODUCT((MOVIMIENTOS!$A$5:$A$422=DATE(2026,8,5))*(MOVIMIENTOS!$B$5:$B$422="COMPRA")*MOVIMIENTOS!$J$5:$J$422)</f>
        <v>5044</v>
      </c>
      <c r="D160" s="65">
        <f>SUMPRODUCT((MOVIMIENTOS!$A$5:$A$422=DATE(2026,8,5))*(MOVIMIENTOS!$B$5:$B$422="PROCESO")*MOVIMIENTOS!$J$5:$J$422)</f>
        <v>5361.5</v>
      </c>
      <c r="E160" s="65">
        <f>SUMPRODUCT((MOVIMIENTOS!$A$5:$A$422=DATE(2026,8,5))*((MOVIMIENTOS!$B$5:$B$422="ENVÍO A SUPESA")+(MOVIMIENTOS!$B$5:$B$422="ENVÍO A TOTTUS")+(MOVIMIENTOS!$B$5:$B$422="ENVIO A TOTTUS"))*MOVIMIENTOS!$J$5:$J$422)</f>
        <v>3158</v>
      </c>
      <c r="F160" s="74" t="str">
        <f>"Selección: "&amp;TEXT(SUMPRODUCT((MOVIMIENTOS!$A$5:$A$422=DATE(2026,8,5))*(MOVIMIENTOS!$B$5:$B$422="PROCESO")*(MOVIMIENTOS!$C$5:$C$422&lt;&gt;"Chancho")*MOVIMIENTOS!$J$5:$J$422),"#,##0")&amp;" kg  ·  Chancho: "&amp;TEXT(SUMPRODUCT((MOVIMIENTOS!$A$5:$A$422=DATE(2026,8,5))*(MOVIMIENTOS!$B$5:$B$422="PROCESO")*(MOVIMIENTOS!$C$5:$C$422="Chancho")*MOVIMIENTOS!$J$5:$J$422),"#,##0")&amp;" kg"&amp;IF(C160&gt;0,"  ·  "&amp;TEXT(D160/C160,"0%")&amp;" del ingreso","")</f>
        <v>Selección: 4,828 kg  ·  Chancho: 534 kg  ·  106% del ingreso</v>
      </c>
      <c r="G160" s="65">
        <f>N(G168)</f>
        <v>2794.8199999999997</v>
      </c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</row>
    <row r="161" spans="1:20" ht="15" customHeight="1" x14ac:dyDescent="0.2">
      <c r="A161" s="64">
        <v>46239</v>
      </c>
      <c r="B161" s="74" t="s">
        <v>143</v>
      </c>
      <c r="C161" s="65">
        <f>N(MOVIMIENTOS!$J278)</f>
        <v>5044</v>
      </c>
      <c r="D161" s="65"/>
      <c r="E161" s="65"/>
      <c r="F161" s="74" t="str">
        <f>TRIM(IF(MOVIMIENTOS!$G278&lt;&gt;"",MOVIMIENTOS!$G278&amp;"  ","")&amp;IF(N(MOVIMIENTOS!$E278)&gt;0,MOVIMIENTOS!$E278&amp;" "&amp;MOVIMIENTOS!$D278&amp;"  ","")&amp;IF(MOVIMIENTOS!$I278&lt;&gt;"",MOVIMIENTOS!$I278,""))</f>
        <v>52 sacos Compra de 100 sacos Jeison de la Cruz</v>
      </c>
      <c r="G161" s="65">
        <f>N(G159)+N(C161)-N(E161)</f>
        <v>6486.32</v>
      </c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</row>
    <row r="162" spans="1:20" ht="15" customHeight="1" x14ac:dyDescent="0.2">
      <c r="A162" s="64">
        <v>46239</v>
      </c>
      <c r="B162" s="74" t="s">
        <v>144</v>
      </c>
      <c r="C162" s="65"/>
      <c r="D162" s="65">
        <f>SUMPRODUCT((MOVIMIENTOS!$A$5:$A$422=DATE(2026,8,5))*(MOVIMIENTOS!$B$5:$B$422="PROCESO")*(MOVIMIENTOS!$C$5:$C$422&lt;&gt;"Chancho")*MOVIMIENTOS!$J$5:$J$422)</f>
        <v>4828</v>
      </c>
      <c r="E162" s="65"/>
      <c r="F162" s="74" t="s">
        <v>196</v>
      </c>
      <c r="G162" s="65">
        <f t="shared" ref="G162:G168" si="4">N(G161)+N(C162)-N(E162)</f>
        <v>6486.32</v>
      </c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</row>
    <row r="163" spans="1:20" ht="15" customHeight="1" x14ac:dyDescent="0.2">
      <c r="A163" s="64">
        <v>46239</v>
      </c>
      <c r="B163" s="74" t="s">
        <v>146</v>
      </c>
      <c r="C163" s="65"/>
      <c r="D163" s="65">
        <f>N(MOVIMIENTOS!$J283)</f>
        <v>533.5</v>
      </c>
      <c r="E163" s="65">
        <f>N(MOVIMIENTOS!$J283)</f>
        <v>533.5</v>
      </c>
      <c r="F163" s="74" t="str">
        <f>TRIM(IF(MOVIMIENTOS!$G283&lt;&gt;"",MOVIMIENTOS!$G283&amp;"  ","")&amp;IF(N(MOVIMIENTOS!$E283)&gt;0,MOVIMIENTOS!$E283&amp;" "&amp;MOVIMIENTOS!$D283&amp;"  ","")&amp;IF(MOVIMIENTOS!$I283&lt;&gt;"",MOVIMIENTOS!$I283,""))</f>
        <v>5.5 sacos</v>
      </c>
      <c r="G163" s="65">
        <f t="shared" si="4"/>
        <v>5952.82</v>
      </c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</row>
    <row r="164" spans="1:20" ht="15" customHeight="1" x14ac:dyDescent="0.2">
      <c r="A164" s="64">
        <v>46239</v>
      </c>
      <c r="B164" s="74" t="s">
        <v>24</v>
      </c>
      <c r="C164" s="65"/>
      <c r="D164" s="65"/>
      <c r="E164" s="65">
        <f>N(MOVIMIENTOS!$J284)+N(MOVIMIENTOS!$J285)+N(MOVIMIENTOS!$J286)+N(MOVIMIENTOS!$J287)</f>
        <v>3158</v>
      </c>
      <c r="F164" s="74" t="s">
        <v>189</v>
      </c>
      <c r="G164" s="65">
        <f t="shared" si="4"/>
        <v>2794.8199999999997</v>
      </c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</row>
    <row r="165" spans="1:20" ht="33.75" customHeight="1" x14ac:dyDescent="0.2">
      <c r="A165" s="64">
        <v>46239</v>
      </c>
      <c r="B165" s="74" t="s">
        <v>29</v>
      </c>
      <c r="C165" s="65"/>
      <c r="D165" s="65"/>
      <c r="E165" s="65"/>
      <c r="F165" s="74" t="str">
        <f>TRIM(IF(MOVIMIENTOS!$G288&lt;&gt;"",MOVIMIENTOS!$G288&amp;"  ","")&amp;IF(N(MOVIMIENTOS!$E288)&gt;0,MOVIMIENTOS!$E288&amp;" "&amp;MOVIMIENTOS!$D288&amp;"  ","")&amp;IF(MOVIMIENTOS!$I288&lt;&gt;"",MOVIMIENTOS!$I288,""))</f>
        <v>TCK002-739 2 sacos</v>
      </c>
      <c r="G165" s="65">
        <f t="shared" si="4"/>
        <v>2794.8199999999997</v>
      </c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</row>
    <row r="166" spans="1:20" ht="15" customHeight="1" x14ac:dyDescent="0.2">
      <c r="A166" s="64">
        <v>46239</v>
      </c>
      <c r="B166" s="74" t="s">
        <v>29</v>
      </c>
      <c r="C166" s="65"/>
      <c r="D166" s="65"/>
      <c r="E166" s="65"/>
      <c r="F166" s="74" t="str">
        <f>TRIM(IF(MOVIMIENTOS!$G289&lt;&gt;"",MOVIMIENTOS!$G289&amp;"  ","")&amp;IF(N(MOVIMIENTOS!$E289)&gt;0,MOVIMIENTOS!$E289&amp;" "&amp;MOVIMIENTOS!$D289&amp;"  ","")&amp;IF(MOVIMIENTOS!$I289&lt;&gt;"",MOVIMIENTOS!$I289,""))</f>
        <v>TCK002-743 2 sacos</v>
      </c>
      <c r="G166" s="65">
        <f t="shared" si="4"/>
        <v>2794.8199999999997</v>
      </c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</row>
    <row r="167" spans="1:20" ht="15" customHeight="1" x14ac:dyDescent="0.2">
      <c r="A167" s="64">
        <v>46239</v>
      </c>
      <c r="B167" s="74" t="s">
        <v>29</v>
      </c>
      <c r="C167" s="65"/>
      <c r="D167" s="65"/>
      <c r="E167" s="65"/>
      <c r="F167" s="74" t="str">
        <f>TRIM(IF(MOVIMIENTOS!$G290&lt;&gt;"",MOVIMIENTOS!$G290&amp;"  ","")&amp;IF(N(MOVIMIENTOS!$E290)&gt;0,MOVIMIENTOS!$E290&amp;" "&amp;MOVIMIENTOS!$D290&amp;"  ","")&amp;IF(MOVIMIENTOS!$I290&lt;&gt;"",MOVIMIENTOS!$I290,""))</f>
        <v>TCK002-741 15 sacos Total 21 sacos</v>
      </c>
      <c r="G167" s="65">
        <f t="shared" si="4"/>
        <v>2794.8199999999997</v>
      </c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</row>
    <row r="168" spans="1:20" ht="15" customHeight="1" x14ac:dyDescent="0.2">
      <c r="A168" s="64">
        <v>46239</v>
      </c>
      <c r="B168" s="74" t="s">
        <v>29</v>
      </c>
      <c r="C168" s="65"/>
      <c r="D168" s="65"/>
      <c r="E168" s="65"/>
      <c r="F168" s="74" t="str">
        <f>TRIM(IF(MOVIMIENTOS!$G291&lt;&gt;"",MOVIMIENTOS!$G291&amp;"  ","")&amp;IF(N(MOVIMIENTOS!$E291)&gt;0,MOVIMIENTOS!$E291&amp;" "&amp;MOVIMIENTOS!$D291&amp;"  ","")&amp;IF(MOVIMIENTOS!$I291&lt;&gt;"",MOVIMIENTOS!$I291,""))</f>
        <v>FALTA 1 sacos FALTA</v>
      </c>
      <c r="G168" s="65">
        <f t="shared" si="4"/>
        <v>2794.8199999999997</v>
      </c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</row>
    <row r="169" spans="1:20" ht="15" customHeight="1" x14ac:dyDescent="0.2">
      <c r="A169" s="64">
        <v>46240</v>
      </c>
      <c r="B169" s="74" t="s">
        <v>140</v>
      </c>
      <c r="C169" s="65">
        <f>SUMPRODUCT((MOVIMIENTOS!$A$5:$A$420=DATE(2026,8,6))*(MOVIMIENTOS!$B$5:$B$420="COMPRA")*MOVIMIENTOS!$J$5:$J$420)</f>
        <v>4656</v>
      </c>
      <c r="D169" s="65">
        <f>SUMPRODUCT((MOVIMIENTOS!$A$5:$A$420=DATE(2026,8,6))*(MOVIMIENTOS!$B$5:$B$420="PROCESO")*MOVIMIENTOS!$J$5:$J$420)</f>
        <v>4716.5</v>
      </c>
      <c r="E169" s="65">
        <f>SUMPRODUCT((MOVIMIENTOS!$A$5:$A$420=DATE(2026,8,6))*((MOVIMIENTOS!$B$5:$B$420="ENVÍO A SUPESA")+(MOVIMIENTOS!$B$5:$B$420="ENVÍO A TOTTUS")+(MOVIMIENTOS!$B$5:$B$420="ENVIO A TOTTUS"))*MOVIMIENTOS!$J$5:$J$420)</f>
        <v>3413</v>
      </c>
      <c r="F169" s="74" t="str">
        <f>"Selección: "&amp;TEXT(SUMPRODUCT((MOVIMIENTOS!$A$5:$A$420=DATE(2026,8,6))*(MOVIMIENTOS!$B$5:$B$420="PROCESO")*(MOVIMIENTOS!$C$5:$C$420&lt;&gt;"Chancho")*MOVIMIENTOS!$J$5:$J$420),"#,##0")&amp;" kg  ·  Chancho: "&amp;TEXT(SUMPRODUCT((MOVIMIENTOS!$A$5:$A$420=DATE(2026,8,6))*(MOVIMIENTOS!$B$5:$B$420="PROCESO")*(MOVIMIENTOS!$C$5:$C$420="Chancho")*MOVIMIENTOS!$J$5:$J$420),"#,##0")&amp;" kg"&amp;IF(C169&gt;0,"  ·  "&amp;TEXT(D169/C169,"0%")&amp;" del ingreso","")</f>
        <v>Selección: 4,086 kg  ·  Chancho: 631 kg  ·  101% del ingreso</v>
      </c>
      <c r="G169" s="65">
        <f>N(G174)</f>
        <v>3407.3199999999997</v>
      </c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</row>
    <row r="170" spans="1:20" ht="15" customHeight="1" x14ac:dyDescent="0.2">
      <c r="A170" s="64">
        <v>46240</v>
      </c>
      <c r="B170" s="74" t="s">
        <v>143</v>
      </c>
      <c r="C170" s="65">
        <f>N(MOVIMIENTOS!$J294)</f>
        <v>4656</v>
      </c>
      <c r="D170" s="65"/>
      <c r="E170" s="65"/>
      <c r="F170" s="74" t="str">
        <f>TRIM(IF(MOVIMIENTOS!$G294&lt;&gt;"",MOVIMIENTOS!$G294&amp;"  ","")&amp;IF(N(MOVIMIENTOS!$E294)&gt;0,MOVIMIENTOS!$E294&amp;" "&amp;MOVIMIENTOS!$D294&amp;"  ","")&amp;IF(MOVIMIENTOS!$I294&lt;&gt;"",MOVIMIENTOS!$I294,""))</f>
        <v>48 sacos Diferencia de los 100 sacos comprados el dia mie05</v>
      </c>
      <c r="G170" s="65">
        <f>N(G168)+N(C170)-N(E170)</f>
        <v>7450.82</v>
      </c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</row>
    <row r="171" spans="1:20" ht="15" customHeight="1" x14ac:dyDescent="0.2">
      <c r="A171" s="64">
        <v>46240</v>
      </c>
      <c r="B171" s="74" t="s">
        <v>144</v>
      </c>
      <c r="C171" s="65"/>
      <c r="D171" s="65">
        <f>SUMPRODUCT((MOVIMIENTOS!$A$5:$A$420=DATE(2026,8,6))*(MOVIMIENTOS!$B$5:$B$420="PROCESO")*(MOVIMIENTOS!$C$5:$C$420&lt;&gt;"Chancho")*MOVIMIENTOS!$J$5:$J$420)</f>
        <v>4086</v>
      </c>
      <c r="E171" s="65"/>
      <c r="F171" s="74" t="s">
        <v>197</v>
      </c>
      <c r="G171" s="65">
        <f>N(G170)+N(C171)-N(E171)</f>
        <v>7450.82</v>
      </c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</row>
    <row r="172" spans="1:20" ht="15" customHeight="1" x14ac:dyDescent="0.2">
      <c r="A172" s="64">
        <v>46240</v>
      </c>
      <c r="B172" s="74" t="s">
        <v>146</v>
      </c>
      <c r="C172" s="65"/>
      <c r="D172" s="65">
        <f>N(MOVIMIENTOS!$J299)</f>
        <v>630.5</v>
      </c>
      <c r="E172" s="65">
        <f>N(MOVIMIENTOS!$J299)</f>
        <v>630.5</v>
      </c>
      <c r="F172" s="74" t="str">
        <f>TRIM(IF(MOVIMIENTOS!$G299&lt;&gt;"",MOVIMIENTOS!$G299&amp;"  ","")&amp;IF(N(MOVIMIENTOS!$E299)&gt;0,MOVIMIENTOS!$E299&amp;" "&amp;MOVIMIENTOS!$D299&amp;"  ","")&amp;IF(MOVIMIENTOS!$I299&lt;&gt;"",MOVIMIENTOS!$I299,""))</f>
        <v>6.5 sacos</v>
      </c>
      <c r="G172" s="65">
        <f>N(G171)+N(C172)-N(E172)</f>
        <v>6820.32</v>
      </c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</row>
    <row r="173" spans="1:20" ht="33.75" customHeight="1" x14ac:dyDescent="0.2">
      <c r="A173" s="64">
        <v>46240</v>
      </c>
      <c r="B173" s="74" t="s">
        <v>24</v>
      </c>
      <c r="C173" s="65"/>
      <c r="D173" s="65"/>
      <c r="E173" s="65">
        <f>N(MOVIMIENTOS!$J300)+N(MOVIMIENTOS!$J301)+N(MOVIMIENTOS!$J302)+N(MOVIMIENTOS!$J303)</f>
        <v>3413</v>
      </c>
      <c r="F173" s="74" t="s">
        <v>189</v>
      </c>
      <c r="G173" s="65">
        <f>N(G172)+N(C173)-N(E173)</f>
        <v>3407.3199999999997</v>
      </c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</row>
    <row r="174" spans="1:20" ht="15" customHeight="1" x14ac:dyDescent="0.2">
      <c r="A174" s="64">
        <v>46240</v>
      </c>
      <c r="B174" s="74" t="s">
        <v>29</v>
      </c>
      <c r="C174" s="65"/>
      <c r="D174" s="65"/>
      <c r="E174" s="65"/>
      <c r="F174" s="74" t="str">
        <f>TRIM(IF(MOVIMIENTOS!$G304&lt;&gt;"",MOVIMIENTOS!$G304&amp;"  ","")&amp;IF(N(MOVIMIENTOS!$E304)&gt;0,MOVIMIENTOS!$E304&amp;" "&amp;MOVIMIENTOS!$D304&amp;"  ","")&amp;IF(MOVIMIENTOS!$I304&lt;&gt;"",MOVIMIENTOS!$I304,""))</f>
        <v>TCK002-740 17 sacos</v>
      </c>
      <c r="G174" s="65">
        <f>N(G173)+N(C174)-N(E174)</f>
        <v>3407.3199999999997</v>
      </c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</row>
    <row r="175" spans="1:20" ht="15" customHeight="1" x14ac:dyDescent="0.2">
      <c r="A175" s="64"/>
      <c r="B175" s="74"/>
      <c r="C175" s="65"/>
      <c r="D175" s="65"/>
      <c r="E175" s="65"/>
      <c r="F175" s="74"/>
      <c r="G175" s="65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</row>
    <row r="176" spans="1:20" ht="15" customHeight="1" x14ac:dyDescent="0.2">
      <c r="A176" s="64"/>
      <c r="B176" s="74"/>
      <c r="C176" s="65"/>
      <c r="D176" s="65"/>
      <c r="E176" s="65"/>
      <c r="F176" s="74"/>
      <c r="G176" s="65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</row>
    <row r="177" spans="1:20" ht="15" customHeight="1" x14ac:dyDescent="0.2">
      <c r="A177" s="64"/>
      <c r="B177" s="74"/>
      <c r="C177" s="65"/>
      <c r="D177" s="65"/>
      <c r="E177" s="65"/>
      <c r="F177" s="74"/>
      <c r="G177" s="65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</row>
    <row r="178" spans="1:20" ht="15" customHeight="1" x14ac:dyDescent="0.2">
      <c r="A178" s="64"/>
      <c r="B178" s="74"/>
      <c r="C178" s="65"/>
      <c r="D178" s="65"/>
      <c r="E178" s="65"/>
      <c r="F178" s="74"/>
      <c r="G178" s="65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</row>
    <row r="179" spans="1:20" ht="15" customHeight="1" x14ac:dyDescent="0.2">
      <c r="A179" s="64"/>
      <c r="B179" s="74"/>
      <c r="C179" s="65"/>
      <c r="D179" s="65"/>
      <c r="E179" s="65"/>
      <c r="F179" s="74"/>
      <c r="G179" s="65"/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</row>
    <row r="180" spans="1:20" ht="15" customHeight="1" x14ac:dyDescent="0.2">
      <c r="A180" s="64"/>
      <c r="B180" s="74"/>
      <c r="C180" s="65"/>
      <c r="D180" s="65"/>
      <c r="E180" s="65"/>
      <c r="F180" s="74"/>
      <c r="G180" s="65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</row>
    <row r="181" spans="1:20" ht="15" customHeight="1" x14ac:dyDescent="0.2">
      <c r="A181" s="64"/>
      <c r="B181" s="74"/>
      <c r="C181" s="65"/>
      <c r="D181" s="65"/>
      <c r="E181" s="65"/>
      <c r="F181" s="74"/>
      <c r="G181" s="65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</row>
    <row r="182" spans="1:20" ht="15" customHeight="1" x14ac:dyDescent="0.2">
      <c r="A182" s="64"/>
      <c r="B182" s="74"/>
      <c r="C182" s="65"/>
      <c r="D182" s="65"/>
      <c r="E182" s="65"/>
      <c r="F182" s="74"/>
      <c r="G182" s="65"/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</row>
    <row r="183" spans="1:20" ht="15" customHeight="1" x14ac:dyDescent="0.2">
      <c r="A183" s="64"/>
      <c r="B183" s="74"/>
      <c r="C183" s="65"/>
      <c r="D183" s="65"/>
      <c r="E183" s="65"/>
      <c r="F183" s="74"/>
      <c r="G183" s="65"/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</row>
    <row r="184" spans="1:20" ht="15" customHeight="1" x14ac:dyDescent="0.2">
      <c r="A184" s="64"/>
      <c r="B184" s="74"/>
      <c r="C184" s="65"/>
      <c r="D184" s="65"/>
      <c r="E184" s="65"/>
      <c r="F184" s="74"/>
      <c r="G184" s="65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</row>
    <row r="185" spans="1:20" ht="15" customHeight="1" x14ac:dyDescent="0.2">
      <c r="A185" s="64"/>
      <c r="B185" s="74"/>
      <c r="C185" s="65"/>
      <c r="D185" s="65"/>
      <c r="E185" s="65"/>
      <c r="F185" s="74"/>
      <c r="G185" s="65"/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</row>
    <row r="186" spans="1:20" ht="15" customHeight="1" x14ac:dyDescent="0.2">
      <c r="A186" s="64"/>
      <c r="B186" s="74"/>
      <c r="C186" s="65"/>
      <c r="D186" s="65"/>
      <c r="E186" s="65"/>
      <c r="F186" s="74"/>
      <c r="G186" s="65"/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</row>
    <row r="187" spans="1:20" ht="15" customHeight="1" x14ac:dyDescent="0.2">
      <c r="A187" s="64"/>
      <c r="B187" s="74"/>
      <c r="C187" s="65"/>
      <c r="D187" s="65"/>
      <c r="E187" s="65"/>
      <c r="F187" s="74"/>
      <c r="G187" s="65"/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</row>
    <row r="188" spans="1:20" ht="15" customHeight="1" x14ac:dyDescent="0.2">
      <c r="A188" s="64"/>
      <c r="B188" s="74"/>
      <c r="C188" s="65"/>
      <c r="D188" s="65"/>
      <c r="E188" s="65"/>
      <c r="F188" s="74"/>
      <c r="G188" s="65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</row>
    <row r="189" spans="1:20" ht="15" customHeight="1" x14ac:dyDescent="0.2">
      <c r="A189" s="64"/>
      <c r="B189" s="74"/>
      <c r="C189" s="65"/>
      <c r="D189" s="65"/>
      <c r="E189" s="65"/>
      <c r="F189" s="74"/>
      <c r="G189" s="65"/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</row>
    <row r="190" spans="1:20" ht="15" customHeight="1" x14ac:dyDescent="0.2">
      <c r="A190" s="64"/>
      <c r="B190" s="74"/>
      <c r="C190" s="65"/>
      <c r="D190" s="65"/>
      <c r="E190" s="65"/>
      <c r="F190" s="74"/>
      <c r="G190" s="65"/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</row>
    <row r="191" spans="1:20" ht="15" customHeight="1" x14ac:dyDescent="0.2">
      <c r="A191" s="64"/>
      <c r="B191" s="74"/>
      <c r="C191" s="65"/>
      <c r="D191" s="65"/>
      <c r="E191" s="65"/>
      <c r="F191" s="74"/>
      <c r="G191" s="65"/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</row>
    <row r="192" spans="1:20" ht="15" customHeight="1" x14ac:dyDescent="0.2">
      <c r="A192" s="64"/>
      <c r="B192" s="74"/>
      <c r="C192" s="65"/>
      <c r="D192" s="65"/>
      <c r="E192" s="65"/>
      <c r="F192" s="74"/>
      <c r="G192" s="65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</row>
    <row r="193" spans="1:20" ht="15" customHeight="1" x14ac:dyDescent="0.2">
      <c r="A193" s="64"/>
      <c r="B193" s="74"/>
      <c r="C193" s="65"/>
      <c r="D193" s="65"/>
      <c r="E193" s="65"/>
      <c r="F193" s="74"/>
      <c r="G193" s="65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</row>
    <row r="194" spans="1:20" ht="15" customHeight="1" x14ac:dyDescent="0.2">
      <c r="A194" s="64"/>
      <c r="B194" s="74"/>
      <c r="C194" s="65"/>
      <c r="D194" s="65"/>
      <c r="E194" s="65"/>
      <c r="F194" s="74"/>
      <c r="G194" s="65"/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</row>
    <row r="195" spans="1:20" ht="15" customHeight="1" x14ac:dyDescent="0.2">
      <c r="A195" s="64"/>
      <c r="B195" s="74"/>
      <c r="C195" s="65"/>
      <c r="D195" s="65"/>
      <c r="E195" s="65"/>
      <c r="F195" s="74"/>
      <c r="G195" s="65"/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</row>
    <row r="196" spans="1:20" ht="15" customHeight="1" x14ac:dyDescent="0.2">
      <c r="A196" s="64"/>
      <c r="B196" s="74"/>
      <c r="C196" s="65"/>
      <c r="D196" s="65"/>
      <c r="E196" s="65"/>
      <c r="F196" s="74"/>
      <c r="G196" s="65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</row>
    <row r="197" spans="1:20" ht="15" customHeight="1" x14ac:dyDescent="0.2">
      <c r="A197" s="64"/>
      <c r="B197" s="74"/>
      <c r="C197" s="65"/>
      <c r="D197" s="65"/>
      <c r="E197" s="65"/>
      <c r="F197" s="74"/>
      <c r="G197" s="65"/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</row>
    <row r="198" spans="1:20" ht="15" customHeight="1" x14ac:dyDescent="0.2">
      <c r="A198" s="64"/>
      <c r="B198" s="74"/>
      <c r="C198" s="65"/>
      <c r="D198" s="65"/>
      <c r="E198" s="65"/>
      <c r="F198" s="74"/>
      <c r="G198" s="65"/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</row>
    <row r="199" spans="1:20" ht="15" customHeight="1" x14ac:dyDescent="0.2">
      <c r="A199" s="64"/>
      <c r="B199" s="74"/>
      <c r="C199" s="65"/>
      <c r="D199" s="65"/>
      <c r="E199" s="65"/>
      <c r="F199" s="74"/>
      <c r="G199" s="65"/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</row>
    <row r="200" spans="1:20" ht="15" customHeight="1" x14ac:dyDescent="0.2">
      <c r="A200" s="64"/>
      <c r="B200" s="74"/>
      <c r="C200" s="65"/>
      <c r="D200" s="65"/>
      <c r="E200" s="65"/>
      <c r="F200" s="74"/>
      <c r="G200" s="65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</row>
    <row r="201" spans="1:20" ht="15" customHeight="1" x14ac:dyDescent="0.2">
      <c r="A201" s="64"/>
      <c r="B201" s="74"/>
      <c r="C201" s="65"/>
      <c r="D201" s="65"/>
      <c r="E201" s="65"/>
      <c r="F201" s="74"/>
      <c r="G201" s="65"/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</row>
    <row r="202" spans="1:20" ht="15" customHeight="1" x14ac:dyDescent="0.2">
      <c r="A202" s="64"/>
      <c r="B202" s="74"/>
      <c r="C202" s="65"/>
      <c r="D202" s="65"/>
      <c r="E202" s="65"/>
      <c r="F202" s="74"/>
      <c r="G202" s="65"/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</row>
    <row r="203" spans="1:20" ht="15" customHeight="1" x14ac:dyDescent="0.2">
      <c r="A203" s="64"/>
      <c r="B203" s="74"/>
      <c r="C203" s="65"/>
      <c r="D203" s="65"/>
      <c r="E203" s="65"/>
      <c r="F203" s="74"/>
      <c r="G203" s="65"/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</row>
    <row r="204" spans="1:20" ht="15" customHeight="1" x14ac:dyDescent="0.2">
      <c r="A204" s="64"/>
      <c r="B204" s="74"/>
      <c r="C204" s="65"/>
      <c r="D204" s="65"/>
      <c r="E204" s="65"/>
      <c r="F204" s="74"/>
      <c r="G204" s="65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</row>
    <row r="205" spans="1:20" ht="15" customHeight="1" x14ac:dyDescent="0.2">
      <c r="A205" s="64"/>
      <c r="B205" s="74"/>
      <c r="C205" s="65"/>
      <c r="D205" s="65"/>
      <c r="E205" s="65"/>
      <c r="F205" s="74"/>
      <c r="G205" s="65"/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</row>
    <row r="206" spans="1:20" ht="15" customHeight="1" x14ac:dyDescent="0.2">
      <c r="A206" s="64"/>
      <c r="B206" s="74"/>
      <c r="C206" s="65"/>
      <c r="D206" s="65"/>
      <c r="E206" s="65"/>
      <c r="F206" s="74"/>
      <c r="G206" s="65"/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</row>
    <row r="207" spans="1:20" ht="15" customHeight="1" x14ac:dyDescent="0.2">
      <c r="A207" s="64"/>
      <c r="B207" s="74"/>
      <c r="C207" s="65"/>
      <c r="D207" s="65"/>
      <c r="E207" s="65"/>
      <c r="F207" s="74"/>
      <c r="G207" s="65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</row>
    <row r="208" spans="1:20" ht="15" customHeight="1" x14ac:dyDescent="0.2">
      <c r="A208" s="64"/>
      <c r="B208" s="74"/>
      <c r="C208" s="65"/>
      <c r="D208" s="65"/>
      <c r="E208" s="65"/>
      <c r="F208" s="74"/>
      <c r="G208" s="65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</row>
    <row r="209" spans="1:20" ht="15" customHeight="1" x14ac:dyDescent="0.2">
      <c r="A209" s="64"/>
      <c r="B209" s="74"/>
      <c r="C209" s="65"/>
      <c r="D209" s="65"/>
      <c r="E209" s="65"/>
      <c r="F209" s="74"/>
      <c r="G209" s="65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</row>
    <row r="210" spans="1:20" ht="15" customHeight="1" x14ac:dyDescent="0.2">
      <c r="A210" s="64"/>
      <c r="B210" s="74"/>
      <c r="C210" s="65"/>
      <c r="D210" s="65"/>
      <c r="E210" s="65"/>
      <c r="F210" s="74"/>
      <c r="G210" s="65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</row>
    <row r="211" spans="1:20" ht="15" customHeight="1" x14ac:dyDescent="0.2">
      <c r="A211" s="64"/>
      <c r="B211" s="74"/>
      <c r="C211" s="65"/>
      <c r="D211" s="65"/>
      <c r="E211" s="65"/>
      <c r="F211" s="74"/>
      <c r="G211" s="65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</row>
    <row r="212" spans="1:20" ht="15" customHeight="1" x14ac:dyDescent="0.2">
      <c r="A212" s="64"/>
      <c r="B212" s="74"/>
      <c r="C212" s="65"/>
      <c r="D212" s="65"/>
      <c r="E212" s="65"/>
      <c r="F212" s="74"/>
      <c r="G212" s="65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</row>
    <row r="213" spans="1:20" ht="15" customHeight="1" x14ac:dyDescent="0.2">
      <c r="A213" s="64"/>
      <c r="B213" s="74"/>
      <c r="C213" s="65"/>
      <c r="D213" s="65"/>
      <c r="E213" s="65"/>
      <c r="F213" s="74"/>
      <c r="G213" s="65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</row>
    <row r="214" spans="1:20" ht="15" customHeight="1" x14ac:dyDescent="0.2">
      <c r="A214" s="64"/>
      <c r="B214" s="74"/>
      <c r="C214" s="65"/>
      <c r="D214" s="65"/>
      <c r="E214" s="65"/>
      <c r="F214" s="74"/>
      <c r="G214" s="65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</row>
    <row r="215" spans="1:20" ht="15" customHeight="1" x14ac:dyDescent="0.2">
      <c r="A215" s="64"/>
      <c r="B215" s="74"/>
      <c r="C215" s="65"/>
      <c r="D215" s="65"/>
      <c r="E215" s="65"/>
      <c r="F215" s="74"/>
      <c r="G215" s="65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</row>
    <row r="216" spans="1:20" ht="15" customHeight="1" x14ac:dyDescent="0.2">
      <c r="A216" s="64"/>
      <c r="B216" s="74"/>
      <c r="C216" s="65"/>
      <c r="D216" s="65"/>
      <c r="E216" s="65"/>
      <c r="F216" s="74"/>
      <c r="G216" s="65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</row>
    <row r="217" spans="1:20" ht="15" customHeight="1" x14ac:dyDescent="0.2">
      <c r="A217" s="64"/>
      <c r="B217" s="74"/>
      <c r="C217" s="65"/>
      <c r="D217" s="65"/>
      <c r="E217" s="65"/>
      <c r="F217" s="74"/>
      <c r="G217" s="65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</row>
    <row r="218" spans="1:20" ht="15" customHeight="1" x14ac:dyDescent="0.2">
      <c r="A218" s="64"/>
      <c r="B218" s="74"/>
      <c r="C218" s="65"/>
      <c r="D218" s="65"/>
      <c r="E218" s="65"/>
      <c r="F218" s="74"/>
      <c r="G218" s="65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</row>
    <row r="219" spans="1:20" ht="15" customHeight="1" x14ac:dyDescent="0.2">
      <c r="A219" s="64"/>
      <c r="B219" s="74"/>
      <c r="C219" s="65"/>
      <c r="D219" s="65"/>
      <c r="E219" s="65"/>
      <c r="F219" s="74"/>
      <c r="G219" s="65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</row>
    <row r="220" spans="1:20" ht="15" customHeight="1" x14ac:dyDescent="0.2">
      <c r="A220" s="64"/>
      <c r="B220" s="74"/>
      <c r="C220" s="65"/>
      <c r="D220" s="65"/>
      <c r="E220" s="65"/>
      <c r="F220" s="74"/>
      <c r="G220" s="65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</row>
    <row r="221" spans="1:20" ht="15" customHeight="1" x14ac:dyDescent="0.2">
      <c r="A221" s="64"/>
      <c r="B221" s="74"/>
      <c r="C221" s="65"/>
      <c r="D221" s="65"/>
      <c r="E221" s="65"/>
      <c r="F221" s="74"/>
      <c r="G221" s="65"/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</row>
    <row r="222" spans="1:20" ht="15" customHeight="1" x14ac:dyDescent="0.2">
      <c r="A222" s="64"/>
      <c r="B222" s="74"/>
      <c r="C222" s="65"/>
      <c r="D222" s="65"/>
      <c r="E222" s="65"/>
      <c r="F222" s="74"/>
      <c r="G222" s="65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</row>
    <row r="223" spans="1:20" ht="15" customHeight="1" x14ac:dyDescent="0.2">
      <c r="A223" s="64"/>
      <c r="B223" s="74"/>
      <c r="C223" s="65"/>
      <c r="D223" s="65"/>
      <c r="E223" s="65"/>
      <c r="F223" s="74"/>
      <c r="G223" s="65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</row>
    <row r="224" spans="1:20" ht="15" customHeight="1" x14ac:dyDescent="0.2">
      <c r="A224" s="64"/>
      <c r="B224" s="74"/>
      <c r="C224" s="65"/>
      <c r="D224" s="65"/>
      <c r="E224" s="65"/>
      <c r="F224" s="74"/>
      <c r="G224" s="65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</row>
    <row r="225" spans="1:20" ht="15" customHeight="1" x14ac:dyDescent="0.2">
      <c r="A225" s="64"/>
      <c r="B225" s="74"/>
      <c r="C225" s="65"/>
      <c r="D225" s="65"/>
      <c r="E225" s="65"/>
      <c r="F225" s="74"/>
      <c r="G225" s="65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</row>
    <row r="226" spans="1:20" ht="15" customHeight="1" x14ac:dyDescent="0.2">
      <c r="A226" s="64"/>
      <c r="B226" s="74"/>
      <c r="C226" s="65"/>
      <c r="D226" s="65"/>
      <c r="E226" s="65"/>
      <c r="F226" s="74"/>
      <c r="G226" s="65"/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</row>
    <row r="227" spans="1:20" ht="15" customHeight="1" x14ac:dyDescent="0.2">
      <c r="A227" s="64"/>
      <c r="B227" s="74"/>
      <c r="C227" s="65"/>
      <c r="D227" s="65"/>
      <c r="E227" s="65"/>
      <c r="F227" s="74"/>
      <c r="G227" s="65"/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</row>
    <row r="228" spans="1:20" ht="15" customHeight="1" x14ac:dyDescent="0.2">
      <c r="A228" s="64"/>
      <c r="B228" s="74"/>
      <c r="C228" s="65"/>
      <c r="D228" s="65"/>
      <c r="E228" s="65"/>
      <c r="F228" s="74"/>
      <c r="G228" s="65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</row>
    <row r="229" spans="1:20" ht="15" customHeight="1" x14ac:dyDescent="0.2">
      <c r="A229" s="64"/>
      <c r="B229" s="74"/>
      <c r="C229" s="65"/>
      <c r="D229" s="65"/>
      <c r="E229" s="65"/>
      <c r="F229" s="74"/>
      <c r="G229" s="65"/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</row>
    <row r="230" spans="1:20" ht="15" customHeight="1" x14ac:dyDescent="0.2">
      <c r="A230" s="64"/>
      <c r="B230" s="74"/>
      <c r="C230" s="65"/>
      <c r="D230" s="65"/>
      <c r="E230" s="65"/>
      <c r="F230" s="74"/>
      <c r="G230" s="65"/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</row>
    <row r="231" spans="1:20" ht="15" customHeight="1" x14ac:dyDescent="0.2">
      <c r="A231" s="64"/>
      <c r="B231" s="74"/>
      <c r="C231" s="65"/>
      <c r="D231" s="65"/>
      <c r="E231" s="65"/>
      <c r="F231" s="74"/>
      <c r="G231" s="65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</row>
    <row r="232" spans="1:20" ht="15" customHeight="1" x14ac:dyDescent="0.2">
      <c r="A232" s="64"/>
      <c r="B232" s="74"/>
      <c r="C232" s="65"/>
      <c r="D232" s="65"/>
      <c r="E232" s="65"/>
      <c r="F232" s="74"/>
      <c r="G232" s="65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</row>
    <row r="233" spans="1:20" ht="15" customHeight="1" x14ac:dyDescent="0.2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</row>
    <row r="234" spans="1:20" ht="15" customHeight="1" x14ac:dyDescent="0.2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</row>
    <row r="235" spans="1:20" ht="15" customHeight="1" x14ac:dyDescent="0.2">
      <c r="A235" s="63"/>
      <c r="B235" s="63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</row>
    <row r="236" spans="1:20" ht="15" customHeight="1" x14ac:dyDescent="0.2">
      <c r="A236" s="63"/>
      <c r="B236" s="63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</row>
    <row r="237" spans="1:20" ht="15" customHeight="1" x14ac:dyDescent="0.2">
      <c r="A237" s="63"/>
      <c r="B237" s="63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</row>
    <row r="238" spans="1:20" ht="15" customHeight="1" x14ac:dyDescent="0.2">
      <c r="A238" s="63"/>
      <c r="B238" s="63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</row>
    <row r="239" spans="1:20" ht="15" customHeight="1" x14ac:dyDescent="0.2">
      <c r="A239" s="63"/>
      <c r="B239" s="63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</row>
    <row r="240" spans="1:20" ht="15" customHeight="1" x14ac:dyDescent="0.2">
      <c r="A240" s="63"/>
      <c r="B240" s="63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</row>
    <row r="241" spans="1:20" ht="15" customHeight="1" x14ac:dyDescent="0.2">
      <c r="A241" s="63"/>
      <c r="B241" s="63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</row>
    <row r="242" spans="1:20" ht="15" customHeight="1" x14ac:dyDescent="0.2">
      <c r="A242" s="63"/>
      <c r="B242" s="63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</row>
    <row r="243" spans="1:20" ht="15" customHeight="1" x14ac:dyDescent="0.2">
      <c r="A243" s="63"/>
      <c r="B243" s="63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</row>
    <row r="244" spans="1:20" ht="15" customHeight="1" x14ac:dyDescent="0.2">
      <c r="A244" s="63"/>
      <c r="B244" s="63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</row>
    <row r="245" spans="1:20" ht="15" customHeight="1" x14ac:dyDescent="0.2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</row>
    <row r="246" spans="1:20" ht="15" customHeight="1" x14ac:dyDescent="0.2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</row>
    <row r="247" spans="1:20" ht="15" customHeight="1" x14ac:dyDescent="0.2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</row>
    <row r="248" spans="1:20" ht="15" customHeight="1" x14ac:dyDescent="0.2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</row>
    <row r="249" spans="1:20" ht="15" customHeight="1" x14ac:dyDescent="0.2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</row>
    <row r="250" spans="1:20" ht="15" customHeight="1" x14ac:dyDescent="0.2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</row>
    <row r="251" spans="1:20" ht="15" customHeight="1" x14ac:dyDescent="0.2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</row>
    <row r="252" spans="1:20" ht="15" customHeight="1" x14ac:dyDescent="0.2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</row>
    <row r="253" spans="1:20" ht="15" customHeight="1" x14ac:dyDescent="0.2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</row>
    <row r="254" spans="1:20" ht="15" customHeight="1" x14ac:dyDescent="0.2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</row>
    <row r="255" spans="1:20" ht="15" customHeight="1" x14ac:dyDescent="0.2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</row>
    <row r="256" spans="1:20" ht="15" customHeight="1" x14ac:dyDescent="0.2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</row>
    <row r="257" spans="1:20" ht="15" customHeight="1" x14ac:dyDescent="0.2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</row>
    <row r="258" spans="1:20" ht="15" customHeight="1" x14ac:dyDescent="0.2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</row>
    <row r="259" spans="1:20" ht="15" customHeight="1" x14ac:dyDescent="0.2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</row>
    <row r="260" spans="1:20" ht="15" customHeight="1" x14ac:dyDescent="0.2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</row>
    <row r="261" spans="1:20" ht="15" customHeight="1" x14ac:dyDescent="0.2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</row>
    <row r="262" spans="1:20" ht="15" customHeight="1" x14ac:dyDescent="0.2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</row>
    <row r="263" spans="1:20" ht="15" customHeight="1" x14ac:dyDescent="0.2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</row>
    <row r="264" spans="1:20" ht="15" customHeight="1" x14ac:dyDescent="0.2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</row>
    <row r="265" spans="1:20" ht="15" customHeight="1" x14ac:dyDescent="0.2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</row>
    <row r="266" spans="1:20" ht="15" customHeight="1" x14ac:dyDescent="0.2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</row>
    <row r="267" spans="1:20" ht="15" customHeight="1" x14ac:dyDescent="0.2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</row>
    <row r="268" spans="1:20" ht="15" customHeight="1" x14ac:dyDescent="0.2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</row>
    <row r="269" spans="1:20" ht="15" customHeight="1" x14ac:dyDescent="0.2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</row>
    <row r="270" spans="1:20" ht="15" customHeight="1" x14ac:dyDescent="0.2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</row>
    <row r="271" spans="1:20" ht="15" customHeight="1" x14ac:dyDescent="0.2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</row>
    <row r="272" spans="1:20" ht="15" customHeight="1" x14ac:dyDescent="0.2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</row>
    <row r="273" spans="1:20" ht="15" customHeight="1" x14ac:dyDescent="0.2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</row>
    <row r="274" spans="1:20" ht="15" customHeight="1" x14ac:dyDescent="0.2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</row>
    <row r="275" spans="1:20" ht="15" customHeight="1" x14ac:dyDescent="0.2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</row>
    <row r="276" spans="1:20" ht="15" customHeight="1" x14ac:dyDescent="0.2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</row>
    <row r="277" spans="1:20" ht="15" customHeight="1" x14ac:dyDescent="0.2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</row>
    <row r="278" spans="1:20" ht="15" customHeight="1" x14ac:dyDescent="0.2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</row>
    <row r="279" spans="1:20" ht="15" customHeight="1" x14ac:dyDescent="0.2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</row>
    <row r="280" spans="1:20" ht="15" customHeight="1" x14ac:dyDescent="0.2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</row>
    <row r="281" spans="1:20" ht="15" customHeight="1" x14ac:dyDescent="0.2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</row>
    <row r="282" spans="1:20" ht="15" customHeight="1" x14ac:dyDescent="0.2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</row>
    <row r="283" spans="1:20" ht="15" customHeight="1" x14ac:dyDescent="0.2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</row>
    <row r="284" spans="1:20" ht="15" customHeight="1" x14ac:dyDescent="0.2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</row>
    <row r="285" spans="1:20" ht="15" customHeight="1" x14ac:dyDescent="0.2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</row>
    <row r="286" spans="1:20" ht="15" customHeight="1" x14ac:dyDescent="0.2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</row>
    <row r="287" spans="1:20" ht="15" customHeight="1" x14ac:dyDescent="0.2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</row>
    <row r="288" spans="1:20" ht="15" customHeight="1" x14ac:dyDescent="0.2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</row>
    <row r="289" spans="1:20" ht="15" customHeight="1" x14ac:dyDescent="0.2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</row>
    <row r="290" spans="1:20" ht="15" customHeight="1" x14ac:dyDescent="0.2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</row>
    <row r="291" spans="1:20" ht="15" customHeight="1" x14ac:dyDescent="0.2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</row>
    <row r="292" spans="1:20" ht="15" customHeight="1" x14ac:dyDescent="0.2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</row>
    <row r="293" spans="1:20" ht="15" customHeight="1" x14ac:dyDescent="0.2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</row>
    <row r="294" spans="1:20" ht="15" customHeight="1" x14ac:dyDescent="0.2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</row>
    <row r="295" spans="1:20" ht="15" customHeight="1" x14ac:dyDescent="0.2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</row>
    <row r="296" spans="1:20" ht="15" customHeight="1" x14ac:dyDescent="0.2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</row>
    <row r="297" spans="1:20" ht="15" customHeight="1" x14ac:dyDescent="0.2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</row>
    <row r="298" spans="1:20" ht="15" customHeight="1" x14ac:dyDescent="0.2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</row>
    <row r="299" spans="1:20" ht="15" customHeight="1" x14ac:dyDescent="0.2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</row>
    <row r="300" spans="1:20" ht="15" customHeight="1" x14ac:dyDescent="0.2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</row>
    <row r="301" spans="1:20" ht="15" customHeight="1" x14ac:dyDescent="0.2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</row>
    <row r="302" spans="1:20" ht="15" customHeight="1" x14ac:dyDescent="0.2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</row>
    <row r="303" spans="1:20" ht="15" customHeight="1" x14ac:dyDescent="0.2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</row>
    <row r="304" spans="1:20" ht="15" customHeight="1" x14ac:dyDescent="0.2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</row>
    <row r="305" spans="1:20" ht="15" customHeight="1" x14ac:dyDescent="0.2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</row>
    <row r="306" spans="1:20" ht="15" customHeight="1" x14ac:dyDescent="0.2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</row>
    <row r="307" spans="1:20" ht="15" customHeight="1" x14ac:dyDescent="0.2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</row>
    <row r="308" spans="1:20" ht="15" customHeight="1" x14ac:dyDescent="0.2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</row>
    <row r="309" spans="1:20" ht="15" customHeight="1" x14ac:dyDescent="0.2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</row>
    <row r="310" spans="1:20" ht="15" customHeight="1" x14ac:dyDescent="0.2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</row>
    <row r="311" spans="1:20" ht="15" customHeight="1" x14ac:dyDescent="0.2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</row>
    <row r="312" spans="1:20" ht="15" customHeight="1" x14ac:dyDescent="0.2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</row>
    <row r="313" spans="1:20" ht="15" customHeight="1" x14ac:dyDescent="0.2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</row>
    <row r="314" spans="1:20" ht="15" customHeight="1" x14ac:dyDescent="0.2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</row>
    <row r="315" spans="1:20" ht="15" customHeight="1" x14ac:dyDescent="0.2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</row>
    <row r="316" spans="1:20" ht="15" customHeight="1" x14ac:dyDescent="0.2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</row>
    <row r="317" spans="1:20" ht="15" customHeight="1" x14ac:dyDescent="0.2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</row>
    <row r="318" spans="1:20" ht="15" customHeight="1" x14ac:dyDescent="0.2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</row>
    <row r="319" spans="1:20" ht="15" customHeight="1" x14ac:dyDescent="0.2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</row>
    <row r="320" spans="1:20" ht="15" customHeight="1" x14ac:dyDescent="0.2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</row>
    <row r="321" spans="1:20" ht="15" customHeight="1" x14ac:dyDescent="0.2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</row>
    <row r="322" spans="1:20" ht="15" customHeight="1" x14ac:dyDescent="0.2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</row>
    <row r="323" spans="1:20" ht="15" customHeight="1" x14ac:dyDescent="0.2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</row>
    <row r="324" spans="1:20" ht="15" customHeight="1" x14ac:dyDescent="0.2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</row>
    <row r="325" spans="1:20" ht="15" customHeight="1" x14ac:dyDescent="0.2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</row>
    <row r="326" spans="1:20" ht="15" customHeight="1" x14ac:dyDescent="0.2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</row>
    <row r="327" spans="1:20" ht="15" customHeight="1" x14ac:dyDescent="0.2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</row>
    <row r="328" spans="1:20" ht="15" customHeight="1" x14ac:dyDescent="0.2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</row>
    <row r="329" spans="1:20" ht="15" customHeight="1" x14ac:dyDescent="0.2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</row>
    <row r="330" spans="1:20" ht="15" customHeight="1" x14ac:dyDescent="0.2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</row>
    <row r="331" spans="1:20" ht="15" customHeight="1" x14ac:dyDescent="0.2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</row>
    <row r="332" spans="1:20" ht="15" customHeight="1" x14ac:dyDescent="0.2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</row>
    <row r="333" spans="1:20" ht="15" customHeight="1" x14ac:dyDescent="0.2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</row>
    <row r="334" spans="1:20" ht="15" customHeight="1" x14ac:dyDescent="0.2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</row>
    <row r="335" spans="1:20" ht="15" customHeight="1" x14ac:dyDescent="0.2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</row>
    <row r="336" spans="1:20" ht="15" customHeight="1" x14ac:dyDescent="0.2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</row>
    <row r="337" spans="1:20" ht="15" customHeight="1" x14ac:dyDescent="0.2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</row>
    <row r="338" spans="1:20" ht="15" customHeight="1" x14ac:dyDescent="0.2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</row>
    <row r="339" spans="1:20" ht="15" customHeight="1" x14ac:dyDescent="0.2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</row>
    <row r="340" spans="1:20" ht="15" customHeight="1" x14ac:dyDescent="0.2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</row>
    <row r="341" spans="1:20" ht="15" customHeight="1" x14ac:dyDescent="0.2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</row>
    <row r="342" spans="1:20" ht="15" customHeight="1" x14ac:dyDescent="0.2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</row>
    <row r="343" spans="1:20" ht="15" customHeight="1" x14ac:dyDescent="0.2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</row>
    <row r="344" spans="1:20" ht="15" customHeight="1" x14ac:dyDescent="0.2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</row>
    <row r="345" spans="1:20" ht="15" customHeight="1" x14ac:dyDescent="0.2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</row>
    <row r="346" spans="1:20" ht="15" customHeight="1" x14ac:dyDescent="0.2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</row>
    <row r="347" spans="1:20" ht="15" customHeight="1" x14ac:dyDescent="0.2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</row>
    <row r="348" spans="1:20" ht="15" customHeight="1" x14ac:dyDescent="0.2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</row>
    <row r="349" spans="1:20" ht="15" customHeight="1" x14ac:dyDescent="0.2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</row>
    <row r="350" spans="1:20" ht="15" customHeight="1" x14ac:dyDescent="0.2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</row>
    <row r="351" spans="1:20" ht="15" customHeight="1" x14ac:dyDescent="0.2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</row>
    <row r="352" spans="1:20" ht="15" customHeight="1" x14ac:dyDescent="0.2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</row>
    <row r="353" spans="1:20" ht="15" customHeight="1" x14ac:dyDescent="0.2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</row>
    <row r="354" spans="1:20" ht="15" customHeight="1" x14ac:dyDescent="0.2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</row>
    <row r="355" spans="1:20" ht="15" customHeight="1" x14ac:dyDescent="0.2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</row>
    <row r="356" spans="1:20" ht="15" customHeight="1" x14ac:dyDescent="0.2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</row>
    <row r="357" spans="1:20" ht="15" customHeight="1" x14ac:dyDescent="0.2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</row>
    <row r="358" spans="1:20" ht="15" customHeight="1" x14ac:dyDescent="0.2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</row>
    <row r="359" spans="1:20" ht="15" customHeight="1" x14ac:dyDescent="0.2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</row>
    <row r="360" spans="1:20" ht="15" customHeight="1" x14ac:dyDescent="0.2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</row>
    <row r="361" spans="1:20" ht="15" customHeight="1" x14ac:dyDescent="0.2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</row>
    <row r="362" spans="1:20" ht="15" customHeight="1" x14ac:dyDescent="0.2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</row>
    <row r="363" spans="1:20" ht="15" customHeight="1" x14ac:dyDescent="0.2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</row>
    <row r="364" spans="1:20" ht="15" customHeight="1" x14ac:dyDescent="0.2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</row>
    <row r="365" spans="1:20" ht="15" customHeight="1" x14ac:dyDescent="0.2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</row>
    <row r="366" spans="1:20" ht="15" customHeight="1" x14ac:dyDescent="0.2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</row>
    <row r="367" spans="1:20" ht="15" customHeight="1" x14ac:dyDescent="0.2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</row>
    <row r="368" spans="1:20" ht="15" customHeight="1" x14ac:dyDescent="0.2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</row>
    <row r="369" spans="1:20" ht="15" customHeight="1" x14ac:dyDescent="0.2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</row>
    <row r="370" spans="1:20" ht="15" customHeight="1" x14ac:dyDescent="0.2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</row>
    <row r="371" spans="1:20" ht="15" customHeight="1" x14ac:dyDescent="0.2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</row>
    <row r="372" spans="1:20" ht="15" customHeight="1" x14ac:dyDescent="0.2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</row>
    <row r="373" spans="1:20" ht="15" customHeight="1" x14ac:dyDescent="0.2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</row>
    <row r="374" spans="1:20" ht="15" customHeight="1" x14ac:dyDescent="0.2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</row>
    <row r="375" spans="1:20" ht="15" customHeight="1" x14ac:dyDescent="0.2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</row>
    <row r="376" spans="1:20" ht="15" customHeight="1" x14ac:dyDescent="0.2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</row>
    <row r="377" spans="1:20" ht="15" customHeight="1" x14ac:dyDescent="0.2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</row>
    <row r="378" spans="1:20" ht="15" customHeight="1" x14ac:dyDescent="0.2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</row>
    <row r="379" spans="1:20" ht="15" customHeight="1" x14ac:dyDescent="0.2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</row>
    <row r="380" spans="1:20" ht="15" customHeight="1" x14ac:dyDescent="0.2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</row>
    <row r="381" spans="1:20" ht="15" customHeight="1" x14ac:dyDescent="0.2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</row>
    <row r="382" spans="1:20" ht="15" customHeight="1" x14ac:dyDescent="0.2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</row>
    <row r="383" spans="1:20" ht="15" customHeight="1" x14ac:dyDescent="0.2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</row>
    <row r="384" spans="1:20" ht="15" customHeight="1" x14ac:dyDescent="0.2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</row>
    <row r="385" spans="1:20" ht="15" customHeight="1" x14ac:dyDescent="0.2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</row>
    <row r="386" spans="1:20" ht="15" customHeight="1" x14ac:dyDescent="0.2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</row>
    <row r="387" spans="1:20" ht="15" customHeight="1" x14ac:dyDescent="0.2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</row>
    <row r="388" spans="1:20" ht="15" customHeight="1" x14ac:dyDescent="0.2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</row>
    <row r="389" spans="1:20" ht="15" customHeight="1" x14ac:dyDescent="0.2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</row>
    <row r="390" spans="1:20" ht="15" customHeight="1" x14ac:dyDescent="0.2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</row>
    <row r="391" spans="1:20" ht="15" customHeight="1" x14ac:dyDescent="0.2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</row>
    <row r="392" spans="1:20" ht="15" customHeight="1" x14ac:dyDescent="0.2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</row>
    <row r="393" spans="1:20" ht="15" customHeight="1" x14ac:dyDescent="0.2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</row>
    <row r="394" spans="1:20" ht="15" customHeight="1" x14ac:dyDescent="0.2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</row>
    <row r="395" spans="1:20" ht="15" customHeight="1" x14ac:dyDescent="0.2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</row>
    <row r="396" spans="1:20" ht="15" customHeight="1" x14ac:dyDescent="0.2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</row>
    <row r="397" spans="1:20" ht="15" customHeight="1" x14ac:dyDescent="0.2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</row>
    <row r="398" spans="1:20" ht="15" customHeight="1" x14ac:dyDescent="0.2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</row>
    <row r="399" spans="1:20" ht="15" customHeight="1" x14ac:dyDescent="0.2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</row>
    <row r="400" spans="1:20" ht="15" customHeight="1" x14ac:dyDescent="0.2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</row>
    <row r="401" spans="1:20" ht="15" customHeight="1" x14ac:dyDescent="0.2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</row>
  </sheetData>
  <autoFilter ref="A5:G137" xr:uid="{00000000-0009-0000-0000-000002000000}"/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198</v>
      </c>
      <c r="F1" t="s">
        <v>199</v>
      </c>
      <c r="H1" t="s">
        <v>200</v>
      </c>
    </row>
    <row r="2" spans="1:8" ht="15" customHeight="1" x14ac:dyDescent="0.2">
      <c r="A2" t="s">
        <v>22</v>
      </c>
      <c r="B2">
        <v>15</v>
      </c>
      <c r="D2" t="s">
        <v>19</v>
      </c>
      <c r="F2" t="s">
        <v>22</v>
      </c>
      <c r="H2" t="s">
        <v>13</v>
      </c>
    </row>
    <row r="3" spans="1:8" ht="15" customHeight="1" x14ac:dyDescent="0.2">
      <c r="A3" t="s">
        <v>23</v>
      </c>
      <c r="B3">
        <v>18</v>
      </c>
      <c r="D3" t="s">
        <v>11</v>
      </c>
      <c r="F3" t="s">
        <v>23</v>
      </c>
      <c r="H3" t="s">
        <v>18</v>
      </c>
    </row>
    <row r="4" spans="1:8" ht="15" customHeight="1" x14ac:dyDescent="0.2">
      <c r="A4" t="s">
        <v>12</v>
      </c>
      <c r="B4">
        <v>17</v>
      </c>
      <c r="D4" t="s">
        <v>24</v>
      </c>
      <c r="F4" t="s">
        <v>12</v>
      </c>
      <c r="H4" t="s">
        <v>45</v>
      </c>
    </row>
    <row r="5" spans="1:8" ht="15" customHeight="1" x14ac:dyDescent="0.2">
      <c r="A5" t="s">
        <v>16</v>
      </c>
      <c r="B5">
        <v>17</v>
      </c>
      <c r="D5" t="s">
        <v>179</v>
      </c>
      <c r="F5" t="s">
        <v>16</v>
      </c>
    </row>
    <row r="6" spans="1:8" ht="15" customHeight="1" x14ac:dyDescent="0.2">
      <c r="A6" t="s">
        <v>17</v>
      </c>
      <c r="B6">
        <v>95</v>
      </c>
      <c r="D6" t="s">
        <v>201</v>
      </c>
      <c r="F6" t="s">
        <v>17</v>
      </c>
    </row>
    <row r="7" spans="1:8" ht="15" customHeight="1" x14ac:dyDescent="0.2">
      <c r="D7" t="s">
        <v>29</v>
      </c>
      <c r="F7" t="s">
        <v>20</v>
      </c>
    </row>
    <row r="8" spans="1:8" ht="15" customHeight="1" x14ac:dyDescent="0.2">
      <c r="D8" t="s">
        <v>202</v>
      </c>
      <c r="F8" t="s">
        <v>59</v>
      </c>
    </row>
    <row r="9" spans="1:8" ht="15" customHeight="1" x14ac:dyDescent="0.2">
      <c r="A9" s="81" t="s">
        <v>203</v>
      </c>
      <c r="D9" t="s">
        <v>43</v>
      </c>
      <c r="F9" t="s">
        <v>204</v>
      </c>
    </row>
    <row r="10" spans="1:8" ht="15" customHeight="1" x14ac:dyDescent="0.2">
      <c r="D10" t="s">
        <v>44</v>
      </c>
    </row>
    <row r="11" spans="1:8" ht="15" customHeight="1" x14ac:dyDescent="0.2">
      <c r="D11" t="s">
        <v>50</v>
      </c>
    </row>
    <row r="12" spans="1:8" ht="15" customHeight="1" x14ac:dyDescent="0.2">
      <c r="D12" t="s">
        <v>47</v>
      </c>
    </row>
    <row r="13" spans="1:8" ht="15" customHeight="1" x14ac:dyDescent="0.2">
      <c r="D13" t="s">
        <v>205</v>
      </c>
    </row>
    <row r="14" spans="1:8" ht="15" customHeight="1" x14ac:dyDescent="0.2">
      <c r="D14" t="s">
        <v>35</v>
      </c>
    </row>
    <row r="15" spans="1:8" ht="15" customHeight="1" x14ac:dyDescent="0.2">
      <c r="D15" t="s">
        <v>118</v>
      </c>
    </row>
    <row r="16" spans="1:8" ht="15" customHeight="1" x14ac:dyDescent="0.2">
      <c r="D16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16" activePane="bottomRight" state="frozen"/>
      <selection pane="topRight" activeCell="D1" sqref="D1"/>
      <selection pane="bottomLeft" activeCell="A16" sqref="A1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82" t="s">
        <v>206</v>
      </c>
    </row>
    <row r="2" spans="1:51" ht="15" customHeight="1" x14ac:dyDescent="0.2">
      <c r="A2" s="83" t="s">
        <v>207</v>
      </c>
    </row>
    <row r="4" spans="1:51" ht="15" customHeight="1" x14ac:dyDescent="0.2">
      <c r="F4" s="99" t="s">
        <v>208</v>
      </c>
      <c r="G4" s="99"/>
      <c r="H4" s="99"/>
      <c r="I4" s="99"/>
      <c r="J4" s="99"/>
      <c r="M4" s="100" t="s">
        <v>209</v>
      </c>
      <c r="N4" s="100"/>
      <c r="O4" s="100"/>
      <c r="P4" s="100"/>
      <c r="Q4" s="100"/>
      <c r="R4" s="100"/>
      <c r="S4" s="100"/>
      <c r="T4" s="100"/>
      <c r="U4" s="101" t="s">
        <v>210</v>
      </c>
      <c r="V4" s="101"/>
      <c r="W4" s="101"/>
      <c r="X4" s="101"/>
      <c r="Y4" s="101"/>
      <c r="Z4" s="102" t="s">
        <v>211</v>
      </c>
      <c r="AA4" s="102"/>
      <c r="AB4" s="102"/>
      <c r="AC4" s="102"/>
      <c r="AD4" s="102"/>
      <c r="AE4" s="102"/>
      <c r="AF4" s="103" t="s">
        <v>212</v>
      </c>
      <c r="AG4" s="103"/>
      <c r="AI4" s="98" t="s">
        <v>213</v>
      </c>
      <c r="AJ4" s="98"/>
      <c r="AK4" s="98"/>
      <c r="AL4" s="98"/>
      <c r="AM4" s="98"/>
      <c r="AN4" s="98"/>
      <c r="AO4" s="98"/>
      <c r="AP4" s="98"/>
      <c r="AR4" s="98" t="s">
        <v>214</v>
      </c>
      <c r="AS4" s="98"/>
      <c r="AT4" s="98"/>
      <c r="AU4" s="98"/>
      <c r="AV4" s="98"/>
      <c r="AW4" s="98"/>
      <c r="AX4" s="98"/>
      <c r="AY4" s="98"/>
    </row>
    <row r="5" spans="1:51" ht="27.75" customHeight="1" x14ac:dyDescent="0.2">
      <c r="A5" s="84" t="s">
        <v>2</v>
      </c>
      <c r="B5" s="84" t="s">
        <v>215</v>
      </c>
      <c r="C5" s="84" t="s">
        <v>216</v>
      </c>
      <c r="D5" s="84" t="s">
        <v>217</v>
      </c>
      <c r="E5" s="85" t="s">
        <v>218</v>
      </c>
      <c r="F5" s="84" t="s">
        <v>219</v>
      </c>
      <c r="G5" s="84" t="s">
        <v>220</v>
      </c>
      <c r="H5" s="84" t="s">
        <v>221</v>
      </c>
      <c r="I5" s="84" t="s">
        <v>222</v>
      </c>
      <c r="J5" s="84" t="s">
        <v>223</v>
      </c>
      <c r="K5" s="85" t="s">
        <v>224</v>
      </c>
      <c r="L5" s="85" t="s">
        <v>225</v>
      </c>
      <c r="M5" s="84" t="s">
        <v>226</v>
      </c>
      <c r="N5" s="84" t="s">
        <v>227</v>
      </c>
      <c r="O5" s="84" t="s">
        <v>228</v>
      </c>
      <c r="P5" s="84" t="s">
        <v>229</v>
      </c>
      <c r="Q5" s="84" t="s">
        <v>230</v>
      </c>
      <c r="R5" s="84" t="s">
        <v>231</v>
      </c>
      <c r="S5" s="84" t="s">
        <v>232</v>
      </c>
      <c r="T5" s="85" t="s">
        <v>233</v>
      </c>
      <c r="U5" s="84" t="s">
        <v>234</v>
      </c>
      <c r="V5" s="84" t="s">
        <v>235</v>
      </c>
      <c r="W5" s="84" t="s">
        <v>236</v>
      </c>
      <c r="X5" s="84" t="s">
        <v>237</v>
      </c>
      <c r="Y5" s="84" t="s">
        <v>238</v>
      </c>
      <c r="Z5" s="84" t="s">
        <v>239</v>
      </c>
      <c r="AA5" s="85" t="s">
        <v>240</v>
      </c>
      <c r="AB5" s="84" t="s">
        <v>241</v>
      </c>
      <c r="AC5" s="85" t="s">
        <v>242</v>
      </c>
      <c r="AD5" s="84" t="s">
        <v>243</v>
      </c>
      <c r="AE5" s="84" t="s">
        <v>244</v>
      </c>
      <c r="AF5" s="85" t="s">
        <v>245</v>
      </c>
      <c r="AG5" s="84" t="s">
        <v>246</v>
      </c>
      <c r="AI5" s="84" t="s">
        <v>2</v>
      </c>
      <c r="AJ5" s="85" t="s">
        <v>218</v>
      </c>
      <c r="AK5" s="85" t="s">
        <v>247</v>
      </c>
      <c r="AL5" s="85" t="s">
        <v>248</v>
      </c>
      <c r="AM5" s="86" t="s">
        <v>249</v>
      </c>
      <c r="AN5" s="85" t="s">
        <v>250</v>
      </c>
      <c r="AO5" s="85" t="s">
        <v>245</v>
      </c>
      <c r="AP5" s="84" t="s">
        <v>246</v>
      </c>
      <c r="AR5" s="84" t="s">
        <v>216</v>
      </c>
      <c r="AS5" s="85" t="s">
        <v>218</v>
      </c>
      <c r="AT5" s="85" t="s">
        <v>247</v>
      </c>
      <c r="AU5" s="85" t="s">
        <v>248</v>
      </c>
      <c r="AV5" s="86" t="s">
        <v>249</v>
      </c>
      <c r="AW5" s="85" t="s">
        <v>250</v>
      </c>
      <c r="AX5" s="85" t="s">
        <v>245</v>
      </c>
      <c r="AY5" s="84" t="s">
        <v>246</v>
      </c>
    </row>
    <row r="6" spans="1:51" ht="15" customHeight="1" x14ac:dyDescent="0.2">
      <c r="A6" s="87">
        <v>46208</v>
      </c>
      <c r="B6" s="88" t="s">
        <v>251</v>
      </c>
      <c r="C6" s="88" t="s">
        <v>252</v>
      </c>
      <c r="D6" s="89">
        <f>SUMIFS(MOVIMIENTOS!$E:$E,MOVIMIENTOS!$A:$A,$A6,MOVIMIENTOS!$B:$B,"COMPRA")</f>
        <v>0</v>
      </c>
      <c r="E6" s="90">
        <f>SUMIFS(MOVIMIENTOS!$F:$F,MOVIMIENTOS!$A:$A,$A6,MOVIMIENTOS!$B:$B,"COMPRA")</f>
        <v>0</v>
      </c>
      <c r="F6" s="89">
        <f>SUMIFS(MOVIMIENTOS!$E:$E,MOVIMIENTOS!$A:$A,$A6,MOVIMIENTOS!$B:$B,"PROCESO",MOVIMIENTOS!$C:$C,"A")</f>
        <v>0</v>
      </c>
      <c r="G6" s="89">
        <f>SUMIFS(MOVIMIENTOS!$E:$E,MOVIMIENTOS!$A:$A,$A6,MOVIMIENTOS!$B:$B,"PROCESO",MOVIMIENTOS!$C:$C,"P")</f>
        <v>0</v>
      </c>
      <c r="H6" s="89">
        <f>SUMIFS(MOVIMIENTOS!$E:$E,MOVIMIENTOS!$A:$A,$A6,MOVIMIENTOS!$B:$B,"PROCESO",MOVIMIENTOS!$C:$C,"C")</f>
        <v>0</v>
      </c>
      <c r="I6" s="89">
        <f>SUMIFS(MOVIMIENTOS!$E:$E,MOVIMIENTOS!$A:$A,$A6,MOVIMIENTOS!$B:$B,"PROCESO",MOVIMIENTOS!$C:$C,"M")</f>
        <v>0</v>
      </c>
      <c r="J6" s="89">
        <f t="shared" ref="J6:J40" si="0">SUM(F6:I6)</f>
        <v>0</v>
      </c>
      <c r="K6" s="90">
        <f t="shared" ref="K6:K40" si="1">F6*15+G6*18+H6*17+I6*17</f>
        <v>0</v>
      </c>
      <c r="L6" s="90">
        <f>SUMIFS(MOVIMIENTOS!$F:$F,MOVIMIENTOS!$A:$A,$A6,MOVIMIENTOS!$B:$B,"REPROCESO")</f>
        <v>0</v>
      </c>
      <c r="M6" s="89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89" t="str">
        <f>IFERROR(IF(LOOKUP(2,1/((MOVIMIENTOS!$A$5:$A$1019=$A6)*((MOVIMIENTOS!$B$5:$B$1019="ENVÍO A SUPESA")+(MOVIMIENTOS!$B$5:$B$1019="ENVÍO A TOTTUS")+(MOVIMIENTOS!$B$5:$B$1019="ENVIO A TOTTUS"))*(MOVIMIENTOS!$G$5:$G$1019&lt;&gt;"")),MOVIMIENTOS!$G$5:$G$1019)&lt;&gt;"","G-"&amp;LOOKUP(2,1/((MOVIMIENTOS!$A$5:$A$1019=$A6)*((MOVIMIENTOS!$B$5:$B$1019="ENVÍO A SUPESA")+(MOVIMIENTOS!$B$5:$B$1019="ENVÍO A TOTTUS")+(MOVIMIENTOS!$B$5:$B$1019="ENVIO A TOTTUS"))*(MOVIMIENTOS!$G$5:$G$1019&lt;&gt;"")),MOVIMIENTOS!$G$5:$G$1019),""),"")</f>
        <v/>
      </c>
      <c r="O6" s="89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89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89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89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89">
        <f t="shared" ref="S6:S40" si="2">SUM(O6:R6)</f>
        <v>0</v>
      </c>
      <c r="T6" s="90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89">
        <f>IFERROR(INDEX('SALDO DIARIO'!$B:$B,MATCH($A6,'SALDO DIARIO'!$A:$A,0)),0)</f>
        <v>0</v>
      </c>
      <c r="V6" s="89">
        <f>IFERROR(INDEX('SALDO DIARIO'!$C:$C,MATCH($A6,'SALDO DIARIO'!$A:$A,0)),0)</f>
        <v>0</v>
      </c>
      <c r="W6" s="89">
        <f>IFERROR(INDEX('SALDO DIARIO'!$D:$D,MATCH($A6,'SALDO DIARIO'!$A:$A,0)),0)</f>
        <v>0</v>
      </c>
      <c r="X6" s="89">
        <f>IFERROR(INDEX('SALDO DIARIO'!$E:$E,MATCH($A6,'SALDO DIARIO'!$A:$A,0)),0)</f>
        <v>0</v>
      </c>
      <c r="Y6" s="89">
        <f>IFERROR(INDEX('SALDO DIARIO'!$G:$G,MATCH($A6,'SALDO DIARIO'!$A:$A,0)),0)</f>
        <v>0</v>
      </c>
      <c r="Z6" s="89">
        <f>SUMIFS(MOVIMIENTOS!$E:$E,MOVIMIENTOS!$A:$A,$A6,MOVIMIENTOS!$B:$B,"PROCESO",MOVIMIENTOS!$C:$C,"Chancho")</f>
        <v>0</v>
      </c>
      <c r="AA6" s="90">
        <f>SUMIFS(MOVIMIENTOS!$F:$F,MOVIMIENTOS!$A:$A,$A6,MOVIMIENTOS!$B:$B,"PROCESO",MOVIMIENTOS!$C:$C,"Chancho")</f>
        <v>0</v>
      </c>
      <c r="AB6" s="89">
        <f>SUMIFS(MOVIMIENTOS!$E:$E,MOVIMIENTOS!$A:$A,$A6,MOVIMIENTOS!$B:$B,"VENTA CHANCHO",MOVIMIENTOS!$C:$C,"Chancho")</f>
        <v>0</v>
      </c>
      <c r="AC6" s="90">
        <f>SUMIFS(MOVIMIENTOS!$F:$F,MOVIMIENTOS!$A:$A,$A6,MOVIMIENTOS!$B:$B,"VENTA CHANCHO",MOVIMIENTOS!$C:$C,"Chancho")</f>
        <v>0</v>
      </c>
      <c r="AD6" s="89" t="str">
        <f>IFERROR(LOOKUP(2,1/((MOVIMIENTOS!$A$5:$A$1019=$A6)*(MOVIMIENTOS!$B$5:$B$1019="VENTA CHANCHO")*(MOVIMIENTOS!$C$5:$C$1019="Chancho")*(MOVIMIENTOS!$G$5:$G$1019&lt;&gt;"")),MOVIMIENTOS!$G$5:$G$1019),IFERROR(LOOKUP(2,1/((MOVIMIENTOS!$A$5:$A$1019=$A6)*(MOVIMIENTOS!$B$5:$B$1019="VENTA CHANCHO")*(MOVIMIENTOS!$C$5:$C$1019="Chancho")*(MOVIMIENTOS!$I$5:$I$1019&lt;&gt;"")),MOVIMIENTOS!$I$5:$I$1019),""))</f>
        <v/>
      </c>
      <c r="AE6" s="89">
        <f>IFERROR(INDEX('SALDO DIARIO'!$F:$F,MATCH($A6,'SALDO DIARIO'!$A:$A,0)),0)</f>
        <v>0</v>
      </c>
      <c r="AF6" s="90">
        <f t="shared" ref="AF6:AF40" si="3">E6-(K6+AA6)</f>
        <v>0</v>
      </c>
      <c r="AG6" s="91">
        <f t="shared" ref="AG6:AG40" si="4">IF(E6=0,0,ROUND(AF6/E6*100,1))</f>
        <v>0</v>
      </c>
      <c r="AI6" s="92">
        <f t="shared" ref="AI6:AI38" si="5">A6</f>
        <v>46208</v>
      </c>
      <c r="AJ6" s="90">
        <f t="shared" ref="AJ6:AJ38" si="6">E6</f>
        <v>0</v>
      </c>
      <c r="AK6" s="90">
        <f t="shared" ref="AK6:AK38" si="7">K6</f>
        <v>0</v>
      </c>
      <c r="AL6" s="90">
        <f t="shared" ref="AL6:AL38" si="8">T6</f>
        <v>0</v>
      </c>
      <c r="AM6" s="93">
        <f t="shared" ref="AM6:AM38" si="9">Z6</f>
        <v>0</v>
      </c>
      <c r="AN6" s="90">
        <f t="shared" ref="AN6:AN38" si="10">AA6</f>
        <v>0</v>
      </c>
      <c r="AO6" s="90">
        <f t="shared" ref="AO6:AO38" si="11">AF6</f>
        <v>0</v>
      </c>
      <c r="AP6" s="91">
        <f t="shared" ref="AP6:AP38" si="12">AG6</f>
        <v>0</v>
      </c>
      <c r="AR6" s="89" t="s">
        <v>252</v>
      </c>
      <c r="AS6" s="90">
        <f>SUMIF($C$6:$C$200,$AR6,$E$6:$E$200)</f>
        <v>0</v>
      </c>
      <c r="AT6" s="90">
        <f>SUMIF($C$6:$C$200,$AR6,$K$6:$K$200)</f>
        <v>0</v>
      </c>
      <c r="AU6" s="90">
        <f>SUMIF($C$6:$C$200,$AR6,$T$6:$T$200)</f>
        <v>0</v>
      </c>
      <c r="AV6" s="93">
        <f>SUMIF($C$6:$C$200,$AR6,$Z$6:$Z$200)</f>
        <v>0</v>
      </c>
      <c r="AW6" s="90">
        <f>SUMIF($C$6:$C$200,$AR6,$AA$6:$AA$200)</f>
        <v>0</v>
      </c>
      <c r="AX6" s="90">
        <f>SUMIF($C$6:$C$200,$AR6,$AF$6:$AF$200)</f>
        <v>0</v>
      </c>
      <c r="AY6" s="91">
        <f t="shared" ref="AY6:AY11" si="13">IF(AS6=0,0,ROUND(AX6/AS6*100,1))</f>
        <v>0</v>
      </c>
    </row>
    <row r="7" spans="1:51" ht="15" customHeight="1" x14ac:dyDescent="0.2">
      <c r="A7" s="87">
        <v>46209</v>
      </c>
      <c r="B7" s="88" t="s">
        <v>253</v>
      </c>
      <c r="C7" s="88" t="s">
        <v>252</v>
      </c>
      <c r="D7" s="89">
        <f>SUMIFS(MOVIMIENTOS!$E:$E,MOVIMIENTOS!$A:$A,$A7,MOVIMIENTOS!$B:$B,"COMPRA")</f>
        <v>0</v>
      </c>
      <c r="E7" s="90">
        <f>SUMIFS(MOVIMIENTOS!$F:$F,MOVIMIENTOS!$A:$A,$A7,MOVIMIENTOS!$B:$B,"COMPRA")</f>
        <v>0</v>
      </c>
      <c r="F7" s="89">
        <f>SUMIFS(MOVIMIENTOS!$E:$E,MOVIMIENTOS!$A:$A,$A7,MOVIMIENTOS!$B:$B,"PROCESO",MOVIMIENTOS!$C:$C,"A")</f>
        <v>0</v>
      </c>
      <c r="G7" s="89">
        <f>SUMIFS(MOVIMIENTOS!$E:$E,MOVIMIENTOS!$A:$A,$A7,MOVIMIENTOS!$B:$B,"PROCESO",MOVIMIENTOS!$C:$C,"P")</f>
        <v>0</v>
      </c>
      <c r="H7" s="89">
        <f>SUMIFS(MOVIMIENTOS!$E:$E,MOVIMIENTOS!$A:$A,$A7,MOVIMIENTOS!$B:$B,"PROCESO",MOVIMIENTOS!$C:$C,"C")</f>
        <v>0</v>
      </c>
      <c r="I7" s="89">
        <f>SUMIFS(MOVIMIENTOS!$E:$E,MOVIMIENTOS!$A:$A,$A7,MOVIMIENTOS!$B:$B,"PROCESO",MOVIMIENTOS!$C:$C,"M")</f>
        <v>0</v>
      </c>
      <c r="J7" s="89">
        <f t="shared" si="0"/>
        <v>0</v>
      </c>
      <c r="K7" s="90">
        <f t="shared" si="1"/>
        <v>0</v>
      </c>
      <c r="L7" s="90">
        <f>SUMIFS(MOVIMIENTOS!$F:$F,MOVIMIENTOS!$A:$A,$A7,MOVIMIENTOS!$B:$B,"REPROCESO")</f>
        <v>0</v>
      </c>
      <c r="M7" s="89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89" t="str">
        <f>IFERROR(IF(LOOKUP(2,1/((MOVIMIENTOS!$A$5:$A$1019=$A7)*((MOVIMIENTOS!$B$5:$B$1019="ENVÍO A SUPESA")+(MOVIMIENTOS!$B$5:$B$1019="ENVÍO A TOTTUS")+(MOVIMIENTOS!$B$5:$B$1019="ENVIO A TOTTUS"))*(MOVIMIENTOS!$G$5:$G$1019&lt;&gt;"")),MOVIMIENTOS!$G$5:$G$1019)&lt;&gt;"","G-"&amp;LOOKUP(2,1/((MOVIMIENTOS!$A$5:$A$1019=$A7)*((MOVIMIENTOS!$B$5:$B$1019="ENVÍO A SUPESA")+(MOVIMIENTOS!$B$5:$B$1019="ENVÍO A TOTTUS")+(MOVIMIENTOS!$B$5:$B$1019="ENVIO A TOTTUS"))*(MOVIMIENTOS!$G$5:$G$1019&lt;&gt;"")),MOVIMIENTOS!$G$5:$G$1019),""),"")</f>
        <v/>
      </c>
      <c r="O7" s="89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89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89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89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89">
        <f t="shared" si="2"/>
        <v>0</v>
      </c>
      <c r="T7" s="90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89">
        <f>IFERROR(INDEX('SALDO DIARIO'!$B:$B,MATCH($A7,'SALDO DIARIO'!$A:$A,0)),0)</f>
        <v>0</v>
      </c>
      <c r="V7" s="89">
        <f>IFERROR(INDEX('SALDO DIARIO'!$C:$C,MATCH($A7,'SALDO DIARIO'!$A:$A,0)),0)</f>
        <v>0</v>
      </c>
      <c r="W7" s="89">
        <f>IFERROR(INDEX('SALDO DIARIO'!$D:$D,MATCH($A7,'SALDO DIARIO'!$A:$A,0)),0)</f>
        <v>0</v>
      </c>
      <c r="X7" s="89">
        <f>IFERROR(INDEX('SALDO DIARIO'!$E:$E,MATCH($A7,'SALDO DIARIO'!$A:$A,0)),0)</f>
        <v>0</v>
      </c>
      <c r="Y7" s="89">
        <f>IFERROR(INDEX('SALDO DIARIO'!$G:$G,MATCH($A7,'SALDO DIARIO'!$A:$A,0)),0)</f>
        <v>0</v>
      </c>
      <c r="Z7" s="89">
        <f>SUMIFS(MOVIMIENTOS!$E:$E,MOVIMIENTOS!$A:$A,$A7,MOVIMIENTOS!$B:$B,"PROCESO",MOVIMIENTOS!$C:$C,"Chancho")</f>
        <v>0</v>
      </c>
      <c r="AA7" s="90">
        <f>SUMIFS(MOVIMIENTOS!$F:$F,MOVIMIENTOS!$A:$A,$A7,MOVIMIENTOS!$B:$B,"PROCESO",MOVIMIENTOS!$C:$C,"Chancho")</f>
        <v>0</v>
      </c>
      <c r="AB7" s="89">
        <f>SUMIFS(MOVIMIENTOS!$E:$E,MOVIMIENTOS!$A:$A,$A7,MOVIMIENTOS!$B:$B,"VENTA CHANCHO",MOVIMIENTOS!$C:$C,"Chancho")</f>
        <v>0</v>
      </c>
      <c r="AC7" s="90">
        <f>SUMIFS(MOVIMIENTOS!$F:$F,MOVIMIENTOS!$A:$A,$A7,MOVIMIENTOS!$B:$B,"VENTA CHANCHO",MOVIMIENTOS!$C:$C,"Chancho")</f>
        <v>0</v>
      </c>
      <c r="AD7" s="89" t="str">
        <f>IFERROR(LOOKUP(2,1/((MOVIMIENTOS!$A$5:$A$1019=$A7)*(MOVIMIENTOS!$B$5:$B$1019="VENTA CHANCHO")*(MOVIMIENTOS!$C$5:$C$1019="Chancho")*(MOVIMIENTOS!$G$5:$G$1019&lt;&gt;"")),MOVIMIENTOS!$G$5:$G$1019),IFERROR(LOOKUP(2,1/((MOVIMIENTOS!$A$5:$A$1019=$A7)*(MOVIMIENTOS!$B$5:$B$1019="VENTA CHANCHO")*(MOVIMIENTOS!$C$5:$C$1019="Chancho")*(MOVIMIENTOS!$I$5:$I$1019&lt;&gt;"")),MOVIMIENTOS!$I$5:$I$1019),""))</f>
        <v/>
      </c>
      <c r="AE7" s="89">
        <f>IFERROR(INDEX('SALDO DIARIO'!$F:$F,MATCH($A7,'SALDO DIARIO'!$A:$A,0)),0)</f>
        <v>0</v>
      </c>
      <c r="AF7" s="90">
        <f t="shared" si="3"/>
        <v>0</v>
      </c>
      <c r="AG7" s="91">
        <f t="shared" si="4"/>
        <v>0</v>
      </c>
      <c r="AI7" s="92">
        <f t="shared" si="5"/>
        <v>46209</v>
      </c>
      <c r="AJ7" s="90">
        <f t="shared" si="6"/>
        <v>0</v>
      </c>
      <c r="AK7" s="90">
        <f t="shared" si="7"/>
        <v>0</v>
      </c>
      <c r="AL7" s="90">
        <f t="shared" si="8"/>
        <v>0</v>
      </c>
      <c r="AM7" s="93">
        <f t="shared" si="9"/>
        <v>0</v>
      </c>
      <c r="AN7" s="90">
        <f t="shared" si="10"/>
        <v>0</v>
      </c>
      <c r="AO7" s="90">
        <f t="shared" si="11"/>
        <v>0</v>
      </c>
      <c r="AP7" s="91">
        <f t="shared" si="12"/>
        <v>0</v>
      </c>
      <c r="AR7" s="89" t="s">
        <v>254</v>
      </c>
      <c r="AS7" s="90">
        <f>SUMIF($C$6:$C$200,$AR7,$E$6:$E$200)</f>
        <v>27936</v>
      </c>
      <c r="AT7" s="90">
        <f>SUMIF($C$6:$C$200,$AR7,$K$6:$K$200)</f>
        <v>23556</v>
      </c>
      <c r="AU7" s="90">
        <f>SUMIF($C$6:$C$200,$AR7,$T$6:$T$200)</f>
        <v>21410</v>
      </c>
      <c r="AV7" s="93">
        <f>SUMIF($C$6:$C$200,$AR7,$Z$6:$Z$200)</f>
        <v>45</v>
      </c>
      <c r="AW7" s="90">
        <f>SUMIF($C$6:$C$200,$AR7,$AA$6:$AA$200)</f>
        <v>4365</v>
      </c>
      <c r="AX7" s="90">
        <f>SUMIF($C$6:$C$200,$AR7,$AF$6:$AF$200)</f>
        <v>15</v>
      </c>
      <c r="AY7" s="91">
        <f t="shared" si="13"/>
        <v>0.1</v>
      </c>
    </row>
    <row r="8" spans="1:51" ht="15" customHeight="1" x14ac:dyDescent="0.2">
      <c r="A8" s="87">
        <v>46210</v>
      </c>
      <c r="B8" s="88" t="s">
        <v>255</v>
      </c>
      <c r="C8" s="88" t="s">
        <v>252</v>
      </c>
      <c r="D8" s="89">
        <f>SUMIFS(MOVIMIENTOS!$E:$E,MOVIMIENTOS!$A:$A,$A8,MOVIMIENTOS!$B:$B,"COMPRA")</f>
        <v>0</v>
      </c>
      <c r="E8" s="90">
        <f>SUMIFS(MOVIMIENTOS!$F:$F,MOVIMIENTOS!$A:$A,$A8,MOVIMIENTOS!$B:$B,"COMPRA")</f>
        <v>0</v>
      </c>
      <c r="F8" s="89">
        <f>SUMIFS(MOVIMIENTOS!$E:$E,MOVIMIENTOS!$A:$A,$A8,MOVIMIENTOS!$B:$B,"PROCESO",MOVIMIENTOS!$C:$C,"A")</f>
        <v>0</v>
      </c>
      <c r="G8" s="89">
        <f>SUMIFS(MOVIMIENTOS!$E:$E,MOVIMIENTOS!$A:$A,$A8,MOVIMIENTOS!$B:$B,"PROCESO",MOVIMIENTOS!$C:$C,"P")</f>
        <v>0</v>
      </c>
      <c r="H8" s="89">
        <f>SUMIFS(MOVIMIENTOS!$E:$E,MOVIMIENTOS!$A:$A,$A8,MOVIMIENTOS!$B:$B,"PROCESO",MOVIMIENTOS!$C:$C,"C")</f>
        <v>0</v>
      </c>
      <c r="I8" s="89">
        <f>SUMIFS(MOVIMIENTOS!$E:$E,MOVIMIENTOS!$A:$A,$A8,MOVIMIENTOS!$B:$B,"PROCESO",MOVIMIENTOS!$C:$C,"M")</f>
        <v>0</v>
      </c>
      <c r="J8" s="89">
        <f t="shared" si="0"/>
        <v>0</v>
      </c>
      <c r="K8" s="90">
        <f t="shared" si="1"/>
        <v>0</v>
      </c>
      <c r="L8" s="90">
        <f>SUMIFS(MOVIMIENTOS!$F:$F,MOVIMIENTOS!$A:$A,$A8,MOVIMIENTOS!$B:$B,"REPROCESO")</f>
        <v>0</v>
      </c>
      <c r="M8" s="89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89" t="str">
        <f>IFERROR(IF(LOOKUP(2,1/((MOVIMIENTOS!$A$5:$A$1019=$A8)*((MOVIMIENTOS!$B$5:$B$1019="ENVÍO A SUPESA")+(MOVIMIENTOS!$B$5:$B$1019="ENVÍO A TOTTUS")+(MOVIMIENTOS!$B$5:$B$1019="ENVIO A TOTTUS"))*(MOVIMIENTOS!$G$5:$G$1019&lt;&gt;"")),MOVIMIENTOS!$G$5:$G$1019)&lt;&gt;"","G-"&amp;LOOKUP(2,1/((MOVIMIENTOS!$A$5:$A$1019=$A8)*((MOVIMIENTOS!$B$5:$B$1019="ENVÍO A SUPESA")+(MOVIMIENTOS!$B$5:$B$1019="ENVÍO A TOTTUS")+(MOVIMIENTOS!$B$5:$B$1019="ENVIO A TOTTUS"))*(MOVIMIENTOS!$G$5:$G$1019&lt;&gt;"")),MOVIMIENTOS!$G$5:$G$1019),""),"")</f>
        <v/>
      </c>
      <c r="O8" s="89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89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89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89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89">
        <f t="shared" si="2"/>
        <v>0</v>
      </c>
      <c r="T8" s="90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89">
        <f>IFERROR(INDEX('SALDO DIARIO'!$B:$B,MATCH($A8,'SALDO DIARIO'!$A:$A,0)),0)</f>
        <v>0</v>
      </c>
      <c r="V8" s="89">
        <f>IFERROR(INDEX('SALDO DIARIO'!$C:$C,MATCH($A8,'SALDO DIARIO'!$A:$A,0)),0)</f>
        <v>0</v>
      </c>
      <c r="W8" s="89">
        <f>IFERROR(INDEX('SALDO DIARIO'!$D:$D,MATCH($A8,'SALDO DIARIO'!$A:$A,0)),0)</f>
        <v>0</v>
      </c>
      <c r="X8" s="89">
        <f>IFERROR(INDEX('SALDO DIARIO'!$E:$E,MATCH($A8,'SALDO DIARIO'!$A:$A,0)),0)</f>
        <v>0</v>
      </c>
      <c r="Y8" s="89">
        <f>IFERROR(INDEX('SALDO DIARIO'!$G:$G,MATCH($A8,'SALDO DIARIO'!$A:$A,0)),0)</f>
        <v>0</v>
      </c>
      <c r="Z8" s="89">
        <f>SUMIFS(MOVIMIENTOS!$E:$E,MOVIMIENTOS!$A:$A,$A8,MOVIMIENTOS!$B:$B,"PROCESO",MOVIMIENTOS!$C:$C,"Chancho")</f>
        <v>0</v>
      </c>
      <c r="AA8" s="90">
        <f>SUMIFS(MOVIMIENTOS!$F:$F,MOVIMIENTOS!$A:$A,$A8,MOVIMIENTOS!$B:$B,"PROCESO",MOVIMIENTOS!$C:$C,"Chancho")</f>
        <v>0</v>
      </c>
      <c r="AB8" s="89">
        <f>SUMIFS(MOVIMIENTOS!$E:$E,MOVIMIENTOS!$A:$A,$A8,MOVIMIENTOS!$B:$B,"VENTA CHANCHO",MOVIMIENTOS!$C:$C,"Chancho")</f>
        <v>0</v>
      </c>
      <c r="AC8" s="90">
        <f>SUMIFS(MOVIMIENTOS!$F:$F,MOVIMIENTOS!$A:$A,$A8,MOVIMIENTOS!$B:$B,"VENTA CHANCHO",MOVIMIENTOS!$C:$C,"Chancho")</f>
        <v>0</v>
      </c>
      <c r="AD8" s="89" t="str">
        <f>IFERROR(LOOKUP(2,1/((MOVIMIENTOS!$A$5:$A$1019=$A8)*(MOVIMIENTOS!$B$5:$B$1019="VENTA CHANCHO")*(MOVIMIENTOS!$C$5:$C$1019="Chancho")*(MOVIMIENTOS!$G$5:$G$1019&lt;&gt;"")),MOVIMIENTOS!$G$5:$G$1019),IFERROR(LOOKUP(2,1/((MOVIMIENTOS!$A$5:$A$1019=$A8)*(MOVIMIENTOS!$B$5:$B$1019="VENTA CHANCHO")*(MOVIMIENTOS!$C$5:$C$1019="Chancho")*(MOVIMIENTOS!$I$5:$I$1019&lt;&gt;"")),MOVIMIENTOS!$I$5:$I$1019),""))</f>
        <v/>
      </c>
      <c r="AE8" s="89">
        <f>IFERROR(INDEX('SALDO DIARIO'!$F:$F,MATCH($A8,'SALDO DIARIO'!$A:$A,0)),0)</f>
        <v>0</v>
      </c>
      <c r="AF8" s="90">
        <f t="shared" si="3"/>
        <v>0</v>
      </c>
      <c r="AG8" s="91">
        <f t="shared" si="4"/>
        <v>0</v>
      </c>
      <c r="AI8" s="92">
        <f t="shared" si="5"/>
        <v>46210</v>
      </c>
      <c r="AJ8" s="90">
        <f t="shared" si="6"/>
        <v>0</v>
      </c>
      <c r="AK8" s="90">
        <f t="shared" si="7"/>
        <v>0</v>
      </c>
      <c r="AL8" s="90">
        <f t="shared" si="8"/>
        <v>0</v>
      </c>
      <c r="AM8" s="93">
        <f t="shared" si="9"/>
        <v>0</v>
      </c>
      <c r="AN8" s="90">
        <f t="shared" si="10"/>
        <v>0</v>
      </c>
      <c r="AO8" s="90">
        <f t="shared" si="11"/>
        <v>0</v>
      </c>
      <c r="AP8" s="91">
        <f t="shared" si="12"/>
        <v>0</v>
      </c>
      <c r="AR8" s="89" t="s">
        <v>256</v>
      </c>
      <c r="AS8" s="90">
        <f>SUMIF($C$6:$C$200,$AR8,$E$6:$E$200)</f>
        <v>26869</v>
      </c>
      <c r="AT8" s="90">
        <f>SUMIF($C$6:$C$200,$AR8,$K$6:$K$200)</f>
        <v>22181</v>
      </c>
      <c r="AU8" s="90">
        <f>SUMIF($C$6:$C$200,$AR8,$T$6:$T$200)</f>
        <v>21773</v>
      </c>
      <c r="AV8" s="93">
        <f>SUMIF($C$6:$C$200,$AR8,$Z$6:$Z$200)</f>
        <v>46.5</v>
      </c>
      <c r="AW8" s="90">
        <f>SUMIF($C$6:$C$200,$AR8,$AA$6:$AA$200)</f>
        <v>4510.5</v>
      </c>
      <c r="AX8" s="90">
        <f>SUMIF($C$6:$C$200,$AR8,$AF$6:$AF$200)</f>
        <v>177.5</v>
      </c>
      <c r="AY8" s="91">
        <f t="shared" si="13"/>
        <v>0.7</v>
      </c>
    </row>
    <row r="9" spans="1:51" ht="15" customHeight="1" x14ac:dyDescent="0.2">
      <c r="A9" s="87">
        <v>46211</v>
      </c>
      <c r="B9" s="88" t="s">
        <v>257</v>
      </c>
      <c r="C9" s="88" t="s">
        <v>252</v>
      </c>
      <c r="D9" s="89">
        <f>SUMIFS(MOVIMIENTOS!$E:$E,MOVIMIENTOS!$A:$A,$A9,MOVIMIENTOS!$B:$B,"COMPRA")</f>
        <v>0</v>
      </c>
      <c r="E9" s="90">
        <f>SUMIFS(MOVIMIENTOS!$F:$F,MOVIMIENTOS!$A:$A,$A9,MOVIMIENTOS!$B:$B,"COMPRA")</f>
        <v>0</v>
      </c>
      <c r="F9" s="89">
        <f>SUMIFS(MOVIMIENTOS!$E:$E,MOVIMIENTOS!$A:$A,$A9,MOVIMIENTOS!$B:$B,"PROCESO",MOVIMIENTOS!$C:$C,"A")</f>
        <v>0</v>
      </c>
      <c r="G9" s="89">
        <f>SUMIFS(MOVIMIENTOS!$E:$E,MOVIMIENTOS!$A:$A,$A9,MOVIMIENTOS!$B:$B,"PROCESO",MOVIMIENTOS!$C:$C,"P")</f>
        <v>0</v>
      </c>
      <c r="H9" s="89">
        <f>SUMIFS(MOVIMIENTOS!$E:$E,MOVIMIENTOS!$A:$A,$A9,MOVIMIENTOS!$B:$B,"PROCESO",MOVIMIENTOS!$C:$C,"C")</f>
        <v>0</v>
      </c>
      <c r="I9" s="89">
        <f>SUMIFS(MOVIMIENTOS!$E:$E,MOVIMIENTOS!$A:$A,$A9,MOVIMIENTOS!$B:$B,"PROCESO",MOVIMIENTOS!$C:$C,"M")</f>
        <v>0</v>
      </c>
      <c r="J9" s="89">
        <f t="shared" si="0"/>
        <v>0</v>
      </c>
      <c r="K9" s="90">
        <f t="shared" si="1"/>
        <v>0</v>
      </c>
      <c r="L9" s="90">
        <f>SUMIFS(MOVIMIENTOS!$F:$F,MOVIMIENTOS!$A:$A,$A9,MOVIMIENTOS!$B:$B,"REPROCESO")</f>
        <v>0</v>
      </c>
      <c r="M9" s="89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89" t="str">
        <f>IFERROR(IF(LOOKUP(2,1/((MOVIMIENTOS!$A$5:$A$1019=$A9)*((MOVIMIENTOS!$B$5:$B$1019="ENVÍO A SUPESA")+(MOVIMIENTOS!$B$5:$B$1019="ENVÍO A TOTTUS")+(MOVIMIENTOS!$B$5:$B$1019="ENVIO A TOTTUS"))*(MOVIMIENTOS!$G$5:$G$1019&lt;&gt;"")),MOVIMIENTOS!$G$5:$G$1019)&lt;&gt;"","G-"&amp;LOOKUP(2,1/((MOVIMIENTOS!$A$5:$A$1019=$A9)*((MOVIMIENTOS!$B$5:$B$1019="ENVÍO A SUPESA")+(MOVIMIENTOS!$B$5:$B$1019="ENVÍO A TOTTUS")+(MOVIMIENTOS!$B$5:$B$1019="ENVIO A TOTTUS"))*(MOVIMIENTOS!$G$5:$G$1019&lt;&gt;"")),MOVIMIENTOS!$G$5:$G$1019),""),"")</f>
        <v/>
      </c>
      <c r="O9" s="89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89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89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89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89">
        <f t="shared" si="2"/>
        <v>0</v>
      </c>
      <c r="T9" s="90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89">
        <f>IFERROR(INDEX('SALDO DIARIO'!$B:$B,MATCH($A9,'SALDO DIARIO'!$A:$A,0)),0)</f>
        <v>0</v>
      </c>
      <c r="V9" s="89">
        <f>IFERROR(INDEX('SALDO DIARIO'!$C:$C,MATCH($A9,'SALDO DIARIO'!$A:$A,0)),0)</f>
        <v>0</v>
      </c>
      <c r="W9" s="89">
        <f>IFERROR(INDEX('SALDO DIARIO'!$D:$D,MATCH($A9,'SALDO DIARIO'!$A:$A,0)),0)</f>
        <v>0</v>
      </c>
      <c r="X9" s="89">
        <f>IFERROR(INDEX('SALDO DIARIO'!$E:$E,MATCH($A9,'SALDO DIARIO'!$A:$A,0)),0)</f>
        <v>0</v>
      </c>
      <c r="Y9" s="89">
        <f>IFERROR(INDEX('SALDO DIARIO'!$G:$G,MATCH($A9,'SALDO DIARIO'!$A:$A,0)),0)</f>
        <v>0</v>
      </c>
      <c r="Z9" s="89">
        <f>SUMIFS(MOVIMIENTOS!$E:$E,MOVIMIENTOS!$A:$A,$A9,MOVIMIENTOS!$B:$B,"PROCESO",MOVIMIENTOS!$C:$C,"Chancho")</f>
        <v>0</v>
      </c>
      <c r="AA9" s="90">
        <f>SUMIFS(MOVIMIENTOS!$F:$F,MOVIMIENTOS!$A:$A,$A9,MOVIMIENTOS!$B:$B,"PROCESO",MOVIMIENTOS!$C:$C,"Chancho")</f>
        <v>0</v>
      </c>
      <c r="AB9" s="89">
        <f>SUMIFS(MOVIMIENTOS!$E:$E,MOVIMIENTOS!$A:$A,$A9,MOVIMIENTOS!$B:$B,"VENTA CHANCHO",MOVIMIENTOS!$C:$C,"Chancho")</f>
        <v>0</v>
      </c>
      <c r="AC9" s="90">
        <f>SUMIFS(MOVIMIENTOS!$F:$F,MOVIMIENTOS!$A:$A,$A9,MOVIMIENTOS!$B:$B,"VENTA CHANCHO",MOVIMIENTOS!$C:$C,"Chancho")</f>
        <v>0</v>
      </c>
      <c r="AD9" s="89" t="str">
        <f>IFERROR(LOOKUP(2,1/((MOVIMIENTOS!$A$5:$A$1019=$A9)*(MOVIMIENTOS!$B$5:$B$1019="VENTA CHANCHO")*(MOVIMIENTOS!$C$5:$C$1019="Chancho")*(MOVIMIENTOS!$G$5:$G$1019&lt;&gt;"")),MOVIMIENTOS!$G$5:$G$1019),IFERROR(LOOKUP(2,1/((MOVIMIENTOS!$A$5:$A$1019=$A9)*(MOVIMIENTOS!$B$5:$B$1019="VENTA CHANCHO")*(MOVIMIENTOS!$C$5:$C$1019="Chancho")*(MOVIMIENTOS!$I$5:$I$1019&lt;&gt;"")),MOVIMIENTOS!$I$5:$I$1019),""))</f>
        <v/>
      </c>
      <c r="AE9" s="89">
        <f>IFERROR(INDEX('SALDO DIARIO'!$F:$F,MATCH($A9,'SALDO DIARIO'!$A:$A,0)),0)</f>
        <v>0</v>
      </c>
      <c r="AF9" s="90">
        <f t="shared" si="3"/>
        <v>0</v>
      </c>
      <c r="AG9" s="91">
        <f t="shared" si="4"/>
        <v>0</v>
      </c>
      <c r="AI9" s="92">
        <f t="shared" si="5"/>
        <v>46211</v>
      </c>
      <c r="AJ9" s="90">
        <f t="shared" si="6"/>
        <v>0</v>
      </c>
      <c r="AK9" s="90">
        <f t="shared" si="7"/>
        <v>0</v>
      </c>
      <c r="AL9" s="90">
        <f t="shared" si="8"/>
        <v>0</v>
      </c>
      <c r="AM9" s="93">
        <f t="shared" si="9"/>
        <v>0</v>
      </c>
      <c r="AN9" s="90">
        <f t="shared" si="10"/>
        <v>0</v>
      </c>
      <c r="AO9" s="90">
        <f t="shared" si="11"/>
        <v>0</v>
      </c>
      <c r="AP9" s="91">
        <f t="shared" si="12"/>
        <v>0</v>
      </c>
      <c r="AR9" s="89" t="s">
        <v>258</v>
      </c>
      <c r="AS9" s="90">
        <f>SUMIF($C$6:$C$200,$AR9,$E$6:$E$200)</f>
        <v>23460</v>
      </c>
      <c r="AT9" s="90">
        <f>SUMIF($C$6:$C$200,$AR9,$K$6:$K$200)</f>
        <v>18175</v>
      </c>
      <c r="AU9" s="90">
        <f>SUMIF($C$6:$C$200,$AR9,$T$6:$T$200)</f>
        <v>18915</v>
      </c>
      <c r="AV9" s="93">
        <f>SUMIF($C$6:$C$200,$AR9,$Z$6:$Z$200)</f>
        <v>50.5</v>
      </c>
      <c r="AW9" s="90">
        <f>SUMIF($C$6:$C$200,$AR9,$AA$6:$AA$200)</f>
        <v>4898.5</v>
      </c>
      <c r="AX9" s="90">
        <f>SUMIF($C$6:$C$200,$AR9,$AF$6:$AF$200)</f>
        <v>386.5</v>
      </c>
      <c r="AY9" s="91">
        <f t="shared" si="13"/>
        <v>1.6</v>
      </c>
    </row>
    <row r="10" spans="1:51" ht="15" customHeight="1" x14ac:dyDescent="0.2">
      <c r="A10" s="87">
        <v>46212</v>
      </c>
      <c r="B10" s="88" t="s">
        <v>259</v>
      </c>
      <c r="C10" s="88" t="s">
        <v>252</v>
      </c>
      <c r="D10" s="89">
        <f>SUMIFS(MOVIMIENTOS!$E:$E,MOVIMIENTOS!$A:$A,$A10,MOVIMIENTOS!$B:$B,"COMPRA")</f>
        <v>0</v>
      </c>
      <c r="E10" s="90">
        <f>SUMIFS(MOVIMIENTOS!$F:$F,MOVIMIENTOS!$A:$A,$A10,MOVIMIENTOS!$B:$B,"COMPRA")</f>
        <v>0</v>
      </c>
      <c r="F10" s="89">
        <f>SUMIFS(MOVIMIENTOS!$E:$E,MOVIMIENTOS!$A:$A,$A10,MOVIMIENTOS!$B:$B,"PROCESO",MOVIMIENTOS!$C:$C,"A")</f>
        <v>0</v>
      </c>
      <c r="G10" s="89">
        <f>SUMIFS(MOVIMIENTOS!$E:$E,MOVIMIENTOS!$A:$A,$A10,MOVIMIENTOS!$B:$B,"PROCESO",MOVIMIENTOS!$C:$C,"P")</f>
        <v>0</v>
      </c>
      <c r="H10" s="89">
        <f>SUMIFS(MOVIMIENTOS!$E:$E,MOVIMIENTOS!$A:$A,$A10,MOVIMIENTOS!$B:$B,"PROCESO",MOVIMIENTOS!$C:$C,"C")</f>
        <v>0</v>
      </c>
      <c r="I10" s="89">
        <f>SUMIFS(MOVIMIENTOS!$E:$E,MOVIMIENTOS!$A:$A,$A10,MOVIMIENTOS!$B:$B,"PROCESO",MOVIMIENTOS!$C:$C,"M")</f>
        <v>0</v>
      </c>
      <c r="J10" s="89">
        <f t="shared" si="0"/>
        <v>0</v>
      </c>
      <c r="K10" s="90">
        <f t="shared" si="1"/>
        <v>0</v>
      </c>
      <c r="L10" s="90">
        <f>SUMIFS(MOVIMIENTOS!$F:$F,MOVIMIENTOS!$A:$A,$A10,MOVIMIENTOS!$B:$B,"REPROCESO")</f>
        <v>0</v>
      </c>
      <c r="M10" s="89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89" t="str">
        <f>IFERROR(IF(LOOKUP(2,1/((MOVIMIENTOS!$A$5:$A$1019=$A10)*((MOVIMIENTOS!$B$5:$B$1019="ENVÍO A SUPESA")+(MOVIMIENTOS!$B$5:$B$1019="ENVÍO A TOTTUS")+(MOVIMIENTOS!$B$5:$B$1019="ENVIO A TOTTUS"))*(MOVIMIENTOS!$G$5:$G$1019&lt;&gt;"")),MOVIMIENTOS!$G$5:$G$1019)&lt;&gt;"","G-"&amp;LOOKUP(2,1/((MOVIMIENTOS!$A$5:$A$1019=$A10)*((MOVIMIENTOS!$B$5:$B$1019="ENVÍO A SUPESA")+(MOVIMIENTOS!$B$5:$B$1019="ENVÍO A TOTTUS")+(MOVIMIENTOS!$B$5:$B$1019="ENVIO A TOTTUS"))*(MOVIMIENTOS!$G$5:$G$1019&lt;&gt;"")),MOVIMIENTOS!$G$5:$G$1019),""),"")</f>
        <v/>
      </c>
      <c r="O10" s="89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89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89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89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89">
        <f t="shared" si="2"/>
        <v>0</v>
      </c>
      <c r="T10" s="90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89">
        <f>IFERROR(INDEX('SALDO DIARIO'!$B:$B,MATCH($A10,'SALDO DIARIO'!$A:$A,0)),0)</f>
        <v>0</v>
      </c>
      <c r="V10" s="89">
        <f>IFERROR(INDEX('SALDO DIARIO'!$C:$C,MATCH($A10,'SALDO DIARIO'!$A:$A,0)),0)</f>
        <v>0</v>
      </c>
      <c r="W10" s="89">
        <f>IFERROR(INDEX('SALDO DIARIO'!$D:$D,MATCH($A10,'SALDO DIARIO'!$A:$A,0)),0)</f>
        <v>0</v>
      </c>
      <c r="X10" s="89">
        <f>IFERROR(INDEX('SALDO DIARIO'!$E:$E,MATCH($A10,'SALDO DIARIO'!$A:$A,0)),0)</f>
        <v>0</v>
      </c>
      <c r="Y10" s="89">
        <f>IFERROR(INDEX('SALDO DIARIO'!$G:$G,MATCH($A10,'SALDO DIARIO'!$A:$A,0)),0)</f>
        <v>0</v>
      </c>
      <c r="Z10" s="89">
        <f>SUMIFS(MOVIMIENTOS!$E:$E,MOVIMIENTOS!$A:$A,$A10,MOVIMIENTOS!$B:$B,"PROCESO",MOVIMIENTOS!$C:$C,"Chancho")</f>
        <v>0</v>
      </c>
      <c r="AA10" s="90">
        <f>SUMIFS(MOVIMIENTOS!$F:$F,MOVIMIENTOS!$A:$A,$A10,MOVIMIENTOS!$B:$B,"PROCESO",MOVIMIENTOS!$C:$C,"Chancho")</f>
        <v>0</v>
      </c>
      <c r="AB10" s="89">
        <f>SUMIFS(MOVIMIENTOS!$E:$E,MOVIMIENTOS!$A:$A,$A10,MOVIMIENTOS!$B:$B,"VENTA CHANCHO",MOVIMIENTOS!$C:$C,"Chancho")</f>
        <v>0</v>
      </c>
      <c r="AC10" s="90">
        <f>SUMIFS(MOVIMIENTOS!$F:$F,MOVIMIENTOS!$A:$A,$A10,MOVIMIENTOS!$B:$B,"VENTA CHANCHO",MOVIMIENTOS!$C:$C,"Chancho")</f>
        <v>0</v>
      </c>
      <c r="AD10" s="89" t="str">
        <f>IFERROR(LOOKUP(2,1/((MOVIMIENTOS!$A$5:$A$1019=$A10)*(MOVIMIENTOS!$B$5:$B$1019="VENTA CHANCHO")*(MOVIMIENTOS!$C$5:$C$1019="Chancho")*(MOVIMIENTOS!$G$5:$G$1019&lt;&gt;"")),MOVIMIENTOS!$G$5:$G$1019),IFERROR(LOOKUP(2,1/((MOVIMIENTOS!$A$5:$A$1019=$A10)*(MOVIMIENTOS!$B$5:$B$1019="VENTA CHANCHO")*(MOVIMIENTOS!$C$5:$C$1019="Chancho")*(MOVIMIENTOS!$I$5:$I$1019&lt;&gt;"")),MOVIMIENTOS!$I$5:$I$1019),""))</f>
        <v/>
      </c>
      <c r="AE10" s="89">
        <f>IFERROR(INDEX('SALDO DIARIO'!$F:$F,MATCH($A10,'SALDO DIARIO'!$A:$A,0)),0)</f>
        <v>0</v>
      </c>
      <c r="AF10" s="90">
        <f t="shared" si="3"/>
        <v>0</v>
      </c>
      <c r="AG10" s="91">
        <f t="shared" si="4"/>
        <v>0</v>
      </c>
      <c r="AI10" s="92">
        <f t="shared" si="5"/>
        <v>46212</v>
      </c>
      <c r="AJ10" s="90">
        <f t="shared" si="6"/>
        <v>0</v>
      </c>
      <c r="AK10" s="90">
        <f t="shared" si="7"/>
        <v>0</v>
      </c>
      <c r="AL10" s="90">
        <f t="shared" si="8"/>
        <v>0</v>
      </c>
      <c r="AM10" s="93">
        <f t="shared" si="9"/>
        <v>0</v>
      </c>
      <c r="AN10" s="90">
        <f t="shared" si="10"/>
        <v>0</v>
      </c>
      <c r="AO10" s="90">
        <f t="shared" si="11"/>
        <v>0</v>
      </c>
      <c r="AP10" s="91">
        <f t="shared" si="12"/>
        <v>0</v>
      </c>
      <c r="AR10" s="89" t="s">
        <v>260</v>
      </c>
      <c r="AS10" s="90">
        <f>SUMIF($C$6:$C$200,$AR10,$E$6:$E$200)</f>
        <v>23965.82</v>
      </c>
      <c r="AT10" s="90">
        <f>SUMIF($C$6:$C$200,$AR10,$K$6:$K$200)</f>
        <v>19681</v>
      </c>
      <c r="AU10" s="90">
        <f>SUMIF($C$6:$C$200,$AR10,$T$6:$T$200)</f>
        <v>21980</v>
      </c>
      <c r="AV10" s="93">
        <f>SUMIF($C$6:$C$200,$AR10,$Z$6:$Z$200)</f>
        <v>48</v>
      </c>
      <c r="AW10" s="90">
        <f>SUMIF($C$6:$C$200,$AR10,$AA$6:$AA$200)</f>
        <v>4656</v>
      </c>
      <c r="AX10" s="90">
        <f>SUMIF($C$6:$C$200,$AR10,$AF$6:$AF$200)</f>
        <v>-371.18000000000029</v>
      </c>
      <c r="AY10" s="91">
        <f t="shared" si="13"/>
        <v>-1.5</v>
      </c>
    </row>
    <row r="11" spans="1:51" ht="15" customHeight="1" x14ac:dyDescent="0.2">
      <c r="A11" s="87">
        <v>46213</v>
      </c>
      <c r="B11" s="88" t="s">
        <v>261</v>
      </c>
      <c r="C11" s="88" t="s">
        <v>252</v>
      </c>
      <c r="D11" s="89">
        <f>SUMIFS(MOVIMIENTOS!$E:$E,MOVIMIENTOS!$A:$A,$A11,MOVIMIENTOS!$B:$B,"COMPRA")</f>
        <v>0</v>
      </c>
      <c r="E11" s="90">
        <f>SUMIFS(MOVIMIENTOS!$F:$F,MOVIMIENTOS!$A:$A,$A11,MOVIMIENTOS!$B:$B,"COMPRA")</f>
        <v>0</v>
      </c>
      <c r="F11" s="89">
        <f>SUMIFS(MOVIMIENTOS!$E:$E,MOVIMIENTOS!$A:$A,$A11,MOVIMIENTOS!$B:$B,"PROCESO",MOVIMIENTOS!$C:$C,"A")</f>
        <v>0</v>
      </c>
      <c r="G11" s="89">
        <f>SUMIFS(MOVIMIENTOS!$E:$E,MOVIMIENTOS!$A:$A,$A11,MOVIMIENTOS!$B:$B,"PROCESO",MOVIMIENTOS!$C:$C,"P")</f>
        <v>0</v>
      </c>
      <c r="H11" s="89">
        <f>SUMIFS(MOVIMIENTOS!$E:$E,MOVIMIENTOS!$A:$A,$A11,MOVIMIENTOS!$B:$B,"PROCESO",MOVIMIENTOS!$C:$C,"C")</f>
        <v>0</v>
      </c>
      <c r="I11" s="89">
        <f>SUMIFS(MOVIMIENTOS!$E:$E,MOVIMIENTOS!$A:$A,$A11,MOVIMIENTOS!$B:$B,"PROCESO",MOVIMIENTOS!$C:$C,"M")</f>
        <v>0</v>
      </c>
      <c r="J11" s="89">
        <f t="shared" si="0"/>
        <v>0</v>
      </c>
      <c r="K11" s="90">
        <f t="shared" si="1"/>
        <v>0</v>
      </c>
      <c r="L11" s="90">
        <f>SUMIFS(MOVIMIENTOS!$F:$F,MOVIMIENTOS!$A:$A,$A11,MOVIMIENTOS!$B:$B,"REPROCESO")</f>
        <v>0</v>
      </c>
      <c r="M11" s="89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89" t="str">
        <f>IFERROR(IF(LOOKUP(2,1/((MOVIMIENTOS!$A$5:$A$1019=$A11)*((MOVIMIENTOS!$B$5:$B$1019="ENVÍO A SUPESA")+(MOVIMIENTOS!$B$5:$B$1019="ENVÍO A TOTTUS")+(MOVIMIENTOS!$B$5:$B$1019="ENVIO A TOTTUS"))*(MOVIMIENTOS!$G$5:$G$1019&lt;&gt;"")),MOVIMIENTOS!$G$5:$G$1019)&lt;&gt;"","G-"&amp;LOOKUP(2,1/((MOVIMIENTOS!$A$5:$A$1019=$A11)*((MOVIMIENTOS!$B$5:$B$1019="ENVÍO A SUPESA")+(MOVIMIENTOS!$B$5:$B$1019="ENVÍO A TOTTUS")+(MOVIMIENTOS!$B$5:$B$1019="ENVIO A TOTTUS"))*(MOVIMIENTOS!$G$5:$G$1019&lt;&gt;"")),MOVIMIENTOS!$G$5:$G$1019),""),"")</f>
        <v/>
      </c>
      <c r="O11" s="89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89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89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89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89">
        <f t="shared" si="2"/>
        <v>0</v>
      </c>
      <c r="T11" s="90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89">
        <f>IFERROR(INDEX('SALDO DIARIO'!$B:$B,MATCH($A11,'SALDO DIARIO'!$A:$A,0)),0)</f>
        <v>0</v>
      </c>
      <c r="V11" s="89">
        <f>IFERROR(INDEX('SALDO DIARIO'!$C:$C,MATCH($A11,'SALDO DIARIO'!$A:$A,0)),0)</f>
        <v>0</v>
      </c>
      <c r="W11" s="89">
        <f>IFERROR(INDEX('SALDO DIARIO'!$D:$D,MATCH($A11,'SALDO DIARIO'!$A:$A,0)),0)</f>
        <v>0</v>
      </c>
      <c r="X11" s="89">
        <f>IFERROR(INDEX('SALDO DIARIO'!$E:$E,MATCH($A11,'SALDO DIARIO'!$A:$A,0)),0)</f>
        <v>0</v>
      </c>
      <c r="Y11" s="89">
        <f>IFERROR(INDEX('SALDO DIARIO'!$G:$G,MATCH($A11,'SALDO DIARIO'!$A:$A,0)),0)</f>
        <v>0</v>
      </c>
      <c r="Z11" s="89">
        <f>SUMIFS(MOVIMIENTOS!$E:$E,MOVIMIENTOS!$A:$A,$A11,MOVIMIENTOS!$B:$B,"PROCESO",MOVIMIENTOS!$C:$C,"Chancho")</f>
        <v>0</v>
      </c>
      <c r="AA11" s="90">
        <f>SUMIFS(MOVIMIENTOS!$F:$F,MOVIMIENTOS!$A:$A,$A11,MOVIMIENTOS!$B:$B,"PROCESO",MOVIMIENTOS!$C:$C,"Chancho")</f>
        <v>0</v>
      </c>
      <c r="AB11" s="89">
        <f>SUMIFS(MOVIMIENTOS!$E:$E,MOVIMIENTOS!$A:$A,$A11,MOVIMIENTOS!$B:$B,"VENTA CHANCHO",MOVIMIENTOS!$C:$C,"Chancho")</f>
        <v>0</v>
      </c>
      <c r="AC11" s="90">
        <f>SUMIFS(MOVIMIENTOS!$F:$F,MOVIMIENTOS!$A:$A,$A11,MOVIMIENTOS!$B:$B,"VENTA CHANCHO",MOVIMIENTOS!$C:$C,"Chancho")</f>
        <v>0</v>
      </c>
      <c r="AD11" s="89" t="str">
        <f>IFERROR(LOOKUP(2,1/((MOVIMIENTOS!$A$5:$A$1019=$A11)*(MOVIMIENTOS!$B$5:$B$1019="VENTA CHANCHO")*(MOVIMIENTOS!$C$5:$C$1019="Chancho")*(MOVIMIENTOS!$G$5:$G$1019&lt;&gt;"")),MOVIMIENTOS!$G$5:$G$1019),IFERROR(LOOKUP(2,1/((MOVIMIENTOS!$A$5:$A$1019=$A11)*(MOVIMIENTOS!$B$5:$B$1019="VENTA CHANCHO")*(MOVIMIENTOS!$C$5:$C$1019="Chancho")*(MOVIMIENTOS!$I$5:$I$1019&lt;&gt;"")),MOVIMIENTOS!$I$5:$I$1019),""))</f>
        <v/>
      </c>
      <c r="AE11" s="89">
        <f>IFERROR(INDEX('SALDO DIARIO'!$F:$F,MATCH($A11,'SALDO DIARIO'!$A:$A,0)),0)</f>
        <v>0</v>
      </c>
      <c r="AF11" s="90">
        <f t="shared" si="3"/>
        <v>0</v>
      </c>
      <c r="AG11" s="91">
        <f t="shared" si="4"/>
        <v>0</v>
      </c>
      <c r="AI11" s="92">
        <f t="shared" si="5"/>
        <v>46213</v>
      </c>
      <c r="AJ11" s="90">
        <f t="shared" si="6"/>
        <v>0</v>
      </c>
      <c r="AK11" s="90">
        <f t="shared" si="7"/>
        <v>0</v>
      </c>
      <c r="AL11" s="90">
        <f t="shared" si="8"/>
        <v>0</v>
      </c>
      <c r="AM11" s="93">
        <f t="shared" si="9"/>
        <v>0</v>
      </c>
      <c r="AN11" s="90">
        <f t="shared" si="10"/>
        <v>0</v>
      </c>
      <c r="AO11" s="90">
        <f t="shared" si="11"/>
        <v>0</v>
      </c>
      <c r="AP11" s="91">
        <f t="shared" si="12"/>
        <v>0</v>
      </c>
      <c r="AR11" s="89" t="s">
        <v>262</v>
      </c>
      <c r="AS11" s="90">
        <f t="shared" ref="AS11:AX11" si="14">SUM(AS6:AS10)</f>
        <v>102230.82</v>
      </c>
      <c r="AT11" s="90">
        <f t="shared" si="14"/>
        <v>83593</v>
      </c>
      <c r="AU11" s="90">
        <f t="shared" si="14"/>
        <v>84078</v>
      </c>
      <c r="AV11" s="93">
        <f t="shared" si="14"/>
        <v>190</v>
      </c>
      <c r="AW11" s="90">
        <f t="shared" si="14"/>
        <v>18430</v>
      </c>
      <c r="AX11" s="90">
        <f t="shared" si="14"/>
        <v>207.81999999999971</v>
      </c>
      <c r="AY11" s="91">
        <f t="shared" si="13"/>
        <v>0.2</v>
      </c>
    </row>
    <row r="12" spans="1:51" ht="15" customHeight="1" x14ac:dyDescent="0.2">
      <c r="A12" s="87">
        <v>46214</v>
      </c>
      <c r="B12" s="88" t="s">
        <v>263</v>
      </c>
      <c r="C12" s="88" t="s">
        <v>252</v>
      </c>
      <c r="D12" s="89">
        <f>SUMIFS(MOVIMIENTOS!$E:$E,MOVIMIENTOS!$A:$A,$A12,MOVIMIENTOS!$B:$B,"COMPRA")</f>
        <v>0</v>
      </c>
      <c r="E12" s="90">
        <f>SUMIFS(MOVIMIENTOS!$F:$F,MOVIMIENTOS!$A:$A,$A12,MOVIMIENTOS!$B:$B,"COMPRA")</f>
        <v>0</v>
      </c>
      <c r="F12" s="89">
        <f>SUMIFS(MOVIMIENTOS!$E:$E,MOVIMIENTOS!$A:$A,$A12,MOVIMIENTOS!$B:$B,"PROCESO",MOVIMIENTOS!$C:$C,"A")</f>
        <v>0</v>
      </c>
      <c r="G12" s="89">
        <f>SUMIFS(MOVIMIENTOS!$E:$E,MOVIMIENTOS!$A:$A,$A12,MOVIMIENTOS!$B:$B,"PROCESO",MOVIMIENTOS!$C:$C,"P")</f>
        <v>0</v>
      </c>
      <c r="H12" s="89">
        <f>SUMIFS(MOVIMIENTOS!$E:$E,MOVIMIENTOS!$A:$A,$A12,MOVIMIENTOS!$B:$B,"PROCESO",MOVIMIENTOS!$C:$C,"C")</f>
        <v>0</v>
      </c>
      <c r="I12" s="89">
        <f>SUMIFS(MOVIMIENTOS!$E:$E,MOVIMIENTOS!$A:$A,$A12,MOVIMIENTOS!$B:$B,"PROCESO",MOVIMIENTOS!$C:$C,"M")</f>
        <v>0</v>
      </c>
      <c r="J12" s="89">
        <f t="shared" si="0"/>
        <v>0</v>
      </c>
      <c r="K12" s="90">
        <f t="shared" si="1"/>
        <v>0</v>
      </c>
      <c r="L12" s="90">
        <f>SUMIFS(MOVIMIENTOS!$F:$F,MOVIMIENTOS!$A:$A,$A12,MOVIMIENTOS!$B:$B,"REPROCESO")</f>
        <v>0</v>
      </c>
      <c r="M12" s="89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89" t="str">
        <f>IFERROR(IF(LOOKUP(2,1/((MOVIMIENTOS!$A$5:$A$1019=$A12)*((MOVIMIENTOS!$B$5:$B$1019="ENVÍO A SUPESA")+(MOVIMIENTOS!$B$5:$B$1019="ENVÍO A TOTTUS")+(MOVIMIENTOS!$B$5:$B$1019="ENVIO A TOTTUS"))*(MOVIMIENTOS!$G$5:$G$1019&lt;&gt;"")),MOVIMIENTOS!$G$5:$G$1019)&lt;&gt;"","G-"&amp;LOOKUP(2,1/((MOVIMIENTOS!$A$5:$A$1019=$A12)*((MOVIMIENTOS!$B$5:$B$1019="ENVÍO A SUPESA")+(MOVIMIENTOS!$B$5:$B$1019="ENVÍO A TOTTUS")+(MOVIMIENTOS!$B$5:$B$1019="ENVIO A TOTTUS"))*(MOVIMIENTOS!$G$5:$G$1019&lt;&gt;"")),MOVIMIENTOS!$G$5:$G$1019),""),"")</f>
        <v/>
      </c>
      <c r="O12" s="89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89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89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89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89">
        <f t="shared" si="2"/>
        <v>0</v>
      </c>
      <c r="T12" s="90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94">
        <f>IFERROR(INDEX('SALDO DIARIO'!$B:$B,MATCH($A12,'SALDO DIARIO'!$A:$A,0)),0)</f>
        <v>0</v>
      </c>
      <c r="V12" s="94">
        <f>IFERROR(INDEX('SALDO DIARIO'!$C:$C,MATCH($A12,'SALDO DIARIO'!$A:$A,0)),0)</f>
        <v>0</v>
      </c>
      <c r="W12" s="94">
        <f>IFERROR(INDEX('SALDO DIARIO'!$D:$D,MATCH($A12,'SALDO DIARIO'!$A:$A,0)),0)</f>
        <v>0</v>
      </c>
      <c r="X12" s="94">
        <f>IFERROR(INDEX('SALDO DIARIO'!$E:$E,MATCH($A12,'SALDO DIARIO'!$A:$A,0)),0)</f>
        <v>7</v>
      </c>
      <c r="Y12" s="94">
        <f>IFERROR(INDEX('SALDO DIARIO'!$G:$G,MATCH($A12,'SALDO DIARIO'!$A:$A,0)),0)</f>
        <v>7</v>
      </c>
      <c r="Z12" s="89">
        <f>SUMIFS(MOVIMIENTOS!$E:$E,MOVIMIENTOS!$A:$A,$A12,MOVIMIENTOS!$B:$B,"PROCESO",MOVIMIENTOS!$C:$C,"Chancho")</f>
        <v>0</v>
      </c>
      <c r="AA12" s="90">
        <f>SUMIFS(MOVIMIENTOS!$F:$F,MOVIMIENTOS!$A:$A,$A12,MOVIMIENTOS!$B:$B,"PROCESO",MOVIMIENTOS!$C:$C,"Chancho")</f>
        <v>0</v>
      </c>
      <c r="AB12" s="89">
        <f>SUMIFS(MOVIMIENTOS!$E:$E,MOVIMIENTOS!$A:$A,$A12,MOVIMIENTOS!$B:$B,"VENTA CHANCHO",MOVIMIENTOS!$C:$C,"Chancho")</f>
        <v>0</v>
      </c>
      <c r="AC12" s="90">
        <f>SUMIFS(MOVIMIENTOS!$F:$F,MOVIMIENTOS!$A:$A,$A12,MOVIMIENTOS!$B:$B,"VENTA CHANCHO",MOVIMIENTOS!$C:$C,"Chancho")</f>
        <v>0</v>
      </c>
      <c r="AD12" s="89" t="str">
        <f>IFERROR(LOOKUP(2,1/((MOVIMIENTOS!$A$5:$A$1019=$A12)*(MOVIMIENTOS!$B$5:$B$1019="VENTA CHANCHO")*(MOVIMIENTOS!$C$5:$C$1019="Chancho")*(MOVIMIENTOS!$G$5:$G$1019&lt;&gt;"")),MOVIMIENTOS!$G$5:$G$1019),IFERROR(LOOKUP(2,1/((MOVIMIENTOS!$A$5:$A$1019=$A12)*(MOVIMIENTOS!$B$5:$B$1019="VENTA CHANCHO")*(MOVIMIENTOS!$C$5:$C$1019="Chancho")*(MOVIMIENTOS!$I$5:$I$1019&lt;&gt;"")),MOVIMIENTOS!$I$5:$I$1019),""))</f>
        <v/>
      </c>
      <c r="AE12" s="94">
        <f>IFERROR(INDEX('SALDO DIARIO'!$F:$F,MATCH($A12,'SALDO DIARIO'!$A:$A,0)),0)</f>
        <v>20</v>
      </c>
      <c r="AF12" s="90">
        <f t="shared" si="3"/>
        <v>0</v>
      </c>
      <c r="AG12" s="91">
        <f t="shared" si="4"/>
        <v>0</v>
      </c>
      <c r="AI12" s="92">
        <f t="shared" si="5"/>
        <v>46214</v>
      </c>
      <c r="AJ12" s="90">
        <f t="shared" si="6"/>
        <v>0</v>
      </c>
      <c r="AK12" s="90">
        <f t="shared" si="7"/>
        <v>0</v>
      </c>
      <c r="AL12" s="90">
        <f t="shared" si="8"/>
        <v>0</v>
      </c>
      <c r="AM12" s="93">
        <f t="shared" si="9"/>
        <v>0</v>
      </c>
      <c r="AN12" s="90">
        <f t="shared" si="10"/>
        <v>0</v>
      </c>
      <c r="AO12" s="90">
        <f t="shared" si="11"/>
        <v>0</v>
      </c>
      <c r="AP12" s="91">
        <f t="shared" si="12"/>
        <v>0</v>
      </c>
      <c r="AR12" s="89"/>
      <c r="AS12" s="90"/>
      <c r="AT12" s="90"/>
      <c r="AU12" s="90"/>
      <c r="AV12" s="93"/>
      <c r="AW12" s="90"/>
      <c r="AX12" s="90"/>
      <c r="AY12" s="91"/>
    </row>
    <row r="13" spans="1:51" ht="15" customHeight="1" x14ac:dyDescent="0.2">
      <c r="A13" s="87">
        <v>46215</v>
      </c>
      <c r="B13" s="88" t="s">
        <v>251</v>
      </c>
      <c r="C13" s="88" t="s">
        <v>254</v>
      </c>
      <c r="D13" s="89">
        <f>SUMIFS(MOVIMIENTOS!$E:$E,MOVIMIENTOS!$A:$A,$A13,MOVIMIENTOS!$B:$B,"COMPRA")</f>
        <v>30</v>
      </c>
      <c r="E13" s="90">
        <f>SUMIFS(MOVIMIENTOS!$F:$F,MOVIMIENTOS!$A:$A,$A13,MOVIMIENTOS!$B:$B,"COMPRA")</f>
        <v>2910</v>
      </c>
      <c r="F13" s="89">
        <f>SUMIFS(MOVIMIENTOS!$E:$E,MOVIMIENTOS!$A:$A,$A13,MOVIMIENTOS!$B:$B,"PROCESO",MOVIMIENTOS!$C:$C,"A")</f>
        <v>59</v>
      </c>
      <c r="G13" s="89">
        <f>SUMIFS(MOVIMIENTOS!$E:$E,MOVIMIENTOS!$A:$A,$A13,MOVIMIENTOS!$B:$B,"PROCESO",MOVIMIENTOS!$C:$C,"P")</f>
        <v>11</v>
      </c>
      <c r="H13" s="89">
        <f>SUMIFS(MOVIMIENTOS!$E:$E,MOVIMIENTOS!$A:$A,$A13,MOVIMIENTOS!$B:$B,"PROCESO",MOVIMIENTOS!$C:$C,"C")</f>
        <v>12</v>
      </c>
      <c r="I13" s="89">
        <f>SUMIFS(MOVIMIENTOS!$E:$E,MOVIMIENTOS!$A:$A,$A13,MOVIMIENTOS!$B:$B,"PROCESO",MOVIMIENTOS!$C:$C,"M")</f>
        <v>64</v>
      </c>
      <c r="J13" s="89">
        <f t="shared" si="0"/>
        <v>146</v>
      </c>
      <c r="K13" s="90">
        <f t="shared" si="1"/>
        <v>2375</v>
      </c>
      <c r="L13" s="90">
        <f>SUMIFS(MOVIMIENTOS!$F:$F,MOVIMIENTOS!$A:$A,$A13,MOVIMIENTOS!$B:$B,"REPROCESO")</f>
        <v>0</v>
      </c>
      <c r="M13" s="89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89" t="str">
        <f>IFERROR(IF(LOOKUP(2,1/((MOVIMIENTOS!$A$5:$A$1019=$A13)*((MOVIMIENTOS!$B$5:$B$1019="ENVÍO A SUPESA")+(MOVIMIENTOS!$B$5:$B$1019="ENVÍO A TOTTUS")+(MOVIMIENTOS!$B$5:$B$1019="ENVIO A TOTTUS"))*(MOVIMIENTOS!$G$5:$G$1019&lt;&gt;"")),MOVIMIENTOS!$G$5:$G$1019)&lt;&gt;"","G-"&amp;LOOKUP(2,1/((MOVIMIENTOS!$A$5:$A$1019=$A13)*((MOVIMIENTOS!$B$5:$B$1019="ENVÍO A SUPESA")+(MOVIMIENTOS!$B$5:$B$1019="ENVÍO A TOTTUS")+(MOVIMIENTOS!$B$5:$B$1019="ENVIO A TOTTUS"))*(MOVIMIENTOS!$G$5:$G$1019&lt;&gt;"")),MOVIMIENTOS!$G$5:$G$1019),""),"")</f>
        <v>G-2977</v>
      </c>
      <c r="O13" s="89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89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89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89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89">
        <f t="shared" si="2"/>
        <v>132</v>
      </c>
      <c r="T13" s="90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94">
        <f>IFERROR(INDEX('SALDO DIARIO'!$B:$B,MATCH($A13,'SALDO DIARIO'!$A:$A,0)),0)</f>
        <v>-8</v>
      </c>
      <c r="V13" s="94">
        <f>IFERROR(INDEX('SALDO DIARIO'!$C:$C,MATCH($A13,'SALDO DIARIO'!$A:$A,0)),0)</f>
        <v>0</v>
      </c>
      <c r="W13" s="94">
        <f>IFERROR(INDEX('SALDO DIARIO'!$D:$D,MATCH($A13,'SALDO DIARIO'!$A:$A,0)),0)</f>
        <v>0</v>
      </c>
      <c r="X13" s="94">
        <f>IFERROR(INDEX('SALDO DIARIO'!$E:$E,MATCH($A13,'SALDO DIARIO'!$A:$A,0)),0)</f>
        <v>29</v>
      </c>
      <c r="Y13" s="94">
        <f>IFERROR(INDEX('SALDO DIARIO'!$G:$G,MATCH($A13,'SALDO DIARIO'!$A:$A,0)),0)</f>
        <v>21</v>
      </c>
      <c r="Z13" s="89">
        <f>SUMIFS(MOVIMIENTOS!$E:$E,MOVIMIENTOS!$A:$A,$A13,MOVIMIENTOS!$B:$B,"PROCESO",MOVIMIENTOS!$C:$C,"Chancho")</f>
        <v>6</v>
      </c>
      <c r="AA13" s="90">
        <f>SUMIFS(MOVIMIENTOS!$F:$F,MOVIMIENTOS!$A:$A,$A13,MOVIMIENTOS!$B:$B,"PROCESO",MOVIMIENTOS!$C:$C,"Chancho")</f>
        <v>582</v>
      </c>
      <c r="AB13" s="89">
        <f>SUMIFS(MOVIMIENTOS!$E:$E,MOVIMIENTOS!$A:$A,$A13,MOVIMIENTOS!$B:$B,"VENTA CHANCHO",MOVIMIENTOS!$C:$C,"Chancho")</f>
        <v>0</v>
      </c>
      <c r="AC13" s="90">
        <f>SUMIFS(MOVIMIENTOS!$F:$F,MOVIMIENTOS!$A:$A,$A13,MOVIMIENTOS!$B:$B,"VENTA CHANCHO",MOVIMIENTOS!$C:$C,"Chancho")</f>
        <v>0</v>
      </c>
      <c r="AD13" s="89" t="str">
        <f>IFERROR(LOOKUP(2,1/((MOVIMIENTOS!$A$5:$A$1019=$A13)*(MOVIMIENTOS!$B$5:$B$1019="VENTA CHANCHO")*(MOVIMIENTOS!$C$5:$C$1019="Chancho")*(MOVIMIENTOS!$G$5:$G$1019&lt;&gt;"")),MOVIMIENTOS!$G$5:$G$1019),IFERROR(LOOKUP(2,1/((MOVIMIENTOS!$A$5:$A$1019=$A13)*(MOVIMIENTOS!$B$5:$B$1019="VENTA CHANCHO")*(MOVIMIENTOS!$C$5:$C$1019="Chancho")*(MOVIMIENTOS!$I$5:$I$1019&lt;&gt;"")),MOVIMIENTOS!$I$5:$I$1019),""))</f>
        <v/>
      </c>
      <c r="AE13" s="94">
        <f>IFERROR(INDEX('SALDO DIARIO'!$F:$F,MATCH($A13,'SALDO DIARIO'!$A:$A,0)),0)</f>
        <v>26</v>
      </c>
      <c r="AF13" s="90">
        <f t="shared" si="3"/>
        <v>-47</v>
      </c>
      <c r="AG13" s="91">
        <f t="shared" si="4"/>
        <v>-1.6</v>
      </c>
      <c r="AI13" s="92">
        <f t="shared" si="5"/>
        <v>46215</v>
      </c>
      <c r="AJ13" s="90">
        <f t="shared" si="6"/>
        <v>2910</v>
      </c>
      <c r="AK13" s="90">
        <f t="shared" si="7"/>
        <v>2375</v>
      </c>
      <c r="AL13" s="90">
        <f t="shared" si="8"/>
        <v>2121</v>
      </c>
      <c r="AM13" s="93">
        <f t="shared" si="9"/>
        <v>6</v>
      </c>
      <c r="AN13" s="90">
        <f t="shared" si="10"/>
        <v>582</v>
      </c>
      <c r="AO13" s="90">
        <f t="shared" si="11"/>
        <v>-47</v>
      </c>
      <c r="AP13" s="91">
        <f t="shared" si="12"/>
        <v>-1.6</v>
      </c>
      <c r="AR13" s="89"/>
      <c r="AS13" s="90"/>
      <c r="AT13" s="90"/>
      <c r="AU13" s="90"/>
      <c r="AV13" s="93"/>
      <c r="AW13" s="90"/>
      <c r="AX13" s="90"/>
      <c r="AY13" s="91"/>
    </row>
    <row r="14" spans="1:51" ht="15" customHeight="1" x14ac:dyDescent="0.2">
      <c r="A14" s="87">
        <v>46216</v>
      </c>
      <c r="B14" s="88" t="s">
        <v>253</v>
      </c>
      <c r="C14" s="88" t="s">
        <v>254</v>
      </c>
      <c r="D14" s="89">
        <f>SUMIFS(MOVIMIENTOS!$E:$E,MOVIMIENTOS!$A:$A,$A14,MOVIMIENTOS!$B:$B,"COMPRA")</f>
        <v>40</v>
      </c>
      <c r="E14" s="90">
        <f>SUMIFS(MOVIMIENTOS!$F:$F,MOVIMIENTOS!$A:$A,$A14,MOVIMIENTOS!$B:$B,"COMPRA")</f>
        <v>3880</v>
      </c>
      <c r="F14" s="89">
        <f>SUMIFS(MOVIMIENTOS!$E:$E,MOVIMIENTOS!$A:$A,$A14,MOVIMIENTOS!$B:$B,"PROCESO",MOVIMIENTOS!$C:$C,"A")</f>
        <v>107</v>
      </c>
      <c r="G14" s="89">
        <f>SUMIFS(MOVIMIENTOS!$E:$E,MOVIMIENTOS!$A:$A,$A14,MOVIMIENTOS!$B:$B,"PROCESO",MOVIMIENTOS!$C:$C,"P")</f>
        <v>11</v>
      </c>
      <c r="H14" s="89">
        <f>SUMIFS(MOVIMIENTOS!$E:$E,MOVIMIENTOS!$A:$A,$A14,MOVIMIENTOS!$B:$B,"PROCESO",MOVIMIENTOS!$C:$C,"C")</f>
        <v>12</v>
      </c>
      <c r="I14" s="89">
        <f>SUMIFS(MOVIMIENTOS!$E:$E,MOVIMIENTOS!$A:$A,$A14,MOVIMIENTOS!$B:$B,"PROCESO",MOVIMIENTOS!$C:$C,"M")</f>
        <v>110</v>
      </c>
      <c r="J14" s="89">
        <f t="shared" si="0"/>
        <v>240</v>
      </c>
      <c r="K14" s="90">
        <f t="shared" si="1"/>
        <v>3877</v>
      </c>
      <c r="L14" s="90">
        <f>SUMIFS(MOVIMIENTOS!$F:$F,MOVIMIENTOS!$A:$A,$A14,MOVIMIENTOS!$B:$B,"REPROCESO")</f>
        <v>0</v>
      </c>
      <c r="M14" s="89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89" t="str">
        <f>IFERROR(IF(LOOKUP(2,1/((MOVIMIENTOS!$A$5:$A$1019=$A14)*((MOVIMIENTOS!$B$5:$B$1019="ENVÍO A SUPESA")+(MOVIMIENTOS!$B$5:$B$1019="ENVÍO A TOTTUS")+(MOVIMIENTOS!$B$5:$B$1019="ENVIO A TOTTUS"))*(MOVIMIENTOS!$G$5:$G$1019&lt;&gt;"")),MOVIMIENTOS!$G$5:$G$1019)&lt;&gt;"","G-"&amp;LOOKUP(2,1/((MOVIMIENTOS!$A$5:$A$1019=$A14)*((MOVIMIENTOS!$B$5:$B$1019="ENVÍO A SUPESA")+(MOVIMIENTOS!$B$5:$B$1019="ENVÍO A TOTTUS")+(MOVIMIENTOS!$B$5:$B$1019="ENVIO A TOTTUS"))*(MOVIMIENTOS!$G$5:$G$1019&lt;&gt;"")),MOVIMIENTOS!$G$5:$G$1019),""),"")</f>
        <v>G-2980</v>
      </c>
      <c r="O14" s="89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89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89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89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89">
        <f t="shared" si="2"/>
        <v>187</v>
      </c>
      <c r="T14" s="90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94">
        <f>IFERROR(INDEX('SALDO DIARIO'!$B:$B,MATCH($A14,'SALDO DIARIO'!$A:$A,0)),0)</f>
        <v>32</v>
      </c>
      <c r="V14" s="94">
        <f>IFERROR(INDEX('SALDO DIARIO'!$C:$C,MATCH($A14,'SALDO DIARIO'!$A:$A,0)),0)</f>
        <v>0</v>
      </c>
      <c r="W14" s="94">
        <f>IFERROR(INDEX('SALDO DIARIO'!$D:$D,MATCH($A14,'SALDO DIARIO'!$A:$A,0)),0)</f>
        <v>0</v>
      </c>
      <c r="X14" s="94">
        <f>IFERROR(INDEX('SALDO DIARIO'!$E:$E,MATCH($A14,'SALDO DIARIO'!$A:$A,0)),0)</f>
        <v>42</v>
      </c>
      <c r="Y14" s="94">
        <f>IFERROR(INDEX('SALDO DIARIO'!$G:$G,MATCH($A14,'SALDO DIARIO'!$A:$A,0)),0)</f>
        <v>74</v>
      </c>
      <c r="Z14" s="89">
        <f>SUMIFS(MOVIMIENTOS!$E:$E,MOVIMIENTOS!$A:$A,$A14,MOVIMIENTOS!$B:$B,"PROCESO",MOVIMIENTOS!$C:$C,"Chancho")</f>
        <v>2</v>
      </c>
      <c r="AA14" s="90">
        <f>SUMIFS(MOVIMIENTOS!$F:$F,MOVIMIENTOS!$A:$A,$A14,MOVIMIENTOS!$B:$B,"PROCESO",MOVIMIENTOS!$C:$C,"Chancho")</f>
        <v>194</v>
      </c>
      <c r="AB14" s="89">
        <f>SUMIFS(MOVIMIENTOS!$E:$E,MOVIMIENTOS!$A:$A,$A14,MOVIMIENTOS!$B:$B,"VENTA CHANCHO",MOVIMIENTOS!$C:$C,"Chancho")</f>
        <v>0</v>
      </c>
      <c r="AC14" s="90">
        <f>SUMIFS(MOVIMIENTOS!$F:$F,MOVIMIENTOS!$A:$A,$A14,MOVIMIENTOS!$B:$B,"VENTA CHANCHO",MOVIMIENTOS!$C:$C,"Chancho")</f>
        <v>0</v>
      </c>
      <c r="AD14" s="89" t="str">
        <f>IFERROR(LOOKUP(2,1/((MOVIMIENTOS!$A$5:$A$1019=$A14)*(MOVIMIENTOS!$B$5:$B$1019="VENTA CHANCHO")*(MOVIMIENTOS!$C$5:$C$1019="Chancho")*(MOVIMIENTOS!$G$5:$G$1019&lt;&gt;"")),MOVIMIENTOS!$G$5:$G$1019),IFERROR(LOOKUP(2,1/((MOVIMIENTOS!$A$5:$A$1019=$A14)*(MOVIMIENTOS!$B$5:$B$1019="VENTA CHANCHO")*(MOVIMIENTOS!$C$5:$C$1019="Chancho")*(MOVIMIENTOS!$I$5:$I$1019&lt;&gt;"")),MOVIMIENTOS!$I$5:$I$1019),""))</f>
        <v/>
      </c>
      <c r="AE14" s="94">
        <f>IFERROR(INDEX('SALDO DIARIO'!$F:$F,MATCH($A14,'SALDO DIARIO'!$A:$A,0)),0)</f>
        <v>28</v>
      </c>
      <c r="AF14" s="90">
        <f t="shared" si="3"/>
        <v>-191</v>
      </c>
      <c r="AG14" s="91">
        <f t="shared" si="4"/>
        <v>-4.9000000000000004</v>
      </c>
      <c r="AI14" s="92">
        <f t="shared" si="5"/>
        <v>46216</v>
      </c>
      <c r="AJ14" s="90">
        <f t="shared" si="6"/>
        <v>3880</v>
      </c>
      <c r="AK14" s="90">
        <f t="shared" si="7"/>
        <v>3877</v>
      </c>
      <c r="AL14" s="90">
        <f t="shared" si="8"/>
        <v>3056</v>
      </c>
      <c r="AM14" s="93">
        <f t="shared" si="9"/>
        <v>2</v>
      </c>
      <c r="AN14" s="90">
        <f t="shared" si="10"/>
        <v>194</v>
      </c>
      <c r="AO14" s="90">
        <f t="shared" si="11"/>
        <v>-191</v>
      </c>
      <c r="AP14" s="91">
        <f t="shared" si="12"/>
        <v>-4.9000000000000004</v>
      </c>
      <c r="AR14" s="89"/>
      <c r="AS14" s="90"/>
      <c r="AT14" s="90"/>
      <c r="AU14" s="90"/>
      <c r="AV14" s="93"/>
      <c r="AW14" s="90"/>
      <c r="AX14" s="90"/>
      <c r="AY14" s="91"/>
    </row>
    <row r="15" spans="1:51" ht="15" customHeight="1" x14ac:dyDescent="0.2">
      <c r="A15" s="87">
        <v>46217</v>
      </c>
      <c r="B15" s="88" t="s">
        <v>255</v>
      </c>
      <c r="C15" s="88" t="s">
        <v>254</v>
      </c>
      <c r="D15" s="89">
        <f>SUMIFS(MOVIMIENTOS!$E:$E,MOVIMIENTOS!$A:$A,$A15,MOVIMIENTOS!$B:$B,"COMPRA")</f>
        <v>40</v>
      </c>
      <c r="E15" s="90">
        <f>SUMIFS(MOVIMIENTOS!$F:$F,MOVIMIENTOS!$A:$A,$A15,MOVIMIENTOS!$B:$B,"COMPRA")</f>
        <v>3880</v>
      </c>
      <c r="F15" s="89">
        <f>SUMIFS(MOVIMIENTOS!$E:$E,MOVIMIENTOS!$A:$A,$A15,MOVIMIENTOS!$B:$B,"PROCESO",MOVIMIENTOS!$C:$C,"A")</f>
        <v>45</v>
      </c>
      <c r="G15" s="89">
        <f>SUMIFS(MOVIMIENTOS!$E:$E,MOVIMIENTOS!$A:$A,$A15,MOVIMIENTOS!$B:$B,"PROCESO",MOVIMIENTOS!$C:$C,"P")</f>
        <v>11</v>
      </c>
      <c r="H15" s="89">
        <f>SUMIFS(MOVIMIENTOS!$E:$E,MOVIMIENTOS!$A:$A,$A15,MOVIMIENTOS!$B:$B,"PROCESO",MOVIMIENTOS!$C:$C,"C")</f>
        <v>12</v>
      </c>
      <c r="I15" s="89">
        <f>SUMIFS(MOVIMIENTOS!$E:$E,MOVIMIENTOS!$A:$A,$A15,MOVIMIENTOS!$B:$B,"PROCESO",MOVIMIENTOS!$C:$C,"M")</f>
        <v>121</v>
      </c>
      <c r="J15" s="89">
        <f t="shared" si="0"/>
        <v>189</v>
      </c>
      <c r="K15" s="90">
        <f t="shared" si="1"/>
        <v>3134</v>
      </c>
      <c r="L15" s="90">
        <f>SUMIFS(MOVIMIENTOS!$F:$F,MOVIMIENTOS!$A:$A,$A15,MOVIMIENTOS!$B:$B,"REPROCESO")</f>
        <v>0</v>
      </c>
      <c r="M15" s="89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89" t="str">
        <f>IFERROR(IF(LOOKUP(2,1/((MOVIMIENTOS!$A$5:$A$1019=$A15)*((MOVIMIENTOS!$B$5:$B$1019="ENVÍO A SUPESA")+(MOVIMIENTOS!$B$5:$B$1019="ENVÍO A TOTTUS")+(MOVIMIENTOS!$B$5:$B$1019="ENVIO A TOTTUS"))*(MOVIMIENTOS!$G$5:$G$1019&lt;&gt;"")),MOVIMIENTOS!$G$5:$G$1019)&lt;&gt;"","G-"&amp;LOOKUP(2,1/((MOVIMIENTOS!$A$5:$A$1019=$A15)*((MOVIMIENTOS!$B$5:$B$1019="ENVÍO A SUPESA")+(MOVIMIENTOS!$B$5:$B$1019="ENVÍO A TOTTUS")+(MOVIMIENTOS!$B$5:$B$1019="ENVIO A TOTTUS"))*(MOVIMIENTOS!$G$5:$G$1019&lt;&gt;"")),MOVIMIENTOS!$G$5:$G$1019),""),"")</f>
        <v>G-2984</v>
      </c>
      <c r="O15" s="89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89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89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89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89">
        <f t="shared" si="2"/>
        <v>206</v>
      </c>
      <c r="T15" s="90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94">
        <f>IFERROR(INDEX('SALDO DIARIO'!$B:$B,MATCH($A15,'SALDO DIARIO'!$A:$A,0)),0)</f>
        <v>10</v>
      </c>
      <c r="V15" s="94">
        <f>IFERROR(INDEX('SALDO DIARIO'!$C:$C,MATCH($A15,'SALDO DIARIO'!$A:$A,0)),0)</f>
        <v>0</v>
      </c>
      <c r="W15" s="94">
        <f>IFERROR(INDEX('SALDO DIARIO'!$D:$D,MATCH($A15,'SALDO DIARIO'!$A:$A,0)),0)</f>
        <v>0</v>
      </c>
      <c r="X15" s="94">
        <f>IFERROR(INDEX('SALDO DIARIO'!$E:$E,MATCH($A15,'SALDO DIARIO'!$A:$A,0)),0)</f>
        <v>47</v>
      </c>
      <c r="Y15" s="94">
        <f>IFERROR(INDEX('SALDO DIARIO'!$G:$G,MATCH($A15,'SALDO DIARIO'!$A:$A,0)),0)</f>
        <v>57</v>
      </c>
      <c r="Z15" s="89">
        <f>SUMIFS(MOVIMIENTOS!$E:$E,MOVIMIENTOS!$A:$A,$A15,MOVIMIENTOS!$B:$B,"PROCESO",MOVIMIENTOS!$C:$C,"Chancho")</f>
        <v>7</v>
      </c>
      <c r="AA15" s="90">
        <f>SUMIFS(MOVIMIENTOS!$F:$F,MOVIMIENTOS!$A:$A,$A15,MOVIMIENTOS!$B:$B,"PROCESO",MOVIMIENTOS!$C:$C,"Chancho")</f>
        <v>679</v>
      </c>
      <c r="AB15" s="89">
        <f>SUMIFS(MOVIMIENTOS!$E:$E,MOVIMIENTOS!$A:$A,$A15,MOVIMIENTOS!$B:$B,"VENTA CHANCHO",MOVIMIENTOS!$C:$C,"Chancho")</f>
        <v>0</v>
      </c>
      <c r="AC15" s="90">
        <f>SUMIFS(MOVIMIENTOS!$F:$F,MOVIMIENTOS!$A:$A,$A15,MOVIMIENTOS!$B:$B,"VENTA CHANCHO",MOVIMIENTOS!$C:$C,"Chancho")</f>
        <v>0</v>
      </c>
      <c r="AD15" s="89" t="str">
        <f>IFERROR(LOOKUP(2,1/((MOVIMIENTOS!$A$5:$A$1019=$A15)*(MOVIMIENTOS!$B$5:$B$1019="VENTA CHANCHO")*(MOVIMIENTOS!$C$5:$C$1019="Chancho")*(MOVIMIENTOS!$G$5:$G$1019&lt;&gt;"")),MOVIMIENTOS!$G$5:$G$1019),IFERROR(LOOKUP(2,1/((MOVIMIENTOS!$A$5:$A$1019=$A15)*(MOVIMIENTOS!$B$5:$B$1019="VENTA CHANCHO")*(MOVIMIENTOS!$C$5:$C$1019="Chancho")*(MOVIMIENTOS!$I$5:$I$1019&lt;&gt;"")),MOVIMIENTOS!$I$5:$I$1019),""))</f>
        <v/>
      </c>
      <c r="AE15" s="94">
        <f>IFERROR(INDEX('SALDO DIARIO'!$F:$F,MATCH($A15,'SALDO DIARIO'!$A:$A,0)),0)</f>
        <v>35</v>
      </c>
      <c r="AF15" s="90">
        <f t="shared" si="3"/>
        <v>67</v>
      </c>
      <c r="AG15" s="91">
        <f t="shared" si="4"/>
        <v>1.7</v>
      </c>
      <c r="AI15" s="92">
        <f t="shared" si="5"/>
        <v>46217</v>
      </c>
      <c r="AJ15" s="90">
        <f t="shared" si="6"/>
        <v>3880</v>
      </c>
      <c r="AK15" s="90">
        <f t="shared" si="7"/>
        <v>3134</v>
      </c>
      <c r="AL15" s="90">
        <f t="shared" si="8"/>
        <v>3379</v>
      </c>
      <c r="AM15" s="93">
        <f t="shared" si="9"/>
        <v>7</v>
      </c>
      <c r="AN15" s="90">
        <f t="shared" si="10"/>
        <v>679</v>
      </c>
      <c r="AO15" s="90">
        <f t="shared" si="11"/>
        <v>67</v>
      </c>
      <c r="AP15" s="91">
        <f t="shared" si="12"/>
        <v>1.7</v>
      </c>
      <c r="AR15" s="89"/>
      <c r="AS15" s="90"/>
      <c r="AT15" s="90"/>
      <c r="AU15" s="90"/>
      <c r="AV15" s="93"/>
      <c r="AW15" s="90"/>
      <c r="AX15" s="90"/>
      <c r="AY15" s="91"/>
    </row>
    <row r="16" spans="1:51" ht="15" customHeight="1" x14ac:dyDescent="0.2">
      <c r="A16" s="87">
        <v>46218</v>
      </c>
      <c r="B16" s="88" t="s">
        <v>257</v>
      </c>
      <c r="C16" s="88" t="s">
        <v>254</v>
      </c>
      <c r="D16" s="89">
        <f>SUMIFS(MOVIMIENTOS!$E:$E,MOVIMIENTOS!$A:$A,$A16,MOVIMIENTOS!$B:$B,"COMPRA")</f>
        <v>40</v>
      </c>
      <c r="E16" s="90">
        <f>SUMIFS(MOVIMIENTOS!$F:$F,MOVIMIENTOS!$A:$A,$A16,MOVIMIENTOS!$B:$B,"COMPRA")</f>
        <v>3880</v>
      </c>
      <c r="F16" s="89">
        <f>SUMIFS(MOVIMIENTOS!$E:$E,MOVIMIENTOS!$A:$A,$A16,MOVIMIENTOS!$B:$B,"PROCESO",MOVIMIENTOS!$C:$C,"A")</f>
        <v>79</v>
      </c>
      <c r="G16" s="89">
        <f>SUMIFS(MOVIMIENTOS!$E:$E,MOVIMIENTOS!$A:$A,$A16,MOVIMIENTOS!$B:$B,"PROCESO",MOVIMIENTOS!$C:$C,"P")</f>
        <v>22</v>
      </c>
      <c r="H16" s="89">
        <f>SUMIFS(MOVIMIENTOS!$E:$E,MOVIMIENTOS!$A:$A,$A16,MOVIMIENTOS!$B:$B,"PROCESO",MOVIMIENTOS!$C:$C,"C")</f>
        <v>21</v>
      </c>
      <c r="I16" s="89">
        <f>SUMIFS(MOVIMIENTOS!$E:$E,MOVIMIENTOS!$A:$A,$A16,MOVIMIENTOS!$B:$B,"PROCESO",MOVIMIENTOS!$C:$C,"M")</f>
        <v>83</v>
      </c>
      <c r="J16" s="89">
        <f t="shared" si="0"/>
        <v>205</v>
      </c>
      <c r="K16" s="90">
        <f t="shared" si="1"/>
        <v>3349</v>
      </c>
      <c r="L16" s="90">
        <f>SUMIFS(MOVIMIENTOS!$F:$F,MOVIMIENTOS!$A:$A,$A16,MOVIMIENTOS!$B:$B,"REPROCESO")</f>
        <v>0</v>
      </c>
      <c r="M16" s="89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89" t="str">
        <f>IFERROR(IF(LOOKUP(2,1/((MOVIMIENTOS!$A$5:$A$1019=$A16)*((MOVIMIENTOS!$B$5:$B$1019="ENVÍO A SUPESA")+(MOVIMIENTOS!$B$5:$B$1019="ENVÍO A TOTTUS")+(MOVIMIENTOS!$B$5:$B$1019="ENVIO A TOTTUS"))*(MOVIMIENTOS!$G$5:$G$1019&lt;&gt;"")),MOVIMIENTOS!$G$5:$G$1019)&lt;&gt;"","G-"&amp;LOOKUP(2,1/((MOVIMIENTOS!$A$5:$A$1019=$A16)*((MOVIMIENTOS!$B$5:$B$1019="ENVÍO A SUPESA")+(MOVIMIENTOS!$B$5:$B$1019="ENVÍO A TOTTUS")+(MOVIMIENTOS!$B$5:$B$1019="ENVIO A TOTTUS"))*(MOVIMIENTOS!$G$5:$G$1019&lt;&gt;"")),MOVIMIENTOS!$G$5:$G$1019),""),"")</f>
        <v>G-2986</v>
      </c>
      <c r="O16" s="89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89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89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89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89">
        <f t="shared" si="2"/>
        <v>182</v>
      </c>
      <c r="T16" s="90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94">
        <f>IFERROR(INDEX('SALDO DIARIO'!$B:$B,MATCH($A16,'SALDO DIARIO'!$A:$A,0)),0)</f>
        <v>22</v>
      </c>
      <c r="V16" s="94">
        <f>IFERROR(INDEX('SALDO DIARIO'!$C:$C,MATCH($A16,'SALDO DIARIO'!$A:$A,0)),0)</f>
        <v>11</v>
      </c>
      <c r="W16" s="94">
        <f>IFERROR(INDEX('SALDO DIARIO'!$D:$D,MATCH($A16,'SALDO DIARIO'!$A:$A,0)),0)</f>
        <v>12</v>
      </c>
      <c r="X16" s="94">
        <f>IFERROR(INDEX('SALDO DIARIO'!$E:$E,MATCH($A16,'SALDO DIARIO'!$A:$A,0)),0)</f>
        <v>35</v>
      </c>
      <c r="Y16" s="94">
        <f>IFERROR(INDEX('SALDO DIARIO'!$G:$G,MATCH($A16,'SALDO DIARIO'!$A:$A,0)),0)</f>
        <v>80</v>
      </c>
      <c r="Z16" s="89">
        <f>SUMIFS(MOVIMIENTOS!$E:$E,MOVIMIENTOS!$A:$A,$A16,MOVIMIENTOS!$B:$B,"PROCESO",MOVIMIENTOS!$C:$C,"Chancho")</f>
        <v>5</v>
      </c>
      <c r="AA16" s="90">
        <f>SUMIFS(MOVIMIENTOS!$F:$F,MOVIMIENTOS!$A:$A,$A16,MOVIMIENTOS!$B:$B,"PROCESO",MOVIMIENTOS!$C:$C,"Chancho")</f>
        <v>485</v>
      </c>
      <c r="AB16" s="89">
        <f>SUMIFS(MOVIMIENTOS!$E:$E,MOVIMIENTOS!$A:$A,$A16,MOVIMIENTOS!$B:$B,"VENTA CHANCHO",MOVIMIENTOS!$C:$C,"Chancho")</f>
        <v>35</v>
      </c>
      <c r="AC16" s="90">
        <f>SUMIFS(MOVIMIENTOS!$F:$F,MOVIMIENTOS!$A:$A,$A16,MOVIMIENTOS!$B:$B,"VENTA CHANCHO",MOVIMIENTOS!$C:$C,"Chancho")</f>
        <v>3395</v>
      </c>
      <c r="AD16" s="89" t="str">
        <f>IFERROR(LOOKUP(2,1/((MOVIMIENTOS!$A$5:$A$1019=$A16)*(MOVIMIENTOS!$B$5:$B$1019="VENTA CHANCHO")*(MOVIMIENTOS!$C$5:$C$1019="Chancho")*(MOVIMIENTOS!$G$5:$G$1019&lt;&gt;"")),MOVIMIENTOS!$G$5:$G$1019),IFERROR(LOOKUP(2,1/((MOVIMIENTOS!$A$5:$A$1019=$A16)*(MOVIMIENTOS!$B$5:$B$1019="VENTA CHANCHO")*(MOVIMIENTOS!$C$5:$C$1019="Chancho")*(MOVIMIENTOS!$I$5:$I$1019&lt;&gt;"")),MOVIMIENTOS!$I$5:$I$1019),""))</f>
        <v>TCK002-724</v>
      </c>
      <c r="AE16" s="94">
        <f>IFERROR(INDEX('SALDO DIARIO'!$F:$F,MATCH($A16,'SALDO DIARIO'!$A:$A,0)),0)</f>
        <v>5</v>
      </c>
      <c r="AF16" s="90">
        <f t="shared" si="3"/>
        <v>46</v>
      </c>
      <c r="AG16" s="91">
        <f t="shared" si="4"/>
        <v>1.2</v>
      </c>
      <c r="AI16" s="92">
        <f t="shared" si="5"/>
        <v>46218</v>
      </c>
      <c r="AJ16" s="90">
        <f t="shared" si="6"/>
        <v>3880</v>
      </c>
      <c r="AK16" s="90">
        <f t="shared" si="7"/>
        <v>3349</v>
      </c>
      <c r="AL16" s="90">
        <f t="shared" si="8"/>
        <v>2971</v>
      </c>
      <c r="AM16" s="93">
        <f t="shared" si="9"/>
        <v>5</v>
      </c>
      <c r="AN16" s="90">
        <f t="shared" si="10"/>
        <v>485</v>
      </c>
      <c r="AO16" s="90">
        <f t="shared" si="11"/>
        <v>46</v>
      </c>
      <c r="AP16" s="91">
        <f t="shared" si="12"/>
        <v>1.2</v>
      </c>
      <c r="AR16" s="89"/>
      <c r="AS16" s="90"/>
      <c r="AT16" s="90"/>
      <c r="AU16" s="90"/>
      <c r="AV16" s="93"/>
      <c r="AW16" s="90"/>
      <c r="AX16" s="90"/>
      <c r="AY16" s="91"/>
    </row>
    <row r="17" spans="1:51" ht="15" customHeight="1" x14ac:dyDescent="0.2">
      <c r="A17" s="87">
        <v>46219</v>
      </c>
      <c r="B17" s="88" t="s">
        <v>259</v>
      </c>
      <c r="C17" s="88" t="s">
        <v>254</v>
      </c>
      <c r="D17" s="89">
        <f>SUMIFS(MOVIMIENTOS!$E:$E,MOVIMIENTOS!$A:$A,$A17,MOVIMIENTOS!$B:$B,"COMPRA")</f>
        <v>40</v>
      </c>
      <c r="E17" s="90">
        <f>SUMIFS(MOVIMIENTOS!$F:$F,MOVIMIENTOS!$A:$A,$A17,MOVIMIENTOS!$B:$B,"COMPRA")</f>
        <v>3880</v>
      </c>
      <c r="F17" s="89">
        <f>SUMIFS(MOVIMIENTOS!$E:$E,MOVIMIENTOS!$A:$A,$A17,MOVIMIENTOS!$B:$B,"PROCESO",MOVIMIENTOS!$C:$C,"A")</f>
        <v>68</v>
      </c>
      <c r="G17" s="89">
        <f>SUMIFS(MOVIMIENTOS!$E:$E,MOVIMIENTOS!$A:$A,$A17,MOVIMIENTOS!$B:$B,"PROCESO",MOVIMIENTOS!$C:$C,"P")</f>
        <v>11</v>
      </c>
      <c r="H17" s="89">
        <f>SUMIFS(MOVIMIENTOS!$E:$E,MOVIMIENTOS!$A:$A,$A17,MOVIMIENTOS!$B:$B,"PROCESO",MOVIMIENTOS!$C:$C,"C")</f>
        <v>12</v>
      </c>
      <c r="I17" s="89">
        <f>SUMIFS(MOVIMIENTOS!$E:$E,MOVIMIENTOS!$A:$A,$A17,MOVIMIENTOS!$B:$B,"PROCESO",MOVIMIENTOS!$C:$C,"M")</f>
        <v>116</v>
      </c>
      <c r="J17" s="89">
        <f t="shared" si="0"/>
        <v>207</v>
      </c>
      <c r="K17" s="90">
        <f t="shared" si="1"/>
        <v>3394</v>
      </c>
      <c r="L17" s="90">
        <f>SUMIFS(MOVIMIENTOS!$F:$F,MOVIMIENTOS!$A:$A,$A17,MOVIMIENTOS!$B:$B,"REPROCESO")</f>
        <v>0</v>
      </c>
      <c r="M17" s="89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89" t="str">
        <f>IFERROR(IF(LOOKUP(2,1/((MOVIMIENTOS!$A$5:$A$1019=$A17)*((MOVIMIENTOS!$B$5:$B$1019="ENVÍO A SUPESA")+(MOVIMIENTOS!$B$5:$B$1019="ENVÍO A TOTTUS")+(MOVIMIENTOS!$B$5:$B$1019="ENVIO A TOTTUS"))*(MOVIMIENTOS!$G$5:$G$1019&lt;&gt;"")),MOVIMIENTOS!$G$5:$G$1019)&lt;&gt;"","G-"&amp;LOOKUP(2,1/((MOVIMIENTOS!$A$5:$A$1019=$A17)*((MOVIMIENTOS!$B$5:$B$1019="ENVÍO A SUPESA")+(MOVIMIENTOS!$B$5:$B$1019="ENVÍO A TOTTUS")+(MOVIMIENTOS!$B$5:$B$1019="ENVIO A TOTTUS"))*(MOVIMIENTOS!$G$5:$G$1019&lt;&gt;"")),MOVIMIENTOS!$G$5:$G$1019),""),"")</f>
        <v>G-2992</v>
      </c>
      <c r="O17" s="89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89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89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89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89">
        <f t="shared" si="2"/>
        <v>201</v>
      </c>
      <c r="T17" s="90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94">
        <f>IFERROR(INDEX('SALDO DIARIO'!$B:$B,MATCH($A17,'SALDO DIARIO'!$A:$A,0)),0)</f>
        <v>27</v>
      </c>
      <c r="V17" s="94">
        <f>IFERROR(INDEX('SALDO DIARIO'!$C:$C,MATCH($A17,'SALDO DIARIO'!$A:$A,0)),0)</f>
        <v>11</v>
      </c>
      <c r="W17" s="94">
        <f>IFERROR(INDEX('SALDO DIARIO'!$D:$D,MATCH($A17,'SALDO DIARIO'!$A:$A,0)),0)</f>
        <v>12</v>
      </c>
      <c r="X17" s="94">
        <f>IFERROR(INDEX('SALDO DIARIO'!$E:$E,MATCH($A17,'SALDO DIARIO'!$A:$A,0)),0)</f>
        <v>36</v>
      </c>
      <c r="Y17" s="94">
        <f>IFERROR(INDEX('SALDO DIARIO'!$G:$G,MATCH($A17,'SALDO DIARIO'!$A:$A,0)),0)</f>
        <v>86</v>
      </c>
      <c r="Z17" s="89">
        <f>SUMIFS(MOVIMIENTOS!$E:$E,MOVIMIENTOS!$A:$A,$A17,MOVIMIENTOS!$B:$B,"PROCESO",MOVIMIENTOS!$C:$C,"Chancho")</f>
        <v>4</v>
      </c>
      <c r="AA17" s="90">
        <f>SUMIFS(MOVIMIENTOS!$F:$F,MOVIMIENTOS!$A:$A,$A17,MOVIMIENTOS!$B:$B,"PROCESO",MOVIMIENTOS!$C:$C,"Chancho")</f>
        <v>388</v>
      </c>
      <c r="AB17" s="89">
        <f>SUMIFS(MOVIMIENTOS!$E:$E,MOVIMIENTOS!$A:$A,$A17,MOVIMIENTOS!$B:$B,"VENTA CHANCHO",MOVIMIENTOS!$C:$C,"Chancho")</f>
        <v>0</v>
      </c>
      <c r="AC17" s="90">
        <f>SUMIFS(MOVIMIENTOS!$F:$F,MOVIMIENTOS!$A:$A,$A17,MOVIMIENTOS!$B:$B,"VENTA CHANCHO",MOVIMIENTOS!$C:$C,"Chancho")</f>
        <v>0</v>
      </c>
      <c r="AD17" s="89" t="str">
        <f>IFERROR(LOOKUP(2,1/((MOVIMIENTOS!$A$5:$A$1019=$A17)*(MOVIMIENTOS!$B$5:$B$1019="VENTA CHANCHO")*(MOVIMIENTOS!$C$5:$C$1019="Chancho")*(MOVIMIENTOS!$G$5:$G$1019&lt;&gt;"")),MOVIMIENTOS!$G$5:$G$1019),IFERROR(LOOKUP(2,1/((MOVIMIENTOS!$A$5:$A$1019=$A17)*(MOVIMIENTOS!$B$5:$B$1019="VENTA CHANCHO")*(MOVIMIENTOS!$C$5:$C$1019="Chancho")*(MOVIMIENTOS!$I$5:$I$1019&lt;&gt;"")),MOVIMIENTOS!$I$5:$I$1019),""))</f>
        <v/>
      </c>
      <c r="AE17" s="94">
        <f>IFERROR(INDEX('SALDO DIARIO'!$F:$F,MATCH($A17,'SALDO DIARIO'!$A:$A,0)),0)</f>
        <v>9</v>
      </c>
      <c r="AF17" s="90">
        <f t="shared" si="3"/>
        <v>98</v>
      </c>
      <c r="AG17" s="91">
        <f t="shared" si="4"/>
        <v>2.5</v>
      </c>
      <c r="AI17" s="92">
        <f t="shared" si="5"/>
        <v>46219</v>
      </c>
      <c r="AJ17" s="90">
        <f t="shared" si="6"/>
        <v>3880</v>
      </c>
      <c r="AK17" s="90">
        <f t="shared" si="7"/>
        <v>3394</v>
      </c>
      <c r="AL17" s="90">
        <f t="shared" si="8"/>
        <v>3302</v>
      </c>
      <c r="AM17" s="93">
        <f t="shared" si="9"/>
        <v>4</v>
      </c>
      <c r="AN17" s="90">
        <f t="shared" si="10"/>
        <v>388</v>
      </c>
      <c r="AO17" s="90">
        <f t="shared" si="11"/>
        <v>98</v>
      </c>
      <c r="AP17" s="91">
        <f t="shared" si="12"/>
        <v>2.5</v>
      </c>
      <c r="AR17" s="89"/>
      <c r="AS17" s="90"/>
      <c r="AT17" s="90"/>
      <c r="AU17" s="90"/>
      <c r="AV17" s="93"/>
      <c r="AW17" s="90"/>
      <c r="AX17" s="90"/>
      <c r="AY17" s="91"/>
    </row>
    <row r="18" spans="1:51" ht="15" customHeight="1" x14ac:dyDescent="0.2">
      <c r="A18" s="87">
        <v>46220</v>
      </c>
      <c r="B18" s="88" t="s">
        <v>261</v>
      </c>
      <c r="C18" s="88" t="s">
        <v>254</v>
      </c>
      <c r="D18" s="89">
        <f>SUMIFS(MOVIMIENTOS!$E:$E,MOVIMIENTOS!$A:$A,$A18,MOVIMIENTOS!$B:$B,"COMPRA")</f>
        <v>65</v>
      </c>
      <c r="E18" s="90">
        <f>SUMIFS(MOVIMIENTOS!$F:$F,MOVIMIENTOS!$A:$A,$A18,MOVIMIENTOS!$B:$B,"COMPRA")</f>
        <v>6305</v>
      </c>
      <c r="F18" s="89">
        <f>SUMIFS(MOVIMIENTOS!$E:$E,MOVIMIENTOS!$A:$A,$A18,MOVIMIENTOS!$B:$B,"PROCESO",MOVIMIENTOS!$C:$C,"A")</f>
        <v>103</v>
      </c>
      <c r="G18" s="89">
        <f>SUMIFS(MOVIMIENTOS!$E:$E,MOVIMIENTOS!$A:$A,$A18,MOVIMIENTOS!$B:$B,"PROCESO",MOVIMIENTOS!$C:$C,"P")</f>
        <v>4</v>
      </c>
      <c r="H18" s="89">
        <f>SUMIFS(MOVIMIENTOS!$E:$E,MOVIMIENTOS!$A:$A,$A18,MOVIMIENTOS!$B:$B,"PROCESO",MOVIMIENTOS!$C:$C,"C")</f>
        <v>9</v>
      </c>
      <c r="I18" s="89">
        <f>SUMIFS(MOVIMIENTOS!$E:$E,MOVIMIENTOS!$A:$A,$A18,MOVIMIENTOS!$B:$B,"PROCESO",MOVIMIENTOS!$C:$C,"M")</f>
        <v>196</v>
      </c>
      <c r="J18" s="89">
        <f t="shared" si="0"/>
        <v>312</v>
      </c>
      <c r="K18" s="90">
        <f t="shared" si="1"/>
        <v>5102</v>
      </c>
      <c r="L18" s="90">
        <f>SUMIFS(MOVIMIENTOS!$F:$F,MOVIMIENTOS!$A:$A,$A18,MOVIMIENTOS!$B:$B,"REPROCESO")</f>
        <v>0</v>
      </c>
      <c r="M18" s="89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89" t="str">
        <f>IFERROR(IF(LOOKUP(2,1/((MOVIMIENTOS!$A$5:$A$1019=$A18)*((MOVIMIENTOS!$B$5:$B$1019="ENVÍO A SUPESA")+(MOVIMIENTOS!$B$5:$B$1019="ENVÍO A TOTTUS")+(MOVIMIENTOS!$B$5:$B$1019="ENVIO A TOTTUS"))*(MOVIMIENTOS!$G$5:$G$1019&lt;&gt;"")),MOVIMIENTOS!$G$5:$G$1019)&lt;&gt;"","G-"&amp;LOOKUP(2,1/((MOVIMIENTOS!$A$5:$A$1019=$A18)*((MOVIMIENTOS!$B$5:$B$1019="ENVÍO A SUPESA")+(MOVIMIENTOS!$B$5:$B$1019="ENVÍO A TOTTUS")+(MOVIMIENTOS!$B$5:$B$1019="ENVIO A TOTTUS"))*(MOVIMIENTOS!$G$5:$G$1019&lt;&gt;"")),MOVIMIENTOS!$G$5:$G$1019),""),"")</f>
        <v>G-2994</v>
      </c>
      <c r="O18" s="89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89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89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89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89">
        <f t="shared" si="2"/>
        <v>208</v>
      </c>
      <c r="T18" s="90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94">
        <f>IFERROR(INDEX('SALDO DIARIO'!$B:$B,MATCH($A18,'SALDO DIARIO'!$A:$A,0)),0)</f>
        <v>63</v>
      </c>
      <c r="V18" s="94">
        <f>IFERROR(INDEX('SALDO DIARIO'!$C:$C,MATCH($A18,'SALDO DIARIO'!$A:$A,0)),0)</f>
        <v>4</v>
      </c>
      <c r="W18" s="94">
        <f>IFERROR(INDEX('SALDO DIARIO'!$D:$D,MATCH($A18,'SALDO DIARIO'!$A:$A,0)),0)</f>
        <v>9</v>
      </c>
      <c r="X18" s="94">
        <f>IFERROR(INDEX('SALDO DIARIO'!$E:$E,MATCH($A18,'SALDO DIARIO'!$A:$A,0)),0)</f>
        <v>114</v>
      </c>
      <c r="Y18" s="94">
        <f>IFERROR(INDEX('SALDO DIARIO'!$G:$G,MATCH($A18,'SALDO DIARIO'!$A:$A,0)),0)</f>
        <v>190</v>
      </c>
      <c r="Z18" s="89">
        <f>SUMIFS(MOVIMIENTOS!$E:$E,MOVIMIENTOS!$A:$A,$A18,MOVIMIENTOS!$B:$B,"PROCESO",MOVIMIENTOS!$C:$C,"Chancho")</f>
        <v>11</v>
      </c>
      <c r="AA18" s="90">
        <f>SUMIFS(MOVIMIENTOS!$F:$F,MOVIMIENTOS!$A:$A,$A18,MOVIMIENTOS!$B:$B,"PROCESO",MOVIMIENTOS!$C:$C,"Chancho")</f>
        <v>1067</v>
      </c>
      <c r="AB18" s="89">
        <f>SUMIFS(MOVIMIENTOS!$E:$E,MOVIMIENTOS!$A:$A,$A18,MOVIMIENTOS!$B:$B,"VENTA CHANCHO",MOVIMIENTOS!$C:$C,"Chancho")</f>
        <v>15</v>
      </c>
      <c r="AC18" s="90">
        <f>SUMIFS(MOVIMIENTOS!$F:$F,MOVIMIENTOS!$A:$A,$A18,MOVIMIENTOS!$B:$B,"VENTA CHANCHO",MOVIMIENTOS!$C:$C,"Chancho")</f>
        <v>1455</v>
      </c>
      <c r="AD18" s="89" t="str">
        <f>IFERROR(LOOKUP(2,1/((MOVIMIENTOS!$A$5:$A$1019=$A18)*(MOVIMIENTOS!$B$5:$B$1019="VENTA CHANCHO")*(MOVIMIENTOS!$C$5:$C$1019="Chancho")*(MOVIMIENTOS!$G$5:$G$1019&lt;&gt;"")),MOVIMIENTOS!$G$5:$G$1019),IFERROR(LOOKUP(2,1/((MOVIMIENTOS!$A$5:$A$1019=$A18)*(MOVIMIENTOS!$B$5:$B$1019="VENTA CHANCHO")*(MOVIMIENTOS!$C$5:$C$1019="Chancho")*(MOVIMIENTOS!$I$5:$I$1019&lt;&gt;"")),MOVIMIENTOS!$I$5:$I$1019),""))</f>
        <v>TCK002-725</v>
      </c>
      <c r="AE18" s="94">
        <f>IFERROR(INDEX('SALDO DIARIO'!$F:$F,MATCH($A18,'SALDO DIARIO'!$A:$A,0)),0)</f>
        <v>5</v>
      </c>
      <c r="AF18" s="90">
        <f t="shared" si="3"/>
        <v>136</v>
      </c>
      <c r="AG18" s="91">
        <f t="shared" si="4"/>
        <v>2.2000000000000002</v>
      </c>
      <c r="AI18" s="92">
        <f t="shared" si="5"/>
        <v>46220</v>
      </c>
      <c r="AJ18" s="90">
        <f t="shared" si="6"/>
        <v>6305</v>
      </c>
      <c r="AK18" s="90">
        <f t="shared" si="7"/>
        <v>5102</v>
      </c>
      <c r="AL18" s="90">
        <f t="shared" si="8"/>
        <v>3413</v>
      </c>
      <c r="AM18" s="93">
        <f t="shared" si="9"/>
        <v>11</v>
      </c>
      <c r="AN18" s="90">
        <f t="shared" si="10"/>
        <v>1067</v>
      </c>
      <c r="AO18" s="90">
        <f t="shared" si="11"/>
        <v>136</v>
      </c>
      <c r="AP18" s="91">
        <f t="shared" si="12"/>
        <v>2.2000000000000002</v>
      </c>
      <c r="AR18" s="89"/>
      <c r="AS18" s="90"/>
      <c r="AT18" s="90"/>
      <c r="AU18" s="90"/>
      <c r="AV18" s="93"/>
      <c r="AW18" s="90"/>
      <c r="AX18" s="90"/>
      <c r="AY18" s="91"/>
    </row>
    <row r="19" spans="1:51" ht="15" customHeight="1" x14ac:dyDescent="0.2">
      <c r="A19" s="87">
        <v>46221</v>
      </c>
      <c r="B19" s="88" t="s">
        <v>263</v>
      </c>
      <c r="C19" s="88" t="s">
        <v>254</v>
      </c>
      <c r="D19" s="89">
        <f>SUMIFS(MOVIMIENTOS!$E:$E,MOVIMIENTOS!$A:$A,$A19,MOVIMIENTOS!$B:$B,"COMPRA")</f>
        <v>33</v>
      </c>
      <c r="E19" s="90">
        <f>SUMIFS(MOVIMIENTOS!$F:$F,MOVIMIENTOS!$A:$A,$A19,MOVIMIENTOS!$B:$B,"COMPRA")</f>
        <v>3201</v>
      </c>
      <c r="F19" s="89">
        <f>SUMIFS(MOVIMIENTOS!$E:$E,MOVIMIENTOS!$A:$A,$A19,MOVIMIENTOS!$B:$B,"PROCESO",MOVIMIENTOS!$C:$C,"A")</f>
        <v>67</v>
      </c>
      <c r="G19" s="89">
        <f>SUMIFS(MOVIMIENTOS!$E:$E,MOVIMIENTOS!$A:$A,$A19,MOVIMIENTOS!$B:$B,"PROCESO",MOVIMIENTOS!$C:$C,"P")</f>
        <v>11</v>
      </c>
      <c r="H19" s="89">
        <f>SUMIFS(MOVIMIENTOS!$E:$E,MOVIMIENTOS!$A:$A,$A19,MOVIMIENTOS!$B:$B,"PROCESO",MOVIMIENTOS!$C:$C,"C")</f>
        <v>12</v>
      </c>
      <c r="I19" s="89">
        <f>SUMIFS(MOVIMIENTOS!$E:$E,MOVIMIENTOS!$A:$A,$A19,MOVIMIENTOS!$B:$B,"PROCESO",MOVIMIENTOS!$C:$C,"M")</f>
        <v>54</v>
      </c>
      <c r="J19" s="89">
        <f t="shared" si="0"/>
        <v>144</v>
      </c>
      <c r="K19" s="90">
        <f t="shared" si="1"/>
        <v>2325</v>
      </c>
      <c r="L19" s="90">
        <f>SUMIFS(MOVIMIENTOS!$F:$F,MOVIMIENTOS!$A:$A,$A19,MOVIMIENTOS!$B:$B,"REPROCESO")</f>
        <v>0</v>
      </c>
      <c r="M19" s="89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89" t="str">
        <f>IFERROR(IF(LOOKUP(2,1/((MOVIMIENTOS!$A$5:$A$1019=$A19)*((MOVIMIENTOS!$B$5:$B$1019="ENVÍO A SUPESA")+(MOVIMIENTOS!$B$5:$B$1019="ENVÍO A TOTTUS")+(MOVIMIENTOS!$B$5:$B$1019="ENVIO A TOTTUS"))*(MOVIMIENTOS!$G$5:$G$1019&lt;&gt;"")),MOVIMIENTOS!$G$5:$G$1019)&lt;&gt;"","G-"&amp;LOOKUP(2,1/((MOVIMIENTOS!$A$5:$A$1019=$A19)*((MOVIMIENTOS!$B$5:$B$1019="ENVÍO A SUPESA")+(MOVIMIENTOS!$B$5:$B$1019="ENVÍO A TOTTUS")+(MOVIMIENTOS!$B$5:$B$1019="ENVIO A TOTTUS"))*(MOVIMIENTOS!$G$5:$G$1019&lt;&gt;"")),MOVIMIENTOS!$G$5:$G$1019),""),"")</f>
        <v>G-2996</v>
      </c>
      <c r="O19" s="89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89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89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89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89">
        <f t="shared" si="2"/>
        <v>194</v>
      </c>
      <c r="T19" s="90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94">
        <f>IFERROR(INDEX('SALDO DIARIO'!$B:$B,MATCH($A19,'SALDO DIARIO'!$A:$A,0)),0)</f>
        <v>62</v>
      </c>
      <c r="V19" s="94">
        <f>IFERROR(INDEX('SALDO DIARIO'!$C:$C,MATCH($A19,'SALDO DIARIO'!$A:$A,0)),0)</f>
        <v>11</v>
      </c>
      <c r="W19" s="94">
        <f>IFERROR(INDEX('SALDO DIARIO'!$D:$D,MATCH($A19,'SALDO DIARIO'!$A:$A,0)),0)</f>
        <v>12</v>
      </c>
      <c r="X19" s="94">
        <f>IFERROR(INDEX('SALDO DIARIO'!$E:$E,MATCH($A19,'SALDO DIARIO'!$A:$A,0)),0)</f>
        <v>54</v>
      </c>
      <c r="Y19" s="94">
        <f>IFERROR(INDEX('SALDO DIARIO'!$G:$G,MATCH($A19,'SALDO DIARIO'!$A:$A,0)),0)</f>
        <v>139</v>
      </c>
      <c r="Z19" s="89">
        <f>SUMIFS(MOVIMIENTOS!$E:$E,MOVIMIENTOS!$A:$A,$A19,MOVIMIENTOS!$B:$B,"PROCESO",MOVIMIENTOS!$C:$C,"Chancho")</f>
        <v>10</v>
      </c>
      <c r="AA19" s="90">
        <f>SUMIFS(MOVIMIENTOS!$F:$F,MOVIMIENTOS!$A:$A,$A19,MOVIMIENTOS!$B:$B,"PROCESO",MOVIMIENTOS!$C:$C,"Chancho")</f>
        <v>970</v>
      </c>
      <c r="AB19" s="89">
        <f>SUMIFS(MOVIMIENTOS!$E:$E,MOVIMIENTOS!$A:$A,$A19,MOVIMIENTOS!$B:$B,"VENTA CHANCHO",MOVIMIENTOS!$C:$C,"Chancho")</f>
        <v>0</v>
      </c>
      <c r="AC19" s="90">
        <f>SUMIFS(MOVIMIENTOS!$F:$F,MOVIMIENTOS!$A:$A,$A19,MOVIMIENTOS!$B:$B,"VENTA CHANCHO",MOVIMIENTOS!$C:$C,"Chancho")</f>
        <v>0</v>
      </c>
      <c r="AD19" s="89" t="str">
        <f>IFERROR(LOOKUP(2,1/((MOVIMIENTOS!$A$5:$A$1019=$A19)*(MOVIMIENTOS!$B$5:$B$1019="VENTA CHANCHO")*(MOVIMIENTOS!$C$5:$C$1019="Chancho")*(MOVIMIENTOS!$G$5:$G$1019&lt;&gt;"")),MOVIMIENTOS!$G$5:$G$1019),IFERROR(LOOKUP(2,1/((MOVIMIENTOS!$A$5:$A$1019=$A19)*(MOVIMIENTOS!$B$5:$B$1019="VENTA CHANCHO")*(MOVIMIENTOS!$C$5:$C$1019="Chancho")*(MOVIMIENTOS!$I$5:$I$1019&lt;&gt;"")),MOVIMIENTOS!$I$5:$I$1019),""))</f>
        <v/>
      </c>
      <c r="AE19" s="94">
        <f>IFERROR(INDEX('SALDO DIARIO'!$F:$F,MATCH($A19,'SALDO DIARIO'!$A:$A,0)),0)</f>
        <v>15</v>
      </c>
      <c r="AF19" s="90">
        <f t="shared" si="3"/>
        <v>-94</v>
      </c>
      <c r="AG19" s="91">
        <f t="shared" si="4"/>
        <v>-2.9</v>
      </c>
      <c r="AI19" s="92">
        <f t="shared" si="5"/>
        <v>46221</v>
      </c>
      <c r="AJ19" s="90">
        <f t="shared" si="6"/>
        <v>3201</v>
      </c>
      <c r="AK19" s="90">
        <f t="shared" si="7"/>
        <v>2325</v>
      </c>
      <c r="AL19" s="90">
        <f t="shared" si="8"/>
        <v>3168</v>
      </c>
      <c r="AM19" s="93">
        <f t="shared" si="9"/>
        <v>10</v>
      </c>
      <c r="AN19" s="90">
        <f t="shared" si="10"/>
        <v>970</v>
      </c>
      <c r="AO19" s="90">
        <f t="shared" si="11"/>
        <v>-94</v>
      </c>
      <c r="AP19" s="91">
        <f t="shared" si="12"/>
        <v>-2.9</v>
      </c>
      <c r="AR19" s="89"/>
      <c r="AS19" s="90"/>
      <c r="AT19" s="90"/>
      <c r="AU19" s="90"/>
      <c r="AV19" s="93"/>
      <c r="AW19" s="90"/>
      <c r="AX19" s="90"/>
      <c r="AY19" s="91"/>
    </row>
    <row r="20" spans="1:51" ht="15" customHeight="1" x14ac:dyDescent="0.2">
      <c r="A20" s="87">
        <v>46222</v>
      </c>
      <c r="B20" s="88" t="s">
        <v>251</v>
      </c>
      <c r="C20" s="88" t="s">
        <v>256</v>
      </c>
      <c r="D20" s="89">
        <f>SUMIFS(MOVIMIENTOS!$E:$E,MOVIMIENTOS!$A:$A,$A20,MOVIMIENTOS!$B:$B,"COMPRA")</f>
        <v>17</v>
      </c>
      <c r="E20" s="90">
        <f>SUMIFS(MOVIMIENTOS!$F:$F,MOVIMIENTOS!$A:$A,$A20,MOVIMIENTOS!$B:$B,"COMPRA")</f>
        <v>1649</v>
      </c>
      <c r="F20" s="89">
        <f>SUMIFS(MOVIMIENTOS!$E:$E,MOVIMIENTOS!$A:$A,$A20,MOVIMIENTOS!$B:$B,"PROCESO",MOVIMIENTOS!$C:$C,"A")</f>
        <v>40</v>
      </c>
      <c r="G20" s="89">
        <f>SUMIFS(MOVIMIENTOS!$E:$E,MOVIMIENTOS!$A:$A,$A20,MOVIMIENTOS!$B:$B,"PROCESO",MOVIMIENTOS!$C:$C,"P")</f>
        <v>0</v>
      </c>
      <c r="H20" s="89">
        <f>SUMIFS(MOVIMIENTOS!$E:$E,MOVIMIENTOS!$A:$A,$A20,MOVIMIENTOS!$B:$B,"PROCESO",MOVIMIENTOS!$C:$C,"C")</f>
        <v>0</v>
      </c>
      <c r="I20" s="89">
        <f>SUMIFS(MOVIMIENTOS!$E:$E,MOVIMIENTOS!$A:$A,$A20,MOVIMIENTOS!$B:$B,"PROCESO",MOVIMIENTOS!$C:$C,"M")</f>
        <v>34</v>
      </c>
      <c r="J20" s="89">
        <f t="shared" si="0"/>
        <v>74</v>
      </c>
      <c r="K20" s="90">
        <f t="shared" si="1"/>
        <v>1178</v>
      </c>
      <c r="L20" s="90">
        <f>SUMIFS(MOVIMIENTOS!$F:$F,MOVIMIENTOS!$A:$A,$A20,MOVIMIENTOS!$B:$B,"REPROCESO")</f>
        <v>0</v>
      </c>
      <c r="M20" s="89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89" t="str">
        <f>IFERROR(IF(LOOKUP(2,1/((MOVIMIENTOS!$A$5:$A$1019=$A20)*((MOVIMIENTOS!$B$5:$B$1019="ENVÍO A SUPESA")+(MOVIMIENTOS!$B$5:$B$1019="ENVÍO A TOTTUS")+(MOVIMIENTOS!$B$5:$B$1019="ENVIO A TOTTUS"))*(MOVIMIENTOS!$G$5:$G$1019&lt;&gt;"")),MOVIMIENTOS!$G$5:$G$1019)&lt;&gt;"","G-"&amp;LOOKUP(2,1/((MOVIMIENTOS!$A$5:$A$1019=$A20)*((MOVIMIENTOS!$B$5:$B$1019="ENVÍO A SUPESA")+(MOVIMIENTOS!$B$5:$B$1019="ENVÍO A TOTTUS")+(MOVIMIENTOS!$B$5:$B$1019="ENVIO A TOTTUS"))*(MOVIMIENTOS!$G$5:$G$1019&lt;&gt;"")),MOVIMIENTOS!$G$5:$G$1019),""),"")</f>
        <v>G-2998</v>
      </c>
      <c r="O20" s="89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89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89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89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89">
        <f t="shared" si="2"/>
        <v>118</v>
      </c>
      <c r="T20" s="90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94">
        <f>IFERROR(INDEX('SALDO DIARIO'!$B:$B,MATCH($A20,'SALDO DIARIO'!$A:$A,0)),0)</f>
        <v>35</v>
      </c>
      <c r="V20" s="94">
        <f>IFERROR(INDEX('SALDO DIARIO'!$C:$C,MATCH($A20,'SALDO DIARIO'!$A:$A,0)),0)</f>
        <v>0</v>
      </c>
      <c r="W20" s="94">
        <f>IFERROR(INDEX('SALDO DIARIO'!$D:$D,MATCH($A20,'SALDO DIARIO'!$A:$A,0)),0)</f>
        <v>0</v>
      </c>
      <c r="X20" s="94">
        <f>IFERROR(INDEX('SALDO DIARIO'!$E:$E,MATCH($A20,'SALDO DIARIO'!$A:$A,0)),0)</f>
        <v>60</v>
      </c>
      <c r="Y20" s="94">
        <f>IFERROR(INDEX('SALDO DIARIO'!$G:$G,MATCH($A20,'SALDO DIARIO'!$A:$A,0)),0)</f>
        <v>95</v>
      </c>
      <c r="Z20" s="89">
        <f>SUMIFS(MOVIMIENTOS!$E:$E,MOVIMIENTOS!$A:$A,$A20,MOVIMIENTOS!$B:$B,"PROCESO",MOVIMIENTOS!$C:$C,"Chancho")</f>
        <v>3</v>
      </c>
      <c r="AA20" s="90">
        <f>SUMIFS(MOVIMIENTOS!$F:$F,MOVIMIENTOS!$A:$A,$A20,MOVIMIENTOS!$B:$B,"PROCESO",MOVIMIENTOS!$C:$C,"Chancho")</f>
        <v>291</v>
      </c>
      <c r="AB20" s="89">
        <f>SUMIFS(MOVIMIENTOS!$E:$E,MOVIMIENTOS!$A:$A,$A20,MOVIMIENTOS!$B:$B,"VENTA CHANCHO",MOVIMIENTOS!$C:$C,"Chancho")</f>
        <v>0</v>
      </c>
      <c r="AC20" s="90">
        <f>SUMIFS(MOVIMIENTOS!$F:$F,MOVIMIENTOS!$A:$A,$A20,MOVIMIENTOS!$B:$B,"VENTA CHANCHO",MOVIMIENTOS!$C:$C,"Chancho")</f>
        <v>0</v>
      </c>
      <c r="AD20" s="89" t="str">
        <f>IFERROR(LOOKUP(2,1/((MOVIMIENTOS!$A$5:$A$1019=$A20)*(MOVIMIENTOS!$B$5:$B$1019="VENTA CHANCHO")*(MOVIMIENTOS!$C$5:$C$1019="Chancho")*(MOVIMIENTOS!$G$5:$G$1019&lt;&gt;"")),MOVIMIENTOS!$G$5:$G$1019),IFERROR(LOOKUP(2,1/((MOVIMIENTOS!$A$5:$A$1019=$A20)*(MOVIMIENTOS!$B$5:$B$1019="VENTA CHANCHO")*(MOVIMIENTOS!$C$5:$C$1019="Chancho")*(MOVIMIENTOS!$I$5:$I$1019&lt;&gt;"")),MOVIMIENTOS!$I$5:$I$1019),""))</f>
        <v/>
      </c>
      <c r="AE20" s="94">
        <f>IFERROR(INDEX('SALDO DIARIO'!$F:$F,MATCH($A20,'SALDO DIARIO'!$A:$A,0)),0)</f>
        <v>18</v>
      </c>
      <c r="AF20" s="90">
        <f t="shared" si="3"/>
        <v>180</v>
      </c>
      <c r="AG20" s="91">
        <f t="shared" si="4"/>
        <v>10.9</v>
      </c>
      <c r="AI20" s="92">
        <f t="shared" si="5"/>
        <v>46222</v>
      </c>
      <c r="AJ20" s="90">
        <f t="shared" si="6"/>
        <v>1649</v>
      </c>
      <c r="AK20" s="90">
        <f t="shared" si="7"/>
        <v>1178</v>
      </c>
      <c r="AL20" s="90">
        <f t="shared" si="8"/>
        <v>1883</v>
      </c>
      <c r="AM20" s="93">
        <f t="shared" si="9"/>
        <v>3</v>
      </c>
      <c r="AN20" s="90">
        <f t="shared" si="10"/>
        <v>291</v>
      </c>
      <c r="AO20" s="90">
        <f t="shared" si="11"/>
        <v>180</v>
      </c>
      <c r="AP20" s="91">
        <f t="shared" si="12"/>
        <v>10.9</v>
      </c>
      <c r="AR20" s="89"/>
      <c r="AS20" s="90"/>
      <c r="AT20" s="90"/>
      <c r="AU20" s="90"/>
      <c r="AV20" s="93"/>
      <c r="AW20" s="90"/>
      <c r="AX20" s="90"/>
      <c r="AY20" s="91"/>
    </row>
    <row r="21" spans="1:51" ht="15" customHeight="1" x14ac:dyDescent="0.2">
      <c r="A21" s="87">
        <v>46223</v>
      </c>
      <c r="B21" s="88" t="s">
        <v>253</v>
      </c>
      <c r="C21" s="88" t="s">
        <v>256</v>
      </c>
      <c r="D21" s="89">
        <f>SUMIFS(MOVIMIENTOS!$E:$E,MOVIMIENTOS!$A:$A,$A21,MOVIMIENTOS!$B:$B,"COMPRA")</f>
        <v>48</v>
      </c>
      <c r="E21" s="90">
        <f>SUMIFS(MOVIMIENTOS!$F:$F,MOVIMIENTOS!$A:$A,$A21,MOVIMIENTOS!$B:$B,"COMPRA")</f>
        <v>4656</v>
      </c>
      <c r="F21" s="89">
        <f>SUMIFS(MOVIMIENTOS!$E:$E,MOVIMIENTOS!$A:$A,$A21,MOVIMIENTOS!$B:$B,"PROCESO",MOVIMIENTOS!$C:$C,"A")</f>
        <v>68</v>
      </c>
      <c r="G21" s="89">
        <f>SUMIFS(MOVIMIENTOS!$E:$E,MOVIMIENTOS!$A:$A,$A21,MOVIMIENTOS!$B:$B,"PROCESO",MOVIMIENTOS!$C:$C,"P")</f>
        <v>23</v>
      </c>
      <c r="H21" s="89">
        <f>SUMIFS(MOVIMIENTOS!$E:$E,MOVIMIENTOS!$A:$A,$A21,MOVIMIENTOS!$B:$B,"PROCESO",MOVIMIENTOS!$C:$C,"C")</f>
        <v>23</v>
      </c>
      <c r="I21" s="89">
        <f>SUMIFS(MOVIMIENTOS!$E:$E,MOVIMIENTOS!$A:$A,$A21,MOVIMIENTOS!$B:$B,"PROCESO",MOVIMIENTOS!$C:$C,"M")</f>
        <v>129</v>
      </c>
      <c r="J21" s="89">
        <f t="shared" si="0"/>
        <v>243</v>
      </c>
      <c r="K21" s="90">
        <f t="shared" si="1"/>
        <v>4018</v>
      </c>
      <c r="L21" s="90">
        <f>SUMIFS(MOVIMIENTOS!$F:$F,MOVIMIENTOS!$A:$A,$A21,MOVIMIENTOS!$B:$B,"REPROCESO")</f>
        <v>0</v>
      </c>
      <c r="M21" s="89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89" t="str">
        <f>IFERROR(IF(LOOKUP(2,1/((MOVIMIENTOS!$A$5:$A$1019=$A21)*((MOVIMIENTOS!$B$5:$B$1019="ENVÍO A SUPESA")+(MOVIMIENTOS!$B$5:$B$1019="ENVÍO A TOTTUS")+(MOVIMIENTOS!$B$5:$B$1019="ENVIO A TOTTUS"))*(MOVIMIENTOS!$G$5:$G$1019&lt;&gt;"")),MOVIMIENTOS!$G$5:$G$1019)&lt;&gt;"","G-"&amp;LOOKUP(2,1/((MOVIMIENTOS!$A$5:$A$1019=$A21)*((MOVIMIENTOS!$B$5:$B$1019="ENVÍO A SUPESA")+(MOVIMIENTOS!$B$5:$B$1019="ENVÍO A TOTTUS")+(MOVIMIENTOS!$B$5:$B$1019="ENVIO A TOTTUS"))*(MOVIMIENTOS!$G$5:$G$1019&lt;&gt;"")),MOVIMIENTOS!$G$5:$G$1019),""),"")</f>
        <v>G-3001</v>
      </c>
      <c r="O21" s="89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89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89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89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89">
        <f t="shared" si="2"/>
        <v>201</v>
      </c>
      <c r="T21" s="90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94">
        <f>IFERROR(INDEX('SALDO DIARIO'!$B:$B,MATCH($A21,'SALDO DIARIO'!$A:$A,0)),0)</f>
        <v>36</v>
      </c>
      <c r="V21" s="94">
        <f>IFERROR(INDEX('SALDO DIARIO'!$C:$C,MATCH($A21,'SALDO DIARIO'!$A:$A,0)),0)</f>
        <v>11</v>
      </c>
      <c r="W21" s="94">
        <f>IFERROR(INDEX('SALDO DIARIO'!$D:$D,MATCH($A21,'SALDO DIARIO'!$A:$A,0)),0)</f>
        <v>10</v>
      </c>
      <c r="X21" s="94">
        <f>IFERROR(INDEX('SALDO DIARIO'!$E:$E,MATCH($A21,'SALDO DIARIO'!$A:$A,0)),0)</f>
        <v>78</v>
      </c>
      <c r="Y21" s="94">
        <f>IFERROR(INDEX('SALDO DIARIO'!$G:$G,MATCH($A21,'SALDO DIARIO'!$A:$A,0)),0)</f>
        <v>135</v>
      </c>
      <c r="Z21" s="89">
        <f>SUMIFS(MOVIMIENTOS!$E:$E,MOVIMIENTOS!$A:$A,$A21,MOVIMIENTOS!$B:$B,"PROCESO",MOVIMIENTOS!$C:$C,"Chancho")</f>
        <v>6.5</v>
      </c>
      <c r="AA21" s="90">
        <f>SUMIFS(MOVIMIENTOS!$F:$F,MOVIMIENTOS!$A:$A,$A21,MOVIMIENTOS!$B:$B,"PROCESO",MOVIMIENTOS!$C:$C,"Chancho")</f>
        <v>630.5</v>
      </c>
      <c r="AB21" s="89">
        <f>SUMIFS(MOVIMIENTOS!$E:$E,MOVIMIENTOS!$A:$A,$A21,MOVIMIENTOS!$B:$B,"VENTA CHANCHO",MOVIMIENTOS!$C:$C,"Chancho")</f>
        <v>18</v>
      </c>
      <c r="AC21" s="90">
        <f>SUMIFS(MOVIMIENTOS!$F:$F,MOVIMIENTOS!$A:$A,$A21,MOVIMIENTOS!$B:$B,"VENTA CHANCHO",MOVIMIENTOS!$C:$C,"Chancho")</f>
        <v>1746</v>
      </c>
      <c r="AD21" s="89" t="str">
        <f>IFERROR(LOOKUP(2,1/((MOVIMIENTOS!$A$5:$A$1019=$A21)*(MOVIMIENTOS!$B$5:$B$1019="VENTA CHANCHO")*(MOVIMIENTOS!$C$5:$C$1019="Chancho")*(MOVIMIENTOS!$G$5:$G$1019&lt;&gt;"")),MOVIMIENTOS!$G$5:$G$1019),IFERROR(LOOKUP(2,1/((MOVIMIENTOS!$A$5:$A$1019=$A21)*(MOVIMIENTOS!$B$5:$B$1019="VENTA CHANCHO")*(MOVIMIENTOS!$C$5:$C$1019="Chancho")*(MOVIMIENTOS!$I$5:$I$1019&lt;&gt;"")),MOVIMIENTOS!$I$5:$I$1019),""))</f>
        <v>TCK002-726</v>
      </c>
      <c r="AE21" s="94">
        <f>IFERROR(INDEX('SALDO DIARIO'!$F:$F,MATCH($A21,'SALDO DIARIO'!$A:$A,0)),0)</f>
        <v>6.5</v>
      </c>
      <c r="AF21" s="90">
        <f t="shared" si="3"/>
        <v>7.5</v>
      </c>
      <c r="AG21" s="91">
        <f t="shared" si="4"/>
        <v>0.2</v>
      </c>
      <c r="AI21" s="92">
        <f t="shared" si="5"/>
        <v>46223</v>
      </c>
      <c r="AJ21" s="90">
        <f t="shared" si="6"/>
        <v>4656</v>
      </c>
      <c r="AK21" s="90">
        <f t="shared" si="7"/>
        <v>4018</v>
      </c>
      <c r="AL21" s="90">
        <f t="shared" si="8"/>
        <v>3294</v>
      </c>
      <c r="AM21" s="93">
        <f t="shared" si="9"/>
        <v>6.5</v>
      </c>
      <c r="AN21" s="90">
        <f t="shared" si="10"/>
        <v>630.5</v>
      </c>
      <c r="AO21" s="90">
        <f t="shared" si="11"/>
        <v>7.5</v>
      </c>
      <c r="AP21" s="91">
        <f t="shared" si="12"/>
        <v>0.2</v>
      </c>
      <c r="AR21" s="89"/>
      <c r="AS21" s="90"/>
      <c r="AT21" s="90"/>
      <c r="AU21" s="90"/>
      <c r="AV21" s="93"/>
      <c r="AW21" s="90"/>
      <c r="AX21" s="90"/>
      <c r="AY21" s="91"/>
    </row>
    <row r="22" spans="1:51" ht="15" customHeight="1" x14ac:dyDescent="0.2">
      <c r="A22" s="87">
        <v>46224</v>
      </c>
      <c r="B22" s="88" t="s">
        <v>255</v>
      </c>
      <c r="C22" s="88" t="s">
        <v>256</v>
      </c>
      <c r="D22" s="89">
        <f>SUMIFS(MOVIMIENTOS!$E:$E,MOVIMIENTOS!$A:$A,$A22,MOVIMIENTOS!$B:$B,"COMPRA")</f>
        <v>22</v>
      </c>
      <c r="E22" s="90">
        <f>SUMIFS(MOVIMIENTOS!$F:$F,MOVIMIENTOS!$A:$A,$A22,MOVIMIENTOS!$B:$B,"COMPRA")</f>
        <v>2134</v>
      </c>
      <c r="F22" s="89">
        <f>SUMIFS(MOVIMIENTOS!$E:$E,MOVIMIENTOS!$A:$A,$A22,MOVIMIENTOS!$B:$B,"PROCESO",MOVIMIENTOS!$C:$C,"A")</f>
        <v>90</v>
      </c>
      <c r="G22" s="89">
        <f>SUMIFS(MOVIMIENTOS!$E:$E,MOVIMIENTOS!$A:$A,$A22,MOVIMIENTOS!$B:$B,"PROCESO",MOVIMIENTOS!$C:$C,"P")</f>
        <v>11</v>
      </c>
      <c r="H22" s="89">
        <f>SUMIFS(MOVIMIENTOS!$E:$E,MOVIMIENTOS!$A:$A,$A22,MOVIMIENTOS!$B:$B,"PROCESO",MOVIMIENTOS!$C:$C,"C")</f>
        <v>12</v>
      </c>
      <c r="I22" s="89">
        <f>SUMIFS(MOVIMIENTOS!$E:$E,MOVIMIENTOS!$A:$A,$A22,MOVIMIENTOS!$B:$B,"PROCESO",MOVIMIENTOS!$C:$C,"M")</f>
        <v>144</v>
      </c>
      <c r="J22" s="89">
        <f t="shared" si="0"/>
        <v>257</v>
      </c>
      <c r="K22" s="90">
        <f t="shared" si="1"/>
        <v>4200</v>
      </c>
      <c r="L22" s="90">
        <f>SUMIFS(MOVIMIENTOS!$F:$F,MOVIMIENTOS!$A:$A,$A22,MOVIMIENTOS!$B:$B,"REPROCESO")</f>
        <v>17</v>
      </c>
      <c r="M22" s="89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89" t="str">
        <f>IFERROR(IF(LOOKUP(2,1/((MOVIMIENTOS!$A$5:$A$1019=$A22)*((MOVIMIENTOS!$B$5:$B$1019="ENVÍO A SUPESA")+(MOVIMIENTOS!$B$5:$B$1019="ENVÍO A TOTTUS")+(MOVIMIENTOS!$B$5:$B$1019="ENVIO A TOTTUS"))*(MOVIMIENTOS!$G$5:$G$1019&lt;&gt;"")),MOVIMIENTOS!$G$5:$G$1019)&lt;&gt;"","G-"&amp;LOOKUP(2,1/((MOVIMIENTOS!$A$5:$A$1019=$A22)*((MOVIMIENTOS!$B$5:$B$1019="ENVÍO A SUPESA")+(MOVIMIENTOS!$B$5:$B$1019="ENVÍO A TOTTUS")+(MOVIMIENTOS!$B$5:$B$1019="ENVIO A TOTTUS"))*(MOVIMIENTOS!$G$5:$G$1019&lt;&gt;"")),MOVIMIENTOS!$G$5:$G$1019),""),"")</f>
        <v>G-3004</v>
      </c>
      <c r="O22" s="89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89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89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89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89">
        <f t="shared" si="2"/>
        <v>199</v>
      </c>
      <c r="T22" s="90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94">
        <f>IFERROR(INDEX('SALDO DIARIO'!$B:$B,MATCH($A22,'SALDO DIARIO'!$A:$A,0)),0)</f>
        <v>58</v>
      </c>
      <c r="V22" s="94">
        <f>IFERROR(INDEX('SALDO DIARIO'!$C:$C,MATCH($A22,'SALDO DIARIO'!$A:$A,0)),0)</f>
        <v>11</v>
      </c>
      <c r="W22" s="94">
        <f>IFERROR(INDEX('SALDO DIARIO'!$D:$D,MATCH($A22,'SALDO DIARIO'!$A:$A,0)),0)</f>
        <v>12</v>
      </c>
      <c r="X22" s="94">
        <f>IFERROR(INDEX('SALDO DIARIO'!$E:$E,MATCH($A22,'SALDO DIARIO'!$A:$A,0)),0)</f>
        <v>110</v>
      </c>
      <c r="Y22" s="94">
        <f>IFERROR(INDEX('SALDO DIARIO'!$G:$G,MATCH($A22,'SALDO DIARIO'!$A:$A,0)),0)</f>
        <v>191</v>
      </c>
      <c r="Z22" s="89">
        <f>SUMIFS(MOVIMIENTOS!$E:$E,MOVIMIENTOS!$A:$A,$A22,MOVIMIENTOS!$B:$B,"PROCESO",MOVIMIENTOS!$C:$C,"Chancho")</f>
        <v>7</v>
      </c>
      <c r="AA22" s="90">
        <f>SUMIFS(MOVIMIENTOS!$F:$F,MOVIMIENTOS!$A:$A,$A22,MOVIMIENTOS!$B:$B,"PROCESO",MOVIMIENTOS!$C:$C,"Chancho")</f>
        <v>679</v>
      </c>
      <c r="AB22" s="89">
        <f>SUMIFS(MOVIMIENTOS!$E:$E,MOVIMIENTOS!$A:$A,$A22,MOVIMIENTOS!$B:$B,"VENTA CHANCHO",MOVIMIENTOS!$C:$C,"Chancho")</f>
        <v>0</v>
      </c>
      <c r="AC22" s="90">
        <f>SUMIFS(MOVIMIENTOS!$F:$F,MOVIMIENTOS!$A:$A,$A22,MOVIMIENTOS!$B:$B,"VENTA CHANCHO",MOVIMIENTOS!$C:$C,"Chancho")</f>
        <v>0</v>
      </c>
      <c r="AD22" s="89" t="str">
        <f>IFERROR(LOOKUP(2,1/((MOVIMIENTOS!$A$5:$A$1019=$A22)*(MOVIMIENTOS!$B$5:$B$1019="VENTA CHANCHO")*(MOVIMIENTOS!$C$5:$C$1019="Chancho")*(MOVIMIENTOS!$G$5:$G$1019&lt;&gt;"")),MOVIMIENTOS!$G$5:$G$1019),IFERROR(LOOKUP(2,1/((MOVIMIENTOS!$A$5:$A$1019=$A22)*(MOVIMIENTOS!$B$5:$B$1019="VENTA CHANCHO")*(MOVIMIENTOS!$C$5:$C$1019="Chancho")*(MOVIMIENTOS!$I$5:$I$1019&lt;&gt;"")),MOVIMIENTOS!$I$5:$I$1019),""))</f>
        <v/>
      </c>
      <c r="AE22" s="94">
        <f>IFERROR(INDEX('SALDO DIARIO'!$F:$F,MATCH($A22,'SALDO DIARIO'!$A:$A,0)),0)</f>
        <v>13.5</v>
      </c>
      <c r="AF22" s="90">
        <f t="shared" si="3"/>
        <v>-2745</v>
      </c>
      <c r="AG22" s="91">
        <f t="shared" si="4"/>
        <v>-128.6</v>
      </c>
      <c r="AI22" s="92">
        <f t="shared" si="5"/>
        <v>46224</v>
      </c>
      <c r="AJ22" s="90">
        <f t="shared" si="6"/>
        <v>2134</v>
      </c>
      <c r="AK22" s="90">
        <f t="shared" si="7"/>
        <v>4200</v>
      </c>
      <c r="AL22" s="90">
        <f t="shared" si="8"/>
        <v>3260</v>
      </c>
      <c r="AM22" s="93">
        <f t="shared" si="9"/>
        <v>7</v>
      </c>
      <c r="AN22" s="90">
        <f t="shared" si="10"/>
        <v>679</v>
      </c>
      <c r="AO22" s="90">
        <f t="shared" si="11"/>
        <v>-2745</v>
      </c>
      <c r="AP22" s="91">
        <f t="shared" si="12"/>
        <v>-128.6</v>
      </c>
      <c r="AR22" s="89"/>
      <c r="AS22" s="90"/>
      <c r="AT22" s="90"/>
      <c r="AU22" s="90"/>
      <c r="AV22" s="93"/>
      <c r="AW22" s="90"/>
      <c r="AX22" s="90"/>
      <c r="AY22" s="91"/>
    </row>
    <row r="23" spans="1:51" ht="15" customHeight="1" x14ac:dyDescent="0.2">
      <c r="A23" s="87">
        <v>46225</v>
      </c>
      <c r="B23" s="88" t="s">
        <v>257</v>
      </c>
      <c r="C23" s="88" t="s">
        <v>256</v>
      </c>
      <c r="D23" s="89">
        <f>SUMIFS(MOVIMIENTOS!$E:$E,MOVIMIENTOS!$A:$A,$A23,MOVIMIENTOS!$B:$B,"COMPRA")</f>
        <v>70</v>
      </c>
      <c r="E23" s="90">
        <f>SUMIFS(MOVIMIENTOS!$F:$F,MOVIMIENTOS!$A:$A,$A23,MOVIMIENTOS!$B:$B,"COMPRA")</f>
        <v>6790</v>
      </c>
      <c r="F23" s="89">
        <f>SUMIFS(MOVIMIENTOS!$E:$E,MOVIMIENTOS!$A:$A,$A23,MOVIMIENTOS!$B:$B,"PROCESO",MOVIMIENTOS!$C:$C,"A")</f>
        <v>64</v>
      </c>
      <c r="G23" s="89">
        <f>SUMIFS(MOVIMIENTOS!$E:$E,MOVIMIENTOS!$A:$A,$A23,MOVIMIENTOS!$B:$B,"PROCESO",MOVIMIENTOS!$C:$C,"P")</f>
        <v>11</v>
      </c>
      <c r="H23" s="89">
        <f>SUMIFS(MOVIMIENTOS!$E:$E,MOVIMIENTOS!$A:$A,$A23,MOVIMIENTOS!$B:$B,"PROCESO",MOVIMIENTOS!$C:$C,"C")</f>
        <v>12</v>
      </c>
      <c r="I23" s="89">
        <f>SUMIFS(MOVIMIENTOS!$E:$E,MOVIMIENTOS!$A:$A,$A23,MOVIMIENTOS!$B:$B,"PROCESO",MOVIMIENTOS!$C:$C,"M")</f>
        <v>111</v>
      </c>
      <c r="J23" s="89">
        <f t="shared" si="0"/>
        <v>198</v>
      </c>
      <c r="K23" s="90">
        <f t="shared" si="1"/>
        <v>3249</v>
      </c>
      <c r="L23" s="90">
        <f>SUMIFS(MOVIMIENTOS!$F:$F,MOVIMIENTOS!$A:$A,$A23,MOVIMIENTOS!$B:$B,"REPROCESO")</f>
        <v>9</v>
      </c>
      <c r="M23" s="89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89" t="str">
        <f>IFERROR(IF(LOOKUP(2,1/((MOVIMIENTOS!$A$5:$A$1019=$A23)*((MOVIMIENTOS!$B$5:$B$1019="ENVÍO A SUPESA")+(MOVIMIENTOS!$B$5:$B$1019="ENVÍO A TOTTUS")+(MOVIMIENTOS!$B$5:$B$1019="ENVIO A TOTTUS"))*(MOVIMIENTOS!$G$5:$G$1019&lt;&gt;"")),MOVIMIENTOS!$G$5:$G$1019)&lt;&gt;"","G-"&amp;LOOKUP(2,1/((MOVIMIENTOS!$A$5:$A$1019=$A23)*((MOVIMIENTOS!$B$5:$B$1019="ENVÍO A SUPESA")+(MOVIMIENTOS!$B$5:$B$1019="ENVÍO A TOTTUS")+(MOVIMIENTOS!$B$5:$B$1019="ENVIO A TOTTUS"))*(MOVIMIENTOS!$G$5:$G$1019&lt;&gt;"")),MOVIMIENTOS!$G$5:$G$1019),""),"")</f>
        <v>G-3006</v>
      </c>
      <c r="O23" s="89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89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89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89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89">
        <f t="shared" si="2"/>
        <v>201</v>
      </c>
      <c r="T23" s="90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94">
        <f>IFERROR(INDEX('SALDO DIARIO'!$B:$B,MATCH($A23,'SALDO DIARIO'!$A:$A,0)),0)</f>
        <v>54</v>
      </c>
      <c r="V23" s="94">
        <f>IFERROR(INDEX('SALDO DIARIO'!$C:$C,MATCH($A23,'SALDO DIARIO'!$A:$A,0)),0)</f>
        <v>11</v>
      </c>
      <c r="W23" s="94">
        <f>IFERROR(INDEX('SALDO DIARIO'!$D:$D,MATCH($A23,'SALDO DIARIO'!$A:$A,0)),0)</f>
        <v>12</v>
      </c>
      <c r="X23" s="94">
        <f>IFERROR(INDEX('SALDO DIARIO'!$E:$E,MATCH($A23,'SALDO DIARIO'!$A:$A,0)),0)</f>
        <v>119</v>
      </c>
      <c r="Y23" s="94">
        <f>IFERROR(INDEX('SALDO DIARIO'!$G:$G,MATCH($A23,'SALDO DIARIO'!$A:$A,0)),0)</f>
        <v>196</v>
      </c>
      <c r="Z23" s="89">
        <f>SUMIFS(MOVIMIENTOS!$E:$E,MOVIMIENTOS!$A:$A,$A23,MOVIMIENTOS!$B:$B,"PROCESO",MOVIMIENTOS!$C:$C,"Chancho")</f>
        <v>8</v>
      </c>
      <c r="AA23" s="90">
        <f>SUMIFS(MOVIMIENTOS!$F:$F,MOVIMIENTOS!$A:$A,$A23,MOVIMIENTOS!$B:$B,"PROCESO",MOVIMIENTOS!$C:$C,"Chancho")</f>
        <v>776</v>
      </c>
      <c r="AB23" s="89">
        <f>SUMIFS(MOVIMIENTOS!$E:$E,MOVIMIENTOS!$A:$A,$A23,MOVIMIENTOS!$B:$B,"VENTA CHANCHO",MOVIMIENTOS!$C:$C,"Chancho")</f>
        <v>10</v>
      </c>
      <c r="AC23" s="90">
        <f>SUMIFS(MOVIMIENTOS!$F:$F,MOVIMIENTOS!$A:$A,$A23,MOVIMIENTOS!$B:$B,"VENTA CHANCHO",MOVIMIENTOS!$C:$C,"Chancho")</f>
        <v>970</v>
      </c>
      <c r="AD23" s="89" t="str">
        <f>IFERROR(LOOKUP(2,1/((MOVIMIENTOS!$A$5:$A$1019=$A23)*(MOVIMIENTOS!$B$5:$B$1019="VENTA CHANCHO")*(MOVIMIENTOS!$C$5:$C$1019="Chancho")*(MOVIMIENTOS!$G$5:$G$1019&lt;&gt;"")),MOVIMIENTOS!$G$5:$G$1019),IFERROR(LOOKUP(2,1/((MOVIMIENTOS!$A$5:$A$1019=$A23)*(MOVIMIENTOS!$B$5:$B$1019="VENTA CHANCHO")*(MOVIMIENTOS!$C$5:$C$1019="Chancho")*(MOVIMIENTOS!$I$5:$I$1019&lt;&gt;"")),MOVIMIENTOS!$I$5:$I$1019),""))</f>
        <v>FALTA</v>
      </c>
      <c r="AE23" s="94">
        <f>IFERROR(INDEX('SALDO DIARIO'!$F:$F,MATCH($A23,'SALDO DIARIO'!$A:$A,0)),0)</f>
        <v>11.5</v>
      </c>
      <c r="AF23" s="90">
        <f t="shared" si="3"/>
        <v>2765</v>
      </c>
      <c r="AG23" s="91">
        <f t="shared" si="4"/>
        <v>40.700000000000003</v>
      </c>
      <c r="AI23" s="92">
        <f t="shared" si="5"/>
        <v>46225</v>
      </c>
      <c r="AJ23" s="90">
        <f t="shared" si="6"/>
        <v>6790</v>
      </c>
      <c r="AK23" s="90">
        <f t="shared" si="7"/>
        <v>3249</v>
      </c>
      <c r="AL23" s="90">
        <f t="shared" si="8"/>
        <v>3294</v>
      </c>
      <c r="AM23" s="93">
        <f t="shared" si="9"/>
        <v>8</v>
      </c>
      <c r="AN23" s="90">
        <f t="shared" si="10"/>
        <v>776</v>
      </c>
      <c r="AO23" s="90">
        <f t="shared" si="11"/>
        <v>2765</v>
      </c>
      <c r="AP23" s="91">
        <f t="shared" si="12"/>
        <v>40.700000000000003</v>
      </c>
      <c r="AR23" s="89"/>
      <c r="AS23" s="90"/>
      <c r="AT23" s="90"/>
      <c r="AU23" s="90"/>
      <c r="AV23" s="93"/>
      <c r="AW23" s="90"/>
      <c r="AX23" s="90"/>
      <c r="AY23" s="91"/>
    </row>
    <row r="24" spans="1:51" ht="15" customHeight="1" x14ac:dyDescent="0.2">
      <c r="A24" s="87">
        <v>46226</v>
      </c>
      <c r="B24" s="88" t="s">
        <v>259</v>
      </c>
      <c r="C24" s="88" t="s">
        <v>256</v>
      </c>
      <c r="D24" s="89">
        <f>SUMIFS(MOVIMIENTOS!$E:$E,MOVIMIENTOS!$A:$A,$A24,MOVIMIENTOS!$B:$B,"COMPRA")</f>
        <v>40</v>
      </c>
      <c r="E24" s="90">
        <f>SUMIFS(MOVIMIENTOS!$F:$F,MOVIMIENTOS!$A:$A,$A24,MOVIMIENTOS!$B:$B,"COMPRA")</f>
        <v>3880</v>
      </c>
      <c r="F24" s="89">
        <f>SUMIFS(MOVIMIENTOS!$E:$E,MOVIMIENTOS!$A:$A,$A24,MOVIMIENTOS!$B:$B,"PROCESO",MOVIMIENTOS!$C:$C,"A")</f>
        <v>78</v>
      </c>
      <c r="G24" s="89">
        <f>SUMIFS(MOVIMIENTOS!$E:$E,MOVIMIENTOS!$A:$A,$A24,MOVIMIENTOS!$B:$B,"PROCESO",MOVIMIENTOS!$C:$C,"P")</f>
        <v>11</v>
      </c>
      <c r="H24" s="89">
        <f>SUMIFS(MOVIMIENTOS!$E:$E,MOVIMIENTOS!$A:$A,$A24,MOVIMIENTOS!$B:$B,"PROCESO",MOVIMIENTOS!$C:$C,"C")</f>
        <v>12</v>
      </c>
      <c r="I24" s="89">
        <f>SUMIFS(MOVIMIENTOS!$E:$E,MOVIMIENTOS!$A:$A,$A24,MOVIMIENTOS!$B:$B,"PROCESO",MOVIMIENTOS!$C:$C,"M")</f>
        <v>94</v>
      </c>
      <c r="J24" s="89">
        <f t="shared" si="0"/>
        <v>195</v>
      </c>
      <c r="K24" s="90">
        <f t="shared" si="1"/>
        <v>3170</v>
      </c>
      <c r="L24" s="90">
        <f>SUMIFS(MOVIMIENTOS!$F:$F,MOVIMIENTOS!$A:$A,$A24,MOVIMIENTOS!$B:$B,"REPROCESO")</f>
        <v>0</v>
      </c>
      <c r="M24" s="89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89" t="str">
        <f>IFERROR(IF(LOOKUP(2,1/((MOVIMIENTOS!$A$5:$A$1019=$A24)*((MOVIMIENTOS!$B$5:$B$1019="ENVÍO A SUPESA")+(MOVIMIENTOS!$B$5:$B$1019="ENVÍO A TOTTUS")+(MOVIMIENTOS!$B$5:$B$1019="ENVIO A TOTTUS"))*(MOVIMIENTOS!$G$5:$G$1019&lt;&gt;"")),MOVIMIENTOS!$G$5:$G$1019)&lt;&gt;"","G-"&amp;LOOKUP(2,1/((MOVIMIENTOS!$A$5:$A$1019=$A24)*((MOVIMIENTOS!$B$5:$B$1019="ENVÍO A SUPESA")+(MOVIMIENTOS!$B$5:$B$1019="ENVÍO A TOTTUS")+(MOVIMIENTOS!$B$5:$B$1019="ENVIO A TOTTUS"))*(MOVIMIENTOS!$G$5:$G$1019&lt;&gt;"")),MOVIMIENTOS!$G$5:$G$1019),""),"")</f>
        <v>G-3008</v>
      </c>
      <c r="O24" s="89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89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89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89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89">
        <f t="shared" si="2"/>
        <v>208</v>
      </c>
      <c r="T24" s="90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94">
        <f>IFERROR(INDEX('SALDO DIARIO'!$B:$B,MATCH($A24,'SALDO DIARIO'!$A:$A,0)),0)</f>
        <v>65</v>
      </c>
      <c r="V24" s="94">
        <f>IFERROR(INDEX('SALDO DIARIO'!$C:$C,MATCH($A24,'SALDO DIARIO'!$A:$A,0)),0)</f>
        <v>11</v>
      </c>
      <c r="W24" s="94">
        <f>IFERROR(INDEX('SALDO DIARIO'!$D:$D,MATCH($A24,'SALDO DIARIO'!$A:$A,0)),0)</f>
        <v>12</v>
      </c>
      <c r="X24" s="94">
        <f>IFERROR(INDEX('SALDO DIARIO'!$E:$E,MATCH($A24,'SALDO DIARIO'!$A:$A,0)),0)</f>
        <v>95</v>
      </c>
      <c r="Y24" s="94">
        <f>IFERROR(INDEX('SALDO DIARIO'!$G:$G,MATCH($A24,'SALDO DIARIO'!$A:$A,0)),0)</f>
        <v>183</v>
      </c>
      <c r="Z24" s="89">
        <f>SUMIFS(MOVIMIENTOS!$E:$E,MOVIMIENTOS!$A:$A,$A24,MOVIMIENTOS!$B:$B,"PROCESO",MOVIMIENTOS!$C:$C,"Chancho")</f>
        <v>6.5</v>
      </c>
      <c r="AA24" s="90">
        <f>SUMIFS(MOVIMIENTOS!$F:$F,MOVIMIENTOS!$A:$A,$A24,MOVIMIENTOS!$B:$B,"PROCESO",MOVIMIENTOS!$C:$C,"Chancho")</f>
        <v>630.5</v>
      </c>
      <c r="AB24" s="89">
        <f>SUMIFS(MOVIMIENTOS!$E:$E,MOVIMIENTOS!$A:$A,$A24,MOVIMIENTOS!$B:$B,"VENTA CHANCHO",MOVIMIENTOS!$C:$C,"Chancho")</f>
        <v>0</v>
      </c>
      <c r="AC24" s="90">
        <f>SUMIFS(MOVIMIENTOS!$F:$F,MOVIMIENTOS!$A:$A,$A24,MOVIMIENTOS!$B:$B,"VENTA CHANCHO",MOVIMIENTOS!$C:$C,"Chancho")</f>
        <v>0</v>
      </c>
      <c r="AD24" s="89" t="str">
        <f>IFERROR(LOOKUP(2,1/((MOVIMIENTOS!$A$5:$A$1019=$A24)*(MOVIMIENTOS!$B$5:$B$1019="VENTA CHANCHO")*(MOVIMIENTOS!$C$5:$C$1019="Chancho")*(MOVIMIENTOS!$G$5:$G$1019&lt;&gt;"")),MOVIMIENTOS!$G$5:$G$1019),IFERROR(LOOKUP(2,1/((MOVIMIENTOS!$A$5:$A$1019=$A24)*(MOVIMIENTOS!$B$5:$B$1019="VENTA CHANCHO")*(MOVIMIENTOS!$C$5:$C$1019="Chancho")*(MOVIMIENTOS!$I$5:$I$1019&lt;&gt;"")),MOVIMIENTOS!$I$5:$I$1019),""))</f>
        <v/>
      </c>
      <c r="AE24" s="94">
        <f>IFERROR(INDEX('SALDO DIARIO'!$F:$F,MATCH($A24,'SALDO DIARIO'!$A:$A,0)),0)</f>
        <v>18</v>
      </c>
      <c r="AF24" s="90">
        <f t="shared" si="3"/>
        <v>79.5</v>
      </c>
      <c r="AG24" s="91">
        <f t="shared" si="4"/>
        <v>2</v>
      </c>
      <c r="AI24" s="92">
        <f t="shared" si="5"/>
        <v>46226</v>
      </c>
      <c r="AJ24" s="90">
        <f t="shared" si="6"/>
        <v>3880</v>
      </c>
      <c r="AK24" s="90">
        <f t="shared" si="7"/>
        <v>3170</v>
      </c>
      <c r="AL24" s="90">
        <f t="shared" si="8"/>
        <v>3413</v>
      </c>
      <c r="AM24" s="93">
        <f t="shared" si="9"/>
        <v>6.5</v>
      </c>
      <c r="AN24" s="90">
        <f t="shared" si="10"/>
        <v>630.5</v>
      </c>
      <c r="AO24" s="90">
        <f t="shared" si="11"/>
        <v>79.5</v>
      </c>
      <c r="AP24" s="91">
        <f t="shared" si="12"/>
        <v>2</v>
      </c>
    </row>
    <row r="25" spans="1:51" ht="15" customHeight="1" x14ac:dyDescent="0.2">
      <c r="A25" s="87">
        <v>46227</v>
      </c>
      <c r="B25" s="88" t="s">
        <v>261</v>
      </c>
      <c r="C25" s="88" t="s">
        <v>256</v>
      </c>
      <c r="D25" s="89">
        <f>SUMIFS(MOVIMIENTOS!$E:$E,MOVIMIENTOS!$A:$A,$A25,MOVIMIENTOS!$B:$B,"COMPRA")</f>
        <v>43</v>
      </c>
      <c r="E25" s="90">
        <f>SUMIFS(MOVIMIENTOS!$F:$F,MOVIMIENTOS!$A:$A,$A25,MOVIMIENTOS!$B:$B,"COMPRA")</f>
        <v>4171</v>
      </c>
      <c r="F25" s="89">
        <f>SUMIFS(MOVIMIENTOS!$E:$E,MOVIMIENTOS!$A:$A,$A25,MOVIMIENTOS!$B:$B,"PROCESO",MOVIMIENTOS!$C:$C,"A")</f>
        <v>48</v>
      </c>
      <c r="G25" s="89">
        <f>SUMIFS(MOVIMIENTOS!$E:$E,MOVIMIENTOS!$A:$A,$A25,MOVIMIENTOS!$B:$B,"PROCESO",MOVIMIENTOS!$C:$C,"P")</f>
        <v>3</v>
      </c>
      <c r="H25" s="89">
        <f>SUMIFS(MOVIMIENTOS!$E:$E,MOVIMIENTOS!$A:$A,$A25,MOVIMIENTOS!$B:$B,"PROCESO",MOVIMIENTOS!$C:$C,"C")</f>
        <v>5</v>
      </c>
      <c r="I25" s="89">
        <f>SUMIFS(MOVIMIENTOS!$E:$E,MOVIMIENTOS!$A:$A,$A25,MOVIMIENTOS!$B:$B,"PROCESO",MOVIMIENTOS!$C:$C,"M")</f>
        <v>95</v>
      </c>
      <c r="J25" s="89">
        <f t="shared" si="0"/>
        <v>151</v>
      </c>
      <c r="K25" s="90">
        <f t="shared" si="1"/>
        <v>2474</v>
      </c>
      <c r="L25" s="90">
        <f>SUMIFS(MOVIMIENTOS!$F:$F,MOVIMIENTOS!$A:$A,$A25,MOVIMIENTOS!$B:$B,"REPROCESO")</f>
        <v>21</v>
      </c>
      <c r="M25" s="89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89" t="str">
        <f>IFERROR(IF(LOOKUP(2,1/((MOVIMIENTOS!$A$5:$A$1019=$A25)*((MOVIMIENTOS!$B$5:$B$1019="ENVÍO A SUPESA")+(MOVIMIENTOS!$B$5:$B$1019="ENVÍO A TOTTUS")+(MOVIMIENTOS!$B$5:$B$1019="ENVIO A TOTTUS"))*(MOVIMIENTOS!$G$5:$G$1019&lt;&gt;"")),MOVIMIENTOS!$G$5:$G$1019)&lt;&gt;"","G-"&amp;LOOKUP(2,1/((MOVIMIENTOS!$A$5:$A$1019=$A25)*((MOVIMIENTOS!$B$5:$B$1019="ENVÍO A SUPESA")+(MOVIMIENTOS!$B$5:$B$1019="ENVÍO A TOTTUS")+(MOVIMIENTOS!$B$5:$B$1019="ENVIO A TOTTUS"))*(MOVIMIENTOS!$G$5:$G$1019&lt;&gt;"")),MOVIMIENTOS!$G$5:$G$1019),""),"")</f>
        <v>G-3011</v>
      </c>
      <c r="O25" s="89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89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89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89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89">
        <f t="shared" si="2"/>
        <v>208</v>
      </c>
      <c r="T25" s="90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94">
        <f>IFERROR(INDEX('SALDO DIARIO'!$B:$B,MATCH($A25,'SALDO DIARIO'!$A:$A,0)),0)</f>
        <v>46</v>
      </c>
      <c r="V25" s="94">
        <f>IFERROR(INDEX('SALDO DIARIO'!$C:$C,MATCH($A25,'SALDO DIARIO'!$A:$A,0)),0)</f>
        <v>3</v>
      </c>
      <c r="W25" s="94">
        <f>IFERROR(INDEX('SALDO DIARIO'!$D:$D,MATCH($A25,'SALDO DIARIO'!$A:$A,0)),0)</f>
        <v>5</v>
      </c>
      <c r="X25" s="94">
        <f>IFERROR(INDEX('SALDO DIARIO'!$E:$E,MATCH($A25,'SALDO DIARIO'!$A:$A,0)),0)</f>
        <v>72</v>
      </c>
      <c r="Y25" s="94">
        <f>IFERROR(INDEX('SALDO DIARIO'!$G:$G,MATCH($A25,'SALDO DIARIO'!$A:$A,0)),0)</f>
        <v>126</v>
      </c>
      <c r="Z25" s="89">
        <f>SUMIFS(MOVIMIENTOS!$E:$E,MOVIMIENTOS!$A:$A,$A25,MOVIMIENTOS!$B:$B,"PROCESO",MOVIMIENTOS!$C:$C,"Chancho")</f>
        <v>6</v>
      </c>
      <c r="AA25" s="90">
        <f>SUMIFS(MOVIMIENTOS!$F:$F,MOVIMIENTOS!$A:$A,$A25,MOVIMIENTOS!$B:$B,"PROCESO",MOVIMIENTOS!$C:$C,"Chancho")</f>
        <v>582</v>
      </c>
      <c r="AB25" s="89">
        <f>SUMIFS(MOVIMIENTOS!$E:$E,MOVIMIENTOS!$A:$A,$A25,MOVIMIENTOS!$B:$B,"VENTA CHANCHO",MOVIMIENTOS!$C:$C,"Chancho")</f>
        <v>10</v>
      </c>
      <c r="AC25" s="90">
        <f>SUMIFS(MOVIMIENTOS!$F:$F,MOVIMIENTOS!$A:$A,$A25,MOVIMIENTOS!$B:$B,"VENTA CHANCHO",MOVIMIENTOS!$C:$C,"Chancho")</f>
        <v>970</v>
      </c>
      <c r="AD25" s="89" t="str">
        <f>IFERROR(LOOKUP(2,1/((MOVIMIENTOS!$A$5:$A$1019=$A25)*(MOVIMIENTOS!$B$5:$B$1019="VENTA CHANCHO")*(MOVIMIENTOS!$C$5:$C$1019="Chancho")*(MOVIMIENTOS!$G$5:$G$1019&lt;&gt;"")),MOVIMIENTOS!$G$5:$G$1019),IFERROR(LOOKUP(2,1/((MOVIMIENTOS!$A$5:$A$1019=$A25)*(MOVIMIENTOS!$B$5:$B$1019="VENTA CHANCHO")*(MOVIMIENTOS!$C$5:$C$1019="Chancho")*(MOVIMIENTOS!$I$5:$I$1019&lt;&gt;"")),MOVIMIENTOS!$I$5:$I$1019),""))</f>
        <v>TCK002-734</v>
      </c>
      <c r="AE25" s="94">
        <f>IFERROR(INDEX('SALDO DIARIO'!$F:$F,MATCH($A25,'SALDO DIARIO'!$A:$A,0)),0)</f>
        <v>14</v>
      </c>
      <c r="AF25" s="90">
        <f t="shared" si="3"/>
        <v>1115</v>
      </c>
      <c r="AG25" s="91">
        <f t="shared" si="4"/>
        <v>26.7</v>
      </c>
      <c r="AI25" s="92">
        <f t="shared" si="5"/>
        <v>46227</v>
      </c>
      <c r="AJ25" s="90">
        <f t="shared" si="6"/>
        <v>4171</v>
      </c>
      <c r="AK25" s="90">
        <f t="shared" si="7"/>
        <v>2474</v>
      </c>
      <c r="AL25" s="90">
        <f t="shared" si="8"/>
        <v>3461</v>
      </c>
      <c r="AM25" s="93">
        <f t="shared" si="9"/>
        <v>6</v>
      </c>
      <c r="AN25" s="90">
        <f t="shared" si="10"/>
        <v>582</v>
      </c>
      <c r="AO25" s="90">
        <f t="shared" si="11"/>
        <v>1115</v>
      </c>
      <c r="AP25" s="91">
        <f t="shared" si="12"/>
        <v>26.7</v>
      </c>
    </row>
    <row r="26" spans="1:51" ht="15" customHeight="1" x14ac:dyDescent="0.2">
      <c r="A26" s="87">
        <v>46228</v>
      </c>
      <c r="B26" s="88" t="s">
        <v>263</v>
      </c>
      <c r="C26" s="88" t="s">
        <v>256</v>
      </c>
      <c r="D26" s="89">
        <f>SUMIFS(MOVIMIENTOS!$E:$E,MOVIMIENTOS!$A:$A,$A26,MOVIMIENTOS!$B:$B,"COMPRA")</f>
        <v>37</v>
      </c>
      <c r="E26" s="90">
        <f>SUMIFS(MOVIMIENTOS!$F:$F,MOVIMIENTOS!$A:$A,$A26,MOVIMIENTOS!$B:$B,"COMPRA")</f>
        <v>3589</v>
      </c>
      <c r="F26" s="89">
        <f>SUMIFS(MOVIMIENTOS!$E:$E,MOVIMIENTOS!$A:$A,$A26,MOVIMIENTOS!$B:$B,"PROCESO",MOVIMIENTOS!$C:$C,"A")</f>
        <v>96</v>
      </c>
      <c r="G26" s="89">
        <f>SUMIFS(MOVIMIENTOS!$E:$E,MOVIMIENTOS!$A:$A,$A26,MOVIMIENTOS!$B:$B,"PROCESO",MOVIMIENTOS!$C:$C,"P")</f>
        <v>21</v>
      </c>
      <c r="H26" s="89">
        <f>SUMIFS(MOVIMIENTOS!$E:$E,MOVIMIENTOS!$A:$A,$A26,MOVIMIENTOS!$B:$B,"PROCESO",MOVIMIENTOS!$C:$C,"C")</f>
        <v>12</v>
      </c>
      <c r="I26" s="89">
        <f>SUMIFS(MOVIMIENTOS!$E:$E,MOVIMIENTOS!$A:$A,$A26,MOVIMIENTOS!$B:$B,"PROCESO",MOVIMIENTOS!$C:$C,"M")</f>
        <v>110</v>
      </c>
      <c r="J26" s="89">
        <f t="shared" si="0"/>
        <v>239</v>
      </c>
      <c r="K26" s="90">
        <f t="shared" si="1"/>
        <v>3892</v>
      </c>
      <c r="L26" s="90">
        <f>SUMIFS(MOVIMIENTOS!$F:$F,MOVIMIENTOS!$A:$A,$A26,MOVIMIENTOS!$B:$B,"REPROCESO")</f>
        <v>0</v>
      </c>
      <c r="M26" s="89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89" t="str">
        <f>IFERROR(IF(LOOKUP(2,1/((MOVIMIENTOS!$A$5:$A$1019=$A26)*((MOVIMIENTOS!$B$5:$B$1019="ENVÍO A SUPESA")+(MOVIMIENTOS!$B$5:$B$1019="ENVÍO A TOTTUS")+(MOVIMIENTOS!$B$5:$B$1019="ENVIO A TOTTUS"))*(MOVIMIENTOS!$G$5:$G$1019&lt;&gt;"")),MOVIMIENTOS!$G$5:$G$1019)&lt;&gt;"","G-"&amp;LOOKUP(2,1/((MOVIMIENTOS!$A$5:$A$1019=$A26)*((MOVIMIENTOS!$B$5:$B$1019="ENVÍO A SUPESA")+(MOVIMIENTOS!$B$5:$B$1019="ENVÍO A TOTTUS")+(MOVIMIENTOS!$B$5:$B$1019="ENVIO A TOTTUS"))*(MOVIMIENTOS!$G$5:$G$1019&lt;&gt;"")),MOVIMIENTOS!$G$5:$G$1019),""),"")</f>
        <v>G-3014</v>
      </c>
      <c r="O26" s="89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89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89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89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89">
        <f t="shared" si="2"/>
        <v>194</v>
      </c>
      <c r="T26" s="90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94">
        <f>IFERROR(INDEX('SALDO DIARIO'!$B:$B,MATCH($A26,'SALDO DIARIO'!$A:$A,0)),0)</f>
        <v>75</v>
      </c>
      <c r="V26" s="94">
        <f>IFERROR(INDEX('SALDO DIARIO'!$C:$C,MATCH($A26,'SALDO DIARIO'!$A:$A,0)),0)</f>
        <v>20</v>
      </c>
      <c r="W26" s="94">
        <f>IFERROR(INDEX('SALDO DIARIO'!$D:$D,MATCH($A26,'SALDO DIARIO'!$A:$A,0)),0)</f>
        <v>12</v>
      </c>
      <c r="X26" s="94">
        <f>IFERROR(INDEX('SALDO DIARIO'!$E:$E,MATCH($A26,'SALDO DIARIO'!$A:$A,0)),0)</f>
        <v>64</v>
      </c>
      <c r="Y26" s="94">
        <f>IFERROR(INDEX('SALDO DIARIO'!$G:$G,MATCH($A26,'SALDO DIARIO'!$A:$A,0)),0)</f>
        <v>171</v>
      </c>
      <c r="Z26" s="89">
        <f>SUMIFS(MOVIMIENTOS!$E:$E,MOVIMIENTOS!$A:$A,$A26,MOVIMIENTOS!$B:$B,"PROCESO",MOVIMIENTOS!$C:$C,"Chancho")</f>
        <v>9.5</v>
      </c>
      <c r="AA26" s="90">
        <f>SUMIFS(MOVIMIENTOS!$F:$F,MOVIMIENTOS!$A:$A,$A26,MOVIMIENTOS!$B:$B,"PROCESO",MOVIMIENTOS!$C:$C,"Chancho")</f>
        <v>921.5</v>
      </c>
      <c r="AB26" s="89">
        <f>SUMIFS(MOVIMIENTOS!$E:$E,MOVIMIENTOS!$A:$A,$A26,MOVIMIENTOS!$B:$B,"VENTA CHANCHO",MOVIMIENTOS!$C:$C,"Chancho")</f>
        <v>0</v>
      </c>
      <c r="AC26" s="90">
        <f>SUMIFS(MOVIMIENTOS!$F:$F,MOVIMIENTOS!$A:$A,$A26,MOVIMIENTOS!$B:$B,"VENTA CHANCHO",MOVIMIENTOS!$C:$C,"Chancho")</f>
        <v>0</v>
      </c>
      <c r="AD26" s="89" t="str">
        <f>IFERROR(LOOKUP(2,1/((MOVIMIENTOS!$A$5:$A$1019=$A26)*(MOVIMIENTOS!$B$5:$B$1019="VENTA CHANCHO")*(MOVIMIENTOS!$C$5:$C$1019="Chancho")*(MOVIMIENTOS!$G$5:$G$1019&lt;&gt;"")),MOVIMIENTOS!$G$5:$G$1019),IFERROR(LOOKUP(2,1/((MOVIMIENTOS!$A$5:$A$1019=$A26)*(MOVIMIENTOS!$B$5:$B$1019="VENTA CHANCHO")*(MOVIMIENTOS!$C$5:$C$1019="Chancho")*(MOVIMIENTOS!$I$5:$I$1019&lt;&gt;"")),MOVIMIENTOS!$I$5:$I$1019),""))</f>
        <v/>
      </c>
      <c r="AE26" s="94">
        <f>IFERROR(INDEX('SALDO DIARIO'!$F:$F,MATCH($A26,'SALDO DIARIO'!$A:$A,0)),0)</f>
        <v>23.5</v>
      </c>
      <c r="AF26" s="90">
        <f t="shared" si="3"/>
        <v>-1224.5</v>
      </c>
      <c r="AG26" s="91">
        <f t="shared" si="4"/>
        <v>-34.1</v>
      </c>
      <c r="AI26" s="92">
        <f t="shared" si="5"/>
        <v>46228</v>
      </c>
      <c r="AJ26" s="90">
        <f t="shared" si="6"/>
        <v>3589</v>
      </c>
      <c r="AK26" s="90">
        <f t="shared" si="7"/>
        <v>3892</v>
      </c>
      <c r="AL26" s="90">
        <f t="shared" si="8"/>
        <v>3168</v>
      </c>
      <c r="AM26" s="93">
        <f t="shared" si="9"/>
        <v>9.5</v>
      </c>
      <c r="AN26" s="90">
        <f t="shared" si="10"/>
        <v>921.5</v>
      </c>
      <c r="AO26" s="90">
        <f t="shared" si="11"/>
        <v>-1224.5</v>
      </c>
      <c r="AP26" s="91">
        <f t="shared" si="12"/>
        <v>-34.1</v>
      </c>
    </row>
    <row r="27" spans="1:51" ht="15" customHeight="1" x14ac:dyDescent="0.2">
      <c r="A27" s="87">
        <v>46229</v>
      </c>
      <c r="B27" s="88" t="s">
        <v>251</v>
      </c>
      <c r="C27" s="88" t="s">
        <v>258</v>
      </c>
      <c r="D27" s="89">
        <f>SUMIFS(MOVIMIENTOS!$E:$E,MOVIMIENTOS!$A:$A,$A27,MOVIMIENTOS!$B:$B,"COMPRA")</f>
        <v>0</v>
      </c>
      <c r="E27" s="90">
        <f>SUMIFS(MOVIMIENTOS!$F:$F,MOVIMIENTOS!$A:$A,$A27,MOVIMIENTOS!$B:$B,"COMPRA")</f>
        <v>0</v>
      </c>
      <c r="F27" s="89">
        <f>SUMIFS(MOVIMIENTOS!$E:$E,MOVIMIENTOS!$A:$A,$A27,MOVIMIENTOS!$B:$B,"PROCESO",MOVIMIENTOS!$C:$C,"A")</f>
        <v>0</v>
      </c>
      <c r="G27" s="89">
        <f>SUMIFS(MOVIMIENTOS!$E:$E,MOVIMIENTOS!$A:$A,$A27,MOVIMIENTOS!$B:$B,"PROCESO",MOVIMIENTOS!$C:$C,"P")</f>
        <v>0</v>
      </c>
      <c r="H27" s="89">
        <f>SUMIFS(MOVIMIENTOS!$E:$E,MOVIMIENTOS!$A:$A,$A27,MOVIMIENTOS!$B:$B,"PROCESO",MOVIMIENTOS!$C:$C,"C")</f>
        <v>0</v>
      </c>
      <c r="I27" s="89">
        <f>SUMIFS(MOVIMIENTOS!$E:$E,MOVIMIENTOS!$A:$A,$A27,MOVIMIENTOS!$B:$B,"PROCESO",MOVIMIENTOS!$C:$C,"M")</f>
        <v>0</v>
      </c>
      <c r="J27" s="89">
        <f t="shared" si="0"/>
        <v>0</v>
      </c>
      <c r="K27" s="90">
        <f t="shared" si="1"/>
        <v>0</v>
      </c>
      <c r="L27" s="90">
        <f>SUMIFS(MOVIMIENTOS!$F:$F,MOVIMIENTOS!$A:$A,$A27,MOVIMIENTOS!$B:$B,"REPROCESO")</f>
        <v>0</v>
      </c>
      <c r="M27" s="89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89" t="str">
        <f>IFERROR(IF(LOOKUP(2,1/((MOVIMIENTOS!$A$5:$A$1019=$A27)*((MOVIMIENTOS!$B$5:$B$1019="ENVÍO A SUPESA")+(MOVIMIENTOS!$B$5:$B$1019="ENVÍO A TOTTUS")+(MOVIMIENTOS!$B$5:$B$1019="ENVIO A TOTTUS"))*(MOVIMIENTOS!$G$5:$G$1019&lt;&gt;"")),MOVIMIENTOS!$G$5:$G$1019)&lt;&gt;"","G-"&amp;LOOKUP(2,1/((MOVIMIENTOS!$A$5:$A$1019=$A27)*((MOVIMIENTOS!$B$5:$B$1019="ENVÍO A SUPESA")+(MOVIMIENTOS!$B$5:$B$1019="ENVÍO A TOTTUS")+(MOVIMIENTOS!$B$5:$B$1019="ENVIO A TOTTUS"))*(MOVIMIENTOS!$G$5:$G$1019&lt;&gt;"")),MOVIMIENTOS!$G$5:$G$1019),""),"")</f>
        <v>G-3018</v>
      </c>
      <c r="O27" s="89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89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89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89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89">
        <f t="shared" si="2"/>
        <v>90</v>
      </c>
      <c r="T27" s="90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94">
        <f>IFERROR(INDEX('SALDO DIARIO'!$B:$B,MATCH($A27,'SALDO DIARIO'!$A:$A,0)),0)</f>
        <v>8</v>
      </c>
      <c r="V27" s="94">
        <f>IFERROR(INDEX('SALDO DIARIO'!$C:$C,MATCH($A27,'SALDO DIARIO'!$A:$A,0)),0)</f>
        <v>9</v>
      </c>
      <c r="W27" s="94">
        <f>IFERROR(INDEX('SALDO DIARIO'!$D:$D,MATCH($A27,'SALDO DIARIO'!$A:$A,0)),0)</f>
        <v>0</v>
      </c>
      <c r="X27" s="94">
        <f>IFERROR(INDEX('SALDO DIARIO'!$E:$E,MATCH($A27,'SALDO DIARIO'!$A:$A,0)),0)</f>
        <v>64</v>
      </c>
      <c r="Y27" s="94">
        <f>IFERROR(INDEX('SALDO DIARIO'!$G:$G,MATCH($A27,'SALDO DIARIO'!$A:$A,0)),0)</f>
        <v>81</v>
      </c>
      <c r="Z27" s="89">
        <f>SUMIFS(MOVIMIENTOS!$E:$E,MOVIMIENTOS!$A:$A,$A27,MOVIMIENTOS!$B:$B,"PROCESO",MOVIMIENTOS!$C:$C,"Chancho")</f>
        <v>0</v>
      </c>
      <c r="AA27" s="90">
        <f>SUMIFS(MOVIMIENTOS!$F:$F,MOVIMIENTOS!$A:$A,$A27,MOVIMIENTOS!$B:$B,"PROCESO",MOVIMIENTOS!$C:$C,"Chancho")</f>
        <v>0</v>
      </c>
      <c r="AB27" s="89">
        <f>SUMIFS(MOVIMIENTOS!$E:$E,MOVIMIENTOS!$A:$A,$A27,MOVIMIENTOS!$B:$B,"VENTA CHANCHO",MOVIMIENTOS!$C:$C,"Chancho")</f>
        <v>0</v>
      </c>
      <c r="AC27" s="90">
        <f>SUMIFS(MOVIMIENTOS!$F:$F,MOVIMIENTOS!$A:$A,$A27,MOVIMIENTOS!$B:$B,"VENTA CHANCHO",MOVIMIENTOS!$C:$C,"Chancho")</f>
        <v>0</v>
      </c>
      <c r="AD27" s="89" t="str">
        <f>IFERROR(LOOKUP(2,1/((MOVIMIENTOS!$A$5:$A$1019=$A27)*(MOVIMIENTOS!$B$5:$B$1019="VENTA CHANCHO")*(MOVIMIENTOS!$C$5:$C$1019="Chancho")*(MOVIMIENTOS!$G$5:$G$1019&lt;&gt;"")),MOVIMIENTOS!$G$5:$G$1019),IFERROR(LOOKUP(2,1/((MOVIMIENTOS!$A$5:$A$1019=$A27)*(MOVIMIENTOS!$B$5:$B$1019="VENTA CHANCHO")*(MOVIMIENTOS!$C$5:$C$1019="Chancho")*(MOVIMIENTOS!$I$5:$I$1019&lt;&gt;"")),MOVIMIENTOS!$I$5:$I$1019),""))</f>
        <v/>
      </c>
      <c r="AE27" s="94">
        <f>IFERROR(INDEX('SALDO DIARIO'!$F:$F,MATCH($A27,'SALDO DIARIO'!$A:$A,0)),0)</f>
        <v>23.5</v>
      </c>
      <c r="AF27" s="90">
        <f t="shared" si="3"/>
        <v>0</v>
      </c>
      <c r="AG27" s="91">
        <f t="shared" si="4"/>
        <v>0</v>
      </c>
      <c r="AI27" s="92">
        <f t="shared" si="5"/>
        <v>46229</v>
      </c>
      <c r="AJ27" s="90">
        <f t="shared" si="6"/>
        <v>0</v>
      </c>
      <c r="AK27" s="90">
        <f t="shared" si="7"/>
        <v>0</v>
      </c>
      <c r="AL27" s="90">
        <f t="shared" si="8"/>
        <v>1407</v>
      </c>
      <c r="AM27" s="93">
        <f t="shared" si="9"/>
        <v>0</v>
      </c>
      <c r="AN27" s="90">
        <f t="shared" si="10"/>
        <v>0</v>
      </c>
      <c r="AO27" s="90">
        <f t="shared" si="11"/>
        <v>0</v>
      </c>
      <c r="AP27" s="91">
        <f t="shared" si="12"/>
        <v>0</v>
      </c>
    </row>
    <row r="28" spans="1:51" ht="15" customHeight="1" x14ac:dyDescent="0.2">
      <c r="A28" s="87">
        <v>46230</v>
      </c>
      <c r="B28" s="88" t="s">
        <v>253</v>
      </c>
      <c r="C28" s="88" t="s">
        <v>258</v>
      </c>
      <c r="D28" s="89">
        <f>SUMIFS(MOVIMIENTOS!$E:$E,MOVIMIENTOS!$A:$A,$A28,MOVIMIENTOS!$B:$B,"COMPRA")</f>
        <v>45</v>
      </c>
      <c r="E28" s="90">
        <f>SUMIFS(MOVIMIENTOS!$F:$F,MOVIMIENTOS!$A:$A,$A28,MOVIMIENTOS!$B:$B,"COMPRA")</f>
        <v>4459</v>
      </c>
      <c r="F28" s="89">
        <f>SUMIFS(MOVIMIENTOS!$E:$E,MOVIMIENTOS!$A:$A,$A28,MOVIMIENTOS!$B:$B,"PROCESO",MOVIMIENTOS!$C:$C,"A")</f>
        <v>97</v>
      </c>
      <c r="G28" s="89">
        <f>SUMIFS(MOVIMIENTOS!$E:$E,MOVIMIENTOS!$A:$A,$A28,MOVIMIENTOS!$B:$B,"PROCESO",MOVIMIENTOS!$C:$C,"P")</f>
        <v>13</v>
      </c>
      <c r="H28" s="89">
        <f>SUMIFS(MOVIMIENTOS!$E:$E,MOVIMIENTOS!$A:$A,$A28,MOVIMIENTOS!$B:$B,"PROCESO",MOVIMIENTOS!$C:$C,"C")</f>
        <v>18</v>
      </c>
      <c r="I28" s="89">
        <f>SUMIFS(MOVIMIENTOS!$E:$E,MOVIMIENTOS!$A:$A,$A28,MOVIMIENTOS!$B:$B,"PROCESO",MOVIMIENTOS!$C:$C,"M")</f>
        <v>77</v>
      </c>
      <c r="J28" s="89">
        <f t="shared" si="0"/>
        <v>205</v>
      </c>
      <c r="K28" s="90">
        <f t="shared" si="1"/>
        <v>3304</v>
      </c>
      <c r="L28" s="90">
        <f>SUMIFS(MOVIMIENTOS!$F:$F,MOVIMIENTOS!$A:$A,$A28,MOVIMIENTOS!$B:$B,"REPROCESO")</f>
        <v>7</v>
      </c>
      <c r="M28" s="89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89" t="str">
        <f>IFERROR(IF(LOOKUP(2,1/((MOVIMIENTOS!$A$5:$A$1019=$A28)*((MOVIMIENTOS!$B$5:$B$1019="ENVÍO A SUPESA")+(MOVIMIENTOS!$B$5:$B$1019="ENVÍO A TOTTUS")+(MOVIMIENTOS!$B$5:$B$1019="ENVIO A TOTTUS"))*(MOVIMIENTOS!$G$5:$G$1019&lt;&gt;"")),MOVIMIENTOS!$G$5:$G$1019)&lt;&gt;"","G-"&amp;LOOKUP(2,1/((MOVIMIENTOS!$A$5:$A$1019=$A28)*((MOVIMIENTOS!$B$5:$B$1019="ENVÍO A SUPESA")+(MOVIMIENTOS!$B$5:$B$1019="ENVÍO A TOTTUS")+(MOVIMIENTOS!$B$5:$B$1019="ENVIO A TOTTUS"))*(MOVIMIENTOS!$G$5:$G$1019&lt;&gt;"")),MOVIMIENTOS!$G$5:$G$1019),""),"")</f>
        <v>G-3021</v>
      </c>
      <c r="O28" s="89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89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89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89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89">
        <f t="shared" si="2"/>
        <v>86</v>
      </c>
      <c r="T28" s="90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94">
        <f>IFERROR(INDEX('SALDO DIARIO'!$B:$B,MATCH($A28,'SALDO DIARIO'!$A:$A,0)),0)</f>
        <v>38</v>
      </c>
      <c r="V28" s="94">
        <f>IFERROR(INDEX('SALDO DIARIO'!$C:$C,MATCH($A28,'SALDO DIARIO'!$A:$A,0)),0)</f>
        <v>11</v>
      </c>
      <c r="W28" s="94">
        <f>IFERROR(INDEX('SALDO DIARIO'!$D:$D,MATCH($A28,'SALDO DIARIO'!$A:$A,0)),0)</f>
        <v>10</v>
      </c>
      <c r="X28" s="94">
        <f>IFERROR(INDEX('SALDO DIARIO'!$E:$E,MATCH($A28,'SALDO DIARIO'!$A:$A,0)),0)</f>
        <v>141</v>
      </c>
      <c r="Y28" s="94">
        <f>IFERROR(INDEX('SALDO DIARIO'!$G:$G,MATCH($A28,'SALDO DIARIO'!$A:$A,0)),0)</f>
        <v>200</v>
      </c>
      <c r="Z28" s="89">
        <f>SUMIFS(MOVIMIENTOS!$E:$E,MOVIMIENTOS!$A:$A,$A28,MOVIMIENTOS!$B:$B,"PROCESO",MOVIMIENTOS!$C:$C,"Chancho")</f>
        <v>8.5</v>
      </c>
      <c r="AA28" s="90">
        <f>SUMIFS(MOVIMIENTOS!$F:$F,MOVIMIENTOS!$A:$A,$A28,MOVIMIENTOS!$B:$B,"PROCESO",MOVIMIENTOS!$C:$C,"Chancho")</f>
        <v>824.5</v>
      </c>
      <c r="AB28" s="89">
        <f>SUMIFS(MOVIMIENTOS!$E:$E,MOVIMIENTOS!$A:$A,$A28,MOVIMIENTOS!$B:$B,"VENTA CHANCHO",MOVIMIENTOS!$C:$C,"Chancho")</f>
        <v>25</v>
      </c>
      <c r="AC28" s="90">
        <f>SUMIFS(MOVIMIENTOS!$F:$F,MOVIMIENTOS!$A:$A,$A28,MOVIMIENTOS!$B:$B,"VENTA CHANCHO",MOVIMIENTOS!$C:$C,"Chancho")</f>
        <v>2425</v>
      </c>
      <c r="AD28" s="89" t="str">
        <f>IFERROR(LOOKUP(2,1/((MOVIMIENTOS!$A$5:$A$1019=$A28)*(MOVIMIENTOS!$B$5:$B$1019="VENTA CHANCHO")*(MOVIMIENTOS!$C$5:$C$1019="Chancho")*(MOVIMIENTOS!$G$5:$G$1019&lt;&gt;"")),MOVIMIENTOS!$G$5:$G$1019),IFERROR(LOOKUP(2,1/((MOVIMIENTOS!$A$5:$A$1019=$A28)*(MOVIMIENTOS!$B$5:$B$1019="VENTA CHANCHO")*(MOVIMIENTOS!$C$5:$C$1019="Chancho")*(MOVIMIENTOS!$I$5:$I$1019&lt;&gt;"")),MOVIMIENTOS!$I$5:$I$1019),""))</f>
        <v>FALTA</v>
      </c>
      <c r="AE28" s="94">
        <f>IFERROR(INDEX('SALDO DIARIO'!$F:$F,MATCH($A28,'SALDO DIARIO'!$A:$A,0)),0)</f>
        <v>7</v>
      </c>
      <c r="AF28" s="90">
        <f t="shared" si="3"/>
        <v>330.5</v>
      </c>
      <c r="AG28" s="91">
        <f t="shared" si="4"/>
        <v>7.4</v>
      </c>
      <c r="AI28" s="92">
        <f t="shared" si="5"/>
        <v>46230</v>
      </c>
      <c r="AJ28" s="90">
        <f t="shared" si="6"/>
        <v>4459</v>
      </c>
      <c r="AK28" s="90">
        <f t="shared" si="7"/>
        <v>3304</v>
      </c>
      <c r="AL28" s="90">
        <f t="shared" si="8"/>
        <v>1339</v>
      </c>
      <c r="AM28" s="93">
        <f t="shared" si="9"/>
        <v>8.5</v>
      </c>
      <c r="AN28" s="90">
        <f t="shared" si="10"/>
        <v>824.5</v>
      </c>
      <c r="AO28" s="90">
        <f t="shared" si="11"/>
        <v>330.5</v>
      </c>
      <c r="AP28" s="91">
        <f t="shared" si="12"/>
        <v>7.4</v>
      </c>
    </row>
    <row r="29" spans="1:51" ht="15" customHeight="1" x14ac:dyDescent="0.2">
      <c r="A29" s="87">
        <v>46231</v>
      </c>
      <c r="B29" s="88" t="s">
        <v>255</v>
      </c>
      <c r="C29" s="88" t="s">
        <v>258</v>
      </c>
      <c r="D29" s="89">
        <f>SUMIFS(MOVIMIENTOS!$E:$E,MOVIMIENTOS!$A:$A,$A29,MOVIMIENTOS!$B:$B,"COMPRA")</f>
        <v>55</v>
      </c>
      <c r="E29" s="90">
        <f>SUMIFS(MOVIMIENTOS!$F:$F,MOVIMIENTOS!$A:$A,$A29,MOVIMIENTOS!$B:$B,"COMPRA")</f>
        <v>5451</v>
      </c>
      <c r="F29" s="89">
        <f>SUMIFS(MOVIMIENTOS!$E:$E,MOVIMIENTOS!$A:$A,$A29,MOVIMIENTOS!$B:$B,"PROCESO",MOVIMIENTOS!$C:$C,"A")</f>
        <v>133</v>
      </c>
      <c r="G29" s="89">
        <f>SUMIFS(MOVIMIENTOS!$E:$E,MOVIMIENTOS!$A:$A,$A29,MOVIMIENTOS!$B:$B,"PROCESO",MOVIMIENTOS!$C:$C,"P")</f>
        <v>4</v>
      </c>
      <c r="H29" s="89">
        <f>SUMIFS(MOVIMIENTOS!$E:$E,MOVIMIENTOS!$A:$A,$A29,MOVIMIENTOS!$B:$B,"PROCESO",MOVIMIENTOS!$C:$C,"C")</f>
        <v>12</v>
      </c>
      <c r="I29" s="89">
        <f>SUMIFS(MOVIMIENTOS!$E:$E,MOVIMIENTOS!$A:$A,$A29,MOVIMIENTOS!$B:$B,"PROCESO",MOVIMIENTOS!$C:$C,"M")</f>
        <v>94</v>
      </c>
      <c r="J29" s="89">
        <f t="shared" si="0"/>
        <v>243</v>
      </c>
      <c r="K29" s="90">
        <f t="shared" si="1"/>
        <v>3869</v>
      </c>
      <c r="L29" s="90">
        <f>SUMIFS(MOVIMIENTOS!$F:$F,MOVIMIENTOS!$A:$A,$A29,MOVIMIENTOS!$B:$B,"REPROCESO")</f>
        <v>0</v>
      </c>
      <c r="M29" s="89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89" t="str">
        <f>IFERROR(IF(LOOKUP(2,1/((MOVIMIENTOS!$A$5:$A$1019=$A29)*((MOVIMIENTOS!$B$5:$B$1019="ENVÍO A SUPESA")+(MOVIMIENTOS!$B$5:$B$1019="ENVÍO A TOTTUS")+(MOVIMIENTOS!$B$5:$B$1019="ENVIO A TOTTUS"))*(MOVIMIENTOS!$G$5:$G$1019&lt;&gt;"")),MOVIMIENTOS!$G$5:$G$1019)&lt;&gt;"","G-"&amp;LOOKUP(2,1/((MOVIMIENTOS!$A$5:$A$1019=$A29)*((MOVIMIENTOS!$B$5:$B$1019="ENVÍO A SUPESA")+(MOVIMIENTOS!$B$5:$B$1019="ENVÍO A TOTTUS")+(MOVIMIENTOS!$B$5:$B$1019="ENVIO A TOTTUS"))*(MOVIMIENTOS!$G$5:$G$1019&lt;&gt;"")),MOVIMIENTOS!$G$5:$G$1019),""),"")</f>
        <v>G-3023</v>
      </c>
      <c r="O29" s="89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89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89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89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89">
        <f t="shared" si="2"/>
        <v>206</v>
      </c>
      <c r="T29" s="90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94">
        <f>IFERROR(INDEX('SALDO DIARIO'!$B:$B,MATCH($A29,'SALDO DIARIO'!$A:$A,0)),0)</f>
        <v>104</v>
      </c>
      <c r="V29" s="94">
        <f>IFERROR(INDEX('SALDO DIARIO'!$C:$C,MATCH($A29,'SALDO DIARIO'!$A:$A,0)),0)</f>
        <v>4</v>
      </c>
      <c r="W29" s="94">
        <f>IFERROR(INDEX('SALDO DIARIO'!$D:$D,MATCH($A29,'SALDO DIARIO'!$A:$A,0)),0)</f>
        <v>12</v>
      </c>
      <c r="X29" s="94">
        <f>IFERROR(INDEX('SALDO DIARIO'!$E:$E,MATCH($A29,'SALDO DIARIO'!$A:$A,0)),0)</f>
        <v>117</v>
      </c>
      <c r="Y29" s="94">
        <f>IFERROR(INDEX('SALDO DIARIO'!$G:$G,MATCH($A29,'SALDO DIARIO'!$A:$A,0)),0)</f>
        <v>237</v>
      </c>
      <c r="Z29" s="89">
        <f>SUMIFS(MOVIMIENTOS!$E:$E,MOVIMIENTOS!$A:$A,$A29,MOVIMIENTOS!$B:$B,"PROCESO",MOVIMIENTOS!$C:$C,"Chancho")</f>
        <v>14.5</v>
      </c>
      <c r="AA29" s="90">
        <f>SUMIFS(MOVIMIENTOS!$F:$F,MOVIMIENTOS!$A:$A,$A29,MOVIMIENTOS!$B:$B,"PROCESO",MOVIMIENTOS!$C:$C,"Chancho")</f>
        <v>1406.5</v>
      </c>
      <c r="AB29" s="89">
        <f>SUMIFS(MOVIMIENTOS!$E:$E,MOVIMIENTOS!$A:$A,$A29,MOVIMIENTOS!$B:$B,"VENTA CHANCHO",MOVIMIENTOS!$C:$C,"Chancho")</f>
        <v>0</v>
      </c>
      <c r="AC29" s="90">
        <f>SUMIFS(MOVIMIENTOS!$F:$F,MOVIMIENTOS!$A:$A,$A29,MOVIMIENTOS!$B:$B,"VENTA CHANCHO",MOVIMIENTOS!$C:$C,"Chancho")</f>
        <v>0</v>
      </c>
      <c r="AD29" s="89" t="str">
        <f>IFERROR(LOOKUP(2,1/((MOVIMIENTOS!$A$5:$A$1019=$A29)*(MOVIMIENTOS!$B$5:$B$1019="VENTA CHANCHO")*(MOVIMIENTOS!$C$5:$C$1019="Chancho")*(MOVIMIENTOS!$G$5:$G$1019&lt;&gt;"")),MOVIMIENTOS!$G$5:$G$1019),IFERROR(LOOKUP(2,1/((MOVIMIENTOS!$A$5:$A$1019=$A29)*(MOVIMIENTOS!$B$5:$B$1019="VENTA CHANCHO")*(MOVIMIENTOS!$C$5:$C$1019="Chancho")*(MOVIMIENTOS!$I$5:$I$1019&lt;&gt;"")),MOVIMIENTOS!$I$5:$I$1019),""))</f>
        <v/>
      </c>
      <c r="AE29" s="94">
        <f>IFERROR(INDEX('SALDO DIARIO'!$F:$F,MATCH($A29,'SALDO DIARIO'!$A:$A,0)),0)</f>
        <v>21.5</v>
      </c>
      <c r="AF29" s="90">
        <f t="shared" si="3"/>
        <v>175.5</v>
      </c>
      <c r="AG29" s="91">
        <f t="shared" si="4"/>
        <v>3.2</v>
      </c>
      <c r="AI29" s="92">
        <f t="shared" si="5"/>
        <v>46231</v>
      </c>
      <c r="AJ29" s="90">
        <f t="shared" si="6"/>
        <v>5451</v>
      </c>
      <c r="AK29" s="90">
        <f t="shared" si="7"/>
        <v>3869</v>
      </c>
      <c r="AL29" s="90">
        <f t="shared" si="8"/>
        <v>3379</v>
      </c>
      <c r="AM29" s="93">
        <f t="shared" si="9"/>
        <v>14.5</v>
      </c>
      <c r="AN29" s="90">
        <f t="shared" si="10"/>
        <v>1406.5</v>
      </c>
      <c r="AO29" s="90">
        <f t="shared" si="11"/>
        <v>175.5</v>
      </c>
      <c r="AP29" s="91">
        <f t="shared" si="12"/>
        <v>3.2</v>
      </c>
    </row>
    <row r="30" spans="1:51" ht="15" customHeight="1" x14ac:dyDescent="0.2">
      <c r="A30" s="87">
        <v>46232</v>
      </c>
      <c r="B30" s="88" t="s">
        <v>257</v>
      </c>
      <c r="C30" s="88" t="s">
        <v>258</v>
      </c>
      <c r="D30" s="89">
        <f>SUMIFS(MOVIMIENTOS!$E:$E,MOVIMIENTOS!$A:$A,$A30,MOVIMIENTOS!$B:$B,"COMPRA")</f>
        <v>0</v>
      </c>
      <c r="E30" s="90">
        <f>SUMIFS(MOVIMIENTOS!$F:$F,MOVIMIENTOS!$A:$A,$A30,MOVIMIENTOS!$B:$B,"COMPRA")</f>
        <v>0</v>
      </c>
      <c r="F30" s="89">
        <f>SUMIFS(MOVIMIENTOS!$E:$E,MOVIMIENTOS!$A:$A,$A30,MOVIMIENTOS!$B:$B,"PROCESO",MOVIMIENTOS!$C:$C,"A")</f>
        <v>0</v>
      </c>
      <c r="G30" s="89">
        <f>SUMIFS(MOVIMIENTOS!$E:$E,MOVIMIENTOS!$A:$A,$A30,MOVIMIENTOS!$B:$B,"PROCESO",MOVIMIENTOS!$C:$C,"P")</f>
        <v>0</v>
      </c>
      <c r="H30" s="89">
        <f>SUMIFS(MOVIMIENTOS!$E:$E,MOVIMIENTOS!$A:$A,$A30,MOVIMIENTOS!$B:$B,"PROCESO",MOVIMIENTOS!$C:$C,"C")</f>
        <v>0</v>
      </c>
      <c r="I30" s="89">
        <f>SUMIFS(MOVIMIENTOS!$E:$E,MOVIMIENTOS!$A:$A,$A30,MOVIMIENTOS!$B:$B,"PROCESO",MOVIMIENTOS!$C:$C,"M")</f>
        <v>0</v>
      </c>
      <c r="J30" s="89">
        <f t="shared" si="0"/>
        <v>0</v>
      </c>
      <c r="K30" s="90">
        <f t="shared" si="1"/>
        <v>0</v>
      </c>
      <c r="L30" s="90">
        <f>SUMIFS(MOVIMIENTOS!$F:$F,MOVIMIENTOS!$A:$A,$A30,MOVIMIENTOS!$B:$B,"REPROCESO")</f>
        <v>0</v>
      </c>
      <c r="M30" s="89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89" t="str">
        <f>IFERROR(IF(LOOKUP(2,1/((MOVIMIENTOS!$A$5:$A$1019=$A30)*((MOVIMIENTOS!$B$5:$B$1019="ENVÍO A SUPESA")+(MOVIMIENTOS!$B$5:$B$1019="ENVÍO A TOTTUS")+(MOVIMIENTOS!$B$5:$B$1019="ENVIO A TOTTUS"))*(MOVIMIENTOS!$G$5:$G$1019&lt;&gt;"")),MOVIMIENTOS!$G$5:$G$1019)&lt;&gt;"","G-"&amp;LOOKUP(2,1/((MOVIMIENTOS!$A$5:$A$1019=$A30)*((MOVIMIENTOS!$B$5:$B$1019="ENVÍO A SUPESA")+(MOVIMIENTOS!$B$5:$B$1019="ENVÍO A TOTTUS")+(MOVIMIENTOS!$B$5:$B$1019="ENVIO A TOTTUS"))*(MOVIMIENTOS!$G$5:$G$1019&lt;&gt;"")),MOVIMIENTOS!$G$5:$G$1019),""),"")</f>
        <v>G-3025</v>
      </c>
      <c r="O30" s="89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89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89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89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89">
        <f t="shared" si="2"/>
        <v>172</v>
      </c>
      <c r="T30" s="90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94">
        <f>IFERROR(INDEX('SALDO DIARIO'!$B:$B,MATCH($A30,'SALDO DIARIO'!$A:$A,0)),0)</f>
        <v>37</v>
      </c>
      <c r="V30" s="94">
        <f>IFERROR(INDEX('SALDO DIARIO'!$C:$C,MATCH($A30,'SALDO DIARIO'!$A:$A,0)),0)</f>
        <v>0</v>
      </c>
      <c r="W30" s="94">
        <f>IFERROR(INDEX('SALDO DIARIO'!$D:$D,MATCH($A30,'SALDO DIARIO'!$A:$A,0)),0)</f>
        <v>0</v>
      </c>
      <c r="X30" s="94">
        <f>IFERROR(INDEX('SALDO DIARIO'!$E:$E,MATCH($A30,'SALDO DIARIO'!$A:$A,0)),0)</f>
        <v>28</v>
      </c>
      <c r="Y30" s="94">
        <f>IFERROR(INDEX('SALDO DIARIO'!$G:$G,MATCH($A30,'SALDO DIARIO'!$A:$A,0)),0)</f>
        <v>65</v>
      </c>
      <c r="Z30" s="89">
        <f>SUMIFS(MOVIMIENTOS!$E:$E,MOVIMIENTOS!$A:$A,$A30,MOVIMIENTOS!$B:$B,"PROCESO",MOVIMIENTOS!$C:$C,"Chancho")</f>
        <v>0</v>
      </c>
      <c r="AA30" s="90">
        <f>SUMIFS(MOVIMIENTOS!$F:$F,MOVIMIENTOS!$A:$A,$A30,MOVIMIENTOS!$B:$B,"PROCESO",MOVIMIENTOS!$C:$C,"Chancho")</f>
        <v>0</v>
      </c>
      <c r="AB30" s="89">
        <f>SUMIFS(MOVIMIENTOS!$E:$E,MOVIMIENTOS!$A:$A,$A30,MOVIMIENTOS!$B:$B,"VENTA CHANCHO",MOVIMIENTOS!$C:$C,"Chancho")</f>
        <v>10</v>
      </c>
      <c r="AC30" s="90">
        <f>SUMIFS(MOVIMIENTOS!$F:$F,MOVIMIENTOS!$A:$A,$A30,MOVIMIENTOS!$B:$B,"VENTA CHANCHO",MOVIMIENTOS!$C:$C,"Chancho")</f>
        <v>970</v>
      </c>
      <c r="AD30" s="89" t="str">
        <f>IFERROR(LOOKUP(2,1/((MOVIMIENTOS!$A$5:$A$1019=$A30)*(MOVIMIENTOS!$B$5:$B$1019="VENTA CHANCHO")*(MOVIMIENTOS!$C$5:$C$1019="Chancho")*(MOVIMIENTOS!$G$5:$G$1019&lt;&gt;"")),MOVIMIENTOS!$G$5:$G$1019),IFERROR(LOOKUP(2,1/((MOVIMIENTOS!$A$5:$A$1019=$A30)*(MOVIMIENTOS!$B$5:$B$1019="VENTA CHANCHO")*(MOVIMIENTOS!$C$5:$C$1019="Chancho")*(MOVIMIENTOS!$I$5:$I$1019&lt;&gt;"")),MOVIMIENTOS!$I$5:$I$1019),""))</f>
        <v>TCK002-730</v>
      </c>
      <c r="AE30" s="94">
        <f>IFERROR(INDEX('SALDO DIARIO'!$F:$F,MATCH($A30,'SALDO DIARIO'!$A:$A,0)),0)</f>
        <v>11.5</v>
      </c>
      <c r="AF30" s="90">
        <f t="shared" si="3"/>
        <v>0</v>
      </c>
      <c r="AG30" s="91">
        <f t="shared" si="4"/>
        <v>0</v>
      </c>
      <c r="AI30" s="92">
        <f t="shared" si="5"/>
        <v>46232</v>
      </c>
      <c r="AJ30" s="90">
        <f t="shared" si="6"/>
        <v>0</v>
      </c>
      <c r="AK30" s="90">
        <f t="shared" si="7"/>
        <v>0</v>
      </c>
      <c r="AL30" s="90">
        <f t="shared" si="8"/>
        <v>2794</v>
      </c>
      <c r="AM30" s="93">
        <f t="shared" si="9"/>
        <v>0</v>
      </c>
      <c r="AN30" s="90">
        <f t="shared" si="10"/>
        <v>0</v>
      </c>
      <c r="AO30" s="90">
        <f t="shared" si="11"/>
        <v>0</v>
      </c>
      <c r="AP30" s="91">
        <f t="shared" si="12"/>
        <v>0</v>
      </c>
    </row>
    <row r="31" spans="1:51" ht="15" customHeight="1" x14ac:dyDescent="0.2">
      <c r="A31" s="87">
        <v>46233</v>
      </c>
      <c r="B31" s="88" t="s">
        <v>259</v>
      </c>
      <c r="C31" s="88" t="s">
        <v>258</v>
      </c>
      <c r="D31" s="89">
        <f>SUMIFS(MOVIMIENTOS!$E:$E,MOVIMIENTOS!$A:$A,$A31,MOVIMIENTOS!$B:$B,"COMPRA")</f>
        <v>30</v>
      </c>
      <c r="E31" s="90">
        <f>SUMIFS(MOVIMIENTOS!$F:$F,MOVIMIENTOS!$A:$A,$A31,MOVIMIENTOS!$B:$B,"COMPRA")</f>
        <v>2910</v>
      </c>
      <c r="F31" s="89">
        <f>SUMIFS(MOVIMIENTOS!$E:$E,MOVIMIENTOS!$A:$A,$A31,MOVIMIENTOS!$B:$B,"PROCESO",MOVIMIENTOS!$C:$C,"A")</f>
        <v>46</v>
      </c>
      <c r="G31" s="89">
        <f>SUMIFS(MOVIMIENTOS!$E:$E,MOVIMIENTOS!$A:$A,$A31,MOVIMIENTOS!$B:$B,"PROCESO",MOVIMIENTOS!$C:$C,"P")</f>
        <v>11</v>
      </c>
      <c r="H31" s="89">
        <f>SUMIFS(MOVIMIENTOS!$E:$E,MOVIMIENTOS!$A:$A,$A31,MOVIMIENTOS!$B:$B,"PROCESO",MOVIMIENTOS!$C:$C,"C")</f>
        <v>5</v>
      </c>
      <c r="I31" s="89">
        <f>SUMIFS(MOVIMIENTOS!$E:$E,MOVIMIENTOS!$A:$A,$A31,MOVIMIENTOS!$B:$B,"PROCESO",MOVIMIENTOS!$C:$C,"M")</f>
        <v>90</v>
      </c>
      <c r="J31" s="89">
        <f t="shared" si="0"/>
        <v>152</v>
      </c>
      <c r="K31" s="90">
        <f t="shared" si="1"/>
        <v>2503</v>
      </c>
      <c r="L31" s="90">
        <f>SUMIFS(MOVIMIENTOS!$F:$F,MOVIMIENTOS!$A:$A,$A31,MOVIMIENTOS!$B:$B,"REPROCESO")</f>
        <v>0</v>
      </c>
      <c r="M31" s="89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89" t="str">
        <f>IFERROR(IF(LOOKUP(2,1/((MOVIMIENTOS!$A$5:$A$1019=$A31)*((MOVIMIENTOS!$B$5:$B$1019="ENVÍO A SUPESA")+(MOVIMIENTOS!$B$5:$B$1019="ENVÍO A TOTTUS")+(MOVIMIENTOS!$B$5:$B$1019="ENVIO A TOTTUS"))*(MOVIMIENTOS!$G$5:$G$1019&lt;&gt;"")),MOVIMIENTOS!$G$5:$G$1019)&lt;&gt;"","G-"&amp;LOOKUP(2,1/((MOVIMIENTOS!$A$5:$A$1019=$A31)*((MOVIMIENTOS!$B$5:$B$1019="ENVÍO A SUPESA")+(MOVIMIENTOS!$B$5:$B$1019="ENVÍO A TOTTUS")+(MOVIMIENTOS!$B$5:$B$1019="ENVIO A TOTTUS"))*(MOVIMIENTOS!$G$5:$G$1019&lt;&gt;"")),MOVIMIENTOS!$G$5:$G$1019),""),"")</f>
        <v>G-3031</v>
      </c>
      <c r="O31" s="89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89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89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89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89">
        <f t="shared" si="2"/>
        <v>201</v>
      </c>
      <c r="T31" s="90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94">
        <f>IFERROR(INDEX('SALDO DIARIO'!$B:$B,MATCH($A31,'SALDO DIARIO'!$A:$A,0)),0)</f>
        <v>16</v>
      </c>
      <c r="V31" s="94">
        <f>IFERROR(INDEX('SALDO DIARIO'!$C:$C,MATCH($A31,'SALDO DIARIO'!$A:$A,0)),0)</f>
        <v>0</v>
      </c>
      <c r="W31" s="94">
        <f>IFERROR(INDEX('SALDO DIARIO'!$D:$D,MATCH($A31,'SALDO DIARIO'!$A:$A,0)),0)</f>
        <v>0</v>
      </c>
      <c r="X31" s="94">
        <f>IFERROR(INDEX('SALDO DIARIO'!$E:$E,MATCH($A31,'SALDO DIARIO'!$A:$A,0)),0)</f>
        <v>-1</v>
      </c>
      <c r="Y31" s="94">
        <f>IFERROR(INDEX('SALDO DIARIO'!$G:$G,MATCH($A31,'SALDO DIARIO'!$A:$A,0)),0)</f>
        <v>15</v>
      </c>
      <c r="Z31" s="89">
        <f>SUMIFS(MOVIMIENTOS!$E:$E,MOVIMIENTOS!$A:$A,$A31,MOVIMIENTOS!$B:$B,"PROCESO",MOVIMIENTOS!$C:$C,"Chancho")</f>
        <v>5</v>
      </c>
      <c r="AA31" s="90">
        <f>SUMIFS(MOVIMIENTOS!$F:$F,MOVIMIENTOS!$A:$A,$A31,MOVIMIENTOS!$B:$B,"PROCESO",MOVIMIENTOS!$C:$C,"Chancho")</f>
        <v>485</v>
      </c>
      <c r="AB31" s="89">
        <f>SUMIFS(MOVIMIENTOS!$E:$E,MOVIMIENTOS!$A:$A,$A31,MOVIMIENTOS!$B:$B,"VENTA CHANCHO",MOVIMIENTOS!$C:$C,"Chancho")</f>
        <v>0</v>
      </c>
      <c r="AC31" s="90">
        <f>SUMIFS(MOVIMIENTOS!$F:$F,MOVIMIENTOS!$A:$A,$A31,MOVIMIENTOS!$B:$B,"VENTA CHANCHO",MOVIMIENTOS!$C:$C,"Chancho")</f>
        <v>0</v>
      </c>
      <c r="AD31" s="89" t="str">
        <f>IFERROR(LOOKUP(2,1/((MOVIMIENTOS!$A$5:$A$1019=$A31)*(MOVIMIENTOS!$B$5:$B$1019="VENTA CHANCHO")*(MOVIMIENTOS!$C$5:$C$1019="Chancho")*(MOVIMIENTOS!$G$5:$G$1019&lt;&gt;"")),MOVIMIENTOS!$G$5:$G$1019),IFERROR(LOOKUP(2,1/((MOVIMIENTOS!$A$5:$A$1019=$A31)*(MOVIMIENTOS!$B$5:$B$1019="VENTA CHANCHO")*(MOVIMIENTOS!$C$5:$C$1019="Chancho")*(MOVIMIENTOS!$I$5:$I$1019&lt;&gt;"")),MOVIMIENTOS!$I$5:$I$1019),""))</f>
        <v/>
      </c>
      <c r="AE31" s="94">
        <f>IFERROR(INDEX('SALDO DIARIO'!$F:$F,MATCH($A31,'SALDO DIARIO'!$A:$A,0)),0)</f>
        <v>16.5</v>
      </c>
      <c r="AF31" s="90">
        <f t="shared" si="3"/>
        <v>-78</v>
      </c>
      <c r="AG31" s="91">
        <f t="shared" si="4"/>
        <v>-2.7</v>
      </c>
      <c r="AI31" s="92">
        <f t="shared" si="5"/>
        <v>46233</v>
      </c>
      <c r="AJ31" s="90">
        <f t="shared" si="6"/>
        <v>2910</v>
      </c>
      <c r="AK31" s="90">
        <f t="shared" si="7"/>
        <v>2503</v>
      </c>
      <c r="AL31" s="90">
        <f t="shared" si="8"/>
        <v>3294</v>
      </c>
      <c r="AM31" s="93">
        <f t="shared" si="9"/>
        <v>5</v>
      </c>
      <c r="AN31" s="90">
        <f t="shared" si="10"/>
        <v>485</v>
      </c>
      <c r="AO31" s="90">
        <f t="shared" si="11"/>
        <v>-78</v>
      </c>
      <c r="AP31" s="91">
        <f t="shared" si="12"/>
        <v>-2.7</v>
      </c>
    </row>
    <row r="32" spans="1:51" ht="15" customHeight="1" x14ac:dyDescent="0.2">
      <c r="A32" s="87">
        <v>46234</v>
      </c>
      <c r="B32" s="88" t="s">
        <v>261</v>
      </c>
      <c r="C32" s="88" t="s">
        <v>258</v>
      </c>
      <c r="D32" s="89">
        <f>SUMIFS(MOVIMIENTOS!$E:$E,MOVIMIENTOS!$A:$A,$A32,MOVIMIENTOS!$B:$B,"COMPRA")</f>
        <v>70</v>
      </c>
      <c r="E32" s="90">
        <f>SUMIFS(MOVIMIENTOS!$F:$F,MOVIMIENTOS!$A:$A,$A32,MOVIMIENTOS!$B:$B,"COMPRA")</f>
        <v>6790</v>
      </c>
      <c r="F32" s="89">
        <f>SUMIFS(MOVIMIENTOS!$E:$E,MOVIMIENTOS!$A:$A,$A32,MOVIMIENTOS!$B:$B,"PROCESO",MOVIMIENTOS!$C:$C,"A")</f>
        <v>137</v>
      </c>
      <c r="G32" s="89">
        <f>SUMIFS(MOVIMIENTOS!$E:$E,MOVIMIENTOS!$A:$A,$A32,MOVIMIENTOS!$B:$B,"PROCESO",MOVIMIENTOS!$C:$C,"P")</f>
        <v>11</v>
      </c>
      <c r="H32" s="89">
        <f>SUMIFS(MOVIMIENTOS!$E:$E,MOVIMIENTOS!$A:$A,$A32,MOVIMIENTOS!$B:$B,"PROCESO",MOVIMIENTOS!$C:$C,"C")</f>
        <v>12</v>
      </c>
      <c r="I32" s="89">
        <f>SUMIFS(MOVIMIENTOS!$E:$E,MOVIMIENTOS!$A:$A,$A32,MOVIMIENTOS!$B:$B,"PROCESO",MOVIMIENTOS!$C:$C,"M")</f>
        <v>182</v>
      </c>
      <c r="J32" s="89">
        <f t="shared" si="0"/>
        <v>342</v>
      </c>
      <c r="K32" s="90">
        <f t="shared" si="1"/>
        <v>5551</v>
      </c>
      <c r="L32" s="90">
        <f>SUMIFS(MOVIMIENTOS!$F:$F,MOVIMIENTOS!$A:$A,$A32,MOVIMIENTOS!$B:$B,"REPROCESO")</f>
        <v>5</v>
      </c>
      <c r="M32" s="89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89" t="str">
        <f>IFERROR(IF(LOOKUP(2,1/((MOVIMIENTOS!$A$5:$A$1019=$A32)*((MOVIMIENTOS!$B$5:$B$1019="ENVÍO A SUPESA")+(MOVIMIENTOS!$B$5:$B$1019="ENVÍO A TOTTUS")+(MOVIMIENTOS!$B$5:$B$1019="ENVIO A TOTTUS"))*(MOVIMIENTOS!$G$5:$G$1019&lt;&gt;"")),MOVIMIENTOS!$G$5:$G$1019)&lt;&gt;"","G-"&amp;LOOKUP(2,1/((MOVIMIENTOS!$A$5:$A$1019=$A32)*((MOVIMIENTOS!$B$5:$B$1019="ENVÍO A SUPESA")+(MOVIMIENTOS!$B$5:$B$1019="ENVÍO A TOTTUS")+(MOVIMIENTOS!$B$5:$B$1019="ENVIO A TOTTUS"))*(MOVIMIENTOS!$G$5:$G$1019&lt;&gt;"")),MOVIMIENTOS!$G$5:$G$1019),""),"")</f>
        <v>G-3035</v>
      </c>
      <c r="O32" s="89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89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89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89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89">
        <f t="shared" si="2"/>
        <v>208</v>
      </c>
      <c r="T32" s="90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94">
        <f>IFERROR(INDEX('SALDO DIARIO'!$B:$B,MATCH($A32,'SALDO DIARIO'!$A:$A,0)),0)</f>
        <v>86</v>
      </c>
      <c r="V32" s="94">
        <f>IFERROR(INDEX('SALDO DIARIO'!$C:$C,MATCH($A32,'SALDO DIARIO'!$A:$A,0)),0)</f>
        <v>0</v>
      </c>
      <c r="W32" s="94">
        <f>IFERROR(INDEX('SALDO DIARIO'!$D:$D,MATCH($A32,'SALDO DIARIO'!$A:$A,0)),0)</f>
        <v>0</v>
      </c>
      <c r="X32" s="94">
        <f>IFERROR(INDEX('SALDO DIARIO'!$E:$E,MATCH($A32,'SALDO DIARIO'!$A:$A,0)),0)</f>
        <v>63</v>
      </c>
      <c r="Y32" s="94">
        <f>IFERROR(INDEX('SALDO DIARIO'!$G:$G,MATCH($A32,'SALDO DIARIO'!$A:$A,0)),0)</f>
        <v>149</v>
      </c>
      <c r="Z32" s="89">
        <f>SUMIFS(MOVIMIENTOS!$E:$E,MOVIMIENTOS!$A:$A,$A32,MOVIMIENTOS!$B:$B,"PROCESO",MOVIMIENTOS!$C:$C,"Chancho")</f>
        <v>14.5</v>
      </c>
      <c r="AA32" s="90">
        <f>SUMIFS(MOVIMIENTOS!$F:$F,MOVIMIENTOS!$A:$A,$A32,MOVIMIENTOS!$B:$B,"PROCESO",MOVIMIENTOS!$C:$C,"Chancho")</f>
        <v>1406.5</v>
      </c>
      <c r="AB32" s="89">
        <f>SUMIFS(MOVIMIENTOS!$E:$E,MOVIMIENTOS!$A:$A,$A32,MOVIMIENTOS!$B:$B,"VENTA CHANCHO",MOVIMIENTOS!$C:$C,"Chancho")</f>
        <v>8</v>
      </c>
      <c r="AC32" s="90">
        <f>SUMIFS(MOVIMIENTOS!$F:$F,MOVIMIENTOS!$A:$A,$A32,MOVIMIENTOS!$B:$B,"VENTA CHANCHO",MOVIMIENTOS!$C:$C,"Chancho")</f>
        <v>776</v>
      </c>
      <c r="AD32" s="89" t="str">
        <f>IFERROR(LOOKUP(2,1/((MOVIMIENTOS!$A$5:$A$1019=$A32)*(MOVIMIENTOS!$B$5:$B$1019="VENTA CHANCHO")*(MOVIMIENTOS!$C$5:$C$1019="Chancho")*(MOVIMIENTOS!$G$5:$G$1019&lt;&gt;"")),MOVIMIENTOS!$G$5:$G$1019),IFERROR(LOOKUP(2,1/((MOVIMIENTOS!$A$5:$A$1019=$A32)*(MOVIMIENTOS!$B$5:$B$1019="VENTA CHANCHO")*(MOVIMIENTOS!$C$5:$C$1019="Chancho")*(MOVIMIENTOS!$I$5:$I$1019&lt;&gt;"")),MOVIMIENTOS!$I$5:$I$1019),""))</f>
        <v>TCK002-733</v>
      </c>
      <c r="AE32" s="94">
        <f>IFERROR(INDEX('SALDO DIARIO'!$F:$F,MATCH($A32,'SALDO DIARIO'!$A:$A,0)),0)</f>
        <v>23</v>
      </c>
      <c r="AF32" s="90">
        <f t="shared" si="3"/>
        <v>-167.5</v>
      </c>
      <c r="AG32" s="91">
        <f t="shared" si="4"/>
        <v>-2.5</v>
      </c>
      <c r="AI32" s="92">
        <f t="shared" si="5"/>
        <v>46234</v>
      </c>
      <c r="AJ32" s="90">
        <f t="shared" si="6"/>
        <v>6790</v>
      </c>
      <c r="AK32" s="90">
        <f t="shared" si="7"/>
        <v>5551</v>
      </c>
      <c r="AL32" s="90">
        <f t="shared" si="8"/>
        <v>3413</v>
      </c>
      <c r="AM32" s="93">
        <f t="shared" si="9"/>
        <v>14.5</v>
      </c>
      <c r="AN32" s="90">
        <f t="shared" si="10"/>
        <v>1406.5</v>
      </c>
      <c r="AO32" s="90">
        <f t="shared" si="11"/>
        <v>-167.5</v>
      </c>
      <c r="AP32" s="91">
        <f t="shared" si="12"/>
        <v>-2.5</v>
      </c>
    </row>
    <row r="33" spans="1:42" ht="15" customHeight="1" x14ac:dyDescent="0.2">
      <c r="A33" s="87">
        <v>46235</v>
      </c>
      <c r="B33" s="88" t="s">
        <v>263</v>
      </c>
      <c r="C33" s="88" t="s">
        <v>258</v>
      </c>
      <c r="D33" s="89">
        <f>SUMIFS(MOVIMIENTOS!$E:$E,MOVIMIENTOS!$A:$A,$A33,MOVIMIENTOS!$B:$B,"COMPRA")</f>
        <v>38</v>
      </c>
      <c r="E33" s="90">
        <f>SUMIFS(MOVIMIENTOS!$F:$F,MOVIMIENTOS!$A:$A,$A33,MOVIMIENTOS!$B:$B,"COMPRA")</f>
        <v>3850</v>
      </c>
      <c r="F33" s="89">
        <f>SUMIFS(MOVIMIENTOS!$E:$E,MOVIMIENTOS!$A:$A,$A33,MOVIMIENTOS!$B:$B,"PROCESO",MOVIMIENTOS!$C:$C,"A")</f>
        <v>46</v>
      </c>
      <c r="G33" s="89">
        <f>SUMIFS(MOVIMIENTOS!$E:$E,MOVIMIENTOS!$A:$A,$A33,MOVIMIENTOS!$B:$B,"PROCESO",MOVIMIENTOS!$C:$C,"P")</f>
        <v>14</v>
      </c>
      <c r="H33" s="89">
        <f>SUMIFS(MOVIMIENTOS!$E:$E,MOVIMIENTOS!$A:$A,$A33,MOVIMIENTOS!$B:$B,"PROCESO",MOVIMIENTOS!$C:$C,"C")</f>
        <v>10</v>
      </c>
      <c r="I33" s="89">
        <f>SUMIFS(MOVIMIENTOS!$E:$E,MOVIMIENTOS!$A:$A,$A33,MOVIMIENTOS!$B:$B,"PROCESO",MOVIMIENTOS!$C:$C,"M")</f>
        <v>108</v>
      </c>
      <c r="J33" s="89">
        <f t="shared" si="0"/>
        <v>178</v>
      </c>
      <c r="K33" s="90">
        <f t="shared" si="1"/>
        <v>2948</v>
      </c>
      <c r="L33" s="90">
        <f>SUMIFS(MOVIMIENTOS!$F:$F,MOVIMIENTOS!$A:$A,$A33,MOVIMIENTOS!$B:$B,"REPROCESO")</f>
        <v>9</v>
      </c>
      <c r="M33" s="89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89" t="str">
        <f>IFERROR(IF(LOOKUP(2,1/((MOVIMIENTOS!$A$5:$A$1019=$A33)*((MOVIMIENTOS!$B$5:$B$1019="ENVÍO A SUPESA")+(MOVIMIENTOS!$B$5:$B$1019="ENVÍO A TOTTUS")+(MOVIMIENTOS!$B$5:$B$1019="ENVIO A TOTTUS"))*(MOVIMIENTOS!$G$5:$G$1019&lt;&gt;"")),MOVIMIENTOS!$G$5:$G$1019)&lt;&gt;"","G-"&amp;LOOKUP(2,1/((MOVIMIENTOS!$A$5:$A$1019=$A33)*((MOVIMIENTOS!$B$5:$B$1019="ENVÍO A SUPESA")+(MOVIMIENTOS!$B$5:$B$1019="ENVÍO A TOTTUS")+(MOVIMIENTOS!$B$5:$B$1019="ENVIO A TOTTUS"))*(MOVIMIENTOS!$G$5:$G$1019&lt;&gt;"")),MOVIMIENTOS!$G$5:$G$1019),""),"")</f>
        <v>G-3042</v>
      </c>
      <c r="O33" s="89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89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89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89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89">
        <f t="shared" si="2"/>
        <v>201</v>
      </c>
      <c r="T33" s="90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94">
        <f>IFERROR(INDEX('SALDO DIARIO'!$B:$B,MATCH($A33,'SALDO DIARIO'!$A:$A,0)),0)</f>
        <v>65</v>
      </c>
      <c r="V33" s="94">
        <f>IFERROR(INDEX('SALDO DIARIO'!$C:$C,MATCH($A33,'SALDO DIARIO'!$A:$A,0)),0)</f>
        <v>8</v>
      </c>
      <c r="W33" s="94">
        <f>IFERROR(INDEX('SALDO DIARIO'!$D:$D,MATCH($A33,'SALDO DIARIO'!$A:$A,0)),0)</f>
        <v>0</v>
      </c>
      <c r="X33" s="94">
        <f>IFERROR(INDEX('SALDO DIARIO'!$E:$E,MATCH($A33,'SALDO DIARIO'!$A:$A,0)),0)</f>
        <v>53</v>
      </c>
      <c r="Y33" s="94">
        <f>IFERROR(INDEX('SALDO DIARIO'!$G:$G,MATCH($A33,'SALDO DIARIO'!$A:$A,0)),0)</f>
        <v>126</v>
      </c>
      <c r="Z33" s="89">
        <f>SUMIFS(MOVIMIENTOS!$E:$E,MOVIMIENTOS!$A:$A,$A33,MOVIMIENTOS!$B:$B,"PROCESO",MOVIMIENTOS!$C:$C,"Chancho")</f>
        <v>8</v>
      </c>
      <c r="AA33" s="90">
        <f>SUMIFS(MOVIMIENTOS!$F:$F,MOVIMIENTOS!$A:$A,$A33,MOVIMIENTOS!$B:$B,"PROCESO",MOVIMIENTOS!$C:$C,"Chancho")</f>
        <v>776</v>
      </c>
      <c r="AB33" s="89">
        <f>SUMIFS(MOVIMIENTOS!$E:$E,MOVIMIENTOS!$A:$A,$A33,MOVIMIENTOS!$B:$B,"VENTA CHANCHO",MOVIMIENTOS!$C:$C,"Chancho")</f>
        <v>5</v>
      </c>
      <c r="AC33" s="90">
        <f>SUMIFS(MOVIMIENTOS!$F:$F,MOVIMIENTOS!$A:$A,$A33,MOVIMIENTOS!$B:$B,"VENTA CHANCHO",MOVIMIENTOS!$C:$C,"Chancho")</f>
        <v>485</v>
      </c>
      <c r="AD33" s="89" t="str">
        <f>IFERROR(LOOKUP(2,1/((MOVIMIENTOS!$A$5:$A$1019=$A33)*(MOVIMIENTOS!$B$5:$B$1019="VENTA CHANCHO")*(MOVIMIENTOS!$C$5:$C$1019="Chancho")*(MOVIMIENTOS!$G$5:$G$1019&lt;&gt;"")),MOVIMIENTOS!$G$5:$G$1019),IFERROR(LOOKUP(2,1/((MOVIMIENTOS!$A$5:$A$1019=$A33)*(MOVIMIENTOS!$B$5:$B$1019="VENTA CHANCHO")*(MOVIMIENTOS!$C$5:$C$1019="Chancho")*(MOVIMIENTOS!$I$5:$I$1019&lt;&gt;"")),MOVIMIENTOS!$I$5:$I$1019),""))</f>
        <v>TCK002-735</v>
      </c>
      <c r="AE33" s="94">
        <f>IFERROR(INDEX('SALDO DIARIO'!$F:$F,MATCH($A33,'SALDO DIARIO'!$A:$A,0)),0)</f>
        <v>26</v>
      </c>
      <c r="AF33" s="90">
        <f t="shared" si="3"/>
        <v>126</v>
      </c>
      <c r="AG33" s="91">
        <f t="shared" si="4"/>
        <v>3.3</v>
      </c>
      <c r="AI33" s="92">
        <f t="shared" si="5"/>
        <v>46235</v>
      </c>
      <c r="AJ33" s="90">
        <f t="shared" si="6"/>
        <v>3850</v>
      </c>
      <c r="AK33" s="90">
        <f t="shared" si="7"/>
        <v>2948</v>
      </c>
      <c r="AL33" s="90">
        <f t="shared" si="8"/>
        <v>3289</v>
      </c>
      <c r="AM33" s="93">
        <f t="shared" si="9"/>
        <v>8</v>
      </c>
      <c r="AN33" s="90">
        <f t="shared" si="10"/>
        <v>776</v>
      </c>
      <c r="AO33" s="90">
        <f t="shared" si="11"/>
        <v>126</v>
      </c>
      <c r="AP33" s="91">
        <f t="shared" si="12"/>
        <v>3.3</v>
      </c>
    </row>
    <row r="34" spans="1:42" ht="15" customHeight="1" x14ac:dyDescent="0.2">
      <c r="A34" s="87">
        <v>46236</v>
      </c>
      <c r="B34" s="88" t="s">
        <v>251</v>
      </c>
      <c r="C34" s="88" t="s">
        <v>260</v>
      </c>
      <c r="D34" s="89">
        <f>SUMIFS(MOVIMIENTOS!$E:$E,MOVIMIENTOS!$A:$A,$A34,MOVIMIENTOS!$B:$B,"COMPRA")</f>
        <v>59</v>
      </c>
      <c r="E34" s="90">
        <f>SUMIFS(MOVIMIENTOS!$F:$F,MOVIMIENTOS!$A:$A,$A34,MOVIMIENTOS!$B:$B,"COMPRA")</f>
        <v>5965.82</v>
      </c>
      <c r="F34" s="89">
        <f>SUMIFS(MOVIMIENTOS!$E:$E,MOVIMIENTOS!$A:$A,$A34,MOVIMIENTOS!$B:$B,"PROCESO",MOVIMIENTOS!$C:$C,"A")</f>
        <v>98</v>
      </c>
      <c r="G34" s="89">
        <f>SUMIFS(MOVIMIENTOS!$E:$E,MOVIMIENTOS!$A:$A,$A34,MOVIMIENTOS!$B:$B,"PROCESO",MOVIMIENTOS!$C:$C,"P")</f>
        <v>14</v>
      </c>
      <c r="H34" s="89">
        <f>SUMIFS(MOVIMIENTOS!$E:$E,MOVIMIENTOS!$A:$A,$A34,MOVIMIENTOS!$B:$B,"PROCESO",MOVIMIENTOS!$C:$C,"C")</f>
        <v>23</v>
      </c>
      <c r="I34" s="89">
        <f>SUMIFS(MOVIMIENTOS!$E:$E,MOVIMIENTOS!$A:$A,$A34,MOVIMIENTOS!$B:$B,"PROCESO",MOVIMIENTOS!$C:$C,"M")</f>
        <v>152</v>
      </c>
      <c r="J34" s="89">
        <f t="shared" si="0"/>
        <v>287</v>
      </c>
      <c r="K34" s="90">
        <f t="shared" si="1"/>
        <v>4697</v>
      </c>
      <c r="L34" s="90">
        <f>SUMIFS(MOVIMIENTOS!$F:$F,MOVIMIENTOS!$A:$A,$A34,MOVIMIENTOS!$B:$B,"REPROCESO")</f>
        <v>0</v>
      </c>
      <c r="M34" s="89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89" t="str">
        <f>IFERROR(IF(LOOKUP(2,1/((MOVIMIENTOS!$A$5:$A$1019=$A34)*((MOVIMIENTOS!$B$5:$B$1019="ENVÍO A SUPESA")+(MOVIMIENTOS!$B$5:$B$1019="ENVÍO A TOTTUS")+(MOVIMIENTOS!$B$5:$B$1019="ENVIO A TOTTUS"))*(MOVIMIENTOS!$G$5:$G$1019&lt;&gt;"")),MOVIMIENTOS!$G$5:$G$1019)&lt;&gt;"","G-"&amp;LOOKUP(2,1/((MOVIMIENTOS!$A$5:$A$1019=$A34)*((MOVIMIENTOS!$B$5:$B$1019="ENVÍO A SUPESA")+(MOVIMIENTOS!$B$5:$B$1019="ENVÍO A TOTTUS")+(MOVIMIENTOS!$B$5:$B$1019="ENVIO A TOTTUS"))*(MOVIMIENTOS!$G$5:$G$1019&lt;&gt;"")),MOVIMIENTOS!$G$5:$G$1019),""),"")</f>
        <v>G-3040</v>
      </c>
      <c r="O34" s="89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89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89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89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89">
        <f t="shared" si="2"/>
        <v>122</v>
      </c>
      <c r="T34" s="90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94">
        <f>IFERROR(INDEX('SALDO DIARIO'!$B:$B,MATCH($A34,'SALDO DIARIO'!$A:$A,0)),0)</f>
        <v>96</v>
      </c>
      <c r="V34" s="94">
        <f>IFERROR(INDEX('SALDO DIARIO'!$C:$C,MATCH($A34,'SALDO DIARIO'!$A:$A,0)),0)</f>
        <v>11</v>
      </c>
      <c r="W34" s="94">
        <f>IFERROR(INDEX('SALDO DIARIO'!$D:$D,MATCH($A34,'SALDO DIARIO'!$A:$A,0)),0)</f>
        <v>11</v>
      </c>
      <c r="X34" s="94">
        <f>IFERROR(INDEX('SALDO DIARIO'!$E:$E,MATCH($A34,'SALDO DIARIO'!$A:$A,0)),0)</f>
        <v>173</v>
      </c>
      <c r="Y34" s="94">
        <f>IFERROR(INDEX('SALDO DIARIO'!$G:$G,MATCH($A34,'SALDO DIARIO'!$A:$A,0)),0)</f>
        <v>291</v>
      </c>
      <c r="Z34" s="89">
        <f>SUMIFS(MOVIMIENTOS!$E:$E,MOVIMIENTOS!$A:$A,$A34,MOVIMIENTOS!$B:$B,"PROCESO",MOVIMIENTOS!$C:$C,"Chancho")</f>
        <v>10.5</v>
      </c>
      <c r="AA34" s="90">
        <f>SUMIFS(MOVIMIENTOS!$F:$F,MOVIMIENTOS!$A:$A,$A34,MOVIMIENTOS!$B:$B,"PROCESO",MOVIMIENTOS!$C:$C,"Chancho")</f>
        <v>1018.5</v>
      </c>
      <c r="AB34" s="89">
        <f>SUMIFS(MOVIMIENTOS!$E:$E,MOVIMIENTOS!$A:$A,$A34,MOVIMIENTOS!$B:$B,"VENTA CHANCHO",MOVIMIENTOS!$C:$C,"Chancho")</f>
        <v>17</v>
      </c>
      <c r="AC34" s="90">
        <f>SUMIFS(MOVIMIENTOS!$F:$F,MOVIMIENTOS!$A:$A,$A34,MOVIMIENTOS!$B:$B,"VENTA CHANCHO",MOVIMIENTOS!$C:$C,"Chancho")</f>
        <v>1649</v>
      </c>
      <c r="AD34" s="89" t="str">
        <f>IFERROR(LOOKUP(2,1/((MOVIMIENTOS!$A$5:$A$1019=$A34)*(MOVIMIENTOS!$B$5:$B$1019="VENTA CHANCHO")*(MOVIMIENTOS!$C$5:$C$1019="Chancho")*(MOVIMIENTOS!$G$5:$G$1019&lt;&gt;"")),MOVIMIENTOS!$G$5:$G$1019),IFERROR(LOOKUP(2,1/((MOVIMIENTOS!$A$5:$A$1019=$A34)*(MOVIMIENTOS!$B$5:$B$1019="VENTA CHANCHO")*(MOVIMIENTOS!$C$5:$C$1019="Chancho")*(MOVIMIENTOS!$I$5:$I$1019&lt;&gt;"")),MOVIMIENTOS!$I$5:$I$1019),""))</f>
        <v>TCK002-737</v>
      </c>
      <c r="AE34" s="94">
        <f>IFERROR(INDEX('SALDO DIARIO'!$F:$F,MATCH($A34,'SALDO DIARIO'!$A:$A,0)),0)</f>
        <v>19.5</v>
      </c>
      <c r="AF34" s="90">
        <f t="shared" si="3"/>
        <v>250.31999999999971</v>
      </c>
      <c r="AG34" s="91">
        <f t="shared" si="4"/>
        <v>4.2</v>
      </c>
      <c r="AI34" s="92">
        <f t="shared" si="5"/>
        <v>46236</v>
      </c>
      <c r="AJ34" s="90">
        <f t="shared" si="6"/>
        <v>5965.82</v>
      </c>
      <c r="AK34" s="90">
        <f t="shared" si="7"/>
        <v>4697</v>
      </c>
      <c r="AL34" s="90">
        <f t="shared" si="8"/>
        <v>1951</v>
      </c>
      <c r="AM34" s="93">
        <f t="shared" si="9"/>
        <v>10.5</v>
      </c>
      <c r="AN34" s="90">
        <f t="shared" si="10"/>
        <v>1018.5</v>
      </c>
      <c r="AO34" s="90">
        <f t="shared" si="11"/>
        <v>250.31999999999971</v>
      </c>
      <c r="AP34" s="91">
        <f t="shared" si="12"/>
        <v>4.2</v>
      </c>
    </row>
    <row r="35" spans="1:42" ht="15" customHeight="1" x14ac:dyDescent="0.2">
      <c r="A35" s="87">
        <v>46237</v>
      </c>
      <c r="B35" s="88" t="s">
        <v>253</v>
      </c>
      <c r="C35" s="88" t="s">
        <v>260</v>
      </c>
      <c r="D35" s="89">
        <f>SUMIFS(MOVIMIENTOS!$E:$E,MOVIMIENTOS!$A:$A,$A35,MOVIMIENTOS!$B:$B,"COMPRA")</f>
        <v>0</v>
      </c>
      <c r="E35" s="90">
        <f>SUMIFS(MOVIMIENTOS!$F:$F,MOVIMIENTOS!$A:$A,$A35,MOVIMIENTOS!$B:$B,"COMPRA")</f>
        <v>0</v>
      </c>
      <c r="F35" s="89">
        <f>SUMIFS(MOVIMIENTOS!$E:$E,MOVIMIENTOS!$A:$A,$A35,MOVIMIENTOS!$B:$B,"PROCESO",MOVIMIENTOS!$C:$C,"A")</f>
        <v>0</v>
      </c>
      <c r="G35" s="89">
        <f>SUMIFS(MOVIMIENTOS!$E:$E,MOVIMIENTOS!$A:$A,$A35,MOVIMIENTOS!$B:$B,"PROCESO",MOVIMIENTOS!$C:$C,"P")</f>
        <v>0</v>
      </c>
      <c r="H35" s="89">
        <f>SUMIFS(MOVIMIENTOS!$E:$E,MOVIMIENTOS!$A:$A,$A35,MOVIMIENTOS!$B:$B,"PROCESO",MOVIMIENTOS!$C:$C,"C")</f>
        <v>1</v>
      </c>
      <c r="I35" s="89">
        <f>SUMIFS(MOVIMIENTOS!$E:$E,MOVIMIENTOS!$A:$A,$A35,MOVIMIENTOS!$B:$B,"PROCESO",MOVIMIENTOS!$C:$C,"M")</f>
        <v>0</v>
      </c>
      <c r="J35" s="89">
        <f t="shared" si="0"/>
        <v>1</v>
      </c>
      <c r="K35" s="90">
        <f t="shared" si="1"/>
        <v>17</v>
      </c>
      <c r="L35" s="90">
        <f>SUMIFS(MOVIMIENTOS!$F:$F,MOVIMIENTOS!$A:$A,$A35,MOVIMIENTOS!$B:$B,"REPROCESO")</f>
        <v>0</v>
      </c>
      <c r="M35" s="89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89" t="str">
        <f>IFERROR(IF(LOOKUP(2,1/((MOVIMIENTOS!$A$5:$A$1019=$A35)*((MOVIMIENTOS!$B$5:$B$1019="ENVÍO A SUPESA")+(MOVIMIENTOS!$B$5:$B$1019="ENVÍO A TOTTUS")+(MOVIMIENTOS!$B$5:$B$1019="ENVIO A TOTTUS"))*(MOVIMIENTOS!$G$5:$G$1019&lt;&gt;"")),MOVIMIENTOS!$G$5:$G$1019)&lt;&gt;"","G-"&amp;LOOKUP(2,1/((MOVIMIENTOS!$A$5:$A$1019=$A35)*((MOVIMIENTOS!$B$5:$B$1019="ENVÍO A SUPESA")+(MOVIMIENTOS!$B$5:$B$1019="ENVÍO A TOTTUS")+(MOVIMIENTOS!$B$5:$B$1019="ENVIO A TOTTUS"))*(MOVIMIENTOS!$G$5:$G$1019&lt;&gt;"")),MOVIMIENTOS!$G$5:$G$1019),""),"")</f>
        <v>G-3046</v>
      </c>
      <c r="O35" s="89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89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89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89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89">
        <f t="shared" si="2"/>
        <v>208</v>
      </c>
      <c r="T35" s="90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94">
        <f>IFERROR(INDEX('SALDO DIARIO'!$B:$B,MATCH($A35,'SALDO DIARIO'!$A:$A,0)),0)</f>
        <v>49</v>
      </c>
      <c r="V35" s="94">
        <f>IFERROR(INDEX('SALDO DIARIO'!$C:$C,MATCH($A35,'SALDO DIARIO'!$A:$A,0)),0)</f>
        <v>0</v>
      </c>
      <c r="W35" s="94">
        <f>IFERROR(INDEX('SALDO DIARIO'!$D:$D,MATCH($A35,'SALDO DIARIO'!$A:$A,0)),0)</f>
        <v>0</v>
      </c>
      <c r="X35" s="94">
        <f>IFERROR(INDEX('SALDO DIARIO'!$E:$E,MATCH($A35,'SALDO DIARIO'!$A:$A,0)),0)</f>
        <v>55</v>
      </c>
      <c r="Y35" s="94">
        <f>IFERROR(INDEX('SALDO DIARIO'!$G:$G,MATCH($A35,'SALDO DIARIO'!$A:$A,0)),0)</f>
        <v>104</v>
      </c>
      <c r="Z35" s="89">
        <f>SUMIFS(MOVIMIENTOS!$E:$E,MOVIMIENTOS!$A:$A,$A35,MOVIMIENTOS!$B:$B,"PROCESO",MOVIMIENTOS!$C:$C,"Chancho")</f>
        <v>0</v>
      </c>
      <c r="AA35" s="90">
        <f>SUMIFS(MOVIMIENTOS!$F:$F,MOVIMIENTOS!$A:$A,$A35,MOVIMIENTOS!$B:$B,"PROCESO",MOVIMIENTOS!$C:$C,"Chancho")</f>
        <v>0</v>
      </c>
      <c r="AB35" s="89">
        <f>SUMIFS(MOVIMIENTOS!$E:$E,MOVIMIENTOS!$A:$A,$A35,MOVIMIENTOS!$B:$B,"VENTA CHANCHO",MOVIMIENTOS!$C:$C,"Chancho")</f>
        <v>0</v>
      </c>
      <c r="AC35" s="90">
        <f>SUMIFS(MOVIMIENTOS!$F:$F,MOVIMIENTOS!$A:$A,$A35,MOVIMIENTOS!$B:$B,"VENTA CHANCHO",MOVIMIENTOS!$C:$C,"Chancho")</f>
        <v>0</v>
      </c>
      <c r="AD35" s="89" t="str">
        <f>IFERROR(LOOKUP(2,1/((MOVIMIENTOS!$A$5:$A$1019=$A35)*(MOVIMIENTOS!$B$5:$B$1019="VENTA CHANCHO")*(MOVIMIENTOS!$C$5:$C$1019="Chancho")*(MOVIMIENTOS!$G$5:$G$1019&lt;&gt;"")),MOVIMIENTOS!$G$5:$G$1019),IFERROR(LOOKUP(2,1/((MOVIMIENTOS!$A$5:$A$1019=$A35)*(MOVIMIENTOS!$B$5:$B$1019="VENTA CHANCHO")*(MOVIMIENTOS!$C$5:$C$1019="Chancho")*(MOVIMIENTOS!$I$5:$I$1019&lt;&gt;"")),MOVIMIENTOS!$I$5:$I$1019),""))</f>
        <v/>
      </c>
      <c r="AE35" s="94">
        <f>IFERROR(INDEX('SALDO DIARIO'!$F:$F,MATCH($A35,'SALDO DIARIO'!$A:$A,0)),0)</f>
        <v>19.5</v>
      </c>
      <c r="AF35" s="90">
        <f t="shared" si="3"/>
        <v>-17</v>
      </c>
      <c r="AG35" s="91">
        <f t="shared" si="4"/>
        <v>0</v>
      </c>
      <c r="AI35" s="92">
        <f t="shared" si="5"/>
        <v>46237</v>
      </c>
      <c r="AJ35" s="90">
        <f t="shared" si="6"/>
        <v>0</v>
      </c>
      <c r="AK35" s="90">
        <f t="shared" si="7"/>
        <v>17</v>
      </c>
      <c r="AL35" s="90">
        <f t="shared" si="8"/>
        <v>3413</v>
      </c>
      <c r="AM35" s="93">
        <f t="shared" si="9"/>
        <v>0</v>
      </c>
      <c r="AN35" s="90">
        <f t="shared" si="10"/>
        <v>0</v>
      </c>
      <c r="AO35" s="90">
        <f t="shared" si="11"/>
        <v>-17</v>
      </c>
      <c r="AP35" s="91">
        <f t="shared" si="12"/>
        <v>0</v>
      </c>
    </row>
    <row r="36" spans="1:42" ht="15" customHeight="1" x14ac:dyDescent="0.2">
      <c r="A36" s="87">
        <v>46238</v>
      </c>
      <c r="B36" s="88" t="s">
        <v>255</v>
      </c>
      <c r="C36" s="88" t="s">
        <v>260</v>
      </c>
      <c r="D36" s="89">
        <f>SUMIFS(MOVIMIENTOS!$E:$E,MOVIMIENTOS!$A:$A,$A36,MOVIMIENTOS!$B:$B,"COMPRA")</f>
        <v>34</v>
      </c>
      <c r="E36" s="90">
        <f>SUMIFS(MOVIMIENTOS!$F:$F,MOVIMIENTOS!$A:$A,$A36,MOVIMIENTOS!$B:$B,"COMPRA")</f>
        <v>3450</v>
      </c>
      <c r="F36" s="89">
        <f>SUMIFS(MOVIMIENTOS!$E:$E,MOVIMIENTOS!$A:$A,$A36,MOVIMIENTOS!$B:$B,"PROCESO",MOVIMIENTOS!$C:$C,"A")</f>
        <v>37</v>
      </c>
      <c r="G36" s="89">
        <f>SUMIFS(MOVIMIENTOS!$E:$E,MOVIMIENTOS!$A:$A,$A36,MOVIMIENTOS!$B:$B,"PROCESO",MOVIMIENTOS!$C:$C,"P")</f>
        <v>11</v>
      </c>
      <c r="H36" s="89">
        <f>SUMIFS(MOVIMIENTOS!$E:$E,MOVIMIENTOS!$A:$A,$A36,MOVIMIENTOS!$B:$B,"PROCESO",MOVIMIENTOS!$C:$C,"C")</f>
        <v>12</v>
      </c>
      <c r="I36" s="89">
        <f>SUMIFS(MOVIMIENTOS!$E:$E,MOVIMIENTOS!$A:$A,$A36,MOVIMIENTOS!$B:$B,"PROCESO",MOVIMIENTOS!$C:$C,"M")</f>
        <v>78</v>
      </c>
      <c r="J36" s="89">
        <f t="shared" si="0"/>
        <v>138</v>
      </c>
      <c r="K36" s="90">
        <f t="shared" si="1"/>
        <v>2283</v>
      </c>
      <c r="L36" s="90">
        <f>SUMIFS(MOVIMIENTOS!$F:$F,MOVIMIENTOS!$A:$A,$A36,MOVIMIENTOS!$B:$B,"REPROCESO")</f>
        <v>0</v>
      </c>
      <c r="M36" s="89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89" t="str">
        <f>IFERROR(IF(LOOKUP(2,1/((MOVIMIENTOS!$A$5:$A$1019=$A36)*((MOVIMIENTOS!$B$5:$B$1019="ENVÍO A SUPESA")+(MOVIMIENTOS!$B$5:$B$1019="ENVÍO A TOTTUS")+(MOVIMIENTOS!$B$5:$B$1019="ENVIO A TOTTUS"))*(MOVIMIENTOS!$G$5:$G$1019&lt;&gt;"")),MOVIMIENTOS!$G$5:$G$1019)&lt;&gt;"","G-"&amp;LOOKUP(2,1/((MOVIMIENTOS!$A$5:$A$1019=$A36)*((MOVIMIENTOS!$B$5:$B$1019="ENVÍO A SUPESA")+(MOVIMIENTOS!$B$5:$B$1019="ENVÍO A TOTTUS")+(MOVIMIENTOS!$B$5:$B$1019="ENVIO A TOTTUS"))*(MOVIMIENTOS!$G$5:$G$1019&lt;&gt;"")),MOVIMIENTOS!$G$5:$G$1019),""),"")</f>
        <v>G-3051</v>
      </c>
      <c r="O36" s="89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89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89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89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89">
        <f t="shared" si="2"/>
        <v>208</v>
      </c>
      <c r="T36" s="90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94">
        <f>IFERROR(INDEX('SALDO DIARIO'!$B:$B,MATCH($A36,'SALDO DIARIO'!$A:$A,0)),0)</f>
        <v>19</v>
      </c>
      <c r="V36" s="94">
        <f>IFERROR(INDEX('SALDO DIARIO'!$C:$C,MATCH($A36,'SALDO DIARIO'!$A:$A,0)),0)</f>
        <v>0</v>
      </c>
      <c r="W36" s="94">
        <f>IFERROR(INDEX('SALDO DIARIO'!$D:$D,MATCH($A36,'SALDO DIARIO'!$A:$A,0)),0)</f>
        <v>0</v>
      </c>
      <c r="X36" s="94">
        <f>IFERROR(INDEX('SALDO DIARIO'!$E:$E,MATCH($A36,'SALDO DIARIO'!$A:$A,0)),0)</f>
        <v>15</v>
      </c>
      <c r="Y36" s="94">
        <f>IFERROR(INDEX('SALDO DIARIO'!$G:$G,MATCH($A36,'SALDO DIARIO'!$A:$A,0)),0)</f>
        <v>34</v>
      </c>
      <c r="Z36" s="89">
        <f>SUMIFS(MOVIMIENTOS!$E:$E,MOVIMIENTOS!$A:$A,$A36,MOVIMIENTOS!$B:$B,"PROCESO",MOVIMIENTOS!$C:$C,"Chancho")</f>
        <v>12</v>
      </c>
      <c r="AA36" s="90">
        <f>SUMIFS(MOVIMIENTOS!$F:$F,MOVIMIENTOS!$A:$A,$A36,MOVIMIENTOS!$B:$B,"PROCESO",MOVIMIENTOS!$C:$C,"Chancho")</f>
        <v>1164</v>
      </c>
      <c r="AB36" s="89">
        <f>SUMIFS(MOVIMIENTOS!$E:$E,MOVIMIENTOS!$A:$A,$A36,MOVIMIENTOS!$B:$B,"VENTA CHANCHO",MOVIMIENTOS!$C:$C,"Chancho")</f>
        <v>0</v>
      </c>
      <c r="AC36" s="90">
        <f>SUMIFS(MOVIMIENTOS!$F:$F,MOVIMIENTOS!$A:$A,$A36,MOVIMIENTOS!$B:$B,"VENTA CHANCHO",MOVIMIENTOS!$C:$C,"Chancho")</f>
        <v>0</v>
      </c>
      <c r="AD36" s="89" t="str">
        <f>IFERROR(LOOKUP(2,1/((MOVIMIENTOS!$A$5:$A$1019=$A36)*(MOVIMIENTOS!$B$5:$B$1019="VENTA CHANCHO")*(MOVIMIENTOS!$C$5:$C$1019="Chancho")*(MOVIMIENTOS!$G$5:$G$1019&lt;&gt;"")),MOVIMIENTOS!$G$5:$G$1019),IFERROR(LOOKUP(2,1/((MOVIMIENTOS!$A$5:$A$1019=$A36)*(MOVIMIENTOS!$B$5:$B$1019="VENTA CHANCHO")*(MOVIMIENTOS!$C$5:$C$1019="Chancho")*(MOVIMIENTOS!$I$5:$I$1019&lt;&gt;"")),MOVIMIENTOS!$I$5:$I$1019),""))</f>
        <v/>
      </c>
      <c r="AE36" s="94">
        <f>IFERROR(INDEX('SALDO DIARIO'!$F:$F,MATCH($A36,'SALDO DIARIO'!$A:$A,0)),0)</f>
        <v>31.5</v>
      </c>
      <c r="AF36" s="90">
        <f t="shared" si="3"/>
        <v>3</v>
      </c>
      <c r="AG36" s="91">
        <f t="shared" si="4"/>
        <v>0.1</v>
      </c>
      <c r="AI36" s="92">
        <f t="shared" si="5"/>
        <v>46238</v>
      </c>
      <c r="AJ36" s="90">
        <f t="shared" si="6"/>
        <v>3450</v>
      </c>
      <c r="AK36" s="90">
        <f t="shared" si="7"/>
        <v>2283</v>
      </c>
      <c r="AL36" s="90">
        <f t="shared" si="8"/>
        <v>3413</v>
      </c>
      <c r="AM36" s="93">
        <f t="shared" si="9"/>
        <v>12</v>
      </c>
      <c r="AN36" s="90">
        <f t="shared" si="10"/>
        <v>1164</v>
      </c>
      <c r="AO36" s="90">
        <f t="shared" si="11"/>
        <v>3</v>
      </c>
      <c r="AP36" s="91">
        <f t="shared" si="12"/>
        <v>0.1</v>
      </c>
    </row>
    <row r="37" spans="1:42" ht="15" customHeight="1" x14ac:dyDescent="0.2">
      <c r="A37" s="87">
        <v>46239</v>
      </c>
      <c r="B37" s="88" t="s">
        <v>257</v>
      </c>
      <c r="C37" s="88" t="s">
        <v>260</v>
      </c>
      <c r="D37" s="89">
        <f>SUMIFS(MOVIMIENTOS!$E:$E,MOVIMIENTOS!$A:$A,$A37,MOVIMIENTOS!$B:$B,"COMPRA")</f>
        <v>52</v>
      </c>
      <c r="E37" s="90">
        <f>SUMIFS(MOVIMIENTOS!$F:$F,MOVIMIENTOS!$A:$A,$A37,MOVIMIENTOS!$B:$B,"COMPRA")</f>
        <v>5044</v>
      </c>
      <c r="F37" s="89">
        <f>SUMIFS(MOVIMIENTOS!$E:$E,MOVIMIENTOS!$A:$A,$A37,MOVIMIENTOS!$B:$B,"PROCESO",MOVIMIENTOS!$C:$C,"A")</f>
        <v>96</v>
      </c>
      <c r="G37" s="89">
        <f>SUMIFS(MOVIMIENTOS!$E:$E,MOVIMIENTOS!$A:$A,$A37,MOVIMIENTOS!$B:$B,"PROCESO",MOVIMIENTOS!$C:$C,"P")</f>
        <v>22</v>
      </c>
      <c r="H37" s="89">
        <f>SUMIFS(MOVIMIENTOS!$E:$E,MOVIMIENTOS!$A:$A,$A37,MOVIMIENTOS!$B:$B,"PROCESO",MOVIMIENTOS!$C:$C,"C")</f>
        <v>23</v>
      </c>
      <c r="I37" s="89">
        <f>SUMIFS(MOVIMIENTOS!$E:$E,MOVIMIENTOS!$A:$A,$A37,MOVIMIENTOS!$B:$B,"PROCESO",MOVIMIENTOS!$C:$C,"M")</f>
        <v>153</v>
      </c>
      <c r="J37" s="89">
        <f t="shared" si="0"/>
        <v>294</v>
      </c>
      <c r="K37" s="90">
        <f t="shared" si="1"/>
        <v>4828</v>
      </c>
      <c r="L37" s="90">
        <f>SUMIFS(MOVIMIENTOS!$F:$F,MOVIMIENTOS!$A:$A,$A37,MOVIMIENTOS!$B:$B,"REPROCESO")</f>
        <v>5</v>
      </c>
      <c r="M37" s="89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89" t="str">
        <f>IFERROR(IF(LOOKUP(2,1/((MOVIMIENTOS!$A$5:$A$1019=$A37)*((MOVIMIENTOS!$B$5:$B$1019="ENVÍO A SUPESA")+(MOVIMIENTOS!$B$5:$B$1019="ENVÍO A TOTTUS")+(MOVIMIENTOS!$B$5:$B$1019="ENVIO A TOTTUS"))*(MOVIMIENTOS!$G$5:$G$1019&lt;&gt;"")),MOVIMIENTOS!$G$5:$G$1019)&lt;&gt;"","G-"&amp;LOOKUP(2,1/((MOVIMIENTOS!$A$5:$A$1019=$A37)*((MOVIMIENTOS!$B$5:$B$1019="ENVÍO A SUPESA")+(MOVIMIENTOS!$B$5:$B$1019="ENVÍO A TOTTUS")+(MOVIMIENTOS!$B$5:$B$1019="ENVIO A TOTTUS"))*(MOVIMIENTOS!$G$5:$G$1019&lt;&gt;"")),MOVIMIENTOS!$G$5:$G$1019),""),"")</f>
        <v>G-3054</v>
      </c>
      <c r="O37" s="89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89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89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89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89">
        <f t="shared" si="2"/>
        <v>193</v>
      </c>
      <c r="T37" s="90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94">
        <f>IFERROR(INDEX('SALDO DIARIO'!$B:$B,MATCH($A37,'SALDO DIARIO'!$A:$A,0)),0)</f>
        <v>48</v>
      </c>
      <c r="V37" s="94">
        <f>IFERROR(INDEX('SALDO DIARIO'!$C:$C,MATCH($A37,'SALDO DIARIO'!$A:$A,0)),0)</f>
        <v>11</v>
      </c>
      <c r="W37" s="94">
        <f>IFERROR(INDEX('SALDO DIARIO'!$D:$D,MATCH($A37,'SALDO DIARIO'!$A:$A,0)),0)</f>
        <v>12</v>
      </c>
      <c r="X37" s="94">
        <f>IFERROR(INDEX('SALDO DIARIO'!$E:$E,MATCH($A37,'SALDO DIARIO'!$A:$A,0)),0)</f>
        <v>64</v>
      </c>
      <c r="Y37" s="94">
        <f>IFERROR(INDEX('SALDO DIARIO'!$G:$G,MATCH($A37,'SALDO DIARIO'!$A:$A,0)),0)</f>
        <v>135</v>
      </c>
      <c r="Z37" s="89">
        <f>SUMIFS(MOVIMIENTOS!$E:$E,MOVIMIENTOS!$A:$A,$A37,MOVIMIENTOS!$B:$B,"PROCESO",MOVIMIENTOS!$C:$C,"Chancho")</f>
        <v>5.5</v>
      </c>
      <c r="AA37" s="90">
        <f>SUMIFS(MOVIMIENTOS!$F:$F,MOVIMIENTOS!$A:$A,$A37,MOVIMIENTOS!$B:$B,"PROCESO",MOVIMIENTOS!$C:$C,"Chancho")</f>
        <v>533.5</v>
      </c>
      <c r="AB37" s="89">
        <f>SUMIFS(MOVIMIENTOS!$E:$E,MOVIMIENTOS!$A:$A,$A37,MOVIMIENTOS!$B:$B,"VENTA CHANCHO",MOVIMIENTOS!$C:$C,"Chancho")</f>
        <v>20</v>
      </c>
      <c r="AC37" s="90">
        <f>SUMIFS(MOVIMIENTOS!$F:$F,MOVIMIENTOS!$A:$A,$A37,MOVIMIENTOS!$B:$B,"VENTA CHANCHO",MOVIMIENTOS!$C:$C,"Chancho")</f>
        <v>1940</v>
      </c>
      <c r="AD37" s="89" t="str">
        <f>IFERROR(LOOKUP(2,1/((MOVIMIENTOS!$A$5:$A$1019=$A37)*(MOVIMIENTOS!$B$5:$B$1019="VENTA CHANCHO")*(MOVIMIENTOS!$C$5:$C$1019="Chancho")*(MOVIMIENTOS!$G$5:$G$1019&lt;&gt;"")),MOVIMIENTOS!$G$5:$G$1019),IFERROR(LOOKUP(2,1/((MOVIMIENTOS!$A$5:$A$1019=$A37)*(MOVIMIENTOS!$B$5:$B$1019="VENTA CHANCHO")*(MOVIMIENTOS!$C$5:$C$1019="Chancho")*(MOVIMIENTOS!$I$5:$I$1019&lt;&gt;"")),MOVIMIENTOS!$I$5:$I$1019),""))</f>
        <v>FALTA</v>
      </c>
      <c r="AE37" s="94">
        <f>IFERROR(INDEX('SALDO DIARIO'!$F:$F,MATCH($A37,'SALDO DIARIO'!$A:$A,0)),0)</f>
        <v>17</v>
      </c>
      <c r="AF37" s="90">
        <f t="shared" si="3"/>
        <v>-317.5</v>
      </c>
      <c r="AG37" s="91">
        <f t="shared" si="4"/>
        <v>-6.3</v>
      </c>
      <c r="AI37" s="92">
        <f t="shared" si="5"/>
        <v>46239</v>
      </c>
      <c r="AJ37" s="90">
        <f t="shared" si="6"/>
        <v>5044</v>
      </c>
      <c r="AK37" s="90">
        <f t="shared" si="7"/>
        <v>4828</v>
      </c>
      <c r="AL37" s="90">
        <f t="shared" si="8"/>
        <v>3158</v>
      </c>
      <c r="AM37" s="93">
        <f t="shared" si="9"/>
        <v>5.5</v>
      </c>
      <c r="AN37" s="90">
        <f t="shared" si="10"/>
        <v>533.5</v>
      </c>
      <c r="AO37" s="90">
        <f t="shared" si="11"/>
        <v>-317.5</v>
      </c>
      <c r="AP37" s="91">
        <f t="shared" si="12"/>
        <v>-6.3</v>
      </c>
    </row>
    <row r="38" spans="1:42" ht="15" customHeight="1" x14ac:dyDescent="0.2">
      <c r="A38" s="87">
        <v>46240</v>
      </c>
      <c r="B38" s="88" t="s">
        <v>264</v>
      </c>
      <c r="C38" s="88" t="s">
        <v>260</v>
      </c>
      <c r="D38" s="89">
        <f>SUMIFS(MOVIMIENTOS!$E:$E,MOVIMIENTOS!$A:$A,$A38,MOVIMIENTOS!$B:$B,"COMPRA")</f>
        <v>48</v>
      </c>
      <c r="E38" s="90">
        <f>SUMIFS(MOVIMIENTOS!$F:$F,MOVIMIENTOS!$A:$A,$A38,MOVIMIENTOS!$B:$B,"COMPRA")</f>
        <v>4656</v>
      </c>
      <c r="F38" s="89">
        <f>SUMIFS(MOVIMIENTOS!$E:$E,MOVIMIENTOS!$A:$A,$A38,MOVIMIENTOS!$B:$B,"PROCESO",MOVIMIENTOS!$C:$C,"A")</f>
        <v>79</v>
      </c>
      <c r="G38" s="89">
        <f>SUMIFS(MOVIMIENTOS!$E:$E,MOVIMIENTOS!$A:$A,$A38,MOVIMIENTOS!$B:$B,"PROCESO",MOVIMIENTOS!$C:$C,"P")</f>
        <v>11</v>
      </c>
      <c r="H38" s="89">
        <f>SUMIFS(MOVIMIENTOS!$E:$E,MOVIMIENTOS!$A:$A,$A38,MOVIMIENTOS!$B:$B,"PROCESO",MOVIMIENTOS!$C:$C,"C")</f>
        <v>12</v>
      </c>
      <c r="I38" s="89">
        <f>SUMIFS(MOVIMIENTOS!$E:$E,MOVIMIENTOS!$A:$A,$A38,MOVIMIENTOS!$B:$B,"PROCESO",MOVIMIENTOS!$C:$C,"M")</f>
        <v>147</v>
      </c>
      <c r="J38" s="89">
        <f t="shared" si="0"/>
        <v>249</v>
      </c>
      <c r="K38" s="90">
        <f t="shared" si="1"/>
        <v>4086</v>
      </c>
      <c r="L38" s="90">
        <f>SUMIFS(MOVIMIENTOS!$F:$F,MOVIMIENTOS!$A:$A,$A38,MOVIMIENTOS!$B:$B,"REPROCESO")</f>
        <v>0</v>
      </c>
      <c r="M38" s="89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89" t="str">
        <f>IFERROR(IF(LOOKUP(2,1/((MOVIMIENTOS!$A$5:$A$1019=$A38)*((MOVIMIENTOS!$B$5:$B$1019="ENVÍO A SUPESA")+(MOVIMIENTOS!$B$5:$B$1019="ENVÍO A TOTTUS")+(MOVIMIENTOS!$B$5:$B$1019="ENVIO A TOTTUS"))*(MOVIMIENTOS!$G$5:$G$1019&lt;&gt;"")),MOVIMIENTOS!$G$5:$G$1019)&lt;&gt;"","G-"&amp;LOOKUP(2,1/((MOVIMIENTOS!$A$5:$A$1019=$A38)*((MOVIMIENTOS!$B$5:$B$1019="ENVÍO A SUPESA")+(MOVIMIENTOS!$B$5:$B$1019="ENVÍO A TOTTUS")+(MOVIMIENTOS!$B$5:$B$1019="ENVIO A TOTTUS"))*(MOVIMIENTOS!$G$5:$G$1019&lt;&gt;"")),MOVIMIENTOS!$G$5:$G$1019),""),"")</f>
        <v>G-3058</v>
      </c>
      <c r="O38" s="89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89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89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89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89">
        <f t="shared" si="2"/>
        <v>208</v>
      </c>
      <c r="T38" s="90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94">
        <f>IFERROR(INDEX('SALDO DIARIO'!$B:$B,MATCH($A38,'SALDO DIARIO'!$A:$A,0)),0)</f>
        <v>60</v>
      </c>
      <c r="V38" s="94">
        <f>IFERROR(INDEX('SALDO DIARIO'!$C:$C,MATCH($A38,'SALDO DIARIO'!$A:$A,0)),0)</f>
        <v>11</v>
      </c>
      <c r="W38" s="94">
        <f>IFERROR(INDEX('SALDO DIARIO'!$D:$D,MATCH($A38,'SALDO DIARIO'!$A:$A,0)),0)</f>
        <v>12</v>
      </c>
      <c r="X38" s="94">
        <f>IFERROR(INDEX('SALDO DIARIO'!$E:$E,MATCH($A38,'SALDO DIARIO'!$A:$A,0)),0)</f>
        <v>93</v>
      </c>
      <c r="Y38" s="94">
        <f>IFERROR(INDEX('SALDO DIARIO'!$G:$G,MATCH($A38,'SALDO DIARIO'!$A:$A,0)),0)</f>
        <v>176</v>
      </c>
      <c r="Z38" s="89">
        <f>SUMIFS(MOVIMIENTOS!$E:$E,MOVIMIENTOS!$A:$A,$A38,MOVIMIENTOS!$B:$B,"PROCESO",MOVIMIENTOS!$C:$C,"Chancho")</f>
        <v>6.5</v>
      </c>
      <c r="AA38" s="90">
        <f>SUMIFS(MOVIMIENTOS!$F:$F,MOVIMIENTOS!$A:$A,$A38,MOVIMIENTOS!$B:$B,"PROCESO",MOVIMIENTOS!$C:$C,"Chancho")</f>
        <v>630.5</v>
      </c>
      <c r="AB38" s="89">
        <f>SUMIFS(MOVIMIENTOS!$E:$E,MOVIMIENTOS!$A:$A,$A38,MOVIMIENTOS!$B:$B,"VENTA CHANCHO",MOVIMIENTOS!$C:$C,"Chancho")</f>
        <v>17</v>
      </c>
      <c r="AC38" s="90">
        <f>SUMIFS(MOVIMIENTOS!$F:$F,MOVIMIENTOS!$A:$A,$A38,MOVIMIENTOS!$B:$B,"VENTA CHANCHO",MOVIMIENTOS!$C:$C,"Chancho")</f>
        <v>1649</v>
      </c>
      <c r="AD38" s="89" t="str">
        <f>IFERROR(LOOKUP(2,1/((MOVIMIENTOS!$A$5:$A$1019=$A38)*(MOVIMIENTOS!$B$5:$B$1019="VENTA CHANCHO")*(MOVIMIENTOS!$C$5:$C$1019="Chancho")*(MOVIMIENTOS!$G$5:$G$1019&lt;&gt;"")),MOVIMIENTOS!$G$5:$G$1019),IFERROR(LOOKUP(2,1/((MOVIMIENTOS!$A$5:$A$1019=$A38)*(MOVIMIENTOS!$B$5:$B$1019="VENTA CHANCHO")*(MOVIMIENTOS!$C$5:$C$1019="Chancho")*(MOVIMIENTOS!$I$5:$I$1019&lt;&gt;"")),MOVIMIENTOS!$I$5:$I$1019),""))</f>
        <v>TCK002-740</v>
      </c>
      <c r="AE38" s="94">
        <f>IFERROR(INDEX('SALDO DIARIO'!$F:$F,MATCH($A38,'SALDO DIARIO'!$A:$A,0)),0)</f>
        <v>6.5</v>
      </c>
      <c r="AF38" s="90">
        <f t="shared" si="3"/>
        <v>-60.5</v>
      </c>
      <c r="AG38" s="91">
        <f t="shared" si="4"/>
        <v>-1.3</v>
      </c>
      <c r="AI38" s="92">
        <f t="shared" si="5"/>
        <v>46240</v>
      </c>
      <c r="AJ38" s="90">
        <f t="shared" si="6"/>
        <v>4656</v>
      </c>
      <c r="AK38" s="90">
        <f t="shared" si="7"/>
        <v>4086</v>
      </c>
      <c r="AL38" s="90">
        <f t="shared" si="8"/>
        <v>3413</v>
      </c>
      <c r="AM38" s="93">
        <f t="shared" si="9"/>
        <v>6.5</v>
      </c>
      <c r="AN38" s="90">
        <f t="shared" si="10"/>
        <v>630.5</v>
      </c>
      <c r="AO38" s="90">
        <f t="shared" si="11"/>
        <v>-60.5</v>
      </c>
      <c r="AP38" s="91">
        <f t="shared" si="12"/>
        <v>-1.3</v>
      </c>
    </row>
    <row r="39" spans="1:42" ht="15" customHeight="1" x14ac:dyDescent="0.2">
      <c r="A39" s="87">
        <v>46241</v>
      </c>
      <c r="B39" s="88" t="s">
        <v>261</v>
      </c>
      <c r="C39" s="88" t="s">
        <v>260</v>
      </c>
      <c r="D39" s="89">
        <f>SUMIFS(MOVIMIENTOS!$E:$E,MOVIMIENTOS!$A:$A,$A39,MOVIMIENTOS!$B:$B,"COMPRA")</f>
        <v>12</v>
      </c>
      <c r="E39" s="90">
        <f>SUMIFS(MOVIMIENTOS!$F:$F,MOVIMIENTOS!$A:$A,$A39,MOVIMIENTOS!$B:$B,"COMPRA")</f>
        <v>1164</v>
      </c>
      <c r="F39" s="89">
        <f>SUMIFS(MOVIMIENTOS!$E:$E,MOVIMIENTOS!$A:$A,$A39,MOVIMIENTOS!$B:$B,"PROCESO",MOVIMIENTOS!$C:$C,"A")</f>
        <v>17</v>
      </c>
      <c r="G39" s="89">
        <f>SUMIFS(MOVIMIENTOS!$E:$E,MOVIMIENTOS!$A:$A,$A39,MOVIMIENTOS!$B:$B,"PROCESO",MOVIMIENTOS!$C:$C,"P")</f>
        <v>0</v>
      </c>
      <c r="H39" s="89">
        <f>SUMIFS(MOVIMIENTOS!$E:$E,MOVIMIENTOS!$A:$A,$A39,MOVIMIENTOS!$B:$B,"PROCESO",MOVIMIENTOS!$C:$C,"C")</f>
        <v>0</v>
      </c>
      <c r="I39" s="89">
        <f>SUMIFS(MOVIMIENTOS!$E:$E,MOVIMIENTOS!$A:$A,$A39,MOVIMIENTOS!$B:$B,"PROCESO",MOVIMIENTOS!$C:$C,"M")</f>
        <v>37</v>
      </c>
      <c r="J39" s="89">
        <f t="shared" si="0"/>
        <v>54</v>
      </c>
      <c r="K39" s="90">
        <f t="shared" si="1"/>
        <v>884</v>
      </c>
      <c r="L39" s="90">
        <f>SUMIFS(MOVIMIENTOS!$F:$F,MOVIMIENTOS!$A:$A,$A39,MOVIMIENTOS!$B:$B,"REPROCESO")</f>
        <v>21</v>
      </c>
      <c r="M39" s="89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89" t="str">
        <f>IFERROR(IF(LOOKUP(2,1/((MOVIMIENTOS!$A$5:$A$1019=$A39)*((MOVIMIENTOS!$B$5:$B$1019="ENVÍO A SUPESA")+(MOVIMIENTOS!$B$5:$B$1019="ENVÍO A TOTTUS")+(MOVIMIENTOS!$B$5:$B$1019="ENVIO A TOTTUS"))*(MOVIMIENTOS!$G$5:$G$1019&lt;&gt;"")),MOVIMIENTOS!$G$5:$G$1019)&lt;&gt;"","G-"&amp;LOOKUP(2,1/((MOVIMIENTOS!$A$5:$A$1019=$A39)*((MOVIMIENTOS!$B$5:$B$1019="ENVÍO A SUPESA")+(MOVIMIENTOS!$B$5:$B$1019="ENVÍO A TOTTUS")+(MOVIMIENTOS!$B$5:$B$1019="ENVIO A TOTTUS"))*(MOVIMIENTOS!$G$5:$G$1019&lt;&gt;"")),MOVIMIENTOS!$G$5:$G$1019),""),"")</f>
        <v>G-3060</v>
      </c>
      <c r="O39" s="89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89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89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89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89">
        <f t="shared" si="2"/>
        <v>208</v>
      </c>
      <c r="T39" s="90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94">
        <f>IFERROR(INDEX('SALDO DIARIO'!$B:$B,MATCH($A39,'SALDO DIARIO'!$A:$A,0)),0)</f>
        <v>10</v>
      </c>
      <c r="V39" s="94">
        <f>IFERROR(INDEX('SALDO DIARIO'!$C:$C,MATCH($A39,'SALDO DIARIO'!$A:$A,0)),0)</f>
        <v>0</v>
      </c>
      <c r="W39" s="94">
        <f>IFERROR(INDEX('SALDO DIARIO'!$D:$D,MATCH($A39,'SALDO DIARIO'!$A:$A,0)),0)</f>
        <v>0</v>
      </c>
      <c r="X39" s="94">
        <f>IFERROR(INDEX('SALDO DIARIO'!$E:$E,MATCH($A39,'SALDO DIARIO'!$A:$A,0)),0)</f>
        <v>12</v>
      </c>
      <c r="Y39" s="94">
        <f>IFERROR(INDEX('SALDO DIARIO'!$G:$G,MATCH($A39,'SALDO DIARIO'!$A:$A,0)),0)</f>
        <v>22</v>
      </c>
      <c r="Z39" s="89">
        <f>SUMIFS(MOVIMIENTOS!$E:$E,MOVIMIENTOS!$A:$A,$A39,MOVIMIENTOS!$B:$B,"PROCESO",MOVIMIENTOS!$C:$C,"Chancho")</f>
        <v>4</v>
      </c>
      <c r="AA39" s="90">
        <f>SUMIFS(MOVIMIENTOS!$F:$F,MOVIMIENTOS!$A:$A,$A39,MOVIMIENTOS!$B:$B,"PROCESO",MOVIMIENTOS!$C:$C,"Chancho")</f>
        <v>388</v>
      </c>
      <c r="AB39" s="89">
        <f>SUMIFS(MOVIMIENTOS!$E:$E,MOVIMIENTOS!$A:$A,$A39,MOVIMIENTOS!$B:$B,"VENTA CHANCHO",MOVIMIENTOS!$C:$C,"Chancho")</f>
        <v>6</v>
      </c>
      <c r="AC39" s="90">
        <f>SUMIFS(MOVIMIENTOS!$F:$F,MOVIMIENTOS!$A:$A,$A39,MOVIMIENTOS!$B:$B,"VENTA CHANCHO",MOVIMIENTOS!$C:$C,"Chancho")</f>
        <v>582</v>
      </c>
      <c r="AD39" s="89" t="str">
        <f>IFERROR(LOOKUP(2,1/((MOVIMIENTOS!$A$5:$A$1019=$A39)*(MOVIMIENTOS!$B$5:$B$1019="VENTA CHANCHO")*(MOVIMIENTOS!$C$5:$C$1019="Chancho")*(MOVIMIENTOS!$G$5:$G$1019&lt;&gt;"")),MOVIMIENTOS!$G$5:$G$1019),IFERROR(LOOKUP(2,1/((MOVIMIENTOS!$A$5:$A$1019=$A39)*(MOVIMIENTOS!$B$5:$B$1019="VENTA CHANCHO")*(MOVIMIENTOS!$C$5:$C$1019="Chancho")*(MOVIMIENTOS!$I$5:$I$1019&lt;&gt;"")),MOVIMIENTOS!$I$5:$I$1019),""))</f>
        <v>TCK002-741</v>
      </c>
      <c r="AE39" s="94">
        <f>IFERROR(INDEX('SALDO DIARIO'!$F:$F,MATCH($A39,'SALDO DIARIO'!$A:$A,0)),0)</f>
        <v>4.5</v>
      </c>
      <c r="AF39" s="90">
        <f t="shared" si="3"/>
        <v>-108</v>
      </c>
      <c r="AG39" s="91">
        <f t="shared" si="4"/>
        <v>-9.3000000000000007</v>
      </c>
    </row>
    <row r="40" spans="1:42" ht="15" customHeight="1" x14ac:dyDescent="0.2">
      <c r="A40" s="87">
        <v>46242</v>
      </c>
      <c r="B40" s="88" t="s">
        <v>263</v>
      </c>
      <c r="C40" s="88" t="s">
        <v>260</v>
      </c>
      <c r="D40" s="89">
        <f>SUMIFS(MOVIMIENTOS!$E:$E,MOVIMIENTOS!$A:$A,$A40,MOVIMIENTOS!$B:$B,"COMPRA")</f>
        <v>38</v>
      </c>
      <c r="E40" s="90">
        <f>SUMIFS(MOVIMIENTOS!$F:$F,MOVIMIENTOS!$A:$A,$A40,MOVIMIENTOS!$B:$B,"COMPRA")</f>
        <v>3686</v>
      </c>
      <c r="F40" s="89">
        <f>SUMIFS(MOVIMIENTOS!$E:$E,MOVIMIENTOS!$A:$A,$A40,MOVIMIENTOS!$B:$B,"PROCESO",MOVIMIENTOS!$C:$C,"A")</f>
        <v>55</v>
      </c>
      <c r="G40" s="89">
        <f>SUMIFS(MOVIMIENTOS!$E:$E,MOVIMIENTOS!$A:$A,$A40,MOVIMIENTOS!$B:$B,"PROCESO",MOVIMIENTOS!$C:$C,"P")</f>
        <v>4</v>
      </c>
      <c r="H40" s="89">
        <f>SUMIFS(MOVIMIENTOS!$E:$E,MOVIMIENTOS!$A:$A,$A40,MOVIMIENTOS!$B:$B,"PROCESO",MOVIMIENTOS!$C:$C,"C")</f>
        <v>8</v>
      </c>
      <c r="I40" s="89">
        <f>SUMIFS(MOVIMIENTOS!$E:$E,MOVIMIENTOS!$A:$A,$A40,MOVIMIENTOS!$B:$B,"PROCESO",MOVIMIENTOS!$C:$C,"M")</f>
        <v>109</v>
      </c>
      <c r="J40" s="89">
        <f t="shared" si="0"/>
        <v>176</v>
      </c>
      <c r="K40" s="90">
        <f t="shared" si="1"/>
        <v>2886</v>
      </c>
      <c r="L40" s="90">
        <f>SUMIFS(MOVIMIENTOS!$F:$F,MOVIMIENTOS!$A:$A,$A40,MOVIMIENTOS!$B:$B,"REPROCESO")</f>
        <v>0</v>
      </c>
      <c r="M40" s="89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89" t="str">
        <f>IFERROR(IF(LOOKUP(2,1/((MOVIMIENTOS!$A$5:$A$1019=$A40)*((MOVIMIENTOS!$B$5:$B$1019="ENVÍO A SUPESA")+(MOVIMIENTOS!$B$5:$B$1019="ENVÍO A TOTTUS")+(MOVIMIENTOS!$B$5:$B$1019="ENVIO A TOTTUS"))*(MOVIMIENTOS!$G$5:$G$1019&lt;&gt;"")),MOVIMIENTOS!$G$5:$G$1019)&lt;&gt;"","G-"&amp;LOOKUP(2,1/((MOVIMIENTOS!$A$5:$A$1019=$A40)*((MOVIMIENTOS!$B$5:$B$1019="ENVÍO A SUPESA")+(MOVIMIENTOS!$B$5:$B$1019="ENVÍO A TOTTUS")+(MOVIMIENTOS!$B$5:$B$1019="ENVIO A TOTTUS"))*(MOVIMIENTOS!$G$5:$G$1019&lt;&gt;"")),MOVIMIENTOS!$G$5:$G$1019),""),"")</f>
        <v>G-3064</v>
      </c>
      <c r="O40" s="89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89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89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89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89">
        <f t="shared" si="2"/>
        <v>197</v>
      </c>
      <c r="T40" s="90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94">
        <f>IFERROR(INDEX('SALDO DIARIO'!$B:$B,MATCH($A40,'SALDO DIARIO'!$A:$A,0)),0)</f>
        <v>-2</v>
      </c>
      <c r="V40" s="94">
        <f>IFERROR(INDEX('SALDO DIARIO'!$C:$C,MATCH($A40,'SALDO DIARIO'!$A:$A,0)),0)</f>
        <v>0</v>
      </c>
      <c r="W40" s="94">
        <f>IFERROR(INDEX('SALDO DIARIO'!$D:$D,MATCH($A40,'SALDO DIARIO'!$A:$A,0)),0)</f>
        <v>0</v>
      </c>
      <c r="X40" s="94">
        <f>IFERROR(INDEX('SALDO DIARIO'!$E:$E,MATCH($A40,'SALDO DIARIO'!$A:$A,0)),0)</f>
        <v>3</v>
      </c>
      <c r="Y40" s="94">
        <f>IFERROR(INDEX('SALDO DIARIO'!$G:$G,MATCH($A40,'SALDO DIARIO'!$A:$A,0)),0)</f>
        <v>1</v>
      </c>
      <c r="Z40" s="89">
        <f>SUMIFS(MOVIMIENTOS!$E:$E,MOVIMIENTOS!$A:$A,$A40,MOVIMIENTOS!$B:$B,"PROCESO",MOVIMIENTOS!$C:$C,"Chancho")</f>
        <v>9.5</v>
      </c>
      <c r="AA40" s="90">
        <f>SUMIFS(MOVIMIENTOS!$F:$F,MOVIMIENTOS!$A:$A,$A40,MOVIMIENTOS!$B:$B,"PROCESO",MOVIMIENTOS!$C:$C,"Chancho")</f>
        <v>921.5</v>
      </c>
      <c r="AB40" s="89">
        <f>SUMIFS(MOVIMIENTOS!$E:$E,MOVIMIENTOS!$A:$A,$A40,MOVIMIENTOS!$B:$B,"VENTA CHANCHO",MOVIMIENTOS!$C:$C,"Chancho")</f>
        <v>4.5</v>
      </c>
      <c r="AC40" s="90">
        <f>SUMIFS(MOVIMIENTOS!$F:$F,MOVIMIENTOS!$A:$A,$A40,MOVIMIENTOS!$B:$B,"VENTA CHANCHO",MOVIMIENTOS!$C:$C,"Chancho")</f>
        <v>436.5</v>
      </c>
      <c r="AD40" s="89" t="str">
        <f>IFERROR(LOOKUP(2,1/((MOVIMIENTOS!$A$5:$A$1019=$A40)*(MOVIMIENTOS!$B$5:$B$1019="VENTA CHANCHO")*(MOVIMIENTOS!$C$5:$C$1019="Chancho")*(MOVIMIENTOS!$G$5:$G$1019&lt;&gt;"")),MOVIMIENTOS!$G$5:$G$1019),IFERROR(LOOKUP(2,1/((MOVIMIENTOS!$A$5:$A$1019=$A40)*(MOVIMIENTOS!$B$5:$B$1019="VENTA CHANCHO")*(MOVIMIENTOS!$C$5:$C$1019="Chancho")*(MOVIMIENTOS!$I$5:$I$1019&lt;&gt;"")),MOVIMIENTOS!$I$5:$I$1019),""))</f>
        <v>PENDIENTE</v>
      </c>
      <c r="AE40" s="94">
        <f>IFERROR(INDEX('SALDO DIARIO'!$F:$F,MATCH($A40,'SALDO DIARIO'!$A:$A,0)),0)</f>
        <v>9.5</v>
      </c>
      <c r="AF40" s="90">
        <f t="shared" si="3"/>
        <v>-121.5</v>
      </c>
      <c r="AG40" s="91">
        <f t="shared" si="4"/>
        <v>-3.3</v>
      </c>
    </row>
    <row r="41" spans="1:42" ht="15" customHeight="1" x14ac:dyDescent="0.2">
      <c r="AA41" s="90"/>
      <c r="AB41" s="89"/>
      <c r="AC41" s="90"/>
      <c r="AD41" s="89"/>
      <c r="AE41" s="94"/>
      <c r="AF41" s="90"/>
      <c r="AG41" s="91"/>
    </row>
    <row r="42" spans="1:42" ht="15" customHeight="1" x14ac:dyDescent="0.2">
      <c r="AA42" s="90"/>
      <c r="AB42" s="89"/>
      <c r="AC42" s="90"/>
      <c r="AD42" s="89"/>
      <c r="AE42" s="94"/>
      <c r="AF42" s="90"/>
      <c r="AG42" s="91"/>
    </row>
    <row r="43" spans="1:42" ht="15" customHeight="1" x14ac:dyDescent="0.2">
      <c r="AA43" s="90"/>
      <c r="AB43" s="89"/>
      <c r="AC43" s="90"/>
      <c r="AD43" s="89"/>
      <c r="AE43" s="94"/>
      <c r="AF43" s="90"/>
      <c r="AG43" s="91"/>
    </row>
    <row r="44" spans="1:42" ht="15" customHeight="1" x14ac:dyDescent="0.2">
      <c r="AA44" s="90"/>
      <c r="AB44" s="89"/>
      <c r="AC44" s="90"/>
      <c r="AD44" s="89"/>
      <c r="AE44" s="94"/>
      <c r="AF44" s="90"/>
      <c r="AG44" s="91"/>
    </row>
  </sheetData>
  <autoFilter ref="A5:AG33" xr:uid="{00000000-0009-0000-0000-000004000000}"/>
  <mergeCells count="7">
    <mergeCell ref="AI4:AP4"/>
    <mergeCell ref="AR4:AY4"/>
    <mergeCell ref="F4:J4"/>
    <mergeCell ref="M4:T4"/>
    <mergeCell ref="U4:Y4"/>
    <mergeCell ref="Z4:AE4"/>
    <mergeCell ref="AF4:A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Mirian Martinez Paredes</cp:lastModifiedBy>
  <cp:revision>0</cp:revision>
  <dcterms:created xsi:type="dcterms:W3CDTF">2026-07-25T02:09:50Z</dcterms:created>
  <dcterms:modified xsi:type="dcterms:W3CDTF">2026-08-19T20:22:49Z</dcterms:modified>
  <dc:language>en-US</dc:language>
</cp:coreProperties>
</file>